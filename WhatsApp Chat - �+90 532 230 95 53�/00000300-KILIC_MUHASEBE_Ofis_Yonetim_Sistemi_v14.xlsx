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BASLANGIC" sheetId="2" state="visible" r:id="rId2"/>
    <sheet xmlns:r="http://schemas.openxmlformats.org/officeDocument/2006/relationships" name="MUSTERILER" sheetId="3" state="visible" r:id="rId3"/>
    <sheet xmlns:r="http://schemas.openxmlformats.org/officeDocument/2006/relationships" name="UCRETLER" sheetId="4" state="visible" r:id="rId4"/>
    <sheet xmlns:r="http://schemas.openxmlformats.org/officeDocument/2006/relationships" name="TAHSILAT" sheetId="5" state="visible" r:id="rId5"/>
    <sheet xmlns:r="http://schemas.openxmlformats.org/officeDocument/2006/relationships" name="GELIR_GIDER" sheetId="6" state="visible" r:id="rId6"/>
    <sheet xmlns:r="http://schemas.openxmlformats.org/officeDocument/2006/relationships" name="VIRMAN" sheetId="7" state="visible" r:id="rId7"/>
    <sheet xmlns:r="http://schemas.openxmlformats.org/officeDocument/2006/relationships" name="AKTIVITE" sheetId="8" state="visible" r:id="rId8"/>
    <sheet xmlns:r="http://schemas.openxmlformats.org/officeDocument/2006/relationships" name="MUSTERI_360" sheetId="9" state="visible" r:id="rId9"/>
    <sheet xmlns:r="http://schemas.openxmlformats.org/officeDocument/2006/relationships" name="CARI_EKSTRE" sheetId="10" state="visible" r:id="rId10"/>
    <sheet xmlns:r="http://schemas.openxmlformats.org/officeDocument/2006/relationships" name="HESAPLAR" sheetId="11" state="visible" r:id="rId11"/>
    <sheet xmlns:r="http://schemas.openxmlformats.org/officeDocument/2006/relationships" name="AY_SONU" sheetId="12" state="visible" r:id="rId12"/>
    <sheet xmlns:r="http://schemas.openxmlformats.org/officeDocument/2006/relationships" name="SISTEM" sheetId="13" state="visible" r:id="rId13"/>
  </sheets>
  <definedNames>
    <definedName name="LST_MUSTERI_ADI">MUSTERILER!$C$7:$C$106</definedName>
    <definedName name="LST_HESAP">HESAPLAR!$B$7:$B$16</definedName>
    <definedName name="LST_KATEGORI">SISTEM!$K$8:$K$37</definedName>
    <definedName name="LST_KAT_GELIR">OFFSET(SISTEM!$P$8,0,0,MAX(1,COUNTIF(SISTEM!$P$8:$P$37,"?*")),1)</definedName>
    <definedName name="LST_KAT_GIDER">OFFSET(SISTEM!$Q$8,0,0,MAX(1,COUNTIF(SISTEM!$Q$8:$Q$37,"?*")),1)</definedName>
    <definedName name="LST_BORCLU">OFFSET(SISTEM!$R$8,0,0,MAX(1,COUNTIF(SISTEM!$R$8:$R$127,"?*")),1)</definedName>
    <definedName name="CARI_BAKIYE">MUSTERI_360!$J$7:$J$106</definedName>
    <definedName name="GECIKMIS_29">MUSTERI_360!$N$7:$N$106</definedName>
    <definedName name="NAKIT_POZISYON">HESAPLAR!$K$18</definedName>
    <definedName name="SISTEM_SONUC">SISTEM!$F$23:$F$55</definedName>
    <definedName name="EKSTRE_BAKIYE">CARI_EKSTRE!$F$9</definedName>
    <definedName name="EKSTRE">OFFSET(CARI_EKSTRE!$A$1,0,0,15+COUNT(CARI_EKSTRE!$C$12:$C$311)+4,8)</definedName>
    <definedName name="EKSTRE_TABLO">OFFSET(CARI_EKSTRE!$B$11,0,0,1+COUNT(CARI_EKSTRE!$C$12:$C$311),7)</definedName>
    <definedName name="_xlnm.Print_Area" localSheetId="0">'PANO'!$A$1:$O$43</definedName>
    <definedName name="_xlnm.Print_Titles" localSheetId="1">'BASLANGIC'!$1:$2</definedName>
    <definedName name="_xlnm.Print_Area" localSheetId="1">'BASLANGIC'!$A$1:$I$89</definedName>
    <definedName name="_xlnm._FilterDatabase" localSheetId="2" hidden="1">'MUSTERILER'!$B$6:$P$106</definedName>
    <definedName name="_xlnm.Print_Titles" localSheetId="2">'MUSTERILER'!$6:$6</definedName>
    <definedName name="_xlnm.Print_Area" localSheetId="2">'MUSTERILER'!$A$1:$P$106</definedName>
    <definedName name="_xlnm._FilterDatabase" localSheetId="3" hidden="1">'UCRETLER'!$B$6:$P$406</definedName>
    <definedName name="_xlnm.Print_Titles" localSheetId="3">'UCRETLER'!$6:$6</definedName>
    <definedName name="_xlnm.Print_Area" localSheetId="3">'UCRETLER'!$A$1:$P$106</definedName>
    <definedName name="_xlnm._FilterDatabase" localSheetId="4" hidden="1">'TAHSILAT'!$B$6:$N$1506</definedName>
    <definedName name="_xlnm.Print_Titles" localSheetId="4">'TAHSILAT'!$6:$6</definedName>
    <definedName name="_xlnm.Print_Area" localSheetId="4">'TAHSILAT'!$A$1:$N$106</definedName>
    <definedName name="_xlnm._FilterDatabase" localSheetId="5" hidden="1">'GELIR_GIDER'!$B$6:$P$1206</definedName>
    <definedName name="_xlnm.Print_Titles" localSheetId="5">'GELIR_GIDER'!$6:$6</definedName>
    <definedName name="_xlnm.Print_Area" localSheetId="5">'GELIR_GIDER'!$A$1:$P$106</definedName>
    <definedName name="_xlnm._FilterDatabase" localSheetId="6" hidden="1">'VIRMAN'!$B$6:$J$406</definedName>
    <definedName name="_xlnm.Print_Titles" localSheetId="6">'VIRMAN'!$6:$6</definedName>
    <definedName name="_xlnm.Print_Area" localSheetId="6">'VIRMAN'!$A$1:$J$106</definedName>
    <definedName name="_xlnm._FilterDatabase" localSheetId="7" hidden="1">'AKTIVITE'!$B$6:$Q$1006</definedName>
    <definedName name="_xlnm.Print_Titles" localSheetId="7">'AKTIVITE'!$6:$6</definedName>
    <definedName name="_xlnm.Print_Area" localSheetId="7">'AKTIVITE'!$A$1:$Q$106</definedName>
    <definedName name="_xlnm._FilterDatabase" localSheetId="8" hidden="1">'MUSTERI_360'!$B$6:$W$106</definedName>
    <definedName name="_xlnm.Print_Titles" localSheetId="8">'MUSTERI_360'!$6:$6</definedName>
    <definedName name="_xlnm.Print_Area" localSheetId="8">'MUSTERI_360'!$A$1:$W$106</definedName>
    <definedName name="_xlnm.Print_Titles" localSheetId="9">'CARI_EKSTRE'!$5:$11</definedName>
    <definedName name="_xlnm.Print_Area" localSheetId="9">'CARI_EKSTRE'!$A$1:$H$315</definedName>
    <definedName name="_xlnm.Print_Titles" localSheetId="10">'HESAPLAR'!$6:$6</definedName>
    <definedName name="_xlnm.Print_Area" localSheetId="10">'HESAPLAR'!$A$1:$K$18</definedName>
    <definedName name="_xlnm._FilterDatabase" localSheetId="11" hidden="1">'AY_SONU'!$B$6:$T$42</definedName>
    <definedName name="_xlnm.Print_Titles" localSheetId="11">'AY_SONU'!$6:$6</definedName>
    <definedName name="_xlnm.Print_Area" localSheetId="11">'AY_SONU'!$A$1:$T$42</definedName>
    <definedName name="_xlnm.Print_Titles" localSheetId="12">'SISTEM'!$1:$2</definedName>
    <definedName name="_xlnm.Print_Area" localSheetId="12">'SISTEM'!$A$1:$M$127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[Red]-#,##0;&quot;–&quot;"/>
    <numFmt numFmtId="165" formatCode="#,##0\ &quot;₺&quot;;[Red]-#,##0\ &quot;₺&quot;;&quot;–&quot;"/>
    <numFmt numFmtId="166" formatCode="#,##0.00\ &quot;₺&quot;;[Red]-#,##0.00\ &quot;₺&quot;;&quot;–&quot;"/>
    <numFmt numFmtId="167" formatCode="0.0%;[Red]-0.0%;&quot;–&quot;"/>
    <numFmt numFmtId="168" formatCode="dd.mm.yyyy"/>
    <numFmt numFmtId="169" formatCode="#,##0.0"/>
    <numFmt numFmtId="170" formatCode="mmmm yyyy"/>
  </numFmts>
  <fonts count="65">
    <font>
      <name val="Calibri"/>
      <family val="2"/>
      <color theme="1"/>
      <sz val="11"/>
      <scheme val="minor"/>
    </font>
    <font>
      <name val="Segoe UI"/>
      <color rgb="000F172A"/>
      <sz val="10"/>
    </font>
    <font>
      <name val="Segoe UI"/>
      <b val="1"/>
      <color rgb="00FFFFFF"/>
      <sz val="14"/>
    </font>
    <font>
      <name val="Segoe UI"/>
      <color rgb="00C3D6EA"/>
      <sz val="10.5"/>
    </font>
    <font>
      <name val="Segoe UI"/>
      <b val="1"/>
      <color rgb="002563EB"/>
      <sz val="10.5"/>
    </font>
    <font>
      <name val="Segoe UI"/>
      <color rgb="0064748B"/>
      <sz val="10.5"/>
    </font>
    <font>
      <name val="Segoe UI"/>
      <b val="1"/>
      <color rgb="00FFFFFF"/>
      <sz val="10.5"/>
    </font>
    <font>
      <name val="Segoe UI"/>
      <color rgb="001D4ED8"/>
      <sz val="11"/>
    </font>
    <font>
      <name val="Segoe UI"/>
      <color rgb="000F172A"/>
      <sz val="11"/>
    </font>
    <font>
      <name val="Segoe UI"/>
      <b val="1"/>
      <color rgb="0017324D"/>
      <sz val="12"/>
    </font>
    <font>
      <name val="Segoe UI"/>
      <i val="1"/>
      <color rgb="0064748B"/>
      <sz val="10.5"/>
    </font>
    <font>
      <name val="Segoe UI"/>
      <b val="1"/>
      <color rgb="00FFFFFF"/>
      <sz val="11.5"/>
    </font>
    <font>
      <name val="Segoe UI"/>
      <b val="1"/>
      <color rgb="0017324D"/>
      <sz val="13"/>
    </font>
    <font>
      <name val="Segoe UI"/>
      <color rgb="0064748B"/>
      <sz val="10"/>
    </font>
    <font>
      <name val="Segoe UI"/>
      <color rgb="002563EB"/>
      <sz val="10.5"/>
    </font>
    <font>
      <name val="Segoe UI"/>
      <b val="1"/>
      <color rgb="0017324D"/>
      <sz val="11"/>
    </font>
    <font>
      <name val="Segoe UI"/>
      <b val="1"/>
      <color rgb="001D4ED8"/>
      <sz val="12"/>
    </font>
    <font>
      <name val="Segoe UI"/>
      <b val="1"/>
      <color rgb="0064748B"/>
      <sz val="11"/>
    </font>
    <font>
      <name val="Segoe UI"/>
      <b val="1"/>
      <color rgb="0017324D"/>
      <sz val="17"/>
    </font>
    <font>
      <name val="Segoe UI"/>
      <b val="1"/>
      <color rgb="000F172A"/>
      <sz val="14"/>
    </font>
    <font>
      <name val="Segoe UI"/>
      <b val="1"/>
      <color rgb="0064748B"/>
      <sz val="10"/>
    </font>
    <font>
      <name val="Segoe UI"/>
      <b val="1"/>
      <color rgb="0017324D"/>
      <sz val="15"/>
    </font>
    <font>
      <name val="Segoe UI"/>
      <b val="1"/>
      <color rgb="000F6E56"/>
      <sz val="15"/>
    </font>
    <font>
      <name val="Segoe UI"/>
      <b val="1"/>
      <color rgb="00A32D2D"/>
      <sz val="15"/>
    </font>
    <font>
      <name val="Segoe UI"/>
      <i val="1"/>
      <color rgb="0064748B"/>
      <sz val="10"/>
    </font>
    <font>
      <name val="Segoe UI"/>
      <b val="1"/>
      <color rgb="0017324D"/>
      <sz val="18"/>
    </font>
    <font>
      <name val="Segoe UI"/>
      <i val="1"/>
      <color rgb="0064748B"/>
      <sz val="11"/>
    </font>
    <font>
      <name val="Segoe UI"/>
      <b val="1"/>
      <color rgb="001D4ED8"/>
      <sz val="14"/>
    </font>
    <font>
      <name val="Segoe UI"/>
      <b val="1"/>
      <color rgb="001D4ED8"/>
      <sz val="11"/>
    </font>
    <font>
      <name val="Segoe UI"/>
      <b val="1"/>
      <color rgb="000F172A"/>
      <sz val="11"/>
    </font>
    <font>
      <name val="Segoe UI"/>
      <b val="1"/>
      <color rgb="0017324D"/>
      <sz val="14"/>
    </font>
    <font>
      <name val="Segoe UI"/>
      <b val="1"/>
      <color rgb="000F6E56"/>
      <sz val="14"/>
    </font>
    <font>
      <name val="Segoe UI"/>
      <b val="1"/>
      <color rgb="000F6E56"/>
      <sz val="11"/>
    </font>
    <font>
      <name val="Segoe UI"/>
      <b val="1"/>
      <color rgb="00854F0B"/>
      <sz val="14"/>
    </font>
    <font>
      <name val="Segoe UI"/>
      <b val="1"/>
      <color rgb="00854F0B"/>
      <sz val="11"/>
    </font>
    <font>
      <name val="Segoe UI"/>
      <b val="1"/>
      <color rgb="00A32D2D"/>
      <sz val="14"/>
    </font>
    <font>
      <name val="Segoe UI"/>
      <b val="1"/>
      <color rgb="00A32D2D"/>
      <sz val="11"/>
    </font>
    <font>
      <name val="Segoe UI"/>
      <b val="1"/>
      <color rgb="0064748B"/>
      <sz val="14"/>
    </font>
    <font>
      <name val="Segoe UI"/>
      <b val="1"/>
      <color rgb="002563EB"/>
      <sz val="11"/>
    </font>
    <font>
      <name val="Segoe UI"/>
      <b val="1"/>
      <color rgb="000F766E"/>
      <sz val="14"/>
    </font>
    <font>
      <name val="Segoe UI"/>
      <b val="1"/>
      <color rgb="006A4C93"/>
      <sz val="14"/>
    </font>
    <font>
      <name val="Segoe UI"/>
      <b val="1"/>
      <color rgb="001565C0"/>
      <sz val="14"/>
    </font>
    <font>
      <name val="Segoe UI"/>
      <b val="1"/>
      <color rgb="00D97706"/>
      <sz val="14"/>
    </font>
    <font>
      <name val="Segoe UI"/>
      <b val="1"/>
      <color rgb="000E7490"/>
      <sz val="14"/>
    </font>
    <font>
      <name val="Segoe UI"/>
      <b val="1"/>
      <color rgb="000369A1"/>
      <sz val="14"/>
    </font>
    <font>
      <name val="Segoe UI"/>
      <b val="1"/>
      <color rgb="0015803D"/>
      <sz val="14"/>
    </font>
    <font>
      <name val="Segoe UI"/>
      <b val="1"/>
      <color rgb="007E22CE"/>
      <sz val="14"/>
    </font>
    <font>
      <name val="Segoe UI"/>
      <b val="1"/>
      <color rgb="00991B1B"/>
      <sz val="14"/>
    </font>
    <font>
      <name val="Segoe UI"/>
      <b val="1"/>
      <color rgb="00C6A15B"/>
      <sz val="13"/>
    </font>
    <font>
      <name val="Segoe UI"/>
      <color rgb="00A32D2D"/>
      <sz val="11"/>
    </font>
    <font>
      <name val="Segoe UI"/>
      <color rgb="00C6A15B"/>
      <sz val="11"/>
    </font>
    <font>
      <name val="Segoe UI"/>
      <b val="1"/>
      <color rgb="00C6A15B"/>
      <sz val="12"/>
    </font>
    <font>
      <name val="Segoe UI"/>
      <b val="1"/>
      <color rgb="00C6A15B"/>
      <sz val="9.5"/>
    </font>
    <font>
      <name val="Segoe UI"/>
      <color rgb="00C3D6EA"/>
      <sz val="11.5"/>
    </font>
    <font>
      <name val="Segoe UI"/>
      <b val="1"/>
      <color rgb="0064748B"/>
      <sz val="10.5"/>
    </font>
    <font>
      <name val="Segoe UI"/>
      <b val="1"/>
      <color rgb="000F172A"/>
      <sz val="16"/>
    </font>
    <font>
      <name val="Segoe UI"/>
      <b val="1"/>
      <color rgb="0017324D"/>
      <sz val="11.5"/>
    </font>
    <font>
      <name val="Segoe UI"/>
      <b val="1"/>
      <color rgb="001D4ED8"/>
      <sz val="12.5"/>
    </font>
    <font>
      <name val="Segoe UI"/>
      <color rgb="0064748B"/>
      <sz val="11"/>
    </font>
    <font>
      <name val="Segoe UI"/>
      <color rgb="000F172A"/>
      <sz val="11.5"/>
    </font>
    <font>
      <name val="Segoe UI"/>
      <b val="1"/>
      <color rgb="000F172A"/>
      <sz val="11.5"/>
    </font>
    <font>
      <name val="Segoe UI"/>
      <b val="1"/>
      <color rgb="00A32D2D"/>
      <sz val="13"/>
    </font>
    <font>
      <name val="Segoe UI"/>
      <b val="1"/>
      <color rgb="00854F0B"/>
      <sz val="13"/>
    </font>
    <font>
      <name val="Segoe UI"/>
      <b val="1"/>
      <color rgb="00185FA5"/>
      <sz val="13"/>
    </font>
    <font>
      <name val="Segoe UI"/>
      <color theme="1"/>
      <sz val="11"/>
    </font>
  </fonts>
  <fills count="2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F2942"/>
      </patternFill>
    </fill>
    <fill>
      <patternFill patternType="solid">
        <fgColor rgb="00F4F6F9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E8F0FA"/>
      </patternFill>
    </fill>
    <fill>
      <patternFill patternType="solid">
        <fgColor rgb="001D3B58"/>
      </patternFill>
    </fill>
    <fill>
      <patternFill patternType="solid">
        <fgColor rgb="000F6E56"/>
      </patternFill>
    </fill>
    <fill>
      <patternFill patternType="solid">
        <fgColor rgb="00E7F5EF"/>
      </patternFill>
    </fill>
    <fill>
      <patternFill patternType="solid">
        <fgColor rgb="00FDF3E3"/>
      </patternFill>
    </fill>
    <fill>
      <patternFill patternType="solid">
        <fgColor rgb="00FBECEC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6A4C93"/>
      </patternFill>
    </fill>
    <fill>
      <patternFill patternType="solid">
        <fgColor rgb="001565C0"/>
      </patternFill>
    </fill>
    <fill>
      <patternFill patternType="solid">
        <fgColor rgb="00D97706"/>
      </patternFill>
    </fill>
    <fill>
      <patternFill patternType="solid">
        <fgColor rgb="001D4ED8"/>
      </patternFill>
    </fill>
    <fill>
      <patternFill patternType="solid">
        <fgColor rgb="000E7490"/>
      </patternFill>
    </fill>
    <fill>
      <patternFill patternType="solid">
        <fgColor rgb="00A32D2D"/>
      </patternFill>
    </fill>
    <fill>
      <patternFill patternType="solid">
        <fgColor rgb="000369A1"/>
      </patternFill>
    </fill>
    <fill>
      <patternFill patternType="solid">
        <fgColor rgb="0015803D"/>
      </patternFill>
    </fill>
    <fill>
      <patternFill patternType="solid">
        <fgColor rgb="007E22CE"/>
      </patternFill>
    </fill>
    <fill>
      <patternFill patternType="solid">
        <fgColor rgb="00991B1B"/>
      </patternFill>
    </fill>
    <fill>
      <patternFill patternType="solid">
        <fgColor rgb="002563EB"/>
      </patternFill>
    </fill>
  </fills>
  <borders count="62">
    <border>
      <left/>
      <right/>
      <top/>
      <bottom/>
      <diagonal/>
    </border>
    <border>
      <bottom style="medium">
        <color rgb="00C6A15B"/>
      </bottom>
    </border>
    <border>
      <bottom style="thin">
        <color rgb="00E2E8F0"/>
      </bottom>
    </border>
    <border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medium">
        <color rgb="00C6A15B"/>
      </top>
      <bottom style="thin">
        <color rgb="00E2E8F0"/>
      </bottom>
    </border>
    <border>
      <top style="medium">
        <color rgb="00C6A15B"/>
      </top>
    </border>
    <border>
      <left style="thin">
        <color rgb="00E2E8F0"/>
      </left>
      <right style="thin">
        <color rgb="00E2E8F0"/>
      </right>
      <top style="medium">
        <color rgb="0017324D"/>
      </top>
    </border>
    <border>
      <left style="thin">
        <color rgb="00E2E8F0"/>
      </left>
      <right style="thin">
        <color rgb="00E2E8F0"/>
      </right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0F6E56"/>
      </top>
    </border>
    <border>
      <left style="thin">
        <color rgb="00E2E8F0"/>
      </left>
      <right style="thin">
        <color rgb="00E2E8F0"/>
      </right>
      <top style="medium">
        <color rgb="00A32D2D"/>
      </top>
    </border>
    <border>
      <top style="medium">
        <color rgb="00C6A15B"/>
      </top>
      <bottom style="medium">
        <color rgb="00C6A15B"/>
      </bottom>
    </border>
    <border>
      <top style="thin">
        <color rgb="00C6A15B"/>
      </top>
    </border>
    <border>
      <top style="thin">
        <color rgb="00CBD5E1"/>
      </top>
    </border>
    <border>
      <left/>
      <right/>
      <top/>
      <bottom style="thin">
        <color rgb="00E2E8F0"/>
      </bottom>
      <diagonal/>
    </border>
    <border>
      <left style="thin">
        <color rgb="00E2E8F0"/>
      </left>
      <bottom style="thin">
        <color rgb="00E2E8F0"/>
      </bottom>
    </border>
    <border>
      <right style="thin">
        <color rgb="00E2E8F0"/>
      </right>
      <bottom style="thin">
        <color rgb="00E2E8F0"/>
      </bottom>
    </border>
    <border>
      <left style="thick">
        <color rgb="00C6A15B"/>
      </left>
    </border>
    <border>
      <left style="thick">
        <color rgb="001D3B58"/>
      </left>
    </border>
    <border>
      <left style="thin">
        <color rgb="00E2E8F0"/>
      </left>
      <right style="thin">
        <color rgb="00E2E8F0"/>
      </right>
      <top style="medium">
        <color rgb="00185FA5"/>
      </top>
    </border>
    <border>
      <left style="thin">
        <color rgb="00E2E8F0"/>
      </left>
      <right style="thin">
        <color rgb="00E2E8F0"/>
      </right>
    </border>
    <border>
      <left style="thin">
        <color rgb="00E2E8F0"/>
      </left>
      <right style="thin">
        <color rgb="00E2E8F0"/>
      </right>
      <top style="medium">
        <color rgb="00854F0B"/>
      </top>
    </border>
    <border>
      <left style="thin">
        <color rgb="00E2E8F0"/>
      </left>
      <top style="medium">
        <color rgb="002563EB"/>
      </top>
      <bottom style="thin">
        <color rgb="00E2E8F0"/>
      </bottom>
    </border>
    <border>
      <right style="thin">
        <color rgb="00E2E8F0"/>
      </right>
      <top style="medium">
        <color rgb="002563EB"/>
      </top>
      <bottom style="thin">
        <color rgb="00E2E8F0"/>
      </bottom>
    </border>
    <border/>
    <border>
      <left style="thin">
        <color rgb="00E2E8F0"/>
      </left>
      <top style="medium">
        <color rgb="0017324D"/>
      </top>
      <bottom style="thin">
        <color rgb="00E2E8F0"/>
      </bottom>
    </border>
    <border>
      <right style="thin">
        <color rgb="00E2E8F0"/>
      </right>
      <top style="medium">
        <color rgb="0017324D"/>
      </top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 style="thin">
        <color rgb="00E2E8F0"/>
      </left>
      <right style="thin">
        <color rgb="00E2E8F0"/>
      </right>
      <bottom/>
    </border>
    <border>
      <left style="thin">
        <color rgb="00E2E8F0"/>
      </left>
      <right/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7324D"/>
      </top>
      <bottom/>
    </border>
    <border>
      <left/>
      <right/>
      <top style="medium">
        <color rgb="0017324D"/>
      </top>
      <bottom/>
      <diagonal/>
    </border>
    <border>
      <left/>
      <right style="thin">
        <color rgb="00E2E8F0"/>
      </right>
      <top style="medium">
        <color rgb="0017324D"/>
      </top>
      <bottom/>
      <diagonal/>
    </border>
    <border>
      <left style="thin">
        <color rgb="00E2E8F0"/>
      </left>
      <right/>
      <top style="medium">
        <color rgb="0017324D"/>
      </top>
      <bottom style="thin">
        <color rgb="00E2E8F0"/>
      </bottom>
    </border>
    <border>
      <left/>
      <right/>
      <top style="medium">
        <color rgb="0017324D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medium">
        <color rgb="000F6E56"/>
      </top>
      <bottom/>
    </border>
    <border>
      <left/>
      <right/>
      <top style="medium">
        <color rgb="000F6E56"/>
      </top>
      <bottom/>
      <diagonal/>
    </border>
    <border>
      <left/>
      <right style="thin">
        <color rgb="00E2E8F0"/>
      </right>
      <top style="medium">
        <color rgb="000F6E56"/>
      </top>
      <bottom/>
      <diagonal/>
    </border>
    <border>
      <left style="thin">
        <color rgb="00E2E8F0"/>
      </left>
      <right style="thin">
        <color rgb="00E2E8F0"/>
      </right>
      <top style="medium">
        <color rgb="00185FA5"/>
      </top>
      <bottom/>
    </border>
    <border>
      <left/>
      <right/>
      <top style="medium">
        <color rgb="00185FA5"/>
      </top>
      <bottom/>
      <diagonal/>
    </border>
    <border>
      <left/>
      <right style="thin">
        <color rgb="00E2E8F0"/>
      </right>
      <top style="medium">
        <color rgb="00185FA5"/>
      </top>
      <bottom/>
      <diagonal/>
    </border>
    <border>
      <left/>
      <right/>
      <top style="medium">
        <color rgb="002563EB"/>
      </top>
      <bottom/>
      <diagonal/>
    </border>
    <border>
      <left/>
      <right style="thin">
        <color rgb="00E2E8F0"/>
      </right>
      <top style="medium">
        <color rgb="002563EB"/>
      </top>
      <bottom/>
      <diagonal/>
    </border>
    <border>
      <left/>
      <right/>
      <top style="medium">
        <color rgb="002563EB"/>
      </top>
      <bottom style="thin">
        <color rgb="00E2E8F0"/>
      </bottom>
      <diagonal/>
    </border>
    <border>
      <left/>
      <right style="thin">
        <color rgb="00E2E8F0"/>
      </right>
      <top style="medium">
        <color rgb="002563EB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medium">
        <color rgb="00A32D2D"/>
      </top>
      <bottom/>
    </border>
    <border>
      <left/>
      <right/>
      <top style="medium">
        <color rgb="00A32D2D"/>
      </top>
      <bottom/>
      <diagonal/>
    </border>
    <border>
      <left/>
      <right style="thin">
        <color rgb="00E2E8F0"/>
      </right>
      <top style="medium">
        <color rgb="00A32D2D"/>
      </top>
      <bottom/>
      <diagonal/>
    </border>
    <border>
      <left style="thin">
        <color rgb="00E2E8F0"/>
      </left>
      <right/>
      <top style="medium">
        <color rgb="002563EB"/>
      </top>
      <bottom style="thin">
        <color rgb="00E2E8F0"/>
      </bottom>
    </border>
    <border>
      <left/>
      <right/>
      <top/>
      <bottom style="medium">
        <color rgb="00C6A15B"/>
      </bottom>
      <diagonal/>
    </border>
    <border>
      <left style="thin">
        <color rgb="00E2E8F0"/>
      </left>
      <right style="thin">
        <color rgb="00E2E8F0"/>
      </right>
      <top style="medium">
        <color rgb="00854F0B"/>
      </top>
      <bottom/>
    </border>
    <border>
      <left/>
      <right/>
      <top style="medium">
        <color rgb="00854F0B"/>
      </top>
      <bottom/>
      <diagonal/>
    </border>
    <border>
      <left/>
      <right style="thin">
        <color rgb="00E2E8F0"/>
      </right>
      <top style="medium">
        <color rgb="00854F0B"/>
      </top>
      <bottom/>
      <diagonal/>
    </border>
    <border>
      <right/>
      <bottom style="thin">
        <color rgb="00E2E8F0"/>
      </bottom>
    </border>
    <border>
      <right/>
      <bottom style="medium">
        <color rgb="00C6A15B"/>
      </bottom>
    </border>
    <border>
      <left/>
      <right/>
      <top style="medium">
        <color rgb="00C6A15B"/>
      </top>
      <bottom/>
      <diagonal/>
    </border>
    <border>
      <left/>
      <right/>
      <top style="medium">
        <color rgb="00C6A15B"/>
      </top>
      <bottom style="medium">
        <color rgb="00C6A15B"/>
      </bottom>
      <diagonal/>
    </border>
    <border>
      <left/>
      <right/>
      <top style="thin">
        <color rgb="00CBD5E1"/>
      </top>
      <bottom/>
      <diagonal/>
    </border>
    <border>
      <left/>
      <right style="thin">
        <color rgb="00E2E8F0"/>
      </right>
      <top style="medium">
        <color rgb="00C6A15B"/>
      </top>
      <bottom/>
      <diagonal/>
    </border>
    <border>
      <left/>
      <right/>
      <top style="medium">
        <color rgb="00C6A15B"/>
      </top>
      <bottom style="thin">
        <color rgb="00E2E8F0"/>
      </bottom>
      <diagonal/>
    </border>
    <border>
      <left/>
      <right style="thin">
        <color rgb="00E2E8F0"/>
      </right>
      <top style="medium">
        <color rgb="00C6A15B"/>
      </top>
      <bottom style="thin">
        <color rgb="00E2E8F0"/>
      </bottom>
      <diagonal/>
    </border>
    <border>
      <left/>
      <right/>
      <top style="thin">
        <color rgb="00C6A15B"/>
      </top>
      <bottom/>
      <diagonal/>
    </border>
  </borders>
  <cellStyleXfs count="1">
    <xf numFmtId="0" fontId="1" fillId="0" borderId="0"/>
  </cellStyleXfs>
  <cellXfs count="251">
    <xf numFmtId="0" fontId="0" fillId="0" borderId="0" pivotButton="0" quotePrefix="0" xfId="0"/>
    <xf numFmtId="0" fontId="2" fillId="2" borderId="1" applyAlignment="1" pivotButton="0" quotePrefix="0" xfId="0">
      <alignment horizontal="left" vertical="center" indent="2"/>
    </xf>
    <xf numFmtId="0" fontId="2" fillId="2" borderId="1" pivotButton="0" quotePrefix="0" xfId="0"/>
    <xf numFmtId="0" fontId="64" fillId="0" borderId="0" pivotButton="0" quotePrefix="0" xfId="0"/>
    <xf numFmtId="0" fontId="3" fillId="3" borderId="0" applyAlignment="1" pivotButton="0" quotePrefix="0" xfId="0">
      <alignment horizontal="left" vertical="center" indent="2"/>
    </xf>
    <xf numFmtId="0" fontId="3" fillId="3" borderId="0" pivotButton="0" quotePrefix="0" xfId="0"/>
    <xf numFmtId="0" fontId="64" fillId="4" borderId="0" pivotButton="0" quotePrefix="0" xfId="0"/>
    <xf numFmtId="0" fontId="5" fillId="4" borderId="0" applyAlignment="1" pivotButton="0" quotePrefix="0" xfId="0">
      <alignment horizontal="left" vertical="center" indent="1"/>
    </xf>
    <xf numFmtId="0" fontId="52" fillId="8" borderId="0" applyAlignment="1" pivotButton="0" quotePrefix="0" xfId="0">
      <alignment horizontal="left" vertical="center" indent="1"/>
    </xf>
    <xf numFmtId="0" fontId="54" fillId="6" borderId="18" applyAlignment="1" pivotButton="0" quotePrefix="0" xfId="0">
      <alignment horizontal="left" vertical="center" indent="1"/>
    </xf>
    <xf numFmtId="0" fontId="54" fillId="6" borderId="0" pivotButton="0" quotePrefix="0" xfId="0"/>
    <xf numFmtId="0" fontId="54" fillId="6" borderId="6" applyAlignment="1" pivotButton="0" quotePrefix="0" xfId="0">
      <alignment horizontal="left" vertical="center" indent="1"/>
    </xf>
    <xf numFmtId="0" fontId="54" fillId="6" borderId="9" applyAlignment="1" pivotButton="0" quotePrefix="0" xfId="0">
      <alignment horizontal="left" vertical="center" indent="1"/>
    </xf>
    <xf numFmtId="0" fontId="54" fillId="6" borderId="8" applyAlignment="1" pivotButton="0" quotePrefix="0" xfId="0">
      <alignment horizontal="left" vertical="center" indent="1"/>
    </xf>
    <xf numFmtId="0" fontId="11" fillId="25" borderId="16" applyAlignment="1" pivotButton="0" quotePrefix="0" xfId="0">
      <alignment horizontal="left" vertical="center" indent="1"/>
    </xf>
    <xf numFmtId="164" fontId="55" fillId="6" borderId="19" applyAlignment="1" pivotButton="0" quotePrefix="0" xfId="0">
      <alignment horizontal="left" vertical="center" indent="1"/>
    </xf>
    <xf numFmtId="0" fontId="55" fillId="6" borderId="0" pivotButton="0" quotePrefix="0" xfId="0"/>
    <xf numFmtId="165" fontId="55" fillId="6" borderId="19" applyAlignment="1" pivotButton="0" quotePrefix="0" xfId="0">
      <alignment horizontal="left" vertical="center" indent="1"/>
    </xf>
    <xf numFmtId="0" fontId="53" fillId="8" borderId="17" applyAlignment="1" pivotButton="0" quotePrefix="0" xfId="0">
      <alignment horizontal="left" vertical="center" indent="1"/>
    </xf>
    <xf numFmtId="0" fontId="5" fillId="6" borderId="7" applyAlignment="1" pivotButton="0" quotePrefix="0" xfId="0">
      <alignment horizontal="left" vertical="center" indent="1"/>
    </xf>
    <xf numFmtId="0" fontId="5" fillId="6" borderId="0" pivotButton="0" quotePrefix="0" xfId="0"/>
    <xf numFmtId="0" fontId="54" fillId="6" borderId="20" applyAlignment="1" pivotButton="0" quotePrefix="0" xfId="0">
      <alignment horizontal="left" vertical="center" indent="1"/>
    </xf>
    <xf numFmtId="0" fontId="56" fillId="4" borderId="1" applyAlignment="1" pivotButton="0" quotePrefix="0" xfId="0">
      <alignment horizontal="left" vertical="center"/>
    </xf>
    <xf numFmtId="0" fontId="64" fillId="8" borderId="0" pivotButton="0" quotePrefix="0" xfId="0"/>
    <xf numFmtId="0" fontId="56" fillId="6" borderId="21" applyAlignment="1" pivotButton="0" quotePrefix="0" xfId="0">
      <alignment horizontal="left" vertical="center" indent="1"/>
    </xf>
    <xf numFmtId="0" fontId="56" fillId="6" borderId="0" pivotButton="0" quotePrefix="0" xfId="0"/>
    <xf numFmtId="0" fontId="57" fillId="5" borderId="22" applyAlignment="1" applyProtection="1" pivotButton="0" quotePrefix="0" xfId="0">
      <alignment horizontal="left" vertical="center" indent="1"/>
      <protection locked="0" hidden="0"/>
    </xf>
    <xf numFmtId="0" fontId="57" fillId="5" borderId="0" pivotButton="0" quotePrefix="0" xfId="0"/>
    <xf numFmtId="0" fontId="8" fillId="6" borderId="24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164" fontId="61" fillId="6" borderId="25" applyAlignment="1" pivotButton="0" quotePrefix="0" xfId="0">
      <alignment horizontal="center" vertical="center"/>
    </xf>
    <xf numFmtId="0" fontId="58" fillId="6" borderId="23" applyAlignment="1" pivotButton="0" quotePrefix="0" xfId="0">
      <alignment horizontal="left" vertical="center" indent="1"/>
    </xf>
    <xf numFmtId="0" fontId="59" fillId="6" borderId="23" applyAlignment="1" pivotButton="0" quotePrefix="0" xfId="0">
      <alignment horizontal="left" vertical="center" indent="1"/>
    </xf>
    <xf numFmtId="0" fontId="8" fillId="6" borderId="14" applyAlignment="1" pivotButton="0" quotePrefix="0" xfId="0">
      <alignment horizontal="left" vertical="center" indent="1"/>
    </xf>
    <xf numFmtId="164" fontId="62" fillId="6" borderId="15" applyAlignment="1" pivotButton="0" quotePrefix="0" xfId="0">
      <alignment horizontal="center" vertical="center"/>
    </xf>
    <xf numFmtId="164" fontId="63" fillId="6" borderId="15" applyAlignment="1" pivotButton="0" quotePrefix="0" xfId="0">
      <alignment horizontal="center" vertical="center"/>
    </xf>
    <xf numFmtId="166" fontId="59" fillId="6" borderId="23" applyAlignment="1" pivotButton="0" quotePrefix="0" xfId="0">
      <alignment horizontal="right" vertical="center" indent="1"/>
    </xf>
    <xf numFmtId="0" fontId="59" fillId="6" borderId="23" applyAlignment="1" pivotButton="0" quotePrefix="0" xfId="0">
      <alignment horizontal="right" vertical="center" indent="1"/>
    </xf>
    <xf numFmtId="164" fontId="61" fillId="6" borderId="15" applyAlignment="1" pivotButton="0" quotePrefix="0" xfId="0">
      <alignment horizontal="center" vertical="center"/>
    </xf>
    <xf numFmtId="166" fontId="60" fillId="6" borderId="23" applyAlignment="1" pivotButton="0" quotePrefix="0" xfId="0">
      <alignment horizontal="right" vertical="center" indent="1"/>
    </xf>
    <xf numFmtId="0" fontId="60" fillId="6" borderId="23" applyAlignment="1" pivotButton="0" quotePrefix="0" xfId="0">
      <alignment horizontal="right" vertical="center" indent="1"/>
    </xf>
    <xf numFmtId="167" fontId="59" fillId="6" borderId="23" applyAlignment="1" pivotButton="0" quotePrefix="0" xfId="0">
      <alignment horizontal="right" vertical="center" indent="1"/>
    </xf>
    <xf numFmtId="168" fontId="59" fillId="6" borderId="23" applyAlignment="1" pivotButton="0" quotePrefix="0" xfId="0">
      <alignment horizontal="right" vertical="center" indent="1"/>
    </xf>
    <xf numFmtId="0" fontId="1" fillId="6" borderId="23" applyAlignment="1" pivotButton="0" quotePrefix="0" xfId="0">
      <alignment horizontal="left" vertical="center" wrapText="1" indent="1"/>
    </xf>
    <xf numFmtId="0" fontId="1" fillId="6" borderId="23" applyAlignment="1" pivotButton="0" quotePrefix="0" xfId="0">
      <alignment horizontal="left" vertical="center" indent="1"/>
    </xf>
    <xf numFmtId="0" fontId="64" fillId="2" borderId="0" pivotButton="0" quotePrefix="0" xfId="0"/>
    <xf numFmtId="0" fontId="64" fillId="3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25" fillId="4" borderId="0" applyAlignment="1" pivotButton="0" quotePrefix="0" xfId="0">
      <alignment horizontal="left" vertical="center"/>
    </xf>
    <xf numFmtId="0" fontId="25" fillId="0" borderId="0" pivotButton="0" quotePrefix="0" xfId="0"/>
    <xf numFmtId="0" fontId="26" fillId="4" borderId="0" applyAlignment="1" pivotButton="0" quotePrefix="0" xfId="0">
      <alignment horizontal="left" vertical="center"/>
    </xf>
    <xf numFmtId="0" fontId="26" fillId="0" borderId="0" pivotButton="0" quotePrefix="0" xfId="0"/>
    <xf numFmtId="0" fontId="9" fillId="4" borderId="1" applyAlignment="1" pivotButton="0" quotePrefix="0" xfId="0">
      <alignment horizontal="left" vertical="center"/>
    </xf>
    <xf numFmtId="0" fontId="9" fillId="0" borderId="0" pivotButton="0" quotePrefix="0" xfId="0"/>
    <xf numFmtId="0" fontId="6" fillId="8" borderId="0" applyAlignment="1" pivotButton="0" quotePrefix="0" xfId="0">
      <alignment horizontal="left" vertical="center" indent="1"/>
    </xf>
    <xf numFmtId="0" fontId="15" fillId="6" borderId="14" applyAlignment="1" pivotButton="0" quotePrefix="0" xfId="0">
      <alignment horizontal="left" vertical="center" wrapText="1" indent="1"/>
    </xf>
    <xf numFmtId="0" fontId="15" fillId="0" borderId="13" pivotButton="0" quotePrefix="0" xfId="0"/>
    <xf numFmtId="0" fontId="8" fillId="6" borderId="15" applyAlignment="1" pivotButton="0" quotePrefix="0" xfId="0">
      <alignment horizontal="left" vertical="center" wrapText="1" indent="1"/>
    </xf>
    <xf numFmtId="0" fontId="8" fillId="0" borderId="13" pivotButton="0" quotePrefix="0" xfId="0"/>
    <xf numFmtId="0" fontId="27" fillId="5" borderId="7" applyAlignment="1" pivotButton="0" quotePrefix="0" xfId="0">
      <alignment horizontal="center" vertical="center"/>
    </xf>
    <xf numFmtId="0" fontId="28" fillId="6" borderId="2" applyAlignment="1" pivotButton="0" quotePrefix="0" xfId="0">
      <alignment horizontal="left" vertical="center" wrapText="1" indent="1"/>
    </xf>
    <xf numFmtId="0" fontId="28" fillId="0" borderId="13" pivotButton="0" quotePrefix="0" xfId="0"/>
    <xf numFmtId="0" fontId="8" fillId="6" borderId="2" applyAlignment="1" pivotButton="0" quotePrefix="0" xfId="0">
      <alignment horizontal="left" vertical="center" wrapText="1" indent="1"/>
    </xf>
    <xf numFmtId="0" fontId="19" fillId="6" borderId="7" applyAlignment="1" pivotButton="0" quotePrefix="0" xfId="0">
      <alignment horizontal="center" vertical="center"/>
    </xf>
    <xf numFmtId="0" fontId="29" fillId="6" borderId="2" applyAlignment="1" pivotButton="0" quotePrefix="0" xfId="0">
      <alignment horizontal="left" vertical="center" wrapText="1" indent="1"/>
    </xf>
    <xf numFmtId="0" fontId="29" fillId="0" borderId="13" pivotButton="0" quotePrefix="0" xfId="0"/>
    <xf numFmtId="0" fontId="2" fillId="2" borderId="7" applyAlignment="1" pivotButton="0" quotePrefix="0" xfId="0">
      <alignment horizontal="center" vertical="center"/>
    </xf>
    <xf numFmtId="0" fontId="15" fillId="6" borderId="2" applyAlignment="1" pivotButton="0" quotePrefix="0" xfId="0">
      <alignment horizontal="left" vertical="center" wrapText="1" indent="1"/>
    </xf>
    <xf numFmtId="0" fontId="30" fillId="7" borderId="7" applyAlignment="1" pivotButton="0" quotePrefix="0" xfId="0">
      <alignment horizontal="center" vertical="center"/>
    </xf>
    <xf numFmtId="0" fontId="31" fillId="10" borderId="7" applyAlignment="1" pivotButton="0" quotePrefix="0" xfId="0">
      <alignment horizontal="center" vertical="center"/>
    </xf>
    <xf numFmtId="0" fontId="32" fillId="6" borderId="2" applyAlignment="1" pivotButton="0" quotePrefix="0" xfId="0">
      <alignment horizontal="left" vertical="center" wrapText="1" indent="1"/>
    </xf>
    <xf numFmtId="0" fontId="32" fillId="0" borderId="13" pivotButton="0" quotePrefix="0" xfId="0"/>
    <xf numFmtId="0" fontId="33" fillId="11" borderId="7" applyAlignment="1" pivotButton="0" quotePrefix="0" xfId="0">
      <alignment horizontal="center" vertical="center"/>
    </xf>
    <xf numFmtId="0" fontId="34" fillId="6" borderId="2" applyAlignment="1" pivotButton="0" quotePrefix="0" xfId="0">
      <alignment horizontal="left" vertical="center" wrapText="1" indent="1"/>
    </xf>
    <xf numFmtId="0" fontId="34" fillId="0" borderId="13" pivotButton="0" quotePrefix="0" xfId="0"/>
    <xf numFmtId="0" fontId="35" fillId="12" borderId="7" applyAlignment="1" pivotButton="0" quotePrefix="0" xfId="0">
      <alignment horizontal="center" vertical="center"/>
    </xf>
    <xf numFmtId="0" fontId="36" fillId="6" borderId="2" applyAlignment="1" pivotButton="0" quotePrefix="0" xfId="0">
      <alignment horizontal="left" vertical="center" wrapText="1" indent="1"/>
    </xf>
    <xf numFmtId="0" fontId="36" fillId="0" borderId="13" pivotButton="0" quotePrefix="0" xfId="0"/>
    <xf numFmtId="0" fontId="37" fillId="13" borderId="7" applyAlignment="1" pivotButton="0" quotePrefix="0" xfId="0">
      <alignment horizontal="center" vertical="center"/>
    </xf>
    <xf numFmtId="0" fontId="17" fillId="6" borderId="2" applyAlignment="1" pivotButton="0" quotePrefix="0" xfId="0">
      <alignment horizontal="left" vertical="center" wrapText="1" indent="1"/>
    </xf>
    <xf numFmtId="0" fontId="17" fillId="0" borderId="13" pivotButton="0" quotePrefix="0" xfId="0"/>
    <xf numFmtId="0" fontId="30" fillId="2" borderId="7" applyAlignment="1" pivotButton="0" quotePrefix="0" xfId="0">
      <alignment horizontal="center" vertical="center"/>
    </xf>
    <xf numFmtId="0" fontId="38" fillId="6" borderId="2" applyAlignment="1" pivotButton="0" quotePrefix="0" xfId="0">
      <alignment horizontal="left" vertical="center" indent="1"/>
    </xf>
    <xf numFmtId="0" fontId="39" fillId="14" borderId="7" applyAlignment="1" pivotButton="0" quotePrefix="0" xfId="0">
      <alignment horizontal="center" vertical="center"/>
    </xf>
    <xf numFmtId="0" fontId="31" fillId="9" borderId="7" applyAlignment="1" pivotButton="0" quotePrefix="0" xfId="0">
      <alignment horizontal="center" vertical="center"/>
    </xf>
    <xf numFmtId="0" fontId="40" fillId="15" borderId="7" applyAlignment="1" pivotButton="0" quotePrefix="0" xfId="0">
      <alignment horizontal="center" vertical="center"/>
    </xf>
    <xf numFmtId="0" fontId="41" fillId="16" borderId="7" applyAlignment="1" pivotButton="0" quotePrefix="0" xfId="0">
      <alignment horizontal="center" vertical="center"/>
    </xf>
    <xf numFmtId="0" fontId="42" fillId="17" borderId="7" applyAlignment="1" pivotButton="0" quotePrefix="0" xfId="0">
      <alignment horizontal="center" vertical="center"/>
    </xf>
    <xf numFmtId="0" fontId="27" fillId="18" borderId="7" applyAlignment="1" pivotButton="0" quotePrefix="0" xfId="0">
      <alignment horizontal="center" vertical="center"/>
    </xf>
    <xf numFmtId="0" fontId="43" fillId="19" borderId="7" applyAlignment="1" pivotButton="0" quotePrefix="0" xfId="0">
      <alignment horizontal="center" vertical="center"/>
    </xf>
    <xf numFmtId="0" fontId="35" fillId="20" borderId="7" applyAlignment="1" pivotButton="0" quotePrefix="0" xfId="0">
      <alignment horizontal="center" vertical="center"/>
    </xf>
    <xf numFmtId="0" fontId="44" fillId="21" borderId="7" applyAlignment="1" pivotButton="0" quotePrefix="0" xfId="0">
      <alignment horizontal="center" vertical="center"/>
    </xf>
    <xf numFmtId="0" fontId="45" fillId="22" borderId="7" applyAlignment="1" pivotButton="0" quotePrefix="0" xfId="0">
      <alignment horizontal="center" vertical="center"/>
    </xf>
    <xf numFmtId="0" fontId="46" fillId="23" borderId="7" applyAlignment="1" pivotButton="0" quotePrefix="0" xfId="0">
      <alignment horizontal="center" vertical="center"/>
    </xf>
    <xf numFmtId="0" fontId="47" fillId="24" borderId="7" applyAlignment="1" pivotButton="0" quotePrefix="0" xfId="0">
      <alignment horizontal="center" vertical="center"/>
    </xf>
    <xf numFmtId="0" fontId="48" fillId="6" borderId="14" applyAlignment="1" pivotButton="0" quotePrefix="0" xfId="0">
      <alignment horizontal="center" vertical="center"/>
    </xf>
    <xf numFmtId="0" fontId="49" fillId="6" borderId="15" applyAlignment="1" pivotButton="0" quotePrefix="0" xfId="0">
      <alignment horizontal="left" vertical="center" wrapText="1" indent="1"/>
    </xf>
    <xf numFmtId="0" fontId="49" fillId="0" borderId="13" pivotButton="0" quotePrefix="0" xfId="0"/>
    <xf numFmtId="0" fontId="51" fillId="6" borderId="2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  <xf numFmtId="0" fontId="9" fillId="7" borderId="3" applyAlignment="1" pivotButton="0" quotePrefix="0" xfId="0">
      <alignment horizontal="right" vertical="center" indent="1"/>
    </xf>
    <xf numFmtId="0" fontId="9" fillId="7" borderId="3" applyAlignment="1" pivotButton="0" quotePrefix="0" xfId="0">
      <alignment horizontal="left" vertical="center" indent="1"/>
    </xf>
    <xf numFmtId="164" fontId="9" fillId="7" borderId="3" applyAlignment="1" pivotButton="0" quotePrefix="0" xfId="0">
      <alignment horizontal="right" vertical="center" indent="1"/>
    </xf>
    <xf numFmtId="166" fontId="9" fillId="7" borderId="3" applyAlignment="1" pivotButton="0" quotePrefix="0" xfId="0">
      <alignment horizontal="right" vertical="center" inden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right" vertical="center" wrapText="1"/>
    </xf>
    <xf numFmtId="0" fontId="7" fillId="5" borderId="2" applyAlignment="1" applyProtection="1" pivotButton="0" quotePrefix="0" xfId="0">
      <alignment horizontal="center" vertical="center"/>
      <protection locked="0" hidden="0"/>
    </xf>
    <xf numFmtId="0" fontId="7" fillId="5" borderId="2" applyAlignment="1" applyProtection="1" pivotButton="0" quotePrefix="0" xfId="0">
      <alignment horizontal="left" vertical="center" indent="1"/>
      <protection locked="0" hidden="0"/>
    </xf>
    <xf numFmtId="168" fontId="7" fillId="5" borderId="2" applyAlignment="1" applyProtection="1" pivotButton="0" quotePrefix="0" xfId="0">
      <alignment horizontal="right" vertical="center" indent="1"/>
      <protection locked="0" hidden="0"/>
    </xf>
    <xf numFmtId="166" fontId="7" fillId="5" borderId="2" applyAlignment="1" applyProtection="1" pivotButton="0" quotePrefix="0" xfId="0">
      <alignment horizontal="center" vertical="center"/>
      <protection locked="0" hidden="0"/>
    </xf>
    <xf numFmtId="168" fontId="7" fillId="5" borderId="2" applyAlignment="1" applyProtection="1" pivotButton="0" quotePrefix="0" xfId="0">
      <alignment horizontal="left" vertical="center" indent="1"/>
      <protection locked="0" hidden="0"/>
    </xf>
    <xf numFmtId="0" fontId="8" fillId="6" borderId="2" applyAlignment="1" pivotButton="0" quotePrefix="0" xfId="0">
      <alignment horizontal="center" vertical="center"/>
    </xf>
    <xf numFmtId="168" fontId="7" fillId="5" borderId="2" applyAlignment="1" applyProtection="1" pivotButton="0" quotePrefix="0" xfId="0">
      <alignment horizontal="center" vertical="center"/>
      <protection locked="0" hidden="0"/>
    </xf>
    <xf numFmtId="166" fontId="7" fillId="5" borderId="2" applyAlignment="1" applyProtection="1" pivotButton="0" quotePrefix="0" xfId="0">
      <alignment horizontal="right" vertical="center" indent="1"/>
      <protection locked="0" hidden="0"/>
    </xf>
    <xf numFmtId="166" fontId="8" fillId="6" borderId="2" applyAlignment="1" pivotButton="0" quotePrefix="0" xfId="0">
      <alignment horizontal="right" vertical="center" indent="1"/>
    </xf>
    <xf numFmtId="169" fontId="8" fillId="6" borderId="2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164" fontId="9" fillId="7" borderId="3" applyAlignment="1" pivotButton="0" quotePrefix="0" xfId="0">
      <alignment horizontal="center" vertical="center"/>
    </xf>
    <xf numFmtId="170" fontId="8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11" fillId="2" borderId="0" pivotButton="0" quotePrefix="0" xfId="0"/>
    <xf numFmtId="0" fontId="6" fillId="8" borderId="0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7" fontId="9" fillId="7" borderId="3" applyAlignment="1" pivotButton="0" quotePrefix="0" xfId="0">
      <alignment horizontal="center" vertical="center"/>
    </xf>
    <xf numFmtId="167" fontId="8" fillId="6" borderId="2" applyAlignment="1" pivotButton="0" quotePrefix="0" xfId="0">
      <alignment horizontal="center" vertical="center"/>
    </xf>
    <xf numFmtId="0" fontId="15" fillId="4" borderId="0" applyAlignment="1" pivotButton="0" quotePrefix="0" xfId="0">
      <alignment horizontal="right" vertical="center"/>
    </xf>
    <xf numFmtId="0" fontId="16" fillId="5" borderId="4" applyAlignment="1" applyProtection="1" pivotButton="0" quotePrefix="0" xfId="0">
      <alignment horizontal="left" vertical="center" indent="1"/>
      <protection locked="0" hidden="0"/>
    </xf>
    <xf numFmtId="0" fontId="16" fillId="5" borderId="0" pivotButton="0" quotePrefix="0" xfId="0"/>
    <xf numFmtId="0" fontId="17" fillId="4" borderId="0" applyAlignment="1" pivotButton="0" quotePrefix="0" xfId="0">
      <alignment horizontal="right" vertical="center" indent="1"/>
    </xf>
    <xf numFmtId="0" fontId="18" fillId="6" borderId="5" applyAlignment="1" pivotButton="0" quotePrefix="0" xfId="0">
      <alignment horizontal="left" vertical="center" indent="1"/>
    </xf>
    <xf numFmtId="0" fontId="18" fillId="6" borderId="5" pivotButton="0" quotePrefix="0" xfId="0"/>
    <xf numFmtId="0" fontId="19" fillId="6" borderId="5" applyAlignment="1" pivotButton="0" quotePrefix="0" xfId="0">
      <alignment horizontal="right" vertical="center" indent="1"/>
    </xf>
    <xf numFmtId="0" fontId="19" fillId="6" borderId="5" pivotButton="0" quotePrefix="0" xfId="0"/>
    <xf numFmtId="0" fontId="5" fillId="6" borderId="2" applyAlignment="1" pivotButton="0" quotePrefix="0" xfId="0">
      <alignment horizontal="left" vertical="center" indent="1"/>
    </xf>
    <xf numFmtId="0" fontId="5" fillId="6" borderId="2" pivotButton="0" quotePrefix="0" xfId="0"/>
    <xf numFmtId="0" fontId="5" fillId="6" borderId="2" applyAlignment="1" pivotButton="0" quotePrefix="0" xfId="0">
      <alignment horizontal="right" vertical="center" indent="1"/>
    </xf>
    <xf numFmtId="0" fontId="20" fillId="6" borderId="6" applyAlignment="1" pivotButton="0" quotePrefix="0" xfId="0">
      <alignment horizontal="left" vertical="center" indent="1"/>
    </xf>
    <xf numFmtId="0" fontId="20" fillId="6" borderId="0" pivotButton="0" quotePrefix="0" xfId="0"/>
    <xf numFmtId="0" fontId="20" fillId="6" borderId="8" applyAlignment="1" pivotButton="0" quotePrefix="0" xfId="0">
      <alignment horizontal="left" vertical="center" indent="1"/>
    </xf>
    <xf numFmtId="0" fontId="20" fillId="6" borderId="9" applyAlignment="1" pivotButton="0" quotePrefix="0" xfId="0">
      <alignment horizontal="left" vertical="center" indent="1"/>
    </xf>
    <xf numFmtId="166" fontId="21" fillId="6" borderId="7" applyAlignment="1" pivotButton="0" quotePrefix="0" xfId="0">
      <alignment horizontal="left" vertical="center" indent="1"/>
    </xf>
    <xf numFmtId="0" fontId="21" fillId="6" borderId="0" pivotButton="0" quotePrefix="0" xfId="0"/>
    <xf numFmtId="166" fontId="22" fillId="6" borderId="7" applyAlignment="1" pivotButton="0" quotePrefix="0" xfId="0">
      <alignment horizontal="left" vertical="center" indent="1"/>
    </xf>
    <xf numFmtId="0" fontId="22" fillId="6" borderId="0" pivotButton="0" quotePrefix="0" xfId="0"/>
    <xf numFmtId="166" fontId="23" fillId="6" borderId="7" applyAlignment="1" pivotButton="0" quotePrefix="0" xfId="0">
      <alignment horizontal="left" vertical="center" indent="1"/>
    </xf>
    <xf numFmtId="0" fontId="23" fillId="6" borderId="0" pivotButton="0" quotePrefix="0" xfId="0"/>
    <xf numFmtId="0" fontId="6" fillId="2" borderId="10" applyAlignment="1" pivotButton="0" quotePrefix="0" xfId="0">
      <alignment horizontal="left" vertical="center" indent="2"/>
    </xf>
    <xf numFmtId="0" fontId="6" fillId="2" borderId="10" pivotButton="0" quotePrefix="0" xfId="0"/>
    <xf numFmtId="0" fontId="6" fillId="9" borderId="10" applyAlignment="1" pivotButton="0" quotePrefix="0" xfId="0">
      <alignment horizontal="left" vertical="center" indent="2"/>
    </xf>
    <xf numFmtId="0" fontId="6" fillId="9" borderId="10" pivotButton="0" quotePrefix="0" xfId="0"/>
    <xf numFmtId="0" fontId="8" fillId="6" borderId="0" applyAlignment="1" pivotButton="0" quotePrefix="0" xfId="0">
      <alignment horizontal="center" vertical="center"/>
    </xf>
    <xf numFmtId="168" fontId="8" fillId="6" borderId="0" applyAlignment="1" pivotButton="0" quotePrefix="0" xfId="0">
      <alignment horizontal="center" vertical="center"/>
    </xf>
    <xf numFmtId="166" fontId="8" fillId="6" borderId="0" applyAlignment="1" pivotButton="0" quotePrefix="0" xfId="0">
      <alignment horizontal="right" vertical="center" indent="1"/>
    </xf>
    <xf numFmtId="0" fontId="24" fillId="4" borderId="11" applyAlignment="1" pivotButton="0" quotePrefix="0" xfId="0">
      <alignment horizontal="left" vertical="center" wrapText="1" indent="1"/>
    </xf>
    <xf numFmtId="0" fontId="24" fillId="4" borderId="11" pivotButton="0" quotePrefix="0" xfId="0"/>
    <xf numFmtId="0" fontId="20" fillId="4" borderId="12" applyAlignment="1" pivotButton="0" quotePrefix="0" xfId="0">
      <alignment horizontal="center" vertical="bottom"/>
    </xf>
    <xf numFmtId="0" fontId="20" fillId="4" borderId="12" pivotButton="0" quotePrefix="0" xfId="0"/>
    <xf numFmtId="166" fontId="12" fillId="7" borderId="3" applyAlignment="1" pivotButton="0" quotePrefix="0" xfId="0">
      <alignment horizontal="right" vertical="center" indent="1"/>
    </xf>
    <xf numFmtId="166" fontId="8" fillId="6" borderId="2" applyAlignment="1" pivotButton="0" quotePrefix="0" xfId="0">
      <alignment horizontal="left" vertical="center" indent="1"/>
    </xf>
    <xf numFmtId="166" fontId="7" fillId="5" borderId="2" applyAlignment="1" applyProtection="1" pivotButton="0" quotePrefix="0" xfId="0">
      <alignment horizontal="left" vertical="center" indent="1"/>
      <protection locked="0" hidden="0"/>
    </xf>
    <xf numFmtId="164" fontId="13" fillId="0" borderId="0" applyAlignment="1" pivotButton="0" quotePrefix="0" xfId="0">
      <alignment horizontal="center" vertical="center"/>
    </xf>
    <xf numFmtId="167" fontId="7" fillId="5" borderId="2" applyAlignment="1" applyProtection="1" pivotButton="0" quotePrefix="0" xfId="0">
      <alignment horizontal="center" vertical="center"/>
      <protection locked="0" hidden="0"/>
    </xf>
    <xf numFmtId="168" fontId="7" fillId="6" borderId="2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/>
    </xf>
    <xf numFmtId="0" fontId="7" fillId="5" borderId="2" applyProtection="1" pivotButton="0" quotePrefix="0" xfId="0">
      <protection locked="0" hidden="0"/>
    </xf>
    <xf numFmtId="166" fontId="8" fillId="6" borderId="2" applyAlignment="1" pivotButton="0" quotePrefix="0" xfId="0">
      <alignment horizontal="center" vertical="center"/>
    </xf>
    <xf numFmtId="0" fontId="0" fillId="0" borderId="49" pivotButton="0" quotePrefix="0" xfId="0"/>
    <xf numFmtId="0" fontId="54" fillId="6" borderId="38" applyAlignment="1" pivotButton="0" quotePrefix="0" xfId="0">
      <alignment horizontal="left" vertical="center" indent="1"/>
    </xf>
    <xf numFmtId="0" fontId="0" fillId="0" borderId="39" pivotButton="0" quotePrefix="0" xfId="0"/>
    <xf numFmtId="0" fontId="0" fillId="0" borderId="40" pivotButton="0" quotePrefix="0" xfId="0"/>
    <xf numFmtId="0" fontId="54" fillId="6" borderId="30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2" pivotButton="0" quotePrefix="0" xfId="0"/>
    <xf numFmtId="0" fontId="54" fillId="6" borderId="45" applyAlignment="1" pivotButton="0" quotePrefix="0" xfId="0">
      <alignment horizontal="left" vertical="center" indent="1"/>
    </xf>
    <xf numFmtId="0" fontId="0" fillId="0" borderId="46" pivotButton="0" quotePrefix="0" xfId="0"/>
    <xf numFmtId="0" fontId="0" fillId="0" borderId="47" pivotButton="0" quotePrefix="0" xfId="0"/>
    <xf numFmtId="0" fontId="54" fillId="6" borderId="35" applyAlignment="1" pivotButton="0" quotePrefix="0" xfId="0">
      <alignment horizontal="left" vertical="center" indent="1"/>
    </xf>
    <xf numFmtId="0" fontId="0" fillId="0" borderId="36" pivotButton="0" quotePrefix="0" xfId="0"/>
    <xf numFmtId="0" fontId="0" fillId="0" borderId="37" pivotButton="0" quotePrefix="0" xfId="0"/>
    <xf numFmtId="164" fontId="55" fillId="6" borderId="28" applyAlignment="1" pivotButton="0" quotePrefix="0" xfId="0">
      <alignment horizontal="left" vertical="center" indent="1"/>
    </xf>
    <xf numFmtId="0" fontId="0" fillId="0" borderId="26" pivotButton="0" quotePrefix="0" xfId="0"/>
    <xf numFmtId="165" fontId="55" fillId="6" borderId="28" applyAlignment="1" pivotButton="0" quotePrefix="0" xfId="0">
      <alignment horizontal="left" vertical="center" indent="1"/>
    </xf>
    <xf numFmtId="0" fontId="0" fillId="0" borderId="13" pivotButton="0" quotePrefix="0" xfId="0"/>
    <xf numFmtId="0" fontId="0" fillId="0" borderId="27" pivotButton="0" quotePrefix="0" xfId="0"/>
    <xf numFmtId="0" fontId="54" fillId="6" borderId="50" applyAlignment="1" pivotButton="0" quotePrefix="0" xfId="0">
      <alignment horizontal="left" vertical="center" indent="1"/>
    </xf>
    <xf numFmtId="0" fontId="0" fillId="0" borderId="51" pivotButton="0" quotePrefix="0" xfId="0"/>
    <xf numFmtId="0" fontId="0" fillId="0" borderId="52" pivotButton="0" quotePrefix="0" xfId="0"/>
    <xf numFmtId="0" fontId="56" fillId="6" borderId="48" applyAlignment="1" pivotButton="0" quotePrefix="0" xfId="0">
      <alignment horizontal="left" vertical="center" indent="1"/>
    </xf>
    <xf numFmtId="0" fontId="0" fillId="0" borderId="43" pivotButton="0" quotePrefix="0" xfId="0"/>
    <xf numFmtId="0" fontId="0" fillId="0" borderId="43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8" fillId="6" borderId="33" applyAlignment="1" pivotButton="0" quotePrefix="0" xfId="0">
      <alignment horizontal="left" vertical="center" indent="1"/>
    </xf>
    <xf numFmtId="0" fontId="0" fillId="0" borderId="34" pivotButton="0" quotePrefix="0" xfId="0"/>
    <xf numFmtId="164" fontId="61" fillId="6" borderId="25" applyAlignment="1" pivotButton="0" quotePrefix="0" xfId="0">
      <alignment horizontal="center" vertical="center"/>
    </xf>
    <xf numFmtId="0" fontId="8" fillId="6" borderId="29" applyAlignment="1" pivotButton="0" quotePrefix="0" xfId="0">
      <alignment horizontal="left" vertical="center" indent="1"/>
    </xf>
    <xf numFmtId="164" fontId="62" fillId="6" borderId="15" applyAlignment="1" pivotButton="0" quotePrefix="0" xfId="0">
      <alignment horizontal="center" vertical="center"/>
    </xf>
    <xf numFmtId="164" fontId="63" fillId="6" borderId="15" applyAlignment="1" pivotButton="0" quotePrefix="0" xfId="0">
      <alignment horizontal="center" vertical="center"/>
    </xf>
    <xf numFmtId="166" fontId="59" fillId="6" borderId="23" applyAlignment="1" pivotButton="0" quotePrefix="0" xfId="0">
      <alignment horizontal="right" vertical="center" indent="1"/>
    </xf>
    <xf numFmtId="164" fontId="61" fillId="6" borderId="15" applyAlignment="1" pivotButton="0" quotePrefix="0" xfId="0">
      <alignment horizontal="center" vertical="center"/>
    </xf>
    <xf numFmtId="166" fontId="60" fillId="6" borderId="23" applyAlignment="1" pivotButton="0" quotePrefix="0" xfId="0">
      <alignment horizontal="right" vertical="center" indent="1"/>
    </xf>
    <xf numFmtId="167" fontId="59" fillId="6" borderId="23" applyAlignment="1" pivotButton="0" quotePrefix="0" xfId="0">
      <alignment horizontal="right" vertical="center" indent="1"/>
    </xf>
    <xf numFmtId="168" fontId="59" fillId="6" borderId="23" applyAlignment="1" pivotButton="0" quotePrefix="0" xfId="0">
      <alignment horizontal="right" vertical="center" indent="1"/>
    </xf>
    <xf numFmtId="0" fontId="9" fillId="4" borderId="54" applyAlignment="1" pivotButton="0" quotePrefix="0" xfId="0">
      <alignment horizontal="left" vertical="center"/>
    </xf>
    <xf numFmtId="0" fontId="15" fillId="6" borderId="29" applyAlignment="1" pivotButton="0" quotePrefix="0" xfId="0">
      <alignment horizontal="left" vertical="center" wrapText="1" indent="1"/>
    </xf>
    <xf numFmtId="0" fontId="28" fillId="6" borderId="53" applyAlignment="1" pivotButton="0" quotePrefix="0" xfId="0">
      <alignment horizontal="left" vertical="center" wrapText="1" indent="1"/>
    </xf>
    <xf numFmtId="0" fontId="8" fillId="6" borderId="53" applyAlignment="1" pivotButton="0" quotePrefix="0" xfId="0">
      <alignment horizontal="left" vertical="center" wrapText="1" indent="1"/>
    </xf>
    <xf numFmtId="0" fontId="29" fillId="6" borderId="53" applyAlignment="1" pivotButton="0" quotePrefix="0" xfId="0">
      <alignment horizontal="left" vertical="center" wrapText="1" indent="1"/>
    </xf>
    <xf numFmtId="0" fontId="15" fillId="6" borderId="53" applyAlignment="1" pivotButton="0" quotePrefix="0" xfId="0">
      <alignment horizontal="left" vertical="center" wrapText="1" indent="1"/>
    </xf>
    <xf numFmtId="0" fontId="32" fillId="6" borderId="53" applyAlignment="1" pivotButton="0" quotePrefix="0" xfId="0">
      <alignment horizontal="left" vertical="center" wrapText="1" indent="1"/>
    </xf>
    <xf numFmtId="0" fontId="34" fillId="6" borderId="53" applyAlignment="1" pivotButton="0" quotePrefix="0" xfId="0">
      <alignment horizontal="left" vertical="center" wrapText="1" indent="1"/>
    </xf>
    <xf numFmtId="0" fontId="36" fillId="6" borderId="53" applyAlignment="1" pivotButton="0" quotePrefix="0" xfId="0">
      <alignment horizontal="left" vertical="center" wrapText="1" indent="1"/>
    </xf>
    <xf numFmtId="0" fontId="17" fillId="6" borderId="53" applyAlignment="1" pivotButton="0" quotePrefix="0" xfId="0">
      <alignment horizontal="left" vertical="center" wrapText="1" indent="1"/>
    </xf>
    <xf numFmtId="164" fontId="9" fillId="7" borderId="3" applyAlignment="1" pivotButton="0" quotePrefix="0" xfId="0">
      <alignment horizontal="right" vertical="center" indent="1"/>
    </xf>
    <xf numFmtId="166" fontId="9" fillId="7" borderId="3" applyAlignment="1" pivotButton="0" quotePrefix="0" xfId="0">
      <alignment horizontal="right" vertical="center" indent="1"/>
    </xf>
    <xf numFmtId="168" fontId="7" fillId="5" borderId="2" applyAlignment="1" applyProtection="1" pivotButton="0" quotePrefix="0" xfId="0">
      <alignment horizontal="right" vertical="center" indent="1"/>
      <protection locked="0" hidden="0"/>
    </xf>
    <xf numFmtId="166" fontId="7" fillId="5" borderId="2" applyAlignment="1" applyProtection="1" pivotButton="0" quotePrefix="0" xfId="0">
      <alignment horizontal="center" vertical="center"/>
      <protection locked="0" hidden="0"/>
    </xf>
    <xf numFmtId="168" fontId="7" fillId="5" borderId="2" applyAlignment="1" applyProtection="1" pivotButton="0" quotePrefix="0" xfId="0">
      <alignment horizontal="left" vertical="center" indent="1"/>
      <protection locked="0" hidden="0"/>
    </xf>
    <xf numFmtId="168" fontId="7" fillId="5" borderId="2" applyAlignment="1" applyProtection="1" pivotButton="0" quotePrefix="0" xfId="0">
      <alignment horizontal="center" vertical="center"/>
      <protection locked="0" hidden="0"/>
    </xf>
    <xf numFmtId="166" fontId="7" fillId="5" borderId="2" applyAlignment="1" applyProtection="1" pivotButton="0" quotePrefix="0" xfId="0">
      <alignment horizontal="right" vertical="center" indent="1"/>
      <protection locked="0" hidden="0"/>
    </xf>
    <xf numFmtId="166" fontId="8" fillId="6" borderId="2" applyAlignment="1" pivotButton="0" quotePrefix="0" xfId="0">
      <alignment horizontal="right" vertical="center" indent="1"/>
    </xf>
    <xf numFmtId="169" fontId="8" fillId="6" borderId="2" applyAlignment="1" pivotButton="0" quotePrefix="0" xfId="0">
      <alignment horizontal="center" vertical="center"/>
    </xf>
    <xf numFmtId="168" fontId="8" fillId="6" borderId="2" applyAlignment="1" pivotButton="0" quotePrefix="0" xfId="0">
      <alignment horizontal="center" vertical="center"/>
    </xf>
    <xf numFmtId="164" fontId="9" fillId="7" borderId="3" applyAlignment="1" pivotButton="0" quotePrefix="0" xfId="0">
      <alignment horizontal="center" vertical="center"/>
    </xf>
    <xf numFmtId="170" fontId="8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167" fontId="9" fillId="7" borderId="3" applyAlignment="1" pivotButton="0" quotePrefix="0" xfId="0">
      <alignment horizontal="center" vertical="center"/>
    </xf>
    <xf numFmtId="167" fontId="8" fillId="6" borderId="2" applyAlignment="1" pivotButton="0" quotePrefix="0" xfId="0">
      <alignment horizontal="center" vertical="center"/>
    </xf>
    <xf numFmtId="0" fontId="0" fillId="0" borderId="59" applyProtection="1" pivotButton="0" quotePrefix="0" xfId="0">
      <protection locked="0" hidden="0"/>
    </xf>
    <xf numFmtId="0" fontId="0" fillId="0" borderId="60" applyProtection="1" pivotButton="0" quotePrefix="0" xfId="0">
      <protection locked="0" hidden="0"/>
    </xf>
    <xf numFmtId="0" fontId="0" fillId="0" borderId="55" pivotButton="0" quotePrefix="0" xfId="0"/>
    <xf numFmtId="0" fontId="20" fillId="6" borderId="30" applyAlignment="1" pivotButton="0" quotePrefix="0" xfId="0">
      <alignment horizontal="left" vertical="center" indent="1"/>
    </xf>
    <xf numFmtId="0" fontId="20" fillId="6" borderId="35" applyAlignment="1" pivotButton="0" quotePrefix="0" xfId="0">
      <alignment horizontal="left" vertical="center" indent="1"/>
    </xf>
    <xf numFmtId="0" fontId="20" fillId="6" borderId="45" applyAlignment="1" pivotButton="0" quotePrefix="0" xfId="0">
      <alignment horizontal="left" vertical="center" indent="1"/>
    </xf>
    <xf numFmtId="166" fontId="21" fillId="6" borderId="7" applyAlignment="1" pivotButton="0" quotePrefix="0" xfId="0">
      <alignment horizontal="left" vertical="center" indent="1"/>
    </xf>
    <xf numFmtId="166" fontId="22" fillId="6" borderId="7" applyAlignment="1" pivotButton="0" quotePrefix="0" xfId="0">
      <alignment horizontal="left" vertical="center" indent="1"/>
    </xf>
    <xf numFmtId="166" fontId="23" fillId="6" borderId="7" applyAlignment="1" pivotButton="0" quotePrefix="0" xfId="0">
      <alignment horizontal="left" vertical="center" indent="1"/>
    </xf>
    <xf numFmtId="0" fontId="0" fillId="0" borderId="56" pivotButton="0" quotePrefix="0" xfId="0"/>
    <xf numFmtId="168" fontId="8" fillId="6" borderId="0" applyAlignment="1" pivotButton="0" quotePrefix="0" xfId="0">
      <alignment horizontal="center" vertical="center"/>
    </xf>
    <xf numFmtId="166" fontId="8" fillId="6" borderId="0" applyAlignment="1" pivotButton="0" quotePrefix="0" xfId="0">
      <alignment horizontal="right" vertical="center" indent="1"/>
    </xf>
    <xf numFmtId="0" fontId="0" fillId="0" borderId="61" pivotButton="0" quotePrefix="0" xfId="0"/>
    <xf numFmtId="0" fontId="0" fillId="0" borderId="57" pivotButton="0" quotePrefix="0" xfId="0"/>
    <xf numFmtId="166" fontId="12" fillId="7" borderId="3" applyAlignment="1" pivotButton="0" quotePrefix="0" xfId="0">
      <alignment horizontal="right" vertical="center" indent="1"/>
    </xf>
    <xf numFmtId="166" fontId="8" fillId="6" borderId="2" applyAlignment="1" pivotButton="0" quotePrefix="0" xfId="0">
      <alignment horizontal="left" vertical="center" indent="1"/>
    </xf>
    <xf numFmtId="166" fontId="7" fillId="5" borderId="2" applyAlignment="1" applyProtection="1" pivotButton="0" quotePrefix="0" xfId="0">
      <alignment horizontal="left" vertical="center" indent="1"/>
      <protection locked="0" hidden="0"/>
    </xf>
    <xf numFmtId="164" fontId="13" fillId="0" borderId="0" applyAlignment="1" pivotButton="0" quotePrefix="0" xfId="0">
      <alignment horizontal="center" vertical="center"/>
    </xf>
    <xf numFmtId="167" fontId="7" fillId="5" borderId="2" applyAlignment="1" applyProtection="1" pivotButton="0" quotePrefix="0" xfId="0">
      <alignment horizontal="center" vertical="center"/>
      <protection locked="0" hidden="0"/>
    </xf>
    <xf numFmtId="168" fontId="7" fillId="6" borderId="2" applyAlignment="1" pivotButton="0" quotePrefix="0" xfId="0">
      <alignment horizontal="center" vertical="center"/>
    </xf>
    <xf numFmtId="166" fontId="8" fillId="6" borderId="2" applyAlignment="1" pivotButton="0" quotePrefix="0" xfId="0">
      <alignment horizontal="center" vertical="center"/>
    </xf>
  </cellXfs>
  <cellStyles count="1">
    <cellStyle name="Normal" xfId="0" builtinId="0" hidden="0"/>
  </cellStyles>
  <dxfs count="13">
    <dxf>
      <font>
        <name val="Segoe UI"/>
        <b val="1"/>
        <color rgb="00A32D2D"/>
        <sz val="13"/>
      </font>
      <fill>
        <patternFill patternType="solid">
          <fgColor rgb="00FBECEC"/>
        </patternFill>
      </fill>
    </dxf>
    <dxf>
      <font>
        <name val="Segoe UI"/>
        <b val="1"/>
        <color rgb="00854F0B"/>
        <sz val="13"/>
      </font>
      <fill>
        <patternFill patternType="solid">
          <fgColor rgb="00FDF3E3"/>
        </patternFill>
      </fill>
    </dxf>
    <dxf>
      <font>
        <name val="Segoe UI"/>
        <b val="1"/>
        <color rgb="00185FA5"/>
        <sz val="13"/>
      </font>
      <fill>
        <patternFill patternType="solid">
          <fgColor rgb="00FDF3E3"/>
        </patternFill>
      </fill>
    </dxf>
    <dxf>
      <font>
        <name val="Segoe UI"/>
        <b val="1"/>
        <color rgb="000F6E56"/>
        <sz val="10.5"/>
      </font>
      <fill>
        <patternFill patternType="solid">
          <fgColor rgb="00E7F5EF"/>
        </patternFill>
      </fill>
    </dxf>
    <dxf>
      <font>
        <name val="Segoe UI"/>
        <b val="1"/>
        <color rgb="00854F0B"/>
        <sz val="10.5"/>
      </font>
      <fill>
        <patternFill patternType="solid">
          <fgColor rgb="00FDF3E3"/>
        </patternFill>
      </fill>
    </dxf>
    <dxf>
      <font>
        <name val="Segoe UI"/>
        <b val="1"/>
        <color rgb="00A32D2D"/>
        <sz val="10.5"/>
      </font>
      <fill>
        <patternFill patternType="solid">
          <fgColor rgb="00FBECEC"/>
        </patternFill>
      </fill>
    </dxf>
    <dxf>
      <font>
        <name val="Segoe UI"/>
        <b val="1"/>
        <color rgb="0064748B"/>
        <sz val="10.5"/>
      </font>
      <fill>
        <patternFill patternType="solid">
          <fgColor rgb="00F1F5F9"/>
        </patternFill>
      </fill>
    </dxf>
    <dxf>
      <font>
        <name val="Segoe UI"/>
        <b val="1"/>
        <color rgb="00185FA5"/>
        <sz val="10.5"/>
      </font>
      <fill>
        <patternFill patternType="solid">
          <fgColor rgb="00E8F0FA"/>
        </patternFill>
      </fill>
    </dxf>
    <dxf>
      <font>
        <name val="Segoe UI"/>
        <b val="1"/>
        <color rgb="00A32D2D"/>
        <sz val="11"/>
      </font>
    </dxf>
    <dxf>
      <font>
        <name val="Segoe UI"/>
        <b val="1"/>
        <color rgb="00185FA5"/>
        <sz val="11"/>
      </font>
      <fill>
        <patternFill patternType="solid">
          <fgColor rgb="00E8F0FA"/>
        </patternFill>
      </fill>
    </dxf>
    <dxf>
      <fill>
        <patternFill patternType="solid">
          <fgColor rgb="00F7F9FB"/>
        </patternFill>
      </fill>
    </dxf>
    <dxf>
      <border>
        <bottom style="thin">
          <color rgb="00E2E8F0"/>
        </bottom>
      </border>
    </dxf>
    <dxf>
      <font>
        <name val="Segoe UI"/>
        <b val="1"/>
        <color rgb="00A32D2D"/>
        <sz val="11"/>
      </font>
      <fill>
        <patternFill patternType="solid">
          <fgColor rgb="00FB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Aylık nakit kâr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'AY_SONU'!I6</f>
            </strRef>
          </tx>
          <spPr>
            <a:ln xmlns:a="http://schemas.openxmlformats.org/drawingml/2006/main" w="22000">
              <a:solidFill>
                <a:srgbClr val="2563E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'AY_SONU'!$B$7:$B$18</f>
            </numRef>
          </cat>
          <val>
            <numRef>
              <f>'AY_SONU'!$I$7:$I$18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Tahakkuk ve tahsilat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'AY_SONU'!C6</f>
            </strRef>
          </tx>
          <spPr>
            <a:solidFill xmlns:a="http://schemas.openxmlformats.org/drawingml/2006/main">
              <a:srgbClr val="9FB8D0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'AY_SONU'!$C$7:$C$18</f>
            </numRef>
          </val>
        </ser>
        <ser>
          <idx val="1"/>
          <order val="1"/>
          <tx>
            <strRef>
              <f>'AY_SONU'!D6</f>
            </strRef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noFill/>
              <a:prstDash val="solid"/>
            </a:ln>
          </spPr>
          <cat>
            <numRef>
              <f>'AY_SONU'!$B$7:$B$18</f>
            </numRef>
          </cat>
          <val>
            <numRef>
              <f>'AY_SONU'!$D$7:$D$18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750" b="0">
              <a:solidFill>
                <a:srgbClr val="64748B"/>
              </a:solidFill>
              <a:latin typeface="Segoe UI"/>
            </a:defRPr>
          </a:pPr>
          <a:r>
            <a:t>None</a:t>
          </a:r>
          <a:endParaRPr sz="750" b="0">
            <a:solidFill>
              <a:srgbClr val="64748B"/>
            </a:solidFill>
            <a:latin typeface="Segoe UI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rPr sz="900" b="1">
                <a:solidFill>
                  <a:srgbClr val="17324D"/>
                </a:solidFill>
                <a:latin typeface="Segoe UI"/>
              </a:rPr>
              <a:t>Alacak yaşlandırması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5DCAA5"/>
            </a:solidFill>
            <a:ln xmlns:a="http://schemas.openxmlformats.org/drawingml/2006/main">
              <a:noFill/>
              <a:prstDash val="solid"/>
            </a:ln>
          </spPr>
          <cat>
            <numRef>
              <f>'MUSTERI_360'!$K$6:$N$6</f>
            </numRef>
          </cat>
          <val>
            <numRef>
              <f>'MUSTERI_360'!$K$5:$N$5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>
            <a:solidFill>
              <a:srgbClr val="CBD5E1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numFmt formatCode="#,##0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750" b="0">
                <a:solidFill>
                  <a:srgbClr val="64748B"/>
                </a:solidFill>
                <a:latin typeface="Segoe UI"/>
              </a:defRPr>
            </a:pPr>
            <a:r>
              <a:t>None</a:t>
            </a:r>
            <a:endParaRPr sz="750" b="0">
              <a:solidFill>
                <a:srgbClr val="64748B"/>
              </a:solidFill>
              <a:latin typeface="Segoe UI"/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13</row>
      <rowOff>0</rowOff>
    </from>
    <ext cx="2664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13</row>
      <rowOff>0</rowOff>
    </from>
    <ext cx="2664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13</row>
      <rowOff>0</rowOff>
    </from>
    <ext cx="2664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Segoe U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Q42"/>
  <sheetViews>
    <sheetView showGridLines="0" tabSelected="1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.4" customWidth="1" min="1" max="1"/>
    <col width="21" customWidth="1" min="2" max="2"/>
    <col width="1.4" customWidth="1" min="3" max="3"/>
    <col width="9.6" customWidth="1" min="4" max="4"/>
    <col width="9.6" customWidth="1" min="5" max="5"/>
    <col width="9.6" customWidth="1" min="6" max="6"/>
    <col width="9.6" customWidth="1" min="7" max="7"/>
    <col width="9.6" customWidth="1" min="8" max="8"/>
    <col width="9.6" customWidth="1" min="9" max="9"/>
    <col width="9.6" customWidth="1" min="10" max="10"/>
    <col width="9.6" customWidth="1" min="11" max="11"/>
    <col width="9.6" customWidth="1" min="12" max="12"/>
    <col width="9.6" customWidth="1" min="13" max="13"/>
    <col width="9.6" customWidth="1" min="14" max="14"/>
    <col width="9.6" customWidth="1" min="15" max="15"/>
  </cols>
  <sheetData>
    <row r="1" ht="38" customHeight="1">
      <c r="A1" s="1" t="inlineStr">
        <is>
          <t>KILIÇ MUHASEBE   │   YÖNETİM PANOSU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3" t="n"/>
      <c r="Q1" s="3" t="n"/>
    </row>
    <row r="2" ht="22" customHeight="1">
      <c r="A2" s="4">
        <f>"Bu ekran karar, alarm ve seçim ekranıdır   │   SİSTEM DURUMU:  "&amp;IF(COUNTIFS(SISTEM!$C$23:$C$55,"KRİTİK",SISTEM!$F$23:$F$55,"KALDI")&gt;0,"KRİTİK HATA – AY KAPATILAMAZ",IF(COUNTIF(SISTEM!$F$23:$F$55,"KALDI")=0,"KULLANIMA UYGUN","UYARI VAR – İNCELEYİN"))&amp;"   │   "&amp;COUNTIF(SISTEM!$F$23:$F$55,"GEÇTİ")&amp;" / "&amp;COUNTIF(SISTEM!$F$23:$F$55,"&lt;&gt;BİLGİ")&amp;" kontrol geçti"</f>
        <v/>
      </c>
      <c r="P2" s="3" t="n"/>
      <c r="Q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 ht="20" customHeight="1">
      <c r="A4" s="6" t="n"/>
      <c r="B4" s="7">
        <f>RIGHT("0"&amp;DAY(TODAY()),2)&amp;"."&amp;RIGHT("0"&amp;MONTH(TODAY()),2)&amp;"."&amp;YEAR(TODAY())&amp;"   │   "&amp;SISTEM!$C$7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 ht="22" customHeight="1">
      <c r="A5" s="6" t="n"/>
      <c r="B5" s="8" t="inlineStr">
        <is>
          <t>MENÜ</t>
        </is>
      </c>
      <c r="C5" s="6" t="n"/>
      <c r="D5" s="170" t="inlineStr">
        <is>
          <t>AKTİF MÜŞTERİ</t>
        </is>
      </c>
      <c r="E5" s="171" t="n"/>
      <c r="F5" s="172" t="n"/>
      <c r="G5" s="173" t="inlineStr">
        <is>
          <t>TOPLAM CARİ ALACAK</t>
        </is>
      </c>
      <c r="H5" s="174" t="n"/>
      <c r="I5" s="175" t="n"/>
      <c r="J5" s="176" t="inlineStr">
        <is>
          <t>29+ GÜN GECİKMİŞ</t>
        </is>
      </c>
      <c r="K5" s="177" t="n"/>
      <c r="L5" s="178" t="n"/>
      <c r="M5" s="179" t="inlineStr">
        <is>
          <t>KASA + BANKA</t>
        </is>
      </c>
      <c r="N5" s="180" t="n"/>
      <c r="O5" s="181" t="n"/>
      <c r="P5" s="6" t="n"/>
      <c r="Q5" s="6" t="n"/>
    </row>
    <row r="6" ht="22" customHeight="1">
      <c r="A6" s="6" t="n"/>
      <c r="B6" s="14">
        <f>HYPERLINK("#PANO!A1","    PANO")</f>
        <v/>
      </c>
      <c r="C6" s="6" t="n"/>
      <c r="D6" s="182">
        <f>COUNTIF(MUSTERILER!$D$7:$D$106,"Aktif")</f>
        <v/>
      </c>
      <c r="F6" s="183" t="n"/>
      <c r="G6" s="184">
        <f>SUM(MUSTERI_360!$J$7:$J$106)</f>
        <v/>
      </c>
      <c r="I6" s="183" t="n"/>
      <c r="J6" s="184">
        <f>SUM(MUSTERI_360!$N$7:$N$106)</f>
        <v/>
      </c>
      <c r="L6" s="183" t="n"/>
      <c r="M6" s="184">
        <f>HESAPLAR!$K$18</f>
        <v/>
      </c>
      <c r="O6" s="183" t="n"/>
      <c r="P6" s="6" t="n"/>
      <c r="Q6" s="6" t="n"/>
    </row>
    <row r="7" ht="22" customHeight="1">
      <c r="A7" s="6" t="n"/>
      <c r="B7" s="18">
        <f>HYPERLINK("#MUSTERILER!A1","    Müşteriler")</f>
        <v/>
      </c>
      <c r="C7" s="6" t="n"/>
      <c r="D7" s="19">
        <f>COUNTA(MUSTERILER!$C$7:$C$106)&amp;" kayıtlı müşteri"</f>
        <v/>
      </c>
      <c r="E7" s="185" t="n"/>
      <c r="F7" s="186" t="n"/>
      <c r="G7" s="19">
        <f>COUNTIF(MUSTERI_360!$J$7:$J$106,"&gt;0")&amp;" müşteride açık bakiye"</f>
        <v/>
      </c>
      <c r="H7" s="185" t="n"/>
      <c r="I7" s="186" t="n"/>
      <c r="J7" s="19">
        <f>ROUND(IFERROR(SUM(MUSTERI_360!$N$7:$N$106)/SUM(MUSTERI_360!$J$7:$J$106),0)*100,1)&amp;"% toplam alacağın payı"</f>
        <v/>
      </c>
      <c r="K7" s="185" t="n"/>
      <c r="L7" s="186" t="n"/>
      <c r="M7" s="19">
        <f>COUNTIF(HESAPLAR!$D$7:$D$16,"Aktif")&amp;" aktif hesap"</f>
        <v/>
      </c>
      <c r="N7" s="185" t="n"/>
      <c r="O7" s="186" t="n"/>
      <c r="P7" s="6" t="n"/>
      <c r="Q7" s="6" t="n"/>
    </row>
    <row r="8" ht="22" customHeight="1">
      <c r="A8" s="6" t="n"/>
      <c r="B8" s="18">
        <f>HYPERLINK("#UCRETLER!A1","    Haftalık Ücretler")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 ht="22" customHeight="1">
      <c r="A9" s="6" t="n"/>
      <c r="B9" s="18">
        <f>HYPERLINK("#TAHSILAT!A1","    Tahsilat")</f>
        <v/>
      </c>
      <c r="C9" s="6" t="n"/>
      <c r="D9" s="179" t="inlineStr">
        <is>
          <t>BU AY NAKİT KÂR</t>
        </is>
      </c>
      <c r="E9" s="180" t="n"/>
      <c r="F9" s="181" t="n"/>
      <c r="G9" s="170" t="inlineStr">
        <is>
          <t>BU AY TAHSİLAT</t>
        </is>
      </c>
      <c r="H9" s="171" t="n"/>
      <c r="I9" s="172" t="n"/>
      <c r="J9" s="187" t="inlineStr">
        <is>
          <t>HAFTALIK TAHAKKUK</t>
        </is>
      </c>
      <c r="K9" s="188" t="n"/>
      <c r="L9" s="189" t="n"/>
      <c r="M9" s="176" t="inlineStr">
        <is>
          <t>GECİKMİŞ İŞ</t>
        </is>
      </c>
      <c r="N9" s="177" t="n"/>
      <c r="O9" s="178" t="n"/>
      <c r="P9" s="6" t="n"/>
      <c r="Q9" s="6" t="n"/>
    </row>
    <row r="10" ht="22" customHeight="1">
      <c r="A10" s="6" t="n"/>
      <c r="B10" s="18">
        <f>HYPERLINK("#GELIR_GIDER!A1","    Gelir / Gider")</f>
        <v/>
      </c>
      <c r="C10" s="6" t="n"/>
      <c r="D10" s="184">
        <f>SUMIFS(AY_SONU!$I$7:$I$42,AY_SONU!$B$7:$B$42,"&gt;="&amp;EOMONTH(TODAY(),-1)+1,AY_SONU!$B$7:$B$42,"&lt;="&amp;EOMONTH(TODAY(),0))</f>
        <v/>
      </c>
      <c r="F10" s="183" t="n"/>
      <c r="G10" s="184">
        <f>SUMIFS(AY_SONU!$D$7:$D$42,AY_SONU!$B$7:$B$42,"&gt;="&amp;EOMONTH(TODAY(),-1)+1,AY_SONU!$B$7:$B$42,"&lt;="&amp;EOMONTH(TODAY(),0))</f>
        <v/>
      </c>
      <c r="I10" s="183" t="n"/>
      <c r="J10" s="184">
        <f>SUMIFS(UCRETLER!$G$7:$G$406,UCRETLER!$H$7:$H$406,"Aktif",UCRETLER!$F$7:$F$406,"Haftalık")</f>
        <v/>
      </c>
      <c r="L10" s="183" t="n"/>
      <c r="M10" s="182">
        <f>COUNTIF(AKTIVITE!$Q$7:$Q$1006,"GECİKMİŞ")</f>
        <v/>
      </c>
      <c r="O10" s="183" t="n"/>
      <c r="P10" s="6" t="n"/>
      <c r="Q10" s="6" t="n"/>
    </row>
    <row r="11" ht="22" customHeight="1">
      <c r="A11" s="6" t="n"/>
      <c r="B11" s="18">
        <f>HYPERLINK("#VIRMAN!A1","    Virman")</f>
        <v/>
      </c>
      <c r="C11" s="6" t="n"/>
      <c r="D11" s="19">
        <f>CHOOSE(MONTH(TODAY()),"Ocak","Şubat","Mart","Nisan","Mayıs","Haziran","Temmuz","Ağustos","Eylül","Ekim","Kasım","Aralık")&amp;" "&amp;YEAR(TODAY())&amp;" dönemi"</f>
        <v/>
      </c>
      <c r="E11" s="185" t="n"/>
      <c r="F11" s="186" t="n"/>
      <c r="G11" s="19">
        <f>"Ay tahakkuku "&amp;TEXT(SUMIFS(AY_SONU!$C$7:$C$42,AY_SONU!$B$7:$B$42,"&gt;="&amp;EOMONTH(TODAY(),-1)+1,AY_SONU!$B$7:$B$42,"&lt;="&amp;EOMONTH(TODAY(),0)),"#,##0")&amp;" ₺"</f>
        <v/>
      </c>
      <c r="H11" s="185" t="n"/>
      <c r="I11" s="186" t="n"/>
      <c r="J11" s="19">
        <f>"Aylık: "&amp;TEXT(SUMIFS(UCRETLER!$G$7:$G$406,UCRETLER!$H$7:$H$406,"Aktif",UCRETLER!$F$7:$F$406,"Aylık"),"#,##0")&amp;" ₺  │  "&amp;COUNTIFS(UCRETLER!$H$7:$H$406,"Aktif")&amp;" aktif dönem"</f>
        <v/>
      </c>
      <c r="K11" s="185" t="n"/>
      <c r="L11" s="186" t="n"/>
      <c r="M11" s="19">
        <f>COUNTIF(AKTIVITE!$Q$7:$Q$1006,"BUGÜN")&amp;" iş bugün teslim"</f>
        <v/>
      </c>
      <c r="N11" s="185" t="n"/>
      <c r="O11" s="186" t="n"/>
      <c r="P11" s="6" t="n"/>
      <c r="Q11" s="6" t="n"/>
    </row>
    <row r="12" ht="22" customHeight="1">
      <c r="A12" s="6" t="n"/>
      <c r="B12" s="18">
        <f>HYPERLINK("#AKTIVITE!A1","    Aktivite")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 ht="22" customHeight="1">
      <c r="A13" s="6" t="n"/>
      <c r="B13" s="18">
        <f>HYPERLINK("#MUSTERI_360!A1","    Müşteri 360")</f>
        <v/>
      </c>
      <c r="C13" s="6" t="n"/>
      <c r="D13" s="22" t="inlineStr">
        <is>
          <t>AYLIK NAKİT KÂR EĞRİSİ</t>
        </is>
      </c>
      <c r="E13" s="6" t="n"/>
      <c r="F13" s="6" t="n"/>
      <c r="G13" s="6" t="n"/>
      <c r="H13" s="22" t="inlineStr">
        <is>
          <t>TAHAKKUK ↔ TAHSİLAT</t>
        </is>
      </c>
      <c r="I13" s="6" t="n"/>
      <c r="J13" s="6" t="n"/>
      <c r="K13" s="6" t="n"/>
      <c r="L13" s="22" t="inlineStr">
        <is>
          <t>ALACAK YAŞLANDIRMASI</t>
        </is>
      </c>
      <c r="M13" s="6" t="n"/>
      <c r="N13" s="6" t="n"/>
      <c r="O13" s="6" t="n"/>
      <c r="P13" s="6" t="n"/>
      <c r="Q13" s="6" t="n"/>
    </row>
    <row r="14" ht="22" customHeight="1">
      <c r="A14" s="6" t="n"/>
      <c r="B14" s="18">
        <f>HYPERLINK("#CARI_EKSTRE!A1","    Cari Ekstre")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 ht="22" customHeight="1">
      <c r="A15" s="6" t="n"/>
      <c r="B15" s="18">
        <f>HYPERLINK("#HESAPLAR!A1","    Hesaplar")</f>
        <v/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22" customHeight="1">
      <c r="A16" s="6" t="n"/>
      <c r="B16" s="18">
        <f>HYPERLINK("#AY_SONU!A1","    Ay Sonu")</f>
        <v/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 ht="22" customHeight="1">
      <c r="A17" s="6" t="n"/>
      <c r="B17" s="18">
        <f>HYPERLINK("#SISTEM!A1","    Sistem &amp; Kontrol")</f>
        <v/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22" customHeight="1">
      <c r="A18" s="6" t="n"/>
      <c r="B18" s="18">
        <f>HYPERLINK("#BASLANGIC!A1","    Başlangıç")</f>
        <v/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 ht="22" customHeight="1">
      <c r="A19" s="6" t="n"/>
      <c r="B19" s="23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22" customHeight="1">
      <c r="A20" s="6" t="n"/>
      <c r="B20" s="23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 ht="22" customHeight="1">
      <c r="A21" s="6" t="n"/>
      <c r="B21" s="23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22" customHeight="1">
      <c r="A22" s="6" t="n"/>
      <c r="B22" s="23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 ht="22" customHeight="1">
      <c r="A23" s="6" t="n"/>
      <c r="B23" s="23" t="n"/>
      <c r="C23" s="6" t="n"/>
      <c r="D23" s="22" t="inlineStr">
        <is>
          <t>MÜŞTERİ HIZLI KARTI</t>
        </is>
      </c>
      <c r="E23" s="6" t="n"/>
      <c r="F23" s="6" t="n"/>
      <c r="G23" s="6" t="n"/>
      <c r="H23" s="6" t="n"/>
      <c r="I23" s="6" t="n"/>
      <c r="J23" s="22" t="inlineStr">
        <is>
          <t>BUGÜNÜN UYARILARI</t>
        </is>
      </c>
      <c r="K23" s="6" t="n"/>
      <c r="L23" s="6" t="n"/>
      <c r="M23" s="6" t="n"/>
      <c r="N23" s="6" t="n"/>
      <c r="O23" s="6" t="n"/>
      <c r="P23" s="6" t="n"/>
      <c r="Q23" s="6" t="n"/>
    </row>
    <row r="24" ht="22" customHeight="1">
      <c r="A24" s="6" t="n"/>
      <c r="B24" s="23" t="n"/>
      <c r="C24" s="6" t="n"/>
      <c r="D24" s="190" t="inlineStr">
        <is>
          <t>Müşteri seçin</t>
        </is>
      </c>
      <c r="E24" s="191" t="n"/>
      <c r="F24" s="26" t="inlineStr">
        <is>
          <t>ANKARA HAVANA LTD.ŞTİ.</t>
        </is>
      </c>
      <c r="G24" s="192" t="n"/>
      <c r="H24" s="192" t="n"/>
      <c r="I24" s="193" t="n"/>
      <c r="J24" s="194" t="inlineStr">
        <is>
          <t>Gecikmiş müşteri işi</t>
        </is>
      </c>
      <c r="K24" s="195" t="n"/>
      <c r="L24" s="195" t="n"/>
      <c r="M24" s="195" t="n"/>
      <c r="N24" s="195" t="n"/>
      <c r="O24" s="196">
        <f>COUNTIF(AKTIVITE!$Q$7:$Q$1006,"GECİKMİŞ")</f>
        <v/>
      </c>
      <c r="P24" s="6" t="n"/>
      <c r="Q24" s="6" t="n"/>
    </row>
    <row r="25" ht="22" customHeight="1">
      <c r="A25" s="6" t="n"/>
      <c r="B25" s="23" t="n"/>
      <c r="C25" s="6" t="n"/>
      <c r="D25" s="31" t="inlineStr">
        <is>
          <t>Müşteri No</t>
        </is>
      </c>
      <c r="F25" s="32">
        <f>IF($F$24="","",IFERROR(INDEX(MUSTERI_360!$B$7:$B$106,MATCH($F$24,MUSTERI_360!$C$7:$C$106,0)),""))</f>
        <v/>
      </c>
      <c r="J25" s="197" t="inlineStr">
        <is>
          <t>Bugün teslim edilecek iş</t>
        </is>
      </c>
      <c r="K25" s="185" t="n"/>
      <c r="L25" s="185" t="n"/>
      <c r="M25" s="185" t="n"/>
      <c r="N25" s="185" t="n"/>
      <c r="O25" s="198">
        <f>COUNTIF(AKTIVITE!$Q$7:$Q$1006,"BUGÜN")</f>
        <v/>
      </c>
      <c r="P25" s="6" t="n"/>
      <c r="Q25" s="6" t="n"/>
    </row>
    <row r="26" ht="22" customHeight="1">
      <c r="A26" s="6" t="n"/>
      <c r="B26" s="23" t="n"/>
      <c r="C26" s="6" t="n"/>
      <c r="D26" s="31" t="inlineStr">
        <is>
          <t>Borç Durumu</t>
        </is>
      </c>
      <c r="F26" s="32">
        <f>IF($F$24="","",IFERROR(INDEX(MUSTERI_360!$Q$7:$Q$106,MATCH($F$24,MUSTERI_360!$C$7:$C$106,0)),""))</f>
        <v/>
      </c>
      <c r="J26" s="197" t="inlineStr">
        <is>
          <t>7 gün içindeki işler</t>
        </is>
      </c>
      <c r="K26" s="185" t="n"/>
      <c r="L26" s="185" t="n"/>
      <c r="M26" s="185" t="n"/>
      <c r="N26" s="185" t="n"/>
      <c r="O26" s="199">
        <f>COUNTIF(AKTIVITE!$Q$7:$Q$1006,"7 GÜN İÇİNDE")</f>
        <v/>
      </c>
      <c r="P26" s="6" t="n"/>
      <c r="Q26" s="6" t="n"/>
    </row>
    <row r="27" ht="22" customHeight="1">
      <c r="A27" s="6" t="n"/>
      <c r="B27" s="23" t="n"/>
      <c r="C27" s="6" t="n"/>
      <c r="D27" s="31" t="inlineStr">
        <is>
          <t>Haftalık Ücret</t>
        </is>
      </c>
      <c r="F27" s="200">
        <f>IF($F$24="","",IFERROR(INDEX(MUSTERI_360!$D$7:$D$106,MATCH($F$24,MUSTERI_360!$C$7:$C$106,0)),""))</f>
        <v/>
      </c>
      <c r="J27" s="197" t="inlineStr">
        <is>
          <t>Gecikmiş müşteri teması</t>
        </is>
      </c>
      <c r="K27" s="185" t="n"/>
      <c r="L27" s="185" t="n"/>
      <c r="M27" s="185" t="n"/>
      <c r="N27" s="185" t="n"/>
      <c r="O27" s="201">
        <f>COUNTIFS(AKTIVITE!$C$7:$C$1006,"Görüşme",AKTIVITE!$Q$7:$Q$1006,"GECİKMİŞ")</f>
        <v/>
      </c>
      <c r="P27" s="6" t="n"/>
      <c r="Q27" s="6" t="n"/>
    </row>
    <row r="28" ht="22" customHeight="1">
      <c r="A28" s="6" t="n"/>
      <c r="B28" s="23" t="n"/>
      <c r="C28" s="6" t="n"/>
      <c r="D28" s="31" t="inlineStr">
        <is>
          <t>Aylık Ücret</t>
        </is>
      </c>
      <c r="F28" s="200">
        <f>IF($F$24="","",IFERROR(INDEX(MUSTERI_360!$E$7:$E$106,MATCH($F$24,MUSTERI_360!$C$7:$C$106,0)),""))</f>
        <v/>
      </c>
      <c r="J28" s="197" t="inlineStr">
        <is>
          <t>Kritik borç durumundaki müşteri</t>
        </is>
      </c>
      <c r="K28" s="185" t="n"/>
      <c r="L28" s="185" t="n"/>
      <c r="M28" s="185" t="n"/>
      <c r="N28" s="185" t="n"/>
      <c r="O28" s="201">
        <f>COUNTIF(MUSTERI_360!$Q$7:$Q$106,"KRİTİK")</f>
        <v/>
      </c>
      <c r="P28" s="6" t="n"/>
      <c r="Q28" s="6" t="n"/>
    </row>
    <row r="29" ht="22" customHeight="1">
      <c r="A29" s="6" t="n"/>
      <c r="B29" s="23" t="n"/>
      <c r="C29" s="6" t="n"/>
      <c r="D29" s="31" t="inlineStr">
        <is>
          <t>Devir Alacağı</t>
        </is>
      </c>
      <c r="F29" s="200">
        <f>IF($F$24="","",IFERROR(INDEX(MUSTERI_360!$F$7:$F$106,MATCH($F$24,MUSTERI_360!$C$7:$C$106,0)),""))</f>
        <v/>
      </c>
      <c r="J29" s="197" t="inlineStr">
        <is>
          <t>Bilgisi eksik müşteri kaydı</t>
        </is>
      </c>
      <c r="K29" s="185" t="n"/>
      <c r="L29" s="185" t="n"/>
      <c r="M29" s="185" t="n"/>
      <c r="N29" s="185" t="n"/>
      <c r="O29" s="198">
        <f>COUNTIF(MUSTERILER!$P$7:$P$106,"EKSİK")</f>
        <v/>
      </c>
      <c r="P29" s="6" t="n"/>
      <c r="Q29" s="6" t="n"/>
    </row>
    <row r="30" ht="22" customHeight="1">
      <c r="A30" s="6" t="n"/>
      <c r="B30" s="23" t="n"/>
      <c r="C30" s="6" t="n"/>
      <c r="D30" s="31" t="inlineStr">
        <is>
          <t>Yeni Tahakkuk</t>
        </is>
      </c>
      <c r="F30" s="200">
        <f>IF($F$24="","",IFERROR(INDEX(MUSTERI_360!$G$7:$G$106,MATCH($F$24,MUSTERI_360!$C$7:$C$106,0)),""))</f>
        <v/>
      </c>
      <c r="J30" s="197" t="inlineStr">
        <is>
          <t>Aktif ama ücretsiz müşteri</t>
        </is>
      </c>
      <c r="K30" s="185" t="n"/>
      <c r="L30" s="185" t="n"/>
      <c r="M30" s="185" t="n"/>
      <c r="N30" s="185" t="n"/>
      <c r="O30" s="198">
        <f>COUNTIFS(MUSTERILER!$D$7:$D$106,"Aktif",MUSTERILER!$O$7:$O$106,"HAYIR")</f>
        <v/>
      </c>
      <c r="P30" s="6" t="n"/>
      <c r="Q30" s="6" t="n"/>
    </row>
    <row r="31" ht="22" customHeight="1">
      <c r="A31" s="6" t="n"/>
      <c r="B31" s="23" t="n"/>
      <c r="C31" s="6" t="n"/>
      <c r="D31" s="31" t="inlineStr">
        <is>
          <t>Toplam Borç</t>
        </is>
      </c>
      <c r="F31" s="200">
        <f>IF($F$24="","",IFERROR(INDEX(MUSTERI_360!$H$7:$H$106,MATCH($F$24,MUSTERI_360!$C$7:$C$106,0)),""))</f>
        <v/>
      </c>
      <c r="J31" s="197" t="inlineStr">
        <is>
          <t>Eksik tahsilat kaydı</t>
        </is>
      </c>
      <c r="K31" s="185" t="n"/>
      <c r="L31" s="185" t="n"/>
      <c r="M31" s="185" t="n"/>
      <c r="N31" s="185" t="n"/>
      <c r="O31" s="198">
        <f>COUNTIF(TAHSILAT!$M$7:$M$1506,"EKSİK")</f>
        <v/>
      </c>
      <c r="P31" s="6" t="n"/>
      <c r="Q31" s="6" t="n"/>
    </row>
    <row r="32" ht="22" customHeight="1">
      <c r="A32" s="6" t="n"/>
      <c r="B32" s="23" t="n"/>
      <c r="C32" s="6" t="n"/>
      <c r="D32" s="31" t="inlineStr">
        <is>
          <t>Toplam Tahsilat</t>
        </is>
      </c>
      <c r="F32" s="200">
        <f>IF($F$24="","",IFERROR(INDEX(MUSTERI_360!$I$7:$I$106,MATCH($F$24,MUSTERI_360!$C$7:$C$106,0)),""))</f>
        <v/>
      </c>
      <c r="J32" s="197" t="inlineStr">
        <is>
          <t>Eksik gelir/gider kaydı</t>
        </is>
      </c>
      <c r="K32" s="185" t="n"/>
      <c r="L32" s="185" t="n"/>
      <c r="M32" s="185" t="n"/>
      <c r="N32" s="185" t="n"/>
      <c r="O32" s="198">
        <f>COUNTIF(GELIR_GIDER!$P$7:$P$1206,"EKSİK")</f>
        <v/>
      </c>
      <c r="P32" s="6" t="n"/>
      <c r="Q32" s="6" t="n"/>
    </row>
    <row r="33" ht="22" customHeight="1">
      <c r="A33" s="6" t="n"/>
      <c r="B33" s="23" t="n"/>
      <c r="C33" s="6" t="n"/>
      <c r="D33" s="31" t="inlineStr">
        <is>
          <t>Cari Bakiye</t>
        </is>
      </c>
      <c r="F33" s="202">
        <f>IF($F$24="","",IFERROR(INDEX(MUSTERI_360!$J$7:$J$106,MATCH($F$24,MUSTERI_360!$C$7:$C$106,0)),""))</f>
        <v/>
      </c>
      <c r="J33" s="197" t="inlineStr">
        <is>
          <t>Fazla ödeme yapan müşteri (avans)</t>
        </is>
      </c>
      <c r="K33" s="185" t="n"/>
      <c r="L33" s="185" t="n"/>
      <c r="M33" s="185" t="n"/>
      <c r="N33" s="185" t="n"/>
      <c r="O33" s="199">
        <f>COUNTIF(MUSTERI_360!$V$7:$V$106,"&gt;0")</f>
        <v/>
      </c>
      <c r="P33" s="6" t="n"/>
      <c r="Q33" s="6" t="n"/>
    </row>
    <row r="34" ht="22" customHeight="1">
      <c r="A34" s="6" t="n"/>
      <c r="B34" s="23" t="n"/>
      <c r="C34" s="6" t="n"/>
      <c r="D34" s="31" t="inlineStr">
        <is>
          <t>0–7 Gün</t>
        </is>
      </c>
      <c r="F34" s="200">
        <f>IF($F$24="","",IFERROR(INDEX(MUSTERI_360!$K$7:$K$106,MATCH($F$24,MUSTERI_360!$C$7:$C$106,0)),""))</f>
        <v/>
      </c>
      <c r="J34" s="197" t="inlineStr">
        <is>
          <t>Mükerrer kayıt şüphesi</t>
        </is>
      </c>
      <c r="K34" s="185" t="n"/>
      <c r="L34" s="185" t="n"/>
      <c r="M34" s="185" t="n"/>
      <c r="N34" s="185" t="n"/>
      <c r="O34" s="201">
        <f>COUNTIF(TAHSILAT!$M$7:$M$1506,"MÜKERRER?")+COUNTIF(GELIR_GIDER!$P$7:$P$1206,"MÜKERRER?")</f>
        <v/>
      </c>
      <c r="P34" s="6" t="n"/>
      <c r="Q34" s="6" t="n"/>
    </row>
    <row r="35" ht="22" customHeight="1">
      <c r="A35" s="6" t="n"/>
      <c r="B35" s="23" t="n"/>
      <c r="C35" s="6" t="n"/>
      <c r="D35" s="31" t="inlineStr">
        <is>
          <t>8–14 Gün</t>
        </is>
      </c>
      <c r="F35" s="200">
        <f>IF($F$24="","",IFERROR(INDEX(MUSTERI_360!$L$7:$L$106,MATCH($F$24,MUSTERI_360!$C$7:$C$106,0)),""))</f>
        <v/>
      </c>
      <c r="J35" s="197" t="inlineStr">
        <is>
          <t>Ödenmemiş gider kaydı</t>
        </is>
      </c>
      <c r="K35" s="185" t="n"/>
      <c r="L35" s="185" t="n"/>
      <c r="M35" s="185" t="n"/>
      <c r="N35" s="185" t="n"/>
      <c r="O35" s="198">
        <f>COUNTIF(GELIR_GIDER!$P$7:$P$1206,"ÖDENECEK")</f>
        <v/>
      </c>
      <c r="P35" s="6" t="n"/>
      <c r="Q35" s="6" t="n"/>
    </row>
    <row r="36" ht="22" customHeight="1">
      <c r="A36" s="6" t="n"/>
      <c r="B36" s="23" t="n"/>
      <c r="C36" s="6" t="n"/>
      <c r="D36" s="31" t="inlineStr">
        <is>
          <t>15–28 Gün</t>
        </is>
      </c>
      <c r="F36" s="200">
        <f>IF($F$24="","",IFERROR(INDEX(MUSTERI_360!$M$7:$M$106,MATCH($F$24,MUSTERI_360!$C$7:$C$106,0)),""))</f>
        <v/>
      </c>
      <c r="J36" s="197" t="inlineStr">
        <is>
          <t>Sistem kontrolünde KALDI satırı</t>
        </is>
      </c>
      <c r="K36" s="185" t="n"/>
      <c r="L36" s="185" t="n"/>
      <c r="M36" s="185" t="n"/>
      <c r="N36" s="185" t="n"/>
      <c r="O36" s="201">
        <f>COUNTIF(SISTEM!$F$23:$F$55,"KALDI")</f>
        <v/>
      </c>
      <c r="P36" s="6" t="n"/>
      <c r="Q36" s="6" t="n"/>
    </row>
    <row r="37" ht="22" customHeight="1">
      <c r="A37" s="6" t="n"/>
      <c r="B37" s="23" t="n"/>
      <c r="C37" s="6" t="n"/>
      <c r="D37" s="31" t="inlineStr">
        <is>
          <t>29+ Gün</t>
        </is>
      </c>
      <c r="F37" s="202">
        <f>IF($F$24="","",IFERROR(INDEX(MUSTERI_360!$N$7:$N$106,MATCH($F$24,MUSTERI_360!$C$7:$C$106,0)),""))</f>
        <v/>
      </c>
      <c r="J37" s="6" t="n"/>
      <c r="K37" s="6" t="n"/>
      <c r="L37" s="6" t="n"/>
      <c r="M37" s="6" t="n"/>
      <c r="N37" s="6" t="n"/>
      <c r="O37" s="6" t="n"/>
      <c r="P37" s="6" t="n"/>
      <c r="Q37" s="6" t="n"/>
    </row>
    <row r="38" ht="22" customHeight="1">
      <c r="A38" s="6" t="n"/>
      <c r="B38" s="23" t="n"/>
      <c r="C38" s="6" t="n"/>
      <c r="D38" s="31" t="inlineStr">
        <is>
          <t>Tahsilat Oranı</t>
        </is>
      </c>
      <c r="F38" s="203">
        <f>IF($F$24="","",IFERROR(INDEX(MUSTERI_360!$O$7:$O$106,MATCH($F$24,MUSTERI_360!$C$7:$C$106,0)),""))</f>
        <v/>
      </c>
      <c r="J38" s="6" t="n"/>
      <c r="K38" s="6" t="n"/>
      <c r="L38" s="6" t="n"/>
      <c r="M38" s="6" t="n"/>
      <c r="N38" s="6" t="n"/>
      <c r="O38" s="6" t="n"/>
      <c r="P38" s="6" t="n"/>
      <c r="Q38" s="6" t="n"/>
    </row>
    <row r="39" ht="22" customHeight="1">
      <c r="A39" s="6" t="n"/>
      <c r="B39" s="23" t="n"/>
      <c r="C39" s="6" t="n"/>
      <c r="D39" s="31" t="inlineStr">
        <is>
          <t>Son Tahsilat</t>
        </is>
      </c>
      <c r="F39" s="204">
        <f>IF($F$24="","",IFERROR(INDEX(MUSTERI_360!$P$7:$P$106,MATCH($F$24,MUSTERI_360!$C$7:$C$106,0)),""))</f>
        <v/>
      </c>
      <c r="J39" s="6" t="n"/>
      <c r="K39" s="6" t="n"/>
      <c r="L39" s="6" t="n"/>
      <c r="M39" s="6" t="n"/>
      <c r="N39" s="6" t="n"/>
      <c r="O39" s="6" t="n"/>
      <c r="P39" s="6" t="n"/>
      <c r="Q39" s="6" t="n"/>
    </row>
    <row r="40" ht="36" customHeight="1">
      <c r="A40" s="6" t="n"/>
      <c r="B40" s="23" t="n"/>
      <c r="C40" s="6" t="n"/>
      <c r="D40" s="31" t="inlineStr">
        <is>
          <t>Önerilen İşlem</t>
        </is>
      </c>
      <c r="F40" s="43">
        <f>IF($F$24="","",IFERROR(INDEX(MUSTERI_360!$R$7:$R$106,MATCH($F$24,MUSTERI_360!$C$7:$C$106,0)),""))</f>
        <v/>
      </c>
      <c r="J40" s="6" t="n"/>
      <c r="K40" s="6" t="n"/>
      <c r="L40" s="6" t="n"/>
      <c r="M40" s="6" t="n"/>
      <c r="N40" s="6" t="n"/>
      <c r="O40" s="6" t="n"/>
      <c r="P40" s="6" t="n"/>
      <c r="Q40" s="6" t="n"/>
    </row>
    <row r="41" ht="22" customHeight="1">
      <c r="A41" s="6" t="n"/>
      <c r="B41" s="23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 ht="22" customHeight="1">
      <c r="A42" s="6" t="n"/>
      <c r="B42" s="23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73">
    <mergeCell ref="M11:O11"/>
    <mergeCell ref="J6:L6"/>
    <mergeCell ref="F31:I31"/>
    <mergeCell ref="D11:F11"/>
    <mergeCell ref="G10:I10"/>
    <mergeCell ref="M10:O10"/>
    <mergeCell ref="F27:I27"/>
    <mergeCell ref="G6:I6"/>
    <mergeCell ref="J29:N29"/>
    <mergeCell ref="D34:E34"/>
    <mergeCell ref="F39:I39"/>
    <mergeCell ref="J28:N28"/>
    <mergeCell ref="M7:O7"/>
    <mergeCell ref="F37:I37"/>
    <mergeCell ref="D40:E40"/>
    <mergeCell ref="D36:E36"/>
    <mergeCell ref="D7:F7"/>
    <mergeCell ref="D31:E31"/>
    <mergeCell ref="M6:O6"/>
    <mergeCell ref="J11:L11"/>
    <mergeCell ref="J7:L7"/>
    <mergeCell ref="J34:N34"/>
    <mergeCell ref="A2:O2"/>
    <mergeCell ref="J30:N30"/>
    <mergeCell ref="G5:I5"/>
    <mergeCell ref="D27:E27"/>
    <mergeCell ref="J24:N24"/>
    <mergeCell ref="D9:F9"/>
    <mergeCell ref="F29:I29"/>
    <mergeCell ref="D32:E32"/>
    <mergeCell ref="J36:N36"/>
    <mergeCell ref="D26:E26"/>
    <mergeCell ref="F25:I25"/>
    <mergeCell ref="F34:I34"/>
    <mergeCell ref="J27:N27"/>
    <mergeCell ref="J35:N35"/>
    <mergeCell ref="J26:N26"/>
    <mergeCell ref="F40:I40"/>
    <mergeCell ref="D5:F5"/>
    <mergeCell ref="J25:N25"/>
    <mergeCell ref="D37:E37"/>
    <mergeCell ref="F24:I24"/>
    <mergeCell ref="F30:I30"/>
    <mergeCell ref="G9:I9"/>
    <mergeCell ref="D28:E28"/>
    <mergeCell ref="J32:N32"/>
    <mergeCell ref="J31:N31"/>
    <mergeCell ref="F33:I33"/>
    <mergeCell ref="D39:E39"/>
    <mergeCell ref="D10:F10"/>
    <mergeCell ref="G11:I11"/>
    <mergeCell ref="J5:L5"/>
    <mergeCell ref="D25:E25"/>
    <mergeCell ref="F32:I32"/>
    <mergeCell ref="F26:I26"/>
    <mergeCell ref="F36:I36"/>
    <mergeCell ref="D24:E24"/>
    <mergeCell ref="J10:L10"/>
    <mergeCell ref="D30:E30"/>
    <mergeCell ref="F35:I35"/>
    <mergeCell ref="D33:E33"/>
    <mergeCell ref="M9:O9"/>
    <mergeCell ref="D29:E29"/>
    <mergeCell ref="M5:O5"/>
    <mergeCell ref="G7:I7"/>
    <mergeCell ref="D38:E38"/>
    <mergeCell ref="A1:O1"/>
    <mergeCell ref="F38:I38"/>
    <mergeCell ref="J33:N33"/>
    <mergeCell ref="J9:L9"/>
    <mergeCell ref="D6:F6"/>
    <mergeCell ref="D35:E35"/>
    <mergeCell ref="F28:I28"/>
  </mergeCells>
  <conditionalFormatting sqref="O24">
    <cfRule type="cellIs" priority="1" operator="greaterThan" dxfId="0">
      <formula>0</formula>
    </cfRule>
  </conditionalFormatting>
  <conditionalFormatting sqref="O25">
    <cfRule type="cellIs" priority="2" operator="greaterThan" dxfId="1">
      <formula>0</formula>
    </cfRule>
  </conditionalFormatting>
  <conditionalFormatting sqref="O26">
    <cfRule type="cellIs" priority="3" operator="greaterThan" dxfId="2">
      <formula>0</formula>
    </cfRule>
  </conditionalFormatting>
  <conditionalFormatting sqref="O27">
    <cfRule type="cellIs" priority="4" operator="greaterThan" dxfId="0">
      <formula>0</formula>
    </cfRule>
  </conditionalFormatting>
  <conditionalFormatting sqref="O28">
    <cfRule type="cellIs" priority="5" operator="greaterThan" dxfId="0">
      <formula>0</formula>
    </cfRule>
  </conditionalFormatting>
  <conditionalFormatting sqref="O29">
    <cfRule type="cellIs" priority="6" operator="greaterThan" dxfId="1">
      <formula>0</formula>
    </cfRule>
  </conditionalFormatting>
  <conditionalFormatting sqref="O30">
    <cfRule type="cellIs" priority="7" operator="greaterThan" dxfId="1">
      <formula>0</formula>
    </cfRule>
  </conditionalFormatting>
  <conditionalFormatting sqref="O31">
    <cfRule type="cellIs" priority="8" operator="greaterThan" dxfId="1">
      <formula>0</formula>
    </cfRule>
  </conditionalFormatting>
  <conditionalFormatting sqref="O32">
    <cfRule type="cellIs" priority="9" operator="greaterThan" dxfId="1">
      <formula>0</formula>
    </cfRule>
  </conditionalFormatting>
  <conditionalFormatting sqref="O33">
    <cfRule type="cellIs" priority="10" operator="greaterThan" dxfId="2">
      <formula>0</formula>
    </cfRule>
  </conditionalFormatting>
  <conditionalFormatting sqref="O34">
    <cfRule type="cellIs" priority="11" operator="greaterThan" dxfId="0">
      <formula>0</formula>
    </cfRule>
  </conditionalFormatting>
  <conditionalFormatting sqref="O35">
    <cfRule type="cellIs" priority="12" operator="greaterThan" dxfId="1">
      <formula>0</formula>
    </cfRule>
  </conditionalFormatting>
  <conditionalFormatting sqref="O36">
    <cfRule type="cellIs" priority="13" operator="greaterThan" dxfId="0">
      <formula>0</formula>
    </cfRule>
  </conditionalFormatting>
  <dataValidations count="1">
    <dataValidation sqref="F24" showDropDown="0" showInputMessage="0" showErrorMessage="1" allowBlank="1" errorTitle="Tanımsız müşteri" error="Müşteri listesinden seçin." type="list">
      <formula1>LST_MUSTERI_ADI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 fitToPage="1"/>
  </sheetPr>
  <dimension ref="A1:K89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10" customWidth="1" min="2" max="2"/>
    <col width="26" customWidth="1" min="3" max="3"/>
    <col width="20" customWidth="1" min="4" max="4"/>
    <col width="20" customWidth="1" min="5" max="5"/>
    <col width="30" customWidth="1" min="6" max="6"/>
    <col width="34" customWidth="1" min="7" max="7"/>
    <col width="26" customWidth="1" min="8" max="8"/>
    <col width="18" customWidth="1" min="9" max="9"/>
    <col width="2.4" customWidth="1" min="10" max="10"/>
    <col width="2.4" customWidth="1" min="11" max="11"/>
  </cols>
  <sheetData>
    <row r="1" ht="38" customHeight="1">
      <c r="A1" s="1" t="inlineStr">
        <is>
          <t>KILIÇ MUHASEBE   │   BAŞLANGIÇ  │  AMAÇ, RENK KİLAVUZU VE KULLANIM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45" t="n"/>
      <c r="K1" s="45" t="n"/>
    </row>
    <row r="2" ht="22" customHeight="1">
      <c r="A2" s="4" t="inlineStr">
        <is>
          <t>Bu ekran sistemin kimlik kartıdır │ İlk kez açıyorsanız baştan sona okuyun</t>
        </is>
      </c>
      <c r="J2" s="46" t="n"/>
      <c r="K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34" customHeight="1">
      <c r="A5" s="6" t="n"/>
      <c r="B5" s="48" t="inlineStr">
        <is>
          <t>KILIÇ MUHASEBE  │  OFİS YÖNETİM SİSTEMİ</t>
        </is>
      </c>
      <c r="J5" s="6" t="n"/>
      <c r="K5" s="6" t="n"/>
    </row>
    <row r="6" ht="22" customHeight="1">
      <c r="A6" s="6" t="n"/>
      <c r="B6" s="50" t="inlineStr">
        <is>
          <t>Enterprise Exclusive sürüm │ Haftalık ücretle çalışan muhasebe ofisleri için müşteri, tahakkuk, tahsilat, cari, kasa ve ortak payı yönetimi</t>
        </is>
      </c>
      <c r="J6" s="6" t="n"/>
      <c r="K6" s="6" t="n"/>
    </row>
    <row r="7" ht="10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28" customHeight="1">
      <c r="A8" s="6" t="n"/>
      <c r="B8" s="205" t="inlineStr">
        <is>
          <t>1.  BU EXCEL NE İÇİN ÜRETİLDİ?</t>
        </is>
      </c>
      <c r="C8" s="169" t="n"/>
      <c r="D8" s="169" t="n"/>
      <c r="E8" s="169" t="n"/>
      <c r="F8" s="169" t="n"/>
      <c r="G8" s="169" t="n"/>
      <c r="H8" s="169" t="n"/>
      <c r="I8" s="169" t="n"/>
      <c r="J8" s="6" t="n"/>
      <c r="K8" s="6" t="n"/>
    </row>
    <row r="9" ht="26" customHeight="1">
      <c r="A9" s="6" t="n"/>
      <c r="B9" s="54" t="inlineStr">
        <is>
          <t>Başlık</t>
        </is>
      </c>
      <c r="D9" s="54" t="inlineStr">
        <is>
          <t>Açıklama</t>
        </is>
      </c>
      <c r="J9" s="6" t="n"/>
      <c r="K9" s="6" t="n"/>
    </row>
    <row r="10" ht="32" customHeight="1">
      <c r="A10" s="6" t="n"/>
      <c r="B10" s="206" t="inlineStr">
        <is>
          <t>Amaç</t>
        </is>
      </c>
      <c r="C10" s="185" t="n"/>
      <c r="D10" s="57" t="inlineStr">
        <is>
          <t>Haftalık ücretle çalışan bir muhasebe ofisinin tüm ticari işleyişini tek dosyada, tek veri girişiyle ve kendi kendini denetleyen bir yapıyla yönetmek.</t>
        </is>
      </c>
      <c r="E10" s="185" t="n"/>
      <c r="F10" s="185" t="n"/>
      <c r="G10" s="185" t="n"/>
      <c r="H10" s="185" t="n"/>
      <c r="I10" s="186" t="n"/>
      <c r="J10" s="6" t="n"/>
      <c r="K10" s="6" t="n"/>
    </row>
    <row r="11" ht="32" customHeight="1">
      <c r="A11" s="6" t="n"/>
      <c r="B11" s="206" t="inlineStr">
        <is>
          <t>Kimin için?</t>
        </is>
      </c>
      <c r="C11" s="185" t="n"/>
      <c r="D11" s="57" t="inlineStr">
        <is>
          <t>Müşterilerinden haftalık / dönemsel ücret tahsil eden, ortaklı veya tek kişilik muhasebe ve mali müşavirlik ofisleri için.</t>
        </is>
      </c>
      <c r="E11" s="185" t="n"/>
      <c r="F11" s="185" t="n"/>
      <c r="G11" s="185" t="n"/>
      <c r="H11" s="185" t="n"/>
      <c r="I11" s="186" t="n"/>
      <c r="J11" s="6" t="n"/>
      <c r="K11" s="6" t="n"/>
    </row>
    <row r="12" ht="32" customHeight="1">
      <c r="A12" s="6" t="n"/>
      <c r="B12" s="206" t="inlineStr">
        <is>
          <t>Neyi çözer?</t>
        </is>
      </c>
      <c r="C12" s="185" t="n"/>
      <c r="D12" s="57" t="inlineStr">
        <is>
          <t>“Kim ne kadar borçlu, bu borç kaç günlük, kasada ne kadar param var, bu ay gerçekten ne kazandım ve ortaklara ne dağıtabilirim” sorularını tahmine dayanmadan cevaplar.</t>
        </is>
      </c>
      <c r="E12" s="185" t="n"/>
      <c r="F12" s="185" t="n"/>
      <c r="G12" s="185" t="n"/>
      <c r="H12" s="185" t="n"/>
      <c r="I12" s="186" t="n"/>
      <c r="J12" s="6" t="n"/>
      <c r="K12" s="6" t="n"/>
    </row>
    <row r="13" ht="32" customHeight="1">
      <c r="A13" s="6" t="n"/>
      <c r="B13" s="206" t="inlineStr">
        <is>
          <t>Nasıl çalışır?</t>
        </is>
      </c>
      <c r="C13" s="185" t="n"/>
      <c r="D13" s="57" t="inlineStr">
        <is>
          <t>Siz yalnızca sarı hücrelere gerçek işlemi girersiniz. Cari hesap, yaşlandırma, kasa bakiyesi, aylık kapanış ve ortak payları otomatik olarak hesaplanır.</t>
        </is>
      </c>
      <c r="E13" s="185" t="n"/>
      <c r="F13" s="185" t="n"/>
      <c r="G13" s="185" t="n"/>
      <c r="H13" s="185" t="n"/>
      <c r="I13" s="186" t="n"/>
      <c r="J13" s="6" t="n"/>
      <c r="K13" s="6" t="n"/>
    </row>
    <row r="14" ht="32" customHeight="1">
      <c r="A14" s="6" t="n"/>
      <c r="B14" s="206" t="inlineStr">
        <is>
          <t>Neden güvenilir?</t>
        </is>
      </c>
      <c r="C14" s="185" t="n"/>
      <c r="D14" s="57" t="inlineStr">
        <is>
          <t>Sistem her açılışta 28 otomatik kontrol çalıştırır. Bir tanesi bile KALDI verirse ay kapatılamaz; hata sessizce geçmez.</t>
        </is>
      </c>
      <c r="E14" s="185" t="n"/>
      <c r="F14" s="185" t="n"/>
      <c r="G14" s="185" t="n"/>
      <c r="H14" s="185" t="n"/>
      <c r="I14" s="186" t="n"/>
      <c r="J14" s="6" t="n"/>
      <c r="K14" s="6" t="n"/>
    </row>
    <row r="15" ht="32" customHeight="1">
      <c r="A15" s="6" t="n"/>
      <c r="B15" s="206" t="inlineStr">
        <is>
          <t>Tahakkuk esası</t>
        </is>
      </c>
      <c r="C15" s="185" t="n"/>
      <c r="D15" s="57" t="inlineStr">
        <is>
          <t>Haftalık ücret her Cumartesi otomatik tahakkuk eder. Ücret değiştiğinde eski dönem kapatılır, yeni dönem açılır; geçmiş hesaplar asla bozulmaz.</t>
        </is>
      </c>
      <c r="E15" s="185" t="n"/>
      <c r="F15" s="185" t="n"/>
      <c r="G15" s="185" t="n"/>
      <c r="H15" s="185" t="n"/>
      <c r="I15" s="186" t="n"/>
      <c r="J15" s="6" t="n"/>
      <c r="K15" s="6" t="n"/>
    </row>
    <row r="16" ht="32" customHeight="1">
      <c r="A16" s="6" t="n"/>
      <c r="B16" s="206" t="inlineStr">
        <is>
          <t>Kâr esası</t>
        </is>
      </c>
      <c r="C16" s="185" t="n"/>
      <c r="D16" s="57" t="inlineStr">
        <is>
          <t>Dağıtım yalnız tahsil edilmiş nakit kârdan yapılır. Tahsil edilmemiş müşteri alacağı kâr sayılmaz ve ortaklara dağıtılmaz.</t>
        </is>
      </c>
      <c r="E16" s="185" t="n"/>
      <c r="F16" s="185" t="n"/>
      <c r="G16" s="185" t="n"/>
      <c r="H16" s="185" t="n"/>
      <c r="I16" s="186" t="n"/>
      <c r="J16" s="6" t="n"/>
      <c r="K16" s="6" t="n"/>
    </row>
    <row r="17" ht="1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28" customHeight="1">
      <c r="A18" s="6" t="n"/>
      <c r="B18" s="205" t="inlineStr">
        <is>
          <t>2.  RENK KİLAVUZU  │  EKRANDAKİ RENKLER NE ANLAMA GELİR?</t>
        </is>
      </c>
      <c r="C18" s="169" t="n"/>
      <c r="D18" s="169" t="n"/>
      <c r="E18" s="169" t="n"/>
      <c r="F18" s="169" t="n"/>
      <c r="G18" s="169" t="n"/>
      <c r="H18" s="169" t="n"/>
      <c r="I18" s="169" t="n"/>
      <c r="J18" s="6" t="n"/>
      <c r="K18" s="6" t="n"/>
    </row>
    <row r="19" ht="26" customHeight="1">
      <c r="A19" s="6" t="n"/>
      <c r="B19" s="54" t="inlineStr">
        <is>
          <t>Renk</t>
        </is>
      </c>
      <c r="C19" s="54" t="inlineStr">
        <is>
          <t>Ne görünür</t>
        </is>
      </c>
      <c r="E19" s="54" t="inlineStr">
        <is>
          <t>Anlamı</t>
        </is>
      </c>
      <c r="G19" s="54" t="inlineStr">
        <is>
          <t>Ne yapmanız gerekir</t>
        </is>
      </c>
      <c r="J19" s="6" t="n"/>
      <c r="K19" s="6" t="n"/>
    </row>
    <row r="20" ht="30" customHeight="1">
      <c r="A20" s="6" t="n"/>
      <c r="B20" s="59" t="inlineStr">
        <is>
          <t>■</t>
        </is>
      </c>
      <c r="C20" s="207" t="inlineStr">
        <is>
          <t>SARI ZEMİN / MAVİ YAZI</t>
        </is>
      </c>
      <c r="D20" s="185" t="n"/>
      <c r="E20" s="208" t="inlineStr">
        <is>
          <t>Veri giriş alanı</t>
        </is>
      </c>
      <c r="F20" s="185" t="n"/>
      <c r="G20" s="57" t="inlineStr">
        <is>
          <t>Bu hücrelere siz yazarsınız. Sistemin tek besleme kaynağı bu alanlardır.</t>
        </is>
      </c>
      <c r="H20" s="185" t="n"/>
      <c r="I20" s="186" t="n"/>
      <c r="J20" s="6" t="n"/>
      <c r="K20" s="6" t="n"/>
    </row>
    <row r="21" ht="30" customHeight="1">
      <c r="A21" s="6" t="n"/>
      <c r="B21" s="63" t="inlineStr">
        <is>
          <t>■</t>
        </is>
      </c>
      <c r="C21" s="209" t="inlineStr">
        <is>
          <t>BEYAZ ZEMİN / SİYAH YAZI</t>
        </is>
      </c>
      <c r="D21" s="185" t="n"/>
      <c r="E21" s="208" t="inlineStr">
        <is>
          <t>Otomatik hesaplanan alan</t>
        </is>
      </c>
      <c r="F21" s="185" t="n"/>
      <c r="G21" s="57" t="inlineStr">
        <is>
          <t>Sistem hesaplar, kilitlidir. Elle değiştirilemez; değiştirmeye çalışırsanız uyarı alırsınız.</t>
        </is>
      </c>
      <c r="H21" s="185" t="n"/>
      <c r="I21" s="186" t="n"/>
      <c r="J21" s="6" t="n"/>
      <c r="K21" s="6" t="n"/>
    </row>
    <row r="22" ht="30" customHeight="1">
      <c r="A22" s="6" t="n"/>
      <c r="B22" s="66" t="inlineStr">
        <is>
          <t>■</t>
        </is>
      </c>
      <c r="C22" s="210" t="inlineStr">
        <is>
          <t>LACİVERT BANT</t>
        </is>
      </c>
      <c r="D22" s="185" t="n"/>
      <c r="E22" s="208" t="inlineStr">
        <is>
          <t>Başlık ve tablo başlığı</t>
        </is>
      </c>
      <c r="F22" s="185" t="n"/>
      <c r="G22" s="57" t="inlineStr">
        <is>
          <t>Ekran adı ve sütun başlıkları. Altındaki altın çizgi tablonun başladığı yeri gösterir.</t>
        </is>
      </c>
      <c r="H22" s="185" t="n"/>
      <c r="I22" s="186" t="n"/>
      <c r="J22" s="6" t="n"/>
      <c r="K22" s="6" t="n"/>
    </row>
    <row r="23" ht="30" customHeight="1">
      <c r="A23" s="6" t="n"/>
      <c r="B23" s="68" t="inlineStr">
        <is>
          <t>■</t>
        </is>
      </c>
      <c r="C23" s="210" t="inlineStr">
        <is>
          <t>AÇIK MAVİ SATIR</t>
        </is>
      </c>
      <c r="D23" s="185" t="n"/>
      <c r="E23" s="208" t="inlineStr">
        <is>
          <t>TOPLAM satırı</t>
        </is>
      </c>
      <c r="F23" s="185" t="n"/>
      <c r="G23" s="57" t="inlineStr">
        <is>
          <t>Tablo başlığının hemen üstünde durur ve aşağı kaydırsanız da ekranda kalır.</t>
        </is>
      </c>
      <c r="H23" s="185" t="n"/>
      <c r="I23" s="186" t="n"/>
      <c r="J23" s="6" t="n"/>
      <c r="K23" s="6" t="n"/>
    </row>
    <row r="24" ht="30" customHeight="1">
      <c r="A24" s="6" t="n"/>
      <c r="B24" s="69" t="inlineStr">
        <is>
          <t>■</t>
        </is>
      </c>
      <c r="C24" s="211" t="inlineStr">
        <is>
          <t>YEŞİL ROZET</t>
        </is>
      </c>
      <c r="D24" s="185" t="n"/>
      <c r="E24" s="208" t="inlineStr">
        <is>
          <t>UYGUN / GEÇTİ / TEMİZ</t>
        </is>
      </c>
      <c r="F24" s="185" t="n"/>
      <c r="G24" s="57" t="inlineStr">
        <is>
          <t>Kayıt eksiksiz, kontrol başarılı. Herhangi bir işlem gerekmiyor.</t>
        </is>
      </c>
      <c r="H24" s="185" t="n"/>
      <c r="I24" s="186" t="n"/>
      <c r="J24" s="6" t="n"/>
      <c r="K24" s="6" t="n"/>
    </row>
    <row r="25" ht="30" customHeight="1">
      <c r="A25" s="6" t="n"/>
      <c r="B25" s="72" t="inlineStr">
        <is>
          <t>■</t>
        </is>
      </c>
      <c r="C25" s="212" t="inlineStr">
        <is>
          <t>TURUNCU ROZET</t>
        </is>
      </c>
      <c r="D25" s="185" t="n"/>
      <c r="E25" s="208" t="inlineStr">
        <is>
          <t>EKSİK / BUGÜN / ORTA</t>
        </is>
      </c>
      <c r="F25" s="185" t="n"/>
      <c r="G25" s="57" t="inlineStr">
        <is>
          <t>Dikkat gerektirir. Kayıt tamamlanmalı veya iş bugün teslim edilmeli.</t>
        </is>
      </c>
      <c r="H25" s="185" t="n"/>
      <c r="I25" s="186" t="n"/>
      <c r="J25" s="6" t="n"/>
      <c r="K25" s="6" t="n"/>
    </row>
    <row r="26" ht="30" customHeight="1">
      <c r="A26" s="6" t="n"/>
      <c r="B26" s="75" t="inlineStr">
        <is>
          <t>■</t>
        </is>
      </c>
      <c r="C26" s="213" t="inlineStr">
        <is>
          <t>KIRMIZI ROZET</t>
        </is>
      </c>
      <c r="D26" s="185" t="n"/>
      <c r="E26" s="208" t="inlineStr">
        <is>
          <t>HATA / KALDI / KRİTİK / GECİKMİŞ</t>
        </is>
      </c>
      <c r="F26" s="185" t="n"/>
      <c r="G26" s="57" t="inlineStr">
        <is>
          <t>Acil müdahale. Kırmızı satır varken ay sonu kapatılmamalıdır.</t>
        </is>
      </c>
      <c r="H26" s="185" t="n"/>
      <c r="I26" s="186" t="n"/>
      <c r="J26" s="6" t="n"/>
      <c r="K26" s="6" t="n"/>
    </row>
    <row r="27" ht="30" customHeight="1">
      <c r="A27" s="6" t="n"/>
      <c r="B27" s="78" t="inlineStr">
        <is>
          <t>■</t>
        </is>
      </c>
      <c r="C27" s="214" t="inlineStr">
        <is>
          <t>GRİ ROZET</t>
        </is>
      </c>
      <c r="D27" s="185" t="n"/>
      <c r="E27" s="208" t="inlineStr">
        <is>
          <t>PASİF / PLANLI / İZLE</t>
        </is>
      </c>
      <c r="F27" s="185" t="n"/>
      <c r="G27" s="57" t="inlineStr">
        <is>
          <t>Bilgi amaçlıdır, işlem gerektirmez.</t>
        </is>
      </c>
      <c r="H27" s="185" t="n"/>
      <c r="I27" s="186" t="n"/>
      <c r="J27" s="6" t="n"/>
      <c r="K27" s="6" t="n"/>
    </row>
    <row r="28" ht="12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</row>
    <row r="29" ht="28" customHeight="1">
      <c r="A29" s="6" t="n"/>
      <c r="B29" s="205" t="inlineStr">
        <is>
          <t>3.  SEKME RENK HARİTASI  │  ALTTAKİ SEKME RENKLERİ NE İŞE YARAR?</t>
        </is>
      </c>
      <c r="C29" s="169" t="n"/>
      <c r="D29" s="169" t="n"/>
      <c r="E29" s="169" t="n"/>
      <c r="F29" s="169" t="n"/>
      <c r="G29" s="169" t="n"/>
      <c r="H29" s="169" t="n"/>
      <c r="I29" s="169" t="n"/>
      <c r="J29" s="6" t="n"/>
      <c r="K29" s="6" t="n"/>
    </row>
    <row r="30" ht="26" customHeight="1">
      <c r="A30" s="6" t="n"/>
      <c r="B30" s="54" t="inlineStr">
        <is>
          <t>Renk</t>
        </is>
      </c>
      <c r="C30" s="54" t="inlineStr">
        <is>
          <t>Sekme</t>
        </is>
      </c>
      <c r="D30" s="54" t="inlineStr">
        <is>
          <t>Ne için?</t>
        </is>
      </c>
      <c r="F30" s="54" t="inlineStr">
        <is>
          <t>Açıklama</t>
        </is>
      </c>
      <c r="J30" s="6" t="n"/>
      <c r="K30" s="6" t="n"/>
    </row>
    <row r="31" ht="26" customHeight="1">
      <c r="A31" s="6" t="n"/>
      <c r="B31" s="81" t="inlineStr">
        <is>
          <t>■</t>
        </is>
      </c>
      <c r="C31" s="82">
        <f>HYPERLINK("#PANO!A1","PANO")</f>
        <v/>
      </c>
      <c r="D31" s="208" t="inlineStr">
        <is>
          <t>Yönetim panosu</t>
        </is>
      </c>
      <c r="E31" s="185" t="n"/>
      <c r="F31" s="57" t="inlineStr">
        <is>
          <t>Günüe buradan başlayın: özet rakamlar, grafikler ve uyarılar.</t>
        </is>
      </c>
      <c r="G31" s="185" t="n"/>
      <c r="H31" s="185" t="n"/>
      <c r="I31" s="186" t="n"/>
      <c r="J31" s="6" t="n"/>
      <c r="K31" s="6" t="n"/>
    </row>
    <row r="32" ht="26" customHeight="1">
      <c r="A32" s="6" t="n"/>
      <c r="B32" s="83" t="inlineStr">
        <is>
          <t>■</t>
        </is>
      </c>
      <c r="C32" s="82">
        <f>HYPERLINK("#BASLANGIC!A1","BASLANGIC")</f>
        <v/>
      </c>
      <c r="D32" s="208" t="inlineStr">
        <is>
          <t>Kullanım kılavuzu</t>
        </is>
      </c>
      <c r="E32" s="185" t="n"/>
      <c r="F32" s="57" t="inlineStr">
        <is>
          <t>Şu an okuduğunuz ekran. Amaç, renk kuralı ve adımlar.</t>
        </is>
      </c>
      <c r="G32" s="185" t="n"/>
      <c r="H32" s="185" t="n"/>
      <c r="I32" s="186" t="n"/>
      <c r="J32" s="6" t="n"/>
      <c r="K32" s="6" t="n"/>
    </row>
    <row r="33" ht="26" customHeight="1">
      <c r="A33" s="6" t="n"/>
      <c r="B33" s="84" t="inlineStr">
        <is>
          <t>■</t>
        </is>
      </c>
      <c r="C33" s="82">
        <f>HYPERLINK("#MUSTERILER!A1","MUSTERILER")</f>
        <v/>
      </c>
      <c r="D33" s="208" t="inlineStr">
        <is>
          <t>Ana müşteri kartı</t>
        </is>
      </c>
      <c r="E33" s="185" t="n"/>
      <c r="F33" s="57" t="inlineStr">
        <is>
          <t>Her müşteri için tek kayıt. Devir alacağı burada tanımlanır.</t>
        </is>
      </c>
      <c r="G33" s="185" t="n"/>
      <c r="H33" s="185" t="n"/>
      <c r="I33" s="186" t="n"/>
      <c r="J33" s="6" t="n"/>
      <c r="K33" s="6" t="n"/>
    </row>
    <row r="34" ht="26" customHeight="1">
      <c r="A34" s="6" t="n"/>
      <c r="B34" s="85" t="inlineStr">
        <is>
          <t>■</t>
        </is>
      </c>
      <c r="C34" s="82">
        <f>HYPERLINK("#UCRETLER!A1","UCRETLER")</f>
        <v/>
      </c>
      <c r="D34" s="208" t="inlineStr">
        <is>
          <t>Haftalık ücret dönemleri</t>
        </is>
      </c>
      <c r="E34" s="185" t="n"/>
      <c r="F34" s="57" t="inlineStr">
        <is>
          <t>Fiyat geçmişi. Tahakkuk motorunun kaynağı.</t>
        </is>
      </c>
      <c r="G34" s="185" t="n"/>
      <c r="H34" s="185" t="n"/>
      <c r="I34" s="186" t="n"/>
      <c r="J34" s="6" t="n"/>
      <c r="K34" s="6" t="n"/>
    </row>
    <row r="35" ht="26" customHeight="1">
      <c r="A35" s="6" t="n"/>
      <c r="B35" s="86" t="inlineStr">
        <is>
          <t>■</t>
        </is>
      </c>
      <c r="C35" s="82">
        <f>HYPERLINK("#TAHSILAT!A1","TAHSILAT")</f>
        <v/>
      </c>
      <c r="D35" s="208" t="inlineStr">
        <is>
          <t>Müşteri tahsilatı</t>
        </is>
      </c>
      <c r="E35" s="185" t="n"/>
      <c r="F35" s="57" t="inlineStr">
        <is>
          <t>Müşteriden gelen her ödeme yalnız buraya girilir.</t>
        </is>
      </c>
      <c r="G35" s="185" t="n"/>
      <c r="H35" s="185" t="n"/>
      <c r="I35" s="186" t="n"/>
      <c r="J35" s="6" t="n"/>
      <c r="K35" s="6" t="n"/>
    </row>
    <row r="36" ht="26" customHeight="1">
      <c r="A36" s="6" t="n"/>
      <c r="B36" s="87" t="inlineStr">
        <is>
          <t>■</t>
        </is>
      </c>
      <c r="C36" s="82">
        <f>HYPERLINK("#GELIR_GIDER!A1","GELIR_GIDER")</f>
        <v/>
      </c>
      <c r="D36" s="208" t="inlineStr">
        <is>
          <t>Ofis gelir ve giderleri</t>
        </is>
      </c>
      <c r="E36" s="185" t="n"/>
      <c r="F36" s="57" t="inlineStr">
        <is>
          <t>Kira, personel, fatura gibi müşteri dışı hareketler.</t>
        </is>
      </c>
      <c r="G36" s="185" t="n"/>
      <c r="H36" s="185" t="n"/>
      <c r="I36" s="186" t="n"/>
      <c r="J36" s="6" t="n"/>
      <c r="K36" s="6" t="n"/>
    </row>
    <row r="37" ht="26" customHeight="1">
      <c r="A37" s="6" t="n"/>
      <c r="B37" s="88" t="inlineStr">
        <is>
          <t>■</t>
        </is>
      </c>
      <c r="C37" s="82">
        <f>HYPERLINK("#VIRMAN!A1","VIRMAN")</f>
        <v/>
      </c>
      <c r="D37" s="208" t="inlineStr">
        <is>
          <t>Hesaplar arası transfer</t>
        </is>
      </c>
      <c r="E37" s="185" t="n"/>
      <c r="F37" s="57" t="inlineStr">
        <is>
          <t>Kasadan bankaya para geçişi. Kârı etkilemez.</t>
        </is>
      </c>
      <c r="G37" s="185" t="n"/>
      <c r="H37" s="185" t="n"/>
      <c r="I37" s="186" t="n"/>
      <c r="J37" s="6" t="n"/>
      <c r="K37" s="6" t="n"/>
    </row>
    <row r="38" ht="26" customHeight="1">
      <c r="A38" s="6" t="n"/>
      <c r="B38" s="89" t="inlineStr">
        <is>
          <t>■</t>
        </is>
      </c>
      <c r="C38" s="82">
        <f>HYPERLINK("#AKTIVITE!A1","AKTIVITE")</f>
        <v/>
      </c>
      <c r="D38" s="208" t="inlineStr">
        <is>
          <t>İşler ve görüşmeler</t>
        </is>
      </c>
      <c r="E38" s="185" t="n"/>
      <c r="F38" s="57" t="inlineStr">
        <is>
          <t>Beyanname, bildirim, telefon, toplantı ve son tarihler.</t>
        </is>
      </c>
      <c r="G38" s="185" t="n"/>
      <c r="H38" s="185" t="n"/>
      <c r="I38" s="186" t="n"/>
      <c r="J38" s="6" t="n"/>
      <c r="K38" s="6" t="n"/>
    </row>
    <row r="39" ht="26" customHeight="1">
      <c r="A39" s="6" t="n"/>
      <c r="B39" s="90" t="inlineStr">
        <is>
          <t>■</t>
        </is>
      </c>
      <c r="C39" s="82">
        <f>HYPERLINK("#MUSTERI_360!A1","MUSTERI_360")</f>
        <v/>
      </c>
      <c r="D39" s="208" t="inlineStr">
        <is>
          <t>Cari ve yaşlandırma</t>
        </is>
      </c>
      <c r="E39" s="185" t="n"/>
      <c r="F39" s="57" t="inlineStr">
        <is>
          <t>Salt okunur karar ekranı. Kimden ne kadar alacaksınız?</t>
        </is>
      </c>
      <c r="G39" s="185" t="n"/>
      <c r="H39" s="185" t="n"/>
      <c r="I39" s="186" t="n"/>
      <c r="J39" s="6" t="n"/>
      <c r="K39" s="6" t="n"/>
    </row>
    <row r="40" ht="26" customHeight="1">
      <c r="A40" s="6" t="n"/>
      <c r="B40" s="91" t="inlineStr">
        <is>
          <t>■</t>
        </is>
      </c>
      <c r="C40" s="82">
        <f>HYPERLINK("#CARI_EKSTRE!A1","CARI_EKSTRE")</f>
        <v/>
      </c>
      <c r="D40" s="208" t="inlineStr">
        <is>
          <t>Müşteri cari ekstresi</t>
        </is>
      </c>
      <c r="E40" s="185" t="n"/>
      <c r="F40" s="57" t="inlineStr">
        <is>
          <t>Seçilen müşterinin borç / alacak / bakiye hareketleri, tarih sırasıyla.</t>
        </is>
      </c>
      <c r="G40" s="185" t="n"/>
      <c r="H40" s="185" t="n"/>
      <c r="I40" s="186" t="n"/>
      <c r="J40" s="6" t="n"/>
      <c r="K40" s="6" t="n"/>
    </row>
    <row r="41" ht="26" customHeight="1">
      <c r="A41" s="6" t="n"/>
      <c r="B41" s="92" t="inlineStr">
        <is>
          <t>■</t>
        </is>
      </c>
      <c r="C41" s="82">
        <f>HYPERLINK("#HESAPLAR!A1","HESAPLAR")</f>
        <v/>
      </c>
      <c r="D41" s="208" t="inlineStr">
        <is>
          <t>Kasa ve banka</t>
        </is>
      </c>
      <c r="E41" s="185" t="n"/>
      <c r="F41" s="57" t="inlineStr">
        <is>
          <t>Her hesabın güncel bakiyesi ve toplam nakit pozisyonu.</t>
        </is>
      </c>
      <c r="G41" s="185" t="n"/>
      <c r="H41" s="185" t="n"/>
      <c r="I41" s="186" t="n"/>
      <c r="J41" s="6" t="n"/>
      <c r="K41" s="6" t="n"/>
    </row>
    <row r="42" ht="26" customHeight="1">
      <c r="A42" s="6" t="n"/>
      <c r="B42" s="93" t="inlineStr">
        <is>
          <t>■</t>
        </is>
      </c>
      <c r="C42" s="82">
        <f>HYPERLINK("#AY_SONU!A1","AY_SONU")</f>
        <v/>
      </c>
      <c r="D42" s="208" t="inlineStr">
        <is>
          <t>Aylık kapanış</t>
        </is>
      </c>
      <c r="E42" s="185" t="n"/>
      <c r="F42" s="57" t="inlineStr">
        <is>
          <t>Nakit kâr, dağıtılabilir kâr ve ortak payları.</t>
        </is>
      </c>
      <c r="G42" s="185" t="n"/>
      <c r="H42" s="185" t="n"/>
      <c r="I42" s="186" t="n"/>
      <c r="J42" s="6" t="n"/>
      <c r="K42" s="6" t="n"/>
    </row>
    <row r="43" ht="26" customHeight="1">
      <c r="A43" s="6" t="n"/>
      <c r="B43" s="94" t="inlineStr">
        <is>
          <t>■</t>
        </is>
      </c>
      <c r="C43" s="82">
        <f>HYPERLINK("#SISTEM!A1","SISTEM")</f>
        <v/>
      </c>
      <c r="D43" s="208" t="inlineStr">
        <is>
          <t>Ayarlar ve kontrol</t>
        </is>
      </c>
      <c r="E43" s="185" t="n"/>
      <c r="F43" s="57" t="inlineStr">
        <is>
          <t>Ortak payları, kategoriler ve 28 otomatik denetim.</t>
        </is>
      </c>
      <c r="G43" s="185" t="n"/>
      <c r="H43" s="185" t="n"/>
      <c r="I43" s="186" t="n"/>
      <c r="J43" s="6" t="n"/>
      <c r="K43" s="6" t="n"/>
    </row>
    <row r="44" ht="12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</row>
    <row r="45" ht="28" customHeight="1">
      <c r="A45" s="6" t="n"/>
      <c r="B45" s="205" t="inlineStr">
        <is>
          <t>4.  11 ADIMDA KULLANIM  │  HANGİ EKRANA NE GİRİLİR?</t>
        </is>
      </c>
      <c r="C45" s="169" t="n"/>
      <c r="D45" s="169" t="n"/>
      <c r="E45" s="169" t="n"/>
      <c r="F45" s="169" t="n"/>
      <c r="G45" s="169" t="n"/>
      <c r="H45" s="169" t="n"/>
      <c r="I45" s="169" t="n"/>
      <c r="J45" s="6" t="n"/>
      <c r="K45" s="6" t="n"/>
    </row>
    <row r="46" ht="26" customHeight="1">
      <c r="A46" s="6" t="n"/>
      <c r="B46" s="54" t="inlineStr">
        <is>
          <t>Adım</t>
        </is>
      </c>
      <c r="C46" s="54" t="inlineStr">
        <is>
          <t>Ne yapılacak?</t>
        </is>
      </c>
      <c r="D46" s="54" t="inlineStr">
        <is>
          <t>Hangi ekran?</t>
        </is>
      </c>
      <c r="E46" s="54" t="inlineStr">
        <is>
          <t>Kullanıcı ne girer?</t>
        </is>
      </c>
      <c r="G46" s="54" t="inlineStr">
        <is>
          <t>Sistem ne yapar?</t>
        </is>
      </c>
      <c r="H46" s="54" t="inlineStr">
        <is>
          <t>Kontrol noktası</t>
        </is>
      </c>
      <c r="I46" s="54" t="inlineStr">
        <is>
          <t>Sıklık</t>
        </is>
      </c>
      <c r="J46" s="6" t="n"/>
      <c r="K46" s="6" t="n"/>
    </row>
    <row r="47" ht="32" customHeight="1">
      <c r="A47" s="6" t="n"/>
      <c r="B47" s="95" t="inlineStr">
        <is>
          <t>1</t>
        </is>
      </c>
      <c r="C47" s="62" t="inlineStr">
        <is>
          <t>Müşteri kartı aç</t>
        </is>
      </c>
      <c r="D47" s="82">
        <f>HYPERLINK("#MUSTERILER!A1","MUSTERILER")</f>
        <v/>
      </c>
      <c r="E47" s="208" t="inlineStr">
        <is>
          <t>Müşteri no, unvan, durum ve varsa devir alacağı</t>
        </is>
      </c>
      <c r="F47" s="185" t="n"/>
      <c r="G47" s="62" t="inlineStr">
        <is>
          <t>Müşteri tüm ekranlara tanıtılır</t>
        </is>
      </c>
      <c r="H47" s="62" t="inlineStr">
        <is>
          <t>Kayıt Kontrolü = UYGUN</t>
        </is>
      </c>
      <c r="I47" s="57" t="inlineStr">
        <is>
          <t>Yeni müşteride</t>
        </is>
      </c>
      <c r="J47" s="6" t="n"/>
      <c r="K47" s="6" t="n"/>
    </row>
    <row r="48" ht="32" customHeight="1">
      <c r="A48" s="6" t="n"/>
      <c r="B48" s="95" t="inlineStr">
        <is>
          <t>2</t>
        </is>
      </c>
      <c r="C48" s="62" t="inlineStr">
        <is>
          <t>Haftalık ücreti tanımla</t>
        </is>
      </c>
      <c r="D48" s="82">
        <f>HYPERLINK("#UCRETLER!A1","UCRETLER")</f>
        <v/>
      </c>
      <c r="E48" s="208" t="inlineStr">
        <is>
          <t>Başlangıç Cumartesi tarihi ve haftalık ücret</t>
        </is>
      </c>
      <c r="F48" s="185" t="n"/>
      <c r="G48" s="62" t="inlineStr">
        <is>
          <t>Her Cumartesi otomatik tahakkuk oluşur</t>
        </is>
      </c>
      <c r="H48" s="62" t="inlineStr">
        <is>
          <t>Sistem Kontrolü = UYGUN</t>
        </is>
      </c>
      <c r="I48" s="57" t="inlineStr">
        <is>
          <t>Yeni müşteride</t>
        </is>
      </c>
      <c r="J48" s="6" t="n"/>
      <c r="K48" s="6" t="n"/>
    </row>
    <row r="49" ht="32" customHeight="1">
      <c r="A49" s="6" t="n"/>
      <c r="B49" s="95" t="inlineStr">
        <is>
          <t>3</t>
        </is>
      </c>
      <c r="C49" s="62" t="inlineStr">
        <is>
          <t>Ücret değişikliğini işle</t>
        </is>
      </c>
      <c r="D49" s="82">
        <f>HYPERLINK("#UCRETLER!A1","UCRETLER")</f>
        <v/>
      </c>
      <c r="E49" s="208" t="inlineStr">
        <is>
          <t>Eski satıra bitiş Cumartesi, yeni satıra yeni ücret</t>
        </is>
      </c>
      <c r="F49" s="185" t="n"/>
      <c r="G49" s="62" t="inlineStr">
        <is>
          <t>Geçmiş haftalar bozulmadan yeni fiyat uygulanır</t>
        </is>
      </c>
      <c r="H49" s="62" t="inlineStr">
        <is>
          <t>İki aktif dönem çakışmamalı</t>
        </is>
      </c>
      <c r="I49" s="57" t="inlineStr">
        <is>
          <t>Ücret değişinde</t>
        </is>
      </c>
      <c r="J49" s="6" t="n"/>
      <c r="K49" s="6" t="n"/>
    </row>
    <row r="50" ht="32" customHeight="1">
      <c r="A50" s="6" t="n"/>
      <c r="B50" s="95" t="inlineStr">
        <is>
          <t>4</t>
        </is>
      </c>
      <c r="C50" s="62" t="inlineStr">
        <is>
          <t>Tahsilat gir</t>
        </is>
      </c>
      <c r="D50" s="82">
        <f>HYPERLINK("#TAHSILAT!A1","TAHSILAT")</f>
        <v/>
      </c>
      <c r="E50" s="208" t="inlineStr">
        <is>
          <t>Müşteri no, tarih, tutar, kasa/banka</t>
        </is>
      </c>
      <c r="F50" s="185" t="n"/>
      <c r="G50" s="62" t="inlineStr">
        <is>
          <t>Cari, kasa, aylık kapanış ve nakit kâr güncellenir</t>
        </is>
      </c>
      <c r="H50" s="62" t="inlineStr">
        <is>
          <t>Kayıt Kontrolü = UYGUN</t>
        </is>
      </c>
      <c r="I50" s="57" t="inlineStr">
        <is>
          <t>Ödeme geldikçe</t>
        </is>
      </c>
      <c r="J50" s="6" t="n"/>
      <c r="K50" s="6" t="n"/>
    </row>
    <row r="51" ht="32" customHeight="1">
      <c r="A51" s="6" t="n"/>
      <c r="B51" s="95" t="inlineStr">
        <is>
          <t>5</t>
        </is>
      </c>
      <c r="C51" s="62" t="inlineStr">
        <is>
          <t>Gelir / gider gir</t>
        </is>
      </c>
      <c r="D51" s="82">
        <f>HYPERLINK("#GELIR_GIDER!A1","GELIR_GIDER")</f>
        <v/>
      </c>
      <c r="E51" s="208" t="inlineStr">
        <is>
          <t>Tarih, tür, kategori, tutar, hesap, gerçekleşti</t>
        </is>
      </c>
      <c r="F51" s="185" t="n"/>
      <c r="G51" s="62" t="inlineStr">
        <is>
          <t>Kasa bakiyesi ve nakit kâr güncellenir</t>
        </is>
      </c>
      <c r="H51" s="62" t="inlineStr">
        <is>
          <t>Gerçekleşti = Evet olmalı</t>
        </is>
      </c>
      <c r="I51" s="57" t="inlineStr">
        <is>
          <t>Harcama oldukça</t>
        </is>
      </c>
      <c r="J51" s="6" t="n"/>
      <c r="K51" s="6" t="n"/>
    </row>
    <row r="52" ht="32" customHeight="1">
      <c r="A52" s="6" t="n"/>
      <c r="B52" s="95" t="inlineStr">
        <is>
          <t>6</t>
        </is>
      </c>
      <c r="C52" s="62" t="inlineStr">
        <is>
          <t>Hesaplar arası transfer</t>
        </is>
      </c>
      <c r="D52" s="82">
        <f>HYPERLINK("#VIRMAN!A1","VIRMAN")</f>
        <v/>
      </c>
      <c r="E52" s="208" t="inlineStr">
        <is>
          <t>Çıkan hesap, giren hesap, tutar</t>
        </is>
      </c>
      <c r="F52" s="185" t="n"/>
      <c r="G52" s="62" t="inlineStr">
        <is>
          <t>Yalnız paranın yeri değişir, kâr etkilenmez</t>
        </is>
      </c>
      <c r="H52" s="62" t="inlineStr">
        <is>
          <t>Sistem Kontrolü = UYGUN</t>
        </is>
      </c>
      <c r="I52" s="57" t="inlineStr">
        <is>
          <t>Para taşınınca</t>
        </is>
      </c>
      <c r="J52" s="6" t="n"/>
      <c r="K52" s="6" t="n"/>
    </row>
    <row r="53" ht="32" customHeight="1">
      <c r="A53" s="6" t="n"/>
      <c r="B53" s="95" t="inlineStr">
        <is>
          <t>7</t>
        </is>
      </c>
      <c r="C53" s="62" t="inlineStr">
        <is>
          <t>İş ve görüşme kaydet</t>
        </is>
      </c>
      <c r="D53" s="82">
        <f>HYPERLINK("#AKTIVITE!A1","AKTIVITE")</f>
        <v/>
      </c>
      <c r="E53" s="208" t="inlineStr">
        <is>
          <t>Tür, müşteri, konu, son tarih, sorumlu</t>
        </is>
      </c>
      <c r="F53" s="185" t="n"/>
      <c r="G53" s="62" t="inlineStr">
        <is>
          <t>Gecikme uyarısı ve sonraki adım üretir</t>
        </is>
      </c>
      <c r="H53" s="62" t="inlineStr">
        <is>
          <t>Uyarı = GECİKMİŞ olmamalı</t>
        </is>
      </c>
      <c r="I53" s="57" t="inlineStr">
        <is>
          <t>Her gün</t>
        </is>
      </c>
      <c r="J53" s="6" t="n"/>
      <c r="K53" s="6" t="n"/>
    </row>
    <row r="54" ht="32" customHeight="1">
      <c r="A54" s="6" t="n"/>
      <c r="B54" s="95" t="inlineStr">
        <is>
          <t>8</t>
        </is>
      </c>
      <c r="C54" s="62" t="inlineStr">
        <is>
          <t>Alacağı izle</t>
        </is>
      </c>
      <c r="D54" s="82">
        <f>HYPERLINK("#MUSTERI_360!A1","MUSTERI_360")</f>
        <v/>
      </c>
      <c r="E54" s="208" t="inlineStr">
        <is>
          <t>Veri girilmez, yalnız okunur</t>
        </is>
      </c>
      <c r="F54" s="185" t="n"/>
      <c r="G54" s="62" t="inlineStr">
        <is>
          <t>Cari, yaşlandırma ve önerilen işlem</t>
        </is>
      </c>
      <c r="H54" s="62" t="inlineStr">
        <is>
          <t>Kontrol = UYGUN</t>
        </is>
      </c>
      <c r="I54" s="57" t="inlineStr">
        <is>
          <t>Haftada bir</t>
        </is>
      </c>
      <c r="J54" s="6" t="n"/>
      <c r="K54" s="6" t="n"/>
    </row>
    <row r="55" ht="32" customHeight="1">
      <c r="A55" s="6" t="n"/>
      <c r="B55" s="95" t="inlineStr">
        <is>
          <t>9</t>
        </is>
      </c>
      <c r="C55" s="62" t="inlineStr">
        <is>
          <t>Nakit pozisyonunu gör</t>
        </is>
      </c>
      <c r="D55" s="82">
        <f>HYPERLINK("#HESAPLAR!A1","HESAPLAR")</f>
        <v/>
      </c>
      <c r="E55" s="208" t="inlineStr">
        <is>
          <t>Yeni hesap adı ve açılış bakiyesi</t>
        </is>
      </c>
      <c r="F55" s="185" t="n"/>
      <c r="G55" s="62" t="inlineStr">
        <is>
          <t>Her hesabın güncel bakiyesi hesaplanır</t>
        </is>
      </c>
      <c r="H55" s="62" t="inlineStr">
        <is>
          <t>Toplam nakit pozisyonu</t>
        </is>
      </c>
      <c r="I55" s="57" t="inlineStr">
        <is>
          <t>Her gün</t>
        </is>
      </c>
      <c r="J55" s="6" t="n"/>
      <c r="K55" s="6" t="n"/>
    </row>
    <row r="56" ht="32" customHeight="1">
      <c r="A56" s="6" t="n"/>
      <c r="B56" s="95" t="inlineStr">
        <is>
          <t>10</t>
        </is>
      </c>
      <c r="C56" s="62" t="inlineStr">
        <is>
          <t>Ayı kapat</t>
        </is>
      </c>
      <c r="D56" s="82">
        <f>HYPERLINK("#AY_SONU!A1","AY_SONU")</f>
        <v/>
      </c>
      <c r="E56" s="208" t="inlineStr">
        <is>
          <t>Dağıtıldı mı ve ortak ödemeleri</t>
        </is>
      </c>
      <c r="F56" s="185" t="n"/>
      <c r="G56" s="62" t="inlineStr">
        <is>
          <t>Nakit kâr, dağıtılabilir kâr ve ortak payları</t>
        </is>
      </c>
      <c r="H56" s="62" t="inlineStr">
        <is>
          <t>Dönem Durumu = KAPANABİLİR</t>
        </is>
      </c>
      <c r="I56" s="57" t="inlineStr">
        <is>
          <t>Ay sonunda</t>
        </is>
      </c>
      <c r="J56" s="6" t="n"/>
      <c r="K56" s="6" t="n"/>
    </row>
    <row r="57" ht="32" customHeight="1">
      <c r="A57" s="6" t="n"/>
      <c r="B57" s="95" t="inlineStr">
        <is>
          <t>11</t>
        </is>
      </c>
      <c r="C57" s="62" t="inlineStr">
        <is>
          <t>Sistemi denetle</t>
        </is>
      </c>
      <c r="D57" s="82">
        <f>HYPERLINK("#SISTEM!A1","SISTEM")</f>
        <v/>
      </c>
      <c r="E57" s="208" t="inlineStr">
        <is>
          <t>Ortak payı, kasa tamponu, kategoriler</t>
        </is>
      </c>
      <c r="F57" s="185" t="n"/>
      <c r="G57" s="62" t="inlineStr">
        <is>
          <t>28 otomatik kontrol çalışır</t>
        </is>
      </c>
      <c r="H57" s="62" t="inlineStr">
        <is>
          <t>Tüm satırlar GEÇTİ olmalı</t>
        </is>
      </c>
      <c r="I57" s="57" t="inlineStr">
        <is>
          <t>Ay kapatmadan önce</t>
        </is>
      </c>
      <c r="J57" s="6" t="n"/>
      <c r="K57" s="6" t="n"/>
    </row>
    <row r="58" ht="12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</row>
    <row r="59" ht="28" customHeight="1">
      <c r="A59" s="6" t="n"/>
      <c r="B59" s="205" t="inlineStr">
        <is>
          <t>5.  TAHAKKUK MODELLERİ, ZAM VE PARA GİRİŞİ</t>
        </is>
      </c>
      <c r="C59" s="169" t="n"/>
      <c r="D59" s="169" t="n"/>
      <c r="E59" s="169" t="n"/>
      <c r="F59" s="169" t="n"/>
      <c r="G59" s="169" t="n"/>
      <c r="H59" s="169" t="n"/>
      <c r="I59" s="169" t="n"/>
      <c r="J59" s="6" t="n"/>
      <c r="K59" s="6" t="n"/>
    </row>
    <row r="60" ht="26" customHeight="1">
      <c r="A60" s="6" t="n"/>
      <c r="B60" s="54" t="inlineStr">
        <is>
          <t>Konu</t>
        </is>
      </c>
      <c r="D60" s="54" t="inlineStr">
        <is>
          <t>Kural</t>
        </is>
      </c>
      <c r="G60" s="54" t="inlineStr">
        <is>
          <t>Açıklama ve örnek</t>
        </is>
      </c>
      <c r="J60" s="6" t="n"/>
      <c r="K60" s="6" t="n"/>
    </row>
    <row r="61" ht="38" customHeight="1">
      <c r="A61" s="6" t="n"/>
      <c r="B61" s="206" t="inlineStr">
        <is>
          <t>Haftalık model</t>
        </is>
      </c>
      <c r="C61" s="185" t="n"/>
      <c r="D61" s="208" t="inlineStr">
        <is>
          <t>Ücret her Cumartesi tahakkuk eder.</t>
        </is>
      </c>
      <c r="E61" s="185" t="n"/>
      <c r="F61" s="185" t="n"/>
      <c r="G61" s="57" t="inlineStr">
        <is>
          <t>Başlangıç ve bitiş tarihi mutlaka Cumartesi olmalıdır. 4 Cumartesi olan ayda 4, 5 Cumartesi olan ayda 5 kez tahakkuk oluşur.</t>
        </is>
      </c>
      <c r="H61" s="185" t="n"/>
      <c r="I61" s="186" t="n"/>
      <c r="J61" s="6" t="n"/>
      <c r="K61" s="6" t="n"/>
    </row>
    <row r="62" ht="38" customHeight="1">
      <c r="A62" s="6" t="n"/>
      <c r="B62" s="206" t="inlineStr">
        <is>
          <t>Aylık model</t>
        </is>
      </c>
      <c r="C62" s="185" t="n"/>
      <c r="D62" s="208" t="inlineStr">
        <is>
          <t>Ücret her ayın SON GÜNÜ tahakkuk eder.</t>
        </is>
      </c>
      <c r="E62" s="185" t="n"/>
      <c r="F62" s="185" t="n"/>
      <c r="G62" s="57" t="inlineStr">
        <is>
          <t>15.09.2026'da başlasa bile ilk tahakkuk 30.09.2026'da oluşur. Ay içinde başlayan müşteri o ayın tam ücretini tahakkuk ettirir.</t>
        </is>
      </c>
      <c r="H62" s="185" t="n"/>
      <c r="I62" s="186" t="n"/>
      <c r="J62" s="6" t="n"/>
      <c r="K62" s="6" t="n"/>
    </row>
    <row r="63" ht="38" customHeight="1">
      <c r="A63" s="6" t="n"/>
      <c r="B63" s="206" t="inlineStr">
        <is>
          <t>Model seçimi</t>
        </is>
      </c>
      <c r="C63" s="185" t="n"/>
      <c r="D63" s="208" t="inlineStr">
        <is>
          <t>ÜCRET DÖNEMLERİ ▸ Tahakkuk Modeli sütunu</t>
        </is>
      </c>
      <c r="E63" s="185" t="n"/>
      <c r="F63" s="185" t="n"/>
      <c r="G63" s="57" t="inlineStr">
        <is>
          <t>Her müşteri ayrı model kullanabilir. Bir müşterinin aynı anda yalnız bir Aktif dönemi olmalıdır; sistem çakışmayı otomatik yakalar.</t>
        </is>
      </c>
      <c r="H63" s="185" t="n"/>
      <c r="I63" s="186" t="n"/>
      <c r="J63" s="6" t="n"/>
      <c r="K63" s="6" t="n"/>
    </row>
    <row r="64" ht="38" customHeight="1">
      <c r="A64" s="6" t="n"/>
      <c r="B64" s="206" t="inlineStr">
        <is>
          <t>ZAM / ücret değişikliği</t>
        </is>
      </c>
      <c r="C64" s="185" t="n"/>
      <c r="D64" s="208" t="inlineStr">
        <is>
          <t>Eski satırı kapat, yeni satır aç. Satır silme, tutarı değiştirme.</t>
        </is>
      </c>
      <c r="E64" s="185" t="n"/>
      <c r="F64" s="185" t="n"/>
      <c r="G64" s="57" t="inlineStr">
        <is>
          <t>Örnek: Eylül 4.000 ₺ → Ekim 7.000 ₺. Eski satır: 01.09.2026 – 30.09.2026, Aylık, 4.000, Durum = Pasif. Yeni satır: 01.10.2026 – (bitiş boş), Aylık, 7.000, Durum = Aktif.</t>
        </is>
      </c>
      <c r="H64" s="185" t="n"/>
      <c r="I64" s="186" t="n"/>
      <c r="J64" s="6" t="n"/>
      <c r="K64" s="6" t="n"/>
    </row>
    <row r="65" ht="38" customHeight="1">
      <c r="A65" s="6" t="n"/>
      <c r="B65" s="206" t="inlineStr">
        <is>
          <t>Sonuç</t>
        </is>
      </c>
      <c r="C65" s="185" t="n"/>
      <c r="D65" s="208" t="inlineStr">
        <is>
          <t>Geçmiş asla bozulmaz.</t>
        </is>
      </c>
      <c r="E65" s="185" t="n"/>
      <c r="F65" s="185" t="n"/>
      <c r="G65" s="57" t="inlineStr">
        <is>
          <t>Eylül 4.000 ₺, Ekim ve sonrası 7.000 ₺ olarak tahakkuk eder. Kapanmış ayların rakamı değişmez.</t>
        </is>
      </c>
      <c r="H65" s="185" t="n"/>
      <c r="I65" s="186" t="n"/>
      <c r="J65" s="6" t="n"/>
      <c r="K65" s="6" t="n"/>
    </row>
    <row r="66" ht="38" customHeight="1">
      <c r="A66" s="6" t="n"/>
      <c r="B66" s="206" t="inlineStr">
        <is>
          <t>Müşteri seçimi</t>
        </is>
      </c>
      <c r="C66" s="185" t="n"/>
      <c r="D66" s="208" t="inlineStr">
        <is>
          <t>Müşteri adı açılır listeden seçilir.</t>
        </is>
      </c>
      <c r="E66" s="185" t="n"/>
      <c r="F66" s="185" t="n"/>
      <c r="G66" s="57" t="inlineStr">
        <is>
          <t>TAHSİLAT, ÜCRET DÖNEMLERİ ve AKTİVİTE ekranlarında müşteri unvanı listeden seçilir; Müşteri No sütunu otomatik dolar. Elle numara yazılmaz.</t>
        </is>
      </c>
      <c r="H66" s="185" t="n"/>
      <c r="I66" s="186" t="n"/>
      <c r="J66" s="6" t="n"/>
      <c r="K66" s="6" t="n"/>
    </row>
    <row r="67" ht="38" customHeight="1">
      <c r="A67" s="6" t="n"/>
      <c r="B67" s="206" t="inlineStr">
        <is>
          <t>SÖZLEŞME ÜCRETİ TAHSİLATI</t>
        </is>
      </c>
      <c r="C67" s="185" t="n"/>
      <c r="D67" s="208" t="inlineStr">
        <is>
          <t>TAHSİLAT ekranı — başka hiçbir yere girilmez.</t>
        </is>
      </c>
      <c r="E67" s="185" t="n"/>
      <c r="F67" s="185" t="n"/>
      <c r="G67" s="57" t="inlineStr">
        <is>
          <t>Haftalık veya aylık muhasebe ücreti müşteriden tahsil edildiğinde yalnız buraya girilir. Cari bakiye, yaşlandırma, kasa ve nakit kâr otomatik güncellenir.</t>
        </is>
      </c>
      <c r="H67" s="185" t="n"/>
      <c r="I67" s="186" t="n"/>
      <c r="J67" s="6" t="n"/>
      <c r="K67" s="6" t="n"/>
    </row>
    <row r="68" ht="38" customHeight="1">
      <c r="A68" s="6" t="n"/>
      <c r="B68" s="206" t="inlineStr">
        <is>
          <t>EK HİZMET BEDELLERİ</t>
        </is>
      </c>
      <c r="C68" s="185" t="n"/>
      <c r="D68" s="208" t="inlineStr">
        <is>
          <t>GELİR VE GİDER ekranı</t>
        </is>
      </c>
      <c r="E68" s="185" t="n"/>
      <c r="F68" s="185" t="n"/>
      <c r="G68" s="57" t="inlineStr">
        <is>
          <t>Defter tasdik, kontör ücreti, geçici vergi / damga, danışmanlık hizmeti gibi sözleşme dışı gelirler buraya girilir. Bunlar cari borç doğurmaz, doğrudan nakit gelirdir.</t>
        </is>
      </c>
      <c r="H68" s="185" t="n"/>
      <c r="I68" s="186" t="n"/>
      <c r="J68" s="6" t="n"/>
      <c r="K68" s="6" t="n"/>
    </row>
    <row r="69" ht="38" customHeight="1">
      <c r="A69" s="6" t="n"/>
      <c r="B69" s="206" t="inlineStr">
        <is>
          <t>CARİ EKSTRE</t>
        </is>
      </c>
      <c r="C69" s="185" t="n"/>
      <c r="D69" s="208" t="inlineStr">
        <is>
          <t>CARİ EKSTRE ekranı — müşteriyi seçin, geçmiş otomatik gelsin.</t>
        </is>
      </c>
      <c r="E69" s="185" t="n"/>
      <c r="F69" s="185" t="n"/>
      <c r="G69" s="57" t="inlineStr">
        <is>
          <t>Tahakkuk satırları BORÇ, tahsilat satırları ALACAK sütununda listelenir; bakiye satır satır yürür. Örnek: 03.01.2026 1. hafta muhasebe 1.000 borç → bakiye 1.000; aynı gün nakit alınan 1.000 alacak → bakiye 0.</t>
        </is>
      </c>
      <c r="H69" s="185" t="n"/>
      <c r="I69" s="186" t="n"/>
      <c r="J69" s="6" t="n"/>
      <c r="K69" s="6" t="n"/>
    </row>
    <row r="70" ht="12" customHeight="1">
      <c r="A70" s="6" t="n"/>
      <c r="B70" s="206" t="inlineStr">
        <is>
          <t>BORÇLU / ALACAKLI GÖRÜNÜMÜ</t>
        </is>
      </c>
      <c r="C70" s="185" t="n"/>
      <c r="D70" s="208" t="inlineStr">
        <is>
          <t>GELİR VE GİDER ekranının sağındaki panel</t>
        </is>
      </c>
      <c r="E70" s="185" t="n"/>
      <c r="F70" s="185" t="n"/>
      <c r="G70" s="57" t="inlineStr">
        <is>
          <t>Sözleşme ücreti tahakkuk ettiğinde: Müşteri Carisi BORÇLU / Muhasebe Hizmet Geliri ALACAKLI. Panel otomatiktir, elle girilmez; çift kayıt oluşmaz.</t>
        </is>
      </c>
      <c r="H70" s="185" t="n"/>
      <c r="I70" s="186" t="n"/>
      <c r="J70" s="6" t="n"/>
      <c r="K70" s="6" t="n"/>
    </row>
    <row r="71" ht="28" customHeight="1">
      <c r="A71" s="6" t="n"/>
      <c r="B71" s="205" t="inlineStr">
        <is>
          <t>6.  DEĞİŞMEZ KURALLAR  │  BU KURALLAR BOZULURSA SİSTEM YANLIŞ SONUÇ VERİR</t>
        </is>
      </c>
      <c r="C71" s="169" t="n"/>
      <c r="D71" s="169" t="n"/>
      <c r="E71" s="169" t="n"/>
      <c r="F71" s="169" t="n"/>
      <c r="G71" s="169" t="n"/>
      <c r="H71" s="169" t="n"/>
      <c r="I71" s="169" t="n"/>
      <c r="J71" s="6" t="n"/>
      <c r="K71" s="6" t="n"/>
    </row>
    <row r="72" ht="26" customHeight="1">
      <c r="A72" s="6" t="n"/>
      <c r="B72" s="54" t="inlineStr">
        <is>
          <t>Kural</t>
        </is>
      </c>
      <c r="D72" s="54" t="inlineStr">
        <is>
          <t>Uygulama</t>
        </is>
      </c>
      <c r="G72" s="54" t="inlineStr">
        <is>
          <t>Yasak</t>
        </is>
      </c>
      <c r="J72" s="6" t="n"/>
      <c r="K72" s="6" t="n"/>
    </row>
    <row r="73" ht="30" customHeight="1">
      <c r="A73" s="6" t="n"/>
      <c r="B73" s="206" t="inlineStr">
        <is>
          <t>Tek veri girişi</t>
        </is>
      </c>
      <c r="C73" s="185" t="n"/>
      <c r="D73" s="208" t="inlineStr">
        <is>
          <t>Bir gerçek işlem yalnız bir ekrana girilir.</t>
        </is>
      </c>
      <c r="E73" s="185" t="n"/>
      <c r="F73" s="185" t="n"/>
      <c r="G73" s="96" t="inlineStr">
        <is>
          <t>✖  Aynı tahsilatı hem TAHSİLAT hem GELİR/GİDER ekranına yazmak</t>
        </is>
      </c>
      <c r="H73" s="185" t="n"/>
      <c r="I73" s="186" t="n"/>
      <c r="J73" s="6" t="n"/>
      <c r="K73" s="6" t="n"/>
    </row>
    <row r="74" ht="30" customHeight="1">
      <c r="A74" s="6" t="n"/>
      <c r="B74" s="206" t="inlineStr">
        <is>
          <t>Ücret geçmişi</t>
        </is>
      </c>
      <c r="C74" s="185" t="n"/>
      <c r="D74" s="208" t="inlineStr">
        <is>
          <t>Eski dönemi kapat, yeni dönem aç.</t>
        </is>
      </c>
      <c r="E74" s="185" t="n"/>
      <c r="F74" s="185" t="n"/>
      <c r="G74" s="96" t="inlineStr">
        <is>
          <t>✖  Eski ücret tutarını geriye dönük değiştirmek veya satırı silmek</t>
        </is>
      </c>
      <c r="H74" s="185" t="n"/>
      <c r="I74" s="186" t="n"/>
      <c r="J74" s="6" t="n"/>
      <c r="K74" s="6" t="n"/>
    </row>
    <row r="75" ht="30" customHeight="1">
      <c r="A75" s="6" t="n"/>
      <c r="B75" s="206" t="inlineStr">
        <is>
          <t>Kâr dağıtımı</t>
        </is>
      </c>
      <c r="C75" s="185" t="n"/>
      <c r="D75" s="208" t="inlineStr">
        <is>
          <t>Dağıtım yalnız tahsil edilmiş nakit kârdan yapılır.</t>
        </is>
      </c>
      <c r="E75" s="185" t="n"/>
      <c r="F75" s="185" t="n"/>
      <c r="G75" s="96" t="inlineStr">
        <is>
          <t>✖  Tahsil edilmemiş cari alacağı kâr sayarak dağıtmak</t>
        </is>
      </c>
      <c r="H75" s="185" t="n"/>
      <c r="I75" s="186" t="n"/>
      <c r="J75" s="6" t="n"/>
      <c r="K75" s="6" t="n"/>
    </row>
    <row r="76" ht="30" customHeight="1">
      <c r="A76" s="6" t="n"/>
      <c r="B76" s="206" t="inlineStr">
        <is>
          <t>Formül disiplini</t>
        </is>
      </c>
      <c r="C76" s="185" t="n"/>
      <c r="D76" s="208" t="inlineStr">
        <is>
          <t>Her fark ayrı bir işlem satırı olarak girilir.</t>
        </is>
      </c>
      <c r="E76" s="185" t="n"/>
      <c r="F76" s="185" t="n"/>
      <c r="G76" s="96" t="inlineStr">
        <is>
          <t>✖  Formülün içine elle rakam eklemek</t>
        </is>
      </c>
      <c r="H76" s="185" t="n"/>
      <c r="I76" s="186" t="n"/>
      <c r="J76" s="6" t="n"/>
      <c r="K76" s="6" t="n"/>
    </row>
    <row r="77" ht="30" customHeight="1">
      <c r="A77" s="6" t="n"/>
      <c r="B77" s="206" t="inlineStr">
        <is>
          <t>Virman</t>
        </is>
      </c>
      <c r="C77" s="185" t="n"/>
      <c r="D77" s="208" t="inlineStr">
        <is>
          <t>Hesaplar arası transfer VIRMAN ekranına girilir.</t>
        </is>
      </c>
      <c r="E77" s="185" t="n"/>
      <c r="F77" s="185" t="n"/>
      <c r="G77" s="96" t="inlineStr">
        <is>
          <t>✖  Transferi gelir veya gider olarak yazmak</t>
        </is>
      </c>
      <c r="H77" s="185" t="n"/>
      <c r="I77" s="186" t="n"/>
      <c r="J77" s="6" t="n"/>
      <c r="K77" s="6" t="n"/>
    </row>
    <row r="78" ht="30" customHeight="1">
      <c r="A78" s="6" t="n"/>
      <c r="B78" s="206" t="inlineStr">
        <is>
          <t>Devir bakiyesi</t>
        </is>
      </c>
      <c r="C78" s="185" t="n"/>
      <c r="D78" s="208" t="inlineStr">
        <is>
          <t>Eski alacak tek satırda devir olarak taşınır.</t>
        </is>
      </c>
      <c r="E78" s="185" t="n"/>
      <c r="F78" s="185" t="n"/>
      <c r="G78" s="96" t="inlineStr">
        <is>
          <t>✖  Geçmiş tahakkukları uydurarak yeniden üretmek</t>
        </is>
      </c>
      <c r="H78" s="185" t="n"/>
      <c r="I78" s="186" t="n"/>
      <c r="J78" s="6" t="n"/>
      <c r="K78" s="6" t="n"/>
    </row>
    <row r="79" ht="30" customHeight="1">
      <c r="A79" s="6" t="n"/>
      <c r="B79" s="206" t="inlineStr">
        <is>
          <t>Müşteri seçimi</t>
        </is>
      </c>
      <c r="C79" s="185" t="n"/>
      <c r="D79" s="208" t="inlineStr">
        <is>
          <t>Müşteri her ekranda listeden seçilir.</t>
        </is>
      </c>
      <c r="E79" s="185" t="n"/>
      <c r="F79" s="185" t="n"/>
      <c r="G79" s="96" t="inlineStr">
        <is>
          <t>✖  Müşteri numarasını elle yazmak veya unvanı elle değiştirmek</t>
        </is>
      </c>
      <c r="H79" s="185" t="n"/>
      <c r="I79" s="186" t="n"/>
      <c r="J79" s="6" t="n"/>
      <c r="K79" s="6" t="n"/>
    </row>
    <row r="80" ht="12" customHeight="1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</row>
    <row r="81" ht="28" customHeight="1">
      <c r="A81" s="6" t="n"/>
      <c r="B81" s="205" t="inlineStr">
        <is>
          <t>7.  KORUMA VE GÜVENLİK</t>
        </is>
      </c>
      <c r="C81" s="169" t="n"/>
      <c r="D81" s="169" t="n"/>
      <c r="E81" s="169" t="n"/>
      <c r="F81" s="169" t="n"/>
      <c r="G81" s="169" t="n"/>
      <c r="H81" s="169" t="n"/>
      <c r="I81" s="169" t="n"/>
      <c r="J81" s="6" t="n"/>
      <c r="K81" s="6" t="n"/>
    </row>
    <row r="82" ht="26" customHeight="1">
      <c r="A82" s="6" t="n"/>
      <c r="B82" s="54" t="inlineStr">
        <is>
          <t>Konu</t>
        </is>
      </c>
      <c r="D82" s="54" t="inlineStr">
        <is>
          <t>Değer</t>
        </is>
      </c>
      <c r="E82" s="54" t="inlineStr">
        <is>
          <t>Açıklama</t>
        </is>
      </c>
      <c r="J82" s="6" t="n"/>
      <c r="K82" s="6" t="n"/>
    </row>
    <row r="83" ht="30" customHeight="1">
      <c r="A83" s="6" t="n"/>
      <c r="B83" s="206" t="inlineStr">
        <is>
          <t>Sayfa şifresi</t>
        </is>
      </c>
      <c r="C83" s="185" t="n"/>
      <c r="D83" s="98" t="inlineStr">
        <is>
          <t>1234</t>
        </is>
      </c>
      <c r="E83" s="57" t="inlineStr">
        <is>
          <t>Otomatik hücreler kilitlidir. Yapıyı değiştirmek gerekirse: Gözden Geçir ▸ Sayfa Korumasını Kaldır ▸ Şifre: 1234</t>
        </is>
      </c>
      <c r="F83" s="185" t="n"/>
      <c r="G83" s="185" t="n"/>
      <c r="H83" s="185" t="n"/>
      <c r="I83" s="186" t="n"/>
      <c r="J83" s="6" t="n"/>
      <c r="K83" s="6" t="n"/>
    </row>
    <row r="84" ht="30" customHeight="1">
      <c r="A84" s="6" t="n"/>
      <c r="B84" s="206" t="inlineStr">
        <is>
          <t>Yedekleme</t>
        </is>
      </c>
      <c r="C84" s="185" t="n"/>
      <c r="D84" s="98" t="inlineStr">
        <is>
          <t>Haftada bir</t>
        </is>
      </c>
      <c r="E84" s="57" t="inlineStr">
        <is>
          <t>Dosyayı hafta sonu tarih ekleyerek kopyalayın (örnek: Ofis_Yonetim_2026-08-29.xlsx).</t>
        </is>
      </c>
      <c r="F84" s="185" t="n"/>
      <c r="G84" s="185" t="n"/>
      <c r="H84" s="185" t="n"/>
      <c r="I84" s="186" t="n"/>
      <c r="J84" s="6" t="n"/>
      <c r="K84" s="6" t="n"/>
    </row>
    <row r="85" ht="30" customHeight="1">
      <c r="A85" s="6" t="n"/>
      <c r="B85" s="206" t="inlineStr">
        <is>
          <t>Uyumluluk</t>
        </is>
      </c>
      <c r="C85" s="185" t="n"/>
      <c r="D85" s="98" t="inlineStr">
        <is>
          <t>Windows Excel</t>
        </is>
      </c>
      <c r="E85" s="57" t="inlineStr">
        <is>
          <t>Windows üzerinde Microsoft Excel 2016 ve üzeri için optimize edilmiştir. Makro içermez, güvenlik uyarısı vermez.</t>
        </is>
      </c>
      <c r="F85" s="185" t="n"/>
      <c r="G85" s="185" t="n"/>
      <c r="H85" s="185" t="n"/>
      <c r="I85" s="186" t="n"/>
      <c r="J85" s="6" t="n"/>
      <c r="K85" s="6" t="n"/>
    </row>
    <row r="86" ht="30" customHeight="1">
      <c r="A86" s="6" t="n"/>
      <c r="B86" s="206" t="inlineStr">
        <is>
          <t>Kapasite</t>
        </is>
      </c>
      <c r="C86" s="185" t="n"/>
      <c r="D86" s="98" t="inlineStr">
        <is>
          <t>Hazır satır</t>
        </is>
      </c>
      <c r="E86" s="57" t="inlineStr">
        <is>
          <t>100 müşteri │ 400 ücret dönemi │ 1.500 tahsilat │ 1.200 gelir-gider │ 400 virman │ 1.000 aktivite │ 36 ay kapanış.</t>
        </is>
      </c>
      <c r="F86" s="185" t="n"/>
      <c r="G86" s="185" t="n"/>
      <c r="H86" s="185" t="n"/>
      <c r="I86" s="186" t="n"/>
      <c r="J86" s="6" t="n"/>
      <c r="K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61">
    <mergeCell ref="D76:F76"/>
    <mergeCell ref="G62:I62"/>
    <mergeCell ref="E23:F23"/>
    <mergeCell ref="D66:F66"/>
    <mergeCell ref="D75:F75"/>
    <mergeCell ref="D36:E36"/>
    <mergeCell ref="D16:I16"/>
    <mergeCell ref="D31:E31"/>
    <mergeCell ref="B12:C12"/>
    <mergeCell ref="B77:C77"/>
    <mergeCell ref="G24:I24"/>
    <mergeCell ref="E51:F51"/>
    <mergeCell ref="B86:C86"/>
    <mergeCell ref="A2:I2"/>
    <mergeCell ref="G65:I65"/>
    <mergeCell ref="B67:C67"/>
    <mergeCell ref="G79:I79"/>
    <mergeCell ref="B61:C61"/>
    <mergeCell ref="G73:I73"/>
    <mergeCell ref="B14:C14"/>
    <mergeCell ref="G26:I26"/>
    <mergeCell ref="B8:I8"/>
    <mergeCell ref="G63:I63"/>
    <mergeCell ref="B13:C13"/>
    <mergeCell ref="B69:C69"/>
    <mergeCell ref="B78:C78"/>
    <mergeCell ref="C27:D27"/>
    <mergeCell ref="E49:F49"/>
    <mergeCell ref="E27:F27"/>
    <mergeCell ref="B64:C64"/>
    <mergeCell ref="D33:E33"/>
    <mergeCell ref="C19:D19"/>
    <mergeCell ref="B5:I5"/>
    <mergeCell ref="E22:F22"/>
    <mergeCell ref="E53:F53"/>
    <mergeCell ref="B63:C63"/>
    <mergeCell ref="B45:I45"/>
    <mergeCell ref="D35:E35"/>
    <mergeCell ref="B16:C16"/>
    <mergeCell ref="E55:F55"/>
    <mergeCell ref="D34:E34"/>
    <mergeCell ref="F43:I43"/>
    <mergeCell ref="G69:I69"/>
    <mergeCell ref="B59:I59"/>
    <mergeCell ref="B66:C66"/>
    <mergeCell ref="F37:I37"/>
    <mergeCell ref="G78:I78"/>
    <mergeCell ref="E48:F48"/>
    <mergeCell ref="E83:I83"/>
    <mergeCell ref="B11:C11"/>
    <mergeCell ref="G64:I64"/>
    <mergeCell ref="D74:F74"/>
    <mergeCell ref="D68:F68"/>
    <mergeCell ref="F34:I34"/>
    <mergeCell ref="E84:I84"/>
    <mergeCell ref="D67:F67"/>
    <mergeCell ref="E86:I86"/>
    <mergeCell ref="D37:E37"/>
    <mergeCell ref="F30:I30"/>
    <mergeCell ref="B84:C84"/>
    <mergeCell ref="D60:F60"/>
    <mergeCell ref="E26:F26"/>
    <mergeCell ref="D69:F69"/>
    <mergeCell ref="F33:I33"/>
    <mergeCell ref="D39:E39"/>
    <mergeCell ref="F42:I42"/>
    <mergeCell ref="B15:C15"/>
    <mergeCell ref="G27:I27"/>
    <mergeCell ref="E25:F25"/>
    <mergeCell ref="A1:I1"/>
    <mergeCell ref="D38:E38"/>
    <mergeCell ref="B79:C79"/>
    <mergeCell ref="D11:I11"/>
    <mergeCell ref="E50:F50"/>
    <mergeCell ref="G66:I66"/>
    <mergeCell ref="D13:I13"/>
    <mergeCell ref="G19:I19"/>
    <mergeCell ref="B72:C72"/>
    <mergeCell ref="F39:I39"/>
    <mergeCell ref="E52:F52"/>
    <mergeCell ref="G74:I74"/>
    <mergeCell ref="G68:I68"/>
    <mergeCell ref="D78:F78"/>
    <mergeCell ref="C20:D20"/>
    <mergeCell ref="E82:I82"/>
    <mergeCell ref="E20:F20"/>
    <mergeCell ref="D9:I9"/>
    <mergeCell ref="B60:C60"/>
    <mergeCell ref="G20:I20"/>
    <mergeCell ref="C22:D22"/>
    <mergeCell ref="B82:C82"/>
    <mergeCell ref="D73:F73"/>
    <mergeCell ref="D15:I15"/>
    <mergeCell ref="C21:D21"/>
    <mergeCell ref="B29:I29"/>
    <mergeCell ref="E46:F46"/>
    <mergeCell ref="G22:I22"/>
    <mergeCell ref="B9:C9"/>
    <mergeCell ref="G72:I72"/>
    <mergeCell ref="G21:I21"/>
    <mergeCell ref="C23:D23"/>
    <mergeCell ref="B83:C83"/>
    <mergeCell ref="F36:I36"/>
    <mergeCell ref="E57:F57"/>
    <mergeCell ref="D10:I10"/>
    <mergeCell ref="D30:E30"/>
    <mergeCell ref="E54:F54"/>
    <mergeCell ref="G70:I70"/>
    <mergeCell ref="B76:C76"/>
    <mergeCell ref="G23:I23"/>
    <mergeCell ref="B85:C85"/>
    <mergeCell ref="E56:F56"/>
    <mergeCell ref="D77:F77"/>
    <mergeCell ref="B75:C75"/>
    <mergeCell ref="F31:I31"/>
    <mergeCell ref="B62:C62"/>
    <mergeCell ref="C24:D24"/>
    <mergeCell ref="E24:F24"/>
    <mergeCell ref="D61:F61"/>
    <mergeCell ref="B81:I81"/>
    <mergeCell ref="D70:F70"/>
    <mergeCell ref="D40:E40"/>
    <mergeCell ref="C26:D26"/>
    <mergeCell ref="B71:I71"/>
    <mergeCell ref="B18:I18"/>
    <mergeCell ref="D72:F72"/>
    <mergeCell ref="B70:C70"/>
    <mergeCell ref="C25:D25"/>
    <mergeCell ref="E19:F19"/>
    <mergeCell ref="D62:F62"/>
    <mergeCell ref="D32:E32"/>
    <mergeCell ref="D12:I12"/>
    <mergeCell ref="D41:E41"/>
    <mergeCell ref="G76:I76"/>
    <mergeCell ref="G25:I25"/>
    <mergeCell ref="B73:C73"/>
    <mergeCell ref="D64:F64"/>
    <mergeCell ref="F40:I40"/>
    <mergeCell ref="D14:I14"/>
    <mergeCell ref="G60:I60"/>
    <mergeCell ref="D43:E43"/>
    <mergeCell ref="D79:F79"/>
    <mergeCell ref="B10:C10"/>
    <mergeCell ref="G75:I75"/>
    <mergeCell ref="B65:C65"/>
    <mergeCell ref="D63:F63"/>
    <mergeCell ref="G77:I77"/>
    <mergeCell ref="B74:C74"/>
    <mergeCell ref="F32:I32"/>
    <mergeCell ref="B68:C68"/>
    <mergeCell ref="F41:I41"/>
    <mergeCell ref="D42:E42"/>
    <mergeCell ref="F35:I35"/>
    <mergeCell ref="E85:I85"/>
    <mergeCell ref="B6:I6"/>
    <mergeCell ref="G67:I67"/>
    <mergeCell ref="D65:F65"/>
    <mergeCell ref="G61:I61"/>
    <mergeCell ref="F38:I38"/>
    <mergeCell ref="E47:F47"/>
    <mergeCell ref="E21:F21"/>
  </mergeCell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F6E56"/>
    <outlinePr summaryBelow="1" summaryRight="1"/>
    <pageSetUpPr fitToPage="1"/>
  </sheetPr>
  <dimension ref="A1:U1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2" customWidth="1" min="3" max="3"/>
    <col width="12" customWidth="1" min="4" max="4"/>
    <col width="18" customWidth="1" min="5" max="5"/>
    <col width="16" customWidth="1" min="6" max="6"/>
    <col width="14" customWidth="1" min="7" max="7"/>
    <col width="15" customWidth="1" min="8" max="8"/>
    <col width="14" customWidth="1" min="9" max="9"/>
    <col width="16" customWidth="1" min="10" max="10"/>
    <col width="15" customWidth="1" min="11" max="11"/>
    <col width="24" customWidth="1" min="12" max="12"/>
    <col width="26" customWidth="1" min="13" max="13"/>
    <col width="15" customWidth="1" min="14" max="14"/>
    <col width="14" customWidth="1" min="15" max="15"/>
    <col width="15" customWidth="1" min="16" max="16"/>
    <col width="2.4" customWidth="1" min="17" max="17"/>
    <col width="2.4" customWidth="1" min="18" max="18"/>
    <col hidden="1" width="13" customWidth="1" min="20" max="20"/>
    <col hidden="1" width="13" customWidth="1" min="21" max="21"/>
  </cols>
  <sheetData>
    <row r="1" ht="38" customHeight="1">
      <c r="A1" s="1" t="inlineStr">
        <is>
          <t>KILIÇ MUHASEBE   │   MÜŞTERİLER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45" t="n"/>
      <c r="R1" s="45" t="n"/>
      <c r="S1" s="3" t="n"/>
      <c r="T1" s="3" t="n"/>
      <c r="U1" s="3" t="n"/>
    </row>
    <row r="2" ht="22" customHeight="1">
      <c r="A2" s="4" t="inlineStr">
        <is>
          <t>Ana müşteri kartı │ Her müşteri için tek kayıt │ Devir alacağı bu ekranda tanımlanır</t>
        </is>
      </c>
      <c r="Q2" s="46" t="n"/>
      <c r="R2" s="46" t="n"/>
      <c r="S2" s="3" t="n"/>
      <c r="T2" s="3" t="n"/>
      <c r="U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3" t="n"/>
      <c r="T3" s="3" t="n"/>
      <c r="U3" s="3" t="n"/>
    </row>
    <row r="4" ht="20" customHeight="1">
      <c r="A4" s="6" t="n"/>
      <c r="B4" s="47">
        <f>HYPERLINK("#PANO!A1","←  PANO")</f>
        <v/>
      </c>
      <c r="C4" s="6" t="n"/>
      <c r="D4" s="99">
        <f>HYPERLINK("#UCRETLER!A1","Haftalık Ücretler")</f>
        <v/>
      </c>
      <c r="E4" s="6" t="n"/>
      <c r="F4" s="99">
        <f>HYPERLINK("#MUSTERI_360!A1","Müşteri 360")</f>
        <v/>
      </c>
      <c r="G4" s="6" t="n"/>
      <c r="H4" s="100" t="inlineStr">
        <is>
          <t>Sarı hücreler veri girişidir. Beyaz hücreler sistem tarafından hesaplanır ve kilitlidir. Devir Alacak Tarihi yaşlandırmayı belirler — boş bırakılırsa tutar 29+ gün kabul edilir.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3" t="n"/>
      <c r="T4" s="3" t="n"/>
      <c r="U4" s="3" t="n"/>
    </row>
    <row r="5" ht="26" customHeight="1">
      <c r="A5" s="6" t="n"/>
      <c r="B5" s="101" t="n"/>
      <c r="C5" s="102" t="inlineStr">
        <is>
          <t>TOPLAM  │  Aktif müşteri ve devir alacağı</t>
        </is>
      </c>
      <c r="D5" s="215">
        <f>COUNTIF($D$7:$D$106,"Aktif")</f>
        <v/>
      </c>
      <c r="E5" s="101" t="n"/>
      <c r="F5" s="101" t="n"/>
      <c r="G5" s="101" t="n"/>
      <c r="H5" s="101" t="n"/>
      <c r="I5" s="101" t="n"/>
      <c r="J5" s="216">
        <f>SUM($J$7:$J$106)</f>
        <v/>
      </c>
      <c r="K5" s="101" t="n"/>
      <c r="L5" s="101" t="n"/>
      <c r="M5" s="101" t="n"/>
      <c r="N5" s="101" t="n"/>
      <c r="O5" s="101" t="n"/>
      <c r="P5" s="101" t="n"/>
      <c r="Q5" s="6" t="n"/>
      <c r="R5" s="6" t="n"/>
      <c r="S5" s="3" t="n"/>
      <c r="T5" s="3" t="n"/>
      <c r="U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 / Mükellef Unvanı</t>
        </is>
      </c>
      <c r="D6" s="105" t="inlineStr">
        <is>
          <t>Durum</t>
        </is>
      </c>
      <c r="E6" s="106" t="inlineStr">
        <is>
          <t>Sorumlu Kişi</t>
        </is>
      </c>
      <c r="F6" s="106" t="inlineStr">
        <is>
          <t>Telefon</t>
        </is>
      </c>
      <c r="G6" s="106" t="inlineStr">
        <is>
          <t>Vergi No</t>
        </is>
      </c>
      <c r="H6" s="105" t="inlineStr">
        <is>
          <t>Ödeme Şekli</t>
        </is>
      </c>
      <c r="I6" s="105" t="inlineStr">
        <is>
          <t>Başlangıç Tarihi</t>
        </is>
      </c>
      <c r="J6" s="107" t="inlineStr">
        <is>
          <t>Devir Alacağı</t>
        </is>
      </c>
      <c r="K6" s="105" t="inlineStr">
        <is>
          <t>Devir Alacak Tarihi</t>
        </is>
      </c>
      <c r="L6" s="106" t="inlineStr">
        <is>
          <t>Devir Kaynağı</t>
        </is>
      </c>
      <c r="M6" s="106" t="inlineStr">
        <is>
          <t>Özel Not</t>
        </is>
      </c>
      <c r="N6" s="105" t="inlineStr">
        <is>
          <t>Bilgi Durumu</t>
        </is>
      </c>
      <c r="O6" s="105" t="inlineStr">
        <is>
          <t>Aktif Ücret Tanımı</t>
        </is>
      </c>
      <c r="P6" s="105" t="inlineStr">
        <is>
          <t>Kayıt Kontrolü</t>
        </is>
      </c>
      <c r="Q6" s="6" t="n"/>
      <c r="R6" s="6" t="n"/>
      <c r="S6" s="3" t="n"/>
      <c r="T6" s="3" t="n"/>
      <c r="U6" s="3" t="n"/>
    </row>
    <row r="7">
      <c r="A7" s="6" t="n"/>
      <c r="B7" s="108" t="inlineStr">
        <is>
          <t>M001</t>
        </is>
      </c>
      <c r="C7" s="109" t="inlineStr">
        <is>
          <t>ANKARA HAVANA LTD.ŞTİ.</t>
        </is>
      </c>
      <c r="D7" s="108" t="inlineStr">
        <is>
          <t>Aktif</t>
        </is>
      </c>
      <c r="E7" s="109" t="n"/>
      <c r="F7" s="109" t="n"/>
      <c r="G7" s="109" t="n"/>
      <c r="H7" s="108" t="inlineStr">
        <is>
          <t>Nakit</t>
        </is>
      </c>
      <c r="I7" s="217" t="n">
        <v>46023</v>
      </c>
      <c r="J7" s="218" t="n">
        <v>0</v>
      </c>
      <c r="K7" s="219" t="n"/>
      <c r="L7" s="109" t="n"/>
      <c r="M7" s="109" t="n"/>
      <c r="N7" s="108" t="n"/>
      <c r="O7" s="113">
        <f>IF($C7="","",IF(COUNTIFS(UCRETLER!$B$7:$B$406,$B7,UCRETLER!$H$7:$H$406,"Aktif")&gt;0,"EVET","HAYIR"))</f>
        <v/>
      </c>
      <c r="P7" s="113">
        <f>IF($C7="","",IF($B7="","NO EKSİK",IF(COUNTIF($B$7:$B$106,$B7)&gt;1,"NO TEKRARI",IF(COUNTIF($C$7:$C$106,$C7)&gt;1,"UNVAN TEKRARI",IF($D7="","DURUM EKSİK",IF(AND($J7&gt;0,$K7=""),"DEVİR TARİHİ EKSİK","UYGUN"))))))</f>
        <v/>
      </c>
      <c r="Q7" s="6" t="n"/>
      <c r="R7" s="6" t="n"/>
      <c r="S7" s="3" t="n"/>
      <c r="T7" s="3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  <c r="U7" s="3">
        <f>IF($C7="","",COUNTIF($C$7:$C$106,"&lt;"&amp;$C7)+COUNTIF($C$7:$C7,$C7))</f>
        <v/>
      </c>
    </row>
    <row r="8">
      <c r="A8" s="6" t="n"/>
      <c r="B8" s="108" t="inlineStr">
        <is>
          <t>M002</t>
        </is>
      </c>
      <c r="C8" s="109" t="inlineStr">
        <is>
          <t>ESERLİ LTD.ŞTİ.</t>
        </is>
      </c>
      <c r="D8" s="108" t="inlineStr">
        <is>
          <t>Aktif</t>
        </is>
      </c>
      <c r="E8" s="109" t="n"/>
      <c r="F8" s="109" t="n"/>
      <c r="G8" s="109" t="n"/>
      <c r="H8" s="108" t="inlineStr">
        <is>
          <t>Nakit</t>
        </is>
      </c>
      <c r="I8" s="217" t="n">
        <v>46023</v>
      </c>
      <c r="J8" s="218" t="n">
        <v>0</v>
      </c>
      <c r="K8" s="219" t="n"/>
      <c r="L8" s="109" t="n"/>
      <c r="M8" s="109" t="n"/>
      <c r="N8" s="108" t="n"/>
      <c r="O8" s="113">
        <f>IF($C8="","",IF(COUNTIFS(UCRETLER!$B$7:$B$406,$B8,UCRETLER!$H$7:$H$406,"Aktif")&gt;0,"EVET","HAYIR"))</f>
        <v/>
      </c>
      <c r="P8" s="113">
        <f>IF($C8="","",IF($B8="","NO EKSİK",IF(COUNTIF($B$7:$B$106,$B8)&gt;1,"NO TEKRARI",IF(COUNTIF($C$7:$C$106,$C8)&gt;1,"UNVAN TEKRARI",IF($D8="","DURUM EKSİK",IF(AND($J8&gt;0,$K8=""),"DEVİR TARİHİ EKSİK","UYGUN"))))))</f>
        <v/>
      </c>
      <c r="Q8" s="6" t="n"/>
      <c r="R8" s="6" t="n"/>
      <c r="S8" s="3" t="n"/>
      <c r="T8" s="3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  <c r="U8" s="3">
        <f>IF($C8="","",COUNTIF($C$7:$C$106,"&lt;"&amp;$C8)+COUNTIF($C$7:$C8,$C8))</f>
        <v/>
      </c>
    </row>
    <row r="9">
      <c r="A9" s="6" t="n"/>
      <c r="B9" s="108" t="inlineStr">
        <is>
          <t>M003</t>
        </is>
      </c>
      <c r="C9" s="109" t="inlineStr">
        <is>
          <t>TYANA LTD.ŞTİ.</t>
        </is>
      </c>
      <c r="D9" s="108" t="inlineStr">
        <is>
          <t>Aktif</t>
        </is>
      </c>
      <c r="E9" s="109" t="n"/>
      <c r="F9" s="109" t="n"/>
      <c r="G9" s="109" t="n"/>
      <c r="H9" s="108" t="inlineStr">
        <is>
          <t>Nakit</t>
        </is>
      </c>
      <c r="I9" s="217" t="n">
        <v>46023</v>
      </c>
      <c r="J9" s="218" t="n">
        <v>0</v>
      </c>
      <c r="K9" s="219" t="n"/>
      <c r="L9" s="109" t="n"/>
      <c r="M9" s="109" t="n"/>
      <c r="N9" s="108" t="n"/>
      <c r="O9" s="113">
        <f>IF($C9="","",IF(COUNTIFS(UCRETLER!$B$7:$B$406,$B9,UCRETLER!$H$7:$H$406,"Aktif")&gt;0,"EVET","HAYIR"))</f>
        <v/>
      </c>
      <c r="P9" s="113">
        <f>IF($C9="","",IF($B9="","NO EKSİK",IF(COUNTIF($B$7:$B$106,$B9)&gt;1,"NO TEKRARI",IF(COUNTIF($C$7:$C$106,$C9)&gt;1,"UNVAN TEKRARI",IF($D9="","DURUM EKSİK",IF(AND($J9&gt;0,$K9=""),"DEVİR TARİHİ EKSİK","UYGUN"))))))</f>
        <v/>
      </c>
      <c r="Q9" s="6" t="n"/>
      <c r="R9" s="6" t="n"/>
      <c r="S9" s="3" t="n"/>
      <c r="T9" s="3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  <c r="U9" s="3">
        <f>IF($C9="","",COUNTIF($C$7:$C$106,"&lt;"&amp;$C9)+COUNTIF($C$7:$C9,$C9))</f>
        <v/>
      </c>
    </row>
    <row r="10">
      <c r="A10" s="6" t="n"/>
      <c r="B10" s="108" t="inlineStr">
        <is>
          <t>M004</t>
        </is>
      </c>
      <c r="C10" s="109" t="inlineStr">
        <is>
          <t>ZÜMRÜT EĞLENCE LTD.ŞTİ.</t>
        </is>
      </c>
      <c r="D10" s="108" t="inlineStr">
        <is>
          <t>Aktif</t>
        </is>
      </c>
      <c r="E10" s="109" t="n"/>
      <c r="F10" s="109" t="n"/>
      <c r="G10" s="109" t="n"/>
      <c r="H10" s="108" t="inlineStr">
        <is>
          <t>Nakit</t>
        </is>
      </c>
      <c r="I10" s="217" t="n">
        <v>46023</v>
      </c>
      <c r="J10" s="218" t="n">
        <v>0</v>
      </c>
      <c r="K10" s="219" t="n"/>
      <c r="L10" s="109" t="n"/>
      <c r="M10" s="109" t="n"/>
      <c r="N10" s="108" t="n"/>
      <c r="O10" s="113">
        <f>IF($C10="","",IF(COUNTIFS(UCRETLER!$B$7:$B$406,$B10,UCRETLER!$H$7:$H$406,"Aktif")&gt;0,"EVET","HAYIR"))</f>
        <v/>
      </c>
      <c r="P10" s="113">
        <f>IF($C10="","",IF($B10="","NO EKSİK",IF(COUNTIF($B$7:$B$106,$B10)&gt;1,"NO TEKRARI",IF(COUNTIF($C$7:$C$106,$C10)&gt;1,"UNVAN TEKRARI",IF($D10="","DURUM EKSİK",IF(AND($J10&gt;0,$K10=""),"DEVİR TARİHİ EKSİK","UYGUN"))))))</f>
        <v/>
      </c>
      <c r="Q10" s="6" t="n"/>
      <c r="R10" s="6" t="n"/>
      <c r="S10" s="3" t="n"/>
      <c r="T10" s="3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  <c r="U10" s="3">
        <f>IF($C10="","",COUNTIF($C$7:$C$106,"&lt;"&amp;$C10)+COUNTIF($C$7:$C10,$C10))</f>
        <v/>
      </c>
    </row>
    <row r="11">
      <c r="A11" s="6" t="n"/>
      <c r="B11" s="108" t="inlineStr">
        <is>
          <t>M005</t>
        </is>
      </c>
      <c r="C11" s="109" t="inlineStr">
        <is>
          <t>ZÜMRÜT GRUP LTD.ŞTİ.</t>
        </is>
      </c>
      <c r="D11" s="108" t="inlineStr">
        <is>
          <t>Aktif</t>
        </is>
      </c>
      <c r="E11" s="109" t="n"/>
      <c r="F11" s="109" t="n"/>
      <c r="G11" s="109" t="n"/>
      <c r="H11" s="108" t="inlineStr">
        <is>
          <t>Nakit</t>
        </is>
      </c>
      <c r="I11" s="217" t="n">
        <v>46023</v>
      </c>
      <c r="J11" s="218" t="n">
        <v>0</v>
      </c>
      <c r="K11" s="219" t="n"/>
      <c r="L11" s="109" t="n"/>
      <c r="M11" s="109" t="n"/>
      <c r="N11" s="108" t="n"/>
      <c r="O11" s="113">
        <f>IF($C11="","",IF(COUNTIFS(UCRETLER!$B$7:$B$406,$B11,UCRETLER!$H$7:$H$406,"Aktif")&gt;0,"EVET","HAYIR"))</f>
        <v/>
      </c>
      <c r="P11" s="113">
        <f>IF($C11="","",IF($B11="","NO EKSİK",IF(COUNTIF($B$7:$B$106,$B11)&gt;1,"NO TEKRARI",IF(COUNTIF($C$7:$C$106,$C11)&gt;1,"UNVAN TEKRARI",IF($D11="","DURUM EKSİK",IF(AND($J11&gt;0,$K11=""),"DEVİR TARİHİ EKSİK","UYGUN"))))))</f>
        <v/>
      </c>
      <c r="Q11" s="6" t="n"/>
      <c r="R11" s="6" t="n"/>
      <c r="S11" s="3" t="n"/>
      <c r="T11" s="3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  <c r="U11" s="3">
        <f>IF($C11="","",COUNTIF($C$7:$C$106,"&lt;"&amp;$C11)+COUNTIF($C$7:$C11,$C11))</f>
        <v/>
      </c>
    </row>
    <row r="12">
      <c r="A12" s="6" t="n"/>
      <c r="B12" s="108" t="inlineStr">
        <is>
          <t>M006</t>
        </is>
      </c>
      <c r="C12" s="109" t="inlineStr">
        <is>
          <t>VOLKAN AÇIK</t>
        </is>
      </c>
      <c r="D12" s="108" t="inlineStr">
        <is>
          <t>Aktif</t>
        </is>
      </c>
      <c r="E12" s="109" t="n"/>
      <c r="F12" s="109" t="n"/>
      <c r="G12" s="109" t="n"/>
      <c r="H12" s="108" t="inlineStr">
        <is>
          <t>Nakit</t>
        </is>
      </c>
      <c r="I12" s="217" t="n">
        <v>46023</v>
      </c>
      <c r="J12" s="218" t="n">
        <v>0</v>
      </c>
      <c r="K12" s="219" t="n"/>
      <c r="L12" s="109" t="n"/>
      <c r="M12" s="109" t="n"/>
      <c r="N12" s="108" t="n"/>
      <c r="O12" s="113">
        <f>IF($C12="","",IF(COUNTIFS(UCRETLER!$B$7:$B$406,$B12,UCRETLER!$H$7:$H$406,"Aktif")&gt;0,"EVET","HAYIR"))</f>
        <v/>
      </c>
      <c r="P12" s="113">
        <f>IF($C12="","",IF($B12="","NO EKSİK",IF(COUNTIF($B$7:$B$106,$B12)&gt;1,"NO TEKRARI",IF(COUNTIF($C$7:$C$106,$C12)&gt;1,"UNVAN TEKRARI",IF($D12="","DURUM EKSİK",IF(AND($J12&gt;0,$K12=""),"DEVİR TARİHİ EKSİK","UYGUN"))))))</f>
        <v/>
      </c>
      <c r="Q12" s="6" t="n"/>
      <c r="R12" s="6" t="n"/>
      <c r="S12" s="3" t="n"/>
      <c r="T12" s="3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  <c r="U12" s="3">
        <f>IF($C12="","",COUNTIF($C$7:$C$106,"&lt;"&amp;$C12)+COUNTIF($C$7:$C12,$C12))</f>
        <v/>
      </c>
    </row>
    <row r="13">
      <c r="A13" s="6" t="n"/>
      <c r="B13" s="108" t="inlineStr">
        <is>
          <t>M007</t>
        </is>
      </c>
      <c r="C13" s="109" t="inlineStr">
        <is>
          <t>MONAMOUR LTD.ŞTİ.</t>
        </is>
      </c>
      <c r="D13" s="108" t="inlineStr">
        <is>
          <t>Aktif</t>
        </is>
      </c>
      <c r="E13" s="109" t="n"/>
      <c r="F13" s="109" t="n"/>
      <c r="G13" s="109" t="n"/>
      <c r="H13" s="108" t="inlineStr">
        <is>
          <t>Nakit</t>
        </is>
      </c>
      <c r="I13" s="217" t="n">
        <v>46023</v>
      </c>
      <c r="J13" s="218" t="n">
        <v>0</v>
      </c>
      <c r="K13" s="219" t="n"/>
      <c r="L13" s="109" t="n"/>
      <c r="M13" s="109" t="n"/>
      <c r="N13" s="108" t="n"/>
      <c r="O13" s="113">
        <f>IF($C13="","",IF(COUNTIFS(UCRETLER!$B$7:$B$406,$B13,UCRETLER!$H$7:$H$406,"Aktif")&gt;0,"EVET","HAYIR"))</f>
        <v/>
      </c>
      <c r="P13" s="113">
        <f>IF($C13="","",IF($B13="","NO EKSİK",IF(COUNTIF($B$7:$B$106,$B13)&gt;1,"NO TEKRARI",IF(COUNTIF($C$7:$C$106,$C13)&gt;1,"UNVAN TEKRARI",IF($D13="","DURUM EKSİK",IF(AND($J13&gt;0,$K13=""),"DEVİR TARİHİ EKSİK","UYGUN"))))))</f>
        <v/>
      </c>
      <c r="Q13" s="6" t="n"/>
      <c r="R13" s="6" t="n"/>
      <c r="S13" s="3" t="n"/>
      <c r="T13" s="3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  <c r="U13" s="3">
        <f>IF($C13="","",COUNTIF($C$7:$C$106,"&lt;"&amp;$C13)+COUNTIF($C$7:$C13,$C13))</f>
        <v/>
      </c>
    </row>
    <row r="14">
      <c r="A14" s="6" t="n"/>
      <c r="B14" s="108" t="inlineStr">
        <is>
          <t>M008</t>
        </is>
      </c>
      <c r="C14" s="109" t="inlineStr">
        <is>
          <t>KÖŞK YÜKSELEN LTD.ŞTİ.</t>
        </is>
      </c>
      <c r="D14" s="108" t="inlineStr">
        <is>
          <t>Aktif</t>
        </is>
      </c>
      <c r="E14" s="109" t="n"/>
      <c r="F14" s="109" t="n"/>
      <c r="G14" s="109" t="n"/>
      <c r="H14" s="108" t="inlineStr">
        <is>
          <t>Nakit</t>
        </is>
      </c>
      <c r="I14" s="217" t="n">
        <v>46023</v>
      </c>
      <c r="J14" s="218" t="n">
        <v>0</v>
      </c>
      <c r="K14" s="219" t="n"/>
      <c r="L14" s="109" t="n"/>
      <c r="M14" s="109" t="n"/>
      <c r="N14" s="108" t="n"/>
      <c r="O14" s="113">
        <f>IF($C14="","",IF(COUNTIFS(UCRETLER!$B$7:$B$406,$B14,UCRETLER!$H$7:$H$406,"Aktif")&gt;0,"EVET","HAYIR"))</f>
        <v/>
      </c>
      <c r="P14" s="113">
        <f>IF($C14="","",IF($B14="","NO EKSİK",IF(COUNTIF($B$7:$B$106,$B14)&gt;1,"NO TEKRARI",IF(COUNTIF($C$7:$C$106,$C14)&gt;1,"UNVAN TEKRARI",IF($D14="","DURUM EKSİK",IF(AND($J14&gt;0,$K14=""),"DEVİR TARİHİ EKSİK","UYGUN"))))))</f>
        <v/>
      </c>
      <c r="Q14" s="6" t="n"/>
      <c r="R14" s="6" t="n"/>
      <c r="S14" s="3" t="n"/>
      <c r="T14" s="3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  <c r="U14" s="3">
        <f>IF($C14="","",COUNTIF($C$7:$C$106,"&lt;"&amp;$C14)+COUNTIF($C$7:$C14,$C14))</f>
        <v/>
      </c>
    </row>
    <row r="15">
      <c r="A15" s="6" t="n"/>
      <c r="B15" s="108" t="inlineStr">
        <is>
          <t>M009</t>
        </is>
      </c>
      <c r="C15" s="109" t="inlineStr">
        <is>
          <t>PAKYILDIZ LTD.ŞTİ.</t>
        </is>
      </c>
      <c r="D15" s="108" t="inlineStr">
        <is>
          <t>Aktif</t>
        </is>
      </c>
      <c r="E15" s="109" t="n"/>
      <c r="F15" s="109" t="n"/>
      <c r="G15" s="109" t="n"/>
      <c r="H15" s="108" t="inlineStr">
        <is>
          <t>Nakit</t>
        </is>
      </c>
      <c r="I15" s="217" t="n">
        <v>46023</v>
      </c>
      <c r="J15" s="218" t="n">
        <v>0</v>
      </c>
      <c r="K15" s="219" t="n"/>
      <c r="L15" s="109" t="n"/>
      <c r="M15" s="109" t="n"/>
      <c r="N15" s="108" t="n"/>
      <c r="O15" s="113">
        <f>IF($C15="","",IF(COUNTIFS(UCRETLER!$B$7:$B$406,$B15,UCRETLER!$H$7:$H$406,"Aktif")&gt;0,"EVET","HAYIR"))</f>
        <v/>
      </c>
      <c r="P15" s="113">
        <f>IF($C15="","",IF($B15="","NO EKSİK",IF(COUNTIF($B$7:$B$106,$B15)&gt;1,"NO TEKRARI",IF(COUNTIF($C$7:$C$106,$C15)&gt;1,"UNVAN TEKRARI",IF($D15="","DURUM EKSİK",IF(AND($J15&gt;0,$K15=""),"DEVİR TARİHİ EKSİK","UYGUN"))))))</f>
        <v/>
      </c>
      <c r="Q15" s="6" t="n"/>
      <c r="R15" s="6" t="n"/>
      <c r="S15" s="3" t="n"/>
      <c r="T15" s="3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  <c r="U15" s="3">
        <f>IF($C15="","",COUNTIF($C$7:$C$106,"&lt;"&amp;$C15)+COUNTIF($C$7:$C15,$C15))</f>
        <v/>
      </c>
    </row>
    <row r="16">
      <c r="A16" s="6" t="n"/>
      <c r="B16" s="108" t="inlineStr">
        <is>
          <t>M010</t>
        </is>
      </c>
      <c r="C16" s="109" t="inlineStr">
        <is>
          <t>ÖZFİDANLAR LTD.ŞTİ.</t>
        </is>
      </c>
      <c r="D16" s="108" t="inlineStr">
        <is>
          <t>Aktif</t>
        </is>
      </c>
      <c r="E16" s="109" t="n"/>
      <c r="F16" s="109" t="n"/>
      <c r="G16" s="109" t="n"/>
      <c r="H16" s="108" t="inlineStr">
        <is>
          <t>Nakit</t>
        </is>
      </c>
      <c r="I16" s="217" t="n">
        <v>46023</v>
      </c>
      <c r="J16" s="218" t="n">
        <v>0</v>
      </c>
      <c r="K16" s="219" t="n"/>
      <c r="L16" s="109" t="n"/>
      <c r="M16" s="109" t="n"/>
      <c r="N16" s="108" t="n"/>
      <c r="O16" s="113">
        <f>IF($C16="","",IF(COUNTIFS(UCRETLER!$B$7:$B$406,$B16,UCRETLER!$H$7:$H$406,"Aktif")&gt;0,"EVET","HAYIR"))</f>
        <v/>
      </c>
      <c r="P16" s="113">
        <f>IF($C16="","",IF($B16="","NO EKSİK",IF(COUNTIF($B$7:$B$106,$B16)&gt;1,"NO TEKRARI",IF(COUNTIF($C$7:$C$106,$C16)&gt;1,"UNVAN TEKRARI",IF($D16="","DURUM EKSİK",IF(AND($J16&gt;0,$K16=""),"DEVİR TARİHİ EKSİK","UYGUN"))))))</f>
        <v/>
      </c>
      <c r="Q16" s="6" t="n"/>
      <c r="R16" s="6" t="n"/>
      <c r="S16" s="3" t="n"/>
      <c r="T16" s="3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  <c r="U16" s="3">
        <f>IF($C16="","",COUNTIF($C$7:$C$106,"&lt;"&amp;$C16)+COUNTIF($C$7:$C16,$C16))</f>
        <v/>
      </c>
    </row>
    <row r="17">
      <c r="A17" s="6" t="n"/>
      <c r="B17" s="108" t="inlineStr">
        <is>
          <t>M011</t>
        </is>
      </c>
      <c r="C17" s="109" t="inlineStr">
        <is>
          <t>EĞLENGÖR LTD.ŞTİ.</t>
        </is>
      </c>
      <c r="D17" s="108" t="inlineStr">
        <is>
          <t>Aktif</t>
        </is>
      </c>
      <c r="E17" s="109" t="n"/>
      <c r="F17" s="109" t="n"/>
      <c r="G17" s="109" t="n"/>
      <c r="H17" s="108" t="inlineStr">
        <is>
          <t>Nakit</t>
        </is>
      </c>
      <c r="I17" s="217" t="n">
        <v>46039</v>
      </c>
      <c r="J17" s="218" t="n">
        <v>0</v>
      </c>
      <c r="K17" s="219" t="n"/>
      <c r="L17" s="109" t="n"/>
      <c r="M17" s="109" t="n"/>
      <c r="N17" s="108" t="n"/>
      <c r="O17" s="113">
        <f>IF($C17="","",IF(COUNTIFS(UCRETLER!$B$7:$B$406,$B17,UCRETLER!$H$7:$H$406,"Aktif")&gt;0,"EVET","HAYIR"))</f>
        <v/>
      </c>
      <c r="P17" s="113">
        <f>IF($C17="","",IF($B17="","NO EKSİK",IF(COUNTIF($B$7:$B$106,$B17)&gt;1,"NO TEKRARI",IF(COUNTIF($C$7:$C$106,$C17)&gt;1,"UNVAN TEKRARI",IF($D17="","DURUM EKSİK",IF(AND($J17&gt;0,$K17=""),"DEVİR TARİHİ EKSİK","UYGUN"))))))</f>
        <v/>
      </c>
      <c r="Q17" s="6" t="n"/>
      <c r="R17" s="6" t="n"/>
      <c r="S17" s="3" t="n"/>
      <c r="T17" s="3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  <c r="U17" s="3">
        <f>IF($C17="","",COUNTIF($C$7:$C$106,"&lt;"&amp;$C17)+COUNTIF($C$7:$C17,$C17))</f>
        <v/>
      </c>
    </row>
    <row r="18">
      <c r="A18" s="6" t="n"/>
      <c r="B18" s="108" t="inlineStr">
        <is>
          <t>M012</t>
        </is>
      </c>
      <c r="C18" s="109" t="inlineStr">
        <is>
          <t>İLDEŞ LTD.ŞTİ.</t>
        </is>
      </c>
      <c r="D18" s="108" t="inlineStr">
        <is>
          <t>Aktif</t>
        </is>
      </c>
      <c r="E18" s="109" t="n"/>
      <c r="F18" s="109" t="n"/>
      <c r="G18" s="109" t="n"/>
      <c r="H18" s="108" t="inlineStr">
        <is>
          <t>Nakit</t>
        </is>
      </c>
      <c r="I18" s="217" t="n">
        <v>46023</v>
      </c>
      <c r="J18" s="218" t="n">
        <v>0</v>
      </c>
      <c r="K18" s="219" t="n"/>
      <c r="L18" s="109" t="n"/>
      <c r="M18" s="109" t="n"/>
      <c r="N18" s="108" t="n"/>
      <c r="O18" s="113">
        <f>IF($C18="","",IF(COUNTIFS(UCRETLER!$B$7:$B$406,$B18,UCRETLER!$H$7:$H$406,"Aktif")&gt;0,"EVET","HAYIR"))</f>
        <v/>
      </c>
      <c r="P18" s="113">
        <f>IF($C18="","",IF($B18="","NO EKSİK",IF(COUNTIF($B$7:$B$106,$B18)&gt;1,"NO TEKRARI",IF(COUNTIF($C$7:$C$106,$C18)&gt;1,"UNVAN TEKRARI",IF($D18="","DURUM EKSİK",IF(AND($J18&gt;0,$K18=""),"DEVİR TARİHİ EKSİK","UYGUN"))))))</f>
        <v/>
      </c>
      <c r="Q18" s="6" t="n"/>
      <c r="R18" s="6" t="n"/>
      <c r="S18" s="3" t="n"/>
      <c r="T18" s="3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  <c r="U18" s="3">
        <f>IF($C18="","",COUNTIF($C$7:$C$106,"&lt;"&amp;$C18)+COUNTIF($C$7:$C18,$C18))</f>
        <v/>
      </c>
    </row>
    <row r="19">
      <c r="A19" s="6" t="n"/>
      <c r="B19" s="108" t="inlineStr">
        <is>
          <t>M013</t>
        </is>
      </c>
      <c r="C19" s="109" t="inlineStr">
        <is>
          <t>NAZ 1 GIDA LTD.ŞTİ.</t>
        </is>
      </c>
      <c r="D19" s="108" t="inlineStr">
        <is>
          <t>Aktif</t>
        </is>
      </c>
      <c r="E19" s="109" t="n"/>
      <c r="F19" s="109" t="n"/>
      <c r="G19" s="109" t="n"/>
      <c r="H19" s="108" t="inlineStr">
        <is>
          <t>Nakit</t>
        </is>
      </c>
      <c r="I19" s="217" t="n">
        <v>46023</v>
      </c>
      <c r="J19" s="218" t="n">
        <v>0</v>
      </c>
      <c r="K19" s="219" t="n"/>
      <c r="L19" s="109" t="n"/>
      <c r="M19" s="109" t="n"/>
      <c r="N19" s="108" t="n"/>
      <c r="O19" s="113">
        <f>IF($C19="","",IF(COUNTIFS(UCRETLER!$B$7:$B$406,$B19,UCRETLER!$H$7:$H$406,"Aktif")&gt;0,"EVET","HAYIR"))</f>
        <v/>
      </c>
      <c r="P19" s="113">
        <f>IF($C19="","",IF($B19="","NO EKSİK",IF(COUNTIF($B$7:$B$106,$B19)&gt;1,"NO TEKRARI",IF(COUNTIF($C$7:$C$106,$C19)&gt;1,"UNVAN TEKRARI",IF($D19="","DURUM EKSİK",IF(AND($J19&gt;0,$K19=""),"DEVİR TARİHİ EKSİK","UYGUN"))))))</f>
        <v/>
      </c>
      <c r="Q19" s="6" t="n"/>
      <c r="R19" s="6" t="n"/>
      <c r="S19" s="3" t="n"/>
      <c r="T19" s="3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  <c r="U19" s="3">
        <f>IF($C19="","",COUNTIF($C$7:$C$106,"&lt;"&amp;$C19)+COUNTIF($C$7:$C19,$C19))</f>
        <v/>
      </c>
    </row>
    <row r="20">
      <c r="A20" s="6" t="n"/>
      <c r="B20" s="108" t="inlineStr">
        <is>
          <t>M014</t>
        </is>
      </c>
      <c r="C20" s="109" t="inlineStr">
        <is>
          <t>FİNAL SİYAH BEYAZ LTD.ŞTİ.</t>
        </is>
      </c>
      <c r="D20" s="108" t="inlineStr">
        <is>
          <t>Aktif</t>
        </is>
      </c>
      <c r="E20" s="109" t="n"/>
      <c r="F20" s="109" t="n"/>
      <c r="G20" s="109" t="n"/>
      <c r="H20" s="108" t="inlineStr">
        <is>
          <t>Nakit</t>
        </is>
      </c>
      <c r="I20" s="217" t="n">
        <v>46023</v>
      </c>
      <c r="J20" s="218" t="n">
        <v>0</v>
      </c>
      <c r="K20" s="219" t="n"/>
      <c r="L20" s="109" t="n"/>
      <c r="M20" s="109" t="n"/>
      <c r="N20" s="108" t="n"/>
      <c r="O20" s="113">
        <f>IF($C20="","",IF(COUNTIFS(UCRETLER!$B$7:$B$406,$B20,UCRETLER!$H$7:$H$406,"Aktif")&gt;0,"EVET","HAYIR"))</f>
        <v/>
      </c>
      <c r="P20" s="113">
        <f>IF($C20="","",IF($B20="","NO EKSİK",IF(COUNTIF($B$7:$B$106,$B20)&gt;1,"NO TEKRARI",IF(COUNTIF($C$7:$C$106,$C20)&gt;1,"UNVAN TEKRARI",IF($D20="","DURUM EKSİK",IF(AND($J20&gt;0,$K20=""),"DEVİR TARİHİ EKSİK","UYGUN"))))))</f>
        <v/>
      </c>
      <c r="Q20" s="6" t="n"/>
      <c r="R20" s="6" t="n"/>
      <c r="S20" s="3" t="n"/>
      <c r="T20" s="3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  <c r="U20" s="3">
        <f>IF($C20="","",COUNTIF($C$7:$C$106,"&lt;"&amp;$C20)+COUNTIF($C$7:$C20,$C20))</f>
        <v/>
      </c>
    </row>
    <row r="21">
      <c r="A21" s="6" t="n"/>
      <c r="B21" s="108" t="inlineStr">
        <is>
          <t>M015</t>
        </is>
      </c>
      <c r="C21" s="109" t="inlineStr">
        <is>
          <t>ÇAYIRALAN LTD.ŞTİ.</t>
        </is>
      </c>
      <c r="D21" s="108" t="inlineStr">
        <is>
          <t>Aktif</t>
        </is>
      </c>
      <c r="E21" s="109" t="n"/>
      <c r="F21" s="109" t="n"/>
      <c r="G21" s="109" t="n"/>
      <c r="H21" s="108" t="inlineStr">
        <is>
          <t>Nakit</t>
        </is>
      </c>
      <c r="I21" s="217" t="n">
        <v>46023</v>
      </c>
      <c r="J21" s="218" t="n">
        <v>0</v>
      </c>
      <c r="K21" s="219" t="n"/>
      <c r="L21" s="109" t="n"/>
      <c r="M21" s="109" t="n"/>
      <c r="N21" s="108" t="n"/>
      <c r="O21" s="113">
        <f>IF($C21="","",IF(COUNTIFS(UCRETLER!$B$7:$B$406,$B21,UCRETLER!$H$7:$H$406,"Aktif")&gt;0,"EVET","HAYIR"))</f>
        <v/>
      </c>
      <c r="P21" s="113">
        <f>IF($C21="","",IF($B21="","NO EKSİK",IF(COUNTIF($B$7:$B$106,$B21)&gt;1,"NO TEKRARI",IF(COUNTIF($C$7:$C$106,$C21)&gt;1,"UNVAN TEKRARI",IF($D21="","DURUM EKSİK",IF(AND($J21&gt;0,$K21=""),"DEVİR TARİHİ EKSİK","UYGUN"))))))</f>
        <v/>
      </c>
      <c r="Q21" s="6" t="n"/>
      <c r="R21" s="6" t="n"/>
      <c r="S21" s="3" t="n"/>
      <c r="T21" s="3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  <c r="U21" s="3">
        <f>IF($C21="","",COUNTIF($C$7:$C$106,"&lt;"&amp;$C21)+COUNTIF($C$7:$C21,$C21))</f>
        <v/>
      </c>
    </row>
    <row r="22">
      <c r="A22" s="6" t="n"/>
      <c r="B22" s="108" t="inlineStr">
        <is>
          <t>M016</t>
        </is>
      </c>
      <c r="C22" s="109" t="inlineStr">
        <is>
          <t>RİX ŞOW LTD.ŞTİ.</t>
        </is>
      </c>
      <c r="D22" s="108" t="inlineStr">
        <is>
          <t>Aktif</t>
        </is>
      </c>
      <c r="E22" s="109" t="n"/>
      <c r="F22" s="109" t="n"/>
      <c r="G22" s="109" t="n"/>
      <c r="H22" s="108" t="inlineStr">
        <is>
          <t>Nakit</t>
        </is>
      </c>
      <c r="I22" s="217" t="n">
        <v>46023</v>
      </c>
      <c r="J22" s="218" t="n">
        <v>0</v>
      </c>
      <c r="K22" s="219" t="n"/>
      <c r="L22" s="109" t="n"/>
      <c r="M22" s="109" t="n"/>
      <c r="N22" s="108" t="n"/>
      <c r="O22" s="113">
        <f>IF($C22="","",IF(COUNTIFS(UCRETLER!$B$7:$B$406,$B22,UCRETLER!$H$7:$H$406,"Aktif")&gt;0,"EVET","HAYIR"))</f>
        <v/>
      </c>
      <c r="P22" s="113">
        <f>IF($C22="","",IF($B22="","NO EKSİK",IF(COUNTIF($B$7:$B$106,$B22)&gt;1,"NO TEKRARI",IF(COUNTIF($C$7:$C$106,$C22)&gt;1,"UNVAN TEKRARI",IF($D22="","DURUM EKSİK",IF(AND($J22&gt;0,$K22=""),"DEVİR TARİHİ EKSİK","UYGUN"))))))</f>
        <v/>
      </c>
      <c r="Q22" s="6" t="n"/>
      <c r="R22" s="6" t="n"/>
      <c r="S22" s="3" t="n"/>
      <c r="T22" s="3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  <c r="U22" s="3">
        <f>IF($C22="","",COUNTIF($C$7:$C$106,"&lt;"&amp;$C22)+COUNTIF($C$7:$C22,$C22))</f>
        <v/>
      </c>
    </row>
    <row r="23">
      <c r="A23" s="6" t="n"/>
      <c r="B23" s="108" t="inlineStr">
        <is>
          <t>M017</t>
        </is>
      </c>
      <c r="C23" s="109" t="inlineStr">
        <is>
          <t>ASM EĞLENCE LTD.ŞTİ.</t>
        </is>
      </c>
      <c r="D23" s="108" t="inlineStr">
        <is>
          <t>Aktif</t>
        </is>
      </c>
      <c r="E23" s="109" t="n"/>
      <c r="F23" s="109" t="n"/>
      <c r="G23" s="109" t="n"/>
      <c r="H23" s="108" t="inlineStr">
        <is>
          <t>Nakit</t>
        </is>
      </c>
      <c r="I23" s="217" t="n">
        <v>46023</v>
      </c>
      <c r="J23" s="218" t="n">
        <v>0</v>
      </c>
      <c r="K23" s="219" t="n"/>
      <c r="L23" s="109" t="n"/>
      <c r="M23" s="109" t="n"/>
      <c r="N23" s="108" t="n"/>
      <c r="O23" s="113">
        <f>IF($C23="","",IF(COUNTIFS(UCRETLER!$B$7:$B$406,$B23,UCRETLER!$H$7:$H$406,"Aktif")&gt;0,"EVET","HAYIR"))</f>
        <v/>
      </c>
      <c r="P23" s="113">
        <f>IF($C23="","",IF($B23="","NO EKSİK",IF(COUNTIF($B$7:$B$106,$B23)&gt;1,"NO TEKRARI",IF(COUNTIF($C$7:$C$106,$C23)&gt;1,"UNVAN TEKRARI",IF($D23="","DURUM EKSİK",IF(AND($J23&gt;0,$K23=""),"DEVİR TARİHİ EKSİK","UYGUN"))))))</f>
        <v/>
      </c>
      <c r="Q23" s="6" t="n"/>
      <c r="R23" s="6" t="n"/>
      <c r="S23" s="3" t="n"/>
      <c r="T23" s="3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  <c r="U23" s="3">
        <f>IF($C23="","",COUNTIF($C$7:$C$106,"&lt;"&amp;$C23)+COUNTIF($C$7:$C23,$C23))</f>
        <v/>
      </c>
    </row>
    <row r="24">
      <c r="A24" s="6" t="n"/>
      <c r="B24" s="108" t="inlineStr">
        <is>
          <t>M018</t>
        </is>
      </c>
      <c r="C24" s="109" t="inlineStr">
        <is>
          <t>ÇINARHAN LTD.ŞTİ.</t>
        </is>
      </c>
      <c r="D24" s="108" t="inlineStr">
        <is>
          <t>Aktif</t>
        </is>
      </c>
      <c r="E24" s="109" t="n"/>
      <c r="F24" s="109" t="n"/>
      <c r="G24" s="109" t="n"/>
      <c r="H24" s="108" t="inlineStr">
        <is>
          <t>Nakit</t>
        </is>
      </c>
      <c r="I24" s="217" t="n">
        <v>46023</v>
      </c>
      <c r="J24" s="218" t="n">
        <v>0</v>
      </c>
      <c r="K24" s="219" t="n"/>
      <c r="L24" s="109" t="n"/>
      <c r="M24" s="109" t="n"/>
      <c r="N24" s="108" t="n"/>
      <c r="O24" s="113">
        <f>IF($C24="","",IF(COUNTIFS(UCRETLER!$B$7:$B$406,$B24,UCRETLER!$H$7:$H$406,"Aktif")&gt;0,"EVET","HAYIR"))</f>
        <v/>
      </c>
      <c r="P24" s="113">
        <f>IF($C24="","",IF($B24="","NO EKSİK",IF(COUNTIF($B$7:$B$106,$B24)&gt;1,"NO TEKRARI",IF(COUNTIF($C$7:$C$106,$C24)&gt;1,"UNVAN TEKRARI",IF($D24="","DURUM EKSİK",IF(AND($J24&gt;0,$K24=""),"DEVİR TARİHİ EKSİK","UYGUN"))))))</f>
        <v/>
      </c>
      <c r="Q24" s="6" t="n"/>
      <c r="R24" s="6" t="n"/>
      <c r="S24" s="3" t="n"/>
      <c r="T24" s="3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  <c r="U24" s="3">
        <f>IF($C24="","",COUNTIF($C$7:$C$106,"&lt;"&amp;$C24)+COUNTIF($C$7:$C24,$C24))</f>
        <v/>
      </c>
    </row>
    <row r="25">
      <c r="A25" s="6" t="n"/>
      <c r="B25" s="108" t="inlineStr">
        <is>
          <t>M019</t>
        </is>
      </c>
      <c r="C25" s="109" t="inlineStr">
        <is>
          <t>AC OTEL LTD.ŞTİ.</t>
        </is>
      </c>
      <c r="D25" s="108" t="inlineStr">
        <is>
          <t>Aktif</t>
        </is>
      </c>
      <c r="E25" s="109" t="n"/>
      <c r="F25" s="109" t="n"/>
      <c r="G25" s="109" t="n"/>
      <c r="H25" s="108" t="inlineStr">
        <is>
          <t>Nakit</t>
        </is>
      </c>
      <c r="I25" s="217" t="n">
        <v>46023</v>
      </c>
      <c r="J25" s="218" t="n">
        <v>0</v>
      </c>
      <c r="K25" s="219" t="n"/>
      <c r="L25" s="109" t="n"/>
      <c r="M25" s="109" t="n"/>
      <c r="N25" s="108" t="n"/>
      <c r="O25" s="113">
        <f>IF($C25="","",IF(COUNTIFS(UCRETLER!$B$7:$B$406,$B25,UCRETLER!$H$7:$H$406,"Aktif")&gt;0,"EVET","HAYIR"))</f>
        <v/>
      </c>
      <c r="P25" s="113">
        <f>IF($C25="","",IF($B25="","NO EKSİK",IF(COUNTIF($B$7:$B$106,$B25)&gt;1,"NO TEKRARI",IF(COUNTIF($C$7:$C$106,$C25)&gt;1,"UNVAN TEKRARI",IF($D25="","DURUM EKSİK",IF(AND($J25&gt;0,$K25=""),"DEVİR TARİHİ EKSİK","UYGUN"))))))</f>
        <v/>
      </c>
      <c r="Q25" s="6" t="n"/>
      <c r="R25" s="6" t="n"/>
      <c r="S25" s="3" t="n"/>
      <c r="T25" s="3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  <c r="U25" s="3">
        <f>IF($C25="","",COUNTIF($C$7:$C$106,"&lt;"&amp;$C25)+COUNTIF($C$7:$C25,$C25))</f>
        <v/>
      </c>
    </row>
    <row r="26">
      <c r="A26" s="6" t="n"/>
      <c r="B26" s="108" t="inlineStr">
        <is>
          <t>M020</t>
        </is>
      </c>
      <c r="C26" s="109" t="inlineStr">
        <is>
          <t>KRİSTAL LTD.ŞTİ.</t>
        </is>
      </c>
      <c r="D26" s="108" t="inlineStr">
        <is>
          <t>Aktif</t>
        </is>
      </c>
      <c r="E26" s="109" t="n"/>
      <c r="F26" s="109" t="n"/>
      <c r="G26" s="109" t="n"/>
      <c r="H26" s="108" t="inlineStr">
        <is>
          <t>Nakit</t>
        </is>
      </c>
      <c r="I26" s="217" t="n">
        <v>46023</v>
      </c>
      <c r="J26" s="218" t="n">
        <v>0</v>
      </c>
      <c r="K26" s="219" t="n"/>
      <c r="L26" s="109" t="n"/>
      <c r="M26" s="109" t="n"/>
      <c r="N26" s="108" t="n"/>
      <c r="O26" s="113">
        <f>IF($C26="","",IF(COUNTIFS(UCRETLER!$B$7:$B$406,$B26,UCRETLER!$H$7:$H$406,"Aktif")&gt;0,"EVET","HAYIR"))</f>
        <v/>
      </c>
      <c r="P26" s="113">
        <f>IF($C26="","",IF($B26="","NO EKSİK",IF(COUNTIF($B$7:$B$106,$B26)&gt;1,"NO TEKRARI",IF(COUNTIF($C$7:$C$106,$C26)&gt;1,"UNVAN TEKRARI",IF($D26="","DURUM EKSİK",IF(AND($J26&gt;0,$K26=""),"DEVİR TARİHİ EKSİK","UYGUN"))))))</f>
        <v/>
      </c>
      <c r="Q26" s="6" t="n"/>
      <c r="R26" s="6" t="n"/>
      <c r="S26" s="3" t="n"/>
      <c r="T26" s="3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  <c r="U26" s="3">
        <f>IF($C26="","",COUNTIF($C$7:$C$106,"&lt;"&amp;$C26)+COUNTIF($C$7:$C26,$C26))</f>
        <v/>
      </c>
    </row>
    <row r="27">
      <c r="A27" s="6" t="n"/>
      <c r="B27" s="108" t="inlineStr">
        <is>
          <t>M021</t>
        </is>
      </c>
      <c r="C27" s="109" t="inlineStr">
        <is>
          <t>ARON TOPTAN LTD.ŞTİ.</t>
        </is>
      </c>
      <c r="D27" s="108" t="inlineStr">
        <is>
          <t>Aktif</t>
        </is>
      </c>
      <c r="E27" s="109" t="n"/>
      <c r="F27" s="109" t="n"/>
      <c r="G27" s="109" t="n"/>
      <c r="H27" s="108" t="inlineStr">
        <is>
          <t>Nakit</t>
        </is>
      </c>
      <c r="I27" s="217" t="n">
        <v>46023</v>
      </c>
      <c r="J27" s="218" t="n">
        <v>0</v>
      </c>
      <c r="K27" s="219" t="n"/>
      <c r="L27" s="109" t="n"/>
      <c r="M27" s="109" t="n"/>
      <c r="N27" s="108" t="n"/>
      <c r="O27" s="113">
        <f>IF($C27="","",IF(COUNTIFS(UCRETLER!$B$7:$B$406,$B27,UCRETLER!$H$7:$H$406,"Aktif")&gt;0,"EVET","HAYIR"))</f>
        <v/>
      </c>
      <c r="P27" s="113">
        <f>IF($C27="","",IF($B27="","NO EKSİK",IF(COUNTIF($B$7:$B$106,$B27)&gt;1,"NO TEKRARI",IF(COUNTIF($C$7:$C$106,$C27)&gt;1,"UNVAN TEKRARI",IF($D27="","DURUM EKSİK",IF(AND($J27&gt;0,$K27=""),"DEVİR TARİHİ EKSİK","UYGUN"))))))</f>
        <v/>
      </c>
      <c r="Q27" s="6" t="n"/>
      <c r="R27" s="6" t="n"/>
      <c r="S27" s="3" t="n"/>
      <c r="T27" s="3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  <c r="U27" s="3">
        <f>IF($C27="","",COUNTIF($C$7:$C$106,"&lt;"&amp;$C27)+COUNTIF($C$7:$C27,$C27))</f>
        <v/>
      </c>
    </row>
    <row r="28">
      <c r="A28" s="6" t="n"/>
      <c r="B28" s="108" t="inlineStr">
        <is>
          <t>M022</t>
        </is>
      </c>
      <c r="C28" s="109" t="inlineStr">
        <is>
          <t>ADEM KARABENLİ</t>
        </is>
      </c>
      <c r="D28" s="108" t="inlineStr">
        <is>
          <t>Aktif</t>
        </is>
      </c>
      <c r="E28" s="109" t="n"/>
      <c r="F28" s="109" t="n"/>
      <c r="G28" s="109" t="n"/>
      <c r="H28" s="108" t="inlineStr">
        <is>
          <t>Nakit</t>
        </is>
      </c>
      <c r="I28" s="217" t="n">
        <v>46023</v>
      </c>
      <c r="J28" s="218" t="n">
        <v>0</v>
      </c>
      <c r="K28" s="219" t="n"/>
      <c r="L28" s="109" t="n"/>
      <c r="M28" s="109" t="n"/>
      <c r="N28" s="108" t="n"/>
      <c r="O28" s="113">
        <f>IF($C28="","",IF(COUNTIFS(UCRETLER!$B$7:$B$406,$B28,UCRETLER!$H$7:$H$406,"Aktif")&gt;0,"EVET","HAYIR"))</f>
        <v/>
      </c>
      <c r="P28" s="113">
        <f>IF($C28="","",IF($B28="","NO EKSİK",IF(COUNTIF($B$7:$B$106,$B28)&gt;1,"NO TEKRARI",IF(COUNTIF($C$7:$C$106,$C28)&gt;1,"UNVAN TEKRARI",IF($D28="","DURUM EKSİK",IF(AND($J28&gt;0,$K28=""),"DEVİR TARİHİ EKSİK","UYGUN"))))))</f>
        <v/>
      </c>
      <c r="Q28" s="6" t="n"/>
      <c r="R28" s="6" t="n"/>
      <c r="S28" s="3" t="n"/>
      <c r="T28" s="3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  <c r="U28" s="3">
        <f>IF($C28="","",COUNTIF($C$7:$C$106,"&lt;"&amp;$C28)+COUNTIF($C$7:$C28,$C28))</f>
        <v/>
      </c>
    </row>
    <row r="29">
      <c r="A29" s="6" t="n"/>
      <c r="B29" s="108" t="inlineStr">
        <is>
          <t>M023</t>
        </is>
      </c>
      <c r="C29" s="109" t="inlineStr">
        <is>
          <t>ALTINEL LTD.ŞTİ.</t>
        </is>
      </c>
      <c r="D29" s="108" t="inlineStr">
        <is>
          <t>Aktif</t>
        </is>
      </c>
      <c r="E29" s="109" t="n"/>
      <c r="F29" s="109" t="n"/>
      <c r="G29" s="109" t="n"/>
      <c r="H29" s="108" t="inlineStr">
        <is>
          <t>Nakit</t>
        </is>
      </c>
      <c r="I29" s="217" t="n">
        <v>46023</v>
      </c>
      <c r="J29" s="218" t="n">
        <v>0</v>
      </c>
      <c r="K29" s="219" t="n"/>
      <c r="L29" s="109" t="n"/>
      <c r="M29" s="109" t="n"/>
      <c r="N29" s="108" t="n"/>
      <c r="O29" s="113">
        <f>IF($C29="","",IF(COUNTIFS(UCRETLER!$B$7:$B$406,$B29,UCRETLER!$H$7:$H$406,"Aktif")&gt;0,"EVET","HAYIR"))</f>
        <v/>
      </c>
      <c r="P29" s="113">
        <f>IF($C29="","",IF($B29="","NO EKSİK",IF(COUNTIF($B$7:$B$106,$B29)&gt;1,"NO TEKRARI",IF(COUNTIF($C$7:$C$106,$C29)&gt;1,"UNVAN TEKRARI",IF($D29="","DURUM EKSİK",IF(AND($J29&gt;0,$K29=""),"DEVİR TARİHİ EKSİK","UYGUN"))))))</f>
        <v/>
      </c>
      <c r="Q29" s="6" t="n"/>
      <c r="R29" s="6" t="n"/>
      <c r="S29" s="3" t="n"/>
      <c r="T29" s="3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  <c r="U29" s="3">
        <f>IF($C29="","",COUNTIF($C$7:$C$106,"&lt;"&amp;$C29)+COUNTIF($C$7:$C29,$C29))</f>
        <v/>
      </c>
    </row>
    <row r="30">
      <c r="A30" s="6" t="n"/>
      <c r="B30" s="108" t="inlineStr">
        <is>
          <t>M024</t>
        </is>
      </c>
      <c r="C30" s="109" t="inlineStr">
        <is>
          <t>ARMAN DİK</t>
        </is>
      </c>
      <c r="D30" s="108" t="inlineStr">
        <is>
          <t>Aktif</t>
        </is>
      </c>
      <c r="E30" s="109" t="n"/>
      <c r="F30" s="109" t="n"/>
      <c r="G30" s="109" t="n"/>
      <c r="H30" s="108" t="inlineStr">
        <is>
          <t>Nakit</t>
        </is>
      </c>
      <c r="I30" s="217" t="n">
        <v>46023</v>
      </c>
      <c r="J30" s="218" t="n">
        <v>0</v>
      </c>
      <c r="K30" s="219" t="n"/>
      <c r="L30" s="109" t="n"/>
      <c r="M30" s="109" t="n"/>
      <c r="N30" s="108" t="n"/>
      <c r="O30" s="113">
        <f>IF($C30="","",IF(COUNTIFS(UCRETLER!$B$7:$B$406,$B30,UCRETLER!$H$7:$H$406,"Aktif")&gt;0,"EVET","HAYIR"))</f>
        <v/>
      </c>
      <c r="P30" s="113">
        <f>IF($C30="","",IF($B30="","NO EKSİK",IF(COUNTIF($B$7:$B$106,$B30)&gt;1,"NO TEKRARI",IF(COUNTIF($C$7:$C$106,$C30)&gt;1,"UNVAN TEKRARI",IF($D30="","DURUM EKSİK",IF(AND($J30&gt;0,$K30=""),"DEVİR TARİHİ EKSİK","UYGUN"))))))</f>
        <v/>
      </c>
      <c r="Q30" s="6" t="n"/>
      <c r="R30" s="6" t="n"/>
      <c r="S30" s="3" t="n"/>
      <c r="T30" s="3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  <c r="U30" s="3">
        <f>IF($C30="","",COUNTIF($C$7:$C$106,"&lt;"&amp;$C30)+COUNTIF($C$7:$C30,$C30))</f>
        <v/>
      </c>
    </row>
    <row r="31">
      <c r="A31" s="6" t="n"/>
      <c r="B31" s="108" t="inlineStr">
        <is>
          <t>M025</t>
        </is>
      </c>
      <c r="C31" s="109" t="inlineStr">
        <is>
          <t>ASIM AÇIKGÖZ</t>
        </is>
      </c>
      <c r="D31" s="108" t="inlineStr">
        <is>
          <t>Aktif</t>
        </is>
      </c>
      <c r="E31" s="109" t="n"/>
      <c r="F31" s="109" t="n"/>
      <c r="G31" s="109" t="n"/>
      <c r="H31" s="108" t="inlineStr">
        <is>
          <t>Nakit</t>
        </is>
      </c>
      <c r="I31" s="217" t="n">
        <v>46023</v>
      </c>
      <c r="J31" s="218" t="n">
        <v>0</v>
      </c>
      <c r="K31" s="219" t="n"/>
      <c r="L31" s="109" t="n"/>
      <c r="M31" s="109" t="n"/>
      <c r="N31" s="108" t="n"/>
      <c r="O31" s="113">
        <f>IF($C31="","",IF(COUNTIFS(UCRETLER!$B$7:$B$406,$B31,UCRETLER!$H$7:$H$406,"Aktif")&gt;0,"EVET","HAYIR"))</f>
        <v/>
      </c>
      <c r="P31" s="113">
        <f>IF($C31="","",IF($B31="","NO EKSİK",IF(COUNTIF($B$7:$B$106,$B31)&gt;1,"NO TEKRARI",IF(COUNTIF($C$7:$C$106,$C31)&gt;1,"UNVAN TEKRARI",IF($D31="","DURUM EKSİK",IF(AND($J31&gt;0,$K31=""),"DEVİR TARİHİ EKSİK","UYGUN"))))))</f>
        <v/>
      </c>
      <c r="Q31" s="6" t="n"/>
      <c r="R31" s="6" t="n"/>
      <c r="S31" s="3" t="n"/>
      <c r="T31" s="3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  <c r="U31" s="3">
        <f>IF($C31="","",COUNTIF($C$7:$C$106,"&lt;"&amp;$C31)+COUNTIF($C$7:$C31,$C31))</f>
        <v/>
      </c>
    </row>
    <row r="32">
      <c r="A32" s="6" t="n"/>
      <c r="B32" s="108" t="inlineStr">
        <is>
          <t>M026</t>
        </is>
      </c>
      <c r="C32" s="109" t="inlineStr">
        <is>
          <t>AYDES LTD.ŞTİ.</t>
        </is>
      </c>
      <c r="D32" s="108" t="inlineStr">
        <is>
          <t>Aktif</t>
        </is>
      </c>
      <c r="E32" s="109" t="n"/>
      <c r="F32" s="109" t="n"/>
      <c r="G32" s="109" t="n"/>
      <c r="H32" s="108" t="inlineStr">
        <is>
          <t>Nakit</t>
        </is>
      </c>
      <c r="I32" s="217" t="n">
        <v>46023</v>
      </c>
      <c r="J32" s="218" t="n">
        <v>0</v>
      </c>
      <c r="K32" s="219" t="n"/>
      <c r="L32" s="109" t="n"/>
      <c r="M32" s="109" t="n"/>
      <c r="N32" s="108" t="n"/>
      <c r="O32" s="113">
        <f>IF($C32="","",IF(COUNTIFS(UCRETLER!$B$7:$B$406,$B32,UCRETLER!$H$7:$H$406,"Aktif")&gt;0,"EVET","HAYIR"))</f>
        <v/>
      </c>
      <c r="P32" s="113">
        <f>IF($C32="","",IF($B32="","NO EKSİK",IF(COUNTIF($B$7:$B$106,$B32)&gt;1,"NO TEKRARI",IF(COUNTIF($C$7:$C$106,$C32)&gt;1,"UNVAN TEKRARI",IF($D32="","DURUM EKSİK",IF(AND($J32&gt;0,$K32=""),"DEVİR TARİHİ EKSİK","UYGUN"))))))</f>
        <v/>
      </c>
      <c r="Q32" s="6" t="n"/>
      <c r="R32" s="6" t="n"/>
      <c r="S32" s="3" t="n"/>
      <c r="T32" s="3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  <c r="U32" s="3">
        <f>IF($C32="","",COUNTIF($C$7:$C$106,"&lt;"&amp;$C32)+COUNTIF($C$7:$C32,$C32))</f>
        <v/>
      </c>
    </row>
    <row r="33">
      <c r="A33" s="6" t="n"/>
      <c r="B33" s="108" t="inlineStr">
        <is>
          <t>M027</t>
        </is>
      </c>
      <c r="C33" s="109" t="inlineStr">
        <is>
          <t>CEREN DEMİRCİ</t>
        </is>
      </c>
      <c r="D33" s="108" t="inlineStr">
        <is>
          <t>Aktif</t>
        </is>
      </c>
      <c r="E33" s="109" t="n"/>
      <c r="F33" s="109" t="n"/>
      <c r="G33" s="109" t="n"/>
      <c r="H33" s="108" t="inlineStr">
        <is>
          <t>Nakit</t>
        </is>
      </c>
      <c r="I33" s="217" t="n">
        <v>46023</v>
      </c>
      <c r="J33" s="218" t="n">
        <v>0</v>
      </c>
      <c r="K33" s="219" t="n"/>
      <c r="L33" s="109" t="n"/>
      <c r="M33" s="109" t="n"/>
      <c r="N33" s="108" t="n"/>
      <c r="O33" s="113">
        <f>IF($C33="","",IF(COUNTIFS(UCRETLER!$B$7:$B$406,$B33,UCRETLER!$H$7:$H$406,"Aktif")&gt;0,"EVET","HAYIR"))</f>
        <v/>
      </c>
      <c r="P33" s="113">
        <f>IF($C33="","",IF($B33="","NO EKSİK",IF(COUNTIF($B$7:$B$106,$B33)&gt;1,"NO TEKRARI",IF(COUNTIF($C$7:$C$106,$C33)&gt;1,"UNVAN TEKRARI",IF($D33="","DURUM EKSİK",IF(AND($J33&gt;0,$K33=""),"DEVİR TARİHİ EKSİK","UYGUN"))))))</f>
        <v/>
      </c>
      <c r="Q33" s="6" t="n"/>
      <c r="R33" s="6" t="n"/>
      <c r="S33" s="3" t="n"/>
      <c r="T33" s="3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  <c r="U33" s="3">
        <f>IF($C33="","",COUNTIF($C$7:$C$106,"&lt;"&amp;$C33)+COUNTIF($C$7:$C33,$C33))</f>
        <v/>
      </c>
    </row>
    <row r="34">
      <c r="A34" s="6" t="n"/>
      <c r="B34" s="108" t="inlineStr">
        <is>
          <t>M028</t>
        </is>
      </c>
      <c r="C34" s="109" t="inlineStr">
        <is>
          <t>DERVİŞHAN LTD.ŞTİ.</t>
        </is>
      </c>
      <c r="D34" s="108" t="inlineStr">
        <is>
          <t>Aktif</t>
        </is>
      </c>
      <c r="E34" s="109" t="n"/>
      <c r="F34" s="109" t="n"/>
      <c r="G34" s="109" t="n"/>
      <c r="H34" s="108" t="inlineStr">
        <is>
          <t>Nakit</t>
        </is>
      </c>
      <c r="I34" s="217" t="n">
        <v>46023</v>
      </c>
      <c r="J34" s="218" t="n">
        <v>0</v>
      </c>
      <c r="K34" s="219" t="n"/>
      <c r="L34" s="109" t="n"/>
      <c r="M34" s="109" t="n"/>
      <c r="N34" s="108" t="n"/>
      <c r="O34" s="113">
        <f>IF($C34="","",IF(COUNTIFS(UCRETLER!$B$7:$B$406,$B34,UCRETLER!$H$7:$H$406,"Aktif")&gt;0,"EVET","HAYIR"))</f>
        <v/>
      </c>
      <c r="P34" s="113">
        <f>IF($C34="","",IF($B34="","NO EKSİK",IF(COUNTIF($B$7:$B$106,$B34)&gt;1,"NO TEKRARI",IF(COUNTIF($C$7:$C$106,$C34)&gt;1,"UNVAN TEKRARI",IF($D34="","DURUM EKSİK",IF(AND($J34&gt;0,$K34=""),"DEVİR TARİHİ EKSİK","UYGUN"))))))</f>
        <v/>
      </c>
      <c r="Q34" s="6" t="n"/>
      <c r="R34" s="6" t="n"/>
      <c r="S34" s="3" t="n"/>
      <c r="T34" s="3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  <c r="U34" s="3">
        <f>IF($C34="","",COUNTIF($C$7:$C$106,"&lt;"&amp;$C34)+COUNTIF($C$7:$C34,$C34))</f>
        <v/>
      </c>
    </row>
    <row r="35">
      <c r="A35" s="6" t="n"/>
      <c r="B35" s="108" t="inlineStr">
        <is>
          <t>M029</t>
        </is>
      </c>
      <c r="C35" s="109" t="inlineStr">
        <is>
          <t>EMRAH SAVURKAN</t>
        </is>
      </c>
      <c r="D35" s="108" t="inlineStr">
        <is>
          <t>Aktif</t>
        </is>
      </c>
      <c r="E35" s="109" t="n"/>
      <c r="F35" s="109" t="n"/>
      <c r="G35" s="109" t="n"/>
      <c r="H35" s="108" t="inlineStr">
        <is>
          <t>Nakit</t>
        </is>
      </c>
      <c r="I35" s="217" t="n">
        <v>46023</v>
      </c>
      <c r="J35" s="218" t="n">
        <v>0</v>
      </c>
      <c r="K35" s="219" t="n"/>
      <c r="L35" s="109" t="n"/>
      <c r="M35" s="109" t="n"/>
      <c r="N35" s="108" t="n"/>
      <c r="O35" s="113">
        <f>IF($C35="","",IF(COUNTIFS(UCRETLER!$B$7:$B$406,$B35,UCRETLER!$H$7:$H$406,"Aktif")&gt;0,"EVET","HAYIR"))</f>
        <v/>
      </c>
      <c r="P35" s="113">
        <f>IF($C35="","",IF($B35="","NO EKSİK",IF(COUNTIF($B$7:$B$106,$B35)&gt;1,"NO TEKRARI",IF(COUNTIF($C$7:$C$106,$C35)&gt;1,"UNVAN TEKRARI",IF($D35="","DURUM EKSİK",IF(AND($J35&gt;0,$K35=""),"DEVİR TARİHİ EKSİK","UYGUN"))))))</f>
        <v/>
      </c>
      <c r="Q35" s="6" t="n"/>
      <c r="R35" s="6" t="n"/>
      <c r="S35" s="3" t="n"/>
      <c r="T35" s="3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  <c r="U35" s="3">
        <f>IF($C35="","",COUNTIF($C$7:$C$106,"&lt;"&amp;$C35)+COUNTIF($C$7:$C35,$C35))</f>
        <v/>
      </c>
    </row>
    <row r="36">
      <c r="A36" s="6" t="n"/>
      <c r="B36" s="108" t="inlineStr">
        <is>
          <t>M030</t>
        </is>
      </c>
      <c r="C36" s="109" t="inlineStr">
        <is>
          <t>FARUK DEMİRCİ</t>
        </is>
      </c>
      <c r="D36" s="108" t="inlineStr">
        <is>
          <t>Aktif</t>
        </is>
      </c>
      <c r="E36" s="109" t="n"/>
      <c r="F36" s="109" t="n"/>
      <c r="G36" s="109" t="n"/>
      <c r="H36" s="108" t="inlineStr">
        <is>
          <t>Nakit</t>
        </is>
      </c>
      <c r="I36" s="217" t="n">
        <v>46023</v>
      </c>
      <c r="J36" s="218" t="n">
        <v>0</v>
      </c>
      <c r="K36" s="219" t="n"/>
      <c r="L36" s="109" t="n"/>
      <c r="M36" s="109" t="n"/>
      <c r="N36" s="108" t="n"/>
      <c r="O36" s="113">
        <f>IF($C36="","",IF(COUNTIFS(UCRETLER!$B$7:$B$406,$B36,UCRETLER!$H$7:$H$406,"Aktif")&gt;0,"EVET","HAYIR"))</f>
        <v/>
      </c>
      <c r="P36" s="113">
        <f>IF($C36="","",IF($B36="","NO EKSİK",IF(COUNTIF($B$7:$B$106,$B36)&gt;1,"NO TEKRARI",IF(COUNTIF($C$7:$C$106,$C36)&gt;1,"UNVAN TEKRARI",IF($D36="","DURUM EKSİK",IF(AND($J36&gt;0,$K36=""),"DEVİR TARİHİ EKSİK","UYGUN"))))))</f>
        <v/>
      </c>
      <c r="Q36" s="6" t="n"/>
      <c r="R36" s="6" t="n"/>
      <c r="S36" s="3" t="n"/>
      <c r="T36" s="3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  <c r="U36" s="3">
        <f>IF($C36="","",COUNTIF($C$7:$C$106,"&lt;"&amp;$C36)+COUNTIF($C$7:$C36,$C36))</f>
        <v/>
      </c>
    </row>
    <row r="37">
      <c r="A37" s="6" t="n"/>
      <c r="B37" s="108" t="inlineStr">
        <is>
          <t>M031</t>
        </is>
      </c>
      <c r="C37" s="109" t="inlineStr">
        <is>
          <t>HALİL AVŞAR</t>
        </is>
      </c>
      <c r="D37" s="108" t="inlineStr">
        <is>
          <t>Aktif</t>
        </is>
      </c>
      <c r="E37" s="109" t="n"/>
      <c r="F37" s="109" t="n"/>
      <c r="G37" s="109" t="n"/>
      <c r="H37" s="108" t="inlineStr">
        <is>
          <t>Nakit</t>
        </is>
      </c>
      <c r="I37" s="217" t="n">
        <v>46023</v>
      </c>
      <c r="J37" s="218" t="n">
        <v>0</v>
      </c>
      <c r="K37" s="219" t="n"/>
      <c r="L37" s="109" t="n"/>
      <c r="M37" s="109" t="n"/>
      <c r="N37" s="108" t="n"/>
      <c r="O37" s="113">
        <f>IF($C37="","",IF(COUNTIFS(UCRETLER!$B$7:$B$406,$B37,UCRETLER!$H$7:$H$406,"Aktif")&gt;0,"EVET","HAYIR"))</f>
        <v/>
      </c>
      <c r="P37" s="113">
        <f>IF($C37="","",IF($B37="","NO EKSİK",IF(COUNTIF($B$7:$B$106,$B37)&gt;1,"NO TEKRARI",IF(COUNTIF($C$7:$C$106,$C37)&gt;1,"UNVAN TEKRARI",IF($D37="","DURUM EKSİK",IF(AND($J37&gt;0,$K37=""),"DEVİR TARİHİ EKSİK","UYGUN"))))))</f>
        <v/>
      </c>
      <c r="Q37" s="6" t="n"/>
      <c r="R37" s="6" t="n"/>
      <c r="S37" s="3" t="n"/>
      <c r="T37" s="3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  <c r="U37" s="3">
        <f>IF($C37="","",COUNTIF($C$7:$C$106,"&lt;"&amp;$C37)+COUNTIF($C$7:$C37,$C37))</f>
        <v/>
      </c>
    </row>
    <row r="38">
      <c r="A38" s="6" t="n"/>
      <c r="B38" s="108" t="inlineStr">
        <is>
          <t>M032</t>
        </is>
      </c>
      <c r="C38" s="109" t="inlineStr">
        <is>
          <t>HAYDAR KAYA</t>
        </is>
      </c>
      <c r="D38" s="108" t="inlineStr">
        <is>
          <t>Aktif</t>
        </is>
      </c>
      <c r="E38" s="109" t="n"/>
      <c r="F38" s="109" t="n"/>
      <c r="G38" s="109" t="n"/>
      <c r="H38" s="108" t="inlineStr">
        <is>
          <t>Nakit</t>
        </is>
      </c>
      <c r="I38" s="217" t="n">
        <v>46023</v>
      </c>
      <c r="J38" s="218" t="n">
        <v>0</v>
      </c>
      <c r="K38" s="219" t="n"/>
      <c r="L38" s="109" t="n"/>
      <c r="M38" s="109" t="n"/>
      <c r="N38" s="108" t="n"/>
      <c r="O38" s="113">
        <f>IF($C38="","",IF(COUNTIFS(UCRETLER!$B$7:$B$406,$B38,UCRETLER!$H$7:$H$406,"Aktif")&gt;0,"EVET","HAYIR"))</f>
        <v/>
      </c>
      <c r="P38" s="113">
        <f>IF($C38="","",IF($B38="","NO EKSİK",IF(COUNTIF($B$7:$B$106,$B38)&gt;1,"NO TEKRARI",IF(COUNTIF($C$7:$C$106,$C38)&gt;1,"UNVAN TEKRARI",IF($D38="","DURUM EKSİK",IF(AND($J38&gt;0,$K38=""),"DEVİR TARİHİ EKSİK","UYGUN"))))))</f>
        <v/>
      </c>
      <c r="Q38" s="6" t="n"/>
      <c r="R38" s="6" t="n"/>
      <c r="S38" s="3" t="n"/>
      <c r="T38" s="3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  <c r="U38" s="3">
        <f>IF($C38="","",COUNTIF($C$7:$C$106,"&lt;"&amp;$C38)+COUNTIF($C$7:$C38,$C38))</f>
        <v/>
      </c>
    </row>
    <row r="39">
      <c r="A39" s="6" t="n"/>
      <c r="B39" s="108" t="inlineStr">
        <is>
          <t>M033</t>
        </is>
      </c>
      <c r="C39" s="109" t="inlineStr">
        <is>
          <t>IŞIL GRUP LTD.ŞTİ.</t>
        </is>
      </c>
      <c r="D39" s="108" t="inlineStr">
        <is>
          <t>Aktif</t>
        </is>
      </c>
      <c r="E39" s="109" t="n"/>
      <c r="F39" s="109" t="n"/>
      <c r="G39" s="109" t="n"/>
      <c r="H39" s="108" t="inlineStr">
        <is>
          <t>Nakit</t>
        </is>
      </c>
      <c r="I39" s="217" t="n">
        <v>46023</v>
      </c>
      <c r="J39" s="218" t="n">
        <v>0</v>
      </c>
      <c r="K39" s="219" t="n"/>
      <c r="L39" s="109" t="n"/>
      <c r="M39" s="109" t="n"/>
      <c r="N39" s="108" t="n"/>
      <c r="O39" s="113">
        <f>IF($C39="","",IF(COUNTIFS(UCRETLER!$B$7:$B$406,$B39,UCRETLER!$H$7:$H$406,"Aktif")&gt;0,"EVET","HAYIR"))</f>
        <v/>
      </c>
      <c r="P39" s="113">
        <f>IF($C39="","",IF($B39="","NO EKSİK",IF(COUNTIF($B$7:$B$106,$B39)&gt;1,"NO TEKRARI",IF(COUNTIF($C$7:$C$106,$C39)&gt;1,"UNVAN TEKRARI",IF($D39="","DURUM EKSİK",IF(AND($J39&gt;0,$K39=""),"DEVİR TARİHİ EKSİK","UYGUN"))))))</f>
        <v/>
      </c>
      <c r="Q39" s="6" t="n"/>
      <c r="R39" s="6" t="n"/>
      <c r="S39" s="3" t="n"/>
      <c r="T39" s="3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  <c r="U39" s="3">
        <f>IF($C39="","",COUNTIF($C$7:$C$106,"&lt;"&amp;$C39)+COUNTIF($C$7:$C39,$C39))</f>
        <v/>
      </c>
    </row>
    <row r="40">
      <c r="A40" s="6" t="n"/>
      <c r="B40" s="108" t="inlineStr">
        <is>
          <t>M034</t>
        </is>
      </c>
      <c r="C40" s="109" t="inlineStr">
        <is>
          <t>İBRAHİM MALDAN</t>
        </is>
      </c>
      <c r="D40" s="108" t="inlineStr">
        <is>
          <t>Aktif</t>
        </is>
      </c>
      <c r="E40" s="109" t="n"/>
      <c r="F40" s="109" t="n"/>
      <c r="G40" s="109" t="n"/>
      <c r="H40" s="108" t="inlineStr">
        <is>
          <t>Nakit</t>
        </is>
      </c>
      <c r="I40" s="217" t="n">
        <v>46023</v>
      </c>
      <c r="J40" s="218" t="n">
        <v>0</v>
      </c>
      <c r="K40" s="219" t="n"/>
      <c r="L40" s="109" t="n"/>
      <c r="M40" s="109" t="n"/>
      <c r="N40" s="108" t="n"/>
      <c r="O40" s="113">
        <f>IF($C40="","",IF(COUNTIFS(UCRETLER!$B$7:$B$406,$B40,UCRETLER!$H$7:$H$406,"Aktif")&gt;0,"EVET","HAYIR"))</f>
        <v/>
      </c>
      <c r="P40" s="113">
        <f>IF($C40="","",IF($B40="","NO EKSİK",IF(COUNTIF($B$7:$B$106,$B40)&gt;1,"NO TEKRARI",IF(COUNTIF($C$7:$C$106,$C40)&gt;1,"UNVAN TEKRARI",IF($D40="","DURUM EKSİK",IF(AND($J40&gt;0,$K40=""),"DEVİR TARİHİ EKSİK","UYGUN"))))))</f>
        <v/>
      </c>
      <c r="Q40" s="6" t="n"/>
      <c r="R40" s="6" t="n"/>
      <c r="S40" s="3" t="n"/>
      <c r="T40" s="3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  <c r="U40" s="3">
        <f>IF($C40="","",COUNTIF($C$7:$C$106,"&lt;"&amp;$C40)+COUNTIF($C$7:$C40,$C40))</f>
        <v/>
      </c>
    </row>
    <row r="41">
      <c r="A41" s="6" t="n"/>
      <c r="B41" s="108" t="inlineStr">
        <is>
          <t>M035</t>
        </is>
      </c>
      <c r="C41" s="109" t="inlineStr">
        <is>
          <t>İSA DEMİRCİ</t>
        </is>
      </c>
      <c r="D41" s="108" t="inlineStr">
        <is>
          <t>Aktif</t>
        </is>
      </c>
      <c r="E41" s="109" t="n"/>
      <c r="F41" s="109" t="n"/>
      <c r="G41" s="109" t="n"/>
      <c r="H41" s="108" t="inlineStr">
        <is>
          <t>Nakit</t>
        </is>
      </c>
      <c r="I41" s="217" t="n">
        <v>46023</v>
      </c>
      <c r="J41" s="218" t="n">
        <v>0</v>
      </c>
      <c r="K41" s="219" t="n"/>
      <c r="L41" s="109" t="n"/>
      <c r="M41" s="109" t="n"/>
      <c r="N41" s="108" t="n"/>
      <c r="O41" s="113">
        <f>IF($C41="","",IF(COUNTIFS(UCRETLER!$B$7:$B$406,$B41,UCRETLER!$H$7:$H$406,"Aktif")&gt;0,"EVET","HAYIR"))</f>
        <v/>
      </c>
      <c r="P41" s="113">
        <f>IF($C41="","",IF($B41="","NO EKSİK",IF(COUNTIF($B$7:$B$106,$B41)&gt;1,"NO TEKRARI",IF(COUNTIF($C$7:$C$106,$C41)&gt;1,"UNVAN TEKRARI",IF($D41="","DURUM EKSİK",IF(AND($J41&gt;0,$K41=""),"DEVİR TARİHİ EKSİK","UYGUN"))))))</f>
        <v/>
      </c>
      <c r="Q41" s="6" t="n"/>
      <c r="R41" s="6" t="n"/>
      <c r="S41" s="3" t="n"/>
      <c r="T41" s="3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  <c r="U41" s="3">
        <f>IF($C41="","",COUNTIF($C$7:$C$106,"&lt;"&amp;$C41)+COUNTIF($C$7:$C41,$C41))</f>
        <v/>
      </c>
    </row>
    <row r="42">
      <c r="A42" s="6" t="n"/>
      <c r="B42" s="108" t="inlineStr">
        <is>
          <t>M036</t>
        </is>
      </c>
      <c r="C42" s="109" t="inlineStr">
        <is>
          <t>İSMAİL AKPINAR</t>
        </is>
      </c>
      <c r="D42" s="108" t="inlineStr">
        <is>
          <t>Aktif</t>
        </is>
      </c>
      <c r="E42" s="109" t="n"/>
      <c r="F42" s="109" t="n"/>
      <c r="G42" s="109" t="n"/>
      <c r="H42" s="108" t="inlineStr">
        <is>
          <t>Nakit</t>
        </is>
      </c>
      <c r="I42" s="217" t="n">
        <v>46023</v>
      </c>
      <c r="J42" s="218" t="n">
        <v>0</v>
      </c>
      <c r="K42" s="219" t="n"/>
      <c r="L42" s="109" t="n"/>
      <c r="M42" s="109" t="n"/>
      <c r="N42" s="108" t="n"/>
      <c r="O42" s="113">
        <f>IF($C42="","",IF(COUNTIFS(UCRETLER!$B$7:$B$406,$B42,UCRETLER!$H$7:$H$406,"Aktif")&gt;0,"EVET","HAYIR"))</f>
        <v/>
      </c>
      <c r="P42" s="113">
        <f>IF($C42="","",IF($B42="","NO EKSİK",IF(COUNTIF($B$7:$B$106,$B42)&gt;1,"NO TEKRARI",IF(COUNTIF($C$7:$C$106,$C42)&gt;1,"UNVAN TEKRARI",IF($D42="","DURUM EKSİK",IF(AND($J42&gt;0,$K42=""),"DEVİR TARİHİ EKSİK","UYGUN"))))))</f>
        <v/>
      </c>
      <c r="Q42" s="6" t="n"/>
      <c r="R42" s="6" t="n"/>
      <c r="S42" s="3" t="n"/>
      <c r="T42" s="3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  <c r="U42" s="3">
        <f>IF($C42="","",COUNTIF($C$7:$C$106,"&lt;"&amp;$C42)+COUNTIF($C$7:$C42,$C42))</f>
        <v/>
      </c>
    </row>
    <row r="43">
      <c r="A43" s="6" t="n"/>
      <c r="B43" s="108" t="inlineStr">
        <is>
          <t>M037</t>
        </is>
      </c>
      <c r="C43" s="109" t="inlineStr">
        <is>
          <t>MEHMET EVREN KILINÇ</t>
        </is>
      </c>
      <c r="D43" s="108" t="inlineStr">
        <is>
          <t>Aktif</t>
        </is>
      </c>
      <c r="E43" s="109" t="n"/>
      <c r="F43" s="109" t="n"/>
      <c r="G43" s="109" t="n"/>
      <c r="H43" s="108" t="inlineStr">
        <is>
          <t>Nakit</t>
        </is>
      </c>
      <c r="I43" s="217" t="n">
        <v>46023</v>
      </c>
      <c r="J43" s="218" t="n">
        <v>0</v>
      </c>
      <c r="K43" s="219" t="n"/>
      <c r="L43" s="109" t="n"/>
      <c r="M43" s="109" t="n"/>
      <c r="N43" s="108" t="n"/>
      <c r="O43" s="113">
        <f>IF($C43="","",IF(COUNTIFS(UCRETLER!$B$7:$B$406,$B43,UCRETLER!$H$7:$H$406,"Aktif")&gt;0,"EVET","HAYIR"))</f>
        <v/>
      </c>
      <c r="P43" s="113">
        <f>IF($C43="","",IF($B43="","NO EKSİK",IF(COUNTIF($B$7:$B$106,$B43)&gt;1,"NO TEKRARI",IF(COUNTIF($C$7:$C$106,$C43)&gt;1,"UNVAN TEKRARI",IF($D43="","DURUM EKSİK",IF(AND($J43&gt;0,$K43=""),"DEVİR TARİHİ EKSİK","UYGUN"))))))</f>
        <v/>
      </c>
      <c r="Q43" s="6" t="n"/>
      <c r="R43" s="6" t="n"/>
      <c r="S43" s="3" t="n"/>
      <c r="T43" s="3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  <c r="U43" s="3">
        <f>IF($C43="","",COUNTIF($C$7:$C$106,"&lt;"&amp;$C43)+COUNTIF($C$7:$C43,$C43))</f>
        <v/>
      </c>
    </row>
    <row r="44">
      <c r="A44" s="6" t="n"/>
      <c r="B44" s="108" t="inlineStr">
        <is>
          <t>M038</t>
        </is>
      </c>
      <c r="C44" s="109" t="inlineStr">
        <is>
          <t>MELEK GÜLER</t>
        </is>
      </c>
      <c r="D44" s="108" t="inlineStr">
        <is>
          <t>Aktif</t>
        </is>
      </c>
      <c r="E44" s="109" t="n"/>
      <c r="F44" s="109" t="n"/>
      <c r="G44" s="109" t="n"/>
      <c r="H44" s="108" t="inlineStr">
        <is>
          <t>Nakit</t>
        </is>
      </c>
      <c r="I44" s="217" t="n">
        <v>46023</v>
      </c>
      <c r="J44" s="218" t="n">
        <v>0</v>
      </c>
      <c r="K44" s="219" t="n"/>
      <c r="L44" s="109" t="n"/>
      <c r="M44" s="109" t="n"/>
      <c r="N44" s="108" t="n"/>
      <c r="O44" s="113">
        <f>IF($C44="","",IF(COUNTIFS(UCRETLER!$B$7:$B$406,$B44,UCRETLER!$H$7:$H$406,"Aktif")&gt;0,"EVET","HAYIR"))</f>
        <v/>
      </c>
      <c r="P44" s="113">
        <f>IF($C44="","",IF($B44="","NO EKSİK",IF(COUNTIF($B$7:$B$106,$B44)&gt;1,"NO TEKRARI",IF(COUNTIF($C$7:$C$106,$C44)&gt;1,"UNVAN TEKRARI",IF($D44="","DURUM EKSİK",IF(AND($J44&gt;0,$K44=""),"DEVİR TARİHİ EKSİK","UYGUN"))))))</f>
        <v/>
      </c>
      <c r="Q44" s="6" t="n"/>
      <c r="R44" s="6" t="n"/>
      <c r="S44" s="3" t="n"/>
      <c r="T44" s="3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  <c r="U44" s="3">
        <f>IF($C44="","",COUNTIF($C$7:$C$106,"&lt;"&amp;$C44)+COUNTIF($C$7:$C44,$C44))</f>
        <v/>
      </c>
    </row>
    <row r="45">
      <c r="A45" s="6" t="n"/>
      <c r="B45" s="108" t="inlineStr">
        <is>
          <t>M039</t>
        </is>
      </c>
      <c r="C45" s="109" t="inlineStr">
        <is>
          <t>MELİSA BEDİR</t>
        </is>
      </c>
      <c r="D45" s="108" t="inlineStr">
        <is>
          <t>Aktif</t>
        </is>
      </c>
      <c r="E45" s="109" t="n"/>
      <c r="F45" s="109" t="n"/>
      <c r="G45" s="109" t="n"/>
      <c r="H45" s="108" t="inlineStr">
        <is>
          <t>Nakit</t>
        </is>
      </c>
      <c r="I45" s="217" t="n">
        <v>46023</v>
      </c>
      <c r="J45" s="218" t="n">
        <v>0</v>
      </c>
      <c r="K45" s="219" t="n"/>
      <c r="L45" s="109" t="n"/>
      <c r="M45" s="109" t="n"/>
      <c r="N45" s="108" t="n"/>
      <c r="O45" s="113">
        <f>IF($C45="","",IF(COUNTIFS(UCRETLER!$B$7:$B$406,$B45,UCRETLER!$H$7:$H$406,"Aktif")&gt;0,"EVET","HAYIR"))</f>
        <v/>
      </c>
      <c r="P45" s="113">
        <f>IF($C45="","",IF($B45="","NO EKSİK",IF(COUNTIF($B$7:$B$106,$B45)&gt;1,"NO TEKRARI",IF(COUNTIF($C$7:$C$106,$C45)&gt;1,"UNVAN TEKRARI",IF($D45="","DURUM EKSİK",IF(AND($J45&gt;0,$K45=""),"DEVİR TARİHİ EKSİK","UYGUN"))))))</f>
        <v/>
      </c>
      <c r="Q45" s="6" t="n"/>
      <c r="R45" s="6" t="n"/>
      <c r="S45" s="3" t="n"/>
      <c r="T45" s="3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  <c r="U45" s="3">
        <f>IF($C45="","",COUNTIF($C$7:$C$106,"&lt;"&amp;$C45)+COUNTIF($C$7:$C45,$C45))</f>
        <v/>
      </c>
    </row>
    <row r="46">
      <c r="A46" s="6" t="n"/>
      <c r="B46" s="108" t="inlineStr">
        <is>
          <t>M040</t>
        </is>
      </c>
      <c r="C46" s="109" t="inlineStr">
        <is>
          <t>MENEKŞE AKAN</t>
        </is>
      </c>
      <c r="D46" s="108" t="inlineStr">
        <is>
          <t>Aktif</t>
        </is>
      </c>
      <c r="E46" s="109" t="n"/>
      <c r="F46" s="109" t="n"/>
      <c r="G46" s="109" t="n"/>
      <c r="H46" s="108" t="inlineStr">
        <is>
          <t>Nakit</t>
        </is>
      </c>
      <c r="I46" s="217" t="n">
        <v>46023</v>
      </c>
      <c r="J46" s="218" t="n">
        <v>0</v>
      </c>
      <c r="K46" s="219" t="n"/>
      <c r="L46" s="109" t="n"/>
      <c r="M46" s="109" t="n"/>
      <c r="N46" s="108" t="n"/>
      <c r="O46" s="113">
        <f>IF($C46="","",IF(COUNTIFS(UCRETLER!$B$7:$B$406,$B46,UCRETLER!$H$7:$H$406,"Aktif")&gt;0,"EVET","HAYIR"))</f>
        <v/>
      </c>
      <c r="P46" s="113">
        <f>IF($C46="","",IF($B46="","NO EKSİK",IF(COUNTIF($B$7:$B$106,$B46)&gt;1,"NO TEKRARI",IF(COUNTIF($C$7:$C$106,$C46)&gt;1,"UNVAN TEKRARI",IF($D46="","DURUM EKSİK",IF(AND($J46&gt;0,$K46=""),"DEVİR TARİHİ EKSİK","UYGUN"))))))</f>
        <v/>
      </c>
      <c r="Q46" s="6" t="n"/>
      <c r="R46" s="6" t="n"/>
      <c r="S46" s="3" t="n"/>
      <c r="T46" s="3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  <c r="U46" s="3">
        <f>IF($C46="","",COUNTIF($C$7:$C$106,"&lt;"&amp;$C46)+COUNTIF($C$7:$C46,$C46))</f>
        <v/>
      </c>
    </row>
    <row r="47">
      <c r="A47" s="6" t="n"/>
      <c r="B47" s="108" t="inlineStr">
        <is>
          <t>M041</t>
        </is>
      </c>
      <c r="C47" s="109" t="inlineStr">
        <is>
          <t>MESUT KÖKLÜ</t>
        </is>
      </c>
      <c r="D47" s="108" t="inlineStr">
        <is>
          <t>Aktif</t>
        </is>
      </c>
      <c r="E47" s="109" t="n"/>
      <c r="F47" s="109" t="n"/>
      <c r="G47" s="109" t="n"/>
      <c r="H47" s="108" t="inlineStr">
        <is>
          <t>Nakit</t>
        </is>
      </c>
      <c r="I47" s="217" t="n">
        <v>46023</v>
      </c>
      <c r="J47" s="218" t="n">
        <v>0</v>
      </c>
      <c r="K47" s="219" t="n"/>
      <c r="L47" s="109" t="n"/>
      <c r="M47" s="109" t="n"/>
      <c r="N47" s="108" t="n"/>
      <c r="O47" s="113">
        <f>IF($C47="","",IF(COUNTIFS(UCRETLER!$B$7:$B$406,$B47,UCRETLER!$H$7:$H$406,"Aktif")&gt;0,"EVET","HAYIR"))</f>
        <v/>
      </c>
      <c r="P47" s="113">
        <f>IF($C47="","",IF($B47="","NO EKSİK",IF(COUNTIF($B$7:$B$106,$B47)&gt;1,"NO TEKRARI",IF(COUNTIF($C$7:$C$106,$C47)&gt;1,"UNVAN TEKRARI",IF($D47="","DURUM EKSİK",IF(AND($J47&gt;0,$K47=""),"DEVİR TARİHİ EKSİK","UYGUN"))))))</f>
        <v/>
      </c>
      <c r="Q47" s="6" t="n"/>
      <c r="R47" s="6" t="n"/>
      <c r="S47" s="3" t="n"/>
      <c r="T47" s="3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  <c r="U47" s="3">
        <f>IF($C47="","",COUNTIF($C$7:$C$106,"&lt;"&amp;$C47)+COUNTIF($C$7:$C47,$C47))</f>
        <v/>
      </c>
    </row>
    <row r="48">
      <c r="A48" s="6" t="n"/>
      <c r="B48" s="108" t="inlineStr">
        <is>
          <t>M042</t>
        </is>
      </c>
      <c r="C48" s="109" t="inlineStr">
        <is>
          <t>MS TOPTAN LTD.ŞTİ.</t>
        </is>
      </c>
      <c r="D48" s="108" t="inlineStr">
        <is>
          <t>Aktif</t>
        </is>
      </c>
      <c r="E48" s="109" t="n"/>
      <c r="F48" s="109" t="n"/>
      <c r="G48" s="109" t="n"/>
      <c r="H48" s="108" t="inlineStr">
        <is>
          <t>Nakit</t>
        </is>
      </c>
      <c r="I48" s="217" t="n">
        <v>46023</v>
      </c>
      <c r="J48" s="218" t="n">
        <v>0</v>
      </c>
      <c r="K48" s="219" t="n"/>
      <c r="L48" s="109" t="n"/>
      <c r="M48" s="109" t="n"/>
      <c r="N48" s="108" t="n"/>
      <c r="O48" s="113">
        <f>IF($C48="","",IF(COUNTIFS(UCRETLER!$B$7:$B$406,$B48,UCRETLER!$H$7:$H$406,"Aktif")&gt;0,"EVET","HAYIR"))</f>
        <v/>
      </c>
      <c r="P48" s="113">
        <f>IF($C48="","",IF($B48="","NO EKSİK",IF(COUNTIF($B$7:$B$106,$B48)&gt;1,"NO TEKRARI",IF(COUNTIF($C$7:$C$106,$C48)&gt;1,"UNVAN TEKRARI",IF($D48="","DURUM EKSİK",IF(AND($J48&gt;0,$K48=""),"DEVİR TARİHİ EKSİK","UYGUN"))))))</f>
        <v/>
      </c>
      <c r="Q48" s="6" t="n"/>
      <c r="R48" s="6" t="n"/>
      <c r="S48" s="3" t="n"/>
      <c r="T48" s="3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  <c r="U48" s="3">
        <f>IF($C48="","",COUNTIF($C$7:$C$106,"&lt;"&amp;$C48)+COUNTIF($C$7:$C48,$C48))</f>
        <v/>
      </c>
    </row>
    <row r="49">
      <c r="A49" s="6" t="n"/>
      <c r="B49" s="108" t="inlineStr">
        <is>
          <t>M043</t>
        </is>
      </c>
      <c r="C49" s="109" t="inlineStr">
        <is>
          <t>MUSTAFA UMUT KOYUN</t>
        </is>
      </c>
      <c r="D49" s="108" t="inlineStr">
        <is>
          <t>Aktif</t>
        </is>
      </c>
      <c r="E49" s="109" t="n"/>
      <c r="F49" s="109" t="n"/>
      <c r="G49" s="109" t="n"/>
      <c r="H49" s="108" t="inlineStr">
        <is>
          <t>Nakit</t>
        </is>
      </c>
      <c r="I49" s="217" t="n">
        <v>46023</v>
      </c>
      <c r="J49" s="218" t="n">
        <v>0</v>
      </c>
      <c r="K49" s="219" t="n"/>
      <c r="L49" s="109" t="n"/>
      <c r="M49" s="109" t="n"/>
      <c r="N49" s="108" t="n"/>
      <c r="O49" s="113">
        <f>IF($C49="","",IF(COUNTIFS(UCRETLER!$B$7:$B$406,$B49,UCRETLER!$H$7:$H$406,"Aktif")&gt;0,"EVET","HAYIR"))</f>
        <v/>
      </c>
      <c r="P49" s="113">
        <f>IF($C49="","",IF($B49="","NO EKSİK",IF(COUNTIF($B$7:$B$106,$B49)&gt;1,"NO TEKRARI",IF(COUNTIF($C$7:$C$106,$C49)&gt;1,"UNVAN TEKRARI",IF($D49="","DURUM EKSİK",IF(AND($J49&gt;0,$K49=""),"DEVİR TARİHİ EKSİK","UYGUN"))))))</f>
        <v/>
      </c>
      <c r="Q49" s="6" t="n"/>
      <c r="R49" s="6" t="n"/>
      <c r="S49" s="3" t="n"/>
      <c r="T49" s="3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  <c r="U49" s="3">
        <f>IF($C49="","",COUNTIF($C$7:$C$106,"&lt;"&amp;$C49)+COUNTIF($C$7:$C49,$C49))</f>
        <v/>
      </c>
    </row>
    <row r="50">
      <c r="A50" s="6" t="n"/>
      <c r="B50" s="108" t="inlineStr">
        <is>
          <t>M044</t>
        </is>
      </c>
      <c r="C50" s="109" t="inlineStr">
        <is>
          <t>MUSTAFA KOLBAŞI</t>
        </is>
      </c>
      <c r="D50" s="108" t="inlineStr">
        <is>
          <t>Aktif</t>
        </is>
      </c>
      <c r="E50" s="109" t="n"/>
      <c r="F50" s="109" t="n"/>
      <c r="G50" s="109" t="n"/>
      <c r="H50" s="108" t="inlineStr">
        <is>
          <t>Nakit</t>
        </is>
      </c>
      <c r="I50" s="217" t="n">
        <v>46023</v>
      </c>
      <c r="J50" s="218" t="n">
        <v>0</v>
      </c>
      <c r="K50" s="219" t="n"/>
      <c r="L50" s="109" t="n"/>
      <c r="M50" s="109" t="n"/>
      <c r="N50" s="108" t="n"/>
      <c r="O50" s="113">
        <f>IF($C50="","",IF(COUNTIFS(UCRETLER!$B$7:$B$406,$B50,UCRETLER!$H$7:$H$406,"Aktif")&gt;0,"EVET","HAYIR"))</f>
        <v/>
      </c>
      <c r="P50" s="113">
        <f>IF($C50="","",IF($B50="","NO EKSİK",IF(COUNTIF($B$7:$B$106,$B50)&gt;1,"NO TEKRARI",IF(COUNTIF($C$7:$C$106,$C50)&gt;1,"UNVAN TEKRARI",IF($D50="","DURUM EKSİK",IF(AND($J50&gt;0,$K50=""),"DEVİR TARİHİ EKSİK","UYGUN"))))))</f>
        <v/>
      </c>
      <c r="Q50" s="6" t="n"/>
      <c r="R50" s="6" t="n"/>
      <c r="S50" s="3" t="n"/>
      <c r="T50" s="3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  <c r="U50" s="3">
        <f>IF($C50="","",COUNTIF($C$7:$C$106,"&lt;"&amp;$C50)+COUNTIF($C$7:$C50,$C50))</f>
        <v/>
      </c>
    </row>
    <row r="51">
      <c r="A51" s="6" t="n"/>
      <c r="B51" s="108" t="inlineStr">
        <is>
          <t>M045</t>
        </is>
      </c>
      <c r="C51" s="109" t="inlineStr">
        <is>
          <t>NERO E TİCARET LTD.ŞTİ.</t>
        </is>
      </c>
      <c r="D51" s="108" t="inlineStr">
        <is>
          <t>Aktif</t>
        </is>
      </c>
      <c r="E51" s="109" t="n"/>
      <c r="F51" s="109" t="n"/>
      <c r="G51" s="109" t="n"/>
      <c r="H51" s="108" t="inlineStr">
        <is>
          <t>Nakit</t>
        </is>
      </c>
      <c r="I51" s="217" t="n">
        <v>46023</v>
      </c>
      <c r="J51" s="218" t="n">
        <v>0</v>
      </c>
      <c r="K51" s="219" t="n"/>
      <c r="L51" s="109" t="n"/>
      <c r="M51" s="109" t="n"/>
      <c r="N51" s="108" t="n"/>
      <c r="O51" s="113">
        <f>IF($C51="","",IF(COUNTIFS(UCRETLER!$B$7:$B$406,$B51,UCRETLER!$H$7:$H$406,"Aktif")&gt;0,"EVET","HAYIR"))</f>
        <v/>
      </c>
      <c r="P51" s="113">
        <f>IF($C51="","",IF($B51="","NO EKSİK",IF(COUNTIF($B$7:$B$106,$B51)&gt;1,"NO TEKRARI",IF(COUNTIF($C$7:$C$106,$C51)&gt;1,"UNVAN TEKRARI",IF($D51="","DURUM EKSİK",IF(AND($J51&gt;0,$K51=""),"DEVİR TARİHİ EKSİK","UYGUN"))))))</f>
        <v/>
      </c>
      <c r="Q51" s="6" t="n"/>
      <c r="R51" s="6" t="n"/>
      <c r="S51" s="3" t="n"/>
      <c r="T51" s="3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  <c r="U51" s="3">
        <f>IF($C51="","",COUNTIF($C$7:$C$106,"&lt;"&amp;$C51)+COUNTIF($C$7:$C51,$C51))</f>
        <v/>
      </c>
    </row>
    <row r="52">
      <c r="A52" s="6" t="n"/>
      <c r="B52" s="108" t="inlineStr">
        <is>
          <t>M046</t>
        </is>
      </c>
      <c r="C52" s="109" t="inlineStr">
        <is>
          <t>ÖMER DEMİRCİ</t>
        </is>
      </c>
      <c r="D52" s="108" t="inlineStr">
        <is>
          <t>Aktif</t>
        </is>
      </c>
      <c r="E52" s="109" t="n"/>
      <c r="F52" s="109" t="n"/>
      <c r="G52" s="109" t="n"/>
      <c r="H52" s="108" t="inlineStr">
        <is>
          <t>Nakit</t>
        </is>
      </c>
      <c r="I52" s="217" t="n">
        <v>46023</v>
      </c>
      <c r="J52" s="218" t="n">
        <v>0</v>
      </c>
      <c r="K52" s="219" t="n"/>
      <c r="L52" s="109" t="n"/>
      <c r="M52" s="109" t="n"/>
      <c r="N52" s="108" t="n"/>
      <c r="O52" s="113">
        <f>IF($C52="","",IF(COUNTIFS(UCRETLER!$B$7:$B$406,$B52,UCRETLER!$H$7:$H$406,"Aktif")&gt;0,"EVET","HAYIR"))</f>
        <v/>
      </c>
      <c r="P52" s="113">
        <f>IF($C52="","",IF($B52="","NO EKSİK",IF(COUNTIF($B$7:$B$106,$B52)&gt;1,"NO TEKRARI",IF(COUNTIF($C$7:$C$106,$C52)&gt;1,"UNVAN TEKRARI",IF($D52="","DURUM EKSİK",IF(AND($J52&gt;0,$K52=""),"DEVİR TARİHİ EKSİK","UYGUN"))))))</f>
        <v/>
      </c>
      <c r="Q52" s="6" t="n"/>
      <c r="R52" s="6" t="n"/>
      <c r="S52" s="3" t="n"/>
      <c r="T52" s="3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  <c r="U52" s="3">
        <f>IF($C52="","",COUNTIF($C$7:$C$106,"&lt;"&amp;$C52)+COUNTIF($C$7:$C52,$C52))</f>
        <v/>
      </c>
    </row>
    <row r="53">
      <c r="A53" s="6" t="n"/>
      <c r="B53" s="108" t="inlineStr">
        <is>
          <t>M047</t>
        </is>
      </c>
      <c r="C53" s="109" t="inlineStr">
        <is>
          <t>PALAOĞULLARI LTD.ŞTİ.</t>
        </is>
      </c>
      <c r="D53" s="108" t="inlineStr">
        <is>
          <t>Aktif</t>
        </is>
      </c>
      <c r="E53" s="109" t="n"/>
      <c r="F53" s="109" t="n"/>
      <c r="G53" s="109" t="n"/>
      <c r="H53" s="108" t="inlineStr">
        <is>
          <t>Nakit</t>
        </is>
      </c>
      <c r="I53" s="217" t="n">
        <v>46023</v>
      </c>
      <c r="J53" s="218" t="n">
        <v>0</v>
      </c>
      <c r="K53" s="219" t="n"/>
      <c r="L53" s="109" t="n"/>
      <c r="M53" s="109" t="n"/>
      <c r="N53" s="108" t="n"/>
      <c r="O53" s="113">
        <f>IF($C53="","",IF(COUNTIFS(UCRETLER!$B$7:$B$406,$B53,UCRETLER!$H$7:$H$406,"Aktif")&gt;0,"EVET","HAYIR"))</f>
        <v/>
      </c>
      <c r="P53" s="113">
        <f>IF($C53="","",IF($B53="","NO EKSİK",IF(COUNTIF($B$7:$B$106,$B53)&gt;1,"NO TEKRARI",IF(COUNTIF($C$7:$C$106,$C53)&gt;1,"UNVAN TEKRARI",IF($D53="","DURUM EKSİK",IF(AND($J53&gt;0,$K53=""),"DEVİR TARİHİ EKSİK","UYGUN"))))))</f>
        <v/>
      </c>
      <c r="Q53" s="6" t="n"/>
      <c r="R53" s="6" t="n"/>
      <c r="S53" s="3" t="n"/>
      <c r="T53" s="3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  <c r="U53" s="3">
        <f>IF($C53="","",COUNTIF($C$7:$C$106,"&lt;"&amp;$C53)+COUNTIF($C$7:$C53,$C53))</f>
        <v/>
      </c>
    </row>
    <row r="54">
      <c r="A54" s="6" t="n"/>
      <c r="B54" s="108" t="inlineStr">
        <is>
          <t>M048</t>
        </is>
      </c>
      <c r="C54" s="109" t="inlineStr">
        <is>
          <t>RASİM DEMİRCİ</t>
        </is>
      </c>
      <c r="D54" s="108" t="inlineStr">
        <is>
          <t>Aktif</t>
        </is>
      </c>
      <c r="E54" s="109" t="n"/>
      <c r="F54" s="109" t="n"/>
      <c r="G54" s="109" t="n"/>
      <c r="H54" s="108" t="inlineStr">
        <is>
          <t>Nakit</t>
        </is>
      </c>
      <c r="I54" s="217" t="n">
        <v>46023</v>
      </c>
      <c r="J54" s="218" t="n">
        <v>0</v>
      </c>
      <c r="K54" s="219" t="n"/>
      <c r="L54" s="109" t="n"/>
      <c r="M54" s="109" t="n"/>
      <c r="N54" s="108" t="n"/>
      <c r="O54" s="113">
        <f>IF($C54="","",IF(COUNTIFS(UCRETLER!$B$7:$B$406,$B54,UCRETLER!$H$7:$H$406,"Aktif")&gt;0,"EVET","HAYIR"))</f>
        <v/>
      </c>
      <c r="P54" s="113">
        <f>IF($C54="","",IF($B54="","NO EKSİK",IF(COUNTIF($B$7:$B$106,$B54)&gt;1,"NO TEKRARI",IF(COUNTIF($C$7:$C$106,$C54)&gt;1,"UNVAN TEKRARI",IF($D54="","DURUM EKSİK",IF(AND($J54&gt;0,$K54=""),"DEVİR TARİHİ EKSİK","UYGUN"))))))</f>
        <v/>
      </c>
      <c r="Q54" s="6" t="n"/>
      <c r="R54" s="6" t="n"/>
      <c r="S54" s="3" t="n"/>
      <c r="T54" s="3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  <c r="U54" s="3">
        <f>IF($C54="","",COUNTIF($C$7:$C$106,"&lt;"&amp;$C54)+COUNTIF($C$7:$C54,$C54))</f>
        <v/>
      </c>
    </row>
    <row r="55">
      <c r="A55" s="6" t="n"/>
      <c r="B55" s="108" t="inlineStr">
        <is>
          <t>M049</t>
        </is>
      </c>
      <c r="C55" s="109" t="inlineStr">
        <is>
          <t>STAR ŞOW LTD.ŞTİ.</t>
        </is>
      </c>
      <c r="D55" s="108" t="inlineStr">
        <is>
          <t>Aktif</t>
        </is>
      </c>
      <c r="E55" s="109" t="n"/>
      <c r="F55" s="109" t="n"/>
      <c r="G55" s="109" t="n"/>
      <c r="H55" s="108" t="inlineStr">
        <is>
          <t>Nakit</t>
        </is>
      </c>
      <c r="I55" s="217" t="n">
        <v>46023</v>
      </c>
      <c r="J55" s="218" t="n">
        <v>0</v>
      </c>
      <c r="K55" s="219" t="n"/>
      <c r="L55" s="109" t="n"/>
      <c r="M55" s="109" t="n"/>
      <c r="N55" s="108" t="n"/>
      <c r="O55" s="113">
        <f>IF($C55="","",IF(COUNTIFS(UCRETLER!$B$7:$B$406,$B55,UCRETLER!$H$7:$H$406,"Aktif")&gt;0,"EVET","HAYIR"))</f>
        <v/>
      </c>
      <c r="P55" s="113">
        <f>IF($C55="","",IF($B55="","NO EKSİK",IF(COUNTIF($B$7:$B$106,$B55)&gt;1,"NO TEKRARI",IF(COUNTIF($C$7:$C$106,$C55)&gt;1,"UNVAN TEKRARI",IF($D55="","DURUM EKSİK",IF(AND($J55&gt;0,$K55=""),"DEVİR TARİHİ EKSİK","UYGUN"))))))</f>
        <v/>
      </c>
      <c r="Q55" s="6" t="n"/>
      <c r="R55" s="6" t="n"/>
      <c r="S55" s="3" t="n"/>
      <c r="T55" s="3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  <c r="U55" s="3">
        <f>IF($C55="","",COUNTIF($C$7:$C$106,"&lt;"&amp;$C55)+COUNTIF($C$7:$C55,$C55))</f>
        <v/>
      </c>
    </row>
    <row r="56">
      <c r="A56" s="6" t="n"/>
      <c r="B56" s="108" t="inlineStr">
        <is>
          <t>M050</t>
        </is>
      </c>
      <c r="C56" s="109" t="inlineStr">
        <is>
          <t>TANAK LTD.ŞTİ.</t>
        </is>
      </c>
      <c r="D56" s="108" t="inlineStr">
        <is>
          <t>Aktif</t>
        </is>
      </c>
      <c r="E56" s="109" t="n"/>
      <c r="F56" s="109" t="n"/>
      <c r="G56" s="109" t="n"/>
      <c r="H56" s="108" t="inlineStr">
        <is>
          <t>Nakit</t>
        </is>
      </c>
      <c r="I56" s="217" t="n">
        <v>46023</v>
      </c>
      <c r="J56" s="218" t="n">
        <v>0</v>
      </c>
      <c r="K56" s="219" t="n"/>
      <c r="L56" s="109" t="n"/>
      <c r="M56" s="109" t="n"/>
      <c r="N56" s="108" t="n"/>
      <c r="O56" s="113">
        <f>IF($C56="","",IF(COUNTIFS(UCRETLER!$B$7:$B$406,$B56,UCRETLER!$H$7:$H$406,"Aktif")&gt;0,"EVET","HAYIR"))</f>
        <v/>
      </c>
      <c r="P56" s="113">
        <f>IF($C56="","",IF($B56="","NO EKSİK",IF(COUNTIF($B$7:$B$106,$B56)&gt;1,"NO TEKRARI",IF(COUNTIF($C$7:$C$106,$C56)&gt;1,"UNVAN TEKRARI",IF($D56="","DURUM EKSİK",IF(AND($J56&gt;0,$K56=""),"DEVİR TARİHİ EKSİK","UYGUN"))))))</f>
        <v/>
      </c>
      <c r="Q56" s="6" t="n"/>
      <c r="R56" s="6" t="n"/>
      <c r="S56" s="3" t="n"/>
      <c r="T56" s="3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  <c r="U56" s="3">
        <f>IF($C56="","",COUNTIF($C$7:$C$106,"&lt;"&amp;$C56)+COUNTIF($C$7:$C56,$C56))</f>
        <v/>
      </c>
    </row>
    <row r="57">
      <c r="A57" s="6" t="n"/>
      <c r="B57" s="108" t="inlineStr">
        <is>
          <t>M051</t>
        </is>
      </c>
      <c r="C57" s="109" t="inlineStr">
        <is>
          <t>UFUK YILMAZ</t>
        </is>
      </c>
      <c r="D57" s="108" t="inlineStr">
        <is>
          <t>Aktif</t>
        </is>
      </c>
      <c r="E57" s="109" t="n"/>
      <c r="F57" s="109" t="n"/>
      <c r="G57" s="109" t="n"/>
      <c r="H57" s="108" t="inlineStr">
        <is>
          <t>Nakit</t>
        </is>
      </c>
      <c r="I57" s="217" t="n">
        <v>46023</v>
      </c>
      <c r="J57" s="218" t="n">
        <v>0</v>
      </c>
      <c r="K57" s="219" t="n"/>
      <c r="L57" s="109" t="n"/>
      <c r="M57" s="109" t="n"/>
      <c r="N57" s="108" t="n"/>
      <c r="O57" s="113">
        <f>IF($C57="","",IF(COUNTIFS(UCRETLER!$B$7:$B$406,$B57,UCRETLER!$H$7:$H$406,"Aktif")&gt;0,"EVET","HAYIR"))</f>
        <v/>
      </c>
      <c r="P57" s="113">
        <f>IF($C57="","",IF($B57="","NO EKSİK",IF(COUNTIF($B$7:$B$106,$B57)&gt;1,"NO TEKRARI",IF(COUNTIF($C$7:$C$106,$C57)&gt;1,"UNVAN TEKRARI",IF($D57="","DURUM EKSİK",IF(AND($J57&gt;0,$K57=""),"DEVİR TARİHİ EKSİK","UYGUN"))))))</f>
        <v/>
      </c>
      <c r="Q57" s="6" t="n"/>
      <c r="R57" s="6" t="n"/>
      <c r="S57" s="3" t="n"/>
      <c r="T57" s="3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  <c r="U57" s="3">
        <f>IF($C57="","",COUNTIF($C$7:$C$106,"&lt;"&amp;$C57)+COUNTIF($C$7:$C57,$C57))</f>
        <v/>
      </c>
    </row>
    <row r="58">
      <c r="A58" s="6" t="n"/>
      <c r="B58" s="108" t="inlineStr">
        <is>
          <t>M052</t>
        </is>
      </c>
      <c r="C58" s="109" t="inlineStr">
        <is>
          <t>VANOLYA SU LTD.ŞTİ.</t>
        </is>
      </c>
      <c r="D58" s="108" t="inlineStr">
        <is>
          <t>Aktif</t>
        </is>
      </c>
      <c r="E58" s="109" t="n"/>
      <c r="F58" s="109" t="n"/>
      <c r="G58" s="109" t="n"/>
      <c r="H58" s="108" t="inlineStr">
        <is>
          <t>Nakit</t>
        </is>
      </c>
      <c r="I58" s="217" t="n">
        <v>46023</v>
      </c>
      <c r="J58" s="218" t="n">
        <v>0</v>
      </c>
      <c r="K58" s="219" t="n"/>
      <c r="L58" s="109" t="n"/>
      <c r="M58" s="109" t="n"/>
      <c r="N58" s="108" t="n"/>
      <c r="O58" s="113">
        <f>IF($C58="","",IF(COUNTIFS(UCRETLER!$B$7:$B$406,$B58,UCRETLER!$H$7:$H$406,"Aktif")&gt;0,"EVET","HAYIR"))</f>
        <v/>
      </c>
      <c r="P58" s="113">
        <f>IF($C58="","",IF($B58="","NO EKSİK",IF(COUNTIF($B$7:$B$106,$B58)&gt;1,"NO TEKRARI",IF(COUNTIF($C$7:$C$106,$C58)&gt;1,"UNVAN TEKRARI",IF($D58="","DURUM EKSİK",IF(AND($J58&gt;0,$K58=""),"DEVİR TARİHİ EKSİK","UYGUN"))))))</f>
        <v/>
      </c>
      <c r="Q58" s="6" t="n"/>
      <c r="R58" s="6" t="n"/>
      <c r="S58" s="3" t="n"/>
      <c r="T58" s="3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  <c r="U58" s="3">
        <f>IF($C58="","",COUNTIF($C$7:$C$106,"&lt;"&amp;$C58)+COUNTIF($C$7:$C58,$C58))</f>
        <v/>
      </c>
    </row>
    <row r="59">
      <c r="A59" s="6" t="n"/>
      <c r="B59" s="108" t="inlineStr">
        <is>
          <t>M053</t>
        </is>
      </c>
      <c r="C59" s="109" t="inlineStr">
        <is>
          <t>YEDİYİRMİDÖRT LTD.ŞTİ.</t>
        </is>
      </c>
      <c r="D59" s="108" t="inlineStr">
        <is>
          <t>Aktif</t>
        </is>
      </c>
      <c r="E59" s="109" t="n"/>
      <c r="F59" s="109" t="n"/>
      <c r="G59" s="109" t="n"/>
      <c r="H59" s="108" t="inlineStr">
        <is>
          <t>Nakit</t>
        </is>
      </c>
      <c r="I59" s="217" t="n">
        <v>46023</v>
      </c>
      <c r="J59" s="218" t="n">
        <v>0</v>
      </c>
      <c r="K59" s="219" t="n"/>
      <c r="L59" s="109" t="n"/>
      <c r="M59" s="109" t="n"/>
      <c r="N59" s="108" t="n"/>
      <c r="O59" s="113">
        <f>IF($C59="","",IF(COUNTIFS(UCRETLER!$B$7:$B$406,$B59,UCRETLER!$H$7:$H$406,"Aktif")&gt;0,"EVET","HAYIR"))</f>
        <v/>
      </c>
      <c r="P59" s="113">
        <f>IF($C59="","",IF($B59="","NO EKSİK",IF(COUNTIF($B$7:$B$106,$B59)&gt;1,"NO TEKRARI",IF(COUNTIF($C$7:$C$106,$C59)&gt;1,"UNVAN TEKRARI",IF($D59="","DURUM EKSİK",IF(AND($J59&gt;0,$K59=""),"DEVİR TARİHİ EKSİK","UYGUN"))))))</f>
        <v/>
      </c>
      <c r="Q59" s="6" t="n"/>
      <c r="R59" s="6" t="n"/>
      <c r="S59" s="3" t="n"/>
      <c r="T59" s="3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  <c r="U59" s="3">
        <f>IF($C59="","",COUNTIF($C$7:$C$106,"&lt;"&amp;$C59)+COUNTIF($C$7:$C59,$C59))</f>
        <v/>
      </c>
    </row>
    <row r="60">
      <c r="A60" s="6" t="n"/>
      <c r="B60" s="108" t="inlineStr">
        <is>
          <t>M054</t>
        </is>
      </c>
      <c r="C60" s="109" t="inlineStr">
        <is>
          <t>YALIKENT LTD.ŞTİ.</t>
        </is>
      </c>
      <c r="D60" s="108" t="inlineStr">
        <is>
          <t>Aktif</t>
        </is>
      </c>
      <c r="E60" s="109" t="n"/>
      <c r="F60" s="109" t="n"/>
      <c r="G60" s="109" t="n"/>
      <c r="H60" s="108" t="inlineStr">
        <is>
          <t>Nakit</t>
        </is>
      </c>
      <c r="I60" s="217" t="n">
        <v>46023</v>
      </c>
      <c r="J60" s="218" t="n"/>
      <c r="K60" s="219" t="n"/>
      <c r="L60" s="109" t="n"/>
      <c r="M60" s="109" t="n"/>
      <c r="N60" s="108" t="n"/>
      <c r="O60" s="113">
        <f>IF($C60="","",IF(COUNTIFS(UCRETLER!$B$7:$B$406,$B60,UCRETLER!$H$7:$H$406,"Aktif")&gt;0,"EVET","HAYIR"))</f>
        <v/>
      </c>
      <c r="P60" s="113">
        <f>IF($C60="","",IF($B60="","NO EKSİK",IF(COUNTIF($B$7:$B$106,$B60)&gt;1,"NO TEKRARI",IF(COUNTIF($C$7:$C$106,$C60)&gt;1,"UNVAN TEKRARI",IF($D60="","DURUM EKSİK",IF(AND($J60&gt;0,$K60=""),"DEVİR TARİHİ EKSİK","UYGUN"))))))</f>
        <v/>
      </c>
      <c r="Q60" s="6" t="n"/>
      <c r="R60" s="6" t="n"/>
      <c r="S60" s="3" t="n"/>
      <c r="T60" s="3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  <c r="U60" s="3">
        <f>IF($C60="","",COUNTIF($C$7:$C$106,"&lt;"&amp;$C60)+COUNTIF($C$7:$C60,$C60))</f>
        <v/>
      </c>
    </row>
    <row r="61">
      <c r="A61" s="6" t="n"/>
      <c r="B61" s="108" t="inlineStr">
        <is>
          <t>M055</t>
        </is>
      </c>
      <c r="C61" s="109" t="inlineStr">
        <is>
          <t>SEMRA GÜMÜŞ</t>
        </is>
      </c>
      <c r="D61" s="108" t="inlineStr">
        <is>
          <t>Aktif</t>
        </is>
      </c>
      <c r="E61" s="109" t="n"/>
      <c r="F61" s="109" t="n"/>
      <c r="G61" s="109" t="n"/>
      <c r="H61" s="108" t="inlineStr">
        <is>
          <t>Nakit</t>
        </is>
      </c>
      <c r="I61" s="217" t="n">
        <v>46023</v>
      </c>
      <c r="J61" s="218" t="n"/>
      <c r="K61" s="219" t="n"/>
      <c r="L61" s="109" t="n"/>
      <c r="M61" s="109" t="n"/>
      <c r="N61" s="108" t="n"/>
      <c r="O61" s="113">
        <f>IF($C61="","",IF(COUNTIFS(UCRETLER!$B$7:$B$406,$B61,UCRETLER!$H$7:$H$406,"Aktif")&gt;0,"EVET","HAYIR"))</f>
        <v/>
      </c>
      <c r="P61" s="113">
        <f>IF($C61="","",IF($B61="","NO EKSİK",IF(COUNTIF($B$7:$B$106,$B61)&gt;1,"NO TEKRARI",IF(COUNTIF($C$7:$C$106,$C61)&gt;1,"UNVAN TEKRARI",IF($D61="","DURUM EKSİK",IF(AND($J61&gt;0,$K61=""),"DEVİR TARİHİ EKSİK","UYGUN"))))))</f>
        <v/>
      </c>
      <c r="Q61" s="6" t="n"/>
      <c r="R61" s="6" t="n"/>
      <c r="S61" s="3" t="n"/>
      <c r="T61" s="3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  <c r="U61" s="3">
        <f>IF($C61="","",COUNTIF($C$7:$C$106,"&lt;"&amp;$C61)+COUNTIF($C$7:$C61,$C61))</f>
        <v/>
      </c>
    </row>
    <row r="62">
      <c r="A62" s="6" t="n"/>
      <c r="B62" s="108" t="inlineStr">
        <is>
          <t>M056</t>
        </is>
      </c>
      <c r="C62" s="109" t="n"/>
      <c r="D62" s="108" t="n"/>
      <c r="E62" s="109" t="n"/>
      <c r="F62" s="109" t="n"/>
      <c r="G62" s="109" t="n"/>
      <c r="H62" s="108" t="n"/>
      <c r="I62" s="217" t="n"/>
      <c r="J62" s="218" t="n"/>
      <c r="K62" s="219" t="n"/>
      <c r="L62" s="109" t="n"/>
      <c r="M62" s="109" t="n"/>
      <c r="N62" s="108" t="n"/>
      <c r="O62" s="113">
        <f>IF($C62="","",IF(COUNTIFS(UCRETLER!$B$7:$B$406,$B62,UCRETLER!$H$7:$H$406,"Aktif")&gt;0,"EVET","HAYIR"))</f>
        <v/>
      </c>
      <c r="P62" s="113">
        <f>IF($C62="","",IF($B62="","NO EKSİK",IF(COUNTIF($B$7:$B$106,$B62)&gt;1,"NO TEKRARI",IF(COUNTIF($C$7:$C$106,$C62)&gt;1,"UNVAN TEKRARI",IF($D62="","DURUM EKSİK",IF(AND($J62&gt;0,$K62=""),"DEVİR TARİHİ EKSİK","UYGUN"))))))</f>
        <v/>
      </c>
      <c r="Q62" s="6" t="n"/>
      <c r="R62" s="6" t="n"/>
      <c r="S62" s="3" t="n"/>
      <c r="T62" s="3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  <c r="U62" s="3">
        <f>IF($C62="","",COUNTIF($C$7:$C$106,"&lt;"&amp;$C62)+COUNTIF($C$7:$C62,$C62))</f>
        <v/>
      </c>
    </row>
    <row r="63">
      <c r="A63" s="6" t="n"/>
      <c r="B63" s="108" t="inlineStr">
        <is>
          <t>M057</t>
        </is>
      </c>
      <c r="C63" s="109" t="n"/>
      <c r="D63" s="108" t="n"/>
      <c r="E63" s="109" t="n"/>
      <c r="F63" s="109" t="n"/>
      <c r="G63" s="109" t="n"/>
      <c r="H63" s="108" t="n"/>
      <c r="I63" s="217" t="n"/>
      <c r="J63" s="218" t="n"/>
      <c r="K63" s="219" t="n"/>
      <c r="L63" s="109" t="n"/>
      <c r="M63" s="109" t="n"/>
      <c r="N63" s="108" t="n"/>
      <c r="O63" s="113">
        <f>IF($C63="","",IF(COUNTIFS(UCRETLER!$B$7:$B$406,$B63,UCRETLER!$H$7:$H$406,"Aktif")&gt;0,"EVET","HAYIR"))</f>
        <v/>
      </c>
      <c r="P63" s="113">
        <f>IF($C63="","",IF($B63="","NO EKSİK",IF(COUNTIF($B$7:$B$106,$B63)&gt;1,"NO TEKRARI",IF(COUNTIF($C$7:$C$106,$C63)&gt;1,"UNVAN TEKRARI",IF($D63="","DURUM EKSİK",IF(AND($J63&gt;0,$K63=""),"DEVİR TARİHİ EKSİK","UYGUN"))))))</f>
        <v/>
      </c>
      <c r="Q63" s="6" t="n"/>
      <c r="R63" s="6" t="n"/>
      <c r="S63" s="3" t="n"/>
      <c r="T63" s="3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  <c r="U63" s="3">
        <f>IF($C63="","",COUNTIF($C$7:$C$106,"&lt;"&amp;$C63)+COUNTIF($C$7:$C63,$C63))</f>
        <v/>
      </c>
    </row>
    <row r="64">
      <c r="A64" s="6" t="n"/>
      <c r="B64" s="108" t="inlineStr">
        <is>
          <t>M058</t>
        </is>
      </c>
      <c r="C64" s="109" t="n"/>
      <c r="D64" s="108" t="n"/>
      <c r="E64" s="109" t="n"/>
      <c r="F64" s="109" t="n"/>
      <c r="G64" s="109" t="n"/>
      <c r="H64" s="108" t="n"/>
      <c r="I64" s="217" t="n"/>
      <c r="J64" s="218" t="n"/>
      <c r="K64" s="219" t="n"/>
      <c r="L64" s="109" t="n"/>
      <c r="M64" s="109" t="n"/>
      <c r="N64" s="108" t="n"/>
      <c r="O64" s="113">
        <f>IF($C64="","",IF(COUNTIFS(UCRETLER!$B$7:$B$406,$B64,UCRETLER!$H$7:$H$406,"Aktif")&gt;0,"EVET","HAYIR"))</f>
        <v/>
      </c>
      <c r="P64" s="113">
        <f>IF($C64="","",IF($B64="","NO EKSİK",IF(COUNTIF($B$7:$B$106,$B64)&gt;1,"NO TEKRARI",IF(COUNTIF($C$7:$C$106,$C64)&gt;1,"UNVAN TEKRARI",IF($D64="","DURUM EKSİK",IF(AND($J64&gt;0,$K64=""),"DEVİR TARİHİ EKSİK","UYGUN"))))))</f>
        <v/>
      </c>
      <c r="Q64" s="6" t="n"/>
      <c r="R64" s="6" t="n"/>
      <c r="S64" s="3" t="n"/>
      <c r="T64" s="3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  <c r="U64" s="3">
        <f>IF($C64="","",COUNTIF($C$7:$C$106,"&lt;"&amp;$C64)+COUNTIF($C$7:$C64,$C64))</f>
        <v/>
      </c>
    </row>
    <row r="65">
      <c r="A65" s="6" t="n"/>
      <c r="B65" s="108" t="inlineStr">
        <is>
          <t>M059</t>
        </is>
      </c>
      <c r="C65" s="109" t="n"/>
      <c r="D65" s="108" t="n"/>
      <c r="E65" s="109" t="n"/>
      <c r="F65" s="109" t="n"/>
      <c r="G65" s="109" t="n"/>
      <c r="H65" s="108" t="n"/>
      <c r="I65" s="217" t="n"/>
      <c r="J65" s="218" t="n"/>
      <c r="K65" s="219" t="n"/>
      <c r="L65" s="109" t="n"/>
      <c r="M65" s="109" t="n"/>
      <c r="N65" s="108" t="n"/>
      <c r="O65" s="113">
        <f>IF($C65="","",IF(COUNTIFS(UCRETLER!$B$7:$B$406,$B65,UCRETLER!$H$7:$H$406,"Aktif")&gt;0,"EVET","HAYIR"))</f>
        <v/>
      </c>
      <c r="P65" s="113">
        <f>IF($C65="","",IF($B65="","NO EKSİK",IF(COUNTIF($B$7:$B$106,$B65)&gt;1,"NO TEKRARI",IF(COUNTIF($C$7:$C$106,$C65)&gt;1,"UNVAN TEKRARI",IF($D65="","DURUM EKSİK",IF(AND($J65&gt;0,$K65=""),"DEVİR TARİHİ EKSİK","UYGUN"))))))</f>
        <v/>
      </c>
      <c r="Q65" s="6" t="n"/>
      <c r="R65" s="6" t="n"/>
      <c r="S65" s="3" t="n"/>
      <c r="T65" s="3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  <c r="U65" s="3">
        <f>IF($C65="","",COUNTIF($C$7:$C$106,"&lt;"&amp;$C65)+COUNTIF($C$7:$C65,$C65))</f>
        <v/>
      </c>
    </row>
    <row r="66">
      <c r="A66" s="6" t="n"/>
      <c r="B66" s="108" t="inlineStr">
        <is>
          <t>M060</t>
        </is>
      </c>
      <c r="C66" s="109" t="n"/>
      <c r="D66" s="108" t="n"/>
      <c r="E66" s="109" t="n"/>
      <c r="F66" s="109" t="n"/>
      <c r="G66" s="109" t="n"/>
      <c r="H66" s="108" t="n"/>
      <c r="I66" s="217" t="n"/>
      <c r="J66" s="218" t="n"/>
      <c r="K66" s="219" t="n"/>
      <c r="L66" s="109" t="n"/>
      <c r="M66" s="109" t="n"/>
      <c r="N66" s="108" t="n"/>
      <c r="O66" s="113">
        <f>IF($C66="","",IF(COUNTIFS(UCRETLER!$B$7:$B$406,$B66,UCRETLER!$H$7:$H$406,"Aktif")&gt;0,"EVET","HAYIR"))</f>
        <v/>
      </c>
      <c r="P66" s="113">
        <f>IF($C66="","",IF($B66="","NO EKSİK",IF(COUNTIF($B$7:$B$106,$B66)&gt;1,"NO TEKRARI",IF(COUNTIF($C$7:$C$106,$C66)&gt;1,"UNVAN TEKRARI",IF($D66="","DURUM EKSİK",IF(AND($J66&gt;0,$K66=""),"DEVİR TARİHİ EKSİK","UYGUN"))))))</f>
        <v/>
      </c>
      <c r="Q66" s="6" t="n"/>
      <c r="R66" s="6" t="n"/>
      <c r="S66" s="3" t="n"/>
      <c r="T66" s="3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  <c r="U66" s="3">
        <f>IF($C66="","",COUNTIF($C$7:$C$106,"&lt;"&amp;$C66)+COUNTIF($C$7:$C66,$C66))</f>
        <v/>
      </c>
    </row>
    <row r="67">
      <c r="A67" s="6" t="n"/>
      <c r="B67" s="108" t="inlineStr">
        <is>
          <t>M061</t>
        </is>
      </c>
      <c r="C67" s="109" t="n"/>
      <c r="D67" s="108" t="n"/>
      <c r="E67" s="109" t="n"/>
      <c r="F67" s="109" t="n"/>
      <c r="G67" s="109" t="n"/>
      <c r="H67" s="108" t="n"/>
      <c r="I67" s="217" t="n"/>
      <c r="J67" s="218" t="n"/>
      <c r="K67" s="219" t="n"/>
      <c r="L67" s="109" t="n"/>
      <c r="M67" s="109" t="n"/>
      <c r="N67" s="108" t="n"/>
      <c r="O67" s="113">
        <f>IF($C67="","",IF(COUNTIFS(UCRETLER!$B$7:$B$406,$B67,UCRETLER!$H$7:$H$406,"Aktif")&gt;0,"EVET","HAYIR"))</f>
        <v/>
      </c>
      <c r="P67" s="113">
        <f>IF($C67="","",IF($B67="","NO EKSİK",IF(COUNTIF($B$7:$B$106,$B67)&gt;1,"NO TEKRARI",IF(COUNTIF($C$7:$C$106,$C67)&gt;1,"UNVAN TEKRARI",IF($D67="","DURUM EKSİK",IF(AND($J67&gt;0,$K67=""),"DEVİR TARİHİ EKSİK","UYGUN"))))))</f>
        <v/>
      </c>
      <c r="Q67" s="6" t="n"/>
      <c r="R67" s="6" t="n"/>
      <c r="S67" s="3" t="n"/>
      <c r="T67" s="3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  <c r="U67" s="3">
        <f>IF($C67="","",COUNTIF($C$7:$C$106,"&lt;"&amp;$C67)+COUNTIF($C$7:$C67,$C67))</f>
        <v/>
      </c>
    </row>
    <row r="68">
      <c r="A68" s="6" t="n"/>
      <c r="B68" s="108" t="inlineStr">
        <is>
          <t>M062</t>
        </is>
      </c>
      <c r="C68" s="109" t="n"/>
      <c r="D68" s="108" t="n"/>
      <c r="E68" s="109" t="n"/>
      <c r="F68" s="109" t="n"/>
      <c r="G68" s="109" t="n"/>
      <c r="H68" s="108" t="n"/>
      <c r="I68" s="217" t="n"/>
      <c r="J68" s="218" t="n"/>
      <c r="K68" s="219" t="n"/>
      <c r="L68" s="109" t="n"/>
      <c r="M68" s="109" t="n"/>
      <c r="N68" s="108" t="n"/>
      <c r="O68" s="113">
        <f>IF($C68="","",IF(COUNTIFS(UCRETLER!$B$7:$B$406,$B68,UCRETLER!$H$7:$H$406,"Aktif")&gt;0,"EVET","HAYIR"))</f>
        <v/>
      </c>
      <c r="P68" s="113">
        <f>IF($C68="","",IF($B68="","NO EKSİK",IF(COUNTIF($B$7:$B$106,$B68)&gt;1,"NO TEKRARI",IF(COUNTIF($C$7:$C$106,$C68)&gt;1,"UNVAN TEKRARI",IF($D68="","DURUM EKSİK",IF(AND($J68&gt;0,$K68=""),"DEVİR TARİHİ EKSİK","UYGUN"))))))</f>
        <v/>
      </c>
      <c r="Q68" s="6" t="n"/>
      <c r="R68" s="6" t="n"/>
      <c r="S68" s="3" t="n"/>
      <c r="T68" s="3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  <c r="U68" s="3">
        <f>IF($C68="","",COUNTIF($C$7:$C$106,"&lt;"&amp;$C68)+COUNTIF($C$7:$C68,$C68))</f>
        <v/>
      </c>
    </row>
    <row r="69">
      <c r="A69" s="6" t="n"/>
      <c r="B69" s="108" t="inlineStr">
        <is>
          <t>M063</t>
        </is>
      </c>
      <c r="C69" s="109" t="n"/>
      <c r="D69" s="108" t="n"/>
      <c r="E69" s="109" t="n"/>
      <c r="F69" s="109" t="n"/>
      <c r="G69" s="109" t="n"/>
      <c r="H69" s="108" t="n"/>
      <c r="I69" s="217" t="n"/>
      <c r="J69" s="218" t="n"/>
      <c r="K69" s="219" t="n"/>
      <c r="L69" s="109" t="n"/>
      <c r="M69" s="109" t="n"/>
      <c r="N69" s="108" t="n"/>
      <c r="O69" s="113">
        <f>IF($C69="","",IF(COUNTIFS(UCRETLER!$B$7:$B$406,$B69,UCRETLER!$H$7:$H$406,"Aktif")&gt;0,"EVET","HAYIR"))</f>
        <v/>
      </c>
      <c r="P69" s="113">
        <f>IF($C69="","",IF($B69="","NO EKSİK",IF(COUNTIF($B$7:$B$106,$B69)&gt;1,"NO TEKRARI",IF(COUNTIF($C$7:$C$106,$C69)&gt;1,"UNVAN TEKRARI",IF($D69="","DURUM EKSİK",IF(AND($J69&gt;0,$K69=""),"DEVİR TARİHİ EKSİK","UYGUN"))))))</f>
        <v/>
      </c>
      <c r="Q69" s="6" t="n"/>
      <c r="R69" s="6" t="n"/>
      <c r="S69" s="3" t="n"/>
      <c r="T69" s="3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  <c r="U69" s="3">
        <f>IF($C69="","",COUNTIF($C$7:$C$106,"&lt;"&amp;$C69)+COUNTIF($C$7:$C69,$C69))</f>
        <v/>
      </c>
    </row>
    <row r="70">
      <c r="A70" s="6" t="n"/>
      <c r="B70" s="108" t="inlineStr">
        <is>
          <t>M064</t>
        </is>
      </c>
      <c r="C70" s="109" t="n"/>
      <c r="D70" s="108" t="n"/>
      <c r="E70" s="109" t="n"/>
      <c r="F70" s="109" t="n"/>
      <c r="G70" s="109" t="n"/>
      <c r="H70" s="108" t="n"/>
      <c r="I70" s="217" t="n"/>
      <c r="J70" s="218" t="n"/>
      <c r="K70" s="219" t="n"/>
      <c r="L70" s="109" t="n"/>
      <c r="M70" s="109" t="n"/>
      <c r="N70" s="108" t="n"/>
      <c r="O70" s="113">
        <f>IF($C70="","",IF(COUNTIFS(UCRETLER!$B$7:$B$406,$B70,UCRETLER!$H$7:$H$406,"Aktif")&gt;0,"EVET","HAYIR"))</f>
        <v/>
      </c>
      <c r="P70" s="113">
        <f>IF($C70="","",IF($B70="","NO EKSİK",IF(COUNTIF($B$7:$B$106,$B70)&gt;1,"NO TEKRARI",IF(COUNTIF($C$7:$C$106,$C70)&gt;1,"UNVAN TEKRARI",IF($D70="","DURUM EKSİK",IF(AND($J70&gt;0,$K70=""),"DEVİR TARİHİ EKSİK","UYGUN"))))))</f>
        <v/>
      </c>
      <c r="Q70" s="6" t="n"/>
      <c r="R70" s="6" t="n"/>
      <c r="S70" s="3" t="n"/>
      <c r="T70" s="3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  <c r="U70" s="3">
        <f>IF($C70="","",COUNTIF($C$7:$C$106,"&lt;"&amp;$C70)+COUNTIF($C$7:$C70,$C70))</f>
        <v/>
      </c>
    </row>
    <row r="71">
      <c r="A71" s="6" t="n"/>
      <c r="B71" s="108" t="inlineStr">
        <is>
          <t>M065</t>
        </is>
      </c>
      <c r="C71" s="109" t="n"/>
      <c r="D71" s="108" t="n"/>
      <c r="E71" s="109" t="n"/>
      <c r="F71" s="109" t="n"/>
      <c r="G71" s="109" t="n"/>
      <c r="H71" s="108" t="n"/>
      <c r="I71" s="217" t="n"/>
      <c r="J71" s="218" t="n"/>
      <c r="K71" s="219" t="n"/>
      <c r="L71" s="109" t="n"/>
      <c r="M71" s="109" t="n"/>
      <c r="N71" s="108" t="n"/>
      <c r="O71" s="113">
        <f>IF($C71="","",IF(COUNTIFS(UCRETLER!$B$7:$B$406,$B71,UCRETLER!$H$7:$H$406,"Aktif")&gt;0,"EVET","HAYIR"))</f>
        <v/>
      </c>
      <c r="P71" s="113">
        <f>IF($C71="","",IF($B71="","NO EKSİK",IF(COUNTIF($B$7:$B$106,$B71)&gt;1,"NO TEKRARI",IF(COUNTIF($C$7:$C$106,$C71)&gt;1,"UNVAN TEKRARI",IF($D71="","DURUM EKSİK",IF(AND($J71&gt;0,$K71=""),"DEVİR TARİHİ EKSİK","UYGUN"))))))</f>
        <v/>
      </c>
      <c r="Q71" s="6" t="n"/>
      <c r="R71" s="6" t="n"/>
      <c r="S71" s="3" t="n"/>
      <c r="T71" s="3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  <c r="U71" s="3">
        <f>IF($C71="","",COUNTIF($C$7:$C$106,"&lt;"&amp;$C71)+COUNTIF($C$7:$C71,$C71))</f>
        <v/>
      </c>
    </row>
    <row r="72">
      <c r="A72" s="6" t="n"/>
      <c r="B72" s="108" t="inlineStr">
        <is>
          <t>M066</t>
        </is>
      </c>
      <c r="C72" s="109" t="n"/>
      <c r="D72" s="108" t="n"/>
      <c r="E72" s="109" t="n"/>
      <c r="F72" s="109" t="n"/>
      <c r="G72" s="109" t="n"/>
      <c r="H72" s="108" t="n"/>
      <c r="I72" s="217" t="n"/>
      <c r="J72" s="218" t="n"/>
      <c r="K72" s="219" t="n"/>
      <c r="L72" s="109" t="n"/>
      <c r="M72" s="109" t="n"/>
      <c r="N72" s="108" t="n"/>
      <c r="O72" s="113">
        <f>IF($C72="","",IF(COUNTIFS(UCRETLER!$B$7:$B$406,$B72,UCRETLER!$H$7:$H$406,"Aktif")&gt;0,"EVET","HAYIR"))</f>
        <v/>
      </c>
      <c r="P72" s="113">
        <f>IF($C72="","",IF($B72="","NO EKSİK",IF(COUNTIF($B$7:$B$106,$B72)&gt;1,"NO TEKRARI",IF(COUNTIF($C$7:$C$106,$C72)&gt;1,"UNVAN TEKRARI",IF($D72="","DURUM EKSİK",IF(AND($J72&gt;0,$K72=""),"DEVİR TARİHİ EKSİK","UYGUN"))))))</f>
        <v/>
      </c>
      <c r="Q72" s="6" t="n"/>
      <c r="R72" s="6" t="n"/>
      <c r="S72" s="3" t="n"/>
      <c r="T72" s="3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  <c r="U72" s="3">
        <f>IF($C72="","",COUNTIF($C$7:$C$106,"&lt;"&amp;$C72)+COUNTIF($C$7:$C72,$C72))</f>
        <v/>
      </c>
    </row>
    <row r="73">
      <c r="A73" s="6" t="n"/>
      <c r="B73" s="108" t="inlineStr">
        <is>
          <t>M067</t>
        </is>
      </c>
      <c r="C73" s="109" t="n"/>
      <c r="D73" s="108" t="n"/>
      <c r="E73" s="109" t="n"/>
      <c r="F73" s="109" t="n"/>
      <c r="G73" s="109" t="n"/>
      <c r="H73" s="108" t="n"/>
      <c r="I73" s="217" t="n"/>
      <c r="J73" s="218" t="n"/>
      <c r="K73" s="219" t="n"/>
      <c r="L73" s="109" t="n"/>
      <c r="M73" s="109" t="n"/>
      <c r="N73" s="108" t="n"/>
      <c r="O73" s="113">
        <f>IF($C73="","",IF(COUNTIFS(UCRETLER!$B$7:$B$406,$B73,UCRETLER!$H$7:$H$406,"Aktif")&gt;0,"EVET","HAYIR"))</f>
        <v/>
      </c>
      <c r="P73" s="113">
        <f>IF($C73="","",IF($B73="","NO EKSİK",IF(COUNTIF($B$7:$B$106,$B73)&gt;1,"NO TEKRARI",IF(COUNTIF($C$7:$C$106,$C73)&gt;1,"UNVAN TEKRARI",IF($D73="","DURUM EKSİK",IF(AND($J73&gt;0,$K73=""),"DEVİR TARİHİ EKSİK","UYGUN"))))))</f>
        <v/>
      </c>
      <c r="Q73" s="6" t="n"/>
      <c r="R73" s="6" t="n"/>
      <c r="S73" s="3" t="n"/>
      <c r="T73" s="3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  <c r="U73" s="3">
        <f>IF($C73="","",COUNTIF($C$7:$C$106,"&lt;"&amp;$C73)+COUNTIF($C$7:$C73,$C73))</f>
        <v/>
      </c>
    </row>
    <row r="74">
      <c r="A74" s="6" t="n"/>
      <c r="B74" s="108" t="inlineStr">
        <is>
          <t>M068</t>
        </is>
      </c>
      <c r="C74" s="109" t="n"/>
      <c r="D74" s="108" t="n"/>
      <c r="E74" s="109" t="n"/>
      <c r="F74" s="109" t="n"/>
      <c r="G74" s="109" t="n"/>
      <c r="H74" s="108" t="n"/>
      <c r="I74" s="217" t="n"/>
      <c r="J74" s="218" t="n"/>
      <c r="K74" s="219" t="n"/>
      <c r="L74" s="109" t="n"/>
      <c r="M74" s="109" t="n"/>
      <c r="N74" s="108" t="n"/>
      <c r="O74" s="113">
        <f>IF($C74="","",IF(COUNTIFS(UCRETLER!$B$7:$B$406,$B74,UCRETLER!$H$7:$H$406,"Aktif")&gt;0,"EVET","HAYIR"))</f>
        <v/>
      </c>
      <c r="P74" s="113">
        <f>IF($C74="","",IF($B74="","NO EKSİK",IF(COUNTIF($B$7:$B$106,$B74)&gt;1,"NO TEKRARI",IF(COUNTIF($C$7:$C$106,$C74)&gt;1,"UNVAN TEKRARI",IF($D74="","DURUM EKSİK",IF(AND($J74&gt;0,$K74=""),"DEVİR TARİHİ EKSİK","UYGUN"))))))</f>
        <v/>
      </c>
      <c r="Q74" s="6" t="n"/>
      <c r="R74" s="6" t="n"/>
      <c r="S74" s="3" t="n"/>
      <c r="T74" s="3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  <c r="U74" s="3">
        <f>IF($C74="","",COUNTIF($C$7:$C$106,"&lt;"&amp;$C74)+COUNTIF($C$7:$C74,$C74))</f>
        <v/>
      </c>
    </row>
    <row r="75">
      <c r="A75" s="6" t="n"/>
      <c r="B75" s="108" t="inlineStr">
        <is>
          <t>M069</t>
        </is>
      </c>
      <c r="C75" s="109" t="n"/>
      <c r="D75" s="108" t="n"/>
      <c r="E75" s="109" t="n"/>
      <c r="F75" s="109" t="n"/>
      <c r="G75" s="109" t="n"/>
      <c r="H75" s="108" t="n"/>
      <c r="I75" s="217" t="n"/>
      <c r="J75" s="218" t="n"/>
      <c r="K75" s="219" t="n"/>
      <c r="L75" s="109" t="n"/>
      <c r="M75" s="109" t="n"/>
      <c r="N75" s="108" t="n"/>
      <c r="O75" s="113">
        <f>IF($C75="","",IF(COUNTIFS(UCRETLER!$B$7:$B$406,$B75,UCRETLER!$H$7:$H$406,"Aktif")&gt;0,"EVET","HAYIR"))</f>
        <v/>
      </c>
      <c r="P75" s="113">
        <f>IF($C75="","",IF($B75="","NO EKSİK",IF(COUNTIF($B$7:$B$106,$B75)&gt;1,"NO TEKRARI",IF(COUNTIF($C$7:$C$106,$C75)&gt;1,"UNVAN TEKRARI",IF($D75="","DURUM EKSİK",IF(AND($J75&gt;0,$K75=""),"DEVİR TARİHİ EKSİK","UYGUN"))))))</f>
        <v/>
      </c>
      <c r="Q75" s="6" t="n"/>
      <c r="R75" s="6" t="n"/>
      <c r="S75" s="3" t="n"/>
      <c r="T75" s="3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  <c r="U75" s="3">
        <f>IF($C75="","",COUNTIF($C$7:$C$106,"&lt;"&amp;$C75)+COUNTIF($C$7:$C75,$C75))</f>
        <v/>
      </c>
    </row>
    <row r="76">
      <c r="A76" s="6" t="n"/>
      <c r="B76" s="108" t="inlineStr">
        <is>
          <t>M070</t>
        </is>
      </c>
      <c r="C76" s="109" t="n"/>
      <c r="D76" s="108" t="n"/>
      <c r="E76" s="109" t="n"/>
      <c r="F76" s="109" t="n"/>
      <c r="G76" s="109" t="n"/>
      <c r="H76" s="108" t="n"/>
      <c r="I76" s="217" t="n"/>
      <c r="J76" s="218" t="n"/>
      <c r="K76" s="219" t="n"/>
      <c r="L76" s="109" t="n"/>
      <c r="M76" s="109" t="n"/>
      <c r="N76" s="108" t="n"/>
      <c r="O76" s="113">
        <f>IF($C76="","",IF(COUNTIFS(UCRETLER!$B$7:$B$406,$B76,UCRETLER!$H$7:$H$406,"Aktif")&gt;0,"EVET","HAYIR"))</f>
        <v/>
      </c>
      <c r="P76" s="113">
        <f>IF($C76="","",IF($B76="","NO EKSİK",IF(COUNTIF($B$7:$B$106,$B76)&gt;1,"NO TEKRARI",IF(COUNTIF($C$7:$C$106,$C76)&gt;1,"UNVAN TEKRARI",IF($D76="","DURUM EKSİK",IF(AND($J76&gt;0,$K76=""),"DEVİR TARİHİ EKSİK","UYGUN"))))))</f>
        <v/>
      </c>
      <c r="Q76" s="6" t="n"/>
      <c r="R76" s="6" t="n"/>
      <c r="S76" s="3" t="n"/>
      <c r="T76" s="3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  <c r="U76" s="3">
        <f>IF($C76="","",COUNTIF($C$7:$C$106,"&lt;"&amp;$C76)+COUNTIF($C$7:$C76,$C76))</f>
        <v/>
      </c>
    </row>
    <row r="77">
      <c r="A77" s="6" t="n"/>
      <c r="B77" s="108" t="inlineStr">
        <is>
          <t>M071</t>
        </is>
      </c>
      <c r="C77" s="109" t="n"/>
      <c r="D77" s="108" t="n"/>
      <c r="E77" s="109" t="n"/>
      <c r="F77" s="109" t="n"/>
      <c r="G77" s="109" t="n"/>
      <c r="H77" s="108" t="n"/>
      <c r="I77" s="217" t="n"/>
      <c r="J77" s="218" t="n"/>
      <c r="K77" s="219" t="n"/>
      <c r="L77" s="109" t="n"/>
      <c r="M77" s="109" t="n"/>
      <c r="N77" s="108" t="n"/>
      <c r="O77" s="113">
        <f>IF($C77="","",IF(COUNTIFS(UCRETLER!$B$7:$B$406,$B77,UCRETLER!$H$7:$H$406,"Aktif")&gt;0,"EVET","HAYIR"))</f>
        <v/>
      </c>
      <c r="P77" s="113">
        <f>IF($C77="","",IF($B77="","NO EKSİK",IF(COUNTIF($B$7:$B$106,$B77)&gt;1,"NO TEKRARI",IF(COUNTIF($C$7:$C$106,$C77)&gt;1,"UNVAN TEKRARI",IF($D77="","DURUM EKSİK",IF(AND($J77&gt;0,$K77=""),"DEVİR TARİHİ EKSİK","UYGUN"))))))</f>
        <v/>
      </c>
      <c r="Q77" s="6" t="n"/>
      <c r="R77" s="6" t="n"/>
      <c r="S77" s="3" t="n"/>
      <c r="T77" s="3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  <c r="U77" s="3">
        <f>IF($C77="","",COUNTIF($C$7:$C$106,"&lt;"&amp;$C77)+COUNTIF($C$7:$C77,$C77))</f>
        <v/>
      </c>
    </row>
    <row r="78">
      <c r="A78" s="6" t="n"/>
      <c r="B78" s="108" t="inlineStr">
        <is>
          <t>M072</t>
        </is>
      </c>
      <c r="C78" s="109" t="n"/>
      <c r="D78" s="108" t="n"/>
      <c r="E78" s="109" t="n"/>
      <c r="F78" s="109" t="n"/>
      <c r="G78" s="109" t="n"/>
      <c r="H78" s="108" t="n"/>
      <c r="I78" s="217" t="n"/>
      <c r="J78" s="218" t="n"/>
      <c r="K78" s="219" t="n"/>
      <c r="L78" s="109" t="n"/>
      <c r="M78" s="109" t="n"/>
      <c r="N78" s="108" t="n"/>
      <c r="O78" s="113">
        <f>IF($C78="","",IF(COUNTIFS(UCRETLER!$B$7:$B$406,$B78,UCRETLER!$H$7:$H$406,"Aktif")&gt;0,"EVET","HAYIR"))</f>
        <v/>
      </c>
      <c r="P78" s="113">
        <f>IF($C78="","",IF($B78="","NO EKSİK",IF(COUNTIF($B$7:$B$106,$B78)&gt;1,"NO TEKRARI",IF(COUNTIF($C$7:$C$106,$C78)&gt;1,"UNVAN TEKRARI",IF($D78="","DURUM EKSİK",IF(AND($J78&gt;0,$K78=""),"DEVİR TARİHİ EKSİK","UYGUN"))))))</f>
        <v/>
      </c>
      <c r="Q78" s="6" t="n"/>
      <c r="R78" s="6" t="n"/>
      <c r="S78" s="3" t="n"/>
      <c r="T78" s="3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  <c r="U78" s="3">
        <f>IF($C78="","",COUNTIF($C$7:$C$106,"&lt;"&amp;$C78)+COUNTIF($C$7:$C78,$C78))</f>
        <v/>
      </c>
    </row>
    <row r="79">
      <c r="A79" s="6" t="n"/>
      <c r="B79" s="108" t="inlineStr">
        <is>
          <t>M073</t>
        </is>
      </c>
      <c r="C79" s="109" t="n"/>
      <c r="D79" s="108" t="n"/>
      <c r="E79" s="109" t="n"/>
      <c r="F79" s="109" t="n"/>
      <c r="G79" s="109" t="n"/>
      <c r="H79" s="108" t="n"/>
      <c r="I79" s="217" t="n"/>
      <c r="J79" s="218" t="n"/>
      <c r="K79" s="219" t="n"/>
      <c r="L79" s="109" t="n"/>
      <c r="M79" s="109" t="n"/>
      <c r="N79" s="108" t="n"/>
      <c r="O79" s="113">
        <f>IF($C79="","",IF(COUNTIFS(UCRETLER!$B$7:$B$406,$B79,UCRETLER!$H$7:$H$406,"Aktif")&gt;0,"EVET","HAYIR"))</f>
        <v/>
      </c>
      <c r="P79" s="113">
        <f>IF($C79="","",IF($B79="","NO EKSİK",IF(COUNTIF($B$7:$B$106,$B79)&gt;1,"NO TEKRARI",IF(COUNTIF($C$7:$C$106,$C79)&gt;1,"UNVAN TEKRARI",IF($D79="","DURUM EKSİK",IF(AND($J79&gt;0,$K79=""),"DEVİR TARİHİ EKSİK","UYGUN"))))))</f>
        <v/>
      </c>
      <c r="Q79" s="6" t="n"/>
      <c r="R79" s="6" t="n"/>
      <c r="S79" s="3" t="n"/>
      <c r="T79" s="3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  <c r="U79" s="3">
        <f>IF($C79="","",COUNTIF($C$7:$C$106,"&lt;"&amp;$C79)+COUNTIF($C$7:$C79,$C79))</f>
        <v/>
      </c>
    </row>
    <row r="80">
      <c r="A80" s="6" t="n"/>
      <c r="B80" s="108" t="inlineStr">
        <is>
          <t>M074</t>
        </is>
      </c>
      <c r="C80" s="109" t="n"/>
      <c r="D80" s="108" t="n"/>
      <c r="E80" s="109" t="n"/>
      <c r="F80" s="109" t="n"/>
      <c r="G80" s="109" t="n"/>
      <c r="H80" s="108" t="n"/>
      <c r="I80" s="217" t="n"/>
      <c r="J80" s="218" t="n"/>
      <c r="K80" s="219" t="n"/>
      <c r="L80" s="109" t="n"/>
      <c r="M80" s="109" t="n"/>
      <c r="N80" s="108" t="n"/>
      <c r="O80" s="113">
        <f>IF($C80="","",IF(COUNTIFS(UCRETLER!$B$7:$B$406,$B80,UCRETLER!$H$7:$H$406,"Aktif")&gt;0,"EVET","HAYIR"))</f>
        <v/>
      </c>
      <c r="P80" s="113">
        <f>IF($C80="","",IF($B80="","NO EKSİK",IF(COUNTIF($B$7:$B$106,$B80)&gt;1,"NO TEKRARI",IF(COUNTIF($C$7:$C$106,$C80)&gt;1,"UNVAN TEKRARI",IF($D80="","DURUM EKSİK",IF(AND($J80&gt;0,$K80=""),"DEVİR TARİHİ EKSİK","UYGUN"))))))</f>
        <v/>
      </c>
      <c r="Q80" s="6" t="n"/>
      <c r="R80" s="6" t="n"/>
      <c r="S80" s="3" t="n"/>
      <c r="T80" s="3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  <c r="U80" s="3">
        <f>IF($C80="","",COUNTIF($C$7:$C$106,"&lt;"&amp;$C80)+COUNTIF($C$7:$C80,$C80))</f>
        <v/>
      </c>
    </row>
    <row r="81">
      <c r="A81" s="6" t="n"/>
      <c r="B81" s="108" t="inlineStr">
        <is>
          <t>M075</t>
        </is>
      </c>
      <c r="C81" s="109" t="n"/>
      <c r="D81" s="108" t="n"/>
      <c r="E81" s="109" t="n"/>
      <c r="F81" s="109" t="n"/>
      <c r="G81" s="109" t="n"/>
      <c r="H81" s="108" t="n"/>
      <c r="I81" s="217" t="n"/>
      <c r="J81" s="218" t="n"/>
      <c r="K81" s="219" t="n"/>
      <c r="L81" s="109" t="n"/>
      <c r="M81" s="109" t="n"/>
      <c r="N81" s="108" t="n"/>
      <c r="O81" s="113">
        <f>IF($C81="","",IF(COUNTIFS(UCRETLER!$B$7:$B$406,$B81,UCRETLER!$H$7:$H$406,"Aktif")&gt;0,"EVET","HAYIR"))</f>
        <v/>
      </c>
      <c r="P81" s="113">
        <f>IF($C81="","",IF($B81="","NO EKSİK",IF(COUNTIF($B$7:$B$106,$B81)&gt;1,"NO TEKRARI",IF(COUNTIF($C$7:$C$106,$C81)&gt;1,"UNVAN TEKRARI",IF($D81="","DURUM EKSİK",IF(AND($J81&gt;0,$K81=""),"DEVİR TARİHİ EKSİK","UYGUN"))))))</f>
        <v/>
      </c>
      <c r="Q81" s="6" t="n"/>
      <c r="R81" s="6" t="n"/>
      <c r="S81" s="3" t="n"/>
      <c r="T81" s="3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  <c r="U81" s="3">
        <f>IF($C81="","",COUNTIF($C$7:$C$106,"&lt;"&amp;$C81)+COUNTIF($C$7:$C81,$C81))</f>
        <v/>
      </c>
    </row>
    <row r="82">
      <c r="A82" s="6" t="n"/>
      <c r="B82" s="108" t="inlineStr">
        <is>
          <t>M076</t>
        </is>
      </c>
      <c r="C82" s="109" t="n"/>
      <c r="D82" s="108" t="n"/>
      <c r="E82" s="109" t="n"/>
      <c r="F82" s="109" t="n"/>
      <c r="G82" s="109" t="n"/>
      <c r="H82" s="108" t="n"/>
      <c r="I82" s="217" t="n"/>
      <c r="J82" s="218" t="n"/>
      <c r="K82" s="219" t="n"/>
      <c r="L82" s="109" t="n"/>
      <c r="M82" s="109" t="n"/>
      <c r="N82" s="108" t="n"/>
      <c r="O82" s="113">
        <f>IF($C82="","",IF(COUNTIFS(UCRETLER!$B$7:$B$406,$B82,UCRETLER!$H$7:$H$406,"Aktif")&gt;0,"EVET","HAYIR"))</f>
        <v/>
      </c>
      <c r="P82" s="113">
        <f>IF($C82="","",IF($B82="","NO EKSİK",IF(COUNTIF($B$7:$B$106,$B82)&gt;1,"NO TEKRARI",IF(COUNTIF($C$7:$C$106,$C82)&gt;1,"UNVAN TEKRARI",IF($D82="","DURUM EKSİK",IF(AND($J82&gt;0,$K82=""),"DEVİR TARİHİ EKSİK","UYGUN"))))))</f>
        <v/>
      </c>
      <c r="Q82" s="6" t="n"/>
      <c r="R82" s="6" t="n"/>
      <c r="S82" s="3" t="n"/>
      <c r="T82" s="3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  <c r="U82" s="3">
        <f>IF($C82="","",COUNTIF($C$7:$C$106,"&lt;"&amp;$C82)+COUNTIF($C$7:$C82,$C82))</f>
        <v/>
      </c>
    </row>
    <row r="83">
      <c r="A83" s="6" t="n"/>
      <c r="B83" s="108" t="inlineStr">
        <is>
          <t>M077</t>
        </is>
      </c>
      <c r="C83" s="109" t="n"/>
      <c r="D83" s="108" t="n"/>
      <c r="E83" s="109" t="n"/>
      <c r="F83" s="109" t="n"/>
      <c r="G83" s="109" t="n"/>
      <c r="H83" s="108" t="n"/>
      <c r="I83" s="217" t="n"/>
      <c r="J83" s="218" t="n"/>
      <c r="K83" s="219" t="n"/>
      <c r="L83" s="109" t="n"/>
      <c r="M83" s="109" t="n"/>
      <c r="N83" s="108" t="n"/>
      <c r="O83" s="113">
        <f>IF($C83="","",IF(COUNTIFS(UCRETLER!$B$7:$B$406,$B83,UCRETLER!$H$7:$H$406,"Aktif")&gt;0,"EVET","HAYIR"))</f>
        <v/>
      </c>
      <c r="P83" s="113">
        <f>IF($C83="","",IF($B83="","NO EKSİK",IF(COUNTIF($B$7:$B$106,$B83)&gt;1,"NO TEKRARI",IF(COUNTIF($C$7:$C$106,$C83)&gt;1,"UNVAN TEKRARI",IF($D83="","DURUM EKSİK",IF(AND($J83&gt;0,$K83=""),"DEVİR TARİHİ EKSİK","UYGUN"))))))</f>
        <v/>
      </c>
      <c r="Q83" s="6" t="n"/>
      <c r="R83" s="6" t="n"/>
      <c r="S83" s="3" t="n"/>
      <c r="T83" s="3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  <c r="U83" s="3">
        <f>IF($C83="","",COUNTIF($C$7:$C$106,"&lt;"&amp;$C83)+COUNTIF($C$7:$C83,$C83))</f>
        <v/>
      </c>
    </row>
    <row r="84">
      <c r="A84" s="6" t="n"/>
      <c r="B84" s="108" t="inlineStr">
        <is>
          <t>M078</t>
        </is>
      </c>
      <c r="C84" s="109" t="n"/>
      <c r="D84" s="108" t="n"/>
      <c r="E84" s="109" t="n"/>
      <c r="F84" s="109" t="n"/>
      <c r="G84" s="109" t="n"/>
      <c r="H84" s="108" t="n"/>
      <c r="I84" s="217" t="n"/>
      <c r="J84" s="218" t="n"/>
      <c r="K84" s="219" t="n"/>
      <c r="L84" s="109" t="n"/>
      <c r="M84" s="109" t="n"/>
      <c r="N84" s="108" t="n"/>
      <c r="O84" s="113">
        <f>IF($C84="","",IF(COUNTIFS(UCRETLER!$B$7:$B$406,$B84,UCRETLER!$H$7:$H$406,"Aktif")&gt;0,"EVET","HAYIR"))</f>
        <v/>
      </c>
      <c r="P84" s="113">
        <f>IF($C84="","",IF($B84="","NO EKSİK",IF(COUNTIF($B$7:$B$106,$B84)&gt;1,"NO TEKRARI",IF(COUNTIF($C$7:$C$106,$C84)&gt;1,"UNVAN TEKRARI",IF($D84="","DURUM EKSİK",IF(AND($J84&gt;0,$K84=""),"DEVİR TARİHİ EKSİK","UYGUN"))))))</f>
        <v/>
      </c>
      <c r="Q84" s="6" t="n"/>
      <c r="R84" s="6" t="n"/>
      <c r="S84" s="3" t="n"/>
      <c r="T84" s="3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  <c r="U84" s="3">
        <f>IF($C84="","",COUNTIF($C$7:$C$106,"&lt;"&amp;$C84)+COUNTIF($C$7:$C84,$C84))</f>
        <v/>
      </c>
    </row>
    <row r="85">
      <c r="A85" s="6" t="n"/>
      <c r="B85" s="108" t="inlineStr">
        <is>
          <t>M079</t>
        </is>
      </c>
      <c r="C85" s="109" t="n"/>
      <c r="D85" s="108" t="n"/>
      <c r="E85" s="109" t="n"/>
      <c r="F85" s="109" t="n"/>
      <c r="G85" s="109" t="n"/>
      <c r="H85" s="108" t="n"/>
      <c r="I85" s="217" t="n"/>
      <c r="J85" s="218" t="n"/>
      <c r="K85" s="219" t="n"/>
      <c r="L85" s="109" t="n"/>
      <c r="M85" s="109" t="n"/>
      <c r="N85" s="108" t="n"/>
      <c r="O85" s="113">
        <f>IF($C85="","",IF(COUNTIFS(UCRETLER!$B$7:$B$406,$B85,UCRETLER!$H$7:$H$406,"Aktif")&gt;0,"EVET","HAYIR"))</f>
        <v/>
      </c>
      <c r="P85" s="113">
        <f>IF($C85="","",IF($B85="","NO EKSİK",IF(COUNTIF($B$7:$B$106,$B85)&gt;1,"NO TEKRARI",IF(COUNTIF($C$7:$C$106,$C85)&gt;1,"UNVAN TEKRARI",IF($D85="","DURUM EKSİK",IF(AND($J85&gt;0,$K85=""),"DEVİR TARİHİ EKSİK","UYGUN"))))))</f>
        <v/>
      </c>
      <c r="Q85" s="6" t="n"/>
      <c r="R85" s="6" t="n"/>
      <c r="S85" s="3" t="n"/>
      <c r="T85" s="3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  <c r="U85" s="3">
        <f>IF($C85="","",COUNTIF($C$7:$C$106,"&lt;"&amp;$C85)+COUNTIF($C$7:$C85,$C85))</f>
        <v/>
      </c>
    </row>
    <row r="86">
      <c r="A86" s="6" t="n"/>
      <c r="B86" s="108" t="inlineStr">
        <is>
          <t>M080</t>
        </is>
      </c>
      <c r="C86" s="109" t="n"/>
      <c r="D86" s="108" t="n"/>
      <c r="E86" s="109" t="n"/>
      <c r="F86" s="109" t="n"/>
      <c r="G86" s="109" t="n"/>
      <c r="H86" s="108" t="n"/>
      <c r="I86" s="217" t="n"/>
      <c r="J86" s="218" t="n"/>
      <c r="K86" s="219" t="n"/>
      <c r="L86" s="109" t="n"/>
      <c r="M86" s="109" t="n"/>
      <c r="N86" s="108" t="n"/>
      <c r="O86" s="113">
        <f>IF($C86="","",IF(COUNTIFS(UCRETLER!$B$7:$B$406,$B86,UCRETLER!$H$7:$H$406,"Aktif")&gt;0,"EVET","HAYIR"))</f>
        <v/>
      </c>
      <c r="P86" s="113">
        <f>IF($C86="","",IF($B86="","NO EKSİK",IF(COUNTIF($B$7:$B$106,$B86)&gt;1,"NO TEKRARI",IF(COUNTIF($C$7:$C$106,$C86)&gt;1,"UNVAN TEKRARI",IF($D86="","DURUM EKSİK",IF(AND($J86&gt;0,$K86=""),"DEVİR TARİHİ EKSİK","UYGUN"))))))</f>
        <v/>
      </c>
      <c r="Q86" s="6" t="n"/>
      <c r="R86" s="6" t="n"/>
      <c r="S86" s="3" t="n"/>
      <c r="T86" s="3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  <c r="U86" s="3">
        <f>IF($C86="","",COUNTIF($C$7:$C$106,"&lt;"&amp;$C86)+COUNTIF($C$7:$C86,$C86))</f>
        <v/>
      </c>
    </row>
    <row r="87">
      <c r="A87" s="6" t="n"/>
      <c r="B87" s="108" t="inlineStr">
        <is>
          <t>M081</t>
        </is>
      </c>
      <c r="C87" s="109" t="n"/>
      <c r="D87" s="108" t="n"/>
      <c r="E87" s="109" t="n"/>
      <c r="F87" s="109" t="n"/>
      <c r="G87" s="109" t="n"/>
      <c r="H87" s="108" t="n"/>
      <c r="I87" s="217" t="n"/>
      <c r="J87" s="218" t="n"/>
      <c r="K87" s="219" t="n"/>
      <c r="L87" s="109" t="n"/>
      <c r="M87" s="109" t="n"/>
      <c r="N87" s="108" t="n"/>
      <c r="O87" s="113">
        <f>IF($C87="","",IF(COUNTIFS(UCRETLER!$B$7:$B$406,$B87,UCRETLER!$H$7:$H$406,"Aktif")&gt;0,"EVET","HAYIR"))</f>
        <v/>
      </c>
      <c r="P87" s="113">
        <f>IF($C87="","",IF($B87="","NO EKSİK",IF(COUNTIF($B$7:$B$106,$B87)&gt;1,"NO TEKRARI",IF(COUNTIF($C$7:$C$106,$C87)&gt;1,"UNVAN TEKRARI",IF($D87="","DURUM EKSİK",IF(AND($J87&gt;0,$K87=""),"DEVİR TARİHİ EKSİK","UYGUN"))))))</f>
        <v/>
      </c>
      <c r="Q87" s="6" t="n"/>
      <c r="R87" s="6" t="n"/>
      <c r="S87" s="3" t="n"/>
      <c r="T87" s="3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  <c r="U87" s="3">
        <f>IF($C87="","",COUNTIF($C$7:$C$106,"&lt;"&amp;$C87)+COUNTIF($C$7:$C87,$C87))</f>
        <v/>
      </c>
    </row>
    <row r="88">
      <c r="A88" s="6" t="n"/>
      <c r="B88" s="108" t="inlineStr">
        <is>
          <t>M082</t>
        </is>
      </c>
      <c r="C88" s="109" t="n"/>
      <c r="D88" s="108" t="n"/>
      <c r="E88" s="109" t="n"/>
      <c r="F88" s="109" t="n"/>
      <c r="G88" s="109" t="n"/>
      <c r="H88" s="108" t="n"/>
      <c r="I88" s="217" t="n"/>
      <c r="J88" s="218" t="n"/>
      <c r="K88" s="219" t="n"/>
      <c r="L88" s="109" t="n"/>
      <c r="M88" s="109" t="n"/>
      <c r="N88" s="108" t="n"/>
      <c r="O88" s="113">
        <f>IF($C88="","",IF(COUNTIFS(UCRETLER!$B$7:$B$406,$B88,UCRETLER!$H$7:$H$406,"Aktif")&gt;0,"EVET","HAYIR"))</f>
        <v/>
      </c>
      <c r="P88" s="113">
        <f>IF($C88="","",IF($B88="","NO EKSİK",IF(COUNTIF($B$7:$B$106,$B88)&gt;1,"NO TEKRARI",IF(COUNTIF($C$7:$C$106,$C88)&gt;1,"UNVAN TEKRARI",IF($D88="","DURUM EKSİK",IF(AND($J88&gt;0,$K88=""),"DEVİR TARİHİ EKSİK","UYGUN"))))))</f>
        <v/>
      </c>
      <c r="Q88" s="6" t="n"/>
      <c r="R88" s="6" t="n"/>
      <c r="S88" s="3" t="n"/>
      <c r="T88" s="3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  <c r="U88" s="3">
        <f>IF($C88="","",COUNTIF($C$7:$C$106,"&lt;"&amp;$C88)+COUNTIF($C$7:$C88,$C88))</f>
        <v/>
      </c>
    </row>
    <row r="89">
      <c r="A89" s="6" t="n"/>
      <c r="B89" s="108" t="inlineStr">
        <is>
          <t>M083</t>
        </is>
      </c>
      <c r="C89" s="109" t="n"/>
      <c r="D89" s="108" t="n"/>
      <c r="E89" s="109" t="n"/>
      <c r="F89" s="109" t="n"/>
      <c r="G89" s="109" t="n"/>
      <c r="H89" s="108" t="n"/>
      <c r="I89" s="217" t="n"/>
      <c r="J89" s="218" t="n"/>
      <c r="K89" s="219" t="n"/>
      <c r="L89" s="109" t="n"/>
      <c r="M89" s="109" t="n"/>
      <c r="N89" s="108" t="n"/>
      <c r="O89" s="113">
        <f>IF($C89="","",IF(COUNTIFS(UCRETLER!$B$7:$B$406,$B89,UCRETLER!$H$7:$H$406,"Aktif")&gt;0,"EVET","HAYIR"))</f>
        <v/>
      </c>
      <c r="P89" s="113">
        <f>IF($C89="","",IF($B89="","NO EKSİK",IF(COUNTIF($B$7:$B$106,$B89)&gt;1,"NO TEKRARI",IF(COUNTIF($C$7:$C$106,$C89)&gt;1,"UNVAN TEKRARI",IF($D89="","DURUM EKSİK",IF(AND($J89&gt;0,$K89=""),"DEVİR TARİHİ EKSİK","UYGUN"))))))</f>
        <v/>
      </c>
      <c r="Q89" s="6" t="n"/>
      <c r="R89" s="6" t="n"/>
      <c r="S89" s="3" t="n"/>
      <c r="T89" s="3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  <c r="U89" s="3">
        <f>IF($C89="","",COUNTIF($C$7:$C$106,"&lt;"&amp;$C89)+COUNTIF($C$7:$C89,$C89))</f>
        <v/>
      </c>
    </row>
    <row r="90">
      <c r="A90" s="6" t="n"/>
      <c r="B90" s="108" t="inlineStr">
        <is>
          <t>M084</t>
        </is>
      </c>
      <c r="C90" s="109" t="n"/>
      <c r="D90" s="108" t="n"/>
      <c r="E90" s="109" t="n"/>
      <c r="F90" s="109" t="n"/>
      <c r="G90" s="109" t="n"/>
      <c r="H90" s="108" t="n"/>
      <c r="I90" s="217" t="n"/>
      <c r="J90" s="218" t="n"/>
      <c r="K90" s="219" t="n"/>
      <c r="L90" s="109" t="n"/>
      <c r="M90" s="109" t="n"/>
      <c r="N90" s="108" t="n"/>
      <c r="O90" s="113">
        <f>IF($C90="","",IF(COUNTIFS(UCRETLER!$B$7:$B$406,$B90,UCRETLER!$H$7:$H$406,"Aktif")&gt;0,"EVET","HAYIR"))</f>
        <v/>
      </c>
      <c r="P90" s="113">
        <f>IF($C90="","",IF($B90="","NO EKSİK",IF(COUNTIF($B$7:$B$106,$B90)&gt;1,"NO TEKRARI",IF(COUNTIF($C$7:$C$106,$C90)&gt;1,"UNVAN TEKRARI",IF($D90="","DURUM EKSİK",IF(AND($J90&gt;0,$K90=""),"DEVİR TARİHİ EKSİK","UYGUN"))))))</f>
        <v/>
      </c>
      <c r="Q90" s="6" t="n"/>
      <c r="R90" s="6" t="n"/>
      <c r="S90" s="3" t="n"/>
      <c r="T90" s="3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  <c r="U90" s="3">
        <f>IF($C90="","",COUNTIF($C$7:$C$106,"&lt;"&amp;$C90)+COUNTIF($C$7:$C90,$C90))</f>
        <v/>
      </c>
    </row>
    <row r="91">
      <c r="A91" s="6" t="n"/>
      <c r="B91" s="108" t="inlineStr">
        <is>
          <t>M085</t>
        </is>
      </c>
      <c r="C91" s="109" t="n"/>
      <c r="D91" s="108" t="n"/>
      <c r="E91" s="109" t="n"/>
      <c r="F91" s="109" t="n"/>
      <c r="G91" s="109" t="n"/>
      <c r="H91" s="108" t="n"/>
      <c r="I91" s="217" t="n"/>
      <c r="J91" s="218" t="n"/>
      <c r="K91" s="219" t="n"/>
      <c r="L91" s="109" t="n"/>
      <c r="M91" s="109" t="n"/>
      <c r="N91" s="108" t="n"/>
      <c r="O91" s="113">
        <f>IF($C91="","",IF(COUNTIFS(UCRETLER!$B$7:$B$406,$B91,UCRETLER!$H$7:$H$406,"Aktif")&gt;0,"EVET","HAYIR"))</f>
        <v/>
      </c>
      <c r="P91" s="113">
        <f>IF($C91="","",IF($B91="","NO EKSİK",IF(COUNTIF($B$7:$B$106,$B91)&gt;1,"NO TEKRARI",IF(COUNTIF($C$7:$C$106,$C91)&gt;1,"UNVAN TEKRARI",IF($D91="","DURUM EKSİK",IF(AND($J91&gt;0,$K91=""),"DEVİR TARİHİ EKSİK","UYGUN"))))))</f>
        <v/>
      </c>
      <c r="Q91" s="6" t="n"/>
      <c r="R91" s="6" t="n"/>
      <c r="S91" s="3" t="n"/>
      <c r="T91" s="3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  <c r="U91" s="3">
        <f>IF($C91="","",COUNTIF($C$7:$C$106,"&lt;"&amp;$C91)+COUNTIF($C$7:$C91,$C91))</f>
        <v/>
      </c>
    </row>
    <row r="92">
      <c r="A92" s="6" t="n"/>
      <c r="B92" s="108" t="inlineStr">
        <is>
          <t>M086</t>
        </is>
      </c>
      <c r="C92" s="109" t="n"/>
      <c r="D92" s="108" t="n"/>
      <c r="E92" s="109" t="n"/>
      <c r="F92" s="109" t="n"/>
      <c r="G92" s="109" t="n"/>
      <c r="H92" s="108" t="n"/>
      <c r="I92" s="217" t="n"/>
      <c r="J92" s="218" t="n"/>
      <c r="K92" s="219" t="n"/>
      <c r="L92" s="109" t="n"/>
      <c r="M92" s="109" t="n"/>
      <c r="N92" s="108" t="n"/>
      <c r="O92" s="113">
        <f>IF($C92="","",IF(COUNTIFS(UCRETLER!$B$7:$B$406,$B92,UCRETLER!$H$7:$H$406,"Aktif")&gt;0,"EVET","HAYIR"))</f>
        <v/>
      </c>
      <c r="P92" s="113">
        <f>IF($C92="","",IF($B92="","NO EKSİK",IF(COUNTIF($B$7:$B$106,$B92)&gt;1,"NO TEKRARI",IF(COUNTIF($C$7:$C$106,$C92)&gt;1,"UNVAN TEKRARI",IF($D92="","DURUM EKSİK",IF(AND($J92&gt;0,$K92=""),"DEVİR TARİHİ EKSİK","UYGUN"))))))</f>
        <v/>
      </c>
      <c r="Q92" s="6" t="n"/>
      <c r="R92" s="6" t="n"/>
      <c r="S92" s="3" t="n"/>
      <c r="T92" s="3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  <c r="U92" s="3">
        <f>IF($C92="","",COUNTIF($C$7:$C$106,"&lt;"&amp;$C92)+COUNTIF($C$7:$C92,$C92))</f>
        <v/>
      </c>
    </row>
    <row r="93">
      <c r="A93" s="6" t="n"/>
      <c r="B93" s="108" t="inlineStr">
        <is>
          <t>M087</t>
        </is>
      </c>
      <c r="C93" s="109" t="n"/>
      <c r="D93" s="108" t="n"/>
      <c r="E93" s="109" t="n"/>
      <c r="F93" s="109" t="n"/>
      <c r="G93" s="109" t="n"/>
      <c r="H93" s="108" t="n"/>
      <c r="I93" s="217" t="n"/>
      <c r="J93" s="218" t="n"/>
      <c r="K93" s="219" t="n"/>
      <c r="L93" s="109" t="n"/>
      <c r="M93" s="109" t="n"/>
      <c r="N93" s="108" t="n"/>
      <c r="O93" s="113">
        <f>IF($C93="","",IF(COUNTIFS(UCRETLER!$B$7:$B$406,$B93,UCRETLER!$H$7:$H$406,"Aktif")&gt;0,"EVET","HAYIR"))</f>
        <v/>
      </c>
      <c r="P93" s="113">
        <f>IF($C93="","",IF($B93="","NO EKSİK",IF(COUNTIF($B$7:$B$106,$B93)&gt;1,"NO TEKRARI",IF(COUNTIF($C$7:$C$106,$C93)&gt;1,"UNVAN TEKRARI",IF($D93="","DURUM EKSİK",IF(AND($J93&gt;0,$K93=""),"DEVİR TARİHİ EKSİK","UYGUN"))))))</f>
        <v/>
      </c>
      <c r="Q93" s="6" t="n"/>
      <c r="R93" s="6" t="n"/>
      <c r="S93" s="3" t="n"/>
      <c r="T93" s="3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  <c r="U93" s="3">
        <f>IF($C93="","",COUNTIF($C$7:$C$106,"&lt;"&amp;$C93)+COUNTIF($C$7:$C93,$C93))</f>
        <v/>
      </c>
    </row>
    <row r="94">
      <c r="A94" s="6" t="n"/>
      <c r="B94" s="108" t="inlineStr">
        <is>
          <t>M088</t>
        </is>
      </c>
      <c r="C94" s="109" t="n"/>
      <c r="D94" s="108" t="n"/>
      <c r="E94" s="109" t="n"/>
      <c r="F94" s="109" t="n"/>
      <c r="G94" s="109" t="n"/>
      <c r="H94" s="108" t="n"/>
      <c r="I94" s="217" t="n"/>
      <c r="J94" s="218" t="n"/>
      <c r="K94" s="219" t="n"/>
      <c r="L94" s="109" t="n"/>
      <c r="M94" s="109" t="n"/>
      <c r="N94" s="108" t="n"/>
      <c r="O94" s="113">
        <f>IF($C94="","",IF(COUNTIFS(UCRETLER!$B$7:$B$406,$B94,UCRETLER!$H$7:$H$406,"Aktif")&gt;0,"EVET","HAYIR"))</f>
        <v/>
      </c>
      <c r="P94" s="113">
        <f>IF($C94="","",IF($B94="","NO EKSİK",IF(COUNTIF($B$7:$B$106,$B94)&gt;1,"NO TEKRARI",IF(COUNTIF($C$7:$C$106,$C94)&gt;1,"UNVAN TEKRARI",IF($D94="","DURUM EKSİK",IF(AND($J94&gt;0,$K94=""),"DEVİR TARİHİ EKSİK","UYGUN"))))))</f>
        <v/>
      </c>
      <c r="Q94" s="6" t="n"/>
      <c r="R94" s="6" t="n"/>
      <c r="S94" s="3" t="n"/>
      <c r="T94" s="3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  <c r="U94" s="3">
        <f>IF($C94="","",COUNTIF($C$7:$C$106,"&lt;"&amp;$C94)+COUNTIF($C$7:$C94,$C94))</f>
        <v/>
      </c>
    </row>
    <row r="95">
      <c r="A95" s="6" t="n"/>
      <c r="B95" s="108" t="inlineStr">
        <is>
          <t>M089</t>
        </is>
      </c>
      <c r="C95" s="109" t="n"/>
      <c r="D95" s="108" t="n"/>
      <c r="E95" s="109" t="n"/>
      <c r="F95" s="109" t="n"/>
      <c r="G95" s="109" t="n"/>
      <c r="H95" s="108" t="n"/>
      <c r="I95" s="217" t="n"/>
      <c r="J95" s="218" t="n"/>
      <c r="K95" s="219" t="n"/>
      <c r="L95" s="109" t="n"/>
      <c r="M95" s="109" t="n"/>
      <c r="N95" s="108" t="n"/>
      <c r="O95" s="113">
        <f>IF($C95="","",IF(COUNTIFS(UCRETLER!$B$7:$B$406,$B95,UCRETLER!$H$7:$H$406,"Aktif")&gt;0,"EVET","HAYIR"))</f>
        <v/>
      </c>
      <c r="P95" s="113">
        <f>IF($C95="","",IF($B95="","NO EKSİK",IF(COUNTIF($B$7:$B$106,$B95)&gt;1,"NO TEKRARI",IF(COUNTIF($C$7:$C$106,$C95)&gt;1,"UNVAN TEKRARI",IF($D95="","DURUM EKSİK",IF(AND($J95&gt;0,$K95=""),"DEVİR TARİHİ EKSİK","UYGUN"))))))</f>
        <v/>
      </c>
      <c r="Q95" s="6" t="n"/>
      <c r="R95" s="6" t="n"/>
      <c r="S95" s="3" t="n"/>
      <c r="T95" s="3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  <c r="U95" s="3">
        <f>IF($C95="","",COUNTIF($C$7:$C$106,"&lt;"&amp;$C95)+COUNTIF($C$7:$C95,$C95))</f>
        <v/>
      </c>
    </row>
    <row r="96">
      <c r="A96" s="6" t="n"/>
      <c r="B96" s="108" t="inlineStr">
        <is>
          <t>M090</t>
        </is>
      </c>
      <c r="C96" s="109" t="n"/>
      <c r="D96" s="108" t="n"/>
      <c r="E96" s="109" t="n"/>
      <c r="F96" s="109" t="n"/>
      <c r="G96" s="109" t="n"/>
      <c r="H96" s="108" t="n"/>
      <c r="I96" s="217" t="n"/>
      <c r="J96" s="218" t="n"/>
      <c r="K96" s="219" t="n"/>
      <c r="L96" s="109" t="n"/>
      <c r="M96" s="109" t="n"/>
      <c r="N96" s="108" t="n"/>
      <c r="O96" s="113">
        <f>IF($C96="","",IF(COUNTIFS(UCRETLER!$B$7:$B$406,$B96,UCRETLER!$H$7:$H$406,"Aktif")&gt;0,"EVET","HAYIR"))</f>
        <v/>
      </c>
      <c r="P96" s="113">
        <f>IF($C96="","",IF($B96="","NO EKSİK",IF(COUNTIF($B$7:$B$106,$B96)&gt;1,"NO TEKRARI",IF(COUNTIF($C$7:$C$106,$C96)&gt;1,"UNVAN TEKRARI",IF($D96="","DURUM EKSİK",IF(AND($J96&gt;0,$K96=""),"DEVİR TARİHİ EKSİK","UYGUN"))))))</f>
        <v/>
      </c>
      <c r="Q96" s="6" t="n"/>
      <c r="R96" s="6" t="n"/>
      <c r="S96" s="3" t="n"/>
      <c r="T96" s="3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  <c r="U96" s="3">
        <f>IF($C96="","",COUNTIF($C$7:$C$106,"&lt;"&amp;$C96)+COUNTIF($C$7:$C96,$C96))</f>
        <v/>
      </c>
    </row>
    <row r="97">
      <c r="A97" s="6" t="n"/>
      <c r="B97" s="108" t="inlineStr">
        <is>
          <t>M091</t>
        </is>
      </c>
      <c r="C97" s="109" t="n"/>
      <c r="D97" s="108" t="n"/>
      <c r="E97" s="109" t="n"/>
      <c r="F97" s="109" t="n"/>
      <c r="G97" s="109" t="n"/>
      <c r="H97" s="108" t="n"/>
      <c r="I97" s="217" t="n"/>
      <c r="J97" s="218" t="n"/>
      <c r="K97" s="219" t="n"/>
      <c r="L97" s="109" t="n"/>
      <c r="M97" s="109" t="n"/>
      <c r="N97" s="108" t="n"/>
      <c r="O97" s="113">
        <f>IF($C97="","",IF(COUNTIFS(UCRETLER!$B$7:$B$406,$B97,UCRETLER!$H$7:$H$406,"Aktif")&gt;0,"EVET","HAYIR"))</f>
        <v/>
      </c>
      <c r="P97" s="113">
        <f>IF($C97="","",IF($B97="","NO EKSİK",IF(COUNTIF($B$7:$B$106,$B97)&gt;1,"NO TEKRARI",IF(COUNTIF($C$7:$C$106,$C97)&gt;1,"UNVAN TEKRARI",IF($D97="","DURUM EKSİK",IF(AND($J97&gt;0,$K97=""),"DEVİR TARİHİ EKSİK","UYGUN"))))))</f>
        <v/>
      </c>
      <c r="Q97" s="6" t="n"/>
      <c r="R97" s="6" t="n"/>
      <c r="S97" s="3" t="n"/>
      <c r="T97" s="3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  <c r="U97" s="3">
        <f>IF($C97="","",COUNTIF($C$7:$C$106,"&lt;"&amp;$C97)+COUNTIF($C$7:$C97,$C97))</f>
        <v/>
      </c>
    </row>
    <row r="98">
      <c r="A98" s="6" t="n"/>
      <c r="B98" s="108" t="inlineStr">
        <is>
          <t>M092</t>
        </is>
      </c>
      <c r="C98" s="109" t="n"/>
      <c r="D98" s="108" t="n"/>
      <c r="E98" s="109" t="n"/>
      <c r="F98" s="109" t="n"/>
      <c r="G98" s="109" t="n"/>
      <c r="H98" s="108" t="n"/>
      <c r="I98" s="217" t="n"/>
      <c r="J98" s="218" t="n"/>
      <c r="K98" s="219" t="n"/>
      <c r="L98" s="109" t="n"/>
      <c r="M98" s="109" t="n"/>
      <c r="N98" s="108" t="n"/>
      <c r="O98" s="113">
        <f>IF($C98="","",IF(COUNTIFS(UCRETLER!$B$7:$B$406,$B98,UCRETLER!$H$7:$H$406,"Aktif")&gt;0,"EVET","HAYIR"))</f>
        <v/>
      </c>
      <c r="P98" s="113">
        <f>IF($C98="","",IF($B98="","NO EKSİK",IF(COUNTIF($B$7:$B$106,$B98)&gt;1,"NO TEKRARI",IF(COUNTIF($C$7:$C$106,$C98)&gt;1,"UNVAN TEKRARI",IF($D98="","DURUM EKSİK",IF(AND($J98&gt;0,$K98=""),"DEVİR TARİHİ EKSİK","UYGUN"))))))</f>
        <v/>
      </c>
      <c r="Q98" s="6" t="n"/>
      <c r="R98" s="6" t="n"/>
      <c r="S98" s="3" t="n"/>
      <c r="T98" s="3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  <c r="U98" s="3">
        <f>IF($C98="","",COUNTIF($C$7:$C$106,"&lt;"&amp;$C98)+COUNTIF($C$7:$C98,$C98))</f>
        <v/>
      </c>
    </row>
    <row r="99">
      <c r="A99" s="6" t="n"/>
      <c r="B99" s="108" t="inlineStr">
        <is>
          <t>M093</t>
        </is>
      </c>
      <c r="C99" s="109" t="n"/>
      <c r="D99" s="108" t="n"/>
      <c r="E99" s="109" t="n"/>
      <c r="F99" s="109" t="n"/>
      <c r="G99" s="109" t="n"/>
      <c r="H99" s="108" t="n"/>
      <c r="I99" s="217" t="n"/>
      <c r="J99" s="218" t="n"/>
      <c r="K99" s="219" t="n"/>
      <c r="L99" s="109" t="n"/>
      <c r="M99" s="109" t="n"/>
      <c r="N99" s="108" t="n"/>
      <c r="O99" s="113">
        <f>IF($C99="","",IF(COUNTIFS(UCRETLER!$B$7:$B$406,$B99,UCRETLER!$H$7:$H$406,"Aktif")&gt;0,"EVET","HAYIR"))</f>
        <v/>
      </c>
      <c r="P99" s="113">
        <f>IF($C99="","",IF($B99="","NO EKSİK",IF(COUNTIF($B$7:$B$106,$B99)&gt;1,"NO TEKRARI",IF(COUNTIF($C$7:$C$106,$C99)&gt;1,"UNVAN TEKRARI",IF($D99="","DURUM EKSİK",IF(AND($J99&gt;0,$K99=""),"DEVİR TARİHİ EKSİK","UYGUN"))))))</f>
        <v/>
      </c>
      <c r="Q99" s="6" t="n"/>
      <c r="R99" s="6" t="n"/>
      <c r="S99" s="3" t="n"/>
      <c r="T99" s="3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  <c r="U99" s="3">
        <f>IF($C99="","",COUNTIF($C$7:$C$106,"&lt;"&amp;$C99)+COUNTIF($C$7:$C99,$C99))</f>
        <v/>
      </c>
    </row>
    <row r="100">
      <c r="A100" s="6" t="n"/>
      <c r="B100" s="108" t="inlineStr">
        <is>
          <t>M094</t>
        </is>
      </c>
      <c r="C100" s="109" t="n"/>
      <c r="D100" s="108" t="n"/>
      <c r="E100" s="109" t="n"/>
      <c r="F100" s="109" t="n"/>
      <c r="G100" s="109" t="n"/>
      <c r="H100" s="108" t="n"/>
      <c r="I100" s="217" t="n"/>
      <c r="J100" s="218" t="n"/>
      <c r="K100" s="219" t="n"/>
      <c r="L100" s="109" t="n"/>
      <c r="M100" s="109" t="n"/>
      <c r="N100" s="108" t="n"/>
      <c r="O100" s="113">
        <f>IF($C100="","",IF(COUNTIFS(UCRETLER!$B$7:$B$406,$B100,UCRETLER!$H$7:$H$406,"Aktif")&gt;0,"EVET","HAYIR"))</f>
        <v/>
      </c>
      <c r="P100" s="113">
        <f>IF($C100="","",IF($B100="","NO EKSİK",IF(COUNTIF($B$7:$B$106,$B100)&gt;1,"NO TEKRARI",IF(COUNTIF($C$7:$C$106,$C100)&gt;1,"UNVAN TEKRARI",IF($D100="","DURUM EKSİK",IF(AND($J100&gt;0,$K100=""),"DEVİR TARİHİ EKSİK","UYGUN"))))))</f>
        <v/>
      </c>
      <c r="Q100" s="6" t="n"/>
      <c r="R100" s="6" t="n"/>
      <c r="S100" s="3" t="n"/>
      <c r="T100" s="3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  <c r="U100" s="3">
        <f>IF($C100="","",COUNTIF($C$7:$C$106,"&lt;"&amp;$C100)+COUNTIF($C$7:$C100,$C100))</f>
        <v/>
      </c>
    </row>
    <row r="101">
      <c r="A101" s="6" t="n"/>
      <c r="B101" s="108" t="inlineStr">
        <is>
          <t>M095</t>
        </is>
      </c>
      <c r="C101" s="109" t="n"/>
      <c r="D101" s="108" t="n"/>
      <c r="E101" s="109" t="n"/>
      <c r="F101" s="109" t="n"/>
      <c r="G101" s="109" t="n"/>
      <c r="H101" s="108" t="n"/>
      <c r="I101" s="217" t="n"/>
      <c r="J101" s="218" t="n"/>
      <c r="K101" s="219" t="n"/>
      <c r="L101" s="109" t="n"/>
      <c r="M101" s="109" t="n"/>
      <c r="N101" s="108" t="n"/>
      <c r="O101" s="113">
        <f>IF($C101="","",IF(COUNTIFS(UCRETLER!$B$7:$B$406,$B101,UCRETLER!$H$7:$H$406,"Aktif")&gt;0,"EVET","HAYIR"))</f>
        <v/>
      </c>
      <c r="P101" s="113">
        <f>IF($C101="","",IF($B101="","NO EKSİK",IF(COUNTIF($B$7:$B$106,$B101)&gt;1,"NO TEKRARI",IF(COUNTIF($C$7:$C$106,$C101)&gt;1,"UNVAN TEKRARI",IF($D101="","DURUM EKSİK",IF(AND($J101&gt;0,$K101=""),"DEVİR TARİHİ EKSİK","UYGUN"))))))</f>
        <v/>
      </c>
      <c r="Q101" s="6" t="n"/>
      <c r="R101" s="6" t="n"/>
      <c r="S101" s="3" t="n"/>
      <c r="T101" s="3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  <c r="U101" s="3">
        <f>IF($C101="","",COUNTIF($C$7:$C$106,"&lt;"&amp;$C101)+COUNTIF($C$7:$C101,$C101))</f>
        <v/>
      </c>
    </row>
    <row r="102">
      <c r="A102" s="6" t="n"/>
      <c r="B102" s="108" t="inlineStr">
        <is>
          <t>M096</t>
        </is>
      </c>
      <c r="C102" s="109" t="n"/>
      <c r="D102" s="108" t="n"/>
      <c r="E102" s="109" t="n"/>
      <c r="F102" s="109" t="n"/>
      <c r="G102" s="109" t="n"/>
      <c r="H102" s="108" t="n"/>
      <c r="I102" s="217" t="n"/>
      <c r="J102" s="218" t="n"/>
      <c r="K102" s="219" t="n"/>
      <c r="L102" s="109" t="n"/>
      <c r="M102" s="109" t="n"/>
      <c r="N102" s="108" t="n"/>
      <c r="O102" s="113">
        <f>IF($C102="","",IF(COUNTIFS(UCRETLER!$B$7:$B$406,$B102,UCRETLER!$H$7:$H$406,"Aktif")&gt;0,"EVET","HAYIR"))</f>
        <v/>
      </c>
      <c r="P102" s="113">
        <f>IF($C102="","",IF($B102="","NO EKSİK",IF(COUNTIF($B$7:$B$106,$B102)&gt;1,"NO TEKRARI",IF(COUNTIF($C$7:$C$106,$C102)&gt;1,"UNVAN TEKRARI",IF($D102="","DURUM EKSİK",IF(AND($J102&gt;0,$K102=""),"DEVİR TARİHİ EKSİK","UYGUN"))))))</f>
        <v/>
      </c>
      <c r="Q102" s="6" t="n"/>
      <c r="R102" s="6" t="n"/>
      <c r="S102" s="3" t="n"/>
      <c r="T102" s="3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  <c r="U102" s="3">
        <f>IF($C102="","",COUNTIF($C$7:$C$106,"&lt;"&amp;$C102)+COUNTIF($C$7:$C102,$C102))</f>
        <v/>
      </c>
    </row>
    <row r="103">
      <c r="A103" s="6" t="n"/>
      <c r="B103" s="108" t="inlineStr">
        <is>
          <t>M097</t>
        </is>
      </c>
      <c r="C103" s="109" t="n"/>
      <c r="D103" s="108" t="n"/>
      <c r="E103" s="109" t="n"/>
      <c r="F103" s="109" t="n"/>
      <c r="G103" s="109" t="n"/>
      <c r="H103" s="108" t="n"/>
      <c r="I103" s="217" t="n"/>
      <c r="J103" s="218" t="n"/>
      <c r="K103" s="219" t="n"/>
      <c r="L103" s="109" t="n"/>
      <c r="M103" s="109" t="n"/>
      <c r="N103" s="108" t="n"/>
      <c r="O103" s="113">
        <f>IF($C103="","",IF(COUNTIFS(UCRETLER!$B$7:$B$406,$B103,UCRETLER!$H$7:$H$406,"Aktif")&gt;0,"EVET","HAYIR"))</f>
        <v/>
      </c>
      <c r="P103" s="113">
        <f>IF($C103="","",IF($B103="","NO EKSİK",IF(COUNTIF($B$7:$B$106,$B103)&gt;1,"NO TEKRARI",IF(COUNTIF($C$7:$C$106,$C103)&gt;1,"UNVAN TEKRARI",IF($D103="","DURUM EKSİK",IF(AND($J103&gt;0,$K103=""),"DEVİR TARİHİ EKSİK","UYGUN"))))))</f>
        <v/>
      </c>
      <c r="Q103" s="6" t="n"/>
      <c r="R103" s="6" t="n"/>
      <c r="S103" s="3" t="n"/>
      <c r="T103" s="3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  <c r="U103" s="3">
        <f>IF($C103="","",COUNTIF($C$7:$C$106,"&lt;"&amp;$C103)+COUNTIF($C$7:$C103,$C103))</f>
        <v/>
      </c>
    </row>
    <row r="104">
      <c r="A104" s="6" t="n"/>
      <c r="B104" s="108" t="inlineStr">
        <is>
          <t>M098</t>
        </is>
      </c>
      <c r="C104" s="109" t="n"/>
      <c r="D104" s="108" t="n"/>
      <c r="E104" s="109" t="n"/>
      <c r="F104" s="109" t="n"/>
      <c r="G104" s="109" t="n"/>
      <c r="H104" s="108" t="n"/>
      <c r="I104" s="217" t="n"/>
      <c r="J104" s="218" t="n"/>
      <c r="K104" s="219" t="n"/>
      <c r="L104" s="109" t="n"/>
      <c r="M104" s="109" t="n"/>
      <c r="N104" s="108" t="n"/>
      <c r="O104" s="113">
        <f>IF($C104="","",IF(COUNTIFS(UCRETLER!$B$7:$B$406,$B104,UCRETLER!$H$7:$H$406,"Aktif")&gt;0,"EVET","HAYIR"))</f>
        <v/>
      </c>
      <c r="P104" s="113">
        <f>IF($C104="","",IF($B104="","NO EKSİK",IF(COUNTIF($B$7:$B$106,$B104)&gt;1,"NO TEKRARI",IF(COUNTIF($C$7:$C$106,$C104)&gt;1,"UNVAN TEKRARI",IF($D104="","DURUM EKSİK",IF(AND($J104&gt;0,$K104=""),"DEVİR TARİHİ EKSİK","UYGUN"))))))</f>
        <v/>
      </c>
      <c r="Q104" s="6" t="n"/>
      <c r="R104" s="6" t="n"/>
      <c r="S104" s="3" t="n"/>
      <c r="T104" s="3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  <c r="U104" s="3">
        <f>IF($C104="","",COUNTIF($C$7:$C$106,"&lt;"&amp;$C104)+COUNTIF($C$7:$C104,$C104))</f>
        <v/>
      </c>
    </row>
    <row r="105">
      <c r="A105" s="6" t="n"/>
      <c r="B105" s="108" t="inlineStr">
        <is>
          <t>M099</t>
        </is>
      </c>
      <c r="C105" s="109" t="n"/>
      <c r="D105" s="108" t="n"/>
      <c r="E105" s="109" t="n"/>
      <c r="F105" s="109" t="n"/>
      <c r="G105" s="109" t="n"/>
      <c r="H105" s="108" t="n"/>
      <c r="I105" s="217" t="n"/>
      <c r="J105" s="218" t="n"/>
      <c r="K105" s="219" t="n"/>
      <c r="L105" s="109" t="n"/>
      <c r="M105" s="109" t="n"/>
      <c r="N105" s="108" t="n"/>
      <c r="O105" s="113">
        <f>IF($C105="","",IF(COUNTIFS(UCRETLER!$B$7:$B$406,$B105,UCRETLER!$H$7:$H$406,"Aktif")&gt;0,"EVET","HAYIR"))</f>
        <v/>
      </c>
      <c r="P105" s="113">
        <f>IF($C105="","",IF($B105="","NO EKSİK",IF(COUNTIF($B$7:$B$106,$B105)&gt;1,"NO TEKRARI",IF(COUNTIF($C$7:$C$106,$C105)&gt;1,"UNVAN TEKRARI",IF($D105="","DURUM EKSİK",IF(AND($J105&gt;0,$K105=""),"DEVİR TARİHİ EKSİK","UYGUN"))))))</f>
        <v/>
      </c>
      <c r="Q105" s="6" t="n"/>
      <c r="R105" s="6" t="n"/>
      <c r="S105" s="3" t="n"/>
      <c r="T105" s="3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  <c r="U105" s="3">
        <f>IF($C105="","",COUNTIF($C$7:$C$106,"&lt;"&amp;$C105)+COUNTIF($C$7:$C105,$C105))</f>
        <v/>
      </c>
    </row>
    <row r="106">
      <c r="A106" s="6" t="n"/>
      <c r="B106" s="108" t="inlineStr">
        <is>
          <t>M100</t>
        </is>
      </c>
      <c r="C106" s="109" t="n"/>
      <c r="D106" s="108" t="n"/>
      <c r="E106" s="109" t="n"/>
      <c r="F106" s="109" t="n"/>
      <c r="G106" s="109" t="n"/>
      <c r="H106" s="108" t="n"/>
      <c r="I106" s="217" t="n"/>
      <c r="J106" s="218" t="n"/>
      <c r="K106" s="219" t="n"/>
      <c r="L106" s="109" t="n"/>
      <c r="M106" s="109" t="n"/>
      <c r="N106" s="108" t="n"/>
      <c r="O106" s="113">
        <f>IF($C106="","",IF(COUNTIFS(UCRETLER!$B$7:$B$406,$B106,UCRETLER!$H$7:$H$406,"Aktif")&gt;0,"EVET","HAYIR"))</f>
        <v/>
      </c>
      <c r="P106" s="113">
        <f>IF($C106="","",IF($B106="","NO EKSİK",IF(COUNTIF($B$7:$B$106,$B106)&gt;1,"NO TEKRARI",IF(COUNTIF($C$7:$C$106,$C106)&gt;1,"UNVAN TEKRARI",IF($D106="","DURUM EKSİK",IF(AND($J106&gt;0,$K106=""),"DEVİR TARİHİ EKSİK","UYGUN"))))))</f>
        <v/>
      </c>
      <c r="Q106" s="6" t="n"/>
      <c r="R106" s="6" t="n"/>
      <c r="S106" s="3" t="n"/>
      <c r="T106" s="3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  <c r="U106" s="3">
        <f>IF($C106="","",COUNTIF($C$7:$C$106,"&lt;"&amp;$C106)+COUNTIF($C$7:$C106,$C106))</f>
        <v/>
      </c>
    </row>
    <row r="107">
      <c r="A107" s="6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6" t="n"/>
      <c r="R107" s="6" t="n"/>
      <c r="S107" s="3" t="n"/>
      <c r="T107" s="3" t="n"/>
      <c r="U107" s="3" t="n"/>
    </row>
    <row r="108">
      <c r="A108" s="6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6" t="n"/>
      <c r="R108" s="6" t="n"/>
      <c r="S108" s="3" t="n"/>
      <c r="T108" s="3" t="n"/>
      <c r="U1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106"/>
  <mergeCells count="2">
    <mergeCell ref="A1:P1"/>
    <mergeCell ref="A2:P2"/>
  </mergeCells>
  <conditionalFormatting sqref="P7:P106">
    <cfRule type="expression" priority="1" dxfId="3" stopIfTrue="1">
      <formula>EXACT($P7,"UYGUN")</formula>
    </cfRule>
    <cfRule type="expression" priority="2" dxfId="4" stopIfTrue="1">
      <formula>EXACT($P7,"DURUM EKSİK")</formula>
    </cfRule>
    <cfRule type="expression" priority="3" dxfId="4" stopIfTrue="1">
      <formula>EXACT($P7,"NO EKSİK")</formula>
    </cfRule>
    <cfRule type="expression" priority="4" dxfId="5" stopIfTrue="1">
      <formula>EXACT($P7,"NO TEKRARI")</formula>
    </cfRule>
    <cfRule type="expression" priority="5" dxfId="5" stopIfTrue="1">
      <formula>EXACT($P7,"UNVAN TEKRARI")</formula>
    </cfRule>
    <cfRule type="expression" priority="6" dxfId="4" stopIfTrue="1">
      <formula>EXACT($P7,"DEVİR TARİHİ EKSİK")</formula>
    </cfRule>
  </conditionalFormatting>
  <conditionalFormatting sqref="O7:O106">
    <cfRule type="expression" priority="7" dxfId="3" stopIfTrue="1">
      <formula>EXACT($O7,"EVET")</formula>
    </cfRule>
    <cfRule type="expression" priority="8" dxfId="4" stopIfTrue="1">
      <formula>EXACT($O7,"HAYIR")</formula>
    </cfRule>
  </conditionalFormatting>
  <dataValidations count="3">
    <dataValidation sqref="D7:D106" showDropDown="0" showInputMessage="0" showErrorMessage="1" allowBlank="1" errorTitle="Geçersiz durum" error="Listeden seçin." promptTitle="Geçersiz durum" prompt="Listeden seçin." type="list">
      <formula1>"Aktif,Beklemede,Pasif"</formula1>
    </dataValidation>
    <dataValidation sqref="H7:H106" showDropDown="0" showInputMessage="0" showErrorMessage="1" allowBlank="1" errorTitle="Geçersiz ödeme şekli" error="Listeden seçin." promptTitle="Geçersiz ödeme şekli" prompt="Listeden seçin." type="list">
      <formula1>"Nakit,Havale/EFT,Kredi Kartı,Çek,Mahsup"</formula1>
    </dataValidation>
    <dataValidation sqref="N7:N106" showDropDown="0" showInputMessage="0" showErrorMessage="1" allowBlank="1" errorTitle="Geçersiz değer" error="Listeden seçin." promptTitle="Geçersiz değer" prompt="Listeden seçin." type="list">
      <formula1>"Doğrulandı,Eksik,Ücret doğrulanmalı"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6A4C93"/>
    <outlinePr summaryBelow="1" summaryRight="1"/>
    <pageSetUpPr fitToPage="1"/>
  </sheetPr>
  <dimension ref="A1:T4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6" customWidth="1" min="4" max="4"/>
    <col width="16" customWidth="1" min="5" max="5"/>
    <col width="15" customWidth="1" min="6" max="6"/>
    <col width="15" customWidth="1" min="7" max="7"/>
    <col width="13" customWidth="1" min="8" max="8"/>
    <col width="16" customWidth="1" min="9" max="9"/>
    <col width="15" customWidth="1" min="10" max="10"/>
    <col width="15" customWidth="1" min="11" max="11"/>
    <col width="15" customWidth="1" min="12" max="12"/>
    <col width="13" customWidth="1" min="13" max="13"/>
    <col width="17" customWidth="1" min="14" max="14"/>
    <col width="15" customWidth="1" min="15" max="15"/>
    <col width="26" customWidth="1" min="16" max="16"/>
    <col width="2.4" customWidth="1" min="17" max="17"/>
    <col width="2.4" customWidth="1" min="18" max="18"/>
    <col hidden="1" width="13" customWidth="1" min="19" max="19"/>
    <col hidden="1" width="13" customWidth="1" min="20" max="20"/>
  </cols>
  <sheetData>
    <row r="1" ht="38" customHeight="1">
      <c r="A1" s="1" t="inlineStr">
        <is>
          <t>KILIÇ MUHASEBE   │   ÜCRET DÖNEMLERİ  │  HAFTALIK VE AYLIK TAHAKKUK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45" t="n"/>
      <c r="R1" s="45" t="n"/>
      <c r="S1" s="3" t="n"/>
      <c r="T1" s="3" t="n"/>
    </row>
    <row r="2" ht="22" customHeight="1">
      <c r="A2" s="4" t="inlineStr">
        <is>
          <t>Ücret değişinde eski dönemi kapat, yeni satır aç │ Geçmiş tahakkuk asla bozulmaz</t>
        </is>
      </c>
      <c r="Q2" s="46" t="n"/>
      <c r="R2" s="46" t="n"/>
      <c r="S2" s="3" t="n"/>
      <c r="T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3" t="n"/>
      <c r="T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HYPERLINK("#MUSTERILER!A1","Müşteriler")</f>
        <v/>
      </c>
      <c r="E4" s="6" t="n"/>
      <c r="F4" s="99">
        <f>HYPERLINK("#MUSTERI_360!A1","Müşteri 360")</f>
        <v/>
      </c>
      <c r="G4" s="6" t="n"/>
      <c r="H4" s="100" t="inlineStr">
        <is>
          <t>Sarı hücreler veri girişidir. Beyaz hücreler sistem tarafından hesaplanır ve kilitlidir. Başlangıç tarihi serbesttir: haftalık modelde ilk tahakkuk bu tarihten sonraki ilk tahakkuk gününde, aylık modelde ayın son gününde oluşur.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3" t="n"/>
      <c r="T4" s="3" t="n"/>
    </row>
    <row r="5" ht="26" customHeight="1">
      <c r="A5" s="6" t="n"/>
      <c r="B5" s="101" t="n"/>
      <c r="C5" s="102" t="inlineStr">
        <is>
          <t>TOPLAM  │  Aktif haftalık + aylık tahakkuk ve oluşan ücret</t>
        </is>
      </c>
      <c r="D5" s="101" t="n"/>
      <c r="E5" s="101" t="n"/>
      <c r="F5" s="101" t="n"/>
      <c r="G5" s="216">
        <f>SUMIFS($G$7:$G$406,$H$7:$H$406,"Aktif")</f>
        <v/>
      </c>
      <c r="H5" s="101" t="n"/>
      <c r="I5" s="216">
        <f>SUM($I$7:$I$406)</f>
        <v/>
      </c>
      <c r="J5" s="101" t="n"/>
      <c r="K5" s="101" t="n"/>
      <c r="L5" s="101" t="n"/>
      <c r="M5" s="101" t="n"/>
      <c r="N5" s="101" t="n"/>
      <c r="O5" s="101" t="n"/>
      <c r="P5" s="101" t="n"/>
      <c r="Q5" s="6" t="n"/>
      <c r="R5" s="6" t="n"/>
      <c r="S5" s="3" t="n"/>
      <c r="T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  (yazın veya seçin)</t>
        </is>
      </c>
      <c r="D6" s="105" t="inlineStr">
        <is>
          <t>Ücret Başlangıç Tarihi</t>
        </is>
      </c>
      <c r="E6" s="105" t="inlineStr">
        <is>
          <t>Ücret Bitiş Tarihi</t>
        </is>
      </c>
      <c r="F6" s="105" t="inlineStr">
        <is>
          <t>Tahakkuk Modeli</t>
        </is>
      </c>
      <c r="G6" s="107" t="inlineStr">
        <is>
          <t>Ücret Tutarı</t>
        </is>
      </c>
      <c r="H6" s="105" t="inlineStr">
        <is>
          <t>Dönem Durumu</t>
        </is>
      </c>
      <c r="I6" s="107" t="inlineStr">
        <is>
          <t>Bugüne Kadar Oluşan</t>
        </is>
      </c>
      <c r="J6" s="107" t="inlineStr">
        <is>
          <t>8 Gün Öncesine Kadar</t>
        </is>
      </c>
      <c r="K6" s="107" t="inlineStr">
        <is>
          <t>15 Gün Öncesine Kadar</t>
        </is>
      </c>
      <c r="L6" s="107" t="inlineStr">
        <is>
          <t>29 Gün Öncesine Kadar</t>
        </is>
      </c>
      <c r="M6" s="105" t="inlineStr">
        <is>
          <t>Oluşan Dönem</t>
        </is>
      </c>
      <c r="N6" s="105" t="inlineStr">
        <is>
          <t>Sistem Kontrolü</t>
        </is>
      </c>
      <c r="O6" s="105" t="inlineStr">
        <is>
          <t>İlk Tahakkuk Tarihi</t>
        </is>
      </c>
      <c r="P6" s="106" t="inlineStr">
        <is>
          <t>Not</t>
        </is>
      </c>
      <c r="Q6" s="6" t="n"/>
      <c r="R6" s="6" t="n"/>
      <c r="S6" s="3" t="n"/>
      <c r="T6" s="3" t="n"/>
    </row>
    <row r="7">
      <c r="A7" s="6" t="n"/>
      <c r="B7" s="113">
        <f>IF($C7="","",IFERROR(INDEX(MUSTERILER!$B$7:$B$106,MATCH($T7,MUSTERILER!$T$7:$T$106,0)),IFERROR(INDEX(MUSTERILER!$B$7:$B$106,MATCH($C7,MUSTERILER!$B$7:$B$106,0)),IFERROR(INDEX(MUSTERILER!$B$7:$B$106,MATCH($T7&amp;"*",MUSTERILER!$T$7:$T$106,0)),"TANIMSIZ MÜŞTERİ"))))</f>
        <v/>
      </c>
      <c r="C7" s="109" t="inlineStr">
        <is>
          <t>AC OTEL LTD.ŞTİ.</t>
        </is>
      </c>
      <c r="D7" s="220" t="n">
        <v>46023</v>
      </c>
      <c r="E7" s="220" t="n"/>
      <c r="F7" s="108" t="inlineStr">
        <is>
          <t>Aylık</t>
        </is>
      </c>
      <c r="G7" s="221" t="n">
        <v>4000</v>
      </c>
      <c r="H7" s="108" t="inlineStr">
        <is>
          <t>Aktif</t>
        </is>
      </c>
      <c r="I7" s="222">
        <f>IF(OR($C7="",$D7="",$G7="",$F7=""),0,$G7*IF($F7="Aylık",MAX(0,(YEAR(MIN(IF($E7="",TODAY(),$E7),TODAY()))-YEAR($D7))*12+MONTH(MIN(IF($E7="",TODAY(),$E7),TODAY()))-MONTH($D7)+IF(MIN(IF($E7="",TODAY(),$E7),TODAY())&gt;=EOMONTH(MIN(IF($E7="",TODAY(),$E7),TODAY()),0),1,0)),MAX(0,INT((MIN(IF($E7="",TODAY(),$E7),TODAY())-($D7+MOD(SISTEM!$F$8-WEEKDAY($D7,2),7)))/7)+1)))</f>
        <v/>
      </c>
      <c r="J7" s="222">
        <f>IF(OR($C7="",$D7="",$G7="",$F7=""),0,$G7*IF($F7="Aylık",MAX(0,(YEAR(MIN(IF($E7="",TODAY()-8,$E7),TODAY()-8))-YEAR($D7))*12+MONTH(MIN(IF($E7="",TODAY()-8,$E7),TODAY()-8))-MONTH($D7)+IF(MIN(IF($E7="",TODAY()-8,$E7),TODAY()-8)&gt;=EOMONTH(MIN(IF($E7="",TODAY()-8,$E7),TODAY()-8),0),1,0)),MAX(0,INT((MIN(IF($E7="",TODAY()-8,$E7),TODAY()-8)-($D7+MOD(SISTEM!$F$8-WEEKDAY($D7,2),7)))/7)+1)))</f>
        <v/>
      </c>
      <c r="K7" s="222">
        <f>IF(OR($C7="",$D7="",$G7="",$F7=""),0,$G7*IF($F7="Aylık",MAX(0,(YEAR(MIN(IF($E7="",TODAY()-15,$E7),TODAY()-15))-YEAR($D7))*12+MONTH(MIN(IF($E7="",TODAY()-15,$E7),TODAY()-15))-MONTH($D7)+IF(MIN(IF($E7="",TODAY()-15,$E7),TODAY()-15)&gt;=EOMONTH(MIN(IF($E7="",TODAY()-15,$E7),TODAY()-15),0),1,0)),MAX(0,INT((MIN(IF($E7="",TODAY()-15,$E7),TODAY()-15)-($D7+MOD(SISTEM!$F$8-WEEKDAY($D7,2),7)))/7)+1)))</f>
        <v/>
      </c>
      <c r="L7" s="222">
        <f>IF(OR($C7="",$D7="",$G7="",$F7=""),0,$G7*IF($F7="Aylık",MAX(0,(YEAR(MIN(IF($E7="",TODAY()-29,$E7),TODAY()-29))-YEAR($D7))*12+MONTH(MIN(IF($E7="",TODAY()-29,$E7),TODAY()-29))-MONTH($D7)+IF(MIN(IF($E7="",TODAY()-29,$E7),TODAY()-29)&gt;=EOMONTH(MIN(IF($E7="",TODAY()-29,$E7),TODAY()-29),0),1,0)),MAX(0,INT((MIN(IF($E7="",TODAY()-29,$E7),TODAY()-29)-($D7+MOD(SISTEM!$F$8-WEEKDAY($D7,2),7)))/7)+1)))</f>
        <v/>
      </c>
      <c r="M7" s="223">
        <f>IF($G7&gt;0,$I7/$G7,0)</f>
        <v/>
      </c>
      <c r="N7" s="113">
        <f>IF($C7="","",IF($B7="TANIMSIZ MÜŞTERİ","TANIMSIZ MÜŞTERİ",IF($F7="","MODEL SEÇİN",IF(OR($D7="",$G7&lt;=0),"EKSİK",IF(AND($E7&lt;&gt;"",$E7&lt;$D7),"TARİH HATASI",IF($H7="Pasif","KAPALI DÖNEM","UYGUN"))))))</f>
        <v/>
      </c>
      <c r="O7" s="224">
        <f>IF(OR($C7="",$D7="",$F7=""),"",IF($F7="Aylık",EOMONTH($D7,0),($D7+MOD(SISTEM!$F$8-WEEKDAY($D7,2),7))))</f>
        <v/>
      </c>
      <c r="P7" s="109" t="n"/>
      <c r="Q7" s="6" t="n"/>
      <c r="R7" s="6" t="n"/>
      <c r="S7" s="3">
        <f>IF($B7="","",$B7&amp;"|"&amp;COUNTIFS($B$7:$B7,$B7))</f>
        <v/>
      </c>
      <c r="T7" s="3">
        <f>IF($C7="","",UPPER(SUBSTITUTE(SUBSTITUTE(SUBSTITUTE(SUBSTITUTE(SUBSTITUTE(SUBSTITUTE(SUBSTITUTE(SUBSTITUTE(SUBSTITUTE(SUBSTITUTE(SUBSTITUTE(SUBSTITUTE(SUBSTITUTE(SUBSTITUTE(SUBSTITUTE(SUBSTITUTE(SUBSTITUTE(SUBSTITUTE(TRIM($C7),"'",""),"İ","I"),"ı","I"),"i","I"),"Ş","S"),"ş","S"),"Ğ","G"),"ğ","G"),"Ü","U"),"ü","U"),"Ö","O"),"ö","O"),"Ç","C"),"ç","C"),".",""),",","")," ",""),"-","")))</f>
        <v/>
      </c>
    </row>
    <row r="8">
      <c r="A8" s="6" t="n"/>
      <c r="B8" s="113">
        <f>IF($C8="","",IFERROR(INDEX(MUSTERILER!$B$7:$B$106,MATCH($T8,MUSTERILER!$T$7:$T$106,0)),IFERROR(INDEX(MUSTERILER!$B$7:$B$106,MATCH($C8,MUSTERILER!$B$7:$B$106,0)),IFERROR(INDEX(MUSTERILER!$B$7:$B$106,MATCH($T8&amp;"*",MUSTERILER!$T$7:$T$106,0)),"TANIMSIZ MÜŞTERİ"))))</f>
        <v/>
      </c>
      <c r="C8" s="109" t="inlineStr">
        <is>
          <t>ADEM KARABENLİ</t>
        </is>
      </c>
      <c r="D8" s="220" t="n">
        <v>46023</v>
      </c>
      <c r="E8" s="220" t="n"/>
      <c r="F8" s="108" t="inlineStr">
        <is>
          <t>Aylık</t>
        </is>
      </c>
      <c r="G8" s="221" t="n">
        <v>3000</v>
      </c>
      <c r="H8" s="108" t="inlineStr">
        <is>
          <t>Aktif</t>
        </is>
      </c>
      <c r="I8" s="222">
        <f>IF(OR($C8="",$D8="",$G8="",$F8=""),0,$G8*IF($F8="Aylık",MAX(0,(YEAR(MIN(IF($E8="",TODAY(),$E8),TODAY()))-YEAR($D8))*12+MONTH(MIN(IF($E8="",TODAY(),$E8),TODAY()))-MONTH($D8)+IF(MIN(IF($E8="",TODAY(),$E8),TODAY())&gt;=EOMONTH(MIN(IF($E8="",TODAY(),$E8),TODAY()),0),1,0)),MAX(0,INT((MIN(IF($E8="",TODAY(),$E8),TODAY())-($D8+MOD(SISTEM!$F$8-WEEKDAY($D8,2),7)))/7)+1)))</f>
        <v/>
      </c>
      <c r="J8" s="222">
        <f>IF(OR($C8="",$D8="",$G8="",$F8=""),0,$G8*IF($F8="Aylık",MAX(0,(YEAR(MIN(IF($E8="",TODAY()-8,$E8),TODAY()-8))-YEAR($D8))*12+MONTH(MIN(IF($E8="",TODAY()-8,$E8),TODAY()-8))-MONTH($D8)+IF(MIN(IF($E8="",TODAY()-8,$E8),TODAY()-8)&gt;=EOMONTH(MIN(IF($E8="",TODAY()-8,$E8),TODAY()-8),0),1,0)),MAX(0,INT((MIN(IF($E8="",TODAY()-8,$E8),TODAY()-8)-($D8+MOD(SISTEM!$F$8-WEEKDAY($D8,2),7)))/7)+1)))</f>
        <v/>
      </c>
      <c r="K8" s="222">
        <f>IF(OR($C8="",$D8="",$G8="",$F8=""),0,$G8*IF($F8="Aylık",MAX(0,(YEAR(MIN(IF($E8="",TODAY()-15,$E8),TODAY()-15))-YEAR($D8))*12+MONTH(MIN(IF($E8="",TODAY()-15,$E8),TODAY()-15))-MONTH($D8)+IF(MIN(IF($E8="",TODAY()-15,$E8),TODAY()-15)&gt;=EOMONTH(MIN(IF($E8="",TODAY()-15,$E8),TODAY()-15),0),1,0)),MAX(0,INT((MIN(IF($E8="",TODAY()-15,$E8),TODAY()-15)-($D8+MOD(SISTEM!$F$8-WEEKDAY($D8,2),7)))/7)+1)))</f>
        <v/>
      </c>
      <c r="L8" s="222">
        <f>IF(OR($C8="",$D8="",$G8="",$F8=""),0,$G8*IF($F8="Aylık",MAX(0,(YEAR(MIN(IF($E8="",TODAY()-29,$E8),TODAY()-29))-YEAR($D8))*12+MONTH(MIN(IF($E8="",TODAY()-29,$E8),TODAY()-29))-MONTH($D8)+IF(MIN(IF($E8="",TODAY()-29,$E8),TODAY()-29)&gt;=EOMONTH(MIN(IF($E8="",TODAY()-29,$E8),TODAY()-29),0),1,0)),MAX(0,INT((MIN(IF($E8="",TODAY()-29,$E8),TODAY()-29)-($D8+MOD(SISTEM!$F$8-WEEKDAY($D8,2),7)))/7)+1)))</f>
        <v/>
      </c>
      <c r="M8" s="223">
        <f>IF($G8&gt;0,$I8/$G8,0)</f>
        <v/>
      </c>
      <c r="N8" s="113">
        <f>IF($C8="","",IF($B8="TANIMSIZ MÜŞTERİ","TANIMSIZ MÜŞTERİ",IF($F8="","MODEL SEÇİN",IF(OR($D8="",$G8&lt;=0),"EKSİK",IF(AND($E8&lt;&gt;"",$E8&lt;$D8),"TARİH HATASI",IF($H8="Pasif","KAPALI DÖNEM","UYGUN"))))))</f>
        <v/>
      </c>
      <c r="O8" s="224">
        <f>IF(OR($C8="",$D8="",$F8=""),"",IF($F8="Aylık",EOMONTH($D8,0),($D8+MOD(SISTEM!$F$8-WEEKDAY($D8,2),7))))</f>
        <v/>
      </c>
      <c r="P8" s="109" t="n"/>
      <c r="Q8" s="6" t="n"/>
      <c r="R8" s="6" t="n"/>
      <c r="S8" s="3">
        <f>IF($B8="","",$B8&amp;"|"&amp;COUNTIFS($B$7:$B8,$B8))</f>
        <v/>
      </c>
      <c r="T8" s="3">
        <f>IF($C8="","",UPPER(SUBSTITUTE(SUBSTITUTE(SUBSTITUTE(SUBSTITUTE(SUBSTITUTE(SUBSTITUTE(SUBSTITUTE(SUBSTITUTE(SUBSTITUTE(SUBSTITUTE(SUBSTITUTE(SUBSTITUTE(SUBSTITUTE(SUBSTITUTE(SUBSTITUTE(SUBSTITUTE(SUBSTITUTE(SUBSTITUTE(TRIM($C8),"'",""),"İ","I"),"ı","I"),"i","I"),"Ş","S"),"ş","S"),"Ğ","G"),"ğ","G"),"Ü","U"),"ü","U"),"Ö","O"),"ö","O"),"Ç","C"),"ç","C"),".",""),",","")," ",""),"-","")))</f>
        <v/>
      </c>
    </row>
    <row r="9">
      <c r="A9" s="6" t="n"/>
      <c r="B9" s="113">
        <f>IF($C9="","",IFERROR(INDEX(MUSTERILER!$B$7:$B$106,MATCH($T9,MUSTERILER!$T$7:$T$106,0)),IFERROR(INDEX(MUSTERILER!$B$7:$B$106,MATCH($C9,MUSTERILER!$B$7:$B$106,0)),IFERROR(INDEX(MUSTERILER!$B$7:$B$106,MATCH($T9&amp;"*",MUSTERILER!$T$7:$T$106,0)),"TANIMSIZ MÜŞTERİ"))))</f>
        <v/>
      </c>
      <c r="C9" s="109" t="inlineStr">
        <is>
          <t>ALTINEL LTD.ŞTİ.</t>
        </is>
      </c>
      <c r="D9" s="220" t="n">
        <v>46266</v>
      </c>
      <c r="E9" s="220" t="n"/>
      <c r="F9" s="108" t="inlineStr">
        <is>
          <t>Aylık</t>
        </is>
      </c>
      <c r="G9" s="221" t="n">
        <v>10000</v>
      </c>
      <c r="H9" s="108" t="inlineStr">
        <is>
          <t>Aktif</t>
        </is>
      </c>
      <c r="I9" s="222">
        <f>IF(OR($C9="",$D9="",$G9="",$F9=""),0,$G9*IF($F9="Aylık",MAX(0,(YEAR(MIN(IF($E9="",TODAY(),$E9),TODAY()))-YEAR($D9))*12+MONTH(MIN(IF($E9="",TODAY(),$E9),TODAY()))-MONTH($D9)+IF(MIN(IF($E9="",TODAY(),$E9),TODAY())&gt;=EOMONTH(MIN(IF($E9="",TODAY(),$E9),TODAY()),0),1,0)),MAX(0,INT((MIN(IF($E9="",TODAY(),$E9),TODAY())-($D9+MOD(SISTEM!$F$8-WEEKDAY($D9,2),7)))/7)+1)))</f>
        <v/>
      </c>
      <c r="J9" s="222">
        <f>IF(OR($C9="",$D9="",$G9="",$F9=""),0,$G9*IF($F9="Aylık",MAX(0,(YEAR(MIN(IF($E9="",TODAY()-8,$E9),TODAY()-8))-YEAR($D9))*12+MONTH(MIN(IF($E9="",TODAY()-8,$E9),TODAY()-8))-MONTH($D9)+IF(MIN(IF($E9="",TODAY()-8,$E9),TODAY()-8)&gt;=EOMONTH(MIN(IF($E9="",TODAY()-8,$E9),TODAY()-8),0),1,0)),MAX(0,INT((MIN(IF($E9="",TODAY()-8,$E9),TODAY()-8)-($D9+MOD(SISTEM!$F$8-WEEKDAY($D9,2),7)))/7)+1)))</f>
        <v/>
      </c>
      <c r="K9" s="222">
        <f>IF(OR($C9="",$D9="",$G9="",$F9=""),0,$G9*IF($F9="Aylık",MAX(0,(YEAR(MIN(IF($E9="",TODAY()-15,$E9),TODAY()-15))-YEAR($D9))*12+MONTH(MIN(IF($E9="",TODAY()-15,$E9),TODAY()-15))-MONTH($D9)+IF(MIN(IF($E9="",TODAY()-15,$E9),TODAY()-15)&gt;=EOMONTH(MIN(IF($E9="",TODAY()-15,$E9),TODAY()-15),0),1,0)),MAX(0,INT((MIN(IF($E9="",TODAY()-15,$E9),TODAY()-15)-($D9+MOD(SISTEM!$F$8-WEEKDAY($D9,2),7)))/7)+1)))</f>
        <v/>
      </c>
      <c r="L9" s="222">
        <f>IF(OR($C9="",$D9="",$G9="",$F9=""),0,$G9*IF($F9="Aylık",MAX(0,(YEAR(MIN(IF($E9="",TODAY()-29,$E9),TODAY()-29))-YEAR($D9))*12+MONTH(MIN(IF($E9="",TODAY()-29,$E9),TODAY()-29))-MONTH($D9)+IF(MIN(IF($E9="",TODAY()-29,$E9),TODAY()-29)&gt;=EOMONTH(MIN(IF($E9="",TODAY()-29,$E9),TODAY()-29),0),1,0)),MAX(0,INT((MIN(IF($E9="",TODAY()-29,$E9),TODAY()-29)-($D9+MOD(SISTEM!$F$8-WEEKDAY($D9,2),7)))/7)+1)))</f>
        <v/>
      </c>
      <c r="M9" s="223">
        <f>IF($G9&gt;0,$I9/$G9,0)</f>
        <v/>
      </c>
      <c r="N9" s="113">
        <f>IF($C9="","",IF($B9="TANIMSIZ MÜŞTERİ","TANIMSIZ MÜŞTERİ",IF($F9="","MODEL SEÇİN",IF(OR($D9="",$G9&lt;=0),"EKSİK",IF(AND($E9&lt;&gt;"",$E9&lt;$D9),"TARİH HATASI",IF($H9="Pasif","KAPALI DÖNEM","UYGUN"))))))</f>
        <v/>
      </c>
      <c r="O9" s="224">
        <f>IF(OR($C9="",$D9="",$F9=""),"",IF($F9="Aylık",EOMONTH($D9,0),($D9+MOD(SISTEM!$F$8-WEEKDAY($D9,2),7))))</f>
        <v/>
      </c>
      <c r="P9" s="109" t="n"/>
      <c r="Q9" s="6" t="n"/>
      <c r="R9" s="6" t="n"/>
      <c r="S9" s="3">
        <f>IF($B9="","",$B9&amp;"|"&amp;COUNTIFS($B$7:$B9,$B9))</f>
        <v/>
      </c>
      <c r="T9" s="3">
        <f>IF($C9="","",UPPER(SUBSTITUTE(SUBSTITUTE(SUBSTITUTE(SUBSTITUTE(SUBSTITUTE(SUBSTITUTE(SUBSTITUTE(SUBSTITUTE(SUBSTITUTE(SUBSTITUTE(SUBSTITUTE(SUBSTITUTE(SUBSTITUTE(SUBSTITUTE(SUBSTITUTE(SUBSTITUTE(SUBSTITUTE(SUBSTITUTE(TRIM($C9),"'",""),"İ","I"),"ı","I"),"i","I"),"Ş","S"),"ş","S"),"Ğ","G"),"ğ","G"),"Ü","U"),"ü","U"),"Ö","O"),"ö","O"),"Ç","C"),"ç","C"),".",""),",","")," ",""),"-","")))</f>
        <v/>
      </c>
    </row>
    <row r="10">
      <c r="A10" s="6" t="n"/>
      <c r="B10" s="113">
        <f>IF($C10="","",IFERROR(INDEX(MUSTERILER!$B$7:$B$106,MATCH($T10,MUSTERILER!$T$7:$T$106,0)),IFERROR(INDEX(MUSTERILER!$B$7:$B$106,MATCH($C10,MUSTERILER!$B$7:$B$106,0)),IFERROR(INDEX(MUSTERILER!$B$7:$B$106,MATCH($T10&amp;"*",MUSTERILER!$T$7:$T$106,0)),"TANIMSIZ MÜŞTERİ"))))</f>
        <v/>
      </c>
      <c r="C10" s="109" t="inlineStr">
        <is>
          <t>ANKARA HAVANA LTD.ŞTİ.</t>
        </is>
      </c>
      <c r="D10" s="220" t="n">
        <v>46023</v>
      </c>
      <c r="E10" s="220" t="n"/>
      <c r="F10" s="108" t="inlineStr">
        <is>
          <t>Haftalık</t>
        </is>
      </c>
      <c r="G10" s="221" t="n">
        <v>4000</v>
      </c>
      <c r="H10" s="108" t="inlineStr">
        <is>
          <t>Aktif</t>
        </is>
      </c>
      <c r="I10" s="222">
        <f>IF(OR($C10="",$D10="",$G10="",$F10=""),0,$G10*IF($F10="Aylık",MAX(0,(YEAR(MIN(IF($E10="",TODAY(),$E10),TODAY()))-YEAR($D10))*12+MONTH(MIN(IF($E10="",TODAY(),$E10),TODAY()))-MONTH($D10)+IF(MIN(IF($E10="",TODAY(),$E10),TODAY())&gt;=EOMONTH(MIN(IF($E10="",TODAY(),$E10),TODAY()),0),1,0)),MAX(0,INT((MIN(IF($E10="",TODAY(),$E10),TODAY())-($D10+MOD(SISTEM!$F$8-WEEKDAY($D10,2),7)))/7)+1)))</f>
        <v/>
      </c>
      <c r="J10" s="222">
        <f>IF(OR($C10="",$D10="",$G10="",$F10=""),0,$G10*IF($F10="Aylık",MAX(0,(YEAR(MIN(IF($E10="",TODAY()-8,$E10),TODAY()-8))-YEAR($D10))*12+MONTH(MIN(IF($E10="",TODAY()-8,$E10),TODAY()-8))-MONTH($D10)+IF(MIN(IF($E10="",TODAY()-8,$E10),TODAY()-8)&gt;=EOMONTH(MIN(IF($E10="",TODAY()-8,$E10),TODAY()-8),0),1,0)),MAX(0,INT((MIN(IF($E10="",TODAY()-8,$E10),TODAY()-8)-($D10+MOD(SISTEM!$F$8-WEEKDAY($D10,2),7)))/7)+1)))</f>
        <v/>
      </c>
      <c r="K10" s="222">
        <f>IF(OR($C10="",$D10="",$G10="",$F10=""),0,$G10*IF($F10="Aylık",MAX(0,(YEAR(MIN(IF($E10="",TODAY()-15,$E10),TODAY()-15))-YEAR($D10))*12+MONTH(MIN(IF($E10="",TODAY()-15,$E10),TODAY()-15))-MONTH($D10)+IF(MIN(IF($E10="",TODAY()-15,$E10),TODAY()-15)&gt;=EOMONTH(MIN(IF($E10="",TODAY()-15,$E10),TODAY()-15),0),1,0)),MAX(0,INT((MIN(IF($E10="",TODAY()-15,$E10),TODAY()-15)-($D10+MOD(SISTEM!$F$8-WEEKDAY($D10,2),7)))/7)+1)))</f>
        <v/>
      </c>
      <c r="L10" s="222">
        <f>IF(OR($C10="",$D10="",$G10="",$F10=""),0,$G10*IF($F10="Aylık",MAX(0,(YEAR(MIN(IF($E10="",TODAY()-29,$E10),TODAY()-29))-YEAR($D10))*12+MONTH(MIN(IF($E10="",TODAY()-29,$E10),TODAY()-29))-MONTH($D10)+IF(MIN(IF($E10="",TODAY()-29,$E10),TODAY()-29)&gt;=EOMONTH(MIN(IF($E10="",TODAY()-29,$E10),TODAY()-29),0),1,0)),MAX(0,INT((MIN(IF($E10="",TODAY()-29,$E10),TODAY()-29)-($D10+MOD(SISTEM!$F$8-WEEKDAY($D10,2),7)))/7)+1)))</f>
        <v/>
      </c>
      <c r="M10" s="223">
        <f>IF($G10&gt;0,$I10/$G10,0)</f>
        <v/>
      </c>
      <c r="N10" s="113">
        <f>IF($C10="","",IF($B10="TANIMSIZ MÜŞTERİ","TANIMSIZ MÜŞTERİ",IF($F10="","MODEL SEÇİN",IF(OR($D10="",$G10&lt;=0),"EKSİK",IF(AND($E10&lt;&gt;"",$E10&lt;$D10),"TARİH HATASI",IF($H10="Pasif","KAPALI DÖNEM","UYGUN"))))))</f>
        <v/>
      </c>
      <c r="O10" s="224">
        <f>IF(OR($C10="",$D10="",$F10=""),"",IF($F10="Aylık",EOMONTH($D10,0),($D10+MOD(SISTEM!$F$8-WEEKDAY($D10,2),7))))</f>
        <v/>
      </c>
      <c r="P10" s="109" t="n"/>
      <c r="Q10" s="6" t="n"/>
      <c r="R10" s="6" t="n"/>
      <c r="S10" s="3">
        <f>IF($B10="","",$B10&amp;"|"&amp;COUNTIFS($B$7:$B10,$B10))</f>
        <v/>
      </c>
      <c r="T10" s="3">
        <f>IF($C10="","",UPPER(SUBSTITUTE(SUBSTITUTE(SUBSTITUTE(SUBSTITUTE(SUBSTITUTE(SUBSTITUTE(SUBSTITUTE(SUBSTITUTE(SUBSTITUTE(SUBSTITUTE(SUBSTITUTE(SUBSTITUTE(SUBSTITUTE(SUBSTITUTE(SUBSTITUTE(SUBSTITUTE(SUBSTITUTE(SUBSTITUTE(TRIM($C10),"'",""),"İ","I"),"ı","I"),"i","I"),"Ş","S"),"ş","S"),"Ğ","G"),"ğ","G"),"Ü","U"),"ü","U"),"Ö","O"),"ö","O"),"Ç","C"),"ç","C"),".",""),",","")," ",""),"-","")))</f>
        <v/>
      </c>
    </row>
    <row r="11">
      <c r="A11" s="6" t="n"/>
      <c r="B11" s="113">
        <f>IF($C11="","",IFERROR(INDEX(MUSTERILER!$B$7:$B$106,MATCH($T11,MUSTERILER!$T$7:$T$106,0)),IFERROR(INDEX(MUSTERILER!$B$7:$B$106,MATCH($C11,MUSTERILER!$B$7:$B$106,0)),IFERROR(INDEX(MUSTERILER!$B$7:$B$106,MATCH($T11&amp;"*",MUSTERILER!$T$7:$T$106,0)),"TANIMSIZ MÜŞTERİ"))))</f>
        <v/>
      </c>
      <c r="C11" s="109" t="inlineStr">
        <is>
          <t>ARMAN DİK</t>
        </is>
      </c>
      <c r="D11" s="220" t="n">
        <v>46023</v>
      </c>
      <c r="E11" s="220" t="n"/>
      <c r="F11" s="108" t="inlineStr">
        <is>
          <t>Aylık</t>
        </is>
      </c>
      <c r="G11" s="221" t="n">
        <v>3000</v>
      </c>
      <c r="H11" s="108" t="inlineStr">
        <is>
          <t>Aktif</t>
        </is>
      </c>
      <c r="I11" s="222">
        <f>IF(OR($C11="",$D11="",$G11="",$F11=""),0,$G11*IF($F11="Aylık",MAX(0,(YEAR(MIN(IF($E11="",TODAY(),$E11),TODAY()))-YEAR($D11))*12+MONTH(MIN(IF($E11="",TODAY(),$E11),TODAY()))-MONTH($D11)+IF(MIN(IF($E11="",TODAY(),$E11),TODAY())&gt;=EOMONTH(MIN(IF($E11="",TODAY(),$E11),TODAY()),0),1,0)),MAX(0,INT((MIN(IF($E11="",TODAY(),$E11),TODAY())-($D11+MOD(SISTEM!$F$8-WEEKDAY($D11,2),7)))/7)+1)))</f>
        <v/>
      </c>
      <c r="J11" s="222">
        <f>IF(OR($C11="",$D11="",$G11="",$F11=""),0,$G11*IF($F11="Aylık",MAX(0,(YEAR(MIN(IF($E11="",TODAY()-8,$E11),TODAY()-8))-YEAR($D11))*12+MONTH(MIN(IF($E11="",TODAY()-8,$E11),TODAY()-8))-MONTH($D11)+IF(MIN(IF($E11="",TODAY()-8,$E11),TODAY()-8)&gt;=EOMONTH(MIN(IF($E11="",TODAY()-8,$E11),TODAY()-8),0),1,0)),MAX(0,INT((MIN(IF($E11="",TODAY()-8,$E11),TODAY()-8)-($D11+MOD(SISTEM!$F$8-WEEKDAY($D11,2),7)))/7)+1)))</f>
        <v/>
      </c>
      <c r="K11" s="222">
        <f>IF(OR($C11="",$D11="",$G11="",$F11=""),0,$G11*IF($F11="Aylık",MAX(0,(YEAR(MIN(IF($E11="",TODAY()-15,$E11),TODAY()-15))-YEAR($D11))*12+MONTH(MIN(IF($E11="",TODAY()-15,$E11),TODAY()-15))-MONTH($D11)+IF(MIN(IF($E11="",TODAY()-15,$E11),TODAY()-15)&gt;=EOMONTH(MIN(IF($E11="",TODAY()-15,$E11),TODAY()-15),0),1,0)),MAX(0,INT((MIN(IF($E11="",TODAY()-15,$E11),TODAY()-15)-($D11+MOD(SISTEM!$F$8-WEEKDAY($D11,2),7)))/7)+1)))</f>
        <v/>
      </c>
      <c r="L11" s="222">
        <f>IF(OR($C11="",$D11="",$G11="",$F11=""),0,$G11*IF($F11="Aylık",MAX(0,(YEAR(MIN(IF($E11="",TODAY()-29,$E11),TODAY()-29))-YEAR($D11))*12+MONTH(MIN(IF($E11="",TODAY()-29,$E11),TODAY()-29))-MONTH($D11)+IF(MIN(IF($E11="",TODAY()-29,$E11),TODAY()-29)&gt;=EOMONTH(MIN(IF($E11="",TODAY()-29,$E11),TODAY()-29),0),1,0)),MAX(0,INT((MIN(IF($E11="",TODAY()-29,$E11),TODAY()-29)-($D11+MOD(SISTEM!$F$8-WEEKDAY($D11,2),7)))/7)+1)))</f>
        <v/>
      </c>
      <c r="M11" s="223">
        <f>IF($G11&gt;0,$I11/$G11,0)</f>
        <v/>
      </c>
      <c r="N11" s="113">
        <f>IF($C11="","",IF($B11="TANIMSIZ MÜŞTERİ","TANIMSIZ MÜŞTERİ",IF($F11="","MODEL SEÇİN",IF(OR($D11="",$G11&lt;=0),"EKSİK",IF(AND($E11&lt;&gt;"",$E11&lt;$D11),"TARİH HATASI",IF($H11="Pasif","KAPALI DÖNEM","UYGUN"))))))</f>
        <v/>
      </c>
      <c r="O11" s="224">
        <f>IF(OR($C11="",$D11="",$F11=""),"",IF($F11="Aylık",EOMONTH($D11,0),($D11+MOD(SISTEM!$F$8-WEEKDAY($D11,2),7))))</f>
        <v/>
      </c>
      <c r="P11" s="109" t="n"/>
      <c r="Q11" s="6" t="n"/>
      <c r="R11" s="6" t="n"/>
      <c r="S11" s="3">
        <f>IF($B11="","",$B11&amp;"|"&amp;COUNTIFS($B$7:$B11,$B11))</f>
        <v/>
      </c>
      <c r="T11" s="3">
        <f>IF($C11="","",UPPER(SUBSTITUTE(SUBSTITUTE(SUBSTITUTE(SUBSTITUTE(SUBSTITUTE(SUBSTITUTE(SUBSTITUTE(SUBSTITUTE(SUBSTITUTE(SUBSTITUTE(SUBSTITUTE(SUBSTITUTE(SUBSTITUTE(SUBSTITUTE(SUBSTITUTE(SUBSTITUTE(SUBSTITUTE(SUBSTITUTE(TRIM($C11),"'",""),"İ","I"),"ı","I"),"i","I"),"Ş","S"),"ş","S"),"Ğ","G"),"ğ","G"),"Ü","U"),"ü","U"),"Ö","O"),"ö","O"),"Ç","C"),"ç","C"),".",""),",","")," ",""),"-","")))</f>
        <v/>
      </c>
    </row>
    <row r="12">
      <c r="A12" s="6" t="n"/>
      <c r="B12" s="113">
        <f>IF($C12="","",IFERROR(INDEX(MUSTERILER!$B$7:$B$106,MATCH($T12,MUSTERILER!$T$7:$T$106,0)),IFERROR(INDEX(MUSTERILER!$B$7:$B$106,MATCH($C12,MUSTERILER!$B$7:$B$106,0)),IFERROR(INDEX(MUSTERILER!$B$7:$B$106,MATCH($T12&amp;"*",MUSTERILER!$T$7:$T$106,0)),"TANIMSIZ MÜŞTERİ"))))</f>
        <v/>
      </c>
      <c r="C12" s="109" t="inlineStr">
        <is>
          <t>ARON TOPTAN LTD.ŞTİ.</t>
        </is>
      </c>
      <c r="D12" s="220" t="n">
        <v>46023</v>
      </c>
      <c r="E12" s="220" t="n"/>
      <c r="F12" s="108" t="inlineStr">
        <is>
          <t>Aylık</t>
        </is>
      </c>
      <c r="G12" s="221" t="n">
        <v>10000</v>
      </c>
      <c r="H12" s="108" t="inlineStr">
        <is>
          <t>Aktif</t>
        </is>
      </c>
      <c r="I12" s="222">
        <f>IF(OR($C12="",$D12="",$G12="",$F12=""),0,$G12*IF($F12="Aylık",MAX(0,(YEAR(MIN(IF($E12="",TODAY(),$E12),TODAY()))-YEAR($D12))*12+MONTH(MIN(IF($E12="",TODAY(),$E12),TODAY()))-MONTH($D12)+IF(MIN(IF($E12="",TODAY(),$E12),TODAY())&gt;=EOMONTH(MIN(IF($E12="",TODAY(),$E12),TODAY()),0),1,0)),MAX(0,INT((MIN(IF($E12="",TODAY(),$E12),TODAY())-($D12+MOD(SISTEM!$F$8-WEEKDAY($D12,2),7)))/7)+1)))</f>
        <v/>
      </c>
      <c r="J12" s="222">
        <f>IF(OR($C12="",$D12="",$G12="",$F12=""),0,$G12*IF($F12="Aylık",MAX(0,(YEAR(MIN(IF($E12="",TODAY()-8,$E12),TODAY()-8))-YEAR($D12))*12+MONTH(MIN(IF($E12="",TODAY()-8,$E12),TODAY()-8))-MONTH($D12)+IF(MIN(IF($E12="",TODAY()-8,$E12),TODAY()-8)&gt;=EOMONTH(MIN(IF($E12="",TODAY()-8,$E12),TODAY()-8),0),1,0)),MAX(0,INT((MIN(IF($E12="",TODAY()-8,$E12),TODAY()-8)-($D12+MOD(SISTEM!$F$8-WEEKDAY($D12,2),7)))/7)+1)))</f>
        <v/>
      </c>
      <c r="K12" s="222">
        <f>IF(OR($C12="",$D12="",$G12="",$F12=""),0,$G12*IF($F12="Aylık",MAX(0,(YEAR(MIN(IF($E12="",TODAY()-15,$E12),TODAY()-15))-YEAR($D12))*12+MONTH(MIN(IF($E12="",TODAY()-15,$E12),TODAY()-15))-MONTH($D12)+IF(MIN(IF($E12="",TODAY()-15,$E12),TODAY()-15)&gt;=EOMONTH(MIN(IF($E12="",TODAY()-15,$E12),TODAY()-15),0),1,0)),MAX(0,INT((MIN(IF($E12="",TODAY()-15,$E12),TODAY()-15)-($D12+MOD(SISTEM!$F$8-WEEKDAY($D12,2),7)))/7)+1)))</f>
        <v/>
      </c>
      <c r="L12" s="222">
        <f>IF(OR($C12="",$D12="",$G12="",$F12=""),0,$G12*IF($F12="Aylık",MAX(0,(YEAR(MIN(IF($E12="",TODAY()-29,$E12),TODAY()-29))-YEAR($D12))*12+MONTH(MIN(IF($E12="",TODAY()-29,$E12),TODAY()-29))-MONTH($D12)+IF(MIN(IF($E12="",TODAY()-29,$E12),TODAY()-29)&gt;=EOMONTH(MIN(IF($E12="",TODAY()-29,$E12),TODAY()-29),0),1,0)),MAX(0,INT((MIN(IF($E12="",TODAY()-29,$E12),TODAY()-29)-($D12+MOD(SISTEM!$F$8-WEEKDAY($D12,2),7)))/7)+1)))</f>
        <v/>
      </c>
      <c r="M12" s="223">
        <f>IF($G12&gt;0,$I12/$G12,0)</f>
        <v/>
      </c>
      <c r="N12" s="113">
        <f>IF($C12="","",IF($B12="TANIMSIZ MÜŞTERİ","TANIMSIZ MÜŞTERİ",IF($F12="","MODEL SEÇİN",IF(OR($D12="",$G12&lt;=0),"EKSİK",IF(AND($E12&lt;&gt;"",$E12&lt;$D12),"TARİH HATASI",IF($H12="Pasif","KAPALI DÖNEM","UYGUN"))))))</f>
        <v/>
      </c>
      <c r="O12" s="224">
        <f>IF(OR($C12="",$D12="",$F12=""),"",IF($F12="Aylık",EOMONTH($D12,0),($D12+MOD(SISTEM!$F$8-WEEKDAY($D12,2),7))))</f>
        <v/>
      </c>
      <c r="P12" s="109" t="n"/>
      <c r="Q12" s="6" t="n"/>
      <c r="R12" s="6" t="n"/>
      <c r="S12" s="3">
        <f>IF($B12="","",$B12&amp;"|"&amp;COUNTIFS($B$7:$B12,$B12))</f>
        <v/>
      </c>
      <c r="T12" s="3">
        <f>IF($C12="","",UPPER(SUBSTITUTE(SUBSTITUTE(SUBSTITUTE(SUBSTITUTE(SUBSTITUTE(SUBSTITUTE(SUBSTITUTE(SUBSTITUTE(SUBSTITUTE(SUBSTITUTE(SUBSTITUTE(SUBSTITUTE(SUBSTITUTE(SUBSTITUTE(SUBSTITUTE(SUBSTITUTE(SUBSTITUTE(SUBSTITUTE(TRIM($C12),"'",""),"İ","I"),"ı","I"),"i","I"),"Ş","S"),"ş","S"),"Ğ","G"),"ğ","G"),"Ü","U"),"ü","U"),"Ö","O"),"ö","O"),"Ç","C"),"ç","C"),".",""),",","")," ",""),"-","")))</f>
        <v/>
      </c>
    </row>
    <row r="13">
      <c r="A13" s="6" t="n"/>
      <c r="B13" s="113">
        <f>IF($C13="","",IFERROR(INDEX(MUSTERILER!$B$7:$B$106,MATCH($T13,MUSTERILER!$T$7:$T$106,0)),IFERROR(INDEX(MUSTERILER!$B$7:$B$106,MATCH($C13,MUSTERILER!$B$7:$B$106,0)),IFERROR(INDEX(MUSTERILER!$B$7:$B$106,MATCH($T13&amp;"*",MUSTERILER!$T$7:$T$106,0)),"TANIMSIZ MÜŞTERİ"))))</f>
        <v/>
      </c>
      <c r="C13" s="109" t="inlineStr">
        <is>
          <t>ASIM AÇIKGÖZ</t>
        </is>
      </c>
      <c r="D13" s="220" t="n">
        <v>46023</v>
      </c>
      <c r="E13" s="220" t="n"/>
      <c r="F13" s="108" t="inlineStr">
        <is>
          <t>Haftalık</t>
        </is>
      </c>
      <c r="G13" s="221" t="n">
        <v>2000</v>
      </c>
      <c r="H13" s="108" t="inlineStr">
        <is>
          <t>Aktif</t>
        </is>
      </c>
      <c r="I13" s="222">
        <f>IF(OR($C13="",$D13="",$G13="",$F13=""),0,$G13*IF($F13="Aylık",MAX(0,(YEAR(MIN(IF($E13="",TODAY(),$E13),TODAY()))-YEAR($D13))*12+MONTH(MIN(IF($E13="",TODAY(),$E13),TODAY()))-MONTH($D13)+IF(MIN(IF($E13="",TODAY(),$E13),TODAY())&gt;=EOMONTH(MIN(IF($E13="",TODAY(),$E13),TODAY()),0),1,0)),MAX(0,INT((MIN(IF($E13="",TODAY(),$E13),TODAY())-($D13+MOD(SISTEM!$F$8-WEEKDAY($D13,2),7)))/7)+1)))</f>
        <v/>
      </c>
      <c r="J13" s="222">
        <f>IF(OR($C13="",$D13="",$G13="",$F13=""),0,$G13*IF($F13="Aylık",MAX(0,(YEAR(MIN(IF($E13="",TODAY()-8,$E13),TODAY()-8))-YEAR($D13))*12+MONTH(MIN(IF($E13="",TODAY()-8,$E13),TODAY()-8))-MONTH($D13)+IF(MIN(IF($E13="",TODAY()-8,$E13),TODAY()-8)&gt;=EOMONTH(MIN(IF($E13="",TODAY()-8,$E13),TODAY()-8),0),1,0)),MAX(0,INT((MIN(IF($E13="",TODAY()-8,$E13),TODAY()-8)-($D13+MOD(SISTEM!$F$8-WEEKDAY($D13,2),7)))/7)+1)))</f>
        <v/>
      </c>
      <c r="K13" s="222">
        <f>IF(OR($C13="",$D13="",$G13="",$F13=""),0,$G13*IF($F13="Aylık",MAX(0,(YEAR(MIN(IF($E13="",TODAY()-15,$E13),TODAY()-15))-YEAR($D13))*12+MONTH(MIN(IF($E13="",TODAY()-15,$E13),TODAY()-15))-MONTH($D13)+IF(MIN(IF($E13="",TODAY()-15,$E13),TODAY()-15)&gt;=EOMONTH(MIN(IF($E13="",TODAY()-15,$E13),TODAY()-15),0),1,0)),MAX(0,INT((MIN(IF($E13="",TODAY()-15,$E13),TODAY()-15)-($D13+MOD(SISTEM!$F$8-WEEKDAY($D13,2),7)))/7)+1)))</f>
        <v/>
      </c>
      <c r="L13" s="222">
        <f>IF(OR($C13="",$D13="",$G13="",$F13=""),0,$G13*IF($F13="Aylık",MAX(0,(YEAR(MIN(IF($E13="",TODAY()-29,$E13),TODAY()-29))-YEAR($D13))*12+MONTH(MIN(IF($E13="",TODAY()-29,$E13),TODAY()-29))-MONTH($D13)+IF(MIN(IF($E13="",TODAY()-29,$E13),TODAY()-29)&gt;=EOMONTH(MIN(IF($E13="",TODAY()-29,$E13),TODAY()-29),0),1,0)),MAX(0,INT((MIN(IF($E13="",TODAY()-29,$E13),TODAY()-29)-($D13+MOD(SISTEM!$F$8-WEEKDAY($D13,2),7)))/7)+1)))</f>
        <v/>
      </c>
      <c r="M13" s="223">
        <f>IF($G13&gt;0,$I13/$G13,0)</f>
        <v/>
      </c>
      <c r="N13" s="113">
        <f>IF($C13="","",IF($B13="TANIMSIZ MÜŞTERİ","TANIMSIZ MÜŞTERİ",IF($F13="","MODEL SEÇİN",IF(OR($D13="",$G13&lt;=0),"EKSİK",IF(AND($E13&lt;&gt;"",$E13&lt;$D13),"TARİH HATASI",IF($H13="Pasif","KAPALI DÖNEM","UYGUN"))))))</f>
        <v/>
      </c>
      <c r="O13" s="224">
        <f>IF(OR($C13="",$D13="",$F13=""),"",IF($F13="Aylık",EOMONTH($D13,0),($D13+MOD(SISTEM!$F$8-WEEKDAY($D13,2),7))))</f>
        <v/>
      </c>
      <c r="P13" s="109" t="n"/>
      <c r="Q13" s="6" t="n"/>
      <c r="R13" s="6" t="n"/>
      <c r="S13" s="3">
        <f>IF($B13="","",$B13&amp;"|"&amp;COUNTIFS($B$7:$B13,$B13))</f>
        <v/>
      </c>
      <c r="T13" s="3">
        <f>IF($C13="","",UPPER(SUBSTITUTE(SUBSTITUTE(SUBSTITUTE(SUBSTITUTE(SUBSTITUTE(SUBSTITUTE(SUBSTITUTE(SUBSTITUTE(SUBSTITUTE(SUBSTITUTE(SUBSTITUTE(SUBSTITUTE(SUBSTITUTE(SUBSTITUTE(SUBSTITUTE(SUBSTITUTE(SUBSTITUTE(SUBSTITUTE(TRIM($C13),"'",""),"İ","I"),"ı","I"),"i","I"),"Ş","S"),"ş","S"),"Ğ","G"),"ğ","G"),"Ü","U"),"ü","U"),"Ö","O"),"ö","O"),"Ç","C"),"ç","C"),".",""),",","")," ",""),"-","")))</f>
        <v/>
      </c>
    </row>
    <row r="14">
      <c r="A14" s="6" t="n"/>
      <c r="B14" s="113">
        <f>IF($C14="","",IFERROR(INDEX(MUSTERILER!$B$7:$B$106,MATCH($T14,MUSTERILER!$T$7:$T$106,0)),IFERROR(INDEX(MUSTERILER!$B$7:$B$106,MATCH($C14,MUSTERILER!$B$7:$B$106,0)),IFERROR(INDEX(MUSTERILER!$B$7:$B$106,MATCH($T14&amp;"*",MUSTERILER!$T$7:$T$106,0)),"TANIMSIZ MÜŞTERİ"))))</f>
        <v/>
      </c>
      <c r="C14" s="109" t="inlineStr">
        <is>
          <t>ASM EĞLENCE LTD.ŞTİ.</t>
        </is>
      </c>
      <c r="D14" s="220" t="n">
        <v>46023</v>
      </c>
      <c r="E14" s="220" t="n"/>
      <c r="F14" s="108" t="inlineStr">
        <is>
          <t>Haftalık</t>
        </is>
      </c>
      <c r="G14" s="221" t="n">
        <v>2500</v>
      </c>
      <c r="H14" s="108" t="inlineStr">
        <is>
          <t>Aktif</t>
        </is>
      </c>
      <c r="I14" s="222">
        <f>IF(OR($C14="",$D14="",$G14="",$F14=""),0,$G14*IF($F14="Aylık",MAX(0,(YEAR(MIN(IF($E14="",TODAY(),$E14),TODAY()))-YEAR($D14))*12+MONTH(MIN(IF($E14="",TODAY(),$E14),TODAY()))-MONTH($D14)+IF(MIN(IF($E14="",TODAY(),$E14),TODAY())&gt;=EOMONTH(MIN(IF($E14="",TODAY(),$E14),TODAY()),0),1,0)),MAX(0,INT((MIN(IF($E14="",TODAY(),$E14),TODAY())-($D14+MOD(SISTEM!$F$8-WEEKDAY($D14,2),7)))/7)+1)))</f>
        <v/>
      </c>
      <c r="J14" s="222">
        <f>IF(OR($C14="",$D14="",$G14="",$F14=""),0,$G14*IF($F14="Aylık",MAX(0,(YEAR(MIN(IF($E14="",TODAY()-8,$E14),TODAY()-8))-YEAR($D14))*12+MONTH(MIN(IF($E14="",TODAY()-8,$E14),TODAY()-8))-MONTH($D14)+IF(MIN(IF($E14="",TODAY()-8,$E14),TODAY()-8)&gt;=EOMONTH(MIN(IF($E14="",TODAY()-8,$E14),TODAY()-8),0),1,0)),MAX(0,INT((MIN(IF($E14="",TODAY()-8,$E14),TODAY()-8)-($D14+MOD(SISTEM!$F$8-WEEKDAY($D14,2),7)))/7)+1)))</f>
        <v/>
      </c>
      <c r="K14" s="222">
        <f>IF(OR($C14="",$D14="",$G14="",$F14=""),0,$G14*IF($F14="Aylık",MAX(0,(YEAR(MIN(IF($E14="",TODAY()-15,$E14),TODAY()-15))-YEAR($D14))*12+MONTH(MIN(IF($E14="",TODAY()-15,$E14),TODAY()-15))-MONTH($D14)+IF(MIN(IF($E14="",TODAY()-15,$E14),TODAY()-15)&gt;=EOMONTH(MIN(IF($E14="",TODAY()-15,$E14),TODAY()-15),0),1,0)),MAX(0,INT((MIN(IF($E14="",TODAY()-15,$E14),TODAY()-15)-($D14+MOD(SISTEM!$F$8-WEEKDAY($D14,2),7)))/7)+1)))</f>
        <v/>
      </c>
      <c r="L14" s="222">
        <f>IF(OR($C14="",$D14="",$G14="",$F14=""),0,$G14*IF($F14="Aylık",MAX(0,(YEAR(MIN(IF($E14="",TODAY()-29,$E14),TODAY()-29))-YEAR($D14))*12+MONTH(MIN(IF($E14="",TODAY()-29,$E14),TODAY()-29))-MONTH($D14)+IF(MIN(IF($E14="",TODAY()-29,$E14),TODAY()-29)&gt;=EOMONTH(MIN(IF($E14="",TODAY()-29,$E14),TODAY()-29),0),1,0)),MAX(0,INT((MIN(IF($E14="",TODAY()-29,$E14),TODAY()-29)-($D14+MOD(SISTEM!$F$8-WEEKDAY($D14,2),7)))/7)+1)))</f>
        <v/>
      </c>
      <c r="M14" s="223">
        <f>IF($G14&gt;0,$I14/$G14,0)</f>
        <v/>
      </c>
      <c r="N14" s="113">
        <f>IF($C14="","",IF($B14="TANIMSIZ MÜŞTERİ","TANIMSIZ MÜŞTERİ",IF($F14="","MODEL SEÇİN",IF(OR($D14="",$G14&lt;=0),"EKSİK",IF(AND($E14&lt;&gt;"",$E14&lt;$D14),"TARİH HATASI",IF($H14="Pasif","KAPALI DÖNEM","UYGUN"))))))</f>
        <v/>
      </c>
      <c r="O14" s="224">
        <f>IF(OR($C14="",$D14="",$F14=""),"",IF($F14="Aylık",EOMONTH($D14,0),($D14+MOD(SISTEM!$F$8-WEEKDAY($D14,2),7))))</f>
        <v/>
      </c>
      <c r="P14" s="109" t="n"/>
      <c r="Q14" s="6" t="n"/>
      <c r="R14" s="6" t="n"/>
      <c r="S14" s="3">
        <f>IF($B14="","",$B14&amp;"|"&amp;COUNTIFS($B$7:$B14,$B14))</f>
        <v/>
      </c>
      <c r="T14" s="3">
        <f>IF($C14="","",UPPER(SUBSTITUTE(SUBSTITUTE(SUBSTITUTE(SUBSTITUTE(SUBSTITUTE(SUBSTITUTE(SUBSTITUTE(SUBSTITUTE(SUBSTITUTE(SUBSTITUTE(SUBSTITUTE(SUBSTITUTE(SUBSTITUTE(SUBSTITUTE(SUBSTITUTE(SUBSTITUTE(SUBSTITUTE(SUBSTITUTE(TRIM($C14),"'",""),"İ","I"),"ı","I"),"i","I"),"Ş","S"),"ş","S"),"Ğ","G"),"ğ","G"),"Ü","U"),"ü","U"),"Ö","O"),"ö","O"),"Ç","C"),"ç","C"),".",""),",","")," ",""),"-","")))</f>
        <v/>
      </c>
    </row>
    <row r="15">
      <c r="A15" s="6" t="n"/>
      <c r="B15" s="113">
        <f>IF($C15="","",IFERROR(INDEX(MUSTERILER!$B$7:$B$106,MATCH($T15,MUSTERILER!$T$7:$T$106,0)),IFERROR(INDEX(MUSTERILER!$B$7:$B$106,MATCH($C15,MUSTERILER!$B$7:$B$106,0)),IFERROR(INDEX(MUSTERILER!$B$7:$B$106,MATCH($T15&amp;"*",MUSTERILER!$T$7:$T$106,0)),"TANIMSIZ MÜŞTERİ"))))</f>
        <v/>
      </c>
      <c r="C15" s="109" t="inlineStr">
        <is>
          <t>AYDES LTD.ŞTİ.</t>
        </is>
      </c>
      <c r="D15" s="220" t="n">
        <v>46023</v>
      </c>
      <c r="E15" s="220" t="n"/>
      <c r="F15" s="108" t="inlineStr">
        <is>
          <t>Aylık</t>
        </is>
      </c>
      <c r="G15" s="221" t="n">
        <v>7500</v>
      </c>
      <c r="H15" s="108" t="inlineStr">
        <is>
          <t>Aktif</t>
        </is>
      </c>
      <c r="I15" s="222">
        <f>IF(OR($C15="",$D15="",$G15="",$F15=""),0,$G15*IF($F15="Aylık",MAX(0,(YEAR(MIN(IF($E15="",TODAY(),$E15),TODAY()))-YEAR($D15))*12+MONTH(MIN(IF($E15="",TODAY(),$E15),TODAY()))-MONTH($D15)+IF(MIN(IF($E15="",TODAY(),$E15),TODAY())&gt;=EOMONTH(MIN(IF($E15="",TODAY(),$E15),TODAY()),0),1,0)),MAX(0,INT((MIN(IF($E15="",TODAY(),$E15),TODAY())-($D15+MOD(SISTEM!$F$8-WEEKDAY($D15,2),7)))/7)+1)))</f>
        <v/>
      </c>
      <c r="J15" s="222">
        <f>IF(OR($C15="",$D15="",$G15="",$F15=""),0,$G15*IF($F15="Aylık",MAX(0,(YEAR(MIN(IF($E15="",TODAY()-8,$E15),TODAY()-8))-YEAR($D15))*12+MONTH(MIN(IF($E15="",TODAY()-8,$E15),TODAY()-8))-MONTH($D15)+IF(MIN(IF($E15="",TODAY()-8,$E15),TODAY()-8)&gt;=EOMONTH(MIN(IF($E15="",TODAY()-8,$E15),TODAY()-8),0),1,0)),MAX(0,INT((MIN(IF($E15="",TODAY()-8,$E15),TODAY()-8)-($D15+MOD(SISTEM!$F$8-WEEKDAY($D15,2),7)))/7)+1)))</f>
        <v/>
      </c>
      <c r="K15" s="222">
        <f>IF(OR($C15="",$D15="",$G15="",$F15=""),0,$G15*IF($F15="Aylık",MAX(0,(YEAR(MIN(IF($E15="",TODAY()-15,$E15),TODAY()-15))-YEAR($D15))*12+MONTH(MIN(IF($E15="",TODAY()-15,$E15),TODAY()-15))-MONTH($D15)+IF(MIN(IF($E15="",TODAY()-15,$E15),TODAY()-15)&gt;=EOMONTH(MIN(IF($E15="",TODAY()-15,$E15),TODAY()-15),0),1,0)),MAX(0,INT((MIN(IF($E15="",TODAY()-15,$E15),TODAY()-15)-($D15+MOD(SISTEM!$F$8-WEEKDAY($D15,2),7)))/7)+1)))</f>
        <v/>
      </c>
      <c r="L15" s="222">
        <f>IF(OR($C15="",$D15="",$G15="",$F15=""),0,$G15*IF($F15="Aylık",MAX(0,(YEAR(MIN(IF($E15="",TODAY()-29,$E15),TODAY()-29))-YEAR($D15))*12+MONTH(MIN(IF($E15="",TODAY()-29,$E15),TODAY()-29))-MONTH($D15)+IF(MIN(IF($E15="",TODAY()-29,$E15),TODAY()-29)&gt;=EOMONTH(MIN(IF($E15="",TODAY()-29,$E15),TODAY()-29),0),1,0)),MAX(0,INT((MIN(IF($E15="",TODAY()-29,$E15),TODAY()-29)-($D15+MOD(SISTEM!$F$8-WEEKDAY($D15,2),7)))/7)+1)))</f>
        <v/>
      </c>
      <c r="M15" s="223">
        <f>IF($G15&gt;0,$I15/$G15,0)</f>
        <v/>
      </c>
      <c r="N15" s="113">
        <f>IF($C15="","",IF($B15="TANIMSIZ MÜŞTERİ","TANIMSIZ MÜŞTERİ",IF($F15="","MODEL SEÇİN",IF(OR($D15="",$G15&lt;=0),"EKSİK",IF(AND($E15&lt;&gt;"",$E15&lt;$D15),"TARİH HATASI",IF($H15="Pasif","KAPALI DÖNEM","UYGUN"))))))</f>
        <v/>
      </c>
      <c r="O15" s="224">
        <f>IF(OR($C15="",$D15="",$F15=""),"",IF($F15="Aylık",EOMONTH($D15,0),($D15+MOD(SISTEM!$F$8-WEEKDAY($D15,2),7))))</f>
        <v/>
      </c>
      <c r="P15" s="109" t="n"/>
      <c r="Q15" s="6" t="n"/>
      <c r="R15" s="6" t="n"/>
      <c r="S15" s="3">
        <f>IF($B15="","",$B15&amp;"|"&amp;COUNTIFS($B$7:$B15,$B15))</f>
        <v/>
      </c>
      <c r="T15" s="3">
        <f>IF($C15="","",UPPER(SUBSTITUTE(SUBSTITUTE(SUBSTITUTE(SUBSTITUTE(SUBSTITUTE(SUBSTITUTE(SUBSTITUTE(SUBSTITUTE(SUBSTITUTE(SUBSTITUTE(SUBSTITUTE(SUBSTITUTE(SUBSTITUTE(SUBSTITUTE(SUBSTITUTE(SUBSTITUTE(SUBSTITUTE(SUBSTITUTE(TRIM($C15),"'",""),"İ","I"),"ı","I"),"i","I"),"Ş","S"),"ş","S"),"Ğ","G"),"ğ","G"),"Ü","U"),"ü","U"),"Ö","O"),"ö","O"),"Ç","C"),"ç","C"),".",""),",","")," ",""),"-","")))</f>
        <v/>
      </c>
    </row>
    <row r="16">
      <c r="A16" s="6" t="n"/>
      <c r="B16" s="113">
        <f>IF($C16="","",IFERROR(INDEX(MUSTERILER!$B$7:$B$106,MATCH($T16,MUSTERILER!$T$7:$T$106,0)),IFERROR(INDEX(MUSTERILER!$B$7:$B$106,MATCH($C16,MUSTERILER!$B$7:$B$106,0)),IFERROR(INDEX(MUSTERILER!$B$7:$B$106,MATCH($T16&amp;"*",MUSTERILER!$T$7:$T$106,0)),"TANIMSIZ MÜŞTERİ"))))</f>
        <v/>
      </c>
      <c r="C16" s="109" t="inlineStr">
        <is>
          <t>CEREN DEMİRCİ</t>
        </is>
      </c>
      <c r="D16" s="220" t="n">
        <v>46023</v>
      </c>
      <c r="E16" s="220" t="n"/>
      <c r="F16" s="108" t="inlineStr">
        <is>
          <t>Aylık</t>
        </is>
      </c>
      <c r="G16" s="221" t="n">
        <v>4000</v>
      </c>
      <c r="H16" s="108" t="inlineStr">
        <is>
          <t>Aktif</t>
        </is>
      </c>
      <c r="I16" s="222">
        <f>IF(OR($C16="",$D16="",$G16="",$F16=""),0,$G16*IF($F16="Aylık",MAX(0,(YEAR(MIN(IF($E16="",TODAY(),$E16),TODAY()))-YEAR($D16))*12+MONTH(MIN(IF($E16="",TODAY(),$E16),TODAY()))-MONTH($D16)+IF(MIN(IF($E16="",TODAY(),$E16),TODAY())&gt;=EOMONTH(MIN(IF($E16="",TODAY(),$E16),TODAY()),0),1,0)),MAX(0,INT((MIN(IF($E16="",TODAY(),$E16),TODAY())-($D16+MOD(SISTEM!$F$8-WEEKDAY($D16,2),7)))/7)+1)))</f>
        <v/>
      </c>
      <c r="J16" s="222">
        <f>IF(OR($C16="",$D16="",$G16="",$F16=""),0,$G16*IF($F16="Aylık",MAX(0,(YEAR(MIN(IF($E16="",TODAY()-8,$E16),TODAY()-8))-YEAR($D16))*12+MONTH(MIN(IF($E16="",TODAY()-8,$E16),TODAY()-8))-MONTH($D16)+IF(MIN(IF($E16="",TODAY()-8,$E16),TODAY()-8)&gt;=EOMONTH(MIN(IF($E16="",TODAY()-8,$E16),TODAY()-8),0),1,0)),MAX(0,INT((MIN(IF($E16="",TODAY()-8,$E16),TODAY()-8)-($D16+MOD(SISTEM!$F$8-WEEKDAY($D16,2),7)))/7)+1)))</f>
        <v/>
      </c>
      <c r="K16" s="222">
        <f>IF(OR($C16="",$D16="",$G16="",$F16=""),0,$G16*IF($F16="Aylık",MAX(0,(YEAR(MIN(IF($E16="",TODAY()-15,$E16),TODAY()-15))-YEAR($D16))*12+MONTH(MIN(IF($E16="",TODAY()-15,$E16),TODAY()-15))-MONTH($D16)+IF(MIN(IF($E16="",TODAY()-15,$E16),TODAY()-15)&gt;=EOMONTH(MIN(IF($E16="",TODAY()-15,$E16),TODAY()-15),0),1,0)),MAX(0,INT((MIN(IF($E16="",TODAY()-15,$E16),TODAY()-15)-($D16+MOD(SISTEM!$F$8-WEEKDAY($D16,2),7)))/7)+1)))</f>
        <v/>
      </c>
      <c r="L16" s="222">
        <f>IF(OR($C16="",$D16="",$G16="",$F16=""),0,$G16*IF($F16="Aylık",MAX(0,(YEAR(MIN(IF($E16="",TODAY()-29,$E16),TODAY()-29))-YEAR($D16))*12+MONTH(MIN(IF($E16="",TODAY()-29,$E16),TODAY()-29))-MONTH($D16)+IF(MIN(IF($E16="",TODAY()-29,$E16),TODAY()-29)&gt;=EOMONTH(MIN(IF($E16="",TODAY()-29,$E16),TODAY()-29),0),1,0)),MAX(0,INT((MIN(IF($E16="",TODAY()-29,$E16),TODAY()-29)-($D16+MOD(SISTEM!$F$8-WEEKDAY($D16,2),7)))/7)+1)))</f>
        <v/>
      </c>
      <c r="M16" s="223">
        <f>IF($G16&gt;0,$I16/$G16,0)</f>
        <v/>
      </c>
      <c r="N16" s="113">
        <f>IF($C16="","",IF($B16="TANIMSIZ MÜŞTERİ","TANIMSIZ MÜŞTERİ",IF($F16="","MODEL SEÇİN",IF(OR($D16="",$G16&lt;=0),"EKSİK",IF(AND($E16&lt;&gt;"",$E16&lt;$D16),"TARİH HATASI",IF($H16="Pasif","KAPALI DÖNEM","UYGUN"))))))</f>
        <v/>
      </c>
      <c r="O16" s="224">
        <f>IF(OR($C16="",$D16="",$F16=""),"",IF($F16="Aylık",EOMONTH($D16,0),($D16+MOD(SISTEM!$F$8-WEEKDAY($D16,2),7))))</f>
        <v/>
      </c>
      <c r="P16" s="109" t="n"/>
      <c r="Q16" s="6" t="n"/>
      <c r="R16" s="6" t="n"/>
      <c r="S16" s="3">
        <f>IF($B16="","",$B16&amp;"|"&amp;COUNTIFS($B$7:$B16,$B16))</f>
        <v/>
      </c>
      <c r="T16" s="3">
        <f>IF($C16="","",UPPER(SUBSTITUTE(SUBSTITUTE(SUBSTITUTE(SUBSTITUTE(SUBSTITUTE(SUBSTITUTE(SUBSTITUTE(SUBSTITUTE(SUBSTITUTE(SUBSTITUTE(SUBSTITUTE(SUBSTITUTE(SUBSTITUTE(SUBSTITUTE(SUBSTITUTE(SUBSTITUTE(SUBSTITUTE(SUBSTITUTE(TRIM($C16),"'",""),"İ","I"),"ı","I"),"i","I"),"Ş","S"),"ş","S"),"Ğ","G"),"ğ","G"),"Ü","U"),"ü","U"),"Ö","O"),"ö","O"),"Ç","C"),"ç","C"),".",""),",","")," ",""),"-","")))</f>
        <v/>
      </c>
    </row>
    <row r="17">
      <c r="A17" s="6" t="n"/>
      <c r="B17" s="113">
        <f>IF($C17="","",IFERROR(INDEX(MUSTERILER!$B$7:$B$106,MATCH($T17,MUSTERILER!$T$7:$T$106,0)),IFERROR(INDEX(MUSTERILER!$B$7:$B$106,MATCH($C17,MUSTERILER!$B$7:$B$106,0)),IFERROR(INDEX(MUSTERILER!$B$7:$B$106,MATCH($T17&amp;"*",MUSTERILER!$T$7:$T$106,0)),"TANIMSIZ MÜŞTERİ"))))</f>
        <v/>
      </c>
      <c r="C17" s="109" t="inlineStr">
        <is>
          <t>ÇAYIRALAN LTD.ŞTİ.</t>
        </is>
      </c>
      <c r="D17" s="220" t="n">
        <v>46023</v>
      </c>
      <c r="E17" s="220" t="n"/>
      <c r="F17" s="108" t="inlineStr">
        <is>
          <t>Haftalık</t>
        </is>
      </c>
      <c r="G17" s="221" t="n">
        <v>3000</v>
      </c>
      <c r="H17" s="108" t="inlineStr">
        <is>
          <t>Aktif</t>
        </is>
      </c>
      <c r="I17" s="222">
        <f>IF(OR($C17="",$D17="",$G17="",$F17=""),0,$G17*IF($F17="Aylık",MAX(0,(YEAR(MIN(IF($E17="",TODAY(),$E17),TODAY()))-YEAR($D17))*12+MONTH(MIN(IF($E17="",TODAY(),$E17),TODAY()))-MONTH($D17)+IF(MIN(IF($E17="",TODAY(),$E17),TODAY())&gt;=EOMONTH(MIN(IF($E17="",TODAY(),$E17),TODAY()),0),1,0)),MAX(0,INT((MIN(IF($E17="",TODAY(),$E17),TODAY())-($D17+MOD(SISTEM!$F$8-WEEKDAY($D17,2),7)))/7)+1)))</f>
        <v/>
      </c>
      <c r="J17" s="222">
        <f>IF(OR($C17="",$D17="",$G17="",$F17=""),0,$G17*IF($F17="Aylık",MAX(0,(YEAR(MIN(IF($E17="",TODAY()-8,$E17),TODAY()-8))-YEAR($D17))*12+MONTH(MIN(IF($E17="",TODAY()-8,$E17),TODAY()-8))-MONTH($D17)+IF(MIN(IF($E17="",TODAY()-8,$E17),TODAY()-8)&gt;=EOMONTH(MIN(IF($E17="",TODAY()-8,$E17),TODAY()-8),0),1,0)),MAX(0,INT((MIN(IF($E17="",TODAY()-8,$E17),TODAY()-8)-($D17+MOD(SISTEM!$F$8-WEEKDAY($D17,2),7)))/7)+1)))</f>
        <v/>
      </c>
      <c r="K17" s="222">
        <f>IF(OR($C17="",$D17="",$G17="",$F17=""),0,$G17*IF($F17="Aylık",MAX(0,(YEAR(MIN(IF($E17="",TODAY()-15,$E17),TODAY()-15))-YEAR($D17))*12+MONTH(MIN(IF($E17="",TODAY()-15,$E17),TODAY()-15))-MONTH($D17)+IF(MIN(IF($E17="",TODAY()-15,$E17),TODAY()-15)&gt;=EOMONTH(MIN(IF($E17="",TODAY()-15,$E17),TODAY()-15),0),1,0)),MAX(0,INT((MIN(IF($E17="",TODAY()-15,$E17),TODAY()-15)-($D17+MOD(SISTEM!$F$8-WEEKDAY($D17,2),7)))/7)+1)))</f>
        <v/>
      </c>
      <c r="L17" s="222">
        <f>IF(OR($C17="",$D17="",$G17="",$F17=""),0,$G17*IF($F17="Aylık",MAX(0,(YEAR(MIN(IF($E17="",TODAY()-29,$E17),TODAY()-29))-YEAR($D17))*12+MONTH(MIN(IF($E17="",TODAY()-29,$E17),TODAY()-29))-MONTH($D17)+IF(MIN(IF($E17="",TODAY()-29,$E17),TODAY()-29)&gt;=EOMONTH(MIN(IF($E17="",TODAY()-29,$E17),TODAY()-29),0),1,0)),MAX(0,INT((MIN(IF($E17="",TODAY()-29,$E17),TODAY()-29)-($D17+MOD(SISTEM!$F$8-WEEKDAY($D17,2),7)))/7)+1)))</f>
        <v/>
      </c>
      <c r="M17" s="223">
        <f>IF($G17&gt;0,$I17/$G17,0)</f>
        <v/>
      </c>
      <c r="N17" s="113">
        <f>IF($C17="","",IF($B17="TANIMSIZ MÜŞTERİ","TANIMSIZ MÜŞTERİ",IF($F17="","MODEL SEÇİN",IF(OR($D17="",$G17&lt;=0),"EKSİK",IF(AND($E17&lt;&gt;"",$E17&lt;$D17),"TARİH HATASI",IF($H17="Pasif","KAPALI DÖNEM","UYGUN"))))))</f>
        <v/>
      </c>
      <c r="O17" s="224">
        <f>IF(OR($C17="",$D17="",$F17=""),"",IF($F17="Aylık",EOMONTH($D17,0),($D17+MOD(SISTEM!$F$8-WEEKDAY($D17,2),7))))</f>
        <v/>
      </c>
      <c r="P17" s="109" t="n"/>
      <c r="Q17" s="6" t="n"/>
      <c r="R17" s="6" t="n"/>
      <c r="S17" s="3">
        <f>IF($B17="","",$B17&amp;"|"&amp;COUNTIFS($B$7:$B17,$B17))</f>
        <v/>
      </c>
      <c r="T17" s="3">
        <f>IF($C17="","",UPPER(SUBSTITUTE(SUBSTITUTE(SUBSTITUTE(SUBSTITUTE(SUBSTITUTE(SUBSTITUTE(SUBSTITUTE(SUBSTITUTE(SUBSTITUTE(SUBSTITUTE(SUBSTITUTE(SUBSTITUTE(SUBSTITUTE(SUBSTITUTE(SUBSTITUTE(SUBSTITUTE(SUBSTITUTE(SUBSTITUTE(TRIM($C17),"'",""),"İ","I"),"ı","I"),"i","I"),"Ş","S"),"ş","S"),"Ğ","G"),"ğ","G"),"Ü","U"),"ü","U"),"Ö","O"),"ö","O"),"Ç","C"),"ç","C"),".",""),",","")," ",""),"-","")))</f>
        <v/>
      </c>
    </row>
    <row r="18">
      <c r="A18" s="6" t="n"/>
      <c r="B18" s="113">
        <f>IF($C18="","",IFERROR(INDEX(MUSTERILER!$B$7:$B$106,MATCH($T18,MUSTERILER!$T$7:$T$106,0)),IFERROR(INDEX(MUSTERILER!$B$7:$B$106,MATCH($C18,MUSTERILER!$B$7:$B$106,0)),IFERROR(INDEX(MUSTERILER!$B$7:$B$106,MATCH($T18&amp;"*",MUSTERILER!$T$7:$T$106,0)),"TANIMSIZ MÜŞTERİ"))))</f>
        <v/>
      </c>
      <c r="C18" s="109" t="inlineStr">
        <is>
          <t>ÇINARHAN LTD.ŞTİ.</t>
        </is>
      </c>
      <c r="D18" s="220" t="n">
        <v>46023</v>
      </c>
      <c r="E18" s="220" t="n">
        <v>46248</v>
      </c>
      <c r="F18" s="108" t="inlineStr">
        <is>
          <t>Haftalık</t>
        </is>
      </c>
      <c r="G18" s="221" t="n">
        <v>2500</v>
      </c>
      <c r="H18" s="108" t="inlineStr">
        <is>
          <t>Pasif</t>
        </is>
      </c>
      <c r="I18" s="222">
        <f>IF(OR($C18="",$D18="",$G18="",$F18=""),0,$G18*IF($F18="Aylık",MAX(0,(YEAR(MIN(IF($E18="",TODAY(),$E18),TODAY()))-YEAR($D18))*12+MONTH(MIN(IF($E18="",TODAY(),$E18),TODAY()))-MONTH($D18)+IF(MIN(IF($E18="",TODAY(),$E18),TODAY())&gt;=EOMONTH(MIN(IF($E18="",TODAY(),$E18),TODAY()),0),1,0)),MAX(0,INT((MIN(IF($E18="",TODAY(),$E18),TODAY())-($D18+MOD(SISTEM!$F$8-WEEKDAY($D18,2),7)))/7)+1)))</f>
        <v/>
      </c>
      <c r="J18" s="222">
        <f>IF(OR($C18="",$D18="",$G18="",$F18=""),0,$G18*IF($F18="Aylık",MAX(0,(YEAR(MIN(IF($E18="",TODAY()-8,$E18),TODAY()-8))-YEAR($D18))*12+MONTH(MIN(IF($E18="",TODAY()-8,$E18),TODAY()-8))-MONTH($D18)+IF(MIN(IF($E18="",TODAY()-8,$E18),TODAY()-8)&gt;=EOMONTH(MIN(IF($E18="",TODAY()-8,$E18),TODAY()-8),0),1,0)),MAX(0,INT((MIN(IF($E18="",TODAY()-8,$E18),TODAY()-8)-($D18+MOD(SISTEM!$F$8-WEEKDAY($D18,2),7)))/7)+1)))</f>
        <v/>
      </c>
      <c r="K18" s="222">
        <f>IF(OR($C18="",$D18="",$G18="",$F18=""),0,$G18*IF($F18="Aylık",MAX(0,(YEAR(MIN(IF($E18="",TODAY()-15,$E18),TODAY()-15))-YEAR($D18))*12+MONTH(MIN(IF($E18="",TODAY()-15,$E18),TODAY()-15))-MONTH($D18)+IF(MIN(IF($E18="",TODAY()-15,$E18),TODAY()-15)&gt;=EOMONTH(MIN(IF($E18="",TODAY()-15,$E18),TODAY()-15),0),1,0)),MAX(0,INT((MIN(IF($E18="",TODAY()-15,$E18),TODAY()-15)-($D18+MOD(SISTEM!$F$8-WEEKDAY($D18,2),7)))/7)+1)))</f>
        <v/>
      </c>
      <c r="L18" s="222">
        <f>IF(OR($C18="",$D18="",$G18="",$F18=""),0,$G18*IF($F18="Aylık",MAX(0,(YEAR(MIN(IF($E18="",TODAY()-29,$E18),TODAY()-29))-YEAR($D18))*12+MONTH(MIN(IF($E18="",TODAY()-29,$E18),TODAY()-29))-MONTH($D18)+IF(MIN(IF($E18="",TODAY()-29,$E18),TODAY()-29)&gt;=EOMONTH(MIN(IF($E18="",TODAY()-29,$E18),TODAY()-29),0),1,0)),MAX(0,INT((MIN(IF($E18="",TODAY()-29,$E18),TODAY()-29)-($D18+MOD(SISTEM!$F$8-WEEKDAY($D18,2),7)))/7)+1)))</f>
        <v/>
      </c>
      <c r="M18" s="223">
        <f>IF($G18&gt;0,$I18/$G18,0)</f>
        <v/>
      </c>
      <c r="N18" s="113">
        <f>IF($C18="","",IF($B18="TANIMSIZ MÜŞTERİ","TANIMSIZ MÜŞTERİ",IF($F18="","MODEL SEÇİN",IF(OR($D18="",$G18&lt;=0),"EKSİK",IF(AND($E18&lt;&gt;"",$E18&lt;$D18),"TARİH HATASI",IF($H18="Pasif","KAPALI DÖNEM","UYGUN"))))))</f>
        <v/>
      </c>
      <c r="O18" s="224">
        <f>IF(OR($C18="",$D18="",$F18=""),"",IF($F18="Aylık",EOMONTH($D18,0),($D18+MOD(SISTEM!$F$8-WEEKDAY($D18,2),7))))</f>
        <v/>
      </c>
      <c r="P18" s="109" t="n"/>
      <c r="Q18" s="6" t="n"/>
      <c r="R18" s="6" t="n"/>
      <c r="S18" s="3">
        <f>IF($B18="","",$B18&amp;"|"&amp;COUNTIFS($B$7:$B18,$B18))</f>
        <v/>
      </c>
      <c r="T18" s="3">
        <f>IF($C18="","",UPPER(SUBSTITUTE(SUBSTITUTE(SUBSTITUTE(SUBSTITUTE(SUBSTITUTE(SUBSTITUTE(SUBSTITUTE(SUBSTITUTE(SUBSTITUTE(SUBSTITUTE(SUBSTITUTE(SUBSTITUTE(SUBSTITUTE(SUBSTITUTE(SUBSTITUTE(SUBSTITUTE(SUBSTITUTE(SUBSTITUTE(TRIM($C18),"'",""),"İ","I"),"ı","I"),"i","I"),"Ş","S"),"ş","S"),"Ğ","G"),"ğ","G"),"Ü","U"),"ü","U"),"Ö","O"),"ö","O"),"Ç","C"),"ç","C"),".",""),",","")," ",""),"-","")))</f>
        <v/>
      </c>
    </row>
    <row r="19">
      <c r="A19" s="6" t="n"/>
      <c r="B19" s="113">
        <f>IF($C19="","",IFERROR(INDEX(MUSTERILER!$B$7:$B$106,MATCH($T19,MUSTERILER!$T$7:$T$106,0)),IFERROR(INDEX(MUSTERILER!$B$7:$B$106,MATCH($C19,MUSTERILER!$B$7:$B$106,0)),IFERROR(INDEX(MUSTERILER!$B$7:$B$106,MATCH($T19&amp;"*",MUSTERILER!$T$7:$T$106,0)),"TANIMSIZ MÜŞTERİ"))))</f>
        <v/>
      </c>
      <c r="C19" s="109" t="inlineStr">
        <is>
          <t>DERVİŞHAN LTD.ŞTİ.</t>
        </is>
      </c>
      <c r="D19" s="220" t="n">
        <v>46023</v>
      </c>
      <c r="E19" s="220" t="n"/>
      <c r="F19" s="108" t="inlineStr">
        <is>
          <t>Aylık</t>
        </is>
      </c>
      <c r="G19" s="221" t="n">
        <v>10000</v>
      </c>
      <c r="H19" s="108" t="inlineStr">
        <is>
          <t>Aktif</t>
        </is>
      </c>
      <c r="I19" s="222">
        <f>IF(OR($C19="",$D19="",$G19="",$F19=""),0,$G19*IF($F19="Aylık",MAX(0,(YEAR(MIN(IF($E19="",TODAY(),$E19),TODAY()))-YEAR($D19))*12+MONTH(MIN(IF($E19="",TODAY(),$E19),TODAY()))-MONTH($D19)+IF(MIN(IF($E19="",TODAY(),$E19),TODAY())&gt;=EOMONTH(MIN(IF($E19="",TODAY(),$E19),TODAY()),0),1,0)),MAX(0,INT((MIN(IF($E19="",TODAY(),$E19),TODAY())-($D19+MOD(SISTEM!$F$8-WEEKDAY($D19,2),7)))/7)+1)))</f>
        <v/>
      </c>
      <c r="J19" s="222">
        <f>IF(OR($C19="",$D19="",$G19="",$F19=""),0,$G19*IF($F19="Aylık",MAX(0,(YEAR(MIN(IF($E19="",TODAY()-8,$E19),TODAY()-8))-YEAR($D19))*12+MONTH(MIN(IF($E19="",TODAY()-8,$E19),TODAY()-8))-MONTH($D19)+IF(MIN(IF($E19="",TODAY()-8,$E19),TODAY()-8)&gt;=EOMONTH(MIN(IF($E19="",TODAY()-8,$E19),TODAY()-8),0),1,0)),MAX(0,INT((MIN(IF($E19="",TODAY()-8,$E19),TODAY()-8)-($D19+MOD(SISTEM!$F$8-WEEKDAY($D19,2),7)))/7)+1)))</f>
        <v/>
      </c>
      <c r="K19" s="222">
        <f>IF(OR($C19="",$D19="",$G19="",$F19=""),0,$G19*IF($F19="Aylık",MAX(0,(YEAR(MIN(IF($E19="",TODAY()-15,$E19),TODAY()-15))-YEAR($D19))*12+MONTH(MIN(IF($E19="",TODAY()-15,$E19),TODAY()-15))-MONTH($D19)+IF(MIN(IF($E19="",TODAY()-15,$E19),TODAY()-15)&gt;=EOMONTH(MIN(IF($E19="",TODAY()-15,$E19),TODAY()-15),0),1,0)),MAX(0,INT((MIN(IF($E19="",TODAY()-15,$E19),TODAY()-15)-($D19+MOD(SISTEM!$F$8-WEEKDAY($D19,2),7)))/7)+1)))</f>
        <v/>
      </c>
      <c r="L19" s="222">
        <f>IF(OR($C19="",$D19="",$G19="",$F19=""),0,$G19*IF($F19="Aylık",MAX(0,(YEAR(MIN(IF($E19="",TODAY()-29,$E19),TODAY()-29))-YEAR($D19))*12+MONTH(MIN(IF($E19="",TODAY()-29,$E19),TODAY()-29))-MONTH($D19)+IF(MIN(IF($E19="",TODAY()-29,$E19),TODAY()-29)&gt;=EOMONTH(MIN(IF($E19="",TODAY()-29,$E19),TODAY()-29),0),1,0)),MAX(0,INT((MIN(IF($E19="",TODAY()-29,$E19),TODAY()-29)-($D19+MOD(SISTEM!$F$8-WEEKDAY($D19,2),7)))/7)+1)))</f>
        <v/>
      </c>
      <c r="M19" s="223">
        <f>IF($G19&gt;0,$I19/$G19,0)</f>
        <v/>
      </c>
      <c r="N19" s="113">
        <f>IF($C19="","",IF($B19="TANIMSIZ MÜŞTERİ","TANIMSIZ MÜŞTERİ",IF($F19="","MODEL SEÇİN",IF(OR($D19="",$G19&lt;=0),"EKSİK",IF(AND($E19&lt;&gt;"",$E19&lt;$D19),"TARİH HATASI",IF($H19="Pasif","KAPALI DÖNEM","UYGUN"))))))</f>
        <v/>
      </c>
      <c r="O19" s="224">
        <f>IF(OR($C19="",$D19="",$F19=""),"",IF($F19="Aylık",EOMONTH($D19,0),($D19+MOD(SISTEM!$F$8-WEEKDAY($D19,2),7))))</f>
        <v/>
      </c>
      <c r="P19" s="109" t="n"/>
      <c r="Q19" s="6" t="n"/>
      <c r="R19" s="6" t="n"/>
      <c r="S19" s="3">
        <f>IF($B19="","",$B19&amp;"|"&amp;COUNTIFS($B$7:$B19,$B19))</f>
        <v/>
      </c>
      <c r="T19" s="3">
        <f>IF($C19="","",UPPER(SUBSTITUTE(SUBSTITUTE(SUBSTITUTE(SUBSTITUTE(SUBSTITUTE(SUBSTITUTE(SUBSTITUTE(SUBSTITUTE(SUBSTITUTE(SUBSTITUTE(SUBSTITUTE(SUBSTITUTE(SUBSTITUTE(SUBSTITUTE(SUBSTITUTE(SUBSTITUTE(SUBSTITUTE(SUBSTITUTE(TRIM($C19),"'",""),"İ","I"),"ı","I"),"i","I"),"Ş","S"),"ş","S"),"Ğ","G"),"ğ","G"),"Ü","U"),"ü","U"),"Ö","O"),"ö","O"),"Ç","C"),"ç","C"),".",""),",","")," ",""),"-","")))</f>
        <v/>
      </c>
    </row>
    <row r="20">
      <c r="A20" s="6" t="n"/>
      <c r="B20" s="113">
        <f>IF($C20="","",IFERROR(INDEX(MUSTERILER!$B$7:$B$106,MATCH($T20,MUSTERILER!$T$7:$T$106,0)),IFERROR(INDEX(MUSTERILER!$B$7:$B$106,MATCH($C20,MUSTERILER!$B$7:$B$106,0)),IFERROR(INDEX(MUSTERILER!$B$7:$B$106,MATCH($T20&amp;"*",MUSTERILER!$T$7:$T$106,0)),"TANIMSIZ MÜŞTERİ"))))</f>
        <v/>
      </c>
      <c r="C20" s="109" t="inlineStr">
        <is>
          <t>EĞLENGÖR LTD.ŞTİ.</t>
        </is>
      </c>
      <c r="D20" s="220" t="n">
        <v>46039</v>
      </c>
      <c r="E20" s="220" t="n">
        <v>46109</v>
      </c>
      <c r="F20" s="108" t="inlineStr">
        <is>
          <t>Haftalık</t>
        </is>
      </c>
      <c r="G20" s="221" t="n">
        <v>3000</v>
      </c>
      <c r="H20" s="108" t="inlineStr">
        <is>
          <t>Pasif</t>
        </is>
      </c>
      <c r="I20" s="222">
        <f>IF(OR($C20="",$D20="",$G20="",$F20=""),0,$G20*IF($F20="Aylık",MAX(0,(YEAR(MIN(IF($E20="",TODAY(),$E20),TODAY()))-YEAR($D20))*12+MONTH(MIN(IF($E20="",TODAY(),$E20),TODAY()))-MONTH($D20)+IF(MIN(IF($E20="",TODAY(),$E20),TODAY())&gt;=EOMONTH(MIN(IF($E20="",TODAY(),$E20),TODAY()),0),1,0)),MAX(0,INT((MIN(IF($E20="",TODAY(),$E20),TODAY())-($D20+MOD(SISTEM!$F$8-WEEKDAY($D20,2),7)))/7)+1)))</f>
        <v/>
      </c>
      <c r="J20" s="222">
        <f>IF(OR($C20="",$D20="",$G20="",$F20=""),0,$G20*IF($F20="Aylık",MAX(0,(YEAR(MIN(IF($E20="",TODAY()-8,$E20),TODAY()-8))-YEAR($D20))*12+MONTH(MIN(IF($E20="",TODAY()-8,$E20),TODAY()-8))-MONTH($D20)+IF(MIN(IF($E20="",TODAY()-8,$E20),TODAY()-8)&gt;=EOMONTH(MIN(IF($E20="",TODAY()-8,$E20),TODAY()-8),0),1,0)),MAX(0,INT((MIN(IF($E20="",TODAY()-8,$E20),TODAY()-8)-($D20+MOD(SISTEM!$F$8-WEEKDAY($D20,2),7)))/7)+1)))</f>
        <v/>
      </c>
      <c r="K20" s="222">
        <f>IF(OR($C20="",$D20="",$G20="",$F20=""),0,$G20*IF($F20="Aylık",MAX(0,(YEAR(MIN(IF($E20="",TODAY()-15,$E20),TODAY()-15))-YEAR($D20))*12+MONTH(MIN(IF($E20="",TODAY()-15,$E20),TODAY()-15))-MONTH($D20)+IF(MIN(IF($E20="",TODAY()-15,$E20),TODAY()-15)&gt;=EOMONTH(MIN(IF($E20="",TODAY()-15,$E20),TODAY()-15),0),1,0)),MAX(0,INT((MIN(IF($E20="",TODAY()-15,$E20),TODAY()-15)-($D20+MOD(SISTEM!$F$8-WEEKDAY($D20,2),7)))/7)+1)))</f>
        <v/>
      </c>
      <c r="L20" s="222">
        <f>IF(OR($C20="",$D20="",$G20="",$F20=""),0,$G20*IF($F20="Aylık",MAX(0,(YEAR(MIN(IF($E20="",TODAY()-29,$E20),TODAY()-29))-YEAR($D20))*12+MONTH(MIN(IF($E20="",TODAY()-29,$E20),TODAY()-29))-MONTH($D20)+IF(MIN(IF($E20="",TODAY()-29,$E20),TODAY()-29)&gt;=EOMONTH(MIN(IF($E20="",TODAY()-29,$E20),TODAY()-29),0),1,0)),MAX(0,INT((MIN(IF($E20="",TODAY()-29,$E20),TODAY()-29)-($D20+MOD(SISTEM!$F$8-WEEKDAY($D20,2),7)))/7)+1)))</f>
        <v/>
      </c>
      <c r="M20" s="223">
        <f>IF($G20&gt;0,$I20/$G20,0)</f>
        <v/>
      </c>
      <c r="N20" s="113">
        <f>IF($C20="","",IF($B20="TANIMSIZ MÜŞTERİ","TANIMSIZ MÜŞTERİ",IF($F20="","MODEL SEÇİN",IF(OR($D20="",$G20&lt;=0),"EKSİK",IF(AND($E20&lt;&gt;"",$E20&lt;$D20),"TARİH HATASI",IF($H20="Pasif","KAPALI DÖNEM","UYGUN"))))))</f>
        <v/>
      </c>
      <c r="O20" s="224">
        <f>IF(OR($C20="",$D20="",$F20=""),"",IF($F20="Aylık",EOMONTH($D20,0),($D20+MOD(SISTEM!$F$8-WEEKDAY($D20,2),7))))</f>
        <v/>
      </c>
      <c r="P20" s="109" t="n"/>
      <c r="Q20" s="6" t="n"/>
      <c r="R20" s="6" t="n"/>
      <c r="S20" s="3">
        <f>IF($B20="","",$B20&amp;"|"&amp;COUNTIFS($B$7:$B20,$B20))</f>
        <v/>
      </c>
      <c r="T20" s="3">
        <f>IF($C20="","",UPPER(SUBSTITUTE(SUBSTITUTE(SUBSTITUTE(SUBSTITUTE(SUBSTITUTE(SUBSTITUTE(SUBSTITUTE(SUBSTITUTE(SUBSTITUTE(SUBSTITUTE(SUBSTITUTE(SUBSTITUTE(SUBSTITUTE(SUBSTITUTE(SUBSTITUTE(SUBSTITUTE(SUBSTITUTE(SUBSTITUTE(TRIM($C20),"'",""),"İ","I"),"ı","I"),"i","I"),"Ş","S"),"ş","S"),"Ğ","G"),"ğ","G"),"Ü","U"),"ü","U"),"Ö","O"),"ö","O"),"Ç","C"),"ç","C"),".",""),",","")," ",""),"-","")))</f>
        <v/>
      </c>
    </row>
    <row r="21">
      <c r="A21" s="6" t="n"/>
      <c r="B21" s="113">
        <f>IF($C21="","",IFERROR(INDEX(MUSTERILER!$B$7:$B$106,MATCH($T21,MUSTERILER!$T$7:$T$106,0)),IFERROR(INDEX(MUSTERILER!$B$7:$B$106,MATCH($C21,MUSTERILER!$B$7:$B$106,0)),IFERROR(INDEX(MUSTERILER!$B$7:$B$106,MATCH($T21&amp;"*",MUSTERILER!$T$7:$T$106,0)),"TANIMSIZ MÜŞTERİ"))))</f>
        <v/>
      </c>
      <c r="C21" s="109" t="inlineStr">
        <is>
          <t>EMRAH SAVURKAN</t>
        </is>
      </c>
      <c r="D21" s="220" t="n">
        <v>46023</v>
      </c>
      <c r="E21" s="220" t="n"/>
      <c r="F21" s="108" t="inlineStr">
        <is>
          <t>Aylık</t>
        </is>
      </c>
      <c r="G21" s="221" t="n">
        <v>2000</v>
      </c>
      <c r="H21" s="108" t="inlineStr">
        <is>
          <t>Aktif</t>
        </is>
      </c>
      <c r="I21" s="222">
        <f>IF(OR($C21="",$D21="",$G21="",$F21=""),0,$G21*IF($F21="Aylık",MAX(0,(YEAR(MIN(IF($E21="",TODAY(),$E21),TODAY()))-YEAR($D21))*12+MONTH(MIN(IF($E21="",TODAY(),$E21),TODAY()))-MONTH($D21)+IF(MIN(IF($E21="",TODAY(),$E21),TODAY())&gt;=EOMONTH(MIN(IF($E21="",TODAY(),$E21),TODAY()),0),1,0)),MAX(0,INT((MIN(IF($E21="",TODAY(),$E21),TODAY())-($D21+MOD(SISTEM!$F$8-WEEKDAY($D21,2),7)))/7)+1)))</f>
        <v/>
      </c>
      <c r="J21" s="222">
        <f>IF(OR($C21="",$D21="",$G21="",$F21=""),0,$G21*IF($F21="Aylık",MAX(0,(YEAR(MIN(IF($E21="",TODAY()-8,$E21),TODAY()-8))-YEAR($D21))*12+MONTH(MIN(IF($E21="",TODAY()-8,$E21),TODAY()-8))-MONTH($D21)+IF(MIN(IF($E21="",TODAY()-8,$E21),TODAY()-8)&gt;=EOMONTH(MIN(IF($E21="",TODAY()-8,$E21),TODAY()-8),0),1,0)),MAX(0,INT((MIN(IF($E21="",TODAY()-8,$E21),TODAY()-8)-($D21+MOD(SISTEM!$F$8-WEEKDAY($D21,2),7)))/7)+1)))</f>
        <v/>
      </c>
      <c r="K21" s="222">
        <f>IF(OR($C21="",$D21="",$G21="",$F21=""),0,$G21*IF($F21="Aylık",MAX(0,(YEAR(MIN(IF($E21="",TODAY()-15,$E21),TODAY()-15))-YEAR($D21))*12+MONTH(MIN(IF($E21="",TODAY()-15,$E21),TODAY()-15))-MONTH($D21)+IF(MIN(IF($E21="",TODAY()-15,$E21),TODAY()-15)&gt;=EOMONTH(MIN(IF($E21="",TODAY()-15,$E21),TODAY()-15),0),1,0)),MAX(0,INT((MIN(IF($E21="",TODAY()-15,$E21),TODAY()-15)-($D21+MOD(SISTEM!$F$8-WEEKDAY($D21,2),7)))/7)+1)))</f>
        <v/>
      </c>
      <c r="L21" s="222">
        <f>IF(OR($C21="",$D21="",$G21="",$F21=""),0,$G21*IF($F21="Aylık",MAX(0,(YEAR(MIN(IF($E21="",TODAY()-29,$E21),TODAY()-29))-YEAR($D21))*12+MONTH(MIN(IF($E21="",TODAY()-29,$E21),TODAY()-29))-MONTH($D21)+IF(MIN(IF($E21="",TODAY()-29,$E21),TODAY()-29)&gt;=EOMONTH(MIN(IF($E21="",TODAY()-29,$E21),TODAY()-29),0),1,0)),MAX(0,INT((MIN(IF($E21="",TODAY()-29,$E21),TODAY()-29)-($D21+MOD(SISTEM!$F$8-WEEKDAY($D21,2),7)))/7)+1)))</f>
        <v/>
      </c>
      <c r="M21" s="223">
        <f>IF($G21&gt;0,$I21/$G21,0)</f>
        <v/>
      </c>
      <c r="N21" s="113">
        <f>IF($C21="","",IF($B21="TANIMSIZ MÜŞTERİ","TANIMSIZ MÜŞTERİ",IF($F21="","MODEL SEÇİN",IF(OR($D21="",$G21&lt;=0),"EKSİK",IF(AND($E21&lt;&gt;"",$E21&lt;$D21),"TARİH HATASI",IF($H21="Pasif","KAPALI DÖNEM","UYGUN"))))))</f>
        <v/>
      </c>
      <c r="O21" s="224">
        <f>IF(OR($C21="",$D21="",$F21=""),"",IF($F21="Aylık",EOMONTH($D21,0),($D21+MOD(SISTEM!$F$8-WEEKDAY($D21,2),7))))</f>
        <v/>
      </c>
      <c r="P21" s="109" t="n"/>
      <c r="Q21" s="6" t="n"/>
      <c r="R21" s="6" t="n"/>
      <c r="S21" s="3">
        <f>IF($B21="","",$B21&amp;"|"&amp;COUNTIFS($B$7:$B21,$B21))</f>
        <v/>
      </c>
      <c r="T21" s="3">
        <f>IF($C21="","",UPPER(SUBSTITUTE(SUBSTITUTE(SUBSTITUTE(SUBSTITUTE(SUBSTITUTE(SUBSTITUTE(SUBSTITUTE(SUBSTITUTE(SUBSTITUTE(SUBSTITUTE(SUBSTITUTE(SUBSTITUTE(SUBSTITUTE(SUBSTITUTE(SUBSTITUTE(SUBSTITUTE(SUBSTITUTE(SUBSTITUTE(TRIM($C21),"'",""),"İ","I"),"ı","I"),"i","I"),"Ş","S"),"ş","S"),"Ğ","G"),"ğ","G"),"Ü","U"),"ü","U"),"Ö","O"),"ö","O"),"Ç","C"),"ç","C"),".",""),",","")," ",""),"-","")))</f>
        <v/>
      </c>
    </row>
    <row r="22">
      <c r="A22" s="6" t="n"/>
      <c r="B22" s="113">
        <f>IF($C22="","",IFERROR(INDEX(MUSTERILER!$B$7:$B$106,MATCH($T22,MUSTERILER!$T$7:$T$106,0)),IFERROR(INDEX(MUSTERILER!$B$7:$B$106,MATCH($C22,MUSTERILER!$B$7:$B$106,0)),IFERROR(INDEX(MUSTERILER!$B$7:$B$106,MATCH($T22&amp;"*",MUSTERILER!$T$7:$T$106,0)),"TANIMSIZ MÜŞTERİ"))))</f>
        <v/>
      </c>
      <c r="C22" s="109" t="inlineStr">
        <is>
          <t>ESERLİ LTD.ŞTİ.</t>
        </is>
      </c>
      <c r="D22" s="220" t="n">
        <v>46023</v>
      </c>
      <c r="E22" s="220" t="n"/>
      <c r="F22" s="108" t="inlineStr">
        <is>
          <t>Haftalık</t>
        </is>
      </c>
      <c r="G22" s="221" t="n">
        <v>3500</v>
      </c>
      <c r="H22" s="108" t="inlineStr">
        <is>
          <t>Aktif</t>
        </is>
      </c>
      <c r="I22" s="222">
        <f>IF(OR($C22="",$D22="",$G22="",$F22=""),0,$G22*IF($F22="Aylık",MAX(0,(YEAR(MIN(IF($E22="",TODAY(),$E22),TODAY()))-YEAR($D22))*12+MONTH(MIN(IF($E22="",TODAY(),$E22),TODAY()))-MONTH($D22)+IF(MIN(IF($E22="",TODAY(),$E22),TODAY())&gt;=EOMONTH(MIN(IF($E22="",TODAY(),$E22),TODAY()),0),1,0)),MAX(0,INT((MIN(IF($E22="",TODAY(),$E22),TODAY())-($D22+MOD(SISTEM!$F$8-WEEKDAY($D22,2),7)))/7)+1)))</f>
        <v/>
      </c>
      <c r="J22" s="222">
        <f>IF(OR($C22="",$D22="",$G22="",$F22=""),0,$G22*IF($F22="Aylık",MAX(0,(YEAR(MIN(IF($E22="",TODAY()-8,$E22),TODAY()-8))-YEAR($D22))*12+MONTH(MIN(IF($E22="",TODAY()-8,$E22),TODAY()-8))-MONTH($D22)+IF(MIN(IF($E22="",TODAY()-8,$E22),TODAY()-8)&gt;=EOMONTH(MIN(IF($E22="",TODAY()-8,$E22),TODAY()-8),0),1,0)),MAX(0,INT((MIN(IF($E22="",TODAY()-8,$E22),TODAY()-8)-($D22+MOD(SISTEM!$F$8-WEEKDAY($D22,2),7)))/7)+1)))</f>
        <v/>
      </c>
      <c r="K22" s="222">
        <f>IF(OR($C22="",$D22="",$G22="",$F22=""),0,$G22*IF($F22="Aylık",MAX(0,(YEAR(MIN(IF($E22="",TODAY()-15,$E22),TODAY()-15))-YEAR($D22))*12+MONTH(MIN(IF($E22="",TODAY()-15,$E22),TODAY()-15))-MONTH($D22)+IF(MIN(IF($E22="",TODAY()-15,$E22),TODAY()-15)&gt;=EOMONTH(MIN(IF($E22="",TODAY()-15,$E22),TODAY()-15),0),1,0)),MAX(0,INT((MIN(IF($E22="",TODAY()-15,$E22),TODAY()-15)-($D22+MOD(SISTEM!$F$8-WEEKDAY($D22,2),7)))/7)+1)))</f>
        <v/>
      </c>
      <c r="L22" s="222">
        <f>IF(OR($C22="",$D22="",$G22="",$F22=""),0,$G22*IF($F22="Aylık",MAX(0,(YEAR(MIN(IF($E22="",TODAY()-29,$E22),TODAY()-29))-YEAR($D22))*12+MONTH(MIN(IF($E22="",TODAY()-29,$E22),TODAY()-29))-MONTH($D22)+IF(MIN(IF($E22="",TODAY()-29,$E22),TODAY()-29)&gt;=EOMONTH(MIN(IF($E22="",TODAY()-29,$E22),TODAY()-29),0),1,0)),MAX(0,INT((MIN(IF($E22="",TODAY()-29,$E22),TODAY()-29)-($D22+MOD(SISTEM!$F$8-WEEKDAY($D22,2),7)))/7)+1)))</f>
        <v/>
      </c>
      <c r="M22" s="223">
        <f>IF($G22&gt;0,$I22/$G22,0)</f>
        <v/>
      </c>
      <c r="N22" s="113">
        <f>IF($C22="","",IF($B22="TANIMSIZ MÜŞTERİ","TANIMSIZ MÜŞTERİ",IF($F22="","MODEL SEÇİN",IF(OR($D22="",$G22&lt;=0),"EKSİK",IF(AND($E22&lt;&gt;"",$E22&lt;$D22),"TARİH HATASI",IF($H22="Pasif","KAPALI DÖNEM","UYGUN"))))))</f>
        <v/>
      </c>
      <c r="O22" s="224">
        <f>IF(OR($C22="",$D22="",$F22=""),"",IF($F22="Aylık",EOMONTH($D22,0),($D22+MOD(SISTEM!$F$8-WEEKDAY($D22,2),7))))</f>
        <v/>
      </c>
      <c r="P22" s="109" t="n"/>
      <c r="Q22" s="6" t="n"/>
      <c r="R22" s="6" t="n"/>
      <c r="S22" s="3">
        <f>IF($B22="","",$B22&amp;"|"&amp;COUNTIFS($B$7:$B22,$B22))</f>
        <v/>
      </c>
      <c r="T22" s="3">
        <f>IF($C22="","",UPPER(SUBSTITUTE(SUBSTITUTE(SUBSTITUTE(SUBSTITUTE(SUBSTITUTE(SUBSTITUTE(SUBSTITUTE(SUBSTITUTE(SUBSTITUTE(SUBSTITUTE(SUBSTITUTE(SUBSTITUTE(SUBSTITUTE(SUBSTITUTE(SUBSTITUTE(SUBSTITUTE(SUBSTITUTE(SUBSTITUTE(TRIM($C22),"'",""),"İ","I"),"ı","I"),"i","I"),"Ş","S"),"ş","S"),"Ğ","G"),"ğ","G"),"Ü","U"),"ü","U"),"Ö","O"),"ö","O"),"Ç","C"),"ç","C"),".",""),",","")," ",""),"-","")))</f>
        <v/>
      </c>
    </row>
    <row r="23">
      <c r="A23" s="6" t="n"/>
      <c r="B23" s="113">
        <f>IF($C23="","",IFERROR(INDEX(MUSTERILER!$B$7:$B$106,MATCH($T23,MUSTERILER!$T$7:$T$106,0)),IFERROR(INDEX(MUSTERILER!$B$7:$B$106,MATCH($C23,MUSTERILER!$B$7:$B$106,0)),IFERROR(INDEX(MUSTERILER!$B$7:$B$106,MATCH($T23&amp;"*",MUSTERILER!$T$7:$T$106,0)),"TANIMSIZ MÜŞTERİ"))))</f>
        <v/>
      </c>
      <c r="C23" s="109" t="inlineStr">
        <is>
          <t>FARUK DEMİRCİ</t>
        </is>
      </c>
      <c r="D23" s="220" t="n">
        <v>46023</v>
      </c>
      <c r="E23" s="220" t="n"/>
      <c r="F23" s="108" t="inlineStr">
        <is>
          <t>Aylık</t>
        </is>
      </c>
      <c r="G23" s="221" t="n">
        <v>2000</v>
      </c>
      <c r="H23" s="108" t="inlineStr">
        <is>
          <t>Aktif</t>
        </is>
      </c>
      <c r="I23" s="222">
        <f>IF(OR($C23="",$D23="",$G23="",$F23=""),0,$G23*IF($F23="Aylık",MAX(0,(YEAR(MIN(IF($E23="",TODAY(),$E23),TODAY()))-YEAR($D23))*12+MONTH(MIN(IF($E23="",TODAY(),$E23),TODAY()))-MONTH($D23)+IF(MIN(IF($E23="",TODAY(),$E23),TODAY())&gt;=EOMONTH(MIN(IF($E23="",TODAY(),$E23),TODAY()),0),1,0)),MAX(0,INT((MIN(IF($E23="",TODAY(),$E23),TODAY())-($D23+MOD(SISTEM!$F$8-WEEKDAY($D23,2),7)))/7)+1)))</f>
        <v/>
      </c>
      <c r="J23" s="222">
        <f>IF(OR($C23="",$D23="",$G23="",$F23=""),0,$G23*IF($F23="Aylık",MAX(0,(YEAR(MIN(IF($E23="",TODAY()-8,$E23),TODAY()-8))-YEAR($D23))*12+MONTH(MIN(IF($E23="",TODAY()-8,$E23),TODAY()-8))-MONTH($D23)+IF(MIN(IF($E23="",TODAY()-8,$E23),TODAY()-8)&gt;=EOMONTH(MIN(IF($E23="",TODAY()-8,$E23),TODAY()-8),0),1,0)),MAX(0,INT((MIN(IF($E23="",TODAY()-8,$E23),TODAY()-8)-($D23+MOD(SISTEM!$F$8-WEEKDAY($D23,2),7)))/7)+1)))</f>
        <v/>
      </c>
      <c r="K23" s="222">
        <f>IF(OR($C23="",$D23="",$G23="",$F23=""),0,$G23*IF($F23="Aylık",MAX(0,(YEAR(MIN(IF($E23="",TODAY()-15,$E23),TODAY()-15))-YEAR($D23))*12+MONTH(MIN(IF($E23="",TODAY()-15,$E23),TODAY()-15))-MONTH($D23)+IF(MIN(IF($E23="",TODAY()-15,$E23),TODAY()-15)&gt;=EOMONTH(MIN(IF($E23="",TODAY()-15,$E23),TODAY()-15),0),1,0)),MAX(0,INT((MIN(IF($E23="",TODAY()-15,$E23),TODAY()-15)-($D23+MOD(SISTEM!$F$8-WEEKDAY($D23,2),7)))/7)+1)))</f>
        <v/>
      </c>
      <c r="L23" s="222">
        <f>IF(OR($C23="",$D23="",$G23="",$F23=""),0,$G23*IF($F23="Aylık",MAX(0,(YEAR(MIN(IF($E23="",TODAY()-29,$E23),TODAY()-29))-YEAR($D23))*12+MONTH(MIN(IF($E23="",TODAY()-29,$E23),TODAY()-29))-MONTH($D23)+IF(MIN(IF($E23="",TODAY()-29,$E23),TODAY()-29)&gt;=EOMONTH(MIN(IF($E23="",TODAY()-29,$E23),TODAY()-29),0),1,0)),MAX(0,INT((MIN(IF($E23="",TODAY()-29,$E23),TODAY()-29)-($D23+MOD(SISTEM!$F$8-WEEKDAY($D23,2),7)))/7)+1)))</f>
        <v/>
      </c>
      <c r="M23" s="223">
        <f>IF($G23&gt;0,$I23/$G23,0)</f>
        <v/>
      </c>
      <c r="N23" s="113">
        <f>IF($C23="","",IF($B23="TANIMSIZ MÜŞTERİ","TANIMSIZ MÜŞTERİ",IF($F23="","MODEL SEÇİN",IF(OR($D23="",$G23&lt;=0),"EKSİK",IF(AND($E23&lt;&gt;"",$E23&lt;$D23),"TARİH HATASI",IF($H23="Pasif","KAPALI DÖNEM","UYGUN"))))))</f>
        <v/>
      </c>
      <c r="O23" s="224">
        <f>IF(OR($C23="",$D23="",$F23=""),"",IF($F23="Aylık",EOMONTH($D23,0),($D23+MOD(SISTEM!$F$8-WEEKDAY($D23,2),7))))</f>
        <v/>
      </c>
      <c r="P23" s="109" t="n"/>
      <c r="Q23" s="6" t="n"/>
      <c r="R23" s="6" t="n"/>
      <c r="S23" s="3">
        <f>IF($B23="","",$B23&amp;"|"&amp;COUNTIFS($B$7:$B23,$B23))</f>
        <v/>
      </c>
      <c r="T23" s="3">
        <f>IF($C23="","",UPPER(SUBSTITUTE(SUBSTITUTE(SUBSTITUTE(SUBSTITUTE(SUBSTITUTE(SUBSTITUTE(SUBSTITUTE(SUBSTITUTE(SUBSTITUTE(SUBSTITUTE(SUBSTITUTE(SUBSTITUTE(SUBSTITUTE(SUBSTITUTE(SUBSTITUTE(SUBSTITUTE(SUBSTITUTE(SUBSTITUTE(TRIM($C23),"'",""),"İ","I"),"ı","I"),"i","I"),"Ş","S"),"ş","S"),"Ğ","G"),"ğ","G"),"Ü","U"),"ü","U"),"Ö","O"),"ö","O"),"Ç","C"),"ç","C"),".",""),",","")," ",""),"-","")))</f>
        <v/>
      </c>
    </row>
    <row r="24">
      <c r="A24" s="6" t="n"/>
      <c r="B24" s="113">
        <f>IF($C24="","",IFERROR(INDEX(MUSTERILER!$B$7:$B$106,MATCH($T24,MUSTERILER!$T$7:$T$106,0)),IFERROR(INDEX(MUSTERILER!$B$7:$B$106,MATCH($C24,MUSTERILER!$B$7:$B$106,0)),IFERROR(INDEX(MUSTERILER!$B$7:$B$106,MATCH($T24&amp;"*",MUSTERILER!$T$7:$T$106,0)),"TANIMSIZ MÜŞTERİ"))))</f>
        <v/>
      </c>
      <c r="C24" s="109" t="inlineStr">
        <is>
          <t>FİNAL SİYAH BEYAZ LTD.ŞTİ.</t>
        </is>
      </c>
      <c r="D24" s="220" t="n">
        <v>46023</v>
      </c>
      <c r="E24" s="220" t="n">
        <v>46115</v>
      </c>
      <c r="F24" s="108" t="inlineStr">
        <is>
          <t>Haftalık</t>
        </is>
      </c>
      <c r="G24" s="221" t="n">
        <v>2000</v>
      </c>
      <c r="H24" s="108" t="inlineStr">
        <is>
          <t>Pasif</t>
        </is>
      </c>
      <c r="I24" s="222">
        <f>IF(OR($C24="",$D24="",$G24="",$F24=""),0,$G24*IF($F24="Aylık",MAX(0,(YEAR(MIN(IF($E24="",TODAY(),$E24),TODAY()))-YEAR($D24))*12+MONTH(MIN(IF($E24="",TODAY(),$E24),TODAY()))-MONTH($D24)+IF(MIN(IF($E24="",TODAY(),$E24),TODAY())&gt;=EOMONTH(MIN(IF($E24="",TODAY(),$E24),TODAY()),0),1,0)),MAX(0,INT((MIN(IF($E24="",TODAY(),$E24),TODAY())-($D24+MOD(SISTEM!$F$8-WEEKDAY($D24,2),7)))/7)+1)))</f>
        <v/>
      </c>
      <c r="J24" s="222">
        <f>IF(OR($C24="",$D24="",$G24="",$F24=""),0,$G24*IF($F24="Aylık",MAX(0,(YEAR(MIN(IF($E24="",TODAY()-8,$E24),TODAY()-8))-YEAR($D24))*12+MONTH(MIN(IF($E24="",TODAY()-8,$E24),TODAY()-8))-MONTH($D24)+IF(MIN(IF($E24="",TODAY()-8,$E24),TODAY()-8)&gt;=EOMONTH(MIN(IF($E24="",TODAY()-8,$E24),TODAY()-8),0),1,0)),MAX(0,INT((MIN(IF($E24="",TODAY()-8,$E24),TODAY()-8)-($D24+MOD(SISTEM!$F$8-WEEKDAY($D24,2),7)))/7)+1)))</f>
        <v/>
      </c>
      <c r="K24" s="222">
        <f>IF(OR($C24="",$D24="",$G24="",$F24=""),0,$G24*IF($F24="Aylık",MAX(0,(YEAR(MIN(IF($E24="",TODAY()-15,$E24),TODAY()-15))-YEAR($D24))*12+MONTH(MIN(IF($E24="",TODAY()-15,$E24),TODAY()-15))-MONTH($D24)+IF(MIN(IF($E24="",TODAY()-15,$E24),TODAY()-15)&gt;=EOMONTH(MIN(IF($E24="",TODAY()-15,$E24),TODAY()-15),0),1,0)),MAX(0,INT((MIN(IF($E24="",TODAY()-15,$E24),TODAY()-15)-($D24+MOD(SISTEM!$F$8-WEEKDAY($D24,2),7)))/7)+1)))</f>
        <v/>
      </c>
      <c r="L24" s="222">
        <f>IF(OR($C24="",$D24="",$G24="",$F24=""),0,$G24*IF($F24="Aylık",MAX(0,(YEAR(MIN(IF($E24="",TODAY()-29,$E24),TODAY()-29))-YEAR($D24))*12+MONTH(MIN(IF($E24="",TODAY()-29,$E24),TODAY()-29))-MONTH($D24)+IF(MIN(IF($E24="",TODAY()-29,$E24),TODAY()-29)&gt;=EOMONTH(MIN(IF($E24="",TODAY()-29,$E24),TODAY()-29),0),1,0)),MAX(0,INT((MIN(IF($E24="",TODAY()-29,$E24),TODAY()-29)-($D24+MOD(SISTEM!$F$8-WEEKDAY($D24,2),7)))/7)+1)))</f>
        <v/>
      </c>
      <c r="M24" s="223">
        <f>IF($G24&gt;0,$I24/$G24,0)</f>
        <v/>
      </c>
      <c r="N24" s="113">
        <f>IF($C24="","",IF($B24="TANIMSIZ MÜŞTERİ","TANIMSIZ MÜŞTERİ",IF($F24="","MODEL SEÇİN",IF(OR($D24="",$G24&lt;=0),"EKSİK",IF(AND($E24&lt;&gt;"",$E24&lt;$D24),"TARİH HATASI",IF($H24="Pasif","KAPALI DÖNEM","UYGUN"))))))</f>
        <v/>
      </c>
      <c r="O24" s="224">
        <f>IF(OR($C24="",$D24="",$F24=""),"",IF($F24="Aylık",EOMONTH($D24,0),($D24+MOD(SISTEM!$F$8-WEEKDAY($D24,2),7))))</f>
        <v/>
      </c>
      <c r="P24" s="109" t="n"/>
      <c r="Q24" s="6" t="n"/>
      <c r="R24" s="6" t="n"/>
      <c r="S24" s="3">
        <f>IF($B24="","",$B24&amp;"|"&amp;COUNTIFS($B$7:$B24,$B24))</f>
        <v/>
      </c>
      <c r="T24" s="3">
        <f>IF($C24="","",UPPER(SUBSTITUTE(SUBSTITUTE(SUBSTITUTE(SUBSTITUTE(SUBSTITUTE(SUBSTITUTE(SUBSTITUTE(SUBSTITUTE(SUBSTITUTE(SUBSTITUTE(SUBSTITUTE(SUBSTITUTE(SUBSTITUTE(SUBSTITUTE(SUBSTITUTE(SUBSTITUTE(SUBSTITUTE(SUBSTITUTE(TRIM($C24),"'",""),"İ","I"),"ı","I"),"i","I"),"Ş","S"),"ş","S"),"Ğ","G"),"ğ","G"),"Ü","U"),"ü","U"),"Ö","O"),"ö","O"),"Ç","C"),"ç","C"),".",""),",","")," ",""),"-","")))</f>
        <v/>
      </c>
    </row>
    <row r="25">
      <c r="A25" s="6" t="n"/>
      <c r="B25" s="113">
        <f>IF($C25="","",IFERROR(INDEX(MUSTERILER!$B$7:$B$106,MATCH($T25,MUSTERILER!$T$7:$T$106,0)),IFERROR(INDEX(MUSTERILER!$B$7:$B$106,MATCH($C25,MUSTERILER!$B$7:$B$106,0)),IFERROR(INDEX(MUSTERILER!$B$7:$B$106,MATCH($T25&amp;"*",MUSTERILER!$T$7:$T$106,0)),"TANIMSIZ MÜŞTERİ"))))</f>
        <v/>
      </c>
      <c r="C25" s="109" t="inlineStr">
        <is>
          <t>HALİL AVŞAR</t>
        </is>
      </c>
      <c r="D25" s="220" t="n">
        <v>46023</v>
      </c>
      <c r="E25" s="220" t="n"/>
      <c r="F25" s="108" t="inlineStr">
        <is>
          <t>Aylık</t>
        </is>
      </c>
      <c r="G25" s="221" t="n">
        <v>3000</v>
      </c>
      <c r="H25" s="108" t="inlineStr">
        <is>
          <t>Aktif</t>
        </is>
      </c>
      <c r="I25" s="222">
        <f>IF(OR($C25="",$D25="",$G25="",$F25=""),0,$G25*IF($F25="Aylık",MAX(0,(YEAR(MIN(IF($E25="",TODAY(),$E25),TODAY()))-YEAR($D25))*12+MONTH(MIN(IF($E25="",TODAY(),$E25),TODAY()))-MONTH($D25)+IF(MIN(IF($E25="",TODAY(),$E25),TODAY())&gt;=EOMONTH(MIN(IF($E25="",TODAY(),$E25),TODAY()),0),1,0)),MAX(0,INT((MIN(IF($E25="",TODAY(),$E25),TODAY())-($D25+MOD(SISTEM!$F$8-WEEKDAY($D25,2),7)))/7)+1)))</f>
        <v/>
      </c>
      <c r="J25" s="222">
        <f>IF(OR($C25="",$D25="",$G25="",$F25=""),0,$G25*IF($F25="Aylık",MAX(0,(YEAR(MIN(IF($E25="",TODAY()-8,$E25),TODAY()-8))-YEAR($D25))*12+MONTH(MIN(IF($E25="",TODAY()-8,$E25),TODAY()-8))-MONTH($D25)+IF(MIN(IF($E25="",TODAY()-8,$E25),TODAY()-8)&gt;=EOMONTH(MIN(IF($E25="",TODAY()-8,$E25),TODAY()-8),0),1,0)),MAX(0,INT((MIN(IF($E25="",TODAY()-8,$E25),TODAY()-8)-($D25+MOD(SISTEM!$F$8-WEEKDAY($D25,2),7)))/7)+1)))</f>
        <v/>
      </c>
      <c r="K25" s="222">
        <f>IF(OR($C25="",$D25="",$G25="",$F25=""),0,$G25*IF($F25="Aylık",MAX(0,(YEAR(MIN(IF($E25="",TODAY()-15,$E25),TODAY()-15))-YEAR($D25))*12+MONTH(MIN(IF($E25="",TODAY()-15,$E25),TODAY()-15))-MONTH($D25)+IF(MIN(IF($E25="",TODAY()-15,$E25),TODAY()-15)&gt;=EOMONTH(MIN(IF($E25="",TODAY()-15,$E25),TODAY()-15),0),1,0)),MAX(0,INT((MIN(IF($E25="",TODAY()-15,$E25),TODAY()-15)-($D25+MOD(SISTEM!$F$8-WEEKDAY($D25,2),7)))/7)+1)))</f>
        <v/>
      </c>
      <c r="L25" s="222">
        <f>IF(OR($C25="",$D25="",$G25="",$F25=""),0,$G25*IF($F25="Aylık",MAX(0,(YEAR(MIN(IF($E25="",TODAY()-29,$E25),TODAY()-29))-YEAR($D25))*12+MONTH(MIN(IF($E25="",TODAY()-29,$E25),TODAY()-29))-MONTH($D25)+IF(MIN(IF($E25="",TODAY()-29,$E25),TODAY()-29)&gt;=EOMONTH(MIN(IF($E25="",TODAY()-29,$E25),TODAY()-29),0),1,0)),MAX(0,INT((MIN(IF($E25="",TODAY()-29,$E25),TODAY()-29)-($D25+MOD(SISTEM!$F$8-WEEKDAY($D25,2),7)))/7)+1)))</f>
        <v/>
      </c>
      <c r="M25" s="223">
        <f>IF($G25&gt;0,$I25/$G25,0)</f>
        <v/>
      </c>
      <c r="N25" s="113">
        <f>IF($C25="","",IF($B25="TANIMSIZ MÜŞTERİ","TANIMSIZ MÜŞTERİ",IF($F25="","MODEL SEÇİN",IF(OR($D25="",$G25&lt;=0),"EKSİK",IF(AND($E25&lt;&gt;"",$E25&lt;$D25),"TARİH HATASI",IF($H25="Pasif","KAPALI DÖNEM","UYGUN"))))))</f>
        <v/>
      </c>
      <c r="O25" s="224">
        <f>IF(OR($C25="",$D25="",$F25=""),"",IF($F25="Aylık",EOMONTH($D25,0),($D25+MOD(SISTEM!$F$8-WEEKDAY($D25,2),7))))</f>
        <v/>
      </c>
      <c r="P25" s="109" t="n"/>
      <c r="Q25" s="6" t="n"/>
      <c r="R25" s="6" t="n"/>
      <c r="S25" s="3">
        <f>IF($B25="","",$B25&amp;"|"&amp;COUNTIFS($B$7:$B25,$B25))</f>
        <v/>
      </c>
      <c r="T25" s="3">
        <f>IF($C25="","",UPPER(SUBSTITUTE(SUBSTITUTE(SUBSTITUTE(SUBSTITUTE(SUBSTITUTE(SUBSTITUTE(SUBSTITUTE(SUBSTITUTE(SUBSTITUTE(SUBSTITUTE(SUBSTITUTE(SUBSTITUTE(SUBSTITUTE(SUBSTITUTE(SUBSTITUTE(SUBSTITUTE(SUBSTITUTE(SUBSTITUTE(TRIM($C25),"'",""),"İ","I"),"ı","I"),"i","I"),"Ş","S"),"ş","S"),"Ğ","G"),"ğ","G"),"Ü","U"),"ü","U"),"Ö","O"),"ö","O"),"Ç","C"),"ç","C"),".",""),",","")," ",""),"-","")))</f>
        <v/>
      </c>
    </row>
    <row r="26">
      <c r="A26" s="6" t="n"/>
      <c r="B26" s="113">
        <f>IF($C26="","",IFERROR(INDEX(MUSTERILER!$B$7:$B$106,MATCH($T26,MUSTERILER!$T$7:$T$106,0)),IFERROR(INDEX(MUSTERILER!$B$7:$B$106,MATCH($C26,MUSTERILER!$B$7:$B$106,0)),IFERROR(INDEX(MUSTERILER!$B$7:$B$106,MATCH($T26&amp;"*",MUSTERILER!$T$7:$T$106,0)),"TANIMSIZ MÜŞTERİ"))))</f>
        <v/>
      </c>
      <c r="C26" s="109" t="inlineStr">
        <is>
          <t>HAYDAR KAYA</t>
        </is>
      </c>
      <c r="D26" s="220" t="n">
        <v>46023</v>
      </c>
      <c r="E26" s="220" t="n"/>
      <c r="F26" s="108" t="inlineStr">
        <is>
          <t>Aylık</t>
        </is>
      </c>
      <c r="G26" s="221" t="n">
        <v>1000</v>
      </c>
      <c r="H26" s="108" t="inlineStr">
        <is>
          <t>Aktif</t>
        </is>
      </c>
      <c r="I26" s="222">
        <f>IF(OR($C26="",$D26="",$G26="",$F26=""),0,$G26*IF($F26="Aylık",MAX(0,(YEAR(MIN(IF($E26="",TODAY(),$E26),TODAY()))-YEAR($D26))*12+MONTH(MIN(IF($E26="",TODAY(),$E26),TODAY()))-MONTH($D26)+IF(MIN(IF($E26="",TODAY(),$E26),TODAY())&gt;=EOMONTH(MIN(IF($E26="",TODAY(),$E26),TODAY()),0),1,0)),MAX(0,INT((MIN(IF($E26="",TODAY(),$E26),TODAY())-($D26+MOD(SISTEM!$F$8-WEEKDAY($D26,2),7)))/7)+1)))</f>
        <v/>
      </c>
      <c r="J26" s="222">
        <f>IF(OR($C26="",$D26="",$G26="",$F26=""),0,$G26*IF($F26="Aylık",MAX(0,(YEAR(MIN(IF($E26="",TODAY()-8,$E26),TODAY()-8))-YEAR($D26))*12+MONTH(MIN(IF($E26="",TODAY()-8,$E26),TODAY()-8))-MONTH($D26)+IF(MIN(IF($E26="",TODAY()-8,$E26),TODAY()-8)&gt;=EOMONTH(MIN(IF($E26="",TODAY()-8,$E26),TODAY()-8),0),1,0)),MAX(0,INT((MIN(IF($E26="",TODAY()-8,$E26),TODAY()-8)-($D26+MOD(SISTEM!$F$8-WEEKDAY($D26,2),7)))/7)+1)))</f>
        <v/>
      </c>
      <c r="K26" s="222">
        <f>IF(OR($C26="",$D26="",$G26="",$F26=""),0,$G26*IF($F26="Aylık",MAX(0,(YEAR(MIN(IF($E26="",TODAY()-15,$E26),TODAY()-15))-YEAR($D26))*12+MONTH(MIN(IF($E26="",TODAY()-15,$E26),TODAY()-15))-MONTH($D26)+IF(MIN(IF($E26="",TODAY()-15,$E26),TODAY()-15)&gt;=EOMONTH(MIN(IF($E26="",TODAY()-15,$E26),TODAY()-15),0),1,0)),MAX(0,INT((MIN(IF($E26="",TODAY()-15,$E26),TODAY()-15)-($D26+MOD(SISTEM!$F$8-WEEKDAY($D26,2),7)))/7)+1)))</f>
        <v/>
      </c>
      <c r="L26" s="222">
        <f>IF(OR($C26="",$D26="",$G26="",$F26=""),0,$G26*IF($F26="Aylık",MAX(0,(YEAR(MIN(IF($E26="",TODAY()-29,$E26),TODAY()-29))-YEAR($D26))*12+MONTH(MIN(IF($E26="",TODAY()-29,$E26),TODAY()-29))-MONTH($D26)+IF(MIN(IF($E26="",TODAY()-29,$E26),TODAY()-29)&gt;=EOMONTH(MIN(IF($E26="",TODAY()-29,$E26),TODAY()-29),0),1,0)),MAX(0,INT((MIN(IF($E26="",TODAY()-29,$E26),TODAY()-29)-($D26+MOD(SISTEM!$F$8-WEEKDAY($D26,2),7)))/7)+1)))</f>
        <v/>
      </c>
      <c r="M26" s="223">
        <f>IF($G26&gt;0,$I26/$G26,0)</f>
        <v/>
      </c>
      <c r="N26" s="113">
        <f>IF($C26="","",IF($B26="TANIMSIZ MÜŞTERİ","TANIMSIZ MÜŞTERİ",IF($F26="","MODEL SEÇİN",IF(OR($D26="",$G26&lt;=0),"EKSİK",IF(AND($E26&lt;&gt;"",$E26&lt;$D26),"TARİH HATASI",IF($H26="Pasif","KAPALI DÖNEM","UYGUN"))))))</f>
        <v/>
      </c>
      <c r="O26" s="224">
        <f>IF(OR($C26="",$D26="",$F26=""),"",IF($F26="Aylık",EOMONTH($D26,0),($D26+MOD(SISTEM!$F$8-WEEKDAY($D26,2),7))))</f>
        <v/>
      </c>
      <c r="P26" s="109" t="n"/>
      <c r="Q26" s="6" t="n"/>
      <c r="R26" s="6" t="n"/>
      <c r="S26" s="3">
        <f>IF($B26="","",$B26&amp;"|"&amp;COUNTIFS($B$7:$B26,$B26))</f>
        <v/>
      </c>
      <c r="T26" s="3">
        <f>IF($C26="","",UPPER(SUBSTITUTE(SUBSTITUTE(SUBSTITUTE(SUBSTITUTE(SUBSTITUTE(SUBSTITUTE(SUBSTITUTE(SUBSTITUTE(SUBSTITUTE(SUBSTITUTE(SUBSTITUTE(SUBSTITUTE(SUBSTITUTE(SUBSTITUTE(SUBSTITUTE(SUBSTITUTE(SUBSTITUTE(SUBSTITUTE(TRIM($C26),"'",""),"İ","I"),"ı","I"),"i","I"),"Ş","S"),"ş","S"),"Ğ","G"),"ğ","G"),"Ü","U"),"ü","U"),"Ö","O"),"ö","O"),"Ç","C"),"ç","C"),".",""),",","")," ",""),"-","")))</f>
        <v/>
      </c>
    </row>
    <row r="27">
      <c r="A27" s="6" t="n"/>
      <c r="B27" s="113">
        <f>IF($C27="","",IFERROR(INDEX(MUSTERILER!$B$7:$B$106,MATCH($T27,MUSTERILER!$T$7:$T$106,0)),IFERROR(INDEX(MUSTERILER!$B$7:$B$106,MATCH($C27,MUSTERILER!$B$7:$B$106,0)),IFERROR(INDEX(MUSTERILER!$B$7:$B$106,MATCH($T27&amp;"*",MUSTERILER!$T$7:$T$106,0)),"TANIMSIZ MÜŞTERİ"))))</f>
        <v/>
      </c>
      <c r="C27" s="109" t="inlineStr">
        <is>
          <t>IŞIL GRUP LTD.ŞTİ.</t>
        </is>
      </c>
      <c r="D27" s="220" t="n">
        <v>46023</v>
      </c>
      <c r="E27" s="220" t="n"/>
      <c r="F27" s="108" t="inlineStr">
        <is>
          <t>Aylık</t>
        </is>
      </c>
      <c r="G27" s="221" t="n">
        <v>7500</v>
      </c>
      <c r="H27" s="108" t="inlineStr">
        <is>
          <t>Aktif</t>
        </is>
      </c>
      <c r="I27" s="222">
        <f>IF(OR($C27="",$D27="",$G27="",$F27=""),0,$G27*IF($F27="Aylık",MAX(0,(YEAR(MIN(IF($E27="",TODAY(),$E27),TODAY()))-YEAR($D27))*12+MONTH(MIN(IF($E27="",TODAY(),$E27),TODAY()))-MONTH($D27)+IF(MIN(IF($E27="",TODAY(),$E27),TODAY())&gt;=EOMONTH(MIN(IF($E27="",TODAY(),$E27),TODAY()),0),1,0)),MAX(0,INT((MIN(IF($E27="",TODAY(),$E27),TODAY())-($D27+MOD(SISTEM!$F$8-WEEKDAY($D27,2),7)))/7)+1)))</f>
        <v/>
      </c>
      <c r="J27" s="222">
        <f>IF(OR($C27="",$D27="",$G27="",$F27=""),0,$G27*IF($F27="Aylık",MAX(0,(YEAR(MIN(IF($E27="",TODAY()-8,$E27),TODAY()-8))-YEAR($D27))*12+MONTH(MIN(IF($E27="",TODAY()-8,$E27),TODAY()-8))-MONTH($D27)+IF(MIN(IF($E27="",TODAY()-8,$E27),TODAY()-8)&gt;=EOMONTH(MIN(IF($E27="",TODAY()-8,$E27),TODAY()-8),0),1,0)),MAX(0,INT((MIN(IF($E27="",TODAY()-8,$E27),TODAY()-8)-($D27+MOD(SISTEM!$F$8-WEEKDAY($D27,2),7)))/7)+1)))</f>
        <v/>
      </c>
      <c r="K27" s="222">
        <f>IF(OR($C27="",$D27="",$G27="",$F27=""),0,$G27*IF($F27="Aylık",MAX(0,(YEAR(MIN(IF($E27="",TODAY()-15,$E27),TODAY()-15))-YEAR($D27))*12+MONTH(MIN(IF($E27="",TODAY()-15,$E27),TODAY()-15))-MONTH($D27)+IF(MIN(IF($E27="",TODAY()-15,$E27),TODAY()-15)&gt;=EOMONTH(MIN(IF($E27="",TODAY()-15,$E27),TODAY()-15),0),1,0)),MAX(0,INT((MIN(IF($E27="",TODAY()-15,$E27),TODAY()-15)-($D27+MOD(SISTEM!$F$8-WEEKDAY($D27,2),7)))/7)+1)))</f>
        <v/>
      </c>
      <c r="L27" s="222">
        <f>IF(OR($C27="",$D27="",$G27="",$F27=""),0,$G27*IF($F27="Aylık",MAX(0,(YEAR(MIN(IF($E27="",TODAY()-29,$E27),TODAY()-29))-YEAR($D27))*12+MONTH(MIN(IF($E27="",TODAY()-29,$E27),TODAY()-29))-MONTH($D27)+IF(MIN(IF($E27="",TODAY()-29,$E27),TODAY()-29)&gt;=EOMONTH(MIN(IF($E27="",TODAY()-29,$E27),TODAY()-29),0),1,0)),MAX(0,INT((MIN(IF($E27="",TODAY()-29,$E27),TODAY()-29)-($D27+MOD(SISTEM!$F$8-WEEKDAY($D27,2),7)))/7)+1)))</f>
        <v/>
      </c>
      <c r="M27" s="223">
        <f>IF($G27&gt;0,$I27/$G27,0)</f>
        <v/>
      </c>
      <c r="N27" s="113">
        <f>IF($C27="","",IF($B27="TANIMSIZ MÜŞTERİ","TANIMSIZ MÜŞTERİ",IF($F27="","MODEL SEÇİN",IF(OR($D27="",$G27&lt;=0),"EKSİK",IF(AND($E27&lt;&gt;"",$E27&lt;$D27),"TARİH HATASI",IF($H27="Pasif","KAPALI DÖNEM","UYGUN"))))))</f>
        <v/>
      </c>
      <c r="O27" s="224">
        <f>IF(OR($C27="",$D27="",$F27=""),"",IF($F27="Aylık",EOMONTH($D27,0),($D27+MOD(SISTEM!$F$8-WEEKDAY($D27,2),7))))</f>
        <v/>
      </c>
      <c r="P27" s="109" t="n"/>
      <c r="Q27" s="6" t="n"/>
      <c r="R27" s="6" t="n"/>
      <c r="S27" s="3">
        <f>IF($B27="","",$B27&amp;"|"&amp;COUNTIFS($B$7:$B27,$B27))</f>
        <v/>
      </c>
      <c r="T27" s="3">
        <f>IF($C27="","",UPPER(SUBSTITUTE(SUBSTITUTE(SUBSTITUTE(SUBSTITUTE(SUBSTITUTE(SUBSTITUTE(SUBSTITUTE(SUBSTITUTE(SUBSTITUTE(SUBSTITUTE(SUBSTITUTE(SUBSTITUTE(SUBSTITUTE(SUBSTITUTE(SUBSTITUTE(SUBSTITUTE(SUBSTITUTE(SUBSTITUTE(TRIM($C27),"'",""),"İ","I"),"ı","I"),"i","I"),"Ş","S"),"ş","S"),"Ğ","G"),"ğ","G"),"Ü","U"),"ü","U"),"Ö","O"),"ö","O"),"Ç","C"),"ç","C"),".",""),",","")," ",""),"-","")))</f>
        <v/>
      </c>
    </row>
    <row r="28">
      <c r="A28" s="6" t="n"/>
      <c r="B28" s="113">
        <f>IF($C28="","",IFERROR(INDEX(MUSTERILER!$B$7:$B$106,MATCH($T28,MUSTERILER!$T$7:$T$106,0)),IFERROR(INDEX(MUSTERILER!$B$7:$B$106,MATCH($C28,MUSTERILER!$B$7:$B$106,0)),IFERROR(INDEX(MUSTERILER!$B$7:$B$106,MATCH($T28&amp;"*",MUSTERILER!$T$7:$T$106,0)),"TANIMSIZ MÜŞTERİ"))))</f>
        <v/>
      </c>
      <c r="C28" s="109" t="inlineStr">
        <is>
          <t>İBRAHİM MALDAN</t>
        </is>
      </c>
      <c r="D28" s="220" t="n">
        <v>46023</v>
      </c>
      <c r="E28" s="220" t="n">
        <v>46081</v>
      </c>
      <c r="F28" s="108" t="inlineStr">
        <is>
          <t>Haftalık</t>
        </is>
      </c>
      <c r="G28" s="221" t="n">
        <v>1500</v>
      </c>
      <c r="H28" s="108" t="inlineStr">
        <is>
          <t>Pasif</t>
        </is>
      </c>
      <c r="I28" s="222">
        <f>IF(OR($C28="",$D28="",$G28="",$F28=""),0,$G28*IF($F28="Aylık",MAX(0,(YEAR(MIN(IF($E28="",TODAY(),$E28),TODAY()))-YEAR($D28))*12+MONTH(MIN(IF($E28="",TODAY(),$E28),TODAY()))-MONTH($D28)+IF(MIN(IF($E28="",TODAY(),$E28),TODAY())&gt;=EOMONTH(MIN(IF($E28="",TODAY(),$E28),TODAY()),0),1,0)),MAX(0,INT((MIN(IF($E28="",TODAY(),$E28),TODAY())-($D28+MOD(SISTEM!$F$8-WEEKDAY($D28,2),7)))/7)+1)))</f>
        <v/>
      </c>
      <c r="J28" s="222">
        <f>IF(OR($C28="",$D28="",$G28="",$F28=""),0,$G28*IF($F28="Aylık",MAX(0,(YEAR(MIN(IF($E28="",TODAY()-8,$E28),TODAY()-8))-YEAR($D28))*12+MONTH(MIN(IF($E28="",TODAY()-8,$E28),TODAY()-8))-MONTH($D28)+IF(MIN(IF($E28="",TODAY()-8,$E28),TODAY()-8)&gt;=EOMONTH(MIN(IF($E28="",TODAY()-8,$E28),TODAY()-8),0),1,0)),MAX(0,INT((MIN(IF($E28="",TODAY()-8,$E28),TODAY()-8)-($D28+MOD(SISTEM!$F$8-WEEKDAY($D28,2),7)))/7)+1)))</f>
        <v/>
      </c>
      <c r="K28" s="222">
        <f>IF(OR($C28="",$D28="",$G28="",$F28=""),0,$G28*IF($F28="Aylık",MAX(0,(YEAR(MIN(IF($E28="",TODAY()-15,$E28),TODAY()-15))-YEAR($D28))*12+MONTH(MIN(IF($E28="",TODAY()-15,$E28),TODAY()-15))-MONTH($D28)+IF(MIN(IF($E28="",TODAY()-15,$E28),TODAY()-15)&gt;=EOMONTH(MIN(IF($E28="",TODAY()-15,$E28),TODAY()-15),0),1,0)),MAX(0,INT((MIN(IF($E28="",TODAY()-15,$E28),TODAY()-15)-($D28+MOD(SISTEM!$F$8-WEEKDAY($D28,2),7)))/7)+1)))</f>
        <v/>
      </c>
      <c r="L28" s="222">
        <f>IF(OR($C28="",$D28="",$G28="",$F28=""),0,$G28*IF($F28="Aylık",MAX(0,(YEAR(MIN(IF($E28="",TODAY()-29,$E28),TODAY()-29))-YEAR($D28))*12+MONTH(MIN(IF($E28="",TODAY()-29,$E28),TODAY()-29))-MONTH($D28)+IF(MIN(IF($E28="",TODAY()-29,$E28),TODAY()-29)&gt;=EOMONTH(MIN(IF($E28="",TODAY()-29,$E28),TODAY()-29),0),1,0)),MAX(0,INT((MIN(IF($E28="",TODAY()-29,$E28),TODAY()-29)-($D28+MOD(SISTEM!$F$8-WEEKDAY($D28,2),7)))/7)+1)))</f>
        <v/>
      </c>
      <c r="M28" s="223">
        <f>IF($G28&gt;0,$I28/$G28,0)</f>
        <v/>
      </c>
      <c r="N28" s="113">
        <f>IF($C28="","",IF($B28="TANIMSIZ MÜŞTERİ","TANIMSIZ MÜŞTERİ",IF($F28="","MODEL SEÇİN",IF(OR($D28="",$G28&lt;=0),"EKSİK",IF(AND($E28&lt;&gt;"",$E28&lt;$D28),"TARİH HATASI",IF($H28="Pasif","KAPALI DÖNEM","UYGUN"))))))</f>
        <v/>
      </c>
      <c r="O28" s="224">
        <f>IF(OR($C28="",$D28="",$F28=""),"",IF($F28="Aylık",EOMONTH($D28,0),($D28+MOD(SISTEM!$F$8-WEEKDAY($D28,2),7))))</f>
        <v/>
      </c>
      <c r="P28" s="109" t="n"/>
      <c r="Q28" s="6" t="n"/>
      <c r="R28" s="6" t="n"/>
      <c r="S28" s="3">
        <f>IF($B28="","",$B28&amp;"|"&amp;COUNTIFS($B$7:$B28,$B28))</f>
        <v/>
      </c>
      <c r="T28" s="3">
        <f>IF($C28="","",UPPER(SUBSTITUTE(SUBSTITUTE(SUBSTITUTE(SUBSTITUTE(SUBSTITUTE(SUBSTITUTE(SUBSTITUTE(SUBSTITUTE(SUBSTITUTE(SUBSTITUTE(SUBSTITUTE(SUBSTITUTE(SUBSTITUTE(SUBSTITUTE(SUBSTITUTE(SUBSTITUTE(SUBSTITUTE(SUBSTITUTE(TRIM($C28),"'",""),"İ","I"),"ı","I"),"i","I"),"Ş","S"),"ş","S"),"Ğ","G"),"ğ","G"),"Ü","U"),"ü","U"),"Ö","O"),"ö","O"),"Ç","C"),"ç","C"),".",""),",","")," ",""),"-","")))</f>
        <v/>
      </c>
    </row>
    <row r="29">
      <c r="A29" s="6" t="n"/>
      <c r="B29" s="113">
        <f>IF($C29="","",IFERROR(INDEX(MUSTERILER!$B$7:$B$106,MATCH($T29,MUSTERILER!$T$7:$T$106,0)),IFERROR(INDEX(MUSTERILER!$B$7:$B$106,MATCH($C29,MUSTERILER!$B$7:$B$106,0)),IFERROR(INDEX(MUSTERILER!$B$7:$B$106,MATCH($T29&amp;"*",MUSTERILER!$T$7:$T$106,0)),"TANIMSIZ MÜŞTERİ"))))</f>
        <v/>
      </c>
      <c r="C29" s="109" t="inlineStr">
        <is>
          <t>İLDEŞ LTD.ŞTİ.</t>
        </is>
      </c>
      <c r="D29" s="220" t="n">
        <v>46023</v>
      </c>
      <c r="E29" s="220" t="n">
        <v>46112</v>
      </c>
      <c r="F29" s="108" t="inlineStr">
        <is>
          <t>Haftalık</t>
        </is>
      </c>
      <c r="G29" s="221" t="n">
        <v>2000</v>
      </c>
      <c r="H29" s="108" t="inlineStr">
        <is>
          <t>Pasif</t>
        </is>
      </c>
      <c r="I29" s="222">
        <f>IF(OR($C29="",$D29="",$G29="",$F29=""),0,$G29*IF($F29="Aylık",MAX(0,(YEAR(MIN(IF($E29="",TODAY(),$E29),TODAY()))-YEAR($D29))*12+MONTH(MIN(IF($E29="",TODAY(),$E29),TODAY()))-MONTH($D29)+IF(MIN(IF($E29="",TODAY(),$E29),TODAY())&gt;=EOMONTH(MIN(IF($E29="",TODAY(),$E29),TODAY()),0),1,0)),MAX(0,INT((MIN(IF($E29="",TODAY(),$E29),TODAY())-($D29+MOD(SISTEM!$F$8-WEEKDAY($D29,2),7)))/7)+1)))</f>
        <v/>
      </c>
      <c r="J29" s="222">
        <f>IF(OR($C29="",$D29="",$G29="",$F29=""),0,$G29*IF($F29="Aylık",MAX(0,(YEAR(MIN(IF($E29="",TODAY()-8,$E29),TODAY()-8))-YEAR($D29))*12+MONTH(MIN(IF($E29="",TODAY()-8,$E29),TODAY()-8))-MONTH($D29)+IF(MIN(IF($E29="",TODAY()-8,$E29),TODAY()-8)&gt;=EOMONTH(MIN(IF($E29="",TODAY()-8,$E29),TODAY()-8),0),1,0)),MAX(0,INT((MIN(IF($E29="",TODAY()-8,$E29),TODAY()-8)-($D29+MOD(SISTEM!$F$8-WEEKDAY($D29,2),7)))/7)+1)))</f>
        <v/>
      </c>
      <c r="K29" s="222">
        <f>IF(OR($C29="",$D29="",$G29="",$F29=""),0,$G29*IF($F29="Aylık",MAX(0,(YEAR(MIN(IF($E29="",TODAY()-15,$E29),TODAY()-15))-YEAR($D29))*12+MONTH(MIN(IF($E29="",TODAY()-15,$E29),TODAY()-15))-MONTH($D29)+IF(MIN(IF($E29="",TODAY()-15,$E29),TODAY()-15)&gt;=EOMONTH(MIN(IF($E29="",TODAY()-15,$E29),TODAY()-15),0),1,0)),MAX(0,INT((MIN(IF($E29="",TODAY()-15,$E29),TODAY()-15)-($D29+MOD(SISTEM!$F$8-WEEKDAY($D29,2),7)))/7)+1)))</f>
        <v/>
      </c>
      <c r="L29" s="222">
        <f>IF(OR($C29="",$D29="",$G29="",$F29=""),0,$G29*IF($F29="Aylık",MAX(0,(YEAR(MIN(IF($E29="",TODAY()-29,$E29),TODAY()-29))-YEAR($D29))*12+MONTH(MIN(IF($E29="",TODAY()-29,$E29),TODAY()-29))-MONTH($D29)+IF(MIN(IF($E29="",TODAY()-29,$E29),TODAY()-29)&gt;=EOMONTH(MIN(IF($E29="",TODAY()-29,$E29),TODAY()-29),0),1,0)),MAX(0,INT((MIN(IF($E29="",TODAY()-29,$E29),TODAY()-29)-($D29+MOD(SISTEM!$F$8-WEEKDAY($D29,2),7)))/7)+1)))</f>
        <v/>
      </c>
      <c r="M29" s="223">
        <f>IF($G29&gt;0,$I29/$G29,0)</f>
        <v/>
      </c>
      <c r="N29" s="113">
        <f>IF($C29="","",IF($B29="TANIMSIZ MÜŞTERİ","TANIMSIZ MÜŞTERİ",IF($F29="","MODEL SEÇİN",IF(OR($D29="",$G29&lt;=0),"EKSİK",IF(AND($E29&lt;&gt;"",$E29&lt;$D29),"TARİH HATASI",IF($H29="Pasif","KAPALI DÖNEM","UYGUN"))))))</f>
        <v/>
      </c>
      <c r="O29" s="224">
        <f>IF(OR($C29="",$D29="",$F29=""),"",IF($F29="Aylık",EOMONTH($D29,0),($D29+MOD(SISTEM!$F$8-WEEKDAY($D29,2),7))))</f>
        <v/>
      </c>
      <c r="P29" s="109" t="n"/>
      <c r="Q29" s="6" t="n"/>
      <c r="R29" s="6" t="n"/>
      <c r="S29" s="3">
        <f>IF($B29="","",$B29&amp;"|"&amp;COUNTIFS($B$7:$B29,$B29))</f>
        <v/>
      </c>
      <c r="T29" s="3">
        <f>IF($C29="","",UPPER(SUBSTITUTE(SUBSTITUTE(SUBSTITUTE(SUBSTITUTE(SUBSTITUTE(SUBSTITUTE(SUBSTITUTE(SUBSTITUTE(SUBSTITUTE(SUBSTITUTE(SUBSTITUTE(SUBSTITUTE(SUBSTITUTE(SUBSTITUTE(SUBSTITUTE(SUBSTITUTE(SUBSTITUTE(SUBSTITUTE(TRIM($C29),"'",""),"İ","I"),"ı","I"),"i","I"),"Ş","S"),"ş","S"),"Ğ","G"),"ğ","G"),"Ü","U"),"ü","U"),"Ö","O"),"ö","O"),"Ç","C"),"ç","C"),".",""),",","")," ",""),"-","")))</f>
        <v/>
      </c>
    </row>
    <row r="30">
      <c r="A30" s="6" t="n"/>
      <c r="B30" s="113">
        <f>IF($C30="","",IFERROR(INDEX(MUSTERILER!$B$7:$B$106,MATCH($T30,MUSTERILER!$T$7:$T$106,0)),IFERROR(INDEX(MUSTERILER!$B$7:$B$106,MATCH($C30,MUSTERILER!$B$7:$B$106,0)),IFERROR(INDEX(MUSTERILER!$B$7:$B$106,MATCH($T30&amp;"*",MUSTERILER!$T$7:$T$106,0)),"TANIMSIZ MÜŞTERİ"))))</f>
        <v/>
      </c>
      <c r="C30" s="109" t="inlineStr">
        <is>
          <t>İSA DEMİRCİ</t>
        </is>
      </c>
      <c r="D30" s="220" t="n">
        <v>46023</v>
      </c>
      <c r="E30" s="220" t="n"/>
      <c r="F30" s="108" t="inlineStr">
        <is>
          <t>Aylık</t>
        </is>
      </c>
      <c r="G30" s="221" t="n">
        <v>3500</v>
      </c>
      <c r="H30" s="108" t="inlineStr">
        <is>
          <t>Aktif</t>
        </is>
      </c>
      <c r="I30" s="222">
        <f>IF(OR($C30="",$D30="",$G30="",$F30=""),0,$G30*IF($F30="Aylık",MAX(0,(YEAR(MIN(IF($E30="",TODAY(),$E30),TODAY()))-YEAR($D30))*12+MONTH(MIN(IF($E30="",TODAY(),$E30),TODAY()))-MONTH($D30)+IF(MIN(IF($E30="",TODAY(),$E30),TODAY())&gt;=EOMONTH(MIN(IF($E30="",TODAY(),$E30),TODAY()),0),1,0)),MAX(0,INT((MIN(IF($E30="",TODAY(),$E30),TODAY())-($D30+MOD(SISTEM!$F$8-WEEKDAY($D30,2),7)))/7)+1)))</f>
        <v/>
      </c>
      <c r="J30" s="222">
        <f>IF(OR($C30="",$D30="",$G30="",$F30=""),0,$G30*IF($F30="Aylık",MAX(0,(YEAR(MIN(IF($E30="",TODAY()-8,$E30),TODAY()-8))-YEAR($D30))*12+MONTH(MIN(IF($E30="",TODAY()-8,$E30),TODAY()-8))-MONTH($D30)+IF(MIN(IF($E30="",TODAY()-8,$E30),TODAY()-8)&gt;=EOMONTH(MIN(IF($E30="",TODAY()-8,$E30),TODAY()-8),0),1,0)),MAX(0,INT((MIN(IF($E30="",TODAY()-8,$E30),TODAY()-8)-($D30+MOD(SISTEM!$F$8-WEEKDAY($D30,2),7)))/7)+1)))</f>
        <v/>
      </c>
      <c r="K30" s="222">
        <f>IF(OR($C30="",$D30="",$G30="",$F30=""),0,$G30*IF($F30="Aylık",MAX(0,(YEAR(MIN(IF($E30="",TODAY()-15,$E30),TODAY()-15))-YEAR($D30))*12+MONTH(MIN(IF($E30="",TODAY()-15,$E30),TODAY()-15))-MONTH($D30)+IF(MIN(IF($E30="",TODAY()-15,$E30),TODAY()-15)&gt;=EOMONTH(MIN(IF($E30="",TODAY()-15,$E30),TODAY()-15),0),1,0)),MAX(0,INT((MIN(IF($E30="",TODAY()-15,$E30),TODAY()-15)-($D30+MOD(SISTEM!$F$8-WEEKDAY($D30,2),7)))/7)+1)))</f>
        <v/>
      </c>
      <c r="L30" s="222">
        <f>IF(OR($C30="",$D30="",$G30="",$F30=""),0,$G30*IF($F30="Aylık",MAX(0,(YEAR(MIN(IF($E30="",TODAY()-29,$E30),TODAY()-29))-YEAR($D30))*12+MONTH(MIN(IF($E30="",TODAY()-29,$E30),TODAY()-29))-MONTH($D30)+IF(MIN(IF($E30="",TODAY()-29,$E30),TODAY()-29)&gt;=EOMONTH(MIN(IF($E30="",TODAY()-29,$E30),TODAY()-29),0),1,0)),MAX(0,INT((MIN(IF($E30="",TODAY()-29,$E30),TODAY()-29)-($D30+MOD(SISTEM!$F$8-WEEKDAY($D30,2),7)))/7)+1)))</f>
        <v/>
      </c>
      <c r="M30" s="223">
        <f>IF($G30&gt;0,$I30/$G30,0)</f>
        <v/>
      </c>
      <c r="N30" s="113">
        <f>IF($C30="","",IF($B30="TANIMSIZ MÜŞTERİ","TANIMSIZ MÜŞTERİ",IF($F30="","MODEL SEÇİN",IF(OR($D30="",$G30&lt;=0),"EKSİK",IF(AND($E30&lt;&gt;"",$E30&lt;$D30),"TARİH HATASI",IF($H30="Pasif","KAPALI DÖNEM","UYGUN"))))))</f>
        <v/>
      </c>
      <c r="O30" s="224">
        <f>IF(OR($C30="",$D30="",$F30=""),"",IF($F30="Aylık",EOMONTH($D30,0),($D30+MOD(SISTEM!$F$8-WEEKDAY($D30,2),7))))</f>
        <v/>
      </c>
      <c r="P30" s="109" t="n"/>
      <c r="Q30" s="6" t="n"/>
      <c r="R30" s="6" t="n"/>
      <c r="S30" s="3">
        <f>IF($B30="","",$B30&amp;"|"&amp;COUNTIFS($B$7:$B30,$B30))</f>
        <v/>
      </c>
      <c r="T30" s="3">
        <f>IF($C30="","",UPPER(SUBSTITUTE(SUBSTITUTE(SUBSTITUTE(SUBSTITUTE(SUBSTITUTE(SUBSTITUTE(SUBSTITUTE(SUBSTITUTE(SUBSTITUTE(SUBSTITUTE(SUBSTITUTE(SUBSTITUTE(SUBSTITUTE(SUBSTITUTE(SUBSTITUTE(SUBSTITUTE(SUBSTITUTE(SUBSTITUTE(TRIM($C30),"'",""),"İ","I"),"ı","I"),"i","I"),"Ş","S"),"ş","S"),"Ğ","G"),"ğ","G"),"Ü","U"),"ü","U"),"Ö","O"),"ö","O"),"Ç","C"),"ç","C"),".",""),",","")," ",""),"-","")))</f>
        <v/>
      </c>
    </row>
    <row r="31">
      <c r="A31" s="6" t="n"/>
      <c r="B31" s="113">
        <f>IF($C31="","",IFERROR(INDEX(MUSTERILER!$B$7:$B$106,MATCH($T31,MUSTERILER!$T$7:$T$106,0)),IFERROR(INDEX(MUSTERILER!$B$7:$B$106,MATCH($C31,MUSTERILER!$B$7:$B$106,0)),IFERROR(INDEX(MUSTERILER!$B$7:$B$106,MATCH($T31&amp;"*",MUSTERILER!$T$7:$T$106,0)),"TANIMSIZ MÜŞTERİ"))))</f>
        <v/>
      </c>
      <c r="C31" s="109" t="inlineStr">
        <is>
          <t>İSMAİL AKPINAR</t>
        </is>
      </c>
      <c r="D31" s="220" t="n">
        <v>46023</v>
      </c>
      <c r="E31" s="220" t="n"/>
      <c r="F31" s="108" t="inlineStr">
        <is>
          <t>Aylık</t>
        </is>
      </c>
      <c r="G31" s="221" t="n">
        <v>4000</v>
      </c>
      <c r="H31" s="108" t="inlineStr">
        <is>
          <t>Aktif</t>
        </is>
      </c>
      <c r="I31" s="222">
        <f>IF(OR($C31="",$D31="",$G31="",$F31=""),0,$G31*IF($F31="Aylık",MAX(0,(YEAR(MIN(IF($E31="",TODAY(),$E31),TODAY()))-YEAR($D31))*12+MONTH(MIN(IF($E31="",TODAY(),$E31),TODAY()))-MONTH($D31)+IF(MIN(IF($E31="",TODAY(),$E31),TODAY())&gt;=EOMONTH(MIN(IF($E31="",TODAY(),$E31),TODAY()),0),1,0)),MAX(0,INT((MIN(IF($E31="",TODAY(),$E31),TODAY())-($D31+MOD(SISTEM!$F$8-WEEKDAY($D31,2),7)))/7)+1)))</f>
        <v/>
      </c>
      <c r="J31" s="222">
        <f>IF(OR($C31="",$D31="",$G31="",$F31=""),0,$G31*IF($F31="Aylık",MAX(0,(YEAR(MIN(IF($E31="",TODAY()-8,$E31),TODAY()-8))-YEAR($D31))*12+MONTH(MIN(IF($E31="",TODAY()-8,$E31),TODAY()-8))-MONTH($D31)+IF(MIN(IF($E31="",TODAY()-8,$E31),TODAY()-8)&gt;=EOMONTH(MIN(IF($E31="",TODAY()-8,$E31),TODAY()-8),0),1,0)),MAX(0,INT((MIN(IF($E31="",TODAY()-8,$E31),TODAY()-8)-($D31+MOD(SISTEM!$F$8-WEEKDAY($D31,2),7)))/7)+1)))</f>
        <v/>
      </c>
      <c r="K31" s="222">
        <f>IF(OR($C31="",$D31="",$G31="",$F31=""),0,$G31*IF($F31="Aylık",MAX(0,(YEAR(MIN(IF($E31="",TODAY()-15,$E31),TODAY()-15))-YEAR($D31))*12+MONTH(MIN(IF($E31="",TODAY()-15,$E31),TODAY()-15))-MONTH($D31)+IF(MIN(IF($E31="",TODAY()-15,$E31),TODAY()-15)&gt;=EOMONTH(MIN(IF($E31="",TODAY()-15,$E31),TODAY()-15),0),1,0)),MAX(0,INT((MIN(IF($E31="",TODAY()-15,$E31),TODAY()-15)-($D31+MOD(SISTEM!$F$8-WEEKDAY($D31,2),7)))/7)+1)))</f>
        <v/>
      </c>
      <c r="L31" s="222">
        <f>IF(OR($C31="",$D31="",$G31="",$F31=""),0,$G31*IF($F31="Aylık",MAX(0,(YEAR(MIN(IF($E31="",TODAY()-29,$E31),TODAY()-29))-YEAR($D31))*12+MONTH(MIN(IF($E31="",TODAY()-29,$E31),TODAY()-29))-MONTH($D31)+IF(MIN(IF($E31="",TODAY()-29,$E31),TODAY()-29)&gt;=EOMONTH(MIN(IF($E31="",TODAY()-29,$E31),TODAY()-29),0),1,0)),MAX(0,INT((MIN(IF($E31="",TODAY()-29,$E31),TODAY()-29)-($D31+MOD(SISTEM!$F$8-WEEKDAY($D31,2),7)))/7)+1)))</f>
        <v/>
      </c>
      <c r="M31" s="223">
        <f>IF($G31&gt;0,$I31/$G31,0)</f>
        <v/>
      </c>
      <c r="N31" s="113">
        <f>IF($C31="","",IF($B31="TANIMSIZ MÜŞTERİ","TANIMSIZ MÜŞTERİ",IF($F31="","MODEL SEÇİN",IF(OR($D31="",$G31&lt;=0),"EKSİK",IF(AND($E31&lt;&gt;"",$E31&lt;$D31),"TARİH HATASI",IF($H31="Pasif","KAPALI DÖNEM","UYGUN"))))))</f>
        <v/>
      </c>
      <c r="O31" s="224">
        <f>IF(OR($C31="",$D31="",$F31=""),"",IF($F31="Aylık",EOMONTH($D31,0),($D31+MOD(SISTEM!$F$8-WEEKDAY($D31,2),7))))</f>
        <v/>
      </c>
      <c r="P31" s="109" t="n"/>
      <c r="Q31" s="6" t="n"/>
      <c r="R31" s="6" t="n"/>
      <c r="S31" s="3">
        <f>IF($B31="","",$B31&amp;"|"&amp;COUNTIFS($B$7:$B31,$B31))</f>
        <v/>
      </c>
      <c r="T31" s="3">
        <f>IF($C31="","",UPPER(SUBSTITUTE(SUBSTITUTE(SUBSTITUTE(SUBSTITUTE(SUBSTITUTE(SUBSTITUTE(SUBSTITUTE(SUBSTITUTE(SUBSTITUTE(SUBSTITUTE(SUBSTITUTE(SUBSTITUTE(SUBSTITUTE(SUBSTITUTE(SUBSTITUTE(SUBSTITUTE(SUBSTITUTE(SUBSTITUTE(TRIM($C31),"'",""),"İ","I"),"ı","I"),"i","I"),"Ş","S"),"ş","S"),"Ğ","G"),"ğ","G"),"Ü","U"),"ü","U"),"Ö","O"),"ö","O"),"Ç","C"),"ç","C"),".",""),",","")," ",""),"-","")))</f>
        <v/>
      </c>
    </row>
    <row r="32">
      <c r="A32" s="6" t="n"/>
      <c r="B32" s="113">
        <f>IF($C32="","",IFERROR(INDEX(MUSTERILER!$B$7:$B$106,MATCH($T32,MUSTERILER!$T$7:$T$106,0)),IFERROR(INDEX(MUSTERILER!$B$7:$B$106,MATCH($C32,MUSTERILER!$B$7:$B$106,0)),IFERROR(INDEX(MUSTERILER!$B$7:$B$106,MATCH($T32&amp;"*",MUSTERILER!$T$7:$T$106,0)),"TANIMSIZ MÜŞTERİ"))))</f>
        <v/>
      </c>
      <c r="C32" s="109" t="inlineStr">
        <is>
          <t>KÖŞK YÜKSELEN LTD.ŞTİ.</t>
        </is>
      </c>
      <c r="D32" s="220" t="n">
        <v>46023</v>
      </c>
      <c r="E32" s="220" t="n"/>
      <c r="F32" s="108" t="inlineStr">
        <is>
          <t>Haftalık</t>
        </is>
      </c>
      <c r="G32" s="221" t="n">
        <v>2500</v>
      </c>
      <c r="H32" s="108" t="inlineStr">
        <is>
          <t>Aktif</t>
        </is>
      </c>
      <c r="I32" s="222">
        <f>IF(OR($C32="",$D32="",$G32="",$F32=""),0,$G32*IF($F32="Aylık",MAX(0,(YEAR(MIN(IF($E32="",TODAY(),$E32),TODAY()))-YEAR($D32))*12+MONTH(MIN(IF($E32="",TODAY(),$E32),TODAY()))-MONTH($D32)+IF(MIN(IF($E32="",TODAY(),$E32),TODAY())&gt;=EOMONTH(MIN(IF($E32="",TODAY(),$E32),TODAY()),0),1,0)),MAX(0,INT((MIN(IF($E32="",TODAY(),$E32),TODAY())-($D32+MOD(SISTEM!$F$8-WEEKDAY($D32,2),7)))/7)+1)))</f>
        <v/>
      </c>
      <c r="J32" s="222">
        <f>IF(OR($C32="",$D32="",$G32="",$F32=""),0,$G32*IF($F32="Aylık",MAX(0,(YEAR(MIN(IF($E32="",TODAY()-8,$E32),TODAY()-8))-YEAR($D32))*12+MONTH(MIN(IF($E32="",TODAY()-8,$E32),TODAY()-8))-MONTH($D32)+IF(MIN(IF($E32="",TODAY()-8,$E32),TODAY()-8)&gt;=EOMONTH(MIN(IF($E32="",TODAY()-8,$E32),TODAY()-8),0),1,0)),MAX(0,INT((MIN(IF($E32="",TODAY()-8,$E32),TODAY()-8)-($D32+MOD(SISTEM!$F$8-WEEKDAY($D32,2),7)))/7)+1)))</f>
        <v/>
      </c>
      <c r="K32" s="222">
        <f>IF(OR($C32="",$D32="",$G32="",$F32=""),0,$G32*IF($F32="Aylık",MAX(0,(YEAR(MIN(IF($E32="",TODAY()-15,$E32),TODAY()-15))-YEAR($D32))*12+MONTH(MIN(IF($E32="",TODAY()-15,$E32),TODAY()-15))-MONTH($D32)+IF(MIN(IF($E32="",TODAY()-15,$E32),TODAY()-15)&gt;=EOMONTH(MIN(IF($E32="",TODAY()-15,$E32),TODAY()-15),0),1,0)),MAX(0,INT((MIN(IF($E32="",TODAY()-15,$E32),TODAY()-15)-($D32+MOD(SISTEM!$F$8-WEEKDAY($D32,2),7)))/7)+1)))</f>
        <v/>
      </c>
      <c r="L32" s="222">
        <f>IF(OR($C32="",$D32="",$G32="",$F32=""),0,$G32*IF($F32="Aylık",MAX(0,(YEAR(MIN(IF($E32="",TODAY()-29,$E32),TODAY()-29))-YEAR($D32))*12+MONTH(MIN(IF($E32="",TODAY()-29,$E32),TODAY()-29))-MONTH($D32)+IF(MIN(IF($E32="",TODAY()-29,$E32),TODAY()-29)&gt;=EOMONTH(MIN(IF($E32="",TODAY()-29,$E32),TODAY()-29),0),1,0)),MAX(0,INT((MIN(IF($E32="",TODAY()-29,$E32),TODAY()-29)-($D32+MOD(SISTEM!$F$8-WEEKDAY($D32,2),7)))/7)+1)))</f>
        <v/>
      </c>
      <c r="M32" s="223">
        <f>IF($G32&gt;0,$I32/$G32,0)</f>
        <v/>
      </c>
      <c r="N32" s="113">
        <f>IF($C32="","",IF($B32="TANIMSIZ MÜŞTERİ","TANIMSIZ MÜŞTERİ",IF($F32="","MODEL SEÇİN",IF(OR($D32="",$G32&lt;=0),"EKSİK",IF(AND($E32&lt;&gt;"",$E32&lt;$D32),"TARİH HATASI",IF($H32="Pasif","KAPALI DÖNEM","UYGUN"))))))</f>
        <v/>
      </c>
      <c r="O32" s="224">
        <f>IF(OR($C32="",$D32="",$F32=""),"",IF($F32="Aylık",EOMONTH($D32,0),($D32+MOD(SISTEM!$F$8-WEEKDAY($D32,2),7))))</f>
        <v/>
      </c>
      <c r="P32" s="109" t="n"/>
      <c r="Q32" s="6" t="n"/>
      <c r="R32" s="6" t="n"/>
      <c r="S32" s="3">
        <f>IF($B32="","",$B32&amp;"|"&amp;COUNTIFS($B$7:$B32,$B32))</f>
        <v/>
      </c>
      <c r="T32" s="3">
        <f>IF($C32="","",UPPER(SUBSTITUTE(SUBSTITUTE(SUBSTITUTE(SUBSTITUTE(SUBSTITUTE(SUBSTITUTE(SUBSTITUTE(SUBSTITUTE(SUBSTITUTE(SUBSTITUTE(SUBSTITUTE(SUBSTITUTE(SUBSTITUTE(SUBSTITUTE(SUBSTITUTE(SUBSTITUTE(SUBSTITUTE(SUBSTITUTE(TRIM($C32),"'",""),"İ","I"),"ı","I"),"i","I"),"Ş","S"),"ş","S"),"Ğ","G"),"ğ","G"),"Ü","U"),"ü","U"),"Ö","O"),"ö","O"),"Ç","C"),"ç","C"),".",""),",","")," ",""),"-","")))</f>
        <v/>
      </c>
    </row>
    <row r="33">
      <c r="A33" s="6" t="n"/>
      <c r="B33" s="113">
        <f>IF($C33="","",IFERROR(INDEX(MUSTERILER!$B$7:$B$106,MATCH($T33,MUSTERILER!$T$7:$T$106,0)),IFERROR(INDEX(MUSTERILER!$B$7:$B$106,MATCH($C33,MUSTERILER!$B$7:$B$106,0)),IFERROR(INDEX(MUSTERILER!$B$7:$B$106,MATCH($T33&amp;"*",MUSTERILER!$T$7:$T$106,0)),"TANIMSIZ MÜŞTERİ"))))</f>
        <v/>
      </c>
      <c r="C33" s="109" t="inlineStr">
        <is>
          <t>KRİSTAL LTD.ŞTİ.</t>
        </is>
      </c>
      <c r="D33" s="220" t="n">
        <v>46023</v>
      </c>
      <c r="E33" s="220" t="n"/>
      <c r="F33" s="108" t="inlineStr">
        <is>
          <t>Haftalık</t>
        </is>
      </c>
      <c r="G33" s="221" t="n">
        <v>3000</v>
      </c>
      <c r="H33" s="108" t="inlineStr">
        <is>
          <t>Aktif</t>
        </is>
      </c>
      <c r="I33" s="222">
        <f>IF(OR($C33="",$D33="",$G33="",$F33=""),0,$G33*IF($F33="Aylık",MAX(0,(YEAR(MIN(IF($E33="",TODAY(),$E33),TODAY()))-YEAR($D33))*12+MONTH(MIN(IF($E33="",TODAY(),$E33),TODAY()))-MONTH($D33)+IF(MIN(IF($E33="",TODAY(),$E33),TODAY())&gt;=EOMONTH(MIN(IF($E33="",TODAY(),$E33),TODAY()),0),1,0)),MAX(0,INT((MIN(IF($E33="",TODAY(),$E33),TODAY())-($D33+MOD(SISTEM!$F$8-WEEKDAY($D33,2),7)))/7)+1)))</f>
        <v/>
      </c>
      <c r="J33" s="222">
        <f>IF(OR($C33="",$D33="",$G33="",$F33=""),0,$G33*IF($F33="Aylık",MAX(0,(YEAR(MIN(IF($E33="",TODAY()-8,$E33),TODAY()-8))-YEAR($D33))*12+MONTH(MIN(IF($E33="",TODAY()-8,$E33),TODAY()-8))-MONTH($D33)+IF(MIN(IF($E33="",TODAY()-8,$E33),TODAY()-8)&gt;=EOMONTH(MIN(IF($E33="",TODAY()-8,$E33),TODAY()-8),0),1,0)),MAX(0,INT((MIN(IF($E33="",TODAY()-8,$E33),TODAY()-8)-($D33+MOD(SISTEM!$F$8-WEEKDAY($D33,2),7)))/7)+1)))</f>
        <v/>
      </c>
      <c r="K33" s="222">
        <f>IF(OR($C33="",$D33="",$G33="",$F33=""),0,$G33*IF($F33="Aylık",MAX(0,(YEAR(MIN(IF($E33="",TODAY()-15,$E33),TODAY()-15))-YEAR($D33))*12+MONTH(MIN(IF($E33="",TODAY()-15,$E33),TODAY()-15))-MONTH($D33)+IF(MIN(IF($E33="",TODAY()-15,$E33),TODAY()-15)&gt;=EOMONTH(MIN(IF($E33="",TODAY()-15,$E33),TODAY()-15),0),1,0)),MAX(0,INT((MIN(IF($E33="",TODAY()-15,$E33),TODAY()-15)-($D33+MOD(SISTEM!$F$8-WEEKDAY($D33,2),7)))/7)+1)))</f>
        <v/>
      </c>
      <c r="L33" s="222">
        <f>IF(OR($C33="",$D33="",$G33="",$F33=""),0,$G33*IF($F33="Aylık",MAX(0,(YEAR(MIN(IF($E33="",TODAY()-29,$E33),TODAY()-29))-YEAR($D33))*12+MONTH(MIN(IF($E33="",TODAY()-29,$E33),TODAY()-29))-MONTH($D33)+IF(MIN(IF($E33="",TODAY()-29,$E33),TODAY()-29)&gt;=EOMONTH(MIN(IF($E33="",TODAY()-29,$E33),TODAY()-29),0),1,0)),MAX(0,INT((MIN(IF($E33="",TODAY()-29,$E33),TODAY()-29)-($D33+MOD(SISTEM!$F$8-WEEKDAY($D33,2),7)))/7)+1)))</f>
        <v/>
      </c>
      <c r="M33" s="223">
        <f>IF($G33&gt;0,$I33/$G33,0)</f>
        <v/>
      </c>
      <c r="N33" s="113">
        <f>IF($C33="","",IF($B33="TANIMSIZ MÜŞTERİ","TANIMSIZ MÜŞTERİ",IF($F33="","MODEL SEÇİN",IF(OR($D33="",$G33&lt;=0),"EKSİK",IF(AND($E33&lt;&gt;"",$E33&lt;$D33),"TARİH HATASI",IF($H33="Pasif","KAPALI DÖNEM","UYGUN"))))))</f>
        <v/>
      </c>
      <c r="O33" s="224">
        <f>IF(OR($C33="",$D33="",$F33=""),"",IF($F33="Aylık",EOMONTH($D33,0),($D33+MOD(SISTEM!$F$8-WEEKDAY($D33,2),7))))</f>
        <v/>
      </c>
      <c r="P33" s="109" t="n"/>
      <c r="Q33" s="6" t="n"/>
      <c r="R33" s="6" t="n"/>
      <c r="S33" s="3">
        <f>IF($B33="","",$B33&amp;"|"&amp;COUNTIFS($B$7:$B33,$B33))</f>
        <v/>
      </c>
      <c r="T33" s="3">
        <f>IF($C33="","",UPPER(SUBSTITUTE(SUBSTITUTE(SUBSTITUTE(SUBSTITUTE(SUBSTITUTE(SUBSTITUTE(SUBSTITUTE(SUBSTITUTE(SUBSTITUTE(SUBSTITUTE(SUBSTITUTE(SUBSTITUTE(SUBSTITUTE(SUBSTITUTE(SUBSTITUTE(SUBSTITUTE(SUBSTITUTE(SUBSTITUTE(TRIM($C33),"'",""),"İ","I"),"ı","I"),"i","I"),"Ş","S"),"ş","S"),"Ğ","G"),"ğ","G"),"Ü","U"),"ü","U"),"Ö","O"),"ö","O"),"Ç","C"),"ç","C"),".",""),",","")," ",""),"-","")))</f>
        <v/>
      </c>
    </row>
    <row r="34">
      <c r="A34" s="6" t="n"/>
      <c r="B34" s="113">
        <f>IF($C34="","",IFERROR(INDEX(MUSTERILER!$B$7:$B$106,MATCH($T34,MUSTERILER!$T$7:$T$106,0)),IFERROR(INDEX(MUSTERILER!$B$7:$B$106,MATCH($C34,MUSTERILER!$B$7:$B$106,0)),IFERROR(INDEX(MUSTERILER!$B$7:$B$106,MATCH($T34&amp;"*",MUSTERILER!$T$7:$T$106,0)),"TANIMSIZ MÜŞTERİ"))))</f>
        <v/>
      </c>
      <c r="C34" s="109" t="inlineStr">
        <is>
          <t>MEHMET EVREN KILINÇ</t>
        </is>
      </c>
      <c r="D34" s="220" t="n">
        <v>46023</v>
      </c>
      <c r="E34" s="220" t="n"/>
      <c r="F34" s="108" t="inlineStr">
        <is>
          <t>Aylık</t>
        </is>
      </c>
      <c r="G34" s="221" t="n">
        <v>2000</v>
      </c>
      <c r="H34" s="108" t="inlineStr">
        <is>
          <t>Aktif</t>
        </is>
      </c>
      <c r="I34" s="222">
        <f>IF(OR($C34="",$D34="",$G34="",$F34=""),0,$G34*IF($F34="Aylık",MAX(0,(YEAR(MIN(IF($E34="",TODAY(),$E34),TODAY()))-YEAR($D34))*12+MONTH(MIN(IF($E34="",TODAY(),$E34),TODAY()))-MONTH($D34)+IF(MIN(IF($E34="",TODAY(),$E34),TODAY())&gt;=EOMONTH(MIN(IF($E34="",TODAY(),$E34),TODAY()),0),1,0)),MAX(0,INT((MIN(IF($E34="",TODAY(),$E34),TODAY())-($D34+MOD(SISTEM!$F$8-WEEKDAY($D34,2),7)))/7)+1)))</f>
        <v/>
      </c>
      <c r="J34" s="222">
        <f>IF(OR($C34="",$D34="",$G34="",$F34=""),0,$G34*IF($F34="Aylık",MAX(0,(YEAR(MIN(IF($E34="",TODAY()-8,$E34),TODAY()-8))-YEAR($D34))*12+MONTH(MIN(IF($E34="",TODAY()-8,$E34),TODAY()-8))-MONTH($D34)+IF(MIN(IF($E34="",TODAY()-8,$E34),TODAY()-8)&gt;=EOMONTH(MIN(IF($E34="",TODAY()-8,$E34),TODAY()-8),0),1,0)),MAX(0,INT((MIN(IF($E34="",TODAY()-8,$E34),TODAY()-8)-($D34+MOD(SISTEM!$F$8-WEEKDAY($D34,2),7)))/7)+1)))</f>
        <v/>
      </c>
      <c r="K34" s="222">
        <f>IF(OR($C34="",$D34="",$G34="",$F34=""),0,$G34*IF($F34="Aylık",MAX(0,(YEAR(MIN(IF($E34="",TODAY()-15,$E34),TODAY()-15))-YEAR($D34))*12+MONTH(MIN(IF($E34="",TODAY()-15,$E34),TODAY()-15))-MONTH($D34)+IF(MIN(IF($E34="",TODAY()-15,$E34),TODAY()-15)&gt;=EOMONTH(MIN(IF($E34="",TODAY()-15,$E34),TODAY()-15),0),1,0)),MAX(0,INT((MIN(IF($E34="",TODAY()-15,$E34),TODAY()-15)-($D34+MOD(SISTEM!$F$8-WEEKDAY($D34,2),7)))/7)+1)))</f>
        <v/>
      </c>
      <c r="L34" s="222">
        <f>IF(OR($C34="",$D34="",$G34="",$F34=""),0,$G34*IF($F34="Aylık",MAX(0,(YEAR(MIN(IF($E34="",TODAY()-29,$E34),TODAY()-29))-YEAR($D34))*12+MONTH(MIN(IF($E34="",TODAY()-29,$E34),TODAY()-29))-MONTH($D34)+IF(MIN(IF($E34="",TODAY()-29,$E34),TODAY()-29)&gt;=EOMONTH(MIN(IF($E34="",TODAY()-29,$E34),TODAY()-29),0),1,0)),MAX(0,INT((MIN(IF($E34="",TODAY()-29,$E34),TODAY()-29)-($D34+MOD(SISTEM!$F$8-WEEKDAY($D34,2),7)))/7)+1)))</f>
        <v/>
      </c>
      <c r="M34" s="223">
        <f>IF($G34&gt;0,$I34/$G34,0)</f>
        <v/>
      </c>
      <c r="N34" s="113">
        <f>IF($C34="","",IF($B34="TANIMSIZ MÜŞTERİ","TANIMSIZ MÜŞTERİ",IF($F34="","MODEL SEÇİN",IF(OR($D34="",$G34&lt;=0),"EKSİK",IF(AND($E34&lt;&gt;"",$E34&lt;$D34),"TARİH HATASI",IF($H34="Pasif","KAPALI DÖNEM","UYGUN"))))))</f>
        <v/>
      </c>
      <c r="O34" s="224">
        <f>IF(OR($C34="",$D34="",$F34=""),"",IF($F34="Aylık",EOMONTH($D34,0),($D34+MOD(SISTEM!$F$8-WEEKDAY($D34,2),7))))</f>
        <v/>
      </c>
      <c r="P34" s="109" t="n"/>
      <c r="Q34" s="6" t="n"/>
      <c r="R34" s="6" t="n"/>
      <c r="S34" s="3">
        <f>IF($B34="","",$B34&amp;"|"&amp;COUNTIFS($B$7:$B34,$B34))</f>
        <v/>
      </c>
      <c r="T34" s="3">
        <f>IF($C34="","",UPPER(SUBSTITUTE(SUBSTITUTE(SUBSTITUTE(SUBSTITUTE(SUBSTITUTE(SUBSTITUTE(SUBSTITUTE(SUBSTITUTE(SUBSTITUTE(SUBSTITUTE(SUBSTITUTE(SUBSTITUTE(SUBSTITUTE(SUBSTITUTE(SUBSTITUTE(SUBSTITUTE(SUBSTITUTE(SUBSTITUTE(TRIM($C34),"'",""),"İ","I"),"ı","I"),"i","I"),"Ş","S"),"ş","S"),"Ğ","G"),"ğ","G"),"Ü","U"),"ü","U"),"Ö","O"),"ö","O"),"Ç","C"),"ç","C"),".",""),",","")," ",""),"-","")))</f>
        <v/>
      </c>
    </row>
    <row r="35">
      <c r="A35" s="6" t="n"/>
      <c r="B35" s="113">
        <f>IF($C35="","",IFERROR(INDEX(MUSTERILER!$B$7:$B$106,MATCH($T35,MUSTERILER!$T$7:$T$106,0)),IFERROR(INDEX(MUSTERILER!$B$7:$B$106,MATCH($C35,MUSTERILER!$B$7:$B$106,0)),IFERROR(INDEX(MUSTERILER!$B$7:$B$106,MATCH($T35&amp;"*",MUSTERILER!$T$7:$T$106,0)),"TANIMSIZ MÜŞTERİ"))))</f>
        <v/>
      </c>
      <c r="C35" s="109" t="inlineStr">
        <is>
          <t>MELEK GÜLER</t>
        </is>
      </c>
      <c r="D35" s="220" t="n">
        <v>46023</v>
      </c>
      <c r="E35" s="220" t="n"/>
      <c r="F35" s="108" t="inlineStr">
        <is>
          <t>Aylık</t>
        </is>
      </c>
      <c r="G35" s="221" t="n">
        <v>3000</v>
      </c>
      <c r="H35" s="108" t="inlineStr">
        <is>
          <t>Aktif</t>
        </is>
      </c>
      <c r="I35" s="222">
        <f>IF(OR($C35="",$D35="",$G35="",$F35=""),0,$G35*IF($F35="Aylık",MAX(0,(YEAR(MIN(IF($E35="",TODAY(),$E35),TODAY()))-YEAR($D35))*12+MONTH(MIN(IF($E35="",TODAY(),$E35),TODAY()))-MONTH($D35)+IF(MIN(IF($E35="",TODAY(),$E35),TODAY())&gt;=EOMONTH(MIN(IF($E35="",TODAY(),$E35),TODAY()),0),1,0)),MAX(0,INT((MIN(IF($E35="",TODAY(),$E35),TODAY())-($D35+MOD(SISTEM!$F$8-WEEKDAY($D35,2),7)))/7)+1)))</f>
        <v/>
      </c>
      <c r="J35" s="222">
        <f>IF(OR($C35="",$D35="",$G35="",$F35=""),0,$G35*IF($F35="Aylık",MAX(0,(YEAR(MIN(IF($E35="",TODAY()-8,$E35),TODAY()-8))-YEAR($D35))*12+MONTH(MIN(IF($E35="",TODAY()-8,$E35),TODAY()-8))-MONTH($D35)+IF(MIN(IF($E35="",TODAY()-8,$E35),TODAY()-8)&gt;=EOMONTH(MIN(IF($E35="",TODAY()-8,$E35),TODAY()-8),0),1,0)),MAX(0,INT((MIN(IF($E35="",TODAY()-8,$E35),TODAY()-8)-($D35+MOD(SISTEM!$F$8-WEEKDAY($D35,2),7)))/7)+1)))</f>
        <v/>
      </c>
      <c r="K35" s="222">
        <f>IF(OR($C35="",$D35="",$G35="",$F35=""),0,$G35*IF($F35="Aylık",MAX(0,(YEAR(MIN(IF($E35="",TODAY()-15,$E35),TODAY()-15))-YEAR($D35))*12+MONTH(MIN(IF($E35="",TODAY()-15,$E35),TODAY()-15))-MONTH($D35)+IF(MIN(IF($E35="",TODAY()-15,$E35),TODAY()-15)&gt;=EOMONTH(MIN(IF($E35="",TODAY()-15,$E35),TODAY()-15),0),1,0)),MAX(0,INT((MIN(IF($E35="",TODAY()-15,$E35),TODAY()-15)-($D35+MOD(SISTEM!$F$8-WEEKDAY($D35,2),7)))/7)+1)))</f>
        <v/>
      </c>
      <c r="L35" s="222">
        <f>IF(OR($C35="",$D35="",$G35="",$F35=""),0,$G35*IF($F35="Aylık",MAX(0,(YEAR(MIN(IF($E35="",TODAY()-29,$E35),TODAY()-29))-YEAR($D35))*12+MONTH(MIN(IF($E35="",TODAY()-29,$E35),TODAY()-29))-MONTH($D35)+IF(MIN(IF($E35="",TODAY()-29,$E35),TODAY()-29)&gt;=EOMONTH(MIN(IF($E35="",TODAY()-29,$E35),TODAY()-29),0),1,0)),MAX(0,INT((MIN(IF($E35="",TODAY()-29,$E35),TODAY()-29)-($D35+MOD(SISTEM!$F$8-WEEKDAY($D35,2),7)))/7)+1)))</f>
        <v/>
      </c>
      <c r="M35" s="223">
        <f>IF($G35&gt;0,$I35/$G35,0)</f>
        <v/>
      </c>
      <c r="N35" s="113">
        <f>IF($C35="","",IF($B35="TANIMSIZ MÜŞTERİ","TANIMSIZ MÜŞTERİ",IF($F35="","MODEL SEÇİN",IF(OR($D35="",$G35&lt;=0),"EKSİK",IF(AND($E35&lt;&gt;"",$E35&lt;$D35),"TARİH HATASI",IF($H35="Pasif","KAPALI DÖNEM","UYGUN"))))))</f>
        <v/>
      </c>
      <c r="O35" s="224">
        <f>IF(OR($C35="",$D35="",$F35=""),"",IF($F35="Aylık",EOMONTH($D35,0),($D35+MOD(SISTEM!$F$8-WEEKDAY($D35,2),7))))</f>
        <v/>
      </c>
      <c r="P35" s="109" t="n"/>
      <c r="Q35" s="6" t="n"/>
      <c r="R35" s="6" t="n"/>
      <c r="S35" s="3">
        <f>IF($B35="","",$B35&amp;"|"&amp;COUNTIFS($B$7:$B35,$B35))</f>
        <v/>
      </c>
      <c r="T35" s="3">
        <f>IF($C35="","",UPPER(SUBSTITUTE(SUBSTITUTE(SUBSTITUTE(SUBSTITUTE(SUBSTITUTE(SUBSTITUTE(SUBSTITUTE(SUBSTITUTE(SUBSTITUTE(SUBSTITUTE(SUBSTITUTE(SUBSTITUTE(SUBSTITUTE(SUBSTITUTE(SUBSTITUTE(SUBSTITUTE(SUBSTITUTE(SUBSTITUTE(TRIM($C35),"'",""),"İ","I"),"ı","I"),"i","I"),"Ş","S"),"ş","S"),"Ğ","G"),"ğ","G"),"Ü","U"),"ü","U"),"Ö","O"),"ö","O"),"Ç","C"),"ç","C"),".",""),",","")," ",""),"-","")))</f>
        <v/>
      </c>
    </row>
    <row r="36">
      <c r="A36" s="6" t="n"/>
      <c r="B36" s="113">
        <f>IF($C36="","",IFERROR(INDEX(MUSTERILER!$B$7:$B$106,MATCH($T36,MUSTERILER!$T$7:$T$106,0)),IFERROR(INDEX(MUSTERILER!$B$7:$B$106,MATCH($C36,MUSTERILER!$B$7:$B$106,0)),IFERROR(INDEX(MUSTERILER!$B$7:$B$106,MATCH($T36&amp;"*",MUSTERILER!$T$7:$T$106,0)),"TANIMSIZ MÜŞTERİ"))))</f>
        <v/>
      </c>
      <c r="C36" s="109" t="inlineStr">
        <is>
          <t>MELİSA BEDİR</t>
        </is>
      </c>
      <c r="D36" s="220" t="n">
        <v>46023</v>
      </c>
      <c r="E36" s="220" t="n"/>
      <c r="F36" s="108" t="inlineStr">
        <is>
          <t>Aylık</t>
        </is>
      </c>
      <c r="G36" s="221" t="n">
        <v>3000</v>
      </c>
      <c r="H36" s="108" t="inlineStr">
        <is>
          <t>Aktif</t>
        </is>
      </c>
      <c r="I36" s="222">
        <f>IF(OR($C36="",$D36="",$G36="",$F36=""),0,$G36*IF($F36="Aylık",MAX(0,(YEAR(MIN(IF($E36="",TODAY(),$E36),TODAY()))-YEAR($D36))*12+MONTH(MIN(IF($E36="",TODAY(),$E36),TODAY()))-MONTH($D36)+IF(MIN(IF($E36="",TODAY(),$E36),TODAY())&gt;=EOMONTH(MIN(IF($E36="",TODAY(),$E36),TODAY()),0),1,0)),MAX(0,INT((MIN(IF($E36="",TODAY(),$E36),TODAY())-($D36+MOD(SISTEM!$F$8-WEEKDAY($D36,2),7)))/7)+1)))</f>
        <v/>
      </c>
      <c r="J36" s="222">
        <f>IF(OR($C36="",$D36="",$G36="",$F36=""),0,$G36*IF($F36="Aylık",MAX(0,(YEAR(MIN(IF($E36="",TODAY()-8,$E36),TODAY()-8))-YEAR($D36))*12+MONTH(MIN(IF($E36="",TODAY()-8,$E36),TODAY()-8))-MONTH($D36)+IF(MIN(IF($E36="",TODAY()-8,$E36),TODAY()-8)&gt;=EOMONTH(MIN(IF($E36="",TODAY()-8,$E36),TODAY()-8),0),1,0)),MAX(0,INT((MIN(IF($E36="",TODAY()-8,$E36),TODAY()-8)-($D36+MOD(SISTEM!$F$8-WEEKDAY($D36,2),7)))/7)+1)))</f>
        <v/>
      </c>
      <c r="K36" s="222">
        <f>IF(OR($C36="",$D36="",$G36="",$F36=""),0,$G36*IF($F36="Aylık",MAX(0,(YEAR(MIN(IF($E36="",TODAY()-15,$E36),TODAY()-15))-YEAR($D36))*12+MONTH(MIN(IF($E36="",TODAY()-15,$E36),TODAY()-15))-MONTH($D36)+IF(MIN(IF($E36="",TODAY()-15,$E36),TODAY()-15)&gt;=EOMONTH(MIN(IF($E36="",TODAY()-15,$E36),TODAY()-15),0),1,0)),MAX(0,INT((MIN(IF($E36="",TODAY()-15,$E36),TODAY()-15)-($D36+MOD(SISTEM!$F$8-WEEKDAY($D36,2),7)))/7)+1)))</f>
        <v/>
      </c>
      <c r="L36" s="222">
        <f>IF(OR($C36="",$D36="",$G36="",$F36=""),0,$G36*IF($F36="Aylık",MAX(0,(YEAR(MIN(IF($E36="",TODAY()-29,$E36),TODAY()-29))-YEAR($D36))*12+MONTH(MIN(IF($E36="",TODAY()-29,$E36),TODAY()-29))-MONTH($D36)+IF(MIN(IF($E36="",TODAY()-29,$E36),TODAY()-29)&gt;=EOMONTH(MIN(IF($E36="",TODAY()-29,$E36),TODAY()-29),0),1,0)),MAX(0,INT((MIN(IF($E36="",TODAY()-29,$E36),TODAY()-29)-($D36+MOD(SISTEM!$F$8-WEEKDAY($D36,2),7)))/7)+1)))</f>
        <v/>
      </c>
      <c r="M36" s="223">
        <f>IF($G36&gt;0,$I36/$G36,0)</f>
        <v/>
      </c>
      <c r="N36" s="113">
        <f>IF($C36="","",IF($B36="TANIMSIZ MÜŞTERİ","TANIMSIZ MÜŞTERİ",IF($F36="","MODEL SEÇİN",IF(OR($D36="",$G36&lt;=0),"EKSİK",IF(AND($E36&lt;&gt;"",$E36&lt;$D36),"TARİH HATASI",IF($H36="Pasif","KAPALI DÖNEM","UYGUN"))))))</f>
        <v/>
      </c>
      <c r="O36" s="224">
        <f>IF(OR($C36="",$D36="",$F36=""),"",IF($F36="Aylık",EOMONTH($D36,0),($D36+MOD(SISTEM!$F$8-WEEKDAY($D36,2),7))))</f>
        <v/>
      </c>
      <c r="P36" s="109" t="n"/>
      <c r="Q36" s="6" t="n"/>
      <c r="R36" s="6" t="n"/>
      <c r="S36" s="3">
        <f>IF($B36="","",$B36&amp;"|"&amp;COUNTIFS($B$7:$B36,$B36))</f>
        <v/>
      </c>
      <c r="T36" s="3">
        <f>IF($C36="","",UPPER(SUBSTITUTE(SUBSTITUTE(SUBSTITUTE(SUBSTITUTE(SUBSTITUTE(SUBSTITUTE(SUBSTITUTE(SUBSTITUTE(SUBSTITUTE(SUBSTITUTE(SUBSTITUTE(SUBSTITUTE(SUBSTITUTE(SUBSTITUTE(SUBSTITUTE(SUBSTITUTE(SUBSTITUTE(SUBSTITUTE(TRIM($C36),"'",""),"İ","I"),"ı","I"),"i","I"),"Ş","S"),"ş","S"),"Ğ","G"),"ğ","G"),"Ü","U"),"ü","U"),"Ö","O"),"ö","O"),"Ç","C"),"ç","C"),".",""),",","")," ",""),"-","")))</f>
        <v/>
      </c>
    </row>
    <row r="37">
      <c r="A37" s="6" t="n"/>
      <c r="B37" s="113">
        <f>IF($C37="","",IFERROR(INDEX(MUSTERILER!$B$7:$B$106,MATCH($T37,MUSTERILER!$T$7:$T$106,0)),IFERROR(INDEX(MUSTERILER!$B$7:$B$106,MATCH($C37,MUSTERILER!$B$7:$B$106,0)),IFERROR(INDEX(MUSTERILER!$B$7:$B$106,MATCH($T37&amp;"*",MUSTERILER!$T$7:$T$106,0)),"TANIMSIZ MÜŞTERİ"))))</f>
        <v/>
      </c>
      <c r="C37" s="109" t="inlineStr">
        <is>
          <t>MENEKŞE AKAN</t>
        </is>
      </c>
      <c r="D37" s="220" t="n">
        <v>46023</v>
      </c>
      <c r="E37" s="220" t="n"/>
      <c r="F37" s="108" t="inlineStr">
        <is>
          <t>Aylık</t>
        </is>
      </c>
      <c r="G37" s="221" t="n">
        <v>1500</v>
      </c>
      <c r="H37" s="108" t="inlineStr">
        <is>
          <t>Aktif</t>
        </is>
      </c>
      <c r="I37" s="222">
        <f>IF(OR($C37="",$D37="",$G37="",$F37=""),0,$G37*IF($F37="Aylık",MAX(0,(YEAR(MIN(IF($E37="",TODAY(),$E37),TODAY()))-YEAR($D37))*12+MONTH(MIN(IF($E37="",TODAY(),$E37),TODAY()))-MONTH($D37)+IF(MIN(IF($E37="",TODAY(),$E37),TODAY())&gt;=EOMONTH(MIN(IF($E37="",TODAY(),$E37),TODAY()),0),1,0)),MAX(0,INT((MIN(IF($E37="",TODAY(),$E37),TODAY())-($D37+MOD(SISTEM!$F$8-WEEKDAY($D37,2),7)))/7)+1)))</f>
        <v/>
      </c>
      <c r="J37" s="222">
        <f>IF(OR($C37="",$D37="",$G37="",$F37=""),0,$G37*IF($F37="Aylık",MAX(0,(YEAR(MIN(IF($E37="",TODAY()-8,$E37),TODAY()-8))-YEAR($D37))*12+MONTH(MIN(IF($E37="",TODAY()-8,$E37),TODAY()-8))-MONTH($D37)+IF(MIN(IF($E37="",TODAY()-8,$E37),TODAY()-8)&gt;=EOMONTH(MIN(IF($E37="",TODAY()-8,$E37),TODAY()-8),0),1,0)),MAX(0,INT((MIN(IF($E37="",TODAY()-8,$E37),TODAY()-8)-($D37+MOD(SISTEM!$F$8-WEEKDAY($D37,2),7)))/7)+1)))</f>
        <v/>
      </c>
      <c r="K37" s="222">
        <f>IF(OR($C37="",$D37="",$G37="",$F37=""),0,$G37*IF($F37="Aylık",MAX(0,(YEAR(MIN(IF($E37="",TODAY()-15,$E37),TODAY()-15))-YEAR($D37))*12+MONTH(MIN(IF($E37="",TODAY()-15,$E37),TODAY()-15))-MONTH($D37)+IF(MIN(IF($E37="",TODAY()-15,$E37),TODAY()-15)&gt;=EOMONTH(MIN(IF($E37="",TODAY()-15,$E37),TODAY()-15),0),1,0)),MAX(0,INT((MIN(IF($E37="",TODAY()-15,$E37),TODAY()-15)-($D37+MOD(SISTEM!$F$8-WEEKDAY($D37,2),7)))/7)+1)))</f>
        <v/>
      </c>
      <c r="L37" s="222">
        <f>IF(OR($C37="",$D37="",$G37="",$F37=""),0,$G37*IF($F37="Aylık",MAX(0,(YEAR(MIN(IF($E37="",TODAY()-29,$E37),TODAY()-29))-YEAR($D37))*12+MONTH(MIN(IF($E37="",TODAY()-29,$E37),TODAY()-29))-MONTH($D37)+IF(MIN(IF($E37="",TODAY()-29,$E37),TODAY()-29)&gt;=EOMONTH(MIN(IF($E37="",TODAY()-29,$E37),TODAY()-29),0),1,0)),MAX(0,INT((MIN(IF($E37="",TODAY()-29,$E37),TODAY()-29)-($D37+MOD(SISTEM!$F$8-WEEKDAY($D37,2),7)))/7)+1)))</f>
        <v/>
      </c>
      <c r="M37" s="223">
        <f>IF($G37&gt;0,$I37/$G37,0)</f>
        <v/>
      </c>
      <c r="N37" s="113">
        <f>IF($C37="","",IF($B37="TANIMSIZ MÜŞTERİ","TANIMSIZ MÜŞTERİ",IF($F37="","MODEL SEÇİN",IF(OR($D37="",$G37&lt;=0),"EKSİK",IF(AND($E37&lt;&gt;"",$E37&lt;$D37),"TARİH HATASI",IF($H37="Pasif","KAPALI DÖNEM","UYGUN"))))))</f>
        <v/>
      </c>
      <c r="O37" s="224">
        <f>IF(OR($C37="",$D37="",$F37=""),"",IF($F37="Aylık",EOMONTH($D37,0),($D37+MOD(SISTEM!$F$8-WEEKDAY($D37,2),7))))</f>
        <v/>
      </c>
      <c r="P37" s="109" t="n"/>
      <c r="Q37" s="6" t="n"/>
      <c r="R37" s="6" t="n"/>
      <c r="S37" s="3">
        <f>IF($B37="","",$B37&amp;"|"&amp;COUNTIFS($B$7:$B37,$B37))</f>
        <v/>
      </c>
      <c r="T37" s="3">
        <f>IF($C37="","",UPPER(SUBSTITUTE(SUBSTITUTE(SUBSTITUTE(SUBSTITUTE(SUBSTITUTE(SUBSTITUTE(SUBSTITUTE(SUBSTITUTE(SUBSTITUTE(SUBSTITUTE(SUBSTITUTE(SUBSTITUTE(SUBSTITUTE(SUBSTITUTE(SUBSTITUTE(SUBSTITUTE(SUBSTITUTE(SUBSTITUTE(TRIM($C37),"'",""),"İ","I"),"ı","I"),"i","I"),"Ş","S"),"ş","S"),"Ğ","G"),"ğ","G"),"Ü","U"),"ü","U"),"Ö","O"),"ö","O"),"Ç","C"),"ç","C"),".",""),",","")," ",""),"-","")))</f>
        <v/>
      </c>
    </row>
    <row r="38">
      <c r="A38" s="6" t="n"/>
      <c r="B38" s="113">
        <f>IF($C38="","",IFERROR(INDEX(MUSTERILER!$B$7:$B$106,MATCH($T38,MUSTERILER!$T$7:$T$106,0)),IFERROR(INDEX(MUSTERILER!$B$7:$B$106,MATCH($C38,MUSTERILER!$B$7:$B$106,0)),IFERROR(INDEX(MUSTERILER!$B$7:$B$106,MATCH($T38&amp;"*",MUSTERILER!$T$7:$T$106,0)),"TANIMSIZ MÜŞTERİ"))))</f>
        <v/>
      </c>
      <c r="C38" s="109" t="inlineStr">
        <is>
          <t>MESUT KÖKLÜ</t>
        </is>
      </c>
      <c r="D38" s="220" t="n">
        <v>46023</v>
      </c>
      <c r="E38" s="220" t="n"/>
      <c r="F38" s="108" t="inlineStr">
        <is>
          <t>Aylık</t>
        </is>
      </c>
      <c r="G38" s="221" t="n">
        <v>5000</v>
      </c>
      <c r="H38" s="108" t="inlineStr">
        <is>
          <t>Aktif</t>
        </is>
      </c>
      <c r="I38" s="222">
        <f>IF(OR($C38="",$D38="",$G38="",$F38=""),0,$G38*IF($F38="Aylık",MAX(0,(YEAR(MIN(IF($E38="",TODAY(),$E38),TODAY()))-YEAR($D38))*12+MONTH(MIN(IF($E38="",TODAY(),$E38),TODAY()))-MONTH($D38)+IF(MIN(IF($E38="",TODAY(),$E38),TODAY())&gt;=EOMONTH(MIN(IF($E38="",TODAY(),$E38),TODAY()),0),1,0)),MAX(0,INT((MIN(IF($E38="",TODAY(),$E38),TODAY())-($D38+MOD(SISTEM!$F$8-WEEKDAY($D38,2),7)))/7)+1)))</f>
        <v/>
      </c>
      <c r="J38" s="222">
        <f>IF(OR($C38="",$D38="",$G38="",$F38=""),0,$G38*IF($F38="Aylık",MAX(0,(YEAR(MIN(IF($E38="",TODAY()-8,$E38),TODAY()-8))-YEAR($D38))*12+MONTH(MIN(IF($E38="",TODAY()-8,$E38),TODAY()-8))-MONTH($D38)+IF(MIN(IF($E38="",TODAY()-8,$E38),TODAY()-8)&gt;=EOMONTH(MIN(IF($E38="",TODAY()-8,$E38),TODAY()-8),0),1,0)),MAX(0,INT((MIN(IF($E38="",TODAY()-8,$E38),TODAY()-8)-($D38+MOD(SISTEM!$F$8-WEEKDAY($D38,2),7)))/7)+1)))</f>
        <v/>
      </c>
      <c r="K38" s="222">
        <f>IF(OR($C38="",$D38="",$G38="",$F38=""),0,$G38*IF($F38="Aylık",MAX(0,(YEAR(MIN(IF($E38="",TODAY()-15,$E38),TODAY()-15))-YEAR($D38))*12+MONTH(MIN(IF($E38="",TODAY()-15,$E38),TODAY()-15))-MONTH($D38)+IF(MIN(IF($E38="",TODAY()-15,$E38),TODAY()-15)&gt;=EOMONTH(MIN(IF($E38="",TODAY()-15,$E38),TODAY()-15),0),1,0)),MAX(0,INT((MIN(IF($E38="",TODAY()-15,$E38),TODAY()-15)-($D38+MOD(SISTEM!$F$8-WEEKDAY($D38,2),7)))/7)+1)))</f>
        <v/>
      </c>
      <c r="L38" s="222">
        <f>IF(OR($C38="",$D38="",$G38="",$F38=""),0,$G38*IF($F38="Aylık",MAX(0,(YEAR(MIN(IF($E38="",TODAY()-29,$E38),TODAY()-29))-YEAR($D38))*12+MONTH(MIN(IF($E38="",TODAY()-29,$E38),TODAY()-29))-MONTH($D38)+IF(MIN(IF($E38="",TODAY()-29,$E38),TODAY()-29)&gt;=EOMONTH(MIN(IF($E38="",TODAY()-29,$E38),TODAY()-29),0),1,0)),MAX(0,INT((MIN(IF($E38="",TODAY()-29,$E38),TODAY()-29)-($D38+MOD(SISTEM!$F$8-WEEKDAY($D38,2),7)))/7)+1)))</f>
        <v/>
      </c>
      <c r="M38" s="223">
        <f>IF($G38&gt;0,$I38/$G38,0)</f>
        <v/>
      </c>
      <c r="N38" s="113">
        <f>IF($C38="","",IF($B38="TANIMSIZ MÜŞTERİ","TANIMSIZ MÜŞTERİ",IF($F38="","MODEL SEÇİN",IF(OR($D38="",$G38&lt;=0),"EKSİK",IF(AND($E38&lt;&gt;"",$E38&lt;$D38),"TARİH HATASI",IF($H38="Pasif","KAPALI DÖNEM","UYGUN"))))))</f>
        <v/>
      </c>
      <c r="O38" s="224">
        <f>IF(OR($C38="",$D38="",$F38=""),"",IF($F38="Aylık",EOMONTH($D38,0),($D38+MOD(SISTEM!$F$8-WEEKDAY($D38,2),7))))</f>
        <v/>
      </c>
      <c r="P38" s="109" t="n"/>
      <c r="Q38" s="6" t="n"/>
      <c r="R38" s="6" t="n"/>
      <c r="S38" s="3">
        <f>IF($B38="","",$B38&amp;"|"&amp;COUNTIFS($B$7:$B38,$B38))</f>
        <v/>
      </c>
      <c r="T38" s="3">
        <f>IF($C38="","",UPPER(SUBSTITUTE(SUBSTITUTE(SUBSTITUTE(SUBSTITUTE(SUBSTITUTE(SUBSTITUTE(SUBSTITUTE(SUBSTITUTE(SUBSTITUTE(SUBSTITUTE(SUBSTITUTE(SUBSTITUTE(SUBSTITUTE(SUBSTITUTE(SUBSTITUTE(SUBSTITUTE(SUBSTITUTE(SUBSTITUTE(TRIM($C38),"'",""),"İ","I"),"ı","I"),"i","I"),"Ş","S"),"ş","S"),"Ğ","G"),"ğ","G"),"Ü","U"),"ü","U"),"Ö","O"),"ö","O"),"Ç","C"),"ç","C"),".",""),",","")," ",""),"-","")))</f>
        <v/>
      </c>
    </row>
    <row r="39">
      <c r="A39" s="6" t="n"/>
      <c r="B39" s="113">
        <f>IF($C39="","",IFERROR(INDEX(MUSTERILER!$B$7:$B$106,MATCH($T39,MUSTERILER!$T$7:$T$106,0)),IFERROR(INDEX(MUSTERILER!$B$7:$B$106,MATCH($C39,MUSTERILER!$B$7:$B$106,0)),IFERROR(INDEX(MUSTERILER!$B$7:$B$106,MATCH($T39&amp;"*",MUSTERILER!$T$7:$T$106,0)),"TANIMSIZ MÜŞTERİ"))))</f>
        <v/>
      </c>
      <c r="C39" s="109" t="inlineStr">
        <is>
          <t>MONAMOUR LTD.ŞTİ.</t>
        </is>
      </c>
      <c r="D39" s="220" t="n">
        <v>46023</v>
      </c>
      <c r="E39" s="220" t="n"/>
      <c r="F39" s="108" t="inlineStr">
        <is>
          <t>Haftalık</t>
        </is>
      </c>
      <c r="G39" s="221" t="n">
        <v>3500</v>
      </c>
      <c r="H39" s="108" t="inlineStr">
        <is>
          <t>Aktif</t>
        </is>
      </c>
      <c r="I39" s="222">
        <f>IF(OR($C39="",$D39="",$G39="",$F39=""),0,$G39*IF($F39="Aylık",MAX(0,(YEAR(MIN(IF($E39="",TODAY(),$E39),TODAY()))-YEAR($D39))*12+MONTH(MIN(IF($E39="",TODAY(),$E39),TODAY()))-MONTH($D39)+IF(MIN(IF($E39="",TODAY(),$E39),TODAY())&gt;=EOMONTH(MIN(IF($E39="",TODAY(),$E39),TODAY()),0),1,0)),MAX(0,INT((MIN(IF($E39="",TODAY(),$E39),TODAY())-($D39+MOD(SISTEM!$F$8-WEEKDAY($D39,2),7)))/7)+1)))</f>
        <v/>
      </c>
      <c r="J39" s="222">
        <f>IF(OR($C39="",$D39="",$G39="",$F39=""),0,$G39*IF($F39="Aylık",MAX(0,(YEAR(MIN(IF($E39="",TODAY()-8,$E39),TODAY()-8))-YEAR($D39))*12+MONTH(MIN(IF($E39="",TODAY()-8,$E39),TODAY()-8))-MONTH($D39)+IF(MIN(IF($E39="",TODAY()-8,$E39),TODAY()-8)&gt;=EOMONTH(MIN(IF($E39="",TODAY()-8,$E39),TODAY()-8),0),1,0)),MAX(0,INT((MIN(IF($E39="",TODAY()-8,$E39),TODAY()-8)-($D39+MOD(SISTEM!$F$8-WEEKDAY($D39,2),7)))/7)+1)))</f>
        <v/>
      </c>
      <c r="K39" s="222">
        <f>IF(OR($C39="",$D39="",$G39="",$F39=""),0,$G39*IF($F39="Aylık",MAX(0,(YEAR(MIN(IF($E39="",TODAY()-15,$E39),TODAY()-15))-YEAR($D39))*12+MONTH(MIN(IF($E39="",TODAY()-15,$E39),TODAY()-15))-MONTH($D39)+IF(MIN(IF($E39="",TODAY()-15,$E39),TODAY()-15)&gt;=EOMONTH(MIN(IF($E39="",TODAY()-15,$E39),TODAY()-15),0),1,0)),MAX(0,INT((MIN(IF($E39="",TODAY()-15,$E39),TODAY()-15)-($D39+MOD(SISTEM!$F$8-WEEKDAY($D39,2),7)))/7)+1)))</f>
        <v/>
      </c>
      <c r="L39" s="222">
        <f>IF(OR($C39="",$D39="",$G39="",$F39=""),0,$G39*IF($F39="Aylık",MAX(0,(YEAR(MIN(IF($E39="",TODAY()-29,$E39),TODAY()-29))-YEAR($D39))*12+MONTH(MIN(IF($E39="",TODAY()-29,$E39),TODAY()-29))-MONTH($D39)+IF(MIN(IF($E39="",TODAY()-29,$E39),TODAY()-29)&gt;=EOMONTH(MIN(IF($E39="",TODAY()-29,$E39),TODAY()-29),0),1,0)),MAX(0,INT((MIN(IF($E39="",TODAY()-29,$E39),TODAY()-29)-($D39+MOD(SISTEM!$F$8-WEEKDAY($D39,2),7)))/7)+1)))</f>
        <v/>
      </c>
      <c r="M39" s="223">
        <f>IF($G39&gt;0,$I39/$G39,0)</f>
        <v/>
      </c>
      <c r="N39" s="113">
        <f>IF($C39="","",IF($B39="TANIMSIZ MÜŞTERİ","TANIMSIZ MÜŞTERİ",IF($F39="","MODEL SEÇİN",IF(OR($D39="",$G39&lt;=0),"EKSİK",IF(AND($E39&lt;&gt;"",$E39&lt;$D39),"TARİH HATASI",IF($H39="Pasif","KAPALI DÖNEM","UYGUN"))))))</f>
        <v/>
      </c>
      <c r="O39" s="224">
        <f>IF(OR($C39="",$D39="",$F39=""),"",IF($F39="Aylık",EOMONTH($D39,0),($D39+MOD(SISTEM!$F$8-WEEKDAY($D39,2),7))))</f>
        <v/>
      </c>
      <c r="P39" s="109" t="n"/>
      <c r="Q39" s="6" t="n"/>
      <c r="R39" s="6" t="n"/>
      <c r="S39" s="3">
        <f>IF($B39="","",$B39&amp;"|"&amp;COUNTIFS($B$7:$B39,$B39))</f>
        <v/>
      </c>
      <c r="T39" s="3">
        <f>IF($C39="","",UPPER(SUBSTITUTE(SUBSTITUTE(SUBSTITUTE(SUBSTITUTE(SUBSTITUTE(SUBSTITUTE(SUBSTITUTE(SUBSTITUTE(SUBSTITUTE(SUBSTITUTE(SUBSTITUTE(SUBSTITUTE(SUBSTITUTE(SUBSTITUTE(SUBSTITUTE(SUBSTITUTE(SUBSTITUTE(SUBSTITUTE(TRIM($C39),"'",""),"İ","I"),"ı","I"),"i","I"),"Ş","S"),"ş","S"),"Ğ","G"),"ğ","G"),"Ü","U"),"ü","U"),"Ö","O"),"ö","O"),"Ç","C"),"ç","C"),".",""),",","")," ",""),"-","")))</f>
        <v/>
      </c>
    </row>
    <row r="40">
      <c r="A40" s="6" t="n"/>
      <c r="B40" s="113">
        <f>IF($C40="","",IFERROR(INDEX(MUSTERILER!$B$7:$B$106,MATCH($T40,MUSTERILER!$T$7:$T$106,0)),IFERROR(INDEX(MUSTERILER!$B$7:$B$106,MATCH($C40,MUSTERILER!$B$7:$B$106,0)),IFERROR(INDEX(MUSTERILER!$B$7:$B$106,MATCH($T40&amp;"*",MUSTERILER!$T$7:$T$106,0)),"TANIMSIZ MÜŞTERİ"))))</f>
        <v/>
      </c>
      <c r="C40" s="109" t="inlineStr">
        <is>
          <t>MS TOPTAN LTD.ŞTİ.</t>
        </is>
      </c>
      <c r="D40" s="220" t="n">
        <v>46023</v>
      </c>
      <c r="E40" s="220" t="n"/>
      <c r="F40" s="108" t="inlineStr">
        <is>
          <t>Aylık</t>
        </is>
      </c>
      <c r="G40" s="221" t="n">
        <v>0</v>
      </c>
      <c r="H40" s="108" t="inlineStr">
        <is>
          <t>Aktif</t>
        </is>
      </c>
      <c r="I40" s="222">
        <f>IF(OR($C40="",$D40="",$G40="",$F40=""),0,$G40*IF($F40="Aylık",MAX(0,(YEAR(MIN(IF($E40="",TODAY(),$E40),TODAY()))-YEAR($D40))*12+MONTH(MIN(IF($E40="",TODAY(),$E40),TODAY()))-MONTH($D40)+IF(MIN(IF($E40="",TODAY(),$E40),TODAY())&gt;=EOMONTH(MIN(IF($E40="",TODAY(),$E40),TODAY()),0),1,0)),MAX(0,INT((MIN(IF($E40="",TODAY(),$E40),TODAY())-($D40+MOD(SISTEM!$F$8-WEEKDAY($D40,2),7)))/7)+1)))</f>
        <v/>
      </c>
      <c r="J40" s="222">
        <f>IF(OR($C40="",$D40="",$G40="",$F40=""),0,$G40*IF($F40="Aylık",MAX(0,(YEAR(MIN(IF($E40="",TODAY()-8,$E40),TODAY()-8))-YEAR($D40))*12+MONTH(MIN(IF($E40="",TODAY()-8,$E40),TODAY()-8))-MONTH($D40)+IF(MIN(IF($E40="",TODAY()-8,$E40),TODAY()-8)&gt;=EOMONTH(MIN(IF($E40="",TODAY()-8,$E40),TODAY()-8),0),1,0)),MAX(0,INT((MIN(IF($E40="",TODAY()-8,$E40),TODAY()-8)-($D40+MOD(SISTEM!$F$8-WEEKDAY($D40,2),7)))/7)+1)))</f>
        <v/>
      </c>
      <c r="K40" s="222">
        <f>IF(OR($C40="",$D40="",$G40="",$F40=""),0,$G40*IF($F40="Aylık",MAX(0,(YEAR(MIN(IF($E40="",TODAY()-15,$E40),TODAY()-15))-YEAR($D40))*12+MONTH(MIN(IF($E40="",TODAY()-15,$E40),TODAY()-15))-MONTH($D40)+IF(MIN(IF($E40="",TODAY()-15,$E40),TODAY()-15)&gt;=EOMONTH(MIN(IF($E40="",TODAY()-15,$E40),TODAY()-15),0),1,0)),MAX(0,INT((MIN(IF($E40="",TODAY()-15,$E40),TODAY()-15)-($D40+MOD(SISTEM!$F$8-WEEKDAY($D40,2),7)))/7)+1)))</f>
        <v/>
      </c>
      <c r="L40" s="222">
        <f>IF(OR($C40="",$D40="",$G40="",$F40=""),0,$G40*IF($F40="Aylık",MAX(0,(YEAR(MIN(IF($E40="",TODAY()-29,$E40),TODAY()-29))-YEAR($D40))*12+MONTH(MIN(IF($E40="",TODAY()-29,$E40),TODAY()-29))-MONTH($D40)+IF(MIN(IF($E40="",TODAY()-29,$E40),TODAY()-29)&gt;=EOMONTH(MIN(IF($E40="",TODAY()-29,$E40),TODAY()-29),0),1,0)),MAX(0,INT((MIN(IF($E40="",TODAY()-29,$E40),TODAY()-29)-($D40+MOD(SISTEM!$F$8-WEEKDAY($D40,2),7)))/7)+1)))</f>
        <v/>
      </c>
      <c r="M40" s="223">
        <f>IF($G40&gt;0,$I40/$G40,0)</f>
        <v/>
      </c>
      <c r="N40" s="113">
        <f>IF($C40="","",IF($B40="TANIMSIZ MÜŞTERİ","TANIMSIZ MÜŞTERİ",IF($F40="","MODEL SEÇİN",IF(OR($D40="",$G40&lt;=0),"EKSİK",IF(AND($E40&lt;&gt;"",$E40&lt;$D40),"TARİH HATASI",IF($H40="Pasif","KAPALI DÖNEM","UYGUN"))))))</f>
        <v/>
      </c>
      <c r="O40" s="224">
        <f>IF(OR($C40="",$D40="",$F40=""),"",IF($F40="Aylık",EOMONTH($D40,0),($D40+MOD(SISTEM!$F$8-WEEKDAY($D40,2),7))))</f>
        <v/>
      </c>
      <c r="P40" s="109" t="n"/>
      <c r="Q40" s="6" t="n"/>
      <c r="R40" s="6" t="n"/>
      <c r="S40" s="3">
        <f>IF($B40="","",$B40&amp;"|"&amp;COUNTIFS($B$7:$B40,$B40))</f>
        <v/>
      </c>
      <c r="T40" s="3">
        <f>IF($C40="","",UPPER(SUBSTITUTE(SUBSTITUTE(SUBSTITUTE(SUBSTITUTE(SUBSTITUTE(SUBSTITUTE(SUBSTITUTE(SUBSTITUTE(SUBSTITUTE(SUBSTITUTE(SUBSTITUTE(SUBSTITUTE(SUBSTITUTE(SUBSTITUTE(SUBSTITUTE(SUBSTITUTE(SUBSTITUTE(SUBSTITUTE(TRIM($C40),"'",""),"İ","I"),"ı","I"),"i","I"),"Ş","S"),"ş","S"),"Ğ","G"),"ğ","G"),"Ü","U"),"ü","U"),"Ö","O"),"ö","O"),"Ç","C"),"ç","C"),".",""),",","")," ",""),"-","")))</f>
        <v/>
      </c>
    </row>
    <row r="41">
      <c r="A41" s="6" t="n"/>
      <c r="B41" s="113">
        <f>IF($C41="","",IFERROR(INDEX(MUSTERILER!$B$7:$B$106,MATCH($T41,MUSTERILER!$T$7:$T$106,0)),IFERROR(INDEX(MUSTERILER!$B$7:$B$106,MATCH($C41,MUSTERILER!$B$7:$B$106,0)),IFERROR(INDEX(MUSTERILER!$B$7:$B$106,MATCH($T41&amp;"*",MUSTERILER!$T$7:$T$106,0)),"TANIMSIZ MÜŞTERİ"))))</f>
        <v/>
      </c>
      <c r="C41" s="109" t="inlineStr">
        <is>
          <t>MUSTAFA KOLBAŞI</t>
        </is>
      </c>
      <c r="D41" s="220" t="n">
        <v>46023</v>
      </c>
      <c r="E41" s="220" t="n"/>
      <c r="F41" s="108" t="inlineStr">
        <is>
          <t>Aylık</t>
        </is>
      </c>
      <c r="G41" s="221" t="n">
        <v>3000</v>
      </c>
      <c r="H41" s="108" t="inlineStr">
        <is>
          <t>Aktif</t>
        </is>
      </c>
      <c r="I41" s="222">
        <f>IF(OR($C41="",$D41="",$G41="",$F41=""),0,$G41*IF($F41="Aylık",MAX(0,(YEAR(MIN(IF($E41="",TODAY(),$E41),TODAY()))-YEAR($D41))*12+MONTH(MIN(IF($E41="",TODAY(),$E41),TODAY()))-MONTH($D41)+IF(MIN(IF($E41="",TODAY(),$E41),TODAY())&gt;=EOMONTH(MIN(IF($E41="",TODAY(),$E41),TODAY()),0),1,0)),MAX(0,INT((MIN(IF($E41="",TODAY(),$E41),TODAY())-($D41+MOD(SISTEM!$F$8-WEEKDAY($D41,2),7)))/7)+1)))</f>
        <v/>
      </c>
      <c r="J41" s="222">
        <f>IF(OR($C41="",$D41="",$G41="",$F41=""),0,$G41*IF($F41="Aylık",MAX(0,(YEAR(MIN(IF($E41="",TODAY()-8,$E41),TODAY()-8))-YEAR($D41))*12+MONTH(MIN(IF($E41="",TODAY()-8,$E41),TODAY()-8))-MONTH($D41)+IF(MIN(IF($E41="",TODAY()-8,$E41),TODAY()-8)&gt;=EOMONTH(MIN(IF($E41="",TODAY()-8,$E41),TODAY()-8),0),1,0)),MAX(0,INT((MIN(IF($E41="",TODAY()-8,$E41),TODAY()-8)-($D41+MOD(SISTEM!$F$8-WEEKDAY($D41,2),7)))/7)+1)))</f>
        <v/>
      </c>
      <c r="K41" s="222">
        <f>IF(OR($C41="",$D41="",$G41="",$F41=""),0,$G41*IF($F41="Aylık",MAX(0,(YEAR(MIN(IF($E41="",TODAY()-15,$E41),TODAY()-15))-YEAR($D41))*12+MONTH(MIN(IF($E41="",TODAY()-15,$E41),TODAY()-15))-MONTH($D41)+IF(MIN(IF($E41="",TODAY()-15,$E41),TODAY()-15)&gt;=EOMONTH(MIN(IF($E41="",TODAY()-15,$E41),TODAY()-15),0),1,0)),MAX(0,INT((MIN(IF($E41="",TODAY()-15,$E41),TODAY()-15)-($D41+MOD(SISTEM!$F$8-WEEKDAY($D41,2),7)))/7)+1)))</f>
        <v/>
      </c>
      <c r="L41" s="222">
        <f>IF(OR($C41="",$D41="",$G41="",$F41=""),0,$G41*IF($F41="Aylık",MAX(0,(YEAR(MIN(IF($E41="",TODAY()-29,$E41),TODAY()-29))-YEAR($D41))*12+MONTH(MIN(IF($E41="",TODAY()-29,$E41),TODAY()-29))-MONTH($D41)+IF(MIN(IF($E41="",TODAY()-29,$E41),TODAY()-29)&gt;=EOMONTH(MIN(IF($E41="",TODAY()-29,$E41),TODAY()-29),0),1,0)),MAX(0,INT((MIN(IF($E41="",TODAY()-29,$E41),TODAY()-29)-($D41+MOD(SISTEM!$F$8-WEEKDAY($D41,2),7)))/7)+1)))</f>
        <v/>
      </c>
      <c r="M41" s="223">
        <f>IF($G41&gt;0,$I41/$G41,0)</f>
        <v/>
      </c>
      <c r="N41" s="113">
        <f>IF($C41="","",IF($B41="TANIMSIZ MÜŞTERİ","TANIMSIZ MÜŞTERİ",IF($F41="","MODEL SEÇİN",IF(OR($D41="",$G41&lt;=0),"EKSİK",IF(AND($E41&lt;&gt;"",$E41&lt;$D41),"TARİH HATASI",IF($H41="Pasif","KAPALI DÖNEM","UYGUN"))))))</f>
        <v/>
      </c>
      <c r="O41" s="224">
        <f>IF(OR($C41="",$D41="",$F41=""),"",IF($F41="Aylık",EOMONTH($D41,0),($D41+MOD(SISTEM!$F$8-WEEKDAY($D41,2),7))))</f>
        <v/>
      </c>
      <c r="P41" s="109" t="n"/>
      <c r="Q41" s="6" t="n"/>
      <c r="R41" s="6" t="n"/>
      <c r="S41" s="3">
        <f>IF($B41="","",$B41&amp;"|"&amp;COUNTIFS($B$7:$B41,$B41))</f>
        <v/>
      </c>
      <c r="T41" s="3">
        <f>IF($C41="","",UPPER(SUBSTITUTE(SUBSTITUTE(SUBSTITUTE(SUBSTITUTE(SUBSTITUTE(SUBSTITUTE(SUBSTITUTE(SUBSTITUTE(SUBSTITUTE(SUBSTITUTE(SUBSTITUTE(SUBSTITUTE(SUBSTITUTE(SUBSTITUTE(SUBSTITUTE(SUBSTITUTE(SUBSTITUTE(SUBSTITUTE(TRIM($C41),"'",""),"İ","I"),"ı","I"),"i","I"),"Ş","S"),"ş","S"),"Ğ","G"),"ğ","G"),"Ü","U"),"ü","U"),"Ö","O"),"ö","O"),"Ç","C"),"ç","C"),".",""),",","")," ",""),"-","")))</f>
        <v/>
      </c>
    </row>
    <row r="42">
      <c r="A42" s="6" t="n"/>
      <c r="B42" s="113">
        <f>IF($C42="","",IFERROR(INDEX(MUSTERILER!$B$7:$B$106,MATCH($T42,MUSTERILER!$T$7:$T$106,0)),IFERROR(INDEX(MUSTERILER!$B$7:$B$106,MATCH($C42,MUSTERILER!$B$7:$B$106,0)),IFERROR(INDEX(MUSTERILER!$B$7:$B$106,MATCH($T42&amp;"*",MUSTERILER!$T$7:$T$106,0)),"TANIMSIZ MÜŞTERİ"))))</f>
        <v/>
      </c>
      <c r="C42" s="109" t="inlineStr">
        <is>
          <t>MUSTAFA UMUT KOYUN</t>
        </is>
      </c>
      <c r="D42" s="220" t="n">
        <v>46023</v>
      </c>
      <c r="E42" s="220" t="n"/>
      <c r="F42" s="108" t="inlineStr">
        <is>
          <t>Aylık</t>
        </is>
      </c>
      <c r="G42" s="221" t="n">
        <v>2000</v>
      </c>
      <c r="H42" s="108" t="inlineStr">
        <is>
          <t>Aktif</t>
        </is>
      </c>
      <c r="I42" s="222">
        <f>IF(OR($C42="",$D42="",$G42="",$F42=""),0,$G42*IF($F42="Aylık",MAX(0,(YEAR(MIN(IF($E42="",TODAY(),$E42),TODAY()))-YEAR($D42))*12+MONTH(MIN(IF($E42="",TODAY(),$E42),TODAY()))-MONTH($D42)+IF(MIN(IF($E42="",TODAY(),$E42),TODAY())&gt;=EOMONTH(MIN(IF($E42="",TODAY(),$E42),TODAY()),0),1,0)),MAX(0,INT((MIN(IF($E42="",TODAY(),$E42),TODAY())-($D42+MOD(SISTEM!$F$8-WEEKDAY($D42,2),7)))/7)+1)))</f>
        <v/>
      </c>
      <c r="J42" s="222">
        <f>IF(OR($C42="",$D42="",$G42="",$F42=""),0,$G42*IF($F42="Aylık",MAX(0,(YEAR(MIN(IF($E42="",TODAY()-8,$E42),TODAY()-8))-YEAR($D42))*12+MONTH(MIN(IF($E42="",TODAY()-8,$E42),TODAY()-8))-MONTH($D42)+IF(MIN(IF($E42="",TODAY()-8,$E42),TODAY()-8)&gt;=EOMONTH(MIN(IF($E42="",TODAY()-8,$E42),TODAY()-8),0),1,0)),MAX(0,INT((MIN(IF($E42="",TODAY()-8,$E42),TODAY()-8)-($D42+MOD(SISTEM!$F$8-WEEKDAY($D42,2),7)))/7)+1)))</f>
        <v/>
      </c>
      <c r="K42" s="222">
        <f>IF(OR($C42="",$D42="",$G42="",$F42=""),0,$G42*IF($F42="Aylık",MAX(0,(YEAR(MIN(IF($E42="",TODAY()-15,$E42),TODAY()-15))-YEAR($D42))*12+MONTH(MIN(IF($E42="",TODAY()-15,$E42),TODAY()-15))-MONTH($D42)+IF(MIN(IF($E42="",TODAY()-15,$E42),TODAY()-15)&gt;=EOMONTH(MIN(IF($E42="",TODAY()-15,$E42),TODAY()-15),0),1,0)),MAX(0,INT((MIN(IF($E42="",TODAY()-15,$E42),TODAY()-15)-($D42+MOD(SISTEM!$F$8-WEEKDAY($D42,2),7)))/7)+1)))</f>
        <v/>
      </c>
      <c r="L42" s="222">
        <f>IF(OR($C42="",$D42="",$G42="",$F42=""),0,$G42*IF($F42="Aylık",MAX(0,(YEAR(MIN(IF($E42="",TODAY()-29,$E42),TODAY()-29))-YEAR($D42))*12+MONTH(MIN(IF($E42="",TODAY()-29,$E42),TODAY()-29))-MONTH($D42)+IF(MIN(IF($E42="",TODAY()-29,$E42),TODAY()-29)&gt;=EOMONTH(MIN(IF($E42="",TODAY()-29,$E42),TODAY()-29),0),1,0)),MAX(0,INT((MIN(IF($E42="",TODAY()-29,$E42),TODAY()-29)-($D42+MOD(SISTEM!$F$8-WEEKDAY($D42,2),7)))/7)+1)))</f>
        <v/>
      </c>
      <c r="M42" s="223">
        <f>IF($G42&gt;0,$I42/$G42,0)</f>
        <v/>
      </c>
      <c r="N42" s="113">
        <f>IF($C42="","",IF($B42="TANIMSIZ MÜŞTERİ","TANIMSIZ MÜŞTERİ",IF($F42="","MODEL SEÇİN",IF(OR($D42="",$G42&lt;=0),"EKSİK",IF(AND($E42&lt;&gt;"",$E42&lt;$D42),"TARİH HATASI",IF($H42="Pasif","KAPALI DÖNEM","UYGUN"))))))</f>
        <v/>
      </c>
      <c r="O42" s="224">
        <f>IF(OR($C42="",$D42="",$F42=""),"",IF($F42="Aylık",EOMONTH($D42,0),($D42+MOD(SISTEM!$F$8-WEEKDAY($D42,2),7))))</f>
        <v/>
      </c>
      <c r="P42" s="109" t="n"/>
      <c r="Q42" s="6" t="n"/>
      <c r="R42" s="6" t="n"/>
      <c r="S42" s="3">
        <f>IF($B42="","",$B42&amp;"|"&amp;COUNTIFS($B$7:$B42,$B42))</f>
        <v/>
      </c>
      <c r="T42" s="3">
        <f>IF($C42="","",UPPER(SUBSTITUTE(SUBSTITUTE(SUBSTITUTE(SUBSTITUTE(SUBSTITUTE(SUBSTITUTE(SUBSTITUTE(SUBSTITUTE(SUBSTITUTE(SUBSTITUTE(SUBSTITUTE(SUBSTITUTE(SUBSTITUTE(SUBSTITUTE(SUBSTITUTE(SUBSTITUTE(SUBSTITUTE(SUBSTITUTE(TRIM($C42),"'",""),"İ","I"),"ı","I"),"i","I"),"Ş","S"),"ş","S"),"Ğ","G"),"ğ","G"),"Ü","U"),"ü","U"),"Ö","O"),"ö","O"),"Ç","C"),"ç","C"),".",""),",","")," ",""),"-","")))</f>
        <v/>
      </c>
    </row>
    <row r="43">
      <c r="A43" s="6" t="n"/>
      <c r="B43" s="113">
        <f>IF($C43="","",IFERROR(INDEX(MUSTERILER!$B$7:$B$106,MATCH($T43,MUSTERILER!$T$7:$T$106,0)),IFERROR(INDEX(MUSTERILER!$B$7:$B$106,MATCH($C43,MUSTERILER!$B$7:$B$106,0)),IFERROR(INDEX(MUSTERILER!$B$7:$B$106,MATCH($T43&amp;"*",MUSTERILER!$T$7:$T$106,0)),"TANIMSIZ MÜŞTERİ"))))</f>
        <v/>
      </c>
      <c r="C43" s="109" t="inlineStr">
        <is>
          <t>NAZ 1 GIDA LTD.ŞTİ.</t>
        </is>
      </c>
      <c r="D43" s="220" t="n">
        <v>46023</v>
      </c>
      <c r="E43" s="220" t="n"/>
      <c r="F43" s="108" t="inlineStr">
        <is>
          <t>Haftalık</t>
        </is>
      </c>
      <c r="G43" s="221" t="n">
        <v>2000</v>
      </c>
      <c r="H43" s="108" t="inlineStr">
        <is>
          <t>Aktif</t>
        </is>
      </c>
      <c r="I43" s="222">
        <f>IF(OR($C43="",$D43="",$G43="",$F43=""),0,$G43*IF($F43="Aylık",MAX(0,(YEAR(MIN(IF($E43="",TODAY(),$E43),TODAY()))-YEAR($D43))*12+MONTH(MIN(IF($E43="",TODAY(),$E43),TODAY()))-MONTH($D43)+IF(MIN(IF($E43="",TODAY(),$E43),TODAY())&gt;=EOMONTH(MIN(IF($E43="",TODAY(),$E43),TODAY()),0),1,0)),MAX(0,INT((MIN(IF($E43="",TODAY(),$E43),TODAY())-($D43+MOD(SISTEM!$F$8-WEEKDAY($D43,2),7)))/7)+1)))</f>
        <v/>
      </c>
      <c r="J43" s="222">
        <f>IF(OR($C43="",$D43="",$G43="",$F43=""),0,$G43*IF($F43="Aylık",MAX(0,(YEAR(MIN(IF($E43="",TODAY()-8,$E43),TODAY()-8))-YEAR($D43))*12+MONTH(MIN(IF($E43="",TODAY()-8,$E43),TODAY()-8))-MONTH($D43)+IF(MIN(IF($E43="",TODAY()-8,$E43),TODAY()-8)&gt;=EOMONTH(MIN(IF($E43="",TODAY()-8,$E43),TODAY()-8),0),1,0)),MAX(0,INT((MIN(IF($E43="",TODAY()-8,$E43),TODAY()-8)-($D43+MOD(SISTEM!$F$8-WEEKDAY($D43,2),7)))/7)+1)))</f>
        <v/>
      </c>
      <c r="K43" s="222">
        <f>IF(OR($C43="",$D43="",$G43="",$F43=""),0,$G43*IF($F43="Aylık",MAX(0,(YEAR(MIN(IF($E43="",TODAY()-15,$E43),TODAY()-15))-YEAR($D43))*12+MONTH(MIN(IF($E43="",TODAY()-15,$E43),TODAY()-15))-MONTH($D43)+IF(MIN(IF($E43="",TODAY()-15,$E43),TODAY()-15)&gt;=EOMONTH(MIN(IF($E43="",TODAY()-15,$E43),TODAY()-15),0),1,0)),MAX(0,INT((MIN(IF($E43="",TODAY()-15,$E43),TODAY()-15)-($D43+MOD(SISTEM!$F$8-WEEKDAY($D43,2),7)))/7)+1)))</f>
        <v/>
      </c>
      <c r="L43" s="222">
        <f>IF(OR($C43="",$D43="",$G43="",$F43=""),0,$G43*IF($F43="Aylık",MAX(0,(YEAR(MIN(IF($E43="",TODAY()-29,$E43),TODAY()-29))-YEAR($D43))*12+MONTH(MIN(IF($E43="",TODAY()-29,$E43),TODAY()-29))-MONTH($D43)+IF(MIN(IF($E43="",TODAY()-29,$E43),TODAY()-29)&gt;=EOMONTH(MIN(IF($E43="",TODAY()-29,$E43),TODAY()-29),0),1,0)),MAX(0,INT((MIN(IF($E43="",TODAY()-29,$E43),TODAY()-29)-($D43+MOD(SISTEM!$F$8-WEEKDAY($D43,2),7)))/7)+1)))</f>
        <v/>
      </c>
      <c r="M43" s="223">
        <f>IF($G43&gt;0,$I43/$G43,0)</f>
        <v/>
      </c>
      <c r="N43" s="113">
        <f>IF($C43="","",IF($B43="TANIMSIZ MÜŞTERİ","TANIMSIZ MÜŞTERİ",IF($F43="","MODEL SEÇİN",IF(OR($D43="",$G43&lt;=0),"EKSİK",IF(AND($E43&lt;&gt;"",$E43&lt;$D43),"TARİH HATASI",IF($H43="Pasif","KAPALI DÖNEM","UYGUN"))))))</f>
        <v/>
      </c>
      <c r="O43" s="224">
        <f>IF(OR($C43="",$D43="",$F43=""),"",IF($F43="Aylık",EOMONTH($D43,0),($D43+MOD(SISTEM!$F$8-WEEKDAY($D43,2),7))))</f>
        <v/>
      </c>
      <c r="P43" s="109" t="n"/>
      <c r="Q43" s="6" t="n"/>
      <c r="R43" s="6" t="n"/>
      <c r="S43" s="3">
        <f>IF($B43="","",$B43&amp;"|"&amp;COUNTIFS($B$7:$B43,$B43))</f>
        <v/>
      </c>
      <c r="T43" s="3">
        <f>IF($C43="","",UPPER(SUBSTITUTE(SUBSTITUTE(SUBSTITUTE(SUBSTITUTE(SUBSTITUTE(SUBSTITUTE(SUBSTITUTE(SUBSTITUTE(SUBSTITUTE(SUBSTITUTE(SUBSTITUTE(SUBSTITUTE(SUBSTITUTE(SUBSTITUTE(SUBSTITUTE(SUBSTITUTE(SUBSTITUTE(SUBSTITUTE(TRIM($C43),"'",""),"İ","I"),"ı","I"),"i","I"),"Ş","S"),"ş","S"),"Ğ","G"),"ğ","G"),"Ü","U"),"ü","U"),"Ö","O"),"ö","O"),"Ç","C"),"ç","C"),".",""),",","")," ",""),"-","")))</f>
        <v/>
      </c>
    </row>
    <row r="44">
      <c r="A44" s="6" t="n"/>
      <c r="B44" s="113">
        <f>IF($C44="","",IFERROR(INDEX(MUSTERILER!$B$7:$B$106,MATCH($T44,MUSTERILER!$T$7:$T$106,0)),IFERROR(INDEX(MUSTERILER!$B$7:$B$106,MATCH($C44,MUSTERILER!$B$7:$B$106,0)),IFERROR(INDEX(MUSTERILER!$B$7:$B$106,MATCH($T44&amp;"*",MUSTERILER!$T$7:$T$106,0)),"TANIMSIZ MÜŞTERİ"))))</f>
        <v/>
      </c>
      <c r="C44" s="109" t="inlineStr">
        <is>
          <t>NERO E TİCARET LTD.ŞTİ.</t>
        </is>
      </c>
      <c r="D44" s="220" t="n">
        <v>46023</v>
      </c>
      <c r="E44" s="220" t="n"/>
      <c r="F44" s="108" t="inlineStr">
        <is>
          <t>Aylık</t>
        </is>
      </c>
      <c r="G44" s="221" t="n">
        <v>7500</v>
      </c>
      <c r="H44" s="108" t="inlineStr">
        <is>
          <t>Aktif</t>
        </is>
      </c>
      <c r="I44" s="222">
        <f>IF(OR($C44="",$D44="",$G44="",$F44=""),0,$G44*IF($F44="Aylık",MAX(0,(YEAR(MIN(IF($E44="",TODAY(),$E44),TODAY()))-YEAR($D44))*12+MONTH(MIN(IF($E44="",TODAY(),$E44),TODAY()))-MONTH($D44)+IF(MIN(IF($E44="",TODAY(),$E44),TODAY())&gt;=EOMONTH(MIN(IF($E44="",TODAY(),$E44),TODAY()),0),1,0)),MAX(0,INT((MIN(IF($E44="",TODAY(),$E44),TODAY())-($D44+MOD(SISTEM!$F$8-WEEKDAY($D44,2),7)))/7)+1)))</f>
        <v/>
      </c>
      <c r="J44" s="222">
        <f>IF(OR($C44="",$D44="",$G44="",$F44=""),0,$G44*IF($F44="Aylık",MAX(0,(YEAR(MIN(IF($E44="",TODAY()-8,$E44),TODAY()-8))-YEAR($D44))*12+MONTH(MIN(IF($E44="",TODAY()-8,$E44),TODAY()-8))-MONTH($D44)+IF(MIN(IF($E44="",TODAY()-8,$E44),TODAY()-8)&gt;=EOMONTH(MIN(IF($E44="",TODAY()-8,$E44),TODAY()-8),0),1,0)),MAX(0,INT((MIN(IF($E44="",TODAY()-8,$E44),TODAY()-8)-($D44+MOD(SISTEM!$F$8-WEEKDAY($D44,2),7)))/7)+1)))</f>
        <v/>
      </c>
      <c r="K44" s="222">
        <f>IF(OR($C44="",$D44="",$G44="",$F44=""),0,$G44*IF($F44="Aylık",MAX(0,(YEAR(MIN(IF($E44="",TODAY()-15,$E44),TODAY()-15))-YEAR($D44))*12+MONTH(MIN(IF($E44="",TODAY()-15,$E44),TODAY()-15))-MONTH($D44)+IF(MIN(IF($E44="",TODAY()-15,$E44),TODAY()-15)&gt;=EOMONTH(MIN(IF($E44="",TODAY()-15,$E44),TODAY()-15),0),1,0)),MAX(0,INT((MIN(IF($E44="",TODAY()-15,$E44),TODAY()-15)-($D44+MOD(SISTEM!$F$8-WEEKDAY($D44,2),7)))/7)+1)))</f>
        <v/>
      </c>
      <c r="L44" s="222">
        <f>IF(OR($C44="",$D44="",$G44="",$F44=""),0,$G44*IF($F44="Aylık",MAX(0,(YEAR(MIN(IF($E44="",TODAY()-29,$E44),TODAY()-29))-YEAR($D44))*12+MONTH(MIN(IF($E44="",TODAY()-29,$E44),TODAY()-29))-MONTH($D44)+IF(MIN(IF($E44="",TODAY()-29,$E44),TODAY()-29)&gt;=EOMONTH(MIN(IF($E44="",TODAY()-29,$E44),TODAY()-29),0),1,0)),MAX(0,INT((MIN(IF($E44="",TODAY()-29,$E44),TODAY()-29)-($D44+MOD(SISTEM!$F$8-WEEKDAY($D44,2),7)))/7)+1)))</f>
        <v/>
      </c>
      <c r="M44" s="223">
        <f>IF($G44&gt;0,$I44/$G44,0)</f>
        <v/>
      </c>
      <c r="N44" s="113">
        <f>IF($C44="","",IF($B44="TANIMSIZ MÜŞTERİ","TANIMSIZ MÜŞTERİ",IF($F44="","MODEL SEÇİN",IF(OR($D44="",$G44&lt;=0),"EKSİK",IF(AND($E44&lt;&gt;"",$E44&lt;$D44),"TARİH HATASI",IF($H44="Pasif","KAPALI DÖNEM","UYGUN"))))))</f>
        <v/>
      </c>
      <c r="O44" s="224">
        <f>IF(OR($C44="",$D44="",$F44=""),"",IF($F44="Aylık",EOMONTH($D44,0),($D44+MOD(SISTEM!$F$8-WEEKDAY($D44,2),7))))</f>
        <v/>
      </c>
      <c r="P44" s="109" t="n"/>
      <c r="Q44" s="6" t="n"/>
      <c r="R44" s="6" t="n"/>
      <c r="S44" s="3">
        <f>IF($B44="","",$B44&amp;"|"&amp;COUNTIFS($B$7:$B44,$B44))</f>
        <v/>
      </c>
      <c r="T44" s="3">
        <f>IF($C44="","",UPPER(SUBSTITUTE(SUBSTITUTE(SUBSTITUTE(SUBSTITUTE(SUBSTITUTE(SUBSTITUTE(SUBSTITUTE(SUBSTITUTE(SUBSTITUTE(SUBSTITUTE(SUBSTITUTE(SUBSTITUTE(SUBSTITUTE(SUBSTITUTE(SUBSTITUTE(SUBSTITUTE(SUBSTITUTE(SUBSTITUTE(TRIM($C44),"'",""),"İ","I"),"ı","I"),"i","I"),"Ş","S"),"ş","S"),"Ğ","G"),"ğ","G"),"Ü","U"),"ü","U"),"Ö","O"),"ö","O"),"Ç","C"),"ç","C"),".",""),",","")," ",""),"-","")))</f>
        <v/>
      </c>
    </row>
    <row r="45">
      <c r="A45" s="6" t="n"/>
      <c r="B45" s="113">
        <f>IF($C45="","",IFERROR(INDEX(MUSTERILER!$B$7:$B$106,MATCH($T45,MUSTERILER!$T$7:$T$106,0)),IFERROR(INDEX(MUSTERILER!$B$7:$B$106,MATCH($C45,MUSTERILER!$B$7:$B$106,0)),IFERROR(INDEX(MUSTERILER!$B$7:$B$106,MATCH($T45&amp;"*",MUSTERILER!$T$7:$T$106,0)),"TANIMSIZ MÜŞTERİ"))))</f>
        <v/>
      </c>
      <c r="C45" s="109" t="inlineStr">
        <is>
          <t>ÖMER DEMİRCİ</t>
        </is>
      </c>
      <c r="D45" s="220" t="n">
        <v>46143</v>
      </c>
      <c r="E45" s="220" t="n"/>
      <c r="F45" s="108" t="inlineStr">
        <is>
          <t>Aylık</t>
        </is>
      </c>
      <c r="G45" s="221" t="n">
        <v>3500</v>
      </c>
      <c r="H45" s="108" t="inlineStr">
        <is>
          <t>Aktif</t>
        </is>
      </c>
      <c r="I45" s="222">
        <f>IF(OR($C45="",$D45="",$G45="",$F45=""),0,$G45*IF($F45="Aylık",MAX(0,(YEAR(MIN(IF($E45="",TODAY(),$E45),TODAY()))-YEAR($D45))*12+MONTH(MIN(IF($E45="",TODAY(),$E45),TODAY()))-MONTH($D45)+IF(MIN(IF($E45="",TODAY(),$E45),TODAY())&gt;=EOMONTH(MIN(IF($E45="",TODAY(),$E45),TODAY()),0),1,0)),MAX(0,INT((MIN(IF($E45="",TODAY(),$E45),TODAY())-($D45+MOD(SISTEM!$F$8-WEEKDAY($D45,2),7)))/7)+1)))</f>
        <v/>
      </c>
      <c r="J45" s="222">
        <f>IF(OR($C45="",$D45="",$G45="",$F45=""),0,$G45*IF($F45="Aylık",MAX(0,(YEAR(MIN(IF($E45="",TODAY()-8,$E45),TODAY()-8))-YEAR($D45))*12+MONTH(MIN(IF($E45="",TODAY()-8,$E45),TODAY()-8))-MONTH($D45)+IF(MIN(IF($E45="",TODAY()-8,$E45),TODAY()-8)&gt;=EOMONTH(MIN(IF($E45="",TODAY()-8,$E45),TODAY()-8),0),1,0)),MAX(0,INT((MIN(IF($E45="",TODAY()-8,$E45),TODAY()-8)-($D45+MOD(SISTEM!$F$8-WEEKDAY($D45,2),7)))/7)+1)))</f>
        <v/>
      </c>
      <c r="K45" s="222">
        <f>IF(OR($C45="",$D45="",$G45="",$F45=""),0,$G45*IF($F45="Aylık",MAX(0,(YEAR(MIN(IF($E45="",TODAY()-15,$E45),TODAY()-15))-YEAR($D45))*12+MONTH(MIN(IF($E45="",TODAY()-15,$E45),TODAY()-15))-MONTH($D45)+IF(MIN(IF($E45="",TODAY()-15,$E45),TODAY()-15)&gt;=EOMONTH(MIN(IF($E45="",TODAY()-15,$E45),TODAY()-15),0),1,0)),MAX(0,INT((MIN(IF($E45="",TODAY()-15,$E45),TODAY()-15)-($D45+MOD(SISTEM!$F$8-WEEKDAY($D45,2),7)))/7)+1)))</f>
        <v/>
      </c>
      <c r="L45" s="222">
        <f>IF(OR($C45="",$D45="",$G45="",$F45=""),0,$G45*IF($F45="Aylık",MAX(0,(YEAR(MIN(IF($E45="",TODAY()-29,$E45),TODAY()-29))-YEAR($D45))*12+MONTH(MIN(IF($E45="",TODAY()-29,$E45),TODAY()-29))-MONTH($D45)+IF(MIN(IF($E45="",TODAY()-29,$E45),TODAY()-29)&gt;=EOMONTH(MIN(IF($E45="",TODAY()-29,$E45),TODAY()-29),0),1,0)),MAX(0,INT((MIN(IF($E45="",TODAY()-29,$E45),TODAY()-29)-($D45+MOD(SISTEM!$F$8-WEEKDAY($D45,2),7)))/7)+1)))</f>
        <v/>
      </c>
      <c r="M45" s="223">
        <f>IF($G45&gt;0,$I45/$G45,0)</f>
        <v/>
      </c>
      <c r="N45" s="113">
        <f>IF($C45="","",IF($B45="TANIMSIZ MÜŞTERİ","TANIMSIZ MÜŞTERİ",IF($F45="","MODEL SEÇİN",IF(OR($D45="",$G45&lt;=0),"EKSİK",IF(AND($E45&lt;&gt;"",$E45&lt;$D45),"TARİH HATASI",IF($H45="Pasif","KAPALI DÖNEM","UYGUN"))))))</f>
        <v/>
      </c>
      <c r="O45" s="224">
        <f>IF(OR($C45="",$D45="",$F45=""),"",IF($F45="Aylık",EOMONTH($D45,0),($D45+MOD(SISTEM!$F$8-WEEKDAY($D45,2),7))))</f>
        <v/>
      </c>
      <c r="P45" s="109" t="n"/>
      <c r="Q45" s="6" t="n"/>
      <c r="R45" s="6" t="n"/>
      <c r="S45" s="3">
        <f>IF($B45="","",$B45&amp;"|"&amp;COUNTIFS($B$7:$B45,$B45))</f>
        <v/>
      </c>
      <c r="T45" s="3">
        <f>IF($C45="","",UPPER(SUBSTITUTE(SUBSTITUTE(SUBSTITUTE(SUBSTITUTE(SUBSTITUTE(SUBSTITUTE(SUBSTITUTE(SUBSTITUTE(SUBSTITUTE(SUBSTITUTE(SUBSTITUTE(SUBSTITUTE(SUBSTITUTE(SUBSTITUTE(SUBSTITUTE(SUBSTITUTE(SUBSTITUTE(SUBSTITUTE(TRIM($C45),"'",""),"İ","I"),"ı","I"),"i","I"),"Ş","S"),"ş","S"),"Ğ","G"),"ğ","G"),"Ü","U"),"ü","U"),"Ö","O"),"ö","O"),"Ç","C"),"ç","C"),".",""),",","")," ",""),"-","")))</f>
        <v/>
      </c>
    </row>
    <row r="46">
      <c r="A46" s="6" t="n"/>
      <c r="B46" s="113">
        <f>IF($C46="","",IFERROR(INDEX(MUSTERILER!$B$7:$B$106,MATCH($T46,MUSTERILER!$T$7:$T$106,0)),IFERROR(INDEX(MUSTERILER!$B$7:$B$106,MATCH($C46,MUSTERILER!$B$7:$B$106,0)),IFERROR(INDEX(MUSTERILER!$B$7:$B$106,MATCH($T46&amp;"*",MUSTERILER!$T$7:$T$106,0)),"TANIMSIZ MÜŞTERİ"))))</f>
        <v/>
      </c>
      <c r="C46" s="109" t="inlineStr">
        <is>
          <t>ÖZFİDANLAR LTD.ŞTİ.</t>
        </is>
      </c>
      <c r="D46" s="220" t="n">
        <v>46023</v>
      </c>
      <c r="E46" s="220" t="n"/>
      <c r="F46" s="108" t="inlineStr">
        <is>
          <t>Haftalık</t>
        </is>
      </c>
      <c r="G46" s="221" t="n">
        <v>4000</v>
      </c>
      <c r="H46" s="108" t="inlineStr">
        <is>
          <t>Aktif</t>
        </is>
      </c>
      <c r="I46" s="222">
        <f>IF(OR($C46="",$D46="",$G46="",$F46=""),0,$G46*IF($F46="Aylık",MAX(0,(YEAR(MIN(IF($E46="",TODAY(),$E46),TODAY()))-YEAR($D46))*12+MONTH(MIN(IF($E46="",TODAY(),$E46),TODAY()))-MONTH($D46)+IF(MIN(IF($E46="",TODAY(),$E46),TODAY())&gt;=EOMONTH(MIN(IF($E46="",TODAY(),$E46),TODAY()),0),1,0)),MAX(0,INT((MIN(IF($E46="",TODAY(),$E46),TODAY())-($D46+MOD(SISTEM!$F$8-WEEKDAY($D46,2),7)))/7)+1)))</f>
        <v/>
      </c>
      <c r="J46" s="222">
        <f>IF(OR($C46="",$D46="",$G46="",$F46=""),0,$G46*IF($F46="Aylık",MAX(0,(YEAR(MIN(IF($E46="",TODAY()-8,$E46),TODAY()-8))-YEAR($D46))*12+MONTH(MIN(IF($E46="",TODAY()-8,$E46),TODAY()-8))-MONTH($D46)+IF(MIN(IF($E46="",TODAY()-8,$E46),TODAY()-8)&gt;=EOMONTH(MIN(IF($E46="",TODAY()-8,$E46),TODAY()-8),0),1,0)),MAX(0,INT((MIN(IF($E46="",TODAY()-8,$E46),TODAY()-8)-($D46+MOD(SISTEM!$F$8-WEEKDAY($D46,2),7)))/7)+1)))</f>
        <v/>
      </c>
      <c r="K46" s="222">
        <f>IF(OR($C46="",$D46="",$G46="",$F46=""),0,$G46*IF($F46="Aylık",MAX(0,(YEAR(MIN(IF($E46="",TODAY()-15,$E46),TODAY()-15))-YEAR($D46))*12+MONTH(MIN(IF($E46="",TODAY()-15,$E46),TODAY()-15))-MONTH($D46)+IF(MIN(IF($E46="",TODAY()-15,$E46),TODAY()-15)&gt;=EOMONTH(MIN(IF($E46="",TODAY()-15,$E46),TODAY()-15),0),1,0)),MAX(0,INT((MIN(IF($E46="",TODAY()-15,$E46),TODAY()-15)-($D46+MOD(SISTEM!$F$8-WEEKDAY($D46,2),7)))/7)+1)))</f>
        <v/>
      </c>
      <c r="L46" s="222">
        <f>IF(OR($C46="",$D46="",$G46="",$F46=""),0,$G46*IF($F46="Aylık",MAX(0,(YEAR(MIN(IF($E46="",TODAY()-29,$E46),TODAY()-29))-YEAR($D46))*12+MONTH(MIN(IF($E46="",TODAY()-29,$E46),TODAY()-29))-MONTH($D46)+IF(MIN(IF($E46="",TODAY()-29,$E46),TODAY()-29)&gt;=EOMONTH(MIN(IF($E46="",TODAY()-29,$E46),TODAY()-29),0),1,0)),MAX(0,INT((MIN(IF($E46="",TODAY()-29,$E46),TODAY()-29)-($D46+MOD(SISTEM!$F$8-WEEKDAY($D46,2),7)))/7)+1)))</f>
        <v/>
      </c>
      <c r="M46" s="223">
        <f>IF($G46&gt;0,$I46/$G46,0)</f>
        <v/>
      </c>
      <c r="N46" s="113">
        <f>IF($C46="","",IF($B46="TANIMSIZ MÜŞTERİ","TANIMSIZ MÜŞTERİ",IF($F46="","MODEL SEÇİN",IF(OR($D46="",$G46&lt;=0),"EKSİK",IF(AND($E46&lt;&gt;"",$E46&lt;$D46),"TARİH HATASI",IF($H46="Pasif","KAPALI DÖNEM","UYGUN"))))))</f>
        <v/>
      </c>
      <c r="O46" s="224">
        <f>IF(OR($C46="",$D46="",$F46=""),"",IF($F46="Aylık",EOMONTH($D46,0),($D46+MOD(SISTEM!$F$8-WEEKDAY($D46,2),7))))</f>
        <v/>
      </c>
      <c r="P46" s="109" t="n"/>
      <c r="Q46" s="6" t="n"/>
      <c r="R46" s="6" t="n"/>
      <c r="S46" s="3">
        <f>IF($B46="","",$B46&amp;"|"&amp;COUNTIFS($B$7:$B46,$B46))</f>
        <v/>
      </c>
      <c r="T46" s="3">
        <f>IF($C46="","",UPPER(SUBSTITUTE(SUBSTITUTE(SUBSTITUTE(SUBSTITUTE(SUBSTITUTE(SUBSTITUTE(SUBSTITUTE(SUBSTITUTE(SUBSTITUTE(SUBSTITUTE(SUBSTITUTE(SUBSTITUTE(SUBSTITUTE(SUBSTITUTE(SUBSTITUTE(SUBSTITUTE(SUBSTITUTE(SUBSTITUTE(TRIM($C46),"'",""),"İ","I"),"ı","I"),"i","I"),"Ş","S"),"ş","S"),"Ğ","G"),"ğ","G"),"Ü","U"),"ü","U"),"Ö","O"),"ö","O"),"Ç","C"),"ç","C"),".",""),",","")," ",""),"-","")))</f>
        <v/>
      </c>
    </row>
    <row r="47">
      <c r="A47" s="6" t="n"/>
      <c r="B47" s="113">
        <f>IF($C47="","",IFERROR(INDEX(MUSTERILER!$B$7:$B$106,MATCH($T47,MUSTERILER!$T$7:$T$106,0)),IFERROR(INDEX(MUSTERILER!$B$7:$B$106,MATCH($C47,MUSTERILER!$B$7:$B$106,0)),IFERROR(INDEX(MUSTERILER!$B$7:$B$106,MATCH($T47&amp;"*",MUSTERILER!$T$7:$T$106,0)),"TANIMSIZ MÜŞTERİ"))))</f>
        <v/>
      </c>
      <c r="C47" s="109" t="inlineStr">
        <is>
          <t>PAKYILDIZ LTD.ŞTİ.</t>
        </is>
      </c>
      <c r="D47" s="220" t="n">
        <v>46023</v>
      </c>
      <c r="E47" s="220" t="n"/>
      <c r="F47" s="108" t="inlineStr">
        <is>
          <t>Haftalık</t>
        </is>
      </c>
      <c r="G47" s="221" t="n">
        <v>4000</v>
      </c>
      <c r="H47" s="108" t="inlineStr">
        <is>
          <t>Aktif</t>
        </is>
      </c>
      <c r="I47" s="222">
        <f>IF(OR($C47="",$D47="",$G47="",$F47=""),0,$G47*IF($F47="Aylık",MAX(0,(YEAR(MIN(IF($E47="",TODAY(),$E47),TODAY()))-YEAR($D47))*12+MONTH(MIN(IF($E47="",TODAY(),$E47),TODAY()))-MONTH($D47)+IF(MIN(IF($E47="",TODAY(),$E47),TODAY())&gt;=EOMONTH(MIN(IF($E47="",TODAY(),$E47),TODAY()),0),1,0)),MAX(0,INT((MIN(IF($E47="",TODAY(),$E47),TODAY())-($D47+MOD(SISTEM!$F$8-WEEKDAY($D47,2),7)))/7)+1)))</f>
        <v/>
      </c>
      <c r="J47" s="222">
        <f>IF(OR($C47="",$D47="",$G47="",$F47=""),0,$G47*IF($F47="Aylık",MAX(0,(YEAR(MIN(IF($E47="",TODAY()-8,$E47),TODAY()-8))-YEAR($D47))*12+MONTH(MIN(IF($E47="",TODAY()-8,$E47),TODAY()-8))-MONTH($D47)+IF(MIN(IF($E47="",TODAY()-8,$E47),TODAY()-8)&gt;=EOMONTH(MIN(IF($E47="",TODAY()-8,$E47),TODAY()-8),0),1,0)),MAX(0,INT((MIN(IF($E47="",TODAY()-8,$E47),TODAY()-8)-($D47+MOD(SISTEM!$F$8-WEEKDAY($D47,2),7)))/7)+1)))</f>
        <v/>
      </c>
      <c r="K47" s="222">
        <f>IF(OR($C47="",$D47="",$G47="",$F47=""),0,$G47*IF($F47="Aylık",MAX(0,(YEAR(MIN(IF($E47="",TODAY()-15,$E47),TODAY()-15))-YEAR($D47))*12+MONTH(MIN(IF($E47="",TODAY()-15,$E47),TODAY()-15))-MONTH($D47)+IF(MIN(IF($E47="",TODAY()-15,$E47),TODAY()-15)&gt;=EOMONTH(MIN(IF($E47="",TODAY()-15,$E47),TODAY()-15),0),1,0)),MAX(0,INT((MIN(IF($E47="",TODAY()-15,$E47),TODAY()-15)-($D47+MOD(SISTEM!$F$8-WEEKDAY($D47,2),7)))/7)+1)))</f>
        <v/>
      </c>
      <c r="L47" s="222">
        <f>IF(OR($C47="",$D47="",$G47="",$F47=""),0,$G47*IF($F47="Aylık",MAX(0,(YEAR(MIN(IF($E47="",TODAY()-29,$E47),TODAY()-29))-YEAR($D47))*12+MONTH(MIN(IF($E47="",TODAY()-29,$E47),TODAY()-29))-MONTH($D47)+IF(MIN(IF($E47="",TODAY()-29,$E47),TODAY()-29)&gt;=EOMONTH(MIN(IF($E47="",TODAY()-29,$E47),TODAY()-29),0),1,0)),MAX(0,INT((MIN(IF($E47="",TODAY()-29,$E47),TODAY()-29)-($D47+MOD(SISTEM!$F$8-WEEKDAY($D47,2),7)))/7)+1)))</f>
        <v/>
      </c>
      <c r="M47" s="223">
        <f>IF($G47&gt;0,$I47/$G47,0)</f>
        <v/>
      </c>
      <c r="N47" s="113">
        <f>IF($C47="","",IF($B47="TANIMSIZ MÜŞTERİ","TANIMSIZ MÜŞTERİ",IF($F47="","MODEL SEÇİN",IF(OR($D47="",$G47&lt;=0),"EKSİK",IF(AND($E47&lt;&gt;"",$E47&lt;$D47),"TARİH HATASI",IF($H47="Pasif","KAPALI DÖNEM","UYGUN"))))))</f>
        <v/>
      </c>
      <c r="O47" s="224">
        <f>IF(OR($C47="",$D47="",$F47=""),"",IF($F47="Aylık",EOMONTH($D47,0),($D47+MOD(SISTEM!$F$8-WEEKDAY($D47,2),7))))</f>
        <v/>
      </c>
      <c r="P47" s="109" t="n"/>
      <c r="Q47" s="6" t="n"/>
      <c r="R47" s="6" t="n"/>
      <c r="S47" s="3">
        <f>IF($B47="","",$B47&amp;"|"&amp;COUNTIFS($B$7:$B47,$B47))</f>
        <v/>
      </c>
      <c r="T47" s="3">
        <f>IF($C47="","",UPPER(SUBSTITUTE(SUBSTITUTE(SUBSTITUTE(SUBSTITUTE(SUBSTITUTE(SUBSTITUTE(SUBSTITUTE(SUBSTITUTE(SUBSTITUTE(SUBSTITUTE(SUBSTITUTE(SUBSTITUTE(SUBSTITUTE(SUBSTITUTE(SUBSTITUTE(SUBSTITUTE(SUBSTITUTE(SUBSTITUTE(TRIM($C47),"'",""),"İ","I"),"ı","I"),"i","I"),"Ş","S"),"ş","S"),"Ğ","G"),"ğ","G"),"Ü","U"),"ü","U"),"Ö","O"),"ö","O"),"Ç","C"),"ç","C"),".",""),",","")," ",""),"-","")))</f>
        <v/>
      </c>
    </row>
    <row r="48">
      <c r="A48" s="6" t="n"/>
      <c r="B48" s="113">
        <f>IF($C48="","",IFERROR(INDEX(MUSTERILER!$B$7:$B$106,MATCH($T48,MUSTERILER!$T$7:$T$106,0)),IFERROR(INDEX(MUSTERILER!$B$7:$B$106,MATCH($C48,MUSTERILER!$B$7:$B$106,0)),IFERROR(INDEX(MUSTERILER!$B$7:$B$106,MATCH($T48&amp;"*",MUSTERILER!$T$7:$T$106,0)),"TANIMSIZ MÜŞTERİ"))))</f>
        <v/>
      </c>
      <c r="C48" s="109" t="inlineStr">
        <is>
          <t>PALAOĞULLARI LTD.ŞTİ.</t>
        </is>
      </c>
      <c r="D48" s="220" t="n">
        <v>46023</v>
      </c>
      <c r="E48" s="220" t="n">
        <v>46178</v>
      </c>
      <c r="F48" s="108" t="inlineStr">
        <is>
          <t>Haftalık</t>
        </is>
      </c>
      <c r="G48" s="221" t="n">
        <v>4000</v>
      </c>
      <c r="H48" s="108" t="inlineStr">
        <is>
          <t>Pasif</t>
        </is>
      </c>
      <c r="I48" s="222">
        <f>IF(OR($C48="",$D48="",$G48="",$F48=""),0,$G48*IF($F48="Aylık",MAX(0,(YEAR(MIN(IF($E48="",TODAY(),$E48),TODAY()))-YEAR($D48))*12+MONTH(MIN(IF($E48="",TODAY(),$E48),TODAY()))-MONTH($D48)+IF(MIN(IF($E48="",TODAY(),$E48),TODAY())&gt;=EOMONTH(MIN(IF($E48="",TODAY(),$E48),TODAY()),0),1,0)),MAX(0,INT((MIN(IF($E48="",TODAY(),$E48),TODAY())-($D48+MOD(SISTEM!$F$8-WEEKDAY($D48,2),7)))/7)+1)))</f>
        <v/>
      </c>
      <c r="J48" s="222">
        <f>IF(OR($C48="",$D48="",$G48="",$F48=""),0,$G48*IF($F48="Aylık",MAX(0,(YEAR(MIN(IF($E48="",TODAY()-8,$E48),TODAY()-8))-YEAR($D48))*12+MONTH(MIN(IF($E48="",TODAY()-8,$E48),TODAY()-8))-MONTH($D48)+IF(MIN(IF($E48="",TODAY()-8,$E48),TODAY()-8)&gt;=EOMONTH(MIN(IF($E48="",TODAY()-8,$E48),TODAY()-8),0),1,0)),MAX(0,INT((MIN(IF($E48="",TODAY()-8,$E48),TODAY()-8)-($D48+MOD(SISTEM!$F$8-WEEKDAY($D48,2),7)))/7)+1)))</f>
        <v/>
      </c>
      <c r="K48" s="222">
        <f>IF(OR($C48="",$D48="",$G48="",$F48=""),0,$G48*IF($F48="Aylık",MAX(0,(YEAR(MIN(IF($E48="",TODAY()-15,$E48),TODAY()-15))-YEAR($D48))*12+MONTH(MIN(IF($E48="",TODAY()-15,$E48),TODAY()-15))-MONTH($D48)+IF(MIN(IF($E48="",TODAY()-15,$E48),TODAY()-15)&gt;=EOMONTH(MIN(IF($E48="",TODAY()-15,$E48),TODAY()-15),0),1,0)),MAX(0,INT((MIN(IF($E48="",TODAY()-15,$E48),TODAY()-15)-($D48+MOD(SISTEM!$F$8-WEEKDAY($D48,2),7)))/7)+1)))</f>
        <v/>
      </c>
      <c r="L48" s="222">
        <f>IF(OR($C48="",$D48="",$G48="",$F48=""),0,$G48*IF($F48="Aylık",MAX(0,(YEAR(MIN(IF($E48="",TODAY()-29,$E48),TODAY()-29))-YEAR($D48))*12+MONTH(MIN(IF($E48="",TODAY()-29,$E48),TODAY()-29))-MONTH($D48)+IF(MIN(IF($E48="",TODAY()-29,$E48),TODAY()-29)&gt;=EOMONTH(MIN(IF($E48="",TODAY()-29,$E48),TODAY()-29),0),1,0)),MAX(0,INT((MIN(IF($E48="",TODAY()-29,$E48),TODAY()-29)-($D48+MOD(SISTEM!$F$8-WEEKDAY($D48,2),7)))/7)+1)))</f>
        <v/>
      </c>
      <c r="M48" s="223">
        <f>IF($G48&gt;0,$I48/$G48,0)</f>
        <v/>
      </c>
      <c r="N48" s="113">
        <f>IF($C48="","",IF($B48="TANIMSIZ MÜŞTERİ","TANIMSIZ MÜŞTERİ",IF($F48="","MODEL SEÇİN",IF(OR($D48="",$G48&lt;=0),"EKSİK",IF(AND($E48&lt;&gt;"",$E48&lt;$D48),"TARİH HATASI",IF($H48="Pasif","KAPALI DÖNEM","UYGUN"))))))</f>
        <v/>
      </c>
      <c r="O48" s="224">
        <f>IF(OR($C48="",$D48="",$F48=""),"",IF($F48="Aylık",EOMONTH($D48,0),($D48+MOD(SISTEM!$F$8-WEEKDAY($D48,2),7))))</f>
        <v/>
      </c>
      <c r="P48" s="109" t="n"/>
      <c r="Q48" s="6" t="n"/>
      <c r="R48" s="6" t="n"/>
      <c r="S48" s="3">
        <f>IF($B48="","",$B48&amp;"|"&amp;COUNTIFS($B$7:$B48,$B48))</f>
        <v/>
      </c>
      <c r="T48" s="3">
        <f>IF($C48="","",UPPER(SUBSTITUTE(SUBSTITUTE(SUBSTITUTE(SUBSTITUTE(SUBSTITUTE(SUBSTITUTE(SUBSTITUTE(SUBSTITUTE(SUBSTITUTE(SUBSTITUTE(SUBSTITUTE(SUBSTITUTE(SUBSTITUTE(SUBSTITUTE(SUBSTITUTE(SUBSTITUTE(SUBSTITUTE(SUBSTITUTE(TRIM($C48),"'",""),"İ","I"),"ı","I"),"i","I"),"Ş","S"),"ş","S"),"Ğ","G"),"ğ","G"),"Ü","U"),"ü","U"),"Ö","O"),"ö","O"),"Ç","C"),"ç","C"),".",""),",","")," ",""),"-","")))</f>
        <v/>
      </c>
    </row>
    <row r="49">
      <c r="A49" s="6" t="n"/>
      <c r="B49" s="113">
        <f>IF($C49="","",IFERROR(INDEX(MUSTERILER!$B$7:$B$106,MATCH($T49,MUSTERILER!$T$7:$T$106,0)),IFERROR(INDEX(MUSTERILER!$B$7:$B$106,MATCH($C49,MUSTERILER!$B$7:$B$106,0)),IFERROR(INDEX(MUSTERILER!$B$7:$B$106,MATCH($T49&amp;"*",MUSTERILER!$T$7:$T$106,0)),"TANIMSIZ MÜŞTERİ"))))</f>
        <v/>
      </c>
      <c r="C49" s="109" t="inlineStr">
        <is>
          <t>RASİM DEMİRCİ</t>
        </is>
      </c>
      <c r="D49" s="220" t="n">
        <v>46023</v>
      </c>
      <c r="E49" s="220" t="n"/>
      <c r="F49" s="108" t="inlineStr">
        <is>
          <t>Aylık</t>
        </is>
      </c>
      <c r="G49" s="221" t="n">
        <v>3000</v>
      </c>
      <c r="H49" s="108" t="inlineStr">
        <is>
          <t>Aktif</t>
        </is>
      </c>
      <c r="I49" s="222">
        <f>IF(OR($C49="",$D49="",$G49="",$F49=""),0,$G49*IF($F49="Aylık",MAX(0,(YEAR(MIN(IF($E49="",TODAY(),$E49),TODAY()))-YEAR($D49))*12+MONTH(MIN(IF($E49="",TODAY(),$E49),TODAY()))-MONTH($D49)+IF(MIN(IF($E49="",TODAY(),$E49),TODAY())&gt;=EOMONTH(MIN(IF($E49="",TODAY(),$E49),TODAY()),0),1,0)),MAX(0,INT((MIN(IF($E49="",TODAY(),$E49),TODAY())-($D49+MOD(SISTEM!$F$8-WEEKDAY($D49,2),7)))/7)+1)))</f>
        <v/>
      </c>
      <c r="J49" s="222">
        <f>IF(OR($C49="",$D49="",$G49="",$F49=""),0,$G49*IF($F49="Aylık",MAX(0,(YEAR(MIN(IF($E49="",TODAY()-8,$E49),TODAY()-8))-YEAR($D49))*12+MONTH(MIN(IF($E49="",TODAY()-8,$E49),TODAY()-8))-MONTH($D49)+IF(MIN(IF($E49="",TODAY()-8,$E49),TODAY()-8)&gt;=EOMONTH(MIN(IF($E49="",TODAY()-8,$E49),TODAY()-8),0),1,0)),MAX(0,INT((MIN(IF($E49="",TODAY()-8,$E49),TODAY()-8)-($D49+MOD(SISTEM!$F$8-WEEKDAY($D49,2),7)))/7)+1)))</f>
        <v/>
      </c>
      <c r="K49" s="222">
        <f>IF(OR($C49="",$D49="",$G49="",$F49=""),0,$G49*IF($F49="Aylık",MAX(0,(YEAR(MIN(IF($E49="",TODAY()-15,$E49),TODAY()-15))-YEAR($D49))*12+MONTH(MIN(IF($E49="",TODAY()-15,$E49),TODAY()-15))-MONTH($D49)+IF(MIN(IF($E49="",TODAY()-15,$E49),TODAY()-15)&gt;=EOMONTH(MIN(IF($E49="",TODAY()-15,$E49),TODAY()-15),0),1,0)),MAX(0,INT((MIN(IF($E49="",TODAY()-15,$E49),TODAY()-15)-($D49+MOD(SISTEM!$F$8-WEEKDAY($D49,2),7)))/7)+1)))</f>
        <v/>
      </c>
      <c r="L49" s="222">
        <f>IF(OR($C49="",$D49="",$G49="",$F49=""),0,$G49*IF($F49="Aylık",MAX(0,(YEAR(MIN(IF($E49="",TODAY()-29,$E49),TODAY()-29))-YEAR($D49))*12+MONTH(MIN(IF($E49="",TODAY()-29,$E49),TODAY()-29))-MONTH($D49)+IF(MIN(IF($E49="",TODAY()-29,$E49),TODAY()-29)&gt;=EOMONTH(MIN(IF($E49="",TODAY()-29,$E49),TODAY()-29),0),1,0)),MAX(0,INT((MIN(IF($E49="",TODAY()-29,$E49),TODAY()-29)-($D49+MOD(SISTEM!$F$8-WEEKDAY($D49,2),7)))/7)+1)))</f>
        <v/>
      </c>
      <c r="M49" s="223">
        <f>IF($G49&gt;0,$I49/$G49,0)</f>
        <v/>
      </c>
      <c r="N49" s="113">
        <f>IF($C49="","",IF($B49="TANIMSIZ MÜŞTERİ","TANIMSIZ MÜŞTERİ",IF($F49="","MODEL SEÇİN",IF(OR($D49="",$G49&lt;=0),"EKSİK",IF(AND($E49&lt;&gt;"",$E49&lt;$D49),"TARİH HATASI",IF($H49="Pasif","KAPALI DÖNEM","UYGUN"))))))</f>
        <v/>
      </c>
      <c r="O49" s="224">
        <f>IF(OR($C49="",$D49="",$F49=""),"",IF($F49="Aylık",EOMONTH($D49,0),($D49+MOD(SISTEM!$F$8-WEEKDAY($D49,2),7))))</f>
        <v/>
      </c>
      <c r="P49" s="109" t="n"/>
      <c r="Q49" s="6" t="n"/>
      <c r="R49" s="6" t="n"/>
      <c r="S49" s="3">
        <f>IF($B49="","",$B49&amp;"|"&amp;COUNTIFS($B$7:$B49,$B49))</f>
        <v/>
      </c>
      <c r="T49" s="3">
        <f>IF($C49="","",UPPER(SUBSTITUTE(SUBSTITUTE(SUBSTITUTE(SUBSTITUTE(SUBSTITUTE(SUBSTITUTE(SUBSTITUTE(SUBSTITUTE(SUBSTITUTE(SUBSTITUTE(SUBSTITUTE(SUBSTITUTE(SUBSTITUTE(SUBSTITUTE(SUBSTITUTE(SUBSTITUTE(SUBSTITUTE(SUBSTITUTE(TRIM($C49),"'",""),"İ","I"),"ı","I"),"i","I"),"Ş","S"),"ş","S"),"Ğ","G"),"ğ","G"),"Ü","U"),"ü","U"),"Ö","O"),"ö","O"),"Ç","C"),"ç","C"),".",""),",","")," ",""),"-","")))</f>
        <v/>
      </c>
    </row>
    <row r="50">
      <c r="A50" s="6" t="n"/>
      <c r="B50" s="113">
        <f>IF($C50="","",IFERROR(INDEX(MUSTERILER!$B$7:$B$106,MATCH($T50,MUSTERILER!$T$7:$T$106,0)),IFERROR(INDEX(MUSTERILER!$B$7:$B$106,MATCH($C50,MUSTERILER!$B$7:$B$106,0)),IFERROR(INDEX(MUSTERILER!$B$7:$B$106,MATCH($T50&amp;"*",MUSTERILER!$T$7:$T$106,0)),"TANIMSIZ MÜŞTERİ"))))</f>
        <v/>
      </c>
      <c r="C50" s="109" t="inlineStr">
        <is>
          <t>RİX ŞOW LTD.ŞTİ.</t>
        </is>
      </c>
      <c r="D50" s="220" t="n">
        <v>46023</v>
      </c>
      <c r="E50" s="220" t="n"/>
      <c r="F50" s="108" t="inlineStr">
        <is>
          <t>Haftalık</t>
        </is>
      </c>
      <c r="G50" s="221" t="n">
        <v>3000</v>
      </c>
      <c r="H50" s="108" t="inlineStr">
        <is>
          <t>Aktif</t>
        </is>
      </c>
      <c r="I50" s="222">
        <f>IF(OR($C50="",$D50="",$G50="",$F50=""),0,$G50*IF($F50="Aylık",MAX(0,(YEAR(MIN(IF($E50="",TODAY(),$E50),TODAY()))-YEAR($D50))*12+MONTH(MIN(IF($E50="",TODAY(),$E50),TODAY()))-MONTH($D50)+IF(MIN(IF($E50="",TODAY(),$E50),TODAY())&gt;=EOMONTH(MIN(IF($E50="",TODAY(),$E50),TODAY()),0),1,0)),MAX(0,INT((MIN(IF($E50="",TODAY(),$E50),TODAY())-($D50+MOD(SISTEM!$F$8-WEEKDAY($D50,2),7)))/7)+1)))</f>
        <v/>
      </c>
      <c r="J50" s="222">
        <f>IF(OR($C50="",$D50="",$G50="",$F50=""),0,$G50*IF($F50="Aylık",MAX(0,(YEAR(MIN(IF($E50="",TODAY()-8,$E50),TODAY()-8))-YEAR($D50))*12+MONTH(MIN(IF($E50="",TODAY()-8,$E50),TODAY()-8))-MONTH($D50)+IF(MIN(IF($E50="",TODAY()-8,$E50),TODAY()-8)&gt;=EOMONTH(MIN(IF($E50="",TODAY()-8,$E50),TODAY()-8),0),1,0)),MAX(0,INT((MIN(IF($E50="",TODAY()-8,$E50),TODAY()-8)-($D50+MOD(SISTEM!$F$8-WEEKDAY($D50,2),7)))/7)+1)))</f>
        <v/>
      </c>
      <c r="K50" s="222">
        <f>IF(OR($C50="",$D50="",$G50="",$F50=""),0,$G50*IF($F50="Aylık",MAX(0,(YEAR(MIN(IF($E50="",TODAY()-15,$E50),TODAY()-15))-YEAR($D50))*12+MONTH(MIN(IF($E50="",TODAY()-15,$E50),TODAY()-15))-MONTH($D50)+IF(MIN(IF($E50="",TODAY()-15,$E50),TODAY()-15)&gt;=EOMONTH(MIN(IF($E50="",TODAY()-15,$E50),TODAY()-15),0),1,0)),MAX(0,INT((MIN(IF($E50="",TODAY()-15,$E50),TODAY()-15)-($D50+MOD(SISTEM!$F$8-WEEKDAY($D50,2),7)))/7)+1)))</f>
        <v/>
      </c>
      <c r="L50" s="222">
        <f>IF(OR($C50="",$D50="",$G50="",$F50=""),0,$G50*IF($F50="Aylık",MAX(0,(YEAR(MIN(IF($E50="",TODAY()-29,$E50),TODAY()-29))-YEAR($D50))*12+MONTH(MIN(IF($E50="",TODAY()-29,$E50),TODAY()-29))-MONTH($D50)+IF(MIN(IF($E50="",TODAY()-29,$E50),TODAY()-29)&gt;=EOMONTH(MIN(IF($E50="",TODAY()-29,$E50),TODAY()-29),0),1,0)),MAX(0,INT((MIN(IF($E50="",TODAY()-29,$E50),TODAY()-29)-($D50+MOD(SISTEM!$F$8-WEEKDAY($D50,2),7)))/7)+1)))</f>
        <v/>
      </c>
      <c r="M50" s="223">
        <f>IF($G50&gt;0,$I50/$G50,0)</f>
        <v/>
      </c>
      <c r="N50" s="113">
        <f>IF($C50="","",IF($B50="TANIMSIZ MÜŞTERİ","TANIMSIZ MÜŞTERİ",IF($F50="","MODEL SEÇİN",IF(OR($D50="",$G50&lt;=0),"EKSİK",IF(AND($E50&lt;&gt;"",$E50&lt;$D50),"TARİH HATASI",IF($H50="Pasif","KAPALI DÖNEM","UYGUN"))))))</f>
        <v/>
      </c>
      <c r="O50" s="224">
        <f>IF(OR($C50="",$D50="",$F50=""),"",IF($F50="Aylık",EOMONTH($D50,0),($D50+MOD(SISTEM!$F$8-WEEKDAY($D50,2),7))))</f>
        <v/>
      </c>
      <c r="P50" s="109" t="n"/>
      <c r="Q50" s="6" t="n"/>
      <c r="R50" s="6" t="n"/>
      <c r="S50" s="3">
        <f>IF($B50="","",$B50&amp;"|"&amp;COUNTIFS($B$7:$B50,$B50))</f>
        <v/>
      </c>
      <c r="T50" s="3">
        <f>IF($C50="","",UPPER(SUBSTITUTE(SUBSTITUTE(SUBSTITUTE(SUBSTITUTE(SUBSTITUTE(SUBSTITUTE(SUBSTITUTE(SUBSTITUTE(SUBSTITUTE(SUBSTITUTE(SUBSTITUTE(SUBSTITUTE(SUBSTITUTE(SUBSTITUTE(SUBSTITUTE(SUBSTITUTE(SUBSTITUTE(SUBSTITUTE(TRIM($C50),"'",""),"İ","I"),"ı","I"),"i","I"),"Ş","S"),"ş","S"),"Ğ","G"),"ğ","G"),"Ü","U"),"ü","U"),"Ö","O"),"ö","O"),"Ç","C"),"ç","C"),".",""),",","")," ",""),"-","")))</f>
        <v/>
      </c>
    </row>
    <row r="51">
      <c r="A51" s="6" t="n"/>
      <c r="B51" s="113">
        <f>IF($C51="","",IFERROR(INDEX(MUSTERILER!$B$7:$B$106,MATCH($T51,MUSTERILER!$T$7:$T$106,0)),IFERROR(INDEX(MUSTERILER!$B$7:$B$106,MATCH($C51,MUSTERILER!$B$7:$B$106,0)),IFERROR(INDEX(MUSTERILER!$B$7:$B$106,MATCH($T51&amp;"*",MUSTERILER!$T$7:$T$106,0)),"TANIMSIZ MÜŞTERİ"))))</f>
        <v/>
      </c>
      <c r="C51" s="109" t="inlineStr">
        <is>
          <t>SEMRA GÜMÜŞ</t>
        </is>
      </c>
      <c r="D51" s="220" t="n">
        <v>46023</v>
      </c>
      <c r="E51" s="220" t="n">
        <v>46173</v>
      </c>
      <c r="F51" s="108" t="inlineStr">
        <is>
          <t>Aylık</t>
        </is>
      </c>
      <c r="G51" s="221" t="n">
        <v>2000</v>
      </c>
      <c r="H51" s="108" t="inlineStr">
        <is>
          <t>Pasif</t>
        </is>
      </c>
      <c r="I51" s="222">
        <f>IF(OR($C51="",$D51="",$G51="",$F51=""),0,$G51*IF($F51="Aylık",MAX(0,(YEAR(MIN(IF($E51="",TODAY(),$E51),TODAY()))-YEAR($D51))*12+MONTH(MIN(IF($E51="",TODAY(),$E51),TODAY()))-MONTH($D51)+IF(MIN(IF($E51="",TODAY(),$E51),TODAY())&gt;=EOMONTH(MIN(IF($E51="",TODAY(),$E51),TODAY()),0),1,0)),MAX(0,INT((MIN(IF($E51="",TODAY(),$E51),TODAY())-($D51+MOD(SISTEM!$F$8-WEEKDAY($D51,2),7)))/7)+1)))</f>
        <v/>
      </c>
      <c r="J51" s="222">
        <f>IF(OR($C51="",$D51="",$G51="",$F51=""),0,$G51*IF($F51="Aylık",MAX(0,(YEAR(MIN(IF($E51="",TODAY()-8,$E51),TODAY()-8))-YEAR($D51))*12+MONTH(MIN(IF($E51="",TODAY()-8,$E51),TODAY()-8))-MONTH($D51)+IF(MIN(IF($E51="",TODAY()-8,$E51),TODAY()-8)&gt;=EOMONTH(MIN(IF($E51="",TODAY()-8,$E51),TODAY()-8),0),1,0)),MAX(0,INT((MIN(IF($E51="",TODAY()-8,$E51),TODAY()-8)-($D51+MOD(SISTEM!$F$8-WEEKDAY($D51,2),7)))/7)+1)))</f>
        <v/>
      </c>
      <c r="K51" s="222">
        <f>IF(OR($C51="",$D51="",$G51="",$F51=""),0,$G51*IF($F51="Aylık",MAX(0,(YEAR(MIN(IF($E51="",TODAY()-15,$E51),TODAY()-15))-YEAR($D51))*12+MONTH(MIN(IF($E51="",TODAY()-15,$E51),TODAY()-15))-MONTH($D51)+IF(MIN(IF($E51="",TODAY()-15,$E51),TODAY()-15)&gt;=EOMONTH(MIN(IF($E51="",TODAY()-15,$E51),TODAY()-15),0),1,0)),MAX(0,INT((MIN(IF($E51="",TODAY()-15,$E51),TODAY()-15)-($D51+MOD(SISTEM!$F$8-WEEKDAY($D51,2),7)))/7)+1)))</f>
        <v/>
      </c>
      <c r="L51" s="222">
        <f>IF(OR($C51="",$D51="",$G51="",$F51=""),0,$G51*IF($F51="Aylık",MAX(0,(YEAR(MIN(IF($E51="",TODAY()-29,$E51),TODAY()-29))-YEAR($D51))*12+MONTH(MIN(IF($E51="",TODAY()-29,$E51),TODAY()-29))-MONTH($D51)+IF(MIN(IF($E51="",TODAY()-29,$E51),TODAY()-29)&gt;=EOMONTH(MIN(IF($E51="",TODAY()-29,$E51),TODAY()-29),0),1,0)),MAX(0,INT((MIN(IF($E51="",TODAY()-29,$E51),TODAY()-29)-($D51+MOD(SISTEM!$F$8-WEEKDAY($D51,2),7)))/7)+1)))</f>
        <v/>
      </c>
      <c r="M51" s="223">
        <f>IF($G51&gt;0,$I51/$G51,0)</f>
        <v/>
      </c>
      <c r="N51" s="113">
        <f>IF($C51="","",IF($B51="TANIMSIZ MÜŞTERİ","TANIMSIZ MÜŞTERİ",IF($F51="","MODEL SEÇİN",IF(OR($D51="",$G51&lt;=0),"EKSİK",IF(AND($E51&lt;&gt;"",$E51&lt;$D51),"TARİH HATASI",IF($H51="Pasif","KAPALI DÖNEM","UYGUN"))))))</f>
        <v/>
      </c>
      <c r="O51" s="224">
        <f>IF(OR($C51="",$D51="",$F51=""),"",IF($F51="Aylık",EOMONTH($D51,0),($D51+MOD(SISTEM!$F$8-WEEKDAY($D51,2),7))))</f>
        <v/>
      </c>
      <c r="P51" s="109" t="n"/>
      <c r="Q51" s="6" t="n"/>
      <c r="R51" s="6" t="n"/>
      <c r="S51" s="3">
        <f>IF($B51="","",$B51&amp;"|"&amp;COUNTIFS($B$7:$B51,$B51))</f>
        <v/>
      </c>
      <c r="T51" s="3">
        <f>IF($C51="","",UPPER(SUBSTITUTE(SUBSTITUTE(SUBSTITUTE(SUBSTITUTE(SUBSTITUTE(SUBSTITUTE(SUBSTITUTE(SUBSTITUTE(SUBSTITUTE(SUBSTITUTE(SUBSTITUTE(SUBSTITUTE(SUBSTITUTE(SUBSTITUTE(SUBSTITUTE(SUBSTITUTE(SUBSTITUTE(SUBSTITUTE(TRIM($C51),"'",""),"İ","I"),"ı","I"),"i","I"),"Ş","S"),"ş","S"),"Ğ","G"),"ğ","G"),"Ü","U"),"ü","U"),"Ö","O"),"ö","O"),"Ç","C"),"ç","C"),".",""),",","")," ",""),"-","")))</f>
        <v/>
      </c>
    </row>
    <row r="52">
      <c r="A52" s="6" t="n"/>
      <c r="B52" s="113">
        <f>IF($C52="","",IFERROR(INDEX(MUSTERILER!$B$7:$B$106,MATCH($T52,MUSTERILER!$T$7:$T$106,0)),IFERROR(INDEX(MUSTERILER!$B$7:$B$106,MATCH($C52,MUSTERILER!$B$7:$B$106,0)),IFERROR(INDEX(MUSTERILER!$B$7:$B$106,MATCH($T52&amp;"*",MUSTERILER!$T$7:$T$106,0)),"TANIMSIZ MÜŞTERİ"))))</f>
        <v/>
      </c>
      <c r="C52" s="109" t="inlineStr">
        <is>
          <t>STAR ŞOW LTD.ŞTİ.</t>
        </is>
      </c>
      <c r="D52" s="220" t="n">
        <v>46235</v>
      </c>
      <c r="E52" s="220" t="n"/>
      <c r="F52" s="108" t="inlineStr">
        <is>
          <t>Haftalık</t>
        </is>
      </c>
      <c r="G52" s="221" t="n">
        <v>3000</v>
      </c>
      <c r="H52" s="108" t="inlineStr">
        <is>
          <t>Aktif</t>
        </is>
      </c>
      <c r="I52" s="222">
        <f>IF(OR($C52="",$D52="",$G52="",$F52=""),0,$G52*IF($F52="Aylık",MAX(0,(YEAR(MIN(IF($E52="",TODAY(),$E52),TODAY()))-YEAR($D52))*12+MONTH(MIN(IF($E52="",TODAY(),$E52),TODAY()))-MONTH($D52)+IF(MIN(IF($E52="",TODAY(),$E52),TODAY())&gt;=EOMONTH(MIN(IF($E52="",TODAY(),$E52),TODAY()),0),1,0)),MAX(0,INT((MIN(IF($E52="",TODAY(),$E52),TODAY())-($D52+MOD(SISTEM!$F$8-WEEKDAY($D52,2),7)))/7)+1)))</f>
        <v/>
      </c>
      <c r="J52" s="222">
        <f>IF(OR($C52="",$D52="",$G52="",$F52=""),0,$G52*IF($F52="Aylık",MAX(0,(YEAR(MIN(IF($E52="",TODAY()-8,$E52),TODAY()-8))-YEAR($D52))*12+MONTH(MIN(IF($E52="",TODAY()-8,$E52),TODAY()-8))-MONTH($D52)+IF(MIN(IF($E52="",TODAY()-8,$E52),TODAY()-8)&gt;=EOMONTH(MIN(IF($E52="",TODAY()-8,$E52),TODAY()-8),0),1,0)),MAX(0,INT((MIN(IF($E52="",TODAY()-8,$E52),TODAY()-8)-($D52+MOD(SISTEM!$F$8-WEEKDAY($D52,2),7)))/7)+1)))</f>
        <v/>
      </c>
      <c r="K52" s="222">
        <f>IF(OR($C52="",$D52="",$G52="",$F52=""),0,$G52*IF($F52="Aylık",MAX(0,(YEAR(MIN(IF($E52="",TODAY()-15,$E52),TODAY()-15))-YEAR($D52))*12+MONTH(MIN(IF($E52="",TODAY()-15,$E52),TODAY()-15))-MONTH($D52)+IF(MIN(IF($E52="",TODAY()-15,$E52),TODAY()-15)&gt;=EOMONTH(MIN(IF($E52="",TODAY()-15,$E52),TODAY()-15),0),1,0)),MAX(0,INT((MIN(IF($E52="",TODAY()-15,$E52),TODAY()-15)-($D52+MOD(SISTEM!$F$8-WEEKDAY($D52,2),7)))/7)+1)))</f>
        <v/>
      </c>
      <c r="L52" s="222">
        <f>IF(OR($C52="",$D52="",$G52="",$F52=""),0,$G52*IF($F52="Aylık",MAX(0,(YEAR(MIN(IF($E52="",TODAY()-29,$E52),TODAY()-29))-YEAR($D52))*12+MONTH(MIN(IF($E52="",TODAY()-29,$E52),TODAY()-29))-MONTH($D52)+IF(MIN(IF($E52="",TODAY()-29,$E52),TODAY()-29)&gt;=EOMONTH(MIN(IF($E52="",TODAY()-29,$E52),TODAY()-29),0),1,0)),MAX(0,INT((MIN(IF($E52="",TODAY()-29,$E52),TODAY()-29)-($D52+MOD(SISTEM!$F$8-WEEKDAY($D52,2),7)))/7)+1)))</f>
        <v/>
      </c>
      <c r="M52" s="223">
        <f>IF($G52&gt;0,$I52/$G52,0)</f>
        <v/>
      </c>
      <c r="N52" s="113">
        <f>IF($C52="","",IF($B52="TANIMSIZ MÜŞTERİ","TANIMSIZ MÜŞTERİ",IF($F52="","MODEL SEÇİN",IF(OR($D52="",$G52&lt;=0),"EKSİK",IF(AND($E52&lt;&gt;"",$E52&lt;$D52),"TARİH HATASI",IF($H52="Pasif","KAPALI DÖNEM","UYGUN"))))))</f>
        <v/>
      </c>
      <c r="O52" s="224">
        <f>IF(OR($C52="",$D52="",$F52=""),"",IF($F52="Aylık",EOMONTH($D52,0),($D52+MOD(SISTEM!$F$8-WEEKDAY($D52,2),7))))</f>
        <v/>
      </c>
      <c r="P52" s="109" t="n"/>
      <c r="Q52" s="6" t="n"/>
      <c r="R52" s="6" t="n"/>
      <c r="S52" s="3">
        <f>IF($B52="","",$B52&amp;"|"&amp;COUNTIFS($B$7:$B52,$B52))</f>
        <v/>
      </c>
      <c r="T52" s="3">
        <f>IF($C52="","",UPPER(SUBSTITUTE(SUBSTITUTE(SUBSTITUTE(SUBSTITUTE(SUBSTITUTE(SUBSTITUTE(SUBSTITUTE(SUBSTITUTE(SUBSTITUTE(SUBSTITUTE(SUBSTITUTE(SUBSTITUTE(SUBSTITUTE(SUBSTITUTE(SUBSTITUTE(SUBSTITUTE(SUBSTITUTE(SUBSTITUTE(TRIM($C52),"'",""),"İ","I"),"ı","I"),"i","I"),"Ş","S"),"ş","S"),"Ğ","G"),"ğ","G"),"Ü","U"),"ü","U"),"Ö","O"),"ö","O"),"Ç","C"),"ç","C"),".",""),",","")," ",""),"-","")))</f>
        <v/>
      </c>
    </row>
    <row r="53">
      <c r="A53" s="6" t="n"/>
      <c r="B53" s="113">
        <f>IF($C53="","",IFERROR(INDEX(MUSTERILER!$B$7:$B$106,MATCH($T53,MUSTERILER!$T$7:$T$106,0)),IFERROR(INDEX(MUSTERILER!$B$7:$B$106,MATCH($C53,MUSTERILER!$B$7:$B$106,0)),IFERROR(INDEX(MUSTERILER!$B$7:$B$106,MATCH($T53&amp;"*",MUSTERILER!$T$7:$T$106,0)),"TANIMSIZ MÜŞTERİ"))))</f>
        <v/>
      </c>
      <c r="C53" s="109" t="inlineStr">
        <is>
          <t>TANAK LTD.ŞTİ.</t>
        </is>
      </c>
      <c r="D53" s="220" t="n">
        <v>46023</v>
      </c>
      <c r="E53" s="220" t="n"/>
      <c r="F53" s="108" t="inlineStr">
        <is>
          <t>Haftalık</t>
        </is>
      </c>
      <c r="G53" s="221" t="n">
        <v>4000</v>
      </c>
      <c r="H53" s="108" t="inlineStr">
        <is>
          <t>Aktif</t>
        </is>
      </c>
      <c r="I53" s="222">
        <f>IF(OR($C53="",$D53="",$G53="",$F53=""),0,$G53*IF($F53="Aylık",MAX(0,(YEAR(MIN(IF($E53="",TODAY(),$E53),TODAY()))-YEAR($D53))*12+MONTH(MIN(IF($E53="",TODAY(),$E53),TODAY()))-MONTH($D53)+IF(MIN(IF($E53="",TODAY(),$E53),TODAY())&gt;=EOMONTH(MIN(IF($E53="",TODAY(),$E53),TODAY()),0),1,0)),MAX(0,INT((MIN(IF($E53="",TODAY(),$E53),TODAY())-($D53+MOD(SISTEM!$F$8-WEEKDAY($D53,2),7)))/7)+1)))</f>
        <v/>
      </c>
      <c r="J53" s="222">
        <f>IF(OR($C53="",$D53="",$G53="",$F53=""),0,$G53*IF($F53="Aylık",MAX(0,(YEAR(MIN(IF($E53="",TODAY()-8,$E53),TODAY()-8))-YEAR($D53))*12+MONTH(MIN(IF($E53="",TODAY()-8,$E53),TODAY()-8))-MONTH($D53)+IF(MIN(IF($E53="",TODAY()-8,$E53),TODAY()-8)&gt;=EOMONTH(MIN(IF($E53="",TODAY()-8,$E53),TODAY()-8),0),1,0)),MAX(0,INT((MIN(IF($E53="",TODAY()-8,$E53),TODAY()-8)-($D53+MOD(SISTEM!$F$8-WEEKDAY($D53,2),7)))/7)+1)))</f>
        <v/>
      </c>
      <c r="K53" s="222">
        <f>IF(OR($C53="",$D53="",$G53="",$F53=""),0,$G53*IF($F53="Aylık",MAX(0,(YEAR(MIN(IF($E53="",TODAY()-15,$E53),TODAY()-15))-YEAR($D53))*12+MONTH(MIN(IF($E53="",TODAY()-15,$E53),TODAY()-15))-MONTH($D53)+IF(MIN(IF($E53="",TODAY()-15,$E53),TODAY()-15)&gt;=EOMONTH(MIN(IF($E53="",TODAY()-15,$E53),TODAY()-15),0),1,0)),MAX(0,INT((MIN(IF($E53="",TODAY()-15,$E53),TODAY()-15)-($D53+MOD(SISTEM!$F$8-WEEKDAY($D53,2),7)))/7)+1)))</f>
        <v/>
      </c>
      <c r="L53" s="222">
        <f>IF(OR($C53="",$D53="",$G53="",$F53=""),0,$G53*IF($F53="Aylık",MAX(0,(YEAR(MIN(IF($E53="",TODAY()-29,$E53),TODAY()-29))-YEAR($D53))*12+MONTH(MIN(IF($E53="",TODAY()-29,$E53),TODAY()-29))-MONTH($D53)+IF(MIN(IF($E53="",TODAY()-29,$E53),TODAY()-29)&gt;=EOMONTH(MIN(IF($E53="",TODAY()-29,$E53),TODAY()-29),0),1,0)),MAX(0,INT((MIN(IF($E53="",TODAY()-29,$E53),TODAY()-29)-($D53+MOD(SISTEM!$F$8-WEEKDAY($D53,2),7)))/7)+1)))</f>
        <v/>
      </c>
      <c r="M53" s="223">
        <f>IF($G53&gt;0,$I53/$G53,0)</f>
        <v/>
      </c>
      <c r="N53" s="113">
        <f>IF($C53="","",IF($B53="TANIMSIZ MÜŞTERİ","TANIMSIZ MÜŞTERİ",IF($F53="","MODEL SEÇİN",IF(OR($D53="",$G53&lt;=0),"EKSİK",IF(AND($E53&lt;&gt;"",$E53&lt;$D53),"TARİH HATASI",IF($H53="Pasif","KAPALI DÖNEM","UYGUN"))))))</f>
        <v/>
      </c>
      <c r="O53" s="224">
        <f>IF(OR($C53="",$D53="",$F53=""),"",IF($F53="Aylık",EOMONTH($D53,0),($D53+MOD(SISTEM!$F$8-WEEKDAY($D53,2),7))))</f>
        <v/>
      </c>
      <c r="P53" s="109" t="n"/>
      <c r="Q53" s="6" t="n"/>
      <c r="R53" s="6" t="n"/>
      <c r="S53" s="3">
        <f>IF($B53="","",$B53&amp;"|"&amp;COUNTIFS($B$7:$B53,$B53))</f>
        <v/>
      </c>
      <c r="T53" s="3">
        <f>IF($C53="","",UPPER(SUBSTITUTE(SUBSTITUTE(SUBSTITUTE(SUBSTITUTE(SUBSTITUTE(SUBSTITUTE(SUBSTITUTE(SUBSTITUTE(SUBSTITUTE(SUBSTITUTE(SUBSTITUTE(SUBSTITUTE(SUBSTITUTE(SUBSTITUTE(SUBSTITUTE(SUBSTITUTE(SUBSTITUTE(SUBSTITUTE(TRIM($C53),"'",""),"İ","I"),"ı","I"),"i","I"),"Ş","S"),"ş","S"),"Ğ","G"),"ğ","G"),"Ü","U"),"ü","U"),"Ö","O"),"ö","O"),"Ç","C"),"ç","C"),".",""),",","")," ",""),"-","")))</f>
        <v/>
      </c>
    </row>
    <row r="54">
      <c r="A54" s="6" t="n"/>
      <c r="B54" s="113">
        <f>IF($C54="","",IFERROR(INDEX(MUSTERILER!$B$7:$B$106,MATCH($T54,MUSTERILER!$T$7:$T$106,0)),IFERROR(INDEX(MUSTERILER!$B$7:$B$106,MATCH($C54,MUSTERILER!$B$7:$B$106,0)),IFERROR(INDEX(MUSTERILER!$B$7:$B$106,MATCH($T54&amp;"*",MUSTERILER!$T$7:$T$106,0)),"TANIMSIZ MÜŞTERİ"))))</f>
        <v/>
      </c>
      <c r="C54" s="109" t="inlineStr">
        <is>
          <t>TYANA LTD.ŞTİ.</t>
        </is>
      </c>
      <c r="D54" s="220" t="n">
        <v>46023</v>
      </c>
      <c r="E54" s="220" t="n"/>
      <c r="F54" s="108" t="inlineStr">
        <is>
          <t>Haftalık</t>
        </is>
      </c>
      <c r="G54" s="221" t="n">
        <v>4000</v>
      </c>
      <c r="H54" s="108" t="inlineStr">
        <is>
          <t>Aktif</t>
        </is>
      </c>
      <c r="I54" s="222">
        <f>IF(OR($C54="",$D54="",$G54="",$F54=""),0,$G54*IF($F54="Aylık",MAX(0,(YEAR(MIN(IF($E54="",TODAY(),$E54),TODAY()))-YEAR($D54))*12+MONTH(MIN(IF($E54="",TODAY(),$E54),TODAY()))-MONTH($D54)+IF(MIN(IF($E54="",TODAY(),$E54),TODAY())&gt;=EOMONTH(MIN(IF($E54="",TODAY(),$E54),TODAY()),0),1,0)),MAX(0,INT((MIN(IF($E54="",TODAY(),$E54),TODAY())-($D54+MOD(SISTEM!$F$8-WEEKDAY($D54,2),7)))/7)+1)))</f>
        <v/>
      </c>
      <c r="J54" s="222">
        <f>IF(OR($C54="",$D54="",$G54="",$F54=""),0,$G54*IF($F54="Aylık",MAX(0,(YEAR(MIN(IF($E54="",TODAY()-8,$E54),TODAY()-8))-YEAR($D54))*12+MONTH(MIN(IF($E54="",TODAY()-8,$E54),TODAY()-8))-MONTH($D54)+IF(MIN(IF($E54="",TODAY()-8,$E54),TODAY()-8)&gt;=EOMONTH(MIN(IF($E54="",TODAY()-8,$E54),TODAY()-8),0),1,0)),MAX(0,INT((MIN(IF($E54="",TODAY()-8,$E54),TODAY()-8)-($D54+MOD(SISTEM!$F$8-WEEKDAY($D54,2),7)))/7)+1)))</f>
        <v/>
      </c>
      <c r="K54" s="222">
        <f>IF(OR($C54="",$D54="",$G54="",$F54=""),0,$G54*IF($F54="Aylık",MAX(0,(YEAR(MIN(IF($E54="",TODAY()-15,$E54),TODAY()-15))-YEAR($D54))*12+MONTH(MIN(IF($E54="",TODAY()-15,$E54),TODAY()-15))-MONTH($D54)+IF(MIN(IF($E54="",TODAY()-15,$E54),TODAY()-15)&gt;=EOMONTH(MIN(IF($E54="",TODAY()-15,$E54),TODAY()-15),0),1,0)),MAX(0,INT((MIN(IF($E54="",TODAY()-15,$E54),TODAY()-15)-($D54+MOD(SISTEM!$F$8-WEEKDAY($D54,2),7)))/7)+1)))</f>
        <v/>
      </c>
      <c r="L54" s="222">
        <f>IF(OR($C54="",$D54="",$G54="",$F54=""),0,$G54*IF($F54="Aylık",MAX(0,(YEAR(MIN(IF($E54="",TODAY()-29,$E54),TODAY()-29))-YEAR($D54))*12+MONTH(MIN(IF($E54="",TODAY()-29,$E54),TODAY()-29))-MONTH($D54)+IF(MIN(IF($E54="",TODAY()-29,$E54),TODAY()-29)&gt;=EOMONTH(MIN(IF($E54="",TODAY()-29,$E54),TODAY()-29),0),1,0)),MAX(0,INT((MIN(IF($E54="",TODAY()-29,$E54),TODAY()-29)-($D54+MOD(SISTEM!$F$8-WEEKDAY($D54,2),7)))/7)+1)))</f>
        <v/>
      </c>
      <c r="M54" s="223">
        <f>IF($G54&gt;0,$I54/$G54,0)</f>
        <v/>
      </c>
      <c r="N54" s="113">
        <f>IF($C54="","",IF($B54="TANIMSIZ MÜŞTERİ","TANIMSIZ MÜŞTERİ",IF($F54="","MODEL SEÇİN",IF(OR($D54="",$G54&lt;=0),"EKSİK",IF(AND($E54&lt;&gt;"",$E54&lt;$D54),"TARİH HATASI",IF($H54="Pasif","KAPALI DÖNEM","UYGUN"))))))</f>
        <v/>
      </c>
      <c r="O54" s="224">
        <f>IF(OR($C54="",$D54="",$F54=""),"",IF($F54="Aylık",EOMONTH($D54,0),($D54+MOD(SISTEM!$F$8-WEEKDAY($D54,2),7))))</f>
        <v/>
      </c>
      <c r="P54" s="109" t="n"/>
      <c r="Q54" s="6" t="n"/>
      <c r="R54" s="6" t="n"/>
      <c r="S54" s="3">
        <f>IF($B54="","",$B54&amp;"|"&amp;COUNTIFS($B$7:$B54,$B54))</f>
        <v/>
      </c>
      <c r="T54" s="3">
        <f>IF($C54="","",UPPER(SUBSTITUTE(SUBSTITUTE(SUBSTITUTE(SUBSTITUTE(SUBSTITUTE(SUBSTITUTE(SUBSTITUTE(SUBSTITUTE(SUBSTITUTE(SUBSTITUTE(SUBSTITUTE(SUBSTITUTE(SUBSTITUTE(SUBSTITUTE(SUBSTITUTE(SUBSTITUTE(SUBSTITUTE(SUBSTITUTE(TRIM($C54),"'",""),"İ","I"),"ı","I"),"i","I"),"Ş","S"),"ş","S"),"Ğ","G"),"ğ","G"),"Ü","U"),"ü","U"),"Ö","O"),"ö","O"),"Ç","C"),"ç","C"),".",""),",","")," ",""),"-","")))</f>
        <v/>
      </c>
    </row>
    <row r="55">
      <c r="A55" s="6" t="n"/>
      <c r="B55" s="113">
        <f>IF($C55="","",IFERROR(INDEX(MUSTERILER!$B$7:$B$106,MATCH($T55,MUSTERILER!$T$7:$T$106,0)),IFERROR(INDEX(MUSTERILER!$B$7:$B$106,MATCH($C55,MUSTERILER!$B$7:$B$106,0)),IFERROR(INDEX(MUSTERILER!$B$7:$B$106,MATCH($T55&amp;"*",MUSTERILER!$T$7:$T$106,0)),"TANIMSIZ MÜŞTERİ"))))</f>
        <v/>
      </c>
      <c r="C55" s="109" t="inlineStr">
        <is>
          <t>UFUK YILMAZ</t>
        </is>
      </c>
      <c r="D55" s="220" t="n">
        <v>46023</v>
      </c>
      <c r="E55" s="220" t="n"/>
      <c r="F55" s="108" t="inlineStr">
        <is>
          <t>Aylık</t>
        </is>
      </c>
      <c r="G55" s="221" t="n">
        <v>3000</v>
      </c>
      <c r="H55" s="108" t="inlineStr">
        <is>
          <t>Aktif</t>
        </is>
      </c>
      <c r="I55" s="222">
        <f>IF(OR($C55="",$D55="",$G55="",$F55=""),0,$G55*IF($F55="Aylık",MAX(0,(YEAR(MIN(IF($E55="",TODAY(),$E55),TODAY()))-YEAR($D55))*12+MONTH(MIN(IF($E55="",TODAY(),$E55),TODAY()))-MONTH($D55)+IF(MIN(IF($E55="",TODAY(),$E55),TODAY())&gt;=EOMONTH(MIN(IF($E55="",TODAY(),$E55),TODAY()),0),1,0)),MAX(0,INT((MIN(IF($E55="",TODAY(),$E55),TODAY())-($D55+MOD(SISTEM!$F$8-WEEKDAY($D55,2),7)))/7)+1)))</f>
        <v/>
      </c>
      <c r="J55" s="222">
        <f>IF(OR($C55="",$D55="",$G55="",$F55=""),0,$G55*IF($F55="Aylık",MAX(0,(YEAR(MIN(IF($E55="",TODAY()-8,$E55),TODAY()-8))-YEAR($D55))*12+MONTH(MIN(IF($E55="",TODAY()-8,$E55),TODAY()-8))-MONTH($D55)+IF(MIN(IF($E55="",TODAY()-8,$E55),TODAY()-8)&gt;=EOMONTH(MIN(IF($E55="",TODAY()-8,$E55),TODAY()-8),0),1,0)),MAX(0,INT((MIN(IF($E55="",TODAY()-8,$E55),TODAY()-8)-($D55+MOD(SISTEM!$F$8-WEEKDAY($D55,2),7)))/7)+1)))</f>
        <v/>
      </c>
      <c r="K55" s="222">
        <f>IF(OR($C55="",$D55="",$G55="",$F55=""),0,$G55*IF($F55="Aylık",MAX(0,(YEAR(MIN(IF($E55="",TODAY()-15,$E55),TODAY()-15))-YEAR($D55))*12+MONTH(MIN(IF($E55="",TODAY()-15,$E55),TODAY()-15))-MONTH($D55)+IF(MIN(IF($E55="",TODAY()-15,$E55),TODAY()-15)&gt;=EOMONTH(MIN(IF($E55="",TODAY()-15,$E55),TODAY()-15),0),1,0)),MAX(0,INT((MIN(IF($E55="",TODAY()-15,$E55),TODAY()-15)-($D55+MOD(SISTEM!$F$8-WEEKDAY($D55,2),7)))/7)+1)))</f>
        <v/>
      </c>
      <c r="L55" s="222">
        <f>IF(OR($C55="",$D55="",$G55="",$F55=""),0,$G55*IF($F55="Aylık",MAX(0,(YEAR(MIN(IF($E55="",TODAY()-29,$E55),TODAY()-29))-YEAR($D55))*12+MONTH(MIN(IF($E55="",TODAY()-29,$E55),TODAY()-29))-MONTH($D55)+IF(MIN(IF($E55="",TODAY()-29,$E55),TODAY()-29)&gt;=EOMONTH(MIN(IF($E55="",TODAY()-29,$E55),TODAY()-29),0),1,0)),MAX(0,INT((MIN(IF($E55="",TODAY()-29,$E55),TODAY()-29)-($D55+MOD(SISTEM!$F$8-WEEKDAY($D55,2),7)))/7)+1)))</f>
        <v/>
      </c>
      <c r="M55" s="223">
        <f>IF($G55&gt;0,$I55/$G55,0)</f>
        <v/>
      </c>
      <c r="N55" s="113">
        <f>IF($C55="","",IF($B55="TANIMSIZ MÜŞTERİ","TANIMSIZ MÜŞTERİ",IF($F55="","MODEL SEÇİN",IF(OR($D55="",$G55&lt;=0),"EKSİK",IF(AND($E55&lt;&gt;"",$E55&lt;$D55),"TARİH HATASI",IF($H55="Pasif","KAPALI DÖNEM","UYGUN"))))))</f>
        <v/>
      </c>
      <c r="O55" s="224">
        <f>IF(OR($C55="",$D55="",$F55=""),"",IF($F55="Aylık",EOMONTH($D55,0),($D55+MOD(SISTEM!$F$8-WEEKDAY($D55,2),7))))</f>
        <v/>
      </c>
      <c r="P55" s="109" t="n"/>
      <c r="Q55" s="6" t="n"/>
      <c r="R55" s="6" t="n"/>
      <c r="S55" s="3">
        <f>IF($B55="","",$B55&amp;"|"&amp;COUNTIFS($B$7:$B55,$B55))</f>
        <v/>
      </c>
      <c r="T55" s="3">
        <f>IF($C55="","",UPPER(SUBSTITUTE(SUBSTITUTE(SUBSTITUTE(SUBSTITUTE(SUBSTITUTE(SUBSTITUTE(SUBSTITUTE(SUBSTITUTE(SUBSTITUTE(SUBSTITUTE(SUBSTITUTE(SUBSTITUTE(SUBSTITUTE(SUBSTITUTE(SUBSTITUTE(SUBSTITUTE(SUBSTITUTE(SUBSTITUTE(TRIM($C55),"'",""),"İ","I"),"ı","I"),"i","I"),"Ş","S"),"ş","S"),"Ğ","G"),"ğ","G"),"Ü","U"),"ü","U"),"Ö","O"),"ö","O"),"Ç","C"),"ç","C"),".",""),",","")," ",""),"-","")))</f>
        <v/>
      </c>
    </row>
    <row r="56">
      <c r="A56" s="6" t="n"/>
      <c r="B56" s="113">
        <f>IF($C56="","",IFERROR(INDEX(MUSTERILER!$B$7:$B$106,MATCH($T56,MUSTERILER!$T$7:$T$106,0)),IFERROR(INDEX(MUSTERILER!$B$7:$B$106,MATCH($C56,MUSTERILER!$B$7:$B$106,0)),IFERROR(INDEX(MUSTERILER!$B$7:$B$106,MATCH($T56&amp;"*",MUSTERILER!$T$7:$T$106,0)),"TANIMSIZ MÜŞTERİ"))))</f>
        <v/>
      </c>
      <c r="C56" s="109" t="inlineStr">
        <is>
          <t>VANOLYA SU LTD.ŞTİ.</t>
        </is>
      </c>
      <c r="D56" s="220" t="n">
        <v>46204</v>
      </c>
      <c r="E56" s="220" t="n"/>
      <c r="F56" s="108" t="inlineStr">
        <is>
          <t>Aylık</t>
        </is>
      </c>
      <c r="G56" s="221" t="n">
        <v>10000</v>
      </c>
      <c r="H56" s="108" t="inlineStr">
        <is>
          <t>Aktif</t>
        </is>
      </c>
      <c r="I56" s="222">
        <f>IF(OR($C56="",$D56="",$G56="",$F56=""),0,$G56*IF($F56="Aylık",MAX(0,(YEAR(MIN(IF($E56="",TODAY(),$E56),TODAY()))-YEAR($D56))*12+MONTH(MIN(IF($E56="",TODAY(),$E56),TODAY()))-MONTH($D56)+IF(MIN(IF($E56="",TODAY(),$E56),TODAY())&gt;=EOMONTH(MIN(IF($E56="",TODAY(),$E56),TODAY()),0),1,0)),MAX(0,INT((MIN(IF($E56="",TODAY(),$E56),TODAY())-($D56+MOD(SISTEM!$F$8-WEEKDAY($D56,2),7)))/7)+1)))</f>
        <v/>
      </c>
      <c r="J56" s="222">
        <f>IF(OR($C56="",$D56="",$G56="",$F56=""),0,$G56*IF($F56="Aylık",MAX(0,(YEAR(MIN(IF($E56="",TODAY()-8,$E56),TODAY()-8))-YEAR($D56))*12+MONTH(MIN(IF($E56="",TODAY()-8,$E56),TODAY()-8))-MONTH($D56)+IF(MIN(IF($E56="",TODAY()-8,$E56),TODAY()-8)&gt;=EOMONTH(MIN(IF($E56="",TODAY()-8,$E56),TODAY()-8),0),1,0)),MAX(0,INT((MIN(IF($E56="",TODAY()-8,$E56),TODAY()-8)-($D56+MOD(SISTEM!$F$8-WEEKDAY($D56,2),7)))/7)+1)))</f>
        <v/>
      </c>
      <c r="K56" s="222">
        <f>IF(OR($C56="",$D56="",$G56="",$F56=""),0,$G56*IF($F56="Aylık",MAX(0,(YEAR(MIN(IF($E56="",TODAY()-15,$E56),TODAY()-15))-YEAR($D56))*12+MONTH(MIN(IF($E56="",TODAY()-15,$E56),TODAY()-15))-MONTH($D56)+IF(MIN(IF($E56="",TODAY()-15,$E56),TODAY()-15)&gt;=EOMONTH(MIN(IF($E56="",TODAY()-15,$E56),TODAY()-15),0),1,0)),MAX(0,INT((MIN(IF($E56="",TODAY()-15,$E56),TODAY()-15)-($D56+MOD(SISTEM!$F$8-WEEKDAY($D56,2),7)))/7)+1)))</f>
        <v/>
      </c>
      <c r="L56" s="222">
        <f>IF(OR($C56="",$D56="",$G56="",$F56=""),0,$G56*IF($F56="Aylık",MAX(0,(YEAR(MIN(IF($E56="",TODAY()-29,$E56),TODAY()-29))-YEAR($D56))*12+MONTH(MIN(IF($E56="",TODAY()-29,$E56),TODAY()-29))-MONTH($D56)+IF(MIN(IF($E56="",TODAY()-29,$E56),TODAY()-29)&gt;=EOMONTH(MIN(IF($E56="",TODAY()-29,$E56),TODAY()-29),0),1,0)),MAX(0,INT((MIN(IF($E56="",TODAY()-29,$E56),TODAY()-29)-($D56+MOD(SISTEM!$F$8-WEEKDAY($D56,2),7)))/7)+1)))</f>
        <v/>
      </c>
      <c r="M56" s="223">
        <f>IF($G56&gt;0,$I56/$G56,0)</f>
        <v/>
      </c>
      <c r="N56" s="113">
        <f>IF($C56="","",IF($B56="TANIMSIZ MÜŞTERİ","TANIMSIZ MÜŞTERİ",IF($F56="","MODEL SEÇİN",IF(OR($D56="",$G56&lt;=0),"EKSİK",IF(AND($E56&lt;&gt;"",$E56&lt;$D56),"TARİH HATASI",IF($H56="Pasif","KAPALI DÖNEM","UYGUN"))))))</f>
        <v/>
      </c>
      <c r="O56" s="224">
        <f>IF(OR($C56="",$D56="",$F56=""),"",IF($F56="Aylık",EOMONTH($D56,0),($D56+MOD(SISTEM!$F$8-WEEKDAY($D56,2),7))))</f>
        <v/>
      </c>
      <c r="P56" s="109" t="n"/>
      <c r="Q56" s="6" t="n"/>
      <c r="R56" s="6" t="n"/>
      <c r="S56" s="3">
        <f>IF($B56="","",$B56&amp;"|"&amp;COUNTIFS($B$7:$B56,$B56))</f>
        <v/>
      </c>
      <c r="T56" s="3">
        <f>IF($C56="","",UPPER(SUBSTITUTE(SUBSTITUTE(SUBSTITUTE(SUBSTITUTE(SUBSTITUTE(SUBSTITUTE(SUBSTITUTE(SUBSTITUTE(SUBSTITUTE(SUBSTITUTE(SUBSTITUTE(SUBSTITUTE(SUBSTITUTE(SUBSTITUTE(SUBSTITUTE(SUBSTITUTE(SUBSTITUTE(SUBSTITUTE(TRIM($C56),"'",""),"İ","I"),"ı","I"),"i","I"),"Ş","S"),"ş","S"),"Ğ","G"),"ğ","G"),"Ü","U"),"ü","U"),"Ö","O"),"ö","O"),"Ç","C"),"ç","C"),".",""),",","")," ",""),"-","")))</f>
        <v/>
      </c>
    </row>
    <row r="57">
      <c r="A57" s="6" t="n"/>
      <c r="B57" s="113">
        <f>IF($C57="","",IFERROR(INDEX(MUSTERILER!$B$7:$B$106,MATCH($T57,MUSTERILER!$T$7:$T$106,0)),IFERROR(INDEX(MUSTERILER!$B$7:$B$106,MATCH($C57,MUSTERILER!$B$7:$B$106,0)),IFERROR(INDEX(MUSTERILER!$B$7:$B$106,MATCH($T57&amp;"*",MUSTERILER!$T$7:$T$106,0)),"TANIMSIZ MÜŞTERİ"))))</f>
        <v/>
      </c>
      <c r="C57" s="109" t="inlineStr">
        <is>
          <t>VOLKAN AÇIK</t>
        </is>
      </c>
      <c r="D57" s="220" t="n">
        <v>46023</v>
      </c>
      <c r="E57" s="220" t="n"/>
      <c r="F57" s="108" t="inlineStr">
        <is>
          <t>Haftalık</t>
        </is>
      </c>
      <c r="G57" s="221" t="n">
        <v>1000</v>
      </c>
      <c r="H57" s="108" t="inlineStr">
        <is>
          <t>Aktif</t>
        </is>
      </c>
      <c r="I57" s="222">
        <f>IF(OR($C57="",$D57="",$G57="",$F57=""),0,$G57*IF($F57="Aylık",MAX(0,(YEAR(MIN(IF($E57="",TODAY(),$E57),TODAY()))-YEAR($D57))*12+MONTH(MIN(IF($E57="",TODAY(),$E57),TODAY()))-MONTH($D57)+IF(MIN(IF($E57="",TODAY(),$E57),TODAY())&gt;=EOMONTH(MIN(IF($E57="",TODAY(),$E57),TODAY()),0),1,0)),MAX(0,INT((MIN(IF($E57="",TODAY(),$E57),TODAY())-($D57+MOD(SISTEM!$F$8-WEEKDAY($D57,2),7)))/7)+1)))</f>
        <v/>
      </c>
      <c r="J57" s="222">
        <f>IF(OR($C57="",$D57="",$G57="",$F57=""),0,$G57*IF($F57="Aylık",MAX(0,(YEAR(MIN(IF($E57="",TODAY()-8,$E57),TODAY()-8))-YEAR($D57))*12+MONTH(MIN(IF($E57="",TODAY()-8,$E57),TODAY()-8))-MONTH($D57)+IF(MIN(IF($E57="",TODAY()-8,$E57),TODAY()-8)&gt;=EOMONTH(MIN(IF($E57="",TODAY()-8,$E57),TODAY()-8),0),1,0)),MAX(0,INT((MIN(IF($E57="",TODAY()-8,$E57),TODAY()-8)-($D57+MOD(SISTEM!$F$8-WEEKDAY($D57,2),7)))/7)+1)))</f>
        <v/>
      </c>
      <c r="K57" s="222">
        <f>IF(OR($C57="",$D57="",$G57="",$F57=""),0,$G57*IF($F57="Aylık",MAX(0,(YEAR(MIN(IF($E57="",TODAY()-15,$E57),TODAY()-15))-YEAR($D57))*12+MONTH(MIN(IF($E57="",TODAY()-15,$E57),TODAY()-15))-MONTH($D57)+IF(MIN(IF($E57="",TODAY()-15,$E57),TODAY()-15)&gt;=EOMONTH(MIN(IF($E57="",TODAY()-15,$E57),TODAY()-15),0),1,0)),MAX(0,INT((MIN(IF($E57="",TODAY()-15,$E57),TODAY()-15)-($D57+MOD(SISTEM!$F$8-WEEKDAY($D57,2),7)))/7)+1)))</f>
        <v/>
      </c>
      <c r="L57" s="222">
        <f>IF(OR($C57="",$D57="",$G57="",$F57=""),0,$G57*IF($F57="Aylık",MAX(0,(YEAR(MIN(IF($E57="",TODAY()-29,$E57),TODAY()-29))-YEAR($D57))*12+MONTH(MIN(IF($E57="",TODAY()-29,$E57),TODAY()-29))-MONTH($D57)+IF(MIN(IF($E57="",TODAY()-29,$E57),TODAY()-29)&gt;=EOMONTH(MIN(IF($E57="",TODAY()-29,$E57),TODAY()-29),0),1,0)),MAX(0,INT((MIN(IF($E57="",TODAY()-29,$E57),TODAY()-29)-($D57+MOD(SISTEM!$F$8-WEEKDAY($D57,2),7)))/7)+1)))</f>
        <v/>
      </c>
      <c r="M57" s="223">
        <f>IF($G57&gt;0,$I57/$G57,0)</f>
        <v/>
      </c>
      <c r="N57" s="113">
        <f>IF($C57="","",IF($B57="TANIMSIZ MÜŞTERİ","TANIMSIZ MÜŞTERİ",IF($F57="","MODEL SEÇİN",IF(OR($D57="",$G57&lt;=0),"EKSİK",IF(AND($E57&lt;&gt;"",$E57&lt;$D57),"TARİH HATASI",IF($H57="Pasif","KAPALI DÖNEM","UYGUN"))))))</f>
        <v/>
      </c>
      <c r="O57" s="224">
        <f>IF(OR($C57="",$D57="",$F57=""),"",IF($F57="Aylık",EOMONTH($D57,0),($D57+MOD(SISTEM!$F$8-WEEKDAY($D57,2),7))))</f>
        <v/>
      </c>
      <c r="P57" s="109" t="n"/>
      <c r="Q57" s="6" t="n"/>
      <c r="R57" s="6" t="n"/>
      <c r="S57" s="3">
        <f>IF($B57="","",$B57&amp;"|"&amp;COUNTIFS($B$7:$B57,$B57))</f>
        <v/>
      </c>
      <c r="T57" s="3">
        <f>IF($C57="","",UPPER(SUBSTITUTE(SUBSTITUTE(SUBSTITUTE(SUBSTITUTE(SUBSTITUTE(SUBSTITUTE(SUBSTITUTE(SUBSTITUTE(SUBSTITUTE(SUBSTITUTE(SUBSTITUTE(SUBSTITUTE(SUBSTITUTE(SUBSTITUTE(SUBSTITUTE(SUBSTITUTE(SUBSTITUTE(SUBSTITUTE(TRIM($C57),"'",""),"İ","I"),"ı","I"),"i","I"),"Ş","S"),"ş","S"),"Ğ","G"),"ğ","G"),"Ü","U"),"ü","U"),"Ö","O"),"ö","O"),"Ç","C"),"ç","C"),".",""),",","")," ",""),"-","")))</f>
        <v/>
      </c>
    </row>
    <row r="58">
      <c r="A58" s="6" t="n"/>
      <c r="B58" s="113">
        <f>IF($C58="","",IFERROR(INDEX(MUSTERILER!$B$7:$B$106,MATCH($T58,MUSTERILER!$T$7:$T$106,0)),IFERROR(INDEX(MUSTERILER!$B$7:$B$106,MATCH($C58,MUSTERILER!$B$7:$B$106,0)),IFERROR(INDEX(MUSTERILER!$B$7:$B$106,MATCH($T58&amp;"*",MUSTERILER!$T$7:$T$106,0)),"TANIMSIZ MÜŞTERİ"))))</f>
        <v/>
      </c>
      <c r="C58" s="109" t="inlineStr">
        <is>
          <t>YALIKENT LTD.ŞTİ.</t>
        </is>
      </c>
      <c r="D58" s="220" t="n">
        <v>46023</v>
      </c>
      <c r="E58" s="220" t="n">
        <v>46203</v>
      </c>
      <c r="F58" s="108" t="inlineStr">
        <is>
          <t>Haftalık</t>
        </is>
      </c>
      <c r="G58" s="221" t="n">
        <v>4000</v>
      </c>
      <c r="H58" s="108" t="inlineStr">
        <is>
          <t>Pasif</t>
        </is>
      </c>
      <c r="I58" s="222">
        <f>IF(OR($C58="",$D58="",$G58="",$F58=""),0,$G58*IF($F58="Aylık",MAX(0,(YEAR(MIN(IF($E58="",TODAY(),$E58),TODAY()))-YEAR($D58))*12+MONTH(MIN(IF($E58="",TODAY(),$E58),TODAY()))-MONTH($D58)+IF(MIN(IF($E58="",TODAY(),$E58),TODAY())&gt;=EOMONTH(MIN(IF($E58="",TODAY(),$E58),TODAY()),0),1,0)),MAX(0,INT((MIN(IF($E58="",TODAY(),$E58),TODAY())-($D58+MOD(SISTEM!$F$8-WEEKDAY($D58,2),7)))/7)+1)))</f>
        <v/>
      </c>
      <c r="J58" s="222">
        <f>IF(OR($C58="",$D58="",$G58="",$F58=""),0,$G58*IF($F58="Aylık",MAX(0,(YEAR(MIN(IF($E58="",TODAY()-8,$E58),TODAY()-8))-YEAR($D58))*12+MONTH(MIN(IF($E58="",TODAY()-8,$E58),TODAY()-8))-MONTH($D58)+IF(MIN(IF($E58="",TODAY()-8,$E58),TODAY()-8)&gt;=EOMONTH(MIN(IF($E58="",TODAY()-8,$E58),TODAY()-8),0),1,0)),MAX(0,INT((MIN(IF($E58="",TODAY()-8,$E58),TODAY()-8)-($D58+MOD(SISTEM!$F$8-WEEKDAY($D58,2),7)))/7)+1)))</f>
        <v/>
      </c>
      <c r="K58" s="222">
        <f>IF(OR($C58="",$D58="",$G58="",$F58=""),0,$G58*IF($F58="Aylık",MAX(0,(YEAR(MIN(IF($E58="",TODAY()-15,$E58),TODAY()-15))-YEAR($D58))*12+MONTH(MIN(IF($E58="",TODAY()-15,$E58),TODAY()-15))-MONTH($D58)+IF(MIN(IF($E58="",TODAY()-15,$E58),TODAY()-15)&gt;=EOMONTH(MIN(IF($E58="",TODAY()-15,$E58),TODAY()-15),0),1,0)),MAX(0,INT((MIN(IF($E58="",TODAY()-15,$E58),TODAY()-15)-($D58+MOD(SISTEM!$F$8-WEEKDAY($D58,2),7)))/7)+1)))</f>
        <v/>
      </c>
      <c r="L58" s="222">
        <f>IF(OR($C58="",$D58="",$G58="",$F58=""),0,$G58*IF($F58="Aylık",MAX(0,(YEAR(MIN(IF($E58="",TODAY()-29,$E58),TODAY()-29))-YEAR($D58))*12+MONTH(MIN(IF($E58="",TODAY()-29,$E58),TODAY()-29))-MONTH($D58)+IF(MIN(IF($E58="",TODAY()-29,$E58),TODAY()-29)&gt;=EOMONTH(MIN(IF($E58="",TODAY()-29,$E58),TODAY()-29),0),1,0)),MAX(0,INT((MIN(IF($E58="",TODAY()-29,$E58),TODAY()-29)-($D58+MOD(SISTEM!$F$8-WEEKDAY($D58,2),7)))/7)+1)))</f>
        <v/>
      </c>
      <c r="M58" s="223">
        <f>IF($G58&gt;0,$I58/$G58,0)</f>
        <v/>
      </c>
      <c r="N58" s="113">
        <f>IF($C58="","",IF($B58="TANIMSIZ MÜŞTERİ","TANIMSIZ MÜŞTERİ",IF($F58="","MODEL SEÇİN",IF(OR($D58="",$G58&lt;=0),"EKSİK",IF(AND($E58&lt;&gt;"",$E58&lt;$D58),"TARİH HATASI",IF($H58="Pasif","KAPALI DÖNEM","UYGUN"))))))</f>
        <v/>
      </c>
      <c r="O58" s="224">
        <f>IF(OR($C58="",$D58="",$F58=""),"",IF($F58="Aylık",EOMONTH($D58,0),($D58+MOD(SISTEM!$F$8-WEEKDAY($D58,2),7))))</f>
        <v/>
      </c>
      <c r="P58" s="109" t="n"/>
      <c r="Q58" s="6" t="n"/>
      <c r="R58" s="6" t="n"/>
      <c r="S58" s="3">
        <f>IF($B58="","",$B58&amp;"|"&amp;COUNTIFS($B$7:$B58,$B58))</f>
        <v/>
      </c>
      <c r="T58" s="3">
        <f>IF($C58="","",UPPER(SUBSTITUTE(SUBSTITUTE(SUBSTITUTE(SUBSTITUTE(SUBSTITUTE(SUBSTITUTE(SUBSTITUTE(SUBSTITUTE(SUBSTITUTE(SUBSTITUTE(SUBSTITUTE(SUBSTITUTE(SUBSTITUTE(SUBSTITUTE(SUBSTITUTE(SUBSTITUTE(SUBSTITUTE(SUBSTITUTE(TRIM($C58),"'",""),"İ","I"),"ı","I"),"i","I"),"Ş","S"),"ş","S"),"Ğ","G"),"ğ","G"),"Ü","U"),"ü","U"),"Ö","O"),"ö","O"),"Ç","C"),"ç","C"),".",""),",","")," ",""),"-","")))</f>
        <v/>
      </c>
    </row>
    <row r="59">
      <c r="A59" s="6" t="n"/>
      <c r="B59" s="113">
        <f>IF($C59="","",IFERROR(INDEX(MUSTERILER!$B$7:$B$106,MATCH($T59,MUSTERILER!$T$7:$T$106,0)),IFERROR(INDEX(MUSTERILER!$B$7:$B$106,MATCH($C59,MUSTERILER!$B$7:$B$106,0)),IFERROR(INDEX(MUSTERILER!$B$7:$B$106,MATCH($T59&amp;"*",MUSTERILER!$T$7:$T$106,0)),"TANIMSIZ MÜŞTERİ"))))</f>
        <v/>
      </c>
      <c r="C59" s="109" t="inlineStr">
        <is>
          <t>YEDİYİRMİDÖRT LTD.ŞTİ.</t>
        </is>
      </c>
      <c r="D59" s="220" t="n">
        <v>46023</v>
      </c>
      <c r="E59" s="220" t="n"/>
      <c r="F59" s="108" t="inlineStr">
        <is>
          <t>Aylık</t>
        </is>
      </c>
      <c r="G59" s="221" t="n">
        <v>10000</v>
      </c>
      <c r="H59" s="108" t="inlineStr">
        <is>
          <t>Aktif</t>
        </is>
      </c>
      <c r="I59" s="222">
        <f>IF(OR($C59="",$D59="",$G59="",$F59=""),0,$G59*IF($F59="Aylık",MAX(0,(YEAR(MIN(IF($E59="",TODAY(),$E59),TODAY()))-YEAR($D59))*12+MONTH(MIN(IF($E59="",TODAY(),$E59),TODAY()))-MONTH($D59)+IF(MIN(IF($E59="",TODAY(),$E59),TODAY())&gt;=EOMONTH(MIN(IF($E59="",TODAY(),$E59),TODAY()),0),1,0)),MAX(0,INT((MIN(IF($E59="",TODAY(),$E59),TODAY())-($D59+MOD(SISTEM!$F$8-WEEKDAY($D59,2),7)))/7)+1)))</f>
        <v/>
      </c>
      <c r="J59" s="222">
        <f>IF(OR($C59="",$D59="",$G59="",$F59=""),0,$G59*IF($F59="Aylık",MAX(0,(YEAR(MIN(IF($E59="",TODAY()-8,$E59),TODAY()-8))-YEAR($D59))*12+MONTH(MIN(IF($E59="",TODAY()-8,$E59),TODAY()-8))-MONTH($D59)+IF(MIN(IF($E59="",TODAY()-8,$E59),TODAY()-8)&gt;=EOMONTH(MIN(IF($E59="",TODAY()-8,$E59),TODAY()-8),0),1,0)),MAX(0,INT((MIN(IF($E59="",TODAY()-8,$E59),TODAY()-8)-($D59+MOD(SISTEM!$F$8-WEEKDAY($D59,2),7)))/7)+1)))</f>
        <v/>
      </c>
      <c r="K59" s="222">
        <f>IF(OR($C59="",$D59="",$G59="",$F59=""),0,$G59*IF($F59="Aylık",MAX(0,(YEAR(MIN(IF($E59="",TODAY()-15,$E59),TODAY()-15))-YEAR($D59))*12+MONTH(MIN(IF($E59="",TODAY()-15,$E59),TODAY()-15))-MONTH($D59)+IF(MIN(IF($E59="",TODAY()-15,$E59),TODAY()-15)&gt;=EOMONTH(MIN(IF($E59="",TODAY()-15,$E59),TODAY()-15),0),1,0)),MAX(0,INT((MIN(IF($E59="",TODAY()-15,$E59),TODAY()-15)-($D59+MOD(SISTEM!$F$8-WEEKDAY($D59,2),7)))/7)+1)))</f>
        <v/>
      </c>
      <c r="L59" s="222">
        <f>IF(OR($C59="",$D59="",$G59="",$F59=""),0,$G59*IF($F59="Aylık",MAX(0,(YEAR(MIN(IF($E59="",TODAY()-29,$E59),TODAY()-29))-YEAR($D59))*12+MONTH(MIN(IF($E59="",TODAY()-29,$E59),TODAY()-29))-MONTH($D59)+IF(MIN(IF($E59="",TODAY()-29,$E59),TODAY()-29)&gt;=EOMONTH(MIN(IF($E59="",TODAY()-29,$E59),TODAY()-29),0),1,0)),MAX(0,INT((MIN(IF($E59="",TODAY()-29,$E59),TODAY()-29)-($D59+MOD(SISTEM!$F$8-WEEKDAY($D59,2),7)))/7)+1)))</f>
        <v/>
      </c>
      <c r="M59" s="223">
        <f>IF($G59&gt;0,$I59/$G59,0)</f>
        <v/>
      </c>
      <c r="N59" s="113">
        <f>IF($C59="","",IF($B59="TANIMSIZ MÜŞTERİ","TANIMSIZ MÜŞTERİ",IF($F59="","MODEL SEÇİN",IF(OR($D59="",$G59&lt;=0),"EKSİK",IF(AND($E59&lt;&gt;"",$E59&lt;$D59),"TARİH HATASI",IF($H59="Pasif","KAPALI DÖNEM","UYGUN"))))))</f>
        <v/>
      </c>
      <c r="O59" s="224">
        <f>IF(OR($C59="",$D59="",$F59=""),"",IF($F59="Aylık",EOMONTH($D59,0),($D59+MOD(SISTEM!$F$8-WEEKDAY($D59,2),7))))</f>
        <v/>
      </c>
      <c r="P59" s="109" t="n"/>
      <c r="Q59" s="6" t="n"/>
      <c r="R59" s="6" t="n"/>
      <c r="S59" s="3">
        <f>IF($B59="","",$B59&amp;"|"&amp;COUNTIFS($B$7:$B59,$B59))</f>
        <v/>
      </c>
      <c r="T59" s="3">
        <f>IF($C59="","",UPPER(SUBSTITUTE(SUBSTITUTE(SUBSTITUTE(SUBSTITUTE(SUBSTITUTE(SUBSTITUTE(SUBSTITUTE(SUBSTITUTE(SUBSTITUTE(SUBSTITUTE(SUBSTITUTE(SUBSTITUTE(SUBSTITUTE(SUBSTITUTE(SUBSTITUTE(SUBSTITUTE(SUBSTITUTE(SUBSTITUTE(TRIM($C59),"'",""),"İ","I"),"ı","I"),"i","I"),"Ş","S"),"ş","S"),"Ğ","G"),"ğ","G"),"Ü","U"),"ü","U"),"Ö","O"),"ö","O"),"Ç","C"),"ç","C"),".",""),",","")," ",""),"-","")))</f>
        <v/>
      </c>
    </row>
    <row r="60">
      <c r="A60" s="6" t="n"/>
      <c r="B60" s="113">
        <f>IF($C60="","",IFERROR(INDEX(MUSTERILER!$B$7:$B$106,MATCH($T60,MUSTERILER!$T$7:$T$106,0)),IFERROR(INDEX(MUSTERILER!$B$7:$B$106,MATCH($C60,MUSTERILER!$B$7:$B$106,0)),IFERROR(INDEX(MUSTERILER!$B$7:$B$106,MATCH($T60&amp;"*",MUSTERILER!$T$7:$T$106,0)),"TANIMSIZ MÜŞTERİ"))))</f>
        <v/>
      </c>
      <c r="C60" s="109" t="inlineStr">
        <is>
          <t>ZÜMRÜT EĞLENCE LTD.ŞTİ.</t>
        </is>
      </c>
      <c r="D60" s="220" t="n">
        <v>46023</v>
      </c>
      <c r="E60" s="220" t="n"/>
      <c r="F60" s="108" t="inlineStr">
        <is>
          <t>Haftalık</t>
        </is>
      </c>
      <c r="G60" s="221" t="n">
        <v>3000</v>
      </c>
      <c r="H60" s="108" t="inlineStr">
        <is>
          <t>Aktif</t>
        </is>
      </c>
      <c r="I60" s="222">
        <f>IF(OR($C60="",$D60="",$G60="",$F60=""),0,$G60*IF($F60="Aylık",MAX(0,(YEAR(MIN(IF($E60="",TODAY(),$E60),TODAY()))-YEAR($D60))*12+MONTH(MIN(IF($E60="",TODAY(),$E60),TODAY()))-MONTH($D60)+IF(MIN(IF($E60="",TODAY(),$E60),TODAY())&gt;=EOMONTH(MIN(IF($E60="",TODAY(),$E60),TODAY()),0),1,0)),MAX(0,INT((MIN(IF($E60="",TODAY(),$E60),TODAY())-($D60+MOD(SISTEM!$F$8-WEEKDAY($D60,2),7)))/7)+1)))</f>
        <v/>
      </c>
      <c r="J60" s="222">
        <f>IF(OR($C60="",$D60="",$G60="",$F60=""),0,$G60*IF($F60="Aylık",MAX(0,(YEAR(MIN(IF($E60="",TODAY()-8,$E60),TODAY()-8))-YEAR($D60))*12+MONTH(MIN(IF($E60="",TODAY()-8,$E60),TODAY()-8))-MONTH($D60)+IF(MIN(IF($E60="",TODAY()-8,$E60),TODAY()-8)&gt;=EOMONTH(MIN(IF($E60="",TODAY()-8,$E60),TODAY()-8),0),1,0)),MAX(0,INT((MIN(IF($E60="",TODAY()-8,$E60),TODAY()-8)-($D60+MOD(SISTEM!$F$8-WEEKDAY($D60,2),7)))/7)+1)))</f>
        <v/>
      </c>
      <c r="K60" s="222">
        <f>IF(OR($C60="",$D60="",$G60="",$F60=""),0,$G60*IF($F60="Aylık",MAX(0,(YEAR(MIN(IF($E60="",TODAY()-15,$E60),TODAY()-15))-YEAR($D60))*12+MONTH(MIN(IF($E60="",TODAY()-15,$E60),TODAY()-15))-MONTH($D60)+IF(MIN(IF($E60="",TODAY()-15,$E60),TODAY()-15)&gt;=EOMONTH(MIN(IF($E60="",TODAY()-15,$E60),TODAY()-15),0),1,0)),MAX(0,INT((MIN(IF($E60="",TODAY()-15,$E60),TODAY()-15)-($D60+MOD(SISTEM!$F$8-WEEKDAY($D60,2),7)))/7)+1)))</f>
        <v/>
      </c>
      <c r="L60" s="222">
        <f>IF(OR($C60="",$D60="",$G60="",$F60=""),0,$G60*IF($F60="Aylık",MAX(0,(YEAR(MIN(IF($E60="",TODAY()-29,$E60),TODAY()-29))-YEAR($D60))*12+MONTH(MIN(IF($E60="",TODAY()-29,$E60),TODAY()-29))-MONTH($D60)+IF(MIN(IF($E60="",TODAY()-29,$E60),TODAY()-29)&gt;=EOMONTH(MIN(IF($E60="",TODAY()-29,$E60),TODAY()-29),0),1,0)),MAX(0,INT((MIN(IF($E60="",TODAY()-29,$E60),TODAY()-29)-($D60+MOD(SISTEM!$F$8-WEEKDAY($D60,2),7)))/7)+1)))</f>
        <v/>
      </c>
      <c r="M60" s="223">
        <f>IF($G60&gt;0,$I60/$G60,0)</f>
        <v/>
      </c>
      <c r="N60" s="113">
        <f>IF($C60="","",IF($B60="TANIMSIZ MÜŞTERİ","TANIMSIZ MÜŞTERİ",IF($F60="","MODEL SEÇİN",IF(OR($D60="",$G60&lt;=0),"EKSİK",IF(AND($E60&lt;&gt;"",$E60&lt;$D60),"TARİH HATASI",IF($H60="Pasif","KAPALI DÖNEM","UYGUN"))))))</f>
        <v/>
      </c>
      <c r="O60" s="224">
        <f>IF(OR($C60="",$D60="",$F60=""),"",IF($F60="Aylık",EOMONTH($D60,0),($D60+MOD(SISTEM!$F$8-WEEKDAY($D60,2),7))))</f>
        <v/>
      </c>
      <c r="P60" s="109" t="n"/>
      <c r="Q60" s="6" t="n"/>
      <c r="R60" s="6" t="n"/>
      <c r="S60" s="3">
        <f>IF($B60="","",$B60&amp;"|"&amp;COUNTIFS($B$7:$B60,$B60))</f>
        <v/>
      </c>
      <c r="T60" s="3">
        <f>IF($C60="","",UPPER(SUBSTITUTE(SUBSTITUTE(SUBSTITUTE(SUBSTITUTE(SUBSTITUTE(SUBSTITUTE(SUBSTITUTE(SUBSTITUTE(SUBSTITUTE(SUBSTITUTE(SUBSTITUTE(SUBSTITUTE(SUBSTITUTE(SUBSTITUTE(SUBSTITUTE(SUBSTITUTE(SUBSTITUTE(SUBSTITUTE(TRIM($C60),"'",""),"İ","I"),"ı","I"),"i","I"),"Ş","S"),"ş","S"),"Ğ","G"),"ğ","G"),"Ü","U"),"ü","U"),"Ö","O"),"ö","O"),"Ç","C"),"ç","C"),".",""),",","")," ",""),"-","")))</f>
        <v/>
      </c>
    </row>
    <row r="61">
      <c r="A61" s="6" t="n"/>
      <c r="B61" s="113">
        <f>IF($C61="","",IFERROR(INDEX(MUSTERILER!$B$7:$B$106,MATCH($T61,MUSTERILER!$T$7:$T$106,0)),IFERROR(INDEX(MUSTERILER!$B$7:$B$106,MATCH($C61,MUSTERILER!$B$7:$B$106,0)),IFERROR(INDEX(MUSTERILER!$B$7:$B$106,MATCH($T61&amp;"*",MUSTERILER!$T$7:$T$106,0)),"TANIMSIZ MÜŞTERİ"))))</f>
        <v/>
      </c>
      <c r="C61" s="109" t="inlineStr">
        <is>
          <t>ZÜMRÜT GRUP LTD.ŞTİ.</t>
        </is>
      </c>
      <c r="D61" s="220" t="n">
        <v>46023</v>
      </c>
      <c r="E61" s="220" t="n"/>
      <c r="F61" s="108" t="inlineStr">
        <is>
          <t>Haftalık</t>
        </is>
      </c>
      <c r="G61" s="221" t="n">
        <v>1750</v>
      </c>
      <c r="H61" s="108" t="inlineStr">
        <is>
          <t>Aktif</t>
        </is>
      </c>
      <c r="I61" s="222">
        <f>IF(OR($C61="",$D61="",$G61="",$F61=""),0,$G61*IF($F61="Aylık",MAX(0,(YEAR(MIN(IF($E61="",TODAY(),$E61),TODAY()))-YEAR($D61))*12+MONTH(MIN(IF($E61="",TODAY(),$E61),TODAY()))-MONTH($D61)+IF(MIN(IF($E61="",TODAY(),$E61),TODAY())&gt;=EOMONTH(MIN(IF($E61="",TODAY(),$E61),TODAY()),0),1,0)),MAX(0,INT((MIN(IF($E61="",TODAY(),$E61),TODAY())-($D61+MOD(SISTEM!$F$8-WEEKDAY($D61,2),7)))/7)+1)))</f>
        <v/>
      </c>
      <c r="J61" s="222">
        <f>IF(OR($C61="",$D61="",$G61="",$F61=""),0,$G61*IF($F61="Aylık",MAX(0,(YEAR(MIN(IF($E61="",TODAY()-8,$E61),TODAY()-8))-YEAR($D61))*12+MONTH(MIN(IF($E61="",TODAY()-8,$E61),TODAY()-8))-MONTH($D61)+IF(MIN(IF($E61="",TODAY()-8,$E61),TODAY()-8)&gt;=EOMONTH(MIN(IF($E61="",TODAY()-8,$E61),TODAY()-8),0),1,0)),MAX(0,INT((MIN(IF($E61="",TODAY()-8,$E61),TODAY()-8)-($D61+MOD(SISTEM!$F$8-WEEKDAY($D61,2),7)))/7)+1)))</f>
        <v/>
      </c>
      <c r="K61" s="222">
        <f>IF(OR($C61="",$D61="",$G61="",$F61=""),0,$G61*IF($F61="Aylık",MAX(0,(YEAR(MIN(IF($E61="",TODAY()-15,$E61),TODAY()-15))-YEAR($D61))*12+MONTH(MIN(IF($E61="",TODAY()-15,$E61),TODAY()-15))-MONTH($D61)+IF(MIN(IF($E61="",TODAY()-15,$E61),TODAY()-15)&gt;=EOMONTH(MIN(IF($E61="",TODAY()-15,$E61),TODAY()-15),0),1,0)),MAX(0,INT((MIN(IF($E61="",TODAY()-15,$E61),TODAY()-15)-($D61+MOD(SISTEM!$F$8-WEEKDAY($D61,2),7)))/7)+1)))</f>
        <v/>
      </c>
      <c r="L61" s="222">
        <f>IF(OR($C61="",$D61="",$G61="",$F61=""),0,$G61*IF($F61="Aylık",MAX(0,(YEAR(MIN(IF($E61="",TODAY()-29,$E61),TODAY()-29))-YEAR($D61))*12+MONTH(MIN(IF($E61="",TODAY()-29,$E61),TODAY()-29))-MONTH($D61)+IF(MIN(IF($E61="",TODAY()-29,$E61),TODAY()-29)&gt;=EOMONTH(MIN(IF($E61="",TODAY()-29,$E61),TODAY()-29),0),1,0)),MAX(0,INT((MIN(IF($E61="",TODAY()-29,$E61),TODAY()-29)-($D61+MOD(SISTEM!$F$8-WEEKDAY($D61,2),7)))/7)+1)))</f>
        <v/>
      </c>
      <c r="M61" s="223">
        <f>IF($G61&gt;0,$I61/$G61,0)</f>
        <v/>
      </c>
      <c r="N61" s="113">
        <f>IF($C61="","",IF($B61="TANIMSIZ MÜŞTERİ","TANIMSIZ MÜŞTERİ",IF($F61="","MODEL SEÇİN",IF(OR($D61="",$G61&lt;=0),"EKSİK",IF(AND($E61&lt;&gt;"",$E61&lt;$D61),"TARİH HATASI",IF($H61="Pasif","KAPALI DÖNEM","UYGUN"))))))</f>
        <v/>
      </c>
      <c r="O61" s="224">
        <f>IF(OR($C61="",$D61="",$F61=""),"",IF($F61="Aylık",EOMONTH($D61,0),($D61+MOD(SISTEM!$F$8-WEEKDAY($D61,2),7))))</f>
        <v/>
      </c>
      <c r="P61" s="109" t="n"/>
      <c r="Q61" s="6" t="n"/>
      <c r="R61" s="6" t="n"/>
      <c r="S61" s="3">
        <f>IF($B61="","",$B61&amp;"|"&amp;COUNTIFS($B$7:$B61,$B61))</f>
        <v/>
      </c>
      <c r="T61" s="3">
        <f>IF($C61="","",UPPER(SUBSTITUTE(SUBSTITUTE(SUBSTITUTE(SUBSTITUTE(SUBSTITUTE(SUBSTITUTE(SUBSTITUTE(SUBSTITUTE(SUBSTITUTE(SUBSTITUTE(SUBSTITUTE(SUBSTITUTE(SUBSTITUTE(SUBSTITUTE(SUBSTITUTE(SUBSTITUTE(SUBSTITUTE(SUBSTITUTE(TRIM($C61),"'",""),"İ","I"),"ı","I"),"i","I"),"Ş","S"),"ş","S"),"Ğ","G"),"ğ","G"),"Ü","U"),"ü","U"),"Ö","O"),"ö","O"),"Ç","C"),"ç","C"),".",""),",","")," ",""),"-","")))</f>
        <v/>
      </c>
    </row>
    <row r="62">
      <c r="A62" s="6" t="n"/>
      <c r="B62" s="113">
        <f>IF($C62="","",IFERROR(INDEX(MUSTERILER!$B$7:$B$106,MATCH($T62,MUSTERILER!$T$7:$T$106,0)),IFERROR(INDEX(MUSTERILER!$B$7:$B$106,MATCH($C62,MUSTERILER!$B$7:$B$106,0)),IFERROR(INDEX(MUSTERILER!$B$7:$B$106,MATCH($T62&amp;"*",MUSTERILER!$T$7:$T$106,0)),"TANIMSIZ MÜŞTERİ"))))</f>
        <v/>
      </c>
      <c r="C62" s="109" t="inlineStr">
        <is>
          <t>ÇINARHAN LTD.ŞTİ.</t>
        </is>
      </c>
      <c r="D62" s="220" t="n">
        <v>46249</v>
      </c>
      <c r="E62" s="220" t="n"/>
      <c r="F62" s="108" t="inlineStr">
        <is>
          <t>Haftalık</t>
        </is>
      </c>
      <c r="G62" s="221" t="n">
        <v>4000</v>
      </c>
      <c r="H62" s="108" t="inlineStr">
        <is>
          <t>Aktif</t>
        </is>
      </c>
      <c r="I62" s="222">
        <f>IF(OR($C62="",$D62="",$G62="",$F62=""),0,$G62*IF($F62="Aylık",MAX(0,(YEAR(MIN(IF($E62="",TODAY(),$E62),TODAY()))-YEAR($D62))*12+MONTH(MIN(IF($E62="",TODAY(),$E62),TODAY()))-MONTH($D62)+IF(MIN(IF($E62="",TODAY(),$E62),TODAY())&gt;=EOMONTH(MIN(IF($E62="",TODAY(),$E62),TODAY()),0),1,0)),MAX(0,INT((MIN(IF($E62="",TODAY(),$E62),TODAY())-($D62+MOD(SISTEM!$F$8-WEEKDAY($D62,2),7)))/7)+1)))</f>
        <v/>
      </c>
      <c r="J62" s="222">
        <f>IF(OR($C62="",$D62="",$G62="",$F62=""),0,$G62*IF($F62="Aylık",MAX(0,(YEAR(MIN(IF($E62="",TODAY()-8,$E62),TODAY()-8))-YEAR($D62))*12+MONTH(MIN(IF($E62="",TODAY()-8,$E62),TODAY()-8))-MONTH($D62)+IF(MIN(IF($E62="",TODAY()-8,$E62),TODAY()-8)&gt;=EOMONTH(MIN(IF($E62="",TODAY()-8,$E62),TODAY()-8),0),1,0)),MAX(0,INT((MIN(IF($E62="",TODAY()-8,$E62),TODAY()-8)-($D62+MOD(SISTEM!$F$8-WEEKDAY($D62,2),7)))/7)+1)))</f>
        <v/>
      </c>
      <c r="K62" s="222">
        <f>IF(OR($C62="",$D62="",$G62="",$F62=""),0,$G62*IF($F62="Aylık",MAX(0,(YEAR(MIN(IF($E62="",TODAY()-15,$E62),TODAY()-15))-YEAR($D62))*12+MONTH(MIN(IF($E62="",TODAY()-15,$E62),TODAY()-15))-MONTH($D62)+IF(MIN(IF($E62="",TODAY()-15,$E62),TODAY()-15)&gt;=EOMONTH(MIN(IF($E62="",TODAY()-15,$E62),TODAY()-15),0),1,0)),MAX(0,INT((MIN(IF($E62="",TODAY()-15,$E62),TODAY()-15)-($D62+MOD(SISTEM!$F$8-WEEKDAY($D62,2),7)))/7)+1)))</f>
        <v/>
      </c>
      <c r="L62" s="222">
        <f>IF(OR($C62="",$D62="",$G62="",$F62=""),0,$G62*IF($F62="Aylık",MAX(0,(YEAR(MIN(IF($E62="",TODAY()-29,$E62),TODAY()-29))-YEAR($D62))*12+MONTH(MIN(IF($E62="",TODAY()-29,$E62),TODAY()-29))-MONTH($D62)+IF(MIN(IF($E62="",TODAY()-29,$E62),TODAY()-29)&gt;=EOMONTH(MIN(IF($E62="",TODAY()-29,$E62),TODAY()-29),0),1,0)),MAX(0,INT((MIN(IF($E62="",TODAY()-29,$E62),TODAY()-29)-($D62+MOD(SISTEM!$F$8-WEEKDAY($D62,2),7)))/7)+1)))</f>
        <v/>
      </c>
      <c r="M62" s="223">
        <f>IF($G62&gt;0,$I62/$G62,0)</f>
        <v/>
      </c>
      <c r="N62" s="113">
        <f>IF($C62="","",IF($B62="TANIMSIZ MÜŞTERİ","TANIMSIZ MÜŞTERİ",IF($F62="","MODEL SEÇİN",IF(OR($D62="",$G62&lt;=0),"EKSİK",IF(AND($E62&lt;&gt;"",$E62&lt;$D62),"TARİH HATASI",IF($H62="Pasif","KAPALI DÖNEM","UYGUN"))))))</f>
        <v/>
      </c>
      <c r="O62" s="224">
        <f>IF(OR($C62="",$D62="",$F62=""),"",IF($F62="Aylık",EOMONTH($D62,0),($D62+MOD(SISTEM!$F$8-WEEKDAY($D62,2),7))))</f>
        <v/>
      </c>
      <c r="P62" s="109" t="n"/>
      <c r="Q62" s="6" t="n"/>
      <c r="R62" s="6" t="n"/>
      <c r="S62" s="3">
        <f>IF($B62="","",$B62&amp;"|"&amp;COUNTIFS($B$7:$B62,$B62))</f>
        <v/>
      </c>
      <c r="T62" s="3">
        <f>IF($C62="","",UPPER(SUBSTITUTE(SUBSTITUTE(SUBSTITUTE(SUBSTITUTE(SUBSTITUTE(SUBSTITUTE(SUBSTITUTE(SUBSTITUTE(SUBSTITUTE(SUBSTITUTE(SUBSTITUTE(SUBSTITUTE(SUBSTITUTE(SUBSTITUTE(SUBSTITUTE(SUBSTITUTE(SUBSTITUTE(SUBSTITUTE(TRIM($C62),"'",""),"İ","I"),"ı","I"),"i","I"),"Ş","S"),"ş","S"),"Ğ","G"),"ğ","G"),"Ü","U"),"ü","U"),"Ö","O"),"ö","O"),"Ç","C"),"ç","C"),".",""),",","")," ",""),"-","")))</f>
        <v/>
      </c>
    </row>
    <row r="63">
      <c r="A63" s="6" t="n"/>
      <c r="B63" s="113">
        <f>IF($C63="","",IFERROR(INDEX(MUSTERILER!$B$7:$B$106,MATCH($T63,MUSTERILER!$T$7:$T$106,0)),IFERROR(INDEX(MUSTERILER!$B$7:$B$106,MATCH($C63,MUSTERILER!$B$7:$B$106,0)),IFERROR(INDEX(MUSTERILER!$B$7:$B$106,MATCH($T63&amp;"*",MUSTERILER!$T$7:$T$106,0)),"TANIMSIZ MÜŞTERİ"))))</f>
        <v/>
      </c>
      <c r="C63" s="109" t="inlineStr">
        <is>
          <t>EĞLENGÖR LTD.ŞTİ.</t>
        </is>
      </c>
      <c r="D63" s="220" t="n">
        <v>46110</v>
      </c>
      <c r="E63" s="220" t="n"/>
      <c r="F63" s="108" t="inlineStr">
        <is>
          <t>Haftalık</t>
        </is>
      </c>
      <c r="G63" s="221" t="n">
        <v>4000</v>
      </c>
      <c r="H63" s="108" t="inlineStr">
        <is>
          <t>Aktif</t>
        </is>
      </c>
      <c r="I63" s="222">
        <f>IF(OR($C63="",$D63="",$G63="",$F63=""),0,$G63*IF($F63="Aylık",MAX(0,(YEAR(MIN(IF($E63="",TODAY(),$E63),TODAY()))-YEAR($D63))*12+MONTH(MIN(IF($E63="",TODAY(),$E63),TODAY()))-MONTH($D63)+IF(MIN(IF($E63="",TODAY(),$E63),TODAY())&gt;=EOMONTH(MIN(IF($E63="",TODAY(),$E63),TODAY()),0),1,0)),MAX(0,INT((MIN(IF($E63="",TODAY(),$E63),TODAY())-($D63+MOD(SISTEM!$F$8-WEEKDAY($D63,2),7)))/7)+1)))</f>
        <v/>
      </c>
      <c r="J63" s="222">
        <f>IF(OR($C63="",$D63="",$G63="",$F63=""),0,$G63*IF($F63="Aylık",MAX(0,(YEAR(MIN(IF($E63="",TODAY()-8,$E63),TODAY()-8))-YEAR($D63))*12+MONTH(MIN(IF($E63="",TODAY()-8,$E63),TODAY()-8))-MONTH($D63)+IF(MIN(IF($E63="",TODAY()-8,$E63),TODAY()-8)&gt;=EOMONTH(MIN(IF($E63="",TODAY()-8,$E63),TODAY()-8),0),1,0)),MAX(0,INT((MIN(IF($E63="",TODAY()-8,$E63),TODAY()-8)-($D63+MOD(SISTEM!$F$8-WEEKDAY($D63,2),7)))/7)+1)))</f>
        <v/>
      </c>
      <c r="K63" s="222">
        <f>IF(OR($C63="",$D63="",$G63="",$F63=""),0,$G63*IF($F63="Aylık",MAX(0,(YEAR(MIN(IF($E63="",TODAY()-15,$E63),TODAY()-15))-YEAR($D63))*12+MONTH(MIN(IF($E63="",TODAY()-15,$E63),TODAY()-15))-MONTH($D63)+IF(MIN(IF($E63="",TODAY()-15,$E63),TODAY()-15)&gt;=EOMONTH(MIN(IF($E63="",TODAY()-15,$E63),TODAY()-15),0),1,0)),MAX(0,INT((MIN(IF($E63="",TODAY()-15,$E63),TODAY()-15)-($D63+MOD(SISTEM!$F$8-WEEKDAY($D63,2),7)))/7)+1)))</f>
        <v/>
      </c>
      <c r="L63" s="222">
        <f>IF(OR($C63="",$D63="",$G63="",$F63=""),0,$G63*IF($F63="Aylık",MAX(0,(YEAR(MIN(IF($E63="",TODAY()-29,$E63),TODAY()-29))-YEAR($D63))*12+MONTH(MIN(IF($E63="",TODAY()-29,$E63),TODAY()-29))-MONTH($D63)+IF(MIN(IF($E63="",TODAY()-29,$E63),TODAY()-29)&gt;=EOMONTH(MIN(IF($E63="",TODAY()-29,$E63),TODAY()-29),0),1,0)),MAX(0,INT((MIN(IF($E63="",TODAY()-29,$E63),TODAY()-29)-($D63+MOD(SISTEM!$F$8-WEEKDAY($D63,2),7)))/7)+1)))</f>
        <v/>
      </c>
      <c r="M63" s="223">
        <f>IF($G63&gt;0,$I63/$G63,0)</f>
        <v/>
      </c>
      <c r="N63" s="113">
        <f>IF($C63="","",IF($B63="TANIMSIZ MÜŞTERİ","TANIMSIZ MÜŞTERİ",IF($F63="","MODEL SEÇİN",IF(OR($D63="",$G63&lt;=0),"EKSİK",IF(AND($E63&lt;&gt;"",$E63&lt;$D63),"TARİH HATASI",IF($H63="Pasif","KAPALI DÖNEM","UYGUN"))))))</f>
        <v/>
      </c>
      <c r="O63" s="224">
        <f>IF(OR($C63="",$D63="",$F63=""),"",IF($F63="Aylık",EOMONTH($D63,0),($D63+MOD(SISTEM!$F$8-WEEKDAY($D63,2),7))))</f>
        <v/>
      </c>
      <c r="P63" s="109" t="n"/>
      <c r="Q63" s="6" t="n"/>
      <c r="R63" s="6" t="n"/>
      <c r="S63" s="3">
        <f>IF($B63="","",$B63&amp;"|"&amp;COUNTIFS($B$7:$B63,$B63))</f>
        <v/>
      </c>
      <c r="T63" s="3">
        <f>IF($C63="","",UPPER(SUBSTITUTE(SUBSTITUTE(SUBSTITUTE(SUBSTITUTE(SUBSTITUTE(SUBSTITUTE(SUBSTITUTE(SUBSTITUTE(SUBSTITUTE(SUBSTITUTE(SUBSTITUTE(SUBSTITUTE(SUBSTITUTE(SUBSTITUTE(SUBSTITUTE(SUBSTITUTE(SUBSTITUTE(SUBSTITUTE(TRIM($C63),"'",""),"İ","I"),"ı","I"),"i","I"),"Ş","S"),"ş","S"),"Ğ","G"),"ğ","G"),"Ü","U"),"ü","U"),"Ö","O"),"ö","O"),"Ç","C"),"ç","C"),".",""),",","")," ",""),"-","")))</f>
        <v/>
      </c>
    </row>
    <row r="64">
      <c r="A64" s="6" t="n"/>
      <c r="B64" s="113">
        <f>IF($C64="","",IFERROR(INDEX(MUSTERILER!$B$7:$B$106,MATCH($T64,MUSTERILER!$T$7:$T$106,0)),IFERROR(INDEX(MUSTERILER!$B$7:$B$106,MATCH($C64,MUSTERILER!$B$7:$B$106,0)),IFERROR(INDEX(MUSTERILER!$B$7:$B$106,MATCH($T64&amp;"*",MUSTERILER!$T$7:$T$106,0)),"TANIMSIZ MÜŞTERİ"))))</f>
        <v/>
      </c>
      <c r="C64" s="109" t="inlineStr">
        <is>
          <t>FİNAL SİYAH BEYAZ LTD.ŞTİ.</t>
        </is>
      </c>
      <c r="D64" s="220" t="n">
        <v>46116</v>
      </c>
      <c r="E64" s="220" t="n"/>
      <c r="F64" s="108" t="inlineStr">
        <is>
          <t>Haftalık</t>
        </is>
      </c>
      <c r="G64" s="221" t="n">
        <v>4000</v>
      </c>
      <c r="H64" s="108" t="inlineStr">
        <is>
          <t>Aktif</t>
        </is>
      </c>
      <c r="I64" s="222">
        <f>IF(OR($C64="",$D64="",$G64="",$F64=""),0,$G64*IF($F64="Aylık",MAX(0,(YEAR(MIN(IF($E64="",TODAY(),$E64),TODAY()))-YEAR($D64))*12+MONTH(MIN(IF($E64="",TODAY(),$E64),TODAY()))-MONTH($D64)+IF(MIN(IF($E64="",TODAY(),$E64),TODAY())&gt;=EOMONTH(MIN(IF($E64="",TODAY(),$E64),TODAY()),0),1,0)),MAX(0,INT((MIN(IF($E64="",TODAY(),$E64),TODAY())-($D64+MOD(SISTEM!$F$8-WEEKDAY($D64,2),7)))/7)+1)))</f>
        <v/>
      </c>
      <c r="J64" s="222">
        <f>IF(OR($C64="",$D64="",$G64="",$F64=""),0,$G64*IF($F64="Aylık",MAX(0,(YEAR(MIN(IF($E64="",TODAY()-8,$E64),TODAY()-8))-YEAR($D64))*12+MONTH(MIN(IF($E64="",TODAY()-8,$E64),TODAY()-8))-MONTH($D64)+IF(MIN(IF($E64="",TODAY()-8,$E64),TODAY()-8)&gt;=EOMONTH(MIN(IF($E64="",TODAY()-8,$E64),TODAY()-8),0),1,0)),MAX(0,INT((MIN(IF($E64="",TODAY()-8,$E64),TODAY()-8)-($D64+MOD(SISTEM!$F$8-WEEKDAY($D64,2),7)))/7)+1)))</f>
        <v/>
      </c>
      <c r="K64" s="222">
        <f>IF(OR($C64="",$D64="",$G64="",$F64=""),0,$G64*IF($F64="Aylık",MAX(0,(YEAR(MIN(IF($E64="",TODAY()-15,$E64),TODAY()-15))-YEAR($D64))*12+MONTH(MIN(IF($E64="",TODAY()-15,$E64),TODAY()-15))-MONTH($D64)+IF(MIN(IF($E64="",TODAY()-15,$E64),TODAY()-15)&gt;=EOMONTH(MIN(IF($E64="",TODAY()-15,$E64),TODAY()-15),0),1,0)),MAX(0,INT((MIN(IF($E64="",TODAY()-15,$E64),TODAY()-15)-($D64+MOD(SISTEM!$F$8-WEEKDAY($D64,2),7)))/7)+1)))</f>
        <v/>
      </c>
      <c r="L64" s="222">
        <f>IF(OR($C64="",$D64="",$G64="",$F64=""),0,$G64*IF($F64="Aylık",MAX(0,(YEAR(MIN(IF($E64="",TODAY()-29,$E64),TODAY()-29))-YEAR($D64))*12+MONTH(MIN(IF($E64="",TODAY()-29,$E64),TODAY()-29))-MONTH($D64)+IF(MIN(IF($E64="",TODAY()-29,$E64),TODAY()-29)&gt;=EOMONTH(MIN(IF($E64="",TODAY()-29,$E64),TODAY()-29),0),1,0)),MAX(0,INT((MIN(IF($E64="",TODAY()-29,$E64),TODAY()-29)-($D64+MOD(SISTEM!$F$8-WEEKDAY($D64,2),7)))/7)+1)))</f>
        <v/>
      </c>
      <c r="M64" s="223">
        <f>IF($G64&gt;0,$I64/$G64,0)</f>
        <v/>
      </c>
      <c r="N64" s="113">
        <f>IF($C64="","",IF($B64="TANIMSIZ MÜŞTERİ","TANIMSIZ MÜŞTERİ",IF($F64="","MODEL SEÇİN",IF(OR($D64="",$G64&lt;=0),"EKSİK",IF(AND($E64&lt;&gt;"",$E64&lt;$D64),"TARİH HATASI",IF($H64="Pasif","KAPALI DÖNEM","UYGUN"))))))</f>
        <v/>
      </c>
      <c r="O64" s="224">
        <f>IF(OR($C64="",$D64="",$F64=""),"",IF($F64="Aylık",EOMONTH($D64,0),($D64+MOD(SISTEM!$F$8-WEEKDAY($D64,2),7))))</f>
        <v/>
      </c>
      <c r="P64" s="109" t="n"/>
      <c r="Q64" s="6" t="n"/>
      <c r="R64" s="6" t="n"/>
      <c r="S64" s="3">
        <f>IF($B64="","",$B64&amp;"|"&amp;COUNTIFS($B$7:$B64,$B64))</f>
        <v/>
      </c>
      <c r="T64" s="3">
        <f>IF($C64="","",UPPER(SUBSTITUTE(SUBSTITUTE(SUBSTITUTE(SUBSTITUTE(SUBSTITUTE(SUBSTITUTE(SUBSTITUTE(SUBSTITUTE(SUBSTITUTE(SUBSTITUTE(SUBSTITUTE(SUBSTITUTE(SUBSTITUTE(SUBSTITUTE(SUBSTITUTE(SUBSTITUTE(SUBSTITUTE(SUBSTITUTE(TRIM($C64),"'",""),"İ","I"),"ı","I"),"i","I"),"Ş","S"),"ş","S"),"Ğ","G"),"ğ","G"),"Ü","U"),"ü","U"),"Ö","O"),"ö","O"),"Ç","C"),"ç","C"),".",""),",","")," ",""),"-","")))</f>
        <v/>
      </c>
    </row>
    <row r="65">
      <c r="A65" s="6" t="n"/>
      <c r="B65" s="113">
        <f>IF($C65="","",IFERROR(INDEX(MUSTERILER!$B$7:$B$106,MATCH($T65,MUSTERILER!$T$7:$T$106,0)),IFERROR(INDEX(MUSTERILER!$B$7:$B$106,MATCH($C65,MUSTERILER!$B$7:$B$106,0)),IFERROR(INDEX(MUSTERILER!$B$7:$B$106,MATCH($T65&amp;"*",MUSTERILER!$T$7:$T$106,0)),"TANIMSIZ MÜŞTERİ"))))</f>
        <v/>
      </c>
      <c r="C65" s="109" t="inlineStr">
        <is>
          <t>İBRAHİM MALDAN</t>
        </is>
      </c>
      <c r="D65" s="220" t="n">
        <v>46082</v>
      </c>
      <c r="E65" s="220" t="n"/>
      <c r="F65" s="108" t="inlineStr">
        <is>
          <t>Haftalık</t>
        </is>
      </c>
      <c r="G65" s="221" t="n">
        <v>4000</v>
      </c>
      <c r="H65" s="108" t="inlineStr">
        <is>
          <t>Aktif</t>
        </is>
      </c>
      <c r="I65" s="222">
        <f>IF(OR($C65="",$D65="",$G65="",$F65=""),0,$G65*IF($F65="Aylık",MAX(0,(YEAR(MIN(IF($E65="",TODAY(),$E65),TODAY()))-YEAR($D65))*12+MONTH(MIN(IF($E65="",TODAY(),$E65),TODAY()))-MONTH($D65)+IF(MIN(IF($E65="",TODAY(),$E65),TODAY())&gt;=EOMONTH(MIN(IF($E65="",TODAY(),$E65),TODAY()),0),1,0)),MAX(0,INT((MIN(IF($E65="",TODAY(),$E65),TODAY())-($D65+MOD(SISTEM!$F$8-WEEKDAY($D65,2),7)))/7)+1)))</f>
        <v/>
      </c>
      <c r="J65" s="222">
        <f>IF(OR($C65="",$D65="",$G65="",$F65=""),0,$G65*IF($F65="Aylık",MAX(0,(YEAR(MIN(IF($E65="",TODAY()-8,$E65),TODAY()-8))-YEAR($D65))*12+MONTH(MIN(IF($E65="",TODAY()-8,$E65),TODAY()-8))-MONTH($D65)+IF(MIN(IF($E65="",TODAY()-8,$E65),TODAY()-8)&gt;=EOMONTH(MIN(IF($E65="",TODAY()-8,$E65),TODAY()-8),0),1,0)),MAX(0,INT((MIN(IF($E65="",TODAY()-8,$E65),TODAY()-8)-($D65+MOD(SISTEM!$F$8-WEEKDAY($D65,2),7)))/7)+1)))</f>
        <v/>
      </c>
      <c r="K65" s="222">
        <f>IF(OR($C65="",$D65="",$G65="",$F65=""),0,$G65*IF($F65="Aylık",MAX(0,(YEAR(MIN(IF($E65="",TODAY()-15,$E65),TODAY()-15))-YEAR($D65))*12+MONTH(MIN(IF($E65="",TODAY()-15,$E65),TODAY()-15))-MONTH($D65)+IF(MIN(IF($E65="",TODAY()-15,$E65),TODAY()-15)&gt;=EOMONTH(MIN(IF($E65="",TODAY()-15,$E65),TODAY()-15),0),1,0)),MAX(0,INT((MIN(IF($E65="",TODAY()-15,$E65),TODAY()-15)-($D65+MOD(SISTEM!$F$8-WEEKDAY($D65,2),7)))/7)+1)))</f>
        <v/>
      </c>
      <c r="L65" s="222">
        <f>IF(OR($C65="",$D65="",$G65="",$F65=""),0,$G65*IF($F65="Aylık",MAX(0,(YEAR(MIN(IF($E65="",TODAY()-29,$E65),TODAY()-29))-YEAR($D65))*12+MONTH(MIN(IF($E65="",TODAY()-29,$E65),TODAY()-29))-MONTH($D65)+IF(MIN(IF($E65="",TODAY()-29,$E65),TODAY()-29)&gt;=EOMONTH(MIN(IF($E65="",TODAY()-29,$E65),TODAY()-29),0),1,0)),MAX(0,INT((MIN(IF($E65="",TODAY()-29,$E65),TODAY()-29)-($D65+MOD(SISTEM!$F$8-WEEKDAY($D65,2),7)))/7)+1)))</f>
        <v/>
      </c>
      <c r="M65" s="223">
        <f>IF($G65&gt;0,$I65/$G65,0)</f>
        <v/>
      </c>
      <c r="N65" s="113">
        <f>IF($C65="","",IF($B65="TANIMSIZ MÜŞTERİ","TANIMSIZ MÜŞTERİ",IF($F65="","MODEL SEÇİN",IF(OR($D65="",$G65&lt;=0),"EKSİK",IF(AND($E65&lt;&gt;"",$E65&lt;$D65),"TARİH HATASI",IF($H65="Pasif","KAPALI DÖNEM","UYGUN"))))))</f>
        <v/>
      </c>
      <c r="O65" s="224">
        <f>IF(OR($C65="",$D65="",$F65=""),"",IF($F65="Aylık",EOMONTH($D65,0),($D65+MOD(SISTEM!$F$8-WEEKDAY($D65,2),7))))</f>
        <v/>
      </c>
      <c r="P65" s="109" t="n"/>
      <c r="Q65" s="6" t="n"/>
      <c r="R65" s="6" t="n"/>
      <c r="S65" s="3">
        <f>IF($B65="","",$B65&amp;"|"&amp;COUNTIFS($B$7:$B65,$B65))</f>
        <v/>
      </c>
      <c r="T65" s="3">
        <f>IF($C65="","",UPPER(SUBSTITUTE(SUBSTITUTE(SUBSTITUTE(SUBSTITUTE(SUBSTITUTE(SUBSTITUTE(SUBSTITUTE(SUBSTITUTE(SUBSTITUTE(SUBSTITUTE(SUBSTITUTE(SUBSTITUTE(SUBSTITUTE(SUBSTITUTE(SUBSTITUTE(SUBSTITUTE(SUBSTITUTE(SUBSTITUTE(TRIM($C65),"'",""),"İ","I"),"ı","I"),"i","I"),"Ş","S"),"ş","S"),"Ğ","G"),"ğ","G"),"Ü","U"),"ü","U"),"Ö","O"),"ö","O"),"Ç","C"),"ç","C"),".",""),",","")," ",""),"-","")))</f>
        <v/>
      </c>
    </row>
    <row r="66">
      <c r="A66" s="6" t="n"/>
      <c r="B66" s="113">
        <f>IF($C66="","",IFERROR(INDEX(MUSTERILER!$B$7:$B$106,MATCH($T66,MUSTERILER!$T$7:$T$106,0)),IFERROR(INDEX(MUSTERILER!$B$7:$B$106,MATCH($C66,MUSTERILER!$B$7:$B$106,0)),IFERROR(INDEX(MUSTERILER!$B$7:$B$106,MATCH($T66&amp;"*",MUSTERILER!$T$7:$T$106,0)),"TANIMSIZ MÜŞTERİ"))))</f>
        <v/>
      </c>
      <c r="C66" s="109" t="inlineStr">
        <is>
          <t>İLDEŞ LTD.ŞTİ.</t>
        </is>
      </c>
      <c r="D66" s="220" t="n">
        <v>46113</v>
      </c>
      <c r="E66" s="220" t="n"/>
      <c r="F66" s="108" t="inlineStr">
        <is>
          <t>Haftalık</t>
        </is>
      </c>
      <c r="G66" s="221" t="n">
        <v>4000</v>
      </c>
      <c r="H66" s="108" t="inlineStr">
        <is>
          <t>Aktif</t>
        </is>
      </c>
      <c r="I66" s="222">
        <f>IF(OR($C66="",$D66="",$G66="",$F66=""),0,$G66*IF($F66="Aylık",MAX(0,(YEAR(MIN(IF($E66="",TODAY(),$E66),TODAY()))-YEAR($D66))*12+MONTH(MIN(IF($E66="",TODAY(),$E66),TODAY()))-MONTH($D66)+IF(MIN(IF($E66="",TODAY(),$E66),TODAY())&gt;=EOMONTH(MIN(IF($E66="",TODAY(),$E66),TODAY()),0),1,0)),MAX(0,INT((MIN(IF($E66="",TODAY(),$E66),TODAY())-($D66+MOD(SISTEM!$F$8-WEEKDAY($D66,2),7)))/7)+1)))</f>
        <v/>
      </c>
      <c r="J66" s="222">
        <f>IF(OR($C66="",$D66="",$G66="",$F66=""),0,$G66*IF($F66="Aylık",MAX(0,(YEAR(MIN(IF($E66="",TODAY()-8,$E66),TODAY()-8))-YEAR($D66))*12+MONTH(MIN(IF($E66="",TODAY()-8,$E66),TODAY()-8))-MONTH($D66)+IF(MIN(IF($E66="",TODAY()-8,$E66),TODAY()-8)&gt;=EOMONTH(MIN(IF($E66="",TODAY()-8,$E66),TODAY()-8),0),1,0)),MAX(0,INT((MIN(IF($E66="",TODAY()-8,$E66),TODAY()-8)-($D66+MOD(SISTEM!$F$8-WEEKDAY($D66,2),7)))/7)+1)))</f>
        <v/>
      </c>
      <c r="K66" s="222">
        <f>IF(OR($C66="",$D66="",$G66="",$F66=""),0,$G66*IF($F66="Aylık",MAX(0,(YEAR(MIN(IF($E66="",TODAY()-15,$E66),TODAY()-15))-YEAR($D66))*12+MONTH(MIN(IF($E66="",TODAY()-15,$E66),TODAY()-15))-MONTH($D66)+IF(MIN(IF($E66="",TODAY()-15,$E66),TODAY()-15)&gt;=EOMONTH(MIN(IF($E66="",TODAY()-15,$E66),TODAY()-15),0),1,0)),MAX(0,INT((MIN(IF($E66="",TODAY()-15,$E66),TODAY()-15)-($D66+MOD(SISTEM!$F$8-WEEKDAY($D66,2),7)))/7)+1)))</f>
        <v/>
      </c>
      <c r="L66" s="222">
        <f>IF(OR($C66="",$D66="",$G66="",$F66=""),0,$G66*IF($F66="Aylık",MAX(0,(YEAR(MIN(IF($E66="",TODAY()-29,$E66),TODAY()-29))-YEAR($D66))*12+MONTH(MIN(IF($E66="",TODAY()-29,$E66),TODAY()-29))-MONTH($D66)+IF(MIN(IF($E66="",TODAY()-29,$E66),TODAY()-29)&gt;=EOMONTH(MIN(IF($E66="",TODAY()-29,$E66),TODAY()-29),0),1,0)),MAX(0,INT((MIN(IF($E66="",TODAY()-29,$E66),TODAY()-29)-($D66+MOD(SISTEM!$F$8-WEEKDAY($D66,2),7)))/7)+1)))</f>
        <v/>
      </c>
      <c r="M66" s="223">
        <f>IF($G66&gt;0,$I66/$G66,0)</f>
        <v/>
      </c>
      <c r="N66" s="113">
        <f>IF($C66="","",IF($B66="TANIMSIZ MÜŞTERİ","TANIMSIZ MÜŞTERİ",IF($F66="","MODEL SEÇİN",IF(OR($D66="",$G66&lt;=0),"EKSİK",IF(AND($E66&lt;&gt;"",$E66&lt;$D66),"TARİH HATASI",IF($H66="Pasif","KAPALI DÖNEM","UYGUN"))))))</f>
        <v/>
      </c>
      <c r="O66" s="224">
        <f>IF(OR($C66="",$D66="",$F66=""),"",IF($F66="Aylık",EOMONTH($D66,0),($D66+MOD(SISTEM!$F$8-WEEKDAY($D66,2),7))))</f>
        <v/>
      </c>
      <c r="P66" s="109" t="n"/>
      <c r="Q66" s="6" t="n"/>
      <c r="R66" s="6" t="n"/>
      <c r="S66" s="3">
        <f>IF($B66="","",$B66&amp;"|"&amp;COUNTIFS($B$7:$B66,$B66))</f>
        <v/>
      </c>
      <c r="T66" s="3">
        <f>IF($C66="","",UPPER(SUBSTITUTE(SUBSTITUTE(SUBSTITUTE(SUBSTITUTE(SUBSTITUTE(SUBSTITUTE(SUBSTITUTE(SUBSTITUTE(SUBSTITUTE(SUBSTITUTE(SUBSTITUTE(SUBSTITUTE(SUBSTITUTE(SUBSTITUTE(SUBSTITUTE(SUBSTITUTE(SUBSTITUTE(SUBSTITUTE(TRIM($C66),"'",""),"İ","I"),"ı","I"),"i","I"),"Ş","S"),"ş","S"),"Ğ","G"),"ğ","G"),"Ü","U"),"ü","U"),"Ö","O"),"ö","O"),"Ç","C"),"ç","C"),".",""),",","")," ",""),"-","")))</f>
        <v/>
      </c>
    </row>
    <row r="67">
      <c r="A67" s="6" t="n"/>
      <c r="B67" s="113">
        <f>IF($C67="","",IFERROR(INDEX(MUSTERILER!$B$7:$B$106,MATCH($T67,MUSTERILER!$T$7:$T$106,0)),IFERROR(INDEX(MUSTERILER!$B$7:$B$106,MATCH($C67,MUSTERILER!$B$7:$B$106,0)),IFERROR(INDEX(MUSTERILER!$B$7:$B$106,MATCH($T67&amp;"*",MUSTERILER!$T$7:$T$106,0)),"TANIMSIZ MÜŞTERİ"))))</f>
        <v/>
      </c>
      <c r="C67" s="109" t="inlineStr">
        <is>
          <t>PALAOĞULLARI LTD.ŞTİ.</t>
        </is>
      </c>
      <c r="D67" s="220" t="n">
        <v>46179</v>
      </c>
      <c r="E67" s="220" t="n"/>
      <c r="F67" s="108" t="inlineStr">
        <is>
          <t>Haftalık</t>
        </is>
      </c>
      <c r="G67" s="221" t="n">
        <v>5000</v>
      </c>
      <c r="H67" s="108" t="inlineStr">
        <is>
          <t>Aktif</t>
        </is>
      </c>
      <c r="I67" s="222">
        <f>IF(OR($C67="",$D67="",$G67="",$F67=""),0,$G67*IF($F67="Aylık",MAX(0,(YEAR(MIN(IF($E67="",TODAY(),$E67),TODAY()))-YEAR($D67))*12+MONTH(MIN(IF($E67="",TODAY(),$E67),TODAY()))-MONTH($D67)+IF(MIN(IF($E67="",TODAY(),$E67),TODAY())&gt;=EOMONTH(MIN(IF($E67="",TODAY(),$E67),TODAY()),0),1,0)),MAX(0,INT((MIN(IF($E67="",TODAY(),$E67),TODAY())-($D67+MOD(SISTEM!$F$8-WEEKDAY($D67,2),7)))/7)+1)))</f>
        <v/>
      </c>
      <c r="J67" s="222">
        <f>IF(OR($C67="",$D67="",$G67="",$F67=""),0,$G67*IF($F67="Aylık",MAX(0,(YEAR(MIN(IF($E67="",TODAY()-8,$E67),TODAY()-8))-YEAR($D67))*12+MONTH(MIN(IF($E67="",TODAY()-8,$E67),TODAY()-8))-MONTH($D67)+IF(MIN(IF($E67="",TODAY()-8,$E67),TODAY()-8)&gt;=EOMONTH(MIN(IF($E67="",TODAY()-8,$E67),TODAY()-8),0),1,0)),MAX(0,INT((MIN(IF($E67="",TODAY()-8,$E67),TODAY()-8)-($D67+MOD(SISTEM!$F$8-WEEKDAY($D67,2),7)))/7)+1)))</f>
        <v/>
      </c>
      <c r="K67" s="222">
        <f>IF(OR($C67="",$D67="",$G67="",$F67=""),0,$G67*IF($F67="Aylık",MAX(0,(YEAR(MIN(IF($E67="",TODAY()-15,$E67),TODAY()-15))-YEAR($D67))*12+MONTH(MIN(IF($E67="",TODAY()-15,$E67),TODAY()-15))-MONTH($D67)+IF(MIN(IF($E67="",TODAY()-15,$E67),TODAY()-15)&gt;=EOMONTH(MIN(IF($E67="",TODAY()-15,$E67),TODAY()-15),0),1,0)),MAX(0,INT((MIN(IF($E67="",TODAY()-15,$E67),TODAY()-15)-($D67+MOD(SISTEM!$F$8-WEEKDAY($D67,2),7)))/7)+1)))</f>
        <v/>
      </c>
      <c r="L67" s="222">
        <f>IF(OR($C67="",$D67="",$G67="",$F67=""),0,$G67*IF($F67="Aylık",MAX(0,(YEAR(MIN(IF($E67="",TODAY()-29,$E67),TODAY()-29))-YEAR($D67))*12+MONTH(MIN(IF($E67="",TODAY()-29,$E67),TODAY()-29))-MONTH($D67)+IF(MIN(IF($E67="",TODAY()-29,$E67),TODAY()-29)&gt;=EOMONTH(MIN(IF($E67="",TODAY()-29,$E67),TODAY()-29),0),1,0)),MAX(0,INT((MIN(IF($E67="",TODAY()-29,$E67),TODAY()-29)-($D67+MOD(SISTEM!$F$8-WEEKDAY($D67,2),7)))/7)+1)))</f>
        <v/>
      </c>
      <c r="M67" s="223">
        <f>IF($G67&gt;0,$I67/$G67,0)</f>
        <v/>
      </c>
      <c r="N67" s="113">
        <f>IF($C67="","",IF($B67="TANIMSIZ MÜŞTERİ","TANIMSIZ MÜŞTERİ",IF($F67="","MODEL SEÇİN",IF(OR($D67="",$G67&lt;=0),"EKSİK",IF(AND($E67&lt;&gt;"",$E67&lt;$D67),"TARİH HATASI",IF($H67="Pasif","KAPALI DÖNEM","UYGUN"))))))</f>
        <v/>
      </c>
      <c r="O67" s="224">
        <f>IF(OR($C67="",$D67="",$F67=""),"",IF($F67="Aylık",EOMONTH($D67,0),($D67+MOD(SISTEM!$F$8-WEEKDAY($D67,2),7))))</f>
        <v/>
      </c>
      <c r="P67" s="109" t="n"/>
      <c r="Q67" s="6" t="n"/>
      <c r="R67" s="6" t="n"/>
      <c r="S67" s="3">
        <f>IF($B67="","",$B67&amp;"|"&amp;COUNTIFS($B$7:$B67,$B67))</f>
        <v/>
      </c>
      <c r="T67" s="3">
        <f>IF($C67="","",UPPER(SUBSTITUTE(SUBSTITUTE(SUBSTITUTE(SUBSTITUTE(SUBSTITUTE(SUBSTITUTE(SUBSTITUTE(SUBSTITUTE(SUBSTITUTE(SUBSTITUTE(SUBSTITUTE(SUBSTITUTE(SUBSTITUTE(SUBSTITUTE(SUBSTITUTE(SUBSTITUTE(SUBSTITUTE(SUBSTITUTE(TRIM($C67),"'",""),"İ","I"),"ı","I"),"i","I"),"Ş","S"),"ş","S"),"Ğ","G"),"ğ","G"),"Ü","U"),"ü","U"),"Ö","O"),"ö","O"),"Ç","C"),"ç","C"),".",""),",","")," ",""),"-","")))</f>
        <v/>
      </c>
    </row>
    <row r="68">
      <c r="A68" s="6" t="n"/>
      <c r="B68" s="113">
        <f>IF($C68="","",IFERROR(INDEX(MUSTERILER!$B$7:$B$106,MATCH($T68,MUSTERILER!$T$7:$T$106,0)),IFERROR(INDEX(MUSTERILER!$B$7:$B$106,MATCH($C68,MUSTERILER!$B$7:$B$106,0)),IFERROR(INDEX(MUSTERILER!$B$7:$B$106,MATCH($T68&amp;"*",MUSTERILER!$T$7:$T$106,0)),"TANIMSIZ MÜŞTERİ"))))</f>
        <v/>
      </c>
      <c r="C68" s="109" t="n"/>
      <c r="D68" s="220" t="n"/>
      <c r="E68" s="220" t="n"/>
      <c r="F68" s="108" t="n"/>
      <c r="G68" s="221" t="n"/>
      <c r="H68" s="108" t="n"/>
      <c r="I68" s="222">
        <f>IF(OR($C68="",$D68="",$G68="",$F68=""),0,$G68*IF($F68="Aylık",MAX(0,(YEAR(MIN(IF($E68="",TODAY(),$E68),TODAY()))-YEAR($D68))*12+MONTH(MIN(IF($E68="",TODAY(),$E68),TODAY()))-MONTH($D68)+IF(MIN(IF($E68="",TODAY(),$E68),TODAY())&gt;=EOMONTH(MIN(IF($E68="",TODAY(),$E68),TODAY()),0),1,0)),MAX(0,INT((MIN(IF($E68="",TODAY(),$E68),TODAY())-($D68+MOD(SISTEM!$F$8-WEEKDAY($D68,2),7)))/7)+1)))</f>
        <v/>
      </c>
      <c r="J68" s="222">
        <f>IF(OR($C68="",$D68="",$G68="",$F68=""),0,$G68*IF($F68="Aylık",MAX(0,(YEAR(MIN(IF($E68="",TODAY()-8,$E68),TODAY()-8))-YEAR($D68))*12+MONTH(MIN(IF($E68="",TODAY()-8,$E68),TODAY()-8))-MONTH($D68)+IF(MIN(IF($E68="",TODAY()-8,$E68),TODAY()-8)&gt;=EOMONTH(MIN(IF($E68="",TODAY()-8,$E68),TODAY()-8),0),1,0)),MAX(0,INT((MIN(IF($E68="",TODAY()-8,$E68),TODAY()-8)-($D68+MOD(SISTEM!$F$8-WEEKDAY($D68,2),7)))/7)+1)))</f>
        <v/>
      </c>
      <c r="K68" s="222">
        <f>IF(OR($C68="",$D68="",$G68="",$F68=""),0,$G68*IF($F68="Aylık",MAX(0,(YEAR(MIN(IF($E68="",TODAY()-15,$E68),TODAY()-15))-YEAR($D68))*12+MONTH(MIN(IF($E68="",TODAY()-15,$E68),TODAY()-15))-MONTH($D68)+IF(MIN(IF($E68="",TODAY()-15,$E68),TODAY()-15)&gt;=EOMONTH(MIN(IF($E68="",TODAY()-15,$E68),TODAY()-15),0),1,0)),MAX(0,INT((MIN(IF($E68="",TODAY()-15,$E68),TODAY()-15)-($D68+MOD(SISTEM!$F$8-WEEKDAY($D68,2),7)))/7)+1)))</f>
        <v/>
      </c>
      <c r="L68" s="222">
        <f>IF(OR($C68="",$D68="",$G68="",$F68=""),0,$G68*IF($F68="Aylık",MAX(0,(YEAR(MIN(IF($E68="",TODAY()-29,$E68),TODAY()-29))-YEAR($D68))*12+MONTH(MIN(IF($E68="",TODAY()-29,$E68),TODAY()-29))-MONTH($D68)+IF(MIN(IF($E68="",TODAY()-29,$E68),TODAY()-29)&gt;=EOMONTH(MIN(IF($E68="",TODAY()-29,$E68),TODAY()-29),0),1,0)),MAX(0,INT((MIN(IF($E68="",TODAY()-29,$E68),TODAY()-29)-($D68+MOD(SISTEM!$F$8-WEEKDAY($D68,2),7)))/7)+1)))</f>
        <v/>
      </c>
      <c r="M68" s="223">
        <f>IF($G68&gt;0,$I68/$G68,0)</f>
        <v/>
      </c>
      <c r="N68" s="113">
        <f>IF($C68="","",IF($B68="TANIMSIZ MÜŞTERİ","TANIMSIZ MÜŞTERİ",IF($F68="","MODEL SEÇİN",IF(OR($D68="",$G68&lt;=0),"EKSİK",IF(AND($E68&lt;&gt;"",$E68&lt;$D68),"TARİH HATASI",IF($H68="Pasif","KAPALI DÖNEM","UYGUN"))))))</f>
        <v/>
      </c>
      <c r="O68" s="224">
        <f>IF(OR($C68="",$D68="",$F68=""),"",IF($F68="Aylık",EOMONTH($D68,0),($D68+MOD(SISTEM!$F$8-WEEKDAY($D68,2),7))))</f>
        <v/>
      </c>
      <c r="P68" s="109" t="n"/>
      <c r="Q68" s="6" t="n"/>
      <c r="R68" s="6" t="n"/>
      <c r="S68" s="3">
        <f>IF($B68="","",$B68&amp;"|"&amp;COUNTIFS($B$7:$B68,$B68))</f>
        <v/>
      </c>
      <c r="T68" s="3">
        <f>IF($C68="","",UPPER(SUBSTITUTE(SUBSTITUTE(SUBSTITUTE(SUBSTITUTE(SUBSTITUTE(SUBSTITUTE(SUBSTITUTE(SUBSTITUTE(SUBSTITUTE(SUBSTITUTE(SUBSTITUTE(SUBSTITUTE(SUBSTITUTE(SUBSTITUTE(SUBSTITUTE(SUBSTITUTE(SUBSTITUTE(SUBSTITUTE(TRIM($C68),"'",""),"İ","I"),"ı","I"),"i","I"),"Ş","S"),"ş","S"),"Ğ","G"),"ğ","G"),"Ü","U"),"ü","U"),"Ö","O"),"ö","O"),"Ç","C"),"ç","C"),".",""),",","")," ",""),"-","")))</f>
        <v/>
      </c>
    </row>
    <row r="69">
      <c r="A69" s="6" t="n"/>
      <c r="B69" s="113">
        <f>IF($C69="","",IFERROR(INDEX(MUSTERILER!$B$7:$B$106,MATCH($T69,MUSTERILER!$T$7:$T$106,0)),IFERROR(INDEX(MUSTERILER!$B$7:$B$106,MATCH($C69,MUSTERILER!$B$7:$B$106,0)),IFERROR(INDEX(MUSTERILER!$B$7:$B$106,MATCH($T69&amp;"*",MUSTERILER!$T$7:$T$106,0)),"TANIMSIZ MÜŞTERİ"))))</f>
        <v/>
      </c>
      <c r="C69" s="109" t="n"/>
      <c r="D69" s="220" t="n"/>
      <c r="E69" s="220" t="n"/>
      <c r="F69" s="108" t="n"/>
      <c r="G69" s="221" t="n"/>
      <c r="H69" s="108" t="n"/>
      <c r="I69" s="222">
        <f>IF(OR($C69="",$D69="",$G69="",$F69=""),0,$G69*IF($F69="Aylık",MAX(0,(YEAR(MIN(IF($E69="",TODAY(),$E69),TODAY()))-YEAR($D69))*12+MONTH(MIN(IF($E69="",TODAY(),$E69),TODAY()))-MONTH($D69)+IF(MIN(IF($E69="",TODAY(),$E69),TODAY())&gt;=EOMONTH(MIN(IF($E69="",TODAY(),$E69),TODAY()),0),1,0)),MAX(0,INT((MIN(IF($E69="",TODAY(),$E69),TODAY())-($D69+MOD(SISTEM!$F$8-WEEKDAY($D69,2),7)))/7)+1)))</f>
        <v/>
      </c>
      <c r="J69" s="222">
        <f>IF(OR($C69="",$D69="",$G69="",$F69=""),0,$G69*IF($F69="Aylık",MAX(0,(YEAR(MIN(IF($E69="",TODAY()-8,$E69),TODAY()-8))-YEAR($D69))*12+MONTH(MIN(IF($E69="",TODAY()-8,$E69),TODAY()-8))-MONTH($D69)+IF(MIN(IF($E69="",TODAY()-8,$E69),TODAY()-8)&gt;=EOMONTH(MIN(IF($E69="",TODAY()-8,$E69),TODAY()-8),0),1,0)),MAX(0,INT((MIN(IF($E69="",TODAY()-8,$E69),TODAY()-8)-($D69+MOD(SISTEM!$F$8-WEEKDAY($D69,2),7)))/7)+1)))</f>
        <v/>
      </c>
      <c r="K69" s="222">
        <f>IF(OR($C69="",$D69="",$G69="",$F69=""),0,$G69*IF($F69="Aylık",MAX(0,(YEAR(MIN(IF($E69="",TODAY()-15,$E69),TODAY()-15))-YEAR($D69))*12+MONTH(MIN(IF($E69="",TODAY()-15,$E69),TODAY()-15))-MONTH($D69)+IF(MIN(IF($E69="",TODAY()-15,$E69),TODAY()-15)&gt;=EOMONTH(MIN(IF($E69="",TODAY()-15,$E69),TODAY()-15),0),1,0)),MAX(0,INT((MIN(IF($E69="",TODAY()-15,$E69),TODAY()-15)-($D69+MOD(SISTEM!$F$8-WEEKDAY($D69,2),7)))/7)+1)))</f>
        <v/>
      </c>
      <c r="L69" s="222">
        <f>IF(OR($C69="",$D69="",$G69="",$F69=""),0,$G69*IF($F69="Aylık",MAX(0,(YEAR(MIN(IF($E69="",TODAY()-29,$E69),TODAY()-29))-YEAR($D69))*12+MONTH(MIN(IF($E69="",TODAY()-29,$E69),TODAY()-29))-MONTH($D69)+IF(MIN(IF($E69="",TODAY()-29,$E69),TODAY()-29)&gt;=EOMONTH(MIN(IF($E69="",TODAY()-29,$E69),TODAY()-29),0),1,0)),MAX(0,INT((MIN(IF($E69="",TODAY()-29,$E69),TODAY()-29)-($D69+MOD(SISTEM!$F$8-WEEKDAY($D69,2),7)))/7)+1)))</f>
        <v/>
      </c>
      <c r="M69" s="223">
        <f>IF($G69&gt;0,$I69/$G69,0)</f>
        <v/>
      </c>
      <c r="N69" s="113">
        <f>IF($C69="","",IF($B69="TANIMSIZ MÜŞTERİ","TANIMSIZ MÜŞTERİ",IF($F69="","MODEL SEÇİN",IF(OR($D69="",$G69&lt;=0),"EKSİK",IF(AND($E69&lt;&gt;"",$E69&lt;$D69),"TARİH HATASI",IF($H69="Pasif","KAPALI DÖNEM","UYGUN"))))))</f>
        <v/>
      </c>
      <c r="O69" s="224">
        <f>IF(OR($C69="",$D69="",$F69=""),"",IF($F69="Aylık",EOMONTH($D69,0),($D69+MOD(SISTEM!$F$8-WEEKDAY($D69,2),7))))</f>
        <v/>
      </c>
      <c r="P69" s="109" t="n"/>
      <c r="Q69" s="6" t="n"/>
      <c r="R69" s="6" t="n"/>
      <c r="S69" s="3">
        <f>IF($B69="","",$B69&amp;"|"&amp;COUNTIFS($B$7:$B69,$B69))</f>
        <v/>
      </c>
      <c r="T69" s="3">
        <f>IF($C69="","",UPPER(SUBSTITUTE(SUBSTITUTE(SUBSTITUTE(SUBSTITUTE(SUBSTITUTE(SUBSTITUTE(SUBSTITUTE(SUBSTITUTE(SUBSTITUTE(SUBSTITUTE(SUBSTITUTE(SUBSTITUTE(SUBSTITUTE(SUBSTITUTE(SUBSTITUTE(SUBSTITUTE(SUBSTITUTE(SUBSTITUTE(TRIM($C69),"'",""),"İ","I"),"ı","I"),"i","I"),"Ş","S"),"ş","S"),"Ğ","G"),"ğ","G"),"Ü","U"),"ü","U"),"Ö","O"),"ö","O"),"Ç","C"),"ç","C"),".",""),",","")," ",""),"-","")))</f>
        <v/>
      </c>
    </row>
    <row r="70">
      <c r="A70" s="6" t="n"/>
      <c r="B70" s="113">
        <f>IF($C70="","",IFERROR(INDEX(MUSTERILER!$B$7:$B$106,MATCH($T70,MUSTERILER!$T$7:$T$106,0)),IFERROR(INDEX(MUSTERILER!$B$7:$B$106,MATCH($C70,MUSTERILER!$B$7:$B$106,0)),IFERROR(INDEX(MUSTERILER!$B$7:$B$106,MATCH($T70&amp;"*",MUSTERILER!$T$7:$T$106,0)),"TANIMSIZ MÜŞTERİ"))))</f>
        <v/>
      </c>
      <c r="C70" s="109" t="n"/>
      <c r="D70" s="220" t="n"/>
      <c r="E70" s="220" t="n"/>
      <c r="F70" s="108" t="n"/>
      <c r="G70" s="221" t="n"/>
      <c r="H70" s="108" t="n"/>
      <c r="I70" s="222">
        <f>IF(OR($C70="",$D70="",$G70="",$F70=""),0,$G70*IF($F70="Aylık",MAX(0,(YEAR(MIN(IF($E70="",TODAY(),$E70),TODAY()))-YEAR($D70))*12+MONTH(MIN(IF($E70="",TODAY(),$E70),TODAY()))-MONTH($D70)+IF(MIN(IF($E70="",TODAY(),$E70),TODAY())&gt;=EOMONTH(MIN(IF($E70="",TODAY(),$E70),TODAY()),0),1,0)),MAX(0,INT((MIN(IF($E70="",TODAY(),$E70),TODAY())-($D70+MOD(SISTEM!$F$8-WEEKDAY($D70,2),7)))/7)+1)))</f>
        <v/>
      </c>
      <c r="J70" s="222">
        <f>IF(OR($C70="",$D70="",$G70="",$F70=""),0,$G70*IF($F70="Aylık",MAX(0,(YEAR(MIN(IF($E70="",TODAY()-8,$E70),TODAY()-8))-YEAR($D70))*12+MONTH(MIN(IF($E70="",TODAY()-8,$E70),TODAY()-8))-MONTH($D70)+IF(MIN(IF($E70="",TODAY()-8,$E70),TODAY()-8)&gt;=EOMONTH(MIN(IF($E70="",TODAY()-8,$E70),TODAY()-8),0),1,0)),MAX(0,INT((MIN(IF($E70="",TODAY()-8,$E70),TODAY()-8)-($D70+MOD(SISTEM!$F$8-WEEKDAY($D70,2),7)))/7)+1)))</f>
        <v/>
      </c>
      <c r="K70" s="222">
        <f>IF(OR($C70="",$D70="",$G70="",$F70=""),0,$G70*IF($F70="Aylık",MAX(0,(YEAR(MIN(IF($E70="",TODAY()-15,$E70),TODAY()-15))-YEAR($D70))*12+MONTH(MIN(IF($E70="",TODAY()-15,$E70),TODAY()-15))-MONTH($D70)+IF(MIN(IF($E70="",TODAY()-15,$E70),TODAY()-15)&gt;=EOMONTH(MIN(IF($E70="",TODAY()-15,$E70),TODAY()-15),0),1,0)),MAX(0,INT((MIN(IF($E70="",TODAY()-15,$E70),TODAY()-15)-($D70+MOD(SISTEM!$F$8-WEEKDAY($D70,2),7)))/7)+1)))</f>
        <v/>
      </c>
      <c r="L70" s="222">
        <f>IF(OR($C70="",$D70="",$G70="",$F70=""),0,$G70*IF($F70="Aylık",MAX(0,(YEAR(MIN(IF($E70="",TODAY()-29,$E70),TODAY()-29))-YEAR($D70))*12+MONTH(MIN(IF($E70="",TODAY()-29,$E70),TODAY()-29))-MONTH($D70)+IF(MIN(IF($E70="",TODAY()-29,$E70),TODAY()-29)&gt;=EOMONTH(MIN(IF($E70="",TODAY()-29,$E70),TODAY()-29),0),1,0)),MAX(0,INT((MIN(IF($E70="",TODAY()-29,$E70),TODAY()-29)-($D70+MOD(SISTEM!$F$8-WEEKDAY($D70,2),7)))/7)+1)))</f>
        <v/>
      </c>
      <c r="M70" s="223">
        <f>IF($G70&gt;0,$I70/$G70,0)</f>
        <v/>
      </c>
      <c r="N70" s="113">
        <f>IF($C70="","",IF($B70="TANIMSIZ MÜŞTERİ","TANIMSIZ MÜŞTERİ",IF($F70="","MODEL SEÇİN",IF(OR($D70="",$G70&lt;=0),"EKSİK",IF(AND($E70&lt;&gt;"",$E70&lt;$D70),"TARİH HATASI",IF($H70="Pasif","KAPALI DÖNEM","UYGUN"))))))</f>
        <v/>
      </c>
      <c r="O70" s="224">
        <f>IF(OR($C70="",$D70="",$F70=""),"",IF($F70="Aylık",EOMONTH($D70,0),($D70+MOD(SISTEM!$F$8-WEEKDAY($D70,2),7))))</f>
        <v/>
      </c>
      <c r="P70" s="109" t="n"/>
      <c r="Q70" s="6" t="n"/>
      <c r="R70" s="6" t="n"/>
      <c r="S70" s="3">
        <f>IF($B70="","",$B70&amp;"|"&amp;COUNTIFS($B$7:$B70,$B70))</f>
        <v/>
      </c>
      <c r="T70" s="3">
        <f>IF($C70="","",UPPER(SUBSTITUTE(SUBSTITUTE(SUBSTITUTE(SUBSTITUTE(SUBSTITUTE(SUBSTITUTE(SUBSTITUTE(SUBSTITUTE(SUBSTITUTE(SUBSTITUTE(SUBSTITUTE(SUBSTITUTE(SUBSTITUTE(SUBSTITUTE(SUBSTITUTE(SUBSTITUTE(SUBSTITUTE(SUBSTITUTE(TRIM($C70),"'",""),"İ","I"),"ı","I"),"i","I"),"Ş","S"),"ş","S"),"Ğ","G"),"ğ","G"),"Ü","U"),"ü","U"),"Ö","O"),"ö","O"),"Ç","C"),"ç","C"),".",""),",","")," ",""),"-","")))</f>
        <v/>
      </c>
    </row>
    <row r="71">
      <c r="A71" s="6" t="n"/>
      <c r="B71" s="113">
        <f>IF($C71="","",IFERROR(INDEX(MUSTERILER!$B$7:$B$106,MATCH($T71,MUSTERILER!$T$7:$T$106,0)),IFERROR(INDEX(MUSTERILER!$B$7:$B$106,MATCH($C71,MUSTERILER!$B$7:$B$106,0)),IFERROR(INDEX(MUSTERILER!$B$7:$B$106,MATCH($T71&amp;"*",MUSTERILER!$T$7:$T$106,0)),"TANIMSIZ MÜŞTERİ"))))</f>
        <v/>
      </c>
      <c r="C71" s="109" t="n"/>
      <c r="D71" s="220" t="n"/>
      <c r="E71" s="220" t="n"/>
      <c r="F71" s="108" t="n"/>
      <c r="G71" s="221" t="n"/>
      <c r="H71" s="108" t="n"/>
      <c r="I71" s="222">
        <f>IF(OR($C71="",$D71="",$G71="",$F71=""),0,$G71*IF($F71="Aylık",MAX(0,(YEAR(MIN(IF($E71="",TODAY(),$E71),TODAY()))-YEAR($D71))*12+MONTH(MIN(IF($E71="",TODAY(),$E71),TODAY()))-MONTH($D71)+IF(MIN(IF($E71="",TODAY(),$E71),TODAY())&gt;=EOMONTH(MIN(IF($E71="",TODAY(),$E71),TODAY()),0),1,0)),MAX(0,INT((MIN(IF($E71="",TODAY(),$E71),TODAY())-($D71+MOD(SISTEM!$F$8-WEEKDAY($D71,2),7)))/7)+1)))</f>
        <v/>
      </c>
      <c r="J71" s="222">
        <f>IF(OR($C71="",$D71="",$G71="",$F71=""),0,$G71*IF($F71="Aylık",MAX(0,(YEAR(MIN(IF($E71="",TODAY()-8,$E71),TODAY()-8))-YEAR($D71))*12+MONTH(MIN(IF($E71="",TODAY()-8,$E71),TODAY()-8))-MONTH($D71)+IF(MIN(IF($E71="",TODAY()-8,$E71),TODAY()-8)&gt;=EOMONTH(MIN(IF($E71="",TODAY()-8,$E71),TODAY()-8),0),1,0)),MAX(0,INT((MIN(IF($E71="",TODAY()-8,$E71),TODAY()-8)-($D71+MOD(SISTEM!$F$8-WEEKDAY($D71,2),7)))/7)+1)))</f>
        <v/>
      </c>
      <c r="K71" s="222">
        <f>IF(OR($C71="",$D71="",$G71="",$F71=""),0,$G71*IF($F71="Aylık",MAX(0,(YEAR(MIN(IF($E71="",TODAY()-15,$E71),TODAY()-15))-YEAR($D71))*12+MONTH(MIN(IF($E71="",TODAY()-15,$E71),TODAY()-15))-MONTH($D71)+IF(MIN(IF($E71="",TODAY()-15,$E71),TODAY()-15)&gt;=EOMONTH(MIN(IF($E71="",TODAY()-15,$E71),TODAY()-15),0),1,0)),MAX(0,INT((MIN(IF($E71="",TODAY()-15,$E71),TODAY()-15)-($D71+MOD(SISTEM!$F$8-WEEKDAY($D71,2),7)))/7)+1)))</f>
        <v/>
      </c>
      <c r="L71" s="222">
        <f>IF(OR($C71="",$D71="",$G71="",$F71=""),0,$G71*IF($F71="Aylık",MAX(0,(YEAR(MIN(IF($E71="",TODAY()-29,$E71),TODAY()-29))-YEAR($D71))*12+MONTH(MIN(IF($E71="",TODAY()-29,$E71),TODAY()-29))-MONTH($D71)+IF(MIN(IF($E71="",TODAY()-29,$E71),TODAY()-29)&gt;=EOMONTH(MIN(IF($E71="",TODAY()-29,$E71),TODAY()-29),0),1,0)),MAX(0,INT((MIN(IF($E71="",TODAY()-29,$E71),TODAY()-29)-($D71+MOD(SISTEM!$F$8-WEEKDAY($D71,2),7)))/7)+1)))</f>
        <v/>
      </c>
      <c r="M71" s="223">
        <f>IF($G71&gt;0,$I71/$G71,0)</f>
        <v/>
      </c>
      <c r="N71" s="113">
        <f>IF($C71="","",IF($B71="TANIMSIZ MÜŞTERİ","TANIMSIZ MÜŞTERİ",IF($F71="","MODEL SEÇİN",IF(OR($D71="",$G71&lt;=0),"EKSİK",IF(AND($E71&lt;&gt;"",$E71&lt;$D71),"TARİH HATASI",IF($H71="Pasif","KAPALI DÖNEM","UYGUN"))))))</f>
        <v/>
      </c>
      <c r="O71" s="224">
        <f>IF(OR($C71="",$D71="",$F71=""),"",IF($F71="Aylık",EOMONTH($D71,0),($D71+MOD(SISTEM!$F$8-WEEKDAY($D71,2),7))))</f>
        <v/>
      </c>
      <c r="P71" s="109" t="n"/>
      <c r="Q71" s="6" t="n"/>
      <c r="R71" s="6" t="n"/>
      <c r="S71" s="3">
        <f>IF($B71="","",$B71&amp;"|"&amp;COUNTIFS($B$7:$B71,$B71))</f>
        <v/>
      </c>
      <c r="T71" s="3">
        <f>IF($C71="","",UPPER(SUBSTITUTE(SUBSTITUTE(SUBSTITUTE(SUBSTITUTE(SUBSTITUTE(SUBSTITUTE(SUBSTITUTE(SUBSTITUTE(SUBSTITUTE(SUBSTITUTE(SUBSTITUTE(SUBSTITUTE(SUBSTITUTE(SUBSTITUTE(SUBSTITUTE(SUBSTITUTE(SUBSTITUTE(SUBSTITUTE(TRIM($C71),"'",""),"İ","I"),"ı","I"),"i","I"),"Ş","S"),"ş","S"),"Ğ","G"),"ğ","G"),"Ü","U"),"ü","U"),"Ö","O"),"ö","O"),"Ç","C"),"ç","C"),".",""),",","")," ",""),"-","")))</f>
        <v/>
      </c>
    </row>
    <row r="72">
      <c r="A72" s="6" t="n"/>
      <c r="B72" s="113">
        <f>IF($C72="","",IFERROR(INDEX(MUSTERILER!$B$7:$B$106,MATCH($T72,MUSTERILER!$T$7:$T$106,0)),IFERROR(INDEX(MUSTERILER!$B$7:$B$106,MATCH($C72,MUSTERILER!$B$7:$B$106,0)),IFERROR(INDEX(MUSTERILER!$B$7:$B$106,MATCH($T72&amp;"*",MUSTERILER!$T$7:$T$106,0)),"TANIMSIZ MÜŞTERİ"))))</f>
        <v/>
      </c>
      <c r="C72" s="109" t="n"/>
      <c r="D72" s="220" t="n"/>
      <c r="E72" s="220" t="n"/>
      <c r="F72" s="108" t="n"/>
      <c r="G72" s="221" t="n"/>
      <c r="H72" s="108" t="n"/>
      <c r="I72" s="222">
        <f>IF(OR($C72="",$D72="",$G72="",$F72=""),0,$G72*IF($F72="Aylık",MAX(0,(YEAR(MIN(IF($E72="",TODAY(),$E72),TODAY()))-YEAR($D72))*12+MONTH(MIN(IF($E72="",TODAY(),$E72),TODAY()))-MONTH($D72)+IF(MIN(IF($E72="",TODAY(),$E72),TODAY())&gt;=EOMONTH(MIN(IF($E72="",TODAY(),$E72),TODAY()),0),1,0)),MAX(0,INT((MIN(IF($E72="",TODAY(),$E72),TODAY())-($D72+MOD(SISTEM!$F$8-WEEKDAY($D72,2),7)))/7)+1)))</f>
        <v/>
      </c>
      <c r="J72" s="222">
        <f>IF(OR($C72="",$D72="",$G72="",$F72=""),0,$G72*IF($F72="Aylık",MAX(0,(YEAR(MIN(IF($E72="",TODAY()-8,$E72),TODAY()-8))-YEAR($D72))*12+MONTH(MIN(IF($E72="",TODAY()-8,$E72),TODAY()-8))-MONTH($D72)+IF(MIN(IF($E72="",TODAY()-8,$E72),TODAY()-8)&gt;=EOMONTH(MIN(IF($E72="",TODAY()-8,$E72),TODAY()-8),0),1,0)),MAX(0,INT((MIN(IF($E72="",TODAY()-8,$E72),TODAY()-8)-($D72+MOD(SISTEM!$F$8-WEEKDAY($D72,2),7)))/7)+1)))</f>
        <v/>
      </c>
      <c r="K72" s="222">
        <f>IF(OR($C72="",$D72="",$G72="",$F72=""),0,$G72*IF($F72="Aylık",MAX(0,(YEAR(MIN(IF($E72="",TODAY()-15,$E72),TODAY()-15))-YEAR($D72))*12+MONTH(MIN(IF($E72="",TODAY()-15,$E72),TODAY()-15))-MONTH($D72)+IF(MIN(IF($E72="",TODAY()-15,$E72),TODAY()-15)&gt;=EOMONTH(MIN(IF($E72="",TODAY()-15,$E72),TODAY()-15),0),1,0)),MAX(0,INT((MIN(IF($E72="",TODAY()-15,$E72),TODAY()-15)-($D72+MOD(SISTEM!$F$8-WEEKDAY($D72,2),7)))/7)+1)))</f>
        <v/>
      </c>
      <c r="L72" s="222">
        <f>IF(OR($C72="",$D72="",$G72="",$F72=""),0,$G72*IF($F72="Aylık",MAX(0,(YEAR(MIN(IF($E72="",TODAY()-29,$E72),TODAY()-29))-YEAR($D72))*12+MONTH(MIN(IF($E72="",TODAY()-29,$E72),TODAY()-29))-MONTH($D72)+IF(MIN(IF($E72="",TODAY()-29,$E72),TODAY()-29)&gt;=EOMONTH(MIN(IF($E72="",TODAY()-29,$E72),TODAY()-29),0),1,0)),MAX(0,INT((MIN(IF($E72="",TODAY()-29,$E72),TODAY()-29)-($D72+MOD(SISTEM!$F$8-WEEKDAY($D72,2),7)))/7)+1)))</f>
        <v/>
      </c>
      <c r="M72" s="223">
        <f>IF($G72&gt;0,$I72/$G72,0)</f>
        <v/>
      </c>
      <c r="N72" s="113">
        <f>IF($C72="","",IF($B72="TANIMSIZ MÜŞTERİ","TANIMSIZ MÜŞTERİ",IF($F72="","MODEL SEÇİN",IF(OR($D72="",$G72&lt;=0),"EKSİK",IF(AND($E72&lt;&gt;"",$E72&lt;$D72),"TARİH HATASI",IF($H72="Pasif","KAPALI DÖNEM","UYGUN"))))))</f>
        <v/>
      </c>
      <c r="O72" s="224">
        <f>IF(OR($C72="",$D72="",$F72=""),"",IF($F72="Aylık",EOMONTH($D72,0),($D72+MOD(SISTEM!$F$8-WEEKDAY($D72,2),7))))</f>
        <v/>
      </c>
      <c r="P72" s="109" t="n"/>
      <c r="Q72" s="6" t="n"/>
      <c r="R72" s="6" t="n"/>
      <c r="S72" s="3">
        <f>IF($B72="","",$B72&amp;"|"&amp;COUNTIFS($B$7:$B72,$B72))</f>
        <v/>
      </c>
      <c r="T72" s="3">
        <f>IF($C72="","",UPPER(SUBSTITUTE(SUBSTITUTE(SUBSTITUTE(SUBSTITUTE(SUBSTITUTE(SUBSTITUTE(SUBSTITUTE(SUBSTITUTE(SUBSTITUTE(SUBSTITUTE(SUBSTITUTE(SUBSTITUTE(SUBSTITUTE(SUBSTITUTE(SUBSTITUTE(SUBSTITUTE(SUBSTITUTE(SUBSTITUTE(TRIM($C72),"'",""),"İ","I"),"ı","I"),"i","I"),"Ş","S"),"ş","S"),"Ğ","G"),"ğ","G"),"Ü","U"),"ü","U"),"Ö","O"),"ö","O"),"Ç","C"),"ç","C"),".",""),",","")," ",""),"-","")))</f>
        <v/>
      </c>
    </row>
    <row r="73">
      <c r="A73" s="6" t="n"/>
      <c r="B73" s="113">
        <f>IF($C73="","",IFERROR(INDEX(MUSTERILER!$B$7:$B$106,MATCH($T73,MUSTERILER!$T$7:$T$106,0)),IFERROR(INDEX(MUSTERILER!$B$7:$B$106,MATCH($C73,MUSTERILER!$B$7:$B$106,0)),IFERROR(INDEX(MUSTERILER!$B$7:$B$106,MATCH($T73&amp;"*",MUSTERILER!$T$7:$T$106,0)),"TANIMSIZ MÜŞTERİ"))))</f>
        <v/>
      </c>
      <c r="C73" s="109" t="n"/>
      <c r="D73" s="220" t="n"/>
      <c r="E73" s="220" t="n"/>
      <c r="F73" s="108" t="n"/>
      <c r="G73" s="221" t="n"/>
      <c r="H73" s="108" t="n"/>
      <c r="I73" s="222">
        <f>IF(OR($C73="",$D73="",$G73="",$F73=""),0,$G73*IF($F73="Aylık",MAX(0,(YEAR(MIN(IF($E73="",TODAY(),$E73),TODAY()))-YEAR($D73))*12+MONTH(MIN(IF($E73="",TODAY(),$E73),TODAY()))-MONTH($D73)+IF(MIN(IF($E73="",TODAY(),$E73),TODAY())&gt;=EOMONTH(MIN(IF($E73="",TODAY(),$E73),TODAY()),0),1,0)),MAX(0,INT((MIN(IF($E73="",TODAY(),$E73),TODAY())-($D73+MOD(SISTEM!$F$8-WEEKDAY($D73,2),7)))/7)+1)))</f>
        <v/>
      </c>
      <c r="J73" s="222">
        <f>IF(OR($C73="",$D73="",$G73="",$F73=""),0,$G73*IF($F73="Aylık",MAX(0,(YEAR(MIN(IF($E73="",TODAY()-8,$E73),TODAY()-8))-YEAR($D73))*12+MONTH(MIN(IF($E73="",TODAY()-8,$E73),TODAY()-8))-MONTH($D73)+IF(MIN(IF($E73="",TODAY()-8,$E73),TODAY()-8)&gt;=EOMONTH(MIN(IF($E73="",TODAY()-8,$E73),TODAY()-8),0),1,0)),MAX(0,INT((MIN(IF($E73="",TODAY()-8,$E73),TODAY()-8)-($D73+MOD(SISTEM!$F$8-WEEKDAY($D73,2),7)))/7)+1)))</f>
        <v/>
      </c>
      <c r="K73" s="222">
        <f>IF(OR($C73="",$D73="",$G73="",$F73=""),0,$G73*IF($F73="Aylık",MAX(0,(YEAR(MIN(IF($E73="",TODAY()-15,$E73),TODAY()-15))-YEAR($D73))*12+MONTH(MIN(IF($E73="",TODAY()-15,$E73),TODAY()-15))-MONTH($D73)+IF(MIN(IF($E73="",TODAY()-15,$E73),TODAY()-15)&gt;=EOMONTH(MIN(IF($E73="",TODAY()-15,$E73),TODAY()-15),0),1,0)),MAX(0,INT((MIN(IF($E73="",TODAY()-15,$E73),TODAY()-15)-($D73+MOD(SISTEM!$F$8-WEEKDAY($D73,2),7)))/7)+1)))</f>
        <v/>
      </c>
      <c r="L73" s="222">
        <f>IF(OR($C73="",$D73="",$G73="",$F73=""),0,$G73*IF($F73="Aylık",MAX(0,(YEAR(MIN(IF($E73="",TODAY()-29,$E73),TODAY()-29))-YEAR($D73))*12+MONTH(MIN(IF($E73="",TODAY()-29,$E73),TODAY()-29))-MONTH($D73)+IF(MIN(IF($E73="",TODAY()-29,$E73),TODAY()-29)&gt;=EOMONTH(MIN(IF($E73="",TODAY()-29,$E73),TODAY()-29),0),1,0)),MAX(0,INT((MIN(IF($E73="",TODAY()-29,$E73),TODAY()-29)-($D73+MOD(SISTEM!$F$8-WEEKDAY($D73,2),7)))/7)+1)))</f>
        <v/>
      </c>
      <c r="M73" s="223">
        <f>IF($G73&gt;0,$I73/$G73,0)</f>
        <v/>
      </c>
      <c r="N73" s="113">
        <f>IF($C73="","",IF($B73="TANIMSIZ MÜŞTERİ","TANIMSIZ MÜŞTERİ",IF($F73="","MODEL SEÇİN",IF(OR($D73="",$G73&lt;=0),"EKSİK",IF(AND($E73&lt;&gt;"",$E73&lt;$D73),"TARİH HATASI",IF($H73="Pasif","KAPALI DÖNEM","UYGUN"))))))</f>
        <v/>
      </c>
      <c r="O73" s="224">
        <f>IF(OR($C73="",$D73="",$F73=""),"",IF($F73="Aylık",EOMONTH($D73,0),($D73+MOD(SISTEM!$F$8-WEEKDAY($D73,2),7))))</f>
        <v/>
      </c>
      <c r="P73" s="109" t="n"/>
      <c r="Q73" s="6" t="n"/>
      <c r="R73" s="6" t="n"/>
      <c r="S73" s="3">
        <f>IF($B73="","",$B73&amp;"|"&amp;COUNTIFS($B$7:$B73,$B73))</f>
        <v/>
      </c>
      <c r="T73" s="3">
        <f>IF($C73="","",UPPER(SUBSTITUTE(SUBSTITUTE(SUBSTITUTE(SUBSTITUTE(SUBSTITUTE(SUBSTITUTE(SUBSTITUTE(SUBSTITUTE(SUBSTITUTE(SUBSTITUTE(SUBSTITUTE(SUBSTITUTE(SUBSTITUTE(SUBSTITUTE(SUBSTITUTE(SUBSTITUTE(SUBSTITUTE(SUBSTITUTE(TRIM($C73),"'",""),"İ","I"),"ı","I"),"i","I"),"Ş","S"),"ş","S"),"Ğ","G"),"ğ","G"),"Ü","U"),"ü","U"),"Ö","O"),"ö","O"),"Ç","C"),"ç","C"),".",""),",","")," ",""),"-","")))</f>
        <v/>
      </c>
    </row>
    <row r="74">
      <c r="A74" s="6" t="n"/>
      <c r="B74" s="113">
        <f>IF($C74="","",IFERROR(INDEX(MUSTERILER!$B$7:$B$106,MATCH($T74,MUSTERILER!$T$7:$T$106,0)),IFERROR(INDEX(MUSTERILER!$B$7:$B$106,MATCH($C74,MUSTERILER!$B$7:$B$106,0)),IFERROR(INDEX(MUSTERILER!$B$7:$B$106,MATCH($T74&amp;"*",MUSTERILER!$T$7:$T$106,0)),"TANIMSIZ MÜŞTERİ"))))</f>
        <v/>
      </c>
      <c r="C74" s="109" t="n"/>
      <c r="D74" s="220" t="n"/>
      <c r="E74" s="220" t="n"/>
      <c r="F74" s="108" t="n"/>
      <c r="G74" s="221" t="n"/>
      <c r="H74" s="108" t="n"/>
      <c r="I74" s="222">
        <f>IF(OR($C74="",$D74="",$G74="",$F74=""),0,$G74*IF($F74="Aylık",MAX(0,(YEAR(MIN(IF($E74="",TODAY(),$E74),TODAY()))-YEAR($D74))*12+MONTH(MIN(IF($E74="",TODAY(),$E74),TODAY()))-MONTH($D74)+IF(MIN(IF($E74="",TODAY(),$E74),TODAY())&gt;=EOMONTH(MIN(IF($E74="",TODAY(),$E74),TODAY()),0),1,0)),MAX(0,INT((MIN(IF($E74="",TODAY(),$E74),TODAY())-($D74+MOD(SISTEM!$F$8-WEEKDAY($D74,2),7)))/7)+1)))</f>
        <v/>
      </c>
      <c r="J74" s="222">
        <f>IF(OR($C74="",$D74="",$G74="",$F74=""),0,$G74*IF($F74="Aylık",MAX(0,(YEAR(MIN(IF($E74="",TODAY()-8,$E74),TODAY()-8))-YEAR($D74))*12+MONTH(MIN(IF($E74="",TODAY()-8,$E74),TODAY()-8))-MONTH($D74)+IF(MIN(IF($E74="",TODAY()-8,$E74),TODAY()-8)&gt;=EOMONTH(MIN(IF($E74="",TODAY()-8,$E74),TODAY()-8),0),1,0)),MAX(0,INT((MIN(IF($E74="",TODAY()-8,$E74),TODAY()-8)-($D74+MOD(SISTEM!$F$8-WEEKDAY($D74,2),7)))/7)+1)))</f>
        <v/>
      </c>
      <c r="K74" s="222">
        <f>IF(OR($C74="",$D74="",$G74="",$F74=""),0,$G74*IF($F74="Aylık",MAX(0,(YEAR(MIN(IF($E74="",TODAY()-15,$E74),TODAY()-15))-YEAR($D74))*12+MONTH(MIN(IF($E74="",TODAY()-15,$E74),TODAY()-15))-MONTH($D74)+IF(MIN(IF($E74="",TODAY()-15,$E74),TODAY()-15)&gt;=EOMONTH(MIN(IF($E74="",TODAY()-15,$E74),TODAY()-15),0),1,0)),MAX(0,INT((MIN(IF($E74="",TODAY()-15,$E74),TODAY()-15)-($D74+MOD(SISTEM!$F$8-WEEKDAY($D74,2),7)))/7)+1)))</f>
        <v/>
      </c>
      <c r="L74" s="222">
        <f>IF(OR($C74="",$D74="",$G74="",$F74=""),0,$G74*IF($F74="Aylık",MAX(0,(YEAR(MIN(IF($E74="",TODAY()-29,$E74),TODAY()-29))-YEAR($D74))*12+MONTH(MIN(IF($E74="",TODAY()-29,$E74),TODAY()-29))-MONTH($D74)+IF(MIN(IF($E74="",TODAY()-29,$E74),TODAY()-29)&gt;=EOMONTH(MIN(IF($E74="",TODAY()-29,$E74),TODAY()-29),0),1,0)),MAX(0,INT((MIN(IF($E74="",TODAY()-29,$E74),TODAY()-29)-($D74+MOD(SISTEM!$F$8-WEEKDAY($D74,2),7)))/7)+1)))</f>
        <v/>
      </c>
      <c r="M74" s="223">
        <f>IF($G74&gt;0,$I74/$G74,0)</f>
        <v/>
      </c>
      <c r="N74" s="113">
        <f>IF($C74="","",IF($B74="TANIMSIZ MÜŞTERİ","TANIMSIZ MÜŞTERİ",IF($F74="","MODEL SEÇİN",IF(OR($D74="",$G74&lt;=0),"EKSİK",IF(AND($E74&lt;&gt;"",$E74&lt;$D74),"TARİH HATASI",IF($H74="Pasif","KAPALI DÖNEM","UYGUN"))))))</f>
        <v/>
      </c>
      <c r="O74" s="224">
        <f>IF(OR($C74="",$D74="",$F74=""),"",IF($F74="Aylık",EOMONTH($D74,0),($D74+MOD(SISTEM!$F$8-WEEKDAY($D74,2),7))))</f>
        <v/>
      </c>
      <c r="P74" s="109" t="n"/>
      <c r="Q74" s="6" t="n"/>
      <c r="R74" s="6" t="n"/>
      <c r="S74" s="3">
        <f>IF($B74="","",$B74&amp;"|"&amp;COUNTIFS($B$7:$B74,$B74))</f>
        <v/>
      </c>
      <c r="T74" s="3">
        <f>IF($C74="","",UPPER(SUBSTITUTE(SUBSTITUTE(SUBSTITUTE(SUBSTITUTE(SUBSTITUTE(SUBSTITUTE(SUBSTITUTE(SUBSTITUTE(SUBSTITUTE(SUBSTITUTE(SUBSTITUTE(SUBSTITUTE(SUBSTITUTE(SUBSTITUTE(SUBSTITUTE(SUBSTITUTE(SUBSTITUTE(SUBSTITUTE(TRIM($C74),"'",""),"İ","I"),"ı","I"),"i","I"),"Ş","S"),"ş","S"),"Ğ","G"),"ğ","G"),"Ü","U"),"ü","U"),"Ö","O"),"ö","O"),"Ç","C"),"ç","C"),".",""),",","")," ",""),"-","")))</f>
        <v/>
      </c>
    </row>
    <row r="75">
      <c r="A75" s="6" t="n"/>
      <c r="B75" s="113">
        <f>IF($C75="","",IFERROR(INDEX(MUSTERILER!$B$7:$B$106,MATCH($T75,MUSTERILER!$T$7:$T$106,0)),IFERROR(INDEX(MUSTERILER!$B$7:$B$106,MATCH($C75,MUSTERILER!$B$7:$B$106,0)),IFERROR(INDEX(MUSTERILER!$B$7:$B$106,MATCH($T75&amp;"*",MUSTERILER!$T$7:$T$106,0)),"TANIMSIZ MÜŞTERİ"))))</f>
        <v/>
      </c>
      <c r="C75" s="109" t="n"/>
      <c r="D75" s="220" t="n"/>
      <c r="E75" s="220" t="n"/>
      <c r="F75" s="108" t="n"/>
      <c r="G75" s="221" t="n"/>
      <c r="H75" s="108" t="n"/>
      <c r="I75" s="222">
        <f>IF(OR($C75="",$D75="",$G75="",$F75=""),0,$G75*IF($F75="Aylık",MAX(0,(YEAR(MIN(IF($E75="",TODAY(),$E75),TODAY()))-YEAR($D75))*12+MONTH(MIN(IF($E75="",TODAY(),$E75),TODAY()))-MONTH($D75)+IF(MIN(IF($E75="",TODAY(),$E75),TODAY())&gt;=EOMONTH(MIN(IF($E75="",TODAY(),$E75),TODAY()),0),1,0)),MAX(0,INT((MIN(IF($E75="",TODAY(),$E75),TODAY())-($D75+MOD(SISTEM!$F$8-WEEKDAY($D75,2),7)))/7)+1)))</f>
        <v/>
      </c>
      <c r="J75" s="222">
        <f>IF(OR($C75="",$D75="",$G75="",$F75=""),0,$G75*IF($F75="Aylık",MAX(0,(YEAR(MIN(IF($E75="",TODAY()-8,$E75),TODAY()-8))-YEAR($D75))*12+MONTH(MIN(IF($E75="",TODAY()-8,$E75),TODAY()-8))-MONTH($D75)+IF(MIN(IF($E75="",TODAY()-8,$E75),TODAY()-8)&gt;=EOMONTH(MIN(IF($E75="",TODAY()-8,$E75),TODAY()-8),0),1,0)),MAX(0,INT((MIN(IF($E75="",TODAY()-8,$E75),TODAY()-8)-($D75+MOD(SISTEM!$F$8-WEEKDAY($D75,2),7)))/7)+1)))</f>
        <v/>
      </c>
      <c r="K75" s="222">
        <f>IF(OR($C75="",$D75="",$G75="",$F75=""),0,$G75*IF($F75="Aylık",MAX(0,(YEAR(MIN(IF($E75="",TODAY()-15,$E75),TODAY()-15))-YEAR($D75))*12+MONTH(MIN(IF($E75="",TODAY()-15,$E75),TODAY()-15))-MONTH($D75)+IF(MIN(IF($E75="",TODAY()-15,$E75),TODAY()-15)&gt;=EOMONTH(MIN(IF($E75="",TODAY()-15,$E75),TODAY()-15),0),1,0)),MAX(0,INT((MIN(IF($E75="",TODAY()-15,$E75),TODAY()-15)-($D75+MOD(SISTEM!$F$8-WEEKDAY($D75,2),7)))/7)+1)))</f>
        <v/>
      </c>
      <c r="L75" s="222">
        <f>IF(OR($C75="",$D75="",$G75="",$F75=""),0,$G75*IF($F75="Aylık",MAX(0,(YEAR(MIN(IF($E75="",TODAY()-29,$E75),TODAY()-29))-YEAR($D75))*12+MONTH(MIN(IF($E75="",TODAY()-29,$E75),TODAY()-29))-MONTH($D75)+IF(MIN(IF($E75="",TODAY()-29,$E75),TODAY()-29)&gt;=EOMONTH(MIN(IF($E75="",TODAY()-29,$E75),TODAY()-29),0),1,0)),MAX(0,INT((MIN(IF($E75="",TODAY()-29,$E75),TODAY()-29)-($D75+MOD(SISTEM!$F$8-WEEKDAY($D75,2),7)))/7)+1)))</f>
        <v/>
      </c>
      <c r="M75" s="223">
        <f>IF($G75&gt;0,$I75/$G75,0)</f>
        <v/>
      </c>
      <c r="N75" s="113">
        <f>IF($C75="","",IF($B75="TANIMSIZ MÜŞTERİ","TANIMSIZ MÜŞTERİ",IF($F75="","MODEL SEÇİN",IF(OR($D75="",$G75&lt;=0),"EKSİK",IF(AND($E75&lt;&gt;"",$E75&lt;$D75),"TARİH HATASI",IF($H75="Pasif","KAPALI DÖNEM","UYGUN"))))))</f>
        <v/>
      </c>
      <c r="O75" s="224">
        <f>IF(OR($C75="",$D75="",$F75=""),"",IF($F75="Aylık",EOMONTH($D75,0),($D75+MOD(SISTEM!$F$8-WEEKDAY($D75,2),7))))</f>
        <v/>
      </c>
      <c r="P75" s="109" t="n"/>
      <c r="Q75" s="6" t="n"/>
      <c r="R75" s="6" t="n"/>
      <c r="S75" s="3">
        <f>IF($B75="","",$B75&amp;"|"&amp;COUNTIFS($B$7:$B75,$B75))</f>
        <v/>
      </c>
      <c r="T75" s="3">
        <f>IF($C75="","",UPPER(SUBSTITUTE(SUBSTITUTE(SUBSTITUTE(SUBSTITUTE(SUBSTITUTE(SUBSTITUTE(SUBSTITUTE(SUBSTITUTE(SUBSTITUTE(SUBSTITUTE(SUBSTITUTE(SUBSTITUTE(SUBSTITUTE(SUBSTITUTE(SUBSTITUTE(SUBSTITUTE(SUBSTITUTE(SUBSTITUTE(TRIM($C75),"'",""),"İ","I"),"ı","I"),"i","I"),"Ş","S"),"ş","S"),"Ğ","G"),"ğ","G"),"Ü","U"),"ü","U"),"Ö","O"),"ö","O"),"Ç","C"),"ç","C"),".",""),",","")," ",""),"-","")))</f>
        <v/>
      </c>
    </row>
    <row r="76">
      <c r="A76" s="6" t="n"/>
      <c r="B76" s="113">
        <f>IF($C76="","",IFERROR(INDEX(MUSTERILER!$B$7:$B$106,MATCH($T76,MUSTERILER!$T$7:$T$106,0)),IFERROR(INDEX(MUSTERILER!$B$7:$B$106,MATCH($C76,MUSTERILER!$B$7:$B$106,0)),IFERROR(INDEX(MUSTERILER!$B$7:$B$106,MATCH($T76&amp;"*",MUSTERILER!$T$7:$T$106,0)),"TANIMSIZ MÜŞTERİ"))))</f>
        <v/>
      </c>
      <c r="C76" s="109" t="n"/>
      <c r="D76" s="220" t="n"/>
      <c r="E76" s="220" t="n"/>
      <c r="F76" s="108" t="n"/>
      <c r="G76" s="221" t="n"/>
      <c r="H76" s="108" t="n"/>
      <c r="I76" s="222">
        <f>IF(OR($C76="",$D76="",$G76="",$F76=""),0,$G76*IF($F76="Aylık",MAX(0,(YEAR(MIN(IF($E76="",TODAY(),$E76),TODAY()))-YEAR($D76))*12+MONTH(MIN(IF($E76="",TODAY(),$E76),TODAY()))-MONTH($D76)+IF(MIN(IF($E76="",TODAY(),$E76),TODAY())&gt;=EOMONTH(MIN(IF($E76="",TODAY(),$E76),TODAY()),0),1,0)),MAX(0,INT((MIN(IF($E76="",TODAY(),$E76),TODAY())-($D76+MOD(SISTEM!$F$8-WEEKDAY($D76,2),7)))/7)+1)))</f>
        <v/>
      </c>
      <c r="J76" s="222">
        <f>IF(OR($C76="",$D76="",$G76="",$F76=""),0,$G76*IF($F76="Aylık",MAX(0,(YEAR(MIN(IF($E76="",TODAY()-8,$E76),TODAY()-8))-YEAR($D76))*12+MONTH(MIN(IF($E76="",TODAY()-8,$E76),TODAY()-8))-MONTH($D76)+IF(MIN(IF($E76="",TODAY()-8,$E76),TODAY()-8)&gt;=EOMONTH(MIN(IF($E76="",TODAY()-8,$E76),TODAY()-8),0),1,0)),MAX(0,INT((MIN(IF($E76="",TODAY()-8,$E76),TODAY()-8)-($D76+MOD(SISTEM!$F$8-WEEKDAY($D76,2),7)))/7)+1)))</f>
        <v/>
      </c>
      <c r="K76" s="222">
        <f>IF(OR($C76="",$D76="",$G76="",$F76=""),0,$G76*IF($F76="Aylık",MAX(0,(YEAR(MIN(IF($E76="",TODAY()-15,$E76),TODAY()-15))-YEAR($D76))*12+MONTH(MIN(IF($E76="",TODAY()-15,$E76),TODAY()-15))-MONTH($D76)+IF(MIN(IF($E76="",TODAY()-15,$E76),TODAY()-15)&gt;=EOMONTH(MIN(IF($E76="",TODAY()-15,$E76),TODAY()-15),0),1,0)),MAX(0,INT((MIN(IF($E76="",TODAY()-15,$E76),TODAY()-15)-($D76+MOD(SISTEM!$F$8-WEEKDAY($D76,2),7)))/7)+1)))</f>
        <v/>
      </c>
      <c r="L76" s="222">
        <f>IF(OR($C76="",$D76="",$G76="",$F76=""),0,$G76*IF($F76="Aylık",MAX(0,(YEAR(MIN(IF($E76="",TODAY()-29,$E76),TODAY()-29))-YEAR($D76))*12+MONTH(MIN(IF($E76="",TODAY()-29,$E76),TODAY()-29))-MONTH($D76)+IF(MIN(IF($E76="",TODAY()-29,$E76),TODAY()-29)&gt;=EOMONTH(MIN(IF($E76="",TODAY()-29,$E76),TODAY()-29),0),1,0)),MAX(0,INT((MIN(IF($E76="",TODAY()-29,$E76),TODAY()-29)-($D76+MOD(SISTEM!$F$8-WEEKDAY($D76,2),7)))/7)+1)))</f>
        <v/>
      </c>
      <c r="M76" s="223">
        <f>IF($G76&gt;0,$I76/$G76,0)</f>
        <v/>
      </c>
      <c r="N76" s="113">
        <f>IF($C76="","",IF($B76="TANIMSIZ MÜŞTERİ","TANIMSIZ MÜŞTERİ",IF($F76="","MODEL SEÇİN",IF(OR($D76="",$G76&lt;=0),"EKSİK",IF(AND($E76&lt;&gt;"",$E76&lt;$D76),"TARİH HATASI",IF($H76="Pasif","KAPALI DÖNEM","UYGUN"))))))</f>
        <v/>
      </c>
      <c r="O76" s="224">
        <f>IF(OR($C76="",$D76="",$F76=""),"",IF($F76="Aylık",EOMONTH($D76,0),($D76+MOD(SISTEM!$F$8-WEEKDAY($D76,2),7))))</f>
        <v/>
      </c>
      <c r="P76" s="109" t="n"/>
      <c r="Q76" s="6" t="n"/>
      <c r="R76" s="6" t="n"/>
      <c r="S76" s="3">
        <f>IF($B76="","",$B76&amp;"|"&amp;COUNTIFS($B$7:$B76,$B76))</f>
        <v/>
      </c>
      <c r="T76" s="3">
        <f>IF($C76="","",UPPER(SUBSTITUTE(SUBSTITUTE(SUBSTITUTE(SUBSTITUTE(SUBSTITUTE(SUBSTITUTE(SUBSTITUTE(SUBSTITUTE(SUBSTITUTE(SUBSTITUTE(SUBSTITUTE(SUBSTITUTE(SUBSTITUTE(SUBSTITUTE(SUBSTITUTE(SUBSTITUTE(SUBSTITUTE(SUBSTITUTE(TRIM($C76),"'",""),"İ","I"),"ı","I"),"i","I"),"Ş","S"),"ş","S"),"Ğ","G"),"ğ","G"),"Ü","U"),"ü","U"),"Ö","O"),"ö","O"),"Ç","C"),"ç","C"),".",""),",","")," ",""),"-","")))</f>
        <v/>
      </c>
    </row>
    <row r="77">
      <c r="A77" s="6" t="n"/>
      <c r="B77" s="113">
        <f>IF($C77="","",IFERROR(INDEX(MUSTERILER!$B$7:$B$106,MATCH($T77,MUSTERILER!$T$7:$T$106,0)),IFERROR(INDEX(MUSTERILER!$B$7:$B$106,MATCH($C77,MUSTERILER!$B$7:$B$106,0)),IFERROR(INDEX(MUSTERILER!$B$7:$B$106,MATCH($T77&amp;"*",MUSTERILER!$T$7:$T$106,0)),"TANIMSIZ MÜŞTERİ"))))</f>
        <v/>
      </c>
      <c r="C77" s="109" t="n"/>
      <c r="D77" s="220" t="n"/>
      <c r="E77" s="220" t="n"/>
      <c r="F77" s="108" t="n"/>
      <c r="G77" s="221" t="n"/>
      <c r="H77" s="108" t="n"/>
      <c r="I77" s="222">
        <f>IF(OR($C77="",$D77="",$G77="",$F77=""),0,$G77*IF($F77="Aylık",MAX(0,(YEAR(MIN(IF($E77="",TODAY(),$E77),TODAY()))-YEAR($D77))*12+MONTH(MIN(IF($E77="",TODAY(),$E77),TODAY()))-MONTH($D77)+IF(MIN(IF($E77="",TODAY(),$E77),TODAY())&gt;=EOMONTH(MIN(IF($E77="",TODAY(),$E77),TODAY()),0),1,0)),MAX(0,INT((MIN(IF($E77="",TODAY(),$E77),TODAY())-($D77+MOD(SISTEM!$F$8-WEEKDAY($D77,2),7)))/7)+1)))</f>
        <v/>
      </c>
      <c r="J77" s="222">
        <f>IF(OR($C77="",$D77="",$G77="",$F77=""),0,$G77*IF($F77="Aylık",MAX(0,(YEAR(MIN(IF($E77="",TODAY()-8,$E77),TODAY()-8))-YEAR($D77))*12+MONTH(MIN(IF($E77="",TODAY()-8,$E77),TODAY()-8))-MONTH($D77)+IF(MIN(IF($E77="",TODAY()-8,$E77),TODAY()-8)&gt;=EOMONTH(MIN(IF($E77="",TODAY()-8,$E77),TODAY()-8),0),1,0)),MAX(0,INT((MIN(IF($E77="",TODAY()-8,$E77),TODAY()-8)-($D77+MOD(SISTEM!$F$8-WEEKDAY($D77,2),7)))/7)+1)))</f>
        <v/>
      </c>
      <c r="K77" s="222">
        <f>IF(OR($C77="",$D77="",$G77="",$F77=""),0,$G77*IF($F77="Aylık",MAX(0,(YEAR(MIN(IF($E77="",TODAY()-15,$E77),TODAY()-15))-YEAR($D77))*12+MONTH(MIN(IF($E77="",TODAY()-15,$E77),TODAY()-15))-MONTH($D77)+IF(MIN(IF($E77="",TODAY()-15,$E77),TODAY()-15)&gt;=EOMONTH(MIN(IF($E77="",TODAY()-15,$E77),TODAY()-15),0),1,0)),MAX(0,INT((MIN(IF($E77="",TODAY()-15,$E77),TODAY()-15)-($D77+MOD(SISTEM!$F$8-WEEKDAY($D77,2),7)))/7)+1)))</f>
        <v/>
      </c>
      <c r="L77" s="222">
        <f>IF(OR($C77="",$D77="",$G77="",$F77=""),0,$G77*IF($F77="Aylık",MAX(0,(YEAR(MIN(IF($E77="",TODAY()-29,$E77),TODAY()-29))-YEAR($D77))*12+MONTH(MIN(IF($E77="",TODAY()-29,$E77),TODAY()-29))-MONTH($D77)+IF(MIN(IF($E77="",TODAY()-29,$E77),TODAY()-29)&gt;=EOMONTH(MIN(IF($E77="",TODAY()-29,$E77),TODAY()-29),0),1,0)),MAX(0,INT((MIN(IF($E77="",TODAY()-29,$E77),TODAY()-29)-($D77+MOD(SISTEM!$F$8-WEEKDAY($D77,2),7)))/7)+1)))</f>
        <v/>
      </c>
      <c r="M77" s="223">
        <f>IF($G77&gt;0,$I77/$G77,0)</f>
        <v/>
      </c>
      <c r="N77" s="113">
        <f>IF($C77="","",IF($B77="TANIMSIZ MÜŞTERİ","TANIMSIZ MÜŞTERİ",IF($F77="","MODEL SEÇİN",IF(OR($D77="",$G77&lt;=0),"EKSİK",IF(AND($E77&lt;&gt;"",$E77&lt;$D77),"TARİH HATASI",IF($H77="Pasif","KAPALI DÖNEM","UYGUN"))))))</f>
        <v/>
      </c>
      <c r="O77" s="224">
        <f>IF(OR($C77="",$D77="",$F77=""),"",IF($F77="Aylık",EOMONTH($D77,0),($D77+MOD(SISTEM!$F$8-WEEKDAY($D77,2),7))))</f>
        <v/>
      </c>
      <c r="P77" s="109" t="n"/>
      <c r="Q77" s="6" t="n"/>
      <c r="R77" s="6" t="n"/>
      <c r="S77" s="3">
        <f>IF($B77="","",$B77&amp;"|"&amp;COUNTIFS($B$7:$B77,$B77))</f>
        <v/>
      </c>
      <c r="T77" s="3">
        <f>IF($C77="","",UPPER(SUBSTITUTE(SUBSTITUTE(SUBSTITUTE(SUBSTITUTE(SUBSTITUTE(SUBSTITUTE(SUBSTITUTE(SUBSTITUTE(SUBSTITUTE(SUBSTITUTE(SUBSTITUTE(SUBSTITUTE(SUBSTITUTE(SUBSTITUTE(SUBSTITUTE(SUBSTITUTE(SUBSTITUTE(SUBSTITUTE(TRIM($C77),"'",""),"İ","I"),"ı","I"),"i","I"),"Ş","S"),"ş","S"),"Ğ","G"),"ğ","G"),"Ü","U"),"ü","U"),"Ö","O"),"ö","O"),"Ç","C"),"ç","C"),".",""),",","")," ",""),"-","")))</f>
        <v/>
      </c>
    </row>
    <row r="78">
      <c r="A78" s="6" t="n"/>
      <c r="B78" s="113">
        <f>IF($C78="","",IFERROR(INDEX(MUSTERILER!$B$7:$B$106,MATCH($T78,MUSTERILER!$T$7:$T$106,0)),IFERROR(INDEX(MUSTERILER!$B$7:$B$106,MATCH($C78,MUSTERILER!$B$7:$B$106,0)),IFERROR(INDEX(MUSTERILER!$B$7:$B$106,MATCH($T78&amp;"*",MUSTERILER!$T$7:$T$106,0)),"TANIMSIZ MÜŞTERİ"))))</f>
        <v/>
      </c>
      <c r="C78" s="109" t="n"/>
      <c r="D78" s="220" t="n"/>
      <c r="E78" s="220" t="n"/>
      <c r="F78" s="108" t="n"/>
      <c r="G78" s="221" t="n"/>
      <c r="H78" s="108" t="n"/>
      <c r="I78" s="222">
        <f>IF(OR($C78="",$D78="",$G78="",$F78=""),0,$G78*IF($F78="Aylık",MAX(0,(YEAR(MIN(IF($E78="",TODAY(),$E78),TODAY()))-YEAR($D78))*12+MONTH(MIN(IF($E78="",TODAY(),$E78),TODAY()))-MONTH($D78)+IF(MIN(IF($E78="",TODAY(),$E78),TODAY())&gt;=EOMONTH(MIN(IF($E78="",TODAY(),$E78),TODAY()),0),1,0)),MAX(0,INT((MIN(IF($E78="",TODAY(),$E78),TODAY())-($D78+MOD(SISTEM!$F$8-WEEKDAY($D78,2),7)))/7)+1)))</f>
        <v/>
      </c>
      <c r="J78" s="222">
        <f>IF(OR($C78="",$D78="",$G78="",$F78=""),0,$G78*IF($F78="Aylık",MAX(0,(YEAR(MIN(IF($E78="",TODAY()-8,$E78),TODAY()-8))-YEAR($D78))*12+MONTH(MIN(IF($E78="",TODAY()-8,$E78),TODAY()-8))-MONTH($D78)+IF(MIN(IF($E78="",TODAY()-8,$E78),TODAY()-8)&gt;=EOMONTH(MIN(IF($E78="",TODAY()-8,$E78),TODAY()-8),0),1,0)),MAX(0,INT((MIN(IF($E78="",TODAY()-8,$E78),TODAY()-8)-($D78+MOD(SISTEM!$F$8-WEEKDAY($D78,2),7)))/7)+1)))</f>
        <v/>
      </c>
      <c r="K78" s="222">
        <f>IF(OR($C78="",$D78="",$G78="",$F78=""),0,$G78*IF($F78="Aylık",MAX(0,(YEAR(MIN(IF($E78="",TODAY()-15,$E78),TODAY()-15))-YEAR($D78))*12+MONTH(MIN(IF($E78="",TODAY()-15,$E78),TODAY()-15))-MONTH($D78)+IF(MIN(IF($E78="",TODAY()-15,$E78),TODAY()-15)&gt;=EOMONTH(MIN(IF($E78="",TODAY()-15,$E78),TODAY()-15),0),1,0)),MAX(0,INT((MIN(IF($E78="",TODAY()-15,$E78),TODAY()-15)-($D78+MOD(SISTEM!$F$8-WEEKDAY($D78,2),7)))/7)+1)))</f>
        <v/>
      </c>
      <c r="L78" s="222">
        <f>IF(OR($C78="",$D78="",$G78="",$F78=""),0,$G78*IF($F78="Aylık",MAX(0,(YEAR(MIN(IF($E78="",TODAY()-29,$E78),TODAY()-29))-YEAR($D78))*12+MONTH(MIN(IF($E78="",TODAY()-29,$E78),TODAY()-29))-MONTH($D78)+IF(MIN(IF($E78="",TODAY()-29,$E78),TODAY()-29)&gt;=EOMONTH(MIN(IF($E78="",TODAY()-29,$E78),TODAY()-29),0),1,0)),MAX(0,INT((MIN(IF($E78="",TODAY()-29,$E78),TODAY()-29)-($D78+MOD(SISTEM!$F$8-WEEKDAY($D78,2),7)))/7)+1)))</f>
        <v/>
      </c>
      <c r="M78" s="223">
        <f>IF($G78&gt;0,$I78/$G78,0)</f>
        <v/>
      </c>
      <c r="N78" s="113">
        <f>IF($C78="","",IF($B78="TANIMSIZ MÜŞTERİ","TANIMSIZ MÜŞTERİ",IF($F78="","MODEL SEÇİN",IF(OR($D78="",$G78&lt;=0),"EKSİK",IF(AND($E78&lt;&gt;"",$E78&lt;$D78),"TARİH HATASI",IF($H78="Pasif","KAPALI DÖNEM","UYGUN"))))))</f>
        <v/>
      </c>
      <c r="O78" s="224">
        <f>IF(OR($C78="",$D78="",$F78=""),"",IF($F78="Aylık",EOMONTH($D78,0),($D78+MOD(SISTEM!$F$8-WEEKDAY($D78,2),7))))</f>
        <v/>
      </c>
      <c r="P78" s="109" t="n"/>
      <c r="Q78" s="6" t="n"/>
      <c r="R78" s="6" t="n"/>
      <c r="S78" s="3">
        <f>IF($B78="","",$B78&amp;"|"&amp;COUNTIFS($B$7:$B78,$B78))</f>
        <v/>
      </c>
      <c r="T78" s="3">
        <f>IF($C78="","",UPPER(SUBSTITUTE(SUBSTITUTE(SUBSTITUTE(SUBSTITUTE(SUBSTITUTE(SUBSTITUTE(SUBSTITUTE(SUBSTITUTE(SUBSTITUTE(SUBSTITUTE(SUBSTITUTE(SUBSTITUTE(SUBSTITUTE(SUBSTITUTE(SUBSTITUTE(SUBSTITUTE(SUBSTITUTE(SUBSTITUTE(TRIM($C78),"'",""),"İ","I"),"ı","I"),"i","I"),"Ş","S"),"ş","S"),"Ğ","G"),"ğ","G"),"Ü","U"),"ü","U"),"Ö","O"),"ö","O"),"Ç","C"),"ç","C"),".",""),",","")," ",""),"-","")))</f>
        <v/>
      </c>
    </row>
    <row r="79">
      <c r="A79" s="6" t="n"/>
      <c r="B79" s="113">
        <f>IF($C79="","",IFERROR(INDEX(MUSTERILER!$B$7:$B$106,MATCH($T79,MUSTERILER!$T$7:$T$106,0)),IFERROR(INDEX(MUSTERILER!$B$7:$B$106,MATCH($C79,MUSTERILER!$B$7:$B$106,0)),IFERROR(INDEX(MUSTERILER!$B$7:$B$106,MATCH($T79&amp;"*",MUSTERILER!$T$7:$T$106,0)),"TANIMSIZ MÜŞTERİ"))))</f>
        <v/>
      </c>
      <c r="C79" s="109" t="n"/>
      <c r="D79" s="220" t="n"/>
      <c r="E79" s="220" t="n"/>
      <c r="F79" s="108" t="n"/>
      <c r="G79" s="221" t="n"/>
      <c r="H79" s="108" t="n"/>
      <c r="I79" s="222">
        <f>IF(OR($C79="",$D79="",$G79="",$F79=""),0,$G79*IF($F79="Aylık",MAX(0,(YEAR(MIN(IF($E79="",TODAY(),$E79),TODAY()))-YEAR($D79))*12+MONTH(MIN(IF($E79="",TODAY(),$E79),TODAY()))-MONTH($D79)+IF(MIN(IF($E79="",TODAY(),$E79),TODAY())&gt;=EOMONTH(MIN(IF($E79="",TODAY(),$E79),TODAY()),0),1,0)),MAX(0,INT((MIN(IF($E79="",TODAY(),$E79),TODAY())-($D79+MOD(SISTEM!$F$8-WEEKDAY($D79,2),7)))/7)+1)))</f>
        <v/>
      </c>
      <c r="J79" s="222">
        <f>IF(OR($C79="",$D79="",$G79="",$F79=""),0,$G79*IF($F79="Aylık",MAX(0,(YEAR(MIN(IF($E79="",TODAY()-8,$E79),TODAY()-8))-YEAR($D79))*12+MONTH(MIN(IF($E79="",TODAY()-8,$E79),TODAY()-8))-MONTH($D79)+IF(MIN(IF($E79="",TODAY()-8,$E79),TODAY()-8)&gt;=EOMONTH(MIN(IF($E79="",TODAY()-8,$E79),TODAY()-8),0),1,0)),MAX(0,INT((MIN(IF($E79="",TODAY()-8,$E79),TODAY()-8)-($D79+MOD(SISTEM!$F$8-WEEKDAY($D79,2),7)))/7)+1)))</f>
        <v/>
      </c>
      <c r="K79" s="222">
        <f>IF(OR($C79="",$D79="",$G79="",$F79=""),0,$G79*IF($F79="Aylık",MAX(0,(YEAR(MIN(IF($E79="",TODAY()-15,$E79),TODAY()-15))-YEAR($D79))*12+MONTH(MIN(IF($E79="",TODAY()-15,$E79),TODAY()-15))-MONTH($D79)+IF(MIN(IF($E79="",TODAY()-15,$E79),TODAY()-15)&gt;=EOMONTH(MIN(IF($E79="",TODAY()-15,$E79),TODAY()-15),0),1,0)),MAX(0,INT((MIN(IF($E79="",TODAY()-15,$E79),TODAY()-15)-($D79+MOD(SISTEM!$F$8-WEEKDAY($D79,2),7)))/7)+1)))</f>
        <v/>
      </c>
      <c r="L79" s="222">
        <f>IF(OR($C79="",$D79="",$G79="",$F79=""),0,$G79*IF($F79="Aylık",MAX(0,(YEAR(MIN(IF($E79="",TODAY()-29,$E79),TODAY()-29))-YEAR($D79))*12+MONTH(MIN(IF($E79="",TODAY()-29,$E79),TODAY()-29))-MONTH($D79)+IF(MIN(IF($E79="",TODAY()-29,$E79),TODAY()-29)&gt;=EOMONTH(MIN(IF($E79="",TODAY()-29,$E79),TODAY()-29),0),1,0)),MAX(0,INT((MIN(IF($E79="",TODAY()-29,$E79),TODAY()-29)-($D79+MOD(SISTEM!$F$8-WEEKDAY($D79,2),7)))/7)+1)))</f>
        <v/>
      </c>
      <c r="M79" s="223">
        <f>IF($G79&gt;0,$I79/$G79,0)</f>
        <v/>
      </c>
      <c r="N79" s="113">
        <f>IF($C79="","",IF($B79="TANIMSIZ MÜŞTERİ","TANIMSIZ MÜŞTERİ",IF($F79="","MODEL SEÇİN",IF(OR($D79="",$G79&lt;=0),"EKSİK",IF(AND($E79&lt;&gt;"",$E79&lt;$D79),"TARİH HATASI",IF($H79="Pasif","KAPALI DÖNEM","UYGUN"))))))</f>
        <v/>
      </c>
      <c r="O79" s="224">
        <f>IF(OR($C79="",$D79="",$F79=""),"",IF($F79="Aylık",EOMONTH($D79,0),($D79+MOD(SISTEM!$F$8-WEEKDAY($D79,2),7))))</f>
        <v/>
      </c>
      <c r="P79" s="109" t="n"/>
      <c r="Q79" s="6" t="n"/>
      <c r="R79" s="6" t="n"/>
      <c r="S79" s="3">
        <f>IF($B79="","",$B79&amp;"|"&amp;COUNTIFS($B$7:$B79,$B79))</f>
        <v/>
      </c>
      <c r="T79" s="3">
        <f>IF($C79="","",UPPER(SUBSTITUTE(SUBSTITUTE(SUBSTITUTE(SUBSTITUTE(SUBSTITUTE(SUBSTITUTE(SUBSTITUTE(SUBSTITUTE(SUBSTITUTE(SUBSTITUTE(SUBSTITUTE(SUBSTITUTE(SUBSTITUTE(SUBSTITUTE(SUBSTITUTE(SUBSTITUTE(SUBSTITUTE(SUBSTITUTE(TRIM($C79),"'",""),"İ","I"),"ı","I"),"i","I"),"Ş","S"),"ş","S"),"Ğ","G"),"ğ","G"),"Ü","U"),"ü","U"),"Ö","O"),"ö","O"),"Ç","C"),"ç","C"),".",""),",","")," ",""),"-","")))</f>
        <v/>
      </c>
    </row>
    <row r="80">
      <c r="A80" s="6" t="n"/>
      <c r="B80" s="113">
        <f>IF($C80="","",IFERROR(INDEX(MUSTERILER!$B$7:$B$106,MATCH($T80,MUSTERILER!$T$7:$T$106,0)),IFERROR(INDEX(MUSTERILER!$B$7:$B$106,MATCH($C80,MUSTERILER!$B$7:$B$106,0)),IFERROR(INDEX(MUSTERILER!$B$7:$B$106,MATCH($T80&amp;"*",MUSTERILER!$T$7:$T$106,0)),"TANIMSIZ MÜŞTERİ"))))</f>
        <v/>
      </c>
      <c r="C80" s="109" t="n"/>
      <c r="D80" s="220" t="n"/>
      <c r="E80" s="220" t="n"/>
      <c r="F80" s="108" t="n"/>
      <c r="G80" s="221" t="n"/>
      <c r="H80" s="108" t="n"/>
      <c r="I80" s="222">
        <f>IF(OR($C80="",$D80="",$G80="",$F80=""),0,$G80*IF($F80="Aylık",MAX(0,(YEAR(MIN(IF($E80="",TODAY(),$E80),TODAY()))-YEAR($D80))*12+MONTH(MIN(IF($E80="",TODAY(),$E80),TODAY()))-MONTH($D80)+IF(MIN(IF($E80="",TODAY(),$E80),TODAY())&gt;=EOMONTH(MIN(IF($E80="",TODAY(),$E80),TODAY()),0),1,0)),MAX(0,INT((MIN(IF($E80="",TODAY(),$E80),TODAY())-($D80+MOD(SISTEM!$F$8-WEEKDAY($D80,2),7)))/7)+1)))</f>
        <v/>
      </c>
      <c r="J80" s="222">
        <f>IF(OR($C80="",$D80="",$G80="",$F80=""),0,$G80*IF($F80="Aylık",MAX(0,(YEAR(MIN(IF($E80="",TODAY()-8,$E80),TODAY()-8))-YEAR($D80))*12+MONTH(MIN(IF($E80="",TODAY()-8,$E80),TODAY()-8))-MONTH($D80)+IF(MIN(IF($E80="",TODAY()-8,$E80),TODAY()-8)&gt;=EOMONTH(MIN(IF($E80="",TODAY()-8,$E80),TODAY()-8),0),1,0)),MAX(0,INT((MIN(IF($E80="",TODAY()-8,$E80),TODAY()-8)-($D80+MOD(SISTEM!$F$8-WEEKDAY($D80,2),7)))/7)+1)))</f>
        <v/>
      </c>
      <c r="K80" s="222">
        <f>IF(OR($C80="",$D80="",$G80="",$F80=""),0,$G80*IF($F80="Aylık",MAX(0,(YEAR(MIN(IF($E80="",TODAY()-15,$E80),TODAY()-15))-YEAR($D80))*12+MONTH(MIN(IF($E80="",TODAY()-15,$E80),TODAY()-15))-MONTH($D80)+IF(MIN(IF($E80="",TODAY()-15,$E80),TODAY()-15)&gt;=EOMONTH(MIN(IF($E80="",TODAY()-15,$E80),TODAY()-15),0),1,0)),MAX(0,INT((MIN(IF($E80="",TODAY()-15,$E80),TODAY()-15)-($D80+MOD(SISTEM!$F$8-WEEKDAY($D80,2),7)))/7)+1)))</f>
        <v/>
      </c>
      <c r="L80" s="222">
        <f>IF(OR($C80="",$D80="",$G80="",$F80=""),0,$G80*IF($F80="Aylık",MAX(0,(YEAR(MIN(IF($E80="",TODAY()-29,$E80),TODAY()-29))-YEAR($D80))*12+MONTH(MIN(IF($E80="",TODAY()-29,$E80),TODAY()-29))-MONTH($D80)+IF(MIN(IF($E80="",TODAY()-29,$E80),TODAY()-29)&gt;=EOMONTH(MIN(IF($E80="",TODAY()-29,$E80),TODAY()-29),0),1,0)),MAX(0,INT((MIN(IF($E80="",TODAY()-29,$E80),TODAY()-29)-($D80+MOD(SISTEM!$F$8-WEEKDAY($D80,2),7)))/7)+1)))</f>
        <v/>
      </c>
      <c r="M80" s="223">
        <f>IF($G80&gt;0,$I80/$G80,0)</f>
        <v/>
      </c>
      <c r="N80" s="113">
        <f>IF($C80="","",IF($B80="TANIMSIZ MÜŞTERİ","TANIMSIZ MÜŞTERİ",IF($F80="","MODEL SEÇİN",IF(OR($D80="",$G80&lt;=0),"EKSİK",IF(AND($E80&lt;&gt;"",$E80&lt;$D80),"TARİH HATASI",IF($H80="Pasif","KAPALI DÖNEM","UYGUN"))))))</f>
        <v/>
      </c>
      <c r="O80" s="224">
        <f>IF(OR($C80="",$D80="",$F80=""),"",IF($F80="Aylık",EOMONTH($D80,0),($D80+MOD(SISTEM!$F$8-WEEKDAY($D80,2),7))))</f>
        <v/>
      </c>
      <c r="P80" s="109" t="n"/>
      <c r="Q80" s="6" t="n"/>
      <c r="R80" s="6" t="n"/>
      <c r="S80" s="3">
        <f>IF($B80="","",$B80&amp;"|"&amp;COUNTIFS($B$7:$B80,$B80))</f>
        <v/>
      </c>
      <c r="T80" s="3">
        <f>IF($C80="","",UPPER(SUBSTITUTE(SUBSTITUTE(SUBSTITUTE(SUBSTITUTE(SUBSTITUTE(SUBSTITUTE(SUBSTITUTE(SUBSTITUTE(SUBSTITUTE(SUBSTITUTE(SUBSTITUTE(SUBSTITUTE(SUBSTITUTE(SUBSTITUTE(SUBSTITUTE(SUBSTITUTE(SUBSTITUTE(SUBSTITUTE(TRIM($C80),"'",""),"İ","I"),"ı","I"),"i","I"),"Ş","S"),"ş","S"),"Ğ","G"),"ğ","G"),"Ü","U"),"ü","U"),"Ö","O"),"ö","O"),"Ç","C"),"ç","C"),".",""),",","")," ",""),"-","")))</f>
        <v/>
      </c>
    </row>
    <row r="81">
      <c r="A81" s="6" t="n"/>
      <c r="B81" s="113">
        <f>IF($C81="","",IFERROR(INDEX(MUSTERILER!$B$7:$B$106,MATCH($T81,MUSTERILER!$T$7:$T$106,0)),IFERROR(INDEX(MUSTERILER!$B$7:$B$106,MATCH($C81,MUSTERILER!$B$7:$B$106,0)),IFERROR(INDEX(MUSTERILER!$B$7:$B$106,MATCH($T81&amp;"*",MUSTERILER!$T$7:$T$106,0)),"TANIMSIZ MÜŞTERİ"))))</f>
        <v/>
      </c>
      <c r="C81" s="109" t="n"/>
      <c r="D81" s="220" t="n"/>
      <c r="E81" s="220" t="n"/>
      <c r="F81" s="108" t="n"/>
      <c r="G81" s="221" t="n"/>
      <c r="H81" s="108" t="n"/>
      <c r="I81" s="222">
        <f>IF(OR($C81="",$D81="",$G81="",$F81=""),0,$G81*IF($F81="Aylık",MAX(0,(YEAR(MIN(IF($E81="",TODAY(),$E81),TODAY()))-YEAR($D81))*12+MONTH(MIN(IF($E81="",TODAY(),$E81),TODAY()))-MONTH($D81)+IF(MIN(IF($E81="",TODAY(),$E81),TODAY())&gt;=EOMONTH(MIN(IF($E81="",TODAY(),$E81),TODAY()),0),1,0)),MAX(0,INT((MIN(IF($E81="",TODAY(),$E81),TODAY())-($D81+MOD(SISTEM!$F$8-WEEKDAY($D81,2),7)))/7)+1)))</f>
        <v/>
      </c>
      <c r="J81" s="222">
        <f>IF(OR($C81="",$D81="",$G81="",$F81=""),0,$G81*IF($F81="Aylık",MAX(0,(YEAR(MIN(IF($E81="",TODAY()-8,$E81),TODAY()-8))-YEAR($D81))*12+MONTH(MIN(IF($E81="",TODAY()-8,$E81),TODAY()-8))-MONTH($D81)+IF(MIN(IF($E81="",TODAY()-8,$E81),TODAY()-8)&gt;=EOMONTH(MIN(IF($E81="",TODAY()-8,$E81),TODAY()-8),0),1,0)),MAX(0,INT((MIN(IF($E81="",TODAY()-8,$E81),TODAY()-8)-($D81+MOD(SISTEM!$F$8-WEEKDAY($D81,2),7)))/7)+1)))</f>
        <v/>
      </c>
      <c r="K81" s="222">
        <f>IF(OR($C81="",$D81="",$G81="",$F81=""),0,$G81*IF($F81="Aylık",MAX(0,(YEAR(MIN(IF($E81="",TODAY()-15,$E81),TODAY()-15))-YEAR($D81))*12+MONTH(MIN(IF($E81="",TODAY()-15,$E81),TODAY()-15))-MONTH($D81)+IF(MIN(IF($E81="",TODAY()-15,$E81),TODAY()-15)&gt;=EOMONTH(MIN(IF($E81="",TODAY()-15,$E81),TODAY()-15),0),1,0)),MAX(0,INT((MIN(IF($E81="",TODAY()-15,$E81),TODAY()-15)-($D81+MOD(SISTEM!$F$8-WEEKDAY($D81,2),7)))/7)+1)))</f>
        <v/>
      </c>
      <c r="L81" s="222">
        <f>IF(OR($C81="",$D81="",$G81="",$F81=""),0,$G81*IF($F81="Aylık",MAX(0,(YEAR(MIN(IF($E81="",TODAY()-29,$E81),TODAY()-29))-YEAR($D81))*12+MONTH(MIN(IF($E81="",TODAY()-29,$E81),TODAY()-29))-MONTH($D81)+IF(MIN(IF($E81="",TODAY()-29,$E81),TODAY()-29)&gt;=EOMONTH(MIN(IF($E81="",TODAY()-29,$E81),TODAY()-29),0),1,0)),MAX(0,INT((MIN(IF($E81="",TODAY()-29,$E81),TODAY()-29)-($D81+MOD(SISTEM!$F$8-WEEKDAY($D81,2),7)))/7)+1)))</f>
        <v/>
      </c>
      <c r="M81" s="223">
        <f>IF($G81&gt;0,$I81/$G81,0)</f>
        <v/>
      </c>
      <c r="N81" s="113">
        <f>IF($C81="","",IF($B81="TANIMSIZ MÜŞTERİ","TANIMSIZ MÜŞTERİ",IF($F81="","MODEL SEÇİN",IF(OR($D81="",$G81&lt;=0),"EKSİK",IF(AND($E81&lt;&gt;"",$E81&lt;$D81),"TARİH HATASI",IF($H81="Pasif","KAPALI DÖNEM","UYGUN"))))))</f>
        <v/>
      </c>
      <c r="O81" s="224">
        <f>IF(OR($C81="",$D81="",$F81=""),"",IF($F81="Aylık",EOMONTH($D81,0),($D81+MOD(SISTEM!$F$8-WEEKDAY($D81,2),7))))</f>
        <v/>
      </c>
      <c r="P81" s="109" t="n"/>
      <c r="Q81" s="6" t="n"/>
      <c r="R81" s="6" t="n"/>
      <c r="S81" s="3">
        <f>IF($B81="","",$B81&amp;"|"&amp;COUNTIFS($B$7:$B81,$B81))</f>
        <v/>
      </c>
      <c r="T81" s="3">
        <f>IF($C81="","",UPPER(SUBSTITUTE(SUBSTITUTE(SUBSTITUTE(SUBSTITUTE(SUBSTITUTE(SUBSTITUTE(SUBSTITUTE(SUBSTITUTE(SUBSTITUTE(SUBSTITUTE(SUBSTITUTE(SUBSTITUTE(SUBSTITUTE(SUBSTITUTE(SUBSTITUTE(SUBSTITUTE(SUBSTITUTE(SUBSTITUTE(TRIM($C81),"'",""),"İ","I"),"ı","I"),"i","I"),"Ş","S"),"ş","S"),"Ğ","G"),"ğ","G"),"Ü","U"),"ü","U"),"Ö","O"),"ö","O"),"Ç","C"),"ç","C"),".",""),",","")," ",""),"-","")))</f>
        <v/>
      </c>
    </row>
    <row r="82">
      <c r="A82" s="6" t="n"/>
      <c r="B82" s="113">
        <f>IF($C82="","",IFERROR(INDEX(MUSTERILER!$B$7:$B$106,MATCH($T82,MUSTERILER!$T$7:$T$106,0)),IFERROR(INDEX(MUSTERILER!$B$7:$B$106,MATCH($C82,MUSTERILER!$B$7:$B$106,0)),IFERROR(INDEX(MUSTERILER!$B$7:$B$106,MATCH($T82&amp;"*",MUSTERILER!$T$7:$T$106,0)),"TANIMSIZ MÜŞTERİ"))))</f>
        <v/>
      </c>
      <c r="C82" s="109" t="n"/>
      <c r="D82" s="220" t="n"/>
      <c r="E82" s="220" t="n"/>
      <c r="F82" s="108" t="n"/>
      <c r="G82" s="221" t="n"/>
      <c r="H82" s="108" t="n"/>
      <c r="I82" s="222">
        <f>IF(OR($C82="",$D82="",$G82="",$F82=""),0,$G82*IF($F82="Aylık",MAX(0,(YEAR(MIN(IF($E82="",TODAY(),$E82),TODAY()))-YEAR($D82))*12+MONTH(MIN(IF($E82="",TODAY(),$E82),TODAY()))-MONTH($D82)+IF(MIN(IF($E82="",TODAY(),$E82),TODAY())&gt;=EOMONTH(MIN(IF($E82="",TODAY(),$E82),TODAY()),0),1,0)),MAX(0,INT((MIN(IF($E82="",TODAY(),$E82),TODAY())-($D82+MOD(SISTEM!$F$8-WEEKDAY($D82,2),7)))/7)+1)))</f>
        <v/>
      </c>
      <c r="J82" s="222">
        <f>IF(OR($C82="",$D82="",$G82="",$F82=""),0,$G82*IF($F82="Aylık",MAX(0,(YEAR(MIN(IF($E82="",TODAY()-8,$E82),TODAY()-8))-YEAR($D82))*12+MONTH(MIN(IF($E82="",TODAY()-8,$E82),TODAY()-8))-MONTH($D82)+IF(MIN(IF($E82="",TODAY()-8,$E82),TODAY()-8)&gt;=EOMONTH(MIN(IF($E82="",TODAY()-8,$E82),TODAY()-8),0),1,0)),MAX(0,INT((MIN(IF($E82="",TODAY()-8,$E82),TODAY()-8)-($D82+MOD(SISTEM!$F$8-WEEKDAY($D82,2),7)))/7)+1)))</f>
        <v/>
      </c>
      <c r="K82" s="222">
        <f>IF(OR($C82="",$D82="",$G82="",$F82=""),0,$G82*IF($F82="Aylık",MAX(0,(YEAR(MIN(IF($E82="",TODAY()-15,$E82),TODAY()-15))-YEAR($D82))*12+MONTH(MIN(IF($E82="",TODAY()-15,$E82),TODAY()-15))-MONTH($D82)+IF(MIN(IF($E82="",TODAY()-15,$E82),TODAY()-15)&gt;=EOMONTH(MIN(IF($E82="",TODAY()-15,$E82),TODAY()-15),0),1,0)),MAX(0,INT((MIN(IF($E82="",TODAY()-15,$E82),TODAY()-15)-($D82+MOD(SISTEM!$F$8-WEEKDAY($D82,2),7)))/7)+1)))</f>
        <v/>
      </c>
      <c r="L82" s="222">
        <f>IF(OR($C82="",$D82="",$G82="",$F82=""),0,$G82*IF($F82="Aylık",MAX(0,(YEAR(MIN(IF($E82="",TODAY()-29,$E82),TODAY()-29))-YEAR($D82))*12+MONTH(MIN(IF($E82="",TODAY()-29,$E82),TODAY()-29))-MONTH($D82)+IF(MIN(IF($E82="",TODAY()-29,$E82),TODAY()-29)&gt;=EOMONTH(MIN(IF($E82="",TODAY()-29,$E82),TODAY()-29),0),1,0)),MAX(0,INT((MIN(IF($E82="",TODAY()-29,$E82),TODAY()-29)-($D82+MOD(SISTEM!$F$8-WEEKDAY($D82,2),7)))/7)+1)))</f>
        <v/>
      </c>
      <c r="M82" s="223">
        <f>IF($G82&gt;0,$I82/$G82,0)</f>
        <v/>
      </c>
      <c r="N82" s="113">
        <f>IF($C82="","",IF($B82="TANIMSIZ MÜŞTERİ","TANIMSIZ MÜŞTERİ",IF($F82="","MODEL SEÇİN",IF(OR($D82="",$G82&lt;=0),"EKSİK",IF(AND($E82&lt;&gt;"",$E82&lt;$D82),"TARİH HATASI",IF($H82="Pasif","KAPALI DÖNEM","UYGUN"))))))</f>
        <v/>
      </c>
      <c r="O82" s="224">
        <f>IF(OR($C82="",$D82="",$F82=""),"",IF($F82="Aylık",EOMONTH($D82,0),($D82+MOD(SISTEM!$F$8-WEEKDAY($D82,2),7))))</f>
        <v/>
      </c>
      <c r="P82" s="109" t="n"/>
      <c r="Q82" s="6" t="n"/>
      <c r="R82" s="6" t="n"/>
      <c r="S82" s="3">
        <f>IF($B82="","",$B82&amp;"|"&amp;COUNTIFS($B$7:$B82,$B82))</f>
        <v/>
      </c>
      <c r="T82" s="3">
        <f>IF($C82="","",UPPER(SUBSTITUTE(SUBSTITUTE(SUBSTITUTE(SUBSTITUTE(SUBSTITUTE(SUBSTITUTE(SUBSTITUTE(SUBSTITUTE(SUBSTITUTE(SUBSTITUTE(SUBSTITUTE(SUBSTITUTE(SUBSTITUTE(SUBSTITUTE(SUBSTITUTE(SUBSTITUTE(SUBSTITUTE(SUBSTITUTE(TRIM($C82),"'",""),"İ","I"),"ı","I"),"i","I"),"Ş","S"),"ş","S"),"Ğ","G"),"ğ","G"),"Ü","U"),"ü","U"),"Ö","O"),"ö","O"),"Ç","C"),"ç","C"),".",""),",","")," ",""),"-","")))</f>
        <v/>
      </c>
    </row>
    <row r="83">
      <c r="A83" s="6" t="n"/>
      <c r="B83" s="113">
        <f>IF($C83="","",IFERROR(INDEX(MUSTERILER!$B$7:$B$106,MATCH($T83,MUSTERILER!$T$7:$T$106,0)),IFERROR(INDEX(MUSTERILER!$B$7:$B$106,MATCH($C83,MUSTERILER!$B$7:$B$106,0)),IFERROR(INDEX(MUSTERILER!$B$7:$B$106,MATCH($T83&amp;"*",MUSTERILER!$T$7:$T$106,0)),"TANIMSIZ MÜŞTERİ"))))</f>
        <v/>
      </c>
      <c r="C83" s="109" t="n"/>
      <c r="D83" s="220" t="n"/>
      <c r="E83" s="220" t="n"/>
      <c r="F83" s="108" t="n"/>
      <c r="G83" s="221" t="n"/>
      <c r="H83" s="108" t="n"/>
      <c r="I83" s="222">
        <f>IF(OR($C83="",$D83="",$G83="",$F83=""),0,$G83*IF($F83="Aylık",MAX(0,(YEAR(MIN(IF($E83="",TODAY(),$E83),TODAY()))-YEAR($D83))*12+MONTH(MIN(IF($E83="",TODAY(),$E83),TODAY()))-MONTH($D83)+IF(MIN(IF($E83="",TODAY(),$E83),TODAY())&gt;=EOMONTH(MIN(IF($E83="",TODAY(),$E83),TODAY()),0),1,0)),MAX(0,INT((MIN(IF($E83="",TODAY(),$E83),TODAY())-($D83+MOD(SISTEM!$F$8-WEEKDAY($D83,2),7)))/7)+1)))</f>
        <v/>
      </c>
      <c r="J83" s="222">
        <f>IF(OR($C83="",$D83="",$G83="",$F83=""),0,$G83*IF($F83="Aylık",MAX(0,(YEAR(MIN(IF($E83="",TODAY()-8,$E83),TODAY()-8))-YEAR($D83))*12+MONTH(MIN(IF($E83="",TODAY()-8,$E83),TODAY()-8))-MONTH($D83)+IF(MIN(IF($E83="",TODAY()-8,$E83),TODAY()-8)&gt;=EOMONTH(MIN(IF($E83="",TODAY()-8,$E83),TODAY()-8),0),1,0)),MAX(0,INT((MIN(IF($E83="",TODAY()-8,$E83),TODAY()-8)-($D83+MOD(SISTEM!$F$8-WEEKDAY($D83,2),7)))/7)+1)))</f>
        <v/>
      </c>
      <c r="K83" s="222">
        <f>IF(OR($C83="",$D83="",$G83="",$F83=""),0,$G83*IF($F83="Aylık",MAX(0,(YEAR(MIN(IF($E83="",TODAY()-15,$E83),TODAY()-15))-YEAR($D83))*12+MONTH(MIN(IF($E83="",TODAY()-15,$E83),TODAY()-15))-MONTH($D83)+IF(MIN(IF($E83="",TODAY()-15,$E83),TODAY()-15)&gt;=EOMONTH(MIN(IF($E83="",TODAY()-15,$E83),TODAY()-15),0),1,0)),MAX(0,INT((MIN(IF($E83="",TODAY()-15,$E83),TODAY()-15)-($D83+MOD(SISTEM!$F$8-WEEKDAY($D83,2),7)))/7)+1)))</f>
        <v/>
      </c>
      <c r="L83" s="222">
        <f>IF(OR($C83="",$D83="",$G83="",$F83=""),0,$G83*IF($F83="Aylık",MAX(0,(YEAR(MIN(IF($E83="",TODAY()-29,$E83),TODAY()-29))-YEAR($D83))*12+MONTH(MIN(IF($E83="",TODAY()-29,$E83),TODAY()-29))-MONTH($D83)+IF(MIN(IF($E83="",TODAY()-29,$E83),TODAY()-29)&gt;=EOMONTH(MIN(IF($E83="",TODAY()-29,$E83),TODAY()-29),0),1,0)),MAX(0,INT((MIN(IF($E83="",TODAY()-29,$E83),TODAY()-29)-($D83+MOD(SISTEM!$F$8-WEEKDAY($D83,2),7)))/7)+1)))</f>
        <v/>
      </c>
      <c r="M83" s="223">
        <f>IF($G83&gt;0,$I83/$G83,0)</f>
        <v/>
      </c>
      <c r="N83" s="113">
        <f>IF($C83="","",IF($B83="TANIMSIZ MÜŞTERİ","TANIMSIZ MÜŞTERİ",IF($F83="","MODEL SEÇİN",IF(OR($D83="",$G83&lt;=0),"EKSİK",IF(AND($E83&lt;&gt;"",$E83&lt;$D83),"TARİH HATASI",IF($H83="Pasif","KAPALI DÖNEM","UYGUN"))))))</f>
        <v/>
      </c>
      <c r="O83" s="224">
        <f>IF(OR($C83="",$D83="",$F83=""),"",IF($F83="Aylık",EOMONTH($D83,0),($D83+MOD(SISTEM!$F$8-WEEKDAY($D83,2),7))))</f>
        <v/>
      </c>
      <c r="P83" s="109" t="n"/>
      <c r="Q83" s="6" t="n"/>
      <c r="R83" s="6" t="n"/>
      <c r="S83" s="3">
        <f>IF($B83="","",$B83&amp;"|"&amp;COUNTIFS($B$7:$B83,$B83))</f>
        <v/>
      </c>
      <c r="T83" s="3">
        <f>IF($C83="","",UPPER(SUBSTITUTE(SUBSTITUTE(SUBSTITUTE(SUBSTITUTE(SUBSTITUTE(SUBSTITUTE(SUBSTITUTE(SUBSTITUTE(SUBSTITUTE(SUBSTITUTE(SUBSTITUTE(SUBSTITUTE(SUBSTITUTE(SUBSTITUTE(SUBSTITUTE(SUBSTITUTE(SUBSTITUTE(SUBSTITUTE(TRIM($C83),"'",""),"İ","I"),"ı","I"),"i","I"),"Ş","S"),"ş","S"),"Ğ","G"),"ğ","G"),"Ü","U"),"ü","U"),"Ö","O"),"ö","O"),"Ç","C"),"ç","C"),".",""),",","")," ",""),"-","")))</f>
        <v/>
      </c>
    </row>
    <row r="84">
      <c r="A84" s="6" t="n"/>
      <c r="B84" s="113">
        <f>IF($C84="","",IFERROR(INDEX(MUSTERILER!$B$7:$B$106,MATCH($T84,MUSTERILER!$T$7:$T$106,0)),IFERROR(INDEX(MUSTERILER!$B$7:$B$106,MATCH($C84,MUSTERILER!$B$7:$B$106,0)),IFERROR(INDEX(MUSTERILER!$B$7:$B$106,MATCH($T84&amp;"*",MUSTERILER!$T$7:$T$106,0)),"TANIMSIZ MÜŞTERİ"))))</f>
        <v/>
      </c>
      <c r="C84" s="109" t="n"/>
      <c r="D84" s="220" t="n"/>
      <c r="E84" s="220" t="n"/>
      <c r="F84" s="108" t="n"/>
      <c r="G84" s="221" t="n"/>
      <c r="H84" s="108" t="n"/>
      <c r="I84" s="222">
        <f>IF(OR($C84="",$D84="",$G84="",$F84=""),0,$G84*IF($F84="Aylık",MAX(0,(YEAR(MIN(IF($E84="",TODAY(),$E84),TODAY()))-YEAR($D84))*12+MONTH(MIN(IF($E84="",TODAY(),$E84),TODAY()))-MONTH($D84)+IF(MIN(IF($E84="",TODAY(),$E84),TODAY())&gt;=EOMONTH(MIN(IF($E84="",TODAY(),$E84),TODAY()),0),1,0)),MAX(0,INT((MIN(IF($E84="",TODAY(),$E84),TODAY())-($D84+MOD(SISTEM!$F$8-WEEKDAY($D84,2),7)))/7)+1)))</f>
        <v/>
      </c>
      <c r="J84" s="222">
        <f>IF(OR($C84="",$D84="",$G84="",$F84=""),0,$G84*IF($F84="Aylık",MAX(0,(YEAR(MIN(IF($E84="",TODAY()-8,$E84),TODAY()-8))-YEAR($D84))*12+MONTH(MIN(IF($E84="",TODAY()-8,$E84),TODAY()-8))-MONTH($D84)+IF(MIN(IF($E84="",TODAY()-8,$E84),TODAY()-8)&gt;=EOMONTH(MIN(IF($E84="",TODAY()-8,$E84),TODAY()-8),0),1,0)),MAX(0,INT((MIN(IF($E84="",TODAY()-8,$E84),TODAY()-8)-($D84+MOD(SISTEM!$F$8-WEEKDAY($D84,2),7)))/7)+1)))</f>
        <v/>
      </c>
      <c r="K84" s="222">
        <f>IF(OR($C84="",$D84="",$G84="",$F84=""),0,$G84*IF($F84="Aylık",MAX(0,(YEAR(MIN(IF($E84="",TODAY()-15,$E84),TODAY()-15))-YEAR($D84))*12+MONTH(MIN(IF($E84="",TODAY()-15,$E84),TODAY()-15))-MONTH($D84)+IF(MIN(IF($E84="",TODAY()-15,$E84),TODAY()-15)&gt;=EOMONTH(MIN(IF($E84="",TODAY()-15,$E84),TODAY()-15),0),1,0)),MAX(0,INT((MIN(IF($E84="",TODAY()-15,$E84),TODAY()-15)-($D84+MOD(SISTEM!$F$8-WEEKDAY($D84,2),7)))/7)+1)))</f>
        <v/>
      </c>
      <c r="L84" s="222">
        <f>IF(OR($C84="",$D84="",$G84="",$F84=""),0,$G84*IF($F84="Aylık",MAX(0,(YEAR(MIN(IF($E84="",TODAY()-29,$E84),TODAY()-29))-YEAR($D84))*12+MONTH(MIN(IF($E84="",TODAY()-29,$E84),TODAY()-29))-MONTH($D84)+IF(MIN(IF($E84="",TODAY()-29,$E84),TODAY()-29)&gt;=EOMONTH(MIN(IF($E84="",TODAY()-29,$E84),TODAY()-29),0),1,0)),MAX(0,INT((MIN(IF($E84="",TODAY()-29,$E84),TODAY()-29)-($D84+MOD(SISTEM!$F$8-WEEKDAY($D84,2),7)))/7)+1)))</f>
        <v/>
      </c>
      <c r="M84" s="223">
        <f>IF($G84&gt;0,$I84/$G84,0)</f>
        <v/>
      </c>
      <c r="N84" s="113">
        <f>IF($C84="","",IF($B84="TANIMSIZ MÜŞTERİ","TANIMSIZ MÜŞTERİ",IF($F84="","MODEL SEÇİN",IF(OR($D84="",$G84&lt;=0),"EKSİK",IF(AND($E84&lt;&gt;"",$E84&lt;$D84),"TARİH HATASI",IF($H84="Pasif","KAPALI DÖNEM","UYGUN"))))))</f>
        <v/>
      </c>
      <c r="O84" s="224">
        <f>IF(OR($C84="",$D84="",$F84=""),"",IF($F84="Aylık",EOMONTH($D84,0),($D84+MOD(SISTEM!$F$8-WEEKDAY($D84,2),7))))</f>
        <v/>
      </c>
      <c r="P84" s="109" t="n"/>
      <c r="Q84" s="6" t="n"/>
      <c r="R84" s="6" t="n"/>
      <c r="S84" s="3">
        <f>IF($B84="","",$B84&amp;"|"&amp;COUNTIFS($B$7:$B84,$B84))</f>
        <v/>
      </c>
      <c r="T84" s="3">
        <f>IF($C84="","",UPPER(SUBSTITUTE(SUBSTITUTE(SUBSTITUTE(SUBSTITUTE(SUBSTITUTE(SUBSTITUTE(SUBSTITUTE(SUBSTITUTE(SUBSTITUTE(SUBSTITUTE(SUBSTITUTE(SUBSTITUTE(SUBSTITUTE(SUBSTITUTE(SUBSTITUTE(SUBSTITUTE(SUBSTITUTE(SUBSTITUTE(TRIM($C84),"'",""),"İ","I"),"ı","I"),"i","I"),"Ş","S"),"ş","S"),"Ğ","G"),"ğ","G"),"Ü","U"),"ü","U"),"Ö","O"),"ö","O"),"Ç","C"),"ç","C"),".",""),",","")," ",""),"-","")))</f>
        <v/>
      </c>
    </row>
    <row r="85">
      <c r="A85" s="6" t="n"/>
      <c r="B85" s="113">
        <f>IF($C85="","",IFERROR(INDEX(MUSTERILER!$B$7:$B$106,MATCH($T85,MUSTERILER!$T$7:$T$106,0)),IFERROR(INDEX(MUSTERILER!$B$7:$B$106,MATCH($C85,MUSTERILER!$B$7:$B$106,0)),IFERROR(INDEX(MUSTERILER!$B$7:$B$106,MATCH($T85&amp;"*",MUSTERILER!$T$7:$T$106,0)),"TANIMSIZ MÜŞTERİ"))))</f>
        <v/>
      </c>
      <c r="C85" s="109" t="n"/>
      <c r="D85" s="220" t="n"/>
      <c r="E85" s="220" t="n"/>
      <c r="F85" s="108" t="n"/>
      <c r="G85" s="221" t="n"/>
      <c r="H85" s="108" t="n"/>
      <c r="I85" s="222">
        <f>IF(OR($C85="",$D85="",$G85="",$F85=""),0,$G85*IF($F85="Aylık",MAX(0,(YEAR(MIN(IF($E85="",TODAY(),$E85),TODAY()))-YEAR($D85))*12+MONTH(MIN(IF($E85="",TODAY(),$E85),TODAY()))-MONTH($D85)+IF(MIN(IF($E85="",TODAY(),$E85),TODAY())&gt;=EOMONTH(MIN(IF($E85="",TODAY(),$E85),TODAY()),0),1,0)),MAX(0,INT((MIN(IF($E85="",TODAY(),$E85),TODAY())-($D85+MOD(SISTEM!$F$8-WEEKDAY($D85,2),7)))/7)+1)))</f>
        <v/>
      </c>
      <c r="J85" s="222">
        <f>IF(OR($C85="",$D85="",$G85="",$F85=""),0,$G85*IF($F85="Aylık",MAX(0,(YEAR(MIN(IF($E85="",TODAY()-8,$E85),TODAY()-8))-YEAR($D85))*12+MONTH(MIN(IF($E85="",TODAY()-8,$E85),TODAY()-8))-MONTH($D85)+IF(MIN(IF($E85="",TODAY()-8,$E85),TODAY()-8)&gt;=EOMONTH(MIN(IF($E85="",TODAY()-8,$E85),TODAY()-8),0),1,0)),MAX(0,INT((MIN(IF($E85="",TODAY()-8,$E85),TODAY()-8)-($D85+MOD(SISTEM!$F$8-WEEKDAY($D85,2),7)))/7)+1)))</f>
        <v/>
      </c>
      <c r="K85" s="222">
        <f>IF(OR($C85="",$D85="",$G85="",$F85=""),0,$G85*IF($F85="Aylık",MAX(0,(YEAR(MIN(IF($E85="",TODAY()-15,$E85),TODAY()-15))-YEAR($D85))*12+MONTH(MIN(IF($E85="",TODAY()-15,$E85),TODAY()-15))-MONTH($D85)+IF(MIN(IF($E85="",TODAY()-15,$E85),TODAY()-15)&gt;=EOMONTH(MIN(IF($E85="",TODAY()-15,$E85),TODAY()-15),0),1,0)),MAX(0,INT((MIN(IF($E85="",TODAY()-15,$E85),TODAY()-15)-($D85+MOD(SISTEM!$F$8-WEEKDAY($D85,2),7)))/7)+1)))</f>
        <v/>
      </c>
      <c r="L85" s="222">
        <f>IF(OR($C85="",$D85="",$G85="",$F85=""),0,$G85*IF($F85="Aylık",MAX(0,(YEAR(MIN(IF($E85="",TODAY()-29,$E85),TODAY()-29))-YEAR($D85))*12+MONTH(MIN(IF($E85="",TODAY()-29,$E85),TODAY()-29))-MONTH($D85)+IF(MIN(IF($E85="",TODAY()-29,$E85),TODAY()-29)&gt;=EOMONTH(MIN(IF($E85="",TODAY()-29,$E85),TODAY()-29),0),1,0)),MAX(0,INT((MIN(IF($E85="",TODAY()-29,$E85),TODAY()-29)-($D85+MOD(SISTEM!$F$8-WEEKDAY($D85,2),7)))/7)+1)))</f>
        <v/>
      </c>
      <c r="M85" s="223">
        <f>IF($G85&gt;0,$I85/$G85,0)</f>
        <v/>
      </c>
      <c r="N85" s="113">
        <f>IF($C85="","",IF($B85="TANIMSIZ MÜŞTERİ","TANIMSIZ MÜŞTERİ",IF($F85="","MODEL SEÇİN",IF(OR($D85="",$G85&lt;=0),"EKSİK",IF(AND($E85&lt;&gt;"",$E85&lt;$D85),"TARİH HATASI",IF($H85="Pasif","KAPALI DÖNEM","UYGUN"))))))</f>
        <v/>
      </c>
      <c r="O85" s="224">
        <f>IF(OR($C85="",$D85="",$F85=""),"",IF($F85="Aylık",EOMONTH($D85,0),($D85+MOD(SISTEM!$F$8-WEEKDAY($D85,2),7))))</f>
        <v/>
      </c>
      <c r="P85" s="109" t="n"/>
      <c r="Q85" s="6" t="n"/>
      <c r="R85" s="6" t="n"/>
      <c r="S85" s="3">
        <f>IF($B85="","",$B85&amp;"|"&amp;COUNTIFS($B$7:$B85,$B85))</f>
        <v/>
      </c>
      <c r="T85" s="3">
        <f>IF($C85="","",UPPER(SUBSTITUTE(SUBSTITUTE(SUBSTITUTE(SUBSTITUTE(SUBSTITUTE(SUBSTITUTE(SUBSTITUTE(SUBSTITUTE(SUBSTITUTE(SUBSTITUTE(SUBSTITUTE(SUBSTITUTE(SUBSTITUTE(SUBSTITUTE(SUBSTITUTE(SUBSTITUTE(SUBSTITUTE(SUBSTITUTE(TRIM($C85),"'",""),"İ","I"),"ı","I"),"i","I"),"Ş","S"),"ş","S"),"Ğ","G"),"ğ","G"),"Ü","U"),"ü","U"),"Ö","O"),"ö","O"),"Ç","C"),"ç","C"),".",""),",","")," ",""),"-","")))</f>
        <v/>
      </c>
    </row>
    <row r="86">
      <c r="A86" s="6" t="n"/>
      <c r="B86" s="113">
        <f>IF($C86="","",IFERROR(INDEX(MUSTERILER!$B$7:$B$106,MATCH($T86,MUSTERILER!$T$7:$T$106,0)),IFERROR(INDEX(MUSTERILER!$B$7:$B$106,MATCH($C86,MUSTERILER!$B$7:$B$106,0)),IFERROR(INDEX(MUSTERILER!$B$7:$B$106,MATCH($T86&amp;"*",MUSTERILER!$T$7:$T$106,0)),"TANIMSIZ MÜŞTERİ"))))</f>
        <v/>
      </c>
      <c r="C86" s="109" t="n"/>
      <c r="D86" s="220" t="n"/>
      <c r="E86" s="220" t="n"/>
      <c r="F86" s="108" t="n"/>
      <c r="G86" s="221" t="n"/>
      <c r="H86" s="108" t="n"/>
      <c r="I86" s="222">
        <f>IF(OR($C86="",$D86="",$G86="",$F86=""),0,$G86*IF($F86="Aylık",MAX(0,(YEAR(MIN(IF($E86="",TODAY(),$E86),TODAY()))-YEAR($D86))*12+MONTH(MIN(IF($E86="",TODAY(),$E86),TODAY()))-MONTH($D86)+IF(MIN(IF($E86="",TODAY(),$E86),TODAY())&gt;=EOMONTH(MIN(IF($E86="",TODAY(),$E86),TODAY()),0),1,0)),MAX(0,INT((MIN(IF($E86="",TODAY(),$E86),TODAY())-($D86+MOD(SISTEM!$F$8-WEEKDAY($D86,2),7)))/7)+1)))</f>
        <v/>
      </c>
      <c r="J86" s="222">
        <f>IF(OR($C86="",$D86="",$G86="",$F86=""),0,$G86*IF($F86="Aylık",MAX(0,(YEAR(MIN(IF($E86="",TODAY()-8,$E86),TODAY()-8))-YEAR($D86))*12+MONTH(MIN(IF($E86="",TODAY()-8,$E86),TODAY()-8))-MONTH($D86)+IF(MIN(IF($E86="",TODAY()-8,$E86),TODAY()-8)&gt;=EOMONTH(MIN(IF($E86="",TODAY()-8,$E86),TODAY()-8),0),1,0)),MAX(0,INT((MIN(IF($E86="",TODAY()-8,$E86),TODAY()-8)-($D86+MOD(SISTEM!$F$8-WEEKDAY($D86,2),7)))/7)+1)))</f>
        <v/>
      </c>
      <c r="K86" s="222">
        <f>IF(OR($C86="",$D86="",$G86="",$F86=""),0,$G86*IF($F86="Aylık",MAX(0,(YEAR(MIN(IF($E86="",TODAY()-15,$E86),TODAY()-15))-YEAR($D86))*12+MONTH(MIN(IF($E86="",TODAY()-15,$E86),TODAY()-15))-MONTH($D86)+IF(MIN(IF($E86="",TODAY()-15,$E86),TODAY()-15)&gt;=EOMONTH(MIN(IF($E86="",TODAY()-15,$E86),TODAY()-15),0),1,0)),MAX(0,INT((MIN(IF($E86="",TODAY()-15,$E86),TODAY()-15)-($D86+MOD(SISTEM!$F$8-WEEKDAY($D86,2),7)))/7)+1)))</f>
        <v/>
      </c>
      <c r="L86" s="222">
        <f>IF(OR($C86="",$D86="",$G86="",$F86=""),0,$G86*IF($F86="Aylık",MAX(0,(YEAR(MIN(IF($E86="",TODAY()-29,$E86),TODAY()-29))-YEAR($D86))*12+MONTH(MIN(IF($E86="",TODAY()-29,$E86),TODAY()-29))-MONTH($D86)+IF(MIN(IF($E86="",TODAY()-29,$E86),TODAY()-29)&gt;=EOMONTH(MIN(IF($E86="",TODAY()-29,$E86),TODAY()-29),0),1,0)),MAX(0,INT((MIN(IF($E86="",TODAY()-29,$E86),TODAY()-29)-($D86+MOD(SISTEM!$F$8-WEEKDAY($D86,2),7)))/7)+1)))</f>
        <v/>
      </c>
      <c r="M86" s="223">
        <f>IF($G86&gt;0,$I86/$G86,0)</f>
        <v/>
      </c>
      <c r="N86" s="113">
        <f>IF($C86="","",IF($B86="TANIMSIZ MÜŞTERİ","TANIMSIZ MÜŞTERİ",IF($F86="","MODEL SEÇİN",IF(OR($D86="",$G86&lt;=0),"EKSİK",IF(AND($E86&lt;&gt;"",$E86&lt;$D86),"TARİH HATASI",IF($H86="Pasif","KAPALI DÖNEM","UYGUN"))))))</f>
        <v/>
      </c>
      <c r="O86" s="224">
        <f>IF(OR($C86="",$D86="",$F86=""),"",IF($F86="Aylık",EOMONTH($D86,0),($D86+MOD(SISTEM!$F$8-WEEKDAY($D86,2),7))))</f>
        <v/>
      </c>
      <c r="P86" s="109" t="n"/>
      <c r="Q86" s="6" t="n"/>
      <c r="R86" s="6" t="n"/>
      <c r="S86" s="3">
        <f>IF($B86="","",$B86&amp;"|"&amp;COUNTIFS($B$7:$B86,$B86))</f>
        <v/>
      </c>
      <c r="T86" s="3">
        <f>IF($C86="","",UPPER(SUBSTITUTE(SUBSTITUTE(SUBSTITUTE(SUBSTITUTE(SUBSTITUTE(SUBSTITUTE(SUBSTITUTE(SUBSTITUTE(SUBSTITUTE(SUBSTITUTE(SUBSTITUTE(SUBSTITUTE(SUBSTITUTE(SUBSTITUTE(SUBSTITUTE(SUBSTITUTE(SUBSTITUTE(SUBSTITUTE(TRIM($C86),"'",""),"İ","I"),"ı","I"),"i","I"),"Ş","S"),"ş","S"),"Ğ","G"),"ğ","G"),"Ü","U"),"ü","U"),"Ö","O"),"ö","O"),"Ç","C"),"ç","C"),".",""),",","")," ",""),"-","")))</f>
        <v/>
      </c>
    </row>
    <row r="87">
      <c r="A87" s="6" t="n"/>
      <c r="B87" s="113">
        <f>IF($C87="","",IFERROR(INDEX(MUSTERILER!$B$7:$B$106,MATCH($T87,MUSTERILER!$T$7:$T$106,0)),IFERROR(INDEX(MUSTERILER!$B$7:$B$106,MATCH($C87,MUSTERILER!$B$7:$B$106,0)),IFERROR(INDEX(MUSTERILER!$B$7:$B$106,MATCH($T87&amp;"*",MUSTERILER!$T$7:$T$106,0)),"TANIMSIZ MÜŞTERİ"))))</f>
        <v/>
      </c>
      <c r="C87" s="109" t="n"/>
      <c r="D87" s="220" t="n"/>
      <c r="E87" s="220" t="n"/>
      <c r="F87" s="108" t="n"/>
      <c r="G87" s="221" t="n"/>
      <c r="H87" s="108" t="n"/>
      <c r="I87" s="222">
        <f>IF(OR($C87="",$D87="",$G87="",$F87=""),0,$G87*IF($F87="Aylık",MAX(0,(YEAR(MIN(IF($E87="",TODAY(),$E87),TODAY()))-YEAR($D87))*12+MONTH(MIN(IF($E87="",TODAY(),$E87),TODAY()))-MONTH($D87)+IF(MIN(IF($E87="",TODAY(),$E87),TODAY())&gt;=EOMONTH(MIN(IF($E87="",TODAY(),$E87),TODAY()),0),1,0)),MAX(0,INT((MIN(IF($E87="",TODAY(),$E87),TODAY())-($D87+MOD(SISTEM!$F$8-WEEKDAY($D87,2),7)))/7)+1)))</f>
        <v/>
      </c>
      <c r="J87" s="222">
        <f>IF(OR($C87="",$D87="",$G87="",$F87=""),0,$G87*IF($F87="Aylık",MAX(0,(YEAR(MIN(IF($E87="",TODAY()-8,$E87),TODAY()-8))-YEAR($D87))*12+MONTH(MIN(IF($E87="",TODAY()-8,$E87),TODAY()-8))-MONTH($D87)+IF(MIN(IF($E87="",TODAY()-8,$E87),TODAY()-8)&gt;=EOMONTH(MIN(IF($E87="",TODAY()-8,$E87),TODAY()-8),0),1,0)),MAX(0,INT((MIN(IF($E87="",TODAY()-8,$E87),TODAY()-8)-($D87+MOD(SISTEM!$F$8-WEEKDAY($D87,2),7)))/7)+1)))</f>
        <v/>
      </c>
      <c r="K87" s="222">
        <f>IF(OR($C87="",$D87="",$G87="",$F87=""),0,$G87*IF($F87="Aylık",MAX(0,(YEAR(MIN(IF($E87="",TODAY()-15,$E87),TODAY()-15))-YEAR($D87))*12+MONTH(MIN(IF($E87="",TODAY()-15,$E87),TODAY()-15))-MONTH($D87)+IF(MIN(IF($E87="",TODAY()-15,$E87),TODAY()-15)&gt;=EOMONTH(MIN(IF($E87="",TODAY()-15,$E87),TODAY()-15),0),1,0)),MAX(0,INT((MIN(IF($E87="",TODAY()-15,$E87),TODAY()-15)-($D87+MOD(SISTEM!$F$8-WEEKDAY($D87,2),7)))/7)+1)))</f>
        <v/>
      </c>
      <c r="L87" s="222">
        <f>IF(OR($C87="",$D87="",$G87="",$F87=""),0,$G87*IF($F87="Aylık",MAX(0,(YEAR(MIN(IF($E87="",TODAY()-29,$E87),TODAY()-29))-YEAR($D87))*12+MONTH(MIN(IF($E87="",TODAY()-29,$E87),TODAY()-29))-MONTH($D87)+IF(MIN(IF($E87="",TODAY()-29,$E87),TODAY()-29)&gt;=EOMONTH(MIN(IF($E87="",TODAY()-29,$E87),TODAY()-29),0),1,0)),MAX(0,INT((MIN(IF($E87="",TODAY()-29,$E87),TODAY()-29)-($D87+MOD(SISTEM!$F$8-WEEKDAY($D87,2),7)))/7)+1)))</f>
        <v/>
      </c>
      <c r="M87" s="223">
        <f>IF($G87&gt;0,$I87/$G87,0)</f>
        <v/>
      </c>
      <c r="N87" s="113">
        <f>IF($C87="","",IF($B87="TANIMSIZ MÜŞTERİ","TANIMSIZ MÜŞTERİ",IF($F87="","MODEL SEÇİN",IF(OR($D87="",$G87&lt;=0),"EKSİK",IF(AND($E87&lt;&gt;"",$E87&lt;$D87),"TARİH HATASI",IF($H87="Pasif","KAPALI DÖNEM","UYGUN"))))))</f>
        <v/>
      </c>
      <c r="O87" s="224">
        <f>IF(OR($C87="",$D87="",$F87=""),"",IF($F87="Aylık",EOMONTH($D87,0),($D87+MOD(SISTEM!$F$8-WEEKDAY($D87,2),7))))</f>
        <v/>
      </c>
      <c r="P87" s="109" t="n"/>
      <c r="Q87" s="6" t="n"/>
      <c r="R87" s="6" t="n"/>
      <c r="S87" s="3">
        <f>IF($B87="","",$B87&amp;"|"&amp;COUNTIFS($B$7:$B87,$B87))</f>
        <v/>
      </c>
      <c r="T87" s="3">
        <f>IF($C87="","",UPPER(SUBSTITUTE(SUBSTITUTE(SUBSTITUTE(SUBSTITUTE(SUBSTITUTE(SUBSTITUTE(SUBSTITUTE(SUBSTITUTE(SUBSTITUTE(SUBSTITUTE(SUBSTITUTE(SUBSTITUTE(SUBSTITUTE(SUBSTITUTE(SUBSTITUTE(SUBSTITUTE(SUBSTITUTE(SUBSTITUTE(TRIM($C87),"'",""),"İ","I"),"ı","I"),"i","I"),"Ş","S"),"ş","S"),"Ğ","G"),"ğ","G"),"Ü","U"),"ü","U"),"Ö","O"),"ö","O"),"Ç","C"),"ç","C"),".",""),",","")," ",""),"-","")))</f>
        <v/>
      </c>
    </row>
    <row r="88">
      <c r="A88" s="6" t="n"/>
      <c r="B88" s="113">
        <f>IF($C88="","",IFERROR(INDEX(MUSTERILER!$B$7:$B$106,MATCH($T88,MUSTERILER!$T$7:$T$106,0)),IFERROR(INDEX(MUSTERILER!$B$7:$B$106,MATCH($C88,MUSTERILER!$B$7:$B$106,0)),IFERROR(INDEX(MUSTERILER!$B$7:$B$106,MATCH($T88&amp;"*",MUSTERILER!$T$7:$T$106,0)),"TANIMSIZ MÜŞTERİ"))))</f>
        <v/>
      </c>
      <c r="C88" s="109" t="n"/>
      <c r="D88" s="220" t="n"/>
      <c r="E88" s="220" t="n"/>
      <c r="F88" s="108" t="n"/>
      <c r="G88" s="221" t="n"/>
      <c r="H88" s="108" t="n"/>
      <c r="I88" s="222">
        <f>IF(OR($C88="",$D88="",$G88="",$F88=""),0,$G88*IF($F88="Aylık",MAX(0,(YEAR(MIN(IF($E88="",TODAY(),$E88),TODAY()))-YEAR($D88))*12+MONTH(MIN(IF($E88="",TODAY(),$E88),TODAY()))-MONTH($D88)+IF(MIN(IF($E88="",TODAY(),$E88),TODAY())&gt;=EOMONTH(MIN(IF($E88="",TODAY(),$E88),TODAY()),0),1,0)),MAX(0,INT((MIN(IF($E88="",TODAY(),$E88),TODAY())-($D88+MOD(SISTEM!$F$8-WEEKDAY($D88,2),7)))/7)+1)))</f>
        <v/>
      </c>
      <c r="J88" s="222">
        <f>IF(OR($C88="",$D88="",$G88="",$F88=""),0,$G88*IF($F88="Aylık",MAX(0,(YEAR(MIN(IF($E88="",TODAY()-8,$E88),TODAY()-8))-YEAR($D88))*12+MONTH(MIN(IF($E88="",TODAY()-8,$E88),TODAY()-8))-MONTH($D88)+IF(MIN(IF($E88="",TODAY()-8,$E88),TODAY()-8)&gt;=EOMONTH(MIN(IF($E88="",TODAY()-8,$E88),TODAY()-8),0),1,0)),MAX(0,INT((MIN(IF($E88="",TODAY()-8,$E88),TODAY()-8)-($D88+MOD(SISTEM!$F$8-WEEKDAY($D88,2),7)))/7)+1)))</f>
        <v/>
      </c>
      <c r="K88" s="222">
        <f>IF(OR($C88="",$D88="",$G88="",$F88=""),0,$G88*IF($F88="Aylık",MAX(0,(YEAR(MIN(IF($E88="",TODAY()-15,$E88),TODAY()-15))-YEAR($D88))*12+MONTH(MIN(IF($E88="",TODAY()-15,$E88),TODAY()-15))-MONTH($D88)+IF(MIN(IF($E88="",TODAY()-15,$E88),TODAY()-15)&gt;=EOMONTH(MIN(IF($E88="",TODAY()-15,$E88),TODAY()-15),0),1,0)),MAX(0,INT((MIN(IF($E88="",TODAY()-15,$E88),TODAY()-15)-($D88+MOD(SISTEM!$F$8-WEEKDAY($D88,2),7)))/7)+1)))</f>
        <v/>
      </c>
      <c r="L88" s="222">
        <f>IF(OR($C88="",$D88="",$G88="",$F88=""),0,$G88*IF($F88="Aylık",MAX(0,(YEAR(MIN(IF($E88="",TODAY()-29,$E88),TODAY()-29))-YEAR($D88))*12+MONTH(MIN(IF($E88="",TODAY()-29,$E88),TODAY()-29))-MONTH($D88)+IF(MIN(IF($E88="",TODAY()-29,$E88),TODAY()-29)&gt;=EOMONTH(MIN(IF($E88="",TODAY()-29,$E88),TODAY()-29),0),1,0)),MAX(0,INT((MIN(IF($E88="",TODAY()-29,$E88),TODAY()-29)-($D88+MOD(SISTEM!$F$8-WEEKDAY($D88,2),7)))/7)+1)))</f>
        <v/>
      </c>
      <c r="M88" s="223">
        <f>IF($G88&gt;0,$I88/$G88,0)</f>
        <v/>
      </c>
      <c r="N88" s="113">
        <f>IF($C88="","",IF($B88="TANIMSIZ MÜŞTERİ","TANIMSIZ MÜŞTERİ",IF($F88="","MODEL SEÇİN",IF(OR($D88="",$G88&lt;=0),"EKSİK",IF(AND($E88&lt;&gt;"",$E88&lt;$D88),"TARİH HATASI",IF($H88="Pasif","KAPALI DÖNEM","UYGUN"))))))</f>
        <v/>
      </c>
      <c r="O88" s="224">
        <f>IF(OR($C88="",$D88="",$F88=""),"",IF($F88="Aylık",EOMONTH($D88,0),($D88+MOD(SISTEM!$F$8-WEEKDAY($D88,2),7))))</f>
        <v/>
      </c>
      <c r="P88" s="109" t="n"/>
      <c r="Q88" s="6" t="n"/>
      <c r="R88" s="6" t="n"/>
      <c r="S88" s="3">
        <f>IF($B88="","",$B88&amp;"|"&amp;COUNTIFS($B$7:$B88,$B88))</f>
        <v/>
      </c>
      <c r="T88" s="3">
        <f>IF($C88="","",UPPER(SUBSTITUTE(SUBSTITUTE(SUBSTITUTE(SUBSTITUTE(SUBSTITUTE(SUBSTITUTE(SUBSTITUTE(SUBSTITUTE(SUBSTITUTE(SUBSTITUTE(SUBSTITUTE(SUBSTITUTE(SUBSTITUTE(SUBSTITUTE(SUBSTITUTE(SUBSTITUTE(SUBSTITUTE(SUBSTITUTE(TRIM($C88),"'",""),"İ","I"),"ı","I"),"i","I"),"Ş","S"),"ş","S"),"Ğ","G"),"ğ","G"),"Ü","U"),"ü","U"),"Ö","O"),"ö","O"),"Ç","C"),"ç","C"),".",""),",","")," ",""),"-","")))</f>
        <v/>
      </c>
    </row>
    <row r="89">
      <c r="A89" s="6" t="n"/>
      <c r="B89" s="113">
        <f>IF($C89="","",IFERROR(INDEX(MUSTERILER!$B$7:$B$106,MATCH($T89,MUSTERILER!$T$7:$T$106,0)),IFERROR(INDEX(MUSTERILER!$B$7:$B$106,MATCH($C89,MUSTERILER!$B$7:$B$106,0)),IFERROR(INDEX(MUSTERILER!$B$7:$B$106,MATCH($T89&amp;"*",MUSTERILER!$T$7:$T$106,0)),"TANIMSIZ MÜŞTERİ"))))</f>
        <v/>
      </c>
      <c r="C89" s="109" t="n"/>
      <c r="D89" s="220" t="n"/>
      <c r="E89" s="220" t="n"/>
      <c r="F89" s="108" t="n"/>
      <c r="G89" s="221" t="n"/>
      <c r="H89" s="108" t="n"/>
      <c r="I89" s="222">
        <f>IF(OR($C89="",$D89="",$G89="",$F89=""),0,$G89*IF($F89="Aylık",MAX(0,(YEAR(MIN(IF($E89="",TODAY(),$E89),TODAY()))-YEAR($D89))*12+MONTH(MIN(IF($E89="",TODAY(),$E89),TODAY()))-MONTH($D89)+IF(MIN(IF($E89="",TODAY(),$E89),TODAY())&gt;=EOMONTH(MIN(IF($E89="",TODAY(),$E89),TODAY()),0),1,0)),MAX(0,INT((MIN(IF($E89="",TODAY(),$E89),TODAY())-($D89+MOD(SISTEM!$F$8-WEEKDAY($D89,2),7)))/7)+1)))</f>
        <v/>
      </c>
      <c r="J89" s="222">
        <f>IF(OR($C89="",$D89="",$G89="",$F89=""),0,$G89*IF($F89="Aylık",MAX(0,(YEAR(MIN(IF($E89="",TODAY()-8,$E89),TODAY()-8))-YEAR($D89))*12+MONTH(MIN(IF($E89="",TODAY()-8,$E89),TODAY()-8))-MONTH($D89)+IF(MIN(IF($E89="",TODAY()-8,$E89),TODAY()-8)&gt;=EOMONTH(MIN(IF($E89="",TODAY()-8,$E89),TODAY()-8),0),1,0)),MAX(0,INT((MIN(IF($E89="",TODAY()-8,$E89),TODAY()-8)-($D89+MOD(SISTEM!$F$8-WEEKDAY($D89,2),7)))/7)+1)))</f>
        <v/>
      </c>
      <c r="K89" s="222">
        <f>IF(OR($C89="",$D89="",$G89="",$F89=""),0,$G89*IF($F89="Aylık",MAX(0,(YEAR(MIN(IF($E89="",TODAY()-15,$E89),TODAY()-15))-YEAR($D89))*12+MONTH(MIN(IF($E89="",TODAY()-15,$E89),TODAY()-15))-MONTH($D89)+IF(MIN(IF($E89="",TODAY()-15,$E89),TODAY()-15)&gt;=EOMONTH(MIN(IF($E89="",TODAY()-15,$E89),TODAY()-15),0),1,0)),MAX(0,INT((MIN(IF($E89="",TODAY()-15,$E89),TODAY()-15)-($D89+MOD(SISTEM!$F$8-WEEKDAY($D89,2),7)))/7)+1)))</f>
        <v/>
      </c>
      <c r="L89" s="222">
        <f>IF(OR($C89="",$D89="",$G89="",$F89=""),0,$G89*IF($F89="Aylık",MAX(0,(YEAR(MIN(IF($E89="",TODAY()-29,$E89),TODAY()-29))-YEAR($D89))*12+MONTH(MIN(IF($E89="",TODAY()-29,$E89),TODAY()-29))-MONTH($D89)+IF(MIN(IF($E89="",TODAY()-29,$E89),TODAY()-29)&gt;=EOMONTH(MIN(IF($E89="",TODAY()-29,$E89),TODAY()-29),0),1,0)),MAX(0,INT((MIN(IF($E89="",TODAY()-29,$E89),TODAY()-29)-($D89+MOD(SISTEM!$F$8-WEEKDAY($D89,2),7)))/7)+1)))</f>
        <v/>
      </c>
      <c r="M89" s="223">
        <f>IF($G89&gt;0,$I89/$G89,0)</f>
        <v/>
      </c>
      <c r="N89" s="113">
        <f>IF($C89="","",IF($B89="TANIMSIZ MÜŞTERİ","TANIMSIZ MÜŞTERİ",IF($F89="","MODEL SEÇİN",IF(OR($D89="",$G89&lt;=0),"EKSİK",IF(AND($E89&lt;&gt;"",$E89&lt;$D89),"TARİH HATASI",IF($H89="Pasif","KAPALI DÖNEM","UYGUN"))))))</f>
        <v/>
      </c>
      <c r="O89" s="224">
        <f>IF(OR($C89="",$D89="",$F89=""),"",IF($F89="Aylık",EOMONTH($D89,0),($D89+MOD(SISTEM!$F$8-WEEKDAY($D89,2),7))))</f>
        <v/>
      </c>
      <c r="P89" s="109" t="n"/>
      <c r="Q89" s="6" t="n"/>
      <c r="R89" s="6" t="n"/>
      <c r="S89" s="3">
        <f>IF($B89="","",$B89&amp;"|"&amp;COUNTIFS($B$7:$B89,$B89))</f>
        <v/>
      </c>
      <c r="T89" s="3">
        <f>IF($C89="","",UPPER(SUBSTITUTE(SUBSTITUTE(SUBSTITUTE(SUBSTITUTE(SUBSTITUTE(SUBSTITUTE(SUBSTITUTE(SUBSTITUTE(SUBSTITUTE(SUBSTITUTE(SUBSTITUTE(SUBSTITUTE(SUBSTITUTE(SUBSTITUTE(SUBSTITUTE(SUBSTITUTE(SUBSTITUTE(SUBSTITUTE(TRIM($C89),"'",""),"İ","I"),"ı","I"),"i","I"),"Ş","S"),"ş","S"),"Ğ","G"),"ğ","G"),"Ü","U"),"ü","U"),"Ö","O"),"ö","O"),"Ç","C"),"ç","C"),".",""),",","")," ",""),"-","")))</f>
        <v/>
      </c>
    </row>
    <row r="90">
      <c r="A90" s="6" t="n"/>
      <c r="B90" s="113">
        <f>IF($C90="","",IFERROR(INDEX(MUSTERILER!$B$7:$B$106,MATCH($T90,MUSTERILER!$T$7:$T$106,0)),IFERROR(INDEX(MUSTERILER!$B$7:$B$106,MATCH($C90,MUSTERILER!$B$7:$B$106,0)),IFERROR(INDEX(MUSTERILER!$B$7:$B$106,MATCH($T90&amp;"*",MUSTERILER!$T$7:$T$106,0)),"TANIMSIZ MÜŞTERİ"))))</f>
        <v/>
      </c>
      <c r="C90" s="109" t="n"/>
      <c r="D90" s="220" t="n"/>
      <c r="E90" s="220" t="n"/>
      <c r="F90" s="108" t="n"/>
      <c r="G90" s="221" t="n"/>
      <c r="H90" s="108" t="n"/>
      <c r="I90" s="222">
        <f>IF(OR($C90="",$D90="",$G90="",$F90=""),0,$G90*IF($F90="Aylık",MAX(0,(YEAR(MIN(IF($E90="",TODAY(),$E90),TODAY()))-YEAR($D90))*12+MONTH(MIN(IF($E90="",TODAY(),$E90),TODAY()))-MONTH($D90)+IF(MIN(IF($E90="",TODAY(),$E90),TODAY())&gt;=EOMONTH(MIN(IF($E90="",TODAY(),$E90),TODAY()),0),1,0)),MAX(0,INT((MIN(IF($E90="",TODAY(),$E90),TODAY())-($D90+MOD(SISTEM!$F$8-WEEKDAY($D90,2),7)))/7)+1)))</f>
        <v/>
      </c>
      <c r="J90" s="222">
        <f>IF(OR($C90="",$D90="",$G90="",$F90=""),0,$G90*IF($F90="Aylık",MAX(0,(YEAR(MIN(IF($E90="",TODAY()-8,$E90),TODAY()-8))-YEAR($D90))*12+MONTH(MIN(IF($E90="",TODAY()-8,$E90),TODAY()-8))-MONTH($D90)+IF(MIN(IF($E90="",TODAY()-8,$E90),TODAY()-8)&gt;=EOMONTH(MIN(IF($E90="",TODAY()-8,$E90),TODAY()-8),0),1,0)),MAX(0,INT((MIN(IF($E90="",TODAY()-8,$E90),TODAY()-8)-($D90+MOD(SISTEM!$F$8-WEEKDAY($D90,2),7)))/7)+1)))</f>
        <v/>
      </c>
      <c r="K90" s="222">
        <f>IF(OR($C90="",$D90="",$G90="",$F90=""),0,$G90*IF($F90="Aylık",MAX(0,(YEAR(MIN(IF($E90="",TODAY()-15,$E90),TODAY()-15))-YEAR($D90))*12+MONTH(MIN(IF($E90="",TODAY()-15,$E90),TODAY()-15))-MONTH($D90)+IF(MIN(IF($E90="",TODAY()-15,$E90),TODAY()-15)&gt;=EOMONTH(MIN(IF($E90="",TODAY()-15,$E90),TODAY()-15),0),1,0)),MAX(0,INT((MIN(IF($E90="",TODAY()-15,$E90),TODAY()-15)-($D90+MOD(SISTEM!$F$8-WEEKDAY($D90,2),7)))/7)+1)))</f>
        <v/>
      </c>
      <c r="L90" s="222">
        <f>IF(OR($C90="",$D90="",$G90="",$F90=""),0,$G90*IF($F90="Aylık",MAX(0,(YEAR(MIN(IF($E90="",TODAY()-29,$E90),TODAY()-29))-YEAR($D90))*12+MONTH(MIN(IF($E90="",TODAY()-29,$E90),TODAY()-29))-MONTH($D90)+IF(MIN(IF($E90="",TODAY()-29,$E90),TODAY()-29)&gt;=EOMONTH(MIN(IF($E90="",TODAY()-29,$E90),TODAY()-29),0),1,0)),MAX(0,INT((MIN(IF($E90="",TODAY()-29,$E90),TODAY()-29)-($D90+MOD(SISTEM!$F$8-WEEKDAY($D90,2),7)))/7)+1)))</f>
        <v/>
      </c>
      <c r="M90" s="223">
        <f>IF($G90&gt;0,$I90/$G90,0)</f>
        <v/>
      </c>
      <c r="N90" s="113">
        <f>IF($C90="","",IF($B90="TANIMSIZ MÜŞTERİ","TANIMSIZ MÜŞTERİ",IF($F90="","MODEL SEÇİN",IF(OR($D90="",$G90&lt;=0),"EKSİK",IF(AND($E90&lt;&gt;"",$E90&lt;$D90),"TARİH HATASI",IF($H90="Pasif","KAPALI DÖNEM","UYGUN"))))))</f>
        <v/>
      </c>
      <c r="O90" s="224">
        <f>IF(OR($C90="",$D90="",$F90=""),"",IF($F90="Aylık",EOMONTH($D90,0),($D90+MOD(SISTEM!$F$8-WEEKDAY($D90,2),7))))</f>
        <v/>
      </c>
      <c r="P90" s="109" t="n"/>
      <c r="Q90" s="6" t="n"/>
      <c r="R90" s="6" t="n"/>
      <c r="S90" s="3">
        <f>IF($B90="","",$B90&amp;"|"&amp;COUNTIFS($B$7:$B90,$B90))</f>
        <v/>
      </c>
      <c r="T90" s="3">
        <f>IF($C90="","",UPPER(SUBSTITUTE(SUBSTITUTE(SUBSTITUTE(SUBSTITUTE(SUBSTITUTE(SUBSTITUTE(SUBSTITUTE(SUBSTITUTE(SUBSTITUTE(SUBSTITUTE(SUBSTITUTE(SUBSTITUTE(SUBSTITUTE(SUBSTITUTE(SUBSTITUTE(SUBSTITUTE(SUBSTITUTE(SUBSTITUTE(TRIM($C90),"'",""),"İ","I"),"ı","I"),"i","I"),"Ş","S"),"ş","S"),"Ğ","G"),"ğ","G"),"Ü","U"),"ü","U"),"Ö","O"),"ö","O"),"Ç","C"),"ç","C"),".",""),",","")," ",""),"-","")))</f>
        <v/>
      </c>
    </row>
    <row r="91">
      <c r="A91" s="6" t="n"/>
      <c r="B91" s="113">
        <f>IF($C91="","",IFERROR(INDEX(MUSTERILER!$B$7:$B$106,MATCH($T91,MUSTERILER!$T$7:$T$106,0)),IFERROR(INDEX(MUSTERILER!$B$7:$B$106,MATCH($C91,MUSTERILER!$B$7:$B$106,0)),IFERROR(INDEX(MUSTERILER!$B$7:$B$106,MATCH($T91&amp;"*",MUSTERILER!$T$7:$T$106,0)),"TANIMSIZ MÜŞTERİ"))))</f>
        <v/>
      </c>
      <c r="C91" s="109" t="n"/>
      <c r="D91" s="220" t="n"/>
      <c r="E91" s="220" t="n"/>
      <c r="F91" s="108" t="n"/>
      <c r="G91" s="221" t="n"/>
      <c r="H91" s="108" t="n"/>
      <c r="I91" s="222">
        <f>IF(OR($C91="",$D91="",$G91="",$F91=""),0,$G91*IF($F91="Aylık",MAX(0,(YEAR(MIN(IF($E91="",TODAY(),$E91),TODAY()))-YEAR($D91))*12+MONTH(MIN(IF($E91="",TODAY(),$E91),TODAY()))-MONTH($D91)+IF(MIN(IF($E91="",TODAY(),$E91),TODAY())&gt;=EOMONTH(MIN(IF($E91="",TODAY(),$E91),TODAY()),0),1,0)),MAX(0,INT((MIN(IF($E91="",TODAY(),$E91),TODAY())-($D91+MOD(SISTEM!$F$8-WEEKDAY($D91,2),7)))/7)+1)))</f>
        <v/>
      </c>
      <c r="J91" s="222">
        <f>IF(OR($C91="",$D91="",$G91="",$F91=""),0,$G91*IF($F91="Aylık",MAX(0,(YEAR(MIN(IF($E91="",TODAY()-8,$E91),TODAY()-8))-YEAR($D91))*12+MONTH(MIN(IF($E91="",TODAY()-8,$E91),TODAY()-8))-MONTH($D91)+IF(MIN(IF($E91="",TODAY()-8,$E91),TODAY()-8)&gt;=EOMONTH(MIN(IF($E91="",TODAY()-8,$E91),TODAY()-8),0),1,0)),MAX(0,INT((MIN(IF($E91="",TODAY()-8,$E91),TODAY()-8)-($D91+MOD(SISTEM!$F$8-WEEKDAY($D91,2),7)))/7)+1)))</f>
        <v/>
      </c>
      <c r="K91" s="222">
        <f>IF(OR($C91="",$D91="",$G91="",$F91=""),0,$G91*IF($F91="Aylık",MAX(0,(YEAR(MIN(IF($E91="",TODAY()-15,$E91),TODAY()-15))-YEAR($D91))*12+MONTH(MIN(IF($E91="",TODAY()-15,$E91),TODAY()-15))-MONTH($D91)+IF(MIN(IF($E91="",TODAY()-15,$E91),TODAY()-15)&gt;=EOMONTH(MIN(IF($E91="",TODAY()-15,$E91),TODAY()-15),0),1,0)),MAX(0,INT((MIN(IF($E91="",TODAY()-15,$E91),TODAY()-15)-($D91+MOD(SISTEM!$F$8-WEEKDAY($D91,2),7)))/7)+1)))</f>
        <v/>
      </c>
      <c r="L91" s="222">
        <f>IF(OR($C91="",$D91="",$G91="",$F91=""),0,$G91*IF($F91="Aylık",MAX(0,(YEAR(MIN(IF($E91="",TODAY()-29,$E91),TODAY()-29))-YEAR($D91))*12+MONTH(MIN(IF($E91="",TODAY()-29,$E91),TODAY()-29))-MONTH($D91)+IF(MIN(IF($E91="",TODAY()-29,$E91),TODAY()-29)&gt;=EOMONTH(MIN(IF($E91="",TODAY()-29,$E91),TODAY()-29),0),1,0)),MAX(0,INT((MIN(IF($E91="",TODAY()-29,$E91),TODAY()-29)-($D91+MOD(SISTEM!$F$8-WEEKDAY($D91,2),7)))/7)+1)))</f>
        <v/>
      </c>
      <c r="M91" s="223">
        <f>IF($G91&gt;0,$I91/$G91,0)</f>
        <v/>
      </c>
      <c r="N91" s="113">
        <f>IF($C91="","",IF($B91="TANIMSIZ MÜŞTERİ","TANIMSIZ MÜŞTERİ",IF($F91="","MODEL SEÇİN",IF(OR($D91="",$G91&lt;=0),"EKSİK",IF(AND($E91&lt;&gt;"",$E91&lt;$D91),"TARİH HATASI",IF($H91="Pasif","KAPALI DÖNEM","UYGUN"))))))</f>
        <v/>
      </c>
      <c r="O91" s="224">
        <f>IF(OR($C91="",$D91="",$F91=""),"",IF($F91="Aylık",EOMONTH($D91,0),($D91+MOD(SISTEM!$F$8-WEEKDAY($D91,2),7))))</f>
        <v/>
      </c>
      <c r="P91" s="109" t="n"/>
      <c r="Q91" s="6" t="n"/>
      <c r="R91" s="6" t="n"/>
      <c r="S91" s="3">
        <f>IF($B91="","",$B91&amp;"|"&amp;COUNTIFS($B$7:$B91,$B91))</f>
        <v/>
      </c>
      <c r="T91" s="3">
        <f>IF($C91="","",UPPER(SUBSTITUTE(SUBSTITUTE(SUBSTITUTE(SUBSTITUTE(SUBSTITUTE(SUBSTITUTE(SUBSTITUTE(SUBSTITUTE(SUBSTITUTE(SUBSTITUTE(SUBSTITUTE(SUBSTITUTE(SUBSTITUTE(SUBSTITUTE(SUBSTITUTE(SUBSTITUTE(SUBSTITUTE(SUBSTITUTE(TRIM($C91),"'",""),"İ","I"),"ı","I"),"i","I"),"Ş","S"),"ş","S"),"Ğ","G"),"ğ","G"),"Ü","U"),"ü","U"),"Ö","O"),"ö","O"),"Ç","C"),"ç","C"),".",""),",","")," ",""),"-","")))</f>
        <v/>
      </c>
    </row>
    <row r="92">
      <c r="A92" s="6" t="n"/>
      <c r="B92" s="113">
        <f>IF($C92="","",IFERROR(INDEX(MUSTERILER!$B$7:$B$106,MATCH($T92,MUSTERILER!$T$7:$T$106,0)),IFERROR(INDEX(MUSTERILER!$B$7:$B$106,MATCH($C92,MUSTERILER!$B$7:$B$106,0)),IFERROR(INDEX(MUSTERILER!$B$7:$B$106,MATCH($T92&amp;"*",MUSTERILER!$T$7:$T$106,0)),"TANIMSIZ MÜŞTERİ"))))</f>
        <v/>
      </c>
      <c r="C92" s="109" t="n"/>
      <c r="D92" s="220" t="n"/>
      <c r="E92" s="220" t="n"/>
      <c r="F92" s="108" t="n"/>
      <c r="G92" s="221" t="n"/>
      <c r="H92" s="108" t="n"/>
      <c r="I92" s="222">
        <f>IF(OR($C92="",$D92="",$G92="",$F92=""),0,$G92*IF($F92="Aylık",MAX(0,(YEAR(MIN(IF($E92="",TODAY(),$E92),TODAY()))-YEAR($D92))*12+MONTH(MIN(IF($E92="",TODAY(),$E92),TODAY()))-MONTH($D92)+IF(MIN(IF($E92="",TODAY(),$E92),TODAY())&gt;=EOMONTH(MIN(IF($E92="",TODAY(),$E92),TODAY()),0),1,0)),MAX(0,INT((MIN(IF($E92="",TODAY(),$E92),TODAY())-($D92+MOD(SISTEM!$F$8-WEEKDAY($D92,2),7)))/7)+1)))</f>
        <v/>
      </c>
      <c r="J92" s="222">
        <f>IF(OR($C92="",$D92="",$G92="",$F92=""),0,$G92*IF($F92="Aylık",MAX(0,(YEAR(MIN(IF($E92="",TODAY()-8,$E92),TODAY()-8))-YEAR($D92))*12+MONTH(MIN(IF($E92="",TODAY()-8,$E92),TODAY()-8))-MONTH($D92)+IF(MIN(IF($E92="",TODAY()-8,$E92),TODAY()-8)&gt;=EOMONTH(MIN(IF($E92="",TODAY()-8,$E92),TODAY()-8),0),1,0)),MAX(0,INT((MIN(IF($E92="",TODAY()-8,$E92),TODAY()-8)-($D92+MOD(SISTEM!$F$8-WEEKDAY($D92,2),7)))/7)+1)))</f>
        <v/>
      </c>
      <c r="K92" s="222">
        <f>IF(OR($C92="",$D92="",$G92="",$F92=""),0,$G92*IF($F92="Aylık",MAX(0,(YEAR(MIN(IF($E92="",TODAY()-15,$E92),TODAY()-15))-YEAR($D92))*12+MONTH(MIN(IF($E92="",TODAY()-15,$E92),TODAY()-15))-MONTH($D92)+IF(MIN(IF($E92="",TODAY()-15,$E92),TODAY()-15)&gt;=EOMONTH(MIN(IF($E92="",TODAY()-15,$E92),TODAY()-15),0),1,0)),MAX(0,INT((MIN(IF($E92="",TODAY()-15,$E92),TODAY()-15)-($D92+MOD(SISTEM!$F$8-WEEKDAY($D92,2),7)))/7)+1)))</f>
        <v/>
      </c>
      <c r="L92" s="222">
        <f>IF(OR($C92="",$D92="",$G92="",$F92=""),0,$G92*IF($F92="Aylık",MAX(0,(YEAR(MIN(IF($E92="",TODAY()-29,$E92),TODAY()-29))-YEAR($D92))*12+MONTH(MIN(IF($E92="",TODAY()-29,$E92),TODAY()-29))-MONTH($D92)+IF(MIN(IF($E92="",TODAY()-29,$E92),TODAY()-29)&gt;=EOMONTH(MIN(IF($E92="",TODAY()-29,$E92),TODAY()-29),0),1,0)),MAX(0,INT((MIN(IF($E92="",TODAY()-29,$E92),TODAY()-29)-($D92+MOD(SISTEM!$F$8-WEEKDAY($D92,2),7)))/7)+1)))</f>
        <v/>
      </c>
      <c r="M92" s="223">
        <f>IF($G92&gt;0,$I92/$G92,0)</f>
        <v/>
      </c>
      <c r="N92" s="113">
        <f>IF($C92="","",IF($B92="TANIMSIZ MÜŞTERİ","TANIMSIZ MÜŞTERİ",IF($F92="","MODEL SEÇİN",IF(OR($D92="",$G92&lt;=0),"EKSİK",IF(AND($E92&lt;&gt;"",$E92&lt;$D92),"TARİH HATASI",IF($H92="Pasif","KAPALI DÖNEM","UYGUN"))))))</f>
        <v/>
      </c>
      <c r="O92" s="224">
        <f>IF(OR($C92="",$D92="",$F92=""),"",IF($F92="Aylık",EOMONTH($D92,0),($D92+MOD(SISTEM!$F$8-WEEKDAY($D92,2),7))))</f>
        <v/>
      </c>
      <c r="P92" s="109" t="n"/>
      <c r="Q92" s="6" t="n"/>
      <c r="R92" s="6" t="n"/>
      <c r="S92" s="3">
        <f>IF($B92="","",$B92&amp;"|"&amp;COUNTIFS($B$7:$B92,$B92))</f>
        <v/>
      </c>
      <c r="T92" s="3">
        <f>IF($C92="","",UPPER(SUBSTITUTE(SUBSTITUTE(SUBSTITUTE(SUBSTITUTE(SUBSTITUTE(SUBSTITUTE(SUBSTITUTE(SUBSTITUTE(SUBSTITUTE(SUBSTITUTE(SUBSTITUTE(SUBSTITUTE(SUBSTITUTE(SUBSTITUTE(SUBSTITUTE(SUBSTITUTE(SUBSTITUTE(SUBSTITUTE(TRIM($C92),"'",""),"İ","I"),"ı","I"),"i","I"),"Ş","S"),"ş","S"),"Ğ","G"),"ğ","G"),"Ü","U"),"ü","U"),"Ö","O"),"ö","O"),"Ç","C"),"ç","C"),".",""),",","")," ",""),"-","")))</f>
        <v/>
      </c>
    </row>
    <row r="93">
      <c r="A93" s="6" t="n"/>
      <c r="B93" s="113">
        <f>IF($C93="","",IFERROR(INDEX(MUSTERILER!$B$7:$B$106,MATCH($T93,MUSTERILER!$T$7:$T$106,0)),IFERROR(INDEX(MUSTERILER!$B$7:$B$106,MATCH($C93,MUSTERILER!$B$7:$B$106,0)),IFERROR(INDEX(MUSTERILER!$B$7:$B$106,MATCH($T93&amp;"*",MUSTERILER!$T$7:$T$106,0)),"TANIMSIZ MÜŞTERİ"))))</f>
        <v/>
      </c>
      <c r="C93" s="109" t="n"/>
      <c r="D93" s="220" t="n"/>
      <c r="E93" s="220" t="n"/>
      <c r="F93" s="108" t="n"/>
      <c r="G93" s="221" t="n"/>
      <c r="H93" s="108" t="n"/>
      <c r="I93" s="222">
        <f>IF(OR($C93="",$D93="",$G93="",$F93=""),0,$G93*IF($F93="Aylık",MAX(0,(YEAR(MIN(IF($E93="",TODAY(),$E93),TODAY()))-YEAR($D93))*12+MONTH(MIN(IF($E93="",TODAY(),$E93),TODAY()))-MONTH($D93)+IF(MIN(IF($E93="",TODAY(),$E93),TODAY())&gt;=EOMONTH(MIN(IF($E93="",TODAY(),$E93),TODAY()),0),1,0)),MAX(0,INT((MIN(IF($E93="",TODAY(),$E93),TODAY())-($D93+MOD(SISTEM!$F$8-WEEKDAY($D93,2),7)))/7)+1)))</f>
        <v/>
      </c>
      <c r="J93" s="222">
        <f>IF(OR($C93="",$D93="",$G93="",$F93=""),0,$G93*IF($F93="Aylık",MAX(0,(YEAR(MIN(IF($E93="",TODAY()-8,$E93),TODAY()-8))-YEAR($D93))*12+MONTH(MIN(IF($E93="",TODAY()-8,$E93),TODAY()-8))-MONTH($D93)+IF(MIN(IF($E93="",TODAY()-8,$E93),TODAY()-8)&gt;=EOMONTH(MIN(IF($E93="",TODAY()-8,$E93),TODAY()-8),0),1,0)),MAX(0,INT((MIN(IF($E93="",TODAY()-8,$E93),TODAY()-8)-($D93+MOD(SISTEM!$F$8-WEEKDAY($D93,2),7)))/7)+1)))</f>
        <v/>
      </c>
      <c r="K93" s="222">
        <f>IF(OR($C93="",$D93="",$G93="",$F93=""),0,$G93*IF($F93="Aylık",MAX(0,(YEAR(MIN(IF($E93="",TODAY()-15,$E93),TODAY()-15))-YEAR($D93))*12+MONTH(MIN(IF($E93="",TODAY()-15,$E93),TODAY()-15))-MONTH($D93)+IF(MIN(IF($E93="",TODAY()-15,$E93),TODAY()-15)&gt;=EOMONTH(MIN(IF($E93="",TODAY()-15,$E93),TODAY()-15),0),1,0)),MAX(0,INT((MIN(IF($E93="",TODAY()-15,$E93),TODAY()-15)-($D93+MOD(SISTEM!$F$8-WEEKDAY($D93,2),7)))/7)+1)))</f>
        <v/>
      </c>
      <c r="L93" s="222">
        <f>IF(OR($C93="",$D93="",$G93="",$F93=""),0,$G93*IF($F93="Aylık",MAX(0,(YEAR(MIN(IF($E93="",TODAY()-29,$E93),TODAY()-29))-YEAR($D93))*12+MONTH(MIN(IF($E93="",TODAY()-29,$E93),TODAY()-29))-MONTH($D93)+IF(MIN(IF($E93="",TODAY()-29,$E93),TODAY()-29)&gt;=EOMONTH(MIN(IF($E93="",TODAY()-29,$E93),TODAY()-29),0),1,0)),MAX(0,INT((MIN(IF($E93="",TODAY()-29,$E93),TODAY()-29)-($D93+MOD(SISTEM!$F$8-WEEKDAY($D93,2),7)))/7)+1)))</f>
        <v/>
      </c>
      <c r="M93" s="223">
        <f>IF($G93&gt;0,$I93/$G93,0)</f>
        <v/>
      </c>
      <c r="N93" s="113">
        <f>IF($C93="","",IF($B93="TANIMSIZ MÜŞTERİ","TANIMSIZ MÜŞTERİ",IF($F93="","MODEL SEÇİN",IF(OR($D93="",$G93&lt;=0),"EKSİK",IF(AND($E93&lt;&gt;"",$E93&lt;$D93),"TARİH HATASI",IF($H93="Pasif","KAPALI DÖNEM","UYGUN"))))))</f>
        <v/>
      </c>
      <c r="O93" s="224">
        <f>IF(OR($C93="",$D93="",$F93=""),"",IF($F93="Aylık",EOMONTH($D93,0),($D93+MOD(SISTEM!$F$8-WEEKDAY($D93,2),7))))</f>
        <v/>
      </c>
      <c r="P93" s="109" t="n"/>
      <c r="Q93" s="6" t="n"/>
      <c r="R93" s="6" t="n"/>
      <c r="S93" s="3">
        <f>IF($B93="","",$B93&amp;"|"&amp;COUNTIFS($B$7:$B93,$B93))</f>
        <v/>
      </c>
      <c r="T93" s="3">
        <f>IF($C93="","",UPPER(SUBSTITUTE(SUBSTITUTE(SUBSTITUTE(SUBSTITUTE(SUBSTITUTE(SUBSTITUTE(SUBSTITUTE(SUBSTITUTE(SUBSTITUTE(SUBSTITUTE(SUBSTITUTE(SUBSTITUTE(SUBSTITUTE(SUBSTITUTE(SUBSTITUTE(SUBSTITUTE(SUBSTITUTE(SUBSTITUTE(TRIM($C93),"'",""),"İ","I"),"ı","I"),"i","I"),"Ş","S"),"ş","S"),"Ğ","G"),"ğ","G"),"Ü","U"),"ü","U"),"Ö","O"),"ö","O"),"Ç","C"),"ç","C"),".",""),",","")," ",""),"-","")))</f>
        <v/>
      </c>
    </row>
    <row r="94">
      <c r="A94" s="6" t="n"/>
      <c r="B94" s="113">
        <f>IF($C94="","",IFERROR(INDEX(MUSTERILER!$B$7:$B$106,MATCH($T94,MUSTERILER!$T$7:$T$106,0)),IFERROR(INDEX(MUSTERILER!$B$7:$B$106,MATCH($C94,MUSTERILER!$B$7:$B$106,0)),IFERROR(INDEX(MUSTERILER!$B$7:$B$106,MATCH($T94&amp;"*",MUSTERILER!$T$7:$T$106,0)),"TANIMSIZ MÜŞTERİ"))))</f>
        <v/>
      </c>
      <c r="C94" s="109" t="n"/>
      <c r="D94" s="220" t="n"/>
      <c r="E94" s="220" t="n"/>
      <c r="F94" s="108" t="n"/>
      <c r="G94" s="221" t="n"/>
      <c r="H94" s="108" t="n"/>
      <c r="I94" s="222">
        <f>IF(OR($C94="",$D94="",$G94="",$F94=""),0,$G94*IF($F94="Aylık",MAX(0,(YEAR(MIN(IF($E94="",TODAY(),$E94),TODAY()))-YEAR($D94))*12+MONTH(MIN(IF($E94="",TODAY(),$E94),TODAY()))-MONTH($D94)+IF(MIN(IF($E94="",TODAY(),$E94),TODAY())&gt;=EOMONTH(MIN(IF($E94="",TODAY(),$E94),TODAY()),0),1,0)),MAX(0,INT((MIN(IF($E94="",TODAY(),$E94),TODAY())-($D94+MOD(SISTEM!$F$8-WEEKDAY($D94,2),7)))/7)+1)))</f>
        <v/>
      </c>
      <c r="J94" s="222">
        <f>IF(OR($C94="",$D94="",$G94="",$F94=""),0,$G94*IF($F94="Aylık",MAX(0,(YEAR(MIN(IF($E94="",TODAY()-8,$E94),TODAY()-8))-YEAR($D94))*12+MONTH(MIN(IF($E94="",TODAY()-8,$E94),TODAY()-8))-MONTH($D94)+IF(MIN(IF($E94="",TODAY()-8,$E94),TODAY()-8)&gt;=EOMONTH(MIN(IF($E94="",TODAY()-8,$E94),TODAY()-8),0),1,0)),MAX(0,INT((MIN(IF($E94="",TODAY()-8,$E94),TODAY()-8)-($D94+MOD(SISTEM!$F$8-WEEKDAY($D94,2),7)))/7)+1)))</f>
        <v/>
      </c>
      <c r="K94" s="222">
        <f>IF(OR($C94="",$D94="",$G94="",$F94=""),0,$G94*IF($F94="Aylık",MAX(0,(YEAR(MIN(IF($E94="",TODAY()-15,$E94),TODAY()-15))-YEAR($D94))*12+MONTH(MIN(IF($E94="",TODAY()-15,$E94),TODAY()-15))-MONTH($D94)+IF(MIN(IF($E94="",TODAY()-15,$E94),TODAY()-15)&gt;=EOMONTH(MIN(IF($E94="",TODAY()-15,$E94),TODAY()-15),0),1,0)),MAX(0,INT((MIN(IF($E94="",TODAY()-15,$E94),TODAY()-15)-($D94+MOD(SISTEM!$F$8-WEEKDAY($D94,2),7)))/7)+1)))</f>
        <v/>
      </c>
      <c r="L94" s="222">
        <f>IF(OR($C94="",$D94="",$G94="",$F94=""),0,$G94*IF($F94="Aylık",MAX(0,(YEAR(MIN(IF($E94="",TODAY()-29,$E94),TODAY()-29))-YEAR($D94))*12+MONTH(MIN(IF($E94="",TODAY()-29,$E94),TODAY()-29))-MONTH($D94)+IF(MIN(IF($E94="",TODAY()-29,$E94),TODAY()-29)&gt;=EOMONTH(MIN(IF($E94="",TODAY()-29,$E94),TODAY()-29),0),1,0)),MAX(0,INT((MIN(IF($E94="",TODAY()-29,$E94),TODAY()-29)-($D94+MOD(SISTEM!$F$8-WEEKDAY($D94,2),7)))/7)+1)))</f>
        <v/>
      </c>
      <c r="M94" s="223">
        <f>IF($G94&gt;0,$I94/$G94,0)</f>
        <v/>
      </c>
      <c r="N94" s="113">
        <f>IF($C94="","",IF($B94="TANIMSIZ MÜŞTERİ","TANIMSIZ MÜŞTERİ",IF($F94="","MODEL SEÇİN",IF(OR($D94="",$G94&lt;=0),"EKSİK",IF(AND($E94&lt;&gt;"",$E94&lt;$D94),"TARİH HATASI",IF($H94="Pasif","KAPALI DÖNEM","UYGUN"))))))</f>
        <v/>
      </c>
      <c r="O94" s="224">
        <f>IF(OR($C94="",$D94="",$F94=""),"",IF($F94="Aylık",EOMONTH($D94,0),($D94+MOD(SISTEM!$F$8-WEEKDAY($D94,2),7))))</f>
        <v/>
      </c>
      <c r="P94" s="109" t="n"/>
      <c r="Q94" s="6" t="n"/>
      <c r="R94" s="6" t="n"/>
      <c r="S94" s="3">
        <f>IF($B94="","",$B94&amp;"|"&amp;COUNTIFS($B$7:$B94,$B94))</f>
        <v/>
      </c>
      <c r="T94" s="3">
        <f>IF($C94="","",UPPER(SUBSTITUTE(SUBSTITUTE(SUBSTITUTE(SUBSTITUTE(SUBSTITUTE(SUBSTITUTE(SUBSTITUTE(SUBSTITUTE(SUBSTITUTE(SUBSTITUTE(SUBSTITUTE(SUBSTITUTE(SUBSTITUTE(SUBSTITUTE(SUBSTITUTE(SUBSTITUTE(SUBSTITUTE(SUBSTITUTE(TRIM($C94),"'",""),"İ","I"),"ı","I"),"i","I"),"Ş","S"),"ş","S"),"Ğ","G"),"ğ","G"),"Ü","U"),"ü","U"),"Ö","O"),"ö","O"),"Ç","C"),"ç","C"),".",""),",","")," ",""),"-","")))</f>
        <v/>
      </c>
    </row>
    <row r="95">
      <c r="A95" s="6" t="n"/>
      <c r="B95" s="113">
        <f>IF($C95="","",IFERROR(INDEX(MUSTERILER!$B$7:$B$106,MATCH($T95,MUSTERILER!$T$7:$T$106,0)),IFERROR(INDEX(MUSTERILER!$B$7:$B$106,MATCH($C95,MUSTERILER!$B$7:$B$106,0)),IFERROR(INDEX(MUSTERILER!$B$7:$B$106,MATCH($T95&amp;"*",MUSTERILER!$T$7:$T$106,0)),"TANIMSIZ MÜŞTERİ"))))</f>
        <v/>
      </c>
      <c r="C95" s="109" t="n"/>
      <c r="D95" s="220" t="n"/>
      <c r="E95" s="220" t="n"/>
      <c r="F95" s="108" t="n"/>
      <c r="G95" s="221" t="n"/>
      <c r="H95" s="108" t="n"/>
      <c r="I95" s="222">
        <f>IF(OR($C95="",$D95="",$G95="",$F95=""),0,$G95*IF($F95="Aylık",MAX(0,(YEAR(MIN(IF($E95="",TODAY(),$E95),TODAY()))-YEAR($D95))*12+MONTH(MIN(IF($E95="",TODAY(),$E95),TODAY()))-MONTH($D95)+IF(MIN(IF($E95="",TODAY(),$E95),TODAY())&gt;=EOMONTH(MIN(IF($E95="",TODAY(),$E95),TODAY()),0),1,0)),MAX(0,INT((MIN(IF($E95="",TODAY(),$E95),TODAY())-($D95+MOD(SISTEM!$F$8-WEEKDAY($D95,2),7)))/7)+1)))</f>
        <v/>
      </c>
      <c r="J95" s="222">
        <f>IF(OR($C95="",$D95="",$G95="",$F95=""),0,$G95*IF($F95="Aylık",MAX(0,(YEAR(MIN(IF($E95="",TODAY()-8,$E95),TODAY()-8))-YEAR($D95))*12+MONTH(MIN(IF($E95="",TODAY()-8,$E95),TODAY()-8))-MONTH($D95)+IF(MIN(IF($E95="",TODAY()-8,$E95),TODAY()-8)&gt;=EOMONTH(MIN(IF($E95="",TODAY()-8,$E95),TODAY()-8),0),1,0)),MAX(0,INT((MIN(IF($E95="",TODAY()-8,$E95),TODAY()-8)-($D95+MOD(SISTEM!$F$8-WEEKDAY($D95,2),7)))/7)+1)))</f>
        <v/>
      </c>
      <c r="K95" s="222">
        <f>IF(OR($C95="",$D95="",$G95="",$F95=""),0,$G95*IF($F95="Aylık",MAX(0,(YEAR(MIN(IF($E95="",TODAY()-15,$E95),TODAY()-15))-YEAR($D95))*12+MONTH(MIN(IF($E95="",TODAY()-15,$E95),TODAY()-15))-MONTH($D95)+IF(MIN(IF($E95="",TODAY()-15,$E95),TODAY()-15)&gt;=EOMONTH(MIN(IF($E95="",TODAY()-15,$E95),TODAY()-15),0),1,0)),MAX(0,INT((MIN(IF($E95="",TODAY()-15,$E95),TODAY()-15)-($D95+MOD(SISTEM!$F$8-WEEKDAY($D95,2),7)))/7)+1)))</f>
        <v/>
      </c>
      <c r="L95" s="222">
        <f>IF(OR($C95="",$D95="",$G95="",$F95=""),0,$G95*IF($F95="Aylık",MAX(0,(YEAR(MIN(IF($E95="",TODAY()-29,$E95),TODAY()-29))-YEAR($D95))*12+MONTH(MIN(IF($E95="",TODAY()-29,$E95),TODAY()-29))-MONTH($D95)+IF(MIN(IF($E95="",TODAY()-29,$E95),TODAY()-29)&gt;=EOMONTH(MIN(IF($E95="",TODAY()-29,$E95),TODAY()-29),0),1,0)),MAX(0,INT((MIN(IF($E95="",TODAY()-29,$E95),TODAY()-29)-($D95+MOD(SISTEM!$F$8-WEEKDAY($D95,2),7)))/7)+1)))</f>
        <v/>
      </c>
      <c r="M95" s="223">
        <f>IF($G95&gt;0,$I95/$G95,0)</f>
        <v/>
      </c>
      <c r="N95" s="113">
        <f>IF($C95="","",IF($B95="TANIMSIZ MÜŞTERİ","TANIMSIZ MÜŞTERİ",IF($F95="","MODEL SEÇİN",IF(OR($D95="",$G95&lt;=0),"EKSİK",IF(AND($E95&lt;&gt;"",$E95&lt;$D95),"TARİH HATASI",IF($H95="Pasif","KAPALI DÖNEM","UYGUN"))))))</f>
        <v/>
      </c>
      <c r="O95" s="224">
        <f>IF(OR($C95="",$D95="",$F95=""),"",IF($F95="Aylık",EOMONTH($D95,0),($D95+MOD(SISTEM!$F$8-WEEKDAY($D95,2),7))))</f>
        <v/>
      </c>
      <c r="P95" s="109" t="n"/>
      <c r="Q95" s="6" t="n"/>
      <c r="R95" s="6" t="n"/>
      <c r="S95" s="3">
        <f>IF($B95="","",$B95&amp;"|"&amp;COUNTIFS($B$7:$B95,$B95))</f>
        <v/>
      </c>
      <c r="T95" s="3">
        <f>IF($C95="","",UPPER(SUBSTITUTE(SUBSTITUTE(SUBSTITUTE(SUBSTITUTE(SUBSTITUTE(SUBSTITUTE(SUBSTITUTE(SUBSTITUTE(SUBSTITUTE(SUBSTITUTE(SUBSTITUTE(SUBSTITUTE(SUBSTITUTE(SUBSTITUTE(SUBSTITUTE(SUBSTITUTE(SUBSTITUTE(SUBSTITUTE(TRIM($C95),"'",""),"İ","I"),"ı","I"),"i","I"),"Ş","S"),"ş","S"),"Ğ","G"),"ğ","G"),"Ü","U"),"ü","U"),"Ö","O"),"ö","O"),"Ç","C"),"ç","C"),".",""),",","")," ",""),"-","")))</f>
        <v/>
      </c>
    </row>
    <row r="96">
      <c r="A96" s="6" t="n"/>
      <c r="B96" s="113">
        <f>IF($C96="","",IFERROR(INDEX(MUSTERILER!$B$7:$B$106,MATCH($T96,MUSTERILER!$T$7:$T$106,0)),IFERROR(INDEX(MUSTERILER!$B$7:$B$106,MATCH($C96,MUSTERILER!$B$7:$B$106,0)),IFERROR(INDEX(MUSTERILER!$B$7:$B$106,MATCH($T96&amp;"*",MUSTERILER!$T$7:$T$106,0)),"TANIMSIZ MÜŞTERİ"))))</f>
        <v/>
      </c>
      <c r="C96" s="109" t="n"/>
      <c r="D96" s="220" t="n"/>
      <c r="E96" s="220" t="n"/>
      <c r="F96" s="108" t="n"/>
      <c r="G96" s="221" t="n"/>
      <c r="H96" s="108" t="n"/>
      <c r="I96" s="222">
        <f>IF(OR($C96="",$D96="",$G96="",$F96=""),0,$G96*IF($F96="Aylık",MAX(0,(YEAR(MIN(IF($E96="",TODAY(),$E96),TODAY()))-YEAR($D96))*12+MONTH(MIN(IF($E96="",TODAY(),$E96),TODAY()))-MONTH($D96)+IF(MIN(IF($E96="",TODAY(),$E96),TODAY())&gt;=EOMONTH(MIN(IF($E96="",TODAY(),$E96),TODAY()),0),1,0)),MAX(0,INT((MIN(IF($E96="",TODAY(),$E96),TODAY())-($D96+MOD(SISTEM!$F$8-WEEKDAY($D96,2),7)))/7)+1)))</f>
        <v/>
      </c>
      <c r="J96" s="222">
        <f>IF(OR($C96="",$D96="",$G96="",$F96=""),0,$G96*IF($F96="Aylık",MAX(0,(YEAR(MIN(IF($E96="",TODAY()-8,$E96),TODAY()-8))-YEAR($D96))*12+MONTH(MIN(IF($E96="",TODAY()-8,$E96),TODAY()-8))-MONTH($D96)+IF(MIN(IF($E96="",TODAY()-8,$E96),TODAY()-8)&gt;=EOMONTH(MIN(IF($E96="",TODAY()-8,$E96),TODAY()-8),0),1,0)),MAX(0,INT((MIN(IF($E96="",TODAY()-8,$E96),TODAY()-8)-($D96+MOD(SISTEM!$F$8-WEEKDAY($D96,2),7)))/7)+1)))</f>
        <v/>
      </c>
      <c r="K96" s="222">
        <f>IF(OR($C96="",$D96="",$G96="",$F96=""),0,$G96*IF($F96="Aylık",MAX(0,(YEAR(MIN(IF($E96="",TODAY()-15,$E96),TODAY()-15))-YEAR($D96))*12+MONTH(MIN(IF($E96="",TODAY()-15,$E96),TODAY()-15))-MONTH($D96)+IF(MIN(IF($E96="",TODAY()-15,$E96),TODAY()-15)&gt;=EOMONTH(MIN(IF($E96="",TODAY()-15,$E96),TODAY()-15),0),1,0)),MAX(0,INT((MIN(IF($E96="",TODAY()-15,$E96),TODAY()-15)-($D96+MOD(SISTEM!$F$8-WEEKDAY($D96,2),7)))/7)+1)))</f>
        <v/>
      </c>
      <c r="L96" s="222">
        <f>IF(OR($C96="",$D96="",$G96="",$F96=""),0,$G96*IF($F96="Aylık",MAX(0,(YEAR(MIN(IF($E96="",TODAY()-29,$E96),TODAY()-29))-YEAR($D96))*12+MONTH(MIN(IF($E96="",TODAY()-29,$E96),TODAY()-29))-MONTH($D96)+IF(MIN(IF($E96="",TODAY()-29,$E96),TODAY()-29)&gt;=EOMONTH(MIN(IF($E96="",TODAY()-29,$E96),TODAY()-29),0),1,0)),MAX(0,INT((MIN(IF($E96="",TODAY()-29,$E96),TODAY()-29)-($D96+MOD(SISTEM!$F$8-WEEKDAY($D96,2),7)))/7)+1)))</f>
        <v/>
      </c>
      <c r="M96" s="223">
        <f>IF($G96&gt;0,$I96/$G96,0)</f>
        <v/>
      </c>
      <c r="N96" s="113">
        <f>IF($C96="","",IF($B96="TANIMSIZ MÜŞTERİ","TANIMSIZ MÜŞTERİ",IF($F96="","MODEL SEÇİN",IF(OR($D96="",$G96&lt;=0),"EKSİK",IF(AND($E96&lt;&gt;"",$E96&lt;$D96),"TARİH HATASI",IF($H96="Pasif","KAPALI DÖNEM","UYGUN"))))))</f>
        <v/>
      </c>
      <c r="O96" s="224">
        <f>IF(OR($C96="",$D96="",$F96=""),"",IF($F96="Aylık",EOMONTH($D96,0),($D96+MOD(SISTEM!$F$8-WEEKDAY($D96,2),7))))</f>
        <v/>
      </c>
      <c r="P96" s="109" t="n"/>
      <c r="Q96" s="6" t="n"/>
      <c r="R96" s="6" t="n"/>
      <c r="S96" s="3">
        <f>IF($B96="","",$B96&amp;"|"&amp;COUNTIFS($B$7:$B96,$B96))</f>
        <v/>
      </c>
      <c r="T96" s="3">
        <f>IF($C96="","",UPPER(SUBSTITUTE(SUBSTITUTE(SUBSTITUTE(SUBSTITUTE(SUBSTITUTE(SUBSTITUTE(SUBSTITUTE(SUBSTITUTE(SUBSTITUTE(SUBSTITUTE(SUBSTITUTE(SUBSTITUTE(SUBSTITUTE(SUBSTITUTE(SUBSTITUTE(SUBSTITUTE(SUBSTITUTE(SUBSTITUTE(TRIM($C96),"'",""),"İ","I"),"ı","I"),"i","I"),"Ş","S"),"ş","S"),"Ğ","G"),"ğ","G"),"Ü","U"),"ü","U"),"Ö","O"),"ö","O"),"Ç","C"),"ç","C"),".",""),",","")," ",""),"-","")))</f>
        <v/>
      </c>
    </row>
    <row r="97">
      <c r="A97" s="6" t="n"/>
      <c r="B97" s="113">
        <f>IF($C97="","",IFERROR(INDEX(MUSTERILER!$B$7:$B$106,MATCH($T97,MUSTERILER!$T$7:$T$106,0)),IFERROR(INDEX(MUSTERILER!$B$7:$B$106,MATCH($C97,MUSTERILER!$B$7:$B$106,0)),IFERROR(INDEX(MUSTERILER!$B$7:$B$106,MATCH($T97&amp;"*",MUSTERILER!$T$7:$T$106,0)),"TANIMSIZ MÜŞTERİ"))))</f>
        <v/>
      </c>
      <c r="C97" s="109" t="n"/>
      <c r="D97" s="220" t="n"/>
      <c r="E97" s="220" t="n"/>
      <c r="F97" s="108" t="n"/>
      <c r="G97" s="221" t="n"/>
      <c r="H97" s="108" t="n"/>
      <c r="I97" s="222">
        <f>IF(OR($C97="",$D97="",$G97="",$F97=""),0,$G97*IF($F97="Aylık",MAX(0,(YEAR(MIN(IF($E97="",TODAY(),$E97),TODAY()))-YEAR($D97))*12+MONTH(MIN(IF($E97="",TODAY(),$E97),TODAY()))-MONTH($D97)+IF(MIN(IF($E97="",TODAY(),$E97),TODAY())&gt;=EOMONTH(MIN(IF($E97="",TODAY(),$E97),TODAY()),0),1,0)),MAX(0,INT((MIN(IF($E97="",TODAY(),$E97),TODAY())-($D97+MOD(SISTEM!$F$8-WEEKDAY($D97,2),7)))/7)+1)))</f>
        <v/>
      </c>
      <c r="J97" s="222">
        <f>IF(OR($C97="",$D97="",$G97="",$F97=""),0,$G97*IF($F97="Aylık",MAX(0,(YEAR(MIN(IF($E97="",TODAY()-8,$E97),TODAY()-8))-YEAR($D97))*12+MONTH(MIN(IF($E97="",TODAY()-8,$E97),TODAY()-8))-MONTH($D97)+IF(MIN(IF($E97="",TODAY()-8,$E97),TODAY()-8)&gt;=EOMONTH(MIN(IF($E97="",TODAY()-8,$E97),TODAY()-8),0),1,0)),MAX(0,INT((MIN(IF($E97="",TODAY()-8,$E97),TODAY()-8)-($D97+MOD(SISTEM!$F$8-WEEKDAY($D97,2),7)))/7)+1)))</f>
        <v/>
      </c>
      <c r="K97" s="222">
        <f>IF(OR($C97="",$D97="",$G97="",$F97=""),0,$G97*IF($F97="Aylık",MAX(0,(YEAR(MIN(IF($E97="",TODAY()-15,$E97),TODAY()-15))-YEAR($D97))*12+MONTH(MIN(IF($E97="",TODAY()-15,$E97),TODAY()-15))-MONTH($D97)+IF(MIN(IF($E97="",TODAY()-15,$E97),TODAY()-15)&gt;=EOMONTH(MIN(IF($E97="",TODAY()-15,$E97),TODAY()-15),0),1,0)),MAX(0,INT((MIN(IF($E97="",TODAY()-15,$E97),TODAY()-15)-($D97+MOD(SISTEM!$F$8-WEEKDAY($D97,2),7)))/7)+1)))</f>
        <v/>
      </c>
      <c r="L97" s="222">
        <f>IF(OR($C97="",$D97="",$G97="",$F97=""),0,$G97*IF($F97="Aylık",MAX(0,(YEAR(MIN(IF($E97="",TODAY()-29,$E97),TODAY()-29))-YEAR($D97))*12+MONTH(MIN(IF($E97="",TODAY()-29,$E97),TODAY()-29))-MONTH($D97)+IF(MIN(IF($E97="",TODAY()-29,$E97),TODAY()-29)&gt;=EOMONTH(MIN(IF($E97="",TODAY()-29,$E97),TODAY()-29),0),1,0)),MAX(0,INT((MIN(IF($E97="",TODAY()-29,$E97),TODAY()-29)-($D97+MOD(SISTEM!$F$8-WEEKDAY($D97,2),7)))/7)+1)))</f>
        <v/>
      </c>
      <c r="M97" s="223">
        <f>IF($G97&gt;0,$I97/$G97,0)</f>
        <v/>
      </c>
      <c r="N97" s="113">
        <f>IF($C97="","",IF($B97="TANIMSIZ MÜŞTERİ","TANIMSIZ MÜŞTERİ",IF($F97="","MODEL SEÇİN",IF(OR($D97="",$G97&lt;=0),"EKSİK",IF(AND($E97&lt;&gt;"",$E97&lt;$D97),"TARİH HATASI",IF($H97="Pasif","KAPALI DÖNEM","UYGUN"))))))</f>
        <v/>
      </c>
      <c r="O97" s="224">
        <f>IF(OR($C97="",$D97="",$F97=""),"",IF($F97="Aylık",EOMONTH($D97,0),($D97+MOD(SISTEM!$F$8-WEEKDAY($D97,2),7))))</f>
        <v/>
      </c>
      <c r="P97" s="109" t="n"/>
      <c r="Q97" s="6" t="n"/>
      <c r="R97" s="6" t="n"/>
      <c r="S97" s="3">
        <f>IF($B97="","",$B97&amp;"|"&amp;COUNTIFS($B$7:$B97,$B97))</f>
        <v/>
      </c>
      <c r="T97" s="3">
        <f>IF($C97="","",UPPER(SUBSTITUTE(SUBSTITUTE(SUBSTITUTE(SUBSTITUTE(SUBSTITUTE(SUBSTITUTE(SUBSTITUTE(SUBSTITUTE(SUBSTITUTE(SUBSTITUTE(SUBSTITUTE(SUBSTITUTE(SUBSTITUTE(SUBSTITUTE(SUBSTITUTE(SUBSTITUTE(SUBSTITUTE(SUBSTITUTE(TRIM($C97),"'",""),"İ","I"),"ı","I"),"i","I"),"Ş","S"),"ş","S"),"Ğ","G"),"ğ","G"),"Ü","U"),"ü","U"),"Ö","O"),"ö","O"),"Ç","C"),"ç","C"),".",""),",","")," ",""),"-","")))</f>
        <v/>
      </c>
    </row>
    <row r="98">
      <c r="A98" s="6" t="n"/>
      <c r="B98" s="113">
        <f>IF($C98="","",IFERROR(INDEX(MUSTERILER!$B$7:$B$106,MATCH($T98,MUSTERILER!$T$7:$T$106,0)),IFERROR(INDEX(MUSTERILER!$B$7:$B$106,MATCH($C98,MUSTERILER!$B$7:$B$106,0)),IFERROR(INDEX(MUSTERILER!$B$7:$B$106,MATCH($T98&amp;"*",MUSTERILER!$T$7:$T$106,0)),"TANIMSIZ MÜŞTERİ"))))</f>
        <v/>
      </c>
      <c r="C98" s="109" t="n"/>
      <c r="D98" s="220" t="n"/>
      <c r="E98" s="220" t="n"/>
      <c r="F98" s="108" t="n"/>
      <c r="G98" s="221" t="n"/>
      <c r="H98" s="108" t="n"/>
      <c r="I98" s="222">
        <f>IF(OR($C98="",$D98="",$G98="",$F98=""),0,$G98*IF($F98="Aylık",MAX(0,(YEAR(MIN(IF($E98="",TODAY(),$E98),TODAY()))-YEAR($D98))*12+MONTH(MIN(IF($E98="",TODAY(),$E98),TODAY()))-MONTH($D98)+IF(MIN(IF($E98="",TODAY(),$E98),TODAY())&gt;=EOMONTH(MIN(IF($E98="",TODAY(),$E98),TODAY()),0),1,0)),MAX(0,INT((MIN(IF($E98="",TODAY(),$E98),TODAY())-($D98+MOD(SISTEM!$F$8-WEEKDAY($D98,2),7)))/7)+1)))</f>
        <v/>
      </c>
      <c r="J98" s="222">
        <f>IF(OR($C98="",$D98="",$G98="",$F98=""),0,$G98*IF($F98="Aylık",MAX(0,(YEAR(MIN(IF($E98="",TODAY()-8,$E98),TODAY()-8))-YEAR($D98))*12+MONTH(MIN(IF($E98="",TODAY()-8,$E98),TODAY()-8))-MONTH($D98)+IF(MIN(IF($E98="",TODAY()-8,$E98),TODAY()-8)&gt;=EOMONTH(MIN(IF($E98="",TODAY()-8,$E98),TODAY()-8),0),1,0)),MAX(0,INT((MIN(IF($E98="",TODAY()-8,$E98),TODAY()-8)-($D98+MOD(SISTEM!$F$8-WEEKDAY($D98,2),7)))/7)+1)))</f>
        <v/>
      </c>
      <c r="K98" s="222">
        <f>IF(OR($C98="",$D98="",$G98="",$F98=""),0,$G98*IF($F98="Aylık",MAX(0,(YEAR(MIN(IF($E98="",TODAY()-15,$E98),TODAY()-15))-YEAR($D98))*12+MONTH(MIN(IF($E98="",TODAY()-15,$E98),TODAY()-15))-MONTH($D98)+IF(MIN(IF($E98="",TODAY()-15,$E98),TODAY()-15)&gt;=EOMONTH(MIN(IF($E98="",TODAY()-15,$E98),TODAY()-15),0),1,0)),MAX(0,INT((MIN(IF($E98="",TODAY()-15,$E98),TODAY()-15)-($D98+MOD(SISTEM!$F$8-WEEKDAY($D98,2),7)))/7)+1)))</f>
        <v/>
      </c>
      <c r="L98" s="222">
        <f>IF(OR($C98="",$D98="",$G98="",$F98=""),0,$G98*IF($F98="Aylık",MAX(0,(YEAR(MIN(IF($E98="",TODAY()-29,$E98),TODAY()-29))-YEAR($D98))*12+MONTH(MIN(IF($E98="",TODAY()-29,$E98),TODAY()-29))-MONTH($D98)+IF(MIN(IF($E98="",TODAY()-29,$E98),TODAY()-29)&gt;=EOMONTH(MIN(IF($E98="",TODAY()-29,$E98),TODAY()-29),0),1,0)),MAX(0,INT((MIN(IF($E98="",TODAY()-29,$E98),TODAY()-29)-($D98+MOD(SISTEM!$F$8-WEEKDAY($D98,2),7)))/7)+1)))</f>
        <v/>
      </c>
      <c r="M98" s="223">
        <f>IF($G98&gt;0,$I98/$G98,0)</f>
        <v/>
      </c>
      <c r="N98" s="113">
        <f>IF($C98="","",IF($B98="TANIMSIZ MÜŞTERİ","TANIMSIZ MÜŞTERİ",IF($F98="","MODEL SEÇİN",IF(OR($D98="",$G98&lt;=0),"EKSİK",IF(AND($E98&lt;&gt;"",$E98&lt;$D98),"TARİH HATASI",IF($H98="Pasif","KAPALI DÖNEM","UYGUN"))))))</f>
        <v/>
      </c>
      <c r="O98" s="224">
        <f>IF(OR($C98="",$D98="",$F98=""),"",IF($F98="Aylık",EOMONTH($D98,0),($D98+MOD(SISTEM!$F$8-WEEKDAY($D98,2),7))))</f>
        <v/>
      </c>
      <c r="P98" s="109" t="n"/>
      <c r="Q98" s="6" t="n"/>
      <c r="R98" s="6" t="n"/>
      <c r="S98" s="3">
        <f>IF($B98="","",$B98&amp;"|"&amp;COUNTIFS($B$7:$B98,$B98))</f>
        <v/>
      </c>
      <c r="T98" s="3">
        <f>IF($C98="","",UPPER(SUBSTITUTE(SUBSTITUTE(SUBSTITUTE(SUBSTITUTE(SUBSTITUTE(SUBSTITUTE(SUBSTITUTE(SUBSTITUTE(SUBSTITUTE(SUBSTITUTE(SUBSTITUTE(SUBSTITUTE(SUBSTITUTE(SUBSTITUTE(SUBSTITUTE(SUBSTITUTE(SUBSTITUTE(SUBSTITUTE(TRIM($C98),"'",""),"İ","I"),"ı","I"),"i","I"),"Ş","S"),"ş","S"),"Ğ","G"),"ğ","G"),"Ü","U"),"ü","U"),"Ö","O"),"ö","O"),"Ç","C"),"ç","C"),".",""),",","")," ",""),"-","")))</f>
        <v/>
      </c>
    </row>
    <row r="99">
      <c r="A99" s="6" t="n"/>
      <c r="B99" s="113">
        <f>IF($C99="","",IFERROR(INDEX(MUSTERILER!$B$7:$B$106,MATCH($T99,MUSTERILER!$T$7:$T$106,0)),IFERROR(INDEX(MUSTERILER!$B$7:$B$106,MATCH($C99,MUSTERILER!$B$7:$B$106,0)),IFERROR(INDEX(MUSTERILER!$B$7:$B$106,MATCH($T99&amp;"*",MUSTERILER!$T$7:$T$106,0)),"TANIMSIZ MÜŞTERİ"))))</f>
        <v/>
      </c>
      <c r="C99" s="109" t="n"/>
      <c r="D99" s="220" t="n"/>
      <c r="E99" s="220" t="n"/>
      <c r="F99" s="108" t="n"/>
      <c r="G99" s="221" t="n"/>
      <c r="H99" s="108" t="n"/>
      <c r="I99" s="222">
        <f>IF(OR($C99="",$D99="",$G99="",$F99=""),0,$G99*IF($F99="Aylık",MAX(0,(YEAR(MIN(IF($E99="",TODAY(),$E99),TODAY()))-YEAR($D99))*12+MONTH(MIN(IF($E99="",TODAY(),$E99),TODAY()))-MONTH($D99)+IF(MIN(IF($E99="",TODAY(),$E99),TODAY())&gt;=EOMONTH(MIN(IF($E99="",TODAY(),$E99),TODAY()),0),1,0)),MAX(0,INT((MIN(IF($E99="",TODAY(),$E99),TODAY())-($D99+MOD(SISTEM!$F$8-WEEKDAY($D99,2),7)))/7)+1)))</f>
        <v/>
      </c>
      <c r="J99" s="222">
        <f>IF(OR($C99="",$D99="",$G99="",$F99=""),0,$G99*IF($F99="Aylık",MAX(0,(YEAR(MIN(IF($E99="",TODAY()-8,$E99),TODAY()-8))-YEAR($D99))*12+MONTH(MIN(IF($E99="",TODAY()-8,$E99),TODAY()-8))-MONTH($D99)+IF(MIN(IF($E99="",TODAY()-8,$E99),TODAY()-8)&gt;=EOMONTH(MIN(IF($E99="",TODAY()-8,$E99),TODAY()-8),0),1,0)),MAX(0,INT((MIN(IF($E99="",TODAY()-8,$E99),TODAY()-8)-($D99+MOD(SISTEM!$F$8-WEEKDAY($D99,2),7)))/7)+1)))</f>
        <v/>
      </c>
      <c r="K99" s="222">
        <f>IF(OR($C99="",$D99="",$G99="",$F99=""),0,$G99*IF($F99="Aylık",MAX(0,(YEAR(MIN(IF($E99="",TODAY()-15,$E99),TODAY()-15))-YEAR($D99))*12+MONTH(MIN(IF($E99="",TODAY()-15,$E99),TODAY()-15))-MONTH($D99)+IF(MIN(IF($E99="",TODAY()-15,$E99),TODAY()-15)&gt;=EOMONTH(MIN(IF($E99="",TODAY()-15,$E99),TODAY()-15),0),1,0)),MAX(0,INT((MIN(IF($E99="",TODAY()-15,$E99),TODAY()-15)-($D99+MOD(SISTEM!$F$8-WEEKDAY($D99,2),7)))/7)+1)))</f>
        <v/>
      </c>
      <c r="L99" s="222">
        <f>IF(OR($C99="",$D99="",$G99="",$F99=""),0,$G99*IF($F99="Aylık",MAX(0,(YEAR(MIN(IF($E99="",TODAY()-29,$E99),TODAY()-29))-YEAR($D99))*12+MONTH(MIN(IF($E99="",TODAY()-29,$E99),TODAY()-29))-MONTH($D99)+IF(MIN(IF($E99="",TODAY()-29,$E99),TODAY()-29)&gt;=EOMONTH(MIN(IF($E99="",TODAY()-29,$E99),TODAY()-29),0),1,0)),MAX(0,INT((MIN(IF($E99="",TODAY()-29,$E99),TODAY()-29)-($D99+MOD(SISTEM!$F$8-WEEKDAY($D99,2),7)))/7)+1)))</f>
        <v/>
      </c>
      <c r="M99" s="223">
        <f>IF($G99&gt;0,$I99/$G99,0)</f>
        <v/>
      </c>
      <c r="N99" s="113">
        <f>IF($C99="","",IF($B99="TANIMSIZ MÜŞTERİ","TANIMSIZ MÜŞTERİ",IF($F99="","MODEL SEÇİN",IF(OR($D99="",$G99&lt;=0),"EKSİK",IF(AND($E99&lt;&gt;"",$E99&lt;$D99),"TARİH HATASI",IF($H99="Pasif","KAPALI DÖNEM","UYGUN"))))))</f>
        <v/>
      </c>
      <c r="O99" s="224">
        <f>IF(OR($C99="",$D99="",$F99=""),"",IF($F99="Aylık",EOMONTH($D99,0),($D99+MOD(SISTEM!$F$8-WEEKDAY($D99,2),7))))</f>
        <v/>
      </c>
      <c r="P99" s="109" t="n"/>
      <c r="Q99" s="6" t="n"/>
      <c r="R99" s="6" t="n"/>
      <c r="S99" s="3">
        <f>IF($B99="","",$B99&amp;"|"&amp;COUNTIFS($B$7:$B99,$B99))</f>
        <v/>
      </c>
      <c r="T99" s="3">
        <f>IF($C99="","",UPPER(SUBSTITUTE(SUBSTITUTE(SUBSTITUTE(SUBSTITUTE(SUBSTITUTE(SUBSTITUTE(SUBSTITUTE(SUBSTITUTE(SUBSTITUTE(SUBSTITUTE(SUBSTITUTE(SUBSTITUTE(SUBSTITUTE(SUBSTITUTE(SUBSTITUTE(SUBSTITUTE(SUBSTITUTE(SUBSTITUTE(TRIM($C99),"'",""),"İ","I"),"ı","I"),"i","I"),"Ş","S"),"ş","S"),"Ğ","G"),"ğ","G"),"Ü","U"),"ü","U"),"Ö","O"),"ö","O"),"Ç","C"),"ç","C"),".",""),",","")," ",""),"-","")))</f>
        <v/>
      </c>
    </row>
    <row r="100">
      <c r="A100" s="6" t="n"/>
      <c r="B100" s="113">
        <f>IF($C100="","",IFERROR(INDEX(MUSTERILER!$B$7:$B$106,MATCH($T100,MUSTERILER!$T$7:$T$106,0)),IFERROR(INDEX(MUSTERILER!$B$7:$B$106,MATCH($C100,MUSTERILER!$B$7:$B$106,0)),IFERROR(INDEX(MUSTERILER!$B$7:$B$106,MATCH($T100&amp;"*",MUSTERILER!$T$7:$T$106,0)),"TANIMSIZ MÜŞTERİ"))))</f>
        <v/>
      </c>
      <c r="C100" s="109" t="n"/>
      <c r="D100" s="220" t="n"/>
      <c r="E100" s="220" t="n"/>
      <c r="F100" s="108" t="n"/>
      <c r="G100" s="221" t="n"/>
      <c r="H100" s="108" t="n"/>
      <c r="I100" s="222">
        <f>IF(OR($C100="",$D100="",$G100="",$F100=""),0,$G100*IF($F100="Aylık",MAX(0,(YEAR(MIN(IF($E100="",TODAY(),$E100),TODAY()))-YEAR($D100))*12+MONTH(MIN(IF($E100="",TODAY(),$E100),TODAY()))-MONTH($D100)+IF(MIN(IF($E100="",TODAY(),$E100),TODAY())&gt;=EOMONTH(MIN(IF($E100="",TODAY(),$E100),TODAY()),0),1,0)),MAX(0,INT((MIN(IF($E100="",TODAY(),$E100),TODAY())-($D100+MOD(SISTEM!$F$8-WEEKDAY($D100,2),7)))/7)+1)))</f>
        <v/>
      </c>
      <c r="J100" s="222">
        <f>IF(OR($C100="",$D100="",$G100="",$F100=""),0,$G100*IF($F100="Aylık",MAX(0,(YEAR(MIN(IF($E100="",TODAY()-8,$E100),TODAY()-8))-YEAR($D100))*12+MONTH(MIN(IF($E100="",TODAY()-8,$E100),TODAY()-8))-MONTH($D100)+IF(MIN(IF($E100="",TODAY()-8,$E100),TODAY()-8)&gt;=EOMONTH(MIN(IF($E100="",TODAY()-8,$E100),TODAY()-8),0),1,0)),MAX(0,INT((MIN(IF($E100="",TODAY()-8,$E100),TODAY()-8)-($D100+MOD(SISTEM!$F$8-WEEKDAY($D100,2),7)))/7)+1)))</f>
        <v/>
      </c>
      <c r="K100" s="222">
        <f>IF(OR($C100="",$D100="",$G100="",$F100=""),0,$G100*IF($F100="Aylık",MAX(0,(YEAR(MIN(IF($E100="",TODAY()-15,$E100),TODAY()-15))-YEAR($D100))*12+MONTH(MIN(IF($E100="",TODAY()-15,$E100),TODAY()-15))-MONTH($D100)+IF(MIN(IF($E100="",TODAY()-15,$E100),TODAY()-15)&gt;=EOMONTH(MIN(IF($E100="",TODAY()-15,$E100),TODAY()-15),0),1,0)),MAX(0,INT((MIN(IF($E100="",TODAY()-15,$E100),TODAY()-15)-($D100+MOD(SISTEM!$F$8-WEEKDAY($D100,2),7)))/7)+1)))</f>
        <v/>
      </c>
      <c r="L100" s="222">
        <f>IF(OR($C100="",$D100="",$G100="",$F100=""),0,$G100*IF($F100="Aylık",MAX(0,(YEAR(MIN(IF($E100="",TODAY()-29,$E100),TODAY()-29))-YEAR($D100))*12+MONTH(MIN(IF($E100="",TODAY()-29,$E100),TODAY()-29))-MONTH($D100)+IF(MIN(IF($E100="",TODAY()-29,$E100),TODAY()-29)&gt;=EOMONTH(MIN(IF($E100="",TODAY()-29,$E100),TODAY()-29),0),1,0)),MAX(0,INT((MIN(IF($E100="",TODAY()-29,$E100),TODAY()-29)-($D100+MOD(SISTEM!$F$8-WEEKDAY($D100,2),7)))/7)+1)))</f>
        <v/>
      </c>
      <c r="M100" s="223">
        <f>IF($G100&gt;0,$I100/$G100,0)</f>
        <v/>
      </c>
      <c r="N100" s="113">
        <f>IF($C100="","",IF($B100="TANIMSIZ MÜŞTERİ","TANIMSIZ MÜŞTERİ",IF($F100="","MODEL SEÇİN",IF(OR($D100="",$G100&lt;=0),"EKSİK",IF(AND($E100&lt;&gt;"",$E100&lt;$D100),"TARİH HATASI",IF($H100="Pasif","KAPALI DÖNEM","UYGUN"))))))</f>
        <v/>
      </c>
      <c r="O100" s="224">
        <f>IF(OR($C100="",$D100="",$F100=""),"",IF($F100="Aylık",EOMONTH($D100,0),($D100+MOD(SISTEM!$F$8-WEEKDAY($D100,2),7))))</f>
        <v/>
      </c>
      <c r="P100" s="109" t="n"/>
      <c r="Q100" s="6" t="n"/>
      <c r="R100" s="6" t="n"/>
      <c r="S100" s="3">
        <f>IF($B100="","",$B100&amp;"|"&amp;COUNTIFS($B$7:$B100,$B100))</f>
        <v/>
      </c>
      <c r="T100" s="3">
        <f>IF($C100="","",UPPER(SUBSTITUTE(SUBSTITUTE(SUBSTITUTE(SUBSTITUTE(SUBSTITUTE(SUBSTITUTE(SUBSTITUTE(SUBSTITUTE(SUBSTITUTE(SUBSTITUTE(SUBSTITUTE(SUBSTITUTE(SUBSTITUTE(SUBSTITUTE(SUBSTITUTE(SUBSTITUTE(SUBSTITUTE(SUBSTITUTE(TRIM($C100),"'",""),"İ","I"),"ı","I"),"i","I"),"Ş","S"),"ş","S"),"Ğ","G"),"ğ","G"),"Ü","U"),"ü","U"),"Ö","O"),"ö","O"),"Ç","C"),"ç","C"),".",""),",","")," ",""),"-","")))</f>
        <v/>
      </c>
    </row>
    <row r="101">
      <c r="A101" s="6" t="n"/>
      <c r="B101" s="113">
        <f>IF($C101="","",IFERROR(INDEX(MUSTERILER!$B$7:$B$106,MATCH($T101,MUSTERILER!$T$7:$T$106,0)),IFERROR(INDEX(MUSTERILER!$B$7:$B$106,MATCH($C101,MUSTERILER!$B$7:$B$106,0)),IFERROR(INDEX(MUSTERILER!$B$7:$B$106,MATCH($T101&amp;"*",MUSTERILER!$T$7:$T$106,0)),"TANIMSIZ MÜŞTERİ"))))</f>
        <v/>
      </c>
      <c r="C101" s="109" t="n"/>
      <c r="D101" s="220" t="n"/>
      <c r="E101" s="220" t="n"/>
      <c r="F101" s="108" t="n"/>
      <c r="G101" s="221" t="n"/>
      <c r="H101" s="108" t="n"/>
      <c r="I101" s="222">
        <f>IF(OR($C101="",$D101="",$G101="",$F101=""),0,$G101*IF($F101="Aylık",MAX(0,(YEAR(MIN(IF($E101="",TODAY(),$E101),TODAY()))-YEAR($D101))*12+MONTH(MIN(IF($E101="",TODAY(),$E101),TODAY()))-MONTH($D101)+IF(MIN(IF($E101="",TODAY(),$E101),TODAY())&gt;=EOMONTH(MIN(IF($E101="",TODAY(),$E101),TODAY()),0),1,0)),MAX(0,INT((MIN(IF($E101="",TODAY(),$E101),TODAY())-($D101+MOD(SISTEM!$F$8-WEEKDAY($D101,2),7)))/7)+1)))</f>
        <v/>
      </c>
      <c r="J101" s="222">
        <f>IF(OR($C101="",$D101="",$G101="",$F101=""),0,$G101*IF($F101="Aylık",MAX(0,(YEAR(MIN(IF($E101="",TODAY()-8,$E101),TODAY()-8))-YEAR($D101))*12+MONTH(MIN(IF($E101="",TODAY()-8,$E101),TODAY()-8))-MONTH($D101)+IF(MIN(IF($E101="",TODAY()-8,$E101),TODAY()-8)&gt;=EOMONTH(MIN(IF($E101="",TODAY()-8,$E101),TODAY()-8),0),1,0)),MAX(0,INT((MIN(IF($E101="",TODAY()-8,$E101),TODAY()-8)-($D101+MOD(SISTEM!$F$8-WEEKDAY($D101,2),7)))/7)+1)))</f>
        <v/>
      </c>
      <c r="K101" s="222">
        <f>IF(OR($C101="",$D101="",$G101="",$F101=""),0,$G101*IF($F101="Aylık",MAX(0,(YEAR(MIN(IF($E101="",TODAY()-15,$E101),TODAY()-15))-YEAR($D101))*12+MONTH(MIN(IF($E101="",TODAY()-15,$E101),TODAY()-15))-MONTH($D101)+IF(MIN(IF($E101="",TODAY()-15,$E101),TODAY()-15)&gt;=EOMONTH(MIN(IF($E101="",TODAY()-15,$E101),TODAY()-15),0),1,0)),MAX(0,INT((MIN(IF($E101="",TODAY()-15,$E101),TODAY()-15)-($D101+MOD(SISTEM!$F$8-WEEKDAY($D101,2),7)))/7)+1)))</f>
        <v/>
      </c>
      <c r="L101" s="222">
        <f>IF(OR($C101="",$D101="",$G101="",$F101=""),0,$G101*IF($F101="Aylık",MAX(0,(YEAR(MIN(IF($E101="",TODAY()-29,$E101),TODAY()-29))-YEAR($D101))*12+MONTH(MIN(IF($E101="",TODAY()-29,$E101),TODAY()-29))-MONTH($D101)+IF(MIN(IF($E101="",TODAY()-29,$E101),TODAY()-29)&gt;=EOMONTH(MIN(IF($E101="",TODAY()-29,$E101),TODAY()-29),0),1,0)),MAX(0,INT((MIN(IF($E101="",TODAY()-29,$E101),TODAY()-29)-($D101+MOD(SISTEM!$F$8-WEEKDAY($D101,2),7)))/7)+1)))</f>
        <v/>
      </c>
      <c r="M101" s="223">
        <f>IF($G101&gt;0,$I101/$G101,0)</f>
        <v/>
      </c>
      <c r="N101" s="113">
        <f>IF($C101="","",IF($B101="TANIMSIZ MÜŞTERİ","TANIMSIZ MÜŞTERİ",IF($F101="","MODEL SEÇİN",IF(OR($D101="",$G101&lt;=0),"EKSİK",IF(AND($E101&lt;&gt;"",$E101&lt;$D101),"TARİH HATASI",IF($H101="Pasif","KAPALI DÖNEM","UYGUN"))))))</f>
        <v/>
      </c>
      <c r="O101" s="224">
        <f>IF(OR($C101="",$D101="",$F101=""),"",IF($F101="Aylık",EOMONTH($D101,0),($D101+MOD(SISTEM!$F$8-WEEKDAY($D101,2),7))))</f>
        <v/>
      </c>
      <c r="P101" s="109" t="n"/>
      <c r="Q101" s="6" t="n"/>
      <c r="R101" s="6" t="n"/>
      <c r="S101" s="3">
        <f>IF($B101="","",$B101&amp;"|"&amp;COUNTIFS($B$7:$B101,$B101))</f>
        <v/>
      </c>
      <c r="T101" s="3">
        <f>IF($C101="","",UPPER(SUBSTITUTE(SUBSTITUTE(SUBSTITUTE(SUBSTITUTE(SUBSTITUTE(SUBSTITUTE(SUBSTITUTE(SUBSTITUTE(SUBSTITUTE(SUBSTITUTE(SUBSTITUTE(SUBSTITUTE(SUBSTITUTE(SUBSTITUTE(SUBSTITUTE(SUBSTITUTE(SUBSTITUTE(SUBSTITUTE(TRIM($C101),"'",""),"İ","I"),"ı","I"),"i","I"),"Ş","S"),"ş","S"),"Ğ","G"),"ğ","G"),"Ü","U"),"ü","U"),"Ö","O"),"ö","O"),"Ç","C"),"ç","C"),".",""),",","")," ",""),"-","")))</f>
        <v/>
      </c>
    </row>
    <row r="102">
      <c r="A102" s="6" t="n"/>
      <c r="B102" s="113">
        <f>IF($C102="","",IFERROR(INDEX(MUSTERILER!$B$7:$B$106,MATCH($T102,MUSTERILER!$T$7:$T$106,0)),IFERROR(INDEX(MUSTERILER!$B$7:$B$106,MATCH($C102,MUSTERILER!$B$7:$B$106,0)),IFERROR(INDEX(MUSTERILER!$B$7:$B$106,MATCH($T102&amp;"*",MUSTERILER!$T$7:$T$106,0)),"TANIMSIZ MÜŞTERİ"))))</f>
        <v/>
      </c>
      <c r="C102" s="109" t="n"/>
      <c r="D102" s="220" t="n"/>
      <c r="E102" s="220" t="n"/>
      <c r="F102" s="108" t="n"/>
      <c r="G102" s="221" t="n"/>
      <c r="H102" s="108" t="n"/>
      <c r="I102" s="222">
        <f>IF(OR($C102="",$D102="",$G102="",$F102=""),0,$G102*IF($F102="Aylık",MAX(0,(YEAR(MIN(IF($E102="",TODAY(),$E102),TODAY()))-YEAR($D102))*12+MONTH(MIN(IF($E102="",TODAY(),$E102),TODAY()))-MONTH($D102)+IF(MIN(IF($E102="",TODAY(),$E102),TODAY())&gt;=EOMONTH(MIN(IF($E102="",TODAY(),$E102),TODAY()),0),1,0)),MAX(0,INT((MIN(IF($E102="",TODAY(),$E102),TODAY())-($D102+MOD(SISTEM!$F$8-WEEKDAY($D102,2),7)))/7)+1)))</f>
        <v/>
      </c>
      <c r="J102" s="222">
        <f>IF(OR($C102="",$D102="",$G102="",$F102=""),0,$G102*IF($F102="Aylık",MAX(0,(YEAR(MIN(IF($E102="",TODAY()-8,$E102),TODAY()-8))-YEAR($D102))*12+MONTH(MIN(IF($E102="",TODAY()-8,$E102),TODAY()-8))-MONTH($D102)+IF(MIN(IF($E102="",TODAY()-8,$E102),TODAY()-8)&gt;=EOMONTH(MIN(IF($E102="",TODAY()-8,$E102),TODAY()-8),0),1,0)),MAX(0,INT((MIN(IF($E102="",TODAY()-8,$E102),TODAY()-8)-($D102+MOD(SISTEM!$F$8-WEEKDAY($D102,2),7)))/7)+1)))</f>
        <v/>
      </c>
      <c r="K102" s="222">
        <f>IF(OR($C102="",$D102="",$G102="",$F102=""),0,$G102*IF($F102="Aylık",MAX(0,(YEAR(MIN(IF($E102="",TODAY()-15,$E102),TODAY()-15))-YEAR($D102))*12+MONTH(MIN(IF($E102="",TODAY()-15,$E102),TODAY()-15))-MONTH($D102)+IF(MIN(IF($E102="",TODAY()-15,$E102),TODAY()-15)&gt;=EOMONTH(MIN(IF($E102="",TODAY()-15,$E102),TODAY()-15),0),1,0)),MAX(0,INT((MIN(IF($E102="",TODAY()-15,$E102),TODAY()-15)-($D102+MOD(SISTEM!$F$8-WEEKDAY($D102,2),7)))/7)+1)))</f>
        <v/>
      </c>
      <c r="L102" s="222">
        <f>IF(OR($C102="",$D102="",$G102="",$F102=""),0,$G102*IF($F102="Aylık",MAX(0,(YEAR(MIN(IF($E102="",TODAY()-29,$E102),TODAY()-29))-YEAR($D102))*12+MONTH(MIN(IF($E102="",TODAY()-29,$E102),TODAY()-29))-MONTH($D102)+IF(MIN(IF($E102="",TODAY()-29,$E102),TODAY()-29)&gt;=EOMONTH(MIN(IF($E102="",TODAY()-29,$E102),TODAY()-29),0),1,0)),MAX(0,INT((MIN(IF($E102="",TODAY()-29,$E102),TODAY()-29)-($D102+MOD(SISTEM!$F$8-WEEKDAY($D102,2),7)))/7)+1)))</f>
        <v/>
      </c>
      <c r="M102" s="223">
        <f>IF($G102&gt;0,$I102/$G102,0)</f>
        <v/>
      </c>
      <c r="N102" s="113">
        <f>IF($C102="","",IF($B102="TANIMSIZ MÜŞTERİ","TANIMSIZ MÜŞTERİ",IF($F102="","MODEL SEÇİN",IF(OR($D102="",$G102&lt;=0),"EKSİK",IF(AND($E102&lt;&gt;"",$E102&lt;$D102),"TARİH HATASI",IF($H102="Pasif","KAPALI DÖNEM","UYGUN"))))))</f>
        <v/>
      </c>
      <c r="O102" s="224">
        <f>IF(OR($C102="",$D102="",$F102=""),"",IF($F102="Aylık",EOMONTH($D102,0),($D102+MOD(SISTEM!$F$8-WEEKDAY($D102,2),7))))</f>
        <v/>
      </c>
      <c r="P102" s="109" t="n"/>
      <c r="Q102" s="6" t="n"/>
      <c r="R102" s="6" t="n"/>
      <c r="S102" s="3">
        <f>IF($B102="","",$B102&amp;"|"&amp;COUNTIFS($B$7:$B102,$B102))</f>
        <v/>
      </c>
      <c r="T102" s="3">
        <f>IF($C102="","",UPPER(SUBSTITUTE(SUBSTITUTE(SUBSTITUTE(SUBSTITUTE(SUBSTITUTE(SUBSTITUTE(SUBSTITUTE(SUBSTITUTE(SUBSTITUTE(SUBSTITUTE(SUBSTITUTE(SUBSTITUTE(SUBSTITUTE(SUBSTITUTE(SUBSTITUTE(SUBSTITUTE(SUBSTITUTE(SUBSTITUTE(TRIM($C102),"'",""),"İ","I"),"ı","I"),"i","I"),"Ş","S"),"ş","S"),"Ğ","G"),"ğ","G"),"Ü","U"),"ü","U"),"Ö","O"),"ö","O"),"Ç","C"),"ç","C"),".",""),",","")," ",""),"-","")))</f>
        <v/>
      </c>
    </row>
    <row r="103">
      <c r="A103" s="6" t="n"/>
      <c r="B103" s="113">
        <f>IF($C103="","",IFERROR(INDEX(MUSTERILER!$B$7:$B$106,MATCH($T103,MUSTERILER!$T$7:$T$106,0)),IFERROR(INDEX(MUSTERILER!$B$7:$B$106,MATCH($C103,MUSTERILER!$B$7:$B$106,0)),IFERROR(INDEX(MUSTERILER!$B$7:$B$106,MATCH($T103&amp;"*",MUSTERILER!$T$7:$T$106,0)),"TANIMSIZ MÜŞTERİ"))))</f>
        <v/>
      </c>
      <c r="C103" s="109" t="n"/>
      <c r="D103" s="220" t="n"/>
      <c r="E103" s="220" t="n"/>
      <c r="F103" s="108" t="n"/>
      <c r="G103" s="221" t="n"/>
      <c r="H103" s="108" t="n"/>
      <c r="I103" s="222">
        <f>IF(OR($C103="",$D103="",$G103="",$F103=""),0,$G103*IF($F103="Aylık",MAX(0,(YEAR(MIN(IF($E103="",TODAY(),$E103),TODAY()))-YEAR($D103))*12+MONTH(MIN(IF($E103="",TODAY(),$E103),TODAY()))-MONTH($D103)+IF(MIN(IF($E103="",TODAY(),$E103),TODAY())&gt;=EOMONTH(MIN(IF($E103="",TODAY(),$E103),TODAY()),0),1,0)),MAX(0,INT((MIN(IF($E103="",TODAY(),$E103),TODAY())-($D103+MOD(SISTEM!$F$8-WEEKDAY($D103,2),7)))/7)+1)))</f>
        <v/>
      </c>
      <c r="J103" s="222">
        <f>IF(OR($C103="",$D103="",$G103="",$F103=""),0,$G103*IF($F103="Aylık",MAX(0,(YEAR(MIN(IF($E103="",TODAY()-8,$E103),TODAY()-8))-YEAR($D103))*12+MONTH(MIN(IF($E103="",TODAY()-8,$E103),TODAY()-8))-MONTH($D103)+IF(MIN(IF($E103="",TODAY()-8,$E103),TODAY()-8)&gt;=EOMONTH(MIN(IF($E103="",TODAY()-8,$E103),TODAY()-8),0),1,0)),MAX(0,INT((MIN(IF($E103="",TODAY()-8,$E103),TODAY()-8)-($D103+MOD(SISTEM!$F$8-WEEKDAY($D103,2),7)))/7)+1)))</f>
        <v/>
      </c>
      <c r="K103" s="222">
        <f>IF(OR($C103="",$D103="",$G103="",$F103=""),0,$G103*IF($F103="Aylık",MAX(0,(YEAR(MIN(IF($E103="",TODAY()-15,$E103),TODAY()-15))-YEAR($D103))*12+MONTH(MIN(IF($E103="",TODAY()-15,$E103),TODAY()-15))-MONTH($D103)+IF(MIN(IF($E103="",TODAY()-15,$E103),TODAY()-15)&gt;=EOMONTH(MIN(IF($E103="",TODAY()-15,$E103),TODAY()-15),0),1,0)),MAX(0,INT((MIN(IF($E103="",TODAY()-15,$E103),TODAY()-15)-($D103+MOD(SISTEM!$F$8-WEEKDAY($D103,2),7)))/7)+1)))</f>
        <v/>
      </c>
      <c r="L103" s="222">
        <f>IF(OR($C103="",$D103="",$G103="",$F103=""),0,$G103*IF($F103="Aylık",MAX(0,(YEAR(MIN(IF($E103="",TODAY()-29,$E103),TODAY()-29))-YEAR($D103))*12+MONTH(MIN(IF($E103="",TODAY()-29,$E103),TODAY()-29))-MONTH($D103)+IF(MIN(IF($E103="",TODAY()-29,$E103),TODAY()-29)&gt;=EOMONTH(MIN(IF($E103="",TODAY()-29,$E103),TODAY()-29),0),1,0)),MAX(0,INT((MIN(IF($E103="",TODAY()-29,$E103),TODAY()-29)-($D103+MOD(SISTEM!$F$8-WEEKDAY($D103,2),7)))/7)+1)))</f>
        <v/>
      </c>
      <c r="M103" s="223">
        <f>IF($G103&gt;0,$I103/$G103,0)</f>
        <v/>
      </c>
      <c r="N103" s="113">
        <f>IF($C103="","",IF($B103="TANIMSIZ MÜŞTERİ","TANIMSIZ MÜŞTERİ",IF($F103="","MODEL SEÇİN",IF(OR($D103="",$G103&lt;=0),"EKSİK",IF(AND($E103&lt;&gt;"",$E103&lt;$D103),"TARİH HATASI",IF($H103="Pasif","KAPALI DÖNEM","UYGUN"))))))</f>
        <v/>
      </c>
      <c r="O103" s="224">
        <f>IF(OR($C103="",$D103="",$F103=""),"",IF($F103="Aylık",EOMONTH($D103,0),($D103+MOD(SISTEM!$F$8-WEEKDAY($D103,2),7))))</f>
        <v/>
      </c>
      <c r="P103" s="109" t="n"/>
      <c r="Q103" s="6" t="n"/>
      <c r="R103" s="6" t="n"/>
      <c r="S103" s="3">
        <f>IF($B103="","",$B103&amp;"|"&amp;COUNTIFS($B$7:$B103,$B103))</f>
        <v/>
      </c>
      <c r="T103" s="3">
        <f>IF($C103="","",UPPER(SUBSTITUTE(SUBSTITUTE(SUBSTITUTE(SUBSTITUTE(SUBSTITUTE(SUBSTITUTE(SUBSTITUTE(SUBSTITUTE(SUBSTITUTE(SUBSTITUTE(SUBSTITUTE(SUBSTITUTE(SUBSTITUTE(SUBSTITUTE(SUBSTITUTE(SUBSTITUTE(SUBSTITUTE(SUBSTITUTE(TRIM($C103),"'",""),"İ","I"),"ı","I"),"i","I"),"Ş","S"),"ş","S"),"Ğ","G"),"ğ","G"),"Ü","U"),"ü","U"),"Ö","O"),"ö","O"),"Ç","C"),"ç","C"),".",""),",","")," ",""),"-","")))</f>
        <v/>
      </c>
    </row>
    <row r="104">
      <c r="A104" s="6" t="n"/>
      <c r="B104" s="113">
        <f>IF($C104="","",IFERROR(INDEX(MUSTERILER!$B$7:$B$106,MATCH($T104,MUSTERILER!$T$7:$T$106,0)),IFERROR(INDEX(MUSTERILER!$B$7:$B$106,MATCH($C104,MUSTERILER!$B$7:$B$106,0)),IFERROR(INDEX(MUSTERILER!$B$7:$B$106,MATCH($T104&amp;"*",MUSTERILER!$T$7:$T$106,0)),"TANIMSIZ MÜŞTERİ"))))</f>
        <v/>
      </c>
      <c r="C104" s="109" t="n"/>
      <c r="D104" s="220" t="n"/>
      <c r="E104" s="220" t="n"/>
      <c r="F104" s="108" t="n"/>
      <c r="G104" s="221" t="n"/>
      <c r="H104" s="108" t="n"/>
      <c r="I104" s="222">
        <f>IF(OR($C104="",$D104="",$G104="",$F104=""),0,$G104*IF($F104="Aylık",MAX(0,(YEAR(MIN(IF($E104="",TODAY(),$E104),TODAY()))-YEAR($D104))*12+MONTH(MIN(IF($E104="",TODAY(),$E104),TODAY()))-MONTH($D104)+IF(MIN(IF($E104="",TODAY(),$E104),TODAY())&gt;=EOMONTH(MIN(IF($E104="",TODAY(),$E104),TODAY()),0),1,0)),MAX(0,INT((MIN(IF($E104="",TODAY(),$E104),TODAY())-($D104+MOD(SISTEM!$F$8-WEEKDAY($D104,2),7)))/7)+1)))</f>
        <v/>
      </c>
      <c r="J104" s="222">
        <f>IF(OR($C104="",$D104="",$G104="",$F104=""),0,$G104*IF($F104="Aylık",MAX(0,(YEAR(MIN(IF($E104="",TODAY()-8,$E104),TODAY()-8))-YEAR($D104))*12+MONTH(MIN(IF($E104="",TODAY()-8,$E104),TODAY()-8))-MONTH($D104)+IF(MIN(IF($E104="",TODAY()-8,$E104),TODAY()-8)&gt;=EOMONTH(MIN(IF($E104="",TODAY()-8,$E104),TODAY()-8),0),1,0)),MAX(0,INT((MIN(IF($E104="",TODAY()-8,$E104),TODAY()-8)-($D104+MOD(SISTEM!$F$8-WEEKDAY($D104,2),7)))/7)+1)))</f>
        <v/>
      </c>
      <c r="K104" s="222">
        <f>IF(OR($C104="",$D104="",$G104="",$F104=""),0,$G104*IF($F104="Aylık",MAX(0,(YEAR(MIN(IF($E104="",TODAY()-15,$E104),TODAY()-15))-YEAR($D104))*12+MONTH(MIN(IF($E104="",TODAY()-15,$E104),TODAY()-15))-MONTH($D104)+IF(MIN(IF($E104="",TODAY()-15,$E104),TODAY()-15)&gt;=EOMONTH(MIN(IF($E104="",TODAY()-15,$E104),TODAY()-15),0),1,0)),MAX(0,INT((MIN(IF($E104="",TODAY()-15,$E104),TODAY()-15)-($D104+MOD(SISTEM!$F$8-WEEKDAY($D104,2),7)))/7)+1)))</f>
        <v/>
      </c>
      <c r="L104" s="222">
        <f>IF(OR($C104="",$D104="",$G104="",$F104=""),0,$G104*IF($F104="Aylık",MAX(0,(YEAR(MIN(IF($E104="",TODAY()-29,$E104),TODAY()-29))-YEAR($D104))*12+MONTH(MIN(IF($E104="",TODAY()-29,$E104),TODAY()-29))-MONTH($D104)+IF(MIN(IF($E104="",TODAY()-29,$E104),TODAY()-29)&gt;=EOMONTH(MIN(IF($E104="",TODAY()-29,$E104),TODAY()-29),0),1,0)),MAX(0,INT((MIN(IF($E104="",TODAY()-29,$E104),TODAY()-29)-($D104+MOD(SISTEM!$F$8-WEEKDAY($D104,2),7)))/7)+1)))</f>
        <v/>
      </c>
      <c r="M104" s="223">
        <f>IF($G104&gt;0,$I104/$G104,0)</f>
        <v/>
      </c>
      <c r="N104" s="113">
        <f>IF($C104="","",IF($B104="TANIMSIZ MÜŞTERİ","TANIMSIZ MÜŞTERİ",IF($F104="","MODEL SEÇİN",IF(OR($D104="",$G104&lt;=0),"EKSİK",IF(AND($E104&lt;&gt;"",$E104&lt;$D104),"TARİH HATASI",IF($H104="Pasif","KAPALI DÖNEM","UYGUN"))))))</f>
        <v/>
      </c>
      <c r="O104" s="224">
        <f>IF(OR($C104="",$D104="",$F104=""),"",IF($F104="Aylık",EOMONTH($D104,0),($D104+MOD(SISTEM!$F$8-WEEKDAY($D104,2),7))))</f>
        <v/>
      </c>
      <c r="P104" s="109" t="n"/>
      <c r="Q104" s="6" t="n"/>
      <c r="R104" s="6" t="n"/>
      <c r="S104" s="3">
        <f>IF($B104="","",$B104&amp;"|"&amp;COUNTIFS($B$7:$B104,$B104))</f>
        <v/>
      </c>
      <c r="T104" s="3">
        <f>IF($C104="","",UPPER(SUBSTITUTE(SUBSTITUTE(SUBSTITUTE(SUBSTITUTE(SUBSTITUTE(SUBSTITUTE(SUBSTITUTE(SUBSTITUTE(SUBSTITUTE(SUBSTITUTE(SUBSTITUTE(SUBSTITUTE(SUBSTITUTE(SUBSTITUTE(SUBSTITUTE(SUBSTITUTE(SUBSTITUTE(SUBSTITUTE(TRIM($C104),"'",""),"İ","I"),"ı","I"),"i","I"),"Ş","S"),"ş","S"),"Ğ","G"),"ğ","G"),"Ü","U"),"ü","U"),"Ö","O"),"ö","O"),"Ç","C"),"ç","C"),".",""),",","")," ",""),"-","")))</f>
        <v/>
      </c>
    </row>
    <row r="105">
      <c r="A105" s="6" t="n"/>
      <c r="B105" s="113">
        <f>IF($C105="","",IFERROR(INDEX(MUSTERILER!$B$7:$B$106,MATCH($T105,MUSTERILER!$T$7:$T$106,0)),IFERROR(INDEX(MUSTERILER!$B$7:$B$106,MATCH($C105,MUSTERILER!$B$7:$B$106,0)),IFERROR(INDEX(MUSTERILER!$B$7:$B$106,MATCH($T105&amp;"*",MUSTERILER!$T$7:$T$106,0)),"TANIMSIZ MÜŞTERİ"))))</f>
        <v/>
      </c>
      <c r="C105" s="109" t="n"/>
      <c r="D105" s="220" t="n"/>
      <c r="E105" s="220" t="n"/>
      <c r="F105" s="108" t="n"/>
      <c r="G105" s="221" t="n"/>
      <c r="H105" s="108" t="n"/>
      <c r="I105" s="222">
        <f>IF(OR($C105="",$D105="",$G105="",$F105=""),0,$G105*IF($F105="Aylık",MAX(0,(YEAR(MIN(IF($E105="",TODAY(),$E105),TODAY()))-YEAR($D105))*12+MONTH(MIN(IF($E105="",TODAY(),$E105),TODAY()))-MONTH($D105)+IF(MIN(IF($E105="",TODAY(),$E105),TODAY())&gt;=EOMONTH(MIN(IF($E105="",TODAY(),$E105),TODAY()),0),1,0)),MAX(0,INT((MIN(IF($E105="",TODAY(),$E105),TODAY())-($D105+MOD(SISTEM!$F$8-WEEKDAY($D105,2),7)))/7)+1)))</f>
        <v/>
      </c>
      <c r="J105" s="222">
        <f>IF(OR($C105="",$D105="",$G105="",$F105=""),0,$G105*IF($F105="Aylık",MAX(0,(YEAR(MIN(IF($E105="",TODAY()-8,$E105),TODAY()-8))-YEAR($D105))*12+MONTH(MIN(IF($E105="",TODAY()-8,$E105),TODAY()-8))-MONTH($D105)+IF(MIN(IF($E105="",TODAY()-8,$E105),TODAY()-8)&gt;=EOMONTH(MIN(IF($E105="",TODAY()-8,$E105),TODAY()-8),0),1,0)),MAX(0,INT((MIN(IF($E105="",TODAY()-8,$E105),TODAY()-8)-($D105+MOD(SISTEM!$F$8-WEEKDAY($D105,2),7)))/7)+1)))</f>
        <v/>
      </c>
      <c r="K105" s="222">
        <f>IF(OR($C105="",$D105="",$G105="",$F105=""),0,$G105*IF($F105="Aylık",MAX(0,(YEAR(MIN(IF($E105="",TODAY()-15,$E105),TODAY()-15))-YEAR($D105))*12+MONTH(MIN(IF($E105="",TODAY()-15,$E105),TODAY()-15))-MONTH($D105)+IF(MIN(IF($E105="",TODAY()-15,$E105),TODAY()-15)&gt;=EOMONTH(MIN(IF($E105="",TODAY()-15,$E105),TODAY()-15),0),1,0)),MAX(0,INT((MIN(IF($E105="",TODAY()-15,$E105),TODAY()-15)-($D105+MOD(SISTEM!$F$8-WEEKDAY($D105,2),7)))/7)+1)))</f>
        <v/>
      </c>
      <c r="L105" s="222">
        <f>IF(OR($C105="",$D105="",$G105="",$F105=""),0,$G105*IF($F105="Aylık",MAX(0,(YEAR(MIN(IF($E105="",TODAY()-29,$E105),TODAY()-29))-YEAR($D105))*12+MONTH(MIN(IF($E105="",TODAY()-29,$E105),TODAY()-29))-MONTH($D105)+IF(MIN(IF($E105="",TODAY()-29,$E105),TODAY()-29)&gt;=EOMONTH(MIN(IF($E105="",TODAY()-29,$E105),TODAY()-29),0),1,0)),MAX(0,INT((MIN(IF($E105="",TODAY()-29,$E105),TODAY()-29)-($D105+MOD(SISTEM!$F$8-WEEKDAY($D105,2),7)))/7)+1)))</f>
        <v/>
      </c>
      <c r="M105" s="223">
        <f>IF($G105&gt;0,$I105/$G105,0)</f>
        <v/>
      </c>
      <c r="N105" s="113">
        <f>IF($C105="","",IF($B105="TANIMSIZ MÜŞTERİ","TANIMSIZ MÜŞTERİ",IF($F105="","MODEL SEÇİN",IF(OR($D105="",$G105&lt;=0),"EKSİK",IF(AND($E105&lt;&gt;"",$E105&lt;$D105),"TARİH HATASI",IF($H105="Pasif","KAPALI DÖNEM","UYGUN"))))))</f>
        <v/>
      </c>
      <c r="O105" s="224">
        <f>IF(OR($C105="",$D105="",$F105=""),"",IF($F105="Aylık",EOMONTH($D105,0),($D105+MOD(SISTEM!$F$8-WEEKDAY($D105,2),7))))</f>
        <v/>
      </c>
      <c r="P105" s="109" t="n"/>
      <c r="Q105" s="6" t="n"/>
      <c r="R105" s="6" t="n"/>
      <c r="S105" s="3">
        <f>IF($B105="","",$B105&amp;"|"&amp;COUNTIFS($B$7:$B105,$B105))</f>
        <v/>
      </c>
      <c r="T105" s="3">
        <f>IF($C105="","",UPPER(SUBSTITUTE(SUBSTITUTE(SUBSTITUTE(SUBSTITUTE(SUBSTITUTE(SUBSTITUTE(SUBSTITUTE(SUBSTITUTE(SUBSTITUTE(SUBSTITUTE(SUBSTITUTE(SUBSTITUTE(SUBSTITUTE(SUBSTITUTE(SUBSTITUTE(SUBSTITUTE(SUBSTITUTE(SUBSTITUTE(TRIM($C105),"'",""),"İ","I"),"ı","I"),"i","I"),"Ş","S"),"ş","S"),"Ğ","G"),"ğ","G"),"Ü","U"),"ü","U"),"Ö","O"),"ö","O"),"Ç","C"),"ç","C"),".",""),",","")," ",""),"-","")))</f>
        <v/>
      </c>
    </row>
    <row r="106">
      <c r="A106" s="6" t="n"/>
      <c r="B106" s="113">
        <f>IF($C106="","",IFERROR(INDEX(MUSTERILER!$B$7:$B$106,MATCH($T106,MUSTERILER!$T$7:$T$106,0)),IFERROR(INDEX(MUSTERILER!$B$7:$B$106,MATCH($C106,MUSTERILER!$B$7:$B$106,0)),IFERROR(INDEX(MUSTERILER!$B$7:$B$106,MATCH($T106&amp;"*",MUSTERILER!$T$7:$T$106,0)),"TANIMSIZ MÜŞTERİ"))))</f>
        <v/>
      </c>
      <c r="C106" s="109" t="n"/>
      <c r="D106" s="220" t="n"/>
      <c r="E106" s="220" t="n"/>
      <c r="F106" s="108" t="n"/>
      <c r="G106" s="221" t="n"/>
      <c r="H106" s="108" t="n"/>
      <c r="I106" s="222">
        <f>IF(OR($C106="",$D106="",$G106="",$F106=""),0,$G106*IF($F106="Aylık",MAX(0,(YEAR(MIN(IF($E106="",TODAY(),$E106),TODAY()))-YEAR($D106))*12+MONTH(MIN(IF($E106="",TODAY(),$E106),TODAY()))-MONTH($D106)+IF(MIN(IF($E106="",TODAY(),$E106),TODAY())&gt;=EOMONTH(MIN(IF($E106="",TODAY(),$E106),TODAY()),0),1,0)),MAX(0,INT((MIN(IF($E106="",TODAY(),$E106),TODAY())-($D106+MOD(SISTEM!$F$8-WEEKDAY($D106,2),7)))/7)+1)))</f>
        <v/>
      </c>
      <c r="J106" s="222">
        <f>IF(OR($C106="",$D106="",$G106="",$F106=""),0,$G106*IF($F106="Aylık",MAX(0,(YEAR(MIN(IF($E106="",TODAY()-8,$E106),TODAY()-8))-YEAR($D106))*12+MONTH(MIN(IF($E106="",TODAY()-8,$E106),TODAY()-8))-MONTH($D106)+IF(MIN(IF($E106="",TODAY()-8,$E106),TODAY()-8)&gt;=EOMONTH(MIN(IF($E106="",TODAY()-8,$E106),TODAY()-8),0),1,0)),MAX(0,INT((MIN(IF($E106="",TODAY()-8,$E106),TODAY()-8)-($D106+MOD(SISTEM!$F$8-WEEKDAY($D106,2),7)))/7)+1)))</f>
        <v/>
      </c>
      <c r="K106" s="222">
        <f>IF(OR($C106="",$D106="",$G106="",$F106=""),0,$G106*IF($F106="Aylık",MAX(0,(YEAR(MIN(IF($E106="",TODAY()-15,$E106),TODAY()-15))-YEAR($D106))*12+MONTH(MIN(IF($E106="",TODAY()-15,$E106),TODAY()-15))-MONTH($D106)+IF(MIN(IF($E106="",TODAY()-15,$E106),TODAY()-15)&gt;=EOMONTH(MIN(IF($E106="",TODAY()-15,$E106),TODAY()-15),0),1,0)),MAX(0,INT((MIN(IF($E106="",TODAY()-15,$E106),TODAY()-15)-($D106+MOD(SISTEM!$F$8-WEEKDAY($D106,2),7)))/7)+1)))</f>
        <v/>
      </c>
      <c r="L106" s="222">
        <f>IF(OR($C106="",$D106="",$G106="",$F106=""),0,$G106*IF($F106="Aylık",MAX(0,(YEAR(MIN(IF($E106="",TODAY()-29,$E106),TODAY()-29))-YEAR($D106))*12+MONTH(MIN(IF($E106="",TODAY()-29,$E106),TODAY()-29))-MONTH($D106)+IF(MIN(IF($E106="",TODAY()-29,$E106),TODAY()-29)&gt;=EOMONTH(MIN(IF($E106="",TODAY()-29,$E106),TODAY()-29),0),1,0)),MAX(0,INT((MIN(IF($E106="",TODAY()-29,$E106),TODAY()-29)-($D106+MOD(SISTEM!$F$8-WEEKDAY($D106,2),7)))/7)+1)))</f>
        <v/>
      </c>
      <c r="M106" s="223">
        <f>IF($G106&gt;0,$I106/$G106,0)</f>
        <v/>
      </c>
      <c r="N106" s="113">
        <f>IF($C106="","",IF($B106="TANIMSIZ MÜŞTERİ","TANIMSIZ MÜŞTERİ",IF($F106="","MODEL SEÇİN",IF(OR($D106="",$G106&lt;=0),"EKSİK",IF(AND($E106&lt;&gt;"",$E106&lt;$D106),"TARİH HATASI",IF($H106="Pasif","KAPALI DÖNEM","UYGUN"))))))</f>
        <v/>
      </c>
      <c r="O106" s="224">
        <f>IF(OR($C106="",$D106="",$F106=""),"",IF($F106="Aylık",EOMONTH($D106,0),($D106+MOD(SISTEM!$F$8-WEEKDAY($D106,2),7))))</f>
        <v/>
      </c>
      <c r="P106" s="109" t="n"/>
      <c r="Q106" s="6" t="n"/>
      <c r="R106" s="6" t="n"/>
      <c r="S106" s="3">
        <f>IF($B106="","",$B106&amp;"|"&amp;COUNTIFS($B$7:$B106,$B106))</f>
        <v/>
      </c>
      <c r="T106" s="3">
        <f>IF($C106="","",UPPER(SUBSTITUTE(SUBSTITUTE(SUBSTITUTE(SUBSTITUTE(SUBSTITUTE(SUBSTITUTE(SUBSTITUTE(SUBSTITUTE(SUBSTITUTE(SUBSTITUTE(SUBSTITUTE(SUBSTITUTE(SUBSTITUTE(SUBSTITUTE(SUBSTITUTE(SUBSTITUTE(SUBSTITUTE(SUBSTITUTE(TRIM($C106),"'",""),"İ","I"),"ı","I"),"i","I"),"Ş","S"),"ş","S"),"Ğ","G"),"ğ","G"),"Ü","U"),"ü","U"),"Ö","O"),"ö","O"),"Ç","C"),"ç","C"),".",""),",","")," ",""),"-","")))</f>
        <v/>
      </c>
    </row>
    <row r="107">
      <c r="A107" s="6" t="n"/>
      <c r="B107" s="113">
        <f>IF($C107="","",IFERROR(INDEX(MUSTERILER!$B$7:$B$106,MATCH($T107,MUSTERILER!$T$7:$T$106,0)),IFERROR(INDEX(MUSTERILER!$B$7:$B$106,MATCH($C107,MUSTERILER!$B$7:$B$106,0)),IFERROR(INDEX(MUSTERILER!$B$7:$B$106,MATCH($T107&amp;"*",MUSTERILER!$T$7:$T$106,0)),"TANIMSIZ MÜŞTERİ"))))</f>
        <v/>
      </c>
      <c r="C107" s="109" t="n"/>
      <c r="D107" s="220" t="n"/>
      <c r="E107" s="220" t="n"/>
      <c r="F107" s="108" t="n"/>
      <c r="G107" s="221" t="n"/>
      <c r="H107" s="108" t="n"/>
      <c r="I107" s="222">
        <f>IF(OR($C107="",$D107="",$G107="",$F107=""),0,$G107*IF($F107="Aylık",MAX(0,(YEAR(MIN(IF($E107="",TODAY(),$E107),TODAY()))-YEAR($D107))*12+MONTH(MIN(IF($E107="",TODAY(),$E107),TODAY()))-MONTH($D107)+IF(MIN(IF($E107="",TODAY(),$E107),TODAY())&gt;=EOMONTH(MIN(IF($E107="",TODAY(),$E107),TODAY()),0),1,0)),MAX(0,INT((MIN(IF($E107="",TODAY(),$E107),TODAY())-($D107+MOD(SISTEM!$F$8-WEEKDAY($D107,2),7)))/7)+1)))</f>
        <v/>
      </c>
      <c r="J107" s="222">
        <f>IF(OR($C107="",$D107="",$G107="",$F107=""),0,$G107*IF($F107="Aylık",MAX(0,(YEAR(MIN(IF($E107="",TODAY()-8,$E107),TODAY()-8))-YEAR($D107))*12+MONTH(MIN(IF($E107="",TODAY()-8,$E107),TODAY()-8))-MONTH($D107)+IF(MIN(IF($E107="",TODAY()-8,$E107),TODAY()-8)&gt;=EOMONTH(MIN(IF($E107="",TODAY()-8,$E107),TODAY()-8),0),1,0)),MAX(0,INT((MIN(IF($E107="",TODAY()-8,$E107),TODAY()-8)-($D107+MOD(SISTEM!$F$8-WEEKDAY($D107,2),7)))/7)+1)))</f>
        <v/>
      </c>
      <c r="K107" s="222">
        <f>IF(OR($C107="",$D107="",$G107="",$F107=""),0,$G107*IF($F107="Aylık",MAX(0,(YEAR(MIN(IF($E107="",TODAY()-15,$E107),TODAY()-15))-YEAR($D107))*12+MONTH(MIN(IF($E107="",TODAY()-15,$E107),TODAY()-15))-MONTH($D107)+IF(MIN(IF($E107="",TODAY()-15,$E107),TODAY()-15)&gt;=EOMONTH(MIN(IF($E107="",TODAY()-15,$E107),TODAY()-15),0),1,0)),MAX(0,INT((MIN(IF($E107="",TODAY()-15,$E107),TODAY()-15)-($D107+MOD(SISTEM!$F$8-WEEKDAY($D107,2),7)))/7)+1)))</f>
        <v/>
      </c>
      <c r="L107" s="222">
        <f>IF(OR($C107="",$D107="",$G107="",$F107=""),0,$G107*IF($F107="Aylık",MAX(0,(YEAR(MIN(IF($E107="",TODAY()-29,$E107),TODAY()-29))-YEAR($D107))*12+MONTH(MIN(IF($E107="",TODAY()-29,$E107),TODAY()-29))-MONTH($D107)+IF(MIN(IF($E107="",TODAY()-29,$E107),TODAY()-29)&gt;=EOMONTH(MIN(IF($E107="",TODAY()-29,$E107),TODAY()-29),0),1,0)),MAX(0,INT((MIN(IF($E107="",TODAY()-29,$E107),TODAY()-29)-($D107+MOD(SISTEM!$F$8-WEEKDAY($D107,2),7)))/7)+1)))</f>
        <v/>
      </c>
      <c r="M107" s="223">
        <f>IF($G107&gt;0,$I107/$G107,0)</f>
        <v/>
      </c>
      <c r="N107" s="113">
        <f>IF($C107="","",IF($B107="TANIMSIZ MÜŞTERİ","TANIMSIZ MÜŞTERİ",IF($F107="","MODEL SEÇİN",IF(OR($D107="",$G107&lt;=0),"EKSİK",IF(AND($E107&lt;&gt;"",$E107&lt;$D107),"TARİH HATASI",IF($H107="Pasif","KAPALI DÖNEM","UYGUN"))))))</f>
        <v/>
      </c>
      <c r="O107" s="224">
        <f>IF(OR($C107="",$D107="",$F107=""),"",IF($F107="Aylık",EOMONTH($D107,0),($D107+MOD(SISTEM!$F$8-WEEKDAY($D107,2),7))))</f>
        <v/>
      </c>
      <c r="P107" s="109" t="n"/>
      <c r="Q107" s="6" t="n"/>
      <c r="R107" s="6" t="n"/>
      <c r="S107" s="3">
        <f>IF($B107="","",$B107&amp;"|"&amp;COUNTIFS($B$7:$B107,$B107))</f>
        <v/>
      </c>
      <c r="T107" s="3">
        <f>IF($C107="","",UPPER(SUBSTITUTE(SUBSTITUTE(SUBSTITUTE(SUBSTITUTE(SUBSTITUTE(SUBSTITUTE(SUBSTITUTE(SUBSTITUTE(SUBSTITUTE(SUBSTITUTE(SUBSTITUTE(SUBSTITUTE(SUBSTITUTE(SUBSTITUTE(SUBSTITUTE(SUBSTITUTE(SUBSTITUTE(SUBSTITUTE(TRIM($C107),"'",""),"İ","I"),"ı","I"),"i","I"),"Ş","S"),"ş","S"),"Ğ","G"),"ğ","G"),"Ü","U"),"ü","U"),"Ö","O"),"ö","O"),"Ç","C"),"ç","C"),".",""),",","")," ",""),"-","")))</f>
        <v/>
      </c>
    </row>
    <row r="108">
      <c r="A108" s="6" t="n"/>
      <c r="B108" s="113">
        <f>IF($C108="","",IFERROR(INDEX(MUSTERILER!$B$7:$B$106,MATCH($T108,MUSTERILER!$T$7:$T$106,0)),IFERROR(INDEX(MUSTERILER!$B$7:$B$106,MATCH($C108,MUSTERILER!$B$7:$B$106,0)),IFERROR(INDEX(MUSTERILER!$B$7:$B$106,MATCH($T108&amp;"*",MUSTERILER!$T$7:$T$106,0)),"TANIMSIZ MÜŞTERİ"))))</f>
        <v/>
      </c>
      <c r="C108" s="109" t="n"/>
      <c r="D108" s="220" t="n"/>
      <c r="E108" s="220" t="n"/>
      <c r="F108" s="108" t="n"/>
      <c r="G108" s="221" t="n"/>
      <c r="H108" s="108" t="n"/>
      <c r="I108" s="222">
        <f>IF(OR($C108="",$D108="",$G108="",$F108=""),0,$G108*IF($F108="Aylık",MAX(0,(YEAR(MIN(IF($E108="",TODAY(),$E108),TODAY()))-YEAR($D108))*12+MONTH(MIN(IF($E108="",TODAY(),$E108),TODAY()))-MONTH($D108)+IF(MIN(IF($E108="",TODAY(),$E108),TODAY())&gt;=EOMONTH(MIN(IF($E108="",TODAY(),$E108),TODAY()),0),1,0)),MAX(0,INT((MIN(IF($E108="",TODAY(),$E108),TODAY())-($D108+MOD(SISTEM!$F$8-WEEKDAY($D108,2),7)))/7)+1)))</f>
        <v/>
      </c>
      <c r="J108" s="222">
        <f>IF(OR($C108="",$D108="",$G108="",$F108=""),0,$G108*IF($F108="Aylık",MAX(0,(YEAR(MIN(IF($E108="",TODAY()-8,$E108),TODAY()-8))-YEAR($D108))*12+MONTH(MIN(IF($E108="",TODAY()-8,$E108),TODAY()-8))-MONTH($D108)+IF(MIN(IF($E108="",TODAY()-8,$E108),TODAY()-8)&gt;=EOMONTH(MIN(IF($E108="",TODAY()-8,$E108),TODAY()-8),0),1,0)),MAX(0,INT((MIN(IF($E108="",TODAY()-8,$E108),TODAY()-8)-($D108+MOD(SISTEM!$F$8-WEEKDAY($D108,2),7)))/7)+1)))</f>
        <v/>
      </c>
      <c r="K108" s="222">
        <f>IF(OR($C108="",$D108="",$G108="",$F108=""),0,$G108*IF($F108="Aylık",MAX(0,(YEAR(MIN(IF($E108="",TODAY()-15,$E108),TODAY()-15))-YEAR($D108))*12+MONTH(MIN(IF($E108="",TODAY()-15,$E108),TODAY()-15))-MONTH($D108)+IF(MIN(IF($E108="",TODAY()-15,$E108),TODAY()-15)&gt;=EOMONTH(MIN(IF($E108="",TODAY()-15,$E108),TODAY()-15),0),1,0)),MAX(0,INT((MIN(IF($E108="",TODAY()-15,$E108),TODAY()-15)-($D108+MOD(SISTEM!$F$8-WEEKDAY($D108,2),7)))/7)+1)))</f>
        <v/>
      </c>
      <c r="L108" s="222">
        <f>IF(OR($C108="",$D108="",$G108="",$F108=""),0,$G108*IF($F108="Aylık",MAX(0,(YEAR(MIN(IF($E108="",TODAY()-29,$E108),TODAY()-29))-YEAR($D108))*12+MONTH(MIN(IF($E108="",TODAY()-29,$E108),TODAY()-29))-MONTH($D108)+IF(MIN(IF($E108="",TODAY()-29,$E108),TODAY()-29)&gt;=EOMONTH(MIN(IF($E108="",TODAY()-29,$E108),TODAY()-29),0),1,0)),MAX(0,INT((MIN(IF($E108="",TODAY()-29,$E108),TODAY()-29)-($D108+MOD(SISTEM!$F$8-WEEKDAY($D108,2),7)))/7)+1)))</f>
        <v/>
      </c>
      <c r="M108" s="223">
        <f>IF($G108&gt;0,$I108/$G108,0)</f>
        <v/>
      </c>
      <c r="N108" s="113">
        <f>IF($C108="","",IF($B108="TANIMSIZ MÜŞTERİ","TANIMSIZ MÜŞTERİ",IF($F108="","MODEL SEÇİN",IF(OR($D108="",$G108&lt;=0),"EKSİK",IF(AND($E108&lt;&gt;"",$E108&lt;$D108),"TARİH HATASI",IF($H108="Pasif","KAPALI DÖNEM","UYGUN"))))))</f>
        <v/>
      </c>
      <c r="O108" s="224">
        <f>IF(OR($C108="",$D108="",$F108=""),"",IF($F108="Aylık",EOMONTH($D108,0),($D108+MOD(SISTEM!$F$8-WEEKDAY($D108,2),7))))</f>
        <v/>
      </c>
      <c r="P108" s="109" t="n"/>
      <c r="Q108" s="6" t="n"/>
      <c r="R108" s="6" t="n"/>
      <c r="S108" s="3">
        <f>IF($B108="","",$B108&amp;"|"&amp;COUNTIFS($B$7:$B108,$B108))</f>
        <v/>
      </c>
      <c r="T108" s="3">
        <f>IF($C108="","",UPPER(SUBSTITUTE(SUBSTITUTE(SUBSTITUTE(SUBSTITUTE(SUBSTITUTE(SUBSTITUTE(SUBSTITUTE(SUBSTITUTE(SUBSTITUTE(SUBSTITUTE(SUBSTITUTE(SUBSTITUTE(SUBSTITUTE(SUBSTITUTE(SUBSTITUTE(SUBSTITUTE(SUBSTITUTE(SUBSTITUTE(TRIM($C108),"'",""),"İ","I"),"ı","I"),"i","I"),"Ş","S"),"ş","S"),"Ğ","G"),"ğ","G"),"Ü","U"),"ü","U"),"Ö","O"),"ö","O"),"Ç","C"),"ç","C"),".",""),",","")," ",""),"-","")))</f>
        <v/>
      </c>
    </row>
    <row r="109">
      <c r="A109" s="6" t="n"/>
      <c r="B109" s="113">
        <f>IF($C109="","",IFERROR(INDEX(MUSTERILER!$B$7:$B$106,MATCH($T109,MUSTERILER!$T$7:$T$106,0)),IFERROR(INDEX(MUSTERILER!$B$7:$B$106,MATCH($C109,MUSTERILER!$B$7:$B$106,0)),IFERROR(INDEX(MUSTERILER!$B$7:$B$106,MATCH($T109&amp;"*",MUSTERILER!$T$7:$T$106,0)),"TANIMSIZ MÜŞTERİ"))))</f>
        <v/>
      </c>
      <c r="C109" s="109" t="n"/>
      <c r="D109" s="220" t="n"/>
      <c r="E109" s="220" t="n"/>
      <c r="F109" s="108" t="n"/>
      <c r="G109" s="221" t="n"/>
      <c r="H109" s="108" t="n"/>
      <c r="I109" s="222">
        <f>IF(OR($C109="",$D109="",$G109="",$F109=""),0,$G109*IF($F109="Aylık",MAX(0,(YEAR(MIN(IF($E109="",TODAY(),$E109),TODAY()))-YEAR($D109))*12+MONTH(MIN(IF($E109="",TODAY(),$E109),TODAY()))-MONTH($D109)+IF(MIN(IF($E109="",TODAY(),$E109),TODAY())&gt;=EOMONTH(MIN(IF($E109="",TODAY(),$E109),TODAY()),0),1,0)),MAX(0,INT((MIN(IF($E109="",TODAY(),$E109),TODAY())-($D109+MOD(SISTEM!$F$8-WEEKDAY($D109,2),7)))/7)+1)))</f>
        <v/>
      </c>
      <c r="J109" s="222">
        <f>IF(OR($C109="",$D109="",$G109="",$F109=""),0,$G109*IF($F109="Aylık",MAX(0,(YEAR(MIN(IF($E109="",TODAY()-8,$E109),TODAY()-8))-YEAR($D109))*12+MONTH(MIN(IF($E109="",TODAY()-8,$E109),TODAY()-8))-MONTH($D109)+IF(MIN(IF($E109="",TODAY()-8,$E109),TODAY()-8)&gt;=EOMONTH(MIN(IF($E109="",TODAY()-8,$E109),TODAY()-8),0),1,0)),MAX(0,INT((MIN(IF($E109="",TODAY()-8,$E109),TODAY()-8)-($D109+MOD(SISTEM!$F$8-WEEKDAY($D109,2),7)))/7)+1)))</f>
        <v/>
      </c>
      <c r="K109" s="222">
        <f>IF(OR($C109="",$D109="",$G109="",$F109=""),0,$G109*IF($F109="Aylık",MAX(0,(YEAR(MIN(IF($E109="",TODAY()-15,$E109),TODAY()-15))-YEAR($D109))*12+MONTH(MIN(IF($E109="",TODAY()-15,$E109),TODAY()-15))-MONTH($D109)+IF(MIN(IF($E109="",TODAY()-15,$E109),TODAY()-15)&gt;=EOMONTH(MIN(IF($E109="",TODAY()-15,$E109),TODAY()-15),0),1,0)),MAX(0,INT((MIN(IF($E109="",TODAY()-15,$E109),TODAY()-15)-($D109+MOD(SISTEM!$F$8-WEEKDAY($D109,2),7)))/7)+1)))</f>
        <v/>
      </c>
      <c r="L109" s="222">
        <f>IF(OR($C109="",$D109="",$G109="",$F109=""),0,$G109*IF($F109="Aylık",MAX(0,(YEAR(MIN(IF($E109="",TODAY()-29,$E109),TODAY()-29))-YEAR($D109))*12+MONTH(MIN(IF($E109="",TODAY()-29,$E109),TODAY()-29))-MONTH($D109)+IF(MIN(IF($E109="",TODAY()-29,$E109),TODAY()-29)&gt;=EOMONTH(MIN(IF($E109="",TODAY()-29,$E109),TODAY()-29),0),1,0)),MAX(0,INT((MIN(IF($E109="",TODAY()-29,$E109),TODAY()-29)-($D109+MOD(SISTEM!$F$8-WEEKDAY($D109,2),7)))/7)+1)))</f>
        <v/>
      </c>
      <c r="M109" s="223">
        <f>IF($G109&gt;0,$I109/$G109,0)</f>
        <v/>
      </c>
      <c r="N109" s="113">
        <f>IF($C109="","",IF($B109="TANIMSIZ MÜŞTERİ","TANIMSIZ MÜŞTERİ",IF($F109="","MODEL SEÇİN",IF(OR($D109="",$G109&lt;=0),"EKSİK",IF(AND($E109&lt;&gt;"",$E109&lt;$D109),"TARİH HATASI",IF($H109="Pasif","KAPALI DÖNEM","UYGUN"))))))</f>
        <v/>
      </c>
      <c r="O109" s="224">
        <f>IF(OR($C109="",$D109="",$F109=""),"",IF($F109="Aylık",EOMONTH($D109,0),($D109+MOD(SISTEM!$F$8-WEEKDAY($D109,2),7))))</f>
        <v/>
      </c>
      <c r="P109" s="109" t="n"/>
      <c r="Q109" s="6" t="n"/>
      <c r="R109" s="6" t="n"/>
      <c r="S109" s="3">
        <f>IF($B109="","",$B109&amp;"|"&amp;COUNTIFS($B$7:$B109,$B109))</f>
        <v/>
      </c>
      <c r="T109" s="3">
        <f>IF($C109="","",UPPER(SUBSTITUTE(SUBSTITUTE(SUBSTITUTE(SUBSTITUTE(SUBSTITUTE(SUBSTITUTE(SUBSTITUTE(SUBSTITUTE(SUBSTITUTE(SUBSTITUTE(SUBSTITUTE(SUBSTITUTE(SUBSTITUTE(SUBSTITUTE(SUBSTITUTE(SUBSTITUTE(SUBSTITUTE(SUBSTITUTE(TRIM($C109),"'",""),"İ","I"),"ı","I"),"i","I"),"Ş","S"),"ş","S"),"Ğ","G"),"ğ","G"),"Ü","U"),"ü","U"),"Ö","O"),"ö","O"),"Ç","C"),"ç","C"),".",""),",","")," ",""),"-","")))</f>
        <v/>
      </c>
    </row>
    <row r="110">
      <c r="A110" s="6" t="n"/>
      <c r="B110" s="113">
        <f>IF($C110="","",IFERROR(INDEX(MUSTERILER!$B$7:$B$106,MATCH($T110,MUSTERILER!$T$7:$T$106,0)),IFERROR(INDEX(MUSTERILER!$B$7:$B$106,MATCH($C110,MUSTERILER!$B$7:$B$106,0)),IFERROR(INDEX(MUSTERILER!$B$7:$B$106,MATCH($T110&amp;"*",MUSTERILER!$T$7:$T$106,0)),"TANIMSIZ MÜŞTERİ"))))</f>
        <v/>
      </c>
      <c r="C110" s="109" t="n"/>
      <c r="D110" s="220" t="n"/>
      <c r="E110" s="220" t="n"/>
      <c r="F110" s="108" t="n"/>
      <c r="G110" s="221" t="n"/>
      <c r="H110" s="108" t="n"/>
      <c r="I110" s="222">
        <f>IF(OR($C110="",$D110="",$G110="",$F110=""),0,$G110*IF($F110="Aylık",MAX(0,(YEAR(MIN(IF($E110="",TODAY(),$E110),TODAY()))-YEAR($D110))*12+MONTH(MIN(IF($E110="",TODAY(),$E110),TODAY()))-MONTH($D110)+IF(MIN(IF($E110="",TODAY(),$E110),TODAY())&gt;=EOMONTH(MIN(IF($E110="",TODAY(),$E110),TODAY()),0),1,0)),MAX(0,INT((MIN(IF($E110="",TODAY(),$E110),TODAY())-($D110+MOD(SISTEM!$F$8-WEEKDAY($D110,2),7)))/7)+1)))</f>
        <v/>
      </c>
      <c r="J110" s="222">
        <f>IF(OR($C110="",$D110="",$G110="",$F110=""),0,$G110*IF($F110="Aylık",MAX(0,(YEAR(MIN(IF($E110="",TODAY()-8,$E110),TODAY()-8))-YEAR($D110))*12+MONTH(MIN(IF($E110="",TODAY()-8,$E110),TODAY()-8))-MONTH($D110)+IF(MIN(IF($E110="",TODAY()-8,$E110),TODAY()-8)&gt;=EOMONTH(MIN(IF($E110="",TODAY()-8,$E110),TODAY()-8),0),1,0)),MAX(0,INT((MIN(IF($E110="",TODAY()-8,$E110),TODAY()-8)-($D110+MOD(SISTEM!$F$8-WEEKDAY($D110,2),7)))/7)+1)))</f>
        <v/>
      </c>
      <c r="K110" s="222">
        <f>IF(OR($C110="",$D110="",$G110="",$F110=""),0,$G110*IF($F110="Aylık",MAX(0,(YEAR(MIN(IF($E110="",TODAY()-15,$E110),TODAY()-15))-YEAR($D110))*12+MONTH(MIN(IF($E110="",TODAY()-15,$E110),TODAY()-15))-MONTH($D110)+IF(MIN(IF($E110="",TODAY()-15,$E110),TODAY()-15)&gt;=EOMONTH(MIN(IF($E110="",TODAY()-15,$E110),TODAY()-15),0),1,0)),MAX(0,INT((MIN(IF($E110="",TODAY()-15,$E110),TODAY()-15)-($D110+MOD(SISTEM!$F$8-WEEKDAY($D110,2),7)))/7)+1)))</f>
        <v/>
      </c>
      <c r="L110" s="222">
        <f>IF(OR($C110="",$D110="",$G110="",$F110=""),0,$G110*IF($F110="Aylık",MAX(0,(YEAR(MIN(IF($E110="",TODAY()-29,$E110),TODAY()-29))-YEAR($D110))*12+MONTH(MIN(IF($E110="",TODAY()-29,$E110),TODAY()-29))-MONTH($D110)+IF(MIN(IF($E110="",TODAY()-29,$E110),TODAY()-29)&gt;=EOMONTH(MIN(IF($E110="",TODAY()-29,$E110),TODAY()-29),0),1,0)),MAX(0,INT((MIN(IF($E110="",TODAY()-29,$E110),TODAY()-29)-($D110+MOD(SISTEM!$F$8-WEEKDAY($D110,2),7)))/7)+1)))</f>
        <v/>
      </c>
      <c r="M110" s="223">
        <f>IF($G110&gt;0,$I110/$G110,0)</f>
        <v/>
      </c>
      <c r="N110" s="113">
        <f>IF($C110="","",IF($B110="TANIMSIZ MÜŞTERİ","TANIMSIZ MÜŞTERİ",IF($F110="","MODEL SEÇİN",IF(OR($D110="",$G110&lt;=0),"EKSİK",IF(AND($E110&lt;&gt;"",$E110&lt;$D110),"TARİH HATASI",IF($H110="Pasif","KAPALI DÖNEM","UYGUN"))))))</f>
        <v/>
      </c>
      <c r="O110" s="224">
        <f>IF(OR($C110="",$D110="",$F110=""),"",IF($F110="Aylık",EOMONTH($D110,0),($D110+MOD(SISTEM!$F$8-WEEKDAY($D110,2),7))))</f>
        <v/>
      </c>
      <c r="P110" s="109" t="n"/>
      <c r="Q110" s="6" t="n"/>
      <c r="R110" s="6" t="n"/>
      <c r="S110" s="3">
        <f>IF($B110="","",$B110&amp;"|"&amp;COUNTIFS($B$7:$B110,$B110))</f>
        <v/>
      </c>
      <c r="T110" s="3">
        <f>IF($C110="","",UPPER(SUBSTITUTE(SUBSTITUTE(SUBSTITUTE(SUBSTITUTE(SUBSTITUTE(SUBSTITUTE(SUBSTITUTE(SUBSTITUTE(SUBSTITUTE(SUBSTITUTE(SUBSTITUTE(SUBSTITUTE(SUBSTITUTE(SUBSTITUTE(SUBSTITUTE(SUBSTITUTE(SUBSTITUTE(SUBSTITUTE(TRIM($C110),"'",""),"İ","I"),"ı","I"),"i","I"),"Ş","S"),"ş","S"),"Ğ","G"),"ğ","G"),"Ü","U"),"ü","U"),"Ö","O"),"ö","O"),"Ç","C"),"ç","C"),".",""),",","")," ",""),"-","")))</f>
        <v/>
      </c>
    </row>
    <row r="111">
      <c r="A111" s="6" t="n"/>
      <c r="B111" s="113">
        <f>IF($C111="","",IFERROR(INDEX(MUSTERILER!$B$7:$B$106,MATCH($T111,MUSTERILER!$T$7:$T$106,0)),IFERROR(INDEX(MUSTERILER!$B$7:$B$106,MATCH($C111,MUSTERILER!$B$7:$B$106,0)),IFERROR(INDEX(MUSTERILER!$B$7:$B$106,MATCH($T111&amp;"*",MUSTERILER!$T$7:$T$106,0)),"TANIMSIZ MÜŞTERİ"))))</f>
        <v/>
      </c>
      <c r="C111" s="109" t="n"/>
      <c r="D111" s="220" t="n"/>
      <c r="E111" s="220" t="n"/>
      <c r="F111" s="108" t="n"/>
      <c r="G111" s="221" t="n"/>
      <c r="H111" s="108" t="n"/>
      <c r="I111" s="222">
        <f>IF(OR($C111="",$D111="",$G111="",$F111=""),0,$G111*IF($F111="Aylık",MAX(0,(YEAR(MIN(IF($E111="",TODAY(),$E111),TODAY()))-YEAR($D111))*12+MONTH(MIN(IF($E111="",TODAY(),$E111),TODAY()))-MONTH($D111)+IF(MIN(IF($E111="",TODAY(),$E111),TODAY())&gt;=EOMONTH(MIN(IF($E111="",TODAY(),$E111),TODAY()),0),1,0)),MAX(0,INT((MIN(IF($E111="",TODAY(),$E111),TODAY())-($D111+MOD(SISTEM!$F$8-WEEKDAY($D111,2),7)))/7)+1)))</f>
        <v/>
      </c>
      <c r="J111" s="222">
        <f>IF(OR($C111="",$D111="",$G111="",$F111=""),0,$G111*IF($F111="Aylık",MAX(0,(YEAR(MIN(IF($E111="",TODAY()-8,$E111),TODAY()-8))-YEAR($D111))*12+MONTH(MIN(IF($E111="",TODAY()-8,$E111),TODAY()-8))-MONTH($D111)+IF(MIN(IF($E111="",TODAY()-8,$E111),TODAY()-8)&gt;=EOMONTH(MIN(IF($E111="",TODAY()-8,$E111),TODAY()-8),0),1,0)),MAX(0,INT((MIN(IF($E111="",TODAY()-8,$E111),TODAY()-8)-($D111+MOD(SISTEM!$F$8-WEEKDAY($D111,2),7)))/7)+1)))</f>
        <v/>
      </c>
      <c r="K111" s="222">
        <f>IF(OR($C111="",$D111="",$G111="",$F111=""),0,$G111*IF($F111="Aylık",MAX(0,(YEAR(MIN(IF($E111="",TODAY()-15,$E111),TODAY()-15))-YEAR($D111))*12+MONTH(MIN(IF($E111="",TODAY()-15,$E111),TODAY()-15))-MONTH($D111)+IF(MIN(IF($E111="",TODAY()-15,$E111),TODAY()-15)&gt;=EOMONTH(MIN(IF($E111="",TODAY()-15,$E111),TODAY()-15),0),1,0)),MAX(0,INT((MIN(IF($E111="",TODAY()-15,$E111),TODAY()-15)-($D111+MOD(SISTEM!$F$8-WEEKDAY($D111,2),7)))/7)+1)))</f>
        <v/>
      </c>
      <c r="L111" s="222">
        <f>IF(OR($C111="",$D111="",$G111="",$F111=""),0,$G111*IF($F111="Aylık",MAX(0,(YEAR(MIN(IF($E111="",TODAY()-29,$E111),TODAY()-29))-YEAR($D111))*12+MONTH(MIN(IF($E111="",TODAY()-29,$E111),TODAY()-29))-MONTH($D111)+IF(MIN(IF($E111="",TODAY()-29,$E111),TODAY()-29)&gt;=EOMONTH(MIN(IF($E111="",TODAY()-29,$E111),TODAY()-29),0),1,0)),MAX(0,INT((MIN(IF($E111="",TODAY()-29,$E111),TODAY()-29)-($D111+MOD(SISTEM!$F$8-WEEKDAY($D111,2),7)))/7)+1)))</f>
        <v/>
      </c>
      <c r="M111" s="223">
        <f>IF($G111&gt;0,$I111/$G111,0)</f>
        <v/>
      </c>
      <c r="N111" s="113">
        <f>IF($C111="","",IF($B111="TANIMSIZ MÜŞTERİ","TANIMSIZ MÜŞTERİ",IF($F111="","MODEL SEÇİN",IF(OR($D111="",$G111&lt;=0),"EKSİK",IF(AND($E111&lt;&gt;"",$E111&lt;$D111),"TARİH HATASI",IF($H111="Pasif","KAPALI DÖNEM","UYGUN"))))))</f>
        <v/>
      </c>
      <c r="O111" s="224">
        <f>IF(OR($C111="",$D111="",$F111=""),"",IF($F111="Aylık",EOMONTH($D111,0),($D111+MOD(SISTEM!$F$8-WEEKDAY($D111,2),7))))</f>
        <v/>
      </c>
      <c r="P111" s="109" t="n"/>
      <c r="Q111" s="6" t="n"/>
      <c r="R111" s="6" t="n"/>
      <c r="S111" s="3">
        <f>IF($B111="","",$B111&amp;"|"&amp;COUNTIFS($B$7:$B111,$B111))</f>
        <v/>
      </c>
      <c r="T111" s="3">
        <f>IF($C111="","",UPPER(SUBSTITUTE(SUBSTITUTE(SUBSTITUTE(SUBSTITUTE(SUBSTITUTE(SUBSTITUTE(SUBSTITUTE(SUBSTITUTE(SUBSTITUTE(SUBSTITUTE(SUBSTITUTE(SUBSTITUTE(SUBSTITUTE(SUBSTITUTE(SUBSTITUTE(SUBSTITUTE(SUBSTITUTE(SUBSTITUTE(TRIM($C111),"'",""),"İ","I"),"ı","I"),"i","I"),"Ş","S"),"ş","S"),"Ğ","G"),"ğ","G"),"Ü","U"),"ü","U"),"Ö","O"),"ö","O"),"Ç","C"),"ç","C"),".",""),",","")," ",""),"-","")))</f>
        <v/>
      </c>
    </row>
    <row r="112">
      <c r="A112" s="6" t="n"/>
      <c r="B112" s="113">
        <f>IF($C112="","",IFERROR(INDEX(MUSTERILER!$B$7:$B$106,MATCH($T112,MUSTERILER!$T$7:$T$106,0)),IFERROR(INDEX(MUSTERILER!$B$7:$B$106,MATCH($C112,MUSTERILER!$B$7:$B$106,0)),IFERROR(INDEX(MUSTERILER!$B$7:$B$106,MATCH($T112&amp;"*",MUSTERILER!$T$7:$T$106,0)),"TANIMSIZ MÜŞTERİ"))))</f>
        <v/>
      </c>
      <c r="C112" s="109" t="n"/>
      <c r="D112" s="220" t="n"/>
      <c r="E112" s="220" t="n"/>
      <c r="F112" s="108" t="n"/>
      <c r="G112" s="221" t="n"/>
      <c r="H112" s="108" t="n"/>
      <c r="I112" s="222">
        <f>IF(OR($C112="",$D112="",$G112="",$F112=""),0,$G112*IF($F112="Aylık",MAX(0,(YEAR(MIN(IF($E112="",TODAY(),$E112),TODAY()))-YEAR($D112))*12+MONTH(MIN(IF($E112="",TODAY(),$E112),TODAY()))-MONTH($D112)+IF(MIN(IF($E112="",TODAY(),$E112),TODAY())&gt;=EOMONTH(MIN(IF($E112="",TODAY(),$E112),TODAY()),0),1,0)),MAX(0,INT((MIN(IF($E112="",TODAY(),$E112),TODAY())-($D112+MOD(SISTEM!$F$8-WEEKDAY($D112,2),7)))/7)+1)))</f>
        <v/>
      </c>
      <c r="J112" s="222">
        <f>IF(OR($C112="",$D112="",$G112="",$F112=""),0,$G112*IF($F112="Aylık",MAX(0,(YEAR(MIN(IF($E112="",TODAY()-8,$E112),TODAY()-8))-YEAR($D112))*12+MONTH(MIN(IF($E112="",TODAY()-8,$E112),TODAY()-8))-MONTH($D112)+IF(MIN(IF($E112="",TODAY()-8,$E112),TODAY()-8)&gt;=EOMONTH(MIN(IF($E112="",TODAY()-8,$E112),TODAY()-8),0),1,0)),MAX(0,INT((MIN(IF($E112="",TODAY()-8,$E112),TODAY()-8)-($D112+MOD(SISTEM!$F$8-WEEKDAY($D112,2),7)))/7)+1)))</f>
        <v/>
      </c>
      <c r="K112" s="222">
        <f>IF(OR($C112="",$D112="",$G112="",$F112=""),0,$G112*IF($F112="Aylık",MAX(0,(YEAR(MIN(IF($E112="",TODAY()-15,$E112),TODAY()-15))-YEAR($D112))*12+MONTH(MIN(IF($E112="",TODAY()-15,$E112),TODAY()-15))-MONTH($D112)+IF(MIN(IF($E112="",TODAY()-15,$E112),TODAY()-15)&gt;=EOMONTH(MIN(IF($E112="",TODAY()-15,$E112),TODAY()-15),0),1,0)),MAX(0,INT((MIN(IF($E112="",TODAY()-15,$E112),TODAY()-15)-($D112+MOD(SISTEM!$F$8-WEEKDAY($D112,2),7)))/7)+1)))</f>
        <v/>
      </c>
      <c r="L112" s="222">
        <f>IF(OR($C112="",$D112="",$G112="",$F112=""),0,$G112*IF($F112="Aylık",MAX(0,(YEAR(MIN(IF($E112="",TODAY()-29,$E112),TODAY()-29))-YEAR($D112))*12+MONTH(MIN(IF($E112="",TODAY()-29,$E112),TODAY()-29))-MONTH($D112)+IF(MIN(IF($E112="",TODAY()-29,$E112),TODAY()-29)&gt;=EOMONTH(MIN(IF($E112="",TODAY()-29,$E112),TODAY()-29),0),1,0)),MAX(0,INT((MIN(IF($E112="",TODAY()-29,$E112),TODAY()-29)-($D112+MOD(SISTEM!$F$8-WEEKDAY($D112,2),7)))/7)+1)))</f>
        <v/>
      </c>
      <c r="M112" s="223">
        <f>IF($G112&gt;0,$I112/$G112,0)</f>
        <v/>
      </c>
      <c r="N112" s="113">
        <f>IF($C112="","",IF($B112="TANIMSIZ MÜŞTERİ","TANIMSIZ MÜŞTERİ",IF($F112="","MODEL SEÇİN",IF(OR($D112="",$G112&lt;=0),"EKSİK",IF(AND($E112&lt;&gt;"",$E112&lt;$D112),"TARİH HATASI",IF($H112="Pasif","KAPALI DÖNEM","UYGUN"))))))</f>
        <v/>
      </c>
      <c r="O112" s="224">
        <f>IF(OR($C112="",$D112="",$F112=""),"",IF($F112="Aylık",EOMONTH($D112,0),($D112+MOD(SISTEM!$F$8-WEEKDAY($D112,2),7))))</f>
        <v/>
      </c>
      <c r="P112" s="109" t="n"/>
      <c r="Q112" s="6" t="n"/>
      <c r="R112" s="6" t="n"/>
      <c r="S112" s="3">
        <f>IF($B112="","",$B112&amp;"|"&amp;COUNTIFS($B$7:$B112,$B112))</f>
        <v/>
      </c>
      <c r="T112" s="3">
        <f>IF($C112="","",UPPER(SUBSTITUTE(SUBSTITUTE(SUBSTITUTE(SUBSTITUTE(SUBSTITUTE(SUBSTITUTE(SUBSTITUTE(SUBSTITUTE(SUBSTITUTE(SUBSTITUTE(SUBSTITUTE(SUBSTITUTE(SUBSTITUTE(SUBSTITUTE(SUBSTITUTE(SUBSTITUTE(SUBSTITUTE(SUBSTITUTE(TRIM($C112),"'",""),"İ","I"),"ı","I"),"i","I"),"Ş","S"),"ş","S"),"Ğ","G"),"ğ","G"),"Ü","U"),"ü","U"),"Ö","O"),"ö","O"),"Ç","C"),"ç","C"),".",""),",","")," ",""),"-","")))</f>
        <v/>
      </c>
    </row>
    <row r="113">
      <c r="A113" s="6" t="n"/>
      <c r="B113" s="113">
        <f>IF($C113="","",IFERROR(INDEX(MUSTERILER!$B$7:$B$106,MATCH($T113,MUSTERILER!$T$7:$T$106,0)),IFERROR(INDEX(MUSTERILER!$B$7:$B$106,MATCH($C113,MUSTERILER!$B$7:$B$106,0)),IFERROR(INDEX(MUSTERILER!$B$7:$B$106,MATCH($T113&amp;"*",MUSTERILER!$T$7:$T$106,0)),"TANIMSIZ MÜŞTERİ"))))</f>
        <v/>
      </c>
      <c r="C113" s="109" t="n"/>
      <c r="D113" s="220" t="n"/>
      <c r="E113" s="220" t="n"/>
      <c r="F113" s="108" t="n"/>
      <c r="G113" s="221" t="n"/>
      <c r="H113" s="108" t="n"/>
      <c r="I113" s="222">
        <f>IF(OR($C113="",$D113="",$G113="",$F113=""),0,$G113*IF($F113="Aylık",MAX(0,(YEAR(MIN(IF($E113="",TODAY(),$E113),TODAY()))-YEAR($D113))*12+MONTH(MIN(IF($E113="",TODAY(),$E113),TODAY()))-MONTH($D113)+IF(MIN(IF($E113="",TODAY(),$E113),TODAY())&gt;=EOMONTH(MIN(IF($E113="",TODAY(),$E113),TODAY()),0),1,0)),MAX(0,INT((MIN(IF($E113="",TODAY(),$E113),TODAY())-($D113+MOD(SISTEM!$F$8-WEEKDAY($D113,2),7)))/7)+1)))</f>
        <v/>
      </c>
      <c r="J113" s="222">
        <f>IF(OR($C113="",$D113="",$G113="",$F113=""),0,$G113*IF($F113="Aylık",MAX(0,(YEAR(MIN(IF($E113="",TODAY()-8,$E113),TODAY()-8))-YEAR($D113))*12+MONTH(MIN(IF($E113="",TODAY()-8,$E113),TODAY()-8))-MONTH($D113)+IF(MIN(IF($E113="",TODAY()-8,$E113),TODAY()-8)&gt;=EOMONTH(MIN(IF($E113="",TODAY()-8,$E113),TODAY()-8),0),1,0)),MAX(0,INT((MIN(IF($E113="",TODAY()-8,$E113),TODAY()-8)-($D113+MOD(SISTEM!$F$8-WEEKDAY($D113,2),7)))/7)+1)))</f>
        <v/>
      </c>
      <c r="K113" s="222">
        <f>IF(OR($C113="",$D113="",$G113="",$F113=""),0,$G113*IF($F113="Aylık",MAX(0,(YEAR(MIN(IF($E113="",TODAY()-15,$E113),TODAY()-15))-YEAR($D113))*12+MONTH(MIN(IF($E113="",TODAY()-15,$E113),TODAY()-15))-MONTH($D113)+IF(MIN(IF($E113="",TODAY()-15,$E113),TODAY()-15)&gt;=EOMONTH(MIN(IF($E113="",TODAY()-15,$E113),TODAY()-15),0),1,0)),MAX(0,INT((MIN(IF($E113="",TODAY()-15,$E113),TODAY()-15)-($D113+MOD(SISTEM!$F$8-WEEKDAY($D113,2),7)))/7)+1)))</f>
        <v/>
      </c>
      <c r="L113" s="222">
        <f>IF(OR($C113="",$D113="",$G113="",$F113=""),0,$G113*IF($F113="Aylık",MAX(0,(YEAR(MIN(IF($E113="",TODAY()-29,$E113),TODAY()-29))-YEAR($D113))*12+MONTH(MIN(IF($E113="",TODAY()-29,$E113),TODAY()-29))-MONTH($D113)+IF(MIN(IF($E113="",TODAY()-29,$E113),TODAY()-29)&gt;=EOMONTH(MIN(IF($E113="",TODAY()-29,$E113),TODAY()-29),0),1,0)),MAX(0,INT((MIN(IF($E113="",TODAY()-29,$E113),TODAY()-29)-($D113+MOD(SISTEM!$F$8-WEEKDAY($D113,2),7)))/7)+1)))</f>
        <v/>
      </c>
      <c r="M113" s="223">
        <f>IF($G113&gt;0,$I113/$G113,0)</f>
        <v/>
      </c>
      <c r="N113" s="113">
        <f>IF($C113="","",IF($B113="TANIMSIZ MÜŞTERİ","TANIMSIZ MÜŞTERİ",IF($F113="","MODEL SEÇİN",IF(OR($D113="",$G113&lt;=0),"EKSİK",IF(AND($E113&lt;&gt;"",$E113&lt;$D113),"TARİH HATASI",IF($H113="Pasif","KAPALI DÖNEM","UYGUN"))))))</f>
        <v/>
      </c>
      <c r="O113" s="224">
        <f>IF(OR($C113="",$D113="",$F113=""),"",IF($F113="Aylık",EOMONTH($D113,0),($D113+MOD(SISTEM!$F$8-WEEKDAY($D113,2),7))))</f>
        <v/>
      </c>
      <c r="P113" s="109" t="n"/>
      <c r="Q113" s="6" t="n"/>
      <c r="R113" s="6" t="n"/>
      <c r="S113" s="3">
        <f>IF($B113="","",$B113&amp;"|"&amp;COUNTIFS($B$7:$B113,$B113))</f>
        <v/>
      </c>
      <c r="T113" s="3">
        <f>IF($C113="","",UPPER(SUBSTITUTE(SUBSTITUTE(SUBSTITUTE(SUBSTITUTE(SUBSTITUTE(SUBSTITUTE(SUBSTITUTE(SUBSTITUTE(SUBSTITUTE(SUBSTITUTE(SUBSTITUTE(SUBSTITUTE(SUBSTITUTE(SUBSTITUTE(SUBSTITUTE(SUBSTITUTE(SUBSTITUTE(SUBSTITUTE(TRIM($C113),"'",""),"İ","I"),"ı","I"),"i","I"),"Ş","S"),"ş","S"),"Ğ","G"),"ğ","G"),"Ü","U"),"ü","U"),"Ö","O"),"ö","O"),"Ç","C"),"ç","C"),".",""),",","")," ",""),"-","")))</f>
        <v/>
      </c>
    </row>
    <row r="114">
      <c r="A114" s="6" t="n"/>
      <c r="B114" s="113">
        <f>IF($C114="","",IFERROR(INDEX(MUSTERILER!$B$7:$B$106,MATCH($T114,MUSTERILER!$T$7:$T$106,0)),IFERROR(INDEX(MUSTERILER!$B$7:$B$106,MATCH($C114,MUSTERILER!$B$7:$B$106,0)),IFERROR(INDEX(MUSTERILER!$B$7:$B$106,MATCH($T114&amp;"*",MUSTERILER!$T$7:$T$106,0)),"TANIMSIZ MÜŞTERİ"))))</f>
        <v/>
      </c>
      <c r="C114" s="109" t="n"/>
      <c r="D114" s="220" t="n"/>
      <c r="E114" s="220" t="n"/>
      <c r="F114" s="108" t="n"/>
      <c r="G114" s="221" t="n"/>
      <c r="H114" s="108" t="n"/>
      <c r="I114" s="222">
        <f>IF(OR($C114="",$D114="",$G114="",$F114=""),0,$G114*IF($F114="Aylık",MAX(0,(YEAR(MIN(IF($E114="",TODAY(),$E114),TODAY()))-YEAR($D114))*12+MONTH(MIN(IF($E114="",TODAY(),$E114),TODAY()))-MONTH($D114)+IF(MIN(IF($E114="",TODAY(),$E114),TODAY())&gt;=EOMONTH(MIN(IF($E114="",TODAY(),$E114),TODAY()),0),1,0)),MAX(0,INT((MIN(IF($E114="",TODAY(),$E114),TODAY())-($D114+MOD(SISTEM!$F$8-WEEKDAY($D114,2),7)))/7)+1)))</f>
        <v/>
      </c>
      <c r="J114" s="222">
        <f>IF(OR($C114="",$D114="",$G114="",$F114=""),0,$G114*IF($F114="Aylık",MAX(0,(YEAR(MIN(IF($E114="",TODAY()-8,$E114),TODAY()-8))-YEAR($D114))*12+MONTH(MIN(IF($E114="",TODAY()-8,$E114),TODAY()-8))-MONTH($D114)+IF(MIN(IF($E114="",TODAY()-8,$E114),TODAY()-8)&gt;=EOMONTH(MIN(IF($E114="",TODAY()-8,$E114),TODAY()-8),0),1,0)),MAX(0,INT((MIN(IF($E114="",TODAY()-8,$E114),TODAY()-8)-($D114+MOD(SISTEM!$F$8-WEEKDAY($D114,2),7)))/7)+1)))</f>
        <v/>
      </c>
      <c r="K114" s="222">
        <f>IF(OR($C114="",$D114="",$G114="",$F114=""),0,$G114*IF($F114="Aylık",MAX(0,(YEAR(MIN(IF($E114="",TODAY()-15,$E114),TODAY()-15))-YEAR($D114))*12+MONTH(MIN(IF($E114="",TODAY()-15,$E114),TODAY()-15))-MONTH($D114)+IF(MIN(IF($E114="",TODAY()-15,$E114),TODAY()-15)&gt;=EOMONTH(MIN(IF($E114="",TODAY()-15,$E114),TODAY()-15),0),1,0)),MAX(0,INT((MIN(IF($E114="",TODAY()-15,$E114),TODAY()-15)-($D114+MOD(SISTEM!$F$8-WEEKDAY($D114,2),7)))/7)+1)))</f>
        <v/>
      </c>
      <c r="L114" s="222">
        <f>IF(OR($C114="",$D114="",$G114="",$F114=""),0,$G114*IF($F114="Aylık",MAX(0,(YEAR(MIN(IF($E114="",TODAY()-29,$E114),TODAY()-29))-YEAR($D114))*12+MONTH(MIN(IF($E114="",TODAY()-29,$E114),TODAY()-29))-MONTH($D114)+IF(MIN(IF($E114="",TODAY()-29,$E114),TODAY()-29)&gt;=EOMONTH(MIN(IF($E114="",TODAY()-29,$E114),TODAY()-29),0),1,0)),MAX(0,INT((MIN(IF($E114="",TODAY()-29,$E114),TODAY()-29)-($D114+MOD(SISTEM!$F$8-WEEKDAY($D114,2),7)))/7)+1)))</f>
        <v/>
      </c>
      <c r="M114" s="223">
        <f>IF($G114&gt;0,$I114/$G114,0)</f>
        <v/>
      </c>
      <c r="N114" s="113">
        <f>IF($C114="","",IF($B114="TANIMSIZ MÜŞTERİ","TANIMSIZ MÜŞTERİ",IF($F114="","MODEL SEÇİN",IF(OR($D114="",$G114&lt;=0),"EKSİK",IF(AND($E114&lt;&gt;"",$E114&lt;$D114),"TARİH HATASI",IF($H114="Pasif","KAPALI DÖNEM","UYGUN"))))))</f>
        <v/>
      </c>
      <c r="O114" s="224">
        <f>IF(OR($C114="",$D114="",$F114=""),"",IF($F114="Aylık",EOMONTH($D114,0),($D114+MOD(SISTEM!$F$8-WEEKDAY($D114,2),7))))</f>
        <v/>
      </c>
      <c r="P114" s="109" t="n"/>
      <c r="Q114" s="6" t="n"/>
      <c r="R114" s="6" t="n"/>
      <c r="S114" s="3">
        <f>IF($B114="","",$B114&amp;"|"&amp;COUNTIFS($B$7:$B114,$B114))</f>
        <v/>
      </c>
      <c r="T114" s="3">
        <f>IF($C114="","",UPPER(SUBSTITUTE(SUBSTITUTE(SUBSTITUTE(SUBSTITUTE(SUBSTITUTE(SUBSTITUTE(SUBSTITUTE(SUBSTITUTE(SUBSTITUTE(SUBSTITUTE(SUBSTITUTE(SUBSTITUTE(SUBSTITUTE(SUBSTITUTE(SUBSTITUTE(SUBSTITUTE(SUBSTITUTE(SUBSTITUTE(TRIM($C114),"'",""),"İ","I"),"ı","I"),"i","I"),"Ş","S"),"ş","S"),"Ğ","G"),"ğ","G"),"Ü","U"),"ü","U"),"Ö","O"),"ö","O"),"Ç","C"),"ç","C"),".",""),",","")," ",""),"-","")))</f>
        <v/>
      </c>
    </row>
    <row r="115">
      <c r="A115" s="6" t="n"/>
      <c r="B115" s="113">
        <f>IF($C115="","",IFERROR(INDEX(MUSTERILER!$B$7:$B$106,MATCH($T115,MUSTERILER!$T$7:$T$106,0)),IFERROR(INDEX(MUSTERILER!$B$7:$B$106,MATCH($C115,MUSTERILER!$B$7:$B$106,0)),IFERROR(INDEX(MUSTERILER!$B$7:$B$106,MATCH($T115&amp;"*",MUSTERILER!$T$7:$T$106,0)),"TANIMSIZ MÜŞTERİ"))))</f>
        <v/>
      </c>
      <c r="C115" s="109" t="n"/>
      <c r="D115" s="220" t="n"/>
      <c r="E115" s="220" t="n"/>
      <c r="F115" s="108" t="n"/>
      <c r="G115" s="221" t="n"/>
      <c r="H115" s="108" t="n"/>
      <c r="I115" s="222">
        <f>IF(OR($C115="",$D115="",$G115="",$F115=""),0,$G115*IF($F115="Aylık",MAX(0,(YEAR(MIN(IF($E115="",TODAY(),$E115),TODAY()))-YEAR($D115))*12+MONTH(MIN(IF($E115="",TODAY(),$E115),TODAY()))-MONTH($D115)+IF(MIN(IF($E115="",TODAY(),$E115),TODAY())&gt;=EOMONTH(MIN(IF($E115="",TODAY(),$E115),TODAY()),0),1,0)),MAX(0,INT((MIN(IF($E115="",TODAY(),$E115),TODAY())-($D115+MOD(SISTEM!$F$8-WEEKDAY($D115,2),7)))/7)+1)))</f>
        <v/>
      </c>
      <c r="J115" s="222">
        <f>IF(OR($C115="",$D115="",$G115="",$F115=""),0,$G115*IF($F115="Aylık",MAX(0,(YEAR(MIN(IF($E115="",TODAY()-8,$E115),TODAY()-8))-YEAR($D115))*12+MONTH(MIN(IF($E115="",TODAY()-8,$E115),TODAY()-8))-MONTH($D115)+IF(MIN(IF($E115="",TODAY()-8,$E115),TODAY()-8)&gt;=EOMONTH(MIN(IF($E115="",TODAY()-8,$E115),TODAY()-8),0),1,0)),MAX(0,INT((MIN(IF($E115="",TODAY()-8,$E115),TODAY()-8)-($D115+MOD(SISTEM!$F$8-WEEKDAY($D115,2),7)))/7)+1)))</f>
        <v/>
      </c>
      <c r="K115" s="222">
        <f>IF(OR($C115="",$D115="",$G115="",$F115=""),0,$G115*IF($F115="Aylık",MAX(0,(YEAR(MIN(IF($E115="",TODAY()-15,$E115),TODAY()-15))-YEAR($D115))*12+MONTH(MIN(IF($E115="",TODAY()-15,$E115),TODAY()-15))-MONTH($D115)+IF(MIN(IF($E115="",TODAY()-15,$E115),TODAY()-15)&gt;=EOMONTH(MIN(IF($E115="",TODAY()-15,$E115),TODAY()-15),0),1,0)),MAX(0,INT((MIN(IF($E115="",TODAY()-15,$E115),TODAY()-15)-($D115+MOD(SISTEM!$F$8-WEEKDAY($D115,2),7)))/7)+1)))</f>
        <v/>
      </c>
      <c r="L115" s="222">
        <f>IF(OR($C115="",$D115="",$G115="",$F115=""),0,$G115*IF($F115="Aylık",MAX(0,(YEAR(MIN(IF($E115="",TODAY()-29,$E115),TODAY()-29))-YEAR($D115))*12+MONTH(MIN(IF($E115="",TODAY()-29,$E115),TODAY()-29))-MONTH($D115)+IF(MIN(IF($E115="",TODAY()-29,$E115),TODAY()-29)&gt;=EOMONTH(MIN(IF($E115="",TODAY()-29,$E115),TODAY()-29),0),1,0)),MAX(0,INT((MIN(IF($E115="",TODAY()-29,$E115),TODAY()-29)-($D115+MOD(SISTEM!$F$8-WEEKDAY($D115,2),7)))/7)+1)))</f>
        <v/>
      </c>
      <c r="M115" s="223">
        <f>IF($G115&gt;0,$I115/$G115,0)</f>
        <v/>
      </c>
      <c r="N115" s="113">
        <f>IF($C115="","",IF($B115="TANIMSIZ MÜŞTERİ","TANIMSIZ MÜŞTERİ",IF($F115="","MODEL SEÇİN",IF(OR($D115="",$G115&lt;=0),"EKSİK",IF(AND($E115&lt;&gt;"",$E115&lt;$D115),"TARİH HATASI",IF($H115="Pasif","KAPALI DÖNEM","UYGUN"))))))</f>
        <v/>
      </c>
      <c r="O115" s="224">
        <f>IF(OR($C115="",$D115="",$F115=""),"",IF($F115="Aylık",EOMONTH($D115,0),($D115+MOD(SISTEM!$F$8-WEEKDAY($D115,2),7))))</f>
        <v/>
      </c>
      <c r="P115" s="109" t="n"/>
      <c r="Q115" s="6" t="n"/>
      <c r="R115" s="6" t="n"/>
      <c r="S115" s="3">
        <f>IF($B115="","",$B115&amp;"|"&amp;COUNTIFS($B$7:$B115,$B115))</f>
        <v/>
      </c>
      <c r="T115" s="3">
        <f>IF($C115="","",UPPER(SUBSTITUTE(SUBSTITUTE(SUBSTITUTE(SUBSTITUTE(SUBSTITUTE(SUBSTITUTE(SUBSTITUTE(SUBSTITUTE(SUBSTITUTE(SUBSTITUTE(SUBSTITUTE(SUBSTITUTE(SUBSTITUTE(SUBSTITUTE(SUBSTITUTE(SUBSTITUTE(SUBSTITUTE(SUBSTITUTE(TRIM($C115),"'",""),"İ","I"),"ı","I"),"i","I"),"Ş","S"),"ş","S"),"Ğ","G"),"ğ","G"),"Ü","U"),"ü","U"),"Ö","O"),"ö","O"),"Ç","C"),"ç","C"),".",""),",","")," ",""),"-","")))</f>
        <v/>
      </c>
    </row>
    <row r="116">
      <c r="A116" s="6" t="n"/>
      <c r="B116" s="113">
        <f>IF($C116="","",IFERROR(INDEX(MUSTERILER!$B$7:$B$106,MATCH($T116,MUSTERILER!$T$7:$T$106,0)),IFERROR(INDEX(MUSTERILER!$B$7:$B$106,MATCH($C116,MUSTERILER!$B$7:$B$106,0)),IFERROR(INDEX(MUSTERILER!$B$7:$B$106,MATCH($T116&amp;"*",MUSTERILER!$T$7:$T$106,0)),"TANIMSIZ MÜŞTERİ"))))</f>
        <v/>
      </c>
      <c r="C116" s="109" t="n"/>
      <c r="D116" s="220" t="n"/>
      <c r="E116" s="220" t="n"/>
      <c r="F116" s="108" t="n"/>
      <c r="G116" s="221" t="n"/>
      <c r="H116" s="108" t="n"/>
      <c r="I116" s="222">
        <f>IF(OR($C116="",$D116="",$G116="",$F116=""),0,$G116*IF($F116="Aylık",MAX(0,(YEAR(MIN(IF($E116="",TODAY(),$E116),TODAY()))-YEAR($D116))*12+MONTH(MIN(IF($E116="",TODAY(),$E116),TODAY()))-MONTH($D116)+IF(MIN(IF($E116="",TODAY(),$E116),TODAY())&gt;=EOMONTH(MIN(IF($E116="",TODAY(),$E116),TODAY()),0),1,0)),MAX(0,INT((MIN(IF($E116="",TODAY(),$E116),TODAY())-($D116+MOD(SISTEM!$F$8-WEEKDAY($D116,2),7)))/7)+1)))</f>
        <v/>
      </c>
      <c r="J116" s="222">
        <f>IF(OR($C116="",$D116="",$G116="",$F116=""),0,$G116*IF($F116="Aylık",MAX(0,(YEAR(MIN(IF($E116="",TODAY()-8,$E116),TODAY()-8))-YEAR($D116))*12+MONTH(MIN(IF($E116="",TODAY()-8,$E116),TODAY()-8))-MONTH($D116)+IF(MIN(IF($E116="",TODAY()-8,$E116),TODAY()-8)&gt;=EOMONTH(MIN(IF($E116="",TODAY()-8,$E116),TODAY()-8),0),1,0)),MAX(0,INT((MIN(IF($E116="",TODAY()-8,$E116),TODAY()-8)-($D116+MOD(SISTEM!$F$8-WEEKDAY($D116,2),7)))/7)+1)))</f>
        <v/>
      </c>
      <c r="K116" s="222">
        <f>IF(OR($C116="",$D116="",$G116="",$F116=""),0,$G116*IF($F116="Aylık",MAX(0,(YEAR(MIN(IF($E116="",TODAY()-15,$E116),TODAY()-15))-YEAR($D116))*12+MONTH(MIN(IF($E116="",TODAY()-15,$E116),TODAY()-15))-MONTH($D116)+IF(MIN(IF($E116="",TODAY()-15,$E116),TODAY()-15)&gt;=EOMONTH(MIN(IF($E116="",TODAY()-15,$E116),TODAY()-15),0),1,0)),MAX(0,INT((MIN(IF($E116="",TODAY()-15,$E116),TODAY()-15)-($D116+MOD(SISTEM!$F$8-WEEKDAY($D116,2),7)))/7)+1)))</f>
        <v/>
      </c>
      <c r="L116" s="222">
        <f>IF(OR($C116="",$D116="",$G116="",$F116=""),0,$G116*IF($F116="Aylık",MAX(0,(YEAR(MIN(IF($E116="",TODAY()-29,$E116),TODAY()-29))-YEAR($D116))*12+MONTH(MIN(IF($E116="",TODAY()-29,$E116),TODAY()-29))-MONTH($D116)+IF(MIN(IF($E116="",TODAY()-29,$E116),TODAY()-29)&gt;=EOMONTH(MIN(IF($E116="",TODAY()-29,$E116),TODAY()-29),0),1,0)),MAX(0,INT((MIN(IF($E116="",TODAY()-29,$E116),TODAY()-29)-($D116+MOD(SISTEM!$F$8-WEEKDAY($D116,2),7)))/7)+1)))</f>
        <v/>
      </c>
      <c r="M116" s="223">
        <f>IF($G116&gt;0,$I116/$G116,0)</f>
        <v/>
      </c>
      <c r="N116" s="113">
        <f>IF($C116="","",IF($B116="TANIMSIZ MÜŞTERİ","TANIMSIZ MÜŞTERİ",IF($F116="","MODEL SEÇİN",IF(OR($D116="",$G116&lt;=0),"EKSİK",IF(AND($E116&lt;&gt;"",$E116&lt;$D116),"TARİH HATASI",IF($H116="Pasif","KAPALI DÖNEM","UYGUN"))))))</f>
        <v/>
      </c>
      <c r="O116" s="224">
        <f>IF(OR($C116="",$D116="",$F116=""),"",IF($F116="Aylık",EOMONTH($D116,0),($D116+MOD(SISTEM!$F$8-WEEKDAY($D116,2),7))))</f>
        <v/>
      </c>
      <c r="P116" s="109" t="n"/>
      <c r="Q116" s="6" t="n"/>
      <c r="R116" s="6" t="n"/>
      <c r="S116" s="3">
        <f>IF($B116="","",$B116&amp;"|"&amp;COUNTIFS($B$7:$B116,$B116))</f>
        <v/>
      </c>
      <c r="T116" s="3">
        <f>IF($C116="","",UPPER(SUBSTITUTE(SUBSTITUTE(SUBSTITUTE(SUBSTITUTE(SUBSTITUTE(SUBSTITUTE(SUBSTITUTE(SUBSTITUTE(SUBSTITUTE(SUBSTITUTE(SUBSTITUTE(SUBSTITUTE(SUBSTITUTE(SUBSTITUTE(SUBSTITUTE(SUBSTITUTE(SUBSTITUTE(SUBSTITUTE(TRIM($C116),"'",""),"İ","I"),"ı","I"),"i","I"),"Ş","S"),"ş","S"),"Ğ","G"),"ğ","G"),"Ü","U"),"ü","U"),"Ö","O"),"ö","O"),"Ç","C"),"ç","C"),".",""),",","")," ",""),"-","")))</f>
        <v/>
      </c>
    </row>
    <row r="117">
      <c r="A117" s="6" t="n"/>
      <c r="B117" s="113">
        <f>IF($C117="","",IFERROR(INDEX(MUSTERILER!$B$7:$B$106,MATCH($T117,MUSTERILER!$T$7:$T$106,0)),IFERROR(INDEX(MUSTERILER!$B$7:$B$106,MATCH($C117,MUSTERILER!$B$7:$B$106,0)),IFERROR(INDEX(MUSTERILER!$B$7:$B$106,MATCH($T117&amp;"*",MUSTERILER!$T$7:$T$106,0)),"TANIMSIZ MÜŞTERİ"))))</f>
        <v/>
      </c>
      <c r="C117" s="109" t="n"/>
      <c r="D117" s="220" t="n"/>
      <c r="E117" s="220" t="n"/>
      <c r="F117" s="108" t="n"/>
      <c r="G117" s="221" t="n"/>
      <c r="H117" s="108" t="n"/>
      <c r="I117" s="222">
        <f>IF(OR($C117="",$D117="",$G117="",$F117=""),0,$G117*IF($F117="Aylık",MAX(0,(YEAR(MIN(IF($E117="",TODAY(),$E117),TODAY()))-YEAR($D117))*12+MONTH(MIN(IF($E117="",TODAY(),$E117),TODAY()))-MONTH($D117)+IF(MIN(IF($E117="",TODAY(),$E117),TODAY())&gt;=EOMONTH(MIN(IF($E117="",TODAY(),$E117),TODAY()),0),1,0)),MAX(0,INT((MIN(IF($E117="",TODAY(),$E117),TODAY())-($D117+MOD(SISTEM!$F$8-WEEKDAY($D117,2),7)))/7)+1)))</f>
        <v/>
      </c>
      <c r="J117" s="222">
        <f>IF(OR($C117="",$D117="",$G117="",$F117=""),0,$G117*IF($F117="Aylık",MAX(0,(YEAR(MIN(IF($E117="",TODAY()-8,$E117),TODAY()-8))-YEAR($D117))*12+MONTH(MIN(IF($E117="",TODAY()-8,$E117),TODAY()-8))-MONTH($D117)+IF(MIN(IF($E117="",TODAY()-8,$E117),TODAY()-8)&gt;=EOMONTH(MIN(IF($E117="",TODAY()-8,$E117),TODAY()-8),0),1,0)),MAX(0,INT((MIN(IF($E117="",TODAY()-8,$E117),TODAY()-8)-($D117+MOD(SISTEM!$F$8-WEEKDAY($D117,2),7)))/7)+1)))</f>
        <v/>
      </c>
      <c r="K117" s="222">
        <f>IF(OR($C117="",$D117="",$G117="",$F117=""),0,$G117*IF($F117="Aylık",MAX(0,(YEAR(MIN(IF($E117="",TODAY()-15,$E117),TODAY()-15))-YEAR($D117))*12+MONTH(MIN(IF($E117="",TODAY()-15,$E117),TODAY()-15))-MONTH($D117)+IF(MIN(IF($E117="",TODAY()-15,$E117),TODAY()-15)&gt;=EOMONTH(MIN(IF($E117="",TODAY()-15,$E117),TODAY()-15),0),1,0)),MAX(0,INT((MIN(IF($E117="",TODAY()-15,$E117),TODAY()-15)-($D117+MOD(SISTEM!$F$8-WEEKDAY($D117,2),7)))/7)+1)))</f>
        <v/>
      </c>
      <c r="L117" s="222">
        <f>IF(OR($C117="",$D117="",$G117="",$F117=""),0,$G117*IF($F117="Aylık",MAX(0,(YEAR(MIN(IF($E117="",TODAY()-29,$E117),TODAY()-29))-YEAR($D117))*12+MONTH(MIN(IF($E117="",TODAY()-29,$E117),TODAY()-29))-MONTH($D117)+IF(MIN(IF($E117="",TODAY()-29,$E117),TODAY()-29)&gt;=EOMONTH(MIN(IF($E117="",TODAY()-29,$E117),TODAY()-29),0),1,0)),MAX(0,INT((MIN(IF($E117="",TODAY()-29,$E117),TODAY()-29)-($D117+MOD(SISTEM!$F$8-WEEKDAY($D117,2),7)))/7)+1)))</f>
        <v/>
      </c>
      <c r="M117" s="223">
        <f>IF($G117&gt;0,$I117/$G117,0)</f>
        <v/>
      </c>
      <c r="N117" s="113">
        <f>IF($C117="","",IF($B117="TANIMSIZ MÜŞTERİ","TANIMSIZ MÜŞTERİ",IF($F117="","MODEL SEÇİN",IF(OR($D117="",$G117&lt;=0),"EKSİK",IF(AND($E117&lt;&gt;"",$E117&lt;$D117),"TARİH HATASI",IF($H117="Pasif","KAPALI DÖNEM","UYGUN"))))))</f>
        <v/>
      </c>
      <c r="O117" s="224">
        <f>IF(OR($C117="",$D117="",$F117=""),"",IF($F117="Aylık",EOMONTH($D117,0),($D117+MOD(SISTEM!$F$8-WEEKDAY($D117,2),7))))</f>
        <v/>
      </c>
      <c r="P117" s="109" t="n"/>
      <c r="Q117" s="6" t="n"/>
      <c r="R117" s="6" t="n"/>
      <c r="S117" s="3">
        <f>IF($B117="","",$B117&amp;"|"&amp;COUNTIFS($B$7:$B117,$B117))</f>
        <v/>
      </c>
      <c r="T117" s="3">
        <f>IF($C117="","",UPPER(SUBSTITUTE(SUBSTITUTE(SUBSTITUTE(SUBSTITUTE(SUBSTITUTE(SUBSTITUTE(SUBSTITUTE(SUBSTITUTE(SUBSTITUTE(SUBSTITUTE(SUBSTITUTE(SUBSTITUTE(SUBSTITUTE(SUBSTITUTE(SUBSTITUTE(SUBSTITUTE(SUBSTITUTE(SUBSTITUTE(TRIM($C117),"'",""),"İ","I"),"ı","I"),"i","I"),"Ş","S"),"ş","S"),"Ğ","G"),"ğ","G"),"Ü","U"),"ü","U"),"Ö","O"),"ö","O"),"Ç","C"),"ç","C"),".",""),",","")," ",""),"-","")))</f>
        <v/>
      </c>
    </row>
    <row r="118">
      <c r="A118" s="6" t="n"/>
      <c r="B118" s="113">
        <f>IF($C118="","",IFERROR(INDEX(MUSTERILER!$B$7:$B$106,MATCH($T118,MUSTERILER!$T$7:$T$106,0)),IFERROR(INDEX(MUSTERILER!$B$7:$B$106,MATCH($C118,MUSTERILER!$B$7:$B$106,0)),IFERROR(INDEX(MUSTERILER!$B$7:$B$106,MATCH($T118&amp;"*",MUSTERILER!$T$7:$T$106,0)),"TANIMSIZ MÜŞTERİ"))))</f>
        <v/>
      </c>
      <c r="C118" s="109" t="n"/>
      <c r="D118" s="220" t="n"/>
      <c r="E118" s="220" t="n"/>
      <c r="F118" s="108" t="n"/>
      <c r="G118" s="221" t="n"/>
      <c r="H118" s="108" t="n"/>
      <c r="I118" s="222">
        <f>IF(OR($C118="",$D118="",$G118="",$F118=""),0,$G118*IF($F118="Aylık",MAX(0,(YEAR(MIN(IF($E118="",TODAY(),$E118),TODAY()))-YEAR($D118))*12+MONTH(MIN(IF($E118="",TODAY(),$E118),TODAY()))-MONTH($D118)+IF(MIN(IF($E118="",TODAY(),$E118),TODAY())&gt;=EOMONTH(MIN(IF($E118="",TODAY(),$E118),TODAY()),0),1,0)),MAX(0,INT((MIN(IF($E118="",TODAY(),$E118),TODAY())-($D118+MOD(SISTEM!$F$8-WEEKDAY($D118,2),7)))/7)+1)))</f>
        <v/>
      </c>
      <c r="J118" s="222">
        <f>IF(OR($C118="",$D118="",$G118="",$F118=""),0,$G118*IF($F118="Aylık",MAX(0,(YEAR(MIN(IF($E118="",TODAY()-8,$E118),TODAY()-8))-YEAR($D118))*12+MONTH(MIN(IF($E118="",TODAY()-8,$E118),TODAY()-8))-MONTH($D118)+IF(MIN(IF($E118="",TODAY()-8,$E118),TODAY()-8)&gt;=EOMONTH(MIN(IF($E118="",TODAY()-8,$E118),TODAY()-8),0),1,0)),MAX(0,INT((MIN(IF($E118="",TODAY()-8,$E118),TODAY()-8)-($D118+MOD(SISTEM!$F$8-WEEKDAY($D118,2),7)))/7)+1)))</f>
        <v/>
      </c>
      <c r="K118" s="222">
        <f>IF(OR($C118="",$D118="",$G118="",$F118=""),0,$G118*IF($F118="Aylık",MAX(0,(YEAR(MIN(IF($E118="",TODAY()-15,$E118),TODAY()-15))-YEAR($D118))*12+MONTH(MIN(IF($E118="",TODAY()-15,$E118),TODAY()-15))-MONTH($D118)+IF(MIN(IF($E118="",TODAY()-15,$E118),TODAY()-15)&gt;=EOMONTH(MIN(IF($E118="",TODAY()-15,$E118),TODAY()-15),0),1,0)),MAX(0,INT((MIN(IF($E118="",TODAY()-15,$E118),TODAY()-15)-($D118+MOD(SISTEM!$F$8-WEEKDAY($D118,2),7)))/7)+1)))</f>
        <v/>
      </c>
      <c r="L118" s="222">
        <f>IF(OR($C118="",$D118="",$G118="",$F118=""),0,$G118*IF($F118="Aylık",MAX(0,(YEAR(MIN(IF($E118="",TODAY()-29,$E118),TODAY()-29))-YEAR($D118))*12+MONTH(MIN(IF($E118="",TODAY()-29,$E118),TODAY()-29))-MONTH($D118)+IF(MIN(IF($E118="",TODAY()-29,$E118),TODAY()-29)&gt;=EOMONTH(MIN(IF($E118="",TODAY()-29,$E118),TODAY()-29),0),1,0)),MAX(0,INT((MIN(IF($E118="",TODAY()-29,$E118),TODAY()-29)-($D118+MOD(SISTEM!$F$8-WEEKDAY($D118,2),7)))/7)+1)))</f>
        <v/>
      </c>
      <c r="M118" s="223">
        <f>IF($G118&gt;0,$I118/$G118,0)</f>
        <v/>
      </c>
      <c r="N118" s="113">
        <f>IF($C118="","",IF($B118="TANIMSIZ MÜŞTERİ","TANIMSIZ MÜŞTERİ",IF($F118="","MODEL SEÇİN",IF(OR($D118="",$G118&lt;=0),"EKSİK",IF(AND($E118&lt;&gt;"",$E118&lt;$D118),"TARİH HATASI",IF($H118="Pasif","KAPALI DÖNEM","UYGUN"))))))</f>
        <v/>
      </c>
      <c r="O118" s="224">
        <f>IF(OR($C118="",$D118="",$F118=""),"",IF($F118="Aylık",EOMONTH($D118,0),($D118+MOD(SISTEM!$F$8-WEEKDAY($D118,2),7))))</f>
        <v/>
      </c>
      <c r="P118" s="109" t="n"/>
      <c r="Q118" s="6" t="n"/>
      <c r="R118" s="6" t="n"/>
      <c r="S118" s="3">
        <f>IF($B118="","",$B118&amp;"|"&amp;COUNTIFS($B$7:$B118,$B118))</f>
        <v/>
      </c>
      <c r="T118" s="3">
        <f>IF($C118="","",UPPER(SUBSTITUTE(SUBSTITUTE(SUBSTITUTE(SUBSTITUTE(SUBSTITUTE(SUBSTITUTE(SUBSTITUTE(SUBSTITUTE(SUBSTITUTE(SUBSTITUTE(SUBSTITUTE(SUBSTITUTE(SUBSTITUTE(SUBSTITUTE(SUBSTITUTE(SUBSTITUTE(SUBSTITUTE(SUBSTITUTE(TRIM($C118),"'",""),"İ","I"),"ı","I"),"i","I"),"Ş","S"),"ş","S"),"Ğ","G"),"ğ","G"),"Ü","U"),"ü","U"),"Ö","O"),"ö","O"),"Ç","C"),"ç","C"),".",""),",","")," ",""),"-","")))</f>
        <v/>
      </c>
    </row>
    <row r="119">
      <c r="A119" s="6" t="n"/>
      <c r="B119" s="113">
        <f>IF($C119="","",IFERROR(INDEX(MUSTERILER!$B$7:$B$106,MATCH($T119,MUSTERILER!$T$7:$T$106,0)),IFERROR(INDEX(MUSTERILER!$B$7:$B$106,MATCH($C119,MUSTERILER!$B$7:$B$106,0)),IFERROR(INDEX(MUSTERILER!$B$7:$B$106,MATCH($T119&amp;"*",MUSTERILER!$T$7:$T$106,0)),"TANIMSIZ MÜŞTERİ"))))</f>
        <v/>
      </c>
      <c r="C119" s="109" t="n"/>
      <c r="D119" s="220" t="n"/>
      <c r="E119" s="220" t="n"/>
      <c r="F119" s="108" t="n"/>
      <c r="G119" s="221" t="n"/>
      <c r="H119" s="108" t="n"/>
      <c r="I119" s="222">
        <f>IF(OR($C119="",$D119="",$G119="",$F119=""),0,$G119*IF($F119="Aylık",MAX(0,(YEAR(MIN(IF($E119="",TODAY(),$E119),TODAY()))-YEAR($D119))*12+MONTH(MIN(IF($E119="",TODAY(),$E119),TODAY()))-MONTH($D119)+IF(MIN(IF($E119="",TODAY(),$E119),TODAY())&gt;=EOMONTH(MIN(IF($E119="",TODAY(),$E119),TODAY()),0),1,0)),MAX(0,INT((MIN(IF($E119="",TODAY(),$E119),TODAY())-($D119+MOD(SISTEM!$F$8-WEEKDAY($D119,2),7)))/7)+1)))</f>
        <v/>
      </c>
      <c r="J119" s="222">
        <f>IF(OR($C119="",$D119="",$G119="",$F119=""),0,$G119*IF($F119="Aylık",MAX(0,(YEAR(MIN(IF($E119="",TODAY()-8,$E119),TODAY()-8))-YEAR($D119))*12+MONTH(MIN(IF($E119="",TODAY()-8,$E119),TODAY()-8))-MONTH($D119)+IF(MIN(IF($E119="",TODAY()-8,$E119),TODAY()-8)&gt;=EOMONTH(MIN(IF($E119="",TODAY()-8,$E119),TODAY()-8),0),1,0)),MAX(0,INT((MIN(IF($E119="",TODAY()-8,$E119),TODAY()-8)-($D119+MOD(SISTEM!$F$8-WEEKDAY($D119,2),7)))/7)+1)))</f>
        <v/>
      </c>
      <c r="K119" s="222">
        <f>IF(OR($C119="",$D119="",$G119="",$F119=""),0,$G119*IF($F119="Aylık",MAX(0,(YEAR(MIN(IF($E119="",TODAY()-15,$E119),TODAY()-15))-YEAR($D119))*12+MONTH(MIN(IF($E119="",TODAY()-15,$E119),TODAY()-15))-MONTH($D119)+IF(MIN(IF($E119="",TODAY()-15,$E119),TODAY()-15)&gt;=EOMONTH(MIN(IF($E119="",TODAY()-15,$E119),TODAY()-15),0),1,0)),MAX(0,INT((MIN(IF($E119="",TODAY()-15,$E119),TODAY()-15)-($D119+MOD(SISTEM!$F$8-WEEKDAY($D119,2),7)))/7)+1)))</f>
        <v/>
      </c>
      <c r="L119" s="222">
        <f>IF(OR($C119="",$D119="",$G119="",$F119=""),0,$G119*IF($F119="Aylık",MAX(0,(YEAR(MIN(IF($E119="",TODAY()-29,$E119),TODAY()-29))-YEAR($D119))*12+MONTH(MIN(IF($E119="",TODAY()-29,$E119),TODAY()-29))-MONTH($D119)+IF(MIN(IF($E119="",TODAY()-29,$E119),TODAY()-29)&gt;=EOMONTH(MIN(IF($E119="",TODAY()-29,$E119),TODAY()-29),0),1,0)),MAX(0,INT((MIN(IF($E119="",TODAY()-29,$E119),TODAY()-29)-($D119+MOD(SISTEM!$F$8-WEEKDAY($D119,2),7)))/7)+1)))</f>
        <v/>
      </c>
      <c r="M119" s="223">
        <f>IF($G119&gt;0,$I119/$G119,0)</f>
        <v/>
      </c>
      <c r="N119" s="113">
        <f>IF($C119="","",IF($B119="TANIMSIZ MÜŞTERİ","TANIMSIZ MÜŞTERİ",IF($F119="","MODEL SEÇİN",IF(OR($D119="",$G119&lt;=0),"EKSİK",IF(AND($E119&lt;&gt;"",$E119&lt;$D119),"TARİH HATASI",IF($H119="Pasif","KAPALI DÖNEM","UYGUN"))))))</f>
        <v/>
      </c>
      <c r="O119" s="224">
        <f>IF(OR($C119="",$D119="",$F119=""),"",IF($F119="Aylık",EOMONTH($D119,0),($D119+MOD(SISTEM!$F$8-WEEKDAY($D119,2),7))))</f>
        <v/>
      </c>
      <c r="P119" s="109" t="n"/>
      <c r="Q119" s="6" t="n"/>
      <c r="R119" s="6" t="n"/>
      <c r="S119" s="3">
        <f>IF($B119="","",$B119&amp;"|"&amp;COUNTIFS($B$7:$B119,$B119))</f>
        <v/>
      </c>
      <c r="T119" s="3">
        <f>IF($C119="","",UPPER(SUBSTITUTE(SUBSTITUTE(SUBSTITUTE(SUBSTITUTE(SUBSTITUTE(SUBSTITUTE(SUBSTITUTE(SUBSTITUTE(SUBSTITUTE(SUBSTITUTE(SUBSTITUTE(SUBSTITUTE(SUBSTITUTE(SUBSTITUTE(SUBSTITUTE(SUBSTITUTE(SUBSTITUTE(SUBSTITUTE(TRIM($C119),"'",""),"İ","I"),"ı","I"),"i","I"),"Ş","S"),"ş","S"),"Ğ","G"),"ğ","G"),"Ü","U"),"ü","U"),"Ö","O"),"ö","O"),"Ç","C"),"ç","C"),".",""),",","")," ",""),"-","")))</f>
        <v/>
      </c>
    </row>
    <row r="120">
      <c r="A120" s="6" t="n"/>
      <c r="B120" s="113">
        <f>IF($C120="","",IFERROR(INDEX(MUSTERILER!$B$7:$B$106,MATCH($T120,MUSTERILER!$T$7:$T$106,0)),IFERROR(INDEX(MUSTERILER!$B$7:$B$106,MATCH($C120,MUSTERILER!$B$7:$B$106,0)),IFERROR(INDEX(MUSTERILER!$B$7:$B$106,MATCH($T120&amp;"*",MUSTERILER!$T$7:$T$106,0)),"TANIMSIZ MÜŞTERİ"))))</f>
        <v/>
      </c>
      <c r="C120" s="109" t="n"/>
      <c r="D120" s="220" t="n"/>
      <c r="E120" s="220" t="n"/>
      <c r="F120" s="108" t="n"/>
      <c r="G120" s="221" t="n"/>
      <c r="H120" s="108" t="n"/>
      <c r="I120" s="222">
        <f>IF(OR($C120="",$D120="",$G120="",$F120=""),0,$G120*IF($F120="Aylık",MAX(0,(YEAR(MIN(IF($E120="",TODAY(),$E120),TODAY()))-YEAR($D120))*12+MONTH(MIN(IF($E120="",TODAY(),$E120),TODAY()))-MONTH($D120)+IF(MIN(IF($E120="",TODAY(),$E120),TODAY())&gt;=EOMONTH(MIN(IF($E120="",TODAY(),$E120),TODAY()),0),1,0)),MAX(0,INT((MIN(IF($E120="",TODAY(),$E120),TODAY())-($D120+MOD(SISTEM!$F$8-WEEKDAY($D120,2),7)))/7)+1)))</f>
        <v/>
      </c>
      <c r="J120" s="222">
        <f>IF(OR($C120="",$D120="",$G120="",$F120=""),0,$G120*IF($F120="Aylık",MAX(0,(YEAR(MIN(IF($E120="",TODAY()-8,$E120),TODAY()-8))-YEAR($D120))*12+MONTH(MIN(IF($E120="",TODAY()-8,$E120),TODAY()-8))-MONTH($D120)+IF(MIN(IF($E120="",TODAY()-8,$E120),TODAY()-8)&gt;=EOMONTH(MIN(IF($E120="",TODAY()-8,$E120),TODAY()-8),0),1,0)),MAX(0,INT((MIN(IF($E120="",TODAY()-8,$E120),TODAY()-8)-($D120+MOD(SISTEM!$F$8-WEEKDAY($D120,2),7)))/7)+1)))</f>
        <v/>
      </c>
      <c r="K120" s="222">
        <f>IF(OR($C120="",$D120="",$G120="",$F120=""),0,$G120*IF($F120="Aylık",MAX(0,(YEAR(MIN(IF($E120="",TODAY()-15,$E120),TODAY()-15))-YEAR($D120))*12+MONTH(MIN(IF($E120="",TODAY()-15,$E120),TODAY()-15))-MONTH($D120)+IF(MIN(IF($E120="",TODAY()-15,$E120),TODAY()-15)&gt;=EOMONTH(MIN(IF($E120="",TODAY()-15,$E120),TODAY()-15),0),1,0)),MAX(0,INT((MIN(IF($E120="",TODAY()-15,$E120),TODAY()-15)-($D120+MOD(SISTEM!$F$8-WEEKDAY($D120,2),7)))/7)+1)))</f>
        <v/>
      </c>
      <c r="L120" s="222">
        <f>IF(OR($C120="",$D120="",$G120="",$F120=""),0,$G120*IF($F120="Aylık",MAX(0,(YEAR(MIN(IF($E120="",TODAY()-29,$E120),TODAY()-29))-YEAR($D120))*12+MONTH(MIN(IF($E120="",TODAY()-29,$E120),TODAY()-29))-MONTH($D120)+IF(MIN(IF($E120="",TODAY()-29,$E120),TODAY()-29)&gt;=EOMONTH(MIN(IF($E120="",TODAY()-29,$E120),TODAY()-29),0),1,0)),MAX(0,INT((MIN(IF($E120="",TODAY()-29,$E120),TODAY()-29)-($D120+MOD(SISTEM!$F$8-WEEKDAY($D120,2),7)))/7)+1)))</f>
        <v/>
      </c>
      <c r="M120" s="223">
        <f>IF($G120&gt;0,$I120/$G120,0)</f>
        <v/>
      </c>
      <c r="N120" s="113">
        <f>IF($C120="","",IF($B120="TANIMSIZ MÜŞTERİ","TANIMSIZ MÜŞTERİ",IF($F120="","MODEL SEÇİN",IF(OR($D120="",$G120&lt;=0),"EKSİK",IF(AND($E120&lt;&gt;"",$E120&lt;$D120),"TARİH HATASI",IF($H120="Pasif","KAPALI DÖNEM","UYGUN"))))))</f>
        <v/>
      </c>
      <c r="O120" s="224">
        <f>IF(OR($C120="",$D120="",$F120=""),"",IF($F120="Aylık",EOMONTH($D120,0),($D120+MOD(SISTEM!$F$8-WEEKDAY($D120,2),7))))</f>
        <v/>
      </c>
      <c r="P120" s="109" t="n"/>
      <c r="Q120" s="6" t="n"/>
      <c r="R120" s="6" t="n"/>
      <c r="S120" s="3">
        <f>IF($B120="","",$B120&amp;"|"&amp;COUNTIFS($B$7:$B120,$B120))</f>
        <v/>
      </c>
      <c r="T120" s="3">
        <f>IF($C120="","",UPPER(SUBSTITUTE(SUBSTITUTE(SUBSTITUTE(SUBSTITUTE(SUBSTITUTE(SUBSTITUTE(SUBSTITUTE(SUBSTITUTE(SUBSTITUTE(SUBSTITUTE(SUBSTITUTE(SUBSTITUTE(SUBSTITUTE(SUBSTITUTE(SUBSTITUTE(SUBSTITUTE(SUBSTITUTE(SUBSTITUTE(TRIM($C120),"'",""),"İ","I"),"ı","I"),"i","I"),"Ş","S"),"ş","S"),"Ğ","G"),"ğ","G"),"Ü","U"),"ü","U"),"Ö","O"),"ö","O"),"Ç","C"),"ç","C"),".",""),",","")," ",""),"-","")))</f>
        <v/>
      </c>
    </row>
    <row r="121">
      <c r="A121" s="6" t="n"/>
      <c r="B121" s="113">
        <f>IF($C121="","",IFERROR(INDEX(MUSTERILER!$B$7:$B$106,MATCH($T121,MUSTERILER!$T$7:$T$106,0)),IFERROR(INDEX(MUSTERILER!$B$7:$B$106,MATCH($C121,MUSTERILER!$B$7:$B$106,0)),IFERROR(INDEX(MUSTERILER!$B$7:$B$106,MATCH($T121&amp;"*",MUSTERILER!$T$7:$T$106,0)),"TANIMSIZ MÜŞTERİ"))))</f>
        <v/>
      </c>
      <c r="C121" s="109" t="n"/>
      <c r="D121" s="220" t="n"/>
      <c r="E121" s="220" t="n"/>
      <c r="F121" s="108" t="n"/>
      <c r="G121" s="221" t="n"/>
      <c r="H121" s="108" t="n"/>
      <c r="I121" s="222">
        <f>IF(OR($C121="",$D121="",$G121="",$F121=""),0,$G121*IF($F121="Aylık",MAX(0,(YEAR(MIN(IF($E121="",TODAY(),$E121),TODAY()))-YEAR($D121))*12+MONTH(MIN(IF($E121="",TODAY(),$E121),TODAY()))-MONTH($D121)+IF(MIN(IF($E121="",TODAY(),$E121),TODAY())&gt;=EOMONTH(MIN(IF($E121="",TODAY(),$E121),TODAY()),0),1,0)),MAX(0,INT((MIN(IF($E121="",TODAY(),$E121),TODAY())-($D121+MOD(SISTEM!$F$8-WEEKDAY($D121,2),7)))/7)+1)))</f>
        <v/>
      </c>
      <c r="J121" s="222">
        <f>IF(OR($C121="",$D121="",$G121="",$F121=""),0,$G121*IF($F121="Aylık",MAX(0,(YEAR(MIN(IF($E121="",TODAY()-8,$E121),TODAY()-8))-YEAR($D121))*12+MONTH(MIN(IF($E121="",TODAY()-8,$E121),TODAY()-8))-MONTH($D121)+IF(MIN(IF($E121="",TODAY()-8,$E121),TODAY()-8)&gt;=EOMONTH(MIN(IF($E121="",TODAY()-8,$E121),TODAY()-8),0),1,0)),MAX(0,INT((MIN(IF($E121="",TODAY()-8,$E121),TODAY()-8)-($D121+MOD(SISTEM!$F$8-WEEKDAY($D121,2),7)))/7)+1)))</f>
        <v/>
      </c>
      <c r="K121" s="222">
        <f>IF(OR($C121="",$D121="",$G121="",$F121=""),0,$G121*IF($F121="Aylık",MAX(0,(YEAR(MIN(IF($E121="",TODAY()-15,$E121),TODAY()-15))-YEAR($D121))*12+MONTH(MIN(IF($E121="",TODAY()-15,$E121),TODAY()-15))-MONTH($D121)+IF(MIN(IF($E121="",TODAY()-15,$E121),TODAY()-15)&gt;=EOMONTH(MIN(IF($E121="",TODAY()-15,$E121),TODAY()-15),0),1,0)),MAX(0,INT((MIN(IF($E121="",TODAY()-15,$E121),TODAY()-15)-($D121+MOD(SISTEM!$F$8-WEEKDAY($D121,2),7)))/7)+1)))</f>
        <v/>
      </c>
      <c r="L121" s="222">
        <f>IF(OR($C121="",$D121="",$G121="",$F121=""),0,$G121*IF($F121="Aylık",MAX(0,(YEAR(MIN(IF($E121="",TODAY()-29,$E121),TODAY()-29))-YEAR($D121))*12+MONTH(MIN(IF($E121="",TODAY()-29,$E121),TODAY()-29))-MONTH($D121)+IF(MIN(IF($E121="",TODAY()-29,$E121),TODAY()-29)&gt;=EOMONTH(MIN(IF($E121="",TODAY()-29,$E121),TODAY()-29),0),1,0)),MAX(0,INT((MIN(IF($E121="",TODAY()-29,$E121),TODAY()-29)-($D121+MOD(SISTEM!$F$8-WEEKDAY($D121,2),7)))/7)+1)))</f>
        <v/>
      </c>
      <c r="M121" s="223">
        <f>IF($G121&gt;0,$I121/$G121,0)</f>
        <v/>
      </c>
      <c r="N121" s="113">
        <f>IF($C121="","",IF($B121="TANIMSIZ MÜŞTERİ","TANIMSIZ MÜŞTERİ",IF($F121="","MODEL SEÇİN",IF(OR($D121="",$G121&lt;=0),"EKSİK",IF(AND($E121&lt;&gt;"",$E121&lt;$D121),"TARİH HATASI",IF($H121="Pasif","KAPALI DÖNEM","UYGUN"))))))</f>
        <v/>
      </c>
      <c r="O121" s="224">
        <f>IF(OR($C121="",$D121="",$F121=""),"",IF($F121="Aylık",EOMONTH($D121,0),($D121+MOD(SISTEM!$F$8-WEEKDAY($D121,2),7))))</f>
        <v/>
      </c>
      <c r="P121" s="109" t="n"/>
      <c r="Q121" s="6" t="n"/>
      <c r="R121" s="6" t="n"/>
      <c r="S121" s="3">
        <f>IF($B121="","",$B121&amp;"|"&amp;COUNTIFS($B$7:$B121,$B121))</f>
        <v/>
      </c>
      <c r="T121" s="3">
        <f>IF($C121="","",UPPER(SUBSTITUTE(SUBSTITUTE(SUBSTITUTE(SUBSTITUTE(SUBSTITUTE(SUBSTITUTE(SUBSTITUTE(SUBSTITUTE(SUBSTITUTE(SUBSTITUTE(SUBSTITUTE(SUBSTITUTE(SUBSTITUTE(SUBSTITUTE(SUBSTITUTE(SUBSTITUTE(SUBSTITUTE(SUBSTITUTE(TRIM($C121),"'",""),"İ","I"),"ı","I"),"i","I"),"Ş","S"),"ş","S"),"Ğ","G"),"ğ","G"),"Ü","U"),"ü","U"),"Ö","O"),"ö","O"),"Ç","C"),"ç","C"),".",""),",","")," ",""),"-","")))</f>
        <v/>
      </c>
    </row>
    <row r="122">
      <c r="A122" s="6" t="n"/>
      <c r="B122" s="113">
        <f>IF($C122="","",IFERROR(INDEX(MUSTERILER!$B$7:$B$106,MATCH($T122,MUSTERILER!$T$7:$T$106,0)),IFERROR(INDEX(MUSTERILER!$B$7:$B$106,MATCH($C122,MUSTERILER!$B$7:$B$106,0)),IFERROR(INDEX(MUSTERILER!$B$7:$B$106,MATCH($T122&amp;"*",MUSTERILER!$T$7:$T$106,0)),"TANIMSIZ MÜŞTERİ"))))</f>
        <v/>
      </c>
      <c r="C122" s="109" t="n"/>
      <c r="D122" s="220" t="n"/>
      <c r="E122" s="220" t="n"/>
      <c r="F122" s="108" t="n"/>
      <c r="G122" s="221" t="n"/>
      <c r="H122" s="108" t="n"/>
      <c r="I122" s="222">
        <f>IF(OR($C122="",$D122="",$G122="",$F122=""),0,$G122*IF($F122="Aylık",MAX(0,(YEAR(MIN(IF($E122="",TODAY(),$E122),TODAY()))-YEAR($D122))*12+MONTH(MIN(IF($E122="",TODAY(),$E122),TODAY()))-MONTH($D122)+IF(MIN(IF($E122="",TODAY(),$E122),TODAY())&gt;=EOMONTH(MIN(IF($E122="",TODAY(),$E122),TODAY()),0),1,0)),MAX(0,INT((MIN(IF($E122="",TODAY(),$E122),TODAY())-($D122+MOD(SISTEM!$F$8-WEEKDAY($D122,2),7)))/7)+1)))</f>
        <v/>
      </c>
      <c r="J122" s="222">
        <f>IF(OR($C122="",$D122="",$G122="",$F122=""),0,$G122*IF($F122="Aylık",MAX(0,(YEAR(MIN(IF($E122="",TODAY()-8,$E122),TODAY()-8))-YEAR($D122))*12+MONTH(MIN(IF($E122="",TODAY()-8,$E122),TODAY()-8))-MONTH($D122)+IF(MIN(IF($E122="",TODAY()-8,$E122),TODAY()-8)&gt;=EOMONTH(MIN(IF($E122="",TODAY()-8,$E122),TODAY()-8),0),1,0)),MAX(0,INT((MIN(IF($E122="",TODAY()-8,$E122),TODAY()-8)-($D122+MOD(SISTEM!$F$8-WEEKDAY($D122,2),7)))/7)+1)))</f>
        <v/>
      </c>
      <c r="K122" s="222">
        <f>IF(OR($C122="",$D122="",$G122="",$F122=""),0,$G122*IF($F122="Aylık",MAX(0,(YEAR(MIN(IF($E122="",TODAY()-15,$E122),TODAY()-15))-YEAR($D122))*12+MONTH(MIN(IF($E122="",TODAY()-15,$E122),TODAY()-15))-MONTH($D122)+IF(MIN(IF($E122="",TODAY()-15,$E122),TODAY()-15)&gt;=EOMONTH(MIN(IF($E122="",TODAY()-15,$E122),TODAY()-15),0),1,0)),MAX(0,INT((MIN(IF($E122="",TODAY()-15,$E122),TODAY()-15)-($D122+MOD(SISTEM!$F$8-WEEKDAY($D122,2),7)))/7)+1)))</f>
        <v/>
      </c>
      <c r="L122" s="222">
        <f>IF(OR($C122="",$D122="",$G122="",$F122=""),0,$G122*IF($F122="Aylık",MAX(0,(YEAR(MIN(IF($E122="",TODAY()-29,$E122),TODAY()-29))-YEAR($D122))*12+MONTH(MIN(IF($E122="",TODAY()-29,$E122),TODAY()-29))-MONTH($D122)+IF(MIN(IF($E122="",TODAY()-29,$E122),TODAY()-29)&gt;=EOMONTH(MIN(IF($E122="",TODAY()-29,$E122),TODAY()-29),0),1,0)),MAX(0,INT((MIN(IF($E122="",TODAY()-29,$E122),TODAY()-29)-($D122+MOD(SISTEM!$F$8-WEEKDAY($D122,2),7)))/7)+1)))</f>
        <v/>
      </c>
      <c r="M122" s="223">
        <f>IF($G122&gt;0,$I122/$G122,0)</f>
        <v/>
      </c>
      <c r="N122" s="113">
        <f>IF($C122="","",IF($B122="TANIMSIZ MÜŞTERİ","TANIMSIZ MÜŞTERİ",IF($F122="","MODEL SEÇİN",IF(OR($D122="",$G122&lt;=0),"EKSİK",IF(AND($E122&lt;&gt;"",$E122&lt;$D122),"TARİH HATASI",IF($H122="Pasif","KAPALI DÖNEM","UYGUN"))))))</f>
        <v/>
      </c>
      <c r="O122" s="224">
        <f>IF(OR($C122="",$D122="",$F122=""),"",IF($F122="Aylık",EOMONTH($D122,0),($D122+MOD(SISTEM!$F$8-WEEKDAY($D122,2),7))))</f>
        <v/>
      </c>
      <c r="P122" s="109" t="n"/>
      <c r="Q122" s="6" t="n"/>
      <c r="R122" s="6" t="n"/>
      <c r="S122" s="3">
        <f>IF($B122="","",$B122&amp;"|"&amp;COUNTIFS($B$7:$B122,$B122))</f>
        <v/>
      </c>
      <c r="T122" s="3">
        <f>IF($C122="","",UPPER(SUBSTITUTE(SUBSTITUTE(SUBSTITUTE(SUBSTITUTE(SUBSTITUTE(SUBSTITUTE(SUBSTITUTE(SUBSTITUTE(SUBSTITUTE(SUBSTITUTE(SUBSTITUTE(SUBSTITUTE(SUBSTITUTE(SUBSTITUTE(SUBSTITUTE(SUBSTITUTE(SUBSTITUTE(SUBSTITUTE(TRIM($C122),"'",""),"İ","I"),"ı","I"),"i","I"),"Ş","S"),"ş","S"),"Ğ","G"),"ğ","G"),"Ü","U"),"ü","U"),"Ö","O"),"ö","O"),"Ç","C"),"ç","C"),".",""),",","")," ",""),"-","")))</f>
        <v/>
      </c>
    </row>
    <row r="123">
      <c r="A123" s="6" t="n"/>
      <c r="B123" s="113">
        <f>IF($C123="","",IFERROR(INDEX(MUSTERILER!$B$7:$B$106,MATCH($T123,MUSTERILER!$T$7:$T$106,0)),IFERROR(INDEX(MUSTERILER!$B$7:$B$106,MATCH($C123,MUSTERILER!$B$7:$B$106,0)),IFERROR(INDEX(MUSTERILER!$B$7:$B$106,MATCH($T123&amp;"*",MUSTERILER!$T$7:$T$106,0)),"TANIMSIZ MÜŞTERİ"))))</f>
        <v/>
      </c>
      <c r="C123" s="109" t="n"/>
      <c r="D123" s="220" t="n"/>
      <c r="E123" s="220" t="n"/>
      <c r="F123" s="108" t="n"/>
      <c r="G123" s="221" t="n"/>
      <c r="H123" s="108" t="n"/>
      <c r="I123" s="222">
        <f>IF(OR($C123="",$D123="",$G123="",$F123=""),0,$G123*IF($F123="Aylık",MAX(0,(YEAR(MIN(IF($E123="",TODAY(),$E123),TODAY()))-YEAR($D123))*12+MONTH(MIN(IF($E123="",TODAY(),$E123),TODAY()))-MONTH($D123)+IF(MIN(IF($E123="",TODAY(),$E123),TODAY())&gt;=EOMONTH(MIN(IF($E123="",TODAY(),$E123),TODAY()),0),1,0)),MAX(0,INT((MIN(IF($E123="",TODAY(),$E123),TODAY())-($D123+MOD(SISTEM!$F$8-WEEKDAY($D123,2),7)))/7)+1)))</f>
        <v/>
      </c>
      <c r="J123" s="222">
        <f>IF(OR($C123="",$D123="",$G123="",$F123=""),0,$G123*IF($F123="Aylık",MAX(0,(YEAR(MIN(IF($E123="",TODAY()-8,$E123),TODAY()-8))-YEAR($D123))*12+MONTH(MIN(IF($E123="",TODAY()-8,$E123),TODAY()-8))-MONTH($D123)+IF(MIN(IF($E123="",TODAY()-8,$E123),TODAY()-8)&gt;=EOMONTH(MIN(IF($E123="",TODAY()-8,$E123),TODAY()-8),0),1,0)),MAX(0,INT((MIN(IF($E123="",TODAY()-8,$E123),TODAY()-8)-($D123+MOD(SISTEM!$F$8-WEEKDAY($D123,2),7)))/7)+1)))</f>
        <v/>
      </c>
      <c r="K123" s="222">
        <f>IF(OR($C123="",$D123="",$G123="",$F123=""),0,$G123*IF($F123="Aylık",MAX(0,(YEAR(MIN(IF($E123="",TODAY()-15,$E123),TODAY()-15))-YEAR($D123))*12+MONTH(MIN(IF($E123="",TODAY()-15,$E123),TODAY()-15))-MONTH($D123)+IF(MIN(IF($E123="",TODAY()-15,$E123),TODAY()-15)&gt;=EOMONTH(MIN(IF($E123="",TODAY()-15,$E123),TODAY()-15),0),1,0)),MAX(0,INT((MIN(IF($E123="",TODAY()-15,$E123),TODAY()-15)-($D123+MOD(SISTEM!$F$8-WEEKDAY($D123,2),7)))/7)+1)))</f>
        <v/>
      </c>
      <c r="L123" s="222">
        <f>IF(OR($C123="",$D123="",$G123="",$F123=""),0,$G123*IF($F123="Aylık",MAX(0,(YEAR(MIN(IF($E123="",TODAY()-29,$E123),TODAY()-29))-YEAR($D123))*12+MONTH(MIN(IF($E123="",TODAY()-29,$E123),TODAY()-29))-MONTH($D123)+IF(MIN(IF($E123="",TODAY()-29,$E123),TODAY()-29)&gt;=EOMONTH(MIN(IF($E123="",TODAY()-29,$E123),TODAY()-29),0),1,0)),MAX(0,INT((MIN(IF($E123="",TODAY()-29,$E123),TODAY()-29)-($D123+MOD(SISTEM!$F$8-WEEKDAY($D123,2),7)))/7)+1)))</f>
        <v/>
      </c>
      <c r="M123" s="223">
        <f>IF($G123&gt;0,$I123/$G123,0)</f>
        <v/>
      </c>
      <c r="N123" s="113">
        <f>IF($C123="","",IF($B123="TANIMSIZ MÜŞTERİ","TANIMSIZ MÜŞTERİ",IF($F123="","MODEL SEÇİN",IF(OR($D123="",$G123&lt;=0),"EKSİK",IF(AND($E123&lt;&gt;"",$E123&lt;$D123),"TARİH HATASI",IF($H123="Pasif","KAPALI DÖNEM","UYGUN"))))))</f>
        <v/>
      </c>
      <c r="O123" s="224">
        <f>IF(OR($C123="",$D123="",$F123=""),"",IF($F123="Aylık",EOMONTH($D123,0),($D123+MOD(SISTEM!$F$8-WEEKDAY($D123,2),7))))</f>
        <v/>
      </c>
      <c r="P123" s="109" t="n"/>
      <c r="Q123" s="6" t="n"/>
      <c r="R123" s="6" t="n"/>
      <c r="S123" s="3">
        <f>IF($B123="","",$B123&amp;"|"&amp;COUNTIFS($B$7:$B123,$B123))</f>
        <v/>
      </c>
      <c r="T123" s="3">
        <f>IF($C123="","",UPPER(SUBSTITUTE(SUBSTITUTE(SUBSTITUTE(SUBSTITUTE(SUBSTITUTE(SUBSTITUTE(SUBSTITUTE(SUBSTITUTE(SUBSTITUTE(SUBSTITUTE(SUBSTITUTE(SUBSTITUTE(SUBSTITUTE(SUBSTITUTE(SUBSTITUTE(SUBSTITUTE(SUBSTITUTE(SUBSTITUTE(TRIM($C123),"'",""),"İ","I"),"ı","I"),"i","I"),"Ş","S"),"ş","S"),"Ğ","G"),"ğ","G"),"Ü","U"),"ü","U"),"Ö","O"),"ö","O"),"Ç","C"),"ç","C"),".",""),",","")," ",""),"-","")))</f>
        <v/>
      </c>
    </row>
    <row r="124">
      <c r="A124" s="6" t="n"/>
      <c r="B124" s="113">
        <f>IF($C124="","",IFERROR(INDEX(MUSTERILER!$B$7:$B$106,MATCH($T124,MUSTERILER!$T$7:$T$106,0)),IFERROR(INDEX(MUSTERILER!$B$7:$B$106,MATCH($C124,MUSTERILER!$B$7:$B$106,0)),IFERROR(INDEX(MUSTERILER!$B$7:$B$106,MATCH($T124&amp;"*",MUSTERILER!$T$7:$T$106,0)),"TANIMSIZ MÜŞTERİ"))))</f>
        <v/>
      </c>
      <c r="C124" s="109" t="n"/>
      <c r="D124" s="220" t="n"/>
      <c r="E124" s="220" t="n"/>
      <c r="F124" s="108" t="n"/>
      <c r="G124" s="221" t="n"/>
      <c r="H124" s="108" t="n"/>
      <c r="I124" s="222">
        <f>IF(OR($C124="",$D124="",$G124="",$F124=""),0,$G124*IF($F124="Aylık",MAX(0,(YEAR(MIN(IF($E124="",TODAY(),$E124),TODAY()))-YEAR($D124))*12+MONTH(MIN(IF($E124="",TODAY(),$E124),TODAY()))-MONTH($D124)+IF(MIN(IF($E124="",TODAY(),$E124),TODAY())&gt;=EOMONTH(MIN(IF($E124="",TODAY(),$E124),TODAY()),0),1,0)),MAX(0,INT((MIN(IF($E124="",TODAY(),$E124),TODAY())-($D124+MOD(SISTEM!$F$8-WEEKDAY($D124,2),7)))/7)+1)))</f>
        <v/>
      </c>
      <c r="J124" s="222">
        <f>IF(OR($C124="",$D124="",$G124="",$F124=""),0,$G124*IF($F124="Aylık",MAX(0,(YEAR(MIN(IF($E124="",TODAY()-8,$E124),TODAY()-8))-YEAR($D124))*12+MONTH(MIN(IF($E124="",TODAY()-8,$E124),TODAY()-8))-MONTH($D124)+IF(MIN(IF($E124="",TODAY()-8,$E124),TODAY()-8)&gt;=EOMONTH(MIN(IF($E124="",TODAY()-8,$E124),TODAY()-8),0),1,0)),MAX(0,INT((MIN(IF($E124="",TODAY()-8,$E124),TODAY()-8)-($D124+MOD(SISTEM!$F$8-WEEKDAY($D124,2),7)))/7)+1)))</f>
        <v/>
      </c>
      <c r="K124" s="222">
        <f>IF(OR($C124="",$D124="",$G124="",$F124=""),0,$G124*IF($F124="Aylık",MAX(0,(YEAR(MIN(IF($E124="",TODAY()-15,$E124),TODAY()-15))-YEAR($D124))*12+MONTH(MIN(IF($E124="",TODAY()-15,$E124),TODAY()-15))-MONTH($D124)+IF(MIN(IF($E124="",TODAY()-15,$E124),TODAY()-15)&gt;=EOMONTH(MIN(IF($E124="",TODAY()-15,$E124),TODAY()-15),0),1,0)),MAX(0,INT((MIN(IF($E124="",TODAY()-15,$E124),TODAY()-15)-($D124+MOD(SISTEM!$F$8-WEEKDAY($D124,2),7)))/7)+1)))</f>
        <v/>
      </c>
      <c r="L124" s="222">
        <f>IF(OR($C124="",$D124="",$G124="",$F124=""),0,$G124*IF($F124="Aylık",MAX(0,(YEAR(MIN(IF($E124="",TODAY()-29,$E124),TODAY()-29))-YEAR($D124))*12+MONTH(MIN(IF($E124="",TODAY()-29,$E124),TODAY()-29))-MONTH($D124)+IF(MIN(IF($E124="",TODAY()-29,$E124),TODAY()-29)&gt;=EOMONTH(MIN(IF($E124="",TODAY()-29,$E124),TODAY()-29),0),1,0)),MAX(0,INT((MIN(IF($E124="",TODAY()-29,$E124),TODAY()-29)-($D124+MOD(SISTEM!$F$8-WEEKDAY($D124,2),7)))/7)+1)))</f>
        <v/>
      </c>
      <c r="M124" s="223">
        <f>IF($G124&gt;0,$I124/$G124,0)</f>
        <v/>
      </c>
      <c r="N124" s="113">
        <f>IF($C124="","",IF($B124="TANIMSIZ MÜŞTERİ","TANIMSIZ MÜŞTERİ",IF($F124="","MODEL SEÇİN",IF(OR($D124="",$G124&lt;=0),"EKSİK",IF(AND($E124&lt;&gt;"",$E124&lt;$D124),"TARİH HATASI",IF($H124="Pasif","KAPALI DÖNEM","UYGUN"))))))</f>
        <v/>
      </c>
      <c r="O124" s="224">
        <f>IF(OR($C124="",$D124="",$F124=""),"",IF($F124="Aylık",EOMONTH($D124,0),($D124+MOD(SISTEM!$F$8-WEEKDAY($D124,2),7))))</f>
        <v/>
      </c>
      <c r="P124" s="109" t="n"/>
      <c r="Q124" s="6" t="n"/>
      <c r="R124" s="6" t="n"/>
      <c r="S124" s="3">
        <f>IF($B124="","",$B124&amp;"|"&amp;COUNTIFS($B$7:$B124,$B124))</f>
        <v/>
      </c>
      <c r="T124" s="3">
        <f>IF($C124="","",UPPER(SUBSTITUTE(SUBSTITUTE(SUBSTITUTE(SUBSTITUTE(SUBSTITUTE(SUBSTITUTE(SUBSTITUTE(SUBSTITUTE(SUBSTITUTE(SUBSTITUTE(SUBSTITUTE(SUBSTITUTE(SUBSTITUTE(SUBSTITUTE(SUBSTITUTE(SUBSTITUTE(SUBSTITUTE(SUBSTITUTE(TRIM($C124),"'",""),"İ","I"),"ı","I"),"i","I"),"Ş","S"),"ş","S"),"Ğ","G"),"ğ","G"),"Ü","U"),"ü","U"),"Ö","O"),"ö","O"),"Ç","C"),"ç","C"),".",""),",","")," ",""),"-","")))</f>
        <v/>
      </c>
    </row>
    <row r="125">
      <c r="A125" s="6" t="n"/>
      <c r="B125" s="113">
        <f>IF($C125="","",IFERROR(INDEX(MUSTERILER!$B$7:$B$106,MATCH($T125,MUSTERILER!$T$7:$T$106,0)),IFERROR(INDEX(MUSTERILER!$B$7:$B$106,MATCH($C125,MUSTERILER!$B$7:$B$106,0)),IFERROR(INDEX(MUSTERILER!$B$7:$B$106,MATCH($T125&amp;"*",MUSTERILER!$T$7:$T$106,0)),"TANIMSIZ MÜŞTERİ"))))</f>
        <v/>
      </c>
      <c r="C125" s="109" t="n"/>
      <c r="D125" s="220" t="n"/>
      <c r="E125" s="220" t="n"/>
      <c r="F125" s="108" t="n"/>
      <c r="G125" s="221" t="n"/>
      <c r="H125" s="108" t="n"/>
      <c r="I125" s="222">
        <f>IF(OR($C125="",$D125="",$G125="",$F125=""),0,$G125*IF($F125="Aylık",MAX(0,(YEAR(MIN(IF($E125="",TODAY(),$E125),TODAY()))-YEAR($D125))*12+MONTH(MIN(IF($E125="",TODAY(),$E125),TODAY()))-MONTH($D125)+IF(MIN(IF($E125="",TODAY(),$E125),TODAY())&gt;=EOMONTH(MIN(IF($E125="",TODAY(),$E125),TODAY()),0),1,0)),MAX(0,INT((MIN(IF($E125="",TODAY(),$E125),TODAY())-($D125+MOD(SISTEM!$F$8-WEEKDAY($D125,2),7)))/7)+1)))</f>
        <v/>
      </c>
      <c r="J125" s="222">
        <f>IF(OR($C125="",$D125="",$G125="",$F125=""),0,$G125*IF($F125="Aylık",MAX(0,(YEAR(MIN(IF($E125="",TODAY()-8,$E125),TODAY()-8))-YEAR($D125))*12+MONTH(MIN(IF($E125="",TODAY()-8,$E125),TODAY()-8))-MONTH($D125)+IF(MIN(IF($E125="",TODAY()-8,$E125),TODAY()-8)&gt;=EOMONTH(MIN(IF($E125="",TODAY()-8,$E125),TODAY()-8),0),1,0)),MAX(0,INT((MIN(IF($E125="",TODAY()-8,$E125),TODAY()-8)-($D125+MOD(SISTEM!$F$8-WEEKDAY($D125,2),7)))/7)+1)))</f>
        <v/>
      </c>
      <c r="K125" s="222">
        <f>IF(OR($C125="",$D125="",$G125="",$F125=""),0,$G125*IF($F125="Aylık",MAX(0,(YEAR(MIN(IF($E125="",TODAY()-15,$E125),TODAY()-15))-YEAR($D125))*12+MONTH(MIN(IF($E125="",TODAY()-15,$E125),TODAY()-15))-MONTH($D125)+IF(MIN(IF($E125="",TODAY()-15,$E125),TODAY()-15)&gt;=EOMONTH(MIN(IF($E125="",TODAY()-15,$E125),TODAY()-15),0),1,0)),MAX(0,INT((MIN(IF($E125="",TODAY()-15,$E125),TODAY()-15)-($D125+MOD(SISTEM!$F$8-WEEKDAY($D125,2),7)))/7)+1)))</f>
        <v/>
      </c>
      <c r="L125" s="222">
        <f>IF(OR($C125="",$D125="",$G125="",$F125=""),0,$G125*IF($F125="Aylık",MAX(0,(YEAR(MIN(IF($E125="",TODAY()-29,$E125),TODAY()-29))-YEAR($D125))*12+MONTH(MIN(IF($E125="",TODAY()-29,$E125),TODAY()-29))-MONTH($D125)+IF(MIN(IF($E125="",TODAY()-29,$E125),TODAY()-29)&gt;=EOMONTH(MIN(IF($E125="",TODAY()-29,$E125),TODAY()-29),0),1,0)),MAX(0,INT((MIN(IF($E125="",TODAY()-29,$E125),TODAY()-29)-($D125+MOD(SISTEM!$F$8-WEEKDAY($D125,2),7)))/7)+1)))</f>
        <v/>
      </c>
      <c r="M125" s="223">
        <f>IF($G125&gt;0,$I125/$G125,0)</f>
        <v/>
      </c>
      <c r="N125" s="113">
        <f>IF($C125="","",IF($B125="TANIMSIZ MÜŞTERİ","TANIMSIZ MÜŞTERİ",IF($F125="","MODEL SEÇİN",IF(OR($D125="",$G125&lt;=0),"EKSİK",IF(AND($E125&lt;&gt;"",$E125&lt;$D125),"TARİH HATASI",IF($H125="Pasif","KAPALI DÖNEM","UYGUN"))))))</f>
        <v/>
      </c>
      <c r="O125" s="224">
        <f>IF(OR($C125="",$D125="",$F125=""),"",IF($F125="Aylık",EOMONTH($D125,0),($D125+MOD(SISTEM!$F$8-WEEKDAY($D125,2),7))))</f>
        <v/>
      </c>
      <c r="P125" s="109" t="n"/>
      <c r="Q125" s="6" t="n"/>
      <c r="R125" s="6" t="n"/>
      <c r="S125" s="3">
        <f>IF($B125="","",$B125&amp;"|"&amp;COUNTIFS($B$7:$B125,$B125))</f>
        <v/>
      </c>
      <c r="T125" s="3">
        <f>IF($C125="","",UPPER(SUBSTITUTE(SUBSTITUTE(SUBSTITUTE(SUBSTITUTE(SUBSTITUTE(SUBSTITUTE(SUBSTITUTE(SUBSTITUTE(SUBSTITUTE(SUBSTITUTE(SUBSTITUTE(SUBSTITUTE(SUBSTITUTE(SUBSTITUTE(SUBSTITUTE(SUBSTITUTE(SUBSTITUTE(SUBSTITUTE(TRIM($C125),"'",""),"İ","I"),"ı","I"),"i","I"),"Ş","S"),"ş","S"),"Ğ","G"),"ğ","G"),"Ü","U"),"ü","U"),"Ö","O"),"ö","O"),"Ç","C"),"ç","C"),".",""),",","")," ",""),"-","")))</f>
        <v/>
      </c>
    </row>
    <row r="126">
      <c r="A126" s="6" t="n"/>
      <c r="B126" s="113">
        <f>IF($C126="","",IFERROR(INDEX(MUSTERILER!$B$7:$B$106,MATCH($T126,MUSTERILER!$T$7:$T$106,0)),IFERROR(INDEX(MUSTERILER!$B$7:$B$106,MATCH($C126,MUSTERILER!$B$7:$B$106,0)),IFERROR(INDEX(MUSTERILER!$B$7:$B$106,MATCH($T126&amp;"*",MUSTERILER!$T$7:$T$106,0)),"TANIMSIZ MÜŞTERİ"))))</f>
        <v/>
      </c>
      <c r="C126" s="109" t="n"/>
      <c r="D126" s="220" t="n"/>
      <c r="E126" s="220" t="n"/>
      <c r="F126" s="108" t="n"/>
      <c r="G126" s="221" t="n"/>
      <c r="H126" s="108" t="n"/>
      <c r="I126" s="222">
        <f>IF(OR($C126="",$D126="",$G126="",$F126=""),0,$G126*IF($F126="Aylık",MAX(0,(YEAR(MIN(IF($E126="",TODAY(),$E126),TODAY()))-YEAR($D126))*12+MONTH(MIN(IF($E126="",TODAY(),$E126),TODAY()))-MONTH($D126)+IF(MIN(IF($E126="",TODAY(),$E126),TODAY())&gt;=EOMONTH(MIN(IF($E126="",TODAY(),$E126),TODAY()),0),1,0)),MAX(0,INT((MIN(IF($E126="",TODAY(),$E126),TODAY())-($D126+MOD(SISTEM!$F$8-WEEKDAY($D126,2),7)))/7)+1)))</f>
        <v/>
      </c>
      <c r="J126" s="222">
        <f>IF(OR($C126="",$D126="",$G126="",$F126=""),0,$G126*IF($F126="Aylık",MAX(0,(YEAR(MIN(IF($E126="",TODAY()-8,$E126),TODAY()-8))-YEAR($D126))*12+MONTH(MIN(IF($E126="",TODAY()-8,$E126),TODAY()-8))-MONTH($D126)+IF(MIN(IF($E126="",TODAY()-8,$E126),TODAY()-8)&gt;=EOMONTH(MIN(IF($E126="",TODAY()-8,$E126),TODAY()-8),0),1,0)),MAX(0,INT((MIN(IF($E126="",TODAY()-8,$E126),TODAY()-8)-($D126+MOD(SISTEM!$F$8-WEEKDAY($D126,2),7)))/7)+1)))</f>
        <v/>
      </c>
      <c r="K126" s="222">
        <f>IF(OR($C126="",$D126="",$G126="",$F126=""),0,$G126*IF($F126="Aylık",MAX(0,(YEAR(MIN(IF($E126="",TODAY()-15,$E126),TODAY()-15))-YEAR($D126))*12+MONTH(MIN(IF($E126="",TODAY()-15,$E126),TODAY()-15))-MONTH($D126)+IF(MIN(IF($E126="",TODAY()-15,$E126),TODAY()-15)&gt;=EOMONTH(MIN(IF($E126="",TODAY()-15,$E126),TODAY()-15),0),1,0)),MAX(0,INT((MIN(IF($E126="",TODAY()-15,$E126),TODAY()-15)-($D126+MOD(SISTEM!$F$8-WEEKDAY($D126,2),7)))/7)+1)))</f>
        <v/>
      </c>
      <c r="L126" s="222">
        <f>IF(OR($C126="",$D126="",$G126="",$F126=""),0,$G126*IF($F126="Aylık",MAX(0,(YEAR(MIN(IF($E126="",TODAY()-29,$E126),TODAY()-29))-YEAR($D126))*12+MONTH(MIN(IF($E126="",TODAY()-29,$E126),TODAY()-29))-MONTH($D126)+IF(MIN(IF($E126="",TODAY()-29,$E126),TODAY()-29)&gt;=EOMONTH(MIN(IF($E126="",TODAY()-29,$E126),TODAY()-29),0),1,0)),MAX(0,INT((MIN(IF($E126="",TODAY()-29,$E126),TODAY()-29)-($D126+MOD(SISTEM!$F$8-WEEKDAY($D126,2),7)))/7)+1)))</f>
        <v/>
      </c>
      <c r="M126" s="223">
        <f>IF($G126&gt;0,$I126/$G126,0)</f>
        <v/>
      </c>
      <c r="N126" s="113">
        <f>IF($C126="","",IF($B126="TANIMSIZ MÜŞTERİ","TANIMSIZ MÜŞTERİ",IF($F126="","MODEL SEÇİN",IF(OR($D126="",$G126&lt;=0),"EKSİK",IF(AND($E126&lt;&gt;"",$E126&lt;$D126),"TARİH HATASI",IF($H126="Pasif","KAPALI DÖNEM","UYGUN"))))))</f>
        <v/>
      </c>
      <c r="O126" s="224">
        <f>IF(OR($C126="",$D126="",$F126=""),"",IF($F126="Aylık",EOMONTH($D126,0),($D126+MOD(SISTEM!$F$8-WEEKDAY($D126,2),7))))</f>
        <v/>
      </c>
      <c r="P126" s="109" t="n"/>
      <c r="Q126" s="6" t="n"/>
      <c r="R126" s="6" t="n"/>
      <c r="S126" s="3">
        <f>IF($B126="","",$B126&amp;"|"&amp;COUNTIFS($B$7:$B126,$B126))</f>
        <v/>
      </c>
      <c r="T126" s="3">
        <f>IF($C126="","",UPPER(SUBSTITUTE(SUBSTITUTE(SUBSTITUTE(SUBSTITUTE(SUBSTITUTE(SUBSTITUTE(SUBSTITUTE(SUBSTITUTE(SUBSTITUTE(SUBSTITUTE(SUBSTITUTE(SUBSTITUTE(SUBSTITUTE(SUBSTITUTE(SUBSTITUTE(SUBSTITUTE(SUBSTITUTE(SUBSTITUTE(TRIM($C126),"'",""),"İ","I"),"ı","I"),"i","I"),"Ş","S"),"ş","S"),"Ğ","G"),"ğ","G"),"Ü","U"),"ü","U"),"Ö","O"),"ö","O"),"Ç","C"),"ç","C"),".",""),",","")," ",""),"-","")))</f>
        <v/>
      </c>
    </row>
    <row r="127">
      <c r="A127" s="6" t="n"/>
      <c r="B127" s="113">
        <f>IF($C127="","",IFERROR(INDEX(MUSTERILER!$B$7:$B$106,MATCH($T127,MUSTERILER!$T$7:$T$106,0)),IFERROR(INDEX(MUSTERILER!$B$7:$B$106,MATCH($C127,MUSTERILER!$B$7:$B$106,0)),IFERROR(INDEX(MUSTERILER!$B$7:$B$106,MATCH($T127&amp;"*",MUSTERILER!$T$7:$T$106,0)),"TANIMSIZ MÜŞTERİ"))))</f>
        <v/>
      </c>
      <c r="C127" s="109" t="n"/>
      <c r="D127" s="220" t="n"/>
      <c r="E127" s="220" t="n"/>
      <c r="F127" s="108" t="n"/>
      <c r="G127" s="221" t="n"/>
      <c r="H127" s="108" t="n"/>
      <c r="I127" s="222">
        <f>IF(OR($C127="",$D127="",$G127="",$F127=""),0,$G127*IF($F127="Aylık",MAX(0,(YEAR(MIN(IF($E127="",TODAY(),$E127),TODAY()))-YEAR($D127))*12+MONTH(MIN(IF($E127="",TODAY(),$E127),TODAY()))-MONTH($D127)+IF(MIN(IF($E127="",TODAY(),$E127),TODAY())&gt;=EOMONTH(MIN(IF($E127="",TODAY(),$E127),TODAY()),0),1,0)),MAX(0,INT((MIN(IF($E127="",TODAY(),$E127),TODAY())-($D127+MOD(SISTEM!$F$8-WEEKDAY($D127,2),7)))/7)+1)))</f>
        <v/>
      </c>
      <c r="J127" s="222">
        <f>IF(OR($C127="",$D127="",$G127="",$F127=""),0,$G127*IF($F127="Aylık",MAX(0,(YEAR(MIN(IF($E127="",TODAY()-8,$E127),TODAY()-8))-YEAR($D127))*12+MONTH(MIN(IF($E127="",TODAY()-8,$E127),TODAY()-8))-MONTH($D127)+IF(MIN(IF($E127="",TODAY()-8,$E127),TODAY()-8)&gt;=EOMONTH(MIN(IF($E127="",TODAY()-8,$E127),TODAY()-8),0),1,0)),MAX(0,INT((MIN(IF($E127="",TODAY()-8,$E127),TODAY()-8)-($D127+MOD(SISTEM!$F$8-WEEKDAY($D127,2),7)))/7)+1)))</f>
        <v/>
      </c>
      <c r="K127" s="222">
        <f>IF(OR($C127="",$D127="",$G127="",$F127=""),0,$G127*IF($F127="Aylık",MAX(0,(YEAR(MIN(IF($E127="",TODAY()-15,$E127),TODAY()-15))-YEAR($D127))*12+MONTH(MIN(IF($E127="",TODAY()-15,$E127),TODAY()-15))-MONTH($D127)+IF(MIN(IF($E127="",TODAY()-15,$E127),TODAY()-15)&gt;=EOMONTH(MIN(IF($E127="",TODAY()-15,$E127),TODAY()-15),0),1,0)),MAX(0,INT((MIN(IF($E127="",TODAY()-15,$E127),TODAY()-15)-($D127+MOD(SISTEM!$F$8-WEEKDAY($D127,2),7)))/7)+1)))</f>
        <v/>
      </c>
      <c r="L127" s="222">
        <f>IF(OR($C127="",$D127="",$G127="",$F127=""),0,$G127*IF($F127="Aylık",MAX(0,(YEAR(MIN(IF($E127="",TODAY()-29,$E127),TODAY()-29))-YEAR($D127))*12+MONTH(MIN(IF($E127="",TODAY()-29,$E127),TODAY()-29))-MONTH($D127)+IF(MIN(IF($E127="",TODAY()-29,$E127),TODAY()-29)&gt;=EOMONTH(MIN(IF($E127="",TODAY()-29,$E127),TODAY()-29),0),1,0)),MAX(0,INT((MIN(IF($E127="",TODAY()-29,$E127),TODAY()-29)-($D127+MOD(SISTEM!$F$8-WEEKDAY($D127,2),7)))/7)+1)))</f>
        <v/>
      </c>
      <c r="M127" s="223">
        <f>IF($G127&gt;0,$I127/$G127,0)</f>
        <v/>
      </c>
      <c r="N127" s="113">
        <f>IF($C127="","",IF($B127="TANIMSIZ MÜŞTERİ","TANIMSIZ MÜŞTERİ",IF($F127="","MODEL SEÇİN",IF(OR($D127="",$G127&lt;=0),"EKSİK",IF(AND($E127&lt;&gt;"",$E127&lt;$D127),"TARİH HATASI",IF($H127="Pasif","KAPALI DÖNEM","UYGUN"))))))</f>
        <v/>
      </c>
      <c r="O127" s="224">
        <f>IF(OR($C127="",$D127="",$F127=""),"",IF($F127="Aylık",EOMONTH($D127,0),($D127+MOD(SISTEM!$F$8-WEEKDAY($D127,2),7))))</f>
        <v/>
      </c>
      <c r="P127" s="109" t="n"/>
      <c r="Q127" s="6" t="n"/>
      <c r="R127" s="6" t="n"/>
      <c r="S127" s="3">
        <f>IF($B127="","",$B127&amp;"|"&amp;COUNTIFS($B$7:$B127,$B127))</f>
        <v/>
      </c>
      <c r="T127" s="3">
        <f>IF($C127="","",UPPER(SUBSTITUTE(SUBSTITUTE(SUBSTITUTE(SUBSTITUTE(SUBSTITUTE(SUBSTITUTE(SUBSTITUTE(SUBSTITUTE(SUBSTITUTE(SUBSTITUTE(SUBSTITUTE(SUBSTITUTE(SUBSTITUTE(SUBSTITUTE(SUBSTITUTE(SUBSTITUTE(SUBSTITUTE(SUBSTITUTE(TRIM($C127),"'",""),"İ","I"),"ı","I"),"i","I"),"Ş","S"),"ş","S"),"Ğ","G"),"ğ","G"),"Ü","U"),"ü","U"),"Ö","O"),"ö","O"),"Ç","C"),"ç","C"),".",""),",","")," ",""),"-","")))</f>
        <v/>
      </c>
    </row>
    <row r="128">
      <c r="A128" s="6" t="n"/>
      <c r="B128" s="113">
        <f>IF($C128="","",IFERROR(INDEX(MUSTERILER!$B$7:$B$106,MATCH($T128,MUSTERILER!$T$7:$T$106,0)),IFERROR(INDEX(MUSTERILER!$B$7:$B$106,MATCH($C128,MUSTERILER!$B$7:$B$106,0)),IFERROR(INDEX(MUSTERILER!$B$7:$B$106,MATCH($T128&amp;"*",MUSTERILER!$T$7:$T$106,0)),"TANIMSIZ MÜŞTERİ"))))</f>
        <v/>
      </c>
      <c r="C128" s="109" t="n"/>
      <c r="D128" s="220" t="n"/>
      <c r="E128" s="220" t="n"/>
      <c r="F128" s="108" t="n"/>
      <c r="G128" s="221" t="n"/>
      <c r="H128" s="108" t="n"/>
      <c r="I128" s="222">
        <f>IF(OR($C128="",$D128="",$G128="",$F128=""),0,$G128*IF($F128="Aylık",MAX(0,(YEAR(MIN(IF($E128="",TODAY(),$E128),TODAY()))-YEAR($D128))*12+MONTH(MIN(IF($E128="",TODAY(),$E128),TODAY()))-MONTH($D128)+IF(MIN(IF($E128="",TODAY(),$E128),TODAY())&gt;=EOMONTH(MIN(IF($E128="",TODAY(),$E128),TODAY()),0),1,0)),MAX(0,INT((MIN(IF($E128="",TODAY(),$E128),TODAY())-($D128+MOD(SISTEM!$F$8-WEEKDAY($D128,2),7)))/7)+1)))</f>
        <v/>
      </c>
      <c r="J128" s="222">
        <f>IF(OR($C128="",$D128="",$G128="",$F128=""),0,$G128*IF($F128="Aylık",MAX(0,(YEAR(MIN(IF($E128="",TODAY()-8,$E128),TODAY()-8))-YEAR($D128))*12+MONTH(MIN(IF($E128="",TODAY()-8,$E128),TODAY()-8))-MONTH($D128)+IF(MIN(IF($E128="",TODAY()-8,$E128),TODAY()-8)&gt;=EOMONTH(MIN(IF($E128="",TODAY()-8,$E128),TODAY()-8),0),1,0)),MAX(0,INT((MIN(IF($E128="",TODAY()-8,$E128),TODAY()-8)-($D128+MOD(SISTEM!$F$8-WEEKDAY($D128,2),7)))/7)+1)))</f>
        <v/>
      </c>
      <c r="K128" s="222">
        <f>IF(OR($C128="",$D128="",$G128="",$F128=""),0,$G128*IF($F128="Aylık",MAX(0,(YEAR(MIN(IF($E128="",TODAY()-15,$E128),TODAY()-15))-YEAR($D128))*12+MONTH(MIN(IF($E128="",TODAY()-15,$E128),TODAY()-15))-MONTH($D128)+IF(MIN(IF($E128="",TODAY()-15,$E128),TODAY()-15)&gt;=EOMONTH(MIN(IF($E128="",TODAY()-15,$E128),TODAY()-15),0),1,0)),MAX(0,INT((MIN(IF($E128="",TODAY()-15,$E128),TODAY()-15)-($D128+MOD(SISTEM!$F$8-WEEKDAY($D128,2),7)))/7)+1)))</f>
        <v/>
      </c>
      <c r="L128" s="222">
        <f>IF(OR($C128="",$D128="",$G128="",$F128=""),0,$G128*IF($F128="Aylık",MAX(0,(YEAR(MIN(IF($E128="",TODAY()-29,$E128),TODAY()-29))-YEAR($D128))*12+MONTH(MIN(IF($E128="",TODAY()-29,$E128),TODAY()-29))-MONTH($D128)+IF(MIN(IF($E128="",TODAY()-29,$E128),TODAY()-29)&gt;=EOMONTH(MIN(IF($E128="",TODAY()-29,$E128),TODAY()-29),0),1,0)),MAX(0,INT((MIN(IF($E128="",TODAY()-29,$E128),TODAY()-29)-($D128+MOD(SISTEM!$F$8-WEEKDAY($D128,2),7)))/7)+1)))</f>
        <v/>
      </c>
      <c r="M128" s="223">
        <f>IF($G128&gt;0,$I128/$G128,0)</f>
        <v/>
      </c>
      <c r="N128" s="113">
        <f>IF($C128="","",IF($B128="TANIMSIZ MÜŞTERİ","TANIMSIZ MÜŞTERİ",IF($F128="","MODEL SEÇİN",IF(OR($D128="",$G128&lt;=0),"EKSİK",IF(AND($E128&lt;&gt;"",$E128&lt;$D128),"TARİH HATASI",IF($H128="Pasif","KAPALI DÖNEM","UYGUN"))))))</f>
        <v/>
      </c>
      <c r="O128" s="224">
        <f>IF(OR($C128="",$D128="",$F128=""),"",IF($F128="Aylık",EOMONTH($D128,0),($D128+MOD(SISTEM!$F$8-WEEKDAY($D128,2),7))))</f>
        <v/>
      </c>
      <c r="P128" s="109" t="n"/>
      <c r="Q128" s="6" t="n"/>
      <c r="R128" s="6" t="n"/>
      <c r="S128" s="3">
        <f>IF($B128="","",$B128&amp;"|"&amp;COUNTIFS($B$7:$B128,$B128))</f>
        <v/>
      </c>
      <c r="T128" s="3">
        <f>IF($C128="","",UPPER(SUBSTITUTE(SUBSTITUTE(SUBSTITUTE(SUBSTITUTE(SUBSTITUTE(SUBSTITUTE(SUBSTITUTE(SUBSTITUTE(SUBSTITUTE(SUBSTITUTE(SUBSTITUTE(SUBSTITUTE(SUBSTITUTE(SUBSTITUTE(SUBSTITUTE(SUBSTITUTE(SUBSTITUTE(SUBSTITUTE(TRIM($C128),"'",""),"İ","I"),"ı","I"),"i","I"),"Ş","S"),"ş","S"),"Ğ","G"),"ğ","G"),"Ü","U"),"ü","U"),"Ö","O"),"ö","O"),"Ç","C"),"ç","C"),".",""),",","")," ",""),"-","")))</f>
        <v/>
      </c>
    </row>
    <row r="129">
      <c r="A129" s="6" t="n"/>
      <c r="B129" s="113">
        <f>IF($C129="","",IFERROR(INDEX(MUSTERILER!$B$7:$B$106,MATCH($T129,MUSTERILER!$T$7:$T$106,0)),IFERROR(INDEX(MUSTERILER!$B$7:$B$106,MATCH($C129,MUSTERILER!$B$7:$B$106,0)),IFERROR(INDEX(MUSTERILER!$B$7:$B$106,MATCH($T129&amp;"*",MUSTERILER!$T$7:$T$106,0)),"TANIMSIZ MÜŞTERİ"))))</f>
        <v/>
      </c>
      <c r="C129" s="109" t="n"/>
      <c r="D129" s="220" t="n"/>
      <c r="E129" s="220" t="n"/>
      <c r="F129" s="108" t="n"/>
      <c r="G129" s="221" t="n"/>
      <c r="H129" s="108" t="n"/>
      <c r="I129" s="222">
        <f>IF(OR($C129="",$D129="",$G129="",$F129=""),0,$G129*IF($F129="Aylık",MAX(0,(YEAR(MIN(IF($E129="",TODAY(),$E129),TODAY()))-YEAR($D129))*12+MONTH(MIN(IF($E129="",TODAY(),$E129),TODAY()))-MONTH($D129)+IF(MIN(IF($E129="",TODAY(),$E129),TODAY())&gt;=EOMONTH(MIN(IF($E129="",TODAY(),$E129),TODAY()),0),1,0)),MAX(0,INT((MIN(IF($E129="",TODAY(),$E129),TODAY())-($D129+MOD(SISTEM!$F$8-WEEKDAY($D129,2),7)))/7)+1)))</f>
        <v/>
      </c>
      <c r="J129" s="222">
        <f>IF(OR($C129="",$D129="",$G129="",$F129=""),0,$G129*IF($F129="Aylık",MAX(0,(YEAR(MIN(IF($E129="",TODAY()-8,$E129),TODAY()-8))-YEAR($D129))*12+MONTH(MIN(IF($E129="",TODAY()-8,$E129),TODAY()-8))-MONTH($D129)+IF(MIN(IF($E129="",TODAY()-8,$E129),TODAY()-8)&gt;=EOMONTH(MIN(IF($E129="",TODAY()-8,$E129),TODAY()-8),0),1,0)),MAX(0,INT((MIN(IF($E129="",TODAY()-8,$E129),TODAY()-8)-($D129+MOD(SISTEM!$F$8-WEEKDAY($D129,2),7)))/7)+1)))</f>
        <v/>
      </c>
      <c r="K129" s="222">
        <f>IF(OR($C129="",$D129="",$G129="",$F129=""),0,$G129*IF($F129="Aylık",MAX(0,(YEAR(MIN(IF($E129="",TODAY()-15,$E129),TODAY()-15))-YEAR($D129))*12+MONTH(MIN(IF($E129="",TODAY()-15,$E129),TODAY()-15))-MONTH($D129)+IF(MIN(IF($E129="",TODAY()-15,$E129),TODAY()-15)&gt;=EOMONTH(MIN(IF($E129="",TODAY()-15,$E129),TODAY()-15),0),1,0)),MAX(0,INT((MIN(IF($E129="",TODAY()-15,$E129),TODAY()-15)-($D129+MOD(SISTEM!$F$8-WEEKDAY($D129,2),7)))/7)+1)))</f>
        <v/>
      </c>
      <c r="L129" s="222">
        <f>IF(OR($C129="",$D129="",$G129="",$F129=""),0,$G129*IF($F129="Aylık",MAX(0,(YEAR(MIN(IF($E129="",TODAY()-29,$E129),TODAY()-29))-YEAR($D129))*12+MONTH(MIN(IF($E129="",TODAY()-29,$E129),TODAY()-29))-MONTH($D129)+IF(MIN(IF($E129="",TODAY()-29,$E129),TODAY()-29)&gt;=EOMONTH(MIN(IF($E129="",TODAY()-29,$E129),TODAY()-29),0),1,0)),MAX(0,INT((MIN(IF($E129="",TODAY()-29,$E129),TODAY()-29)-($D129+MOD(SISTEM!$F$8-WEEKDAY($D129,2),7)))/7)+1)))</f>
        <v/>
      </c>
      <c r="M129" s="223">
        <f>IF($G129&gt;0,$I129/$G129,0)</f>
        <v/>
      </c>
      <c r="N129" s="113">
        <f>IF($C129="","",IF($B129="TANIMSIZ MÜŞTERİ","TANIMSIZ MÜŞTERİ",IF($F129="","MODEL SEÇİN",IF(OR($D129="",$G129&lt;=0),"EKSİK",IF(AND($E129&lt;&gt;"",$E129&lt;$D129),"TARİH HATASI",IF($H129="Pasif","KAPALI DÖNEM","UYGUN"))))))</f>
        <v/>
      </c>
      <c r="O129" s="224">
        <f>IF(OR($C129="",$D129="",$F129=""),"",IF($F129="Aylık",EOMONTH($D129,0),($D129+MOD(SISTEM!$F$8-WEEKDAY($D129,2),7))))</f>
        <v/>
      </c>
      <c r="P129" s="109" t="n"/>
      <c r="Q129" s="6" t="n"/>
      <c r="R129" s="6" t="n"/>
      <c r="S129" s="3">
        <f>IF($B129="","",$B129&amp;"|"&amp;COUNTIFS($B$7:$B129,$B129))</f>
        <v/>
      </c>
      <c r="T129" s="3">
        <f>IF($C129="","",UPPER(SUBSTITUTE(SUBSTITUTE(SUBSTITUTE(SUBSTITUTE(SUBSTITUTE(SUBSTITUTE(SUBSTITUTE(SUBSTITUTE(SUBSTITUTE(SUBSTITUTE(SUBSTITUTE(SUBSTITUTE(SUBSTITUTE(SUBSTITUTE(SUBSTITUTE(SUBSTITUTE(SUBSTITUTE(SUBSTITUTE(TRIM($C129),"'",""),"İ","I"),"ı","I"),"i","I"),"Ş","S"),"ş","S"),"Ğ","G"),"ğ","G"),"Ü","U"),"ü","U"),"Ö","O"),"ö","O"),"Ç","C"),"ç","C"),".",""),",","")," ",""),"-","")))</f>
        <v/>
      </c>
    </row>
    <row r="130">
      <c r="A130" s="6" t="n"/>
      <c r="B130" s="113">
        <f>IF($C130="","",IFERROR(INDEX(MUSTERILER!$B$7:$B$106,MATCH($T130,MUSTERILER!$T$7:$T$106,0)),IFERROR(INDEX(MUSTERILER!$B$7:$B$106,MATCH($C130,MUSTERILER!$B$7:$B$106,0)),IFERROR(INDEX(MUSTERILER!$B$7:$B$106,MATCH($T130&amp;"*",MUSTERILER!$T$7:$T$106,0)),"TANIMSIZ MÜŞTERİ"))))</f>
        <v/>
      </c>
      <c r="C130" s="109" t="n"/>
      <c r="D130" s="220" t="n"/>
      <c r="E130" s="220" t="n"/>
      <c r="F130" s="108" t="n"/>
      <c r="G130" s="221" t="n"/>
      <c r="H130" s="108" t="n"/>
      <c r="I130" s="222">
        <f>IF(OR($C130="",$D130="",$G130="",$F130=""),0,$G130*IF($F130="Aylık",MAX(0,(YEAR(MIN(IF($E130="",TODAY(),$E130),TODAY()))-YEAR($D130))*12+MONTH(MIN(IF($E130="",TODAY(),$E130),TODAY()))-MONTH($D130)+IF(MIN(IF($E130="",TODAY(),$E130),TODAY())&gt;=EOMONTH(MIN(IF($E130="",TODAY(),$E130),TODAY()),0),1,0)),MAX(0,INT((MIN(IF($E130="",TODAY(),$E130),TODAY())-($D130+MOD(SISTEM!$F$8-WEEKDAY($D130,2),7)))/7)+1)))</f>
        <v/>
      </c>
      <c r="J130" s="222">
        <f>IF(OR($C130="",$D130="",$G130="",$F130=""),0,$G130*IF($F130="Aylık",MAX(0,(YEAR(MIN(IF($E130="",TODAY()-8,$E130),TODAY()-8))-YEAR($D130))*12+MONTH(MIN(IF($E130="",TODAY()-8,$E130),TODAY()-8))-MONTH($D130)+IF(MIN(IF($E130="",TODAY()-8,$E130),TODAY()-8)&gt;=EOMONTH(MIN(IF($E130="",TODAY()-8,$E130),TODAY()-8),0),1,0)),MAX(0,INT((MIN(IF($E130="",TODAY()-8,$E130),TODAY()-8)-($D130+MOD(SISTEM!$F$8-WEEKDAY($D130,2),7)))/7)+1)))</f>
        <v/>
      </c>
      <c r="K130" s="222">
        <f>IF(OR($C130="",$D130="",$G130="",$F130=""),0,$G130*IF($F130="Aylık",MAX(0,(YEAR(MIN(IF($E130="",TODAY()-15,$E130),TODAY()-15))-YEAR($D130))*12+MONTH(MIN(IF($E130="",TODAY()-15,$E130),TODAY()-15))-MONTH($D130)+IF(MIN(IF($E130="",TODAY()-15,$E130),TODAY()-15)&gt;=EOMONTH(MIN(IF($E130="",TODAY()-15,$E130),TODAY()-15),0),1,0)),MAX(0,INT((MIN(IF($E130="",TODAY()-15,$E130),TODAY()-15)-($D130+MOD(SISTEM!$F$8-WEEKDAY($D130,2),7)))/7)+1)))</f>
        <v/>
      </c>
      <c r="L130" s="222">
        <f>IF(OR($C130="",$D130="",$G130="",$F130=""),0,$G130*IF($F130="Aylık",MAX(0,(YEAR(MIN(IF($E130="",TODAY()-29,$E130),TODAY()-29))-YEAR($D130))*12+MONTH(MIN(IF($E130="",TODAY()-29,$E130),TODAY()-29))-MONTH($D130)+IF(MIN(IF($E130="",TODAY()-29,$E130),TODAY()-29)&gt;=EOMONTH(MIN(IF($E130="",TODAY()-29,$E130),TODAY()-29),0),1,0)),MAX(0,INT((MIN(IF($E130="",TODAY()-29,$E130),TODAY()-29)-($D130+MOD(SISTEM!$F$8-WEEKDAY($D130,2),7)))/7)+1)))</f>
        <v/>
      </c>
      <c r="M130" s="223">
        <f>IF($G130&gt;0,$I130/$G130,0)</f>
        <v/>
      </c>
      <c r="N130" s="113">
        <f>IF($C130="","",IF($B130="TANIMSIZ MÜŞTERİ","TANIMSIZ MÜŞTERİ",IF($F130="","MODEL SEÇİN",IF(OR($D130="",$G130&lt;=0),"EKSİK",IF(AND($E130&lt;&gt;"",$E130&lt;$D130),"TARİH HATASI",IF($H130="Pasif","KAPALI DÖNEM","UYGUN"))))))</f>
        <v/>
      </c>
      <c r="O130" s="224">
        <f>IF(OR($C130="",$D130="",$F130=""),"",IF($F130="Aylık",EOMONTH($D130,0),($D130+MOD(SISTEM!$F$8-WEEKDAY($D130,2),7))))</f>
        <v/>
      </c>
      <c r="P130" s="109" t="n"/>
      <c r="Q130" s="6" t="n"/>
      <c r="R130" s="6" t="n"/>
      <c r="S130" s="3">
        <f>IF($B130="","",$B130&amp;"|"&amp;COUNTIFS($B$7:$B130,$B130))</f>
        <v/>
      </c>
      <c r="T130" s="3">
        <f>IF($C130="","",UPPER(SUBSTITUTE(SUBSTITUTE(SUBSTITUTE(SUBSTITUTE(SUBSTITUTE(SUBSTITUTE(SUBSTITUTE(SUBSTITUTE(SUBSTITUTE(SUBSTITUTE(SUBSTITUTE(SUBSTITUTE(SUBSTITUTE(SUBSTITUTE(SUBSTITUTE(SUBSTITUTE(SUBSTITUTE(SUBSTITUTE(TRIM($C130),"'",""),"İ","I"),"ı","I"),"i","I"),"Ş","S"),"ş","S"),"Ğ","G"),"ğ","G"),"Ü","U"),"ü","U"),"Ö","O"),"ö","O"),"Ç","C"),"ç","C"),".",""),",","")," ",""),"-","")))</f>
        <v/>
      </c>
    </row>
    <row r="131">
      <c r="A131" s="6" t="n"/>
      <c r="B131" s="113">
        <f>IF($C131="","",IFERROR(INDEX(MUSTERILER!$B$7:$B$106,MATCH($T131,MUSTERILER!$T$7:$T$106,0)),IFERROR(INDEX(MUSTERILER!$B$7:$B$106,MATCH($C131,MUSTERILER!$B$7:$B$106,0)),IFERROR(INDEX(MUSTERILER!$B$7:$B$106,MATCH($T131&amp;"*",MUSTERILER!$T$7:$T$106,0)),"TANIMSIZ MÜŞTERİ"))))</f>
        <v/>
      </c>
      <c r="C131" s="109" t="n"/>
      <c r="D131" s="220" t="n"/>
      <c r="E131" s="220" t="n"/>
      <c r="F131" s="108" t="n"/>
      <c r="G131" s="221" t="n"/>
      <c r="H131" s="108" t="n"/>
      <c r="I131" s="222">
        <f>IF(OR($C131="",$D131="",$G131="",$F131=""),0,$G131*IF($F131="Aylık",MAX(0,(YEAR(MIN(IF($E131="",TODAY(),$E131),TODAY()))-YEAR($D131))*12+MONTH(MIN(IF($E131="",TODAY(),$E131),TODAY()))-MONTH($D131)+IF(MIN(IF($E131="",TODAY(),$E131),TODAY())&gt;=EOMONTH(MIN(IF($E131="",TODAY(),$E131),TODAY()),0),1,0)),MAX(0,INT((MIN(IF($E131="",TODAY(),$E131),TODAY())-($D131+MOD(SISTEM!$F$8-WEEKDAY($D131,2),7)))/7)+1)))</f>
        <v/>
      </c>
      <c r="J131" s="222">
        <f>IF(OR($C131="",$D131="",$G131="",$F131=""),0,$G131*IF($F131="Aylık",MAX(0,(YEAR(MIN(IF($E131="",TODAY()-8,$E131),TODAY()-8))-YEAR($D131))*12+MONTH(MIN(IF($E131="",TODAY()-8,$E131),TODAY()-8))-MONTH($D131)+IF(MIN(IF($E131="",TODAY()-8,$E131),TODAY()-8)&gt;=EOMONTH(MIN(IF($E131="",TODAY()-8,$E131),TODAY()-8),0),1,0)),MAX(0,INT((MIN(IF($E131="",TODAY()-8,$E131),TODAY()-8)-($D131+MOD(SISTEM!$F$8-WEEKDAY($D131,2),7)))/7)+1)))</f>
        <v/>
      </c>
      <c r="K131" s="222">
        <f>IF(OR($C131="",$D131="",$G131="",$F131=""),0,$G131*IF($F131="Aylık",MAX(0,(YEAR(MIN(IF($E131="",TODAY()-15,$E131),TODAY()-15))-YEAR($D131))*12+MONTH(MIN(IF($E131="",TODAY()-15,$E131),TODAY()-15))-MONTH($D131)+IF(MIN(IF($E131="",TODAY()-15,$E131),TODAY()-15)&gt;=EOMONTH(MIN(IF($E131="",TODAY()-15,$E131),TODAY()-15),0),1,0)),MAX(0,INT((MIN(IF($E131="",TODAY()-15,$E131),TODAY()-15)-($D131+MOD(SISTEM!$F$8-WEEKDAY($D131,2),7)))/7)+1)))</f>
        <v/>
      </c>
      <c r="L131" s="222">
        <f>IF(OR($C131="",$D131="",$G131="",$F131=""),0,$G131*IF($F131="Aylık",MAX(0,(YEAR(MIN(IF($E131="",TODAY()-29,$E131),TODAY()-29))-YEAR($D131))*12+MONTH(MIN(IF($E131="",TODAY()-29,$E131),TODAY()-29))-MONTH($D131)+IF(MIN(IF($E131="",TODAY()-29,$E131),TODAY()-29)&gt;=EOMONTH(MIN(IF($E131="",TODAY()-29,$E131),TODAY()-29),0),1,0)),MAX(0,INT((MIN(IF($E131="",TODAY()-29,$E131),TODAY()-29)-($D131+MOD(SISTEM!$F$8-WEEKDAY($D131,2),7)))/7)+1)))</f>
        <v/>
      </c>
      <c r="M131" s="223">
        <f>IF($G131&gt;0,$I131/$G131,0)</f>
        <v/>
      </c>
      <c r="N131" s="113">
        <f>IF($C131="","",IF($B131="TANIMSIZ MÜŞTERİ","TANIMSIZ MÜŞTERİ",IF($F131="","MODEL SEÇİN",IF(OR($D131="",$G131&lt;=0),"EKSİK",IF(AND($E131&lt;&gt;"",$E131&lt;$D131),"TARİH HATASI",IF($H131="Pasif","KAPALI DÖNEM","UYGUN"))))))</f>
        <v/>
      </c>
      <c r="O131" s="224">
        <f>IF(OR($C131="",$D131="",$F131=""),"",IF($F131="Aylık",EOMONTH($D131,0),($D131+MOD(SISTEM!$F$8-WEEKDAY($D131,2),7))))</f>
        <v/>
      </c>
      <c r="P131" s="109" t="n"/>
      <c r="Q131" s="6" t="n"/>
      <c r="R131" s="6" t="n"/>
      <c r="S131" s="3">
        <f>IF($B131="","",$B131&amp;"|"&amp;COUNTIFS($B$7:$B131,$B131))</f>
        <v/>
      </c>
      <c r="T131" s="3">
        <f>IF($C131="","",UPPER(SUBSTITUTE(SUBSTITUTE(SUBSTITUTE(SUBSTITUTE(SUBSTITUTE(SUBSTITUTE(SUBSTITUTE(SUBSTITUTE(SUBSTITUTE(SUBSTITUTE(SUBSTITUTE(SUBSTITUTE(SUBSTITUTE(SUBSTITUTE(SUBSTITUTE(SUBSTITUTE(SUBSTITUTE(SUBSTITUTE(TRIM($C131),"'",""),"İ","I"),"ı","I"),"i","I"),"Ş","S"),"ş","S"),"Ğ","G"),"ğ","G"),"Ü","U"),"ü","U"),"Ö","O"),"ö","O"),"Ç","C"),"ç","C"),".",""),",","")," ",""),"-","")))</f>
        <v/>
      </c>
    </row>
    <row r="132">
      <c r="A132" s="6" t="n"/>
      <c r="B132" s="113">
        <f>IF($C132="","",IFERROR(INDEX(MUSTERILER!$B$7:$B$106,MATCH($T132,MUSTERILER!$T$7:$T$106,0)),IFERROR(INDEX(MUSTERILER!$B$7:$B$106,MATCH($C132,MUSTERILER!$B$7:$B$106,0)),IFERROR(INDEX(MUSTERILER!$B$7:$B$106,MATCH($T132&amp;"*",MUSTERILER!$T$7:$T$106,0)),"TANIMSIZ MÜŞTERİ"))))</f>
        <v/>
      </c>
      <c r="C132" s="109" t="n"/>
      <c r="D132" s="220" t="n"/>
      <c r="E132" s="220" t="n"/>
      <c r="F132" s="108" t="n"/>
      <c r="G132" s="221" t="n"/>
      <c r="H132" s="108" t="n"/>
      <c r="I132" s="222">
        <f>IF(OR($C132="",$D132="",$G132="",$F132=""),0,$G132*IF($F132="Aylık",MAX(0,(YEAR(MIN(IF($E132="",TODAY(),$E132),TODAY()))-YEAR($D132))*12+MONTH(MIN(IF($E132="",TODAY(),$E132),TODAY()))-MONTH($D132)+IF(MIN(IF($E132="",TODAY(),$E132),TODAY())&gt;=EOMONTH(MIN(IF($E132="",TODAY(),$E132),TODAY()),0),1,0)),MAX(0,INT((MIN(IF($E132="",TODAY(),$E132),TODAY())-($D132+MOD(SISTEM!$F$8-WEEKDAY($D132,2),7)))/7)+1)))</f>
        <v/>
      </c>
      <c r="J132" s="222">
        <f>IF(OR($C132="",$D132="",$G132="",$F132=""),0,$G132*IF($F132="Aylık",MAX(0,(YEAR(MIN(IF($E132="",TODAY()-8,$E132),TODAY()-8))-YEAR($D132))*12+MONTH(MIN(IF($E132="",TODAY()-8,$E132),TODAY()-8))-MONTH($D132)+IF(MIN(IF($E132="",TODAY()-8,$E132),TODAY()-8)&gt;=EOMONTH(MIN(IF($E132="",TODAY()-8,$E132),TODAY()-8),0),1,0)),MAX(0,INT((MIN(IF($E132="",TODAY()-8,$E132),TODAY()-8)-($D132+MOD(SISTEM!$F$8-WEEKDAY($D132,2),7)))/7)+1)))</f>
        <v/>
      </c>
      <c r="K132" s="222">
        <f>IF(OR($C132="",$D132="",$G132="",$F132=""),0,$G132*IF($F132="Aylık",MAX(0,(YEAR(MIN(IF($E132="",TODAY()-15,$E132),TODAY()-15))-YEAR($D132))*12+MONTH(MIN(IF($E132="",TODAY()-15,$E132),TODAY()-15))-MONTH($D132)+IF(MIN(IF($E132="",TODAY()-15,$E132),TODAY()-15)&gt;=EOMONTH(MIN(IF($E132="",TODAY()-15,$E132),TODAY()-15),0),1,0)),MAX(0,INT((MIN(IF($E132="",TODAY()-15,$E132),TODAY()-15)-($D132+MOD(SISTEM!$F$8-WEEKDAY($D132,2),7)))/7)+1)))</f>
        <v/>
      </c>
      <c r="L132" s="222">
        <f>IF(OR($C132="",$D132="",$G132="",$F132=""),0,$G132*IF($F132="Aylık",MAX(0,(YEAR(MIN(IF($E132="",TODAY()-29,$E132),TODAY()-29))-YEAR($D132))*12+MONTH(MIN(IF($E132="",TODAY()-29,$E132),TODAY()-29))-MONTH($D132)+IF(MIN(IF($E132="",TODAY()-29,$E132),TODAY()-29)&gt;=EOMONTH(MIN(IF($E132="",TODAY()-29,$E132),TODAY()-29),0),1,0)),MAX(0,INT((MIN(IF($E132="",TODAY()-29,$E132),TODAY()-29)-($D132+MOD(SISTEM!$F$8-WEEKDAY($D132,2),7)))/7)+1)))</f>
        <v/>
      </c>
      <c r="M132" s="223">
        <f>IF($G132&gt;0,$I132/$G132,0)</f>
        <v/>
      </c>
      <c r="N132" s="113">
        <f>IF($C132="","",IF($B132="TANIMSIZ MÜŞTERİ","TANIMSIZ MÜŞTERİ",IF($F132="","MODEL SEÇİN",IF(OR($D132="",$G132&lt;=0),"EKSİK",IF(AND($E132&lt;&gt;"",$E132&lt;$D132),"TARİH HATASI",IF($H132="Pasif","KAPALI DÖNEM","UYGUN"))))))</f>
        <v/>
      </c>
      <c r="O132" s="224">
        <f>IF(OR($C132="",$D132="",$F132=""),"",IF($F132="Aylık",EOMONTH($D132,0),($D132+MOD(SISTEM!$F$8-WEEKDAY($D132,2),7))))</f>
        <v/>
      </c>
      <c r="P132" s="109" t="n"/>
      <c r="Q132" s="6" t="n"/>
      <c r="R132" s="6" t="n"/>
      <c r="S132" s="3">
        <f>IF($B132="","",$B132&amp;"|"&amp;COUNTIFS($B$7:$B132,$B132))</f>
        <v/>
      </c>
      <c r="T132" s="3">
        <f>IF($C132="","",UPPER(SUBSTITUTE(SUBSTITUTE(SUBSTITUTE(SUBSTITUTE(SUBSTITUTE(SUBSTITUTE(SUBSTITUTE(SUBSTITUTE(SUBSTITUTE(SUBSTITUTE(SUBSTITUTE(SUBSTITUTE(SUBSTITUTE(SUBSTITUTE(SUBSTITUTE(SUBSTITUTE(SUBSTITUTE(SUBSTITUTE(TRIM($C132),"'",""),"İ","I"),"ı","I"),"i","I"),"Ş","S"),"ş","S"),"Ğ","G"),"ğ","G"),"Ü","U"),"ü","U"),"Ö","O"),"ö","O"),"Ç","C"),"ç","C"),".",""),",","")," ",""),"-","")))</f>
        <v/>
      </c>
    </row>
    <row r="133">
      <c r="A133" s="6" t="n"/>
      <c r="B133" s="113">
        <f>IF($C133="","",IFERROR(INDEX(MUSTERILER!$B$7:$B$106,MATCH($T133,MUSTERILER!$T$7:$T$106,0)),IFERROR(INDEX(MUSTERILER!$B$7:$B$106,MATCH($C133,MUSTERILER!$B$7:$B$106,0)),IFERROR(INDEX(MUSTERILER!$B$7:$B$106,MATCH($T133&amp;"*",MUSTERILER!$T$7:$T$106,0)),"TANIMSIZ MÜŞTERİ"))))</f>
        <v/>
      </c>
      <c r="C133" s="109" t="n"/>
      <c r="D133" s="220" t="n"/>
      <c r="E133" s="220" t="n"/>
      <c r="F133" s="108" t="n"/>
      <c r="G133" s="221" t="n"/>
      <c r="H133" s="108" t="n"/>
      <c r="I133" s="222">
        <f>IF(OR($C133="",$D133="",$G133="",$F133=""),0,$G133*IF($F133="Aylık",MAX(0,(YEAR(MIN(IF($E133="",TODAY(),$E133),TODAY()))-YEAR($D133))*12+MONTH(MIN(IF($E133="",TODAY(),$E133),TODAY()))-MONTH($D133)+IF(MIN(IF($E133="",TODAY(),$E133),TODAY())&gt;=EOMONTH(MIN(IF($E133="",TODAY(),$E133),TODAY()),0),1,0)),MAX(0,INT((MIN(IF($E133="",TODAY(),$E133),TODAY())-($D133+MOD(SISTEM!$F$8-WEEKDAY($D133,2),7)))/7)+1)))</f>
        <v/>
      </c>
      <c r="J133" s="222">
        <f>IF(OR($C133="",$D133="",$G133="",$F133=""),0,$G133*IF($F133="Aylık",MAX(0,(YEAR(MIN(IF($E133="",TODAY()-8,$E133),TODAY()-8))-YEAR($D133))*12+MONTH(MIN(IF($E133="",TODAY()-8,$E133),TODAY()-8))-MONTH($D133)+IF(MIN(IF($E133="",TODAY()-8,$E133),TODAY()-8)&gt;=EOMONTH(MIN(IF($E133="",TODAY()-8,$E133),TODAY()-8),0),1,0)),MAX(0,INT((MIN(IF($E133="",TODAY()-8,$E133),TODAY()-8)-($D133+MOD(SISTEM!$F$8-WEEKDAY($D133,2),7)))/7)+1)))</f>
        <v/>
      </c>
      <c r="K133" s="222">
        <f>IF(OR($C133="",$D133="",$G133="",$F133=""),0,$G133*IF($F133="Aylık",MAX(0,(YEAR(MIN(IF($E133="",TODAY()-15,$E133),TODAY()-15))-YEAR($D133))*12+MONTH(MIN(IF($E133="",TODAY()-15,$E133),TODAY()-15))-MONTH($D133)+IF(MIN(IF($E133="",TODAY()-15,$E133),TODAY()-15)&gt;=EOMONTH(MIN(IF($E133="",TODAY()-15,$E133),TODAY()-15),0),1,0)),MAX(0,INT((MIN(IF($E133="",TODAY()-15,$E133),TODAY()-15)-($D133+MOD(SISTEM!$F$8-WEEKDAY($D133,2),7)))/7)+1)))</f>
        <v/>
      </c>
      <c r="L133" s="222">
        <f>IF(OR($C133="",$D133="",$G133="",$F133=""),0,$G133*IF($F133="Aylık",MAX(0,(YEAR(MIN(IF($E133="",TODAY()-29,$E133),TODAY()-29))-YEAR($D133))*12+MONTH(MIN(IF($E133="",TODAY()-29,$E133),TODAY()-29))-MONTH($D133)+IF(MIN(IF($E133="",TODAY()-29,$E133),TODAY()-29)&gt;=EOMONTH(MIN(IF($E133="",TODAY()-29,$E133),TODAY()-29),0),1,0)),MAX(0,INT((MIN(IF($E133="",TODAY()-29,$E133),TODAY()-29)-($D133+MOD(SISTEM!$F$8-WEEKDAY($D133,2),7)))/7)+1)))</f>
        <v/>
      </c>
      <c r="M133" s="223">
        <f>IF($G133&gt;0,$I133/$G133,0)</f>
        <v/>
      </c>
      <c r="N133" s="113">
        <f>IF($C133="","",IF($B133="TANIMSIZ MÜŞTERİ","TANIMSIZ MÜŞTERİ",IF($F133="","MODEL SEÇİN",IF(OR($D133="",$G133&lt;=0),"EKSİK",IF(AND($E133&lt;&gt;"",$E133&lt;$D133),"TARİH HATASI",IF($H133="Pasif","KAPALI DÖNEM","UYGUN"))))))</f>
        <v/>
      </c>
      <c r="O133" s="224">
        <f>IF(OR($C133="",$D133="",$F133=""),"",IF($F133="Aylık",EOMONTH($D133,0),($D133+MOD(SISTEM!$F$8-WEEKDAY($D133,2),7))))</f>
        <v/>
      </c>
      <c r="P133" s="109" t="n"/>
      <c r="Q133" s="6" t="n"/>
      <c r="R133" s="6" t="n"/>
      <c r="S133" s="3">
        <f>IF($B133="","",$B133&amp;"|"&amp;COUNTIFS($B$7:$B133,$B133))</f>
        <v/>
      </c>
      <c r="T133" s="3">
        <f>IF($C133="","",UPPER(SUBSTITUTE(SUBSTITUTE(SUBSTITUTE(SUBSTITUTE(SUBSTITUTE(SUBSTITUTE(SUBSTITUTE(SUBSTITUTE(SUBSTITUTE(SUBSTITUTE(SUBSTITUTE(SUBSTITUTE(SUBSTITUTE(SUBSTITUTE(SUBSTITUTE(SUBSTITUTE(SUBSTITUTE(SUBSTITUTE(TRIM($C133),"'",""),"İ","I"),"ı","I"),"i","I"),"Ş","S"),"ş","S"),"Ğ","G"),"ğ","G"),"Ü","U"),"ü","U"),"Ö","O"),"ö","O"),"Ç","C"),"ç","C"),".",""),",","")," ",""),"-","")))</f>
        <v/>
      </c>
    </row>
    <row r="134">
      <c r="A134" s="6" t="n"/>
      <c r="B134" s="113">
        <f>IF($C134="","",IFERROR(INDEX(MUSTERILER!$B$7:$B$106,MATCH($T134,MUSTERILER!$T$7:$T$106,0)),IFERROR(INDEX(MUSTERILER!$B$7:$B$106,MATCH($C134,MUSTERILER!$B$7:$B$106,0)),IFERROR(INDEX(MUSTERILER!$B$7:$B$106,MATCH($T134&amp;"*",MUSTERILER!$T$7:$T$106,0)),"TANIMSIZ MÜŞTERİ"))))</f>
        <v/>
      </c>
      <c r="C134" s="109" t="n"/>
      <c r="D134" s="220" t="n"/>
      <c r="E134" s="220" t="n"/>
      <c r="F134" s="108" t="n"/>
      <c r="G134" s="221" t="n"/>
      <c r="H134" s="108" t="n"/>
      <c r="I134" s="222">
        <f>IF(OR($C134="",$D134="",$G134="",$F134=""),0,$G134*IF($F134="Aylık",MAX(0,(YEAR(MIN(IF($E134="",TODAY(),$E134),TODAY()))-YEAR($D134))*12+MONTH(MIN(IF($E134="",TODAY(),$E134),TODAY()))-MONTH($D134)+IF(MIN(IF($E134="",TODAY(),$E134),TODAY())&gt;=EOMONTH(MIN(IF($E134="",TODAY(),$E134),TODAY()),0),1,0)),MAX(0,INT((MIN(IF($E134="",TODAY(),$E134),TODAY())-($D134+MOD(SISTEM!$F$8-WEEKDAY($D134,2),7)))/7)+1)))</f>
        <v/>
      </c>
      <c r="J134" s="222">
        <f>IF(OR($C134="",$D134="",$G134="",$F134=""),0,$G134*IF($F134="Aylık",MAX(0,(YEAR(MIN(IF($E134="",TODAY()-8,$E134),TODAY()-8))-YEAR($D134))*12+MONTH(MIN(IF($E134="",TODAY()-8,$E134),TODAY()-8))-MONTH($D134)+IF(MIN(IF($E134="",TODAY()-8,$E134),TODAY()-8)&gt;=EOMONTH(MIN(IF($E134="",TODAY()-8,$E134),TODAY()-8),0),1,0)),MAX(0,INT((MIN(IF($E134="",TODAY()-8,$E134),TODAY()-8)-($D134+MOD(SISTEM!$F$8-WEEKDAY($D134,2),7)))/7)+1)))</f>
        <v/>
      </c>
      <c r="K134" s="222">
        <f>IF(OR($C134="",$D134="",$G134="",$F134=""),0,$G134*IF($F134="Aylık",MAX(0,(YEAR(MIN(IF($E134="",TODAY()-15,$E134),TODAY()-15))-YEAR($D134))*12+MONTH(MIN(IF($E134="",TODAY()-15,$E134),TODAY()-15))-MONTH($D134)+IF(MIN(IF($E134="",TODAY()-15,$E134),TODAY()-15)&gt;=EOMONTH(MIN(IF($E134="",TODAY()-15,$E134),TODAY()-15),0),1,0)),MAX(0,INT((MIN(IF($E134="",TODAY()-15,$E134),TODAY()-15)-($D134+MOD(SISTEM!$F$8-WEEKDAY($D134,2),7)))/7)+1)))</f>
        <v/>
      </c>
      <c r="L134" s="222">
        <f>IF(OR($C134="",$D134="",$G134="",$F134=""),0,$G134*IF($F134="Aylık",MAX(0,(YEAR(MIN(IF($E134="",TODAY()-29,$E134),TODAY()-29))-YEAR($D134))*12+MONTH(MIN(IF($E134="",TODAY()-29,$E134),TODAY()-29))-MONTH($D134)+IF(MIN(IF($E134="",TODAY()-29,$E134),TODAY()-29)&gt;=EOMONTH(MIN(IF($E134="",TODAY()-29,$E134),TODAY()-29),0),1,0)),MAX(0,INT((MIN(IF($E134="",TODAY()-29,$E134),TODAY()-29)-($D134+MOD(SISTEM!$F$8-WEEKDAY($D134,2),7)))/7)+1)))</f>
        <v/>
      </c>
      <c r="M134" s="223">
        <f>IF($G134&gt;0,$I134/$G134,0)</f>
        <v/>
      </c>
      <c r="N134" s="113">
        <f>IF($C134="","",IF($B134="TANIMSIZ MÜŞTERİ","TANIMSIZ MÜŞTERİ",IF($F134="","MODEL SEÇİN",IF(OR($D134="",$G134&lt;=0),"EKSİK",IF(AND($E134&lt;&gt;"",$E134&lt;$D134),"TARİH HATASI",IF($H134="Pasif","KAPALI DÖNEM","UYGUN"))))))</f>
        <v/>
      </c>
      <c r="O134" s="224">
        <f>IF(OR($C134="",$D134="",$F134=""),"",IF($F134="Aylık",EOMONTH($D134,0),($D134+MOD(SISTEM!$F$8-WEEKDAY($D134,2),7))))</f>
        <v/>
      </c>
      <c r="P134" s="109" t="n"/>
      <c r="Q134" s="6" t="n"/>
      <c r="R134" s="6" t="n"/>
      <c r="S134" s="3">
        <f>IF($B134="","",$B134&amp;"|"&amp;COUNTIFS($B$7:$B134,$B134))</f>
        <v/>
      </c>
      <c r="T134" s="3">
        <f>IF($C134="","",UPPER(SUBSTITUTE(SUBSTITUTE(SUBSTITUTE(SUBSTITUTE(SUBSTITUTE(SUBSTITUTE(SUBSTITUTE(SUBSTITUTE(SUBSTITUTE(SUBSTITUTE(SUBSTITUTE(SUBSTITUTE(SUBSTITUTE(SUBSTITUTE(SUBSTITUTE(SUBSTITUTE(SUBSTITUTE(SUBSTITUTE(TRIM($C134),"'",""),"İ","I"),"ı","I"),"i","I"),"Ş","S"),"ş","S"),"Ğ","G"),"ğ","G"),"Ü","U"),"ü","U"),"Ö","O"),"ö","O"),"Ç","C"),"ç","C"),".",""),",","")," ",""),"-","")))</f>
        <v/>
      </c>
    </row>
    <row r="135">
      <c r="A135" s="6" t="n"/>
      <c r="B135" s="113">
        <f>IF($C135="","",IFERROR(INDEX(MUSTERILER!$B$7:$B$106,MATCH($T135,MUSTERILER!$T$7:$T$106,0)),IFERROR(INDEX(MUSTERILER!$B$7:$B$106,MATCH($C135,MUSTERILER!$B$7:$B$106,0)),IFERROR(INDEX(MUSTERILER!$B$7:$B$106,MATCH($T135&amp;"*",MUSTERILER!$T$7:$T$106,0)),"TANIMSIZ MÜŞTERİ"))))</f>
        <v/>
      </c>
      <c r="C135" s="109" t="n"/>
      <c r="D135" s="220" t="n"/>
      <c r="E135" s="220" t="n"/>
      <c r="F135" s="108" t="n"/>
      <c r="G135" s="221" t="n"/>
      <c r="H135" s="108" t="n"/>
      <c r="I135" s="222">
        <f>IF(OR($C135="",$D135="",$G135="",$F135=""),0,$G135*IF($F135="Aylık",MAX(0,(YEAR(MIN(IF($E135="",TODAY(),$E135),TODAY()))-YEAR($D135))*12+MONTH(MIN(IF($E135="",TODAY(),$E135),TODAY()))-MONTH($D135)+IF(MIN(IF($E135="",TODAY(),$E135),TODAY())&gt;=EOMONTH(MIN(IF($E135="",TODAY(),$E135),TODAY()),0),1,0)),MAX(0,INT((MIN(IF($E135="",TODAY(),$E135),TODAY())-($D135+MOD(SISTEM!$F$8-WEEKDAY($D135,2),7)))/7)+1)))</f>
        <v/>
      </c>
      <c r="J135" s="222">
        <f>IF(OR($C135="",$D135="",$G135="",$F135=""),0,$G135*IF($F135="Aylık",MAX(0,(YEAR(MIN(IF($E135="",TODAY()-8,$E135),TODAY()-8))-YEAR($D135))*12+MONTH(MIN(IF($E135="",TODAY()-8,$E135),TODAY()-8))-MONTH($D135)+IF(MIN(IF($E135="",TODAY()-8,$E135),TODAY()-8)&gt;=EOMONTH(MIN(IF($E135="",TODAY()-8,$E135),TODAY()-8),0),1,0)),MAX(0,INT((MIN(IF($E135="",TODAY()-8,$E135),TODAY()-8)-($D135+MOD(SISTEM!$F$8-WEEKDAY($D135,2),7)))/7)+1)))</f>
        <v/>
      </c>
      <c r="K135" s="222">
        <f>IF(OR($C135="",$D135="",$G135="",$F135=""),0,$G135*IF($F135="Aylık",MAX(0,(YEAR(MIN(IF($E135="",TODAY()-15,$E135),TODAY()-15))-YEAR($D135))*12+MONTH(MIN(IF($E135="",TODAY()-15,$E135),TODAY()-15))-MONTH($D135)+IF(MIN(IF($E135="",TODAY()-15,$E135),TODAY()-15)&gt;=EOMONTH(MIN(IF($E135="",TODAY()-15,$E135),TODAY()-15),0),1,0)),MAX(0,INT((MIN(IF($E135="",TODAY()-15,$E135),TODAY()-15)-($D135+MOD(SISTEM!$F$8-WEEKDAY($D135,2),7)))/7)+1)))</f>
        <v/>
      </c>
      <c r="L135" s="222">
        <f>IF(OR($C135="",$D135="",$G135="",$F135=""),0,$G135*IF($F135="Aylık",MAX(0,(YEAR(MIN(IF($E135="",TODAY()-29,$E135),TODAY()-29))-YEAR($D135))*12+MONTH(MIN(IF($E135="",TODAY()-29,$E135),TODAY()-29))-MONTH($D135)+IF(MIN(IF($E135="",TODAY()-29,$E135),TODAY()-29)&gt;=EOMONTH(MIN(IF($E135="",TODAY()-29,$E135),TODAY()-29),0),1,0)),MAX(0,INT((MIN(IF($E135="",TODAY()-29,$E135),TODAY()-29)-($D135+MOD(SISTEM!$F$8-WEEKDAY($D135,2),7)))/7)+1)))</f>
        <v/>
      </c>
      <c r="M135" s="223">
        <f>IF($G135&gt;0,$I135/$G135,0)</f>
        <v/>
      </c>
      <c r="N135" s="113">
        <f>IF($C135="","",IF($B135="TANIMSIZ MÜŞTERİ","TANIMSIZ MÜŞTERİ",IF($F135="","MODEL SEÇİN",IF(OR($D135="",$G135&lt;=0),"EKSİK",IF(AND($E135&lt;&gt;"",$E135&lt;$D135),"TARİH HATASI",IF($H135="Pasif","KAPALI DÖNEM","UYGUN"))))))</f>
        <v/>
      </c>
      <c r="O135" s="224">
        <f>IF(OR($C135="",$D135="",$F135=""),"",IF($F135="Aylık",EOMONTH($D135,0),($D135+MOD(SISTEM!$F$8-WEEKDAY($D135,2),7))))</f>
        <v/>
      </c>
      <c r="P135" s="109" t="n"/>
      <c r="Q135" s="6" t="n"/>
      <c r="R135" s="6" t="n"/>
      <c r="S135" s="3">
        <f>IF($B135="","",$B135&amp;"|"&amp;COUNTIFS($B$7:$B135,$B135))</f>
        <v/>
      </c>
      <c r="T135" s="3">
        <f>IF($C135="","",UPPER(SUBSTITUTE(SUBSTITUTE(SUBSTITUTE(SUBSTITUTE(SUBSTITUTE(SUBSTITUTE(SUBSTITUTE(SUBSTITUTE(SUBSTITUTE(SUBSTITUTE(SUBSTITUTE(SUBSTITUTE(SUBSTITUTE(SUBSTITUTE(SUBSTITUTE(SUBSTITUTE(SUBSTITUTE(SUBSTITUTE(TRIM($C135),"'",""),"İ","I"),"ı","I"),"i","I"),"Ş","S"),"ş","S"),"Ğ","G"),"ğ","G"),"Ü","U"),"ü","U"),"Ö","O"),"ö","O"),"Ç","C"),"ç","C"),".",""),",","")," ",""),"-","")))</f>
        <v/>
      </c>
    </row>
    <row r="136">
      <c r="A136" s="6" t="n"/>
      <c r="B136" s="113">
        <f>IF($C136="","",IFERROR(INDEX(MUSTERILER!$B$7:$B$106,MATCH($T136,MUSTERILER!$T$7:$T$106,0)),IFERROR(INDEX(MUSTERILER!$B$7:$B$106,MATCH($C136,MUSTERILER!$B$7:$B$106,0)),IFERROR(INDEX(MUSTERILER!$B$7:$B$106,MATCH($T136&amp;"*",MUSTERILER!$T$7:$T$106,0)),"TANIMSIZ MÜŞTERİ"))))</f>
        <v/>
      </c>
      <c r="C136" s="109" t="n"/>
      <c r="D136" s="220" t="n"/>
      <c r="E136" s="220" t="n"/>
      <c r="F136" s="108" t="n"/>
      <c r="G136" s="221" t="n"/>
      <c r="H136" s="108" t="n"/>
      <c r="I136" s="222">
        <f>IF(OR($C136="",$D136="",$G136="",$F136=""),0,$G136*IF($F136="Aylık",MAX(0,(YEAR(MIN(IF($E136="",TODAY(),$E136),TODAY()))-YEAR($D136))*12+MONTH(MIN(IF($E136="",TODAY(),$E136),TODAY()))-MONTH($D136)+IF(MIN(IF($E136="",TODAY(),$E136),TODAY())&gt;=EOMONTH(MIN(IF($E136="",TODAY(),$E136),TODAY()),0),1,0)),MAX(0,INT((MIN(IF($E136="",TODAY(),$E136),TODAY())-($D136+MOD(SISTEM!$F$8-WEEKDAY($D136,2),7)))/7)+1)))</f>
        <v/>
      </c>
      <c r="J136" s="222">
        <f>IF(OR($C136="",$D136="",$G136="",$F136=""),0,$G136*IF($F136="Aylık",MAX(0,(YEAR(MIN(IF($E136="",TODAY()-8,$E136),TODAY()-8))-YEAR($D136))*12+MONTH(MIN(IF($E136="",TODAY()-8,$E136),TODAY()-8))-MONTH($D136)+IF(MIN(IF($E136="",TODAY()-8,$E136),TODAY()-8)&gt;=EOMONTH(MIN(IF($E136="",TODAY()-8,$E136),TODAY()-8),0),1,0)),MAX(0,INT((MIN(IF($E136="",TODAY()-8,$E136),TODAY()-8)-($D136+MOD(SISTEM!$F$8-WEEKDAY($D136,2),7)))/7)+1)))</f>
        <v/>
      </c>
      <c r="K136" s="222">
        <f>IF(OR($C136="",$D136="",$G136="",$F136=""),0,$G136*IF($F136="Aylık",MAX(0,(YEAR(MIN(IF($E136="",TODAY()-15,$E136),TODAY()-15))-YEAR($D136))*12+MONTH(MIN(IF($E136="",TODAY()-15,$E136),TODAY()-15))-MONTH($D136)+IF(MIN(IF($E136="",TODAY()-15,$E136),TODAY()-15)&gt;=EOMONTH(MIN(IF($E136="",TODAY()-15,$E136),TODAY()-15),0),1,0)),MAX(0,INT((MIN(IF($E136="",TODAY()-15,$E136),TODAY()-15)-($D136+MOD(SISTEM!$F$8-WEEKDAY($D136,2),7)))/7)+1)))</f>
        <v/>
      </c>
      <c r="L136" s="222">
        <f>IF(OR($C136="",$D136="",$G136="",$F136=""),0,$G136*IF($F136="Aylık",MAX(0,(YEAR(MIN(IF($E136="",TODAY()-29,$E136),TODAY()-29))-YEAR($D136))*12+MONTH(MIN(IF($E136="",TODAY()-29,$E136),TODAY()-29))-MONTH($D136)+IF(MIN(IF($E136="",TODAY()-29,$E136),TODAY()-29)&gt;=EOMONTH(MIN(IF($E136="",TODAY()-29,$E136),TODAY()-29),0),1,0)),MAX(0,INT((MIN(IF($E136="",TODAY()-29,$E136),TODAY()-29)-($D136+MOD(SISTEM!$F$8-WEEKDAY($D136,2),7)))/7)+1)))</f>
        <v/>
      </c>
      <c r="M136" s="223">
        <f>IF($G136&gt;0,$I136/$G136,0)</f>
        <v/>
      </c>
      <c r="N136" s="113">
        <f>IF($C136="","",IF($B136="TANIMSIZ MÜŞTERİ","TANIMSIZ MÜŞTERİ",IF($F136="","MODEL SEÇİN",IF(OR($D136="",$G136&lt;=0),"EKSİK",IF(AND($E136&lt;&gt;"",$E136&lt;$D136),"TARİH HATASI",IF($H136="Pasif","KAPALI DÖNEM","UYGUN"))))))</f>
        <v/>
      </c>
      <c r="O136" s="224">
        <f>IF(OR($C136="",$D136="",$F136=""),"",IF($F136="Aylık",EOMONTH($D136,0),($D136+MOD(SISTEM!$F$8-WEEKDAY($D136,2),7))))</f>
        <v/>
      </c>
      <c r="P136" s="109" t="n"/>
      <c r="Q136" s="6" t="n"/>
      <c r="R136" s="6" t="n"/>
      <c r="S136" s="3">
        <f>IF($B136="","",$B136&amp;"|"&amp;COUNTIFS($B$7:$B136,$B136))</f>
        <v/>
      </c>
      <c r="T136" s="3">
        <f>IF($C136="","",UPPER(SUBSTITUTE(SUBSTITUTE(SUBSTITUTE(SUBSTITUTE(SUBSTITUTE(SUBSTITUTE(SUBSTITUTE(SUBSTITUTE(SUBSTITUTE(SUBSTITUTE(SUBSTITUTE(SUBSTITUTE(SUBSTITUTE(SUBSTITUTE(SUBSTITUTE(SUBSTITUTE(SUBSTITUTE(SUBSTITUTE(TRIM($C136),"'",""),"İ","I"),"ı","I"),"i","I"),"Ş","S"),"ş","S"),"Ğ","G"),"ğ","G"),"Ü","U"),"ü","U"),"Ö","O"),"ö","O"),"Ç","C"),"ç","C"),".",""),",","")," ",""),"-","")))</f>
        <v/>
      </c>
    </row>
    <row r="137">
      <c r="A137" s="6" t="n"/>
      <c r="B137" s="113">
        <f>IF($C137="","",IFERROR(INDEX(MUSTERILER!$B$7:$B$106,MATCH($T137,MUSTERILER!$T$7:$T$106,0)),IFERROR(INDEX(MUSTERILER!$B$7:$B$106,MATCH($C137,MUSTERILER!$B$7:$B$106,0)),IFERROR(INDEX(MUSTERILER!$B$7:$B$106,MATCH($T137&amp;"*",MUSTERILER!$T$7:$T$106,0)),"TANIMSIZ MÜŞTERİ"))))</f>
        <v/>
      </c>
      <c r="C137" s="109" t="n"/>
      <c r="D137" s="220" t="n"/>
      <c r="E137" s="220" t="n"/>
      <c r="F137" s="108" t="n"/>
      <c r="G137" s="221" t="n"/>
      <c r="H137" s="108" t="n"/>
      <c r="I137" s="222">
        <f>IF(OR($C137="",$D137="",$G137="",$F137=""),0,$G137*IF($F137="Aylık",MAX(0,(YEAR(MIN(IF($E137="",TODAY(),$E137),TODAY()))-YEAR($D137))*12+MONTH(MIN(IF($E137="",TODAY(),$E137),TODAY()))-MONTH($D137)+IF(MIN(IF($E137="",TODAY(),$E137),TODAY())&gt;=EOMONTH(MIN(IF($E137="",TODAY(),$E137),TODAY()),0),1,0)),MAX(0,INT((MIN(IF($E137="",TODAY(),$E137),TODAY())-($D137+MOD(SISTEM!$F$8-WEEKDAY($D137,2),7)))/7)+1)))</f>
        <v/>
      </c>
      <c r="J137" s="222">
        <f>IF(OR($C137="",$D137="",$G137="",$F137=""),0,$G137*IF($F137="Aylık",MAX(0,(YEAR(MIN(IF($E137="",TODAY()-8,$E137),TODAY()-8))-YEAR($D137))*12+MONTH(MIN(IF($E137="",TODAY()-8,$E137),TODAY()-8))-MONTH($D137)+IF(MIN(IF($E137="",TODAY()-8,$E137),TODAY()-8)&gt;=EOMONTH(MIN(IF($E137="",TODAY()-8,$E137),TODAY()-8),0),1,0)),MAX(0,INT((MIN(IF($E137="",TODAY()-8,$E137),TODAY()-8)-($D137+MOD(SISTEM!$F$8-WEEKDAY($D137,2),7)))/7)+1)))</f>
        <v/>
      </c>
      <c r="K137" s="222">
        <f>IF(OR($C137="",$D137="",$G137="",$F137=""),0,$G137*IF($F137="Aylık",MAX(0,(YEAR(MIN(IF($E137="",TODAY()-15,$E137),TODAY()-15))-YEAR($D137))*12+MONTH(MIN(IF($E137="",TODAY()-15,$E137),TODAY()-15))-MONTH($D137)+IF(MIN(IF($E137="",TODAY()-15,$E137),TODAY()-15)&gt;=EOMONTH(MIN(IF($E137="",TODAY()-15,$E137),TODAY()-15),0),1,0)),MAX(0,INT((MIN(IF($E137="",TODAY()-15,$E137),TODAY()-15)-($D137+MOD(SISTEM!$F$8-WEEKDAY($D137,2),7)))/7)+1)))</f>
        <v/>
      </c>
      <c r="L137" s="222">
        <f>IF(OR($C137="",$D137="",$G137="",$F137=""),0,$G137*IF($F137="Aylık",MAX(0,(YEAR(MIN(IF($E137="",TODAY()-29,$E137),TODAY()-29))-YEAR($D137))*12+MONTH(MIN(IF($E137="",TODAY()-29,$E137),TODAY()-29))-MONTH($D137)+IF(MIN(IF($E137="",TODAY()-29,$E137),TODAY()-29)&gt;=EOMONTH(MIN(IF($E137="",TODAY()-29,$E137),TODAY()-29),0),1,0)),MAX(0,INT((MIN(IF($E137="",TODAY()-29,$E137),TODAY()-29)-($D137+MOD(SISTEM!$F$8-WEEKDAY($D137,2),7)))/7)+1)))</f>
        <v/>
      </c>
      <c r="M137" s="223">
        <f>IF($G137&gt;0,$I137/$G137,0)</f>
        <v/>
      </c>
      <c r="N137" s="113">
        <f>IF($C137="","",IF($B137="TANIMSIZ MÜŞTERİ","TANIMSIZ MÜŞTERİ",IF($F137="","MODEL SEÇİN",IF(OR($D137="",$G137&lt;=0),"EKSİK",IF(AND($E137&lt;&gt;"",$E137&lt;$D137),"TARİH HATASI",IF($H137="Pasif","KAPALI DÖNEM","UYGUN"))))))</f>
        <v/>
      </c>
      <c r="O137" s="224">
        <f>IF(OR($C137="",$D137="",$F137=""),"",IF($F137="Aylık",EOMONTH($D137,0),($D137+MOD(SISTEM!$F$8-WEEKDAY($D137,2),7))))</f>
        <v/>
      </c>
      <c r="P137" s="109" t="n"/>
      <c r="Q137" s="6" t="n"/>
      <c r="R137" s="6" t="n"/>
      <c r="S137" s="3">
        <f>IF($B137="","",$B137&amp;"|"&amp;COUNTIFS($B$7:$B137,$B137))</f>
        <v/>
      </c>
      <c r="T137" s="3">
        <f>IF($C137="","",UPPER(SUBSTITUTE(SUBSTITUTE(SUBSTITUTE(SUBSTITUTE(SUBSTITUTE(SUBSTITUTE(SUBSTITUTE(SUBSTITUTE(SUBSTITUTE(SUBSTITUTE(SUBSTITUTE(SUBSTITUTE(SUBSTITUTE(SUBSTITUTE(SUBSTITUTE(SUBSTITUTE(SUBSTITUTE(SUBSTITUTE(TRIM($C137),"'",""),"İ","I"),"ı","I"),"i","I"),"Ş","S"),"ş","S"),"Ğ","G"),"ğ","G"),"Ü","U"),"ü","U"),"Ö","O"),"ö","O"),"Ç","C"),"ç","C"),".",""),",","")," ",""),"-","")))</f>
        <v/>
      </c>
    </row>
    <row r="138">
      <c r="A138" s="6" t="n"/>
      <c r="B138" s="113">
        <f>IF($C138="","",IFERROR(INDEX(MUSTERILER!$B$7:$B$106,MATCH($T138,MUSTERILER!$T$7:$T$106,0)),IFERROR(INDEX(MUSTERILER!$B$7:$B$106,MATCH($C138,MUSTERILER!$B$7:$B$106,0)),IFERROR(INDEX(MUSTERILER!$B$7:$B$106,MATCH($T138&amp;"*",MUSTERILER!$T$7:$T$106,0)),"TANIMSIZ MÜŞTERİ"))))</f>
        <v/>
      </c>
      <c r="C138" s="109" t="n"/>
      <c r="D138" s="220" t="n"/>
      <c r="E138" s="220" t="n"/>
      <c r="F138" s="108" t="n"/>
      <c r="G138" s="221" t="n"/>
      <c r="H138" s="108" t="n"/>
      <c r="I138" s="222">
        <f>IF(OR($C138="",$D138="",$G138="",$F138=""),0,$G138*IF($F138="Aylık",MAX(0,(YEAR(MIN(IF($E138="",TODAY(),$E138),TODAY()))-YEAR($D138))*12+MONTH(MIN(IF($E138="",TODAY(),$E138),TODAY()))-MONTH($D138)+IF(MIN(IF($E138="",TODAY(),$E138),TODAY())&gt;=EOMONTH(MIN(IF($E138="",TODAY(),$E138),TODAY()),0),1,0)),MAX(0,INT((MIN(IF($E138="",TODAY(),$E138),TODAY())-($D138+MOD(SISTEM!$F$8-WEEKDAY($D138,2),7)))/7)+1)))</f>
        <v/>
      </c>
      <c r="J138" s="222">
        <f>IF(OR($C138="",$D138="",$G138="",$F138=""),0,$G138*IF($F138="Aylık",MAX(0,(YEAR(MIN(IF($E138="",TODAY()-8,$E138),TODAY()-8))-YEAR($D138))*12+MONTH(MIN(IF($E138="",TODAY()-8,$E138),TODAY()-8))-MONTH($D138)+IF(MIN(IF($E138="",TODAY()-8,$E138),TODAY()-8)&gt;=EOMONTH(MIN(IF($E138="",TODAY()-8,$E138),TODAY()-8),0),1,0)),MAX(0,INT((MIN(IF($E138="",TODAY()-8,$E138),TODAY()-8)-($D138+MOD(SISTEM!$F$8-WEEKDAY($D138,2),7)))/7)+1)))</f>
        <v/>
      </c>
      <c r="K138" s="222">
        <f>IF(OR($C138="",$D138="",$G138="",$F138=""),0,$G138*IF($F138="Aylık",MAX(0,(YEAR(MIN(IF($E138="",TODAY()-15,$E138),TODAY()-15))-YEAR($D138))*12+MONTH(MIN(IF($E138="",TODAY()-15,$E138),TODAY()-15))-MONTH($D138)+IF(MIN(IF($E138="",TODAY()-15,$E138),TODAY()-15)&gt;=EOMONTH(MIN(IF($E138="",TODAY()-15,$E138),TODAY()-15),0),1,0)),MAX(0,INT((MIN(IF($E138="",TODAY()-15,$E138),TODAY()-15)-($D138+MOD(SISTEM!$F$8-WEEKDAY($D138,2),7)))/7)+1)))</f>
        <v/>
      </c>
      <c r="L138" s="222">
        <f>IF(OR($C138="",$D138="",$G138="",$F138=""),0,$G138*IF($F138="Aylık",MAX(0,(YEAR(MIN(IF($E138="",TODAY()-29,$E138),TODAY()-29))-YEAR($D138))*12+MONTH(MIN(IF($E138="",TODAY()-29,$E138),TODAY()-29))-MONTH($D138)+IF(MIN(IF($E138="",TODAY()-29,$E138),TODAY()-29)&gt;=EOMONTH(MIN(IF($E138="",TODAY()-29,$E138),TODAY()-29),0),1,0)),MAX(0,INT((MIN(IF($E138="",TODAY()-29,$E138),TODAY()-29)-($D138+MOD(SISTEM!$F$8-WEEKDAY($D138,2),7)))/7)+1)))</f>
        <v/>
      </c>
      <c r="M138" s="223">
        <f>IF($G138&gt;0,$I138/$G138,0)</f>
        <v/>
      </c>
      <c r="N138" s="113">
        <f>IF($C138="","",IF($B138="TANIMSIZ MÜŞTERİ","TANIMSIZ MÜŞTERİ",IF($F138="","MODEL SEÇİN",IF(OR($D138="",$G138&lt;=0),"EKSİK",IF(AND($E138&lt;&gt;"",$E138&lt;$D138),"TARİH HATASI",IF($H138="Pasif","KAPALI DÖNEM","UYGUN"))))))</f>
        <v/>
      </c>
      <c r="O138" s="224">
        <f>IF(OR($C138="",$D138="",$F138=""),"",IF($F138="Aylık",EOMONTH($D138,0),($D138+MOD(SISTEM!$F$8-WEEKDAY($D138,2),7))))</f>
        <v/>
      </c>
      <c r="P138" s="109" t="n"/>
      <c r="Q138" s="6" t="n"/>
      <c r="R138" s="6" t="n"/>
      <c r="S138" s="3">
        <f>IF($B138="","",$B138&amp;"|"&amp;COUNTIFS($B$7:$B138,$B138))</f>
        <v/>
      </c>
      <c r="T138" s="3">
        <f>IF($C138="","",UPPER(SUBSTITUTE(SUBSTITUTE(SUBSTITUTE(SUBSTITUTE(SUBSTITUTE(SUBSTITUTE(SUBSTITUTE(SUBSTITUTE(SUBSTITUTE(SUBSTITUTE(SUBSTITUTE(SUBSTITUTE(SUBSTITUTE(SUBSTITUTE(SUBSTITUTE(SUBSTITUTE(SUBSTITUTE(SUBSTITUTE(TRIM($C138),"'",""),"İ","I"),"ı","I"),"i","I"),"Ş","S"),"ş","S"),"Ğ","G"),"ğ","G"),"Ü","U"),"ü","U"),"Ö","O"),"ö","O"),"Ç","C"),"ç","C"),".",""),",","")," ",""),"-","")))</f>
        <v/>
      </c>
    </row>
    <row r="139">
      <c r="A139" s="6" t="n"/>
      <c r="B139" s="113">
        <f>IF($C139="","",IFERROR(INDEX(MUSTERILER!$B$7:$B$106,MATCH($T139,MUSTERILER!$T$7:$T$106,0)),IFERROR(INDEX(MUSTERILER!$B$7:$B$106,MATCH($C139,MUSTERILER!$B$7:$B$106,0)),IFERROR(INDEX(MUSTERILER!$B$7:$B$106,MATCH($T139&amp;"*",MUSTERILER!$T$7:$T$106,0)),"TANIMSIZ MÜŞTERİ"))))</f>
        <v/>
      </c>
      <c r="C139" s="109" t="n"/>
      <c r="D139" s="220" t="n"/>
      <c r="E139" s="220" t="n"/>
      <c r="F139" s="108" t="n"/>
      <c r="G139" s="221" t="n"/>
      <c r="H139" s="108" t="n"/>
      <c r="I139" s="222">
        <f>IF(OR($C139="",$D139="",$G139="",$F139=""),0,$G139*IF($F139="Aylık",MAX(0,(YEAR(MIN(IF($E139="",TODAY(),$E139),TODAY()))-YEAR($D139))*12+MONTH(MIN(IF($E139="",TODAY(),$E139),TODAY()))-MONTH($D139)+IF(MIN(IF($E139="",TODAY(),$E139),TODAY())&gt;=EOMONTH(MIN(IF($E139="",TODAY(),$E139),TODAY()),0),1,0)),MAX(0,INT((MIN(IF($E139="",TODAY(),$E139),TODAY())-($D139+MOD(SISTEM!$F$8-WEEKDAY($D139,2),7)))/7)+1)))</f>
        <v/>
      </c>
      <c r="J139" s="222">
        <f>IF(OR($C139="",$D139="",$G139="",$F139=""),0,$G139*IF($F139="Aylık",MAX(0,(YEAR(MIN(IF($E139="",TODAY()-8,$E139),TODAY()-8))-YEAR($D139))*12+MONTH(MIN(IF($E139="",TODAY()-8,$E139),TODAY()-8))-MONTH($D139)+IF(MIN(IF($E139="",TODAY()-8,$E139),TODAY()-8)&gt;=EOMONTH(MIN(IF($E139="",TODAY()-8,$E139),TODAY()-8),0),1,0)),MAX(0,INT((MIN(IF($E139="",TODAY()-8,$E139),TODAY()-8)-($D139+MOD(SISTEM!$F$8-WEEKDAY($D139,2),7)))/7)+1)))</f>
        <v/>
      </c>
      <c r="K139" s="222">
        <f>IF(OR($C139="",$D139="",$G139="",$F139=""),0,$G139*IF($F139="Aylık",MAX(0,(YEAR(MIN(IF($E139="",TODAY()-15,$E139),TODAY()-15))-YEAR($D139))*12+MONTH(MIN(IF($E139="",TODAY()-15,$E139),TODAY()-15))-MONTH($D139)+IF(MIN(IF($E139="",TODAY()-15,$E139),TODAY()-15)&gt;=EOMONTH(MIN(IF($E139="",TODAY()-15,$E139),TODAY()-15),0),1,0)),MAX(0,INT((MIN(IF($E139="",TODAY()-15,$E139),TODAY()-15)-($D139+MOD(SISTEM!$F$8-WEEKDAY($D139,2),7)))/7)+1)))</f>
        <v/>
      </c>
      <c r="L139" s="222">
        <f>IF(OR($C139="",$D139="",$G139="",$F139=""),0,$G139*IF($F139="Aylık",MAX(0,(YEAR(MIN(IF($E139="",TODAY()-29,$E139),TODAY()-29))-YEAR($D139))*12+MONTH(MIN(IF($E139="",TODAY()-29,$E139),TODAY()-29))-MONTH($D139)+IF(MIN(IF($E139="",TODAY()-29,$E139),TODAY()-29)&gt;=EOMONTH(MIN(IF($E139="",TODAY()-29,$E139),TODAY()-29),0),1,0)),MAX(0,INT((MIN(IF($E139="",TODAY()-29,$E139),TODAY()-29)-($D139+MOD(SISTEM!$F$8-WEEKDAY($D139,2),7)))/7)+1)))</f>
        <v/>
      </c>
      <c r="M139" s="223">
        <f>IF($G139&gt;0,$I139/$G139,0)</f>
        <v/>
      </c>
      <c r="N139" s="113">
        <f>IF($C139="","",IF($B139="TANIMSIZ MÜŞTERİ","TANIMSIZ MÜŞTERİ",IF($F139="","MODEL SEÇİN",IF(OR($D139="",$G139&lt;=0),"EKSİK",IF(AND($E139&lt;&gt;"",$E139&lt;$D139),"TARİH HATASI",IF($H139="Pasif","KAPALI DÖNEM","UYGUN"))))))</f>
        <v/>
      </c>
      <c r="O139" s="224">
        <f>IF(OR($C139="",$D139="",$F139=""),"",IF($F139="Aylık",EOMONTH($D139,0),($D139+MOD(SISTEM!$F$8-WEEKDAY($D139,2),7))))</f>
        <v/>
      </c>
      <c r="P139" s="109" t="n"/>
      <c r="Q139" s="6" t="n"/>
      <c r="R139" s="6" t="n"/>
      <c r="S139" s="3">
        <f>IF($B139="","",$B139&amp;"|"&amp;COUNTIFS($B$7:$B139,$B139))</f>
        <v/>
      </c>
      <c r="T139" s="3">
        <f>IF($C139="","",UPPER(SUBSTITUTE(SUBSTITUTE(SUBSTITUTE(SUBSTITUTE(SUBSTITUTE(SUBSTITUTE(SUBSTITUTE(SUBSTITUTE(SUBSTITUTE(SUBSTITUTE(SUBSTITUTE(SUBSTITUTE(SUBSTITUTE(SUBSTITUTE(SUBSTITUTE(SUBSTITUTE(SUBSTITUTE(SUBSTITUTE(TRIM($C139),"'",""),"İ","I"),"ı","I"),"i","I"),"Ş","S"),"ş","S"),"Ğ","G"),"ğ","G"),"Ü","U"),"ü","U"),"Ö","O"),"ö","O"),"Ç","C"),"ç","C"),".",""),",","")," ",""),"-","")))</f>
        <v/>
      </c>
    </row>
    <row r="140">
      <c r="A140" s="6" t="n"/>
      <c r="B140" s="113">
        <f>IF($C140="","",IFERROR(INDEX(MUSTERILER!$B$7:$B$106,MATCH($T140,MUSTERILER!$T$7:$T$106,0)),IFERROR(INDEX(MUSTERILER!$B$7:$B$106,MATCH($C140,MUSTERILER!$B$7:$B$106,0)),IFERROR(INDEX(MUSTERILER!$B$7:$B$106,MATCH($T140&amp;"*",MUSTERILER!$T$7:$T$106,0)),"TANIMSIZ MÜŞTERİ"))))</f>
        <v/>
      </c>
      <c r="C140" s="109" t="n"/>
      <c r="D140" s="220" t="n"/>
      <c r="E140" s="220" t="n"/>
      <c r="F140" s="108" t="n"/>
      <c r="G140" s="221" t="n"/>
      <c r="H140" s="108" t="n"/>
      <c r="I140" s="222">
        <f>IF(OR($C140="",$D140="",$G140="",$F140=""),0,$G140*IF($F140="Aylık",MAX(0,(YEAR(MIN(IF($E140="",TODAY(),$E140),TODAY()))-YEAR($D140))*12+MONTH(MIN(IF($E140="",TODAY(),$E140),TODAY()))-MONTH($D140)+IF(MIN(IF($E140="",TODAY(),$E140),TODAY())&gt;=EOMONTH(MIN(IF($E140="",TODAY(),$E140),TODAY()),0),1,0)),MAX(0,INT((MIN(IF($E140="",TODAY(),$E140),TODAY())-($D140+MOD(SISTEM!$F$8-WEEKDAY($D140,2),7)))/7)+1)))</f>
        <v/>
      </c>
      <c r="J140" s="222">
        <f>IF(OR($C140="",$D140="",$G140="",$F140=""),0,$G140*IF($F140="Aylık",MAX(0,(YEAR(MIN(IF($E140="",TODAY()-8,$E140),TODAY()-8))-YEAR($D140))*12+MONTH(MIN(IF($E140="",TODAY()-8,$E140),TODAY()-8))-MONTH($D140)+IF(MIN(IF($E140="",TODAY()-8,$E140),TODAY()-8)&gt;=EOMONTH(MIN(IF($E140="",TODAY()-8,$E140),TODAY()-8),0),1,0)),MAX(0,INT((MIN(IF($E140="",TODAY()-8,$E140),TODAY()-8)-($D140+MOD(SISTEM!$F$8-WEEKDAY($D140,2),7)))/7)+1)))</f>
        <v/>
      </c>
      <c r="K140" s="222">
        <f>IF(OR($C140="",$D140="",$G140="",$F140=""),0,$G140*IF($F140="Aylık",MAX(0,(YEAR(MIN(IF($E140="",TODAY()-15,$E140),TODAY()-15))-YEAR($D140))*12+MONTH(MIN(IF($E140="",TODAY()-15,$E140),TODAY()-15))-MONTH($D140)+IF(MIN(IF($E140="",TODAY()-15,$E140),TODAY()-15)&gt;=EOMONTH(MIN(IF($E140="",TODAY()-15,$E140),TODAY()-15),0),1,0)),MAX(0,INT((MIN(IF($E140="",TODAY()-15,$E140),TODAY()-15)-($D140+MOD(SISTEM!$F$8-WEEKDAY($D140,2),7)))/7)+1)))</f>
        <v/>
      </c>
      <c r="L140" s="222">
        <f>IF(OR($C140="",$D140="",$G140="",$F140=""),0,$G140*IF($F140="Aylık",MAX(0,(YEAR(MIN(IF($E140="",TODAY()-29,$E140),TODAY()-29))-YEAR($D140))*12+MONTH(MIN(IF($E140="",TODAY()-29,$E140),TODAY()-29))-MONTH($D140)+IF(MIN(IF($E140="",TODAY()-29,$E140),TODAY()-29)&gt;=EOMONTH(MIN(IF($E140="",TODAY()-29,$E140),TODAY()-29),0),1,0)),MAX(0,INT((MIN(IF($E140="",TODAY()-29,$E140),TODAY()-29)-($D140+MOD(SISTEM!$F$8-WEEKDAY($D140,2),7)))/7)+1)))</f>
        <v/>
      </c>
      <c r="M140" s="223">
        <f>IF($G140&gt;0,$I140/$G140,0)</f>
        <v/>
      </c>
      <c r="N140" s="113">
        <f>IF($C140="","",IF($B140="TANIMSIZ MÜŞTERİ","TANIMSIZ MÜŞTERİ",IF($F140="","MODEL SEÇİN",IF(OR($D140="",$G140&lt;=0),"EKSİK",IF(AND($E140&lt;&gt;"",$E140&lt;$D140),"TARİH HATASI",IF($H140="Pasif","KAPALI DÖNEM","UYGUN"))))))</f>
        <v/>
      </c>
      <c r="O140" s="224">
        <f>IF(OR($C140="",$D140="",$F140=""),"",IF($F140="Aylık",EOMONTH($D140,0),($D140+MOD(SISTEM!$F$8-WEEKDAY($D140,2),7))))</f>
        <v/>
      </c>
      <c r="P140" s="109" t="n"/>
      <c r="Q140" s="6" t="n"/>
      <c r="R140" s="6" t="n"/>
      <c r="S140" s="3">
        <f>IF($B140="","",$B140&amp;"|"&amp;COUNTIFS($B$7:$B140,$B140))</f>
        <v/>
      </c>
      <c r="T140" s="3">
        <f>IF($C140="","",UPPER(SUBSTITUTE(SUBSTITUTE(SUBSTITUTE(SUBSTITUTE(SUBSTITUTE(SUBSTITUTE(SUBSTITUTE(SUBSTITUTE(SUBSTITUTE(SUBSTITUTE(SUBSTITUTE(SUBSTITUTE(SUBSTITUTE(SUBSTITUTE(SUBSTITUTE(SUBSTITUTE(SUBSTITUTE(SUBSTITUTE(TRIM($C140),"'",""),"İ","I"),"ı","I"),"i","I"),"Ş","S"),"ş","S"),"Ğ","G"),"ğ","G"),"Ü","U"),"ü","U"),"Ö","O"),"ö","O"),"Ç","C"),"ç","C"),".",""),",","")," ",""),"-","")))</f>
        <v/>
      </c>
    </row>
    <row r="141">
      <c r="A141" s="6" t="n"/>
      <c r="B141" s="113">
        <f>IF($C141="","",IFERROR(INDEX(MUSTERILER!$B$7:$B$106,MATCH($T141,MUSTERILER!$T$7:$T$106,0)),IFERROR(INDEX(MUSTERILER!$B$7:$B$106,MATCH($C141,MUSTERILER!$B$7:$B$106,0)),IFERROR(INDEX(MUSTERILER!$B$7:$B$106,MATCH($T141&amp;"*",MUSTERILER!$T$7:$T$106,0)),"TANIMSIZ MÜŞTERİ"))))</f>
        <v/>
      </c>
      <c r="C141" s="109" t="n"/>
      <c r="D141" s="220" t="n"/>
      <c r="E141" s="220" t="n"/>
      <c r="F141" s="108" t="n"/>
      <c r="G141" s="221" t="n"/>
      <c r="H141" s="108" t="n"/>
      <c r="I141" s="222">
        <f>IF(OR($C141="",$D141="",$G141="",$F141=""),0,$G141*IF($F141="Aylık",MAX(0,(YEAR(MIN(IF($E141="",TODAY(),$E141),TODAY()))-YEAR($D141))*12+MONTH(MIN(IF($E141="",TODAY(),$E141),TODAY()))-MONTH($D141)+IF(MIN(IF($E141="",TODAY(),$E141),TODAY())&gt;=EOMONTH(MIN(IF($E141="",TODAY(),$E141),TODAY()),0),1,0)),MAX(0,INT((MIN(IF($E141="",TODAY(),$E141),TODAY())-($D141+MOD(SISTEM!$F$8-WEEKDAY($D141,2),7)))/7)+1)))</f>
        <v/>
      </c>
      <c r="J141" s="222">
        <f>IF(OR($C141="",$D141="",$G141="",$F141=""),0,$G141*IF($F141="Aylık",MAX(0,(YEAR(MIN(IF($E141="",TODAY()-8,$E141),TODAY()-8))-YEAR($D141))*12+MONTH(MIN(IF($E141="",TODAY()-8,$E141),TODAY()-8))-MONTH($D141)+IF(MIN(IF($E141="",TODAY()-8,$E141),TODAY()-8)&gt;=EOMONTH(MIN(IF($E141="",TODAY()-8,$E141),TODAY()-8),0),1,0)),MAX(0,INT((MIN(IF($E141="",TODAY()-8,$E141),TODAY()-8)-($D141+MOD(SISTEM!$F$8-WEEKDAY($D141,2),7)))/7)+1)))</f>
        <v/>
      </c>
      <c r="K141" s="222">
        <f>IF(OR($C141="",$D141="",$G141="",$F141=""),0,$G141*IF($F141="Aylık",MAX(0,(YEAR(MIN(IF($E141="",TODAY()-15,$E141),TODAY()-15))-YEAR($D141))*12+MONTH(MIN(IF($E141="",TODAY()-15,$E141),TODAY()-15))-MONTH($D141)+IF(MIN(IF($E141="",TODAY()-15,$E141),TODAY()-15)&gt;=EOMONTH(MIN(IF($E141="",TODAY()-15,$E141),TODAY()-15),0),1,0)),MAX(0,INT((MIN(IF($E141="",TODAY()-15,$E141),TODAY()-15)-($D141+MOD(SISTEM!$F$8-WEEKDAY($D141,2),7)))/7)+1)))</f>
        <v/>
      </c>
      <c r="L141" s="222">
        <f>IF(OR($C141="",$D141="",$G141="",$F141=""),0,$G141*IF($F141="Aylık",MAX(0,(YEAR(MIN(IF($E141="",TODAY()-29,$E141),TODAY()-29))-YEAR($D141))*12+MONTH(MIN(IF($E141="",TODAY()-29,$E141),TODAY()-29))-MONTH($D141)+IF(MIN(IF($E141="",TODAY()-29,$E141),TODAY()-29)&gt;=EOMONTH(MIN(IF($E141="",TODAY()-29,$E141),TODAY()-29),0),1,0)),MAX(0,INT((MIN(IF($E141="",TODAY()-29,$E141),TODAY()-29)-($D141+MOD(SISTEM!$F$8-WEEKDAY($D141,2),7)))/7)+1)))</f>
        <v/>
      </c>
      <c r="M141" s="223">
        <f>IF($G141&gt;0,$I141/$G141,0)</f>
        <v/>
      </c>
      <c r="N141" s="113">
        <f>IF($C141="","",IF($B141="TANIMSIZ MÜŞTERİ","TANIMSIZ MÜŞTERİ",IF($F141="","MODEL SEÇİN",IF(OR($D141="",$G141&lt;=0),"EKSİK",IF(AND($E141&lt;&gt;"",$E141&lt;$D141),"TARİH HATASI",IF($H141="Pasif","KAPALI DÖNEM","UYGUN"))))))</f>
        <v/>
      </c>
      <c r="O141" s="224">
        <f>IF(OR($C141="",$D141="",$F141=""),"",IF($F141="Aylık",EOMONTH($D141,0),($D141+MOD(SISTEM!$F$8-WEEKDAY($D141,2),7))))</f>
        <v/>
      </c>
      <c r="P141" s="109" t="n"/>
      <c r="Q141" s="6" t="n"/>
      <c r="R141" s="6" t="n"/>
      <c r="S141" s="3">
        <f>IF($B141="","",$B141&amp;"|"&amp;COUNTIFS($B$7:$B141,$B141))</f>
        <v/>
      </c>
      <c r="T141" s="3">
        <f>IF($C141="","",UPPER(SUBSTITUTE(SUBSTITUTE(SUBSTITUTE(SUBSTITUTE(SUBSTITUTE(SUBSTITUTE(SUBSTITUTE(SUBSTITUTE(SUBSTITUTE(SUBSTITUTE(SUBSTITUTE(SUBSTITUTE(SUBSTITUTE(SUBSTITUTE(SUBSTITUTE(SUBSTITUTE(SUBSTITUTE(SUBSTITUTE(TRIM($C141),"'",""),"İ","I"),"ı","I"),"i","I"),"Ş","S"),"ş","S"),"Ğ","G"),"ğ","G"),"Ü","U"),"ü","U"),"Ö","O"),"ö","O"),"Ç","C"),"ç","C"),".",""),",","")," ",""),"-","")))</f>
        <v/>
      </c>
    </row>
    <row r="142">
      <c r="A142" s="6" t="n"/>
      <c r="B142" s="113">
        <f>IF($C142="","",IFERROR(INDEX(MUSTERILER!$B$7:$B$106,MATCH($T142,MUSTERILER!$T$7:$T$106,0)),IFERROR(INDEX(MUSTERILER!$B$7:$B$106,MATCH($C142,MUSTERILER!$B$7:$B$106,0)),IFERROR(INDEX(MUSTERILER!$B$7:$B$106,MATCH($T142&amp;"*",MUSTERILER!$T$7:$T$106,0)),"TANIMSIZ MÜŞTERİ"))))</f>
        <v/>
      </c>
      <c r="C142" s="109" t="n"/>
      <c r="D142" s="220" t="n"/>
      <c r="E142" s="220" t="n"/>
      <c r="F142" s="108" t="n"/>
      <c r="G142" s="221" t="n"/>
      <c r="H142" s="108" t="n"/>
      <c r="I142" s="222">
        <f>IF(OR($C142="",$D142="",$G142="",$F142=""),0,$G142*IF($F142="Aylık",MAX(0,(YEAR(MIN(IF($E142="",TODAY(),$E142),TODAY()))-YEAR($D142))*12+MONTH(MIN(IF($E142="",TODAY(),$E142),TODAY()))-MONTH($D142)+IF(MIN(IF($E142="",TODAY(),$E142),TODAY())&gt;=EOMONTH(MIN(IF($E142="",TODAY(),$E142),TODAY()),0),1,0)),MAX(0,INT((MIN(IF($E142="",TODAY(),$E142),TODAY())-($D142+MOD(SISTEM!$F$8-WEEKDAY($D142,2),7)))/7)+1)))</f>
        <v/>
      </c>
      <c r="J142" s="222">
        <f>IF(OR($C142="",$D142="",$G142="",$F142=""),0,$G142*IF($F142="Aylık",MAX(0,(YEAR(MIN(IF($E142="",TODAY()-8,$E142),TODAY()-8))-YEAR($D142))*12+MONTH(MIN(IF($E142="",TODAY()-8,$E142),TODAY()-8))-MONTH($D142)+IF(MIN(IF($E142="",TODAY()-8,$E142),TODAY()-8)&gt;=EOMONTH(MIN(IF($E142="",TODAY()-8,$E142),TODAY()-8),0),1,0)),MAX(0,INT((MIN(IF($E142="",TODAY()-8,$E142),TODAY()-8)-($D142+MOD(SISTEM!$F$8-WEEKDAY($D142,2),7)))/7)+1)))</f>
        <v/>
      </c>
      <c r="K142" s="222">
        <f>IF(OR($C142="",$D142="",$G142="",$F142=""),0,$G142*IF($F142="Aylık",MAX(0,(YEAR(MIN(IF($E142="",TODAY()-15,$E142),TODAY()-15))-YEAR($D142))*12+MONTH(MIN(IF($E142="",TODAY()-15,$E142),TODAY()-15))-MONTH($D142)+IF(MIN(IF($E142="",TODAY()-15,$E142),TODAY()-15)&gt;=EOMONTH(MIN(IF($E142="",TODAY()-15,$E142),TODAY()-15),0),1,0)),MAX(0,INT((MIN(IF($E142="",TODAY()-15,$E142),TODAY()-15)-($D142+MOD(SISTEM!$F$8-WEEKDAY($D142,2),7)))/7)+1)))</f>
        <v/>
      </c>
      <c r="L142" s="222">
        <f>IF(OR($C142="",$D142="",$G142="",$F142=""),0,$G142*IF($F142="Aylık",MAX(0,(YEAR(MIN(IF($E142="",TODAY()-29,$E142),TODAY()-29))-YEAR($D142))*12+MONTH(MIN(IF($E142="",TODAY()-29,$E142),TODAY()-29))-MONTH($D142)+IF(MIN(IF($E142="",TODAY()-29,$E142),TODAY()-29)&gt;=EOMONTH(MIN(IF($E142="",TODAY()-29,$E142),TODAY()-29),0),1,0)),MAX(0,INT((MIN(IF($E142="",TODAY()-29,$E142),TODAY()-29)-($D142+MOD(SISTEM!$F$8-WEEKDAY($D142,2),7)))/7)+1)))</f>
        <v/>
      </c>
      <c r="M142" s="223">
        <f>IF($G142&gt;0,$I142/$G142,0)</f>
        <v/>
      </c>
      <c r="N142" s="113">
        <f>IF($C142="","",IF($B142="TANIMSIZ MÜŞTERİ","TANIMSIZ MÜŞTERİ",IF($F142="","MODEL SEÇİN",IF(OR($D142="",$G142&lt;=0),"EKSİK",IF(AND($E142&lt;&gt;"",$E142&lt;$D142),"TARİH HATASI",IF($H142="Pasif","KAPALI DÖNEM","UYGUN"))))))</f>
        <v/>
      </c>
      <c r="O142" s="224">
        <f>IF(OR($C142="",$D142="",$F142=""),"",IF($F142="Aylık",EOMONTH($D142,0),($D142+MOD(SISTEM!$F$8-WEEKDAY($D142,2),7))))</f>
        <v/>
      </c>
      <c r="P142" s="109" t="n"/>
      <c r="Q142" s="6" t="n"/>
      <c r="R142" s="6" t="n"/>
      <c r="S142" s="3">
        <f>IF($B142="","",$B142&amp;"|"&amp;COUNTIFS($B$7:$B142,$B142))</f>
        <v/>
      </c>
      <c r="T142" s="3">
        <f>IF($C142="","",UPPER(SUBSTITUTE(SUBSTITUTE(SUBSTITUTE(SUBSTITUTE(SUBSTITUTE(SUBSTITUTE(SUBSTITUTE(SUBSTITUTE(SUBSTITUTE(SUBSTITUTE(SUBSTITUTE(SUBSTITUTE(SUBSTITUTE(SUBSTITUTE(SUBSTITUTE(SUBSTITUTE(SUBSTITUTE(SUBSTITUTE(TRIM($C142),"'",""),"İ","I"),"ı","I"),"i","I"),"Ş","S"),"ş","S"),"Ğ","G"),"ğ","G"),"Ü","U"),"ü","U"),"Ö","O"),"ö","O"),"Ç","C"),"ç","C"),".",""),",","")," ",""),"-","")))</f>
        <v/>
      </c>
    </row>
    <row r="143">
      <c r="A143" s="6" t="n"/>
      <c r="B143" s="113">
        <f>IF($C143="","",IFERROR(INDEX(MUSTERILER!$B$7:$B$106,MATCH($T143,MUSTERILER!$T$7:$T$106,0)),IFERROR(INDEX(MUSTERILER!$B$7:$B$106,MATCH($C143,MUSTERILER!$B$7:$B$106,0)),IFERROR(INDEX(MUSTERILER!$B$7:$B$106,MATCH($T143&amp;"*",MUSTERILER!$T$7:$T$106,0)),"TANIMSIZ MÜŞTERİ"))))</f>
        <v/>
      </c>
      <c r="C143" s="109" t="n"/>
      <c r="D143" s="220" t="n"/>
      <c r="E143" s="220" t="n"/>
      <c r="F143" s="108" t="n"/>
      <c r="G143" s="221" t="n"/>
      <c r="H143" s="108" t="n"/>
      <c r="I143" s="222">
        <f>IF(OR($C143="",$D143="",$G143="",$F143=""),0,$G143*IF($F143="Aylık",MAX(0,(YEAR(MIN(IF($E143="",TODAY(),$E143),TODAY()))-YEAR($D143))*12+MONTH(MIN(IF($E143="",TODAY(),$E143),TODAY()))-MONTH($D143)+IF(MIN(IF($E143="",TODAY(),$E143),TODAY())&gt;=EOMONTH(MIN(IF($E143="",TODAY(),$E143),TODAY()),0),1,0)),MAX(0,INT((MIN(IF($E143="",TODAY(),$E143),TODAY())-($D143+MOD(SISTEM!$F$8-WEEKDAY($D143,2),7)))/7)+1)))</f>
        <v/>
      </c>
      <c r="J143" s="222">
        <f>IF(OR($C143="",$D143="",$G143="",$F143=""),0,$G143*IF($F143="Aylık",MAX(0,(YEAR(MIN(IF($E143="",TODAY()-8,$E143),TODAY()-8))-YEAR($D143))*12+MONTH(MIN(IF($E143="",TODAY()-8,$E143),TODAY()-8))-MONTH($D143)+IF(MIN(IF($E143="",TODAY()-8,$E143),TODAY()-8)&gt;=EOMONTH(MIN(IF($E143="",TODAY()-8,$E143),TODAY()-8),0),1,0)),MAX(0,INT((MIN(IF($E143="",TODAY()-8,$E143),TODAY()-8)-($D143+MOD(SISTEM!$F$8-WEEKDAY($D143,2),7)))/7)+1)))</f>
        <v/>
      </c>
      <c r="K143" s="222">
        <f>IF(OR($C143="",$D143="",$G143="",$F143=""),0,$G143*IF($F143="Aylık",MAX(0,(YEAR(MIN(IF($E143="",TODAY()-15,$E143),TODAY()-15))-YEAR($D143))*12+MONTH(MIN(IF($E143="",TODAY()-15,$E143),TODAY()-15))-MONTH($D143)+IF(MIN(IF($E143="",TODAY()-15,$E143),TODAY()-15)&gt;=EOMONTH(MIN(IF($E143="",TODAY()-15,$E143),TODAY()-15),0),1,0)),MAX(0,INT((MIN(IF($E143="",TODAY()-15,$E143),TODAY()-15)-($D143+MOD(SISTEM!$F$8-WEEKDAY($D143,2),7)))/7)+1)))</f>
        <v/>
      </c>
      <c r="L143" s="222">
        <f>IF(OR($C143="",$D143="",$G143="",$F143=""),0,$G143*IF($F143="Aylık",MAX(0,(YEAR(MIN(IF($E143="",TODAY()-29,$E143),TODAY()-29))-YEAR($D143))*12+MONTH(MIN(IF($E143="",TODAY()-29,$E143),TODAY()-29))-MONTH($D143)+IF(MIN(IF($E143="",TODAY()-29,$E143),TODAY()-29)&gt;=EOMONTH(MIN(IF($E143="",TODAY()-29,$E143),TODAY()-29),0),1,0)),MAX(0,INT((MIN(IF($E143="",TODAY()-29,$E143),TODAY()-29)-($D143+MOD(SISTEM!$F$8-WEEKDAY($D143,2),7)))/7)+1)))</f>
        <v/>
      </c>
      <c r="M143" s="223">
        <f>IF($G143&gt;0,$I143/$G143,0)</f>
        <v/>
      </c>
      <c r="N143" s="113">
        <f>IF($C143="","",IF($B143="TANIMSIZ MÜŞTERİ","TANIMSIZ MÜŞTERİ",IF($F143="","MODEL SEÇİN",IF(OR($D143="",$G143&lt;=0),"EKSİK",IF(AND($E143&lt;&gt;"",$E143&lt;$D143),"TARİH HATASI",IF($H143="Pasif","KAPALI DÖNEM","UYGUN"))))))</f>
        <v/>
      </c>
      <c r="O143" s="224">
        <f>IF(OR($C143="",$D143="",$F143=""),"",IF($F143="Aylık",EOMONTH($D143,0),($D143+MOD(SISTEM!$F$8-WEEKDAY($D143,2),7))))</f>
        <v/>
      </c>
      <c r="P143" s="109" t="n"/>
      <c r="Q143" s="6" t="n"/>
      <c r="R143" s="6" t="n"/>
      <c r="S143" s="3">
        <f>IF($B143="","",$B143&amp;"|"&amp;COUNTIFS($B$7:$B143,$B143))</f>
        <v/>
      </c>
      <c r="T143" s="3">
        <f>IF($C143="","",UPPER(SUBSTITUTE(SUBSTITUTE(SUBSTITUTE(SUBSTITUTE(SUBSTITUTE(SUBSTITUTE(SUBSTITUTE(SUBSTITUTE(SUBSTITUTE(SUBSTITUTE(SUBSTITUTE(SUBSTITUTE(SUBSTITUTE(SUBSTITUTE(SUBSTITUTE(SUBSTITUTE(SUBSTITUTE(SUBSTITUTE(TRIM($C143),"'",""),"İ","I"),"ı","I"),"i","I"),"Ş","S"),"ş","S"),"Ğ","G"),"ğ","G"),"Ü","U"),"ü","U"),"Ö","O"),"ö","O"),"Ç","C"),"ç","C"),".",""),",","")," ",""),"-","")))</f>
        <v/>
      </c>
    </row>
    <row r="144">
      <c r="A144" s="6" t="n"/>
      <c r="B144" s="113">
        <f>IF($C144="","",IFERROR(INDEX(MUSTERILER!$B$7:$B$106,MATCH($T144,MUSTERILER!$T$7:$T$106,0)),IFERROR(INDEX(MUSTERILER!$B$7:$B$106,MATCH($C144,MUSTERILER!$B$7:$B$106,0)),IFERROR(INDEX(MUSTERILER!$B$7:$B$106,MATCH($T144&amp;"*",MUSTERILER!$T$7:$T$106,0)),"TANIMSIZ MÜŞTERİ"))))</f>
        <v/>
      </c>
      <c r="C144" s="109" t="n"/>
      <c r="D144" s="220" t="n"/>
      <c r="E144" s="220" t="n"/>
      <c r="F144" s="108" t="n"/>
      <c r="G144" s="221" t="n"/>
      <c r="H144" s="108" t="n"/>
      <c r="I144" s="222">
        <f>IF(OR($C144="",$D144="",$G144="",$F144=""),0,$G144*IF($F144="Aylık",MAX(0,(YEAR(MIN(IF($E144="",TODAY(),$E144),TODAY()))-YEAR($D144))*12+MONTH(MIN(IF($E144="",TODAY(),$E144),TODAY()))-MONTH($D144)+IF(MIN(IF($E144="",TODAY(),$E144),TODAY())&gt;=EOMONTH(MIN(IF($E144="",TODAY(),$E144),TODAY()),0),1,0)),MAX(0,INT((MIN(IF($E144="",TODAY(),$E144),TODAY())-($D144+MOD(SISTEM!$F$8-WEEKDAY($D144,2),7)))/7)+1)))</f>
        <v/>
      </c>
      <c r="J144" s="222">
        <f>IF(OR($C144="",$D144="",$G144="",$F144=""),0,$G144*IF($F144="Aylık",MAX(0,(YEAR(MIN(IF($E144="",TODAY()-8,$E144),TODAY()-8))-YEAR($D144))*12+MONTH(MIN(IF($E144="",TODAY()-8,$E144),TODAY()-8))-MONTH($D144)+IF(MIN(IF($E144="",TODAY()-8,$E144),TODAY()-8)&gt;=EOMONTH(MIN(IF($E144="",TODAY()-8,$E144),TODAY()-8),0),1,0)),MAX(0,INT((MIN(IF($E144="",TODAY()-8,$E144),TODAY()-8)-($D144+MOD(SISTEM!$F$8-WEEKDAY($D144,2),7)))/7)+1)))</f>
        <v/>
      </c>
      <c r="K144" s="222">
        <f>IF(OR($C144="",$D144="",$G144="",$F144=""),0,$G144*IF($F144="Aylık",MAX(0,(YEAR(MIN(IF($E144="",TODAY()-15,$E144),TODAY()-15))-YEAR($D144))*12+MONTH(MIN(IF($E144="",TODAY()-15,$E144),TODAY()-15))-MONTH($D144)+IF(MIN(IF($E144="",TODAY()-15,$E144),TODAY()-15)&gt;=EOMONTH(MIN(IF($E144="",TODAY()-15,$E144),TODAY()-15),0),1,0)),MAX(0,INT((MIN(IF($E144="",TODAY()-15,$E144),TODAY()-15)-($D144+MOD(SISTEM!$F$8-WEEKDAY($D144,2),7)))/7)+1)))</f>
        <v/>
      </c>
      <c r="L144" s="222">
        <f>IF(OR($C144="",$D144="",$G144="",$F144=""),0,$G144*IF($F144="Aylık",MAX(0,(YEAR(MIN(IF($E144="",TODAY()-29,$E144),TODAY()-29))-YEAR($D144))*12+MONTH(MIN(IF($E144="",TODAY()-29,$E144),TODAY()-29))-MONTH($D144)+IF(MIN(IF($E144="",TODAY()-29,$E144),TODAY()-29)&gt;=EOMONTH(MIN(IF($E144="",TODAY()-29,$E144),TODAY()-29),0),1,0)),MAX(0,INT((MIN(IF($E144="",TODAY()-29,$E144),TODAY()-29)-($D144+MOD(SISTEM!$F$8-WEEKDAY($D144,2),7)))/7)+1)))</f>
        <v/>
      </c>
      <c r="M144" s="223">
        <f>IF($G144&gt;0,$I144/$G144,0)</f>
        <v/>
      </c>
      <c r="N144" s="113">
        <f>IF($C144="","",IF($B144="TANIMSIZ MÜŞTERİ","TANIMSIZ MÜŞTERİ",IF($F144="","MODEL SEÇİN",IF(OR($D144="",$G144&lt;=0),"EKSİK",IF(AND($E144&lt;&gt;"",$E144&lt;$D144),"TARİH HATASI",IF($H144="Pasif","KAPALI DÖNEM","UYGUN"))))))</f>
        <v/>
      </c>
      <c r="O144" s="224">
        <f>IF(OR($C144="",$D144="",$F144=""),"",IF($F144="Aylık",EOMONTH($D144,0),($D144+MOD(SISTEM!$F$8-WEEKDAY($D144,2),7))))</f>
        <v/>
      </c>
      <c r="P144" s="109" t="n"/>
      <c r="Q144" s="6" t="n"/>
      <c r="R144" s="6" t="n"/>
      <c r="S144" s="3">
        <f>IF($B144="","",$B144&amp;"|"&amp;COUNTIFS($B$7:$B144,$B144))</f>
        <v/>
      </c>
      <c r="T144" s="3">
        <f>IF($C144="","",UPPER(SUBSTITUTE(SUBSTITUTE(SUBSTITUTE(SUBSTITUTE(SUBSTITUTE(SUBSTITUTE(SUBSTITUTE(SUBSTITUTE(SUBSTITUTE(SUBSTITUTE(SUBSTITUTE(SUBSTITUTE(SUBSTITUTE(SUBSTITUTE(SUBSTITUTE(SUBSTITUTE(SUBSTITUTE(SUBSTITUTE(TRIM($C144),"'",""),"İ","I"),"ı","I"),"i","I"),"Ş","S"),"ş","S"),"Ğ","G"),"ğ","G"),"Ü","U"),"ü","U"),"Ö","O"),"ö","O"),"Ç","C"),"ç","C"),".",""),",","")," ",""),"-","")))</f>
        <v/>
      </c>
    </row>
    <row r="145">
      <c r="A145" s="6" t="n"/>
      <c r="B145" s="113">
        <f>IF($C145="","",IFERROR(INDEX(MUSTERILER!$B$7:$B$106,MATCH($T145,MUSTERILER!$T$7:$T$106,0)),IFERROR(INDEX(MUSTERILER!$B$7:$B$106,MATCH($C145,MUSTERILER!$B$7:$B$106,0)),IFERROR(INDEX(MUSTERILER!$B$7:$B$106,MATCH($T145&amp;"*",MUSTERILER!$T$7:$T$106,0)),"TANIMSIZ MÜŞTERİ"))))</f>
        <v/>
      </c>
      <c r="C145" s="109" t="n"/>
      <c r="D145" s="220" t="n"/>
      <c r="E145" s="220" t="n"/>
      <c r="F145" s="108" t="n"/>
      <c r="G145" s="221" t="n"/>
      <c r="H145" s="108" t="n"/>
      <c r="I145" s="222">
        <f>IF(OR($C145="",$D145="",$G145="",$F145=""),0,$G145*IF($F145="Aylık",MAX(0,(YEAR(MIN(IF($E145="",TODAY(),$E145),TODAY()))-YEAR($D145))*12+MONTH(MIN(IF($E145="",TODAY(),$E145),TODAY()))-MONTH($D145)+IF(MIN(IF($E145="",TODAY(),$E145),TODAY())&gt;=EOMONTH(MIN(IF($E145="",TODAY(),$E145),TODAY()),0),1,0)),MAX(0,INT((MIN(IF($E145="",TODAY(),$E145),TODAY())-($D145+MOD(SISTEM!$F$8-WEEKDAY($D145,2),7)))/7)+1)))</f>
        <v/>
      </c>
      <c r="J145" s="222">
        <f>IF(OR($C145="",$D145="",$G145="",$F145=""),0,$G145*IF($F145="Aylık",MAX(0,(YEAR(MIN(IF($E145="",TODAY()-8,$E145),TODAY()-8))-YEAR($D145))*12+MONTH(MIN(IF($E145="",TODAY()-8,$E145),TODAY()-8))-MONTH($D145)+IF(MIN(IF($E145="",TODAY()-8,$E145),TODAY()-8)&gt;=EOMONTH(MIN(IF($E145="",TODAY()-8,$E145),TODAY()-8),0),1,0)),MAX(0,INT((MIN(IF($E145="",TODAY()-8,$E145),TODAY()-8)-($D145+MOD(SISTEM!$F$8-WEEKDAY($D145,2),7)))/7)+1)))</f>
        <v/>
      </c>
      <c r="K145" s="222">
        <f>IF(OR($C145="",$D145="",$G145="",$F145=""),0,$G145*IF($F145="Aylık",MAX(0,(YEAR(MIN(IF($E145="",TODAY()-15,$E145),TODAY()-15))-YEAR($D145))*12+MONTH(MIN(IF($E145="",TODAY()-15,$E145),TODAY()-15))-MONTH($D145)+IF(MIN(IF($E145="",TODAY()-15,$E145),TODAY()-15)&gt;=EOMONTH(MIN(IF($E145="",TODAY()-15,$E145),TODAY()-15),0),1,0)),MAX(0,INT((MIN(IF($E145="",TODAY()-15,$E145),TODAY()-15)-($D145+MOD(SISTEM!$F$8-WEEKDAY($D145,2),7)))/7)+1)))</f>
        <v/>
      </c>
      <c r="L145" s="222">
        <f>IF(OR($C145="",$D145="",$G145="",$F145=""),0,$G145*IF($F145="Aylık",MAX(0,(YEAR(MIN(IF($E145="",TODAY()-29,$E145),TODAY()-29))-YEAR($D145))*12+MONTH(MIN(IF($E145="",TODAY()-29,$E145),TODAY()-29))-MONTH($D145)+IF(MIN(IF($E145="",TODAY()-29,$E145),TODAY()-29)&gt;=EOMONTH(MIN(IF($E145="",TODAY()-29,$E145),TODAY()-29),0),1,0)),MAX(0,INT((MIN(IF($E145="",TODAY()-29,$E145),TODAY()-29)-($D145+MOD(SISTEM!$F$8-WEEKDAY($D145,2),7)))/7)+1)))</f>
        <v/>
      </c>
      <c r="M145" s="223">
        <f>IF($G145&gt;0,$I145/$G145,0)</f>
        <v/>
      </c>
      <c r="N145" s="113">
        <f>IF($C145="","",IF($B145="TANIMSIZ MÜŞTERİ","TANIMSIZ MÜŞTERİ",IF($F145="","MODEL SEÇİN",IF(OR($D145="",$G145&lt;=0),"EKSİK",IF(AND($E145&lt;&gt;"",$E145&lt;$D145),"TARİH HATASI",IF($H145="Pasif","KAPALI DÖNEM","UYGUN"))))))</f>
        <v/>
      </c>
      <c r="O145" s="224">
        <f>IF(OR($C145="",$D145="",$F145=""),"",IF($F145="Aylık",EOMONTH($D145,0),($D145+MOD(SISTEM!$F$8-WEEKDAY($D145,2),7))))</f>
        <v/>
      </c>
      <c r="P145" s="109" t="n"/>
      <c r="Q145" s="6" t="n"/>
      <c r="R145" s="6" t="n"/>
      <c r="S145" s="3">
        <f>IF($B145="","",$B145&amp;"|"&amp;COUNTIFS($B$7:$B145,$B145))</f>
        <v/>
      </c>
      <c r="T145" s="3">
        <f>IF($C145="","",UPPER(SUBSTITUTE(SUBSTITUTE(SUBSTITUTE(SUBSTITUTE(SUBSTITUTE(SUBSTITUTE(SUBSTITUTE(SUBSTITUTE(SUBSTITUTE(SUBSTITUTE(SUBSTITUTE(SUBSTITUTE(SUBSTITUTE(SUBSTITUTE(SUBSTITUTE(SUBSTITUTE(SUBSTITUTE(SUBSTITUTE(TRIM($C145),"'",""),"İ","I"),"ı","I"),"i","I"),"Ş","S"),"ş","S"),"Ğ","G"),"ğ","G"),"Ü","U"),"ü","U"),"Ö","O"),"ö","O"),"Ç","C"),"ç","C"),".",""),",","")," ",""),"-","")))</f>
        <v/>
      </c>
    </row>
    <row r="146">
      <c r="A146" s="6" t="n"/>
      <c r="B146" s="113">
        <f>IF($C146="","",IFERROR(INDEX(MUSTERILER!$B$7:$B$106,MATCH($T146,MUSTERILER!$T$7:$T$106,0)),IFERROR(INDEX(MUSTERILER!$B$7:$B$106,MATCH($C146,MUSTERILER!$B$7:$B$106,0)),IFERROR(INDEX(MUSTERILER!$B$7:$B$106,MATCH($T146&amp;"*",MUSTERILER!$T$7:$T$106,0)),"TANIMSIZ MÜŞTERİ"))))</f>
        <v/>
      </c>
      <c r="C146" s="109" t="n"/>
      <c r="D146" s="220" t="n"/>
      <c r="E146" s="220" t="n"/>
      <c r="F146" s="108" t="n"/>
      <c r="G146" s="221" t="n"/>
      <c r="H146" s="108" t="n"/>
      <c r="I146" s="222">
        <f>IF(OR($C146="",$D146="",$G146="",$F146=""),0,$G146*IF($F146="Aylık",MAX(0,(YEAR(MIN(IF($E146="",TODAY(),$E146),TODAY()))-YEAR($D146))*12+MONTH(MIN(IF($E146="",TODAY(),$E146),TODAY()))-MONTH($D146)+IF(MIN(IF($E146="",TODAY(),$E146),TODAY())&gt;=EOMONTH(MIN(IF($E146="",TODAY(),$E146),TODAY()),0),1,0)),MAX(0,INT((MIN(IF($E146="",TODAY(),$E146),TODAY())-($D146+MOD(SISTEM!$F$8-WEEKDAY($D146,2),7)))/7)+1)))</f>
        <v/>
      </c>
      <c r="J146" s="222">
        <f>IF(OR($C146="",$D146="",$G146="",$F146=""),0,$G146*IF($F146="Aylık",MAX(0,(YEAR(MIN(IF($E146="",TODAY()-8,$E146),TODAY()-8))-YEAR($D146))*12+MONTH(MIN(IF($E146="",TODAY()-8,$E146),TODAY()-8))-MONTH($D146)+IF(MIN(IF($E146="",TODAY()-8,$E146),TODAY()-8)&gt;=EOMONTH(MIN(IF($E146="",TODAY()-8,$E146),TODAY()-8),0),1,0)),MAX(0,INT((MIN(IF($E146="",TODAY()-8,$E146),TODAY()-8)-($D146+MOD(SISTEM!$F$8-WEEKDAY($D146,2),7)))/7)+1)))</f>
        <v/>
      </c>
      <c r="K146" s="222">
        <f>IF(OR($C146="",$D146="",$G146="",$F146=""),0,$G146*IF($F146="Aylık",MAX(0,(YEAR(MIN(IF($E146="",TODAY()-15,$E146),TODAY()-15))-YEAR($D146))*12+MONTH(MIN(IF($E146="",TODAY()-15,$E146),TODAY()-15))-MONTH($D146)+IF(MIN(IF($E146="",TODAY()-15,$E146),TODAY()-15)&gt;=EOMONTH(MIN(IF($E146="",TODAY()-15,$E146),TODAY()-15),0),1,0)),MAX(0,INT((MIN(IF($E146="",TODAY()-15,$E146),TODAY()-15)-($D146+MOD(SISTEM!$F$8-WEEKDAY($D146,2),7)))/7)+1)))</f>
        <v/>
      </c>
      <c r="L146" s="222">
        <f>IF(OR($C146="",$D146="",$G146="",$F146=""),0,$G146*IF($F146="Aylık",MAX(0,(YEAR(MIN(IF($E146="",TODAY()-29,$E146),TODAY()-29))-YEAR($D146))*12+MONTH(MIN(IF($E146="",TODAY()-29,$E146),TODAY()-29))-MONTH($D146)+IF(MIN(IF($E146="",TODAY()-29,$E146),TODAY()-29)&gt;=EOMONTH(MIN(IF($E146="",TODAY()-29,$E146),TODAY()-29),0),1,0)),MAX(0,INT((MIN(IF($E146="",TODAY()-29,$E146),TODAY()-29)-($D146+MOD(SISTEM!$F$8-WEEKDAY($D146,2),7)))/7)+1)))</f>
        <v/>
      </c>
      <c r="M146" s="223">
        <f>IF($G146&gt;0,$I146/$G146,0)</f>
        <v/>
      </c>
      <c r="N146" s="113">
        <f>IF($C146="","",IF($B146="TANIMSIZ MÜŞTERİ","TANIMSIZ MÜŞTERİ",IF($F146="","MODEL SEÇİN",IF(OR($D146="",$G146&lt;=0),"EKSİK",IF(AND($E146&lt;&gt;"",$E146&lt;$D146),"TARİH HATASI",IF($H146="Pasif","KAPALI DÖNEM","UYGUN"))))))</f>
        <v/>
      </c>
      <c r="O146" s="224">
        <f>IF(OR($C146="",$D146="",$F146=""),"",IF($F146="Aylık",EOMONTH($D146,0),($D146+MOD(SISTEM!$F$8-WEEKDAY($D146,2),7))))</f>
        <v/>
      </c>
      <c r="P146" s="109" t="n"/>
      <c r="Q146" s="6" t="n"/>
      <c r="R146" s="6" t="n"/>
      <c r="S146" s="3">
        <f>IF($B146="","",$B146&amp;"|"&amp;COUNTIFS($B$7:$B146,$B146))</f>
        <v/>
      </c>
      <c r="T146" s="3">
        <f>IF($C146="","",UPPER(SUBSTITUTE(SUBSTITUTE(SUBSTITUTE(SUBSTITUTE(SUBSTITUTE(SUBSTITUTE(SUBSTITUTE(SUBSTITUTE(SUBSTITUTE(SUBSTITUTE(SUBSTITUTE(SUBSTITUTE(SUBSTITUTE(SUBSTITUTE(SUBSTITUTE(SUBSTITUTE(SUBSTITUTE(SUBSTITUTE(TRIM($C146),"'",""),"İ","I"),"ı","I"),"i","I"),"Ş","S"),"ş","S"),"Ğ","G"),"ğ","G"),"Ü","U"),"ü","U"),"Ö","O"),"ö","O"),"Ç","C"),"ç","C"),".",""),",","")," ",""),"-","")))</f>
        <v/>
      </c>
    </row>
    <row r="147">
      <c r="A147" s="6" t="n"/>
      <c r="B147" s="113">
        <f>IF($C147="","",IFERROR(INDEX(MUSTERILER!$B$7:$B$106,MATCH($T147,MUSTERILER!$T$7:$T$106,0)),IFERROR(INDEX(MUSTERILER!$B$7:$B$106,MATCH($C147,MUSTERILER!$B$7:$B$106,0)),IFERROR(INDEX(MUSTERILER!$B$7:$B$106,MATCH($T147&amp;"*",MUSTERILER!$T$7:$T$106,0)),"TANIMSIZ MÜŞTERİ"))))</f>
        <v/>
      </c>
      <c r="C147" s="109" t="n"/>
      <c r="D147" s="220" t="n"/>
      <c r="E147" s="220" t="n"/>
      <c r="F147" s="108" t="n"/>
      <c r="G147" s="221" t="n"/>
      <c r="H147" s="108" t="n"/>
      <c r="I147" s="222">
        <f>IF(OR($C147="",$D147="",$G147="",$F147=""),0,$G147*IF($F147="Aylık",MAX(0,(YEAR(MIN(IF($E147="",TODAY(),$E147),TODAY()))-YEAR($D147))*12+MONTH(MIN(IF($E147="",TODAY(),$E147),TODAY()))-MONTH($D147)+IF(MIN(IF($E147="",TODAY(),$E147),TODAY())&gt;=EOMONTH(MIN(IF($E147="",TODAY(),$E147),TODAY()),0),1,0)),MAX(0,INT((MIN(IF($E147="",TODAY(),$E147),TODAY())-($D147+MOD(SISTEM!$F$8-WEEKDAY($D147,2),7)))/7)+1)))</f>
        <v/>
      </c>
      <c r="J147" s="222">
        <f>IF(OR($C147="",$D147="",$G147="",$F147=""),0,$G147*IF($F147="Aylık",MAX(0,(YEAR(MIN(IF($E147="",TODAY()-8,$E147),TODAY()-8))-YEAR($D147))*12+MONTH(MIN(IF($E147="",TODAY()-8,$E147),TODAY()-8))-MONTH($D147)+IF(MIN(IF($E147="",TODAY()-8,$E147),TODAY()-8)&gt;=EOMONTH(MIN(IF($E147="",TODAY()-8,$E147),TODAY()-8),0),1,0)),MAX(0,INT((MIN(IF($E147="",TODAY()-8,$E147),TODAY()-8)-($D147+MOD(SISTEM!$F$8-WEEKDAY($D147,2),7)))/7)+1)))</f>
        <v/>
      </c>
      <c r="K147" s="222">
        <f>IF(OR($C147="",$D147="",$G147="",$F147=""),0,$G147*IF($F147="Aylık",MAX(0,(YEAR(MIN(IF($E147="",TODAY()-15,$E147),TODAY()-15))-YEAR($D147))*12+MONTH(MIN(IF($E147="",TODAY()-15,$E147),TODAY()-15))-MONTH($D147)+IF(MIN(IF($E147="",TODAY()-15,$E147),TODAY()-15)&gt;=EOMONTH(MIN(IF($E147="",TODAY()-15,$E147),TODAY()-15),0),1,0)),MAX(0,INT((MIN(IF($E147="",TODAY()-15,$E147),TODAY()-15)-($D147+MOD(SISTEM!$F$8-WEEKDAY($D147,2),7)))/7)+1)))</f>
        <v/>
      </c>
      <c r="L147" s="222">
        <f>IF(OR($C147="",$D147="",$G147="",$F147=""),0,$G147*IF($F147="Aylık",MAX(0,(YEAR(MIN(IF($E147="",TODAY()-29,$E147),TODAY()-29))-YEAR($D147))*12+MONTH(MIN(IF($E147="",TODAY()-29,$E147),TODAY()-29))-MONTH($D147)+IF(MIN(IF($E147="",TODAY()-29,$E147),TODAY()-29)&gt;=EOMONTH(MIN(IF($E147="",TODAY()-29,$E147),TODAY()-29),0),1,0)),MAX(0,INT((MIN(IF($E147="",TODAY()-29,$E147),TODAY()-29)-($D147+MOD(SISTEM!$F$8-WEEKDAY($D147,2),7)))/7)+1)))</f>
        <v/>
      </c>
      <c r="M147" s="223">
        <f>IF($G147&gt;0,$I147/$G147,0)</f>
        <v/>
      </c>
      <c r="N147" s="113">
        <f>IF($C147="","",IF($B147="TANIMSIZ MÜŞTERİ","TANIMSIZ MÜŞTERİ",IF($F147="","MODEL SEÇİN",IF(OR($D147="",$G147&lt;=0),"EKSİK",IF(AND($E147&lt;&gt;"",$E147&lt;$D147),"TARİH HATASI",IF($H147="Pasif","KAPALI DÖNEM","UYGUN"))))))</f>
        <v/>
      </c>
      <c r="O147" s="224">
        <f>IF(OR($C147="",$D147="",$F147=""),"",IF($F147="Aylık",EOMONTH($D147,0),($D147+MOD(SISTEM!$F$8-WEEKDAY($D147,2),7))))</f>
        <v/>
      </c>
      <c r="P147" s="109" t="n"/>
      <c r="Q147" s="6" t="n"/>
      <c r="R147" s="6" t="n"/>
      <c r="S147" s="3">
        <f>IF($B147="","",$B147&amp;"|"&amp;COUNTIFS($B$7:$B147,$B147))</f>
        <v/>
      </c>
      <c r="T147" s="3">
        <f>IF($C147="","",UPPER(SUBSTITUTE(SUBSTITUTE(SUBSTITUTE(SUBSTITUTE(SUBSTITUTE(SUBSTITUTE(SUBSTITUTE(SUBSTITUTE(SUBSTITUTE(SUBSTITUTE(SUBSTITUTE(SUBSTITUTE(SUBSTITUTE(SUBSTITUTE(SUBSTITUTE(SUBSTITUTE(SUBSTITUTE(SUBSTITUTE(TRIM($C147),"'",""),"İ","I"),"ı","I"),"i","I"),"Ş","S"),"ş","S"),"Ğ","G"),"ğ","G"),"Ü","U"),"ü","U"),"Ö","O"),"ö","O"),"Ç","C"),"ç","C"),".",""),",","")," ",""),"-","")))</f>
        <v/>
      </c>
    </row>
    <row r="148">
      <c r="A148" s="6" t="n"/>
      <c r="B148" s="113">
        <f>IF($C148="","",IFERROR(INDEX(MUSTERILER!$B$7:$B$106,MATCH($T148,MUSTERILER!$T$7:$T$106,0)),IFERROR(INDEX(MUSTERILER!$B$7:$B$106,MATCH($C148,MUSTERILER!$B$7:$B$106,0)),IFERROR(INDEX(MUSTERILER!$B$7:$B$106,MATCH($T148&amp;"*",MUSTERILER!$T$7:$T$106,0)),"TANIMSIZ MÜŞTERİ"))))</f>
        <v/>
      </c>
      <c r="C148" s="109" t="n"/>
      <c r="D148" s="220" t="n"/>
      <c r="E148" s="220" t="n"/>
      <c r="F148" s="108" t="n"/>
      <c r="G148" s="221" t="n"/>
      <c r="H148" s="108" t="n"/>
      <c r="I148" s="222">
        <f>IF(OR($C148="",$D148="",$G148="",$F148=""),0,$G148*IF($F148="Aylık",MAX(0,(YEAR(MIN(IF($E148="",TODAY(),$E148),TODAY()))-YEAR($D148))*12+MONTH(MIN(IF($E148="",TODAY(),$E148),TODAY()))-MONTH($D148)+IF(MIN(IF($E148="",TODAY(),$E148),TODAY())&gt;=EOMONTH(MIN(IF($E148="",TODAY(),$E148),TODAY()),0),1,0)),MAX(0,INT((MIN(IF($E148="",TODAY(),$E148),TODAY())-($D148+MOD(SISTEM!$F$8-WEEKDAY($D148,2),7)))/7)+1)))</f>
        <v/>
      </c>
      <c r="J148" s="222">
        <f>IF(OR($C148="",$D148="",$G148="",$F148=""),0,$G148*IF($F148="Aylık",MAX(0,(YEAR(MIN(IF($E148="",TODAY()-8,$E148),TODAY()-8))-YEAR($D148))*12+MONTH(MIN(IF($E148="",TODAY()-8,$E148),TODAY()-8))-MONTH($D148)+IF(MIN(IF($E148="",TODAY()-8,$E148),TODAY()-8)&gt;=EOMONTH(MIN(IF($E148="",TODAY()-8,$E148),TODAY()-8),0),1,0)),MAX(0,INT((MIN(IF($E148="",TODAY()-8,$E148),TODAY()-8)-($D148+MOD(SISTEM!$F$8-WEEKDAY($D148,2),7)))/7)+1)))</f>
        <v/>
      </c>
      <c r="K148" s="222">
        <f>IF(OR($C148="",$D148="",$G148="",$F148=""),0,$G148*IF($F148="Aylık",MAX(0,(YEAR(MIN(IF($E148="",TODAY()-15,$E148),TODAY()-15))-YEAR($D148))*12+MONTH(MIN(IF($E148="",TODAY()-15,$E148),TODAY()-15))-MONTH($D148)+IF(MIN(IF($E148="",TODAY()-15,$E148),TODAY()-15)&gt;=EOMONTH(MIN(IF($E148="",TODAY()-15,$E148),TODAY()-15),0),1,0)),MAX(0,INT((MIN(IF($E148="",TODAY()-15,$E148),TODAY()-15)-($D148+MOD(SISTEM!$F$8-WEEKDAY($D148,2),7)))/7)+1)))</f>
        <v/>
      </c>
      <c r="L148" s="222">
        <f>IF(OR($C148="",$D148="",$G148="",$F148=""),0,$G148*IF($F148="Aylık",MAX(0,(YEAR(MIN(IF($E148="",TODAY()-29,$E148),TODAY()-29))-YEAR($D148))*12+MONTH(MIN(IF($E148="",TODAY()-29,$E148),TODAY()-29))-MONTH($D148)+IF(MIN(IF($E148="",TODAY()-29,$E148),TODAY()-29)&gt;=EOMONTH(MIN(IF($E148="",TODAY()-29,$E148),TODAY()-29),0),1,0)),MAX(0,INT((MIN(IF($E148="",TODAY()-29,$E148),TODAY()-29)-($D148+MOD(SISTEM!$F$8-WEEKDAY($D148,2),7)))/7)+1)))</f>
        <v/>
      </c>
      <c r="M148" s="223">
        <f>IF($G148&gt;0,$I148/$G148,0)</f>
        <v/>
      </c>
      <c r="N148" s="113">
        <f>IF($C148="","",IF($B148="TANIMSIZ MÜŞTERİ","TANIMSIZ MÜŞTERİ",IF($F148="","MODEL SEÇİN",IF(OR($D148="",$G148&lt;=0),"EKSİK",IF(AND($E148&lt;&gt;"",$E148&lt;$D148),"TARİH HATASI",IF($H148="Pasif","KAPALI DÖNEM","UYGUN"))))))</f>
        <v/>
      </c>
      <c r="O148" s="224">
        <f>IF(OR($C148="",$D148="",$F148=""),"",IF($F148="Aylık",EOMONTH($D148,0),($D148+MOD(SISTEM!$F$8-WEEKDAY($D148,2),7))))</f>
        <v/>
      </c>
      <c r="P148" s="109" t="n"/>
      <c r="Q148" s="6" t="n"/>
      <c r="R148" s="6" t="n"/>
      <c r="S148" s="3">
        <f>IF($B148="","",$B148&amp;"|"&amp;COUNTIFS($B$7:$B148,$B148))</f>
        <v/>
      </c>
      <c r="T148" s="3">
        <f>IF($C148="","",UPPER(SUBSTITUTE(SUBSTITUTE(SUBSTITUTE(SUBSTITUTE(SUBSTITUTE(SUBSTITUTE(SUBSTITUTE(SUBSTITUTE(SUBSTITUTE(SUBSTITUTE(SUBSTITUTE(SUBSTITUTE(SUBSTITUTE(SUBSTITUTE(SUBSTITUTE(SUBSTITUTE(SUBSTITUTE(SUBSTITUTE(TRIM($C148),"'",""),"İ","I"),"ı","I"),"i","I"),"Ş","S"),"ş","S"),"Ğ","G"),"ğ","G"),"Ü","U"),"ü","U"),"Ö","O"),"ö","O"),"Ç","C"),"ç","C"),".",""),",","")," ",""),"-","")))</f>
        <v/>
      </c>
    </row>
    <row r="149">
      <c r="A149" s="6" t="n"/>
      <c r="B149" s="113">
        <f>IF($C149="","",IFERROR(INDEX(MUSTERILER!$B$7:$B$106,MATCH($T149,MUSTERILER!$T$7:$T$106,0)),IFERROR(INDEX(MUSTERILER!$B$7:$B$106,MATCH($C149,MUSTERILER!$B$7:$B$106,0)),IFERROR(INDEX(MUSTERILER!$B$7:$B$106,MATCH($T149&amp;"*",MUSTERILER!$T$7:$T$106,0)),"TANIMSIZ MÜŞTERİ"))))</f>
        <v/>
      </c>
      <c r="C149" s="109" t="n"/>
      <c r="D149" s="220" t="n"/>
      <c r="E149" s="220" t="n"/>
      <c r="F149" s="108" t="n"/>
      <c r="G149" s="221" t="n"/>
      <c r="H149" s="108" t="n"/>
      <c r="I149" s="222">
        <f>IF(OR($C149="",$D149="",$G149="",$F149=""),0,$G149*IF($F149="Aylık",MAX(0,(YEAR(MIN(IF($E149="",TODAY(),$E149),TODAY()))-YEAR($D149))*12+MONTH(MIN(IF($E149="",TODAY(),$E149),TODAY()))-MONTH($D149)+IF(MIN(IF($E149="",TODAY(),$E149),TODAY())&gt;=EOMONTH(MIN(IF($E149="",TODAY(),$E149),TODAY()),0),1,0)),MAX(0,INT((MIN(IF($E149="",TODAY(),$E149),TODAY())-($D149+MOD(SISTEM!$F$8-WEEKDAY($D149,2),7)))/7)+1)))</f>
        <v/>
      </c>
      <c r="J149" s="222">
        <f>IF(OR($C149="",$D149="",$G149="",$F149=""),0,$G149*IF($F149="Aylık",MAX(0,(YEAR(MIN(IF($E149="",TODAY()-8,$E149),TODAY()-8))-YEAR($D149))*12+MONTH(MIN(IF($E149="",TODAY()-8,$E149),TODAY()-8))-MONTH($D149)+IF(MIN(IF($E149="",TODAY()-8,$E149),TODAY()-8)&gt;=EOMONTH(MIN(IF($E149="",TODAY()-8,$E149),TODAY()-8),0),1,0)),MAX(0,INT((MIN(IF($E149="",TODAY()-8,$E149),TODAY()-8)-($D149+MOD(SISTEM!$F$8-WEEKDAY($D149,2),7)))/7)+1)))</f>
        <v/>
      </c>
      <c r="K149" s="222">
        <f>IF(OR($C149="",$D149="",$G149="",$F149=""),0,$G149*IF($F149="Aylık",MAX(0,(YEAR(MIN(IF($E149="",TODAY()-15,$E149),TODAY()-15))-YEAR($D149))*12+MONTH(MIN(IF($E149="",TODAY()-15,$E149),TODAY()-15))-MONTH($D149)+IF(MIN(IF($E149="",TODAY()-15,$E149),TODAY()-15)&gt;=EOMONTH(MIN(IF($E149="",TODAY()-15,$E149),TODAY()-15),0),1,0)),MAX(0,INT((MIN(IF($E149="",TODAY()-15,$E149),TODAY()-15)-($D149+MOD(SISTEM!$F$8-WEEKDAY($D149,2),7)))/7)+1)))</f>
        <v/>
      </c>
      <c r="L149" s="222">
        <f>IF(OR($C149="",$D149="",$G149="",$F149=""),0,$G149*IF($F149="Aylık",MAX(0,(YEAR(MIN(IF($E149="",TODAY()-29,$E149),TODAY()-29))-YEAR($D149))*12+MONTH(MIN(IF($E149="",TODAY()-29,$E149),TODAY()-29))-MONTH($D149)+IF(MIN(IF($E149="",TODAY()-29,$E149),TODAY()-29)&gt;=EOMONTH(MIN(IF($E149="",TODAY()-29,$E149),TODAY()-29),0),1,0)),MAX(0,INT((MIN(IF($E149="",TODAY()-29,$E149),TODAY()-29)-($D149+MOD(SISTEM!$F$8-WEEKDAY($D149,2),7)))/7)+1)))</f>
        <v/>
      </c>
      <c r="M149" s="223">
        <f>IF($G149&gt;0,$I149/$G149,0)</f>
        <v/>
      </c>
      <c r="N149" s="113">
        <f>IF($C149="","",IF($B149="TANIMSIZ MÜŞTERİ","TANIMSIZ MÜŞTERİ",IF($F149="","MODEL SEÇİN",IF(OR($D149="",$G149&lt;=0),"EKSİK",IF(AND($E149&lt;&gt;"",$E149&lt;$D149),"TARİH HATASI",IF($H149="Pasif","KAPALI DÖNEM","UYGUN"))))))</f>
        <v/>
      </c>
      <c r="O149" s="224">
        <f>IF(OR($C149="",$D149="",$F149=""),"",IF($F149="Aylık",EOMONTH($D149,0),($D149+MOD(SISTEM!$F$8-WEEKDAY($D149,2),7))))</f>
        <v/>
      </c>
      <c r="P149" s="109" t="n"/>
      <c r="Q149" s="6" t="n"/>
      <c r="R149" s="6" t="n"/>
      <c r="S149" s="3">
        <f>IF($B149="","",$B149&amp;"|"&amp;COUNTIFS($B$7:$B149,$B149))</f>
        <v/>
      </c>
      <c r="T149" s="3">
        <f>IF($C149="","",UPPER(SUBSTITUTE(SUBSTITUTE(SUBSTITUTE(SUBSTITUTE(SUBSTITUTE(SUBSTITUTE(SUBSTITUTE(SUBSTITUTE(SUBSTITUTE(SUBSTITUTE(SUBSTITUTE(SUBSTITUTE(SUBSTITUTE(SUBSTITUTE(SUBSTITUTE(SUBSTITUTE(SUBSTITUTE(SUBSTITUTE(TRIM($C149),"'",""),"İ","I"),"ı","I"),"i","I"),"Ş","S"),"ş","S"),"Ğ","G"),"ğ","G"),"Ü","U"),"ü","U"),"Ö","O"),"ö","O"),"Ç","C"),"ç","C"),".",""),",","")," ",""),"-","")))</f>
        <v/>
      </c>
    </row>
    <row r="150">
      <c r="A150" s="6" t="n"/>
      <c r="B150" s="113">
        <f>IF($C150="","",IFERROR(INDEX(MUSTERILER!$B$7:$B$106,MATCH($T150,MUSTERILER!$T$7:$T$106,0)),IFERROR(INDEX(MUSTERILER!$B$7:$B$106,MATCH($C150,MUSTERILER!$B$7:$B$106,0)),IFERROR(INDEX(MUSTERILER!$B$7:$B$106,MATCH($T150&amp;"*",MUSTERILER!$T$7:$T$106,0)),"TANIMSIZ MÜŞTERİ"))))</f>
        <v/>
      </c>
      <c r="C150" s="109" t="n"/>
      <c r="D150" s="220" t="n"/>
      <c r="E150" s="220" t="n"/>
      <c r="F150" s="108" t="n"/>
      <c r="G150" s="221" t="n"/>
      <c r="H150" s="108" t="n"/>
      <c r="I150" s="222">
        <f>IF(OR($C150="",$D150="",$G150="",$F150=""),0,$G150*IF($F150="Aylık",MAX(0,(YEAR(MIN(IF($E150="",TODAY(),$E150),TODAY()))-YEAR($D150))*12+MONTH(MIN(IF($E150="",TODAY(),$E150),TODAY()))-MONTH($D150)+IF(MIN(IF($E150="",TODAY(),$E150),TODAY())&gt;=EOMONTH(MIN(IF($E150="",TODAY(),$E150),TODAY()),0),1,0)),MAX(0,INT((MIN(IF($E150="",TODAY(),$E150),TODAY())-($D150+MOD(SISTEM!$F$8-WEEKDAY($D150,2),7)))/7)+1)))</f>
        <v/>
      </c>
      <c r="J150" s="222">
        <f>IF(OR($C150="",$D150="",$G150="",$F150=""),0,$G150*IF($F150="Aylık",MAX(0,(YEAR(MIN(IF($E150="",TODAY()-8,$E150),TODAY()-8))-YEAR($D150))*12+MONTH(MIN(IF($E150="",TODAY()-8,$E150),TODAY()-8))-MONTH($D150)+IF(MIN(IF($E150="",TODAY()-8,$E150),TODAY()-8)&gt;=EOMONTH(MIN(IF($E150="",TODAY()-8,$E150),TODAY()-8),0),1,0)),MAX(0,INT((MIN(IF($E150="",TODAY()-8,$E150),TODAY()-8)-($D150+MOD(SISTEM!$F$8-WEEKDAY($D150,2),7)))/7)+1)))</f>
        <v/>
      </c>
      <c r="K150" s="222">
        <f>IF(OR($C150="",$D150="",$G150="",$F150=""),0,$G150*IF($F150="Aylık",MAX(0,(YEAR(MIN(IF($E150="",TODAY()-15,$E150),TODAY()-15))-YEAR($D150))*12+MONTH(MIN(IF($E150="",TODAY()-15,$E150),TODAY()-15))-MONTH($D150)+IF(MIN(IF($E150="",TODAY()-15,$E150),TODAY()-15)&gt;=EOMONTH(MIN(IF($E150="",TODAY()-15,$E150),TODAY()-15),0),1,0)),MAX(0,INT((MIN(IF($E150="",TODAY()-15,$E150),TODAY()-15)-($D150+MOD(SISTEM!$F$8-WEEKDAY($D150,2),7)))/7)+1)))</f>
        <v/>
      </c>
      <c r="L150" s="222">
        <f>IF(OR($C150="",$D150="",$G150="",$F150=""),0,$G150*IF($F150="Aylık",MAX(0,(YEAR(MIN(IF($E150="",TODAY()-29,$E150),TODAY()-29))-YEAR($D150))*12+MONTH(MIN(IF($E150="",TODAY()-29,$E150),TODAY()-29))-MONTH($D150)+IF(MIN(IF($E150="",TODAY()-29,$E150),TODAY()-29)&gt;=EOMONTH(MIN(IF($E150="",TODAY()-29,$E150),TODAY()-29),0),1,0)),MAX(0,INT((MIN(IF($E150="",TODAY()-29,$E150),TODAY()-29)-($D150+MOD(SISTEM!$F$8-WEEKDAY($D150,2),7)))/7)+1)))</f>
        <v/>
      </c>
      <c r="M150" s="223">
        <f>IF($G150&gt;0,$I150/$G150,0)</f>
        <v/>
      </c>
      <c r="N150" s="113">
        <f>IF($C150="","",IF($B150="TANIMSIZ MÜŞTERİ","TANIMSIZ MÜŞTERİ",IF($F150="","MODEL SEÇİN",IF(OR($D150="",$G150&lt;=0),"EKSİK",IF(AND($E150&lt;&gt;"",$E150&lt;$D150),"TARİH HATASI",IF($H150="Pasif","KAPALI DÖNEM","UYGUN"))))))</f>
        <v/>
      </c>
      <c r="O150" s="224">
        <f>IF(OR($C150="",$D150="",$F150=""),"",IF($F150="Aylık",EOMONTH($D150,0),($D150+MOD(SISTEM!$F$8-WEEKDAY($D150,2),7))))</f>
        <v/>
      </c>
      <c r="P150" s="109" t="n"/>
      <c r="Q150" s="6" t="n"/>
      <c r="R150" s="6" t="n"/>
      <c r="S150" s="3">
        <f>IF($B150="","",$B150&amp;"|"&amp;COUNTIFS($B$7:$B150,$B150))</f>
        <v/>
      </c>
      <c r="T150" s="3">
        <f>IF($C150="","",UPPER(SUBSTITUTE(SUBSTITUTE(SUBSTITUTE(SUBSTITUTE(SUBSTITUTE(SUBSTITUTE(SUBSTITUTE(SUBSTITUTE(SUBSTITUTE(SUBSTITUTE(SUBSTITUTE(SUBSTITUTE(SUBSTITUTE(SUBSTITUTE(SUBSTITUTE(SUBSTITUTE(SUBSTITUTE(SUBSTITUTE(TRIM($C150),"'",""),"İ","I"),"ı","I"),"i","I"),"Ş","S"),"ş","S"),"Ğ","G"),"ğ","G"),"Ü","U"),"ü","U"),"Ö","O"),"ö","O"),"Ç","C"),"ç","C"),".",""),",","")," ",""),"-","")))</f>
        <v/>
      </c>
    </row>
    <row r="151">
      <c r="A151" s="6" t="n"/>
      <c r="B151" s="113">
        <f>IF($C151="","",IFERROR(INDEX(MUSTERILER!$B$7:$B$106,MATCH($T151,MUSTERILER!$T$7:$T$106,0)),IFERROR(INDEX(MUSTERILER!$B$7:$B$106,MATCH($C151,MUSTERILER!$B$7:$B$106,0)),IFERROR(INDEX(MUSTERILER!$B$7:$B$106,MATCH($T151&amp;"*",MUSTERILER!$T$7:$T$106,0)),"TANIMSIZ MÜŞTERİ"))))</f>
        <v/>
      </c>
      <c r="C151" s="109" t="n"/>
      <c r="D151" s="220" t="n"/>
      <c r="E151" s="220" t="n"/>
      <c r="F151" s="108" t="n"/>
      <c r="G151" s="221" t="n"/>
      <c r="H151" s="108" t="n"/>
      <c r="I151" s="222">
        <f>IF(OR($C151="",$D151="",$G151="",$F151=""),0,$G151*IF($F151="Aylık",MAX(0,(YEAR(MIN(IF($E151="",TODAY(),$E151),TODAY()))-YEAR($D151))*12+MONTH(MIN(IF($E151="",TODAY(),$E151),TODAY()))-MONTH($D151)+IF(MIN(IF($E151="",TODAY(),$E151),TODAY())&gt;=EOMONTH(MIN(IF($E151="",TODAY(),$E151),TODAY()),0),1,0)),MAX(0,INT((MIN(IF($E151="",TODAY(),$E151),TODAY())-($D151+MOD(SISTEM!$F$8-WEEKDAY($D151,2),7)))/7)+1)))</f>
        <v/>
      </c>
      <c r="J151" s="222">
        <f>IF(OR($C151="",$D151="",$G151="",$F151=""),0,$G151*IF($F151="Aylık",MAX(0,(YEAR(MIN(IF($E151="",TODAY()-8,$E151),TODAY()-8))-YEAR($D151))*12+MONTH(MIN(IF($E151="",TODAY()-8,$E151),TODAY()-8))-MONTH($D151)+IF(MIN(IF($E151="",TODAY()-8,$E151),TODAY()-8)&gt;=EOMONTH(MIN(IF($E151="",TODAY()-8,$E151),TODAY()-8),0),1,0)),MAX(0,INT((MIN(IF($E151="",TODAY()-8,$E151),TODAY()-8)-($D151+MOD(SISTEM!$F$8-WEEKDAY($D151,2),7)))/7)+1)))</f>
        <v/>
      </c>
      <c r="K151" s="222">
        <f>IF(OR($C151="",$D151="",$G151="",$F151=""),0,$G151*IF($F151="Aylık",MAX(0,(YEAR(MIN(IF($E151="",TODAY()-15,$E151),TODAY()-15))-YEAR($D151))*12+MONTH(MIN(IF($E151="",TODAY()-15,$E151),TODAY()-15))-MONTH($D151)+IF(MIN(IF($E151="",TODAY()-15,$E151),TODAY()-15)&gt;=EOMONTH(MIN(IF($E151="",TODAY()-15,$E151),TODAY()-15),0),1,0)),MAX(0,INT((MIN(IF($E151="",TODAY()-15,$E151),TODAY()-15)-($D151+MOD(SISTEM!$F$8-WEEKDAY($D151,2),7)))/7)+1)))</f>
        <v/>
      </c>
      <c r="L151" s="222">
        <f>IF(OR($C151="",$D151="",$G151="",$F151=""),0,$G151*IF($F151="Aylık",MAX(0,(YEAR(MIN(IF($E151="",TODAY()-29,$E151),TODAY()-29))-YEAR($D151))*12+MONTH(MIN(IF($E151="",TODAY()-29,$E151),TODAY()-29))-MONTH($D151)+IF(MIN(IF($E151="",TODAY()-29,$E151),TODAY()-29)&gt;=EOMONTH(MIN(IF($E151="",TODAY()-29,$E151),TODAY()-29),0),1,0)),MAX(0,INT((MIN(IF($E151="",TODAY()-29,$E151),TODAY()-29)-($D151+MOD(SISTEM!$F$8-WEEKDAY($D151,2),7)))/7)+1)))</f>
        <v/>
      </c>
      <c r="M151" s="223">
        <f>IF($G151&gt;0,$I151/$G151,0)</f>
        <v/>
      </c>
      <c r="N151" s="113">
        <f>IF($C151="","",IF($B151="TANIMSIZ MÜŞTERİ","TANIMSIZ MÜŞTERİ",IF($F151="","MODEL SEÇİN",IF(OR($D151="",$G151&lt;=0),"EKSİK",IF(AND($E151&lt;&gt;"",$E151&lt;$D151),"TARİH HATASI",IF($H151="Pasif","KAPALI DÖNEM","UYGUN"))))))</f>
        <v/>
      </c>
      <c r="O151" s="224">
        <f>IF(OR($C151="",$D151="",$F151=""),"",IF($F151="Aylık",EOMONTH($D151,0),($D151+MOD(SISTEM!$F$8-WEEKDAY($D151,2),7))))</f>
        <v/>
      </c>
      <c r="P151" s="109" t="n"/>
      <c r="Q151" s="6" t="n"/>
      <c r="R151" s="6" t="n"/>
      <c r="S151" s="3">
        <f>IF($B151="","",$B151&amp;"|"&amp;COUNTIFS($B$7:$B151,$B151))</f>
        <v/>
      </c>
      <c r="T151" s="3">
        <f>IF($C151="","",UPPER(SUBSTITUTE(SUBSTITUTE(SUBSTITUTE(SUBSTITUTE(SUBSTITUTE(SUBSTITUTE(SUBSTITUTE(SUBSTITUTE(SUBSTITUTE(SUBSTITUTE(SUBSTITUTE(SUBSTITUTE(SUBSTITUTE(SUBSTITUTE(SUBSTITUTE(SUBSTITUTE(SUBSTITUTE(SUBSTITUTE(TRIM($C151),"'",""),"İ","I"),"ı","I"),"i","I"),"Ş","S"),"ş","S"),"Ğ","G"),"ğ","G"),"Ü","U"),"ü","U"),"Ö","O"),"ö","O"),"Ç","C"),"ç","C"),".",""),",","")," ",""),"-","")))</f>
        <v/>
      </c>
    </row>
    <row r="152">
      <c r="A152" s="6" t="n"/>
      <c r="B152" s="113">
        <f>IF($C152="","",IFERROR(INDEX(MUSTERILER!$B$7:$B$106,MATCH($T152,MUSTERILER!$T$7:$T$106,0)),IFERROR(INDEX(MUSTERILER!$B$7:$B$106,MATCH($C152,MUSTERILER!$B$7:$B$106,0)),IFERROR(INDEX(MUSTERILER!$B$7:$B$106,MATCH($T152&amp;"*",MUSTERILER!$T$7:$T$106,0)),"TANIMSIZ MÜŞTERİ"))))</f>
        <v/>
      </c>
      <c r="C152" s="109" t="n"/>
      <c r="D152" s="220" t="n"/>
      <c r="E152" s="220" t="n"/>
      <c r="F152" s="108" t="n"/>
      <c r="G152" s="221" t="n"/>
      <c r="H152" s="108" t="n"/>
      <c r="I152" s="222">
        <f>IF(OR($C152="",$D152="",$G152="",$F152=""),0,$G152*IF($F152="Aylık",MAX(0,(YEAR(MIN(IF($E152="",TODAY(),$E152),TODAY()))-YEAR($D152))*12+MONTH(MIN(IF($E152="",TODAY(),$E152),TODAY()))-MONTH($D152)+IF(MIN(IF($E152="",TODAY(),$E152),TODAY())&gt;=EOMONTH(MIN(IF($E152="",TODAY(),$E152),TODAY()),0),1,0)),MAX(0,INT((MIN(IF($E152="",TODAY(),$E152),TODAY())-($D152+MOD(SISTEM!$F$8-WEEKDAY($D152,2),7)))/7)+1)))</f>
        <v/>
      </c>
      <c r="J152" s="222">
        <f>IF(OR($C152="",$D152="",$G152="",$F152=""),0,$G152*IF($F152="Aylık",MAX(0,(YEAR(MIN(IF($E152="",TODAY()-8,$E152),TODAY()-8))-YEAR($D152))*12+MONTH(MIN(IF($E152="",TODAY()-8,$E152),TODAY()-8))-MONTH($D152)+IF(MIN(IF($E152="",TODAY()-8,$E152),TODAY()-8)&gt;=EOMONTH(MIN(IF($E152="",TODAY()-8,$E152),TODAY()-8),0),1,0)),MAX(0,INT((MIN(IF($E152="",TODAY()-8,$E152),TODAY()-8)-($D152+MOD(SISTEM!$F$8-WEEKDAY($D152,2),7)))/7)+1)))</f>
        <v/>
      </c>
      <c r="K152" s="222">
        <f>IF(OR($C152="",$D152="",$G152="",$F152=""),0,$G152*IF($F152="Aylık",MAX(0,(YEAR(MIN(IF($E152="",TODAY()-15,$E152),TODAY()-15))-YEAR($D152))*12+MONTH(MIN(IF($E152="",TODAY()-15,$E152),TODAY()-15))-MONTH($D152)+IF(MIN(IF($E152="",TODAY()-15,$E152),TODAY()-15)&gt;=EOMONTH(MIN(IF($E152="",TODAY()-15,$E152),TODAY()-15),0),1,0)),MAX(0,INT((MIN(IF($E152="",TODAY()-15,$E152),TODAY()-15)-($D152+MOD(SISTEM!$F$8-WEEKDAY($D152,2),7)))/7)+1)))</f>
        <v/>
      </c>
      <c r="L152" s="222">
        <f>IF(OR($C152="",$D152="",$G152="",$F152=""),0,$G152*IF($F152="Aylık",MAX(0,(YEAR(MIN(IF($E152="",TODAY()-29,$E152),TODAY()-29))-YEAR($D152))*12+MONTH(MIN(IF($E152="",TODAY()-29,$E152),TODAY()-29))-MONTH($D152)+IF(MIN(IF($E152="",TODAY()-29,$E152),TODAY()-29)&gt;=EOMONTH(MIN(IF($E152="",TODAY()-29,$E152),TODAY()-29),0),1,0)),MAX(0,INT((MIN(IF($E152="",TODAY()-29,$E152),TODAY()-29)-($D152+MOD(SISTEM!$F$8-WEEKDAY($D152,2),7)))/7)+1)))</f>
        <v/>
      </c>
      <c r="M152" s="223">
        <f>IF($G152&gt;0,$I152/$G152,0)</f>
        <v/>
      </c>
      <c r="N152" s="113">
        <f>IF($C152="","",IF($B152="TANIMSIZ MÜŞTERİ","TANIMSIZ MÜŞTERİ",IF($F152="","MODEL SEÇİN",IF(OR($D152="",$G152&lt;=0),"EKSİK",IF(AND($E152&lt;&gt;"",$E152&lt;$D152),"TARİH HATASI",IF($H152="Pasif","KAPALI DÖNEM","UYGUN"))))))</f>
        <v/>
      </c>
      <c r="O152" s="224">
        <f>IF(OR($C152="",$D152="",$F152=""),"",IF($F152="Aylık",EOMONTH($D152,0),($D152+MOD(SISTEM!$F$8-WEEKDAY($D152,2),7))))</f>
        <v/>
      </c>
      <c r="P152" s="109" t="n"/>
      <c r="Q152" s="6" t="n"/>
      <c r="R152" s="6" t="n"/>
      <c r="S152" s="3">
        <f>IF($B152="","",$B152&amp;"|"&amp;COUNTIFS($B$7:$B152,$B152))</f>
        <v/>
      </c>
      <c r="T152" s="3">
        <f>IF($C152="","",UPPER(SUBSTITUTE(SUBSTITUTE(SUBSTITUTE(SUBSTITUTE(SUBSTITUTE(SUBSTITUTE(SUBSTITUTE(SUBSTITUTE(SUBSTITUTE(SUBSTITUTE(SUBSTITUTE(SUBSTITUTE(SUBSTITUTE(SUBSTITUTE(SUBSTITUTE(SUBSTITUTE(SUBSTITUTE(SUBSTITUTE(TRIM($C152),"'",""),"İ","I"),"ı","I"),"i","I"),"Ş","S"),"ş","S"),"Ğ","G"),"ğ","G"),"Ü","U"),"ü","U"),"Ö","O"),"ö","O"),"Ç","C"),"ç","C"),".",""),",","")," ",""),"-","")))</f>
        <v/>
      </c>
    </row>
    <row r="153">
      <c r="A153" s="6" t="n"/>
      <c r="B153" s="113">
        <f>IF($C153="","",IFERROR(INDEX(MUSTERILER!$B$7:$B$106,MATCH($T153,MUSTERILER!$T$7:$T$106,0)),IFERROR(INDEX(MUSTERILER!$B$7:$B$106,MATCH($C153,MUSTERILER!$B$7:$B$106,0)),IFERROR(INDEX(MUSTERILER!$B$7:$B$106,MATCH($T153&amp;"*",MUSTERILER!$T$7:$T$106,0)),"TANIMSIZ MÜŞTERİ"))))</f>
        <v/>
      </c>
      <c r="C153" s="109" t="n"/>
      <c r="D153" s="220" t="n"/>
      <c r="E153" s="220" t="n"/>
      <c r="F153" s="108" t="n"/>
      <c r="G153" s="221" t="n"/>
      <c r="H153" s="108" t="n"/>
      <c r="I153" s="222">
        <f>IF(OR($C153="",$D153="",$G153="",$F153=""),0,$G153*IF($F153="Aylık",MAX(0,(YEAR(MIN(IF($E153="",TODAY(),$E153),TODAY()))-YEAR($D153))*12+MONTH(MIN(IF($E153="",TODAY(),$E153),TODAY()))-MONTH($D153)+IF(MIN(IF($E153="",TODAY(),$E153),TODAY())&gt;=EOMONTH(MIN(IF($E153="",TODAY(),$E153),TODAY()),0),1,0)),MAX(0,INT((MIN(IF($E153="",TODAY(),$E153),TODAY())-($D153+MOD(SISTEM!$F$8-WEEKDAY($D153,2),7)))/7)+1)))</f>
        <v/>
      </c>
      <c r="J153" s="222">
        <f>IF(OR($C153="",$D153="",$G153="",$F153=""),0,$G153*IF($F153="Aylık",MAX(0,(YEAR(MIN(IF($E153="",TODAY()-8,$E153),TODAY()-8))-YEAR($D153))*12+MONTH(MIN(IF($E153="",TODAY()-8,$E153),TODAY()-8))-MONTH($D153)+IF(MIN(IF($E153="",TODAY()-8,$E153),TODAY()-8)&gt;=EOMONTH(MIN(IF($E153="",TODAY()-8,$E153),TODAY()-8),0),1,0)),MAX(0,INT((MIN(IF($E153="",TODAY()-8,$E153),TODAY()-8)-($D153+MOD(SISTEM!$F$8-WEEKDAY($D153,2),7)))/7)+1)))</f>
        <v/>
      </c>
      <c r="K153" s="222">
        <f>IF(OR($C153="",$D153="",$G153="",$F153=""),0,$G153*IF($F153="Aylık",MAX(0,(YEAR(MIN(IF($E153="",TODAY()-15,$E153),TODAY()-15))-YEAR($D153))*12+MONTH(MIN(IF($E153="",TODAY()-15,$E153),TODAY()-15))-MONTH($D153)+IF(MIN(IF($E153="",TODAY()-15,$E153),TODAY()-15)&gt;=EOMONTH(MIN(IF($E153="",TODAY()-15,$E153),TODAY()-15),0),1,0)),MAX(0,INT((MIN(IF($E153="",TODAY()-15,$E153),TODAY()-15)-($D153+MOD(SISTEM!$F$8-WEEKDAY($D153,2),7)))/7)+1)))</f>
        <v/>
      </c>
      <c r="L153" s="222">
        <f>IF(OR($C153="",$D153="",$G153="",$F153=""),0,$G153*IF($F153="Aylık",MAX(0,(YEAR(MIN(IF($E153="",TODAY()-29,$E153),TODAY()-29))-YEAR($D153))*12+MONTH(MIN(IF($E153="",TODAY()-29,$E153),TODAY()-29))-MONTH($D153)+IF(MIN(IF($E153="",TODAY()-29,$E153),TODAY()-29)&gt;=EOMONTH(MIN(IF($E153="",TODAY()-29,$E153),TODAY()-29),0),1,0)),MAX(0,INT((MIN(IF($E153="",TODAY()-29,$E153),TODAY()-29)-($D153+MOD(SISTEM!$F$8-WEEKDAY($D153,2),7)))/7)+1)))</f>
        <v/>
      </c>
      <c r="M153" s="223">
        <f>IF($G153&gt;0,$I153/$G153,0)</f>
        <v/>
      </c>
      <c r="N153" s="113">
        <f>IF($C153="","",IF($B153="TANIMSIZ MÜŞTERİ","TANIMSIZ MÜŞTERİ",IF($F153="","MODEL SEÇİN",IF(OR($D153="",$G153&lt;=0),"EKSİK",IF(AND($E153&lt;&gt;"",$E153&lt;$D153),"TARİH HATASI",IF($H153="Pasif","KAPALI DÖNEM","UYGUN"))))))</f>
        <v/>
      </c>
      <c r="O153" s="224">
        <f>IF(OR($C153="",$D153="",$F153=""),"",IF($F153="Aylık",EOMONTH($D153,0),($D153+MOD(SISTEM!$F$8-WEEKDAY($D153,2),7))))</f>
        <v/>
      </c>
      <c r="P153" s="109" t="n"/>
      <c r="Q153" s="6" t="n"/>
      <c r="R153" s="6" t="n"/>
      <c r="S153" s="3">
        <f>IF($B153="","",$B153&amp;"|"&amp;COUNTIFS($B$7:$B153,$B153))</f>
        <v/>
      </c>
      <c r="T153" s="3">
        <f>IF($C153="","",UPPER(SUBSTITUTE(SUBSTITUTE(SUBSTITUTE(SUBSTITUTE(SUBSTITUTE(SUBSTITUTE(SUBSTITUTE(SUBSTITUTE(SUBSTITUTE(SUBSTITUTE(SUBSTITUTE(SUBSTITUTE(SUBSTITUTE(SUBSTITUTE(SUBSTITUTE(SUBSTITUTE(SUBSTITUTE(SUBSTITUTE(TRIM($C153),"'",""),"İ","I"),"ı","I"),"i","I"),"Ş","S"),"ş","S"),"Ğ","G"),"ğ","G"),"Ü","U"),"ü","U"),"Ö","O"),"ö","O"),"Ç","C"),"ç","C"),".",""),",","")," ",""),"-","")))</f>
        <v/>
      </c>
    </row>
    <row r="154">
      <c r="A154" s="6" t="n"/>
      <c r="B154" s="113">
        <f>IF($C154="","",IFERROR(INDEX(MUSTERILER!$B$7:$B$106,MATCH($T154,MUSTERILER!$T$7:$T$106,0)),IFERROR(INDEX(MUSTERILER!$B$7:$B$106,MATCH($C154,MUSTERILER!$B$7:$B$106,0)),IFERROR(INDEX(MUSTERILER!$B$7:$B$106,MATCH($T154&amp;"*",MUSTERILER!$T$7:$T$106,0)),"TANIMSIZ MÜŞTERİ"))))</f>
        <v/>
      </c>
      <c r="C154" s="109" t="n"/>
      <c r="D154" s="220" t="n"/>
      <c r="E154" s="220" t="n"/>
      <c r="F154" s="108" t="n"/>
      <c r="G154" s="221" t="n"/>
      <c r="H154" s="108" t="n"/>
      <c r="I154" s="222">
        <f>IF(OR($C154="",$D154="",$G154="",$F154=""),0,$G154*IF($F154="Aylık",MAX(0,(YEAR(MIN(IF($E154="",TODAY(),$E154),TODAY()))-YEAR($D154))*12+MONTH(MIN(IF($E154="",TODAY(),$E154),TODAY()))-MONTH($D154)+IF(MIN(IF($E154="",TODAY(),$E154),TODAY())&gt;=EOMONTH(MIN(IF($E154="",TODAY(),$E154),TODAY()),0),1,0)),MAX(0,INT((MIN(IF($E154="",TODAY(),$E154),TODAY())-($D154+MOD(SISTEM!$F$8-WEEKDAY($D154,2),7)))/7)+1)))</f>
        <v/>
      </c>
      <c r="J154" s="222">
        <f>IF(OR($C154="",$D154="",$G154="",$F154=""),0,$G154*IF($F154="Aylık",MAX(0,(YEAR(MIN(IF($E154="",TODAY()-8,$E154),TODAY()-8))-YEAR($D154))*12+MONTH(MIN(IF($E154="",TODAY()-8,$E154),TODAY()-8))-MONTH($D154)+IF(MIN(IF($E154="",TODAY()-8,$E154),TODAY()-8)&gt;=EOMONTH(MIN(IF($E154="",TODAY()-8,$E154),TODAY()-8),0),1,0)),MAX(0,INT((MIN(IF($E154="",TODAY()-8,$E154),TODAY()-8)-($D154+MOD(SISTEM!$F$8-WEEKDAY($D154,2),7)))/7)+1)))</f>
        <v/>
      </c>
      <c r="K154" s="222">
        <f>IF(OR($C154="",$D154="",$G154="",$F154=""),0,$G154*IF($F154="Aylık",MAX(0,(YEAR(MIN(IF($E154="",TODAY()-15,$E154),TODAY()-15))-YEAR($D154))*12+MONTH(MIN(IF($E154="",TODAY()-15,$E154),TODAY()-15))-MONTH($D154)+IF(MIN(IF($E154="",TODAY()-15,$E154),TODAY()-15)&gt;=EOMONTH(MIN(IF($E154="",TODAY()-15,$E154),TODAY()-15),0),1,0)),MAX(0,INT((MIN(IF($E154="",TODAY()-15,$E154),TODAY()-15)-($D154+MOD(SISTEM!$F$8-WEEKDAY($D154,2),7)))/7)+1)))</f>
        <v/>
      </c>
      <c r="L154" s="222">
        <f>IF(OR($C154="",$D154="",$G154="",$F154=""),0,$G154*IF($F154="Aylık",MAX(0,(YEAR(MIN(IF($E154="",TODAY()-29,$E154),TODAY()-29))-YEAR($D154))*12+MONTH(MIN(IF($E154="",TODAY()-29,$E154),TODAY()-29))-MONTH($D154)+IF(MIN(IF($E154="",TODAY()-29,$E154),TODAY()-29)&gt;=EOMONTH(MIN(IF($E154="",TODAY()-29,$E154),TODAY()-29),0),1,0)),MAX(0,INT((MIN(IF($E154="",TODAY()-29,$E154),TODAY()-29)-($D154+MOD(SISTEM!$F$8-WEEKDAY($D154,2),7)))/7)+1)))</f>
        <v/>
      </c>
      <c r="M154" s="223">
        <f>IF($G154&gt;0,$I154/$G154,0)</f>
        <v/>
      </c>
      <c r="N154" s="113">
        <f>IF($C154="","",IF($B154="TANIMSIZ MÜŞTERİ","TANIMSIZ MÜŞTERİ",IF($F154="","MODEL SEÇİN",IF(OR($D154="",$G154&lt;=0),"EKSİK",IF(AND($E154&lt;&gt;"",$E154&lt;$D154),"TARİH HATASI",IF($H154="Pasif","KAPALI DÖNEM","UYGUN"))))))</f>
        <v/>
      </c>
      <c r="O154" s="224">
        <f>IF(OR($C154="",$D154="",$F154=""),"",IF($F154="Aylık",EOMONTH($D154,0),($D154+MOD(SISTEM!$F$8-WEEKDAY($D154,2),7))))</f>
        <v/>
      </c>
      <c r="P154" s="109" t="n"/>
      <c r="Q154" s="6" t="n"/>
      <c r="R154" s="6" t="n"/>
      <c r="S154" s="3">
        <f>IF($B154="","",$B154&amp;"|"&amp;COUNTIFS($B$7:$B154,$B154))</f>
        <v/>
      </c>
      <c r="T154" s="3">
        <f>IF($C154="","",UPPER(SUBSTITUTE(SUBSTITUTE(SUBSTITUTE(SUBSTITUTE(SUBSTITUTE(SUBSTITUTE(SUBSTITUTE(SUBSTITUTE(SUBSTITUTE(SUBSTITUTE(SUBSTITUTE(SUBSTITUTE(SUBSTITUTE(SUBSTITUTE(SUBSTITUTE(SUBSTITUTE(SUBSTITUTE(SUBSTITUTE(TRIM($C154),"'",""),"İ","I"),"ı","I"),"i","I"),"Ş","S"),"ş","S"),"Ğ","G"),"ğ","G"),"Ü","U"),"ü","U"),"Ö","O"),"ö","O"),"Ç","C"),"ç","C"),".",""),",","")," ",""),"-","")))</f>
        <v/>
      </c>
    </row>
    <row r="155">
      <c r="A155" s="6" t="n"/>
      <c r="B155" s="113">
        <f>IF($C155="","",IFERROR(INDEX(MUSTERILER!$B$7:$B$106,MATCH($T155,MUSTERILER!$T$7:$T$106,0)),IFERROR(INDEX(MUSTERILER!$B$7:$B$106,MATCH($C155,MUSTERILER!$B$7:$B$106,0)),IFERROR(INDEX(MUSTERILER!$B$7:$B$106,MATCH($T155&amp;"*",MUSTERILER!$T$7:$T$106,0)),"TANIMSIZ MÜŞTERİ"))))</f>
        <v/>
      </c>
      <c r="C155" s="109" t="n"/>
      <c r="D155" s="220" t="n"/>
      <c r="E155" s="220" t="n"/>
      <c r="F155" s="108" t="n"/>
      <c r="G155" s="221" t="n"/>
      <c r="H155" s="108" t="n"/>
      <c r="I155" s="222">
        <f>IF(OR($C155="",$D155="",$G155="",$F155=""),0,$G155*IF($F155="Aylık",MAX(0,(YEAR(MIN(IF($E155="",TODAY(),$E155),TODAY()))-YEAR($D155))*12+MONTH(MIN(IF($E155="",TODAY(),$E155),TODAY()))-MONTH($D155)+IF(MIN(IF($E155="",TODAY(),$E155),TODAY())&gt;=EOMONTH(MIN(IF($E155="",TODAY(),$E155),TODAY()),0),1,0)),MAX(0,INT((MIN(IF($E155="",TODAY(),$E155),TODAY())-($D155+MOD(SISTEM!$F$8-WEEKDAY($D155,2),7)))/7)+1)))</f>
        <v/>
      </c>
      <c r="J155" s="222">
        <f>IF(OR($C155="",$D155="",$G155="",$F155=""),0,$G155*IF($F155="Aylık",MAX(0,(YEAR(MIN(IF($E155="",TODAY()-8,$E155),TODAY()-8))-YEAR($D155))*12+MONTH(MIN(IF($E155="",TODAY()-8,$E155),TODAY()-8))-MONTH($D155)+IF(MIN(IF($E155="",TODAY()-8,$E155),TODAY()-8)&gt;=EOMONTH(MIN(IF($E155="",TODAY()-8,$E155),TODAY()-8),0),1,0)),MAX(0,INT((MIN(IF($E155="",TODAY()-8,$E155),TODAY()-8)-($D155+MOD(SISTEM!$F$8-WEEKDAY($D155,2),7)))/7)+1)))</f>
        <v/>
      </c>
      <c r="K155" s="222">
        <f>IF(OR($C155="",$D155="",$G155="",$F155=""),0,$G155*IF($F155="Aylık",MAX(0,(YEAR(MIN(IF($E155="",TODAY()-15,$E155),TODAY()-15))-YEAR($D155))*12+MONTH(MIN(IF($E155="",TODAY()-15,$E155),TODAY()-15))-MONTH($D155)+IF(MIN(IF($E155="",TODAY()-15,$E155),TODAY()-15)&gt;=EOMONTH(MIN(IF($E155="",TODAY()-15,$E155),TODAY()-15),0),1,0)),MAX(0,INT((MIN(IF($E155="",TODAY()-15,$E155),TODAY()-15)-($D155+MOD(SISTEM!$F$8-WEEKDAY($D155,2),7)))/7)+1)))</f>
        <v/>
      </c>
      <c r="L155" s="222">
        <f>IF(OR($C155="",$D155="",$G155="",$F155=""),0,$G155*IF($F155="Aylık",MAX(0,(YEAR(MIN(IF($E155="",TODAY()-29,$E155),TODAY()-29))-YEAR($D155))*12+MONTH(MIN(IF($E155="",TODAY()-29,$E155),TODAY()-29))-MONTH($D155)+IF(MIN(IF($E155="",TODAY()-29,$E155),TODAY()-29)&gt;=EOMONTH(MIN(IF($E155="",TODAY()-29,$E155),TODAY()-29),0),1,0)),MAX(0,INT((MIN(IF($E155="",TODAY()-29,$E155),TODAY()-29)-($D155+MOD(SISTEM!$F$8-WEEKDAY($D155,2),7)))/7)+1)))</f>
        <v/>
      </c>
      <c r="M155" s="223">
        <f>IF($G155&gt;0,$I155/$G155,0)</f>
        <v/>
      </c>
      <c r="N155" s="113">
        <f>IF($C155="","",IF($B155="TANIMSIZ MÜŞTERİ","TANIMSIZ MÜŞTERİ",IF($F155="","MODEL SEÇİN",IF(OR($D155="",$G155&lt;=0),"EKSİK",IF(AND($E155&lt;&gt;"",$E155&lt;$D155),"TARİH HATASI",IF($H155="Pasif","KAPALI DÖNEM","UYGUN"))))))</f>
        <v/>
      </c>
      <c r="O155" s="224">
        <f>IF(OR($C155="",$D155="",$F155=""),"",IF($F155="Aylık",EOMONTH($D155,0),($D155+MOD(SISTEM!$F$8-WEEKDAY($D155,2),7))))</f>
        <v/>
      </c>
      <c r="P155" s="109" t="n"/>
      <c r="Q155" s="6" t="n"/>
      <c r="R155" s="6" t="n"/>
      <c r="S155" s="3">
        <f>IF($B155="","",$B155&amp;"|"&amp;COUNTIFS($B$7:$B155,$B155))</f>
        <v/>
      </c>
      <c r="T155" s="3">
        <f>IF($C155="","",UPPER(SUBSTITUTE(SUBSTITUTE(SUBSTITUTE(SUBSTITUTE(SUBSTITUTE(SUBSTITUTE(SUBSTITUTE(SUBSTITUTE(SUBSTITUTE(SUBSTITUTE(SUBSTITUTE(SUBSTITUTE(SUBSTITUTE(SUBSTITUTE(SUBSTITUTE(SUBSTITUTE(SUBSTITUTE(SUBSTITUTE(TRIM($C155),"'",""),"İ","I"),"ı","I"),"i","I"),"Ş","S"),"ş","S"),"Ğ","G"),"ğ","G"),"Ü","U"),"ü","U"),"Ö","O"),"ö","O"),"Ç","C"),"ç","C"),".",""),",","")," ",""),"-","")))</f>
        <v/>
      </c>
    </row>
    <row r="156">
      <c r="A156" s="6" t="n"/>
      <c r="B156" s="113">
        <f>IF($C156="","",IFERROR(INDEX(MUSTERILER!$B$7:$B$106,MATCH($T156,MUSTERILER!$T$7:$T$106,0)),IFERROR(INDEX(MUSTERILER!$B$7:$B$106,MATCH($C156,MUSTERILER!$B$7:$B$106,0)),IFERROR(INDEX(MUSTERILER!$B$7:$B$106,MATCH($T156&amp;"*",MUSTERILER!$T$7:$T$106,0)),"TANIMSIZ MÜŞTERİ"))))</f>
        <v/>
      </c>
      <c r="C156" s="109" t="n"/>
      <c r="D156" s="220" t="n"/>
      <c r="E156" s="220" t="n"/>
      <c r="F156" s="108" t="n"/>
      <c r="G156" s="221" t="n"/>
      <c r="H156" s="108" t="n"/>
      <c r="I156" s="222">
        <f>IF(OR($C156="",$D156="",$G156="",$F156=""),0,$G156*IF($F156="Aylık",MAX(0,(YEAR(MIN(IF($E156="",TODAY(),$E156),TODAY()))-YEAR($D156))*12+MONTH(MIN(IF($E156="",TODAY(),$E156),TODAY()))-MONTH($D156)+IF(MIN(IF($E156="",TODAY(),$E156),TODAY())&gt;=EOMONTH(MIN(IF($E156="",TODAY(),$E156),TODAY()),0),1,0)),MAX(0,INT((MIN(IF($E156="",TODAY(),$E156),TODAY())-($D156+MOD(SISTEM!$F$8-WEEKDAY($D156,2),7)))/7)+1)))</f>
        <v/>
      </c>
      <c r="J156" s="222">
        <f>IF(OR($C156="",$D156="",$G156="",$F156=""),0,$G156*IF($F156="Aylık",MAX(0,(YEAR(MIN(IF($E156="",TODAY()-8,$E156),TODAY()-8))-YEAR($D156))*12+MONTH(MIN(IF($E156="",TODAY()-8,$E156),TODAY()-8))-MONTH($D156)+IF(MIN(IF($E156="",TODAY()-8,$E156),TODAY()-8)&gt;=EOMONTH(MIN(IF($E156="",TODAY()-8,$E156),TODAY()-8),0),1,0)),MAX(0,INT((MIN(IF($E156="",TODAY()-8,$E156),TODAY()-8)-($D156+MOD(SISTEM!$F$8-WEEKDAY($D156,2),7)))/7)+1)))</f>
        <v/>
      </c>
      <c r="K156" s="222">
        <f>IF(OR($C156="",$D156="",$G156="",$F156=""),0,$G156*IF($F156="Aylık",MAX(0,(YEAR(MIN(IF($E156="",TODAY()-15,$E156),TODAY()-15))-YEAR($D156))*12+MONTH(MIN(IF($E156="",TODAY()-15,$E156),TODAY()-15))-MONTH($D156)+IF(MIN(IF($E156="",TODAY()-15,$E156),TODAY()-15)&gt;=EOMONTH(MIN(IF($E156="",TODAY()-15,$E156),TODAY()-15),0),1,0)),MAX(0,INT((MIN(IF($E156="",TODAY()-15,$E156),TODAY()-15)-($D156+MOD(SISTEM!$F$8-WEEKDAY($D156,2),7)))/7)+1)))</f>
        <v/>
      </c>
      <c r="L156" s="222">
        <f>IF(OR($C156="",$D156="",$G156="",$F156=""),0,$G156*IF($F156="Aylık",MAX(0,(YEAR(MIN(IF($E156="",TODAY()-29,$E156),TODAY()-29))-YEAR($D156))*12+MONTH(MIN(IF($E156="",TODAY()-29,$E156),TODAY()-29))-MONTH($D156)+IF(MIN(IF($E156="",TODAY()-29,$E156),TODAY()-29)&gt;=EOMONTH(MIN(IF($E156="",TODAY()-29,$E156),TODAY()-29),0),1,0)),MAX(0,INT((MIN(IF($E156="",TODAY()-29,$E156),TODAY()-29)-($D156+MOD(SISTEM!$F$8-WEEKDAY($D156,2),7)))/7)+1)))</f>
        <v/>
      </c>
      <c r="M156" s="223">
        <f>IF($G156&gt;0,$I156/$G156,0)</f>
        <v/>
      </c>
      <c r="N156" s="113">
        <f>IF($C156="","",IF($B156="TANIMSIZ MÜŞTERİ","TANIMSIZ MÜŞTERİ",IF($F156="","MODEL SEÇİN",IF(OR($D156="",$G156&lt;=0),"EKSİK",IF(AND($E156&lt;&gt;"",$E156&lt;$D156),"TARİH HATASI",IF($H156="Pasif","KAPALI DÖNEM","UYGUN"))))))</f>
        <v/>
      </c>
      <c r="O156" s="224">
        <f>IF(OR($C156="",$D156="",$F156=""),"",IF($F156="Aylık",EOMONTH($D156,0),($D156+MOD(SISTEM!$F$8-WEEKDAY($D156,2),7))))</f>
        <v/>
      </c>
      <c r="P156" s="109" t="n"/>
      <c r="Q156" s="6" t="n"/>
      <c r="R156" s="6" t="n"/>
      <c r="S156" s="3">
        <f>IF($B156="","",$B156&amp;"|"&amp;COUNTIFS($B$7:$B156,$B156))</f>
        <v/>
      </c>
      <c r="T156" s="3">
        <f>IF($C156="","",UPPER(SUBSTITUTE(SUBSTITUTE(SUBSTITUTE(SUBSTITUTE(SUBSTITUTE(SUBSTITUTE(SUBSTITUTE(SUBSTITUTE(SUBSTITUTE(SUBSTITUTE(SUBSTITUTE(SUBSTITUTE(SUBSTITUTE(SUBSTITUTE(SUBSTITUTE(SUBSTITUTE(SUBSTITUTE(SUBSTITUTE(TRIM($C156),"'",""),"İ","I"),"ı","I"),"i","I"),"Ş","S"),"ş","S"),"Ğ","G"),"ğ","G"),"Ü","U"),"ü","U"),"Ö","O"),"ö","O"),"Ç","C"),"ç","C"),".",""),",","")," ",""),"-","")))</f>
        <v/>
      </c>
    </row>
    <row r="157">
      <c r="A157" s="6" t="n"/>
      <c r="B157" s="113">
        <f>IF($C157="","",IFERROR(INDEX(MUSTERILER!$B$7:$B$106,MATCH($T157,MUSTERILER!$T$7:$T$106,0)),IFERROR(INDEX(MUSTERILER!$B$7:$B$106,MATCH($C157,MUSTERILER!$B$7:$B$106,0)),IFERROR(INDEX(MUSTERILER!$B$7:$B$106,MATCH($T157&amp;"*",MUSTERILER!$T$7:$T$106,0)),"TANIMSIZ MÜŞTERİ"))))</f>
        <v/>
      </c>
      <c r="C157" s="109" t="n"/>
      <c r="D157" s="220" t="n"/>
      <c r="E157" s="220" t="n"/>
      <c r="F157" s="108" t="n"/>
      <c r="G157" s="221" t="n"/>
      <c r="H157" s="108" t="n"/>
      <c r="I157" s="222">
        <f>IF(OR($C157="",$D157="",$G157="",$F157=""),0,$G157*IF($F157="Aylık",MAX(0,(YEAR(MIN(IF($E157="",TODAY(),$E157),TODAY()))-YEAR($D157))*12+MONTH(MIN(IF($E157="",TODAY(),$E157),TODAY()))-MONTH($D157)+IF(MIN(IF($E157="",TODAY(),$E157),TODAY())&gt;=EOMONTH(MIN(IF($E157="",TODAY(),$E157),TODAY()),0),1,0)),MAX(0,INT((MIN(IF($E157="",TODAY(),$E157),TODAY())-($D157+MOD(SISTEM!$F$8-WEEKDAY($D157,2),7)))/7)+1)))</f>
        <v/>
      </c>
      <c r="J157" s="222">
        <f>IF(OR($C157="",$D157="",$G157="",$F157=""),0,$G157*IF($F157="Aylık",MAX(0,(YEAR(MIN(IF($E157="",TODAY()-8,$E157),TODAY()-8))-YEAR($D157))*12+MONTH(MIN(IF($E157="",TODAY()-8,$E157),TODAY()-8))-MONTH($D157)+IF(MIN(IF($E157="",TODAY()-8,$E157),TODAY()-8)&gt;=EOMONTH(MIN(IF($E157="",TODAY()-8,$E157),TODAY()-8),0),1,0)),MAX(0,INT((MIN(IF($E157="",TODAY()-8,$E157),TODAY()-8)-($D157+MOD(SISTEM!$F$8-WEEKDAY($D157,2),7)))/7)+1)))</f>
        <v/>
      </c>
      <c r="K157" s="222">
        <f>IF(OR($C157="",$D157="",$G157="",$F157=""),0,$G157*IF($F157="Aylık",MAX(0,(YEAR(MIN(IF($E157="",TODAY()-15,$E157),TODAY()-15))-YEAR($D157))*12+MONTH(MIN(IF($E157="",TODAY()-15,$E157),TODAY()-15))-MONTH($D157)+IF(MIN(IF($E157="",TODAY()-15,$E157),TODAY()-15)&gt;=EOMONTH(MIN(IF($E157="",TODAY()-15,$E157),TODAY()-15),0),1,0)),MAX(0,INT((MIN(IF($E157="",TODAY()-15,$E157),TODAY()-15)-($D157+MOD(SISTEM!$F$8-WEEKDAY($D157,2),7)))/7)+1)))</f>
        <v/>
      </c>
      <c r="L157" s="222">
        <f>IF(OR($C157="",$D157="",$G157="",$F157=""),0,$G157*IF($F157="Aylık",MAX(0,(YEAR(MIN(IF($E157="",TODAY()-29,$E157),TODAY()-29))-YEAR($D157))*12+MONTH(MIN(IF($E157="",TODAY()-29,$E157),TODAY()-29))-MONTH($D157)+IF(MIN(IF($E157="",TODAY()-29,$E157),TODAY()-29)&gt;=EOMONTH(MIN(IF($E157="",TODAY()-29,$E157),TODAY()-29),0),1,0)),MAX(0,INT((MIN(IF($E157="",TODAY()-29,$E157),TODAY()-29)-($D157+MOD(SISTEM!$F$8-WEEKDAY($D157,2),7)))/7)+1)))</f>
        <v/>
      </c>
      <c r="M157" s="223">
        <f>IF($G157&gt;0,$I157/$G157,0)</f>
        <v/>
      </c>
      <c r="N157" s="113">
        <f>IF($C157="","",IF($B157="TANIMSIZ MÜŞTERİ","TANIMSIZ MÜŞTERİ",IF($F157="","MODEL SEÇİN",IF(OR($D157="",$G157&lt;=0),"EKSİK",IF(AND($E157&lt;&gt;"",$E157&lt;$D157),"TARİH HATASI",IF($H157="Pasif","KAPALI DÖNEM","UYGUN"))))))</f>
        <v/>
      </c>
      <c r="O157" s="224">
        <f>IF(OR($C157="",$D157="",$F157=""),"",IF($F157="Aylık",EOMONTH($D157,0),($D157+MOD(SISTEM!$F$8-WEEKDAY($D157,2),7))))</f>
        <v/>
      </c>
      <c r="P157" s="109" t="n"/>
      <c r="Q157" s="6" t="n"/>
      <c r="R157" s="6" t="n"/>
      <c r="S157" s="3">
        <f>IF($B157="","",$B157&amp;"|"&amp;COUNTIFS($B$7:$B157,$B157))</f>
        <v/>
      </c>
      <c r="T157" s="3">
        <f>IF($C157="","",UPPER(SUBSTITUTE(SUBSTITUTE(SUBSTITUTE(SUBSTITUTE(SUBSTITUTE(SUBSTITUTE(SUBSTITUTE(SUBSTITUTE(SUBSTITUTE(SUBSTITUTE(SUBSTITUTE(SUBSTITUTE(SUBSTITUTE(SUBSTITUTE(SUBSTITUTE(SUBSTITUTE(SUBSTITUTE(SUBSTITUTE(TRIM($C157),"'",""),"İ","I"),"ı","I"),"i","I"),"Ş","S"),"ş","S"),"Ğ","G"),"ğ","G"),"Ü","U"),"ü","U"),"Ö","O"),"ö","O"),"Ç","C"),"ç","C"),".",""),",","")," ",""),"-","")))</f>
        <v/>
      </c>
    </row>
    <row r="158">
      <c r="A158" s="6" t="n"/>
      <c r="B158" s="113">
        <f>IF($C158="","",IFERROR(INDEX(MUSTERILER!$B$7:$B$106,MATCH($T158,MUSTERILER!$T$7:$T$106,0)),IFERROR(INDEX(MUSTERILER!$B$7:$B$106,MATCH($C158,MUSTERILER!$B$7:$B$106,0)),IFERROR(INDEX(MUSTERILER!$B$7:$B$106,MATCH($T158&amp;"*",MUSTERILER!$T$7:$T$106,0)),"TANIMSIZ MÜŞTERİ"))))</f>
        <v/>
      </c>
      <c r="C158" s="109" t="n"/>
      <c r="D158" s="220" t="n"/>
      <c r="E158" s="220" t="n"/>
      <c r="F158" s="108" t="n"/>
      <c r="G158" s="221" t="n"/>
      <c r="H158" s="108" t="n"/>
      <c r="I158" s="222">
        <f>IF(OR($C158="",$D158="",$G158="",$F158=""),0,$G158*IF($F158="Aylık",MAX(0,(YEAR(MIN(IF($E158="",TODAY(),$E158),TODAY()))-YEAR($D158))*12+MONTH(MIN(IF($E158="",TODAY(),$E158),TODAY()))-MONTH($D158)+IF(MIN(IF($E158="",TODAY(),$E158),TODAY())&gt;=EOMONTH(MIN(IF($E158="",TODAY(),$E158),TODAY()),0),1,0)),MAX(0,INT((MIN(IF($E158="",TODAY(),$E158),TODAY())-($D158+MOD(SISTEM!$F$8-WEEKDAY($D158,2),7)))/7)+1)))</f>
        <v/>
      </c>
      <c r="J158" s="222">
        <f>IF(OR($C158="",$D158="",$G158="",$F158=""),0,$G158*IF($F158="Aylık",MAX(0,(YEAR(MIN(IF($E158="",TODAY()-8,$E158),TODAY()-8))-YEAR($D158))*12+MONTH(MIN(IF($E158="",TODAY()-8,$E158),TODAY()-8))-MONTH($D158)+IF(MIN(IF($E158="",TODAY()-8,$E158),TODAY()-8)&gt;=EOMONTH(MIN(IF($E158="",TODAY()-8,$E158),TODAY()-8),0),1,0)),MAX(0,INT((MIN(IF($E158="",TODAY()-8,$E158),TODAY()-8)-($D158+MOD(SISTEM!$F$8-WEEKDAY($D158,2),7)))/7)+1)))</f>
        <v/>
      </c>
      <c r="K158" s="222">
        <f>IF(OR($C158="",$D158="",$G158="",$F158=""),0,$G158*IF($F158="Aylık",MAX(0,(YEAR(MIN(IF($E158="",TODAY()-15,$E158),TODAY()-15))-YEAR($D158))*12+MONTH(MIN(IF($E158="",TODAY()-15,$E158),TODAY()-15))-MONTH($D158)+IF(MIN(IF($E158="",TODAY()-15,$E158),TODAY()-15)&gt;=EOMONTH(MIN(IF($E158="",TODAY()-15,$E158),TODAY()-15),0),1,0)),MAX(0,INT((MIN(IF($E158="",TODAY()-15,$E158),TODAY()-15)-($D158+MOD(SISTEM!$F$8-WEEKDAY($D158,2),7)))/7)+1)))</f>
        <v/>
      </c>
      <c r="L158" s="222">
        <f>IF(OR($C158="",$D158="",$G158="",$F158=""),0,$G158*IF($F158="Aylık",MAX(0,(YEAR(MIN(IF($E158="",TODAY()-29,$E158),TODAY()-29))-YEAR($D158))*12+MONTH(MIN(IF($E158="",TODAY()-29,$E158),TODAY()-29))-MONTH($D158)+IF(MIN(IF($E158="",TODAY()-29,$E158),TODAY()-29)&gt;=EOMONTH(MIN(IF($E158="",TODAY()-29,$E158),TODAY()-29),0),1,0)),MAX(0,INT((MIN(IF($E158="",TODAY()-29,$E158),TODAY()-29)-($D158+MOD(SISTEM!$F$8-WEEKDAY($D158,2),7)))/7)+1)))</f>
        <v/>
      </c>
      <c r="M158" s="223">
        <f>IF($G158&gt;0,$I158/$G158,0)</f>
        <v/>
      </c>
      <c r="N158" s="113">
        <f>IF($C158="","",IF($B158="TANIMSIZ MÜŞTERİ","TANIMSIZ MÜŞTERİ",IF($F158="","MODEL SEÇİN",IF(OR($D158="",$G158&lt;=0),"EKSİK",IF(AND($E158&lt;&gt;"",$E158&lt;$D158),"TARİH HATASI",IF($H158="Pasif","KAPALI DÖNEM","UYGUN"))))))</f>
        <v/>
      </c>
      <c r="O158" s="224">
        <f>IF(OR($C158="",$D158="",$F158=""),"",IF($F158="Aylık",EOMONTH($D158,0),($D158+MOD(SISTEM!$F$8-WEEKDAY($D158,2),7))))</f>
        <v/>
      </c>
      <c r="P158" s="109" t="n"/>
      <c r="Q158" s="6" t="n"/>
      <c r="R158" s="6" t="n"/>
      <c r="S158" s="3">
        <f>IF($B158="","",$B158&amp;"|"&amp;COUNTIFS($B$7:$B158,$B158))</f>
        <v/>
      </c>
      <c r="T158" s="3">
        <f>IF($C158="","",UPPER(SUBSTITUTE(SUBSTITUTE(SUBSTITUTE(SUBSTITUTE(SUBSTITUTE(SUBSTITUTE(SUBSTITUTE(SUBSTITUTE(SUBSTITUTE(SUBSTITUTE(SUBSTITUTE(SUBSTITUTE(SUBSTITUTE(SUBSTITUTE(SUBSTITUTE(SUBSTITUTE(SUBSTITUTE(SUBSTITUTE(TRIM($C158),"'",""),"İ","I"),"ı","I"),"i","I"),"Ş","S"),"ş","S"),"Ğ","G"),"ğ","G"),"Ü","U"),"ü","U"),"Ö","O"),"ö","O"),"Ç","C"),"ç","C"),".",""),",","")," ",""),"-","")))</f>
        <v/>
      </c>
    </row>
    <row r="159">
      <c r="A159" s="6" t="n"/>
      <c r="B159" s="113">
        <f>IF($C159="","",IFERROR(INDEX(MUSTERILER!$B$7:$B$106,MATCH($T159,MUSTERILER!$T$7:$T$106,0)),IFERROR(INDEX(MUSTERILER!$B$7:$B$106,MATCH($C159,MUSTERILER!$B$7:$B$106,0)),IFERROR(INDEX(MUSTERILER!$B$7:$B$106,MATCH($T159&amp;"*",MUSTERILER!$T$7:$T$106,0)),"TANIMSIZ MÜŞTERİ"))))</f>
        <v/>
      </c>
      <c r="C159" s="109" t="n"/>
      <c r="D159" s="220" t="n"/>
      <c r="E159" s="220" t="n"/>
      <c r="F159" s="108" t="n"/>
      <c r="G159" s="221" t="n"/>
      <c r="H159" s="108" t="n"/>
      <c r="I159" s="222">
        <f>IF(OR($C159="",$D159="",$G159="",$F159=""),0,$G159*IF($F159="Aylık",MAX(0,(YEAR(MIN(IF($E159="",TODAY(),$E159),TODAY()))-YEAR($D159))*12+MONTH(MIN(IF($E159="",TODAY(),$E159),TODAY()))-MONTH($D159)+IF(MIN(IF($E159="",TODAY(),$E159),TODAY())&gt;=EOMONTH(MIN(IF($E159="",TODAY(),$E159),TODAY()),0),1,0)),MAX(0,INT((MIN(IF($E159="",TODAY(),$E159),TODAY())-($D159+MOD(SISTEM!$F$8-WEEKDAY($D159,2),7)))/7)+1)))</f>
        <v/>
      </c>
      <c r="J159" s="222">
        <f>IF(OR($C159="",$D159="",$G159="",$F159=""),0,$G159*IF($F159="Aylık",MAX(0,(YEAR(MIN(IF($E159="",TODAY()-8,$E159),TODAY()-8))-YEAR($D159))*12+MONTH(MIN(IF($E159="",TODAY()-8,$E159),TODAY()-8))-MONTH($D159)+IF(MIN(IF($E159="",TODAY()-8,$E159),TODAY()-8)&gt;=EOMONTH(MIN(IF($E159="",TODAY()-8,$E159),TODAY()-8),0),1,0)),MAX(0,INT((MIN(IF($E159="",TODAY()-8,$E159),TODAY()-8)-($D159+MOD(SISTEM!$F$8-WEEKDAY($D159,2),7)))/7)+1)))</f>
        <v/>
      </c>
      <c r="K159" s="222">
        <f>IF(OR($C159="",$D159="",$G159="",$F159=""),0,$G159*IF($F159="Aylık",MAX(0,(YEAR(MIN(IF($E159="",TODAY()-15,$E159),TODAY()-15))-YEAR($D159))*12+MONTH(MIN(IF($E159="",TODAY()-15,$E159),TODAY()-15))-MONTH($D159)+IF(MIN(IF($E159="",TODAY()-15,$E159),TODAY()-15)&gt;=EOMONTH(MIN(IF($E159="",TODAY()-15,$E159),TODAY()-15),0),1,0)),MAX(0,INT((MIN(IF($E159="",TODAY()-15,$E159),TODAY()-15)-($D159+MOD(SISTEM!$F$8-WEEKDAY($D159,2),7)))/7)+1)))</f>
        <v/>
      </c>
      <c r="L159" s="222">
        <f>IF(OR($C159="",$D159="",$G159="",$F159=""),0,$G159*IF($F159="Aylık",MAX(0,(YEAR(MIN(IF($E159="",TODAY()-29,$E159),TODAY()-29))-YEAR($D159))*12+MONTH(MIN(IF($E159="",TODAY()-29,$E159),TODAY()-29))-MONTH($D159)+IF(MIN(IF($E159="",TODAY()-29,$E159),TODAY()-29)&gt;=EOMONTH(MIN(IF($E159="",TODAY()-29,$E159),TODAY()-29),0),1,0)),MAX(0,INT((MIN(IF($E159="",TODAY()-29,$E159),TODAY()-29)-($D159+MOD(SISTEM!$F$8-WEEKDAY($D159,2),7)))/7)+1)))</f>
        <v/>
      </c>
      <c r="M159" s="223">
        <f>IF($G159&gt;0,$I159/$G159,0)</f>
        <v/>
      </c>
      <c r="N159" s="113">
        <f>IF($C159="","",IF($B159="TANIMSIZ MÜŞTERİ","TANIMSIZ MÜŞTERİ",IF($F159="","MODEL SEÇİN",IF(OR($D159="",$G159&lt;=0),"EKSİK",IF(AND($E159&lt;&gt;"",$E159&lt;$D159),"TARİH HATASI",IF($H159="Pasif","KAPALI DÖNEM","UYGUN"))))))</f>
        <v/>
      </c>
      <c r="O159" s="224">
        <f>IF(OR($C159="",$D159="",$F159=""),"",IF($F159="Aylık",EOMONTH($D159,0),($D159+MOD(SISTEM!$F$8-WEEKDAY($D159,2),7))))</f>
        <v/>
      </c>
      <c r="P159" s="109" t="n"/>
      <c r="Q159" s="6" t="n"/>
      <c r="R159" s="6" t="n"/>
      <c r="S159" s="3">
        <f>IF($B159="","",$B159&amp;"|"&amp;COUNTIFS($B$7:$B159,$B159))</f>
        <v/>
      </c>
      <c r="T159" s="3">
        <f>IF($C159="","",UPPER(SUBSTITUTE(SUBSTITUTE(SUBSTITUTE(SUBSTITUTE(SUBSTITUTE(SUBSTITUTE(SUBSTITUTE(SUBSTITUTE(SUBSTITUTE(SUBSTITUTE(SUBSTITUTE(SUBSTITUTE(SUBSTITUTE(SUBSTITUTE(SUBSTITUTE(SUBSTITUTE(SUBSTITUTE(SUBSTITUTE(TRIM($C159),"'",""),"İ","I"),"ı","I"),"i","I"),"Ş","S"),"ş","S"),"Ğ","G"),"ğ","G"),"Ü","U"),"ü","U"),"Ö","O"),"ö","O"),"Ç","C"),"ç","C"),".",""),",","")," ",""),"-","")))</f>
        <v/>
      </c>
    </row>
    <row r="160">
      <c r="A160" s="6" t="n"/>
      <c r="B160" s="113">
        <f>IF($C160="","",IFERROR(INDEX(MUSTERILER!$B$7:$B$106,MATCH($T160,MUSTERILER!$T$7:$T$106,0)),IFERROR(INDEX(MUSTERILER!$B$7:$B$106,MATCH($C160,MUSTERILER!$B$7:$B$106,0)),IFERROR(INDEX(MUSTERILER!$B$7:$B$106,MATCH($T160&amp;"*",MUSTERILER!$T$7:$T$106,0)),"TANIMSIZ MÜŞTERİ"))))</f>
        <v/>
      </c>
      <c r="C160" s="109" t="n"/>
      <c r="D160" s="220" t="n"/>
      <c r="E160" s="220" t="n"/>
      <c r="F160" s="108" t="n"/>
      <c r="G160" s="221" t="n"/>
      <c r="H160" s="108" t="n"/>
      <c r="I160" s="222">
        <f>IF(OR($C160="",$D160="",$G160="",$F160=""),0,$G160*IF($F160="Aylık",MAX(0,(YEAR(MIN(IF($E160="",TODAY(),$E160),TODAY()))-YEAR($D160))*12+MONTH(MIN(IF($E160="",TODAY(),$E160),TODAY()))-MONTH($D160)+IF(MIN(IF($E160="",TODAY(),$E160),TODAY())&gt;=EOMONTH(MIN(IF($E160="",TODAY(),$E160),TODAY()),0),1,0)),MAX(0,INT((MIN(IF($E160="",TODAY(),$E160),TODAY())-($D160+MOD(SISTEM!$F$8-WEEKDAY($D160,2),7)))/7)+1)))</f>
        <v/>
      </c>
      <c r="J160" s="222">
        <f>IF(OR($C160="",$D160="",$G160="",$F160=""),0,$G160*IF($F160="Aylık",MAX(0,(YEAR(MIN(IF($E160="",TODAY()-8,$E160),TODAY()-8))-YEAR($D160))*12+MONTH(MIN(IF($E160="",TODAY()-8,$E160),TODAY()-8))-MONTH($D160)+IF(MIN(IF($E160="",TODAY()-8,$E160),TODAY()-8)&gt;=EOMONTH(MIN(IF($E160="",TODAY()-8,$E160),TODAY()-8),0),1,0)),MAX(0,INT((MIN(IF($E160="",TODAY()-8,$E160),TODAY()-8)-($D160+MOD(SISTEM!$F$8-WEEKDAY($D160,2),7)))/7)+1)))</f>
        <v/>
      </c>
      <c r="K160" s="222">
        <f>IF(OR($C160="",$D160="",$G160="",$F160=""),0,$G160*IF($F160="Aylık",MAX(0,(YEAR(MIN(IF($E160="",TODAY()-15,$E160),TODAY()-15))-YEAR($D160))*12+MONTH(MIN(IF($E160="",TODAY()-15,$E160),TODAY()-15))-MONTH($D160)+IF(MIN(IF($E160="",TODAY()-15,$E160),TODAY()-15)&gt;=EOMONTH(MIN(IF($E160="",TODAY()-15,$E160),TODAY()-15),0),1,0)),MAX(0,INT((MIN(IF($E160="",TODAY()-15,$E160),TODAY()-15)-($D160+MOD(SISTEM!$F$8-WEEKDAY($D160,2),7)))/7)+1)))</f>
        <v/>
      </c>
      <c r="L160" s="222">
        <f>IF(OR($C160="",$D160="",$G160="",$F160=""),0,$G160*IF($F160="Aylık",MAX(0,(YEAR(MIN(IF($E160="",TODAY()-29,$E160),TODAY()-29))-YEAR($D160))*12+MONTH(MIN(IF($E160="",TODAY()-29,$E160),TODAY()-29))-MONTH($D160)+IF(MIN(IF($E160="",TODAY()-29,$E160),TODAY()-29)&gt;=EOMONTH(MIN(IF($E160="",TODAY()-29,$E160),TODAY()-29),0),1,0)),MAX(0,INT((MIN(IF($E160="",TODAY()-29,$E160),TODAY()-29)-($D160+MOD(SISTEM!$F$8-WEEKDAY($D160,2),7)))/7)+1)))</f>
        <v/>
      </c>
      <c r="M160" s="223">
        <f>IF($G160&gt;0,$I160/$G160,0)</f>
        <v/>
      </c>
      <c r="N160" s="113">
        <f>IF($C160="","",IF($B160="TANIMSIZ MÜŞTERİ","TANIMSIZ MÜŞTERİ",IF($F160="","MODEL SEÇİN",IF(OR($D160="",$G160&lt;=0),"EKSİK",IF(AND($E160&lt;&gt;"",$E160&lt;$D160),"TARİH HATASI",IF($H160="Pasif","KAPALI DÖNEM","UYGUN"))))))</f>
        <v/>
      </c>
      <c r="O160" s="224">
        <f>IF(OR($C160="",$D160="",$F160=""),"",IF($F160="Aylık",EOMONTH($D160,0),($D160+MOD(SISTEM!$F$8-WEEKDAY($D160,2),7))))</f>
        <v/>
      </c>
      <c r="P160" s="109" t="n"/>
      <c r="Q160" s="6" t="n"/>
      <c r="R160" s="6" t="n"/>
      <c r="S160" s="3">
        <f>IF($B160="","",$B160&amp;"|"&amp;COUNTIFS($B$7:$B160,$B160))</f>
        <v/>
      </c>
      <c r="T160" s="3">
        <f>IF($C160="","",UPPER(SUBSTITUTE(SUBSTITUTE(SUBSTITUTE(SUBSTITUTE(SUBSTITUTE(SUBSTITUTE(SUBSTITUTE(SUBSTITUTE(SUBSTITUTE(SUBSTITUTE(SUBSTITUTE(SUBSTITUTE(SUBSTITUTE(SUBSTITUTE(SUBSTITUTE(SUBSTITUTE(SUBSTITUTE(SUBSTITUTE(TRIM($C160),"'",""),"İ","I"),"ı","I"),"i","I"),"Ş","S"),"ş","S"),"Ğ","G"),"ğ","G"),"Ü","U"),"ü","U"),"Ö","O"),"ö","O"),"Ç","C"),"ç","C"),".",""),",","")," ",""),"-","")))</f>
        <v/>
      </c>
    </row>
    <row r="161">
      <c r="A161" s="6" t="n"/>
      <c r="B161" s="113">
        <f>IF($C161="","",IFERROR(INDEX(MUSTERILER!$B$7:$B$106,MATCH($T161,MUSTERILER!$T$7:$T$106,0)),IFERROR(INDEX(MUSTERILER!$B$7:$B$106,MATCH($C161,MUSTERILER!$B$7:$B$106,0)),IFERROR(INDEX(MUSTERILER!$B$7:$B$106,MATCH($T161&amp;"*",MUSTERILER!$T$7:$T$106,0)),"TANIMSIZ MÜŞTERİ"))))</f>
        <v/>
      </c>
      <c r="C161" s="109" t="n"/>
      <c r="D161" s="220" t="n"/>
      <c r="E161" s="220" t="n"/>
      <c r="F161" s="108" t="n"/>
      <c r="G161" s="221" t="n"/>
      <c r="H161" s="108" t="n"/>
      <c r="I161" s="222">
        <f>IF(OR($C161="",$D161="",$G161="",$F161=""),0,$G161*IF($F161="Aylık",MAX(0,(YEAR(MIN(IF($E161="",TODAY(),$E161),TODAY()))-YEAR($D161))*12+MONTH(MIN(IF($E161="",TODAY(),$E161),TODAY()))-MONTH($D161)+IF(MIN(IF($E161="",TODAY(),$E161),TODAY())&gt;=EOMONTH(MIN(IF($E161="",TODAY(),$E161),TODAY()),0),1,0)),MAX(0,INT((MIN(IF($E161="",TODAY(),$E161),TODAY())-($D161+MOD(SISTEM!$F$8-WEEKDAY($D161,2),7)))/7)+1)))</f>
        <v/>
      </c>
      <c r="J161" s="222">
        <f>IF(OR($C161="",$D161="",$G161="",$F161=""),0,$G161*IF($F161="Aylık",MAX(0,(YEAR(MIN(IF($E161="",TODAY()-8,$E161),TODAY()-8))-YEAR($D161))*12+MONTH(MIN(IF($E161="",TODAY()-8,$E161),TODAY()-8))-MONTH($D161)+IF(MIN(IF($E161="",TODAY()-8,$E161),TODAY()-8)&gt;=EOMONTH(MIN(IF($E161="",TODAY()-8,$E161),TODAY()-8),0),1,0)),MAX(0,INT((MIN(IF($E161="",TODAY()-8,$E161),TODAY()-8)-($D161+MOD(SISTEM!$F$8-WEEKDAY($D161,2),7)))/7)+1)))</f>
        <v/>
      </c>
      <c r="K161" s="222">
        <f>IF(OR($C161="",$D161="",$G161="",$F161=""),0,$G161*IF($F161="Aylık",MAX(0,(YEAR(MIN(IF($E161="",TODAY()-15,$E161),TODAY()-15))-YEAR($D161))*12+MONTH(MIN(IF($E161="",TODAY()-15,$E161),TODAY()-15))-MONTH($D161)+IF(MIN(IF($E161="",TODAY()-15,$E161),TODAY()-15)&gt;=EOMONTH(MIN(IF($E161="",TODAY()-15,$E161),TODAY()-15),0),1,0)),MAX(0,INT((MIN(IF($E161="",TODAY()-15,$E161),TODAY()-15)-($D161+MOD(SISTEM!$F$8-WEEKDAY($D161,2),7)))/7)+1)))</f>
        <v/>
      </c>
      <c r="L161" s="222">
        <f>IF(OR($C161="",$D161="",$G161="",$F161=""),0,$G161*IF($F161="Aylık",MAX(0,(YEAR(MIN(IF($E161="",TODAY()-29,$E161),TODAY()-29))-YEAR($D161))*12+MONTH(MIN(IF($E161="",TODAY()-29,$E161),TODAY()-29))-MONTH($D161)+IF(MIN(IF($E161="",TODAY()-29,$E161),TODAY()-29)&gt;=EOMONTH(MIN(IF($E161="",TODAY()-29,$E161),TODAY()-29),0),1,0)),MAX(0,INT((MIN(IF($E161="",TODAY()-29,$E161),TODAY()-29)-($D161+MOD(SISTEM!$F$8-WEEKDAY($D161,2),7)))/7)+1)))</f>
        <v/>
      </c>
      <c r="M161" s="223">
        <f>IF($G161&gt;0,$I161/$G161,0)</f>
        <v/>
      </c>
      <c r="N161" s="113">
        <f>IF($C161="","",IF($B161="TANIMSIZ MÜŞTERİ","TANIMSIZ MÜŞTERİ",IF($F161="","MODEL SEÇİN",IF(OR($D161="",$G161&lt;=0),"EKSİK",IF(AND($E161&lt;&gt;"",$E161&lt;$D161),"TARİH HATASI",IF($H161="Pasif","KAPALI DÖNEM","UYGUN"))))))</f>
        <v/>
      </c>
      <c r="O161" s="224">
        <f>IF(OR($C161="",$D161="",$F161=""),"",IF($F161="Aylık",EOMONTH($D161,0),($D161+MOD(SISTEM!$F$8-WEEKDAY($D161,2),7))))</f>
        <v/>
      </c>
      <c r="P161" s="109" t="n"/>
      <c r="Q161" s="6" t="n"/>
      <c r="R161" s="6" t="n"/>
      <c r="S161" s="3">
        <f>IF($B161="","",$B161&amp;"|"&amp;COUNTIFS($B$7:$B161,$B161))</f>
        <v/>
      </c>
      <c r="T161" s="3">
        <f>IF($C161="","",UPPER(SUBSTITUTE(SUBSTITUTE(SUBSTITUTE(SUBSTITUTE(SUBSTITUTE(SUBSTITUTE(SUBSTITUTE(SUBSTITUTE(SUBSTITUTE(SUBSTITUTE(SUBSTITUTE(SUBSTITUTE(SUBSTITUTE(SUBSTITUTE(SUBSTITUTE(SUBSTITUTE(SUBSTITUTE(SUBSTITUTE(TRIM($C161),"'",""),"İ","I"),"ı","I"),"i","I"),"Ş","S"),"ş","S"),"Ğ","G"),"ğ","G"),"Ü","U"),"ü","U"),"Ö","O"),"ö","O"),"Ç","C"),"ç","C"),".",""),",","")," ",""),"-","")))</f>
        <v/>
      </c>
    </row>
    <row r="162">
      <c r="A162" s="6" t="n"/>
      <c r="B162" s="113">
        <f>IF($C162="","",IFERROR(INDEX(MUSTERILER!$B$7:$B$106,MATCH($T162,MUSTERILER!$T$7:$T$106,0)),IFERROR(INDEX(MUSTERILER!$B$7:$B$106,MATCH($C162,MUSTERILER!$B$7:$B$106,0)),IFERROR(INDEX(MUSTERILER!$B$7:$B$106,MATCH($T162&amp;"*",MUSTERILER!$T$7:$T$106,0)),"TANIMSIZ MÜŞTERİ"))))</f>
        <v/>
      </c>
      <c r="C162" s="109" t="n"/>
      <c r="D162" s="220" t="n"/>
      <c r="E162" s="220" t="n"/>
      <c r="F162" s="108" t="n"/>
      <c r="G162" s="221" t="n"/>
      <c r="H162" s="108" t="n"/>
      <c r="I162" s="222">
        <f>IF(OR($C162="",$D162="",$G162="",$F162=""),0,$G162*IF($F162="Aylık",MAX(0,(YEAR(MIN(IF($E162="",TODAY(),$E162),TODAY()))-YEAR($D162))*12+MONTH(MIN(IF($E162="",TODAY(),$E162),TODAY()))-MONTH($D162)+IF(MIN(IF($E162="",TODAY(),$E162),TODAY())&gt;=EOMONTH(MIN(IF($E162="",TODAY(),$E162),TODAY()),0),1,0)),MAX(0,INT((MIN(IF($E162="",TODAY(),$E162),TODAY())-($D162+MOD(SISTEM!$F$8-WEEKDAY($D162,2),7)))/7)+1)))</f>
        <v/>
      </c>
      <c r="J162" s="222">
        <f>IF(OR($C162="",$D162="",$G162="",$F162=""),0,$G162*IF($F162="Aylık",MAX(0,(YEAR(MIN(IF($E162="",TODAY()-8,$E162),TODAY()-8))-YEAR($D162))*12+MONTH(MIN(IF($E162="",TODAY()-8,$E162),TODAY()-8))-MONTH($D162)+IF(MIN(IF($E162="",TODAY()-8,$E162),TODAY()-8)&gt;=EOMONTH(MIN(IF($E162="",TODAY()-8,$E162),TODAY()-8),0),1,0)),MAX(0,INT((MIN(IF($E162="",TODAY()-8,$E162),TODAY()-8)-($D162+MOD(SISTEM!$F$8-WEEKDAY($D162,2),7)))/7)+1)))</f>
        <v/>
      </c>
      <c r="K162" s="222">
        <f>IF(OR($C162="",$D162="",$G162="",$F162=""),0,$G162*IF($F162="Aylık",MAX(0,(YEAR(MIN(IF($E162="",TODAY()-15,$E162),TODAY()-15))-YEAR($D162))*12+MONTH(MIN(IF($E162="",TODAY()-15,$E162),TODAY()-15))-MONTH($D162)+IF(MIN(IF($E162="",TODAY()-15,$E162),TODAY()-15)&gt;=EOMONTH(MIN(IF($E162="",TODAY()-15,$E162),TODAY()-15),0),1,0)),MAX(0,INT((MIN(IF($E162="",TODAY()-15,$E162),TODAY()-15)-($D162+MOD(SISTEM!$F$8-WEEKDAY($D162,2),7)))/7)+1)))</f>
        <v/>
      </c>
      <c r="L162" s="222">
        <f>IF(OR($C162="",$D162="",$G162="",$F162=""),0,$G162*IF($F162="Aylık",MAX(0,(YEAR(MIN(IF($E162="",TODAY()-29,$E162),TODAY()-29))-YEAR($D162))*12+MONTH(MIN(IF($E162="",TODAY()-29,$E162),TODAY()-29))-MONTH($D162)+IF(MIN(IF($E162="",TODAY()-29,$E162),TODAY()-29)&gt;=EOMONTH(MIN(IF($E162="",TODAY()-29,$E162),TODAY()-29),0),1,0)),MAX(0,INT((MIN(IF($E162="",TODAY()-29,$E162),TODAY()-29)-($D162+MOD(SISTEM!$F$8-WEEKDAY($D162,2),7)))/7)+1)))</f>
        <v/>
      </c>
      <c r="M162" s="223">
        <f>IF($G162&gt;0,$I162/$G162,0)</f>
        <v/>
      </c>
      <c r="N162" s="113">
        <f>IF($C162="","",IF($B162="TANIMSIZ MÜŞTERİ","TANIMSIZ MÜŞTERİ",IF($F162="","MODEL SEÇİN",IF(OR($D162="",$G162&lt;=0),"EKSİK",IF(AND($E162&lt;&gt;"",$E162&lt;$D162),"TARİH HATASI",IF($H162="Pasif","KAPALI DÖNEM","UYGUN"))))))</f>
        <v/>
      </c>
      <c r="O162" s="224">
        <f>IF(OR($C162="",$D162="",$F162=""),"",IF($F162="Aylık",EOMONTH($D162,0),($D162+MOD(SISTEM!$F$8-WEEKDAY($D162,2),7))))</f>
        <v/>
      </c>
      <c r="P162" s="109" t="n"/>
      <c r="Q162" s="6" t="n"/>
      <c r="R162" s="6" t="n"/>
      <c r="S162" s="3">
        <f>IF($B162="","",$B162&amp;"|"&amp;COUNTIFS($B$7:$B162,$B162))</f>
        <v/>
      </c>
      <c r="T162" s="3">
        <f>IF($C162="","",UPPER(SUBSTITUTE(SUBSTITUTE(SUBSTITUTE(SUBSTITUTE(SUBSTITUTE(SUBSTITUTE(SUBSTITUTE(SUBSTITUTE(SUBSTITUTE(SUBSTITUTE(SUBSTITUTE(SUBSTITUTE(SUBSTITUTE(SUBSTITUTE(SUBSTITUTE(SUBSTITUTE(SUBSTITUTE(SUBSTITUTE(TRIM($C162),"'",""),"İ","I"),"ı","I"),"i","I"),"Ş","S"),"ş","S"),"Ğ","G"),"ğ","G"),"Ü","U"),"ü","U"),"Ö","O"),"ö","O"),"Ç","C"),"ç","C"),".",""),",","")," ",""),"-","")))</f>
        <v/>
      </c>
    </row>
    <row r="163">
      <c r="A163" s="6" t="n"/>
      <c r="B163" s="113">
        <f>IF($C163="","",IFERROR(INDEX(MUSTERILER!$B$7:$B$106,MATCH($T163,MUSTERILER!$T$7:$T$106,0)),IFERROR(INDEX(MUSTERILER!$B$7:$B$106,MATCH($C163,MUSTERILER!$B$7:$B$106,0)),IFERROR(INDEX(MUSTERILER!$B$7:$B$106,MATCH($T163&amp;"*",MUSTERILER!$T$7:$T$106,0)),"TANIMSIZ MÜŞTERİ"))))</f>
        <v/>
      </c>
      <c r="C163" s="109" t="n"/>
      <c r="D163" s="220" t="n"/>
      <c r="E163" s="220" t="n"/>
      <c r="F163" s="108" t="n"/>
      <c r="G163" s="221" t="n"/>
      <c r="H163" s="108" t="n"/>
      <c r="I163" s="222">
        <f>IF(OR($C163="",$D163="",$G163="",$F163=""),0,$G163*IF($F163="Aylık",MAX(0,(YEAR(MIN(IF($E163="",TODAY(),$E163),TODAY()))-YEAR($D163))*12+MONTH(MIN(IF($E163="",TODAY(),$E163),TODAY()))-MONTH($D163)+IF(MIN(IF($E163="",TODAY(),$E163),TODAY())&gt;=EOMONTH(MIN(IF($E163="",TODAY(),$E163),TODAY()),0),1,0)),MAX(0,INT((MIN(IF($E163="",TODAY(),$E163),TODAY())-($D163+MOD(SISTEM!$F$8-WEEKDAY($D163,2),7)))/7)+1)))</f>
        <v/>
      </c>
      <c r="J163" s="222">
        <f>IF(OR($C163="",$D163="",$G163="",$F163=""),0,$G163*IF($F163="Aylık",MAX(0,(YEAR(MIN(IF($E163="",TODAY()-8,$E163),TODAY()-8))-YEAR($D163))*12+MONTH(MIN(IF($E163="",TODAY()-8,$E163),TODAY()-8))-MONTH($D163)+IF(MIN(IF($E163="",TODAY()-8,$E163),TODAY()-8)&gt;=EOMONTH(MIN(IF($E163="",TODAY()-8,$E163),TODAY()-8),0),1,0)),MAX(0,INT((MIN(IF($E163="",TODAY()-8,$E163),TODAY()-8)-($D163+MOD(SISTEM!$F$8-WEEKDAY($D163,2),7)))/7)+1)))</f>
        <v/>
      </c>
      <c r="K163" s="222">
        <f>IF(OR($C163="",$D163="",$G163="",$F163=""),0,$G163*IF($F163="Aylık",MAX(0,(YEAR(MIN(IF($E163="",TODAY()-15,$E163),TODAY()-15))-YEAR($D163))*12+MONTH(MIN(IF($E163="",TODAY()-15,$E163),TODAY()-15))-MONTH($D163)+IF(MIN(IF($E163="",TODAY()-15,$E163),TODAY()-15)&gt;=EOMONTH(MIN(IF($E163="",TODAY()-15,$E163),TODAY()-15),0),1,0)),MAX(0,INT((MIN(IF($E163="",TODAY()-15,$E163),TODAY()-15)-($D163+MOD(SISTEM!$F$8-WEEKDAY($D163,2),7)))/7)+1)))</f>
        <v/>
      </c>
      <c r="L163" s="222">
        <f>IF(OR($C163="",$D163="",$G163="",$F163=""),0,$G163*IF($F163="Aylık",MAX(0,(YEAR(MIN(IF($E163="",TODAY()-29,$E163),TODAY()-29))-YEAR($D163))*12+MONTH(MIN(IF($E163="",TODAY()-29,$E163),TODAY()-29))-MONTH($D163)+IF(MIN(IF($E163="",TODAY()-29,$E163),TODAY()-29)&gt;=EOMONTH(MIN(IF($E163="",TODAY()-29,$E163),TODAY()-29),0),1,0)),MAX(0,INT((MIN(IF($E163="",TODAY()-29,$E163),TODAY()-29)-($D163+MOD(SISTEM!$F$8-WEEKDAY($D163,2),7)))/7)+1)))</f>
        <v/>
      </c>
      <c r="M163" s="223">
        <f>IF($G163&gt;0,$I163/$G163,0)</f>
        <v/>
      </c>
      <c r="N163" s="113">
        <f>IF($C163="","",IF($B163="TANIMSIZ MÜŞTERİ","TANIMSIZ MÜŞTERİ",IF($F163="","MODEL SEÇİN",IF(OR($D163="",$G163&lt;=0),"EKSİK",IF(AND($E163&lt;&gt;"",$E163&lt;$D163),"TARİH HATASI",IF($H163="Pasif","KAPALI DÖNEM","UYGUN"))))))</f>
        <v/>
      </c>
      <c r="O163" s="224">
        <f>IF(OR($C163="",$D163="",$F163=""),"",IF($F163="Aylık",EOMONTH($D163,0),($D163+MOD(SISTEM!$F$8-WEEKDAY($D163,2),7))))</f>
        <v/>
      </c>
      <c r="P163" s="109" t="n"/>
      <c r="Q163" s="6" t="n"/>
      <c r="R163" s="6" t="n"/>
      <c r="S163" s="3">
        <f>IF($B163="","",$B163&amp;"|"&amp;COUNTIFS($B$7:$B163,$B163))</f>
        <v/>
      </c>
      <c r="T163" s="3">
        <f>IF($C163="","",UPPER(SUBSTITUTE(SUBSTITUTE(SUBSTITUTE(SUBSTITUTE(SUBSTITUTE(SUBSTITUTE(SUBSTITUTE(SUBSTITUTE(SUBSTITUTE(SUBSTITUTE(SUBSTITUTE(SUBSTITUTE(SUBSTITUTE(SUBSTITUTE(SUBSTITUTE(SUBSTITUTE(SUBSTITUTE(SUBSTITUTE(TRIM($C163),"'",""),"İ","I"),"ı","I"),"i","I"),"Ş","S"),"ş","S"),"Ğ","G"),"ğ","G"),"Ü","U"),"ü","U"),"Ö","O"),"ö","O"),"Ç","C"),"ç","C"),".",""),",","")," ",""),"-","")))</f>
        <v/>
      </c>
    </row>
    <row r="164">
      <c r="A164" s="6" t="n"/>
      <c r="B164" s="113">
        <f>IF($C164="","",IFERROR(INDEX(MUSTERILER!$B$7:$B$106,MATCH($T164,MUSTERILER!$T$7:$T$106,0)),IFERROR(INDEX(MUSTERILER!$B$7:$B$106,MATCH($C164,MUSTERILER!$B$7:$B$106,0)),IFERROR(INDEX(MUSTERILER!$B$7:$B$106,MATCH($T164&amp;"*",MUSTERILER!$T$7:$T$106,0)),"TANIMSIZ MÜŞTERİ"))))</f>
        <v/>
      </c>
      <c r="C164" s="109" t="n"/>
      <c r="D164" s="220" t="n"/>
      <c r="E164" s="220" t="n"/>
      <c r="F164" s="108" t="n"/>
      <c r="G164" s="221" t="n"/>
      <c r="H164" s="108" t="n"/>
      <c r="I164" s="222">
        <f>IF(OR($C164="",$D164="",$G164="",$F164=""),0,$G164*IF($F164="Aylık",MAX(0,(YEAR(MIN(IF($E164="",TODAY(),$E164),TODAY()))-YEAR($D164))*12+MONTH(MIN(IF($E164="",TODAY(),$E164),TODAY()))-MONTH($D164)+IF(MIN(IF($E164="",TODAY(),$E164),TODAY())&gt;=EOMONTH(MIN(IF($E164="",TODAY(),$E164),TODAY()),0),1,0)),MAX(0,INT((MIN(IF($E164="",TODAY(),$E164),TODAY())-($D164+MOD(SISTEM!$F$8-WEEKDAY($D164,2),7)))/7)+1)))</f>
        <v/>
      </c>
      <c r="J164" s="222">
        <f>IF(OR($C164="",$D164="",$G164="",$F164=""),0,$G164*IF($F164="Aylık",MAX(0,(YEAR(MIN(IF($E164="",TODAY()-8,$E164),TODAY()-8))-YEAR($D164))*12+MONTH(MIN(IF($E164="",TODAY()-8,$E164),TODAY()-8))-MONTH($D164)+IF(MIN(IF($E164="",TODAY()-8,$E164),TODAY()-8)&gt;=EOMONTH(MIN(IF($E164="",TODAY()-8,$E164),TODAY()-8),0),1,0)),MAX(0,INT((MIN(IF($E164="",TODAY()-8,$E164),TODAY()-8)-($D164+MOD(SISTEM!$F$8-WEEKDAY($D164,2),7)))/7)+1)))</f>
        <v/>
      </c>
      <c r="K164" s="222">
        <f>IF(OR($C164="",$D164="",$G164="",$F164=""),0,$G164*IF($F164="Aylık",MAX(0,(YEAR(MIN(IF($E164="",TODAY()-15,$E164),TODAY()-15))-YEAR($D164))*12+MONTH(MIN(IF($E164="",TODAY()-15,$E164),TODAY()-15))-MONTH($D164)+IF(MIN(IF($E164="",TODAY()-15,$E164),TODAY()-15)&gt;=EOMONTH(MIN(IF($E164="",TODAY()-15,$E164),TODAY()-15),0),1,0)),MAX(0,INT((MIN(IF($E164="",TODAY()-15,$E164),TODAY()-15)-($D164+MOD(SISTEM!$F$8-WEEKDAY($D164,2),7)))/7)+1)))</f>
        <v/>
      </c>
      <c r="L164" s="222">
        <f>IF(OR($C164="",$D164="",$G164="",$F164=""),0,$G164*IF($F164="Aylık",MAX(0,(YEAR(MIN(IF($E164="",TODAY()-29,$E164),TODAY()-29))-YEAR($D164))*12+MONTH(MIN(IF($E164="",TODAY()-29,$E164),TODAY()-29))-MONTH($D164)+IF(MIN(IF($E164="",TODAY()-29,$E164),TODAY()-29)&gt;=EOMONTH(MIN(IF($E164="",TODAY()-29,$E164),TODAY()-29),0),1,0)),MAX(0,INT((MIN(IF($E164="",TODAY()-29,$E164),TODAY()-29)-($D164+MOD(SISTEM!$F$8-WEEKDAY($D164,2),7)))/7)+1)))</f>
        <v/>
      </c>
      <c r="M164" s="223">
        <f>IF($G164&gt;0,$I164/$G164,0)</f>
        <v/>
      </c>
      <c r="N164" s="113">
        <f>IF($C164="","",IF($B164="TANIMSIZ MÜŞTERİ","TANIMSIZ MÜŞTERİ",IF($F164="","MODEL SEÇİN",IF(OR($D164="",$G164&lt;=0),"EKSİK",IF(AND($E164&lt;&gt;"",$E164&lt;$D164),"TARİH HATASI",IF($H164="Pasif","KAPALI DÖNEM","UYGUN"))))))</f>
        <v/>
      </c>
      <c r="O164" s="224">
        <f>IF(OR($C164="",$D164="",$F164=""),"",IF($F164="Aylık",EOMONTH($D164,0),($D164+MOD(SISTEM!$F$8-WEEKDAY($D164,2),7))))</f>
        <v/>
      </c>
      <c r="P164" s="109" t="n"/>
      <c r="Q164" s="6" t="n"/>
      <c r="R164" s="6" t="n"/>
      <c r="S164" s="3">
        <f>IF($B164="","",$B164&amp;"|"&amp;COUNTIFS($B$7:$B164,$B164))</f>
        <v/>
      </c>
      <c r="T164" s="3">
        <f>IF($C164="","",UPPER(SUBSTITUTE(SUBSTITUTE(SUBSTITUTE(SUBSTITUTE(SUBSTITUTE(SUBSTITUTE(SUBSTITUTE(SUBSTITUTE(SUBSTITUTE(SUBSTITUTE(SUBSTITUTE(SUBSTITUTE(SUBSTITUTE(SUBSTITUTE(SUBSTITUTE(SUBSTITUTE(SUBSTITUTE(SUBSTITUTE(TRIM($C164),"'",""),"İ","I"),"ı","I"),"i","I"),"Ş","S"),"ş","S"),"Ğ","G"),"ğ","G"),"Ü","U"),"ü","U"),"Ö","O"),"ö","O"),"Ç","C"),"ç","C"),".",""),",","")," ",""),"-","")))</f>
        <v/>
      </c>
    </row>
    <row r="165">
      <c r="A165" s="6" t="n"/>
      <c r="B165" s="113">
        <f>IF($C165="","",IFERROR(INDEX(MUSTERILER!$B$7:$B$106,MATCH($T165,MUSTERILER!$T$7:$T$106,0)),IFERROR(INDEX(MUSTERILER!$B$7:$B$106,MATCH($C165,MUSTERILER!$B$7:$B$106,0)),IFERROR(INDEX(MUSTERILER!$B$7:$B$106,MATCH($T165&amp;"*",MUSTERILER!$T$7:$T$106,0)),"TANIMSIZ MÜŞTERİ"))))</f>
        <v/>
      </c>
      <c r="C165" s="109" t="n"/>
      <c r="D165" s="220" t="n"/>
      <c r="E165" s="220" t="n"/>
      <c r="F165" s="108" t="n"/>
      <c r="G165" s="221" t="n"/>
      <c r="H165" s="108" t="n"/>
      <c r="I165" s="222">
        <f>IF(OR($C165="",$D165="",$G165="",$F165=""),0,$G165*IF($F165="Aylık",MAX(0,(YEAR(MIN(IF($E165="",TODAY(),$E165),TODAY()))-YEAR($D165))*12+MONTH(MIN(IF($E165="",TODAY(),$E165),TODAY()))-MONTH($D165)+IF(MIN(IF($E165="",TODAY(),$E165),TODAY())&gt;=EOMONTH(MIN(IF($E165="",TODAY(),$E165),TODAY()),0),1,0)),MAX(0,INT((MIN(IF($E165="",TODAY(),$E165),TODAY())-($D165+MOD(SISTEM!$F$8-WEEKDAY($D165,2),7)))/7)+1)))</f>
        <v/>
      </c>
      <c r="J165" s="222">
        <f>IF(OR($C165="",$D165="",$G165="",$F165=""),0,$G165*IF($F165="Aylık",MAX(0,(YEAR(MIN(IF($E165="",TODAY()-8,$E165),TODAY()-8))-YEAR($D165))*12+MONTH(MIN(IF($E165="",TODAY()-8,$E165),TODAY()-8))-MONTH($D165)+IF(MIN(IF($E165="",TODAY()-8,$E165),TODAY()-8)&gt;=EOMONTH(MIN(IF($E165="",TODAY()-8,$E165),TODAY()-8),0),1,0)),MAX(0,INT((MIN(IF($E165="",TODAY()-8,$E165),TODAY()-8)-($D165+MOD(SISTEM!$F$8-WEEKDAY($D165,2),7)))/7)+1)))</f>
        <v/>
      </c>
      <c r="K165" s="222">
        <f>IF(OR($C165="",$D165="",$G165="",$F165=""),0,$G165*IF($F165="Aylık",MAX(0,(YEAR(MIN(IF($E165="",TODAY()-15,$E165),TODAY()-15))-YEAR($D165))*12+MONTH(MIN(IF($E165="",TODAY()-15,$E165),TODAY()-15))-MONTH($D165)+IF(MIN(IF($E165="",TODAY()-15,$E165),TODAY()-15)&gt;=EOMONTH(MIN(IF($E165="",TODAY()-15,$E165),TODAY()-15),0),1,0)),MAX(0,INT((MIN(IF($E165="",TODAY()-15,$E165),TODAY()-15)-($D165+MOD(SISTEM!$F$8-WEEKDAY($D165,2),7)))/7)+1)))</f>
        <v/>
      </c>
      <c r="L165" s="222">
        <f>IF(OR($C165="",$D165="",$G165="",$F165=""),0,$G165*IF($F165="Aylık",MAX(0,(YEAR(MIN(IF($E165="",TODAY()-29,$E165),TODAY()-29))-YEAR($D165))*12+MONTH(MIN(IF($E165="",TODAY()-29,$E165),TODAY()-29))-MONTH($D165)+IF(MIN(IF($E165="",TODAY()-29,$E165),TODAY()-29)&gt;=EOMONTH(MIN(IF($E165="",TODAY()-29,$E165),TODAY()-29),0),1,0)),MAX(0,INT((MIN(IF($E165="",TODAY()-29,$E165),TODAY()-29)-($D165+MOD(SISTEM!$F$8-WEEKDAY($D165,2),7)))/7)+1)))</f>
        <v/>
      </c>
      <c r="M165" s="223">
        <f>IF($G165&gt;0,$I165/$G165,0)</f>
        <v/>
      </c>
      <c r="N165" s="113">
        <f>IF($C165="","",IF($B165="TANIMSIZ MÜŞTERİ","TANIMSIZ MÜŞTERİ",IF($F165="","MODEL SEÇİN",IF(OR($D165="",$G165&lt;=0),"EKSİK",IF(AND($E165&lt;&gt;"",$E165&lt;$D165),"TARİH HATASI",IF($H165="Pasif","KAPALI DÖNEM","UYGUN"))))))</f>
        <v/>
      </c>
      <c r="O165" s="224">
        <f>IF(OR($C165="",$D165="",$F165=""),"",IF($F165="Aylık",EOMONTH($D165,0),($D165+MOD(SISTEM!$F$8-WEEKDAY($D165,2),7))))</f>
        <v/>
      </c>
      <c r="P165" s="109" t="n"/>
      <c r="Q165" s="6" t="n"/>
      <c r="R165" s="6" t="n"/>
      <c r="S165" s="3">
        <f>IF($B165="","",$B165&amp;"|"&amp;COUNTIFS($B$7:$B165,$B165))</f>
        <v/>
      </c>
      <c r="T165" s="3">
        <f>IF($C165="","",UPPER(SUBSTITUTE(SUBSTITUTE(SUBSTITUTE(SUBSTITUTE(SUBSTITUTE(SUBSTITUTE(SUBSTITUTE(SUBSTITUTE(SUBSTITUTE(SUBSTITUTE(SUBSTITUTE(SUBSTITUTE(SUBSTITUTE(SUBSTITUTE(SUBSTITUTE(SUBSTITUTE(SUBSTITUTE(SUBSTITUTE(TRIM($C165),"'",""),"İ","I"),"ı","I"),"i","I"),"Ş","S"),"ş","S"),"Ğ","G"),"ğ","G"),"Ü","U"),"ü","U"),"Ö","O"),"ö","O"),"Ç","C"),"ç","C"),".",""),",","")," ",""),"-","")))</f>
        <v/>
      </c>
    </row>
    <row r="166">
      <c r="A166" s="6" t="n"/>
      <c r="B166" s="113">
        <f>IF($C166="","",IFERROR(INDEX(MUSTERILER!$B$7:$B$106,MATCH($T166,MUSTERILER!$T$7:$T$106,0)),IFERROR(INDEX(MUSTERILER!$B$7:$B$106,MATCH($C166,MUSTERILER!$B$7:$B$106,0)),IFERROR(INDEX(MUSTERILER!$B$7:$B$106,MATCH($T166&amp;"*",MUSTERILER!$T$7:$T$106,0)),"TANIMSIZ MÜŞTERİ"))))</f>
        <v/>
      </c>
      <c r="C166" s="109" t="n"/>
      <c r="D166" s="220" t="n"/>
      <c r="E166" s="220" t="n"/>
      <c r="F166" s="108" t="n"/>
      <c r="G166" s="221" t="n"/>
      <c r="H166" s="108" t="n"/>
      <c r="I166" s="222">
        <f>IF(OR($C166="",$D166="",$G166="",$F166=""),0,$G166*IF($F166="Aylık",MAX(0,(YEAR(MIN(IF($E166="",TODAY(),$E166),TODAY()))-YEAR($D166))*12+MONTH(MIN(IF($E166="",TODAY(),$E166),TODAY()))-MONTH($D166)+IF(MIN(IF($E166="",TODAY(),$E166),TODAY())&gt;=EOMONTH(MIN(IF($E166="",TODAY(),$E166),TODAY()),0),1,0)),MAX(0,INT((MIN(IF($E166="",TODAY(),$E166),TODAY())-($D166+MOD(SISTEM!$F$8-WEEKDAY($D166,2),7)))/7)+1)))</f>
        <v/>
      </c>
      <c r="J166" s="222">
        <f>IF(OR($C166="",$D166="",$G166="",$F166=""),0,$G166*IF($F166="Aylık",MAX(0,(YEAR(MIN(IF($E166="",TODAY()-8,$E166),TODAY()-8))-YEAR($D166))*12+MONTH(MIN(IF($E166="",TODAY()-8,$E166),TODAY()-8))-MONTH($D166)+IF(MIN(IF($E166="",TODAY()-8,$E166),TODAY()-8)&gt;=EOMONTH(MIN(IF($E166="",TODAY()-8,$E166),TODAY()-8),0),1,0)),MAX(0,INT((MIN(IF($E166="",TODAY()-8,$E166),TODAY()-8)-($D166+MOD(SISTEM!$F$8-WEEKDAY($D166,2),7)))/7)+1)))</f>
        <v/>
      </c>
      <c r="K166" s="222">
        <f>IF(OR($C166="",$D166="",$G166="",$F166=""),0,$G166*IF($F166="Aylık",MAX(0,(YEAR(MIN(IF($E166="",TODAY()-15,$E166),TODAY()-15))-YEAR($D166))*12+MONTH(MIN(IF($E166="",TODAY()-15,$E166),TODAY()-15))-MONTH($D166)+IF(MIN(IF($E166="",TODAY()-15,$E166),TODAY()-15)&gt;=EOMONTH(MIN(IF($E166="",TODAY()-15,$E166),TODAY()-15),0),1,0)),MAX(0,INT((MIN(IF($E166="",TODAY()-15,$E166),TODAY()-15)-($D166+MOD(SISTEM!$F$8-WEEKDAY($D166,2),7)))/7)+1)))</f>
        <v/>
      </c>
      <c r="L166" s="222">
        <f>IF(OR($C166="",$D166="",$G166="",$F166=""),0,$G166*IF($F166="Aylık",MAX(0,(YEAR(MIN(IF($E166="",TODAY()-29,$E166),TODAY()-29))-YEAR($D166))*12+MONTH(MIN(IF($E166="",TODAY()-29,$E166),TODAY()-29))-MONTH($D166)+IF(MIN(IF($E166="",TODAY()-29,$E166),TODAY()-29)&gt;=EOMONTH(MIN(IF($E166="",TODAY()-29,$E166),TODAY()-29),0),1,0)),MAX(0,INT((MIN(IF($E166="",TODAY()-29,$E166),TODAY()-29)-($D166+MOD(SISTEM!$F$8-WEEKDAY($D166,2),7)))/7)+1)))</f>
        <v/>
      </c>
      <c r="M166" s="223">
        <f>IF($G166&gt;0,$I166/$G166,0)</f>
        <v/>
      </c>
      <c r="N166" s="113">
        <f>IF($C166="","",IF($B166="TANIMSIZ MÜŞTERİ","TANIMSIZ MÜŞTERİ",IF($F166="","MODEL SEÇİN",IF(OR($D166="",$G166&lt;=0),"EKSİK",IF(AND($E166&lt;&gt;"",$E166&lt;$D166),"TARİH HATASI",IF($H166="Pasif","KAPALI DÖNEM","UYGUN"))))))</f>
        <v/>
      </c>
      <c r="O166" s="224">
        <f>IF(OR($C166="",$D166="",$F166=""),"",IF($F166="Aylık",EOMONTH($D166,0),($D166+MOD(SISTEM!$F$8-WEEKDAY($D166,2),7))))</f>
        <v/>
      </c>
      <c r="P166" s="109" t="n"/>
      <c r="Q166" s="6" t="n"/>
      <c r="R166" s="6" t="n"/>
      <c r="S166" s="3">
        <f>IF($B166="","",$B166&amp;"|"&amp;COUNTIFS($B$7:$B166,$B166))</f>
        <v/>
      </c>
      <c r="T166" s="3">
        <f>IF($C166="","",UPPER(SUBSTITUTE(SUBSTITUTE(SUBSTITUTE(SUBSTITUTE(SUBSTITUTE(SUBSTITUTE(SUBSTITUTE(SUBSTITUTE(SUBSTITUTE(SUBSTITUTE(SUBSTITUTE(SUBSTITUTE(SUBSTITUTE(SUBSTITUTE(SUBSTITUTE(SUBSTITUTE(SUBSTITUTE(SUBSTITUTE(TRIM($C166),"'",""),"İ","I"),"ı","I"),"i","I"),"Ş","S"),"ş","S"),"Ğ","G"),"ğ","G"),"Ü","U"),"ü","U"),"Ö","O"),"ö","O"),"Ç","C"),"ç","C"),".",""),",","")," ",""),"-","")))</f>
        <v/>
      </c>
    </row>
    <row r="167">
      <c r="A167" s="6" t="n"/>
      <c r="B167" s="113">
        <f>IF($C167="","",IFERROR(INDEX(MUSTERILER!$B$7:$B$106,MATCH($T167,MUSTERILER!$T$7:$T$106,0)),IFERROR(INDEX(MUSTERILER!$B$7:$B$106,MATCH($C167,MUSTERILER!$B$7:$B$106,0)),IFERROR(INDEX(MUSTERILER!$B$7:$B$106,MATCH($T167&amp;"*",MUSTERILER!$T$7:$T$106,0)),"TANIMSIZ MÜŞTERİ"))))</f>
        <v/>
      </c>
      <c r="C167" s="109" t="n"/>
      <c r="D167" s="220" t="n"/>
      <c r="E167" s="220" t="n"/>
      <c r="F167" s="108" t="n"/>
      <c r="G167" s="221" t="n"/>
      <c r="H167" s="108" t="n"/>
      <c r="I167" s="222">
        <f>IF(OR($C167="",$D167="",$G167="",$F167=""),0,$G167*IF($F167="Aylık",MAX(0,(YEAR(MIN(IF($E167="",TODAY(),$E167),TODAY()))-YEAR($D167))*12+MONTH(MIN(IF($E167="",TODAY(),$E167),TODAY()))-MONTH($D167)+IF(MIN(IF($E167="",TODAY(),$E167),TODAY())&gt;=EOMONTH(MIN(IF($E167="",TODAY(),$E167),TODAY()),0),1,0)),MAX(0,INT((MIN(IF($E167="",TODAY(),$E167),TODAY())-($D167+MOD(SISTEM!$F$8-WEEKDAY($D167,2),7)))/7)+1)))</f>
        <v/>
      </c>
      <c r="J167" s="222">
        <f>IF(OR($C167="",$D167="",$G167="",$F167=""),0,$G167*IF($F167="Aylık",MAX(0,(YEAR(MIN(IF($E167="",TODAY()-8,$E167),TODAY()-8))-YEAR($D167))*12+MONTH(MIN(IF($E167="",TODAY()-8,$E167),TODAY()-8))-MONTH($D167)+IF(MIN(IF($E167="",TODAY()-8,$E167),TODAY()-8)&gt;=EOMONTH(MIN(IF($E167="",TODAY()-8,$E167),TODAY()-8),0),1,0)),MAX(0,INT((MIN(IF($E167="",TODAY()-8,$E167),TODAY()-8)-($D167+MOD(SISTEM!$F$8-WEEKDAY($D167,2),7)))/7)+1)))</f>
        <v/>
      </c>
      <c r="K167" s="222">
        <f>IF(OR($C167="",$D167="",$G167="",$F167=""),0,$G167*IF($F167="Aylık",MAX(0,(YEAR(MIN(IF($E167="",TODAY()-15,$E167),TODAY()-15))-YEAR($D167))*12+MONTH(MIN(IF($E167="",TODAY()-15,$E167),TODAY()-15))-MONTH($D167)+IF(MIN(IF($E167="",TODAY()-15,$E167),TODAY()-15)&gt;=EOMONTH(MIN(IF($E167="",TODAY()-15,$E167),TODAY()-15),0),1,0)),MAX(0,INT((MIN(IF($E167="",TODAY()-15,$E167),TODAY()-15)-($D167+MOD(SISTEM!$F$8-WEEKDAY($D167,2),7)))/7)+1)))</f>
        <v/>
      </c>
      <c r="L167" s="222">
        <f>IF(OR($C167="",$D167="",$G167="",$F167=""),0,$G167*IF($F167="Aylık",MAX(0,(YEAR(MIN(IF($E167="",TODAY()-29,$E167),TODAY()-29))-YEAR($D167))*12+MONTH(MIN(IF($E167="",TODAY()-29,$E167),TODAY()-29))-MONTH($D167)+IF(MIN(IF($E167="",TODAY()-29,$E167),TODAY()-29)&gt;=EOMONTH(MIN(IF($E167="",TODAY()-29,$E167),TODAY()-29),0),1,0)),MAX(0,INT((MIN(IF($E167="",TODAY()-29,$E167),TODAY()-29)-($D167+MOD(SISTEM!$F$8-WEEKDAY($D167,2),7)))/7)+1)))</f>
        <v/>
      </c>
      <c r="M167" s="223">
        <f>IF($G167&gt;0,$I167/$G167,0)</f>
        <v/>
      </c>
      <c r="N167" s="113">
        <f>IF($C167="","",IF($B167="TANIMSIZ MÜŞTERİ","TANIMSIZ MÜŞTERİ",IF($F167="","MODEL SEÇİN",IF(OR($D167="",$G167&lt;=0),"EKSİK",IF(AND($E167&lt;&gt;"",$E167&lt;$D167),"TARİH HATASI",IF($H167="Pasif","KAPALI DÖNEM","UYGUN"))))))</f>
        <v/>
      </c>
      <c r="O167" s="224">
        <f>IF(OR($C167="",$D167="",$F167=""),"",IF($F167="Aylık",EOMONTH($D167,0),($D167+MOD(SISTEM!$F$8-WEEKDAY($D167,2),7))))</f>
        <v/>
      </c>
      <c r="P167" s="109" t="n"/>
      <c r="Q167" s="6" t="n"/>
      <c r="R167" s="6" t="n"/>
      <c r="S167" s="3">
        <f>IF($B167="","",$B167&amp;"|"&amp;COUNTIFS($B$7:$B167,$B167))</f>
        <v/>
      </c>
      <c r="T167" s="3">
        <f>IF($C167="","",UPPER(SUBSTITUTE(SUBSTITUTE(SUBSTITUTE(SUBSTITUTE(SUBSTITUTE(SUBSTITUTE(SUBSTITUTE(SUBSTITUTE(SUBSTITUTE(SUBSTITUTE(SUBSTITUTE(SUBSTITUTE(SUBSTITUTE(SUBSTITUTE(SUBSTITUTE(SUBSTITUTE(SUBSTITUTE(SUBSTITUTE(TRIM($C167),"'",""),"İ","I"),"ı","I"),"i","I"),"Ş","S"),"ş","S"),"Ğ","G"),"ğ","G"),"Ü","U"),"ü","U"),"Ö","O"),"ö","O"),"Ç","C"),"ç","C"),".",""),",","")," ",""),"-","")))</f>
        <v/>
      </c>
    </row>
    <row r="168">
      <c r="A168" s="6" t="n"/>
      <c r="B168" s="113">
        <f>IF($C168="","",IFERROR(INDEX(MUSTERILER!$B$7:$B$106,MATCH($T168,MUSTERILER!$T$7:$T$106,0)),IFERROR(INDEX(MUSTERILER!$B$7:$B$106,MATCH($C168,MUSTERILER!$B$7:$B$106,0)),IFERROR(INDEX(MUSTERILER!$B$7:$B$106,MATCH($T168&amp;"*",MUSTERILER!$T$7:$T$106,0)),"TANIMSIZ MÜŞTERİ"))))</f>
        <v/>
      </c>
      <c r="C168" s="109" t="n"/>
      <c r="D168" s="220" t="n"/>
      <c r="E168" s="220" t="n"/>
      <c r="F168" s="108" t="n"/>
      <c r="G168" s="221" t="n"/>
      <c r="H168" s="108" t="n"/>
      <c r="I168" s="222">
        <f>IF(OR($C168="",$D168="",$G168="",$F168=""),0,$G168*IF($F168="Aylık",MAX(0,(YEAR(MIN(IF($E168="",TODAY(),$E168),TODAY()))-YEAR($D168))*12+MONTH(MIN(IF($E168="",TODAY(),$E168),TODAY()))-MONTH($D168)+IF(MIN(IF($E168="",TODAY(),$E168),TODAY())&gt;=EOMONTH(MIN(IF($E168="",TODAY(),$E168),TODAY()),0),1,0)),MAX(0,INT((MIN(IF($E168="",TODAY(),$E168),TODAY())-($D168+MOD(SISTEM!$F$8-WEEKDAY($D168,2),7)))/7)+1)))</f>
        <v/>
      </c>
      <c r="J168" s="222">
        <f>IF(OR($C168="",$D168="",$G168="",$F168=""),0,$G168*IF($F168="Aylık",MAX(0,(YEAR(MIN(IF($E168="",TODAY()-8,$E168),TODAY()-8))-YEAR($D168))*12+MONTH(MIN(IF($E168="",TODAY()-8,$E168),TODAY()-8))-MONTH($D168)+IF(MIN(IF($E168="",TODAY()-8,$E168),TODAY()-8)&gt;=EOMONTH(MIN(IF($E168="",TODAY()-8,$E168),TODAY()-8),0),1,0)),MAX(0,INT((MIN(IF($E168="",TODAY()-8,$E168),TODAY()-8)-($D168+MOD(SISTEM!$F$8-WEEKDAY($D168,2),7)))/7)+1)))</f>
        <v/>
      </c>
      <c r="K168" s="222">
        <f>IF(OR($C168="",$D168="",$G168="",$F168=""),0,$G168*IF($F168="Aylık",MAX(0,(YEAR(MIN(IF($E168="",TODAY()-15,$E168),TODAY()-15))-YEAR($D168))*12+MONTH(MIN(IF($E168="",TODAY()-15,$E168),TODAY()-15))-MONTH($D168)+IF(MIN(IF($E168="",TODAY()-15,$E168),TODAY()-15)&gt;=EOMONTH(MIN(IF($E168="",TODAY()-15,$E168),TODAY()-15),0),1,0)),MAX(0,INT((MIN(IF($E168="",TODAY()-15,$E168),TODAY()-15)-($D168+MOD(SISTEM!$F$8-WEEKDAY($D168,2),7)))/7)+1)))</f>
        <v/>
      </c>
      <c r="L168" s="222">
        <f>IF(OR($C168="",$D168="",$G168="",$F168=""),0,$G168*IF($F168="Aylık",MAX(0,(YEAR(MIN(IF($E168="",TODAY()-29,$E168),TODAY()-29))-YEAR($D168))*12+MONTH(MIN(IF($E168="",TODAY()-29,$E168),TODAY()-29))-MONTH($D168)+IF(MIN(IF($E168="",TODAY()-29,$E168),TODAY()-29)&gt;=EOMONTH(MIN(IF($E168="",TODAY()-29,$E168),TODAY()-29),0),1,0)),MAX(0,INT((MIN(IF($E168="",TODAY()-29,$E168),TODAY()-29)-($D168+MOD(SISTEM!$F$8-WEEKDAY($D168,2),7)))/7)+1)))</f>
        <v/>
      </c>
      <c r="M168" s="223">
        <f>IF($G168&gt;0,$I168/$G168,0)</f>
        <v/>
      </c>
      <c r="N168" s="113">
        <f>IF($C168="","",IF($B168="TANIMSIZ MÜŞTERİ","TANIMSIZ MÜŞTERİ",IF($F168="","MODEL SEÇİN",IF(OR($D168="",$G168&lt;=0),"EKSİK",IF(AND($E168&lt;&gt;"",$E168&lt;$D168),"TARİH HATASI",IF($H168="Pasif","KAPALI DÖNEM","UYGUN"))))))</f>
        <v/>
      </c>
      <c r="O168" s="224">
        <f>IF(OR($C168="",$D168="",$F168=""),"",IF($F168="Aylık",EOMONTH($D168,0),($D168+MOD(SISTEM!$F$8-WEEKDAY($D168,2),7))))</f>
        <v/>
      </c>
      <c r="P168" s="109" t="n"/>
      <c r="Q168" s="6" t="n"/>
      <c r="R168" s="6" t="n"/>
      <c r="S168" s="3">
        <f>IF($B168="","",$B168&amp;"|"&amp;COUNTIFS($B$7:$B168,$B168))</f>
        <v/>
      </c>
      <c r="T168" s="3">
        <f>IF($C168="","",UPPER(SUBSTITUTE(SUBSTITUTE(SUBSTITUTE(SUBSTITUTE(SUBSTITUTE(SUBSTITUTE(SUBSTITUTE(SUBSTITUTE(SUBSTITUTE(SUBSTITUTE(SUBSTITUTE(SUBSTITUTE(SUBSTITUTE(SUBSTITUTE(SUBSTITUTE(SUBSTITUTE(SUBSTITUTE(SUBSTITUTE(TRIM($C168),"'",""),"İ","I"),"ı","I"),"i","I"),"Ş","S"),"ş","S"),"Ğ","G"),"ğ","G"),"Ü","U"),"ü","U"),"Ö","O"),"ö","O"),"Ç","C"),"ç","C"),".",""),",","")," ",""),"-","")))</f>
        <v/>
      </c>
    </row>
    <row r="169">
      <c r="A169" s="6" t="n"/>
      <c r="B169" s="113">
        <f>IF($C169="","",IFERROR(INDEX(MUSTERILER!$B$7:$B$106,MATCH($T169,MUSTERILER!$T$7:$T$106,0)),IFERROR(INDEX(MUSTERILER!$B$7:$B$106,MATCH($C169,MUSTERILER!$B$7:$B$106,0)),IFERROR(INDEX(MUSTERILER!$B$7:$B$106,MATCH($T169&amp;"*",MUSTERILER!$T$7:$T$106,0)),"TANIMSIZ MÜŞTERİ"))))</f>
        <v/>
      </c>
      <c r="C169" s="109" t="n"/>
      <c r="D169" s="220" t="n"/>
      <c r="E169" s="220" t="n"/>
      <c r="F169" s="108" t="n"/>
      <c r="G169" s="221" t="n"/>
      <c r="H169" s="108" t="n"/>
      <c r="I169" s="222">
        <f>IF(OR($C169="",$D169="",$G169="",$F169=""),0,$G169*IF($F169="Aylık",MAX(0,(YEAR(MIN(IF($E169="",TODAY(),$E169),TODAY()))-YEAR($D169))*12+MONTH(MIN(IF($E169="",TODAY(),$E169),TODAY()))-MONTH($D169)+IF(MIN(IF($E169="",TODAY(),$E169),TODAY())&gt;=EOMONTH(MIN(IF($E169="",TODAY(),$E169),TODAY()),0),1,0)),MAX(0,INT((MIN(IF($E169="",TODAY(),$E169),TODAY())-($D169+MOD(SISTEM!$F$8-WEEKDAY($D169,2),7)))/7)+1)))</f>
        <v/>
      </c>
      <c r="J169" s="222">
        <f>IF(OR($C169="",$D169="",$G169="",$F169=""),0,$G169*IF($F169="Aylık",MAX(0,(YEAR(MIN(IF($E169="",TODAY()-8,$E169),TODAY()-8))-YEAR($D169))*12+MONTH(MIN(IF($E169="",TODAY()-8,$E169),TODAY()-8))-MONTH($D169)+IF(MIN(IF($E169="",TODAY()-8,$E169),TODAY()-8)&gt;=EOMONTH(MIN(IF($E169="",TODAY()-8,$E169),TODAY()-8),0),1,0)),MAX(0,INT((MIN(IF($E169="",TODAY()-8,$E169),TODAY()-8)-($D169+MOD(SISTEM!$F$8-WEEKDAY($D169,2),7)))/7)+1)))</f>
        <v/>
      </c>
      <c r="K169" s="222">
        <f>IF(OR($C169="",$D169="",$G169="",$F169=""),0,$G169*IF($F169="Aylık",MAX(0,(YEAR(MIN(IF($E169="",TODAY()-15,$E169),TODAY()-15))-YEAR($D169))*12+MONTH(MIN(IF($E169="",TODAY()-15,$E169),TODAY()-15))-MONTH($D169)+IF(MIN(IF($E169="",TODAY()-15,$E169),TODAY()-15)&gt;=EOMONTH(MIN(IF($E169="",TODAY()-15,$E169),TODAY()-15),0),1,0)),MAX(0,INT((MIN(IF($E169="",TODAY()-15,$E169),TODAY()-15)-($D169+MOD(SISTEM!$F$8-WEEKDAY($D169,2),7)))/7)+1)))</f>
        <v/>
      </c>
      <c r="L169" s="222">
        <f>IF(OR($C169="",$D169="",$G169="",$F169=""),0,$G169*IF($F169="Aylık",MAX(0,(YEAR(MIN(IF($E169="",TODAY()-29,$E169),TODAY()-29))-YEAR($D169))*12+MONTH(MIN(IF($E169="",TODAY()-29,$E169),TODAY()-29))-MONTH($D169)+IF(MIN(IF($E169="",TODAY()-29,$E169),TODAY()-29)&gt;=EOMONTH(MIN(IF($E169="",TODAY()-29,$E169),TODAY()-29),0),1,0)),MAX(0,INT((MIN(IF($E169="",TODAY()-29,$E169),TODAY()-29)-($D169+MOD(SISTEM!$F$8-WEEKDAY($D169,2),7)))/7)+1)))</f>
        <v/>
      </c>
      <c r="M169" s="223">
        <f>IF($G169&gt;0,$I169/$G169,0)</f>
        <v/>
      </c>
      <c r="N169" s="113">
        <f>IF($C169="","",IF($B169="TANIMSIZ MÜŞTERİ","TANIMSIZ MÜŞTERİ",IF($F169="","MODEL SEÇİN",IF(OR($D169="",$G169&lt;=0),"EKSİK",IF(AND($E169&lt;&gt;"",$E169&lt;$D169),"TARİH HATASI",IF($H169="Pasif","KAPALI DÖNEM","UYGUN"))))))</f>
        <v/>
      </c>
      <c r="O169" s="224">
        <f>IF(OR($C169="",$D169="",$F169=""),"",IF($F169="Aylık",EOMONTH($D169,0),($D169+MOD(SISTEM!$F$8-WEEKDAY($D169,2),7))))</f>
        <v/>
      </c>
      <c r="P169" s="109" t="n"/>
      <c r="Q169" s="6" t="n"/>
      <c r="R169" s="6" t="n"/>
      <c r="S169" s="3">
        <f>IF($B169="","",$B169&amp;"|"&amp;COUNTIFS($B$7:$B169,$B169))</f>
        <v/>
      </c>
      <c r="T169" s="3">
        <f>IF($C169="","",UPPER(SUBSTITUTE(SUBSTITUTE(SUBSTITUTE(SUBSTITUTE(SUBSTITUTE(SUBSTITUTE(SUBSTITUTE(SUBSTITUTE(SUBSTITUTE(SUBSTITUTE(SUBSTITUTE(SUBSTITUTE(SUBSTITUTE(SUBSTITUTE(SUBSTITUTE(SUBSTITUTE(SUBSTITUTE(SUBSTITUTE(TRIM($C169),"'",""),"İ","I"),"ı","I"),"i","I"),"Ş","S"),"ş","S"),"Ğ","G"),"ğ","G"),"Ü","U"),"ü","U"),"Ö","O"),"ö","O"),"Ç","C"),"ç","C"),".",""),",","")," ",""),"-","")))</f>
        <v/>
      </c>
    </row>
    <row r="170">
      <c r="A170" s="6" t="n"/>
      <c r="B170" s="113">
        <f>IF($C170="","",IFERROR(INDEX(MUSTERILER!$B$7:$B$106,MATCH($T170,MUSTERILER!$T$7:$T$106,0)),IFERROR(INDEX(MUSTERILER!$B$7:$B$106,MATCH($C170,MUSTERILER!$B$7:$B$106,0)),IFERROR(INDEX(MUSTERILER!$B$7:$B$106,MATCH($T170&amp;"*",MUSTERILER!$T$7:$T$106,0)),"TANIMSIZ MÜŞTERİ"))))</f>
        <v/>
      </c>
      <c r="C170" s="109" t="n"/>
      <c r="D170" s="220" t="n"/>
      <c r="E170" s="220" t="n"/>
      <c r="F170" s="108" t="n"/>
      <c r="G170" s="221" t="n"/>
      <c r="H170" s="108" t="n"/>
      <c r="I170" s="222">
        <f>IF(OR($C170="",$D170="",$G170="",$F170=""),0,$G170*IF($F170="Aylık",MAX(0,(YEAR(MIN(IF($E170="",TODAY(),$E170),TODAY()))-YEAR($D170))*12+MONTH(MIN(IF($E170="",TODAY(),$E170),TODAY()))-MONTH($D170)+IF(MIN(IF($E170="",TODAY(),$E170),TODAY())&gt;=EOMONTH(MIN(IF($E170="",TODAY(),$E170),TODAY()),0),1,0)),MAX(0,INT((MIN(IF($E170="",TODAY(),$E170),TODAY())-($D170+MOD(SISTEM!$F$8-WEEKDAY($D170,2),7)))/7)+1)))</f>
        <v/>
      </c>
      <c r="J170" s="222">
        <f>IF(OR($C170="",$D170="",$G170="",$F170=""),0,$G170*IF($F170="Aylık",MAX(0,(YEAR(MIN(IF($E170="",TODAY()-8,$E170),TODAY()-8))-YEAR($D170))*12+MONTH(MIN(IF($E170="",TODAY()-8,$E170),TODAY()-8))-MONTH($D170)+IF(MIN(IF($E170="",TODAY()-8,$E170),TODAY()-8)&gt;=EOMONTH(MIN(IF($E170="",TODAY()-8,$E170),TODAY()-8),0),1,0)),MAX(0,INT((MIN(IF($E170="",TODAY()-8,$E170),TODAY()-8)-($D170+MOD(SISTEM!$F$8-WEEKDAY($D170,2),7)))/7)+1)))</f>
        <v/>
      </c>
      <c r="K170" s="222">
        <f>IF(OR($C170="",$D170="",$G170="",$F170=""),0,$G170*IF($F170="Aylık",MAX(0,(YEAR(MIN(IF($E170="",TODAY()-15,$E170),TODAY()-15))-YEAR($D170))*12+MONTH(MIN(IF($E170="",TODAY()-15,$E170),TODAY()-15))-MONTH($D170)+IF(MIN(IF($E170="",TODAY()-15,$E170),TODAY()-15)&gt;=EOMONTH(MIN(IF($E170="",TODAY()-15,$E170),TODAY()-15),0),1,0)),MAX(0,INT((MIN(IF($E170="",TODAY()-15,$E170),TODAY()-15)-($D170+MOD(SISTEM!$F$8-WEEKDAY($D170,2),7)))/7)+1)))</f>
        <v/>
      </c>
      <c r="L170" s="222">
        <f>IF(OR($C170="",$D170="",$G170="",$F170=""),0,$G170*IF($F170="Aylık",MAX(0,(YEAR(MIN(IF($E170="",TODAY()-29,$E170),TODAY()-29))-YEAR($D170))*12+MONTH(MIN(IF($E170="",TODAY()-29,$E170),TODAY()-29))-MONTH($D170)+IF(MIN(IF($E170="",TODAY()-29,$E170),TODAY()-29)&gt;=EOMONTH(MIN(IF($E170="",TODAY()-29,$E170),TODAY()-29),0),1,0)),MAX(0,INT((MIN(IF($E170="",TODAY()-29,$E170),TODAY()-29)-($D170+MOD(SISTEM!$F$8-WEEKDAY($D170,2),7)))/7)+1)))</f>
        <v/>
      </c>
      <c r="M170" s="223">
        <f>IF($G170&gt;0,$I170/$G170,0)</f>
        <v/>
      </c>
      <c r="N170" s="113">
        <f>IF($C170="","",IF($B170="TANIMSIZ MÜŞTERİ","TANIMSIZ MÜŞTERİ",IF($F170="","MODEL SEÇİN",IF(OR($D170="",$G170&lt;=0),"EKSİK",IF(AND($E170&lt;&gt;"",$E170&lt;$D170),"TARİH HATASI",IF($H170="Pasif","KAPALI DÖNEM","UYGUN"))))))</f>
        <v/>
      </c>
      <c r="O170" s="224">
        <f>IF(OR($C170="",$D170="",$F170=""),"",IF($F170="Aylık",EOMONTH($D170,0),($D170+MOD(SISTEM!$F$8-WEEKDAY($D170,2),7))))</f>
        <v/>
      </c>
      <c r="P170" s="109" t="n"/>
      <c r="Q170" s="6" t="n"/>
      <c r="R170" s="6" t="n"/>
      <c r="S170" s="3">
        <f>IF($B170="","",$B170&amp;"|"&amp;COUNTIFS($B$7:$B170,$B170))</f>
        <v/>
      </c>
      <c r="T170" s="3">
        <f>IF($C170="","",UPPER(SUBSTITUTE(SUBSTITUTE(SUBSTITUTE(SUBSTITUTE(SUBSTITUTE(SUBSTITUTE(SUBSTITUTE(SUBSTITUTE(SUBSTITUTE(SUBSTITUTE(SUBSTITUTE(SUBSTITUTE(SUBSTITUTE(SUBSTITUTE(SUBSTITUTE(SUBSTITUTE(SUBSTITUTE(SUBSTITUTE(TRIM($C170),"'",""),"İ","I"),"ı","I"),"i","I"),"Ş","S"),"ş","S"),"Ğ","G"),"ğ","G"),"Ü","U"),"ü","U"),"Ö","O"),"ö","O"),"Ç","C"),"ç","C"),".",""),",","")," ",""),"-","")))</f>
        <v/>
      </c>
    </row>
    <row r="171">
      <c r="A171" s="6" t="n"/>
      <c r="B171" s="113">
        <f>IF($C171="","",IFERROR(INDEX(MUSTERILER!$B$7:$B$106,MATCH($T171,MUSTERILER!$T$7:$T$106,0)),IFERROR(INDEX(MUSTERILER!$B$7:$B$106,MATCH($C171,MUSTERILER!$B$7:$B$106,0)),IFERROR(INDEX(MUSTERILER!$B$7:$B$106,MATCH($T171&amp;"*",MUSTERILER!$T$7:$T$106,0)),"TANIMSIZ MÜŞTERİ"))))</f>
        <v/>
      </c>
      <c r="C171" s="109" t="n"/>
      <c r="D171" s="220" t="n"/>
      <c r="E171" s="220" t="n"/>
      <c r="F171" s="108" t="n"/>
      <c r="G171" s="221" t="n"/>
      <c r="H171" s="108" t="n"/>
      <c r="I171" s="222">
        <f>IF(OR($C171="",$D171="",$G171="",$F171=""),0,$G171*IF($F171="Aylık",MAX(0,(YEAR(MIN(IF($E171="",TODAY(),$E171),TODAY()))-YEAR($D171))*12+MONTH(MIN(IF($E171="",TODAY(),$E171),TODAY()))-MONTH($D171)+IF(MIN(IF($E171="",TODAY(),$E171),TODAY())&gt;=EOMONTH(MIN(IF($E171="",TODAY(),$E171),TODAY()),0),1,0)),MAX(0,INT((MIN(IF($E171="",TODAY(),$E171),TODAY())-($D171+MOD(SISTEM!$F$8-WEEKDAY($D171,2),7)))/7)+1)))</f>
        <v/>
      </c>
      <c r="J171" s="222">
        <f>IF(OR($C171="",$D171="",$G171="",$F171=""),0,$G171*IF($F171="Aylık",MAX(0,(YEAR(MIN(IF($E171="",TODAY()-8,$E171),TODAY()-8))-YEAR($D171))*12+MONTH(MIN(IF($E171="",TODAY()-8,$E171),TODAY()-8))-MONTH($D171)+IF(MIN(IF($E171="",TODAY()-8,$E171),TODAY()-8)&gt;=EOMONTH(MIN(IF($E171="",TODAY()-8,$E171),TODAY()-8),0),1,0)),MAX(0,INT((MIN(IF($E171="",TODAY()-8,$E171),TODAY()-8)-($D171+MOD(SISTEM!$F$8-WEEKDAY($D171,2),7)))/7)+1)))</f>
        <v/>
      </c>
      <c r="K171" s="222">
        <f>IF(OR($C171="",$D171="",$G171="",$F171=""),0,$G171*IF($F171="Aylık",MAX(0,(YEAR(MIN(IF($E171="",TODAY()-15,$E171),TODAY()-15))-YEAR($D171))*12+MONTH(MIN(IF($E171="",TODAY()-15,$E171),TODAY()-15))-MONTH($D171)+IF(MIN(IF($E171="",TODAY()-15,$E171),TODAY()-15)&gt;=EOMONTH(MIN(IF($E171="",TODAY()-15,$E171),TODAY()-15),0),1,0)),MAX(0,INT((MIN(IF($E171="",TODAY()-15,$E171),TODAY()-15)-($D171+MOD(SISTEM!$F$8-WEEKDAY($D171,2),7)))/7)+1)))</f>
        <v/>
      </c>
      <c r="L171" s="222">
        <f>IF(OR($C171="",$D171="",$G171="",$F171=""),0,$G171*IF($F171="Aylık",MAX(0,(YEAR(MIN(IF($E171="",TODAY()-29,$E171),TODAY()-29))-YEAR($D171))*12+MONTH(MIN(IF($E171="",TODAY()-29,$E171),TODAY()-29))-MONTH($D171)+IF(MIN(IF($E171="",TODAY()-29,$E171),TODAY()-29)&gt;=EOMONTH(MIN(IF($E171="",TODAY()-29,$E171),TODAY()-29),0),1,0)),MAX(0,INT((MIN(IF($E171="",TODAY()-29,$E171),TODAY()-29)-($D171+MOD(SISTEM!$F$8-WEEKDAY($D171,2),7)))/7)+1)))</f>
        <v/>
      </c>
      <c r="M171" s="223">
        <f>IF($G171&gt;0,$I171/$G171,0)</f>
        <v/>
      </c>
      <c r="N171" s="113">
        <f>IF($C171="","",IF($B171="TANIMSIZ MÜŞTERİ","TANIMSIZ MÜŞTERİ",IF($F171="","MODEL SEÇİN",IF(OR($D171="",$G171&lt;=0),"EKSİK",IF(AND($E171&lt;&gt;"",$E171&lt;$D171),"TARİH HATASI",IF($H171="Pasif","KAPALI DÖNEM","UYGUN"))))))</f>
        <v/>
      </c>
      <c r="O171" s="224">
        <f>IF(OR($C171="",$D171="",$F171=""),"",IF($F171="Aylık",EOMONTH($D171,0),($D171+MOD(SISTEM!$F$8-WEEKDAY($D171,2),7))))</f>
        <v/>
      </c>
      <c r="P171" s="109" t="n"/>
      <c r="Q171" s="6" t="n"/>
      <c r="R171" s="6" t="n"/>
      <c r="S171" s="3">
        <f>IF($B171="","",$B171&amp;"|"&amp;COUNTIFS($B$7:$B171,$B171))</f>
        <v/>
      </c>
      <c r="T171" s="3">
        <f>IF($C171="","",UPPER(SUBSTITUTE(SUBSTITUTE(SUBSTITUTE(SUBSTITUTE(SUBSTITUTE(SUBSTITUTE(SUBSTITUTE(SUBSTITUTE(SUBSTITUTE(SUBSTITUTE(SUBSTITUTE(SUBSTITUTE(SUBSTITUTE(SUBSTITUTE(SUBSTITUTE(SUBSTITUTE(SUBSTITUTE(SUBSTITUTE(TRIM($C171),"'",""),"İ","I"),"ı","I"),"i","I"),"Ş","S"),"ş","S"),"Ğ","G"),"ğ","G"),"Ü","U"),"ü","U"),"Ö","O"),"ö","O"),"Ç","C"),"ç","C"),".",""),",","")," ",""),"-","")))</f>
        <v/>
      </c>
    </row>
    <row r="172">
      <c r="A172" s="6" t="n"/>
      <c r="B172" s="113">
        <f>IF($C172="","",IFERROR(INDEX(MUSTERILER!$B$7:$B$106,MATCH($T172,MUSTERILER!$T$7:$T$106,0)),IFERROR(INDEX(MUSTERILER!$B$7:$B$106,MATCH($C172,MUSTERILER!$B$7:$B$106,0)),IFERROR(INDEX(MUSTERILER!$B$7:$B$106,MATCH($T172&amp;"*",MUSTERILER!$T$7:$T$106,0)),"TANIMSIZ MÜŞTERİ"))))</f>
        <v/>
      </c>
      <c r="C172" s="109" t="n"/>
      <c r="D172" s="220" t="n"/>
      <c r="E172" s="220" t="n"/>
      <c r="F172" s="108" t="n"/>
      <c r="G172" s="221" t="n"/>
      <c r="H172" s="108" t="n"/>
      <c r="I172" s="222">
        <f>IF(OR($C172="",$D172="",$G172="",$F172=""),0,$G172*IF($F172="Aylık",MAX(0,(YEAR(MIN(IF($E172="",TODAY(),$E172),TODAY()))-YEAR($D172))*12+MONTH(MIN(IF($E172="",TODAY(),$E172),TODAY()))-MONTH($D172)+IF(MIN(IF($E172="",TODAY(),$E172),TODAY())&gt;=EOMONTH(MIN(IF($E172="",TODAY(),$E172),TODAY()),0),1,0)),MAX(0,INT((MIN(IF($E172="",TODAY(),$E172),TODAY())-($D172+MOD(SISTEM!$F$8-WEEKDAY($D172,2),7)))/7)+1)))</f>
        <v/>
      </c>
      <c r="J172" s="222">
        <f>IF(OR($C172="",$D172="",$G172="",$F172=""),0,$G172*IF($F172="Aylık",MAX(0,(YEAR(MIN(IF($E172="",TODAY()-8,$E172),TODAY()-8))-YEAR($D172))*12+MONTH(MIN(IF($E172="",TODAY()-8,$E172),TODAY()-8))-MONTH($D172)+IF(MIN(IF($E172="",TODAY()-8,$E172),TODAY()-8)&gt;=EOMONTH(MIN(IF($E172="",TODAY()-8,$E172),TODAY()-8),0),1,0)),MAX(0,INT((MIN(IF($E172="",TODAY()-8,$E172),TODAY()-8)-($D172+MOD(SISTEM!$F$8-WEEKDAY($D172,2),7)))/7)+1)))</f>
        <v/>
      </c>
      <c r="K172" s="222">
        <f>IF(OR($C172="",$D172="",$G172="",$F172=""),0,$G172*IF($F172="Aylık",MAX(0,(YEAR(MIN(IF($E172="",TODAY()-15,$E172),TODAY()-15))-YEAR($D172))*12+MONTH(MIN(IF($E172="",TODAY()-15,$E172),TODAY()-15))-MONTH($D172)+IF(MIN(IF($E172="",TODAY()-15,$E172),TODAY()-15)&gt;=EOMONTH(MIN(IF($E172="",TODAY()-15,$E172),TODAY()-15),0),1,0)),MAX(0,INT((MIN(IF($E172="",TODAY()-15,$E172),TODAY()-15)-($D172+MOD(SISTEM!$F$8-WEEKDAY($D172,2),7)))/7)+1)))</f>
        <v/>
      </c>
      <c r="L172" s="222">
        <f>IF(OR($C172="",$D172="",$G172="",$F172=""),0,$G172*IF($F172="Aylık",MAX(0,(YEAR(MIN(IF($E172="",TODAY()-29,$E172),TODAY()-29))-YEAR($D172))*12+MONTH(MIN(IF($E172="",TODAY()-29,$E172),TODAY()-29))-MONTH($D172)+IF(MIN(IF($E172="",TODAY()-29,$E172),TODAY()-29)&gt;=EOMONTH(MIN(IF($E172="",TODAY()-29,$E172),TODAY()-29),0),1,0)),MAX(0,INT((MIN(IF($E172="",TODAY()-29,$E172),TODAY()-29)-($D172+MOD(SISTEM!$F$8-WEEKDAY($D172,2),7)))/7)+1)))</f>
        <v/>
      </c>
      <c r="M172" s="223">
        <f>IF($G172&gt;0,$I172/$G172,0)</f>
        <v/>
      </c>
      <c r="N172" s="113">
        <f>IF($C172="","",IF($B172="TANIMSIZ MÜŞTERİ","TANIMSIZ MÜŞTERİ",IF($F172="","MODEL SEÇİN",IF(OR($D172="",$G172&lt;=0),"EKSİK",IF(AND($E172&lt;&gt;"",$E172&lt;$D172),"TARİH HATASI",IF($H172="Pasif","KAPALI DÖNEM","UYGUN"))))))</f>
        <v/>
      </c>
      <c r="O172" s="224">
        <f>IF(OR($C172="",$D172="",$F172=""),"",IF($F172="Aylık",EOMONTH($D172,0),($D172+MOD(SISTEM!$F$8-WEEKDAY($D172,2),7))))</f>
        <v/>
      </c>
      <c r="P172" s="109" t="n"/>
      <c r="Q172" s="6" t="n"/>
      <c r="R172" s="6" t="n"/>
      <c r="S172" s="3">
        <f>IF($B172="","",$B172&amp;"|"&amp;COUNTIFS($B$7:$B172,$B172))</f>
        <v/>
      </c>
      <c r="T172" s="3">
        <f>IF($C172="","",UPPER(SUBSTITUTE(SUBSTITUTE(SUBSTITUTE(SUBSTITUTE(SUBSTITUTE(SUBSTITUTE(SUBSTITUTE(SUBSTITUTE(SUBSTITUTE(SUBSTITUTE(SUBSTITUTE(SUBSTITUTE(SUBSTITUTE(SUBSTITUTE(SUBSTITUTE(SUBSTITUTE(SUBSTITUTE(SUBSTITUTE(TRIM($C172),"'",""),"İ","I"),"ı","I"),"i","I"),"Ş","S"),"ş","S"),"Ğ","G"),"ğ","G"),"Ü","U"),"ü","U"),"Ö","O"),"ö","O"),"Ç","C"),"ç","C"),".",""),",","")," ",""),"-","")))</f>
        <v/>
      </c>
    </row>
    <row r="173">
      <c r="A173" s="6" t="n"/>
      <c r="B173" s="113">
        <f>IF($C173="","",IFERROR(INDEX(MUSTERILER!$B$7:$B$106,MATCH($T173,MUSTERILER!$T$7:$T$106,0)),IFERROR(INDEX(MUSTERILER!$B$7:$B$106,MATCH($C173,MUSTERILER!$B$7:$B$106,0)),IFERROR(INDEX(MUSTERILER!$B$7:$B$106,MATCH($T173&amp;"*",MUSTERILER!$T$7:$T$106,0)),"TANIMSIZ MÜŞTERİ"))))</f>
        <v/>
      </c>
      <c r="C173" s="109" t="n"/>
      <c r="D173" s="220" t="n"/>
      <c r="E173" s="220" t="n"/>
      <c r="F173" s="108" t="n"/>
      <c r="G173" s="221" t="n"/>
      <c r="H173" s="108" t="n"/>
      <c r="I173" s="222">
        <f>IF(OR($C173="",$D173="",$G173="",$F173=""),0,$G173*IF($F173="Aylık",MAX(0,(YEAR(MIN(IF($E173="",TODAY(),$E173),TODAY()))-YEAR($D173))*12+MONTH(MIN(IF($E173="",TODAY(),$E173),TODAY()))-MONTH($D173)+IF(MIN(IF($E173="",TODAY(),$E173),TODAY())&gt;=EOMONTH(MIN(IF($E173="",TODAY(),$E173),TODAY()),0),1,0)),MAX(0,INT((MIN(IF($E173="",TODAY(),$E173),TODAY())-($D173+MOD(SISTEM!$F$8-WEEKDAY($D173,2),7)))/7)+1)))</f>
        <v/>
      </c>
      <c r="J173" s="222">
        <f>IF(OR($C173="",$D173="",$G173="",$F173=""),0,$G173*IF($F173="Aylık",MAX(0,(YEAR(MIN(IF($E173="",TODAY()-8,$E173),TODAY()-8))-YEAR($D173))*12+MONTH(MIN(IF($E173="",TODAY()-8,$E173),TODAY()-8))-MONTH($D173)+IF(MIN(IF($E173="",TODAY()-8,$E173),TODAY()-8)&gt;=EOMONTH(MIN(IF($E173="",TODAY()-8,$E173),TODAY()-8),0),1,0)),MAX(0,INT((MIN(IF($E173="",TODAY()-8,$E173),TODAY()-8)-($D173+MOD(SISTEM!$F$8-WEEKDAY($D173,2),7)))/7)+1)))</f>
        <v/>
      </c>
      <c r="K173" s="222">
        <f>IF(OR($C173="",$D173="",$G173="",$F173=""),0,$G173*IF($F173="Aylık",MAX(0,(YEAR(MIN(IF($E173="",TODAY()-15,$E173),TODAY()-15))-YEAR($D173))*12+MONTH(MIN(IF($E173="",TODAY()-15,$E173),TODAY()-15))-MONTH($D173)+IF(MIN(IF($E173="",TODAY()-15,$E173),TODAY()-15)&gt;=EOMONTH(MIN(IF($E173="",TODAY()-15,$E173),TODAY()-15),0),1,0)),MAX(0,INT((MIN(IF($E173="",TODAY()-15,$E173),TODAY()-15)-($D173+MOD(SISTEM!$F$8-WEEKDAY($D173,2),7)))/7)+1)))</f>
        <v/>
      </c>
      <c r="L173" s="222">
        <f>IF(OR($C173="",$D173="",$G173="",$F173=""),0,$G173*IF($F173="Aylık",MAX(0,(YEAR(MIN(IF($E173="",TODAY()-29,$E173),TODAY()-29))-YEAR($D173))*12+MONTH(MIN(IF($E173="",TODAY()-29,$E173),TODAY()-29))-MONTH($D173)+IF(MIN(IF($E173="",TODAY()-29,$E173),TODAY()-29)&gt;=EOMONTH(MIN(IF($E173="",TODAY()-29,$E173),TODAY()-29),0),1,0)),MAX(0,INT((MIN(IF($E173="",TODAY()-29,$E173),TODAY()-29)-($D173+MOD(SISTEM!$F$8-WEEKDAY($D173,2),7)))/7)+1)))</f>
        <v/>
      </c>
      <c r="M173" s="223">
        <f>IF($G173&gt;0,$I173/$G173,0)</f>
        <v/>
      </c>
      <c r="N173" s="113">
        <f>IF($C173="","",IF($B173="TANIMSIZ MÜŞTERİ","TANIMSIZ MÜŞTERİ",IF($F173="","MODEL SEÇİN",IF(OR($D173="",$G173&lt;=0),"EKSİK",IF(AND($E173&lt;&gt;"",$E173&lt;$D173),"TARİH HATASI",IF($H173="Pasif","KAPALI DÖNEM","UYGUN"))))))</f>
        <v/>
      </c>
      <c r="O173" s="224">
        <f>IF(OR($C173="",$D173="",$F173=""),"",IF($F173="Aylık",EOMONTH($D173,0),($D173+MOD(SISTEM!$F$8-WEEKDAY($D173,2),7))))</f>
        <v/>
      </c>
      <c r="P173" s="109" t="n"/>
      <c r="Q173" s="6" t="n"/>
      <c r="R173" s="6" t="n"/>
      <c r="S173" s="3">
        <f>IF($B173="","",$B173&amp;"|"&amp;COUNTIFS($B$7:$B173,$B173))</f>
        <v/>
      </c>
      <c r="T173" s="3">
        <f>IF($C173="","",UPPER(SUBSTITUTE(SUBSTITUTE(SUBSTITUTE(SUBSTITUTE(SUBSTITUTE(SUBSTITUTE(SUBSTITUTE(SUBSTITUTE(SUBSTITUTE(SUBSTITUTE(SUBSTITUTE(SUBSTITUTE(SUBSTITUTE(SUBSTITUTE(SUBSTITUTE(SUBSTITUTE(SUBSTITUTE(SUBSTITUTE(TRIM($C173),"'",""),"İ","I"),"ı","I"),"i","I"),"Ş","S"),"ş","S"),"Ğ","G"),"ğ","G"),"Ü","U"),"ü","U"),"Ö","O"),"ö","O"),"Ç","C"),"ç","C"),".",""),",","")," ",""),"-","")))</f>
        <v/>
      </c>
    </row>
    <row r="174">
      <c r="A174" s="6" t="n"/>
      <c r="B174" s="113">
        <f>IF($C174="","",IFERROR(INDEX(MUSTERILER!$B$7:$B$106,MATCH($T174,MUSTERILER!$T$7:$T$106,0)),IFERROR(INDEX(MUSTERILER!$B$7:$B$106,MATCH($C174,MUSTERILER!$B$7:$B$106,0)),IFERROR(INDEX(MUSTERILER!$B$7:$B$106,MATCH($T174&amp;"*",MUSTERILER!$T$7:$T$106,0)),"TANIMSIZ MÜŞTERİ"))))</f>
        <v/>
      </c>
      <c r="C174" s="109" t="n"/>
      <c r="D174" s="220" t="n"/>
      <c r="E174" s="220" t="n"/>
      <c r="F174" s="108" t="n"/>
      <c r="G174" s="221" t="n"/>
      <c r="H174" s="108" t="n"/>
      <c r="I174" s="222">
        <f>IF(OR($C174="",$D174="",$G174="",$F174=""),0,$G174*IF($F174="Aylık",MAX(0,(YEAR(MIN(IF($E174="",TODAY(),$E174),TODAY()))-YEAR($D174))*12+MONTH(MIN(IF($E174="",TODAY(),$E174),TODAY()))-MONTH($D174)+IF(MIN(IF($E174="",TODAY(),$E174),TODAY())&gt;=EOMONTH(MIN(IF($E174="",TODAY(),$E174),TODAY()),0),1,0)),MAX(0,INT((MIN(IF($E174="",TODAY(),$E174),TODAY())-($D174+MOD(SISTEM!$F$8-WEEKDAY($D174,2),7)))/7)+1)))</f>
        <v/>
      </c>
      <c r="J174" s="222">
        <f>IF(OR($C174="",$D174="",$G174="",$F174=""),0,$G174*IF($F174="Aylık",MAX(0,(YEAR(MIN(IF($E174="",TODAY()-8,$E174),TODAY()-8))-YEAR($D174))*12+MONTH(MIN(IF($E174="",TODAY()-8,$E174),TODAY()-8))-MONTH($D174)+IF(MIN(IF($E174="",TODAY()-8,$E174),TODAY()-8)&gt;=EOMONTH(MIN(IF($E174="",TODAY()-8,$E174),TODAY()-8),0),1,0)),MAX(0,INT((MIN(IF($E174="",TODAY()-8,$E174),TODAY()-8)-($D174+MOD(SISTEM!$F$8-WEEKDAY($D174,2),7)))/7)+1)))</f>
        <v/>
      </c>
      <c r="K174" s="222">
        <f>IF(OR($C174="",$D174="",$G174="",$F174=""),0,$G174*IF($F174="Aylık",MAX(0,(YEAR(MIN(IF($E174="",TODAY()-15,$E174),TODAY()-15))-YEAR($D174))*12+MONTH(MIN(IF($E174="",TODAY()-15,$E174),TODAY()-15))-MONTH($D174)+IF(MIN(IF($E174="",TODAY()-15,$E174),TODAY()-15)&gt;=EOMONTH(MIN(IF($E174="",TODAY()-15,$E174),TODAY()-15),0),1,0)),MAX(0,INT((MIN(IF($E174="",TODAY()-15,$E174),TODAY()-15)-($D174+MOD(SISTEM!$F$8-WEEKDAY($D174,2),7)))/7)+1)))</f>
        <v/>
      </c>
      <c r="L174" s="222">
        <f>IF(OR($C174="",$D174="",$G174="",$F174=""),0,$G174*IF($F174="Aylık",MAX(0,(YEAR(MIN(IF($E174="",TODAY()-29,$E174),TODAY()-29))-YEAR($D174))*12+MONTH(MIN(IF($E174="",TODAY()-29,$E174),TODAY()-29))-MONTH($D174)+IF(MIN(IF($E174="",TODAY()-29,$E174),TODAY()-29)&gt;=EOMONTH(MIN(IF($E174="",TODAY()-29,$E174),TODAY()-29),0),1,0)),MAX(0,INT((MIN(IF($E174="",TODAY()-29,$E174),TODAY()-29)-($D174+MOD(SISTEM!$F$8-WEEKDAY($D174,2),7)))/7)+1)))</f>
        <v/>
      </c>
      <c r="M174" s="223">
        <f>IF($G174&gt;0,$I174/$G174,0)</f>
        <v/>
      </c>
      <c r="N174" s="113">
        <f>IF($C174="","",IF($B174="TANIMSIZ MÜŞTERİ","TANIMSIZ MÜŞTERİ",IF($F174="","MODEL SEÇİN",IF(OR($D174="",$G174&lt;=0),"EKSİK",IF(AND($E174&lt;&gt;"",$E174&lt;$D174),"TARİH HATASI",IF($H174="Pasif","KAPALI DÖNEM","UYGUN"))))))</f>
        <v/>
      </c>
      <c r="O174" s="224">
        <f>IF(OR($C174="",$D174="",$F174=""),"",IF($F174="Aylık",EOMONTH($D174,0),($D174+MOD(SISTEM!$F$8-WEEKDAY($D174,2),7))))</f>
        <v/>
      </c>
      <c r="P174" s="109" t="n"/>
      <c r="Q174" s="6" t="n"/>
      <c r="R174" s="6" t="n"/>
      <c r="S174" s="3">
        <f>IF($B174="","",$B174&amp;"|"&amp;COUNTIFS($B$7:$B174,$B174))</f>
        <v/>
      </c>
      <c r="T174" s="3">
        <f>IF($C174="","",UPPER(SUBSTITUTE(SUBSTITUTE(SUBSTITUTE(SUBSTITUTE(SUBSTITUTE(SUBSTITUTE(SUBSTITUTE(SUBSTITUTE(SUBSTITUTE(SUBSTITUTE(SUBSTITUTE(SUBSTITUTE(SUBSTITUTE(SUBSTITUTE(SUBSTITUTE(SUBSTITUTE(SUBSTITUTE(SUBSTITUTE(TRIM($C174),"'",""),"İ","I"),"ı","I"),"i","I"),"Ş","S"),"ş","S"),"Ğ","G"),"ğ","G"),"Ü","U"),"ü","U"),"Ö","O"),"ö","O"),"Ç","C"),"ç","C"),".",""),",","")," ",""),"-","")))</f>
        <v/>
      </c>
    </row>
    <row r="175">
      <c r="A175" s="6" t="n"/>
      <c r="B175" s="113">
        <f>IF($C175="","",IFERROR(INDEX(MUSTERILER!$B$7:$B$106,MATCH($T175,MUSTERILER!$T$7:$T$106,0)),IFERROR(INDEX(MUSTERILER!$B$7:$B$106,MATCH($C175,MUSTERILER!$B$7:$B$106,0)),IFERROR(INDEX(MUSTERILER!$B$7:$B$106,MATCH($T175&amp;"*",MUSTERILER!$T$7:$T$106,0)),"TANIMSIZ MÜŞTERİ"))))</f>
        <v/>
      </c>
      <c r="C175" s="109" t="n"/>
      <c r="D175" s="220" t="n"/>
      <c r="E175" s="220" t="n"/>
      <c r="F175" s="108" t="n"/>
      <c r="G175" s="221" t="n"/>
      <c r="H175" s="108" t="n"/>
      <c r="I175" s="222">
        <f>IF(OR($C175="",$D175="",$G175="",$F175=""),0,$G175*IF($F175="Aylık",MAX(0,(YEAR(MIN(IF($E175="",TODAY(),$E175),TODAY()))-YEAR($D175))*12+MONTH(MIN(IF($E175="",TODAY(),$E175),TODAY()))-MONTH($D175)+IF(MIN(IF($E175="",TODAY(),$E175),TODAY())&gt;=EOMONTH(MIN(IF($E175="",TODAY(),$E175),TODAY()),0),1,0)),MAX(0,INT((MIN(IF($E175="",TODAY(),$E175),TODAY())-($D175+MOD(SISTEM!$F$8-WEEKDAY($D175,2),7)))/7)+1)))</f>
        <v/>
      </c>
      <c r="J175" s="222">
        <f>IF(OR($C175="",$D175="",$G175="",$F175=""),0,$G175*IF($F175="Aylık",MAX(0,(YEAR(MIN(IF($E175="",TODAY()-8,$E175),TODAY()-8))-YEAR($D175))*12+MONTH(MIN(IF($E175="",TODAY()-8,$E175),TODAY()-8))-MONTH($D175)+IF(MIN(IF($E175="",TODAY()-8,$E175),TODAY()-8)&gt;=EOMONTH(MIN(IF($E175="",TODAY()-8,$E175),TODAY()-8),0),1,0)),MAX(0,INT((MIN(IF($E175="",TODAY()-8,$E175),TODAY()-8)-($D175+MOD(SISTEM!$F$8-WEEKDAY($D175,2),7)))/7)+1)))</f>
        <v/>
      </c>
      <c r="K175" s="222">
        <f>IF(OR($C175="",$D175="",$G175="",$F175=""),0,$G175*IF($F175="Aylık",MAX(0,(YEAR(MIN(IF($E175="",TODAY()-15,$E175),TODAY()-15))-YEAR($D175))*12+MONTH(MIN(IF($E175="",TODAY()-15,$E175),TODAY()-15))-MONTH($D175)+IF(MIN(IF($E175="",TODAY()-15,$E175),TODAY()-15)&gt;=EOMONTH(MIN(IF($E175="",TODAY()-15,$E175),TODAY()-15),0),1,0)),MAX(0,INT((MIN(IF($E175="",TODAY()-15,$E175),TODAY()-15)-($D175+MOD(SISTEM!$F$8-WEEKDAY($D175,2),7)))/7)+1)))</f>
        <v/>
      </c>
      <c r="L175" s="222">
        <f>IF(OR($C175="",$D175="",$G175="",$F175=""),0,$G175*IF($F175="Aylık",MAX(0,(YEAR(MIN(IF($E175="",TODAY()-29,$E175),TODAY()-29))-YEAR($D175))*12+MONTH(MIN(IF($E175="",TODAY()-29,$E175),TODAY()-29))-MONTH($D175)+IF(MIN(IF($E175="",TODAY()-29,$E175),TODAY()-29)&gt;=EOMONTH(MIN(IF($E175="",TODAY()-29,$E175),TODAY()-29),0),1,0)),MAX(0,INT((MIN(IF($E175="",TODAY()-29,$E175),TODAY()-29)-($D175+MOD(SISTEM!$F$8-WEEKDAY($D175,2),7)))/7)+1)))</f>
        <v/>
      </c>
      <c r="M175" s="223">
        <f>IF($G175&gt;0,$I175/$G175,0)</f>
        <v/>
      </c>
      <c r="N175" s="113">
        <f>IF($C175="","",IF($B175="TANIMSIZ MÜŞTERİ","TANIMSIZ MÜŞTERİ",IF($F175="","MODEL SEÇİN",IF(OR($D175="",$G175&lt;=0),"EKSİK",IF(AND($E175&lt;&gt;"",$E175&lt;$D175),"TARİH HATASI",IF($H175="Pasif","KAPALI DÖNEM","UYGUN"))))))</f>
        <v/>
      </c>
      <c r="O175" s="224">
        <f>IF(OR($C175="",$D175="",$F175=""),"",IF($F175="Aylık",EOMONTH($D175,0),($D175+MOD(SISTEM!$F$8-WEEKDAY($D175,2),7))))</f>
        <v/>
      </c>
      <c r="P175" s="109" t="n"/>
      <c r="Q175" s="6" t="n"/>
      <c r="R175" s="6" t="n"/>
      <c r="S175" s="3">
        <f>IF($B175="","",$B175&amp;"|"&amp;COUNTIFS($B$7:$B175,$B175))</f>
        <v/>
      </c>
      <c r="T175" s="3">
        <f>IF($C175="","",UPPER(SUBSTITUTE(SUBSTITUTE(SUBSTITUTE(SUBSTITUTE(SUBSTITUTE(SUBSTITUTE(SUBSTITUTE(SUBSTITUTE(SUBSTITUTE(SUBSTITUTE(SUBSTITUTE(SUBSTITUTE(SUBSTITUTE(SUBSTITUTE(SUBSTITUTE(SUBSTITUTE(SUBSTITUTE(SUBSTITUTE(TRIM($C175),"'",""),"İ","I"),"ı","I"),"i","I"),"Ş","S"),"ş","S"),"Ğ","G"),"ğ","G"),"Ü","U"),"ü","U"),"Ö","O"),"ö","O"),"Ç","C"),"ç","C"),".",""),",","")," ",""),"-","")))</f>
        <v/>
      </c>
    </row>
    <row r="176">
      <c r="A176" s="6" t="n"/>
      <c r="B176" s="113">
        <f>IF($C176="","",IFERROR(INDEX(MUSTERILER!$B$7:$B$106,MATCH($T176,MUSTERILER!$T$7:$T$106,0)),IFERROR(INDEX(MUSTERILER!$B$7:$B$106,MATCH($C176,MUSTERILER!$B$7:$B$106,0)),IFERROR(INDEX(MUSTERILER!$B$7:$B$106,MATCH($T176&amp;"*",MUSTERILER!$T$7:$T$106,0)),"TANIMSIZ MÜŞTERİ"))))</f>
        <v/>
      </c>
      <c r="C176" s="109" t="n"/>
      <c r="D176" s="220" t="n"/>
      <c r="E176" s="220" t="n"/>
      <c r="F176" s="108" t="n"/>
      <c r="G176" s="221" t="n"/>
      <c r="H176" s="108" t="n"/>
      <c r="I176" s="222">
        <f>IF(OR($C176="",$D176="",$G176="",$F176=""),0,$G176*IF($F176="Aylık",MAX(0,(YEAR(MIN(IF($E176="",TODAY(),$E176),TODAY()))-YEAR($D176))*12+MONTH(MIN(IF($E176="",TODAY(),$E176),TODAY()))-MONTH($D176)+IF(MIN(IF($E176="",TODAY(),$E176),TODAY())&gt;=EOMONTH(MIN(IF($E176="",TODAY(),$E176),TODAY()),0),1,0)),MAX(0,INT((MIN(IF($E176="",TODAY(),$E176),TODAY())-($D176+MOD(SISTEM!$F$8-WEEKDAY($D176,2),7)))/7)+1)))</f>
        <v/>
      </c>
      <c r="J176" s="222">
        <f>IF(OR($C176="",$D176="",$G176="",$F176=""),0,$G176*IF($F176="Aylık",MAX(0,(YEAR(MIN(IF($E176="",TODAY()-8,$E176),TODAY()-8))-YEAR($D176))*12+MONTH(MIN(IF($E176="",TODAY()-8,$E176),TODAY()-8))-MONTH($D176)+IF(MIN(IF($E176="",TODAY()-8,$E176),TODAY()-8)&gt;=EOMONTH(MIN(IF($E176="",TODAY()-8,$E176),TODAY()-8),0),1,0)),MAX(0,INT((MIN(IF($E176="",TODAY()-8,$E176),TODAY()-8)-($D176+MOD(SISTEM!$F$8-WEEKDAY($D176,2),7)))/7)+1)))</f>
        <v/>
      </c>
      <c r="K176" s="222">
        <f>IF(OR($C176="",$D176="",$G176="",$F176=""),0,$G176*IF($F176="Aylık",MAX(0,(YEAR(MIN(IF($E176="",TODAY()-15,$E176),TODAY()-15))-YEAR($D176))*12+MONTH(MIN(IF($E176="",TODAY()-15,$E176),TODAY()-15))-MONTH($D176)+IF(MIN(IF($E176="",TODAY()-15,$E176),TODAY()-15)&gt;=EOMONTH(MIN(IF($E176="",TODAY()-15,$E176),TODAY()-15),0),1,0)),MAX(0,INT((MIN(IF($E176="",TODAY()-15,$E176),TODAY()-15)-($D176+MOD(SISTEM!$F$8-WEEKDAY($D176,2),7)))/7)+1)))</f>
        <v/>
      </c>
      <c r="L176" s="222">
        <f>IF(OR($C176="",$D176="",$G176="",$F176=""),0,$G176*IF($F176="Aylık",MAX(0,(YEAR(MIN(IF($E176="",TODAY()-29,$E176),TODAY()-29))-YEAR($D176))*12+MONTH(MIN(IF($E176="",TODAY()-29,$E176),TODAY()-29))-MONTH($D176)+IF(MIN(IF($E176="",TODAY()-29,$E176),TODAY()-29)&gt;=EOMONTH(MIN(IF($E176="",TODAY()-29,$E176),TODAY()-29),0),1,0)),MAX(0,INT((MIN(IF($E176="",TODAY()-29,$E176),TODAY()-29)-($D176+MOD(SISTEM!$F$8-WEEKDAY($D176,2),7)))/7)+1)))</f>
        <v/>
      </c>
      <c r="M176" s="223">
        <f>IF($G176&gt;0,$I176/$G176,0)</f>
        <v/>
      </c>
      <c r="N176" s="113">
        <f>IF($C176="","",IF($B176="TANIMSIZ MÜŞTERİ","TANIMSIZ MÜŞTERİ",IF($F176="","MODEL SEÇİN",IF(OR($D176="",$G176&lt;=0),"EKSİK",IF(AND($E176&lt;&gt;"",$E176&lt;$D176),"TARİH HATASI",IF($H176="Pasif","KAPALI DÖNEM","UYGUN"))))))</f>
        <v/>
      </c>
      <c r="O176" s="224">
        <f>IF(OR($C176="",$D176="",$F176=""),"",IF($F176="Aylık",EOMONTH($D176,0),($D176+MOD(SISTEM!$F$8-WEEKDAY($D176,2),7))))</f>
        <v/>
      </c>
      <c r="P176" s="109" t="n"/>
      <c r="Q176" s="6" t="n"/>
      <c r="R176" s="6" t="n"/>
      <c r="S176" s="3">
        <f>IF($B176="","",$B176&amp;"|"&amp;COUNTIFS($B$7:$B176,$B176))</f>
        <v/>
      </c>
      <c r="T176" s="3">
        <f>IF($C176="","",UPPER(SUBSTITUTE(SUBSTITUTE(SUBSTITUTE(SUBSTITUTE(SUBSTITUTE(SUBSTITUTE(SUBSTITUTE(SUBSTITUTE(SUBSTITUTE(SUBSTITUTE(SUBSTITUTE(SUBSTITUTE(SUBSTITUTE(SUBSTITUTE(SUBSTITUTE(SUBSTITUTE(SUBSTITUTE(SUBSTITUTE(TRIM($C176),"'",""),"İ","I"),"ı","I"),"i","I"),"Ş","S"),"ş","S"),"Ğ","G"),"ğ","G"),"Ü","U"),"ü","U"),"Ö","O"),"ö","O"),"Ç","C"),"ç","C"),".",""),",","")," ",""),"-","")))</f>
        <v/>
      </c>
    </row>
    <row r="177">
      <c r="A177" s="6" t="n"/>
      <c r="B177" s="113">
        <f>IF($C177="","",IFERROR(INDEX(MUSTERILER!$B$7:$B$106,MATCH($T177,MUSTERILER!$T$7:$T$106,0)),IFERROR(INDEX(MUSTERILER!$B$7:$B$106,MATCH($C177,MUSTERILER!$B$7:$B$106,0)),IFERROR(INDEX(MUSTERILER!$B$7:$B$106,MATCH($T177&amp;"*",MUSTERILER!$T$7:$T$106,0)),"TANIMSIZ MÜŞTERİ"))))</f>
        <v/>
      </c>
      <c r="C177" s="109" t="n"/>
      <c r="D177" s="220" t="n"/>
      <c r="E177" s="220" t="n"/>
      <c r="F177" s="108" t="n"/>
      <c r="G177" s="221" t="n"/>
      <c r="H177" s="108" t="n"/>
      <c r="I177" s="222">
        <f>IF(OR($C177="",$D177="",$G177="",$F177=""),0,$G177*IF($F177="Aylık",MAX(0,(YEAR(MIN(IF($E177="",TODAY(),$E177),TODAY()))-YEAR($D177))*12+MONTH(MIN(IF($E177="",TODAY(),$E177),TODAY()))-MONTH($D177)+IF(MIN(IF($E177="",TODAY(),$E177),TODAY())&gt;=EOMONTH(MIN(IF($E177="",TODAY(),$E177),TODAY()),0),1,0)),MAX(0,INT((MIN(IF($E177="",TODAY(),$E177),TODAY())-($D177+MOD(SISTEM!$F$8-WEEKDAY($D177,2),7)))/7)+1)))</f>
        <v/>
      </c>
      <c r="J177" s="222">
        <f>IF(OR($C177="",$D177="",$G177="",$F177=""),0,$G177*IF($F177="Aylık",MAX(0,(YEAR(MIN(IF($E177="",TODAY()-8,$E177),TODAY()-8))-YEAR($D177))*12+MONTH(MIN(IF($E177="",TODAY()-8,$E177),TODAY()-8))-MONTH($D177)+IF(MIN(IF($E177="",TODAY()-8,$E177),TODAY()-8)&gt;=EOMONTH(MIN(IF($E177="",TODAY()-8,$E177),TODAY()-8),0),1,0)),MAX(0,INT((MIN(IF($E177="",TODAY()-8,$E177),TODAY()-8)-($D177+MOD(SISTEM!$F$8-WEEKDAY($D177,2),7)))/7)+1)))</f>
        <v/>
      </c>
      <c r="K177" s="222">
        <f>IF(OR($C177="",$D177="",$G177="",$F177=""),0,$G177*IF($F177="Aylık",MAX(0,(YEAR(MIN(IF($E177="",TODAY()-15,$E177),TODAY()-15))-YEAR($D177))*12+MONTH(MIN(IF($E177="",TODAY()-15,$E177),TODAY()-15))-MONTH($D177)+IF(MIN(IF($E177="",TODAY()-15,$E177),TODAY()-15)&gt;=EOMONTH(MIN(IF($E177="",TODAY()-15,$E177),TODAY()-15),0),1,0)),MAX(0,INT((MIN(IF($E177="",TODAY()-15,$E177),TODAY()-15)-($D177+MOD(SISTEM!$F$8-WEEKDAY($D177,2),7)))/7)+1)))</f>
        <v/>
      </c>
      <c r="L177" s="222">
        <f>IF(OR($C177="",$D177="",$G177="",$F177=""),0,$G177*IF($F177="Aylık",MAX(0,(YEAR(MIN(IF($E177="",TODAY()-29,$E177),TODAY()-29))-YEAR($D177))*12+MONTH(MIN(IF($E177="",TODAY()-29,$E177),TODAY()-29))-MONTH($D177)+IF(MIN(IF($E177="",TODAY()-29,$E177),TODAY()-29)&gt;=EOMONTH(MIN(IF($E177="",TODAY()-29,$E177),TODAY()-29),0),1,0)),MAX(0,INT((MIN(IF($E177="",TODAY()-29,$E177),TODAY()-29)-($D177+MOD(SISTEM!$F$8-WEEKDAY($D177,2),7)))/7)+1)))</f>
        <v/>
      </c>
      <c r="M177" s="223">
        <f>IF($G177&gt;0,$I177/$G177,0)</f>
        <v/>
      </c>
      <c r="N177" s="113">
        <f>IF($C177="","",IF($B177="TANIMSIZ MÜŞTERİ","TANIMSIZ MÜŞTERİ",IF($F177="","MODEL SEÇİN",IF(OR($D177="",$G177&lt;=0),"EKSİK",IF(AND($E177&lt;&gt;"",$E177&lt;$D177),"TARİH HATASI",IF($H177="Pasif","KAPALI DÖNEM","UYGUN"))))))</f>
        <v/>
      </c>
      <c r="O177" s="224">
        <f>IF(OR($C177="",$D177="",$F177=""),"",IF($F177="Aylık",EOMONTH($D177,0),($D177+MOD(SISTEM!$F$8-WEEKDAY($D177,2),7))))</f>
        <v/>
      </c>
      <c r="P177" s="109" t="n"/>
      <c r="Q177" s="6" t="n"/>
      <c r="R177" s="6" t="n"/>
      <c r="S177" s="3">
        <f>IF($B177="","",$B177&amp;"|"&amp;COUNTIFS($B$7:$B177,$B177))</f>
        <v/>
      </c>
      <c r="T177" s="3">
        <f>IF($C177="","",UPPER(SUBSTITUTE(SUBSTITUTE(SUBSTITUTE(SUBSTITUTE(SUBSTITUTE(SUBSTITUTE(SUBSTITUTE(SUBSTITUTE(SUBSTITUTE(SUBSTITUTE(SUBSTITUTE(SUBSTITUTE(SUBSTITUTE(SUBSTITUTE(SUBSTITUTE(SUBSTITUTE(SUBSTITUTE(SUBSTITUTE(TRIM($C177),"'",""),"İ","I"),"ı","I"),"i","I"),"Ş","S"),"ş","S"),"Ğ","G"),"ğ","G"),"Ü","U"),"ü","U"),"Ö","O"),"ö","O"),"Ç","C"),"ç","C"),".",""),",","")," ",""),"-","")))</f>
        <v/>
      </c>
    </row>
    <row r="178">
      <c r="A178" s="6" t="n"/>
      <c r="B178" s="113">
        <f>IF($C178="","",IFERROR(INDEX(MUSTERILER!$B$7:$B$106,MATCH($T178,MUSTERILER!$T$7:$T$106,0)),IFERROR(INDEX(MUSTERILER!$B$7:$B$106,MATCH($C178,MUSTERILER!$B$7:$B$106,0)),IFERROR(INDEX(MUSTERILER!$B$7:$B$106,MATCH($T178&amp;"*",MUSTERILER!$T$7:$T$106,0)),"TANIMSIZ MÜŞTERİ"))))</f>
        <v/>
      </c>
      <c r="C178" s="109" t="n"/>
      <c r="D178" s="220" t="n"/>
      <c r="E178" s="220" t="n"/>
      <c r="F178" s="108" t="n"/>
      <c r="G178" s="221" t="n"/>
      <c r="H178" s="108" t="n"/>
      <c r="I178" s="222">
        <f>IF(OR($C178="",$D178="",$G178="",$F178=""),0,$G178*IF($F178="Aylık",MAX(0,(YEAR(MIN(IF($E178="",TODAY(),$E178),TODAY()))-YEAR($D178))*12+MONTH(MIN(IF($E178="",TODAY(),$E178),TODAY()))-MONTH($D178)+IF(MIN(IF($E178="",TODAY(),$E178),TODAY())&gt;=EOMONTH(MIN(IF($E178="",TODAY(),$E178),TODAY()),0),1,0)),MAX(0,INT((MIN(IF($E178="",TODAY(),$E178),TODAY())-($D178+MOD(SISTEM!$F$8-WEEKDAY($D178,2),7)))/7)+1)))</f>
        <v/>
      </c>
      <c r="J178" s="222">
        <f>IF(OR($C178="",$D178="",$G178="",$F178=""),0,$G178*IF($F178="Aylık",MAX(0,(YEAR(MIN(IF($E178="",TODAY()-8,$E178),TODAY()-8))-YEAR($D178))*12+MONTH(MIN(IF($E178="",TODAY()-8,$E178),TODAY()-8))-MONTH($D178)+IF(MIN(IF($E178="",TODAY()-8,$E178),TODAY()-8)&gt;=EOMONTH(MIN(IF($E178="",TODAY()-8,$E178),TODAY()-8),0),1,0)),MAX(0,INT((MIN(IF($E178="",TODAY()-8,$E178),TODAY()-8)-($D178+MOD(SISTEM!$F$8-WEEKDAY($D178,2),7)))/7)+1)))</f>
        <v/>
      </c>
      <c r="K178" s="222">
        <f>IF(OR($C178="",$D178="",$G178="",$F178=""),0,$G178*IF($F178="Aylık",MAX(0,(YEAR(MIN(IF($E178="",TODAY()-15,$E178),TODAY()-15))-YEAR($D178))*12+MONTH(MIN(IF($E178="",TODAY()-15,$E178),TODAY()-15))-MONTH($D178)+IF(MIN(IF($E178="",TODAY()-15,$E178),TODAY()-15)&gt;=EOMONTH(MIN(IF($E178="",TODAY()-15,$E178),TODAY()-15),0),1,0)),MAX(0,INT((MIN(IF($E178="",TODAY()-15,$E178),TODAY()-15)-($D178+MOD(SISTEM!$F$8-WEEKDAY($D178,2),7)))/7)+1)))</f>
        <v/>
      </c>
      <c r="L178" s="222">
        <f>IF(OR($C178="",$D178="",$G178="",$F178=""),0,$G178*IF($F178="Aylık",MAX(0,(YEAR(MIN(IF($E178="",TODAY()-29,$E178),TODAY()-29))-YEAR($D178))*12+MONTH(MIN(IF($E178="",TODAY()-29,$E178),TODAY()-29))-MONTH($D178)+IF(MIN(IF($E178="",TODAY()-29,$E178),TODAY()-29)&gt;=EOMONTH(MIN(IF($E178="",TODAY()-29,$E178),TODAY()-29),0),1,0)),MAX(0,INT((MIN(IF($E178="",TODAY()-29,$E178),TODAY()-29)-($D178+MOD(SISTEM!$F$8-WEEKDAY($D178,2),7)))/7)+1)))</f>
        <v/>
      </c>
      <c r="M178" s="223">
        <f>IF($G178&gt;0,$I178/$G178,0)</f>
        <v/>
      </c>
      <c r="N178" s="113">
        <f>IF($C178="","",IF($B178="TANIMSIZ MÜŞTERİ","TANIMSIZ MÜŞTERİ",IF($F178="","MODEL SEÇİN",IF(OR($D178="",$G178&lt;=0),"EKSİK",IF(AND($E178&lt;&gt;"",$E178&lt;$D178),"TARİH HATASI",IF($H178="Pasif","KAPALI DÖNEM","UYGUN"))))))</f>
        <v/>
      </c>
      <c r="O178" s="224">
        <f>IF(OR($C178="",$D178="",$F178=""),"",IF($F178="Aylık",EOMONTH($D178,0),($D178+MOD(SISTEM!$F$8-WEEKDAY($D178,2),7))))</f>
        <v/>
      </c>
      <c r="P178" s="109" t="n"/>
      <c r="Q178" s="6" t="n"/>
      <c r="R178" s="6" t="n"/>
      <c r="S178" s="3">
        <f>IF($B178="","",$B178&amp;"|"&amp;COUNTIFS($B$7:$B178,$B178))</f>
        <v/>
      </c>
      <c r="T178" s="3">
        <f>IF($C178="","",UPPER(SUBSTITUTE(SUBSTITUTE(SUBSTITUTE(SUBSTITUTE(SUBSTITUTE(SUBSTITUTE(SUBSTITUTE(SUBSTITUTE(SUBSTITUTE(SUBSTITUTE(SUBSTITUTE(SUBSTITUTE(SUBSTITUTE(SUBSTITUTE(SUBSTITUTE(SUBSTITUTE(SUBSTITUTE(SUBSTITUTE(TRIM($C178),"'",""),"İ","I"),"ı","I"),"i","I"),"Ş","S"),"ş","S"),"Ğ","G"),"ğ","G"),"Ü","U"),"ü","U"),"Ö","O"),"ö","O"),"Ç","C"),"ç","C"),".",""),",","")," ",""),"-","")))</f>
        <v/>
      </c>
    </row>
    <row r="179">
      <c r="A179" s="6" t="n"/>
      <c r="B179" s="113">
        <f>IF($C179="","",IFERROR(INDEX(MUSTERILER!$B$7:$B$106,MATCH($T179,MUSTERILER!$T$7:$T$106,0)),IFERROR(INDEX(MUSTERILER!$B$7:$B$106,MATCH($C179,MUSTERILER!$B$7:$B$106,0)),IFERROR(INDEX(MUSTERILER!$B$7:$B$106,MATCH($T179&amp;"*",MUSTERILER!$T$7:$T$106,0)),"TANIMSIZ MÜŞTERİ"))))</f>
        <v/>
      </c>
      <c r="C179" s="109" t="n"/>
      <c r="D179" s="220" t="n"/>
      <c r="E179" s="220" t="n"/>
      <c r="F179" s="108" t="n"/>
      <c r="G179" s="221" t="n"/>
      <c r="H179" s="108" t="n"/>
      <c r="I179" s="222">
        <f>IF(OR($C179="",$D179="",$G179="",$F179=""),0,$G179*IF($F179="Aylık",MAX(0,(YEAR(MIN(IF($E179="",TODAY(),$E179),TODAY()))-YEAR($D179))*12+MONTH(MIN(IF($E179="",TODAY(),$E179),TODAY()))-MONTH($D179)+IF(MIN(IF($E179="",TODAY(),$E179),TODAY())&gt;=EOMONTH(MIN(IF($E179="",TODAY(),$E179),TODAY()),0),1,0)),MAX(0,INT((MIN(IF($E179="",TODAY(),$E179),TODAY())-($D179+MOD(SISTEM!$F$8-WEEKDAY($D179,2),7)))/7)+1)))</f>
        <v/>
      </c>
      <c r="J179" s="222">
        <f>IF(OR($C179="",$D179="",$G179="",$F179=""),0,$G179*IF($F179="Aylık",MAX(0,(YEAR(MIN(IF($E179="",TODAY()-8,$E179),TODAY()-8))-YEAR($D179))*12+MONTH(MIN(IF($E179="",TODAY()-8,$E179),TODAY()-8))-MONTH($D179)+IF(MIN(IF($E179="",TODAY()-8,$E179),TODAY()-8)&gt;=EOMONTH(MIN(IF($E179="",TODAY()-8,$E179),TODAY()-8),0),1,0)),MAX(0,INT((MIN(IF($E179="",TODAY()-8,$E179),TODAY()-8)-($D179+MOD(SISTEM!$F$8-WEEKDAY($D179,2),7)))/7)+1)))</f>
        <v/>
      </c>
      <c r="K179" s="222">
        <f>IF(OR($C179="",$D179="",$G179="",$F179=""),0,$G179*IF($F179="Aylık",MAX(0,(YEAR(MIN(IF($E179="",TODAY()-15,$E179),TODAY()-15))-YEAR($D179))*12+MONTH(MIN(IF($E179="",TODAY()-15,$E179),TODAY()-15))-MONTH($D179)+IF(MIN(IF($E179="",TODAY()-15,$E179),TODAY()-15)&gt;=EOMONTH(MIN(IF($E179="",TODAY()-15,$E179),TODAY()-15),0),1,0)),MAX(0,INT((MIN(IF($E179="",TODAY()-15,$E179),TODAY()-15)-($D179+MOD(SISTEM!$F$8-WEEKDAY($D179,2),7)))/7)+1)))</f>
        <v/>
      </c>
      <c r="L179" s="222">
        <f>IF(OR($C179="",$D179="",$G179="",$F179=""),0,$G179*IF($F179="Aylık",MAX(0,(YEAR(MIN(IF($E179="",TODAY()-29,$E179),TODAY()-29))-YEAR($D179))*12+MONTH(MIN(IF($E179="",TODAY()-29,$E179),TODAY()-29))-MONTH($D179)+IF(MIN(IF($E179="",TODAY()-29,$E179),TODAY()-29)&gt;=EOMONTH(MIN(IF($E179="",TODAY()-29,$E179),TODAY()-29),0),1,0)),MAX(0,INT((MIN(IF($E179="",TODAY()-29,$E179),TODAY()-29)-($D179+MOD(SISTEM!$F$8-WEEKDAY($D179,2),7)))/7)+1)))</f>
        <v/>
      </c>
      <c r="M179" s="223">
        <f>IF($G179&gt;0,$I179/$G179,0)</f>
        <v/>
      </c>
      <c r="N179" s="113">
        <f>IF($C179="","",IF($B179="TANIMSIZ MÜŞTERİ","TANIMSIZ MÜŞTERİ",IF($F179="","MODEL SEÇİN",IF(OR($D179="",$G179&lt;=0),"EKSİK",IF(AND($E179&lt;&gt;"",$E179&lt;$D179),"TARİH HATASI",IF($H179="Pasif","KAPALI DÖNEM","UYGUN"))))))</f>
        <v/>
      </c>
      <c r="O179" s="224">
        <f>IF(OR($C179="",$D179="",$F179=""),"",IF($F179="Aylık",EOMONTH($D179,0),($D179+MOD(SISTEM!$F$8-WEEKDAY($D179,2),7))))</f>
        <v/>
      </c>
      <c r="P179" s="109" t="n"/>
      <c r="Q179" s="6" t="n"/>
      <c r="R179" s="6" t="n"/>
      <c r="S179" s="3">
        <f>IF($B179="","",$B179&amp;"|"&amp;COUNTIFS($B$7:$B179,$B179))</f>
        <v/>
      </c>
      <c r="T179" s="3">
        <f>IF($C179="","",UPPER(SUBSTITUTE(SUBSTITUTE(SUBSTITUTE(SUBSTITUTE(SUBSTITUTE(SUBSTITUTE(SUBSTITUTE(SUBSTITUTE(SUBSTITUTE(SUBSTITUTE(SUBSTITUTE(SUBSTITUTE(SUBSTITUTE(SUBSTITUTE(SUBSTITUTE(SUBSTITUTE(SUBSTITUTE(SUBSTITUTE(TRIM($C179),"'",""),"İ","I"),"ı","I"),"i","I"),"Ş","S"),"ş","S"),"Ğ","G"),"ğ","G"),"Ü","U"),"ü","U"),"Ö","O"),"ö","O"),"Ç","C"),"ç","C"),".",""),",","")," ",""),"-","")))</f>
        <v/>
      </c>
    </row>
    <row r="180">
      <c r="A180" s="6" t="n"/>
      <c r="B180" s="113">
        <f>IF($C180="","",IFERROR(INDEX(MUSTERILER!$B$7:$B$106,MATCH($T180,MUSTERILER!$T$7:$T$106,0)),IFERROR(INDEX(MUSTERILER!$B$7:$B$106,MATCH($C180,MUSTERILER!$B$7:$B$106,0)),IFERROR(INDEX(MUSTERILER!$B$7:$B$106,MATCH($T180&amp;"*",MUSTERILER!$T$7:$T$106,0)),"TANIMSIZ MÜŞTERİ"))))</f>
        <v/>
      </c>
      <c r="C180" s="109" t="n"/>
      <c r="D180" s="220" t="n"/>
      <c r="E180" s="220" t="n"/>
      <c r="F180" s="108" t="n"/>
      <c r="G180" s="221" t="n"/>
      <c r="H180" s="108" t="n"/>
      <c r="I180" s="222">
        <f>IF(OR($C180="",$D180="",$G180="",$F180=""),0,$G180*IF($F180="Aylık",MAX(0,(YEAR(MIN(IF($E180="",TODAY(),$E180),TODAY()))-YEAR($D180))*12+MONTH(MIN(IF($E180="",TODAY(),$E180),TODAY()))-MONTH($D180)+IF(MIN(IF($E180="",TODAY(),$E180),TODAY())&gt;=EOMONTH(MIN(IF($E180="",TODAY(),$E180),TODAY()),0),1,0)),MAX(0,INT((MIN(IF($E180="",TODAY(),$E180),TODAY())-($D180+MOD(SISTEM!$F$8-WEEKDAY($D180,2),7)))/7)+1)))</f>
        <v/>
      </c>
      <c r="J180" s="222">
        <f>IF(OR($C180="",$D180="",$G180="",$F180=""),0,$G180*IF($F180="Aylık",MAX(0,(YEAR(MIN(IF($E180="",TODAY()-8,$E180),TODAY()-8))-YEAR($D180))*12+MONTH(MIN(IF($E180="",TODAY()-8,$E180),TODAY()-8))-MONTH($D180)+IF(MIN(IF($E180="",TODAY()-8,$E180),TODAY()-8)&gt;=EOMONTH(MIN(IF($E180="",TODAY()-8,$E180),TODAY()-8),0),1,0)),MAX(0,INT((MIN(IF($E180="",TODAY()-8,$E180),TODAY()-8)-($D180+MOD(SISTEM!$F$8-WEEKDAY($D180,2),7)))/7)+1)))</f>
        <v/>
      </c>
      <c r="K180" s="222">
        <f>IF(OR($C180="",$D180="",$G180="",$F180=""),0,$G180*IF($F180="Aylık",MAX(0,(YEAR(MIN(IF($E180="",TODAY()-15,$E180),TODAY()-15))-YEAR($D180))*12+MONTH(MIN(IF($E180="",TODAY()-15,$E180),TODAY()-15))-MONTH($D180)+IF(MIN(IF($E180="",TODAY()-15,$E180),TODAY()-15)&gt;=EOMONTH(MIN(IF($E180="",TODAY()-15,$E180),TODAY()-15),0),1,0)),MAX(0,INT((MIN(IF($E180="",TODAY()-15,$E180),TODAY()-15)-($D180+MOD(SISTEM!$F$8-WEEKDAY($D180,2),7)))/7)+1)))</f>
        <v/>
      </c>
      <c r="L180" s="222">
        <f>IF(OR($C180="",$D180="",$G180="",$F180=""),0,$G180*IF($F180="Aylık",MAX(0,(YEAR(MIN(IF($E180="",TODAY()-29,$E180),TODAY()-29))-YEAR($D180))*12+MONTH(MIN(IF($E180="",TODAY()-29,$E180),TODAY()-29))-MONTH($D180)+IF(MIN(IF($E180="",TODAY()-29,$E180),TODAY()-29)&gt;=EOMONTH(MIN(IF($E180="",TODAY()-29,$E180),TODAY()-29),0),1,0)),MAX(0,INT((MIN(IF($E180="",TODAY()-29,$E180),TODAY()-29)-($D180+MOD(SISTEM!$F$8-WEEKDAY($D180,2),7)))/7)+1)))</f>
        <v/>
      </c>
      <c r="M180" s="223">
        <f>IF($G180&gt;0,$I180/$G180,0)</f>
        <v/>
      </c>
      <c r="N180" s="113">
        <f>IF($C180="","",IF($B180="TANIMSIZ MÜŞTERİ","TANIMSIZ MÜŞTERİ",IF($F180="","MODEL SEÇİN",IF(OR($D180="",$G180&lt;=0),"EKSİK",IF(AND($E180&lt;&gt;"",$E180&lt;$D180),"TARİH HATASI",IF($H180="Pasif","KAPALI DÖNEM","UYGUN"))))))</f>
        <v/>
      </c>
      <c r="O180" s="224">
        <f>IF(OR($C180="",$D180="",$F180=""),"",IF($F180="Aylık",EOMONTH($D180,0),($D180+MOD(SISTEM!$F$8-WEEKDAY($D180,2),7))))</f>
        <v/>
      </c>
      <c r="P180" s="109" t="n"/>
      <c r="Q180" s="6" t="n"/>
      <c r="R180" s="6" t="n"/>
      <c r="S180" s="3">
        <f>IF($B180="","",$B180&amp;"|"&amp;COUNTIFS($B$7:$B180,$B180))</f>
        <v/>
      </c>
      <c r="T180" s="3">
        <f>IF($C180="","",UPPER(SUBSTITUTE(SUBSTITUTE(SUBSTITUTE(SUBSTITUTE(SUBSTITUTE(SUBSTITUTE(SUBSTITUTE(SUBSTITUTE(SUBSTITUTE(SUBSTITUTE(SUBSTITUTE(SUBSTITUTE(SUBSTITUTE(SUBSTITUTE(SUBSTITUTE(SUBSTITUTE(SUBSTITUTE(SUBSTITUTE(TRIM($C180),"'",""),"İ","I"),"ı","I"),"i","I"),"Ş","S"),"ş","S"),"Ğ","G"),"ğ","G"),"Ü","U"),"ü","U"),"Ö","O"),"ö","O"),"Ç","C"),"ç","C"),".",""),",","")," ",""),"-","")))</f>
        <v/>
      </c>
    </row>
    <row r="181">
      <c r="A181" s="6" t="n"/>
      <c r="B181" s="113">
        <f>IF($C181="","",IFERROR(INDEX(MUSTERILER!$B$7:$B$106,MATCH($T181,MUSTERILER!$T$7:$T$106,0)),IFERROR(INDEX(MUSTERILER!$B$7:$B$106,MATCH($C181,MUSTERILER!$B$7:$B$106,0)),IFERROR(INDEX(MUSTERILER!$B$7:$B$106,MATCH($T181&amp;"*",MUSTERILER!$T$7:$T$106,0)),"TANIMSIZ MÜŞTERİ"))))</f>
        <v/>
      </c>
      <c r="C181" s="109" t="n"/>
      <c r="D181" s="220" t="n"/>
      <c r="E181" s="220" t="n"/>
      <c r="F181" s="108" t="n"/>
      <c r="G181" s="221" t="n"/>
      <c r="H181" s="108" t="n"/>
      <c r="I181" s="222">
        <f>IF(OR($C181="",$D181="",$G181="",$F181=""),0,$G181*IF($F181="Aylık",MAX(0,(YEAR(MIN(IF($E181="",TODAY(),$E181),TODAY()))-YEAR($D181))*12+MONTH(MIN(IF($E181="",TODAY(),$E181),TODAY()))-MONTH($D181)+IF(MIN(IF($E181="",TODAY(),$E181),TODAY())&gt;=EOMONTH(MIN(IF($E181="",TODAY(),$E181),TODAY()),0),1,0)),MAX(0,INT((MIN(IF($E181="",TODAY(),$E181),TODAY())-($D181+MOD(SISTEM!$F$8-WEEKDAY($D181,2),7)))/7)+1)))</f>
        <v/>
      </c>
      <c r="J181" s="222">
        <f>IF(OR($C181="",$D181="",$G181="",$F181=""),0,$G181*IF($F181="Aylık",MAX(0,(YEAR(MIN(IF($E181="",TODAY()-8,$E181),TODAY()-8))-YEAR($D181))*12+MONTH(MIN(IF($E181="",TODAY()-8,$E181),TODAY()-8))-MONTH($D181)+IF(MIN(IF($E181="",TODAY()-8,$E181),TODAY()-8)&gt;=EOMONTH(MIN(IF($E181="",TODAY()-8,$E181),TODAY()-8),0),1,0)),MAX(0,INT((MIN(IF($E181="",TODAY()-8,$E181),TODAY()-8)-($D181+MOD(SISTEM!$F$8-WEEKDAY($D181,2),7)))/7)+1)))</f>
        <v/>
      </c>
      <c r="K181" s="222">
        <f>IF(OR($C181="",$D181="",$G181="",$F181=""),0,$G181*IF($F181="Aylık",MAX(0,(YEAR(MIN(IF($E181="",TODAY()-15,$E181),TODAY()-15))-YEAR($D181))*12+MONTH(MIN(IF($E181="",TODAY()-15,$E181),TODAY()-15))-MONTH($D181)+IF(MIN(IF($E181="",TODAY()-15,$E181),TODAY()-15)&gt;=EOMONTH(MIN(IF($E181="",TODAY()-15,$E181),TODAY()-15),0),1,0)),MAX(0,INT((MIN(IF($E181="",TODAY()-15,$E181),TODAY()-15)-($D181+MOD(SISTEM!$F$8-WEEKDAY($D181,2),7)))/7)+1)))</f>
        <v/>
      </c>
      <c r="L181" s="222">
        <f>IF(OR($C181="",$D181="",$G181="",$F181=""),0,$G181*IF($F181="Aylık",MAX(0,(YEAR(MIN(IF($E181="",TODAY()-29,$E181),TODAY()-29))-YEAR($D181))*12+MONTH(MIN(IF($E181="",TODAY()-29,$E181),TODAY()-29))-MONTH($D181)+IF(MIN(IF($E181="",TODAY()-29,$E181),TODAY()-29)&gt;=EOMONTH(MIN(IF($E181="",TODAY()-29,$E181),TODAY()-29),0),1,0)),MAX(0,INT((MIN(IF($E181="",TODAY()-29,$E181),TODAY()-29)-($D181+MOD(SISTEM!$F$8-WEEKDAY($D181,2),7)))/7)+1)))</f>
        <v/>
      </c>
      <c r="M181" s="223">
        <f>IF($G181&gt;0,$I181/$G181,0)</f>
        <v/>
      </c>
      <c r="N181" s="113">
        <f>IF($C181="","",IF($B181="TANIMSIZ MÜŞTERİ","TANIMSIZ MÜŞTERİ",IF($F181="","MODEL SEÇİN",IF(OR($D181="",$G181&lt;=0),"EKSİK",IF(AND($E181&lt;&gt;"",$E181&lt;$D181),"TARİH HATASI",IF($H181="Pasif","KAPALI DÖNEM","UYGUN"))))))</f>
        <v/>
      </c>
      <c r="O181" s="224">
        <f>IF(OR($C181="",$D181="",$F181=""),"",IF($F181="Aylık",EOMONTH($D181,0),($D181+MOD(SISTEM!$F$8-WEEKDAY($D181,2),7))))</f>
        <v/>
      </c>
      <c r="P181" s="109" t="n"/>
      <c r="Q181" s="6" t="n"/>
      <c r="R181" s="6" t="n"/>
      <c r="S181" s="3">
        <f>IF($B181="","",$B181&amp;"|"&amp;COUNTIFS($B$7:$B181,$B181))</f>
        <v/>
      </c>
      <c r="T181" s="3">
        <f>IF($C181="","",UPPER(SUBSTITUTE(SUBSTITUTE(SUBSTITUTE(SUBSTITUTE(SUBSTITUTE(SUBSTITUTE(SUBSTITUTE(SUBSTITUTE(SUBSTITUTE(SUBSTITUTE(SUBSTITUTE(SUBSTITUTE(SUBSTITUTE(SUBSTITUTE(SUBSTITUTE(SUBSTITUTE(SUBSTITUTE(SUBSTITUTE(TRIM($C181),"'",""),"İ","I"),"ı","I"),"i","I"),"Ş","S"),"ş","S"),"Ğ","G"),"ğ","G"),"Ü","U"),"ü","U"),"Ö","O"),"ö","O"),"Ç","C"),"ç","C"),".",""),",","")," ",""),"-","")))</f>
        <v/>
      </c>
    </row>
    <row r="182">
      <c r="A182" s="6" t="n"/>
      <c r="B182" s="113">
        <f>IF($C182="","",IFERROR(INDEX(MUSTERILER!$B$7:$B$106,MATCH($T182,MUSTERILER!$T$7:$T$106,0)),IFERROR(INDEX(MUSTERILER!$B$7:$B$106,MATCH($C182,MUSTERILER!$B$7:$B$106,0)),IFERROR(INDEX(MUSTERILER!$B$7:$B$106,MATCH($T182&amp;"*",MUSTERILER!$T$7:$T$106,0)),"TANIMSIZ MÜŞTERİ"))))</f>
        <v/>
      </c>
      <c r="C182" s="109" t="n"/>
      <c r="D182" s="220" t="n"/>
      <c r="E182" s="220" t="n"/>
      <c r="F182" s="108" t="n"/>
      <c r="G182" s="221" t="n"/>
      <c r="H182" s="108" t="n"/>
      <c r="I182" s="222">
        <f>IF(OR($C182="",$D182="",$G182="",$F182=""),0,$G182*IF($F182="Aylık",MAX(0,(YEAR(MIN(IF($E182="",TODAY(),$E182),TODAY()))-YEAR($D182))*12+MONTH(MIN(IF($E182="",TODAY(),$E182),TODAY()))-MONTH($D182)+IF(MIN(IF($E182="",TODAY(),$E182),TODAY())&gt;=EOMONTH(MIN(IF($E182="",TODAY(),$E182),TODAY()),0),1,0)),MAX(0,INT((MIN(IF($E182="",TODAY(),$E182),TODAY())-($D182+MOD(SISTEM!$F$8-WEEKDAY($D182,2),7)))/7)+1)))</f>
        <v/>
      </c>
      <c r="J182" s="222">
        <f>IF(OR($C182="",$D182="",$G182="",$F182=""),0,$G182*IF($F182="Aylık",MAX(0,(YEAR(MIN(IF($E182="",TODAY()-8,$E182),TODAY()-8))-YEAR($D182))*12+MONTH(MIN(IF($E182="",TODAY()-8,$E182),TODAY()-8))-MONTH($D182)+IF(MIN(IF($E182="",TODAY()-8,$E182),TODAY()-8)&gt;=EOMONTH(MIN(IF($E182="",TODAY()-8,$E182),TODAY()-8),0),1,0)),MAX(0,INT((MIN(IF($E182="",TODAY()-8,$E182),TODAY()-8)-($D182+MOD(SISTEM!$F$8-WEEKDAY($D182,2),7)))/7)+1)))</f>
        <v/>
      </c>
      <c r="K182" s="222">
        <f>IF(OR($C182="",$D182="",$G182="",$F182=""),0,$G182*IF($F182="Aylık",MAX(0,(YEAR(MIN(IF($E182="",TODAY()-15,$E182),TODAY()-15))-YEAR($D182))*12+MONTH(MIN(IF($E182="",TODAY()-15,$E182),TODAY()-15))-MONTH($D182)+IF(MIN(IF($E182="",TODAY()-15,$E182),TODAY()-15)&gt;=EOMONTH(MIN(IF($E182="",TODAY()-15,$E182),TODAY()-15),0),1,0)),MAX(0,INT((MIN(IF($E182="",TODAY()-15,$E182),TODAY()-15)-($D182+MOD(SISTEM!$F$8-WEEKDAY($D182,2),7)))/7)+1)))</f>
        <v/>
      </c>
      <c r="L182" s="222">
        <f>IF(OR($C182="",$D182="",$G182="",$F182=""),0,$G182*IF($F182="Aylık",MAX(0,(YEAR(MIN(IF($E182="",TODAY()-29,$E182),TODAY()-29))-YEAR($D182))*12+MONTH(MIN(IF($E182="",TODAY()-29,$E182),TODAY()-29))-MONTH($D182)+IF(MIN(IF($E182="",TODAY()-29,$E182),TODAY()-29)&gt;=EOMONTH(MIN(IF($E182="",TODAY()-29,$E182),TODAY()-29),0),1,0)),MAX(0,INT((MIN(IF($E182="",TODAY()-29,$E182),TODAY()-29)-($D182+MOD(SISTEM!$F$8-WEEKDAY($D182,2),7)))/7)+1)))</f>
        <v/>
      </c>
      <c r="M182" s="223">
        <f>IF($G182&gt;0,$I182/$G182,0)</f>
        <v/>
      </c>
      <c r="N182" s="113">
        <f>IF($C182="","",IF($B182="TANIMSIZ MÜŞTERİ","TANIMSIZ MÜŞTERİ",IF($F182="","MODEL SEÇİN",IF(OR($D182="",$G182&lt;=0),"EKSİK",IF(AND($E182&lt;&gt;"",$E182&lt;$D182),"TARİH HATASI",IF($H182="Pasif","KAPALI DÖNEM","UYGUN"))))))</f>
        <v/>
      </c>
      <c r="O182" s="224">
        <f>IF(OR($C182="",$D182="",$F182=""),"",IF($F182="Aylık",EOMONTH($D182,0),($D182+MOD(SISTEM!$F$8-WEEKDAY($D182,2),7))))</f>
        <v/>
      </c>
      <c r="P182" s="109" t="n"/>
      <c r="Q182" s="6" t="n"/>
      <c r="R182" s="6" t="n"/>
      <c r="S182" s="3">
        <f>IF($B182="","",$B182&amp;"|"&amp;COUNTIFS($B$7:$B182,$B182))</f>
        <v/>
      </c>
      <c r="T182" s="3">
        <f>IF($C182="","",UPPER(SUBSTITUTE(SUBSTITUTE(SUBSTITUTE(SUBSTITUTE(SUBSTITUTE(SUBSTITUTE(SUBSTITUTE(SUBSTITUTE(SUBSTITUTE(SUBSTITUTE(SUBSTITUTE(SUBSTITUTE(SUBSTITUTE(SUBSTITUTE(SUBSTITUTE(SUBSTITUTE(SUBSTITUTE(SUBSTITUTE(TRIM($C182),"'",""),"İ","I"),"ı","I"),"i","I"),"Ş","S"),"ş","S"),"Ğ","G"),"ğ","G"),"Ü","U"),"ü","U"),"Ö","O"),"ö","O"),"Ç","C"),"ç","C"),".",""),",","")," ",""),"-","")))</f>
        <v/>
      </c>
    </row>
    <row r="183">
      <c r="A183" s="6" t="n"/>
      <c r="B183" s="113">
        <f>IF($C183="","",IFERROR(INDEX(MUSTERILER!$B$7:$B$106,MATCH($T183,MUSTERILER!$T$7:$T$106,0)),IFERROR(INDEX(MUSTERILER!$B$7:$B$106,MATCH($C183,MUSTERILER!$B$7:$B$106,0)),IFERROR(INDEX(MUSTERILER!$B$7:$B$106,MATCH($T183&amp;"*",MUSTERILER!$T$7:$T$106,0)),"TANIMSIZ MÜŞTERİ"))))</f>
        <v/>
      </c>
      <c r="C183" s="109" t="n"/>
      <c r="D183" s="220" t="n"/>
      <c r="E183" s="220" t="n"/>
      <c r="F183" s="108" t="n"/>
      <c r="G183" s="221" t="n"/>
      <c r="H183" s="108" t="n"/>
      <c r="I183" s="222">
        <f>IF(OR($C183="",$D183="",$G183="",$F183=""),0,$G183*IF($F183="Aylık",MAX(0,(YEAR(MIN(IF($E183="",TODAY(),$E183),TODAY()))-YEAR($D183))*12+MONTH(MIN(IF($E183="",TODAY(),$E183),TODAY()))-MONTH($D183)+IF(MIN(IF($E183="",TODAY(),$E183),TODAY())&gt;=EOMONTH(MIN(IF($E183="",TODAY(),$E183),TODAY()),0),1,0)),MAX(0,INT((MIN(IF($E183="",TODAY(),$E183),TODAY())-($D183+MOD(SISTEM!$F$8-WEEKDAY($D183,2),7)))/7)+1)))</f>
        <v/>
      </c>
      <c r="J183" s="222">
        <f>IF(OR($C183="",$D183="",$G183="",$F183=""),0,$G183*IF($F183="Aylık",MAX(0,(YEAR(MIN(IF($E183="",TODAY()-8,$E183),TODAY()-8))-YEAR($D183))*12+MONTH(MIN(IF($E183="",TODAY()-8,$E183),TODAY()-8))-MONTH($D183)+IF(MIN(IF($E183="",TODAY()-8,$E183),TODAY()-8)&gt;=EOMONTH(MIN(IF($E183="",TODAY()-8,$E183),TODAY()-8),0),1,0)),MAX(0,INT((MIN(IF($E183="",TODAY()-8,$E183),TODAY()-8)-($D183+MOD(SISTEM!$F$8-WEEKDAY($D183,2),7)))/7)+1)))</f>
        <v/>
      </c>
      <c r="K183" s="222">
        <f>IF(OR($C183="",$D183="",$G183="",$F183=""),0,$G183*IF($F183="Aylık",MAX(0,(YEAR(MIN(IF($E183="",TODAY()-15,$E183),TODAY()-15))-YEAR($D183))*12+MONTH(MIN(IF($E183="",TODAY()-15,$E183),TODAY()-15))-MONTH($D183)+IF(MIN(IF($E183="",TODAY()-15,$E183),TODAY()-15)&gt;=EOMONTH(MIN(IF($E183="",TODAY()-15,$E183),TODAY()-15),0),1,0)),MAX(0,INT((MIN(IF($E183="",TODAY()-15,$E183),TODAY()-15)-($D183+MOD(SISTEM!$F$8-WEEKDAY($D183,2),7)))/7)+1)))</f>
        <v/>
      </c>
      <c r="L183" s="222">
        <f>IF(OR($C183="",$D183="",$G183="",$F183=""),0,$G183*IF($F183="Aylık",MAX(0,(YEAR(MIN(IF($E183="",TODAY()-29,$E183),TODAY()-29))-YEAR($D183))*12+MONTH(MIN(IF($E183="",TODAY()-29,$E183),TODAY()-29))-MONTH($D183)+IF(MIN(IF($E183="",TODAY()-29,$E183),TODAY()-29)&gt;=EOMONTH(MIN(IF($E183="",TODAY()-29,$E183),TODAY()-29),0),1,0)),MAX(0,INT((MIN(IF($E183="",TODAY()-29,$E183),TODAY()-29)-($D183+MOD(SISTEM!$F$8-WEEKDAY($D183,2),7)))/7)+1)))</f>
        <v/>
      </c>
      <c r="M183" s="223">
        <f>IF($G183&gt;0,$I183/$G183,0)</f>
        <v/>
      </c>
      <c r="N183" s="113">
        <f>IF($C183="","",IF($B183="TANIMSIZ MÜŞTERİ","TANIMSIZ MÜŞTERİ",IF($F183="","MODEL SEÇİN",IF(OR($D183="",$G183&lt;=0),"EKSİK",IF(AND($E183&lt;&gt;"",$E183&lt;$D183),"TARİH HATASI",IF($H183="Pasif","KAPALI DÖNEM","UYGUN"))))))</f>
        <v/>
      </c>
      <c r="O183" s="224">
        <f>IF(OR($C183="",$D183="",$F183=""),"",IF($F183="Aylık",EOMONTH($D183,0),($D183+MOD(SISTEM!$F$8-WEEKDAY($D183,2),7))))</f>
        <v/>
      </c>
      <c r="P183" s="109" t="n"/>
      <c r="Q183" s="6" t="n"/>
      <c r="R183" s="6" t="n"/>
      <c r="S183" s="3">
        <f>IF($B183="","",$B183&amp;"|"&amp;COUNTIFS($B$7:$B183,$B183))</f>
        <v/>
      </c>
      <c r="T183" s="3">
        <f>IF($C183="","",UPPER(SUBSTITUTE(SUBSTITUTE(SUBSTITUTE(SUBSTITUTE(SUBSTITUTE(SUBSTITUTE(SUBSTITUTE(SUBSTITUTE(SUBSTITUTE(SUBSTITUTE(SUBSTITUTE(SUBSTITUTE(SUBSTITUTE(SUBSTITUTE(SUBSTITUTE(SUBSTITUTE(SUBSTITUTE(SUBSTITUTE(TRIM($C183),"'",""),"İ","I"),"ı","I"),"i","I"),"Ş","S"),"ş","S"),"Ğ","G"),"ğ","G"),"Ü","U"),"ü","U"),"Ö","O"),"ö","O"),"Ç","C"),"ç","C"),".",""),",","")," ",""),"-","")))</f>
        <v/>
      </c>
    </row>
    <row r="184">
      <c r="A184" s="6" t="n"/>
      <c r="B184" s="113">
        <f>IF($C184="","",IFERROR(INDEX(MUSTERILER!$B$7:$B$106,MATCH($T184,MUSTERILER!$T$7:$T$106,0)),IFERROR(INDEX(MUSTERILER!$B$7:$B$106,MATCH($C184,MUSTERILER!$B$7:$B$106,0)),IFERROR(INDEX(MUSTERILER!$B$7:$B$106,MATCH($T184&amp;"*",MUSTERILER!$T$7:$T$106,0)),"TANIMSIZ MÜŞTERİ"))))</f>
        <v/>
      </c>
      <c r="C184" s="109" t="n"/>
      <c r="D184" s="220" t="n"/>
      <c r="E184" s="220" t="n"/>
      <c r="F184" s="108" t="n"/>
      <c r="G184" s="221" t="n"/>
      <c r="H184" s="108" t="n"/>
      <c r="I184" s="222">
        <f>IF(OR($C184="",$D184="",$G184="",$F184=""),0,$G184*IF($F184="Aylık",MAX(0,(YEAR(MIN(IF($E184="",TODAY(),$E184),TODAY()))-YEAR($D184))*12+MONTH(MIN(IF($E184="",TODAY(),$E184),TODAY()))-MONTH($D184)+IF(MIN(IF($E184="",TODAY(),$E184),TODAY())&gt;=EOMONTH(MIN(IF($E184="",TODAY(),$E184),TODAY()),0),1,0)),MAX(0,INT((MIN(IF($E184="",TODAY(),$E184),TODAY())-($D184+MOD(SISTEM!$F$8-WEEKDAY($D184,2),7)))/7)+1)))</f>
        <v/>
      </c>
      <c r="J184" s="222">
        <f>IF(OR($C184="",$D184="",$G184="",$F184=""),0,$G184*IF($F184="Aylık",MAX(0,(YEAR(MIN(IF($E184="",TODAY()-8,$E184),TODAY()-8))-YEAR($D184))*12+MONTH(MIN(IF($E184="",TODAY()-8,$E184),TODAY()-8))-MONTH($D184)+IF(MIN(IF($E184="",TODAY()-8,$E184),TODAY()-8)&gt;=EOMONTH(MIN(IF($E184="",TODAY()-8,$E184),TODAY()-8),0),1,0)),MAX(0,INT((MIN(IF($E184="",TODAY()-8,$E184),TODAY()-8)-($D184+MOD(SISTEM!$F$8-WEEKDAY($D184,2),7)))/7)+1)))</f>
        <v/>
      </c>
      <c r="K184" s="222">
        <f>IF(OR($C184="",$D184="",$G184="",$F184=""),0,$G184*IF($F184="Aylık",MAX(0,(YEAR(MIN(IF($E184="",TODAY()-15,$E184),TODAY()-15))-YEAR($D184))*12+MONTH(MIN(IF($E184="",TODAY()-15,$E184),TODAY()-15))-MONTH($D184)+IF(MIN(IF($E184="",TODAY()-15,$E184),TODAY()-15)&gt;=EOMONTH(MIN(IF($E184="",TODAY()-15,$E184),TODAY()-15),0),1,0)),MAX(0,INT((MIN(IF($E184="",TODAY()-15,$E184),TODAY()-15)-($D184+MOD(SISTEM!$F$8-WEEKDAY($D184,2),7)))/7)+1)))</f>
        <v/>
      </c>
      <c r="L184" s="222">
        <f>IF(OR($C184="",$D184="",$G184="",$F184=""),0,$G184*IF($F184="Aylık",MAX(0,(YEAR(MIN(IF($E184="",TODAY()-29,$E184),TODAY()-29))-YEAR($D184))*12+MONTH(MIN(IF($E184="",TODAY()-29,$E184),TODAY()-29))-MONTH($D184)+IF(MIN(IF($E184="",TODAY()-29,$E184),TODAY()-29)&gt;=EOMONTH(MIN(IF($E184="",TODAY()-29,$E184),TODAY()-29),0),1,0)),MAX(0,INT((MIN(IF($E184="",TODAY()-29,$E184),TODAY()-29)-($D184+MOD(SISTEM!$F$8-WEEKDAY($D184,2),7)))/7)+1)))</f>
        <v/>
      </c>
      <c r="M184" s="223">
        <f>IF($G184&gt;0,$I184/$G184,0)</f>
        <v/>
      </c>
      <c r="N184" s="113">
        <f>IF($C184="","",IF($B184="TANIMSIZ MÜŞTERİ","TANIMSIZ MÜŞTERİ",IF($F184="","MODEL SEÇİN",IF(OR($D184="",$G184&lt;=0),"EKSİK",IF(AND($E184&lt;&gt;"",$E184&lt;$D184),"TARİH HATASI",IF($H184="Pasif","KAPALI DÖNEM","UYGUN"))))))</f>
        <v/>
      </c>
      <c r="O184" s="224">
        <f>IF(OR($C184="",$D184="",$F184=""),"",IF($F184="Aylık",EOMONTH($D184,0),($D184+MOD(SISTEM!$F$8-WEEKDAY($D184,2),7))))</f>
        <v/>
      </c>
      <c r="P184" s="109" t="n"/>
      <c r="Q184" s="6" t="n"/>
      <c r="R184" s="6" t="n"/>
      <c r="S184" s="3">
        <f>IF($B184="","",$B184&amp;"|"&amp;COUNTIFS($B$7:$B184,$B184))</f>
        <v/>
      </c>
      <c r="T184" s="3">
        <f>IF($C184="","",UPPER(SUBSTITUTE(SUBSTITUTE(SUBSTITUTE(SUBSTITUTE(SUBSTITUTE(SUBSTITUTE(SUBSTITUTE(SUBSTITUTE(SUBSTITUTE(SUBSTITUTE(SUBSTITUTE(SUBSTITUTE(SUBSTITUTE(SUBSTITUTE(SUBSTITUTE(SUBSTITUTE(SUBSTITUTE(SUBSTITUTE(TRIM($C184),"'",""),"İ","I"),"ı","I"),"i","I"),"Ş","S"),"ş","S"),"Ğ","G"),"ğ","G"),"Ü","U"),"ü","U"),"Ö","O"),"ö","O"),"Ç","C"),"ç","C"),".",""),",","")," ",""),"-","")))</f>
        <v/>
      </c>
    </row>
    <row r="185">
      <c r="A185" s="6" t="n"/>
      <c r="B185" s="113">
        <f>IF($C185="","",IFERROR(INDEX(MUSTERILER!$B$7:$B$106,MATCH($T185,MUSTERILER!$T$7:$T$106,0)),IFERROR(INDEX(MUSTERILER!$B$7:$B$106,MATCH($C185,MUSTERILER!$B$7:$B$106,0)),IFERROR(INDEX(MUSTERILER!$B$7:$B$106,MATCH($T185&amp;"*",MUSTERILER!$T$7:$T$106,0)),"TANIMSIZ MÜŞTERİ"))))</f>
        <v/>
      </c>
      <c r="C185" s="109" t="n"/>
      <c r="D185" s="220" t="n"/>
      <c r="E185" s="220" t="n"/>
      <c r="F185" s="108" t="n"/>
      <c r="G185" s="221" t="n"/>
      <c r="H185" s="108" t="n"/>
      <c r="I185" s="222">
        <f>IF(OR($C185="",$D185="",$G185="",$F185=""),0,$G185*IF($F185="Aylık",MAX(0,(YEAR(MIN(IF($E185="",TODAY(),$E185),TODAY()))-YEAR($D185))*12+MONTH(MIN(IF($E185="",TODAY(),$E185),TODAY()))-MONTH($D185)+IF(MIN(IF($E185="",TODAY(),$E185),TODAY())&gt;=EOMONTH(MIN(IF($E185="",TODAY(),$E185),TODAY()),0),1,0)),MAX(0,INT((MIN(IF($E185="",TODAY(),$E185),TODAY())-($D185+MOD(SISTEM!$F$8-WEEKDAY($D185,2),7)))/7)+1)))</f>
        <v/>
      </c>
      <c r="J185" s="222">
        <f>IF(OR($C185="",$D185="",$G185="",$F185=""),0,$G185*IF($F185="Aylık",MAX(0,(YEAR(MIN(IF($E185="",TODAY()-8,$E185),TODAY()-8))-YEAR($D185))*12+MONTH(MIN(IF($E185="",TODAY()-8,$E185),TODAY()-8))-MONTH($D185)+IF(MIN(IF($E185="",TODAY()-8,$E185),TODAY()-8)&gt;=EOMONTH(MIN(IF($E185="",TODAY()-8,$E185),TODAY()-8),0),1,0)),MAX(0,INT((MIN(IF($E185="",TODAY()-8,$E185),TODAY()-8)-($D185+MOD(SISTEM!$F$8-WEEKDAY($D185,2),7)))/7)+1)))</f>
        <v/>
      </c>
      <c r="K185" s="222">
        <f>IF(OR($C185="",$D185="",$G185="",$F185=""),0,$G185*IF($F185="Aylık",MAX(0,(YEAR(MIN(IF($E185="",TODAY()-15,$E185),TODAY()-15))-YEAR($D185))*12+MONTH(MIN(IF($E185="",TODAY()-15,$E185),TODAY()-15))-MONTH($D185)+IF(MIN(IF($E185="",TODAY()-15,$E185),TODAY()-15)&gt;=EOMONTH(MIN(IF($E185="",TODAY()-15,$E185),TODAY()-15),0),1,0)),MAX(0,INT((MIN(IF($E185="",TODAY()-15,$E185),TODAY()-15)-($D185+MOD(SISTEM!$F$8-WEEKDAY($D185,2),7)))/7)+1)))</f>
        <v/>
      </c>
      <c r="L185" s="222">
        <f>IF(OR($C185="",$D185="",$G185="",$F185=""),0,$G185*IF($F185="Aylık",MAX(0,(YEAR(MIN(IF($E185="",TODAY()-29,$E185),TODAY()-29))-YEAR($D185))*12+MONTH(MIN(IF($E185="",TODAY()-29,$E185),TODAY()-29))-MONTH($D185)+IF(MIN(IF($E185="",TODAY()-29,$E185),TODAY()-29)&gt;=EOMONTH(MIN(IF($E185="",TODAY()-29,$E185),TODAY()-29),0),1,0)),MAX(0,INT((MIN(IF($E185="",TODAY()-29,$E185),TODAY()-29)-($D185+MOD(SISTEM!$F$8-WEEKDAY($D185,2),7)))/7)+1)))</f>
        <v/>
      </c>
      <c r="M185" s="223">
        <f>IF($G185&gt;0,$I185/$G185,0)</f>
        <v/>
      </c>
      <c r="N185" s="113">
        <f>IF($C185="","",IF($B185="TANIMSIZ MÜŞTERİ","TANIMSIZ MÜŞTERİ",IF($F185="","MODEL SEÇİN",IF(OR($D185="",$G185&lt;=0),"EKSİK",IF(AND($E185&lt;&gt;"",$E185&lt;$D185),"TARİH HATASI",IF($H185="Pasif","KAPALI DÖNEM","UYGUN"))))))</f>
        <v/>
      </c>
      <c r="O185" s="224">
        <f>IF(OR($C185="",$D185="",$F185=""),"",IF($F185="Aylık",EOMONTH($D185,0),($D185+MOD(SISTEM!$F$8-WEEKDAY($D185,2),7))))</f>
        <v/>
      </c>
      <c r="P185" s="109" t="n"/>
      <c r="Q185" s="6" t="n"/>
      <c r="R185" s="6" t="n"/>
      <c r="S185" s="3">
        <f>IF($B185="","",$B185&amp;"|"&amp;COUNTIFS($B$7:$B185,$B185))</f>
        <v/>
      </c>
      <c r="T185" s="3">
        <f>IF($C185="","",UPPER(SUBSTITUTE(SUBSTITUTE(SUBSTITUTE(SUBSTITUTE(SUBSTITUTE(SUBSTITUTE(SUBSTITUTE(SUBSTITUTE(SUBSTITUTE(SUBSTITUTE(SUBSTITUTE(SUBSTITUTE(SUBSTITUTE(SUBSTITUTE(SUBSTITUTE(SUBSTITUTE(SUBSTITUTE(SUBSTITUTE(TRIM($C185),"'",""),"İ","I"),"ı","I"),"i","I"),"Ş","S"),"ş","S"),"Ğ","G"),"ğ","G"),"Ü","U"),"ü","U"),"Ö","O"),"ö","O"),"Ç","C"),"ç","C"),".",""),",","")," ",""),"-","")))</f>
        <v/>
      </c>
    </row>
    <row r="186">
      <c r="A186" s="6" t="n"/>
      <c r="B186" s="113">
        <f>IF($C186="","",IFERROR(INDEX(MUSTERILER!$B$7:$B$106,MATCH($T186,MUSTERILER!$T$7:$T$106,0)),IFERROR(INDEX(MUSTERILER!$B$7:$B$106,MATCH($C186,MUSTERILER!$B$7:$B$106,0)),IFERROR(INDEX(MUSTERILER!$B$7:$B$106,MATCH($T186&amp;"*",MUSTERILER!$T$7:$T$106,0)),"TANIMSIZ MÜŞTERİ"))))</f>
        <v/>
      </c>
      <c r="C186" s="109" t="n"/>
      <c r="D186" s="220" t="n"/>
      <c r="E186" s="220" t="n"/>
      <c r="F186" s="108" t="n"/>
      <c r="G186" s="221" t="n"/>
      <c r="H186" s="108" t="n"/>
      <c r="I186" s="222">
        <f>IF(OR($C186="",$D186="",$G186="",$F186=""),0,$G186*IF($F186="Aylık",MAX(0,(YEAR(MIN(IF($E186="",TODAY(),$E186),TODAY()))-YEAR($D186))*12+MONTH(MIN(IF($E186="",TODAY(),$E186),TODAY()))-MONTH($D186)+IF(MIN(IF($E186="",TODAY(),$E186),TODAY())&gt;=EOMONTH(MIN(IF($E186="",TODAY(),$E186),TODAY()),0),1,0)),MAX(0,INT((MIN(IF($E186="",TODAY(),$E186),TODAY())-($D186+MOD(SISTEM!$F$8-WEEKDAY($D186,2),7)))/7)+1)))</f>
        <v/>
      </c>
      <c r="J186" s="222">
        <f>IF(OR($C186="",$D186="",$G186="",$F186=""),0,$G186*IF($F186="Aylık",MAX(0,(YEAR(MIN(IF($E186="",TODAY()-8,$E186),TODAY()-8))-YEAR($D186))*12+MONTH(MIN(IF($E186="",TODAY()-8,$E186),TODAY()-8))-MONTH($D186)+IF(MIN(IF($E186="",TODAY()-8,$E186),TODAY()-8)&gt;=EOMONTH(MIN(IF($E186="",TODAY()-8,$E186),TODAY()-8),0),1,0)),MAX(0,INT((MIN(IF($E186="",TODAY()-8,$E186),TODAY()-8)-($D186+MOD(SISTEM!$F$8-WEEKDAY($D186,2),7)))/7)+1)))</f>
        <v/>
      </c>
      <c r="K186" s="222">
        <f>IF(OR($C186="",$D186="",$G186="",$F186=""),0,$G186*IF($F186="Aylık",MAX(0,(YEAR(MIN(IF($E186="",TODAY()-15,$E186),TODAY()-15))-YEAR($D186))*12+MONTH(MIN(IF($E186="",TODAY()-15,$E186),TODAY()-15))-MONTH($D186)+IF(MIN(IF($E186="",TODAY()-15,$E186),TODAY()-15)&gt;=EOMONTH(MIN(IF($E186="",TODAY()-15,$E186),TODAY()-15),0),1,0)),MAX(0,INT((MIN(IF($E186="",TODAY()-15,$E186),TODAY()-15)-($D186+MOD(SISTEM!$F$8-WEEKDAY($D186,2),7)))/7)+1)))</f>
        <v/>
      </c>
      <c r="L186" s="222">
        <f>IF(OR($C186="",$D186="",$G186="",$F186=""),0,$G186*IF($F186="Aylık",MAX(0,(YEAR(MIN(IF($E186="",TODAY()-29,$E186),TODAY()-29))-YEAR($D186))*12+MONTH(MIN(IF($E186="",TODAY()-29,$E186),TODAY()-29))-MONTH($D186)+IF(MIN(IF($E186="",TODAY()-29,$E186),TODAY()-29)&gt;=EOMONTH(MIN(IF($E186="",TODAY()-29,$E186),TODAY()-29),0),1,0)),MAX(0,INT((MIN(IF($E186="",TODAY()-29,$E186),TODAY()-29)-($D186+MOD(SISTEM!$F$8-WEEKDAY($D186,2),7)))/7)+1)))</f>
        <v/>
      </c>
      <c r="M186" s="223">
        <f>IF($G186&gt;0,$I186/$G186,0)</f>
        <v/>
      </c>
      <c r="N186" s="113">
        <f>IF($C186="","",IF($B186="TANIMSIZ MÜŞTERİ","TANIMSIZ MÜŞTERİ",IF($F186="","MODEL SEÇİN",IF(OR($D186="",$G186&lt;=0),"EKSİK",IF(AND($E186&lt;&gt;"",$E186&lt;$D186),"TARİH HATASI",IF($H186="Pasif","KAPALI DÖNEM","UYGUN"))))))</f>
        <v/>
      </c>
      <c r="O186" s="224">
        <f>IF(OR($C186="",$D186="",$F186=""),"",IF($F186="Aylık",EOMONTH($D186,0),($D186+MOD(SISTEM!$F$8-WEEKDAY($D186,2),7))))</f>
        <v/>
      </c>
      <c r="P186" s="109" t="n"/>
      <c r="Q186" s="6" t="n"/>
      <c r="R186" s="6" t="n"/>
      <c r="S186" s="3">
        <f>IF($B186="","",$B186&amp;"|"&amp;COUNTIFS($B$7:$B186,$B186))</f>
        <v/>
      </c>
      <c r="T186" s="3">
        <f>IF($C186="","",UPPER(SUBSTITUTE(SUBSTITUTE(SUBSTITUTE(SUBSTITUTE(SUBSTITUTE(SUBSTITUTE(SUBSTITUTE(SUBSTITUTE(SUBSTITUTE(SUBSTITUTE(SUBSTITUTE(SUBSTITUTE(SUBSTITUTE(SUBSTITUTE(SUBSTITUTE(SUBSTITUTE(SUBSTITUTE(SUBSTITUTE(TRIM($C186),"'",""),"İ","I"),"ı","I"),"i","I"),"Ş","S"),"ş","S"),"Ğ","G"),"ğ","G"),"Ü","U"),"ü","U"),"Ö","O"),"ö","O"),"Ç","C"),"ç","C"),".",""),",","")," ",""),"-","")))</f>
        <v/>
      </c>
    </row>
    <row r="187">
      <c r="A187" s="6" t="n"/>
      <c r="B187" s="113">
        <f>IF($C187="","",IFERROR(INDEX(MUSTERILER!$B$7:$B$106,MATCH($T187,MUSTERILER!$T$7:$T$106,0)),IFERROR(INDEX(MUSTERILER!$B$7:$B$106,MATCH($C187,MUSTERILER!$B$7:$B$106,0)),IFERROR(INDEX(MUSTERILER!$B$7:$B$106,MATCH($T187&amp;"*",MUSTERILER!$T$7:$T$106,0)),"TANIMSIZ MÜŞTERİ"))))</f>
        <v/>
      </c>
      <c r="C187" s="109" t="n"/>
      <c r="D187" s="220" t="n"/>
      <c r="E187" s="220" t="n"/>
      <c r="F187" s="108" t="n"/>
      <c r="G187" s="221" t="n"/>
      <c r="H187" s="108" t="n"/>
      <c r="I187" s="222">
        <f>IF(OR($C187="",$D187="",$G187="",$F187=""),0,$G187*IF($F187="Aylık",MAX(0,(YEAR(MIN(IF($E187="",TODAY(),$E187),TODAY()))-YEAR($D187))*12+MONTH(MIN(IF($E187="",TODAY(),$E187),TODAY()))-MONTH($D187)+IF(MIN(IF($E187="",TODAY(),$E187),TODAY())&gt;=EOMONTH(MIN(IF($E187="",TODAY(),$E187),TODAY()),0),1,0)),MAX(0,INT((MIN(IF($E187="",TODAY(),$E187),TODAY())-($D187+MOD(SISTEM!$F$8-WEEKDAY($D187,2),7)))/7)+1)))</f>
        <v/>
      </c>
      <c r="J187" s="222">
        <f>IF(OR($C187="",$D187="",$G187="",$F187=""),0,$G187*IF($F187="Aylık",MAX(0,(YEAR(MIN(IF($E187="",TODAY()-8,$E187),TODAY()-8))-YEAR($D187))*12+MONTH(MIN(IF($E187="",TODAY()-8,$E187),TODAY()-8))-MONTH($D187)+IF(MIN(IF($E187="",TODAY()-8,$E187),TODAY()-8)&gt;=EOMONTH(MIN(IF($E187="",TODAY()-8,$E187),TODAY()-8),0),1,0)),MAX(0,INT((MIN(IF($E187="",TODAY()-8,$E187),TODAY()-8)-($D187+MOD(SISTEM!$F$8-WEEKDAY($D187,2),7)))/7)+1)))</f>
        <v/>
      </c>
      <c r="K187" s="222">
        <f>IF(OR($C187="",$D187="",$G187="",$F187=""),0,$G187*IF($F187="Aylık",MAX(0,(YEAR(MIN(IF($E187="",TODAY()-15,$E187),TODAY()-15))-YEAR($D187))*12+MONTH(MIN(IF($E187="",TODAY()-15,$E187),TODAY()-15))-MONTH($D187)+IF(MIN(IF($E187="",TODAY()-15,$E187),TODAY()-15)&gt;=EOMONTH(MIN(IF($E187="",TODAY()-15,$E187),TODAY()-15),0),1,0)),MAX(0,INT((MIN(IF($E187="",TODAY()-15,$E187),TODAY()-15)-($D187+MOD(SISTEM!$F$8-WEEKDAY($D187,2),7)))/7)+1)))</f>
        <v/>
      </c>
      <c r="L187" s="222">
        <f>IF(OR($C187="",$D187="",$G187="",$F187=""),0,$G187*IF($F187="Aylık",MAX(0,(YEAR(MIN(IF($E187="",TODAY()-29,$E187),TODAY()-29))-YEAR($D187))*12+MONTH(MIN(IF($E187="",TODAY()-29,$E187),TODAY()-29))-MONTH($D187)+IF(MIN(IF($E187="",TODAY()-29,$E187),TODAY()-29)&gt;=EOMONTH(MIN(IF($E187="",TODAY()-29,$E187),TODAY()-29),0),1,0)),MAX(0,INT((MIN(IF($E187="",TODAY()-29,$E187),TODAY()-29)-($D187+MOD(SISTEM!$F$8-WEEKDAY($D187,2),7)))/7)+1)))</f>
        <v/>
      </c>
      <c r="M187" s="223">
        <f>IF($G187&gt;0,$I187/$G187,0)</f>
        <v/>
      </c>
      <c r="N187" s="113">
        <f>IF($C187="","",IF($B187="TANIMSIZ MÜŞTERİ","TANIMSIZ MÜŞTERİ",IF($F187="","MODEL SEÇİN",IF(OR($D187="",$G187&lt;=0),"EKSİK",IF(AND($E187&lt;&gt;"",$E187&lt;$D187),"TARİH HATASI",IF($H187="Pasif","KAPALI DÖNEM","UYGUN"))))))</f>
        <v/>
      </c>
      <c r="O187" s="224">
        <f>IF(OR($C187="",$D187="",$F187=""),"",IF($F187="Aylık",EOMONTH($D187,0),($D187+MOD(SISTEM!$F$8-WEEKDAY($D187,2),7))))</f>
        <v/>
      </c>
      <c r="P187" s="109" t="n"/>
      <c r="Q187" s="6" t="n"/>
      <c r="R187" s="6" t="n"/>
      <c r="S187" s="3">
        <f>IF($B187="","",$B187&amp;"|"&amp;COUNTIFS($B$7:$B187,$B187))</f>
        <v/>
      </c>
      <c r="T187" s="3">
        <f>IF($C187="","",UPPER(SUBSTITUTE(SUBSTITUTE(SUBSTITUTE(SUBSTITUTE(SUBSTITUTE(SUBSTITUTE(SUBSTITUTE(SUBSTITUTE(SUBSTITUTE(SUBSTITUTE(SUBSTITUTE(SUBSTITUTE(SUBSTITUTE(SUBSTITUTE(SUBSTITUTE(SUBSTITUTE(SUBSTITUTE(SUBSTITUTE(TRIM($C187),"'",""),"İ","I"),"ı","I"),"i","I"),"Ş","S"),"ş","S"),"Ğ","G"),"ğ","G"),"Ü","U"),"ü","U"),"Ö","O"),"ö","O"),"Ç","C"),"ç","C"),".",""),",","")," ",""),"-","")))</f>
        <v/>
      </c>
    </row>
    <row r="188">
      <c r="A188" s="6" t="n"/>
      <c r="B188" s="113">
        <f>IF($C188="","",IFERROR(INDEX(MUSTERILER!$B$7:$B$106,MATCH($T188,MUSTERILER!$T$7:$T$106,0)),IFERROR(INDEX(MUSTERILER!$B$7:$B$106,MATCH($C188,MUSTERILER!$B$7:$B$106,0)),IFERROR(INDEX(MUSTERILER!$B$7:$B$106,MATCH($T188&amp;"*",MUSTERILER!$T$7:$T$106,0)),"TANIMSIZ MÜŞTERİ"))))</f>
        <v/>
      </c>
      <c r="C188" s="109" t="n"/>
      <c r="D188" s="220" t="n"/>
      <c r="E188" s="220" t="n"/>
      <c r="F188" s="108" t="n"/>
      <c r="G188" s="221" t="n"/>
      <c r="H188" s="108" t="n"/>
      <c r="I188" s="222">
        <f>IF(OR($C188="",$D188="",$G188="",$F188=""),0,$G188*IF($F188="Aylık",MAX(0,(YEAR(MIN(IF($E188="",TODAY(),$E188),TODAY()))-YEAR($D188))*12+MONTH(MIN(IF($E188="",TODAY(),$E188),TODAY()))-MONTH($D188)+IF(MIN(IF($E188="",TODAY(),$E188),TODAY())&gt;=EOMONTH(MIN(IF($E188="",TODAY(),$E188),TODAY()),0),1,0)),MAX(0,INT((MIN(IF($E188="",TODAY(),$E188),TODAY())-($D188+MOD(SISTEM!$F$8-WEEKDAY($D188,2),7)))/7)+1)))</f>
        <v/>
      </c>
      <c r="J188" s="222">
        <f>IF(OR($C188="",$D188="",$G188="",$F188=""),0,$G188*IF($F188="Aylık",MAX(0,(YEAR(MIN(IF($E188="",TODAY()-8,$E188),TODAY()-8))-YEAR($D188))*12+MONTH(MIN(IF($E188="",TODAY()-8,$E188),TODAY()-8))-MONTH($D188)+IF(MIN(IF($E188="",TODAY()-8,$E188),TODAY()-8)&gt;=EOMONTH(MIN(IF($E188="",TODAY()-8,$E188),TODAY()-8),0),1,0)),MAX(0,INT((MIN(IF($E188="",TODAY()-8,$E188),TODAY()-8)-($D188+MOD(SISTEM!$F$8-WEEKDAY($D188,2),7)))/7)+1)))</f>
        <v/>
      </c>
      <c r="K188" s="222">
        <f>IF(OR($C188="",$D188="",$G188="",$F188=""),0,$G188*IF($F188="Aylık",MAX(0,(YEAR(MIN(IF($E188="",TODAY()-15,$E188),TODAY()-15))-YEAR($D188))*12+MONTH(MIN(IF($E188="",TODAY()-15,$E188),TODAY()-15))-MONTH($D188)+IF(MIN(IF($E188="",TODAY()-15,$E188),TODAY()-15)&gt;=EOMONTH(MIN(IF($E188="",TODAY()-15,$E188),TODAY()-15),0),1,0)),MAX(0,INT((MIN(IF($E188="",TODAY()-15,$E188),TODAY()-15)-($D188+MOD(SISTEM!$F$8-WEEKDAY($D188,2),7)))/7)+1)))</f>
        <v/>
      </c>
      <c r="L188" s="222">
        <f>IF(OR($C188="",$D188="",$G188="",$F188=""),0,$G188*IF($F188="Aylık",MAX(0,(YEAR(MIN(IF($E188="",TODAY()-29,$E188),TODAY()-29))-YEAR($D188))*12+MONTH(MIN(IF($E188="",TODAY()-29,$E188),TODAY()-29))-MONTH($D188)+IF(MIN(IF($E188="",TODAY()-29,$E188),TODAY()-29)&gt;=EOMONTH(MIN(IF($E188="",TODAY()-29,$E188),TODAY()-29),0),1,0)),MAX(0,INT((MIN(IF($E188="",TODAY()-29,$E188),TODAY()-29)-($D188+MOD(SISTEM!$F$8-WEEKDAY($D188,2),7)))/7)+1)))</f>
        <v/>
      </c>
      <c r="M188" s="223">
        <f>IF($G188&gt;0,$I188/$G188,0)</f>
        <v/>
      </c>
      <c r="N188" s="113">
        <f>IF($C188="","",IF($B188="TANIMSIZ MÜŞTERİ","TANIMSIZ MÜŞTERİ",IF($F188="","MODEL SEÇİN",IF(OR($D188="",$G188&lt;=0),"EKSİK",IF(AND($E188&lt;&gt;"",$E188&lt;$D188),"TARİH HATASI",IF($H188="Pasif","KAPALI DÖNEM","UYGUN"))))))</f>
        <v/>
      </c>
      <c r="O188" s="224">
        <f>IF(OR($C188="",$D188="",$F188=""),"",IF($F188="Aylık",EOMONTH($D188,0),($D188+MOD(SISTEM!$F$8-WEEKDAY($D188,2),7))))</f>
        <v/>
      </c>
      <c r="P188" s="109" t="n"/>
      <c r="Q188" s="6" t="n"/>
      <c r="R188" s="6" t="n"/>
      <c r="S188" s="3">
        <f>IF($B188="","",$B188&amp;"|"&amp;COUNTIFS($B$7:$B188,$B188))</f>
        <v/>
      </c>
      <c r="T188" s="3">
        <f>IF($C188="","",UPPER(SUBSTITUTE(SUBSTITUTE(SUBSTITUTE(SUBSTITUTE(SUBSTITUTE(SUBSTITUTE(SUBSTITUTE(SUBSTITUTE(SUBSTITUTE(SUBSTITUTE(SUBSTITUTE(SUBSTITUTE(SUBSTITUTE(SUBSTITUTE(SUBSTITUTE(SUBSTITUTE(SUBSTITUTE(SUBSTITUTE(TRIM($C188),"'",""),"İ","I"),"ı","I"),"i","I"),"Ş","S"),"ş","S"),"Ğ","G"),"ğ","G"),"Ü","U"),"ü","U"),"Ö","O"),"ö","O"),"Ç","C"),"ç","C"),".",""),",","")," ",""),"-","")))</f>
        <v/>
      </c>
    </row>
    <row r="189">
      <c r="A189" s="6" t="n"/>
      <c r="B189" s="113">
        <f>IF($C189="","",IFERROR(INDEX(MUSTERILER!$B$7:$B$106,MATCH($T189,MUSTERILER!$T$7:$T$106,0)),IFERROR(INDEX(MUSTERILER!$B$7:$B$106,MATCH($C189,MUSTERILER!$B$7:$B$106,0)),IFERROR(INDEX(MUSTERILER!$B$7:$B$106,MATCH($T189&amp;"*",MUSTERILER!$T$7:$T$106,0)),"TANIMSIZ MÜŞTERİ"))))</f>
        <v/>
      </c>
      <c r="C189" s="109" t="n"/>
      <c r="D189" s="220" t="n"/>
      <c r="E189" s="220" t="n"/>
      <c r="F189" s="108" t="n"/>
      <c r="G189" s="221" t="n"/>
      <c r="H189" s="108" t="n"/>
      <c r="I189" s="222">
        <f>IF(OR($C189="",$D189="",$G189="",$F189=""),0,$G189*IF($F189="Aylık",MAX(0,(YEAR(MIN(IF($E189="",TODAY(),$E189),TODAY()))-YEAR($D189))*12+MONTH(MIN(IF($E189="",TODAY(),$E189),TODAY()))-MONTH($D189)+IF(MIN(IF($E189="",TODAY(),$E189),TODAY())&gt;=EOMONTH(MIN(IF($E189="",TODAY(),$E189),TODAY()),0),1,0)),MAX(0,INT((MIN(IF($E189="",TODAY(),$E189),TODAY())-($D189+MOD(SISTEM!$F$8-WEEKDAY($D189,2),7)))/7)+1)))</f>
        <v/>
      </c>
      <c r="J189" s="222">
        <f>IF(OR($C189="",$D189="",$G189="",$F189=""),0,$G189*IF($F189="Aylık",MAX(0,(YEAR(MIN(IF($E189="",TODAY()-8,$E189),TODAY()-8))-YEAR($D189))*12+MONTH(MIN(IF($E189="",TODAY()-8,$E189),TODAY()-8))-MONTH($D189)+IF(MIN(IF($E189="",TODAY()-8,$E189),TODAY()-8)&gt;=EOMONTH(MIN(IF($E189="",TODAY()-8,$E189),TODAY()-8),0),1,0)),MAX(0,INT((MIN(IF($E189="",TODAY()-8,$E189),TODAY()-8)-($D189+MOD(SISTEM!$F$8-WEEKDAY($D189,2),7)))/7)+1)))</f>
        <v/>
      </c>
      <c r="K189" s="222">
        <f>IF(OR($C189="",$D189="",$G189="",$F189=""),0,$G189*IF($F189="Aylık",MAX(0,(YEAR(MIN(IF($E189="",TODAY()-15,$E189),TODAY()-15))-YEAR($D189))*12+MONTH(MIN(IF($E189="",TODAY()-15,$E189),TODAY()-15))-MONTH($D189)+IF(MIN(IF($E189="",TODAY()-15,$E189),TODAY()-15)&gt;=EOMONTH(MIN(IF($E189="",TODAY()-15,$E189),TODAY()-15),0),1,0)),MAX(0,INT((MIN(IF($E189="",TODAY()-15,$E189),TODAY()-15)-($D189+MOD(SISTEM!$F$8-WEEKDAY($D189,2),7)))/7)+1)))</f>
        <v/>
      </c>
      <c r="L189" s="222">
        <f>IF(OR($C189="",$D189="",$G189="",$F189=""),0,$G189*IF($F189="Aylık",MAX(0,(YEAR(MIN(IF($E189="",TODAY()-29,$E189),TODAY()-29))-YEAR($D189))*12+MONTH(MIN(IF($E189="",TODAY()-29,$E189),TODAY()-29))-MONTH($D189)+IF(MIN(IF($E189="",TODAY()-29,$E189),TODAY()-29)&gt;=EOMONTH(MIN(IF($E189="",TODAY()-29,$E189),TODAY()-29),0),1,0)),MAX(0,INT((MIN(IF($E189="",TODAY()-29,$E189),TODAY()-29)-($D189+MOD(SISTEM!$F$8-WEEKDAY($D189,2),7)))/7)+1)))</f>
        <v/>
      </c>
      <c r="M189" s="223">
        <f>IF($G189&gt;0,$I189/$G189,0)</f>
        <v/>
      </c>
      <c r="N189" s="113">
        <f>IF($C189="","",IF($B189="TANIMSIZ MÜŞTERİ","TANIMSIZ MÜŞTERİ",IF($F189="","MODEL SEÇİN",IF(OR($D189="",$G189&lt;=0),"EKSİK",IF(AND($E189&lt;&gt;"",$E189&lt;$D189),"TARİH HATASI",IF($H189="Pasif","KAPALI DÖNEM","UYGUN"))))))</f>
        <v/>
      </c>
      <c r="O189" s="224">
        <f>IF(OR($C189="",$D189="",$F189=""),"",IF($F189="Aylık",EOMONTH($D189,0),($D189+MOD(SISTEM!$F$8-WEEKDAY($D189,2),7))))</f>
        <v/>
      </c>
      <c r="P189" s="109" t="n"/>
      <c r="Q189" s="6" t="n"/>
      <c r="R189" s="6" t="n"/>
      <c r="S189" s="3">
        <f>IF($B189="","",$B189&amp;"|"&amp;COUNTIFS($B$7:$B189,$B189))</f>
        <v/>
      </c>
      <c r="T189" s="3">
        <f>IF($C189="","",UPPER(SUBSTITUTE(SUBSTITUTE(SUBSTITUTE(SUBSTITUTE(SUBSTITUTE(SUBSTITUTE(SUBSTITUTE(SUBSTITUTE(SUBSTITUTE(SUBSTITUTE(SUBSTITUTE(SUBSTITUTE(SUBSTITUTE(SUBSTITUTE(SUBSTITUTE(SUBSTITUTE(SUBSTITUTE(SUBSTITUTE(TRIM($C189),"'",""),"İ","I"),"ı","I"),"i","I"),"Ş","S"),"ş","S"),"Ğ","G"),"ğ","G"),"Ü","U"),"ü","U"),"Ö","O"),"ö","O"),"Ç","C"),"ç","C"),".",""),",","")," ",""),"-","")))</f>
        <v/>
      </c>
    </row>
    <row r="190">
      <c r="A190" s="6" t="n"/>
      <c r="B190" s="113">
        <f>IF($C190="","",IFERROR(INDEX(MUSTERILER!$B$7:$B$106,MATCH($T190,MUSTERILER!$T$7:$T$106,0)),IFERROR(INDEX(MUSTERILER!$B$7:$B$106,MATCH($C190,MUSTERILER!$B$7:$B$106,0)),IFERROR(INDEX(MUSTERILER!$B$7:$B$106,MATCH($T190&amp;"*",MUSTERILER!$T$7:$T$106,0)),"TANIMSIZ MÜŞTERİ"))))</f>
        <v/>
      </c>
      <c r="C190" s="109" t="n"/>
      <c r="D190" s="220" t="n"/>
      <c r="E190" s="220" t="n"/>
      <c r="F190" s="108" t="n"/>
      <c r="G190" s="221" t="n"/>
      <c r="H190" s="108" t="n"/>
      <c r="I190" s="222">
        <f>IF(OR($C190="",$D190="",$G190="",$F190=""),0,$G190*IF($F190="Aylık",MAX(0,(YEAR(MIN(IF($E190="",TODAY(),$E190),TODAY()))-YEAR($D190))*12+MONTH(MIN(IF($E190="",TODAY(),$E190),TODAY()))-MONTH($D190)+IF(MIN(IF($E190="",TODAY(),$E190),TODAY())&gt;=EOMONTH(MIN(IF($E190="",TODAY(),$E190),TODAY()),0),1,0)),MAX(0,INT((MIN(IF($E190="",TODAY(),$E190),TODAY())-($D190+MOD(SISTEM!$F$8-WEEKDAY($D190,2),7)))/7)+1)))</f>
        <v/>
      </c>
      <c r="J190" s="222">
        <f>IF(OR($C190="",$D190="",$G190="",$F190=""),0,$G190*IF($F190="Aylık",MAX(0,(YEAR(MIN(IF($E190="",TODAY()-8,$E190),TODAY()-8))-YEAR($D190))*12+MONTH(MIN(IF($E190="",TODAY()-8,$E190),TODAY()-8))-MONTH($D190)+IF(MIN(IF($E190="",TODAY()-8,$E190),TODAY()-8)&gt;=EOMONTH(MIN(IF($E190="",TODAY()-8,$E190),TODAY()-8),0),1,0)),MAX(0,INT((MIN(IF($E190="",TODAY()-8,$E190),TODAY()-8)-($D190+MOD(SISTEM!$F$8-WEEKDAY($D190,2),7)))/7)+1)))</f>
        <v/>
      </c>
      <c r="K190" s="222">
        <f>IF(OR($C190="",$D190="",$G190="",$F190=""),0,$G190*IF($F190="Aylık",MAX(0,(YEAR(MIN(IF($E190="",TODAY()-15,$E190),TODAY()-15))-YEAR($D190))*12+MONTH(MIN(IF($E190="",TODAY()-15,$E190),TODAY()-15))-MONTH($D190)+IF(MIN(IF($E190="",TODAY()-15,$E190),TODAY()-15)&gt;=EOMONTH(MIN(IF($E190="",TODAY()-15,$E190),TODAY()-15),0),1,0)),MAX(0,INT((MIN(IF($E190="",TODAY()-15,$E190),TODAY()-15)-($D190+MOD(SISTEM!$F$8-WEEKDAY($D190,2),7)))/7)+1)))</f>
        <v/>
      </c>
      <c r="L190" s="222">
        <f>IF(OR($C190="",$D190="",$G190="",$F190=""),0,$G190*IF($F190="Aylık",MAX(0,(YEAR(MIN(IF($E190="",TODAY()-29,$E190),TODAY()-29))-YEAR($D190))*12+MONTH(MIN(IF($E190="",TODAY()-29,$E190),TODAY()-29))-MONTH($D190)+IF(MIN(IF($E190="",TODAY()-29,$E190),TODAY()-29)&gt;=EOMONTH(MIN(IF($E190="",TODAY()-29,$E190),TODAY()-29),0),1,0)),MAX(0,INT((MIN(IF($E190="",TODAY()-29,$E190),TODAY()-29)-($D190+MOD(SISTEM!$F$8-WEEKDAY($D190,2),7)))/7)+1)))</f>
        <v/>
      </c>
      <c r="M190" s="223">
        <f>IF($G190&gt;0,$I190/$G190,0)</f>
        <v/>
      </c>
      <c r="N190" s="113">
        <f>IF($C190="","",IF($B190="TANIMSIZ MÜŞTERİ","TANIMSIZ MÜŞTERİ",IF($F190="","MODEL SEÇİN",IF(OR($D190="",$G190&lt;=0),"EKSİK",IF(AND($E190&lt;&gt;"",$E190&lt;$D190),"TARİH HATASI",IF($H190="Pasif","KAPALI DÖNEM","UYGUN"))))))</f>
        <v/>
      </c>
      <c r="O190" s="224">
        <f>IF(OR($C190="",$D190="",$F190=""),"",IF($F190="Aylık",EOMONTH($D190,0),($D190+MOD(SISTEM!$F$8-WEEKDAY($D190,2),7))))</f>
        <v/>
      </c>
      <c r="P190" s="109" t="n"/>
      <c r="Q190" s="6" t="n"/>
      <c r="R190" s="6" t="n"/>
      <c r="S190" s="3">
        <f>IF($B190="","",$B190&amp;"|"&amp;COUNTIFS($B$7:$B190,$B190))</f>
        <v/>
      </c>
      <c r="T190" s="3">
        <f>IF($C190="","",UPPER(SUBSTITUTE(SUBSTITUTE(SUBSTITUTE(SUBSTITUTE(SUBSTITUTE(SUBSTITUTE(SUBSTITUTE(SUBSTITUTE(SUBSTITUTE(SUBSTITUTE(SUBSTITUTE(SUBSTITUTE(SUBSTITUTE(SUBSTITUTE(SUBSTITUTE(SUBSTITUTE(SUBSTITUTE(SUBSTITUTE(TRIM($C190),"'",""),"İ","I"),"ı","I"),"i","I"),"Ş","S"),"ş","S"),"Ğ","G"),"ğ","G"),"Ü","U"),"ü","U"),"Ö","O"),"ö","O"),"Ç","C"),"ç","C"),".",""),",","")," ",""),"-","")))</f>
        <v/>
      </c>
    </row>
    <row r="191">
      <c r="A191" s="6" t="n"/>
      <c r="B191" s="113">
        <f>IF($C191="","",IFERROR(INDEX(MUSTERILER!$B$7:$B$106,MATCH($T191,MUSTERILER!$T$7:$T$106,0)),IFERROR(INDEX(MUSTERILER!$B$7:$B$106,MATCH($C191,MUSTERILER!$B$7:$B$106,0)),IFERROR(INDEX(MUSTERILER!$B$7:$B$106,MATCH($T191&amp;"*",MUSTERILER!$T$7:$T$106,0)),"TANIMSIZ MÜŞTERİ"))))</f>
        <v/>
      </c>
      <c r="C191" s="109" t="n"/>
      <c r="D191" s="220" t="n"/>
      <c r="E191" s="220" t="n"/>
      <c r="F191" s="108" t="n"/>
      <c r="G191" s="221" t="n"/>
      <c r="H191" s="108" t="n"/>
      <c r="I191" s="222">
        <f>IF(OR($C191="",$D191="",$G191="",$F191=""),0,$G191*IF($F191="Aylık",MAX(0,(YEAR(MIN(IF($E191="",TODAY(),$E191),TODAY()))-YEAR($D191))*12+MONTH(MIN(IF($E191="",TODAY(),$E191),TODAY()))-MONTH($D191)+IF(MIN(IF($E191="",TODAY(),$E191),TODAY())&gt;=EOMONTH(MIN(IF($E191="",TODAY(),$E191),TODAY()),0),1,0)),MAX(0,INT((MIN(IF($E191="",TODAY(),$E191),TODAY())-($D191+MOD(SISTEM!$F$8-WEEKDAY($D191,2),7)))/7)+1)))</f>
        <v/>
      </c>
      <c r="J191" s="222">
        <f>IF(OR($C191="",$D191="",$G191="",$F191=""),0,$G191*IF($F191="Aylık",MAX(0,(YEAR(MIN(IF($E191="",TODAY()-8,$E191),TODAY()-8))-YEAR($D191))*12+MONTH(MIN(IF($E191="",TODAY()-8,$E191),TODAY()-8))-MONTH($D191)+IF(MIN(IF($E191="",TODAY()-8,$E191),TODAY()-8)&gt;=EOMONTH(MIN(IF($E191="",TODAY()-8,$E191),TODAY()-8),0),1,0)),MAX(0,INT((MIN(IF($E191="",TODAY()-8,$E191),TODAY()-8)-($D191+MOD(SISTEM!$F$8-WEEKDAY($D191,2),7)))/7)+1)))</f>
        <v/>
      </c>
      <c r="K191" s="222">
        <f>IF(OR($C191="",$D191="",$G191="",$F191=""),0,$G191*IF($F191="Aylık",MAX(0,(YEAR(MIN(IF($E191="",TODAY()-15,$E191),TODAY()-15))-YEAR($D191))*12+MONTH(MIN(IF($E191="",TODAY()-15,$E191),TODAY()-15))-MONTH($D191)+IF(MIN(IF($E191="",TODAY()-15,$E191),TODAY()-15)&gt;=EOMONTH(MIN(IF($E191="",TODAY()-15,$E191),TODAY()-15),0),1,0)),MAX(0,INT((MIN(IF($E191="",TODAY()-15,$E191),TODAY()-15)-($D191+MOD(SISTEM!$F$8-WEEKDAY($D191,2),7)))/7)+1)))</f>
        <v/>
      </c>
      <c r="L191" s="222">
        <f>IF(OR($C191="",$D191="",$G191="",$F191=""),0,$G191*IF($F191="Aylık",MAX(0,(YEAR(MIN(IF($E191="",TODAY()-29,$E191),TODAY()-29))-YEAR($D191))*12+MONTH(MIN(IF($E191="",TODAY()-29,$E191),TODAY()-29))-MONTH($D191)+IF(MIN(IF($E191="",TODAY()-29,$E191),TODAY()-29)&gt;=EOMONTH(MIN(IF($E191="",TODAY()-29,$E191),TODAY()-29),0),1,0)),MAX(0,INT((MIN(IF($E191="",TODAY()-29,$E191),TODAY()-29)-($D191+MOD(SISTEM!$F$8-WEEKDAY($D191,2),7)))/7)+1)))</f>
        <v/>
      </c>
      <c r="M191" s="223">
        <f>IF($G191&gt;0,$I191/$G191,0)</f>
        <v/>
      </c>
      <c r="N191" s="113">
        <f>IF($C191="","",IF($B191="TANIMSIZ MÜŞTERİ","TANIMSIZ MÜŞTERİ",IF($F191="","MODEL SEÇİN",IF(OR($D191="",$G191&lt;=0),"EKSİK",IF(AND($E191&lt;&gt;"",$E191&lt;$D191),"TARİH HATASI",IF($H191="Pasif","KAPALI DÖNEM","UYGUN"))))))</f>
        <v/>
      </c>
      <c r="O191" s="224">
        <f>IF(OR($C191="",$D191="",$F191=""),"",IF($F191="Aylık",EOMONTH($D191,0),($D191+MOD(SISTEM!$F$8-WEEKDAY($D191,2),7))))</f>
        <v/>
      </c>
      <c r="P191" s="109" t="n"/>
      <c r="Q191" s="6" t="n"/>
      <c r="R191" s="6" t="n"/>
      <c r="S191" s="3">
        <f>IF($B191="","",$B191&amp;"|"&amp;COUNTIFS($B$7:$B191,$B191))</f>
        <v/>
      </c>
      <c r="T191" s="3">
        <f>IF($C191="","",UPPER(SUBSTITUTE(SUBSTITUTE(SUBSTITUTE(SUBSTITUTE(SUBSTITUTE(SUBSTITUTE(SUBSTITUTE(SUBSTITUTE(SUBSTITUTE(SUBSTITUTE(SUBSTITUTE(SUBSTITUTE(SUBSTITUTE(SUBSTITUTE(SUBSTITUTE(SUBSTITUTE(SUBSTITUTE(SUBSTITUTE(TRIM($C191),"'",""),"İ","I"),"ı","I"),"i","I"),"Ş","S"),"ş","S"),"Ğ","G"),"ğ","G"),"Ü","U"),"ü","U"),"Ö","O"),"ö","O"),"Ç","C"),"ç","C"),".",""),",","")," ",""),"-","")))</f>
        <v/>
      </c>
    </row>
    <row r="192">
      <c r="A192" s="6" t="n"/>
      <c r="B192" s="113">
        <f>IF($C192="","",IFERROR(INDEX(MUSTERILER!$B$7:$B$106,MATCH($T192,MUSTERILER!$T$7:$T$106,0)),IFERROR(INDEX(MUSTERILER!$B$7:$B$106,MATCH($C192,MUSTERILER!$B$7:$B$106,0)),IFERROR(INDEX(MUSTERILER!$B$7:$B$106,MATCH($T192&amp;"*",MUSTERILER!$T$7:$T$106,0)),"TANIMSIZ MÜŞTERİ"))))</f>
        <v/>
      </c>
      <c r="C192" s="109" t="n"/>
      <c r="D192" s="220" t="n"/>
      <c r="E192" s="220" t="n"/>
      <c r="F192" s="108" t="n"/>
      <c r="G192" s="221" t="n"/>
      <c r="H192" s="108" t="n"/>
      <c r="I192" s="222">
        <f>IF(OR($C192="",$D192="",$G192="",$F192=""),0,$G192*IF($F192="Aylık",MAX(0,(YEAR(MIN(IF($E192="",TODAY(),$E192),TODAY()))-YEAR($D192))*12+MONTH(MIN(IF($E192="",TODAY(),$E192),TODAY()))-MONTH($D192)+IF(MIN(IF($E192="",TODAY(),$E192),TODAY())&gt;=EOMONTH(MIN(IF($E192="",TODAY(),$E192),TODAY()),0),1,0)),MAX(0,INT((MIN(IF($E192="",TODAY(),$E192),TODAY())-($D192+MOD(SISTEM!$F$8-WEEKDAY($D192,2),7)))/7)+1)))</f>
        <v/>
      </c>
      <c r="J192" s="222">
        <f>IF(OR($C192="",$D192="",$G192="",$F192=""),0,$G192*IF($F192="Aylık",MAX(0,(YEAR(MIN(IF($E192="",TODAY()-8,$E192),TODAY()-8))-YEAR($D192))*12+MONTH(MIN(IF($E192="",TODAY()-8,$E192),TODAY()-8))-MONTH($D192)+IF(MIN(IF($E192="",TODAY()-8,$E192),TODAY()-8)&gt;=EOMONTH(MIN(IF($E192="",TODAY()-8,$E192),TODAY()-8),0),1,0)),MAX(0,INT((MIN(IF($E192="",TODAY()-8,$E192),TODAY()-8)-($D192+MOD(SISTEM!$F$8-WEEKDAY($D192,2),7)))/7)+1)))</f>
        <v/>
      </c>
      <c r="K192" s="222">
        <f>IF(OR($C192="",$D192="",$G192="",$F192=""),0,$G192*IF($F192="Aylık",MAX(0,(YEAR(MIN(IF($E192="",TODAY()-15,$E192),TODAY()-15))-YEAR($D192))*12+MONTH(MIN(IF($E192="",TODAY()-15,$E192),TODAY()-15))-MONTH($D192)+IF(MIN(IF($E192="",TODAY()-15,$E192),TODAY()-15)&gt;=EOMONTH(MIN(IF($E192="",TODAY()-15,$E192),TODAY()-15),0),1,0)),MAX(0,INT((MIN(IF($E192="",TODAY()-15,$E192),TODAY()-15)-($D192+MOD(SISTEM!$F$8-WEEKDAY($D192,2),7)))/7)+1)))</f>
        <v/>
      </c>
      <c r="L192" s="222">
        <f>IF(OR($C192="",$D192="",$G192="",$F192=""),0,$G192*IF($F192="Aylık",MAX(0,(YEAR(MIN(IF($E192="",TODAY()-29,$E192),TODAY()-29))-YEAR($D192))*12+MONTH(MIN(IF($E192="",TODAY()-29,$E192),TODAY()-29))-MONTH($D192)+IF(MIN(IF($E192="",TODAY()-29,$E192),TODAY()-29)&gt;=EOMONTH(MIN(IF($E192="",TODAY()-29,$E192),TODAY()-29),0),1,0)),MAX(0,INT((MIN(IF($E192="",TODAY()-29,$E192),TODAY()-29)-($D192+MOD(SISTEM!$F$8-WEEKDAY($D192,2),7)))/7)+1)))</f>
        <v/>
      </c>
      <c r="M192" s="223">
        <f>IF($G192&gt;0,$I192/$G192,0)</f>
        <v/>
      </c>
      <c r="N192" s="113">
        <f>IF($C192="","",IF($B192="TANIMSIZ MÜŞTERİ","TANIMSIZ MÜŞTERİ",IF($F192="","MODEL SEÇİN",IF(OR($D192="",$G192&lt;=0),"EKSİK",IF(AND($E192&lt;&gt;"",$E192&lt;$D192),"TARİH HATASI",IF($H192="Pasif","KAPALI DÖNEM","UYGUN"))))))</f>
        <v/>
      </c>
      <c r="O192" s="224">
        <f>IF(OR($C192="",$D192="",$F192=""),"",IF($F192="Aylık",EOMONTH($D192,0),($D192+MOD(SISTEM!$F$8-WEEKDAY($D192,2),7))))</f>
        <v/>
      </c>
      <c r="P192" s="109" t="n"/>
      <c r="Q192" s="6" t="n"/>
      <c r="R192" s="6" t="n"/>
      <c r="S192" s="3">
        <f>IF($B192="","",$B192&amp;"|"&amp;COUNTIFS($B$7:$B192,$B192))</f>
        <v/>
      </c>
      <c r="T192" s="3">
        <f>IF($C192="","",UPPER(SUBSTITUTE(SUBSTITUTE(SUBSTITUTE(SUBSTITUTE(SUBSTITUTE(SUBSTITUTE(SUBSTITUTE(SUBSTITUTE(SUBSTITUTE(SUBSTITUTE(SUBSTITUTE(SUBSTITUTE(SUBSTITUTE(SUBSTITUTE(SUBSTITUTE(SUBSTITUTE(SUBSTITUTE(SUBSTITUTE(TRIM($C192),"'",""),"İ","I"),"ı","I"),"i","I"),"Ş","S"),"ş","S"),"Ğ","G"),"ğ","G"),"Ü","U"),"ü","U"),"Ö","O"),"ö","O"),"Ç","C"),"ç","C"),".",""),",","")," ",""),"-","")))</f>
        <v/>
      </c>
    </row>
    <row r="193">
      <c r="A193" s="6" t="n"/>
      <c r="B193" s="113">
        <f>IF($C193="","",IFERROR(INDEX(MUSTERILER!$B$7:$B$106,MATCH($T193,MUSTERILER!$T$7:$T$106,0)),IFERROR(INDEX(MUSTERILER!$B$7:$B$106,MATCH($C193,MUSTERILER!$B$7:$B$106,0)),IFERROR(INDEX(MUSTERILER!$B$7:$B$106,MATCH($T193&amp;"*",MUSTERILER!$T$7:$T$106,0)),"TANIMSIZ MÜŞTERİ"))))</f>
        <v/>
      </c>
      <c r="C193" s="109" t="n"/>
      <c r="D193" s="220" t="n"/>
      <c r="E193" s="220" t="n"/>
      <c r="F193" s="108" t="n"/>
      <c r="G193" s="221" t="n"/>
      <c r="H193" s="108" t="n"/>
      <c r="I193" s="222">
        <f>IF(OR($C193="",$D193="",$G193="",$F193=""),0,$G193*IF($F193="Aylık",MAX(0,(YEAR(MIN(IF($E193="",TODAY(),$E193),TODAY()))-YEAR($D193))*12+MONTH(MIN(IF($E193="",TODAY(),$E193),TODAY()))-MONTH($D193)+IF(MIN(IF($E193="",TODAY(),$E193),TODAY())&gt;=EOMONTH(MIN(IF($E193="",TODAY(),$E193),TODAY()),0),1,0)),MAX(0,INT((MIN(IF($E193="",TODAY(),$E193),TODAY())-($D193+MOD(SISTEM!$F$8-WEEKDAY($D193,2),7)))/7)+1)))</f>
        <v/>
      </c>
      <c r="J193" s="222">
        <f>IF(OR($C193="",$D193="",$G193="",$F193=""),0,$G193*IF($F193="Aylık",MAX(0,(YEAR(MIN(IF($E193="",TODAY()-8,$E193),TODAY()-8))-YEAR($D193))*12+MONTH(MIN(IF($E193="",TODAY()-8,$E193),TODAY()-8))-MONTH($D193)+IF(MIN(IF($E193="",TODAY()-8,$E193),TODAY()-8)&gt;=EOMONTH(MIN(IF($E193="",TODAY()-8,$E193),TODAY()-8),0),1,0)),MAX(0,INT((MIN(IF($E193="",TODAY()-8,$E193),TODAY()-8)-($D193+MOD(SISTEM!$F$8-WEEKDAY($D193,2),7)))/7)+1)))</f>
        <v/>
      </c>
      <c r="K193" s="222">
        <f>IF(OR($C193="",$D193="",$G193="",$F193=""),0,$G193*IF($F193="Aylık",MAX(0,(YEAR(MIN(IF($E193="",TODAY()-15,$E193),TODAY()-15))-YEAR($D193))*12+MONTH(MIN(IF($E193="",TODAY()-15,$E193),TODAY()-15))-MONTH($D193)+IF(MIN(IF($E193="",TODAY()-15,$E193),TODAY()-15)&gt;=EOMONTH(MIN(IF($E193="",TODAY()-15,$E193),TODAY()-15),0),1,0)),MAX(0,INT((MIN(IF($E193="",TODAY()-15,$E193),TODAY()-15)-($D193+MOD(SISTEM!$F$8-WEEKDAY($D193,2),7)))/7)+1)))</f>
        <v/>
      </c>
      <c r="L193" s="222">
        <f>IF(OR($C193="",$D193="",$G193="",$F193=""),0,$G193*IF($F193="Aylık",MAX(0,(YEAR(MIN(IF($E193="",TODAY()-29,$E193),TODAY()-29))-YEAR($D193))*12+MONTH(MIN(IF($E193="",TODAY()-29,$E193),TODAY()-29))-MONTH($D193)+IF(MIN(IF($E193="",TODAY()-29,$E193),TODAY()-29)&gt;=EOMONTH(MIN(IF($E193="",TODAY()-29,$E193),TODAY()-29),0),1,0)),MAX(0,INT((MIN(IF($E193="",TODAY()-29,$E193),TODAY()-29)-($D193+MOD(SISTEM!$F$8-WEEKDAY($D193,2),7)))/7)+1)))</f>
        <v/>
      </c>
      <c r="M193" s="223">
        <f>IF($G193&gt;0,$I193/$G193,0)</f>
        <v/>
      </c>
      <c r="N193" s="113">
        <f>IF($C193="","",IF($B193="TANIMSIZ MÜŞTERİ","TANIMSIZ MÜŞTERİ",IF($F193="","MODEL SEÇİN",IF(OR($D193="",$G193&lt;=0),"EKSİK",IF(AND($E193&lt;&gt;"",$E193&lt;$D193),"TARİH HATASI",IF($H193="Pasif","KAPALI DÖNEM","UYGUN"))))))</f>
        <v/>
      </c>
      <c r="O193" s="224">
        <f>IF(OR($C193="",$D193="",$F193=""),"",IF($F193="Aylık",EOMONTH($D193,0),($D193+MOD(SISTEM!$F$8-WEEKDAY($D193,2),7))))</f>
        <v/>
      </c>
      <c r="P193" s="109" t="n"/>
      <c r="Q193" s="6" t="n"/>
      <c r="R193" s="6" t="n"/>
      <c r="S193" s="3">
        <f>IF($B193="","",$B193&amp;"|"&amp;COUNTIFS($B$7:$B193,$B193))</f>
        <v/>
      </c>
      <c r="T193" s="3">
        <f>IF($C193="","",UPPER(SUBSTITUTE(SUBSTITUTE(SUBSTITUTE(SUBSTITUTE(SUBSTITUTE(SUBSTITUTE(SUBSTITUTE(SUBSTITUTE(SUBSTITUTE(SUBSTITUTE(SUBSTITUTE(SUBSTITUTE(SUBSTITUTE(SUBSTITUTE(SUBSTITUTE(SUBSTITUTE(SUBSTITUTE(SUBSTITUTE(TRIM($C193),"'",""),"İ","I"),"ı","I"),"i","I"),"Ş","S"),"ş","S"),"Ğ","G"),"ğ","G"),"Ü","U"),"ü","U"),"Ö","O"),"ö","O"),"Ç","C"),"ç","C"),".",""),",","")," ",""),"-","")))</f>
        <v/>
      </c>
    </row>
    <row r="194">
      <c r="A194" s="6" t="n"/>
      <c r="B194" s="113">
        <f>IF($C194="","",IFERROR(INDEX(MUSTERILER!$B$7:$B$106,MATCH($T194,MUSTERILER!$T$7:$T$106,0)),IFERROR(INDEX(MUSTERILER!$B$7:$B$106,MATCH($C194,MUSTERILER!$B$7:$B$106,0)),IFERROR(INDEX(MUSTERILER!$B$7:$B$106,MATCH($T194&amp;"*",MUSTERILER!$T$7:$T$106,0)),"TANIMSIZ MÜŞTERİ"))))</f>
        <v/>
      </c>
      <c r="C194" s="109" t="n"/>
      <c r="D194" s="220" t="n"/>
      <c r="E194" s="220" t="n"/>
      <c r="F194" s="108" t="n"/>
      <c r="G194" s="221" t="n"/>
      <c r="H194" s="108" t="n"/>
      <c r="I194" s="222">
        <f>IF(OR($C194="",$D194="",$G194="",$F194=""),0,$G194*IF($F194="Aylık",MAX(0,(YEAR(MIN(IF($E194="",TODAY(),$E194),TODAY()))-YEAR($D194))*12+MONTH(MIN(IF($E194="",TODAY(),$E194),TODAY()))-MONTH($D194)+IF(MIN(IF($E194="",TODAY(),$E194),TODAY())&gt;=EOMONTH(MIN(IF($E194="",TODAY(),$E194),TODAY()),0),1,0)),MAX(0,INT((MIN(IF($E194="",TODAY(),$E194),TODAY())-($D194+MOD(SISTEM!$F$8-WEEKDAY($D194,2),7)))/7)+1)))</f>
        <v/>
      </c>
      <c r="J194" s="222">
        <f>IF(OR($C194="",$D194="",$G194="",$F194=""),0,$G194*IF($F194="Aylık",MAX(0,(YEAR(MIN(IF($E194="",TODAY()-8,$E194),TODAY()-8))-YEAR($D194))*12+MONTH(MIN(IF($E194="",TODAY()-8,$E194),TODAY()-8))-MONTH($D194)+IF(MIN(IF($E194="",TODAY()-8,$E194),TODAY()-8)&gt;=EOMONTH(MIN(IF($E194="",TODAY()-8,$E194),TODAY()-8),0),1,0)),MAX(0,INT((MIN(IF($E194="",TODAY()-8,$E194),TODAY()-8)-($D194+MOD(SISTEM!$F$8-WEEKDAY($D194,2),7)))/7)+1)))</f>
        <v/>
      </c>
      <c r="K194" s="222">
        <f>IF(OR($C194="",$D194="",$G194="",$F194=""),0,$G194*IF($F194="Aylık",MAX(0,(YEAR(MIN(IF($E194="",TODAY()-15,$E194),TODAY()-15))-YEAR($D194))*12+MONTH(MIN(IF($E194="",TODAY()-15,$E194),TODAY()-15))-MONTH($D194)+IF(MIN(IF($E194="",TODAY()-15,$E194),TODAY()-15)&gt;=EOMONTH(MIN(IF($E194="",TODAY()-15,$E194),TODAY()-15),0),1,0)),MAX(0,INT((MIN(IF($E194="",TODAY()-15,$E194),TODAY()-15)-($D194+MOD(SISTEM!$F$8-WEEKDAY($D194,2),7)))/7)+1)))</f>
        <v/>
      </c>
      <c r="L194" s="222">
        <f>IF(OR($C194="",$D194="",$G194="",$F194=""),0,$G194*IF($F194="Aylık",MAX(0,(YEAR(MIN(IF($E194="",TODAY()-29,$E194),TODAY()-29))-YEAR($D194))*12+MONTH(MIN(IF($E194="",TODAY()-29,$E194),TODAY()-29))-MONTH($D194)+IF(MIN(IF($E194="",TODAY()-29,$E194),TODAY()-29)&gt;=EOMONTH(MIN(IF($E194="",TODAY()-29,$E194),TODAY()-29),0),1,0)),MAX(0,INT((MIN(IF($E194="",TODAY()-29,$E194),TODAY()-29)-($D194+MOD(SISTEM!$F$8-WEEKDAY($D194,2),7)))/7)+1)))</f>
        <v/>
      </c>
      <c r="M194" s="223">
        <f>IF($G194&gt;0,$I194/$G194,0)</f>
        <v/>
      </c>
      <c r="N194" s="113">
        <f>IF($C194="","",IF($B194="TANIMSIZ MÜŞTERİ","TANIMSIZ MÜŞTERİ",IF($F194="","MODEL SEÇİN",IF(OR($D194="",$G194&lt;=0),"EKSİK",IF(AND($E194&lt;&gt;"",$E194&lt;$D194),"TARİH HATASI",IF($H194="Pasif","KAPALI DÖNEM","UYGUN"))))))</f>
        <v/>
      </c>
      <c r="O194" s="224">
        <f>IF(OR($C194="",$D194="",$F194=""),"",IF($F194="Aylık",EOMONTH($D194,0),($D194+MOD(SISTEM!$F$8-WEEKDAY($D194,2),7))))</f>
        <v/>
      </c>
      <c r="P194" s="109" t="n"/>
      <c r="Q194" s="6" t="n"/>
      <c r="R194" s="6" t="n"/>
      <c r="S194" s="3">
        <f>IF($B194="","",$B194&amp;"|"&amp;COUNTIFS($B$7:$B194,$B194))</f>
        <v/>
      </c>
      <c r="T194" s="3">
        <f>IF($C194="","",UPPER(SUBSTITUTE(SUBSTITUTE(SUBSTITUTE(SUBSTITUTE(SUBSTITUTE(SUBSTITUTE(SUBSTITUTE(SUBSTITUTE(SUBSTITUTE(SUBSTITUTE(SUBSTITUTE(SUBSTITUTE(SUBSTITUTE(SUBSTITUTE(SUBSTITUTE(SUBSTITUTE(SUBSTITUTE(SUBSTITUTE(TRIM($C194),"'",""),"İ","I"),"ı","I"),"i","I"),"Ş","S"),"ş","S"),"Ğ","G"),"ğ","G"),"Ü","U"),"ü","U"),"Ö","O"),"ö","O"),"Ç","C"),"ç","C"),".",""),",","")," ",""),"-","")))</f>
        <v/>
      </c>
    </row>
    <row r="195">
      <c r="A195" s="6" t="n"/>
      <c r="B195" s="113">
        <f>IF($C195="","",IFERROR(INDEX(MUSTERILER!$B$7:$B$106,MATCH($T195,MUSTERILER!$T$7:$T$106,0)),IFERROR(INDEX(MUSTERILER!$B$7:$B$106,MATCH($C195,MUSTERILER!$B$7:$B$106,0)),IFERROR(INDEX(MUSTERILER!$B$7:$B$106,MATCH($T195&amp;"*",MUSTERILER!$T$7:$T$106,0)),"TANIMSIZ MÜŞTERİ"))))</f>
        <v/>
      </c>
      <c r="C195" s="109" t="n"/>
      <c r="D195" s="220" t="n"/>
      <c r="E195" s="220" t="n"/>
      <c r="F195" s="108" t="n"/>
      <c r="G195" s="221" t="n"/>
      <c r="H195" s="108" t="n"/>
      <c r="I195" s="222">
        <f>IF(OR($C195="",$D195="",$G195="",$F195=""),0,$G195*IF($F195="Aylık",MAX(0,(YEAR(MIN(IF($E195="",TODAY(),$E195),TODAY()))-YEAR($D195))*12+MONTH(MIN(IF($E195="",TODAY(),$E195),TODAY()))-MONTH($D195)+IF(MIN(IF($E195="",TODAY(),$E195),TODAY())&gt;=EOMONTH(MIN(IF($E195="",TODAY(),$E195),TODAY()),0),1,0)),MAX(0,INT((MIN(IF($E195="",TODAY(),$E195),TODAY())-($D195+MOD(SISTEM!$F$8-WEEKDAY($D195,2),7)))/7)+1)))</f>
        <v/>
      </c>
      <c r="J195" s="222">
        <f>IF(OR($C195="",$D195="",$G195="",$F195=""),0,$G195*IF($F195="Aylık",MAX(0,(YEAR(MIN(IF($E195="",TODAY()-8,$E195),TODAY()-8))-YEAR($D195))*12+MONTH(MIN(IF($E195="",TODAY()-8,$E195),TODAY()-8))-MONTH($D195)+IF(MIN(IF($E195="",TODAY()-8,$E195),TODAY()-8)&gt;=EOMONTH(MIN(IF($E195="",TODAY()-8,$E195),TODAY()-8),0),1,0)),MAX(0,INT((MIN(IF($E195="",TODAY()-8,$E195),TODAY()-8)-($D195+MOD(SISTEM!$F$8-WEEKDAY($D195,2),7)))/7)+1)))</f>
        <v/>
      </c>
      <c r="K195" s="222">
        <f>IF(OR($C195="",$D195="",$G195="",$F195=""),0,$G195*IF($F195="Aylık",MAX(0,(YEAR(MIN(IF($E195="",TODAY()-15,$E195),TODAY()-15))-YEAR($D195))*12+MONTH(MIN(IF($E195="",TODAY()-15,$E195),TODAY()-15))-MONTH($D195)+IF(MIN(IF($E195="",TODAY()-15,$E195),TODAY()-15)&gt;=EOMONTH(MIN(IF($E195="",TODAY()-15,$E195),TODAY()-15),0),1,0)),MAX(0,INT((MIN(IF($E195="",TODAY()-15,$E195),TODAY()-15)-($D195+MOD(SISTEM!$F$8-WEEKDAY($D195,2),7)))/7)+1)))</f>
        <v/>
      </c>
      <c r="L195" s="222">
        <f>IF(OR($C195="",$D195="",$G195="",$F195=""),0,$G195*IF($F195="Aylık",MAX(0,(YEAR(MIN(IF($E195="",TODAY()-29,$E195),TODAY()-29))-YEAR($D195))*12+MONTH(MIN(IF($E195="",TODAY()-29,$E195),TODAY()-29))-MONTH($D195)+IF(MIN(IF($E195="",TODAY()-29,$E195),TODAY()-29)&gt;=EOMONTH(MIN(IF($E195="",TODAY()-29,$E195),TODAY()-29),0),1,0)),MAX(0,INT((MIN(IF($E195="",TODAY()-29,$E195),TODAY()-29)-($D195+MOD(SISTEM!$F$8-WEEKDAY($D195,2),7)))/7)+1)))</f>
        <v/>
      </c>
      <c r="M195" s="223">
        <f>IF($G195&gt;0,$I195/$G195,0)</f>
        <v/>
      </c>
      <c r="N195" s="113">
        <f>IF($C195="","",IF($B195="TANIMSIZ MÜŞTERİ","TANIMSIZ MÜŞTERİ",IF($F195="","MODEL SEÇİN",IF(OR($D195="",$G195&lt;=0),"EKSİK",IF(AND($E195&lt;&gt;"",$E195&lt;$D195),"TARİH HATASI",IF($H195="Pasif","KAPALI DÖNEM","UYGUN"))))))</f>
        <v/>
      </c>
      <c r="O195" s="224">
        <f>IF(OR($C195="",$D195="",$F195=""),"",IF($F195="Aylık",EOMONTH($D195,0),($D195+MOD(SISTEM!$F$8-WEEKDAY($D195,2),7))))</f>
        <v/>
      </c>
      <c r="P195" s="109" t="n"/>
      <c r="Q195" s="6" t="n"/>
      <c r="R195" s="6" t="n"/>
      <c r="S195" s="3">
        <f>IF($B195="","",$B195&amp;"|"&amp;COUNTIFS($B$7:$B195,$B195))</f>
        <v/>
      </c>
      <c r="T195" s="3">
        <f>IF($C195="","",UPPER(SUBSTITUTE(SUBSTITUTE(SUBSTITUTE(SUBSTITUTE(SUBSTITUTE(SUBSTITUTE(SUBSTITUTE(SUBSTITUTE(SUBSTITUTE(SUBSTITUTE(SUBSTITUTE(SUBSTITUTE(SUBSTITUTE(SUBSTITUTE(SUBSTITUTE(SUBSTITUTE(SUBSTITUTE(SUBSTITUTE(TRIM($C195),"'",""),"İ","I"),"ı","I"),"i","I"),"Ş","S"),"ş","S"),"Ğ","G"),"ğ","G"),"Ü","U"),"ü","U"),"Ö","O"),"ö","O"),"Ç","C"),"ç","C"),".",""),",","")," ",""),"-","")))</f>
        <v/>
      </c>
    </row>
    <row r="196">
      <c r="A196" s="6" t="n"/>
      <c r="B196" s="113">
        <f>IF($C196="","",IFERROR(INDEX(MUSTERILER!$B$7:$B$106,MATCH($T196,MUSTERILER!$T$7:$T$106,0)),IFERROR(INDEX(MUSTERILER!$B$7:$B$106,MATCH($C196,MUSTERILER!$B$7:$B$106,0)),IFERROR(INDEX(MUSTERILER!$B$7:$B$106,MATCH($T196&amp;"*",MUSTERILER!$T$7:$T$106,0)),"TANIMSIZ MÜŞTERİ"))))</f>
        <v/>
      </c>
      <c r="C196" s="109" t="n"/>
      <c r="D196" s="220" t="n"/>
      <c r="E196" s="220" t="n"/>
      <c r="F196" s="108" t="n"/>
      <c r="G196" s="221" t="n"/>
      <c r="H196" s="108" t="n"/>
      <c r="I196" s="222">
        <f>IF(OR($C196="",$D196="",$G196="",$F196=""),0,$G196*IF($F196="Aylık",MAX(0,(YEAR(MIN(IF($E196="",TODAY(),$E196),TODAY()))-YEAR($D196))*12+MONTH(MIN(IF($E196="",TODAY(),$E196),TODAY()))-MONTH($D196)+IF(MIN(IF($E196="",TODAY(),$E196),TODAY())&gt;=EOMONTH(MIN(IF($E196="",TODAY(),$E196),TODAY()),0),1,0)),MAX(0,INT((MIN(IF($E196="",TODAY(),$E196),TODAY())-($D196+MOD(SISTEM!$F$8-WEEKDAY($D196,2),7)))/7)+1)))</f>
        <v/>
      </c>
      <c r="J196" s="222">
        <f>IF(OR($C196="",$D196="",$G196="",$F196=""),0,$G196*IF($F196="Aylık",MAX(0,(YEAR(MIN(IF($E196="",TODAY()-8,$E196),TODAY()-8))-YEAR($D196))*12+MONTH(MIN(IF($E196="",TODAY()-8,$E196),TODAY()-8))-MONTH($D196)+IF(MIN(IF($E196="",TODAY()-8,$E196),TODAY()-8)&gt;=EOMONTH(MIN(IF($E196="",TODAY()-8,$E196),TODAY()-8),0),1,0)),MAX(0,INT((MIN(IF($E196="",TODAY()-8,$E196),TODAY()-8)-($D196+MOD(SISTEM!$F$8-WEEKDAY($D196,2),7)))/7)+1)))</f>
        <v/>
      </c>
      <c r="K196" s="222">
        <f>IF(OR($C196="",$D196="",$G196="",$F196=""),0,$G196*IF($F196="Aylık",MAX(0,(YEAR(MIN(IF($E196="",TODAY()-15,$E196),TODAY()-15))-YEAR($D196))*12+MONTH(MIN(IF($E196="",TODAY()-15,$E196),TODAY()-15))-MONTH($D196)+IF(MIN(IF($E196="",TODAY()-15,$E196),TODAY()-15)&gt;=EOMONTH(MIN(IF($E196="",TODAY()-15,$E196),TODAY()-15),0),1,0)),MAX(0,INT((MIN(IF($E196="",TODAY()-15,$E196),TODAY()-15)-($D196+MOD(SISTEM!$F$8-WEEKDAY($D196,2),7)))/7)+1)))</f>
        <v/>
      </c>
      <c r="L196" s="222">
        <f>IF(OR($C196="",$D196="",$G196="",$F196=""),0,$G196*IF($F196="Aylık",MAX(0,(YEAR(MIN(IF($E196="",TODAY()-29,$E196),TODAY()-29))-YEAR($D196))*12+MONTH(MIN(IF($E196="",TODAY()-29,$E196),TODAY()-29))-MONTH($D196)+IF(MIN(IF($E196="",TODAY()-29,$E196),TODAY()-29)&gt;=EOMONTH(MIN(IF($E196="",TODAY()-29,$E196),TODAY()-29),0),1,0)),MAX(0,INT((MIN(IF($E196="",TODAY()-29,$E196),TODAY()-29)-($D196+MOD(SISTEM!$F$8-WEEKDAY($D196,2),7)))/7)+1)))</f>
        <v/>
      </c>
      <c r="M196" s="223">
        <f>IF($G196&gt;0,$I196/$G196,0)</f>
        <v/>
      </c>
      <c r="N196" s="113">
        <f>IF($C196="","",IF($B196="TANIMSIZ MÜŞTERİ","TANIMSIZ MÜŞTERİ",IF($F196="","MODEL SEÇİN",IF(OR($D196="",$G196&lt;=0),"EKSİK",IF(AND($E196&lt;&gt;"",$E196&lt;$D196),"TARİH HATASI",IF($H196="Pasif","KAPALI DÖNEM","UYGUN"))))))</f>
        <v/>
      </c>
      <c r="O196" s="224">
        <f>IF(OR($C196="",$D196="",$F196=""),"",IF($F196="Aylık",EOMONTH($D196,0),($D196+MOD(SISTEM!$F$8-WEEKDAY($D196,2),7))))</f>
        <v/>
      </c>
      <c r="P196" s="109" t="n"/>
      <c r="Q196" s="6" t="n"/>
      <c r="R196" s="6" t="n"/>
      <c r="S196" s="3">
        <f>IF($B196="","",$B196&amp;"|"&amp;COUNTIFS($B$7:$B196,$B196))</f>
        <v/>
      </c>
      <c r="T196" s="3">
        <f>IF($C196="","",UPPER(SUBSTITUTE(SUBSTITUTE(SUBSTITUTE(SUBSTITUTE(SUBSTITUTE(SUBSTITUTE(SUBSTITUTE(SUBSTITUTE(SUBSTITUTE(SUBSTITUTE(SUBSTITUTE(SUBSTITUTE(SUBSTITUTE(SUBSTITUTE(SUBSTITUTE(SUBSTITUTE(SUBSTITUTE(SUBSTITUTE(TRIM($C196),"'",""),"İ","I"),"ı","I"),"i","I"),"Ş","S"),"ş","S"),"Ğ","G"),"ğ","G"),"Ü","U"),"ü","U"),"Ö","O"),"ö","O"),"Ç","C"),"ç","C"),".",""),",","")," ",""),"-","")))</f>
        <v/>
      </c>
    </row>
    <row r="197">
      <c r="A197" s="6" t="n"/>
      <c r="B197" s="113">
        <f>IF($C197="","",IFERROR(INDEX(MUSTERILER!$B$7:$B$106,MATCH($T197,MUSTERILER!$T$7:$T$106,0)),IFERROR(INDEX(MUSTERILER!$B$7:$B$106,MATCH($C197,MUSTERILER!$B$7:$B$106,0)),IFERROR(INDEX(MUSTERILER!$B$7:$B$106,MATCH($T197&amp;"*",MUSTERILER!$T$7:$T$106,0)),"TANIMSIZ MÜŞTERİ"))))</f>
        <v/>
      </c>
      <c r="C197" s="109" t="n"/>
      <c r="D197" s="220" t="n"/>
      <c r="E197" s="220" t="n"/>
      <c r="F197" s="108" t="n"/>
      <c r="G197" s="221" t="n"/>
      <c r="H197" s="108" t="n"/>
      <c r="I197" s="222">
        <f>IF(OR($C197="",$D197="",$G197="",$F197=""),0,$G197*IF($F197="Aylık",MAX(0,(YEAR(MIN(IF($E197="",TODAY(),$E197),TODAY()))-YEAR($D197))*12+MONTH(MIN(IF($E197="",TODAY(),$E197),TODAY()))-MONTH($D197)+IF(MIN(IF($E197="",TODAY(),$E197),TODAY())&gt;=EOMONTH(MIN(IF($E197="",TODAY(),$E197),TODAY()),0),1,0)),MAX(0,INT((MIN(IF($E197="",TODAY(),$E197),TODAY())-($D197+MOD(SISTEM!$F$8-WEEKDAY($D197,2),7)))/7)+1)))</f>
        <v/>
      </c>
      <c r="J197" s="222">
        <f>IF(OR($C197="",$D197="",$G197="",$F197=""),0,$G197*IF($F197="Aylık",MAX(0,(YEAR(MIN(IF($E197="",TODAY()-8,$E197),TODAY()-8))-YEAR($D197))*12+MONTH(MIN(IF($E197="",TODAY()-8,$E197),TODAY()-8))-MONTH($D197)+IF(MIN(IF($E197="",TODAY()-8,$E197),TODAY()-8)&gt;=EOMONTH(MIN(IF($E197="",TODAY()-8,$E197),TODAY()-8),0),1,0)),MAX(0,INT((MIN(IF($E197="",TODAY()-8,$E197),TODAY()-8)-($D197+MOD(SISTEM!$F$8-WEEKDAY($D197,2),7)))/7)+1)))</f>
        <v/>
      </c>
      <c r="K197" s="222">
        <f>IF(OR($C197="",$D197="",$G197="",$F197=""),0,$G197*IF($F197="Aylık",MAX(0,(YEAR(MIN(IF($E197="",TODAY()-15,$E197),TODAY()-15))-YEAR($D197))*12+MONTH(MIN(IF($E197="",TODAY()-15,$E197),TODAY()-15))-MONTH($D197)+IF(MIN(IF($E197="",TODAY()-15,$E197),TODAY()-15)&gt;=EOMONTH(MIN(IF($E197="",TODAY()-15,$E197),TODAY()-15),0),1,0)),MAX(0,INT((MIN(IF($E197="",TODAY()-15,$E197),TODAY()-15)-($D197+MOD(SISTEM!$F$8-WEEKDAY($D197,2),7)))/7)+1)))</f>
        <v/>
      </c>
      <c r="L197" s="222">
        <f>IF(OR($C197="",$D197="",$G197="",$F197=""),0,$G197*IF($F197="Aylık",MAX(0,(YEAR(MIN(IF($E197="",TODAY()-29,$E197),TODAY()-29))-YEAR($D197))*12+MONTH(MIN(IF($E197="",TODAY()-29,$E197),TODAY()-29))-MONTH($D197)+IF(MIN(IF($E197="",TODAY()-29,$E197),TODAY()-29)&gt;=EOMONTH(MIN(IF($E197="",TODAY()-29,$E197),TODAY()-29),0),1,0)),MAX(0,INT((MIN(IF($E197="",TODAY()-29,$E197),TODAY()-29)-($D197+MOD(SISTEM!$F$8-WEEKDAY($D197,2),7)))/7)+1)))</f>
        <v/>
      </c>
      <c r="M197" s="223">
        <f>IF($G197&gt;0,$I197/$G197,0)</f>
        <v/>
      </c>
      <c r="N197" s="113">
        <f>IF($C197="","",IF($B197="TANIMSIZ MÜŞTERİ","TANIMSIZ MÜŞTERİ",IF($F197="","MODEL SEÇİN",IF(OR($D197="",$G197&lt;=0),"EKSİK",IF(AND($E197&lt;&gt;"",$E197&lt;$D197),"TARİH HATASI",IF($H197="Pasif","KAPALI DÖNEM","UYGUN"))))))</f>
        <v/>
      </c>
      <c r="O197" s="224">
        <f>IF(OR($C197="",$D197="",$F197=""),"",IF($F197="Aylık",EOMONTH($D197,0),($D197+MOD(SISTEM!$F$8-WEEKDAY($D197,2),7))))</f>
        <v/>
      </c>
      <c r="P197" s="109" t="n"/>
      <c r="Q197" s="6" t="n"/>
      <c r="R197" s="6" t="n"/>
      <c r="S197" s="3">
        <f>IF($B197="","",$B197&amp;"|"&amp;COUNTIFS($B$7:$B197,$B197))</f>
        <v/>
      </c>
      <c r="T197" s="3">
        <f>IF($C197="","",UPPER(SUBSTITUTE(SUBSTITUTE(SUBSTITUTE(SUBSTITUTE(SUBSTITUTE(SUBSTITUTE(SUBSTITUTE(SUBSTITUTE(SUBSTITUTE(SUBSTITUTE(SUBSTITUTE(SUBSTITUTE(SUBSTITUTE(SUBSTITUTE(SUBSTITUTE(SUBSTITUTE(SUBSTITUTE(SUBSTITUTE(TRIM($C197),"'",""),"İ","I"),"ı","I"),"i","I"),"Ş","S"),"ş","S"),"Ğ","G"),"ğ","G"),"Ü","U"),"ü","U"),"Ö","O"),"ö","O"),"Ç","C"),"ç","C"),".",""),",","")," ",""),"-","")))</f>
        <v/>
      </c>
    </row>
    <row r="198">
      <c r="A198" s="6" t="n"/>
      <c r="B198" s="113">
        <f>IF($C198="","",IFERROR(INDEX(MUSTERILER!$B$7:$B$106,MATCH($T198,MUSTERILER!$T$7:$T$106,0)),IFERROR(INDEX(MUSTERILER!$B$7:$B$106,MATCH($C198,MUSTERILER!$B$7:$B$106,0)),IFERROR(INDEX(MUSTERILER!$B$7:$B$106,MATCH($T198&amp;"*",MUSTERILER!$T$7:$T$106,0)),"TANIMSIZ MÜŞTERİ"))))</f>
        <v/>
      </c>
      <c r="C198" s="109" t="n"/>
      <c r="D198" s="220" t="n"/>
      <c r="E198" s="220" t="n"/>
      <c r="F198" s="108" t="n"/>
      <c r="G198" s="221" t="n"/>
      <c r="H198" s="108" t="n"/>
      <c r="I198" s="222">
        <f>IF(OR($C198="",$D198="",$G198="",$F198=""),0,$G198*IF($F198="Aylık",MAX(0,(YEAR(MIN(IF($E198="",TODAY(),$E198),TODAY()))-YEAR($D198))*12+MONTH(MIN(IF($E198="",TODAY(),$E198),TODAY()))-MONTH($D198)+IF(MIN(IF($E198="",TODAY(),$E198),TODAY())&gt;=EOMONTH(MIN(IF($E198="",TODAY(),$E198),TODAY()),0),1,0)),MAX(0,INT((MIN(IF($E198="",TODAY(),$E198),TODAY())-($D198+MOD(SISTEM!$F$8-WEEKDAY($D198,2),7)))/7)+1)))</f>
        <v/>
      </c>
      <c r="J198" s="222">
        <f>IF(OR($C198="",$D198="",$G198="",$F198=""),0,$G198*IF($F198="Aylık",MAX(0,(YEAR(MIN(IF($E198="",TODAY()-8,$E198),TODAY()-8))-YEAR($D198))*12+MONTH(MIN(IF($E198="",TODAY()-8,$E198),TODAY()-8))-MONTH($D198)+IF(MIN(IF($E198="",TODAY()-8,$E198),TODAY()-8)&gt;=EOMONTH(MIN(IF($E198="",TODAY()-8,$E198),TODAY()-8),0),1,0)),MAX(0,INT((MIN(IF($E198="",TODAY()-8,$E198),TODAY()-8)-($D198+MOD(SISTEM!$F$8-WEEKDAY($D198,2),7)))/7)+1)))</f>
        <v/>
      </c>
      <c r="K198" s="222">
        <f>IF(OR($C198="",$D198="",$G198="",$F198=""),0,$G198*IF($F198="Aylık",MAX(0,(YEAR(MIN(IF($E198="",TODAY()-15,$E198),TODAY()-15))-YEAR($D198))*12+MONTH(MIN(IF($E198="",TODAY()-15,$E198),TODAY()-15))-MONTH($D198)+IF(MIN(IF($E198="",TODAY()-15,$E198),TODAY()-15)&gt;=EOMONTH(MIN(IF($E198="",TODAY()-15,$E198),TODAY()-15),0),1,0)),MAX(0,INT((MIN(IF($E198="",TODAY()-15,$E198),TODAY()-15)-($D198+MOD(SISTEM!$F$8-WEEKDAY($D198,2),7)))/7)+1)))</f>
        <v/>
      </c>
      <c r="L198" s="222">
        <f>IF(OR($C198="",$D198="",$G198="",$F198=""),0,$G198*IF($F198="Aylık",MAX(0,(YEAR(MIN(IF($E198="",TODAY()-29,$E198),TODAY()-29))-YEAR($D198))*12+MONTH(MIN(IF($E198="",TODAY()-29,$E198),TODAY()-29))-MONTH($D198)+IF(MIN(IF($E198="",TODAY()-29,$E198),TODAY()-29)&gt;=EOMONTH(MIN(IF($E198="",TODAY()-29,$E198),TODAY()-29),0),1,0)),MAX(0,INT((MIN(IF($E198="",TODAY()-29,$E198),TODAY()-29)-($D198+MOD(SISTEM!$F$8-WEEKDAY($D198,2),7)))/7)+1)))</f>
        <v/>
      </c>
      <c r="M198" s="223">
        <f>IF($G198&gt;0,$I198/$G198,0)</f>
        <v/>
      </c>
      <c r="N198" s="113">
        <f>IF($C198="","",IF($B198="TANIMSIZ MÜŞTERİ","TANIMSIZ MÜŞTERİ",IF($F198="","MODEL SEÇİN",IF(OR($D198="",$G198&lt;=0),"EKSİK",IF(AND($E198&lt;&gt;"",$E198&lt;$D198),"TARİH HATASI",IF($H198="Pasif","KAPALI DÖNEM","UYGUN"))))))</f>
        <v/>
      </c>
      <c r="O198" s="224">
        <f>IF(OR($C198="",$D198="",$F198=""),"",IF($F198="Aylık",EOMONTH($D198,0),($D198+MOD(SISTEM!$F$8-WEEKDAY($D198,2),7))))</f>
        <v/>
      </c>
      <c r="P198" s="109" t="n"/>
      <c r="Q198" s="6" t="n"/>
      <c r="R198" s="6" t="n"/>
      <c r="S198" s="3">
        <f>IF($B198="","",$B198&amp;"|"&amp;COUNTIFS($B$7:$B198,$B198))</f>
        <v/>
      </c>
      <c r="T198" s="3">
        <f>IF($C198="","",UPPER(SUBSTITUTE(SUBSTITUTE(SUBSTITUTE(SUBSTITUTE(SUBSTITUTE(SUBSTITUTE(SUBSTITUTE(SUBSTITUTE(SUBSTITUTE(SUBSTITUTE(SUBSTITUTE(SUBSTITUTE(SUBSTITUTE(SUBSTITUTE(SUBSTITUTE(SUBSTITUTE(SUBSTITUTE(SUBSTITUTE(TRIM($C198),"'",""),"İ","I"),"ı","I"),"i","I"),"Ş","S"),"ş","S"),"Ğ","G"),"ğ","G"),"Ü","U"),"ü","U"),"Ö","O"),"ö","O"),"Ç","C"),"ç","C"),".",""),",","")," ",""),"-","")))</f>
        <v/>
      </c>
    </row>
    <row r="199">
      <c r="A199" s="6" t="n"/>
      <c r="B199" s="113">
        <f>IF($C199="","",IFERROR(INDEX(MUSTERILER!$B$7:$B$106,MATCH($T199,MUSTERILER!$T$7:$T$106,0)),IFERROR(INDEX(MUSTERILER!$B$7:$B$106,MATCH($C199,MUSTERILER!$B$7:$B$106,0)),IFERROR(INDEX(MUSTERILER!$B$7:$B$106,MATCH($T199&amp;"*",MUSTERILER!$T$7:$T$106,0)),"TANIMSIZ MÜŞTERİ"))))</f>
        <v/>
      </c>
      <c r="C199" s="109" t="n"/>
      <c r="D199" s="220" t="n"/>
      <c r="E199" s="220" t="n"/>
      <c r="F199" s="108" t="n"/>
      <c r="G199" s="221" t="n"/>
      <c r="H199" s="108" t="n"/>
      <c r="I199" s="222">
        <f>IF(OR($C199="",$D199="",$G199="",$F199=""),0,$G199*IF($F199="Aylık",MAX(0,(YEAR(MIN(IF($E199="",TODAY(),$E199),TODAY()))-YEAR($D199))*12+MONTH(MIN(IF($E199="",TODAY(),$E199),TODAY()))-MONTH($D199)+IF(MIN(IF($E199="",TODAY(),$E199),TODAY())&gt;=EOMONTH(MIN(IF($E199="",TODAY(),$E199),TODAY()),0),1,0)),MAX(0,INT((MIN(IF($E199="",TODAY(),$E199),TODAY())-($D199+MOD(SISTEM!$F$8-WEEKDAY($D199,2),7)))/7)+1)))</f>
        <v/>
      </c>
      <c r="J199" s="222">
        <f>IF(OR($C199="",$D199="",$G199="",$F199=""),0,$G199*IF($F199="Aylık",MAX(0,(YEAR(MIN(IF($E199="",TODAY()-8,$E199),TODAY()-8))-YEAR($D199))*12+MONTH(MIN(IF($E199="",TODAY()-8,$E199),TODAY()-8))-MONTH($D199)+IF(MIN(IF($E199="",TODAY()-8,$E199),TODAY()-8)&gt;=EOMONTH(MIN(IF($E199="",TODAY()-8,$E199),TODAY()-8),0),1,0)),MAX(0,INT((MIN(IF($E199="",TODAY()-8,$E199),TODAY()-8)-($D199+MOD(SISTEM!$F$8-WEEKDAY($D199,2),7)))/7)+1)))</f>
        <v/>
      </c>
      <c r="K199" s="222">
        <f>IF(OR($C199="",$D199="",$G199="",$F199=""),0,$G199*IF($F199="Aylık",MAX(0,(YEAR(MIN(IF($E199="",TODAY()-15,$E199),TODAY()-15))-YEAR($D199))*12+MONTH(MIN(IF($E199="",TODAY()-15,$E199),TODAY()-15))-MONTH($D199)+IF(MIN(IF($E199="",TODAY()-15,$E199),TODAY()-15)&gt;=EOMONTH(MIN(IF($E199="",TODAY()-15,$E199),TODAY()-15),0),1,0)),MAX(0,INT((MIN(IF($E199="",TODAY()-15,$E199),TODAY()-15)-($D199+MOD(SISTEM!$F$8-WEEKDAY($D199,2),7)))/7)+1)))</f>
        <v/>
      </c>
      <c r="L199" s="222">
        <f>IF(OR($C199="",$D199="",$G199="",$F199=""),0,$G199*IF($F199="Aylık",MAX(0,(YEAR(MIN(IF($E199="",TODAY()-29,$E199),TODAY()-29))-YEAR($D199))*12+MONTH(MIN(IF($E199="",TODAY()-29,$E199),TODAY()-29))-MONTH($D199)+IF(MIN(IF($E199="",TODAY()-29,$E199),TODAY()-29)&gt;=EOMONTH(MIN(IF($E199="",TODAY()-29,$E199),TODAY()-29),0),1,0)),MAX(0,INT((MIN(IF($E199="",TODAY()-29,$E199),TODAY()-29)-($D199+MOD(SISTEM!$F$8-WEEKDAY($D199,2),7)))/7)+1)))</f>
        <v/>
      </c>
      <c r="M199" s="223">
        <f>IF($G199&gt;0,$I199/$G199,0)</f>
        <v/>
      </c>
      <c r="N199" s="113">
        <f>IF($C199="","",IF($B199="TANIMSIZ MÜŞTERİ","TANIMSIZ MÜŞTERİ",IF($F199="","MODEL SEÇİN",IF(OR($D199="",$G199&lt;=0),"EKSİK",IF(AND($E199&lt;&gt;"",$E199&lt;$D199),"TARİH HATASI",IF($H199="Pasif","KAPALI DÖNEM","UYGUN"))))))</f>
        <v/>
      </c>
      <c r="O199" s="224">
        <f>IF(OR($C199="",$D199="",$F199=""),"",IF($F199="Aylık",EOMONTH($D199,0),($D199+MOD(SISTEM!$F$8-WEEKDAY($D199,2),7))))</f>
        <v/>
      </c>
      <c r="P199" s="109" t="n"/>
      <c r="Q199" s="6" t="n"/>
      <c r="R199" s="6" t="n"/>
      <c r="S199" s="3">
        <f>IF($B199="","",$B199&amp;"|"&amp;COUNTIFS($B$7:$B199,$B199))</f>
        <v/>
      </c>
      <c r="T199" s="3">
        <f>IF($C199="","",UPPER(SUBSTITUTE(SUBSTITUTE(SUBSTITUTE(SUBSTITUTE(SUBSTITUTE(SUBSTITUTE(SUBSTITUTE(SUBSTITUTE(SUBSTITUTE(SUBSTITUTE(SUBSTITUTE(SUBSTITUTE(SUBSTITUTE(SUBSTITUTE(SUBSTITUTE(SUBSTITUTE(SUBSTITUTE(SUBSTITUTE(TRIM($C199),"'",""),"İ","I"),"ı","I"),"i","I"),"Ş","S"),"ş","S"),"Ğ","G"),"ğ","G"),"Ü","U"),"ü","U"),"Ö","O"),"ö","O"),"Ç","C"),"ç","C"),".",""),",","")," ",""),"-","")))</f>
        <v/>
      </c>
    </row>
    <row r="200">
      <c r="A200" s="6" t="n"/>
      <c r="B200" s="113">
        <f>IF($C200="","",IFERROR(INDEX(MUSTERILER!$B$7:$B$106,MATCH($T200,MUSTERILER!$T$7:$T$106,0)),IFERROR(INDEX(MUSTERILER!$B$7:$B$106,MATCH($C200,MUSTERILER!$B$7:$B$106,0)),IFERROR(INDEX(MUSTERILER!$B$7:$B$106,MATCH($T200&amp;"*",MUSTERILER!$T$7:$T$106,0)),"TANIMSIZ MÜŞTERİ"))))</f>
        <v/>
      </c>
      <c r="C200" s="109" t="n"/>
      <c r="D200" s="220" t="n"/>
      <c r="E200" s="220" t="n"/>
      <c r="F200" s="108" t="n"/>
      <c r="G200" s="221" t="n"/>
      <c r="H200" s="108" t="n"/>
      <c r="I200" s="222">
        <f>IF(OR($C200="",$D200="",$G200="",$F200=""),0,$G200*IF($F200="Aylık",MAX(0,(YEAR(MIN(IF($E200="",TODAY(),$E200),TODAY()))-YEAR($D200))*12+MONTH(MIN(IF($E200="",TODAY(),$E200),TODAY()))-MONTH($D200)+IF(MIN(IF($E200="",TODAY(),$E200),TODAY())&gt;=EOMONTH(MIN(IF($E200="",TODAY(),$E200),TODAY()),0),1,0)),MAX(0,INT((MIN(IF($E200="",TODAY(),$E200),TODAY())-($D200+MOD(SISTEM!$F$8-WEEKDAY($D200,2),7)))/7)+1)))</f>
        <v/>
      </c>
      <c r="J200" s="222">
        <f>IF(OR($C200="",$D200="",$G200="",$F200=""),0,$G200*IF($F200="Aylık",MAX(0,(YEAR(MIN(IF($E200="",TODAY()-8,$E200),TODAY()-8))-YEAR($D200))*12+MONTH(MIN(IF($E200="",TODAY()-8,$E200),TODAY()-8))-MONTH($D200)+IF(MIN(IF($E200="",TODAY()-8,$E200),TODAY()-8)&gt;=EOMONTH(MIN(IF($E200="",TODAY()-8,$E200),TODAY()-8),0),1,0)),MAX(0,INT((MIN(IF($E200="",TODAY()-8,$E200),TODAY()-8)-($D200+MOD(SISTEM!$F$8-WEEKDAY($D200,2),7)))/7)+1)))</f>
        <v/>
      </c>
      <c r="K200" s="222">
        <f>IF(OR($C200="",$D200="",$G200="",$F200=""),0,$G200*IF($F200="Aylık",MAX(0,(YEAR(MIN(IF($E200="",TODAY()-15,$E200),TODAY()-15))-YEAR($D200))*12+MONTH(MIN(IF($E200="",TODAY()-15,$E200),TODAY()-15))-MONTH($D200)+IF(MIN(IF($E200="",TODAY()-15,$E200),TODAY()-15)&gt;=EOMONTH(MIN(IF($E200="",TODAY()-15,$E200),TODAY()-15),0),1,0)),MAX(0,INT((MIN(IF($E200="",TODAY()-15,$E200),TODAY()-15)-($D200+MOD(SISTEM!$F$8-WEEKDAY($D200,2),7)))/7)+1)))</f>
        <v/>
      </c>
      <c r="L200" s="222">
        <f>IF(OR($C200="",$D200="",$G200="",$F200=""),0,$G200*IF($F200="Aylık",MAX(0,(YEAR(MIN(IF($E200="",TODAY()-29,$E200),TODAY()-29))-YEAR($D200))*12+MONTH(MIN(IF($E200="",TODAY()-29,$E200),TODAY()-29))-MONTH($D200)+IF(MIN(IF($E200="",TODAY()-29,$E200),TODAY()-29)&gt;=EOMONTH(MIN(IF($E200="",TODAY()-29,$E200),TODAY()-29),0),1,0)),MAX(0,INT((MIN(IF($E200="",TODAY()-29,$E200),TODAY()-29)-($D200+MOD(SISTEM!$F$8-WEEKDAY($D200,2),7)))/7)+1)))</f>
        <v/>
      </c>
      <c r="M200" s="223">
        <f>IF($G200&gt;0,$I200/$G200,0)</f>
        <v/>
      </c>
      <c r="N200" s="113">
        <f>IF($C200="","",IF($B200="TANIMSIZ MÜŞTERİ","TANIMSIZ MÜŞTERİ",IF($F200="","MODEL SEÇİN",IF(OR($D200="",$G200&lt;=0),"EKSİK",IF(AND($E200&lt;&gt;"",$E200&lt;$D200),"TARİH HATASI",IF($H200="Pasif","KAPALI DÖNEM","UYGUN"))))))</f>
        <v/>
      </c>
      <c r="O200" s="224">
        <f>IF(OR($C200="",$D200="",$F200=""),"",IF($F200="Aylık",EOMONTH($D200,0),($D200+MOD(SISTEM!$F$8-WEEKDAY($D200,2),7))))</f>
        <v/>
      </c>
      <c r="P200" s="109" t="n"/>
      <c r="Q200" s="6" t="n"/>
      <c r="R200" s="6" t="n"/>
      <c r="S200" s="3">
        <f>IF($B200="","",$B200&amp;"|"&amp;COUNTIFS($B$7:$B200,$B200))</f>
        <v/>
      </c>
      <c r="T200" s="3">
        <f>IF($C200="","",UPPER(SUBSTITUTE(SUBSTITUTE(SUBSTITUTE(SUBSTITUTE(SUBSTITUTE(SUBSTITUTE(SUBSTITUTE(SUBSTITUTE(SUBSTITUTE(SUBSTITUTE(SUBSTITUTE(SUBSTITUTE(SUBSTITUTE(SUBSTITUTE(SUBSTITUTE(SUBSTITUTE(SUBSTITUTE(SUBSTITUTE(TRIM($C200),"'",""),"İ","I"),"ı","I"),"i","I"),"Ş","S"),"ş","S"),"Ğ","G"),"ğ","G"),"Ü","U"),"ü","U"),"Ö","O"),"ö","O"),"Ç","C"),"ç","C"),".",""),",","")," ",""),"-","")))</f>
        <v/>
      </c>
    </row>
    <row r="201">
      <c r="A201" s="6" t="n"/>
      <c r="B201" s="113">
        <f>IF($C201="","",IFERROR(INDEX(MUSTERILER!$B$7:$B$106,MATCH($T201,MUSTERILER!$T$7:$T$106,0)),IFERROR(INDEX(MUSTERILER!$B$7:$B$106,MATCH($C201,MUSTERILER!$B$7:$B$106,0)),IFERROR(INDEX(MUSTERILER!$B$7:$B$106,MATCH($T201&amp;"*",MUSTERILER!$T$7:$T$106,0)),"TANIMSIZ MÜŞTERİ"))))</f>
        <v/>
      </c>
      <c r="C201" s="109" t="n"/>
      <c r="D201" s="220" t="n"/>
      <c r="E201" s="220" t="n"/>
      <c r="F201" s="108" t="n"/>
      <c r="G201" s="221" t="n"/>
      <c r="H201" s="108" t="n"/>
      <c r="I201" s="222">
        <f>IF(OR($C201="",$D201="",$G201="",$F201=""),0,$G201*IF($F201="Aylık",MAX(0,(YEAR(MIN(IF($E201="",TODAY(),$E201),TODAY()))-YEAR($D201))*12+MONTH(MIN(IF($E201="",TODAY(),$E201),TODAY()))-MONTH($D201)+IF(MIN(IF($E201="",TODAY(),$E201),TODAY())&gt;=EOMONTH(MIN(IF($E201="",TODAY(),$E201),TODAY()),0),1,0)),MAX(0,INT((MIN(IF($E201="",TODAY(),$E201),TODAY())-($D201+MOD(SISTEM!$F$8-WEEKDAY($D201,2),7)))/7)+1)))</f>
        <v/>
      </c>
      <c r="J201" s="222">
        <f>IF(OR($C201="",$D201="",$G201="",$F201=""),0,$G201*IF($F201="Aylık",MAX(0,(YEAR(MIN(IF($E201="",TODAY()-8,$E201),TODAY()-8))-YEAR($D201))*12+MONTH(MIN(IF($E201="",TODAY()-8,$E201),TODAY()-8))-MONTH($D201)+IF(MIN(IF($E201="",TODAY()-8,$E201),TODAY()-8)&gt;=EOMONTH(MIN(IF($E201="",TODAY()-8,$E201),TODAY()-8),0),1,0)),MAX(0,INT((MIN(IF($E201="",TODAY()-8,$E201),TODAY()-8)-($D201+MOD(SISTEM!$F$8-WEEKDAY($D201,2),7)))/7)+1)))</f>
        <v/>
      </c>
      <c r="K201" s="222">
        <f>IF(OR($C201="",$D201="",$G201="",$F201=""),0,$G201*IF($F201="Aylık",MAX(0,(YEAR(MIN(IF($E201="",TODAY()-15,$E201),TODAY()-15))-YEAR($D201))*12+MONTH(MIN(IF($E201="",TODAY()-15,$E201),TODAY()-15))-MONTH($D201)+IF(MIN(IF($E201="",TODAY()-15,$E201),TODAY()-15)&gt;=EOMONTH(MIN(IF($E201="",TODAY()-15,$E201),TODAY()-15),0),1,0)),MAX(0,INT((MIN(IF($E201="",TODAY()-15,$E201),TODAY()-15)-($D201+MOD(SISTEM!$F$8-WEEKDAY($D201,2),7)))/7)+1)))</f>
        <v/>
      </c>
      <c r="L201" s="222">
        <f>IF(OR($C201="",$D201="",$G201="",$F201=""),0,$G201*IF($F201="Aylık",MAX(0,(YEAR(MIN(IF($E201="",TODAY()-29,$E201),TODAY()-29))-YEAR($D201))*12+MONTH(MIN(IF($E201="",TODAY()-29,$E201),TODAY()-29))-MONTH($D201)+IF(MIN(IF($E201="",TODAY()-29,$E201),TODAY()-29)&gt;=EOMONTH(MIN(IF($E201="",TODAY()-29,$E201),TODAY()-29),0),1,0)),MAX(0,INT((MIN(IF($E201="",TODAY()-29,$E201),TODAY()-29)-($D201+MOD(SISTEM!$F$8-WEEKDAY($D201,2),7)))/7)+1)))</f>
        <v/>
      </c>
      <c r="M201" s="223">
        <f>IF($G201&gt;0,$I201/$G201,0)</f>
        <v/>
      </c>
      <c r="N201" s="113">
        <f>IF($C201="","",IF($B201="TANIMSIZ MÜŞTERİ","TANIMSIZ MÜŞTERİ",IF($F201="","MODEL SEÇİN",IF(OR($D201="",$G201&lt;=0),"EKSİK",IF(AND($E201&lt;&gt;"",$E201&lt;$D201),"TARİH HATASI",IF($H201="Pasif","KAPALI DÖNEM","UYGUN"))))))</f>
        <v/>
      </c>
      <c r="O201" s="224">
        <f>IF(OR($C201="",$D201="",$F201=""),"",IF($F201="Aylık",EOMONTH($D201,0),($D201+MOD(SISTEM!$F$8-WEEKDAY($D201,2),7))))</f>
        <v/>
      </c>
      <c r="P201" s="109" t="n"/>
      <c r="Q201" s="6" t="n"/>
      <c r="R201" s="6" t="n"/>
      <c r="S201" s="3">
        <f>IF($B201="","",$B201&amp;"|"&amp;COUNTIFS($B$7:$B201,$B201))</f>
        <v/>
      </c>
      <c r="T201" s="3">
        <f>IF($C201="","",UPPER(SUBSTITUTE(SUBSTITUTE(SUBSTITUTE(SUBSTITUTE(SUBSTITUTE(SUBSTITUTE(SUBSTITUTE(SUBSTITUTE(SUBSTITUTE(SUBSTITUTE(SUBSTITUTE(SUBSTITUTE(SUBSTITUTE(SUBSTITUTE(SUBSTITUTE(SUBSTITUTE(SUBSTITUTE(SUBSTITUTE(TRIM($C201),"'",""),"İ","I"),"ı","I"),"i","I"),"Ş","S"),"ş","S"),"Ğ","G"),"ğ","G"),"Ü","U"),"ü","U"),"Ö","O"),"ö","O"),"Ç","C"),"ç","C"),".",""),",","")," ",""),"-","")))</f>
        <v/>
      </c>
    </row>
    <row r="202">
      <c r="A202" s="6" t="n"/>
      <c r="B202" s="113">
        <f>IF($C202="","",IFERROR(INDEX(MUSTERILER!$B$7:$B$106,MATCH($T202,MUSTERILER!$T$7:$T$106,0)),IFERROR(INDEX(MUSTERILER!$B$7:$B$106,MATCH($C202,MUSTERILER!$B$7:$B$106,0)),IFERROR(INDEX(MUSTERILER!$B$7:$B$106,MATCH($T202&amp;"*",MUSTERILER!$T$7:$T$106,0)),"TANIMSIZ MÜŞTERİ"))))</f>
        <v/>
      </c>
      <c r="C202" s="109" t="n"/>
      <c r="D202" s="220" t="n"/>
      <c r="E202" s="220" t="n"/>
      <c r="F202" s="108" t="n"/>
      <c r="G202" s="221" t="n"/>
      <c r="H202" s="108" t="n"/>
      <c r="I202" s="222">
        <f>IF(OR($C202="",$D202="",$G202="",$F202=""),0,$G202*IF($F202="Aylık",MAX(0,(YEAR(MIN(IF($E202="",TODAY(),$E202),TODAY()))-YEAR($D202))*12+MONTH(MIN(IF($E202="",TODAY(),$E202),TODAY()))-MONTH($D202)+IF(MIN(IF($E202="",TODAY(),$E202),TODAY())&gt;=EOMONTH(MIN(IF($E202="",TODAY(),$E202),TODAY()),0),1,0)),MAX(0,INT((MIN(IF($E202="",TODAY(),$E202),TODAY())-($D202+MOD(SISTEM!$F$8-WEEKDAY($D202,2),7)))/7)+1)))</f>
        <v/>
      </c>
      <c r="J202" s="222">
        <f>IF(OR($C202="",$D202="",$G202="",$F202=""),0,$G202*IF($F202="Aylık",MAX(0,(YEAR(MIN(IF($E202="",TODAY()-8,$E202),TODAY()-8))-YEAR($D202))*12+MONTH(MIN(IF($E202="",TODAY()-8,$E202),TODAY()-8))-MONTH($D202)+IF(MIN(IF($E202="",TODAY()-8,$E202),TODAY()-8)&gt;=EOMONTH(MIN(IF($E202="",TODAY()-8,$E202),TODAY()-8),0),1,0)),MAX(0,INT((MIN(IF($E202="",TODAY()-8,$E202),TODAY()-8)-($D202+MOD(SISTEM!$F$8-WEEKDAY($D202,2),7)))/7)+1)))</f>
        <v/>
      </c>
      <c r="K202" s="222">
        <f>IF(OR($C202="",$D202="",$G202="",$F202=""),0,$G202*IF($F202="Aylık",MAX(0,(YEAR(MIN(IF($E202="",TODAY()-15,$E202),TODAY()-15))-YEAR($D202))*12+MONTH(MIN(IF($E202="",TODAY()-15,$E202),TODAY()-15))-MONTH($D202)+IF(MIN(IF($E202="",TODAY()-15,$E202),TODAY()-15)&gt;=EOMONTH(MIN(IF($E202="",TODAY()-15,$E202),TODAY()-15),0),1,0)),MAX(0,INT((MIN(IF($E202="",TODAY()-15,$E202),TODAY()-15)-($D202+MOD(SISTEM!$F$8-WEEKDAY($D202,2),7)))/7)+1)))</f>
        <v/>
      </c>
      <c r="L202" s="222">
        <f>IF(OR($C202="",$D202="",$G202="",$F202=""),0,$G202*IF($F202="Aylık",MAX(0,(YEAR(MIN(IF($E202="",TODAY()-29,$E202),TODAY()-29))-YEAR($D202))*12+MONTH(MIN(IF($E202="",TODAY()-29,$E202),TODAY()-29))-MONTH($D202)+IF(MIN(IF($E202="",TODAY()-29,$E202),TODAY()-29)&gt;=EOMONTH(MIN(IF($E202="",TODAY()-29,$E202),TODAY()-29),0),1,0)),MAX(0,INT((MIN(IF($E202="",TODAY()-29,$E202),TODAY()-29)-($D202+MOD(SISTEM!$F$8-WEEKDAY($D202,2),7)))/7)+1)))</f>
        <v/>
      </c>
      <c r="M202" s="223">
        <f>IF($G202&gt;0,$I202/$G202,0)</f>
        <v/>
      </c>
      <c r="N202" s="113">
        <f>IF($C202="","",IF($B202="TANIMSIZ MÜŞTERİ","TANIMSIZ MÜŞTERİ",IF($F202="","MODEL SEÇİN",IF(OR($D202="",$G202&lt;=0),"EKSİK",IF(AND($E202&lt;&gt;"",$E202&lt;$D202),"TARİH HATASI",IF($H202="Pasif","KAPALI DÖNEM","UYGUN"))))))</f>
        <v/>
      </c>
      <c r="O202" s="224">
        <f>IF(OR($C202="",$D202="",$F202=""),"",IF($F202="Aylık",EOMONTH($D202,0),($D202+MOD(SISTEM!$F$8-WEEKDAY($D202,2),7))))</f>
        <v/>
      </c>
      <c r="P202" s="109" t="n"/>
      <c r="Q202" s="6" t="n"/>
      <c r="R202" s="6" t="n"/>
      <c r="S202" s="3">
        <f>IF($B202="","",$B202&amp;"|"&amp;COUNTIFS($B$7:$B202,$B202))</f>
        <v/>
      </c>
      <c r="T202" s="3">
        <f>IF($C202="","",UPPER(SUBSTITUTE(SUBSTITUTE(SUBSTITUTE(SUBSTITUTE(SUBSTITUTE(SUBSTITUTE(SUBSTITUTE(SUBSTITUTE(SUBSTITUTE(SUBSTITUTE(SUBSTITUTE(SUBSTITUTE(SUBSTITUTE(SUBSTITUTE(SUBSTITUTE(SUBSTITUTE(SUBSTITUTE(SUBSTITUTE(TRIM($C202),"'",""),"İ","I"),"ı","I"),"i","I"),"Ş","S"),"ş","S"),"Ğ","G"),"ğ","G"),"Ü","U"),"ü","U"),"Ö","O"),"ö","O"),"Ç","C"),"ç","C"),".",""),",","")," ",""),"-","")))</f>
        <v/>
      </c>
    </row>
    <row r="203">
      <c r="A203" s="6" t="n"/>
      <c r="B203" s="113">
        <f>IF($C203="","",IFERROR(INDEX(MUSTERILER!$B$7:$B$106,MATCH($T203,MUSTERILER!$T$7:$T$106,0)),IFERROR(INDEX(MUSTERILER!$B$7:$B$106,MATCH($C203,MUSTERILER!$B$7:$B$106,0)),IFERROR(INDEX(MUSTERILER!$B$7:$B$106,MATCH($T203&amp;"*",MUSTERILER!$T$7:$T$106,0)),"TANIMSIZ MÜŞTERİ"))))</f>
        <v/>
      </c>
      <c r="C203" s="109" t="n"/>
      <c r="D203" s="220" t="n"/>
      <c r="E203" s="220" t="n"/>
      <c r="F203" s="108" t="n"/>
      <c r="G203" s="221" t="n"/>
      <c r="H203" s="108" t="n"/>
      <c r="I203" s="222">
        <f>IF(OR($C203="",$D203="",$G203="",$F203=""),0,$G203*IF($F203="Aylık",MAX(0,(YEAR(MIN(IF($E203="",TODAY(),$E203),TODAY()))-YEAR($D203))*12+MONTH(MIN(IF($E203="",TODAY(),$E203),TODAY()))-MONTH($D203)+IF(MIN(IF($E203="",TODAY(),$E203),TODAY())&gt;=EOMONTH(MIN(IF($E203="",TODAY(),$E203),TODAY()),0),1,0)),MAX(0,INT((MIN(IF($E203="",TODAY(),$E203),TODAY())-($D203+MOD(SISTEM!$F$8-WEEKDAY($D203,2),7)))/7)+1)))</f>
        <v/>
      </c>
      <c r="J203" s="222">
        <f>IF(OR($C203="",$D203="",$G203="",$F203=""),0,$G203*IF($F203="Aylık",MAX(0,(YEAR(MIN(IF($E203="",TODAY()-8,$E203),TODAY()-8))-YEAR($D203))*12+MONTH(MIN(IF($E203="",TODAY()-8,$E203),TODAY()-8))-MONTH($D203)+IF(MIN(IF($E203="",TODAY()-8,$E203),TODAY()-8)&gt;=EOMONTH(MIN(IF($E203="",TODAY()-8,$E203),TODAY()-8),0),1,0)),MAX(0,INT((MIN(IF($E203="",TODAY()-8,$E203),TODAY()-8)-($D203+MOD(SISTEM!$F$8-WEEKDAY($D203,2),7)))/7)+1)))</f>
        <v/>
      </c>
      <c r="K203" s="222">
        <f>IF(OR($C203="",$D203="",$G203="",$F203=""),0,$G203*IF($F203="Aylık",MAX(0,(YEAR(MIN(IF($E203="",TODAY()-15,$E203),TODAY()-15))-YEAR($D203))*12+MONTH(MIN(IF($E203="",TODAY()-15,$E203),TODAY()-15))-MONTH($D203)+IF(MIN(IF($E203="",TODAY()-15,$E203),TODAY()-15)&gt;=EOMONTH(MIN(IF($E203="",TODAY()-15,$E203),TODAY()-15),0),1,0)),MAX(0,INT((MIN(IF($E203="",TODAY()-15,$E203),TODAY()-15)-($D203+MOD(SISTEM!$F$8-WEEKDAY($D203,2),7)))/7)+1)))</f>
        <v/>
      </c>
      <c r="L203" s="222">
        <f>IF(OR($C203="",$D203="",$G203="",$F203=""),0,$G203*IF($F203="Aylık",MAX(0,(YEAR(MIN(IF($E203="",TODAY()-29,$E203),TODAY()-29))-YEAR($D203))*12+MONTH(MIN(IF($E203="",TODAY()-29,$E203),TODAY()-29))-MONTH($D203)+IF(MIN(IF($E203="",TODAY()-29,$E203),TODAY()-29)&gt;=EOMONTH(MIN(IF($E203="",TODAY()-29,$E203),TODAY()-29),0),1,0)),MAX(0,INT((MIN(IF($E203="",TODAY()-29,$E203),TODAY()-29)-($D203+MOD(SISTEM!$F$8-WEEKDAY($D203,2),7)))/7)+1)))</f>
        <v/>
      </c>
      <c r="M203" s="223">
        <f>IF($G203&gt;0,$I203/$G203,0)</f>
        <v/>
      </c>
      <c r="N203" s="113">
        <f>IF($C203="","",IF($B203="TANIMSIZ MÜŞTERİ","TANIMSIZ MÜŞTERİ",IF($F203="","MODEL SEÇİN",IF(OR($D203="",$G203&lt;=0),"EKSİK",IF(AND($E203&lt;&gt;"",$E203&lt;$D203),"TARİH HATASI",IF($H203="Pasif","KAPALI DÖNEM","UYGUN"))))))</f>
        <v/>
      </c>
      <c r="O203" s="224">
        <f>IF(OR($C203="",$D203="",$F203=""),"",IF($F203="Aylık",EOMONTH($D203,0),($D203+MOD(SISTEM!$F$8-WEEKDAY($D203,2),7))))</f>
        <v/>
      </c>
      <c r="P203" s="109" t="n"/>
      <c r="Q203" s="6" t="n"/>
      <c r="R203" s="6" t="n"/>
      <c r="S203" s="3">
        <f>IF($B203="","",$B203&amp;"|"&amp;COUNTIFS($B$7:$B203,$B203))</f>
        <v/>
      </c>
      <c r="T203" s="3">
        <f>IF($C203="","",UPPER(SUBSTITUTE(SUBSTITUTE(SUBSTITUTE(SUBSTITUTE(SUBSTITUTE(SUBSTITUTE(SUBSTITUTE(SUBSTITUTE(SUBSTITUTE(SUBSTITUTE(SUBSTITUTE(SUBSTITUTE(SUBSTITUTE(SUBSTITUTE(SUBSTITUTE(SUBSTITUTE(SUBSTITUTE(SUBSTITUTE(TRIM($C203),"'",""),"İ","I"),"ı","I"),"i","I"),"Ş","S"),"ş","S"),"Ğ","G"),"ğ","G"),"Ü","U"),"ü","U"),"Ö","O"),"ö","O"),"Ç","C"),"ç","C"),".",""),",","")," ",""),"-","")))</f>
        <v/>
      </c>
    </row>
    <row r="204">
      <c r="A204" s="6" t="n"/>
      <c r="B204" s="113">
        <f>IF($C204="","",IFERROR(INDEX(MUSTERILER!$B$7:$B$106,MATCH($T204,MUSTERILER!$T$7:$T$106,0)),IFERROR(INDEX(MUSTERILER!$B$7:$B$106,MATCH($C204,MUSTERILER!$B$7:$B$106,0)),IFERROR(INDEX(MUSTERILER!$B$7:$B$106,MATCH($T204&amp;"*",MUSTERILER!$T$7:$T$106,0)),"TANIMSIZ MÜŞTERİ"))))</f>
        <v/>
      </c>
      <c r="C204" s="109" t="n"/>
      <c r="D204" s="220" t="n"/>
      <c r="E204" s="220" t="n"/>
      <c r="F204" s="108" t="n"/>
      <c r="G204" s="221" t="n"/>
      <c r="H204" s="108" t="n"/>
      <c r="I204" s="222">
        <f>IF(OR($C204="",$D204="",$G204="",$F204=""),0,$G204*IF($F204="Aylık",MAX(0,(YEAR(MIN(IF($E204="",TODAY(),$E204),TODAY()))-YEAR($D204))*12+MONTH(MIN(IF($E204="",TODAY(),$E204),TODAY()))-MONTH($D204)+IF(MIN(IF($E204="",TODAY(),$E204),TODAY())&gt;=EOMONTH(MIN(IF($E204="",TODAY(),$E204),TODAY()),0),1,0)),MAX(0,INT((MIN(IF($E204="",TODAY(),$E204),TODAY())-($D204+MOD(SISTEM!$F$8-WEEKDAY($D204,2),7)))/7)+1)))</f>
        <v/>
      </c>
      <c r="J204" s="222">
        <f>IF(OR($C204="",$D204="",$G204="",$F204=""),0,$G204*IF($F204="Aylık",MAX(0,(YEAR(MIN(IF($E204="",TODAY()-8,$E204),TODAY()-8))-YEAR($D204))*12+MONTH(MIN(IF($E204="",TODAY()-8,$E204),TODAY()-8))-MONTH($D204)+IF(MIN(IF($E204="",TODAY()-8,$E204),TODAY()-8)&gt;=EOMONTH(MIN(IF($E204="",TODAY()-8,$E204),TODAY()-8),0),1,0)),MAX(0,INT((MIN(IF($E204="",TODAY()-8,$E204),TODAY()-8)-($D204+MOD(SISTEM!$F$8-WEEKDAY($D204,2),7)))/7)+1)))</f>
        <v/>
      </c>
      <c r="K204" s="222">
        <f>IF(OR($C204="",$D204="",$G204="",$F204=""),0,$G204*IF($F204="Aylık",MAX(0,(YEAR(MIN(IF($E204="",TODAY()-15,$E204),TODAY()-15))-YEAR($D204))*12+MONTH(MIN(IF($E204="",TODAY()-15,$E204),TODAY()-15))-MONTH($D204)+IF(MIN(IF($E204="",TODAY()-15,$E204),TODAY()-15)&gt;=EOMONTH(MIN(IF($E204="",TODAY()-15,$E204),TODAY()-15),0),1,0)),MAX(0,INT((MIN(IF($E204="",TODAY()-15,$E204),TODAY()-15)-($D204+MOD(SISTEM!$F$8-WEEKDAY($D204,2),7)))/7)+1)))</f>
        <v/>
      </c>
      <c r="L204" s="222">
        <f>IF(OR($C204="",$D204="",$G204="",$F204=""),0,$G204*IF($F204="Aylık",MAX(0,(YEAR(MIN(IF($E204="",TODAY()-29,$E204),TODAY()-29))-YEAR($D204))*12+MONTH(MIN(IF($E204="",TODAY()-29,$E204),TODAY()-29))-MONTH($D204)+IF(MIN(IF($E204="",TODAY()-29,$E204),TODAY()-29)&gt;=EOMONTH(MIN(IF($E204="",TODAY()-29,$E204),TODAY()-29),0),1,0)),MAX(0,INT((MIN(IF($E204="",TODAY()-29,$E204),TODAY()-29)-($D204+MOD(SISTEM!$F$8-WEEKDAY($D204,2),7)))/7)+1)))</f>
        <v/>
      </c>
      <c r="M204" s="223">
        <f>IF($G204&gt;0,$I204/$G204,0)</f>
        <v/>
      </c>
      <c r="N204" s="113">
        <f>IF($C204="","",IF($B204="TANIMSIZ MÜŞTERİ","TANIMSIZ MÜŞTERİ",IF($F204="","MODEL SEÇİN",IF(OR($D204="",$G204&lt;=0),"EKSİK",IF(AND($E204&lt;&gt;"",$E204&lt;$D204),"TARİH HATASI",IF($H204="Pasif","KAPALI DÖNEM","UYGUN"))))))</f>
        <v/>
      </c>
      <c r="O204" s="224">
        <f>IF(OR($C204="",$D204="",$F204=""),"",IF($F204="Aylık",EOMONTH($D204,0),($D204+MOD(SISTEM!$F$8-WEEKDAY($D204,2),7))))</f>
        <v/>
      </c>
      <c r="P204" s="109" t="n"/>
      <c r="Q204" s="6" t="n"/>
      <c r="R204" s="6" t="n"/>
      <c r="S204" s="3">
        <f>IF($B204="","",$B204&amp;"|"&amp;COUNTIFS($B$7:$B204,$B204))</f>
        <v/>
      </c>
      <c r="T204" s="3">
        <f>IF($C204="","",UPPER(SUBSTITUTE(SUBSTITUTE(SUBSTITUTE(SUBSTITUTE(SUBSTITUTE(SUBSTITUTE(SUBSTITUTE(SUBSTITUTE(SUBSTITUTE(SUBSTITUTE(SUBSTITUTE(SUBSTITUTE(SUBSTITUTE(SUBSTITUTE(SUBSTITUTE(SUBSTITUTE(SUBSTITUTE(SUBSTITUTE(TRIM($C204),"'",""),"İ","I"),"ı","I"),"i","I"),"Ş","S"),"ş","S"),"Ğ","G"),"ğ","G"),"Ü","U"),"ü","U"),"Ö","O"),"ö","O"),"Ç","C"),"ç","C"),".",""),",","")," ",""),"-","")))</f>
        <v/>
      </c>
    </row>
    <row r="205">
      <c r="A205" s="6" t="n"/>
      <c r="B205" s="113">
        <f>IF($C205="","",IFERROR(INDEX(MUSTERILER!$B$7:$B$106,MATCH($T205,MUSTERILER!$T$7:$T$106,0)),IFERROR(INDEX(MUSTERILER!$B$7:$B$106,MATCH($C205,MUSTERILER!$B$7:$B$106,0)),IFERROR(INDEX(MUSTERILER!$B$7:$B$106,MATCH($T205&amp;"*",MUSTERILER!$T$7:$T$106,0)),"TANIMSIZ MÜŞTERİ"))))</f>
        <v/>
      </c>
      <c r="C205" s="109" t="n"/>
      <c r="D205" s="220" t="n"/>
      <c r="E205" s="220" t="n"/>
      <c r="F205" s="108" t="n"/>
      <c r="G205" s="221" t="n"/>
      <c r="H205" s="108" t="n"/>
      <c r="I205" s="222">
        <f>IF(OR($C205="",$D205="",$G205="",$F205=""),0,$G205*IF($F205="Aylık",MAX(0,(YEAR(MIN(IF($E205="",TODAY(),$E205),TODAY()))-YEAR($D205))*12+MONTH(MIN(IF($E205="",TODAY(),$E205),TODAY()))-MONTH($D205)+IF(MIN(IF($E205="",TODAY(),$E205),TODAY())&gt;=EOMONTH(MIN(IF($E205="",TODAY(),$E205),TODAY()),0),1,0)),MAX(0,INT((MIN(IF($E205="",TODAY(),$E205),TODAY())-($D205+MOD(SISTEM!$F$8-WEEKDAY($D205,2),7)))/7)+1)))</f>
        <v/>
      </c>
      <c r="J205" s="222">
        <f>IF(OR($C205="",$D205="",$G205="",$F205=""),0,$G205*IF($F205="Aylık",MAX(0,(YEAR(MIN(IF($E205="",TODAY()-8,$E205),TODAY()-8))-YEAR($D205))*12+MONTH(MIN(IF($E205="",TODAY()-8,$E205),TODAY()-8))-MONTH($D205)+IF(MIN(IF($E205="",TODAY()-8,$E205),TODAY()-8)&gt;=EOMONTH(MIN(IF($E205="",TODAY()-8,$E205),TODAY()-8),0),1,0)),MAX(0,INT((MIN(IF($E205="",TODAY()-8,$E205),TODAY()-8)-($D205+MOD(SISTEM!$F$8-WEEKDAY($D205,2),7)))/7)+1)))</f>
        <v/>
      </c>
      <c r="K205" s="222">
        <f>IF(OR($C205="",$D205="",$G205="",$F205=""),0,$G205*IF($F205="Aylık",MAX(0,(YEAR(MIN(IF($E205="",TODAY()-15,$E205),TODAY()-15))-YEAR($D205))*12+MONTH(MIN(IF($E205="",TODAY()-15,$E205),TODAY()-15))-MONTH($D205)+IF(MIN(IF($E205="",TODAY()-15,$E205),TODAY()-15)&gt;=EOMONTH(MIN(IF($E205="",TODAY()-15,$E205),TODAY()-15),0),1,0)),MAX(0,INT((MIN(IF($E205="",TODAY()-15,$E205),TODAY()-15)-($D205+MOD(SISTEM!$F$8-WEEKDAY($D205,2),7)))/7)+1)))</f>
        <v/>
      </c>
      <c r="L205" s="222">
        <f>IF(OR($C205="",$D205="",$G205="",$F205=""),0,$G205*IF($F205="Aylık",MAX(0,(YEAR(MIN(IF($E205="",TODAY()-29,$E205),TODAY()-29))-YEAR($D205))*12+MONTH(MIN(IF($E205="",TODAY()-29,$E205),TODAY()-29))-MONTH($D205)+IF(MIN(IF($E205="",TODAY()-29,$E205),TODAY()-29)&gt;=EOMONTH(MIN(IF($E205="",TODAY()-29,$E205),TODAY()-29),0),1,0)),MAX(0,INT((MIN(IF($E205="",TODAY()-29,$E205),TODAY()-29)-($D205+MOD(SISTEM!$F$8-WEEKDAY($D205,2),7)))/7)+1)))</f>
        <v/>
      </c>
      <c r="M205" s="223">
        <f>IF($G205&gt;0,$I205/$G205,0)</f>
        <v/>
      </c>
      <c r="N205" s="113">
        <f>IF($C205="","",IF($B205="TANIMSIZ MÜŞTERİ","TANIMSIZ MÜŞTERİ",IF($F205="","MODEL SEÇİN",IF(OR($D205="",$G205&lt;=0),"EKSİK",IF(AND($E205&lt;&gt;"",$E205&lt;$D205),"TARİH HATASI",IF($H205="Pasif","KAPALI DÖNEM","UYGUN"))))))</f>
        <v/>
      </c>
      <c r="O205" s="224">
        <f>IF(OR($C205="",$D205="",$F205=""),"",IF($F205="Aylık",EOMONTH($D205,0),($D205+MOD(SISTEM!$F$8-WEEKDAY($D205,2),7))))</f>
        <v/>
      </c>
      <c r="P205" s="109" t="n"/>
      <c r="Q205" s="6" t="n"/>
      <c r="R205" s="6" t="n"/>
      <c r="S205" s="3">
        <f>IF($B205="","",$B205&amp;"|"&amp;COUNTIFS($B$7:$B205,$B205))</f>
        <v/>
      </c>
      <c r="T205" s="3">
        <f>IF($C205="","",UPPER(SUBSTITUTE(SUBSTITUTE(SUBSTITUTE(SUBSTITUTE(SUBSTITUTE(SUBSTITUTE(SUBSTITUTE(SUBSTITUTE(SUBSTITUTE(SUBSTITUTE(SUBSTITUTE(SUBSTITUTE(SUBSTITUTE(SUBSTITUTE(SUBSTITUTE(SUBSTITUTE(SUBSTITUTE(SUBSTITUTE(TRIM($C205),"'",""),"İ","I"),"ı","I"),"i","I"),"Ş","S"),"ş","S"),"Ğ","G"),"ğ","G"),"Ü","U"),"ü","U"),"Ö","O"),"ö","O"),"Ç","C"),"ç","C"),".",""),",","")," ",""),"-","")))</f>
        <v/>
      </c>
    </row>
    <row r="206">
      <c r="A206" s="6" t="n"/>
      <c r="B206" s="113">
        <f>IF($C206="","",IFERROR(INDEX(MUSTERILER!$B$7:$B$106,MATCH($T206,MUSTERILER!$T$7:$T$106,0)),IFERROR(INDEX(MUSTERILER!$B$7:$B$106,MATCH($C206,MUSTERILER!$B$7:$B$106,0)),IFERROR(INDEX(MUSTERILER!$B$7:$B$106,MATCH($T206&amp;"*",MUSTERILER!$T$7:$T$106,0)),"TANIMSIZ MÜŞTERİ"))))</f>
        <v/>
      </c>
      <c r="C206" s="109" t="n"/>
      <c r="D206" s="220" t="n"/>
      <c r="E206" s="220" t="n"/>
      <c r="F206" s="108" t="n"/>
      <c r="G206" s="221" t="n"/>
      <c r="H206" s="108" t="n"/>
      <c r="I206" s="222">
        <f>IF(OR($C206="",$D206="",$G206="",$F206=""),0,$G206*IF($F206="Aylık",MAX(0,(YEAR(MIN(IF($E206="",TODAY(),$E206),TODAY()))-YEAR($D206))*12+MONTH(MIN(IF($E206="",TODAY(),$E206),TODAY()))-MONTH($D206)+IF(MIN(IF($E206="",TODAY(),$E206),TODAY())&gt;=EOMONTH(MIN(IF($E206="",TODAY(),$E206),TODAY()),0),1,0)),MAX(0,INT((MIN(IF($E206="",TODAY(),$E206),TODAY())-($D206+MOD(SISTEM!$F$8-WEEKDAY($D206,2),7)))/7)+1)))</f>
        <v/>
      </c>
      <c r="J206" s="222">
        <f>IF(OR($C206="",$D206="",$G206="",$F206=""),0,$G206*IF($F206="Aylık",MAX(0,(YEAR(MIN(IF($E206="",TODAY()-8,$E206),TODAY()-8))-YEAR($D206))*12+MONTH(MIN(IF($E206="",TODAY()-8,$E206),TODAY()-8))-MONTH($D206)+IF(MIN(IF($E206="",TODAY()-8,$E206),TODAY()-8)&gt;=EOMONTH(MIN(IF($E206="",TODAY()-8,$E206),TODAY()-8),0),1,0)),MAX(0,INT((MIN(IF($E206="",TODAY()-8,$E206),TODAY()-8)-($D206+MOD(SISTEM!$F$8-WEEKDAY($D206,2),7)))/7)+1)))</f>
        <v/>
      </c>
      <c r="K206" s="222">
        <f>IF(OR($C206="",$D206="",$G206="",$F206=""),0,$G206*IF($F206="Aylık",MAX(0,(YEAR(MIN(IF($E206="",TODAY()-15,$E206),TODAY()-15))-YEAR($D206))*12+MONTH(MIN(IF($E206="",TODAY()-15,$E206),TODAY()-15))-MONTH($D206)+IF(MIN(IF($E206="",TODAY()-15,$E206),TODAY()-15)&gt;=EOMONTH(MIN(IF($E206="",TODAY()-15,$E206),TODAY()-15),0),1,0)),MAX(0,INT((MIN(IF($E206="",TODAY()-15,$E206),TODAY()-15)-($D206+MOD(SISTEM!$F$8-WEEKDAY($D206,2),7)))/7)+1)))</f>
        <v/>
      </c>
      <c r="L206" s="222">
        <f>IF(OR($C206="",$D206="",$G206="",$F206=""),0,$G206*IF($F206="Aylık",MAX(0,(YEAR(MIN(IF($E206="",TODAY()-29,$E206),TODAY()-29))-YEAR($D206))*12+MONTH(MIN(IF($E206="",TODAY()-29,$E206),TODAY()-29))-MONTH($D206)+IF(MIN(IF($E206="",TODAY()-29,$E206),TODAY()-29)&gt;=EOMONTH(MIN(IF($E206="",TODAY()-29,$E206),TODAY()-29),0),1,0)),MAX(0,INT((MIN(IF($E206="",TODAY()-29,$E206),TODAY()-29)-($D206+MOD(SISTEM!$F$8-WEEKDAY($D206,2),7)))/7)+1)))</f>
        <v/>
      </c>
      <c r="M206" s="223">
        <f>IF($G206&gt;0,$I206/$G206,0)</f>
        <v/>
      </c>
      <c r="N206" s="113">
        <f>IF($C206="","",IF($B206="TANIMSIZ MÜŞTERİ","TANIMSIZ MÜŞTERİ",IF($F206="","MODEL SEÇİN",IF(OR($D206="",$G206&lt;=0),"EKSİK",IF(AND($E206&lt;&gt;"",$E206&lt;$D206),"TARİH HATASI",IF($H206="Pasif","KAPALI DÖNEM","UYGUN"))))))</f>
        <v/>
      </c>
      <c r="O206" s="224">
        <f>IF(OR($C206="",$D206="",$F206=""),"",IF($F206="Aylık",EOMONTH($D206,0),($D206+MOD(SISTEM!$F$8-WEEKDAY($D206,2),7))))</f>
        <v/>
      </c>
      <c r="P206" s="109" t="n"/>
      <c r="Q206" s="6" t="n"/>
      <c r="R206" s="6" t="n"/>
      <c r="S206" s="3">
        <f>IF($B206="","",$B206&amp;"|"&amp;COUNTIFS($B$7:$B206,$B206))</f>
        <v/>
      </c>
      <c r="T206" s="3">
        <f>IF($C206="","",UPPER(SUBSTITUTE(SUBSTITUTE(SUBSTITUTE(SUBSTITUTE(SUBSTITUTE(SUBSTITUTE(SUBSTITUTE(SUBSTITUTE(SUBSTITUTE(SUBSTITUTE(SUBSTITUTE(SUBSTITUTE(SUBSTITUTE(SUBSTITUTE(SUBSTITUTE(SUBSTITUTE(SUBSTITUTE(SUBSTITUTE(TRIM($C206),"'",""),"İ","I"),"ı","I"),"i","I"),"Ş","S"),"ş","S"),"Ğ","G"),"ğ","G"),"Ü","U"),"ü","U"),"Ö","O"),"ö","O"),"Ç","C"),"ç","C"),".",""),",","")," ",""),"-","")))</f>
        <v/>
      </c>
    </row>
    <row r="207">
      <c r="A207" s="6" t="n"/>
      <c r="B207" s="113">
        <f>IF($C207="","",IFERROR(INDEX(MUSTERILER!$B$7:$B$106,MATCH($T207,MUSTERILER!$T$7:$T$106,0)),IFERROR(INDEX(MUSTERILER!$B$7:$B$106,MATCH($C207,MUSTERILER!$B$7:$B$106,0)),IFERROR(INDEX(MUSTERILER!$B$7:$B$106,MATCH($T207&amp;"*",MUSTERILER!$T$7:$T$106,0)),"TANIMSIZ MÜŞTERİ"))))</f>
        <v/>
      </c>
      <c r="C207" s="109" t="n"/>
      <c r="D207" s="220" t="n"/>
      <c r="E207" s="220" t="n"/>
      <c r="F207" s="108" t="n"/>
      <c r="G207" s="221" t="n"/>
      <c r="H207" s="108" t="n"/>
      <c r="I207" s="222">
        <f>IF(OR($C207="",$D207="",$G207="",$F207=""),0,$G207*IF($F207="Aylık",MAX(0,(YEAR(MIN(IF($E207="",TODAY(),$E207),TODAY()))-YEAR($D207))*12+MONTH(MIN(IF($E207="",TODAY(),$E207),TODAY()))-MONTH($D207)+IF(MIN(IF($E207="",TODAY(),$E207),TODAY())&gt;=EOMONTH(MIN(IF($E207="",TODAY(),$E207),TODAY()),0),1,0)),MAX(0,INT((MIN(IF($E207="",TODAY(),$E207),TODAY())-($D207+MOD(SISTEM!$F$8-WEEKDAY($D207,2),7)))/7)+1)))</f>
        <v/>
      </c>
      <c r="J207" s="222">
        <f>IF(OR($C207="",$D207="",$G207="",$F207=""),0,$G207*IF($F207="Aylık",MAX(0,(YEAR(MIN(IF($E207="",TODAY()-8,$E207),TODAY()-8))-YEAR($D207))*12+MONTH(MIN(IF($E207="",TODAY()-8,$E207),TODAY()-8))-MONTH($D207)+IF(MIN(IF($E207="",TODAY()-8,$E207),TODAY()-8)&gt;=EOMONTH(MIN(IF($E207="",TODAY()-8,$E207),TODAY()-8),0),1,0)),MAX(0,INT((MIN(IF($E207="",TODAY()-8,$E207),TODAY()-8)-($D207+MOD(SISTEM!$F$8-WEEKDAY($D207,2),7)))/7)+1)))</f>
        <v/>
      </c>
      <c r="K207" s="222">
        <f>IF(OR($C207="",$D207="",$G207="",$F207=""),0,$G207*IF($F207="Aylık",MAX(0,(YEAR(MIN(IF($E207="",TODAY()-15,$E207),TODAY()-15))-YEAR($D207))*12+MONTH(MIN(IF($E207="",TODAY()-15,$E207),TODAY()-15))-MONTH($D207)+IF(MIN(IF($E207="",TODAY()-15,$E207),TODAY()-15)&gt;=EOMONTH(MIN(IF($E207="",TODAY()-15,$E207),TODAY()-15),0),1,0)),MAX(0,INT((MIN(IF($E207="",TODAY()-15,$E207),TODAY()-15)-($D207+MOD(SISTEM!$F$8-WEEKDAY($D207,2),7)))/7)+1)))</f>
        <v/>
      </c>
      <c r="L207" s="222">
        <f>IF(OR($C207="",$D207="",$G207="",$F207=""),0,$G207*IF($F207="Aylık",MAX(0,(YEAR(MIN(IF($E207="",TODAY()-29,$E207),TODAY()-29))-YEAR($D207))*12+MONTH(MIN(IF($E207="",TODAY()-29,$E207),TODAY()-29))-MONTH($D207)+IF(MIN(IF($E207="",TODAY()-29,$E207),TODAY()-29)&gt;=EOMONTH(MIN(IF($E207="",TODAY()-29,$E207),TODAY()-29),0),1,0)),MAX(0,INT((MIN(IF($E207="",TODAY()-29,$E207),TODAY()-29)-($D207+MOD(SISTEM!$F$8-WEEKDAY($D207,2),7)))/7)+1)))</f>
        <v/>
      </c>
      <c r="M207" s="223">
        <f>IF($G207&gt;0,$I207/$G207,0)</f>
        <v/>
      </c>
      <c r="N207" s="113">
        <f>IF($C207="","",IF($B207="TANIMSIZ MÜŞTERİ","TANIMSIZ MÜŞTERİ",IF($F207="","MODEL SEÇİN",IF(OR($D207="",$G207&lt;=0),"EKSİK",IF(AND($E207&lt;&gt;"",$E207&lt;$D207),"TARİH HATASI",IF($H207="Pasif","KAPALI DÖNEM","UYGUN"))))))</f>
        <v/>
      </c>
      <c r="O207" s="224">
        <f>IF(OR($C207="",$D207="",$F207=""),"",IF($F207="Aylık",EOMONTH($D207,0),($D207+MOD(SISTEM!$F$8-WEEKDAY($D207,2),7))))</f>
        <v/>
      </c>
      <c r="P207" s="109" t="n"/>
      <c r="Q207" s="6" t="n"/>
      <c r="R207" s="6" t="n"/>
      <c r="S207" s="3">
        <f>IF($B207="","",$B207&amp;"|"&amp;COUNTIFS($B$7:$B207,$B207))</f>
        <v/>
      </c>
      <c r="T207" s="3">
        <f>IF($C207="","",UPPER(SUBSTITUTE(SUBSTITUTE(SUBSTITUTE(SUBSTITUTE(SUBSTITUTE(SUBSTITUTE(SUBSTITUTE(SUBSTITUTE(SUBSTITUTE(SUBSTITUTE(SUBSTITUTE(SUBSTITUTE(SUBSTITUTE(SUBSTITUTE(SUBSTITUTE(SUBSTITUTE(SUBSTITUTE(SUBSTITUTE(TRIM($C207),"'",""),"İ","I"),"ı","I"),"i","I"),"Ş","S"),"ş","S"),"Ğ","G"),"ğ","G"),"Ü","U"),"ü","U"),"Ö","O"),"ö","O"),"Ç","C"),"ç","C"),".",""),",","")," ",""),"-","")))</f>
        <v/>
      </c>
    </row>
    <row r="208">
      <c r="A208" s="6" t="n"/>
      <c r="B208" s="113">
        <f>IF($C208="","",IFERROR(INDEX(MUSTERILER!$B$7:$B$106,MATCH($T208,MUSTERILER!$T$7:$T$106,0)),IFERROR(INDEX(MUSTERILER!$B$7:$B$106,MATCH($C208,MUSTERILER!$B$7:$B$106,0)),IFERROR(INDEX(MUSTERILER!$B$7:$B$106,MATCH($T208&amp;"*",MUSTERILER!$T$7:$T$106,0)),"TANIMSIZ MÜŞTERİ"))))</f>
        <v/>
      </c>
      <c r="C208" s="109" t="n"/>
      <c r="D208" s="220" t="n"/>
      <c r="E208" s="220" t="n"/>
      <c r="F208" s="108" t="n"/>
      <c r="G208" s="221" t="n"/>
      <c r="H208" s="108" t="n"/>
      <c r="I208" s="222">
        <f>IF(OR($C208="",$D208="",$G208="",$F208=""),0,$G208*IF($F208="Aylık",MAX(0,(YEAR(MIN(IF($E208="",TODAY(),$E208),TODAY()))-YEAR($D208))*12+MONTH(MIN(IF($E208="",TODAY(),$E208),TODAY()))-MONTH($D208)+IF(MIN(IF($E208="",TODAY(),$E208),TODAY())&gt;=EOMONTH(MIN(IF($E208="",TODAY(),$E208),TODAY()),0),1,0)),MAX(0,INT((MIN(IF($E208="",TODAY(),$E208),TODAY())-($D208+MOD(SISTEM!$F$8-WEEKDAY($D208,2),7)))/7)+1)))</f>
        <v/>
      </c>
      <c r="J208" s="222">
        <f>IF(OR($C208="",$D208="",$G208="",$F208=""),0,$G208*IF($F208="Aylık",MAX(0,(YEAR(MIN(IF($E208="",TODAY()-8,$E208),TODAY()-8))-YEAR($D208))*12+MONTH(MIN(IF($E208="",TODAY()-8,$E208),TODAY()-8))-MONTH($D208)+IF(MIN(IF($E208="",TODAY()-8,$E208),TODAY()-8)&gt;=EOMONTH(MIN(IF($E208="",TODAY()-8,$E208),TODAY()-8),0),1,0)),MAX(0,INT((MIN(IF($E208="",TODAY()-8,$E208),TODAY()-8)-($D208+MOD(SISTEM!$F$8-WEEKDAY($D208,2),7)))/7)+1)))</f>
        <v/>
      </c>
      <c r="K208" s="222">
        <f>IF(OR($C208="",$D208="",$G208="",$F208=""),0,$G208*IF($F208="Aylık",MAX(0,(YEAR(MIN(IF($E208="",TODAY()-15,$E208),TODAY()-15))-YEAR($D208))*12+MONTH(MIN(IF($E208="",TODAY()-15,$E208),TODAY()-15))-MONTH($D208)+IF(MIN(IF($E208="",TODAY()-15,$E208),TODAY()-15)&gt;=EOMONTH(MIN(IF($E208="",TODAY()-15,$E208),TODAY()-15),0),1,0)),MAX(0,INT((MIN(IF($E208="",TODAY()-15,$E208),TODAY()-15)-($D208+MOD(SISTEM!$F$8-WEEKDAY($D208,2),7)))/7)+1)))</f>
        <v/>
      </c>
      <c r="L208" s="222">
        <f>IF(OR($C208="",$D208="",$G208="",$F208=""),0,$G208*IF($F208="Aylık",MAX(0,(YEAR(MIN(IF($E208="",TODAY()-29,$E208),TODAY()-29))-YEAR($D208))*12+MONTH(MIN(IF($E208="",TODAY()-29,$E208),TODAY()-29))-MONTH($D208)+IF(MIN(IF($E208="",TODAY()-29,$E208),TODAY()-29)&gt;=EOMONTH(MIN(IF($E208="",TODAY()-29,$E208),TODAY()-29),0),1,0)),MAX(0,INT((MIN(IF($E208="",TODAY()-29,$E208),TODAY()-29)-($D208+MOD(SISTEM!$F$8-WEEKDAY($D208,2),7)))/7)+1)))</f>
        <v/>
      </c>
      <c r="M208" s="223">
        <f>IF($G208&gt;0,$I208/$G208,0)</f>
        <v/>
      </c>
      <c r="N208" s="113">
        <f>IF($C208="","",IF($B208="TANIMSIZ MÜŞTERİ","TANIMSIZ MÜŞTERİ",IF($F208="","MODEL SEÇİN",IF(OR($D208="",$G208&lt;=0),"EKSİK",IF(AND($E208&lt;&gt;"",$E208&lt;$D208),"TARİH HATASI",IF($H208="Pasif","KAPALI DÖNEM","UYGUN"))))))</f>
        <v/>
      </c>
      <c r="O208" s="224">
        <f>IF(OR($C208="",$D208="",$F208=""),"",IF($F208="Aylık",EOMONTH($D208,0),($D208+MOD(SISTEM!$F$8-WEEKDAY($D208,2),7))))</f>
        <v/>
      </c>
      <c r="P208" s="109" t="n"/>
      <c r="Q208" s="6" t="n"/>
      <c r="R208" s="6" t="n"/>
      <c r="S208" s="3">
        <f>IF($B208="","",$B208&amp;"|"&amp;COUNTIFS($B$7:$B208,$B208))</f>
        <v/>
      </c>
      <c r="T208" s="3">
        <f>IF($C208="","",UPPER(SUBSTITUTE(SUBSTITUTE(SUBSTITUTE(SUBSTITUTE(SUBSTITUTE(SUBSTITUTE(SUBSTITUTE(SUBSTITUTE(SUBSTITUTE(SUBSTITUTE(SUBSTITUTE(SUBSTITUTE(SUBSTITUTE(SUBSTITUTE(SUBSTITUTE(SUBSTITUTE(SUBSTITUTE(SUBSTITUTE(TRIM($C208),"'",""),"İ","I"),"ı","I"),"i","I"),"Ş","S"),"ş","S"),"Ğ","G"),"ğ","G"),"Ü","U"),"ü","U"),"Ö","O"),"ö","O"),"Ç","C"),"ç","C"),".",""),",","")," ",""),"-","")))</f>
        <v/>
      </c>
    </row>
    <row r="209">
      <c r="A209" s="6" t="n"/>
      <c r="B209" s="113">
        <f>IF($C209="","",IFERROR(INDEX(MUSTERILER!$B$7:$B$106,MATCH($T209,MUSTERILER!$T$7:$T$106,0)),IFERROR(INDEX(MUSTERILER!$B$7:$B$106,MATCH($C209,MUSTERILER!$B$7:$B$106,0)),IFERROR(INDEX(MUSTERILER!$B$7:$B$106,MATCH($T209&amp;"*",MUSTERILER!$T$7:$T$106,0)),"TANIMSIZ MÜŞTERİ"))))</f>
        <v/>
      </c>
      <c r="C209" s="109" t="n"/>
      <c r="D209" s="220" t="n"/>
      <c r="E209" s="220" t="n"/>
      <c r="F209" s="108" t="n"/>
      <c r="G209" s="221" t="n"/>
      <c r="H209" s="108" t="n"/>
      <c r="I209" s="222">
        <f>IF(OR($C209="",$D209="",$G209="",$F209=""),0,$G209*IF($F209="Aylık",MAX(0,(YEAR(MIN(IF($E209="",TODAY(),$E209),TODAY()))-YEAR($D209))*12+MONTH(MIN(IF($E209="",TODAY(),$E209),TODAY()))-MONTH($D209)+IF(MIN(IF($E209="",TODAY(),$E209),TODAY())&gt;=EOMONTH(MIN(IF($E209="",TODAY(),$E209),TODAY()),0),1,0)),MAX(0,INT((MIN(IF($E209="",TODAY(),$E209),TODAY())-($D209+MOD(SISTEM!$F$8-WEEKDAY($D209,2),7)))/7)+1)))</f>
        <v/>
      </c>
      <c r="J209" s="222">
        <f>IF(OR($C209="",$D209="",$G209="",$F209=""),0,$G209*IF($F209="Aylık",MAX(0,(YEAR(MIN(IF($E209="",TODAY()-8,$E209),TODAY()-8))-YEAR($D209))*12+MONTH(MIN(IF($E209="",TODAY()-8,$E209),TODAY()-8))-MONTH($D209)+IF(MIN(IF($E209="",TODAY()-8,$E209),TODAY()-8)&gt;=EOMONTH(MIN(IF($E209="",TODAY()-8,$E209),TODAY()-8),0),1,0)),MAX(0,INT((MIN(IF($E209="",TODAY()-8,$E209),TODAY()-8)-($D209+MOD(SISTEM!$F$8-WEEKDAY($D209,2),7)))/7)+1)))</f>
        <v/>
      </c>
      <c r="K209" s="222">
        <f>IF(OR($C209="",$D209="",$G209="",$F209=""),0,$G209*IF($F209="Aylık",MAX(0,(YEAR(MIN(IF($E209="",TODAY()-15,$E209),TODAY()-15))-YEAR($D209))*12+MONTH(MIN(IF($E209="",TODAY()-15,$E209),TODAY()-15))-MONTH($D209)+IF(MIN(IF($E209="",TODAY()-15,$E209),TODAY()-15)&gt;=EOMONTH(MIN(IF($E209="",TODAY()-15,$E209),TODAY()-15),0),1,0)),MAX(0,INT((MIN(IF($E209="",TODAY()-15,$E209),TODAY()-15)-($D209+MOD(SISTEM!$F$8-WEEKDAY($D209,2),7)))/7)+1)))</f>
        <v/>
      </c>
      <c r="L209" s="222">
        <f>IF(OR($C209="",$D209="",$G209="",$F209=""),0,$G209*IF($F209="Aylık",MAX(0,(YEAR(MIN(IF($E209="",TODAY()-29,$E209),TODAY()-29))-YEAR($D209))*12+MONTH(MIN(IF($E209="",TODAY()-29,$E209),TODAY()-29))-MONTH($D209)+IF(MIN(IF($E209="",TODAY()-29,$E209),TODAY()-29)&gt;=EOMONTH(MIN(IF($E209="",TODAY()-29,$E209),TODAY()-29),0),1,0)),MAX(0,INT((MIN(IF($E209="",TODAY()-29,$E209),TODAY()-29)-($D209+MOD(SISTEM!$F$8-WEEKDAY($D209,2),7)))/7)+1)))</f>
        <v/>
      </c>
      <c r="M209" s="223">
        <f>IF($G209&gt;0,$I209/$G209,0)</f>
        <v/>
      </c>
      <c r="N209" s="113">
        <f>IF($C209="","",IF($B209="TANIMSIZ MÜŞTERİ","TANIMSIZ MÜŞTERİ",IF($F209="","MODEL SEÇİN",IF(OR($D209="",$G209&lt;=0),"EKSİK",IF(AND($E209&lt;&gt;"",$E209&lt;$D209),"TARİH HATASI",IF($H209="Pasif","KAPALI DÖNEM","UYGUN"))))))</f>
        <v/>
      </c>
      <c r="O209" s="224">
        <f>IF(OR($C209="",$D209="",$F209=""),"",IF($F209="Aylık",EOMONTH($D209,0),($D209+MOD(SISTEM!$F$8-WEEKDAY($D209,2),7))))</f>
        <v/>
      </c>
      <c r="P209" s="109" t="n"/>
      <c r="Q209" s="6" t="n"/>
      <c r="R209" s="6" t="n"/>
      <c r="S209" s="3">
        <f>IF($B209="","",$B209&amp;"|"&amp;COUNTIFS($B$7:$B209,$B209))</f>
        <v/>
      </c>
      <c r="T209" s="3">
        <f>IF($C209="","",UPPER(SUBSTITUTE(SUBSTITUTE(SUBSTITUTE(SUBSTITUTE(SUBSTITUTE(SUBSTITUTE(SUBSTITUTE(SUBSTITUTE(SUBSTITUTE(SUBSTITUTE(SUBSTITUTE(SUBSTITUTE(SUBSTITUTE(SUBSTITUTE(SUBSTITUTE(SUBSTITUTE(SUBSTITUTE(SUBSTITUTE(TRIM($C209),"'",""),"İ","I"),"ı","I"),"i","I"),"Ş","S"),"ş","S"),"Ğ","G"),"ğ","G"),"Ü","U"),"ü","U"),"Ö","O"),"ö","O"),"Ç","C"),"ç","C"),".",""),",","")," ",""),"-","")))</f>
        <v/>
      </c>
    </row>
    <row r="210">
      <c r="A210" s="6" t="n"/>
      <c r="B210" s="113">
        <f>IF($C210="","",IFERROR(INDEX(MUSTERILER!$B$7:$B$106,MATCH($T210,MUSTERILER!$T$7:$T$106,0)),IFERROR(INDEX(MUSTERILER!$B$7:$B$106,MATCH($C210,MUSTERILER!$B$7:$B$106,0)),IFERROR(INDEX(MUSTERILER!$B$7:$B$106,MATCH($T210&amp;"*",MUSTERILER!$T$7:$T$106,0)),"TANIMSIZ MÜŞTERİ"))))</f>
        <v/>
      </c>
      <c r="C210" s="109" t="n"/>
      <c r="D210" s="220" t="n"/>
      <c r="E210" s="220" t="n"/>
      <c r="F210" s="108" t="n"/>
      <c r="G210" s="221" t="n"/>
      <c r="H210" s="108" t="n"/>
      <c r="I210" s="222">
        <f>IF(OR($C210="",$D210="",$G210="",$F210=""),0,$G210*IF($F210="Aylık",MAX(0,(YEAR(MIN(IF($E210="",TODAY(),$E210),TODAY()))-YEAR($D210))*12+MONTH(MIN(IF($E210="",TODAY(),$E210),TODAY()))-MONTH($D210)+IF(MIN(IF($E210="",TODAY(),$E210),TODAY())&gt;=EOMONTH(MIN(IF($E210="",TODAY(),$E210),TODAY()),0),1,0)),MAX(0,INT((MIN(IF($E210="",TODAY(),$E210),TODAY())-($D210+MOD(SISTEM!$F$8-WEEKDAY($D210,2),7)))/7)+1)))</f>
        <v/>
      </c>
      <c r="J210" s="222">
        <f>IF(OR($C210="",$D210="",$G210="",$F210=""),0,$G210*IF($F210="Aylık",MAX(0,(YEAR(MIN(IF($E210="",TODAY()-8,$E210),TODAY()-8))-YEAR($D210))*12+MONTH(MIN(IF($E210="",TODAY()-8,$E210),TODAY()-8))-MONTH($D210)+IF(MIN(IF($E210="",TODAY()-8,$E210),TODAY()-8)&gt;=EOMONTH(MIN(IF($E210="",TODAY()-8,$E210),TODAY()-8),0),1,0)),MAX(0,INT((MIN(IF($E210="",TODAY()-8,$E210),TODAY()-8)-($D210+MOD(SISTEM!$F$8-WEEKDAY($D210,2),7)))/7)+1)))</f>
        <v/>
      </c>
      <c r="K210" s="222">
        <f>IF(OR($C210="",$D210="",$G210="",$F210=""),0,$G210*IF($F210="Aylık",MAX(0,(YEAR(MIN(IF($E210="",TODAY()-15,$E210),TODAY()-15))-YEAR($D210))*12+MONTH(MIN(IF($E210="",TODAY()-15,$E210),TODAY()-15))-MONTH($D210)+IF(MIN(IF($E210="",TODAY()-15,$E210),TODAY()-15)&gt;=EOMONTH(MIN(IF($E210="",TODAY()-15,$E210),TODAY()-15),0),1,0)),MAX(0,INT((MIN(IF($E210="",TODAY()-15,$E210),TODAY()-15)-($D210+MOD(SISTEM!$F$8-WEEKDAY($D210,2),7)))/7)+1)))</f>
        <v/>
      </c>
      <c r="L210" s="222">
        <f>IF(OR($C210="",$D210="",$G210="",$F210=""),0,$G210*IF($F210="Aylık",MAX(0,(YEAR(MIN(IF($E210="",TODAY()-29,$E210),TODAY()-29))-YEAR($D210))*12+MONTH(MIN(IF($E210="",TODAY()-29,$E210),TODAY()-29))-MONTH($D210)+IF(MIN(IF($E210="",TODAY()-29,$E210),TODAY()-29)&gt;=EOMONTH(MIN(IF($E210="",TODAY()-29,$E210),TODAY()-29),0),1,0)),MAX(0,INT((MIN(IF($E210="",TODAY()-29,$E210),TODAY()-29)-($D210+MOD(SISTEM!$F$8-WEEKDAY($D210,2),7)))/7)+1)))</f>
        <v/>
      </c>
      <c r="M210" s="223">
        <f>IF($G210&gt;0,$I210/$G210,0)</f>
        <v/>
      </c>
      <c r="N210" s="113">
        <f>IF($C210="","",IF($B210="TANIMSIZ MÜŞTERİ","TANIMSIZ MÜŞTERİ",IF($F210="","MODEL SEÇİN",IF(OR($D210="",$G210&lt;=0),"EKSİK",IF(AND($E210&lt;&gt;"",$E210&lt;$D210),"TARİH HATASI",IF($H210="Pasif","KAPALI DÖNEM","UYGUN"))))))</f>
        <v/>
      </c>
      <c r="O210" s="224">
        <f>IF(OR($C210="",$D210="",$F210=""),"",IF($F210="Aylık",EOMONTH($D210,0),($D210+MOD(SISTEM!$F$8-WEEKDAY($D210,2),7))))</f>
        <v/>
      </c>
      <c r="P210" s="109" t="n"/>
      <c r="Q210" s="6" t="n"/>
      <c r="R210" s="6" t="n"/>
      <c r="S210" s="3">
        <f>IF($B210="","",$B210&amp;"|"&amp;COUNTIFS($B$7:$B210,$B210))</f>
        <v/>
      </c>
      <c r="T210" s="3">
        <f>IF($C210="","",UPPER(SUBSTITUTE(SUBSTITUTE(SUBSTITUTE(SUBSTITUTE(SUBSTITUTE(SUBSTITUTE(SUBSTITUTE(SUBSTITUTE(SUBSTITUTE(SUBSTITUTE(SUBSTITUTE(SUBSTITUTE(SUBSTITUTE(SUBSTITUTE(SUBSTITUTE(SUBSTITUTE(SUBSTITUTE(SUBSTITUTE(TRIM($C210),"'",""),"İ","I"),"ı","I"),"i","I"),"Ş","S"),"ş","S"),"Ğ","G"),"ğ","G"),"Ü","U"),"ü","U"),"Ö","O"),"ö","O"),"Ç","C"),"ç","C"),".",""),",","")," ",""),"-","")))</f>
        <v/>
      </c>
    </row>
    <row r="211">
      <c r="A211" s="6" t="n"/>
      <c r="B211" s="113">
        <f>IF($C211="","",IFERROR(INDEX(MUSTERILER!$B$7:$B$106,MATCH($T211,MUSTERILER!$T$7:$T$106,0)),IFERROR(INDEX(MUSTERILER!$B$7:$B$106,MATCH($C211,MUSTERILER!$B$7:$B$106,0)),IFERROR(INDEX(MUSTERILER!$B$7:$B$106,MATCH($T211&amp;"*",MUSTERILER!$T$7:$T$106,0)),"TANIMSIZ MÜŞTERİ"))))</f>
        <v/>
      </c>
      <c r="C211" s="109" t="n"/>
      <c r="D211" s="220" t="n"/>
      <c r="E211" s="220" t="n"/>
      <c r="F211" s="108" t="n"/>
      <c r="G211" s="221" t="n"/>
      <c r="H211" s="108" t="n"/>
      <c r="I211" s="222">
        <f>IF(OR($C211="",$D211="",$G211="",$F211=""),0,$G211*IF($F211="Aylık",MAX(0,(YEAR(MIN(IF($E211="",TODAY(),$E211),TODAY()))-YEAR($D211))*12+MONTH(MIN(IF($E211="",TODAY(),$E211),TODAY()))-MONTH($D211)+IF(MIN(IF($E211="",TODAY(),$E211),TODAY())&gt;=EOMONTH(MIN(IF($E211="",TODAY(),$E211),TODAY()),0),1,0)),MAX(0,INT((MIN(IF($E211="",TODAY(),$E211),TODAY())-($D211+MOD(SISTEM!$F$8-WEEKDAY($D211,2),7)))/7)+1)))</f>
        <v/>
      </c>
      <c r="J211" s="222">
        <f>IF(OR($C211="",$D211="",$G211="",$F211=""),0,$G211*IF($F211="Aylık",MAX(0,(YEAR(MIN(IF($E211="",TODAY()-8,$E211),TODAY()-8))-YEAR($D211))*12+MONTH(MIN(IF($E211="",TODAY()-8,$E211),TODAY()-8))-MONTH($D211)+IF(MIN(IF($E211="",TODAY()-8,$E211),TODAY()-8)&gt;=EOMONTH(MIN(IF($E211="",TODAY()-8,$E211),TODAY()-8),0),1,0)),MAX(0,INT((MIN(IF($E211="",TODAY()-8,$E211),TODAY()-8)-($D211+MOD(SISTEM!$F$8-WEEKDAY($D211,2),7)))/7)+1)))</f>
        <v/>
      </c>
      <c r="K211" s="222">
        <f>IF(OR($C211="",$D211="",$G211="",$F211=""),0,$G211*IF($F211="Aylık",MAX(0,(YEAR(MIN(IF($E211="",TODAY()-15,$E211),TODAY()-15))-YEAR($D211))*12+MONTH(MIN(IF($E211="",TODAY()-15,$E211),TODAY()-15))-MONTH($D211)+IF(MIN(IF($E211="",TODAY()-15,$E211),TODAY()-15)&gt;=EOMONTH(MIN(IF($E211="",TODAY()-15,$E211),TODAY()-15),0),1,0)),MAX(0,INT((MIN(IF($E211="",TODAY()-15,$E211),TODAY()-15)-($D211+MOD(SISTEM!$F$8-WEEKDAY($D211,2),7)))/7)+1)))</f>
        <v/>
      </c>
      <c r="L211" s="222">
        <f>IF(OR($C211="",$D211="",$G211="",$F211=""),0,$G211*IF($F211="Aylık",MAX(0,(YEAR(MIN(IF($E211="",TODAY()-29,$E211),TODAY()-29))-YEAR($D211))*12+MONTH(MIN(IF($E211="",TODAY()-29,$E211),TODAY()-29))-MONTH($D211)+IF(MIN(IF($E211="",TODAY()-29,$E211),TODAY()-29)&gt;=EOMONTH(MIN(IF($E211="",TODAY()-29,$E211),TODAY()-29),0),1,0)),MAX(0,INT((MIN(IF($E211="",TODAY()-29,$E211),TODAY()-29)-($D211+MOD(SISTEM!$F$8-WEEKDAY($D211,2),7)))/7)+1)))</f>
        <v/>
      </c>
      <c r="M211" s="223">
        <f>IF($G211&gt;0,$I211/$G211,0)</f>
        <v/>
      </c>
      <c r="N211" s="113">
        <f>IF($C211="","",IF($B211="TANIMSIZ MÜŞTERİ","TANIMSIZ MÜŞTERİ",IF($F211="","MODEL SEÇİN",IF(OR($D211="",$G211&lt;=0),"EKSİK",IF(AND($E211&lt;&gt;"",$E211&lt;$D211),"TARİH HATASI",IF($H211="Pasif","KAPALI DÖNEM","UYGUN"))))))</f>
        <v/>
      </c>
      <c r="O211" s="224">
        <f>IF(OR($C211="",$D211="",$F211=""),"",IF($F211="Aylık",EOMONTH($D211,0),($D211+MOD(SISTEM!$F$8-WEEKDAY($D211,2),7))))</f>
        <v/>
      </c>
      <c r="P211" s="109" t="n"/>
      <c r="Q211" s="6" t="n"/>
      <c r="R211" s="6" t="n"/>
      <c r="S211" s="3">
        <f>IF($B211="","",$B211&amp;"|"&amp;COUNTIFS($B$7:$B211,$B211))</f>
        <v/>
      </c>
      <c r="T211" s="3">
        <f>IF($C211="","",UPPER(SUBSTITUTE(SUBSTITUTE(SUBSTITUTE(SUBSTITUTE(SUBSTITUTE(SUBSTITUTE(SUBSTITUTE(SUBSTITUTE(SUBSTITUTE(SUBSTITUTE(SUBSTITUTE(SUBSTITUTE(SUBSTITUTE(SUBSTITUTE(SUBSTITUTE(SUBSTITUTE(SUBSTITUTE(SUBSTITUTE(TRIM($C211),"'",""),"İ","I"),"ı","I"),"i","I"),"Ş","S"),"ş","S"),"Ğ","G"),"ğ","G"),"Ü","U"),"ü","U"),"Ö","O"),"ö","O"),"Ç","C"),"ç","C"),".",""),",","")," ",""),"-","")))</f>
        <v/>
      </c>
    </row>
    <row r="212">
      <c r="A212" s="6" t="n"/>
      <c r="B212" s="113">
        <f>IF($C212="","",IFERROR(INDEX(MUSTERILER!$B$7:$B$106,MATCH($T212,MUSTERILER!$T$7:$T$106,0)),IFERROR(INDEX(MUSTERILER!$B$7:$B$106,MATCH($C212,MUSTERILER!$B$7:$B$106,0)),IFERROR(INDEX(MUSTERILER!$B$7:$B$106,MATCH($T212&amp;"*",MUSTERILER!$T$7:$T$106,0)),"TANIMSIZ MÜŞTERİ"))))</f>
        <v/>
      </c>
      <c r="C212" s="109" t="n"/>
      <c r="D212" s="220" t="n"/>
      <c r="E212" s="220" t="n"/>
      <c r="F212" s="108" t="n"/>
      <c r="G212" s="221" t="n"/>
      <c r="H212" s="108" t="n"/>
      <c r="I212" s="222">
        <f>IF(OR($C212="",$D212="",$G212="",$F212=""),0,$G212*IF($F212="Aylık",MAX(0,(YEAR(MIN(IF($E212="",TODAY(),$E212),TODAY()))-YEAR($D212))*12+MONTH(MIN(IF($E212="",TODAY(),$E212),TODAY()))-MONTH($D212)+IF(MIN(IF($E212="",TODAY(),$E212),TODAY())&gt;=EOMONTH(MIN(IF($E212="",TODAY(),$E212),TODAY()),0),1,0)),MAX(0,INT((MIN(IF($E212="",TODAY(),$E212),TODAY())-($D212+MOD(SISTEM!$F$8-WEEKDAY($D212,2),7)))/7)+1)))</f>
        <v/>
      </c>
      <c r="J212" s="222">
        <f>IF(OR($C212="",$D212="",$G212="",$F212=""),0,$G212*IF($F212="Aylık",MAX(0,(YEAR(MIN(IF($E212="",TODAY()-8,$E212),TODAY()-8))-YEAR($D212))*12+MONTH(MIN(IF($E212="",TODAY()-8,$E212),TODAY()-8))-MONTH($D212)+IF(MIN(IF($E212="",TODAY()-8,$E212),TODAY()-8)&gt;=EOMONTH(MIN(IF($E212="",TODAY()-8,$E212),TODAY()-8),0),1,0)),MAX(0,INT((MIN(IF($E212="",TODAY()-8,$E212),TODAY()-8)-($D212+MOD(SISTEM!$F$8-WEEKDAY($D212,2),7)))/7)+1)))</f>
        <v/>
      </c>
      <c r="K212" s="222">
        <f>IF(OR($C212="",$D212="",$G212="",$F212=""),0,$G212*IF($F212="Aylık",MAX(0,(YEAR(MIN(IF($E212="",TODAY()-15,$E212),TODAY()-15))-YEAR($D212))*12+MONTH(MIN(IF($E212="",TODAY()-15,$E212),TODAY()-15))-MONTH($D212)+IF(MIN(IF($E212="",TODAY()-15,$E212),TODAY()-15)&gt;=EOMONTH(MIN(IF($E212="",TODAY()-15,$E212),TODAY()-15),0),1,0)),MAX(0,INT((MIN(IF($E212="",TODAY()-15,$E212),TODAY()-15)-($D212+MOD(SISTEM!$F$8-WEEKDAY($D212,2),7)))/7)+1)))</f>
        <v/>
      </c>
      <c r="L212" s="222">
        <f>IF(OR($C212="",$D212="",$G212="",$F212=""),0,$G212*IF($F212="Aylık",MAX(0,(YEAR(MIN(IF($E212="",TODAY()-29,$E212),TODAY()-29))-YEAR($D212))*12+MONTH(MIN(IF($E212="",TODAY()-29,$E212),TODAY()-29))-MONTH($D212)+IF(MIN(IF($E212="",TODAY()-29,$E212),TODAY()-29)&gt;=EOMONTH(MIN(IF($E212="",TODAY()-29,$E212),TODAY()-29),0),1,0)),MAX(0,INT((MIN(IF($E212="",TODAY()-29,$E212),TODAY()-29)-($D212+MOD(SISTEM!$F$8-WEEKDAY($D212,2),7)))/7)+1)))</f>
        <v/>
      </c>
      <c r="M212" s="223">
        <f>IF($G212&gt;0,$I212/$G212,0)</f>
        <v/>
      </c>
      <c r="N212" s="113">
        <f>IF($C212="","",IF($B212="TANIMSIZ MÜŞTERİ","TANIMSIZ MÜŞTERİ",IF($F212="","MODEL SEÇİN",IF(OR($D212="",$G212&lt;=0),"EKSİK",IF(AND($E212&lt;&gt;"",$E212&lt;$D212),"TARİH HATASI",IF($H212="Pasif","KAPALI DÖNEM","UYGUN"))))))</f>
        <v/>
      </c>
      <c r="O212" s="224">
        <f>IF(OR($C212="",$D212="",$F212=""),"",IF($F212="Aylık",EOMONTH($D212,0),($D212+MOD(SISTEM!$F$8-WEEKDAY($D212,2),7))))</f>
        <v/>
      </c>
      <c r="P212" s="109" t="n"/>
      <c r="Q212" s="6" t="n"/>
      <c r="R212" s="6" t="n"/>
      <c r="S212" s="3">
        <f>IF($B212="","",$B212&amp;"|"&amp;COUNTIFS($B$7:$B212,$B212))</f>
        <v/>
      </c>
      <c r="T212" s="3">
        <f>IF($C212="","",UPPER(SUBSTITUTE(SUBSTITUTE(SUBSTITUTE(SUBSTITUTE(SUBSTITUTE(SUBSTITUTE(SUBSTITUTE(SUBSTITUTE(SUBSTITUTE(SUBSTITUTE(SUBSTITUTE(SUBSTITUTE(SUBSTITUTE(SUBSTITUTE(SUBSTITUTE(SUBSTITUTE(SUBSTITUTE(SUBSTITUTE(TRIM($C212),"'",""),"İ","I"),"ı","I"),"i","I"),"Ş","S"),"ş","S"),"Ğ","G"),"ğ","G"),"Ü","U"),"ü","U"),"Ö","O"),"ö","O"),"Ç","C"),"ç","C"),".",""),",","")," ",""),"-","")))</f>
        <v/>
      </c>
    </row>
    <row r="213">
      <c r="A213" s="6" t="n"/>
      <c r="B213" s="113">
        <f>IF($C213="","",IFERROR(INDEX(MUSTERILER!$B$7:$B$106,MATCH($T213,MUSTERILER!$T$7:$T$106,0)),IFERROR(INDEX(MUSTERILER!$B$7:$B$106,MATCH($C213,MUSTERILER!$B$7:$B$106,0)),IFERROR(INDEX(MUSTERILER!$B$7:$B$106,MATCH($T213&amp;"*",MUSTERILER!$T$7:$T$106,0)),"TANIMSIZ MÜŞTERİ"))))</f>
        <v/>
      </c>
      <c r="C213" s="109" t="n"/>
      <c r="D213" s="220" t="n"/>
      <c r="E213" s="220" t="n"/>
      <c r="F213" s="108" t="n"/>
      <c r="G213" s="221" t="n"/>
      <c r="H213" s="108" t="n"/>
      <c r="I213" s="222">
        <f>IF(OR($C213="",$D213="",$G213="",$F213=""),0,$G213*IF($F213="Aylık",MAX(0,(YEAR(MIN(IF($E213="",TODAY(),$E213),TODAY()))-YEAR($D213))*12+MONTH(MIN(IF($E213="",TODAY(),$E213),TODAY()))-MONTH($D213)+IF(MIN(IF($E213="",TODAY(),$E213),TODAY())&gt;=EOMONTH(MIN(IF($E213="",TODAY(),$E213),TODAY()),0),1,0)),MAX(0,INT((MIN(IF($E213="",TODAY(),$E213),TODAY())-($D213+MOD(SISTEM!$F$8-WEEKDAY($D213,2),7)))/7)+1)))</f>
        <v/>
      </c>
      <c r="J213" s="222">
        <f>IF(OR($C213="",$D213="",$G213="",$F213=""),0,$G213*IF($F213="Aylık",MAX(0,(YEAR(MIN(IF($E213="",TODAY()-8,$E213),TODAY()-8))-YEAR($D213))*12+MONTH(MIN(IF($E213="",TODAY()-8,$E213),TODAY()-8))-MONTH($D213)+IF(MIN(IF($E213="",TODAY()-8,$E213),TODAY()-8)&gt;=EOMONTH(MIN(IF($E213="",TODAY()-8,$E213),TODAY()-8),0),1,0)),MAX(0,INT((MIN(IF($E213="",TODAY()-8,$E213),TODAY()-8)-($D213+MOD(SISTEM!$F$8-WEEKDAY($D213,2),7)))/7)+1)))</f>
        <v/>
      </c>
      <c r="K213" s="222">
        <f>IF(OR($C213="",$D213="",$G213="",$F213=""),0,$G213*IF($F213="Aylık",MAX(0,(YEAR(MIN(IF($E213="",TODAY()-15,$E213),TODAY()-15))-YEAR($D213))*12+MONTH(MIN(IF($E213="",TODAY()-15,$E213),TODAY()-15))-MONTH($D213)+IF(MIN(IF($E213="",TODAY()-15,$E213),TODAY()-15)&gt;=EOMONTH(MIN(IF($E213="",TODAY()-15,$E213),TODAY()-15),0),1,0)),MAX(0,INT((MIN(IF($E213="",TODAY()-15,$E213),TODAY()-15)-($D213+MOD(SISTEM!$F$8-WEEKDAY($D213,2),7)))/7)+1)))</f>
        <v/>
      </c>
      <c r="L213" s="222">
        <f>IF(OR($C213="",$D213="",$G213="",$F213=""),0,$G213*IF($F213="Aylık",MAX(0,(YEAR(MIN(IF($E213="",TODAY()-29,$E213),TODAY()-29))-YEAR($D213))*12+MONTH(MIN(IF($E213="",TODAY()-29,$E213),TODAY()-29))-MONTH($D213)+IF(MIN(IF($E213="",TODAY()-29,$E213),TODAY()-29)&gt;=EOMONTH(MIN(IF($E213="",TODAY()-29,$E213),TODAY()-29),0),1,0)),MAX(0,INT((MIN(IF($E213="",TODAY()-29,$E213),TODAY()-29)-($D213+MOD(SISTEM!$F$8-WEEKDAY($D213,2),7)))/7)+1)))</f>
        <v/>
      </c>
      <c r="M213" s="223">
        <f>IF($G213&gt;0,$I213/$G213,0)</f>
        <v/>
      </c>
      <c r="N213" s="113">
        <f>IF($C213="","",IF($B213="TANIMSIZ MÜŞTERİ","TANIMSIZ MÜŞTERİ",IF($F213="","MODEL SEÇİN",IF(OR($D213="",$G213&lt;=0),"EKSİK",IF(AND($E213&lt;&gt;"",$E213&lt;$D213),"TARİH HATASI",IF($H213="Pasif","KAPALI DÖNEM","UYGUN"))))))</f>
        <v/>
      </c>
      <c r="O213" s="224">
        <f>IF(OR($C213="",$D213="",$F213=""),"",IF($F213="Aylık",EOMONTH($D213,0),($D213+MOD(SISTEM!$F$8-WEEKDAY($D213,2),7))))</f>
        <v/>
      </c>
      <c r="P213" s="109" t="n"/>
      <c r="Q213" s="6" t="n"/>
      <c r="R213" s="6" t="n"/>
      <c r="S213" s="3">
        <f>IF($B213="","",$B213&amp;"|"&amp;COUNTIFS($B$7:$B213,$B213))</f>
        <v/>
      </c>
      <c r="T213" s="3">
        <f>IF($C213="","",UPPER(SUBSTITUTE(SUBSTITUTE(SUBSTITUTE(SUBSTITUTE(SUBSTITUTE(SUBSTITUTE(SUBSTITUTE(SUBSTITUTE(SUBSTITUTE(SUBSTITUTE(SUBSTITUTE(SUBSTITUTE(SUBSTITUTE(SUBSTITUTE(SUBSTITUTE(SUBSTITUTE(SUBSTITUTE(SUBSTITUTE(TRIM($C213),"'",""),"İ","I"),"ı","I"),"i","I"),"Ş","S"),"ş","S"),"Ğ","G"),"ğ","G"),"Ü","U"),"ü","U"),"Ö","O"),"ö","O"),"Ç","C"),"ç","C"),".",""),",","")," ",""),"-","")))</f>
        <v/>
      </c>
    </row>
    <row r="214">
      <c r="A214" s="6" t="n"/>
      <c r="B214" s="113">
        <f>IF($C214="","",IFERROR(INDEX(MUSTERILER!$B$7:$B$106,MATCH($T214,MUSTERILER!$T$7:$T$106,0)),IFERROR(INDEX(MUSTERILER!$B$7:$B$106,MATCH($C214,MUSTERILER!$B$7:$B$106,0)),IFERROR(INDEX(MUSTERILER!$B$7:$B$106,MATCH($T214&amp;"*",MUSTERILER!$T$7:$T$106,0)),"TANIMSIZ MÜŞTERİ"))))</f>
        <v/>
      </c>
      <c r="C214" s="109" t="n"/>
      <c r="D214" s="220" t="n"/>
      <c r="E214" s="220" t="n"/>
      <c r="F214" s="108" t="n"/>
      <c r="G214" s="221" t="n"/>
      <c r="H214" s="108" t="n"/>
      <c r="I214" s="222">
        <f>IF(OR($C214="",$D214="",$G214="",$F214=""),0,$G214*IF($F214="Aylık",MAX(0,(YEAR(MIN(IF($E214="",TODAY(),$E214),TODAY()))-YEAR($D214))*12+MONTH(MIN(IF($E214="",TODAY(),$E214),TODAY()))-MONTH($D214)+IF(MIN(IF($E214="",TODAY(),$E214),TODAY())&gt;=EOMONTH(MIN(IF($E214="",TODAY(),$E214),TODAY()),0),1,0)),MAX(0,INT((MIN(IF($E214="",TODAY(),$E214),TODAY())-($D214+MOD(SISTEM!$F$8-WEEKDAY($D214,2),7)))/7)+1)))</f>
        <v/>
      </c>
      <c r="J214" s="222">
        <f>IF(OR($C214="",$D214="",$G214="",$F214=""),0,$G214*IF($F214="Aylık",MAX(0,(YEAR(MIN(IF($E214="",TODAY()-8,$E214),TODAY()-8))-YEAR($D214))*12+MONTH(MIN(IF($E214="",TODAY()-8,$E214),TODAY()-8))-MONTH($D214)+IF(MIN(IF($E214="",TODAY()-8,$E214),TODAY()-8)&gt;=EOMONTH(MIN(IF($E214="",TODAY()-8,$E214),TODAY()-8),0),1,0)),MAX(0,INT((MIN(IF($E214="",TODAY()-8,$E214),TODAY()-8)-($D214+MOD(SISTEM!$F$8-WEEKDAY($D214,2),7)))/7)+1)))</f>
        <v/>
      </c>
      <c r="K214" s="222">
        <f>IF(OR($C214="",$D214="",$G214="",$F214=""),0,$G214*IF($F214="Aylık",MAX(0,(YEAR(MIN(IF($E214="",TODAY()-15,$E214),TODAY()-15))-YEAR($D214))*12+MONTH(MIN(IF($E214="",TODAY()-15,$E214),TODAY()-15))-MONTH($D214)+IF(MIN(IF($E214="",TODAY()-15,$E214),TODAY()-15)&gt;=EOMONTH(MIN(IF($E214="",TODAY()-15,$E214),TODAY()-15),0),1,0)),MAX(0,INT((MIN(IF($E214="",TODAY()-15,$E214),TODAY()-15)-($D214+MOD(SISTEM!$F$8-WEEKDAY($D214,2),7)))/7)+1)))</f>
        <v/>
      </c>
      <c r="L214" s="222">
        <f>IF(OR($C214="",$D214="",$G214="",$F214=""),0,$G214*IF($F214="Aylık",MAX(0,(YEAR(MIN(IF($E214="",TODAY()-29,$E214),TODAY()-29))-YEAR($D214))*12+MONTH(MIN(IF($E214="",TODAY()-29,$E214),TODAY()-29))-MONTH($D214)+IF(MIN(IF($E214="",TODAY()-29,$E214),TODAY()-29)&gt;=EOMONTH(MIN(IF($E214="",TODAY()-29,$E214),TODAY()-29),0),1,0)),MAX(0,INT((MIN(IF($E214="",TODAY()-29,$E214),TODAY()-29)-($D214+MOD(SISTEM!$F$8-WEEKDAY($D214,2),7)))/7)+1)))</f>
        <v/>
      </c>
      <c r="M214" s="223">
        <f>IF($G214&gt;0,$I214/$G214,0)</f>
        <v/>
      </c>
      <c r="N214" s="113">
        <f>IF($C214="","",IF($B214="TANIMSIZ MÜŞTERİ","TANIMSIZ MÜŞTERİ",IF($F214="","MODEL SEÇİN",IF(OR($D214="",$G214&lt;=0),"EKSİK",IF(AND($E214&lt;&gt;"",$E214&lt;$D214),"TARİH HATASI",IF($H214="Pasif","KAPALI DÖNEM","UYGUN"))))))</f>
        <v/>
      </c>
      <c r="O214" s="224">
        <f>IF(OR($C214="",$D214="",$F214=""),"",IF($F214="Aylık",EOMONTH($D214,0),($D214+MOD(SISTEM!$F$8-WEEKDAY($D214,2),7))))</f>
        <v/>
      </c>
      <c r="P214" s="109" t="n"/>
      <c r="Q214" s="6" t="n"/>
      <c r="R214" s="6" t="n"/>
      <c r="S214" s="3">
        <f>IF($B214="","",$B214&amp;"|"&amp;COUNTIFS($B$7:$B214,$B214))</f>
        <v/>
      </c>
      <c r="T214" s="3">
        <f>IF($C214="","",UPPER(SUBSTITUTE(SUBSTITUTE(SUBSTITUTE(SUBSTITUTE(SUBSTITUTE(SUBSTITUTE(SUBSTITUTE(SUBSTITUTE(SUBSTITUTE(SUBSTITUTE(SUBSTITUTE(SUBSTITUTE(SUBSTITUTE(SUBSTITUTE(SUBSTITUTE(SUBSTITUTE(SUBSTITUTE(SUBSTITUTE(TRIM($C214),"'",""),"İ","I"),"ı","I"),"i","I"),"Ş","S"),"ş","S"),"Ğ","G"),"ğ","G"),"Ü","U"),"ü","U"),"Ö","O"),"ö","O"),"Ç","C"),"ç","C"),".",""),",","")," ",""),"-","")))</f>
        <v/>
      </c>
    </row>
    <row r="215">
      <c r="A215" s="6" t="n"/>
      <c r="B215" s="113">
        <f>IF($C215="","",IFERROR(INDEX(MUSTERILER!$B$7:$B$106,MATCH($T215,MUSTERILER!$T$7:$T$106,0)),IFERROR(INDEX(MUSTERILER!$B$7:$B$106,MATCH($C215,MUSTERILER!$B$7:$B$106,0)),IFERROR(INDEX(MUSTERILER!$B$7:$B$106,MATCH($T215&amp;"*",MUSTERILER!$T$7:$T$106,0)),"TANIMSIZ MÜŞTERİ"))))</f>
        <v/>
      </c>
      <c r="C215" s="109" t="n"/>
      <c r="D215" s="220" t="n"/>
      <c r="E215" s="220" t="n"/>
      <c r="F215" s="108" t="n"/>
      <c r="G215" s="221" t="n"/>
      <c r="H215" s="108" t="n"/>
      <c r="I215" s="222">
        <f>IF(OR($C215="",$D215="",$G215="",$F215=""),0,$G215*IF($F215="Aylık",MAX(0,(YEAR(MIN(IF($E215="",TODAY(),$E215),TODAY()))-YEAR($D215))*12+MONTH(MIN(IF($E215="",TODAY(),$E215),TODAY()))-MONTH($D215)+IF(MIN(IF($E215="",TODAY(),$E215),TODAY())&gt;=EOMONTH(MIN(IF($E215="",TODAY(),$E215),TODAY()),0),1,0)),MAX(0,INT((MIN(IF($E215="",TODAY(),$E215),TODAY())-($D215+MOD(SISTEM!$F$8-WEEKDAY($D215,2),7)))/7)+1)))</f>
        <v/>
      </c>
      <c r="J215" s="222">
        <f>IF(OR($C215="",$D215="",$G215="",$F215=""),0,$G215*IF($F215="Aylık",MAX(0,(YEAR(MIN(IF($E215="",TODAY()-8,$E215),TODAY()-8))-YEAR($D215))*12+MONTH(MIN(IF($E215="",TODAY()-8,$E215),TODAY()-8))-MONTH($D215)+IF(MIN(IF($E215="",TODAY()-8,$E215),TODAY()-8)&gt;=EOMONTH(MIN(IF($E215="",TODAY()-8,$E215),TODAY()-8),0),1,0)),MAX(0,INT((MIN(IF($E215="",TODAY()-8,$E215),TODAY()-8)-($D215+MOD(SISTEM!$F$8-WEEKDAY($D215,2),7)))/7)+1)))</f>
        <v/>
      </c>
      <c r="K215" s="222">
        <f>IF(OR($C215="",$D215="",$G215="",$F215=""),0,$G215*IF($F215="Aylık",MAX(0,(YEAR(MIN(IF($E215="",TODAY()-15,$E215),TODAY()-15))-YEAR($D215))*12+MONTH(MIN(IF($E215="",TODAY()-15,$E215),TODAY()-15))-MONTH($D215)+IF(MIN(IF($E215="",TODAY()-15,$E215),TODAY()-15)&gt;=EOMONTH(MIN(IF($E215="",TODAY()-15,$E215),TODAY()-15),0),1,0)),MAX(0,INT((MIN(IF($E215="",TODAY()-15,$E215),TODAY()-15)-($D215+MOD(SISTEM!$F$8-WEEKDAY($D215,2),7)))/7)+1)))</f>
        <v/>
      </c>
      <c r="L215" s="222">
        <f>IF(OR($C215="",$D215="",$G215="",$F215=""),0,$G215*IF($F215="Aylık",MAX(0,(YEAR(MIN(IF($E215="",TODAY()-29,$E215),TODAY()-29))-YEAR($D215))*12+MONTH(MIN(IF($E215="",TODAY()-29,$E215),TODAY()-29))-MONTH($D215)+IF(MIN(IF($E215="",TODAY()-29,$E215),TODAY()-29)&gt;=EOMONTH(MIN(IF($E215="",TODAY()-29,$E215),TODAY()-29),0),1,0)),MAX(0,INT((MIN(IF($E215="",TODAY()-29,$E215),TODAY()-29)-($D215+MOD(SISTEM!$F$8-WEEKDAY($D215,2),7)))/7)+1)))</f>
        <v/>
      </c>
      <c r="M215" s="223">
        <f>IF($G215&gt;0,$I215/$G215,0)</f>
        <v/>
      </c>
      <c r="N215" s="113">
        <f>IF($C215="","",IF($B215="TANIMSIZ MÜŞTERİ","TANIMSIZ MÜŞTERİ",IF($F215="","MODEL SEÇİN",IF(OR($D215="",$G215&lt;=0),"EKSİK",IF(AND($E215&lt;&gt;"",$E215&lt;$D215),"TARİH HATASI",IF($H215="Pasif","KAPALI DÖNEM","UYGUN"))))))</f>
        <v/>
      </c>
      <c r="O215" s="224">
        <f>IF(OR($C215="",$D215="",$F215=""),"",IF($F215="Aylık",EOMONTH($D215,0),($D215+MOD(SISTEM!$F$8-WEEKDAY($D215,2),7))))</f>
        <v/>
      </c>
      <c r="P215" s="109" t="n"/>
      <c r="Q215" s="6" t="n"/>
      <c r="R215" s="6" t="n"/>
      <c r="S215" s="3">
        <f>IF($B215="","",$B215&amp;"|"&amp;COUNTIFS($B$7:$B215,$B215))</f>
        <v/>
      </c>
      <c r="T215" s="3">
        <f>IF($C215="","",UPPER(SUBSTITUTE(SUBSTITUTE(SUBSTITUTE(SUBSTITUTE(SUBSTITUTE(SUBSTITUTE(SUBSTITUTE(SUBSTITUTE(SUBSTITUTE(SUBSTITUTE(SUBSTITUTE(SUBSTITUTE(SUBSTITUTE(SUBSTITUTE(SUBSTITUTE(SUBSTITUTE(SUBSTITUTE(SUBSTITUTE(TRIM($C215),"'",""),"İ","I"),"ı","I"),"i","I"),"Ş","S"),"ş","S"),"Ğ","G"),"ğ","G"),"Ü","U"),"ü","U"),"Ö","O"),"ö","O"),"Ç","C"),"ç","C"),".",""),",","")," ",""),"-","")))</f>
        <v/>
      </c>
    </row>
    <row r="216">
      <c r="A216" s="6" t="n"/>
      <c r="B216" s="113">
        <f>IF($C216="","",IFERROR(INDEX(MUSTERILER!$B$7:$B$106,MATCH($T216,MUSTERILER!$T$7:$T$106,0)),IFERROR(INDEX(MUSTERILER!$B$7:$B$106,MATCH($C216,MUSTERILER!$B$7:$B$106,0)),IFERROR(INDEX(MUSTERILER!$B$7:$B$106,MATCH($T216&amp;"*",MUSTERILER!$T$7:$T$106,0)),"TANIMSIZ MÜŞTERİ"))))</f>
        <v/>
      </c>
      <c r="C216" s="109" t="n"/>
      <c r="D216" s="220" t="n"/>
      <c r="E216" s="220" t="n"/>
      <c r="F216" s="108" t="n"/>
      <c r="G216" s="221" t="n"/>
      <c r="H216" s="108" t="n"/>
      <c r="I216" s="222">
        <f>IF(OR($C216="",$D216="",$G216="",$F216=""),0,$G216*IF($F216="Aylık",MAX(0,(YEAR(MIN(IF($E216="",TODAY(),$E216),TODAY()))-YEAR($D216))*12+MONTH(MIN(IF($E216="",TODAY(),$E216),TODAY()))-MONTH($D216)+IF(MIN(IF($E216="",TODAY(),$E216),TODAY())&gt;=EOMONTH(MIN(IF($E216="",TODAY(),$E216),TODAY()),0),1,0)),MAX(0,INT((MIN(IF($E216="",TODAY(),$E216),TODAY())-($D216+MOD(SISTEM!$F$8-WEEKDAY($D216,2),7)))/7)+1)))</f>
        <v/>
      </c>
      <c r="J216" s="222">
        <f>IF(OR($C216="",$D216="",$G216="",$F216=""),0,$G216*IF($F216="Aylık",MAX(0,(YEAR(MIN(IF($E216="",TODAY()-8,$E216),TODAY()-8))-YEAR($D216))*12+MONTH(MIN(IF($E216="",TODAY()-8,$E216),TODAY()-8))-MONTH($D216)+IF(MIN(IF($E216="",TODAY()-8,$E216),TODAY()-8)&gt;=EOMONTH(MIN(IF($E216="",TODAY()-8,$E216),TODAY()-8),0),1,0)),MAX(0,INT((MIN(IF($E216="",TODAY()-8,$E216),TODAY()-8)-($D216+MOD(SISTEM!$F$8-WEEKDAY($D216,2),7)))/7)+1)))</f>
        <v/>
      </c>
      <c r="K216" s="222">
        <f>IF(OR($C216="",$D216="",$G216="",$F216=""),0,$G216*IF($F216="Aylık",MAX(0,(YEAR(MIN(IF($E216="",TODAY()-15,$E216),TODAY()-15))-YEAR($D216))*12+MONTH(MIN(IF($E216="",TODAY()-15,$E216),TODAY()-15))-MONTH($D216)+IF(MIN(IF($E216="",TODAY()-15,$E216),TODAY()-15)&gt;=EOMONTH(MIN(IF($E216="",TODAY()-15,$E216),TODAY()-15),0),1,0)),MAX(0,INT((MIN(IF($E216="",TODAY()-15,$E216),TODAY()-15)-($D216+MOD(SISTEM!$F$8-WEEKDAY($D216,2),7)))/7)+1)))</f>
        <v/>
      </c>
      <c r="L216" s="222">
        <f>IF(OR($C216="",$D216="",$G216="",$F216=""),0,$G216*IF($F216="Aylık",MAX(0,(YEAR(MIN(IF($E216="",TODAY()-29,$E216),TODAY()-29))-YEAR($D216))*12+MONTH(MIN(IF($E216="",TODAY()-29,$E216),TODAY()-29))-MONTH($D216)+IF(MIN(IF($E216="",TODAY()-29,$E216),TODAY()-29)&gt;=EOMONTH(MIN(IF($E216="",TODAY()-29,$E216),TODAY()-29),0),1,0)),MAX(0,INT((MIN(IF($E216="",TODAY()-29,$E216),TODAY()-29)-($D216+MOD(SISTEM!$F$8-WEEKDAY($D216,2),7)))/7)+1)))</f>
        <v/>
      </c>
      <c r="M216" s="223">
        <f>IF($G216&gt;0,$I216/$G216,0)</f>
        <v/>
      </c>
      <c r="N216" s="113">
        <f>IF($C216="","",IF($B216="TANIMSIZ MÜŞTERİ","TANIMSIZ MÜŞTERİ",IF($F216="","MODEL SEÇİN",IF(OR($D216="",$G216&lt;=0),"EKSİK",IF(AND($E216&lt;&gt;"",$E216&lt;$D216),"TARİH HATASI",IF($H216="Pasif","KAPALI DÖNEM","UYGUN"))))))</f>
        <v/>
      </c>
      <c r="O216" s="224">
        <f>IF(OR($C216="",$D216="",$F216=""),"",IF($F216="Aylık",EOMONTH($D216,0),($D216+MOD(SISTEM!$F$8-WEEKDAY($D216,2),7))))</f>
        <v/>
      </c>
      <c r="P216" s="109" t="n"/>
      <c r="Q216" s="6" t="n"/>
      <c r="R216" s="6" t="n"/>
      <c r="S216" s="3">
        <f>IF($B216="","",$B216&amp;"|"&amp;COUNTIFS($B$7:$B216,$B216))</f>
        <v/>
      </c>
      <c r="T216" s="3">
        <f>IF($C216="","",UPPER(SUBSTITUTE(SUBSTITUTE(SUBSTITUTE(SUBSTITUTE(SUBSTITUTE(SUBSTITUTE(SUBSTITUTE(SUBSTITUTE(SUBSTITUTE(SUBSTITUTE(SUBSTITUTE(SUBSTITUTE(SUBSTITUTE(SUBSTITUTE(SUBSTITUTE(SUBSTITUTE(SUBSTITUTE(SUBSTITUTE(TRIM($C216),"'",""),"İ","I"),"ı","I"),"i","I"),"Ş","S"),"ş","S"),"Ğ","G"),"ğ","G"),"Ü","U"),"ü","U"),"Ö","O"),"ö","O"),"Ç","C"),"ç","C"),".",""),",","")," ",""),"-","")))</f>
        <v/>
      </c>
    </row>
    <row r="217">
      <c r="A217" s="6" t="n"/>
      <c r="B217" s="113">
        <f>IF($C217="","",IFERROR(INDEX(MUSTERILER!$B$7:$B$106,MATCH($T217,MUSTERILER!$T$7:$T$106,0)),IFERROR(INDEX(MUSTERILER!$B$7:$B$106,MATCH($C217,MUSTERILER!$B$7:$B$106,0)),IFERROR(INDEX(MUSTERILER!$B$7:$B$106,MATCH($T217&amp;"*",MUSTERILER!$T$7:$T$106,0)),"TANIMSIZ MÜŞTERİ"))))</f>
        <v/>
      </c>
      <c r="C217" s="109" t="n"/>
      <c r="D217" s="220" t="n"/>
      <c r="E217" s="220" t="n"/>
      <c r="F217" s="108" t="n"/>
      <c r="G217" s="221" t="n"/>
      <c r="H217" s="108" t="n"/>
      <c r="I217" s="222">
        <f>IF(OR($C217="",$D217="",$G217="",$F217=""),0,$G217*IF($F217="Aylık",MAX(0,(YEAR(MIN(IF($E217="",TODAY(),$E217),TODAY()))-YEAR($D217))*12+MONTH(MIN(IF($E217="",TODAY(),$E217),TODAY()))-MONTH($D217)+IF(MIN(IF($E217="",TODAY(),$E217),TODAY())&gt;=EOMONTH(MIN(IF($E217="",TODAY(),$E217),TODAY()),0),1,0)),MAX(0,INT((MIN(IF($E217="",TODAY(),$E217),TODAY())-($D217+MOD(SISTEM!$F$8-WEEKDAY($D217,2),7)))/7)+1)))</f>
        <v/>
      </c>
      <c r="J217" s="222">
        <f>IF(OR($C217="",$D217="",$G217="",$F217=""),0,$G217*IF($F217="Aylık",MAX(0,(YEAR(MIN(IF($E217="",TODAY()-8,$E217),TODAY()-8))-YEAR($D217))*12+MONTH(MIN(IF($E217="",TODAY()-8,$E217),TODAY()-8))-MONTH($D217)+IF(MIN(IF($E217="",TODAY()-8,$E217),TODAY()-8)&gt;=EOMONTH(MIN(IF($E217="",TODAY()-8,$E217),TODAY()-8),0),1,0)),MAX(0,INT((MIN(IF($E217="",TODAY()-8,$E217),TODAY()-8)-($D217+MOD(SISTEM!$F$8-WEEKDAY($D217,2),7)))/7)+1)))</f>
        <v/>
      </c>
      <c r="K217" s="222">
        <f>IF(OR($C217="",$D217="",$G217="",$F217=""),0,$G217*IF($F217="Aylık",MAX(0,(YEAR(MIN(IF($E217="",TODAY()-15,$E217),TODAY()-15))-YEAR($D217))*12+MONTH(MIN(IF($E217="",TODAY()-15,$E217),TODAY()-15))-MONTH($D217)+IF(MIN(IF($E217="",TODAY()-15,$E217),TODAY()-15)&gt;=EOMONTH(MIN(IF($E217="",TODAY()-15,$E217),TODAY()-15),0),1,0)),MAX(0,INT((MIN(IF($E217="",TODAY()-15,$E217),TODAY()-15)-($D217+MOD(SISTEM!$F$8-WEEKDAY($D217,2),7)))/7)+1)))</f>
        <v/>
      </c>
      <c r="L217" s="222">
        <f>IF(OR($C217="",$D217="",$G217="",$F217=""),0,$G217*IF($F217="Aylık",MAX(0,(YEAR(MIN(IF($E217="",TODAY()-29,$E217),TODAY()-29))-YEAR($D217))*12+MONTH(MIN(IF($E217="",TODAY()-29,$E217),TODAY()-29))-MONTH($D217)+IF(MIN(IF($E217="",TODAY()-29,$E217),TODAY()-29)&gt;=EOMONTH(MIN(IF($E217="",TODAY()-29,$E217),TODAY()-29),0),1,0)),MAX(0,INT((MIN(IF($E217="",TODAY()-29,$E217),TODAY()-29)-($D217+MOD(SISTEM!$F$8-WEEKDAY($D217,2),7)))/7)+1)))</f>
        <v/>
      </c>
      <c r="M217" s="223">
        <f>IF($G217&gt;0,$I217/$G217,0)</f>
        <v/>
      </c>
      <c r="N217" s="113">
        <f>IF($C217="","",IF($B217="TANIMSIZ MÜŞTERİ","TANIMSIZ MÜŞTERİ",IF($F217="","MODEL SEÇİN",IF(OR($D217="",$G217&lt;=0),"EKSİK",IF(AND($E217&lt;&gt;"",$E217&lt;$D217),"TARİH HATASI",IF($H217="Pasif","KAPALI DÖNEM","UYGUN"))))))</f>
        <v/>
      </c>
      <c r="O217" s="224">
        <f>IF(OR($C217="",$D217="",$F217=""),"",IF($F217="Aylık",EOMONTH($D217,0),($D217+MOD(SISTEM!$F$8-WEEKDAY($D217,2),7))))</f>
        <v/>
      </c>
      <c r="P217" s="109" t="n"/>
      <c r="Q217" s="6" t="n"/>
      <c r="R217" s="6" t="n"/>
      <c r="S217" s="3">
        <f>IF($B217="","",$B217&amp;"|"&amp;COUNTIFS($B$7:$B217,$B217))</f>
        <v/>
      </c>
      <c r="T217" s="3">
        <f>IF($C217="","",UPPER(SUBSTITUTE(SUBSTITUTE(SUBSTITUTE(SUBSTITUTE(SUBSTITUTE(SUBSTITUTE(SUBSTITUTE(SUBSTITUTE(SUBSTITUTE(SUBSTITUTE(SUBSTITUTE(SUBSTITUTE(SUBSTITUTE(SUBSTITUTE(SUBSTITUTE(SUBSTITUTE(SUBSTITUTE(SUBSTITUTE(TRIM($C217),"'",""),"İ","I"),"ı","I"),"i","I"),"Ş","S"),"ş","S"),"Ğ","G"),"ğ","G"),"Ü","U"),"ü","U"),"Ö","O"),"ö","O"),"Ç","C"),"ç","C"),".",""),",","")," ",""),"-","")))</f>
        <v/>
      </c>
    </row>
    <row r="218">
      <c r="A218" s="6" t="n"/>
      <c r="B218" s="113">
        <f>IF($C218="","",IFERROR(INDEX(MUSTERILER!$B$7:$B$106,MATCH($T218,MUSTERILER!$T$7:$T$106,0)),IFERROR(INDEX(MUSTERILER!$B$7:$B$106,MATCH($C218,MUSTERILER!$B$7:$B$106,0)),IFERROR(INDEX(MUSTERILER!$B$7:$B$106,MATCH($T218&amp;"*",MUSTERILER!$T$7:$T$106,0)),"TANIMSIZ MÜŞTERİ"))))</f>
        <v/>
      </c>
      <c r="C218" s="109" t="n"/>
      <c r="D218" s="220" t="n"/>
      <c r="E218" s="220" t="n"/>
      <c r="F218" s="108" t="n"/>
      <c r="G218" s="221" t="n"/>
      <c r="H218" s="108" t="n"/>
      <c r="I218" s="222">
        <f>IF(OR($C218="",$D218="",$G218="",$F218=""),0,$G218*IF($F218="Aylık",MAX(0,(YEAR(MIN(IF($E218="",TODAY(),$E218),TODAY()))-YEAR($D218))*12+MONTH(MIN(IF($E218="",TODAY(),$E218),TODAY()))-MONTH($D218)+IF(MIN(IF($E218="",TODAY(),$E218),TODAY())&gt;=EOMONTH(MIN(IF($E218="",TODAY(),$E218),TODAY()),0),1,0)),MAX(0,INT((MIN(IF($E218="",TODAY(),$E218),TODAY())-($D218+MOD(SISTEM!$F$8-WEEKDAY($D218,2),7)))/7)+1)))</f>
        <v/>
      </c>
      <c r="J218" s="222">
        <f>IF(OR($C218="",$D218="",$G218="",$F218=""),0,$G218*IF($F218="Aylık",MAX(0,(YEAR(MIN(IF($E218="",TODAY()-8,$E218),TODAY()-8))-YEAR($D218))*12+MONTH(MIN(IF($E218="",TODAY()-8,$E218),TODAY()-8))-MONTH($D218)+IF(MIN(IF($E218="",TODAY()-8,$E218),TODAY()-8)&gt;=EOMONTH(MIN(IF($E218="",TODAY()-8,$E218),TODAY()-8),0),1,0)),MAX(0,INT((MIN(IF($E218="",TODAY()-8,$E218),TODAY()-8)-($D218+MOD(SISTEM!$F$8-WEEKDAY($D218,2),7)))/7)+1)))</f>
        <v/>
      </c>
      <c r="K218" s="222">
        <f>IF(OR($C218="",$D218="",$G218="",$F218=""),0,$G218*IF($F218="Aylık",MAX(0,(YEAR(MIN(IF($E218="",TODAY()-15,$E218),TODAY()-15))-YEAR($D218))*12+MONTH(MIN(IF($E218="",TODAY()-15,$E218),TODAY()-15))-MONTH($D218)+IF(MIN(IF($E218="",TODAY()-15,$E218),TODAY()-15)&gt;=EOMONTH(MIN(IF($E218="",TODAY()-15,$E218),TODAY()-15),0),1,0)),MAX(0,INT((MIN(IF($E218="",TODAY()-15,$E218),TODAY()-15)-($D218+MOD(SISTEM!$F$8-WEEKDAY($D218,2),7)))/7)+1)))</f>
        <v/>
      </c>
      <c r="L218" s="222">
        <f>IF(OR($C218="",$D218="",$G218="",$F218=""),0,$G218*IF($F218="Aylık",MAX(0,(YEAR(MIN(IF($E218="",TODAY()-29,$E218),TODAY()-29))-YEAR($D218))*12+MONTH(MIN(IF($E218="",TODAY()-29,$E218),TODAY()-29))-MONTH($D218)+IF(MIN(IF($E218="",TODAY()-29,$E218),TODAY()-29)&gt;=EOMONTH(MIN(IF($E218="",TODAY()-29,$E218),TODAY()-29),0),1,0)),MAX(0,INT((MIN(IF($E218="",TODAY()-29,$E218),TODAY()-29)-($D218+MOD(SISTEM!$F$8-WEEKDAY($D218,2),7)))/7)+1)))</f>
        <v/>
      </c>
      <c r="M218" s="223">
        <f>IF($G218&gt;0,$I218/$G218,0)</f>
        <v/>
      </c>
      <c r="N218" s="113">
        <f>IF($C218="","",IF($B218="TANIMSIZ MÜŞTERİ","TANIMSIZ MÜŞTERİ",IF($F218="","MODEL SEÇİN",IF(OR($D218="",$G218&lt;=0),"EKSİK",IF(AND($E218&lt;&gt;"",$E218&lt;$D218),"TARİH HATASI",IF($H218="Pasif","KAPALI DÖNEM","UYGUN"))))))</f>
        <v/>
      </c>
      <c r="O218" s="224">
        <f>IF(OR($C218="",$D218="",$F218=""),"",IF($F218="Aylık",EOMONTH($D218,0),($D218+MOD(SISTEM!$F$8-WEEKDAY($D218,2),7))))</f>
        <v/>
      </c>
      <c r="P218" s="109" t="n"/>
      <c r="Q218" s="6" t="n"/>
      <c r="R218" s="6" t="n"/>
      <c r="S218" s="3">
        <f>IF($B218="","",$B218&amp;"|"&amp;COUNTIFS($B$7:$B218,$B218))</f>
        <v/>
      </c>
      <c r="T218" s="3">
        <f>IF($C218="","",UPPER(SUBSTITUTE(SUBSTITUTE(SUBSTITUTE(SUBSTITUTE(SUBSTITUTE(SUBSTITUTE(SUBSTITUTE(SUBSTITUTE(SUBSTITUTE(SUBSTITUTE(SUBSTITUTE(SUBSTITUTE(SUBSTITUTE(SUBSTITUTE(SUBSTITUTE(SUBSTITUTE(SUBSTITUTE(SUBSTITUTE(TRIM($C218),"'",""),"İ","I"),"ı","I"),"i","I"),"Ş","S"),"ş","S"),"Ğ","G"),"ğ","G"),"Ü","U"),"ü","U"),"Ö","O"),"ö","O"),"Ç","C"),"ç","C"),".",""),",","")," ",""),"-","")))</f>
        <v/>
      </c>
    </row>
    <row r="219">
      <c r="A219" s="6" t="n"/>
      <c r="B219" s="113">
        <f>IF($C219="","",IFERROR(INDEX(MUSTERILER!$B$7:$B$106,MATCH($T219,MUSTERILER!$T$7:$T$106,0)),IFERROR(INDEX(MUSTERILER!$B$7:$B$106,MATCH($C219,MUSTERILER!$B$7:$B$106,0)),IFERROR(INDEX(MUSTERILER!$B$7:$B$106,MATCH($T219&amp;"*",MUSTERILER!$T$7:$T$106,0)),"TANIMSIZ MÜŞTERİ"))))</f>
        <v/>
      </c>
      <c r="C219" s="109" t="n"/>
      <c r="D219" s="220" t="n"/>
      <c r="E219" s="220" t="n"/>
      <c r="F219" s="108" t="n"/>
      <c r="G219" s="221" t="n"/>
      <c r="H219" s="108" t="n"/>
      <c r="I219" s="222">
        <f>IF(OR($C219="",$D219="",$G219="",$F219=""),0,$G219*IF($F219="Aylık",MAX(0,(YEAR(MIN(IF($E219="",TODAY(),$E219),TODAY()))-YEAR($D219))*12+MONTH(MIN(IF($E219="",TODAY(),$E219),TODAY()))-MONTH($D219)+IF(MIN(IF($E219="",TODAY(),$E219),TODAY())&gt;=EOMONTH(MIN(IF($E219="",TODAY(),$E219),TODAY()),0),1,0)),MAX(0,INT((MIN(IF($E219="",TODAY(),$E219),TODAY())-($D219+MOD(SISTEM!$F$8-WEEKDAY($D219,2),7)))/7)+1)))</f>
        <v/>
      </c>
      <c r="J219" s="222">
        <f>IF(OR($C219="",$D219="",$G219="",$F219=""),0,$G219*IF($F219="Aylık",MAX(0,(YEAR(MIN(IF($E219="",TODAY()-8,$E219),TODAY()-8))-YEAR($D219))*12+MONTH(MIN(IF($E219="",TODAY()-8,$E219),TODAY()-8))-MONTH($D219)+IF(MIN(IF($E219="",TODAY()-8,$E219),TODAY()-8)&gt;=EOMONTH(MIN(IF($E219="",TODAY()-8,$E219),TODAY()-8),0),1,0)),MAX(0,INT((MIN(IF($E219="",TODAY()-8,$E219),TODAY()-8)-($D219+MOD(SISTEM!$F$8-WEEKDAY($D219,2),7)))/7)+1)))</f>
        <v/>
      </c>
      <c r="K219" s="222">
        <f>IF(OR($C219="",$D219="",$G219="",$F219=""),0,$G219*IF($F219="Aylık",MAX(0,(YEAR(MIN(IF($E219="",TODAY()-15,$E219),TODAY()-15))-YEAR($D219))*12+MONTH(MIN(IF($E219="",TODAY()-15,$E219),TODAY()-15))-MONTH($D219)+IF(MIN(IF($E219="",TODAY()-15,$E219),TODAY()-15)&gt;=EOMONTH(MIN(IF($E219="",TODAY()-15,$E219),TODAY()-15),0),1,0)),MAX(0,INT((MIN(IF($E219="",TODAY()-15,$E219),TODAY()-15)-($D219+MOD(SISTEM!$F$8-WEEKDAY($D219,2),7)))/7)+1)))</f>
        <v/>
      </c>
      <c r="L219" s="222">
        <f>IF(OR($C219="",$D219="",$G219="",$F219=""),0,$G219*IF($F219="Aylık",MAX(0,(YEAR(MIN(IF($E219="",TODAY()-29,$E219),TODAY()-29))-YEAR($D219))*12+MONTH(MIN(IF($E219="",TODAY()-29,$E219),TODAY()-29))-MONTH($D219)+IF(MIN(IF($E219="",TODAY()-29,$E219),TODAY()-29)&gt;=EOMONTH(MIN(IF($E219="",TODAY()-29,$E219),TODAY()-29),0),1,0)),MAX(0,INT((MIN(IF($E219="",TODAY()-29,$E219),TODAY()-29)-($D219+MOD(SISTEM!$F$8-WEEKDAY($D219,2),7)))/7)+1)))</f>
        <v/>
      </c>
      <c r="M219" s="223">
        <f>IF($G219&gt;0,$I219/$G219,0)</f>
        <v/>
      </c>
      <c r="N219" s="113">
        <f>IF($C219="","",IF($B219="TANIMSIZ MÜŞTERİ","TANIMSIZ MÜŞTERİ",IF($F219="","MODEL SEÇİN",IF(OR($D219="",$G219&lt;=0),"EKSİK",IF(AND($E219&lt;&gt;"",$E219&lt;$D219),"TARİH HATASI",IF($H219="Pasif","KAPALI DÖNEM","UYGUN"))))))</f>
        <v/>
      </c>
      <c r="O219" s="224">
        <f>IF(OR($C219="",$D219="",$F219=""),"",IF($F219="Aylık",EOMONTH($D219,0),($D219+MOD(SISTEM!$F$8-WEEKDAY($D219,2),7))))</f>
        <v/>
      </c>
      <c r="P219" s="109" t="n"/>
      <c r="Q219" s="6" t="n"/>
      <c r="R219" s="6" t="n"/>
      <c r="S219" s="3">
        <f>IF($B219="","",$B219&amp;"|"&amp;COUNTIFS($B$7:$B219,$B219))</f>
        <v/>
      </c>
      <c r="T219" s="3">
        <f>IF($C219="","",UPPER(SUBSTITUTE(SUBSTITUTE(SUBSTITUTE(SUBSTITUTE(SUBSTITUTE(SUBSTITUTE(SUBSTITUTE(SUBSTITUTE(SUBSTITUTE(SUBSTITUTE(SUBSTITUTE(SUBSTITUTE(SUBSTITUTE(SUBSTITUTE(SUBSTITUTE(SUBSTITUTE(SUBSTITUTE(SUBSTITUTE(TRIM($C219),"'",""),"İ","I"),"ı","I"),"i","I"),"Ş","S"),"ş","S"),"Ğ","G"),"ğ","G"),"Ü","U"),"ü","U"),"Ö","O"),"ö","O"),"Ç","C"),"ç","C"),".",""),",","")," ",""),"-","")))</f>
        <v/>
      </c>
    </row>
    <row r="220">
      <c r="A220" s="6" t="n"/>
      <c r="B220" s="113">
        <f>IF($C220="","",IFERROR(INDEX(MUSTERILER!$B$7:$B$106,MATCH($T220,MUSTERILER!$T$7:$T$106,0)),IFERROR(INDEX(MUSTERILER!$B$7:$B$106,MATCH($C220,MUSTERILER!$B$7:$B$106,0)),IFERROR(INDEX(MUSTERILER!$B$7:$B$106,MATCH($T220&amp;"*",MUSTERILER!$T$7:$T$106,0)),"TANIMSIZ MÜŞTERİ"))))</f>
        <v/>
      </c>
      <c r="C220" s="109" t="n"/>
      <c r="D220" s="220" t="n"/>
      <c r="E220" s="220" t="n"/>
      <c r="F220" s="108" t="n"/>
      <c r="G220" s="221" t="n"/>
      <c r="H220" s="108" t="n"/>
      <c r="I220" s="222">
        <f>IF(OR($C220="",$D220="",$G220="",$F220=""),0,$G220*IF($F220="Aylık",MAX(0,(YEAR(MIN(IF($E220="",TODAY(),$E220),TODAY()))-YEAR($D220))*12+MONTH(MIN(IF($E220="",TODAY(),$E220),TODAY()))-MONTH($D220)+IF(MIN(IF($E220="",TODAY(),$E220),TODAY())&gt;=EOMONTH(MIN(IF($E220="",TODAY(),$E220),TODAY()),0),1,0)),MAX(0,INT((MIN(IF($E220="",TODAY(),$E220),TODAY())-($D220+MOD(SISTEM!$F$8-WEEKDAY($D220,2),7)))/7)+1)))</f>
        <v/>
      </c>
      <c r="J220" s="222">
        <f>IF(OR($C220="",$D220="",$G220="",$F220=""),0,$G220*IF($F220="Aylık",MAX(0,(YEAR(MIN(IF($E220="",TODAY()-8,$E220),TODAY()-8))-YEAR($D220))*12+MONTH(MIN(IF($E220="",TODAY()-8,$E220),TODAY()-8))-MONTH($D220)+IF(MIN(IF($E220="",TODAY()-8,$E220),TODAY()-8)&gt;=EOMONTH(MIN(IF($E220="",TODAY()-8,$E220),TODAY()-8),0),1,0)),MAX(0,INT((MIN(IF($E220="",TODAY()-8,$E220),TODAY()-8)-($D220+MOD(SISTEM!$F$8-WEEKDAY($D220,2),7)))/7)+1)))</f>
        <v/>
      </c>
      <c r="K220" s="222">
        <f>IF(OR($C220="",$D220="",$G220="",$F220=""),0,$G220*IF($F220="Aylık",MAX(0,(YEAR(MIN(IF($E220="",TODAY()-15,$E220),TODAY()-15))-YEAR($D220))*12+MONTH(MIN(IF($E220="",TODAY()-15,$E220),TODAY()-15))-MONTH($D220)+IF(MIN(IF($E220="",TODAY()-15,$E220),TODAY()-15)&gt;=EOMONTH(MIN(IF($E220="",TODAY()-15,$E220),TODAY()-15),0),1,0)),MAX(0,INT((MIN(IF($E220="",TODAY()-15,$E220),TODAY()-15)-($D220+MOD(SISTEM!$F$8-WEEKDAY($D220,2),7)))/7)+1)))</f>
        <v/>
      </c>
      <c r="L220" s="222">
        <f>IF(OR($C220="",$D220="",$G220="",$F220=""),0,$G220*IF($F220="Aylık",MAX(0,(YEAR(MIN(IF($E220="",TODAY()-29,$E220),TODAY()-29))-YEAR($D220))*12+MONTH(MIN(IF($E220="",TODAY()-29,$E220),TODAY()-29))-MONTH($D220)+IF(MIN(IF($E220="",TODAY()-29,$E220),TODAY()-29)&gt;=EOMONTH(MIN(IF($E220="",TODAY()-29,$E220),TODAY()-29),0),1,0)),MAX(0,INT((MIN(IF($E220="",TODAY()-29,$E220),TODAY()-29)-($D220+MOD(SISTEM!$F$8-WEEKDAY($D220,2),7)))/7)+1)))</f>
        <v/>
      </c>
      <c r="M220" s="223">
        <f>IF($G220&gt;0,$I220/$G220,0)</f>
        <v/>
      </c>
      <c r="N220" s="113">
        <f>IF($C220="","",IF($B220="TANIMSIZ MÜŞTERİ","TANIMSIZ MÜŞTERİ",IF($F220="","MODEL SEÇİN",IF(OR($D220="",$G220&lt;=0),"EKSİK",IF(AND($E220&lt;&gt;"",$E220&lt;$D220),"TARİH HATASI",IF($H220="Pasif","KAPALI DÖNEM","UYGUN"))))))</f>
        <v/>
      </c>
      <c r="O220" s="224">
        <f>IF(OR($C220="",$D220="",$F220=""),"",IF($F220="Aylık",EOMONTH($D220,0),($D220+MOD(SISTEM!$F$8-WEEKDAY($D220,2),7))))</f>
        <v/>
      </c>
      <c r="P220" s="109" t="n"/>
      <c r="Q220" s="6" t="n"/>
      <c r="R220" s="6" t="n"/>
      <c r="S220" s="3">
        <f>IF($B220="","",$B220&amp;"|"&amp;COUNTIFS($B$7:$B220,$B220))</f>
        <v/>
      </c>
      <c r="T220" s="3">
        <f>IF($C220="","",UPPER(SUBSTITUTE(SUBSTITUTE(SUBSTITUTE(SUBSTITUTE(SUBSTITUTE(SUBSTITUTE(SUBSTITUTE(SUBSTITUTE(SUBSTITUTE(SUBSTITUTE(SUBSTITUTE(SUBSTITUTE(SUBSTITUTE(SUBSTITUTE(SUBSTITUTE(SUBSTITUTE(SUBSTITUTE(SUBSTITUTE(TRIM($C220),"'",""),"İ","I"),"ı","I"),"i","I"),"Ş","S"),"ş","S"),"Ğ","G"),"ğ","G"),"Ü","U"),"ü","U"),"Ö","O"),"ö","O"),"Ç","C"),"ç","C"),".",""),",","")," ",""),"-","")))</f>
        <v/>
      </c>
    </row>
    <row r="221">
      <c r="A221" s="6" t="n"/>
      <c r="B221" s="113">
        <f>IF($C221="","",IFERROR(INDEX(MUSTERILER!$B$7:$B$106,MATCH($T221,MUSTERILER!$T$7:$T$106,0)),IFERROR(INDEX(MUSTERILER!$B$7:$B$106,MATCH($C221,MUSTERILER!$B$7:$B$106,0)),IFERROR(INDEX(MUSTERILER!$B$7:$B$106,MATCH($T221&amp;"*",MUSTERILER!$T$7:$T$106,0)),"TANIMSIZ MÜŞTERİ"))))</f>
        <v/>
      </c>
      <c r="C221" s="109" t="n"/>
      <c r="D221" s="220" t="n"/>
      <c r="E221" s="220" t="n"/>
      <c r="F221" s="108" t="n"/>
      <c r="G221" s="221" t="n"/>
      <c r="H221" s="108" t="n"/>
      <c r="I221" s="222">
        <f>IF(OR($C221="",$D221="",$G221="",$F221=""),0,$G221*IF($F221="Aylık",MAX(0,(YEAR(MIN(IF($E221="",TODAY(),$E221),TODAY()))-YEAR($D221))*12+MONTH(MIN(IF($E221="",TODAY(),$E221),TODAY()))-MONTH($D221)+IF(MIN(IF($E221="",TODAY(),$E221),TODAY())&gt;=EOMONTH(MIN(IF($E221="",TODAY(),$E221),TODAY()),0),1,0)),MAX(0,INT((MIN(IF($E221="",TODAY(),$E221),TODAY())-($D221+MOD(SISTEM!$F$8-WEEKDAY($D221,2),7)))/7)+1)))</f>
        <v/>
      </c>
      <c r="J221" s="222">
        <f>IF(OR($C221="",$D221="",$G221="",$F221=""),0,$G221*IF($F221="Aylık",MAX(0,(YEAR(MIN(IF($E221="",TODAY()-8,$E221),TODAY()-8))-YEAR($D221))*12+MONTH(MIN(IF($E221="",TODAY()-8,$E221),TODAY()-8))-MONTH($D221)+IF(MIN(IF($E221="",TODAY()-8,$E221),TODAY()-8)&gt;=EOMONTH(MIN(IF($E221="",TODAY()-8,$E221),TODAY()-8),0),1,0)),MAX(0,INT((MIN(IF($E221="",TODAY()-8,$E221),TODAY()-8)-($D221+MOD(SISTEM!$F$8-WEEKDAY($D221,2),7)))/7)+1)))</f>
        <v/>
      </c>
      <c r="K221" s="222">
        <f>IF(OR($C221="",$D221="",$G221="",$F221=""),0,$G221*IF($F221="Aylık",MAX(0,(YEAR(MIN(IF($E221="",TODAY()-15,$E221),TODAY()-15))-YEAR($D221))*12+MONTH(MIN(IF($E221="",TODAY()-15,$E221),TODAY()-15))-MONTH($D221)+IF(MIN(IF($E221="",TODAY()-15,$E221),TODAY()-15)&gt;=EOMONTH(MIN(IF($E221="",TODAY()-15,$E221),TODAY()-15),0),1,0)),MAX(0,INT((MIN(IF($E221="",TODAY()-15,$E221),TODAY()-15)-($D221+MOD(SISTEM!$F$8-WEEKDAY($D221,2),7)))/7)+1)))</f>
        <v/>
      </c>
      <c r="L221" s="222">
        <f>IF(OR($C221="",$D221="",$G221="",$F221=""),0,$G221*IF($F221="Aylık",MAX(0,(YEAR(MIN(IF($E221="",TODAY()-29,$E221),TODAY()-29))-YEAR($D221))*12+MONTH(MIN(IF($E221="",TODAY()-29,$E221),TODAY()-29))-MONTH($D221)+IF(MIN(IF($E221="",TODAY()-29,$E221),TODAY()-29)&gt;=EOMONTH(MIN(IF($E221="",TODAY()-29,$E221),TODAY()-29),0),1,0)),MAX(0,INT((MIN(IF($E221="",TODAY()-29,$E221),TODAY()-29)-($D221+MOD(SISTEM!$F$8-WEEKDAY($D221,2),7)))/7)+1)))</f>
        <v/>
      </c>
      <c r="M221" s="223">
        <f>IF($G221&gt;0,$I221/$G221,0)</f>
        <v/>
      </c>
      <c r="N221" s="113">
        <f>IF($C221="","",IF($B221="TANIMSIZ MÜŞTERİ","TANIMSIZ MÜŞTERİ",IF($F221="","MODEL SEÇİN",IF(OR($D221="",$G221&lt;=0),"EKSİK",IF(AND($E221&lt;&gt;"",$E221&lt;$D221),"TARİH HATASI",IF($H221="Pasif","KAPALI DÖNEM","UYGUN"))))))</f>
        <v/>
      </c>
      <c r="O221" s="224">
        <f>IF(OR($C221="",$D221="",$F221=""),"",IF($F221="Aylık",EOMONTH($D221,0),($D221+MOD(SISTEM!$F$8-WEEKDAY($D221,2),7))))</f>
        <v/>
      </c>
      <c r="P221" s="109" t="n"/>
      <c r="Q221" s="6" t="n"/>
      <c r="R221" s="6" t="n"/>
      <c r="S221" s="3">
        <f>IF($B221="","",$B221&amp;"|"&amp;COUNTIFS($B$7:$B221,$B221))</f>
        <v/>
      </c>
      <c r="T221" s="3">
        <f>IF($C221="","",UPPER(SUBSTITUTE(SUBSTITUTE(SUBSTITUTE(SUBSTITUTE(SUBSTITUTE(SUBSTITUTE(SUBSTITUTE(SUBSTITUTE(SUBSTITUTE(SUBSTITUTE(SUBSTITUTE(SUBSTITUTE(SUBSTITUTE(SUBSTITUTE(SUBSTITUTE(SUBSTITUTE(SUBSTITUTE(SUBSTITUTE(TRIM($C221),"'",""),"İ","I"),"ı","I"),"i","I"),"Ş","S"),"ş","S"),"Ğ","G"),"ğ","G"),"Ü","U"),"ü","U"),"Ö","O"),"ö","O"),"Ç","C"),"ç","C"),".",""),",","")," ",""),"-","")))</f>
        <v/>
      </c>
    </row>
    <row r="222">
      <c r="A222" s="6" t="n"/>
      <c r="B222" s="113">
        <f>IF($C222="","",IFERROR(INDEX(MUSTERILER!$B$7:$B$106,MATCH($T222,MUSTERILER!$T$7:$T$106,0)),IFERROR(INDEX(MUSTERILER!$B$7:$B$106,MATCH($C222,MUSTERILER!$B$7:$B$106,0)),IFERROR(INDEX(MUSTERILER!$B$7:$B$106,MATCH($T222&amp;"*",MUSTERILER!$T$7:$T$106,0)),"TANIMSIZ MÜŞTERİ"))))</f>
        <v/>
      </c>
      <c r="C222" s="109" t="n"/>
      <c r="D222" s="220" t="n"/>
      <c r="E222" s="220" t="n"/>
      <c r="F222" s="108" t="n"/>
      <c r="G222" s="221" t="n"/>
      <c r="H222" s="108" t="n"/>
      <c r="I222" s="222">
        <f>IF(OR($C222="",$D222="",$G222="",$F222=""),0,$G222*IF($F222="Aylık",MAX(0,(YEAR(MIN(IF($E222="",TODAY(),$E222),TODAY()))-YEAR($D222))*12+MONTH(MIN(IF($E222="",TODAY(),$E222),TODAY()))-MONTH($D222)+IF(MIN(IF($E222="",TODAY(),$E222),TODAY())&gt;=EOMONTH(MIN(IF($E222="",TODAY(),$E222),TODAY()),0),1,0)),MAX(0,INT((MIN(IF($E222="",TODAY(),$E222),TODAY())-($D222+MOD(SISTEM!$F$8-WEEKDAY($D222,2),7)))/7)+1)))</f>
        <v/>
      </c>
      <c r="J222" s="222">
        <f>IF(OR($C222="",$D222="",$G222="",$F222=""),0,$G222*IF($F222="Aylık",MAX(0,(YEAR(MIN(IF($E222="",TODAY()-8,$E222),TODAY()-8))-YEAR($D222))*12+MONTH(MIN(IF($E222="",TODAY()-8,$E222),TODAY()-8))-MONTH($D222)+IF(MIN(IF($E222="",TODAY()-8,$E222),TODAY()-8)&gt;=EOMONTH(MIN(IF($E222="",TODAY()-8,$E222),TODAY()-8),0),1,0)),MAX(0,INT((MIN(IF($E222="",TODAY()-8,$E222),TODAY()-8)-($D222+MOD(SISTEM!$F$8-WEEKDAY($D222,2),7)))/7)+1)))</f>
        <v/>
      </c>
      <c r="K222" s="222">
        <f>IF(OR($C222="",$D222="",$G222="",$F222=""),0,$G222*IF($F222="Aylık",MAX(0,(YEAR(MIN(IF($E222="",TODAY()-15,$E222),TODAY()-15))-YEAR($D222))*12+MONTH(MIN(IF($E222="",TODAY()-15,$E222),TODAY()-15))-MONTH($D222)+IF(MIN(IF($E222="",TODAY()-15,$E222),TODAY()-15)&gt;=EOMONTH(MIN(IF($E222="",TODAY()-15,$E222),TODAY()-15),0),1,0)),MAX(0,INT((MIN(IF($E222="",TODAY()-15,$E222),TODAY()-15)-($D222+MOD(SISTEM!$F$8-WEEKDAY($D222,2),7)))/7)+1)))</f>
        <v/>
      </c>
      <c r="L222" s="222">
        <f>IF(OR($C222="",$D222="",$G222="",$F222=""),0,$G222*IF($F222="Aylık",MAX(0,(YEAR(MIN(IF($E222="",TODAY()-29,$E222),TODAY()-29))-YEAR($D222))*12+MONTH(MIN(IF($E222="",TODAY()-29,$E222),TODAY()-29))-MONTH($D222)+IF(MIN(IF($E222="",TODAY()-29,$E222),TODAY()-29)&gt;=EOMONTH(MIN(IF($E222="",TODAY()-29,$E222),TODAY()-29),0),1,0)),MAX(0,INT((MIN(IF($E222="",TODAY()-29,$E222),TODAY()-29)-($D222+MOD(SISTEM!$F$8-WEEKDAY($D222,2),7)))/7)+1)))</f>
        <v/>
      </c>
      <c r="M222" s="223">
        <f>IF($G222&gt;0,$I222/$G222,0)</f>
        <v/>
      </c>
      <c r="N222" s="113">
        <f>IF($C222="","",IF($B222="TANIMSIZ MÜŞTERİ","TANIMSIZ MÜŞTERİ",IF($F222="","MODEL SEÇİN",IF(OR($D222="",$G222&lt;=0),"EKSİK",IF(AND($E222&lt;&gt;"",$E222&lt;$D222),"TARİH HATASI",IF($H222="Pasif","KAPALI DÖNEM","UYGUN"))))))</f>
        <v/>
      </c>
      <c r="O222" s="224">
        <f>IF(OR($C222="",$D222="",$F222=""),"",IF($F222="Aylık",EOMONTH($D222,0),($D222+MOD(SISTEM!$F$8-WEEKDAY($D222,2),7))))</f>
        <v/>
      </c>
      <c r="P222" s="109" t="n"/>
      <c r="Q222" s="6" t="n"/>
      <c r="R222" s="6" t="n"/>
      <c r="S222" s="3">
        <f>IF($B222="","",$B222&amp;"|"&amp;COUNTIFS($B$7:$B222,$B222))</f>
        <v/>
      </c>
      <c r="T222" s="3">
        <f>IF($C222="","",UPPER(SUBSTITUTE(SUBSTITUTE(SUBSTITUTE(SUBSTITUTE(SUBSTITUTE(SUBSTITUTE(SUBSTITUTE(SUBSTITUTE(SUBSTITUTE(SUBSTITUTE(SUBSTITUTE(SUBSTITUTE(SUBSTITUTE(SUBSTITUTE(SUBSTITUTE(SUBSTITUTE(SUBSTITUTE(SUBSTITUTE(TRIM($C222),"'",""),"İ","I"),"ı","I"),"i","I"),"Ş","S"),"ş","S"),"Ğ","G"),"ğ","G"),"Ü","U"),"ü","U"),"Ö","O"),"ö","O"),"Ç","C"),"ç","C"),".",""),",","")," ",""),"-","")))</f>
        <v/>
      </c>
    </row>
    <row r="223">
      <c r="A223" s="6" t="n"/>
      <c r="B223" s="113">
        <f>IF($C223="","",IFERROR(INDEX(MUSTERILER!$B$7:$B$106,MATCH($T223,MUSTERILER!$T$7:$T$106,0)),IFERROR(INDEX(MUSTERILER!$B$7:$B$106,MATCH($C223,MUSTERILER!$B$7:$B$106,0)),IFERROR(INDEX(MUSTERILER!$B$7:$B$106,MATCH($T223&amp;"*",MUSTERILER!$T$7:$T$106,0)),"TANIMSIZ MÜŞTERİ"))))</f>
        <v/>
      </c>
      <c r="C223" s="109" t="n"/>
      <c r="D223" s="220" t="n"/>
      <c r="E223" s="220" t="n"/>
      <c r="F223" s="108" t="n"/>
      <c r="G223" s="221" t="n"/>
      <c r="H223" s="108" t="n"/>
      <c r="I223" s="222">
        <f>IF(OR($C223="",$D223="",$G223="",$F223=""),0,$G223*IF($F223="Aylık",MAX(0,(YEAR(MIN(IF($E223="",TODAY(),$E223),TODAY()))-YEAR($D223))*12+MONTH(MIN(IF($E223="",TODAY(),$E223),TODAY()))-MONTH($D223)+IF(MIN(IF($E223="",TODAY(),$E223),TODAY())&gt;=EOMONTH(MIN(IF($E223="",TODAY(),$E223),TODAY()),0),1,0)),MAX(0,INT((MIN(IF($E223="",TODAY(),$E223),TODAY())-($D223+MOD(SISTEM!$F$8-WEEKDAY($D223,2),7)))/7)+1)))</f>
        <v/>
      </c>
      <c r="J223" s="222">
        <f>IF(OR($C223="",$D223="",$G223="",$F223=""),0,$G223*IF($F223="Aylık",MAX(0,(YEAR(MIN(IF($E223="",TODAY()-8,$E223),TODAY()-8))-YEAR($D223))*12+MONTH(MIN(IF($E223="",TODAY()-8,$E223),TODAY()-8))-MONTH($D223)+IF(MIN(IF($E223="",TODAY()-8,$E223),TODAY()-8)&gt;=EOMONTH(MIN(IF($E223="",TODAY()-8,$E223),TODAY()-8),0),1,0)),MAX(0,INT((MIN(IF($E223="",TODAY()-8,$E223),TODAY()-8)-($D223+MOD(SISTEM!$F$8-WEEKDAY($D223,2),7)))/7)+1)))</f>
        <v/>
      </c>
      <c r="K223" s="222">
        <f>IF(OR($C223="",$D223="",$G223="",$F223=""),0,$G223*IF($F223="Aylık",MAX(0,(YEAR(MIN(IF($E223="",TODAY()-15,$E223),TODAY()-15))-YEAR($D223))*12+MONTH(MIN(IF($E223="",TODAY()-15,$E223),TODAY()-15))-MONTH($D223)+IF(MIN(IF($E223="",TODAY()-15,$E223),TODAY()-15)&gt;=EOMONTH(MIN(IF($E223="",TODAY()-15,$E223),TODAY()-15),0),1,0)),MAX(0,INT((MIN(IF($E223="",TODAY()-15,$E223),TODAY()-15)-($D223+MOD(SISTEM!$F$8-WEEKDAY($D223,2),7)))/7)+1)))</f>
        <v/>
      </c>
      <c r="L223" s="222">
        <f>IF(OR($C223="",$D223="",$G223="",$F223=""),0,$G223*IF($F223="Aylık",MAX(0,(YEAR(MIN(IF($E223="",TODAY()-29,$E223),TODAY()-29))-YEAR($D223))*12+MONTH(MIN(IF($E223="",TODAY()-29,$E223),TODAY()-29))-MONTH($D223)+IF(MIN(IF($E223="",TODAY()-29,$E223),TODAY()-29)&gt;=EOMONTH(MIN(IF($E223="",TODAY()-29,$E223),TODAY()-29),0),1,0)),MAX(0,INT((MIN(IF($E223="",TODAY()-29,$E223),TODAY()-29)-($D223+MOD(SISTEM!$F$8-WEEKDAY($D223,2),7)))/7)+1)))</f>
        <v/>
      </c>
      <c r="M223" s="223">
        <f>IF($G223&gt;0,$I223/$G223,0)</f>
        <v/>
      </c>
      <c r="N223" s="113">
        <f>IF($C223="","",IF($B223="TANIMSIZ MÜŞTERİ","TANIMSIZ MÜŞTERİ",IF($F223="","MODEL SEÇİN",IF(OR($D223="",$G223&lt;=0),"EKSİK",IF(AND($E223&lt;&gt;"",$E223&lt;$D223),"TARİH HATASI",IF($H223="Pasif","KAPALI DÖNEM","UYGUN"))))))</f>
        <v/>
      </c>
      <c r="O223" s="224">
        <f>IF(OR($C223="",$D223="",$F223=""),"",IF($F223="Aylık",EOMONTH($D223,0),($D223+MOD(SISTEM!$F$8-WEEKDAY($D223,2),7))))</f>
        <v/>
      </c>
      <c r="P223" s="109" t="n"/>
      <c r="Q223" s="6" t="n"/>
      <c r="R223" s="6" t="n"/>
      <c r="S223" s="3">
        <f>IF($B223="","",$B223&amp;"|"&amp;COUNTIFS($B$7:$B223,$B223))</f>
        <v/>
      </c>
      <c r="T223" s="3">
        <f>IF($C223="","",UPPER(SUBSTITUTE(SUBSTITUTE(SUBSTITUTE(SUBSTITUTE(SUBSTITUTE(SUBSTITUTE(SUBSTITUTE(SUBSTITUTE(SUBSTITUTE(SUBSTITUTE(SUBSTITUTE(SUBSTITUTE(SUBSTITUTE(SUBSTITUTE(SUBSTITUTE(SUBSTITUTE(SUBSTITUTE(SUBSTITUTE(TRIM($C223),"'",""),"İ","I"),"ı","I"),"i","I"),"Ş","S"),"ş","S"),"Ğ","G"),"ğ","G"),"Ü","U"),"ü","U"),"Ö","O"),"ö","O"),"Ç","C"),"ç","C"),".",""),",","")," ",""),"-","")))</f>
        <v/>
      </c>
    </row>
    <row r="224">
      <c r="A224" s="6" t="n"/>
      <c r="B224" s="113">
        <f>IF($C224="","",IFERROR(INDEX(MUSTERILER!$B$7:$B$106,MATCH($T224,MUSTERILER!$T$7:$T$106,0)),IFERROR(INDEX(MUSTERILER!$B$7:$B$106,MATCH($C224,MUSTERILER!$B$7:$B$106,0)),IFERROR(INDEX(MUSTERILER!$B$7:$B$106,MATCH($T224&amp;"*",MUSTERILER!$T$7:$T$106,0)),"TANIMSIZ MÜŞTERİ"))))</f>
        <v/>
      </c>
      <c r="C224" s="109" t="n"/>
      <c r="D224" s="220" t="n"/>
      <c r="E224" s="220" t="n"/>
      <c r="F224" s="108" t="n"/>
      <c r="G224" s="221" t="n"/>
      <c r="H224" s="108" t="n"/>
      <c r="I224" s="222">
        <f>IF(OR($C224="",$D224="",$G224="",$F224=""),0,$G224*IF($F224="Aylık",MAX(0,(YEAR(MIN(IF($E224="",TODAY(),$E224),TODAY()))-YEAR($D224))*12+MONTH(MIN(IF($E224="",TODAY(),$E224),TODAY()))-MONTH($D224)+IF(MIN(IF($E224="",TODAY(),$E224),TODAY())&gt;=EOMONTH(MIN(IF($E224="",TODAY(),$E224),TODAY()),0),1,0)),MAX(0,INT((MIN(IF($E224="",TODAY(),$E224),TODAY())-($D224+MOD(SISTEM!$F$8-WEEKDAY($D224,2),7)))/7)+1)))</f>
        <v/>
      </c>
      <c r="J224" s="222">
        <f>IF(OR($C224="",$D224="",$G224="",$F224=""),0,$G224*IF($F224="Aylık",MAX(0,(YEAR(MIN(IF($E224="",TODAY()-8,$E224),TODAY()-8))-YEAR($D224))*12+MONTH(MIN(IF($E224="",TODAY()-8,$E224),TODAY()-8))-MONTH($D224)+IF(MIN(IF($E224="",TODAY()-8,$E224),TODAY()-8)&gt;=EOMONTH(MIN(IF($E224="",TODAY()-8,$E224),TODAY()-8),0),1,0)),MAX(0,INT((MIN(IF($E224="",TODAY()-8,$E224),TODAY()-8)-($D224+MOD(SISTEM!$F$8-WEEKDAY($D224,2),7)))/7)+1)))</f>
        <v/>
      </c>
      <c r="K224" s="222">
        <f>IF(OR($C224="",$D224="",$G224="",$F224=""),0,$G224*IF($F224="Aylık",MAX(0,(YEAR(MIN(IF($E224="",TODAY()-15,$E224),TODAY()-15))-YEAR($D224))*12+MONTH(MIN(IF($E224="",TODAY()-15,$E224),TODAY()-15))-MONTH($D224)+IF(MIN(IF($E224="",TODAY()-15,$E224),TODAY()-15)&gt;=EOMONTH(MIN(IF($E224="",TODAY()-15,$E224),TODAY()-15),0),1,0)),MAX(0,INT((MIN(IF($E224="",TODAY()-15,$E224),TODAY()-15)-($D224+MOD(SISTEM!$F$8-WEEKDAY($D224,2),7)))/7)+1)))</f>
        <v/>
      </c>
      <c r="L224" s="222">
        <f>IF(OR($C224="",$D224="",$G224="",$F224=""),0,$G224*IF($F224="Aylık",MAX(0,(YEAR(MIN(IF($E224="",TODAY()-29,$E224),TODAY()-29))-YEAR($D224))*12+MONTH(MIN(IF($E224="",TODAY()-29,$E224),TODAY()-29))-MONTH($D224)+IF(MIN(IF($E224="",TODAY()-29,$E224),TODAY()-29)&gt;=EOMONTH(MIN(IF($E224="",TODAY()-29,$E224),TODAY()-29),0),1,0)),MAX(0,INT((MIN(IF($E224="",TODAY()-29,$E224),TODAY()-29)-($D224+MOD(SISTEM!$F$8-WEEKDAY($D224,2),7)))/7)+1)))</f>
        <v/>
      </c>
      <c r="M224" s="223">
        <f>IF($G224&gt;0,$I224/$G224,0)</f>
        <v/>
      </c>
      <c r="N224" s="113">
        <f>IF($C224="","",IF($B224="TANIMSIZ MÜŞTERİ","TANIMSIZ MÜŞTERİ",IF($F224="","MODEL SEÇİN",IF(OR($D224="",$G224&lt;=0),"EKSİK",IF(AND($E224&lt;&gt;"",$E224&lt;$D224),"TARİH HATASI",IF($H224="Pasif","KAPALI DÖNEM","UYGUN"))))))</f>
        <v/>
      </c>
      <c r="O224" s="224">
        <f>IF(OR($C224="",$D224="",$F224=""),"",IF($F224="Aylık",EOMONTH($D224,0),($D224+MOD(SISTEM!$F$8-WEEKDAY($D224,2),7))))</f>
        <v/>
      </c>
      <c r="P224" s="109" t="n"/>
      <c r="Q224" s="6" t="n"/>
      <c r="R224" s="6" t="n"/>
      <c r="S224" s="3">
        <f>IF($B224="","",$B224&amp;"|"&amp;COUNTIFS($B$7:$B224,$B224))</f>
        <v/>
      </c>
      <c r="T224" s="3">
        <f>IF($C224="","",UPPER(SUBSTITUTE(SUBSTITUTE(SUBSTITUTE(SUBSTITUTE(SUBSTITUTE(SUBSTITUTE(SUBSTITUTE(SUBSTITUTE(SUBSTITUTE(SUBSTITUTE(SUBSTITUTE(SUBSTITUTE(SUBSTITUTE(SUBSTITUTE(SUBSTITUTE(SUBSTITUTE(SUBSTITUTE(SUBSTITUTE(TRIM($C224),"'",""),"İ","I"),"ı","I"),"i","I"),"Ş","S"),"ş","S"),"Ğ","G"),"ğ","G"),"Ü","U"),"ü","U"),"Ö","O"),"ö","O"),"Ç","C"),"ç","C"),".",""),",","")," ",""),"-","")))</f>
        <v/>
      </c>
    </row>
    <row r="225">
      <c r="A225" s="6" t="n"/>
      <c r="B225" s="113">
        <f>IF($C225="","",IFERROR(INDEX(MUSTERILER!$B$7:$B$106,MATCH($T225,MUSTERILER!$T$7:$T$106,0)),IFERROR(INDEX(MUSTERILER!$B$7:$B$106,MATCH($C225,MUSTERILER!$B$7:$B$106,0)),IFERROR(INDEX(MUSTERILER!$B$7:$B$106,MATCH($T225&amp;"*",MUSTERILER!$T$7:$T$106,0)),"TANIMSIZ MÜŞTERİ"))))</f>
        <v/>
      </c>
      <c r="C225" s="109" t="n"/>
      <c r="D225" s="220" t="n"/>
      <c r="E225" s="220" t="n"/>
      <c r="F225" s="108" t="n"/>
      <c r="G225" s="221" t="n"/>
      <c r="H225" s="108" t="n"/>
      <c r="I225" s="222">
        <f>IF(OR($C225="",$D225="",$G225="",$F225=""),0,$G225*IF($F225="Aylık",MAX(0,(YEAR(MIN(IF($E225="",TODAY(),$E225),TODAY()))-YEAR($D225))*12+MONTH(MIN(IF($E225="",TODAY(),$E225),TODAY()))-MONTH($D225)+IF(MIN(IF($E225="",TODAY(),$E225),TODAY())&gt;=EOMONTH(MIN(IF($E225="",TODAY(),$E225),TODAY()),0),1,0)),MAX(0,INT((MIN(IF($E225="",TODAY(),$E225),TODAY())-($D225+MOD(SISTEM!$F$8-WEEKDAY($D225,2),7)))/7)+1)))</f>
        <v/>
      </c>
      <c r="J225" s="222">
        <f>IF(OR($C225="",$D225="",$G225="",$F225=""),0,$G225*IF($F225="Aylık",MAX(0,(YEAR(MIN(IF($E225="",TODAY()-8,$E225),TODAY()-8))-YEAR($D225))*12+MONTH(MIN(IF($E225="",TODAY()-8,$E225),TODAY()-8))-MONTH($D225)+IF(MIN(IF($E225="",TODAY()-8,$E225),TODAY()-8)&gt;=EOMONTH(MIN(IF($E225="",TODAY()-8,$E225),TODAY()-8),0),1,0)),MAX(0,INT((MIN(IF($E225="",TODAY()-8,$E225),TODAY()-8)-($D225+MOD(SISTEM!$F$8-WEEKDAY($D225,2),7)))/7)+1)))</f>
        <v/>
      </c>
      <c r="K225" s="222">
        <f>IF(OR($C225="",$D225="",$G225="",$F225=""),0,$G225*IF($F225="Aylık",MAX(0,(YEAR(MIN(IF($E225="",TODAY()-15,$E225),TODAY()-15))-YEAR($D225))*12+MONTH(MIN(IF($E225="",TODAY()-15,$E225),TODAY()-15))-MONTH($D225)+IF(MIN(IF($E225="",TODAY()-15,$E225),TODAY()-15)&gt;=EOMONTH(MIN(IF($E225="",TODAY()-15,$E225),TODAY()-15),0),1,0)),MAX(0,INT((MIN(IF($E225="",TODAY()-15,$E225),TODAY()-15)-($D225+MOD(SISTEM!$F$8-WEEKDAY($D225,2),7)))/7)+1)))</f>
        <v/>
      </c>
      <c r="L225" s="222">
        <f>IF(OR($C225="",$D225="",$G225="",$F225=""),0,$G225*IF($F225="Aylık",MAX(0,(YEAR(MIN(IF($E225="",TODAY()-29,$E225),TODAY()-29))-YEAR($D225))*12+MONTH(MIN(IF($E225="",TODAY()-29,$E225),TODAY()-29))-MONTH($D225)+IF(MIN(IF($E225="",TODAY()-29,$E225),TODAY()-29)&gt;=EOMONTH(MIN(IF($E225="",TODAY()-29,$E225),TODAY()-29),0),1,0)),MAX(0,INT((MIN(IF($E225="",TODAY()-29,$E225),TODAY()-29)-($D225+MOD(SISTEM!$F$8-WEEKDAY($D225,2),7)))/7)+1)))</f>
        <v/>
      </c>
      <c r="M225" s="223">
        <f>IF($G225&gt;0,$I225/$G225,0)</f>
        <v/>
      </c>
      <c r="N225" s="113">
        <f>IF($C225="","",IF($B225="TANIMSIZ MÜŞTERİ","TANIMSIZ MÜŞTERİ",IF($F225="","MODEL SEÇİN",IF(OR($D225="",$G225&lt;=0),"EKSİK",IF(AND($E225&lt;&gt;"",$E225&lt;$D225),"TARİH HATASI",IF($H225="Pasif","KAPALI DÖNEM","UYGUN"))))))</f>
        <v/>
      </c>
      <c r="O225" s="224">
        <f>IF(OR($C225="",$D225="",$F225=""),"",IF($F225="Aylık",EOMONTH($D225,0),($D225+MOD(SISTEM!$F$8-WEEKDAY($D225,2),7))))</f>
        <v/>
      </c>
      <c r="P225" s="109" t="n"/>
      <c r="Q225" s="6" t="n"/>
      <c r="R225" s="6" t="n"/>
      <c r="S225" s="3">
        <f>IF($B225="","",$B225&amp;"|"&amp;COUNTIFS($B$7:$B225,$B225))</f>
        <v/>
      </c>
      <c r="T225" s="3">
        <f>IF($C225="","",UPPER(SUBSTITUTE(SUBSTITUTE(SUBSTITUTE(SUBSTITUTE(SUBSTITUTE(SUBSTITUTE(SUBSTITUTE(SUBSTITUTE(SUBSTITUTE(SUBSTITUTE(SUBSTITUTE(SUBSTITUTE(SUBSTITUTE(SUBSTITUTE(SUBSTITUTE(SUBSTITUTE(SUBSTITUTE(SUBSTITUTE(TRIM($C225),"'",""),"İ","I"),"ı","I"),"i","I"),"Ş","S"),"ş","S"),"Ğ","G"),"ğ","G"),"Ü","U"),"ü","U"),"Ö","O"),"ö","O"),"Ç","C"),"ç","C"),".",""),",","")," ",""),"-","")))</f>
        <v/>
      </c>
    </row>
    <row r="226">
      <c r="A226" s="6" t="n"/>
      <c r="B226" s="113">
        <f>IF($C226="","",IFERROR(INDEX(MUSTERILER!$B$7:$B$106,MATCH($T226,MUSTERILER!$T$7:$T$106,0)),IFERROR(INDEX(MUSTERILER!$B$7:$B$106,MATCH($C226,MUSTERILER!$B$7:$B$106,0)),IFERROR(INDEX(MUSTERILER!$B$7:$B$106,MATCH($T226&amp;"*",MUSTERILER!$T$7:$T$106,0)),"TANIMSIZ MÜŞTERİ"))))</f>
        <v/>
      </c>
      <c r="C226" s="109" t="n"/>
      <c r="D226" s="220" t="n"/>
      <c r="E226" s="220" t="n"/>
      <c r="F226" s="108" t="n"/>
      <c r="G226" s="221" t="n"/>
      <c r="H226" s="108" t="n"/>
      <c r="I226" s="222">
        <f>IF(OR($C226="",$D226="",$G226="",$F226=""),0,$G226*IF($F226="Aylık",MAX(0,(YEAR(MIN(IF($E226="",TODAY(),$E226),TODAY()))-YEAR($D226))*12+MONTH(MIN(IF($E226="",TODAY(),$E226),TODAY()))-MONTH($D226)+IF(MIN(IF($E226="",TODAY(),$E226),TODAY())&gt;=EOMONTH(MIN(IF($E226="",TODAY(),$E226),TODAY()),0),1,0)),MAX(0,INT((MIN(IF($E226="",TODAY(),$E226),TODAY())-($D226+MOD(SISTEM!$F$8-WEEKDAY($D226,2),7)))/7)+1)))</f>
        <v/>
      </c>
      <c r="J226" s="222">
        <f>IF(OR($C226="",$D226="",$G226="",$F226=""),0,$G226*IF($F226="Aylık",MAX(0,(YEAR(MIN(IF($E226="",TODAY()-8,$E226),TODAY()-8))-YEAR($D226))*12+MONTH(MIN(IF($E226="",TODAY()-8,$E226),TODAY()-8))-MONTH($D226)+IF(MIN(IF($E226="",TODAY()-8,$E226),TODAY()-8)&gt;=EOMONTH(MIN(IF($E226="",TODAY()-8,$E226),TODAY()-8),0),1,0)),MAX(0,INT((MIN(IF($E226="",TODAY()-8,$E226),TODAY()-8)-($D226+MOD(SISTEM!$F$8-WEEKDAY($D226,2),7)))/7)+1)))</f>
        <v/>
      </c>
      <c r="K226" s="222">
        <f>IF(OR($C226="",$D226="",$G226="",$F226=""),0,$G226*IF($F226="Aylık",MAX(0,(YEAR(MIN(IF($E226="",TODAY()-15,$E226),TODAY()-15))-YEAR($D226))*12+MONTH(MIN(IF($E226="",TODAY()-15,$E226),TODAY()-15))-MONTH($D226)+IF(MIN(IF($E226="",TODAY()-15,$E226),TODAY()-15)&gt;=EOMONTH(MIN(IF($E226="",TODAY()-15,$E226),TODAY()-15),0),1,0)),MAX(0,INT((MIN(IF($E226="",TODAY()-15,$E226),TODAY()-15)-($D226+MOD(SISTEM!$F$8-WEEKDAY($D226,2),7)))/7)+1)))</f>
        <v/>
      </c>
      <c r="L226" s="222">
        <f>IF(OR($C226="",$D226="",$G226="",$F226=""),0,$G226*IF($F226="Aylık",MAX(0,(YEAR(MIN(IF($E226="",TODAY()-29,$E226),TODAY()-29))-YEAR($D226))*12+MONTH(MIN(IF($E226="",TODAY()-29,$E226),TODAY()-29))-MONTH($D226)+IF(MIN(IF($E226="",TODAY()-29,$E226),TODAY()-29)&gt;=EOMONTH(MIN(IF($E226="",TODAY()-29,$E226),TODAY()-29),0),1,0)),MAX(0,INT((MIN(IF($E226="",TODAY()-29,$E226),TODAY()-29)-($D226+MOD(SISTEM!$F$8-WEEKDAY($D226,2),7)))/7)+1)))</f>
        <v/>
      </c>
      <c r="M226" s="223">
        <f>IF($G226&gt;0,$I226/$G226,0)</f>
        <v/>
      </c>
      <c r="N226" s="113">
        <f>IF($C226="","",IF($B226="TANIMSIZ MÜŞTERİ","TANIMSIZ MÜŞTERİ",IF($F226="","MODEL SEÇİN",IF(OR($D226="",$G226&lt;=0),"EKSİK",IF(AND($E226&lt;&gt;"",$E226&lt;$D226),"TARİH HATASI",IF($H226="Pasif","KAPALI DÖNEM","UYGUN"))))))</f>
        <v/>
      </c>
      <c r="O226" s="224">
        <f>IF(OR($C226="",$D226="",$F226=""),"",IF($F226="Aylık",EOMONTH($D226,0),($D226+MOD(SISTEM!$F$8-WEEKDAY($D226,2),7))))</f>
        <v/>
      </c>
      <c r="P226" s="109" t="n"/>
      <c r="Q226" s="6" t="n"/>
      <c r="R226" s="6" t="n"/>
      <c r="S226" s="3">
        <f>IF($B226="","",$B226&amp;"|"&amp;COUNTIFS($B$7:$B226,$B226))</f>
        <v/>
      </c>
      <c r="T226" s="3">
        <f>IF($C226="","",UPPER(SUBSTITUTE(SUBSTITUTE(SUBSTITUTE(SUBSTITUTE(SUBSTITUTE(SUBSTITUTE(SUBSTITUTE(SUBSTITUTE(SUBSTITUTE(SUBSTITUTE(SUBSTITUTE(SUBSTITUTE(SUBSTITUTE(SUBSTITUTE(SUBSTITUTE(SUBSTITUTE(SUBSTITUTE(SUBSTITUTE(TRIM($C226),"'",""),"İ","I"),"ı","I"),"i","I"),"Ş","S"),"ş","S"),"Ğ","G"),"ğ","G"),"Ü","U"),"ü","U"),"Ö","O"),"ö","O"),"Ç","C"),"ç","C"),".",""),",","")," ",""),"-","")))</f>
        <v/>
      </c>
    </row>
    <row r="227">
      <c r="A227" s="6" t="n"/>
      <c r="B227" s="113">
        <f>IF($C227="","",IFERROR(INDEX(MUSTERILER!$B$7:$B$106,MATCH($T227,MUSTERILER!$T$7:$T$106,0)),IFERROR(INDEX(MUSTERILER!$B$7:$B$106,MATCH($C227,MUSTERILER!$B$7:$B$106,0)),IFERROR(INDEX(MUSTERILER!$B$7:$B$106,MATCH($T227&amp;"*",MUSTERILER!$T$7:$T$106,0)),"TANIMSIZ MÜŞTERİ"))))</f>
        <v/>
      </c>
      <c r="C227" s="109" t="n"/>
      <c r="D227" s="220" t="n"/>
      <c r="E227" s="220" t="n"/>
      <c r="F227" s="108" t="n"/>
      <c r="G227" s="221" t="n"/>
      <c r="H227" s="108" t="n"/>
      <c r="I227" s="222">
        <f>IF(OR($C227="",$D227="",$G227="",$F227=""),0,$G227*IF($F227="Aylık",MAX(0,(YEAR(MIN(IF($E227="",TODAY(),$E227),TODAY()))-YEAR($D227))*12+MONTH(MIN(IF($E227="",TODAY(),$E227),TODAY()))-MONTH($D227)+IF(MIN(IF($E227="",TODAY(),$E227),TODAY())&gt;=EOMONTH(MIN(IF($E227="",TODAY(),$E227),TODAY()),0),1,0)),MAX(0,INT((MIN(IF($E227="",TODAY(),$E227),TODAY())-($D227+MOD(SISTEM!$F$8-WEEKDAY($D227,2),7)))/7)+1)))</f>
        <v/>
      </c>
      <c r="J227" s="222">
        <f>IF(OR($C227="",$D227="",$G227="",$F227=""),0,$G227*IF($F227="Aylık",MAX(0,(YEAR(MIN(IF($E227="",TODAY()-8,$E227),TODAY()-8))-YEAR($D227))*12+MONTH(MIN(IF($E227="",TODAY()-8,$E227),TODAY()-8))-MONTH($D227)+IF(MIN(IF($E227="",TODAY()-8,$E227),TODAY()-8)&gt;=EOMONTH(MIN(IF($E227="",TODAY()-8,$E227),TODAY()-8),0),1,0)),MAX(0,INT((MIN(IF($E227="",TODAY()-8,$E227),TODAY()-8)-($D227+MOD(SISTEM!$F$8-WEEKDAY($D227,2),7)))/7)+1)))</f>
        <v/>
      </c>
      <c r="K227" s="222">
        <f>IF(OR($C227="",$D227="",$G227="",$F227=""),0,$G227*IF($F227="Aylık",MAX(0,(YEAR(MIN(IF($E227="",TODAY()-15,$E227),TODAY()-15))-YEAR($D227))*12+MONTH(MIN(IF($E227="",TODAY()-15,$E227),TODAY()-15))-MONTH($D227)+IF(MIN(IF($E227="",TODAY()-15,$E227),TODAY()-15)&gt;=EOMONTH(MIN(IF($E227="",TODAY()-15,$E227),TODAY()-15),0),1,0)),MAX(0,INT((MIN(IF($E227="",TODAY()-15,$E227),TODAY()-15)-($D227+MOD(SISTEM!$F$8-WEEKDAY($D227,2),7)))/7)+1)))</f>
        <v/>
      </c>
      <c r="L227" s="222">
        <f>IF(OR($C227="",$D227="",$G227="",$F227=""),0,$G227*IF($F227="Aylık",MAX(0,(YEAR(MIN(IF($E227="",TODAY()-29,$E227),TODAY()-29))-YEAR($D227))*12+MONTH(MIN(IF($E227="",TODAY()-29,$E227),TODAY()-29))-MONTH($D227)+IF(MIN(IF($E227="",TODAY()-29,$E227),TODAY()-29)&gt;=EOMONTH(MIN(IF($E227="",TODAY()-29,$E227),TODAY()-29),0),1,0)),MAX(0,INT((MIN(IF($E227="",TODAY()-29,$E227),TODAY()-29)-($D227+MOD(SISTEM!$F$8-WEEKDAY($D227,2),7)))/7)+1)))</f>
        <v/>
      </c>
      <c r="M227" s="223">
        <f>IF($G227&gt;0,$I227/$G227,0)</f>
        <v/>
      </c>
      <c r="N227" s="113">
        <f>IF($C227="","",IF($B227="TANIMSIZ MÜŞTERİ","TANIMSIZ MÜŞTERİ",IF($F227="","MODEL SEÇİN",IF(OR($D227="",$G227&lt;=0),"EKSİK",IF(AND($E227&lt;&gt;"",$E227&lt;$D227),"TARİH HATASI",IF($H227="Pasif","KAPALI DÖNEM","UYGUN"))))))</f>
        <v/>
      </c>
      <c r="O227" s="224">
        <f>IF(OR($C227="",$D227="",$F227=""),"",IF($F227="Aylık",EOMONTH($D227,0),($D227+MOD(SISTEM!$F$8-WEEKDAY($D227,2),7))))</f>
        <v/>
      </c>
      <c r="P227" s="109" t="n"/>
      <c r="Q227" s="6" t="n"/>
      <c r="R227" s="6" t="n"/>
      <c r="S227" s="3">
        <f>IF($B227="","",$B227&amp;"|"&amp;COUNTIFS($B$7:$B227,$B227))</f>
        <v/>
      </c>
      <c r="T227" s="3">
        <f>IF($C227="","",UPPER(SUBSTITUTE(SUBSTITUTE(SUBSTITUTE(SUBSTITUTE(SUBSTITUTE(SUBSTITUTE(SUBSTITUTE(SUBSTITUTE(SUBSTITUTE(SUBSTITUTE(SUBSTITUTE(SUBSTITUTE(SUBSTITUTE(SUBSTITUTE(SUBSTITUTE(SUBSTITUTE(SUBSTITUTE(SUBSTITUTE(TRIM($C227),"'",""),"İ","I"),"ı","I"),"i","I"),"Ş","S"),"ş","S"),"Ğ","G"),"ğ","G"),"Ü","U"),"ü","U"),"Ö","O"),"ö","O"),"Ç","C"),"ç","C"),".",""),",","")," ",""),"-","")))</f>
        <v/>
      </c>
    </row>
    <row r="228">
      <c r="A228" s="6" t="n"/>
      <c r="B228" s="113">
        <f>IF($C228="","",IFERROR(INDEX(MUSTERILER!$B$7:$B$106,MATCH($T228,MUSTERILER!$T$7:$T$106,0)),IFERROR(INDEX(MUSTERILER!$B$7:$B$106,MATCH($C228,MUSTERILER!$B$7:$B$106,0)),IFERROR(INDEX(MUSTERILER!$B$7:$B$106,MATCH($T228&amp;"*",MUSTERILER!$T$7:$T$106,0)),"TANIMSIZ MÜŞTERİ"))))</f>
        <v/>
      </c>
      <c r="C228" s="109" t="n"/>
      <c r="D228" s="220" t="n"/>
      <c r="E228" s="220" t="n"/>
      <c r="F228" s="108" t="n"/>
      <c r="G228" s="221" t="n"/>
      <c r="H228" s="108" t="n"/>
      <c r="I228" s="222">
        <f>IF(OR($C228="",$D228="",$G228="",$F228=""),0,$G228*IF($F228="Aylık",MAX(0,(YEAR(MIN(IF($E228="",TODAY(),$E228),TODAY()))-YEAR($D228))*12+MONTH(MIN(IF($E228="",TODAY(),$E228),TODAY()))-MONTH($D228)+IF(MIN(IF($E228="",TODAY(),$E228),TODAY())&gt;=EOMONTH(MIN(IF($E228="",TODAY(),$E228),TODAY()),0),1,0)),MAX(0,INT((MIN(IF($E228="",TODAY(),$E228),TODAY())-($D228+MOD(SISTEM!$F$8-WEEKDAY($D228,2),7)))/7)+1)))</f>
        <v/>
      </c>
      <c r="J228" s="222">
        <f>IF(OR($C228="",$D228="",$G228="",$F228=""),0,$G228*IF($F228="Aylık",MAX(0,(YEAR(MIN(IF($E228="",TODAY()-8,$E228),TODAY()-8))-YEAR($D228))*12+MONTH(MIN(IF($E228="",TODAY()-8,$E228),TODAY()-8))-MONTH($D228)+IF(MIN(IF($E228="",TODAY()-8,$E228),TODAY()-8)&gt;=EOMONTH(MIN(IF($E228="",TODAY()-8,$E228),TODAY()-8),0),1,0)),MAX(0,INT((MIN(IF($E228="",TODAY()-8,$E228),TODAY()-8)-($D228+MOD(SISTEM!$F$8-WEEKDAY($D228,2),7)))/7)+1)))</f>
        <v/>
      </c>
      <c r="K228" s="222">
        <f>IF(OR($C228="",$D228="",$G228="",$F228=""),0,$G228*IF($F228="Aylık",MAX(0,(YEAR(MIN(IF($E228="",TODAY()-15,$E228),TODAY()-15))-YEAR($D228))*12+MONTH(MIN(IF($E228="",TODAY()-15,$E228),TODAY()-15))-MONTH($D228)+IF(MIN(IF($E228="",TODAY()-15,$E228),TODAY()-15)&gt;=EOMONTH(MIN(IF($E228="",TODAY()-15,$E228),TODAY()-15),0),1,0)),MAX(0,INT((MIN(IF($E228="",TODAY()-15,$E228),TODAY()-15)-($D228+MOD(SISTEM!$F$8-WEEKDAY($D228,2),7)))/7)+1)))</f>
        <v/>
      </c>
      <c r="L228" s="222">
        <f>IF(OR($C228="",$D228="",$G228="",$F228=""),0,$G228*IF($F228="Aylık",MAX(0,(YEAR(MIN(IF($E228="",TODAY()-29,$E228),TODAY()-29))-YEAR($D228))*12+MONTH(MIN(IF($E228="",TODAY()-29,$E228),TODAY()-29))-MONTH($D228)+IF(MIN(IF($E228="",TODAY()-29,$E228),TODAY()-29)&gt;=EOMONTH(MIN(IF($E228="",TODAY()-29,$E228),TODAY()-29),0),1,0)),MAX(0,INT((MIN(IF($E228="",TODAY()-29,$E228),TODAY()-29)-($D228+MOD(SISTEM!$F$8-WEEKDAY($D228,2),7)))/7)+1)))</f>
        <v/>
      </c>
      <c r="M228" s="223">
        <f>IF($G228&gt;0,$I228/$G228,0)</f>
        <v/>
      </c>
      <c r="N228" s="113">
        <f>IF($C228="","",IF($B228="TANIMSIZ MÜŞTERİ","TANIMSIZ MÜŞTERİ",IF($F228="","MODEL SEÇİN",IF(OR($D228="",$G228&lt;=0),"EKSİK",IF(AND($E228&lt;&gt;"",$E228&lt;$D228),"TARİH HATASI",IF($H228="Pasif","KAPALI DÖNEM","UYGUN"))))))</f>
        <v/>
      </c>
      <c r="O228" s="224">
        <f>IF(OR($C228="",$D228="",$F228=""),"",IF($F228="Aylık",EOMONTH($D228,0),($D228+MOD(SISTEM!$F$8-WEEKDAY($D228,2),7))))</f>
        <v/>
      </c>
      <c r="P228" s="109" t="n"/>
      <c r="Q228" s="6" t="n"/>
      <c r="R228" s="6" t="n"/>
      <c r="S228" s="3">
        <f>IF($B228="","",$B228&amp;"|"&amp;COUNTIFS($B$7:$B228,$B228))</f>
        <v/>
      </c>
      <c r="T228" s="3">
        <f>IF($C228="","",UPPER(SUBSTITUTE(SUBSTITUTE(SUBSTITUTE(SUBSTITUTE(SUBSTITUTE(SUBSTITUTE(SUBSTITUTE(SUBSTITUTE(SUBSTITUTE(SUBSTITUTE(SUBSTITUTE(SUBSTITUTE(SUBSTITUTE(SUBSTITUTE(SUBSTITUTE(SUBSTITUTE(SUBSTITUTE(SUBSTITUTE(TRIM($C228),"'",""),"İ","I"),"ı","I"),"i","I"),"Ş","S"),"ş","S"),"Ğ","G"),"ğ","G"),"Ü","U"),"ü","U"),"Ö","O"),"ö","O"),"Ç","C"),"ç","C"),".",""),",","")," ",""),"-","")))</f>
        <v/>
      </c>
    </row>
    <row r="229">
      <c r="A229" s="6" t="n"/>
      <c r="B229" s="113">
        <f>IF($C229="","",IFERROR(INDEX(MUSTERILER!$B$7:$B$106,MATCH($T229,MUSTERILER!$T$7:$T$106,0)),IFERROR(INDEX(MUSTERILER!$B$7:$B$106,MATCH($C229,MUSTERILER!$B$7:$B$106,0)),IFERROR(INDEX(MUSTERILER!$B$7:$B$106,MATCH($T229&amp;"*",MUSTERILER!$T$7:$T$106,0)),"TANIMSIZ MÜŞTERİ"))))</f>
        <v/>
      </c>
      <c r="C229" s="109" t="n"/>
      <c r="D229" s="220" t="n"/>
      <c r="E229" s="220" t="n"/>
      <c r="F229" s="108" t="n"/>
      <c r="G229" s="221" t="n"/>
      <c r="H229" s="108" t="n"/>
      <c r="I229" s="222">
        <f>IF(OR($C229="",$D229="",$G229="",$F229=""),0,$G229*IF($F229="Aylık",MAX(0,(YEAR(MIN(IF($E229="",TODAY(),$E229),TODAY()))-YEAR($D229))*12+MONTH(MIN(IF($E229="",TODAY(),$E229),TODAY()))-MONTH($D229)+IF(MIN(IF($E229="",TODAY(),$E229),TODAY())&gt;=EOMONTH(MIN(IF($E229="",TODAY(),$E229),TODAY()),0),1,0)),MAX(0,INT((MIN(IF($E229="",TODAY(),$E229),TODAY())-($D229+MOD(SISTEM!$F$8-WEEKDAY($D229,2),7)))/7)+1)))</f>
        <v/>
      </c>
      <c r="J229" s="222">
        <f>IF(OR($C229="",$D229="",$G229="",$F229=""),0,$G229*IF($F229="Aylık",MAX(0,(YEAR(MIN(IF($E229="",TODAY()-8,$E229),TODAY()-8))-YEAR($D229))*12+MONTH(MIN(IF($E229="",TODAY()-8,$E229),TODAY()-8))-MONTH($D229)+IF(MIN(IF($E229="",TODAY()-8,$E229),TODAY()-8)&gt;=EOMONTH(MIN(IF($E229="",TODAY()-8,$E229),TODAY()-8),0),1,0)),MAX(0,INT((MIN(IF($E229="",TODAY()-8,$E229),TODAY()-8)-($D229+MOD(SISTEM!$F$8-WEEKDAY($D229,2),7)))/7)+1)))</f>
        <v/>
      </c>
      <c r="K229" s="222">
        <f>IF(OR($C229="",$D229="",$G229="",$F229=""),0,$G229*IF($F229="Aylık",MAX(0,(YEAR(MIN(IF($E229="",TODAY()-15,$E229),TODAY()-15))-YEAR($D229))*12+MONTH(MIN(IF($E229="",TODAY()-15,$E229),TODAY()-15))-MONTH($D229)+IF(MIN(IF($E229="",TODAY()-15,$E229),TODAY()-15)&gt;=EOMONTH(MIN(IF($E229="",TODAY()-15,$E229),TODAY()-15),0),1,0)),MAX(0,INT((MIN(IF($E229="",TODAY()-15,$E229),TODAY()-15)-($D229+MOD(SISTEM!$F$8-WEEKDAY($D229,2),7)))/7)+1)))</f>
        <v/>
      </c>
      <c r="L229" s="222">
        <f>IF(OR($C229="",$D229="",$G229="",$F229=""),0,$G229*IF($F229="Aylık",MAX(0,(YEAR(MIN(IF($E229="",TODAY()-29,$E229),TODAY()-29))-YEAR($D229))*12+MONTH(MIN(IF($E229="",TODAY()-29,$E229),TODAY()-29))-MONTH($D229)+IF(MIN(IF($E229="",TODAY()-29,$E229),TODAY()-29)&gt;=EOMONTH(MIN(IF($E229="",TODAY()-29,$E229),TODAY()-29),0),1,0)),MAX(0,INT((MIN(IF($E229="",TODAY()-29,$E229),TODAY()-29)-($D229+MOD(SISTEM!$F$8-WEEKDAY($D229,2),7)))/7)+1)))</f>
        <v/>
      </c>
      <c r="M229" s="223">
        <f>IF($G229&gt;0,$I229/$G229,0)</f>
        <v/>
      </c>
      <c r="N229" s="113">
        <f>IF($C229="","",IF($B229="TANIMSIZ MÜŞTERİ","TANIMSIZ MÜŞTERİ",IF($F229="","MODEL SEÇİN",IF(OR($D229="",$G229&lt;=0),"EKSİK",IF(AND($E229&lt;&gt;"",$E229&lt;$D229),"TARİH HATASI",IF($H229="Pasif","KAPALI DÖNEM","UYGUN"))))))</f>
        <v/>
      </c>
      <c r="O229" s="224">
        <f>IF(OR($C229="",$D229="",$F229=""),"",IF($F229="Aylık",EOMONTH($D229,0),($D229+MOD(SISTEM!$F$8-WEEKDAY($D229,2),7))))</f>
        <v/>
      </c>
      <c r="P229" s="109" t="n"/>
      <c r="Q229" s="6" t="n"/>
      <c r="R229" s="6" t="n"/>
      <c r="S229" s="3">
        <f>IF($B229="","",$B229&amp;"|"&amp;COUNTIFS($B$7:$B229,$B229))</f>
        <v/>
      </c>
      <c r="T229" s="3">
        <f>IF($C229="","",UPPER(SUBSTITUTE(SUBSTITUTE(SUBSTITUTE(SUBSTITUTE(SUBSTITUTE(SUBSTITUTE(SUBSTITUTE(SUBSTITUTE(SUBSTITUTE(SUBSTITUTE(SUBSTITUTE(SUBSTITUTE(SUBSTITUTE(SUBSTITUTE(SUBSTITUTE(SUBSTITUTE(SUBSTITUTE(SUBSTITUTE(TRIM($C229),"'",""),"İ","I"),"ı","I"),"i","I"),"Ş","S"),"ş","S"),"Ğ","G"),"ğ","G"),"Ü","U"),"ü","U"),"Ö","O"),"ö","O"),"Ç","C"),"ç","C"),".",""),",","")," ",""),"-","")))</f>
        <v/>
      </c>
    </row>
    <row r="230">
      <c r="A230" s="6" t="n"/>
      <c r="B230" s="113">
        <f>IF($C230="","",IFERROR(INDEX(MUSTERILER!$B$7:$B$106,MATCH($T230,MUSTERILER!$T$7:$T$106,0)),IFERROR(INDEX(MUSTERILER!$B$7:$B$106,MATCH($C230,MUSTERILER!$B$7:$B$106,0)),IFERROR(INDEX(MUSTERILER!$B$7:$B$106,MATCH($T230&amp;"*",MUSTERILER!$T$7:$T$106,0)),"TANIMSIZ MÜŞTERİ"))))</f>
        <v/>
      </c>
      <c r="C230" s="109" t="n"/>
      <c r="D230" s="220" t="n"/>
      <c r="E230" s="220" t="n"/>
      <c r="F230" s="108" t="n"/>
      <c r="G230" s="221" t="n"/>
      <c r="H230" s="108" t="n"/>
      <c r="I230" s="222">
        <f>IF(OR($C230="",$D230="",$G230="",$F230=""),0,$G230*IF($F230="Aylık",MAX(0,(YEAR(MIN(IF($E230="",TODAY(),$E230),TODAY()))-YEAR($D230))*12+MONTH(MIN(IF($E230="",TODAY(),$E230),TODAY()))-MONTH($D230)+IF(MIN(IF($E230="",TODAY(),$E230),TODAY())&gt;=EOMONTH(MIN(IF($E230="",TODAY(),$E230),TODAY()),0),1,0)),MAX(0,INT((MIN(IF($E230="",TODAY(),$E230),TODAY())-($D230+MOD(SISTEM!$F$8-WEEKDAY($D230,2),7)))/7)+1)))</f>
        <v/>
      </c>
      <c r="J230" s="222">
        <f>IF(OR($C230="",$D230="",$G230="",$F230=""),0,$G230*IF($F230="Aylık",MAX(0,(YEAR(MIN(IF($E230="",TODAY()-8,$E230),TODAY()-8))-YEAR($D230))*12+MONTH(MIN(IF($E230="",TODAY()-8,$E230),TODAY()-8))-MONTH($D230)+IF(MIN(IF($E230="",TODAY()-8,$E230),TODAY()-8)&gt;=EOMONTH(MIN(IF($E230="",TODAY()-8,$E230),TODAY()-8),0),1,0)),MAX(0,INT((MIN(IF($E230="",TODAY()-8,$E230),TODAY()-8)-($D230+MOD(SISTEM!$F$8-WEEKDAY($D230,2),7)))/7)+1)))</f>
        <v/>
      </c>
      <c r="K230" s="222">
        <f>IF(OR($C230="",$D230="",$G230="",$F230=""),0,$G230*IF($F230="Aylık",MAX(0,(YEAR(MIN(IF($E230="",TODAY()-15,$E230),TODAY()-15))-YEAR($D230))*12+MONTH(MIN(IF($E230="",TODAY()-15,$E230),TODAY()-15))-MONTH($D230)+IF(MIN(IF($E230="",TODAY()-15,$E230),TODAY()-15)&gt;=EOMONTH(MIN(IF($E230="",TODAY()-15,$E230),TODAY()-15),0),1,0)),MAX(0,INT((MIN(IF($E230="",TODAY()-15,$E230),TODAY()-15)-($D230+MOD(SISTEM!$F$8-WEEKDAY($D230,2),7)))/7)+1)))</f>
        <v/>
      </c>
      <c r="L230" s="222">
        <f>IF(OR($C230="",$D230="",$G230="",$F230=""),0,$G230*IF($F230="Aylık",MAX(0,(YEAR(MIN(IF($E230="",TODAY()-29,$E230),TODAY()-29))-YEAR($D230))*12+MONTH(MIN(IF($E230="",TODAY()-29,$E230),TODAY()-29))-MONTH($D230)+IF(MIN(IF($E230="",TODAY()-29,$E230),TODAY()-29)&gt;=EOMONTH(MIN(IF($E230="",TODAY()-29,$E230),TODAY()-29),0),1,0)),MAX(0,INT((MIN(IF($E230="",TODAY()-29,$E230),TODAY()-29)-($D230+MOD(SISTEM!$F$8-WEEKDAY($D230,2),7)))/7)+1)))</f>
        <v/>
      </c>
      <c r="M230" s="223">
        <f>IF($G230&gt;0,$I230/$G230,0)</f>
        <v/>
      </c>
      <c r="N230" s="113">
        <f>IF($C230="","",IF($B230="TANIMSIZ MÜŞTERİ","TANIMSIZ MÜŞTERİ",IF($F230="","MODEL SEÇİN",IF(OR($D230="",$G230&lt;=0),"EKSİK",IF(AND($E230&lt;&gt;"",$E230&lt;$D230),"TARİH HATASI",IF($H230="Pasif","KAPALI DÖNEM","UYGUN"))))))</f>
        <v/>
      </c>
      <c r="O230" s="224">
        <f>IF(OR($C230="",$D230="",$F230=""),"",IF($F230="Aylık",EOMONTH($D230,0),($D230+MOD(SISTEM!$F$8-WEEKDAY($D230,2),7))))</f>
        <v/>
      </c>
      <c r="P230" s="109" t="n"/>
      <c r="Q230" s="6" t="n"/>
      <c r="R230" s="6" t="n"/>
      <c r="S230" s="3">
        <f>IF($B230="","",$B230&amp;"|"&amp;COUNTIFS($B$7:$B230,$B230))</f>
        <v/>
      </c>
      <c r="T230" s="3">
        <f>IF($C230="","",UPPER(SUBSTITUTE(SUBSTITUTE(SUBSTITUTE(SUBSTITUTE(SUBSTITUTE(SUBSTITUTE(SUBSTITUTE(SUBSTITUTE(SUBSTITUTE(SUBSTITUTE(SUBSTITUTE(SUBSTITUTE(SUBSTITUTE(SUBSTITUTE(SUBSTITUTE(SUBSTITUTE(SUBSTITUTE(SUBSTITUTE(TRIM($C230),"'",""),"İ","I"),"ı","I"),"i","I"),"Ş","S"),"ş","S"),"Ğ","G"),"ğ","G"),"Ü","U"),"ü","U"),"Ö","O"),"ö","O"),"Ç","C"),"ç","C"),".",""),",","")," ",""),"-","")))</f>
        <v/>
      </c>
    </row>
    <row r="231">
      <c r="A231" s="6" t="n"/>
      <c r="B231" s="113">
        <f>IF($C231="","",IFERROR(INDEX(MUSTERILER!$B$7:$B$106,MATCH($T231,MUSTERILER!$T$7:$T$106,0)),IFERROR(INDEX(MUSTERILER!$B$7:$B$106,MATCH($C231,MUSTERILER!$B$7:$B$106,0)),IFERROR(INDEX(MUSTERILER!$B$7:$B$106,MATCH($T231&amp;"*",MUSTERILER!$T$7:$T$106,0)),"TANIMSIZ MÜŞTERİ"))))</f>
        <v/>
      </c>
      <c r="C231" s="109" t="n"/>
      <c r="D231" s="220" t="n"/>
      <c r="E231" s="220" t="n"/>
      <c r="F231" s="108" t="n"/>
      <c r="G231" s="221" t="n"/>
      <c r="H231" s="108" t="n"/>
      <c r="I231" s="222">
        <f>IF(OR($C231="",$D231="",$G231="",$F231=""),0,$G231*IF($F231="Aylık",MAX(0,(YEAR(MIN(IF($E231="",TODAY(),$E231),TODAY()))-YEAR($D231))*12+MONTH(MIN(IF($E231="",TODAY(),$E231),TODAY()))-MONTH($D231)+IF(MIN(IF($E231="",TODAY(),$E231),TODAY())&gt;=EOMONTH(MIN(IF($E231="",TODAY(),$E231),TODAY()),0),1,0)),MAX(0,INT((MIN(IF($E231="",TODAY(),$E231),TODAY())-($D231+MOD(SISTEM!$F$8-WEEKDAY($D231,2),7)))/7)+1)))</f>
        <v/>
      </c>
      <c r="J231" s="222">
        <f>IF(OR($C231="",$D231="",$G231="",$F231=""),0,$G231*IF($F231="Aylık",MAX(0,(YEAR(MIN(IF($E231="",TODAY()-8,$E231),TODAY()-8))-YEAR($D231))*12+MONTH(MIN(IF($E231="",TODAY()-8,$E231),TODAY()-8))-MONTH($D231)+IF(MIN(IF($E231="",TODAY()-8,$E231),TODAY()-8)&gt;=EOMONTH(MIN(IF($E231="",TODAY()-8,$E231),TODAY()-8),0),1,0)),MAX(0,INT((MIN(IF($E231="",TODAY()-8,$E231),TODAY()-8)-($D231+MOD(SISTEM!$F$8-WEEKDAY($D231,2),7)))/7)+1)))</f>
        <v/>
      </c>
      <c r="K231" s="222">
        <f>IF(OR($C231="",$D231="",$G231="",$F231=""),0,$G231*IF($F231="Aylık",MAX(0,(YEAR(MIN(IF($E231="",TODAY()-15,$E231),TODAY()-15))-YEAR($D231))*12+MONTH(MIN(IF($E231="",TODAY()-15,$E231),TODAY()-15))-MONTH($D231)+IF(MIN(IF($E231="",TODAY()-15,$E231),TODAY()-15)&gt;=EOMONTH(MIN(IF($E231="",TODAY()-15,$E231),TODAY()-15),0),1,0)),MAX(0,INT((MIN(IF($E231="",TODAY()-15,$E231),TODAY()-15)-($D231+MOD(SISTEM!$F$8-WEEKDAY($D231,2),7)))/7)+1)))</f>
        <v/>
      </c>
      <c r="L231" s="222">
        <f>IF(OR($C231="",$D231="",$G231="",$F231=""),0,$G231*IF($F231="Aylık",MAX(0,(YEAR(MIN(IF($E231="",TODAY()-29,$E231),TODAY()-29))-YEAR($D231))*12+MONTH(MIN(IF($E231="",TODAY()-29,$E231),TODAY()-29))-MONTH($D231)+IF(MIN(IF($E231="",TODAY()-29,$E231),TODAY()-29)&gt;=EOMONTH(MIN(IF($E231="",TODAY()-29,$E231),TODAY()-29),0),1,0)),MAX(0,INT((MIN(IF($E231="",TODAY()-29,$E231),TODAY()-29)-($D231+MOD(SISTEM!$F$8-WEEKDAY($D231,2),7)))/7)+1)))</f>
        <v/>
      </c>
      <c r="M231" s="223">
        <f>IF($G231&gt;0,$I231/$G231,0)</f>
        <v/>
      </c>
      <c r="N231" s="113">
        <f>IF($C231="","",IF($B231="TANIMSIZ MÜŞTERİ","TANIMSIZ MÜŞTERİ",IF($F231="","MODEL SEÇİN",IF(OR($D231="",$G231&lt;=0),"EKSİK",IF(AND($E231&lt;&gt;"",$E231&lt;$D231),"TARİH HATASI",IF($H231="Pasif","KAPALI DÖNEM","UYGUN"))))))</f>
        <v/>
      </c>
      <c r="O231" s="224">
        <f>IF(OR($C231="",$D231="",$F231=""),"",IF($F231="Aylık",EOMONTH($D231,0),($D231+MOD(SISTEM!$F$8-WEEKDAY($D231,2),7))))</f>
        <v/>
      </c>
      <c r="P231" s="109" t="n"/>
      <c r="Q231" s="6" t="n"/>
      <c r="R231" s="6" t="n"/>
      <c r="S231" s="3">
        <f>IF($B231="","",$B231&amp;"|"&amp;COUNTIFS($B$7:$B231,$B231))</f>
        <v/>
      </c>
      <c r="T231" s="3">
        <f>IF($C231="","",UPPER(SUBSTITUTE(SUBSTITUTE(SUBSTITUTE(SUBSTITUTE(SUBSTITUTE(SUBSTITUTE(SUBSTITUTE(SUBSTITUTE(SUBSTITUTE(SUBSTITUTE(SUBSTITUTE(SUBSTITUTE(SUBSTITUTE(SUBSTITUTE(SUBSTITUTE(SUBSTITUTE(SUBSTITUTE(SUBSTITUTE(TRIM($C231),"'",""),"İ","I"),"ı","I"),"i","I"),"Ş","S"),"ş","S"),"Ğ","G"),"ğ","G"),"Ü","U"),"ü","U"),"Ö","O"),"ö","O"),"Ç","C"),"ç","C"),".",""),",","")," ",""),"-","")))</f>
        <v/>
      </c>
    </row>
    <row r="232">
      <c r="A232" s="6" t="n"/>
      <c r="B232" s="113">
        <f>IF($C232="","",IFERROR(INDEX(MUSTERILER!$B$7:$B$106,MATCH($T232,MUSTERILER!$T$7:$T$106,0)),IFERROR(INDEX(MUSTERILER!$B$7:$B$106,MATCH($C232,MUSTERILER!$B$7:$B$106,0)),IFERROR(INDEX(MUSTERILER!$B$7:$B$106,MATCH($T232&amp;"*",MUSTERILER!$T$7:$T$106,0)),"TANIMSIZ MÜŞTERİ"))))</f>
        <v/>
      </c>
      <c r="C232" s="109" t="n"/>
      <c r="D232" s="220" t="n"/>
      <c r="E232" s="220" t="n"/>
      <c r="F232" s="108" t="n"/>
      <c r="G232" s="221" t="n"/>
      <c r="H232" s="108" t="n"/>
      <c r="I232" s="222">
        <f>IF(OR($C232="",$D232="",$G232="",$F232=""),0,$G232*IF($F232="Aylık",MAX(0,(YEAR(MIN(IF($E232="",TODAY(),$E232),TODAY()))-YEAR($D232))*12+MONTH(MIN(IF($E232="",TODAY(),$E232),TODAY()))-MONTH($D232)+IF(MIN(IF($E232="",TODAY(),$E232),TODAY())&gt;=EOMONTH(MIN(IF($E232="",TODAY(),$E232),TODAY()),0),1,0)),MAX(0,INT((MIN(IF($E232="",TODAY(),$E232),TODAY())-($D232+MOD(SISTEM!$F$8-WEEKDAY($D232,2),7)))/7)+1)))</f>
        <v/>
      </c>
      <c r="J232" s="222">
        <f>IF(OR($C232="",$D232="",$G232="",$F232=""),0,$G232*IF($F232="Aylık",MAX(0,(YEAR(MIN(IF($E232="",TODAY()-8,$E232),TODAY()-8))-YEAR($D232))*12+MONTH(MIN(IF($E232="",TODAY()-8,$E232),TODAY()-8))-MONTH($D232)+IF(MIN(IF($E232="",TODAY()-8,$E232),TODAY()-8)&gt;=EOMONTH(MIN(IF($E232="",TODAY()-8,$E232),TODAY()-8),0),1,0)),MAX(0,INT((MIN(IF($E232="",TODAY()-8,$E232),TODAY()-8)-($D232+MOD(SISTEM!$F$8-WEEKDAY($D232,2),7)))/7)+1)))</f>
        <v/>
      </c>
      <c r="K232" s="222">
        <f>IF(OR($C232="",$D232="",$G232="",$F232=""),0,$G232*IF($F232="Aylık",MAX(0,(YEAR(MIN(IF($E232="",TODAY()-15,$E232),TODAY()-15))-YEAR($D232))*12+MONTH(MIN(IF($E232="",TODAY()-15,$E232),TODAY()-15))-MONTH($D232)+IF(MIN(IF($E232="",TODAY()-15,$E232),TODAY()-15)&gt;=EOMONTH(MIN(IF($E232="",TODAY()-15,$E232),TODAY()-15),0),1,0)),MAX(0,INT((MIN(IF($E232="",TODAY()-15,$E232),TODAY()-15)-($D232+MOD(SISTEM!$F$8-WEEKDAY($D232,2),7)))/7)+1)))</f>
        <v/>
      </c>
      <c r="L232" s="222">
        <f>IF(OR($C232="",$D232="",$G232="",$F232=""),0,$G232*IF($F232="Aylık",MAX(0,(YEAR(MIN(IF($E232="",TODAY()-29,$E232),TODAY()-29))-YEAR($D232))*12+MONTH(MIN(IF($E232="",TODAY()-29,$E232),TODAY()-29))-MONTH($D232)+IF(MIN(IF($E232="",TODAY()-29,$E232),TODAY()-29)&gt;=EOMONTH(MIN(IF($E232="",TODAY()-29,$E232),TODAY()-29),0),1,0)),MAX(0,INT((MIN(IF($E232="",TODAY()-29,$E232),TODAY()-29)-($D232+MOD(SISTEM!$F$8-WEEKDAY($D232,2),7)))/7)+1)))</f>
        <v/>
      </c>
      <c r="M232" s="223">
        <f>IF($G232&gt;0,$I232/$G232,0)</f>
        <v/>
      </c>
      <c r="N232" s="113">
        <f>IF($C232="","",IF($B232="TANIMSIZ MÜŞTERİ","TANIMSIZ MÜŞTERİ",IF($F232="","MODEL SEÇİN",IF(OR($D232="",$G232&lt;=0),"EKSİK",IF(AND($E232&lt;&gt;"",$E232&lt;$D232),"TARİH HATASI",IF($H232="Pasif","KAPALI DÖNEM","UYGUN"))))))</f>
        <v/>
      </c>
      <c r="O232" s="224">
        <f>IF(OR($C232="",$D232="",$F232=""),"",IF($F232="Aylık",EOMONTH($D232,0),($D232+MOD(SISTEM!$F$8-WEEKDAY($D232,2),7))))</f>
        <v/>
      </c>
      <c r="P232" s="109" t="n"/>
      <c r="Q232" s="6" t="n"/>
      <c r="R232" s="6" t="n"/>
      <c r="S232" s="3">
        <f>IF($B232="","",$B232&amp;"|"&amp;COUNTIFS($B$7:$B232,$B232))</f>
        <v/>
      </c>
      <c r="T232" s="3">
        <f>IF($C232="","",UPPER(SUBSTITUTE(SUBSTITUTE(SUBSTITUTE(SUBSTITUTE(SUBSTITUTE(SUBSTITUTE(SUBSTITUTE(SUBSTITUTE(SUBSTITUTE(SUBSTITUTE(SUBSTITUTE(SUBSTITUTE(SUBSTITUTE(SUBSTITUTE(SUBSTITUTE(SUBSTITUTE(SUBSTITUTE(SUBSTITUTE(TRIM($C232),"'",""),"İ","I"),"ı","I"),"i","I"),"Ş","S"),"ş","S"),"Ğ","G"),"ğ","G"),"Ü","U"),"ü","U"),"Ö","O"),"ö","O"),"Ç","C"),"ç","C"),".",""),",","")," ",""),"-","")))</f>
        <v/>
      </c>
    </row>
    <row r="233">
      <c r="A233" s="6" t="n"/>
      <c r="B233" s="113">
        <f>IF($C233="","",IFERROR(INDEX(MUSTERILER!$B$7:$B$106,MATCH($T233,MUSTERILER!$T$7:$T$106,0)),IFERROR(INDEX(MUSTERILER!$B$7:$B$106,MATCH($C233,MUSTERILER!$B$7:$B$106,0)),IFERROR(INDEX(MUSTERILER!$B$7:$B$106,MATCH($T233&amp;"*",MUSTERILER!$T$7:$T$106,0)),"TANIMSIZ MÜŞTERİ"))))</f>
        <v/>
      </c>
      <c r="C233" s="109" t="n"/>
      <c r="D233" s="220" t="n"/>
      <c r="E233" s="220" t="n"/>
      <c r="F233" s="108" t="n"/>
      <c r="G233" s="221" t="n"/>
      <c r="H233" s="108" t="n"/>
      <c r="I233" s="222">
        <f>IF(OR($C233="",$D233="",$G233="",$F233=""),0,$G233*IF($F233="Aylık",MAX(0,(YEAR(MIN(IF($E233="",TODAY(),$E233),TODAY()))-YEAR($D233))*12+MONTH(MIN(IF($E233="",TODAY(),$E233),TODAY()))-MONTH($D233)+IF(MIN(IF($E233="",TODAY(),$E233),TODAY())&gt;=EOMONTH(MIN(IF($E233="",TODAY(),$E233),TODAY()),0),1,0)),MAX(0,INT((MIN(IF($E233="",TODAY(),$E233),TODAY())-($D233+MOD(SISTEM!$F$8-WEEKDAY($D233,2),7)))/7)+1)))</f>
        <v/>
      </c>
      <c r="J233" s="222">
        <f>IF(OR($C233="",$D233="",$G233="",$F233=""),0,$G233*IF($F233="Aylık",MAX(0,(YEAR(MIN(IF($E233="",TODAY()-8,$E233),TODAY()-8))-YEAR($D233))*12+MONTH(MIN(IF($E233="",TODAY()-8,$E233),TODAY()-8))-MONTH($D233)+IF(MIN(IF($E233="",TODAY()-8,$E233),TODAY()-8)&gt;=EOMONTH(MIN(IF($E233="",TODAY()-8,$E233),TODAY()-8),0),1,0)),MAX(0,INT((MIN(IF($E233="",TODAY()-8,$E233),TODAY()-8)-($D233+MOD(SISTEM!$F$8-WEEKDAY($D233,2),7)))/7)+1)))</f>
        <v/>
      </c>
      <c r="K233" s="222">
        <f>IF(OR($C233="",$D233="",$G233="",$F233=""),0,$G233*IF($F233="Aylık",MAX(0,(YEAR(MIN(IF($E233="",TODAY()-15,$E233),TODAY()-15))-YEAR($D233))*12+MONTH(MIN(IF($E233="",TODAY()-15,$E233),TODAY()-15))-MONTH($D233)+IF(MIN(IF($E233="",TODAY()-15,$E233),TODAY()-15)&gt;=EOMONTH(MIN(IF($E233="",TODAY()-15,$E233),TODAY()-15),0),1,0)),MAX(0,INT((MIN(IF($E233="",TODAY()-15,$E233),TODAY()-15)-($D233+MOD(SISTEM!$F$8-WEEKDAY($D233,2),7)))/7)+1)))</f>
        <v/>
      </c>
      <c r="L233" s="222">
        <f>IF(OR($C233="",$D233="",$G233="",$F233=""),0,$G233*IF($F233="Aylık",MAX(0,(YEAR(MIN(IF($E233="",TODAY()-29,$E233),TODAY()-29))-YEAR($D233))*12+MONTH(MIN(IF($E233="",TODAY()-29,$E233),TODAY()-29))-MONTH($D233)+IF(MIN(IF($E233="",TODAY()-29,$E233),TODAY()-29)&gt;=EOMONTH(MIN(IF($E233="",TODAY()-29,$E233),TODAY()-29),0),1,0)),MAX(0,INT((MIN(IF($E233="",TODAY()-29,$E233),TODAY()-29)-($D233+MOD(SISTEM!$F$8-WEEKDAY($D233,2),7)))/7)+1)))</f>
        <v/>
      </c>
      <c r="M233" s="223">
        <f>IF($G233&gt;0,$I233/$G233,0)</f>
        <v/>
      </c>
      <c r="N233" s="113">
        <f>IF($C233="","",IF($B233="TANIMSIZ MÜŞTERİ","TANIMSIZ MÜŞTERİ",IF($F233="","MODEL SEÇİN",IF(OR($D233="",$G233&lt;=0),"EKSİK",IF(AND($E233&lt;&gt;"",$E233&lt;$D233),"TARİH HATASI",IF($H233="Pasif","KAPALI DÖNEM","UYGUN"))))))</f>
        <v/>
      </c>
      <c r="O233" s="224">
        <f>IF(OR($C233="",$D233="",$F233=""),"",IF($F233="Aylık",EOMONTH($D233,0),($D233+MOD(SISTEM!$F$8-WEEKDAY($D233,2),7))))</f>
        <v/>
      </c>
      <c r="P233" s="109" t="n"/>
      <c r="Q233" s="6" t="n"/>
      <c r="R233" s="6" t="n"/>
      <c r="S233" s="3">
        <f>IF($B233="","",$B233&amp;"|"&amp;COUNTIFS($B$7:$B233,$B233))</f>
        <v/>
      </c>
      <c r="T233" s="3">
        <f>IF($C233="","",UPPER(SUBSTITUTE(SUBSTITUTE(SUBSTITUTE(SUBSTITUTE(SUBSTITUTE(SUBSTITUTE(SUBSTITUTE(SUBSTITUTE(SUBSTITUTE(SUBSTITUTE(SUBSTITUTE(SUBSTITUTE(SUBSTITUTE(SUBSTITUTE(SUBSTITUTE(SUBSTITUTE(SUBSTITUTE(SUBSTITUTE(TRIM($C233),"'",""),"İ","I"),"ı","I"),"i","I"),"Ş","S"),"ş","S"),"Ğ","G"),"ğ","G"),"Ü","U"),"ü","U"),"Ö","O"),"ö","O"),"Ç","C"),"ç","C"),".",""),",","")," ",""),"-","")))</f>
        <v/>
      </c>
    </row>
    <row r="234">
      <c r="A234" s="6" t="n"/>
      <c r="B234" s="113">
        <f>IF($C234="","",IFERROR(INDEX(MUSTERILER!$B$7:$B$106,MATCH($T234,MUSTERILER!$T$7:$T$106,0)),IFERROR(INDEX(MUSTERILER!$B$7:$B$106,MATCH($C234,MUSTERILER!$B$7:$B$106,0)),IFERROR(INDEX(MUSTERILER!$B$7:$B$106,MATCH($T234&amp;"*",MUSTERILER!$T$7:$T$106,0)),"TANIMSIZ MÜŞTERİ"))))</f>
        <v/>
      </c>
      <c r="C234" s="109" t="n"/>
      <c r="D234" s="220" t="n"/>
      <c r="E234" s="220" t="n"/>
      <c r="F234" s="108" t="n"/>
      <c r="G234" s="221" t="n"/>
      <c r="H234" s="108" t="n"/>
      <c r="I234" s="222">
        <f>IF(OR($C234="",$D234="",$G234="",$F234=""),0,$G234*IF($F234="Aylık",MAX(0,(YEAR(MIN(IF($E234="",TODAY(),$E234),TODAY()))-YEAR($D234))*12+MONTH(MIN(IF($E234="",TODAY(),$E234),TODAY()))-MONTH($D234)+IF(MIN(IF($E234="",TODAY(),$E234),TODAY())&gt;=EOMONTH(MIN(IF($E234="",TODAY(),$E234),TODAY()),0),1,0)),MAX(0,INT((MIN(IF($E234="",TODAY(),$E234),TODAY())-($D234+MOD(SISTEM!$F$8-WEEKDAY($D234,2),7)))/7)+1)))</f>
        <v/>
      </c>
      <c r="J234" s="222">
        <f>IF(OR($C234="",$D234="",$G234="",$F234=""),0,$G234*IF($F234="Aylık",MAX(0,(YEAR(MIN(IF($E234="",TODAY()-8,$E234),TODAY()-8))-YEAR($D234))*12+MONTH(MIN(IF($E234="",TODAY()-8,$E234),TODAY()-8))-MONTH($D234)+IF(MIN(IF($E234="",TODAY()-8,$E234),TODAY()-8)&gt;=EOMONTH(MIN(IF($E234="",TODAY()-8,$E234),TODAY()-8),0),1,0)),MAX(0,INT((MIN(IF($E234="",TODAY()-8,$E234),TODAY()-8)-($D234+MOD(SISTEM!$F$8-WEEKDAY($D234,2),7)))/7)+1)))</f>
        <v/>
      </c>
      <c r="K234" s="222">
        <f>IF(OR($C234="",$D234="",$G234="",$F234=""),0,$G234*IF($F234="Aylık",MAX(0,(YEAR(MIN(IF($E234="",TODAY()-15,$E234),TODAY()-15))-YEAR($D234))*12+MONTH(MIN(IF($E234="",TODAY()-15,$E234),TODAY()-15))-MONTH($D234)+IF(MIN(IF($E234="",TODAY()-15,$E234),TODAY()-15)&gt;=EOMONTH(MIN(IF($E234="",TODAY()-15,$E234),TODAY()-15),0),1,0)),MAX(0,INT((MIN(IF($E234="",TODAY()-15,$E234),TODAY()-15)-($D234+MOD(SISTEM!$F$8-WEEKDAY($D234,2),7)))/7)+1)))</f>
        <v/>
      </c>
      <c r="L234" s="222">
        <f>IF(OR($C234="",$D234="",$G234="",$F234=""),0,$G234*IF($F234="Aylık",MAX(0,(YEAR(MIN(IF($E234="",TODAY()-29,$E234),TODAY()-29))-YEAR($D234))*12+MONTH(MIN(IF($E234="",TODAY()-29,$E234),TODAY()-29))-MONTH($D234)+IF(MIN(IF($E234="",TODAY()-29,$E234),TODAY()-29)&gt;=EOMONTH(MIN(IF($E234="",TODAY()-29,$E234),TODAY()-29),0),1,0)),MAX(0,INT((MIN(IF($E234="",TODAY()-29,$E234),TODAY()-29)-($D234+MOD(SISTEM!$F$8-WEEKDAY($D234,2),7)))/7)+1)))</f>
        <v/>
      </c>
      <c r="M234" s="223">
        <f>IF($G234&gt;0,$I234/$G234,0)</f>
        <v/>
      </c>
      <c r="N234" s="113">
        <f>IF($C234="","",IF($B234="TANIMSIZ MÜŞTERİ","TANIMSIZ MÜŞTERİ",IF($F234="","MODEL SEÇİN",IF(OR($D234="",$G234&lt;=0),"EKSİK",IF(AND($E234&lt;&gt;"",$E234&lt;$D234),"TARİH HATASI",IF($H234="Pasif","KAPALI DÖNEM","UYGUN"))))))</f>
        <v/>
      </c>
      <c r="O234" s="224">
        <f>IF(OR($C234="",$D234="",$F234=""),"",IF($F234="Aylık",EOMONTH($D234,0),($D234+MOD(SISTEM!$F$8-WEEKDAY($D234,2),7))))</f>
        <v/>
      </c>
      <c r="P234" s="109" t="n"/>
      <c r="Q234" s="6" t="n"/>
      <c r="R234" s="6" t="n"/>
      <c r="S234" s="3">
        <f>IF($B234="","",$B234&amp;"|"&amp;COUNTIFS($B$7:$B234,$B234))</f>
        <v/>
      </c>
      <c r="T234" s="3">
        <f>IF($C234="","",UPPER(SUBSTITUTE(SUBSTITUTE(SUBSTITUTE(SUBSTITUTE(SUBSTITUTE(SUBSTITUTE(SUBSTITUTE(SUBSTITUTE(SUBSTITUTE(SUBSTITUTE(SUBSTITUTE(SUBSTITUTE(SUBSTITUTE(SUBSTITUTE(SUBSTITUTE(SUBSTITUTE(SUBSTITUTE(SUBSTITUTE(TRIM($C234),"'",""),"İ","I"),"ı","I"),"i","I"),"Ş","S"),"ş","S"),"Ğ","G"),"ğ","G"),"Ü","U"),"ü","U"),"Ö","O"),"ö","O"),"Ç","C"),"ç","C"),".",""),",","")," ",""),"-","")))</f>
        <v/>
      </c>
    </row>
    <row r="235">
      <c r="A235" s="6" t="n"/>
      <c r="B235" s="113">
        <f>IF($C235="","",IFERROR(INDEX(MUSTERILER!$B$7:$B$106,MATCH($T235,MUSTERILER!$T$7:$T$106,0)),IFERROR(INDEX(MUSTERILER!$B$7:$B$106,MATCH($C235,MUSTERILER!$B$7:$B$106,0)),IFERROR(INDEX(MUSTERILER!$B$7:$B$106,MATCH($T235&amp;"*",MUSTERILER!$T$7:$T$106,0)),"TANIMSIZ MÜŞTERİ"))))</f>
        <v/>
      </c>
      <c r="C235" s="109" t="n"/>
      <c r="D235" s="220" t="n"/>
      <c r="E235" s="220" t="n"/>
      <c r="F235" s="108" t="n"/>
      <c r="G235" s="221" t="n"/>
      <c r="H235" s="108" t="n"/>
      <c r="I235" s="222">
        <f>IF(OR($C235="",$D235="",$G235="",$F235=""),0,$G235*IF($F235="Aylık",MAX(0,(YEAR(MIN(IF($E235="",TODAY(),$E235),TODAY()))-YEAR($D235))*12+MONTH(MIN(IF($E235="",TODAY(),$E235),TODAY()))-MONTH($D235)+IF(MIN(IF($E235="",TODAY(),$E235),TODAY())&gt;=EOMONTH(MIN(IF($E235="",TODAY(),$E235),TODAY()),0),1,0)),MAX(0,INT((MIN(IF($E235="",TODAY(),$E235),TODAY())-($D235+MOD(SISTEM!$F$8-WEEKDAY($D235,2),7)))/7)+1)))</f>
        <v/>
      </c>
      <c r="J235" s="222">
        <f>IF(OR($C235="",$D235="",$G235="",$F235=""),0,$G235*IF($F235="Aylık",MAX(0,(YEAR(MIN(IF($E235="",TODAY()-8,$E235),TODAY()-8))-YEAR($D235))*12+MONTH(MIN(IF($E235="",TODAY()-8,$E235),TODAY()-8))-MONTH($D235)+IF(MIN(IF($E235="",TODAY()-8,$E235),TODAY()-8)&gt;=EOMONTH(MIN(IF($E235="",TODAY()-8,$E235),TODAY()-8),0),1,0)),MAX(0,INT((MIN(IF($E235="",TODAY()-8,$E235),TODAY()-8)-($D235+MOD(SISTEM!$F$8-WEEKDAY($D235,2),7)))/7)+1)))</f>
        <v/>
      </c>
      <c r="K235" s="222">
        <f>IF(OR($C235="",$D235="",$G235="",$F235=""),0,$G235*IF($F235="Aylık",MAX(0,(YEAR(MIN(IF($E235="",TODAY()-15,$E235),TODAY()-15))-YEAR($D235))*12+MONTH(MIN(IF($E235="",TODAY()-15,$E235),TODAY()-15))-MONTH($D235)+IF(MIN(IF($E235="",TODAY()-15,$E235),TODAY()-15)&gt;=EOMONTH(MIN(IF($E235="",TODAY()-15,$E235),TODAY()-15),0),1,0)),MAX(0,INT((MIN(IF($E235="",TODAY()-15,$E235),TODAY()-15)-($D235+MOD(SISTEM!$F$8-WEEKDAY($D235,2),7)))/7)+1)))</f>
        <v/>
      </c>
      <c r="L235" s="222">
        <f>IF(OR($C235="",$D235="",$G235="",$F235=""),0,$G235*IF($F235="Aylık",MAX(0,(YEAR(MIN(IF($E235="",TODAY()-29,$E235),TODAY()-29))-YEAR($D235))*12+MONTH(MIN(IF($E235="",TODAY()-29,$E235),TODAY()-29))-MONTH($D235)+IF(MIN(IF($E235="",TODAY()-29,$E235),TODAY()-29)&gt;=EOMONTH(MIN(IF($E235="",TODAY()-29,$E235),TODAY()-29),0),1,0)),MAX(0,INT((MIN(IF($E235="",TODAY()-29,$E235),TODAY()-29)-($D235+MOD(SISTEM!$F$8-WEEKDAY($D235,2),7)))/7)+1)))</f>
        <v/>
      </c>
      <c r="M235" s="223">
        <f>IF($G235&gt;0,$I235/$G235,0)</f>
        <v/>
      </c>
      <c r="N235" s="113">
        <f>IF($C235="","",IF($B235="TANIMSIZ MÜŞTERİ","TANIMSIZ MÜŞTERİ",IF($F235="","MODEL SEÇİN",IF(OR($D235="",$G235&lt;=0),"EKSİK",IF(AND($E235&lt;&gt;"",$E235&lt;$D235),"TARİH HATASI",IF($H235="Pasif","KAPALI DÖNEM","UYGUN"))))))</f>
        <v/>
      </c>
      <c r="O235" s="224">
        <f>IF(OR($C235="",$D235="",$F235=""),"",IF($F235="Aylık",EOMONTH($D235,0),($D235+MOD(SISTEM!$F$8-WEEKDAY($D235,2),7))))</f>
        <v/>
      </c>
      <c r="P235" s="109" t="n"/>
      <c r="Q235" s="6" t="n"/>
      <c r="R235" s="6" t="n"/>
      <c r="S235" s="3">
        <f>IF($B235="","",$B235&amp;"|"&amp;COUNTIFS($B$7:$B235,$B235))</f>
        <v/>
      </c>
      <c r="T235" s="3">
        <f>IF($C235="","",UPPER(SUBSTITUTE(SUBSTITUTE(SUBSTITUTE(SUBSTITUTE(SUBSTITUTE(SUBSTITUTE(SUBSTITUTE(SUBSTITUTE(SUBSTITUTE(SUBSTITUTE(SUBSTITUTE(SUBSTITUTE(SUBSTITUTE(SUBSTITUTE(SUBSTITUTE(SUBSTITUTE(SUBSTITUTE(SUBSTITUTE(TRIM($C235),"'",""),"İ","I"),"ı","I"),"i","I"),"Ş","S"),"ş","S"),"Ğ","G"),"ğ","G"),"Ü","U"),"ü","U"),"Ö","O"),"ö","O"),"Ç","C"),"ç","C"),".",""),",","")," ",""),"-","")))</f>
        <v/>
      </c>
    </row>
    <row r="236">
      <c r="A236" s="6" t="n"/>
      <c r="B236" s="113">
        <f>IF($C236="","",IFERROR(INDEX(MUSTERILER!$B$7:$B$106,MATCH($T236,MUSTERILER!$T$7:$T$106,0)),IFERROR(INDEX(MUSTERILER!$B$7:$B$106,MATCH($C236,MUSTERILER!$B$7:$B$106,0)),IFERROR(INDEX(MUSTERILER!$B$7:$B$106,MATCH($T236&amp;"*",MUSTERILER!$T$7:$T$106,0)),"TANIMSIZ MÜŞTERİ"))))</f>
        <v/>
      </c>
      <c r="C236" s="109" t="n"/>
      <c r="D236" s="220" t="n"/>
      <c r="E236" s="220" t="n"/>
      <c r="F236" s="108" t="n"/>
      <c r="G236" s="221" t="n"/>
      <c r="H236" s="108" t="n"/>
      <c r="I236" s="222">
        <f>IF(OR($C236="",$D236="",$G236="",$F236=""),0,$G236*IF($F236="Aylık",MAX(0,(YEAR(MIN(IF($E236="",TODAY(),$E236),TODAY()))-YEAR($D236))*12+MONTH(MIN(IF($E236="",TODAY(),$E236),TODAY()))-MONTH($D236)+IF(MIN(IF($E236="",TODAY(),$E236),TODAY())&gt;=EOMONTH(MIN(IF($E236="",TODAY(),$E236),TODAY()),0),1,0)),MAX(0,INT((MIN(IF($E236="",TODAY(),$E236),TODAY())-($D236+MOD(SISTEM!$F$8-WEEKDAY($D236,2),7)))/7)+1)))</f>
        <v/>
      </c>
      <c r="J236" s="222">
        <f>IF(OR($C236="",$D236="",$G236="",$F236=""),0,$G236*IF($F236="Aylık",MAX(0,(YEAR(MIN(IF($E236="",TODAY()-8,$E236),TODAY()-8))-YEAR($D236))*12+MONTH(MIN(IF($E236="",TODAY()-8,$E236),TODAY()-8))-MONTH($D236)+IF(MIN(IF($E236="",TODAY()-8,$E236),TODAY()-8)&gt;=EOMONTH(MIN(IF($E236="",TODAY()-8,$E236),TODAY()-8),0),1,0)),MAX(0,INT((MIN(IF($E236="",TODAY()-8,$E236),TODAY()-8)-($D236+MOD(SISTEM!$F$8-WEEKDAY($D236,2),7)))/7)+1)))</f>
        <v/>
      </c>
      <c r="K236" s="222">
        <f>IF(OR($C236="",$D236="",$G236="",$F236=""),0,$G236*IF($F236="Aylık",MAX(0,(YEAR(MIN(IF($E236="",TODAY()-15,$E236),TODAY()-15))-YEAR($D236))*12+MONTH(MIN(IF($E236="",TODAY()-15,$E236),TODAY()-15))-MONTH($D236)+IF(MIN(IF($E236="",TODAY()-15,$E236),TODAY()-15)&gt;=EOMONTH(MIN(IF($E236="",TODAY()-15,$E236),TODAY()-15),0),1,0)),MAX(0,INT((MIN(IF($E236="",TODAY()-15,$E236),TODAY()-15)-($D236+MOD(SISTEM!$F$8-WEEKDAY($D236,2),7)))/7)+1)))</f>
        <v/>
      </c>
      <c r="L236" s="222">
        <f>IF(OR($C236="",$D236="",$G236="",$F236=""),0,$G236*IF($F236="Aylık",MAX(0,(YEAR(MIN(IF($E236="",TODAY()-29,$E236),TODAY()-29))-YEAR($D236))*12+MONTH(MIN(IF($E236="",TODAY()-29,$E236),TODAY()-29))-MONTH($D236)+IF(MIN(IF($E236="",TODAY()-29,$E236),TODAY()-29)&gt;=EOMONTH(MIN(IF($E236="",TODAY()-29,$E236),TODAY()-29),0),1,0)),MAX(0,INT((MIN(IF($E236="",TODAY()-29,$E236),TODAY()-29)-($D236+MOD(SISTEM!$F$8-WEEKDAY($D236,2),7)))/7)+1)))</f>
        <v/>
      </c>
      <c r="M236" s="223">
        <f>IF($G236&gt;0,$I236/$G236,0)</f>
        <v/>
      </c>
      <c r="N236" s="113">
        <f>IF($C236="","",IF($B236="TANIMSIZ MÜŞTERİ","TANIMSIZ MÜŞTERİ",IF($F236="","MODEL SEÇİN",IF(OR($D236="",$G236&lt;=0),"EKSİK",IF(AND($E236&lt;&gt;"",$E236&lt;$D236),"TARİH HATASI",IF($H236="Pasif","KAPALI DÖNEM","UYGUN"))))))</f>
        <v/>
      </c>
      <c r="O236" s="224">
        <f>IF(OR($C236="",$D236="",$F236=""),"",IF($F236="Aylık",EOMONTH($D236,0),($D236+MOD(SISTEM!$F$8-WEEKDAY($D236,2),7))))</f>
        <v/>
      </c>
      <c r="P236" s="109" t="n"/>
      <c r="Q236" s="6" t="n"/>
      <c r="R236" s="6" t="n"/>
      <c r="S236" s="3">
        <f>IF($B236="","",$B236&amp;"|"&amp;COUNTIFS($B$7:$B236,$B236))</f>
        <v/>
      </c>
      <c r="T236" s="3">
        <f>IF($C236="","",UPPER(SUBSTITUTE(SUBSTITUTE(SUBSTITUTE(SUBSTITUTE(SUBSTITUTE(SUBSTITUTE(SUBSTITUTE(SUBSTITUTE(SUBSTITUTE(SUBSTITUTE(SUBSTITUTE(SUBSTITUTE(SUBSTITUTE(SUBSTITUTE(SUBSTITUTE(SUBSTITUTE(SUBSTITUTE(SUBSTITUTE(TRIM($C236),"'",""),"İ","I"),"ı","I"),"i","I"),"Ş","S"),"ş","S"),"Ğ","G"),"ğ","G"),"Ü","U"),"ü","U"),"Ö","O"),"ö","O"),"Ç","C"),"ç","C"),".",""),",","")," ",""),"-","")))</f>
        <v/>
      </c>
    </row>
    <row r="237">
      <c r="A237" s="6" t="n"/>
      <c r="B237" s="113">
        <f>IF($C237="","",IFERROR(INDEX(MUSTERILER!$B$7:$B$106,MATCH($T237,MUSTERILER!$T$7:$T$106,0)),IFERROR(INDEX(MUSTERILER!$B$7:$B$106,MATCH($C237,MUSTERILER!$B$7:$B$106,0)),IFERROR(INDEX(MUSTERILER!$B$7:$B$106,MATCH($T237&amp;"*",MUSTERILER!$T$7:$T$106,0)),"TANIMSIZ MÜŞTERİ"))))</f>
        <v/>
      </c>
      <c r="C237" s="109" t="n"/>
      <c r="D237" s="220" t="n"/>
      <c r="E237" s="220" t="n"/>
      <c r="F237" s="108" t="n"/>
      <c r="G237" s="221" t="n"/>
      <c r="H237" s="108" t="n"/>
      <c r="I237" s="222">
        <f>IF(OR($C237="",$D237="",$G237="",$F237=""),0,$G237*IF($F237="Aylık",MAX(0,(YEAR(MIN(IF($E237="",TODAY(),$E237),TODAY()))-YEAR($D237))*12+MONTH(MIN(IF($E237="",TODAY(),$E237),TODAY()))-MONTH($D237)+IF(MIN(IF($E237="",TODAY(),$E237),TODAY())&gt;=EOMONTH(MIN(IF($E237="",TODAY(),$E237),TODAY()),0),1,0)),MAX(0,INT((MIN(IF($E237="",TODAY(),$E237),TODAY())-($D237+MOD(SISTEM!$F$8-WEEKDAY($D237,2),7)))/7)+1)))</f>
        <v/>
      </c>
      <c r="J237" s="222">
        <f>IF(OR($C237="",$D237="",$G237="",$F237=""),0,$G237*IF($F237="Aylık",MAX(0,(YEAR(MIN(IF($E237="",TODAY()-8,$E237),TODAY()-8))-YEAR($D237))*12+MONTH(MIN(IF($E237="",TODAY()-8,$E237),TODAY()-8))-MONTH($D237)+IF(MIN(IF($E237="",TODAY()-8,$E237),TODAY()-8)&gt;=EOMONTH(MIN(IF($E237="",TODAY()-8,$E237),TODAY()-8),0),1,0)),MAX(0,INT((MIN(IF($E237="",TODAY()-8,$E237),TODAY()-8)-($D237+MOD(SISTEM!$F$8-WEEKDAY($D237,2),7)))/7)+1)))</f>
        <v/>
      </c>
      <c r="K237" s="222">
        <f>IF(OR($C237="",$D237="",$G237="",$F237=""),0,$G237*IF($F237="Aylık",MAX(0,(YEAR(MIN(IF($E237="",TODAY()-15,$E237),TODAY()-15))-YEAR($D237))*12+MONTH(MIN(IF($E237="",TODAY()-15,$E237),TODAY()-15))-MONTH($D237)+IF(MIN(IF($E237="",TODAY()-15,$E237),TODAY()-15)&gt;=EOMONTH(MIN(IF($E237="",TODAY()-15,$E237),TODAY()-15),0),1,0)),MAX(0,INT((MIN(IF($E237="",TODAY()-15,$E237),TODAY()-15)-($D237+MOD(SISTEM!$F$8-WEEKDAY($D237,2),7)))/7)+1)))</f>
        <v/>
      </c>
      <c r="L237" s="222">
        <f>IF(OR($C237="",$D237="",$G237="",$F237=""),0,$G237*IF($F237="Aylık",MAX(0,(YEAR(MIN(IF($E237="",TODAY()-29,$E237),TODAY()-29))-YEAR($D237))*12+MONTH(MIN(IF($E237="",TODAY()-29,$E237),TODAY()-29))-MONTH($D237)+IF(MIN(IF($E237="",TODAY()-29,$E237),TODAY()-29)&gt;=EOMONTH(MIN(IF($E237="",TODAY()-29,$E237),TODAY()-29),0),1,0)),MAX(0,INT((MIN(IF($E237="",TODAY()-29,$E237),TODAY()-29)-($D237+MOD(SISTEM!$F$8-WEEKDAY($D237,2),7)))/7)+1)))</f>
        <v/>
      </c>
      <c r="M237" s="223">
        <f>IF($G237&gt;0,$I237/$G237,0)</f>
        <v/>
      </c>
      <c r="N237" s="113">
        <f>IF($C237="","",IF($B237="TANIMSIZ MÜŞTERİ","TANIMSIZ MÜŞTERİ",IF($F237="","MODEL SEÇİN",IF(OR($D237="",$G237&lt;=0),"EKSİK",IF(AND($E237&lt;&gt;"",$E237&lt;$D237),"TARİH HATASI",IF($H237="Pasif","KAPALI DÖNEM","UYGUN"))))))</f>
        <v/>
      </c>
      <c r="O237" s="224">
        <f>IF(OR($C237="",$D237="",$F237=""),"",IF($F237="Aylık",EOMONTH($D237,0),($D237+MOD(SISTEM!$F$8-WEEKDAY($D237,2),7))))</f>
        <v/>
      </c>
      <c r="P237" s="109" t="n"/>
      <c r="Q237" s="6" t="n"/>
      <c r="R237" s="6" t="n"/>
      <c r="S237" s="3">
        <f>IF($B237="","",$B237&amp;"|"&amp;COUNTIFS($B$7:$B237,$B237))</f>
        <v/>
      </c>
      <c r="T237" s="3">
        <f>IF($C237="","",UPPER(SUBSTITUTE(SUBSTITUTE(SUBSTITUTE(SUBSTITUTE(SUBSTITUTE(SUBSTITUTE(SUBSTITUTE(SUBSTITUTE(SUBSTITUTE(SUBSTITUTE(SUBSTITUTE(SUBSTITUTE(SUBSTITUTE(SUBSTITUTE(SUBSTITUTE(SUBSTITUTE(SUBSTITUTE(SUBSTITUTE(TRIM($C237),"'",""),"İ","I"),"ı","I"),"i","I"),"Ş","S"),"ş","S"),"Ğ","G"),"ğ","G"),"Ü","U"),"ü","U"),"Ö","O"),"ö","O"),"Ç","C"),"ç","C"),".",""),",","")," ",""),"-","")))</f>
        <v/>
      </c>
    </row>
    <row r="238">
      <c r="A238" s="6" t="n"/>
      <c r="B238" s="113">
        <f>IF($C238="","",IFERROR(INDEX(MUSTERILER!$B$7:$B$106,MATCH($T238,MUSTERILER!$T$7:$T$106,0)),IFERROR(INDEX(MUSTERILER!$B$7:$B$106,MATCH($C238,MUSTERILER!$B$7:$B$106,0)),IFERROR(INDEX(MUSTERILER!$B$7:$B$106,MATCH($T238&amp;"*",MUSTERILER!$T$7:$T$106,0)),"TANIMSIZ MÜŞTERİ"))))</f>
        <v/>
      </c>
      <c r="C238" s="109" t="n"/>
      <c r="D238" s="220" t="n"/>
      <c r="E238" s="220" t="n"/>
      <c r="F238" s="108" t="n"/>
      <c r="G238" s="221" t="n"/>
      <c r="H238" s="108" t="n"/>
      <c r="I238" s="222">
        <f>IF(OR($C238="",$D238="",$G238="",$F238=""),0,$G238*IF($F238="Aylık",MAX(0,(YEAR(MIN(IF($E238="",TODAY(),$E238),TODAY()))-YEAR($D238))*12+MONTH(MIN(IF($E238="",TODAY(),$E238),TODAY()))-MONTH($D238)+IF(MIN(IF($E238="",TODAY(),$E238),TODAY())&gt;=EOMONTH(MIN(IF($E238="",TODAY(),$E238),TODAY()),0),1,0)),MAX(0,INT((MIN(IF($E238="",TODAY(),$E238),TODAY())-($D238+MOD(SISTEM!$F$8-WEEKDAY($D238,2),7)))/7)+1)))</f>
        <v/>
      </c>
      <c r="J238" s="222">
        <f>IF(OR($C238="",$D238="",$G238="",$F238=""),0,$G238*IF($F238="Aylık",MAX(0,(YEAR(MIN(IF($E238="",TODAY()-8,$E238),TODAY()-8))-YEAR($D238))*12+MONTH(MIN(IF($E238="",TODAY()-8,$E238),TODAY()-8))-MONTH($D238)+IF(MIN(IF($E238="",TODAY()-8,$E238),TODAY()-8)&gt;=EOMONTH(MIN(IF($E238="",TODAY()-8,$E238),TODAY()-8),0),1,0)),MAX(0,INT((MIN(IF($E238="",TODAY()-8,$E238),TODAY()-8)-($D238+MOD(SISTEM!$F$8-WEEKDAY($D238,2),7)))/7)+1)))</f>
        <v/>
      </c>
      <c r="K238" s="222">
        <f>IF(OR($C238="",$D238="",$G238="",$F238=""),0,$G238*IF($F238="Aylık",MAX(0,(YEAR(MIN(IF($E238="",TODAY()-15,$E238),TODAY()-15))-YEAR($D238))*12+MONTH(MIN(IF($E238="",TODAY()-15,$E238),TODAY()-15))-MONTH($D238)+IF(MIN(IF($E238="",TODAY()-15,$E238),TODAY()-15)&gt;=EOMONTH(MIN(IF($E238="",TODAY()-15,$E238),TODAY()-15),0),1,0)),MAX(0,INT((MIN(IF($E238="",TODAY()-15,$E238),TODAY()-15)-($D238+MOD(SISTEM!$F$8-WEEKDAY($D238,2),7)))/7)+1)))</f>
        <v/>
      </c>
      <c r="L238" s="222">
        <f>IF(OR($C238="",$D238="",$G238="",$F238=""),0,$G238*IF($F238="Aylık",MAX(0,(YEAR(MIN(IF($E238="",TODAY()-29,$E238),TODAY()-29))-YEAR($D238))*12+MONTH(MIN(IF($E238="",TODAY()-29,$E238),TODAY()-29))-MONTH($D238)+IF(MIN(IF($E238="",TODAY()-29,$E238),TODAY()-29)&gt;=EOMONTH(MIN(IF($E238="",TODAY()-29,$E238),TODAY()-29),0),1,0)),MAX(0,INT((MIN(IF($E238="",TODAY()-29,$E238),TODAY()-29)-($D238+MOD(SISTEM!$F$8-WEEKDAY($D238,2),7)))/7)+1)))</f>
        <v/>
      </c>
      <c r="M238" s="223">
        <f>IF($G238&gt;0,$I238/$G238,0)</f>
        <v/>
      </c>
      <c r="N238" s="113">
        <f>IF($C238="","",IF($B238="TANIMSIZ MÜŞTERİ","TANIMSIZ MÜŞTERİ",IF($F238="","MODEL SEÇİN",IF(OR($D238="",$G238&lt;=0),"EKSİK",IF(AND($E238&lt;&gt;"",$E238&lt;$D238),"TARİH HATASI",IF($H238="Pasif","KAPALI DÖNEM","UYGUN"))))))</f>
        <v/>
      </c>
      <c r="O238" s="224">
        <f>IF(OR($C238="",$D238="",$F238=""),"",IF($F238="Aylık",EOMONTH($D238,0),($D238+MOD(SISTEM!$F$8-WEEKDAY($D238,2),7))))</f>
        <v/>
      </c>
      <c r="P238" s="109" t="n"/>
      <c r="Q238" s="6" t="n"/>
      <c r="R238" s="6" t="n"/>
      <c r="S238" s="3">
        <f>IF($B238="","",$B238&amp;"|"&amp;COUNTIFS($B$7:$B238,$B238))</f>
        <v/>
      </c>
      <c r="T238" s="3">
        <f>IF($C238="","",UPPER(SUBSTITUTE(SUBSTITUTE(SUBSTITUTE(SUBSTITUTE(SUBSTITUTE(SUBSTITUTE(SUBSTITUTE(SUBSTITUTE(SUBSTITUTE(SUBSTITUTE(SUBSTITUTE(SUBSTITUTE(SUBSTITUTE(SUBSTITUTE(SUBSTITUTE(SUBSTITUTE(SUBSTITUTE(SUBSTITUTE(TRIM($C238),"'",""),"İ","I"),"ı","I"),"i","I"),"Ş","S"),"ş","S"),"Ğ","G"),"ğ","G"),"Ü","U"),"ü","U"),"Ö","O"),"ö","O"),"Ç","C"),"ç","C"),".",""),",","")," ",""),"-","")))</f>
        <v/>
      </c>
    </row>
    <row r="239">
      <c r="A239" s="6" t="n"/>
      <c r="B239" s="113">
        <f>IF($C239="","",IFERROR(INDEX(MUSTERILER!$B$7:$B$106,MATCH($T239,MUSTERILER!$T$7:$T$106,0)),IFERROR(INDEX(MUSTERILER!$B$7:$B$106,MATCH($C239,MUSTERILER!$B$7:$B$106,0)),IFERROR(INDEX(MUSTERILER!$B$7:$B$106,MATCH($T239&amp;"*",MUSTERILER!$T$7:$T$106,0)),"TANIMSIZ MÜŞTERİ"))))</f>
        <v/>
      </c>
      <c r="C239" s="109" t="n"/>
      <c r="D239" s="220" t="n"/>
      <c r="E239" s="220" t="n"/>
      <c r="F239" s="108" t="n"/>
      <c r="G239" s="221" t="n"/>
      <c r="H239" s="108" t="n"/>
      <c r="I239" s="222">
        <f>IF(OR($C239="",$D239="",$G239="",$F239=""),0,$G239*IF($F239="Aylık",MAX(0,(YEAR(MIN(IF($E239="",TODAY(),$E239),TODAY()))-YEAR($D239))*12+MONTH(MIN(IF($E239="",TODAY(),$E239),TODAY()))-MONTH($D239)+IF(MIN(IF($E239="",TODAY(),$E239),TODAY())&gt;=EOMONTH(MIN(IF($E239="",TODAY(),$E239),TODAY()),0),1,0)),MAX(0,INT((MIN(IF($E239="",TODAY(),$E239),TODAY())-($D239+MOD(SISTEM!$F$8-WEEKDAY($D239,2),7)))/7)+1)))</f>
        <v/>
      </c>
      <c r="J239" s="222">
        <f>IF(OR($C239="",$D239="",$G239="",$F239=""),0,$G239*IF($F239="Aylık",MAX(0,(YEAR(MIN(IF($E239="",TODAY()-8,$E239),TODAY()-8))-YEAR($D239))*12+MONTH(MIN(IF($E239="",TODAY()-8,$E239),TODAY()-8))-MONTH($D239)+IF(MIN(IF($E239="",TODAY()-8,$E239),TODAY()-8)&gt;=EOMONTH(MIN(IF($E239="",TODAY()-8,$E239),TODAY()-8),0),1,0)),MAX(0,INT((MIN(IF($E239="",TODAY()-8,$E239),TODAY()-8)-($D239+MOD(SISTEM!$F$8-WEEKDAY($D239,2),7)))/7)+1)))</f>
        <v/>
      </c>
      <c r="K239" s="222">
        <f>IF(OR($C239="",$D239="",$G239="",$F239=""),0,$G239*IF($F239="Aylık",MAX(0,(YEAR(MIN(IF($E239="",TODAY()-15,$E239),TODAY()-15))-YEAR($D239))*12+MONTH(MIN(IF($E239="",TODAY()-15,$E239),TODAY()-15))-MONTH($D239)+IF(MIN(IF($E239="",TODAY()-15,$E239),TODAY()-15)&gt;=EOMONTH(MIN(IF($E239="",TODAY()-15,$E239),TODAY()-15),0),1,0)),MAX(0,INT((MIN(IF($E239="",TODAY()-15,$E239),TODAY()-15)-($D239+MOD(SISTEM!$F$8-WEEKDAY($D239,2),7)))/7)+1)))</f>
        <v/>
      </c>
      <c r="L239" s="222">
        <f>IF(OR($C239="",$D239="",$G239="",$F239=""),0,$G239*IF($F239="Aylık",MAX(0,(YEAR(MIN(IF($E239="",TODAY()-29,$E239),TODAY()-29))-YEAR($D239))*12+MONTH(MIN(IF($E239="",TODAY()-29,$E239),TODAY()-29))-MONTH($D239)+IF(MIN(IF($E239="",TODAY()-29,$E239),TODAY()-29)&gt;=EOMONTH(MIN(IF($E239="",TODAY()-29,$E239),TODAY()-29),0),1,0)),MAX(0,INT((MIN(IF($E239="",TODAY()-29,$E239),TODAY()-29)-($D239+MOD(SISTEM!$F$8-WEEKDAY($D239,2),7)))/7)+1)))</f>
        <v/>
      </c>
      <c r="M239" s="223">
        <f>IF($G239&gt;0,$I239/$G239,0)</f>
        <v/>
      </c>
      <c r="N239" s="113">
        <f>IF($C239="","",IF($B239="TANIMSIZ MÜŞTERİ","TANIMSIZ MÜŞTERİ",IF($F239="","MODEL SEÇİN",IF(OR($D239="",$G239&lt;=0),"EKSİK",IF(AND($E239&lt;&gt;"",$E239&lt;$D239),"TARİH HATASI",IF($H239="Pasif","KAPALI DÖNEM","UYGUN"))))))</f>
        <v/>
      </c>
      <c r="O239" s="224">
        <f>IF(OR($C239="",$D239="",$F239=""),"",IF($F239="Aylık",EOMONTH($D239,0),($D239+MOD(SISTEM!$F$8-WEEKDAY($D239,2),7))))</f>
        <v/>
      </c>
      <c r="P239" s="109" t="n"/>
      <c r="Q239" s="6" t="n"/>
      <c r="R239" s="6" t="n"/>
      <c r="S239" s="3">
        <f>IF($B239="","",$B239&amp;"|"&amp;COUNTIFS($B$7:$B239,$B239))</f>
        <v/>
      </c>
      <c r="T239" s="3">
        <f>IF($C239="","",UPPER(SUBSTITUTE(SUBSTITUTE(SUBSTITUTE(SUBSTITUTE(SUBSTITUTE(SUBSTITUTE(SUBSTITUTE(SUBSTITUTE(SUBSTITUTE(SUBSTITUTE(SUBSTITUTE(SUBSTITUTE(SUBSTITUTE(SUBSTITUTE(SUBSTITUTE(SUBSTITUTE(SUBSTITUTE(SUBSTITUTE(TRIM($C239),"'",""),"İ","I"),"ı","I"),"i","I"),"Ş","S"),"ş","S"),"Ğ","G"),"ğ","G"),"Ü","U"),"ü","U"),"Ö","O"),"ö","O"),"Ç","C"),"ç","C"),".",""),",","")," ",""),"-","")))</f>
        <v/>
      </c>
    </row>
    <row r="240">
      <c r="A240" s="6" t="n"/>
      <c r="B240" s="113">
        <f>IF($C240="","",IFERROR(INDEX(MUSTERILER!$B$7:$B$106,MATCH($T240,MUSTERILER!$T$7:$T$106,0)),IFERROR(INDEX(MUSTERILER!$B$7:$B$106,MATCH($C240,MUSTERILER!$B$7:$B$106,0)),IFERROR(INDEX(MUSTERILER!$B$7:$B$106,MATCH($T240&amp;"*",MUSTERILER!$T$7:$T$106,0)),"TANIMSIZ MÜŞTERİ"))))</f>
        <v/>
      </c>
      <c r="C240" s="109" t="n"/>
      <c r="D240" s="220" t="n"/>
      <c r="E240" s="220" t="n"/>
      <c r="F240" s="108" t="n"/>
      <c r="G240" s="221" t="n"/>
      <c r="H240" s="108" t="n"/>
      <c r="I240" s="222">
        <f>IF(OR($C240="",$D240="",$G240="",$F240=""),0,$G240*IF($F240="Aylık",MAX(0,(YEAR(MIN(IF($E240="",TODAY(),$E240),TODAY()))-YEAR($D240))*12+MONTH(MIN(IF($E240="",TODAY(),$E240),TODAY()))-MONTH($D240)+IF(MIN(IF($E240="",TODAY(),$E240),TODAY())&gt;=EOMONTH(MIN(IF($E240="",TODAY(),$E240),TODAY()),0),1,0)),MAX(0,INT((MIN(IF($E240="",TODAY(),$E240),TODAY())-($D240+MOD(SISTEM!$F$8-WEEKDAY($D240,2),7)))/7)+1)))</f>
        <v/>
      </c>
      <c r="J240" s="222">
        <f>IF(OR($C240="",$D240="",$G240="",$F240=""),0,$G240*IF($F240="Aylık",MAX(0,(YEAR(MIN(IF($E240="",TODAY()-8,$E240),TODAY()-8))-YEAR($D240))*12+MONTH(MIN(IF($E240="",TODAY()-8,$E240),TODAY()-8))-MONTH($D240)+IF(MIN(IF($E240="",TODAY()-8,$E240),TODAY()-8)&gt;=EOMONTH(MIN(IF($E240="",TODAY()-8,$E240),TODAY()-8),0),1,0)),MAX(0,INT((MIN(IF($E240="",TODAY()-8,$E240),TODAY()-8)-($D240+MOD(SISTEM!$F$8-WEEKDAY($D240,2),7)))/7)+1)))</f>
        <v/>
      </c>
      <c r="K240" s="222">
        <f>IF(OR($C240="",$D240="",$G240="",$F240=""),0,$G240*IF($F240="Aylık",MAX(0,(YEAR(MIN(IF($E240="",TODAY()-15,$E240),TODAY()-15))-YEAR($D240))*12+MONTH(MIN(IF($E240="",TODAY()-15,$E240),TODAY()-15))-MONTH($D240)+IF(MIN(IF($E240="",TODAY()-15,$E240),TODAY()-15)&gt;=EOMONTH(MIN(IF($E240="",TODAY()-15,$E240),TODAY()-15),0),1,0)),MAX(0,INT((MIN(IF($E240="",TODAY()-15,$E240),TODAY()-15)-($D240+MOD(SISTEM!$F$8-WEEKDAY($D240,2),7)))/7)+1)))</f>
        <v/>
      </c>
      <c r="L240" s="222">
        <f>IF(OR($C240="",$D240="",$G240="",$F240=""),0,$G240*IF($F240="Aylık",MAX(0,(YEAR(MIN(IF($E240="",TODAY()-29,$E240),TODAY()-29))-YEAR($D240))*12+MONTH(MIN(IF($E240="",TODAY()-29,$E240),TODAY()-29))-MONTH($D240)+IF(MIN(IF($E240="",TODAY()-29,$E240),TODAY()-29)&gt;=EOMONTH(MIN(IF($E240="",TODAY()-29,$E240),TODAY()-29),0),1,0)),MAX(0,INT((MIN(IF($E240="",TODAY()-29,$E240),TODAY()-29)-($D240+MOD(SISTEM!$F$8-WEEKDAY($D240,2),7)))/7)+1)))</f>
        <v/>
      </c>
      <c r="M240" s="223">
        <f>IF($G240&gt;0,$I240/$G240,0)</f>
        <v/>
      </c>
      <c r="N240" s="113">
        <f>IF($C240="","",IF($B240="TANIMSIZ MÜŞTERİ","TANIMSIZ MÜŞTERİ",IF($F240="","MODEL SEÇİN",IF(OR($D240="",$G240&lt;=0),"EKSİK",IF(AND($E240&lt;&gt;"",$E240&lt;$D240),"TARİH HATASI",IF($H240="Pasif","KAPALI DÖNEM","UYGUN"))))))</f>
        <v/>
      </c>
      <c r="O240" s="224">
        <f>IF(OR($C240="",$D240="",$F240=""),"",IF($F240="Aylık",EOMONTH($D240,0),($D240+MOD(SISTEM!$F$8-WEEKDAY($D240,2),7))))</f>
        <v/>
      </c>
      <c r="P240" s="109" t="n"/>
      <c r="Q240" s="6" t="n"/>
      <c r="R240" s="6" t="n"/>
      <c r="S240" s="3">
        <f>IF($B240="","",$B240&amp;"|"&amp;COUNTIFS($B$7:$B240,$B240))</f>
        <v/>
      </c>
      <c r="T240" s="3">
        <f>IF($C240="","",UPPER(SUBSTITUTE(SUBSTITUTE(SUBSTITUTE(SUBSTITUTE(SUBSTITUTE(SUBSTITUTE(SUBSTITUTE(SUBSTITUTE(SUBSTITUTE(SUBSTITUTE(SUBSTITUTE(SUBSTITUTE(SUBSTITUTE(SUBSTITUTE(SUBSTITUTE(SUBSTITUTE(SUBSTITUTE(SUBSTITUTE(TRIM($C240),"'",""),"İ","I"),"ı","I"),"i","I"),"Ş","S"),"ş","S"),"Ğ","G"),"ğ","G"),"Ü","U"),"ü","U"),"Ö","O"),"ö","O"),"Ç","C"),"ç","C"),".",""),",","")," ",""),"-","")))</f>
        <v/>
      </c>
    </row>
    <row r="241">
      <c r="A241" s="6" t="n"/>
      <c r="B241" s="113">
        <f>IF($C241="","",IFERROR(INDEX(MUSTERILER!$B$7:$B$106,MATCH($T241,MUSTERILER!$T$7:$T$106,0)),IFERROR(INDEX(MUSTERILER!$B$7:$B$106,MATCH($C241,MUSTERILER!$B$7:$B$106,0)),IFERROR(INDEX(MUSTERILER!$B$7:$B$106,MATCH($T241&amp;"*",MUSTERILER!$T$7:$T$106,0)),"TANIMSIZ MÜŞTERİ"))))</f>
        <v/>
      </c>
      <c r="C241" s="109" t="n"/>
      <c r="D241" s="220" t="n"/>
      <c r="E241" s="220" t="n"/>
      <c r="F241" s="108" t="n"/>
      <c r="G241" s="221" t="n"/>
      <c r="H241" s="108" t="n"/>
      <c r="I241" s="222">
        <f>IF(OR($C241="",$D241="",$G241="",$F241=""),0,$G241*IF($F241="Aylık",MAX(0,(YEAR(MIN(IF($E241="",TODAY(),$E241),TODAY()))-YEAR($D241))*12+MONTH(MIN(IF($E241="",TODAY(),$E241),TODAY()))-MONTH($D241)+IF(MIN(IF($E241="",TODAY(),$E241),TODAY())&gt;=EOMONTH(MIN(IF($E241="",TODAY(),$E241),TODAY()),0),1,0)),MAX(0,INT((MIN(IF($E241="",TODAY(),$E241),TODAY())-($D241+MOD(SISTEM!$F$8-WEEKDAY($D241,2),7)))/7)+1)))</f>
        <v/>
      </c>
      <c r="J241" s="222">
        <f>IF(OR($C241="",$D241="",$G241="",$F241=""),0,$G241*IF($F241="Aylık",MAX(0,(YEAR(MIN(IF($E241="",TODAY()-8,$E241),TODAY()-8))-YEAR($D241))*12+MONTH(MIN(IF($E241="",TODAY()-8,$E241),TODAY()-8))-MONTH($D241)+IF(MIN(IF($E241="",TODAY()-8,$E241),TODAY()-8)&gt;=EOMONTH(MIN(IF($E241="",TODAY()-8,$E241),TODAY()-8),0),1,0)),MAX(0,INT((MIN(IF($E241="",TODAY()-8,$E241),TODAY()-8)-($D241+MOD(SISTEM!$F$8-WEEKDAY($D241,2),7)))/7)+1)))</f>
        <v/>
      </c>
      <c r="K241" s="222">
        <f>IF(OR($C241="",$D241="",$G241="",$F241=""),0,$G241*IF($F241="Aylık",MAX(0,(YEAR(MIN(IF($E241="",TODAY()-15,$E241),TODAY()-15))-YEAR($D241))*12+MONTH(MIN(IF($E241="",TODAY()-15,$E241),TODAY()-15))-MONTH($D241)+IF(MIN(IF($E241="",TODAY()-15,$E241),TODAY()-15)&gt;=EOMONTH(MIN(IF($E241="",TODAY()-15,$E241),TODAY()-15),0),1,0)),MAX(0,INT((MIN(IF($E241="",TODAY()-15,$E241),TODAY()-15)-($D241+MOD(SISTEM!$F$8-WEEKDAY($D241,2),7)))/7)+1)))</f>
        <v/>
      </c>
      <c r="L241" s="222">
        <f>IF(OR($C241="",$D241="",$G241="",$F241=""),0,$G241*IF($F241="Aylık",MAX(0,(YEAR(MIN(IF($E241="",TODAY()-29,$E241),TODAY()-29))-YEAR($D241))*12+MONTH(MIN(IF($E241="",TODAY()-29,$E241),TODAY()-29))-MONTH($D241)+IF(MIN(IF($E241="",TODAY()-29,$E241),TODAY()-29)&gt;=EOMONTH(MIN(IF($E241="",TODAY()-29,$E241),TODAY()-29),0),1,0)),MAX(0,INT((MIN(IF($E241="",TODAY()-29,$E241),TODAY()-29)-($D241+MOD(SISTEM!$F$8-WEEKDAY($D241,2),7)))/7)+1)))</f>
        <v/>
      </c>
      <c r="M241" s="223">
        <f>IF($G241&gt;0,$I241/$G241,0)</f>
        <v/>
      </c>
      <c r="N241" s="113">
        <f>IF($C241="","",IF($B241="TANIMSIZ MÜŞTERİ","TANIMSIZ MÜŞTERİ",IF($F241="","MODEL SEÇİN",IF(OR($D241="",$G241&lt;=0),"EKSİK",IF(AND($E241&lt;&gt;"",$E241&lt;$D241),"TARİH HATASI",IF($H241="Pasif","KAPALI DÖNEM","UYGUN"))))))</f>
        <v/>
      </c>
      <c r="O241" s="224">
        <f>IF(OR($C241="",$D241="",$F241=""),"",IF($F241="Aylık",EOMONTH($D241,0),($D241+MOD(SISTEM!$F$8-WEEKDAY($D241,2),7))))</f>
        <v/>
      </c>
      <c r="P241" s="109" t="n"/>
      <c r="Q241" s="6" t="n"/>
      <c r="R241" s="6" t="n"/>
      <c r="S241" s="3">
        <f>IF($B241="","",$B241&amp;"|"&amp;COUNTIFS($B$7:$B241,$B241))</f>
        <v/>
      </c>
      <c r="T241" s="3">
        <f>IF($C241="","",UPPER(SUBSTITUTE(SUBSTITUTE(SUBSTITUTE(SUBSTITUTE(SUBSTITUTE(SUBSTITUTE(SUBSTITUTE(SUBSTITUTE(SUBSTITUTE(SUBSTITUTE(SUBSTITUTE(SUBSTITUTE(SUBSTITUTE(SUBSTITUTE(SUBSTITUTE(SUBSTITUTE(SUBSTITUTE(SUBSTITUTE(TRIM($C241),"'",""),"İ","I"),"ı","I"),"i","I"),"Ş","S"),"ş","S"),"Ğ","G"),"ğ","G"),"Ü","U"),"ü","U"),"Ö","O"),"ö","O"),"Ç","C"),"ç","C"),".",""),",","")," ",""),"-","")))</f>
        <v/>
      </c>
    </row>
    <row r="242">
      <c r="A242" s="6" t="n"/>
      <c r="B242" s="113">
        <f>IF($C242="","",IFERROR(INDEX(MUSTERILER!$B$7:$B$106,MATCH($T242,MUSTERILER!$T$7:$T$106,0)),IFERROR(INDEX(MUSTERILER!$B$7:$B$106,MATCH($C242,MUSTERILER!$B$7:$B$106,0)),IFERROR(INDEX(MUSTERILER!$B$7:$B$106,MATCH($T242&amp;"*",MUSTERILER!$T$7:$T$106,0)),"TANIMSIZ MÜŞTERİ"))))</f>
        <v/>
      </c>
      <c r="C242" s="109" t="n"/>
      <c r="D242" s="220" t="n"/>
      <c r="E242" s="220" t="n"/>
      <c r="F242" s="108" t="n"/>
      <c r="G242" s="221" t="n"/>
      <c r="H242" s="108" t="n"/>
      <c r="I242" s="222">
        <f>IF(OR($C242="",$D242="",$G242="",$F242=""),0,$G242*IF($F242="Aylık",MAX(0,(YEAR(MIN(IF($E242="",TODAY(),$E242),TODAY()))-YEAR($D242))*12+MONTH(MIN(IF($E242="",TODAY(),$E242),TODAY()))-MONTH($D242)+IF(MIN(IF($E242="",TODAY(),$E242),TODAY())&gt;=EOMONTH(MIN(IF($E242="",TODAY(),$E242),TODAY()),0),1,0)),MAX(0,INT((MIN(IF($E242="",TODAY(),$E242),TODAY())-($D242+MOD(SISTEM!$F$8-WEEKDAY($D242,2),7)))/7)+1)))</f>
        <v/>
      </c>
      <c r="J242" s="222">
        <f>IF(OR($C242="",$D242="",$G242="",$F242=""),0,$G242*IF($F242="Aylık",MAX(0,(YEAR(MIN(IF($E242="",TODAY()-8,$E242),TODAY()-8))-YEAR($D242))*12+MONTH(MIN(IF($E242="",TODAY()-8,$E242),TODAY()-8))-MONTH($D242)+IF(MIN(IF($E242="",TODAY()-8,$E242),TODAY()-8)&gt;=EOMONTH(MIN(IF($E242="",TODAY()-8,$E242),TODAY()-8),0),1,0)),MAX(0,INT((MIN(IF($E242="",TODAY()-8,$E242),TODAY()-8)-($D242+MOD(SISTEM!$F$8-WEEKDAY($D242,2),7)))/7)+1)))</f>
        <v/>
      </c>
      <c r="K242" s="222">
        <f>IF(OR($C242="",$D242="",$G242="",$F242=""),0,$G242*IF($F242="Aylık",MAX(0,(YEAR(MIN(IF($E242="",TODAY()-15,$E242),TODAY()-15))-YEAR($D242))*12+MONTH(MIN(IF($E242="",TODAY()-15,$E242),TODAY()-15))-MONTH($D242)+IF(MIN(IF($E242="",TODAY()-15,$E242),TODAY()-15)&gt;=EOMONTH(MIN(IF($E242="",TODAY()-15,$E242),TODAY()-15),0),1,0)),MAX(0,INT((MIN(IF($E242="",TODAY()-15,$E242),TODAY()-15)-($D242+MOD(SISTEM!$F$8-WEEKDAY($D242,2),7)))/7)+1)))</f>
        <v/>
      </c>
      <c r="L242" s="222">
        <f>IF(OR($C242="",$D242="",$G242="",$F242=""),0,$G242*IF($F242="Aylık",MAX(0,(YEAR(MIN(IF($E242="",TODAY()-29,$E242),TODAY()-29))-YEAR($D242))*12+MONTH(MIN(IF($E242="",TODAY()-29,$E242),TODAY()-29))-MONTH($D242)+IF(MIN(IF($E242="",TODAY()-29,$E242),TODAY()-29)&gt;=EOMONTH(MIN(IF($E242="",TODAY()-29,$E242),TODAY()-29),0),1,0)),MAX(0,INT((MIN(IF($E242="",TODAY()-29,$E242),TODAY()-29)-($D242+MOD(SISTEM!$F$8-WEEKDAY($D242,2),7)))/7)+1)))</f>
        <v/>
      </c>
      <c r="M242" s="223">
        <f>IF($G242&gt;0,$I242/$G242,0)</f>
        <v/>
      </c>
      <c r="N242" s="113">
        <f>IF($C242="","",IF($B242="TANIMSIZ MÜŞTERİ","TANIMSIZ MÜŞTERİ",IF($F242="","MODEL SEÇİN",IF(OR($D242="",$G242&lt;=0),"EKSİK",IF(AND($E242&lt;&gt;"",$E242&lt;$D242),"TARİH HATASI",IF($H242="Pasif","KAPALI DÖNEM","UYGUN"))))))</f>
        <v/>
      </c>
      <c r="O242" s="224">
        <f>IF(OR($C242="",$D242="",$F242=""),"",IF($F242="Aylık",EOMONTH($D242,0),($D242+MOD(SISTEM!$F$8-WEEKDAY($D242,2),7))))</f>
        <v/>
      </c>
      <c r="P242" s="109" t="n"/>
      <c r="Q242" s="6" t="n"/>
      <c r="R242" s="6" t="n"/>
      <c r="S242" s="3">
        <f>IF($B242="","",$B242&amp;"|"&amp;COUNTIFS($B$7:$B242,$B242))</f>
        <v/>
      </c>
      <c r="T242" s="3">
        <f>IF($C242="","",UPPER(SUBSTITUTE(SUBSTITUTE(SUBSTITUTE(SUBSTITUTE(SUBSTITUTE(SUBSTITUTE(SUBSTITUTE(SUBSTITUTE(SUBSTITUTE(SUBSTITUTE(SUBSTITUTE(SUBSTITUTE(SUBSTITUTE(SUBSTITUTE(SUBSTITUTE(SUBSTITUTE(SUBSTITUTE(SUBSTITUTE(TRIM($C242),"'",""),"İ","I"),"ı","I"),"i","I"),"Ş","S"),"ş","S"),"Ğ","G"),"ğ","G"),"Ü","U"),"ü","U"),"Ö","O"),"ö","O"),"Ç","C"),"ç","C"),".",""),",","")," ",""),"-","")))</f>
        <v/>
      </c>
    </row>
    <row r="243">
      <c r="A243" s="6" t="n"/>
      <c r="B243" s="113">
        <f>IF($C243="","",IFERROR(INDEX(MUSTERILER!$B$7:$B$106,MATCH($T243,MUSTERILER!$T$7:$T$106,0)),IFERROR(INDEX(MUSTERILER!$B$7:$B$106,MATCH($C243,MUSTERILER!$B$7:$B$106,0)),IFERROR(INDEX(MUSTERILER!$B$7:$B$106,MATCH($T243&amp;"*",MUSTERILER!$T$7:$T$106,0)),"TANIMSIZ MÜŞTERİ"))))</f>
        <v/>
      </c>
      <c r="C243" s="109" t="n"/>
      <c r="D243" s="220" t="n"/>
      <c r="E243" s="220" t="n"/>
      <c r="F243" s="108" t="n"/>
      <c r="G243" s="221" t="n"/>
      <c r="H243" s="108" t="n"/>
      <c r="I243" s="222">
        <f>IF(OR($C243="",$D243="",$G243="",$F243=""),0,$G243*IF($F243="Aylık",MAX(0,(YEAR(MIN(IF($E243="",TODAY(),$E243),TODAY()))-YEAR($D243))*12+MONTH(MIN(IF($E243="",TODAY(),$E243),TODAY()))-MONTH($D243)+IF(MIN(IF($E243="",TODAY(),$E243),TODAY())&gt;=EOMONTH(MIN(IF($E243="",TODAY(),$E243),TODAY()),0),1,0)),MAX(0,INT((MIN(IF($E243="",TODAY(),$E243),TODAY())-($D243+MOD(SISTEM!$F$8-WEEKDAY($D243,2),7)))/7)+1)))</f>
        <v/>
      </c>
      <c r="J243" s="222">
        <f>IF(OR($C243="",$D243="",$G243="",$F243=""),0,$G243*IF($F243="Aylık",MAX(0,(YEAR(MIN(IF($E243="",TODAY()-8,$E243),TODAY()-8))-YEAR($D243))*12+MONTH(MIN(IF($E243="",TODAY()-8,$E243),TODAY()-8))-MONTH($D243)+IF(MIN(IF($E243="",TODAY()-8,$E243),TODAY()-8)&gt;=EOMONTH(MIN(IF($E243="",TODAY()-8,$E243),TODAY()-8),0),1,0)),MAX(0,INT((MIN(IF($E243="",TODAY()-8,$E243),TODAY()-8)-($D243+MOD(SISTEM!$F$8-WEEKDAY($D243,2),7)))/7)+1)))</f>
        <v/>
      </c>
      <c r="K243" s="222">
        <f>IF(OR($C243="",$D243="",$G243="",$F243=""),0,$G243*IF($F243="Aylık",MAX(0,(YEAR(MIN(IF($E243="",TODAY()-15,$E243),TODAY()-15))-YEAR($D243))*12+MONTH(MIN(IF($E243="",TODAY()-15,$E243),TODAY()-15))-MONTH($D243)+IF(MIN(IF($E243="",TODAY()-15,$E243),TODAY()-15)&gt;=EOMONTH(MIN(IF($E243="",TODAY()-15,$E243),TODAY()-15),0),1,0)),MAX(0,INT((MIN(IF($E243="",TODAY()-15,$E243),TODAY()-15)-($D243+MOD(SISTEM!$F$8-WEEKDAY($D243,2),7)))/7)+1)))</f>
        <v/>
      </c>
      <c r="L243" s="222">
        <f>IF(OR($C243="",$D243="",$G243="",$F243=""),0,$G243*IF($F243="Aylık",MAX(0,(YEAR(MIN(IF($E243="",TODAY()-29,$E243),TODAY()-29))-YEAR($D243))*12+MONTH(MIN(IF($E243="",TODAY()-29,$E243),TODAY()-29))-MONTH($D243)+IF(MIN(IF($E243="",TODAY()-29,$E243),TODAY()-29)&gt;=EOMONTH(MIN(IF($E243="",TODAY()-29,$E243),TODAY()-29),0),1,0)),MAX(0,INT((MIN(IF($E243="",TODAY()-29,$E243),TODAY()-29)-($D243+MOD(SISTEM!$F$8-WEEKDAY($D243,2),7)))/7)+1)))</f>
        <v/>
      </c>
      <c r="M243" s="223">
        <f>IF($G243&gt;0,$I243/$G243,0)</f>
        <v/>
      </c>
      <c r="N243" s="113">
        <f>IF($C243="","",IF($B243="TANIMSIZ MÜŞTERİ","TANIMSIZ MÜŞTERİ",IF($F243="","MODEL SEÇİN",IF(OR($D243="",$G243&lt;=0),"EKSİK",IF(AND($E243&lt;&gt;"",$E243&lt;$D243),"TARİH HATASI",IF($H243="Pasif","KAPALI DÖNEM","UYGUN"))))))</f>
        <v/>
      </c>
      <c r="O243" s="224">
        <f>IF(OR($C243="",$D243="",$F243=""),"",IF($F243="Aylık",EOMONTH($D243,0),($D243+MOD(SISTEM!$F$8-WEEKDAY($D243,2),7))))</f>
        <v/>
      </c>
      <c r="P243" s="109" t="n"/>
      <c r="Q243" s="6" t="n"/>
      <c r="R243" s="6" t="n"/>
      <c r="S243" s="3">
        <f>IF($B243="","",$B243&amp;"|"&amp;COUNTIFS($B$7:$B243,$B243))</f>
        <v/>
      </c>
      <c r="T243" s="3">
        <f>IF($C243="","",UPPER(SUBSTITUTE(SUBSTITUTE(SUBSTITUTE(SUBSTITUTE(SUBSTITUTE(SUBSTITUTE(SUBSTITUTE(SUBSTITUTE(SUBSTITUTE(SUBSTITUTE(SUBSTITUTE(SUBSTITUTE(SUBSTITUTE(SUBSTITUTE(SUBSTITUTE(SUBSTITUTE(SUBSTITUTE(SUBSTITUTE(TRIM($C243),"'",""),"İ","I"),"ı","I"),"i","I"),"Ş","S"),"ş","S"),"Ğ","G"),"ğ","G"),"Ü","U"),"ü","U"),"Ö","O"),"ö","O"),"Ç","C"),"ç","C"),".",""),",","")," ",""),"-","")))</f>
        <v/>
      </c>
    </row>
    <row r="244">
      <c r="A244" s="6" t="n"/>
      <c r="B244" s="113">
        <f>IF($C244="","",IFERROR(INDEX(MUSTERILER!$B$7:$B$106,MATCH($T244,MUSTERILER!$T$7:$T$106,0)),IFERROR(INDEX(MUSTERILER!$B$7:$B$106,MATCH($C244,MUSTERILER!$B$7:$B$106,0)),IFERROR(INDEX(MUSTERILER!$B$7:$B$106,MATCH($T244&amp;"*",MUSTERILER!$T$7:$T$106,0)),"TANIMSIZ MÜŞTERİ"))))</f>
        <v/>
      </c>
      <c r="C244" s="109" t="n"/>
      <c r="D244" s="220" t="n"/>
      <c r="E244" s="220" t="n"/>
      <c r="F244" s="108" t="n"/>
      <c r="G244" s="221" t="n"/>
      <c r="H244" s="108" t="n"/>
      <c r="I244" s="222">
        <f>IF(OR($C244="",$D244="",$G244="",$F244=""),0,$G244*IF($F244="Aylık",MAX(0,(YEAR(MIN(IF($E244="",TODAY(),$E244),TODAY()))-YEAR($D244))*12+MONTH(MIN(IF($E244="",TODAY(),$E244),TODAY()))-MONTH($D244)+IF(MIN(IF($E244="",TODAY(),$E244),TODAY())&gt;=EOMONTH(MIN(IF($E244="",TODAY(),$E244),TODAY()),0),1,0)),MAX(0,INT((MIN(IF($E244="",TODAY(),$E244),TODAY())-($D244+MOD(SISTEM!$F$8-WEEKDAY($D244,2),7)))/7)+1)))</f>
        <v/>
      </c>
      <c r="J244" s="222">
        <f>IF(OR($C244="",$D244="",$G244="",$F244=""),0,$G244*IF($F244="Aylık",MAX(0,(YEAR(MIN(IF($E244="",TODAY()-8,$E244),TODAY()-8))-YEAR($D244))*12+MONTH(MIN(IF($E244="",TODAY()-8,$E244),TODAY()-8))-MONTH($D244)+IF(MIN(IF($E244="",TODAY()-8,$E244),TODAY()-8)&gt;=EOMONTH(MIN(IF($E244="",TODAY()-8,$E244),TODAY()-8),0),1,0)),MAX(0,INT((MIN(IF($E244="",TODAY()-8,$E244),TODAY()-8)-($D244+MOD(SISTEM!$F$8-WEEKDAY($D244,2),7)))/7)+1)))</f>
        <v/>
      </c>
      <c r="K244" s="222">
        <f>IF(OR($C244="",$D244="",$G244="",$F244=""),0,$G244*IF($F244="Aylık",MAX(0,(YEAR(MIN(IF($E244="",TODAY()-15,$E244),TODAY()-15))-YEAR($D244))*12+MONTH(MIN(IF($E244="",TODAY()-15,$E244),TODAY()-15))-MONTH($D244)+IF(MIN(IF($E244="",TODAY()-15,$E244),TODAY()-15)&gt;=EOMONTH(MIN(IF($E244="",TODAY()-15,$E244),TODAY()-15),0),1,0)),MAX(0,INT((MIN(IF($E244="",TODAY()-15,$E244),TODAY()-15)-($D244+MOD(SISTEM!$F$8-WEEKDAY($D244,2),7)))/7)+1)))</f>
        <v/>
      </c>
      <c r="L244" s="222">
        <f>IF(OR($C244="",$D244="",$G244="",$F244=""),0,$G244*IF($F244="Aylık",MAX(0,(YEAR(MIN(IF($E244="",TODAY()-29,$E244),TODAY()-29))-YEAR($D244))*12+MONTH(MIN(IF($E244="",TODAY()-29,$E244),TODAY()-29))-MONTH($D244)+IF(MIN(IF($E244="",TODAY()-29,$E244),TODAY()-29)&gt;=EOMONTH(MIN(IF($E244="",TODAY()-29,$E244),TODAY()-29),0),1,0)),MAX(0,INT((MIN(IF($E244="",TODAY()-29,$E244),TODAY()-29)-($D244+MOD(SISTEM!$F$8-WEEKDAY($D244,2),7)))/7)+1)))</f>
        <v/>
      </c>
      <c r="M244" s="223">
        <f>IF($G244&gt;0,$I244/$G244,0)</f>
        <v/>
      </c>
      <c r="N244" s="113">
        <f>IF($C244="","",IF($B244="TANIMSIZ MÜŞTERİ","TANIMSIZ MÜŞTERİ",IF($F244="","MODEL SEÇİN",IF(OR($D244="",$G244&lt;=0),"EKSİK",IF(AND($E244&lt;&gt;"",$E244&lt;$D244),"TARİH HATASI",IF($H244="Pasif","KAPALI DÖNEM","UYGUN"))))))</f>
        <v/>
      </c>
      <c r="O244" s="224">
        <f>IF(OR($C244="",$D244="",$F244=""),"",IF($F244="Aylık",EOMONTH($D244,0),($D244+MOD(SISTEM!$F$8-WEEKDAY($D244,2),7))))</f>
        <v/>
      </c>
      <c r="P244" s="109" t="n"/>
      <c r="Q244" s="6" t="n"/>
      <c r="R244" s="6" t="n"/>
      <c r="S244" s="3">
        <f>IF($B244="","",$B244&amp;"|"&amp;COUNTIFS($B$7:$B244,$B244))</f>
        <v/>
      </c>
      <c r="T244" s="3">
        <f>IF($C244="","",UPPER(SUBSTITUTE(SUBSTITUTE(SUBSTITUTE(SUBSTITUTE(SUBSTITUTE(SUBSTITUTE(SUBSTITUTE(SUBSTITUTE(SUBSTITUTE(SUBSTITUTE(SUBSTITUTE(SUBSTITUTE(SUBSTITUTE(SUBSTITUTE(SUBSTITUTE(SUBSTITUTE(SUBSTITUTE(SUBSTITUTE(TRIM($C244),"'",""),"İ","I"),"ı","I"),"i","I"),"Ş","S"),"ş","S"),"Ğ","G"),"ğ","G"),"Ü","U"),"ü","U"),"Ö","O"),"ö","O"),"Ç","C"),"ç","C"),".",""),",","")," ",""),"-","")))</f>
        <v/>
      </c>
    </row>
    <row r="245">
      <c r="A245" s="6" t="n"/>
      <c r="B245" s="113">
        <f>IF($C245="","",IFERROR(INDEX(MUSTERILER!$B$7:$B$106,MATCH($T245,MUSTERILER!$T$7:$T$106,0)),IFERROR(INDEX(MUSTERILER!$B$7:$B$106,MATCH($C245,MUSTERILER!$B$7:$B$106,0)),IFERROR(INDEX(MUSTERILER!$B$7:$B$106,MATCH($T245&amp;"*",MUSTERILER!$T$7:$T$106,0)),"TANIMSIZ MÜŞTERİ"))))</f>
        <v/>
      </c>
      <c r="C245" s="109" t="n"/>
      <c r="D245" s="220" t="n"/>
      <c r="E245" s="220" t="n"/>
      <c r="F245" s="108" t="n"/>
      <c r="G245" s="221" t="n"/>
      <c r="H245" s="108" t="n"/>
      <c r="I245" s="222">
        <f>IF(OR($C245="",$D245="",$G245="",$F245=""),0,$G245*IF($F245="Aylık",MAX(0,(YEAR(MIN(IF($E245="",TODAY(),$E245),TODAY()))-YEAR($D245))*12+MONTH(MIN(IF($E245="",TODAY(),$E245),TODAY()))-MONTH($D245)+IF(MIN(IF($E245="",TODAY(),$E245),TODAY())&gt;=EOMONTH(MIN(IF($E245="",TODAY(),$E245),TODAY()),0),1,0)),MAX(0,INT((MIN(IF($E245="",TODAY(),$E245),TODAY())-($D245+MOD(SISTEM!$F$8-WEEKDAY($D245,2),7)))/7)+1)))</f>
        <v/>
      </c>
      <c r="J245" s="222">
        <f>IF(OR($C245="",$D245="",$G245="",$F245=""),0,$G245*IF($F245="Aylık",MAX(0,(YEAR(MIN(IF($E245="",TODAY()-8,$E245),TODAY()-8))-YEAR($D245))*12+MONTH(MIN(IF($E245="",TODAY()-8,$E245),TODAY()-8))-MONTH($D245)+IF(MIN(IF($E245="",TODAY()-8,$E245),TODAY()-8)&gt;=EOMONTH(MIN(IF($E245="",TODAY()-8,$E245),TODAY()-8),0),1,0)),MAX(0,INT((MIN(IF($E245="",TODAY()-8,$E245),TODAY()-8)-($D245+MOD(SISTEM!$F$8-WEEKDAY($D245,2),7)))/7)+1)))</f>
        <v/>
      </c>
      <c r="K245" s="222">
        <f>IF(OR($C245="",$D245="",$G245="",$F245=""),0,$G245*IF($F245="Aylık",MAX(0,(YEAR(MIN(IF($E245="",TODAY()-15,$E245),TODAY()-15))-YEAR($D245))*12+MONTH(MIN(IF($E245="",TODAY()-15,$E245),TODAY()-15))-MONTH($D245)+IF(MIN(IF($E245="",TODAY()-15,$E245),TODAY()-15)&gt;=EOMONTH(MIN(IF($E245="",TODAY()-15,$E245),TODAY()-15),0),1,0)),MAX(0,INT((MIN(IF($E245="",TODAY()-15,$E245),TODAY()-15)-($D245+MOD(SISTEM!$F$8-WEEKDAY($D245,2),7)))/7)+1)))</f>
        <v/>
      </c>
      <c r="L245" s="222">
        <f>IF(OR($C245="",$D245="",$G245="",$F245=""),0,$G245*IF($F245="Aylık",MAX(0,(YEAR(MIN(IF($E245="",TODAY()-29,$E245),TODAY()-29))-YEAR($D245))*12+MONTH(MIN(IF($E245="",TODAY()-29,$E245),TODAY()-29))-MONTH($D245)+IF(MIN(IF($E245="",TODAY()-29,$E245),TODAY()-29)&gt;=EOMONTH(MIN(IF($E245="",TODAY()-29,$E245),TODAY()-29),0),1,0)),MAX(0,INT((MIN(IF($E245="",TODAY()-29,$E245),TODAY()-29)-($D245+MOD(SISTEM!$F$8-WEEKDAY($D245,2),7)))/7)+1)))</f>
        <v/>
      </c>
      <c r="M245" s="223">
        <f>IF($G245&gt;0,$I245/$G245,0)</f>
        <v/>
      </c>
      <c r="N245" s="113">
        <f>IF($C245="","",IF($B245="TANIMSIZ MÜŞTERİ","TANIMSIZ MÜŞTERİ",IF($F245="","MODEL SEÇİN",IF(OR($D245="",$G245&lt;=0),"EKSİK",IF(AND($E245&lt;&gt;"",$E245&lt;$D245),"TARİH HATASI",IF($H245="Pasif","KAPALI DÖNEM","UYGUN"))))))</f>
        <v/>
      </c>
      <c r="O245" s="224">
        <f>IF(OR($C245="",$D245="",$F245=""),"",IF($F245="Aylık",EOMONTH($D245,0),($D245+MOD(SISTEM!$F$8-WEEKDAY($D245,2),7))))</f>
        <v/>
      </c>
      <c r="P245" s="109" t="n"/>
      <c r="Q245" s="6" t="n"/>
      <c r="R245" s="6" t="n"/>
      <c r="S245" s="3">
        <f>IF($B245="","",$B245&amp;"|"&amp;COUNTIFS($B$7:$B245,$B245))</f>
        <v/>
      </c>
      <c r="T245" s="3">
        <f>IF($C245="","",UPPER(SUBSTITUTE(SUBSTITUTE(SUBSTITUTE(SUBSTITUTE(SUBSTITUTE(SUBSTITUTE(SUBSTITUTE(SUBSTITUTE(SUBSTITUTE(SUBSTITUTE(SUBSTITUTE(SUBSTITUTE(SUBSTITUTE(SUBSTITUTE(SUBSTITUTE(SUBSTITUTE(SUBSTITUTE(SUBSTITUTE(TRIM($C245),"'",""),"İ","I"),"ı","I"),"i","I"),"Ş","S"),"ş","S"),"Ğ","G"),"ğ","G"),"Ü","U"),"ü","U"),"Ö","O"),"ö","O"),"Ç","C"),"ç","C"),".",""),",","")," ",""),"-","")))</f>
        <v/>
      </c>
    </row>
    <row r="246">
      <c r="A246" s="6" t="n"/>
      <c r="B246" s="113">
        <f>IF($C246="","",IFERROR(INDEX(MUSTERILER!$B$7:$B$106,MATCH($T246,MUSTERILER!$T$7:$T$106,0)),IFERROR(INDEX(MUSTERILER!$B$7:$B$106,MATCH($C246,MUSTERILER!$B$7:$B$106,0)),IFERROR(INDEX(MUSTERILER!$B$7:$B$106,MATCH($T246&amp;"*",MUSTERILER!$T$7:$T$106,0)),"TANIMSIZ MÜŞTERİ"))))</f>
        <v/>
      </c>
      <c r="C246" s="109" t="n"/>
      <c r="D246" s="220" t="n"/>
      <c r="E246" s="220" t="n"/>
      <c r="F246" s="108" t="n"/>
      <c r="G246" s="221" t="n"/>
      <c r="H246" s="108" t="n"/>
      <c r="I246" s="222">
        <f>IF(OR($C246="",$D246="",$G246="",$F246=""),0,$G246*IF($F246="Aylık",MAX(0,(YEAR(MIN(IF($E246="",TODAY(),$E246),TODAY()))-YEAR($D246))*12+MONTH(MIN(IF($E246="",TODAY(),$E246),TODAY()))-MONTH($D246)+IF(MIN(IF($E246="",TODAY(),$E246),TODAY())&gt;=EOMONTH(MIN(IF($E246="",TODAY(),$E246),TODAY()),0),1,0)),MAX(0,INT((MIN(IF($E246="",TODAY(),$E246),TODAY())-($D246+MOD(SISTEM!$F$8-WEEKDAY($D246,2),7)))/7)+1)))</f>
        <v/>
      </c>
      <c r="J246" s="222">
        <f>IF(OR($C246="",$D246="",$G246="",$F246=""),0,$G246*IF($F246="Aylık",MAX(0,(YEAR(MIN(IF($E246="",TODAY()-8,$E246),TODAY()-8))-YEAR($D246))*12+MONTH(MIN(IF($E246="",TODAY()-8,$E246),TODAY()-8))-MONTH($D246)+IF(MIN(IF($E246="",TODAY()-8,$E246),TODAY()-8)&gt;=EOMONTH(MIN(IF($E246="",TODAY()-8,$E246),TODAY()-8),0),1,0)),MAX(0,INT((MIN(IF($E246="",TODAY()-8,$E246),TODAY()-8)-($D246+MOD(SISTEM!$F$8-WEEKDAY($D246,2),7)))/7)+1)))</f>
        <v/>
      </c>
      <c r="K246" s="222">
        <f>IF(OR($C246="",$D246="",$G246="",$F246=""),0,$G246*IF($F246="Aylık",MAX(0,(YEAR(MIN(IF($E246="",TODAY()-15,$E246),TODAY()-15))-YEAR($D246))*12+MONTH(MIN(IF($E246="",TODAY()-15,$E246),TODAY()-15))-MONTH($D246)+IF(MIN(IF($E246="",TODAY()-15,$E246),TODAY()-15)&gt;=EOMONTH(MIN(IF($E246="",TODAY()-15,$E246),TODAY()-15),0),1,0)),MAX(0,INT((MIN(IF($E246="",TODAY()-15,$E246),TODAY()-15)-($D246+MOD(SISTEM!$F$8-WEEKDAY($D246,2),7)))/7)+1)))</f>
        <v/>
      </c>
      <c r="L246" s="222">
        <f>IF(OR($C246="",$D246="",$G246="",$F246=""),0,$G246*IF($F246="Aylık",MAX(0,(YEAR(MIN(IF($E246="",TODAY()-29,$E246),TODAY()-29))-YEAR($D246))*12+MONTH(MIN(IF($E246="",TODAY()-29,$E246),TODAY()-29))-MONTH($D246)+IF(MIN(IF($E246="",TODAY()-29,$E246),TODAY()-29)&gt;=EOMONTH(MIN(IF($E246="",TODAY()-29,$E246),TODAY()-29),0),1,0)),MAX(0,INT((MIN(IF($E246="",TODAY()-29,$E246),TODAY()-29)-($D246+MOD(SISTEM!$F$8-WEEKDAY($D246,2),7)))/7)+1)))</f>
        <v/>
      </c>
      <c r="M246" s="223">
        <f>IF($G246&gt;0,$I246/$G246,0)</f>
        <v/>
      </c>
      <c r="N246" s="113">
        <f>IF($C246="","",IF($B246="TANIMSIZ MÜŞTERİ","TANIMSIZ MÜŞTERİ",IF($F246="","MODEL SEÇİN",IF(OR($D246="",$G246&lt;=0),"EKSİK",IF(AND($E246&lt;&gt;"",$E246&lt;$D246),"TARİH HATASI",IF($H246="Pasif","KAPALI DÖNEM","UYGUN"))))))</f>
        <v/>
      </c>
      <c r="O246" s="224">
        <f>IF(OR($C246="",$D246="",$F246=""),"",IF($F246="Aylık",EOMONTH($D246,0),($D246+MOD(SISTEM!$F$8-WEEKDAY($D246,2),7))))</f>
        <v/>
      </c>
      <c r="P246" s="109" t="n"/>
      <c r="Q246" s="6" t="n"/>
      <c r="R246" s="6" t="n"/>
      <c r="S246" s="3">
        <f>IF($B246="","",$B246&amp;"|"&amp;COUNTIFS($B$7:$B246,$B246))</f>
        <v/>
      </c>
      <c r="T246" s="3">
        <f>IF($C246="","",UPPER(SUBSTITUTE(SUBSTITUTE(SUBSTITUTE(SUBSTITUTE(SUBSTITUTE(SUBSTITUTE(SUBSTITUTE(SUBSTITUTE(SUBSTITUTE(SUBSTITUTE(SUBSTITUTE(SUBSTITUTE(SUBSTITUTE(SUBSTITUTE(SUBSTITUTE(SUBSTITUTE(SUBSTITUTE(SUBSTITUTE(TRIM($C246),"'",""),"İ","I"),"ı","I"),"i","I"),"Ş","S"),"ş","S"),"Ğ","G"),"ğ","G"),"Ü","U"),"ü","U"),"Ö","O"),"ö","O"),"Ç","C"),"ç","C"),".",""),",","")," ",""),"-","")))</f>
        <v/>
      </c>
    </row>
    <row r="247">
      <c r="A247" s="6" t="n"/>
      <c r="B247" s="113">
        <f>IF($C247="","",IFERROR(INDEX(MUSTERILER!$B$7:$B$106,MATCH($T247,MUSTERILER!$T$7:$T$106,0)),IFERROR(INDEX(MUSTERILER!$B$7:$B$106,MATCH($C247,MUSTERILER!$B$7:$B$106,0)),IFERROR(INDEX(MUSTERILER!$B$7:$B$106,MATCH($T247&amp;"*",MUSTERILER!$T$7:$T$106,0)),"TANIMSIZ MÜŞTERİ"))))</f>
        <v/>
      </c>
      <c r="C247" s="109" t="n"/>
      <c r="D247" s="220" t="n"/>
      <c r="E247" s="220" t="n"/>
      <c r="F247" s="108" t="n"/>
      <c r="G247" s="221" t="n"/>
      <c r="H247" s="108" t="n"/>
      <c r="I247" s="222">
        <f>IF(OR($C247="",$D247="",$G247="",$F247=""),0,$G247*IF($F247="Aylık",MAX(0,(YEAR(MIN(IF($E247="",TODAY(),$E247),TODAY()))-YEAR($D247))*12+MONTH(MIN(IF($E247="",TODAY(),$E247),TODAY()))-MONTH($D247)+IF(MIN(IF($E247="",TODAY(),$E247),TODAY())&gt;=EOMONTH(MIN(IF($E247="",TODAY(),$E247),TODAY()),0),1,0)),MAX(0,INT((MIN(IF($E247="",TODAY(),$E247),TODAY())-($D247+MOD(SISTEM!$F$8-WEEKDAY($D247,2),7)))/7)+1)))</f>
        <v/>
      </c>
      <c r="J247" s="222">
        <f>IF(OR($C247="",$D247="",$G247="",$F247=""),0,$G247*IF($F247="Aylık",MAX(0,(YEAR(MIN(IF($E247="",TODAY()-8,$E247),TODAY()-8))-YEAR($D247))*12+MONTH(MIN(IF($E247="",TODAY()-8,$E247),TODAY()-8))-MONTH($D247)+IF(MIN(IF($E247="",TODAY()-8,$E247),TODAY()-8)&gt;=EOMONTH(MIN(IF($E247="",TODAY()-8,$E247),TODAY()-8),0),1,0)),MAX(0,INT((MIN(IF($E247="",TODAY()-8,$E247),TODAY()-8)-($D247+MOD(SISTEM!$F$8-WEEKDAY($D247,2),7)))/7)+1)))</f>
        <v/>
      </c>
      <c r="K247" s="222">
        <f>IF(OR($C247="",$D247="",$G247="",$F247=""),0,$G247*IF($F247="Aylık",MAX(0,(YEAR(MIN(IF($E247="",TODAY()-15,$E247),TODAY()-15))-YEAR($D247))*12+MONTH(MIN(IF($E247="",TODAY()-15,$E247),TODAY()-15))-MONTH($D247)+IF(MIN(IF($E247="",TODAY()-15,$E247),TODAY()-15)&gt;=EOMONTH(MIN(IF($E247="",TODAY()-15,$E247),TODAY()-15),0),1,0)),MAX(0,INT((MIN(IF($E247="",TODAY()-15,$E247),TODAY()-15)-($D247+MOD(SISTEM!$F$8-WEEKDAY($D247,2),7)))/7)+1)))</f>
        <v/>
      </c>
      <c r="L247" s="222">
        <f>IF(OR($C247="",$D247="",$G247="",$F247=""),0,$G247*IF($F247="Aylık",MAX(0,(YEAR(MIN(IF($E247="",TODAY()-29,$E247),TODAY()-29))-YEAR($D247))*12+MONTH(MIN(IF($E247="",TODAY()-29,$E247),TODAY()-29))-MONTH($D247)+IF(MIN(IF($E247="",TODAY()-29,$E247),TODAY()-29)&gt;=EOMONTH(MIN(IF($E247="",TODAY()-29,$E247),TODAY()-29),0),1,0)),MAX(0,INT((MIN(IF($E247="",TODAY()-29,$E247),TODAY()-29)-($D247+MOD(SISTEM!$F$8-WEEKDAY($D247,2),7)))/7)+1)))</f>
        <v/>
      </c>
      <c r="M247" s="223">
        <f>IF($G247&gt;0,$I247/$G247,0)</f>
        <v/>
      </c>
      <c r="N247" s="113">
        <f>IF($C247="","",IF($B247="TANIMSIZ MÜŞTERİ","TANIMSIZ MÜŞTERİ",IF($F247="","MODEL SEÇİN",IF(OR($D247="",$G247&lt;=0),"EKSİK",IF(AND($E247&lt;&gt;"",$E247&lt;$D247),"TARİH HATASI",IF($H247="Pasif","KAPALI DÖNEM","UYGUN"))))))</f>
        <v/>
      </c>
      <c r="O247" s="224">
        <f>IF(OR($C247="",$D247="",$F247=""),"",IF($F247="Aylık",EOMONTH($D247,0),($D247+MOD(SISTEM!$F$8-WEEKDAY($D247,2),7))))</f>
        <v/>
      </c>
      <c r="P247" s="109" t="n"/>
      <c r="Q247" s="6" t="n"/>
      <c r="R247" s="6" t="n"/>
      <c r="S247" s="3">
        <f>IF($B247="","",$B247&amp;"|"&amp;COUNTIFS($B$7:$B247,$B247))</f>
        <v/>
      </c>
      <c r="T247" s="3">
        <f>IF($C247="","",UPPER(SUBSTITUTE(SUBSTITUTE(SUBSTITUTE(SUBSTITUTE(SUBSTITUTE(SUBSTITUTE(SUBSTITUTE(SUBSTITUTE(SUBSTITUTE(SUBSTITUTE(SUBSTITUTE(SUBSTITUTE(SUBSTITUTE(SUBSTITUTE(SUBSTITUTE(SUBSTITUTE(SUBSTITUTE(SUBSTITUTE(TRIM($C247),"'",""),"İ","I"),"ı","I"),"i","I"),"Ş","S"),"ş","S"),"Ğ","G"),"ğ","G"),"Ü","U"),"ü","U"),"Ö","O"),"ö","O"),"Ç","C"),"ç","C"),".",""),",","")," ",""),"-","")))</f>
        <v/>
      </c>
    </row>
    <row r="248">
      <c r="A248" s="6" t="n"/>
      <c r="B248" s="113">
        <f>IF($C248="","",IFERROR(INDEX(MUSTERILER!$B$7:$B$106,MATCH($T248,MUSTERILER!$T$7:$T$106,0)),IFERROR(INDEX(MUSTERILER!$B$7:$B$106,MATCH($C248,MUSTERILER!$B$7:$B$106,0)),IFERROR(INDEX(MUSTERILER!$B$7:$B$106,MATCH($T248&amp;"*",MUSTERILER!$T$7:$T$106,0)),"TANIMSIZ MÜŞTERİ"))))</f>
        <v/>
      </c>
      <c r="C248" s="109" t="n"/>
      <c r="D248" s="220" t="n"/>
      <c r="E248" s="220" t="n"/>
      <c r="F248" s="108" t="n"/>
      <c r="G248" s="221" t="n"/>
      <c r="H248" s="108" t="n"/>
      <c r="I248" s="222">
        <f>IF(OR($C248="",$D248="",$G248="",$F248=""),0,$G248*IF($F248="Aylık",MAX(0,(YEAR(MIN(IF($E248="",TODAY(),$E248),TODAY()))-YEAR($D248))*12+MONTH(MIN(IF($E248="",TODAY(),$E248),TODAY()))-MONTH($D248)+IF(MIN(IF($E248="",TODAY(),$E248),TODAY())&gt;=EOMONTH(MIN(IF($E248="",TODAY(),$E248),TODAY()),0),1,0)),MAX(0,INT((MIN(IF($E248="",TODAY(),$E248),TODAY())-($D248+MOD(SISTEM!$F$8-WEEKDAY($D248,2),7)))/7)+1)))</f>
        <v/>
      </c>
      <c r="J248" s="222">
        <f>IF(OR($C248="",$D248="",$G248="",$F248=""),0,$G248*IF($F248="Aylık",MAX(0,(YEAR(MIN(IF($E248="",TODAY()-8,$E248),TODAY()-8))-YEAR($D248))*12+MONTH(MIN(IF($E248="",TODAY()-8,$E248),TODAY()-8))-MONTH($D248)+IF(MIN(IF($E248="",TODAY()-8,$E248),TODAY()-8)&gt;=EOMONTH(MIN(IF($E248="",TODAY()-8,$E248),TODAY()-8),0),1,0)),MAX(0,INT((MIN(IF($E248="",TODAY()-8,$E248),TODAY()-8)-($D248+MOD(SISTEM!$F$8-WEEKDAY($D248,2),7)))/7)+1)))</f>
        <v/>
      </c>
      <c r="K248" s="222">
        <f>IF(OR($C248="",$D248="",$G248="",$F248=""),0,$G248*IF($F248="Aylık",MAX(0,(YEAR(MIN(IF($E248="",TODAY()-15,$E248),TODAY()-15))-YEAR($D248))*12+MONTH(MIN(IF($E248="",TODAY()-15,$E248),TODAY()-15))-MONTH($D248)+IF(MIN(IF($E248="",TODAY()-15,$E248),TODAY()-15)&gt;=EOMONTH(MIN(IF($E248="",TODAY()-15,$E248),TODAY()-15),0),1,0)),MAX(0,INT((MIN(IF($E248="",TODAY()-15,$E248),TODAY()-15)-($D248+MOD(SISTEM!$F$8-WEEKDAY($D248,2),7)))/7)+1)))</f>
        <v/>
      </c>
      <c r="L248" s="222">
        <f>IF(OR($C248="",$D248="",$G248="",$F248=""),0,$G248*IF($F248="Aylık",MAX(0,(YEAR(MIN(IF($E248="",TODAY()-29,$E248),TODAY()-29))-YEAR($D248))*12+MONTH(MIN(IF($E248="",TODAY()-29,$E248),TODAY()-29))-MONTH($D248)+IF(MIN(IF($E248="",TODAY()-29,$E248),TODAY()-29)&gt;=EOMONTH(MIN(IF($E248="",TODAY()-29,$E248),TODAY()-29),0),1,0)),MAX(0,INT((MIN(IF($E248="",TODAY()-29,$E248),TODAY()-29)-($D248+MOD(SISTEM!$F$8-WEEKDAY($D248,2),7)))/7)+1)))</f>
        <v/>
      </c>
      <c r="M248" s="223">
        <f>IF($G248&gt;0,$I248/$G248,0)</f>
        <v/>
      </c>
      <c r="N248" s="113">
        <f>IF($C248="","",IF($B248="TANIMSIZ MÜŞTERİ","TANIMSIZ MÜŞTERİ",IF($F248="","MODEL SEÇİN",IF(OR($D248="",$G248&lt;=0),"EKSİK",IF(AND($E248&lt;&gt;"",$E248&lt;$D248),"TARİH HATASI",IF($H248="Pasif","KAPALI DÖNEM","UYGUN"))))))</f>
        <v/>
      </c>
      <c r="O248" s="224">
        <f>IF(OR($C248="",$D248="",$F248=""),"",IF($F248="Aylık",EOMONTH($D248,0),($D248+MOD(SISTEM!$F$8-WEEKDAY($D248,2),7))))</f>
        <v/>
      </c>
      <c r="P248" s="109" t="n"/>
      <c r="Q248" s="6" t="n"/>
      <c r="R248" s="6" t="n"/>
      <c r="S248" s="3">
        <f>IF($B248="","",$B248&amp;"|"&amp;COUNTIFS($B$7:$B248,$B248))</f>
        <v/>
      </c>
      <c r="T248" s="3">
        <f>IF($C248="","",UPPER(SUBSTITUTE(SUBSTITUTE(SUBSTITUTE(SUBSTITUTE(SUBSTITUTE(SUBSTITUTE(SUBSTITUTE(SUBSTITUTE(SUBSTITUTE(SUBSTITUTE(SUBSTITUTE(SUBSTITUTE(SUBSTITUTE(SUBSTITUTE(SUBSTITUTE(SUBSTITUTE(SUBSTITUTE(SUBSTITUTE(TRIM($C248),"'",""),"İ","I"),"ı","I"),"i","I"),"Ş","S"),"ş","S"),"Ğ","G"),"ğ","G"),"Ü","U"),"ü","U"),"Ö","O"),"ö","O"),"Ç","C"),"ç","C"),".",""),",","")," ",""),"-","")))</f>
        <v/>
      </c>
    </row>
    <row r="249">
      <c r="A249" s="6" t="n"/>
      <c r="B249" s="113">
        <f>IF($C249="","",IFERROR(INDEX(MUSTERILER!$B$7:$B$106,MATCH($T249,MUSTERILER!$T$7:$T$106,0)),IFERROR(INDEX(MUSTERILER!$B$7:$B$106,MATCH($C249,MUSTERILER!$B$7:$B$106,0)),IFERROR(INDEX(MUSTERILER!$B$7:$B$106,MATCH($T249&amp;"*",MUSTERILER!$T$7:$T$106,0)),"TANIMSIZ MÜŞTERİ"))))</f>
        <v/>
      </c>
      <c r="C249" s="109" t="n"/>
      <c r="D249" s="220" t="n"/>
      <c r="E249" s="220" t="n"/>
      <c r="F249" s="108" t="n"/>
      <c r="G249" s="221" t="n"/>
      <c r="H249" s="108" t="n"/>
      <c r="I249" s="222">
        <f>IF(OR($C249="",$D249="",$G249="",$F249=""),0,$G249*IF($F249="Aylık",MAX(0,(YEAR(MIN(IF($E249="",TODAY(),$E249),TODAY()))-YEAR($D249))*12+MONTH(MIN(IF($E249="",TODAY(),$E249),TODAY()))-MONTH($D249)+IF(MIN(IF($E249="",TODAY(),$E249),TODAY())&gt;=EOMONTH(MIN(IF($E249="",TODAY(),$E249),TODAY()),0),1,0)),MAX(0,INT((MIN(IF($E249="",TODAY(),$E249),TODAY())-($D249+MOD(SISTEM!$F$8-WEEKDAY($D249,2),7)))/7)+1)))</f>
        <v/>
      </c>
      <c r="J249" s="222">
        <f>IF(OR($C249="",$D249="",$G249="",$F249=""),0,$G249*IF($F249="Aylık",MAX(0,(YEAR(MIN(IF($E249="",TODAY()-8,$E249),TODAY()-8))-YEAR($D249))*12+MONTH(MIN(IF($E249="",TODAY()-8,$E249),TODAY()-8))-MONTH($D249)+IF(MIN(IF($E249="",TODAY()-8,$E249),TODAY()-8)&gt;=EOMONTH(MIN(IF($E249="",TODAY()-8,$E249),TODAY()-8),0),1,0)),MAX(0,INT((MIN(IF($E249="",TODAY()-8,$E249),TODAY()-8)-($D249+MOD(SISTEM!$F$8-WEEKDAY($D249,2),7)))/7)+1)))</f>
        <v/>
      </c>
      <c r="K249" s="222">
        <f>IF(OR($C249="",$D249="",$G249="",$F249=""),0,$G249*IF($F249="Aylık",MAX(0,(YEAR(MIN(IF($E249="",TODAY()-15,$E249),TODAY()-15))-YEAR($D249))*12+MONTH(MIN(IF($E249="",TODAY()-15,$E249),TODAY()-15))-MONTH($D249)+IF(MIN(IF($E249="",TODAY()-15,$E249),TODAY()-15)&gt;=EOMONTH(MIN(IF($E249="",TODAY()-15,$E249),TODAY()-15),0),1,0)),MAX(0,INT((MIN(IF($E249="",TODAY()-15,$E249),TODAY()-15)-($D249+MOD(SISTEM!$F$8-WEEKDAY($D249,2),7)))/7)+1)))</f>
        <v/>
      </c>
      <c r="L249" s="222">
        <f>IF(OR($C249="",$D249="",$G249="",$F249=""),0,$G249*IF($F249="Aylık",MAX(0,(YEAR(MIN(IF($E249="",TODAY()-29,$E249),TODAY()-29))-YEAR($D249))*12+MONTH(MIN(IF($E249="",TODAY()-29,$E249),TODAY()-29))-MONTH($D249)+IF(MIN(IF($E249="",TODAY()-29,$E249),TODAY()-29)&gt;=EOMONTH(MIN(IF($E249="",TODAY()-29,$E249),TODAY()-29),0),1,0)),MAX(0,INT((MIN(IF($E249="",TODAY()-29,$E249),TODAY()-29)-($D249+MOD(SISTEM!$F$8-WEEKDAY($D249,2),7)))/7)+1)))</f>
        <v/>
      </c>
      <c r="M249" s="223">
        <f>IF($G249&gt;0,$I249/$G249,0)</f>
        <v/>
      </c>
      <c r="N249" s="113">
        <f>IF($C249="","",IF($B249="TANIMSIZ MÜŞTERİ","TANIMSIZ MÜŞTERİ",IF($F249="","MODEL SEÇİN",IF(OR($D249="",$G249&lt;=0),"EKSİK",IF(AND($E249&lt;&gt;"",$E249&lt;$D249),"TARİH HATASI",IF($H249="Pasif","KAPALI DÖNEM","UYGUN"))))))</f>
        <v/>
      </c>
      <c r="O249" s="224">
        <f>IF(OR($C249="",$D249="",$F249=""),"",IF($F249="Aylık",EOMONTH($D249,0),($D249+MOD(SISTEM!$F$8-WEEKDAY($D249,2),7))))</f>
        <v/>
      </c>
      <c r="P249" s="109" t="n"/>
      <c r="Q249" s="6" t="n"/>
      <c r="R249" s="6" t="n"/>
      <c r="S249" s="3">
        <f>IF($B249="","",$B249&amp;"|"&amp;COUNTIFS($B$7:$B249,$B249))</f>
        <v/>
      </c>
      <c r="T249" s="3">
        <f>IF($C249="","",UPPER(SUBSTITUTE(SUBSTITUTE(SUBSTITUTE(SUBSTITUTE(SUBSTITUTE(SUBSTITUTE(SUBSTITUTE(SUBSTITUTE(SUBSTITUTE(SUBSTITUTE(SUBSTITUTE(SUBSTITUTE(SUBSTITUTE(SUBSTITUTE(SUBSTITUTE(SUBSTITUTE(SUBSTITUTE(SUBSTITUTE(TRIM($C249),"'",""),"İ","I"),"ı","I"),"i","I"),"Ş","S"),"ş","S"),"Ğ","G"),"ğ","G"),"Ü","U"),"ü","U"),"Ö","O"),"ö","O"),"Ç","C"),"ç","C"),".",""),",","")," ",""),"-","")))</f>
        <v/>
      </c>
    </row>
    <row r="250">
      <c r="A250" s="6" t="n"/>
      <c r="B250" s="113">
        <f>IF($C250="","",IFERROR(INDEX(MUSTERILER!$B$7:$B$106,MATCH($T250,MUSTERILER!$T$7:$T$106,0)),IFERROR(INDEX(MUSTERILER!$B$7:$B$106,MATCH($C250,MUSTERILER!$B$7:$B$106,0)),IFERROR(INDEX(MUSTERILER!$B$7:$B$106,MATCH($T250&amp;"*",MUSTERILER!$T$7:$T$106,0)),"TANIMSIZ MÜŞTERİ"))))</f>
        <v/>
      </c>
      <c r="C250" s="109" t="n"/>
      <c r="D250" s="220" t="n"/>
      <c r="E250" s="220" t="n"/>
      <c r="F250" s="108" t="n"/>
      <c r="G250" s="221" t="n"/>
      <c r="H250" s="108" t="n"/>
      <c r="I250" s="222">
        <f>IF(OR($C250="",$D250="",$G250="",$F250=""),0,$G250*IF($F250="Aylık",MAX(0,(YEAR(MIN(IF($E250="",TODAY(),$E250),TODAY()))-YEAR($D250))*12+MONTH(MIN(IF($E250="",TODAY(),$E250),TODAY()))-MONTH($D250)+IF(MIN(IF($E250="",TODAY(),$E250),TODAY())&gt;=EOMONTH(MIN(IF($E250="",TODAY(),$E250),TODAY()),0),1,0)),MAX(0,INT((MIN(IF($E250="",TODAY(),$E250),TODAY())-($D250+MOD(SISTEM!$F$8-WEEKDAY($D250,2),7)))/7)+1)))</f>
        <v/>
      </c>
      <c r="J250" s="222">
        <f>IF(OR($C250="",$D250="",$G250="",$F250=""),0,$G250*IF($F250="Aylık",MAX(0,(YEAR(MIN(IF($E250="",TODAY()-8,$E250),TODAY()-8))-YEAR($D250))*12+MONTH(MIN(IF($E250="",TODAY()-8,$E250),TODAY()-8))-MONTH($D250)+IF(MIN(IF($E250="",TODAY()-8,$E250),TODAY()-8)&gt;=EOMONTH(MIN(IF($E250="",TODAY()-8,$E250),TODAY()-8),0),1,0)),MAX(0,INT((MIN(IF($E250="",TODAY()-8,$E250),TODAY()-8)-($D250+MOD(SISTEM!$F$8-WEEKDAY($D250,2),7)))/7)+1)))</f>
        <v/>
      </c>
      <c r="K250" s="222">
        <f>IF(OR($C250="",$D250="",$G250="",$F250=""),0,$G250*IF($F250="Aylık",MAX(0,(YEAR(MIN(IF($E250="",TODAY()-15,$E250),TODAY()-15))-YEAR($D250))*12+MONTH(MIN(IF($E250="",TODAY()-15,$E250),TODAY()-15))-MONTH($D250)+IF(MIN(IF($E250="",TODAY()-15,$E250),TODAY()-15)&gt;=EOMONTH(MIN(IF($E250="",TODAY()-15,$E250),TODAY()-15),0),1,0)),MAX(0,INT((MIN(IF($E250="",TODAY()-15,$E250),TODAY()-15)-($D250+MOD(SISTEM!$F$8-WEEKDAY($D250,2),7)))/7)+1)))</f>
        <v/>
      </c>
      <c r="L250" s="222">
        <f>IF(OR($C250="",$D250="",$G250="",$F250=""),0,$G250*IF($F250="Aylık",MAX(0,(YEAR(MIN(IF($E250="",TODAY()-29,$E250),TODAY()-29))-YEAR($D250))*12+MONTH(MIN(IF($E250="",TODAY()-29,$E250),TODAY()-29))-MONTH($D250)+IF(MIN(IF($E250="",TODAY()-29,$E250),TODAY()-29)&gt;=EOMONTH(MIN(IF($E250="",TODAY()-29,$E250),TODAY()-29),0),1,0)),MAX(0,INT((MIN(IF($E250="",TODAY()-29,$E250),TODAY()-29)-($D250+MOD(SISTEM!$F$8-WEEKDAY($D250,2),7)))/7)+1)))</f>
        <v/>
      </c>
      <c r="M250" s="223">
        <f>IF($G250&gt;0,$I250/$G250,0)</f>
        <v/>
      </c>
      <c r="N250" s="113">
        <f>IF($C250="","",IF($B250="TANIMSIZ MÜŞTERİ","TANIMSIZ MÜŞTERİ",IF($F250="","MODEL SEÇİN",IF(OR($D250="",$G250&lt;=0),"EKSİK",IF(AND($E250&lt;&gt;"",$E250&lt;$D250),"TARİH HATASI",IF($H250="Pasif","KAPALI DÖNEM","UYGUN"))))))</f>
        <v/>
      </c>
      <c r="O250" s="224">
        <f>IF(OR($C250="",$D250="",$F250=""),"",IF($F250="Aylık",EOMONTH($D250,0),($D250+MOD(SISTEM!$F$8-WEEKDAY($D250,2),7))))</f>
        <v/>
      </c>
      <c r="P250" s="109" t="n"/>
      <c r="Q250" s="6" t="n"/>
      <c r="R250" s="6" t="n"/>
      <c r="S250" s="3">
        <f>IF($B250="","",$B250&amp;"|"&amp;COUNTIFS($B$7:$B250,$B250))</f>
        <v/>
      </c>
      <c r="T250" s="3">
        <f>IF($C250="","",UPPER(SUBSTITUTE(SUBSTITUTE(SUBSTITUTE(SUBSTITUTE(SUBSTITUTE(SUBSTITUTE(SUBSTITUTE(SUBSTITUTE(SUBSTITUTE(SUBSTITUTE(SUBSTITUTE(SUBSTITUTE(SUBSTITUTE(SUBSTITUTE(SUBSTITUTE(SUBSTITUTE(SUBSTITUTE(SUBSTITUTE(TRIM($C250),"'",""),"İ","I"),"ı","I"),"i","I"),"Ş","S"),"ş","S"),"Ğ","G"),"ğ","G"),"Ü","U"),"ü","U"),"Ö","O"),"ö","O"),"Ç","C"),"ç","C"),".",""),",","")," ",""),"-","")))</f>
        <v/>
      </c>
    </row>
    <row r="251">
      <c r="A251" s="6" t="n"/>
      <c r="B251" s="113">
        <f>IF($C251="","",IFERROR(INDEX(MUSTERILER!$B$7:$B$106,MATCH($T251,MUSTERILER!$T$7:$T$106,0)),IFERROR(INDEX(MUSTERILER!$B$7:$B$106,MATCH($C251,MUSTERILER!$B$7:$B$106,0)),IFERROR(INDEX(MUSTERILER!$B$7:$B$106,MATCH($T251&amp;"*",MUSTERILER!$T$7:$T$106,0)),"TANIMSIZ MÜŞTERİ"))))</f>
        <v/>
      </c>
      <c r="C251" s="109" t="n"/>
      <c r="D251" s="220" t="n"/>
      <c r="E251" s="220" t="n"/>
      <c r="F251" s="108" t="n"/>
      <c r="G251" s="221" t="n"/>
      <c r="H251" s="108" t="n"/>
      <c r="I251" s="222">
        <f>IF(OR($C251="",$D251="",$G251="",$F251=""),0,$G251*IF($F251="Aylık",MAX(0,(YEAR(MIN(IF($E251="",TODAY(),$E251),TODAY()))-YEAR($D251))*12+MONTH(MIN(IF($E251="",TODAY(),$E251),TODAY()))-MONTH($D251)+IF(MIN(IF($E251="",TODAY(),$E251),TODAY())&gt;=EOMONTH(MIN(IF($E251="",TODAY(),$E251),TODAY()),0),1,0)),MAX(0,INT((MIN(IF($E251="",TODAY(),$E251),TODAY())-($D251+MOD(SISTEM!$F$8-WEEKDAY($D251,2),7)))/7)+1)))</f>
        <v/>
      </c>
      <c r="J251" s="222">
        <f>IF(OR($C251="",$D251="",$G251="",$F251=""),0,$G251*IF($F251="Aylık",MAX(0,(YEAR(MIN(IF($E251="",TODAY()-8,$E251),TODAY()-8))-YEAR($D251))*12+MONTH(MIN(IF($E251="",TODAY()-8,$E251),TODAY()-8))-MONTH($D251)+IF(MIN(IF($E251="",TODAY()-8,$E251),TODAY()-8)&gt;=EOMONTH(MIN(IF($E251="",TODAY()-8,$E251),TODAY()-8),0),1,0)),MAX(0,INT((MIN(IF($E251="",TODAY()-8,$E251),TODAY()-8)-($D251+MOD(SISTEM!$F$8-WEEKDAY($D251,2),7)))/7)+1)))</f>
        <v/>
      </c>
      <c r="K251" s="222">
        <f>IF(OR($C251="",$D251="",$G251="",$F251=""),0,$G251*IF($F251="Aylık",MAX(0,(YEAR(MIN(IF($E251="",TODAY()-15,$E251),TODAY()-15))-YEAR($D251))*12+MONTH(MIN(IF($E251="",TODAY()-15,$E251),TODAY()-15))-MONTH($D251)+IF(MIN(IF($E251="",TODAY()-15,$E251),TODAY()-15)&gt;=EOMONTH(MIN(IF($E251="",TODAY()-15,$E251),TODAY()-15),0),1,0)),MAX(0,INT((MIN(IF($E251="",TODAY()-15,$E251),TODAY()-15)-($D251+MOD(SISTEM!$F$8-WEEKDAY($D251,2),7)))/7)+1)))</f>
        <v/>
      </c>
      <c r="L251" s="222">
        <f>IF(OR($C251="",$D251="",$G251="",$F251=""),0,$G251*IF($F251="Aylık",MAX(0,(YEAR(MIN(IF($E251="",TODAY()-29,$E251),TODAY()-29))-YEAR($D251))*12+MONTH(MIN(IF($E251="",TODAY()-29,$E251),TODAY()-29))-MONTH($D251)+IF(MIN(IF($E251="",TODAY()-29,$E251),TODAY()-29)&gt;=EOMONTH(MIN(IF($E251="",TODAY()-29,$E251),TODAY()-29),0),1,0)),MAX(0,INT((MIN(IF($E251="",TODAY()-29,$E251),TODAY()-29)-($D251+MOD(SISTEM!$F$8-WEEKDAY($D251,2),7)))/7)+1)))</f>
        <v/>
      </c>
      <c r="M251" s="223">
        <f>IF($G251&gt;0,$I251/$G251,0)</f>
        <v/>
      </c>
      <c r="N251" s="113">
        <f>IF($C251="","",IF($B251="TANIMSIZ MÜŞTERİ","TANIMSIZ MÜŞTERİ",IF($F251="","MODEL SEÇİN",IF(OR($D251="",$G251&lt;=0),"EKSİK",IF(AND($E251&lt;&gt;"",$E251&lt;$D251),"TARİH HATASI",IF($H251="Pasif","KAPALI DÖNEM","UYGUN"))))))</f>
        <v/>
      </c>
      <c r="O251" s="224">
        <f>IF(OR($C251="",$D251="",$F251=""),"",IF($F251="Aylık",EOMONTH($D251,0),($D251+MOD(SISTEM!$F$8-WEEKDAY($D251,2),7))))</f>
        <v/>
      </c>
      <c r="P251" s="109" t="n"/>
      <c r="Q251" s="6" t="n"/>
      <c r="R251" s="6" t="n"/>
      <c r="S251" s="3">
        <f>IF($B251="","",$B251&amp;"|"&amp;COUNTIFS($B$7:$B251,$B251))</f>
        <v/>
      </c>
      <c r="T251" s="3">
        <f>IF($C251="","",UPPER(SUBSTITUTE(SUBSTITUTE(SUBSTITUTE(SUBSTITUTE(SUBSTITUTE(SUBSTITUTE(SUBSTITUTE(SUBSTITUTE(SUBSTITUTE(SUBSTITUTE(SUBSTITUTE(SUBSTITUTE(SUBSTITUTE(SUBSTITUTE(SUBSTITUTE(SUBSTITUTE(SUBSTITUTE(SUBSTITUTE(TRIM($C251),"'",""),"İ","I"),"ı","I"),"i","I"),"Ş","S"),"ş","S"),"Ğ","G"),"ğ","G"),"Ü","U"),"ü","U"),"Ö","O"),"ö","O"),"Ç","C"),"ç","C"),".",""),",","")," ",""),"-","")))</f>
        <v/>
      </c>
    </row>
    <row r="252">
      <c r="A252" s="6" t="n"/>
      <c r="B252" s="113">
        <f>IF($C252="","",IFERROR(INDEX(MUSTERILER!$B$7:$B$106,MATCH($T252,MUSTERILER!$T$7:$T$106,0)),IFERROR(INDEX(MUSTERILER!$B$7:$B$106,MATCH($C252,MUSTERILER!$B$7:$B$106,0)),IFERROR(INDEX(MUSTERILER!$B$7:$B$106,MATCH($T252&amp;"*",MUSTERILER!$T$7:$T$106,0)),"TANIMSIZ MÜŞTERİ"))))</f>
        <v/>
      </c>
      <c r="C252" s="109" t="n"/>
      <c r="D252" s="220" t="n"/>
      <c r="E252" s="220" t="n"/>
      <c r="F252" s="108" t="n"/>
      <c r="G252" s="221" t="n"/>
      <c r="H252" s="108" t="n"/>
      <c r="I252" s="222">
        <f>IF(OR($C252="",$D252="",$G252="",$F252=""),0,$G252*IF($F252="Aylık",MAX(0,(YEAR(MIN(IF($E252="",TODAY(),$E252),TODAY()))-YEAR($D252))*12+MONTH(MIN(IF($E252="",TODAY(),$E252),TODAY()))-MONTH($D252)+IF(MIN(IF($E252="",TODAY(),$E252),TODAY())&gt;=EOMONTH(MIN(IF($E252="",TODAY(),$E252),TODAY()),0),1,0)),MAX(0,INT((MIN(IF($E252="",TODAY(),$E252),TODAY())-($D252+MOD(SISTEM!$F$8-WEEKDAY($D252,2),7)))/7)+1)))</f>
        <v/>
      </c>
      <c r="J252" s="222">
        <f>IF(OR($C252="",$D252="",$G252="",$F252=""),0,$G252*IF($F252="Aylık",MAX(0,(YEAR(MIN(IF($E252="",TODAY()-8,$E252),TODAY()-8))-YEAR($D252))*12+MONTH(MIN(IF($E252="",TODAY()-8,$E252),TODAY()-8))-MONTH($D252)+IF(MIN(IF($E252="",TODAY()-8,$E252),TODAY()-8)&gt;=EOMONTH(MIN(IF($E252="",TODAY()-8,$E252),TODAY()-8),0),1,0)),MAX(0,INT((MIN(IF($E252="",TODAY()-8,$E252),TODAY()-8)-($D252+MOD(SISTEM!$F$8-WEEKDAY($D252,2),7)))/7)+1)))</f>
        <v/>
      </c>
      <c r="K252" s="222">
        <f>IF(OR($C252="",$D252="",$G252="",$F252=""),0,$G252*IF($F252="Aylık",MAX(0,(YEAR(MIN(IF($E252="",TODAY()-15,$E252),TODAY()-15))-YEAR($D252))*12+MONTH(MIN(IF($E252="",TODAY()-15,$E252),TODAY()-15))-MONTH($D252)+IF(MIN(IF($E252="",TODAY()-15,$E252),TODAY()-15)&gt;=EOMONTH(MIN(IF($E252="",TODAY()-15,$E252),TODAY()-15),0),1,0)),MAX(0,INT((MIN(IF($E252="",TODAY()-15,$E252),TODAY()-15)-($D252+MOD(SISTEM!$F$8-WEEKDAY($D252,2),7)))/7)+1)))</f>
        <v/>
      </c>
      <c r="L252" s="222">
        <f>IF(OR($C252="",$D252="",$G252="",$F252=""),0,$G252*IF($F252="Aylık",MAX(0,(YEAR(MIN(IF($E252="",TODAY()-29,$E252),TODAY()-29))-YEAR($D252))*12+MONTH(MIN(IF($E252="",TODAY()-29,$E252),TODAY()-29))-MONTH($D252)+IF(MIN(IF($E252="",TODAY()-29,$E252),TODAY()-29)&gt;=EOMONTH(MIN(IF($E252="",TODAY()-29,$E252),TODAY()-29),0),1,0)),MAX(0,INT((MIN(IF($E252="",TODAY()-29,$E252),TODAY()-29)-($D252+MOD(SISTEM!$F$8-WEEKDAY($D252,2),7)))/7)+1)))</f>
        <v/>
      </c>
      <c r="M252" s="223">
        <f>IF($G252&gt;0,$I252/$G252,0)</f>
        <v/>
      </c>
      <c r="N252" s="113">
        <f>IF($C252="","",IF($B252="TANIMSIZ MÜŞTERİ","TANIMSIZ MÜŞTERİ",IF($F252="","MODEL SEÇİN",IF(OR($D252="",$G252&lt;=0),"EKSİK",IF(AND($E252&lt;&gt;"",$E252&lt;$D252),"TARİH HATASI",IF($H252="Pasif","KAPALI DÖNEM","UYGUN"))))))</f>
        <v/>
      </c>
      <c r="O252" s="224">
        <f>IF(OR($C252="",$D252="",$F252=""),"",IF($F252="Aylık",EOMONTH($D252,0),($D252+MOD(SISTEM!$F$8-WEEKDAY($D252,2),7))))</f>
        <v/>
      </c>
      <c r="P252" s="109" t="n"/>
      <c r="Q252" s="6" t="n"/>
      <c r="R252" s="6" t="n"/>
      <c r="S252" s="3">
        <f>IF($B252="","",$B252&amp;"|"&amp;COUNTIFS($B$7:$B252,$B252))</f>
        <v/>
      </c>
      <c r="T252" s="3">
        <f>IF($C252="","",UPPER(SUBSTITUTE(SUBSTITUTE(SUBSTITUTE(SUBSTITUTE(SUBSTITUTE(SUBSTITUTE(SUBSTITUTE(SUBSTITUTE(SUBSTITUTE(SUBSTITUTE(SUBSTITUTE(SUBSTITUTE(SUBSTITUTE(SUBSTITUTE(SUBSTITUTE(SUBSTITUTE(SUBSTITUTE(SUBSTITUTE(TRIM($C252),"'",""),"İ","I"),"ı","I"),"i","I"),"Ş","S"),"ş","S"),"Ğ","G"),"ğ","G"),"Ü","U"),"ü","U"),"Ö","O"),"ö","O"),"Ç","C"),"ç","C"),".",""),",","")," ",""),"-","")))</f>
        <v/>
      </c>
    </row>
    <row r="253">
      <c r="A253" s="6" t="n"/>
      <c r="B253" s="113">
        <f>IF($C253="","",IFERROR(INDEX(MUSTERILER!$B$7:$B$106,MATCH($T253,MUSTERILER!$T$7:$T$106,0)),IFERROR(INDEX(MUSTERILER!$B$7:$B$106,MATCH($C253,MUSTERILER!$B$7:$B$106,0)),IFERROR(INDEX(MUSTERILER!$B$7:$B$106,MATCH($T253&amp;"*",MUSTERILER!$T$7:$T$106,0)),"TANIMSIZ MÜŞTERİ"))))</f>
        <v/>
      </c>
      <c r="C253" s="109" t="n"/>
      <c r="D253" s="220" t="n"/>
      <c r="E253" s="220" t="n"/>
      <c r="F253" s="108" t="n"/>
      <c r="G253" s="221" t="n"/>
      <c r="H253" s="108" t="n"/>
      <c r="I253" s="222">
        <f>IF(OR($C253="",$D253="",$G253="",$F253=""),0,$G253*IF($F253="Aylık",MAX(0,(YEAR(MIN(IF($E253="",TODAY(),$E253),TODAY()))-YEAR($D253))*12+MONTH(MIN(IF($E253="",TODAY(),$E253),TODAY()))-MONTH($D253)+IF(MIN(IF($E253="",TODAY(),$E253),TODAY())&gt;=EOMONTH(MIN(IF($E253="",TODAY(),$E253),TODAY()),0),1,0)),MAX(0,INT((MIN(IF($E253="",TODAY(),$E253),TODAY())-($D253+MOD(SISTEM!$F$8-WEEKDAY($D253,2),7)))/7)+1)))</f>
        <v/>
      </c>
      <c r="J253" s="222">
        <f>IF(OR($C253="",$D253="",$G253="",$F253=""),0,$G253*IF($F253="Aylık",MAX(0,(YEAR(MIN(IF($E253="",TODAY()-8,$E253),TODAY()-8))-YEAR($D253))*12+MONTH(MIN(IF($E253="",TODAY()-8,$E253),TODAY()-8))-MONTH($D253)+IF(MIN(IF($E253="",TODAY()-8,$E253),TODAY()-8)&gt;=EOMONTH(MIN(IF($E253="",TODAY()-8,$E253),TODAY()-8),0),1,0)),MAX(0,INT((MIN(IF($E253="",TODAY()-8,$E253),TODAY()-8)-($D253+MOD(SISTEM!$F$8-WEEKDAY($D253,2),7)))/7)+1)))</f>
        <v/>
      </c>
      <c r="K253" s="222">
        <f>IF(OR($C253="",$D253="",$G253="",$F253=""),0,$G253*IF($F253="Aylık",MAX(0,(YEAR(MIN(IF($E253="",TODAY()-15,$E253),TODAY()-15))-YEAR($D253))*12+MONTH(MIN(IF($E253="",TODAY()-15,$E253),TODAY()-15))-MONTH($D253)+IF(MIN(IF($E253="",TODAY()-15,$E253),TODAY()-15)&gt;=EOMONTH(MIN(IF($E253="",TODAY()-15,$E253),TODAY()-15),0),1,0)),MAX(0,INT((MIN(IF($E253="",TODAY()-15,$E253),TODAY()-15)-($D253+MOD(SISTEM!$F$8-WEEKDAY($D253,2),7)))/7)+1)))</f>
        <v/>
      </c>
      <c r="L253" s="222">
        <f>IF(OR($C253="",$D253="",$G253="",$F253=""),0,$G253*IF($F253="Aylık",MAX(0,(YEAR(MIN(IF($E253="",TODAY()-29,$E253),TODAY()-29))-YEAR($D253))*12+MONTH(MIN(IF($E253="",TODAY()-29,$E253),TODAY()-29))-MONTH($D253)+IF(MIN(IF($E253="",TODAY()-29,$E253),TODAY()-29)&gt;=EOMONTH(MIN(IF($E253="",TODAY()-29,$E253),TODAY()-29),0),1,0)),MAX(0,INT((MIN(IF($E253="",TODAY()-29,$E253),TODAY()-29)-($D253+MOD(SISTEM!$F$8-WEEKDAY($D253,2),7)))/7)+1)))</f>
        <v/>
      </c>
      <c r="M253" s="223">
        <f>IF($G253&gt;0,$I253/$G253,0)</f>
        <v/>
      </c>
      <c r="N253" s="113">
        <f>IF($C253="","",IF($B253="TANIMSIZ MÜŞTERİ","TANIMSIZ MÜŞTERİ",IF($F253="","MODEL SEÇİN",IF(OR($D253="",$G253&lt;=0),"EKSİK",IF(AND($E253&lt;&gt;"",$E253&lt;$D253),"TARİH HATASI",IF($H253="Pasif","KAPALI DÖNEM","UYGUN"))))))</f>
        <v/>
      </c>
      <c r="O253" s="224">
        <f>IF(OR($C253="",$D253="",$F253=""),"",IF($F253="Aylık",EOMONTH($D253,0),($D253+MOD(SISTEM!$F$8-WEEKDAY($D253,2),7))))</f>
        <v/>
      </c>
      <c r="P253" s="109" t="n"/>
      <c r="Q253" s="6" t="n"/>
      <c r="R253" s="6" t="n"/>
      <c r="S253" s="3">
        <f>IF($B253="","",$B253&amp;"|"&amp;COUNTIFS($B$7:$B253,$B253))</f>
        <v/>
      </c>
      <c r="T253" s="3">
        <f>IF($C253="","",UPPER(SUBSTITUTE(SUBSTITUTE(SUBSTITUTE(SUBSTITUTE(SUBSTITUTE(SUBSTITUTE(SUBSTITUTE(SUBSTITUTE(SUBSTITUTE(SUBSTITUTE(SUBSTITUTE(SUBSTITUTE(SUBSTITUTE(SUBSTITUTE(SUBSTITUTE(SUBSTITUTE(SUBSTITUTE(SUBSTITUTE(TRIM($C253),"'",""),"İ","I"),"ı","I"),"i","I"),"Ş","S"),"ş","S"),"Ğ","G"),"ğ","G"),"Ü","U"),"ü","U"),"Ö","O"),"ö","O"),"Ç","C"),"ç","C"),".",""),",","")," ",""),"-","")))</f>
        <v/>
      </c>
    </row>
    <row r="254">
      <c r="A254" s="6" t="n"/>
      <c r="B254" s="113">
        <f>IF($C254="","",IFERROR(INDEX(MUSTERILER!$B$7:$B$106,MATCH($T254,MUSTERILER!$T$7:$T$106,0)),IFERROR(INDEX(MUSTERILER!$B$7:$B$106,MATCH($C254,MUSTERILER!$B$7:$B$106,0)),IFERROR(INDEX(MUSTERILER!$B$7:$B$106,MATCH($T254&amp;"*",MUSTERILER!$T$7:$T$106,0)),"TANIMSIZ MÜŞTERİ"))))</f>
        <v/>
      </c>
      <c r="C254" s="109" t="n"/>
      <c r="D254" s="220" t="n"/>
      <c r="E254" s="220" t="n"/>
      <c r="F254" s="108" t="n"/>
      <c r="G254" s="221" t="n"/>
      <c r="H254" s="108" t="n"/>
      <c r="I254" s="222">
        <f>IF(OR($C254="",$D254="",$G254="",$F254=""),0,$G254*IF($F254="Aylık",MAX(0,(YEAR(MIN(IF($E254="",TODAY(),$E254),TODAY()))-YEAR($D254))*12+MONTH(MIN(IF($E254="",TODAY(),$E254),TODAY()))-MONTH($D254)+IF(MIN(IF($E254="",TODAY(),$E254),TODAY())&gt;=EOMONTH(MIN(IF($E254="",TODAY(),$E254),TODAY()),0),1,0)),MAX(0,INT((MIN(IF($E254="",TODAY(),$E254),TODAY())-($D254+MOD(SISTEM!$F$8-WEEKDAY($D254,2),7)))/7)+1)))</f>
        <v/>
      </c>
      <c r="J254" s="222">
        <f>IF(OR($C254="",$D254="",$G254="",$F254=""),0,$G254*IF($F254="Aylık",MAX(0,(YEAR(MIN(IF($E254="",TODAY()-8,$E254),TODAY()-8))-YEAR($D254))*12+MONTH(MIN(IF($E254="",TODAY()-8,$E254),TODAY()-8))-MONTH($D254)+IF(MIN(IF($E254="",TODAY()-8,$E254),TODAY()-8)&gt;=EOMONTH(MIN(IF($E254="",TODAY()-8,$E254),TODAY()-8),0),1,0)),MAX(0,INT((MIN(IF($E254="",TODAY()-8,$E254),TODAY()-8)-($D254+MOD(SISTEM!$F$8-WEEKDAY($D254,2),7)))/7)+1)))</f>
        <v/>
      </c>
      <c r="K254" s="222">
        <f>IF(OR($C254="",$D254="",$G254="",$F254=""),0,$G254*IF($F254="Aylık",MAX(0,(YEAR(MIN(IF($E254="",TODAY()-15,$E254),TODAY()-15))-YEAR($D254))*12+MONTH(MIN(IF($E254="",TODAY()-15,$E254),TODAY()-15))-MONTH($D254)+IF(MIN(IF($E254="",TODAY()-15,$E254),TODAY()-15)&gt;=EOMONTH(MIN(IF($E254="",TODAY()-15,$E254),TODAY()-15),0),1,0)),MAX(0,INT((MIN(IF($E254="",TODAY()-15,$E254),TODAY()-15)-($D254+MOD(SISTEM!$F$8-WEEKDAY($D254,2),7)))/7)+1)))</f>
        <v/>
      </c>
      <c r="L254" s="222">
        <f>IF(OR($C254="",$D254="",$G254="",$F254=""),0,$G254*IF($F254="Aylık",MAX(0,(YEAR(MIN(IF($E254="",TODAY()-29,$E254),TODAY()-29))-YEAR($D254))*12+MONTH(MIN(IF($E254="",TODAY()-29,$E254),TODAY()-29))-MONTH($D254)+IF(MIN(IF($E254="",TODAY()-29,$E254),TODAY()-29)&gt;=EOMONTH(MIN(IF($E254="",TODAY()-29,$E254),TODAY()-29),0),1,0)),MAX(0,INT((MIN(IF($E254="",TODAY()-29,$E254),TODAY()-29)-($D254+MOD(SISTEM!$F$8-WEEKDAY($D254,2),7)))/7)+1)))</f>
        <v/>
      </c>
      <c r="M254" s="223">
        <f>IF($G254&gt;0,$I254/$G254,0)</f>
        <v/>
      </c>
      <c r="N254" s="113">
        <f>IF($C254="","",IF($B254="TANIMSIZ MÜŞTERİ","TANIMSIZ MÜŞTERİ",IF($F254="","MODEL SEÇİN",IF(OR($D254="",$G254&lt;=0),"EKSİK",IF(AND($E254&lt;&gt;"",$E254&lt;$D254),"TARİH HATASI",IF($H254="Pasif","KAPALI DÖNEM","UYGUN"))))))</f>
        <v/>
      </c>
      <c r="O254" s="224">
        <f>IF(OR($C254="",$D254="",$F254=""),"",IF($F254="Aylık",EOMONTH($D254,0),($D254+MOD(SISTEM!$F$8-WEEKDAY($D254,2),7))))</f>
        <v/>
      </c>
      <c r="P254" s="109" t="n"/>
      <c r="Q254" s="6" t="n"/>
      <c r="R254" s="6" t="n"/>
      <c r="S254" s="3">
        <f>IF($B254="","",$B254&amp;"|"&amp;COUNTIFS($B$7:$B254,$B254))</f>
        <v/>
      </c>
      <c r="T254" s="3">
        <f>IF($C254="","",UPPER(SUBSTITUTE(SUBSTITUTE(SUBSTITUTE(SUBSTITUTE(SUBSTITUTE(SUBSTITUTE(SUBSTITUTE(SUBSTITUTE(SUBSTITUTE(SUBSTITUTE(SUBSTITUTE(SUBSTITUTE(SUBSTITUTE(SUBSTITUTE(SUBSTITUTE(SUBSTITUTE(SUBSTITUTE(SUBSTITUTE(TRIM($C254),"'",""),"İ","I"),"ı","I"),"i","I"),"Ş","S"),"ş","S"),"Ğ","G"),"ğ","G"),"Ü","U"),"ü","U"),"Ö","O"),"ö","O"),"Ç","C"),"ç","C"),".",""),",","")," ",""),"-","")))</f>
        <v/>
      </c>
    </row>
    <row r="255">
      <c r="A255" s="6" t="n"/>
      <c r="B255" s="113">
        <f>IF($C255="","",IFERROR(INDEX(MUSTERILER!$B$7:$B$106,MATCH($T255,MUSTERILER!$T$7:$T$106,0)),IFERROR(INDEX(MUSTERILER!$B$7:$B$106,MATCH($C255,MUSTERILER!$B$7:$B$106,0)),IFERROR(INDEX(MUSTERILER!$B$7:$B$106,MATCH($T255&amp;"*",MUSTERILER!$T$7:$T$106,0)),"TANIMSIZ MÜŞTERİ"))))</f>
        <v/>
      </c>
      <c r="C255" s="109" t="n"/>
      <c r="D255" s="220" t="n"/>
      <c r="E255" s="220" t="n"/>
      <c r="F255" s="108" t="n"/>
      <c r="G255" s="221" t="n"/>
      <c r="H255" s="108" t="n"/>
      <c r="I255" s="222">
        <f>IF(OR($C255="",$D255="",$G255="",$F255=""),0,$G255*IF($F255="Aylık",MAX(0,(YEAR(MIN(IF($E255="",TODAY(),$E255),TODAY()))-YEAR($D255))*12+MONTH(MIN(IF($E255="",TODAY(),$E255),TODAY()))-MONTH($D255)+IF(MIN(IF($E255="",TODAY(),$E255),TODAY())&gt;=EOMONTH(MIN(IF($E255="",TODAY(),$E255),TODAY()),0),1,0)),MAX(0,INT((MIN(IF($E255="",TODAY(),$E255),TODAY())-($D255+MOD(SISTEM!$F$8-WEEKDAY($D255,2),7)))/7)+1)))</f>
        <v/>
      </c>
      <c r="J255" s="222">
        <f>IF(OR($C255="",$D255="",$G255="",$F255=""),0,$G255*IF($F255="Aylık",MAX(0,(YEAR(MIN(IF($E255="",TODAY()-8,$E255),TODAY()-8))-YEAR($D255))*12+MONTH(MIN(IF($E255="",TODAY()-8,$E255),TODAY()-8))-MONTH($D255)+IF(MIN(IF($E255="",TODAY()-8,$E255),TODAY()-8)&gt;=EOMONTH(MIN(IF($E255="",TODAY()-8,$E255),TODAY()-8),0),1,0)),MAX(0,INT((MIN(IF($E255="",TODAY()-8,$E255),TODAY()-8)-($D255+MOD(SISTEM!$F$8-WEEKDAY($D255,2),7)))/7)+1)))</f>
        <v/>
      </c>
      <c r="K255" s="222">
        <f>IF(OR($C255="",$D255="",$G255="",$F255=""),0,$G255*IF($F255="Aylık",MAX(0,(YEAR(MIN(IF($E255="",TODAY()-15,$E255),TODAY()-15))-YEAR($D255))*12+MONTH(MIN(IF($E255="",TODAY()-15,$E255),TODAY()-15))-MONTH($D255)+IF(MIN(IF($E255="",TODAY()-15,$E255),TODAY()-15)&gt;=EOMONTH(MIN(IF($E255="",TODAY()-15,$E255),TODAY()-15),0),1,0)),MAX(0,INT((MIN(IF($E255="",TODAY()-15,$E255),TODAY()-15)-($D255+MOD(SISTEM!$F$8-WEEKDAY($D255,2),7)))/7)+1)))</f>
        <v/>
      </c>
      <c r="L255" s="222">
        <f>IF(OR($C255="",$D255="",$G255="",$F255=""),0,$G255*IF($F255="Aylık",MAX(0,(YEAR(MIN(IF($E255="",TODAY()-29,$E255),TODAY()-29))-YEAR($D255))*12+MONTH(MIN(IF($E255="",TODAY()-29,$E255),TODAY()-29))-MONTH($D255)+IF(MIN(IF($E255="",TODAY()-29,$E255),TODAY()-29)&gt;=EOMONTH(MIN(IF($E255="",TODAY()-29,$E255),TODAY()-29),0),1,0)),MAX(0,INT((MIN(IF($E255="",TODAY()-29,$E255),TODAY()-29)-($D255+MOD(SISTEM!$F$8-WEEKDAY($D255,2),7)))/7)+1)))</f>
        <v/>
      </c>
      <c r="M255" s="223">
        <f>IF($G255&gt;0,$I255/$G255,0)</f>
        <v/>
      </c>
      <c r="N255" s="113">
        <f>IF($C255="","",IF($B255="TANIMSIZ MÜŞTERİ","TANIMSIZ MÜŞTERİ",IF($F255="","MODEL SEÇİN",IF(OR($D255="",$G255&lt;=0),"EKSİK",IF(AND($E255&lt;&gt;"",$E255&lt;$D255),"TARİH HATASI",IF($H255="Pasif","KAPALI DÖNEM","UYGUN"))))))</f>
        <v/>
      </c>
      <c r="O255" s="224">
        <f>IF(OR($C255="",$D255="",$F255=""),"",IF($F255="Aylık",EOMONTH($D255,0),($D255+MOD(SISTEM!$F$8-WEEKDAY($D255,2),7))))</f>
        <v/>
      </c>
      <c r="P255" s="109" t="n"/>
      <c r="Q255" s="6" t="n"/>
      <c r="R255" s="6" t="n"/>
      <c r="S255" s="3">
        <f>IF($B255="","",$B255&amp;"|"&amp;COUNTIFS($B$7:$B255,$B255))</f>
        <v/>
      </c>
      <c r="T255" s="3">
        <f>IF($C255="","",UPPER(SUBSTITUTE(SUBSTITUTE(SUBSTITUTE(SUBSTITUTE(SUBSTITUTE(SUBSTITUTE(SUBSTITUTE(SUBSTITUTE(SUBSTITUTE(SUBSTITUTE(SUBSTITUTE(SUBSTITUTE(SUBSTITUTE(SUBSTITUTE(SUBSTITUTE(SUBSTITUTE(SUBSTITUTE(SUBSTITUTE(TRIM($C255),"'",""),"İ","I"),"ı","I"),"i","I"),"Ş","S"),"ş","S"),"Ğ","G"),"ğ","G"),"Ü","U"),"ü","U"),"Ö","O"),"ö","O"),"Ç","C"),"ç","C"),".",""),",","")," ",""),"-","")))</f>
        <v/>
      </c>
    </row>
    <row r="256">
      <c r="A256" s="6" t="n"/>
      <c r="B256" s="113">
        <f>IF($C256="","",IFERROR(INDEX(MUSTERILER!$B$7:$B$106,MATCH($T256,MUSTERILER!$T$7:$T$106,0)),IFERROR(INDEX(MUSTERILER!$B$7:$B$106,MATCH($C256,MUSTERILER!$B$7:$B$106,0)),IFERROR(INDEX(MUSTERILER!$B$7:$B$106,MATCH($T256&amp;"*",MUSTERILER!$T$7:$T$106,0)),"TANIMSIZ MÜŞTERİ"))))</f>
        <v/>
      </c>
      <c r="C256" s="109" t="n"/>
      <c r="D256" s="220" t="n"/>
      <c r="E256" s="220" t="n"/>
      <c r="F256" s="108" t="n"/>
      <c r="G256" s="221" t="n"/>
      <c r="H256" s="108" t="n"/>
      <c r="I256" s="222">
        <f>IF(OR($C256="",$D256="",$G256="",$F256=""),0,$G256*IF($F256="Aylık",MAX(0,(YEAR(MIN(IF($E256="",TODAY(),$E256),TODAY()))-YEAR($D256))*12+MONTH(MIN(IF($E256="",TODAY(),$E256),TODAY()))-MONTH($D256)+IF(MIN(IF($E256="",TODAY(),$E256),TODAY())&gt;=EOMONTH(MIN(IF($E256="",TODAY(),$E256),TODAY()),0),1,0)),MAX(0,INT((MIN(IF($E256="",TODAY(),$E256),TODAY())-($D256+MOD(SISTEM!$F$8-WEEKDAY($D256,2),7)))/7)+1)))</f>
        <v/>
      </c>
      <c r="J256" s="222">
        <f>IF(OR($C256="",$D256="",$G256="",$F256=""),0,$G256*IF($F256="Aylık",MAX(0,(YEAR(MIN(IF($E256="",TODAY()-8,$E256),TODAY()-8))-YEAR($D256))*12+MONTH(MIN(IF($E256="",TODAY()-8,$E256),TODAY()-8))-MONTH($D256)+IF(MIN(IF($E256="",TODAY()-8,$E256),TODAY()-8)&gt;=EOMONTH(MIN(IF($E256="",TODAY()-8,$E256),TODAY()-8),0),1,0)),MAX(0,INT((MIN(IF($E256="",TODAY()-8,$E256),TODAY()-8)-($D256+MOD(SISTEM!$F$8-WEEKDAY($D256,2),7)))/7)+1)))</f>
        <v/>
      </c>
      <c r="K256" s="222">
        <f>IF(OR($C256="",$D256="",$G256="",$F256=""),0,$G256*IF($F256="Aylık",MAX(0,(YEAR(MIN(IF($E256="",TODAY()-15,$E256),TODAY()-15))-YEAR($D256))*12+MONTH(MIN(IF($E256="",TODAY()-15,$E256),TODAY()-15))-MONTH($D256)+IF(MIN(IF($E256="",TODAY()-15,$E256),TODAY()-15)&gt;=EOMONTH(MIN(IF($E256="",TODAY()-15,$E256),TODAY()-15),0),1,0)),MAX(0,INT((MIN(IF($E256="",TODAY()-15,$E256),TODAY()-15)-($D256+MOD(SISTEM!$F$8-WEEKDAY($D256,2),7)))/7)+1)))</f>
        <v/>
      </c>
      <c r="L256" s="222">
        <f>IF(OR($C256="",$D256="",$G256="",$F256=""),0,$G256*IF($F256="Aylık",MAX(0,(YEAR(MIN(IF($E256="",TODAY()-29,$E256),TODAY()-29))-YEAR($D256))*12+MONTH(MIN(IF($E256="",TODAY()-29,$E256),TODAY()-29))-MONTH($D256)+IF(MIN(IF($E256="",TODAY()-29,$E256),TODAY()-29)&gt;=EOMONTH(MIN(IF($E256="",TODAY()-29,$E256),TODAY()-29),0),1,0)),MAX(0,INT((MIN(IF($E256="",TODAY()-29,$E256),TODAY()-29)-($D256+MOD(SISTEM!$F$8-WEEKDAY($D256,2),7)))/7)+1)))</f>
        <v/>
      </c>
      <c r="M256" s="223">
        <f>IF($G256&gt;0,$I256/$G256,0)</f>
        <v/>
      </c>
      <c r="N256" s="113">
        <f>IF($C256="","",IF($B256="TANIMSIZ MÜŞTERİ","TANIMSIZ MÜŞTERİ",IF($F256="","MODEL SEÇİN",IF(OR($D256="",$G256&lt;=0),"EKSİK",IF(AND($E256&lt;&gt;"",$E256&lt;$D256),"TARİH HATASI",IF($H256="Pasif","KAPALI DÖNEM","UYGUN"))))))</f>
        <v/>
      </c>
      <c r="O256" s="224">
        <f>IF(OR($C256="",$D256="",$F256=""),"",IF($F256="Aylık",EOMONTH($D256,0),($D256+MOD(SISTEM!$F$8-WEEKDAY($D256,2),7))))</f>
        <v/>
      </c>
      <c r="P256" s="109" t="n"/>
      <c r="Q256" s="6" t="n"/>
      <c r="R256" s="6" t="n"/>
      <c r="S256" s="3">
        <f>IF($B256="","",$B256&amp;"|"&amp;COUNTIFS($B$7:$B256,$B256))</f>
        <v/>
      </c>
      <c r="T256" s="3">
        <f>IF($C256="","",UPPER(SUBSTITUTE(SUBSTITUTE(SUBSTITUTE(SUBSTITUTE(SUBSTITUTE(SUBSTITUTE(SUBSTITUTE(SUBSTITUTE(SUBSTITUTE(SUBSTITUTE(SUBSTITUTE(SUBSTITUTE(SUBSTITUTE(SUBSTITUTE(SUBSTITUTE(SUBSTITUTE(SUBSTITUTE(SUBSTITUTE(TRIM($C256),"'",""),"İ","I"),"ı","I"),"i","I"),"Ş","S"),"ş","S"),"Ğ","G"),"ğ","G"),"Ü","U"),"ü","U"),"Ö","O"),"ö","O"),"Ç","C"),"ç","C"),".",""),",","")," ",""),"-","")))</f>
        <v/>
      </c>
    </row>
    <row r="257">
      <c r="A257" s="6" t="n"/>
      <c r="B257" s="113">
        <f>IF($C257="","",IFERROR(INDEX(MUSTERILER!$B$7:$B$106,MATCH($T257,MUSTERILER!$T$7:$T$106,0)),IFERROR(INDEX(MUSTERILER!$B$7:$B$106,MATCH($C257,MUSTERILER!$B$7:$B$106,0)),IFERROR(INDEX(MUSTERILER!$B$7:$B$106,MATCH($T257&amp;"*",MUSTERILER!$T$7:$T$106,0)),"TANIMSIZ MÜŞTERİ"))))</f>
        <v/>
      </c>
      <c r="C257" s="109" t="n"/>
      <c r="D257" s="220" t="n"/>
      <c r="E257" s="220" t="n"/>
      <c r="F257" s="108" t="n"/>
      <c r="G257" s="221" t="n"/>
      <c r="H257" s="108" t="n"/>
      <c r="I257" s="222">
        <f>IF(OR($C257="",$D257="",$G257="",$F257=""),0,$G257*IF($F257="Aylık",MAX(0,(YEAR(MIN(IF($E257="",TODAY(),$E257),TODAY()))-YEAR($D257))*12+MONTH(MIN(IF($E257="",TODAY(),$E257),TODAY()))-MONTH($D257)+IF(MIN(IF($E257="",TODAY(),$E257),TODAY())&gt;=EOMONTH(MIN(IF($E257="",TODAY(),$E257),TODAY()),0),1,0)),MAX(0,INT((MIN(IF($E257="",TODAY(),$E257),TODAY())-($D257+MOD(SISTEM!$F$8-WEEKDAY($D257,2),7)))/7)+1)))</f>
        <v/>
      </c>
      <c r="J257" s="222">
        <f>IF(OR($C257="",$D257="",$G257="",$F257=""),0,$G257*IF($F257="Aylık",MAX(0,(YEAR(MIN(IF($E257="",TODAY()-8,$E257),TODAY()-8))-YEAR($D257))*12+MONTH(MIN(IF($E257="",TODAY()-8,$E257),TODAY()-8))-MONTH($D257)+IF(MIN(IF($E257="",TODAY()-8,$E257),TODAY()-8)&gt;=EOMONTH(MIN(IF($E257="",TODAY()-8,$E257),TODAY()-8),0),1,0)),MAX(0,INT((MIN(IF($E257="",TODAY()-8,$E257),TODAY()-8)-($D257+MOD(SISTEM!$F$8-WEEKDAY($D257,2),7)))/7)+1)))</f>
        <v/>
      </c>
      <c r="K257" s="222">
        <f>IF(OR($C257="",$D257="",$G257="",$F257=""),0,$G257*IF($F257="Aylık",MAX(0,(YEAR(MIN(IF($E257="",TODAY()-15,$E257),TODAY()-15))-YEAR($D257))*12+MONTH(MIN(IF($E257="",TODAY()-15,$E257),TODAY()-15))-MONTH($D257)+IF(MIN(IF($E257="",TODAY()-15,$E257),TODAY()-15)&gt;=EOMONTH(MIN(IF($E257="",TODAY()-15,$E257),TODAY()-15),0),1,0)),MAX(0,INT((MIN(IF($E257="",TODAY()-15,$E257),TODAY()-15)-($D257+MOD(SISTEM!$F$8-WEEKDAY($D257,2),7)))/7)+1)))</f>
        <v/>
      </c>
      <c r="L257" s="222">
        <f>IF(OR($C257="",$D257="",$G257="",$F257=""),0,$G257*IF($F257="Aylık",MAX(0,(YEAR(MIN(IF($E257="",TODAY()-29,$E257),TODAY()-29))-YEAR($D257))*12+MONTH(MIN(IF($E257="",TODAY()-29,$E257),TODAY()-29))-MONTH($D257)+IF(MIN(IF($E257="",TODAY()-29,$E257),TODAY()-29)&gt;=EOMONTH(MIN(IF($E257="",TODAY()-29,$E257),TODAY()-29),0),1,0)),MAX(0,INT((MIN(IF($E257="",TODAY()-29,$E257),TODAY()-29)-($D257+MOD(SISTEM!$F$8-WEEKDAY($D257,2),7)))/7)+1)))</f>
        <v/>
      </c>
      <c r="M257" s="223">
        <f>IF($G257&gt;0,$I257/$G257,0)</f>
        <v/>
      </c>
      <c r="N257" s="113">
        <f>IF($C257="","",IF($B257="TANIMSIZ MÜŞTERİ","TANIMSIZ MÜŞTERİ",IF($F257="","MODEL SEÇİN",IF(OR($D257="",$G257&lt;=0),"EKSİK",IF(AND($E257&lt;&gt;"",$E257&lt;$D257),"TARİH HATASI",IF($H257="Pasif","KAPALI DÖNEM","UYGUN"))))))</f>
        <v/>
      </c>
      <c r="O257" s="224">
        <f>IF(OR($C257="",$D257="",$F257=""),"",IF($F257="Aylık",EOMONTH($D257,0),($D257+MOD(SISTEM!$F$8-WEEKDAY($D257,2),7))))</f>
        <v/>
      </c>
      <c r="P257" s="109" t="n"/>
      <c r="Q257" s="6" t="n"/>
      <c r="R257" s="6" t="n"/>
      <c r="S257" s="3">
        <f>IF($B257="","",$B257&amp;"|"&amp;COUNTIFS($B$7:$B257,$B257))</f>
        <v/>
      </c>
      <c r="T257" s="3">
        <f>IF($C257="","",UPPER(SUBSTITUTE(SUBSTITUTE(SUBSTITUTE(SUBSTITUTE(SUBSTITUTE(SUBSTITUTE(SUBSTITUTE(SUBSTITUTE(SUBSTITUTE(SUBSTITUTE(SUBSTITUTE(SUBSTITUTE(SUBSTITUTE(SUBSTITUTE(SUBSTITUTE(SUBSTITUTE(SUBSTITUTE(SUBSTITUTE(TRIM($C257),"'",""),"İ","I"),"ı","I"),"i","I"),"Ş","S"),"ş","S"),"Ğ","G"),"ğ","G"),"Ü","U"),"ü","U"),"Ö","O"),"ö","O"),"Ç","C"),"ç","C"),".",""),",","")," ",""),"-","")))</f>
        <v/>
      </c>
    </row>
    <row r="258">
      <c r="A258" s="6" t="n"/>
      <c r="B258" s="113">
        <f>IF($C258="","",IFERROR(INDEX(MUSTERILER!$B$7:$B$106,MATCH($T258,MUSTERILER!$T$7:$T$106,0)),IFERROR(INDEX(MUSTERILER!$B$7:$B$106,MATCH($C258,MUSTERILER!$B$7:$B$106,0)),IFERROR(INDEX(MUSTERILER!$B$7:$B$106,MATCH($T258&amp;"*",MUSTERILER!$T$7:$T$106,0)),"TANIMSIZ MÜŞTERİ"))))</f>
        <v/>
      </c>
      <c r="C258" s="109" t="n"/>
      <c r="D258" s="220" t="n"/>
      <c r="E258" s="220" t="n"/>
      <c r="F258" s="108" t="n"/>
      <c r="G258" s="221" t="n"/>
      <c r="H258" s="108" t="n"/>
      <c r="I258" s="222">
        <f>IF(OR($C258="",$D258="",$G258="",$F258=""),0,$G258*IF($F258="Aylık",MAX(0,(YEAR(MIN(IF($E258="",TODAY(),$E258),TODAY()))-YEAR($D258))*12+MONTH(MIN(IF($E258="",TODAY(),$E258),TODAY()))-MONTH($D258)+IF(MIN(IF($E258="",TODAY(),$E258),TODAY())&gt;=EOMONTH(MIN(IF($E258="",TODAY(),$E258),TODAY()),0),1,0)),MAX(0,INT((MIN(IF($E258="",TODAY(),$E258),TODAY())-($D258+MOD(SISTEM!$F$8-WEEKDAY($D258,2),7)))/7)+1)))</f>
        <v/>
      </c>
      <c r="J258" s="222">
        <f>IF(OR($C258="",$D258="",$G258="",$F258=""),0,$G258*IF($F258="Aylık",MAX(0,(YEAR(MIN(IF($E258="",TODAY()-8,$E258),TODAY()-8))-YEAR($D258))*12+MONTH(MIN(IF($E258="",TODAY()-8,$E258),TODAY()-8))-MONTH($D258)+IF(MIN(IF($E258="",TODAY()-8,$E258),TODAY()-8)&gt;=EOMONTH(MIN(IF($E258="",TODAY()-8,$E258),TODAY()-8),0),1,0)),MAX(0,INT((MIN(IF($E258="",TODAY()-8,$E258),TODAY()-8)-($D258+MOD(SISTEM!$F$8-WEEKDAY($D258,2),7)))/7)+1)))</f>
        <v/>
      </c>
      <c r="K258" s="222">
        <f>IF(OR($C258="",$D258="",$G258="",$F258=""),0,$G258*IF($F258="Aylık",MAX(0,(YEAR(MIN(IF($E258="",TODAY()-15,$E258),TODAY()-15))-YEAR($D258))*12+MONTH(MIN(IF($E258="",TODAY()-15,$E258),TODAY()-15))-MONTH($D258)+IF(MIN(IF($E258="",TODAY()-15,$E258),TODAY()-15)&gt;=EOMONTH(MIN(IF($E258="",TODAY()-15,$E258),TODAY()-15),0),1,0)),MAX(0,INT((MIN(IF($E258="",TODAY()-15,$E258),TODAY()-15)-($D258+MOD(SISTEM!$F$8-WEEKDAY($D258,2),7)))/7)+1)))</f>
        <v/>
      </c>
      <c r="L258" s="222">
        <f>IF(OR($C258="",$D258="",$G258="",$F258=""),0,$G258*IF($F258="Aylık",MAX(0,(YEAR(MIN(IF($E258="",TODAY()-29,$E258),TODAY()-29))-YEAR($D258))*12+MONTH(MIN(IF($E258="",TODAY()-29,$E258),TODAY()-29))-MONTH($D258)+IF(MIN(IF($E258="",TODAY()-29,$E258),TODAY()-29)&gt;=EOMONTH(MIN(IF($E258="",TODAY()-29,$E258),TODAY()-29),0),1,0)),MAX(0,INT((MIN(IF($E258="",TODAY()-29,$E258),TODAY()-29)-($D258+MOD(SISTEM!$F$8-WEEKDAY($D258,2),7)))/7)+1)))</f>
        <v/>
      </c>
      <c r="M258" s="223">
        <f>IF($G258&gt;0,$I258/$G258,0)</f>
        <v/>
      </c>
      <c r="N258" s="113">
        <f>IF($C258="","",IF($B258="TANIMSIZ MÜŞTERİ","TANIMSIZ MÜŞTERİ",IF($F258="","MODEL SEÇİN",IF(OR($D258="",$G258&lt;=0),"EKSİK",IF(AND($E258&lt;&gt;"",$E258&lt;$D258),"TARİH HATASI",IF($H258="Pasif","KAPALI DÖNEM","UYGUN"))))))</f>
        <v/>
      </c>
      <c r="O258" s="224">
        <f>IF(OR($C258="",$D258="",$F258=""),"",IF($F258="Aylık",EOMONTH($D258,0),($D258+MOD(SISTEM!$F$8-WEEKDAY($D258,2),7))))</f>
        <v/>
      </c>
      <c r="P258" s="109" t="n"/>
      <c r="Q258" s="6" t="n"/>
      <c r="R258" s="6" t="n"/>
      <c r="S258" s="3">
        <f>IF($B258="","",$B258&amp;"|"&amp;COUNTIFS($B$7:$B258,$B258))</f>
        <v/>
      </c>
      <c r="T258" s="3">
        <f>IF($C258="","",UPPER(SUBSTITUTE(SUBSTITUTE(SUBSTITUTE(SUBSTITUTE(SUBSTITUTE(SUBSTITUTE(SUBSTITUTE(SUBSTITUTE(SUBSTITUTE(SUBSTITUTE(SUBSTITUTE(SUBSTITUTE(SUBSTITUTE(SUBSTITUTE(SUBSTITUTE(SUBSTITUTE(SUBSTITUTE(SUBSTITUTE(TRIM($C258),"'",""),"İ","I"),"ı","I"),"i","I"),"Ş","S"),"ş","S"),"Ğ","G"),"ğ","G"),"Ü","U"),"ü","U"),"Ö","O"),"ö","O"),"Ç","C"),"ç","C"),".",""),",","")," ",""),"-","")))</f>
        <v/>
      </c>
    </row>
    <row r="259">
      <c r="A259" s="6" t="n"/>
      <c r="B259" s="113">
        <f>IF($C259="","",IFERROR(INDEX(MUSTERILER!$B$7:$B$106,MATCH($T259,MUSTERILER!$T$7:$T$106,0)),IFERROR(INDEX(MUSTERILER!$B$7:$B$106,MATCH($C259,MUSTERILER!$B$7:$B$106,0)),IFERROR(INDEX(MUSTERILER!$B$7:$B$106,MATCH($T259&amp;"*",MUSTERILER!$T$7:$T$106,0)),"TANIMSIZ MÜŞTERİ"))))</f>
        <v/>
      </c>
      <c r="C259" s="109" t="n"/>
      <c r="D259" s="220" t="n"/>
      <c r="E259" s="220" t="n"/>
      <c r="F259" s="108" t="n"/>
      <c r="G259" s="221" t="n"/>
      <c r="H259" s="108" t="n"/>
      <c r="I259" s="222">
        <f>IF(OR($C259="",$D259="",$G259="",$F259=""),0,$G259*IF($F259="Aylık",MAX(0,(YEAR(MIN(IF($E259="",TODAY(),$E259),TODAY()))-YEAR($D259))*12+MONTH(MIN(IF($E259="",TODAY(),$E259),TODAY()))-MONTH($D259)+IF(MIN(IF($E259="",TODAY(),$E259),TODAY())&gt;=EOMONTH(MIN(IF($E259="",TODAY(),$E259),TODAY()),0),1,0)),MAX(0,INT((MIN(IF($E259="",TODAY(),$E259),TODAY())-($D259+MOD(SISTEM!$F$8-WEEKDAY($D259,2),7)))/7)+1)))</f>
        <v/>
      </c>
      <c r="J259" s="222">
        <f>IF(OR($C259="",$D259="",$G259="",$F259=""),0,$G259*IF($F259="Aylık",MAX(0,(YEAR(MIN(IF($E259="",TODAY()-8,$E259),TODAY()-8))-YEAR($D259))*12+MONTH(MIN(IF($E259="",TODAY()-8,$E259),TODAY()-8))-MONTH($D259)+IF(MIN(IF($E259="",TODAY()-8,$E259),TODAY()-8)&gt;=EOMONTH(MIN(IF($E259="",TODAY()-8,$E259),TODAY()-8),0),1,0)),MAX(0,INT((MIN(IF($E259="",TODAY()-8,$E259),TODAY()-8)-($D259+MOD(SISTEM!$F$8-WEEKDAY($D259,2),7)))/7)+1)))</f>
        <v/>
      </c>
      <c r="K259" s="222">
        <f>IF(OR($C259="",$D259="",$G259="",$F259=""),0,$G259*IF($F259="Aylık",MAX(0,(YEAR(MIN(IF($E259="",TODAY()-15,$E259),TODAY()-15))-YEAR($D259))*12+MONTH(MIN(IF($E259="",TODAY()-15,$E259),TODAY()-15))-MONTH($D259)+IF(MIN(IF($E259="",TODAY()-15,$E259),TODAY()-15)&gt;=EOMONTH(MIN(IF($E259="",TODAY()-15,$E259),TODAY()-15),0),1,0)),MAX(0,INT((MIN(IF($E259="",TODAY()-15,$E259),TODAY()-15)-($D259+MOD(SISTEM!$F$8-WEEKDAY($D259,2),7)))/7)+1)))</f>
        <v/>
      </c>
      <c r="L259" s="222">
        <f>IF(OR($C259="",$D259="",$G259="",$F259=""),0,$G259*IF($F259="Aylık",MAX(0,(YEAR(MIN(IF($E259="",TODAY()-29,$E259),TODAY()-29))-YEAR($D259))*12+MONTH(MIN(IF($E259="",TODAY()-29,$E259),TODAY()-29))-MONTH($D259)+IF(MIN(IF($E259="",TODAY()-29,$E259),TODAY()-29)&gt;=EOMONTH(MIN(IF($E259="",TODAY()-29,$E259),TODAY()-29),0),1,0)),MAX(0,INT((MIN(IF($E259="",TODAY()-29,$E259),TODAY()-29)-($D259+MOD(SISTEM!$F$8-WEEKDAY($D259,2),7)))/7)+1)))</f>
        <v/>
      </c>
      <c r="M259" s="223">
        <f>IF($G259&gt;0,$I259/$G259,0)</f>
        <v/>
      </c>
      <c r="N259" s="113">
        <f>IF($C259="","",IF($B259="TANIMSIZ MÜŞTERİ","TANIMSIZ MÜŞTERİ",IF($F259="","MODEL SEÇİN",IF(OR($D259="",$G259&lt;=0),"EKSİK",IF(AND($E259&lt;&gt;"",$E259&lt;$D259),"TARİH HATASI",IF($H259="Pasif","KAPALI DÖNEM","UYGUN"))))))</f>
        <v/>
      </c>
      <c r="O259" s="224">
        <f>IF(OR($C259="",$D259="",$F259=""),"",IF($F259="Aylık",EOMONTH($D259,0),($D259+MOD(SISTEM!$F$8-WEEKDAY($D259,2),7))))</f>
        <v/>
      </c>
      <c r="P259" s="109" t="n"/>
      <c r="Q259" s="6" t="n"/>
      <c r="R259" s="6" t="n"/>
      <c r="S259" s="3">
        <f>IF($B259="","",$B259&amp;"|"&amp;COUNTIFS($B$7:$B259,$B259))</f>
        <v/>
      </c>
      <c r="T259" s="3">
        <f>IF($C259="","",UPPER(SUBSTITUTE(SUBSTITUTE(SUBSTITUTE(SUBSTITUTE(SUBSTITUTE(SUBSTITUTE(SUBSTITUTE(SUBSTITUTE(SUBSTITUTE(SUBSTITUTE(SUBSTITUTE(SUBSTITUTE(SUBSTITUTE(SUBSTITUTE(SUBSTITUTE(SUBSTITUTE(SUBSTITUTE(SUBSTITUTE(TRIM($C259),"'",""),"İ","I"),"ı","I"),"i","I"),"Ş","S"),"ş","S"),"Ğ","G"),"ğ","G"),"Ü","U"),"ü","U"),"Ö","O"),"ö","O"),"Ç","C"),"ç","C"),".",""),",","")," ",""),"-","")))</f>
        <v/>
      </c>
    </row>
    <row r="260">
      <c r="A260" s="6" t="n"/>
      <c r="B260" s="113">
        <f>IF($C260="","",IFERROR(INDEX(MUSTERILER!$B$7:$B$106,MATCH($T260,MUSTERILER!$T$7:$T$106,0)),IFERROR(INDEX(MUSTERILER!$B$7:$B$106,MATCH($C260,MUSTERILER!$B$7:$B$106,0)),IFERROR(INDEX(MUSTERILER!$B$7:$B$106,MATCH($T260&amp;"*",MUSTERILER!$T$7:$T$106,0)),"TANIMSIZ MÜŞTERİ"))))</f>
        <v/>
      </c>
      <c r="C260" s="109" t="n"/>
      <c r="D260" s="220" t="n"/>
      <c r="E260" s="220" t="n"/>
      <c r="F260" s="108" t="n"/>
      <c r="G260" s="221" t="n"/>
      <c r="H260" s="108" t="n"/>
      <c r="I260" s="222">
        <f>IF(OR($C260="",$D260="",$G260="",$F260=""),0,$G260*IF($F260="Aylık",MAX(0,(YEAR(MIN(IF($E260="",TODAY(),$E260),TODAY()))-YEAR($D260))*12+MONTH(MIN(IF($E260="",TODAY(),$E260),TODAY()))-MONTH($D260)+IF(MIN(IF($E260="",TODAY(),$E260),TODAY())&gt;=EOMONTH(MIN(IF($E260="",TODAY(),$E260),TODAY()),0),1,0)),MAX(0,INT((MIN(IF($E260="",TODAY(),$E260),TODAY())-($D260+MOD(SISTEM!$F$8-WEEKDAY($D260,2),7)))/7)+1)))</f>
        <v/>
      </c>
      <c r="J260" s="222">
        <f>IF(OR($C260="",$D260="",$G260="",$F260=""),0,$G260*IF($F260="Aylık",MAX(0,(YEAR(MIN(IF($E260="",TODAY()-8,$E260),TODAY()-8))-YEAR($D260))*12+MONTH(MIN(IF($E260="",TODAY()-8,$E260),TODAY()-8))-MONTH($D260)+IF(MIN(IF($E260="",TODAY()-8,$E260),TODAY()-8)&gt;=EOMONTH(MIN(IF($E260="",TODAY()-8,$E260),TODAY()-8),0),1,0)),MAX(0,INT((MIN(IF($E260="",TODAY()-8,$E260),TODAY()-8)-($D260+MOD(SISTEM!$F$8-WEEKDAY($D260,2),7)))/7)+1)))</f>
        <v/>
      </c>
      <c r="K260" s="222">
        <f>IF(OR($C260="",$D260="",$G260="",$F260=""),0,$G260*IF($F260="Aylık",MAX(0,(YEAR(MIN(IF($E260="",TODAY()-15,$E260),TODAY()-15))-YEAR($D260))*12+MONTH(MIN(IF($E260="",TODAY()-15,$E260),TODAY()-15))-MONTH($D260)+IF(MIN(IF($E260="",TODAY()-15,$E260),TODAY()-15)&gt;=EOMONTH(MIN(IF($E260="",TODAY()-15,$E260),TODAY()-15),0),1,0)),MAX(0,INT((MIN(IF($E260="",TODAY()-15,$E260),TODAY()-15)-($D260+MOD(SISTEM!$F$8-WEEKDAY($D260,2),7)))/7)+1)))</f>
        <v/>
      </c>
      <c r="L260" s="222">
        <f>IF(OR($C260="",$D260="",$G260="",$F260=""),0,$G260*IF($F260="Aylık",MAX(0,(YEAR(MIN(IF($E260="",TODAY()-29,$E260),TODAY()-29))-YEAR($D260))*12+MONTH(MIN(IF($E260="",TODAY()-29,$E260),TODAY()-29))-MONTH($D260)+IF(MIN(IF($E260="",TODAY()-29,$E260),TODAY()-29)&gt;=EOMONTH(MIN(IF($E260="",TODAY()-29,$E260),TODAY()-29),0),1,0)),MAX(0,INT((MIN(IF($E260="",TODAY()-29,$E260),TODAY()-29)-($D260+MOD(SISTEM!$F$8-WEEKDAY($D260,2),7)))/7)+1)))</f>
        <v/>
      </c>
      <c r="M260" s="223">
        <f>IF($G260&gt;0,$I260/$G260,0)</f>
        <v/>
      </c>
      <c r="N260" s="113">
        <f>IF($C260="","",IF($B260="TANIMSIZ MÜŞTERİ","TANIMSIZ MÜŞTERİ",IF($F260="","MODEL SEÇİN",IF(OR($D260="",$G260&lt;=0),"EKSİK",IF(AND($E260&lt;&gt;"",$E260&lt;$D260),"TARİH HATASI",IF($H260="Pasif","KAPALI DÖNEM","UYGUN"))))))</f>
        <v/>
      </c>
      <c r="O260" s="224">
        <f>IF(OR($C260="",$D260="",$F260=""),"",IF($F260="Aylık",EOMONTH($D260,0),($D260+MOD(SISTEM!$F$8-WEEKDAY($D260,2),7))))</f>
        <v/>
      </c>
      <c r="P260" s="109" t="n"/>
      <c r="Q260" s="6" t="n"/>
      <c r="R260" s="6" t="n"/>
      <c r="S260" s="3">
        <f>IF($B260="","",$B260&amp;"|"&amp;COUNTIFS($B$7:$B260,$B260))</f>
        <v/>
      </c>
      <c r="T260" s="3">
        <f>IF($C260="","",UPPER(SUBSTITUTE(SUBSTITUTE(SUBSTITUTE(SUBSTITUTE(SUBSTITUTE(SUBSTITUTE(SUBSTITUTE(SUBSTITUTE(SUBSTITUTE(SUBSTITUTE(SUBSTITUTE(SUBSTITUTE(SUBSTITUTE(SUBSTITUTE(SUBSTITUTE(SUBSTITUTE(SUBSTITUTE(SUBSTITUTE(TRIM($C260),"'",""),"İ","I"),"ı","I"),"i","I"),"Ş","S"),"ş","S"),"Ğ","G"),"ğ","G"),"Ü","U"),"ü","U"),"Ö","O"),"ö","O"),"Ç","C"),"ç","C"),".",""),",","")," ",""),"-","")))</f>
        <v/>
      </c>
    </row>
    <row r="261">
      <c r="A261" s="6" t="n"/>
      <c r="B261" s="113">
        <f>IF($C261="","",IFERROR(INDEX(MUSTERILER!$B$7:$B$106,MATCH($T261,MUSTERILER!$T$7:$T$106,0)),IFERROR(INDEX(MUSTERILER!$B$7:$B$106,MATCH($C261,MUSTERILER!$B$7:$B$106,0)),IFERROR(INDEX(MUSTERILER!$B$7:$B$106,MATCH($T261&amp;"*",MUSTERILER!$T$7:$T$106,0)),"TANIMSIZ MÜŞTERİ"))))</f>
        <v/>
      </c>
      <c r="C261" s="109" t="n"/>
      <c r="D261" s="220" t="n"/>
      <c r="E261" s="220" t="n"/>
      <c r="F261" s="108" t="n"/>
      <c r="G261" s="221" t="n"/>
      <c r="H261" s="108" t="n"/>
      <c r="I261" s="222">
        <f>IF(OR($C261="",$D261="",$G261="",$F261=""),0,$G261*IF($F261="Aylık",MAX(0,(YEAR(MIN(IF($E261="",TODAY(),$E261),TODAY()))-YEAR($D261))*12+MONTH(MIN(IF($E261="",TODAY(),$E261),TODAY()))-MONTH($D261)+IF(MIN(IF($E261="",TODAY(),$E261),TODAY())&gt;=EOMONTH(MIN(IF($E261="",TODAY(),$E261),TODAY()),0),1,0)),MAX(0,INT((MIN(IF($E261="",TODAY(),$E261),TODAY())-($D261+MOD(SISTEM!$F$8-WEEKDAY($D261,2),7)))/7)+1)))</f>
        <v/>
      </c>
      <c r="J261" s="222">
        <f>IF(OR($C261="",$D261="",$G261="",$F261=""),0,$G261*IF($F261="Aylık",MAX(0,(YEAR(MIN(IF($E261="",TODAY()-8,$E261),TODAY()-8))-YEAR($D261))*12+MONTH(MIN(IF($E261="",TODAY()-8,$E261),TODAY()-8))-MONTH($D261)+IF(MIN(IF($E261="",TODAY()-8,$E261),TODAY()-8)&gt;=EOMONTH(MIN(IF($E261="",TODAY()-8,$E261),TODAY()-8),0),1,0)),MAX(0,INT((MIN(IF($E261="",TODAY()-8,$E261),TODAY()-8)-($D261+MOD(SISTEM!$F$8-WEEKDAY($D261,2),7)))/7)+1)))</f>
        <v/>
      </c>
      <c r="K261" s="222">
        <f>IF(OR($C261="",$D261="",$G261="",$F261=""),0,$G261*IF($F261="Aylık",MAX(0,(YEAR(MIN(IF($E261="",TODAY()-15,$E261),TODAY()-15))-YEAR($D261))*12+MONTH(MIN(IF($E261="",TODAY()-15,$E261),TODAY()-15))-MONTH($D261)+IF(MIN(IF($E261="",TODAY()-15,$E261),TODAY()-15)&gt;=EOMONTH(MIN(IF($E261="",TODAY()-15,$E261),TODAY()-15),0),1,0)),MAX(0,INT((MIN(IF($E261="",TODAY()-15,$E261),TODAY()-15)-($D261+MOD(SISTEM!$F$8-WEEKDAY($D261,2),7)))/7)+1)))</f>
        <v/>
      </c>
      <c r="L261" s="222">
        <f>IF(OR($C261="",$D261="",$G261="",$F261=""),0,$G261*IF($F261="Aylık",MAX(0,(YEAR(MIN(IF($E261="",TODAY()-29,$E261),TODAY()-29))-YEAR($D261))*12+MONTH(MIN(IF($E261="",TODAY()-29,$E261),TODAY()-29))-MONTH($D261)+IF(MIN(IF($E261="",TODAY()-29,$E261),TODAY()-29)&gt;=EOMONTH(MIN(IF($E261="",TODAY()-29,$E261),TODAY()-29),0),1,0)),MAX(0,INT((MIN(IF($E261="",TODAY()-29,$E261),TODAY()-29)-($D261+MOD(SISTEM!$F$8-WEEKDAY($D261,2),7)))/7)+1)))</f>
        <v/>
      </c>
      <c r="M261" s="223">
        <f>IF($G261&gt;0,$I261/$G261,0)</f>
        <v/>
      </c>
      <c r="N261" s="113">
        <f>IF($C261="","",IF($B261="TANIMSIZ MÜŞTERİ","TANIMSIZ MÜŞTERİ",IF($F261="","MODEL SEÇİN",IF(OR($D261="",$G261&lt;=0),"EKSİK",IF(AND($E261&lt;&gt;"",$E261&lt;$D261),"TARİH HATASI",IF($H261="Pasif","KAPALI DÖNEM","UYGUN"))))))</f>
        <v/>
      </c>
      <c r="O261" s="224">
        <f>IF(OR($C261="",$D261="",$F261=""),"",IF($F261="Aylık",EOMONTH($D261,0),($D261+MOD(SISTEM!$F$8-WEEKDAY($D261,2),7))))</f>
        <v/>
      </c>
      <c r="P261" s="109" t="n"/>
      <c r="Q261" s="6" t="n"/>
      <c r="R261" s="6" t="n"/>
      <c r="S261" s="3">
        <f>IF($B261="","",$B261&amp;"|"&amp;COUNTIFS($B$7:$B261,$B261))</f>
        <v/>
      </c>
      <c r="T261" s="3">
        <f>IF($C261="","",UPPER(SUBSTITUTE(SUBSTITUTE(SUBSTITUTE(SUBSTITUTE(SUBSTITUTE(SUBSTITUTE(SUBSTITUTE(SUBSTITUTE(SUBSTITUTE(SUBSTITUTE(SUBSTITUTE(SUBSTITUTE(SUBSTITUTE(SUBSTITUTE(SUBSTITUTE(SUBSTITUTE(SUBSTITUTE(SUBSTITUTE(TRIM($C261),"'",""),"İ","I"),"ı","I"),"i","I"),"Ş","S"),"ş","S"),"Ğ","G"),"ğ","G"),"Ü","U"),"ü","U"),"Ö","O"),"ö","O"),"Ç","C"),"ç","C"),".",""),",","")," ",""),"-","")))</f>
        <v/>
      </c>
    </row>
    <row r="262">
      <c r="A262" s="6" t="n"/>
      <c r="B262" s="113">
        <f>IF($C262="","",IFERROR(INDEX(MUSTERILER!$B$7:$B$106,MATCH($T262,MUSTERILER!$T$7:$T$106,0)),IFERROR(INDEX(MUSTERILER!$B$7:$B$106,MATCH($C262,MUSTERILER!$B$7:$B$106,0)),IFERROR(INDEX(MUSTERILER!$B$7:$B$106,MATCH($T262&amp;"*",MUSTERILER!$T$7:$T$106,0)),"TANIMSIZ MÜŞTERİ"))))</f>
        <v/>
      </c>
      <c r="C262" s="109" t="n"/>
      <c r="D262" s="220" t="n"/>
      <c r="E262" s="220" t="n"/>
      <c r="F262" s="108" t="n"/>
      <c r="G262" s="221" t="n"/>
      <c r="H262" s="108" t="n"/>
      <c r="I262" s="222">
        <f>IF(OR($C262="",$D262="",$G262="",$F262=""),0,$G262*IF($F262="Aylık",MAX(0,(YEAR(MIN(IF($E262="",TODAY(),$E262),TODAY()))-YEAR($D262))*12+MONTH(MIN(IF($E262="",TODAY(),$E262),TODAY()))-MONTH($D262)+IF(MIN(IF($E262="",TODAY(),$E262),TODAY())&gt;=EOMONTH(MIN(IF($E262="",TODAY(),$E262),TODAY()),0),1,0)),MAX(0,INT((MIN(IF($E262="",TODAY(),$E262),TODAY())-($D262+MOD(SISTEM!$F$8-WEEKDAY($D262,2),7)))/7)+1)))</f>
        <v/>
      </c>
      <c r="J262" s="222">
        <f>IF(OR($C262="",$D262="",$G262="",$F262=""),0,$G262*IF($F262="Aylık",MAX(0,(YEAR(MIN(IF($E262="",TODAY()-8,$E262),TODAY()-8))-YEAR($D262))*12+MONTH(MIN(IF($E262="",TODAY()-8,$E262),TODAY()-8))-MONTH($D262)+IF(MIN(IF($E262="",TODAY()-8,$E262),TODAY()-8)&gt;=EOMONTH(MIN(IF($E262="",TODAY()-8,$E262),TODAY()-8),0),1,0)),MAX(0,INT((MIN(IF($E262="",TODAY()-8,$E262),TODAY()-8)-($D262+MOD(SISTEM!$F$8-WEEKDAY($D262,2),7)))/7)+1)))</f>
        <v/>
      </c>
      <c r="K262" s="222">
        <f>IF(OR($C262="",$D262="",$G262="",$F262=""),0,$G262*IF($F262="Aylık",MAX(0,(YEAR(MIN(IF($E262="",TODAY()-15,$E262),TODAY()-15))-YEAR($D262))*12+MONTH(MIN(IF($E262="",TODAY()-15,$E262),TODAY()-15))-MONTH($D262)+IF(MIN(IF($E262="",TODAY()-15,$E262),TODAY()-15)&gt;=EOMONTH(MIN(IF($E262="",TODAY()-15,$E262),TODAY()-15),0),1,0)),MAX(0,INT((MIN(IF($E262="",TODAY()-15,$E262),TODAY()-15)-($D262+MOD(SISTEM!$F$8-WEEKDAY($D262,2),7)))/7)+1)))</f>
        <v/>
      </c>
      <c r="L262" s="222">
        <f>IF(OR($C262="",$D262="",$G262="",$F262=""),0,$G262*IF($F262="Aylık",MAX(0,(YEAR(MIN(IF($E262="",TODAY()-29,$E262),TODAY()-29))-YEAR($D262))*12+MONTH(MIN(IF($E262="",TODAY()-29,$E262),TODAY()-29))-MONTH($D262)+IF(MIN(IF($E262="",TODAY()-29,$E262),TODAY()-29)&gt;=EOMONTH(MIN(IF($E262="",TODAY()-29,$E262),TODAY()-29),0),1,0)),MAX(0,INT((MIN(IF($E262="",TODAY()-29,$E262),TODAY()-29)-($D262+MOD(SISTEM!$F$8-WEEKDAY($D262,2),7)))/7)+1)))</f>
        <v/>
      </c>
      <c r="M262" s="223">
        <f>IF($G262&gt;0,$I262/$G262,0)</f>
        <v/>
      </c>
      <c r="N262" s="113">
        <f>IF($C262="","",IF($B262="TANIMSIZ MÜŞTERİ","TANIMSIZ MÜŞTERİ",IF($F262="","MODEL SEÇİN",IF(OR($D262="",$G262&lt;=0),"EKSİK",IF(AND($E262&lt;&gt;"",$E262&lt;$D262),"TARİH HATASI",IF($H262="Pasif","KAPALI DÖNEM","UYGUN"))))))</f>
        <v/>
      </c>
      <c r="O262" s="224">
        <f>IF(OR($C262="",$D262="",$F262=""),"",IF($F262="Aylık",EOMONTH($D262,0),($D262+MOD(SISTEM!$F$8-WEEKDAY($D262,2),7))))</f>
        <v/>
      </c>
      <c r="P262" s="109" t="n"/>
      <c r="Q262" s="6" t="n"/>
      <c r="R262" s="6" t="n"/>
      <c r="S262" s="3">
        <f>IF($B262="","",$B262&amp;"|"&amp;COUNTIFS($B$7:$B262,$B262))</f>
        <v/>
      </c>
      <c r="T262" s="3">
        <f>IF($C262="","",UPPER(SUBSTITUTE(SUBSTITUTE(SUBSTITUTE(SUBSTITUTE(SUBSTITUTE(SUBSTITUTE(SUBSTITUTE(SUBSTITUTE(SUBSTITUTE(SUBSTITUTE(SUBSTITUTE(SUBSTITUTE(SUBSTITUTE(SUBSTITUTE(SUBSTITUTE(SUBSTITUTE(SUBSTITUTE(SUBSTITUTE(TRIM($C262),"'",""),"İ","I"),"ı","I"),"i","I"),"Ş","S"),"ş","S"),"Ğ","G"),"ğ","G"),"Ü","U"),"ü","U"),"Ö","O"),"ö","O"),"Ç","C"),"ç","C"),".",""),",","")," ",""),"-","")))</f>
        <v/>
      </c>
    </row>
    <row r="263">
      <c r="A263" s="6" t="n"/>
      <c r="B263" s="113">
        <f>IF($C263="","",IFERROR(INDEX(MUSTERILER!$B$7:$B$106,MATCH($T263,MUSTERILER!$T$7:$T$106,0)),IFERROR(INDEX(MUSTERILER!$B$7:$B$106,MATCH($C263,MUSTERILER!$B$7:$B$106,0)),IFERROR(INDEX(MUSTERILER!$B$7:$B$106,MATCH($T263&amp;"*",MUSTERILER!$T$7:$T$106,0)),"TANIMSIZ MÜŞTERİ"))))</f>
        <v/>
      </c>
      <c r="C263" s="109" t="n"/>
      <c r="D263" s="220" t="n"/>
      <c r="E263" s="220" t="n"/>
      <c r="F263" s="108" t="n"/>
      <c r="G263" s="221" t="n"/>
      <c r="H263" s="108" t="n"/>
      <c r="I263" s="222">
        <f>IF(OR($C263="",$D263="",$G263="",$F263=""),0,$G263*IF($F263="Aylık",MAX(0,(YEAR(MIN(IF($E263="",TODAY(),$E263),TODAY()))-YEAR($D263))*12+MONTH(MIN(IF($E263="",TODAY(),$E263),TODAY()))-MONTH($D263)+IF(MIN(IF($E263="",TODAY(),$E263),TODAY())&gt;=EOMONTH(MIN(IF($E263="",TODAY(),$E263),TODAY()),0),1,0)),MAX(0,INT((MIN(IF($E263="",TODAY(),$E263),TODAY())-($D263+MOD(SISTEM!$F$8-WEEKDAY($D263,2),7)))/7)+1)))</f>
        <v/>
      </c>
      <c r="J263" s="222">
        <f>IF(OR($C263="",$D263="",$G263="",$F263=""),0,$G263*IF($F263="Aylık",MAX(0,(YEAR(MIN(IF($E263="",TODAY()-8,$E263),TODAY()-8))-YEAR($D263))*12+MONTH(MIN(IF($E263="",TODAY()-8,$E263),TODAY()-8))-MONTH($D263)+IF(MIN(IF($E263="",TODAY()-8,$E263),TODAY()-8)&gt;=EOMONTH(MIN(IF($E263="",TODAY()-8,$E263),TODAY()-8),0),1,0)),MAX(0,INT((MIN(IF($E263="",TODAY()-8,$E263),TODAY()-8)-($D263+MOD(SISTEM!$F$8-WEEKDAY($D263,2),7)))/7)+1)))</f>
        <v/>
      </c>
      <c r="K263" s="222">
        <f>IF(OR($C263="",$D263="",$G263="",$F263=""),0,$G263*IF($F263="Aylık",MAX(0,(YEAR(MIN(IF($E263="",TODAY()-15,$E263),TODAY()-15))-YEAR($D263))*12+MONTH(MIN(IF($E263="",TODAY()-15,$E263),TODAY()-15))-MONTH($D263)+IF(MIN(IF($E263="",TODAY()-15,$E263),TODAY()-15)&gt;=EOMONTH(MIN(IF($E263="",TODAY()-15,$E263),TODAY()-15),0),1,0)),MAX(0,INT((MIN(IF($E263="",TODAY()-15,$E263),TODAY()-15)-($D263+MOD(SISTEM!$F$8-WEEKDAY($D263,2),7)))/7)+1)))</f>
        <v/>
      </c>
      <c r="L263" s="222">
        <f>IF(OR($C263="",$D263="",$G263="",$F263=""),0,$G263*IF($F263="Aylık",MAX(0,(YEAR(MIN(IF($E263="",TODAY()-29,$E263),TODAY()-29))-YEAR($D263))*12+MONTH(MIN(IF($E263="",TODAY()-29,$E263),TODAY()-29))-MONTH($D263)+IF(MIN(IF($E263="",TODAY()-29,$E263),TODAY()-29)&gt;=EOMONTH(MIN(IF($E263="",TODAY()-29,$E263),TODAY()-29),0),1,0)),MAX(0,INT((MIN(IF($E263="",TODAY()-29,$E263),TODAY()-29)-($D263+MOD(SISTEM!$F$8-WEEKDAY($D263,2),7)))/7)+1)))</f>
        <v/>
      </c>
      <c r="M263" s="223">
        <f>IF($G263&gt;0,$I263/$G263,0)</f>
        <v/>
      </c>
      <c r="N263" s="113">
        <f>IF($C263="","",IF($B263="TANIMSIZ MÜŞTERİ","TANIMSIZ MÜŞTERİ",IF($F263="","MODEL SEÇİN",IF(OR($D263="",$G263&lt;=0),"EKSİK",IF(AND($E263&lt;&gt;"",$E263&lt;$D263),"TARİH HATASI",IF($H263="Pasif","KAPALI DÖNEM","UYGUN"))))))</f>
        <v/>
      </c>
      <c r="O263" s="224">
        <f>IF(OR($C263="",$D263="",$F263=""),"",IF($F263="Aylık",EOMONTH($D263,0),($D263+MOD(SISTEM!$F$8-WEEKDAY($D263,2),7))))</f>
        <v/>
      </c>
      <c r="P263" s="109" t="n"/>
      <c r="Q263" s="6" t="n"/>
      <c r="R263" s="6" t="n"/>
      <c r="S263" s="3">
        <f>IF($B263="","",$B263&amp;"|"&amp;COUNTIFS($B$7:$B263,$B263))</f>
        <v/>
      </c>
      <c r="T263" s="3">
        <f>IF($C263="","",UPPER(SUBSTITUTE(SUBSTITUTE(SUBSTITUTE(SUBSTITUTE(SUBSTITUTE(SUBSTITUTE(SUBSTITUTE(SUBSTITUTE(SUBSTITUTE(SUBSTITUTE(SUBSTITUTE(SUBSTITUTE(SUBSTITUTE(SUBSTITUTE(SUBSTITUTE(SUBSTITUTE(SUBSTITUTE(SUBSTITUTE(TRIM($C263),"'",""),"İ","I"),"ı","I"),"i","I"),"Ş","S"),"ş","S"),"Ğ","G"),"ğ","G"),"Ü","U"),"ü","U"),"Ö","O"),"ö","O"),"Ç","C"),"ç","C"),".",""),",","")," ",""),"-","")))</f>
        <v/>
      </c>
    </row>
    <row r="264">
      <c r="A264" s="6" t="n"/>
      <c r="B264" s="113">
        <f>IF($C264="","",IFERROR(INDEX(MUSTERILER!$B$7:$B$106,MATCH($T264,MUSTERILER!$T$7:$T$106,0)),IFERROR(INDEX(MUSTERILER!$B$7:$B$106,MATCH($C264,MUSTERILER!$B$7:$B$106,0)),IFERROR(INDEX(MUSTERILER!$B$7:$B$106,MATCH($T264&amp;"*",MUSTERILER!$T$7:$T$106,0)),"TANIMSIZ MÜŞTERİ"))))</f>
        <v/>
      </c>
      <c r="C264" s="109" t="n"/>
      <c r="D264" s="220" t="n"/>
      <c r="E264" s="220" t="n"/>
      <c r="F264" s="108" t="n"/>
      <c r="G264" s="221" t="n"/>
      <c r="H264" s="108" t="n"/>
      <c r="I264" s="222">
        <f>IF(OR($C264="",$D264="",$G264="",$F264=""),0,$G264*IF($F264="Aylık",MAX(0,(YEAR(MIN(IF($E264="",TODAY(),$E264),TODAY()))-YEAR($D264))*12+MONTH(MIN(IF($E264="",TODAY(),$E264),TODAY()))-MONTH($D264)+IF(MIN(IF($E264="",TODAY(),$E264),TODAY())&gt;=EOMONTH(MIN(IF($E264="",TODAY(),$E264),TODAY()),0),1,0)),MAX(0,INT((MIN(IF($E264="",TODAY(),$E264),TODAY())-($D264+MOD(SISTEM!$F$8-WEEKDAY($D264,2),7)))/7)+1)))</f>
        <v/>
      </c>
      <c r="J264" s="222">
        <f>IF(OR($C264="",$D264="",$G264="",$F264=""),0,$G264*IF($F264="Aylık",MAX(0,(YEAR(MIN(IF($E264="",TODAY()-8,$E264),TODAY()-8))-YEAR($D264))*12+MONTH(MIN(IF($E264="",TODAY()-8,$E264),TODAY()-8))-MONTH($D264)+IF(MIN(IF($E264="",TODAY()-8,$E264),TODAY()-8)&gt;=EOMONTH(MIN(IF($E264="",TODAY()-8,$E264),TODAY()-8),0),1,0)),MAX(0,INT((MIN(IF($E264="",TODAY()-8,$E264),TODAY()-8)-($D264+MOD(SISTEM!$F$8-WEEKDAY($D264,2),7)))/7)+1)))</f>
        <v/>
      </c>
      <c r="K264" s="222">
        <f>IF(OR($C264="",$D264="",$G264="",$F264=""),0,$G264*IF($F264="Aylık",MAX(0,(YEAR(MIN(IF($E264="",TODAY()-15,$E264),TODAY()-15))-YEAR($D264))*12+MONTH(MIN(IF($E264="",TODAY()-15,$E264),TODAY()-15))-MONTH($D264)+IF(MIN(IF($E264="",TODAY()-15,$E264),TODAY()-15)&gt;=EOMONTH(MIN(IF($E264="",TODAY()-15,$E264),TODAY()-15),0),1,0)),MAX(0,INT((MIN(IF($E264="",TODAY()-15,$E264),TODAY()-15)-($D264+MOD(SISTEM!$F$8-WEEKDAY($D264,2),7)))/7)+1)))</f>
        <v/>
      </c>
      <c r="L264" s="222">
        <f>IF(OR($C264="",$D264="",$G264="",$F264=""),0,$G264*IF($F264="Aylık",MAX(0,(YEAR(MIN(IF($E264="",TODAY()-29,$E264),TODAY()-29))-YEAR($D264))*12+MONTH(MIN(IF($E264="",TODAY()-29,$E264),TODAY()-29))-MONTH($D264)+IF(MIN(IF($E264="",TODAY()-29,$E264),TODAY()-29)&gt;=EOMONTH(MIN(IF($E264="",TODAY()-29,$E264),TODAY()-29),0),1,0)),MAX(0,INT((MIN(IF($E264="",TODAY()-29,$E264),TODAY()-29)-($D264+MOD(SISTEM!$F$8-WEEKDAY($D264,2),7)))/7)+1)))</f>
        <v/>
      </c>
      <c r="M264" s="223">
        <f>IF($G264&gt;0,$I264/$G264,0)</f>
        <v/>
      </c>
      <c r="N264" s="113">
        <f>IF($C264="","",IF($B264="TANIMSIZ MÜŞTERİ","TANIMSIZ MÜŞTERİ",IF($F264="","MODEL SEÇİN",IF(OR($D264="",$G264&lt;=0),"EKSİK",IF(AND($E264&lt;&gt;"",$E264&lt;$D264),"TARİH HATASI",IF($H264="Pasif","KAPALI DÖNEM","UYGUN"))))))</f>
        <v/>
      </c>
      <c r="O264" s="224">
        <f>IF(OR($C264="",$D264="",$F264=""),"",IF($F264="Aylık",EOMONTH($D264,0),($D264+MOD(SISTEM!$F$8-WEEKDAY($D264,2),7))))</f>
        <v/>
      </c>
      <c r="P264" s="109" t="n"/>
      <c r="Q264" s="6" t="n"/>
      <c r="R264" s="6" t="n"/>
      <c r="S264" s="3">
        <f>IF($B264="","",$B264&amp;"|"&amp;COUNTIFS($B$7:$B264,$B264))</f>
        <v/>
      </c>
      <c r="T264" s="3">
        <f>IF($C264="","",UPPER(SUBSTITUTE(SUBSTITUTE(SUBSTITUTE(SUBSTITUTE(SUBSTITUTE(SUBSTITUTE(SUBSTITUTE(SUBSTITUTE(SUBSTITUTE(SUBSTITUTE(SUBSTITUTE(SUBSTITUTE(SUBSTITUTE(SUBSTITUTE(SUBSTITUTE(SUBSTITUTE(SUBSTITUTE(SUBSTITUTE(TRIM($C264),"'",""),"İ","I"),"ı","I"),"i","I"),"Ş","S"),"ş","S"),"Ğ","G"),"ğ","G"),"Ü","U"),"ü","U"),"Ö","O"),"ö","O"),"Ç","C"),"ç","C"),".",""),",","")," ",""),"-","")))</f>
        <v/>
      </c>
    </row>
    <row r="265">
      <c r="A265" s="6" t="n"/>
      <c r="B265" s="113">
        <f>IF($C265="","",IFERROR(INDEX(MUSTERILER!$B$7:$B$106,MATCH($T265,MUSTERILER!$T$7:$T$106,0)),IFERROR(INDEX(MUSTERILER!$B$7:$B$106,MATCH($C265,MUSTERILER!$B$7:$B$106,0)),IFERROR(INDEX(MUSTERILER!$B$7:$B$106,MATCH($T265&amp;"*",MUSTERILER!$T$7:$T$106,0)),"TANIMSIZ MÜŞTERİ"))))</f>
        <v/>
      </c>
      <c r="C265" s="109" t="n"/>
      <c r="D265" s="220" t="n"/>
      <c r="E265" s="220" t="n"/>
      <c r="F265" s="108" t="n"/>
      <c r="G265" s="221" t="n"/>
      <c r="H265" s="108" t="n"/>
      <c r="I265" s="222">
        <f>IF(OR($C265="",$D265="",$G265="",$F265=""),0,$G265*IF($F265="Aylık",MAX(0,(YEAR(MIN(IF($E265="",TODAY(),$E265),TODAY()))-YEAR($D265))*12+MONTH(MIN(IF($E265="",TODAY(),$E265),TODAY()))-MONTH($D265)+IF(MIN(IF($E265="",TODAY(),$E265),TODAY())&gt;=EOMONTH(MIN(IF($E265="",TODAY(),$E265),TODAY()),0),1,0)),MAX(0,INT((MIN(IF($E265="",TODAY(),$E265),TODAY())-($D265+MOD(SISTEM!$F$8-WEEKDAY($D265,2),7)))/7)+1)))</f>
        <v/>
      </c>
      <c r="J265" s="222">
        <f>IF(OR($C265="",$D265="",$G265="",$F265=""),0,$G265*IF($F265="Aylık",MAX(0,(YEAR(MIN(IF($E265="",TODAY()-8,$E265),TODAY()-8))-YEAR($D265))*12+MONTH(MIN(IF($E265="",TODAY()-8,$E265),TODAY()-8))-MONTH($D265)+IF(MIN(IF($E265="",TODAY()-8,$E265),TODAY()-8)&gt;=EOMONTH(MIN(IF($E265="",TODAY()-8,$E265),TODAY()-8),0),1,0)),MAX(0,INT((MIN(IF($E265="",TODAY()-8,$E265),TODAY()-8)-($D265+MOD(SISTEM!$F$8-WEEKDAY($D265,2),7)))/7)+1)))</f>
        <v/>
      </c>
      <c r="K265" s="222">
        <f>IF(OR($C265="",$D265="",$G265="",$F265=""),0,$G265*IF($F265="Aylık",MAX(0,(YEAR(MIN(IF($E265="",TODAY()-15,$E265),TODAY()-15))-YEAR($D265))*12+MONTH(MIN(IF($E265="",TODAY()-15,$E265),TODAY()-15))-MONTH($D265)+IF(MIN(IF($E265="",TODAY()-15,$E265),TODAY()-15)&gt;=EOMONTH(MIN(IF($E265="",TODAY()-15,$E265),TODAY()-15),0),1,0)),MAX(0,INT((MIN(IF($E265="",TODAY()-15,$E265),TODAY()-15)-($D265+MOD(SISTEM!$F$8-WEEKDAY($D265,2),7)))/7)+1)))</f>
        <v/>
      </c>
      <c r="L265" s="222">
        <f>IF(OR($C265="",$D265="",$G265="",$F265=""),0,$G265*IF($F265="Aylık",MAX(0,(YEAR(MIN(IF($E265="",TODAY()-29,$E265),TODAY()-29))-YEAR($D265))*12+MONTH(MIN(IF($E265="",TODAY()-29,$E265),TODAY()-29))-MONTH($D265)+IF(MIN(IF($E265="",TODAY()-29,$E265),TODAY()-29)&gt;=EOMONTH(MIN(IF($E265="",TODAY()-29,$E265),TODAY()-29),0),1,0)),MAX(0,INT((MIN(IF($E265="",TODAY()-29,$E265),TODAY()-29)-($D265+MOD(SISTEM!$F$8-WEEKDAY($D265,2),7)))/7)+1)))</f>
        <v/>
      </c>
      <c r="M265" s="223">
        <f>IF($G265&gt;0,$I265/$G265,0)</f>
        <v/>
      </c>
      <c r="N265" s="113">
        <f>IF($C265="","",IF($B265="TANIMSIZ MÜŞTERİ","TANIMSIZ MÜŞTERİ",IF($F265="","MODEL SEÇİN",IF(OR($D265="",$G265&lt;=0),"EKSİK",IF(AND($E265&lt;&gt;"",$E265&lt;$D265),"TARİH HATASI",IF($H265="Pasif","KAPALI DÖNEM","UYGUN"))))))</f>
        <v/>
      </c>
      <c r="O265" s="224">
        <f>IF(OR($C265="",$D265="",$F265=""),"",IF($F265="Aylık",EOMONTH($D265,0),($D265+MOD(SISTEM!$F$8-WEEKDAY($D265,2),7))))</f>
        <v/>
      </c>
      <c r="P265" s="109" t="n"/>
      <c r="Q265" s="6" t="n"/>
      <c r="R265" s="6" t="n"/>
      <c r="S265" s="3">
        <f>IF($B265="","",$B265&amp;"|"&amp;COUNTIFS($B$7:$B265,$B265))</f>
        <v/>
      </c>
      <c r="T265" s="3">
        <f>IF($C265="","",UPPER(SUBSTITUTE(SUBSTITUTE(SUBSTITUTE(SUBSTITUTE(SUBSTITUTE(SUBSTITUTE(SUBSTITUTE(SUBSTITUTE(SUBSTITUTE(SUBSTITUTE(SUBSTITUTE(SUBSTITUTE(SUBSTITUTE(SUBSTITUTE(SUBSTITUTE(SUBSTITUTE(SUBSTITUTE(SUBSTITUTE(TRIM($C265),"'",""),"İ","I"),"ı","I"),"i","I"),"Ş","S"),"ş","S"),"Ğ","G"),"ğ","G"),"Ü","U"),"ü","U"),"Ö","O"),"ö","O"),"Ç","C"),"ç","C"),".",""),",","")," ",""),"-","")))</f>
        <v/>
      </c>
    </row>
    <row r="266">
      <c r="A266" s="6" t="n"/>
      <c r="B266" s="113">
        <f>IF($C266="","",IFERROR(INDEX(MUSTERILER!$B$7:$B$106,MATCH($T266,MUSTERILER!$T$7:$T$106,0)),IFERROR(INDEX(MUSTERILER!$B$7:$B$106,MATCH($C266,MUSTERILER!$B$7:$B$106,0)),IFERROR(INDEX(MUSTERILER!$B$7:$B$106,MATCH($T266&amp;"*",MUSTERILER!$T$7:$T$106,0)),"TANIMSIZ MÜŞTERİ"))))</f>
        <v/>
      </c>
      <c r="C266" s="109" t="n"/>
      <c r="D266" s="220" t="n"/>
      <c r="E266" s="220" t="n"/>
      <c r="F266" s="108" t="n"/>
      <c r="G266" s="221" t="n"/>
      <c r="H266" s="108" t="n"/>
      <c r="I266" s="222">
        <f>IF(OR($C266="",$D266="",$G266="",$F266=""),0,$G266*IF($F266="Aylık",MAX(0,(YEAR(MIN(IF($E266="",TODAY(),$E266),TODAY()))-YEAR($D266))*12+MONTH(MIN(IF($E266="",TODAY(),$E266),TODAY()))-MONTH($D266)+IF(MIN(IF($E266="",TODAY(),$E266),TODAY())&gt;=EOMONTH(MIN(IF($E266="",TODAY(),$E266),TODAY()),0),1,0)),MAX(0,INT((MIN(IF($E266="",TODAY(),$E266),TODAY())-($D266+MOD(SISTEM!$F$8-WEEKDAY($D266,2),7)))/7)+1)))</f>
        <v/>
      </c>
      <c r="J266" s="222">
        <f>IF(OR($C266="",$D266="",$G266="",$F266=""),0,$G266*IF($F266="Aylık",MAX(0,(YEAR(MIN(IF($E266="",TODAY()-8,$E266),TODAY()-8))-YEAR($D266))*12+MONTH(MIN(IF($E266="",TODAY()-8,$E266),TODAY()-8))-MONTH($D266)+IF(MIN(IF($E266="",TODAY()-8,$E266),TODAY()-8)&gt;=EOMONTH(MIN(IF($E266="",TODAY()-8,$E266),TODAY()-8),0),1,0)),MAX(0,INT((MIN(IF($E266="",TODAY()-8,$E266),TODAY()-8)-($D266+MOD(SISTEM!$F$8-WEEKDAY($D266,2),7)))/7)+1)))</f>
        <v/>
      </c>
      <c r="K266" s="222">
        <f>IF(OR($C266="",$D266="",$G266="",$F266=""),0,$G266*IF($F266="Aylık",MAX(0,(YEAR(MIN(IF($E266="",TODAY()-15,$E266),TODAY()-15))-YEAR($D266))*12+MONTH(MIN(IF($E266="",TODAY()-15,$E266),TODAY()-15))-MONTH($D266)+IF(MIN(IF($E266="",TODAY()-15,$E266),TODAY()-15)&gt;=EOMONTH(MIN(IF($E266="",TODAY()-15,$E266),TODAY()-15),0),1,0)),MAX(0,INT((MIN(IF($E266="",TODAY()-15,$E266),TODAY()-15)-($D266+MOD(SISTEM!$F$8-WEEKDAY($D266,2),7)))/7)+1)))</f>
        <v/>
      </c>
      <c r="L266" s="222">
        <f>IF(OR($C266="",$D266="",$G266="",$F266=""),0,$G266*IF($F266="Aylık",MAX(0,(YEAR(MIN(IF($E266="",TODAY()-29,$E266),TODAY()-29))-YEAR($D266))*12+MONTH(MIN(IF($E266="",TODAY()-29,$E266),TODAY()-29))-MONTH($D266)+IF(MIN(IF($E266="",TODAY()-29,$E266),TODAY()-29)&gt;=EOMONTH(MIN(IF($E266="",TODAY()-29,$E266),TODAY()-29),0),1,0)),MAX(0,INT((MIN(IF($E266="",TODAY()-29,$E266),TODAY()-29)-($D266+MOD(SISTEM!$F$8-WEEKDAY($D266,2),7)))/7)+1)))</f>
        <v/>
      </c>
      <c r="M266" s="223">
        <f>IF($G266&gt;0,$I266/$G266,0)</f>
        <v/>
      </c>
      <c r="N266" s="113">
        <f>IF($C266="","",IF($B266="TANIMSIZ MÜŞTERİ","TANIMSIZ MÜŞTERİ",IF($F266="","MODEL SEÇİN",IF(OR($D266="",$G266&lt;=0),"EKSİK",IF(AND($E266&lt;&gt;"",$E266&lt;$D266),"TARİH HATASI",IF($H266="Pasif","KAPALI DÖNEM","UYGUN"))))))</f>
        <v/>
      </c>
      <c r="O266" s="224">
        <f>IF(OR($C266="",$D266="",$F266=""),"",IF($F266="Aylık",EOMONTH($D266,0),($D266+MOD(SISTEM!$F$8-WEEKDAY($D266,2),7))))</f>
        <v/>
      </c>
      <c r="P266" s="109" t="n"/>
      <c r="Q266" s="6" t="n"/>
      <c r="R266" s="6" t="n"/>
      <c r="S266" s="3">
        <f>IF($B266="","",$B266&amp;"|"&amp;COUNTIFS($B$7:$B266,$B266))</f>
        <v/>
      </c>
      <c r="T266" s="3">
        <f>IF($C266="","",UPPER(SUBSTITUTE(SUBSTITUTE(SUBSTITUTE(SUBSTITUTE(SUBSTITUTE(SUBSTITUTE(SUBSTITUTE(SUBSTITUTE(SUBSTITUTE(SUBSTITUTE(SUBSTITUTE(SUBSTITUTE(SUBSTITUTE(SUBSTITUTE(SUBSTITUTE(SUBSTITUTE(SUBSTITUTE(SUBSTITUTE(TRIM($C266),"'",""),"İ","I"),"ı","I"),"i","I"),"Ş","S"),"ş","S"),"Ğ","G"),"ğ","G"),"Ü","U"),"ü","U"),"Ö","O"),"ö","O"),"Ç","C"),"ç","C"),".",""),",","")," ",""),"-","")))</f>
        <v/>
      </c>
    </row>
    <row r="267">
      <c r="A267" s="6" t="n"/>
      <c r="B267" s="113">
        <f>IF($C267="","",IFERROR(INDEX(MUSTERILER!$B$7:$B$106,MATCH($T267,MUSTERILER!$T$7:$T$106,0)),IFERROR(INDEX(MUSTERILER!$B$7:$B$106,MATCH($C267,MUSTERILER!$B$7:$B$106,0)),IFERROR(INDEX(MUSTERILER!$B$7:$B$106,MATCH($T267&amp;"*",MUSTERILER!$T$7:$T$106,0)),"TANIMSIZ MÜŞTERİ"))))</f>
        <v/>
      </c>
      <c r="C267" s="109" t="n"/>
      <c r="D267" s="220" t="n"/>
      <c r="E267" s="220" t="n"/>
      <c r="F267" s="108" t="n"/>
      <c r="G267" s="221" t="n"/>
      <c r="H267" s="108" t="n"/>
      <c r="I267" s="222">
        <f>IF(OR($C267="",$D267="",$G267="",$F267=""),0,$G267*IF($F267="Aylık",MAX(0,(YEAR(MIN(IF($E267="",TODAY(),$E267),TODAY()))-YEAR($D267))*12+MONTH(MIN(IF($E267="",TODAY(),$E267),TODAY()))-MONTH($D267)+IF(MIN(IF($E267="",TODAY(),$E267),TODAY())&gt;=EOMONTH(MIN(IF($E267="",TODAY(),$E267),TODAY()),0),1,0)),MAX(0,INT((MIN(IF($E267="",TODAY(),$E267),TODAY())-($D267+MOD(SISTEM!$F$8-WEEKDAY($D267,2),7)))/7)+1)))</f>
        <v/>
      </c>
      <c r="J267" s="222">
        <f>IF(OR($C267="",$D267="",$G267="",$F267=""),0,$G267*IF($F267="Aylık",MAX(0,(YEAR(MIN(IF($E267="",TODAY()-8,$E267),TODAY()-8))-YEAR($D267))*12+MONTH(MIN(IF($E267="",TODAY()-8,$E267),TODAY()-8))-MONTH($D267)+IF(MIN(IF($E267="",TODAY()-8,$E267),TODAY()-8)&gt;=EOMONTH(MIN(IF($E267="",TODAY()-8,$E267),TODAY()-8),0),1,0)),MAX(0,INT((MIN(IF($E267="",TODAY()-8,$E267),TODAY()-8)-($D267+MOD(SISTEM!$F$8-WEEKDAY($D267,2),7)))/7)+1)))</f>
        <v/>
      </c>
      <c r="K267" s="222">
        <f>IF(OR($C267="",$D267="",$G267="",$F267=""),0,$G267*IF($F267="Aylık",MAX(0,(YEAR(MIN(IF($E267="",TODAY()-15,$E267),TODAY()-15))-YEAR($D267))*12+MONTH(MIN(IF($E267="",TODAY()-15,$E267),TODAY()-15))-MONTH($D267)+IF(MIN(IF($E267="",TODAY()-15,$E267),TODAY()-15)&gt;=EOMONTH(MIN(IF($E267="",TODAY()-15,$E267),TODAY()-15),0),1,0)),MAX(0,INT((MIN(IF($E267="",TODAY()-15,$E267),TODAY()-15)-($D267+MOD(SISTEM!$F$8-WEEKDAY($D267,2),7)))/7)+1)))</f>
        <v/>
      </c>
      <c r="L267" s="222">
        <f>IF(OR($C267="",$D267="",$G267="",$F267=""),0,$G267*IF($F267="Aylık",MAX(0,(YEAR(MIN(IF($E267="",TODAY()-29,$E267),TODAY()-29))-YEAR($D267))*12+MONTH(MIN(IF($E267="",TODAY()-29,$E267),TODAY()-29))-MONTH($D267)+IF(MIN(IF($E267="",TODAY()-29,$E267),TODAY()-29)&gt;=EOMONTH(MIN(IF($E267="",TODAY()-29,$E267),TODAY()-29),0),1,0)),MAX(0,INT((MIN(IF($E267="",TODAY()-29,$E267),TODAY()-29)-($D267+MOD(SISTEM!$F$8-WEEKDAY($D267,2),7)))/7)+1)))</f>
        <v/>
      </c>
      <c r="M267" s="223">
        <f>IF($G267&gt;0,$I267/$G267,0)</f>
        <v/>
      </c>
      <c r="N267" s="113">
        <f>IF($C267="","",IF($B267="TANIMSIZ MÜŞTERİ","TANIMSIZ MÜŞTERİ",IF($F267="","MODEL SEÇİN",IF(OR($D267="",$G267&lt;=0),"EKSİK",IF(AND($E267&lt;&gt;"",$E267&lt;$D267),"TARİH HATASI",IF($H267="Pasif","KAPALI DÖNEM","UYGUN"))))))</f>
        <v/>
      </c>
      <c r="O267" s="224">
        <f>IF(OR($C267="",$D267="",$F267=""),"",IF($F267="Aylık",EOMONTH($D267,0),($D267+MOD(SISTEM!$F$8-WEEKDAY($D267,2),7))))</f>
        <v/>
      </c>
      <c r="P267" s="109" t="n"/>
      <c r="Q267" s="6" t="n"/>
      <c r="R267" s="6" t="n"/>
      <c r="S267" s="3">
        <f>IF($B267="","",$B267&amp;"|"&amp;COUNTIFS($B$7:$B267,$B267))</f>
        <v/>
      </c>
      <c r="T267" s="3">
        <f>IF($C267="","",UPPER(SUBSTITUTE(SUBSTITUTE(SUBSTITUTE(SUBSTITUTE(SUBSTITUTE(SUBSTITUTE(SUBSTITUTE(SUBSTITUTE(SUBSTITUTE(SUBSTITUTE(SUBSTITUTE(SUBSTITUTE(SUBSTITUTE(SUBSTITUTE(SUBSTITUTE(SUBSTITUTE(SUBSTITUTE(SUBSTITUTE(TRIM($C267),"'",""),"İ","I"),"ı","I"),"i","I"),"Ş","S"),"ş","S"),"Ğ","G"),"ğ","G"),"Ü","U"),"ü","U"),"Ö","O"),"ö","O"),"Ç","C"),"ç","C"),".",""),",","")," ",""),"-","")))</f>
        <v/>
      </c>
    </row>
    <row r="268">
      <c r="A268" s="6" t="n"/>
      <c r="B268" s="113">
        <f>IF($C268="","",IFERROR(INDEX(MUSTERILER!$B$7:$B$106,MATCH($T268,MUSTERILER!$T$7:$T$106,0)),IFERROR(INDEX(MUSTERILER!$B$7:$B$106,MATCH($C268,MUSTERILER!$B$7:$B$106,0)),IFERROR(INDEX(MUSTERILER!$B$7:$B$106,MATCH($T268&amp;"*",MUSTERILER!$T$7:$T$106,0)),"TANIMSIZ MÜŞTERİ"))))</f>
        <v/>
      </c>
      <c r="C268" s="109" t="n"/>
      <c r="D268" s="220" t="n"/>
      <c r="E268" s="220" t="n"/>
      <c r="F268" s="108" t="n"/>
      <c r="G268" s="221" t="n"/>
      <c r="H268" s="108" t="n"/>
      <c r="I268" s="222">
        <f>IF(OR($C268="",$D268="",$G268="",$F268=""),0,$G268*IF($F268="Aylık",MAX(0,(YEAR(MIN(IF($E268="",TODAY(),$E268),TODAY()))-YEAR($D268))*12+MONTH(MIN(IF($E268="",TODAY(),$E268),TODAY()))-MONTH($D268)+IF(MIN(IF($E268="",TODAY(),$E268),TODAY())&gt;=EOMONTH(MIN(IF($E268="",TODAY(),$E268),TODAY()),0),1,0)),MAX(0,INT((MIN(IF($E268="",TODAY(),$E268),TODAY())-($D268+MOD(SISTEM!$F$8-WEEKDAY($D268,2),7)))/7)+1)))</f>
        <v/>
      </c>
      <c r="J268" s="222">
        <f>IF(OR($C268="",$D268="",$G268="",$F268=""),0,$G268*IF($F268="Aylık",MAX(0,(YEAR(MIN(IF($E268="",TODAY()-8,$E268),TODAY()-8))-YEAR($D268))*12+MONTH(MIN(IF($E268="",TODAY()-8,$E268),TODAY()-8))-MONTH($D268)+IF(MIN(IF($E268="",TODAY()-8,$E268),TODAY()-8)&gt;=EOMONTH(MIN(IF($E268="",TODAY()-8,$E268),TODAY()-8),0),1,0)),MAX(0,INT((MIN(IF($E268="",TODAY()-8,$E268),TODAY()-8)-($D268+MOD(SISTEM!$F$8-WEEKDAY($D268,2),7)))/7)+1)))</f>
        <v/>
      </c>
      <c r="K268" s="222">
        <f>IF(OR($C268="",$D268="",$G268="",$F268=""),0,$G268*IF($F268="Aylık",MAX(0,(YEAR(MIN(IF($E268="",TODAY()-15,$E268),TODAY()-15))-YEAR($D268))*12+MONTH(MIN(IF($E268="",TODAY()-15,$E268),TODAY()-15))-MONTH($D268)+IF(MIN(IF($E268="",TODAY()-15,$E268),TODAY()-15)&gt;=EOMONTH(MIN(IF($E268="",TODAY()-15,$E268),TODAY()-15),0),1,0)),MAX(0,INT((MIN(IF($E268="",TODAY()-15,$E268),TODAY()-15)-($D268+MOD(SISTEM!$F$8-WEEKDAY($D268,2),7)))/7)+1)))</f>
        <v/>
      </c>
      <c r="L268" s="222">
        <f>IF(OR($C268="",$D268="",$G268="",$F268=""),0,$G268*IF($F268="Aylık",MAX(0,(YEAR(MIN(IF($E268="",TODAY()-29,$E268),TODAY()-29))-YEAR($D268))*12+MONTH(MIN(IF($E268="",TODAY()-29,$E268),TODAY()-29))-MONTH($D268)+IF(MIN(IF($E268="",TODAY()-29,$E268),TODAY()-29)&gt;=EOMONTH(MIN(IF($E268="",TODAY()-29,$E268),TODAY()-29),0),1,0)),MAX(0,INT((MIN(IF($E268="",TODAY()-29,$E268),TODAY()-29)-($D268+MOD(SISTEM!$F$8-WEEKDAY($D268,2),7)))/7)+1)))</f>
        <v/>
      </c>
      <c r="M268" s="223">
        <f>IF($G268&gt;0,$I268/$G268,0)</f>
        <v/>
      </c>
      <c r="N268" s="113">
        <f>IF($C268="","",IF($B268="TANIMSIZ MÜŞTERİ","TANIMSIZ MÜŞTERİ",IF($F268="","MODEL SEÇİN",IF(OR($D268="",$G268&lt;=0),"EKSİK",IF(AND($E268&lt;&gt;"",$E268&lt;$D268),"TARİH HATASI",IF($H268="Pasif","KAPALI DÖNEM","UYGUN"))))))</f>
        <v/>
      </c>
      <c r="O268" s="224">
        <f>IF(OR($C268="",$D268="",$F268=""),"",IF($F268="Aylık",EOMONTH($D268,0),($D268+MOD(SISTEM!$F$8-WEEKDAY($D268,2),7))))</f>
        <v/>
      </c>
      <c r="P268" s="109" t="n"/>
      <c r="Q268" s="6" t="n"/>
      <c r="R268" s="6" t="n"/>
      <c r="S268" s="3">
        <f>IF($B268="","",$B268&amp;"|"&amp;COUNTIFS($B$7:$B268,$B268))</f>
        <v/>
      </c>
      <c r="T268" s="3">
        <f>IF($C268="","",UPPER(SUBSTITUTE(SUBSTITUTE(SUBSTITUTE(SUBSTITUTE(SUBSTITUTE(SUBSTITUTE(SUBSTITUTE(SUBSTITUTE(SUBSTITUTE(SUBSTITUTE(SUBSTITUTE(SUBSTITUTE(SUBSTITUTE(SUBSTITUTE(SUBSTITUTE(SUBSTITUTE(SUBSTITUTE(SUBSTITUTE(TRIM($C268),"'",""),"İ","I"),"ı","I"),"i","I"),"Ş","S"),"ş","S"),"Ğ","G"),"ğ","G"),"Ü","U"),"ü","U"),"Ö","O"),"ö","O"),"Ç","C"),"ç","C"),".",""),",","")," ",""),"-","")))</f>
        <v/>
      </c>
    </row>
    <row r="269">
      <c r="A269" s="6" t="n"/>
      <c r="B269" s="113">
        <f>IF($C269="","",IFERROR(INDEX(MUSTERILER!$B$7:$B$106,MATCH($T269,MUSTERILER!$T$7:$T$106,0)),IFERROR(INDEX(MUSTERILER!$B$7:$B$106,MATCH($C269,MUSTERILER!$B$7:$B$106,0)),IFERROR(INDEX(MUSTERILER!$B$7:$B$106,MATCH($T269&amp;"*",MUSTERILER!$T$7:$T$106,0)),"TANIMSIZ MÜŞTERİ"))))</f>
        <v/>
      </c>
      <c r="C269" s="109" t="n"/>
      <c r="D269" s="220" t="n"/>
      <c r="E269" s="220" t="n"/>
      <c r="F269" s="108" t="n"/>
      <c r="G269" s="221" t="n"/>
      <c r="H269" s="108" t="n"/>
      <c r="I269" s="222">
        <f>IF(OR($C269="",$D269="",$G269="",$F269=""),0,$G269*IF($F269="Aylık",MAX(0,(YEAR(MIN(IF($E269="",TODAY(),$E269),TODAY()))-YEAR($D269))*12+MONTH(MIN(IF($E269="",TODAY(),$E269),TODAY()))-MONTH($D269)+IF(MIN(IF($E269="",TODAY(),$E269),TODAY())&gt;=EOMONTH(MIN(IF($E269="",TODAY(),$E269),TODAY()),0),1,0)),MAX(0,INT((MIN(IF($E269="",TODAY(),$E269),TODAY())-($D269+MOD(SISTEM!$F$8-WEEKDAY($D269,2),7)))/7)+1)))</f>
        <v/>
      </c>
      <c r="J269" s="222">
        <f>IF(OR($C269="",$D269="",$G269="",$F269=""),0,$G269*IF($F269="Aylık",MAX(0,(YEAR(MIN(IF($E269="",TODAY()-8,$E269),TODAY()-8))-YEAR($D269))*12+MONTH(MIN(IF($E269="",TODAY()-8,$E269),TODAY()-8))-MONTH($D269)+IF(MIN(IF($E269="",TODAY()-8,$E269),TODAY()-8)&gt;=EOMONTH(MIN(IF($E269="",TODAY()-8,$E269),TODAY()-8),0),1,0)),MAX(0,INT((MIN(IF($E269="",TODAY()-8,$E269),TODAY()-8)-($D269+MOD(SISTEM!$F$8-WEEKDAY($D269,2),7)))/7)+1)))</f>
        <v/>
      </c>
      <c r="K269" s="222">
        <f>IF(OR($C269="",$D269="",$G269="",$F269=""),0,$G269*IF($F269="Aylık",MAX(0,(YEAR(MIN(IF($E269="",TODAY()-15,$E269),TODAY()-15))-YEAR($D269))*12+MONTH(MIN(IF($E269="",TODAY()-15,$E269),TODAY()-15))-MONTH($D269)+IF(MIN(IF($E269="",TODAY()-15,$E269),TODAY()-15)&gt;=EOMONTH(MIN(IF($E269="",TODAY()-15,$E269),TODAY()-15),0),1,0)),MAX(0,INT((MIN(IF($E269="",TODAY()-15,$E269),TODAY()-15)-($D269+MOD(SISTEM!$F$8-WEEKDAY($D269,2),7)))/7)+1)))</f>
        <v/>
      </c>
      <c r="L269" s="222">
        <f>IF(OR($C269="",$D269="",$G269="",$F269=""),0,$G269*IF($F269="Aylık",MAX(0,(YEAR(MIN(IF($E269="",TODAY()-29,$E269),TODAY()-29))-YEAR($D269))*12+MONTH(MIN(IF($E269="",TODAY()-29,$E269),TODAY()-29))-MONTH($D269)+IF(MIN(IF($E269="",TODAY()-29,$E269),TODAY()-29)&gt;=EOMONTH(MIN(IF($E269="",TODAY()-29,$E269),TODAY()-29),0),1,0)),MAX(0,INT((MIN(IF($E269="",TODAY()-29,$E269),TODAY()-29)-($D269+MOD(SISTEM!$F$8-WEEKDAY($D269,2),7)))/7)+1)))</f>
        <v/>
      </c>
      <c r="M269" s="223">
        <f>IF($G269&gt;0,$I269/$G269,0)</f>
        <v/>
      </c>
      <c r="N269" s="113">
        <f>IF($C269="","",IF($B269="TANIMSIZ MÜŞTERİ","TANIMSIZ MÜŞTERİ",IF($F269="","MODEL SEÇİN",IF(OR($D269="",$G269&lt;=0),"EKSİK",IF(AND($E269&lt;&gt;"",$E269&lt;$D269),"TARİH HATASI",IF($H269="Pasif","KAPALI DÖNEM","UYGUN"))))))</f>
        <v/>
      </c>
      <c r="O269" s="224">
        <f>IF(OR($C269="",$D269="",$F269=""),"",IF($F269="Aylık",EOMONTH($D269,0),($D269+MOD(SISTEM!$F$8-WEEKDAY($D269,2),7))))</f>
        <v/>
      </c>
      <c r="P269" s="109" t="n"/>
      <c r="Q269" s="6" t="n"/>
      <c r="R269" s="6" t="n"/>
      <c r="S269" s="3">
        <f>IF($B269="","",$B269&amp;"|"&amp;COUNTIFS($B$7:$B269,$B269))</f>
        <v/>
      </c>
      <c r="T269" s="3">
        <f>IF($C269="","",UPPER(SUBSTITUTE(SUBSTITUTE(SUBSTITUTE(SUBSTITUTE(SUBSTITUTE(SUBSTITUTE(SUBSTITUTE(SUBSTITUTE(SUBSTITUTE(SUBSTITUTE(SUBSTITUTE(SUBSTITUTE(SUBSTITUTE(SUBSTITUTE(SUBSTITUTE(SUBSTITUTE(SUBSTITUTE(SUBSTITUTE(TRIM($C269),"'",""),"İ","I"),"ı","I"),"i","I"),"Ş","S"),"ş","S"),"Ğ","G"),"ğ","G"),"Ü","U"),"ü","U"),"Ö","O"),"ö","O"),"Ç","C"),"ç","C"),".",""),",","")," ",""),"-","")))</f>
        <v/>
      </c>
    </row>
    <row r="270">
      <c r="A270" s="6" t="n"/>
      <c r="B270" s="113">
        <f>IF($C270="","",IFERROR(INDEX(MUSTERILER!$B$7:$B$106,MATCH($T270,MUSTERILER!$T$7:$T$106,0)),IFERROR(INDEX(MUSTERILER!$B$7:$B$106,MATCH($C270,MUSTERILER!$B$7:$B$106,0)),IFERROR(INDEX(MUSTERILER!$B$7:$B$106,MATCH($T270&amp;"*",MUSTERILER!$T$7:$T$106,0)),"TANIMSIZ MÜŞTERİ"))))</f>
        <v/>
      </c>
      <c r="C270" s="109" t="n"/>
      <c r="D270" s="220" t="n"/>
      <c r="E270" s="220" t="n"/>
      <c r="F270" s="108" t="n"/>
      <c r="G270" s="221" t="n"/>
      <c r="H270" s="108" t="n"/>
      <c r="I270" s="222">
        <f>IF(OR($C270="",$D270="",$G270="",$F270=""),0,$G270*IF($F270="Aylık",MAX(0,(YEAR(MIN(IF($E270="",TODAY(),$E270),TODAY()))-YEAR($D270))*12+MONTH(MIN(IF($E270="",TODAY(),$E270),TODAY()))-MONTH($D270)+IF(MIN(IF($E270="",TODAY(),$E270),TODAY())&gt;=EOMONTH(MIN(IF($E270="",TODAY(),$E270),TODAY()),0),1,0)),MAX(0,INT((MIN(IF($E270="",TODAY(),$E270),TODAY())-($D270+MOD(SISTEM!$F$8-WEEKDAY($D270,2),7)))/7)+1)))</f>
        <v/>
      </c>
      <c r="J270" s="222">
        <f>IF(OR($C270="",$D270="",$G270="",$F270=""),0,$G270*IF($F270="Aylık",MAX(0,(YEAR(MIN(IF($E270="",TODAY()-8,$E270),TODAY()-8))-YEAR($D270))*12+MONTH(MIN(IF($E270="",TODAY()-8,$E270),TODAY()-8))-MONTH($D270)+IF(MIN(IF($E270="",TODAY()-8,$E270),TODAY()-8)&gt;=EOMONTH(MIN(IF($E270="",TODAY()-8,$E270),TODAY()-8),0),1,0)),MAX(0,INT((MIN(IF($E270="",TODAY()-8,$E270),TODAY()-8)-($D270+MOD(SISTEM!$F$8-WEEKDAY($D270,2),7)))/7)+1)))</f>
        <v/>
      </c>
      <c r="K270" s="222">
        <f>IF(OR($C270="",$D270="",$G270="",$F270=""),0,$G270*IF($F270="Aylık",MAX(0,(YEAR(MIN(IF($E270="",TODAY()-15,$E270),TODAY()-15))-YEAR($D270))*12+MONTH(MIN(IF($E270="",TODAY()-15,$E270),TODAY()-15))-MONTH($D270)+IF(MIN(IF($E270="",TODAY()-15,$E270),TODAY()-15)&gt;=EOMONTH(MIN(IF($E270="",TODAY()-15,$E270),TODAY()-15),0),1,0)),MAX(0,INT((MIN(IF($E270="",TODAY()-15,$E270),TODAY()-15)-($D270+MOD(SISTEM!$F$8-WEEKDAY($D270,2),7)))/7)+1)))</f>
        <v/>
      </c>
      <c r="L270" s="222">
        <f>IF(OR($C270="",$D270="",$G270="",$F270=""),0,$G270*IF($F270="Aylık",MAX(0,(YEAR(MIN(IF($E270="",TODAY()-29,$E270),TODAY()-29))-YEAR($D270))*12+MONTH(MIN(IF($E270="",TODAY()-29,$E270),TODAY()-29))-MONTH($D270)+IF(MIN(IF($E270="",TODAY()-29,$E270),TODAY()-29)&gt;=EOMONTH(MIN(IF($E270="",TODAY()-29,$E270),TODAY()-29),0),1,0)),MAX(0,INT((MIN(IF($E270="",TODAY()-29,$E270),TODAY()-29)-($D270+MOD(SISTEM!$F$8-WEEKDAY($D270,2),7)))/7)+1)))</f>
        <v/>
      </c>
      <c r="M270" s="223">
        <f>IF($G270&gt;0,$I270/$G270,0)</f>
        <v/>
      </c>
      <c r="N270" s="113">
        <f>IF($C270="","",IF($B270="TANIMSIZ MÜŞTERİ","TANIMSIZ MÜŞTERİ",IF($F270="","MODEL SEÇİN",IF(OR($D270="",$G270&lt;=0),"EKSİK",IF(AND($E270&lt;&gt;"",$E270&lt;$D270),"TARİH HATASI",IF($H270="Pasif","KAPALI DÖNEM","UYGUN"))))))</f>
        <v/>
      </c>
      <c r="O270" s="224">
        <f>IF(OR($C270="",$D270="",$F270=""),"",IF($F270="Aylık",EOMONTH($D270,0),($D270+MOD(SISTEM!$F$8-WEEKDAY($D270,2),7))))</f>
        <v/>
      </c>
      <c r="P270" s="109" t="n"/>
      <c r="Q270" s="6" t="n"/>
      <c r="R270" s="6" t="n"/>
      <c r="S270" s="3">
        <f>IF($B270="","",$B270&amp;"|"&amp;COUNTIFS($B$7:$B270,$B270))</f>
        <v/>
      </c>
      <c r="T270" s="3">
        <f>IF($C270="","",UPPER(SUBSTITUTE(SUBSTITUTE(SUBSTITUTE(SUBSTITUTE(SUBSTITUTE(SUBSTITUTE(SUBSTITUTE(SUBSTITUTE(SUBSTITUTE(SUBSTITUTE(SUBSTITUTE(SUBSTITUTE(SUBSTITUTE(SUBSTITUTE(SUBSTITUTE(SUBSTITUTE(SUBSTITUTE(SUBSTITUTE(TRIM($C270),"'",""),"İ","I"),"ı","I"),"i","I"),"Ş","S"),"ş","S"),"Ğ","G"),"ğ","G"),"Ü","U"),"ü","U"),"Ö","O"),"ö","O"),"Ç","C"),"ç","C"),".",""),",","")," ",""),"-","")))</f>
        <v/>
      </c>
    </row>
    <row r="271">
      <c r="A271" s="6" t="n"/>
      <c r="B271" s="113">
        <f>IF($C271="","",IFERROR(INDEX(MUSTERILER!$B$7:$B$106,MATCH($T271,MUSTERILER!$T$7:$T$106,0)),IFERROR(INDEX(MUSTERILER!$B$7:$B$106,MATCH($C271,MUSTERILER!$B$7:$B$106,0)),IFERROR(INDEX(MUSTERILER!$B$7:$B$106,MATCH($T271&amp;"*",MUSTERILER!$T$7:$T$106,0)),"TANIMSIZ MÜŞTERİ"))))</f>
        <v/>
      </c>
      <c r="C271" s="109" t="n"/>
      <c r="D271" s="220" t="n"/>
      <c r="E271" s="220" t="n"/>
      <c r="F271" s="108" t="n"/>
      <c r="G271" s="221" t="n"/>
      <c r="H271" s="108" t="n"/>
      <c r="I271" s="222">
        <f>IF(OR($C271="",$D271="",$G271="",$F271=""),0,$G271*IF($F271="Aylık",MAX(0,(YEAR(MIN(IF($E271="",TODAY(),$E271),TODAY()))-YEAR($D271))*12+MONTH(MIN(IF($E271="",TODAY(),$E271),TODAY()))-MONTH($D271)+IF(MIN(IF($E271="",TODAY(),$E271),TODAY())&gt;=EOMONTH(MIN(IF($E271="",TODAY(),$E271),TODAY()),0),1,0)),MAX(0,INT((MIN(IF($E271="",TODAY(),$E271),TODAY())-($D271+MOD(SISTEM!$F$8-WEEKDAY($D271,2),7)))/7)+1)))</f>
        <v/>
      </c>
      <c r="J271" s="222">
        <f>IF(OR($C271="",$D271="",$G271="",$F271=""),0,$G271*IF($F271="Aylık",MAX(0,(YEAR(MIN(IF($E271="",TODAY()-8,$E271),TODAY()-8))-YEAR($D271))*12+MONTH(MIN(IF($E271="",TODAY()-8,$E271),TODAY()-8))-MONTH($D271)+IF(MIN(IF($E271="",TODAY()-8,$E271),TODAY()-8)&gt;=EOMONTH(MIN(IF($E271="",TODAY()-8,$E271),TODAY()-8),0),1,0)),MAX(0,INT((MIN(IF($E271="",TODAY()-8,$E271),TODAY()-8)-($D271+MOD(SISTEM!$F$8-WEEKDAY($D271,2),7)))/7)+1)))</f>
        <v/>
      </c>
      <c r="K271" s="222">
        <f>IF(OR($C271="",$D271="",$G271="",$F271=""),0,$G271*IF($F271="Aylık",MAX(0,(YEAR(MIN(IF($E271="",TODAY()-15,$E271),TODAY()-15))-YEAR($D271))*12+MONTH(MIN(IF($E271="",TODAY()-15,$E271),TODAY()-15))-MONTH($D271)+IF(MIN(IF($E271="",TODAY()-15,$E271),TODAY()-15)&gt;=EOMONTH(MIN(IF($E271="",TODAY()-15,$E271),TODAY()-15),0),1,0)),MAX(0,INT((MIN(IF($E271="",TODAY()-15,$E271),TODAY()-15)-($D271+MOD(SISTEM!$F$8-WEEKDAY($D271,2),7)))/7)+1)))</f>
        <v/>
      </c>
      <c r="L271" s="222">
        <f>IF(OR($C271="",$D271="",$G271="",$F271=""),0,$G271*IF($F271="Aylık",MAX(0,(YEAR(MIN(IF($E271="",TODAY()-29,$E271),TODAY()-29))-YEAR($D271))*12+MONTH(MIN(IF($E271="",TODAY()-29,$E271),TODAY()-29))-MONTH($D271)+IF(MIN(IF($E271="",TODAY()-29,$E271),TODAY()-29)&gt;=EOMONTH(MIN(IF($E271="",TODAY()-29,$E271),TODAY()-29),0),1,0)),MAX(0,INT((MIN(IF($E271="",TODAY()-29,$E271),TODAY()-29)-($D271+MOD(SISTEM!$F$8-WEEKDAY($D271,2),7)))/7)+1)))</f>
        <v/>
      </c>
      <c r="M271" s="223">
        <f>IF($G271&gt;0,$I271/$G271,0)</f>
        <v/>
      </c>
      <c r="N271" s="113">
        <f>IF($C271="","",IF($B271="TANIMSIZ MÜŞTERİ","TANIMSIZ MÜŞTERİ",IF($F271="","MODEL SEÇİN",IF(OR($D271="",$G271&lt;=0),"EKSİK",IF(AND($E271&lt;&gt;"",$E271&lt;$D271),"TARİH HATASI",IF($H271="Pasif","KAPALI DÖNEM","UYGUN"))))))</f>
        <v/>
      </c>
      <c r="O271" s="224">
        <f>IF(OR($C271="",$D271="",$F271=""),"",IF($F271="Aylık",EOMONTH($D271,0),($D271+MOD(SISTEM!$F$8-WEEKDAY($D271,2),7))))</f>
        <v/>
      </c>
      <c r="P271" s="109" t="n"/>
      <c r="Q271" s="6" t="n"/>
      <c r="R271" s="6" t="n"/>
      <c r="S271" s="3">
        <f>IF($B271="","",$B271&amp;"|"&amp;COUNTIFS($B$7:$B271,$B271))</f>
        <v/>
      </c>
      <c r="T271" s="3">
        <f>IF($C271="","",UPPER(SUBSTITUTE(SUBSTITUTE(SUBSTITUTE(SUBSTITUTE(SUBSTITUTE(SUBSTITUTE(SUBSTITUTE(SUBSTITUTE(SUBSTITUTE(SUBSTITUTE(SUBSTITUTE(SUBSTITUTE(SUBSTITUTE(SUBSTITUTE(SUBSTITUTE(SUBSTITUTE(SUBSTITUTE(SUBSTITUTE(TRIM($C271),"'",""),"İ","I"),"ı","I"),"i","I"),"Ş","S"),"ş","S"),"Ğ","G"),"ğ","G"),"Ü","U"),"ü","U"),"Ö","O"),"ö","O"),"Ç","C"),"ç","C"),".",""),",","")," ",""),"-","")))</f>
        <v/>
      </c>
    </row>
    <row r="272">
      <c r="A272" s="6" t="n"/>
      <c r="B272" s="113">
        <f>IF($C272="","",IFERROR(INDEX(MUSTERILER!$B$7:$B$106,MATCH($T272,MUSTERILER!$T$7:$T$106,0)),IFERROR(INDEX(MUSTERILER!$B$7:$B$106,MATCH($C272,MUSTERILER!$B$7:$B$106,0)),IFERROR(INDEX(MUSTERILER!$B$7:$B$106,MATCH($T272&amp;"*",MUSTERILER!$T$7:$T$106,0)),"TANIMSIZ MÜŞTERİ"))))</f>
        <v/>
      </c>
      <c r="C272" s="109" t="n"/>
      <c r="D272" s="220" t="n"/>
      <c r="E272" s="220" t="n"/>
      <c r="F272" s="108" t="n"/>
      <c r="G272" s="221" t="n"/>
      <c r="H272" s="108" t="n"/>
      <c r="I272" s="222">
        <f>IF(OR($C272="",$D272="",$G272="",$F272=""),0,$G272*IF($F272="Aylık",MAX(0,(YEAR(MIN(IF($E272="",TODAY(),$E272),TODAY()))-YEAR($D272))*12+MONTH(MIN(IF($E272="",TODAY(),$E272),TODAY()))-MONTH($D272)+IF(MIN(IF($E272="",TODAY(),$E272),TODAY())&gt;=EOMONTH(MIN(IF($E272="",TODAY(),$E272),TODAY()),0),1,0)),MAX(0,INT((MIN(IF($E272="",TODAY(),$E272),TODAY())-($D272+MOD(SISTEM!$F$8-WEEKDAY($D272,2),7)))/7)+1)))</f>
        <v/>
      </c>
      <c r="J272" s="222">
        <f>IF(OR($C272="",$D272="",$G272="",$F272=""),0,$G272*IF($F272="Aylık",MAX(0,(YEAR(MIN(IF($E272="",TODAY()-8,$E272),TODAY()-8))-YEAR($D272))*12+MONTH(MIN(IF($E272="",TODAY()-8,$E272),TODAY()-8))-MONTH($D272)+IF(MIN(IF($E272="",TODAY()-8,$E272),TODAY()-8)&gt;=EOMONTH(MIN(IF($E272="",TODAY()-8,$E272),TODAY()-8),0),1,0)),MAX(0,INT((MIN(IF($E272="",TODAY()-8,$E272),TODAY()-8)-($D272+MOD(SISTEM!$F$8-WEEKDAY($D272,2),7)))/7)+1)))</f>
        <v/>
      </c>
      <c r="K272" s="222">
        <f>IF(OR($C272="",$D272="",$G272="",$F272=""),0,$G272*IF($F272="Aylık",MAX(0,(YEAR(MIN(IF($E272="",TODAY()-15,$E272),TODAY()-15))-YEAR($D272))*12+MONTH(MIN(IF($E272="",TODAY()-15,$E272),TODAY()-15))-MONTH($D272)+IF(MIN(IF($E272="",TODAY()-15,$E272),TODAY()-15)&gt;=EOMONTH(MIN(IF($E272="",TODAY()-15,$E272),TODAY()-15),0),1,0)),MAX(0,INT((MIN(IF($E272="",TODAY()-15,$E272),TODAY()-15)-($D272+MOD(SISTEM!$F$8-WEEKDAY($D272,2),7)))/7)+1)))</f>
        <v/>
      </c>
      <c r="L272" s="222">
        <f>IF(OR($C272="",$D272="",$G272="",$F272=""),0,$G272*IF($F272="Aylık",MAX(0,(YEAR(MIN(IF($E272="",TODAY()-29,$E272),TODAY()-29))-YEAR($D272))*12+MONTH(MIN(IF($E272="",TODAY()-29,$E272),TODAY()-29))-MONTH($D272)+IF(MIN(IF($E272="",TODAY()-29,$E272),TODAY()-29)&gt;=EOMONTH(MIN(IF($E272="",TODAY()-29,$E272),TODAY()-29),0),1,0)),MAX(0,INT((MIN(IF($E272="",TODAY()-29,$E272),TODAY()-29)-($D272+MOD(SISTEM!$F$8-WEEKDAY($D272,2),7)))/7)+1)))</f>
        <v/>
      </c>
      <c r="M272" s="223">
        <f>IF($G272&gt;0,$I272/$G272,0)</f>
        <v/>
      </c>
      <c r="N272" s="113">
        <f>IF($C272="","",IF($B272="TANIMSIZ MÜŞTERİ","TANIMSIZ MÜŞTERİ",IF($F272="","MODEL SEÇİN",IF(OR($D272="",$G272&lt;=0),"EKSİK",IF(AND($E272&lt;&gt;"",$E272&lt;$D272),"TARİH HATASI",IF($H272="Pasif","KAPALI DÖNEM","UYGUN"))))))</f>
        <v/>
      </c>
      <c r="O272" s="224">
        <f>IF(OR($C272="",$D272="",$F272=""),"",IF($F272="Aylık",EOMONTH($D272,0),($D272+MOD(SISTEM!$F$8-WEEKDAY($D272,2),7))))</f>
        <v/>
      </c>
      <c r="P272" s="109" t="n"/>
      <c r="Q272" s="6" t="n"/>
      <c r="R272" s="6" t="n"/>
      <c r="S272" s="3">
        <f>IF($B272="","",$B272&amp;"|"&amp;COUNTIFS($B$7:$B272,$B272))</f>
        <v/>
      </c>
      <c r="T272" s="3">
        <f>IF($C272="","",UPPER(SUBSTITUTE(SUBSTITUTE(SUBSTITUTE(SUBSTITUTE(SUBSTITUTE(SUBSTITUTE(SUBSTITUTE(SUBSTITUTE(SUBSTITUTE(SUBSTITUTE(SUBSTITUTE(SUBSTITUTE(SUBSTITUTE(SUBSTITUTE(SUBSTITUTE(SUBSTITUTE(SUBSTITUTE(SUBSTITUTE(TRIM($C272),"'",""),"İ","I"),"ı","I"),"i","I"),"Ş","S"),"ş","S"),"Ğ","G"),"ğ","G"),"Ü","U"),"ü","U"),"Ö","O"),"ö","O"),"Ç","C"),"ç","C"),".",""),",","")," ",""),"-","")))</f>
        <v/>
      </c>
    </row>
    <row r="273">
      <c r="A273" s="6" t="n"/>
      <c r="B273" s="113">
        <f>IF($C273="","",IFERROR(INDEX(MUSTERILER!$B$7:$B$106,MATCH($T273,MUSTERILER!$T$7:$T$106,0)),IFERROR(INDEX(MUSTERILER!$B$7:$B$106,MATCH($C273,MUSTERILER!$B$7:$B$106,0)),IFERROR(INDEX(MUSTERILER!$B$7:$B$106,MATCH($T273&amp;"*",MUSTERILER!$T$7:$T$106,0)),"TANIMSIZ MÜŞTERİ"))))</f>
        <v/>
      </c>
      <c r="C273" s="109" t="n"/>
      <c r="D273" s="220" t="n"/>
      <c r="E273" s="220" t="n"/>
      <c r="F273" s="108" t="n"/>
      <c r="G273" s="221" t="n"/>
      <c r="H273" s="108" t="n"/>
      <c r="I273" s="222">
        <f>IF(OR($C273="",$D273="",$G273="",$F273=""),0,$G273*IF($F273="Aylık",MAX(0,(YEAR(MIN(IF($E273="",TODAY(),$E273),TODAY()))-YEAR($D273))*12+MONTH(MIN(IF($E273="",TODAY(),$E273),TODAY()))-MONTH($D273)+IF(MIN(IF($E273="",TODAY(),$E273),TODAY())&gt;=EOMONTH(MIN(IF($E273="",TODAY(),$E273),TODAY()),0),1,0)),MAX(0,INT((MIN(IF($E273="",TODAY(),$E273),TODAY())-($D273+MOD(SISTEM!$F$8-WEEKDAY($D273,2),7)))/7)+1)))</f>
        <v/>
      </c>
      <c r="J273" s="222">
        <f>IF(OR($C273="",$D273="",$G273="",$F273=""),0,$G273*IF($F273="Aylık",MAX(0,(YEAR(MIN(IF($E273="",TODAY()-8,$E273),TODAY()-8))-YEAR($D273))*12+MONTH(MIN(IF($E273="",TODAY()-8,$E273),TODAY()-8))-MONTH($D273)+IF(MIN(IF($E273="",TODAY()-8,$E273),TODAY()-8)&gt;=EOMONTH(MIN(IF($E273="",TODAY()-8,$E273),TODAY()-8),0),1,0)),MAX(0,INT((MIN(IF($E273="",TODAY()-8,$E273),TODAY()-8)-($D273+MOD(SISTEM!$F$8-WEEKDAY($D273,2),7)))/7)+1)))</f>
        <v/>
      </c>
      <c r="K273" s="222">
        <f>IF(OR($C273="",$D273="",$G273="",$F273=""),0,$G273*IF($F273="Aylık",MAX(0,(YEAR(MIN(IF($E273="",TODAY()-15,$E273),TODAY()-15))-YEAR($D273))*12+MONTH(MIN(IF($E273="",TODAY()-15,$E273),TODAY()-15))-MONTH($D273)+IF(MIN(IF($E273="",TODAY()-15,$E273),TODAY()-15)&gt;=EOMONTH(MIN(IF($E273="",TODAY()-15,$E273),TODAY()-15),0),1,0)),MAX(0,INT((MIN(IF($E273="",TODAY()-15,$E273),TODAY()-15)-($D273+MOD(SISTEM!$F$8-WEEKDAY($D273,2),7)))/7)+1)))</f>
        <v/>
      </c>
      <c r="L273" s="222">
        <f>IF(OR($C273="",$D273="",$G273="",$F273=""),0,$G273*IF($F273="Aylık",MAX(0,(YEAR(MIN(IF($E273="",TODAY()-29,$E273),TODAY()-29))-YEAR($D273))*12+MONTH(MIN(IF($E273="",TODAY()-29,$E273),TODAY()-29))-MONTH($D273)+IF(MIN(IF($E273="",TODAY()-29,$E273),TODAY()-29)&gt;=EOMONTH(MIN(IF($E273="",TODAY()-29,$E273),TODAY()-29),0),1,0)),MAX(0,INT((MIN(IF($E273="",TODAY()-29,$E273),TODAY()-29)-($D273+MOD(SISTEM!$F$8-WEEKDAY($D273,2),7)))/7)+1)))</f>
        <v/>
      </c>
      <c r="M273" s="223">
        <f>IF($G273&gt;0,$I273/$G273,0)</f>
        <v/>
      </c>
      <c r="N273" s="113">
        <f>IF($C273="","",IF($B273="TANIMSIZ MÜŞTERİ","TANIMSIZ MÜŞTERİ",IF($F273="","MODEL SEÇİN",IF(OR($D273="",$G273&lt;=0),"EKSİK",IF(AND($E273&lt;&gt;"",$E273&lt;$D273),"TARİH HATASI",IF($H273="Pasif","KAPALI DÖNEM","UYGUN"))))))</f>
        <v/>
      </c>
      <c r="O273" s="224">
        <f>IF(OR($C273="",$D273="",$F273=""),"",IF($F273="Aylık",EOMONTH($D273,0),($D273+MOD(SISTEM!$F$8-WEEKDAY($D273,2),7))))</f>
        <v/>
      </c>
      <c r="P273" s="109" t="n"/>
      <c r="Q273" s="6" t="n"/>
      <c r="R273" s="6" t="n"/>
      <c r="S273" s="3">
        <f>IF($B273="","",$B273&amp;"|"&amp;COUNTIFS($B$7:$B273,$B273))</f>
        <v/>
      </c>
      <c r="T273" s="3">
        <f>IF($C273="","",UPPER(SUBSTITUTE(SUBSTITUTE(SUBSTITUTE(SUBSTITUTE(SUBSTITUTE(SUBSTITUTE(SUBSTITUTE(SUBSTITUTE(SUBSTITUTE(SUBSTITUTE(SUBSTITUTE(SUBSTITUTE(SUBSTITUTE(SUBSTITUTE(SUBSTITUTE(SUBSTITUTE(SUBSTITUTE(SUBSTITUTE(TRIM($C273),"'",""),"İ","I"),"ı","I"),"i","I"),"Ş","S"),"ş","S"),"Ğ","G"),"ğ","G"),"Ü","U"),"ü","U"),"Ö","O"),"ö","O"),"Ç","C"),"ç","C"),".",""),",","")," ",""),"-","")))</f>
        <v/>
      </c>
    </row>
    <row r="274">
      <c r="A274" s="6" t="n"/>
      <c r="B274" s="113">
        <f>IF($C274="","",IFERROR(INDEX(MUSTERILER!$B$7:$B$106,MATCH($T274,MUSTERILER!$T$7:$T$106,0)),IFERROR(INDEX(MUSTERILER!$B$7:$B$106,MATCH($C274,MUSTERILER!$B$7:$B$106,0)),IFERROR(INDEX(MUSTERILER!$B$7:$B$106,MATCH($T274&amp;"*",MUSTERILER!$T$7:$T$106,0)),"TANIMSIZ MÜŞTERİ"))))</f>
        <v/>
      </c>
      <c r="C274" s="109" t="n"/>
      <c r="D274" s="220" t="n"/>
      <c r="E274" s="220" t="n"/>
      <c r="F274" s="108" t="n"/>
      <c r="G274" s="221" t="n"/>
      <c r="H274" s="108" t="n"/>
      <c r="I274" s="222">
        <f>IF(OR($C274="",$D274="",$G274="",$F274=""),0,$G274*IF($F274="Aylık",MAX(0,(YEAR(MIN(IF($E274="",TODAY(),$E274),TODAY()))-YEAR($D274))*12+MONTH(MIN(IF($E274="",TODAY(),$E274),TODAY()))-MONTH($D274)+IF(MIN(IF($E274="",TODAY(),$E274),TODAY())&gt;=EOMONTH(MIN(IF($E274="",TODAY(),$E274),TODAY()),0),1,0)),MAX(0,INT((MIN(IF($E274="",TODAY(),$E274),TODAY())-($D274+MOD(SISTEM!$F$8-WEEKDAY($D274,2),7)))/7)+1)))</f>
        <v/>
      </c>
      <c r="J274" s="222">
        <f>IF(OR($C274="",$D274="",$G274="",$F274=""),0,$G274*IF($F274="Aylık",MAX(0,(YEAR(MIN(IF($E274="",TODAY()-8,$E274),TODAY()-8))-YEAR($D274))*12+MONTH(MIN(IF($E274="",TODAY()-8,$E274),TODAY()-8))-MONTH($D274)+IF(MIN(IF($E274="",TODAY()-8,$E274),TODAY()-8)&gt;=EOMONTH(MIN(IF($E274="",TODAY()-8,$E274),TODAY()-8),0),1,0)),MAX(0,INT((MIN(IF($E274="",TODAY()-8,$E274),TODAY()-8)-($D274+MOD(SISTEM!$F$8-WEEKDAY($D274,2),7)))/7)+1)))</f>
        <v/>
      </c>
      <c r="K274" s="222">
        <f>IF(OR($C274="",$D274="",$G274="",$F274=""),0,$G274*IF($F274="Aylık",MAX(0,(YEAR(MIN(IF($E274="",TODAY()-15,$E274),TODAY()-15))-YEAR($D274))*12+MONTH(MIN(IF($E274="",TODAY()-15,$E274),TODAY()-15))-MONTH($D274)+IF(MIN(IF($E274="",TODAY()-15,$E274),TODAY()-15)&gt;=EOMONTH(MIN(IF($E274="",TODAY()-15,$E274),TODAY()-15),0),1,0)),MAX(0,INT((MIN(IF($E274="",TODAY()-15,$E274),TODAY()-15)-($D274+MOD(SISTEM!$F$8-WEEKDAY($D274,2),7)))/7)+1)))</f>
        <v/>
      </c>
      <c r="L274" s="222">
        <f>IF(OR($C274="",$D274="",$G274="",$F274=""),0,$G274*IF($F274="Aylık",MAX(0,(YEAR(MIN(IF($E274="",TODAY()-29,$E274),TODAY()-29))-YEAR($D274))*12+MONTH(MIN(IF($E274="",TODAY()-29,$E274),TODAY()-29))-MONTH($D274)+IF(MIN(IF($E274="",TODAY()-29,$E274),TODAY()-29)&gt;=EOMONTH(MIN(IF($E274="",TODAY()-29,$E274),TODAY()-29),0),1,0)),MAX(0,INT((MIN(IF($E274="",TODAY()-29,$E274),TODAY()-29)-($D274+MOD(SISTEM!$F$8-WEEKDAY($D274,2),7)))/7)+1)))</f>
        <v/>
      </c>
      <c r="M274" s="223">
        <f>IF($G274&gt;0,$I274/$G274,0)</f>
        <v/>
      </c>
      <c r="N274" s="113">
        <f>IF($C274="","",IF($B274="TANIMSIZ MÜŞTERİ","TANIMSIZ MÜŞTERİ",IF($F274="","MODEL SEÇİN",IF(OR($D274="",$G274&lt;=0),"EKSİK",IF(AND($E274&lt;&gt;"",$E274&lt;$D274),"TARİH HATASI",IF($H274="Pasif","KAPALI DÖNEM","UYGUN"))))))</f>
        <v/>
      </c>
      <c r="O274" s="224">
        <f>IF(OR($C274="",$D274="",$F274=""),"",IF($F274="Aylık",EOMONTH($D274,0),($D274+MOD(SISTEM!$F$8-WEEKDAY($D274,2),7))))</f>
        <v/>
      </c>
      <c r="P274" s="109" t="n"/>
      <c r="Q274" s="6" t="n"/>
      <c r="R274" s="6" t="n"/>
      <c r="S274" s="3">
        <f>IF($B274="","",$B274&amp;"|"&amp;COUNTIFS($B$7:$B274,$B274))</f>
        <v/>
      </c>
      <c r="T274" s="3">
        <f>IF($C274="","",UPPER(SUBSTITUTE(SUBSTITUTE(SUBSTITUTE(SUBSTITUTE(SUBSTITUTE(SUBSTITUTE(SUBSTITUTE(SUBSTITUTE(SUBSTITUTE(SUBSTITUTE(SUBSTITUTE(SUBSTITUTE(SUBSTITUTE(SUBSTITUTE(SUBSTITUTE(SUBSTITUTE(SUBSTITUTE(SUBSTITUTE(TRIM($C274),"'",""),"İ","I"),"ı","I"),"i","I"),"Ş","S"),"ş","S"),"Ğ","G"),"ğ","G"),"Ü","U"),"ü","U"),"Ö","O"),"ö","O"),"Ç","C"),"ç","C"),".",""),",","")," ",""),"-","")))</f>
        <v/>
      </c>
    </row>
    <row r="275">
      <c r="A275" s="6" t="n"/>
      <c r="B275" s="113">
        <f>IF($C275="","",IFERROR(INDEX(MUSTERILER!$B$7:$B$106,MATCH($T275,MUSTERILER!$T$7:$T$106,0)),IFERROR(INDEX(MUSTERILER!$B$7:$B$106,MATCH($C275,MUSTERILER!$B$7:$B$106,0)),IFERROR(INDEX(MUSTERILER!$B$7:$B$106,MATCH($T275&amp;"*",MUSTERILER!$T$7:$T$106,0)),"TANIMSIZ MÜŞTERİ"))))</f>
        <v/>
      </c>
      <c r="C275" s="109" t="n"/>
      <c r="D275" s="220" t="n"/>
      <c r="E275" s="220" t="n"/>
      <c r="F275" s="108" t="n"/>
      <c r="G275" s="221" t="n"/>
      <c r="H275" s="108" t="n"/>
      <c r="I275" s="222">
        <f>IF(OR($C275="",$D275="",$G275="",$F275=""),0,$G275*IF($F275="Aylık",MAX(0,(YEAR(MIN(IF($E275="",TODAY(),$E275),TODAY()))-YEAR($D275))*12+MONTH(MIN(IF($E275="",TODAY(),$E275),TODAY()))-MONTH($D275)+IF(MIN(IF($E275="",TODAY(),$E275),TODAY())&gt;=EOMONTH(MIN(IF($E275="",TODAY(),$E275),TODAY()),0),1,0)),MAX(0,INT((MIN(IF($E275="",TODAY(),$E275),TODAY())-($D275+MOD(SISTEM!$F$8-WEEKDAY($D275,2),7)))/7)+1)))</f>
        <v/>
      </c>
      <c r="J275" s="222">
        <f>IF(OR($C275="",$D275="",$G275="",$F275=""),0,$G275*IF($F275="Aylık",MAX(0,(YEAR(MIN(IF($E275="",TODAY()-8,$E275),TODAY()-8))-YEAR($D275))*12+MONTH(MIN(IF($E275="",TODAY()-8,$E275),TODAY()-8))-MONTH($D275)+IF(MIN(IF($E275="",TODAY()-8,$E275),TODAY()-8)&gt;=EOMONTH(MIN(IF($E275="",TODAY()-8,$E275),TODAY()-8),0),1,0)),MAX(0,INT((MIN(IF($E275="",TODAY()-8,$E275),TODAY()-8)-($D275+MOD(SISTEM!$F$8-WEEKDAY($D275,2),7)))/7)+1)))</f>
        <v/>
      </c>
      <c r="K275" s="222">
        <f>IF(OR($C275="",$D275="",$G275="",$F275=""),0,$G275*IF($F275="Aylık",MAX(0,(YEAR(MIN(IF($E275="",TODAY()-15,$E275),TODAY()-15))-YEAR($D275))*12+MONTH(MIN(IF($E275="",TODAY()-15,$E275),TODAY()-15))-MONTH($D275)+IF(MIN(IF($E275="",TODAY()-15,$E275),TODAY()-15)&gt;=EOMONTH(MIN(IF($E275="",TODAY()-15,$E275),TODAY()-15),0),1,0)),MAX(0,INT((MIN(IF($E275="",TODAY()-15,$E275),TODAY()-15)-($D275+MOD(SISTEM!$F$8-WEEKDAY($D275,2),7)))/7)+1)))</f>
        <v/>
      </c>
      <c r="L275" s="222">
        <f>IF(OR($C275="",$D275="",$G275="",$F275=""),0,$G275*IF($F275="Aylık",MAX(0,(YEAR(MIN(IF($E275="",TODAY()-29,$E275),TODAY()-29))-YEAR($D275))*12+MONTH(MIN(IF($E275="",TODAY()-29,$E275),TODAY()-29))-MONTH($D275)+IF(MIN(IF($E275="",TODAY()-29,$E275),TODAY()-29)&gt;=EOMONTH(MIN(IF($E275="",TODAY()-29,$E275),TODAY()-29),0),1,0)),MAX(0,INT((MIN(IF($E275="",TODAY()-29,$E275),TODAY()-29)-($D275+MOD(SISTEM!$F$8-WEEKDAY($D275,2),7)))/7)+1)))</f>
        <v/>
      </c>
      <c r="M275" s="223">
        <f>IF($G275&gt;0,$I275/$G275,0)</f>
        <v/>
      </c>
      <c r="N275" s="113">
        <f>IF($C275="","",IF($B275="TANIMSIZ MÜŞTERİ","TANIMSIZ MÜŞTERİ",IF($F275="","MODEL SEÇİN",IF(OR($D275="",$G275&lt;=0),"EKSİK",IF(AND($E275&lt;&gt;"",$E275&lt;$D275),"TARİH HATASI",IF($H275="Pasif","KAPALI DÖNEM","UYGUN"))))))</f>
        <v/>
      </c>
      <c r="O275" s="224">
        <f>IF(OR($C275="",$D275="",$F275=""),"",IF($F275="Aylık",EOMONTH($D275,0),($D275+MOD(SISTEM!$F$8-WEEKDAY($D275,2),7))))</f>
        <v/>
      </c>
      <c r="P275" s="109" t="n"/>
      <c r="Q275" s="6" t="n"/>
      <c r="R275" s="6" t="n"/>
      <c r="S275" s="3">
        <f>IF($B275="","",$B275&amp;"|"&amp;COUNTIFS($B$7:$B275,$B275))</f>
        <v/>
      </c>
      <c r="T275" s="3">
        <f>IF($C275="","",UPPER(SUBSTITUTE(SUBSTITUTE(SUBSTITUTE(SUBSTITUTE(SUBSTITUTE(SUBSTITUTE(SUBSTITUTE(SUBSTITUTE(SUBSTITUTE(SUBSTITUTE(SUBSTITUTE(SUBSTITUTE(SUBSTITUTE(SUBSTITUTE(SUBSTITUTE(SUBSTITUTE(SUBSTITUTE(SUBSTITUTE(TRIM($C275),"'",""),"İ","I"),"ı","I"),"i","I"),"Ş","S"),"ş","S"),"Ğ","G"),"ğ","G"),"Ü","U"),"ü","U"),"Ö","O"),"ö","O"),"Ç","C"),"ç","C"),".",""),",","")," ",""),"-","")))</f>
        <v/>
      </c>
    </row>
    <row r="276">
      <c r="A276" s="6" t="n"/>
      <c r="B276" s="113">
        <f>IF($C276="","",IFERROR(INDEX(MUSTERILER!$B$7:$B$106,MATCH($T276,MUSTERILER!$T$7:$T$106,0)),IFERROR(INDEX(MUSTERILER!$B$7:$B$106,MATCH($C276,MUSTERILER!$B$7:$B$106,0)),IFERROR(INDEX(MUSTERILER!$B$7:$B$106,MATCH($T276&amp;"*",MUSTERILER!$T$7:$T$106,0)),"TANIMSIZ MÜŞTERİ"))))</f>
        <v/>
      </c>
      <c r="C276" s="109" t="n"/>
      <c r="D276" s="220" t="n"/>
      <c r="E276" s="220" t="n"/>
      <c r="F276" s="108" t="n"/>
      <c r="G276" s="221" t="n"/>
      <c r="H276" s="108" t="n"/>
      <c r="I276" s="222">
        <f>IF(OR($C276="",$D276="",$G276="",$F276=""),0,$G276*IF($F276="Aylık",MAX(0,(YEAR(MIN(IF($E276="",TODAY(),$E276),TODAY()))-YEAR($D276))*12+MONTH(MIN(IF($E276="",TODAY(),$E276),TODAY()))-MONTH($D276)+IF(MIN(IF($E276="",TODAY(),$E276),TODAY())&gt;=EOMONTH(MIN(IF($E276="",TODAY(),$E276),TODAY()),0),1,0)),MAX(0,INT((MIN(IF($E276="",TODAY(),$E276),TODAY())-($D276+MOD(SISTEM!$F$8-WEEKDAY($D276,2),7)))/7)+1)))</f>
        <v/>
      </c>
      <c r="J276" s="222">
        <f>IF(OR($C276="",$D276="",$G276="",$F276=""),0,$G276*IF($F276="Aylık",MAX(0,(YEAR(MIN(IF($E276="",TODAY()-8,$E276),TODAY()-8))-YEAR($D276))*12+MONTH(MIN(IF($E276="",TODAY()-8,$E276),TODAY()-8))-MONTH($D276)+IF(MIN(IF($E276="",TODAY()-8,$E276),TODAY()-8)&gt;=EOMONTH(MIN(IF($E276="",TODAY()-8,$E276),TODAY()-8),0),1,0)),MAX(0,INT((MIN(IF($E276="",TODAY()-8,$E276),TODAY()-8)-($D276+MOD(SISTEM!$F$8-WEEKDAY($D276,2),7)))/7)+1)))</f>
        <v/>
      </c>
      <c r="K276" s="222">
        <f>IF(OR($C276="",$D276="",$G276="",$F276=""),0,$G276*IF($F276="Aylık",MAX(0,(YEAR(MIN(IF($E276="",TODAY()-15,$E276),TODAY()-15))-YEAR($D276))*12+MONTH(MIN(IF($E276="",TODAY()-15,$E276),TODAY()-15))-MONTH($D276)+IF(MIN(IF($E276="",TODAY()-15,$E276),TODAY()-15)&gt;=EOMONTH(MIN(IF($E276="",TODAY()-15,$E276),TODAY()-15),0),1,0)),MAX(0,INT((MIN(IF($E276="",TODAY()-15,$E276),TODAY()-15)-($D276+MOD(SISTEM!$F$8-WEEKDAY($D276,2),7)))/7)+1)))</f>
        <v/>
      </c>
      <c r="L276" s="222">
        <f>IF(OR($C276="",$D276="",$G276="",$F276=""),0,$G276*IF($F276="Aylık",MAX(0,(YEAR(MIN(IF($E276="",TODAY()-29,$E276),TODAY()-29))-YEAR($D276))*12+MONTH(MIN(IF($E276="",TODAY()-29,$E276),TODAY()-29))-MONTH($D276)+IF(MIN(IF($E276="",TODAY()-29,$E276),TODAY()-29)&gt;=EOMONTH(MIN(IF($E276="",TODAY()-29,$E276),TODAY()-29),0),1,0)),MAX(0,INT((MIN(IF($E276="",TODAY()-29,$E276),TODAY()-29)-($D276+MOD(SISTEM!$F$8-WEEKDAY($D276,2),7)))/7)+1)))</f>
        <v/>
      </c>
      <c r="M276" s="223">
        <f>IF($G276&gt;0,$I276/$G276,0)</f>
        <v/>
      </c>
      <c r="N276" s="113">
        <f>IF($C276="","",IF($B276="TANIMSIZ MÜŞTERİ","TANIMSIZ MÜŞTERİ",IF($F276="","MODEL SEÇİN",IF(OR($D276="",$G276&lt;=0),"EKSİK",IF(AND($E276&lt;&gt;"",$E276&lt;$D276),"TARİH HATASI",IF($H276="Pasif","KAPALI DÖNEM","UYGUN"))))))</f>
        <v/>
      </c>
      <c r="O276" s="224">
        <f>IF(OR($C276="",$D276="",$F276=""),"",IF($F276="Aylık",EOMONTH($D276,0),($D276+MOD(SISTEM!$F$8-WEEKDAY($D276,2),7))))</f>
        <v/>
      </c>
      <c r="P276" s="109" t="n"/>
      <c r="Q276" s="6" t="n"/>
      <c r="R276" s="6" t="n"/>
      <c r="S276" s="3">
        <f>IF($B276="","",$B276&amp;"|"&amp;COUNTIFS($B$7:$B276,$B276))</f>
        <v/>
      </c>
      <c r="T276" s="3">
        <f>IF($C276="","",UPPER(SUBSTITUTE(SUBSTITUTE(SUBSTITUTE(SUBSTITUTE(SUBSTITUTE(SUBSTITUTE(SUBSTITUTE(SUBSTITUTE(SUBSTITUTE(SUBSTITUTE(SUBSTITUTE(SUBSTITUTE(SUBSTITUTE(SUBSTITUTE(SUBSTITUTE(SUBSTITUTE(SUBSTITUTE(SUBSTITUTE(TRIM($C276),"'",""),"İ","I"),"ı","I"),"i","I"),"Ş","S"),"ş","S"),"Ğ","G"),"ğ","G"),"Ü","U"),"ü","U"),"Ö","O"),"ö","O"),"Ç","C"),"ç","C"),".",""),",","")," ",""),"-","")))</f>
        <v/>
      </c>
    </row>
    <row r="277">
      <c r="A277" s="6" t="n"/>
      <c r="B277" s="113">
        <f>IF($C277="","",IFERROR(INDEX(MUSTERILER!$B$7:$B$106,MATCH($T277,MUSTERILER!$T$7:$T$106,0)),IFERROR(INDEX(MUSTERILER!$B$7:$B$106,MATCH($C277,MUSTERILER!$B$7:$B$106,0)),IFERROR(INDEX(MUSTERILER!$B$7:$B$106,MATCH($T277&amp;"*",MUSTERILER!$T$7:$T$106,0)),"TANIMSIZ MÜŞTERİ"))))</f>
        <v/>
      </c>
      <c r="C277" s="109" t="n"/>
      <c r="D277" s="220" t="n"/>
      <c r="E277" s="220" t="n"/>
      <c r="F277" s="108" t="n"/>
      <c r="G277" s="221" t="n"/>
      <c r="H277" s="108" t="n"/>
      <c r="I277" s="222">
        <f>IF(OR($C277="",$D277="",$G277="",$F277=""),0,$G277*IF($F277="Aylık",MAX(0,(YEAR(MIN(IF($E277="",TODAY(),$E277),TODAY()))-YEAR($D277))*12+MONTH(MIN(IF($E277="",TODAY(),$E277),TODAY()))-MONTH($D277)+IF(MIN(IF($E277="",TODAY(),$E277),TODAY())&gt;=EOMONTH(MIN(IF($E277="",TODAY(),$E277),TODAY()),0),1,0)),MAX(0,INT((MIN(IF($E277="",TODAY(),$E277),TODAY())-($D277+MOD(SISTEM!$F$8-WEEKDAY($D277,2),7)))/7)+1)))</f>
        <v/>
      </c>
      <c r="J277" s="222">
        <f>IF(OR($C277="",$D277="",$G277="",$F277=""),0,$G277*IF($F277="Aylık",MAX(0,(YEAR(MIN(IF($E277="",TODAY()-8,$E277),TODAY()-8))-YEAR($D277))*12+MONTH(MIN(IF($E277="",TODAY()-8,$E277),TODAY()-8))-MONTH($D277)+IF(MIN(IF($E277="",TODAY()-8,$E277),TODAY()-8)&gt;=EOMONTH(MIN(IF($E277="",TODAY()-8,$E277),TODAY()-8),0),1,0)),MAX(0,INT((MIN(IF($E277="",TODAY()-8,$E277),TODAY()-8)-($D277+MOD(SISTEM!$F$8-WEEKDAY($D277,2),7)))/7)+1)))</f>
        <v/>
      </c>
      <c r="K277" s="222">
        <f>IF(OR($C277="",$D277="",$G277="",$F277=""),0,$G277*IF($F277="Aylık",MAX(0,(YEAR(MIN(IF($E277="",TODAY()-15,$E277),TODAY()-15))-YEAR($D277))*12+MONTH(MIN(IF($E277="",TODAY()-15,$E277),TODAY()-15))-MONTH($D277)+IF(MIN(IF($E277="",TODAY()-15,$E277),TODAY()-15)&gt;=EOMONTH(MIN(IF($E277="",TODAY()-15,$E277),TODAY()-15),0),1,0)),MAX(0,INT((MIN(IF($E277="",TODAY()-15,$E277),TODAY()-15)-($D277+MOD(SISTEM!$F$8-WEEKDAY($D277,2),7)))/7)+1)))</f>
        <v/>
      </c>
      <c r="L277" s="222">
        <f>IF(OR($C277="",$D277="",$G277="",$F277=""),0,$G277*IF($F277="Aylık",MAX(0,(YEAR(MIN(IF($E277="",TODAY()-29,$E277),TODAY()-29))-YEAR($D277))*12+MONTH(MIN(IF($E277="",TODAY()-29,$E277),TODAY()-29))-MONTH($D277)+IF(MIN(IF($E277="",TODAY()-29,$E277),TODAY()-29)&gt;=EOMONTH(MIN(IF($E277="",TODAY()-29,$E277),TODAY()-29),0),1,0)),MAX(0,INT((MIN(IF($E277="",TODAY()-29,$E277),TODAY()-29)-($D277+MOD(SISTEM!$F$8-WEEKDAY($D277,2),7)))/7)+1)))</f>
        <v/>
      </c>
      <c r="M277" s="223">
        <f>IF($G277&gt;0,$I277/$G277,0)</f>
        <v/>
      </c>
      <c r="N277" s="113">
        <f>IF($C277="","",IF($B277="TANIMSIZ MÜŞTERİ","TANIMSIZ MÜŞTERİ",IF($F277="","MODEL SEÇİN",IF(OR($D277="",$G277&lt;=0),"EKSİK",IF(AND($E277&lt;&gt;"",$E277&lt;$D277),"TARİH HATASI",IF($H277="Pasif","KAPALI DÖNEM","UYGUN"))))))</f>
        <v/>
      </c>
      <c r="O277" s="224">
        <f>IF(OR($C277="",$D277="",$F277=""),"",IF($F277="Aylık",EOMONTH($D277,0),($D277+MOD(SISTEM!$F$8-WEEKDAY($D277,2),7))))</f>
        <v/>
      </c>
      <c r="P277" s="109" t="n"/>
      <c r="Q277" s="6" t="n"/>
      <c r="R277" s="6" t="n"/>
      <c r="S277" s="3">
        <f>IF($B277="","",$B277&amp;"|"&amp;COUNTIFS($B$7:$B277,$B277))</f>
        <v/>
      </c>
      <c r="T277" s="3">
        <f>IF($C277="","",UPPER(SUBSTITUTE(SUBSTITUTE(SUBSTITUTE(SUBSTITUTE(SUBSTITUTE(SUBSTITUTE(SUBSTITUTE(SUBSTITUTE(SUBSTITUTE(SUBSTITUTE(SUBSTITUTE(SUBSTITUTE(SUBSTITUTE(SUBSTITUTE(SUBSTITUTE(SUBSTITUTE(SUBSTITUTE(SUBSTITUTE(TRIM($C277),"'",""),"İ","I"),"ı","I"),"i","I"),"Ş","S"),"ş","S"),"Ğ","G"),"ğ","G"),"Ü","U"),"ü","U"),"Ö","O"),"ö","O"),"Ç","C"),"ç","C"),".",""),",","")," ",""),"-","")))</f>
        <v/>
      </c>
    </row>
    <row r="278">
      <c r="A278" s="6" t="n"/>
      <c r="B278" s="113">
        <f>IF($C278="","",IFERROR(INDEX(MUSTERILER!$B$7:$B$106,MATCH($T278,MUSTERILER!$T$7:$T$106,0)),IFERROR(INDEX(MUSTERILER!$B$7:$B$106,MATCH($C278,MUSTERILER!$B$7:$B$106,0)),IFERROR(INDEX(MUSTERILER!$B$7:$B$106,MATCH($T278&amp;"*",MUSTERILER!$T$7:$T$106,0)),"TANIMSIZ MÜŞTERİ"))))</f>
        <v/>
      </c>
      <c r="C278" s="109" t="n"/>
      <c r="D278" s="220" t="n"/>
      <c r="E278" s="220" t="n"/>
      <c r="F278" s="108" t="n"/>
      <c r="G278" s="221" t="n"/>
      <c r="H278" s="108" t="n"/>
      <c r="I278" s="222">
        <f>IF(OR($C278="",$D278="",$G278="",$F278=""),0,$G278*IF($F278="Aylık",MAX(0,(YEAR(MIN(IF($E278="",TODAY(),$E278),TODAY()))-YEAR($D278))*12+MONTH(MIN(IF($E278="",TODAY(),$E278),TODAY()))-MONTH($D278)+IF(MIN(IF($E278="",TODAY(),$E278),TODAY())&gt;=EOMONTH(MIN(IF($E278="",TODAY(),$E278),TODAY()),0),1,0)),MAX(0,INT((MIN(IF($E278="",TODAY(),$E278),TODAY())-($D278+MOD(SISTEM!$F$8-WEEKDAY($D278,2),7)))/7)+1)))</f>
        <v/>
      </c>
      <c r="J278" s="222">
        <f>IF(OR($C278="",$D278="",$G278="",$F278=""),0,$G278*IF($F278="Aylık",MAX(0,(YEAR(MIN(IF($E278="",TODAY()-8,$E278),TODAY()-8))-YEAR($D278))*12+MONTH(MIN(IF($E278="",TODAY()-8,$E278),TODAY()-8))-MONTH($D278)+IF(MIN(IF($E278="",TODAY()-8,$E278),TODAY()-8)&gt;=EOMONTH(MIN(IF($E278="",TODAY()-8,$E278),TODAY()-8),0),1,0)),MAX(0,INT((MIN(IF($E278="",TODAY()-8,$E278),TODAY()-8)-($D278+MOD(SISTEM!$F$8-WEEKDAY($D278,2),7)))/7)+1)))</f>
        <v/>
      </c>
      <c r="K278" s="222">
        <f>IF(OR($C278="",$D278="",$G278="",$F278=""),0,$G278*IF($F278="Aylık",MAX(0,(YEAR(MIN(IF($E278="",TODAY()-15,$E278),TODAY()-15))-YEAR($D278))*12+MONTH(MIN(IF($E278="",TODAY()-15,$E278),TODAY()-15))-MONTH($D278)+IF(MIN(IF($E278="",TODAY()-15,$E278),TODAY()-15)&gt;=EOMONTH(MIN(IF($E278="",TODAY()-15,$E278),TODAY()-15),0),1,0)),MAX(0,INT((MIN(IF($E278="",TODAY()-15,$E278),TODAY()-15)-($D278+MOD(SISTEM!$F$8-WEEKDAY($D278,2),7)))/7)+1)))</f>
        <v/>
      </c>
      <c r="L278" s="222">
        <f>IF(OR($C278="",$D278="",$G278="",$F278=""),0,$G278*IF($F278="Aylık",MAX(0,(YEAR(MIN(IF($E278="",TODAY()-29,$E278),TODAY()-29))-YEAR($D278))*12+MONTH(MIN(IF($E278="",TODAY()-29,$E278),TODAY()-29))-MONTH($D278)+IF(MIN(IF($E278="",TODAY()-29,$E278),TODAY()-29)&gt;=EOMONTH(MIN(IF($E278="",TODAY()-29,$E278),TODAY()-29),0),1,0)),MAX(0,INT((MIN(IF($E278="",TODAY()-29,$E278),TODAY()-29)-($D278+MOD(SISTEM!$F$8-WEEKDAY($D278,2),7)))/7)+1)))</f>
        <v/>
      </c>
      <c r="M278" s="223">
        <f>IF($G278&gt;0,$I278/$G278,0)</f>
        <v/>
      </c>
      <c r="N278" s="113">
        <f>IF($C278="","",IF($B278="TANIMSIZ MÜŞTERİ","TANIMSIZ MÜŞTERİ",IF($F278="","MODEL SEÇİN",IF(OR($D278="",$G278&lt;=0),"EKSİK",IF(AND($E278&lt;&gt;"",$E278&lt;$D278),"TARİH HATASI",IF($H278="Pasif","KAPALI DÖNEM","UYGUN"))))))</f>
        <v/>
      </c>
      <c r="O278" s="224">
        <f>IF(OR($C278="",$D278="",$F278=""),"",IF($F278="Aylık",EOMONTH($D278,0),($D278+MOD(SISTEM!$F$8-WEEKDAY($D278,2),7))))</f>
        <v/>
      </c>
      <c r="P278" s="109" t="n"/>
      <c r="Q278" s="6" t="n"/>
      <c r="R278" s="6" t="n"/>
      <c r="S278" s="3">
        <f>IF($B278="","",$B278&amp;"|"&amp;COUNTIFS($B$7:$B278,$B278))</f>
        <v/>
      </c>
      <c r="T278" s="3">
        <f>IF($C278="","",UPPER(SUBSTITUTE(SUBSTITUTE(SUBSTITUTE(SUBSTITUTE(SUBSTITUTE(SUBSTITUTE(SUBSTITUTE(SUBSTITUTE(SUBSTITUTE(SUBSTITUTE(SUBSTITUTE(SUBSTITUTE(SUBSTITUTE(SUBSTITUTE(SUBSTITUTE(SUBSTITUTE(SUBSTITUTE(SUBSTITUTE(TRIM($C278),"'",""),"İ","I"),"ı","I"),"i","I"),"Ş","S"),"ş","S"),"Ğ","G"),"ğ","G"),"Ü","U"),"ü","U"),"Ö","O"),"ö","O"),"Ç","C"),"ç","C"),".",""),",","")," ",""),"-","")))</f>
        <v/>
      </c>
    </row>
    <row r="279">
      <c r="A279" s="6" t="n"/>
      <c r="B279" s="113">
        <f>IF($C279="","",IFERROR(INDEX(MUSTERILER!$B$7:$B$106,MATCH($T279,MUSTERILER!$T$7:$T$106,0)),IFERROR(INDEX(MUSTERILER!$B$7:$B$106,MATCH($C279,MUSTERILER!$B$7:$B$106,0)),IFERROR(INDEX(MUSTERILER!$B$7:$B$106,MATCH($T279&amp;"*",MUSTERILER!$T$7:$T$106,0)),"TANIMSIZ MÜŞTERİ"))))</f>
        <v/>
      </c>
      <c r="C279" s="109" t="n"/>
      <c r="D279" s="220" t="n"/>
      <c r="E279" s="220" t="n"/>
      <c r="F279" s="108" t="n"/>
      <c r="G279" s="221" t="n"/>
      <c r="H279" s="108" t="n"/>
      <c r="I279" s="222">
        <f>IF(OR($C279="",$D279="",$G279="",$F279=""),0,$G279*IF($F279="Aylık",MAX(0,(YEAR(MIN(IF($E279="",TODAY(),$E279),TODAY()))-YEAR($D279))*12+MONTH(MIN(IF($E279="",TODAY(),$E279),TODAY()))-MONTH($D279)+IF(MIN(IF($E279="",TODAY(),$E279),TODAY())&gt;=EOMONTH(MIN(IF($E279="",TODAY(),$E279),TODAY()),0),1,0)),MAX(0,INT((MIN(IF($E279="",TODAY(),$E279),TODAY())-($D279+MOD(SISTEM!$F$8-WEEKDAY($D279,2),7)))/7)+1)))</f>
        <v/>
      </c>
      <c r="J279" s="222">
        <f>IF(OR($C279="",$D279="",$G279="",$F279=""),0,$G279*IF($F279="Aylık",MAX(0,(YEAR(MIN(IF($E279="",TODAY()-8,$E279),TODAY()-8))-YEAR($D279))*12+MONTH(MIN(IF($E279="",TODAY()-8,$E279),TODAY()-8))-MONTH($D279)+IF(MIN(IF($E279="",TODAY()-8,$E279),TODAY()-8)&gt;=EOMONTH(MIN(IF($E279="",TODAY()-8,$E279),TODAY()-8),0),1,0)),MAX(0,INT((MIN(IF($E279="",TODAY()-8,$E279),TODAY()-8)-($D279+MOD(SISTEM!$F$8-WEEKDAY($D279,2),7)))/7)+1)))</f>
        <v/>
      </c>
      <c r="K279" s="222">
        <f>IF(OR($C279="",$D279="",$G279="",$F279=""),0,$G279*IF($F279="Aylık",MAX(0,(YEAR(MIN(IF($E279="",TODAY()-15,$E279),TODAY()-15))-YEAR($D279))*12+MONTH(MIN(IF($E279="",TODAY()-15,$E279),TODAY()-15))-MONTH($D279)+IF(MIN(IF($E279="",TODAY()-15,$E279),TODAY()-15)&gt;=EOMONTH(MIN(IF($E279="",TODAY()-15,$E279),TODAY()-15),0),1,0)),MAX(0,INT((MIN(IF($E279="",TODAY()-15,$E279),TODAY()-15)-($D279+MOD(SISTEM!$F$8-WEEKDAY($D279,2),7)))/7)+1)))</f>
        <v/>
      </c>
      <c r="L279" s="222">
        <f>IF(OR($C279="",$D279="",$G279="",$F279=""),0,$G279*IF($F279="Aylık",MAX(0,(YEAR(MIN(IF($E279="",TODAY()-29,$E279),TODAY()-29))-YEAR($D279))*12+MONTH(MIN(IF($E279="",TODAY()-29,$E279),TODAY()-29))-MONTH($D279)+IF(MIN(IF($E279="",TODAY()-29,$E279),TODAY()-29)&gt;=EOMONTH(MIN(IF($E279="",TODAY()-29,$E279),TODAY()-29),0),1,0)),MAX(0,INT((MIN(IF($E279="",TODAY()-29,$E279),TODAY()-29)-($D279+MOD(SISTEM!$F$8-WEEKDAY($D279,2),7)))/7)+1)))</f>
        <v/>
      </c>
      <c r="M279" s="223">
        <f>IF($G279&gt;0,$I279/$G279,0)</f>
        <v/>
      </c>
      <c r="N279" s="113">
        <f>IF($C279="","",IF($B279="TANIMSIZ MÜŞTERİ","TANIMSIZ MÜŞTERİ",IF($F279="","MODEL SEÇİN",IF(OR($D279="",$G279&lt;=0),"EKSİK",IF(AND($E279&lt;&gt;"",$E279&lt;$D279),"TARİH HATASI",IF($H279="Pasif","KAPALI DÖNEM","UYGUN"))))))</f>
        <v/>
      </c>
      <c r="O279" s="224">
        <f>IF(OR($C279="",$D279="",$F279=""),"",IF($F279="Aylık",EOMONTH($D279,0),($D279+MOD(SISTEM!$F$8-WEEKDAY($D279,2),7))))</f>
        <v/>
      </c>
      <c r="P279" s="109" t="n"/>
      <c r="Q279" s="6" t="n"/>
      <c r="R279" s="6" t="n"/>
      <c r="S279" s="3">
        <f>IF($B279="","",$B279&amp;"|"&amp;COUNTIFS($B$7:$B279,$B279))</f>
        <v/>
      </c>
      <c r="T279" s="3">
        <f>IF($C279="","",UPPER(SUBSTITUTE(SUBSTITUTE(SUBSTITUTE(SUBSTITUTE(SUBSTITUTE(SUBSTITUTE(SUBSTITUTE(SUBSTITUTE(SUBSTITUTE(SUBSTITUTE(SUBSTITUTE(SUBSTITUTE(SUBSTITUTE(SUBSTITUTE(SUBSTITUTE(SUBSTITUTE(SUBSTITUTE(SUBSTITUTE(TRIM($C279),"'",""),"İ","I"),"ı","I"),"i","I"),"Ş","S"),"ş","S"),"Ğ","G"),"ğ","G"),"Ü","U"),"ü","U"),"Ö","O"),"ö","O"),"Ç","C"),"ç","C"),".",""),",","")," ",""),"-","")))</f>
        <v/>
      </c>
    </row>
    <row r="280">
      <c r="A280" s="6" t="n"/>
      <c r="B280" s="113">
        <f>IF($C280="","",IFERROR(INDEX(MUSTERILER!$B$7:$B$106,MATCH($T280,MUSTERILER!$T$7:$T$106,0)),IFERROR(INDEX(MUSTERILER!$B$7:$B$106,MATCH($C280,MUSTERILER!$B$7:$B$106,0)),IFERROR(INDEX(MUSTERILER!$B$7:$B$106,MATCH($T280&amp;"*",MUSTERILER!$T$7:$T$106,0)),"TANIMSIZ MÜŞTERİ"))))</f>
        <v/>
      </c>
      <c r="C280" s="109" t="n"/>
      <c r="D280" s="220" t="n"/>
      <c r="E280" s="220" t="n"/>
      <c r="F280" s="108" t="n"/>
      <c r="G280" s="221" t="n"/>
      <c r="H280" s="108" t="n"/>
      <c r="I280" s="222">
        <f>IF(OR($C280="",$D280="",$G280="",$F280=""),0,$G280*IF($F280="Aylık",MAX(0,(YEAR(MIN(IF($E280="",TODAY(),$E280),TODAY()))-YEAR($D280))*12+MONTH(MIN(IF($E280="",TODAY(),$E280),TODAY()))-MONTH($D280)+IF(MIN(IF($E280="",TODAY(),$E280),TODAY())&gt;=EOMONTH(MIN(IF($E280="",TODAY(),$E280),TODAY()),0),1,0)),MAX(0,INT((MIN(IF($E280="",TODAY(),$E280),TODAY())-($D280+MOD(SISTEM!$F$8-WEEKDAY($D280,2),7)))/7)+1)))</f>
        <v/>
      </c>
      <c r="J280" s="222">
        <f>IF(OR($C280="",$D280="",$G280="",$F280=""),0,$G280*IF($F280="Aylık",MAX(0,(YEAR(MIN(IF($E280="",TODAY()-8,$E280),TODAY()-8))-YEAR($D280))*12+MONTH(MIN(IF($E280="",TODAY()-8,$E280),TODAY()-8))-MONTH($D280)+IF(MIN(IF($E280="",TODAY()-8,$E280),TODAY()-8)&gt;=EOMONTH(MIN(IF($E280="",TODAY()-8,$E280),TODAY()-8),0),1,0)),MAX(0,INT((MIN(IF($E280="",TODAY()-8,$E280),TODAY()-8)-($D280+MOD(SISTEM!$F$8-WEEKDAY($D280,2),7)))/7)+1)))</f>
        <v/>
      </c>
      <c r="K280" s="222">
        <f>IF(OR($C280="",$D280="",$G280="",$F280=""),0,$G280*IF($F280="Aylık",MAX(0,(YEAR(MIN(IF($E280="",TODAY()-15,$E280),TODAY()-15))-YEAR($D280))*12+MONTH(MIN(IF($E280="",TODAY()-15,$E280),TODAY()-15))-MONTH($D280)+IF(MIN(IF($E280="",TODAY()-15,$E280),TODAY()-15)&gt;=EOMONTH(MIN(IF($E280="",TODAY()-15,$E280),TODAY()-15),0),1,0)),MAX(0,INT((MIN(IF($E280="",TODAY()-15,$E280),TODAY()-15)-($D280+MOD(SISTEM!$F$8-WEEKDAY($D280,2),7)))/7)+1)))</f>
        <v/>
      </c>
      <c r="L280" s="222">
        <f>IF(OR($C280="",$D280="",$G280="",$F280=""),0,$G280*IF($F280="Aylık",MAX(0,(YEAR(MIN(IF($E280="",TODAY()-29,$E280),TODAY()-29))-YEAR($D280))*12+MONTH(MIN(IF($E280="",TODAY()-29,$E280),TODAY()-29))-MONTH($D280)+IF(MIN(IF($E280="",TODAY()-29,$E280),TODAY()-29)&gt;=EOMONTH(MIN(IF($E280="",TODAY()-29,$E280),TODAY()-29),0),1,0)),MAX(0,INT((MIN(IF($E280="",TODAY()-29,$E280),TODAY()-29)-($D280+MOD(SISTEM!$F$8-WEEKDAY($D280,2),7)))/7)+1)))</f>
        <v/>
      </c>
      <c r="M280" s="223">
        <f>IF($G280&gt;0,$I280/$G280,0)</f>
        <v/>
      </c>
      <c r="N280" s="113">
        <f>IF($C280="","",IF($B280="TANIMSIZ MÜŞTERİ","TANIMSIZ MÜŞTERİ",IF($F280="","MODEL SEÇİN",IF(OR($D280="",$G280&lt;=0),"EKSİK",IF(AND($E280&lt;&gt;"",$E280&lt;$D280),"TARİH HATASI",IF($H280="Pasif","KAPALI DÖNEM","UYGUN"))))))</f>
        <v/>
      </c>
      <c r="O280" s="224">
        <f>IF(OR($C280="",$D280="",$F280=""),"",IF($F280="Aylık",EOMONTH($D280,0),($D280+MOD(SISTEM!$F$8-WEEKDAY($D280,2),7))))</f>
        <v/>
      </c>
      <c r="P280" s="109" t="n"/>
      <c r="Q280" s="6" t="n"/>
      <c r="R280" s="6" t="n"/>
      <c r="S280" s="3">
        <f>IF($B280="","",$B280&amp;"|"&amp;COUNTIFS($B$7:$B280,$B280))</f>
        <v/>
      </c>
      <c r="T280" s="3">
        <f>IF($C280="","",UPPER(SUBSTITUTE(SUBSTITUTE(SUBSTITUTE(SUBSTITUTE(SUBSTITUTE(SUBSTITUTE(SUBSTITUTE(SUBSTITUTE(SUBSTITUTE(SUBSTITUTE(SUBSTITUTE(SUBSTITUTE(SUBSTITUTE(SUBSTITUTE(SUBSTITUTE(SUBSTITUTE(SUBSTITUTE(SUBSTITUTE(TRIM($C280),"'",""),"İ","I"),"ı","I"),"i","I"),"Ş","S"),"ş","S"),"Ğ","G"),"ğ","G"),"Ü","U"),"ü","U"),"Ö","O"),"ö","O"),"Ç","C"),"ç","C"),".",""),",","")," ",""),"-","")))</f>
        <v/>
      </c>
    </row>
    <row r="281">
      <c r="A281" s="6" t="n"/>
      <c r="B281" s="113">
        <f>IF($C281="","",IFERROR(INDEX(MUSTERILER!$B$7:$B$106,MATCH($T281,MUSTERILER!$T$7:$T$106,0)),IFERROR(INDEX(MUSTERILER!$B$7:$B$106,MATCH($C281,MUSTERILER!$B$7:$B$106,0)),IFERROR(INDEX(MUSTERILER!$B$7:$B$106,MATCH($T281&amp;"*",MUSTERILER!$T$7:$T$106,0)),"TANIMSIZ MÜŞTERİ"))))</f>
        <v/>
      </c>
      <c r="C281" s="109" t="n"/>
      <c r="D281" s="220" t="n"/>
      <c r="E281" s="220" t="n"/>
      <c r="F281" s="108" t="n"/>
      <c r="G281" s="221" t="n"/>
      <c r="H281" s="108" t="n"/>
      <c r="I281" s="222">
        <f>IF(OR($C281="",$D281="",$G281="",$F281=""),0,$G281*IF($F281="Aylık",MAX(0,(YEAR(MIN(IF($E281="",TODAY(),$E281),TODAY()))-YEAR($D281))*12+MONTH(MIN(IF($E281="",TODAY(),$E281),TODAY()))-MONTH($D281)+IF(MIN(IF($E281="",TODAY(),$E281),TODAY())&gt;=EOMONTH(MIN(IF($E281="",TODAY(),$E281),TODAY()),0),1,0)),MAX(0,INT((MIN(IF($E281="",TODAY(),$E281),TODAY())-($D281+MOD(SISTEM!$F$8-WEEKDAY($D281,2),7)))/7)+1)))</f>
        <v/>
      </c>
      <c r="J281" s="222">
        <f>IF(OR($C281="",$D281="",$G281="",$F281=""),0,$G281*IF($F281="Aylık",MAX(0,(YEAR(MIN(IF($E281="",TODAY()-8,$E281),TODAY()-8))-YEAR($D281))*12+MONTH(MIN(IF($E281="",TODAY()-8,$E281),TODAY()-8))-MONTH($D281)+IF(MIN(IF($E281="",TODAY()-8,$E281),TODAY()-8)&gt;=EOMONTH(MIN(IF($E281="",TODAY()-8,$E281),TODAY()-8),0),1,0)),MAX(0,INT((MIN(IF($E281="",TODAY()-8,$E281),TODAY()-8)-($D281+MOD(SISTEM!$F$8-WEEKDAY($D281,2),7)))/7)+1)))</f>
        <v/>
      </c>
      <c r="K281" s="222">
        <f>IF(OR($C281="",$D281="",$G281="",$F281=""),0,$G281*IF($F281="Aylık",MAX(0,(YEAR(MIN(IF($E281="",TODAY()-15,$E281),TODAY()-15))-YEAR($D281))*12+MONTH(MIN(IF($E281="",TODAY()-15,$E281),TODAY()-15))-MONTH($D281)+IF(MIN(IF($E281="",TODAY()-15,$E281),TODAY()-15)&gt;=EOMONTH(MIN(IF($E281="",TODAY()-15,$E281),TODAY()-15),0),1,0)),MAX(0,INT((MIN(IF($E281="",TODAY()-15,$E281),TODAY()-15)-($D281+MOD(SISTEM!$F$8-WEEKDAY($D281,2),7)))/7)+1)))</f>
        <v/>
      </c>
      <c r="L281" s="222">
        <f>IF(OR($C281="",$D281="",$G281="",$F281=""),0,$G281*IF($F281="Aylık",MAX(0,(YEAR(MIN(IF($E281="",TODAY()-29,$E281),TODAY()-29))-YEAR($D281))*12+MONTH(MIN(IF($E281="",TODAY()-29,$E281),TODAY()-29))-MONTH($D281)+IF(MIN(IF($E281="",TODAY()-29,$E281),TODAY()-29)&gt;=EOMONTH(MIN(IF($E281="",TODAY()-29,$E281),TODAY()-29),0),1,0)),MAX(0,INT((MIN(IF($E281="",TODAY()-29,$E281),TODAY()-29)-($D281+MOD(SISTEM!$F$8-WEEKDAY($D281,2),7)))/7)+1)))</f>
        <v/>
      </c>
      <c r="M281" s="223">
        <f>IF($G281&gt;0,$I281/$G281,0)</f>
        <v/>
      </c>
      <c r="N281" s="113">
        <f>IF($C281="","",IF($B281="TANIMSIZ MÜŞTERİ","TANIMSIZ MÜŞTERİ",IF($F281="","MODEL SEÇİN",IF(OR($D281="",$G281&lt;=0),"EKSİK",IF(AND($E281&lt;&gt;"",$E281&lt;$D281),"TARİH HATASI",IF($H281="Pasif","KAPALI DÖNEM","UYGUN"))))))</f>
        <v/>
      </c>
      <c r="O281" s="224">
        <f>IF(OR($C281="",$D281="",$F281=""),"",IF($F281="Aylık",EOMONTH($D281,0),($D281+MOD(SISTEM!$F$8-WEEKDAY($D281,2),7))))</f>
        <v/>
      </c>
      <c r="P281" s="109" t="n"/>
      <c r="Q281" s="6" t="n"/>
      <c r="R281" s="6" t="n"/>
      <c r="S281" s="3">
        <f>IF($B281="","",$B281&amp;"|"&amp;COUNTIFS($B$7:$B281,$B281))</f>
        <v/>
      </c>
      <c r="T281" s="3">
        <f>IF($C281="","",UPPER(SUBSTITUTE(SUBSTITUTE(SUBSTITUTE(SUBSTITUTE(SUBSTITUTE(SUBSTITUTE(SUBSTITUTE(SUBSTITUTE(SUBSTITUTE(SUBSTITUTE(SUBSTITUTE(SUBSTITUTE(SUBSTITUTE(SUBSTITUTE(SUBSTITUTE(SUBSTITUTE(SUBSTITUTE(SUBSTITUTE(TRIM($C281),"'",""),"İ","I"),"ı","I"),"i","I"),"Ş","S"),"ş","S"),"Ğ","G"),"ğ","G"),"Ü","U"),"ü","U"),"Ö","O"),"ö","O"),"Ç","C"),"ç","C"),".",""),",","")," ",""),"-","")))</f>
        <v/>
      </c>
    </row>
    <row r="282">
      <c r="A282" s="6" t="n"/>
      <c r="B282" s="113">
        <f>IF($C282="","",IFERROR(INDEX(MUSTERILER!$B$7:$B$106,MATCH($T282,MUSTERILER!$T$7:$T$106,0)),IFERROR(INDEX(MUSTERILER!$B$7:$B$106,MATCH($C282,MUSTERILER!$B$7:$B$106,0)),IFERROR(INDEX(MUSTERILER!$B$7:$B$106,MATCH($T282&amp;"*",MUSTERILER!$T$7:$T$106,0)),"TANIMSIZ MÜŞTERİ"))))</f>
        <v/>
      </c>
      <c r="C282" s="109" t="n"/>
      <c r="D282" s="220" t="n"/>
      <c r="E282" s="220" t="n"/>
      <c r="F282" s="108" t="n"/>
      <c r="G282" s="221" t="n"/>
      <c r="H282" s="108" t="n"/>
      <c r="I282" s="222">
        <f>IF(OR($C282="",$D282="",$G282="",$F282=""),0,$G282*IF($F282="Aylık",MAX(0,(YEAR(MIN(IF($E282="",TODAY(),$E282),TODAY()))-YEAR($D282))*12+MONTH(MIN(IF($E282="",TODAY(),$E282),TODAY()))-MONTH($D282)+IF(MIN(IF($E282="",TODAY(),$E282),TODAY())&gt;=EOMONTH(MIN(IF($E282="",TODAY(),$E282),TODAY()),0),1,0)),MAX(0,INT((MIN(IF($E282="",TODAY(),$E282),TODAY())-($D282+MOD(SISTEM!$F$8-WEEKDAY($D282,2),7)))/7)+1)))</f>
        <v/>
      </c>
      <c r="J282" s="222">
        <f>IF(OR($C282="",$D282="",$G282="",$F282=""),0,$G282*IF($F282="Aylık",MAX(0,(YEAR(MIN(IF($E282="",TODAY()-8,$E282),TODAY()-8))-YEAR($D282))*12+MONTH(MIN(IF($E282="",TODAY()-8,$E282),TODAY()-8))-MONTH($D282)+IF(MIN(IF($E282="",TODAY()-8,$E282),TODAY()-8)&gt;=EOMONTH(MIN(IF($E282="",TODAY()-8,$E282),TODAY()-8),0),1,0)),MAX(0,INT((MIN(IF($E282="",TODAY()-8,$E282),TODAY()-8)-($D282+MOD(SISTEM!$F$8-WEEKDAY($D282,2),7)))/7)+1)))</f>
        <v/>
      </c>
      <c r="K282" s="222">
        <f>IF(OR($C282="",$D282="",$G282="",$F282=""),0,$G282*IF($F282="Aylık",MAX(0,(YEAR(MIN(IF($E282="",TODAY()-15,$E282),TODAY()-15))-YEAR($D282))*12+MONTH(MIN(IF($E282="",TODAY()-15,$E282),TODAY()-15))-MONTH($D282)+IF(MIN(IF($E282="",TODAY()-15,$E282),TODAY()-15)&gt;=EOMONTH(MIN(IF($E282="",TODAY()-15,$E282),TODAY()-15),0),1,0)),MAX(0,INT((MIN(IF($E282="",TODAY()-15,$E282),TODAY()-15)-($D282+MOD(SISTEM!$F$8-WEEKDAY($D282,2),7)))/7)+1)))</f>
        <v/>
      </c>
      <c r="L282" s="222">
        <f>IF(OR($C282="",$D282="",$G282="",$F282=""),0,$G282*IF($F282="Aylık",MAX(0,(YEAR(MIN(IF($E282="",TODAY()-29,$E282),TODAY()-29))-YEAR($D282))*12+MONTH(MIN(IF($E282="",TODAY()-29,$E282),TODAY()-29))-MONTH($D282)+IF(MIN(IF($E282="",TODAY()-29,$E282),TODAY()-29)&gt;=EOMONTH(MIN(IF($E282="",TODAY()-29,$E282),TODAY()-29),0),1,0)),MAX(0,INT((MIN(IF($E282="",TODAY()-29,$E282),TODAY()-29)-($D282+MOD(SISTEM!$F$8-WEEKDAY($D282,2),7)))/7)+1)))</f>
        <v/>
      </c>
      <c r="M282" s="223">
        <f>IF($G282&gt;0,$I282/$G282,0)</f>
        <v/>
      </c>
      <c r="N282" s="113">
        <f>IF($C282="","",IF($B282="TANIMSIZ MÜŞTERİ","TANIMSIZ MÜŞTERİ",IF($F282="","MODEL SEÇİN",IF(OR($D282="",$G282&lt;=0),"EKSİK",IF(AND($E282&lt;&gt;"",$E282&lt;$D282),"TARİH HATASI",IF($H282="Pasif","KAPALI DÖNEM","UYGUN"))))))</f>
        <v/>
      </c>
      <c r="O282" s="224">
        <f>IF(OR($C282="",$D282="",$F282=""),"",IF($F282="Aylık",EOMONTH($D282,0),($D282+MOD(SISTEM!$F$8-WEEKDAY($D282,2),7))))</f>
        <v/>
      </c>
      <c r="P282" s="109" t="n"/>
      <c r="Q282" s="6" t="n"/>
      <c r="R282" s="6" t="n"/>
      <c r="S282" s="3">
        <f>IF($B282="","",$B282&amp;"|"&amp;COUNTIFS($B$7:$B282,$B282))</f>
        <v/>
      </c>
      <c r="T282" s="3">
        <f>IF($C282="","",UPPER(SUBSTITUTE(SUBSTITUTE(SUBSTITUTE(SUBSTITUTE(SUBSTITUTE(SUBSTITUTE(SUBSTITUTE(SUBSTITUTE(SUBSTITUTE(SUBSTITUTE(SUBSTITUTE(SUBSTITUTE(SUBSTITUTE(SUBSTITUTE(SUBSTITUTE(SUBSTITUTE(SUBSTITUTE(SUBSTITUTE(TRIM($C282),"'",""),"İ","I"),"ı","I"),"i","I"),"Ş","S"),"ş","S"),"Ğ","G"),"ğ","G"),"Ü","U"),"ü","U"),"Ö","O"),"ö","O"),"Ç","C"),"ç","C"),".",""),",","")," ",""),"-","")))</f>
        <v/>
      </c>
    </row>
    <row r="283">
      <c r="A283" s="6" t="n"/>
      <c r="B283" s="113">
        <f>IF($C283="","",IFERROR(INDEX(MUSTERILER!$B$7:$B$106,MATCH($T283,MUSTERILER!$T$7:$T$106,0)),IFERROR(INDEX(MUSTERILER!$B$7:$B$106,MATCH($C283,MUSTERILER!$B$7:$B$106,0)),IFERROR(INDEX(MUSTERILER!$B$7:$B$106,MATCH($T283&amp;"*",MUSTERILER!$T$7:$T$106,0)),"TANIMSIZ MÜŞTERİ"))))</f>
        <v/>
      </c>
      <c r="C283" s="109" t="n"/>
      <c r="D283" s="220" t="n"/>
      <c r="E283" s="220" t="n"/>
      <c r="F283" s="108" t="n"/>
      <c r="G283" s="221" t="n"/>
      <c r="H283" s="108" t="n"/>
      <c r="I283" s="222">
        <f>IF(OR($C283="",$D283="",$G283="",$F283=""),0,$G283*IF($F283="Aylık",MAX(0,(YEAR(MIN(IF($E283="",TODAY(),$E283),TODAY()))-YEAR($D283))*12+MONTH(MIN(IF($E283="",TODAY(),$E283),TODAY()))-MONTH($D283)+IF(MIN(IF($E283="",TODAY(),$E283),TODAY())&gt;=EOMONTH(MIN(IF($E283="",TODAY(),$E283),TODAY()),0),1,0)),MAX(0,INT((MIN(IF($E283="",TODAY(),$E283),TODAY())-($D283+MOD(SISTEM!$F$8-WEEKDAY($D283,2),7)))/7)+1)))</f>
        <v/>
      </c>
      <c r="J283" s="222">
        <f>IF(OR($C283="",$D283="",$G283="",$F283=""),0,$G283*IF($F283="Aylık",MAX(0,(YEAR(MIN(IF($E283="",TODAY()-8,$E283),TODAY()-8))-YEAR($D283))*12+MONTH(MIN(IF($E283="",TODAY()-8,$E283),TODAY()-8))-MONTH($D283)+IF(MIN(IF($E283="",TODAY()-8,$E283),TODAY()-8)&gt;=EOMONTH(MIN(IF($E283="",TODAY()-8,$E283),TODAY()-8),0),1,0)),MAX(0,INT((MIN(IF($E283="",TODAY()-8,$E283),TODAY()-8)-($D283+MOD(SISTEM!$F$8-WEEKDAY($D283,2),7)))/7)+1)))</f>
        <v/>
      </c>
      <c r="K283" s="222">
        <f>IF(OR($C283="",$D283="",$G283="",$F283=""),0,$G283*IF($F283="Aylık",MAX(0,(YEAR(MIN(IF($E283="",TODAY()-15,$E283),TODAY()-15))-YEAR($D283))*12+MONTH(MIN(IF($E283="",TODAY()-15,$E283),TODAY()-15))-MONTH($D283)+IF(MIN(IF($E283="",TODAY()-15,$E283),TODAY()-15)&gt;=EOMONTH(MIN(IF($E283="",TODAY()-15,$E283),TODAY()-15),0),1,0)),MAX(0,INT((MIN(IF($E283="",TODAY()-15,$E283),TODAY()-15)-($D283+MOD(SISTEM!$F$8-WEEKDAY($D283,2),7)))/7)+1)))</f>
        <v/>
      </c>
      <c r="L283" s="222">
        <f>IF(OR($C283="",$D283="",$G283="",$F283=""),0,$G283*IF($F283="Aylık",MAX(0,(YEAR(MIN(IF($E283="",TODAY()-29,$E283),TODAY()-29))-YEAR($D283))*12+MONTH(MIN(IF($E283="",TODAY()-29,$E283),TODAY()-29))-MONTH($D283)+IF(MIN(IF($E283="",TODAY()-29,$E283),TODAY()-29)&gt;=EOMONTH(MIN(IF($E283="",TODAY()-29,$E283),TODAY()-29),0),1,0)),MAX(0,INT((MIN(IF($E283="",TODAY()-29,$E283),TODAY()-29)-($D283+MOD(SISTEM!$F$8-WEEKDAY($D283,2),7)))/7)+1)))</f>
        <v/>
      </c>
      <c r="M283" s="223">
        <f>IF($G283&gt;0,$I283/$G283,0)</f>
        <v/>
      </c>
      <c r="N283" s="113">
        <f>IF($C283="","",IF($B283="TANIMSIZ MÜŞTERİ","TANIMSIZ MÜŞTERİ",IF($F283="","MODEL SEÇİN",IF(OR($D283="",$G283&lt;=0),"EKSİK",IF(AND($E283&lt;&gt;"",$E283&lt;$D283),"TARİH HATASI",IF($H283="Pasif","KAPALI DÖNEM","UYGUN"))))))</f>
        <v/>
      </c>
      <c r="O283" s="224">
        <f>IF(OR($C283="",$D283="",$F283=""),"",IF($F283="Aylık",EOMONTH($D283,0),($D283+MOD(SISTEM!$F$8-WEEKDAY($D283,2),7))))</f>
        <v/>
      </c>
      <c r="P283" s="109" t="n"/>
      <c r="Q283" s="6" t="n"/>
      <c r="R283" s="6" t="n"/>
      <c r="S283" s="3">
        <f>IF($B283="","",$B283&amp;"|"&amp;COUNTIFS($B$7:$B283,$B283))</f>
        <v/>
      </c>
      <c r="T283" s="3">
        <f>IF($C283="","",UPPER(SUBSTITUTE(SUBSTITUTE(SUBSTITUTE(SUBSTITUTE(SUBSTITUTE(SUBSTITUTE(SUBSTITUTE(SUBSTITUTE(SUBSTITUTE(SUBSTITUTE(SUBSTITUTE(SUBSTITUTE(SUBSTITUTE(SUBSTITUTE(SUBSTITUTE(SUBSTITUTE(SUBSTITUTE(SUBSTITUTE(TRIM($C283),"'",""),"İ","I"),"ı","I"),"i","I"),"Ş","S"),"ş","S"),"Ğ","G"),"ğ","G"),"Ü","U"),"ü","U"),"Ö","O"),"ö","O"),"Ç","C"),"ç","C"),".",""),",","")," ",""),"-","")))</f>
        <v/>
      </c>
    </row>
    <row r="284">
      <c r="A284" s="6" t="n"/>
      <c r="B284" s="113">
        <f>IF($C284="","",IFERROR(INDEX(MUSTERILER!$B$7:$B$106,MATCH($T284,MUSTERILER!$T$7:$T$106,0)),IFERROR(INDEX(MUSTERILER!$B$7:$B$106,MATCH($C284,MUSTERILER!$B$7:$B$106,0)),IFERROR(INDEX(MUSTERILER!$B$7:$B$106,MATCH($T284&amp;"*",MUSTERILER!$T$7:$T$106,0)),"TANIMSIZ MÜŞTERİ"))))</f>
        <v/>
      </c>
      <c r="C284" s="109" t="n"/>
      <c r="D284" s="220" t="n"/>
      <c r="E284" s="220" t="n"/>
      <c r="F284" s="108" t="n"/>
      <c r="G284" s="221" t="n"/>
      <c r="H284" s="108" t="n"/>
      <c r="I284" s="222">
        <f>IF(OR($C284="",$D284="",$G284="",$F284=""),0,$G284*IF($F284="Aylık",MAX(0,(YEAR(MIN(IF($E284="",TODAY(),$E284),TODAY()))-YEAR($D284))*12+MONTH(MIN(IF($E284="",TODAY(),$E284),TODAY()))-MONTH($D284)+IF(MIN(IF($E284="",TODAY(),$E284),TODAY())&gt;=EOMONTH(MIN(IF($E284="",TODAY(),$E284),TODAY()),0),1,0)),MAX(0,INT((MIN(IF($E284="",TODAY(),$E284),TODAY())-($D284+MOD(SISTEM!$F$8-WEEKDAY($D284,2),7)))/7)+1)))</f>
        <v/>
      </c>
      <c r="J284" s="222">
        <f>IF(OR($C284="",$D284="",$G284="",$F284=""),0,$G284*IF($F284="Aylık",MAX(0,(YEAR(MIN(IF($E284="",TODAY()-8,$E284),TODAY()-8))-YEAR($D284))*12+MONTH(MIN(IF($E284="",TODAY()-8,$E284),TODAY()-8))-MONTH($D284)+IF(MIN(IF($E284="",TODAY()-8,$E284),TODAY()-8)&gt;=EOMONTH(MIN(IF($E284="",TODAY()-8,$E284),TODAY()-8),0),1,0)),MAX(0,INT((MIN(IF($E284="",TODAY()-8,$E284),TODAY()-8)-($D284+MOD(SISTEM!$F$8-WEEKDAY($D284,2),7)))/7)+1)))</f>
        <v/>
      </c>
      <c r="K284" s="222">
        <f>IF(OR($C284="",$D284="",$G284="",$F284=""),0,$G284*IF($F284="Aylık",MAX(0,(YEAR(MIN(IF($E284="",TODAY()-15,$E284),TODAY()-15))-YEAR($D284))*12+MONTH(MIN(IF($E284="",TODAY()-15,$E284),TODAY()-15))-MONTH($D284)+IF(MIN(IF($E284="",TODAY()-15,$E284),TODAY()-15)&gt;=EOMONTH(MIN(IF($E284="",TODAY()-15,$E284),TODAY()-15),0),1,0)),MAX(0,INT((MIN(IF($E284="",TODAY()-15,$E284),TODAY()-15)-($D284+MOD(SISTEM!$F$8-WEEKDAY($D284,2),7)))/7)+1)))</f>
        <v/>
      </c>
      <c r="L284" s="222">
        <f>IF(OR($C284="",$D284="",$G284="",$F284=""),0,$G284*IF($F284="Aylık",MAX(0,(YEAR(MIN(IF($E284="",TODAY()-29,$E284),TODAY()-29))-YEAR($D284))*12+MONTH(MIN(IF($E284="",TODAY()-29,$E284),TODAY()-29))-MONTH($D284)+IF(MIN(IF($E284="",TODAY()-29,$E284),TODAY()-29)&gt;=EOMONTH(MIN(IF($E284="",TODAY()-29,$E284),TODAY()-29),0),1,0)),MAX(0,INT((MIN(IF($E284="",TODAY()-29,$E284),TODAY()-29)-($D284+MOD(SISTEM!$F$8-WEEKDAY($D284,2),7)))/7)+1)))</f>
        <v/>
      </c>
      <c r="M284" s="223">
        <f>IF($G284&gt;0,$I284/$G284,0)</f>
        <v/>
      </c>
      <c r="N284" s="113">
        <f>IF($C284="","",IF($B284="TANIMSIZ MÜŞTERİ","TANIMSIZ MÜŞTERİ",IF($F284="","MODEL SEÇİN",IF(OR($D284="",$G284&lt;=0),"EKSİK",IF(AND($E284&lt;&gt;"",$E284&lt;$D284),"TARİH HATASI",IF($H284="Pasif","KAPALI DÖNEM","UYGUN"))))))</f>
        <v/>
      </c>
      <c r="O284" s="224">
        <f>IF(OR($C284="",$D284="",$F284=""),"",IF($F284="Aylık",EOMONTH($D284,0),($D284+MOD(SISTEM!$F$8-WEEKDAY($D284,2),7))))</f>
        <v/>
      </c>
      <c r="P284" s="109" t="n"/>
      <c r="Q284" s="6" t="n"/>
      <c r="R284" s="6" t="n"/>
      <c r="S284" s="3">
        <f>IF($B284="","",$B284&amp;"|"&amp;COUNTIFS($B$7:$B284,$B284))</f>
        <v/>
      </c>
      <c r="T284" s="3">
        <f>IF($C284="","",UPPER(SUBSTITUTE(SUBSTITUTE(SUBSTITUTE(SUBSTITUTE(SUBSTITUTE(SUBSTITUTE(SUBSTITUTE(SUBSTITUTE(SUBSTITUTE(SUBSTITUTE(SUBSTITUTE(SUBSTITUTE(SUBSTITUTE(SUBSTITUTE(SUBSTITUTE(SUBSTITUTE(SUBSTITUTE(SUBSTITUTE(TRIM($C284),"'",""),"İ","I"),"ı","I"),"i","I"),"Ş","S"),"ş","S"),"Ğ","G"),"ğ","G"),"Ü","U"),"ü","U"),"Ö","O"),"ö","O"),"Ç","C"),"ç","C"),".",""),",","")," ",""),"-","")))</f>
        <v/>
      </c>
    </row>
    <row r="285">
      <c r="A285" s="6" t="n"/>
      <c r="B285" s="113">
        <f>IF($C285="","",IFERROR(INDEX(MUSTERILER!$B$7:$B$106,MATCH($T285,MUSTERILER!$T$7:$T$106,0)),IFERROR(INDEX(MUSTERILER!$B$7:$B$106,MATCH($C285,MUSTERILER!$B$7:$B$106,0)),IFERROR(INDEX(MUSTERILER!$B$7:$B$106,MATCH($T285&amp;"*",MUSTERILER!$T$7:$T$106,0)),"TANIMSIZ MÜŞTERİ"))))</f>
        <v/>
      </c>
      <c r="C285" s="109" t="n"/>
      <c r="D285" s="220" t="n"/>
      <c r="E285" s="220" t="n"/>
      <c r="F285" s="108" t="n"/>
      <c r="G285" s="221" t="n"/>
      <c r="H285" s="108" t="n"/>
      <c r="I285" s="222">
        <f>IF(OR($C285="",$D285="",$G285="",$F285=""),0,$G285*IF($F285="Aylık",MAX(0,(YEAR(MIN(IF($E285="",TODAY(),$E285),TODAY()))-YEAR($D285))*12+MONTH(MIN(IF($E285="",TODAY(),$E285),TODAY()))-MONTH($D285)+IF(MIN(IF($E285="",TODAY(),$E285),TODAY())&gt;=EOMONTH(MIN(IF($E285="",TODAY(),$E285),TODAY()),0),1,0)),MAX(0,INT((MIN(IF($E285="",TODAY(),$E285),TODAY())-($D285+MOD(SISTEM!$F$8-WEEKDAY($D285,2),7)))/7)+1)))</f>
        <v/>
      </c>
      <c r="J285" s="222">
        <f>IF(OR($C285="",$D285="",$G285="",$F285=""),0,$G285*IF($F285="Aylık",MAX(0,(YEAR(MIN(IF($E285="",TODAY()-8,$E285),TODAY()-8))-YEAR($D285))*12+MONTH(MIN(IF($E285="",TODAY()-8,$E285),TODAY()-8))-MONTH($D285)+IF(MIN(IF($E285="",TODAY()-8,$E285),TODAY()-8)&gt;=EOMONTH(MIN(IF($E285="",TODAY()-8,$E285),TODAY()-8),0),1,0)),MAX(0,INT((MIN(IF($E285="",TODAY()-8,$E285),TODAY()-8)-($D285+MOD(SISTEM!$F$8-WEEKDAY($D285,2),7)))/7)+1)))</f>
        <v/>
      </c>
      <c r="K285" s="222">
        <f>IF(OR($C285="",$D285="",$G285="",$F285=""),0,$G285*IF($F285="Aylık",MAX(0,(YEAR(MIN(IF($E285="",TODAY()-15,$E285),TODAY()-15))-YEAR($D285))*12+MONTH(MIN(IF($E285="",TODAY()-15,$E285),TODAY()-15))-MONTH($D285)+IF(MIN(IF($E285="",TODAY()-15,$E285),TODAY()-15)&gt;=EOMONTH(MIN(IF($E285="",TODAY()-15,$E285),TODAY()-15),0),1,0)),MAX(0,INT((MIN(IF($E285="",TODAY()-15,$E285),TODAY()-15)-($D285+MOD(SISTEM!$F$8-WEEKDAY($D285,2),7)))/7)+1)))</f>
        <v/>
      </c>
      <c r="L285" s="222">
        <f>IF(OR($C285="",$D285="",$G285="",$F285=""),0,$G285*IF($F285="Aylık",MAX(0,(YEAR(MIN(IF($E285="",TODAY()-29,$E285),TODAY()-29))-YEAR($D285))*12+MONTH(MIN(IF($E285="",TODAY()-29,$E285),TODAY()-29))-MONTH($D285)+IF(MIN(IF($E285="",TODAY()-29,$E285),TODAY()-29)&gt;=EOMONTH(MIN(IF($E285="",TODAY()-29,$E285),TODAY()-29),0),1,0)),MAX(0,INT((MIN(IF($E285="",TODAY()-29,$E285),TODAY()-29)-($D285+MOD(SISTEM!$F$8-WEEKDAY($D285,2),7)))/7)+1)))</f>
        <v/>
      </c>
      <c r="M285" s="223">
        <f>IF($G285&gt;0,$I285/$G285,0)</f>
        <v/>
      </c>
      <c r="N285" s="113">
        <f>IF($C285="","",IF($B285="TANIMSIZ MÜŞTERİ","TANIMSIZ MÜŞTERİ",IF($F285="","MODEL SEÇİN",IF(OR($D285="",$G285&lt;=0),"EKSİK",IF(AND($E285&lt;&gt;"",$E285&lt;$D285),"TARİH HATASI",IF($H285="Pasif","KAPALI DÖNEM","UYGUN"))))))</f>
        <v/>
      </c>
      <c r="O285" s="224">
        <f>IF(OR($C285="",$D285="",$F285=""),"",IF($F285="Aylık",EOMONTH($D285,0),($D285+MOD(SISTEM!$F$8-WEEKDAY($D285,2),7))))</f>
        <v/>
      </c>
      <c r="P285" s="109" t="n"/>
      <c r="Q285" s="6" t="n"/>
      <c r="R285" s="6" t="n"/>
      <c r="S285" s="3">
        <f>IF($B285="","",$B285&amp;"|"&amp;COUNTIFS($B$7:$B285,$B285))</f>
        <v/>
      </c>
      <c r="T285" s="3">
        <f>IF($C285="","",UPPER(SUBSTITUTE(SUBSTITUTE(SUBSTITUTE(SUBSTITUTE(SUBSTITUTE(SUBSTITUTE(SUBSTITUTE(SUBSTITUTE(SUBSTITUTE(SUBSTITUTE(SUBSTITUTE(SUBSTITUTE(SUBSTITUTE(SUBSTITUTE(SUBSTITUTE(SUBSTITUTE(SUBSTITUTE(SUBSTITUTE(TRIM($C285),"'",""),"İ","I"),"ı","I"),"i","I"),"Ş","S"),"ş","S"),"Ğ","G"),"ğ","G"),"Ü","U"),"ü","U"),"Ö","O"),"ö","O"),"Ç","C"),"ç","C"),".",""),",","")," ",""),"-","")))</f>
        <v/>
      </c>
    </row>
    <row r="286">
      <c r="A286" s="6" t="n"/>
      <c r="B286" s="113">
        <f>IF($C286="","",IFERROR(INDEX(MUSTERILER!$B$7:$B$106,MATCH($T286,MUSTERILER!$T$7:$T$106,0)),IFERROR(INDEX(MUSTERILER!$B$7:$B$106,MATCH($C286,MUSTERILER!$B$7:$B$106,0)),IFERROR(INDEX(MUSTERILER!$B$7:$B$106,MATCH($T286&amp;"*",MUSTERILER!$T$7:$T$106,0)),"TANIMSIZ MÜŞTERİ"))))</f>
        <v/>
      </c>
      <c r="C286" s="109" t="n"/>
      <c r="D286" s="220" t="n"/>
      <c r="E286" s="220" t="n"/>
      <c r="F286" s="108" t="n"/>
      <c r="G286" s="221" t="n"/>
      <c r="H286" s="108" t="n"/>
      <c r="I286" s="222">
        <f>IF(OR($C286="",$D286="",$G286="",$F286=""),0,$G286*IF($F286="Aylık",MAX(0,(YEAR(MIN(IF($E286="",TODAY(),$E286),TODAY()))-YEAR($D286))*12+MONTH(MIN(IF($E286="",TODAY(),$E286),TODAY()))-MONTH($D286)+IF(MIN(IF($E286="",TODAY(),$E286),TODAY())&gt;=EOMONTH(MIN(IF($E286="",TODAY(),$E286),TODAY()),0),1,0)),MAX(0,INT((MIN(IF($E286="",TODAY(),$E286),TODAY())-($D286+MOD(SISTEM!$F$8-WEEKDAY($D286,2),7)))/7)+1)))</f>
        <v/>
      </c>
      <c r="J286" s="222">
        <f>IF(OR($C286="",$D286="",$G286="",$F286=""),0,$G286*IF($F286="Aylık",MAX(0,(YEAR(MIN(IF($E286="",TODAY()-8,$E286),TODAY()-8))-YEAR($D286))*12+MONTH(MIN(IF($E286="",TODAY()-8,$E286),TODAY()-8))-MONTH($D286)+IF(MIN(IF($E286="",TODAY()-8,$E286),TODAY()-8)&gt;=EOMONTH(MIN(IF($E286="",TODAY()-8,$E286),TODAY()-8),0),1,0)),MAX(0,INT((MIN(IF($E286="",TODAY()-8,$E286),TODAY()-8)-($D286+MOD(SISTEM!$F$8-WEEKDAY($D286,2),7)))/7)+1)))</f>
        <v/>
      </c>
      <c r="K286" s="222">
        <f>IF(OR($C286="",$D286="",$G286="",$F286=""),0,$G286*IF($F286="Aylık",MAX(0,(YEAR(MIN(IF($E286="",TODAY()-15,$E286),TODAY()-15))-YEAR($D286))*12+MONTH(MIN(IF($E286="",TODAY()-15,$E286),TODAY()-15))-MONTH($D286)+IF(MIN(IF($E286="",TODAY()-15,$E286),TODAY()-15)&gt;=EOMONTH(MIN(IF($E286="",TODAY()-15,$E286),TODAY()-15),0),1,0)),MAX(0,INT((MIN(IF($E286="",TODAY()-15,$E286),TODAY()-15)-($D286+MOD(SISTEM!$F$8-WEEKDAY($D286,2),7)))/7)+1)))</f>
        <v/>
      </c>
      <c r="L286" s="222">
        <f>IF(OR($C286="",$D286="",$G286="",$F286=""),0,$G286*IF($F286="Aylık",MAX(0,(YEAR(MIN(IF($E286="",TODAY()-29,$E286),TODAY()-29))-YEAR($D286))*12+MONTH(MIN(IF($E286="",TODAY()-29,$E286),TODAY()-29))-MONTH($D286)+IF(MIN(IF($E286="",TODAY()-29,$E286),TODAY()-29)&gt;=EOMONTH(MIN(IF($E286="",TODAY()-29,$E286),TODAY()-29),0),1,0)),MAX(0,INT((MIN(IF($E286="",TODAY()-29,$E286),TODAY()-29)-($D286+MOD(SISTEM!$F$8-WEEKDAY($D286,2),7)))/7)+1)))</f>
        <v/>
      </c>
      <c r="M286" s="223">
        <f>IF($G286&gt;0,$I286/$G286,0)</f>
        <v/>
      </c>
      <c r="N286" s="113">
        <f>IF($C286="","",IF($B286="TANIMSIZ MÜŞTERİ","TANIMSIZ MÜŞTERİ",IF($F286="","MODEL SEÇİN",IF(OR($D286="",$G286&lt;=0),"EKSİK",IF(AND($E286&lt;&gt;"",$E286&lt;$D286),"TARİH HATASI",IF($H286="Pasif","KAPALI DÖNEM","UYGUN"))))))</f>
        <v/>
      </c>
      <c r="O286" s="224">
        <f>IF(OR($C286="",$D286="",$F286=""),"",IF($F286="Aylık",EOMONTH($D286,0),($D286+MOD(SISTEM!$F$8-WEEKDAY($D286,2),7))))</f>
        <v/>
      </c>
      <c r="P286" s="109" t="n"/>
      <c r="Q286" s="6" t="n"/>
      <c r="R286" s="6" t="n"/>
      <c r="S286" s="3">
        <f>IF($B286="","",$B286&amp;"|"&amp;COUNTIFS($B$7:$B286,$B286))</f>
        <v/>
      </c>
      <c r="T286" s="3">
        <f>IF($C286="","",UPPER(SUBSTITUTE(SUBSTITUTE(SUBSTITUTE(SUBSTITUTE(SUBSTITUTE(SUBSTITUTE(SUBSTITUTE(SUBSTITUTE(SUBSTITUTE(SUBSTITUTE(SUBSTITUTE(SUBSTITUTE(SUBSTITUTE(SUBSTITUTE(SUBSTITUTE(SUBSTITUTE(SUBSTITUTE(SUBSTITUTE(TRIM($C286),"'",""),"İ","I"),"ı","I"),"i","I"),"Ş","S"),"ş","S"),"Ğ","G"),"ğ","G"),"Ü","U"),"ü","U"),"Ö","O"),"ö","O"),"Ç","C"),"ç","C"),".",""),",","")," ",""),"-","")))</f>
        <v/>
      </c>
    </row>
    <row r="287">
      <c r="A287" s="6" t="n"/>
      <c r="B287" s="113">
        <f>IF($C287="","",IFERROR(INDEX(MUSTERILER!$B$7:$B$106,MATCH($T287,MUSTERILER!$T$7:$T$106,0)),IFERROR(INDEX(MUSTERILER!$B$7:$B$106,MATCH($C287,MUSTERILER!$B$7:$B$106,0)),IFERROR(INDEX(MUSTERILER!$B$7:$B$106,MATCH($T287&amp;"*",MUSTERILER!$T$7:$T$106,0)),"TANIMSIZ MÜŞTERİ"))))</f>
        <v/>
      </c>
      <c r="C287" s="109" t="n"/>
      <c r="D287" s="220" t="n"/>
      <c r="E287" s="220" t="n"/>
      <c r="F287" s="108" t="n"/>
      <c r="G287" s="221" t="n"/>
      <c r="H287" s="108" t="n"/>
      <c r="I287" s="222">
        <f>IF(OR($C287="",$D287="",$G287="",$F287=""),0,$G287*IF($F287="Aylık",MAX(0,(YEAR(MIN(IF($E287="",TODAY(),$E287),TODAY()))-YEAR($D287))*12+MONTH(MIN(IF($E287="",TODAY(),$E287),TODAY()))-MONTH($D287)+IF(MIN(IF($E287="",TODAY(),$E287),TODAY())&gt;=EOMONTH(MIN(IF($E287="",TODAY(),$E287),TODAY()),0),1,0)),MAX(0,INT((MIN(IF($E287="",TODAY(),$E287),TODAY())-($D287+MOD(SISTEM!$F$8-WEEKDAY($D287,2),7)))/7)+1)))</f>
        <v/>
      </c>
      <c r="J287" s="222">
        <f>IF(OR($C287="",$D287="",$G287="",$F287=""),0,$G287*IF($F287="Aylık",MAX(0,(YEAR(MIN(IF($E287="",TODAY()-8,$E287),TODAY()-8))-YEAR($D287))*12+MONTH(MIN(IF($E287="",TODAY()-8,$E287),TODAY()-8))-MONTH($D287)+IF(MIN(IF($E287="",TODAY()-8,$E287),TODAY()-8)&gt;=EOMONTH(MIN(IF($E287="",TODAY()-8,$E287),TODAY()-8),0),1,0)),MAX(0,INT((MIN(IF($E287="",TODAY()-8,$E287),TODAY()-8)-($D287+MOD(SISTEM!$F$8-WEEKDAY($D287,2),7)))/7)+1)))</f>
        <v/>
      </c>
      <c r="K287" s="222">
        <f>IF(OR($C287="",$D287="",$G287="",$F287=""),0,$G287*IF($F287="Aylık",MAX(0,(YEAR(MIN(IF($E287="",TODAY()-15,$E287),TODAY()-15))-YEAR($D287))*12+MONTH(MIN(IF($E287="",TODAY()-15,$E287),TODAY()-15))-MONTH($D287)+IF(MIN(IF($E287="",TODAY()-15,$E287),TODAY()-15)&gt;=EOMONTH(MIN(IF($E287="",TODAY()-15,$E287),TODAY()-15),0),1,0)),MAX(0,INT((MIN(IF($E287="",TODAY()-15,$E287),TODAY()-15)-($D287+MOD(SISTEM!$F$8-WEEKDAY($D287,2),7)))/7)+1)))</f>
        <v/>
      </c>
      <c r="L287" s="222">
        <f>IF(OR($C287="",$D287="",$G287="",$F287=""),0,$G287*IF($F287="Aylık",MAX(0,(YEAR(MIN(IF($E287="",TODAY()-29,$E287),TODAY()-29))-YEAR($D287))*12+MONTH(MIN(IF($E287="",TODAY()-29,$E287),TODAY()-29))-MONTH($D287)+IF(MIN(IF($E287="",TODAY()-29,$E287),TODAY()-29)&gt;=EOMONTH(MIN(IF($E287="",TODAY()-29,$E287),TODAY()-29),0),1,0)),MAX(0,INT((MIN(IF($E287="",TODAY()-29,$E287),TODAY()-29)-($D287+MOD(SISTEM!$F$8-WEEKDAY($D287,2),7)))/7)+1)))</f>
        <v/>
      </c>
      <c r="M287" s="223">
        <f>IF($G287&gt;0,$I287/$G287,0)</f>
        <v/>
      </c>
      <c r="N287" s="113">
        <f>IF($C287="","",IF($B287="TANIMSIZ MÜŞTERİ","TANIMSIZ MÜŞTERİ",IF($F287="","MODEL SEÇİN",IF(OR($D287="",$G287&lt;=0),"EKSİK",IF(AND($E287&lt;&gt;"",$E287&lt;$D287),"TARİH HATASI",IF($H287="Pasif","KAPALI DÖNEM","UYGUN"))))))</f>
        <v/>
      </c>
      <c r="O287" s="224">
        <f>IF(OR($C287="",$D287="",$F287=""),"",IF($F287="Aylık",EOMONTH($D287,0),($D287+MOD(SISTEM!$F$8-WEEKDAY($D287,2),7))))</f>
        <v/>
      </c>
      <c r="P287" s="109" t="n"/>
      <c r="Q287" s="6" t="n"/>
      <c r="R287" s="6" t="n"/>
      <c r="S287" s="3">
        <f>IF($B287="","",$B287&amp;"|"&amp;COUNTIFS($B$7:$B287,$B287))</f>
        <v/>
      </c>
      <c r="T287" s="3">
        <f>IF($C287="","",UPPER(SUBSTITUTE(SUBSTITUTE(SUBSTITUTE(SUBSTITUTE(SUBSTITUTE(SUBSTITUTE(SUBSTITUTE(SUBSTITUTE(SUBSTITUTE(SUBSTITUTE(SUBSTITUTE(SUBSTITUTE(SUBSTITUTE(SUBSTITUTE(SUBSTITUTE(SUBSTITUTE(SUBSTITUTE(SUBSTITUTE(TRIM($C287),"'",""),"İ","I"),"ı","I"),"i","I"),"Ş","S"),"ş","S"),"Ğ","G"),"ğ","G"),"Ü","U"),"ü","U"),"Ö","O"),"ö","O"),"Ç","C"),"ç","C"),".",""),",","")," ",""),"-","")))</f>
        <v/>
      </c>
    </row>
    <row r="288">
      <c r="A288" s="6" t="n"/>
      <c r="B288" s="113">
        <f>IF($C288="","",IFERROR(INDEX(MUSTERILER!$B$7:$B$106,MATCH($T288,MUSTERILER!$T$7:$T$106,0)),IFERROR(INDEX(MUSTERILER!$B$7:$B$106,MATCH($C288,MUSTERILER!$B$7:$B$106,0)),IFERROR(INDEX(MUSTERILER!$B$7:$B$106,MATCH($T288&amp;"*",MUSTERILER!$T$7:$T$106,0)),"TANIMSIZ MÜŞTERİ"))))</f>
        <v/>
      </c>
      <c r="C288" s="109" t="n"/>
      <c r="D288" s="220" t="n"/>
      <c r="E288" s="220" t="n"/>
      <c r="F288" s="108" t="n"/>
      <c r="G288" s="221" t="n"/>
      <c r="H288" s="108" t="n"/>
      <c r="I288" s="222">
        <f>IF(OR($C288="",$D288="",$G288="",$F288=""),0,$G288*IF($F288="Aylık",MAX(0,(YEAR(MIN(IF($E288="",TODAY(),$E288),TODAY()))-YEAR($D288))*12+MONTH(MIN(IF($E288="",TODAY(),$E288),TODAY()))-MONTH($D288)+IF(MIN(IF($E288="",TODAY(),$E288),TODAY())&gt;=EOMONTH(MIN(IF($E288="",TODAY(),$E288),TODAY()),0),1,0)),MAX(0,INT((MIN(IF($E288="",TODAY(),$E288),TODAY())-($D288+MOD(SISTEM!$F$8-WEEKDAY($D288,2),7)))/7)+1)))</f>
        <v/>
      </c>
      <c r="J288" s="222">
        <f>IF(OR($C288="",$D288="",$G288="",$F288=""),0,$G288*IF($F288="Aylık",MAX(0,(YEAR(MIN(IF($E288="",TODAY()-8,$E288),TODAY()-8))-YEAR($D288))*12+MONTH(MIN(IF($E288="",TODAY()-8,$E288),TODAY()-8))-MONTH($D288)+IF(MIN(IF($E288="",TODAY()-8,$E288),TODAY()-8)&gt;=EOMONTH(MIN(IF($E288="",TODAY()-8,$E288),TODAY()-8),0),1,0)),MAX(0,INT((MIN(IF($E288="",TODAY()-8,$E288),TODAY()-8)-($D288+MOD(SISTEM!$F$8-WEEKDAY($D288,2),7)))/7)+1)))</f>
        <v/>
      </c>
      <c r="K288" s="222">
        <f>IF(OR($C288="",$D288="",$G288="",$F288=""),0,$G288*IF($F288="Aylık",MAX(0,(YEAR(MIN(IF($E288="",TODAY()-15,$E288),TODAY()-15))-YEAR($D288))*12+MONTH(MIN(IF($E288="",TODAY()-15,$E288),TODAY()-15))-MONTH($D288)+IF(MIN(IF($E288="",TODAY()-15,$E288),TODAY()-15)&gt;=EOMONTH(MIN(IF($E288="",TODAY()-15,$E288),TODAY()-15),0),1,0)),MAX(0,INT((MIN(IF($E288="",TODAY()-15,$E288),TODAY()-15)-($D288+MOD(SISTEM!$F$8-WEEKDAY($D288,2),7)))/7)+1)))</f>
        <v/>
      </c>
      <c r="L288" s="222">
        <f>IF(OR($C288="",$D288="",$G288="",$F288=""),0,$G288*IF($F288="Aylık",MAX(0,(YEAR(MIN(IF($E288="",TODAY()-29,$E288),TODAY()-29))-YEAR($D288))*12+MONTH(MIN(IF($E288="",TODAY()-29,$E288),TODAY()-29))-MONTH($D288)+IF(MIN(IF($E288="",TODAY()-29,$E288),TODAY()-29)&gt;=EOMONTH(MIN(IF($E288="",TODAY()-29,$E288),TODAY()-29),0),1,0)),MAX(0,INT((MIN(IF($E288="",TODAY()-29,$E288),TODAY()-29)-($D288+MOD(SISTEM!$F$8-WEEKDAY($D288,2),7)))/7)+1)))</f>
        <v/>
      </c>
      <c r="M288" s="223">
        <f>IF($G288&gt;0,$I288/$G288,0)</f>
        <v/>
      </c>
      <c r="N288" s="113">
        <f>IF($C288="","",IF($B288="TANIMSIZ MÜŞTERİ","TANIMSIZ MÜŞTERİ",IF($F288="","MODEL SEÇİN",IF(OR($D288="",$G288&lt;=0),"EKSİK",IF(AND($E288&lt;&gt;"",$E288&lt;$D288),"TARİH HATASI",IF($H288="Pasif","KAPALI DÖNEM","UYGUN"))))))</f>
        <v/>
      </c>
      <c r="O288" s="224">
        <f>IF(OR($C288="",$D288="",$F288=""),"",IF($F288="Aylık",EOMONTH($D288,0),($D288+MOD(SISTEM!$F$8-WEEKDAY($D288,2),7))))</f>
        <v/>
      </c>
      <c r="P288" s="109" t="n"/>
      <c r="Q288" s="6" t="n"/>
      <c r="R288" s="6" t="n"/>
      <c r="S288" s="3">
        <f>IF($B288="","",$B288&amp;"|"&amp;COUNTIFS($B$7:$B288,$B288))</f>
        <v/>
      </c>
      <c r="T288" s="3">
        <f>IF($C288="","",UPPER(SUBSTITUTE(SUBSTITUTE(SUBSTITUTE(SUBSTITUTE(SUBSTITUTE(SUBSTITUTE(SUBSTITUTE(SUBSTITUTE(SUBSTITUTE(SUBSTITUTE(SUBSTITUTE(SUBSTITUTE(SUBSTITUTE(SUBSTITUTE(SUBSTITUTE(SUBSTITUTE(SUBSTITUTE(SUBSTITUTE(TRIM($C288),"'",""),"İ","I"),"ı","I"),"i","I"),"Ş","S"),"ş","S"),"Ğ","G"),"ğ","G"),"Ü","U"),"ü","U"),"Ö","O"),"ö","O"),"Ç","C"),"ç","C"),".",""),",","")," ",""),"-","")))</f>
        <v/>
      </c>
    </row>
    <row r="289">
      <c r="A289" s="6" t="n"/>
      <c r="B289" s="113">
        <f>IF($C289="","",IFERROR(INDEX(MUSTERILER!$B$7:$B$106,MATCH($T289,MUSTERILER!$T$7:$T$106,0)),IFERROR(INDEX(MUSTERILER!$B$7:$B$106,MATCH($C289,MUSTERILER!$B$7:$B$106,0)),IFERROR(INDEX(MUSTERILER!$B$7:$B$106,MATCH($T289&amp;"*",MUSTERILER!$T$7:$T$106,0)),"TANIMSIZ MÜŞTERİ"))))</f>
        <v/>
      </c>
      <c r="C289" s="109" t="n"/>
      <c r="D289" s="220" t="n"/>
      <c r="E289" s="220" t="n"/>
      <c r="F289" s="108" t="n"/>
      <c r="G289" s="221" t="n"/>
      <c r="H289" s="108" t="n"/>
      <c r="I289" s="222">
        <f>IF(OR($C289="",$D289="",$G289="",$F289=""),0,$G289*IF($F289="Aylık",MAX(0,(YEAR(MIN(IF($E289="",TODAY(),$E289),TODAY()))-YEAR($D289))*12+MONTH(MIN(IF($E289="",TODAY(),$E289),TODAY()))-MONTH($D289)+IF(MIN(IF($E289="",TODAY(),$E289),TODAY())&gt;=EOMONTH(MIN(IF($E289="",TODAY(),$E289),TODAY()),0),1,0)),MAX(0,INT((MIN(IF($E289="",TODAY(),$E289),TODAY())-($D289+MOD(SISTEM!$F$8-WEEKDAY($D289,2),7)))/7)+1)))</f>
        <v/>
      </c>
      <c r="J289" s="222">
        <f>IF(OR($C289="",$D289="",$G289="",$F289=""),0,$G289*IF($F289="Aylık",MAX(0,(YEAR(MIN(IF($E289="",TODAY()-8,$E289),TODAY()-8))-YEAR($D289))*12+MONTH(MIN(IF($E289="",TODAY()-8,$E289),TODAY()-8))-MONTH($D289)+IF(MIN(IF($E289="",TODAY()-8,$E289),TODAY()-8)&gt;=EOMONTH(MIN(IF($E289="",TODAY()-8,$E289),TODAY()-8),0),1,0)),MAX(0,INT((MIN(IF($E289="",TODAY()-8,$E289),TODAY()-8)-($D289+MOD(SISTEM!$F$8-WEEKDAY($D289,2),7)))/7)+1)))</f>
        <v/>
      </c>
      <c r="K289" s="222">
        <f>IF(OR($C289="",$D289="",$G289="",$F289=""),0,$G289*IF($F289="Aylık",MAX(0,(YEAR(MIN(IF($E289="",TODAY()-15,$E289),TODAY()-15))-YEAR($D289))*12+MONTH(MIN(IF($E289="",TODAY()-15,$E289),TODAY()-15))-MONTH($D289)+IF(MIN(IF($E289="",TODAY()-15,$E289),TODAY()-15)&gt;=EOMONTH(MIN(IF($E289="",TODAY()-15,$E289),TODAY()-15),0),1,0)),MAX(0,INT((MIN(IF($E289="",TODAY()-15,$E289),TODAY()-15)-($D289+MOD(SISTEM!$F$8-WEEKDAY($D289,2),7)))/7)+1)))</f>
        <v/>
      </c>
      <c r="L289" s="222">
        <f>IF(OR($C289="",$D289="",$G289="",$F289=""),0,$G289*IF($F289="Aylık",MAX(0,(YEAR(MIN(IF($E289="",TODAY()-29,$E289),TODAY()-29))-YEAR($D289))*12+MONTH(MIN(IF($E289="",TODAY()-29,$E289),TODAY()-29))-MONTH($D289)+IF(MIN(IF($E289="",TODAY()-29,$E289),TODAY()-29)&gt;=EOMONTH(MIN(IF($E289="",TODAY()-29,$E289),TODAY()-29),0),1,0)),MAX(0,INT((MIN(IF($E289="",TODAY()-29,$E289),TODAY()-29)-($D289+MOD(SISTEM!$F$8-WEEKDAY($D289,2),7)))/7)+1)))</f>
        <v/>
      </c>
      <c r="M289" s="223">
        <f>IF($G289&gt;0,$I289/$G289,0)</f>
        <v/>
      </c>
      <c r="N289" s="113">
        <f>IF($C289="","",IF($B289="TANIMSIZ MÜŞTERİ","TANIMSIZ MÜŞTERİ",IF($F289="","MODEL SEÇİN",IF(OR($D289="",$G289&lt;=0),"EKSİK",IF(AND($E289&lt;&gt;"",$E289&lt;$D289),"TARİH HATASI",IF($H289="Pasif","KAPALI DÖNEM","UYGUN"))))))</f>
        <v/>
      </c>
      <c r="O289" s="224">
        <f>IF(OR($C289="",$D289="",$F289=""),"",IF($F289="Aylık",EOMONTH($D289,0),($D289+MOD(SISTEM!$F$8-WEEKDAY($D289,2),7))))</f>
        <v/>
      </c>
      <c r="P289" s="109" t="n"/>
      <c r="Q289" s="6" t="n"/>
      <c r="R289" s="6" t="n"/>
      <c r="S289" s="3">
        <f>IF($B289="","",$B289&amp;"|"&amp;COUNTIFS($B$7:$B289,$B289))</f>
        <v/>
      </c>
      <c r="T289" s="3">
        <f>IF($C289="","",UPPER(SUBSTITUTE(SUBSTITUTE(SUBSTITUTE(SUBSTITUTE(SUBSTITUTE(SUBSTITUTE(SUBSTITUTE(SUBSTITUTE(SUBSTITUTE(SUBSTITUTE(SUBSTITUTE(SUBSTITUTE(SUBSTITUTE(SUBSTITUTE(SUBSTITUTE(SUBSTITUTE(SUBSTITUTE(SUBSTITUTE(TRIM($C289),"'",""),"İ","I"),"ı","I"),"i","I"),"Ş","S"),"ş","S"),"Ğ","G"),"ğ","G"),"Ü","U"),"ü","U"),"Ö","O"),"ö","O"),"Ç","C"),"ç","C"),".",""),",","")," ",""),"-","")))</f>
        <v/>
      </c>
    </row>
    <row r="290">
      <c r="A290" s="6" t="n"/>
      <c r="B290" s="113">
        <f>IF($C290="","",IFERROR(INDEX(MUSTERILER!$B$7:$B$106,MATCH($T290,MUSTERILER!$T$7:$T$106,0)),IFERROR(INDEX(MUSTERILER!$B$7:$B$106,MATCH($C290,MUSTERILER!$B$7:$B$106,0)),IFERROR(INDEX(MUSTERILER!$B$7:$B$106,MATCH($T290&amp;"*",MUSTERILER!$T$7:$T$106,0)),"TANIMSIZ MÜŞTERİ"))))</f>
        <v/>
      </c>
      <c r="C290" s="109" t="n"/>
      <c r="D290" s="220" t="n"/>
      <c r="E290" s="220" t="n"/>
      <c r="F290" s="108" t="n"/>
      <c r="G290" s="221" t="n"/>
      <c r="H290" s="108" t="n"/>
      <c r="I290" s="222">
        <f>IF(OR($C290="",$D290="",$G290="",$F290=""),0,$G290*IF($F290="Aylık",MAX(0,(YEAR(MIN(IF($E290="",TODAY(),$E290),TODAY()))-YEAR($D290))*12+MONTH(MIN(IF($E290="",TODAY(),$E290),TODAY()))-MONTH($D290)+IF(MIN(IF($E290="",TODAY(),$E290),TODAY())&gt;=EOMONTH(MIN(IF($E290="",TODAY(),$E290),TODAY()),0),1,0)),MAX(0,INT((MIN(IF($E290="",TODAY(),$E290),TODAY())-($D290+MOD(SISTEM!$F$8-WEEKDAY($D290,2),7)))/7)+1)))</f>
        <v/>
      </c>
      <c r="J290" s="222">
        <f>IF(OR($C290="",$D290="",$G290="",$F290=""),0,$G290*IF($F290="Aylık",MAX(0,(YEAR(MIN(IF($E290="",TODAY()-8,$E290),TODAY()-8))-YEAR($D290))*12+MONTH(MIN(IF($E290="",TODAY()-8,$E290),TODAY()-8))-MONTH($D290)+IF(MIN(IF($E290="",TODAY()-8,$E290),TODAY()-8)&gt;=EOMONTH(MIN(IF($E290="",TODAY()-8,$E290),TODAY()-8),0),1,0)),MAX(0,INT((MIN(IF($E290="",TODAY()-8,$E290),TODAY()-8)-($D290+MOD(SISTEM!$F$8-WEEKDAY($D290,2),7)))/7)+1)))</f>
        <v/>
      </c>
      <c r="K290" s="222">
        <f>IF(OR($C290="",$D290="",$G290="",$F290=""),0,$G290*IF($F290="Aylık",MAX(0,(YEAR(MIN(IF($E290="",TODAY()-15,$E290),TODAY()-15))-YEAR($D290))*12+MONTH(MIN(IF($E290="",TODAY()-15,$E290),TODAY()-15))-MONTH($D290)+IF(MIN(IF($E290="",TODAY()-15,$E290),TODAY()-15)&gt;=EOMONTH(MIN(IF($E290="",TODAY()-15,$E290),TODAY()-15),0),1,0)),MAX(0,INT((MIN(IF($E290="",TODAY()-15,$E290),TODAY()-15)-($D290+MOD(SISTEM!$F$8-WEEKDAY($D290,2),7)))/7)+1)))</f>
        <v/>
      </c>
      <c r="L290" s="222">
        <f>IF(OR($C290="",$D290="",$G290="",$F290=""),0,$G290*IF($F290="Aylık",MAX(0,(YEAR(MIN(IF($E290="",TODAY()-29,$E290),TODAY()-29))-YEAR($D290))*12+MONTH(MIN(IF($E290="",TODAY()-29,$E290),TODAY()-29))-MONTH($D290)+IF(MIN(IF($E290="",TODAY()-29,$E290),TODAY()-29)&gt;=EOMONTH(MIN(IF($E290="",TODAY()-29,$E290),TODAY()-29),0),1,0)),MAX(0,INT((MIN(IF($E290="",TODAY()-29,$E290),TODAY()-29)-($D290+MOD(SISTEM!$F$8-WEEKDAY($D290,2),7)))/7)+1)))</f>
        <v/>
      </c>
      <c r="M290" s="223">
        <f>IF($G290&gt;0,$I290/$G290,0)</f>
        <v/>
      </c>
      <c r="N290" s="113">
        <f>IF($C290="","",IF($B290="TANIMSIZ MÜŞTERİ","TANIMSIZ MÜŞTERİ",IF($F290="","MODEL SEÇİN",IF(OR($D290="",$G290&lt;=0),"EKSİK",IF(AND($E290&lt;&gt;"",$E290&lt;$D290),"TARİH HATASI",IF($H290="Pasif","KAPALI DÖNEM","UYGUN"))))))</f>
        <v/>
      </c>
      <c r="O290" s="224">
        <f>IF(OR($C290="",$D290="",$F290=""),"",IF($F290="Aylık",EOMONTH($D290,0),($D290+MOD(SISTEM!$F$8-WEEKDAY($D290,2),7))))</f>
        <v/>
      </c>
      <c r="P290" s="109" t="n"/>
      <c r="Q290" s="6" t="n"/>
      <c r="R290" s="6" t="n"/>
      <c r="S290" s="3">
        <f>IF($B290="","",$B290&amp;"|"&amp;COUNTIFS($B$7:$B290,$B290))</f>
        <v/>
      </c>
      <c r="T290" s="3">
        <f>IF($C290="","",UPPER(SUBSTITUTE(SUBSTITUTE(SUBSTITUTE(SUBSTITUTE(SUBSTITUTE(SUBSTITUTE(SUBSTITUTE(SUBSTITUTE(SUBSTITUTE(SUBSTITUTE(SUBSTITUTE(SUBSTITUTE(SUBSTITUTE(SUBSTITUTE(SUBSTITUTE(SUBSTITUTE(SUBSTITUTE(SUBSTITUTE(TRIM($C290),"'",""),"İ","I"),"ı","I"),"i","I"),"Ş","S"),"ş","S"),"Ğ","G"),"ğ","G"),"Ü","U"),"ü","U"),"Ö","O"),"ö","O"),"Ç","C"),"ç","C"),".",""),",","")," ",""),"-","")))</f>
        <v/>
      </c>
    </row>
    <row r="291">
      <c r="A291" s="6" t="n"/>
      <c r="B291" s="113">
        <f>IF($C291="","",IFERROR(INDEX(MUSTERILER!$B$7:$B$106,MATCH($T291,MUSTERILER!$T$7:$T$106,0)),IFERROR(INDEX(MUSTERILER!$B$7:$B$106,MATCH($C291,MUSTERILER!$B$7:$B$106,0)),IFERROR(INDEX(MUSTERILER!$B$7:$B$106,MATCH($T291&amp;"*",MUSTERILER!$T$7:$T$106,0)),"TANIMSIZ MÜŞTERİ"))))</f>
        <v/>
      </c>
      <c r="C291" s="109" t="n"/>
      <c r="D291" s="220" t="n"/>
      <c r="E291" s="220" t="n"/>
      <c r="F291" s="108" t="n"/>
      <c r="G291" s="221" t="n"/>
      <c r="H291" s="108" t="n"/>
      <c r="I291" s="222">
        <f>IF(OR($C291="",$D291="",$G291="",$F291=""),0,$G291*IF($F291="Aylık",MAX(0,(YEAR(MIN(IF($E291="",TODAY(),$E291),TODAY()))-YEAR($D291))*12+MONTH(MIN(IF($E291="",TODAY(),$E291),TODAY()))-MONTH($D291)+IF(MIN(IF($E291="",TODAY(),$E291),TODAY())&gt;=EOMONTH(MIN(IF($E291="",TODAY(),$E291),TODAY()),0),1,0)),MAX(0,INT((MIN(IF($E291="",TODAY(),$E291),TODAY())-($D291+MOD(SISTEM!$F$8-WEEKDAY($D291,2),7)))/7)+1)))</f>
        <v/>
      </c>
      <c r="J291" s="222">
        <f>IF(OR($C291="",$D291="",$G291="",$F291=""),0,$G291*IF($F291="Aylık",MAX(0,(YEAR(MIN(IF($E291="",TODAY()-8,$E291),TODAY()-8))-YEAR($D291))*12+MONTH(MIN(IF($E291="",TODAY()-8,$E291),TODAY()-8))-MONTH($D291)+IF(MIN(IF($E291="",TODAY()-8,$E291),TODAY()-8)&gt;=EOMONTH(MIN(IF($E291="",TODAY()-8,$E291),TODAY()-8),0),1,0)),MAX(0,INT((MIN(IF($E291="",TODAY()-8,$E291),TODAY()-8)-($D291+MOD(SISTEM!$F$8-WEEKDAY($D291,2),7)))/7)+1)))</f>
        <v/>
      </c>
      <c r="K291" s="222">
        <f>IF(OR($C291="",$D291="",$G291="",$F291=""),0,$G291*IF($F291="Aylık",MAX(0,(YEAR(MIN(IF($E291="",TODAY()-15,$E291),TODAY()-15))-YEAR($D291))*12+MONTH(MIN(IF($E291="",TODAY()-15,$E291),TODAY()-15))-MONTH($D291)+IF(MIN(IF($E291="",TODAY()-15,$E291),TODAY()-15)&gt;=EOMONTH(MIN(IF($E291="",TODAY()-15,$E291),TODAY()-15),0),1,0)),MAX(0,INT((MIN(IF($E291="",TODAY()-15,$E291),TODAY()-15)-($D291+MOD(SISTEM!$F$8-WEEKDAY($D291,2),7)))/7)+1)))</f>
        <v/>
      </c>
      <c r="L291" s="222">
        <f>IF(OR($C291="",$D291="",$G291="",$F291=""),0,$G291*IF($F291="Aylık",MAX(0,(YEAR(MIN(IF($E291="",TODAY()-29,$E291),TODAY()-29))-YEAR($D291))*12+MONTH(MIN(IF($E291="",TODAY()-29,$E291),TODAY()-29))-MONTH($D291)+IF(MIN(IF($E291="",TODAY()-29,$E291),TODAY()-29)&gt;=EOMONTH(MIN(IF($E291="",TODAY()-29,$E291),TODAY()-29),0),1,0)),MAX(0,INT((MIN(IF($E291="",TODAY()-29,$E291),TODAY()-29)-($D291+MOD(SISTEM!$F$8-WEEKDAY($D291,2),7)))/7)+1)))</f>
        <v/>
      </c>
      <c r="M291" s="223">
        <f>IF($G291&gt;0,$I291/$G291,0)</f>
        <v/>
      </c>
      <c r="N291" s="113">
        <f>IF($C291="","",IF($B291="TANIMSIZ MÜŞTERİ","TANIMSIZ MÜŞTERİ",IF($F291="","MODEL SEÇİN",IF(OR($D291="",$G291&lt;=0),"EKSİK",IF(AND($E291&lt;&gt;"",$E291&lt;$D291),"TARİH HATASI",IF($H291="Pasif","KAPALI DÖNEM","UYGUN"))))))</f>
        <v/>
      </c>
      <c r="O291" s="224">
        <f>IF(OR($C291="",$D291="",$F291=""),"",IF($F291="Aylık",EOMONTH($D291,0),($D291+MOD(SISTEM!$F$8-WEEKDAY($D291,2),7))))</f>
        <v/>
      </c>
      <c r="P291" s="109" t="n"/>
      <c r="Q291" s="6" t="n"/>
      <c r="R291" s="6" t="n"/>
      <c r="S291" s="3">
        <f>IF($B291="","",$B291&amp;"|"&amp;COUNTIFS($B$7:$B291,$B291))</f>
        <v/>
      </c>
      <c r="T291" s="3">
        <f>IF($C291="","",UPPER(SUBSTITUTE(SUBSTITUTE(SUBSTITUTE(SUBSTITUTE(SUBSTITUTE(SUBSTITUTE(SUBSTITUTE(SUBSTITUTE(SUBSTITUTE(SUBSTITUTE(SUBSTITUTE(SUBSTITUTE(SUBSTITUTE(SUBSTITUTE(SUBSTITUTE(SUBSTITUTE(SUBSTITUTE(SUBSTITUTE(TRIM($C291),"'",""),"İ","I"),"ı","I"),"i","I"),"Ş","S"),"ş","S"),"Ğ","G"),"ğ","G"),"Ü","U"),"ü","U"),"Ö","O"),"ö","O"),"Ç","C"),"ç","C"),".",""),",","")," ",""),"-","")))</f>
        <v/>
      </c>
    </row>
    <row r="292">
      <c r="A292" s="6" t="n"/>
      <c r="B292" s="113">
        <f>IF($C292="","",IFERROR(INDEX(MUSTERILER!$B$7:$B$106,MATCH($T292,MUSTERILER!$T$7:$T$106,0)),IFERROR(INDEX(MUSTERILER!$B$7:$B$106,MATCH($C292,MUSTERILER!$B$7:$B$106,0)),IFERROR(INDEX(MUSTERILER!$B$7:$B$106,MATCH($T292&amp;"*",MUSTERILER!$T$7:$T$106,0)),"TANIMSIZ MÜŞTERİ"))))</f>
        <v/>
      </c>
      <c r="C292" s="109" t="n"/>
      <c r="D292" s="220" t="n"/>
      <c r="E292" s="220" t="n"/>
      <c r="F292" s="108" t="n"/>
      <c r="G292" s="221" t="n"/>
      <c r="H292" s="108" t="n"/>
      <c r="I292" s="222">
        <f>IF(OR($C292="",$D292="",$G292="",$F292=""),0,$G292*IF($F292="Aylık",MAX(0,(YEAR(MIN(IF($E292="",TODAY(),$E292),TODAY()))-YEAR($D292))*12+MONTH(MIN(IF($E292="",TODAY(),$E292),TODAY()))-MONTH($D292)+IF(MIN(IF($E292="",TODAY(),$E292),TODAY())&gt;=EOMONTH(MIN(IF($E292="",TODAY(),$E292),TODAY()),0),1,0)),MAX(0,INT((MIN(IF($E292="",TODAY(),$E292),TODAY())-($D292+MOD(SISTEM!$F$8-WEEKDAY($D292,2),7)))/7)+1)))</f>
        <v/>
      </c>
      <c r="J292" s="222">
        <f>IF(OR($C292="",$D292="",$G292="",$F292=""),0,$G292*IF($F292="Aylık",MAX(0,(YEAR(MIN(IF($E292="",TODAY()-8,$E292),TODAY()-8))-YEAR($D292))*12+MONTH(MIN(IF($E292="",TODAY()-8,$E292),TODAY()-8))-MONTH($D292)+IF(MIN(IF($E292="",TODAY()-8,$E292),TODAY()-8)&gt;=EOMONTH(MIN(IF($E292="",TODAY()-8,$E292),TODAY()-8),0),1,0)),MAX(0,INT((MIN(IF($E292="",TODAY()-8,$E292),TODAY()-8)-($D292+MOD(SISTEM!$F$8-WEEKDAY($D292,2),7)))/7)+1)))</f>
        <v/>
      </c>
      <c r="K292" s="222">
        <f>IF(OR($C292="",$D292="",$G292="",$F292=""),0,$G292*IF($F292="Aylık",MAX(0,(YEAR(MIN(IF($E292="",TODAY()-15,$E292),TODAY()-15))-YEAR($D292))*12+MONTH(MIN(IF($E292="",TODAY()-15,$E292),TODAY()-15))-MONTH($D292)+IF(MIN(IF($E292="",TODAY()-15,$E292),TODAY()-15)&gt;=EOMONTH(MIN(IF($E292="",TODAY()-15,$E292),TODAY()-15),0),1,0)),MAX(0,INT((MIN(IF($E292="",TODAY()-15,$E292),TODAY()-15)-($D292+MOD(SISTEM!$F$8-WEEKDAY($D292,2),7)))/7)+1)))</f>
        <v/>
      </c>
      <c r="L292" s="222">
        <f>IF(OR($C292="",$D292="",$G292="",$F292=""),0,$G292*IF($F292="Aylık",MAX(0,(YEAR(MIN(IF($E292="",TODAY()-29,$E292),TODAY()-29))-YEAR($D292))*12+MONTH(MIN(IF($E292="",TODAY()-29,$E292),TODAY()-29))-MONTH($D292)+IF(MIN(IF($E292="",TODAY()-29,$E292),TODAY()-29)&gt;=EOMONTH(MIN(IF($E292="",TODAY()-29,$E292),TODAY()-29),0),1,0)),MAX(0,INT((MIN(IF($E292="",TODAY()-29,$E292),TODAY()-29)-($D292+MOD(SISTEM!$F$8-WEEKDAY($D292,2),7)))/7)+1)))</f>
        <v/>
      </c>
      <c r="M292" s="223">
        <f>IF($G292&gt;0,$I292/$G292,0)</f>
        <v/>
      </c>
      <c r="N292" s="113">
        <f>IF($C292="","",IF($B292="TANIMSIZ MÜŞTERİ","TANIMSIZ MÜŞTERİ",IF($F292="","MODEL SEÇİN",IF(OR($D292="",$G292&lt;=0),"EKSİK",IF(AND($E292&lt;&gt;"",$E292&lt;$D292),"TARİH HATASI",IF($H292="Pasif","KAPALI DÖNEM","UYGUN"))))))</f>
        <v/>
      </c>
      <c r="O292" s="224">
        <f>IF(OR($C292="",$D292="",$F292=""),"",IF($F292="Aylık",EOMONTH($D292,0),($D292+MOD(SISTEM!$F$8-WEEKDAY($D292,2),7))))</f>
        <v/>
      </c>
      <c r="P292" s="109" t="n"/>
      <c r="Q292" s="6" t="n"/>
      <c r="R292" s="6" t="n"/>
      <c r="S292" s="3">
        <f>IF($B292="","",$B292&amp;"|"&amp;COUNTIFS($B$7:$B292,$B292))</f>
        <v/>
      </c>
      <c r="T292" s="3">
        <f>IF($C292="","",UPPER(SUBSTITUTE(SUBSTITUTE(SUBSTITUTE(SUBSTITUTE(SUBSTITUTE(SUBSTITUTE(SUBSTITUTE(SUBSTITUTE(SUBSTITUTE(SUBSTITUTE(SUBSTITUTE(SUBSTITUTE(SUBSTITUTE(SUBSTITUTE(SUBSTITUTE(SUBSTITUTE(SUBSTITUTE(SUBSTITUTE(TRIM($C292),"'",""),"İ","I"),"ı","I"),"i","I"),"Ş","S"),"ş","S"),"Ğ","G"),"ğ","G"),"Ü","U"),"ü","U"),"Ö","O"),"ö","O"),"Ç","C"),"ç","C"),".",""),",","")," ",""),"-","")))</f>
        <v/>
      </c>
    </row>
    <row r="293">
      <c r="A293" s="6" t="n"/>
      <c r="B293" s="113">
        <f>IF($C293="","",IFERROR(INDEX(MUSTERILER!$B$7:$B$106,MATCH($T293,MUSTERILER!$T$7:$T$106,0)),IFERROR(INDEX(MUSTERILER!$B$7:$B$106,MATCH($C293,MUSTERILER!$B$7:$B$106,0)),IFERROR(INDEX(MUSTERILER!$B$7:$B$106,MATCH($T293&amp;"*",MUSTERILER!$T$7:$T$106,0)),"TANIMSIZ MÜŞTERİ"))))</f>
        <v/>
      </c>
      <c r="C293" s="109" t="n"/>
      <c r="D293" s="220" t="n"/>
      <c r="E293" s="220" t="n"/>
      <c r="F293" s="108" t="n"/>
      <c r="G293" s="221" t="n"/>
      <c r="H293" s="108" t="n"/>
      <c r="I293" s="222">
        <f>IF(OR($C293="",$D293="",$G293="",$F293=""),0,$G293*IF($F293="Aylık",MAX(0,(YEAR(MIN(IF($E293="",TODAY(),$E293),TODAY()))-YEAR($D293))*12+MONTH(MIN(IF($E293="",TODAY(),$E293),TODAY()))-MONTH($D293)+IF(MIN(IF($E293="",TODAY(),$E293),TODAY())&gt;=EOMONTH(MIN(IF($E293="",TODAY(),$E293),TODAY()),0),1,0)),MAX(0,INT((MIN(IF($E293="",TODAY(),$E293),TODAY())-($D293+MOD(SISTEM!$F$8-WEEKDAY($D293,2),7)))/7)+1)))</f>
        <v/>
      </c>
      <c r="J293" s="222">
        <f>IF(OR($C293="",$D293="",$G293="",$F293=""),0,$G293*IF($F293="Aylık",MAX(0,(YEAR(MIN(IF($E293="",TODAY()-8,$E293),TODAY()-8))-YEAR($D293))*12+MONTH(MIN(IF($E293="",TODAY()-8,$E293),TODAY()-8))-MONTH($D293)+IF(MIN(IF($E293="",TODAY()-8,$E293),TODAY()-8)&gt;=EOMONTH(MIN(IF($E293="",TODAY()-8,$E293),TODAY()-8),0),1,0)),MAX(0,INT((MIN(IF($E293="",TODAY()-8,$E293),TODAY()-8)-($D293+MOD(SISTEM!$F$8-WEEKDAY($D293,2),7)))/7)+1)))</f>
        <v/>
      </c>
      <c r="K293" s="222">
        <f>IF(OR($C293="",$D293="",$G293="",$F293=""),0,$G293*IF($F293="Aylık",MAX(0,(YEAR(MIN(IF($E293="",TODAY()-15,$E293),TODAY()-15))-YEAR($D293))*12+MONTH(MIN(IF($E293="",TODAY()-15,$E293),TODAY()-15))-MONTH($D293)+IF(MIN(IF($E293="",TODAY()-15,$E293),TODAY()-15)&gt;=EOMONTH(MIN(IF($E293="",TODAY()-15,$E293),TODAY()-15),0),1,0)),MAX(0,INT((MIN(IF($E293="",TODAY()-15,$E293),TODAY()-15)-($D293+MOD(SISTEM!$F$8-WEEKDAY($D293,2),7)))/7)+1)))</f>
        <v/>
      </c>
      <c r="L293" s="222">
        <f>IF(OR($C293="",$D293="",$G293="",$F293=""),0,$G293*IF($F293="Aylık",MAX(0,(YEAR(MIN(IF($E293="",TODAY()-29,$E293),TODAY()-29))-YEAR($D293))*12+MONTH(MIN(IF($E293="",TODAY()-29,$E293),TODAY()-29))-MONTH($D293)+IF(MIN(IF($E293="",TODAY()-29,$E293),TODAY()-29)&gt;=EOMONTH(MIN(IF($E293="",TODAY()-29,$E293),TODAY()-29),0),1,0)),MAX(0,INT((MIN(IF($E293="",TODAY()-29,$E293),TODAY()-29)-($D293+MOD(SISTEM!$F$8-WEEKDAY($D293,2),7)))/7)+1)))</f>
        <v/>
      </c>
      <c r="M293" s="223">
        <f>IF($G293&gt;0,$I293/$G293,0)</f>
        <v/>
      </c>
      <c r="N293" s="113">
        <f>IF($C293="","",IF($B293="TANIMSIZ MÜŞTERİ","TANIMSIZ MÜŞTERİ",IF($F293="","MODEL SEÇİN",IF(OR($D293="",$G293&lt;=0),"EKSİK",IF(AND($E293&lt;&gt;"",$E293&lt;$D293),"TARİH HATASI",IF($H293="Pasif","KAPALI DÖNEM","UYGUN"))))))</f>
        <v/>
      </c>
      <c r="O293" s="224">
        <f>IF(OR($C293="",$D293="",$F293=""),"",IF($F293="Aylık",EOMONTH($D293,0),($D293+MOD(SISTEM!$F$8-WEEKDAY($D293,2),7))))</f>
        <v/>
      </c>
      <c r="P293" s="109" t="n"/>
      <c r="Q293" s="6" t="n"/>
      <c r="R293" s="6" t="n"/>
      <c r="S293" s="3">
        <f>IF($B293="","",$B293&amp;"|"&amp;COUNTIFS($B$7:$B293,$B293))</f>
        <v/>
      </c>
      <c r="T293" s="3">
        <f>IF($C293="","",UPPER(SUBSTITUTE(SUBSTITUTE(SUBSTITUTE(SUBSTITUTE(SUBSTITUTE(SUBSTITUTE(SUBSTITUTE(SUBSTITUTE(SUBSTITUTE(SUBSTITUTE(SUBSTITUTE(SUBSTITUTE(SUBSTITUTE(SUBSTITUTE(SUBSTITUTE(SUBSTITUTE(SUBSTITUTE(SUBSTITUTE(TRIM($C293),"'",""),"İ","I"),"ı","I"),"i","I"),"Ş","S"),"ş","S"),"Ğ","G"),"ğ","G"),"Ü","U"),"ü","U"),"Ö","O"),"ö","O"),"Ç","C"),"ç","C"),".",""),",","")," ",""),"-","")))</f>
        <v/>
      </c>
    </row>
    <row r="294">
      <c r="A294" s="6" t="n"/>
      <c r="B294" s="113">
        <f>IF($C294="","",IFERROR(INDEX(MUSTERILER!$B$7:$B$106,MATCH($T294,MUSTERILER!$T$7:$T$106,0)),IFERROR(INDEX(MUSTERILER!$B$7:$B$106,MATCH($C294,MUSTERILER!$B$7:$B$106,0)),IFERROR(INDEX(MUSTERILER!$B$7:$B$106,MATCH($T294&amp;"*",MUSTERILER!$T$7:$T$106,0)),"TANIMSIZ MÜŞTERİ"))))</f>
        <v/>
      </c>
      <c r="C294" s="109" t="n"/>
      <c r="D294" s="220" t="n"/>
      <c r="E294" s="220" t="n"/>
      <c r="F294" s="108" t="n"/>
      <c r="G294" s="221" t="n"/>
      <c r="H294" s="108" t="n"/>
      <c r="I294" s="222">
        <f>IF(OR($C294="",$D294="",$G294="",$F294=""),0,$G294*IF($F294="Aylık",MAX(0,(YEAR(MIN(IF($E294="",TODAY(),$E294),TODAY()))-YEAR($D294))*12+MONTH(MIN(IF($E294="",TODAY(),$E294),TODAY()))-MONTH($D294)+IF(MIN(IF($E294="",TODAY(),$E294),TODAY())&gt;=EOMONTH(MIN(IF($E294="",TODAY(),$E294),TODAY()),0),1,0)),MAX(0,INT((MIN(IF($E294="",TODAY(),$E294),TODAY())-($D294+MOD(SISTEM!$F$8-WEEKDAY($D294,2),7)))/7)+1)))</f>
        <v/>
      </c>
      <c r="J294" s="222">
        <f>IF(OR($C294="",$D294="",$G294="",$F294=""),0,$G294*IF($F294="Aylık",MAX(0,(YEAR(MIN(IF($E294="",TODAY()-8,$E294),TODAY()-8))-YEAR($D294))*12+MONTH(MIN(IF($E294="",TODAY()-8,$E294),TODAY()-8))-MONTH($D294)+IF(MIN(IF($E294="",TODAY()-8,$E294),TODAY()-8)&gt;=EOMONTH(MIN(IF($E294="",TODAY()-8,$E294),TODAY()-8),0),1,0)),MAX(0,INT((MIN(IF($E294="",TODAY()-8,$E294),TODAY()-8)-($D294+MOD(SISTEM!$F$8-WEEKDAY($D294,2),7)))/7)+1)))</f>
        <v/>
      </c>
      <c r="K294" s="222">
        <f>IF(OR($C294="",$D294="",$G294="",$F294=""),0,$G294*IF($F294="Aylık",MAX(0,(YEAR(MIN(IF($E294="",TODAY()-15,$E294),TODAY()-15))-YEAR($D294))*12+MONTH(MIN(IF($E294="",TODAY()-15,$E294),TODAY()-15))-MONTH($D294)+IF(MIN(IF($E294="",TODAY()-15,$E294),TODAY()-15)&gt;=EOMONTH(MIN(IF($E294="",TODAY()-15,$E294),TODAY()-15),0),1,0)),MAX(0,INT((MIN(IF($E294="",TODAY()-15,$E294),TODAY()-15)-($D294+MOD(SISTEM!$F$8-WEEKDAY($D294,2),7)))/7)+1)))</f>
        <v/>
      </c>
      <c r="L294" s="222">
        <f>IF(OR($C294="",$D294="",$G294="",$F294=""),0,$G294*IF($F294="Aylık",MAX(0,(YEAR(MIN(IF($E294="",TODAY()-29,$E294),TODAY()-29))-YEAR($D294))*12+MONTH(MIN(IF($E294="",TODAY()-29,$E294),TODAY()-29))-MONTH($D294)+IF(MIN(IF($E294="",TODAY()-29,$E294),TODAY()-29)&gt;=EOMONTH(MIN(IF($E294="",TODAY()-29,$E294),TODAY()-29),0),1,0)),MAX(0,INT((MIN(IF($E294="",TODAY()-29,$E294),TODAY()-29)-($D294+MOD(SISTEM!$F$8-WEEKDAY($D294,2),7)))/7)+1)))</f>
        <v/>
      </c>
      <c r="M294" s="223">
        <f>IF($G294&gt;0,$I294/$G294,0)</f>
        <v/>
      </c>
      <c r="N294" s="113">
        <f>IF($C294="","",IF($B294="TANIMSIZ MÜŞTERİ","TANIMSIZ MÜŞTERİ",IF($F294="","MODEL SEÇİN",IF(OR($D294="",$G294&lt;=0),"EKSİK",IF(AND($E294&lt;&gt;"",$E294&lt;$D294),"TARİH HATASI",IF($H294="Pasif","KAPALI DÖNEM","UYGUN"))))))</f>
        <v/>
      </c>
      <c r="O294" s="224">
        <f>IF(OR($C294="",$D294="",$F294=""),"",IF($F294="Aylık",EOMONTH($D294,0),($D294+MOD(SISTEM!$F$8-WEEKDAY($D294,2),7))))</f>
        <v/>
      </c>
      <c r="P294" s="109" t="n"/>
      <c r="Q294" s="6" t="n"/>
      <c r="R294" s="6" t="n"/>
      <c r="S294" s="3">
        <f>IF($B294="","",$B294&amp;"|"&amp;COUNTIFS($B$7:$B294,$B294))</f>
        <v/>
      </c>
      <c r="T294" s="3">
        <f>IF($C294="","",UPPER(SUBSTITUTE(SUBSTITUTE(SUBSTITUTE(SUBSTITUTE(SUBSTITUTE(SUBSTITUTE(SUBSTITUTE(SUBSTITUTE(SUBSTITUTE(SUBSTITUTE(SUBSTITUTE(SUBSTITUTE(SUBSTITUTE(SUBSTITUTE(SUBSTITUTE(SUBSTITUTE(SUBSTITUTE(SUBSTITUTE(TRIM($C294),"'",""),"İ","I"),"ı","I"),"i","I"),"Ş","S"),"ş","S"),"Ğ","G"),"ğ","G"),"Ü","U"),"ü","U"),"Ö","O"),"ö","O"),"Ç","C"),"ç","C"),".",""),",","")," ",""),"-","")))</f>
        <v/>
      </c>
    </row>
    <row r="295">
      <c r="A295" s="6" t="n"/>
      <c r="B295" s="113">
        <f>IF($C295="","",IFERROR(INDEX(MUSTERILER!$B$7:$B$106,MATCH($T295,MUSTERILER!$T$7:$T$106,0)),IFERROR(INDEX(MUSTERILER!$B$7:$B$106,MATCH($C295,MUSTERILER!$B$7:$B$106,0)),IFERROR(INDEX(MUSTERILER!$B$7:$B$106,MATCH($T295&amp;"*",MUSTERILER!$T$7:$T$106,0)),"TANIMSIZ MÜŞTERİ"))))</f>
        <v/>
      </c>
      <c r="C295" s="109" t="n"/>
      <c r="D295" s="220" t="n"/>
      <c r="E295" s="220" t="n"/>
      <c r="F295" s="108" t="n"/>
      <c r="G295" s="221" t="n"/>
      <c r="H295" s="108" t="n"/>
      <c r="I295" s="222">
        <f>IF(OR($C295="",$D295="",$G295="",$F295=""),0,$G295*IF($F295="Aylık",MAX(0,(YEAR(MIN(IF($E295="",TODAY(),$E295),TODAY()))-YEAR($D295))*12+MONTH(MIN(IF($E295="",TODAY(),$E295),TODAY()))-MONTH($D295)+IF(MIN(IF($E295="",TODAY(),$E295),TODAY())&gt;=EOMONTH(MIN(IF($E295="",TODAY(),$E295),TODAY()),0),1,0)),MAX(0,INT((MIN(IF($E295="",TODAY(),$E295),TODAY())-($D295+MOD(SISTEM!$F$8-WEEKDAY($D295,2),7)))/7)+1)))</f>
        <v/>
      </c>
      <c r="J295" s="222">
        <f>IF(OR($C295="",$D295="",$G295="",$F295=""),0,$G295*IF($F295="Aylık",MAX(0,(YEAR(MIN(IF($E295="",TODAY()-8,$E295),TODAY()-8))-YEAR($D295))*12+MONTH(MIN(IF($E295="",TODAY()-8,$E295),TODAY()-8))-MONTH($D295)+IF(MIN(IF($E295="",TODAY()-8,$E295),TODAY()-8)&gt;=EOMONTH(MIN(IF($E295="",TODAY()-8,$E295),TODAY()-8),0),1,0)),MAX(0,INT((MIN(IF($E295="",TODAY()-8,$E295),TODAY()-8)-($D295+MOD(SISTEM!$F$8-WEEKDAY($D295,2),7)))/7)+1)))</f>
        <v/>
      </c>
      <c r="K295" s="222">
        <f>IF(OR($C295="",$D295="",$G295="",$F295=""),0,$G295*IF($F295="Aylık",MAX(0,(YEAR(MIN(IF($E295="",TODAY()-15,$E295),TODAY()-15))-YEAR($D295))*12+MONTH(MIN(IF($E295="",TODAY()-15,$E295),TODAY()-15))-MONTH($D295)+IF(MIN(IF($E295="",TODAY()-15,$E295),TODAY()-15)&gt;=EOMONTH(MIN(IF($E295="",TODAY()-15,$E295),TODAY()-15),0),1,0)),MAX(0,INT((MIN(IF($E295="",TODAY()-15,$E295),TODAY()-15)-($D295+MOD(SISTEM!$F$8-WEEKDAY($D295,2),7)))/7)+1)))</f>
        <v/>
      </c>
      <c r="L295" s="222">
        <f>IF(OR($C295="",$D295="",$G295="",$F295=""),0,$G295*IF($F295="Aylık",MAX(0,(YEAR(MIN(IF($E295="",TODAY()-29,$E295),TODAY()-29))-YEAR($D295))*12+MONTH(MIN(IF($E295="",TODAY()-29,$E295),TODAY()-29))-MONTH($D295)+IF(MIN(IF($E295="",TODAY()-29,$E295),TODAY()-29)&gt;=EOMONTH(MIN(IF($E295="",TODAY()-29,$E295),TODAY()-29),0),1,0)),MAX(0,INT((MIN(IF($E295="",TODAY()-29,$E295),TODAY()-29)-($D295+MOD(SISTEM!$F$8-WEEKDAY($D295,2),7)))/7)+1)))</f>
        <v/>
      </c>
      <c r="M295" s="223">
        <f>IF($G295&gt;0,$I295/$G295,0)</f>
        <v/>
      </c>
      <c r="N295" s="113">
        <f>IF($C295="","",IF($B295="TANIMSIZ MÜŞTERİ","TANIMSIZ MÜŞTERİ",IF($F295="","MODEL SEÇİN",IF(OR($D295="",$G295&lt;=0),"EKSİK",IF(AND($E295&lt;&gt;"",$E295&lt;$D295),"TARİH HATASI",IF($H295="Pasif","KAPALI DÖNEM","UYGUN"))))))</f>
        <v/>
      </c>
      <c r="O295" s="224">
        <f>IF(OR($C295="",$D295="",$F295=""),"",IF($F295="Aylık",EOMONTH($D295,0),($D295+MOD(SISTEM!$F$8-WEEKDAY($D295,2),7))))</f>
        <v/>
      </c>
      <c r="P295" s="109" t="n"/>
      <c r="Q295" s="6" t="n"/>
      <c r="R295" s="6" t="n"/>
      <c r="S295" s="3">
        <f>IF($B295="","",$B295&amp;"|"&amp;COUNTIFS($B$7:$B295,$B295))</f>
        <v/>
      </c>
      <c r="T295" s="3">
        <f>IF($C295="","",UPPER(SUBSTITUTE(SUBSTITUTE(SUBSTITUTE(SUBSTITUTE(SUBSTITUTE(SUBSTITUTE(SUBSTITUTE(SUBSTITUTE(SUBSTITUTE(SUBSTITUTE(SUBSTITUTE(SUBSTITUTE(SUBSTITUTE(SUBSTITUTE(SUBSTITUTE(SUBSTITUTE(SUBSTITUTE(SUBSTITUTE(TRIM($C295),"'",""),"İ","I"),"ı","I"),"i","I"),"Ş","S"),"ş","S"),"Ğ","G"),"ğ","G"),"Ü","U"),"ü","U"),"Ö","O"),"ö","O"),"Ç","C"),"ç","C"),".",""),",","")," ",""),"-","")))</f>
        <v/>
      </c>
    </row>
    <row r="296">
      <c r="A296" s="6" t="n"/>
      <c r="B296" s="113">
        <f>IF($C296="","",IFERROR(INDEX(MUSTERILER!$B$7:$B$106,MATCH($T296,MUSTERILER!$T$7:$T$106,0)),IFERROR(INDEX(MUSTERILER!$B$7:$B$106,MATCH($C296,MUSTERILER!$B$7:$B$106,0)),IFERROR(INDEX(MUSTERILER!$B$7:$B$106,MATCH($T296&amp;"*",MUSTERILER!$T$7:$T$106,0)),"TANIMSIZ MÜŞTERİ"))))</f>
        <v/>
      </c>
      <c r="C296" s="109" t="n"/>
      <c r="D296" s="220" t="n"/>
      <c r="E296" s="220" t="n"/>
      <c r="F296" s="108" t="n"/>
      <c r="G296" s="221" t="n"/>
      <c r="H296" s="108" t="n"/>
      <c r="I296" s="222">
        <f>IF(OR($C296="",$D296="",$G296="",$F296=""),0,$G296*IF($F296="Aylık",MAX(0,(YEAR(MIN(IF($E296="",TODAY(),$E296),TODAY()))-YEAR($D296))*12+MONTH(MIN(IF($E296="",TODAY(),$E296),TODAY()))-MONTH($D296)+IF(MIN(IF($E296="",TODAY(),$E296),TODAY())&gt;=EOMONTH(MIN(IF($E296="",TODAY(),$E296),TODAY()),0),1,0)),MAX(0,INT((MIN(IF($E296="",TODAY(),$E296),TODAY())-($D296+MOD(SISTEM!$F$8-WEEKDAY($D296,2),7)))/7)+1)))</f>
        <v/>
      </c>
      <c r="J296" s="222">
        <f>IF(OR($C296="",$D296="",$G296="",$F296=""),0,$G296*IF($F296="Aylık",MAX(0,(YEAR(MIN(IF($E296="",TODAY()-8,$E296),TODAY()-8))-YEAR($D296))*12+MONTH(MIN(IF($E296="",TODAY()-8,$E296),TODAY()-8))-MONTH($D296)+IF(MIN(IF($E296="",TODAY()-8,$E296),TODAY()-8)&gt;=EOMONTH(MIN(IF($E296="",TODAY()-8,$E296),TODAY()-8),0),1,0)),MAX(0,INT((MIN(IF($E296="",TODAY()-8,$E296),TODAY()-8)-($D296+MOD(SISTEM!$F$8-WEEKDAY($D296,2),7)))/7)+1)))</f>
        <v/>
      </c>
      <c r="K296" s="222">
        <f>IF(OR($C296="",$D296="",$G296="",$F296=""),0,$G296*IF($F296="Aylık",MAX(0,(YEAR(MIN(IF($E296="",TODAY()-15,$E296),TODAY()-15))-YEAR($D296))*12+MONTH(MIN(IF($E296="",TODAY()-15,$E296),TODAY()-15))-MONTH($D296)+IF(MIN(IF($E296="",TODAY()-15,$E296),TODAY()-15)&gt;=EOMONTH(MIN(IF($E296="",TODAY()-15,$E296),TODAY()-15),0),1,0)),MAX(0,INT((MIN(IF($E296="",TODAY()-15,$E296),TODAY()-15)-($D296+MOD(SISTEM!$F$8-WEEKDAY($D296,2),7)))/7)+1)))</f>
        <v/>
      </c>
      <c r="L296" s="222">
        <f>IF(OR($C296="",$D296="",$G296="",$F296=""),0,$G296*IF($F296="Aylık",MAX(0,(YEAR(MIN(IF($E296="",TODAY()-29,$E296),TODAY()-29))-YEAR($D296))*12+MONTH(MIN(IF($E296="",TODAY()-29,$E296),TODAY()-29))-MONTH($D296)+IF(MIN(IF($E296="",TODAY()-29,$E296),TODAY()-29)&gt;=EOMONTH(MIN(IF($E296="",TODAY()-29,$E296),TODAY()-29),0),1,0)),MAX(0,INT((MIN(IF($E296="",TODAY()-29,$E296),TODAY()-29)-($D296+MOD(SISTEM!$F$8-WEEKDAY($D296,2),7)))/7)+1)))</f>
        <v/>
      </c>
      <c r="M296" s="223">
        <f>IF($G296&gt;0,$I296/$G296,0)</f>
        <v/>
      </c>
      <c r="N296" s="113">
        <f>IF($C296="","",IF($B296="TANIMSIZ MÜŞTERİ","TANIMSIZ MÜŞTERİ",IF($F296="","MODEL SEÇİN",IF(OR($D296="",$G296&lt;=0),"EKSİK",IF(AND($E296&lt;&gt;"",$E296&lt;$D296),"TARİH HATASI",IF($H296="Pasif","KAPALI DÖNEM","UYGUN"))))))</f>
        <v/>
      </c>
      <c r="O296" s="224">
        <f>IF(OR($C296="",$D296="",$F296=""),"",IF($F296="Aylık",EOMONTH($D296,0),($D296+MOD(SISTEM!$F$8-WEEKDAY($D296,2),7))))</f>
        <v/>
      </c>
      <c r="P296" s="109" t="n"/>
      <c r="Q296" s="6" t="n"/>
      <c r="R296" s="6" t="n"/>
      <c r="S296" s="3">
        <f>IF($B296="","",$B296&amp;"|"&amp;COUNTIFS($B$7:$B296,$B296))</f>
        <v/>
      </c>
      <c r="T296" s="3">
        <f>IF($C296="","",UPPER(SUBSTITUTE(SUBSTITUTE(SUBSTITUTE(SUBSTITUTE(SUBSTITUTE(SUBSTITUTE(SUBSTITUTE(SUBSTITUTE(SUBSTITUTE(SUBSTITUTE(SUBSTITUTE(SUBSTITUTE(SUBSTITUTE(SUBSTITUTE(SUBSTITUTE(SUBSTITUTE(SUBSTITUTE(SUBSTITUTE(TRIM($C296),"'",""),"İ","I"),"ı","I"),"i","I"),"Ş","S"),"ş","S"),"Ğ","G"),"ğ","G"),"Ü","U"),"ü","U"),"Ö","O"),"ö","O"),"Ç","C"),"ç","C"),".",""),",","")," ",""),"-","")))</f>
        <v/>
      </c>
    </row>
    <row r="297">
      <c r="A297" s="6" t="n"/>
      <c r="B297" s="113">
        <f>IF($C297="","",IFERROR(INDEX(MUSTERILER!$B$7:$B$106,MATCH($T297,MUSTERILER!$T$7:$T$106,0)),IFERROR(INDEX(MUSTERILER!$B$7:$B$106,MATCH($C297,MUSTERILER!$B$7:$B$106,0)),IFERROR(INDEX(MUSTERILER!$B$7:$B$106,MATCH($T297&amp;"*",MUSTERILER!$T$7:$T$106,0)),"TANIMSIZ MÜŞTERİ"))))</f>
        <v/>
      </c>
      <c r="C297" s="109" t="n"/>
      <c r="D297" s="220" t="n"/>
      <c r="E297" s="220" t="n"/>
      <c r="F297" s="108" t="n"/>
      <c r="G297" s="221" t="n"/>
      <c r="H297" s="108" t="n"/>
      <c r="I297" s="222">
        <f>IF(OR($C297="",$D297="",$G297="",$F297=""),0,$G297*IF($F297="Aylık",MAX(0,(YEAR(MIN(IF($E297="",TODAY(),$E297),TODAY()))-YEAR($D297))*12+MONTH(MIN(IF($E297="",TODAY(),$E297),TODAY()))-MONTH($D297)+IF(MIN(IF($E297="",TODAY(),$E297),TODAY())&gt;=EOMONTH(MIN(IF($E297="",TODAY(),$E297),TODAY()),0),1,0)),MAX(0,INT((MIN(IF($E297="",TODAY(),$E297),TODAY())-($D297+MOD(SISTEM!$F$8-WEEKDAY($D297,2),7)))/7)+1)))</f>
        <v/>
      </c>
      <c r="J297" s="222">
        <f>IF(OR($C297="",$D297="",$G297="",$F297=""),0,$G297*IF($F297="Aylık",MAX(0,(YEAR(MIN(IF($E297="",TODAY()-8,$E297),TODAY()-8))-YEAR($D297))*12+MONTH(MIN(IF($E297="",TODAY()-8,$E297),TODAY()-8))-MONTH($D297)+IF(MIN(IF($E297="",TODAY()-8,$E297),TODAY()-8)&gt;=EOMONTH(MIN(IF($E297="",TODAY()-8,$E297),TODAY()-8),0),1,0)),MAX(0,INT((MIN(IF($E297="",TODAY()-8,$E297),TODAY()-8)-($D297+MOD(SISTEM!$F$8-WEEKDAY($D297,2),7)))/7)+1)))</f>
        <v/>
      </c>
      <c r="K297" s="222">
        <f>IF(OR($C297="",$D297="",$G297="",$F297=""),0,$G297*IF($F297="Aylık",MAX(0,(YEAR(MIN(IF($E297="",TODAY()-15,$E297),TODAY()-15))-YEAR($D297))*12+MONTH(MIN(IF($E297="",TODAY()-15,$E297),TODAY()-15))-MONTH($D297)+IF(MIN(IF($E297="",TODAY()-15,$E297),TODAY()-15)&gt;=EOMONTH(MIN(IF($E297="",TODAY()-15,$E297),TODAY()-15),0),1,0)),MAX(0,INT((MIN(IF($E297="",TODAY()-15,$E297),TODAY()-15)-($D297+MOD(SISTEM!$F$8-WEEKDAY($D297,2),7)))/7)+1)))</f>
        <v/>
      </c>
      <c r="L297" s="222">
        <f>IF(OR($C297="",$D297="",$G297="",$F297=""),0,$G297*IF($F297="Aylık",MAX(0,(YEAR(MIN(IF($E297="",TODAY()-29,$E297),TODAY()-29))-YEAR($D297))*12+MONTH(MIN(IF($E297="",TODAY()-29,$E297),TODAY()-29))-MONTH($D297)+IF(MIN(IF($E297="",TODAY()-29,$E297),TODAY()-29)&gt;=EOMONTH(MIN(IF($E297="",TODAY()-29,$E297),TODAY()-29),0),1,0)),MAX(0,INT((MIN(IF($E297="",TODAY()-29,$E297),TODAY()-29)-($D297+MOD(SISTEM!$F$8-WEEKDAY($D297,2),7)))/7)+1)))</f>
        <v/>
      </c>
      <c r="M297" s="223">
        <f>IF($G297&gt;0,$I297/$G297,0)</f>
        <v/>
      </c>
      <c r="N297" s="113">
        <f>IF($C297="","",IF($B297="TANIMSIZ MÜŞTERİ","TANIMSIZ MÜŞTERİ",IF($F297="","MODEL SEÇİN",IF(OR($D297="",$G297&lt;=0),"EKSİK",IF(AND($E297&lt;&gt;"",$E297&lt;$D297),"TARİH HATASI",IF($H297="Pasif","KAPALI DÖNEM","UYGUN"))))))</f>
        <v/>
      </c>
      <c r="O297" s="224">
        <f>IF(OR($C297="",$D297="",$F297=""),"",IF($F297="Aylık",EOMONTH($D297,0),($D297+MOD(SISTEM!$F$8-WEEKDAY($D297,2),7))))</f>
        <v/>
      </c>
      <c r="P297" s="109" t="n"/>
      <c r="Q297" s="6" t="n"/>
      <c r="R297" s="6" t="n"/>
      <c r="S297" s="3">
        <f>IF($B297="","",$B297&amp;"|"&amp;COUNTIFS($B$7:$B297,$B297))</f>
        <v/>
      </c>
      <c r="T297" s="3">
        <f>IF($C297="","",UPPER(SUBSTITUTE(SUBSTITUTE(SUBSTITUTE(SUBSTITUTE(SUBSTITUTE(SUBSTITUTE(SUBSTITUTE(SUBSTITUTE(SUBSTITUTE(SUBSTITUTE(SUBSTITUTE(SUBSTITUTE(SUBSTITUTE(SUBSTITUTE(SUBSTITUTE(SUBSTITUTE(SUBSTITUTE(SUBSTITUTE(TRIM($C297),"'",""),"İ","I"),"ı","I"),"i","I"),"Ş","S"),"ş","S"),"Ğ","G"),"ğ","G"),"Ü","U"),"ü","U"),"Ö","O"),"ö","O"),"Ç","C"),"ç","C"),".",""),",","")," ",""),"-","")))</f>
        <v/>
      </c>
    </row>
    <row r="298">
      <c r="A298" s="6" t="n"/>
      <c r="B298" s="113">
        <f>IF($C298="","",IFERROR(INDEX(MUSTERILER!$B$7:$B$106,MATCH($T298,MUSTERILER!$T$7:$T$106,0)),IFERROR(INDEX(MUSTERILER!$B$7:$B$106,MATCH($C298,MUSTERILER!$B$7:$B$106,0)),IFERROR(INDEX(MUSTERILER!$B$7:$B$106,MATCH($T298&amp;"*",MUSTERILER!$T$7:$T$106,0)),"TANIMSIZ MÜŞTERİ"))))</f>
        <v/>
      </c>
      <c r="C298" s="109" t="n"/>
      <c r="D298" s="220" t="n"/>
      <c r="E298" s="220" t="n"/>
      <c r="F298" s="108" t="n"/>
      <c r="G298" s="221" t="n"/>
      <c r="H298" s="108" t="n"/>
      <c r="I298" s="222">
        <f>IF(OR($C298="",$D298="",$G298="",$F298=""),0,$G298*IF($F298="Aylık",MAX(0,(YEAR(MIN(IF($E298="",TODAY(),$E298),TODAY()))-YEAR($D298))*12+MONTH(MIN(IF($E298="",TODAY(),$E298),TODAY()))-MONTH($D298)+IF(MIN(IF($E298="",TODAY(),$E298),TODAY())&gt;=EOMONTH(MIN(IF($E298="",TODAY(),$E298),TODAY()),0),1,0)),MAX(0,INT((MIN(IF($E298="",TODAY(),$E298),TODAY())-($D298+MOD(SISTEM!$F$8-WEEKDAY($D298,2),7)))/7)+1)))</f>
        <v/>
      </c>
      <c r="J298" s="222">
        <f>IF(OR($C298="",$D298="",$G298="",$F298=""),0,$G298*IF($F298="Aylık",MAX(0,(YEAR(MIN(IF($E298="",TODAY()-8,$E298),TODAY()-8))-YEAR($D298))*12+MONTH(MIN(IF($E298="",TODAY()-8,$E298),TODAY()-8))-MONTH($D298)+IF(MIN(IF($E298="",TODAY()-8,$E298),TODAY()-8)&gt;=EOMONTH(MIN(IF($E298="",TODAY()-8,$E298),TODAY()-8),0),1,0)),MAX(0,INT((MIN(IF($E298="",TODAY()-8,$E298),TODAY()-8)-($D298+MOD(SISTEM!$F$8-WEEKDAY($D298,2),7)))/7)+1)))</f>
        <v/>
      </c>
      <c r="K298" s="222">
        <f>IF(OR($C298="",$D298="",$G298="",$F298=""),0,$G298*IF($F298="Aylık",MAX(0,(YEAR(MIN(IF($E298="",TODAY()-15,$E298),TODAY()-15))-YEAR($D298))*12+MONTH(MIN(IF($E298="",TODAY()-15,$E298),TODAY()-15))-MONTH($D298)+IF(MIN(IF($E298="",TODAY()-15,$E298),TODAY()-15)&gt;=EOMONTH(MIN(IF($E298="",TODAY()-15,$E298),TODAY()-15),0),1,0)),MAX(0,INT((MIN(IF($E298="",TODAY()-15,$E298),TODAY()-15)-($D298+MOD(SISTEM!$F$8-WEEKDAY($D298,2),7)))/7)+1)))</f>
        <v/>
      </c>
      <c r="L298" s="222">
        <f>IF(OR($C298="",$D298="",$G298="",$F298=""),0,$G298*IF($F298="Aylık",MAX(0,(YEAR(MIN(IF($E298="",TODAY()-29,$E298),TODAY()-29))-YEAR($D298))*12+MONTH(MIN(IF($E298="",TODAY()-29,$E298),TODAY()-29))-MONTH($D298)+IF(MIN(IF($E298="",TODAY()-29,$E298),TODAY()-29)&gt;=EOMONTH(MIN(IF($E298="",TODAY()-29,$E298),TODAY()-29),0),1,0)),MAX(0,INT((MIN(IF($E298="",TODAY()-29,$E298),TODAY()-29)-($D298+MOD(SISTEM!$F$8-WEEKDAY($D298,2),7)))/7)+1)))</f>
        <v/>
      </c>
      <c r="M298" s="223">
        <f>IF($G298&gt;0,$I298/$G298,0)</f>
        <v/>
      </c>
      <c r="N298" s="113">
        <f>IF($C298="","",IF($B298="TANIMSIZ MÜŞTERİ","TANIMSIZ MÜŞTERİ",IF($F298="","MODEL SEÇİN",IF(OR($D298="",$G298&lt;=0),"EKSİK",IF(AND($E298&lt;&gt;"",$E298&lt;$D298),"TARİH HATASI",IF($H298="Pasif","KAPALI DÖNEM","UYGUN"))))))</f>
        <v/>
      </c>
      <c r="O298" s="224">
        <f>IF(OR($C298="",$D298="",$F298=""),"",IF($F298="Aylık",EOMONTH($D298,0),($D298+MOD(SISTEM!$F$8-WEEKDAY($D298,2),7))))</f>
        <v/>
      </c>
      <c r="P298" s="109" t="n"/>
      <c r="Q298" s="6" t="n"/>
      <c r="R298" s="6" t="n"/>
      <c r="S298" s="3">
        <f>IF($B298="","",$B298&amp;"|"&amp;COUNTIFS($B$7:$B298,$B298))</f>
        <v/>
      </c>
      <c r="T298" s="3">
        <f>IF($C298="","",UPPER(SUBSTITUTE(SUBSTITUTE(SUBSTITUTE(SUBSTITUTE(SUBSTITUTE(SUBSTITUTE(SUBSTITUTE(SUBSTITUTE(SUBSTITUTE(SUBSTITUTE(SUBSTITUTE(SUBSTITUTE(SUBSTITUTE(SUBSTITUTE(SUBSTITUTE(SUBSTITUTE(SUBSTITUTE(SUBSTITUTE(TRIM($C298),"'",""),"İ","I"),"ı","I"),"i","I"),"Ş","S"),"ş","S"),"Ğ","G"),"ğ","G"),"Ü","U"),"ü","U"),"Ö","O"),"ö","O"),"Ç","C"),"ç","C"),".",""),",","")," ",""),"-","")))</f>
        <v/>
      </c>
    </row>
    <row r="299">
      <c r="A299" s="6" t="n"/>
      <c r="B299" s="113">
        <f>IF($C299="","",IFERROR(INDEX(MUSTERILER!$B$7:$B$106,MATCH($T299,MUSTERILER!$T$7:$T$106,0)),IFERROR(INDEX(MUSTERILER!$B$7:$B$106,MATCH($C299,MUSTERILER!$B$7:$B$106,0)),IFERROR(INDEX(MUSTERILER!$B$7:$B$106,MATCH($T299&amp;"*",MUSTERILER!$T$7:$T$106,0)),"TANIMSIZ MÜŞTERİ"))))</f>
        <v/>
      </c>
      <c r="C299" s="109" t="n"/>
      <c r="D299" s="220" t="n"/>
      <c r="E299" s="220" t="n"/>
      <c r="F299" s="108" t="n"/>
      <c r="G299" s="221" t="n"/>
      <c r="H299" s="108" t="n"/>
      <c r="I299" s="222">
        <f>IF(OR($C299="",$D299="",$G299="",$F299=""),0,$G299*IF($F299="Aylık",MAX(0,(YEAR(MIN(IF($E299="",TODAY(),$E299),TODAY()))-YEAR($D299))*12+MONTH(MIN(IF($E299="",TODAY(),$E299),TODAY()))-MONTH($D299)+IF(MIN(IF($E299="",TODAY(),$E299),TODAY())&gt;=EOMONTH(MIN(IF($E299="",TODAY(),$E299),TODAY()),0),1,0)),MAX(0,INT((MIN(IF($E299="",TODAY(),$E299),TODAY())-($D299+MOD(SISTEM!$F$8-WEEKDAY($D299,2),7)))/7)+1)))</f>
        <v/>
      </c>
      <c r="J299" s="222">
        <f>IF(OR($C299="",$D299="",$G299="",$F299=""),0,$G299*IF($F299="Aylık",MAX(0,(YEAR(MIN(IF($E299="",TODAY()-8,$E299),TODAY()-8))-YEAR($D299))*12+MONTH(MIN(IF($E299="",TODAY()-8,$E299),TODAY()-8))-MONTH($D299)+IF(MIN(IF($E299="",TODAY()-8,$E299),TODAY()-8)&gt;=EOMONTH(MIN(IF($E299="",TODAY()-8,$E299),TODAY()-8),0),1,0)),MAX(0,INT((MIN(IF($E299="",TODAY()-8,$E299),TODAY()-8)-($D299+MOD(SISTEM!$F$8-WEEKDAY($D299,2),7)))/7)+1)))</f>
        <v/>
      </c>
      <c r="K299" s="222">
        <f>IF(OR($C299="",$D299="",$G299="",$F299=""),0,$G299*IF($F299="Aylık",MAX(0,(YEAR(MIN(IF($E299="",TODAY()-15,$E299),TODAY()-15))-YEAR($D299))*12+MONTH(MIN(IF($E299="",TODAY()-15,$E299),TODAY()-15))-MONTH($D299)+IF(MIN(IF($E299="",TODAY()-15,$E299),TODAY()-15)&gt;=EOMONTH(MIN(IF($E299="",TODAY()-15,$E299),TODAY()-15),0),1,0)),MAX(0,INT((MIN(IF($E299="",TODAY()-15,$E299),TODAY()-15)-($D299+MOD(SISTEM!$F$8-WEEKDAY($D299,2),7)))/7)+1)))</f>
        <v/>
      </c>
      <c r="L299" s="222">
        <f>IF(OR($C299="",$D299="",$G299="",$F299=""),0,$G299*IF($F299="Aylık",MAX(0,(YEAR(MIN(IF($E299="",TODAY()-29,$E299),TODAY()-29))-YEAR($D299))*12+MONTH(MIN(IF($E299="",TODAY()-29,$E299),TODAY()-29))-MONTH($D299)+IF(MIN(IF($E299="",TODAY()-29,$E299),TODAY()-29)&gt;=EOMONTH(MIN(IF($E299="",TODAY()-29,$E299),TODAY()-29),0),1,0)),MAX(0,INT((MIN(IF($E299="",TODAY()-29,$E299),TODAY()-29)-($D299+MOD(SISTEM!$F$8-WEEKDAY($D299,2),7)))/7)+1)))</f>
        <v/>
      </c>
      <c r="M299" s="223">
        <f>IF($G299&gt;0,$I299/$G299,0)</f>
        <v/>
      </c>
      <c r="N299" s="113">
        <f>IF($C299="","",IF($B299="TANIMSIZ MÜŞTERİ","TANIMSIZ MÜŞTERİ",IF($F299="","MODEL SEÇİN",IF(OR($D299="",$G299&lt;=0),"EKSİK",IF(AND($E299&lt;&gt;"",$E299&lt;$D299),"TARİH HATASI",IF($H299="Pasif","KAPALI DÖNEM","UYGUN"))))))</f>
        <v/>
      </c>
      <c r="O299" s="224">
        <f>IF(OR($C299="",$D299="",$F299=""),"",IF($F299="Aylık",EOMONTH($D299,0),($D299+MOD(SISTEM!$F$8-WEEKDAY($D299,2),7))))</f>
        <v/>
      </c>
      <c r="P299" s="109" t="n"/>
      <c r="Q299" s="6" t="n"/>
      <c r="R299" s="6" t="n"/>
      <c r="S299" s="3">
        <f>IF($B299="","",$B299&amp;"|"&amp;COUNTIFS($B$7:$B299,$B299))</f>
        <v/>
      </c>
      <c r="T299" s="3">
        <f>IF($C299="","",UPPER(SUBSTITUTE(SUBSTITUTE(SUBSTITUTE(SUBSTITUTE(SUBSTITUTE(SUBSTITUTE(SUBSTITUTE(SUBSTITUTE(SUBSTITUTE(SUBSTITUTE(SUBSTITUTE(SUBSTITUTE(SUBSTITUTE(SUBSTITUTE(SUBSTITUTE(SUBSTITUTE(SUBSTITUTE(SUBSTITUTE(TRIM($C299),"'",""),"İ","I"),"ı","I"),"i","I"),"Ş","S"),"ş","S"),"Ğ","G"),"ğ","G"),"Ü","U"),"ü","U"),"Ö","O"),"ö","O"),"Ç","C"),"ç","C"),".",""),",","")," ",""),"-","")))</f>
        <v/>
      </c>
    </row>
    <row r="300">
      <c r="A300" s="6" t="n"/>
      <c r="B300" s="113">
        <f>IF($C300="","",IFERROR(INDEX(MUSTERILER!$B$7:$B$106,MATCH($T300,MUSTERILER!$T$7:$T$106,0)),IFERROR(INDEX(MUSTERILER!$B$7:$B$106,MATCH($C300,MUSTERILER!$B$7:$B$106,0)),IFERROR(INDEX(MUSTERILER!$B$7:$B$106,MATCH($T300&amp;"*",MUSTERILER!$T$7:$T$106,0)),"TANIMSIZ MÜŞTERİ"))))</f>
        <v/>
      </c>
      <c r="C300" s="109" t="n"/>
      <c r="D300" s="220" t="n"/>
      <c r="E300" s="220" t="n"/>
      <c r="F300" s="108" t="n"/>
      <c r="G300" s="221" t="n"/>
      <c r="H300" s="108" t="n"/>
      <c r="I300" s="222">
        <f>IF(OR($C300="",$D300="",$G300="",$F300=""),0,$G300*IF($F300="Aylık",MAX(0,(YEAR(MIN(IF($E300="",TODAY(),$E300),TODAY()))-YEAR($D300))*12+MONTH(MIN(IF($E300="",TODAY(),$E300),TODAY()))-MONTH($D300)+IF(MIN(IF($E300="",TODAY(),$E300),TODAY())&gt;=EOMONTH(MIN(IF($E300="",TODAY(),$E300),TODAY()),0),1,0)),MAX(0,INT((MIN(IF($E300="",TODAY(),$E300),TODAY())-($D300+MOD(SISTEM!$F$8-WEEKDAY($D300,2),7)))/7)+1)))</f>
        <v/>
      </c>
      <c r="J300" s="222">
        <f>IF(OR($C300="",$D300="",$G300="",$F300=""),0,$G300*IF($F300="Aylık",MAX(0,(YEAR(MIN(IF($E300="",TODAY()-8,$E300),TODAY()-8))-YEAR($D300))*12+MONTH(MIN(IF($E300="",TODAY()-8,$E300),TODAY()-8))-MONTH($D300)+IF(MIN(IF($E300="",TODAY()-8,$E300),TODAY()-8)&gt;=EOMONTH(MIN(IF($E300="",TODAY()-8,$E300),TODAY()-8),0),1,0)),MAX(0,INT((MIN(IF($E300="",TODAY()-8,$E300),TODAY()-8)-($D300+MOD(SISTEM!$F$8-WEEKDAY($D300,2),7)))/7)+1)))</f>
        <v/>
      </c>
      <c r="K300" s="222">
        <f>IF(OR($C300="",$D300="",$G300="",$F300=""),0,$G300*IF($F300="Aylık",MAX(0,(YEAR(MIN(IF($E300="",TODAY()-15,$E300),TODAY()-15))-YEAR($D300))*12+MONTH(MIN(IF($E300="",TODAY()-15,$E300),TODAY()-15))-MONTH($D300)+IF(MIN(IF($E300="",TODAY()-15,$E300),TODAY()-15)&gt;=EOMONTH(MIN(IF($E300="",TODAY()-15,$E300),TODAY()-15),0),1,0)),MAX(0,INT((MIN(IF($E300="",TODAY()-15,$E300),TODAY()-15)-($D300+MOD(SISTEM!$F$8-WEEKDAY($D300,2),7)))/7)+1)))</f>
        <v/>
      </c>
      <c r="L300" s="222">
        <f>IF(OR($C300="",$D300="",$G300="",$F300=""),0,$G300*IF($F300="Aylık",MAX(0,(YEAR(MIN(IF($E300="",TODAY()-29,$E300),TODAY()-29))-YEAR($D300))*12+MONTH(MIN(IF($E300="",TODAY()-29,$E300),TODAY()-29))-MONTH($D300)+IF(MIN(IF($E300="",TODAY()-29,$E300),TODAY()-29)&gt;=EOMONTH(MIN(IF($E300="",TODAY()-29,$E300),TODAY()-29),0),1,0)),MAX(0,INT((MIN(IF($E300="",TODAY()-29,$E300),TODAY()-29)-($D300+MOD(SISTEM!$F$8-WEEKDAY($D300,2),7)))/7)+1)))</f>
        <v/>
      </c>
      <c r="M300" s="223">
        <f>IF($G300&gt;0,$I300/$G300,0)</f>
        <v/>
      </c>
      <c r="N300" s="113">
        <f>IF($C300="","",IF($B300="TANIMSIZ MÜŞTERİ","TANIMSIZ MÜŞTERİ",IF($F300="","MODEL SEÇİN",IF(OR($D300="",$G300&lt;=0),"EKSİK",IF(AND($E300&lt;&gt;"",$E300&lt;$D300),"TARİH HATASI",IF($H300="Pasif","KAPALI DÖNEM","UYGUN"))))))</f>
        <v/>
      </c>
      <c r="O300" s="224">
        <f>IF(OR($C300="",$D300="",$F300=""),"",IF($F300="Aylık",EOMONTH($D300,0),($D300+MOD(SISTEM!$F$8-WEEKDAY($D300,2),7))))</f>
        <v/>
      </c>
      <c r="P300" s="109" t="n"/>
      <c r="Q300" s="6" t="n"/>
      <c r="R300" s="6" t="n"/>
      <c r="S300" s="3">
        <f>IF($B300="","",$B300&amp;"|"&amp;COUNTIFS($B$7:$B300,$B300))</f>
        <v/>
      </c>
      <c r="T300" s="3">
        <f>IF($C300="","",UPPER(SUBSTITUTE(SUBSTITUTE(SUBSTITUTE(SUBSTITUTE(SUBSTITUTE(SUBSTITUTE(SUBSTITUTE(SUBSTITUTE(SUBSTITUTE(SUBSTITUTE(SUBSTITUTE(SUBSTITUTE(SUBSTITUTE(SUBSTITUTE(SUBSTITUTE(SUBSTITUTE(SUBSTITUTE(SUBSTITUTE(TRIM($C300),"'",""),"İ","I"),"ı","I"),"i","I"),"Ş","S"),"ş","S"),"Ğ","G"),"ğ","G"),"Ü","U"),"ü","U"),"Ö","O"),"ö","O"),"Ç","C"),"ç","C"),".",""),",","")," ",""),"-","")))</f>
        <v/>
      </c>
    </row>
    <row r="301">
      <c r="A301" s="6" t="n"/>
      <c r="B301" s="113">
        <f>IF($C301="","",IFERROR(INDEX(MUSTERILER!$B$7:$B$106,MATCH($T301,MUSTERILER!$T$7:$T$106,0)),IFERROR(INDEX(MUSTERILER!$B$7:$B$106,MATCH($C301,MUSTERILER!$B$7:$B$106,0)),IFERROR(INDEX(MUSTERILER!$B$7:$B$106,MATCH($T301&amp;"*",MUSTERILER!$T$7:$T$106,0)),"TANIMSIZ MÜŞTERİ"))))</f>
        <v/>
      </c>
      <c r="C301" s="109" t="n"/>
      <c r="D301" s="220" t="n"/>
      <c r="E301" s="220" t="n"/>
      <c r="F301" s="108" t="n"/>
      <c r="G301" s="221" t="n"/>
      <c r="H301" s="108" t="n"/>
      <c r="I301" s="222">
        <f>IF(OR($C301="",$D301="",$G301="",$F301=""),0,$G301*IF($F301="Aylık",MAX(0,(YEAR(MIN(IF($E301="",TODAY(),$E301),TODAY()))-YEAR($D301))*12+MONTH(MIN(IF($E301="",TODAY(),$E301),TODAY()))-MONTH($D301)+IF(MIN(IF($E301="",TODAY(),$E301),TODAY())&gt;=EOMONTH(MIN(IF($E301="",TODAY(),$E301),TODAY()),0),1,0)),MAX(0,INT((MIN(IF($E301="",TODAY(),$E301),TODAY())-($D301+MOD(SISTEM!$F$8-WEEKDAY($D301,2),7)))/7)+1)))</f>
        <v/>
      </c>
      <c r="J301" s="222">
        <f>IF(OR($C301="",$D301="",$G301="",$F301=""),0,$G301*IF($F301="Aylık",MAX(0,(YEAR(MIN(IF($E301="",TODAY()-8,$E301),TODAY()-8))-YEAR($D301))*12+MONTH(MIN(IF($E301="",TODAY()-8,$E301),TODAY()-8))-MONTH($D301)+IF(MIN(IF($E301="",TODAY()-8,$E301),TODAY()-8)&gt;=EOMONTH(MIN(IF($E301="",TODAY()-8,$E301),TODAY()-8),0),1,0)),MAX(0,INT((MIN(IF($E301="",TODAY()-8,$E301),TODAY()-8)-($D301+MOD(SISTEM!$F$8-WEEKDAY($D301,2),7)))/7)+1)))</f>
        <v/>
      </c>
      <c r="K301" s="222">
        <f>IF(OR($C301="",$D301="",$G301="",$F301=""),0,$G301*IF($F301="Aylık",MAX(0,(YEAR(MIN(IF($E301="",TODAY()-15,$E301),TODAY()-15))-YEAR($D301))*12+MONTH(MIN(IF($E301="",TODAY()-15,$E301),TODAY()-15))-MONTH($D301)+IF(MIN(IF($E301="",TODAY()-15,$E301),TODAY()-15)&gt;=EOMONTH(MIN(IF($E301="",TODAY()-15,$E301),TODAY()-15),0),1,0)),MAX(0,INT((MIN(IF($E301="",TODAY()-15,$E301),TODAY()-15)-($D301+MOD(SISTEM!$F$8-WEEKDAY($D301,2),7)))/7)+1)))</f>
        <v/>
      </c>
      <c r="L301" s="222">
        <f>IF(OR($C301="",$D301="",$G301="",$F301=""),0,$G301*IF($F301="Aylık",MAX(0,(YEAR(MIN(IF($E301="",TODAY()-29,$E301),TODAY()-29))-YEAR($D301))*12+MONTH(MIN(IF($E301="",TODAY()-29,$E301),TODAY()-29))-MONTH($D301)+IF(MIN(IF($E301="",TODAY()-29,$E301),TODAY()-29)&gt;=EOMONTH(MIN(IF($E301="",TODAY()-29,$E301),TODAY()-29),0),1,0)),MAX(0,INT((MIN(IF($E301="",TODAY()-29,$E301),TODAY()-29)-($D301+MOD(SISTEM!$F$8-WEEKDAY($D301,2),7)))/7)+1)))</f>
        <v/>
      </c>
      <c r="M301" s="223">
        <f>IF($G301&gt;0,$I301/$G301,0)</f>
        <v/>
      </c>
      <c r="N301" s="113">
        <f>IF($C301="","",IF($B301="TANIMSIZ MÜŞTERİ","TANIMSIZ MÜŞTERİ",IF($F301="","MODEL SEÇİN",IF(OR($D301="",$G301&lt;=0),"EKSİK",IF(AND($E301&lt;&gt;"",$E301&lt;$D301),"TARİH HATASI",IF($H301="Pasif","KAPALI DÖNEM","UYGUN"))))))</f>
        <v/>
      </c>
      <c r="O301" s="224">
        <f>IF(OR($C301="",$D301="",$F301=""),"",IF($F301="Aylık",EOMONTH($D301,0),($D301+MOD(SISTEM!$F$8-WEEKDAY($D301,2),7))))</f>
        <v/>
      </c>
      <c r="P301" s="109" t="n"/>
      <c r="Q301" s="6" t="n"/>
      <c r="R301" s="6" t="n"/>
      <c r="S301" s="3">
        <f>IF($B301="","",$B301&amp;"|"&amp;COUNTIFS($B$7:$B301,$B301))</f>
        <v/>
      </c>
      <c r="T301" s="3">
        <f>IF($C301="","",UPPER(SUBSTITUTE(SUBSTITUTE(SUBSTITUTE(SUBSTITUTE(SUBSTITUTE(SUBSTITUTE(SUBSTITUTE(SUBSTITUTE(SUBSTITUTE(SUBSTITUTE(SUBSTITUTE(SUBSTITUTE(SUBSTITUTE(SUBSTITUTE(SUBSTITUTE(SUBSTITUTE(SUBSTITUTE(SUBSTITUTE(TRIM($C301),"'",""),"İ","I"),"ı","I"),"i","I"),"Ş","S"),"ş","S"),"Ğ","G"),"ğ","G"),"Ü","U"),"ü","U"),"Ö","O"),"ö","O"),"Ç","C"),"ç","C"),".",""),",","")," ",""),"-","")))</f>
        <v/>
      </c>
    </row>
    <row r="302">
      <c r="A302" s="6" t="n"/>
      <c r="B302" s="113">
        <f>IF($C302="","",IFERROR(INDEX(MUSTERILER!$B$7:$B$106,MATCH($T302,MUSTERILER!$T$7:$T$106,0)),IFERROR(INDEX(MUSTERILER!$B$7:$B$106,MATCH($C302,MUSTERILER!$B$7:$B$106,0)),IFERROR(INDEX(MUSTERILER!$B$7:$B$106,MATCH($T302&amp;"*",MUSTERILER!$T$7:$T$106,0)),"TANIMSIZ MÜŞTERİ"))))</f>
        <v/>
      </c>
      <c r="C302" s="109" t="n"/>
      <c r="D302" s="220" t="n"/>
      <c r="E302" s="220" t="n"/>
      <c r="F302" s="108" t="n"/>
      <c r="G302" s="221" t="n"/>
      <c r="H302" s="108" t="n"/>
      <c r="I302" s="222">
        <f>IF(OR($C302="",$D302="",$G302="",$F302=""),0,$G302*IF($F302="Aylık",MAX(0,(YEAR(MIN(IF($E302="",TODAY(),$E302),TODAY()))-YEAR($D302))*12+MONTH(MIN(IF($E302="",TODAY(),$E302),TODAY()))-MONTH($D302)+IF(MIN(IF($E302="",TODAY(),$E302),TODAY())&gt;=EOMONTH(MIN(IF($E302="",TODAY(),$E302),TODAY()),0),1,0)),MAX(0,INT((MIN(IF($E302="",TODAY(),$E302),TODAY())-($D302+MOD(SISTEM!$F$8-WEEKDAY($D302,2),7)))/7)+1)))</f>
        <v/>
      </c>
      <c r="J302" s="222">
        <f>IF(OR($C302="",$D302="",$G302="",$F302=""),0,$G302*IF($F302="Aylık",MAX(0,(YEAR(MIN(IF($E302="",TODAY()-8,$E302),TODAY()-8))-YEAR($D302))*12+MONTH(MIN(IF($E302="",TODAY()-8,$E302),TODAY()-8))-MONTH($D302)+IF(MIN(IF($E302="",TODAY()-8,$E302),TODAY()-8)&gt;=EOMONTH(MIN(IF($E302="",TODAY()-8,$E302),TODAY()-8),0),1,0)),MAX(0,INT((MIN(IF($E302="",TODAY()-8,$E302),TODAY()-8)-($D302+MOD(SISTEM!$F$8-WEEKDAY($D302,2),7)))/7)+1)))</f>
        <v/>
      </c>
      <c r="K302" s="222">
        <f>IF(OR($C302="",$D302="",$G302="",$F302=""),0,$G302*IF($F302="Aylık",MAX(0,(YEAR(MIN(IF($E302="",TODAY()-15,$E302),TODAY()-15))-YEAR($D302))*12+MONTH(MIN(IF($E302="",TODAY()-15,$E302),TODAY()-15))-MONTH($D302)+IF(MIN(IF($E302="",TODAY()-15,$E302),TODAY()-15)&gt;=EOMONTH(MIN(IF($E302="",TODAY()-15,$E302),TODAY()-15),0),1,0)),MAX(0,INT((MIN(IF($E302="",TODAY()-15,$E302),TODAY()-15)-($D302+MOD(SISTEM!$F$8-WEEKDAY($D302,2),7)))/7)+1)))</f>
        <v/>
      </c>
      <c r="L302" s="222">
        <f>IF(OR($C302="",$D302="",$G302="",$F302=""),0,$G302*IF($F302="Aylık",MAX(0,(YEAR(MIN(IF($E302="",TODAY()-29,$E302),TODAY()-29))-YEAR($D302))*12+MONTH(MIN(IF($E302="",TODAY()-29,$E302),TODAY()-29))-MONTH($D302)+IF(MIN(IF($E302="",TODAY()-29,$E302),TODAY()-29)&gt;=EOMONTH(MIN(IF($E302="",TODAY()-29,$E302),TODAY()-29),0),1,0)),MAX(0,INT((MIN(IF($E302="",TODAY()-29,$E302),TODAY()-29)-($D302+MOD(SISTEM!$F$8-WEEKDAY($D302,2),7)))/7)+1)))</f>
        <v/>
      </c>
      <c r="M302" s="223">
        <f>IF($G302&gt;0,$I302/$G302,0)</f>
        <v/>
      </c>
      <c r="N302" s="113">
        <f>IF($C302="","",IF($B302="TANIMSIZ MÜŞTERİ","TANIMSIZ MÜŞTERİ",IF($F302="","MODEL SEÇİN",IF(OR($D302="",$G302&lt;=0),"EKSİK",IF(AND($E302&lt;&gt;"",$E302&lt;$D302),"TARİH HATASI",IF($H302="Pasif","KAPALI DÖNEM","UYGUN"))))))</f>
        <v/>
      </c>
      <c r="O302" s="224">
        <f>IF(OR($C302="",$D302="",$F302=""),"",IF($F302="Aylık",EOMONTH($D302,0),($D302+MOD(SISTEM!$F$8-WEEKDAY($D302,2),7))))</f>
        <v/>
      </c>
      <c r="P302" s="109" t="n"/>
      <c r="Q302" s="6" t="n"/>
      <c r="R302" s="6" t="n"/>
      <c r="S302" s="3">
        <f>IF($B302="","",$B302&amp;"|"&amp;COUNTIFS($B$7:$B302,$B302))</f>
        <v/>
      </c>
      <c r="T302" s="3">
        <f>IF($C302="","",UPPER(SUBSTITUTE(SUBSTITUTE(SUBSTITUTE(SUBSTITUTE(SUBSTITUTE(SUBSTITUTE(SUBSTITUTE(SUBSTITUTE(SUBSTITUTE(SUBSTITUTE(SUBSTITUTE(SUBSTITUTE(SUBSTITUTE(SUBSTITUTE(SUBSTITUTE(SUBSTITUTE(SUBSTITUTE(SUBSTITUTE(TRIM($C302),"'",""),"İ","I"),"ı","I"),"i","I"),"Ş","S"),"ş","S"),"Ğ","G"),"ğ","G"),"Ü","U"),"ü","U"),"Ö","O"),"ö","O"),"Ç","C"),"ç","C"),".",""),",","")," ",""),"-","")))</f>
        <v/>
      </c>
    </row>
    <row r="303">
      <c r="A303" s="6" t="n"/>
      <c r="B303" s="113">
        <f>IF($C303="","",IFERROR(INDEX(MUSTERILER!$B$7:$B$106,MATCH($T303,MUSTERILER!$T$7:$T$106,0)),IFERROR(INDEX(MUSTERILER!$B$7:$B$106,MATCH($C303,MUSTERILER!$B$7:$B$106,0)),IFERROR(INDEX(MUSTERILER!$B$7:$B$106,MATCH($T303&amp;"*",MUSTERILER!$T$7:$T$106,0)),"TANIMSIZ MÜŞTERİ"))))</f>
        <v/>
      </c>
      <c r="C303" s="109" t="n"/>
      <c r="D303" s="220" t="n"/>
      <c r="E303" s="220" t="n"/>
      <c r="F303" s="108" t="n"/>
      <c r="G303" s="221" t="n"/>
      <c r="H303" s="108" t="n"/>
      <c r="I303" s="222">
        <f>IF(OR($C303="",$D303="",$G303="",$F303=""),0,$G303*IF($F303="Aylık",MAX(0,(YEAR(MIN(IF($E303="",TODAY(),$E303),TODAY()))-YEAR($D303))*12+MONTH(MIN(IF($E303="",TODAY(),$E303),TODAY()))-MONTH($D303)+IF(MIN(IF($E303="",TODAY(),$E303),TODAY())&gt;=EOMONTH(MIN(IF($E303="",TODAY(),$E303),TODAY()),0),1,0)),MAX(0,INT((MIN(IF($E303="",TODAY(),$E303),TODAY())-($D303+MOD(SISTEM!$F$8-WEEKDAY($D303,2),7)))/7)+1)))</f>
        <v/>
      </c>
      <c r="J303" s="222">
        <f>IF(OR($C303="",$D303="",$G303="",$F303=""),0,$G303*IF($F303="Aylık",MAX(0,(YEAR(MIN(IF($E303="",TODAY()-8,$E303),TODAY()-8))-YEAR($D303))*12+MONTH(MIN(IF($E303="",TODAY()-8,$E303),TODAY()-8))-MONTH($D303)+IF(MIN(IF($E303="",TODAY()-8,$E303),TODAY()-8)&gt;=EOMONTH(MIN(IF($E303="",TODAY()-8,$E303),TODAY()-8),0),1,0)),MAX(0,INT((MIN(IF($E303="",TODAY()-8,$E303),TODAY()-8)-($D303+MOD(SISTEM!$F$8-WEEKDAY($D303,2),7)))/7)+1)))</f>
        <v/>
      </c>
      <c r="K303" s="222">
        <f>IF(OR($C303="",$D303="",$G303="",$F303=""),0,$G303*IF($F303="Aylık",MAX(0,(YEAR(MIN(IF($E303="",TODAY()-15,$E303),TODAY()-15))-YEAR($D303))*12+MONTH(MIN(IF($E303="",TODAY()-15,$E303),TODAY()-15))-MONTH($D303)+IF(MIN(IF($E303="",TODAY()-15,$E303),TODAY()-15)&gt;=EOMONTH(MIN(IF($E303="",TODAY()-15,$E303),TODAY()-15),0),1,0)),MAX(0,INT((MIN(IF($E303="",TODAY()-15,$E303),TODAY()-15)-($D303+MOD(SISTEM!$F$8-WEEKDAY($D303,2),7)))/7)+1)))</f>
        <v/>
      </c>
      <c r="L303" s="222">
        <f>IF(OR($C303="",$D303="",$G303="",$F303=""),0,$G303*IF($F303="Aylık",MAX(0,(YEAR(MIN(IF($E303="",TODAY()-29,$E303),TODAY()-29))-YEAR($D303))*12+MONTH(MIN(IF($E303="",TODAY()-29,$E303),TODAY()-29))-MONTH($D303)+IF(MIN(IF($E303="",TODAY()-29,$E303),TODAY()-29)&gt;=EOMONTH(MIN(IF($E303="",TODAY()-29,$E303),TODAY()-29),0),1,0)),MAX(0,INT((MIN(IF($E303="",TODAY()-29,$E303),TODAY()-29)-($D303+MOD(SISTEM!$F$8-WEEKDAY($D303,2),7)))/7)+1)))</f>
        <v/>
      </c>
      <c r="M303" s="223">
        <f>IF($G303&gt;0,$I303/$G303,0)</f>
        <v/>
      </c>
      <c r="N303" s="113">
        <f>IF($C303="","",IF($B303="TANIMSIZ MÜŞTERİ","TANIMSIZ MÜŞTERİ",IF($F303="","MODEL SEÇİN",IF(OR($D303="",$G303&lt;=0),"EKSİK",IF(AND($E303&lt;&gt;"",$E303&lt;$D303),"TARİH HATASI",IF($H303="Pasif","KAPALI DÖNEM","UYGUN"))))))</f>
        <v/>
      </c>
      <c r="O303" s="224">
        <f>IF(OR($C303="",$D303="",$F303=""),"",IF($F303="Aylık",EOMONTH($D303,0),($D303+MOD(SISTEM!$F$8-WEEKDAY($D303,2),7))))</f>
        <v/>
      </c>
      <c r="P303" s="109" t="n"/>
      <c r="Q303" s="6" t="n"/>
      <c r="R303" s="6" t="n"/>
      <c r="S303" s="3">
        <f>IF($B303="","",$B303&amp;"|"&amp;COUNTIFS($B$7:$B303,$B303))</f>
        <v/>
      </c>
      <c r="T303" s="3">
        <f>IF($C303="","",UPPER(SUBSTITUTE(SUBSTITUTE(SUBSTITUTE(SUBSTITUTE(SUBSTITUTE(SUBSTITUTE(SUBSTITUTE(SUBSTITUTE(SUBSTITUTE(SUBSTITUTE(SUBSTITUTE(SUBSTITUTE(SUBSTITUTE(SUBSTITUTE(SUBSTITUTE(SUBSTITUTE(SUBSTITUTE(SUBSTITUTE(TRIM($C303),"'",""),"İ","I"),"ı","I"),"i","I"),"Ş","S"),"ş","S"),"Ğ","G"),"ğ","G"),"Ü","U"),"ü","U"),"Ö","O"),"ö","O"),"Ç","C"),"ç","C"),".",""),",","")," ",""),"-","")))</f>
        <v/>
      </c>
    </row>
    <row r="304">
      <c r="A304" s="6" t="n"/>
      <c r="B304" s="113">
        <f>IF($C304="","",IFERROR(INDEX(MUSTERILER!$B$7:$B$106,MATCH($T304,MUSTERILER!$T$7:$T$106,0)),IFERROR(INDEX(MUSTERILER!$B$7:$B$106,MATCH($C304,MUSTERILER!$B$7:$B$106,0)),IFERROR(INDEX(MUSTERILER!$B$7:$B$106,MATCH($T304&amp;"*",MUSTERILER!$T$7:$T$106,0)),"TANIMSIZ MÜŞTERİ"))))</f>
        <v/>
      </c>
      <c r="C304" s="109" t="n"/>
      <c r="D304" s="220" t="n"/>
      <c r="E304" s="220" t="n"/>
      <c r="F304" s="108" t="n"/>
      <c r="G304" s="221" t="n"/>
      <c r="H304" s="108" t="n"/>
      <c r="I304" s="222">
        <f>IF(OR($C304="",$D304="",$G304="",$F304=""),0,$G304*IF($F304="Aylık",MAX(0,(YEAR(MIN(IF($E304="",TODAY(),$E304),TODAY()))-YEAR($D304))*12+MONTH(MIN(IF($E304="",TODAY(),$E304),TODAY()))-MONTH($D304)+IF(MIN(IF($E304="",TODAY(),$E304),TODAY())&gt;=EOMONTH(MIN(IF($E304="",TODAY(),$E304),TODAY()),0),1,0)),MAX(0,INT((MIN(IF($E304="",TODAY(),$E304),TODAY())-($D304+MOD(SISTEM!$F$8-WEEKDAY($D304,2),7)))/7)+1)))</f>
        <v/>
      </c>
      <c r="J304" s="222">
        <f>IF(OR($C304="",$D304="",$G304="",$F304=""),0,$G304*IF($F304="Aylık",MAX(0,(YEAR(MIN(IF($E304="",TODAY()-8,$E304),TODAY()-8))-YEAR($D304))*12+MONTH(MIN(IF($E304="",TODAY()-8,$E304),TODAY()-8))-MONTH($D304)+IF(MIN(IF($E304="",TODAY()-8,$E304),TODAY()-8)&gt;=EOMONTH(MIN(IF($E304="",TODAY()-8,$E304),TODAY()-8),0),1,0)),MAX(0,INT((MIN(IF($E304="",TODAY()-8,$E304),TODAY()-8)-($D304+MOD(SISTEM!$F$8-WEEKDAY($D304,2),7)))/7)+1)))</f>
        <v/>
      </c>
      <c r="K304" s="222">
        <f>IF(OR($C304="",$D304="",$G304="",$F304=""),0,$G304*IF($F304="Aylık",MAX(0,(YEAR(MIN(IF($E304="",TODAY()-15,$E304),TODAY()-15))-YEAR($D304))*12+MONTH(MIN(IF($E304="",TODAY()-15,$E304),TODAY()-15))-MONTH($D304)+IF(MIN(IF($E304="",TODAY()-15,$E304),TODAY()-15)&gt;=EOMONTH(MIN(IF($E304="",TODAY()-15,$E304),TODAY()-15),0),1,0)),MAX(0,INT((MIN(IF($E304="",TODAY()-15,$E304),TODAY()-15)-($D304+MOD(SISTEM!$F$8-WEEKDAY($D304,2),7)))/7)+1)))</f>
        <v/>
      </c>
      <c r="L304" s="222">
        <f>IF(OR($C304="",$D304="",$G304="",$F304=""),0,$G304*IF($F304="Aylık",MAX(0,(YEAR(MIN(IF($E304="",TODAY()-29,$E304),TODAY()-29))-YEAR($D304))*12+MONTH(MIN(IF($E304="",TODAY()-29,$E304),TODAY()-29))-MONTH($D304)+IF(MIN(IF($E304="",TODAY()-29,$E304),TODAY()-29)&gt;=EOMONTH(MIN(IF($E304="",TODAY()-29,$E304),TODAY()-29),0),1,0)),MAX(0,INT((MIN(IF($E304="",TODAY()-29,$E304),TODAY()-29)-($D304+MOD(SISTEM!$F$8-WEEKDAY($D304,2),7)))/7)+1)))</f>
        <v/>
      </c>
      <c r="M304" s="223">
        <f>IF($G304&gt;0,$I304/$G304,0)</f>
        <v/>
      </c>
      <c r="N304" s="113">
        <f>IF($C304="","",IF($B304="TANIMSIZ MÜŞTERİ","TANIMSIZ MÜŞTERİ",IF($F304="","MODEL SEÇİN",IF(OR($D304="",$G304&lt;=0),"EKSİK",IF(AND($E304&lt;&gt;"",$E304&lt;$D304),"TARİH HATASI",IF($H304="Pasif","KAPALI DÖNEM","UYGUN"))))))</f>
        <v/>
      </c>
      <c r="O304" s="224">
        <f>IF(OR($C304="",$D304="",$F304=""),"",IF($F304="Aylık",EOMONTH($D304,0),($D304+MOD(SISTEM!$F$8-WEEKDAY($D304,2),7))))</f>
        <v/>
      </c>
      <c r="P304" s="109" t="n"/>
      <c r="Q304" s="6" t="n"/>
      <c r="R304" s="6" t="n"/>
      <c r="S304" s="3">
        <f>IF($B304="","",$B304&amp;"|"&amp;COUNTIFS($B$7:$B304,$B304))</f>
        <v/>
      </c>
      <c r="T304" s="3">
        <f>IF($C304="","",UPPER(SUBSTITUTE(SUBSTITUTE(SUBSTITUTE(SUBSTITUTE(SUBSTITUTE(SUBSTITUTE(SUBSTITUTE(SUBSTITUTE(SUBSTITUTE(SUBSTITUTE(SUBSTITUTE(SUBSTITUTE(SUBSTITUTE(SUBSTITUTE(SUBSTITUTE(SUBSTITUTE(SUBSTITUTE(SUBSTITUTE(TRIM($C304),"'",""),"İ","I"),"ı","I"),"i","I"),"Ş","S"),"ş","S"),"Ğ","G"),"ğ","G"),"Ü","U"),"ü","U"),"Ö","O"),"ö","O"),"Ç","C"),"ç","C"),".",""),",","")," ",""),"-","")))</f>
        <v/>
      </c>
    </row>
    <row r="305">
      <c r="A305" s="6" t="n"/>
      <c r="B305" s="113">
        <f>IF($C305="","",IFERROR(INDEX(MUSTERILER!$B$7:$B$106,MATCH($T305,MUSTERILER!$T$7:$T$106,0)),IFERROR(INDEX(MUSTERILER!$B$7:$B$106,MATCH($C305,MUSTERILER!$B$7:$B$106,0)),IFERROR(INDEX(MUSTERILER!$B$7:$B$106,MATCH($T305&amp;"*",MUSTERILER!$T$7:$T$106,0)),"TANIMSIZ MÜŞTERİ"))))</f>
        <v/>
      </c>
      <c r="C305" s="109" t="n"/>
      <c r="D305" s="220" t="n"/>
      <c r="E305" s="220" t="n"/>
      <c r="F305" s="108" t="n"/>
      <c r="G305" s="221" t="n"/>
      <c r="H305" s="108" t="n"/>
      <c r="I305" s="222">
        <f>IF(OR($C305="",$D305="",$G305="",$F305=""),0,$G305*IF($F305="Aylık",MAX(0,(YEAR(MIN(IF($E305="",TODAY(),$E305),TODAY()))-YEAR($D305))*12+MONTH(MIN(IF($E305="",TODAY(),$E305),TODAY()))-MONTH($D305)+IF(MIN(IF($E305="",TODAY(),$E305),TODAY())&gt;=EOMONTH(MIN(IF($E305="",TODAY(),$E305),TODAY()),0),1,0)),MAX(0,INT((MIN(IF($E305="",TODAY(),$E305),TODAY())-($D305+MOD(SISTEM!$F$8-WEEKDAY($D305,2),7)))/7)+1)))</f>
        <v/>
      </c>
      <c r="J305" s="222">
        <f>IF(OR($C305="",$D305="",$G305="",$F305=""),0,$G305*IF($F305="Aylık",MAX(0,(YEAR(MIN(IF($E305="",TODAY()-8,$E305),TODAY()-8))-YEAR($D305))*12+MONTH(MIN(IF($E305="",TODAY()-8,$E305),TODAY()-8))-MONTH($D305)+IF(MIN(IF($E305="",TODAY()-8,$E305),TODAY()-8)&gt;=EOMONTH(MIN(IF($E305="",TODAY()-8,$E305),TODAY()-8),0),1,0)),MAX(0,INT((MIN(IF($E305="",TODAY()-8,$E305),TODAY()-8)-($D305+MOD(SISTEM!$F$8-WEEKDAY($D305,2),7)))/7)+1)))</f>
        <v/>
      </c>
      <c r="K305" s="222">
        <f>IF(OR($C305="",$D305="",$G305="",$F305=""),0,$G305*IF($F305="Aylık",MAX(0,(YEAR(MIN(IF($E305="",TODAY()-15,$E305),TODAY()-15))-YEAR($D305))*12+MONTH(MIN(IF($E305="",TODAY()-15,$E305),TODAY()-15))-MONTH($D305)+IF(MIN(IF($E305="",TODAY()-15,$E305),TODAY()-15)&gt;=EOMONTH(MIN(IF($E305="",TODAY()-15,$E305),TODAY()-15),0),1,0)),MAX(0,INT((MIN(IF($E305="",TODAY()-15,$E305),TODAY()-15)-($D305+MOD(SISTEM!$F$8-WEEKDAY($D305,2),7)))/7)+1)))</f>
        <v/>
      </c>
      <c r="L305" s="222">
        <f>IF(OR($C305="",$D305="",$G305="",$F305=""),0,$G305*IF($F305="Aylık",MAX(0,(YEAR(MIN(IF($E305="",TODAY()-29,$E305),TODAY()-29))-YEAR($D305))*12+MONTH(MIN(IF($E305="",TODAY()-29,$E305),TODAY()-29))-MONTH($D305)+IF(MIN(IF($E305="",TODAY()-29,$E305),TODAY()-29)&gt;=EOMONTH(MIN(IF($E305="",TODAY()-29,$E305),TODAY()-29),0),1,0)),MAX(0,INT((MIN(IF($E305="",TODAY()-29,$E305),TODAY()-29)-($D305+MOD(SISTEM!$F$8-WEEKDAY($D305,2),7)))/7)+1)))</f>
        <v/>
      </c>
      <c r="M305" s="223">
        <f>IF($G305&gt;0,$I305/$G305,0)</f>
        <v/>
      </c>
      <c r="N305" s="113">
        <f>IF($C305="","",IF($B305="TANIMSIZ MÜŞTERİ","TANIMSIZ MÜŞTERİ",IF($F305="","MODEL SEÇİN",IF(OR($D305="",$G305&lt;=0),"EKSİK",IF(AND($E305&lt;&gt;"",$E305&lt;$D305),"TARİH HATASI",IF($H305="Pasif","KAPALI DÖNEM","UYGUN"))))))</f>
        <v/>
      </c>
      <c r="O305" s="224">
        <f>IF(OR($C305="",$D305="",$F305=""),"",IF($F305="Aylık",EOMONTH($D305,0),($D305+MOD(SISTEM!$F$8-WEEKDAY($D305,2),7))))</f>
        <v/>
      </c>
      <c r="P305" s="109" t="n"/>
      <c r="Q305" s="6" t="n"/>
      <c r="R305" s="6" t="n"/>
      <c r="S305" s="3">
        <f>IF($B305="","",$B305&amp;"|"&amp;COUNTIFS($B$7:$B305,$B305))</f>
        <v/>
      </c>
      <c r="T305" s="3">
        <f>IF($C305="","",UPPER(SUBSTITUTE(SUBSTITUTE(SUBSTITUTE(SUBSTITUTE(SUBSTITUTE(SUBSTITUTE(SUBSTITUTE(SUBSTITUTE(SUBSTITUTE(SUBSTITUTE(SUBSTITUTE(SUBSTITUTE(SUBSTITUTE(SUBSTITUTE(SUBSTITUTE(SUBSTITUTE(SUBSTITUTE(SUBSTITUTE(TRIM($C305),"'",""),"İ","I"),"ı","I"),"i","I"),"Ş","S"),"ş","S"),"Ğ","G"),"ğ","G"),"Ü","U"),"ü","U"),"Ö","O"),"ö","O"),"Ç","C"),"ç","C"),".",""),",","")," ",""),"-","")))</f>
        <v/>
      </c>
    </row>
    <row r="306">
      <c r="A306" s="6" t="n"/>
      <c r="B306" s="113">
        <f>IF($C306="","",IFERROR(INDEX(MUSTERILER!$B$7:$B$106,MATCH($T306,MUSTERILER!$T$7:$T$106,0)),IFERROR(INDEX(MUSTERILER!$B$7:$B$106,MATCH($C306,MUSTERILER!$B$7:$B$106,0)),IFERROR(INDEX(MUSTERILER!$B$7:$B$106,MATCH($T306&amp;"*",MUSTERILER!$T$7:$T$106,0)),"TANIMSIZ MÜŞTERİ"))))</f>
        <v/>
      </c>
      <c r="C306" s="109" t="n"/>
      <c r="D306" s="220" t="n"/>
      <c r="E306" s="220" t="n"/>
      <c r="F306" s="108" t="n"/>
      <c r="G306" s="221" t="n"/>
      <c r="H306" s="108" t="n"/>
      <c r="I306" s="222">
        <f>IF(OR($C306="",$D306="",$G306="",$F306=""),0,$G306*IF($F306="Aylık",MAX(0,(YEAR(MIN(IF($E306="",TODAY(),$E306),TODAY()))-YEAR($D306))*12+MONTH(MIN(IF($E306="",TODAY(),$E306),TODAY()))-MONTH($D306)+IF(MIN(IF($E306="",TODAY(),$E306),TODAY())&gt;=EOMONTH(MIN(IF($E306="",TODAY(),$E306),TODAY()),0),1,0)),MAX(0,INT((MIN(IF($E306="",TODAY(),$E306),TODAY())-($D306+MOD(SISTEM!$F$8-WEEKDAY($D306,2),7)))/7)+1)))</f>
        <v/>
      </c>
      <c r="J306" s="222">
        <f>IF(OR($C306="",$D306="",$G306="",$F306=""),0,$G306*IF($F306="Aylık",MAX(0,(YEAR(MIN(IF($E306="",TODAY()-8,$E306),TODAY()-8))-YEAR($D306))*12+MONTH(MIN(IF($E306="",TODAY()-8,$E306),TODAY()-8))-MONTH($D306)+IF(MIN(IF($E306="",TODAY()-8,$E306),TODAY()-8)&gt;=EOMONTH(MIN(IF($E306="",TODAY()-8,$E306),TODAY()-8),0),1,0)),MAX(0,INT((MIN(IF($E306="",TODAY()-8,$E306),TODAY()-8)-($D306+MOD(SISTEM!$F$8-WEEKDAY($D306,2),7)))/7)+1)))</f>
        <v/>
      </c>
      <c r="K306" s="222">
        <f>IF(OR($C306="",$D306="",$G306="",$F306=""),0,$G306*IF($F306="Aylık",MAX(0,(YEAR(MIN(IF($E306="",TODAY()-15,$E306),TODAY()-15))-YEAR($D306))*12+MONTH(MIN(IF($E306="",TODAY()-15,$E306),TODAY()-15))-MONTH($D306)+IF(MIN(IF($E306="",TODAY()-15,$E306),TODAY()-15)&gt;=EOMONTH(MIN(IF($E306="",TODAY()-15,$E306),TODAY()-15),0),1,0)),MAX(0,INT((MIN(IF($E306="",TODAY()-15,$E306),TODAY()-15)-($D306+MOD(SISTEM!$F$8-WEEKDAY($D306,2),7)))/7)+1)))</f>
        <v/>
      </c>
      <c r="L306" s="222">
        <f>IF(OR($C306="",$D306="",$G306="",$F306=""),0,$G306*IF($F306="Aylık",MAX(0,(YEAR(MIN(IF($E306="",TODAY()-29,$E306),TODAY()-29))-YEAR($D306))*12+MONTH(MIN(IF($E306="",TODAY()-29,$E306),TODAY()-29))-MONTH($D306)+IF(MIN(IF($E306="",TODAY()-29,$E306),TODAY()-29)&gt;=EOMONTH(MIN(IF($E306="",TODAY()-29,$E306),TODAY()-29),0),1,0)),MAX(0,INT((MIN(IF($E306="",TODAY()-29,$E306),TODAY()-29)-($D306+MOD(SISTEM!$F$8-WEEKDAY($D306,2),7)))/7)+1)))</f>
        <v/>
      </c>
      <c r="M306" s="223">
        <f>IF($G306&gt;0,$I306/$G306,0)</f>
        <v/>
      </c>
      <c r="N306" s="113">
        <f>IF($C306="","",IF($B306="TANIMSIZ MÜŞTERİ","TANIMSIZ MÜŞTERİ",IF($F306="","MODEL SEÇİN",IF(OR($D306="",$G306&lt;=0),"EKSİK",IF(AND($E306&lt;&gt;"",$E306&lt;$D306),"TARİH HATASI",IF($H306="Pasif","KAPALI DÖNEM","UYGUN"))))))</f>
        <v/>
      </c>
      <c r="O306" s="224">
        <f>IF(OR($C306="",$D306="",$F306=""),"",IF($F306="Aylık",EOMONTH($D306,0),($D306+MOD(SISTEM!$F$8-WEEKDAY($D306,2),7))))</f>
        <v/>
      </c>
      <c r="P306" s="109" t="n"/>
      <c r="Q306" s="6" t="n"/>
      <c r="R306" s="6" t="n"/>
      <c r="S306" s="3">
        <f>IF($B306="","",$B306&amp;"|"&amp;COUNTIFS($B$7:$B306,$B306))</f>
        <v/>
      </c>
      <c r="T306" s="3">
        <f>IF($C306="","",UPPER(SUBSTITUTE(SUBSTITUTE(SUBSTITUTE(SUBSTITUTE(SUBSTITUTE(SUBSTITUTE(SUBSTITUTE(SUBSTITUTE(SUBSTITUTE(SUBSTITUTE(SUBSTITUTE(SUBSTITUTE(SUBSTITUTE(SUBSTITUTE(SUBSTITUTE(SUBSTITUTE(SUBSTITUTE(SUBSTITUTE(TRIM($C306),"'",""),"İ","I"),"ı","I"),"i","I"),"Ş","S"),"ş","S"),"Ğ","G"),"ğ","G"),"Ü","U"),"ü","U"),"Ö","O"),"ö","O"),"Ç","C"),"ç","C"),".",""),",","")," ",""),"-","")))</f>
        <v/>
      </c>
    </row>
    <row r="307">
      <c r="A307" s="6" t="n"/>
      <c r="B307" s="113">
        <f>IF($C307="","",IFERROR(INDEX(MUSTERILER!$B$7:$B$106,MATCH($T307,MUSTERILER!$T$7:$T$106,0)),IFERROR(INDEX(MUSTERILER!$B$7:$B$106,MATCH($C307,MUSTERILER!$B$7:$B$106,0)),IFERROR(INDEX(MUSTERILER!$B$7:$B$106,MATCH($T307&amp;"*",MUSTERILER!$T$7:$T$106,0)),"TANIMSIZ MÜŞTERİ"))))</f>
        <v/>
      </c>
      <c r="C307" s="109" t="n"/>
      <c r="D307" s="220" t="n"/>
      <c r="E307" s="220" t="n"/>
      <c r="F307" s="108" t="n"/>
      <c r="G307" s="221" t="n"/>
      <c r="H307" s="108" t="n"/>
      <c r="I307" s="222">
        <f>IF(OR($C307="",$D307="",$G307="",$F307=""),0,$G307*IF($F307="Aylık",MAX(0,(YEAR(MIN(IF($E307="",TODAY(),$E307),TODAY()))-YEAR($D307))*12+MONTH(MIN(IF($E307="",TODAY(),$E307),TODAY()))-MONTH($D307)+IF(MIN(IF($E307="",TODAY(),$E307),TODAY())&gt;=EOMONTH(MIN(IF($E307="",TODAY(),$E307),TODAY()),0),1,0)),MAX(0,INT((MIN(IF($E307="",TODAY(),$E307),TODAY())-($D307+MOD(SISTEM!$F$8-WEEKDAY($D307,2),7)))/7)+1)))</f>
        <v/>
      </c>
      <c r="J307" s="222">
        <f>IF(OR($C307="",$D307="",$G307="",$F307=""),0,$G307*IF($F307="Aylık",MAX(0,(YEAR(MIN(IF($E307="",TODAY()-8,$E307),TODAY()-8))-YEAR($D307))*12+MONTH(MIN(IF($E307="",TODAY()-8,$E307),TODAY()-8))-MONTH($D307)+IF(MIN(IF($E307="",TODAY()-8,$E307),TODAY()-8)&gt;=EOMONTH(MIN(IF($E307="",TODAY()-8,$E307),TODAY()-8),0),1,0)),MAX(0,INT((MIN(IF($E307="",TODAY()-8,$E307),TODAY()-8)-($D307+MOD(SISTEM!$F$8-WEEKDAY($D307,2),7)))/7)+1)))</f>
        <v/>
      </c>
      <c r="K307" s="222">
        <f>IF(OR($C307="",$D307="",$G307="",$F307=""),0,$G307*IF($F307="Aylık",MAX(0,(YEAR(MIN(IF($E307="",TODAY()-15,$E307),TODAY()-15))-YEAR($D307))*12+MONTH(MIN(IF($E307="",TODAY()-15,$E307),TODAY()-15))-MONTH($D307)+IF(MIN(IF($E307="",TODAY()-15,$E307),TODAY()-15)&gt;=EOMONTH(MIN(IF($E307="",TODAY()-15,$E307),TODAY()-15),0),1,0)),MAX(0,INT((MIN(IF($E307="",TODAY()-15,$E307),TODAY()-15)-($D307+MOD(SISTEM!$F$8-WEEKDAY($D307,2),7)))/7)+1)))</f>
        <v/>
      </c>
      <c r="L307" s="222">
        <f>IF(OR($C307="",$D307="",$G307="",$F307=""),0,$G307*IF($F307="Aylık",MAX(0,(YEAR(MIN(IF($E307="",TODAY()-29,$E307),TODAY()-29))-YEAR($D307))*12+MONTH(MIN(IF($E307="",TODAY()-29,$E307),TODAY()-29))-MONTH($D307)+IF(MIN(IF($E307="",TODAY()-29,$E307),TODAY()-29)&gt;=EOMONTH(MIN(IF($E307="",TODAY()-29,$E307),TODAY()-29),0),1,0)),MAX(0,INT((MIN(IF($E307="",TODAY()-29,$E307),TODAY()-29)-($D307+MOD(SISTEM!$F$8-WEEKDAY($D307,2),7)))/7)+1)))</f>
        <v/>
      </c>
      <c r="M307" s="223">
        <f>IF($G307&gt;0,$I307/$G307,0)</f>
        <v/>
      </c>
      <c r="N307" s="113">
        <f>IF($C307="","",IF($B307="TANIMSIZ MÜŞTERİ","TANIMSIZ MÜŞTERİ",IF($F307="","MODEL SEÇİN",IF(OR($D307="",$G307&lt;=0),"EKSİK",IF(AND($E307&lt;&gt;"",$E307&lt;$D307),"TARİH HATASI",IF($H307="Pasif","KAPALI DÖNEM","UYGUN"))))))</f>
        <v/>
      </c>
      <c r="O307" s="224">
        <f>IF(OR($C307="",$D307="",$F307=""),"",IF($F307="Aylık",EOMONTH($D307,0),($D307+MOD(SISTEM!$F$8-WEEKDAY($D307,2),7))))</f>
        <v/>
      </c>
      <c r="P307" s="109" t="n"/>
      <c r="Q307" s="6" t="n"/>
      <c r="R307" s="6" t="n"/>
      <c r="S307" s="3">
        <f>IF($B307="","",$B307&amp;"|"&amp;COUNTIFS($B$7:$B307,$B307))</f>
        <v/>
      </c>
      <c r="T307" s="3">
        <f>IF($C307="","",UPPER(SUBSTITUTE(SUBSTITUTE(SUBSTITUTE(SUBSTITUTE(SUBSTITUTE(SUBSTITUTE(SUBSTITUTE(SUBSTITUTE(SUBSTITUTE(SUBSTITUTE(SUBSTITUTE(SUBSTITUTE(SUBSTITUTE(SUBSTITUTE(SUBSTITUTE(SUBSTITUTE(SUBSTITUTE(SUBSTITUTE(TRIM($C307),"'",""),"İ","I"),"ı","I"),"i","I"),"Ş","S"),"ş","S"),"Ğ","G"),"ğ","G"),"Ü","U"),"ü","U"),"Ö","O"),"ö","O"),"Ç","C"),"ç","C"),".",""),",","")," ",""),"-","")))</f>
        <v/>
      </c>
    </row>
    <row r="308">
      <c r="A308" s="6" t="n"/>
      <c r="B308" s="113">
        <f>IF($C308="","",IFERROR(INDEX(MUSTERILER!$B$7:$B$106,MATCH($T308,MUSTERILER!$T$7:$T$106,0)),IFERROR(INDEX(MUSTERILER!$B$7:$B$106,MATCH($C308,MUSTERILER!$B$7:$B$106,0)),IFERROR(INDEX(MUSTERILER!$B$7:$B$106,MATCH($T308&amp;"*",MUSTERILER!$T$7:$T$106,0)),"TANIMSIZ MÜŞTERİ"))))</f>
        <v/>
      </c>
      <c r="C308" s="109" t="n"/>
      <c r="D308" s="220" t="n"/>
      <c r="E308" s="220" t="n"/>
      <c r="F308" s="108" t="n"/>
      <c r="G308" s="221" t="n"/>
      <c r="H308" s="108" t="n"/>
      <c r="I308" s="222">
        <f>IF(OR($C308="",$D308="",$G308="",$F308=""),0,$G308*IF($F308="Aylık",MAX(0,(YEAR(MIN(IF($E308="",TODAY(),$E308),TODAY()))-YEAR($D308))*12+MONTH(MIN(IF($E308="",TODAY(),$E308),TODAY()))-MONTH($D308)+IF(MIN(IF($E308="",TODAY(),$E308),TODAY())&gt;=EOMONTH(MIN(IF($E308="",TODAY(),$E308),TODAY()),0),1,0)),MAX(0,INT((MIN(IF($E308="",TODAY(),$E308),TODAY())-($D308+MOD(SISTEM!$F$8-WEEKDAY($D308,2),7)))/7)+1)))</f>
        <v/>
      </c>
      <c r="J308" s="222">
        <f>IF(OR($C308="",$D308="",$G308="",$F308=""),0,$G308*IF($F308="Aylık",MAX(0,(YEAR(MIN(IF($E308="",TODAY()-8,$E308),TODAY()-8))-YEAR($D308))*12+MONTH(MIN(IF($E308="",TODAY()-8,$E308),TODAY()-8))-MONTH($D308)+IF(MIN(IF($E308="",TODAY()-8,$E308),TODAY()-8)&gt;=EOMONTH(MIN(IF($E308="",TODAY()-8,$E308),TODAY()-8),0),1,0)),MAX(0,INT((MIN(IF($E308="",TODAY()-8,$E308),TODAY()-8)-($D308+MOD(SISTEM!$F$8-WEEKDAY($D308,2),7)))/7)+1)))</f>
        <v/>
      </c>
      <c r="K308" s="222">
        <f>IF(OR($C308="",$D308="",$G308="",$F308=""),0,$G308*IF($F308="Aylık",MAX(0,(YEAR(MIN(IF($E308="",TODAY()-15,$E308),TODAY()-15))-YEAR($D308))*12+MONTH(MIN(IF($E308="",TODAY()-15,$E308),TODAY()-15))-MONTH($D308)+IF(MIN(IF($E308="",TODAY()-15,$E308),TODAY()-15)&gt;=EOMONTH(MIN(IF($E308="",TODAY()-15,$E308),TODAY()-15),0),1,0)),MAX(0,INT((MIN(IF($E308="",TODAY()-15,$E308),TODAY()-15)-($D308+MOD(SISTEM!$F$8-WEEKDAY($D308,2),7)))/7)+1)))</f>
        <v/>
      </c>
      <c r="L308" s="222">
        <f>IF(OR($C308="",$D308="",$G308="",$F308=""),0,$G308*IF($F308="Aylık",MAX(0,(YEAR(MIN(IF($E308="",TODAY()-29,$E308),TODAY()-29))-YEAR($D308))*12+MONTH(MIN(IF($E308="",TODAY()-29,$E308),TODAY()-29))-MONTH($D308)+IF(MIN(IF($E308="",TODAY()-29,$E308),TODAY()-29)&gt;=EOMONTH(MIN(IF($E308="",TODAY()-29,$E308),TODAY()-29),0),1,0)),MAX(0,INT((MIN(IF($E308="",TODAY()-29,$E308),TODAY()-29)-($D308+MOD(SISTEM!$F$8-WEEKDAY($D308,2),7)))/7)+1)))</f>
        <v/>
      </c>
      <c r="M308" s="223">
        <f>IF($G308&gt;0,$I308/$G308,0)</f>
        <v/>
      </c>
      <c r="N308" s="113">
        <f>IF($C308="","",IF($B308="TANIMSIZ MÜŞTERİ","TANIMSIZ MÜŞTERİ",IF($F308="","MODEL SEÇİN",IF(OR($D308="",$G308&lt;=0),"EKSİK",IF(AND($E308&lt;&gt;"",$E308&lt;$D308),"TARİH HATASI",IF($H308="Pasif","KAPALI DÖNEM","UYGUN"))))))</f>
        <v/>
      </c>
      <c r="O308" s="224">
        <f>IF(OR($C308="",$D308="",$F308=""),"",IF($F308="Aylık",EOMONTH($D308,0),($D308+MOD(SISTEM!$F$8-WEEKDAY($D308,2),7))))</f>
        <v/>
      </c>
      <c r="P308" s="109" t="n"/>
      <c r="Q308" s="6" t="n"/>
      <c r="R308" s="6" t="n"/>
      <c r="S308" s="3">
        <f>IF($B308="","",$B308&amp;"|"&amp;COUNTIFS($B$7:$B308,$B308))</f>
        <v/>
      </c>
      <c r="T308" s="3">
        <f>IF($C308="","",UPPER(SUBSTITUTE(SUBSTITUTE(SUBSTITUTE(SUBSTITUTE(SUBSTITUTE(SUBSTITUTE(SUBSTITUTE(SUBSTITUTE(SUBSTITUTE(SUBSTITUTE(SUBSTITUTE(SUBSTITUTE(SUBSTITUTE(SUBSTITUTE(SUBSTITUTE(SUBSTITUTE(SUBSTITUTE(SUBSTITUTE(TRIM($C308),"'",""),"İ","I"),"ı","I"),"i","I"),"Ş","S"),"ş","S"),"Ğ","G"),"ğ","G"),"Ü","U"),"ü","U"),"Ö","O"),"ö","O"),"Ç","C"),"ç","C"),".",""),",","")," ",""),"-","")))</f>
        <v/>
      </c>
    </row>
    <row r="309">
      <c r="A309" s="6" t="n"/>
      <c r="B309" s="113">
        <f>IF($C309="","",IFERROR(INDEX(MUSTERILER!$B$7:$B$106,MATCH($T309,MUSTERILER!$T$7:$T$106,0)),IFERROR(INDEX(MUSTERILER!$B$7:$B$106,MATCH($C309,MUSTERILER!$B$7:$B$106,0)),IFERROR(INDEX(MUSTERILER!$B$7:$B$106,MATCH($T309&amp;"*",MUSTERILER!$T$7:$T$106,0)),"TANIMSIZ MÜŞTERİ"))))</f>
        <v/>
      </c>
      <c r="C309" s="109" t="n"/>
      <c r="D309" s="220" t="n"/>
      <c r="E309" s="220" t="n"/>
      <c r="F309" s="108" t="n"/>
      <c r="G309" s="221" t="n"/>
      <c r="H309" s="108" t="n"/>
      <c r="I309" s="222">
        <f>IF(OR($C309="",$D309="",$G309="",$F309=""),0,$G309*IF($F309="Aylık",MAX(0,(YEAR(MIN(IF($E309="",TODAY(),$E309),TODAY()))-YEAR($D309))*12+MONTH(MIN(IF($E309="",TODAY(),$E309),TODAY()))-MONTH($D309)+IF(MIN(IF($E309="",TODAY(),$E309),TODAY())&gt;=EOMONTH(MIN(IF($E309="",TODAY(),$E309),TODAY()),0),1,0)),MAX(0,INT((MIN(IF($E309="",TODAY(),$E309),TODAY())-($D309+MOD(SISTEM!$F$8-WEEKDAY($D309,2),7)))/7)+1)))</f>
        <v/>
      </c>
      <c r="J309" s="222">
        <f>IF(OR($C309="",$D309="",$G309="",$F309=""),0,$G309*IF($F309="Aylık",MAX(0,(YEAR(MIN(IF($E309="",TODAY()-8,$E309),TODAY()-8))-YEAR($D309))*12+MONTH(MIN(IF($E309="",TODAY()-8,$E309),TODAY()-8))-MONTH($D309)+IF(MIN(IF($E309="",TODAY()-8,$E309),TODAY()-8)&gt;=EOMONTH(MIN(IF($E309="",TODAY()-8,$E309),TODAY()-8),0),1,0)),MAX(0,INT((MIN(IF($E309="",TODAY()-8,$E309),TODAY()-8)-($D309+MOD(SISTEM!$F$8-WEEKDAY($D309,2),7)))/7)+1)))</f>
        <v/>
      </c>
      <c r="K309" s="222">
        <f>IF(OR($C309="",$D309="",$G309="",$F309=""),0,$G309*IF($F309="Aylık",MAX(0,(YEAR(MIN(IF($E309="",TODAY()-15,$E309),TODAY()-15))-YEAR($D309))*12+MONTH(MIN(IF($E309="",TODAY()-15,$E309),TODAY()-15))-MONTH($D309)+IF(MIN(IF($E309="",TODAY()-15,$E309),TODAY()-15)&gt;=EOMONTH(MIN(IF($E309="",TODAY()-15,$E309),TODAY()-15),0),1,0)),MAX(0,INT((MIN(IF($E309="",TODAY()-15,$E309),TODAY()-15)-($D309+MOD(SISTEM!$F$8-WEEKDAY($D309,2),7)))/7)+1)))</f>
        <v/>
      </c>
      <c r="L309" s="222">
        <f>IF(OR($C309="",$D309="",$G309="",$F309=""),0,$G309*IF($F309="Aylık",MAX(0,(YEAR(MIN(IF($E309="",TODAY()-29,$E309),TODAY()-29))-YEAR($D309))*12+MONTH(MIN(IF($E309="",TODAY()-29,$E309),TODAY()-29))-MONTH($D309)+IF(MIN(IF($E309="",TODAY()-29,$E309),TODAY()-29)&gt;=EOMONTH(MIN(IF($E309="",TODAY()-29,$E309),TODAY()-29),0),1,0)),MAX(0,INT((MIN(IF($E309="",TODAY()-29,$E309),TODAY()-29)-($D309+MOD(SISTEM!$F$8-WEEKDAY($D309,2),7)))/7)+1)))</f>
        <v/>
      </c>
      <c r="M309" s="223">
        <f>IF($G309&gt;0,$I309/$G309,0)</f>
        <v/>
      </c>
      <c r="N309" s="113">
        <f>IF($C309="","",IF($B309="TANIMSIZ MÜŞTERİ","TANIMSIZ MÜŞTERİ",IF($F309="","MODEL SEÇİN",IF(OR($D309="",$G309&lt;=0),"EKSİK",IF(AND($E309&lt;&gt;"",$E309&lt;$D309),"TARİH HATASI",IF($H309="Pasif","KAPALI DÖNEM","UYGUN"))))))</f>
        <v/>
      </c>
      <c r="O309" s="224">
        <f>IF(OR($C309="",$D309="",$F309=""),"",IF($F309="Aylık",EOMONTH($D309,0),($D309+MOD(SISTEM!$F$8-WEEKDAY($D309,2),7))))</f>
        <v/>
      </c>
      <c r="P309" s="109" t="n"/>
      <c r="Q309" s="6" t="n"/>
      <c r="R309" s="6" t="n"/>
      <c r="S309" s="3">
        <f>IF($B309="","",$B309&amp;"|"&amp;COUNTIFS($B$7:$B309,$B309))</f>
        <v/>
      </c>
      <c r="T309" s="3">
        <f>IF($C309="","",UPPER(SUBSTITUTE(SUBSTITUTE(SUBSTITUTE(SUBSTITUTE(SUBSTITUTE(SUBSTITUTE(SUBSTITUTE(SUBSTITUTE(SUBSTITUTE(SUBSTITUTE(SUBSTITUTE(SUBSTITUTE(SUBSTITUTE(SUBSTITUTE(SUBSTITUTE(SUBSTITUTE(SUBSTITUTE(SUBSTITUTE(TRIM($C309),"'",""),"İ","I"),"ı","I"),"i","I"),"Ş","S"),"ş","S"),"Ğ","G"),"ğ","G"),"Ü","U"),"ü","U"),"Ö","O"),"ö","O"),"Ç","C"),"ç","C"),".",""),",","")," ",""),"-","")))</f>
        <v/>
      </c>
    </row>
    <row r="310">
      <c r="A310" s="6" t="n"/>
      <c r="B310" s="113">
        <f>IF($C310="","",IFERROR(INDEX(MUSTERILER!$B$7:$B$106,MATCH($T310,MUSTERILER!$T$7:$T$106,0)),IFERROR(INDEX(MUSTERILER!$B$7:$B$106,MATCH($C310,MUSTERILER!$B$7:$B$106,0)),IFERROR(INDEX(MUSTERILER!$B$7:$B$106,MATCH($T310&amp;"*",MUSTERILER!$T$7:$T$106,0)),"TANIMSIZ MÜŞTERİ"))))</f>
        <v/>
      </c>
      <c r="C310" s="109" t="n"/>
      <c r="D310" s="220" t="n"/>
      <c r="E310" s="220" t="n"/>
      <c r="F310" s="108" t="n"/>
      <c r="G310" s="221" t="n"/>
      <c r="H310" s="108" t="n"/>
      <c r="I310" s="222">
        <f>IF(OR($C310="",$D310="",$G310="",$F310=""),0,$G310*IF($F310="Aylık",MAX(0,(YEAR(MIN(IF($E310="",TODAY(),$E310),TODAY()))-YEAR($D310))*12+MONTH(MIN(IF($E310="",TODAY(),$E310),TODAY()))-MONTH($D310)+IF(MIN(IF($E310="",TODAY(),$E310),TODAY())&gt;=EOMONTH(MIN(IF($E310="",TODAY(),$E310),TODAY()),0),1,0)),MAX(0,INT((MIN(IF($E310="",TODAY(),$E310),TODAY())-($D310+MOD(SISTEM!$F$8-WEEKDAY($D310,2),7)))/7)+1)))</f>
        <v/>
      </c>
      <c r="J310" s="222">
        <f>IF(OR($C310="",$D310="",$G310="",$F310=""),0,$G310*IF($F310="Aylık",MAX(0,(YEAR(MIN(IF($E310="",TODAY()-8,$E310),TODAY()-8))-YEAR($D310))*12+MONTH(MIN(IF($E310="",TODAY()-8,$E310),TODAY()-8))-MONTH($D310)+IF(MIN(IF($E310="",TODAY()-8,$E310),TODAY()-8)&gt;=EOMONTH(MIN(IF($E310="",TODAY()-8,$E310),TODAY()-8),0),1,0)),MAX(0,INT((MIN(IF($E310="",TODAY()-8,$E310),TODAY()-8)-($D310+MOD(SISTEM!$F$8-WEEKDAY($D310,2),7)))/7)+1)))</f>
        <v/>
      </c>
      <c r="K310" s="222">
        <f>IF(OR($C310="",$D310="",$G310="",$F310=""),0,$G310*IF($F310="Aylık",MAX(0,(YEAR(MIN(IF($E310="",TODAY()-15,$E310),TODAY()-15))-YEAR($D310))*12+MONTH(MIN(IF($E310="",TODAY()-15,$E310),TODAY()-15))-MONTH($D310)+IF(MIN(IF($E310="",TODAY()-15,$E310),TODAY()-15)&gt;=EOMONTH(MIN(IF($E310="",TODAY()-15,$E310),TODAY()-15),0),1,0)),MAX(0,INT((MIN(IF($E310="",TODAY()-15,$E310),TODAY()-15)-($D310+MOD(SISTEM!$F$8-WEEKDAY($D310,2),7)))/7)+1)))</f>
        <v/>
      </c>
      <c r="L310" s="222">
        <f>IF(OR($C310="",$D310="",$G310="",$F310=""),0,$G310*IF($F310="Aylık",MAX(0,(YEAR(MIN(IF($E310="",TODAY()-29,$E310),TODAY()-29))-YEAR($D310))*12+MONTH(MIN(IF($E310="",TODAY()-29,$E310),TODAY()-29))-MONTH($D310)+IF(MIN(IF($E310="",TODAY()-29,$E310),TODAY()-29)&gt;=EOMONTH(MIN(IF($E310="",TODAY()-29,$E310),TODAY()-29),0),1,0)),MAX(0,INT((MIN(IF($E310="",TODAY()-29,$E310),TODAY()-29)-($D310+MOD(SISTEM!$F$8-WEEKDAY($D310,2),7)))/7)+1)))</f>
        <v/>
      </c>
      <c r="M310" s="223">
        <f>IF($G310&gt;0,$I310/$G310,0)</f>
        <v/>
      </c>
      <c r="N310" s="113">
        <f>IF($C310="","",IF($B310="TANIMSIZ MÜŞTERİ","TANIMSIZ MÜŞTERİ",IF($F310="","MODEL SEÇİN",IF(OR($D310="",$G310&lt;=0),"EKSİK",IF(AND($E310&lt;&gt;"",$E310&lt;$D310),"TARİH HATASI",IF($H310="Pasif","KAPALI DÖNEM","UYGUN"))))))</f>
        <v/>
      </c>
      <c r="O310" s="224">
        <f>IF(OR($C310="",$D310="",$F310=""),"",IF($F310="Aylık",EOMONTH($D310,0),($D310+MOD(SISTEM!$F$8-WEEKDAY($D310,2),7))))</f>
        <v/>
      </c>
      <c r="P310" s="109" t="n"/>
      <c r="Q310" s="6" t="n"/>
      <c r="R310" s="6" t="n"/>
      <c r="S310" s="3">
        <f>IF($B310="","",$B310&amp;"|"&amp;COUNTIFS($B$7:$B310,$B310))</f>
        <v/>
      </c>
      <c r="T310" s="3">
        <f>IF($C310="","",UPPER(SUBSTITUTE(SUBSTITUTE(SUBSTITUTE(SUBSTITUTE(SUBSTITUTE(SUBSTITUTE(SUBSTITUTE(SUBSTITUTE(SUBSTITUTE(SUBSTITUTE(SUBSTITUTE(SUBSTITUTE(SUBSTITUTE(SUBSTITUTE(SUBSTITUTE(SUBSTITUTE(SUBSTITUTE(SUBSTITUTE(TRIM($C310),"'",""),"İ","I"),"ı","I"),"i","I"),"Ş","S"),"ş","S"),"Ğ","G"),"ğ","G"),"Ü","U"),"ü","U"),"Ö","O"),"ö","O"),"Ç","C"),"ç","C"),".",""),",","")," ",""),"-","")))</f>
        <v/>
      </c>
    </row>
    <row r="311">
      <c r="A311" s="6" t="n"/>
      <c r="B311" s="113">
        <f>IF($C311="","",IFERROR(INDEX(MUSTERILER!$B$7:$B$106,MATCH($T311,MUSTERILER!$T$7:$T$106,0)),IFERROR(INDEX(MUSTERILER!$B$7:$B$106,MATCH($C311,MUSTERILER!$B$7:$B$106,0)),IFERROR(INDEX(MUSTERILER!$B$7:$B$106,MATCH($T311&amp;"*",MUSTERILER!$T$7:$T$106,0)),"TANIMSIZ MÜŞTERİ"))))</f>
        <v/>
      </c>
      <c r="C311" s="109" t="n"/>
      <c r="D311" s="220" t="n"/>
      <c r="E311" s="220" t="n"/>
      <c r="F311" s="108" t="n"/>
      <c r="G311" s="221" t="n"/>
      <c r="H311" s="108" t="n"/>
      <c r="I311" s="222">
        <f>IF(OR($C311="",$D311="",$G311="",$F311=""),0,$G311*IF($F311="Aylık",MAX(0,(YEAR(MIN(IF($E311="",TODAY(),$E311),TODAY()))-YEAR($D311))*12+MONTH(MIN(IF($E311="",TODAY(),$E311),TODAY()))-MONTH($D311)+IF(MIN(IF($E311="",TODAY(),$E311),TODAY())&gt;=EOMONTH(MIN(IF($E311="",TODAY(),$E311),TODAY()),0),1,0)),MAX(0,INT((MIN(IF($E311="",TODAY(),$E311),TODAY())-($D311+MOD(SISTEM!$F$8-WEEKDAY($D311,2),7)))/7)+1)))</f>
        <v/>
      </c>
      <c r="J311" s="222">
        <f>IF(OR($C311="",$D311="",$G311="",$F311=""),0,$G311*IF($F311="Aylık",MAX(0,(YEAR(MIN(IF($E311="",TODAY()-8,$E311),TODAY()-8))-YEAR($D311))*12+MONTH(MIN(IF($E311="",TODAY()-8,$E311),TODAY()-8))-MONTH($D311)+IF(MIN(IF($E311="",TODAY()-8,$E311),TODAY()-8)&gt;=EOMONTH(MIN(IF($E311="",TODAY()-8,$E311),TODAY()-8),0),1,0)),MAX(0,INT((MIN(IF($E311="",TODAY()-8,$E311),TODAY()-8)-($D311+MOD(SISTEM!$F$8-WEEKDAY($D311,2),7)))/7)+1)))</f>
        <v/>
      </c>
      <c r="K311" s="222">
        <f>IF(OR($C311="",$D311="",$G311="",$F311=""),0,$G311*IF($F311="Aylık",MAX(0,(YEAR(MIN(IF($E311="",TODAY()-15,$E311),TODAY()-15))-YEAR($D311))*12+MONTH(MIN(IF($E311="",TODAY()-15,$E311),TODAY()-15))-MONTH($D311)+IF(MIN(IF($E311="",TODAY()-15,$E311),TODAY()-15)&gt;=EOMONTH(MIN(IF($E311="",TODAY()-15,$E311),TODAY()-15),0),1,0)),MAX(0,INT((MIN(IF($E311="",TODAY()-15,$E311),TODAY()-15)-($D311+MOD(SISTEM!$F$8-WEEKDAY($D311,2),7)))/7)+1)))</f>
        <v/>
      </c>
      <c r="L311" s="222">
        <f>IF(OR($C311="",$D311="",$G311="",$F311=""),0,$G311*IF($F311="Aylık",MAX(0,(YEAR(MIN(IF($E311="",TODAY()-29,$E311),TODAY()-29))-YEAR($D311))*12+MONTH(MIN(IF($E311="",TODAY()-29,$E311),TODAY()-29))-MONTH($D311)+IF(MIN(IF($E311="",TODAY()-29,$E311),TODAY()-29)&gt;=EOMONTH(MIN(IF($E311="",TODAY()-29,$E311),TODAY()-29),0),1,0)),MAX(0,INT((MIN(IF($E311="",TODAY()-29,$E311),TODAY()-29)-($D311+MOD(SISTEM!$F$8-WEEKDAY($D311,2),7)))/7)+1)))</f>
        <v/>
      </c>
      <c r="M311" s="223">
        <f>IF($G311&gt;0,$I311/$G311,0)</f>
        <v/>
      </c>
      <c r="N311" s="113">
        <f>IF($C311="","",IF($B311="TANIMSIZ MÜŞTERİ","TANIMSIZ MÜŞTERİ",IF($F311="","MODEL SEÇİN",IF(OR($D311="",$G311&lt;=0),"EKSİK",IF(AND($E311&lt;&gt;"",$E311&lt;$D311),"TARİH HATASI",IF($H311="Pasif","KAPALI DÖNEM","UYGUN"))))))</f>
        <v/>
      </c>
      <c r="O311" s="224">
        <f>IF(OR($C311="",$D311="",$F311=""),"",IF($F311="Aylık",EOMONTH($D311,0),($D311+MOD(SISTEM!$F$8-WEEKDAY($D311,2),7))))</f>
        <v/>
      </c>
      <c r="P311" s="109" t="n"/>
      <c r="Q311" s="6" t="n"/>
      <c r="R311" s="6" t="n"/>
      <c r="S311" s="3">
        <f>IF($B311="","",$B311&amp;"|"&amp;COUNTIFS($B$7:$B311,$B311))</f>
        <v/>
      </c>
      <c r="T311" s="3">
        <f>IF($C311="","",UPPER(SUBSTITUTE(SUBSTITUTE(SUBSTITUTE(SUBSTITUTE(SUBSTITUTE(SUBSTITUTE(SUBSTITUTE(SUBSTITUTE(SUBSTITUTE(SUBSTITUTE(SUBSTITUTE(SUBSTITUTE(SUBSTITUTE(SUBSTITUTE(SUBSTITUTE(SUBSTITUTE(SUBSTITUTE(SUBSTITUTE(TRIM($C311),"'",""),"İ","I"),"ı","I"),"i","I"),"Ş","S"),"ş","S"),"Ğ","G"),"ğ","G"),"Ü","U"),"ü","U"),"Ö","O"),"ö","O"),"Ç","C"),"ç","C"),".",""),",","")," ",""),"-","")))</f>
        <v/>
      </c>
    </row>
    <row r="312">
      <c r="A312" s="6" t="n"/>
      <c r="B312" s="113">
        <f>IF($C312="","",IFERROR(INDEX(MUSTERILER!$B$7:$B$106,MATCH($T312,MUSTERILER!$T$7:$T$106,0)),IFERROR(INDEX(MUSTERILER!$B$7:$B$106,MATCH($C312,MUSTERILER!$B$7:$B$106,0)),IFERROR(INDEX(MUSTERILER!$B$7:$B$106,MATCH($T312&amp;"*",MUSTERILER!$T$7:$T$106,0)),"TANIMSIZ MÜŞTERİ"))))</f>
        <v/>
      </c>
      <c r="C312" s="109" t="n"/>
      <c r="D312" s="220" t="n"/>
      <c r="E312" s="220" t="n"/>
      <c r="F312" s="108" t="n"/>
      <c r="G312" s="221" t="n"/>
      <c r="H312" s="108" t="n"/>
      <c r="I312" s="222">
        <f>IF(OR($C312="",$D312="",$G312="",$F312=""),0,$G312*IF($F312="Aylık",MAX(0,(YEAR(MIN(IF($E312="",TODAY(),$E312),TODAY()))-YEAR($D312))*12+MONTH(MIN(IF($E312="",TODAY(),$E312),TODAY()))-MONTH($D312)+IF(MIN(IF($E312="",TODAY(),$E312),TODAY())&gt;=EOMONTH(MIN(IF($E312="",TODAY(),$E312),TODAY()),0),1,0)),MAX(0,INT((MIN(IF($E312="",TODAY(),$E312),TODAY())-($D312+MOD(SISTEM!$F$8-WEEKDAY($D312,2),7)))/7)+1)))</f>
        <v/>
      </c>
      <c r="J312" s="222">
        <f>IF(OR($C312="",$D312="",$G312="",$F312=""),0,$G312*IF($F312="Aylık",MAX(0,(YEAR(MIN(IF($E312="",TODAY()-8,$E312),TODAY()-8))-YEAR($D312))*12+MONTH(MIN(IF($E312="",TODAY()-8,$E312),TODAY()-8))-MONTH($D312)+IF(MIN(IF($E312="",TODAY()-8,$E312),TODAY()-8)&gt;=EOMONTH(MIN(IF($E312="",TODAY()-8,$E312),TODAY()-8),0),1,0)),MAX(0,INT((MIN(IF($E312="",TODAY()-8,$E312),TODAY()-8)-($D312+MOD(SISTEM!$F$8-WEEKDAY($D312,2),7)))/7)+1)))</f>
        <v/>
      </c>
      <c r="K312" s="222">
        <f>IF(OR($C312="",$D312="",$G312="",$F312=""),0,$G312*IF($F312="Aylık",MAX(0,(YEAR(MIN(IF($E312="",TODAY()-15,$E312),TODAY()-15))-YEAR($D312))*12+MONTH(MIN(IF($E312="",TODAY()-15,$E312),TODAY()-15))-MONTH($D312)+IF(MIN(IF($E312="",TODAY()-15,$E312),TODAY()-15)&gt;=EOMONTH(MIN(IF($E312="",TODAY()-15,$E312),TODAY()-15),0),1,0)),MAX(0,INT((MIN(IF($E312="",TODAY()-15,$E312),TODAY()-15)-($D312+MOD(SISTEM!$F$8-WEEKDAY($D312,2),7)))/7)+1)))</f>
        <v/>
      </c>
      <c r="L312" s="222">
        <f>IF(OR($C312="",$D312="",$G312="",$F312=""),0,$G312*IF($F312="Aylık",MAX(0,(YEAR(MIN(IF($E312="",TODAY()-29,$E312),TODAY()-29))-YEAR($D312))*12+MONTH(MIN(IF($E312="",TODAY()-29,$E312),TODAY()-29))-MONTH($D312)+IF(MIN(IF($E312="",TODAY()-29,$E312),TODAY()-29)&gt;=EOMONTH(MIN(IF($E312="",TODAY()-29,$E312),TODAY()-29),0),1,0)),MAX(0,INT((MIN(IF($E312="",TODAY()-29,$E312),TODAY()-29)-($D312+MOD(SISTEM!$F$8-WEEKDAY($D312,2),7)))/7)+1)))</f>
        <v/>
      </c>
      <c r="M312" s="223">
        <f>IF($G312&gt;0,$I312/$G312,0)</f>
        <v/>
      </c>
      <c r="N312" s="113">
        <f>IF($C312="","",IF($B312="TANIMSIZ MÜŞTERİ","TANIMSIZ MÜŞTERİ",IF($F312="","MODEL SEÇİN",IF(OR($D312="",$G312&lt;=0),"EKSİK",IF(AND($E312&lt;&gt;"",$E312&lt;$D312),"TARİH HATASI",IF($H312="Pasif","KAPALI DÖNEM","UYGUN"))))))</f>
        <v/>
      </c>
      <c r="O312" s="224">
        <f>IF(OR($C312="",$D312="",$F312=""),"",IF($F312="Aylık",EOMONTH($D312,0),($D312+MOD(SISTEM!$F$8-WEEKDAY($D312,2),7))))</f>
        <v/>
      </c>
      <c r="P312" s="109" t="n"/>
      <c r="Q312" s="6" t="n"/>
      <c r="R312" s="6" t="n"/>
      <c r="S312" s="3">
        <f>IF($B312="","",$B312&amp;"|"&amp;COUNTIFS($B$7:$B312,$B312))</f>
        <v/>
      </c>
      <c r="T312" s="3">
        <f>IF($C312="","",UPPER(SUBSTITUTE(SUBSTITUTE(SUBSTITUTE(SUBSTITUTE(SUBSTITUTE(SUBSTITUTE(SUBSTITUTE(SUBSTITUTE(SUBSTITUTE(SUBSTITUTE(SUBSTITUTE(SUBSTITUTE(SUBSTITUTE(SUBSTITUTE(SUBSTITUTE(SUBSTITUTE(SUBSTITUTE(SUBSTITUTE(TRIM($C312),"'",""),"İ","I"),"ı","I"),"i","I"),"Ş","S"),"ş","S"),"Ğ","G"),"ğ","G"),"Ü","U"),"ü","U"),"Ö","O"),"ö","O"),"Ç","C"),"ç","C"),".",""),",","")," ",""),"-","")))</f>
        <v/>
      </c>
    </row>
    <row r="313">
      <c r="A313" s="6" t="n"/>
      <c r="B313" s="113">
        <f>IF($C313="","",IFERROR(INDEX(MUSTERILER!$B$7:$B$106,MATCH($T313,MUSTERILER!$T$7:$T$106,0)),IFERROR(INDEX(MUSTERILER!$B$7:$B$106,MATCH($C313,MUSTERILER!$B$7:$B$106,0)),IFERROR(INDEX(MUSTERILER!$B$7:$B$106,MATCH($T313&amp;"*",MUSTERILER!$T$7:$T$106,0)),"TANIMSIZ MÜŞTERİ"))))</f>
        <v/>
      </c>
      <c r="C313" s="109" t="n"/>
      <c r="D313" s="220" t="n"/>
      <c r="E313" s="220" t="n"/>
      <c r="F313" s="108" t="n"/>
      <c r="G313" s="221" t="n"/>
      <c r="H313" s="108" t="n"/>
      <c r="I313" s="222">
        <f>IF(OR($C313="",$D313="",$G313="",$F313=""),0,$G313*IF($F313="Aylık",MAX(0,(YEAR(MIN(IF($E313="",TODAY(),$E313),TODAY()))-YEAR($D313))*12+MONTH(MIN(IF($E313="",TODAY(),$E313),TODAY()))-MONTH($D313)+IF(MIN(IF($E313="",TODAY(),$E313),TODAY())&gt;=EOMONTH(MIN(IF($E313="",TODAY(),$E313),TODAY()),0),1,0)),MAX(0,INT((MIN(IF($E313="",TODAY(),$E313),TODAY())-($D313+MOD(SISTEM!$F$8-WEEKDAY($D313,2),7)))/7)+1)))</f>
        <v/>
      </c>
      <c r="J313" s="222">
        <f>IF(OR($C313="",$D313="",$G313="",$F313=""),0,$G313*IF($F313="Aylık",MAX(0,(YEAR(MIN(IF($E313="",TODAY()-8,$E313),TODAY()-8))-YEAR($D313))*12+MONTH(MIN(IF($E313="",TODAY()-8,$E313),TODAY()-8))-MONTH($D313)+IF(MIN(IF($E313="",TODAY()-8,$E313),TODAY()-8)&gt;=EOMONTH(MIN(IF($E313="",TODAY()-8,$E313),TODAY()-8),0),1,0)),MAX(0,INT((MIN(IF($E313="",TODAY()-8,$E313),TODAY()-8)-($D313+MOD(SISTEM!$F$8-WEEKDAY($D313,2),7)))/7)+1)))</f>
        <v/>
      </c>
      <c r="K313" s="222">
        <f>IF(OR($C313="",$D313="",$G313="",$F313=""),0,$G313*IF($F313="Aylık",MAX(0,(YEAR(MIN(IF($E313="",TODAY()-15,$E313),TODAY()-15))-YEAR($D313))*12+MONTH(MIN(IF($E313="",TODAY()-15,$E313),TODAY()-15))-MONTH($D313)+IF(MIN(IF($E313="",TODAY()-15,$E313),TODAY()-15)&gt;=EOMONTH(MIN(IF($E313="",TODAY()-15,$E313),TODAY()-15),0),1,0)),MAX(0,INT((MIN(IF($E313="",TODAY()-15,$E313),TODAY()-15)-($D313+MOD(SISTEM!$F$8-WEEKDAY($D313,2),7)))/7)+1)))</f>
        <v/>
      </c>
      <c r="L313" s="222">
        <f>IF(OR($C313="",$D313="",$G313="",$F313=""),0,$G313*IF($F313="Aylık",MAX(0,(YEAR(MIN(IF($E313="",TODAY()-29,$E313),TODAY()-29))-YEAR($D313))*12+MONTH(MIN(IF($E313="",TODAY()-29,$E313),TODAY()-29))-MONTH($D313)+IF(MIN(IF($E313="",TODAY()-29,$E313),TODAY()-29)&gt;=EOMONTH(MIN(IF($E313="",TODAY()-29,$E313),TODAY()-29),0),1,0)),MAX(0,INT((MIN(IF($E313="",TODAY()-29,$E313),TODAY()-29)-($D313+MOD(SISTEM!$F$8-WEEKDAY($D313,2),7)))/7)+1)))</f>
        <v/>
      </c>
      <c r="M313" s="223">
        <f>IF($G313&gt;0,$I313/$G313,0)</f>
        <v/>
      </c>
      <c r="N313" s="113">
        <f>IF($C313="","",IF($B313="TANIMSIZ MÜŞTERİ","TANIMSIZ MÜŞTERİ",IF($F313="","MODEL SEÇİN",IF(OR($D313="",$G313&lt;=0),"EKSİK",IF(AND($E313&lt;&gt;"",$E313&lt;$D313),"TARİH HATASI",IF($H313="Pasif","KAPALI DÖNEM","UYGUN"))))))</f>
        <v/>
      </c>
      <c r="O313" s="224">
        <f>IF(OR($C313="",$D313="",$F313=""),"",IF($F313="Aylık",EOMONTH($D313,0),($D313+MOD(SISTEM!$F$8-WEEKDAY($D313,2),7))))</f>
        <v/>
      </c>
      <c r="P313" s="109" t="n"/>
      <c r="Q313" s="6" t="n"/>
      <c r="R313" s="6" t="n"/>
      <c r="S313" s="3">
        <f>IF($B313="","",$B313&amp;"|"&amp;COUNTIFS($B$7:$B313,$B313))</f>
        <v/>
      </c>
      <c r="T313" s="3">
        <f>IF($C313="","",UPPER(SUBSTITUTE(SUBSTITUTE(SUBSTITUTE(SUBSTITUTE(SUBSTITUTE(SUBSTITUTE(SUBSTITUTE(SUBSTITUTE(SUBSTITUTE(SUBSTITUTE(SUBSTITUTE(SUBSTITUTE(SUBSTITUTE(SUBSTITUTE(SUBSTITUTE(SUBSTITUTE(SUBSTITUTE(SUBSTITUTE(TRIM($C313),"'",""),"İ","I"),"ı","I"),"i","I"),"Ş","S"),"ş","S"),"Ğ","G"),"ğ","G"),"Ü","U"),"ü","U"),"Ö","O"),"ö","O"),"Ç","C"),"ç","C"),".",""),",","")," ",""),"-","")))</f>
        <v/>
      </c>
    </row>
    <row r="314">
      <c r="A314" s="6" t="n"/>
      <c r="B314" s="113">
        <f>IF($C314="","",IFERROR(INDEX(MUSTERILER!$B$7:$B$106,MATCH($T314,MUSTERILER!$T$7:$T$106,0)),IFERROR(INDEX(MUSTERILER!$B$7:$B$106,MATCH($C314,MUSTERILER!$B$7:$B$106,0)),IFERROR(INDEX(MUSTERILER!$B$7:$B$106,MATCH($T314&amp;"*",MUSTERILER!$T$7:$T$106,0)),"TANIMSIZ MÜŞTERİ"))))</f>
        <v/>
      </c>
      <c r="C314" s="109" t="n"/>
      <c r="D314" s="220" t="n"/>
      <c r="E314" s="220" t="n"/>
      <c r="F314" s="108" t="n"/>
      <c r="G314" s="221" t="n"/>
      <c r="H314" s="108" t="n"/>
      <c r="I314" s="222">
        <f>IF(OR($C314="",$D314="",$G314="",$F314=""),0,$G314*IF($F314="Aylık",MAX(0,(YEAR(MIN(IF($E314="",TODAY(),$E314),TODAY()))-YEAR($D314))*12+MONTH(MIN(IF($E314="",TODAY(),$E314),TODAY()))-MONTH($D314)+IF(MIN(IF($E314="",TODAY(),$E314),TODAY())&gt;=EOMONTH(MIN(IF($E314="",TODAY(),$E314),TODAY()),0),1,0)),MAX(0,INT((MIN(IF($E314="",TODAY(),$E314),TODAY())-($D314+MOD(SISTEM!$F$8-WEEKDAY($D314,2),7)))/7)+1)))</f>
        <v/>
      </c>
      <c r="J314" s="222">
        <f>IF(OR($C314="",$D314="",$G314="",$F314=""),0,$G314*IF($F314="Aylık",MAX(0,(YEAR(MIN(IF($E314="",TODAY()-8,$E314),TODAY()-8))-YEAR($D314))*12+MONTH(MIN(IF($E314="",TODAY()-8,$E314),TODAY()-8))-MONTH($D314)+IF(MIN(IF($E314="",TODAY()-8,$E314),TODAY()-8)&gt;=EOMONTH(MIN(IF($E314="",TODAY()-8,$E314),TODAY()-8),0),1,0)),MAX(0,INT((MIN(IF($E314="",TODAY()-8,$E314),TODAY()-8)-($D314+MOD(SISTEM!$F$8-WEEKDAY($D314,2),7)))/7)+1)))</f>
        <v/>
      </c>
      <c r="K314" s="222">
        <f>IF(OR($C314="",$D314="",$G314="",$F314=""),0,$G314*IF($F314="Aylık",MAX(0,(YEAR(MIN(IF($E314="",TODAY()-15,$E314),TODAY()-15))-YEAR($D314))*12+MONTH(MIN(IF($E314="",TODAY()-15,$E314),TODAY()-15))-MONTH($D314)+IF(MIN(IF($E314="",TODAY()-15,$E314),TODAY()-15)&gt;=EOMONTH(MIN(IF($E314="",TODAY()-15,$E314),TODAY()-15),0),1,0)),MAX(0,INT((MIN(IF($E314="",TODAY()-15,$E314),TODAY()-15)-($D314+MOD(SISTEM!$F$8-WEEKDAY($D314,2),7)))/7)+1)))</f>
        <v/>
      </c>
      <c r="L314" s="222">
        <f>IF(OR($C314="",$D314="",$G314="",$F314=""),0,$G314*IF($F314="Aylık",MAX(0,(YEAR(MIN(IF($E314="",TODAY()-29,$E314),TODAY()-29))-YEAR($D314))*12+MONTH(MIN(IF($E314="",TODAY()-29,$E314),TODAY()-29))-MONTH($D314)+IF(MIN(IF($E314="",TODAY()-29,$E314),TODAY()-29)&gt;=EOMONTH(MIN(IF($E314="",TODAY()-29,$E314),TODAY()-29),0),1,0)),MAX(0,INT((MIN(IF($E314="",TODAY()-29,$E314),TODAY()-29)-($D314+MOD(SISTEM!$F$8-WEEKDAY($D314,2),7)))/7)+1)))</f>
        <v/>
      </c>
      <c r="M314" s="223">
        <f>IF($G314&gt;0,$I314/$G314,0)</f>
        <v/>
      </c>
      <c r="N314" s="113">
        <f>IF($C314="","",IF($B314="TANIMSIZ MÜŞTERİ","TANIMSIZ MÜŞTERİ",IF($F314="","MODEL SEÇİN",IF(OR($D314="",$G314&lt;=0),"EKSİK",IF(AND($E314&lt;&gt;"",$E314&lt;$D314),"TARİH HATASI",IF($H314="Pasif","KAPALI DÖNEM","UYGUN"))))))</f>
        <v/>
      </c>
      <c r="O314" s="224">
        <f>IF(OR($C314="",$D314="",$F314=""),"",IF($F314="Aylık",EOMONTH($D314,0),($D314+MOD(SISTEM!$F$8-WEEKDAY($D314,2),7))))</f>
        <v/>
      </c>
      <c r="P314" s="109" t="n"/>
      <c r="Q314" s="6" t="n"/>
      <c r="R314" s="6" t="n"/>
      <c r="S314" s="3">
        <f>IF($B314="","",$B314&amp;"|"&amp;COUNTIFS($B$7:$B314,$B314))</f>
        <v/>
      </c>
      <c r="T314" s="3">
        <f>IF($C314="","",UPPER(SUBSTITUTE(SUBSTITUTE(SUBSTITUTE(SUBSTITUTE(SUBSTITUTE(SUBSTITUTE(SUBSTITUTE(SUBSTITUTE(SUBSTITUTE(SUBSTITUTE(SUBSTITUTE(SUBSTITUTE(SUBSTITUTE(SUBSTITUTE(SUBSTITUTE(SUBSTITUTE(SUBSTITUTE(SUBSTITUTE(TRIM($C314),"'",""),"İ","I"),"ı","I"),"i","I"),"Ş","S"),"ş","S"),"Ğ","G"),"ğ","G"),"Ü","U"),"ü","U"),"Ö","O"),"ö","O"),"Ç","C"),"ç","C"),".",""),",","")," ",""),"-","")))</f>
        <v/>
      </c>
    </row>
    <row r="315">
      <c r="A315" s="6" t="n"/>
      <c r="B315" s="113">
        <f>IF($C315="","",IFERROR(INDEX(MUSTERILER!$B$7:$B$106,MATCH($T315,MUSTERILER!$T$7:$T$106,0)),IFERROR(INDEX(MUSTERILER!$B$7:$B$106,MATCH($C315,MUSTERILER!$B$7:$B$106,0)),IFERROR(INDEX(MUSTERILER!$B$7:$B$106,MATCH($T315&amp;"*",MUSTERILER!$T$7:$T$106,0)),"TANIMSIZ MÜŞTERİ"))))</f>
        <v/>
      </c>
      <c r="C315" s="109" t="n"/>
      <c r="D315" s="220" t="n"/>
      <c r="E315" s="220" t="n"/>
      <c r="F315" s="108" t="n"/>
      <c r="G315" s="221" t="n"/>
      <c r="H315" s="108" t="n"/>
      <c r="I315" s="222">
        <f>IF(OR($C315="",$D315="",$G315="",$F315=""),0,$G315*IF($F315="Aylık",MAX(0,(YEAR(MIN(IF($E315="",TODAY(),$E315),TODAY()))-YEAR($D315))*12+MONTH(MIN(IF($E315="",TODAY(),$E315),TODAY()))-MONTH($D315)+IF(MIN(IF($E315="",TODAY(),$E315),TODAY())&gt;=EOMONTH(MIN(IF($E315="",TODAY(),$E315),TODAY()),0),1,0)),MAX(0,INT((MIN(IF($E315="",TODAY(),$E315),TODAY())-($D315+MOD(SISTEM!$F$8-WEEKDAY($D315,2),7)))/7)+1)))</f>
        <v/>
      </c>
      <c r="J315" s="222">
        <f>IF(OR($C315="",$D315="",$G315="",$F315=""),0,$G315*IF($F315="Aylık",MAX(0,(YEAR(MIN(IF($E315="",TODAY()-8,$E315),TODAY()-8))-YEAR($D315))*12+MONTH(MIN(IF($E315="",TODAY()-8,$E315),TODAY()-8))-MONTH($D315)+IF(MIN(IF($E315="",TODAY()-8,$E315),TODAY()-8)&gt;=EOMONTH(MIN(IF($E315="",TODAY()-8,$E315),TODAY()-8),0),1,0)),MAX(0,INT((MIN(IF($E315="",TODAY()-8,$E315),TODAY()-8)-($D315+MOD(SISTEM!$F$8-WEEKDAY($D315,2),7)))/7)+1)))</f>
        <v/>
      </c>
      <c r="K315" s="222">
        <f>IF(OR($C315="",$D315="",$G315="",$F315=""),0,$G315*IF($F315="Aylık",MAX(0,(YEAR(MIN(IF($E315="",TODAY()-15,$E315),TODAY()-15))-YEAR($D315))*12+MONTH(MIN(IF($E315="",TODAY()-15,$E315),TODAY()-15))-MONTH($D315)+IF(MIN(IF($E315="",TODAY()-15,$E315),TODAY()-15)&gt;=EOMONTH(MIN(IF($E315="",TODAY()-15,$E315),TODAY()-15),0),1,0)),MAX(0,INT((MIN(IF($E315="",TODAY()-15,$E315),TODAY()-15)-($D315+MOD(SISTEM!$F$8-WEEKDAY($D315,2),7)))/7)+1)))</f>
        <v/>
      </c>
      <c r="L315" s="222">
        <f>IF(OR($C315="",$D315="",$G315="",$F315=""),0,$G315*IF($F315="Aylık",MAX(0,(YEAR(MIN(IF($E315="",TODAY()-29,$E315),TODAY()-29))-YEAR($D315))*12+MONTH(MIN(IF($E315="",TODAY()-29,$E315),TODAY()-29))-MONTH($D315)+IF(MIN(IF($E315="",TODAY()-29,$E315),TODAY()-29)&gt;=EOMONTH(MIN(IF($E315="",TODAY()-29,$E315),TODAY()-29),0),1,0)),MAX(0,INT((MIN(IF($E315="",TODAY()-29,$E315),TODAY()-29)-($D315+MOD(SISTEM!$F$8-WEEKDAY($D315,2),7)))/7)+1)))</f>
        <v/>
      </c>
      <c r="M315" s="223">
        <f>IF($G315&gt;0,$I315/$G315,0)</f>
        <v/>
      </c>
      <c r="N315" s="113">
        <f>IF($C315="","",IF($B315="TANIMSIZ MÜŞTERİ","TANIMSIZ MÜŞTERİ",IF($F315="","MODEL SEÇİN",IF(OR($D315="",$G315&lt;=0),"EKSİK",IF(AND($E315&lt;&gt;"",$E315&lt;$D315),"TARİH HATASI",IF($H315="Pasif","KAPALI DÖNEM","UYGUN"))))))</f>
        <v/>
      </c>
      <c r="O315" s="224">
        <f>IF(OR($C315="",$D315="",$F315=""),"",IF($F315="Aylık",EOMONTH($D315,0),($D315+MOD(SISTEM!$F$8-WEEKDAY($D315,2),7))))</f>
        <v/>
      </c>
      <c r="P315" s="109" t="n"/>
      <c r="Q315" s="6" t="n"/>
      <c r="R315" s="6" t="n"/>
      <c r="S315" s="3">
        <f>IF($B315="","",$B315&amp;"|"&amp;COUNTIFS($B$7:$B315,$B315))</f>
        <v/>
      </c>
      <c r="T315" s="3">
        <f>IF($C315="","",UPPER(SUBSTITUTE(SUBSTITUTE(SUBSTITUTE(SUBSTITUTE(SUBSTITUTE(SUBSTITUTE(SUBSTITUTE(SUBSTITUTE(SUBSTITUTE(SUBSTITUTE(SUBSTITUTE(SUBSTITUTE(SUBSTITUTE(SUBSTITUTE(SUBSTITUTE(SUBSTITUTE(SUBSTITUTE(SUBSTITUTE(TRIM($C315),"'",""),"İ","I"),"ı","I"),"i","I"),"Ş","S"),"ş","S"),"Ğ","G"),"ğ","G"),"Ü","U"),"ü","U"),"Ö","O"),"ö","O"),"Ç","C"),"ç","C"),".",""),",","")," ",""),"-","")))</f>
        <v/>
      </c>
    </row>
    <row r="316">
      <c r="A316" s="6" t="n"/>
      <c r="B316" s="113">
        <f>IF($C316="","",IFERROR(INDEX(MUSTERILER!$B$7:$B$106,MATCH($T316,MUSTERILER!$T$7:$T$106,0)),IFERROR(INDEX(MUSTERILER!$B$7:$B$106,MATCH($C316,MUSTERILER!$B$7:$B$106,0)),IFERROR(INDEX(MUSTERILER!$B$7:$B$106,MATCH($T316&amp;"*",MUSTERILER!$T$7:$T$106,0)),"TANIMSIZ MÜŞTERİ"))))</f>
        <v/>
      </c>
      <c r="C316" s="109" t="n"/>
      <c r="D316" s="220" t="n"/>
      <c r="E316" s="220" t="n"/>
      <c r="F316" s="108" t="n"/>
      <c r="G316" s="221" t="n"/>
      <c r="H316" s="108" t="n"/>
      <c r="I316" s="222">
        <f>IF(OR($C316="",$D316="",$G316="",$F316=""),0,$G316*IF($F316="Aylık",MAX(0,(YEAR(MIN(IF($E316="",TODAY(),$E316),TODAY()))-YEAR($D316))*12+MONTH(MIN(IF($E316="",TODAY(),$E316),TODAY()))-MONTH($D316)+IF(MIN(IF($E316="",TODAY(),$E316),TODAY())&gt;=EOMONTH(MIN(IF($E316="",TODAY(),$E316),TODAY()),0),1,0)),MAX(0,INT((MIN(IF($E316="",TODAY(),$E316),TODAY())-($D316+MOD(SISTEM!$F$8-WEEKDAY($D316,2),7)))/7)+1)))</f>
        <v/>
      </c>
      <c r="J316" s="222">
        <f>IF(OR($C316="",$D316="",$G316="",$F316=""),0,$G316*IF($F316="Aylık",MAX(0,(YEAR(MIN(IF($E316="",TODAY()-8,$E316),TODAY()-8))-YEAR($D316))*12+MONTH(MIN(IF($E316="",TODAY()-8,$E316),TODAY()-8))-MONTH($D316)+IF(MIN(IF($E316="",TODAY()-8,$E316),TODAY()-8)&gt;=EOMONTH(MIN(IF($E316="",TODAY()-8,$E316),TODAY()-8),0),1,0)),MAX(0,INT((MIN(IF($E316="",TODAY()-8,$E316),TODAY()-8)-($D316+MOD(SISTEM!$F$8-WEEKDAY($D316,2),7)))/7)+1)))</f>
        <v/>
      </c>
      <c r="K316" s="222">
        <f>IF(OR($C316="",$D316="",$G316="",$F316=""),0,$G316*IF($F316="Aylık",MAX(0,(YEAR(MIN(IF($E316="",TODAY()-15,$E316),TODAY()-15))-YEAR($D316))*12+MONTH(MIN(IF($E316="",TODAY()-15,$E316),TODAY()-15))-MONTH($D316)+IF(MIN(IF($E316="",TODAY()-15,$E316),TODAY()-15)&gt;=EOMONTH(MIN(IF($E316="",TODAY()-15,$E316),TODAY()-15),0),1,0)),MAX(0,INT((MIN(IF($E316="",TODAY()-15,$E316),TODAY()-15)-($D316+MOD(SISTEM!$F$8-WEEKDAY($D316,2),7)))/7)+1)))</f>
        <v/>
      </c>
      <c r="L316" s="222">
        <f>IF(OR($C316="",$D316="",$G316="",$F316=""),0,$G316*IF($F316="Aylık",MAX(0,(YEAR(MIN(IF($E316="",TODAY()-29,$E316),TODAY()-29))-YEAR($D316))*12+MONTH(MIN(IF($E316="",TODAY()-29,$E316),TODAY()-29))-MONTH($D316)+IF(MIN(IF($E316="",TODAY()-29,$E316),TODAY()-29)&gt;=EOMONTH(MIN(IF($E316="",TODAY()-29,$E316),TODAY()-29),0),1,0)),MAX(0,INT((MIN(IF($E316="",TODAY()-29,$E316),TODAY()-29)-($D316+MOD(SISTEM!$F$8-WEEKDAY($D316,2),7)))/7)+1)))</f>
        <v/>
      </c>
      <c r="M316" s="223">
        <f>IF($G316&gt;0,$I316/$G316,0)</f>
        <v/>
      </c>
      <c r="N316" s="113">
        <f>IF($C316="","",IF($B316="TANIMSIZ MÜŞTERİ","TANIMSIZ MÜŞTERİ",IF($F316="","MODEL SEÇİN",IF(OR($D316="",$G316&lt;=0),"EKSİK",IF(AND($E316&lt;&gt;"",$E316&lt;$D316),"TARİH HATASI",IF($H316="Pasif","KAPALI DÖNEM","UYGUN"))))))</f>
        <v/>
      </c>
      <c r="O316" s="224">
        <f>IF(OR($C316="",$D316="",$F316=""),"",IF($F316="Aylık",EOMONTH($D316,0),($D316+MOD(SISTEM!$F$8-WEEKDAY($D316,2),7))))</f>
        <v/>
      </c>
      <c r="P316" s="109" t="n"/>
      <c r="Q316" s="6" t="n"/>
      <c r="R316" s="6" t="n"/>
      <c r="S316" s="3">
        <f>IF($B316="","",$B316&amp;"|"&amp;COUNTIFS($B$7:$B316,$B316))</f>
        <v/>
      </c>
      <c r="T316" s="3">
        <f>IF($C316="","",UPPER(SUBSTITUTE(SUBSTITUTE(SUBSTITUTE(SUBSTITUTE(SUBSTITUTE(SUBSTITUTE(SUBSTITUTE(SUBSTITUTE(SUBSTITUTE(SUBSTITUTE(SUBSTITUTE(SUBSTITUTE(SUBSTITUTE(SUBSTITUTE(SUBSTITUTE(SUBSTITUTE(SUBSTITUTE(SUBSTITUTE(TRIM($C316),"'",""),"İ","I"),"ı","I"),"i","I"),"Ş","S"),"ş","S"),"Ğ","G"),"ğ","G"),"Ü","U"),"ü","U"),"Ö","O"),"ö","O"),"Ç","C"),"ç","C"),".",""),",","")," ",""),"-","")))</f>
        <v/>
      </c>
    </row>
    <row r="317">
      <c r="A317" s="6" t="n"/>
      <c r="B317" s="113">
        <f>IF($C317="","",IFERROR(INDEX(MUSTERILER!$B$7:$B$106,MATCH($T317,MUSTERILER!$T$7:$T$106,0)),IFERROR(INDEX(MUSTERILER!$B$7:$B$106,MATCH($C317,MUSTERILER!$B$7:$B$106,0)),IFERROR(INDEX(MUSTERILER!$B$7:$B$106,MATCH($T317&amp;"*",MUSTERILER!$T$7:$T$106,0)),"TANIMSIZ MÜŞTERİ"))))</f>
        <v/>
      </c>
      <c r="C317" s="109" t="n"/>
      <c r="D317" s="220" t="n"/>
      <c r="E317" s="220" t="n"/>
      <c r="F317" s="108" t="n"/>
      <c r="G317" s="221" t="n"/>
      <c r="H317" s="108" t="n"/>
      <c r="I317" s="222">
        <f>IF(OR($C317="",$D317="",$G317="",$F317=""),0,$G317*IF($F317="Aylık",MAX(0,(YEAR(MIN(IF($E317="",TODAY(),$E317),TODAY()))-YEAR($D317))*12+MONTH(MIN(IF($E317="",TODAY(),$E317),TODAY()))-MONTH($D317)+IF(MIN(IF($E317="",TODAY(),$E317),TODAY())&gt;=EOMONTH(MIN(IF($E317="",TODAY(),$E317),TODAY()),0),1,0)),MAX(0,INT((MIN(IF($E317="",TODAY(),$E317),TODAY())-($D317+MOD(SISTEM!$F$8-WEEKDAY($D317,2),7)))/7)+1)))</f>
        <v/>
      </c>
      <c r="J317" s="222">
        <f>IF(OR($C317="",$D317="",$G317="",$F317=""),0,$G317*IF($F317="Aylık",MAX(0,(YEAR(MIN(IF($E317="",TODAY()-8,$E317),TODAY()-8))-YEAR($D317))*12+MONTH(MIN(IF($E317="",TODAY()-8,$E317),TODAY()-8))-MONTH($D317)+IF(MIN(IF($E317="",TODAY()-8,$E317),TODAY()-8)&gt;=EOMONTH(MIN(IF($E317="",TODAY()-8,$E317),TODAY()-8),0),1,0)),MAX(0,INT((MIN(IF($E317="",TODAY()-8,$E317),TODAY()-8)-($D317+MOD(SISTEM!$F$8-WEEKDAY($D317,2),7)))/7)+1)))</f>
        <v/>
      </c>
      <c r="K317" s="222">
        <f>IF(OR($C317="",$D317="",$G317="",$F317=""),0,$G317*IF($F317="Aylık",MAX(0,(YEAR(MIN(IF($E317="",TODAY()-15,$E317),TODAY()-15))-YEAR($D317))*12+MONTH(MIN(IF($E317="",TODAY()-15,$E317),TODAY()-15))-MONTH($D317)+IF(MIN(IF($E317="",TODAY()-15,$E317),TODAY()-15)&gt;=EOMONTH(MIN(IF($E317="",TODAY()-15,$E317),TODAY()-15),0),1,0)),MAX(0,INT((MIN(IF($E317="",TODAY()-15,$E317),TODAY()-15)-($D317+MOD(SISTEM!$F$8-WEEKDAY($D317,2),7)))/7)+1)))</f>
        <v/>
      </c>
      <c r="L317" s="222">
        <f>IF(OR($C317="",$D317="",$G317="",$F317=""),0,$G317*IF($F317="Aylık",MAX(0,(YEAR(MIN(IF($E317="",TODAY()-29,$E317),TODAY()-29))-YEAR($D317))*12+MONTH(MIN(IF($E317="",TODAY()-29,$E317),TODAY()-29))-MONTH($D317)+IF(MIN(IF($E317="",TODAY()-29,$E317),TODAY()-29)&gt;=EOMONTH(MIN(IF($E317="",TODAY()-29,$E317),TODAY()-29),0),1,0)),MAX(0,INT((MIN(IF($E317="",TODAY()-29,$E317),TODAY()-29)-($D317+MOD(SISTEM!$F$8-WEEKDAY($D317,2),7)))/7)+1)))</f>
        <v/>
      </c>
      <c r="M317" s="223">
        <f>IF($G317&gt;0,$I317/$G317,0)</f>
        <v/>
      </c>
      <c r="N317" s="113">
        <f>IF($C317="","",IF($B317="TANIMSIZ MÜŞTERİ","TANIMSIZ MÜŞTERİ",IF($F317="","MODEL SEÇİN",IF(OR($D317="",$G317&lt;=0),"EKSİK",IF(AND($E317&lt;&gt;"",$E317&lt;$D317),"TARİH HATASI",IF($H317="Pasif","KAPALI DÖNEM","UYGUN"))))))</f>
        <v/>
      </c>
      <c r="O317" s="224">
        <f>IF(OR($C317="",$D317="",$F317=""),"",IF($F317="Aylık",EOMONTH($D317,0),($D317+MOD(SISTEM!$F$8-WEEKDAY($D317,2),7))))</f>
        <v/>
      </c>
      <c r="P317" s="109" t="n"/>
      <c r="Q317" s="6" t="n"/>
      <c r="R317" s="6" t="n"/>
      <c r="S317" s="3">
        <f>IF($B317="","",$B317&amp;"|"&amp;COUNTIFS($B$7:$B317,$B317))</f>
        <v/>
      </c>
      <c r="T317" s="3">
        <f>IF($C317="","",UPPER(SUBSTITUTE(SUBSTITUTE(SUBSTITUTE(SUBSTITUTE(SUBSTITUTE(SUBSTITUTE(SUBSTITUTE(SUBSTITUTE(SUBSTITUTE(SUBSTITUTE(SUBSTITUTE(SUBSTITUTE(SUBSTITUTE(SUBSTITUTE(SUBSTITUTE(SUBSTITUTE(SUBSTITUTE(SUBSTITUTE(TRIM($C317),"'",""),"İ","I"),"ı","I"),"i","I"),"Ş","S"),"ş","S"),"Ğ","G"),"ğ","G"),"Ü","U"),"ü","U"),"Ö","O"),"ö","O"),"Ç","C"),"ç","C"),".",""),",","")," ",""),"-","")))</f>
        <v/>
      </c>
    </row>
    <row r="318">
      <c r="A318" s="6" t="n"/>
      <c r="B318" s="113">
        <f>IF($C318="","",IFERROR(INDEX(MUSTERILER!$B$7:$B$106,MATCH($T318,MUSTERILER!$T$7:$T$106,0)),IFERROR(INDEX(MUSTERILER!$B$7:$B$106,MATCH($C318,MUSTERILER!$B$7:$B$106,0)),IFERROR(INDEX(MUSTERILER!$B$7:$B$106,MATCH($T318&amp;"*",MUSTERILER!$T$7:$T$106,0)),"TANIMSIZ MÜŞTERİ"))))</f>
        <v/>
      </c>
      <c r="C318" s="109" t="n"/>
      <c r="D318" s="220" t="n"/>
      <c r="E318" s="220" t="n"/>
      <c r="F318" s="108" t="n"/>
      <c r="G318" s="221" t="n"/>
      <c r="H318" s="108" t="n"/>
      <c r="I318" s="222">
        <f>IF(OR($C318="",$D318="",$G318="",$F318=""),0,$G318*IF($F318="Aylık",MAX(0,(YEAR(MIN(IF($E318="",TODAY(),$E318),TODAY()))-YEAR($D318))*12+MONTH(MIN(IF($E318="",TODAY(),$E318),TODAY()))-MONTH($D318)+IF(MIN(IF($E318="",TODAY(),$E318),TODAY())&gt;=EOMONTH(MIN(IF($E318="",TODAY(),$E318),TODAY()),0),1,0)),MAX(0,INT((MIN(IF($E318="",TODAY(),$E318),TODAY())-($D318+MOD(SISTEM!$F$8-WEEKDAY($D318,2),7)))/7)+1)))</f>
        <v/>
      </c>
      <c r="J318" s="222">
        <f>IF(OR($C318="",$D318="",$G318="",$F318=""),0,$G318*IF($F318="Aylık",MAX(0,(YEAR(MIN(IF($E318="",TODAY()-8,$E318),TODAY()-8))-YEAR($D318))*12+MONTH(MIN(IF($E318="",TODAY()-8,$E318),TODAY()-8))-MONTH($D318)+IF(MIN(IF($E318="",TODAY()-8,$E318),TODAY()-8)&gt;=EOMONTH(MIN(IF($E318="",TODAY()-8,$E318),TODAY()-8),0),1,0)),MAX(0,INT((MIN(IF($E318="",TODAY()-8,$E318),TODAY()-8)-($D318+MOD(SISTEM!$F$8-WEEKDAY($D318,2),7)))/7)+1)))</f>
        <v/>
      </c>
      <c r="K318" s="222">
        <f>IF(OR($C318="",$D318="",$G318="",$F318=""),0,$G318*IF($F318="Aylık",MAX(0,(YEAR(MIN(IF($E318="",TODAY()-15,$E318),TODAY()-15))-YEAR($D318))*12+MONTH(MIN(IF($E318="",TODAY()-15,$E318),TODAY()-15))-MONTH($D318)+IF(MIN(IF($E318="",TODAY()-15,$E318),TODAY()-15)&gt;=EOMONTH(MIN(IF($E318="",TODAY()-15,$E318),TODAY()-15),0),1,0)),MAX(0,INT((MIN(IF($E318="",TODAY()-15,$E318),TODAY()-15)-($D318+MOD(SISTEM!$F$8-WEEKDAY($D318,2),7)))/7)+1)))</f>
        <v/>
      </c>
      <c r="L318" s="222">
        <f>IF(OR($C318="",$D318="",$G318="",$F318=""),0,$G318*IF($F318="Aylık",MAX(0,(YEAR(MIN(IF($E318="",TODAY()-29,$E318),TODAY()-29))-YEAR($D318))*12+MONTH(MIN(IF($E318="",TODAY()-29,$E318),TODAY()-29))-MONTH($D318)+IF(MIN(IF($E318="",TODAY()-29,$E318),TODAY()-29)&gt;=EOMONTH(MIN(IF($E318="",TODAY()-29,$E318),TODAY()-29),0),1,0)),MAX(0,INT((MIN(IF($E318="",TODAY()-29,$E318),TODAY()-29)-($D318+MOD(SISTEM!$F$8-WEEKDAY($D318,2),7)))/7)+1)))</f>
        <v/>
      </c>
      <c r="M318" s="223">
        <f>IF($G318&gt;0,$I318/$G318,0)</f>
        <v/>
      </c>
      <c r="N318" s="113">
        <f>IF($C318="","",IF($B318="TANIMSIZ MÜŞTERİ","TANIMSIZ MÜŞTERİ",IF($F318="","MODEL SEÇİN",IF(OR($D318="",$G318&lt;=0),"EKSİK",IF(AND($E318&lt;&gt;"",$E318&lt;$D318),"TARİH HATASI",IF($H318="Pasif","KAPALI DÖNEM","UYGUN"))))))</f>
        <v/>
      </c>
      <c r="O318" s="224">
        <f>IF(OR($C318="",$D318="",$F318=""),"",IF($F318="Aylık",EOMONTH($D318,0),($D318+MOD(SISTEM!$F$8-WEEKDAY($D318,2),7))))</f>
        <v/>
      </c>
      <c r="P318" s="109" t="n"/>
      <c r="Q318" s="6" t="n"/>
      <c r="R318" s="6" t="n"/>
      <c r="S318" s="3">
        <f>IF($B318="","",$B318&amp;"|"&amp;COUNTIFS($B$7:$B318,$B318))</f>
        <v/>
      </c>
      <c r="T318" s="3">
        <f>IF($C318="","",UPPER(SUBSTITUTE(SUBSTITUTE(SUBSTITUTE(SUBSTITUTE(SUBSTITUTE(SUBSTITUTE(SUBSTITUTE(SUBSTITUTE(SUBSTITUTE(SUBSTITUTE(SUBSTITUTE(SUBSTITUTE(SUBSTITUTE(SUBSTITUTE(SUBSTITUTE(SUBSTITUTE(SUBSTITUTE(SUBSTITUTE(TRIM($C318),"'",""),"İ","I"),"ı","I"),"i","I"),"Ş","S"),"ş","S"),"Ğ","G"),"ğ","G"),"Ü","U"),"ü","U"),"Ö","O"),"ö","O"),"Ç","C"),"ç","C"),".",""),",","")," ",""),"-","")))</f>
        <v/>
      </c>
    </row>
    <row r="319">
      <c r="A319" s="6" t="n"/>
      <c r="B319" s="113">
        <f>IF($C319="","",IFERROR(INDEX(MUSTERILER!$B$7:$B$106,MATCH($T319,MUSTERILER!$T$7:$T$106,0)),IFERROR(INDEX(MUSTERILER!$B$7:$B$106,MATCH($C319,MUSTERILER!$B$7:$B$106,0)),IFERROR(INDEX(MUSTERILER!$B$7:$B$106,MATCH($T319&amp;"*",MUSTERILER!$T$7:$T$106,0)),"TANIMSIZ MÜŞTERİ"))))</f>
        <v/>
      </c>
      <c r="C319" s="109" t="n"/>
      <c r="D319" s="220" t="n"/>
      <c r="E319" s="220" t="n"/>
      <c r="F319" s="108" t="n"/>
      <c r="G319" s="221" t="n"/>
      <c r="H319" s="108" t="n"/>
      <c r="I319" s="222">
        <f>IF(OR($C319="",$D319="",$G319="",$F319=""),0,$G319*IF($F319="Aylık",MAX(0,(YEAR(MIN(IF($E319="",TODAY(),$E319),TODAY()))-YEAR($D319))*12+MONTH(MIN(IF($E319="",TODAY(),$E319),TODAY()))-MONTH($D319)+IF(MIN(IF($E319="",TODAY(),$E319),TODAY())&gt;=EOMONTH(MIN(IF($E319="",TODAY(),$E319),TODAY()),0),1,0)),MAX(0,INT((MIN(IF($E319="",TODAY(),$E319),TODAY())-($D319+MOD(SISTEM!$F$8-WEEKDAY($D319,2),7)))/7)+1)))</f>
        <v/>
      </c>
      <c r="J319" s="222">
        <f>IF(OR($C319="",$D319="",$G319="",$F319=""),0,$G319*IF($F319="Aylık",MAX(0,(YEAR(MIN(IF($E319="",TODAY()-8,$E319),TODAY()-8))-YEAR($D319))*12+MONTH(MIN(IF($E319="",TODAY()-8,$E319),TODAY()-8))-MONTH($D319)+IF(MIN(IF($E319="",TODAY()-8,$E319),TODAY()-8)&gt;=EOMONTH(MIN(IF($E319="",TODAY()-8,$E319),TODAY()-8),0),1,0)),MAX(0,INT((MIN(IF($E319="",TODAY()-8,$E319),TODAY()-8)-($D319+MOD(SISTEM!$F$8-WEEKDAY($D319,2),7)))/7)+1)))</f>
        <v/>
      </c>
      <c r="K319" s="222">
        <f>IF(OR($C319="",$D319="",$G319="",$F319=""),0,$G319*IF($F319="Aylık",MAX(0,(YEAR(MIN(IF($E319="",TODAY()-15,$E319),TODAY()-15))-YEAR($D319))*12+MONTH(MIN(IF($E319="",TODAY()-15,$E319),TODAY()-15))-MONTH($D319)+IF(MIN(IF($E319="",TODAY()-15,$E319),TODAY()-15)&gt;=EOMONTH(MIN(IF($E319="",TODAY()-15,$E319),TODAY()-15),0),1,0)),MAX(0,INT((MIN(IF($E319="",TODAY()-15,$E319),TODAY()-15)-($D319+MOD(SISTEM!$F$8-WEEKDAY($D319,2),7)))/7)+1)))</f>
        <v/>
      </c>
      <c r="L319" s="222">
        <f>IF(OR($C319="",$D319="",$G319="",$F319=""),0,$G319*IF($F319="Aylık",MAX(0,(YEAR(MIN(IF($E319="",TODAY()-29,$E319),TODAY()-29))-YEAR($D319))*12+MONTH(MIN(IF($E319="",TODAY()-29,$E319),TODAY()-29))-MONTH($D319)+IF(MIN(IF($E319="",TODAY()-29,$E319),TODAY()-29)&gt;=EOMONTH(MIN(IF($E319="",TODAY()-29,$E319),TODAY()-29),0),1,0)),MAX(0,INT((MIN(IF($E319="",TODAY()-29,$E319),TODAY()-29)-($D319+MOD(SISTEM!$F$8-WEEKDAY($D319,2),7)))/7)+1)))</f>
        <v/>
      </c>
      <c r="M319" s="223">
        <f>IF($G319&gt;0,$I319/$G319,0)</f>
        <v/>
      </c>
      <c r="N319" s="113">
        <f>IF($C319="","",IF($B319="TANIMSIZ MÜŞTERİ","TANIMSIZ MÜŞTERİ",IF($F319="","MODEL SEÇİN",IF(OR($D319="",$G319&lt;=0),"EKSİK",IF(AND($E319&lt;&gt;"",$E319&lt;$D319),"TARİH HATASI",IF($H319="Pasif","KAPALI DÖNEM","UYGUN"))))))</f>
        <v/>
      </c>
      <c r="O319" s="224">
        <f>IF(OR($C319="",$D319="",$F319=""),"",IF($F319="Aylık",EOMONTH($D319,0),($D319+MOD(SISTEM!$F$8-WEEKDAY($D319,2),7))))</f>
        <v/>
      </c>
      <c r="P319" s="109" t="n"/>
      <c r="Q319" s="6" t="n"/>
      <c r="R319" s="6" t="n"/>
      <c r="S319" s="3">
        <f>IF($B319="","",$B319&amp;"|"&amp;COUNTIFS($B$7:$B319,$B319))</f>
        <v/>
      </c>
      <c r="T319" s="3">
        <f>IF($C319="","",UPPER(SUBSTITUTE(SUBSTITUTE(SUBSTITUTE(SUBSTITUTE(SUBSTITUTE(SUBSTITUTE(SUBSTITUTE(SUBSTITUTE(SUBSTITUTE(SUBSTITUTE(SUBSTITUTE(SUBSTITUTE(SUBSTITUTE(SUBSTITUTE(SUBSTITUTE(SUBSTITUTE(SUBSTITUTE(SUBSTITUTE(TRIM($C319),"'",""),"İ","I"),"ı","I"),"i","I"),"Ş","S"),"ş","S"),"Ğ","G"),"ğ","G"),"Ü","U"),"ü","U"),"Ö","O"),"ö","O"),"Ç","C"),"ç","C"),".",""),",","")," ",""),"-","")))</f>
        <v/>
      </c>
    </row>
    <row r="320">
      <c r="A320" s="6" t="n"/>
      <c r="B320" s="113">
        <f>IF($C320="","",IFERROR(INDEX(MUSTERILER!$B$7:$B$106,MATCH($T320,MUSTERILER!$T$7:$T$106,0)),IFERROR(INDEX(MUSTERILER!$B$7:$B$106,MATCH($C320,MUSTERILER!$B$7:$B$106,0)),IFERROR(INDEX(MUSTERILER!$B$7:$B$106,MATCH($T320&amp;"*",MUSTERILER!$T$7:$T$106,0)),"TANIMSIZ MÜŞTERİ"))))</f>
        <v/>
      </c>
      <c r="C320" s="109" t="n"/>
      <c r="D320" s="220" t="n"/>
      <c r="E320" s="220" t="n"/>
      <c r="F320" s="108" t="n"/>
      <c r="G320" s="221" t="n"/>
      <c r="H320" s="108" t="n"/>
      <c r="I320" s="222">
        <f>IF(OR($C320="",$D320="",$G320="",$F320=""),0,$G320*IF($F320="Aylık",MAX(0,(YEAR(MIN(IF($E320="",TODAY(),$E320),TODAY()))-YEAR($D320))*12+MONTH(MIN(IF($E320="",TODAY(),$E320),TODAY()))-MONTH($D320)+IF(MIN(IF($E320="",TODAY(),$E320),TODAY())&gt;=EOMONTH(MIN(IF($E320="",TODAY(),$E320),TODAY()),0),1,0)),MAX(0,INT((MIN(IF($E320="",TODAY(),$E320),TODAY())-($D320+MOD(SISTEM!$F$8-WEEKDAY($D320,2),7)))/7)+1)))</f>
        <v/>
      </c>
      <c r="J320" s="222">
        <f>IF(OR($C320="",$D320="",$G320="",$F320=""),0,$G320*IF($F320="Aylık",MAX(0,(YEAR(MIN(IF($E320="",TODAY()-8,$E320),TODAY()-8))-YEAR($D320))*12+MONTH(MIN(IF($E320="",TODAY()-8,$E320),TODAY()-8))-MONTH($D320)+IF(MIN(IF($E320="",TODAY()-8,$E320),TODAY()-8)&gt;=EOMONTH(MIN(IF($E320="",TODAY()-8,$E320),TODAY()-8),0),1,0)),MAX(0,INT((MIN(IF($E320="",TODAY()-8,$E320),TODAY()-8)-($D320+MOD(SISTEM!$F$8-WEEKDAY($D320,2),7)))/7)+1)))</f>
        <v/>
      </c>
      <c r="K320" s="222">
        <f>IF(OR($C320="",$D320="",$G320="",$F320=""),0,$G320*IF($F320="Aylık",MAX(0,(YEAR(MIN(IF($E320="",TODAY()-15,$E320),TODAY()-15))-YEAR($D320))*12+MONTH(MIN(IF($E320="",TODAY()-15,$E320),TODAY()-15))-MONTH($D320)+IF(MIN(IF($E320="",TODAY()-15,$E320),TODAY()-15)&gt;=EOMONTH(MIN(IF($E320="",TODAY()-15,$E320),TODAY()-15),0),1,0)),MAX(0,INT((MIN(IF($E320="",TODAY()-15,$E320),TODAY()-15)-($D320+MOD(SISTEM!$F$8-WEEKDAY($D320,2),7)))/7)+1)))</f>
        <v/>
      </c>
      <c r="L320" s="222">
        <f>IF(OR($C320="",$D320="",$G320="",$F320=""),0,$G320*IF($F320="Aylık",MAX(0,(YEAR(MIN(IF($E320="",TODAY()-29,$E320),TODAY()-29))-YEAR($D320))*12+MONTH(MIN(IF($E320="",TODAY()-29,$E320),TODAY()-29))-MONTH($D320)+IF(MIN(IF($E320="",TODAY()-29,$E320),TODAY()-29)&gt;=EOMONTH(MIN(IF($E320="",TODAY()-29,$E320),TODAY()-29),0),1,0)),MAX(0,INT((MIN(IF($E320="",TODAY()-29,$E320),TODAY()-29)-($D320+MOD(SISTEM!$F$8-WEEKDAY($D320,2),7)))/7)+1)))</f>
        <v/>
      </c>
      <c r="M320" s="223">
        <f>IF($G320&gt;0,$I320/$G320,0)</f>
        <v/>
      </c>
      <c r="N320" s="113">
        <f>IF($C320="","",IF($B320="TANIMSIZ MÜŞTERİ","TANIMSIZ MÜŞTERİ",IF($F320="","MODEL SEÇİN",IF(OR($D320="",$G320&lt;=0),"EKSİK",IF(AND($E320&lt;&gt;"",$E320&lt;$D320),"TARİH HATASI",IF($H320="Pasif","KAPALI DÖNEM","UYGUN"))))))</f>
        <v/>
      </c>
      <c r="O320" s="224">
        <f>IF(OR($C320="",$D320="",$F320=""),"",IF($F320="Aylık",EOMONTH($D320,0),($D320+MOD(SISTEM!$F$8-WEEKDAY($D320,2),7))))</f>
        <v/>
      </c>
      <c r="P320" s="109" t="n"/>
      <c r="Q320" s="6" t="n"/>
      <c r="R320" s="6" t="n"/>
      <c r="S320" s="3">
        <f>IF($B320="","",$B320&amp;"|"&amp;COUNTIFS($B$7:$B320,$B320))</f>
        <v/>
      </c>
      <c r="T320" s="3">
        <f>IF($C320="","",UPPER(SUBSTITUTE(SUBSTITUTE(SUBSTITUTE(SUBSTITUTE(SUBSTITUTE(SUBSTITUTE(SUBSTITUTE(SUBSTITUTE(SUBSTITUTE(SUBSTITUTE(SUBSTITUTE(SUBSTITUTE(SUBSTITUTE(SUBSTITUTE(SUBSTITUTE(SUBSTITUTE(SUBSTITUTE(SUBSTITUTE(TRIM($C320),"'",""),"İ","I"),"ı","I"),"i","I"),"Ş","S"),"ş","S"),"Ğ","G"),"ğ","G"),"Ü","U"),"ü","U"),"Ö","O"),"ö","O"),"Ç","C"),"ç","C"),".",""),",","")," ",""),"-","")))</f>
        <v/>
      </c>
    </row>
    <row r="321">
      <c r="A321" s="6" t="n"/>
      <c r="B321" s="113">
        <f>IF($C321="","",IFERROR(INDEX(MUSTERILER!$B$7:$B$106,MATCH($T321,MUSTERILER!$T$7:$T$106,0)),IFERROR(INDEX(MUSTERILER!$B$7:$B$106,MATCH($C321,MUSTERILER!$B$7:$B$106,0)),IFERROR(INDEX(MUSTERILER!$B$7:$B$106,MATCH($T321&amp;"*",MUSTERILER!$T$7:$T$106,0)),"TANIMSIZ MÜŞTERİ"))))</f>
        <v/>
      </c>
      <c r="C321" s="109" t="n"/>
      <c r="D321" s="220" t="n"/>
      <c r="E321" s="220" t="n"/>
      <c r="F321" s="108" t="n"/>
      <c r="G321" s="221" t="n"/>
      <c r="H321" s="108" t="n"/>
      <c r="I321" s="222">
        <f>IF(OR($C321="",$D321="",$G321="",$F321=""),0,$G321*IF($F321="Aylık",MAX(0,(YEAR(MIN(IF($E321="",TODAY(),$E321),TODAY()))-YEAR($D321))*12+MONTH(MIN(IF($E321="",TODAY(),$E321),TODAY()))-MONTH($D321)+IF(MIN(IF($E321="",TODAY(),$E321),TODAY())&gt;=EOMONTH(MIN(IF($E321="",TODAY(),$E321),TODAY()),0),1,0)),MAX(0,INT((MIN(IF($E321="",TODAY(),$E321),TODAY())-($D321+MOD(SISTEM!$F$8-WEEKDAY($D321,2),7)))/7)+1)))</f>
        <v/>
      </c>
      <c r="J321" s="222">
        <f>IF(OR($C321="",$D321="",$G321="",$F321=""),0,$G321*IF($F321="Aylık",MAX(0,(YEAR(MIN(IF($E321="",TODAY()-8,$E321),TODAY()-8))-YEAR($D321))*12+MONTH(MIN(IF($E321="",TODAY()-8,$E321),TODAY()-8))-MONTH($D321)+IF(MIN(IF($E321="",TODAY()-8,$E321),TODAY()-8)&gt;=EOMONTH(MIN(IF($E321="",TODAY()-8,$E321),TODAY()-8),0),1,0)),MAX(0,INT((MIN(IF($E321="",TODAY()-8,$E321),TODAY()-8)-($D321+MOD(SISTEM!$F$8-WEEKDAY($D321,2),7)))/7)+1)))</f>
        <v/>
      </c>
      <c r="K321" s="222">
        <f>IF(OR($C321="",$D321="",$G321="",$F321=""),0,$G321*IF($F321="Aylık",MAX(0,(YEAR(MIN(IF($E321="",TODAY()-15,$E321),TODAY()-15))-YEAR($D321))*12+MONTH(MIN(IF($E321="",TODAY()-15,$E321),TODAY()-15))-MONTH($D321)+IF(MIN(IF($E321="",TODAY()-15,$E321),TODAY()-15)&gt;=EOMONTH(MIN(IF($E321="",TODAY()-15,$E321),TODAY()-15),0),1,0)),MAX(0,INT((MIN(IF($E321="",TODAY()-15,$E321),TODAY()-15)-($D321+MOD(SISTEM!$F$8-WEEKDAY($D321,2),7)))/7)+1)))</f>
        <v/>
      </c>
      <c r="L321" s="222">
        <f>IF(OR($C321="",$D321="",$G321="",$F321=""),0,$G321*IF($F321="Aylık",MAX(0,(YEAR(MIN(IF($E321="",TODAY()-29,$E321),TODAY()-29))-YEAR($D321))*12+MONTH(MIN(IF($E321="",TODAY()-29,$E321),TODAY()-29))-MONTH($D321)+IF(MIN(IF($E321="",TODAY()-29,$E321),TODAY()-29)&gt;=EOMONTH(MIN(IF($E321="",TODAY()-29,$E321),TODAY()-29),0),1,0)),MAX(0,INT((MIN(IF($E321="",TODAY()-29,$E321),TODAY()-29)-($D321+MOD(SISTEM!$F$8-WEEKDAY($D321,2),7)))/7)+1)))</f>
        <v/>
      </c>
      <c r="M321" s="223">
        <f>IF($G321&gt;0,$I321/$G321,0)</f>
        <v/>
      </c>
      <c r="N321" s="113">
        <f>IF($C321="","",IF($B321="TANIMSIZ MÜŞTERİ","TANIMSIZ MÜŞTERİ",IF($F321="","MODEL SEÇİN",IF(OR($D321="",$G321&lt;=0),"EKSİK",IF(AND($E321&lt;&gt;"",$E321&lt;$D321),"TARİH HATASI",IF($H321="Pasif","KAPALI DÖNEM","UYGUN"))))))</f>
        <v/>
      </c>
      <c r="O321" s="224">
        <f>IF(OR($C321="",$D321="",$F321=""),"",IF($F321="Aylık",EOMONTH($D321,0),($D321+MOD(SISTEM!$F$8-WEEKDAY($D321,2),7))))</f>
        <v/>
      </c>
      <c r="P321" s="109" t="n"/>
      <c r="Q321" s="6" t="n"/>
      <c r="R321" s="6" t="n"/>
      <c r="S321" s="3">
        <f>IF($B321="","",$B321&amp;"|"&amp;COUNTIFS($B$7:$B321,$B321))</f>
        <v/>
      </c>
      <c r="T321" s="3">
        <f>IF($C321="","",UPPER(SUBSTITUTE(SUBSTITUTE(SUBSTITUTE(SUBSTITUTE(SUBSTITUTE(SUBSTITUTE(SUBSTITUTE(SUBSTITUTE(SUBSTITUTE(SUBSTITUTE(SUBSTITUTE(SUBSTITUTE(SUBSTITUTE(SUBSTITUTE(SUBSTITUTE(SUBSTITUTE(SUBSTITUTE(SUBSTITUTE(TRIM($C321),"'",""),"İ","I"),"ı","I"),"i","I"),"Ş","S"),"ş","S"),"Ğ","G"),"ğ","G"),"Ü","U"),"ü","U"),"Ö","O"),"ö","O"),"Ç","C"),"ç","C"),".",""),",","")," ",""),"-","")))</f>
        <v/>
      </c>
    </row>
    <row r="322">
      <c r="A322" s="6" t="n"/>
      <c r="B322" s="113">
        <f>IF($C322="","",IFERROR(INDEX(MUSTERILER!$B$7:$B$106,MATCH($T322,MUSTERILER!$T$7:$T$106,0)),IFERROR(INDEX(MUSTERILER!$B$7:$B$106,MATCH($C322,MUSTERILER!$B$7:$B$106,0)),IFERROR(INDEX(MUSTERILER!$B$7:$B$106,MATCH($T322&amp;"*",MUSTERILER!$T$7:$T$106,0)),"TANIMSIZ MÜŞTERİ"))))</f>
        <v/>
      </c>
      <c r="C322" s="109" t="n"/>
      <c r="D322" s="220" t="n"/>
      <c r="E322" s="220" t="n"/>
      <c r="F322" s="108" t="n"/>
      <c r="G322" s="221" t="n"/>
      <c r="H322" s="108" t="n"/>
      <c r="I322" s="222">
        <f>IF(OR($C322="",$D322="",$G322="",$F322=""),0,$G322*IF($F322="Aylık",MAX(0,(YEAR(MIN(IF($E322="",TODAY(),$E322),TODAY()))-YEAR($D322))*12+MONTH(MIN(IF($E322="",TODAY(),$E322),TODAY()))-MONTH($D322)+IF(MIN(IF($E322="",TODAY(),$E322),TODAY())&gt;=EOMONTH(MIN(IF($E322="",TODAY(),$E322),TODAY()),0),1,0)),MAX(0,INT((MIN(IF($E322="",TODAY(),$E322),TODAY())-($D322+MOD(SISTEM!$F$8-WEEKDAY($D322,2),7)))/7)+1)))</f>
        <v/>
      </c>
      <c r="J322" s="222">
        <f>IF(OR($C322="",$D322="",$G322="",$F322=""),0,$G322*IF($F322="Aylık",MAX(0,(YEAR(MIN(IF($E322="",TODAY()-8,$E322),TODAY()-8))-YEAR($D322))*12+MONTH(MIN(IF($E322="",TODAY()-8,$E322),TODAY()-8))-MONTH($D322)+IF(MIN(IF($E322="",TODAY()-8,$E322),TODAY()-8)&gt;=EOMONTH(MIN(IF($E322="",TODAY()-8,$E322),TODAY()-8),0),1,0)),MAX(0,INT((MIN(IF($E322="",TODAY()-8,$E322),TODAY()-8)-($D322+MOD(SISTEM!$F$8-WEEKDAY($D322,2),7)))/7)+1)))</f>
        <v/>
      </c>
      <c r="K322" s="222">
        <f>IF(OR($C322="",$D322="",$G322="",$F322=""),0,$G322*IF($F322="Aylık",MAX(0,(YEAR(MIN(IF($E322="",TODAY()-15,$E322),TODAY()-15))-YEAR($D322))*12+MONTH(MIN(IF($E322="",TODAY()-15,$E322),TODAY()-15))-MONTH($D322)+IF(MIN(IF($E322="",TODAY()-15,$E322),TODAY()-15)&gt;=EOMONTH(MIN(IF($E322="",TODAY()-15,$E322),TODAY()-15),0),1,0)),MAX(0,INT((MIN(IF($E322="",TODAY()-15,$E322),TODAY()-15)-($D322+MOD(SISTEM!$F$8-WEEKDAY($D322,2),7)))/7)+1)))</f>
        <v/>
      </c>
      <c r="L322" s="222">
        <f>IF(OR($C322="",$D322="",$G322="",$F322=""),0,$G322*IF($F322="Aylık",MAX(0,(YEAR(MIN(IF($E322="",TODAY()-29,$E322),TODAY()-29))-YEAR($D322))*12+MONTH(MIN(IF($E322="",TODAY()-29,$E322),TODAY()-29))-MONTH($D322)+IF(MIN(IF($E322="",TODAY()-29,$E322),TODAY()-29)&gt;=EOMONTH(MIN(IF($E322="",TODAY()-29,$E322),TODAY()-29),0),1,0)),MAX(0,INT((MIN(IF($E322="",TODAY()-29,$E322),TODAY()-29)-($D322+MOD(SISTEM!$F$8-WEEKDAY($D322,2),7)))/7)+1)))</f>
        <v/>
      </c>
      <c r="M322" s="223">
        <f>IF($G322&gt;0,$I322/$G322,0)</f>
        <v/>
      </c>
      <c r="N322" s="113">
        <f>IF($C322="","",IF($B322="TANIMSIZ MÜŞTERİ","TANIMSIZ MÜŞTERİ",IF($F322="","MODEL SEÇİN",IF(OR($D322="",$G322&lt;=0),"EKSİK",IF(AND($E322&lt;&gt;"",$E322&lt;$D322),"TARİH HATASI",IF($H322="Pasif","KAPALI DÖNEM","UYGUN"))))))</f>
        <v/>
      </c>
      <c r="O322" s="224">
        <f>IF(OR($C322="",$D322="",$F322=""),"",IF($F322="Aylık",EOMONTH($D322,0),($D322+MOD(SISTEM!$F$8-WEEKDAY($D322,2),7))))</f>
        <v/>
      </c>
      <c r="P322" s="109" t="n"/>
      <c r="Q322" s="6" t="n"/>
      <c r="R322" s="6" t="n"/>
      <c r="S322" s="3">
        <f>IF($B322="","",$B322&amp;"|"&amp;COUNTIFS($B$7:$B322,$B322))</f>
        <v/>
      </c>
      <c r="T322" s="3">
        <f>IF($C322="","",UPPER(SUBSTITUTE(SUBSTITUTE(SUBSTITUTE(SUBSTITUTE(SUBSTITUTE(SUBSTITUTE(SUBSTITUTE(SUBSTITUTE(SUBSTITUTE(SUBSTITUTE(SUBSTITUTE(SUBSTITUTE(SUBSTITUTE(SUBSTITUTE(SUBSTITUTE(SUBSTITUTE(SUBSTITUTE(SUBSTITUTE(TRIM($C322),"'",""),"İ","I"),"ı","I"),"i","I"),"Ş","S"),"ş","S"),"Ğ","G"),"ğ","G"),"Ü","U"),"ü","U"),"Ö","O"),"ö","O"),"Ç","C"),"ç","C"),".",""),",","")," ",""),"-","")))</f>
        <v/>
      </c>
    </row>
    <row r="323">
      <c r="A323" s="6" t="n"/>
      <c r="B323" s="113">
        <f>IF($C323="","",IFERROR(INDEX(MUSTERILER!$B$7:$B$106,MATCH($T323,MUSTERILER!$T$7:$T$106,0)),IFERROR(INDEX(MUSTERILER!$B$7:$B$106,MATCH($C323,MUSTERILER!$B$7:$B$106,0)),IFERROR(INDEX(MUSTERILER!$B$7:$B$106,MATCH($T323&amp;"*",MUSTERILER!$T$7:$T$106,0)),"TANIMSIZ MÜŞTERİ"))))</f>
        <v/>
      </c>
      <c r="C323" s="109" t="n"/>
      <c r="D323" s="220" t="n"/>
      <c r="E323" s="220" t="n"/>
      <c r="F323" s="108" t="n"/>
      <c r="G323" s="221" t="n"/>
      <c r="H323" s="108" t="n"/>
      <c r="I323" s="222">
        <f>IF(OR($C323="",$D323="",$G323="",$F323=""),0,$G323*IF($F323="Aylık",MAX(0,(YEAR(MIN(IF($E323="",TODAY(),$E323),TODAY()))-YEAR($D323))*12+MONTH(MIN(IF($E323="",TODAY(),$E323),TODAY()))-MONTH($D323)+IF(MIN(IF($E323="",TODAY(),$E323),TODAY())&gt;=EOMONTH(MIN(IF($E323="",TODAY(),$E323),TODAY()),0),1,0)),MAX(0,INT((MIN(IF($E323="",TODAY(),$E323),TODAY())-($D323+MOD(SISTEM!$F$8-WEEKDAY($D323,2),7)))/7)+1)))</f>
        <v/>
      </c>
      <c r="J323" s="222">
        <f>IF(OR($C323="",$D323="",$G323="",$F323=""),0,$G323*IF($F323="Aylık",MAX(0,(YEAR(MIN(IF($E323="",TODAY()-8,$E323),TODAY()-8))-YEAR($D323))*12+MONTH(MIN(IF($E323="",TODAY()-8,$E323),TODAY()-8))-MONTH($D323)+IF(MIN(IF($E323="",TODAY()-8,$E323),TODAY()-8)&gt;=EOMONTH(MIN(IF($E323="",TODAY()-8,$E323),TODAY()-8),0),1,0)),MAX(0,INT((MIN(IF($E323="",TODAY()-8,$E323),TODAY()-8)-($D323+MOD(SISTEM!$F$8-WEEKDAY($D323,2),7)))/7)+1)))</f>
        <v/>
      </c>
      <c r="K323" s="222">
        <f>IF(OR($C323="",$D323="",$G323="",$F323=""),0,$G323*IF($F323="Aylık",MAX(0,(YEAR(MIN(IF($E323="",TODAY()-15,$E323),TODAY()-15))-YEAR($D323))*12+MONTH(MIN(IF($E323="",TODAY()-15,$E323),TODAY()-15))-MONTH($D323)+IF(MIN(IF($E323="",TODAY()-15,$E323),TODAY()-15)&gt;=EOMONTH(MIN(IF($E323="",TODAY()-15,$E323),TODAY()-15),0),1,0)),MAX(0,INT((MIN(IF($E323="",TODAY()-15,$E323),TODAY()-15)-($D323+MOD(SISTEM!$F$8-WEEKDAY($D323,2),7)))/7)+1)))</f>
        <v/>
      </c>
      <c r="L323" s="222">
        <f>IF(OR($C323="",$D323="",$G323="",$F323=""),0,$G323*IF($F323="Aylık",MAX(0,(YEAR(MIN(IF($E323="",TODAY()-29,$E323),TODAY()-29))-YEAR($D323))*12+MONTH(MIN(IF($E323="",TODAY()-29,$E323),TODAY()-29))-MONTH($D323)+IF(MIN(IF($E323="",TODAY()-29,$E323),TODAY()-29)&gt;=EOMONTH(MIN(IF($E323="",TODAY()-29,$E323),TODAY()-29),0),1,0)),MAX(0,INT((MIN(IF($E323="",TODAY()-29,$E323),TODAY()-29)-($D323+MOD(SISTEM!$F$8-WEEKDAY($D323,2),7)))/7)+1)))</f>
        <v/>
      </c>
      <c r="M323" s="223">
        <f>IF($G323&gt;0,$I323/$G323,0)</f>
        <v/>
      </c>
      <c r="N323" s="113">
        <f>IF($C323="","",IF($B323="TANIMSIZ MÜŞTERİ","TANIMSIZ MÜŞTERİ",IF($F323="","MODEL SEÇİN",IF(OR($D323="",$G323&lt;=0),"EKSİK",IF(AND($E323&lt;&gt;"",$E323&lt;$D323),"TARİH HATASI",IF($H323="Pasif","KAPALI DÖNEM","UYGUN"))))))</f>
        <v/>
      </c>
      <c r="O323" s="224">
        <f>IF(OR($C323="",$D323="",$F323=""),"",IF($F323="Aylık",EOMONTH($D323,0),($D323+MOD(SISTEM!$F$8-WEEKDAY($D323,2),7))))</f>
        <v/>
      </c>
      <c r="P323" s="109" t="n"/>
      <c r="Q323" s="6" t="n"/>
      <c r="R323" s="6" t="n"/>
      <c r="S323" s="3">
        <f>IF($B323="","",$B323&amp;"|"&amp;COUNTIFS($B$7:$B323,$B323))</f>
        <v/>
      </c>
      <c r="T323" s="3">
        <f>IF($C323="","",UPPER(SUBSTITUTE(SUBSTITUTE(SUBSTITUTE(SUBSTITUTE(SUBSTITUTE(SUBSTITUTE(SUBSTITUTE(SUBSTITUTE(SUBSTITUTE(SUBSTITUTE(SUBSTITUTE(SUBSTITUTE(SUBSTITUTE(SUBSTITUTE(SUBSTITUTE(SUBSTITUTE(SUBSTITUTE(SUBSTITUTE(TRIM($C323),"'",""),"İ","I"),"ı","I"),"i","I"),"Ş","S"),"ş","S"),"Ğ","G"),"ğ","G"),"Ü","U"),"ü","U"),"Ö","O"),"ö","O"),"Ç","C"),"ç","C"),".",""),",","")," ",""),"-","")))</f>
        <v/>
      </c>
    </row>
    <row r="324">
      <c r="A324" s="6" t="n"/>
      <c r="B324" s="113">
        <f>IF($C324="","",IFERROR(INDEX(MUSTERILER!$B$7:$B$106,MATCH($T324,MUSTERILER!$T$7:$T$106,0)),IFERROR(INDEX(MUSTERILER!$B$7:$B$106,MATCH($C324,MUSTERILER!$B$7:$B$106,0)),IFERROR(INDEX(MUSTERILER!$B$7:$B$106,MATCH($T324&amp;"*",MUSTERILER!$T$7:$T$106,0)),"TANIMSIZ MÜŞTERİ"))))</f>
        <v/>
      </c>
      <c r="C324" s="109" t="n"/>
      <c r="D324" s="220" t="n"/>
      <c r="E324" s="220" t="n"/>
      <c r="F324" s="108" t="n"/>
      <c r="G324" s="221" t="n"/>
      <c r="H324" s="108" t="n"/>
      <c r="I324" s="222">
        <f>IF(OR($C324="",$D324="",$G324="",$F324=""),0,$G324*IF($F324="Aylık",MAX(0,(YEAR(MIN(IF($E324="",TODAY(),$E324),TODAY()))-YEAR($D324))*12+MONTH(MIN(IF($E324="",TODAY(),$E324),TODAY()))-MONTH($D324)+IF(MIN(IF($E324="",TODAY(),$E324),TODAY())&gt;=EOMONTH(MIN(IF($E324="",TODAY(),$E324),TODAY()),0),1,0)),MAX(0,INT((MIN(IF($E324="",TODAY(),$E324),TODAY())-($D324+MOD(SISTEM!$F$8-WEEKDAY($D324,2),7)))/7)+1)))</f>
        <v/>
      </c>
      <c r="J324" s="222">
        <f>IF(OR($C324="",$D324="",$G324="",$F324=""),0,$G324*IF($F324="Aylık",MAX(0,(YEAR(MIN(IF($E324="",TODAY()-8,$E324),TODAY()-8))-YEAR($D324))*12+MONTH(MIN(IF($E324="",TODAY()-8,$E324),TODAY()-8))-MONTH($D324)+IF(MIN(IF($E324="",TODAY()-8,$E324),TODAY()-8)&gt;=EOMONTH(MIN(IF($E324="",TODAY()-8,$E324),TODAY()-8),0),1,0)),MAX(0,INT((MIN(IF($E324="",TODAY()-8,$E324),TODAY()-8)-($D324+MOD(SISTEM!$F$8-WEEKDAY($D324,2),7)))/7)+1)))</f>
        <v/>
      </c>
      <c r="K324" s="222">
        <f>IF(OR($C324="",$D324="",$G324="",$F324=""),0,$G324*IF($F324="Aylık",MAX(0,(YEAR(MIN(IF($E324="",TODAY()-15,$E324),TODAY()-15))-YEAR($D324))*12+MONTH(MIN(IF($E324="",TODAY()-15,$E324),TODAY()-15))-MONTH($D324)+IF(MIN(IF($E324="",TODAY()-15,$E324),TODAY()-15)&gt;=EOMONTH(MIN(IF($E324="",TODAY()-15,$E324),TODAY()-15),0),1,0)),MAX(0,INT((MIN(IF($E324="",TODAY()-15,$E324),TODAY()-15)-($D324+MOD(SISTEM!$F$8-WEEKDAY($D324,2),7)))/7)+1)))</f>
        <v/>
      </c>
      <c r="L324" s="222">
        <f>IF(OR($C324="",$D324="",$G324="",$F324=""),0,$G324*IF($F324="Aylık",MAX(0,(YEAR(MIN(IF($E324="",TODAY()-29,$E324),TODAY()-29))-YEAR($D324))*12+MONTH(MIN(IF($E324="",TODAY()-29,$E324),TODAY()-29))-MONTH($D324)+IF(MIN(IF($E324="",TODAY()-29,$E324),TODAY()-29)&gt;=EOMONTH(MIN(IF($E324="",TODAY()-29,$E324),TODAY()-29),0),1,0)),MAX(0,INT((MIN(IF($E324="",TODAY()-29,$E324),TODAY()-29)-($D324+MOD(SISTEM!$F$8-WEEKDAY($D324,2),7)))/7)+1)))</f>
        <v/>
      </c>
      <c r="M324" s="223">
        <f>IF($G324&gt;0,$I324/$G324,0)</f>
        <v/>
      </c>
      <c r="N324" s="113">
        <f>IF($C324="","",IF($B324="TANIMSIZ MÜŞTERİ","TANIMSIZ MÜŞTERİ",IF($F324="","MODEL SEÇİN",IF(OR($D324="",$G324&lt;=0),"EKSİK",IF(AND($E324&lt;&gt;"",$E324&lt;$D324),"TARİH HATASI",IF($H324="Pasif","KAPALI DÖNEM","UYGUN"))))))</f>
        <v/>
      </c>
      <c r="O324" s="224">
        <f>IF(OR($C324="",$D324="",$F324=""),"",IF($F324="Aylık",EOMONTH($D324,0),($D324+MOD(SISTEM!$F$8-WEEKDAY($D324,2),7))))</f>
        <v/>
      </c>
      <c r="P324" s="109" t="n"/>
      <c r="Q324" s="6" t="n"/>
      <c r="R324" s="6" t="n"/>
      <c r="S324" s="3">
        <f>IF($B324="","",$B324&amp;"|"&amp;COUNTIFS($B$7:$B324,$B324))</f>
        <v/>
      </c>
      <c r="T324" s="3">
        <f>IF($C324="","",UPPER(SUBSTITUTE(SUBSTITUTE(SUBSTITUTE(SUBSTITUTE(SUBSTITUTE(SUBSTITUTE(SUBSTITUTE(SUBSTITUTE(SUBSTITUTE(SUBSTITUTE(SUBSTITUTE(SUBSTITUTE(SUBSTITUTE(SUBSTITUTE(SUBSTITUTE(SUBSTITUTE(SUBSTITUTE(SUBSTITUTE(TRIM($C324),"'",""),"İ","I"),"ı","I"),"i","I"),"Ş","S"),"ş","S"),"Ğ","G"),"ğ","G"),"Ü","U"),"ü","U"),"Ö","O"),"ö","O"),"Ç","C"),"ç","C"),".",""),",","")," ",""),"-","")))</f>
        <v/>
      </c>
    </row>
    <row r="325">
      <c r="A325" s="6" t="n"/>
      <c r="B325" s="113">
        <f>IF($C325="","",IFERROR(INDEX(MUSTERILER!$B$7:$B$106,MATCH($T325,MUSTERILER!$T$7:$T$106,0)),IFERROR(INDEX(MUSTERILER!$B$7:$B$106,MATCH($C325,MUSTERILER!$B$7:$B$106,0)),IFERROR(INDEX(MUSTERILER!$B$7:$B$106,MATCH($T325&amp;"*",MUSTERILER!$T$7:$T$106,0)),"TANIMSIZ MÜŞTERİ"))))</f>
        <v/>
      </c>
      <c r="C325" s="109" t="n"/>
      <c r="D325" s="220" t="n"/>
      <c r="E325" s="220" t="n"/>
      <c r="F325" s="108" t="n"/>
      <c r="G325" s="221" t="n"/>
      <c r="H325" s="108" t="n"/>
      <c r="I325" s="222">
        <f>IF(OR($C325="",$D325="",$G325="",$F325=""),0,$G325*IF($F325="Aylık",MAX(0,(YEAR(MIN(IF($E325="",TODAY(),$E325),TODAY()))-YEAR($D325))*12+MONTH(MIN(IF($E325="",TODAY(),$E325),TODAY()))-MONTH($D325)+IF(MIN(IF($E325="",TODAY(),$E325),TODAY())&gt;=EOMONTH(MIN(IF($E325="",TODAY(),$E325),TODAY()),0),1,0)),MAX(0,INT((MIN(IF($E325="",TODAY(),$E325),TODAY())-($D325+MOD(SISTEM!$F$8-WEEKDAY($D325,2),7)))/7)+1)))</f>
        <v/>
      </c>
      <c r="J325" s="222">
        <f>IF(OR($C325="",$D325="",$G325="",$F325=""),0,$G325*IF($F325="Aylık",MAX(0,(YEAR(MIN(IF($E325="",TODAY()-8,$E325),TODAY()-8))-YEAR($D325))*12+MONTH(MIN(IF($E325="",TODAY()-8,$E325),TODAY()-8))-MONTH($D325)+IF(MIN(IF($E325="",TODAY()-8,$E325),TODAY()-8)&gt;=EOMONTH(MIN(IF($E325="",TODAY()-8,$E325),TODAY()-8),0),1,0)),MAX(0,INT((MIN(IF($E325="",TODAY()-8,$E325),TODAY()-8)-($D325+MOD(SISTEM!$F$8-WEEKDAY($D325,2),7)))/7)+1)))</f>
        <v/>
      </c>
      <c r="K325" s="222">
        <f>IF(OR($C325="",$D325="",$G325="",$F325=""),0,$G325*IF($F325="Aylık",MAX(0,(YEAR(MIN(IF($E325="",TODAY()-15,$E325),TODAY()-15))-YEAR($D325))*12+MONTH(MIN(IF($E325="",TODAY()-15,$E325),TODAY()-15))-MONTH($D325)+IF(MIN(IF($E325="",TODAY()-15,$E325),TODAY()-15)&gt;=EOMONTH(MIN(IF($E325="",TODAY()-15,$E325),TODAY()-15),0),1,0)),MAX(0,INT((MIN(IF($E325="",TODAY()-15,$E325),TODAY()-15)-($D325+MOD(SISTEM!$F$8-WEEKDAY($D325,2),7)))/7)+1)))</f>
        <v/>
      </c>
      <c r="L325" s="222">
        <f>IF(OR($C325="",$D325="",$G325="",$F325=""),0,$G325*IF($F325="Aylık",MAX(0,(YEAR(MIN(IF($E325="",TODAY()-29,$E325),TODAY()-29))-YEAR($D325))*12+MONTH(MIN(IF($E325="",TODAY()-29,$E325),TODAY()-29))-MONTH($D325)+IF(MIN(IF($E325="",TODAY()-29,$E325),TODAY()-29)&gt;=EOMONTH(MIN(IF($E325="",TODAY()-29,$E325),TODAY()-29),0),1,0)),MAX(0,INT((MIN(IF($E325="",TODAY()-29,$E325),TODAY()-29)-($D325+MOD(SISTEM!$F$8-WEEKDAY($D325,2),7)))/7)+1)))</f>
        <v/>
      </c>
      <c r="M325" s="223">
        <f>IF($G325&gt;0,$I325/$G325,0)</f>
        <v/>
      </c>
      <c r="N325" s="113">
        <f>IF($C325="","",IF($B325="TANIMSIZ MÜŞTERİ","TANIMSIZ MÜŞTERİ",IF($F325="","MODEL SEÇİN",IF(OR($D325="",$G325&lt;=0),"EKSİK",IF(AND($E325&lt;&gt;"",$E325&lt;$D325),"TARİH HATASI",IF($H325="Pasif","KAPALI DÖNEM","UYGUN"))))))</f>
        <v/>
      </c>
      <c r="O325" s="224">
        <f>IF(OR($C325="",$D325="",$F325=""),"",IF($F325="Aylık",EOMONTH($D325,0),($D325+MOD(SISTEM!$F$8-WEEKDAY($D325,2),7))))</f>
        <v/>
      </c>
      <c r="P325" s="109" t="n"/>
      <c r="Q325" s="6" t="n"/>
      <c r="R325" s="6" t="n"/>
      <c r="S325" s="3">
        <f>IF($B325="","",$B325&amp;"|"&amp;COUNTIFS($B$7:$B325,$B325))</f>
        <v/>
      </c>
      <c r="T325" s="3">
        <f>IF($C325="","",UPPER(SUBSTITUTE(SUBSTITUTE(SUBSTITUTE(SUBSTITUTE(SUBSTITUTE(SUBSTITUTE(SUBSTITUTE(SUBSTITUTE(SUBSTITUTE(SUBSTITUTE(SUBSTITUTE(SUBSTITUTE(SUBSTITUTE(SUBSTITUTE(SUBSTITUTE(SUBSTITUTE(SUBSTITUTE(SUBSTITUTE(TRIM($C325),"'",""),"İ","I"),"ı","I"),"i","I"),"Ş","S"),"ş","S"),"Ğ","G"),"ğ","G"),"Ü","U"),"ü","U"),"Ö","O"),"ö","O"),"Ç","C"),"ç","C"),".",""),",","")," ",""),"-","")))</f>
        <v/>
      </c>
    </row>
    <row r="326">
      <c r="A326" s="6" t="n"/>
      <c r="B326" s="113">
        <f>IF($C326="","",IFERROR(INDEX(MUSTERILER!$B$7:$B$106,MATCH($T326,MUSTERILER!$T$7:$T$106,0)),IFERROR(INDEX(MUSTERILER!$B$7:$B$106,MATCH($C326,MUSTERILER!$B$7:$B$106,0)),IFERROR(INDEX(MUSTERILER!$B$7:$B$106,MATCH($T326&amp;"*",MUSTERILER!$T$7:$T$106,0)),"TANIMSIZ MÜŞTERİ"))))</f>
        <v/>
      </c>
      <c r="C326" s="109" t="n"/>
      <c r="D326" s="220" t="n"/>
      <c r="E326" s="220" t="n"/>
      <c r="F326" s="108" t="n"/>
      <c r="G326" s="221" t="n"/>
      <c r="H326" s="108" t="n"/>
      <c r="I326" s="222">
        <f>IF(OR($C326="",$D326="",$G326="",$F326=""),0,$G326*IF($F326="Aylık",MAX(0,(YEAR(MIN(IF($E326="",TODAY(),$E326),TODAY()))-YEAR($D326))*12+MONTH(MIN(IF($E326="",TODAY(),$E326),TODAY()))-MONTH($D326)+IF(MIN(IF($E326="",TODAY(),$E326),TODAY())&gt;=EOMONTH(MIN(IF($E326="",TODAY(),$E326),TODAY()),0),1,0)),MAX(0,INT((MIN(IF($E326="",TODAY(),$E326),TODAY())-($D326+MOD(SISTEM!$F$8-WEEKDAY($D326,2),7)))/7)+1)))</f>
        <v/>
      </c>
      <c r="J326" s="222">
        <f>IF(OR($C326="",$D326="",$G326="",$F326=""),0,$G326*IF($F326="Aylık",MAX(0,(YEAR(MIN(IF($E326="",TODAY()-8,$E326),TODAY()-8))-YEAR($D326))*12+MONTH(MIN(IF($E326="",TODAY()-8,$E326),TODAY()-8))-MONTH($D326)+IF(MIN(IF($E326="",TODAY()-8,$E326),TODAY()-8)&gt;=EOMONTH(MIN(IF($E326="",TODAY()-8,$E326),TODAY()-8),0),1,0)),MAX(0,INT((MIN(IF($E326="",TODAY()-8,$E326),TODAY()-8)-($D326+MOD(SISTEM!$F$8-WEEKDAY($D326,2),7)))/7)+1)))</f>
        <v/>
      </c>
      <c r="K326" s="222">
        <f>IF(OR($C326="",$D326="",$G326="",$F326=""),0,$G326*IF($F326="Aylık",MAX(0,(YEAR(MIN(IF($E326="",TODAY()-15,$E326),TODAY()-15))-YEAR($D326))*12+MONTH(MIN(IF($E326="",TODAY()-15,$E326),TODAY()-15))-MONTH($D326)+IF(MIN(IF($E326="",TODAY()-15,$E326),TODAY()-15)&gt;=EOMONTH(MIN(IF($E326="",TODAY()-15,$E326),TODAY()-15),0),1,0)),MAX(0,INT((MIN(IF($E326="",TODAY()-15,$E326),TODAY()-15)-($D326+MOD(SISTEM!$F$8-WEEKDAY($D326,2),7)))/7)+1)))</f>
        <v/>
      </c>
      <c r="L326" s="222">
        <f>IF(OR($C326="",$D326="",$G326="",$F326=""),0,$G326*IF($F326="Aylık",MAX(0,(YEAR(MIN(IF($E326="",TODAY()-29,$E326),TODAY()-29))-YEAR($D326))*12+MONTH(MIN(IF($E326="",TODAY()-29,$E326),TODAY()-29))-MONTH($D326)+IF(MIN(IF($E326="",TODAY()-29,$E326),TODAY()-29)&gt;=EOMONTH(MIN(IF($E326="",TODAY()-29,$E326),TODAY()-29),0),1,0)),MAX(0,INT((MIN(IF($E326="",TODAY()-29,$E326),TODAY()-29)-($D326+MOD(SISTEM!$F$8-WEEKDAY($D326,2),7)))/7)+1)))</f>
        <v/>
      </c>
      <c r="M326" s="223">
        <f>IF($G326&gt;0,$I326/$G326,0)</f>
        <v/>
      </c>
      <c r="N326" s="113">
        <f>IF($C326="","",IF($B326="TANIMSIZ MÜŞTERİ","TANIMSIZ MÜŞTERİ",IF($F326="","MODEL SEÇİN",IF(OR($D326="",$G326&lt;=0),"EKSİK",IF(AND($E326&lt;&gt;"",$E326&lt;$D326),"TARİH HATASI",IF($H326="Pasif","KAPALI DÖNEM","UYGUN"))))))</f>
        <v/>
      </c>
      <c r="O326" s="224">
        <f>IF(OR($C326="",$D326="",$F326=""),"",IF($F326="Aylık",EOMONTH($D326,0),($D326+MOD(SISTEM!$F$8-WEEKDAY($D326,2),7))))</f>
        <v/>
      </c>
      <c r="P326" s="109" t="n"/>
      <c r="Q326" s="6" t="n"/>
      <c r="R326" s="6" t="n"/>
      <c r="S326" s="3">
        <f>IF($B326="","",$B326&amp;"|"&amp;COUNTIFS($B$7:$B326,$B326))</f>
        <v/>
      </c>
      <c r="T326" s="3">
        <f>IF($C326="","",UPPER(SUBSTITUTE(SUBSTITUTE(SUBSTITUTE(SUBSTITUTE(SUBSTITUTE(SUBSTITUTE(SUBSTITUTE(SUBSTITUTE(SUBSTITUTE(SUBSTITUTE(SUBSTITUTE(SUBSTITUTE(SUBSTITUTE(SUBSTITUTE(SUBSTITUTE(SUBSTITUTE(SUBSTITUTE(SUBSTITUTE(TRIM($C326),"'",""),"İ","I"),"ı","I"),"i","I"),"Ş","S"),"ş","S"),"Ğ","G"),"ğ","G"),"Ü","U"),"ü","U"),"Ö","O"),"ö","O"),"Ç","C"),"ç","C"),".",""),",","")," ",""),"-","")))</f>
        <v/>
      </c>
    </row>
    <row r="327">
      <c r="A327" s="6" t="n"/>
      <c r="B327" s="113">
        <f>IF($C327="","",IFERROR(INDEX(MUSTERILER!$B$7:$B$106,MATCH($T327,MUSTERILER!$T$7:$T$106,0)),IFERROR(INDEX(MUSTERILER!$B$7:$B$106,MATCH($C327,MUSTERILER!$B$7:$B$106,0)),IFERROR(INDEX(MUSTERILER!$B$7:$B$106,MATCH($T327&amp;"*",MUSTERILER!$T$7:$T$106,0)),"TANIMSIZ MÜŞTERİ"))))</f>
        <v/>
      </c>
      <c r="C327" s="109" t="n"/>
      <c r="D327" s="220" t="n"/>
      <c r="E327" s="220" t="n"/>
      <c r="F327" s="108" t="n"/>
      <c r="G327" s="221" t="n"/>
      <c r="H327" s="108" t="n"/>
      <c r="I327" s="222">
        <f>IF(OR($C327="",$D327="",$G327="",$F327=""),0,$G327*IF($F327="Aylık",MAX(0,(YEAR(MIN(IF($E327="",TODAY(),$E327),TODAY()))-YEAR($D327))*12+MONTH(MIN(IF($E327="",TODAY(),$E327),TODAY()))-MONTH($D327)+IF(MIN(IF($E327="",TODAY(),$E327),TODAY())&gt;=EOMONTH(MIN(IF($E327="",TODAY(),$E327),TODAY()),0),1,0)),MAX(0,INT((MIN(IF($E327="",TODAY(),$E327),TODAY())-($D327+MOD(SISTEM!$F$8-WEEKDAY($D327,2),7)))/7)+1)))</f>
        <v/>
      </c>
      <c r="J327" s="222">
        <f>IF(OR($C327="",$D327="",$G327="",$F327=""),0,$G327*IF($F327="Aylık",MAX(0,(YEAR(MIN(IF($E327="",TODAY()-8,$E327),TODAY()-8))-YEAR($D327))*12+MONTH(MIN(IF($E327="",TODAY()-8,$E327),TODAY()-8))-MONTH($D327)+IF(MIN(IF($E327="",TODAY()-8,$E327),TODAY()-8)&gt;=EOMONTH(MIN(IF($E327="",TODAY()-8,$E327),TODAY()-8),0),1,0)),MAX(0,INT((MIN(IF($E327="",TODAY()-8,$E327),TODAY()-8)-($D327+MOD(SISTEM!$F$8-WEEKDAY($D327,2),7)))/7)+1)))</f>
        <v/>
      </c>
      <c r="K327" s="222">
        <f>IF(OR($C327="",$D327="",$G327="",$F327=""),0,$G327*IF($F327="Aylık",MAX(0,(YEAR(MIN(IF($E327="",TODAY()-15,$E327),TODAY()-15))-YEAR($D327))*12+MONTH(MIN(IF($E327="",TODAY()-15,$E327),TODAY()-15))-MONTH($D327)+IF(MIN(IF($E327="",TODAY()-15,$E327),TODAY()-15)&gt;=EOMONTH(MIN(IF($E327="",TODAY()-15,$E327),TODAY()-15),0),1,0)),MAX(0,INT((MIN(IF($E327="",TODAY()-15,$E327),TODAY()-15)-($D327+MOD(SISTEM!$F$8-WEEKDAY($D327,2),7)))/7)+1)))</f>
        <v/>
      </c>
      <c r="L327" s="222">
        <f>IF(OR($C327="",$D327="",$G327="",$F327=""),0,$G327*IF($F327="Aylık",MAX(0,(YEAR(MIN(IF($E327="",TODAY()-29,$E327),TODAY()-29))-YEAR($D327))*12+MONTH(MIN(IF($E327="",TODAY()-29,$E327),TODAY()-29))-MONTH($D327)+IF(MIN(IF($E327="",TODAY()-29,$E327),TODAY()-29)&gt;=EOMONTH(MIN(IF($E327="",TODAY()-29,$E327),TODAY()-29),0),1,0)),MAX(0,INT((MIN(IF($E327="",TODAY()-29,$E327),TODAY()-29)-($D327+MOD(SISTEM!$F$8-WEEKDAY($D327,2),7)))/7)+1)))</f>
        <v/>
      </c>
      <c r="M327" s="223">
        <f>IF($G327&gt;0,$I327/$G327,0)</f>
        <v/>
      </c>
      <c r="N327" s="113">
        <f>IF($C327="","",IF($B327="TANIMSIZ MÜŞTERİ","TANIMSIZ MÜŞTERİ",IF($F327="","MODEL SEÇİN",IF(OR($D327="",$G327&lt;=0),"EKSİK",IF(AND($E327&lt;&gt;"",$E327&lt;$D327),"TARİH HATASI",IF($H327="Pasif","KAPALI DÖNEM","UYGUN"))))))</f>
        <v/>
      </c>
      <c r="O327" s="224">
        <f>IF(OR($C327="",$D327="",$F327=""),"",IF($F327="Aylık",EOMONTH($D327,0),($D327+MOD(SISTEM!$F$8-WEEKDAY($D327,2),7))))</f>
        <v/>
      </c>
      <c r="P327" s="109" t="n"/>
      <c r="Q327" s="6" t="n"/>
      <c r="R327" s="6" t="n"/>
      <c r="S327" s="3">
        <f>IF($B327="","",$B327&amp;"|"&amp;COUNTIFS($B$7:$B327,$B327))</f>
        <v/>
      </c>
      <c r="T327" s="3">
        <f>IF($C327="","",UPPER(SUBSTITUTE(SUBSTITUTE(SUBSTITUTE(SUBSTITUTE(SUBSTITUTE(SUBSTITUTE(SUBSTITUTE(SUBSTITUTE(SUBSTITUTE(SUBSTITUTE(SUBSTITUTE(SUBSTITUTE(SUBSTITUTE(SUBSTITUTE(SUBSTITUTE(SUBSTITUTE(SUBSTITUTE(SUBSTITUTE(TRIM($C327),"'",""),"İ","I"),"ı","I"),"i","I"),"Ş","S"),"ş","S"),"Ğ","G"),"ğ","G"),"Ü","U"),"ü","U"),"Ö","O"),"ö","O"),"Ç","C"),"ç","C"),".",""),",","")," ",""),"-","")))</f>
        <v/>
      </c>
    </row>
    <row r="328">
      <c r="A328" s="6" t="n"/>
      <c r="B328" s="113">
        <f>IF($C328="","",IFERROR(INDEX(MUSTERILER!$B$7:$B$106,MATCH($T328,MUSTERILER!$T$7:$T$106,0)),IFERROR(INDEX(MUSTERILER!$B$7:$B$106,MATCH($C328,MUSTERILER!$B$7:$B$106,0)),IFERROR(INDEX(MUSTERILER!$B$7:$B$106,MATCH($T328&amp;"*",MUSTERILER!$T$7:$T$106,0)),"TANIMSIZ MÜŞTERİ"))))</f>
        <v/>
      </c>
      <c r="C328" s="109" t="n"/>
      <c r="D328" s="220" t="n"/>
      <c r="E328" s="220" t="n"/>
      <c r="F328" s="108" t="n"/>
      <c r="G328" s="221" t="n"/>
      <c r="H328" s="108" t="n"/>
      <c r="I328" s="222">
        <f>IF(OR($C328="",$D328="",$G328="",$F328=""),0,$G328*IF($F328="Aylık",MAX(0,(YEAR(MIN(IF($E328="",TODAY(),$E328),TODAY()))-YEAR($D328))*12+MONTH(MIN(IF($E328="",TODAY(),$E328),TODAY()))-MONTH($D328)+IF(MIN(IF($E328="",TODAY(),$E328),TODAY())&gt;=EOMONTH(MIN(IF($E328="",TODAY(),$E328),TODAY()),0),1,0)),MAX(0,INT((MIN(IF($E328="",TODAY(),$E328),TODAY())-($D328+MOD(SISTEM!$F$8-WEEKDAY($D328,2),7)))/7)+1)))</f>
        <v/>
      </c>
      <c r="J328" s="222">
        <f>IF(OR($C328="",$D328="",$G328="",$F328=""),0,$G328*IF($F328="Aylık",MAX(0,(YEAR(MIN(IF($E328="",TODAY()-8,$E328),TODAY()-8))-YEAR($D328))*12+MONTH(MIN(IF($E328="",TODAY()-8,$E328),TODAY()-8))-MONTH($D328)+IF(MIN(IF($E328="",TODAY()-8,$E328),TODAY()-8)&gt;=EOMONTH(MIN(IF($E328="",TODAY()-8,$E328),TODAY()-8),0),1,0)),MAX(0,INT((MIN(IF($E328="",TODAY()-8,$E328),TODAY()-8)-($D328+MOD(SISTEM!$F$8-WEEKDAY($D328,2),7)))/7)+1)))</f>
        <v/>
      </c>
      <c r="K328" s="222">
        <f>IF(OR($C328="",$D328="",$G328="",$F328=""),0,$G328*IF($F328="Aylık",MAX(0,(YEAR(MIN(IF($E328="",TODAY()-15,$E328),TODAY()-15))-YEAR($D328))*12+MONTH(MIN(IF($E328="",TODAY()-15,$E328),TODAY()-15))-MONTH($D328)+IF(MIN(IF($E328="",TODAY()-15,$E328),TODAY()-15)&gt;=EOMONTH(MIN(IF($E328="",TODAY()-15,$E328),TODAY()-15),0),1,0)),MAX(0,INT((MIN(IF($E328="",TODAY()-15,$E328),TODAY()-15)-($D328+MOD(SISTEM!$F$8-WEEKDAY($D328,2),7)))/7)+1)))</f>
        <v/>
      </c>
      <c r="L328" s="222">
        <f>IF(OR($C328="",$D328="",$G328="",$F328=""),0,$G328*IF($F328="Aylık",MAX(0,(YEAR(MIN(IF($E328="",TODAY()-29,$E328),TODAY()-29))-YEAR($D328))*12+MONTH(MIN(IF($E328="",TODAY()-29,$E328),TODAY()-29))-MONTH($D328)+IF(MIN(IF($E328="",TODAY()-29,$E328),TODAY()-29)&gt;=EOMONTH(MIN(IF($E328="",TODAY()-29,$E328),TODAY()-29),0),1,0)),MAX(0,INT((MIN(IF($E328="",TODAY()-29,$E328),TODAY()-29)-($D328+MOD(SISTEM!$F$8-WEEKDAY($D328,2),7)))/7)+1)))</f>
        <v/>
      </c>
      <c r="M328" s="223">
        <f>IF($G328&gt;0,$I328/$G328,0)</f>
        <v/>
      </c>
      <c r="N328" s="113">
        <f>IF($C328="","",IF($B328="TANIMSIZ MÜŞTERİ","TANIMSIZ MÜŞTERİ",IF($F328="","MODEL SEÇİN",IF(OR($D328="",$G328&lt;=0),"EKSİK",IF(AND($E328&lt;&gt;"",$E328&lt;$D328),"TARİH HATASI",IF($H328="Pasif","KAPALI DÖNEM","UYGUN"))))))</f>
        <v/>
      </c>
      <c r="O328" s="224">
        <f>IF(OR($C328="",$D328="",$F328=""),"",IF($F328="Aylık",EOMONTH($D328,0),($D328+MOD(SISTEM!$F$8-WEEKDAY($D328,2),7))))</f>
        <v/>
      </c>
      <c r="P328" s="109" t="n"/>
      <c r="Q328" s="6" t="n"/>
      <c r="R328" s="6" t="n"/>
      <c r="S328" s="3">
        <f>IF($B328="","",$B328&amp;"|"&amp;COUNTIFS($B$7:$B328,$B328))</f>
        <v/>
      </c>
      <c r="T328" s="3">
        <f>IF($C328="","",UPPER(SUBSTITUTE(SUBSTITUTE(SUBSTITUTE(SUBSTITUTE(SUBSTITUTE(SUBSTITUTE(SUBSTITUTE(SUBSTITUTE(SUBSTITUTE(SUBSTITUTE(SUBSTITUTE(SUBSTITUTE(SUBSTITUTE(SUBSTITUTE(SUBSTITUTE(SUBSTITUTE(SUBSTITUTE(SUBSTITUTE(TRIM($C328),"'",""),"İ","I"),"ı","I"),"i","I"),"Ş","S"),"ş","S"),"Ğ","G"),"ğ","G"),"Ü","U"),"ü","U"),"Ö","O"),"ö","O"),"Ç","C"),"ç","C"),".",""),",","")," ",""),"-","")))</f>
        <v/>
      </c>
    </row>
    <row r="329">
      <c r="A329" s="6" t="n"/>
      <c r="B329" s="113">
        <f>IF($C329="","",IFERROR(INDEX(MUSTERILER!$B$7:$B$106,MATCH($T329,MUSTERILER!$T$7:$T$106,0)),IFERROR(INDEX(MUSTERILER!$B$7:$B$106,MATCH($C329,MUSTERILER!$B$7:$B$106,0)),IFERROR(INDEX(MUSTERILER!$B$7:$B$106,MATCH($T329&amp;"*",MUSTERILER!$T$7:$T$106,0)),"TANIMSIZ MÜŞTERİ"))))</f>
        <v/>
      </c>
      <c r="C329" s="109" t="n"/>
      <c r="D329" s="220" t="n"/>
      <c r="E329" s="220" t="n"/>
      <c r="F329" s="108" t="n"/>
      <c r="G329" s="221" t="n"/>
      <c r="H329" s="108" t="n"/>
      <c r="I329" s="222">
        <f>IF(OR($C329="",$D329="",$G329="",$F329=""),0,$G329*IF($F329="Aylık",MAX(0,(YEAR(MIN(IF($E329="",TODAY(),$E329),TODAY()))-YEAR($D329))*12+MONTH(MIN(IF($E329="",TODAY(),$E329),TODAY()))-MONTH($D329)+IF(MIN(IF($E329="",TODAY(),$E329),TODAY())&gt;=EOMONTH(MIN(IF($E329="",TODAY(),$E329),TODAY()),0),1,0)),MAX(0,INT((MIN(IF($E329="",TODAY(),$E329),TODAY())-($D329+MOD(SISTEM!$F$8-WEEKDAY($D329,2),7)))/7)+1)))</f>
        <v/>
      </c>
      <c r="J329" s="222">
        <f>IF(OR($C329="",$D329="",$G329="",$F329=""),0,$G329*IF($F329="Aylık",MAX(0,(YEAR(MIN(IF($E329="",TODAY()-8,$E329),TODAY()-8))-YEAR($D329))*12+MONTH(MIN(IF($E329="",TODAY()-8,$E329),TODAY()-8))-MONTH($D329)+IF(MIN(IF($E329="",TODAY()-8,$E329),TODAY()-8)&gt;=EOMONTH(MIN(IF($E329="",TODAY()-8,$E329),TODAY()-8),0),1,0)),MAX(0,INT((MIN(IF($E329="",TODAY()-8,$E329),TODAY()-8)-($D329+MOD(SISTEM!$F$8-WEEKDAY($D329,2),7)))/7)+1)))</f>
        <v/>
      </c>
      <c r="K329" s="222">
        <f>IF(OR($C329="",$D329="",$G329="",$F329=""),0,$G329*IF($F329="Aylık",MAX(0,(YEAR(MIN(IF($E329="",TODAY()-15,$E329),TODAY()-15))-YEAR($D329))*12+MONTH(MIN(IF($E329="",TODAY()-15,$E329),TODAY()-15))-MONTH($D329)+IF(MIN(IF($E329="",TODAY()-15,$E329),TODAY()-15)&gt;=EOMONTH(MIN(IF($E329="",TODAY()-15,$E329),TODAY()-15),0),1,0)),MAX(0,INT((MIN(IF($E329="",TODAY()-15,$E329),TODAY()-15)-($D329+MOD(SISTEM!$F$8-WEEKDAY($D329,2),7)))/7)+1)))</f>
        <v/>
      </c>
      <c r="L329" s="222">
        <f>IF(OR($C329="",$D329="",$G329="",$F329=""),0,$G329*IF($F329="Aylık",MAX(0,(YEAR(MIN(IF($E329="",TODAY()-29,$E329),TODAY()-29))-YEAR($D329))*12+MONTH(MIN(IF($E329="",TODAY()-29,$E329),TODAY()-29))-MONTH($D329)+IF(MIN(IF($E329="",TODAY()-29,$E329),TODAY()-29)&gt;=EOMONTH(MIN(IF($E329="",TODAY()-29,$E329),TODAY()-29),0),1,0)),MAX(0,INT((MIN(IF($E329="",TODAY()-29,$E329),TODAY()-29)-($D329+MOD(SISTEM!$F$8-WEEKDAY($D329,2),7)))/7)+1)))</f>
        <v/>
      </c>
      <c r="M329" s="223">
        <f>IF($G329&gt;0,$I329/$G329,0)</f>
        <v/>
      </c>
      <c r="N329" s="113">
        <f>IF($C329="","",IF($B329="TANIMSIZ MÜŞTERİ","TANIMSIZ MÜŞTERİ",IF($F329="","MODEL SEÇİN",IF(OR($D329="",$G329&lt;=0),"EKSİK",IF(AND($E329&lt;&gt;"",$E329&lt;$D329),"TARİH HATASI",IF($H329="Pasif","KAPALI DÖNEM","UYGUN"))))))</f>
        <v/>
      </c>
      <c r="O329" s="224">
        <f>IF(OR($C329="",$D329="",$F329=""),"",IF($F329="Aylık",EOMONTH($D329,0),($D329+MOD(SISTEM!$F$8-WEEKDAY($D329,2),7))))</f>
        <v/>
      </c>
      <c r="P329" s="109" t="n"/>
      <c r="Q329" s="6" t="n"/>
      <c r="R329" s="6" t="n"/>
      <c r="S329" s="3">
        <f>IF($B329="","",$B329&amp;"|"&amp;COUNTIFS($B$7:$B329,$B329))</f>
        <v/>
      </c>
      <c r="T329" s="3">
        <f>IF($C329="","",UPPER(SUBSTITUTE(SUBSTITUTE(SUBSTITUTE(SUBSTITUTE(SUBSTITUTE(SUBSTITUTE(SUBSTITUTE(SUBSTITUTE(SUBSTITUTE(SUBSTITUTE(SUBSTITUTE(SUBSTITUTE(SUBSTITUTE(SUBSTITUTE(SUBSTITUTE(SUBSTITUTE(SUBSTITUTE(SUBSTITUTE(TRIM($C329),"'",""),"İ","I"),"ı","I"),"i","I"),"Ş","S"),"ş","S"),"Ğ","G"),"ğ","G"),"Ü","U"),"ü","U"),"Ö","O"),"ö","O"),"Ç","C"),"ç","C"),".",""),",","")," ",""),"-","")))</f>
        <v/>
      </c>
    </row>
    <row r="330">
      <c r="A330" s="6" t="n"/>
      <c r="B330" s="113">
        <f>IF($C330="","",IFERROR(INDEX(MUSTERILER!$B$7:$B$106,MATCH($T330,MUSTERILER!$T$7:$T$106,0)),IFERROR(INDEX(MUSTERILER!$B$7:$B$106,MATCH($C330,MUSTERILER!$B$7:$B$106,0)),IFERROR(INDEX(MUSTERILER!$B$7:$B$106,MATCH($T330&amp;"*",MUSTERILER!$T$7:$T$106,0)),"TANIMSIZ MÜŞTERİ"))))</f>
        <v/>
      </c>
      <c r="C330" s="109" t="n"/>
      <c r="D330" s="220" t="n"/>
      <c r="E330" s="220" t="n"/>
      <c r="F330" s="108" t="n"/>
      <c r="G330" s="221" t="n"/>
      <c r="H330" s="108" t="n"/>
      <c r="I330" s="222">
        <f>IF(OR($C330="",$D330="",$G330="",$F330=""),0,$G330*IF($F330="Aylık",MAX(0,(YEAR(MIN(IF($E330="",TODAY(),$E330),TODAY()))-YEAR($D330))*12+MONTH(MIN(IF($E330="",TODAY(),$E330),TODAY()))-MONTH($D330)+IF(MIN(IF($E330="",TODAY(),$E330),TODAY())&gt;=EOMONTH(MIN(IF($E330="",TODAY(),$E330),TODAY()),0),1,0)),MAX(0,INT((MIN(IF($E330="",TODAY(),$E330),TODAY())-($D330+MOD(SISTEM!$F$8-WEEKDAY($D330,2),7)))/7)+1)))</f>
        <v/>
      </c>
      <c r="J330" s="222">
        <f>IF(OR($C330="",$D330="",$G330="",$F330=""),0,$G330*IF($F330="Aylık",MAX(0,(YEAR(MIN(IF($E330="",TODAY()-8,$E330),TODAY()-8))-YEAR($D330))*12+MONTH(MIN(IF($E330="",TODAY()-8,$E330),TODAY()-8))-MONTH($D330)+IF(MIN(IF($E330="",TODAY()-8,$E330),TODAY()-8)&gt;=EOMONTH(MIN(IF($E330="",TODAY()-8,$E330),TODAY()-8),0),1,0)),MAX(0,INT((MIN(IF($E330="",TODAY()-8,$E330),TODAY()-8)-($D330+MOD(SISTEM!$F$8-WEEKDAY($D330,2),7)))/7)+1)))</f>
        <v/>
      </c>
      <c r="K330" s="222">
        <f>IF(OR($C330="",$D330="",$G330="",$F330=""),0,$G330*IF($F330="Aylık",MAX(0,(YEAR(MIN(IF($E330="",TODAY()-15,$E330),TODAY()-15))-YEAR($D330))*12+MONTH(MIN(IF($E330="",TODAY()-15,$E330),TODAY()-15))-MONTH($D330)+IF(MIN(IF($E330="",TODAY()-15,$E330),TODAY()-15)&gt;=EOMONTH(MIN(IF($E330="",TODAY()-15,$E330),TODAY()-15),0),1,0)),MAX(0,INT((MIN(IF($E330="",TODAY()-15,$E330),TODAY()-15)-($D330+MOD(SISTEM!$F$8-WEEKDAY($D330,2),7)))/7)+1)))</f>
        <v/>
      </c>
      <c r="L330" s="222">
        <f>IF(OR($C330="",$D330="",$G330="",$F330=""),0,$G330*IF($F330="Aylık",MAX(0,(YEAR(MIN(IF($E330="",TODAY()-29,$E330),TODAY()-29))-YEAR($D330))*12+MONTH(MIN(IF($E330="",TODAY()-29,$E330),TODAY()-29))-MONTH($D330)+IF(MIN(IF($E330="",TODAY()-29,$E330),TODAY()-29)&gt;=EOMONTH(MIN(IF($E330="",TODAY()-29,$E330),TODAY()-29),0),1,0)),MAX(0,INT((MIN(IF($E330="",TODAY()-29,$E330),TODAY()-29)-($D330+MOD(SISTEM!$F$8-WEEKDAY($D330,2),7)))/7)+1)))</f>
        <v/>
      </c>
      <c r="M330" s="223">
        <f>IF($G330&gt;0,$I330/$G330,0)</f>
        <v/>
      </c>
      <c r="N330" s="113">
        <f>IF($C330="","",IF($B330="TANIMSIZ MÜŞTERİ","TANIMSIZ MÜŞTERİ",IF($F330="","MODEL SEÇİN",IF(OR($D330="",$G330&lt;=0),"EKSİK",IF(AND($E330&lt;&gt;"",$E330&lt;$D330),"TARİH HATASI",IF($H330="Pasif","KAPALI DÖNEM","UYGUN"))))))</f>
        <v/>
      </c>
      <c r="O330" s="224">
        <f>IF(OR($C330="",$D330="",$F330=""),"",IF($F330="Aylık",EOMONTH($D330,0),($D330+MOD(SISTEM!$F$8-WEEKDAY($D330,2),7))))</f>
        <v/>
      </c>
      <c r="P330" s="109" t="n"/>
      <c r="Q330" s="6" t="n"/>
      <c r="R330" s="6" t="n"/>
      <c r="S330" s="3">
        <f>IF($B330="","",$B330&amp;"|"&amp;COUNTIFS($B$7:$B330,$B330))</f>
        <v/>
      </c>
      <c r="T330" s="3">
        <f>IF($C330="","",UPPER(SUBSTITUTE(SUBSTITUTE(SUBSTITUTE(SUBSTITUTE(SUBSTITUTE(SUBSTITUTE(SUBSTITUTE(SUBSTITUTE(SUBSTITUTE(SUBSTITUTE(SUBSTITUTE(SUBSTITUTE(SUBSTITUTE(SUBSTITUTE(SUBSTITUTE(SUBSTITUTE(SUBSTITUTE(SUBSTITUTE(TRIM($C330),"'",""),"İ","I"),"ı","I"),"i","I"),"Ş","S"),"ş","S"),"Ğ","G"),"ğ","G"),"Ü","U"),"ü","U"),"Ö","O"),"ö","O"),"Ç","C"),"ç","C"),".",""),",","")," ",""),"-","")))</f>
        <v/>
      </c>
    </row>
    <row r="331">
      <c r="A331" s="6" t="n"/>
      <c r="B331" s="113">
        <f>IF($C331="","",IFERROR(INDEX(MUSTERILER!$B$7:$B$106,MATCH($T331,MUSTERILER!$T$7:$T$106,0)),IFERROR(INDEX(MUSTERILER!$B$7:$B$106,MATCH($C331,MUSTERILER!$B$7:$B$106,0)),IFERROR(INDEX(MUSTERILER!$B$7:$B$106,MATCH($T331&amp;"*",MUSTERILER!$T$7:$T$106,0)),"TANIMSIZ MÜŞTERİ"))))</f>
        <v/>
      </c>
      <c r="C331" s="109" t="n"/>
      <c r="D331" s="220" t="n"/>
      <c r="E331" s="220" t="n"/>
      <c r="F331" s="108" t="n"/>
      <c r="G331" s="221" t="n"/>
      <c r="H331" s="108" t="n"/>
      <c r="I331" s="222">
        <f>IF(OR($C331="",$D331="",$G331="",$F331=""),0,$G331*IF($F331="Aylık",MAX(0,(YEAR(MIN(IF($E331="",TODAY(),$E331),TODAY()))-YEAR($D331))*12+MONTH(MIN(IF($E331="",TODAY(),$E331),TODAY()))-MONTH($D331)+IF(MIN(IF($E331="",TODAY(),$E331),TODAY())&gt;=EOMONTH(MIN(IF($E331="",TODAY(),$E331),TODAY()),0),1,0)),MAX(0,INT((MIN(IF($E331="",TODAY(),$E331),TODAY())-($D331+MOD(SISTEM!$F$8-WEEKDAY($D331,2),7)))/7)+1)))</f>
        <v/>
      </c>
      <c r="J331" s="222">
        <f>IF(OR($C331="",$D331="",$G331="",$F331=""),0,$G331*IF($F331="Aylık",MAX(0,(YEAR(MIN(IF($E331="",TODAY()-8,$E331),TODAY()-8))-YEAR($D331))*12+MONTH(MIN(IF($E331="",TODAY()-8,$E331),TODAY()-8))-MONTH($D331)+IF(MIN(IF($E331="",TODAY()-8,$E331),TODAY()-8)&gt;=EOMONTH(MIN(IF($E331="",TODAY()-8,$E331),TODAY()-8),0),1,0)),MAX(0,INT((MIN(IF($E331="",TODAY()-8,$E331),TODAY()-8)-($D331+MOD(SISTEM!$F$8-WEEKDAY($D331,2),7)))/7)+1)))</f>
        <v/>
      </c>
      <c r="K331" s="222">
        <f>IF(OR($C331="",$D331="",$G331="",$F331=""),0,$G331*IF($F331="Aylık",MAX(0,(YEAR(MIN(IF($E331="",TODAY()-15,$E331),TODAY()-15))-YEAR($D331))*12+MONTH(MIN(IF($E331="",TODAY()-15,$E331),TODAY()-15))-MONTH($D331)+IF(MIN(IF($E331="",TODAY()-15,$E331),TODAY()-15)&gt;=EOMONTH(MIN(IF($E331="",TODAY()-15,$E331),TODAY()-15),0),1,0)),MAX(0,INT((MIN(IF($E331="",TODAY()-15,$E331),TODAY()-15)-($D331+MOD(SISTEM!$F$8-WEEKDAY($D331,2),7)))/7)+1)))</f>
        <v/>
      </c>
      <c r="L331" s="222">
        <f>IF(OR($C331="",$D331="",$G331="",$F331=""),0,$G331*IF($F331="Aylık",MAX(0,(YEAR(MIN(IF($E331="",TODAY()-29,$E331),TODAY()-29))-YEAR($D331))*12+MONTH(MIN(IF($E331="",TODAY()-29,$E331),TODAY()-29))-MONTH($D331)+IF(MIN(IF($E331="",TODAY()-29,$E331),TODAY()-29)&gt;=EOMONTH(MIN(IF($E331="",TODAY()-29,$E331),TODAY()-29),0),1,0)),MAX(0,INT((MIN(IF($E331="",TODAY()-29,$E331),TODAY()-29)-($D331+MOD(SISTEM!$F$8-WEEKDAY($D331,2),7)))/7)+1)))</f>
        <v/>
      </c>
      <c r="M331" s="223">
        <f>IF($G331&gt;0,$I331/$G331,0)</f>
        <v/>
      </c>
      <c r="N331" s="113">
        <f>IF($C331="","",IF($B331="TANIMSIZ MÜŞTERİ","TANIMSIZ MÜŞTERİ",IF($F331="","MODEL SEÇİN",IF(OR($D331="",$G331&lt;=0),"EKSİK",IF(AND($E331&lt;&gt;"",$E331&lt;$D331),"TARİH HATASI",IF($H331="Pasif","KAPALI DÖNEM","UYGUN"))))))</f>
        <v/>
      </c>
      <c r="O331" s="224">
        <f>IF(OR($C331="",$D331="",$F331=""),"",IF($F331="Aylık",EOMONTH($D331,0),($D331+MOD(SISTEM!$F$8-WEEKDAY($D331,2),7))))</f>
        <v/>
      </c>
      <c r="P331" s="109" t="n"/>
      <c r="Q331" s="6" t="n"/>
      <c r="R331" s="6" t="n"/>
      <c r="S331" s="3">
        <f>IF($B331="","",$B331&amp;"|"&amp;COUNTIFS($B$7:$B331,$B331))</f>
        <v/>
      </c>
      <c r="T331" s="3">
        <f>IF($C331="","",UPPER(SUBSTITUTE(SUBSTITUTE(SUBSTITUTE(SUBSTITUTE(SUBSTITUTE(SUBSTITUTE(SUBSTITUTE(SUBSTITUTE(SUBSTITUTE(SUBSTITUTE(SUBSTITUTE(SUBSTITUTE(SUBSTITUTE(SUBSTITUTE(SUBSTITUTE(SUBSTITUTE(SUBSTITUTE(SUBSTITUTE(TRIM($C331),"'",""),"İ","I"),"ı","I"),"i","I"),"Ş","S"),"ş","S"),"Ğ","G"),"ğ","G"),"Ü","U"),"ü","U"),"Ö","O"),"ö","O"),"Ç","C"),"ç","C"),".",""),",","")," ",""),"-","")))</f>
        <v/>
      </c>
    </row>
    <row r="332">
      <c r="A332" s="6" t="n"/>
      <c r="B332" s="113">
        <f>IF($C332="","",IFERROR(INDEX(MUSTERILER!$B$7:$B$106,MATCH($T332,MUSTERILER!$T$7:$T$106,0)),IFERROR(INDEX(MUSTERILER!$B$7:$B$106,MATCH($C332,MUSTERILER!$B$7:$B$106,0)),IFERROR(INDEX(MUSTERILER!$B$7:$B$106,MATCH($T332&amp;"*",MUSTERILER!$T$7:$T$106,0)),"TANIMSIZ MÜŞTERİ"))))</f>
        <v/>
      </c>
      <c r="C332" s="109" t="n"/>
      <c r="D332" s="220" t="n"/>
      <c r="E332" s="220" t="n"/>
      <c r="F332" s="108" t="n"/>
      <c r="G332" s="221" t="n"/>
      <c r="H332" s="108" t="n"/>
      <c r="I332" s="222">
        <f>IF(OR($C332="",$D332="",$G332="",$F332=""),0,$G332*IF($F332="Aylık",MAX(0,(YEAR(MIN(IF($E332="",TODAY(),$E332),TODAY()))-YEAR($D332))*12+MONTH(MIN(IF($E332="",TODAY(),$E332),TODAY()))-MONTH($D332)+IF(MIN(IF($E332="",TODAY(),$E332),TODAY())&gt;=EOMONTH(MIN(IF($E332="",TODAY(),$E332),TODAY()),0),1,0)),MAX(0,INT((MIN(IF($E332="",TODAY(),$E332),TODAY())-($D332+MOD(SISTEM!$F$8-WEEKDAY($D332,2),7)))/7)+1)))</f>
        <v/>
      </c>
      <c r="J332" s="222">
        <f>IF(OR($C332="",$D332="",$G332="",$F332=""),0,$G332*IF($F332="Aylık",MAX(0,(YEAR(MIN(IF($E332="",TODAY()-8,$E332),TODAY()-8))-YEAR($D332))*12+MONTH(MIN(IF($E332="",TODAY()-8,$E332),TODAY()-8))-MONTH($D332)+IF(MIN(IF($E332="",TODAY()-8,$E332),TODAY()-8)&gt;=EOMONTH(MIN(IF($E332="",TODAY()-8,$E332),TODAY()-8),0),1,0)),MAX(0,INT((MIN(IF($E332="",TODAY()-8,$E332),TODAY()-8)-($D332+MOD(SISTEM!$F$8-WEEKDAY($D332,2),7)))/7)+1)))</f>
        <v/>
      </c>
      <c r="K332" s="222">
        <f>IF(OR($C332="",$D332="",$G332="",$F332=""),0,$G332*IF($F332="Aylık",MAX(0,(YEAR(MIN(IF($E332="",TODAY()-15,$E332),TODAY()-15))-YEAR($D332))*12+MONTH(MIN(IF($E332="",TODAY()-15,$E332),TODAY()-15))-MONTH($D332)+IF(MIN(IF($E332="",TODAY()-15,$E332),TODAY()-15)&gt;=EOMONTH(MIN(IF($E332="",TODAY()-15,$E332),TODAY()-15),0),1,0)),MAX(0,INT((MIN(IF($E332="",TODAY()-15,$E332),TODAY()-15)-($D332+MOD(SISTEM!$F$8-WEEKDAY($D332,2),7)))/7)+1)))</f>
        <v/>
      </c>
      <c r="L332" s="222">
        <f>IF(OR($C332="",$D332="",$G332="",$F332=""),0,$G332*IF($F332="Aylık",MAX(0,(YEAR(MIN(IF($E332="",TODAY()-29,$E332),TODAY()-29))-YEAR($D332))*12+MONTH(MIN(IF($E332="",TODAY()-29,$E332),TODAY()-29))-MONTH($D332)+IF(MIN(IF($E332="",TODAY()-29,$E332),TODAY()-29)&gt;=EOMONTH(MIN(IF($E332="",TODAY()-29,$E332),TODAY()-29),0),1,0)),MAX(0,INT((MIN(IF($E332="",TODAY()-29,$E332),TODAY()-29)-($D332+MOD(SISTEM!$F$8-WEEKDAY($D332,2),7)))/7)+1)))</f>
        <v/>
      </c>
      <c r="M332" s="223">
        <f>IF($G332&gt;0,$I332/$G332,0)</f>
        <v/>
      </c>
      <c r="N332" s="113">
        <f>IF($C332="","",IF($B332="TANIMSIZ MÜŞTERİ","TANIMSIZ MÜŞTERİ",IF($F332="","MODEL SEÇİN",IF(OR($D332="",$G332&lt;=0),"EKSİK",IF(AND($E332&lt;&gt;"",$E332&lt;$D332),"TARİH HATASI",IF($H332="Pasif","KAPALI DÖNEM","UYGUN"))))))</f>
        <v/>
      </c>
      <c r="O332" s="224">
        <f>IF(OR($C332="",$D332="",$F332=""),"",IF($F332="Aylık",EOMONTH($D332,0),($D332+MOD(SISTEM!$F$8-WEEKDAY($D332,2),7))))</f>
        <v/>
      </c>
      <c r="P332" s="109" t="n"/>
      <c r="Q332" s="6" t="n"/>
      <c r="R332" s="6" t="n"/>
      <c r="S332" s="3">
        <f>IF($B332="","",$B332&amp;"|"&amp;COUNTIFS($B$7:$B332,$B332))</f>
        <v/>
      </c>
      <c r="T332" s="3">
        <f>IF($C332="","",UPPER(SUBSTITUTE(SUBSTITUTE(SUBSTITUTE(SUBSTITUTE(SUBSTITUTE(SUBSTITUTE(SUBSTITUTE(SUBSTITUTE(SUBSTITUTE(SUBSTITUTE(SUBSTITUTE(SUBSTITUTE(SUBSTITUTE(SUBSTITUTE(SUBSTITUTE(SUBSTITUTE(SUBSTITUTE(SUBSTITUTE(TRIM($C332),"'",""),"İ","I"),"ı","I"),"i","I"),"Ş","S"),"ş","S"),"Ğ","G"),"ğ","G"),"Ü","U"),"ü","U"),"Ö","O"),"ö","O"),"Ç","C"),"ç","C"),".",""),",","")," ",""),"-","")))</f>
        <v/>
      </c>
    </row>
    <row r="333">
      <c r="A333" s="6" t="n"/>
      <c r="B333" s="113">
        <f>IF($C333="","",IFERROR(INDEX(MUSTERILER!$B$7:$B$106,MATCH($T333,MUSTERILER!$T$7:$T$106,0)),IFERROR(INDEX(MUSTERILER!$B$7:$B$106,MATCH($C333,MUSTERILER!$B$7:$B$106,0)),IFERROR(INDEX(MUSTERILER!$B$7:$B$106,MATCH($T333&amp;"*",MUSTERILER!$T$7:$T$106,0)),"TANIMSIZ MÜŞTERİ"))))</f>
        <v/>
      </c>
      <c r="C333" s="109" t="n"/>
      <c r="D333" s="220" t="n"/>
      <c r="E333" s="220" t="n"/>
      <c r="F333" s="108" t="n"/>
      <c r="G333" s="221" t="n"/>
      <c r="H333" s="108" t="n"/>
      <c r="I333" s="222">
        <f>IF(OR($C333="",$D333="",$G333="",$F333=""),0,$G333*IF($F333="Aylık",MAX(0,(YEAR(MIN(IF($E333="",TODAY(),$E333),TODAY()))-YEAR($D333))*12+MONTH(MIN(IF($E333="",TODAY(),$E333),TODAY()))-MONTH($D333)+IF(MIN(IF($E333="",TODAY(),$E333),TODAY())&gt;=EOMONTH(MIN(IF($E333="",TODAY(),$E333),TODAY()),0),1,0)),MAX(0,INT((MIN(IF($E333="",TODAY(),$E333),TODAY())-($D333+MOD(SISTEM!$F$8-WEEKDAY($D333,2),7)))/7)+1)))</f>
        <v/>
      </c>
      <c r="J333" s="222">
        <f>IF(OR($C333="",$D333="",$G333="",$F333=""),0,$G333*IF($F333="Aylık",MAX(0,(YEAR(MIN(IF($E333="",TODAY()-8,$E333),TODAY()-8))-YEAR($D333))*12+MONTH(MIN(IF($E333="",TODAY()-8,$E333),TODAY()-8))-MONTH($D333)+IF(MIN(IF($E333="",TODAY()-8,$E333),TODAY()-8)&gt;=EOMONTH(MIN(IF($E333="",TODAY()-8,$E333),TODAY()-8),0),1,0)),MAX(0,INT((MIN(IF($E333="",TODAY()-8,$E333),TODAY()-8)-($D333+MOD(SISTEM!$F$8-WEEKDAY($D333,2),7)))/7)+1)))</f>
        <v/>
      </c>
      <c r="K333" s="222">
        <f>IF(OR($C333="",$D333="",$G333="",$F333=""),0,$G333*IF($F333="Aylık",MAX(0,(YEAR(MIN(IF($E333="",TODAY()-15,$E333),TODAY()-15))-YEAR($D333))*12+MONTH(MIN(IF($E333="",TODAY()-15,$E333),TODAY()-15))-MONTH($D333)+IF(MIN(IF($E333="",TODAY()-15,$E333),TODAY()-15)&gt;=EOMONTH(MIN(IF($E333="",TODAY()-15,$E333),TODAY()-15),0),1,0)),MAX(0,INT((MIN(IF($E333="",TODAY()-15,$E333),TODAY()-15)-($D333+MOD(SISTEM!$F$8-WEEKDAY($D333,2),7)))/7)+1)))</f>
        <v/>
      </c>
      <c r="L333" s="222">
        <f>IF(OR($C333="",$D333="",$G333="",$F333=""),0,$G333*IF($F333="Aylık",MAX(0,(YEAR(MIN(IF($E333="",TODAY()-29,$E333),TODAY()-29))-YEAR($D333))*12+MONTH(MIN(IF($E333="",TODAY()-29,$E333),TODAY()-29))-MONTH($D333)+IF(MIN(IF($E333="",TODAY()-29,$E333),TODAY()-29)&gt;=EOMONTH(MIN(IF($E333="",TODAY()-29,$E333),TODAY()-29),0),1,0)),MAX(0,INT((MIN(IF($E333="",TODAY()-29,$E333),TODAY()-29)-($D333+MOD(SISTEM!$F$8-WEEKDAY($D333,2),7)))/7)+1)))</f>
        <v/>
      </c>
      <c r="M333" s="223">
        <f>IF($G333&gt;0,$I333/$G333,0)</f>
        <v/>
      </c>
      <c r="N333" s="113">
        <f>IF($C333="","",IF($B333="TANIMSIZ MÜŞTERİ","TANIMSIZ MÜŞTERİ",IF($F333="","MODEL SEÇİN",IF(OR($D333="",$G333&lt;=0),"EKSİK",IF(AND($E333&lt;&gt;"",$E333&lt;$D333),"TARİH HATASI",IF($H333="Pasif","KAPALI DÖNEM","UYGUN"))))))</f>
        <v/>
      </c>
      <c r="O333" s="224">
        <f>IF(OR($C333="",$D333="",$F333=""),"",IF($F333="Aylık",EOMONTH($D333,0),($D333+MOD(SISTEM!$F$8-WEEKDAY($D333,2),7))))</f>
        <v/>
      </c>
      <c r="P333" s="109" t="n"/>
      <c r="Q333" s="6" t="n"/>
      <c r="R333" s="6" t="n"/>
      <c r="S333" s="3">
        <f>IF($B333="","",$B333&amp;"|"&amp;COUNTIFS($B$7:$B333,$B333))</f>
        <v/>
      </c>
      <c r="T333" s="3">
        <f>IF($C333="","",UPPER(SUBSTITUTE(SUBSTITUTE(SUBSTITUTE(SUBSTITUTE(SUBSTITUTE(SUBSTITUTE(SUBSTITUTE(SUBSTITUTE(SUBSTITUTE(SUBSTITUTE(SUBSTITUTE(SUBSTITUTE(SUBSTITUTE(SUBSTITUTE(SUBSTITUTE(SUBSTITUTE(SUBSTITUTE(SUBSTITUTE(TRIM($C333),"'",""),"İ","I"),"ı","I"),"i","I"),"Ş","S"),"ş","S"),"Ğ","G"),"ğ","G"),"Ü","U"),"ü","U"),"Ö","O"),"ö","O"),"Ç","C"),"ç","C"),".",""),",","")," ",""),"-","")))</f>
        <v/>
      </c>
    </row>
    <row r="334">
      <c r="A334" s="6" t="n"/>
      <c r="B334" s="113">
        <f>IF($C334="","",IFERROR(INDEX(MUSTERILER!$B$7:$B$106,MATCH($T334,MUSTERILER!$T$7:$T$106,0)),IFERROR(INDEX(MUSTERILER!$B$7:$B$106,MATCH($C334,MUSTERILER!$B$7:$B$106,0)),IFERROR(INDEX(MUSTERILER!$B$7:$B$106,MATCH($T334&amp;"*",MUSTERILER!$T$7:$T$106,0)),"TANIMSIZ MÜŞTERİ"))))</f>
        <v/>
      </c>
      <c r="C334" s="109" t="n"/>
      <c r="D334" s="220" t="n"/>
      <c r="E334" s="220" t="n"/>
      <c r="F334" s="108" t="n"/>
      <c r="G334" s="221" t="n"/>
      <c r="H334" s="108" t="n"/>
      <c r="I334" s="222">
        <f>IF(OR($C334="",$D334="",$G334="",$F334=""),0,$G334*IF($F334="Aylık",MAX(0,(YEAR(MIN(IF($E334="",TODAY(),$E334),TODAY()))-YEAR($D334))*12+MONTH(MIN(IF($E334="",TODAY(),$E334),TODAY()))-MONTH($D334)+IF(MIN(IF($E334="",TODAY(),$E334),TODAY())&gt;=EOMONTH(MIN(IF($E334="",TODAY(),$E334),TODAY()),0),1,0)),MAX(0,INT((MIN(IF($E334="",TODAY(),$E334),TODAY())-($D334+MOD(SISTEM!$F$8-WEEKDAY($D334,2),7)))/7)+1)))</f>
        <v/>
      </c>
      <c r="J334" s="222">
        <f>IF(OR($C334="",$D334="",$G334="",$F334=""),0,$G334*IF($F334="Aylık",MAX(0,(YEAR(MIN(IF($E334="",TODAY()-8,$E334),TODAY()-8))-YEAR($D334))*12+MONTH(MIN(IF($E334="",TODAY()-8,$E334),TODAY()-8))-MONTH($D334)+IF(MIN(IF($E334="",TODAY()-8,$E334),TODAY()-8)&gt;=EOMONTH(MIN(IF($E334="",TODAY()-8,$E334),TODAY()-8),0),1,0)),MAX(0,INT((MIN(IF($E334="",TODAY()-8,$E334),TODAY()-8)-($D334+MOD(SISTEM!$F$8-WEEKDAY($D334,2),7)))/7)+1)))</f>
        <v/>
      </c>
      <c r="K334" s="222">
        <f>IF(OR($C334="",$D334="",$G334="",$F334=""),0,$G334*IF($F334="Aylık",MAX(0,(YEAR(MIN(IF($E334="",TODAY()-15,$E334),TODAY()-15))-YEAR($D334))*12+MONTH(MIN(IF($E334="",TODAY()-15,$E334),TODAY()-15))-MONTH($D334)+IF(MIN(IF($E334="",TODAY()-15,$E334),TODAY()-15)&gt;=EOMONTH(MIN(IF($E334="",TODAY()-15,$E334),TODAY()-15),0),1,0)),MAX(0,INT((MIN(IF($E334="",TODAY()-15,$E334),TODAY()-15)-($D334+MOD(SISTEM!$F$8-WEEKDAY($D334,2),7)))/7)+1)))</f>
        <v/>
      </c>
      <c r="L334" s="222">
        <f>IF(OR($C334="",$D334="",$G334="",$F334=""),0,$G334*IF($F334="Aylık",MAX(0,(YEAR(MIN(IF($E334="",TODAY()-29,$E334),TODAY()-29))-YEAR($D334))*12+MONTH(MIN(IF($E334="",TODAY()-29,$E334),TODAY()-29))-MONTH($D334)+IF(MIN(IF($E334="",TODAY()-29,$E334),TODAY()-29)&gt;=EOMONTH(MIN(IF($E334="",TODAY()-29,$E334),TODAY()-29),0),1,0)),MAX(0,INT((MIN(IF($E334="",TODAY()-29,$E334),TODAY()-29)-($D334+MOD(SISTEM!$F$8-WEEKDAY($D334,2),7)))/7)+1)))</f>
        <v/>
      </c>
      <c r="M334" s="223">
        <f>IF($G334&gt;0,$I334/$G334,0)</f>
        <v/>
      </c>
      <c r="N334" s="113">
        <f>IF($C334="","",IF($B334="TANIMSIZ MÜŞTERİ","TANIMSIZ MÜŞTERİ",IF($F334="","MODEL SEÇİN",IF(OR($D334="",$G334&lt;=0),"EKSİK",IF(AND($E334&lt;&gt;"",$E334&lt;$D334),"TARİH HATASI",IF($H334="Pasif","KAPALI DÖNEM","UYGUN"))))))</f>
        <v/>
      </c>
      <c r="O334" s="224">
        <f>IF(OR($C334="",$D334="",$F334=""),"",IF($F334="Aylık",EOMONTH($D334,0),($D334+MOD(SISTEM!$F$8-WEEKDAY($D334,2),7))))</f>
        <v/>
      </c>
      <c r="P334" s="109" t="n"/>
      <c r="Q334" s="6" t="n"/>
      <c r="R334" s="6" t="n"/>
      <c r="S334" s="3">
        <f>IF($B334="","",$B334&amp;"|"&amp;COUNTIFS($B$7:$B334,$B334))</f>
        <v/>
      </c>
      <c r="T334" s="3">
        <f>IF($C334="","",UPPER(SUBSTITUTE(SUBSTITUTE(SUBSTITUTE(SUBSTITUTE(SUBSTITUTE(SUBSTITUTE(SUBSTITUTE(SUBSTITUTE(SUBSTITUTE(SUBSTITUTE(SUBSTITUTE(SUBSTITUTE(SUBSTITUTE(SUBSTITUTE(SUBSTITUTE(SUBSTITUTE(SUBSTITUTE(SUBSTITUTE(TRIM($C334),"'",""),"İ","I"),"ı","I"),"i","I"),"Ş","S"),"ş","S"),"Ğ","G"),"ğ","G"),"Ü","U"),"ü","U"),"Ö","O"),"ö","O"),"Ç","C"),"ç","C"),".",""),",","")," ",""),"-","")))</f>
        <v/>
      </c>
    </row>
    <row r="335">
      <c r="A335" s="6" t="n"/>
      <c r="B335" s="113">
        <f>IF($C335="","",IFERROR(INDEX(MUSTERILER!$B$7:$B$106,MATCH($T335,MUSTERILER!$T$7:$T$106,0)),IFERROR(INDEX(MUSTERILER!$B$7:$B$106,MATCH($C335,MUSTERILER!$B$7:$B$106,0)),IFERROR(INDEX(MUSTERILER!$B$7:$B$106,MATCH($T335&amp;"*",MUSTERILER!$T$7:$T$106,0)),"TANIMSIZ MÜŞTERİ"))))</f>
        <v/>
      </c>
      <c r="C335" s="109" t="n"/>
      <c r="D335" s="220" t="n"/>
      <c r="E335" s="220" t="n"/>
      <c r="F335" s="108" t="n"/>
      <c r="G335" s="221" t="n"/>
      <c r="H335" s="108" t="n"/>
      <c r="I335" s="222">
        <f>IF(OR($C335="",$D335="",$G335="",$F335=""),0,$G335*IF($F335="Aylık",MAX(0,(YEAR(MIN(IF($E335="",TODAY(),$E335),TODAY()))-YEAR($D335))*12+MONTH(MIN(IF($E335="",TODAY(),$E335),TODAY()))-MONTH($D335)+IF(MIN(IF($E335="",TODAY(),$E335),TODAY())&gt;=EOMONTH(MIN(IF($E335="",TODAY(),$E335),TODAY()),0),1,0)),MAX(0,INT((MIN(IF($E335="",TODAY(),$E335),TODAY())-($D335+MOD(SISTEM!$F$8-WEEKDAY($D335,2),7)))/7)+1)))</f>
        <v/>
      </c>
      <c r="J335" s="222">
        <f>IF(OR($C335="",$D335="",$G335="",$F335=""),0,$G335*IF($F335="Aylık",MAX(0,(YEAR(MIN(IF($E335="",TODAY()-8,$E335),TODAY()-8))-YEAR($D335))*12+MONTH(MIN(IF($E335="",TODAY()-8,$E335),TODAY()-8))-MONTH($D335)+IF(MIN(IF($E335="",TODAY()-8,$E335),TODAY()-8)&gt;=EOMONTH(MIN(IF($E335="",TODAY()-8,$E335),TODAY()-8),0),1,0)),MAX(0,INT((MIN(IF($E335="",TODAY()-8,$E335),TODAY()-8)-($D335+MOD(SISTEM!$F$8-WEEKDAY($D335,2),7)))/7)+1)))</f>
        <v/>
      </c>
      <c r="K335" s="222">
        <f>IF(OR($C335="",$D335="",$G335="",$F335=""),0,$G335*IF($F335="Aylık",MAX(0,(YEAR(MIN(IF($E335="",TODAY()-15,$E335),TODAY()-15))-YEAR($D335))*12+MONTH(MIN(IF($E335="",TODAY()-15,$E335),TODAY()-15))-MONTH($D335)+IF(MIN(IF($E335="",TODAY()-15,$E335),TODAY()-15)&gt;=EOMONTH(MIN(IF($E335="",TODAY()-15,$E335),TODAY()-15),0),1,0)),MAX(0,INT((MIN(IF($E335="",TODAY()-15,$E335),TODAY()-15)-($D335+MOD(SISTEM!$F$8-WEEKDAY($D335,2),7)))/7)+1)))</f>
        <v/>
      </c>
      <c r="L335" s="222">
        <f>IF(OR($C335="",$D335="",$G335="",$F335=""),0,$G335*IF($F335="Aylık",MAX(0,(YEAR(MIN(IF($E335="",TODAY()-29,$E335),TODAY()-29))-YEAR($D335))*12+MONTH(MIN(IF($E335="",TODAY()-29,$E335),TODAY()-29))-MONTH($D335)+IF(MIN(IF($E335="",TODAY()-29,$E335),TODAY()-29)&gt;=EOMONTH(MIN(IF($E335="",TODAY()-29,$E335),TODAY()-29),0),1,0)),MAX(0,INT((MIN(IF($E335="",TODAY()-29,$E335),TODAY()-29)-($D335+MOD(SISTEM!$F$8-WEEKDAY($D335,2),7)))/7)+1)))</f>
        <v/>
      </c>
      <c r="M335" s="223">
        <f>IF($G335&gt;0,$I335/$G335,0)</f>
        <v/>
      </c>
      <c r="N335" s="113">
        <f>IF($C335="","",IF($B335="TANIMSIZ MÜŞTERİ","TANIMSIZ MÜŞTERİ",IF($F335="","MODEL SEÇİN",IF(OR($D335="",$G335&lt;=0),"EKSİK",IF(AND($E335&lt;&gt;"",$E335&lt;$D335),"TARİH HATASI",IF($H335="Pasif","KAPALI DÖNEM","UYGUN"))))))</f>
        <v/>
      </c>
      <c r="O335" s="224">
        <f>IF(OR($C335="",$D335="",$F335=""),"",IF($F335="Aylık",EOMONTH($D335,0),($D335+MOD(SISTEM!$F$8-WEEKDAY($D335,2),7))))</f>
        <v/>
      </c>
      <c r="P335" s="109" t="n"/>
      <c r="Q335" s="6" t="n"/>
      <c r="R335" s="6" t="n"/>
      <c r="S335" s="3">
        <f>IF($B335="","",$B335&amp;"|"&amp;COUNTIFS($B$7:$B335,$B335))</f>
        <v/>
      </c>
      <c r="T335" s="3">
        <f>IF($C335="","",UPPER(SUBSTITUTE(SUBSTITUTE(SUBSTITUTE(SUBSTITUTE(SUBSTITUTE(SUBSTITUTE(SUBSTITUTE(SUBSTITUTE(SUBSTITUTE(SUBSTITUTE(SUBSTITUTE(SUBSTITUTE(SUBSTITUTE(SUBSTITUTE(SUBSTITUTE(SUBSTITUTE(SUBSTITUTE(SUBSTITUTE(TRIM($C335),"'",""),"İ","I"),"ı","I"),"i","I"),"Ş","S"),"ş","S"),"Ğ","G"),"ğ","G"),"Ü","U"),"ü","U"),"Ö","O"),"ö","O"),"Ç","C"),"ç","C"),".",""),",","")," ",""),"-","")))</f>
        <v/>
      </c>
    </row>
    <row r="336">
      <c r="A336" s="6" t="n"/>
      <c r="B336" s="113">
        <f>IF($C336="","",IFERROR(INDEX(MUSTERILER!$B$7:$B$106,MATCH($T336,MUSTERILER!$T$7:$T$106,0)),IFERROR(INDEX(MUSTERILER!$B$7:$B$106,MATCH($C336,MUSTERILER!$B$7:$B$106,0)),IFERROR(INDEX(MUSTERILER!$B$7:$B$106,MATCH($T336&amp;"*",MUSTERILER!$T$7:$T$106,0)),"TANIMSIZ MÜŞTERİ"))))</f>
        <v/>
      </c>
      <c r="C336" s="109" t="n"/>
      <c r="D336" s="220" t="n"/>
      <c r="E336" s="220" t="n"/>
      <c r="F336" s="108" t="n"/>
      <c r="G336" s="221" t="n"/>
      <c r="H336" s="108" t="n"/>
      <c r="I336" s="222">
        <f>IF(OR($C336="",$D336="",$G336="",$F336=""),0,$G336*IF($F336="Aylık",MAX(0,(YEAR(MIN(IF($E336="",TODAY(),$E336),TODAY()))-YEAR($D336))*12+MONTH(MIN(IF($E336="",TODAY(),$E336),TODAY()))-MONTH($D336)+IF(MIN(IF($E336="",TODAY(),$E336),TODAY())&gt;=EOMONTH(MIN(IF($E336="",TODAY(),$E336),TODAY()),0),1,0)),MAX(0,INT((MIN(IF($E336="",TODAY(),$E336),TODAY())-($D336+MOD(SISTEM!$F$8-WEEKDAY($D336,2),7)))/7)+1)))</f>
        <v/>
      </c>
      <c r="J336" s="222">
        <f>IF(OR($C336="",$D336="",$G336="",$F336=""),0,$G336*IF($F336="Aylık",MAX(0,(YEAR(MIN(IF($E336="",TODAY()-8,$E336),TODAY()-8))-YEAR($D336))*12+MONTH(MIN(IF($E336="",TODAY()-8,$E336),TODAY()-8))-MONTH($D336)+IF(MIN(IF($E336="",TODAY()-8,$E336),TODAY()-8)&gt;=EOMONTH(MIN(IF($E336="",TODAY()-8,$E336),TODAY()-8),0),1,0)),MAX(0,INT((MIN(IF($E336="",TODAY()-8,$E336),TODAY()-8)-($D336+MOD(SISTEM!$F$8-WEEKDAY($D336,2),7)))/7)+1)))</f>
        <v/>
      </c>
      <c r="K336" s="222">
        <f>IF(OR($C336="",$D336="",$G336="",$F336=""),0,$G336*IF($F336="Aylık",MAX(0,(YEAR(MIN(IF($E336="",TODAY()-15,$E336),TODAY()-15))-YEAR($D336))*12+MONTH(MIN(IF($E336="",TODAY()-15,$E336),TODAY()-15))-MONTH($D336)+IF(MIN(IF($E336="",TODAY()-15,$E336),TODAY()-15)&gt;=EOMONTH(MIN(IF($E336="",TODAY()-15,$E336),TODAY()-15),0),1,0)),MAX(0,INT((MIN(IF($E336="",TODAY()-15,$E336),TODAY()-15)-($D336+MOD(SISTEM!$F$8-WEEKDAY($D336,2),7)))/7)+1)))</f>
        <v/>
      </c>
      <c r="L336" s="222">
        <f>IF(OR($C336="",$D336="",$G336="",$F336=""),0,$G336*IF($F336="Aylık",MAX(0,(YEAR(MIN(IF($E336="",TODAY()-29,$E336),TODAY()-29))-YEAR($D336))*12+MONTH(MIN(IF($E336="",TODAY()-29,$E336),TODAY()-29))-MONTH($D336)+IF(MIN(IF($E336="",TODAY()-29,$E336),TODAY()-29)&gt;=EOMONTH(MIN(IF($E336="",TODAY()-29,$E336),TODAY()-29),0),1,0)),MAX(0,INT((MIN(IF($E336="",TODAY()-29,$E336),TODAY()-29)-($D336+MOD(SISTEM!$F$8-WEEKDAY($D336,2),7)))/7)+1)))</f>
        <v/>
      </c>
      <c r="M336" s="223">
        <f>IF($G336&gt;0,$I336/$G336,0)</f>
        <v/>
      </c>
      <c r="N336" s="113">
        <f>IF($C336="","",IF($B336="TANIMSIZ MÜŞTERİ","TANIMSIZ MÜŞTERİ",IF($F336="","MODEL SEÇİN",IF(OR($D336="",$G336&lt;=0),"EKSİK",IF(AND($E336&lt;&gt;"",$E336&lt;$D336),"TARİH HATASI",IF($H336="Pasif","KAPALI DÖNEM","UYGUN"))))))</f>
        <v/>
      </c>
      <c r="O336" s="224">
        <f>IF(OR($C336="",$D336="",$F336=""),"",IF($F336="Aylık",EOMONTH($D336,0),($D336+MOD(SISTEM!$F$8-WEEKDAY($D336,2),7))))</f>
        <v/>
      </c>
      <c r="P336" s="109" t="n"/>
      <c r="Q336" s="6" t="n"/>
      <c r="R336" s="6" t="n"/>
      <c r="S336" s="3">
        <f>IF($B336="","",$B336&amp;"|"&amp;COUNTIFS($B$7:$B336,$B336))</f>
        <v/>
      </c>
      <c r="T336" s="3">
        <f>IF($C336="","",UPPER(SUBSTITUTE(SUBSTITUTE(SUBSTITUTE(SUBSTITUTE(SUBSTITUTE(SUBSTITUTE(SUBSTITUTE(SUBSTITUTE(SUBSTITUTE(SUBSTITUTE(SUBSTITUTE(SUBSTITUTE(SUBSTITUTE(SUBSTITUTE(SUBSTITUTE(SUBSTITUTE(SUBSTITUTE(SUBSTITUTE(TRIM($C336),"'",""),"İ","I"),"ı","I"),"i","I"),"Ş","S"),"ş","S"),"Ğ","G"),"ğ","G"),"Ü","U"),"ü","U"),"Ö","O"),"ö","O"),"Ç","C"),"ç","C"),".",""),",","")," ",""),"-","")))</f>
        <v/>
      </c>
    </row>
    <row r="337">
      <c r="A337" s="6" t="n"/>
      <c r="B337" s="113">
        <f>IF($C337="","",IFERROR(INDEX(MUSTERILER!$B$7:$B$106,MATCH($T337,MUSTERILER!$T$7:$T$106,0)),IFERROR(INDEX(MUSTERILER!$B$7:$B$106,MATCH($C337,MUSTERILER!$B$7:$B$106,0)),IFERROR(INDEX(MUSTERILER!$B$7:$B$106,MATCH($T337&amp;"*",MUSTERILER!$T$7:$T$106,0)),"TANIMSIZ MÜŞTERİ"))))</f>
        <v/>
      </c>
      <c r="C337" s="109" t="n"/>
      <c r="D337" s="220" t="n"/>
      <c r="E337" s="220" t="n"/>
      <c r="F337" s="108" t="n"/>
      <c r="G337" s="221" t="n"/>
      <c r="H337" s="108" t="n"/>
      <c r="I337" s="222">
        <f>IF(OR($C337="",$D337="",$G337="",$F337=""),0,$G337*IF($F337="Aylık",MAX(0,(YEAR(MIN(IF($E337="",TODAY(),$E337),TODAY()))-YEAR($D337))*12+MONTH(MIN(IF($E337="",TODAY(),$E337),TODAY()))-MONTH($D337)+IF(MIN(IF($E337="",TODAY(),$E337),TODAY())&gt;=EOMONTH(MIN(IF($E337="",TODAY(),$E337),TODAY()),0),1,0)),MAX(0,INT((MIN(IF($E337="",TODAY(),$E337),TODAY())-($D337+MOD(SISTEM!$F$8-WEEKDAY($D337,2),7)))/7)+1)))</f>
        <v/>
      </c>
      <c r="J337" s="222">
        <f>IF(OR($C337="",$D337="",$G337="",$F337=""),0,$G337*IF($F337="Aylık",MAX(0,(YEAR(MIN(IF($E337="",TODAY()-8,$E337),TODAY()-8))-YEAR($D337))*12+MONTH(MIN(IF($E337="",TODAY()-8,$E337),TODAY()-8))-MONTH($D337)+IF(MIN(IF($E337="",TODAY()-8,$E337),TODAY()-8)&gt;=EOMONTH(MIN(IF($E337="",TODAY()-8,$E337),TODAY()-8),0),1,0)),MAX(0,INT((MIN(IF($E337="",TODAY()-8,$E337),TODAY()-8)-($D337+MOD(SISTEM!$F$8-WEEKDAY($D337,2),7)))/7)+1)))</f>
        <v/>
      </c>
      <c r="K337" s="222">
        <f>IF(OR($C337="",$D337="",$G337="",$F337=""),0,$G337*IF($F337="Aylık",MAX(0,(YEAR(MIN(IF($E337="",TODAY()-15,$E337),TODAY()-15))-YEAR($D337))*12+MONTH(MIN(IF($E337="",TODAY()-15,$E337),TODAY()-15))-MONTH($D337)+IF(MIN(IF($E337="",TODAY()-15,$E337),TODAY()-15)&gt;=EOMONTH(MIN(IF($E337="",TODAY()-15,$E337),TODAY()-15),0),1,0)),MAX(0,INT((MIN(IF($E337="",TODAY()-15,$E337),TODAY()-15)-($D337+MOD(SISTEM!$F$8-WEEKDAY($D337,2),7)))/7)+1)))</f>
        <v/>
      </c>
      <c r="L337" s="222">
        <f>IF(OR($C337="",$D337="",$G337="",$F337=""),0,$G337*IF($F337="Aylık",MAX(0,(YEAR(MIN(IF($E337="",TODAY()-29,$E337),TODAY()-29))-YEAR($D337))*12+MONTH(MIN(IF($E337="",TODAY()-29,$E337),TODAY()-29))-MONTH($D337)+IF(MIN(IF($E337="",TODAY()-29,$E337),TODAY()-29)&gt;=EOMONTH(MIN(IF($E337="",TODAY()-29,$E337),TODAY()-29),0),1,0)),MAX(0,INT((MIN(IF($E337="",TODAY()-29,$E337),TODAY()-29)-($D337+MOD(SISTEM!$F$8-WEEKDAY($D337,2),7)))/7)+1)))</f>
        <v/>
      </c>
      <c r="M337" s="223">
        <f>IF($G337&gt;0,$I337/$G337,0)</f>
        <v/>
      </c>
      <c r="N337" s="113">
        <f>IF($C337="","",IF($B337="TANIMSIZ MÜŞTERİ","TANIMSIZ MÜŞTERİ",IF($F337="","MODEL SEÇİN",IF(OR($D337="",$G337&lt;=0),"EKSİK",IF(AND($E337&lt;&gt;"",$E337&lt;$D337),"TARİH HATASI",IF($H337="Pasif","KAPALI DÖNEM","UYGUN"))))))</f>
        <v/>
      </c>
      <c r="O337" s="224">
        <f>IF(OR($C337="",$D337="",$F337=""),"",IF($F337="Aylık",EOMONTH($D337,0),($D337+MOD(SISTEM!$F$8-WEEKDAY($D337,2),7))))</f>
        <v/>
      </c>
      <c r="P337" s="109" t="n"/>
      <c r="Q337" s="6" t="n"/>
      <c r="R337" s="6" t="n"/>
      <c r="S337" s="3">
        <f>IF($B337="","",$B337&amp;"|"&amp;COUNTIFS($B$7:$B337,$B337))</f>
        <v/>
      </c>
      <c r="T337" s="3">
        <f>IF($C337="","",UPPER(SUBSTITUTE(SUBSTITUTE(SUBSTITUTE(SUBSTITUTE(SUBSTITUTE(SUBSTITUTE(SUBSTITUTE(SUBSTITUTE(SUBSTITUTE(SUBSTITUTE(SUBSTITUTE(SUBSTITUTE(SUBSTITUTE(SUBSTITUTE(SUBSTITUTE(SUBSTITUTE(SUBSTITUTE(SUBSTITUTE(TRIM($C337),"'",""),"İ","I"),"ı","I"),"i","I"),"Ş","S"),"ş","S"),"Ğ","G"),"ğ","G"),"Ü","U"),"ü","U"),"Ö","O"),"ö","O"),"Ç","C"),"ç","C"),".",""),",","")," ",""),"-","")))</f>
        <v/>
      </c>
    </row>
    <row r="338">
      <c r="A338" s="6" t="n"/>
      <c r="B338" s="113">
        <f>IF($C338="","",IFERROR(INDEX(MUSTERILER!$B$7:$B$106,MATCH($T338,MUSTERILER!$T$7:$T$106,0)),IFERROR(INDEX(MUSTERILER!$B$7:$B$106,MATCH($C338,MUSTERILER!$B$7:$B$106,0)),IFERROR(INDEX(MUSTERILER!$B$7:$B$106,MATCH($T338&amp;"*",MUSTERILER!$T$7:$T$106,0)),"TANIMSIZ MÜŞTERİ"))))</f>
        <v/>
      </c>
      <c r="C338" s="109" t="n"/>
      <c r="D338" s="220" t="n"/>
      <c r="E338" s="220" t="n"/>
      <c r="F338" s="108" t="n"/>
      <c r="G338" s="221" t="n"/>
      <c r="H338" s="108" t="n"/>
      <c r="I338" s="222">
        <f>IF(OR($C338="",$D338="",$G338="",$F338=""),0,$G338*IF($F338="Aylık",MAX(0,(YEAR(MIN(IF($E338="",TODAY(),$E338),TODAY()))-YEAR($D338))*12+MONTH(MIN(IF($E338="",TODAY(),$E338),TODAY()))-MONTH($D338)+IF(MIN(IF($E338="",TODAY(),$E338),TODAY())&gt;=EOMONTH(MIN(IF($E338="",TODAY(),$E338),TODAY()),0),1,0)),MAX(0,INT((MIN(IF($E338="",TODAY(),$E338),TODAY())-($D338+MOD(SISTEM!$F$8-WEEKDAY($D338,2),7)))/7)+1)))</f>
        <v/>
      </c>
      <c r="J338" s="222">
        <f>IF(OR($C338="",$D338="",$G338="",$F338=""),0,$G338*IF($F338="Aylık",MAX(0,(YEAR(MIN(IF($E338="",TODAY()-8,$E338),TODAY()-8))-YEAR($D338))*12+MONTH(MIN(IF($E338="",TODAY()-8,$E338),TODAY()-8))-MONTH($D338)+IF(MIN(IF($E338="",TODAY()-8,$E338),TODAY()-8)&gt;=EOMONTH(MIN(IF($E338="",TODAY()-8,$E338),TODAY()-8),0),1,0)),MAX(0,INT((MIN(IF($E338="",TODAY()-8,$E338),TODAY()-8)-($D338+MOD(SISTEM!$F$8-WEEKDAY($D338,2),7)))/7)+1)))</f>
        <v/>
      </c>
      <c r="K338" s="222">
        <f>IF(OR($C338="",$D338="",$G338="",$F338=""),0,$G338*IF($F338="Aylık",MAX(0,(YEAR(MIN(IF($E338="",TODAY()-15,$E338),TODAY()-15))-YEAR($D338))*12+MONTH(MIN(IF($E338="",TODAY()-15,$E338),TODAY()-15))-MONTH($D338)+IF(MIN(IF($E338="",TODAY()-15,$E338),TODAY()-15)&gt;=EOMONTH(MIN(IF($E338="",TODAY()-15,$E338),TODAY()-15),0),1,0)),MAX(0,INT((MIN(IF($E338="",TODAY()-15,$E338),TODAY()-15)-($D338+MOD(SISTEM!$F$8-WEEKDAY($D338,2),7)))/7)+1)))</f>
        <v/>
      </c>
      <c r="L338" s="222">
        <f>IF(OR($C338="",$D338="",$G338="",$F338=""),0,$G338*IF($F338="Aylık",MAX(0,(YEAR(MIN(IF($E338="",TODAY()-29,$E338),TODAY()-29))-YEAR($D338))*12+MONTH(MIN(IF($E338="",TODAY()-29,$E338),TODAY()-29))-MONTH($D338)+IF(MIN(IF($E338="",TODAY()-29,$E338),TODAY()-29)&gt;=EOMONTH(MIN(IF($E338="",TODAY()-29,$E338),TODAY()-29),0),1,0)),MAX(0,INT((MIN(IF($E338="",TODAY()-29,$E338),TODAY()-29)-($D338+MOD(SISTEM!$F$8-WEEKDAY($D338,2),7)))/7)+1)))</f>
        <v/>
      </c>
      <c r="M338" s="223">
        <f>IF($G338&gt;0,$I338/$G338,0)</f>
        <v/>
      </c>
      <c r="N338" s="113">
        <f>IF($C338="","",IF($B338="TANIMSIZ MÜŞTERİ","TANIMSIZ MÜŞTERİ",IF($F338="","MODEL SEÇİN",IF(OR($D338="",$G338&lt;=0),"EKSİK",IF(AND($E338&lt;&gt;"",$E338&lt;$D338),"TARİH HATASI",IF($H338="Pasif","KAPALI DÖNEM","UYGUN"))))))</f>
        <v/>
      </c>
      <c r="O338" s="224">
        <f>IF(OR($C338="",$D338="",$F338=""),"",IF($F338="Aylık",EOMONTH($D338,0),($D338+MOD(SISTEM!$F$8-WEEKDAY($D338,2),7))))</f>
        <v/>
      </c>
      <c r="P338" s="109" t="n"/>
      <c r="Q338" s="6" t="n"/>
      <c r="R338" s="6" t="n"/>
      <c r="S338" s="3">
        <f>IF($B338="","",$B338&amp;"|"&amp;COUNTIFS($B$7:$B338,$B338))</f>
        <v/>
      </c>
      <c r="T338" s="3">
        <f>IF($C338="","",UPPER(SUBSTITUTE(SUBSTITUTE(SUBSTITUTE(SUBSTITUTE(SUBSTITUTE(SUBSTITUTE(SUBSTITUTE(SUBSTITUTE(SUBSTITUTE(SUBSTITUTE(SUBSTITUTE(SUBSTITUTE(SUBSTITUTE(SUBSTITUTE(SUBSTITUTE(SUBSTITUTE(SUBSTITUTE(SUBSTITUTE(TRIM($C338),"'",""),"İ","I"),"ı","I"),"i","I"),"Ş","S"),"ş","S"),"Ğ","G"),"ğ","G"),"Ü","U"),"ü","U"),"Ö","O"),"ö","O"),"Ç","C"),"ç","C"),".",""),",","")," ",""),"-","")))</f>
        <v/>
      </c>
    </row>
    <row r="339">
      <c r="A339" s="6" t="n"/>
      <c r="B339" s="113">
        <f>IF($C339="","",IFERROR(INDEX(MUSTERILER!$B$7:$B$106,MATCH($T339,MUSTERILER!$T$7:$T$106,0)),IFERROR(INDEX(MUSTERILER!$B$7:$B$106,MATCH($C339,MUSTERILER!$B$7:$B$106,0)),IFERROR(INDEX(MUSTERILER!$B$7:$B$106,MATCH($T339&amp;"*",MUSTERILER!$T$7:$T$106,0)),"TANIMSIZ MÜŞTERİ"))))</f>
        <v/>
      </c>
      <c r="C339" s="109" t="n"/>
      <c r="D339" s="220" t="n"/>
      <c r="E339" s="220" t="n"/>
      <c r="F339" s="108" t="n"/>
      <c r="G339" s="221" t="n"/>
      <c r="H339" s="108" t="n"/>
      <c r="I339" s="222">
        <f>IF(OR($C339="",$D339="",$G339="",$F339=""),0,$G339*IF($F339="Aylık",MAX(0,(YEAR(MIN(IF($E339="",TODAY(),$E339),TODAY()))-YEAR($D339))*12+MONTH(MIN(IF($E339="",TODAY(),$E339),TODAY()))-MONTH($D339)+IF(MIN(IF($E339="",TODAY(),$E339),TODAY())&gt;=EOMONTH(MIN(IF($E339="",TODAY(),$E339),TODAY()),0),1,0)),MAX(0,INT((MIN(IF($E339="",TODAY(),$E339),TODAY())-($D339+MOD(SISTEM!$F$8-WEEKDAY($D339,2),7)))/7)+1)))</f>
        <v/>
      </c>
      <c r="J339" s="222">
        <f>IF(OR($C339="",$D339="",$G339="",$F339=""),0,$G339*IF($F339="Aylık",MAX(0,(YEAR(MIN(IF($E339="",TODAY()-8,$E339),TODAY()-8))-YEAR($D339))*12+MONTH(MIN(IF($E339="",TODAY()-8,$E339),TODAY()-8))-MONTH($D339)+IF(MIN(IF($E339="",TODAY()-8,$E339),TODAY()-8)&gt;=EOMONTH(MIN(IF($E339="",TODAY()-8,$E339),TODAY()-8),0),1,0)),MAX(0,INT((MIN(IF($E339="",TODAY()-8,$E339),TODAY()-8)-($D339+MOD(SISTEM!$F$8-WEEKDAY($D339,2),7)))/7)+1)))</f>
        <v/>
      </c>
      <c r="K339" s="222">
        <f>IF(OR($C339="",$D339="",$G339="",$F339=""),0,$G339*IF($F339="Aylık",MAX(0,(YEAR(MIN(IF($E339="",TODAY()-15,$E339),TODAY()-15))-YEAR($D339))*12+MONTH(MIN(IF($E339="",TODAY()-15,$E339),TODAY()-15))-MONTH($D339)+IF(MIN(IF($E339="",TODAY()-15,$E339),TODAY()-15)&gt;=EOMONTH(MIN(IF($E339="",TODAY()-15,$E339),TODAY()-15),0),1,0)),MAX(0,INT((MIN(IF($E339="",TODAY()-15,$E339),TODAY()-15)-($D339+MOD(SISTEM!$F$8-WEEKDAY($D339,2),7)))/7)+1)))</f>
        <v/>
      </c>
      <c r="L339" s="222">
        <f>IF(OR($C339="",$D339="",$G339="",$F339=""),0,$G339*IF($F339="Aylık",MAX(0,(YEAR(MIN(IF($E339="",TODAY()-29,$E339),TODAY()-29))-YEAR($D339))*12+MONTH(MIN(IF($E339="",TODAY()-29,$E339),TODAY()-29))-MONTH($D339)+IF(MIN(IF($E339="",TODAY()-29,$E339),TODAY()-29)&gt;=EOMONTH(MIN(IF($E339="",TODAY()-29,$E339),TODAY()-29),0),1,0)),MAX(0,INT((MIN(IF($E339="",TODAY()-29,$E339),TODAY()-29)-($D339+MOD(SISTEM!$F$8-WEEKDAY($D339,2),7)))/7)+1)))</f>
        <v/>
      </c>
      <c r="M339" s="223">
        <f>IF($G339&gt;0,$I339/$G339,0)</f>
        <v/>
      </c>
      <c r="N339" s="113">
        <f>IF($C339="","",IF($B339="TANIMSIZ MÜŞTERİ","TANIMSIZ MÜŞTERİ",IF($F339="","MODEL SEÇİN",IF(OR($D339="",$G339&lt;=0),"EKSİK",IF(AND($E339&lt;&gt;"",$E339&lt;$D339),"TARİH HATASI",IF($H339="Pasif","KAPALI DÖNEM","UYGUN"))))))</f>
        <v/>
      </c>
      <c r="O339" s="224">
        <f>IF(OR($C339="",$D339="",$F339=""),"",IF($F339="Aylık",EOMONTH($D339,0),($D339+MOD(SISTEM!$F$8-WEEKDAY($D339,2),7))))</f>
        <v/>
      </c>
      <c r="P339" s="109" t="n"/>
      <c r="Q339" s="6" t="n"/>
      <c r="R339" s="6" t="n"/>
      <c r="S339" s="3">
        <f>IF($B339="","",$B339&amp;"|"&amp;COUNTIFS($B$7:$B339,$B339))</f>
        <v/>
      </c>
      <c r="T339" s="3">
        <f>IF($C339="","",UPPER(SUBSTITUTE(SUBSTITUTE(SUBSTITUTE(SUBSTITUTE(SUBSTITUTE(SUBSTITUTE(SUBSTITUTE(SUBSTITUTE(SUBSTITUTE(SUBSTITUTE(SUBSTITUTE(SUBSTITUTE(SUBSTITUTE(SUBSTITUTE(SUBSTITUTE(SUBSTITUTE(SUBSTITUTE(SUBSTITUTE(TRIM($C339),"'",""),"İ","I"),"ı","I"),"i","I"),"Ş","S"),"ş","S"),"Ğ","G"),"ğ","G"),"Ü","U"),"ü","U"),"Ö","O"),"ö","O"),"Ç","C"),"ç","C"),".",""),",","")," ",""),"-","")))</f>
        <v/>
      </c>
    </row>
    <row r="340">
      <c r="A340" s="6" t="n"/>
      <c r="B340" s="113">
        <f>IF($C340="","",IFERROR(INDEX(MUSTERILER!$B$7:$B$106,MATCH($T340,MUSTERILER!$T$7:$T$106,0)),IFERROR(INDEX(MUSTERILER!$B$7:$B$106,MATCH($C340,MUSTERILER!$B$7:$B$106,0)),IFERROR(INDEX(MUSTERILER!$B$7:$B$106,MATCH($T340&amp;"*",MUSTERILER!$T$7:$T$106,0)),"TANIMSIZ MÜŞTERİ"))))</f>
        <v/>
      </c>
      <c r="C340" s="109" t="n"/>
      <c r="D340" s="220" t="n"/>
      <c r="E340" s="220" t="n"/>
      <c r="F340" s="108" t="n"/>
      <c r="G340" s="221" t="n"/>
      <c r="H340" s="108" t="n"/>
      <c r="I340" s="222">
        <f>IF(OR($C340="",$D340="",$G340="",$F340=""),0,$G340*IF($F340="Aylık",MAX(0,(YEAR(MIN(IF($E340="",TODAY(),$E340),TODAY()))-YEAR($D340))*12+MONTH(MIN(IF($E340="",TODAY(),$E340),TODAY()))-MONTH($D340)+IF(MIN(IF($E340="",TODAY(),$E340),TODAY())&gt;=EOMONTH(MIN(IF($E340="",TODAY(),$E340),TODAY()),0),1,0)),MAX(0,INT((MIN(IF($E340="",TODAY(),$E340),TODAY())-($D340+MOD(SISTEM!$F$8-WEEKDAY($D340,2),7)))/7)+1)))</f>
        <v/>
      </c>
      <c r="J340" s="222">
        <f>IF(OR($C340="",$D340="",$G340="",$F340=""),0,$G340*IF($F340="Aylık",MAX(0,(YEAR(MIN(IF($E340="",TODAY()-8,$E340),TODAY()-8))-YEAR($D340))*12+MONTH(MIN(IF($E340="",TODAY()-8,$E340),TODAY()-8))-MONTH($D340)+IF(MIN(IF($E340="",TODAY()-8,$E340),TODAY()-8)&gt;=EOMONTH(MIN(IF($E340="",TODAY()-8,$E340),TODAY()-8),0),1,0)),MAX(0,INT((MIN(IF($E340="",TODAY()-8,$E340),TODAY()-8)-($D340+MOD(SISTEM!$F$8-WEEKDAY($D340,2),7)))/7)+1)))</f>
        <v/>
      </c>
      <c r="K340" s="222">
        <f>IF(OR($C340="",$D340="",$G340="",$F340=""),0,$G340*IF($F340="Aylık",MAX(0,(YEAR(MIN(IF($E340="",TODAY()-15,$E340),TODAY()-15))-YEAR($D340))*12+MONTH(MIN(IF($E340="",TODAY()-15,$E340),TODAY()-15))-MONTH($D340)+IF(MIN(IF($E340="",TODAY()-15,$E340),TODAY()-15)&gt;=EOMONTH(MIN(IF($E340="",TODAY()-15,$E340),TODAY()-15),0),1,0)),MAX(0,INT((MIN(IF($E340="",TODAY()-15,$E340),TODAY()-15)-($D340+MOD(SISTEM!$F$8-WEEKDAY($D340,2),7)))/7)+1)))</f>
        <v/>
      </c>
      <c r="L340" s="222">
        <f>IF(OR($C340="",$D340="",$G340="",$F340=""),0,$G340*IF($F340="Aylık",MAX(0,(YEAR(MIN(IF($E340="",TODAY()-29,$E340),TODAY()-29))-YEAR($D340))*12+MONTH(MIN(IF($E340="",TODAY()-29,$E340),TODAY()-29))-MONTH($D340)+IF(MIN(IF($E340="",TODAY()-29,$E340),TODAY()-29)&gt;=EOMONTH(MIN(IF($E340="",TODAY()-29,$E340),TODAY()-29),0),1,0)),MAX(0,INT((MIN(IF($E340="",TODAY()-29,$E340),TODAY()-29)-($D340+MOD(SISTEM!$F$8-WEEKDAY($D340,2),7)))/7)+1)))</f>
        <v/>
      </c>
      <c r="M340" s="223">
        <f>IF($G340&gt;0,$I340/$G340,0)</f>
        <v/>
      </c>
      <c r="N340" s="113">
        <f>IF($C340="","",IF($B340="TANIMSIZ MÜŞTERİ","TANIMSIZ MÜŞTERİ",IF($F340="","MODEL SEÇİN",IF(OR($D340="",$G340&lt;=0),"EKSİK",IF(AND($E340&lt;&gt;"",$E340&lt;$D340),"TARİH HATASI",IF($H340="Pasif","KAPALI DÖNEM","UYGUN"))))))</f>
        <v/>
      </c>
      <c r="O340" s="224">
        <f>IF(OR($C340="",$D340="",$F340=""),"",IF($F340="Aylık",EOMONTH($D340,0),($D340+MOD(SISTEM!$F$8-WEEKDAY($D340,2),7))))</f>
        <v/>
      </c>
      <c r="P340" s="109" t="n"/>
      <c r="Q340" s="6" t="n"/>
      <c r="R340" s="6" t="n"/>
      <c r="S340" s="3">
        <f>IF($B340="","",$B340&amp;"|"&amp;COUNTIFS($B$7:$B340,$B340))</f>
        <v/>
      </c>
      <c r="T340" s="3">
        <f>IF($C340="","",UPPER(SUBSTITUTE(SUBSTITUTE(SUBSTITUTE(SUBSTITUTE(SUBSTITUTE(SUBSTITUTE(SUBSTITUTE(SUBSTITUTE(SUBSTITUTE(SUBSTITUTE(SUBSTITUTE(SUBSTITUTE(SUBSTITUTE(SUBSTITUTE(SUBSTITUTE(SUBSTITUTE(SUBSTITUTE(SUBSTITUTE(TRIM($C340),"'",""),"İ","I"),"ı","I"),"i","I"),"Ş","S"),"ş","S"),"Ğ","G"),"ğ","G"),"Ü","U"),"ü","U"),"Ö","O"),"ö","O"),"Ç","C"),"ç","C"),".",""),",","")," ",""),"-","")))</f>
        <v/>
      </c>
    </row>
    <row r="341">
      <c r="A341" s="6" t="n"/>
      <c r="B341" s="113">
        <f>IF($C341="","",IFERROR(INDEX(MUSTERILER!$B$7:$B$106,MATCH($T341,MUSTERILER!$T$7:$T$106,0)),IFERROR(INDEX(MUSTERILER!$B$7:$B$106,MATCH($C341,MUSTERILER!$B$7:$B$106,0)),IFERROR(INDEX(MUSTERILER!$B$7:$B$106,MATCH($T341&amp;"*",MUSTERILER!$T$7:$T$106,0)),"TANIMSIZ MÜŞTERİ"))))</f>
        <v/>
      </c>
      <c r="C341" s="109" t="n"/>
      <c r="D341" s="220" t="n"/>
      <c r="E341" s="220" t="n"/>
      <c r="F341" s="108" t="n"/>
      <c r="G341" s="221" t="n"/>
      <c r="H341" s="108" t="n"/>
      <c r="I341" s="222">
        <f>IF(OR($C341="",$D341="",$G341="",$F341=""),0,$G341*IF($F341="Aylık",MAX(0,(YEAR(MIN(IF($E341="",TODAY(),$E341),TODAY()))-YEAR($D341))*12+MONTH(MIN(IF($E341="",TODAY(),$E341),TODAY()))-MONTH($D341)+IF(MIN(IF($E341="",TODAY(),$E341),TODAY())&gt;=EOMONTH(MIN(IF($E341="",TODAY(),$E341),TODAY()),0),1,0)),MAX(0,INT((MIN(IF($E341="",TODAY(),$E341),TODAY())-($D341+MOD(SISTEM!$F$8-WEEKDAY($D341,2),7)))/7)+1)))</f>
        <v/>
      </c>
      <c r="J341" s="222">
        <f>IF(OR($C341="",$D341="",$G341="",$F341=""),0,$G341*IF($F341="Aylık",MAX(0,(YEAR(MIN(IF($E341="",TODAY()-8,$E341),TODAY()-8))-YEAR($D341))*12+MONTH(MIN(IF($E341="",TODAY()-8,$E341),TODAY()-8))-MONTH($D341)+IF(MIN(IF($E341="",TODAY()-8,$E341),TODAY()-8)&gt;=EOMONTH(MIN(IF($E341="",TODAY()-8,$E341),TODAY()-8),0),1,0)),MAX(0,INT((MIN(IF($E341="",TODAY()-8,$E341),TODAY()-8)-($D341+MOD(SISTEM!$F$8-WEEKDAY($D341,2),7)))/7)+1)))</f>
        <v/>
      </c>
      <c r="K341" s="222">
        <f>IF(OR($C341="",$D341="",$G341="",$F341=""),0,$G341*IF($F341="Aylık",MAX(0,(YEAR(MIN(IF($E341="",TODAY()-15,$E341),TODAY()-15))-YEAR($D341))*12+MONTH(MIN(IF($E341="",TODAY()-15,$E341),TODAY()-15))-MONTH($D341)+IF(MIN(IF($E341="",TODAY()-15,$E341),TODAY()-15)&gt;=EOMONTH(MIN(IF($E341="",TODAY()-15,$E341),TODAY()-15),0),1,0)),MAX(0,INT((MIN(IF($E341="",TODAY()-15,$E341),TODAY()-15)-($D341+MOD(SISTEM!$F$8-WEEKDAY($D341,2),7)))/7)+1)))</f>
        <v/>
      </c>
      <c r="L341" s="222">
        <f>IF(OR($C341="",$D341="",$G341="",$F341=""),0,$G341*IF($F341="Aylık",MAX(0,(YEAR(MIN(IF($E341="",TODAY()-29,$E341),TODAY()-29))-YEAR($D341))*12+MONTH(MIN(IF($E341="",TODAY()-29,$E341),TODAY()-29))-MONTH($D341)+IF(MIN(IF($E341="",TODAY()-29,$E341),TODAY()-29)&gt;=EOMONTH(MIN(IF($E341="",TODAY()-29,$E341),TODAY()-29),0),1,0)),MAX(0,INT((MIN(IF($E341="",TODAY()-29,$E341),TODAY()-29)-($D341+MOD(SISTEM!$F$8-WEEKDAY($D341,2),7)))/7)+1)))</f>
        <v/>
      </c>
      <c r="M341" s="223">
        <f>IF($G341&gt;0,$I341/$G341,0)</f>
        <v/>
      </c>
      <c r="N341" s="113">
        <f>IF($C341="","",IF($B341="TANIMSIZ MÜŞTERİ","TANIMSIZ MÜŞTERİ",IF($F341="","MODEL SEÇİN",IF(OR($D341="",$G341&lt;=0),"EKSİK",IF(AND($E341&lt;&gt;"",$E341&lt;$D341),"TARİH HATASI",IF($H341="Pasif","KAPALI DÖNEM","UYGUN"))))))</f>
        <v/>
      </c>
      <c r="O341" s="224">
        <f>IF(OR($C341="",$D341="",$F341=""),"",IF($F341="Aylık",EOMONTH($D341,0),($D341+MOD(SISTEM!$F$8-WEEKDAY($D341,2),7))))</f>
        <v/>
      </c>
      <c r="P341" s="109" t="n"/>
      <c r="Q341" s="6" t="n"/>
      <c r="R341" s="6" t="n"/>
      <c r="S341" s="3">
        <f>IF($B341="","",$B341&amp;"|"&amp;COUNTIFS($B$7:$B341,$B341))</f>
        <v/>
      </c>
      <c r="T341" s="3">
        <f>IF($C341="","",UPPER(SUBSTITUTE(SUBSTITUTE(SUBSTITUTE(SUBSTITUTE(SUBSTITUTE(SUBSTITUTE(SUBSTITUTE(SUBSTITUTE(SUBSTITUTE(SUBSTITUTE(SUBSTITUTE(SUBSTITUTE(SUBSTITUTE(SUBSTITUTE(SUBSTITUTE(SUBSTITUTE(SUBSTITUTE(SUBSTITUTE(TRIM($C341),"'",""),"İ","I"),"ı","I"),"i","I"),"Ş","S"),"ş","S"),"Ğ","G"),"ğ","G"),"Ü","U"),"ü","U"),"Ö","O"),"ö","O"),"Ç","C"),"ç","C"),".",""),",","")," ",""),"-","")))</f>
        <v/>
      </c>
    </row>
    <row r="342">
      <c r="A342" s="6" t="n"/>
      <c r="B342" s="113">
        <f>IF($C342="","",IFERROR(INDEX(MUSTERILER!$B$7:$B$106,MATCH($T342,MUSTERILER!$T$7:$T$106,0)),IFERROR(INDEX(MUSTERILER!$B$7:$B$106,MATCH($C342,MUSTERILER!$B$7:$B$106,0)),IFERROR(INDEX(MUSTERILER!$B$7:$B$106,MATCH($T342&amp;"*",MUSTERILER!$T$7:$T$106,0)),"TANIMSIZ MÜŞTERİ"))))</f>
        <v/>
      </c>
      <c r="C342" s="109" t="n"/>
      <c r="D342" s="220" t="n"/>
      <c r="E342" s="220" t="n"/>
      <c r="F342" s="108" t="n"/>
      <c r="G342" s="221" t="n"/>
      <c r="H342" s="108" t="n"/>
      <c r="I342" s="222">
        <f>IF(OR($C342="",$D342="",$G342="",$F342=""),0,$G342*IF($F342="Aylık",MAX(0,(YEAR(MIN(IF($E342="",TODAY(),$E342),TODAY()))-YEAR($D342))*12+MONTH(MIN(IF($E342="",TODAY(),$E342),TODAY()))-MONTH($D342)+IF(MIN(IF($E342="",TODAY(),$E342),TODAY())&gt;=EOMONTH(MIN(IF($E342="",TODAY(),$E342),TODAY()),0),1,0)),MAX(0,INT((MIN(IF($E342="",TODAY(),$E342),TODAY())-($D342+MOD(SISTEM!$F$8-WEEKDAY($D342,2),7)))/7)+1)))</f>
        <v/>
      </c>
      <c r="J342" s="222">
        <f>IF(OR($C342="",$D342="",$G342="",$F342=""),0,$G342*IF($F342="Aylık",MAX(0,(YEAR(MIN(IF($E342="",TODAY()-8,$E342),TODAY()-8))-YEAR($D342))*12+MONTH(MIN(IF($E342="",TODAY()-8,$E342),TODAY()-8))-MONTH($D342)+IF(MIN(IF($E342="",TODAY()-8,$E342),TODAY()-8)&gt;=EOMONTH(MIN(IF($E342="",TODAY()-8,$E342),TODAY()-8),0),1,0)),MAX(0,INT((MIN(IF($E342="",TODAY()-8,$E342),TODAY()-8)-($D342+MOD(SISTEM!$F$8-WEEKDAY($D342,2),7)))/7)+1)))</f>
        <v/>
      </c>
      <c r="K342" s="222">
        <f>IF(OR($C342="",$D342="",$G342="",$F342=""),0,$G342*IF($F342="Aylık",MAX(0,(YEAR(MIN(IF($E342="",TODAY()-15,$E342),TODAY()-15))-YEAR($D342))*12+MONTH(MIN(IF($E342="",TODAY()-15,$E342),TODAY()-15))-MONTH($D342)+IF(MIN(IF($E342="",TODAY()-15,$E342),TODAY()-15)&gt;=EOMONTH(MIN(IF($E342="",TODAY()-15,$E342),TODAY()-15),0),1,0)),MAX(0,INT((MIN(IF($E342="",TODAY()-15,$E342),TODAY()-15)-($D342+MOD(SISTEM!$F$8-WEEKDAY($D342,2),7)))/7)+1)))</f>
        <v/>
      </c>
      <c r="L342" s="222">
        <f>IF(OR($C342="",$D342="",$G342="",$F342=""),0,$G342*IF($F342="Aylık",MAX(0,(YEAR(MIN(IF($E342="",TODAY()-29,$E342),TODAY()-29))-YEAR($D342))*12+MONTH(MIN(IF($E342="",TODAY()-29,$E342),TODAY()-29))-MONTH($D342)+IF(MIN(IF($E342="",TODAY()-29,$E342),TODAY()-29)&gt;=EOMONTH(MIN(IF($E342="",TODAY()-29,$E342),TODAY()-29),0),1,0)),MAX(0,INT((MIN(IF($E342="",TODAY()-29,$E342),TODAY()-29)-($D342+MOD(SISTEM!$F$8-WEEKDAY($D342,2),7)))/7)+1)))</f>
        <v/>
      </c>
      <c r="M342" s="223">
        <f>IF($G342&gt;0,$I342/$G342,0)</f>
        <v/>
      </c>
      <c r="N342" s="113">
        <f>IF($C342="","",IF($B342="TANIMSIZ MÜŞTERİ","TANIMSIZ MÜŞTERİ",IF($F342="","MODEL SEÇİN",IF(OR($D342="",$G342&lt;=0),"EKSİK",IF(AND($E342&lt;&gt;"",$E342&lt;$D342),"TARİH HATASI",IF($H342="Pasif","KAPALI DÖNEM","UYGUN"))))))</f>
        <v/>
      </c>
      <c r="O342" s="224">
        <f>IF(OR($C342="",$D342="",$F342=""),"",IF($F342="Aylık",EOMONTH($D342,0),($D342+MOD(SISTEM!$F$8-WEEKDAY($D342,2),7))))</f>
        <v/>
      </c>
      <c r="P342" s="109" t="n"/>
      <c r="Q342" s="6" t="n"/>
      <c r="R342" s="6" t="n"/>
      <c r="S342" s="3">
        <f>IF($B342="","",$B342&amp;"|"&amp;COUNTIFS($B$7:$B342,$B342))</f>
        <v/>
      </c>
      <c r="T342" s="3">
        <f>IF($C342="","",UPPER(SUBSTITUTE(SUBSTITUTE(SUBSTITUTE(SUBSTITUTE(SUBSTITUTE(SUBSTITUTE(SUBSTITUTE(SUBSTITUTE(SUBSTITUTE(SUBSTITUTE(SUBSTITUTE(SUBSTITUTE(SUBSTITUTE(SUBSTITUTE(SUBSTITUTE(SUBSTITUTE(SUBSTITUTE(SUBSTITUTE(TRIM($C342),"'",""),"İ","I"),"ı","I"),"i","I"),"Ş","S"),"ş","S"),"Ğ","G"),"ğ","G"),"Ü","U"),"ü","U"),"Ö","O"),"ö","O"),"Ç","C"),"ç","C"),".",""),",","")," ",""),"-","")))</f>
        <v/>
      </c>
    </row>
    <row r="343">
      <c r="A343" s="6" t="n"/>
      <c r="B343" s="113">
        <f>IF($C343="","",IFERROR(INDEX(MUSTERILER!$B$7:$B$106,MATCH($T343,MUSTERILER!$T$7:$T$106,0)),IFERROR(INDEX(MUSTERILER!$B$7:$B$106,MATCH($C343,MUSTERILER!$B$7:$B$106,0)),IFERROR(INDEX(MUSTERILER!$B$7:$B$106,MATCH($T343&amp;"*",MUSTERILER!$T$7:$T$106,0)),"TANIMSIZ MÜŞTERİ"))))</f>
        <v/>
      </c>
      <c r="C343" s="109" t="n"/>
      <c r="D343" s="220" t="n"/>
      <c r="E343" s="220" t="n"/>
      <c r="F343" s="108" t="n"/>
      <c r="G343" s="221" t="n"/>
      <c r="H343" s="108" t="n"/>
      <c r="I343" s="222">
        <f>IF(OR($C343="",$D343="",$G343="",$F343=""),0,$G343*IF($F343="Aylık",MAX(0,(YEAR(MIN(IF($E343="",TODAY(),$E343),TODAY()))-YEAR($D343))*12+MONTH(MIN(IF($E343="",TODAY(),$E343),TODAY()))-MONTH($D343)+IF(MIN(IF($E343="",TODAY(),$E343),TODAY())&gt;=EOMONTH(MIN(IF($E343="",TODAY(),$E343),TODAY()),0),1,0)),MAX(0,INT((MIN(IF($E343="",TODAY(),$E343),TODAY())-($D343+MOD(SISTEM!$F$8-WEEKDAY($D343,2),7)))/7)+1)))</f>
        <v/>
      </c>
      <c r="J343" s="222">
        <f>IF(OR($C343="",$D343="",$G343="",$F343=""),0,$G343*IF($F343="Aylık",MAX(0,(YEAR(MIN(IF($E343="",TODAY()-8,$E343),TODAY()-8))-YEAR($D343))*12+MONTH(MIN(IF($E343="",TODAY()-8,$E343),TODAY()-8))-MONTH($D343)+IF(MIN(IF($E343="",TODAY()-8,$E343),TODAY()-8)&gt;=EOMONTH(MIN(IF($E343="",TODAY()-8,$E343),TODAY()-8),0),1,0)),MAX(0,INT((MIN(IF($E343="",TODAY()-8,$E343),TODAY()-8)-($D343+MOD(SISTEM!$F$8-WEEKDAY($D343,2),7)))/7)+1)))</f>
        <v/>
      </c>
      <c r="K343" s="222">
        <f>IF(OR($C343="",$D343="",$G343="",$F343=""),0,$G343*IF($F343="Aylık",MAX(0,(YEAR(MIN(IF($E343="",TODAY()-15,$E343),TODAY()-15))-YEAR($D343))*12+MONTH(MIN(IF($E343="",TODAY()-15,$E343),TODAY()-15))-MONTH($D343)+IF(MIN(IF($E343="",TODAY()-15,$E343),TODAY()-15)&gt;=EOMONTH(MIN(IF($E343="",TODAY()-15,$E343),TODAY()-15),0),1,0)),MAX(0,INT((MIN(IF($E343="",TODAY()-15,$E343),TODAY()-15)-($D343+MOD(SISTEM!$F$8-WEEKDAY($D343,2),7)))/7)+1)))</f>
        <v/>
      </c>
      <c r="L343" s="222">
        <f>IF(OR($C343="",$D343="",$G343="",$F343=""),0,$G343*IF($F343="Aylık",MAX(0,(YEAR(MIN(IF($E343="",TODAY()-29,$E343),TODAY()-29))-YEAR($D343))*12+MONTH(MIN(IF($E343="",TODAY()-29,$E343),TODAY()-29))-MONTH($D343)+IF(MIN(IF($E343="",TODAY()-29,$E343),TODAY()-29)&gt;=EOMONTH(MIN(IF($E343="",TODAY()-29,$E343),TODAY()-29),0),1,0)),MAX(0,INT((MIN(IF($E343="",TODAY()-29,$E343),TODAY()-29)-($D343+MOD(SISTEM!$F$8-WEEKDAY($D343,2),7)))/7)+1)))</f>
        <v/>
      </c>
      <c r="M343" s="223">
        <f>IF($G343&gt;0,$I343/$G343,0)</f>
        <v/>
      </c>
      <c r="N343" s="113">
        <f>IF($C343="","",IF($B343="TANIMSIZ MÜŞTERİ","TANIMSIZ MÜŞTERİ",IF($F343="","MODEL SEÇİN",IF(OR($D343="",$G343&lt;=0),"EKSİK",IF(AND($E343&lt;&gt;"",$E343&lt;$D343),"TARİH HATASI",IF($H343="Pasif","KAPALI DÖNEM","UYGUN"))))))</f>
        <v/>
      </c>
      <c r="O343" s="224">
        <f>IF(OR($C343="",$D343="",$F343=""),"",IF($F343="Aylık",EOMONTH($D343,0),($D343+MOD(SISTEM!$F$8-WEEKDAY($D343,2),7))))</f>
        <v/>
      </c>
      <c r="P343" s="109" t="n"/>
      <c r="Q343" s="6" t="n"/>
      <c r="R343" s="6" t="n"/>
      <c r="S343" s="3">
        <f>IF($B343="","",$B343&amp;"|"&amp;COUNTIFS($B$7:$B343,$B343))</f>
        <v/>
      </c>
      <c r="T343" s="3">
        <f>IF($C343="","",UPPER(SUBSTITUTE(SUBSTITUTE(SUBSTITUTE(SUBSTITUTE(SUBSTITUTE(SUBSTITUTE(SUBSTITUTE(SUBSTITUTE(SUBSTITUTE(SUBSTITUTE(SUBSTITUTE(SUBSTITUTE(SUBSTITUTE(SUBSTITUTE(SUBSTITUTE(SUBSTITUTE(SUBSTITUTE(SUBSTITUTE(TRIM($C343),"'",""),"İ","I"),"ı","I"),"i","I"),"Ş","S"),"ş","S"),"Ğ","G"),"ğ","G"),"Ü","U"),"ü","U"),"Ö","O"),"ö","O"),"Ç","C"),"ç","C"),".",""),",","")," ",""),"-","")))</f>
        <v/>
      </c>
    </row>
    <row r="344">
      <c r="A344" s="6" t="n"/>
      <c r="B344" s="113">
        <f>IF($C344="","",IFERROR(INDEX(MUSTERILER!$B$7:$B$106,MATCH($T344,MUSTERILER!$T$7:$T$106,0)),IFERROR(INDEX(MUSTERILER!$B$7:$B$106,MATCH($C344,MUSTERILER!$B$7:$B$106,0)),IFERROR(INDEX(MUSTERILER!$B$7:$B$106,MATCH($T344&amp;"*",MUSTERILER!$T$7:$T$106,0)),"TANIMSIZ MÜŞTERİ"))))</f>
        <v/>
      </c>
      <c r="C344" s="109" t="n"/>
      <c r="D344" s="220" t="n"/>
      <c r="E344" s="220" t="n"/>
      <c r="F344" s="108" t="n"/>
      <c r="G344" s="221" t="n"/>
      <c r="H344" s="108" t="n"/>
      <c r="I344" s="222">
        <f>IF(OR($C344="",$D344="",$G344="",$F344=""),0,$G344*IF($F344="Aylık",MAX(0,(YEAR(MIN(IF($E344="",TODAY(),$E344),TODAY()))-YEAR($D344))*12+MONTH(MIN(IF($E344="",TODAY(),$E344),TODAY()))-MONTH($D344)+IF(MIN(IF($E344="",TODAY(),$E344),TODAY())&gt;=EOMONTH(MIN(IF($E344="",TODAY(),$E344),TODAY()),0),1,0)),MAX(0,INT((MIN(IF($E344="",TODAY(),$E344),TODAY())-($D344+MOD(SISTEM!$F$8-WEEKDAY($D344,2),7)))/7)+1)))</f>
        <v/>
      </c>
      <c r="J344" s="222">
        <f>IF(OR($C344="",$D344="",$G344="",$F344=""),0,$G344*IF($F344="Aylık",MAX(0,(YEAR(MIN(IF($E344="",TODAY()-8,$E344),TODAY()-8))-YEAR($D344))*12+MONTH(MIN(IF($E344="",TODAY()-8,$E344),TODAY()-8))-MONTH($D344)+IF(MIN(IF($E344="",TODAY()-8,$E344),TODAY()-8)&gt;=EOMONTH(MIN(IF($E344="",TODAY()-8,$E344),TODAY()-8),0),1,0)),MAX(0,INT((MIN(IF($E344="",TODAY()-8,$E344),TODAY()-8)-($D344+MOD(SISTEM!$F$8-WEEKDAY($D344,2),7)))/7)+1)))</f>
        <v/>
      </c>
      <c r="K344" s="222">
        <f>IF(OR($C344="",$D344="",$G344="",$F344=""),0,$G344*IF($F344="Aylık",MAX(0,(YEAR(MIN(IF($E344="",TODAY()-15,$E344),TODAY()-15))-YEAR($D344))*12+MONTH(MIN(IF($E344="",TODAY()-15,$E344),TODAY()-15))-MONTH($D344)+IF(MIN(IF($E344="",TODAY()-15,$E344),TODAY()-15)&gt;=EOMONTH(MIN(IF($E344="",TODAY()-15,$E344),TODAY()-15),0),1,0)),MAX(0,INT((MIN(IF($E344="",TODAY()-15,$E344),TODAY()-15)-($D344+MOD(SISTEM!$F$8-WEEKDAY($D344,2),7)))/7)+1)))</f>
        <v/>
      </c>
      <c r="L344" s="222">
        <f>IF(OR($C344="",$D344="",$G344="",$F344=""),0,$G344*IF($F344="Aylık",MAX(0,(YEAR(MIN(IF($E344="",TODAY()-29,$E344),TODAY()-29))-YEAR($D344))*12+MONTH(MIN(IF($E344="",TODAY()-29,$E344),TODAY()-29))-MONTH($D344)+IF(MIN(IF($E344="",TODAY()-29,$E344),TODAY()-29)&gt;=EOMONTH(MIN(IF($E344="",TODAY()-29,$E344),TODAY()-29),0),1,0)),MAX(0,INT((MIN(IF($E344="",TODAY()-29,$E344),TODAY()-29)-($D344+MOD(SISTEM!$F$8-WEEKDAY($D344,2),7)))/7)+1)))</f>
        <v/>
      </c>
      <c r="M344" s="223">
        <f>IF($G344&gt;0,$I344/$G344,0)</f>
        <v/>
      </c>
      <c r="N344" s="113">
        <f>IF($C344="","",IF($B344="TANIMSIZ MÜŞTERİ","TANIMSIZ MÜŞTERİ",IF($F344="","MODEL SEÇİN",IF(OR($D344="",$G344&lt;=0),"EKSİK",IF(AND($E344&lt;&gt;"",$E344&lt;$D344),"TARİH HATASI",IF($H344="Pasif","KAPALI DÖNEM","UYGUN"))))))</f>
        <v/>
      </c>
      <c r="O344" s="224">
        <f>IF(OR($C344="",$D344="",$F344=""),"",IF($F344="Aylık",EOMONTH($D344,0),($D344+MOD(SISTEM!$F$8-WEEKDAY($D344,2),7))))</f>
        <v/>
      </c>
      <c r="P344" s="109" t="n"/>
      <c r="Q344" s="6" t="n"/>
      <c r="R344" s="6" t="n"/>
      <c r="S344" s="3">
        <f>IF($B344="","",$B344&amp;"|"&amp;COUNTIFS($B$7:$B344,$B344))</f>
        <v/>
      </c>
      <c r="T344" s="3">
        <f>IF($C344="","",UPPER(SUBSTITUTE(SUBSTITUTE(SUBSTITUTE(SUBSTITUTE(SUBSTITUTE(SUBSTITUTE(SUBSTITUTE(SUBSTITUTE(SUBSTITUTE(SUBSTITUTE(SUBSTITUTE(SUBSTITUTE(SUBSTITUTE(SUBSTITUTE(SUBSTITUTE(SUBSTITUTE(SUBSTITUTE(SUBSTITUTE(TRIM($C344),"'",""),"İ","I"),"ı","I"),"i","I"),"Ş","S"),"ş","S"),"Ğ","G"),"ğ","G"),"Ü","U"),"ü","U"),"Ö","O"),"ö","O"),"Ç","C"),"ç","C"),".",""),",","")," ",""),"-","")))</f>
        <v/>
      </c>
    </row>
    <row r="345">
      <c r="A345" s="6" t="n"/>
      <c r="B345" s="113">
        <f>IF($C345="","",IFERROR(INDEX(MUSTERILER!$B$7:$B$106,MATCH($T345,MUSTERILER!$T$7:$T$106,0)),IFERROR(INDEX(MUSTERILER!$B$7:$B$106,MATCH($C345,MUSTERILER!$B$7:$B$106,0)),IFERROR(INDEX(MUSTERILER!$B$7:$B$106,MATCH($T345&amp;"*",MUSTERILER!$T$7:$T$106,0)),"TANIMSIZ MÜŞTERİ"))))</f>
        <v/>
      </c>
      <c r="C345" s="109" t="n"/>
      <c r="D345" s="220" t="n"/>
      <c r="E345" s="220" t="n"/>
      <c r="F345" s="108" t="n"/>
      <c r="G345" s="221" t="n"/>
      <c r="H345" s="108" t="n"/>
      <c r="I345" s="222">
        <f>IF(OR($C345="",$D345="",$G345="",$F345=""),0,$G345*IF($F345="Aylık",MAX(0,(YEAR(MIN(IF($E345="",TODAY(),$E345),TODAY()))-YEAR($D345))*12+MONTH(MIN(IF($E345="",TODAY(),$E345),TODAY()))-MONTH($D345)+IF(MIN(IF($E345="",TODAY(),$E345),TODAY())&gt;=EOMONTH(MIN(IF($E345="",TODAY(),$E345),TODAY()),0),1,0)),MAX(0,INT((MIN(IF($E345="",TODAY(),$E345),TODAY())-($D345+MOD(SISTEM!$F$8-WEEKDAY($D345,2),7)))/7)+1)))</f>
        <v/>
      </c>
      <c r="J345" s="222">
        <f>IF(OR($C345="",$D345="",$G345="",$F345=""),0,$G345*IF($F345="Aylık",MAX(0,(YEAR(MIN(IF($E345="",TODAY()-8,$E345),TODAY()-8))-YEAR($D345))*12+MONTH(MIN(IF($E345="",TODAY()-8,$E345),TODAY()-8))-MONTH($D345)+IF(MIN(IF($E345="",TODAY()-8,$E345),TODAY()-8)&gt;=EOMONTH(MIN(IF($E345="",TODAY()-8,$E345),TODAY()-8),0),1,0)),MAX(0,INT((MIN(IF($E345="",TODAY()-8,$E345),TODAY()-8)-($D345+MOD(SISTEM!$F$8-WEEKDAY($D345,2),7)))/7)+1)))</f>
        <v/>
      </c>
      <c r="K345" s="222">
        <f>IF(OR($C345="",$D345="",$G345="",$F345=""),0,$G345*IF($F345="Aylık",MAX(0,(YEAR(MIN(IF($E345="",TODAY()-15,$E345),TODAY()-15))-YEAR($D345))*12+MONTH(MIN(IF($E345="",TODAY()-15,$E345),TODAY()-15))-MONTH($D345)+IF(MIN(IF($E345="",TODAY()-15,$E345),TODAY()-15)&gt;=EOMONTH(MIN(IF($E345="",TODAY()-15,$E345),TODAY()-15),0),1,0)),MAX(0,INT((MIN(IF($E345="",TODAY()-15,$E345),TODAY()-15)-($D345+MOD(SISTEM!$F$8-WEEKDAY($D345,2),7)))/7)+1)))</f>
        <v/>
      </c>
      <c r="L345" s="222">
        <f>IF(OR($C345="",$D345="",$G345="",$F345=""),0,$G345*IF($F345="Aylık",MAX(0,(YEAR(MIN(IF($E345="",TODAY()-29,$E345),TODAY()-29))-YEAR($D345))*12+MONTH(MIN(IF($E345="",TODAY()-29,$E345),TODAY()-29))-MONTH($D345)+IF(MIN(IF($E345="",TODAY()-29,$E345),TODAY()-29)&gt;=EOMONTH(MIN(IF($E345="",TODAY()-29,$E345),TODAY()-29),0),1,0)),MAX(0,INT((MIN(IF($E345="",TODAY()-29,$E345),TODAY()-29)-($D345+MOD(SISTEM!$F$8-WEEKDAY($D345,2),7)))/7)+1)))</f>
        <v/>
      </c>
      <c r="M345" s="223">
        <f>IF($G345&gt;0,$I345/$G345,0)</f>
        <v/>
      </c>
      <c r="N345" s="113">
        <f>IF($C345="","",IF($B345="TANIMSIZ MÜŞTERİ","TANIMSIZ MÜŞTERİ",IF($F345="","MODEL SEÇİN",IF(OR($D345="",$G345&lt;=0),"EKSİK",IF(AND($E345&lt;&gt;"",$E345&lt;$D345),"TARİH HATASI",IF($H345="Pasif","KAPALI DÖNEM","UYGUN"))))))</f>
        <v/>
      </c>
      <c r="O345" s="224">
        <f>IF(OR($C345="",$D345="",$F345=""),"",IF($F345="Aylık",EOMONTH($D345,0),($D345+MOD(SISTEM!$F$8-WEEKDAY($D345,2),7))))</f>
        <v/>
      </c>
      <c r="P345" s="109" t="n"/>
      <c r="Q345" s="6" t="n"/>
      <c r="R345" s="6" t="n"/>
      <c r="S345" s="3">
        <f>IF($B345="","",$B345&amp;"|"&amp;COUNTIFS($B$7:$B345,$B345))</f>
        <v/>
      </c>
      <c r="T345" s="3">
        <f>IF($C345="","",UPPER(SUBSTITUTE(SUBSTITUTE(SUBSTITUTE(SUBSTITUTE(SUBSTITUTE(SUBSTITUTE(SUBSTITUTE(SUBSTITUTE(SUBSTITUTE(SUBSTITUTE(SUBSTITUTE(SUBSTITUTE(SUBSTITUTE(SUBSTITUTE(SUBSTITUTE(SUBSTITUTE(SUBSTITUTE(SUBSTITUTE(TRIM($C345),"'",""),"İ","I"),"ı","I"),"i","I"),"Ş","S"),"ş","S"),"Ğ","G"),"ğ","G"),"Ü","U"),"ü","U"),"Ö","O"),"ö","O"),"Ç","C"),"ç","C"),".",""),",","")," ",""),"-","")))</f>
        <v/>
      </c>
    </row>
    <row r="346">
      <c r="A346" s="6" t="n"/>
      <c r="B346" s="113">
        <f>IF($C346="","",IFERROR(INDEX(MUSTERILER!$B$7:$B$106,MATCH($T346,MUSTERILER!$T$7:$T$106,0)),IFERROR(INDEX(MUSTERILER!$B$7:$B$106,MATCH($C346,MUSTERILER!$B$7:$B$106,0)),IFERROR(INDEX(MUSTERILER!$B$7:$B$106,MATCH($T346&amp;"*",MUSTERILER!$T$7:$T$106,0)),"TANIMSIZ MÜŞTERİ"))))</f>
        <v/>
      </c>
      <c r="C346" s="109" t="n"/>
      <c r="D346" s="220" t="n"/>
      <c r="E346" s="220" t="n"/>
      <c r="F346" s="108" t="n"/>
      <c r="G346" s="221" t="n"/>
      <c r="H346" s="108" t="n"/>
      <c r="I346" s="222">
        <f>IF(OR($C346="",$D346="",$G346="",$F346=""),0,$G346*IF($F346="Aylık",MAX(0,(YEAR(MIN(IF($E346="",TODAY(),$E346),TODAY()))-YEAR($D346))*12+MONTH(MIN(IF($E346="",TODAY(),$E346),TODAY()))-MONTH($D346)+IF(MIN(IF($E346="",TODAY(),$E346),TODAY())&gt;=EOMONTH(MIN(IF($E346="",TODAY(),$E346),TODAY()),0),1,0)),MAX(0,INT((MIN(IF($E346="",TODAY(),$E346),TODAY())-($D346+MOD(SISTEM!$F$8-WEEKDAY($D346,2),7)))/7)+1)))</f>
        <v/>
      </c>
      <c r="J346" s="222">
        <f>IF(OR($C346="",$D346="",$G346="",$F346=""),0,$G346*IF($F346="Aylık",MAX(0,(YEAR(MIN(IF($E346="",TODAY()-8,$E346),TODAY()-8))-YEAR($D346))*12+MONTH(MIN(IF($E346="",TODAY()-8,$E346),TODAY()-8))-MONTH($D346)+IF(MIN(IF($E346="",TODAY()-8,$E346),TODAY()-8)&gt;=EOMONTH(MIN(IF($E346="",TODAY()-8,$E346),TODAY()-8),0),1,0)),MAX(0,INT((MIN(IF($E346="",TODAY()-8,$E346),TODAY()-8)-($D346+MOD(SISTEM!$F$8-WEEKDAY($D346,2),7)))/7)+1)))</f>
        <v/>
      </c>
      <c r="K346" s="222">
        <f>IF(OR($C346="",$D346="",$G346="",$F346=""),0,$G346*IF($F346="Aylık",MAX(0,(YEAR(MIN(IF($E346="",TODAY()-15,$E346),TODAY()-15))-YEAR($D346))*12+MONTH(MIN(IF($E346="",TODAY()-15,$E346),TODAY()-15))-MONTH($D346)+IF(MIN(IF($E346="",TODAY()-15,$E346),TODAY()-15)&gt;=EOMONTH(MIN(IF($E346="",TODAY()-15,$E346),TODAY()-15),0),1,0)),MAX(0,INT((MIN(IF($E346="",TODAY()-15,$E346),TODAY()-15)-($D346+MOD(SISTEM!$F$8-WEEKDAY($D346,2),7)))/7)+1)))</f>
        <v/>
      </c>
      <c r="L346" s="222">
        <f>IF(OR($C346="",$D346="",$G346="",$F346=""),0,$G346*IF($F346="Aylık",MAX(0,(YEAR(MIN(IF($E346="",TODAY()-29,$E346),TODAY()-29))-YEAR($D346))*12+MONTH(MIN(IF($E346="",TODAY()-29,$E346),TODAY()-29))-MONTH($D346)+IF(MIN(IF($E346="",TODAY()-29,$E346),TODAY()-29)&gt;=EOMONTH(MIN(IF($E346="",TODAY()-29,$E346),TODAY()-29),0),1,0)),MAX(0,INT((MIN(IF($E346="",TODAY()-29,$E346),TODAY()-29)-($D346+MOD(SISTEM!$F$8-WEEKDAY($D346,2),7)))/7)+1)))</f>
        <v/>
      </c>
      <c r="M346" s="223">
        <f>IF($G346&gt;0,$I346/$G346,0)</f>
        <v/>
      </c>
      <c r="N346" s="113">
        <f>IF($C346="","",IF($B346="TANIMSIZ MÜŞTERİ","TANIMSIZ MÜŞTERİ",IF($F346="","MODEL SEÇİN",IF(OR($D346="",$G346&lt;=0),"EKSİK",IF(AND($E346&lt;&gt;"",$E346&lt;$D346),"TARİH HATASI",IF($H346="Pasif","KAPALI DÖNEM","UYGUN"))))))</f>
        <v/>
      </c>
      <c r="O346" s="224">
        <f>IF(OR($C346="",$D346="",$F346=""),"",IF($F346="Aylık",EOMONTH($D346,0),($D346+MOD(SISTEM!$F$8-WEEKDAY($D346,2),7))))</f>
        <v/>
      </c>
      <c r="P346" s="109" t="n"/>
      <c r="Q346" s="6" t="n"/>
      <c r="R346" s="6" t="n"/>
      <c r="S346" s="3">
        <f>IF($B346="","",$B346&amp;"|"&amp;COUNTIFS($B$7:$B346,$B346))</f>
        <v/>
      </c>
      <c r="T346" s="3">
        <f>IF($C346="","",UPPER(SUBSTITUTE(SUBSTITUTE(SUBSTITUTE(SUBSTITUTE(SUBSTITUTE(SUBSTITUTE(SUBSTITUTE(SUBSTITUTE(SUBSTITUTE(SUBSTITUTE(SUBSTITUTE(SUBSTITUTE(SUBSTITUTE(SUBSTITUTE(SUBSTITUTE(SUBSTITUTE(SUBSTITUTE(SUBSTITUTE(TRIM($C346),"'",""),"İ","I"),"ı","I"),"i","I"),"Ş","S"),"ş","S"),"Ğ","G"),"ğ","G"),"Ü","U"),"ü","U"),"Ö","O"),"ö","O"),"Ç","C"),"ç","C"),".",""),",","")," ",""),"-","")))</f>
        <v/>
      </c>
    </row>
    <row r="347">
      <c r="A347" s="6" t="n"/>
      <c r="B347" s="113">
        <f>IF($C347="","",IFERROR(INDEX(MUSTERILER!$B$7:$B$106,MATCH($T347,MUSTERILER!$T$7:$T$106,0)),IFERROR(INDEX(MUSTERILER!$B$7:$B$106,MATCH($C347,MUSTERILER!$B$7:$B$106,0)),IFERROR(INDEX(MUSTERILER!$B$7:$B$106,MATCH($T347&amp;"*",MUSTERILER!$T$7:$T$106,0)),"TANIMSIZ MÜŞTERİ"))))</f>
        <v/>
      </c>
      <c r="C347" s="109" t="n"/>
      <c r="D347" s="220" t="n"/>
      <c r="E347" s="220" t="n"/>
      <c r="F347" s="108" t="n"/>
      <c r="G347" s="221" t="n"/>
      <c r="H347" s="108" t="n"/>
      <c r="I347" s="222">
        <f>IF(OR($C347="",$D347="",$G347="",$F347=""),0,$G347*IF($F347="Aylık",MAX(0,(YEAR(MIN(IF($E347="",TODAY(),$E347),TODAY()))-YEAR($D347))*12+MONTH(MIN(IF($E347="",TODAY(),$E347),TODAY()))-MONTH($D347)+IF(MIN(IF($E347="",TODAY(),$E347),TODAY())&gt;=EOMONTH(MIN(IF($E347="",TODAY(),$E347),TODAY()),0),1,0)),MAX(0,INT((MIN(IF($E347="",TODAY(),$E347),TODAY())-($D347+MOD(SISTEM!$F$8-WEEKDAY($D347,2),7)))/7)+1)))</f>
        <v/>
      </c>
      <c r="J347" s="222">
        <f>IF(OR($C347="",$D347="",$G347="",$F347=""),0,$G347*IF($F347="Aylık",MAX(0,(YEAR(MIN(IF($E347="",TODAY()-8,$E347),TODAY()-8))-YEAR($D347))*12+MONTH(MIN(IF($E347="",TODAY()-8,$E347),TODAY()-8))-MONTH($D347)+IF(MIN(IF($E347="",TODAY()-8,$E347),TODAY()-8)&gt;=EOMONTH(MIN(IF($E347="",TODAY()-8,$E347),TODAY()-8),0),1,0)),MAX(0,INT((MIN(IF($E347="",TODAY()-8,$E347),TODAY()-8)-($D347+MOD(SISTEM!$F$8-WEEKDAY($D347,2),7)))/7)+1)))</f>
        <v/>
      </c>
      <c r="K347" s="222">
        <f>IF(OR($C347="",$D347="",$G347="",$F347=""),0,$G347*IF($F347="Aylık",MAX(0,(YEAR(MIN(IF($E347="",TODAY()-15,$E347),TODAY()-15))-YEAR($D347))*12+MONTH(MIN(IF($E347="",TODAY()-15,$E347),TODAY()-15))-MONTH($D347)+IF(MIN(IF($E347="",TODAY()-15,$E347),TODAY()-15)&gt;=EOMONTH(MIN(IF($E347="",TODAY()-15,$E347),TODAY()-15),0),1,0)),MAX(0,INT((MIN(IF($E347="",TODAY()-15,$E347),TODAY()-15)-($D347+MOD(SISTEM!$F$8-WEEKDAY($D347,2),7)))/7)+1)))</f>
        <v/>
      </c>
      <c r="L347" s="222">
        <f>IF(OR($C347="",$D347="",$G347="",$F347=""),0,$G347*IF($F347="Aylık",MAX(0,(YEAR(MIN(IF($E347="",TODAY()-29,$E347),TODAY()-29))-YEAR($D347))*12+MONTH(MIN(IF($E347="",TODAY()-29,$E347),TODAY()-29))-MONTH($D347)+IF(MIN(IF($E347="",TODAY()-29,$E347),TODAY()-29)&gt;=EOMONTH(MIN(IF($E347="",TODAY()-29,$E347),TODAY()-29),0),1,0)),MAX(0,INT((MIN(IF($E347="",TODAY()-29,$E347),TODAY()-29)-($D347+MOD(SISTEM!$F$8-WEEKDAY($D347,2),7)))/7)+1)))</f>
        <v/>
      </c>
      <c r="M347" s="223">
        <f>IF($G347&gt;0,$I347/$G347,0)</f>
        <v/>
      </c>
      <c r="N347" s="113">
        <f>IF($C347="","",IF($B347="TANIMSIZ MÜŞTERİ","TANIMSIZ MÜŞTERİ",IF($F347="","MODEL SEÇİN",IF(OR($D347="",$G347&lt;=0),"EKSİK",IF(AND($E347&lt;&gt;"",$E347&lt;$D347),"TARİH HATASI",IF($H347="Pasif","KAPALI DÖNEM","UYGUN"))))))</f>
        <v/>
      </c>
      <c r="O347" s="224">
        <f>IF(OR($C347="",$D347="",$F347=""),"",IF($F347="Aylık",EOMONTH($D347,0),($D347+MOD(SISTEM!$F$8-WEEKDAY($D347,2),7))))</f>
        <v/>
      </c>
      <c r="P347" s="109" t="n"/>
      <c r="Q347" s="6" t="n"/>
      <c r="R347" s="6" t="n"/>
      <c r="S347" s="3">
        <f>IF($B347="","",$B347&amp;"|"&amp;COUNTIFS($B$7:$B347,$B347))</f>
        <v/>
      </c>
      <c r="T347" s="3">
        <f>IF($C347="","",UPPER(SUBSTITUTE(SUBSTITUTE(SUBSTITUTE(SUBSTITUTE(SUBSTITUTE(SUBSTITUTE(SUBSTITUTE(SUBSTITUTE(SUBSTITUTE(SUBSTITUTE(SUBSTITUTE(SUBSTITUTE(SUBSTITUTE(SUBSTITUTE(SUBSTITUTE(SUBSTITUTE(SUBSTITUTE(SUBSTITUTE(TRIM($C347),"'",""),"İ","I"),"ı","I"),"i","I"),"Ş","S"),"ş","S"),"Ğ","G"),"ğ","G"),"Ü","U"),"ü","U"),"Ö","O"),"ö","O"),"Ç","C"),"ç","C"),".",""),",","")," ",""),"-","")))</f>
        <v/>
      </c>
    </row>
    <row r="348">
      <c r="A348" s="6" t="n"/>
      <c r="B348" s="113">
        <f>IF($C348="","",IFERROR(INDEX(MUSTERILER!$B$7:$B$106,MATCH($T348,MUSTERILER!$T$7:$T$106,0)),IFERROR(INDEX(MUSTERILER!$B$7:$B$106,MATCH($C348,MUSTERILER!$B$7:$B$106,0)),IFERROR(INDEX(MUSTERILER!$B$7:$B$106,MATCH($T348&amp;"*",MUSTERILER!$T$7:$T$106,0)),"TANIMSIZ MÜŞTERİ"))))</f>
        <v/>
      </c>
      <c r="C348" s="109" t="n"/>
      <c r="D348" s="220" t="n"/>
      <c r="E348" s="220" t="n"/>
      <c r="F348" s="108" t="n"/>
      <c r="G348" s="221" t="n"/>
      <c r="H348" s="108" t="n"/>
      <c r="I348" s="222">
        <f>IF(OR($C348="",$D348="",$G348="",$F348=""),0,$G348*IF($F348="Aylık",MAX(0,(YEAR(MIN(IF($E348="",TODAY(),$E348),TODAY()))-YEAR($D348))*12+MONTH(MIN(IF($E348="",TODAY(),$E348),TODAY()))-MONTH($D348)+IF(MIN(IF($E348="",TODAY(),$E348),TODAY())&gt;=EOMONTH(MIN(IF($E348="",TODAY(),$E348),TODAY()),0),1,0)),MAX(0,INT((MIN(IF($E348="",TODAY(),$E348),TODAY())-($D348+MOD(SISTEM!$F$8-WEEKDAY($D348,2),7)))/7)+1)))</f>
        <v/>
      </c>
      <c r="J348" s="222">
        <f>IF(OR($C348="",$D348="",$G348="",$F348=""),0,$G348*IF($F348="Aylık",MAX(0,(YEAR(MIN(IF($E348="",TODAY()-8,$E348),TODAY()-8))-YEAR($D348))*12+MONTH(MIN(IF($E348="",TODAY()-8,$E348),TODAY()-8))-MONTH($D348)+IF(MIN(IF($E348="",TODAY()-8,$E348),TODAY()-8)&gt;=EOMONTH(MIN(IF($E348="",TODAY()-8,$E348),TODAY()-8),0),1,0)),MAX(0,INT((MIN(IF($E348="",TODAY()-8,$E348),TODAY()-8)-($D348+MOD(SISTEM!$F$8-WEEKDAY($D348,2),7)))/7)+1)))</f>
        <v/>
      </c>
      <c r="K348" s="222">
        <f>IF(OR($C348="",$D348="",$G348="",$F348=""),0,$G348*IF($F348="Aylık",MAX(0,(YEAR(MIN(IF($E348="",TODAY()-15,$E348),TODAY()-15))-YEAR($D348))*12+MONTH(MIN(IF($E348="",TODAY()-15,$E348),TODAY()-15))-MONTH($D348)+IF(MIN(IF($E348="",TODAY()-15,$E348),TODAY()-15)&gt;=EOMONTH(MIN(IF($E348="",TODAY()-15,$E348),TODAY()-15),0),1,0)),MAX(0,INT((MIN(IF($E348="",TODAY()-15,$E348),TODAY()-15)-($D348+MOD(SISTEM!$F$8-WEEKDAY($D348,2),7)))/7)+1)))</f>
        <v/>
      </c>
      <c r="L348" s="222">
        <f>IF(OR($C348="",$D348="",$G348="",$F348=""),0,$G348*IF($F348="Aylık",MAX(0,(YEAR(MIN(IF($E348="",TODAY()-29,$E348),TODAY()-29))-YEAR($D348))*12+MONTH(MIN(IF($E348="",TODAY()-29,$E348),TODAY()-29))-MONTH($D348)+IF(MIN(IF($E348="",TODAY()-29,$E348),TODAY()-29)&gt;=EOMONTH(MIN(IF($E348="",TODAY()-29,$E348),TODAY()-29),0),1,0)),MAX(0,INT((MIN(IF($E348="",TODAY()-29,$E348),TODAY()-29)-($D348+MOD(SISTEM!$F$8-WEEKDAY($D348,2),7)))/7)+1)))</f>
        <v/>
      </c>
      <c r="M348" s="223">
        <f>IF($G348&gt;0,$I348/$G348,0)</f>
        <v/>
      </c>
      <c r="N348" s="113">
        <f>IF($C348="","",IF($B348="TANIMSIZ MÜŞTERİ","TANIMSIZ MÜŞTERİ",IF($F348="","MODEL SEÇİN",IF(OR($D348="",$G348&lt;=0),"EKSİK",IF(AND($E348&lt;&gt;"",$E348&lt;$D348),"TARİH HATASI",IF($H348="Pasif","KAPALI DÖNEM","UYGUN"))))))</f>
        <v/>
      </c>
      <c r="O348" s="224">
        <f>IF(OR($C348="",$D348="",$F348=""),"",IF($F348="Aylık",EOMONTH($D348,0),($D348+MOD(SISTEM!$F$8-WEEKDAY($D348,2),7))))</f>
        <v/>
      </c>
      <c r="P348" s="109" t="n"/>
      <c r="Q348" s="6" t="n"/>
      <c r="R348" s="6" t="n"/>
      <c r="S348" s="3">
        <f>IF($B348="","",$B348&amp;"|"&amp;COUNTIFS($B$7:$B348,$B348))</f>
        <v/>
      </c>
      <c r="T348" s="3">
        <f>IF($C348="","",UPPER(SUBSTITUTE(SUBSTITUTE(SUBSTITUTE(SUBSTITUTE(SUBSTITUTE(SUBSTITUTE(SUBSTITUTE(SUBSTITUTE(SUBSTITUTE(SUBSTITUTE(SUBSTITUTE(SUBSTITUTE(SUBSTITUTE(SUBSTITUTE(SUBSTITUTE(SUBSTITUTE(SUBSTITUTE(SUBSTITUTE(TRIM($C348),"'",""),"İ","I"),"ı","I"),"i","I"),"Ş","S"),"ş","S"),"Ğ","G"),"ğ","G"),"Ü","U"),"ü","U"),"Ö","O"),"ö","O"),"Ç","C"),"ç","C"),".",""),",","")," ",""),"-","")))</f>
        <v/>
      </c>
    </row>
    <row r="349">
      <c r="A349" s="6" t="n"/>
      <c r="B349" s="113">
        <f>IF($C349="","",IFERROR(INDEX(MUSTERILER!$B$7:$B$106,MATCH($T349,MUSTERILER!$T$7:$T$106,0)),IFERROR(INDEX(MUSTERILER!$B$7:$B$106,MATCH($C349,MUSTERILER!$B$7:$B$106,0)),IFERROR(INDEX(MUSTERILER!$B$7:$B$106,MATCH($T349&amp;"*",MUSTERILER!$T$7:$T$106,0)),"TANIMSIZ MÜŞTERİ"))))</f>
        <v/>
      </c>
      <c r="C349" s="109" t="n"/>
      <c r="D349" s="220" t="n"/>
      <c r="E349" s="220" t="n"/>
      <c r="F349" s="108" t="n"/>
      <c r="G349" s="221" t="n"/>
      <c r="H349" s="108" t="n"/>
      <c r="I349" s="222">
        <f>IF(OR($C349="",$D349="",$G349="",$F349=""),0,$G349*IF($F349="Aylık",MAX(0,(YEAR(MIN(IF($E349="",TODAY(),$E349),TODAY()))-YEAR($D349))*12+MONTH(MIN(IF($E349="",TODAY(),$E349),TODAY()))-MONTH($D349)+IF(MIN(IF($E349="",TODAY(),$E349),TODAY())&gt;=EOMONTH(MIN(IF($E349="",TODAY(),$E349),TODAY()),0),1,0)),MAX(0,INT((MIN(IF($E349="",TODAY(),$E349),TODAY())-($D349+MOD(SISTEM!$F$8-WEEKDAY($D349,2),7)))/7)+1)))</f>
        <v/>
      </c>
      <c r="J349" s="222">
        <f>IF(OR($C349="",$D349="",$G349="",$F349=""),0,$G349*IF($F349="Aylık",MAX(0,(YEAR(MIN(IF($E349="",TODAY()-8,$E349),TODAY()-8))-YEAR($D349))*12+MONTH(MIN(IF($E349="",TODAY()-8,$E349),TODAY()-8))-MONTH($D349)+IF(MIN(IF($E349="",TODAY()-8,$E349),TODAY()-8)&gt;=EOMONTH(MIN(IF($E349="",TODAY()-8,$E349),TODAY()-8),0),1,0)),MAX(0,INT((MIN(IF($E349="",TODAY()-8,$E349),TODAY()-8)-($D349+MOD(SISTEM!$F$8-WEEKDAY($D349,2),7)))/7)+1)))</f>
        <v/>
      </c>
      <c r="K349" s="222">
        <f>IF(OR($C349="",$D349="",$G349="",$F349=""),0,$G349*IF($F349="Aylık",MAX(0,(YEAR(MIN(IF($E349="",TODAY()-15,$E349),TODAY()-15))-YEAR($D349))*12+MONTH(MIN(IF($E349="",TODAY()-15,$E349),TODAY()-15))-MONTH($D349)+IF(MIN(IF($E349="",TODAY()-15,$E349),TODAY()-15)&gt;=EOMONTH(MIN(IF($E349="",TODAY()-15,$E349),TODAY()-15),0),1,0)),MAX(0,INT((MIN(IF($E349="",TODAY()-15,$E349),TODAY()-15)-($D349+MOD(SISTEM!$F$8-WEEKDAY($D349,2),7)))/7)+1)))</f>
        <v/>
      </c>
      <c r="L349" s="222">
        <f>IF(OR($C349="",$D349="",$G349="",$F349=""),0,$G349*IF($F349="Aylık",MAX(0,(YEAR(MIN(IF($E349="",TODAY()-29,$E349),TODAY()-29))-YEAR($D349))*12+MONTH(MIN(IF($E349="",TODAY()-29,$E349),TODAY()-29))-MONTH($D349)+IF(MIN(IF($E349="",TODAY()-29,$E349),TODAY()-29)&gt;=EOMONTH(MIN(IF($E349="",TODAY()-29,$E349),TODAY()-29),0),1,0)),MAX(0,INT((MIN(IF($E349="",TODAY()-29,$E349),TODAY()-29)-($D349+MOD(SISTEM!$F$8-WEEKDAY($D349,2),7)))/7)+1)))</f>
        <v/>
      </c>
      <c r="M349" s="223">
        <f>IF($G349&gt;0,$I349/$G349,0)</f>
        <v/>
      </c>
      <c r="N349" s="113">
        <f>IF($C349="","",IF($B349="TANIMSIZ MÜŞTERİ","TANIMSIZ MÜŞTERİ",IF($F349="","MODEL SEÇİN",IF(OR($D349="",$G349&lt;=0),"EKSİK",IF(AND($E349&lt;&gt;"",$E349&lt;$D349),"TARİH HATASI",IF($H349="Pasif","KAPALI DÖNEM","UYGUN"))))))</f>
        <v/>
      </c>
      <c r="O349" s="224">
        <f>IF(OR($C349="",$D349="",$F349=""),"",IF($F349="Aylık",EOMONTH($D349,0),($D349+MOD(SISTEM!$F$8-WEEKDAY($D349,2),7))))</f>
        <v/>
      </c>
      <c r="P349" s="109" t="n"/>
      <c r="Q349" s="6" t="n"/>
      <c r="R349" s="6" t="n"/>
      <c r="S349" s="3">
        <f>IF($B349="","",$B349&amp;"|"&amp;COUNTIFS($B$7:$B349,$B349))</f>
        <v/>
      </c>
      <c r="T349" s="3">
        <f>IF($C349="","",UPPER(SUBSTITUTE(SUBSTITUTE(SUBSTITUTE(SUBSTITUTE(SUBSTITUTE(SUBSTITUTE(SUBSTITUTE(SUBSTITUTE(SUBSTITUTE(SUBSTITUTE(SUBSTITUTE(SUBSTITUTE(SUBSTITUTE(SUBSTITUTE(SUBSTITUTE(SUBSTITUTE(SUBSTITUTE(SUBSTITUTE(TRIM($C349),"'",""),"İ","I"),"ı","I"),"i","I"),"Ş","S"),"ş","S"),"Ğ","G"),"ğ","G"),"Ü","U"),"ü","U"),"Ö","O"),"ö","O"),"Ç","C"),"ç","C"),".",""),",","")," ",""),"-","")))</f>
        <v/>
      </c>
    </row>
    <row r="350">
      <c r="A350" s="6" t="n"/>
      <c r="B350" s="113">
        <f>IF($C350="","",IFERROR(INDEX(MUSTERILER!$B$7:$B$106,MATCH($T350,MUSTERILER!$T$7:$T$106,0)),IFERROR(INDEX(MUSTERILER!$B$7:$B$106,MATCH($C350,MUSTERILER!$B$7:$B$106,0)),IFERROR(INDEX(MUSTERILER!$B$7:$B$106,MATCH($T350&amp;"*",MUSTERILER!$T$7:$T$106,0)),"TANIMSIZ MÜŞTERİ"))))</f>
        <v/>
      </c>
      <c r="C350" s="109" t="n"/>
      <c r="D350" s="220" t="n"/>
      <c r="E350" s="220" t="n"/>
      <c r="F350" s="108" t="n"/>
      <c r="G350" s="221" t="n"/>
      <c r="H350" s="108" t="n"/>
      <c r="I350" s="222">
        <f>IF(OR($C350="",$D350="",$G350="",$F350=""),0,$G350*IF($F350="Aylık",MAX(0,(YEAR(MIN(IF($E350="",TODAY(),$E350),TODAY()))-YEAR($D350))*12+MONTH(MIN(IF($E350="",TODAY(),$E350),TODAY()))-MONTH($D350)+IF(MIN(IF($E350="",TODAY(),$E350),TODAY())&gt;=EOMONTH(MIN(IF($E350="",TODAY(),$E350),TODAY()),0),1,0)),MAX(0,INT((MIN(IF($E350="",TODAY(),$E350),TODAY())-($D350+MOD(SISTEM!$F$8-WEEKDAY($D350,2),7)))/7)+1)))</f>
        <v/>
      </c>
      <c r="J350" s="222">
        <f>IF(OR($C350="",$D350="",$G350="",$F350=""),0,$G350*IF($F350="Aylık",MAX(0,(YEAR(MIN(IF($E350="",TODAY()-8,$E350),TODAY()-8))-YEAR($D350))*12+MONTH(MIN(IF($E350="",TODAY()-8,$E350),TODAY()-8))-MONTH($D350)+IF(MIN(IF($E350="",TODAY()-8,$E350),TODAY()-8)&gt;=EOMONTH(MIN(IF($E350="",TODAY()-8,$E350),TODAY()-8),0),1,0)),MAX(0,INT((MIN(IF($E350="",TODAY()-8,$E350),TODAY()-8)-($D350+MOD(SISTEM!$F$8-WEEKDAY($D350,2),7)))/7)+1)))</f>
        <v/>
      </c>
      <c r="K350" s="222">
        <f>IF(OR($C350="",$D350="",$G350="",$F350=""),0,$G350*IF($F350="Aylık",MAX(0,(YEAR(MIN(IF($E350="",TODAY()-15,$E350),TODAY()-15))-YEAR($D350))*12+MONTH(MIN(IF($E350="",TODAY()-15,$E350),TODAY()-15))-MONTH($D350)+IF(MIN(IF($E350="",TODAY()-15,$E350),TODAY()-15)&gt;=EOMONTH(MIN(IF($E350="",TODAY()-15,$E350),TODAY()-15),0),1,0)),MAX(0,INT((MIN(IF($E350="",TODAY()-15,$E350),TODAY()-15)-($D350+MOD(SISTEM!$F$8-WEEKDAY($D350,2),7)))/7)+1)))</f>
        <v/>
      </c>
      <c r="L350" s="222">
        <f>IF(OR($C350="",$D350="",$G350="",$F350=""),0,$G350*IF($F350="Aylık",MAX(0,(YEAR(MIN(IF($E350="",TODAY()-29,$E350),TODAY()-29))-YEAR($D350))*12+MONTH(MIN(IF($E350="",TODAY()-29,$E350),TODAY()-29))-MONTH($D350)+IF(MIN(IF($E350="",TODAY()-29,$E350),TODAY()-29)&gt;=EOMONTH(MIN(IF($E350="",TODAY()-29,$E350),TODAY()-29),0),1,0)),MAX(0,INT((MIN(IF($E350="",TODAY()-29,$E350),TODAY()-29)-($D350+MOD(SISTEM!$F$8-WEEKDAY($D350,2),7)))/7)+1)))</f>
        <v/>
      </c>
      <c r="M350" s="223">
        <f>IF($G350&gt;0,$I350/$G350,0)</f>
        <v/>
      </c>
      <c r="N350" s="113">
        <f>IF($C350="","",IF($B350="TANIMSIZ MÜŞTERİ","TANIMSIZ MÜŞTERİ",IF($F350="","MODEL SEÇİN",IF(OR($D350="",$G350&lt;=0),"EKSİK",IF(AND($E350&lt;&gt;"",$E350&lt;$D350),"TARİH HATASI",IF($H350="Pasif","KAPALI DÖNEM","UYGUN"))))))</f>
        <v/>
      </c>
      <c r="O350" s="224">
        <f>IF(OR($C350="",$D350="",$F350=""),"",IF($F350="Aylık",EOMONTH($D350,0),($D350+MOD(SISTEM!$F$8-WEEKDAY($D350,2),7))))</f>
        <v/>
      </c>
      <c r="P350" s="109" t="n"/>
      <c r="Q350" s="6" t="n"/>
      <c r="R350" s="6" t="n"/>
      <c r="S350" s="3">
        <f>IF($B350="","",$B350&amp;"|"&amp;COUNTIFS($B$7:$B350,$B350))</f>
        <v/>
      </c>
      <c r="T350" s="3">
        <f>IF($C350="","",UPPER(SUBSTITUTE(SUBSTITUTE(SUBSTITUTE(SUBSTITUTE(SUBSTITUTE(SUBSTITUTE(SUBSTITUTE(SUBSTITUTE(SUBSTITUTE(SUBSTITUTE(SUBSTITUTE(SUBSTITUTE(SUBSTITUTE(SUBSTITUTE(SUBSTITUTE(SUBSTITUTE(SUBSTITUTE(SUBSTITUTE(TRIM($C350),"'",""),"İ","I"),"ı","I"),"i","I"),"Ş","S"),"ş","S"),"Ğ","G"),"ğ","G"),"Ü","U"),"ü","U"),"Ö","O"),"ö","O"),"Ç","C"),"ç","C"),".",""),",","")," ",""),"-","")))</f>
        <v/>
      </c>
    </row>
    <row r="351">
      <c r="A351" s="6" t="n"/>
      <c r="B351" s="113">
        <f>IF($C351="","",IFERROR(INDEX(MUSTERILER!$B$7:$B$106,MATCH($T351,MUSTERILER!$T$7:$T$106,0)),IFERROR(INDEX(MUSTERILER!$B$7:$B$106,MATCH($C351,MUSTERILER!$B$7:$B$106,0)),IFERROR(INDEX(MUSTERILER!$B$7:$B$106,MATCH($T351&amp;"*",MUSTERILER!$T$7:$T$106,0)),"TANIMSIZ MÜŞTERİ"))))</f>
        <v/>
      </c>
      <c r="C351" s="109" t="n"/>
      <c r="D351" s="220" t="n"/>
      <c r="E351" s="220" t="n"/>
      <c r="F351" s="108" t="n"/>
      <c r="G351" s="221" t="n"/>
      <c r="H351" s="108" t="n"/>
      <c r="I351" s="222">
        <f>IF(OR($C351="",$D351="",$G351="",$F351=""),0,$G351*IF($F351="Aylık",MAX(0,(YEAR(MIN(IF($E351="",TODAY(),$E351),TODAY()))-YEAR($D351))*12+MONTH(MIN(IF($E351="",TODAY(),$E351),TODAY()))-MONTH($D351)+IF(MIN(IF($E351="",TODAY(),$E351),TODAY())&gt;=EOMONTH(MIN(IF($E351="",TODAY(),$E351),TODAY()),0),1,0)),MAX(0,INT((MIN(IF($E351="",TODAY(),$E351),TODAY())-($D351+MOD(SISTEM!$F$8-WEEKDAY($D351,2),7)))/7)+1)))</f>
        <v/>
      </c>
      <c r="J351" s="222">
        <f>IF(OR($C351="",$D351="",$G351="",$F351=""),0,$G351*IF($F351="Aylık",MAX(0,(YEAR(MIN(IF($E351="",TODAY()-8,$E351),TODAY()-8))-YEAR($D351))*12+MONTH(MIN(IF($E351="",TODAY()-8,$E351),TODAY()-8))-MONTH($D351)+IF(MIN(IF($E351="",TODAY()-8,$E351),TODAY()-8)&gt;=EOMONTH(MIN(IF($E351="",TODAY()-8,$E351),TODAY()-8),0),1,0)),MAX(0,INT((MIN(IF($E351="",TODAY()-8,$E351),TODAY()-8)-($D351+MOD(SISTEM!$F$8-WEEKDAY($D351,2),7)))/7)+1)))</f>
        <v/>
      </c>
      <c r="K351" s="222">
        <f>IF(OR($C351="",$D351="",$G351="",$F351=""),0,$G351*IF($F351="Aylık",MAX(0,(YEAR(MIN(IF($E351="",TODAY()-15,$E351),TODAY()-15))-YEAR($D351))*12+MONTH(MIN(IF($E351="",TODAY()-15,$E351),TODAY()-15))-MONTH($D351)+IF(MIN(IF($E351="",TODAY()-15,$E351),TODAY()-15)&gt;=EOMONTH(MIN(IF($E351="",TODAY()-15,$E351),TODAY()-15),0),1,0)),MAX(0,INT((MIN(IF($E351="",TODAY()-15,$E351),TODAY()-15)-($D351+MOD(SISTEM!$F$8-WEEKDAY($D351,2),7)))/7)+1)))</f>
        <v/>
      </c>
      <c r="L351" s="222">
        <f>IF(OR($C351="",$D351="",$G351="",$F351=""),0,$G351*IF($F351="Aylık",MAX(0,(YEAR(MIN(IF($E351="",TODAY()-29,$E351),TODAY()-29))-YEAR($D351))*12+MONTH(MIN(IF($E351="",TODAY()-29,$E351),TODAY()-29))-MONTH($D351)+IF(MIN(IF($E351="",TODAY()-29,$E351),TODAY()-29)&gt;=EOMONTH(MIN(IF($E351="",TODAY()-29,$E351),TODAY()-29),0),1,0)),MAX(0,INT((MIN(IF($E351="",TODAY()-29,$E351),TODAY()-29)-($D351+MOD(SISTEM!$F$8-WEEKDAY($D351,2),7)))/7)+1)))</f>
        <v/>
      </c>
      <c r="M351" s="223">
        <f>IF($G351&gt;0,$I351/$G351,0)</f>
        <v/>
      </c>
      <c r="N351" s="113">
        <f>IF($C351="","",IF($B351="TANIMSIZ MÜŞTERİ","TANIMSIZ MÜŞTERİ",IF($F351="","MODEL SEÇİN",IF(OR($D351="",$G351&lt;=0),"EKSİK",IF(AND($E351&lt;&gt;"",$E351&lt;$D351),"TARİH HATASI",IF($H351="Pasif","KAPALI DÖNEM","UYGUN"))))))</f>
        <v/>
      </c>
      <c r="O351" s="224">
        <f>IF(OR($C351="",$D351="",$F351=""),"",IF($F351="Aylık",EOMONTH($D351,0),($D351+MOD(SISTEM!$F$8-WEEKDAY($D351,2),7))))</f>
        <v/>
      </c>
      <c r="P351" s="109" t="n"/>
      <c r="Q351" s="6" t="n"/>
      <c r="R351" s="6" t="n"/>
      <c r="S351" s="3">
        <f>IF($B351="","",$B351&amp;"|"&amp;COUNTIFS($B$7:$B351,$B351))</f>
        <v/>
      </c>
      <c r="T351" s="3">
        <f>IF($C351="","",UPPER(SUBSTITUTE(SUBSTITUTE(SUBSTITUTE(SUBSTITUTE(SUBSTITUTE(SUBSTITUTE(SUBSTITUTE(SUBSTITUTE(SUBSTITUTE(SUBSTITUTE(SUBSTITUTE(SUBSTITUTE(SUBSTITUTE(SUBSTITUTE(SUBSTITUTE(SUBSTITUTE(SUBSTITUTE(SUBSTITUTE(TRIM($C351),"'",""),"İ","I"),"ı","I"),"i","I"),"Ş","S"),"ş","S"),"Ğ","G"),"ğ","G"),"Ü","U"),"ü","U"),"Ö","O"),"ö","O"),"Ç","C"),"ç","C"),".",""),",","")," ",""),"-","")))</f>
        <v/>
      </c>
    </row>
    <row r="352">
      <c r="A352" s="6" t="n"/>
      <c r="B352" s="113">
        <f>IF($C352="","",IFERROR(INDEX(MUSTERILER!$B$7:$B$106,MATCH($T352,MUSTERILER!$T$7:$T$106,0)),IFERROR(INDEX(MUSTERILER!$B$7:$B$106,MATCH($C352,MUSTERILER!$B$7:$B$106,0)),IFERROR(INDEX(MUSTERILER!$B$7:$B$106,MATCH($T352&amp;"*",MUSTERILER!$T$7:$T$106,0)),"TANIMSIZ MÜŞTERİ"))))</f>
        <v/>
      </c>
      <c r="C352" s="109" t="n"/>
      <c r="D352" s="220" t="n"/>
      <c r="E352" s="220" t="n"/>
      <c r="F352" s="108" t="n"/>
      <c r="G352" s="221" t="n"/>
      <c r="H352" s="108" t="n"/>
      <c r="I352" s="222">
        <f>IF(OR($C352="",$D352="",$G352="",$F352=""),0,$G352*IF($F352="Aylık",MAX(0,(YEAR(MIN(IF($E352="",TODAY(),$E352),TODAY()))-YEAR($D352))*12+MONTH(MIN(IF($E352="",TODAY(),$E352),TODAY()))-MONTH($D352)+IF(MIN(IF($E352="",TODAY(),$E352),TODAY())&gt;=EOMONTH(MIN(IF($E352="",TODAY(),$E352),TODAY()),0),1,0)),MAX(0,INT((MIN(IF($E352="",TODAY(),$E352),TODAY())-($D352+MOD(SISTEM!$F$8-WEEKDAY($D352,2),7)))/7)+1)))</f>
        <v/>
      </c>
      <c r="J352" s="222">
        <f>IF(OR($C352="",$D352="",$G352="",$F352=""),0,$G352*IF($F352="Aylık",MAX(0,(YEAR(MIN(IF($E352="",TODAY()-8,$E352),TODAY()-8))-YEAR($D352))*12+MONTH(MIN(IF($E352="",TODAY()-8,$E352),TODAY()-8))-MONTH($D352)+IF(MIN(IF($E352="",TODAY()-8,$E352),TODAY()-8)&gt;=EOMONTH(MIN(IF($E352="",TODAY()-8,$E352),TODAY()-8),0),1,0)),MAX(0,INT((MIN(IF($E352="",TODAY()-8,$E352),TODAY()-8)-($D352+MOD(SISTEM!$F$8-WEEKDAY($D352,2),7)))/7)+1)))</f>
        <v/>
      </c>
      <c r="K352" s="222">
        <f>IF(OR($C352="",$D352="",$G352="",$F352=""),0,$G352*IF($F352="Aylık",MAX(0,(YEAR(MIN(IF($E352="",TODAY()-15,$E352),TODAY()-15))-YEAR($D352))*12+MONTH(MIN(IF($E352="",TODAY()-15,$E352),TODAY()-15))-MONTH($D352)+IF(MIN(IF($E352="",TODAY()-15,$E352),TODAY()-15)&gt;=EOMONTH(MIN(IF($E352="",TODAY()-15,$E352),TODAY()-15),0),1,0)),MAX(0,INT((MIN(IF($E352="",TODAY()-15,$E352),TODAY()-15)-($D352+MOD(SISTEM!$F$8-WEEKDAY($D352,2),7)))/7)+1)))</f>
        <v/>
      </c>
      <c r="L352" s="222">
        <f>IF(OR($C352="",$D352="",$G352="",$F352=""),0,$G352*IF($F352="Aylık",MAX(0,(YEAR(MIN(IF($E352="",TODAY()-29,$E352),TODAY()-29))-YEAR($D352))*12+MONTH(MIN(IF($E352="",TODAY()-29,$E352),TODAY()-29))-MONTH($D352)+IF(MIN(IF($E352="",TODAY()-29,$E352),TODAY()-29)&gt;=EOMONTH(MIN(IF($E352="",TODAY()-29,$E352),TODAY()-29),0),1,0)),MAX(0,INT((MIN(IF($E352="",TODAY()-29,$E352),TODAY()-29)-($D352+MOD(SISTEM!$F$8-WEEKDAY($D352,2),7)))/7)+1)))</f>
        <v/>
      </c>
      <c r="M352" s="223">
        <f>IF($G352&gt;0,$I352/$G352,0)</f>
        <v/>
      </c>
      <c r="N352" s="113">
        <f>IF($C352="","",IF($B352="TANIMSIZ MÜŞTERİ","TANIMSIZ MÜŞTERİ",IF($F352="","MODEL SEÇİN",IF(OR($D352="",$G352&lt;=0),"EKSİK",IF(AND($E352&lt;&gt;"",$E352&lt;$D352),"TARİH HATASI",IF($H352="Pasif","KAPALI DÖNEM","UYGUN"))))))</f>
        <v/>
      </c>
      <c r="O352" s="224">
        <f>IF(OR($C352="",$D352="",$F352=""),"",IF($F352="Aylık",EOMONTH($D352,0),($D352+MOD(SISTEM!$F$8-WEEKDAY($D352,2),7))))</f>
        <v/>
      </c>
      <c r="P352" s="109" t="n"/>
      <c r="Q352" s="6" t="n"/>
      <c r="R352" s="6" t="n"/>
      <c r="S352" s="3">
        <f>IF($B352="","",$B352&amp;"|"&amp;COUNTIFS($B$7:$B352,$B352))</f>
        <v/>
      </c>
      <c r="T352" s="3">
        <f>IF($C352="","",UPPER(SUBSTITUTE(SUBSTITUTE(SUBSTITUTE(SUBSTITUTE(SUBSTITUTE(SUBSTITUTE(SUBSTITUTE(SUBSTITUTE(SUBSTITUTE(SUBSTITUTE(SUBSTITUTE(SUBSTITUTE(SUBSTITUTE(SUBSTITUTE(SUBSTITUTE(SUBSTITUTE(SUBSTITUTE(SUBSTITUTE(TRIM($C352),"'",""),"İ","I"),"ı","I"),"i","I"),"Ş","S"),"ş","S"),"Ğ","G"),"ğ","G"),"Ü","U"),"ü","U"),"Ö","O"),"ö","O"),"Ç","C"),"ç","C"),".",""),",","")," ",""),"-","")))</f>
        <v/>
      </c>
    </row>
    <row r="353">
      <c r="A353" s="6" t="n"/>
      <c r="B353" s="113">
        <f>IF($C353="","",IFERROR(INDEX(MUSTERILER!$B$7:$B$106,MATCH($T353,MUSTERILER!$T$7:$T$106,0)),IFERROR(INDEX(MUSTERILER!$B$7:$B$106,MATCH($C353,MUSTERILER!$B$7:$B$106,0)),IFERROR(INDEX(MUSTERILER!$B$7:$B$106,MATCH($T353&amp;"*",MUSTERILER!$T$7:$T$106,0)),"TANIMSIZ MÜŞTERİ"))))</f>
        <v/>
      </c>
      <c r="C353" s="109" t="n"/>
      <c r="D353" s="220" t="n"/>
      <c r="E353" s="220" t="n"/>
      <c r="F353" s="108" t="n"/>
      <c r="G353" s="221" t="n"/>
      <c r="H353" s="108" t="n"/>
      <c r="I353" s="222">
        <f>IF(OR($C353="",$D353="",$G353="",$F353=""),0,$G353*IF($F353="Aylık",MAX(0,(YEAR(MIN(IF($E353="",TODAY(),$E353),TODAY()))-YEAR($D353))*12+MONTH(MIN(IF($E353="",TODAY(),$E353),TODAY()))-MONTH($D353)+IF(MIN(IF($E353="",TODAY(),$E353),TODAY())&gt;=EOMONTH(MIN(IF($E353="",TODAY(),$E353),TODAY()),0),1,0)),MAX(0,INT((MIN(IF($E353="",TODAY(),$E353),TODAY())-($D353+MOD(SISTEM!$F$8-WEEKDAY($D353,2),7)))/7)+1)))</f>
        <v/>
      </c>
      <c r="J353" s="222">
        <f>IF(OR($C353="",$D353="",$G353="",$F353=""),0,$G353*IF($F353="Aylık",MAX(0,(YEAR(MIN(IF($E353="",TODAY()-8,$E353),TODAY()-8))-YEAR($D353))*12+MONTH(MIN(IF($E353="",TODAY()-8,$E353),TODAY()-8))-MONTH($D353)+IF(MIN(IF($E353="",TODAY()-8,$E353),TODAY()-8)&gt;=EOMONTH(MIN(IF($E353="",TODAY()-8,$E353),TODAY()-8),0),1,0)),MAX(0,INT((MIN(IF($E353="",TODAY()-8,$E353),TODAY()-8)-($D353+MOD(SISTEM!$F$8-WEEKDAY($D353,2),7)))/7)+1)))</f>
        <v/>
      </c>
      <c r="K353" s="222">
        <f>IF(OR($C353="",$D353="",$G353="",$F353=""),0,$G353*IF($F353="Aylık",MAX(0,(YEAR(MIN(IF($E353="",TODAY()-15,$E353),TODAY()-15))-YEAR($D353))*12+MONTH(MIN(IF($E353="",TODAY()-15,$E353),TODAY()-15))-MONTH($D353)+IF(MIN(IF($E353="",TODAY()-15,$E353),TODAY()-15)&gt;=EOMONTH(MIN(IF($E353="",TODAY()-15,$E353),TODAY()-15),0),1,0)),MAX(0,INT((MIN(IF($E353="",TODAY()-15,$E353),TODAY()-15)-($D353+MOD(SISTEM!$F$8-WEEKDAY($D353,2),7)))/7)+1)))</f>
        <v/>
      </c>
      <c r="L353" s="222">
        <f>IF(OR($C353="",$D353="",$G353="",$F353=""),0,$G353*IF($F353="Aylık",MAX(0,(YEAR(MIN(IF($E353="",TODAY()-29,$E353),TODAY()-29))-YEAR($D353))*12+MONTH(MIN(IF($E353="",TODAY()-29,$E353),TODAY()-29))-MONTH($D353)+IF(MIN(IF($E353="",TODAY()-29,$E353),TODAY()-29)&gt;=EOMONTH(MIN(IF($E353="",TODAY()-29,$E353),TODAY()-29),0),1,0)),MAX(0,INT((MIN(IF($E353="",TODAY()-29,$E353),TODAY()-29)-($D353+MOD(SISTEM!$F$8-WEEKDAY($D353,2),7)))/7)+1)))</f>
        <v/>
      </c>
      <c r="M353" s="223">
        <f>IF($G353&gt;0,$I353/$G353,0)</f>
        <v/>
      </c>
      <c r="N353" s="113">
        <f>IF($C353="","",IF($B353="TANIMSIZ MÜŞTERİ","TANIMSIZ MÜŞTERİ",IF($F353="","MODEL SEÇİN",IF(OR($D353="",$G353&lt;=0),"EKSİK",IF(AND($E353&lt;&gt;"",$E353&lt;$D353),"TARİH HATASI",IF($H353="Pasif","KAPALI DÖNEM","UYGUN"))))))</f>
        <v/>
      </c>
      <c r="O353" s="224">
        <f>IF(OR($C353="",$D353="",$F353=""),"",IF($F353="Aylık",EOMONTH($D353,0),($D353+MOD(SISTEM!$F$8-WEEKDAY($D353,2),7))))</f>
        <v/>
      </c>
      <c r="P353" s="109" t="n"/>
      <c r="Q353" s="6" t="n"/>
      <c r="R353" s="6" t="n"/>
      <c r="S353" s="3">
        <f>IF($B353="","",$B353&amp;"|"&amp;COUNTIFS($B$7:$B353,$B353))</f>
        <v/>
      </c>
      <c r="T353" s="3">
        <f>IF($C353="","",UPPER(SUBSTITUTE(SUBSTITUTE(SUBSTITUTE(SUBSTITUTE(SUBSTITUTE(SUBSTITUTE(SUBSTITUTE(SUBSTITUTE(SUBSTITUTE(SUBSTITUTE(SUBSTITUTE(SUBSTITUTE(SUBSTITUTE(SUBSTITUTE(SUBSTITUTE(SUBSTITUTE(SUBSTITUTE(SUBSTITUTE(TRIM($C353),"'",""),"İ","I"),"ı","I"),"i","I"),"Ş","S"),"ş","S"),"Ğ","G"),"ğ","G"),"Ü","U"),"ü","U"),"Ö","O"),"ö","O"),"Ç","C"),"ç","C"),".",""),",","")," ",""),"-","")))</f>
        <v/>
      </c>
    </row>
    <row r="354">
      <c r="A354" s="6" t="n"/>
      <c r="B354" s="113">
        <f>IF($C354="","",IFERROR(INDEX(MUSTERILER!$B$7:$B$106,MATCH($T354,MUSTERILER!$T$7:$T$106,0)),IFERROR(INDEX(MUSTERILER!$B$7:$B$106,MATCH($C354,MUSTERILER!$B$7:$B$106,0)),IFERROR(INDEX(MUSTERILER!$B$7:$B$106,MATCH($T354&amp;"*",MUSTERILER!$T$7:$T$106,0)),"TANIMSIZ MÜŞTERİ"))))</f>
        <v/>
      </c>
      <c r="C354" s="109" t="n"/>
      <c r="D354" s="220" t="n"/>
      <c r="E354" s="220" t="n"/>
      <c r="F354" s="108" t="n"/>
      <c r="G354" s="221" t="n"/>
      <c r="H354" s="108" t="n"/>
      <c r="I354" s="222">
        <f>IF(OR($C354="",$D354="",$G354="",$F354=""),0,$G354*IF($F354="Aylık",MAX(0,(YEAR(MIN(IF($E354="",TODAY(),$E354),TODAY()))-YEAR($D354))*12+MONTH(MIN(IF($E354="",TODAY(),$E354),TODAY()))-MONTH($D354)+IF(MIN(IF($E354="",TODAY(),$E354),TODAY())&gt;=EOMONTH(MIN(IF($E354="",TODAY(),$E354),TODAY()),0),1,0)),MAX(0,INT((MIN(IF($E354="",TODAY(),$E354),TODAY())-($D354+MOD(SISTEM!$F$8-WEEKDAY($D354,2),7)))/7)+1)))</f>
        <v/>
      </c>
      <c r="J354" s="222">
        <f>IF(OR($C354="",$D354="",$G354="",$F354=""),0,$G354*IF($F354="Aylık",MAX(0,(YEAR(MIN(IF($E354="",TODAY()-8,$E354),TODAY()-8))-YEAR($D354))*12+MONTH(MIN(IF($E354="",TODAY()-8,$E354),TODAY()-8))-MONTH($D354)+IF(MIN(IF($E354="",TODAY()-8,$E354),TODAY()-8)&gt;=EOMONTH(MIN(IF($E354="",TODAY()-8,$E354),TODAY()-8),0),1,0)),MAX(0,INT((MIN(IF($E354="",TODAY()-8,$E354),TODAY()-8)-($D354+MOD(SISTEM!$F$8-WEEKDAY($D354,2),7)))/7)+1)))</f>
        <v/>
      </c>
      <c r="K354" s="222">
        <f>IF(OR($C354="",$D354="",$G354="",$F354=""),0,$G354*IF($F354="Aylık",MAX(0,(YEAR(MIN(IF($E354="",TODAY()-15,$E354),TODAY()-15))-YEAR($D354))*12+MONTH(MIN(IF($E354="",TODAY()-15,$E354),TODAY()-15))-MONTH($D354)+IF(MIN(IF($E354="",TODAY()-15,$E354),TODAY()-15)&gt;=EOMONTH(MIN(IF($E354="",TODAY()-15,$E354),TODAY()-15),0),1,0)),MAX(0,INT((MIN(IF($E354="",TODAY()-15,$E354),TODAY()-15)-($D354+MOD(SISTEM!$F$8-WEEKDAY($D354,2),7)))/7)+1)))</f>
        <v/>
      </c>
      <c r="L354" s="222">
        <f>IF(OR($C354="",$D354="",$G354="",$F354=""),0,$G354*IF($F354="Aylık",MAX(0,(YEAR(MIN(IF($E354="",TODAY()-29,$E354),TODAY()-29))-YEAR($D354))*12+MONTH(MIN(IF($E354="",TODAY()-29,$E354),TODAY()-29))-MONTH($D354)+IF(MIN(IF($E354="",TODAY()-29,$E354),TODAY()-29)&gt;=EOMONTH(MIN(IF($E354="",TODAY()-29,$E354),TODAY()-29),0),1,0)),MAX(0,INT((MIN(IF($E354="",TODAY()-29,$E354),TODAY()-29)-($D354+MOD(SISTEM!$F$8-WEEKDAY($D354,2),7)))/7)+1)))</f>
        <v/>
      </c>
      <c r="M354" s="223">
        <f>IF($G354&gt;0,$I354/$G354,0)</f>
        <v/>
      </c>
      <c r="N354" s="113">
        <f>IF($C354="","",IF($B354="TANIMSIZ MÜŞTERİ","TANIMSIZ MÜŞTERİ",IF($F354="","MODEL SEÇİN",IF(OR($D354="",$G354&lt;=0),"EKSİK",IF(AND($E354&lt;&gt;"",$E354&lt;$D354),"TARİH HATASI",IF($H354="Pasif","KAPALI DÖNEM","UYGUN"))))))</f>
        <v/>
      </c>
      <c r="O354" s="224">
        <f>IF(OR($C354="",$D354="",$F354=""),"",IF($F354="Aylık",EOMONTH($D354,0),($D354+MOD(SISTEM!$F$8-WEEKDAY($D354,2),7))))</f>
        <v/>
      </c>
      <c r="P354" s="109" t="n"/>
      <c r="Q354" s="6" t="n"/>
      <c r="R354" s="6" t="n"/>
      <c r="S354" s="3">
        <f>IF($B354="","",$B354&amp;"|"&amp;COUNTIFS($B$7:$B354,$B354))</f>
        <v/>
      </c>
      <c r="T354" s="3">
        <f>IF($C354="","",UPPER(SUBSTITUTE(SUBSTITUTE(SUBSTITUTE(SUBSTITUTE(SUBSTITUTE(SUBSTITUTE(SUBSTITUTE(SUBSTITUTE(SUBSTITUTE(SUBSTITUTE(SUBSTITUTE(SUBSTITUTE(SUBSTITUTE(SUBSTITUTE(SUBSTITUTE(SUBSTITUTE(SUBSTITUTE(SUBSTITUTE(TRIM($C354),"'",""),"İ","I"),"ı","I"),"i","I"),"Ş","S"),"ş","S"),"Ğ","G"),"ğ","G"),"Ü","U"),"ü","U"),"Ö","O"),"ö","O"),"Ç","C"),"ç","C"),".",""),",","")," ",""),"-","")))</f>
        <v/>
      </c>
    </row>
    <row r="355">
      <c r="A355" s="6" t="n"/>
      <c r="B355" s="113">
        <f>IF($C355="","",IFERROR(INDEX(MUSTERILER!$B$7:$B$106,MATCH($T355,MUSTERILER!$T$7:$T$106,0)),IFERROR(INDEX(MUSTERILER!$B$7:$B$106,MATCH($C355,MUSTERILER!$B$7:$B$106,0)),IFERROR(INDEX(MUSTERILER!$B$7:$B$106,MATCH($T355&amp;"*",MUSTERILER!$T$7:$T$106,0)),"TANIMSIZ MÜŞTERİ"))))</f>
        <v/>
      </c>
      <c r="C355" s="109" t="n"/>
      <c r="D355" s="220" t="n"/>
      <c r="E355" s="220" t="n"/>
      <c r="F355" s="108" t="n"/>
      <c r="G355" s="221" t="n"/>
      <c r="H355" s="108" t="n"/>
      <c r="I355" s="222">
        <f>IF(OR($C355="",$D355="",$G355="",$F355=""),0,$G355*IF($F355="Aylık",MAX(0,(YEAR(MIN(IF($E355="",TODAY(),$E355),TODAY()))-YEAR($D355))*12+MONTH(MIN(IF($E355="",TODAY(),$E355),TODAY()))-MONTH($D355)+IF(MIN(IF($E355="",TODAY(),$E355),TODAY())&gt;=EOMONTH(MIN(IF($E355="",TODAY(),$E355),TODAY()),0),1,0)),MAX(0,INT((MIN(IF($E355="",TODAY(),$E355),TODAY())-($D355+MOD(SISTEM!$F$8-WEEKDAY($D355,2),7)))/7)+1)))</f>
        <v/>
      </c>
      <c r="J355" s="222">
        <f>IF(OR($C355="",$D355="",$G355="",$F355=""),0,$G355*IF($F355="Aylık",MAX(0,(YEAR(MIN(IF($E355="",TODAY()-8,$E355),TODAY()-8))-YEAR($D355))*12+MONTH(MIN(IF($E355="",TODAY()-8,$E355),TODAY()-8))-MONTH($D355)+IF(MIN(IF($E355="",TODAY()-8,$E355),TODAY()-8)&gt;=EOMONTH(MIN(IF($E355="",TODAY()-8,$E355),TODAY()-8),0),1,0)),MAX(0,INT((MIN(IF($E355="",TODAY()-8,$E355),TODAY()-8)-($D355+MOD(SISTEM!$F$8-WEEKDAY($D355,2),7)))/7)+1)))</f>
        <v/>
      </c>
      <c r="K355" s="222">
        <f>IF(OR($C355="",$D355="",$G355="",$F355=""),0,$G355*IF($F355="Aylık",MAX(0,(YEAR(MIN(IF($E355="",TODAY()-15,$E355),TODAY()-15))-YEAR($D355))*12+MONTH(MIN(IF($E355="",TODAY()-15,$E355),TODAY()-15))-MONTH($D355)+IF(MIN(IF($E355="",TODAY()-15,$E355),TODAY()-15)&gt;=EOMONTH(MIN(IF($E355="",TODAY()-15,$E355),TODAY()-15),0),1,0)),MAX(0,INT((MIN(IF($E355="",TODAY()-15,$E355),TODAY()-15)-($D355+MOD(SISTEM!$F$8-WEEKDAY($D355,2),7)))/7)+1)))</f>
        <v/>
      </c>
      <c r="L355" s="222">
        <f>IF(OR($C355="",$D355="",$G355="",$F355=""),0,$G355*IF($F355="Aylık",MAX(0,(YEAR(MIN(IF($E355="",TODAY()-29,$E355),TODAY()-29))-YEAR($D355))*12+MONTH(MIN(IF($E355="",TODAY()-29,$E355),TODAY()-29))-MONTH($D355)+IF(MIN(IF($E355="",TODAY()-29,$E355),TODAY()-29)&gt;=EOMONTH(MIN(IF($E355="",TODAY()-29,$E355),TODAY()-29),0),1,0)),MAX(0,INT((MIN(IF($E355="",TODAY()-29,$E355),TODAY()-29)-($D355+MOD(SISTEM!$F$8-WEEKDAY($D355,2),7)))/7)+1)))</f>
        <v/>
      </c>
      <c r="M355" s="223">
        <f>IF($G355&gt;0,$I355/$G355,0)</f>
        <v/>
      </c>
      <c r="N355" s="113">
        <f>IF($C355="","",IF($B355="TANIMSIZ MÜŞTERİ","TANIMSIZ MÜŞTERİ",IF($F355="","MODEL SEÇİN",IF(OR($D355="",$G355&lt;=0),"EKSİK",IF(AND($E355&lt;&gt;"",$E355&lt;$D355),"TARİH HATASI",IF($H355="Pasif","KAPALI DÖNEM","UYGUN"))))))</f>
        <v/>
      </c>
      <c r="O355" s="224">
        <f>IF(OR($C355="",$D355="",$F355=""),"",IF($F355="Aylık",EOMONTH($D355,0),($D355+MOD(SISTEM!$F$8-WEEKDAY($D355,2),7))))</f>
        <v/>
      </c>
      <c r="P355" s="109" t="n"/>
      <c r="Q355" s="6" t="n"/>
      <c r="R355" s="6" t="n"/>
      <c r="S355" s="3">
        <f>IF($B355="","",$B355&amp;"|"&amp;COUNTIFS($B$7:$B355,$B355))</f>
        <v/>
      </c>
      <c r="T355" s="3">
        <f>IF($C355="","",UPPER(SUBSTITUTE(SUBSTITUTE(SUBSTITUTE(SUBSTITUTE(SUBSTITUTE(SUBSTITUTE(SUBSTITUTE(SUBSTITUTE(SUBSTITUTE(SUBSTITUTE(SUBSTITUTE(SUBSTITUTE(SUBSTITUTE(SUBSTITUTE(SUBSTITUTE(SUBSTITUTE(SUBSTITUTE(SUBSTITUTE(TRIM($C355),"'",""),"İ","I"),"ı","I"),"i","I"),"Ş","S"),"ş","S"),"Ğ","G"),"ğ","G"),"Ü","U"),"ü","U"),"Ö","O"),"ö","O"),"Ç","C"),"ç","C"),".",""),",","")," ",""),"-","")))</f>
        <v/>
      </c>
    </row>
    <row r="356">
      <c r="A356" s="6" t="n"/>
      <c r="B356" s="113">
        <f>IF($C356="","",IFERROR(INDEX(MUSTERILER!$B$7:$B$106,MATCH($T356,MUSTERILER!$T$7:$T$106,0)),IFERROR(INDEX(MUSTERILER!$B$7:$B$106,MATCH($C356,MUSTERILER!$B$7:$B$106,0)),IFERROR(INDEX(MUSTERILER!$B$7:$B$106,MATCH($T356&amp;"*",MUSTERILER!$T$7:$T$106,0)),"TANIMSIZ MÜŞTERİ"))))</f>
        <v/>
      </c>
      <c r="C356" s="109" t="n"/>
      <c r="D356" s="220" t="n"/>
      <c r="E356" s="220" t="n"/>
      <c r="F356" s="108" t="n"/>
      <c r="G356" s="221" t="n"/>
      <c r="H356" s="108" t="n"/>
      <c r="I356" s="222">
        <f>IF(OR($C356="",$D356="",$G356="",$F356=""),0,$G356*IF($F356="Aylık",MAX(0,(YEAR(MIN(IF($E356="",TODAY(),$E356),TODAY()))-YEAR($D356))*12+MONTH(MIN(IF($E356="",TODAY(),$E356),TODAY()))-MONTH($D356)+IF(MIN(IF($E356="",TODAY(),$E356),TODAY())&gt;=EOMONTH(MIN(IF($E356="",TODAY(),$E356),TODAY()),0),1,0)),MAX(0,INT((MIN(IF($E356="",TODAY(),$E356),TODAY())-($D356+MOD(SISTEM!$F$8-WEEKDAY($D356,2),7)))/7)+1)))</f>
        <v/>
      </c>
      <c r="J356" s="222">
        <f>IF(OR($C356="",$D356="",$G356="",$F356=""),0,$G356*IF($F356="Aylık",MAX(0,(YEAR(MIN(IF($E356="",TODAY()-8,$E356),TODAY()-8))-YEAR($D356))*12+MONTH(MIN(IF($E356="",TODAY()-8,$E356),TODAY()-8))-MONTH($D356)+IF(MIN(IF($E356="",TODAY()-8,$E356),TODAY()-8)&gt;=EOMONTH(MIN(IF($E356="",TODAY()-8,$E356),TODAY()-8),0),1,0)),MAX(0,INT((MIN(IF($E356="",TODAY()-8,$E356),TODAY()-8)-($D356+MOD(SISTEM!$F$8-WEEKDAY($D356,2),7)))/7)+1)))</f>
        <v/>
      </c>
      <c r="K356" s="222">
        <f>IF(OR($C356="",$D356="",$G356="",$F356=""),0,$G356*IF($F356="Aylık",MAX(0,(YEAR(MIN(IF($E356="",TODAY()-15,$E356),TODAY()-15))-YEAR($D356))*12+MONTH(MIN(IF($E356="",TODAY()-15,$E356),TODAY()-15))-MONTH($D356)+IF(MIN(IF($E356="",TODAY()-15,$E356),TODAY()-15)&gt;=EOMONTH(MIN(IF($E356="",TODAY()-15,$E356),TODAY()-15),0),1,0)),MAX(0,INT((MIN(IF($E356="",TODAY()-15,$E356),TODAY()-15)-($D356+MOD(SISTEM!$F$8-WEEKDAY($D356,2),7)))/7)+1)))</f>
        <v/>
      </c>
      <c r="L356" s="222">
        <f>IF(OR($C356="",$D356="",$G356="",$F356=""),0,$G356*IF($F356="Aylık",MAX(0,(YEAR(MIN(IF($E356="",TODAY()-29,$E356),TODAY()-29))-YEAR($D356))*12+MONTH(MIN(IF($E356="",TODAY()-29,$E356),TODAY()-29))-MONTH($D356)+IF(MIN(IF($E356="",TODAY()-29,$E356),TODAY()-29)&gt;=EOMONTH(MIN(IF($E356="",TODAY()-29,$E356),TODAY()-29),0),1,0)),MAX(0,INT((MIN(IF($E356="",TODAY()-29,$E356),TODAY()-29)-($D356+MOD(SISTEM!$F$8-WEEKDAY($D356,2),7)))/7)+1)))</f>
        <v/>
      </c>
      <c r="M356" s="223">
        <f>IF($G356&gt;0,$I356/$G356,0)</f>
        <v/>
      </c>
      <c r="N356" s="113">
        <f>IF($C356="","",IF($B356="TANIMSIZ MÜŞTERİ","TANIMSIZ MÜŞTERİ",IF($F356="","MODEL SEÇİN",IF(OR($D356="",$G356&lt;=0),"EKSİK",IF(AND($E356&lt;&gt;"",$E356&lt;$D356),"TARİH HATASI",IF($H356="Pasif","KAPALI DÖNEM","UYGUN"))))))</f>
        <v/>
      </c>
      <c r="O356" s="224">
        <f>IF(OR($C356="",$D356="",$F356=""),"",IF($F356="Aylık",EOMONTH($D356,0),($D356+MOD(SISTEM!$F$8-WEEKDAY($D356,2),7))))</f>
        <v/>
      </c>
      <c r="P356" s="109" t="n"/>
      <c r="Q356" s="6" t="n"/>
      <c r="R356" s="6" t="n"/>
      <c r="S356" s="3">
        <f>IF($B356="","",$B356&amp;"|"&amp;COUNTIFS($B$7:$B356,$B356))</f>
        <v/>
      </c>
      <c r="T356" s="3">
        <f>IF($C356="","",UPPER(SUBSTITUTE(SUBSTITUTE(SUBSTITUTE(SUBSTITUTE(SUBSTITUTE(SUBSTITUTE(SUBSTITUTE(SUBSTITUTE(SUBSTITUTE(SUBSTITUTE(SUBSTITUTE(SUBSTITUTE(SUBSTITUTE(SUBSTITUTE(SUBSTITUTE(SUBSTITUTE(SUBSTITUTE(SUBSTITUTE(TRIM($C356),"'",""),"İ","I"),"ı","I"),"i","I"),"Ş","S"),"ş","S"),"Ğ","G"),"ğ","G"),"Ü","U"),"ü","U"),"Ö","O"),"ö","O"),"Ç","C"),"ç","C"),".",""),",","")," ",""),"-","")))</f>
        <v/>
      </c>
    </row>
    <row r="357">
      <c r="A357" s="6" t="n"/>
      <c r="B357" s="113">
        <f>IF($C357="","",IFERROR(INDEX(MUSTERILER!$B$7:$B$106,MATCH($T357,MUSTERILER!$T$7:$T$106,0)),IFERROR(INDEX(MUSTERILER!$B$7:$B$106,MATCH($C357,MUSTERILER!$B$7:$B$106,0)),IFERROR(INDEX(MUSTERILER!$B$7:$B$106,MATCH($T357&amp;"*",MUSTERILER!$T$7:$T$106,0)),"TANIMSIZ MÜŞTERİ"))))</f>
        <v/>
      </c>
      <c r="C357" s="109" t="n"/>
      <c r="D357" s="220" t="n"/>
      <c r="E357" s="220" t="n"/>
      <c r="F357" s="108" t="n"/>
      <c r="G357" s="221" t="n"/>
      <c r="H357" s="108" t="n"/>
      <c r="I357" s="222">
        <f>IF(OR($C357="",$D357="",$G357="",$F357=""),0,$G357*IF($F357="Aylık",MAX(0,(YEAR(MIN(IF($E357="",TODAY(),$E357),TODAY()))-YEAR($D357))*12+MONTH(MIN(IF($E357="",TODAY(),$E357),TODAY()))-MONTH($D357)+IF(MIN(IF($E357="",TODAY(),$E357),TODAY())&gt;=EOMONTH(MIN(IF($E357="",TODAY(),$E357),TODAY()),0),1,0)),MAX(0,INT((MIN(IF($E357="",TODAY(),$E357),TODAY())-($D357+MOD(SISTEM!$F$8-WEEKDAY($D357,2),7)))/7)+1)))</f>
        <v/>
      </c>
      <c r="J357" s="222">
        <f>IF(OR($C357="",$D357="",$G357="",$F357=""),0,$G357*IF($F357="Aylık",MAX(0,(YEAR(MIN(IF($E357="",TODAY()-8,$E357),TODAY()-8))-YEAR($D357))*12+MONTH(MIN(IF($E357="",TODAY()-8,$E357),TODAY()-8))-MONTH($D357)+IF(MIN(IF($E357="",TODAY()-8,$E357),TODAY()-8)&gt;=EOMONTH(MIN(IF($E357="",TODAY()-8,$E357),TODAY()-8),0),1,0)),MAX(0,INT((MIN(IF($E357="",TODAY()-8,$E357),TODAY()-8)-($D357+MOD(SISTEM!$F$8-WEEKDAY($D357,2),7)))/7)+1)))</f>
        <v/>
      </c>
      <c r="K357" s="222">
        <f>IF(OR($C357="",$D357="",$G357="",$F357=""),0,$G357*IF($F357="Aylık",MAX(0,(YEAR(MIN(IF($E357="",TODAY()-15,$E357),TODAY()-15))-YEAR($D357))*12+MONTH(MIN(IF($E357="",TODAY()-15,$E357),TODAY()-15))-MONTH($D357)+IF(MIN(IF($E357="",TODAY()-15,$E357),TODAY()-15)&gt;=EOMONTH(MIN(IF($E357="",TODAY()-15,$E357),TODAY()-15),0),1,0)),MAX(0,INT((MIN(IF($E357="",TODAY()-15,$E357),TODAY()-15)-($D357+MOD(SISTEM!$F$8-WEEKDAY($D357,2),7)))/7)+1)))</f>
        <v/>
      </c>
      <c r="L357" s="222">
        <f>IF(OR($C357="",$D357="",$G357="",$F357=""),0,$G357*IF($F357="Aylık",MAX(0,(YEAR(MIN(IF($E357="",TODAY()-29,$E357),TODAY()-29))-YEAR($D357))*12+MONTH(MIN(IF($E357="",TODAY()-29,$E357),TODAY()-29))-MONTH($D357)+IF(MIN(IF($E357="",TODAY()-29,$E357),TODAY()-29)&gt;=EOMONTH(MIN(IF($E357="",TODAY()-29,$E357),TODAY()-29),0),1,0)),MAX(0,INT((MIN(IF($E357="",TODAY()-29,$E357),TODAY()-29)-($D357+MOD(SISTEM!$F$8-WEEKDAY($D357,2),7)))/7)+1)))</f>
        <v/>
      </c>
      <c r="M357" s="223">
        <f>IF($G357&gt;0,$I357/$G357,0)</f>
        <v/>
      </c>
      <c r="N357" s="113">
        <f>IF($C357="","",IF($B357="TANIMSIZ MÜŞTERİ","TANIMSIZ MÜŞTERİ",IF($F357="","MODEL SEÇİN",IF(OR($D357="",$G357&lt;=0),"EKSİK",IF(AND($E357&lt;&gt;"",$E357&lt;$D357),"TARİH HATASI",IF($H357="Pasif","KAPALI DÖNEM","UYGUN"))))))</f>
        <v/>
      </c>
      <c r="O357" s="224">
        <f>IF(OR($C357="",$D357="",$F357=""),"",IF($F357="Aylık",EOMONTH($D357,0),($D357+MOD(SISTEM!$F$8-WEEKDAY($D357,2),7))))</f>
        <v/>
      </c>
      <c r="P357" s="109" t="n"/>
      <c r="Q357" s="6" t="n"/>
      <c r="R357" s="6" t="n"/>
      <c r="S357" s="3">
        <f>IF($B357="","",$B357&amp;"|"&amp;COUNTIFS($B$7:$B357,$B357))</f>
        <v/>
      </c>
      <c r="T357" s="3">
        <f>IF($C357="","",UPPER(SUBSTITUTE(SUBSTITUTE(SUBSTITUTE(SUBSTITUTE(SUBSTITUTE(SUBSTITUTE(SUBSTITUTE(SUBSTITUTE(SUBSTITUTE(SUBSTITUTE(SUBSTITUTE(SUBSTITUTE(SUBSTITUTE(SUBSTITUTE(SUBSTITUTE(SUBSTITUTE(SUBSTITUTE(SUBSTITUTE(TRIM($C357),"'",""),"İ","I"),"ı","I"),"i","I"),"Ş","S"),"ş","S"),"Ğ","G"),"ğ","G"),"Ü","U"),"ü","U"),"Ö","O"),"ö","O"),"Ç","C"),"ç","C"),".",""),",","")," ",""),"-","")))</f>
        <v/>
      </c>
    </row>
    <row r="358">
      <c r="A358" s="6" t="n"/>
      <c r="B358" s="113">
        <f>IF($C358="","",IFERROR(INDEX(MUSTERILER!$B$7:$B$106,MATCH($T358,MUSTERILER!$T$7:$T$106,0)),IFERROR(INDEX(MUSTERILER!$B$7:$B$106,MATCH($C358,MUSTERILER!$B$7:$B$106,0)),IFERROR(INDEX(MUSTERILER!$B$7:$B$106,MATCH($T358&amp;"*",MUSTERILER!$T$7:$T$106,0)),"TANIMSIZ MÜŞTERİ"))))</f>
        <v/>
      </c>
      <c r="C358" s="109" t="n"/>
      <c r="D358" s="220" t="n"/>
      <c r="E358" s="220" t="n"/>
      <c r="F358" s="108" t="n"/>
      <c r="G358" s="221" t="n"/>
      <c r="H358" s="108" t="n"/>
      <c r="I358" s="222">
        <f>IF(OR($C358="",$D358="",$G358="",$F358=""),0,$G358*IF($F358="Aylık",MAX(0,(YEAR(MIN(IF($E358="",TODAY(),$E358),TODAY()))-YEAR($D358))*12+MONTH(MIN(IF($E358="",TODAY(),$E358),TODAY()))-MONTH($D358)+IF(MIN(IF($E358="",TODAY(),$E358),TODAY())&gt;=EOMONTH(MIN(IF($E358="",TODAY(),$E358),TODAY()),0),1,0)),MAX(0,INT((MIN(IF($E358="",TODAY(),$E358),TODAY())-($D358+MOD(SISTEM!$F$8-WEEKDAY($D358,2),7)))/7)+1)))</f>
        <v/>
      </c>
      <c r="J358" s="222">
        <f>IF(OR($C358="",$D358="",$G358="",$F358=""),0,$G358*IF($F358="Aylık",MAX(0,(YEAR(MIN(IF($E358="",TODAY()-8,$E358),TODAY()-8))-YEAR($D358))*12+MONTH(MIN(IF($E358="",TODAY()-8,$E358),TODAY()-8))-MONTH($D358)+IF(MIN(IF($E358="",TODAY()-8,$E358),TODAY()-8)&gt;=EOMONTH(MIN(IF($E358="",TODAY()-8,$E358),TODAY()-8),0),1,0)),MAX(0,INT((MIN(IF($E358="",TODAY()-8,$E358),TODAY()-8)-($D358+MOD(SISTEM!$F$8-WEEKDAY($D358,2),7)))/7)+1)))</f>
        <v/>
      </c>
      <c r="K358" s="222">
        <f>IF(OR($C358="",$D358="",$G358="",$F358=""),0,$G358*IF($F358="Aylık",MAX(0,(YEAR(MIN(IF($E358="",TODAY()-15,$E358),TODAY()-15))-YEAR($D358))*12+MONTH(MIN(IF($E358="",TODAY()-15,$E358),TODAY()-15))-MONTH($D358)+IF(MIN(IF($E358="",TODAY()-15,$E358),TODAY()-15)&gt;=EOMONTH(MIN(IF($E358="",TODAY()-15,$E358),TODAY()-15),0),1,0)),MAX(0,INT((MIN(IF($E358="",TODAY()-15,$E358),TODAY()-15)-($D358+MOD(SISTEM!$F$8-WEEKDAY($D358,2),7)))/7)+1)))</f>
        <v/>
      </c>
      <c r="L358" s="222">
        <f>IF(OR($C358="",$D358="",$G358="",$F358=""),0,$G358*IF($F358="Aylık",MAX(0,(YEAR(MIN(IF($E358="",TODAY()-29,$E358),TODAY()-29))-YEAR($D358))*12+MONTH(MIN(IF($E358="",TODAY()-29,$E358),TODAY()-29))-MONTH($D358)+IF(MIN(IF($E358="",TODAY()-29,$E358),TODAY()-29)&gt;=EOMONTH(MIN(IF($E358="",TODAY()-29,$E358),TODAY()-29),0),1,0)),MAX(0,INT((MIN(IF($E358="",TODAY()-29,$E358),TODAY()-29)-($D358+MOD(SISTEM!$F$8-WEEKDAY($D358,2),7)))/7)+1)))</f>
        <v/>
      </c>
      <c r="M358" s="223">
        <f>IF($G358&gt;0,$I358/$G358,0)</f>
        <v/>
      </c>
      <c r="N358" s="113">
        <f>IF($C358="","",IF($B358="TANIMSIZ MÜŞTERİ","TANIMSIZ MÜŞTERİ",IF($F358="","MODEL SEÇİN",IF(OR($D358="",$G358&lt;=0),"EKSİK",IF(AND($E358&lt;&gt;"",$E358&lt;$D358),"TARİH HATASI",IF($H358="Pasif","KAPALI DÖNEM","UYGUN"))))))</f>
        <v/>
      </c>
      <c r="O358" s="224">
        <f>IF(OR($C358="",$D358="",$F358=""),"",IF($F358="Aylık",EOMONTH($D358,0),($D358+MOD(SISTEM!$F$8-WEEKDAY($D358,2),7))))</f>
        <v/>
      </c>
      <c r="P358" s="109" t="n"/>
      <c r="Q358" s="6" t="n"/>
      <c r="R358" s="6" t="n"/>
      <c r="S358" s="3">
        <f>IF($B358="","",$B358&amp;"|"&amp;COUNTIFS($B$7:$B358,$B358))</f>
        <v/>
      </c>
      <c r="T358" s="3">
        <f>IF($C358="","",UPPER(SUBSTITUTE(SUBSTITUTE(SUBSTITUTE(SUBSTITUTE(SUBSTITUTE(SUBSTITUTE(SUBSTITUTE(SUBSTITUTE(SUBSTITUTE(SUBSTITUTE(SUBSTITUTE(SUBSTITUTE(SUBSTITUTE(SUBSTITUTE(SUBSTITUTE(SUBSTITUTE(SUBSTITUTE(SUBSTITUTE(TRIM($C358),"'",""),"İ","I"),"ı","I"),"i","I"),"Ş","S"),"ş","S"),"Ğ","G"),"ğ","G"),"Ü","U"),"ü","U"),"Ö","O"),"ö","O"),"Ç","C"),"ç","C"),".",""),",","")," ",""),"-","")))</f>
        <v/>
      </c>
    </row>
    <row r="359">
      <c r="A359" s="6" t="n"/>
      <c r="B359" s="113">
        <f>IF($C359="","",IFERROR(INDEX(MUSTERILER!$B$7:$B$106,MATCH($T359,MUSTERILER!$T$7:$T$106,0)),IFERROR(INDEX(MUSTERILER!$B$7:$B$106,MATCH($C359,MUSTERILER!$B$7:$B$106,0)),IFERROR(INDEX(MUSTERILER!$B$7:$B$106,MATCH($T359&amp;"*",MUSTERILER!$T$7:$T$106,0)),"TANIMSIZ MÜŞTERİ"))))</f>
        <v/>
      </c>
      <c r="C359" s="109" t="n"/>
      <c r="D359" s="220" t="n"/>
      <c r="E359" s="220" t="n"/>
      <c r="F359" s="108" t="n"/>
      <c r="G359" s="221" t="n"/>
      <c r="H359" s="108" t="n"/>
      <c r="I359" s="222">
        <f>IF(OR($C359="",$D359="",$G359="",$F359=""),0,$G359*IF($F359="Aylık",MAX(0,(YEAR(MIN(IF($E359="",TODAY(),$E359),TODAY()))-YEAR($D359))*12+MONTH(MIN(IF($E359="",TODAY(),$E359),TODAY()))-MONTH($D359)+IF(MIN(IF($E359="",TODAY(),$E359),TODAY())&gt;=EOMONTH(MIN(IF($E359="",TODAY(),$E359),TODAY()),0),1,0)),MAX(0,INT((MIN(IF($E359="",TODAY(),$E359),TODAY())-($D359+MOD(SISTEM!$F$8-WEEKDAY($D359,2),7)))/7)+1)))</f>
        <v/>
      </c>
      <c r="J359" s="222">
        <f>IF(OR($C359="",$D359="",$G359="",$F359=""),0,$G359*IF($F359="Aylık",MAX(0,(YEAR(MIN(IF($E359="",TODAY()-8,$E359),TODAY()-8))-YEAR($D359))*12+MONTH(MIN(IF($E359="",TODAY()-8,$E359),TODAY()-8))-MONTH($D359)+IF(MIN(IF($E359="",TODAY()-8,$E359),TODAY()-8)&gt;=EOMONTH(MIN(IF($E359="",TODAY()-8,$E359),TODAY()-8),0),1,0)),MAX(0,INT((MIN(IF($E359="",TODAY()-8,$E359),TODAY()-8)-($D359+MOD(SISTEM!$F$8-WEEKDAY($D359,2),7)))/7)+1)))</f>
        <v/>
      </c>
      <c r="K359" s="222">
        <f>IF(OR($C359="",$D359="",$G359="",$F359=""),0,$G359*IF($F359="Aylık",MAX(0,(YEAR(MIN(IF($E359="",TODAY()-15,$E359),TODAY()-15))-YEAR($D359))*12+MONTH(MIN(IF($E359="",TODAY()-15,$E359),TODAY()-15))-MONTH($D359)+IF(MIN(IF($E359="",TODAY()-15,$E359),TODAY()-15)&gt;=EOMONTH(MIN(IF($E359="",TODAY()-15,$E359),TODAY()-15),0),1,0)),MAX(0,INT((MIN(IF($E359="",TODAY()-15,$E359),TODAY()-15)-($D359+MOD(SISTEM!$F$8-WEEKDAY($D359,2),7)))/7)+1)))</f>
        <v/>
      </c>
      <c r="L359" s="222">
        <f>IF(OR($C359="",$D359="",$G359="",$F359=""),0,$G359*IF($F359="Aylık",MAX(0,(YEAR(MIN(IF($E359="",TODAY()-29,$E359),TODAY()-29))-YEAR($D359))*12+MONTH(MIN(IF($E359="",TODAY()-29,$E359),TODAY()-29))-MONTH($D359)+IF(MIN(IF($E359="",TODAY()-29,$E359),TODAY()-29)&gt;=EOMONTH(MIN(IF($E359="",TODAY()-29,$E359),TODAY()-29),0),1,0)),MAX(0,INT((MIN(IF($E359="",TODAY()-29,$E359),TODAY()-29)-($D359+MOD(SISTEM!$F$8-WEEKDAY($D359,2),7)))/7)+1)))</f>
        <v/>
      </c>
      <c r="M359" s="223">
        <f>IF($G359&gt;0,$I359/$G359,0)</f>
        <v/>
      </c>
      <c r="N359" s="113">
        <f>IF($C359="","",IF($B359="TANIMSIZ MÜŞTERİ","TANIMSIZ MÜŞTERİ",IF($F359="","MODEL SEÇİN",IF(OR($D359="",$G359&lt;=0),"EKSİK",IF(AND($E359&lt;&gt;"",$E359&lt;$D359),"TARİH HATASI",IF($H359="Pasif","KAPALI DÖNEM","UYGUN"))))))</f>
        <v/>
      </c>
      <c r="O359" s="224">
        <f>IF(OR($C359="",$D359="",$F359=""),"",IF($F359="Aylık",EOMONTH($D359,0),($D359+MOD(SISTEM!$F$8-WEEKDAY($D359,2),7))))</f>
        <v/>
      </c>
      <c r="P359" s="109" t="n"/>
      <c r="Q359" s="6" t="n"/>
      <c r="R359" s="6" t="n"/>
      <c r="S359" s="3">
        <f>IF($B359="","",$B359&amp;"|"&amp;COUNTIFS($B$7:$B359,$B359))</f>
        <v/>
      </c>
      <c r="T359" s="3">
        <f>IF($C359="","",UPPER(SUBSTITUTE(SUBSTITUTE(SUBSTITUTE(SUBSTITUTE(SUBSTITUTE(SUBSTITUTE(SUBSTITUTE(SUBSTITUTE(SUBSTITUTE(SUBSTITUTE(SUBSTITUTE(SUBSTITUTE(SUBSTITUTE(SUBSTITUTE(SUBSTITUTE(SUBSTITUTE(SUBSTITUTE(SUBSTITUTE(TRIM($C359),"'",""),"İ","I"),"ı","I"),"i","I"),"Ş","S"),"ş","S"),"Ğ","G"),"ğ","G"),"Ü","U"),"ü","U"),"Ö","O"),"ö","O"),"Ç","C"),"ç","C"),".",""),",","")," ",""),"-","")))</f>
        <v/>
      </c>
    </row>
    <row r="360">
      <c r="A360" s="6" t="n"/>
      <c r="B360" s="113">
        <f>IF($C360="","",IFERROR(INDEX(MUSTERILER!$B$7:$B$106,MATCH($T360,MUSTERILER!$T$7:$T$106,0)),IFERROR(INDEX(MUSTERILER!$B$7:$B$106,MATCH($C360,MUSTERILER!$B$7:$B$106,0)),IFERROR(INDEX(MUSTERILER!$B$7:$B$106,MATCH($T360&amp;"*",MUSTERILER!$T$7:$T$106,0)),"TANIMSIZ MÜŞTERİ"))))</f>
        <v/>
      </c>
      <c r="C360" s="109" t="n"/>
      <c r="D360" s="220" t="n"/>
      <c r="E360" s="220" t="n"/>
      <c r="F360" s="108" t="n"/>
      <c r="G360" s="221" t="n"/>
      <c r="H360" s="108" t="n"/>
      <c r="I360" s="222">
        <f>IF(OR($C360="",$D360="",$G360="",$F360=""),0,$G360*IF($F360="Aylık",MAX(0,(YEAR(MIN(IF($E360="",TODAY(),$E360),TODAY()))-YEAR($D360))*12+MONTH(MIN(IF($E360="",TODAY(),$E360),TODAY()))-MONTH($D360)+IF(MIN(IF($E360="",TODAY(),$E360),TODAY())&gt;=EOMONTH(MIN(IF($E360="",TODAY(),$E360),TODAY()),0),1,0)),MAX(0,INT((MIN(IF($E360="",TODAY(),$E360),TODAY())-($D360+MOD(SISTEM!$F$8-WEEKDAY($D360,2),7)))/7)+1)))</f>
        <v/>
      </c>
      <c r="J360" s="222">
        <f>IF(OR($C360="",$D360="",$G360="",$F360=""),0,$G360*IF($F360="Aylık",MAX(0,(YEAR(MIN(IF($E360="",TODAY()-8,$E360),TODAY()-8))-YEAR($D360))*12+MONTH(MIN(IF($E360="",TODAY()-8,$E360),TODAY()-8))-MONTH($D360)+IF(MIN(IF($E360="",TODAY()-8,$E360),TODAY()-8)&gt;=EOMONTH(MIN(IF($E360="",TODAY()-8,$E360),TODAY()-8),0),1,0)),MAX(0,INT((MIN(IF($E360="",TODAY()-8,$E360),TODAY()-8)-($D360+MOD(SISTEM!$F$8-WEEKDAY($D360,2),7)))/7)+1)))</f>
        <v/>
      </c>
      <c r="K360" s="222">
        <f>IF(OR($C360="",$D360="",$G360="",$F360=""),0,$G360*IF($F360="Aylık",MAX(0,(YEAR(MIN(IF($E360="",TODAY()-15,$E360),TODAY()-15))-YEAR($D360))*12+MONTH(MIN(IF($E360="",TODAY()-15,$E360),TODAY()-15))-MONTH($D360)+IF(MIN(IF($E360="",TODAY()-15,$E360),TODAY()-15)&gt;=EOMONTH(MIN(IF($E360="",TODAY()-15,$E360),TODAY()-15),0),1,0)),MAX(0,INT((MIN(IF($E360="",TODAY()-15,$E360),TODAY()-15)-($D360+MOD(SISTEM!$F$8-WEEKDAY($D360,2),7)))/7)+1)))</f>
        <v/>
      </c>
      <c r="L360" s="222">
        <f>IF(OR($C360="",$D360="",$G360="",$F360=""),0,$G360*IF($F360="Aylık",MAX(0,(YEAR(MIN(IF($E360="",TODAY()-29,$E360),TODAY()-29))-YEAR($D360))*12+MONTH(MIN(IF($E360="",TODAY()-29,$E360),TODAY()-29))-MONTH($D360)+IF(MIN(IF($E360="",TODAY()-29,$E360),TODAY()-29)&gt;=EOMONTH(MIN(IF($E360="",TODAY()-29,$E360),TODAY()-29),0),1,0)),MAX(0,INT((MIN(IF($E360="",TODAY()-29,$E360),TODAY()-29)-($D360+MOD(SISTEM!$F$8-WEEKDAY($D360,2),7)))/7)+1)))</f>
        <v/>
      </c>
      <c r="M360" s="223">
        <f>IF($G360&gt;0,$I360/$G360,0)</f>
        <v/>
      </c>
      <c r="N360" s="113">
        <f>IF($C360="","",IF($B360="TANIMSIZ MÜŞTERİ","TANIMSIZ MÜŞTERİ",IF($F360="","MODEL SEÇİN",IF(OR($D360="",$G360&lt;=0),"EKSİK",IF(AND($E360&lt;&gt;"",$E360&lt;$D360),"TARİH HATASI",IF($H360="Pasif","KAPALI DÖNEM","UYGUN"))))))</f>
        <v/>
      </c>
      <c r="O360" s="224">
        <f>IF(OR($C360="",$D360="",$F360=""),"",IF($F360="Aylık",EOMONTH($D360,0),($D360+MOD(SISTEM!$F$8-WEEKDAY($D360,2),7))))</f>
        <v/>
      </c>
      <c r="P360" s="109" t="n"/>
      <c r="Q360" s="6" t="n"/>
      <c r="R360" s="6" t="n"/>
      <c r="S360" s="3">
        <f>IF($B360="","",$B360&amp;"|"&amp;COUNTIFS($B$7:$B360,$B360))</f>
        <v/>
      </c>
      <c r="T360" s="3">
        <f>IF($C360="","",UPPER(SUBSTITUTE(SUBSTITUTE(SUBSTITUTE(SUBSTITUTE(SUBSTITUTE(SUBSTITUTE(SUBSTITUTE(SUBSTITUTE(SUBSTITUTE(SUBSTITUTE(SUBSTITUTE(SUBSTITUTE(SUBSTITUTE(SUBSTITUTE(SUBSTITUTE(SUBSTITUTE(SUBSTITUTE(SUBSTITUTE(TRIM($C360),"'",""),"İ","I"),"ı","I"),"i","I"),"Ş","S"),"ş","S"),"Ğ","G"),"ğ","G"),"Ü","U"),"ü","U"),"Ö","O"),"ö","O"),"Ç","C"),"ç","C"),".",""),",","")," ",""),"-","")))</f>
        <v/>
      </c>
    </row>
    <row r="361">
      <c r="A361" s="6" t="n"/>
      <c r="B361" s="113">
        <f>IF($C361="","",IFERROR(INDEX(MUSTERILER!$B$7:$B$106,MATCH($T361,MUSTERILER!$T$7:$T$106,0)),IFERROR(INDEX(MUSTERILER!$B$7:$B$106,MATCH($C361,MUSTERILER!$B$7:$B$106,0)),IFERROR(INDEX(MUSTERILER!$B$7:$B$106,MATCH($T361&amp;"*",MUSTERILER!$T$7:$T$106,0)),"TANIMSIZ MÜŞTERİ"))))</f>
        <v/>
      </c>
      <c r="C361" s="109" t="n"/>
      <c r="D361" s="220" t="n"/>
      <c r="E361" s="220" t="n"/>
      <c r="F361" s="108" t="n"/>
      <c r="G361" s="221" t="n"/>
      <c r="H361" s="108" t="n"/>
      <c r="I361" s="222">
        <f>IF(OR($C361="",$D361="",$G361="",$F361=""),0,$G361*IF($F361="Aylık",MAX(0,(YEAR(MIN(IF($E361="",TODAY(),$E361),TODAY()))-YEAR($D361))*12+MONTH(MIN(IF($E361="",TODAY(),$E361),TODAY()))-MONTH($D361)+IF(MIN(IF($E361="",TODAY(),$E361),TODAY())&gt;=EOMONTH(MIN(IF($E361="",TODAY(),$E361),TODAY()),0),1,0)),MAX(0,INT((MIN(IF($E361="",TODAY(),$E361),TODAY())-($D361+MOD(SISTEM!$F$8-WEEKDAY($D361,2),7)))/7)+1)))</f>
        <v/>
      </c>
      <c r="J361" s="222">
        <f>IF(OR($C361="",$D361="",$G361="",$F361=""),0,$G361*IF($F361="Aylık",MAX(0,(YEAR(MIN(IF($E361="",TODAY()-8,$E361),TODAY()-8))-YEAR($D361))*12+MONTH(MIN(IF($E361="",TODAY()-8,$E361),TODAY()-8))-MONTH($D361)+IF(MIN(IF($E361="",TODAY()-8,$E361),TODAY()-8)&gt;=EOMONTH(MIN(IF($E361="",TODAY()-8,$E361),TODAY()-8),0),1,0)),MAX(0,INT((MIN(IF($E361="",TODAY()-8,$E361),TODAY()-8)-($D361+MOD(SISTEM!$F$8-WEEKDAY($D361,2),7)))/7)+1)))</f>
        <v/>
      </c>
      <c r="K361" s="222">
        <f>IF(OR($C361="",$D361="",$G361="",$F361=""),0,$G361*IF($F361="Aylık",MAX(0,(YEAR(MIN(IF($E361="",TODAY()-15,$E361),TODAY()-15))-YEAR($D361))*12+MONTH(MIN(IF($E361="",TODAY()-15,$E361),TODAY()-15))-MONTH($D361)+IF(MIN(IF($E361="",TODAY()-15,$E361),TODAY()-15)&gt;=EOMONTH(MIN(IF($E361="",TODAY()-15,$E361),TODAY()-15),0),1,0)),MAX(0,INT((MIN(IF($E361="",TODAY()-15,$E361),TODAY()-15)-($D361+MOD(SISTEM!$F$8-WEEKDAY($D361,2),7)))/7)+1)))</f>
        <v/>
      </c>
      <c r="L361" s="222">
        <f>IF(OR($C361="",$D361="",$G361="",$F361=""),0,$G361*IF($F361="Aylık",MAX(0,(YEAR(MIN(IF($E361="",TODAY()-29,$E361),TODAY()-29))-YEAR($D361))*12+MONTH(MIN(IF($E361="",TODAY()-29,$E361),TODAY()-29))-MONTH($D361)+IF(MIN(IF($E361="",TODAY()-29,$E361),TODAY()-29)&gt;=EOMONTH(MIN(IF($E361="",TODAY()-29,$E361),TODAY()-29),0),1,0)),MAX(0,INT((MIN(IF($E361="",TODAY()-29,$E361),TODAY()-29)-($D361+MOD(SISTEM!$F$8-WEEKDAY($D361,2),7)))/7)+1)))</f>
        <v/>
      </c>
      <c r="M361" s="223">
        <f>IF($G361&gt;0,$I361/$G361,0)</f>
        <v/>
      </c>
      <c r="N361" s="113">
        <f>IF($C361="","",IF($B361="TANIMSIZ MÜŞTERİ","TANIMSIZ MÜŞTERİ",IF($F361="","MODEL SEÇİN",IF(OR($D361="",$G361&lt;=0),"EKSİK",IF(AND($E361&lt;&gt;"",$E361&lt;$D361),"TARİH HATASI",IF($H361="Pasif","KAPALI DÖNEM","UYGUN"))))))</f>
        <v/>
      </c>
      <c r="O361" s="224">
        <f>IF(OR($C361="",$D361="",$F361=""),"",IF($F361="Aylık",EOMONTH($D361,0),($D361+MOD(SISTEM!$F$8-WEEKDAY($D361,2),7))))</f>
        <v/>
      </c>
      <c r="P361" s="109" t="n"/>
      <c r="Q361" s="6" t="n"/>
      <c r="R361" s="6" t="n"/>
      <c r="S361" s="3">
        <f>IF($B361="","",$B361&amp;"|"&amp;COUNTIFS($B$7:$B361,$B361))</f>
        <v/>
      </c>
      <c r="T361" s="3">
        <f>IF($C361="","",UPPER(SUBSTITUTE(SUBSTITUTE(SUBSTITUTE(SUBSTITUTE(SUBSTITUTE(SUBSTITUTE(SUBSTITUTE(SUBSTITUTE(SUBSTITUTE(SUBSTITUTE(SUBSTITUTE(SUBSTITUTE(SUBSTITUTE(SUBSTITUTE(SUBSTITUTE(SUBSTITUTE(SUBSTITUTE(SUBSTITUTE(TRIM($C361),"'",""),"İ","I"),"ı","I"),"i","I"),"Ş","S"),"ş","S"),"Ğ","G"),"ğ","G"),"Ü","U"),"ü","U"),"Ö","O"),"ö","O"),"Ç","C"),"ç","C"),".",""),",","")," ",""),"-","")))</f>
        <v/>
      </c>
    </row>
    <row r="362">
      <c r="A362" s="6" t="n"/>
      <c r="B362" s="113">
        <f>IF($C362="","",IFERROR(INDEX(MUSTERILER!$B$7:$B$106,MATCH($T362,MUSTERILER!$T$7:$T$106,0)),IFERROR(INDEX(MUSTERILER!$B$7:$B$106,MATCH($C362,MUSTERILER!$B$7:$B$106,0)),IFERROR(INDEX(MUSTERILER!$B$7:$B$106,MATCH($T362&amp;"*",MUSTERILER!$T$7:$T$106,0)),"TANIMSIZ MÜŞTERİ"))))</f>
        <v/>
      </c>
      <c r="C362" s="109" t="n"/>
      <c r="D362" s="220" t="n"/>
      <c r="E362" s="220" t="n"/>
      <c r="F362" s="108" t="n"/>
      <c r="G362" s="221" t="n"/>
      <c r="H362" s="108" t="n"/>
      <c r="I362" s="222">
        <f>IF(OR($C362="",$D362="",$G362="",$F362=""),0,$G362*IF($F362="Aylık",MAX(0,(YEAR(MIN(IF($E362="",TODAY(),$E362),TODAY()))-YEAR($D362))*12+MONTH(MIN(IF($E362="",TODAY(),$E362),TODAY()))-MONTH($D362)+IF(MIN(IF($E362="",TODAY(),$E362),TODAY())&gt;=EOMONTH(MIN(IF($E362="",TODAY(),$E362),TODAY()),0),1,0)),MAX(0,INT((MIN(IF($E362="",TODAY(),$E362),TODAY())-($D362+MOD(SISTEM!$F$8-WEEKDAY($D362,2),7)))/7)+1)))</f>
        <v/>
      </c>
      <c r="J362" s="222">
        <f>IF(OR($C362="",$D362="",$G362="",$F362=""),0,$G362*IF($F362="Aylık",MAX(0,(YEAR(MIN(IF($E362="",TODAY()-8,$E362),TODAY()-8))-YEAR($D362))*12+MONTH(MIN(IF($E362="",TODAY()-8,$E362),TODAY()-8))-MONTH($D362)+IF(MIN(IF($E362="",TODAY()-8,$E362),TODAY()-8)&gt;=EOMONTH(MIN(IF($E362="",TODAY()-8,$E362),TODAY()-8),0),1,0)),MAX(0,INT((MIN(IF($E362="",TODAY()-8,$E362),TODAY()-8)-($D362+MOD(SISTEM!$F$8-WEEKDAY($D362,2),7)))/7)+1)))</f>
        <v/>
      </c>
      <c r="K362" s="222">
        <f>IF(OR($C362="",$D362="",$G362="",$F362=""),0,$G362*IF($F362="Aylık",MAX(0,(YEAR(MIN(IF($E362="",TODAY()-15,$E362),TODAY()-15))-YEAR($D362))*12+MONTH(MIN(IF($E362="",TODAY()-15,$E362),TODAY()-15))-MONTH($D362)+IF(MIN(IF($E362="",TODAY()-15,$E362),TODAY()-15)&gt;=EOMONTH(MIN(IF($E362="",TODAY()-15,$E362),TODAY()-15),0),1,0)),MAX(0,INT((MIN(IF($E362="",TODAY()-15,$E362),TODAY()-15)-($D362+MOD(SISTEM!$F$8-WEEKDAY($D362,2),7)))/7)+1)))</f>
        <v/>
      </c>
      <c r="L362" s="222">
        <f>IF(OR($C362="",$D362="",$G362="",$F362=""),0,$G362*IF($F362="Aylık",MAX(0,(YEAR(MIN(IF($E362="",TODAY()-29,$E362),TODAY()-29))-YEAR($D362))*12+MONTH(MIN(IF($E362="",TODAY()-29,$E362),TODAY()-29))-MONTH($D362)+IF(MIN(IF($E362="",TODAY()-29,$E362),TODAY()-29)&gt;=EOMONTH(MIN(IF($E362="",TODAY()-29,$E362),TODAY()-29),0),1,0)),MAX(0,INT((MIN(IF($E362="",TODAY()-29,$E362),TODAY()-29)-($D362+MOD(SISTEM!$F$8-WEEKDAY($D362,2),7)))/7)+1)))</f>
        <v/>
      </c>
      <c r="M362" s="223">
        <f>IF($G362&gt;0,$I362/$G362,0)</f>
        <v/>
      </c>
      <c r="N362" s="113">
        <f>IF($C362="","",IF($B362="TANIMSIZ MÜŞTERİ","TANIMSIZ MÜŞTERİ",IF($F362="","MODEL SEÇİN",IF(OR($D362="",$G362&lt;=0),"EKSİK",IF(AND($E362&lt;&gt;"",$E362&lt;$D362),"TARİH HATASI",IF($H362="Pasif","KAPALI DÖNEM","UYGUN"))))))</f>
        <v/>
      </c>
      <c r="O362" s="224">
        <f>IF(OR($C362="",$D362="",$F362=""),"",IF($F362="Aylık",EOMONTH($D362,0),($D362+MOD(SISTEM!$F$8-WEEKDAY($D362,2),7))))</f>
        <v/>
      </c>
      <c r="P362" s="109" t="n"/>
      <c r="Q362" s="6" t="n"/>
      <c r="R362" s="6" t="n"/>
      <c r="S362" s="3">
        <f>IF($B362="","",$B362&amp;"|"&amp;COUNTIFS($B$7:$B362,$B362))</f>
        <v/>
      </c>
      <c r="T362" s="3">
        <f>IF($C362="","",UPPER(SUBSTITUTE(SUBSTITUTE(SUBSTITUTE(SUBSTITUTE(SUBSTITUTE(SUBSTITUTE(SUBSTITUTE(SUBSTITUTE(SUBSTITUTE(SUBSTITUTE(SUBSTITUTE(SUBSTITUTE(SUBSTITUTE(SUBSTITUTE(SUBSTITUTE(SUBSTITUTE(SUBSTITUTE(SUBSTITUTE(TRIM($C362),"'",""),"İ","I"),"ı","I"),"i","I"),"Ş","S"),"ş","S"),"Ğ","G"),"ğ","G"),"Ü","U"),"ü","U"),"Ö","O"),"ö","O"),"Ç","C"),"ç","C"),".",""),",","")," ",""),"-","")))</f>
        <v/>
      </c>
    </row>
    <row r="363">
      <c r="A363" s="6" t="n"/>
      <c r="B363" s="113">
        <f>IF($C363="","",IFERROR(INDEX(MUSTERILER!$B$7:$B$106,MATCH($T363,MUSTERILER!$T$7:$T$106,0)),IFERROR(INDEX(MUSTERILER!$B$7:$B$106,MATCH($C363,MUSTERILER!$B$7:$B$106,0)),IFERROR(INDEX(MUSTERILER!$B$7:$B$106,MATCH($T363&amp;"*",MUSTERILER!$T$7:$T$106,0)),"TANIMSIZ MÜŞTERİ"))))</f>
        <v/>
      </c>
      <c r="C363" s="109" t="n"/>
      <c r="D363" s="220" t="n"/>
      <c r="E363" s="220" t="n"/>
      <c r="F363" s="108" t="n"/>
      <c r="G363" s="221" t="n"/>
      <c r="H363" s="108" t="n"/>
      <c r="I363" s="222">
        <f>IF(OR($C363="",$D363="",$G363="",$F363=""),0,$G363*IF($F363="Aylık",MAX(0,(YEAR(MIN(IF($E363="",TODAY(),$E363),TODAY()))-YEAR($D363))*12+MONTH(MIN(IF($E363="",TODAY(),$E363),TODAY()))-MONTH($D363)+IF(MIN(IF($E363="",TODAY(),$E363),TODAY())&gt;=EOMONTH(MIN(IF($E363="",TODAY(),$E363),TODAY()),0),1,0)),MAX(0,INT((MIN(IF($E363="",TODAY(),$E363),TODAY())-($D363+MOD(SISTEM!$F$8-WEEKDAY($D363,2),7)))/7)+1)))</f>
        <v/>
      </c>
      <c r="J363" s="222">
        <f>IF(OR($C363="",$D363="",$G363="",$F363=""),0,$G363*IF($F363="Aylık",MAX(0,(YEAR(MIN(IF($E363="",TODAY()-8,$E363),TODAY()-8))-YEAR($D363))*12+MONTH(MIN(IF($E363="",TODAY()-8,$E363),TODAY()-8))-MONTH($D363)+IF(MIN(IF($E363="",TODAY()-8,$E363),TODAY()-8)&gt;=EOMONTH(MIN(IF($E363="",TODAY()-8,$E363),TODAY()-8),0),1,0)),MAX(0,INT((MIN(IF($E363="",TODAY()-8,$E363),TODAY()-8)-($D363+MOD(SISTEM!$F$8-WEEKDAY($D363,2),7)))/7)+1)))</f>
        <v/>
      </c>
      <c r="K363" s="222">
        <f>IF(OR($C363="",$D363="",$G363="",$F363=""),0,$G363*IF($F363="Aylık",MAX(0,(YEAR(MIN(IF($E363="",TODAY()-15,$E363),TODAY()-15))-YEAR($D363))*12+MONTH(MIN(IF($E363="",TODAY()-15,$E363),TODAY()-15))-MONTH($D363)+IF(MIN(IF($E363="",TODAY()-15,$E363),TODAY()-15)&gt;=EOMONTH(MIN(IF($E363="",TODAY()-15,$E363),TODAY()-15),0),1,0)),MAX(0,INT((MIN(IF($E363="",TODAY()-15,$E363),TODAY()-15)-($D363+MOD(SISTEM!$F$8-WEEKDAY($D363,2),7)))/7)+1)))</f>
        <v/>
      </c>
      <c r="L363" s="222">
        <f>IF(OR($C363="",$D363="",$G363="",$F363=""),0,$G363*IF($F363="Aylık",MAX(0,(YEAR(MIN(IF($E363="",TODAY()-29,$E363),TODAY()-29))-YEAR($D363))*12+MONTH(MIN(IF($E363="",TODAY()-29,$E363),TODAY()-29))-MONTH($D363)+IF(MIN(IF($E363="",TODAY()-29,$E363),TODAY()-29)&gt;=EOMONTH(MIN(IF($E363="",TODAY()-29,$E363),TODAY()-29),0),1,0)),MAX(0,INT((MIN(IF($E363="",TODAY()-29,$E363),TODAY()-29)-($D363+MOD(SISTEM!$F$8-WEEKDAY($D363,2),7)))/7)+1)))</f>
        <v/>
      </c>
      <c r="M363" s="223">
        <f>IF($G363&gt;0,$I363/$G363,0)</f>
        <v/>
      </c>
      <c r="N363" s="113">
        <f>IF($C363="","",IF($B363="TANIMSIZ MÜŞTERİ","TANIMSIZ MÜŞTERİ",IF($F363="","MODEL SEÇİN",IF(OR($D363="",$G363&lt;=0),"EKSİK",IF(AND($E363&lt;&gt;"",$E363&lt;$D363),"TARİH HATASI",IF($H363="Pasif","KAPALI DÖNEM","UYGUN"))))))</f>
        <v/>
      </c>
      <c r="O363" s="224">
        <f>IF(OR($C363="",$D363="",$F363=""),"",IF($F363="Aylık",EOMONTH($D363,0),($D363+MOD(SISTEM!$F$8-WEEKDAY($D363,2),7))))</f>
        <v/>
      </c>
      <c r="P363" s="109" t="n"/>
      <c r="Q363" s="6" t="n"/>
      <c r="R363" s="6" t="n"/>
      <c r="S363" s="3">
        <f>IF($B363="","",$B363&amp;"|"&amp;COUNTIFS($B$7:$B363,$B363))</f>
        <v/>
      </c>
      <c r="T363" s="3">
        <f>IF($C363="","",UPPER(SUBSTITUTE(SUBSTITUTE(SUBSTITUTE(SUBSTITUTE(SUBSTITUTE(SUBSTITUTE(SUBSTITUTE(SUBSTITUTE(SUBSTITUTE(SUBSTITUTE(SUBSTITUTE(SUBSTITUTE(SUBSTITUTE(SUBSTITUTE(SUBSTITUTE(SUBSTITUTE(SUBSTITUTE(SUBSTITUTE(TRIM($C363),"'",""),"İ","I"),"ı","I"),"i","I"),"Ş","S"),"ş","S"),"Ğ","G"),"ğ","G"),"Ü","U"),"ü","U"),"Ö","O"),"ö","O"),"Ç","C"),"ç","C"),".",""),",","")," ",""),"-","")))</f>
        <v/>
      </c>
    </row>
    <row r="364">
      <c r="A364" s="6" t="n"/>
      <c r="B364" s="113">
        <f>IF($C364="","",IFERROR(INDEX(MUSTERILER!$B$7:$B$106,MATCH($T364,MUSTERILER!$T$7:$T$106,0)),IFERROR(INDEX(MUSTERILER!$B$7:$B$106,MATCH($C364,MUSTERILER!$B$7:$B$106,0)),IFERROR(INDEX(MUSTERILER!$B$7:$B$106,MATCH($T364&amp;"*",MUSTERILER!$T$7:$T$106,0)),"TANIMSIZ MÜŞTERİ"))))</f>
        <v/>
      </c>
      <c r="C364" s="109" t="n"/>
      <c r="D364" s="220" t="n"/>
      <c r="E364" s="220" t="n"/>
      <c r="F364" s="108" t="n"/>
      <c r="G364" s="221" t="n"/>
      <c r="H364" s="108" t="n"/>
      <c r="I364" s="222">
        <f>IF(OR($C364="",$D364="",$G364="",$F364=""),0,$G364*IF($F364="Aylık",MAX(0,(YEAR(MIN(IF($E364="",TODAY(),$E364),TODAY()))-YEAR($D364))*12+MONTH(MIN(IF($E364="",TODAY(),$E364),TODAY()))-MONTH($D364)+IF(MIN(IF($E364="",TODAY(),$E364),TODAY())&gt;=EOMONTH(MIN(IF($E364="",TODAY(),$E364),TODAY()),0),1,0)),MAX(0,INT((MIN(IF($E364="",TODAY(),$E364),TODAY())-($D364+MOD(SISTEM!$F$8-WEEKDAY($D364,2),7)))/7)+1)))</f>
        <v/>
      </c>
      <c r="J364" s="222">
        <f>IF(OR($C364="",$D364="",$G364="",$F364=""),0,$G364*IF($F364="Aylık",MAX(0,(YEAR(MIN(IF($E364="",TODAY()-8,$E364),TODAY()-8))-YEAR($D364))*12+MONTH(MIN(IF($E364="",TODAY()-8,$E364),TODAY()-8))-MONTH($D364)+IF(MIN(IF($E364="",TODAY()-8,$E364),TODAY()-8)&gt;=EOMONTH(MIN(IF($E364="",TODAY()-8,$E364),TODAY()-8),0),1,0)),MAX(0,INT((MIN(IF($E364="",TODAY()-8,$E364),TODAY()-8)-($D364+MOD(SISTEM!$F$8-WEEKDAY($D364,2),7)))/7)+1)))</f>
        <v/>
      </c>
      <c r="K364" s="222">
        <f>IF(OR($C364="",$D364="",$G364="",$F364=""),0,$G364*IF($F364="Aylık",MAX(0,(YEAR(MIN(IF($E364="",TODAY()-15,$E364),TODAY()-15))-YEAR($D364))*12+MONTH(MIN(IF($E364="",TODAY()-15,$E364),TODAY()-15))-MONTH($D364)+IF(MIN(IF($E364="",TODAY()-15,$E364),TODAY()-15)&gt;=EOMONTH(MIN(IF($E364="",TODAY()-15,$E364),TODAY()-15),0),1,0)),MAX(0,INT((MIN(IF($E364="",TODAY()-15,$E364),TODAY()-15)-($D364+MOD(SISTEM!$F$8-WEEKDAY($D364,2),7)))/7)+1)))</f>
        <v/>
      </c>
      <c r="L364" s="222">
        <f>IF(OR($C364="",$D364="",$G364="",$F364=""),0,$G364*IF($F364="Aylık",MAX(0,(YEAR(MIN(IF($E364="",TODAY()-29,$E364),TODAY()-29))-YEAR($D364))*12+MONTH(MIN(IF($E364="",TODAY()-29,$E364),TODAY()-29))-MONTH($D364)+IF(MIN(IF($E364="",TODAY()-29,$E364),TODAY()-29)&gt;=EOMONTH(MIN(IF($E364="",TODAY()-29,$E364),TODAY()-29),0),1,0)),MAX(0,INT((MIN(IF($E364="",TODAY()-29,$E364),TODAY()-29)-($D364+MOD(SISTEM!$F$8-WEEKDAY($D364,2),7)))/7)+1)))</f>
        <v/>
      </c>
      <c r="M364" s="223">
        <f>IF($G364&gt;0,$I364/$G364,0)</f>
        <v/>
      </c>
      <c r="N364" s="113">
        <f>IF($C364="","",IF($B364="TANIMSIZ MÜŞTERİ","TANIMSIZ MÜŞTERİ",IF($F364="","MODEL SEÇİN",IF(OR($D364="",$G364&lt;=0),"EKSİK",IF(AND($E364&lt;&gt;"",$E364&lt;$D364),"TARİH HATASI",IF($H364="Pasif","KAPALI DÖNEM","UYGUN"))))))</f>
        <v/>
      </c>
      <c r="O364" s="224">
        <f>IF(OR($C364="",$D364="",$F364=""),"",IF($F364="Aylık",EOMONTH($D364,0),($D364+MOD(SISTEM!$F$8-WEEKDAY($D364,2),7))))</f>
        <v/>
      </c>
      <c r="P364" s="109" t="n"/>
      <c r="Q364" s="6" t="n"/>
      <c r="R364" s="6" t="n"/>
      <c r="S364" s="3">
        <f>IF($B364="","",$B364&amp;"|"&amp;COUNTIFS($B$7:$B364,$B364))</f>
        <v/>
      </c>
      <c r="T364" s="3">
        <f>IF($C364="","",UPPER(SUBSTITUTE(SUBSTITUTE(SUBSTITUTE(SUBSTITUTE(SUBSTITUTE(SUBSTITUTE(SUBSTITUTE(SUBSTITUTE(SUBSTITUTE(SUBSTITUTE(SUBSTITUTE(SUBSTITUTE(SUBSTITUTE(SUBSTITUTE(SUBSTITUTE(SUBSTITUTE(SUBSTITUTE(SUBSTITUTE(TRIM($C364),"'",""),"İ","I"),"ı","I"),"i","I"),"Ş","S"),"ş","S"),"Ğ","G"),"ğ","G"),"Ü","U"),"ü","U"),"Ö","O"),"ö","O"),"Ç","C"),"ç","C"),".",""),",","")," ",""),"-","")))</f>
        <v/>
      </c>
    </row>
    <row r="365">
      <c r="A365" s="6" t="n"/>
      <c r="B365" s="113">
        <f>IF($C365="","",IFERROR(INDEX(MUSTERILER!$B$7:$B$106,MATCH($T365,MUSTERILER!$T$7:$T$106,0)),IFERROR(INDEX(MUSTERILER!$B$7:$B$106,MATCH($C365,MUSTERILER!$B$7:$B$106,0)),IFERROR(INDEX(MUSTERILER!$B$7:$B$106,MATCH($T365&amp;"*",MUSTERILER!$T$7:$T$106,0)),"TANIMSIZ MÜŞTERİ"))))</f>
        <v/>
      </c>
      <c r="C365" s="109" t="n"/>
      <c r="D365" s="220" t="n"/>
      <c r="E365" s="220" t="n"/>
      <c r="F365" s="108" t="n"/>
      <c r="G365" s="221" t="n"/>
      <c r="H365" s="108" t="n"/>
      <c r="I365" s="222">
        <f>IF(OR($C365="",$D365="",$G365="",$F365=""),0,$G365*IF($F365="Aylık",MAX(0,(YEAR(MIN(IF($E365="",TODAY(),$E365),TODAY()))-YEAR($D365))*12+MONTH(MIN(IF($E365="",TODAY(),$E365),TODAY()))-MONTH($D365)+IF(MIN(IF($E365="",TODAY(),$E365),TODAY())&gt;=EOMONTH(MIN(IF($E365="",TODAY(),$E365),TODAY()),0),1,0)),MAX(0,INT((MIN(IF($E365="",TODAY(),$E365),TODAY())-($D365+MOD(SISTEM!$F$8-WEEKDAY($D365,2),7)))/7)+1)))</f>
        <v/>
      </c>
      <c r="J365" s="222">
        <f>IF(OR($C365="",$D365="",$G365="",$F365=""),0,$G365*IF($F365="Aylık",MAX(0,(YEAR(MIN(IF($E365="",TODAY()-8,$E365),TODAY()-8))-YEAR($D365))*12+MONTH(MIN(IF($E365="",TODAY()-8,$E365),TODAY()-8))-MONTH($D365)+IF(MIN(IF($E365="",TODAY()-8,$E365),TODAY()-8)&gt;=EOMONTH(MIN(IF($E365="",TODAY()-8,$E365),TODAY()-8),0),1,0)),MAX(0,INT((MIN(IF($E365="",TODAY()-8,$E365),TODAY()-8)-($D365+MOD(SISTEM!$F$8-WEEKDAY($D365,2),7)))/7)+1)))</f>
        <v/>
      </c>
      <c r="K365" s="222">
        <f>IF(OR($C365="",$D365="",$G365="",$F365=""),0,$G365*IF($F365="Aylık",MAX(0,(YEAR(MIN(IF($E365="",TODAY()-15,$E365),TODAY()-15))-YEAR($D365))*12+MONTH(MIN(IF($E365="",TODAY()-15,$E365),TODAY()-15))-MONTH($D365)+IF(MIN(IF($E365="",TODAY()-15,$E365),TODAY()-15)&gt;=EOMONTH(MIN(IF($E365="",TODAY()-15,$E365),TODAY()-15),0),1,0)),MAX(0,INT((MIN(IF($E365="",TODAY()-15,$E365),TODAY()-15)-($D365+MOD(SISTEM!$F$8-WEEKDAY($D365,2),7)))/7)+1)))</f>
        <v/>
      </c>
      <c r="L365" s="222">
        <f>IF(OR($C365="",$D365="",$G365="",$F365=""),0,$G365*IF($F365="Aylık",MAX(0,(YEAR(MIN(IF($E365="",TODAY()-29,$E365),TODAY()-29))-YEAR($D365))*12+MONTH(MIN(IF($E365="",TODAY()-29,$E365),TODAY()-29))-MONTH($D365)+IF(MIN(IF($E365="",TODAY()-29,$E365),TODAY()-29)&gt;=EOMONTH(MIN(IF($E365="",TODAY()-29,$E365),TODAY()-29),0),1,0)),MAX(0,INT((MIN(IF($E365="",TODAY()-29,$E365),TODAY()-29)-($D365+MOD(SISTEM!$F$8-WEEKDAY($D365,2),7)))/7)+1)))</f>
        <v/>
      </c>
      <c r="M365" s="223">
        <f>IF($G365&gt;0,$I365/$G365,0)</f>
        <v/>
      </c>
      <c r="N365" s="113">
        <f>IF($C365="","",IF($B365="TANIMSIZ MÜŞTERİ","TANIMSIZ MÜŞTERİ",IF($F365="","MODEL SEÇİN",IF(OR($D365="",$G365&lt;=0),"EKSİK",IF(AND($E365&lt;&gt;"",$E365&lt;$D365),"TARİH HATASI",IF($H365="Pasif","KAPALI DÖNEM","UYGUN"))))))</f>
        <v/>
      </c>
      <c r="O365" s="224">
        <f>IF(OR($C365="",$D365="",$F365=""),"",IF($F365="Aylık",EOMONTH($D365,0),($D365+MOD(SISTEM!$F$8-WEEKDAY($D365,2),7))))</f>
        <v/>
      </c>
      <c r="P365" s="109" t="n"/>
      <c r="Q365" s="6" t="n"/>
      <c r="R365" s="6" t="n"/>
      <c r="S365" s="3">
        <f>IF($B365="","",$B365&amp;"|"&amp;COUNTIFS($B$7:$B365,$B365))</f>
        <v/>
      </c>
      <c r="T365" s="3">
        <f>IF($C365="","",UPPER(SUBSTITUTE(SUBSTITUTE(SUBSTITUTE(SUBSTITUTE(SUBSTITUTE(SUBSTITUTE(SUBSTITUTE(SUBSTITUTE(SUBSTITUTE(SUBSTITUTE(SUBSTITUTE(SUBSTITUTE(SUBSTITUTE(SUBSTITUTE(SUBSTITUTE(SUBSTITUTE(SUBSTITUTE(SUBSTITUTE(TRIM($C365),"'",""),"İ","I"),"ı","I"),"i","I"),"Ş","S"),"ş","S"),"Ğ","G"),"ğ","G"),"Ü","U"),"ü","U"),"Ö","O"),"ö","O"),"Ç","C"),"ç","C"),".",""),",","")," ",""),"-","")))</f>
        <v/>
      </c>
    </row>
    <row r="366">
      <c r="A366" s="6" t="n"/>
      <c r="B366" s="113">
        <f>IF($C366="","",IFERROR(INDEX(MUSTERILER!$B$7:$B$106,MATCH($T366,MUSTERILER!$T$7:$T$106,0)),IFERROR(INDEX(MUSTERILER!$B$7:$B$106,MATCH($C366,MUSTERILER!$B$7:$B$106,0)),IFERROR(INDEX(MUSTERILER!$B$7:$B$106,MATCH($T366&amp;"*",MUSTERILER!$T$7:$T$106,0)),"TANIMSIZ MÜŞTERİ"))))</f>
        <v/>
      </c>
      <c r="C366" s="109" t="n"/>
      <c r="D366" s="220" t="n"/>
      <c r="E366" s="220" t="n"/>
      <c r="F366" s="108" t="n"/>
      <c r="G366" s="221" t="n"/>
      <c r="H366" s="108" t="n"/>
      <c r="I366" s="222">
        <f>IF(OR($C366="",$D366="",$G366="",$F366=""),0,$G366*IF($F366="Aylık",MAX(0,(YEAR(MIN(IF($E366="",TODAY(),$E366),TODAY()))-YEAR($D366))*12+MONTH(MIN(IF($E366="",TODAY(),$E366),TODAY()))-MONTH($D366)+IF(MIN(IF($E366="",TODAY(),$E366),TODAY())&gt;=EOMONTH(MIN(IF($E366="",TODAY(),$E366),TODAY()),0),1,0)),MAX(0,INT((MIN(IF($E366="",TODAY(),$E366),TODAY())-($D366+MOD(SISTEM!$F$8-WEEKDAY($D366,2),7)))/7)+1)))</f>
        <v/>
      </c>
      <c r="J366" s="222">
        <f>IF(OR($C366="",$D366="",$G366="",$F366=""),0,$G366*IF($F366="Aylık",MAX(0,(YEAR(MIN(IF($E366="",TODAY()-8,$E366),TODAY()-8))-YEAR($D366))*12+MONTH(MIN(IF($E366="",TODAY()-8,$E366),TODAY()-8))-MONTH($D366)+IF(MIN(IF($E366="",TODAY()-8,$E366),TODAY()-8)&gt;=EOMONTH(MIN(IF($E366="",TODAY()-8,$E366),TODAY()-8),0),1,0)),MAX(0,INT((MIN(IF($E366="",TODAY()-8,$E366),TODAY()-8)-($D366+MOD(SISTEM!$F$8-WEEKDAY($D366,2),7)))/7)+1)))</f>
        <v/>
      </c>
      <c r="K366" s="222">
        <f>IF(OR($C366="",$D366="",$G366="",$F366=""),0,$G366*IF($F366="Aylık",MAX(0,(YEAR(MIN(IF($E366="",TODAY()-15,$E366),TODAY()-15))-YEAR($D366))*12+MONTH(MIN(IF($E366="",TODAY()-15,$E366),TODAY()-15))-MONTH($D366)+IF(MIN(IF($E366="",TODAY()-15,$E366),TODAY()-15)&gt;=EOMONTH(MIN(IF($E366="",TODAY()-15,$E366),TODAY()-15),0),1,0)),MAX(0,INT((MIN(IF($E366="",TODAY()-15,$E366),TODAY()-15)-($D366+MOD(SISTEM!$F$8-WEEKDAY($D366,2),7)))/7)+1)))</f>
        <v/>
      </c>
      <c r="L366" s="222">
        <f>IF(OR($C366="",$D366="",$G366="",$F366=""),0,$G366*IF($F366="Aylık",MAX(0,(YEAR(MIN(IF($E366="",TODAY()-29,$E366),TODAY()-29))-YEAR($D366))*12+MONTH(MIN(IF($E366="",TODAY()-29,$E366),TODAY()-29))-MONTH($D366)+IF(MIN(IF($E366="",TODAY()-29,$E366),TODAY()-29)&gt;=EOMONTH(MIN(IF($E366="",TODAY()-29,$E366),TODAY()-29),0),1,0)),MAX(0,INT((MIN(IF($E366="",TODAY()-29,$E366),TODAY()-29)-($D366+MOD(SISTEM!$F$8-WEEKDAY($D366,2),7)))/7)+1)))</f>
        <v/>
      </c>
      <c r="M366" s="223">
        <f>IF($G366&gt;0,$I366/$G366,0)</f>
        <v/>
      </c>
      <c r="N366" s="113">
        <f>IF($C366="","",IF($B366="TANIMSIZ MÜŞTERİ","TANIMSIZ MÜŞTERİ",IF($F366="","MODEL SEÇİN",IF(OR($D366="",$G366&lt;=0),"EKSİK",IF(AND($E366&lt;&gt;"",$E366&lt;$D366),"TARİH HATASI",IF($H366="Pasif","KAPALI DÖNEM","UYGUN"))))))</f>
        <v/>
      </c>
      <c r="O366" s="224">
        <f>IF(OR($C366="",$D366="",$F366=""),"",IF($F366="Aylık",EOMONTH($D366,0),($D366+MOD(SISTEM!$F$8-WEEKDAY($D366,2),7))))</f>
        <v/>
      </c>
      <c r="P366" s="109" t="n"/>
      <c r="Q366" s="6" t="n"/>
      <c r="R366" s="6" t="n"/>
      <c r="S366" s="3">
        <f>IF($B366="","",$B366&amp;"|"&amp;COUNTIFS($B$7:$B366,$B366))</f>
        <v/>
      </c>
      <c r="T366" s="3">
        <f>IF($C366="","",UPPER(SUBSTITUTE(SUBSTITUTE(SUBSTITUTE(SUBSTITUTE(SUBSTITUTE(SUBSTITUTE(SUBSTITUTE(SUBSTITUTE(SUBSTITUTE(SUBSTITUTE(SUBSTITUTE(SUBSTITUTE(SUBSTITUTE(SUBSTITUTE(SUBSTITUTE(SUBSTITUTE(SUBSTITUTE(SUBSTITUTE(TRIM($C366),"'",""),"İ","I"),"ı","I"),"i","I"),"Ş","S"),"ş","S"),"Ğ","G"),"ğ","G"),"Ü","U"),"ü","U"),"Ö","O"),"ö","O"),"Ç","C"),"ç","C"),".",""),",","")," ",""),"-","")))</f>
        <v/>
      </c>
    </row>
    <row r="367">
      <c r="A367" s="6" t="n"/>
      <c r="B367" s="113">
        <f>IF($C367="","",IFERROR(INDEX(MUSTERILER!$B$7:$B$106,MATCH($T367,MUSTERILER!$T$7:$T$106,0)),IFERROR(INDEX(MUSTERILER!$B$7:$B$106,MATCH($C367,MUSTERILER!$B$7:$B$106,0)),IFERROR(INDEX(MUSTERILER!$B$7:$B$106,MATCH($T367&amp;"*",MUSTERILER!$T$7:$T$106,0)),"TANIMSIZ MÜŞTERİ"))))</f>
        <v/>
      </c>
      <c r="C367" s="109" t="n"/>
      <c r="D367" s="220" t="n"/>
      <c r="E367" s="220" t="n"/>
      <c r="F367" s="108" t="n"/>
      <c r="G367" s="221" t="n"/>
      <c r="H367" s="108" t="n"/>
      <c r="I367" s="222">
        <f>IF(OR($C367="",$D367="",$G367="",$F367=""),0,$G367*IF($F367="Aylık",MAX(0,(YEAR(MIN(IF($E367="",TODAY(),$E367),TODAY()))-YEAR($D367))*12+MONTH(MIN(IF($E367="",TODAY(),$E367),TODAY()))-MONTH($D367)+IF(MIN(IF($E367="",TODAY(),$E367),TODAY())&gt;=EOMONTH(MIN(IF($E367="",TODAY(),$E367),TODAY()),0),1,0)),MAX(0,INT((MIN(IF($E367="",TODAY(),$E367),TODAY())-($D367+MOD(SISTEM!$F$8-WEEKDAY($D367,2),7)))/7)+1)))</f>
        <v/>
      </c>
      <c r="J367" s="222">
        <f>IF(OR($C367="",$D367="",$G367="",$F367=""),0,$G367*IF($F367="Aylık",MAX(0,(YEAR(MIN(IF($E367="",TODAY()-8,$E367),TODAY()-8))-YEAR($D367))*12+MONTH(MIN(IF($E367="",TODAY()-8,$E367),TODAY()-8))-MONTH($D367)+IF(MIN(IF($E367="",TODAY()-8,$E367),TODAY()-8)&gt;=EOMONTH(MIN(IF($E367="",TODAY()-8,$E367),TODAY()-8),0),1,0)),MAX(0,INT((MIN(IF($E367="",TODAY()-8,$E367),TODAY()-8)-($D367+MOD(SISTEM!$F$8-WEEKDAY($D367,2),7)))/7)+1)))</f>
        <v/>
      </c>
      <c r="K367" s="222">
        <f>IF(OR($C367="",$D367="",$G367="",$F367=""),0,$G367*IF($F367="Aylık",MAX(0,(YEAR(MIN(IF($E367="",TODAY()-15,$E367),TODAY()-15))-YEAR($D367))*12+MONTH(MIN(IF($E367="",TODAY()-15,$E367),TODAY()-15))-MONTH($D367)+IF(MIN(IF($E367="",TODAY()-15,$E367),TODAY()-15)&gt;=EOMONTH(MIN(IF($E367="",TODAY()-15,$E367),TODAY()-15),0),1,0)),MAX(0,INT((MIN(IF($E367="",TODAY()-15,$E367),TODAY()-15)-($D367+MOD(SISTEM!$F$8-WEEKDAY($D367,2),7)))/7)+1)))</f>
        <v/>
      </c>
      <c r="L367" s="222">
        <f>IF(OR($C367="",$D367="",$G367="",$F367=""),0,$G367*IF($F367="Aylık",MAX(0,(YEAR(MIN(IF($E367="",TODAY()-29,$E367),TODAY()-29))-YEAR($D367))*12+MONTH(MIN(IF($E367="",TODAY()-29,$E367),TODAY()-29))-MONTH($D367)+IF(MIN(IF($E367="",TODAY()-29,$E367),TODAY()-29)&gt;=EOMONTH(MIN(IF($E367="",TODAY()-29,$E367),TODAY()-29),0),1,0)),MAX(0,INT((MIN(IF($E367="",TODAY()-29,$E367),TODAY()-29)-($D367+MOD(SISTEM!$F$8-WEEKDAY($D367,2),7)))/7)+1)))</f>
        <v/>
      </c>
      <c r="M367" s="223">
        <f>IF($G367&gt;0,$I367/$G367,0)</f>
        <v/>
      </c>
      <c r="N367" s="113">
        <f>IF($C367="","",IF($B367="TANIMSIZ MÜŞTERİ","TANIMSIZ MÜŞTERİ",IF($F367="","MODEL SEÇİN",IF(OR($D367="",$G367&lt;=0),"EKSİK",IF(AND($E367&lt;&gt;"",$E367&lt;$D367),"TARİH HATASI",IF($H367="Pasif","KAPALI DÖNEM","UYGUN"))))))</f>
        <v/>
      </c>
      <c r="O367" s="224">
        <f>IF(OR($C367="",$D367="",$F367=""),"",IF($F367="Aylık",EOMONTH($D367,0),($D367+MOD(SISTEM!$F$8-WEEKDAY($D367,2),7))))</f>
        <v/>
      </c>
      <c r="P367" s="109" t="n"/>
      <c r="Q367" s="6" t="n"/>
      <c r="R367" s="6" t="n"/>
      <c r="S367" s="3">
        <f>IF($B367="","",$B367&amp;"|"&amp;COUNTIFS($B$7:$B367,$B367))</f>
        <v/>
      </c>
      <c r="T367" s="3">
        <f>IF($C367="","",UPPER(SUBSTITUTE(SUBSTITUTE(SUBSTITUTE(SUBSTITUTE(SUBSTITUTE(SUBSTITUTE(SUBSTITUTE(SUBSTITUTE(SUBSTITUTE(SUBSTITUTE(SUBSTITUTE(SUBSTITUTE(SUBSTITUTE(SUBSTITUTE(SUBSTITUTE(SUBSTITUTE(SUBSTITUTE(SUBSTITUTE(TRIM($C367),"'",""),"İ","I"),"ı","I"),"i","I"),"Ş","S"),"ş","S"),"Ğ","G"),"ğ","G"),"Ü","U"),"ü","U"),"Ö","O"),"ö","O"),"Ç","C"),"ç","C"),".",""),",","")," ",""),"-","")))</f>
        <v/>
      </c>
    </row>
    <row r="368">
      <c r="A368" s="6" t="n"/>
      <c r="B368" s="113">
        <f>IF($C368="","",IFERROR(INDEX(MUSTERILER!$B$7:$B$106,MATCH($T368,MUSTERILER!$T$7:$T$106,0)),IFERROR(INDEX(MUSTERILER!$B$7:$B$106,MATCH($C368,MUSTERILER!$B$7:$B$106,0)),IFERROR(INDEX(MUSTERILER!$B$7:$B$106,MATCH($T368&amp;"*",MUSTERILER!$T$7:$T$106,0)),"TANIMSIZ MÜŞTERİ"))))</f>
        <v/>
      </c>
      <c r="C368" s="109" t="n"/>
      <c r="D368" s="220" t="n"/>
      <c r="E368" s="220" t="n"/>
      <c r="F368" s="108" t="n"/>
      <c r="G368" s="221" t="n"/>
      <c r="H368" s="108" t="n"/>
      <c r="I368" s="222">
        <f>IF(OR($C368="",$D368="",$G368="",$F368=""),0,$G368*IF($F368="Aylık",MAX(0,(YEAR(MIN(IF($E368="",TODAY(),$E368),TODAY()))-YEAR($D368))*12+MONTH(MIN(IF($E368="",TODAY(),$E368),TODAY()))-MONTH($D368)+IF(MIN(IF($E368="",TODAY(),$E368),TODAY())&gt;=EOMONTH(MIN(IF($E368="",TODAY(),$E368),TODAY()),0),1,0)),MAX(0,INT((MIN(IF($E368="",TODAY(),$E368),TODAY())-($D368+MOD(SISTEM!$F$8-WEEKDAY($D368,2),7)))/7)+1)))</f>
        <v/>
      </c>
      <c r="J368" s="222">
        <f>IF(OR($C368="",$D368="",$G368="",$F368=""),0,$G368*IF($F368="Aylık",MAX(0,(YEAR(MIN(IF($E368="",TODAY()-8,$E368),TODAY()-8))-YEAR($D368))*12+MONTH(MIN(IF($E368="",TODAY()-8,$E368),TODAY()-8))-MONTH($D368)+IF(MIN(IF($E368="",TODAY()-8,$E368),TODAY()-8)&gt;=EOMONTH(MIN(IF($E368="",TODAY()-8,$E368),TODAY()-8),0),1,0)),MAX(0,INT((MIN(IF($E368="",TODAY()-8,$E368),TODAY()-8)-($D368+MOD(SISTEM!$F$8-WEEKDAY($D368,2),7)))/7)+1)))</f>
        <v/>
      </c>
      <c r="K368" s="222">
        <f>IF(OR($C368="",$D368="",$G368="",$F368=""),0,$G368*IF($F368="Aylık",MAX(0,(YEAR(MIN(IF($E368="",TODAY()-15,$E368),TODAY()-15))-YEAR($D368))*12+MONTH(MIN(IF($E368="",TODAY()-15,$E368),TODAY()-15))-MONTH($D368)+IF(MIN(IF($E368="",TODAY()-15,$E368),TODAY()-15)&gt;=EOMONTH(MIN(IF($E368="",TODAY()-15,$E368),TODAY()-15),0),1,0)),MAX(0,INT((MIN(IF($E368="",TODAY()-15,$E368),TODAY()-15)-($D368+MOD(SISTEM!$F$8-WEEKDAY($D368,2),7)))/7)+1)))</f>
        <v/>
      </c>
      <c r="L368" s="222">
        <f>IF(OR($C368="",$D368="",$G368="",$F368=""),0,$G368*IF($F368="Aylık",MAX(0,(YEAR(MIN(IF($E368="",TODAY()-29,$E368),TODAY()-29))-YEAR($D368))*12+MONTH(MIN(IF($E368="",TODAY()-29,$E368),TODAY()-29))-MONTH($D368)+IF(MIN(IF($E368="",TODAY()-29,$E368),TODAY()-29)&gt;=EOMONTH(MIN(IF($E368="",TODAY()-29,$E368),TODAY()-29),0),1,0)),MAX(0,INT((MIN(IF($E368="",TODAY()-29,$E368),TODAY()-29)-($D368+MOD(SISTEM!$F$8-WEEKDAY($D368,2),7)))/7)+1)))</f>
        <v/>
      </c>
      <c r="M368" s="223">
        <f>IF($G368&gt;0,$I368/$G368,0)</f>
        <v/>
      </c>
      <c r="N368" s="113">
        <f>IF($C368="","",IF($B368="TANIMSIZ MÜŞTERİ","TANIMSIZ MÜŞTERİ",IF($F368="","MODEL SEÇİN",IF(OR($D368="",$G368&lt;=0),"EKSİK",IF(AND($E368&lt;&gt;"",$E368&lt;$D368),"TARİH HATASI",IF($H368="Pasif","KAPALI DÖNEM","UYGUN"))))))</f>
        <v/>
      </c>
      <c r="O368" s="224">
        <f>IF(OR($C368="",$D368="",$F368=""),"",IF($F368="Aylık",EOMONTH($D368,0),($D368+MOD(SISTEM!$F$8-WEEKDAY($D368,2),7))))</f>
        <v/>
      </c>
      <c r="P368" s="109" t="n"/>
      <c r="Q368" s="6" t="n"/>
      <c r="R368" s="6" t="n"/>
      <c r="S368" s="3">
        <f>IF($B368="","",$B368&amp;"|"&amp;COUNTIFS($B$7:$B368,$B368))</f>
        <v/>
      </c>
      <c r="T368" s="3">
        <f>IF($C368="","",UPPER(SUBSTITUTE(SUBSTITUTE(SUBSTITUTE(SUBSTITUTE(SUBSTITUTE(SUBSTITUTE(SUBSTITUTE(SUBSTITUTE(SUBSTITUTE(SUBSTITUTE(SUBSTITUTE(SUBSTITUTE(SUBSTITUTE(SUBSTITUTE(SUBSTITUTE(SUBSTITUTE(SUBSTITUTE(SUBSTITUTE(TRIM($C368),"'",""),"İ","I"),"ı","I"),"i","I"),"Ş","S"),"ş","S"),"Ğ","G"),"ğ","G"),"Ü","U"),"ü","U"),"Ö","O"),"ö","O"),"Ç","C"),"ç","C"),".",""),",","")," ",""),"-","")))</f>
        <v/>
      </c>
    </row>
    <row r="369">
      <c r="A369" s="6" t="n"/>
      <c r="B369" s="113">
        <f>IF($C369="","",IFERROR(INDEX(MUSTERILER!$B$7:$B$106,MATCH($T369,MUSTERILER!$T$7:$T$106,0)),IFERROR(INDEX(MUSTERILER!$B$7:$B$106,MATCH($C369,MUSTERILER!$B$7:$B$106,0)),IFERROR(INDEX(MUSTERILER!$B$7:$B$106,MATCH($T369&amp;"*",MUSTERILER!$T$7:$T$106,0)),"TANIMSIZ MÜŞTERİ"))))</f>
        <v/>
      </c>
      <c r="C369" s="109" t="n"/>
      <c r="D369" s="220" t="n"/>
      <c r="E369" s="220" t="n"/>
      <c r="F369" s="108" t="n"/>
      <c r="G369" s="221" t="n"/>
      <c r="H369" s="108" t="n"/>
      <c r="I369" s="222">
        <f>IF(OR($C369="",$D369="",$G369="",$F369=""),0,$G369*IF($F369="Aylık",MAX(0,(YEAR(MIN(IF($E369="",TODAY(),$E369),TODAY()))-YEAR($D369))*12+MONTH(MIN(IF($E369="",TODAY(),$E369),TODAY()))-MONTH($D369)+IF(MIN(IF($E369="",TODAY(),$E369),TODAY())&gt;=EOMONTH(MIN(IF($E369="",TODAY(),$E369),TODAY()),0),1,0)),MAX(0,INT((MIN(IF($E369="",TODAY(),$E369),TODAY())-($D369+MOD(SISTEM!$F$8-WEEKDAY($D369,2),7)))/7)+1)))</f>
        <v/>
      </c>
      <c r="J369" s="222">
        <f>IF(OR($C369="",$D369="",$G369="",$F369=""),0,$G369*IF($F369="Aylık",MAX(0,(YEAR(MIN(IF($E369="",TODAY()-8,$E369),TODAY()-8))-YEAR($D369))*12+MONTH(MIN(IF($E369="",TODAY()-8,$E369),TODAY()-8))-MONTH($D369)+IF(MIN(IF($E369="",TODAY()-8,$E369),TODAY()-8)&gt;=EOMONTH(MIN(IF($E369="",TODAY()-8,$E369),TODAY()-8),0),1,0)),MAX(0,INT((MIN(IF($E369="",TODAY()-8,$E369),TODAY()-8)-($D369+MOD(SISTEM!$F$8-WEEKDAY($D369,2),7)))/7)+1)))</f>
        <v/>
      </c>
      <c r="K369" s="222">
        <f>IF(OR($C369="",$D369="",$G369="",$F369=""),0,$G369*IF($F369="Aylık",MAX(0,(YEAR(MIN(IF($E369="",TODAY()-15,$E369),TODAY()-15))-YEAR($D369))*12+MONTH(MIN(IF($E369="",TODAY()-15,$E369),TODAY()-15))-MONTH($D369)+IF(MIN(IF($E369="",TODAY()-15,$E369),TODAY()-15)&gt;=EOMONTH(MIN(IF($E369="",TODAY()-15,$E369),TODAY()-15),0),1,0)),MAX(0,INT((MIN(IF($E369="",TODAY()-15,$E369),TODAY()-15)-($D369+MOD(SISTEM!$F$8-WEEKDAY($D369,2),7)))/7)+1)))</f>
        <v/>
      </c>
      <c r="L369" s="222">
        <f>IF(OR($C369="",$D369="",$G369="",$F369=""),0,$G369*IF($F369="Aylık",MAX(0,(YEAR(MIN(IF($E369="",TODAY()-29,$E369),TODAY()-29))-YEAR($D369))*12+MONTH(MIN(IF($E369="",TODAY()-29,$E369),TODAY()-29))-MONTH($D369)+IF(MIN(IF($E369="",TODAY()-29,$E369),TODAY()-29)&gt;=EOMONTH(MIN(IF($E369="",TODAY()-29,$E369),TODAY()-29),0),1,0)),MAX(0,INT((MIN(IF($E369="",TODAY()-29,$E369),TODAY()-29)-($D369+MOD(SISTEM!$F$8-WEEKDAY($D369,2),7)))/7)+1)))</f>
        <v/>
      </c>
      <c r="M369" s="223">
        <f>IF($G369&gt;0,$I369/$G369,0)</f>
        <v/>
      </c>
      <c r="N369" s="113">
        <f>IF($C369="","",IF($B369="TANIMSIZ MÜŞTERİ","TANIMSIZ MÜŞTERİ",IF($F369="","MODEL SEÇİN",IF(OR($D369="",$G369&lt;=0),"EKSİK",IF(AND($E369&lt;&gt;"",$E369&lt;$D369),"TARİH HATASI",IF($H369="Pasif","KAPALI DÖNEM","UYGUN"))))))</f>
        <v/>
      </c>
      <c r="O369" s="224">
        <f>IF(OR($C369="",$D369="",$F369=""),"",IF($F369="Aylık",EOMONTH($D369,0),($D369+MOD(SISTEM!$F$8-WEEKDAY($D369,2),7))))</f>
        <v/>
      </c>
      <c r="P369" s="109" t="n"/>
      <c r="Q369" s="6" t="n"/>
      <c r="R369" s="6" t="n"/>
      <c r="S369" s="3">
        <f>IF($B369="","",$B369&amp;"|"&amp;COUNTIFS($B$7:$B369,$B369))</f>
        <v/>
      </c>
      <c r="T369" s="3">
        <f>IF($C369="","",UPPER(SUBSTITUTE(SUBSTITUTE(SUBSTITUTE(SUBSTITUTE(SUBSTITUTE(SUBSTITUTE(SUBSTITUTE(SUBSTITUTE(SUBSTITUTE(SUBSTITUTE(SUBSTITUTE(SUBSTITUTE(SUBSTITUTE(SUBSTITUTE(SUBSTITUTE(SUBSTITUTE(SUBSTITUTE(SUBSTITUTE(TRIM($C369),"'",""),"İ","I"),"ı","I"),"i","I"),"Ş","S"),"ş","S"),"Ğ","G"),"ğ","G"),"Ü","U"),"ü","U"),"Ö","O"),"ö","O"),"Ç","C"),"ç","C"),".",""),",","")," ",""),"-","")))</f>
        <v/>
      </c>
    </row>
    <row r="370">
      <c r="A370" s="6" t="n"/>
      <c r="B370" s="113">
        <f>IF($C370="","",IFERROR(INDEX(MUSTERILER!$B$7:$B$106,MATCH($T370,MUSTERILER!$T$7:$T$106,0)),IFERROR(INDEX(MUSTERILER!$B$7:$B$106,MATCH($C370,MUSTERILER!$B$7:$B$106,0)),IFERROR(INDEX(MUSTERILER!$B$7:$B$106,MATCH($T370&amp;"*",MUSTERILER!$T$7:$T$106,0)),"TANIMSIZ MÜŞTERİ"))))</f>
        <v/>
      </c>
      <c r="C370" s="109" t="n"/>
      <c r="D370" s="220" t="n"/>
      <c r="E370" s="220" t="n"/>
      <c r="F370" s="108" t="n"/>
      <c r="G370" s="221" t="n"/>
      <c r="H370" s="108" t="n"/>
      <c r="I370" s="222">
        <f>IF(OR($C370="",$D370="",$G370="",$F370=""),0,$G370*IF($F370="Aylık",MAX(0,(YEAR(MIN(IF($E370="",TODAY(),$E370),TODAY()))-YEAR($D370))*12+MONTH(MIN(IF($E370="",TODAY(),$E370),TODAY()))-MONTH($D370)+IF(MIN(IF($E370="",TODAY(),$E370),TODAY())&gt;=EOMONTH(MIN(IF($E370="",TODAY(),$E370),TODAY()),0),1,0)),MAX(0,INT((MIN(IF($E370="",TODAY(),$E370),TODAY())-($D370+MOD(SISTEM!$F$8-WEEKDAY($D370,2),7)))/7)+1)))</f>
        <v/>
      </c>
      <c r="J370" s="222">
        <f>IF(OR($C370="",$D370="",$G370="",$F370=""),0,$G370*IF($F370="Aylık",MAX(0,(YEAR(MIN(IF($E370="",TODAY()-8,$E370),TODAY()-8))-YEAR($D370))*12+MONTH(MIN(IF($E370="",TODAY()-8,$E370),TODAY()-8))-MONTH($D370)+IF(MIN(IF($E370="",TODAY()-8,$E370),TODAY()-8)&gt;=EOMONTH(MIN(IF($E370="",TODAY()-8,$E370),TODAY()-8),0),1,0)),MAX(0,INT((MIN(IF($E370="",TODAY()-8,$E370),TODAY()-8)-($D370+MOD(SISTEM!$F$8-WEEKDAY($D370,2),7)))/7)+1)))</f>
        <v/>
      </c>
      <c r="K370" s="222">
        <f>IF(OR($C370="",$D370="",$G370="",$F370=""),0,$G370*IF($F370="Aylık",MAX(0,(YEAR(MIN(IF($E370="",TODAY()-15,$E370),TODAY()-15))-YEAR($D370))*12+MONTH(MIN(IF($E370="",TODAY()-15,$E370),TODAY()-15))-MONTH($D370)+IF(MIN(IF($E370="",TODAY()-15,$E370),TODAY()-15)&gt;=EOMONTH(MIN(IF($E370="",TODAY()-15,$E370),TODAY()-15),0),1,0)),MAX(0,INT((MIN(IF($E370="",TODAY()-15,$E370),TODAY()-15)-($D370+MOD(SISTEM!$F$8-WEEKDAY($D370,2),7)))/7)+1)))</f>
        <v/>
      </c>
      <c r="L370" s="222">
        <f>IF(OR($C370="",$D370="",$G370="",$F370=""),0,$G370*IF($F370="Aylık",MAX(0,(YEAR(MIN(IF($E370="",TODAY()-29,$E370),TODAY()-29))-YEAR($D370))*12+MONTH(MIN(IF($E370="",TODAY()-29,$E370),TODAY()-29))-MONTH($D370)+IF(MIN(IF($E370="",TODAY()-29,$E370),TODAY()-29)&gt;=EOMONTH(MIN(IF($E370="",TODAY()-29,$E370),TODAY()-29),0),1,0)),MAX(0,INT((MIN(IF($E370="",TODAY()-29,$E370),TODAY()-29)-($D370+MOD(SISTEM!$F$8-WEEKDAY($D370,2),7)))/7)+1)))</f>
        <v/>
      </c>
      <c r="M370" s="223">
        <f>IF($G370&gt;0,$I370/$G370,0)</f>
        <v/>
      </c>
      <c r="N370" s="113">
        <f>IF($C370="","",IF($B370="TANIMSIZ MÜŞTERİ","TANIMSIZ MÜŞTERİ",IF($F370="","MODEL SEÇİN",IF(OR($D370="",$G370&lt;=0),"EKSİK",IF(AND($E370&lt;&gt;"",$E370&lt;$D370),"TARİH HATASI",IF($H370="Pasif","KAPALI DÖNEM","UYGUN"))))))</f>
        <v/>
      </c>
      <c r="O370" s="224">
        <f>IF(OR($C370="",$D370="",$F370=""),"",IF($F370="Aylık",EOMONTH($D370,0),($D370+MOD(SISTEM!$F$8-WEEKDAY($D370,2),7))))</f>
        <v/>
      </c>
      <c r="P370" s="109" t="n"/>
      <c r="Q370" s="6" t="n"/>
      <c r="R370" s="6" t="n"/>
      <c r="S370" s="3">
        <f>IF($B370="","",$B370&amp;"|"&amp;COUNTIFS($B$7:$B370,$B370))</f>
        <v/>
      </c>
      <c r="T370" s="3">
        <f>IF($C370="","",UPPER(SUBSTITUTE(SUBSTITUTE(SUBSTITUTE(SUBSTITUTE(SUBSTITUTE(SUBSTITUTE(SUBSTITUTE(SUBSTITUTE(SUBSTITUTE(SUBSTITUTE(SUBSTITUTE(SUBSTITUTE(SUBSTITUTE(SUBSTITUTE(SUBSTITUTE(SUBSTITUTE(SUBSTITUTE(SUBSTITUTE(TRIM($C370),"'",""),"İ","I"),"ı","I"),"i","I"),"Ş","S"),"ş","S"),"Ğ","G"),"ğ","G"),"Ü","U"),"ü","U"),"Ö","O"),"ö","O"),"Ç","C"),"ç","C"),".",""),",","")," ",""),"-","")))</f>
        <v/>
      </c>
    </row>
    <row r="371">
      <c r="A371" s="6" t="n"/>
      <c r="B371" s="113">
        <f>IF($C371="","",IFERROR(INDEX(MUSTERILER!$B$7:$B$106,MATCH($T371,MUSTERILER!$T$7:$T$106,0)),IFERROR(INDEX(MUSTERILER!$B$7:$B$106,MATCH($C371,MUSTERILER!$B$7:$B$106,0)),IFERROR(INDEX(MUSTERILER!$B$7:$B$106,MATCH($T371&amp;"*",MUSTERILER!$T$7:$T$106,0)),"TANIMSIZ MÜŞTERİ"))))</f>
        <v/>
      </c>
      <c r="C371" s="109" t="n"/>
      <c r="D371" s="220" t="n"/>
      <c r="E371" s="220" t="n"/>
      <c r="F371" s="108" t="n"/>
      <c r="G371" s="221" t="n"/>
      <c r="H371" s="108" t="n"/>
      <c r="I371" s="222">
        <f>IF(OR($C371="",$D371="",$G371="",$F371=""),0,$G371*IF($F371="Aylık",MAX(0,(YEAR(MIN(IF($E371="",TODAY(),$E371),TODAY()))-YEAR($D371))*12+MONTH(MIN(IF($E371="",TODAY(),$E371),TODAY()))-MONTH($D371)+IF(MIN(IF($E371="",TODAY(),$E371),TODAY())&gt;=EOMONTH(MIN(IF($E371="",TODAY(),$E371),TODAY()),0),1,0)),MAX(0,INT((MIN(IF($E371="",TODAY(),$E371),TODAY())-($D371+MOD(SISTEM!$F$8-WEEKDAY($D371,2),7)))/7)+1)))</f>
        <v/>
      </c>
      <c r="J371" s="222">
        <f>IF(OR($C371="",$D371="",$G371="",$F371=""),0,$G371*IF($F371="Aylık",MAX(0,(YEAR(MIN(IF($E371="",TODAY()-8,$E371),TODAY()-8))-YEAR($D371))*12+MONTH(MIN(IF($E371="",TODAY()-8,$E371),TODAY()-8))-MONTH($D371)+IF(MIN(IF($E371="",TODAY()-8,$E371),TODAY()-8)&gt;=EOMONTH(MIN(IF($E371="",TODAY()-8,$E371),TODAY()-8),0),1,0)),MAX(0,INT((MIN(IF($E371="",TODAY()-8,$E371),TODAY()-8)-($D371+MOD(SISTEM!$F$8-WEEKDAY($D371,2),7)))/7)+1)))</f>
        <v/>
      </c>
      <c r="K371" s="222">
        <f>IF(OR($C371="",$D371="",$G371="",$F371=""),0,$G371*IF($F371="Aylık",MAX(0,(YEAR(MIN(IF($E371="",TODAY()-15,$E371),TODAY()-15))-YEAR($D371))*12+MONTH(MIN(IF($E371="",TODAY()-15,$E371),TODAY()-15))-MONTH($D371)+IF(MIN(IF($E371="",TODAY()-15,$E371),TODAY()-15)&gt;=EOMONTH(MIN(IF($E371="",TODAY()-15,$E371),TODAY()-15),0),1,0)),MAX(0,INT((MIN(IF($E371="",TODAY()-15,$E371),TODAY()-15)-($D371+MOD(SISTEM!$F$8-WEEKDAY($D371,2),7)))/7)+1)))</f>
        <v/>
      </c>
      <c r="L371" s="222">
        <f>IF(OR($C371="",$D371="",$G371="",$F371=""),0,$G371*IF($F371="Aylık",MAX(0,(YEAR(MIN(IF($E371="",TODAY()-29,$E371),TODAY()-29))-YEAR($D371))*12+MONTH(MIN(IF($E371="",TODAY()-29,$E371),TODAY()-29))-MONTH($D371)+IF(MIN(IF($E371="",TODAY()-29,$E371),TODAY()-29)&gt;=EOMONTH(MIN(IF($E371="",TODAY()-29,$E371),TODAY()-29),0),1,0)),MAX(0,INT((MIN(IF($E371="",TODAY()-29,$E371),TODAY()-29)-($D371+MOD(SISTEM!$F$8-WEEKDAY($D371,2),7)))/7)+1)))</f>
        <v/>
      </c>
      <c r="M371" s="223">
        <f>IF($G371&gt;0,$I371/$G371,0)</f>
        <v/>
      </c>
      <c r="N371" s="113">
        <f>IF($C371="","",IF($B371="TANIMSIZ MÜŞTERİ","TANIMSIZ MÜŞTERİ",IF($F371="","MODEL SEÇİN",IF(OR($D371="",$G371&lt;=0),"EKSİK",IF(AND($E371&lt;&gt;"",$E371&lt;$D371),"TARİH HATASI",IF($H371="Pasif","KAPALI DÖNEM","UYGUN"))))))</f>
        <v/>
      </c>
      <c r="O371" s="224">
        <f>IF(OR($C371="",$D371="",$F371=""),"",IF($F371="Aylık",EOMONTH($D371,0),($D371+MOD(SISTEM!$F$8-WEEKDAY($D371,2),7))))</f>
        <v/>
      </c>
      <c r="P371" s="109" t="n"/>
      <c r="Q371" s="6" t="n"/>
      <c r="R371" s="6" t="n"/>
      <c r="S371" s="3">
        <f>IF($B371="","",$B371&amp;"|"&amp;COUNTIFS($B$7:$B371,$B371))</f>
        <v/>
      </c>
      <c r="T371" s="3">
        <f>IF($C371="","",UPPER(SUBSTITUTE(SUBSTITUTE(SUBSTITUTE(SUBSTITUTE(SUBSTITUTE(SUBSTITUTE(SUBSTITUTE(SUBSTITUTE(SUBSTITUTE(SUBSTITUTE(SUBSTITUTE(SUBSTITUTE(SUBSTITUTE(SUBSTITUTE(SUBSTITUTE(SUBSTITUTE(SUBSTITUTE(SUBSTITUTE(TRIM($C371),"'",""),"İ","I"),"ı","I"),"i","I"),"Ş","S"),"ş","S"),"Ğ","G"),"ğ","G"),"Ü","U"),"ü","U"),"Ö","O"),"ö","O"),"Ç","C"),"ç","C"),".",""),",","")," ",""),"-","")))</f>
        <v/>
      </c>
    </row>
    <row r="372">
      <c r="A372" s="6" t="n"/>
      <c r="B372" s="113">
        <f>IF($C372="","",IFERROR(INDEX(MUSTERILER!$B$7:$B$106,MATCH($T372,MUSTERILER!$T$7:$T$106,0)),IFERROR(INDEX(MUSTERILER!$B$7:$B$106,MATCH($C372,MUSTERILER!$B$7:$B$106,0)),IFERROR(INDEX(MUSTERILER!$B$7:$B$106,MATCH($T372&amp;"*",MUSTERILER!$T$7:$T$106,0)),"TANIMSIZ MÜŞTERİ"))))</f>
        <v/>
      </c>
      <c r="C372" s="109" t="n"/>
      <c r="D372" s="220" t="n"/>
      <c r="E372" s="220" t="n"/>
      <c r="F372" s="108" t="n"/>
      <c r="G372" s="221" t="n"/>
      <c r="H372" s="108" t="n"/>
      <c r="I372" s="222">
        <f>IF(OR($C372="",$D372="",$G372="",$F372=""),0,$G372*IF($F372="Aylık",MAX(0,(YEAR(MIN(IF($E372="",TODAY(),$E372),TODAY()))-YEAR($D372))*12+MONTH(MIN(IF($E372="",TODAY(),$E372),TODAY()))-MONTH($D372)+IF(MIN(IF($E372="",TODAY(),$E372),TODAY())&gt;=EOMONTH(MIN(IF($E372="",TODAY(),$E372),TODAY()),0),1,0)),MAX(0,INT((MIN(IF($E372="",TODAY(),$E372),TODAY())-($D372+MOD(SISTEM!$F$8-WEEKDAY($D372,2),7)))/7)+1)))</f>
        <v/>
      </c>
      <c r="J372" s="222">
        <f>IF(OR($C372="",$D372="",$G372="",$F372=""),0,$G372*IF($F372="Aylık",MAX(0,(YEAR(MIN(IF($E372="",TODAY()-8,$E372),TODAY()-8))-YEAR($D372))*12+MONTH(MIN(IF($E372="",TODAY()-8,$E372),TODAY()-8))-MONTH($D372)+IF(MIN(IF($E372="",TODAY()-8,$E372),TODAY()-8)&gt;=EOMONTH(MIN(IF($E372="",TODAY()-8,$E372),TODAY()-8),0),1,0)),MAX(0,INT((MIN(IF($E372="",TODAY()-8,$E372),TODAY()-8)-($D372+MOD(SISTEM!$F$8-WEEKDAY($D372,2),7)))/7)+1)))</f>
        <v/>
      </c>
      <c r="K372" s="222">
        <f>IF(OR($C372="",$D372="",$G372="",$F372=""),0,$G372*IF($F372="Aylık",MAX(0,(YEAR(MIN(IF($E372="",TODAY()-15,$E372),TODAY()-15))-YEAR($D372))*12+MONTH(MIN(IF($E372="",TODAY()-15,$E372),TODAY()-15))-MONTH($D372)+IF(MIN(IF($E372="",TODAY()-15,$E372),TODAY()-15)&gt;=EOMONTH(MIN(IF($E372="",TODAY()-15,$E372),TODAY()-15),0),1,0)),MAX(0,INT((MIN(IF($E372="",TODAY()-15,$E372),TODAY()-15)-($D372+MOD(SISTEM!$F$8-WEEKDAY($D372,2),7)))/7)+1)))</f>
        <v/>
      </c>
      <c r="L372" s="222">
        <f>IF(OR($C372="",$D372="",$G372="",$F372=""),0,$G372*IF($F372="Aylık",MAX(0,(YEAR(MIN(IF($E372="",TODAY()-29,$E372),TODAY()-29))-YEAR($D372))*12+MONTH(MIN(IF($E372="",TODAY()-29,$E372),TODAY()-29))-MONTH($D372)+IF(MIN(IF($E372="",TODAY()-29,$E372),TODAY()-29)&gt;=EOMONTH(MIN(IF($E372="",TODAY()-29,$E372),TODAY()-29),0),1,0)),MAX(0,INT((MIN(IF($E372="",TODAY()-29,$E372),TODAY()-29)-($D372+MOD(SISTEM!$F$8-WEEKDAY($D372,2),7)))/7)+1)))</f>
        <v/>
      </c>
      <c r="M372" s="223">
        <f>IF($G372&gt;0,$I372/$G372,0)</f>
        <v/>
      </c>
      <c r="N372" s="113">
        <f>IF($C372="","",IF($B372="TANIMSIZ MÜŞTERİ","TANIMSIZ MÜŞTERİ",IF($F372="","MODEL SEÇİN",IF(OR($D372="",$G372&lt;=0),"EKSİK",IF(AND($E372&lt;&gt;"",$E372&lt;$D372),"TARİH HATASI",IF($H372="Pasif","KAPALI DÖNEM","UYGUN"))))))</f>
        <v/>
      </c>
      <c r="O372" s="224">
        <f>IF(OR($C372="",$D372="",$F372=""),"",IF($F372="Aylık",EOMONTH($D372,0),($D372+MOD(SISTEM!$F$8-WEEKDAY($D372,2),7))))</f>
        <v/>
      </c>
      <c r="P372" s="109" t="n"/>
      <c r="Q372" s="6" t="n"/>
      <c r="R372" s="6" t="n"/>
      <c r="S372" s="3">
        <f>IF($B372="","",$B372&amp;"|"&amp;COUNTIFS($B$7:$B372,$B372))</f>
        <v/>
      </c>
      <c r="T372" s="3">
        <f>IF($C372="","",UPPER(SUBSTITUTE(SUBSTITUTE(SUBSTITUTE(SUBSTITUTE(SUBSTITUTE(SUBSTITUTE(SUBSTITUTE(SUBSTITUTE(SUBSTITUTE(SUBSTITUTE(SUBSTITUTE(SUBSTITUTE(SUBSTITUTE(SUBSTITUTE(SUBSTITUTE(SUBSTITUTE(SUBSTITUTE(SUBSTITUTE(TRIM($C372),"'",""),"İ","I"),"ı","I"),"i","I"),"Ş","S"),"ş","S"),"Ğ","G"),"ğ","G"),"Ü","U"),"ü","U"),"Ö","O"),"ö","O"),"Ç","C"),"ç","C"),".",""),",","")," ",""),"-","")))</f>
        <v/>
      </c>
    </row>
    <row r="373">
      <c r="A373" s="6" t="n"/>
      <c r="B373" s="113">
        <f>IF($C373="","",IFERROR(INDEX(MUSTERILER!$B$7:$B$106,MATCH($T373,MUSTERILER!$T$7:$T$106,0)),IFERROR(INDEX(MUSTERILER!$B$7:$B$106,MATCH($C373,MUSTERILER!$B$7:$B$106,0)),IFERROR(INDEX(MUSTERILER!$B$7:$B$106,MATCH($T373&amp;"*",MUSTERILER!$T$7:$T$106,0)),"TANIMSIZ MÜŞTERİ"))))</f>
        <v/>
      </c>
      <c r="C373" s="109" t="n"/>
      <c r="D373" s="220" t="n"/>
      <c r="E373" s="220" t="n"/>
      <c r="F373" s="108" t="n"/>
      <c r="G373" s="221" t="n"/>
      <c r="H373" s="108" t="n"/>
      <c r="I373" s="222">
        <f>IF(OR($C373="",$D373="",$G373="",$F373=""),0,$G373*IF($F373="Aylık",MAX(0,(YEAR(MIN(IF($E373="",TODAY(),$E373),TODAY()))-YEAR($D373))*12+MONTH(MIN(IF($E373="",TODAY(),$E373),TODAY()))-MONTH($D373)+IF(MIN(IF($E373="",TODAY(),$E373),TODAY())&gt;=EOMONTH(MIN(IF($E373="",TODAY(),$E373),TODAY()),0),1,0)),MAX(0,INT((MIN(IF($E373="",TODAY(),$E373),TODAY())-($D373+MOD(SISTEM!$F$8-WEEKDAY($D373,2),7)))/7)+1)))</f>
        <v/>
      </c>
      <c r="J373" s="222">
        <f>IF(OR($C373="",$D373="",$G373="",$F373=""),0,$G373*IF($F373="Aylık",MAX(0,(YEAR(MIN(IF($E373="",TODAY()-8,$E373),TODAY()-8))-YEAR($D373))*12+MONTH(MIN(IF($E373="",TODAY()-8,$E373),TODAY()-8))-MONTH($D373)+IF(MIN(IF($E373="",TODAY()-8,$E373),TODAY()-8)&gt;=EOMONTH(MIN(IF($E373="",TODAY()-8,$E373),TODAY()-8),0),1,0)),MAX(0,INT((MIN(IF($E373="",TODAY()-8,$E373),TODAY()-8)-($D373+MOD(SISTEM!$F$8-WEEKDAY($D373,2),7)))/7)+1)))</f>
        <v/>
      </c>
      <c r="K373" s="222">
        <f>IF(OR($C373="",$D373="",$G373="",$F373=""),0,$G373*IF($F373="Aylık",MAX(0,(YEAR(MIN(IF($E373="",TODAY()-15,$E373),TODAY()-15))-YEAR($D373))*12+MONTH(MIN(IF($E373="",TODAY()-15,$E373),TODAY()-15))-MONTH($D373)+IF(MIN(IF($E373="",TODAY()-15,$E373),TODAY()-15)&gt;=EOMONTH(MIN(IF($E373="",TODAY()-15,$E373),TODAY()-15),0),1,0)),MAX(0,INT((MIN(IF($E373="",TODAY()-15,$E373),TODAY()-15)-($D373+MOD(SISTEM!$F$8-WEEKDAY($D373,2),7)))/7)+1)))</f>
        <v/>
      </c>
      <c r="L373" s="222">
        <f>IF(OR($C373="",$D373="",$G373="",$F373=""),0,$G373*IF($F373="Aylık",MAX(0,(YEAR(MIN(IF($E373="",TODAY()-29,$E373),TODAY()-29))-YEAR($D373))*12+MONTH(MIN(IF($E373="",TODAY()-29,$E373),TODAY()-29))-MONTH($D373)+IF(MIN(IF($E373="",TODAY()-29,$E373),TODAY()-29)&gt;=EOMONTH(MIN(IF($E373="",TODAY()-29,$E373),TODAY()-29),0),1,0)),MAX(0,INT((MIN(IF($E373="",TODAY()-29,$E373),TODAY()-29)-($D373+MOD(SISTEM!$F$8-WEEKDAY($D373,2),7)))/7)+1)))</f>
        <v/>
      </c>
      <c r="M373" s="223">
        <f>IF($G373&gt;0,$I373/$G373,0)</f>
        <v/>
      </c>
      <c r="N373" s="113">
        <f>IF($C373="","",IF($B373="TANIMSIZ MÜŞTERİ","TANIMSIZ MÜŞTERİ",IF($F373="","MODEL SEÇİN",IF(OR($D373="",$G373&lt;=0),"EKSİK",IF(AND($E373&lt;&gt;"",$E373&lt;$D373),"TARİH HATASI",IF($H373="Pasif","KAPALI DÖNEM","UYGUN"))))))</f>
        <v/>
      </c>
      <c r="O373" s="224">
        <f>IF(OR($C373="",$D373="",$F373=""),"",IF($F373="Aylık",EOMONTH($D373,0),($D373+MOD(SISTEM!$F$8-WEEKDAY($D373,2),7))))</f>
        <v/>
      </c>
      <c r="P373" s="109" t="n"/>
      <c r="Q373" s="6" t="n"/>
      <c r="R373" s="6" t="n"/>
      <c r="S373" s="3">
        <f>IF($B373="","",$B373&amp;"|"&amp;COUNTIFS($B$7:$B373,$B373))</f>
        <v/>
      </c>
      <c r="T373" s="3">
        <f>IF($C373="","",UPPER(SUBSTITUTE(SUBSTITUTE(SUBSTITUTE(SUBSTITUTE(SUBSTITUTE(SUBSTITUTE(SUBSTITUTE(SUBSTITUTE(SUBSTITUTE(SUBSTITUTE(SUBSTITUTE(SUBSTITUTE(SUBSTITUTE(SUBSTITUTE(SUBSTITUTE(SUBSTITUTE(SUBSTITUTE(SUBSTITUTE(TRIM($C373),"'",""),"İ","I"),"ı","I"),"i","I"),"Ş","S"),"ş","S"),"Ğ","G"),"ğ","G"),"Ü","U"),"ü","U"),"Ö","O"),"ö","O"),"Ç","C"),"ç","C"),".",""),",","")," ",""),"-","")))</f>
        <v/>
      </c>
    </row>
    <row r="374">
      <c r="A374" s="6" t="n"/>
      <c r="B374" s="113">
        <f>IF($C374="","",IFERROR(INDEX(MUSTERILER!$B$7:$B$106,MATCH($T374,MUSTERILER!$T$7:$T$106,0)),IFERROR(INDEX(MUSTERILER!$B$7:$B$106,MATCH($C374,MUSTERILER!$B$7:$B$106,0)),IFERROR(INDEX(MUSTERILER!$B$7:$B$106,MATCH($T374&amp;"*",MUSTERILER!$T$7:$T$106,0)),"TANIMSIZ MÜŞTERİ"))))</f>
        <v/>
      </c>
      <c r="C374" s="109" t="n"/>
      <c r="D374" s="220" t="n"/>
      <c r="E374" s="220" t="n"/>
      <c r="F374" s="108" t="n"/>
      <c r="G374" s="221" t="n"/>
      <c r="H374" s="108" t="n"/>
      <c r="I374" s="222">
        <f>IF(OR($C374="",$D374="",$G374="",$F374=""),0,$G374*IF($F374="Aylık",MAX(0,(YEAR(MIN(IF($E374="",TODAY(),$E374),TODAY()))-YEAR($D374))*12+MONTH(MIN(IF($E374="",TODAY(),$E374),TODAY()))-MONTH($D374)+IF(MIN(IF($E374="",TODAY(),$E374),TODAY())&gt;=EOMONTH(MIN(IF($E374="",TODAY(),$E374),TODAY()),0),1,0)),MAX(0,INT((MIN(IF($E374="",TODAY(),$E374),TODAY())-($D374+MOD(SISTEM!$F$8-WEEKDAY($D374,2),7)))/7)+1)))</f>
        <v/>
      </c>
      <c r="J374" s="222">
        <f>IF(OR($C374="",$D374="",$G374="",$F374=""),0,$G374*IF($F374="Aylık",MAX(0,(YEAR(MIN(IF($E374="",TODAY()-8,$E374),TODAY()-8))-YEAR($D374))*12+MONTH(MIN(IF($E374="",TODAY()-8,$E374),TODAY()-8))-MONTH($D374)+IF(MIN(IF($E374="",TODAY()-8,$E374),TODAY()-8)&gt;=EOMONTH(MIN(IF($E374="",TODAY()-8,$E374),TODAY()-8),0),1,0)),MAX(0,INT((MIN(IF($E374="",TODAY()-8,$E374),TODAY()-8)-($D374+MOD(SISTEM!$F$8-WEEKDAY($D374,2),7)))/7)+1)))</f>
        <v/>
      </c>
      <c r="K374" s="222">
        <f>IF(OR($C374="",$D374="",$G374="",$F374=""),0,$G374*IF($F374="Aylık",MAX(0,(YEAR(MIN(IF($E374="",TODAY()-15,$E374),TODAY()-15))-YEAR($D374))*12+MONTH(MIN(IF($E374="",TODAY()-15,$E374),TODAY()-15))-MONTH($D374)+IF(MIN(IF($E374="",TODAY()-15,$E374),TODAY()-15)&gt;=EOMONTH(MIN(IF($E374="",TODAY()-15,$E374),TODAY()-15),0),1,0)),MAX(0,INT((MIN(IF($E374="",TODAY()-15,$E374),TODAY()-15)-($D374+MOD(SISTEM!$F$8-WEEKDAY($D374,2),7)))/7)+1)))</f>
        <v/>
      </c>
      <c r="L374" s="222">
        <f>IF(OR($C374="",$D374="",$G374="",$F374=""),0,$G374*IF($F374="Aylık",MAX(0,(YEAR(MIN(IF($E374="",TODAY()-29,$E374),TODAY()-29))-YEAR($D374))*12+MONTH(MIN(IF($E374="",TODAY()-29,$E374),TODAY()-29))-MONTH($D374)+IF(MIN(IF($E374="",TODAY()-29,$E374),TODAY()-29)&gt;=EOMONTH(MIN(IF($E374="",TODAY()-29,$E374),TODAY()-29),0),1,0)),MAX(0,INT((MIN(IF($E374="",TODAY()-29,$E374),TODAY()-29)-($D374+MOD(SISTEM!$F$8-WEEKDAY($D374,2),7)))/7)+1)))</f>
        <v/>
      </c>
      <c r="M374" s="223">
        <f>IF($G374&gt;0,$I374/$G374,0)</f>
        <v/>
      </c>
      <c r="N374" s="113">
        <f>IF($C374="","",IF($B374="TANIMSIZ MÜŞTERİ","TANIMSIZ MÜŞTERİ",IF($F374="","MODEL SEÇİN",IF(OR($D374="",$G374&lt;=0),"EKSİK",IF(AND($E374&lt;&gt;"",$E374&lt;$D374),"TARİH HATASI",IF($H374="Pasif","KAPALI DÖNEM","UYGUN"))))))</f>
        <v/>
      </c>
      <c r="O374" s="224">
        <f>IF(OR($C374="",$D374="",$F374=""),"",IF($F374="Aylık",EOMONTH($D374,0),($D374+MOD(SISTEM!$F$8-WEEKDAY($D374,2),7))))</f>
        <v/>
      </c>
      <c r="P374" s="109" t="n"/>
      <c r="Q374" s="6" t="n"/>
      <c r="R374" s="6" t="n"/>
      <c r="S374" s="3">
        <f>IF($B374="","",$B374&amp;"|"&amp;COUNTIFS($B$7:$B374,$B374))</f>
        <v/>
      </c>
      <c r="T374" s="3">
        <f>IF($C374="","",UPPER(SUBSTITUTE(SUBSTITUTE(SUBSTITUTE(SUBSTITUTE(SUBSTITUTE(SUBSTITUTE(SUBSTITUTE(SUBSTITUTE(SUBSTITUTE(SUBSTITUTE(SUBSTITUTE(SUBSTITUTE(SUBSTITUTE(SUBSTITUTE(SUBSTITUTE(SUBSTITUTE(SUBSTITUTE(SUBSTITUTE(TRIM($C374),"'",""),"İ","I"),"ı","I"),"i","I"),"Ş","S"),"ş","S"),"Ğ","G"),"ğ","G"),"Ü","U"),"ü","U"),"Ö","O"),"ö","O"),"Ç","C"),"ç","C"),".",""),",","")," ",""),"-","")))</f>
        <v/>
      </c>
    </row>
    <row r="375">
      <c r="A375" s="6" t="n"/>
      <c r="B375" s="113">
        <f>IF($C375="","",IFERROR(INDEX(MUSTERILER!$B$7:$B$106,MATCH($T375,MUSTERILER!$T$7:$T$106,0)),IFERROR(INDEX(MUSTERILER!$B$7:$B$106,MATCH($C375,MUSTERILER!$B$7:$B$106,0)),IFERROR(INDEX(MUSTERILER!$B$7:$B$106,MATCH($T375&amp;"*",MUSTERILER!$T$7:$T$106,0)),"TANIMSIZ MÜŞTERİ"))))</f>
        <v/>
      </c>
      <c r="C375" s="109" t="n"/>
      <c r="D375" s="220" t="n"/>
      <c r="E375" s="220" t="n"/>
      <c r="F375" s="108" t="n"/>
      <c r="G375" s="221" t="n"/>
      <c r="H375" s="108" t="n"/>
      <c r="I375" s="222">
        <f>IF(OR($C375="",$D375="",$G375="",$F375=""),0,$G375*IF($F375="Aylık",MAX(0,(YEAR(MIN(IF($E375="",TODAY(),$E375),TODAY()))-YEAR($D375))*12+MONTH(MIN(IF($E375="",TODAY(),$E375),TODAY()))-MONTH($D375)+IF(MIN(IF($E375="",TODAY(),$E375),TODAY())&gt;=EOMONTH(MIN(IF($E375="",TODAY(),$E375),TODAY()),0),1,0)),MAX(0,INT((MIN(IF($E375="",TODAY(),$E375),TODAY())-($D375+MOD(SISTEM!$F$8-WEEKDAY($D375,2),7)))/7)+1)))</f>
        <v/>
      </c>
      <c r="J375" s="222">
        <f>IF(OR($C375="",$D375="",$G375="",$F375=""),0,$G375*IF($F375="Aylık",MAX(0,(YEAR(MIN(IF($E375="",TODAY()-8,$E375),TODAY()-8))-YEAR($D375))*12+MONTH(MIN(IF($E375="",TODAY()-8,$E375),TODAY()-8))-MONTH($D375)+IF(MIN(IF($E375="",TODAY()-8,$E375),TODAY()-8)&gt;=EOMONTH(MIN(IF($E375="",TODAY()-8,$E375),TODAY()-8),0),1,0)),MAX(0,INT((MIN(IF($E375="",TODAY()-8,$E375),TODAY()-8)-($D375+MOD(SISTEM!$F$8-WEEKDAY($D375,2),7)))/7)+1)))</f>
        <v/>
      </c>
      <c r="K375" s="222">
        <f>IF(OR($C375="",$D375="",$G375="",$F375=""),0,$G375*IF($F375="Aylık",MAX(0,(YEAR(MIN(IF($E375="",TODAY()-15,$E375),TODAY()-15))-YEAR($D375))*12+MONTH(MIN(IF($E375="",TODAY()-15,$E375),TODAY()-15))-MONTH($D375)+IF(MIN(IF($E375="",TODAY()-15,$E375),TODAY()-15)&gt;=EOMONTH(MIN(IF($E375="",TODAY()-15,$E375),TODAY()-15),0),1,0)),MAX(0,INT((MIN(IF($E375="",TODAY()-15,$E375),TODAY()-15)-($D375+MOD(SISTEM!$F$8-WEEKDAY($D375,2),7)))/7)+1)))</f>
        <v/>
      </c>
      <c r="L375" s="222">
        <f>IF(OR($C375="",$D375="",$G375="",$F375=""),0,$G375*IF($F375="Aylık",MAX(0,(YEAR(MIN(IF($E375="",TODAY()-29,$E375),TODAY()-29))-YEAR($D375))*12+MONTH(MIN(IF($E375="",TODAY()-29,$E375),TODAY()-29))-MONTH($D375)+IF(MIN(IF($E375="",TODAY()-29,$E375),TODAY()-29)&gt;=EOMONTH(MIN(IF($E375="",TODAY()-29,$E375),TODAY()-29),0),1,0)),MAX(0,INT((MIN(IF($E375="",TODAY()-29,$E375),TODAY()-29)-($D375+MOD(SISTEM!$F$8-WEEKDAY($D375,2),7)))/7)+1)))</f>
        <v/>
      </c>
      <c r="M375" s="223">
        <f>IF($G375&gt;0,$I375/$G375,0)</f>
        <v/>
      </c>
      <c r="N375" s="113">
        <f>IF($C375="","",IF($B375="TANIMSIZ MÜŞTERİ","TANIMSIZ MÜŞTERİ",IF($F375="","MODEL SEÇİN",IF(OR($D375="",$G375&lt;=0),"EKSİK",IF(AND($E375&lt;&gt;"",$E375&lt;$D375),"TARİH HATASI",IF($H375="Pasif","KAPALI DÖNEM","UYGUN"))))))</f>
        <v/>
      </c>
      <c r="O375" s="224">
        <f>IF(OR($C375="",$D375="",$F375=""),"",IF($F375="Aylık",EOMONTH($D375,0),($D375+MOD(SISTEM!$F$8-WEEKDAY($D375,2),7))))</f>
        <v/>
      </c>
      <c r="P375" s="109" t="n"/>
      <c r="Q375" s="6" t="n"/>
      <c r="R375" s="6" t="n"/>
      <c r="S375" s="3">
        <f>IF($B375="","",$B375&amp;"|"&amp;COUNTIFS($B$7:$B375,$B375))</f>
        <v/>
      </c>
      <c r="T375" s="3">
        <f>IF($C375="","",UPPER(SUBSTITUTE(SUBSTITUTE(SUBSTITUTE(SUBSTITUTE(SUBSTITUTE(SUBSTITUTE(SUBSTITUTE(SUBSTITUTE(SUBSTITUTE(SUBSTITUTE(SUBSTITUTE(SUBSTITUTE(SUBSTITUTE(SUBSTITUTE(SUBSTITUTE(SUBSTITUTE(SUBSTITUTE(SUBSTITUTE(TRIM($C375),"'",""),"İ","I"),"ı","I"),"i","I"),"Ş","S"),"ş","S"),"Ğ","G"),"ğ","G"),"Ü","U"),"ü","U"),"Ö","O"),"ö","O"),"Ç","C"),"ç","C"),".",""),",","")," ",""),"-","")))</f>
        <v/>
      </c>
    </row>
    <row r="376">
      <c r="A376" s="6" t="n"/>
      <c r="B376" s="113">
        <f>IF($C376="","",IFERROR(INDEX(MUSTERILER!$B$7:$B$106,MATCH($T376,MUSTERILER!$T$7:$T$106,0)),IFERROR(INDEX(MUSTERILER!$B$7:$B$106,MATCH($C376,MUSTERILER!$B$7:$B$106,0)),IFERROR(INDEX(MUSTERILER!$B$7:$B$106,MATCH($T376&amp;"*",MUSTERILER!$T$7:$T$106,0)),"TANIMSIZ MÜŞTERİ"))))</f>
        <v/>
      </c>
      <c r="C376" s="109" t="n"/>
      <c r="D376" s="220" t="n"/>
      <c r="E376" s="220" t="n"/>
      <c r="F376" s="108" t="n"/>
      <c r="G376" s="221" t="n"/>
      <c r="H376" s="108" t="n"/>
      <c r="I376" s="222">
        <f>IF(OR($C376="",$D376="",$G376="",$F376=""),0,$G376*IF($F376="Aylık",MAX(0,(YEAR(MIN(IF($E376="",TODAY(),$E376),TODAY()))-YEAR($D376))*12+MONTH(MIN(IF($E376="",TODAY(),$E376),TODAY()))-MONTH($D376)+IF(MIN(IF($E376="",TODAY(),$E376),TODAY())&gt;=EOMONTH(MIN(IF($E376="",TODAY(),$E376),TODAY()),0),1,0)),MAX(0,INT((MIN(IF($E376="",TODAY(),$E376),TODAY())-($D376+MOD(SISTEM!$F$8-WEEKDAY($D376,2),7)))/7)+1)))</f>
        <v/>
      </c>
      <c r="J376" s="222">
        <f>IF(OR($C376="",$D376="",$G376="",$F376=""),0,$G376*IF($F376="Aylık",MAX(0,(YEAR(MIN(IF($E376="",TODAY()-8,$E376),TODAY()-8))-YEAR($D376))*12+MONTH(MIN(IF($E376="",TODAY()-8,$E376),TODAY()-8))-MONTH($D376)+IF(MIN(IF($E376="",TODAY()-8,$E376),TODAY()-8)&gt;=EOMONTH(MIN(IF($E376="",TODAY()-8,$E376),TODAY()-8),0),1,0)),MAX(0,INT((MIN(IF($E376="",TODAY()-8,$E376),TODAY()-8)-($D376+MOD(SISTEM!$F$8-WEEKDAY($D376,2),7)))/7)+1)))</f>
        <v/>
      </c>
      <c r="K376" s="222">
        <f>IF(OR($C376="",$D376="",$G376="",$F376=""),0,$G376*IF($F376="Aylık",MAX(0,(YEAR(MIN(IF($E376="",TODAY()-15,$E376),TODAY()-15))-YEAR($D376))*12+MONTH(MIN(IF($E376="",TODAY()-15,$E376),TODAY()-15))-MONTH($D376)+IF(MIN(IF($E376="",TODAY()-15,$E376),TODAY()-15)&gt;=EOMONTH(MIN(IF($E376="",TODAY()-15,$E376),TODAY()-15),0),1,0)),MAX(0,INT((MIN(IF($E376="",TODAY()-15,$E376),TODAY()-15)-($D376+MOD(SISTEM!$F$8-WEEKDAY($D376,2),7)))/7)+1)))</f>
        <v/>
      </c>
      <c r="L376" s="222">
        <f>IF(OR($C376="",$D376="",$G376="",$F376=""),0,$G376*IF($F376="Aylık",MAX(0,(YEAR(MIN(IF($E376="",TODAY()-29,$E376),TODAY()-29))-YEAR($D376))*12+MONTH(MIN(IF($E376="",TODAY()-29,$E376),TODAY()-29))-MONTH($D376)+IF(MIN(IF($E376="",TODAY()-29,$E376),TODAY()-29)&gt;=EOMONTH(MIN(IF($E376="",TODAY()-29,$E376),TODAY()-29),0),1,0)),MAX(0,INT((MIN(IF($E376="",TODAY()-29,$E376),TODAY()-29)-($D376+MOD(SISTEM!$F$8-WEEKDAY($D376,2),7)))/7)+1)))</f>
        <v/>
      </c>
      <c r="M376" s="223">
        <f>IF($G376&gt;0,$I376/$G376,0)</f>
        <v/>
      </c>
      <c r="N376" s="113">
        <f>IF($C376="","",IF($B376="TANIMSIZ MÜŞTERİ","TANIMSIZ MÜŞTERİ",IF($F376="","MODEL SEÇİN",IF(OR($D376="",$G376&lt;=0),"EKSİK",IF(AND($E376&lt;&gt;"",$E376&lt;$D376),"TARİH HATASI",IF($H376="Pasif","KAPALI DÖNEM","UYGUN"))))))</f>
        <v/>
      </c>
      <c r="O376" s="224">
        <f>IF(OR($C376="",$D376="",$F376=""),"",IF($F376="Aylık",EOMONTH($D376,0),($D376+MOD(SISTEM!$F$8-WEEKDAY($D376,2),7))))</f>
        <v/>
      </c>
      <c r="P376" s="109" t="n"/>
      <c r="Q376" s="6" t="n"/>
      <c r="R376" s="6" t="n"/>
      <c r="S376" s="3">
        <f>IF($B376="","",$B376&amp;"|"&amp;COUNTIFS($B$7:$B376,$B376))</f>
        <v/>
      </c>
      <c r="T376" s="3">
        <f>IF($C376="","",UPPER(SUBSTITUTE(SUBSTITUTE(SUBSTITUTE(SUBSTITUTE(SUBSTITUTE(SUBSTITUTE(SUBSTITUTE(SUBSTITUTE(SUBSTITUTE(SUBSTITUTE(SUBSTITUTE(SUBSTITUTE(SUBSTITUTE(SUBSTITUTE(SUBSTITUTE(SUBSTITUTE(SUBSTITUTE(SUBSTITUTE(TRIM($C376),"'",""),"İ","I"),"ı","I"),"i","I"),"Ş","S"),"ş","S"),"Ğ","G"),"ğ","G"),"Ü","U"),"ü","U"),"Ö","O"),"ö","O"),"Ç","C"),"ç","C"),".",""),",","")," ",""),"-","")))</f>
        <v/>
      </c>
    </row>
    <row r="377">
      <c r="A377" s="6" t="n"/>
      <c r="B377" s="113">
        <f>IF($C377="","",IFERROR(INDEX(MUSTERILER!$B$7:$B$106,MATCH($T377,MUSTERILER!$T$7:$T$106,0)),IFERROR(INDEX(MUSTERILER!$B$7:$B$106,MATCH($C377,MUSTERILER!$B$7:$B$106,0)),IFERROR(INDEX(MUSTERILER!$B$7:$B$106,MATCH($T377&amp;"*",MUSTERILER!$T$7:$T$106,0)),"TANIMSIZ MÜŞTERİ"))))</f>
        <v/>
      </c>
      <c r="C377" s="109" t="n"/>
      <c r="D377" s="220" t="n"/>
      <c r="E377" s="220" t="n"/>
      <c r="F377" s="108" t="n"/>
      <c r="G377" s="221" t="n"/>
      <c r="H377" s="108" t="n"/>
      <c r="I377" s="222">
        <f>IF(OR($C377="",$D377="",$G377="",$F377=""),0,$G377*IF($F377="Aylık",MAX(0,(YEAR(MIN(IF($E377="",TODAY(),$E377),TODAY()))-YEAR($D377))*12+MONTH(MIN(IF($E377="",TODAY(),$E377),TODAY()))-MONTH($D377)+IF(MIN(IF($E377="",TODAY(),$E377),TODAY())&gt;=EOMONTH(MIN(IF($E377="",TODAY(),$E377),TODAY()),0),1,0)),MAX(0,INT((MIN(IF($E377="",TODAY(),$E377),TODAY())-($D377+MOD(SISTEM!$F$8-WEEKDAY($D377,2),7)))/7)+1)))</f>
        <v/>
      </c>
      <c r="J377" s="222">
        <f>IF(OR($C377="",$D377="",$G377="",$F377=""),0,$G377*IF($F377="Aylık",MAX(0,(YEAR(MIN(IF($E377="",TODAY()-8,$E377),TODAY()-8))-YEAR($D377))*12+MONTH(MIN(IF($E377="",TODAY()-8,$E377),TODAY()-8))-MONTH($D377)+IF(MIN(IF($E377="",TODAY()-8,$E377),TODAY()-8)&gt;=EOMONTH(MIN(IF($E377="",TODAY()-8,$E377),TODAY()-8),0),1,0)),MAX(0,INT((MIN(IF($E377="",TODAY()-8,$E377),TODAY()-8)-($D377+MOD(SISTEM!$F$8-WEEKDAY($D377,2),7)))/7)+1)))</f>
        <v/>
      </c>
      <c r="K377" s="222">
        <f>IF(OR($C377="",$D377="",$G377="",$F377=""),0,$G377*IF($F377="Aylık",MAX(0,(YEAR(MIN(IF($E377="",TODAY()-15,$E377),TODAY()-15))-YEAR($D377))*12+MONTH(MIN(IF($E377="",TODAY()-15,$E377),TODAY()-15))-MONTH($D377)+IF(MIN(IF($E377="",TODAY()-15,$E377),TODAY()-15)&gt;=EOMONTH(MIN(IF($E377="",TODAY()-15,$E377),TODAY()-15),0),1,0)),MAX(0,INT((MIN(IF($E377="",TODAY()-15,$E377),TODAY()-15)-($D377+MOD(SISTEM!$F$8-WEEKDAY($D377,2),7)))/7)+1)))</f>
        <v/>
      </c>
      <c r="L377" s="222">
        <f>IF(OR($C377="",$D377="",$G377="",$F377=""),0,$G377*IF($F377="Aylık",MAX(0,(YEAR(MIN(IF($E377="",TODAY()-29,$E377),TODAY()-29))-YEAR($D377))*12+MONTH(MIN(IF($E377="",TODAY()-29,$E377),TODAY()-29))-MONTH($D377)+IF(MIN(IF($E377="",TODAY()-29,$E377),TODAY()-29)&gt;=EOMONTH(MIN(IF($E377="",TODAY()-29,$E377),TODAY()-29),0),1,0)),MAX(0,INT((MIN(IF($E377="",TODAY()-29,$E377),TODAY()-29)-($D377+MOD(SISTEM!$F$8-WEEKDAY($D377,2),7)))/7)+1)))</f>
        <v/>
      </c>
      <c r="M377" s="223">
        <f>IF($G377&gt;0,$I377/$G377,0)</f>
        <v/>
      </c>
      <c r="N377" s="113">
        <f>IF($C377="","",IF($B377="TANIMSIZ MÜŞTERİ","TANIMSIZ MÜŞTERİ",IF($F377="","MODEL SEÇİN",IF(OR($D377="",$G377&lt;=0),"EKSİK",IF(AND($E377&lt;&gt;"",$E377&lt;$D377),"TARİH HATASI",IF($H377="Pasif","KAPALI DÖNEM","UYGUN"))))))</f>
        <v/>
      </c>
      <c r="O377" s="224">
        <f>IF(OR($C377="",$D377="",$F377=""),"",IF($F377="Aylık",EOMONTH($D377,0),($D377+MOD(SISTEM!$F$8-WEEKDAY($D377,2),7))))</f>
        <v/>
      </c>
      <c r="P377" s="109" t="n"/>
      <c r="Q377" s="6" t="n"/>
      <c r="R377" s="6" t="n"/>
      <c r="S377" s="3">
        <f>IF($B377="","",$B377&amp;"|"&amp;COUNTIFS($B$7:$B377,$B377))</f>
        <v/>
      </c>
      <c r="T377" s="3">
        <f>IF($C377="","",UPPER(SUBSTITUTE(SUBSTITUTE(SUBSTITUTE(SUBSTITUTE(SUBSTITUTE(SUBSTITUTE(SUBSTITUTE(SUBSTITUTE(SUBSTITUTE(SUBSTITUTE(SUBSTITUTE(SUBSTITUTE(SUBSTITUTE(SUBSTITUTE(SUBSTITUTE(SUBSTITUTE(SUBSTITUTE(SUBSTITUTE(TRIM($C377),"'",""),"İ","I"),"ı","I"),"i","I"),"Ş","S"),"ş","S"),"Ğ","G"),"ğ","G"),"Ü","U"),"ü","U"),"Ö","O"),"ö","O"),"Ç","C"),"ç","C"),".",""),",","")," ",""),"-","")))</f>
        <v/>
      </c>
    </row>
    <row r="378">
      <c r="A378" s="6" t="n"/>
      <c r="B378" s="113">
        <f>IF($C378="","",IFERROR(INDEX(MUSTERILER!$B$7:$B$106,MATCH($T378,MUSTERILER!$T$7:$T$106,0)),IFERROR(INDEX(MUSTERILER!$B$7:$B$106,MATCH($C378,MUSTERILER!$B$7:$B$106,0)),IFERROR(INDEX(MUSTERILER!$B$7:$B$106,MATCH($T378&amp;"*",MUSTERILER!$T$7:$T$106,0)),"TANIMSIZ MÜŞTERİ"))))</f>
        <v/>
      </c>
      <c r="C378" s="109" t="n"/>
      <c r="D378" s="220" t="n"/>
      <c r="E378" s="220" t="n"/>
      <c r="F378" s="108" t="n"/>
      <c r="G378" s="221" t="n"/>
      <c r="H378" s="108" t="n"/>
      <c r="I378" s="222">
        <f>IF(OR($C378="",$D378="",$G378="",$F378=""),0,$G378*IF($F378="Aylık",MAX(0,(YEAR(MIN(IF($E378="",TODAY(),$E378),TODAY()))-YEAR($D378))*12+MONTH(MIN(IF($E378="",TODAY(),$E378),TODAY()))-MONTH($D378)+IF(MIN(IF($E378="",TODAY(),$E378),TODAY())&gt;=EOMONTH(MIN(IF($E378="",TODAY(),$E378),TODAY()),0),1,0)),MAX(0,INT((MIN(IF($E378="",TODAY(),$E378),TODAY())-($D378+MOD(SISTEM!$F$8-WEEKDAY($D378,2),7)))/7)+1)))</f>
        <v/>
      </c>
      <c r="J378" s="222">
        <f>IF(OR($C378="",$D378="",$G378="",$F378=""),0,$G378*IF($F378="Aylık",MAX(0,(YEAR(MIN(IF($E378="",TODAY()-8,$E378),TODAY()-8))-YEAR($D378))*12+MONTH(MIN(IF($E378="",TODAY()-8,$E378),TODAY()-8))-MONTH($D378)+IF(MIN(IF($E378="",TODAY()-8,$E378),TODAY()-8)&gt;=EOMONTH(MIN(IF($E378="",TODAY()-8,$E378),TODAY()-8),0),1,0)),MAX(0,INT((MIN(IF($E378="",TODAY()-8,$E378),TODAY()-8)-($D378+MOD(SISTEM!$F$8-WEEKDAY($D378,2),7)))/7)+1)))</f>
        <v/>
      </c>
      <c r="K378" s="222">
        <f>IF(OR($C378="",$D378="",$G378="",$F378=""),0,$G378*IF($F378="Aylık",MAX(0,(YEAR(MIN(IF($E378="",TODAY()-15,$E378),TODAY()-15))-YEAR($D378))*12+MONTH(MIN(IF($E378="",TODAY()-15,$E378),TODAY()-15))-MONTH($D378)+IF(MIN(IF($E378="",TODAY()-15,$E378),TODAY()-15)&gt;=EOMONTH(MIN(IF($E378="",TODAY()-15,$E378),TODAY()-15),0),1,0)),MAX(0,INT((MIN(IF($E378="",TODAY()-15,$E378),TODAY()-15)-($D378+MOD(SISTEM!$F$8-WEEKDAY($D378,2),7)))/7)+1)))</f>
        <v/>
      </c>
      <c r="L378" s="222">
        <f>IF(OR($C378="",$D378="",$G378="",$F378=""),0,$G378*IF($F378="Aylık",MAX(0,(YEAR(MIN(IF($E378="",TODAY()-29,$E378),TODAY()-29))-YEAR($D378))*12+MONTH(MIN(IF($E378="",TODAY()-29,$E378),TODAY()-29))-MONTH($D378)+IF(MIN(IF($E378="",TODAY()-29,$E378),TODAY()-29)&gt;=EOMONTH(MIN(IF($E378="",TODAY()-29,$E378),TODAY()-29),0),1,0)),MAX(0,INT((MIN(IF($E378="",TODAY()-29,$E378),TODAY()-29)-($D378+MOD(SISTEM!$F$8-WEEKDAY($D378,2),7)))/7)+1)))</f>
        <v/>
      </c>
      <c r="M378" s="223">
        <f>IF($G378&gt;0,$I378/$G378,0)</f>
        <v/>
      </c>
      <c r="N378" s="113">
        <f>IF($C378="","",IF($B378="TANIMSIZ MÜŞTERİ","TANIMSIZ MÜŞTERİ",IF($F378="","MODEL SEÇİN",IF(OR($D378="",$G378&lt;=0),"EKSİK",IF(AND($E378&lt;&gt;"",$E378&lt;$D378),"TARİH HATASI",IF($H378="Pasif","KAPALI DÖNEM","UYGUN"))))))</f>
        <v/>
      </c>
      <c r="O378" s="224">
        <f>IF(OR($C378="",$D378="",$F378=""),"",IF($F378="Aylık",EOMONTH($D378,0),($D378+MOD(SISTEM!$F$8-WEEKDAY($D378,2),7))))</f>
        <v/>
      </c>
      <c r="P378" s="109" t="n"/>
      <c r="Q378" s="6" t="n"/>
      <c r="R378" s="6" t="n"/>
      <c r="S378" s="3">
        <f>IF($B378="","",$B378&amp;"|"&amp;COUNTIFS($B$7:$B378,$B378))</f>
        <v/>
      </c>
      <c r="T378" s="3">
        <f>IF($C378="","",UPPER(SUBSTITUTE(SUBSTITUTE(SUBSTITUTE(SUBSTITUTE(SUBSTITUTE(SUBSTITUTE(SUBSTITUTE(SUBSTITUTE(SUBSTITUTE(SUBSTITUTE(SUBSTITUTE(SUBSTITUTE(SUBSTITUTE(SUBSTITUTE(SUBSTITUTE(SUBSTITUTE(SUBSTITUTE(SUBSTITUTE(TRIM($C378),"'",""),"İ","I"),"ı","I"),"i","I"),"Ş","S"),"ş","S"),"Ğ","G"),"ğ","G"),"Ü","U"),"ü","U"),"Ö","O"),"ö","O"),"Ç","C"),"ç","C"),".",""),",","")," ",""),"-","")))</f>
        <v/>
      </c>
    </row>
    <row r="379">
      <c r="A379" s="6" t="n"/>
      <c r="B379" s="113">
        <f>IF($C379="","",IFERROR(INDEX(MUSTERILER!$B$7:$B$106,MATCH($T379,MUSTERILER!$T$7:$T$106,0)),IFERROR(INDEX(MUSTERILER!$B$7:$B$106,MATCH($C379,MUSTERILER!$B$7:$B$106,0)),IFERROR(INDEX(MUSTERILER!$B$7:$B$106,MATCH($T379&amp;"*",MUSTERILER!$T$7:$T$106,0)),"TANIMSIZ MÜŞTERİ"))))</f>
        <v/>
      </c>
      <c r="C379" s="109" t="n"/>
      <c r="D379" s="220" t="n"/>
      <c r="E379" s="220" t="n"/>
      <c r="F379" s="108" t="n"/>
      <c r="G379" s="221" t="n"/>
      <c r="H379" s="108" t="n"/>
      <c r="I379" s="222">
        <f>IF(OR($C379="",$D379="",$G379="",$F379=""),0,$G379*IF($F379="Aylık",MAX(0,(YEAR(MIN(IF($E379="",TODAY(),$E379),TODAY()))-YEAR($D379))*12+MONTH(MIN(IF($E379="",TODAY(),$E379),TODAY()))-MONTH($D379)+IF(MIN(IF($E379="",TODAY(),$E379),TODAY())&gt;=EOMONTH(MIN(IF($E379="",TODAY(),$E379),TODAY()),0),1,0)),MAX(0,INT((MIN(IF($E379="",TODAY(),$E379),TODAY())-($D379+MOD(SISTEM!$F$8-WEEKDAY($D379,2),7)))/7)+1)))</f>
        <v/>
      </c>
      <c r="J379" s="222">
        <f>IF(OR($C379="",$D379="",$G379="",$F379=""),0,$G379*IF($F379="Aylık",MAX(0,(YEAR(MIN(IF($E379="",TODAY()-8,$E379),TODAY()-8))-YEAR($D379))*12+MONTH(MIN(IF($E379="",TODAY()-8,$E379),TODAY()-8))-MONTH($D379)+IF(MIN(IF($E379="",TODAY()-8,$E379),TODAY()-8)&gt;=EOMONTH(MIN(IF($E379="",TODAY()-8,$E379),TODAY()-8),0),1,0)),MAX(0,INT((MIN(IF($E379="",TODAY()-8,$E379),TODAY()-8)-($D379+MOD(SISTEM!$F$8-WEEKDAY($D379,2),7)))/7)+1)))</f>
        <v/>
      </c>
      <c r="K379" s="222">
        <f>IF(OR($C379="",$D379="",$G379="",$F379=""),0,$G379*IF($F379="Aylık",MAX(0,(YEAR(MIN(IF($E379="",TODAY()-15,$E379),TODAY()-15))-YEAR($D379))*12+MONTH(MIN(IF($E379="",TODAY()-15,$E379),TODAY()-15))-MONTH($D379)+IF(MIN(IF($E379="",TODAY()-15,$E379),TODAY()-15)&gt;=EOMONTH(MIN(IF($E379="",TODAY()-15,$E379),TODAY()-15),0),1,0)),MAX(0,INT((MIN(IF($E379="",TODAY()-15,$E379),TODAY()-15)-($D379+MOD(SISTEM!$F$8-WEEKDAY($D379,2),7)))/7)+1)))</f>
        <v/>
      </c>
      <c r="L379" s="222">
        <f>IF(OR($C379="",$D379="",$G379="",$F379=""),0,$G379*IF($F379="Aylık",MAX(0,(YEAR(MIN(IF($E379="",TODAY()-29,$E379),TODAY()-29))-YEAR($D379))*12+MONTH(MIN(IF($E379="",TODAY()-29,$E379),TODAY()-29))-MONTH($D379)+IF(MIN(IF($E379="",TODAY()-29,$E379),TODAY()-29)&gt;=EOMONTH(MIN(IF($E379="",TODAY()-29,$E379),TODAY()-29),0),1,0)),MAX(0,INT((MIN(IF($E379="",TODAY()-29,$E379),TODAY()-29)-($D379+MOD(SISTEM!$F$8-WEEKDAY($D379,2),7)))/7)+1)))</f>
        <v/>
      </c>
      <c r="M379" s="223">
        <f>IF($G379&gt;0,$I379/$G379,0)</f>
        <v/>
      </c>
      <c r="N379" s="113">
        <f>IF($C379="","",IF($B379="TANIMSIZ MÜŞTERİ","TANIMSIZ MÜŞTERİ",IF($F379="","MODEL SEÇİN",IF(OR($D379="",$G379&lt;=0),"EKSİK",IF(AND($E379&lt;&gt;"",$E379&lt;$D379),"TARİH HATASI",IF($H379="Pasif","KAPALI DÖNEM","UYGUN"))))))</f>
        <v/>
      </c>
      <c r="O379" s="224">
        <f>IF(OR($C379="",$D379="",$F379=""),"",IF($F379="Aylık",EOMONTH($D379,0),($D379+MOD(SISTEM!$F$8-WEEKDAY($D379,2),7))))</f>
        <v/>
      </c>
      <c r="P379" s="109" t="n"/>
      <c r="Q379" s="6" t="n"/>
      <c r="R379" s="6" t="n"/>
      <c r="S379" s="3">
        <f>IF($B379="","",$B379&amp;"|"&amp;COUNTIFS($B$7:$B379,$B379))</f>
        <v/>
      </c>
      <c r="T379" s="3">
        <f>IF($C379="","",UPPER(SUBSTITUTE(SUBSTITUTE(SUBSTITUTE(SUBSTITUTE(SUBSTITUTE(SUBSTITUTE(SUBSTITUTE(SUBSTITUTE(SUBSTITUTE(SUBSTITUTE(SUBSTITUTE(SUBSTITUTE(SUBSTITUTE(SUBSTITUTE(SUBSTITUTE(SUBSTITUTE(SUBSTITUTE(SUBSTITUTE(TRIM($C379),"'",""),"İ","I"),"ı","I"),"i","I"),"Ş","S"),"ş","S"),"Ğ","G"),"ğ","G"),"Ü","U"),"ü","U"),"Ö","O"),"ö","O"),"Ç","C"),"ç","C"),".",""),",","")," ",""),"-","")))</f>
        <v/>
      </c>
    </row>
    <row r="380">
      <c r="A380" s="6" t="n"/>
      <c r="B380" s="113">
        <f>IF($C380="","",IFERROR(INDEX(MUSTERILER!$B$7:$B$106,MATCH($T380,MUSTERILER!$T$7:$T$106,0)),IFERROR(INDEX(MUSTERILER!$B$7:$B$106,MATCH($C380,MUSTERILER!$B$7:$B$106,0)),IFERROR(INDEX(MUSTERILER!$B$7:$B$106,MATCH($T380&amp;"*",MUSTERILER!$T$7:$T$106,0)),"TANIMSIZ MÜŞTERİ"))))</f>
        <v/>
      </c>
      <c r="C380" s="109" t="n"/>
      <c r="D380" s="220" t="n"/>
      <c r="E380" s="220" t="n"/>
      <c r="F380" s="108" t="n"/>
      <c r="G380" s="221" t="n"/>
      <c r="H380" s="108" t="n"/>
      <c r="I380" s="222">
        <f>IF(OR($C380="",$D380="",$G380="",$F380=""),0,$G380*IF($F380="Aylık",MAX(0,(YEAR(MIN(IF($E380="",TODAY(),$E380),TODAY()))-YEAR($D380))*12+MONTH(MIN(IF($E380="",TODAY(),$E380),TODAY()))-MONTH($D380)+IF(MIN(IF($E380="",TODAY(),$E380),TODAY())&gt;=EOMONTH(MIN(IF($E380="",TODAY(),$E380),TODAY()),0),1,0)),MAX(0,INT((MIN(IF($E380="",TODAY(),$E380),TODAY())-($D380+MOD(SISTEM!$F$8-WEEKDAY($D380,2),7)))/7)+1)))</f>
        <v/>
      </c>
      <c r="J380" s="222">
        <f>IF(OR($C380="",$D380="",$G380="",$F380=""),0,$G380*IF($F380="Aylık",MAX(0,(YEAR(MIN(IF($E380="",TODAY()-8,$E380),TODAY()-8))-YEAR($D380))*12+MONTH(MIN(IF($E380="",TODAY()-8,$E380),TODAY()-8))-MONTH($D380)+IF(MIN(IF($E380="",TODAY()-8,$E380),TODAY()-8)&gt;=EOMONTH(MIN(IF($E380="",TODAY()-8,$E380),TODAY()-8),0),1,0)),MAX(0,INT((MIN(IF($E380="",TODAY()-8,$E380),TODAY()-8)-($D380+MOD(SISTEM!$F$8-WEEKDAY($D380,2),7)))/7)+1)))</f>
        <v/>
      </c>
      <c r="K380" s="222">
        <f>IF(OR($C380="",$D380="",$G380="",$F380=""),0,$G380*IF($F380="Aylık",MAX(0,(YEAR(MIN(IF($E380="",TODAY()-15,$E380),TODAY()-15))-YEAR($D380))*12+MONTH(MIN(IF($E380="",TODAY()-15,$E380),TODAY()-15))-MONTH($D380)+IF(MIN(IF($E380="",TODAY()-15,$E380),TODAY()-15)&gt;=EOMONTH(MIN(IF($E380="",TODAY()-15,$E380),TODAY()-15),0),1,0)),MAX(0,INT((MIN(IF($E380="",TODAY()-15,$E380),TODAY()-15)-($D380+MOD(SISTEM!$F$8-WEEKDAY($D380,2),7)))/7)+1)))</f>
        <v/>
      </c>
      <c r="L380" s="222">
        <f>IF(OR($C380="",$D380="",$G380="",$F380=""),0,$G380*IF($F380="Aylık",MAX(0,(YEAR(MIN(IF($E380="",TODAY()-29,$E380),TODAY()-29))-YEAR($D380))*12+MONTH(MIN(IF($E380="",TODAY()-29,$E380),TODAY()-29))-MONTH($D380)+IF(MIN(IF($E380="",TODAY()-29,$E380),TODAY()-29)&gt;=EOMONTH(MIN(IF($E380="",TODAY()-29,$E380),TODAY()-29),0),1,0)),MAX(0,INT((MIN(IF($E380="",TODAY()-29,$E380),TODAY()-29)-($D380+MOD(SISTEM!$F$8-WEEKDAY($D380,2),7)))/7)+1)))</f>
        <v/>
      </c>
      <c r="M380" s="223">
        <f>IF($G380&gt;0,$I380/$G380,0)</f>
        <v/>
      </c>
      <c r="N380" s="113">
        <f>IF($C380="","",IF($B380="TANIMSIZ MÜŞTERİ","TANIMSIZ MÜŞTERİ",IF($F380="","MODEL SEÇİN",IF(OR($D380="",$G380&lt;=0),"EKSİK",IF(AND($E380&lt;&gt;"",$E380&lt;$D380),"TARİH HATASI",IF($H380="Pasif","KAPALI DÖNEM","UYGUN"))))))</f>
        <v/>
      </c>
      <c r="O380" s="224">
        <f>IF(OR($C380="",$D380="",$F380=""),"",IF($F380="Aylık",EOMONTH($D380,0),($D380+MOD(SISTEM!$F$8-WEEKDAY($D380,2),7))))</f>
        <v/>
      </c>
      <c r="P380" s="109" t="n"/>
      <c r="Q380" s="6" t="n"/>
      <c r="R380" s="6" t="n"/>
      <c r="S380" s="3">
        <f>IF($B380="","",$B380&amp;"|"&amp;COUNTIFS($B$7:$B380,$B380))</f>
        <v/>
      </c>
      <c r="T380" s="3">
        <f>IF($C380="","",UPPER(SUBSTITUTE(SUBSTITUTE(SUBSTITUTE(SUBSTITUTE(SUBSTITUTE(SUBSTITUTE(SUBSTITUTE(SUBSTITUTE(SUBSTITUTE(SUBSTITUTE(SUBSTITUTE(SUBSTITUTE(SUBSTITUTE(SUBSTITUTE(SUBSTITUTE(SUBSTITUTE(SUBSTITUTE(SUBSTITUTE(TRIM($C380),"'",""),"İ","I"),"ı","I"),"i","I"),"Ş","S"),"ş","S"),"Ğ","G"),"ğ","G"),"Ü","U"),"ü","U"),"Ö","O"),"ö","O"),"Ç","C"),"ç","C"),".",""),",","")," ",""),"-","")))</f>
        <v/>
      </c>
    </row>
    <row r="381">
      <c r="A381" s="6" t="n"/>
      <c r="B381" s="113">
        <f>IF($C381="","",IFERROR(INDEX(MUSTERILER!$B$7:$B$106,MATCH($T381,MUSTERILER!$T$7:$T$106,0)),IFERROR(INDEX(MUSTERILER!$B$7:$B$106,MATCH($C381,MUSTERILER!$B$7:$B$106,0)),IFERROR(INDEX(MUSTERILER!$B$7:$B$106,MATCH($T381&amp;"*",MUSTERILER!$T$7:$T$106,0)),"TANIMSIZ MÜŞTERİ"))))</f>
        <v/>
      </c>
      <c r="C381" s="109" t="n"/>
      <c r="D381" s="220" t="n"/>
      <c r="E381" s="220" t="n"/>
      <c r="F381" s="108" t="n"/>
      <c r="G381" s="221" t="n"/>
      <c r="H381" s="108" t="n"/>
      <c r="I381" s="222">
        <f>IF(OR($C381="",$D381="",$G381="",$F381=""),0,$G381*IF($F381="Aylık",MAX(0,(YEAR(MIN(IF($E381="",TODAY(),$E381),TODAY()))-YEAR($D381))*12+MONTH(MIN(IF($E381="",TODAY(),$E381),TODAY()))-MONTH($D381)+IF(MIN(IF($E381="",TODAY(),$E381),TODAY())&gt;=EOMONTH(MIN(IF($E381="",TODAY(),$E381),TODAY()),0),1,0)),MAX(0,INT((MIN(IF($E381="",TODAY(),$E381),TODAY())-($D381+MOD(SISTEM!$F$8-WEEKDAY($D381,2),7)))/7)+1)))</f>
        <v/>
      </c>
      <c r="J381" s="222">
        <f>IF(OR($C381="",$D381="",$G381="",$F381=""),0,$G381*IF($F381="Aylık",MAX(0,(YEAR(MIN(IF($E381="",TODAY()-8,$E381),TODAY()-8))-YEAR($D381))*12+MONTH(MIN(IF($E381="",TODAY()-8,$E381),TODAY()-8))-MONTH($D381)+IF(MIN(IF($E381="",TODAY()-8,$E381),TODAY()-8)&gt;=EOMONTH(MIN(IF($E381="",TODAY()-8,$E381),TODAY()-8),0),1,0)),MAX(0,INT((MIN(IF($E381="",TODAY()-8,$E381),TODAY()-8)-($D381+MOD(SISTEM!$F$8-WEEKDAY($D381,2),7)))/7)+1)))</f>
        <v/>
      </c>
      <c r="K381" s="222">
        <f>IF(OR($C381="",$D381="",$G381="",$F381=""),0,$G381*IF($F381="Aylık",MAX(0,(YEAR(MIN(IF($E381="",TODAY()-15,$E381),TODAY()-15))-YEAR($D381))*12+MONTH(MIN(IF($E381="",TODAY()-15,$E381),TODAY()-15))-MONTH($D381)+IF(MIN(IF($E381="",TODAY()-15,$E381),TODAY()-15)&gt;=EOMONTH(MIN(IF($E381="",TODAY()-15,$E381),TODAY()-15),0),1,0)),MAX(0,INT((MIN(IF($E381="",TODAY()-15,$E381),TODAY()-15)-($D381+MOD(SISTEM!$F$8-WEEKDAY($D381,2),7)))/7)+1)))</f>
        <v/>
      </c>
      <c r="L381" s="222">
        <f>IF(OR($C381="",$D381="",$G381="",$F381=""),0,$G381*IF($F381="Aylık",MAX(0,(YEAR(MIN(IF($E381="",TODAY()-29,$E381),TODAY()-29))-YEAR($D381))*12+MONTH(MIN(IF($E381="",TODAY()-29,$E381),TODAY()-29))-MONTH($D381)+IF(MIN(IF($E381="",TODAY()-29,$E381),TODAY()-29)&gt;=EOMONTH(MIN(IF($E381="",TODAY()-29,$E381),TODAY()-29),0),1,0)),MAX(0,INT((MIN(IF($E381="",TODAY()-29,$E381),TODAY()-29)-($D381+MOD(SISTEM!$F$8-WEEKDAY($D381,2),7)))/7)+1)))</f>
        <v/>
      </c>
      <c r="M381" s="223">
        <f>IF($G381&gt;0,$I381/$G381,0)</f>
        <v/>
      </c>
      <c r="N381" s="113">
        <f>IF($C381="","",IF($B381="TANIMSIZ MÜŞTERİ","TANIMSIZ MÜŞTERİ",IF($F381="","MODEL SEÇİN",IF(OR($D381="",$G381&lt;=0),"EKSİK",IF(AND($E381&lt;&gt;"",$E381&lt;$D381),"TARİH HATASI",IF($H381="Pasif","KAPALI DÖNEM","UYGUN"))))))</f>
        <v/>
      </c>
      <c r="O381" s="224">
        <f>IF(OR($C381="",$D381="",$F381=""),"",IF($F381="Aylık",EOMONTH($D381,0),($D381+MOD(SISTEM!$F$8-WEEKDAY($D381,2),7))))</f>
        <v/>
      </c>
      <c r="P381" s="109" t="n"/>
      <c r="Q381" s="6" t="n"/>
      <c r="R381" s="6" t="n"/>
      <c r="S381" s="3">
        <f>IF($B381="","",$B381&amp;"|"&amp;COUNTIFS($B$7:$B381,$B381))</f>
        <v/>
      </c>
      <c r="T381" s="3">
        <f>IF($C381="","",UPPER(SUBSTITUTE(SUBSTITUTE(SUBSTITUTE(SUBSTITUTE(SUBSTITUTE(SUBSTITUTE(SUBSTITUTE(SUBSTITUTE(SUBSTITUTE(SUBSTITUTE(SUBSTITUTE(SUBSTITUTE(SUBSTITUTE(SUBSTITUTE(SUBSTITUTE(SUBSTITUTE(SUBSTITUTE(SUBSTITUTE(TRIM($C381),"'",""),"İ","I"),"ı","I"),"i","I"),"Ş","S"),"ş","S"),"Ğ","G"),"ğ","G"),"Ü","U"),"ü","U"),"Ö","O"),"ö","O"),"Ç","C"),"ç","C"),".",""),",","")," ",""),"-","")))</f>
        <v/>
      </c>
    </row>
    <row r="382">
      <c r="A382" s="6" t="n"/>
      <c r="B382" s="113">
        <f>IF($C382="","",IFERROR(INDEX(MUSTERILER!$B$7:$B$106,MATCH($T382,MUSTERILER!$T$7:$T$106,0)),IFERROR(INDEX(MUSTERILER!$B$7:$B$106,MATCH($C382,MUSTERILER!$B$7:$B$106,0)),IFERROR(INDEX(MUSTERILER!$B$7:$B$106,MATCH($T382&amp;"*",MUSTERILER!$T$7:$T$106,0)),"TANIMSIZ MÜŞTERİ"))))</f>
        <v/>
      </c>
      <c r="C382" s="109" t="n"/>
      <c r="D382" s="220" t="n"/>
      <c r="E382" s="220" t="n"/>
      <c r="F382" s="108" t="n"/>
      <c r="G382" s="221" t="n"/>
      <c r="H382" s="108" t="n"/>
      <c r="I382" s="222">
        <f>IF(OR($C382="",$D382="",$G382="",$F382=""),0,$G382*IF($F382="Aylık",MAX(0,(YEAR(MIN(IF($E382="",TODAY(),$E382),TODAY()))-YEAR($D382))*12+MONTH(MIN(IF($E382="",TODAY(),$E382),TODAY()))-MONTH($D382)+IF(MIN(IF($E382="",TODAY(),$E382),TODAY())&gt;=EOMONTH(MIN(IF($E382="",TODAY(),$E382),TODAY()),0),1,0)),MAX(0,INT((MIN(IF($E382="",TODAY(),$E382),TODAY())-($D382+MOD(SISTEM!$F$8-WEEKDAY($D382,2),7)))/7)+1)))</f>
        <v/>
      </c>
      <c r="J382" s="222">
        <f>IF(OR($C382="",$D382="",$G382="",$F382=""),0,$G382*IF($F382="Aylık",MAX(0,(YEAR(MIN(IF($E382="",TODAY()-8,$E382),TODAY()-8))-YEAR($D382))*12+MONTH(MIN(IF($E382="",TODAY()-8,$E382),TODAY()-8))-MONTH($D382)+IF(MIN(IF($E382="",TODAY()-8,$E382),TODAY()-8)&gt;=EOMONTH(MIN(IF($E382="",TODAY()-8,$E382),TODAY()-8),0),1,0)),MAX(0,INT((MIN(IF($E382="",TODAY()-8,$E382),TODAY()-8)-($D382+MOD(SISTEM!$F$8-WEEKDAY($D382,2),7)))/7)+1)))</f>
        <v/>
      </c>
      <c r="K382" s="222">
        <f>IF(OR($C382="",$D382="",$G382="",$F382=""),0,$G382*IF($F382="Aylık",MAX(0,(YEAR(MIN(IF($E382="",TODAY()-15,$E382),TODAY()-15))-YEAR($D382))*12+MONTH(MIN(IF($E382="",TODAY()-15,$E382),TODAY()-15))-MONTH($D382)+IF(MIN(IF($E382="",TODAY()-15,$E382),TODAY()-15)&gt;=EOMONTH(MIN(IF($E382="",TODAY()-15,$E382),TODAY()-15),0),1,0)),MAX(0,INT((MIN(IF($E382="",TODAY()-15,$E382),TODAY()-15)-($D382+MOD(SISTEM!$F$8-WEEKDAY($D382,2),7)))/7)+1)))</f>
        <v/>
      </c>
      <c r="L382" s="222">
        <f>IF(OR($C382="",$D382="",$G382="",$F382=""),0,$G382*IF($F382="Aylık",MAX(0,(YEAR(MIN(IF($E382="",TODAY()-29,$E382),TODAY()-29))-YEAR($D382))*12+MONTH(MIN(IF($E382="",TODAY()-29,$E382),TODAY()-29))-MONTH($D382)+IF(MIN(IF($E382="",TODAY()-29,$E382),TODAY()-29)&gt;=EOMONTH(MIN(IF($E382="",TODAY()-29,$E382),TODAY()-29),0),1,0)),MAX(0,INT((MIN(IF($E382="",TODAY()-29,$E382),TODAY()-29)-($D382+MOD(SISTEM!$F$8-WEEKDAY($D382,2),7)))/7)+1)))</f>
        <v/>
      </c>
      <c r="M382" s="223">
        <f>IF($G382&gt;0,$I382/$G382,0)</f>
        <v/>
      </c>
      <c r="N382" s="113">
        <f>IF($C382="","",IF($B382="TANIMSIZ MÜŞTERİ","TANIMSIZ MÜŞTERİ",IF($F382="","MODEL SEÇİN",IF(OR($D382="",$G382&lt;=0),"EKSİK",IF(AND($E382&lt;&gt;"",$E382&lt;$D382),"TARİH HATASI",IF($H382="Pasif","KAPALI DÖNEM","UYGUN"))))))</f>
        <v/>
      </c>
      <c r="O382" s="224">
        <f>IF(OR($C382="",$D382="",$F382=""),"",IF($F382="Aylık",EOMONTH($D382,0),($D382+MOD(SISTEM!$F$8-WEEKDAY($D382,2),7))))</f>
        <v/>
      </c>
      <c r="P382" s="109" t="n"/>
      <c r="Q382" s="6" t="n"/>
      <c r="R382" s="6" t="n"/>
      <c r="S382" s="3">
        <f>IF($B382="","",$B382&amp;"|"&amp;COUNTIFS($B$7:$B382,$B382))</f>
        <v/>
      </c>
      <c r="T382" s="3">
        <f>IF($C382="","",UPPER(SUBSTITUTE(SUBSTITUTE(SUBSTITUTE(SUBSTITUTE(SUBSTITUTE(SUBSTITUTE(SUBSTITUTE(SUBSTITUTE(SUBSTITUTE(SUBSTITUTE(SUBSTITUTE(SUBSTITUTE(SUBSTITUTE(SUBSTITUTE(SUBSTITUTE(SUBSTITUTE(SUBSTITUTE(SUBSTITUTE(TRIM($C382),"'",""),"İ","I"),"ı","I"),"i","I"),"Ş","S"),"ş","S"),"Ğ","G"),"ğ","G"),"Ü","U"),"ü","U"),"Ö","O"),"ö","O"),"Ç","C"),"ç","C"),".",""),",","")," ",""),"-","")))</f>
        <v/>
      </c>
    </row>
    <row r="383">
      <c r="A383" s="6" t="n"/>
      <c r="B383" s="113">
        <f>IF($C383="","",IFERROR(INDEX(MUSTERILER!$B$7:$B$106,MATCH($T383,MUSTERILER!$T$7:$T$106,0)),IFERROR(INDEX(MUSTERILER!$B$7:$B$106,MATCH($C383,MUSTERILER!$B$7:$B$106,0)),IFERROR(INDEX(MUSTERILER!$B$7:$B$106,MATCH($T383&amp;"*",MUSTERILER!$T$7:$T$106,0)),"TANIMSIZ MÜŞTERİ"))))</f>
        <v/>
      </c>
      <c r="C383" s="109" t="n"/>
      <c r="D383" s="220" t="n"/>
      <c r="E383" s="220" t="n"/>
      <c r="F383" s="108" t="n"/>
      <c r="G383" s="221" t="n"/>
      <c r="H383" s="108" t="n"/>
      <c r="I383" s="222">
        <f>IF(OR($C383="",$D383="",$G383="",$F383=""),0,$G383*IF($F383="Aylık",MAX(0,(YEAR(MIN(IF($E383="",TODAY(),$E383),TODAY()))-YEAR($D383))*12+MONTH(MIN(IF($E383="",TODAY(),$E383),TODAY()))-MONTH($D383)+IF(MIN(IF($E383="",TODAY(),$E383),TODAY())&gt;=EOMONTH(MIN(IF($E383="",TODAY(),$E383),TODAY()),0),1,0)),MAX(0,INT((MIN(IF($E383="",TODAY(),$E383),TODAY())-($D383+MOD(SISTEM!$F$8-WEEKDAY($D383,2),7)))/7)+1)))</f>
        <v/>
      </c>
      <c r="J383" s="222">
        <f>IF(OR($C383="",$D383="",$G383="",$F383=""),0,$G383*IF($F383="Aylık",MAX(0,(YEAR(MIN(IF($E383="",TODAY()-8,$E383),TODAY()-8))-YEAR($D383))*12+MONTH(MIN(IF($E383="",TODAY()-8,$E383),TODAY()-8))-MONTH($D383)+IF(MIN(IF($E383="",TODAY()-8,$E383),TODAY()-8)&gt;=EOMONTH(MIN(IF($E383="",TODAY()-8,$E383),TODAY()-8),0),1,0)),MAX(0,INT((MIN(IF($E383="",TODAY()-8,$E383),TODAY()-8)-($D383+MOD(SISTEM!$F$8-WEEKDAY($D383,2),7)))/7)+1)))</f>
        <v/>
      </c>
      <c r="K383" s="222">
        <f>IF(OR($C383="",$D383="",$G383="",$F383=""),0,$G383*IF($F383="Aylık",MAX(0,(YEAR(MIN(IF($E383="",TODAY()-15,$E383),TODAY()-15))-YEAR($D383))*12+MONTH(MIN(IF($E383="",TODAY()-15,$E383),TODAY()-15))-MONTH($D383)+IF(MIN(IF($E383="",TODAY()-15,$E383),TODAY()-15)&gt;=EOMONTH(MIN(IF($E383="",TODAY()-15,$E383),TODAY()-15),0),1,0)),MAX(0,INT((MIN(IF($E383="",TODAY()-15,$E383),TODAY()-15)-($D383+MOD(SISTEM!$F$8-WEEKDAY($D383,2),7)))/7)+1)))</f>
        <v/>
      </c>
      <c r="L383" s="222">
        <f>IF(OR($C383="",$D383="",$G383="",$F383=""),0,$G383*IF($F383="Aylık",MAX(0,(YEAR(MIN(IF($E383="",TODAY()-29,$E383),TODAY()-29))-YEAR($D383))*12+MONTH(MIN(IF($E383="",TODAY()-29,$E383),TODAY()-29))-MONTH($D383)+IF(MIN(IF($E383="",TODAY()-29,$E383),TODAY()-29)&gt;=EOMONTH(MIN(IF($E383="",TODAY()-29,$E383),TODAY()-29),0),1,0)),MAX(0,INT((MIN(IF($E383="",TODAY()-29,$E383),TODAY()-29)-($D383+MOD(SISTEM!$F$8-WEEKDAY($D383,2),7)))/7)+1)))</f>
        <v/>
      </c>
      <c r="M383" s="223">
        <f>IF($G383&gt;0,$I383/$G383,0)</f>
        <v/>
      </c>
      <c r="N383" s="113">
        <f>IF($C383="","",IF($B383="TANIMSIZ MÜŞTERİ","TANIMSIZ MÜŞTERİ",IF($F383="","MODEL SEÇİN",IF(OR($D383="",$G383&lt;=0),"EKSİK",IF(AND($E383&lt;&gt;"",$E383&lt;$D383),"TARİH HATASI",IF($H383="Pasif","KAPALI DÖNEM","UYGUN"))))))</f>
        <v/>
      </c>
      <c r="O383" s="224">
        <f>IF(OR($C383="",$D383="",$F383=""),"",IF($F383="Aylık",EOMONTH($D383,0),($D383+MOD(SISTEM!$F$8-WEEKDAY($D383,2),7))))</f>
        <v/>
      </c>
      <c r="P383" s="109" t="n"/>
      <c r="Q383" s="6" t="n"/>
      <c r="R383" s="6" t="n"/>
      <c r="S383" s="3">
        <f>IF($B383="","",$B383&amp;"|"&amp;COUNTIFS($B$7:$B383,$B383))</f>
        <v/>
      </c>
      <c r="T383" s="3">
        <f>IF($C383="","",UPPER(SUBSTITUTE(SUBSTITUTE(SUBSTITUTE(SUBSTITUTE(SUBSTITUTE(SUBSTITUTE(SUBSTITUTE(SUBSTITUTE(SUBSTITUTE(SUBSTITUTE(SUBSTITUTE(SUBSTITUTE(SUBSTITUTE(SUBSTITUTE(SUBSTITUTE(SUBSTITUTE(SUBSTITUTE(SUBSTITUTE(TRIM($C383),"'",""),"İ","I"),"ı","I"),"i","I"),"Ş","S"),"ş","S"),"Ğ","G"),"ğ","G"),"Ü","U"),"ü","U"),"Ö","O"),"ö","O"),"Ç","C"),"ç","C"),".",""),",","")," ",""),"-","")))</f>
        <v/>
      </c>
    </row>
    <row r="384">
      <c r="A384" s="6" t="n"/>
      <c r="B384" s="113">
        <f>IF($C384="","",IFERROR(INDEX(MUSTERILER!$B$7:$B$106,MATCH($T384,MUSTERILER!$T$7:$T$106,0)),IFERROR(INDEX(MUSTERILER!$B$7:$B$106,MATCH($C384,MUSTERILER!$B$7:$B$106,0)),IFERROR(INDEX(MUSTERILER!$B$7:$B$106,MATCH($T384&amp;"*",MUSTERILER!$T$7:$T$106,0)),"TANIMSIZ MÜŞTERİ"))))</f>
        <v/>
      </c>
      <c r="C384" s="109" t="n"/>
      <c r="D384" s="220" t="n"/>
      <c r="E384" s="220" t="n"/>
      <c r="F384" s="108" t="n"/>
      <c r="G384" s="221" t="n"/>
      <c r="H384" s="108" t="n"/>
      <c r="I384" s="222">
        <f>IF(OR($C384="",$D384="",$G384="",$F384=""),0,$G384*IF($F384="Aylık",MAX(0,(YEAR(MIN(IF($E384="",TODAY(),$E384),TODAY()))-YEAR($D384))*12+MONTH(MIN(IF($E384="",TODAY(),$E384),TODAY()))-MONTH($D384)+IF(MIN(IF($E384="",TODAY(),$E384),TODAY())&gt;=EOMONTH(MIN(IF($E384="",TODAY(),$E384),TODAY()),0),1,0)),MAX(0,INT((MIN(IF($E384="",TODAY(),$E384),TODAY())-($D384+MOD(SISTEM!$F$8-WEEKDAY($D384,2),7)))/7)+1)))</f>
        <v/>
      </c>
      <c r="J384" s="222">
        <f>IF(OR($C384="",$D384="",$G384="",$F384=""),0,$G384*IF($F384="Aylık",MAX(0,(YEAR(MIN(IF($E384="",TODAY()-8,$E384),TODAY()-8))-YEAR($D384))*12+MONTH(MIN(IF($E384="",TODAY()-8,$E384),TODAY()-8))-MONTH($D384)+IF(MIN(IF($E384="",TODAY()-8,$E384),TODAY()-8)&gt;=EOMONTH(MIN(IF($E384="",TODAY()-8,$E384),TODAY()-8),0),1,0)),MAX(0,INT((MIN(IF($E384="",TODAY()-8,$E384),TODAY()-8)-($D384+MOD(SISTEM!$F$8-WEEKDAY($D384,2),7)))/7)+1)))</f>
        <v/>
      </c>
      <c r="K384" s="222">
        <f>IF(OR($C384="",$D384="",$G384="",$F384=""),0,$G384*IF($F384="Aylık",MAX(0,(YEAR(MIN(IF($E384="",TODAY()-15,$E384),TODAY()-15))-YEAR($D384))*12+MONTH(MIN(IF($E384="",TODAY()-15,$E384),TODAY()-15))-MONTH($D384)+IF(MIN(IF($E384="",TODAY()-15,$E384),TODAY()-15)&gt;=EOMONTH(MIN(IF($E384="",TODAY()-15,$E384),TODAY()-15),0),1,0)),MAX(0,INT((MIN(IF($E384="",TODAY()-15,$E384),TODAY()-15)-($D384+MOD(SISTEM!$F$8-WEEKDAY($D384,2),7)))/7)+1)))</f>
        <v/>
      </c>
      <c r="L384" s="222">
        <f>IF(OR($C384="",$D384="",$G384="",$F384=""),0,$G384*IF($F384="Aylık",MAX(0,(YEAR(MIN(IF($E384="",TODAY()-29,$E384),TODAY()-29))-YEAR($D384))*12+MONTH(MIN(IF($E384="",TODAY()-29,$E384),TODAY()-29))-MONTH($D384)+IF(MIN(IF($E384="",TODAY()-29,$E384),TODAY()-29)&gt;=EOMONTH(MIN(IF($E384="",TODAY()-29,$E384),TODAY()-29),0),1,0)),MAX(0,INT((MIN(IF($E384="",TODAY()-29,$E384),TODAY()-29)-($D384+MOD(SISTEM!$F$8-WEEKDAY($D384,2),7)))/7)+1)))</f>
        <v/>
      </c>
      <c r="M384" s="223">
        <f>IF($G384&gt;0,$I384/$G384,0)</f>
        <v/>
      </c>
      <c r="N384" s="113">
        <f>IF($C384="","",IF($B384="TANIMSIZ MÜŞTERİ","TANIMSIZ MÜŞTERİ",IF($F384="","MODEL SEÇİN",IF(OR($D384="",$G384&lt;=0),"EKSİK",IF(AND($E384&lt;&gt;"",$E384&lt;$D384),"TARİH HATASI",IF($H384="Pasif","KAPALI DÖNEM","UYGUN"))))))</f>
        <v/>
      </c>
      <c r="O384" s="224">
        <f>IF(OR($C384="",$D384="",$F384=""),"",IF($F384="Aylık",EOMONTH($D384,0),($D384+MOD(SISTEM!$F$8-WEEKDAY($D384,2),7))))</f>
        <v/>
      </c>
      <c r="P384" s="109" t="n"/>
      <c r="Q384" s="6" t="n"/>
      <c r="R384" s="6" t="n"/>
      <c r="S384" s="3">
        <f>IF($B384="","",$B384&amp;"|"&amp;COUNTIFS($B$7:$B384,$B384))</f>
        <v/>
      </c>
      <c r="T384" s="3">
        <f>IF($C384="","",UPPER(SUBSTITUTE(SUBSTITUTE(SUBSTITUTE(SUBSTITUTE(SUBSTITUTE(SUBSTITUTE(SUBSTITUTE(SUBSTITUTE(SUBSTITUTE(SUBSTITUTE(SUBSTITUTE(SUBSTITUTE(SUBSTITUTE(SUBSTITUTE(SUBSTITUTE(SUBSTITUTE(SUBSTITUTE(SUBSTITUTE(TRIM($C384),"'",""),"İ","I"),"ı","I"),"i","I"),"Ş","S"),"ş","S"),"Ğ","G"),"ğ","G"),"Ü","U"),"ü","U"),"Ö","O"),"ö","O"),"Ç","C"),"ç","C"),".",""),",","")," ",""),"-","")))</f>
        <v/>
      </c>
    </row>
    <row r="385">
      <c r="A385" s="6" t="n"/>
      <c r="B385" s="113">
        <f>IF($C385="","",IFERROR(INDEX(MUSTERILER!$B$7:$B$106,MATCH($T385,MUSTERILER!$T$7:$T$106,0)),IFERROR(INDEX(MUSTERILER!$B$7:$B$106,MATCH($C385,MUSTERILER!$B$7:$B$106,0)),IFERROR(INDEX(MUSTERILER!$B$7:$B$106,MATCH($T385&amp;"*",MUSTERILER!$T$7:$T$106,0)),"TANIMSIZ MÜŞTERİ"))))</f>
        <v/>
      </c>
      <c r="C385" s="109" t="n"/>
      <c r="D385" s="220" t="n"/>
      <c r="E385" s="220" t="n"/>
      <c r="F385" s="108" t="n"/>
      <c r="G385" s="221" t="n"/>
      <c r="H385" s="108" t="n"/>
      <c r="I385" s="222">
        <f>IF(OR($C385="",$D385="",$G385="",$F385=""),0,$G385*IF($F385="Aylık",MAX(0,(YEAR(MIN(IF($E385="",TODAY(),$E385),TODAY()))-YEAR($D385))*12+MONTH(MIN(IF($E385="",TODAY(),$E385),TODAY()))-MONTH($D385)+IF(MIN(IF($E385="",TODAY(),$E385),TODAY())&gt;=EOMONTH(MIN(IF($E385="",TODAY(),$E385),TODAY()),0),1,0)),MAX(0,INT((MIN(IF($E385="",TODAY(),$E385),TODAY())-($D385+MOD(SISTEM!$F$8-WEEKDAY($D385,2),7)))/7)+1)))</f>
        <v/>
      </c>
      <c r="J385" s="222">
        <f>IF(OR($C385="",$D385="",$G385="",$F385=""),0,$G385*IF($F385="Aylık",MAX(0,(YEAR(MIN(IF($E385="",TODAY()-8,$E385),TODAY()-8))-YEAR($D385))*12+MONTH(MIN(IF($E385="",TODAY()-8,$E385),TODAY()-8))-MONTH($D385)+IF(MIN(IF($E385="",TODAY()-8,$E385),TODAY()-8)&gt;=EOMONTH(MIN(IF($E385="",TODAY()-8,$E385),TODAY()-8),0),1,0)),MAX(0,INT((MIN(IF($E385="",TODAY()-8,$E385),TODAY()-8)-($D385+MOD(SISTEM!$F$8-WEEKDAY($D385,2),7)))/7)+1)))</f>
        <v/>
      </c>
      <c r="K385" s="222">
        <f>IF(OR($C385="",$D385="",$G385="",$F385=""),0,$G385*IF($F385="Aylık",MAX(0,(YEAR(MIN(IF($E385="",TODAY()-15,$E385),TODAY()-15))-YEAR($D385))*12+MONTH(MIN(IF($E385="",TODAY()-15,$E385),TODAY()-15))-MONTH($D385)+IF(MIN(IF($E385="",TODAY()-15,$E385),TODAY()-15)&gt;=EOMONTH(MIN(IF($E385="",TODAY()-15,$E385),TODAY()-15),0),1,0)),MAX(0,INT((MIN(IF($E385="",TODAY()-15,$E385),TODAY()-15)-($D385+MOD(SISTEM!$F$8-WEEKDAY($D385,2),7)))/7)+1)))</f>
        <v/>
      </c>
      <c r="L385" s="222">
        <f>IF(OR($C385="",$D385="",$G385="",$F385=""),0,$G385*IF($F385="Aylık",MAX(0,(YEAR(MIN(IF($E385="",TODAY()-29,$E385),TODAY()-29))-YEAR($D385))*12+MONTH(MIN(IF($E385="",TODAY()-29,$E385),TODAY()-29))-MONTH($D385)+IF(MIN(IF($E385="",TODAY()-29,$E385),TODAY()-29)&gt;=EOMONTH(MIN(IF($E385="",TODAY()-29,$E385),TODAY()-29),0),1,0)),MAX(0,INT((MIN(IF($E385="",TODAY()-29,$E385),TODAY()-29)-($D385+MOD(SISTEM!$F$8-WEEKDAY($D385,2),7)))/7)+1)))</f>
        <v/>
      </c>
      <c r="M385" s="223">
        <f>IF($G385&gt;0,$I385/$G385,0)</f>
        <v/>
      </c>
      <c r="N385" s="113">
        <f>IF($C385="","",IF($B385="TANIMSIZ MÜŞTERİ","TANIMSIZ MÜŞTERİ",IF($F385="","MODEL SEÇİN",IF(OR($D385="",$G385&lt;=0),"EKSİK",IF(AND($E385&lt;&gt;"",$E385&lt;$D385),"TARİH HATASI",IF($H385="Pasif","KAPALI DÖNEM","UYGUN"))))))</f>
        <v/>
      </c>
      <c r="O385" s="224">
        <f>IF(OR($C385="",$D385="",$F385=""),"",IF($F385="Aylık",EOMONTH($D385,0),($D385+MOD(SISTEM!$F$8-WEEKDAY($D385,2),7))))</f>
        <v/>
      </c>
      <c r="P385" s="109" t="n"/>
      <c r="Q385" s="6" t="n"/>
      <c r="R385" s="6" t="n"/>
      <c r="S385" s="3">
        <f>IF($B385="","",$B385&amp;"|"&amp;COUNTIFS($B$7:$B385,$B385))</f>
        <v/>
      </c>
      <c r="T385" s="3">
        <f>IF($C385="","",UPPER(SUBSTITUTE(SUBSTITUTE(SUBSTITUTE(SUBSTITUTE(SUBSTITUTE(SUBSTITUTE(SUBSTITUTE(SUBSTITUTE(SUBSTITUTE(SUBSTITUTE(SUBSTITUTE(SUBSTITUTE(SUBSTITUTE(SUBSTITUTE(SUBSTITUTE(SUBSTITUTE(SUBSTITUTE(SUBSTITUTE(TRIM($C385),"'",""),"İ","I"),"ı","I"),"i","I"),"Ş","S"),"ş","S"),"Ğ","G"),"ğ","G"),"Ü","U"),"ü","U"),"Ö","O"),"ö","O"),"Ç","C"),"ç","C"),".",""),",","")," ",""),"-","")))</f>
        <v/>
      </c>
    </row>
    <row r="386">
      <c r="A386" s="6" t="n"/>
      <c r="B386" s="113">
        <f>IF($C386="","",IFERROR(INDEX(MUSTERILER!$B$7:$B$106,MATCH($T386,MUSTERILER!$T$7:$T$106,0)),IFERROR(INDEX(MUSTERILER!$B$7:$B$106,MATCH($C386,MUSTERILER!$B$7:$B$106,0)),IFERROR(INDEX(MUSTERILER!$B$7:$B$106,MATCH($T386&amp;"*",MUSTERILER!$T$7:$T$106,0)),"TANIMSIZ MÜŞTERİ"))))</f>
        <v/>
      </c>
      <c r="C386" s="109" t="n"/>
      <c r="D386" s="220" t="n"/>
      <c r="E386" s="220" t="n"/>
      <c r="F386" s="108" t="n"/>
      <c r="G386" s="221" t="n"/>
      <c r="H386" s="108" t="n"/>
      <c r="I386" s="222">
        <f>IF(OR($C386="",$D386="",$G386="",$F386=""),0,$G386*IF($F386="Aylık",MAX(0,(YEAR(MIN(IF($E386="",TODAY(),$E386),TODAY()))-YEAR($D386))*12+MONTH(MIN(IF($E386="",TODAY(),$E386),TODAY()))-MONTH($D386)+IF(MIN(IF($E386="",TODAY(),$E386),TODAY())&gt;=EOMONTH(MIN(IF($E386="",TODAY(),$E386),TODAY()),0),1,0)),MAX(0,INT((MIN(IF($E386="",TODAY(),$E386),TODAY())-($D386+MOD(SISTEM!$F$8-WEEKDAY($D386,2),7)))/7)+1)))</f>
        <v/>
      </c>
      <c r="J386" s="222">
        <f>IF(OR($C386="",$D386="",$G386="",$F386=""),0,$G386*IF($F386="Aylık",MAX(0,(YEAR(MIN(IF($E386="",TODAY()-8,$E386),TODAY()-8))-YEAR($D386))*12+MONTH(MIN(IF($E386="",TODAY()-8,$E386),TODAY()-8))-MONTH($D386)+IF(MIN(IF($E386="",TODAY()-8,$E386),TODAY()-8)&gt;=EOMONTH(MIN(IF($E386="",TODAY()-8,$E386),TODAY()-8),0),1,0)),MAX(0,INT((MIN(IF($E386="",TODAY()-8,$E386),TODAY()-8)-($D386+MOD(SISTEM!$F$8-WEEKDAY($D386,2),7)))/7)+1)))</f>
        <v/>
      </c>
      <c r="K386" s="222">
        <f>IF(OR($C386="",$D386="",$G386="",$F386=""),0,$G386*IF($F386="Aylık",MAX(0,(YEAR(MIN(IF($E386="",TODAY()-15,$E386),TODAY()-15))-YEAR($D386))*12+MONTH(MIN(IF($E386="",TODAY()-15,$E386),TODAY()-15))-MONTH($D386)+IF(MIN(IF($E386="",TODAY()-15,$E386),TODAY()-15)&gt;=EOMONTH(MIN(IF($E386="",TODAY()-15,$E386),TODAY()-15),0),1,0)),MAX(0,INT((MIN(IF($E386="",TODAY()-15,$E386),TODAY()-15)-($D386+MOD(SISTEM!$F$8-WEEKDAY($D386,2),7)))/7)+1)))</f>
        <v/>
      </c>
      <c r="L386" s="222">
        <f>IF(OR($C386="",$D386="",$G386="",$F386=""),0,$G386*IF($F386="Aylık",MAX(0,(YEAR(MIN(IF($E386="",TODAY()-29,$E386),TODAY()-29))-YEAR($D386))*12+MONTH(MIN(IF($E386="",TODAY()-29,$E386),TODAY()-29))-MONTH($D386)+IF(MIN(IF($E386="",TODAY()-29,$E386),TODAY()-29)&gt;=EOMONTH(MIN(IF($E386="",TODAY()-29,$E386),TODAY()-29),0),1,0)),MAX(0,INT((MIN(IF($E386="",TODAY()-29,$E386),TODAY()-29)-($D386+MOD(SISTEM!$F$8-WEEKDAY($D386,2),7)))/7)+1)))</f>
        <v/>
      </c>
      <c r="M386" s="223">
        <f>IF($G386&gt;0,$I386/$G386,0)</f>
        <v/>
      </c>
      <c r="N386" s="113">
        <f>IF($C386="","",IF($B386="TANIMSIZ MÜŞTERİ","TANIMSIZ MÜŞTERİ",IF($F386="","MODEL SEÇİN",IF(OR($D386="",$G386&lt;=0),"EKSİK",IF(AND($E386&lt;&gt;"",$E386&lt;$D386),"TARİH HATASI",IF($H386="Pasif","KAPALI DÖNEM","UYGUN"))))))</f>
        <v/>
      </c>
      <c r="O386" s="224">
        <f>IF(OR($C386="",$D386="",$F386=""),"",IF($F386="Aylık",EOMONTH($D386,0),($D386+MOD(SISTEM!$F$8-WEEKDAY($D386,2),7))))</f>
        <v/>
      </c>
      <c r="P386" s="109" t="n"/>
      <c r="Q386" s="6" t="n"/>
      <c r="R386" s="6" t="n"/>
      <c r="S386" s="3">
        <f>IF($B386="","",$B386&amp;"|"&amp;COUNTIFS($B$7:$B386,$B386))</f>
        <v/>
      </c>
      <c r="T386" s="3">
        <f>IF($C386="","",UPPER(SUBSTITUTE(SUBSTITUTE(SUBSTITUTE(SUBSTITUTE(SUBSTITUTE(SUBSTITUTE(SUBSTITUTE(SUBSTITUTE(SUBSTITUTE(SUBSTITUTE(SUBSTITUTE(SUBSTITUTE(SUBSTITUTE(SUBSTITUTE(SUBSTITUTE(SUBSTITUTE(SUBSTITUTE(SUBSTITUTE(TRIM($C386),"'",""),"İ","I"),"ı","I"),"i","I"),"Ş","S"),"ş","S"),"Ğ","G"),"ğ","G"),"Ü","U"),"ü","U"),"Ö","O"),"ö","O"),"Ç","C"),"ç","C"),".",""),",","")," ",""),"-","")))</f>
        <v/>
      </c>
    </row>
    <row r="387">
      <c r="A387" s="6" t="n"/>
      <c r="B387" s="113">
        <f>IF($C387="","",IFERROR(INDEX(MUSTERILER!$B$7:$B$106,MATCH($T387,MUSTERILER!$T$7:$T$106,0)),IFERROR(INDEX(MUSTERILER!$B$7:$B$106,MATCH($C387,MUSTERILER!$B$7:$B$106,0)),IFERROR(INDEX(MUSTERILER!$B$7:$B$106,MATCH($T387&amp;"*",MUSTERILER!$T$7:$T$106,0)),"TANIMSIZ MÜŞTERİ"))))</f>
        <v/>
      </c>
      <c r="C387" s="109" t="n"/>
      <c r="D387" s="220" t="n"/>
      <c r="E387" s="220" t="n"/>
      <c r="F387" s="108" t="n"/>
      <c r="G387" s="221" t="n"/>
      <c r="H387" s="108" t="n"/>
      <c r="I387" s="222">
        <f>IF(OR($C387="",$D387="",$G387="",$F387=""),0,$G387*IF($F387="Aylık",MAX(0,(YEAR(MIN(IF($E387="",TODAY(),$E387),TODAY()))-YEAR($D387))*12+MONTH(MIN(IF($E387="",TODAY(),$E387),TODAY()))-MONTH($D387)+IF(MIN(IF($E387="",TODAY(),$E387),TODAY())&gt;=EOMONTH(MIN(IF($E387="",TODAY(),$E387),TODAY()),0),1,0)),MAX(0,INT((MIN(IF($E387="",TODAY(),$E387),TODAY())-($D387+MOD(SISTEM!$F$8-WEEKDAY($D387,2),7)))/7)+1)))</f>
        <v/>
      </c>
      <c r="J387" s="222">
        <f>IF(OR($C387="",$D387="",$G387="",$F387=""),0,$G387*IF($F387="Aylık",MAX(0,(YEAR(MIN(IF($E387="",TODAY()-8,$E387),TODAY()-8))-YEAR($D387))*12+MONTH(MIN(IF($E387="",TODAY()-8,$E387),TODAY()-8))-MONTH($D387)+IF(MIN(IF($E387="",TODAY()-8,$E387),TODAY()-8)&gt;=EOMONTH(MIN(IF($E387="",TODAY()-8,$E387),TODAY()-8),0),1,0)),MAX(0,INT((MIN(IF($E387="",TODAY()-8,$E387),TODAY()-8)-($D387+MOD(SISTEM!$F$8-WEEKDAY($D387,2),7)))/7)+1)))</f>
        <v/>
      </c>
      <c r="K387" s="222">
        <f>IF(OR($C387="",$D387="",$G387="",$F387=""),0,$G387*IF($F387="Aylık",MAX(0,(YEAR(MIN(IF($E387="",TODAY()-15,$E387),TODAY()-15))-YEAR($D387))*12+MONTH(MIN(IF($E387="",TODAY()-15,$E387),TODAY()-15))-MONTH($D387)+IF(MIN(IF($E387="",TODAY()-15,$E387),TODAY()-15)&gt;=EOMONTH(MIN(IF($E387="",TODAY()-15,$E387),TODAY()-15),0),1,0)),MAX(0,INT((MIN(IF($E387="",TODAY()-15,$E387),TODAY()-15)-($D387+MOD(SISTEM!$F$8-WEEKDAY($D387,2),7)))/7)+1)))</f>
        <v/>
      </c>
      <c r="L387" s="222">
        <f>IF(OR($C387="",$D387="",$G387="",$F387=""),0,$G387*IF($F387="Aylık",MAX(0,(YEAR(MIN(IF($E387="",TODAY()-29,$E387),TODAY()-29))-YEAR($D387))*12+MONTH(MIN(IF($E387="",TODAY()-29,$E387),TODAY()-29))-MONTH($D387)+IF(MIN(IF($E387="",TODAY()-29,$E387),TODAY()-29)&gt;=EOMONTH(MIN(IF($E387="",TODAY()-29,$E387),TODAY()-29),0),1,0)),MAX(0,INT((MIN(IF($E387="",TODAY()-29,$E387),TODAY()-29)-($D387+MOD(SISTEM!$F$8-WEEKDAY($D387,2),7)))/7)+1)))</f>
        <v/>
      </c>
      <c r="M387" s="223">
        <f>IF($G387&gt;0,$I387/$G387,0)</f>
        <v/>
      </c>
      <c r="N387" s="113">
        <f>IF($C387="","",IF($B387="TANIMSIZ MÜŞTERİ","TANIMSIZ MÜŞTERİ",IF($F387="","MODEL SEÇİN",IF(OR($D387="",$G387&lt;=0),"EKSİK",IF(AND($E387&lt;&gt;"",$E387&lt;$D387),"TARİH HATASI",IF($H387="Pasif","KAPALI DÖNEM","UYGUN"))))))</f>
        <v/>
      </c>
      <c r="O387" s="224">
        <f>IF(OR($C387="",$D387="",$F387=""),"",IF($F387="Aylık",EOMONTH($D387,0),($D387+MOD(SISTEM!$F$8-WEEKDAY($D387,2),7))))</f>
        <v/>
      </c>
      <c r="P387" s="109" t="n"/>
      <c r="Q387" s="6" t="n"/>
      <c r="R387" s="6" t="n"/>
      <c r="S387" s="3">
        <f>IF($B387="","",$B387&amp;"|"&amp;COUNTIFS($B$7:$B387,$B387))</f>
        <v/>
      </c>
      <c r="T387" s="3">
        <f>IF($C387="","",UPPER(SUBSTITUTE(SUBSTITUTE(SUBSTITUTE(SUBSTITUTE(SUBSTITUTE(SUBSTITUTE(SUBSTITUTE(SUBSTITUTE(SUBSTITUTE(SUBSTITUTE(SUBSTITUTE(SUBSTITUTE(SUBSTITUTE(SUBSTITUTE(SUBSTITUTE(SUBSTITUTE(SUBSTITUTE(SUBSTITUTE(TRIM($C387),"'",""),"İ","I"),"ı","I"),"i","I"),"Ş","S"),"ş","S"),"Ğ","G"),"ğ","G"),"Ü","U"),"ü","U"),"Ö","O"),"ö","O"),"Ç","C"),"ç","C"),".",""),",","")," ",""),"-","")))</f>
        <v/>
      </c>
    </row>
    <row r="388">
      <c r="A388" s="6" t="n"/>
      <c r="B388" s="113">
        <f>IF($C388="","",IFERROR(INDEX(MUSTERILER!$B$7:$B$106,MATCH($T388,MUSTERILER!$T$7:$T$106,0)),IFERROR(INDEX(MUSTERILER!$B$7:$B$106,MATCH($C388,MUSTERILER!$B$7:$B$106,0)),IFERROR(INDEX(MUSTERILER!$B$7:$B$106,MATCH($T388&amp;"*",MUSTERILER!$T$7:$T$106,0)),"TANIMSIZ MÜŞTERİ"))))</f>
        <v/>
      </c>
      <c r="C388" s="109" t="n"/>
      <c r="D388" s="220" t="n"/>
      <c r="E388" s="220" t="n"/>
      <c r="F388" s="108" t="n"/>
      <c r="G388" s="221" t="n"/>
      <c r="H388" s="108" t="n"/>
      <c r="I388" s="222">
        <f>IF(OR($C388="",$D388="",$G388="",$F388=""),0,$G388*IF($F388="Aylık",MAX(0,(YEAR(MIN(IF($E388="",TODAY(),$E388),TODAY()))-YEAR($D388))*12+MONTH(MIN(IF($E388="",TODAY(),$E388),TODAY()))-MONTH($D388)+IF(MIN(IF($E388="",TODAY(),$E388),TODAY())&gt;=EOMONTH(MIN(IF($E388="",TODAY(),$E388),TODAY()),0),1,0)),MAX(0,INT((MIN(IF($E388="",TODAY(),$E388),TODAY())-($D388+MOD(SISTEM!$F$8-WEEKDAY($D388,2),7)))/7)+1)))</f>
        <v/>
      </c>
      <c r="J388" s="222">
        <f>IF(OR($C388="",$D388="",$G388="",$F388=""),0,$G388*IF($F388="Aylık",MAX(0,(YEAR(MIN(IF($E388="",TODAY()-8,$E388),TODAY()-8))-YEAR($D388))*12+MONTH(MIN(IF($E388="",TODAY()-8,$E388),TODAY()-8))-MONTH($D388)+IF(MIN(IF($E388="",TODAY()-8,$E388),TODAY()-8)&gt;=EOMONTH(MIN(IF($E388="",TODAY()-8,$E388),TODAY()-8),0),1,0)),MAX(0,INT((MIN(IF($E388="",TODAY()-8,$E388),TODAY()-8)-($D388+MOD(SISTEM!$F$8-WEEKDAY($D388,2),7)))/7)+1)))</f>
        <v/>
      </c>
      <c r="K388" s="222">
        <f>IF(OR($C388="",$D388="",$G388="",$F388=""),0,$G388*IF($F388="Aylık",MAX(0,(YEAR(MIN(IF($E388="",TODAY()-15,$E388),TODAY()-15))-YEAR($D388))*12+MONTH(MIN(IF($E388="",TODAY()-15,$E388),TODAY()-15))-MONTH($D388)+IF(MIN(IF($E388="",TODAY()-15,$E388),TODAY()-15)&gt;=EOMONTH(MIN(IF($E388="",TODAY()-15,$E388),TODAY()-15),0),1,0)),MAX(0,INT((MIN(IF($E388="",TODAY()-15,$E388),TODAY()-15)-($D388+MOD(SISTEM!$F$8-WEEKDAY($D388,2),7)))/7)+1)))</f>
        <v/>
      </c>
      <c r="L388" s="222">
        <f>IF(OR($C388="",$D388="",$G388="",$F388=""),0,$G388*IF($F388="Aylık",MAX(0,(YEAR(MIN(IF($E388="",TODAY()-29,$E388),TODAY()-29))-YEAR($D388))*12+MONTH(MIN(IF($E388="",TODAY()-29,$E388),TODAY()-29))-MONTH($D388)+IF(MIN(IF($E388="",TODAY()-29,$E388),TODAY()-29)&gt;=EOMONTH(MIN(IF($E388="",TODAY()-29,$E388),TODAY()-29),0),1,0)),MAX(0,INT((MIN(IF($E388="",TODAY()-29,$E388),TODAY()-29)-($D388+MOD(SISTEM!$F$8-WEEKDAY($D388,2),7)))/7)+1)))</f>
        <v/>
      </c>
      <c r="M388" s="223">
        <f>IF($G388&gt;0,$I388/$G388,0)</f>
        <v/>
      </c>
      <c r="N388" s="113">
        <f>IF($C388="","",IF($B388="TANIMSIZ MÜŞTERİ","TANIMSIZ MÜŞTERİ",IF($F388="","MODEL SEÇİN",IF(OR($D388="",$G388&lt;=0),"EKSİK",IF(AND($E388&lt;&gt;"",$E388&lt;$D388),"TARİH HATASI",IF($H388="Pasif","KAPALI DÖNEM","UYGUN"))))))</f>
        <v/>
      </c>
      <c r="O388" s="224">
        <f>IF(OR($C388="",$D388="",$F388=""),"",IF($F388="Aylık",EOMONTH($D388,0),($D388+MOD(SISTEM!$F$8-WEEKDAY($D388,2),7))))</f>
        <v/>
      </c>
      <c r="P388" s="109" t="n"/>
      <c r="Q388" s="6" t="n"/>
      <c r="R388" s="6" t="n"/>
      <c r="S388" s="3">
        <f>IF($B388="","",$B388&amp;"|"&amp;COUNTIFS($B$7:$B388,$B388))</f>
        <v/>
      </c>
      <c r="T388" s="3">
        <f>IF($C388="","",UPPER(SUBSTITUTE(SUBSTITUTE(SUBSTITUTE(SUBSTITUTE(SUBSTITUTE(SUBSTITUTE(SUBSTITUTE(SUBSTITUTE(SUBSTITUTE(SUBSTITUTE(SUBSTITUTE(SUBSTITUTE(SUBSTITUTE(SUBSTITUTE(SUBSTITUTE(SUBSTITUTE(SUBSTITUTE(SUBSTITUTE(TRIM($C388),"'",""),"İ","I"),"ı","I"),"i","I"),"Ş","S"),"ş","S"),"Ğ","G"),"ğ","G"),"Ü","U"),"ü","U"),"Ö","O"),"ö","O"),"Ç","C"),"ç","C"),".",""),",","")," ",""),"-","")))</f>
        <v/>
      </c>
    </row>
    <row r="389">
      <c r="A389" s="6" t="n"/>
      <c r="B389" s="113">
        <f>IF($C389="","",IFERROR(INDEX(MUSTERILER!$B$7:$B$106,MATCH($T389,MUSTERILER!$T$7:$T$106,0)),IFERROR(INDEX(MUSTERILER!$B$7:$B$106,MATCH($C389,MUSTERILER!$B$7:$B$106,0)),IFERROR(INDEX(MUSTERILER!$B$7:$B$106,MATCH($T389&amp;"*",MUSTERILER!$T$7:$T$106,0)),"TANIMSIZ MÜŞTERİ"))))</f>
        <v/>
      </c>
      <c r="C389" s="109" t="n"/>
      <c r="D389" s="220" t="n"/>
      <c r="E389" s="220" t="n"/>
      <c r="F389" s="108" t="n"/>
      <c r="G389" s="221" t="n"/>
      <c r="H389" s="108" t="n"/>
      <c r="I389" s="222">
        <f>IF(OR($C389="",$D389="",$G389="",$F389=""),0,$G389*IF($F389="Aylık",MAX(0,(YEAR(MIN(IF($E389="",TODAY(),$E389),TODAY()))-YEAR($D389))*12+MONTH(MIN(IF($E389="",TODAY(),$E389),TODAY()))-MONTH($D389)+IF(MIN(IF($E389="",TODAY(),$E389),TODAY())&gt;=EOMONTH(MIN(IF($E389="",TODAY(),$E389),TODAY()),0),1,0)),MAX(0,INT((MIN(IF($E389="",TODAY(),$E389),TODAY())-($D389+MOD(SISTEM!$F$8-WEEKDAY($D389,2),7)))/7)+1)))</f>
        <v/>
      </c>
      <c r="J389" s="222">
        <f>IF(OR($C389="",$D389="",$G389="",$F389=""),0,$G389*IF($F389="Aylık",MAX(0,(YEAR(MIN(IF($E389="",TODAY()-8,$E389),TODAY()-8))-YEAR($D389))*12+MONTH(MIN(IF($E389="",TODAY()-8,$E389),TODAY()-8))-MONTH($D389)+IF(MIN(IF($E389="",TODAY()-8,$E389),TODAY()-8)&gt;=EOMONTH(MIN(IF($E389="",TODAY()-8,$E389),TODAY()-8),0),1,0)),MAX(0,INT((MIN(IF($E389="",TODAY()-8,$E389),TODAY()-8)-($D389+MOD(SISTEM!$F$8-WEEKDAY($D389,2),7)))/7)+1)))</f>
        <v/>
      </c>
      <c r="K389" s="222">
        <f>IF(OR($C389="",$D389="",$G389="",$F389=""),0,$G389*IF($F389="Aylık",MAX(0,(YEAR(MIN(IF($E389="",TODAY()-15,$E389),TODAY()-15))-YEAR($D389))*12+MONTH(MIN(IF($E389="",TODAY()-15,$E389),TODAY()-15))-MONTH($D389)+IF(MIN(IF($E389="",TODAY()-15,$E389),TODAY()-15)&gt;=EOMONTH(MIN(IF($E389="",TODAY()-15,$E389),TODAY()-15),0),1,0)),MAX(0,INT((MIN(IF($E389="",TODAY()-15,$E389),TODAY()-15)-($D389+MOD(SISTEM!$F$8-WEEKDAY($D389,2),7)))/7)+1)))</f>
        <v/>
      </c>
      <c r="L389" s="222">
        <f>IF(OR($C389="",$D389="",$G389="",$F389=""),0,$G389*IF($F389="Aylık",MAX(0,(YEAR(MIN(IF($E389="",TODAY()-29,$E389),TODAY()-29))-YEAR($D389))*12+MONTH(MIN(IF($E389="",TODAY()-29,$E389),TODAY()-29))-MONTH($D389)+IF(MIN(IF($E389="",TODAY()-29,$E389),TODAY()-29)&gt;=EOMONTH(MIN(IF($E389="",TODAY()-29,$E389),TODAY()-29),0),1,0)),MAX(0,INT((MIN(IF($E389="",TODAY()-29,$E389),TODAY()-29)-($D389+MOD(SISTEM!$F$8-WEEKDAY($D389,2),7)))/7)+1)))</f>
        <v/>
      </c>
      <c r="M389" s="223">
        <f>IF($G389&gt;0,$I389/$G389,0)</f>
        <v/>
      </c>
      <c r="N389" s="113">
        <f>IF($C389="","",IF($B389="TANIMSIZ MÜŞTERİ","TANIMSIZ MÜŞTERİ",IF($F389="","MODEL SEÇİN",IF(OR($D389="",$G389&lt;=0),"EKSİK",IF(AND($E389&lt;&gt;"",$E389&lt;$D389),"TARİH HATASI",IF($H389="Pasif","KAPALI DÖNEM","UYGUN"))))))</f>
        <v/>
      </c>
      <c r="O389" s="224">
        <f>IF(OR($C389="",$D389="",$F389=""),"",IF($F389="Aylık",EOMONTH($D389,0),($D389+MOD(SISTEM!$F$8-WEEKDAY($D389,2),7))))</f>
        <v/>
      </c>
      <c r="P389" s="109" t="n"/>
      <c r="Q389" s="6" t="n"/>
      <c r="R389" s="6" t="n"/>
      <c r="S389" s="3">
        <f>IF($B389="","",$B389&amp;"|"&amp;COUNTIFS($B$7:$B389,$B389))</f>
        <v/>
      </c>
      <c r="T389" s="3">
        <f>IF($C389="","",UPPER(SUBSTITUTE(SUBSTITUTE(SUBSTITUTE(SUBSTITUTE(SUBSTITUTE(SUBSTITUTE(SUBSTITUTE(SUBSTITUTE(SUBSTITUTE(SUBSTITUTE(SUBSTITUTE(SUBSTITUTE(SUBSTITUTE(SUBSTITUTE(SUBSTITUTE(SUBSTITUTE(SUBSTITUTE(SUBSTITUTE(TRIM($C389),"'",""),"İ","I"),"ı","I"),"i","I"),"Ş","S"),"ş","S"),"Ğ","G"),"ğ","G"),"Ü","U"),"ü","U"),"Ö","O"),"ö","O"),"Ç","C"),"ç","C"),".",""),",","")," ",""),"-","")))</f>
        <v/>
      </c>
    </row>
    <row r="390">
      <c r="A390" s="6" t="n"/>
      <c r="B390" s="113">
        <f>IF($C390="","",IFERROR(INDEX(MUSTERILER!$B$7:$B$106,MATCH($T390,MUSTERILER!$T$7:$T$106,0)),IFERROR(INDEX(MUSTERILER!$B$7:$B$106,MATCH($C390,MUSTERILER!$B$7:$B$106,0)),IFERROR(INDEX(MUSTERILER!$B$7:$B$106,MATCH($T390&amp;"*",MUSTERILER!$T$7:$T$106,0)),"TANIMSIZ MÜŞTERİ"))))</f>
        <v/>
      </c>
      <c r="C390" s="109" t="n"/>
      <c r="D390" s="220" t="n"/>
      <c r="E390" s="220" t="n"/>
      <c r="F390" s="108" t="n"/>
      <c r="G390" s="221" t="n"/>
      <c r="H390" s="108" t="n"/>
      <c r="I390" s="222">
        <f>IF(OR($C390="",$D390="",$G390="",$F390=""),0,$G390*IF($F390="Aylık",MAX(0,(YEAR(MIN(IF($E390="",TODAY(),$E390),TODAY()))-YEAR($D390))*12+MONTH(MIN(IF($E390="",TODAY(),$E390),TODAY()))-MONTH($D390)+IF(MIN(IF($E390="",TODAY(),$E390),TODAY())&gt;=EOMONTH(MIN(IF($E390="",TODAY(),$E390),TODAY()),0),1,0)),MAX(0,INT((MIN(IF($E390="",TODAY(),$E390),TODAY())-($D390+MOD(SISTEM!$F$8-WEEKDAY($D390,2),7)))/7)+1)))</f>
        <v/>
      </c>
      <c r="J390" s="222">
        <f>IF(OR($C390="",$D390="",$G390="",$F390=""),0,$G390*IF($F390="Aylık",MAX(0,(YEAR(MIN(IF($E390="",TODAY()-8,$E390),TODAY()-8))-YEAR($D390))*12+MONTH(MIN(IF($E390="",TODAY()-8,$E390),TODAY()-8))-MONTH($D390)+IF(MIN(IF($E390="",TODAY()-8,$E390),TODAY()-8)&gt;=EOMONTH(MIN(IF($E390="",TODAY()-8,$E390),TODAY()-8),0),1,0)),MAX(0,INT((MIN(IF($E390="",TODAY()-8,$E390),TODAY()-8)-($D390+MOD(SISTEM!$F$8-WEEKDAY($D390,2),7)))/7)+1)))</f>
        <v/>
      </c>
      <c r="K390" s="222">
        <f>IF(OR($C390="",$D390="",$G390="",$F390=""),0,$G390*IF($F390="Aylık",MAX(0,(YEAR(MIN(IF($E390="",TODAY()-15,$E390),TODAY()-15))-YEAR($D390))*12+MONTH(MIN(IF($E390="",TODAY()-15,$E390),TODAY()-15))-MONTH($D390)+IF(MIN(IF($E390="",TODAY()-15,$E390),TODAY()-15)&gt;=EOMONTH(MIN(IF($E390="",TODAY()-15,$E390),TODAY()-15),0),1,0)),MAX(0,INT((MIN(IF($E390="",TODAY()-15,$E390),TODAY()-15)-($D390+MOD(SISTEM!$F$8-WEEKDAY($D390,2),7)))/7)+1)))</f>
        <v/>
      </c>
      <c r="L390" s="222">
        <f>IF(OR($C390="",$D390="",$G390="",$F390=""),0,$G390*IF($F390="Aylık",MAX(0,(YEAR(MIN(IF($E390="",TODAY()-29,$E390),TODAY()-29))-YEAR($D390))*12+MONTH(MIN(IF($E390="",TODAY()-29,$E390),TODAY()-29))-MONTH($D390)+IF(MIN(IF($E390="",TODAY()-29,$E390),TODAY()-29)&gt;=EOMONTH(MIN(IF($E390="",TODAY()-29,$E390),TODAY()-29),0),1,0)),MAX(0,INT((MIN(IF($E390="",TODAY()-29,$E390),TODAY()-29)-($D390+MOD(SISTEM!$F$8-WEEKDAY($D390,2),7)))/7)+1)))</f>
        <v/>
      </c>
      <c r="M390" s="223">
        <f>IF($G390&gt;0,$I390/$G390,0)</f>
        <v/>
      </c>
      <c r="N390" s="113">
        <f>IF($C390="","",IF($B390="TANIMSIZ MÜŞTERİ","TANIMSIZ MÜŞTERİ",IF($F390="","MODEL SEÇİN",IF(OR($D390="",$G390&lt;=0),"EKSİK",IF(AND($E390&lt;&gt;"",$E390&lt;$D390),"TARİH HATASI",IF($H390="Pasif","KAPALI DÖNEM","UYGUN"))))))</f>
        <v/>
      </c>
      <c r="O390" s="224">
        <f>IF(OR($C390="",$D390="",$F390=""),"",IF($F390="Aylık",EOMONTH($D390,0),($D390+MOD(SISTEM!$F$8-WEEKDAY($D390,2),7))))</f>
        <v/>
      </c>
      <c r="P390" s="109" t="n"/>
      <c r="Q390" s="6" t="n"/>
      <c r="R390" s="6" t="n"/>
      <c r="S390" s="3">
        <f>IF($B390="","",$B390&amp;"|"&amp;COUNTIFS($B$7:$B390,$B390))</f>
        <v/>
      </c>
      <c r="T390" s="3">
        <f>IF($C390="","",UPPER(SUBSTITUTE(SUBSTITUTE(SUBSTITUTE(SUBSTITUTE(SUBSTITUTE(SUBSTITUTE(SUBSTITUTE(SUBSTITUTE(SUBSTITUTE(SUBSTITUTE(SUBSTITUTE(SUBSTITUTE(SUBSTITUTE(SUBSTITUTE(SUBSTITUTE(SUBSTITUTE(SUBSTITUTE(SUBSTITUTE(TRIM($C390),"'",""),"İ","I"),"ı","I"),"i","I"),"Ş","S"),"ş","S"),"Ğ","G"),"ğ","G"),"Ü","U"),"ü","U"),"Ö","O"),"ö","O"),"Ç","C"),"ç","C"),".",""),",","")," ",""),"-","")))</f>
        <v/>
      </c>
    </row>
    <row r="391">
      <c r="A391" s="6" t="n"/>
      <c r="B391" s="113">
        <f>IF($C391="","",IFERROR(INDEX(MUSTERILER!$B$7:$B$106,MATCH($T391,MUSTERILER!$T$7:$T$106,0)),IFERROR(INDEX(MUSTERILER!$B$7:$B$106,MATCH($C391,MUSTERILER!$B$7:$B$106,0)),IFERROR(INDEX(MUSTERILER!$B$7:$B$106,MATCH($T391&amp;"*",MUSTERILER!$T$7:$T$106,0)),"TANIMSIZ MÜŞTERİ"))))</f>
        <v/>
      </c>
      <c r="C391" s="109" t="n"/>
      <c r="D391" s="220" t="n"/>
      <c r="E391" s="220" t="n"/>
      <c r="F391" s="108" t="n"/>
      <c r="G391" s="221" t="n"/>
      <c r="H391" s="108" t="n"/>
      <c r="I391" s="222">
        <f>IF(OR($C391="",$D391="",$G391="",$F391=""),0,$G391*IF($F391="Aylık",MAX(0,(YEAR(MIN(IF($E391="",TODAY(),$E391),TODAY()))-YEAR($D391))*12+MONTH(MIN(IF($E391="",TODAY(),$E391),TODAY()))-MONTH($D391)+IF(MIN(IF($E391="",TODAY(),$E391),TODAY())&gt;=EOMONTH(MIN(IF($E391="",TODAY(),$E391),TODAY()),0),1,0)),MAX(0,INT((MIN(IF($E391="",TODAY(),$E391),TODAY())-($D391+MOD(SISTEM!$F$8-WEEKDAY($D391,2),7)))/7)+1)))</f>
        <v/>
      </c>
      <c r="J391" s="222">
        <f>IF(OR($C391="",$D391="",$G391="",$F391=""),0,$G391*IF($F391="Aylık",MAX(0,(YEAR(MIN(IF($E391="",TODAY()-8,$E391),TODAY()-8))-YEAR($D391))*12+MONTH(MIN(IF($E391="",TODAY()-8,$E391),TODAY()-8))-MONTH($D391)+IF(MIN(IF($E391="",TODAY()-8,$E391),TODAY()-8)&gt;=EOMONTH(MIN(IF($E391="",TODAY()-8,$E391),TODAY()-8),0),1,0)),MAX(0,INT((MIN(IF($E391="",TODAY()-8,$E391),TODAY()-8)-($D391+MOD(SISTEM!$F$8-WEEKDAY($D391,2),7)))/7)+1)))</f>
        <v/>
      </c>
      <c r="K391" s="222">
        <f>IF(OR($C391="",$D391="",$G391="",$F391=""),0,$G391*IF($F391="Aylık",MAX(0,(YEAR(MIN(IF($E391="",TODAY()-15,$E391),TODAY()-15))-YEAR($D391))*12+MONTH(MIN(IF($E391="",TODAY()-15,$E391),TODAY()-15))-MONTH($D391)+IF(MIN(IF($E391="",TODAY()-15,$E391),TODAY()-15)&gt;=EOMONTH(MIN(IF($E391="",TODAY()-15,$E391),TODAY()-15),0),1,0)),MAX(0,INT((MIN(IF($E391="",TODAY()-15,$E391),TODAY()-15)-($D391+MOD(SISTEM!$F$8-WEEKDAY($D391,2),7)))/7)+1)))</f>
        <v/>
      </c>
      <c r="L391" s="222">
        <f>IF(OR($C391="",$D391="",$G391="",$F391=""),0,$G391*IF($F391="Aylık",MAX(0,(YEAR(MIN(IF($E391="",TODAY()-29,$E391),TODAY()-29))-YEAR($D391))*12+MONTH(MIN(IF($E391="",TODAY()-29,$E391),TODAY()-29))-MONTH($D391)+IF(MIN(IF($E391="",TODAY()-29,$E391),TODAY()-29)&gt;=EOMONTH(MIN(IF($E391="",TODAY()-29,$E391),TODAY()-29),0),1,0)),MAX(0,INT((MIN(IF($E391="",TODAY()-29,$E391),TODAY()-29)-($D391+MOD(SISTEM!$F$8-WEEKDAY($D391,2),7)))/7)+1)))</f>
        <v/>
      </c>
      <c r="M391" s="223">
        <f>IF($G391&gt;0,$I391/$G391,0)</f>
        <v/>
      </c>
      <c r="N391" s="113">
        <f>IF($C391="","",IF($B391="TANIMSIZ MÜŞTERİ","TANIMSIZ MÜŞTERİ",IF($F391="","MODEL SEÇİN",IF(OR($D391="",$G391&lt;=0),"EKSİK",IF(AND($E391&lt;&gt;"",$E391&lt;$D391),"TARİH HATASI",IF($H391="Pasif","KAPALI DÖNEM","UYGUN"))))))</f>
        <v/>
      </c>
      <c r="O391" s="224">
        <f>IF(OR($C391="",$D391="",$F391=""),"",IF($F391="Aylık",EOMONTH($D391,0),($D391+MOD(SISTEM!$F$8-WEEKDAY($D391,2),7))))</f>
        <v/>
      </c>
      <c r="P391" s="109" t="n"/>
      <c r="Q391" s="6" t="n"/>
      <c r="R391" s="6" t="n"/>
      <c r="S391" s="3">
        <f>IF($B391="","",$B391&amp;"|"&amp;COUNTIFS($B$7:$B391,$B391))</f>
        <v/>
      </c>
      <c r="T391" s="3">
        <f>IF($C391="","",UPPER(SUBSTITUTE(SUBSTITUTE(SUBSTITUTE(SUBSTITUTE(SUBSTITUTE(SUBSTITUTE(SUBSTITUTE(SUBSTITUTE(SUBSTITUTE(SUBSTITUTE(SUBSTITUTE(SUBSTITUTE(SUBSTITUTE(SUBSTITUTE(SUBSTITUTE(SUBSTITUTE(SUBSTITUTE(SUBSTITUTE(TRIM($C391),"'",""),"İ","I"),"ı","I"),"i","I"),"Ş","S"),"ş","S"),"Ğ","G"),"ğ","G"),"Ü","U"),"ü","U"),"Ö","O"),"ö","O"),"Ç","C"),"ç","C"),".",""),",","")," ",""),"-","")))</f>
        <v/>
      </c>
    </row>
    <row r="392">
      <c r="A392" s="6" t="n"/>
      <c r="B392" s="113">
        <f>IF($C392="","",IFERROR(INDEX(MUSTERILER!$B$7:$B$106,MATCH($T392,MUSTERILER!$T$7:$T$106,0)),IFERROR(INDEX(MUSTERILER!$B$7:$B$106,MATCH($C392,MUSTERILER!$B$7:$B$106,0)),IFERROR(INDEX(MUSTERILER!$B$7:$B$106,MATCH($T392&amp;"*",MUSTERILER!$T$7:$T$106,0)),"TANIMSIZ MÜŞTERİ"))))</f>
        <v/>
      </c>
      <c r="C392" s="109" t="n"/>
      <c r="D392" s="220" t="n"/>
      <c r="E392" s="220" t="n"/>
      <c r="F392" s="108" t="n"/>
      <c r="G392" s="221" t="n"/>
      <c r="H392" s="108" t="n"/>
      <c r="I392" s="222">
        <f>IF(OR($C392="",$D392="",$G392="",$F392=""),0,$G392*IF($F392="Aylık",MAX(0,(YEAR(MIN(IF($E392="",TODAY(),$E392),TODAY()))-YEAR($D392))*12+MONTH(MIN(IF($E392="",TODAY(),$E392),TODAY()))-MONTH($D392)+IF(MIN(IF($E392="",TODAY(),$E392),TODAY())&gt;=EOMONTH(MIN(IF($E392="",TODAY(),$E392),TODAY()),0),1,0)),MAX(0,INT((MIN(IF($E392="",TODAY(),$E392),TODAY())-($D392+MOD(SISTEM!$F$8-WEEKDAY($D392,2),7)))/7)+1)))</f>
        <v/>
      </c>
      <c r="J392" s="222">
        <f>IF(OR($C392="",$D392="",$G392="",$F392=""),0,$G392*IF($F392="Aylık",MAX(0,(YEAR(MIN(IF($E392="",TODAY()-8,$E392),TODAY()-8))-YEAR($D392))*12+MONTH(MIN(IF($E392="",TODAY()-8,$E392),TODAY()-8))-MONTH($D392)+IF(MIN(IF($E392="",TODAY()-8,$E392),TODAY()-8)&gt;=EOMONTH(MIN(IF($E392="",TODAY()-8,$E392),TODAY()-8),0),1,0)),MAX(0,INT((MIN(IF($E392="",TODAY()-8,$E392),TODAY()-8)-($D392+MOD(SISTEM!$F$8-WEEKDAY($D392,2),7)))/7)+1)))</f>
        <v/>
      </c>
      <c r="K392" s="222">
        <f>IF(OR($C392="",$D392="",$G392="",$F392=""),0,$G392*IF($F392="Aylık",MAX(0,(YEAR(MIN(IF($E392="",TODAY()-15,$E392),TODAY()-15))-YEAR($D392))*12+MONTH(MIN(IF($E392="",TODAY()-15,$E392),TODAY()-15))-MONTH($D392)+IF(MIN(IF($E392="",TODAY()-15,$E392),TODAY()-15)&gt;=EOMONTH(MIN(IF($E392="",TODAY()-15,$E392),TODAY()-15),0),1,0)),MAX(0,INT((MIN(IF($E392="",TODAY()-15,$E392),TODAY()-15)-($D392+MOD(SISTEM!$F$8-WEEKDAY($D392,2),7)))/7)+1)))</f>
        <v/>
      </c>
      <c r="L392" s="222">
        <f>IF(OR($C392="",$D392="",$G392="",$F392=""),0,$G392*IF($F392="Aylık",MAX(0,(YEAR(MIN(IF($E392="",TODAY()-29,$E392),TODAY()-29))-YEAR($D392))*12+MONTH(MIN(IF($E392="",TODAY()-29,$E392),TODAY()-29))-MONTH($D392)+IF(MIN(IF($E392="",TODAY()-29,$E392),TODAY()-29)&gt;=EOMONTH(MIN(IF($E392="",TODAY()-29,$E392),TODAY()-29),0),1,0)),MAX(0,INT((MIN(IF($E392="",TODAY()-29,$E392),TODAY()-29)-($D392+MOD(SISTEM!$F$8-WEEKDAY($D392,2),7)))/7)+1)))</f>
        <v/>
      </c>
      <c r="M392" s="223">
        <f>IF($G392&gt;0,$I392/$G392,0)</f>
        <v/>
      </c>
      <c r="N392" s="113">
        <f>IF($C392="","",IF($B392="TANIMSIZ MÜŞTERİ","TANIMSIZ MÜŞTERİ",IF($F392="","MODEL SEÇİN",IF(OR($D392="",$G392&lt;=0),"EKSİK",IF(AND($E392&lt;&gt;"",$E392&lt;$D392),"TARİH HATASI",IF($H392="Pasif","KAPALI DÖNEM","UYGUN"))))))</f>
        <v/>
      </c>
      <c r="O392" s="224">
        <f>IF(OR($C392="",$D392="",$F392=""),"",IF($F392="Aylık",EOMONTH($D392,0),($D392+MOD(SISTEM!$F$8-WEEKDAY($D392,2),7))))</f>
        <v/>
      </c>
      <c r="P392" s="109" t="n"/>
      <c r="Q392" s="6" t="n"/>
      <c r="R392" s="6" t="n"/>
      <c r="S392" s="3">
        <f>IF($B392="","",$B392&amp;"|"&amp;COUNTIFS($B$7:$B392,$B392))</f>
        <v/>
      </c>
      <c r="T392" s="3">
        <f>IF($C392="","",UPPER(SUBSTITUTE(SUBSTITUTE(SUBSTITUTE(SUBSTITUTE(SUBSTITUTE(SUBSTITUTE(SUBSTITUTE(SUBSTITUTE(SUBSTITUTE(SUBSTITUTE(SUBSTITUTE(SUBSTITUTE(SUBSTITUTE(SUBSTITUTE(SUBSTITUTE(SUBSTITUTE(SUBSTITUTE(SUBSTITUTE(TRIM($C392),"'",""),"İ","I"),"ı","I"),"i","I"),"Ş","S"),"ş","S"),"Ğ","G"),"ğ","G"),"Ü","U"),"ü","U"),"Ö","O"),"ö","O"),"Ç","C"),"ç","C"),".",""),",","")," ",""),"-","")))</f>
        <v/>
      </c>
    </row>
    <row r="393">
      <c r="A393" s="6" t="n"/>
      <c r="B393" s="113">
        <f>IF($C393="","",IFERROR(INDEX(MUSTERILER!$B$7:$B$106,MATCH($T393,MUSTERILER!$T$7:$T$106,0)),IFERROR(INDEX(MUSTERILER!$B$7:$B$106,MATCH($C393,MUSTERILER!$B$7:$B$106,0)),IFERROR(INDEX(MUSTERILER!$B$7:$B$106,MATCH($T393&amp;"*",MUSTERILER!$T$7:$T$106,0)),"TANIMSIZ MÜŞTERİ"))))</f>
        <v/>
      </c>
      <c r="C393" s="109" t="n"/>
      <c r="D393" s="220" t="n"/>
      <c r="E393" s="220" t="n"/>
      <c r="F393" s="108" t="n"/>
      <c r="G393" s="221" t="n"/>
      <c r="H393" s="108" t="n"/>
      <c r="I393" s="222">
        <f>IF(OR($C393="",$D393="",$G393="",$F393=""),0,$G393*IF($F393="Aylık",MAX(0,(YEAR(MIN(IF($E393="",TODAY(),$E393),TODAY()))-YEAR($D393))*12+MONTH(MIN(IF($E393="",TODAY(),$E393),TODAY()))-MONTH($D393)+IF(MIN(IF($E393="",TODAY(),$E393),TODAY())&gt;=EOMONTH(MIN(IF($E393="",TODAY(),$E393),TODAY()),0),1,0)),MAX(0,INT((MIN(IF($E393="",TODAY(),$E393),TODAY())-($D393+MOD(SISTEM!$F$8-WEEKDAY($D393,2),7)))/7)+1)))</f>
        <v/>
      </c>
      <c r="J393" s="222">
        <f>IF(OR($C393="",$D393="",$G393="",$F393=""),0,$G393*IF($F393="Aylık",MAX(0,(YEAR(MIN(IF($E393="",TODAY()-8,$E393),TODAY()-8))-YEAR($D393))*12+MONTH(MIN(IF($E393="",TODAY()-8,$E393),TODAY()-8))-MONTH($D393)+IF(MIN(IF($E393="",TODAY()-8,$E393),TODAY()-8)&gt;=EOMONTH(MIN(IF($E393="",TODAY()-8,$E393),TODAY()-8),0),1,0)),MAX(0,INT((MIN(IF($E393="",TODAY()-8,$E393),TODAY()-8)-($D393+MOD(SISTEM!$F$8-WEEKDAY($D393,2),7)))/7)+1)))</f>
        <v/>
      </c>
      <c r="K393" s="222">
        <f>IF(OR($C393="",$D393="",$G393="",$F393=""),0,$G393*IF($F393="Aylık",MAX(0,(YEAR(MIN(IF($E393="",TODAY()-15,$E393),TODAY()-15))-YEAR($D393))*12+MONTH(MIN(IF($E393="",TODAY()-15,$E393),TODAY()-15))-MONTH($D393)+IF(MIN(IF($E393="",TODAY()-15,$E393),TODAY()-15)&gt;=EOMONTH(MIN(IF($E393="",TODAY()-15,$E393),TODAY()-15),0),1,0)),MAX(0,INT((MIN(IF($E393="",TODAY()-15,$E393),TODAY()-15)-($D393+MOD(SISTEM!$F$8-WEEKDAY($D393,2),7)))/7)+1)))</f>
        <v/>
      </c>
      <c r="L393" s="222">
        <f>IF(OR($C393="",$D393="",$G393="",$F393=""),0,$G393*IF($F393="Aylık",MAX(0,(YEAR(MIN(IF($E393="",TODAY()-29,$E393),TODAY()-29))-YEAR($D393))*12+MONTH(MIN(IF($E393="",TODAY()-29,$E393),TODAY()-29))-MONTH($D393)+IF(MIN(IF($E393="",TODAY()-29,$E393),TODAY()-29)&gt;=EOMONTH(MIN(IF($E393="",TODAY()-29,$E393),TODAY()-29),0),1,0)),MAX(0,INT((MIN(IF($E393="",TODAY()-29,$E393),TODAY()-29)-($D393+MOD(SISTEM!$F$8-WEEKDAY($D393,2),7)))/7)+1)))</f>
        <v/>
      </c>
      <c r="M393" s="223">
        <f>IF($G393&gt;0,$I393/$G393,0)</f>
        <v/>
      </c>
      <c r="N393" s="113">
        <f>IF($C393="","",IF($B393="TANIMSIZ MÜŞTERİ","TANIMSIZ MÜŞTERİ",IF($F393="","MODEL SEÇİN",IF(OR($D393="",$G393&lt;=0),"EKSİK",IF(AND($E393&lt;&gt;"",$E393&lt;$D393),"TARİH HATASI",IF($H393="Pasif","KAPALI DÖNEM","UYGUN"))))))</f>
        <v/>
      </c>
      <c r="O393" s="224">
        <f>IF(OR($C393="",$D393="",$F393=""),"",IF($F393="Aylık",EOMONTH($D393,0),($D393+MOD(SISTEM!$F$8-WEEKDAY($D393,2),7))))</f>
        <v/>
      </c>
      <c r="P393" s="109" t="n"/>
      <c r="Q393" s="6" t="n"/>
      <c r="R393" s="6" t="n"/>
      <c r="S393" s="3">
        <f>IF($B393="","",$B393&amp;"|"&amp;COUNTIFS($B$7:$B393,$B393))</f>
        <v/>
      </c>
      <c r="T393" s="3">
        <f>IF($C393="","",UPPER(SUBSTITUTE(SUBSTITUTE(SUBSTITUTE(SUBSTITUTE(SUBSTITUTE(SUBSTITUTE(SUBSTITUTE(SUBSTITUTE(SUBSTITUTE(SUBSTITUTE(SUBSTITUTE(SUBSTITUTE(SUBSTITUTE(SUBSTITUTE(SUBSTITUTE(SUBSTITUTE(SUBSTITUTE(SUBSTITUTE(TRIM($C393),"'",""),"İ","I"),"ı","I"),"i","I"),"Ş","S"),"ş","S"),"Ğ","G"),"ğ","G"),"Ü","U"),"ü","U"),"Ö","O"),"ö","O"),"Ç","C"),"ç","C"),".",""),",","")," ",""),"-","")))</f>
        <v/>
      </c>
    </row>
    <row r="394">
      <c r="A394" s="6" t="n"/>
      <c r="B394" s="113">
        <f>IF($C394="","",IFERROR(INDEX(MUSTERILER!$B$7:$B$106,MATCH($T394,MUSTERILER!$T$7:$T$106,0)),IFERROR(INDEX(MUSTERILER!$B$7:$B$106,MATCH($C394,MUSTERILER!$B$7:$B$106,0)),IFERROR(INDEX(MUSTERILER!$B$7:$B$106,MATCH($T394&amp;"*",MUSTERILER!$T$7:$T$106,0)),"TANIMSIZ MÜŞTERİ"))))</f>
        <v/>
      </c>
      <c r="C394" s="109" t="n"/>
      <c r="D394" s="220" t="n"/>
      <c r="E394" s="220" t="n"/>
      <c r="F394" s="108" t="n"/>
      <c r="G394" s="221" t="n"/>
      <c r="H394" s="108" t="n"/>
      <c r="I394" s="222">
        <f>IF(OR($C394="",$D394="",$G394="",$F394=""),0,$G394*IF($F394="Aylık",MAX(0,(YEAR(MIN(IF($E394="",TODAY(),$E394),TODAY()))-YEAR($D394))*12+MONTH(MIN(IF($E394="",TODAY(),$E394),TODAY()))-MONTH($D394)+IF(MIN(IF($E394="",TODAY(),$E394),TODAY())&gt;=EOMONTH(MIN(IF($E394="",TODAY(),$E394),TODAY()),0),1,0)),MAX(0,INT((MIN(IF($E394="",TODAY(),$E394),TODAY())-($D394+MOD(SISTEM!$F$8-WEEKDAY($D394,2),7)))/7)+1)))</f>
        <v/>
      </c>
      <c r="J394" s="222">
        <f>IF(OR($C394="",$D394="",$G394="",$F394=""),0,$G394*IF($F394="Aylık",MAX(0,(YEAR(MIN(IF($E394="",TODAY()-8,$E394),TODAY()-8))-YEAR($D394))*12+MONTH(MIN(IF($E394="",TODAY()-8,$E394),TODAY()-8))-MONTH($D394)+IF(MIN(IF($E394="",TODAY()-8,$E394),TODAY()-8)&gt;=EOMONTH(MIN(IF($E394="",TODAY()-8,$E394),TODAY()-8),0),1,0)),MAX(0,INT((MIN(IF($E394="",TODAY()-8,$E394),TODAY()-8)-($D394+MOD(SISTEM!$F$8-WEEKDAY($D394,2),7)))/7)+1)))</f>
        <v/>
      </c>
      <c r="K394" s="222">
        <f>IF(OR($C394="",$D394="",$G394="",$F394=""),0,$G394*IF($F394="Aylık",MAX(0,(YEAR(MIN(IF($E394="",TODAY()-15,$E394),TODAY()-15))-YEAR($D394))*12+MONTH(MIN(IF($E394="",TODAY()-15,$E394),TODAY()-15))-MONTH($D394)+IF(MIN(IF($E394="",TODAY()-15,$E394),TODAY()-15)&gt;=EOMONTH(MIN(IF($E394="",TODAY()-15,$E394),TODAY()-15),0),1,0)),MAX(0,INT((MIN(IF($E394="",TODAY()-15,$E394),TODAY()-15)-($D394+MOD(SISTEM!$F$8-WEEKDAY($D394,2),7)))/7)+1)))</f>
        <v/>
      </c>
      <c r="L394" s="222">
        <f>IF(OR($C394="",$D394="",$G394="",$F394=""),0,$G394*IF($F394="Aylık",MAX(0,(YEAR(MIN(IF($E394="",TODAY()-29,$E394),TODAY()-29))-YEAR($D394))*12+MONTH(MIN(IF($E394="",TODAY()-29,$E394),TODAY()-29))-MONTH($D394)+IF(MIN(IF($E394="",TODAY()-29,$E394),TODAY()-29)&gt;=EOMONTH(MIN(IF($E394="",TODAY()-29,$E394),TODAY()-29),0),1,0)),MAX(0,INT((MIN(IF($E394="",TODAY()-29,$E394),TODAY()-29)-($D394+MOD(SISTEM!$F$8-WEEKDAY($D394,2),7)))/7)+1)))</f>
        <v/>
      </c>
      <c r="M394" s="223">
        <f>IF($G394&gt;0,$I394/$G394,0)</f>
        <v/>
      </c>
      <c r="N394" s="113">
        <f>IF($C394="","",IF($B394="TANIMSIZ MÜŞTERİ","TANIMSIZ MÜŞTERİ",IF($F394="","MODEL SEÇİN",IF(OR($D394="",$G394&lt;=0),"EKSİK",IF(AND($E394&lt;&gt;"",$E394&lt;$D394),"TARİH HATASI",IF($H394="Pasif","KAPALI DÖNEM","UYGUN"))))))</f>
        <v/>
      </c>
      <c r="O394" s="224">
        <f>IF(OR($C394="",$D394="",$F394=""),"",IF($F394="Aylık",EOMONTH($D394,0),($D394+MOD(SISTEM!$F$8-WEEKDAY($D394,2),7))))</f>
        <v/>
      </c>
      <c r="P394" s="109" t="n"/>
      <c r="Q394" s="6" t="n"/>
      <c r="R394" s="6" t="n"/>
      <c r="S394" s="3">
        <f>IF($B394="","",$B394&amp;"|"&amp;COUNTIFS($B$7:$B394,$B394))</f>
        <v/>
      </c>
      <c r="T394" s="3">
        <f>IF($C394="","",UPPER(SUBSTITUTE(SUBSTITUTE(SUBSTITUTE(SUBSTITUTE(SUBSTITUTE(SUBSTITUTE(SUBSTITUTE(SUBSTITUTE(SUBSTITUTE(SUBSTITUTE(SUBSTITUTE(SUBSTITUTE(SUBSTITUTE(SUBSTITUTE(SUBSTITUTE(SUBSTITUTE(SUBSTITUTE(SUBSTITUTE(TRIM($C394),"'",""),"İ","I"),"ı","I"),"i","I"),"Ş","S"),"ş","S"),"Ğ","G"),"ğ","G"),"Ü","U"),"ü","U"),"Ö","O"),"ö","O"),"Ç","C"),"ç","C"),".",""),",","")," ",""),"-","")))</f>
        <v/>
      </c>
    </row>
    <row r="395">
      <c r="A395" s="6" t="n"/>
      <c r="B395" s="113">
        <f>IF($C395="","",IFERROR(INDEX(MUSTERILER!$B$7:$B$106,MATCH($T395,MUSTERILER!$T$7:$T$106,0)),IFERROR(INDEX(MUSTERILER!$B$7:$B$106,MATCH($C395,MUSTERILER!$B$7:$B$106,0)),IFERROR(INDEX(MUSTERILER!$B$7:$B$106,MATCH($T395&amp;"*",MUSTERILER!$T$7:$T$106,0)),"TANIMSIZ MÜŞTERİ"))))</f>
        <v/>
      </c>
      <c r="C395" s="109" t="n"/>
      <c r="D395" s="220" t="n"/>
      <c r="E395" s="220" t="n"/>
      <c r="F395" s="108" t="n"/>
      <c r="G395" s="221" t="n"/>
      <c r="H395" s="108" t="n"/>
      <c r="I395" s="222">
        <f>IF(OR($C395="",$D395="",$G395="",$F395=""),0,$G395*IF($F395="Aylık",MAX(0,(YEAR(MIN(IF($E395="",TODAY(),$E395),TODAY()))-YEAR($D395))*12+MONTH(MIN(IF($E395="",TODAY(),$E395),TODAY()))-MONTH($D395)+IF(MIN(IF($E395="",TODAY(),$E395),TODAY())&gt;=EOMONTH(MIN(IF($E395="",TODAY(),$E395),TODAY()),0),1,0)),MAX(0,INT((MIN(IF($E395="",TODAY(),$E395),TODAY())-($D395+MOD(SISTEM!$F$8-WEEKDAY($D395,2),7)))/7)+1)))</f>
        <v/>
      </c>
      <c r="J395" s="222">
        <f>IF(OR($C395="",$D395="",$G395="",$F395=""),0,$G395*IF($F395="Aylık",MAX(0,(YEAR(MIN(IF($E395="",TODAY()-8,$E395),TODAY()-8))-YEAR($D395))*12+MONTH(MIN(IF($E395="",TODAY()-8,$E395),TODAY()-8))-MONTH($D395)+IF(MIN(IF($E395="",TODAY()-8,$E395),TODAY()-8)&gt;=EOMONTH(MIN(IF($E395="",TODAY()-8,$E395),TODAY()-8),0),1,0)),MAX(0,INT((MIN(IF($E395="",TODAY()-8,$E395),TODAY()-8)-($D395+MOD(SISTEM!$F$8-WEEKDAY($D395,2),7)))/7)+1)))</f>
        <v/>
      </c>
      <c r="K395" s="222">
        <f>IF(OR($C395="",$D395="",$G395="",$F395=""),0,$G395*IF($F395="Aylık",MAX(0,(YEAR(MIN(IF($E395="",TODAY()-15,$E395),TODAY()-15))-YEAR($D395))*12+MONTH(MIN(IF($E395="",TODAY()-15,$E395),TODAY()-15))-MONTH($D395)+IF(MIN(IF($E395="",TODAY()-15,$E395),TODAY()-15)&gt;=EOMONTH(MIN(IF($E395="",TODAY()-15,$E395),TODAY()-15),0),1,0)),MAX(0,INT((MIN(IF($E395="",TODAY()-15,$E395),TODAY()-15)-($D395+MOD(SISTEM!$F$8-WEEKDAY($D395,2),7)))/7)+1)))</f>
        <v/>
      </c>
      <c r="L395" s="222">
        <f>IF(OR($C395="",$D395="",$G395="",$F395=""),0,$G395*IF($F395="Aylık",MAX(0,(YEAR(MIN(IF($E395="",TODAY()-29,$E395),TODAY()-29))-YEAR($D395))*12+MONTH(MIN(IF($E395="",TODAY()-29,$E395),TODAY()-29))-MONTH($D395)+IF(MIN(IF($E395="",TODAY()-29,$E395),TODAY()-29)&gt;=EOMONTH(MIN(IF($E395="",TODAY()-29,$E395),TODAY()-29),0),1,0)),MAX(0,INT((MIN(IF($E395="",TODAY()-29,$E395),TODAY()-29)-($D395+MOD(SISTEM!$F$8-WEEKDAY($D395,2),7)))/7)+1)))</f>
        <v/>
      </c>
      <c r="M395" s="223">
        <f>IF($G395&gt;0,$I395/$G395,0)</f>
        <v/>
      </c>
      <c r="N395" s="113">
        <f>IF($C395="","",IF($B395="TANIMSIZ MÜŞTERİ","TANIMSIZ MÜŞTERİ",IF($F395="","MODEL SEÇİN",IF(OR($D395="",$G395&lt;=0),"EKSİK",IF(AND($E395&lt;&gt;"",$E395&lt;$D395),"TARİH HATASI",IF($H395="Pasif","KAPALI DÖNEM","UYGUN"))))))</f>
        <v/>
      </c>
      <c r="O395" s="224">
        <f>IF(OR($C395="",$D395="",$F395=""),"",IF($F395="Aylık",EOMONTH($D395,0),($D395+MOD(SISTEM!$F$8-WEEKDAY($D395,2),7))))</f>
        <v/>
      </c>
      <c r="P395" s="109" t="n"/>
      <c r="Q395" s="6" t="n"/>
      <c r="R395" s="6" t="n"/>
      <c r="S395" s="3">
        <f>IF($B395="","",$B395&amp;"|"&amp;COUNTIFS($B$7:$B395,$B395))</f>
        <v/>
      </c>
      <c r="T395" s="3">
        <f>IF($C395="","",UPPER(SUBSTITUTE(SUBSTITUTE(SUBSTITUTE(SUBSTITUTE(SUBSTITUTE(SUBSTITUTE(SUBSTITUTE(SUBSTITUTE(SUBSTITUTE(SUBSTITUTE(SUBSTITUTE(SUBSTITUTE(SUBSTITUTE(SUBSTITUTE(SUBSTITUTE(SUBSTITUTE(SUBSTITUTE(SUBSTITUTE(TRIM($C395),"'",""),"İ","I"),"ı","I"),"i","I"),"Ş","S"),"ş","S"),"Ğ","G"),"ğ","G"),"Ü","U"),"ü","U"),"Ö","O"),"ö","O"),"Ç","C"),"ç","C"),".",""),",","")," ",""),"-","")))</f>
        <v/>
      </c>
    </row>
    <row r="396">
      <c r="A396" s="6" t="n"/>
      <c r="B396" s="113">
        <f>IF($C396="","",IFERROR(INDEX(MUSTERILER!$B$7:$B$106,MATCH($T396,MUSTERILER!$T$7:$T$106,0)),IFERROR(INDEX(MUSTERILER!$B$7:$B$106,MATCH($C396,MUSTERILER!$B$7:$B$106,0)),IFERROR(INDEX(MUSTERILER!$B$7:$B$106,MATCH($T396&amp;"*",MUSTERILER!$T$7:$T$106,0)),"TANIMSIZ MÜŞTERİ"))))</f>
        <v/>
      </c>
      <c r="C396" s="109" t="n"/>
      <c r="D396" s="220" t="n"/>
      <c r="E396" s="220" t="n"/>
      <c r="F396" s="108" t="n"/>
      <c r="G396" s="221" t="n"/>
      <c r="H396" s="108" t="n"/>
      <c r="I396" s="222">
        <f>IF(OR($C396="",$D396="",$G396="",$F396=""),0,$G396*IF($F396="Aylık",MAX(0,(YEAR(MIN(IF($E396="",TODAY(),$E396),TODAY()))-YEAR($D396))*12+MONTH(MIN(IF($E396="",TODAY(),$E396),TODAY()))-MONTH($D396)+IF(MIN(IF($E396="",TODAY(),$E396),TODAY())&gt;=EOMONTH(MIN(IF($E396="",TODAY(),$E396),TODAY()),0),1,0)),MAX(0,INT((MIN(IF($E396="",TODAY(),$E396),TODAY())-($D396+MOD(SISTEM!$F$8-WEEKDAY($D396,2),7)))/7)+1)))</f>
        <v/>
      </c>
      <c r="J396" s="222">
        <f>IF(OR($C396="",$D396="",$G396="",$F396=""),0,$G396*IF($F396="Aylık",MAX(0,(YEAR(MIN(IF($E396="",TODAY()-8,$E396),TODAY()-8))-YEAR($D396))*12+MONTH(MIN(IF($E396="",TODAY()-8,$E396),TODAY()-8))-MONTH($D396)+IF(MIN(IF($E396="",TODAY()-8,$E396),TODAY()-8)&gt;=EOMONTH(MIN(IF($E396="",TODAY()-8,$E396),TODAY()-8),0),1,0)),MAX(0,INT((MIN(IF($E396="",TODAY()-8,$E396),TODAY()-8)-($D396+MOD(SISTEM!$F$8-WEEKDAY($D396,2),7)))/7)+1)))</f>
        <v/>
      </c>
      <c r="K396" s="222">
        <f>IF(OR($C396="",$D396="",$G396="",$F396=""),0,$G396*IF($F396="Aylık",MAX(0,(YEAR(MIN(IF($E396="",TODAY()-15,$E396),TODAY()-15))-YEAR($D396))*12+MONTH(MIN(IF($E396="",TODAY()-15,$E396),TODAY()-15))-MONTH($D396)+IF(MIN(IF($E396="",TODAY()-15,$E396),TODAY()-15)&gt;=EOMONTH(MIN(IF($E396="",TODAY()-15,$E396),TODAY()-15),0),1,0)),MAX(0,INT((MIN(IF($E396="",TODAY()-15,$E396),TODAY()-15)-($D396+MOD(SISTEM!$F$8-WEEKDAY($D396,2),7)))/7)+1)))</f>
        <v/>
      </c>
      <c r="L396" s="222">
        <f>IF(OR($C396="",$D396="",$G396="",$F396=""),0,$G396*IF($F396="Aylık",MAX(0,(YEAR(MIN(IF($E396="",TODAY()-29,$E396),TODAY()-29))-YEAR($D396))*12+MONTH(MIN(IF($E396="",TODAY()-29,$E396),TODAY()-29))-MONTH($D396)+IF(MIN(IF($E396="",TODAY()-29,$E396),TODAY()-29)&gt;=EOMONTH(MIN(IF($E396="",TODAY()-29,$E396),TODAY()-29),0),1,0)),MAX(0,INT((MIN(IF($E396="",TODAY()-29,$E396),TODAY()-29)-($D396+MOD(SISTEM!$F$8-WEEKDAY($D396,2),7)))/7)+1)))</f>
        <v/>
      </c>
      <c r="M396" s="223">
        <f>IF($G396&gt;0,$I396/$G396,0)</f>
        <v/>
      </c>
      <c r="N396" s="113">
        <f>IF($C396="","",IF($B396="TANIMSIZ MÜŞTERİ","TANIMSIZ MÜŞTERİ",IF($F396="","MODEL SEÇİN",IF(OR($D396="",$G396&lt;=0),"EKSİK",IF(AND($E396&lt;&gt;"",$E396&lt;$D396),"TARİH HATASI",IF($H396="Pasif","KAPALI DÖNEM","UYGUN"))))))</f>
        <v/>
      </c>
      <c r="O396" s="224">
        <f>IF(OR($C396="",$D396="",$F396=""),"",IF($F396="Aylık",EOMONTH($D396,0),($D396+MOD(SISTEM!$F$8-WEEKDAY($D396,2),7))))</f>
        <v/>
      </c>
      <c r="P396" s="109" t="n"/>
      <c r="Q396" s="6" t="n"/>
      <c r="R396" s="6" t="n"/>
      <c r="S396" s="3">
        <f>IF($B396="","",$B396&amp;"|"&amp;COUNTIFS($B$7:$B396,$B396))</f>
        <v/>
      </c>
      <c r="T396" s="3">
        <f>IF($C396="","",UPPER(SUBSTITUTE(SUBSTITUTE(SUBSTITUTE(SUBSTITUTE(SUBSTITUTE(SUBSTITUTE(SUBSTITUTE(SUBSTITUTE(SUBSTITUTE(SUBSTITUTE(SUBSTITUTE(SUBSTITUTE(SUBSTITUTE(SUBSTITUTE(SUBSTITUTE(SUBSTITUTE(SUBSTITUTE(SUBSTITUTE(TRIM($C396),"'",""),"İ","I"),"ı","I"),"i","I"),"Ş","S"),"ş","S"),"Ğ","G"),"ğ","G"),"Ü","U"),"ü","U"),"Ö","O"),"ö","O"),"Ç","C"),"ç","C"),".",""),",","")," ",""),"-","")))</f>
        <v/>
      </c>
    </row>
    <row r="397">
      <c r="A397" s="6" t="n"/>
      <c r="B397" s="113">
        <f>IF($C397="","",IFERROR(INDEX(MUSTERILER!$B$7:$B$106,MATCH($T397,MUSTERILER!$T$7:$T$106,0)),IFERROR(INDEX(MUSTERILER!$B$7:$B$106,MATCH($C397,MUSTERILER!$B$7:$B$106,0)),IFERROR(INDEX(MUSTERILER!$B$7:$B$106,MATCH($T397&amp;"*",MUSTERILER!$T$7:$T$106,0)),"TANIMSIZ MÜŞTERİ"))))</f>
        <v/>
      </c>
      <c r="C397" s="109" t="n"/>
      <c r="D397" s="220" t="n"/>
      <c r="E397" s="220" t="n"/>
      <c r="F397" s="108" t="n"/>
      <c r="G397" s="221" t="n"/>
      <c r="H397" s="108" t="n"/>
      <c r="I397" s="222">
        <f>IF(OR($C397="",$D397="",$G397="",$F397=""),0,$G397*IF($F397="Aylık",MAX(0,(YEAR(MIN(IF($E397="",TODAY(),$E397),TODAY()))-YEAR($D397))*12+MONTH(MIN(IF($E397="",TODAY(),$E397),TODAY()))-MONTH($D397)+IF(MIN(IF($E397="",TODAY(),$E397),TODAY())&gt;=EOMONTH(MIN(IF($E397="",TODAY(),$E397),TODAY()),0),1,0)),MAX(0,INT((MIN(IF($E397="",TODAY(),$E397),TODAY())-($D397+MOD(SISTEM!$F$8-WEEKDAY($D397,2),7)))/7)+1)))</f>
        <v/>
      </c>
      <c r="J397" s="222">
        <f>IF(OR($C397="",$D397="",$G397="",$F397=""),0,$G397*IF($F397="Aylık",MAX(0,(YEAR(MIN(IF($E397="",TODAY()-8,$E397),TODAY()-8))-YEAR($D397))*12+MONTH(MIN(IF($E397="",TODAY()-8,$E397),TODAY()-8))-MONTH($D397)+IF(MIN(IF($E397="",TODAY()-8,$E397),TODAY()-8)&gt;=EOMONTH(MIN(IF($E397="",TODAY()-8,$E397),TODAY()-8),0),1,0)),MAX(0,INT((MIN(IF($E397="",TODAY()-8,$E397),TODAY()-8)-($D397+MOD(SISTEM!$F$8-WEEKDAY($D397,2),7)))/7)+1)))</f>
        <v/>
      </c>
      <c r="K397" s="222">
        <f>IF(OR($C397="",$D397="",$G397="",$F397=""),0,$G397*IF($F397="Aylık",MAX(0,(YEAR(MIN(IF($E397="",TODAY()-15,$E397),TODAY()-15))-YEAR($D397))*12+MONTH(MIN(IF($E397="",TODAY()-15,$E397),TODAY()-15))-MONTH($D397)+IF(MIN(IF($E397="",TODAY()-15,$E397),TODAY()-15)&gt;=EOMONTH(MIN(IF($E397="",TODAY()-15,$E397),TODAY()-15),0),1,0)),MAX(0,INT((MIN(IF($E397="",TODAY()-15,$E397),TODAY()-15)-($D397+MOD(SISTEM!$F$8-WEEKDAY($D397,2),7)))/7)+1)))</f>
        <v/>
      </c>
      <c r="L397" s="222">
        <f>IF(OR($C397="",$D397="",$G397="",$F397=""),0,$G397*IF($F397="Aylık",MAX(0,(YEAR(MIN(IF($E397="",TODAY()-29,$E397),TODAY()-29))-YEAR($D397))*12+MONTH(MIN(IF($E397="",TODAY()-29,$E397),TODAY()-29))-MONTH($D397)+IF(MIN(IF($E397="",TODAY()-29,$E397),TODAY()-29)&gt;=EOMONTH(MIN(IF($E397="",TODAY()-29,$E397),TODAY()-29),0),1,0)),MAX(0,INT((MIN(IF($E397="",TODAY()-29,$E397),TODAY()-29)-($D397+MOD(SISTEM!$F$8-WEEKDAY($D397,2),7)))/7)+1)))</f>
        <v/>
      </c>
      <c r="M397" s="223">
        <f>IF($G397&gt;0,$I397/$G397,0)</f>
        <v/>
      </c>
      <c r="N397" s="113">
        <f>IF($C397="","",IF($B397="TANIMSIZ MÜŞTERİ","TANIMSIZ MÜŞTERİ",IF($F397="","MODEL SEÇİN",IF(OR($D397="",$G397&lt;=0),"EKSİK",IF(AND($E397&lt;&gt;"",$E397&lt;$D397),"TARİH HATASI",IF($H397="Pasif","KAPALI DÖNEM","UYGUN"))))))</f>
        <v/>
      </c>
      <c r="O397" s="224">
        <f>IF(OR($C397="",$D397="",$F397=""),"",IF($F397="Aylık",EOMONTH($D397,0),($D397+MOD(SISTEM!$F$8-WEEKDAY($D397,2),7))))</f>
        <v/>
      </c>
      <c r="P397" s="109" t="n"/>
      <c r="Q397" s="6" t="n"/>
      <c r="R397" s="6" t="n"/>
      <c r="S397" s="3">
        <f>IF($B397="","",$B397&amp;"|"&amp;COUNTIFS($B$7:$B397,$B397))</f>
        <v/>
      </c>
      <c r="T397" s="3">
        <f>IF($C397="","",UPPER(SUBSTITUTE(SUBSTITUTE(SUBSTITUTE(SUBSTITUTE(SUBSTITUTE(SUBSTITUTE(SUBSTITUTE(SUBSTITUTE(SUBSTITUTE(SUBSTITUTE(SUBSTITUTE(SUBSTITUTE(SUBSTITUTE(SUBSTITUTE(SUBSTITUTE(SUBSTITUTE(SUBSTITUTE(SUBSTITUTE(TRIM($C397),"'",""),"İ","I"),"ı","I"),"i","I"),"Ş","S"),"ş","S"),"Ğ","G"),"ğ","G"),"Ü","U"),"ü","U"),"Ö","O"),"ö","O"),"Ç","C"),"ç","C"),".",""),",","")," ",""),"-","")))</f>
        <v/>
      </c>
    </row>
    <row r="398">
      <c r="A398" s="6" t="n"/>
      <c r="B398" s="113">
        <f>IF($C398="","",IFERROR(INDEX(MUSTERILER!$B$7:$B$106,MATCH($T398,MUSTERILER!$T$7:$T$106,0)),IFERROR(INDEX(MUSTERILER!$B$7:$B$106,MATCH($C398,MUSTERILER!$B$7:$B$106,0)),IFERROR(INDEX(MUSTERILER!$B$7:$B$106,MATCH($T398&amp;"*",MUSTERILER!$T$7:$T$106,0)),"TANIMSIZ MÜŞTERİ"))))</f>
        <v/>
      </c>
      <c r="C398" s="109" t="n"/>
      <c r="D398" s="220" t="n"/>
      <c r="E398" s="220" t="n"/>
      <c r="F398" s="108" t="n"/>
      <c r="G398" s="221" t="n"/>
      <c r="H398" s="108" t="n"/>
      <c r="I398" s="222">
        <f>IF(OR($C398="",$D398="",$G398="",$F398=""),0,$G398*IF($F398="Aylık",MAX(0,(YEAR(MIN(IF($E398="",TODAY(),$E398),TODAY()))-YEAR($D398))*12+MONTH(MIN(IF($E398="",TODAY(),$E398),TODAY()))-MONTH($D398)+IF(MIN(IF($E398="",TODAY(),$E398),TODAY())&gt;=EOMONTH(MIN(IF($E398="",TODAY(),$E398),TODAY()),0),1,0)),MAX(0,INT((MIN(IF($E398="",TODAY(),$E398),TODAY())-($D398+MOD(SISTEM!$F$8-WEEKDAY($D398,2),7)))/7)+1)))</f>
        <v/>
      </c>
      <c r="J398" s="222">
        <f>IF(OR($C398="",$D398="",$G398="",$F398=""),0,$G398*IF($F398="Aylık",MAX(0,(YEAR(MIN(IF($E398="",TODAY()-8,$E398),TODAY()-8))-YEAR($D398))*12+MONTH(MIN(IF($E398="",TODAY()-8,$E398),TODAY()-8))-MONTH($D398)+IF(MIN(IF($E398="",TODAY()-8,$E398),TODAY()-8)&gt;=EOMONTH(MIN(IF($E398="",TODAY()-8,$E398),TODAY()-8),0),1,0)),MAX(0,INT((MIN(IF($E398="",TODAY()-8,$E398),TODAY()-8)-($D398+MOD(SISTEM!$F$8-WEEKDAY($D398,2),7)))/7)+1)))</f>
        <v/>
      </c>
      <c r="K398" s="222">
        <f>IF(OR($C398="",$D398="",$G398="",$F398=""),0,$G398*IF($F398="Aylık",MAX(0,(YEAR(MIN(IF($E398="",TODAY()-15,$E398),TODAY()-15))-YEAR($D398))*12+MONTH(MIN(IF($E398="",TODAY()-15,$E398),TODAY()-15))-MONTH($D398)+IF(MIN(IF($E398="",TODAY()-15,$E398),TODAY()-15)&gt;=EOMONTH(MIN(IF($E398="",TODAY()-15,$E398),TODAY()-15),0),1,0)),MAX(0,INT((MIN(IF($E398="",TODAY()-15,$E398),TODAY()-15)-($D398+MOD(SISTEM!$F$8-WEEKDAY($D398,2),7)))/7)+1)))</f>
        <v/>
      </c>
      <c r="L398" s="222">
        <f>IF(OR($C398="",$D398="",$G398="",$F398=""),0,$G398*IF($F398="Aylık",MAX(0,(YEAR(MIN(IF($E398="",TODAY()-29,$E398),TODAY()-29))-YEAR($D398))*12+MONTH(MIN(IF($E398="",TODAY()-29,$E398),TODAY()-29))-MONTH($D398)+IF(MIN(IF($E398="",TODAY()-29,$E398),TODAY()-29)&gt;=EOMONTH(MIN(IF($E398="",TODAY()-29,$E398),TODAY()-29),0),1,0)),MAX(0,INT((MIN(IF($E398="",TODAY()-29,$E398),TODAY()-29)-($D398+MOD(SISTEM!$F$8-WEEKDAY($D398,2),7)))/7)+1)))</f>
        <v/>
      </c>
      <c r="M398" s="223">
        <f>IF($G398&gt;0,$I398/$G398,0)</f>
        <v/>
      </c>
      <c r="N398" s="113">
        <f>IF($C398="","",IF($B398="TANIMSIZ MÜŞTERİ","TANIMSIZ MÜŞTERİ",IF($F398="","MODEL SEÇİN",IF(OR($D398="",$G398&lt;=0),"EKSİK",IF(AND($E398&lt;&gt;"",$E398&lt;$D398),"TARİH HATASI",IF($H398="Pasif","KAPALI DÖNEM","UYGUN"))))))</f>
        <v/>
      </c>
      <c r="O398" s="224">
        <f>IF(OR($C398="",$D398="",$F398=""),"",IF($F398="Aylık",EOMONTH($D398,0),($D398+MOD(SISTEM!$F$8-WEEKDAY($D398,2),7))))</f>
        <v/>
      </c>
      <c r="P398" s="109" t="n"/>
      <c r="Q398" s="6" t="n"/>
      <c r="R398" s="6" t="n"/>
      <c r="S398" s="3">
        <f>IF($B398="","",$B398&amp;"|"&amp;COUNTIFS($B$7:$B398,$B398))</f>
        <v/>
      </c>
      <c r="T398" s="3">
        <f>IF($C398="","",UPPER(SUBSTITUTE(SUBSTITUTE(SUBSTITUTE(SUBSTITUTE(SUBSTITUTE(SUBSTITUTE(SUBSTITUTE(SUBSTITUTE(SUBSTITUTE(SUBSTITUTE(SUBSTITUTE(SUBSTITUTE(SUBSTITUTE(SUBSTITUTE(SUBSTITUTE(SUBSTITUTE(SUBSTITUTE(SUBSTITUTE(TRIM($C398),"'",""),"İ","I"),"ı","I"),"i","I"),"Ş","S"),"ş","S"),"Ğ","G"),"ğ","G"),"Ü","U"),"ü","U"),"Ö","O"),"ö","O"),"Ç","C"),"ç","C"),".",""),",","")," ",""),"-","")))</f>
        <v/>
      </c>
    </row>
    <row r="399">
      <c r="A399" s="6" t="n"/>
      <c r="B399" s="113">
        <f>IF($C399="","",IFERROR(INDEX(MUSTERILER!$B$7:$B$106,MATCH($T399,MUSTERILER!$T$7:$T$106,0)),IFERROR(INDEX(MUSTERILER!$B$7:$B$106,MATCH($C399,MUSTERILER!$B$7:$B$106,0)),IFERROR(INDEX(MUSTERILER!$B$7:$B$106,MATCH($T399&amp;"*",MUSTERILER!$T$7:$T$106,0)),"TANIMSIZ MÜŞTERİ"))))</f>
        <v/>
      </c>
      <c r="C399" s="109" t="n"/>
      <c r="D399" s="220" t="n"/>
      <c r="E399" s="220" t="n"/>
      <c r="F399" s="108" t="n"/>
      <c r="G399" s="221" t="n"/>
      <c r="H399" s="108" t="n"/>
      <c r="I399" s="222">
        <f>IF(OR($C399="",$D399="",$G399="",$F399=""),0,$G399*IF($F399="Aylık",MAX(0,(YEAR(MIN(IF($E399="",TODAY(),$E399),TODAY()))-YEAR($D399))*12+MONTH(MIN(IF($E399="",TODAY(),$E399),TODAY()))-MONTH($D399)+IF(MIN(IF($E399="",TODAY(),$E399),TODAY())&gt;=EOMONTH(MIN(IF($E399="",TODAY(),$E399),TODAY()),0),1,0)),MAX(0,INT((MIN(IF($E399="",TODAY(),$E399),TODAY())-($D399+MOD(SISTEM!$F$8-WEEKDAY($D399,2),7)))/7)+1)))</f>
        <v/>
      </c>
      <c r="J399" s="222">
        <f>IF(OR($C399="",$D399="",$G399="",$F399=""),0,$G399*IF($F399="Aylık",MAX(0,(YEAR(MIN(IF($E399="",TODAY()-8,$E399),TODAY()-8))-YEAR($D399))*12+MONTH(MIN(IF($E399="",TODAY()-8,$E399),TODAY()-8))-MONTH($D399)+IF(MIN(IF($E399="",TODAY()-8,$E399),TODAY()-8)&gt;=EOMONTH(MIN(IF($E399="",TODAY()-8,$E399),TODAY()-8),0),1,0)),MAX(0,INT((MIN(IF($E399="",TODAY()-8,$E399),TODAY()-8)-($D399+MOD(SISTEM!$F$8-WEEKDAY($D399,2),7)))/7)+1)))</f>
        <v/>
      </c>
      <c r="K399" s="222">
        <f>IF(OR($C399="",$D399="",$G399="",$F399=""),0,$G399*IF($F399="Aylık",MAX(0,(YEAR(MIN(IF($E399="",TODAY()-15,$E399),TODAY()-15))-YEAR($D399))*12+MONTH(MIN(IF($E399="",TODAY()-15,$E399),TODAY()-15))-MONTH($D399)+IF(MIN(IF($E399="",TODAY()-15,$E399),TODAY()-15)&gt;=EOMONTH(MIN(IF($E399="",TODAY()-15,$E399),TODAY()-15),0),1,0)),MAX(0,INT((MIN(IF($E399="",TODAY()-15,$E399),TODAY()-15)-($D399+MOD(SISTEM!$F$8-WEEKDAY($D399,2),7)))/7)+1)))</f>
        <v/>
      </c>
      <c r="L399" s="222">
        <f>IF(OR($C399="",$D399="",$G399="",$F399=""),0,$G399*IF($F399="Aylık",MAX(0,(YEAR(MIN(IF($E399="",TODAY()-29,$E399),TODAY()-29))-YEAR($D399))*12+MONTH(MIN(IF($E399="",TODAY()-29,$E399),TODAY()-29))-MONTH($D399)+IF(MIN(IF($E399="",TODAY()-29,$E399),TODAY()-29)&gt;=EOMONTH(MIN(IF($E399="",TODAY()-29,$E399),TODAY()-29),0),1,0)),MAX(0,INT((MIN(IF($E399="",TODAY()-29,$E399),TODAY()-29)-($D399+MOD(SISTEM!$F$8-WEEKDAY($D399,2),7)))/7)+1)))</f>
        <v/>
      </c>
      <c r="M399" s="223">
        <f>IF($G399&gt;0,$I399/$G399,0)</f>
        <v/>
      </c>
      <c r="N399" s="113">
        <f>IF($C399="","",IF($B399="TANIMSIZ MÜŞTERİ","TANIMSIZ MÜŞTERİ",IF($F399="","MODEL SEÇİN",IF(OR($D399="",$G399&lt;=0),"EKSİK",IF(AND($E399&lt;&gt;"",$E399&lt;$D399),"TARİH HATASI",IF($H399="Pasif","KAPALI DÖNEM","UYGUN"))))))</f>
        <v/>
      </c>
      <c r="O399" s="224">
        <f>IF(OR($C399="",$D399="",$F399=""),"",IF($F399="Aylık",EOMONTH($D399,0),($D399+MOD(SISTEM!$F$8-WEEKDAY($D399,2),7))))</f>
        <v/>
      </c>
      <c r="P399" s="109" t="n"/>
      <c r="Q399" s="6" t="n"/>
      <c r="R399" s="6" t="n"/>
      <c r="S399" s="3">
        <f>IF($B399="","",$B399&amp;"|"&amp;COUNTIFS($B$7:$B399,$B399))</f>
        <v/>
      </c>
      <c r="T399" s="3">
        <f>IF($C399="","",UPPER(SUBSTITUTE(SUBSTITUTE(SUBSTITUTE(SUBSTITUTE(SUBSTITUTE(SUBSTITUTE(SUBSTITUTE(SUBSTITUTE(SUBSTITUTE(SUBSTITUTE(SUBSTITUTE(SUBSTITUTE(SUBSTITUTE(SUBSTITUTE(SUBSTITUTE(SUBSTITUTE(SUBSTITUTE(SUBSTITUTE(TRIM($C399),"'",""),"İ","I"),"ı","I"),"i","I"),"Ş","S"),"ş","S"),"Ğ","G"),"ğ","G"),"Ü","U"),"ü","U"),"Ö","O"),"ö","O"),"Ç","C"),"ç","C"),".",""),",","")," ",""),"-","")))</f>
        <v/>
      </c>
    </row>
    <row r="400">
      <c r="A400" s="6" t="n"/>
      <c r="B400" s="113">
        <f>IF($C400="","",IFERROR(INDEX(MUSTERILER!$B$7:$B$106,MATCH($T400,MUSTERILER!$T$7:$T$106,0)),IFERROR(INDEX(MUSTERILER!$B$7:$B$106,MATCH($C400,MUSTERILER!$B$7:$B$106,0)),IFERROR(INDEX(MUSTERILER!$B$7:$B$106,MATCH($T400&amp;"*",MUSTERILER!$T$7:$T$106,0)),"TANIMSIZ MÜŞTERİ"))))</f>
        <v/>
      </c>
      <c r="C400" s="109" t="n"/>
      <c r="D400" s="220" t="n"/>
      <c r="E400" s="220" t="n"/>
      <c r="F400" s="108" t="n"/>
      <c r="G400" s="221" t="n"/>
      <c r="H400" s="108" t="n"/>
      <c r="I400" s="222">
        <f>IF(OR($C400="",$D400="",$G400="",$F400=""),0,$G400*IF($F400="Aylık",MAX(0,(YEAR(MIN(IF($E400="",TODAY(),$E400),TODAY()))-YEAR($D400))*12+MONTH(MIN(IF($E400="",TODAY(),$E400),TODAY()))-MONTH($D400)+IF(MIN(IF($E400="",TODAY(),$E400),TODAY())&gt;=EOMONTH(MIN(IF($E400="",TODAY(),$E400),TODAY()),0),1,0)),MAX(0,INT((MIN(IF($E400="",TODAY(),$E400),TODAY())-($D400+MOD(SISTEM!$F$8-WEEKDAY($D400,2),7)))/7)+1)))</f>
        <v/>
      </c>
      <c r="J400" s="222">
        <f>IF(OR($C400="",$D400="",$G400="",$F400=""),0,$G400*IF($F400="Aylık",MAX(0,(YEAR(MIN(IF($E400="",TODAY()-8,$E400),TODAY()-8))-YEAR($D400))*12+MONTH(MIN(IF($E400="",TODAY()-8,$E400),TODAY()-8))-MONTH($D400)+IF(MIN(IF($E400="",TODAY()-8,$E400),TODAY()-8)&gt;=EOMONTH(MIN(IF($E400="",TODAY()-8,$E400),TODAY()-8),0),1,0)),MAX(0,INT((MIN(IF($E400="",TODAY()-8,$E400),TODAY()-8)-($D400+MOD(SISTEM!$F$8-WEEKDAY($D400,2),7)))/7)+1)))</f>
        <v/>
      </c>
      <c r="K400" s="222">
        <f>IF(OR($C400="",$D400="",$G400="",$F400=""),0,$G400*IF($F400="Aylık",MAX(0,(YEAR(MIN(IF($E400="",TODAY()-15,$E400),TODAY()-15))-YEAR($D400))*12+MONTH(MIN(IF($E400="",TODAY()-15,$E400),TODAY()-15))-MONTH($D400)+IF(MIN(IF($E400="",TODAY()-15,$E400),TODAY()-15)&gt;=EOMONTH(MIN(IF($E400="",TODAY()-15,$E400),TODAY()-15),0),1,0)),MAX(0,INT((MIN(IF($E400="",TODAY()-15,$E400),TODAY()-15)-($D400+MOD(SISTEM!$F$8-WEEKDAY($D400,2),7)))/7)+1)))</f>
        <v/>
      </c>
      <c r="L400" s="222">
        <f>IF(OR($C400="",$D400="",$G400="",$F400=""),0,$G400*IF($F400="Aylık",MAX(0,(YEAR(MIN(IF($E400="",TODAY()-29,$E400),TODAY()-29))-YEAR($D400))*12+MONTH(MIN(IF($E400="",TODAY()-29,$E400),TODAY()-29))-MONTH($D400)+IF(MIN(IF($E400="",TODAY()-29,$E400),TODAY()-29)&gt;=EOMONTH(MIN(IF($E400="",TODAY()-29,$E400),TODAY()-29),0),1,0)),MAX(0,INT((MIN(IF($E400="",TODAY()-29,$E400),TODAY()-29)-($D400+MOD(SISTEM!$F$8-WEEKDAY($D400,2),7)))/7)+1)))</f>
        <v/>
      </c>
      <c r="M400" s="223">
        <f>IF($G400&gt;0,$I400/$G400,0)</f>
        <v/>
      </c>
      <c r="N400" s="113">
        <f>IF($C400="","",IF($B400="TANIMSIZ MÜŞTERİ","TANIMSIZ MÜŞTERİ",IF($F400="","MODEL SEÇİN",IF(OR($D400="",$G400&lt;=0),"EKSİK",IF(AND($E400&lt;&gt;"",$E400&lt;$D400),"TARİH HATASI",IF($H400="Pasif","KAPALI DÖNEM","UYGUN"))))))</f>
        <v/>
      </c>
      <c r="O400" s="224">
        <f>IF(OR($C400="",$D400="",$F400=""),"",IF($F400="Aylık",EOMONTH($D400,0),($D400+MOD(SISTEM!$F$8-WEEKDAY($D400,2),7))))</f>
        <v/>
      </c>
      <c r="P400" s="109" t="n"/>
      <c r="Q400" s="6" t="n"/>
      <c r="R400" s="6" t="n"/>
      <c r="S400" s="3">
        <f>IF($B400="","",$B400&amp;"|"&amp;COUNTIFS($B$7:$B400,$B400))</f>
        <v/>
      </c>
      <c r="T400" s="3">
        <f>IF($C400="","",UPPER(SUBSTITUTE(SUBSTITUTE(SUBSTITUTE(SUBSTITUTE(SUBSTITUTE(SUBSTITUTE(SUBSTITUTE(SUBSTITUTE(SUBSTITUTE(SUBSTITUTE(SUBSTITUTE(SUBSTITUTE(SUBSTITUTE(SUBSTITUTE(SUBSTITUTE(SUBSTITUTE(SUBSTITUTE(SUBSTITUTE(TRIM($C400),"'",""),"İ","I"),"ı","I"),"i","I"),"Ş","S"),"ş","S"),"Ğ","G"),"ğ","G"),"Ü","U"),"ü","U"),"Ö","O"),"ö","O"),"Ç","C"),"ç","C"),".",""),",","")," ",""),"-","")))</f>
        <v/>
      </c>
    </row>
    <row r="401">
      <c r="A401" s="6" t="n"/>
      <c r="B401" s="113">
        <f>IF($C401="","",IFERROR(INDEX(MUSTERILER!$B$7:$B$106,MATCH($T401,MUSTERILER!$T$7:$T$106,0)),IFERROR(INDEX(MUSTERILER!$B$7:$B$106,MATCH($C401,MUSTERILER!$B$7:$B$106,0)),IFERROR(INDEX(MUSTERILER!$B$7:$B$106,MATCH($T401&amp;"*",MUSTERILER!$T$7:$T$106,0)),"TANIMSIZ MÜŞTERİ"))))</f>
        <v/>
      </c>
      <c r="C401" s="109" t="n"/>
      <c r="D401" s="220" t="n"/>
      <c r="E401" s="220" t="n"/>
      <c r="F401" s="108" t="n"/>
      <c r="G401" s="221" t="n"/>
      <c r="H401" s="108" t="n"/>
      <c r="I401" s="222">
        <f>IF(OR($C401="",$D401="",$G401="",$F401=""),0,$G401*IF($F401="Aylık",MAX(0,(YEAR(MIN(IF($E401="",TODAY(),$E401),TODAY()))-YEAR($D401))*12+MONTH(MIN(IF($E401="",TODAY(),$E401),TODAY()))-MONTH($D401)+IF(MIN(IF($E401="",TODAY(),$E401),TODAY())&gt;=EOMONTH(MIN(IF($E401="",TODAY(),$E401),TODAY()),0),1,0)),MAX(0,INT((MIN(IF($E401="",TODAY(),$E401),TODAY())-($D401+MOD(SISTEM!$F$8-WEEKDAY($D401,2),7)))/7)+1)))</f>
        <v/>
      </c>
      <c r="J401" s="222">
        <f>IF(OR($C401="",$D401="",$G401="",$F401=""),0,$G401*IF($F401="Aylık",MAX(0,(YEAR(MIN(IF($E401="",TODAY()-8,$E401),TODAY()-8))-YEAR($D401))*12+MONTH(MIN(IF($E401="",TODAY()-8,$E401),TODAY()-8))-MONTH($D401)+IF(MIN(IF($E401="",TODAY()-8,$E401),TODAY()-8)&gt;=EOMONTH(MIN(IF($E401="",TODAY()-8,$E401),TODAY()-8),0),1,0)),MAX(0,INT((MIN(IF($E401="",TODAY()-8,$E401),TODAY()-8)-($D401+MOD(SISTEM!$F$8-WEEKDAY($D401,2),7)))/7)+1)))</f>
        <v/>
      </c>
      <c r="K401" s="222">
        <f>IF(OR($C401="",$D401="",$G401="",$F401=""),0,$G401*IF($F401="Aylık",MAX(0,(YEAR(MIN(IF($E401="",TODAY()-15,$E401),TODAY()-15))-YEAR($D401))*12+MONTH(MIN(IF($E401="",TODAY()-15,$E401),TODAY()-15))-MONTH($D401)+IF(MIN(IF($E401="",TODAY()-15,$E401),TODAY()-15)&gt;=EOMONTH(MIN(IF($E401="",TODAY()-15,$E401),TODAY()-15),0),1,0)),MAX(0,INT((MIN(IF($E401="",TODAY()-15,$E401),TODAY()-15)-($D401+MOD(SISTEM!$F$8-WEEKDAY($D401,2),7)))/7)+1)))</f>
        <v/>
      </c>
      <c r="L401" s="222">
        <f>IF(OR($C401="",$D401="",$G401="",$F401=""),0,$G401*IF($F401="Aylık",MAX(0,(YEAR(MIN(IF($E401="",TODAY()-29,$E401),TODAY()-29))-YEAR($D401))*12+MONTH(MIN(IF($E401="",TODAY()-29,$E401),TODAY()-29))-MONTH($D401)+IF(MIN(IF($E401="",TODAY()-29,$E401),TODAY()-29)&gt;=EOMONTH(MIN(IF($E401="",TODAY()-29,$E401),TODAY()-29),0),1,0)),MAX(0,INT((MIN(IF($E401="",TODAY()-29,$E401),TODAY()-29)-($D401+MOD(SISTEM!$F$8-WEEKDAY($D401,2),7)))/7)+1)))</f>
        <v/>
      </c>
      <c r="M401" s="223">
        <f>IF($G401&gt;0,$I401/$G401,0)</f>
        <v/>
      </c>
      <c r="N401" s="113">
        <f>IF($C401="","",IF($B401="TANIMSIZ MÜŞTERİ","TANIMSIZ MÜŞTERİ",IF($F401="","MODEL SEÇİN",IF(OR($D401="",$G401&lt;=0),"EKSİK",IF(AND($E401&lt;&gt;"",$E401&lt;$D401),"TARİH HATASI",IF($H401="Pasif","KAPALI DÖNEM","UYGUN"))))))</f>
        <v/>
      </c>
      <c r="O401" s="224">
        <f>IF(OR($C401="",$D401="",$F401=""),"",IF($F401="Aylık",EOMONTH($D401,0),($D401+MOD(SISTEM!$F$8-WEEKDAY($D401,2),7))))</f>
        <v/>
      </c>
      <c r="P401" s="109" t="n"/>
      <c r="Q401" s="6" t="n"/>
      <c r="R401" s="6" t="n"/>
      <c r="S401" s="3">
        <f>IF($B401="","",$B401&amp;"|"&amp;COUNTIFS($B$7:$B401,$B401))</f>
        <v/>
      </c>
      <c r="T401" s="3">
        <f>IF($C401="","",UPPER(SUBSTITUTE(SUBSTITUTE(SUBSTITUTE(SUBSTITUTE(SUBSTITUTE(SUBSTITUTE(SUBSTITUTE(SUBSTITUTE(SUBSTITUTE(SUBSTITUTE(SUBSTITUTE(SUBSTITUTE(SUBSTITUTE(SUBSTITUTE(SUBSTITUTE(SUBSTITUTE(SUBSTITUTE(SUBSTITUTE(TRIM($C401),"'",""),"İ","I"),"ı","I"),"i","I"),"Ş","S"),"ş","S"),"Ğ","G"),"ğ","G"),"Ü","U"),"ü","U"),"Ö","O"),"ö","O"),"Ç","C"),"ç","C"),".",""),",","")," ",""),"-","")))</f>
        <v/>
      </c>
    </row>
    <row r="402">
      <c r="A402" s="6" t="n"/>
      <c r="B402" s="113">
        <f>IF($C402="","",IFERROR(INDEX(MUSTERILER!$B$7:$B$106,MATCH($T402,MUSTERILER!$T$7:$T$106,0)),IFERROR(INDEX(MUSTERILER!$B$7:$B$106,MATCH($C402,MUSTERILER!$B$7:$B$106,0)),IFERROR(INDEX(MUSTERILER!$B$7:$B$106,MATCH($T402&amp;"*",MUSTERILER!$T$7:$T$106,0)),"TANIMSIZ MÜŞTERİ"))))</f>
        <v/>
      </c>
      <c r="C402" s="109" t="n"/>
      <c r="D402" s="220" t="n"/>
      <c r="E402" s="220" t="n"/>
      <c r="F402" s="108" t="n"/>
      <c r="G402" s="221" t="n"/>
      <c r="H402" s="108" t="n"/>
      <c r="I402" s="222">
        <f>IF(OR($C402="",$D402="",$G402="",$F402=""),0,$G402*IF($F402="Aylık",MAX(0,(YEAR(MIN(IF($E402="",TODAY(),$E402),TODAY()))-YEAR($D402))*12+MONTH(MIN(IF($E402="",TODAY(),$E402),TODAY()))-MONTH($D402)+IF(MIN(IF($E402="",TODAY(),$E402),TODAY())&gt;=EOMONTH(MIN(IF($E402="",TODAY(),$E402),TODAY()),0),1,0)),MAX(0,INT((MIN(IF($E402="",TODAY(),$E402),TODAY())-($D402+MOD(SISTEM!$F$8-WEEKDAY($D402,2),7)))/7)+1)))</f>
        <v/>
      </c>
      <c r="J402" s="222">
        <f>IF(OR($C402="",$D402="",$G402="",$F402=""),0,$G402*IF($F402="Aylık",MAX(0,(YEAR(MIN(IF($E402="",TODAY()-8,$E402),TODAY()-8))-YEAR($D402))*12+MONTH(MIN(IF($E402="",TODAY()-8,$E402),TODAY()-8))-MONTH($D402)+IF(MIN(IF($E402="",TODAY()-8,$E402),TODAY()-8)&gt;=EOMONTH(MIN(IF($E402="",TODAY()-8,$E402),TODAY()-8),0),1,0)),MAX(0,INT((MIN(IF($E402="",TODAY()-8,$E402),TODAY()-8)-($D402+MOD(SISTEM!$F$8-WEEKDAY($D402,2),7)))/7)+1)))</f>
        <v/>
      </c>
      <c r="K402" s="222">
        <f>IF(OR($C402="",$D402="",$G402="",$F402=""),0,$G402*IF($F402="Aylık",MAX(0,(YEAR(MIN(IF($E402="",TODAY()-15,$E402),TODAY()-15))-YEAR($D402))*12+MONTH(MIN(IF($E402="",TODAY()-15,$E402),TODAY()-15))-MONTH($D402)+IF(MIN(IF($E402="",TODAY()-15,$E402),TODAY()-15)&gt;=EOMONTH(MIN(IF($E402="",TODAY()-15,$E402),TODAY()-15),0),1,0)),MAX(0,INT((MIN(IF($E402="",TODAY()-15,$E402),TODAY()-15)-($D402+MOD(SISTEM!$F$8-WEEKDAY($D402,2),7)))/7)+1)))</f>
        <v/>
      </c>
      <c r="L402" s="222">
        <f>IF(OR($C402="",$D402="",$G402="",$F402=""),0,$G402*IF($F402="Aylık",MAX(0,(YEAR(MIN(IF($E402="",TODAY()-29,$E402),TODAY()-29))-YEAR($D402))*12+MONTH(MIN(IF($E402="",TODAY()-29,$E402),TODAY()-29))-MONTH($D402)+IF(MIN(IF($E402="",TODAY()-29,$E402),TODAY()-29)&gt;=EOMONTH(MIN(IF($E402="",TODAY()-29,$E402),TODAY()-29),0),1,0)),MAX(0,INT((MIN(IF($E402="",TODAY()-29,$E402),TODAY()-29)-($D402+MOD(SISTEM!$F$8-WEEKDAY($D402,2),7)))/7)+1)))</f>
        <v/>
      </c>
      <c r="M402" s="223">
        <f>IF($G402&gt;0,$I402/$G402,0)</f>
        <v/>
      </c>
      <c r="N402" s="113">
        <f>IF($C402="","",IF($B402="TANIMSIZ MÜŞTERİ","TANIMSIZ MÜŞTERİ",IF($F402="","MODEL SEÇİN",IF(OR($D402="",$G402&lt;=0),"EKSİK",IF(AND($E402&lt;&gt;"",$E402&lt;$D402),"TARİH HATASI",IF($H402="Pasif","KAPALI DÖNEM","UYGUN"))))))</f>
        <v/>
      </c>
      <c r="O402" s="224">
        <f>IF(OR($C402="",$D402="",$F402=""),"",IF($F402="Aylık",EOMONTH($D402,0),($D402+MOD(SISTEM!$F$8-WEEKDAY($D402,2),7))))</f>
        <v/>
      </c>
      <c r="P402" s="109" t="n"/>
      <c r="Q402" s="6" t="n"/>
      <c r="R402" s="6" t="n"/>
      <c r="S402" s="3">
        <f>IF($B402="","",$B402&amp;"|"&amp;COUNTIFS($B$7:$B402,$B402))</f>
        <v/>
      </c>
      <c r="T402" s="3">
        <f>IF($C402="","",UPPER(SUBSTITUTE(SUBSTITUTE(SUBSTITUTE(SUBSTITUTE(SUBSTITUTE(SUBSTITUTE(SUBSTITUTE(SUBSTITUTE(SUBSTITUTE(SUBSTITUTE(SUBSTITUTE(SUBSTITUTE(SUBSTITUTE(SUBSTITUTE(SUBSTITUTE(SUBSTITUTE(SUBSTITUTE(SUBSTITUTE(TRIM($C402),"'",""),"İ","I"),"ı","I"),"i","I"),"Ş","S"),"ş","S"),"Ğ","G"),"ğ","G"),"Ü","U"),"ü","U"),"Ö","O"),"ö","O"),"Ç","C"),"ç","C"),".",""),",","")," ",""),"-","")))</f>
        <v/>
      </c>
    </row>
    <row r="403">
      <c r="A403" s="6" t="n"/>
      <c r="B403" s="113">
        <f>IF($C403="","",IFERROR(INDEX(MUSTERILER!$B$7:$B$106,MATCH($T403,MUSTERILER!$T$7:$T$106,0)),IFERROR(INDEX(MUSTERILER!$B$7:$B$106,MATCH($C403,MUSTERILER!$B$7:$B$106,0)),IFERROR(INDEX(MUSTERILER!$B$7:$B$106,MATCH($T403&amp;"*",MUSTERILER!$T$7:$T$106,0)),"TANIMSIZ MÜŞTERİ"))))</f>
        <v/>
      </c>
      <c r="C403" s="109" t="n"/>
      <c r="D403" s="220" t="n"/>
      <c r="E403" s="220" t="n"/>
      <c r="F403" s="108" t="n"/>
      <c r="G403" s="221" t="n"/>
      <c r="H403" s="108" t="n"/>
      <c r="I403" s="222">
        <f>IF(OR($C403="",$D403="",$G403="",$F403=""),0,$G403*IF($F403="Aylık",MAX(0,(YEAR(MIN(IF($E403="",TODAY(),$E403),TODAY()))-YEAR($D403))*12+MONTH(MIN(IF($E403="",TODAY(),$E403),TODAY()))-MONTH($D403)+IF(MIN(IF($E403="",TODAY(),$E403),TODAY())&gt;=EOMONTH(MIN(IF($E403="",TODAY(),$E403),TODAY()),0),1,0)),MAX(0,INT((MIN(IF($E403="",TODAY(),$E403),TODAY())-($D403+MOD(SISTEM!$F$8-WEEKDAY($D403,2),7)))/7)+1)))</f>
        <v/>
      </c>
      <c r="J403" s="222">
        <f>IF(OR($C403="",$D403="",$G403="",$F403=""),0,$G403*IF($F403="Aylık",MAX(0,(YEAR(MIN(IF($E403="",TODAY()-8,$E403),TODAY()-8))-YEAR($D403))*12+MONTH(MIN(IF($E403="",TODAY()-8,$E403),TODAY()-8))-MONTH($D403)+IF(MIN(IF($E403="",TODAY()-8,$E403),TODAY()-8)&gt;=EOMONTH(MIN(IF($E403="",TODAY()-8,$E403),TODAY()-8),0),1,0)),MAX(0,INT((MIN(IF($E403="",TODAY()-8,$E403),TODAY()-8)-($D403+MOD(SISTEM!$F$8-WEEKDAY($D403,2),7)))/7)+1)))</f>
        <v/>
      </c>
      <c r="K403" s="222">
        <f>IF(OR($C403="",$D403="",$G403="",$F403=""),0,$G403*IF($F403="Aylık",MAX(0,(YEAR(MIN(IF($E403="",TODAY()-15,$E403),TODAY()-15))-YEAR($D403))*12+MONTH(MIN(IF($E403="",TODAY()-15,$E403),TODAY()-15))-MONTH($D403)+IF(MIN(IF($E403="",TODAY()-15,$E403),TODAY()-15)&gt;=EOMONTH(MIN(IF($E403="",TODAY()-15,$E403),TODAY()-15),0),1,0)),MAX(0,INT((MIN(IF($E403="",TODAY()-15,$E403),TODAY()-15)-($D403+MOD(SISTEM!$F$8-WEEKDAY($D403,2),7)))/7)+1)))</f>
        <v/>
      </c>
      <c r="L403" s="222">
        <f>IF(OR($C403="",$D403="",$G403="",$F403=""),0,$G403*IF($F403="Aylık",MAX(0,(YEAR(MIN(IF($E403="",TODAY()-29,$E403),TODAY()-29))-YEAR($D403))*12+MONTH(MIN(IF($E403="",TODAY()-29,$E403),TODAY()-29))-MONTH($D403)+IF(MIN(IF($E403="",TODAY()-29,$E403),TODAY()-29)&gt;=EOMONTH(MIN(IF($E403="",TODAY()-29,$E403),TODAY()-29),0),1,0)),MAX(0,INT((MIN(IF($E403="",TODAY()-29,$E403),TODAY()-29)-($D403+MOD(SISTEM!$F$8-WEEKDAY($D403,2),7)))/7)+1)))</f>
        <v/>
      </c>
      <c r="M403" s="223">
        <f>IF($G403&gt;0,$I403/$G403,0)</f>
        <v/>
      </c>
      <c r="N403" s="113">
        <f>IF($C403="","",IF($B403="TANIMSIZ MÜŞTERİ","TANIMSIZ MÜŞTERİ",IF($F403="","MODEL SEÇİN",IF(OR($D403="",$G403&lt;=0),"EKSİK",IF(AND($E403&lt;&gt;"",$E403&lt;$D403),"TARİH HATASI",IF($H403="Pasif","KAPALI DÖNEM","UYGUN"))))))</f>
        <v/>
      </c>
      <c r="O403" s="224">
        <f>IF(OR($C403="",$D403="",$F403=""),"",IF($F403="Aylık",EOMONTH($D403,0),($D403+MOD(SISTEM!$F$8-WEEKDAY($D403,2),7))))</f>
        <v/>
      </c>
      <c r="P403" s="109" t="n"/>
      <c r="Q403" s="6" t="n"/>
      <c r="R403" s="6" t="n"/>
      <c r="S403" s="3">
        <f>IF($B403="","",$B403&amp;"|"&amp;COUNTIFS($B$7:$B403,$B403))</f>
        <v/>
      </c>
      <c r="T403" s="3">
        <f>IF($C403="","",UPPER(SUBSTITUTE(SUBSTITUTE(SUBSTITUTE(SUBSTITUTE(SUBSTITUTE(SUBSTITUTE(SUBSTITUTE(SUBSTITUTE(SUBSTITUTE(SUBSTITUTE(SUBSTITUTE(SUBSTITUTE(SUBSTITUTE(SUBSTITUTE(SUBSTITUTE(SUBSTITUTE(SUBSTITUTE(SUBSTITUTE(TRIM($C403),"'",""),"İ","I"),"ı","I"),"i","I"),"Ş","S"),"ş","S"),"Ğ","G"),"ğ","G"),"Ü","U"),"ü","U"),"Ö","O"),"ö","O"),"Ç","C"),"ç","C"),".",""),",","")," ",""),"-","")))</f>
        <v/>
      </c>
    </row>
    <row r="404">
      <c r="A404" s="6" t="n"/>
      <c r="B404" s="113">
        <f>IF($C404="","",IFERROR(INDEX(MUSTERILER!$B$7:$B$106,MATCH($T404,MUSTERILER!$T$7:$T$106,0)),IFERROR(INDEX(MUSTERILER!$B$7:$B$106,MATCH($C404,MUSTERILER!$B$7:$B$106,0)),IFERROR(INDEX(MUSTERILER!$B$7:$B$106,MATCH($T404&amp;"*",MUSTERILER!$T$7:$T$106,0)),"TANIMSIZ MÜŞTERİ"))))</f>
        <v/>
      </c>
      <c r="C404" s="109" t="n"/>
      <c r="D404" s="220" t="n"/>
      <c r="E404" s="220" t="n"/>
      <c r="F404" s="108" t="n"/>
      <c r="G404" s="221" t="n"/>
      <c r="H404" s="108" t="n"/>
      <c r="I404" s="222">
        <f>IF(OR($C404="",$D404="",$G404="",$F404=""),0,$G404*IF($F404="Aylık",MAX(0,(YEAR(MIN(IF($E404="",TODAY(),$E404),TODAY()))-YEAR($D404))*12+MONTH(MIN(IF($E404="",TODAY(),$E404),TODAY()))-MONTH($D404)+IF(MIN(IF($E404="",TODAY(),$E404),TODAY())&gt;=EOMONTH(MIN(IF($E404="",TODAY(),$E404),TODAY()),0),1,0)),MAX(0,INT((MIN(IF($E404="",TODAY(),$E404),TODAY())-($D404+MOD(SISTEM!$F$8-WEEKDAY($D404,2),7)))/7)+1)))</f>
        <v/>
      </c>
      <c r="J404" s="222">
        <f>IF(OR($C404="",$D404="",$G404="",$F404=""),0,$G404*IF($F404="Aylık",MAX(0,(YEAR(MIN(IF($E404="",TODAY()-8,$E404),TODAY()-8))-YEAR($D404))*12+MONTH(MIN(IF($E404="",TODAY()-8,$E404),TODAY()-8))-MONTH($D404)+IF(MIN(IF($E404="",TODAY()-8,$E404),TODAY()-8)&gt;=EOMONTH(MIN(IF($E404="",TODAY()-8,$E404),TODAY()-8),0),1,0)),MAX(0,INT((MIN(IF($E404="",TODAY()-8,$E404),TODAY()-8)-($D404+MOD(SISTEM!$F$8-WEEKDAY($D404,2),7)))/7)+1)))</f>
        <v/>
      </c>
      <c r="K404" s="222">
        <f>IF(OR($C404="",$D404="",$G404="",$F404=""),0,$G404*IF($F404="Aylık",MAX(0,(YEAR(MIN(IF($E404="",TODAY()-15,$E404),TODAY()-15))-YEAR($D404))*12+MONTH(MIN(IF($E404="",TODAY()-15,$E404),TODAY()-15))-MONTH($D404)+IF(MIN(IF($E404="",TODAY()-15,$E404),TODAY()-15)&gt;=EOMONTH(MIN(IF($E404="",TODAY()-15,$E404),TODAY()-15),0),1,0)),MAX(0,INT((MIN(IF($E404="",TODAY()-15,$E404),TODAY()-15)-($D404+MOD(SISTEM!$F$8-WEEKDAY($D404,2),7)))/7)+1)))</f>
        <v/>
      </c>
      <c r="L404" s="222">
        <f>IF(OR($C404="",$D404="",$G404="",$F404=""),0,$G404*IF($F404="Aylık",MAX(0,(YEAR(MIN(IF($E404="",TODAY()-29,$E404),TODAY()-29))-YEAR($D404))*12+MONTH(MIN(IF($E404="",TODAY()-29,$E404),TODAY()-29))-MONTH($D404)+IF(MIN(IF($E404="",TODAY()-29,$E404),TODAY()-29)&gt;=EOMONTH(MIN(IF($E404="",TODAY()-29,$E404),TODAY()-29),0),1,0)),MAX(0,INT((MIN(IF($E404="",TODAY()-29,$E404),TODAY()-29)-($D404+MOD(SISTEM!$F$8-WEEKDAY($D404,2),7)))/7)+1)))</f>
        <v/>
      </c>
      <c r="M404" s="223">
        <f>IF($G404&gt;0,$I404/$G404,0)</f>
        <v/>
      </c>
      <c r="N404" s="113">
        <f>IF($C404="","",IF($B404="TANIMSIZ MÜŞTERİ","TANIMSIZ MÜŞTERİ",IF($F404="","MODEL SEÇİN",IF(OR($D404="",$G404&lt;=0),"EKSİK",IF(AND($E404&lt;&gt;"",$E404&lt;$D404),"TARİH HATASI",IF($H404="Pasif","KAPALI DÖNEM","UYGUN"))))))</f>
        <v/>
      </c>
      <c r="O404" s="224">
        <f>IF(OR($C404="",$D404="",$F404=""),"",IF($F404="Aylık",EOMONTH($D404,0),($D404+MOD(SISTEM!$F$8-WEEKDAY($D404,2),7))))</f>
        <v/>
      </c>
      <c r="P404" s="109" t="n"/>
      <c r="Q404" s="6" t="n"/>
      <c r="R404" s="6" t="n"/>
      <c r="S404" s="3">
        <f>IF($B404="","",$B404&amp;"|"&amp;COUNTIFS($B$7:$B404,$B404))</f>
        <v/>
      </c>
      <c r="T404" s="3">
        <f>IF($C404="","",UPPER(SUBSTITUTE(SUBSTITUTE(SUBSTITUTE(SUBSTITUTE(SUBSTITUTE(SUBSTITUTE(SUBSTITUTE(SUBSTITUTE(SUBSTITUTE(SUBSTITUTE(SUBSTITUTE(SUBSTITUTE(SUBSTITUTE(SUBSTITUTE(SUBSTITUTE(SUBSTITUTE(SUBSTITUTE(SUBSTITUTE(TRIM($C404),"'",""),"İ","I"),"ı","I"),"i","I"),"Ş","S"),"ş","S"),"Ğ","G"),"ğ","G"),"Ü","U"),"ü","U"),"Ö","O"),"ö","O"),"Ç","C"),"ç","C"),".",""),",","")," ",""),"-","")))</f>
        <v/>
      </c>
    </row>
    <row r="405">
      <c r="A405" s="6" t="n"/>
      <c r="B405" s="113">
        <f>IF($C405="","",IFERROR(INDEX(MUSTERILER!$B$7:$B$106,MATCH($T405,MUSTERILER!$T$7:$T$106,0)),IFERROR(INDEX(MUSTERILER!$B$7:$B$106,MATCH($C405,MUSTERILER!$B$7:$B$106,0)),IFERROR(INDEX(MUSTERILER!$B$7:$B$106,MATCH($T405&amp;"*",MUSTERILER!$T$7:$T$106,0)),"TANIMSIZ MÜŞTERİ"))))</f>
        <v/>
      </c>
      <c r="C405" s="109" t="n"/>
      <c r="D405" s="220" t="n"/>
      <c r="E405" s="220" t="n"/>
      <c r="F405" s="108" t="n"/>
      <c r="G405" s="221" t="n"/>
      <c r="H405" s="108" t="n"/>
      <c r="I405" s="222">
        <f>IF(OR($C405="",$D405="",$G405="",$F405=""),0,$G405*IF($F405="Aylık",MAX(0,(YEAR(MIN(IF($E405="",TODAY(),$E405),TODAY()))-YEAR($D405))*12+MONTH(MIN(IF($E405="",TODAY(),$E405),TODAY()))-MONTH($D405)+IF(MIN(IF($E405="",TODAY(),$E405),TODAY())&gt;=EOMONTH(MIN(IF($E405="",TODAY(),$E405),TODAY()),0),1,0)),MAX(0,INT((MIN(IF($E405="",TODAY(),$E405),TODAY())-($D405+MOD(SISTEM!$F$8-WEEKDAY($D405,2),7)))/7)+1)))</f>
        <v/>
      </c>
      <c r="J405" s="222">
        <f>IF(OR($C405="",$D405="",$G405="",$F405=""),0,$G405*IF($F405="Aylık",MAX(0,(YEAR(MIN(IF($E405="",TODAY()-8,$E405),TODAY()-8))-YEAR($D405))*12+MONTH(MIN(IF($E405="",TODAY()-8,$E405),TODAY()-8))-MONTH($D405)+IF(MIN(IF($E405="",TODAY()-8,$E405),TODAY()-8)&gt;=EOMONTH(MIN(IF($E405="",TODAY()-8,$E405),TODAY()-8),0),1,0)),MAX(0,INT((MIN(IF($E405="",TODAY()-8,$E405),TODAY()-8)-($D405+MOD(SISTEM!$F$8-WEEKDAY($D405,2),7)))/7)+1)))</f>
        <v/>
      </c>
      <c r="K405" s="222">
        <f>IF(OR($C405="",$D405="",$G405="",$F405=""),0,$G405*IF($F405="Aylık",MAX(0,(YEAR(MIN(IF($E405="",TODAY()-15,$E405),TODAY()-15))-YEAR($D405))*12+MONTH(MIN(IF($E405="",TODAY()-15,$E405),TODAY()-15))-MONTH($D405)+IF(MIN(IF($E405="",TODAY()-15,$E405),TODAY()-15)&gt;=EOMONTH(MIN(IF($E405="",TODAY()-15,$E405),TODAY()-15),0),1,0)),MAX(0,INT((MIN(IF($E405="",TODAY()-15,$E405),TODAY()-15)-($D405+MOD(SISTEM!$F$8-WEEKDAY($D405,2),7)))/7)+1)))</f>
        <v/>
      </c>
      <c r="L405" s="222">
        <f>IF(OR($C405="",$D405="",$G405="",$F405=""),0,$G405*IF($F405="Aylık",MAX(0,(YEAR(MIN(IF($E405="",TODAY()-29,$E405),TODAY()-29))-YEAR($D405))*12+MONTH(MIN(IF($E405="",TODAY()-29,$E405),TODAY()-29))-MONTH($D405)+IF(MIN(IF($E405="",TODAY()-29,$E405),TODAY()-29)&gt;=EOMONTH(MIN(IF($E405="",TODAY()-29,$E405),TODAY()-29),0),1,0)),MAX(0,INT((MIN(IF($E405="",TODAY()-29,$E405),TODAY()-29)-($D405+MOD(SISTEM!$F$8-WEEKDAY($D405,2),7)))/7)+1)))</f>
        <v/>
      </c>
      <c r="M405" s="223">
        <f>IF($G405&gt;0,$I405/$G405,0)</f>
        <v/>
      </c>
      <c r="N405" s="113">
        <f>IF($C405="","",IF($B405="TANIMSIZ MÜŞTERİ","TANIMSIZ MÜŞTERİ",IF($F405="","MODEL SEÇİN",IF(OR($D405="",$G405&lt;=0),"EKSİK",IF(AND($E405&lt;&gt;"",$E405&lt;$D405),"TARİH HATASI",IF($H405="Pasif","KAPALI DÖNEM","UYGUN"))))))</f>
        <v/>
      </c>
      <c r="O405" s="224">
        <f>IF(OR($C405="",$D405="",$F405=""),"",IF($F405="Aylık",EOMONTH($D405,0),($D405+MOD(SISTEM!$F$8-WEEKDAY($D405,2),7))))</f>
        <v/>
      </c>
      <c r="P405" s="109" t="n"/>
      <c r="Q405" s="6" t="n"/>
      <c r="R405" s="6" t="n"/>
      <c r="S405" s="3">
        <f>IF($B405="","",$B405&amp;"|"&amp;COUNTIFS($B$7:$B405,$B405))</f>
        <v/>
      </c>
      <c r="T405" s="3">
        <f>IF($C405="","",UPPER(SUBSTITUTE(SUBSTITUTE(SUBSTITUTE(SUBSTITUTE(SUBSTITUTE(SUBSTITUTE(SUBSTITUTE(SUBSTITUTE(SUBSTITUTE(SUBSTITUTE(SUBSTITUTE(SUBSTITUTE(SUBSTITUTE(SUBSTITUTE(SUBSTITUTE(SUBSTITUTE(SUBSTITUTE(SUBSTITUTE(TRIM($C405),"'",""),"İ","I"),"ı","I"),"i","I"),"Ş","S"),"ş","S"),"Ğ","G"),"ğ","G"),"Ü","U"),"ü","U"),"Ö","O"),"ö","O"),"Ç","C"),"ç","C"),".",""),",","")," ",""),"-","")))</f>
        <v/>
      </c>
    </row>
    <row r="406">
      <c r="A406" s="6" t="n"/>
      <c r="B406" s="113">
        <f>IF($C406="","",IFERROR(INDEX(MUSTERILER!$B$7:$B$106,MATCH($T406,MUSTERILER!$T$7:$T$106,0)),IFERROR(INDEX(MUSTERILER!$B$7:$B$106,MATCH($C406,MUSTERILER!$B$7:$B$106,0)),IFERROR(INDEX(MUSTERILER!$B$7:$B$106,MATCH($T406&amp;"*",MUSTERILER!$T$7:$T$106,0)),"TANIMSIZ MÜŞTERİ"))))</f>
        <v/>
      </c>
      <c r="C406" s="109" t="n"/>
      <c r="D406" s="220" t="n"/>
      <c r="E406" s="220" t="n"/>
      <c r="F406" s="108" t="n"/>
      <c r="G406" s="221" t="n"/>
      <c r="H406" s="108" t="n"/>
      <c r="I406" s="222">
        <f>IF(OR($C406="",$D406="",$G406="",$F406=""),0,$G406*IF($F406="Aylık",MAX(0,(YEAR(MIN(IF($E406="",TODAY(),$E406),TODAY()))-YEAR($D406))*12+MONTH(MIN(IF($E406="",TODAY(),$E406),TODAY()))-MONTH($D406)+IF(MIN(IF($E406="",TODAY(),$E406),TODAY())&gt;=EOMONTH(MIN(IF($E406="",TODAY(),$E406),TODAY()),0),1,0)),MAX(0,INT((MIN(IF($E406="",TODAY(),$E406),TODAY())-($D406+MOD(SISTEM!$F$8-WEEKDAY($D406,2),7)))/7)+1)))</f>
        <v/>
      </c>
      <c r="J406" s="222">
        <f>IF(OR($C406="",$D406="",$G406="",$F406=""),0,$G406*IF($F406="Aylık",MAX(0,(YEAR(MIN(IF($E406="",TODAY()-8,$E406),TODAY()-8))-YEAR($D406))*12+MONTH(MIN(IF($E406="",TODAY()-8,$E406),TODAY()-8))-MONTH($D406)+IF(MIN(IF($E406="",TODAY()-8,$E406),TODAY()-8)&gt;=EOMONTH(MIN(IF($E406="",TODAY()-8,$E406),TODAY()-8),0),1,0)),MAX(0,INT((MIN(IF($E406="",TODAY()-8,$E406),TODAY()-8)-($D406+MOD(SISTEM!$F$8-WEEKDAY($D406,2),7)))/7)+1)))</f>
        <v/>
      </c>
      <c r="K406" s="222">
        <f>IF(OR($C406="",$D406="",$G406="",$F406=""),0,$G406*IF($F406="Aylık",MAX(0,(YEAR(MIN(IF($E406="",TODAY()-15,$E406),TODAY()-15))-YEAR($D406))*12+MONTH(MIN(IF($E406="",TODAY()-15,$E406),TODAY()-15))-MONTH($D406)+IF(MIN(IF($E406="",TODAY()-15,$E406),TODAY()-15)&gt;=EOMONTH(MIN(IF($E406="",TODAY()-15,$E406),TODAY()-15),0),1,0)),MAX(0,INT((MIN(IF($E406="",TODAY()-15,$E406),TODAY()-15)-($D406+MOD(SISTEM!$F$8-WEEKDAY($D406,2),7)))/7)+1)))</f>
        <v/>
      </c>
      <c r="L406" s="222">
        <f>IF(OR($C406="",$D406="",$G406="",$F406=""),0,$G406*IF($F406="Aylık",MAX(0,(YEAR(MIN(IF($E406="",TODAY()-29,$E406),TODAY()-29))-YEAR($D406))*12+MONTH(MIN(IF($E406="",TODAY()-29,$E406),TODAY()-29))-MONTH($D406)+IF(MIN(IF($E406="",TODAY()-29,$E406),TODAY()-29)&gt;=EOMONTH(MIN(IF($E406="",TODAY()-29,$E406),TODAY()-29),0),1,0)),MAX(0,INT((MIN(IF($E406="",TODAY()-29,$E406),TODAY()-29)-($D406+MOD(SISTEM!$F$8-WEEKDAY($D406,2),7)))/7)+1)))</f>
        <v/>
      </c>
      <c r="M406" s="223">
        <f>IF($G406&gt;0,$I406/$G406,0)</f>
        <v/>
      </c>
      <c r="N406" s="113">
        <f>IF($C406="","",IF($B406="TANIMSIZ MÜŞTERİ","TANIMSIZ MÜŞTERİ",IF($F406="","MODEL SEÇİN",IF(OR($D406="",$G406&lt;=0),"EKSİK",IF(AND($E406&lt;&gt;"",$E406&lt;$D406),"TARİH HATASI",IF($H406="Pasif","KAPALI DÖNEM","UYGUN"))))))</f>
        <v/>
      </c>
      <c r="O406" s="224">
        <f>IF(OR($C406="",$D406="",$F406=""),"",IF($F406="Aylık",EOMONTH($D406,0),($D406+MOD(SISTEM!$F$8-WEEKDAY($D406,2),7))))</f>
        <v/>
      </c>
      <c r="P406" s="109" t="n"/>
      <c r="Q406" s="6" t="n"/>
      <c r="R406" s="6" t="n"/>
      <c r="S406" s="3">
        <f>IF($B406="","",$B406&amp;"|"&amp;COUNTIFS($B$7:$B406,$B406))</f>
        <v/>
      </c>
      <c r="T406" s="3">
        <f>IF($C406="","",UPPER(SUBSTITUTE(SUBSTITUTE(SUBSTITUTE(SUBSTITUTE(SUBSTITUTE(SUBSTITUTE(SUBSTITUTE(SUBSTITUTE(SUBSTITUTE(SUBSTITUTE(SUBSTITUTE(SUBSTITUTE(SUBSTITUTE(SUBSTITUTE(SUBSTITUTE(SUBSTITUTE(SUBSTITUTE(SUBSTITUTE(TRIM($C406),"'",""),"İ","I"),"ı","I"),"i","I"),"Ş","S"),"ş","S"),"Ğ","G"),"ğ","G"),"Ü","U"),"ü","U"),"Ö","O"),"ö","O"),"Ç","C"),"ç","C"),".",""),",","")," ",""),"-","")))</f>
        <v/>
      </c>
    </row>
    <row r="407">
      <c r="A407" s="6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6" t="n"/>
      <c r="R407" s="6" t="n"/>
      <c r="S407" s="3" t="n"/>
      <c r="T407" s="3" t="n"/>
    </row>
    <row r="408">
      <c r="A408" s="6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6" t="n"/>
      <c r="R408" s="6" t="n"/>
      <c r="S408" s="3" t="n"/>
      <c r="T4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406"/>
  <mergeCells count="2">
    <mergeCell ref="A1:P1"/>
    <mergeCell ref="A2:P2"/>
  </mergeCells>
  <conditionalFormatting sqref="N7:N406">
    <cfRule type="expression" priority="1" dxfId="3" stopIfTrue="1">
      <formula>EXACT($N7,"UYGUN")</formula>
    </cfRule>
    <cfRule type="expression" priority="2" dxfId="4" stopIfTrue="1">
      <formula>EXACT($N7,"EKSİK")</formula>
    </cfRule>
    <cfRule type="expression" priority="3" dxfId="4" stopIfTrue="1">
      <formula>EXACT($N7,"MODEL SEÇİN")</formula>
    </cfRule>
    <cfRule type="expression" priority="4" dxfId="5" stopIfTrue="1">
      <formula>EXACT($N7,"TANIMSIZ MÜŞTERİ")</formula>
    </cfRule>
    <cfRule type="expression" priority="5" dxfId="5" stopIfTrue="1">
      <formula>EXACT($N7,"TARİH HATASI")</formula>
    </cfRule>
    <cfRule type="expression" priority="6" dxfId="6" stopIfTrue="1">
      <formula>EXACT($N7,"KAPALI DÖNEM")</formula>
    </cfRule>
  </conditionalFormatting>
  <dataValidations count="3">
    <dataValidation sqref="C7:C4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F7:F406" showDropDown="0" showInputMessage="0" showErrorMessage="1" allowBlank="1" errorTitle="Geçersiz tahakkuk modeli" error="Haftalık veya Aylık seçin." promptTitle="Geçersiz tahakkuk modeli" prompt="Haftalık veya Aylık seçin." type="list">
      <formula1>"Haftalık,Aylık"</formula1>
    </dataValidation>
    <dataValidation sqref="H7:H406" showDropDown="0" showInputMessage="0" showErrorMessage="1" allowBlank="1" errorTitle="Geçersiz dönem durumu" error="Aktif veya Pasif seçin." promptTitle="Geçersiz dönem durumu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T1508"/>
  <sheetViews>
    <sheetView showGridLines="0" tabSelected="0" zoomScale="100"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2" customWidth="1" min="3" max="3"/>
    <col width="32" customWidth="1" min="4" max="4"/>
    <col width="13" customWidth="1" min="5" max="5"/>
    <col width="16" customWidth="1" min="6" max="6"/>
    <col width="18" customWidth="1" min="7" max="7"/>
    <col width="15" customWidth="1" min="8" max="8"/>
    <col width="14" customWidth="1" min="9" max="9"/>
    <col width="30" customWidth="1" min="10" max="10"/>
    <col width="16" customWidth="1" min="11" max="11"/>
    <col width="14" customWidth="1" min="12" max="12"/>
    <col width="15" customWidth="1" min="13" max="13"/>
    <col width="30" customWidth="1" min="14" max="14"/>
    <col width="2.4" customWidth="1" min="15" max="15"/>
    <col width="2.4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</cols>
  <sheetData>
    <row r="1" ht="38" customHeight="1">
      <c r="A1" s="1" t="inlineStr">
        <is>
          <t>KILIÇ MUHASEBE   │   MÜŞTERİ TAHSİLATI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45" t="n"/>
      <c r="Q1" s="3" t="n"/>
      <c r="R1" s="3" t="n"/>
      <c r="S1" s="3" t="n"/>
      <c r="T1" s="3" t="n"/>
    </row>
    <row r="2" ht="22" customHeight="1">
      <c r="A2" s="4" t="inlineStr">
        <is>
          <t>Bir ödeme yalnız buraya girilir │ Cari, kasa, aylık kapanış ve nakit kâr otomatik güncellenir</t>
        </is>
      </c>
      <c r="P2" s="46" t="n"/>
      <c r="Q2" s="3" t="n"/>
      <c r="R2" s="3" t="n"/>
      <c r="S2" s="3" t="n"/>
      <c r="T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3" t="n"/>
      <c r="R3" s="3" t="n"/>
      <c r="S3" s="3" t="n"/>
      <c r="T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HYPERLINK("#MUSTERI_360!A1","Müşteri 360")</f>
        <v/>
      </c>
      <c r="E4" s="6" t="n"/>
      <c r="F4" s="99">
        <f>HYPERLINK("#HESAPLAR!A1","Hesaplar")</f>
        <v/>
      </c>
      <c r="G4" s="6" t="n"/>
      <c r="H4" s="100" t="inlineStr">
        <is>
          <t>Sarı hücreler veri girişidir. Beyaz hücreler sistem tarafından hesaplanır ve kilitlidir. Aynı ödemeyi başka bir ekrana tekrar girmeyin.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3" t="n"/>
      <c r="R4" s="3" t="n"/>
      <c r="S4" s="3" t="n"/>
      <c r="T4" s="3" t="n"/>
    </row>
    <row r="5" ht="26" customHeight="1">
      <c r="A5" s="6" t="n"/>
      <c r="B5" s="225">
        <f>COUNTIF($D$7:$D$1506,"&lt;&gt;")</f>
        <v/>
      </c>
      <c r="C5" s="102" t="inlineStr">
        <is>
          <t>TOPLAM  │  Kayıtlı tahsilat</t>
        </is>
      </c>
      <c r="D5" s="101" t="n"/>
      <c r="E5" s="101" t="n"/>
      <c r="F5" s="216">
        <f>SUM($F$7:$F$1506)</f>
        <v/>
      </c>
      <c r="G5" s="101" t="n"/>
      <c r="H5" s="101" t="n"/>
      <c r="I5" s="101" t="n"/>
      <c r="J5" s="101" t="n"/>
      <c r="K5" s="101" t="n"/>
      <c r="L5" s="101" t="n"/>
      <c r="M5" s="101" t="n"/>
      <c r="N5" s="101" t="n"/>
      <c r="O5" s="6" t="n"/>
      <c r="P5" s="6" t="n"/>
      <c r="Q5" s="3" t="n"/>
      <c r="R5" s="3" t="n"/>
      <c r="S5" s="3" t="n"/>
      <c r="T5" s="3" t="n"/>
    </row>
    <row r="6" ht="40" customHeight="1">
      <c r="A6" s="6" t="n"/>
      <c r="B6" s="105" t="inlineStr">
        <is>
          <t>Tahsilat No</t>
        </is>
      </c>
      <c r="C6" s="105" t="inlineStr">
        <is>
          <t>Müşteri No</t>
        </is>
      </c>
      <c r="D6" s="106" t="inlineStr">
        <is>
          <t>Müşteri  (listeden seçin)</t>
        </is>
      </c>
      <c r="E6" s="105" t="inlineStr">
        <is>
          <t>Tarih</t>
        </is>
      </c>
      <c r="F6" s="107" t="inlineStr">
        <is>
          <t>Tutar</t>
        </is>
      </c>
      <c r="G6" s="105" t="inlineStr">
        <is>
          <t>Kasa / Banka</t>
        </is>
      </c>
      <c r="H6" s="105" t="inlineStr">
        <is>
          <t>Ödeme Türü</t>
        </is>
      </c>
      <c r="I6" s="106" t="inlineStr">
        <is>
          <t>Belge No</t>
        </is>
      </c>
      <c r="J6" s="106" t="inlineStr">
        <is>
          <t>Açıklama</t>
        </is>
      </c>
      <c r="K6" s="106" t="inlineStr">
        <is>
          <t>İşlemi Giren</t>
        </is>
      </c>
      <c r="L6" s="105" t="inlineStr">
        <is>
          <t>Ay</t>
        </is>
      </c>
      <c r="M6" s="105" t="inlineStr">
        <is>
          <t>Kayıt Kontrolü</t>
        </is>
      </c>
      <c r="N6" s="106" t="inlineStr">
        <is>
          <t>Kayda Alınan Müşteri</t>
        </is>
      </c>
      <c r="O6" s="6" t="n"/>
      <c r="P6" s="6" t="n"/>
      <c r="Q6" s="3" t="n"/>
      <c r="R6" s="3" t="n"/>
      <c r="S6" s="3" t="n"/>
      <c r="T6" s="3" t="n"/>
    </row>
    <row r="7">
      <c r="A7" s="6" t="n"/>
      <c r="B7" s="113">
        <f>IF($D7="","","T"&amp;TEXT(ROW()-6,"00000"))</f>
        <v/>
      </c>
      <c r="C7" s="113">
        <f>IF($D7="","",IFERROR(INDEX(MUSTERILER!$B$7:$B$106,MATCH($R7,MUSTERILER!$T$7:$T$106,0)),IFERROR(INDEX(MUSTERILER!$B$7:$B$106,MATCH($D7,MUSTERILER!$B$7:$B$106,0)),IFERROR(INDEX(MUSTERILER!$B$7:$B$106,MATCH($R7&amp;"*",MUSTERILER!$T$7:$T$106,0)),"TANIMSIZ MÜŞTERİ"))))</f>
        <v/>
      </c>
      <c r="D7" s="109" t="inlineStr">
        <is>
          <t>PALAOĞULLARI LTD.ŞTİ.</t>
        </is>
      </c>
      <c r="E7" s="220" t="n">
        <v>46023</v>
      </c>
      <c r="F7" s="221" t="n">
        <v>27000</v>
      </c>
      <c r="G7" s="108" t="inlineStr">
        <is>
          <t>MERKEZ KASA</t>
        </is>
      </c>
      <c r="H7" s="108" t="inlineStr">
        <is>
          <t>Nakit</t>
        </is>
      </c>
      <c r="I7" s="109" t="n"/>
      <c r="J7" s="109" t="inlineStr">
        <is>
          <t xml:space="preserve">HESAP BAKİYE TASHİHİ KAPALI KALDIĞI DÖNEM </t>
        </is>
      </c>
      <c r="K7" s="109" t="n"/>
      <c r="L7" s="226">
        <f>IF($E7="","",DATE(YEAR($E7),MONTH($E7),1))</f>
        <v/>
      </c>
      <c r="M7" s="113">
        <f>IF($D7="","",IF($C7="TANIMSIZ MÜŞTERİ","HATA",IF(OR($E7="",$F7&lt;=0,$G7=""),"EKSİK",IF($E7&gt;TODAY(),"İLERİ TARİH",IF(COUNTIF($S$7:$S$1506,$S7)&gt;1,"MÜKERRER?",IF($T7&gt;0,"KAPALI DÖNEM","UYGUN"))))))</f>
        <v/>
      </c>
      <c r="N7" s="121">
        <f>IF($C7="","",IF($C7="TANIMSIZ MÜŞTERİ","—",INDEX(MUSTERILER!$C$7:$C$106,MATCH($C7,MUSTERILER!$B$7:$B$106,0))))</f>
        <v/>
      </c>
      <c r="O7" s="6" t="n"/>
      <c r="P7" s="6" t="n"/>
      <c r="Q7" s="3">
        <f>IF($D7="","",$C7&amp;"|"&amp;COUNTIFS($C$7:$C7,$C7))</f>
        <v/>
      </c>
      <c r="R7" s="3">
        <f>IF($D7="","",UPPER(SUBSTITUTE(SUBSTITUTE(SUBSTITUTE(SUBSTITUTE(SUBSTITUTE(SUBSTITUTE(SUBSTITUTE(SUBSTITUTE(SUBSTITUTE(SUBSTITUTE(SUBSTITUTE(SUBSTITUTE(SUBSTITUTE(SUBSTITUTE(SUBSTITUTE(SUBSTITUTE(SUBSTITUTE(SUBSTITUTE(TRIM($D7),"'",""),"İ","I"),"ı","I"),"i","I"),"Ş","S"),"ş","S"),"Ğ","G"),"ğ","G"),"Ü","U"),"ü","U"),"Ö","O"),"ö","O"),"Ç","C"),"ç","C"),".",""),",","")," ",""),"-","")))</f>
        <v/>
      </c>
      <c r="S7" s="3">
        <f>IF($D7="","",$C7&amp;"|"&amp;TEXT($E7,"0")&amp;"|"&amp;TEXT($F7,"0")&amp;"|"&amp;$I7)</f>
        <v/>
      </c>
      <c r="T7" s="3">
        <f>IF($E7="",0,SUMPRODUCT((AY_SONU!$O$7:$O$42="Evet")*(AY_SONU!$B$7:$B$42=DATE(YEAR($E7),MONTH($E7),1))))</f>
        <v/>
      </c>
    </row>
    <row r="8">
      <c r="A8" s="6" t="n"/>
      <c r="B8" s="113">
        <f>IF($D8="","","T"&amp;TEXT(ROW()-6,"00000"))</f>
        <v/>
      </c>
      <c r="C8" s="113">
        <f>IF($D8="","",IFERROR(INDEX(MUSTERILER!$B$7:$B$106,MATCH($R8,MUSTERILER!$T$7:$T$106,0)),IFERROR(INDEX(MUSTERILER!$B$7:$B$106,MATCH($D8,MUSTERILER!$B$7:$B$106,0)),IFERROR(INDEX(MUSTERILER!$B$7:$B$106,MATCH($R8&amp;"*",MUSTERILER!$T$7:$T$106,0)),"TANIMSIZ MÜŞTERİ"))))</f>
        <v/>
      </c>
      <c r="D8" s="109" t="inlineStr">
        <is>
          <t>RİX ŞOW LTD.ŞTİ.</t>
        </is>
      </c>
      <c r="E8" s="220" t="n">
        <v>46023</v>
      </c>
      <c r="F8" s="221" t="n">
        <v>17200</v>
      </c>
      <c r="G8" s="108" t="inlineStr">
        <is>
          <t>MERKEZ KASA</t>
        </is>
      </c>
      <c r="H8" s="108" t="inlineStr">
        <is>
          <t>Nakit</t>
        </is>
      </c>
      <c r="I8" s="109" t="n"/>
      <c r="J8" s="109" t="inlineStr">
        <is>
          <t xml:space="preserve">HESAP BAKİYE TASHİHİ KAPALI KALDIĞI DÖNEM </t>
        </is>
      </c>
      <c r="K8" s="109" t="n"/>
      <c r="L8" s="226">
        <f>IF($E8="","",DATE(YEAR($E8),MONTH($E8),1))</f>
        <v/>
      </c>
      <c r="M8" s="113">
        <f>IF($D8="","",IF($C8="TANIMSIZ MÜŞTERİ","HATA",IF(OR($E8="",$F8&lt;=0,$G8=""),"EKSİK",IF($E8&gt;TODAY(),"İLERİ TARİH",IF(COUNTIF($S$7:$S$1506,$S8)&gt;1,"MÜKERRER?",IF($T8&gt;0,"KAPALI DÖNEM","UYGUN"))))))</f>
        <v/>
      </c>
      <c r="N8" s="121">
        <f>IF($C8="","",IF($C8="TANIMSIZ MÜŞTERİ","—",INDEX(MUSTERILER!$C$7:$C$106,MATCH($C8,MUSTERILER!$B$7:$B$106,0))))</f>
        <v/>
      </c>
      <c r="O8" s="6" t="n"/>
      <c r="P8" s="6" t="n"/>
      <c r="Q8" s="3">
        <f>IF($D8="","",$C8&amp;"|"&amp;COUNTIFS($C$7:$C8,$C8))</f>
        <v/>
      </c>
      <c r="R8" s="3">
        <f>IF($D8="","",UPPER(SUBSTITUTE(SUBSTITUTE(SUBSTITUTE(SUBSTITUTE(SUBSTITUTE(SUBSTITUTE(SUBSTITUTE(SUBSTITUTE(SUBSTITUTE(SUBSTITUTE(SUBSTITUTE(SUBSTITUTE(SUBSTITUTE(SUBSTITUTE(SUBSTITUTE(SUBSTITUTE(SUBSTITUTE(SUBSTITUTE(TRIM($D8),"'",""),"İ","I"),"ı","I"),"i","I"),"Ş","S"),"ş","S"),"Ğ","G"),"ğ","G"),"Ü","U"),"ü","U"),"Ö","O"),"ö","O"),"Ç","C"),"ç","C"),".",""),",","")," ",""),"-","")))</f>
        <v/>
      </c>
      <c r="S8" s="3">
        <f>IF($D8="","",$C8&amp;"|"&amp;TEXT($E8,"0")&amp;"|"&amp;TEXT($F8,"0")&amp;"|"&amp;$I8)</f>
        <v/>
      </c>
      <c r="T8" s="3">
        <f>IF($E8="",0,SUMPRODUCT((AY_SONU!$O$7:$O$42="Evet")*(AY_SONU!$B$7:$B$42=DATE(YEAR($E8),MONTH($E8),1))))</f>
        <v/>
      </c>
    </row>
    <row r="9">
      <c r="A9" s="6" t="n"/>
      <c r="B9" s="113">
        <f>IF($D9="","","T"&amp;TEXT(ROW()-6,"00000"))</f>
        <v/>
      </c>
      <c r="C9" s="113">
        <f>IF($D9="","",IFERROR(INDEX(MUSTERILER!$B$7:$B$106,MATCH($R9,MUSTERILER!$T$7:$T$106,0)),IFERROR(INDEX(MUSTERILER!$B$7:$B$106,MATCH($D9,MUSTERILER!$B$7:$B$106,0)),IFERROR(INDEX(MUSTERILER!$B$7:$B$106,MATCH($R9&amp;"*",MUSTERILER!$T$7:$T$106,0)),"TANIMSIZ MÜŞTERİ"))))</f>
        <v/>
      </c>
      <c r="D9" s="109" t="inlineStr">
        <is>
          <t>EĞLENGÖR LTD.ŞTİ.</t>
        </is>
      </c>
      <c r="E9" s="220" t="n">
        <v>46025</v>
      </c>
      <c r="F9" s="221" t="n">
        <v>3000</v>
      </c>
      <c r="G9" s="108" t="inlineStr">
        <is>
          <t>ÖMER KARTAL</t>
        </is>
      </c>
      <c r="H9" s="108" t="inlineStr">
        <is>
          <t>Nakit</t>
        </is>
      </c>
      <c r="I9" s="109" t="n"/>
      <c r="J9" s="109" t="inlineStr">
        <is>
          <t>ÖMER KARTALA ÖDENEN</t>
        </is>
      </c>
      <c r="K9" s="109" t="n"/>
      <c r="L9" s="226">
        <f>IF($E9="","",DATE(YEAR($E9),MONTH($E9),1))</f>
        <v/>
      </c>
      <c r="M9" s="113">
        <f>IF($D9="","",IF($C9="TANIMSIZ MÜŞTERİ","HATA",IF(OR($E9="",$F9&lt;=0,$G9=""),"EKSİK",IF($E9&gt;TODAY(),"İLERİ TARİH",IF(COUNTIF($S$7:$S$1506,$S9)&gt;1,"MÜKERRER?",IF($T9&gt;0,"KAPALI DÖNEM","UYGUN"))))))</f>
        <v/>
      </c>
      <c r="N9" s="121">
        <f>IF($C9="","",IF($C9="TANIMSIZ MÜŞTERİ","—",INDEX(MUSTERILER!$C$7:$C$106,MATCH($C9,MUSTERILER!$B$7:$B$106,0))))</f>
        <v/>
      </c>
      <c r="O9" s="6" t="n"/>
      <c r="P9" s="6" t="n"/>
      <c r="Q9" s="3">
        <f>IF($D9="","",$C9&amp;"|"&amp;COUNTIFS($C$7:$C9,$C9))</f>
        <v/>
      </c>
      <c r="R9" s="3">
        <f>IF($D9="","",UPPER(SUBSTITUTE(SUBSTITUTE(SUBSTITUTE(SUBSTITUTE(SUBSTITUTE(SUBSTITUTE(SUBSTITUTE(SUBSTITUTE(SUBSTITUTE(SUBSTITUTE(SUBSTITUTE(SUBSTITUTE(SUBSTITUTE(SUBSTITUTE(SUBSTITUTE(SUBSTITUTE(SUBSTITUTE(SUBSTITUTE(TRIM($D9),"'",""),"İ","I"),"ı","I"),"i","I"),"Ş","S"),"ş","S"),"Ğ","G"),"ğ","G"),"Ü","U"),"ü","U"),"Ö","O"),"ö","O"),"Ç","C"),"ç","C"),".",""),",","")," ",""),"-","")))</f>
        <v/>
      </c>
      <c r="S9" s="3">
        <f>IF($D9="","",$C9&amp;"|"&amp;TEXT($E9,"0")&amp;"|"&amp;TEXT($F9,"0")&amp;"|"&amp;$I9)</f>
        <v/>
      </c>
      <c r="T9" s="3">
        <f>IF($E9="",0,SUMPRODUCT((AY_SONU!$O$7:$O$42="Evet")*(AY_SONU!$B$7:$B$42=DATE(YEAR($E9),MONTH($E9),1))))</f>
        <v/>
      </c>
    </row>
    <row r="10">
      <c r="A10" s="6" t="n"/>
      <c r="B10" s="113">
        <f>IF($D10="","","T"&amp;TEXT(ROW()-6,"00000"))</f>
        <v/>
      </c>
      <c r="C10" s="113">
        <f>IF($D10="","",IFERROR(INDEX(MUSTERILER!$B$7:$B$106,MATCH($R10,MUSTERILER!$T$7:$T$106,0)),IFERROR(INDEX(MUSTERILER!$B$7:$B$106,MATCH($D10,MUSTERILER!$B$7:$B$106,0)),IFERROR(INDEX(MUSTERILER!$B$7:$B$106,MATCH($R10&amp;"*",MUSTERILER!$T$7:$T$106,0)),"TANIMSIZ MÜŞTERİ"))))</f>
        <v/>
      </c>
      <c r="D10" s="109" t="inlineStr">
        <is>
          <t>ÖZFİDANLAR LTD.ŞTİ.</t>
        </is>
      </c>
      <c r="E10" s="220" t="n">
        <v>46025</v>
      </c>
      <c r="F10" s="221" t="n">
        <v>2000</v>
      </c>
      <c r="G10" s="108" t="inlineStr">
        <is>
          <t>ÖMER KARTAL</t>
        </is>
      </c>
      <c r="H10" s="108" t="inlineStr">
        <is>
          <t>Nakit</t>
        </is>
      </c>
      <c r="I10" s="109" t="n"/>
      <c r="J10" s="109" t="inlineStr">
        <is>
          <t>ÖMER KARTALA ÖDENEN</t>
        </is>
      </c>
      <c r="K10" s="109" t="n"/>
      <c r="L10" s="226">
        <f>IF($E10="","",DATE(YEAR($E10),MONTH($E10),1))</f>
        <v/>
      </c>
      <c r="M10" s="113">
        <f>IF($D10="","",IF($C10="TANIMSIZ MÜŞTERİ","HATA",IF(OR($E10="",$F10&lt;=0,$G10=""),"EKSİK",IF($E10&gt;TODAY(),"İLERİ TARİH",IF(COUNTIF($S$7:$S$1506,$S10)&gt;1,"MÜKERRER?",IF($T10&gt;0,"KAPALI DÖNEM","UYGUN"))))))</f>
        <v/>
      </c>
      <c r="N10" s="121">
        <f>IF($C10="","",IF($C10="TANIMSIZ MÜŞTERİ","—",INDEX(MUSTERILER!$C$7:$C$106,MATCH($C10,MUSTERILER!$B$7:$B$106,0))))</f>
        <v/>
      </c>
      <c r="O10" s="6" t="n"/>
      <c r="P10" s="6" t="n"/>
      <c r="Q10" s="3">
        <f>IF($D10="","",$C10&amp;"|"&amp;COUNTIFS($C$7:$C10,$C10))</f>
        <v/>
      </c>
      <c r="R10" s="3">
        <f>IF($D10="","",UPPER(SUBSTITUTE(SUBSTITUTE(SUBSTITUTE(SUBSTITUTE(SUBSTITUTE(SUBSTITUTE(SUBSTITUTE(SUBSTITUTE(SUBSTITUTE(SUBSTITUTE(SUBSTITUTE(SUBSTITUTE(SUBSTITUTE(SUBSTITUTE(SUBSTITUTE(SUBSTITUTE(SUBSTITUTE(SUBSTITUTE(TRIM($D10),"'",""),"İ","I"),"ı","I"),"i","I"),"Ş","S"),"ş","S"),"Ğ","G"),"ğ","G"),"Ü","U"),"ü","U"),"Ö","O"),"ö","O"),"Ç","C"),"ç","C"),".",""),",","")," ",""),"-","")))</f>
        <v/>
      </c>
      <c r="S10" s="3">
        <f>IF($D10="","",$C10&amp;"|"&amp;TEXT($E10,"0")&amp;"|"&amp;TEXT($F10,"0")&amp;"|"&amp;$I10)</f>
        <v/>
      </c>
      <c r="T10" s="3">
        <f>IF($E10="",0,SUMPRODUCT((AY_SONU!$O$7:$O$42="Evet")*(AY_SONU!$B$7:$B$42=DATE(YEAR($E10),MONTH($E10),1))))</f>
        <v/>
      </c>
    </row>
    <row r="11">
      <c r="A11" s="6" t="n"/>
      <c r="B11" s="113">
        <f>IF($D11="","","T"&amp;TEXT(ROW()-6,"00000"))</f>
        <v/>
      </c>
      <c r="C11" s="113">
        <f>IF($D11="","",IFERROR(INDEX(MUSTERILER!$B$7:$B$106,MATCH($R11,MUSTERILER!$T$7:$T$106,0)),IFERROR(INDEX(MUSTERILER!$B$7:$B$106,MATCH($D11,MUSTERILER!$B$7:$B$106,0)),IFERROR(INDEX(MUSTERILER!$B$7:$B$106,MATCH($R11&amp;"*",MUSTERILER!$T$7:$T$106,0)),"TANIMSIZ MÜŞTERİ"))))</f>
        <v/>
      </c>
      <c r="D11" s="109" t="inlineStr">
        <is>
          <t>PAKYILDIZ LTD.ŞTİ.</t>
        </is>
      </c>
      <c r="E11" s="220" t="n">
        <v>46025</v>
      </c>
      <c r="F11" s="221" t="n">
        <v>2000</v>
      </c>
      <c r="G11" s="108" t="inlineStr">
        <is>
          <t>ÖMER KARTAL</t>
        </is>
      </c>
      <c r="H11" s="108" t="inlineStr">
        <is>
          <t>Nakit</t>
        </is>
      </c>
      <c r="I11" s="109" t="n"/>
      <c r="J11" s="109" t="inlineStr">
        <is>
          <t>ÖMER KARTALA ÖDENEN</t>
        </is>
      </c>
      <c r="K11" s="109" t="n"/>
      <c r="L11" s="226">
        <f>IF($E11="","",DATE(YEAR($E11),MONTH($E11),1))</f>
        <v/>
      </c>
      <c r="M11" s="113">
        <f>IF($D11="","",IF($C11="TANIMSIZ MÜŞTERİ","HATA",IF(OR($E11="",$F11&lt;=0,$G11=""),"EKSİK",IF($E11&gt;TODAY(),"İLERİ TARİH",IF(COUNTIF($S$7:$S$1506,$S11)&gt;1,"MÜKERRER?",IF($T11&gt;0,"KAPALI DÖNEM","UYGUN"))))))</f>
        <v/>
      </c>
      <c r="N11" s="121">
        <f>IF($C11="","",IF($C11="TANIMSIZ MÜŞTERİ","—",INDEX(MUSTERILER!$C$7:$C$106,MATCH($C11,MUSTERILER!$B$7:$B$106,0))))</f>
        <v/>
      </c>
      <c r="O11" s="6" t="n"/>
      <c r="P11" s="6" t="n"/>
      <c r="Q11" s="3">
        <f>IF($D11="","",$C11&amp;"|"&amp;COUNTIFS($C$7:$C11,$C11))</f>
        <v/>
      </c>
      <c r="R11" s="3">
        <f>IF($D11="","",UPPER(SUBSTITUTE(SUBSTITUTE(SUBSTITUTE(SUBSTITUTE(SUBSTITUTE(SUBSTITUTE(SUBSTITUTE(SUBSTITUTE(SUBSTITUTE(SUBSTITUTE(SUBSTITUTE(SUBSTITUTE(SUBSTITUTE(SUBSTITUTE(SUBSTITUTE(SUBSTITUTE(SUBSTITUTE(SUBSTITUTE(TRIM($D11),"'",""),"İ","I"),"ı","I"),"i","I"),"Ş","S"),"ş","S"),"Ğ","G"),"ğ","G"),"Ü","U"),"ü","U"),"Ö","O"),"ö","O"),"Ç","C"),"ç","C"),".",""),",","")," ",""),"-","")))</f>
        <v/>
      </c>
      <c r="S11" s="3">
        <f>IF($D11="","",$C11&amp;"|"&amp;TEXT($E11,"0")&amp;"|"&amp;TEXT($F11,"0")&amp;"|"&amp;$I11)</f>
        <v/>
      </c>
      <c r="T11" s="3">
        <f>IF($E11="",0,SUMPRODUCT((AY_SONU!$O$7:$O$42="Evet")*(AY_SONU!$B$7:$B$42=DATE(YEAR($E11),MONTH($E11),1))))</f>
        <v/>
      </c>
    </row>
    <row r="12">
      <c r="A12" s="6" t="n"/>
      <c r="B12" s="113">
        <f>IF($D12="","","T"&amp;TEXT(ROW()-6,"00000"))</f>
        <v/>
      </c>
      <c r="C12" s="113">
        <f>IF($D12="","",IFERROR(INDEX(MUSTERILER!$B$7:$B$106,MATCH($R12,MUSTERILER!$T$7:$T$106,0)),IFERROR(INDEX(MUSTERILER!$B$7:$B$106,MATCH($D12,MUSTERILER!$B$7:$B$106,0)),IFERROR(INDEX(MUSTERILER!$B$7:$B$106,MATCH($R12&amp;"*",MUSTERILER!$T$7:$T$106,0)),"TANIMSIZ MÜŞTERİ"))))</f>
        <v/>
      </c>
      <c r="D12" s="109" t="inlineStr">
        <is>
          <t>ZÜMRÜT GRUP LTD.ŞTİ.</t>
        </is>
      </c>
      <c r="E12" s="220" t="n">
        <v>46025</v>
      </c>
      <c r="F12" s="221" t="n">
        <v>1750</v>
      </c>
      <c r="G12" s="108" t="inlineStr">
        <is>
          <t>ÖMER KARTAL</t>
        </is>
      </c>
      <c r="H12" s="108" t="inlineStr">
        <is>
          <t>Nakit</t>
        </is>
      </c>
      <c r="I12" s="109" t="n"/>
      <c r="J12" s="109" t="inlineStr">
        <is>
          <t>ÖMER KARTALA ÖDENEN</t>
        </is>
      </c>
      <c r="K12" s="109" t="n"/>
      <c r="L12" s="226">
        <f>IF($E12="","",DATE(YEAR($E12),MONTH($E12),1))</f>
        <v/>
      </c>
      <c r="M12" s="113">
        <f>IF($D12="","",IF($C12="TANIMSIZ MÜŞTERİ","HATA",IF(OR($E12="",$F12&lt;=0,$G12=""),"EKSİK",IF($E12&gt;TODAY(),"İLERİ TARİH",IF(COUNTIF($S$7:$S$1506,$S12)&gt;1,"MÜKERRER?",IF($T12&gt;0,"KAPALI DÖNEM","UYGUN"))))))</f>
        <v/>
      </c>
      <c r="N12" s="121">
        <f>IF($C12="","",IF($C12="TANIMSIZ MÜŞTERİ","—",INDEX(MUSTERILER!$C$7:$C$106,MATCH($C12,MUSTERILER!$B$7:$B$106,0))))</f>
        <v/>
      </c>
      <c r="O12" s="6" t="n"/>
      <c r="P12" s="6" t="n"/>
      <c r="Q12" s="3">
        <f>IF($D12="","",$C12&amp;"|"&amp;COUNTIFS($C$7:$C12,$C12))</f>
        <v/>
      </c>
      <c r="R12" s="3">
        <f>IF($D12="","",UPPER(SUBSTITUTE(SUBSTITUTE(SUBSTITUTE(SUBSTITUTE(SUBSTITUTE(SUBSTITUTE(SUBSTITUTE(SUBSTITUTE(SUBSTITUTE(SUBSTITUTE(SUBSTITUTE(SUBSTITUTE(SUBSTITUTE(SUBSTITUTE(SUBSTITUTE(SUBSTITUTE(SUBSTITUTE(SUBSTITUTE(TRIM($D12),"'",""),"İ","I"),"ı","I"),"i","I"),"Ş","S"),"ş","S"),"Ğ","G"),"ğ","G"),"Ü","U"),"ü","U"),"Ö","O"),"ö","O"),"Ç","C"),"ç","C"),".",""),",","")," ",""),"-","")))</f>
        <v/>
      </c>
      <c r="S12" s="3">
        <f>IF($D12="","",$C12&amp;"|"&amp;TEXT($E12,"0")&amp;"|"&amp;TEXT($F12,"0")&amp;"|"&amp;$I12)</f>
        <v/>
      </c>
      <c r="T12" s="3">
        <f>IF($E12="",0,SUMPRODUCT((AY_SONU!$O$7:$O$42="Evet")*(AY_SONU!$B$7:$B$42=DATE(YEAR($E12),MONTH($E12),1))))</f>
        <v/>
      </c>
    </row>
    <row r="13">
      <c r="A13" s="6" t="n"/>
      <c r="B13" s="113">
        <f>IF($D13="","","T"&amp;TEXT(ROW()-6,"00000"))</f>
        <v/>
      </c>
      <c r="C13" s="113">
        <f>IF($D13="","",IFERROR(INDEX(MUSTERILER!$B$7:$B$106,MATCH($R13,MUSTERILER!$T$7:$T$106,0)),IFERROR(INDEX(MUSTERILER!$B$7:$B$106,MATCH($D13,MUSTERILER!$B$7:$B$106,0)),IFERROR(INDEX(MUSTERILER!$B$7:$B$106,MATCH($R13&amp;"*",MUSTERILER!$T$7:$T$106,0)),"TANIMSIZ MÜŞTERİ"))))</f>
        <v/>
      </c>
      <c r="D13" s="109" t="inlineStr">
        <is>
          <t>ANKARA HAVANA LTD.ŞTİ.</t>
        </is>
      </c>
      <c r="E13" s="220" t="n">
        <v>46032</v>
      </c>
      <c r="F13" s="221" t="n">
        <v>4000</v>
      </c>
      <c r="G13" s="108" t="inlineStr">
        <is>
          <t>ÖMER KARTAL</t>
        </is>
      </c>
      <c r="H13" s="108" t="inlineStr">
        <is>
          <t>Nakit</t>
        </is>
      </c>
      <c r="I13" s="109" t="n"/>
      <c r="J13" s="109" t="inlineStr">
        <is>
          <t>ÖMER KARTALA ÖDENEN</t>
        </is>
      </c>
      <c r="K13" s="109" t="n"/>
      <c r="L13" s="226">
        <f>IF($E13="","",DATE(YEAR($E13),MONTH($E13),1))</f>
        <v/>
      </c>
      <c r="M13" s="113">
        <f>IF($D13="","",IF($C13="TANIMSIZ MÜŞTERİ","HATA",IF(OR($E13="",$F13&lt;=0,$G13=""),"EKSİK",IF($E13&gt;TODAY(),"İLERİ TARİH",IF(COUNTIF($S$7:$S$1506,$S13)&gt;1,"MÜKERRER?",IF($T13&gt;0,"KAPALI DÖNEM","UYGUN"))))))</f>
        <v/>
      </c>
      <c r="N13" s="121">
        <f>IF($C13="","",IF($C13="TANIMSIZ MÜŞTERİ","—",INDEX(MUSTERILER!$C$7:$C$106,MATCH($C13,MUSTERILER!$B$7:$B$106,0))))</f>
        <v/>
      </c>
      <c r="O13" s="6" t="n"/>
      <c r="P13" s="6" t="n"/>
      <c r="Q13" s="3">
        <f>IF($D13="","",$C13&amp;"|"&amp;COUNTIFS($C$7:$C13,$C13))</f>
        <v/>
      </c>
      <c r="R13" s="3">
        <f>IF($D13="","",UPPER(SUBSTITUTE(SUBSTITUTE(SUBSTITUTE(SUBSTITUTE(SUBSTITUTE(SUBSTITUTE(SUBSTITUTE(SUBSTITUTE(SUBSTITUTE(SUBSTITUTE(SUBSTITUTE(SUBSTITUTE(SUBSTITUTE(SUBSTITUTE(SUBSTITUTE(SUBSTITUTE(SUBSTITUTE(SUBSTITUTE(TRIM($D13),"'",""),"İ","I"),"ı","I"),"i","I"),"Ş","S"),"ş","S"),"Ğ","G"),"ğ","G"),"Ü","U"),"ü","U"),"Ö","O"),"ö","O"),"Ç","C"),"ç","C"),".",""),",","")," ",""),"-","")))</f>
        <v/>
      </c>
      <c r="S13" s="3">
        <f>IF($D13="","",$C13&amp;"|"&amp;TEXT($E13,"0")&amp;"|"&amp;TEXT($F13,"0")&amp;"|"&amp;$I13)</f>
        <v/>
      </c>
      <c r="T13" s="3">
        <f>IF($E13="",0,SUMPRODUCT((AY_SONU!$O$7:$O$42="Evet")*(AY_SONU!$B$7:$B$42=DATE(YEAR($E13),MONTH($E13),1))))</f>
        <v/>
      </c>
    </row>
    <row r="14">
      <c r="A14" s="6" t="n"/>
      <c r="B14" s="113">
        <f>IF($D14="","","T"&amp;TEXT(ROW()-6,"00000"))</f>
        <v/>
      </c>
      <c r="C14" s="113">
        <f>IF($D14="","",IFERROR(INDEX(MUSTERILER!$B$7:$B$106,MATCH($R14,MUSTERILER!$T$7:$T$106,0)),IFERROR(INDEX(MUSTERILER!$B$7:$B$106,MATCH($D14,MUSTERILER!$B$7:$B$106,0)),IFERROR(INDEX(MUSTERILER!$B$7:$B$106,MATCH($R14&amp;"*",MUSTERILER!$T$7:$T$106,0)),"TANIMSIZ MÜŞTERİ"))))</f>
        <v/>
      </c>
      <c r="D14" s="109" t="inlineStr">
        <is>
          <t>EĞLENGÖR LTD.ŞTİ.</t>
        </is>
      </c>
      <c r="E14" s="220" t="n">
        <v>46032</v>
      </c>
      <c r="F14" s="221" t="n">
        <v>3000</v>
      </c>
      <c r="G14" s="108" t="inlineStr">
        <is>
          <t>ÖMER KARTAL</t>
        </is>
      </c>
      <c r="H14" s="108" t="inlineStr">
        <is>
          <t>Nakit</t>
        </is>
      </c>
      <c r="I14" s="109" t="n"/>
      <c r="J14" s="109" t="inlineStr">
        <is>
          <t>ÖMER KARTALA ÖDENEN</t>
        </is>
      </c>
      <c r="K14" s="109" t="n"/>
      <c r="L14" s="226">
        <f>IF($E14="","",DATE(YEAR($E14),MONTH($E14),1))</f>
        <v/>
      </c>
      <c r="M14" s="113">
        <f>IF($D14="","",IF($C14="TANIMSIZ MÜŞTERİ","HATA",IF(OR($E14="",$F14&lt;=0,$G14=""),"EKSİK",IF($E14&gt;TODAY(),"İLERİ TARİH",IF(COUNTIF($S$7:$S$1506,$S14)&gt;1,"MÜKERRER?",IF($T14&gt;0,"KAPALI DÖNEM","UYGUN"))))))</f>
        <v/>
      </c>
      <c r="N14" s="121">
        <f>IF($C14="","",IF($C14="TANIMSIZ MÜŞTERİ","—",INDEX(MUSTERILER!$C$7:$C$106,MATCH($C14,MUSTERILER!$B$7:$B$106,0))))</f>
        <v/>
      </c>
      <c r="O14" s="6" t="n"/>
      <c r="P14" s="6" t="n"/>
      <c r="Q14" s="3">
        <f>IF($D14="","",$C14&amp;"|"&amp;COUNTIFS($C$7:$C14,$C14))</f>
        <v/>
      </c>
      <c r="R14" s="3">
        <f>IF($D14="","",UPPER(SUBSTITUTE(SUBSTITUTE(SUBSTITUTE(SUBSTITUTE(SUBSTITUTE(SUBSTITUTE(SUBSTITUTE(SUBSTITUTE(SUBSTITUTE(SUBSTITUTE(SUBSTITUTE(SUBSTITUTE(SUBSTITUTE(SUBSTITUTE(SUBSTITUTE(SUBSTITUTE(SUBSTITUTE(SUBSTITUTE(TRIM($D14),"'",""),"İ","I"),"ı","I"),"i","I"),"Ş","S"),"ş","S"),"Ğ","G"),"ğ","G"),"Ü","U"),"ü","U"),"Ö","O"),"ö","O"),"Ç","C"),"ç","C"),".",""),",","")," ",""),"-","")))</f>
        <v/>
      </c>
      <c r="S14" s="3">
        <f>IF($D14="","",$C14&amp;"|"&amp;TEXT($E14,"0")&amp;"|"&amp;TEXT($F14,"0")&amp;"|"&amp;$I14)</f>
        <v/>
      </c>
      <c r="T14" s="3">
        <f>IF($E14="",0,SUMPRODUCT((AY_SONU!$O$7:$O$42="Evet")*(AY_SONU!$B$7:$B$42=DATE(YEAR($E14),MONTH($E14),1))))</f>
        <v/>
      </c>
    </row>
    <row r="15">
      <c r="A15" s="6" t="n"/>
      <c r="B15" s="113">
        <f>IF($D15="","","T"&amp;TEXT(ROW()-6,"00000"))</f>
        <v/>
      </c>
      <c r="C15" s="113">
        <f>IF($D15="","",IFERROR(INDEX(MUSTERILER!$B$7:$B$106,MATCH($R15,MUSTERILER!$T$7:$T$106,0)),IFERROR(INDEX(MUSTERILER!$B$7:$B$106,MATCH($D15,MUSTERILER!$B$7:$B$106,0)),IFERROR(INDEX(MUSTERILER!$B$7:$B$106,MATCH($R15&amp;"*",MUSTERILER!$T$7:$T$106,0)),"TANIMSIZ MÜŞTERİ"))))</f>
        <v/>
      </c>
      <c r="D15" s="109" t="inlineStr">
        <is>
          <t>FİNAL SİYAH BEYAZ LTD.ŞTİ.</t>
        </is>
      </c>
      <c r="E15" s="220" t="n">
        <v>46032</v>
      </c>
      <c r="F15" s="221" t="n">
        <v>4000</v>
      </c>
      <c r="G15" s="108" t="inlineStr">
        <is>
          <t>ÖMER KARTAL</t>
        </is>
      </c>
      <c r="H15" s="108" t="inlineStr">
        <is>
          <t>Nakit</t>
        </is>
      </c>
      <c r="I15" s="109" t="n"/>
      <c r="J15" s="109" t="inlineStr">
        <is>
          <t>ÖMER KARTALA ÖDENEN</t>
        </is>
      </c>
      <c r="K15" s="109" t="n"/>
      <c r="L15" s="226">
        <f>IF($E15="","",DATE(YEAR($E15),MONTH($E15),1))</f>
        <v/>
      </c>
      <c r="M15" s="113">
        <f>IF($D15="","",IF($C15="TANIMSIZ MÜŞTERİ","HATA",IF(OR($E15="",$F15&lt;=0,$G15=""),"EKSİK",IF($E15&gt;TODAY(),"İLERİ TARİH",IF(COUNTIF($S$7:$S$1506,$S15)&gt;1,"MÜKERRER?",IF($T15&gt;0,"KAPALI DÖNEM","UYGUN"))))))</f>
        <v/>
      </c>
      <c r="N15" s="121">
        <f>IF($C15="","",IF($C15="TANIMSIZ MÜŞTERİ","—",INDEX(MUSTERILER!$C$7:$C$106,MATCH($C15,MUSTERILER!$B$7:$B$106,0))))</f>
        <v/>
      </c>
      <c r="O15" s="6" t="n"/>
      <c r="P15" s="6" t="n"/>
      <c r="Q15" s="3">
        <f>IF($D15="","",$C15&amp;"|"&amp;COUNTIFS($C$7:$C15,$C15))</f>
        <v/>
      </c>
      <c r="R15" s="3">
        <f>IF($D15="","",UPPER(SUBSTITUTE(SUBSTITUTE(SUBSTITUTE(SUBSTITUTE(SUBSTITUTE(SUBSTITUTE(SUBSTITUTE(SUBSTITUTE(SUBSTITUTE(SUBSTITUTE(SUBSTITUTE(SUBSTITUTE(SUBSTITUTE(SUBSTITUTE(SUBSTITUTE(SUBSTITUTE(SUBSTITUTE(SUBSTITUTE(TRIM($D15),"'",""),"İ","I"),"ı","I"),"i","I"),"Ş","S"),"ş","S"),"Ğ","G"),"ğ","G"),"Ü","U"),"ü","U"),"Ö","O"),"ö","O"),"Ç","C"),"ç","C"),".",""),",","")," ",""),"-","")))</f>
        <v/>
      </c>
      <c r="S15" s="3">
        <f>IF($D15="","",$C15&amp;"|"&amp;TEXT($E15,"0")&amp;"|"&amp;TEXT($F15,"0")&amp;"|"&amp;$I15)</f>
        <v/>
      </c>
      <c r="T15" s="3">
        <f>IF($E15="",0,SUMPRODUCT((AY_SONU!$O$7:$O$42="Evet")*(AY_SONU!$B$7:$B$42=DATE(YEAR($E15),MONTH($E15),1))))</f>
        <v/>
      </c>
    </row>
    <row r="16">
      <c r="A16" s="6" t="n"/>
      <c r="B16" s="113">
        <f>IF($D16="","","T"&amp;TEXT(ROW()-6,"00000"))</f>
        <v/>
      </c>
      <c r="C16" s="113">
        <f>IF($D16="","",IFERROR(INDEX(MUSTERILER!$B$7:$B$106,MATCH($R16,MUSTERILER!$T$7:$T$106,0)),IFERROR(INDEX(MUSTERILER!$B$7:$B$106,MATCH($D16,MUSTERILER!$B$7:$B$106,0)),IFERROR(INDEX(MUSTERILER!$B$7:$B$106,MATCH($R16&amp;"*",MUSTERILER!$T$7:$T$106,0)),"TANIMSIZ MÜŞTERİ"))))</f>
        <v/>
      </c>
      <c r="D16" s="109" t="inlineStr">
        <is>
          <t>İLDEŞ LTD.ŞTİ.</t>
        </is>
      </c>
      <c r="E16" s="220" t="n">
        <v>46032</v>
      </c>
      <c r="F16" s="221" t="n">
        <v>4000</v>
      </c>
      <c r="G16" s="108" t="inlineStr">
        <is>
          <t>ÖMER KARTAL</t>
        </is>
      </c>
      <c r="H16" s="108" t="inlineStr">
        <is>
          <t>Nakit</t>
        </is>
      </c>
      <c r="I16" s="109" t="n"/>
      <c r="J16" s="109" t="inlineStr">
        <is>
          <t>ÖMER KARTALA ÖDENEN</t>
        </is>
      </c>
      <c r="K16" s="109" t="n"/>
      <c r="L16" s="226">
        <f>IF($E16="","",DATE(YEAR($E16),MONTH($E16),1))</f>
        <v/>
      </c>
      <c r="M16" s="113">
        <f>IF($D16="","",IF($C16="TANIMSIZ MÜŞTERİ","HATA",IF(OR($E16="",$F16&lt;=0,$G16=""),"EKSİK",IF($E16&gt;TODAY(),"İLERİ TARİH",IF(COUNTIF($S$7:$S$1506,$S16)&gt;1,"MÜKERRER?",IF($T16&gt;0,"KAPALI DÖNEM","UYGUN"))))))</f>
        <v/>
      </c>
      <c r="N16" s="121">
        <f>IF($C16="","",IF($C16="TANIMSIZ MÜŞTERİ","—",INDEX(MUSTERILER!$C$7:$C$106,MATCH($C16,MUSTERILER!$B$7:$B$106,0))))</f>
        <v/>
      </c>
      <c r="O16" s="6" t="n"/>
      <c r="P16" s="6" t="n"/>
      <c r="Q16" s="3">
        <f>IF($D16="","",$C16&amp;"|"&amp;COUNTIFS($C$7:$C16,$C16))</f>
        <v/>
      </c>
      <c r="R16" s="3">
        <f>IF($D16="","",UPPER(SUBSTITUTE(SUBSTITUTE(SUBSTITUTE(SUBSTITUTE(SUBSTITUTE(SUBSTITUTE(SUBSTITUTE(SUBSTITUTE(SUBSTITUTE(SUBSTITUTE(SUBSTITUTE(SUBSTITUTE(SUBSTITUTE(SUBSTITUTE(SUBSTITUTE(SUBSTITUTE(SUBSTITUTE(SUBSTITUTE(TRIM($D16),"'",""),"İ","I"),"ı","I"),"i","I"),"Ş","S"),"ş","S"),"Ğ","G"),"ğ","G"),"Ü","U"),"ü","U"),"Ö","O"),"ö","O"),"Ç","C"),"ç","C"),".",""),",","")," ",""),"-","")))</f>
        <v/>
      </c>
      <c r="S16" s="3">
        <f>IF($D16="","",$C16&amp;"|"&amp;TEXT($E16,"0")&amp;"|"&amp;TEXT($F16,"0")&amp;"|"&amp;$I16)</f>
        <v/>
      </c>
      <c r="T16" s="3">
        <f>IF($E16="",0,SUMPRODUCT((AY_SONU!$O$7:$O$42="Evet")*(AY_SONU!$B$7:$B$42=DATE(YEAR($E16),MONTH($E16),1))))</f>
        <v/>
      </c>
    </row>
    <row r="17">
      <c r="A17" s="6" t="n"/>
      <c r="B17" s="113">
        <f>IF($D17="","","T"&amp;TEXT(ROW()-6,"00000"))</f>
        <v/>
      </c>
      <c r="C17" s="113">
        <f>IF($D17="","",IFERROR(INDEX(MUSTERILER!$B$7:$B$106,MATCH($R17,MUSTERILER!$T$7:$T$106,0)),IFERROR(INDEX(MUSTERILER!$B$7:$B$106,MATCH($D17,MUSTERILER!$B$7:$B$106,0)),IFERROR(INDEX(MUSTERILER!$B$7:$B$106,MATCH($R17&amp;"*",MUSTERILER!$T$7:$T$106,0)),"TANIMSIZ MÜŞTERİ"))))</f>
        <v/>
      </c>
      <c r="D17" s="109" t="inlineStr">
        <is>
          <t>MONAMOUR LTD.ŞTİ.</t>
        </is>
      </c>
      <c r="E17" s="220" t="n">
        <v>46032</v>
      </c>
      <c r="F17" s="221" t="n">
        <v>3500</v>
      </c>
      <c r="G17" s="108" t="inlineStr">
        <is>
          <t>ÖMER KARTAL</t>
        </is>
      </c>
      <c r="H17" s="108" t="inlineStr">
        <is>
          <t>Nakit</t>
        </is>
      </c>
      <c r="I17" s="109" t="n"/>
      <c r="J17" s="109" t="inlineStr">
        <is>
          <t>ÖMER KARTALA ÖDENEN</t>
        </is>
      </c>
      <c r="K17" s="109" t="n"/>
      <c r="L17" s="226">
        <f>IF($E17="","",DATE(YEAR($E17),MONTH($E17),1))</f>
        <v/>
      </c>
      <c r="M17" s="113">
        <f>IF($D17="","",IF($C17="TANIMSIZ MÜŞTERİ","HATA",IF(OR($E17="",$F17&lt;=0,$G17=""),"EKSİK",IF($E17&gt;TODAY(),"İLERİ TARİH",IF(COUNTIF($S$7:$S$1506,$S17)&gt;1,"MÜKERRER?",IF($T17&gt;0,"KAPALI DÖNEM","UYGUN"))))))</f>
        <v/>
      </c>
      <c r="N17" s="121">
        <f>IF($C17="","",IF($C17="TANIMSIZ MÜŞTERİ","—",INDEX(MUSTERILER!$C$7:$C$106,MATCH($C17,MUSTERILER!$B$7:$B$106,0))))</f>
        <v/>
      </c>
      <c r="O17" s="6" t="n"/>
      <c r="P17" s="6" t="n"/>
      <c r="Q17" s="3">
        <f>IF($D17="","",$C17&amp;"|"&amp;COUNTIFS($C$7:$C17,$C17))</f>
        <v/>
      </c>
      <c r="R17" s="3">
        <f>IF($D17="","",UPPER(SUBSTITUTE(SUBSTITUTE(SUBSTITUTE(SUBSTITUTE(SUBSTITUTE(SUBSTITUTE(SUBSTITUTE(SUBSTITUTE(SUBSTITUTE(SUBSTITUTE(SUBSTITUTE(SUBSTITUTE(SUBSTITUTE(SUBSTITUTE(SUBSTITUTE(SUBSTITUTE(SUBSTITUTE(SUBSTITUTE(TRIM($D17),"'",""),"İ","I"),"ı","I"),"i","I"),"Ş","S"),"ş","S"),"Ğ","G"),"ğ","G"),"Ü","U"),"ü","U"),"Ö","O"),"ö","O"),"Ç","C"),"ç","C"),".",""),",","")," ",""),"-","")))</f>
        <v/>
      </c>
      <c r="S17" s="3">
        <f>IF($D17="","",$C17&amp;"|"&amp;TEXT($E17,"0")&amp;"|"&amp;TEXT($F17,"0")&amp;"|"&amp;$I17)</f>
        <v/>
      </c>
      <c r="T17" s="3">
        <f>IF($E17="",0,SUMPRODUCT((AY_SONU!$O$7:$O$42="Evet")*(AY_SONU!$B$7:$B$42=DATE(YEAR($E17),MONTH($E17),1))))</f>
        <v/>
      </c>
    </row>
    <row r="18">
      <c r="A18" s="6" t="n"/>
      <c r="B18" s="113">
        <f>IF($D18="","","T"&amp;TEXT(ROW()-6,"00000"))</f>
        <v/>
      </c>
      <c r="C18" s="113">
        <f>IF($D18="","",IFERROR(INDEX(MUSTERILER!$B$7:$B$106,MATCH($R18,MUSTERILER!$T$7:$T$106,0)),IFERROR(INDEX(MUSTERILER!$B$7:$B$106,MATCH($D18,MUSTERILER!$B$7:$B$106,0)),IFERROR(INDEX(MUSTERILER!$B$7:$B$106,MATCH($R18&amp;"*",MUSTERILER!$T$7:$T$106,0)),"TANIMSIZ MÜŞTERİ"))))</f>
        <v/>
      </c>
      <c r="D18" s="109" t="inlineStr">
        <is>
          <t>NAZ 1 GIDA LTD.ŞTİ.</t>
        </is>
      </c>
      <c r="E18" s="220" t="n">
        <v>46032</v>
      </c>
      <c r="F18" s="221" t="n">
        <v>13150</v>
      </c>
      <c r="G18" s="108" t="inlineStr">
        <is>
          <t>ÖMER KARTAL</t>
        </is>
      </c>
      <c r="H18" s="108" t="inlineStr">
        <is>
          <t>Nakit</t>
        </is>
      </c>
      <c r="I18" s="109" t="n"/>
      <c r="J18" s="109" t="inlineStr">
        <is>
          <t>ÖMER KARTALA ÖDENEN</t>
        </is>
      </c>
      <c r="K18" s="109" t="n"/>
      <c r="L18" s="226">
        <f>IF($E18="","",DATE(YEAR($E18),MONTH($E18),1))</f>
        <v/>
      </c>
      <c r="M18" s="113">
        <f>IF($D18="","",IF($C18="TANIMSIZ MÜŞTERİ","HATA",IF(OR($E18="",$F18&lt;=0,$G18=""),"EKSİK",IF($E18&gt;TODAY(),"İLERİ TARİH",IF(COUNTIF($S$7:$S$1506,$S18)&gt;1,"MÜKERRER?",IF($T18&gt;0,"KAPALI DÖNEM","UYGUN"))))))</f>
        <v/>
      </c>
      <c r="N18" s="121">
        <f>IF($C18="","",IF($C18="TANIMSIZ MÜŞTERİ","—",INDEX(MUSTERILER!$C$7:$C$106,MATCH($C18,MUSTERILER!$B$7:$B$106,0))))</f>
        <v/>
      </c>
      <c r="O18" s="6" t="n"/>
      <c r="P18" s="6" t="n"/>
      <c r="Q18" s="3">
        <f>IF($D18="","",$C18&amp;"|"&amp;COUNTIFS($C$7:$C18,$C18))</f>
        <v/>
      </c>
      <c r="R18" s="3">
        <f>IF($D18="","",UPPER(SUBSTITUTE(SUBSTITUTE(SUBSTITUTE(SUBSTITUTE(SUBSTITUTE(SUBSTITUTE(SUBSTITUTE(SUBSTITUTE(SUBSTITUTE(SUBSTITUTE(SUBSTITUTE(SUBSTITUTE(SUBSTITUTE(SUBSTITUTE(SUBSTITUTE(SUBSTITUTE(SUBSTITUTE(SUBSTITUTE(TRIM($D18),"'",""),"İ","I"),"ı","I"),"i","I"),"Ş","S"),"ş","S"),"Ğ","G"),"ğ","G"),"Ü","U"),"ü","U"),"Ö","O"),"ö","O"),"Ç","C"),"ç","C"),".",""),",","")," ",""),"-","")))</f>
        <v/>
      </c>
      <c r="S18" s="3">
        <f>IF($D18="","",$C18&amp;"|"&amp;TEXT($E18,"0")&amp;"|"&amp;TEXT($F18,"0")&amp;"|"&amp;$I18)</f>
        <v/>
      </c>
      <c r="T18" s="3">
        <f>IF($E18="",0,SUMPRODUCT((AY_SONU!$O$7:$O$42="Evet")*(AY_SONU!$B$7:$B$42=DATE(YEAR($E18),MONTH($E18),1))))</f>
        <v/>
      </c>
    </row>
    <row r="19">
      <c r="A19" s="6" t="n"/>
      <c r="B19" s="113">
        <f>IF($D19="","","T"&amp;TEXT(ROW()-6,"00000"))</f>
        <v/>
      </c>
      <c r="C19" s="113">
        <f>IF($D19="","",IFERROR(INDEX(MUSTERILER!$B$7:$B$106,MATCH($R19,MUSTERILER!$T$7:$T$106,0)),IFERROR(INDEX(MUSTERILER!$B$7:$B$106,MATCH($D19,MUSTERILER!$B$7:$B$106,0)),IFERROR(INDEX(MUSTERILER!$B$7:$B$106,MATCH($R19&amp;"*",MUSTERILER!$T$7:$T$106,0)),"TANIMSIZ MÜŞTERİ"))))</f>
        <v/>
      </c>
      <c r="D19" s="109" t="inlineStr">
        <is>
          <t>ÖZFİDANLAR LTD.ŞTİ.</t>
        </is>
      </c>
      <c r="E19" s="220" t="n">
        <v>46032</v>
      </c>
      <c r="F19" s="221" t="n">
        <v>4000</v>
      </c>
      <c r="G19" s="108" t="inlineStr">
        <is>
          <t>ÖMER KARTAL</t>
        </is>
      </c>
      <c r="H19" s="108" t="inlineStr">
        <is>
          <t>Nakit</t>
        </is>
      </c>
      <c r="I19" s="109" t="n"/>
      <c r="J19" s="109" t="inlineStr">
        <is>
          <t>ÖMER KARTALA ÖDENEN</t>
        </is>
      </c>
      <c r="K19" s="109" t="n"/>
      <c r="L19" s="226">
        <f>IF($E19="","",DATE(YEAR($E19),MONTH($E19),1))</f>
        <v/>
      </c>
      <c r="M19" s="113">
        <f>IF($D19="","",IF($C19="TANIMSIZ MÜŞTERİ","HATA",IF(OR($E19="",$F19&lt;=0,$G19=""),"EKSİK",IF($E19&gt;TODAY(),"İLERİ TARİH",IF(COUNTIF($S$7:$S$1506,$S19)&gt;1,"MÜKERRER?",IF($T19&gt;0,"KAPALI DÖNEM","UYGUN"))))))</f>
        <v/>
      </c>
      <c r="N19" s="121">
        <f>IF($C19="","",IF($C19="TANIMSIZ MÜŞTERİ","—",INDEX(MUSTERILER!$C$7:$C$106,MATCH($C19,MUSTERILER!$B$7:$B$106,0))))</f>
        <v/>
      </c>
      <c r="O19" s="6" t="n"/>
      <c r="P19" s="6" t="n"/>
      <c r="Q19" s="3">
        <f>IF($D19="","",$C19&amp;"|"&amp;COUNTIFS($C$7:$C19,$C19))</f>
        <v/>
      </c>
      <c r="R19" s="3">
        <f>IF($D19="","",UPPER(SUBSTITUTE(SUBSTITUTE(SUBSTITUTE(SUBSTITUTE(SUBSTITUTE(SUBSTITUTE(SUBSTITUTE(SUBSTITUTE(SUBSTITUTE(SUBSTITUTE(SUBSTITUTE(SUBSTITUTE(SUBSTITUTE(SUBSTITUTE(SUBSTITUTE(SUBSTITUTE(SUBSTITUTE(SUBSTITUTE(TRIM($D19),"'",""),"İ","I"),"ı","I"),"i","I"),"Ş","S"),"ş","S"),"Ğ","G"),"ğ","G"),"Ü","U"),"ü","U"),"Ö","O"),"ö","O"),"Ç","C"),"ç","C"),".",""),",","")," ",""),"-","")))</f>
        <v/>
      </c>
      <c r="S19" s="3">
        <f>IF($D19="","",$C19&amp;"|"&amp;TEXT($E19,"0")&amp;"|"&amp;TEXT($F19,"0")&amp;"|"&amp;$I19)</f>
        <v/>
      </c>
      <c r="T19" s="3">
        <f>IF($E19="",0,SUMPRODUCT((AY_SONU!$O$7:$O$42="Evet")*(AY_SONU!$B$7:$B$42=DATE(YEAR($E19),MONTH($E19),1))))</f>
        <v/>
      </c>
    </row>
    <row r="20">
      <c r="A20" s="6" t="n"/>
      <c r="B20" s="113">
        <f>IF($D20="","","T"&amp;TEXT(ROW()-6,"00000"))</f>
        <v/>
      </c>
      <c r="C20" s="113">
        <f>IF($D20="","",IFERROR(INDEX(MUSTERILER!$B$7:$B$106,MATCH($R20,MUSTERILER!$T$7:$T$106,0)),IFERROR(INDEX(MUSTERILER!$B$7:$B$106,MATCH($D20,MUSTERILER!$B$7:$B$106,0)),IFERROR(INDEX(MUSTERILER!$B$7:$B$106,MATCH($R20&amp;"*",MUSTERILER!$T$7:$T$106,0)),"TANIMSIZ MÜŞTERİ"))))</f>
        <v/>
      </c>
      <c r="D20" s="109" t="inlineStr">
        <is>
          <t>ZÜMRÜT GRUP LTD.ŞTİ.</t>
        </is>
      </c>
      <c r="E20" s="220" t="n">
        <v>46032</v>
      </c>
      <c r="F20" s="221" t="n">
        <v>1750</v>
      </c>
      <c r="G20" s="108" t="inlineStr">
        <is>
          <t>ÖMER KARTAL</t>
        </is>
      </c>
      <c r="H20" s="108" t="inlineStr">
        <is>
          <t>Nakit</t>
        </is>
      </c>
      <c r="I20" s="109" t="n"/>
      <c r="J20" s="109" t="inlineStr">
        <is>
          <t>ÖMER KARTALA ÖDENEN</t>
        </is>
      </c>
      <c r="K20" s="109" t="n"/>
      <c r="L20" s="226">
        <f>IF($E20="","",DATE(YEAR($E20),MONTH($E20),1))</f>
        <v/>
      </c>
      <c r="M20" s="113">
        <f>IF($D20="","",IF($C20="TANIMSIZ MÜŞTERİ","HATA",IF(OR($E20="",$F20&lt;=0,$G20=""),"EKSİK",IF($E20&gt;TODAY(),"İLERİ TARİH",IF(COUNTIF($S$7:$S$1506,$S20)&gt;1,"MÜKERRER?",IF($T20&gt;0,"KAPALI DÖNEM","UYGUN"))))))</f>
        <v/>
      </c>
      <c r="N20" s="121">
        <f>IF($C20="","",IF($C20="TANIMSIZ MÜŞTERİ","—",INDEX(MUSTERILER!$C$7:$C$106,MATCH($C20,MUSTERILER!$B$7:$B$106,0))))</f>
        <v/>
      </c>
      <c r="O20" s="6" t="n"/>
      <c r="P20" s="6" t="n"/>
      <c r="Q20" s="3">
        <f>IF($D20="","",$C20&amp;"|"&amp;COUNTIFS($C$7:$C20,$C20))</f>
        <v/>
      </c>
      <c r="R20" s="3">
        <f>IF($D20="","",UPPER(SUBSTITUTE(SUBSTITUTE(SUBSTITUTE(SUBSTITUTE(SUBSTITUTE(SUBSTITUTE(SUBSTITUTE(SUBSTITUTE(SUBSTITUTE(SUBSTITUTE(SUBSTITUTE(SUBSTITUTE(SUBSTITUTE(SUBSTITUTE(SUBSTITUTE(SUBSTITUTE(SUBSTITUTE(SUBSTITUTE(TRIM($D20),"'",""),"İ","I"),"ı","I"),"i","I"),"Ş","S"),"ş","S"),"Ğ","G"),"ğ","G"),"Ü","U"),"ü","U"),"Ö","O"),"ö","O"),"Ç","C"),"ç","C"),".",""),",","")," ",""),"-","")))</f>
        <v/>
      </c>
      <c r="S20" s="3">
        <f>IF($D20="","",$C20&amp;"|"&amp;TEXT($E20,"0")&amp;"|"&amp;TEXT($F20,"0")&amp;"|"&amp;$I20)</f>
        <v/>
      </c>
      <c r="T20" s="3">
        <f>IF($E20="",0,SUMPRODUCT((AY_SONU!$O$7:$O$42="Evet")*(AY_SONU!$B$7:$B$42=DATE(YEAR($E20),MONTH($E20),1))))</f>
        <v/>
      </c>
    </row>
    <row r="21">
      <c r="A21" s="6" t="n"/>
      <c r="B21" s="113">
        <f>IF($D21="","","T"&amp;TEXT(ROW()-6,"00000"))</f>
        <v/>
      </c>
      <c r="C21" s="113">
        <f>IF($D21="","",IFERROR(INDEX(MUSTERILER!$B$7:$B$106,MATCH($R21,MUSTERILER!$T$7:$T$106,0)),IFERROR(INDEX(MUSTERILER!$B$7:$B$106,MATCH($D21,MUSTERILER!$B$7:$B$106,0)),IFERROR(INDEX(MUSTERILER!$B$7:$B$106,MATCH($R21&amp;"*",MUSTERILER!$T$7:$T$106,0)),"TANIMSIZ MÜŞTERİ"))))</f>
        <v/>
      </c>
      <c r="D21" s="109" t="inlineStr">
        <is>
          <t>ÇAYIRALAN LTD.ŞTİ.</t>
        </is>
      </c>
      <c r="E21" s="220" t="n">
        <v>46034</v>
      </c>
      <c r="F21" s="221" t="n">
        <v>6000</v>
      </c>
      <c r="G21" s="108" t="inlineStr">
        <is>
          <t>ÖMER KARTAL</t>
        </is>
      </c>
      <c r="H21" s="108" t="inlineStr">
        <is>
          <t>Nakit</t>
        </is>
      </c>
      <c r="I21" s="109" t="n"/>
      <c r="J21" s="109" t="inlineStr">
        <is>
          <t>ÖMER KARTALA ÖDENEN</t>
        </is>
      </c>
      <c r="K21" s="109" t="n"/>
      <c r="L21" s="226">
        <f>IF($E21="","",DATE(YEAR($E21),MONTH($E21),1))</f>
        <v/>
      </c>
      <c r="M21" s="113">
        <f>IF($D21="","",IF($C21="TANIMSIZ MÜŞTERİ","HATA",IF(OR($E21="",$F21&lt;=0,$G21=""),"EKSİK",IF($E21&gt;TODAY(),"İLERİ TARİH",IF(COUNTIF($S$7:$S$1506,$S21)&gt;1,"MÜKERRER?",IF($T21&gt;0,"KAPALI DÖNEM","UYGUN"))))))</f>
        <v/>
      </c>
      <c r="N21" s="121">
        <f>IF($C21="","",IF($C21="TANIMSIZ MÜŞTERİ","—",INDEX(MUSTERILER!$C$7:$C$106,MATCH($C21,MUSTERILER!$B$7:$B$106,0))))</f>
        <v/>
      </c>
      <c r="O21" s="6" t="n"/>
      <c r="P21" s="6" t="n"/>
      <c r="Q21" s="3">
        <f>IF($D21="","",$C21&amp;"|"&amp;COUNTIFS($C$7:$C21,$C21))</f>
        <v/>
      </c>
      <c r="R21" s="3">
        <f>IF($D21="","",UPPER(SUBSTITUTE(SUBSTITUTE(SUBSTITUTE(SUBSTITUTE(SUBSTITUTE(SUBSTITUTE(SUBSTITUTE(SUBSTITUTE(SUBSTITUTE(SUBSTITUTE(SUBSTITUTE(SUBSTITUTE(SUBSTITUTE(SUBSTITUTE(SUBSTITUTE(SUBSTITUTE(SUBSTITUTE(SUBSTITUTE(TRIM($D21),"'",""),"İ","I"),"ı","I"),"i","I"),"Ş","S"),"ş","S"),"Ğ","G"),"ğ","G"),"Ü","U"),"ü","U"),"Ö","O"),"ö","O"),"Ç","C"),"ç","C"),".",""),",","")," ",""),"-","")))</f>
        <v/>
      </c>
      <c r="S21" s="3">
        <f>IF($D21="","",$C21&amp;"|"&amp;TEXT($E21,"0")&amp;"|"&amp;TEXT($F21,"0")&amp;"|"&amp;$I21)</f>
        <v/>
      </c>
      <c r="T21" s="3">
        <f>IF($E21="",0,SUMPRODUCT((AY_SONU!$O$7:$O$42="Evet")*(AY_SONU!$B$7:$B$42=DATE(YEAR($E21),MONTH($E21),1))))</f>
        <v/>
      </c>
    </row>
    <row r="22">
      <c r="A22" s="6" t="n"/>
      <c r="B22" s="113">
        <f>IF($D22="","","T"&amp;TEXT(ROW()-6,"00000"))</f>
        <v/>
      </c>
      <c r="C22" s="113">
        <f>IF($D22="","",IFERROR(INDEX(MUSTERILER!$B$7:$B$106,MATCH($R22,MUSTERILER!$T$7:$T$106,0)),IFERROR(INDEX(MUSTERILER!$B$7:$B$106,MATCH($D22,MUSTERILER!$B$7:$B$106,0)),IFERROR(INDEX(MUSTERILER!$B$7:$B$106,MATCH($R22&amp;"*",MUSTERILER!$T$7:$T$106,0)),"TANIMSIZ MÜŞTERİ"))))</f>
        <v/>
      </c>
      <c r="D22" s="109" t="inlineStr">
        <is>
          <t>İBRAHİM MALDAN</t>
        </is>
      </c>
      <c r="E22" s="220" t="n">
        <v>46034</v>
      </c>
      <c r="F22" s="221" t="n">
        <v>3000</v>
      </c>
      <c r="G22" s="108" t="inlineStr">
        <is>
          <t>ÖMER KARTAL</t>
        </is>
      </c>
      <c r="H22" s="108" t="inlineStr">
        <is>
          <t>Nakit</t>
        </is>
      </c>
      <c r="I22" s="109" t="n"/>
      <c r="J22" s="109" t="inlineStr">
        <is>
          <t>ÖMER KARTALA ÖDENEN</t>
        </is>
      </c>
      <c r="K22" s="109" t="n"/>
      <c r="L22" s="226">
        <f>IF($E22="","",DATE(YEAR($E22),MONTH($E22),1))</f>
        <v/>
      </c>
      <c r="M22" s="113">
        <f>IF($D22="","",IF($C22="TANIMSIZ MÜŞTERİ","HATA",IF(OR($E22="",$F22&lt;=0,$G22=""),"EKSİK",IF($E22&gt;TODAY(),"İLERİ TARİH",IF(COUNTIF($S$7:$S$1506,$S22)&gt;1,"MÜKERRER?",IF($T22&gt;0,"KAPALI DÖNEM","UYGUN"))))))</f>
        <v/>
      </c>
      <c r="N22" s="121">
        <f>IF($C22="","",IF($C22="TANIMSIZ MÜŞTERİ","—",INDEX(MUSTERILER!$C$7:$C$106,MATCH($C22,MUSTERILER!$B$7:$B$106,0))))</f>
        <v/>
      </c>
      <c r="O22" s="6" t="n"/>
      <c r="P22" s="6" t="n"/>
      <c r="Q22" s="3">
        <f>IF($D22="","",$C22&amp;"|"&amp;COUNTIFS($C$7:$C22,$C22))</f>
        <v/>
      </c>
      <c r="R22" s="3">
        <f>IF($D22="","",UPPER(SUBSTITUTE(SUBSTITUTE(SUBSTITUTE(SUBSTITUTE(SUBSTITUTE(SUBSTITUTE(SUBSTITUTE(SUBSTITUTE(SUBSTITUTE(SUBSTITUTE(SUBSTITUTE(SUBSTITUTE(SUBSTITUTE(SUBSTITUTE(SUBSTITUTE(SUBSTITUTE(SUBSTITUTE(SUBSTITUTE(TRIM($D22),"'",""),"İ","I"),"ı","I"),"i","I"),"Ş","S"),"ş","S"),"Ğ","G"),"ğ","G"),"Ü","U"),"ü","U"),"Ö","O"),"ö","O"),"Ç","C"),"ç","C"),".",""),",","")," ",""),"-","")))</f>
        <v/>
      </c>
      <c r="S22" s="3">
        <f>IF($D22="","",$C22&amp;"|"&amp;TEXT($E22,"0")&amp;"|"&amp;TEXT($F22,"0")&amp;"|"&amp;$I22)</f>
        <v/>
      </c>
      <c r="T22" s="3">
        <f>IF($E22="",0,SUMPRODUCT((AY_SONU!$O$7:$O$42="Evet")*(AY_SONU!$B$7:$B$42=DATE(YEAR($E22),MONTH($E22),1))))</f>
        <v/>
      </c>
    </row>
    <row r="23">
      <c r="A23" s="6" t="n"/>
      <c r="B23" s="113">
        <f>IF($D23="","","T"&amp;TEXT(ROW()-6,"00000"))</f>
        <v/>
      </c>
      <c r="C23" s="113">
        <f>IF($D23="","",IFERROR(INDEX(MUSTERILER!$B$7:$B$106,MATCH($R23,MUSTERILER!$T$7:$T$106,0)),IFERROR(INDEX(MUSTERILER!$B$7:$B$106,MATCH($D23,MUSTERILER!$B$7:$B$106,0)),IFERROR(INDEX(MUSTERILER!$B$7:$B$106,MATCH($R23&amp;"*",MUSTERILER!$T$7:$T$106,0)),"TANIMSIZ MÜŞTERİ"))))</f>
        <v/>
      </c>
      <c r="D23" s="109" t="inlineStr">
        <is>
          <t>RİX ŞOW LTD.ŞTİ.</t>
        </is>
      </c>
      <c r="E23" s="220" t="n">
        <v>46034</v>
      </c>
      <c r="F23" s="221" t="n">
        <v>4000</v>
      </c>
      <c r="G23" s="108" t="inlineStr">
        <is>
          <t>ÖMER KARTAL</t>
        </is>
      </c>
      <c r="H23" s="108" t="inlineStr">
        <is>
          <t>Nakit</t>
        </is>
      </c>
      <c r="I23" s="109" t="n"/>
      <c r="J23" s="109" t="inlineStr">
        <is>
          <t>ÖMER KARTALA ÖDENEN</t>
        </is>
      </c>
      <c r="K23" s="109" t="n"/>
      <c r="L23" s="226">
        <f>IF($E23="","",DATE(YEAR($E23),MONTH($E23),1))</f>
        <v/>
      </c>
      <c r="M23" s="113">
        <f>IF($D23="","",IF($C23="TANIMSIZ MÜŞTERİ","HATA",IF(OR($E23="",$F23&lt;=0,$G23=""),"EKSİK",IF($E23&gt;TODAY(),"İLERİ TARİH",IF(COUNTIF($S$7:$S$1506,$S23)&gt;1,"MÜKERRER?",IF($T23&gt;0,"KAPALI DÖNEM","UYGUN"))))))</f>
        <v/>
      </c>
      <c r="N23" s="121">
        <f>IF($C23="","",IF($C23="TANIMSIZ MÜŞTERİ","—",INDEX(MUSTERILER!$C$7:$C$106,MATCH($C23,MUSTERILER!$B$7:$B$106,0))))</f>
        <v/>
      </c>
      <c r="O23" s="6" t="n"/>
      <c r="P23" s="6" t="n"/>
      <c r="Q23" s="3">
        <f>IF($D23="","",$C23&amp;"|"&amp;COUNTIFS($C$7:$C23,$C23))</f>
        <v/>
      </c>
      <c r="R23" s="3">
        <f>IF($D23="","",UPPER(SUBSTITUTE(SUBSTITUTE(SUBSTITUTE(SUBSTITUTE(SUBSTITUTE(SUBSTITUTE(SUBSTITUTE(SUBSTITUTE(SUBSTITUTE(SUBSTITUTE(SUBSTITUTE(SUBSTITUTE(SUBSTITUTE(SUBSTITUTE(SUBSTITUTE(SUBSTITUTE(SUBSTITUTE(SUBSTITUTE(TRIM($D23),"'",""),"İ","I"),"ı","I"),"i","I"),"Ş","S"),"ş","S"),"Ğ","G"),"ğ","G"),"Ü","U"),"ü","U"),"Ö","O"),"ö","O"),"Ç","C"),"ç","C"),".",""),",","")," ",""),"-","")))</f>
        <v/>
      </c>
      <c r="S23" s="3">
        <f>IF($D23="","",$C23&amp;"|"&amp;TEXT($E23,"0")&amp;"|"&amp;TEXT($F23,"0")&amp;"|"&amp;$I23)</f>
        <v/>
      </c>
      <c r="T23" s="3">
        <f>IF($E23="",0,SUMPRODUCT((AY_SONU!$O$7:$O$42="Evet")*(AY_SONU!$B$7:$B$42=DATE(YEAR($E23),MONTH($E23),1))))</f>
        <v/>
      </c>
    </row>
    <row r="24">
      <c r="A24" s="6" t="n"/>
      <c r="B24" s="113">
        <f>IF($D24="","","T"&amp;TEXT(ROW()-6,"00000"))</f>
        <v/>
      </c>
      <c r="C24" s="113">
        <f>IF($D24="","",IFERROR(INDEX(MUSTERILER!$B$7:$B$106,MATCH($R24,MUSTERILER!$T$7:$T$106,0)),IFERROR(INDEX(MUSTERILER!$B$7:$B$106,MATCH($D24,MUSTERILER!$B$7:$B$106,0)),IFERROR(INDEX(MUSTERILER!$B$7:$B$106,MATCH($R24&amp;"*",MUSTERILER!$T$7:$T$106,0)),"TANIMSIZ MÜŞTERİ"))))</f>
        <v/>
      </c>
      <c r="D24" s="109" t="inlineStr">
        <is>
          <t>ZÜMRÜT EĞLENCE LTD.ŞTİ.</t>
        </is>
      </c>
      <c r="E24" s="220" t="n">
        <v>46034</v>
      </c>
      <c r="F24" s="221" t="n">
        <v>6000</v>
      </c>
      <c r="G24" s="108" t="inlineStr">
        <is>
          <t>ÖMER KARTAL</t>
        </is>
      </c>
      <c r="H24" s="108" t="inlineStr">
        <is>
          <t>Nakit</t>
        </is>
      </c>
      <c r="I24" s="109" t="n"/>
      <c r="J24" s="109" t="inlineStr">
        <is>
          <t>ÖMER KARTALA ÖDENEN</t>
        </is>
      </c>
      <c r="K24" s="109" t="n"/>
      <c r="L24" s="226">
        <f>IF($E24="","",DATE(YEAR($E24),MONTH($E24),1))</f>
        <v/>
      </c>
      <c r="M24" s="113">
        <f>IF($D24="","",IF($C24="TANIMSIZ MÜŞTERİ","HATA",IF(OR($E24="",$F24&lt;=0,$G24=""),"EKSİK",IF($E24&gt;TODAY(),"İLERİ TARİH",IF(COUNTIF($S$7:$S$1506,$S24)&gt;1,"MÜKERRER?",IF($T24&gt;0,"KAPALI DÖNEM","UYGUN"))))))</f>
        <v/>
      </c>
      <c r="N24" s="121">
        <f>IF($C24="","",IF($C24="TANIMSIZ MÜŞTERİ","—",INDEX(MUSTERILER!$C$7:$C$106,MATCH($C24,MUSTERILER!$B$7:$B$106,0))))</f>
        <v/>
      </c>
      <c r="O24" s="6" t="n"/>
      <c r="P24" s="6" t="n"/>
      <c r="Q24" s="3">
        <f>IF($D24="","",$C24&amp;"|"&amp;COUNTIFS($C$7:$C24,$C24))</f>
        <v/>
      </c>
      <c r="R24" s="3">
        <f>IF($D24="","",UPPER(SUBSTITUTE(SUBSTITUTE(SUBSTITUTE(SUBSTITUTE(SUBSTITUTE(SUBSTITUTE(SUBSTITUTE(SUBSTITUTE(SUBSTITUTE(SUBSTITUTE(SUBSTITUTE(SUBSTITUTE(SUBSTITUTE(SUBSTITUTE(SUBSTITUTE(SUBSTITUTE(SUBSTITUTE(SUBSTITUTE(TRIM($D24),"'",""),"İ","I"),"ı","I"),"i","I"),"Ş","S"),"ş","S"),"Ğ","G"),"ğ","G"),"Ü","U"),"ü","U"),"Ö","O"),"ö","O"),"Ç","C"),"ç","C"),".",""),",","")," ",""),"-","")))</f>
        <v/>
      </c>
      <c r="S24" s="3">
        <f>IF($D24="","",$C24&amp;"|"&amp;TEXT($E24,"0")&amp;"|"&amp;TEXT($F24,"0")&amp;"|"&amp;$I24)</f>
        <v/>
      </c>
      <c r="T24" s="3">
        <f>IF($E24="",0,SUMPRODUCT((AY_SONU!$O$7:$O$42="Evet")*(AY_SONU!$B$7:$B$42=DATE(YEAR($E24),MONTH($E24),1))))</f>
        <v/>
      </c>
    </row>
    <row r="25">
      <c r="A25" s="6" t="n"/>
      <c r="B25" s="113">
        <f>IF($D25="","","T"&amp;TEXT(ROW()-6,"00000"))</f>
        <v/>
      </c>
      <c r="C25" s="113">
        <f>IF($D25="","",IFERROR(INDEX(MUSTERILER!$B$7:$B$106,MATCH($R25,MUSTERILER!$T$7:$T$106,0)),IFERROR(INDEX(MUSTERILER!$B$7:$B$106,MATCH($D25,MUSTERILER!$B$7:$B$106,0)),IFERROR(INDEX(MUSTERILER!$B$7:$B$106,MATCH($R25&amp;"*",MUSTERILER!$T$7:$T$106,0)),"TANIMSIZ MÜŞTERİ"))))</f>
        <v/>
      </c>
      <c r="D25" s="109" t="inlineStr">
        <is>
          <t>ASIM AÇIKGÖZ</t>
        </is>
      </c>
      <c r="E25" s="220" t="n">
        <v>46039</v>
      </c>
      <c r="F25" s="221" t="n">
        <v>6000</v>
      </c>
      <c r="G25" s="108" t="inlineStr">
        <is>
          <t>MERKEZ KASA</t>
        </is>
      </c>
      <c r="H25" s="108" t="inlineStr">
        <is>
          <t>Nakit</t>
        </is>
      </c>
      <c r="I25" s="109" t="n"/>
      <c r="J25" s="109" t="inlineStr">
        <is>
          <t>NAKİT ÖDENEN</t>
        </is>
      </c>
      <c r="K25" s="109" t="n"/>
      <c r="L25" s="226">
        <f>IF($E25="","",DATE(YEAR($E25),MONTH($E25),1))</f>
        <v/>
      </c>
      <c r="M25" s="113">
        <f>IF($D25="","",IF($C25="TANIMSIZ MÜŞTERİ","HATA",IF(OR($E25="",$F25&lt;=0,$G25=""),"EKSİK",IF($E25&gt;TODAY(),"İLERİ TARİH",IF(COUNTIF($S$7:$S$1506,$S25)&gt;1,"MÜKERRER?",IF($T25&gt;0,"KAPALI DÖNEM","UYGUN"))))))</f>
        <v/>
      </c>
      <c r="N25" s="121">
        <f>IF($C25="","",IF($C25="TANIMSIZ MÜŞTERİ","—",INDEX(MUSTERILER!$C$7:$C$106,MATCH($C25,MUSTERILER!$B$7:$B$106,0))))</f>
        <v/>
      </c>
      <c r="O25" s="6" t="n"/>
      <c r="P25" s="6" t="n"/>
      <c r="Q25" s="3">
        <f>IF($D25="","",$C25&amp;"|"&amp;COUNTIFS($C$7:$C25,$C25))</f>
        <v/>
      </c>
      <c r="R25" s="3">
        <f>IF($D25="","",UPPER(SUBSTITUTE(SUBSTITUTE(SUBSTITUTE(SUBSTITUTE(SUBSTITUTE(SUBSTITUTE(SUBSTITUTE(SUBSTITUTE(SUBSTITUTE(SUBSTITUTE(SUBSTITUTE(SUBSTITUTE(SUBSTITUTE(SUBSTITUTE(SUBSTITUTE(SUBSTITUTE(SUBSTITUTE(SUBSTITUTE(TRIM($D25),"'",""),"İ","I"),"ı","I"),"i","I"),"Ş","S"),"ş","S"),"Ğ","G"),"ğ","G"),"Ü","U"),"ü","U"),"Ö","O"),"ö","O"),"Ç","C"),"ç","C"),".",""),",","")," ",""),"-","")))</f>
        <v/>
      </c>
      <c r="S25" s="3">
        <f>IF($D25="","",$C25&amp;"|"&amp;TEXT($E25,"0")&amp;"|"&amp;TEXT($F25,"0")&amp;"|"&amp;$I25)</f>
        <v/>
      </c>
      <c r="T25" s="3">
        <f>IF($E25="",0,SUMPRODUCT((AY_SONU!$O$7:$O$42="Evet")*(AY_SONU!$B$7:$B$42=DATE(YEAR($E25),MONTH($E25),1))))</f>
        <v/>
      </c>
    </row>
    <row r="26">
      <c r="A26" s="6" t="n"/>
      <c r="B26" s="113">
        <f>IF($D26="","","T"&amp;TEXT(ROW()-6,"00000"))</f>
        <v/>
      </c>
      <c r="C26" s="113">
        <f>IF($D26="","",IFERROR(INDEX(MUSTERILER!$B$7:$B$106,MATCH($R26,MUSTERILER!$T$7:$T$106,0)),IFERROR(INDEX(MUSTERILER!$B$7:$B$106,MATCH($D26,MUSTERILER!$B$7:$B$106,0)),IFERROR(INDEX(MUSTERILER!$B$7:$B$106,MATCH($R26&amp;"*",MUSTERILER!$T$7:$T$106,0)),"TANIMSIZ MÜŞTERİ"))))</f>
        <v/>
      </c>
      <c r="D26" s="109" t="inlineStr">
        <is>
          <t>ASM EĞLENCE LTD.ŞTİ.</t>
        </is>
      </c>
      <c r="E26" s="220" t="n">
        <v>46039</v>
      </c>
      <c r="F26" s="221" t="n">
        <v>5000</v>
      </c>
      <c r="G26" s="108" t="inlineStr">
        <is>
          <t>MERKEZ KASA</t>
        </is>
      </c>
      <c r="H26" s="108" t="inlineStr">
        <is>
          <t>Nakit</t>
        </is>
      </c>
      <c r="I26" s="109" t="n"/>
      <c r="J26" s="109" t="inlineStr">
        <is>
          <t>NAKİT ÖDENEN</t>
        </is>
      </c>
      <c r="K26" s="109" t="n"/>
      <c r="L26" s="226">
        <f>IF($E26="","",DATE(YEAR($E26),MONTH($E26),1))</f>
        <v/>
      </c>
      <c r="M26" s="113">
        <f>IF($D26="","",IF($C26="TANIMSIZ MÜŞTERİ","HATA",IF(OR($E26="",$F26&lt;=0,$G26=""),"EKSİK",IF($E26&gt;TODAY(),"İLERİ TARİH",IF(COUNTIF($S$7:$S$1506,$S26)&gt;1,"MÜKERRER?",IF($T26&gt;0,"KAPALI DÖNEM","UYGUN"))))))</f>
        <v/>
      </c>
      <c r="N26" s="121">
        <f>IF($C26="","",IF($C26="TANIMSIZ MÜŞTERİ","—",INDEX(MUSTERILER!$C$7:$C$106,MATCH($C26,MUSTERILER!$B$7:$B$106,0))))</f>
        <v/>
      </c>
      <c r="O26" s="6" t="n"/>
      <c r="P26" s="6" t="n"/>
      <c r="Q26" s="3">
        <f>IF($D26="","",$C26&amp;"|"&amp;COUNTIFS($C$7:$C26,$C26))</f>
        <v/>
      </c>
      <c r="R26" s="3">
        <f>IF($D26="","",UPPER(SUBSTITUTE(SUBSTITUTE(SUBSTITUTE(SUBSTITUTE(SUBSTITUTE(SUBSTITUTE(SUBSTITUTE(SUBSTITUTE(SUBSTITUTE(SUBSTITUTE(SUBSTITUTE(SUBSTITUTE(SUBSTITUTE(SUBSTITUTE(SUBSTITUTE(SUBSTITUTE(SUBSTITUTE(SUBSTITUTE(TRIM($D26),"'",""),"İ","I"),"ı","I"),"i","I"),"Ş","S"),"ş","S"),"Ğ","G"),"ğ","G"),"Ü","U"),"ü","U"),"Ö","O"),"ö","O"),"Ç","C"),"ç","C"),".",""),",","")," ",""),"-","")))</f>
        <v/>
      </c>
      <c r="S26" s="3">
        <f>IF($D26="","",$C26&amp;"|"&amp;TEXT($E26,"0")&amp;"|"&amp;TEXT($F26,"0")&amp;"|"&amp;$I26)</f>
        <v/>
      </c>
      <c r="T26" s="3">
        <f>IF($E26="",0,SUMPRODUCT((AY_SONU!$O$7:$O$42="Evet")*(AY_SONU!$B$7:$B$42=DATE(YEAR($E26),MONTH($E26),1))))</f>
        <v/>
      </c>
    </row>
    <row r="27">
      <c r="A27" s="6" t="n"/>
      <c r="B27" s="113">
        <f>IF($D27="","","T"&amp;TEXT(ROW()-6,"00000"))</f>
        <v/>
      </c>
      <c r="C27" s="113">
        <f>IF($D27="","",IFERROR(INDEX(MUSTERILER!$B$7:$B$106,MATCH($R27,MUSTERILER!$T$7:$T$106,0)),IFERROR(INDEX(MUSTERILER!$B$7:$B$106,MATCH($D27,MUSTERILER!$B$7:$B$106,0)),IFERROR(INDEX(MUSTERILER!$B$7:$B$106,MATCH($R27&amp;"*",MUSTERILER!$T$7:$T$106,0)),"TANIMSIZ MÜŞTERİ"))))</f>
        <v/>
      </c>
      <c r="D27" s="109" t="inlineStr">
        <is>
          <t>ÇAYIRALAN LTD.ŞTİ.</t>
        </is>
      </c>
      <c r="E27" s="220" t="n">
        <v>46039</v>
      </c>
      <c r="F27" s="221" t="n">
        <v>3000</v>
      </c>
      <c r="G27" s="108" t="inlineStr">
        <is>
          <t>MERKEZ KASA</t>
        </is>
      </c>
      <c r="H27" s="108" t="inlineStr">
        <is>
          <t>Nakit</t>
        </is>
      </c>
      <c r="I27" s="109" t="n"/>
      <c r="J27" s="109" t="inlineStr">
        <is>
          <t>NAKİT ÖDENEN</t>
        </is>
      </c>
      <c r="K27" s="109" t="n"/>
      <c r="L27" s="226">
        <f>IF($E27="","",DATE(YEAR($E27),MONTH($E27),1))</f>
        <v/>
      </c>
      <c r="M27" s="113">
        <f>IF($D27="","",IF($C27="TANIMSIZ MÜŞTERİ","HATA",IF(OR($E27="",$F27&lt;=0,$G27=""),"EKSİK",IF($E27&gt;TODAY(),"İLERİ TARİH",IF(COUNTIF($S$7:$S$1506,$S27)&gt;1,"MÜKERRER?",IF($T27&gt;0,"KAPALI DÖNEM","UYGUN"))))))</f>
        <v/>
      </c>
      <c r="N27" s="121">
        <f>IF($C27="","",IF($C27="TANIMSIZ MÜŞTERİ","—",INDEX(MUSTERILER!$C$7:$C$106,MATCH($C27,MUSTERILER!$B$7:$B$106,0))))</f>
        <v/>
      </c>
      <c r="O27" s="6" t="n"/>
      <c r="P27" s="6" t="n"/>
      <c r="Q27" s="3">
        <f>IF($D27="","",$C27&amp;"|"&amp;COUNTIFS($C$7:$C27,$C27))</f>
        <v/>
      </c>
      <c r="R27" s="3">
        <f>IF($D27="","",UPPER(SUBSTITUTE(SUBSTITUTE(SUBSTITUTE(SUBSTITUTE(SUBSTITUTE(SUBSTITUTE(SUBSTITUTE(SUBSTITUTE(SUBSTITUTE(SUBSTITUTE(SUBSTITUTE(SUBSTITUTE(SUBSTITUTE(SUBSTITUTE(SUBSTITUTE(SUBSTITUTE(SUBSTITUTE(SUBSTITUTE(TRIM($D27),"'",""),"İ","I"),"ı","I"),"i","I"),"Ş","S"),"ş","S"),"Ğ","G"),"ğ","G"),"Ü","U"),"ü","U"),"Ö","O"),"ö","O"),"Ç","C"),"ç","C"),".",""),",","")," ",""),"-","")))</f>
        <v/>
      </c>
      <c r="S27" s="3">
        <f>IF($D27="","",$C27&amp;"|"&amp;TEXT($E27,"0")&amp;"|"&amp;TEXT($F27,"0")&amp;"|"&amp;$I27)</f>
        <v/>
      </c>
      <c r="T27" s="3">
        <f>IF($E27="",0,SUMPRODUCT((AY_SONU!$O$7:$O$42="Evet")*(AY_SONU!$B$7:$B$42=DATE(YEAR($E27),MONTH($E27),1))))</f>
        <v/>
      </c>
    </row>
    <row r="28">
      <c r="A28" s="6" t="n"/>
      <c r="B28" s="113">
        <f>IF($D28="","","T"&amp;TEXT(ROW()-6,"00000"))</f>
        <v/>
      </c>
      <c r="C28" s="113">
        <f>IF($D28="","",IFERROR(INDEX(MUSTERILER!$B$7:$B$106,MATCH($R28,MUSTERILER!$T$7:$T$106,0)),IFERROR(INDEX(MUSTERILER!$B$7:$B$106,MATCH($D28,MUSTERILER!$B$7:$B$106,0)),IFERROR(INDEX(MUSTERILER!$B$7:$B$106,MATCH($R28&amp;"*",MUSTERILER!$T$7:$T$106,0)),"TANIMSIZ MÜŞTERİ"))))</f>
        <v/>
      </c>
      <c r="D28" s="109" t="inlineStr">
        <is>
          <t>İBRAHİM MALDAN</t>
        </is>
      </c>
      <c r="E28" s="220" t="n">
        <v>46039</v>
      </c>
      <c r="F28" s="221" t="n">
        <v>1500</v>
      </c>
      <c r="G28" s="108" t="inlineStr">
        <is>
          <t>MERKEZ KASA</t>
        </is>
      </c>
      <c r="H28" s="108" t="inlineStr">
        <is>
          <t>Nakit</t>
        </is>
      </c>
      <c r="I28" s="109" t="n"/>
      <c r="J28" s="109" t="inlineStr">
        <is>
          <t>NAKİT ÖDENEN</t>
        </is>
      </c>
      <c r="K28" s="109" t="n"/>
      <c r="L28" s="226">
        <f>IF($E28="","",DATE(YEAR($E28),MONTH($E28),1))</f>
        <v/>
      </c>
      <c r="M28" s="113">
        <f>IF($D28="","",IF($C28="TANIMSIZ MÜŞTERİ","HATA",IF(OR($E28="",$F28&lt;=0,$G28=""),"EKSİK",IF($E28&gt;TODAY(),"İLERİ TARİH",IF(COUNTIF($S$7:$S$1506,$S28)&gt;1,"MÜKERRER?",IF($T28&gt;0,"KAPALI DÖNEM","UYGUN"))))))</f>
        <v/>
      </c>
      <c r="N28" s="121">
        <f>IF($C28="","",IF($C28="TANIMSIZ MÜŞTERİ","—",INDEX(MUSTERILER!$C$7:$C$106,MATCH($C28,MUSTERILER!$B$7:$B$106,0))))</f>
        <v/>
      </c>
      <c r="O28" s="6" t="n"/>
      <c r="P28" s="6" t="n"/>
      <c r="Q28" s="3">
        <f>IF($D28="","",$C28&amp;"|"&amp;COUNTIFS($C$7:$C28,$C28))</f>
        <v/>
      </c>
      <c r="R28" s="3">
        <f>IF($D28="","",UPPER(SUBSTITUTE(SUBSTITUTE(SUBSTITUTE(SUBSTITUTE(SUBSTITUTE(SUBSTITUTE(SUBSTITUTE(SUBSTITUTE(SUBSTITUTE(SUBSTITUTE(SUBSTITUTE(SUBSTITUTE(SUBSTITUTE(SUBSTITUTE(SUBSTITUTE(SUBSTITUTE(SUBSTITUTE(SUBSTITUTE(TRIM($D28),"'",""),"İ","I"),"ı","I"),"i","I"),"Ş","S"),"ş","S"),"Ğ","G"),"ğ","G"),"Ü","U"),"ü","U"),"Ö","O"),"ö","O"),"Ç","C"),"ç","C"),".",""),",","")," ",""),"-","")))</f>
        <v/>
      </c>
      <c r="S28" s="3">
        <f>IF($D28="","",$C28&amp;"|"&amp;TEXT($E28,"0")&amp;"|"&amp;TEXT($F28,"0")&amp;"|"&amp;$I28)</f>
        <v/>
      </c>
      <c r="T28" s="3">
        <f>IF($E28="",0,SUMPRODUCT((AY_SONU!$O$7:$O$42="Evet")*(AY_SONU!$B$7:$B$42=DATE(YEAR($E28),MONTH($E28),1))))</f>
        <v/>
      </c>
    </row>
    <row r="29">
      <c r="A29" s="6" t="n"/>
      <c r="B29" s="113">
        <f>IF($D29="","","T"&amp;TEXT(ROW()-6,"00000"))</f>
        <v/>
      </c>
      <c r="C29" s="113">
        <f>IF($D29="","",IFERROR(INDEX(MUSTERILER!$B$7:$B$106,MATCH($R29,MUSTERILER!$T$7:$T$106,0)),IFERROR(INDEX(MUSTERILER!$B$7:$B$106,MATCH($D29,MUSTERILER!$B$7:$B$106,0)),IFERROR(INDEX(MUSTERILER!$B$7:$B$106,MATCH($R29&amp;"*",MUSTERILER!$T$7:$T$106,0)),"TANIMSIZ MÜŞTERİ"))))</f>
        <v/>
      </c>
      <c r="D29" s="109" t="inlineStr">
        <is>
          <t>KÖŞK YÜKSELEN LTD.ŞTİ.</t>
        </is>
      </c>
      <c r="E29" s="220" t="n">
        <v>46039</v>
      </c>
      <c r="F29" s="221" t="n">
        <v>3500</v>
      </c>
      <c r="G29" s="108" t="inlineStr">
        <is>
          <t>MERKEZ KASA</t>
        </is>
      </c>
      <c r="H29" s="108" t="inlineStr">
        <is>
          <t>Nakit</t>
        </is>
      </c>
      <c r="I29" s="109" t="n"/>
      <c r="J29" s="109" t="inlineStr">
        <is>
          <t>NAKİT ÖDENEN</t>
        </is>
      </c>
      <c r="K29" s="109" t="n"/>
      <c r="L29" s="226">
        <f>IF($E29="","",DATE(YEAR($E29),MONTH($E29),1))</f>
        <v/>
      </c>
      <c r="M29" s="113">
        <f>IF($D29="","",IF($C29="TANIMSIZ MÜŞTERİ","HATA",IF(OR($E29="",$F29&lt;=0,$G29=""),"EKSİK",IF($E29&gt;TODAY(),"İLERİ TARİH",IF(COUNTIF($S$7:$S$1506,$S29)&gt;1,"MÜKERRER?",IF($T29&gt;0,"KAPALI DÖNEM","UYGUN"))))))</f>
        <v/>
      </c>
      <c r="N29" s="121">
        <f>IF($C29="","",IF($C29="TANIMSIZ MÜŞTERİ","—",INDEX(MUSTERILER!$C$7:$C$106,MATCH($C29,MUSTERILER!$B$7:$B$106,0))))</f>
        <v/>
      </c>
      <c r="O29" s="6" t="n"/>
      <c r="P29" s="6" t="n"/>
      <c r="Q29" s="3">
        <f>IF($D29="","",$C29&amp;"|"&amp;COUNTIFS($C$7:$C29,$C29))</f>
        <v/>
      </c>
      <c r="R29" s="3">
        <f>IF($D29="","",UPPER(SUBSTITUTE(SUBSTITUTE(SUBSTITUTE(SUBSTITUTE(SUBSTITUTE(SUBSTITUTE(SUBSTITUTE(SUBSTITUTE(SUBSTITUTE(SUBSTITUTE(SUBSTITUTE(SUBSTITUTE(SUBSTITUTE(SUBSTITUTE(SUBSTITUTE(SUBSTITUTE(SUBSTITUTE(SUBSTITUTE(TRIM($D29),"'",""),"İ","I"),"ı","I"),"i","I"),"Ş","S"),"ş","S"),"Ğ","G"),"ğ","G"),"Ü","U"),"ü","U"),"Ö","O"),"ö","O"),"Ç","C"),"ç","C"),".",""),",","")," ",""),"-","")))</f>
        <v/>
      </c>
      <c r="S29" s="3">
        <f>IF($D29="","",$C29&amp;"|"&amp;TEXT($E29,"0")&amp;"|"&amp;TEXT($F29,"0")&amp;"|"&amp;$I29)</f>
        <v/>
      </c>
      <c r="T29" s="3">
        <f>IF($E29="",0,SUMPRODUCT((AY_SONU!$O$7:$O$42="Evet")*(AY_SONU!$B$7:$B$42=DATE(YEAR($E29),MONTH($E29),1))))</f>
        <v/>
      </c>
    </row>
    <row r="30">
      <c r="A30" s="6" t="n"/>
      <c r="B30" s="113">
        <f>IF($D30="","","T"&amp;TEXT(ROW()-6,"00000"))</f>
        <v/>
      </c>
      <c r="C30" s="113">
        <f>IF($D30="","",IFERROR(INDEX(MUSTERILER!$B$7:$B$106,MATCH($R30,MUSTERILER!$T$7:$T$106,0)),IFERROR(INDEX(MUSTERILER!$B$7:$B$106,MATCH($D30,MUSTERILER!$B$7:$B$106,0)),IFERROR(INDEX(MUSTERILER!$B$7:$B$106,MATCH($R30&amp;"*",MUSTERILER!$T$7:$T$106,0)),"TANIMSIZ MÜŞTERİ"))))</f>
        <v/>
      </c>
      <c r="D30" s="109" t="inlineStr">
        <is>
          <t>MONAMOUR LTD.ŞTİ.</t>
        </is>
      </c>
      <c r="E30" s="220" t="n">
        <v>46039</v>
      </c>
      <c r="F30" s="221" t="n">
        <v>2000</v>
      </c>
      <c r="G30" s="108" t="inlineStr">
        <is>
          <t>MERKEZ KASA</t>
        </is>
      </c>
      <c r="H30" s="108" t="inlineStr">
        <is>
          <t>Nakit</t>
        </is>
      </c>
      <c r="I30" s="109" t="n"/>
      <c r="J30" s="109" t="inlineStr">
        <is>
          <t>NAKİT ÖDENEN</t>
        </is>
      </c>
      <c r="K30" s="109" t="n"/>
      <c r="L30" s="226">
        <f>IF($E30="","",DATE(YEAR($E30),MONTH($E30),1))</f>
        <v/>
      </c>
      <c r="M30" s="113">
        <f>IF($D30="","",IF($C30="TANIMSIZ MÜŞTERİ","HATA",IF(OR($E30="",$F30&lt;=0,$G30=""),"EKSİK",IF($E30&gt;TODAY(),"İLERİ TARİH",IF(COUNTIF($S$7:$S$1506,$S30)&gt;1,"MÜKERRER?",IF($T30&gt;0,"KAPALI DÖNEM","UYGUN"))))))</f>
        <v/>
      </c>
      <c r="N30" s="121">
        <f>IF($C30="","",IF($C30="TANIMSIZ MÜŞTERİ","—",INDEX(MUSTERILER!$C$7:$C$106,MATCH($C30,MUSTERILER!$B$7:$B$106,0))))</f>
        <v/>
      </c>
      <c r="O30" s="6" t="n"/>
      <c r="P30" s="6" t="n"/>
      <c r="Q30" s="3">
        <f>IF($D30="","",$C30&amp;"|"&amp;COUNTIFS($C$7:$C30,$C30))</f>
        <v/>
      </c>
      <c r="R30" s="3">
        <f>IF($D30="","",UPPER(SUBSTITUTE(SUBSTITUTE(SUBSTITUTE(SUBSTITUTE(SUBSTITUTE(SUBSTITUTE(SUBSTITUTE(SUBSTITUTE(SUBSTITUTE(SUBSTITUTE(SUBSTITUTE(SUBSTITUTE(SUBSTITUTE(SUBSTITUTE(SUBSTITUTE(SUBSTITUTE(SUBSTITUTE(SUBSTITUTE(TRIM($D30),"'",""),"İ","I"),"ı","I"),"i","I"),"Ş","S"),"ş","S"),"Ğ","G"),"ğ","G"),"Ü","U"),"ü","U"),"Ö","O"),"ö","O"),"Ç","C"),"ç","C"),".",""),",","")," ",""),"-","")))</f>
        <v/>
      </c>
      <c r="S30" s="3">
        <f>IF($D30="","",$C30&amp;"|"&amp;TEXT($E30,"0")&amp;"|"&amp;TEXT($F30,"0")&amp;"|"&amp;$I30)</f>
        <v/>
      </c>
      <c r="T30" s="3">
        <f>IF($E30="",0,SUMPRODUCT((AY_SONU!$O$7:$O$42="Evet")*(AY_SONU!$B$7:$B$42=DATE(YEAR($E30),MONTH($E30),1))))</f>
        <v/>
      </c>
    </row>
    <row r="31">
      <c r="A31" s="6" t="n"/>
      <c r="B31" s="113">
        <f>IF($D31="","","T"&amp;TEXT(ROW()-6,"00000"))</f>
        <v/>
      </c>
      <c r="C31" s="113">
        <f>IF($D31="","",IFERROR(INDEX(MUSTERILER!$B$7:$B$106,MATCH($R31,MUSTERILER!$T$7:$T$106,0)),IFERROR(INDEX(MUSTERILER!$B$7:$B$106,MATCH($D31,MUSTERILER!$B$7:$B$106,0)),IFERROR(INDEX(MUSTERILER!$B$7:$B$106,MATCH($R31&amp;"*",MUSTERILER!$T$7:$T$106,0)),"TANIMSIZ MÜŞTERİ"))))</f>
        <v/>
      </c>
      <c r="D31" s="109" t="inlineStr">
        <is>
          <t>MONAMOUR LTD.ŞTİ.</t>
        </is>
      </c>
      <c r="E31" s="220" t="n">
        <v>46039</v>
      </c>
      <c r="F31" s="221" t="n">
        <v>3500</v>
      </c>
      <c r="G31" s="108" t="inlineStr">
        <is>
          <t>MERKEZ KASA</t>
        </is>
      </c>
      <c r="H31" s="108" t="inlineStr">
        <is>
          <t>Nakit</t>
        </is>
      </c>
      <c r="I31" s="109" t="n"/>
      <c r="J31" s="109" t="inlineStr">
        <is>
          <t>NAKİT ÖDENEN</t>
        </is>
      </c>
      <c r="K31" s="109" t="n"/>
      <c r="L31" s="226">
        <f>IF($E31="","",DATE(YEAR($E31),MONTH($E31),1))</f>
        <v/>
      </c>
      <c r="M31" s="113">
        <f>IF($D31="","",IF($C31="TANIMSIZ MÜŞTERİ","HATA",IF(OR($E31="",$F31&lt;=0,$G31=""),"EKSİK",IF($E31&gt;TODAY(),"İLERİ TARİH",IF(COUNTIF($S$7:$S$1506,$S31)&gt;1,"MÜKERRER?",IF($T31&gt;0,"KAPALI DÖNEM","UYGUN"))))))</f>
        <v/>
      </c>
      <c r="N31" s="121">
        <f>IF($C31="","",IF($C31="TANIMSIZ MÜŞTERİ","—",INDEX(MUSTERILER!$C$7:$C$106,MATCH($C31,MUSTERILER!$B$7:$B$106,0))))</f>
        <v/>
      </c>
      <c r="O31" s="6" t="n"/>
      <c r="P31" s="6" t="n"/>
      <c r="Q31" s="3">
        <f>IF($D31="","",$C31&amp;"|"&amp;COUNTIFS($C$7:$C31,$C31))</f>
        <v/>
      </c>
      <c r="R31" s="3">
        <f>IF($D31="","",UPPER(SUBSTITUTE(SUBSTITUTE(SUBSTITUTE(SUBSTITUTE(SUBSTITUTE(SUBSTITUTE(SUBSTITUTE(SUBSTITUTE(SUBSTITUTE(SUBSTITUTE(SUBSTITUTE(SUBSTITUTE(SUBSTITUTE(SUBSTITUTE(SUBSTITUTE(SUBSTITUTE(SUBSTITUTE(SUBSTITUTE(TRIM($D31),"'",""),"İ","I"),"ı","I"),"i","I"),"Ş","S"),"ş","S"),"Ğ","G"),"ğ","G"),"Ü","U"),"ü","U"),"Ö","O"),"ö","O"),"Ç","C"),"ç","C"),".",""),",","")," ",""),"-","")))</f>
        <v/>
      </c>
      <c r="S31" s="3">
        <f>IF($D31="","",$C31&amp;"|"&amp;TEXT($E31,"0")&amp;"|"&amp;TEXT($F31,"0")&amp;"|"&amp;$I31)</f>
        <v/>
      </c>
      <c r="T31" s="3">
        <f>IF($E31="",0,SUMPRODUCT((AY_SONU!$O$7:$O$42="Evet")*(AY_SONU!$B$7:$B$42=DATE(YEAR($E31),MONTH($E31),1))))</f>
        <v/>
      </c>
    </row>
    <row r="32">
      <c r="A32" s="6" t="n"/>
      <c r="B32" s="113">
        <f>IF($D32="","","T"&amp;TEXT(ROW()-6,"00000"))</f>
        <v/>
      </c>
      <c r="C32" s="113">
        <f>IF($D32="","",IFERROR(INDEX(MUSTERILER!$B$7:$B$106,MATCH($R32,MUSTERILER!$T$7:$T$106,0)),IFERROR(INDEX(MUSTERILER!$B$7:$B$106,MATCH($D32,MUSTERILER!$B$7:$B$106,0)),IFERROR(INDEX(MUSTERILER!$B$7:$B$106,MATCH($R32&amp;"*",MUSTERILER!$T$7:$T$106,0)),"TANIMSIZ MÜŞTERİ"))))</f>
        <v/>
      </c>
      <c r="D32" s="109" t="inlineStr">
        <is>
          <t>NAZ 1 GIDA LTD.ŞTİ.</t>
        </is>
      </c>
      <c r="E32" s="220" t="n">
        <v>46039</v>
      </c>
      <c r="F32" s="221" t="n">
        <v>2000</v>
      </c>
      <c r="G32" s="108" t="inlineStr">
        <is>
          <t>MERKEZ KASA</t>
        </is>
      </c>
      <c r="H32" s="108" t="inlineStr">
        <is>
          <t>Nakit</t>
        </is>
      </c>
      <c r="I32" s="109" t="n"/>
      <c r="J32" s="109" t="inlineStr">
        <is>
          <t>NAKİT ÖDENEN</t>
        </is>
      </c>
      <c r="K32" s="109" t="n"/>
      <c r="L32" s="226">
        <f>IF($E32="","",DATE(YEAR($E32),MONTH($E32),1))</f>
        <v/>
      </c>
      <c r="M32" s="113">
        <f>IF($D32="","",IF($C32="TANIMSIZ MÜŞTERİ","HATA",IF(OR($E32="",$F32&lt;=0,$G32=""),"EKSİK",IF($E32&gt;TODAY(),"İLERİ TARİH",IF(COUNTIF($S$7:$S$1506,$S32)&gt;1,"MÜKERRER?",IF($T32&gt;0,"KAPALI DÖNEM","UYGUN"))))))</f>
        <v/>
      </c>
      <c r="N32" s="121">
        <f>IF($C32="","",IF($C32="TANIMSIZ MÜŞTERİ","—",INDEX(MUSTERILER!$C$7:$C$106,MATCH($C32,MUSTERILER!$B$7:$B$106,0))))</f>
        <v/>
      </c>
      <c r="O32" s="6" t="n"/>
      <c r="P32" s="6" t="n"/>
      <c r="Q32" s="3">
        <f>IF($D32="","",$C32&amp;"|"&amp;COUNTIFS($C$7:$C32,$C32))</f>
        <v/>
      </c>
      <c r="R32" s="3">
        <f>IF($D32="","",UPPER(SUBSTITUTE(SUBSTITUTE(SUBSTITUTE(SUBSTITUTE(SUBSTITUTE(SUBSTITUTE(SUBSTITUTE(SUBSTITUTE(SUBSTITUTE(SUBSTITUTE(SUBSTITUTE(SUBSTITUTE(SUBSTITUTE(SUBSTITUTE(SUBSTITUTE(SUBSTITUTE(SUBSTITUTE(SUBSTITUTE(TRIM($D32),"'",""),"İ","I"),"ı","I"),"i","I"),"Ş","S"),"ş","S"),"Ğ","G"),"ğ","G"),"Ü","U"),"ü","U"),"Ö","O"),"ö","O"),"Ç","C"),"ç","C"),".",""),",","")," ",""),"-","")))</f>
        <v/>
      </c>
      <c r="S32" s="3">
        <f>IF($D32="","",$C32&amp;"|"&amp;TEXT($E32,"0")&amp;"|"&amp;TEXT($F32,"0")&amp;"|"&amp;$I32)</f>
        <v/>
      </c>
      <c r="T32" s="3">
        <f>IF($E32="",0,SUMPRODUCT((AY_SONU!$O$7:$O$42="Evet")*(AY_SONU!$B$7:$B$42=DATE(YEAR($E32),MONTH($E32),1))))</f>
        <v/>
      </c>
    </row>
    <row r="33">
      <c r="A33" s="6" t="n"/>
      <c r="B33" s="113">
        <f>IF($D33="","","T"&amp;TEXT(ROW()-6,"00000"))</f>
        <v/>
      </c>
      <c r="C33" s="113">
        <f>IF($D33="","",IFERROR(INDEX(MUSTERILER!$B$7:$B$106,MATCH($R33,MUSTERILER!$T$7:$T$106,0)),IFERROR(INDEX(MUSTERILER!$B$7:$B$106,MATCH($D33,MUSTERILER!$B$7:$B$106,0)),IFERROR(INDEX(MUSTERILER!$B$7:$B$106,MATCH($R33&amp;"*",MUSTERILER!$T$7:$T$106,0)),"TANIMSIZ MÜŞTERİ"))))</f>
        <v/>
      </c>
      <c r="D33" s="109" t="inlineStr">
        <is>
          <t>RİX ŞOW LTD.ŞTİ.</t>
        </is>
      </c>
      <c r="E33" s="220" t="n">
        <v>46039</v>
      </c>
      <c r="F33" s="221" t="n">
        <v>2000</v>
      </c>
      <c r="G33" s="108" t="inlineStr">
        <is>
          <t>MERKEZ KASA</t>
        </is>
      </c>
      <c r="H33" s="108" t="inlineStr">
        <is>
          <t>Nakit</t>
        </is>
      </c>
      <c r="I33" s="109" t="n"/>
      <c r="J33" s="109" t="inlineStr">
        <is>
          <t>NAKİT ÖDENEN</t>
        </is>
      </c>
      <c r="K33" s="109" t="n"/>
      <c r="L33" s="226">
        <f>IF($E33="","",DATE(YEAR($E33),MONTH($E33),1))</f>
        <v/>
      </c>
      <c r="M33" s="113">
        <f>IF($D33="","",IF($C33="TANIMSIZ MÜŞTERİ","HATA",IF(OR($E33="",$F33&lt;=0,$G33=""),"EKSİK",IF($E33&gt;TODAY(),"İLERİ TARİH",IF(COUNTIF($S$7:$S$1506,$S33)&gt;1,"MÜKERRER?",IF($T33&gt;0,"KAPALI DÖNEM","UYGUN"))))))</f>
        <v/>
      </c>
      <c r="N33" s="121">
        <f>IF($C33="","",IF($C33="TANIMSIZ MÜŞTERİ","—",INDEX(MUSTERILER!$C$7:$C$106,MATCH($C33,MUSTERILER!$B$7:$B$106,0))))</f>
        <v/>
      </c>
      <c r="O33" s="6" t="n"/>
      <c r="P33" s="6" t="n"/>
      <c r="Q33" s="3">
        <f>IF($D33="","",$C33&amp;"|"&amp;COUNTIFS($C$7:$C33,$C33))</f>
        <v/>
      </c>
      <c r="R33" s="3">
        <f>IF($D33="","",UPPER(SUBSTITUTE(SUBSTITUTE(SUBSTITUTE(SUBSTITUTE(SUBSTITUTE(SUBSTITUTE(SUBSTITUTE(SUBSTITUTE(SUBSTITUTE(SUBSTITUTE(SUBSTITUTE(SUBSTITUTE(SUBSTITUTE(SUBSTITUTE(SUBSTITUTE(SUBSTITUTE(SUBSTITUTE(SUBSTITUTE(TRIM($D33),"'",""),"İ","I"),"ı","I"),"i","I"),"Ş","S"),"ş","S"),"Ğ","G"),"ğ","G"),"Ü","U"),"ü","U"),"Ö","O"),"ö","O"),"Ç","C"),"ç","C"),".",""),",","")," ",""),"-","")))</f>
        <v/>
      </c>
      <c r="S33" s="3">
        <f>IF($D33="","",$C33&amp;"|"&amp;TEXT($E33,"0")&amp;"|"&amp;TEXT($F33,"0")&amp;"|"&amp;$I33)</f>
        <v/>
      </c>
      <c r="T33" s="3">
        <f>IF($E33="",0,SUMPRODUCT((AY_SONU!$O$7:$O$42="Evet")*(AY_SONU!$B$7:$B$42=DATE(YEAR($E33),MONTH($E33),1))))</f>
        <v/>
      </c>
    </row>
    <row r="34">
      <c r="A34" s="6" t="n"/>
      <c r="B34" s="113">
        <f>IF($D34="","","T"&amp;TEXT(ROW()-6,"00000"))</f>
        <v/>
      </c>
      <c r="C34" s="113">
        <f>IF($D34="","",IFERROR(INDEX(MUSTERILER!$B$7:$B$106,MATCH($R34,MUSTERILER!$T$7:$T$106,0)),IFERROR(INDEX(MUSTERILER!$B$7:$B$106,MATCH($D34,MUSTERILER!$B$7:$B$106,0)),IFERROR(INDEX(MUSTERILER!$B$7:$B$106,MATCH($R34&amp;"*",MUSTERILER!$T$7:$T$106,0)),"TANIMSIZ MÜŞTERİ"))))</f>
        <v/>
      </c>
      <c r="D34" s="109" t="inlineStr">
        <is>
          <t>TYANA LTD.ŞTİ.</t>
        </is>
      </c>
      <c r="E34" s="220" t="n">
        <v>46039</v>
      </c>
      <c r="F34" s="221" t="n">
        <v>4000</v>
      </c>
      <c r="G34" s="108" t="inlineStr">
        <is>
          <t>MERKEZ KASA</t>
        </is>
      </c>
      <c r="H34" s="108" t="inlineStr">
        <is>
          <t>Nakit</t>
        </is>
      </c>
      <c r="I34" s="109" t="n"/>
      <c r="J34" s="109" t="inlineStr">
        <is>
          <t>NAKİT ÖDENEN</t>
        </is>
      </c>
      <c r="K34" s="109" t="n"/>
      <c r="L34" s="226">
        <f>IF($E34="","",DATE(YEAR($E34),MONTH($E34),1))</f>
        <v/>
      </c>
      <c r="M34" s="113">
        <f>IF($D34="","",IF($C34="TANIMSIZ MÜŞTERİ","HATA",IF(OR($E34="",$F34&lt;=0,$G34=""),"EKSİK",IF($E34&gt;TODAY(),"İLERİ TARİH",IF(COUNTIF($S$7:$S$1506,$S34)&gt;1,"MÜKERRER?",IF($T34&gt;0,"KAPALI DÖNEM","UYGUN"))))))</f>
        <v/>
      </c>
      <c r="N34" s="121">
        <f>IF($C34="","",IF($C34="TANIMSIZ MÜŞTERİ","—",INDEX(MUSTERILER!$C$7:$C$106,MATCH($C34,MUSTERILER!$B$7:$B$106,0))))</f>
        <v/>
      </c>
      <c r="O34" s="6" t="n"/>
      <c r="P34" s="6" t="n"/>
      <c r="Q34" s="3">
        <f>IF($D34="","",$C34&amp;"|"&amp;COUNTIFS($C$7:$C34,$C34))</f>
        <v/>
      </c>
      <c r="R34" s="3">
        <f>IF($D34="","",UPPER(SUBSTITUTE(SUBSTITUTE(SUBSTITUTE(SUBSTITUTE(SUBSTITUTE(SUBSTITUTE(SUBSTITUTE(SUBSTITUTE(SUBSTITUTE(SUBSTITUTE(SUBSTITUTE(SUBSTITUTE(SUBSTITUTE(SUBSTITUTE(SUBSTITUTE(SUBSTITUTE(SUBSTITUTE(SUBSTITUTE(TRIM($D34),"'",""),"İ","I"),"ı","I"),"i","I"),"Ş","S"),"ş","S"),"Ğ","G"),"ğ","G"),"Ü","U"),"ü","U"),"Ö","O"),"ö","O"),"Ç","C"),"ç","C"),".",""),",","")," ",""),"-","")))</f>
        <v/>
      </c>
      <c r="S34" s="3">
        <f>IF($D34="","",$C34&amp;"|"&amp;TEXT($E34,"0")&amp;"|"&amp;TEXT($F34,"0")&amp;"|"&amp;$I34)</f>
        <v/>
      </c>
      <c r="T34" s="3">
        <f>IF($E34="",0,SUMPRODUCT((AY_SONU!$O$7:$O$42="Evet")*(AY_SONU!$B$7:$B$42=DATE(YEAR($E34),MONTH($E34),1))))</f>
        <v/>
      </c>
    </row>
    <row r="35">
      <c r="A35" s="6" t="n"/>
      <c r="B35" s="113">
        <f>IF($D35="","","T"&amp;TEXT(ROW()-6,"00000"))</f>
        <v/>
      </c>
      <c r="C35" s="113">
        <f>IF($D35="","",IFERROR(INDEX(MUSTERILER!$B$7:$B$106,MATCH($R35,MUSTERILER!$T$7:$T$106,0)),IFERROR(INDEX(MUSTERILER!$B$7:$B$106,MATCH($D35,MUSTERILER!$B$7:$B$106,0)),IFERROR(INDEX(MUSTERILER!$B$7:$B$106,MATCH($R35&amp;"*",MUSTERILER!$T$7:$T$106,0)),"TANIMSIZ MÜŞTERİ"))))</f>
        <v/>
      </c>
      <c r="D35" s="109" t="inlineStr">
        <is>
          <t>ZÜMRÜT EĞLENCE LTD.ŞTİ.</t>
        </is>
      </c>
      <c r="E35" s="220" t="n">
        <v>46039</v>
      </c>
      <c r="F35" s="221" t="n">
        <v>3000</v>
      </c>
      <c r="G35" s="108" t="inlineStr">
        <is>
          <t>MERKEZ KASA</t>
        </is>
      </c>
      <c r="H35" s="108" t="inlineStr">
        <is>
          <t>Nakit</t>
        </is>
      </c>
      <c r="I35" s="109" t="n"/>
      <c r="J35" s="109" t="inlineStr">
        <is>
          <t>NAKİT ÖDENEN</t>
        </is>
      </c>
      <c r="K35" s="109" t="n"/>
      <c r="L35" s="226">
        <f>IF($E35="","",DATE(YEAR($E35),MONTH($E35),1))</f>
        <v/>
      </c>
      <c r="M35" s="113">
        <f>IF($D35="","",IF($C35="TANIMSIZ MÜŞTERİ","HATA",IF(OR($E35="",$F35&lt;=0,$G35=""),"EKSİK",IF($E35&gt;TODAY(),"İLERİ TARİH",IF(COUNTIF($S$7:$S$1506,$S35)&gt;1,"MÜKERRER?",IF($T35&gt;0,"KAPALI DÖNEM","UYGUN"))))))</f>
        <v/>
      </c>
      <c r="N35" s="121">
        <f>IF($C35="","",IF($C35="TANIMSIZ MÜŞTERİ","—",INDEX(MUSTERILER!$C$7:$C$106,MATCH($C35,MUSTERILER!$B$7:$B$106,0))))</f>
        <v/>
      </c>
      <c r="O35" s="6" t="n"/>
      <c r="P35" s="6" t="n"/>
      <c r="Q35" s="3">
        <f>IF($D35="","",$C35&amp;"|"&amp;COUNTIFS($C$7:$C35,$C35))</f>
        <v/>
      </c>
      <c r="R35" s="3">
        <f>IF($D35="","",UPPER(SUBSTITUTE(SUBSTITUTE(SUBSTITUTE(SUBSTITUTE(SUBSTITUTE(SUBSTITUTE(SUBSTITUTE(SUBSTITUTE(SUBSTITUTE(SUBSTITUTE(SUBSTITUTE(SUBSTITUTE(SUBSTITUTE(SUBSTITUTE(SUBSTITUTE(SUBSTITUTE(SUBSTITUTE(SUBSTITUTE(TRIM($D35),"'",""),"İ","I"),"ı","I"),"i","I"),"Ş","S"),"ş","S"),"Ğ","G"),"ğ","G"),"Ü","U"),"ü","U"),"Ö","O"),"ö","O"),"Ç","C"),"ç","C"),".",""),",","")," ",""),"-","")))</f>
        <v/>
      </c>
      <c r="S35" s="3">
        <f>IF($D35="","",$C35&amp;"|"&amp;TEXT($E35,"0")&amp;"|"&amp;TEXT($F35,"0")&amp;"|"&amp;$I35)</f>
        <v/>
      </c>
      <c r="T35" s="3">
        <f>IF($E35="",0,SUMPRODUCT((AY_SONU!$O$7:$O$42="Evet")*(AY_SONU!$B$7:$B$42=DATE(YEAR($E35),MONTH($E35),1))))</f>
        <v/>
      </c>
    </row>
    <row r="36">
      <c r="A36" s="6" t="n"/>
      <c r="B36" s="113">
        <f>IF($D36="","","T"&amp;TEXT(ROW()-6,"00000"))</f>
        <v/>
      </c>
      <c r="C36" s="113">
        <f>IF($D36="","",IFERROR(INDEX(MUSTERILER!$B$7:$B$106,MATCH($R36,MUSTERILER!$T$7:$T$106,0)),IFERROR(INDEX(MUSTERILER!$B$7:$B$106,MATCH($D36,MUSTERILER!$B$7:$B$106,0)),IFERROR(INDEX(MUSTERILER!$B$7:$B$106,MATCH($R36&amp;"*",MUSTERILER!$T$7:$T$106,0)),"TANIMSIZ MÜŞTERİ"))))</f>
        <v/>
      </c>
      <c r="D36" s="109" t="inlineStr">
        <is>
          <t>KRİSTAL LTD.ŞTİ.</t>
        </is>
      </c>
      <c r="E36" s="220" t="n">
        <v>46039</v>
      </c>
      <c r="F36" s="221" t="n">
        <v>6000</v>
      </c>
      <c r="G36" s="108" t="inlineStr">
        <is>
          <t>MERKEZ KASA</t>
        </is>
      </c>
      <c r="H36" s="108" t="inlineStr">
        <is>
          <t>Nakit</t>
        </is>
      </c>
      <c r="I36" s="109" t="n"/>
      <c r="J36" s="109" t="inlineStr">
        <is>
          <t>NAKİT ÖDENEN</t>
        </is>
      </c>
      <c r="K36" s="109" t="n"/>
      <c r="L36" s="226">
        <f>IF($E36="","",DATE(YEAR($E36),MONTH($E36),1))</f>
        <v/>
      </c>
      <c r="M36" s="113">
        <f>IF($D36="","",IF($C36="TANIMSIZ MÜŞTERİ","HATA",IF(OR($E36="",$F36&lt;=0,$G36=""),"EKSİK",IF($E36&gt;TODAY(),"İLERİ TARİH",IF(COUNTIF($S$7:$S$1506,$S36)&gt;1,"MÜKERRER?",IF($T36&gt;0,"KAPALI DÖNEM","UYGUN"))))))</f>
        <v/>
      </c>
      <c r="N36" s="121">
        <f>IF($C36="","",IF($C36="TANIMSIZ MÜŞTERİ","—",INDEX(MUSTERILER!$C$7:$C$106,MATCH($C36,MUSTERILER!$B$7:$B$106,0))))</f>
        <v/>
      </c>
      <c r="O36" s="6" t="n"/>
      <c r="P36" s="6" t="n"/>
      <c r="Q36" s="3">
        <f>IF($D36="","",$C36&amp;"|"&amp;COUNTIFS($C$7:$C36,$C36))</f>
        <v/>
      </c>
      <c r="R36" s="3">
        <f>IF($D36="","",UPPER(SUBSTITUTE(SUBSTITUTE(SUBSTITUTE(SUBSTITUTE(SUBSTITUTE(SUBSTITUTE(SUBSTITUTE(SUBSTITUTE(SUBSTITUTE(SUBSTITUTE(SUBSTITUTE(SUBSTITUTE(SUBSTITUTE(SUBSTITUTE(SUBSTITUTE(SUBSTITUTE(SUBSTITUTE(SUBSTITUTE(TRIM($D36),"'",""),"İ","I"),"ı","I"),"i","I"),"Ş","S"),"ş","S"),"Ğ","G"),"ğ","G"),"Ü","U"),"ü","U"),"Ö","O"),"ö","O"),"Ç","C"),"ç","C"),".",""),",","")," ",""),"-","")))</f>
        <v/>
      </c>
      <c r="S36" s="3">
        <f>IF($D36="","",$C36&amp;"|"&amp;TEXT($E36,"0")&amp;"|"&amp;TEXT($F36,"0")&amp;"|"&amp;$I36)</f>
        <v/>
      </c>
      <c r="T36" s="3">
        <f>IF($E36="",0,SUMPRODUCT((AY_SONU!$O$7:$O$42="Evet")*(AY_SONU!$B$7:$B$42=DATE(YEAR($E36),MONTH($E36),1))))</f>
        <v/>
      </c>
    </row>
    <row r="37">
      <c r="A37" s="6" t="n"/>
      <c r="B37" s="113">
        <f>IF($D37="","","T"&amp;TEXT(ROW()-6,"00000"))</f>
        <v/>
      </c>
      <c r="C37" s="113">
        <f>IF($D37="","",IFERROR(INDEX(MUSTERILER!$B$7:$B$106,MATCH($R37,MUSTERILER!$T$7:$T$106,0)),IFERROR(INDEX(MUSTERILER!$B$7:$B$106,MATCH($D37,MUSTERILER!$B$7:$B$106,0)),IFERROR(INDEX(MUSTERILER!$B$7:$B$106,MATCH($R37&amp;"*",MUSTERILER!$T$7:$T$106,0)),"TANIMSIZ MÜŞTERİ"))))</f>
        <v/>
      </c>
      <c r="D37" s="109" t="inlineStr">
        <is>
          <t>KRİSTAL LTD.ŞTİ.</t>
        </is>
      </c>
      <c r="E37" s="220" t="n">
        <v>46039</v>
      </c>
      <c r="F37" s="221" t="n">
        <v>3000</v>
      </c>
      <c r="G37" s="108" t="inlineStr">
        <is>
          <t>MERKEZ KASA</t>
        </is>
      </c>
      <c r="H37" s="108" t="inlineStr">
        <is>
          <t>Nakit</t>
        </is>
      </c>
      <c r="I37" s="109" t="n"/>
      <c r="J37" s="109" t="inlineStr">
        <is>
          <t>NAKİT ÖDENEN</t>
        </is>
      </c>
      <c r="K37" s="109" t="n"/>
      <c r="L37" s="226">
        <f>IF($E37="","",DATE(YEAR($E37),MONTH($E37),1))</f>
        <v/>
      </c>
      <c r="M37" s="113">
        <f>IF($D37="","",IF($C37="TANIMSIZ MÜŞTERİ","HATA",IF(OR($E37="",$F37&lt;=0,$G37=""),"EKSİK",IF($E37&gt;TODAY(),"İLERİ TARİH",IF(COUNTIF($S$7:$S$1506,$S37)&gt;1,"MÜKERRER?",IF($T37&gt;0,"KAPALI DÖNEM","UYGUN"))))))</f>
        <v/>
      </c>
      <c r="N37" s="121">
        <f>IF($C37="","",IF($C37="TANIMSIZ MÜŞTERİ","—",INDEX(MUSTERILER!$C$7:$C$106,MATCH($C37,MUSTERILER!$B$7:$B$106,0))))</f>
        <v/>
      </c>
      <c r="O37" s="6" t="n"/>
      <c r="P37" s="6" t="n"/>
      <c r="Q37" s="3">
        <f>IF($D37="","",$C37&amp;"|"&amp;COUNTIFS($C$7:$C37,$C37))</f>
        <v/>
      </c>
      <c r="R37" s="3">
        <f>IF($D37="","",UPPER(SUBSTITUTE(SUBSTITUTE(SUBSTITUTE(SUBSTITUTE(SUBSTITUTE(SUBSTITUTE(SUBSTITUTE(SUBSTITUTE(SUBSTITUTE(SUBSTITUTE(SUBSTITUTE(SUBSTITUTE(SUBSTITUTE(SUBSTITUTE(SUBSTITUTE(SUBSTITUTE(SUBSTITUTE(SUBSTITUTE(TRIM($D37),"'",""),"İ","I"),"ı","I"),"i","I"),"Ş","S"),"ş","S"),"Ğ","G"),"ğ","G"),"Ü","U"),"ü","U"),"Ö","O"),"ö","O"),"Ç","C"),"ç","C"),".",""),",","")," ",""),"-","")))</f>
        <v/>
      </c>
      <c r="S37" s="3">
        <f>IF($D37="","",$C37&amp;"|"&amp;TEXT($E37,"0")&amp;"|"&amp;TEXT($F37,"0")&amp;"|"&amp;$I37)</f>
        <v/>
      </c>
      <c r="T37" s="3">
        <f>IF($E37="",0,SUMPRODUCT((AY_SONU!$O$7:$O$42="Evet")*(AY_SONU!$B$7:$B$42=DATE(YEAR($E37),MONTH($E37),1))))</f>
        <v/>
      </c>
    </row>
    <row r="38">
      <c r="A38" s="6" t="n"/>
      <c r="B38" s="113">
        <f>IF($D38="","","T"&amp;TEXT(ROW()-6,"00000"))</f>
        <v/>
      </c>
      <c r="C38" s="113">
        <f>IF($D38="","",IFERROR(INDEX(MUSTERILER!$B$7:$B$106,MATCH($R38,MUSTERILER!$T$7:$T$106,0)),IFERROR(INDEX(MUSTERILER!$B$7:$B$106,MATCH($D38,MUSTERILER!$B$7:$B$106,0)),IFERROR(INDEX(MUSTERILER!$B$7:$B$106,MATCH($R38&amp;"*",MUSTERILER!$T$7:$T$106,0)),"TANIMSIZ MÜŞTERİ"))))</f>
        <v/>
      </c>
      <c r="D38" s="109" t="inlineStr">
        <is>
          <t>EĞLENGÖR LTD.ŞTİ.</t>
        </is>
      </c>
      <c r="E38" s="220" t="n">
        <v>46041</v>
      </c>
      <c r="F38" s="221" t="n">
        <v>3000</v>
      </c>
      <c r="G38" s="108" t="inlineStr">
        <is>
          <t>MERKEZ KASA</t>
        </is>
      </c>
      <c r="H38" s="108" t="inlineStr">
        <is>
          <t>Nakit</t>
        </is>
      </c>
      <c r="I38" s="109" t="n"/>
      <c r="J38" s="109" t="inlineStr">
        <is>
          <t>NAKİT ÖDENEN</t>
        </is>
      </c>
      <c r="K38" s="109" t="n"/>
      <c r="L38" s="226">
        <f>IF($E38="","",DATE(YEAR($E38),MONTH($E38),1))</f>
        <v/>
      </c>
      <c r="M38" s="113">
        <f>IF($D38="","",IF($C38="TANIMSIZ MÜŞTERİ","HATA",IF(OR($E38="",$F38&lt;=0,$G38=""),"EKSİK",IF($E38&gt;TODAY(),"İLERİ TARİH",IF(COUNTIF($S$7:$S$1506,$S38)&gt;1,"MÜKERRER?",IF($T38&gt;0,"KAPALI DÖNEM","UYGUN"))))))</f>
        <v/>
      </c>
      <c r="N38" s="121">
        <f>IF($C38="","",IF($C38="TANIMSIZ MÜŞTERİ","—",INDEX(MUSTERILER!$C$7:$C$106,MATCH($C38,MUSTERILER!$B$7:$B$106,0))))</f>
        <v/>
      </c>
      <c r="O38" s="6" t="n"/>
      <c r="P38" s="6" t="n"/>
      <c r="Q38" s="3">
        <f>IF($D38="","",$C38&amp;"|"&amp;COUNTIFS($C$7:$C38,$C38))</f>
        <v/>
      </c>
      <c r="R38" s="3">
        <f>IF($D38="","",UPPER(SUBSTITUTE(SUBSTITUTE(SUBSTITUTE(SUBSTITUTE(SUBSTITUTE(SUBSTITUTE(SUBSTITUTE(SUBSTITUTE(SUBSTITUTE(SUBSTITUTE(SUBSTITUTE(SUBSTITUTE(SUBSTITUTE(SUBSTITUTE(SUBSTITUTE(SUBSTITUTE(SUBSTITUTE(SUBSTITUTE(TRIM($D38),"'",""),"İ","I"),"ı","I"),"i","I"),"Ş","S"),"ş","S"),"Ğ","G"),"ğ","G"),"Ü","U"),"ü","U"),"Ö","O"),"ö","O"),"Ç","C"),"ç","C"),".",""),",","")," ",""),"-","")))</f>
        <v/>
      </c>
      <c r="S38" s="3">
        <f>IF($D38="","",$C38&amp;"|"&amp;TEXT($E38,"0")&amp;"|"&amp;TEXT($F38,"0")&amp;"|"&amp;$I38)</f>
        <v/>
      </c>
      <c r="T38" s="3">
        <f>IF($E38="",0,SUMPRODUCT((AY_SONU!$O$7:$O$42="Evet")*(AY_SONU!$B$7:$B$42=DATE(YEAR($E38),MONTH($E38),1))))</f>
        <v/>
      </c>
    </row>
    <row r="39">
      <c r="A39" s="6" t="n"/>
      <c r="B39" s="113">
        <f>IF($D39="","","T"&amp;TEXT(ROW()-6,"00000"))</f>
        <v/>
      </c>
      <c r="C39" s="113">
        <f>IF($D39="","",IFERROR(INDEX(MUSTERILER!$B$7:$B$106,MATCH($R39,MUSTERILER!$T$7:$T$106,0)),IFERROR(INDEX(MUSTERILER!$B$7:$B$106,MATCH($D39,MUSTERILER!$B$7:$B$106,0)),IFERROR(INDEX(MUSTERILER!$B$7:$B$106,MATCH($R39&amp;"*",MUSTERILER!$T$7:$T$106,0)),"TANIMSIZ MÜŞTERİ"))))</f>
        <v/>
      </c>
      <c r="D39" s="109" t="inlineStr">
        <is>
          <t>FİNAL SİYAH BEYAZ LTD.ŞTİ.</t>
        </is>
      </c>
      <c r="E39" s="220" t="n">
        <v>46041</v>
      </c>
      <c r="F39" s="221" t="n">
        <v>2000</v>
      </c>
      <c r="G39" s="108" t="inlineStr">
        <is>
          <t>MERKEZ KASA</t>
        </is>
      </c>
      <c r="H39" s="108" t="inlineStr">
        <is>
          <t>Nakit</t>
        </is>
      </c>
      <c r="I39" s="109" t="n"/>
      <c r="J39" s="109" t="inlineStr">
        <is>
          <t>NAKİT ÖDENEN</t>
        </is>
      </c>
      <c r="K39" s="109" t="n"/>
      <c r="L39" s="226">
        <f>IF($E39="","",DATE(YEAR($E39),MONTH($E39),1))</f>
        <v/>
      </c>
      <c r="M39" s="113">
        <f>IF($D39="","",IF($C39="TANIMSIZ MÜŞTERİ","HATA",IF(OR($E39="",$F39&lt;=0,$G39=""),"EKSİK",IF($E39&gt;TODAY(),"İLERİ TARİH",IF(COUNTIF($S$7:$S$1506,$S39)&gt;1,"MÜKERRER?",IF($T39&gt;0,"KAPALI DÖNEM","UYGUN"))))))</f>
        <v/>
      </c>
      <c r="N39" s="121">
        <f>IF($C39="","",IF($C39="TANIMSIZ MÜŞTERİ","—",INDEX(MUSTERILER!$C$7:$C$106,MATCH($C39,MUSTERILER!$B$7:$B$106,0))))</f>
        <v/>
      </c>
      <c r="O39" s="6" t="n"/>
      <c r="P39" s="6" t="n"/>
      <c r="Q39" s="3">
        <f>IF($D39="","",$C39&amp;"|"&amp;COUNTIFS($C$7:$C39,$C39))</f>
        <v/>
      </c>
      <c r="R39" s="3">
        <f>IF($D39="","",UPPER(SUBSTITUTE(SUBSTITUTE(SUBSTITUTE(SUBSTITUTE(SUBSTITUTE(SUBSTITUTE(SUBSTITUTE(SUBSTITUTE(SUBSTITUTE(SUBSTITUTE(SUBSTITUTE(SUBSTITUTE(SUBSTITUTE(SUBSTITUTE(SUBSTITUTE(SUBSTITUTE(SUBSTITUTE(SUBSTITUTE(TRIM($D39),"'",""),"İ","I"),"ı","I"),"i","I"),"Ş","S"),"ş","S"),"Ğ","G"),"ğ","G"),"Ü","U"),"ü","U"),"Ö","O"),"ö","O"),"Ç","C"),"ç","C"),".",""),",","")," ",""),"-","")))</f>
        <v/>
      </c>
      <c r="S39" s="3">
        <f>IF($D39="","",$C39&amp;"|"&amp;TEXT($E39,"0")&amp;"|"&amp;TEXT($F39,"0")&amp;"|"&amp;$I39)</f>
        <v/>
      </c>
      <c r="T39" s="3">
        <f>IF($E39="",0,SUMPRODUCT((AY_SONU!$O$7:$O$42="Evet")*(AY_SONU!$B$7:$B$42=DATE(YEAR($E39),MONTH($E39),1))))</f>
        <v/>
      </c>
    </row>
    <row r="40">
      <c r="A40" s="6" t="n"/>
      <c r="B40" s="113">
        <f>IF($D40="","","T"&amp;TEXT(ROW()-6,"00000"))</f>
        <v/>
      </c>
      <c r="C40" s="113">
        <f>IF($D40="","",IFERROR(INDEX(MUSTERILER!$B$7:$B$106,MATCH($R40,MUSTERILER!$T$7:$T$106,0)),IFERROR(INDEX(MUSTERILER!$B$7:$B$106,MATCH($D40,MUSTERILER!$B$7:$B$106,0)),IFERROR(INDEX(MUSTERILER!$B$7:$B$106,MATCH($R40&amp;"*",MUSTERILER!$T$7:$T$106,0)),"TANIMSIZ MÜŞTERİ"))))</f>
        <v/>
      </c>
      <c r="D40" s="109" t="inlineStr">
        <is>
          <t>PAKYILDIZ LTD.ŞTİ.</t>
        </is>
      </c>
      <c r="E40" s="220" t="n">
        <v>46041</v>
      </c>
      <c r="F40" s="221" t="n">
        <v>4000</v>
      </c>
      <c r="G40" s="108" t="inlineStr">
        <is>
          <t>MERKEZ KASA</t>
        </is>
      </c>
      <c r="H40" s="108" t="inlineStr">
        <is>
          <t>Nakit</t>
        </is>
      </c>
      <c r="I40" s="109" t="n"/>
      <c r="J40" s="109" t="inlineStr">
        <is>
          <t>NAKİT ÖDENEN</t>
        </is>
      </c>
      <c r="K40" s="109" t="n"/>
      <c r="L40" s="226">
        <f>IF($E40="","",DATE(YEAR($E40),MONTH($E40),1))</f>
        <v/>
      </c>
      <c r="M40" s="113">
        <f>IF($D40="","",IF($C40="TANIMSIZ MÜŞTERİ","HATA",IF(OR($E40="",$F40&lt;=0,$G40=""),"EKSİK",IF($E40&gt;TODAY(),"İLERİ TARİH",IF(COUNTIF($S$7:$S$1506,$S40)&gt;1,"MÜKERRER?",IF($T40&gt;0,"KAPALI DÖNEM","UYGUN"))))))</f>
        <v/>
      </c>
      <c r="N40" s="121">
        <f>IF($C40="","",IF($C40="TANIMSIZ MÜŞTERİ","—",INDEX(MUSTERILER!$C$7:$C$106,MATCH($C40,MUSTERILER!$B$7:$B$106,0))))</f>
        <v/>
      </c>
      <c r="O40" s="6" t="n"/>
      <c r="P40" s="6" t="n"/>
      <c r="Q40" s="3">
        <f>IF($D40="","",$C40&amp;"|"&amp;COUNTIFS($C$7:$C40,$C40))</f>
        <v/>
      </c>
      <c r="R40" s="3">
        <f>IF($D40="","",UPPER(SUBSTITUTE(SUBSTITUTE(SUBSTITUTE(SUBSTITUTE(SUBSTITUTE(SUBSTITUTE(SUBSTITUTE(SUBSTITUTE(SUBSTITUTE(SUBSTITUTE(SUBSTITUTE(SUBSTITUTE(SUBSTITUTE(SUBSTITUTE(SUBSTITUTE(SUBSTITUTE(SUBSTITUTE(SUBSTITUTE(TRIM($D40),"'",""),"İ","I"),"ı","I"),"i","I"),"Ş","S"),"ş","S"),"Ğ","G"),"ğ","G"),"Ü","U"),"ü","U"),"Ö","O"),"ö","O"),"Ç","C"),"ç","C"),".",""),",","")," ",""),"-","")))</f>
        <v/>
      </c>
      <c r="S40" s="3">
        <f>IF($D40="","",$C40&amp;"|"&amp;TEXT($E40,"0")&amp;"|"&amp;TEXT($F40,"0")&amp;"|"&amp;$I40)</f>
        <v/>
      </c>
      <c r="T40" s="3">
        <f>IF($E40="",0,SUMPRODUCT((AY_SONU!$O$7:$O$42="Evet")*(AY_SONU!$B$7:$B$42=DATE(YEAR($E40),MONTH($E40),1))))</f>
        <v/>
      </c>
    </row>
    <row r="41">
      <c r="A41" s="6" t="n"/>
      <c r="B41" s="113">
        <f>IF($D41="","","T"&amp;TEXT(ROW()-6,"00000"))</f>
        <v/>
      </c>
      <c r="C41" s="113">
        <f>IF($D41="","",IFERROR(INDEX(MUSTERILER!$B$7:$B$106,MATCH($R41,MUSTERILER!$T$7:$T$106,0)),IFERROR(INDEX(MUSTERILER!$B$7:$B$106,MATCH($D41,MUSTERILER!$B$7:$B$106,0)),IFERROR(INDEX(MUSTERILER!$B$7:$B$106,MATCH($R41&amp;"*",MUSTERILER!$T$7:$T$106,0)),"TANIMSIZ MÜŞTERİ"))))</f>
        <v/>
      </c>
      <c r="D41" s="109" t="inlineStr">
        <is>
          <t>ZÜMRÜT GRUP LTD.ŞTİ.</t>
        </is>
      </c>
      <c r="E41" s="220" t="n">
        <v>46041</v>
      </c>
      <c r="F41" s="221" t="n">
        <v>1750</v>
      </c>
      <c r="G41" s="108" t="inlineStr">
        <is>
          <t>MERKEZ KASA</t>
        </is>
      </c>
      <c r="H41" s="108" t="inlineStr">
        <is>
          <t>Nakit</t>
        </is>
      </c>
      <c r="I41" s="109" t="n"/>
      <c r="J41" s="109" t="inlineStr">
        <is>
          <t>NAKİT ÖDENEN</t>
        </is>
      </c>
      <c r="K41" s="109" t="n"/>
      <c r="L41" s="226">
        <f>IF($E41="","",DATE(YEAR($E41),MONTH($E41),1))</f>
        <v/>
      </c>
      <c r="M41" s="113">
        <f>IF($D41="","",IF($C41="TANIMSIZ MÜŞTERİ","HATA",IF(OR($E41="",$F41&lt;=0,$G41=""),"EKSİK",IF($E41&gt;TODAY(),"İLERİ TARİH",IF(COUNTIF($S$7:$S$1506,$S41)&gt;1,"MÜKERRER?",IF($T41&gt;0,"KAPALI DÖNEM","UYGUN"))))))</f>
        <v/>
      </c>
      <c r="N41" s="121">
        <f>IF($C41="","",IF($C41="TANIMSIZ MÜŞTERİ","—",INDEX(MUSTERILER!$C$7:$C$106,MATCH($C41,MUSTERILER!$B$7:$B$106,0))))</f>
        <v/>
      </c>
      <c r="O41" s="6" t="n"/>
      <c r="P41" s="6" t="n"/>
      <c r="Q41" s="3">
        <f>IF($D41="","",$C41&amp;"|"&amp;COUNTIFS($C$7:$C41,$C41))</f>
        <v/>
      </c>
      <c r="R41" s="3">
        <f>IF($D41="","",UPPER(SUBSTITUTE(SUBSTITUTE(SUBSTITUTE(SUBSTITUTE(SUBSTITUTE(SUBSTITUTE(SUBSTITUTE(SUBSTITUTE(SUBSTITUTE(SUBSTITUTE(SUBSTITUTE(SUBSTITUTE(SUBSTITUTE(SUBSTITUTE(SUBSTITUTE(SUBSTITUTE(SUBSTITUTE(SUBSTITUTE(TRIM($D41),"'",""),"İ","I"),"ı","I"),"i","I"),"Ş","S"),"ş","S"),"Ğ","G"),"ğ","G"),"Ü","U"),"ü","U"),"Ö","O"),"ö","O"),"Ç","C"),"ç","C"),".",""),",","")," ",""),"-","")))</f>
        <v/>
      </c>
      <c r="S41" s="3">
        <f>IF($D41="","",$C41&amp;"|"&amp;TEXT($E41,"0")&amp;"|"&amp;TEXT($F41,"0")&amp;"|"&amp;$I41)</f>
        <v/>
      </c>
      <c r="T41" s="3">
        <f>IF($E41="",0,SUMPRODUCT((AY_SONU!$O$7:$O$42="Evet")*(AY_SONU!$B$7:$B$42=DATE(YEAR($E41),MONTH($E41),1))))</f>
        <v/>
      </c>
    </row>
    <row r="42">
      <c r="A42" s="6" t="n"/>
      <c r="B42" s="113">
        <f>IF($D42="","","T"&amp;TEXT(ROW()-6,"00000"))</f>
        <v/>
      </c>
      <c r="C42" s="113">
        <f>IF($D42="","",IFERROR(INDEX(MUSTERILER!$B$7:$B$106,MATCH($R42,MUSTERILER!$T$7:$T$106,0)),IFERROR(INDEX(MUSTERILER!$B$7:$B$106,MATCH($D42,MUSTERILER!$B$7:$B$106,0)),IFERROR(INDEX(MUSTERILER!$B$7:$B$106,MATCH($R42&amp;"*",MUSTERILER!$T$7:$T$106,0)),"TANIMSIZ MÜŞTERİ"))))</f>
        <v/>
      </c>
      <c r="D42" s="109" t="inlineStr">
        <is>
          <t>ÇINARHAN LTD.ŞTİ.</t>
        </is>
      </c>
      <c r="E42" s="220" t="n">
        <v>46043</v>
      </c>
      <c r="F42" s="221" t="n">
        <v>7500</v>
      </c>
      <c r="G42" s="108" t="inlineStr">
        <is>
          <t>MERKEZ KASA</t>
        </is>
      </c>
      <c r="H42" s="108" t="inlineStr">
        <is>
          <t>Nakit</t>
        </is>
      </c>
      <c r="I42" s="109" t="n"/>
      <c r="J42" s="109" t="inlineStr">
        <is>
          <t>NAKİT ÖDENEN</t>
        </is>
      </c>
      <c r="K42" s="109" t="n"/>
      <c r="L42" s="226">
        <f>IF($E42="","",DATE(YEAR($E42),MONTH($E42),1))</f>
        <v/>
      </c>
      <c r="M42" s="113">
        <f>IF($D42="","",IF($C42="TANIMSIZ MÜŞTERİ","HATA",IF(OR($E42="",$F42&lt;=0,$G42=""),"EKSİK",IF($E42&gt;TODAY(),"İLERİ TARİH",IF(COUNTIF($S$7:$S$1506,$S42)&gt;1,"MÜKERRER?",IF($T42&gt;0,"KAPALI DÖNEM","UYGUN"))))))</f>
        <v/>
      </c>
      <c r="N42" s="121">
        <f>IF($C42="","",IF($C42="TANIMSIZ MÜŞTERİ","—",INDEX(MUSTERILER!$C$7:$C$106,MATCH($C42,MUSTERILER!$B$7:$B$106,0))))</f>
        <v/>
      </c>
      <c r="O42" s="6" t="n"/>
      <c r="P42" s="6" t="n"/>
      <c r="Q42" s="3">
        <f>IF($D42="","",$C42&amp;"|"&amp;COUNTIFS($C$7:$C42,$C42))</f>
        <v/>
      </c>
      <c r="R42" s="3">
        <f>IF($D42="","",UPPER(SUBSTITUTE(SUBSTITUTE(SUBSTITUTE(SUBSTITUTE(SUBSTITUTE(SUBSTITUTE(SUBSTITUTE(SUBSTITUTE(SUBSTITUTE(SUBSTITUTE(SUBSTITUTE(SUBSTITUTE(SUBSTITUTE(SUBSTITUTE(SUBSTITUTE(SUBSTITUTE(SUBSTITUTE(SUBSTITUTE(TRIM($D42),"'",""),"İ","I"),"ı","I"),"i","I"),"Ş","S"),"ş","S"),"Ğ","G"),"ğ","G"),"Ü","U"),"ü","U"),"Ö","O"),"ö","O"),"Ç","C"),"ç","C"),".",""),",","")," ",""),"-","")))</f>
        <v/>
      </c>
      <c r="S42" s="3">
        <f>IF($D42="","",$C42&amp;"|"&amp;TEXT($E42,"0")&amp;"|"&amp;TEXT($F42,"0")&amp;"|"&amp;$I42)</f>
        <v/>
      </c>
      <c r="T42" s="3">
        <f>IF($E42="",0,SUMPRODUCT((AY_SONU!$O$7:$O$42="Evet")*(AY_SONU!$B$7:$B$42=DATE(YEAR($E42),MONTH($E42),1))))</f>
        <v/>
      </c>
    </row>
    <row r="43">
      <c r="A43" s="6" t="n"/>
      <c r="B43" s="113">
        <f>IF($D43="","","T"&amp;TEXT(ROW()-6,"00000"))</f>
        <v/>
      </c>
      <c r="C43" s="113">
        <f>IF($D43="","",IFERROR(INDEX(MUSTERILER!$B$7:$B$106,MATCH($R43,MUSTERILER!$T$7:$T$106,0)),IFERROR(INDEX(MUSTERILER!$B$7:$B$106,MATCH($D43,MUSTERILER!$B$7:$B$106,0)),IFERROR(INDEX(MUSTERILER!$B$7:$B$106,MATCH($R43&amp;"*",MUSTERILER!$T$7:$T$106,0)),"TANIMSIZ MÜŞTERİ"))))</f>
        <v/>
      </c>
      <c r="D43" s="109" t="inlineStr">
        <is>
          <t>ANKARA HAVANA LTD.ŞTİ.</t>
        </is>
      </c>
      <c r="E43" s="220" t="n">
        <v>46046</v>
      </c>
      <c r="F43" s="221" t="n">
        <v>8000</v>
      </c>
      <c r="G43" s="108" t="inlineStr">
        <is>
          <t>MERKEZ KASA</t>
        </is>
      </c>
      <c r="H43" s="108" t="inlineStr">
        <is>
          <t>Nakit</t>
        </is>
      </c>
      <c r="I43" s="109" t="n"/>
      <c r="J43" s="109" t="inlineStr">
        <is>
          <t>NAKİT ÖDENEN</t>
        </is>
      </c>
      <c r="K43" s="109" t="n"/>
      <c r="L43" s="226">
        <f>IF($E43="","",DATE(YEAR($E43),MONTH($E43),1))</f>
        <v/>
      </c>
      <c r="M43" s="113">
        <f>IF($D43="","",IF($C43="TANIMSIZ MÜŞTERİ","HATA",IF(OR($E43="",$F43&lt;=0,$G43=""),"EKSİK",IF($E43&gt;TODAY(),"İLERİ TARİH",IF(COUNTIF($S$7:$S$1506,$S43)&gt;1,"MÜKERRER?",IF($T43&gt;0,"KAPALI DÖNEM","UYGUN"))))))</f>
        <v/>
      </c>
      <c r="N43" s="121">
        <f>IF($C43="","",IF($C43="TANIMSIZ MÜŞTERİ","—",INDEX(MUSTERILER!$C$7:$C$106,MATCH($C43,MUSTERILER!$B$7:$B$106,0))))</f>
        <v/>
      </c>
      <c r="O43" s="6" t="n"/>
      <c r="P43" s="6" t="n"/>
      <c r="Q43" s="3">
        <f>IF($D43="","",$C43&amp;"|"&amp;COUNTIFS($C$7:$C43,$C43))</f>
        <v/>
      </c>
      <c r="R43" s="3">
        <f>IF($D43="","",UPPER(SUBSTITUTE(SUBSTITUTE(SUBSTITUTE(SUBSTITUTE(SUBSTITUTE(SUBSTITUTE(SUBSTITUTE(SUBSTITUTE(SUBSTITUTE(SUBSTITUTE(SUBSTITUTE(SUBSTITUTE(SUBSTITUTE(SUBSTITUTE(SUBSTITUTE(SUBSTITUTE(SUBSTITUTE(SUBSTITUTE(TRIM($D43),"'",""),"İ","I"),"ı","I"),"i","I"),"Ş","S"),"ş","S"),"Ğ","G"),"ğ","G"),"Ü","U"),"ü","U"),"Ö","O"),"ö","O"),"Ç","C"),"ç","C"),".",""),",","")," ",""),"-","")))</f>
        <v/>
      </c>
      <c r="S43" s="3">
        <f>IF($D43="","",$C43&amp;"|"&amp;TEXT($E43,"0")&amp;"|"&amp;TEXT($F43,"0")&amp;"|"&amp;$I43)</f>
        <v/>
      </c>
      <c r="T43" s="3">
        <f>IF($E43="",0,SUMPRODUCT((AY_SONU!$O$7:$O$42="Evet")*(AY_SONU!$B$7:$B$42=DATE(YEAR($E43),MONTH($E43),1))))</f>
        <v/>
      </c>
    </row>
    <row r="44">
      <c r="A44" s="6" t="n"/>
      <c r="B44" s="113">
        <f>IF($D44="","","T"&amp;TEXT(ROW()-6,"00000"))</f>
        <v/>
      </c>
      <c r="C44" s="113">
        <f>IF($D44="","",IFERROR(INDEX(MUSTERILER!$B$7:$B$106,MATCH($R44,MUSTERILER!$T$7:$T$106,0)),IFERROR(INDEX(MUSTERILER!$B$7:$B$106,MATCH($D44,MUSTERILER!$B$7:$B$106,0)),IFERROR(INDEX(MUSTERILER!$B$7:$B$106,MATCH($R44&amp;"*",MUSTERILER!$T$7:$T$106,0)),"TANIMSIZ MÜŞTERİ"))))</f>
        <v/>
      </c>
      <c r="D44" s="109" t="inlineStr">
        <is>
          <t>ASIM AÇIKGÖZ</t>
        </is>
      </c>
      <c r="E44" s="220" t="n">
        <v>46046</v>
      </c>
      <c r="F44" s="221" t="n">
        <v>2000</v>
      </c>
      <c r="G44" s="108" t="inlineStr">
        <is>
          <t>MERKEZ KASA</t>
        </is>
      </c>
      <c r="H44" s="108" t="inlineStr">
        <is>
          <t>Nakit</t>
        </is>
      </c>
      <c r="I44" s="109" t="n"/>
      <c r="J44" s="109" t="inlineStr">
        <is>
          <t>NAKİT ÖDENEN</t>
        </is>
      </c>
      <c r="K44" s="109" t="n"/>
      <c r="L44" s="226">
        <f>IF($E44="","",DATE(YEAR($E44),MONTH($E44),1))</f>
        <v/>
      </c>
      <c r="M44" s="113">
        <f>IF($D44="","",IF($C44="TANIMSIZ MÜŞTERİ","HATA",IF(OR($E44="",$F44&lt;=0,$G44=""),"EKSİK",IF($E44&gt;TODAY(),"İLERİ TARİH",IF(COUNTIF($S$7:$S$1506,$S44)&gt;1,"MÜKERRER?",IF($T44&gt;0,"KAPALI DÖNEM","UYGUN"))))))</f>
        <v/>
      </c>
      <c r="N44" s="121">
        <f>IF($C44="","",IF($C44="TANIMSIZ MÜŞTERİ","—",INDEX(MUSTERILER!$C$7:$C$106,MATCH($C44,MUSTERILER!$B$7:$B$106,0))))</f>
        <v/>
      </c>
      <c r="O44" s="6" t="n"/>
      <c r="P44" s="6" t="n"/>
      <c r="Q44" s="3">
        <f>IF($D44="","",$C44&amp;"|"&amp;COUNTIFS($C$7:$C44,$C44))</f>
        <v/>
      </c>
      <c r="R44" s="3">
        <f>IF($D44="","",UPPER(SUBSTITUTE(SUBSTITUTE(SUBSTITUTE(SUBSTITUTE(SUBSTITUTE(SUBSTITUTE(SUBSTITUTE(SUBSTITUTE(SUBSTITUTE(SUBSTITUTE(SUBSTITUTE(SUBSTITUTE(SUBSTITUTE(SUBSTITUTE(SUBSTITUTE(SUBSTITUTE(SUBSTITUTE(SUBSTITUTE(TRIM($D44),"'",""),"İ","I"),"ı","I"),"i","I"),"Ş","S"),"ş","S"),"Ğ","G"),"ğ","G"),"Ü","U"),"ü","U"),"Ö","O"),"ö","O"),"Ç","C"),"ç","C"),".",""),",","")," ",""),"-","")))</f>
        <v/>
      </c>
      <c r="S44" s="3">
        <f>IF($D44="","",$C44&amp;"|"&amp;TEXT($E44,"0")&amp;"|"&amp;TEXT($F44,"0")&amp;"|"&amp;$I44)</f>
        <v/>
      </c>
      <c r="T44" s="3">
        <f>IF($E44="",0,SUMPRODUCT((AY_SONU!$O$7:$O$42="Evet")*(AY_SONU!$B$7:$B$42=DATE(YEAR($E44),MONTH($E44),1))))</f>
        <v/>
      </c>
    </row>
    <row r="45">
      <c r="A45" s="6" t="n"/>
      <c r="B45" s="113">
        <f>IF($D45="","","T"&amp;TEXT(ROW()-6,"00000"))</f>
        <v/>
      </c>
      <c r="C45" s="113">
        <f>IF($D45="","",IFERROR(INDEX(MUSTERILER!$B$7:$B$106,MATCH($R45,MUSTERILER!$T$7:$T$106,0)),IFERROR(INDEX(MUSTERILER!$B$7:$B$106,MATCH($D45,MUSTERILER!$B$7:$B$106,0)),IFERROR(INDEX(MUSTERILER!$B$7:$B$106,MATCH($R45&amp;"*",MUSTERILER!$T$7:$T$106,0)),"TANIMSIZ MÜŞTERİ"))))</f>
        <v/>
      </c>
      <c r="D45" s="109" t="inlineStr">
        <is>
          <t>ASM EĞLENCE LTD.ŞTİ.</t>
        </is>
      </c>
      <c r="E45" s="220" t="n">
        <v>46046</v>
      </c>
      <c r="F45" s="221" t="n">
        <v>2500</v>
      </c>
      <c r="G45" s="108" t="inlineStr">
        <is>
          <t>MERKEZ KASA</t>
        </is>
      </c>
      <c r="H45" s="108" t="inlineStr">
        <is>
          <t>Nakit</t>
        </is>
      </c>
      <c r="I45" s="109" t="n"/>
      <c r="J45" s="109" t="inlineStr">
        <is>
          <t>NAKİT ÖDENEN</t>
        </is>
      </c>
      <c r="K45" s="109" t="n"/>
      <c r="L45" s="226">
        <f>IF($E45="","",DATE(YEAR($E45),MONTH($E45),1))</f>
        <v/>
      </c>
      <c r="M45" s="113">
        <f>IF($D45="","",IF($C45="TANIMSIZ MÜŞTERİ","HATA",IF(OR($E45="",$F45&lt;=0,$G45=""),"EKSİK",IF($E45&gt;TODAY(),"İLERİ TARİH",IF(COUNTIF($S$7:$S$1506,$S45)&gt;1,"MÜKERRER?",IF($T45&gt;0,"KAPALI DÖNEM","UYGUN"))))))</f>
        <v/>
      </c>
      <c r="N45" s="121">
        <f>IF($C45="","",IF($C45="TANIMSIZ MÜŞTERİ","—",INDEX(MUSTERILER!$C$7:$C$106,MATCH($C45,MUSTERILER!$B$7:$B$106,0))))</f>
        <v/>
      </c>
      <c r="O45" s="6" t="n"/>
      <c r="P45" s="6" t="n"/>
      <c r="Q45" s="3">
        <f>IF($D45="","",$C45&amp;"|"&amp;COUNTIFS($C$7:$C45,$C45))</f>
        <v/>
      </c>
      <c r="R45" s="3">
        <f>IF($D45="","",UPPER(SUBSTITUTE(SUBSTITUTE(SUBSTITUTE(SUBSTITUTE(SUBSTITUTE(SUBSTITUTE(SUBSTITUTE(SUBSTITUTE(SUBSTITUTE(SUBSTITUTE(SUBSTITUTE(SUBSTITUTE(SUBSTITUTE(SUBSTITUTE(SUBSTITUTE(SUBSTITUTE(SUBSTITUTE(SUBSTITUTE(TRIM($D45),"'",""),"İ","I"),"ı","I"),"i","I"),"Ş","S"),"ş","S"),"Ğ","G"),"ğ","G"),"Ü","U"),"ü","U"),"Ö","O"),"ö","O"),"Ç","C"),"ç","C"),".",""),",","")," ",""),"-","")))</f>
        <v/>
      </c>
      <c r="S45" s="3">
        <f>IF($D45="","",$C45&amp;"|"&amp;TEXT($E45,"0")&amp;"|"&amp;TEXT($F45,"0")&amp;"|"&amp;$I45)</f>
        <v/>
      </c>
      <c r="T45" s="3">
        <f>IF($E45="",0,SUMPRODUCT((AY_SONU!$O$7:$O$42="Evet")*(AY_SONU!$B$7:$B$42=DATE(YEAR($E45),MONTH($E45),1))))</f>
        <v/>
      </c>
    </row>
    <row r="46">
      <c r="A46" s="6" t="n"/>
      <c r="B46" s="113">
        <f>IF($D46="","","T"&amp;TEXT(ROW()-6,"00000"))</f>
        <v/>
      </c>
      <c r="C46" s="113">
        <f>IF($D46="","",IFERROR(INDEX(MUSTERILER!$B$7:$B$106,MATCH($R46,MUSTERILER!$T$7:$T$106,0)),IFERROR(INDEX(MUSTERILER!$B$7:$B$106,MATCH($D46,MUSTERILER!$B$7:$B$106,0)),IFERROR(INDEX(MUSTERILER!$B$7:$B$106,MATCH($R46&amp;"*",MUSTERILER!$T$7:$T$106,0)),"TANIMSIZ MÜŞTERİ"))))</f>
        <v/>
      </c>
      <c r="D46" s="109" t="inlineStr">
        <is>
          <t>ÇAYIRALAN LTD.ŞTİ.</t>
        </is>
      </c>
      <c r="E46" s="220" t="n">
        <v>46046</v>
      </c>
      <c r="F46" s="221" t="n">
        <v>3000</v>
      </c>
      <c r="G46" s="108" t="inlineStr">
        <is>
          <t>MERKEZ KASA</t>
        </is>
      </c>
      <c r="H46" s="108" t="inlineStr">
        <is>
          <t>Nakit</t>
        </is>
      </c>
      <c r="I46" s="109" t="n"/>
      <c r="J46" s="109" t="inlineStr">
        <is>
          <t>NAKİT ÖDENEN</t>
        </is>
      </c>
      <c r="K46" s="109" t="n"/>
      <c r="L46" s="226">
        <f>IF($E46="","",DATE(YEAR($E46),MONTH($E46),1))</f>
        <v/>
      </c>
      <c r="M46" s="113">
        <f>IF($D46="","",IF($C46="TANIMSIZ MÜŞTERİ","HATA",IF(OR($E46="",$F46&lt;=0,$G46=""),"EKSİK",IF($E46&gt;TODAY(),"İLERİ TARİH",IF(COUNTIF($S$7:$S$1506,$S46)&gt;1,"MÜKERRER?",IF($T46&gt;0,"KAPALI DÖNEM","UYGUN"))))))</f>
        <v/>
      </c>
      <c r="N46" s="121">
        <f>IF($C46="","",IF($C46="TANIMSIZ MÜŞTERİ","—",INDEX(MUSTERILER!$C$7:$C$106,MATCH($C46,MUSTERILER!$B$7:$B$106,0))))</f>
        <v/>
      </c>
      <c r="O46" s="6" t="n"/>
      <c r="P46" s="6" t="n"/>
      <c r="Q46" s="3">
        <f>IF($D46="","",$C46&amp;"|"&amp;COUNTIFS($C$7:$C46,$C46))</f>
        <v/>
      </c>
      <c r="R46" s="3">
        <f>IF($D46="","",UPPER(SUBSTITUTE(SUBSTITUTE(SUBSTITUTE(SUBSTITUTE(SUBSTITUTE(SUBSTITUTE(SUBSTITUTE(SUBSTITUTE(SUBSTITUTE(SUBSTITUTE(SUBSTITUTE(SUBSTITUTE(SUBSTITUTE(SUBSTITUTE(SUBSTITUTE(SUBSTITUTE(SUBSTITUTE(SUBSTITUTE(TRIM($D46),"'",""),"İ","I"),"ı","I"),"i","I"),"Ş","S"),"ş","S"),"Ğ","G"),"ğ","G"),"Ü","U"),"ü","U"),"Ö","O"),"ö","O"),"Ç","C"),"ç","C"),".",""),",","")," ",""),"-","")))</f>
        <v/>
      </c>
      <c r="S46" s="3">
        <f>IF($D46="","",$C46&amp;"|"&amp;TEXT($E46,"0")&amp;"|"&amp;TEXT($F46,"0")&amp;"|"&amp;$I46)</f>
        <v/>
      </c>
      <c r="T46" s="3">
        <f>IF($E46="",0,SUMPRODUCT((AY_SONU!$O$7:$O$42="Evet")*(AY_SONU!$B$7:$B$42=DATE(YEAR($E46),MONTH($E46),1))))</f>
        <v/>
      </c>
    </row>
    <row r="47">
      <c r="A47" s="6" t="n"/>
      <c r="B47" s="113">
        <f>IF($D47="","","T"&amp;TEXT(ROW()-6,"00000"))</f>
        <v/>
      </c>
      <c r="C47" s="113">
        <f>IF($D47="","",IFERROR(INDEX(MUSTERILER!$B$7:$B$106,MATCH($R47,MUSTERILER!$T$7:$T$106,0)),IFERROR(INDEX(MUSTERILER!$B$7:$B$106,MATCH($D47,MUSTERILER!$B$7:$B$106,0)),IFERROR(INDEX(MUSTERILER!$B$7:$B$106,MATCH($R47&amp;"*",MUSTERILER!$T$7:$T$106,0)),"TANIMSIZ MÜŞTERİ"))))</f>
        <v/>
      </c>
      <c r="D47" s="109" t="inlineStr">
        <is>
          <t>FİNAL SİYAH BEYAZ LTD.ŞTİ.</t>
        </is>
      </c>
      <c r="E47" s="220" t="n">
        <v>46046</v>
      </c>
      <c r="F47" s="221" t="n">
        <v>2000</v>
      </c>
      <c r="G47" s="108" t="inlineStr">
        <is>
          <t>MERKEZ KASA</t>
        </is>
      </c>
      <c r="H47" s="108" t="inlineStr">
        <is>
          <t>Nakit</t>
        </is>
      </c>
      <c r="I47" s="109" t="n"/>
      <c r="J47" s="109" t="inlineStr">
        <is>
          <t>NAKİT ÖDENEN</t>
        </is>
      </c>
      <c r="K47" s="109" t="n"/>
      <c r="L47" s="226">
        <f>IF($E47="","",DATE(YEAR($E47),MONTH($E47),1))</f>
        <v/>
      </c>
      <c r="M47" s="113">
        <f>IF($D47="","",IF($C47="TANIMSIZ MÜŞTERİ","HATA",IF(OR($E47="",$F47&lt;=0,$G47=""),"EKSİK",IF($E47&gt;TODAY(),"İLERİ TARİH",IF(COUNTIF($S$7:$S$1506,$S47)&gt;1,"MÜKERRER?",IF($T47&gt;0,"KAPALI DÖNEM","UYGUN"))))))</f>
        <v/>
      </c>
      <c r="N47" s="121">
        <f>IF($C47="","",IF($C47="TANIMSIZ MÜŞTERİ","—",INDEX(MUSTERILER!$C$7:$C$106,MATCH($C47,MUSTERILER!$B$7:$B$106,0))))</f>
        <v/>
      </c>
      <c r="O47" s="6" t="n"/>
      <c r="P47" s="6" t="n"/>
      <c r="Q47" s="3">
        <f>IF($D47="","",$C47&amp;"|"&amp;COUNTIFS($C$7:$C47,$C47))</f>
        <v/>
      </c>
      <c r="R47" s="3">
        <f>IF($D47="","",UPPER(SUBSTITUTE(SUBSTITUTE(SUBSTITUTE(SUBSTITUTE(SUBSTITUTE(SUBSTITUTE(SUBSTITUTE(SUBSTITUTE(SUBSTITUTE(SUBSTITUTE(SUBSTITUTE(SUBSTITUTE(SUBSTITUTE(SUBSTITUTE(SUBSTITUTE(SUBSTITUTE(SUBSTITUTE(SUBSTITUTE(TRIM($D47),"'",""),"İ","I"),"ı","I"),"i","I"),"Ş","S"),"ş","S"),"Ğ","G"),"ğ","G"),"Ü","U"),"ü","U"),"Ö","O"),"ö","O"),"Ç","C"),"ç","C"),".",""),",","")," ",""),"-","")))</f>
        <v/>
      </c>
      <c r="S47" s="3">
        <f>IF($D47="","",$C47&amp;"|"&amp;TEXT($E47,"0")&amp;"|"&amp;TEXT($F47,"0")&amp;"|"&amp;$I47)</f>
        <v/>
      </c>
      <c r="T47" s="3">
        <f>IF($E47="",0,SUMPRODUCT((AY_SONU!$O$7:$O$42="Evet")*(AY_SONU!$B$7:$B$42=DATE(YEAR($E47),MONTH($E47),1))))</f>
        <v/>
      </c>
    </row>
    <row r="48">
      <c r="A48" s="6" t="n"/>
      <c r="B48" s="113">
        <f>IF($D48="","","T"&amp;TEXT(ROW()-6,"00000"))</f>
        <v/>
      </c>
      <c r="C48" s="113">
        <f>IF($D48="","",IFERROR(INDEX(MUSTERILER!$B$7:$B$106,MATCH($R48,MUSTERILER!$T$7:$T$106,0)),IFERROR(INDEX(MUSTERILER!$B$7:$B$106,MATCH($D48,MUSTERILER!$B$7:$B$106,0)),IFERROR(INDEX(MUSTERILER!$B$7:$B$106,MATCH($R48&amp;"*",MUSTERILER!$T$7:$T$106,0)),"TANIMSIZ MÜŞTERİ"))))</f>
        <v/>
      </c>
      <c r="D48" s="109" t="inlineStr">
        <is>
          <t>İBRAHİM MALDAN</t>
        </is>
      </c>
      <c r="E48" s="220" t="n">
        <v>46046</v>
      </c>
      <c r="F48" s="221" t="n">
        <v>1500</v>
      </c>
      <c r="G48" s="108" t="inlineStr">
        <is>
          <t>MERKEZ KASA</t>
        </is>
      </c>
      <c r="H48" s="108" t="inlineStr">
        <is>
          <t>Nakit</t>
        </is>
      </c>
      <c r="I48" s="109" t="n"/>
      <c r="J48" s="109" t="inlineStr">
        <is>
          <t>NAKİT ÖDENEN</t>
        </is>
      </c>
      <c r="K48" s="109" t="n"/>
      <c r="L48" s="226">
        <f>IF($E48="","",DATE(YEAR($E48),MONTH($E48),1))</f>
        <v/>
      </c>
      <c r="M48" s="113">
        <f>IF($D48="","",IF($C48="TANIMSIZ MÜŞTERİ","HATA",IF(OR($E48="",$F48&lt;=0,$G48=""),"EKSİK",IF($E48&gt;TODAY(),"İLERİ TARİH",IF(COUNTIF($S$7:$S$1506,$S48)&gt;1,"MÜKERRER?",IF($T48&gt;0,"KAPALI DÖNEM","UYGUN"))))))</f>
        <v/>
      </c>
      <c r="N48" s="121">
        <f>IF($C48="","",IF($C48="TANIMSIZ MÜŞTERİ","—",INDEX(MUSTERILER!$C$7:$C$106,MATCH($C48,MUSTERILER!$B$7:$B$106,0))))</f>
        <v/>
      </c>
      <c r="O48" s="6" t="n"/>
      <c r="P48" s="6" t="n"/>
      <c r="Q48" s="3">
        <f>IF($D48="","",$C48&amp;"|"&amp;COUNTIFS($C$7:$C48,$C48))</f>
        <v/>
      </c>
      <c r="R48" s="3">
        <f>IF($D48="","",UPPER(SUBSTITUTE(SUBSTITUTE(SUBSTITUTE(SUBSTITUTE(SUBSTITUTE(SUBSTITUTE(SUBSTITUTE(SUBSTITUTE(SUBSTITUTE(SUBSTITUTE(SUBSTITUTE(SUBSTITUTE(SUBSTITUTE(SUBSTITUTE(SUBSTITUTE(SUBSTITUTE(SUBSTITUTE(SUBSTITUTE(TRIM($D48),"'",""),"İ","I"),"ı","I"),"i","I"),"Ş","S"),"ş","S"),"Ğ","G"),"ğ","G"),"Ü","U"),"ü","U"),"Ö","O"),"ö","O"),"Ç","C"),"ç","C"),".",""),",","")," ",""),"-","")))</f>
        <v/>
      </c>
      <c r="S48" s="3">
        <f>IF($D48="","",$C48&amp;"|"&amp;TEXT($E48,"0")&amp;"|"&amp;TEXT($F48,"0")&amp;"|"&amp;$I48)</f>
        <v/>
      </c>
      <c r="T48" s="3">
        <f>IF($E48="",0,SUMPRODUCT((AY_SONU!$O$7:$O$42="Evet")*(AY_SONU!$B$7:$B$42=DATE(YEAR($E48),MONTH($E48),1))))</f>
        <v/>
      </c>
    </row>
    <row r="49">
      <c r="A49" s="6" t="n"/>
      <c r="B49" s="113">
        <f>IF($D49="","","T"&amp;TEXT(ROW()-6,"00000"))</f>
        <v/>
      </c>
      <c r="C49" s="113">
        <f>IF($D49="","",IFERROR(INDEX(MUSTERILER!$B$7:$B$106,MATCH($R49,MUSTERILER!$T$7:$T$106,0)),IFERROR(INDEX(MUSTERILER!$B$7:$B$106,MATCH($D49,MUSTERILER!$B$7:$B$106,0)),IFERROR(INDEX(MUSTERILER!$B$7:$B$106,MATCH($R49&amp;"*",MUSTERILER!$T$7:$T$106,0)),"TANIMSIZ MÜŞTERİ"))))</f>
        <v/>
      </c>
      <c r="D49" s="109" t="inlineStr">
        <is>
          <t>İLDEŞ LTD.ŞTİ.</t>
        </is>
      </c>
      <c r="E49" s="220" t="n">
        <v>46046</v>
      </c>
      <c r="F49" s="221" t="n">
        <v>4000</v>
      </c>
      <c r="G49" s="108" t="inlineStr">
        <is>
          <t>MERKEZ KASA</t>
        </is>
      </c>
      <c r="H49" s="108" t="inlineStr">
        <is>
          <t>Nakit</t>
        </is>
      </c>
      <c r="I49" s="109" t="n"/>
      <c r="J49" s="109" t="inlineStr">
        <is>
          <t>NAKİT ÖDENEN</t>
        </is>
      </c>
      <c r="K49" s="109" t="n"/>
      <c r="L49" s="226">
        <f>IF($E49="","",DATE(YEAR($E49),MONTH($E49),1))</f>
        <v/>
      </c>
      <c r="M49" s="113">
        <f>IF($D49="","",IF($C49="TANIMSIZ MÜŞTERİ","HATA",IF(OR($E49="",$F49&lt;=0,$G49=""),"EKSİK",IF($E49&gt;TODAY(),"İLERİ TARİH",IF(COUNTIF($S$7:$S$1506,$S49)&gt;1,"MÜKERRER?",IF($T49&gt;0,"KAPALI DÖNEM","UYGUN"))))))</f>
        <v/>
      </c>
      <c r="N49" s="121">
        <f>IF($C49="","",IF($C49="TANIMSIZ MÜŞTERİ","—",INDEX(MUSTERILER!$C$7:$C$106,MATCH($C49,MUSTERILER!$B$7:$B$106,0))))</f>
        <v/>
      </c>
      <c r="O49" s="6" t="n"/>
      <c r="P49" s="6" t="n"/>
      <c r="Q49" s="3">
        <f>IF($D49="","",$C49&amp;"|"&amp;COUNTIFS($C$7:$C49,$C49))</f>
        <v/>
      </c>
      <c r="R49" s="3">
        <f>IF($D49="","",UPPER(SUBSTITUTE(SUBSTITUTE(SUBSTITUTE(SUBSTITUTE(SUBSTITUTE(SUBSTITUTE(SUBSTITUTE(SUBSTITUTE(SUBSTITUTE(SUBSTITUTE(SUBSTITUTE(SUBSTITUTE(SUBSTITUTE(SUBSTITUTE(SUBSTITUTE(SUBSTITUTE(SUBSTITUTE(SUBSTITUTE(TRIM($D49),"'",""),"İ","I"),"ı","I"),"i","I"),"Ş","S"),"ş","S"),"Ğ","G"),"ğ","G"),"Ü","U"),"ü","U"),"Ö","O"),"ö","O"),"Ç","C"),"ç","C"),".",""),",","")," ",""),"-","")))</f>
        <v/>
      </c>
      <c r="S49" s="3">
        <f>IF($D49="","",$C49&amp;"|"&amp;TEXT($E49,"0")&amp;"|"&amp;TEXT($F49,"0")&amp;"|"&amp;$I49)</f>
        <v/>
      </c>
      <c r="T49" s="3">
        <f>IF($E49="",0,SUMPRODUCT((AY_SONU!$O$7:$O$42="Evet")*(AY_SONU!$B$7:$B$42=DATE(YEAR($E49),MONTH($E49),1))))</f>
        <v/>
      </c>
    </row>
    <row r="50">
      <c r="A50" s="6" t="n"/>
      <c r="B50" s="113">
        <f>IF($D50="","","T"&amp;TEXT(ROW()-6,"00000"))</f>
        <v/>
      </c>
      <c r="C50" s="113">
        <f>IF($D50="","",IFERROR(INDEX(MUSTERILER!$B$7:$B$106,MATCH($R50,MUSTERILER!$T$7:$T$106,0)),IFERROR(INDEX(MUSTERILER!$B$7:$B$106,MATCH($D50,MUSTERILER!$B$7:$B$106,0)),IFERROR(INDEX(MUSTERILER!$B$7:$B$106,MATCH($R50&amp;"*",MUSTERILER!$T$7:$T$106,0)),"TANIMSIZ MÜŞTERİ"))))</f>
        <v/>
      </c>
      <c r="D50" s="109" t="inlineStr">
        <is>
          <t>KÖŞK YÜKSELEN LTD.ŞTİ.</t>
        </is>
      </c>
      <c r="E50" s="220" t="n">
        <v>46046</v>
      </c>
      <c r="F50" s="221" t="n">
        <v>2500</v>
      </c>
      <c r="G50" s="108" t="inlineStr">
        <is>
          <t>MERKEZ KASA</t>
        </is>
      </c>
      <c r="H50" s="108" t="inlineStr">
        <is>
          <t>Nakit</t>
        </is>
      </c>
      <c r="I50" s="109" t="n"/>
      <c r="J50" s="109" t="inlineStr">
        <is>
          <t>NAKİT ÖDENEN</t>
        </is>
      </c>
      <c r="K50" s="109" t="n"/>
      <c r="L50" s="226">
        <f>IF($E50="","",DATE(YEAR($E50),MONTH($E50),1))</f>
        <v/>
      </c>
      <c r="M50" s="113">
        <f>IF($D50="","",IF($C50="TANIMSIZ MÜŞTERİ","HATA",IF(OR($E50="",$F50&lt;=0,$G50=""),"EKSİK",IF($E50&gt;TODAY(),"İLERİ TARİH",IF(COUNTIF($S$7:$S$1506,$S50)&gt;1,"MÜKERRER?",IF($T50&gt;0,"KAPALI DÖNEM","UYGUN"))))))</f>
        <v/>
      </c>
      <c r="N50" s="121">
        <f>IF($C50="","",IF($C50="TANIMSIZ MÜŞTERİ","—",INDEX(MUSTERILER!$C$7:$C$106,MATCH($C50,MUSTERILER!$B$7:$B$106,0))))</f>
        <v/>
      </c>
      <c r="O50" s="6" t="n"/>
      <c r="P50" s="6" t="n"/>
      <c r="Q50" s="3">
        <f>IF($D50="","",$C50&amp;"|"&amp;COUNTIFS($C$7:$C50,$C50))</f>
        <v/>
      </c>
      <c r="R50" s="3">
        <f>IF($D50="","",UPPER(SUBSTITUTE(SUBSTITUTE(SUBSTITUTE(SUBSTITUTE(SUBSTITUTE(SUBSTITUTE(SUBSTITUTE(SUBSTITUTE(SUBSTITUTE(SUBSTITUTE(SUBSTITUTE(SUBSTITUTE(SUBSTITUTE(SUBSTITUTE(SUBSTITUTE(SUBSTITUTE(SUBSTITUTE(SUBSTITUTE(TRIM($D50),"'",""),"İ","I"),"ı","I"),"i","I"),"Ş","S"),"ş","S"),"Ğ","G"),"ğ","G"),"Ü","U"),"ü","U"),"Ö","O"),"ö","O"),"Ç","C"),"ç","C"),".",""),",","")," ",""),"-","")))</f>
        <v/>
      </c>
      <c r="S50" s="3">
        <f>IF($D50="","",$C50&amp;"|"&amp;TEXT($E50,"0")&amp;"|"&amp;TEXT($F50,"0")&amp;"|"&amp;$I50)</f>
        <v/>
      </c>
      <c r="T50" s="3">
        <f>IF($E50="",0,SUMPRODUCT((AY_SONU!$O$7:$O$42="Evet")*(AY_SONU!$B$7:$B$42=DATE(YEAR($E50),MONTH($E50),1))))</f>
        <v/>
      </c>
    </row>
    <row r="51">
      <c r="A51" s="6" t="n"/>
      <c r="B51" s="113">
        <f>IF($D51="","","T"&amp;TEXT(ROW()-6,"00000"))</f>
        <v/>
      </c>
      <c r="C51" s="113">
        <f>IF($D51="","",IFERROR(INDEX(MUSTERILER!$B$7:$B$106,MATCH($R51,MUSTERILER!$T$7:$T$106,0)),IFERROR(INDEX(MUSTERILER!$B$7:$B$106,MATCH($D51,MUSTERILER!$B$7:$B$106,0)),IFERROR(INDEX(MUSTERILER!$B$7:$B$106,MATCH($R51&amp;"*",MUSTERILER!$T$7:$T$106,0)),"TANIMSIZ MÜŞTERİ"))))</f>
        <v/>
      </c>
      <c r="D51" s="109" t="inlineStr">
        <is>
          <t>MONAMOUR LTD.ŞTİ.</t>
        </is>
      </c>
      <c r="E51" s="220" t="n">
        <v>46046</v>
      </c>
      <c r="F51" s="221" t="n">
        <v>3500</v>
      </c>
      <c r="G51" s="108" t="inlineStr">
        <is>
          <t>MERKEZ KASA</t>
        </is>
      </c>
      <c r="H51" s="108" t="inlineStr">
        <is>
          <t>Nakit</t>
        </is>
      </c>
      <c r="I51" s="109" t="n"/>
      <c r="J51" s="109" t="inlineStr">
        <is>
          <t>NAKİT ÖDENEN</t>
        </is>
      </c>
      <c r="K51" s="109" t="n"/>
      <c r="L51" s="226">
        <f>IF($E51="","",DATE(YEAR($E51),MONTH($E51),1))</f>
        <v/>
      </c>
      <c r="M51" s="113">
        <f>IF($D51="","",IF($C51="TANIMSIZ MÜŞTERİ","HATA",IF(OR($E51="",$F51&lt;=0,$G51=""),"EKSİK",IF($E51&gt;TODAY(),"İLERİ TARİH",IF(COUNTIF($S$7:$S$1506,$S51)&gt;1,"MÜKERRER?",IF($T51&gt;0,"KAPALI DÖNEM","UYGUN"))))))</f>
        <v/>
      </c>
      <c r="N51" s="121">
        <f>IF($C51="","",IF($C51="TANIMSIZ MÜŞTERİ","—",INDEX(MUSTERILER!$C$7:$C$106,MATCH($C51,MUSTERILER!$B$7:$B$106,0))))</f>
        <v/>
      </c>
      <c r="O51" s="6" t="n"/>
      <c r="P51" s="6" t="n"/>
      <c r="Q51" s="3">
        <f>IF($D51="","",$C51&amp;"|"&amp;COUNTIFS($C$7:$C51,$C51))</f>
        <v/>
      </c>
      <c r="R51" s="3">
        <f>IF($D51="","",UPPER(SUBSTITUTE(SUBSTITUTE(SUBSTITUTE(SUBSTITUTE(SUBSTITUTE(SUBSTITUTE(SUBSTITUTE(SUBSTITUTE(SUBSTITUTE(SUBSTITUTE(SUBSTITUTE(SUBSTITUTE(SUBSTITUTE(SUBSTITUTE(SUBSTITUTE(SUBSTITUTE(SUBSTITUTE(SUBSTITUTE(TRIM($D51),"'",""),"İ","I"),"ı","I"),"i","I"),"Ş","S"),"ş","S"),"Ğ","G"),"ğ","G"),"Ü","U"),"ü","U"),"Ö","O"),"ö","O"),"Ç","C"),"ç","C"),".",""),",","")," ",""),"-","")))</f>
        <v/>
      </c>
      <c r="S51" s="3">
        <f>IF($D51="","",$C51&amp;"|"&amp;TEXT($E51,"0")&amp;"|"&amp;TEXT($F51,"0")&amp;"|"&amp;$I51)</f>
        <v/>
      </c>
      <c r="T51" s="3">
        <f>IF($E51="",0,SUMPRODUCT((AY_SONU!$O$7:$O$42="Evet")*(AY_SONU!$B$7:$B$42=DATE(YEAR($E51),MONTH($E51),1))))</f>
        <v/>
      </c>
    </row>
    <row r="52">
      <c r="A52" s="6" t="n"/>
      <c r="B52" s="113">
        <f>IF($D52="","","T"&amp;TEXT(ROW()-6,"00000"))</f>
        <v/>
      </c>
      <c r="C52" s="113">
        <f>IF($D52="","",IFERROR(INDEX(MUSTERILER!$B$7:$B$106,MATCH($R52,MUSTERILER!$T$7:$T$106,0)),IFERROR(INDEX(MUSTERILER!$B$7:$B$106,MATCH($D52,MUSTERILER!$B$7:$B$106,0)),IFERROR(INDEX(MUSTERILER!$B$7:$B$106,MATCH($R52&amp;"*",MUSTERILER!$T$7:$T$106,0)),"TANIMSIZ MÜŞTERİ"))))</f>
        <v/>
      </c>
      <c r="D52" s="109" t="inlineStr">
        <is>
          <t>NAZ 1 GIDA LTD.ŞTİ.</t>
        </is>
      </c>
      <c r="E52" s="220" t="n">
        <v>46046</v>
      </c>
      <c r="F52" s="221" t="n">
        <v>2000</v>
      </c>
      <c r="G52" s="108" t="inlineStr">
        <is>
          <t>MERKEZ KASA</t>
        </is>
      </c>
      <c r="H52" s="108" t="inlineStr">
        <is>
          <t>Nakit</t>
        </is>
      </c>
      <c r="I52" s="109" t="n"/>
      <c r="J52" s="109" t="inlineStr">
        <is>
          <t>NAKİT ÖDENEN</t>
        </is>
      </c>
      <c r="K52" s="109" t="n"/>
      <c r="L52" s="226">
        <f>IF($E52="","",DATE(YEAR($E52),MONTH($E52),1))</f>
        <v/>
      </c>
      <c r="M52" s="113">
        <f>IF($D52="","",IF($C52="TANIMSIZ MÜŞTERİ","HATA",IF(OR($E52="",$F52&lt;=0,$G52=""),"EKSİK",IF($E52&gt;TODAY(),"İLERİ TARİH",IF(COUNTIF($S$7:$S$1506,$S52)&gt;1,"MÜKERRER?",IF($T52&gt;0,"KAPALI DÖNEM","UYGUN"))))))</f>
        <v/>
      </c>
      <c r="N52" s="121">
        <f>IF($C52="","",IF($C52="TANIMSIZ MÜŞTERİ","—",INDEX(MUSTERILER!$C$7:$C$106,MATCH($C52,MUSTERILER!$B$7:$B$106,0))))</f>
        <v/>
      </c>
      <c r="O52" s="6" t="n"/>
      <c r="P52" s="6" t="n"/>
      <c r="Q52" s="3">
        <f>IF($D52="","",$C52&amp;"|"&amp;COUNTIFS($C$7:$C52,$C52))</f>
        <v/>
      </c>
      <c r="R52" s="3">
        <f>IF($D52="","",UPPER(SUBSTITUTE(SUBSTITUTE(SUBSTITUTE(SUBSTITUTE(SUBSTITUTE(SUBSTITUTE(SUBSTITUTE(SUBSTITUTE(SUBSTITUTE(SUBSTITUTE(SUBSTITUTE(SUBSTITUTE(SUBSTITUTE(SUBSTITUTE(SUBSTITUTE(SUBSTITUTE(SUBSTITUTE(SUBSTITUTE(TRIM($D52),"'",""),"İ","I"),"ı","I"),"i","I"),"Ş","S"),"ş","S"),"Ğ","G"),"ğ","G"),"Ü","U"),"ü","U"),"Ö","O"),"ö","O"),"Ç","C"),"ç","C"),".",""),",","")," ",""),"-","")))</f>
        <v/>
      </c>
      <c r="S52" s="3">
        <f>IF($D52="","",$C52&amp;"|"&amp;TEXT($E52,"0")&amp;"|"&amp;TEXT($F52,"0")&amp;"|"&amp;$I52)</f>
        <v/>
      </c>
      <c r="T52" s="3">
        <f>IF($E52="",0,SUMPRODUCT((AY_SONU!$O$7:$O$42="Evet")*(AY_SONU!$B$7:$B$42=DATE(YEAR($E52),MONTH($E52),1))))</f>
        <v/>
      </c>
    </row>
    <row r="53">
      <c r="A53" s="6" t="n"/>
      <c r="B53" s="113">
        <f>IF($D53="","","T"&amp;TEXT(ROW()-6,"00000"))</f>
        <v/>
      </c>
      <c r="C53" s="113">
        <f>IF($D53="","",IFERROR(INDEX(MUSTERILER!$B$7:$B$106,MATCH($R53,MUSTERILER!$T$7:$T$106,0)),IFERROR(INDEX(MUSTERILER!$B$7:$B$106,MATCH($D53,MUSTERILER!$B$7:$B$106,0)),IFERROR(INDEX(MUSTERILER!$B$7:$B$106,MATCH($R53&amp;"*",MUSTERILER!$T$7:$T$106,0)),"TANIMSIZ MÜŞTERİ"))))</f>
        <v/>
      </c>
      <c r="D53" s="109" t="inlineStr">
        <is>
          <t>ÖZFİDANLAR LTD.ŞTİ.</t>
        </is>
      </c>
      <c r="E53" s="220" t="n">
        <v>46046</v>
      </c>
      <c r="F53" s="221" t="n">
        <v>2000</v>
      </c>
      <c r="G53" s="108" t="inlineStr">
        <is>
          <t>MERKEZ KASA</t>
        </is>
      </c>
      <c r="H53" s="108" t="inlineStr">
        <is>
          <t>Nakit</t>
        </is>
      </c>
      <c r="I53" s="109" t="n"/>
      <c r="J53" s="109" t="inlineStr">
        <is>
          <t>NAKİT ÖDENEN</t>
        </is>
      </c>
      <c r="K53" s="109" t="n"/>
      <c r="L53" s="226">
        <f>IF($E53="","",DATE(YEAR($E53),MONTH($E53),1))</f>
        <v/>
      </c>
      <c r="M53" s="113">
        <f>IF($D53="","",IF($C53="TANIMSIZ MÜŞTERİ","HATA",IF(OR($E53="",$F53&lt;=0,$G53=""),"EKSİK",IF($E53&gt;TODAY(),"İLERİ TARİH",IF(COUNTIF($S$7:$S$1506,$S53)&gt;1,"MÜKERRER?",IF($T53&gt;0,"KAPALI DÖNEM","UYGUN"))))))</f>
        <v/>
      </c>
      <c r="N53" s="121">
        <f>IF($C53="","",IF($C53="TANIMSIZ MÜŞTERİ","—",INDEX(MUSTERILER!$C$7:$C$106,MATCH($C53,MUSTERILER!$B$7:$B$106,0))))</f>
        <v/>
      </c>
      <c r="O53" s="6" t="n"/>
      <c r="P53" s="6" t="n"/>
      <c r="Q53" s="3">
        <f>IF($D53="","",$C53&amp;"|"&amp;COUNTIFS($C$7:$C53,$C53))</f>
        <v/>
      </c>
      <c r="R53" s="3">
        <f>IF($D53="","",UPPER(SUBSTITUTE(SUBSTITUTE(SUBSTITUTE(SUBSTITUTE(SUBSTITUTE(SUBSTITUTE(SUBSTITUTE(SUBSTITUTE(SUBSTITUTE(SUBSTITUTE(SUBSTITUTE(SUBSTITUTE(SUBSTITUTE(SUBSTITUTE(SUBSTITUTE(SUBSTITUTE(SUBSTITUTE(SUBSTITUTE(TRIM($D53),"'",""),"İ","I"),"ı","I"),"i","I"),"Ş","S"),"ş","S"),"Ğ","G"),"ğ","G"),"Ü","U"),"ü","U"),"Ö","O"),"ö","O"),"Ç","C"),"ç","C"),".",""),",","")," ",""),"-","")))</f>
        <v/>
      </c>
      <c r="S53" s="3">
        <f>IF($D53="","",$C53&amp;"|"&amp;TEXT($E53,"0")&amp;"|"&amp;TEXT($F53,"0")&amp;"|"&amp;$I53)</f>
        <v/>
      </c>
      <c r="T53" s="3">
        <f>IF($E53="",0,SUMPRODUCT((AY_SONU!$O$7:$O$42="Evet")*(AY_SONU!$B$7:$B$42=DATE(YEAR($E53),MONTH($E53),1))))</f>
        <v/>
      </c>
    </row>
    <row r="54">
      <c r="A54" s="6" t="n"/>
      <c r="B54" s="113">
        <f>IF($D54="","","T"&amp;TEXT(ROW()-6,"00000"))</f>
        <v/>
      </c>
      <c r="C54" s="113">
        <f>IF($D54="","",IFERROR(INDEX(MUSTERILER!$B$7:$B$106,MATCH($R54,MUSTERILER!$T$7:$T$106,0)),IFERROR(INDEX(MUSTERILER!$B$7:$B$106,MATCH($D54,MUSTERILER!$B$7:$B$106,0)),IFERROR(INDEX(MUSTERILER!$B$7:$B$106,MATCH($R54&amp;"*",MUSTERILER!$T$7:$T$106,0)),"TANIMSIZ MÜŞTERİ"))))</f>
        <v/>
      </c>
      <c r="D54" s="109" t="inlineStr">
        <is>
          <t>PAKYILDIZ LTD.ŞTİ.</t>
        </is>
      </c>
      <c r="E54" s="220" t="n">
        <v>46046</v>
      </c>
      <c r="F54" s="221" t="n">
        <v>2000</v>
      </c>
      <c r="G54" s="108" t="inlineStr">
        <is>
          <t>MERKEZ KASA</t>
        </is>
      </c>
      <c r="H54" s="108" t="inlineStr">
        <is>
          <t>Nakit</t>
        </is>
      </c>
      <c r="I54" s="109" t="n"/>
      <c r="J54" s="109" t="inlineStr">
        <is>
          <t>NAKİT ÖDENEN</t>
        </is>
      </c>
      <c r="K54" s="109" t="n"/>
      <c r="L54" s="226">
        <f>IF($E54="","",DATE(YEAR($E54),MONTH($E54),1))</f>
        <v/>
      </c>
      <c r="M54" s="113">
        <f>IF($D54="","",IF($C54="TANIMSIZ MÜŞTERİ","HATA",IF(OR($E54="",$F54&lt;=0,$G54=""),"EKSİK",IF($E54&gt;TODAY(),"İLERİ TARİH",IF(COUNTIF($S$7:$S$1506,$S54)&gt;1,"MÜKERRER?",IF($T54&gt;0,"KAPALI DÖNEM","UYGUN"))))))</f>
        <v/>
      </c>
      <c r="N54" s="121">
        <f>IF($C54="","",IF($C54="TANIMSIZ MÜŞTERİ","—",INDEX(MUSTERILER!$C$7:$C$106,MATCH($C54,MUSTERILER!$B$7:$B$106,0))))</f>
        <v/>
      </c>
      <c r="O54" s="6" t="n"/>
      <c r="P54" s="6" t="n"/>
      <c r="Q54" s="3">
        <f>IF($D54="","",$C54&amp;"|"&amp;COUNTIFS($C$7:$C54,$C54))</f>
        <v/>
      </c>
      <c r="R54" s="3">
        <f>IF($D54="","",UPPER(SUBSTITUTE(SUBSTITUTE(SUBSTITUTE(SUBSTITUTE(SUBSTITUTE(SUBSTITUTE(SUBSTITUTE(SUBSTITUTE(SUBSTITUTE(SUBSTITUTE(SUBSTITUTE(SUBSTITUTE(SUBSTITUTE(SUBSTITUTE(SUBSTITUTE(SUBSTITUTE(SUBSTITUTE(SUBSTITUTE(TRIM($D54),"'",""),"İ","I"),"ı","I"),"i","I"),"Ş","S"),"ş","S"),"Ğ","G"),"ğ","G"),"Ü","U"),"ü","U"),"Ö","O"),"ö","O"),"Ç","C"),"ç","C"),".",""),",","")," ",""),"-","")))</f>
        <v/>
      </c>
      <c r="S54" s="3">
        <f>IF($D54="","",$C54&amp;"|"&amp;TEXT($E54,"0")&amp;"|"&amp;TEXT($F54,"0")&amp;"|"&amp;$I54)</f>
        <v/>
      </c>
      <c r="T54" s="3">
        <f>IF($E54="",0,SUMPRODUCT((AY_SONU!$O$7:$O$42="Evet")*(AY_SONU!$B$7:$B$42=DATE(YEAR($E54),MONTH($E54),1))))</f>
        <v/>
      </c>
    </row>
    <row r="55">
      <c r="A55" s="6" t="n"/>
      <c r="B55" s="113">
        <f>IF($D55="","","T"&amp;TEXT(ROW()-6,"00000"))</f>
        <v/>
      </c>
      <c r="C55" s="113">
        <f>IF($D55="","",IFERROR(INDEX(MUSTERILER!$B$7:$B$106,MATCH($R55,MUSTERILER!$T$7:$T$106,0)),IFERROR(INDEX(MUSTERILER!$B$7:$B$106,MATCH($D55,MUSTERILER!$B$7:$B$106,0)),IFERROR(INDEX(MUSTERILER!$B$7:$B$106,MATCH($R55&amp;"*",MUSTERILER!$T$7:$T$106,0)),"TANIMSIZ MÜŞTERİ"))))</f>
        <v/>
      </c>
      <c r="D55" s="109" t="inlineStr">
        <is>
          <t>RİX ŞOW LTD.ŞTİ.</t>
        </is>
      </c>
      <c r="E55" s="220" t="n">
        <v>46046</v>
      </c>
      <c r="F55" s="221" t="n">
        <v>2000</v>
      </c>
      <c r="G55" s="108" t="inlineStr">
        <is>
          <t>MERKEZ KASA</t>
        </is>
      </c>
      <c r="H55" s="108" t="inlineStr">
        <is>
          <t>Nakit</t>
        </is>
      </c>
      <c r="I55" s="109" t="n"/>
      <c r="J55" s="109" t="inlineStr">
        <is>
          <t>NAKİT ÖDENEN</t>
        </is>
      </c>
      <c r="K55" s="109" t="n"/>
      <c r="L55" s="226">
        <f>IF($E55="","",DATE(YEAR($E55),MONTH($E55),1))</f>
        <v/>
      </c>
      <c r="M55" s="113">
        <f>IF($D55="","",IF($C55="TANIMSIZ MÜŞTERİ","HATA",IF(OR($E55="",$F55&lt;=0,$G55=""),"EKSİK",IF($E55&gt;TODAY(),"İLERİ TARİH",IF(COUNTIF($S$7:$S$1506,$S55)&gt;1,"MÜKERRER?",IF($T55&gt;0,"KAPALI DÖNEM","UYGUN"))))))</f>
        <v/>
      </c>
      <c r="N55" s="121">
        <f>IF($C55="","",IF($C55="TANIMSIZ MÜŞTERİ","—",INDEX(MUSTERILER!$C$7:$C$106,MATCH($C55,MUSTERILER!$B$7:$B$106,0))))</f>
        <v/>
      </c>
      <c r="O55" s="6" t="n"/>
      <c r="P55" s="6" t="n"/>
      <c r="Q55" s="3">
        <f>IF($D55="","",$C55&amp;"|"&amp;COUNTIFS($C$7:$C55,$C55))</f>
        <v/>
      </c>
      <c r="R55" s="3">
        <f>IF($D55="","",UPPER(SUBSTITUTE(SUBSTITUTE(SUBSTITUTE(SUBSTITUTE(SUBSTITUTE(SUBSTITUTE(SUBSTITUTE(SUBSTITUTE(SUBSTITUTE(SUBSTITUTE(SUBSTITUTE(SUBSTITUTE(SUBSTITUTE(SUBSTITUTE(SUBSTITUTE(SUBSTITUTE(SUBSTITUTE(SUBSTITUTE(TRIM($D55),"'",""),"İ","I"),"ı","I"),"i","I"),"Ş","S"),"ş","S"),"Ğ","G"),"ğ","G"),"Ü","U"),"ü","U"),"Ö","O"),"ö","O"),"Ç","C"),"ç","C"),".",""),",","")," ",""),"-","")))</f>
        <v/>
      </c>
      <c r="S55" s="3">
        <f>IF($D55="","",$C55&amp;"|"&amp;TEXT($E55,"0")&amp;"|"&amp;TEXT($F55,"0")&amp;"|"&amp;$I55)</f>
        <v/>
      </c>
      <c r="T55" s="3">
        <f>IF($E55="",0,SUMPRODUCT((AY_SONU!$O$7:$O$42="Evet")*(AY_SONU!$B$7:$B$42=DATE(YEAR($E55),MONTH($E55),1))))</f>
        <v/>
      </c>
    </row>
    <row r="56">
      <c r="A56" s="6" t="n"/>
      <c r="B56" s="113">
        <f>IF($D56="","","T"&amp;TEXT(ROW()-6,"00000"))</f>
        <v/>
      </c>
      <c r="C56" s="113">
        <f>IF($D56="","",IFERROR(INDEX(MUSTERILER!$B$7:$B$106,MATCH($R56,MUSTERILER!$T$7:$T$106,0)),IFERROR(INDEX(MUSTERILER!$B$7:$B$106,MATCH($D56,MUSTERILER!$B$7:$B$106,0)),IFERROR(INDEX(MUSTERILER!$B$7:$B$106,MATCH($R56&amp;"*",MUSTERILER!$T$7:$T$106,0)),"TANIMSIZ MÜŞTERİ"))))</f>
        <v/>
      </c>
      <c r="D56" s="109" t="inlineStr">
        <is>
          <t>ZÜMRÜT EĞLENCE LTD.ŞTİ.</t>
        </is>
      </c>
      <c r="E56" s="220" t="n">
        <v>46046</v>
      </c>
      <c r="F56" s="221" t="n">
        <v>3000</v>
      </c>
      <c r="G56" s="108" t="inlineStr">
        <is>
          <t>MERKEZ KASA</t>
        </is>
      </c>
      <c r="H56" s="108" t="inlineStr">
        <is>
          <t>Nakit</t>
        </is>
      </c>
      <c r="I56" s="109" t="n"/>
      <c r="J56" s="109" t="inlineStr">
        <is>
          <t>NAKİT ÖDENEN</t>
        </is>
      </c>
      <c r="K56" s="109" t="n"/>
      <c r="L56" s="226">
        <f>IF($E56="","",DATE(YEAR($E56),MONTH($E56),1))</f>
        <v/>
      </c>
      <c r="M56" s="113">
        <f>IF($D56="","",IF($C56="TANIMSIZ MÜŞTERİ","HATA",IF(OR($E56="",$F56&lt;=0,$G56=""),"EKSİK",IF($E56&gt;TODAY(),"İLERİ TARİH",IF(COUNTIF($S$7:$S$1506,$S56)&gt;1,"MÜKERRER?",IF($T56&gt;0,"KAPALI DÖNEM","UYGUN"))))))</f>
        <v/>
      </c>
      <c r="N56" s="121">
        <f>IF($C56="","",IF($C56="TANIMSIZ MÜŞTERİ","—",INDEX(MUSTERILER!$C$7:$C$106,MATCH($C56,MUSTERILER!$B$7:$B$106,0))))</f>
        <v/>
      </c>
      <c r="O56" s="6" t="n"/>
      <c r="P56" s="6" t="n"/>
      <c r="Q56" s="3">
        <f>IF($D56="","",$C56&amp;"|"&amp;COUNTIFS($C$7:$C56,$C56))</f>
        <v/>
      </c>
      <c r="R56" s="3">
        <f>IF($D56="","",UPPER(SUBSTITUTE(SUBSTITUTE(SUBSTITUTE(SUBSTITUTE(SUBSTITUTE(SUBSTITUTE(SUBSTITUTE(SUBSTITUTE(SUBSTITUTE(SUBSTITUTE(SUBSTITUTE(SUBSTITUTE(SUBSTITUTE(SUBSTITUTE(SUBSTITUTE(SUBSTITUTE(SUBSTITUTE(SUBSTITUTE(TRIM($D56),"'",""),"İ","I"),"ı","I"),"i","I"),"Ş","S"),"ş","S"),"Ğ","G"),"ğ","G"),"Ü","U"),"ü","U"),"Ö","O"),"ö","O"),"Ç","C"),"ç","C"),".",""),",","")," ",""),"-","")))</f>
        <v/>
      </c>
      <c r="S56" s="3">
        <f>IF($D56="","",$C56&amp;"|"&amp;TEXT($E56,"0")&amp;"|"&amp;TEXT($F56,"0")&amp;"|"&amp;$I56)</f>
        <v/>
      </c>
      <c r="T56" s="3">
        <f>IF($E56="",0,SUMPRODUCT((AY_SONU!$O$7:$O$42="Evet")*(AY_SONU!$B$7:$B$42=DATE(YEAR($E56),MONTH($E56),1))))</f>
        <v/>
      </c>
    </row>
    <row r="57">
      <c r="A57" s="6" t="n"/>
      <c r="B57" s="113">
        <f>IF($D57="","","T"&amp;TEXT(ROW()-6,"00000"))</f>
        <v/>
      </c>
      <c r="C57" s="113">
        <f>IF($D57="","",IFERROR(INDEX(MUSTERILER!$B$7:$B$106,MATCH($R57,MUSTERILER!$T$7:$T$106,0)),IFERROR(INDEX(MUSTERILER!$B$7:$B$106,MATCH($D57,MUSTERILER!$B$7:$B$106,0)),IFERROR(INDEX(MUSTERILER!$B$7:$B$106,MATCH($R57&amp;"*",MUSTERILER!$T$7:$T$106,0)),"TANIMSIZ MÜŞTERİ"))))</f>
        <v/>
      </c>
      <c r="D57" s="109" t="inlineStr">
        <is>
          <t>ZÜMRÜT GRUP LTD.ŞTİ.</t>
        </is>
      </c>
      <c r="E57" s="220" t="n">
        <v>46046</v>
      </c>
      <c r="F57" s="221" t="n">
        <v>1750</v>
      </c>
      <c r="G57" s="108" t="inlineStr">
        <is>
          <t>MERKEZ KASA</t>
        </is>
      </c>
      <c r="H57" s="108" t="inlineStr">
        <is>
          <t>Nakit</t>
        </is>
      </c>
      <c r="I57" s="109" t="n"/>
      <c r="J57" s="109" t="inlineStr">
        <is>
          <t>NAKİT ÖDENEN</t>
        </is>
      </c>
      <c r="K57" s="109" t="n"/>
      <c r="L57" s="226">
        <f>IF($E57="","",DATE(YEAR($E57),MONTH($E57),1))</f>
        <v/>
      </c>
      <c r="M57" s="113">
        <f>IF($D57="","",IF($C57="TANIMSIZ MÜŞTERİ","HATA",IF(OR($E57="",$F57&lt;=0,$G57=""),"EKSİK",IF($E57&gt;TODAY(),"İLERİ TARİH",IF(COUNTIF($S$7:$S$1506,$S57)&gt;1,"MÜKERRER?",IF($T57&gt;0,"KAPALI DÖNEM","UYGUN"))))))</f>
        <v/>
      </c>
      <c r="N57" s="121">
        <f>IF($C57="","",IF($C57="TANIMSIZ MÜŞTERİ","—",INDEX(MUSTERILER!$C$7:$C$106,MATCH($C57,MUSTERILER!$B$7:$B$106,0))))</f>
        <v/>
      </c>
      <c r="O57" s="6" t="n"/>
      <c r="P57" s="6" t="n"/>
      <c r="Q57" s="3">
        <f>IF($D57="","",$C57&amp;"|"&amp;COUNTIFS($C$7:$C57,$C57))</f>
        <v/>
      </c>
      <c r="R57" s="3">
        <f>IF($D57="","",UPPER(SUBSTITUTE(SUBSTITUTE(SUBSTITUTE(SUBSTITUTE(SUBSTITUTE(SUBSTITUTE(SUBSTITUTE(SUBSTITUTE(SUBSTITUTE(SUBSTITUTE(SUBSTITUTE(SUBSTITUTE(SUBSTITUTE(SUBSTITUTE(SUBSTITUTE(SUBSTITUTE(SUBSTITUTE(SUBSTITUTE(TRIM($D57),"'",""),"İ","I"),"ı","I"),"i","I"),"Ş","S"),"ş","S"),"Ğ","G"),"ğ","G"),"Ü","U"),"ü","U"),"Ö","O"),"ö","O"),"Ç","C"),"ç","C"),".",""),",","")," ",""),"-","")))</f>
        <v/>
      </c>
      <c r="S57" s="3">
        <f>IF($D57="","",$C57&amp;"|"&amp;TEXT($E57,"0")&amp;"|"&amp;TEXT($F57,"0")&amp;"|"&amp;$I57)</f>
        <v/>
      </c>
      <c r="T57" s="3">
        <f>IF($E57="",0,SUMPRODUCT((AY_SONU!$O$7:$O$42="Evet")*(AY_SONU!$B$7:$B$42=DATE(YEAR($E57),MONTH($E57),1))))</f>
        <v/>
      </c>
    </row>
    <row r="58">
      <c r="A58" s="6" t="n"/>
      <c r="B58" s="113">
        <f>IF($D58="","","T"&amp;TEXT(ROW()-6,"00000"))</f>
        <v/>
      </c>
      <c r="C58" s="113">
        <f>IF($D58="","",IFERROR(INDEX(MUSTERILER!$B$7:$B$106,MATCH($R58,MUSTERILER!$T$7:$T$106,0)),IFERROR(INDEX(MUSTERILER!$B$7:$B$106,MATCH($D58,MUSTERILER!$B$7:$B$106,0)),IFERROR(INDEX(MUSTERILER!$B$7:$B$106,MATCH($R58&amp;"*",MUSTERILER!$T$7:$T$106,0)),"TANIMSIZ MÜŞTERİ"))))</f>
        <v/>
      </c>
      <c r="D58" s="109" t="inlineStr">
        <is>
          <t>KRİSTAL LTD.ŞTİ.</t>
        </is>
      </c>
      <c r="E58" s="220" t="n">
        <v>46046</v>
      </c>
      <c r="F58" s="221" t="n">
        <v>3000</v>
      </c>
      <c r="G58" s="108" t="inlineStr">
        <is>
          <t>MERKEZ KASA</t>
        </is>
      </c>
      <c r="H58" s="108" t="inlineStr">
        <is>
          <t>Nakit</t>
        </is>
      </c>
      <c r="I58" s="109" t="n"/>
      <c r="J58" s="109" t="inlineStr">
        <is>
          <t>NAKİT ÖDENEN</t>
        </is>
      </c>
      <c r="K58" s="109" t="n"/>
      <c r="L58" s="226">
        <f>IF($E58="","",DATE(YEAR($E58),MONTH($E58),1))</f>
        <v/>
      </c>
      <c r="M58" s="113">
        <f>IF($D58="","",IF($C58="TANIMSIZ MÜŞTERİ","HATA",IF(OR($E58="",$F58&lt;=0,$G58=""),"EKSİK",IF($E58&gt;TODAY(),"İLERİ TARİH",IF(COUNTIF($S$7:$S$1506,$S58)&gt;1,"MÜKERRER?",IF($T58&gt;0,"KAPALI DÖNEM","UYGUN"))))))</f>
        <v/>
      </c>
      <c r="N58" s="121">
        <f>IF($C58="","",IF($C58="TANIMSIZ MÜŞTERİ","—",INDEX(MUSTERILER!$C$7:$C$106,MATCH($C58,MUSTERILER!$B$7:$B$106,0))))</f>
        <v/>
      </c>
      <c r="O58" s="6" t="n"/>
      <c r="P58" s="6" t="n"/>
      <c r="Q58" s="3">
        <f>IF($D58="","",$C58&amp;"|"&amp;COUNTIFS($C$7:$C58,$C58))</f>
        <v/>
      </c>
      <c r="R58" s="3">
        <f>IF($D58="","",UPPER(SUBSTITUTE(SUBSTITUTE(SUBSTITUTE(SUBSTITUTE(SUBSTITUTE(SUBSTITUTE(SUBSTITUTE(SUBSTITUTE(SUBSTITUTE(SUBSTITUTE(SUBSTITUTE(SUBSTITUTE(SUBSTITUTE(SUBSTITUTE(SUBSTITUTE(SUBSTITUTE(SUBSTITUTE(SUBSTITUTE(TRIM($D58),"'",""),"İ","I"),"ı","I"),"i","I"),"Ş","S"),"ş","S"),"Ğ","G"),"ğ","G"),"Ü","U"),"ü","U"),"Ö","O"),"ö","O"),"Ç","C"),"ç","C"),".",""),",","")," ",""),"-","")))</f>
        <v/>
      </c>
      <c r="S58" s="3">
        <f>IF($D58="","",$C58&amp;"|"&amp;TEXT($E58,"0")&amp;"|"&amp;TEXT($F58,"0")&amp;"|"&amp;$I58)</f>
        <v/>
      </c>
      <c r="T58" s="3">
        <f>IF($E58="",0,SUMPRODUCT((AY_SONU!$O$7:$O$42="Evet")*(AY_SONU!$B$7:$B$42=DATE(YEAR($E58),MONTH($E58),1))))</f>
        <v/>
      </c>
    </row>
    <row r="59">
      <c r="A59" s="6" t="n"/>
      <c r="B59" s="113">
        <f>IF($D59="","","T"&amp;TEXT(ROW()-6,"00000"))</f>
        <v/>
      </c>
      <c r="C59" s="113">
        <f>IF($D59="","",IFERROR(INDEX(MUSTERILER!$B$7:$B$106,MATCH($R59,MUSTERILER!$T$7:$T$106,0)),IFERROR(INDEX(MUSTERILER!$B$7:$B$106,MATCH($D59,MUSTERILER!$B$7:$B$106,0)),IFERROR(INDEX(MUSTERILER!$B$7:$B$106,MATCH($R59&amp;"*",MUSTERILER!$T$7:$T$106,0)),"TANIMSIZ MÜŞTERİ"))))</f>
        <v/>
      </c>
      <c r="D59" s="109" t="inlineStr">
        <is>
          <t>ÇINARHAN LTD.ŞTİ.</t>
        </is>
      </c>
      <c r="E59" s="220" t="n">
        <v>46048</v>
      </c>
      <c r="F59" s="221" t="n">
        <v>2500</v>
      </c>
      <c r="G59" s="108" t="inlineStr">
        <is>
          <t>MERKEZ KASA</t>
        </is>
      </c>
      <c r="H59" s="108" t="inlineStr">
        <is>
          <t>Nakit</t>
        </is>
      </c>
      <c r="I59" s="109" t="n"/>
      <c r="J59" s="109" t="inlineStr">
        <is>
          <t>NAKİT ÖDENEN</t>
        </is>
      </c>
      <c r="K59" s="109" t="n"/>
      <c r="L59" s="226">
        <f>IF($E59="","",DATE(YEAR($E59),MONTH($E59),1))</f>
        <v/>
      </c>
      <c r="M59" s="113">
        <f>IF($D59="","",IF($C59="TANIMSIZ MÜŞTERİ","HATA",IF(OR($E59="",$F59&lt;=0,$G59=""),"EKSİK",IF($E59&gt;TODAY(),"İLERİ TARİH",IF(COUNTIF($S$7:$S$1506,$S59)&gt;1,"MÜKERRER?",IF($T59&gt;0,"KAPALI DÖNEM","UYGUN"))))))</f>
        <v/>
      </c>
      <c r="N59" s="121">
        <f>IF($C59="","",IF($C59="TANIMSIZ MÜŞTERİ","—",INDEX(MUSTERILER!$C$7:$C$106,MATCH($C59,MUSTERILER!$B$7:$B$106,0))))</f>
        <v/>
      </c>
      <c r="O59" s="6" t="n"/>
      <c r="P59" s="6" t="n"/>
      <c r="Q59" s="3">
        <f>IF($D59="","",$C59&amp;"|"&amp;COUNTIFS($C$7:$C59,$C59))</f>
        <v/>
      </c>
      <c r="R59" s="3">
        <f>IF($D59="","",UPPER(SUBSTITUTE(SUBSTITUTE(SUBSTITUTE(SUBSTITUTE(SUBSTITUTE(SUBSTITUTE(SUBSTITUTE(SUBSTITUTE(SUBSTITUTE(SUBSTITUTE(SUBSTITUTE(SUBSTITUTE(SUBSTITUTE(SUBSTITUTE(SUBSTITUTE(SUBSTITUTE(SUBSTITUTE(SUBSTITUTE(TRIM($D59),"'",""),"İ","I"),"ı","I"),"i","I"),"Ş","S"),"ş","S"),"Ğ","G"),"ğ","G"),"Ü","U"),"ü","U"),"Ö","O"),"ö","O"),"Ç","C"),"ç","C"),".",""),",","")," ",""),"-","")))</f>
        <v/>
      </c>
      <c r="S59" s="3">
        <f>IF($D59="","",$C59&amp;"|"&amp;TEXT($E59,"0")&amp;"|"&amp;TEXT($F59,"0")&amp;"|"&amp;$I59)</f>
        <v/>
      </c>
      <c r="T59" s="3">
        <f>IF($E59="",0,SUMPRODUCT((AY_SONU!$O$7:$O$42="Evet")*(AY_SONU!$B$7:$B$42=DATE(YEAR($E59),MONTH($E59),1))))</f>
        <v/>
      </c>
    </row>
    <row r="60">
      <c r="A60" s="6" t="n"/>
      <c r="B60" s="113">
        <f>IF($D60="","","T"&amp;TEXT(ROW()-6,"00000"))</f>
        <v/>
      </c>
      <c r="C60" s="113">
        <f>IF($D60="","",IFERROR(INDEX(MUSTERILER!$B$7:$B$106,MATCH($R60,MUSTERILER!$T$7:$T$106,0)),IFERROR(INDEX(MUSTERILER!$B$7:$B$106,MATCH($D60,MUSTERILER!$B$7:$B$106,0)),IFERROR(INDEX(MUSTERILER!$B$7:$B$106,MATCH($R60&amp;"*",MUSTERILER!$T$7:$T$106,0)),"TANIMSIZ MÜŞTERİ"))))</f>
        <v/>
      </c>
      <c r="D60" s="109" t="inlineStr">
        <is>
          <t>AC OTEL LTD.ŞTİ.</t>
        </is>
      </c>
      <c r="E60" s="220" t="n">
        <v>46049</v>
      </c>
      <c r="F60" s="221" t="n">
        <v>1000</v>
      </c>
      <c r="G60" s="108" t="inlineStr">
        <is>
          <t>MERKEZ KASA</t>
        </is>
      </c>
      <c r="H60" s="108" t="inlineStr">
        <is>
          <t>Nakit</t>
        </is>
      </c>
      <c r="I60" s="109" t="n"/>
      <c r="J60" s="109" t="inlineStr">
        <is>
          <t>NAKİT ÖDENEN</t>
        </is>
      </c>
      <c r="K60" s="109" t="n"/>
      <c r="L60" s="226">
        <f>IF($E60="","",DATE(YEAR($E60),MONTH($E60),1))</f>
        <v/>
      </c>
      <c r="M60" s="113">
        <f>IF($D60="","",IF($C60="TANIMSIZ MÜŞTERİ","HATA",IF(OR($E60="",$F60&lt;=0,$G60=""),"EKSİK",IF($E60&gt;TODAY(),"İLERİ TARİH",IF(COUNTIF($S$7:$S$1506,$S60)&gt;1,"MÜKERRER?",IF($T60&gt;0,"KAPALI DÖNEM","UYGUN"))))))</f>
        <v/>
      </c>
      <c r="N60" s="121">
        <f>IF($C60="","",IF($C60="TANIMSIZ MÜŞTERİ","—",INDEX(MUSTERILER!$C$7:$C$106,MATCH($C60,MUSTERILER!$B$7:$B$106,0))))</f>
        <v/>
      </c>
      <c r="O60" s="6" t="n"/>
      <c r="P60" s="6" t="n"/>
      <c r="Q60" s="3">
        <f>IF($D60="","",$C60&amp;"|"&amp;COUNTIFS($C$7:$C60,$C60))</f>
        <v/>
      </c>
      <c r="R60" s="3">
        <f>IF($D60="","",UPPER(SUBSTITUTE(SUBSTITUTE(SUBSTITUTE(SUBSTITUTE(SUBSTITUTE(SUBSTITUTE(SUBSTITUTE(SUBSTITUTE(SUBSTITUTE(SUBSTITUTE(SUBSTITUTE(SUBSTITUTE(SUBSTITUTE(SUBSTITUTE(SUBSTITUTE(SUBSTITUTE(SUBSTITUTE(SUBSTITUTE(TRIM($D60),"'",""),"İ","I"),"ı","I"),"i","I"),"Ş","S"),"ş","S"),"Ğ","G"),"ğ","G"),"Ü","U"),"ü","U"),"Ö","O"),"ö","O"),"Ç","C"),"ç","C"),".",""),",","")," ",""),"-","")))</f>
        <v/>
      </c>
      <c r="S60" s="3">
        <f>IF($D60="","",$C60&amp;"|"&amp;TEXT($E60,"0")&amp;"|"&amp;TEXT($F60,"0")&amp;"|"&amp;$I60)</f>
        <v/>
      </c>
      <c r="T60" s="3">
        <f>IF($E60="",0,SUMPRODUCT((AY_SONU!$O$7:$O$42="Evet")*(AY_SONU!$B$7:$B$42=DATE(YEAR($E60),MONTH($E60),1))))</f>
        <v/>
      </c>
    </row>
    <row r="61">
      <c r="A61" s="6" t="n"/>
      <c r="B61" s="113">
        <f>IF($D61="","","T"&amp;TEXT(ROW()-6,"00000"))</f>
        <v/>
      </c>
      <c r="C61" s="113">
        <f>IF($D61="","",IFERROR(INDEX(MUSTERILER!$B$7:$B$106,MATCH($R61,MUSTERILER!$T$7:$T$106,0)),IFERROR(INDEX(MUSTERILER!$B$7:$B$106,MATCH($D61,MUSTERILER!$B$7:$B$106,0)),IFERROR(INDEX(MUSTERILER!$B$7:$B$106,MATCH($R61&amp;"*",MUSTERILER!$T$7:$T$106,0)),"TANIMSIZ MÜŞTERİ"))))</f>
        <v/>
      </c>
      <c r="D61" s="109" t="inlineStr">
        <is>
          <t>ALTINEL LTD.ŞTİ.</t>
        </is>
      </c>
      <c r="E61" s="220" t="n">
        <v>46053</v>
      </c>
      <c r="F61" s="221" t="n">
        <v>12000</v>
      </c>
      <c r="G61" s="108" t="inlineStr">
        <is>
          <t>ÖMER KARTAL</t>
        </is>
      </c>
      <c r="H61" s="108" t="inlineStr">
        <is>
          <t>Nakit</t>
        </is>
      </c>
      <c r="I61" s="109" t="n"/>
      <c r="J61" s="109" t="inlineStr">
        <is>
          <t xml:space="preserve">ALTINEL LTD.ŞTİ. </t>
        </is>
      </c>
      <c r="K61" s="109" t="n"/>
      <c r="L61" s="226">
        <f>IF($E61="","",DATE(YEAR($E61),MONTH($E61),1))</f>
        <v/>
      </c>
      <c r="M61" s="113">
        <f>IF($D61="","",IF($C61="TANIMSIZ MÜŞTERİ","HATA",IF(OR($E61="",$F61&lt;=0,$G61=""),"EKSİK",IF($E61&gt;TODAY(),"İLERİ TARİH",IF(COUNTIF($S$7:$S$1506,$S61)&gt;1,"MÜKERRER?",IF($T61&gt;0,"KAPALI DÖNEM","UYGUN"))))))</f>
        <v/>
      </c>
      <c r="N61" s="121">
        <f>IF($C61="","",IF($C61="TANIMSIZ MÜŞTERİ","—",INDEX(MUSTERILER!$C$7:$C$106,MATCH($C61,MUSTERILER!$B$7:$B$106,0))))</f>
        <v/>
      </c>
      <c r="O61" s="6" t="n"/>
      <c r="P61" s="6" t="n"/>
      <c r="Q61" s="3">
        <f>IF($D61="","",$C61&amp;"|"&amp;COUNTIFS($C$7:$C61,$C61))</f>
        <v/>
      </c>
      <c r="R61" s="3">
        <f>IF($D61="","",UPPER(SUBSTITUTE(SUBSTITUTE(SUBSTITUTE(SUBSTITUTE(SUBSTITUTE(SUBSTITUTE(SUBSTITUTE(SUBSTITUTE(SUBSTITUTE(SUBSTITUTE(SUBSTITUTE(SUBSTITUTE(SUBSTITUTE(SUBSTITUTE(SUBSTITUTE(SUBSTITUTE(SUBSTITUTE(SUBSTITUTE(TRIM($D61),"'",""),"İ","I"),"ı","I"),"i","I"),"Ş","S"),"ş","S"),"Ğ","G"),"ğ","G"),"Ü","U"),"ü","U"),"Ö","O"),"ö","O"),"Ç","C"),"ç","C"),".",""),",","")," ",""),"-","")))</f>
        <v/>
      </c>
      <c r="S61" s="3">
        <f>IF($D61="","",$C61&amp;"|"&amp;TEXT($E61,"0")&amp;"|"&amp;TEXT($F61,"0")&amp;"|"&amp;$I61)</f>
        <v/>
      </c>
      <c r="T61" s="3">
        <f>IF($E61="",0,SUMPRODUCT((AY_SONU!$O$7:$O$42="Evet")*(AY_SONU!$B$7:$B$42=DATE(YEAR($E61),MONTH($E61),1))))</f>
        <v/>
      </c>
    </row>
    <row r="62">
      <c r="A62" s="6" t="n"/>
      <c r="B62" s="113">
        <f>IF($D62="","","T"&amp;TEXT(ROW()-6,"00000"))</f>
        <v/>
      </c>
      <c r="C62" s="113">
        <f>IF($D62="","",IFERROR(INDEX(MUSTERILER!$B$7:$B$106,MATCH($R62,MUSTERILER!$T$7:$T$106,0)),IFERROR(INDEX(MUSTERILER!$B$7:$B$106,MATCH($D62,MUSTERILER!$B$7:$B$106,0)),IFERROR(INDEX(MUSTERILER!$B$7:$B$106,MATCH($R62&amp;"*",MUSTERILER!$T$7:$T$106,0)),"TANIMSIZ MÜŞTERİ"))))</f>
        <v/>
      </c>
      <c r="D62" s="109" t="inlineStr">
        <is>
          <t>ANKARA HAVANA LTD.ŞTİ.</t>
        </is>
      </c>
      <c r="E62" s="220" t="n">
        <v>46053</v>
      </c>
      <c r="F62" s="221" t="n">
        <v>8000</v>
      </c>
      <c r="G62" s="108" t="inlineStr">
        <is>
          <t>MERKEZ KASA</t>
        </is>
      </c>
      <c r="H62" s="108" t="inlineStr">
        <is>
          <t>Nakit</t>
        </is>
      </c>
      <c r="I62" s="109" t="n"/>
      <c r="J62" s="109" t="inlineStr">
        <is>
          <t>NAKİT ÖDENEN</t>
        </is>
      </c>
      <c r="K62" s="109" t="n"/>
      <c r="L62" s="226">
        <f>IF($E62="","",DATE(YEAR($E62),MONTH($E62),1))</f>
        <v/>
      </c>
      <c r="M62" s="113">
        <f>IF($D62="","",IF($C62="TANIMSIZ MÜŞTERİ","HATA",IF(OR($E62="",$F62&lt;=0,$G62=""),"EKSİK",IF($E62&gt;TODAY(),"İLERİ TARİH",IF(COUNTIF($S$7:$S$1506,$S62)&gt;1,"MÜKERRER?",IF($T62&gt;0,"KAPALI DÖNEM","UYGUN"))))))</f>
        <v/>
      </c>
      <c r="N62" s="121">
        <f>IF($C62="","",IF($C62="TANIMSIZ MÜŞTERİ","—",INDEX(MUSTERILER!$C$7:$C$106,MATCH($C62,MUSTERILER!$B$7:$B$106,0))))</f>
        <v/>
      </c>
      <c r="O62" s="6" t="n"/>
      <c r="P62" s="6" t="n"/>
      <c r="Q62" s="3">
        <f>IF($D62="","",$C62&amp;"|"&amp;COUNTIFS($C$7:$C62,$C62))</f>
        <v/>
      </c>
      <c r="R62" s="3">
        <f>IF($D62="","",UPPER(SUBSTITUTE(SUBSTITUTE(SUBSTITUTE(SUBSTITUTE(SUBSTITUTE(SUBSTITUTE(SUBSTITUTE(SUBSTITUTE(SUBSTITUTE(SUBSTITUTE(SUBSTITUTE(SUBSTITUTE(SUBSTITUTE(SUBSTITUTE(SUBSTITUTE(SUBSTITUTE(SUBSTITUTE(SUBSTITUTE(TRIM($D62),"'",""),"İ","I"),"ı","I"),"i","I"),"Ş","S"),"ş","S"),"Ğ","G"),"ğ","G"),"Ü","U"),"ü","U"),"Ö","O"),"ö","O"),"Ç","C"),"ç","C"),".",""),",","")," ",""),"-","")))</f>
        <v/>
      </c>
      <c r="S62" s="3">
        <f>IF($D62="","",$C62&amp;"|"&amp;TEXT($E62,"0")&amp;"|"&amp;TEXT($F62,"0")&amp;"|"&amp;$I62)</f>
        <v/>
      </c>
      <c r="T62" s="3">
        <f>IF($E62="",0,SUMPRODUCT((AY_SONU!$O$7:$O$42="Evet")*(AY_SONU!$B$7:$B$42=DATE(YEAR($E62),MONTH($E62),1))))</f>
        <v/>
      </c>
    </row>
    <row r="63">
      <c r="A63" s="6" t="n"/>
      <c r="B63" s="113">
        <f>IF($D63="","","T"&amp;TEXT(ROW()-6,"00000"))</f>
        <v/>
      </c>
      <c r="C63" s="113">
        <f>IF($D63="","",IFERROR(INDEX(MUSTERILER!$B$7:$B$106,MATCH($R63,MUSTERILER!$T$7:$T$106,0)),IFERROR(INDEX(MUSTERILER!$B$7:$B$106,MATCH($D63,MUSTERILER!$B$7:$B$106,0)),IFERROR(INDEX(MUSTERILER!$B$7:$B$106,MATCH($R63&amp;"*",MUSTERILER!$T$7:$T$106,0)),"TANIMSIZ MÜŞTERİ"))))</f>
        <v/>
      </c>
      <c r="D63" s="109" t="inlineStr">
        <is>
          <t>ARMAN DİK</t>
        </is>
      </c>
      <c r="E63" s="220" t="n">
        <v>46053</v>
      </c>
      <c r="F63" s="221" t="n">
        <v>3000</v>
      </c>
      <c r="G63" s="108" t="inlineStr">
        <is>
          <t>ÖMER KARTAL</t>
        </is>
      </c>
      <c r="H63" s="108" t="inlineStr">
        <is>
          <t>Nakit</t>
        </is>
      </c>
      <c r="I63" s="109" t="n"/>
      <c r="J63" s="109" t="inlineStr">
        <is>
          <t>ÖMER KARTALA ÖDENEN</t>
        </is>
      </c>
      <c r="K63" s="109" t="n"/>
      <c r="L63" s="226">
        <f>IF($E63="","",DATE(YEAR($E63),MONTH($E63),1))</f>
        <v/>
      </c>
      <c r="M63" s="113">
        <f>IF($D63="","",IF($C63="TANIMSIZ MÜŞTERİ","HATA",IF(OR($E63="",$F63&lt;=0,$G63=""),"EKSİK",IF($E63&gt;TODAY(),"İLERİ TARİH",IF(COUNTIF($S$7:$S$1506,$S63)&gt;1,"MÜKERRER?",IF($T63&gt;0,"KAPALI DÖNEM","UYGUN"))))))</f>
        <v/>
      </c>
      <c r="N63" s="121">
        <f>IF($C63="","",IF($C63="TANIMSIZ MÜŞTERİ","—",INDEX(MUSTERILER!$C$7:$C$106,MATCH($C63,MUSTERILER!$B$7:$B$106,0))))</f>
        <v/>
      </c>
      <c r="O63" s="6" t="n"/>
      <c r="P63" s="6" t="n"/>
      <c r="Q63" s="3">
        <f>IF($D63="","",$C63&amp;"|"&amp;COUNTIFS($C$7:$C63,$C63))</f>
        <v/>
      </c>
      <c r="R63" s="3">
        <f>IF($D63="","",UPPER(SUBSTITUTE(SUBSTITUTE(SUBSTITUTE(SUBSTITUTE(SUBSTITUTE(SUBSTITUTE(SUBSTITUTE(SUBSTITUTE(SUBSTITUTE(SUBSTITUTE(SUBSTITUTE(SUBSTITUTE(SUBSTITUTE(SUBSTITUTE(SUBSTITUTE(SUBSTITUTE(SUBSTITUTE(SUBSTITUTE(TRIM($D63),"'",""),"İ","I"),"ı","I"),"i","I"),"Ş","S"),"ş","S"),"Ğ","G"),"ğ","G"),"Ü","U"),"ü","U"),"Ö","O"),"ö","O"),"Ç","C"),"ç","C"),".",""),",","")," ",""),"-","")))</f>
        <v/>
      </c>
      <c r="S63" s="3">
        <f>IF($D63="","",$C63&amp;"|"&amp;TEXT($E63,"0")&amp;"|"&amp;TEXT($F63,"0")&amp;"|"&amp;$I63)</f>
        <v/>
      </c>
      <c r="T63" s="3">
        <f>IF($E63="",0,SUMPRODUCT((AY_SONU!$O$7:$O$42="Evet")*(AY_SONU!$B$7:$B$42=DATE(YEAR($E63),MONTH($E63),1))))</f>
        <v/>
      </c>
    </row>
    <row r="64">
      <c r="A64" s="6" t="n"/>
      <c r="B64" s="113">
        <f>IF($D64="","","T"&amp;TEXT(ROW()-6,"00000"))</f>
        <v/>
      </c>
      <c r="C64" s="113">
        <f>IF($D64="","",IFERROR(INDEX(MUSTERILER!$B$7:$B$106,MATCH($R64,MUSTERILER!$T$7:$T$106,0)),IFERROR(INDEX(MUSTERILER!$B$7:$B$106,MATCH($D64,MUSTERILER!$B$7:$B$106,0)),IFERROR(INDEX(MUSTERILER!$B$7:$B$106,MATCH($R64&amp;"*",MUSTERILER!$T$7:$T$106,0)),"TANIMSIZ MÜŞTERİ"))))</f>
        <v/>
      </c>
      <c r="D64" s="109" t="inlineStr">
        <is>
          <t>ARON TOPTAN LTD.ŞTİ.</t>
        </is>
      </c>
      <c r="E64" s="220" t="n">
        <v>46053</v>
      </c>
      <c r="F64" s="221" t="n">
        <v>20000</v>
      </c>
      <c r="G64" s="108" t="inlineStr">
        <is>
          <t>ÖMER KARTAL</t>
        </is>
      </c>
      <c r="H64" s="108" t="inlineStr">
        <is>
          <t>Nakit</t>
        </is>
      </c>
      <c r="I64" s="109" t="n"/>
      <c r="J64" s="109" t="inlineStr">
        <is>
          <t>ONUR BAKİYESİNE MAHSUP</t>
        </is>
      </c>
      <c r="K64" s="109" t="n"/>
      <c r="L64" s="226">
        <f>IF($E64="","",DATE(YEAR($E64),MONTH($E64),1))</f>
        <v/>
      </c>
      <c r="M64" s="113">
        <f>IF($D64="","",IF($C64="TANIMSIZ MÜŞTERİ","HATA",IF(OR($E64="",$F64&lt;=0,$G64=""),"EKSİK",IF($E64&gt;TODAY(),"İLERİ TARİH",IF(COUNTIF($S$7:$S$1506,$S64)&gt;1,"MÜKERRER?",IF($T64&gt;0,"KAPALI DÖNEM","UYGUN"))))))</f>
        <v/>
      </c>
      <c r="N64" s="121">
        <f>IF($C64="","",IF($C64="TANIMSIZ MÜŞTERİ","—",INDEX(MUSTERILER!$C$7:$C$106,MATCH($C64,MUSTERILER!$B$7:$B$106,0))))</f>
        <v/>
      </c>
      <c r="O64" s="6" t="n"/>
      <c r="P64" s="6" t="n"/>
      <c r="Q64" s="3">
        <f>IF($D64="","",$C64&amp;"|"&amp;COUNTIFS($C$7:$C64,$C64))</f>
        <v/>
      </c>
      <c r="R64" s="3">
        <f>IF($D64="","",UPPER(SUBSTITUTE(SUBSTITUTE(SUBSTITUTE(SUBSTITUTE(SUBSTITUTE(SUBSTITUTE(SUBSTITUTE(SUBSTITUTE(SUBSTITUTE(SUBSTITUTE(SUBSTITUTE(SUBSTITUTE(SUBSTITUTE(SUBSTITUTE(SUBSTITUTE(SUBSTITUTE(SUBSTITUTE(SUBSTITUTE(TRIM($D64),"'",""),"İ","I"),"ı","I"),"i","I"),"Ş","S"),"ş","S"),"Ğ","G"),"ğ","G"),"Ü","U"),"ü","U"),"Ö","O"),"ö","O"),"Ç","C"),"ç","C"),".",""),",","")," ",""),"-","")))</f>
        <v/>
      </c>
      <c r="S64" s="3">
        <f>IF($D64="","",$C64&amp;"|"&amp;TEXT($E64,"0")&amp;"|"&amp;TEXT($F64,"0")&amp;"|"&amp;$I64)</f>
        <v/>
      </c>
      <c r="T64" s="3">
        <f>IF($E64="",0,SUMPRODUCT((AY_SONU!$O$7:$O$42="Evet")*(AY_SONU!$B$7:$B$42=DATE(YEAR($E64),MONTH($E64),1))))</f>
        <v/>
      </c>
    </row>
    <row r="65">
      <c r="A65" s="6" t="n"/>
      <c r="B65" s="113">
        <f>IF($D65="","","T"&amp;TEXT(ROW()-6,"00000"))</f>
        <v/>
      </c>
      <c r="C65" s="113">
        <f>IF($D65="","",IFERROR(INDEX(MUSTERILER!$B$7:$B$106,MATCH($R65,MUSTERILER!$T$7:$T$106,0)),IFERROR(INDEX(MUSTERILER!$B$7:$B$106,MATCH($D65,MUSTERILER!$B$7:$B$106,0)),IFERROR(INDEX(MUSTERILER!$B$7:$B$106,MATCH($R65&amp;"*",MUSTERILER!$T$7:$T$106,0)),"TANIMSIZ MÜŞTERİ"))))</f>
        <v/>
      </c>
      <c r="D65" s="109" t="inlineStr">
        <is>
          <t>ASIM AÇIKGÖZ</t>
        </is>
      </c>
      <c r="E65" s="220" t="n">
        <v>46053</v>
      </c>
      <c r="F65" s="221" t="n">
        <v>2000</v>
      </c>
      <c r="G65" s="108" t="inlineStr">
        <is>
          <t>MERKEZ KASA</t>
        </is>
      </c>
      <c r="H65" s="108" t="inlineStr">
        <is>
          <t>Nakit</t>
        </is>
      </c>
      <c r="I65" s="109" t="n"/>
      <c r="J65" s="109" t="inlineStr">
        <is>
          <t>NAKİT ÖDENEN</t>
        </is>
      </c>
      <c r="K65" s="109" t="n"/>
      <c r="L65" s="226">
        <f>IF($E65="","",DATE(YEAR($E65),MONTH($E65),1))</f>
        <v/>
      </c>
      <c r="M65" s="113">
        <f>IF($D65="","",IF($C65="TANIMSIZ MÜŞTERİ","HATA",IF(OR($E65="",$F65&lt;=0,$G65=""),"EKSİK",IF($E65&gt;TODAY(),"İLERİ TARİH",IF(COUNTIF($S$7:$S$1506,$S65)&gt;1,"MÜKERRER?",IF($T65&gt;0,"KAPALI DÖNEM","UYGUN"))))))</f>
        <v/>
      </c>
      <c r="N65" s="121">
        <f>IF($C65="","",IF($C65="TANIMSIZ MÜŞTERİ","—",INDEX(MUSTERILER!$C$7:$C$106,MATCH($C65,MUSTERILER!$B$7:$B$106,0))))</f>
        <v/>
      </c>
      <c r="O65" s="6" t="n"/>
      <c r="P65" s="6" t="n"/>
      <c r="Q65" s="3">
        <f>IF($D65="","",$C65&amp;"|"&amp;COUNTIFS($C$7:$C65,$C65))</f>
        <v/>
      </c>
      <c r="R65" s="3">
        <f>IF($D65="","",UPPER(SUBSTITUTE(SUBSTITUTE(SUBSTITUTE(SUBSTITUTE(SUBSTITUTE(SUBSTITUTE(SUBSTITUTE(SUBSTITUTE(SUBSTITUTE(SUBSTITUTE(SUBSTITUTE(SUBSTITUTE(SUBSTITUTE(SUBSTITUTE(SUBSTITUTE(SUBSTITUTE(SUBSTITUTE(SUBSTITUTE(TRIM($D65),"'",""),"İ","I"),"ı","I"),"i","I"),"Ş","S"),"ş","S"),"Ğ","G"),"ğ","G"),"Ü","U"),"ü","U"),"Ö","O"),"ö","O"),"Ç","C"),"ç","C"),".",""),",","")," ",""),"-","")))</f>
        <v/>
      </c>
      <c r="S65" s="3">
        <f>IF($D65="","",$C65&amp;"|"&amp;TEXT($E65,"0")&amp;"|"&amp;TEXT($F65,"0")&amp;"|"&amp;$I65)</f>
        <v/>
      </c>
      <c r="T65" s="3">
        <f>IF($E65="",0,SUMPRODUCT((AY_SONU!$O$7:$O$42="Evet")*(AY_SONU!$B$7:$B$42=DATE(YEAR($E65),MONTH($E65),1))))</f>
        <v/>
      </c>
    </row>
    <row r="66">
      <c r="A66" s="6" t="n"/>
      <c r="B66" s="113">
        <f>IF($D66="","","T"&amp;TEXT(ROW()-6,"00000"))</f>
        <v/>
      </c>
      <c r="C66" s="113">
        <f>IF($D66="","",IFERROR(INDEX(MUSTERILER!$B$7:$B$106,MATCH($R66,MUSTERILER!$T$7:$T$106,0)),IFERROR(INDEX(MUSTERILER!$B$7:$B$106,MATCH($D66,MUSTERILER!$B$7:$B$106,0)),IFERROR(INDEX(MUSTERILER!$B$7:$B$106,MATCH($R66&amp;"*",MUSTERILER!$T$7:$T$106,0)),"TANIMSIZ MÜŞTERİ"))))</f>
        <v/>
      </c>
      <c r="D66" s="109" t="inlineStr">
        <is>
          <t>ASM EĞLENCE LTD.ŞTİ.</t>
        </is>
      </c>
      <c r="E66" s="220" t="n">
        <v>46053</v>
      </c>
      <c r="F66" s="221" t="n">
        <v>2500</v>
      </c>
      <c r="G66" s="108" t="inlineStr">
        <is>
          <t>MERKEZ KASA</t>
        </is>
      </c>
      <c r="H66" s="108" t="inlineStr">
        <is>
          <t>Nakit</t>
        </is>
      </c>
      <c r="I66" s="109" t="n"/>
      <c r="J66" s="109" t="inlineStr">
        <is>
          <t>NAKİT ÖDENEN</t>
        </is>
      </c>
      <c r="K66" s="109" t="n"/>
      <c r="L66" s="226">
        <f>IF($E66="","",DATE(YEAR($E66),MONTH($E66),1))</f>
        <v/>
      </c>
      <c r="M66" s="113">
        <f>IF($D66="","",IF($C66="TANIMSIZ MÜŞTERİ","HATA",IF(OR($E66="",$F66&lt;=0,$G66=""),"EKSİK",IF($E66&gt;TODAY(),"İLERİ TARİH",IF(COUNTIF($S$7:$S$1506,$S66)&gt;1,"MÜKERRER?",IF($T66&gt;0,"KAPALI DÖNEM","UYGUN"))))))</f>
        <v/>
      </c>
      <c r="N66" s="121">
        <f>IF($C66="","",IF($C66="TANIMSIZ MÜŞTERİ","—",INDEX(MUSTERILER!$C$7:$C$106,MATCH($C66,MUSTERILER!$B$7:$B$106,0))))</f>
        <v/>
      </c>
      <c r="O66" s="6" t="n"/>
      <c r="P66" s="6" t="n"/>
      <c r="Q66" s="3">
        <f>IF($D66="","",$C66&amp;"|"&amp;COUNTIFS($C$7:$C66,$C66))</f>
        <v/>
      </c>
      <c r="R66" s="3">
        <f>IF($D66="","",UPPER(SUBSTITUTE(SUBSTITUTE(SUBSTITUTE(SUBSTITUTE(SUBSTITUTE(SUBSTITUTE(SUBSTITUTE(SUBSTITUTE(SUBSTITUTE(SUBSTITUTE(SUBSTITUTE(SUBSTITUTE(SUBSTITUTE(SUBSTITUTE(SUBSTITUTE(SUBSTITUTE(SUBSTITUTE(SUBSTITUTE(TRIM($D66),"'",""),"İ","I"),"ı","I"),"i","I"),"Ş","S"),"ş","S"),"Ğ","G"),"ğ","G"),"Ü","U"),"ü","U"),"Ö","O"),"ö","O"),"Ç","C"),"ç","C"),".",""),",","")," ",""),"-","")))</f>
        <v/>
      </c>
      <c r="S66" s="3">
        <f>IF($D66="","",$C66&amp;"|"&amp;TEXT($E66,"0")&amp;"|"&amp;TEXT($F66,"0")&amp;"|"&amp;$I66)</f>
        <v/>
      </c>
      <c r="T66" s="3">
        <f>IF($E66="",0,SUMPRODUCT((AY_SONU!$O$7:$O$42="Evet")*(AY_SONU!$B$7:$B$42=DATE(YEAR($E66),MONTH($E66),1))))</f>
        <v/>
      </c>
    </row>
    <row r="67">
      <c r="A67" s="6" t="n"/>
      <c r="B67" s="113">
        <f>IF($D67="","","T"&amp;TEXT(ROW()-6,"00000"))</f>
        <v/>
      </c>
      <c r="C67" s="113">
        <f>IF($D67="","",IFERROR(INDEX(MUSTERILER!$B$7:$B$106,MATCH($R67,MUSTERILER!$T$7:$T$106,0)),IFERROR(INDEX(MUSTERILER!$B$7:$B$106,MATCH($D67,MUSTERILER!$B$7:$B$106,0)),IFERROR(INDEX(MUSTERILER!$B$7:$B$106,MATCH($R67&amp;"*",MUSTERILER!$T$7:$T$106,0)),"TANIMSIZ MÜŞTERİ"))))</f>
        <v/>
      </c>
      <c r="D67" s="109" t="inlineStr">
        <is>
          <t>ÇAYIRALAN LTD.ŞTİ.</t>
        </is>
      </c>
      <c r="E67" s="220" t="n">
        <v>46053</v>
      </c>
      <c r="F67" s="221" t="n">
        <v>3000</v>
      </c>
      <c r="G67" s="108" t="inlineStr">
        <is>
          <t>MERKEZ KASA</t>
        </is>
      </c>
      <c r="H67" s="108" t="inlineStr">
        <is>
          <t>Nakit</t>
        </is>
      </c>
      <c r="I67" s="109" t="n"/>
      <c r="J67" s="109" t="inlineStr">
        <is>
          <t>NAKİT ÖDENEN</t>
        </is>
      </c>
      <c r="K67" s="109" t="n"/>
      <c r="L67" s="226">
        <f>IF($E67="","",DATE(YEAR($E67),MONTH($E67),1))</f>
        <v/>
      </c>
      <c r="M67" s="113">
        <f>IF($D67="","",IF($C67="TANIMSIZ MÜŞTERİ","HATA",IF(OR($E67="",$F67&lt;=0,$G67=""),"EKSİK",IF($E67&gt;TODAY(),"İLERİ TARİH",IF(COUNTIF($S$7:$S$1506,$S67)&gt;1,"MÜKERRER?",IF($T67&gt;0,"KAPALI DÖNEM","UYGUN"))))))</f>
        <v/>
      </c>
      <c r="N67" s="121">
        <f>IF($C67="","",IF($C67="TANIMSIZ MÜŞTERİ","—",INDEX(MUSTERILER!$C$7:$C$106,MATCH($C67,MUSTERILER!$B$7:$B$106,0))))</f>
        <v/>
      </c>
      <c r="O67" s="6" t="n"/>
      <c r="P67" s="6" t="n"/>
      <c r="Q67" s="3">
        <f>IF($D67="","",$C67&amp;"|"&amp;COUNTIFS($C$7:$C67,$C67))</f>
        <v/>
      </c>
      <c r="R67" s="3">
        <f>IF($D67="","",UPPER(SUBSTITUTE(SUBSTITUTE(SUBSTITUTE(SUBSTITUTE(SUBSTITUTE(SUBSTITUTE(SUBSTITUTE(SUBSTITUTE(SUBSTITUTE(SUBSTITUTE(SUBSTITUTE(SUBSTITUTE(SUBSTITUTE(SUBSTITUTE(SUBSTITUTE(SUBSTITUTE(SUBSTITUTE(SUBSTITUTE(TRIM($D67),"'",""),"İ","I"),"ı","I"),"i","I"),"Ş","S"),"ş","S"),"Ğ","G"),"ğ","G"),"Ü","U"),"ü","U"),"Ö","O"),"ö","O"),"Ç","C"),"ç","C"),".",""),",","")," ",""),"-","")))</f>
        <v/>
      </c>
      <c r="S67" s="3">
        <f>IF($D67="","",$C67&amp;"|"&amp;TEXT($E67,"0")&amp;"|"&amp;TEXT($F67,"0")&amp;"|"&amp;$I67)</f>
        <v/>
      </c>
      <c r="T67" s="3">
        <f>IF($E67="",0,SUMPRODUCT((AY_SONU!$O$7:$O$42="Evet")*(AY_SONU!$B$7:$B$42=DATE(YEAR($E67),MONTH($E67),1))))</f>
        <v/>
      </c>
    </row>
    <row r="68">
      <c r="A68" s="6" t="n"/>
      <c r="B68" s="113">
        <f>IF($D68="","","T"&amp;TEXT(ROW()-6,"00000"))</f>
        <v/>
      </c>
      <c r="C68" s="113">
        <f>IF($D68="","",IFERROR(INDEX(MUSTERILER!$B$7:$B$106,MATCH($R68,MUSTERILER!$T$7:$T$106,0)),IFERROR(INDEX(MUSTERILER!$B$7:$B$106,MATCH($D68,MUSTERILER!$B$7:$B$106,0)),IFERROR(INDEX(MUSTERILER!$B$7:$B$106,MATCH($R68&amp;"*",MUSTERILER!$T$7:$T$106,0)),"TANIMSIZ MÜŞTERİ"))))</f>
        <v/>
      </c>
      <c r="D68" s="109" t="inlineStr">
        <is>
          <t>ÇINARHAN LTD.ŞTİ.</t>
        </is>
      </c>
      <c r="E68" s="220" t="n">
        <v>46053</v>
      </c>
      <c r="F68" s="221" t="n">
        <v>2500</v>
      </c>
      <c r="G68" s="108" t="inlineStr">
        <is>
          <t>ÖMER KARTAL</t>
        </is>
      </c>
      <c r="H68" s="108" t="inlineStr">
        <is>
          <t>Nakit</t>
        </is>
      </c>
      <c r="I68" s="109" t="n"/>
      <c r="J68" s="109" t="inlineStr">
        <is>
          <t>ÖMER KARTALA ÖDENEN</t>
        </is>
      </c>
      <c r="K68" s="109" t="n"/>
      <c r="L68" s="226">
        <f>IF($E68="","",DATE(YEAR($E68),MONTH($E68),1))</f>
        <v/>
      </c>
      <c r="M68" s="113">
        <f>IF($D68="","",IF($C68="TANIMSIZ MÜŞTERİ","HATA",IF(OR($E68="",$F68&lt;=0,$G68=""),"EKSİK",IF($E68&gt;TODAY(),"İLERİ TARİH",IF(COUNTIF($S$7:$S$1506,$S68)&gt;1,"MÜKERRER?",IF($T68&gt;0,"KAPALI DÖNEM","UYGUN"))))))</f>
        <v/>
      </c>
      <c r="N68" s="121">
        <f>IF($C68="","",IF($C68="TANIMSIZ MÜŞTERİ","—",INDEX(MUSTERILER!$C$7:$C$106,MATCH($C68,MUSTERILER!$B$7:$B$106,0))))</f>
        <v/>
      </c>
      <c r="O68" s="6" t="n"/>
      <c r="P68" s="6" t="n"/>
      <c r="Q68" s="3">
        <f>IF($D68="","",$C68&amp;"|"&amp;COUNTIFS($C$7:$C68,$C68))</f>
        <v/>
      </c>
      <c r="R68" s="3">
        <f>IF($D68="","",UPPER(SUBSTITUTE(SUBSTITUTE(SUBSTITUTE(SUBSTITUTE(SUBSTITUTE(SUBSTITUTE(SUBSTITUTE(SUBSTITUTE(SUBSTITUTE(SUBSTITUTE(SUBSTITUTE(SUBSTITUTE(SUBSTITUTE(SUBSTITUTE(SUBSTITUTE(SUBSTITUTE(SUBSTITUTE(SUBSTITUTE(TRIM($D68),"'",""),"İ","I"),"ı","I"),"i","I"),"Ş","S"),"ş","S"),"Ğ","G"),"ğ","G"),"Ü","U"),"ü","U"),"Ö","O"),"ö","O"),"Ç","C"),"ç","C"),".",""),",","")," ",""),"-","")))</f>
        <v/>
      </c>
      <c r="S68" s="3">
        <f>IF($D68="","",$C68&amp;"|"&amp;TEXT($E68,"0")&amp;"|"&amp;TEXT($F68,"0")&amp;"|"&amp;$I68)</f>
        <v/>
      </c>
      <c r="T68" s="3">
        <f>IF($E68="",0,SUMPRODUCT((AY_SONU!$O$7:$O$42="Evet")*(AY_SONU!$B$7:$B$42=DATE(YEAR($E68),MONTH($E68),1))))</f>
        <v/>
      </c>
    </row>
    <row r="69">
      <c r="A69" s="6" t="n"/>
      <c r="B69" s="113">
        <f>IF($D69="","","T"&amp;TEXT(ROW()-6,"00000"))</f>
        <v/>
      </c>
      <c r="C69" s="113">
        <f>IF($D69="","",IFERROR(INDEX(MUSTERILER!$B$7:$B$106,MATCH($R69,MUSTERILER!$T$7:$T$106,0)),IFERROR(INDEX(MUSTERILER!$B$7:$B$106,MATCH($D69,MUSTERILER!$B$7:$B$106,0)),IFERROR(INDEX(MUSTERILER!$B$7:$B$106,MATCH($R69&amp;"*",MUSTERILER!$T$7:$T$106,0)),"TANIMSIZ MÜŞTERİ"))))</f>
        <v/>
      </c>
      <c r="D69" s="109" t="inlineStr">
        <is>
          <t>EĞLENGÖR LTD.ŞTİ.</t>
        </is>
      </c>
      <c r="E69" s="220" t="n">
        <v>46053</v>
      </c>
      <c r="F69" s="221" t="n">
        <v>6000</v>
      </c>
      <c r="G69" s="108" t="inlineStr">
        <is>
          <t>ÖMER KARTAL</t>
        </is>
      </c>
      <c r="H69" s="108" t="inlineStr">
        <is>
          <t>Nakit</t>
        </is>
      </c>
      <c r="I69" s="109" t="n"/>
      <c r="J69" s="109" t="inlineStr">
        <is>
          <t>ÖMER KARTALA ÖDENEN</t>
        </is>
      </c>
      <c r="K69" s="109" t="n"/>
      <c r="L69" s="226">
        <f>IF($E69="","",DATE(YEAR($E69),MONTH($E69),1))</f>
        <v/>
      </c>
      <c r="M69" s="113">
        <f>IF($D69="","",IF($C69="TANIMSIZ MÜŞTERİ","HATA",IF(OR($E69="",$F69&lt;=0,$G69=""),"EKSİK",IF($E69&gt;TODAY(),"İLERİ TARİH",IF(COUNTIF($S$7:$S$1506,$S69)&gt;1,"MÜKERRER?",IF($T69&gt;0,"KAPALI DÖNEM","UYGUN"))))))</f>
        <v/>
      </c>
      <c r="N69" s="121">
        <f>IF($C69="","",IF($C69="TANIMSIZ MÜŞTERİ","—",INDEX(MUSTERILER!$C$7:$C$106,MATCH($C69,MUSTERILER!$B$7:$B$106,0))))</f>
        <v/>
      </c>
      <c r="O69" s="6" t="n"/>
      <c r="P69" s="6" t="n"/>
      <c r="Q69" s="3">
        <f>IF($D69="","",$C69&amp;"|"&amp;COUNTIFS($C$7:$C69,$C69))</f>
        <v/>
      </c>
      <c r="R69" s="3">
        <f>IF($D69="","",UPPER(SUBSTITUTE(SUBSTITUTE(SUBSTITUTE(SUBSTITUTE(SUBSTITUTE(SUBSTITUTE(SUBSTITUTE(SUBSTITUTE(SUBSTITUTE(SUBSTITUTE(SUBSTITUTE(SUBSTITUTE(SUBSTITUTE(SUBSTITUTE(SUBSTITUTE(SUBSTITUTE(SUBSTITUTE(SUBSTITUTE(TRIM($D69),"'",""),"İ","I"),"ı","I"),"i","I"),"Ş","S"),"ş","S"),"Ğ","G"),"ğ","G"),"Ü","U"),"ü","U"),"Ö","O"),"ö","O"),"Ç","C"),"ç","C"),".",""),",","")," ",""),"-","")))</f>
        <v/>
      </c>
      <c r="S69" s="3">
        <f>IF($D69="","",$C69&amp;"|"&amp;TEXT($E69,"0")&amp;"|"&amp;TEXT($F69,"0")&amp;"|"&amp;$I69)</f>
        <v/>
      </c>
      <c r="T69" s="3">
        <f>IF($E69="",0,SUMPRODUCT((AY_SONU!$O$7:$O$42="Evet")*(AY_SONU!$B$7:$B$42=DATE(YEAR($E69),MONTH($E69),1))))</f>
        <v/>
      </c>
    </row>
    <row r="70">
      <c r="A70" s="6" t="n"/>
      <c r="B70" s="113">
        <f>IF($D70="","","T"&amp;TEXT(ROW()-6,"00000"))</f>
        <v/>
      </c>
      <c r="C70" s="113">
        <f>IF($D70="","",IFERROR(INDEX(MUSTERILER!$B$7:$B$106,MATCH($R70,MUSTERILER!$T$7:$T$106,0)),IFERROR(INDEX(MUSTERILER!$B$7:$B$106,MATCH($D70,MUSTERILER!$B$7:$B$106,0)),IFERROR(INDEX(MUSTERILER!$B$7:$B$106,MATCH($R70&amp;"*",MUSTERILER!$T$7:$T$106,0)),"TANIMSIZ MÜŞTERİ"))))</f>
        <v/>
      </c>
      <c r="D70" s="109" t="inlineStr">
        <is>
          <t>FİNAL SİYAH BEYAZ LTD.ŞTİ.</t>
        </is>
      </c>
      <c r="E70" s="220" t="n">
        <v>46053</v>
      </c>
      <c r="F70" s="221" t="n">
        <v>2000</v>
      </c>
      <c r="G70" s="108" t="inlineStr">
        <is>
          <t>MERKEZ KASA</t>
        </is>
      </c>
      <c r="H70" s="108" t="inlineStr">
        <is>
          <t>Nakit</t>
        </is>
      </c>
      <c r="I70" s="109" t="n"/>
      <c r="J70" s="109" t="inlineStr">
        <is>
          <t>NAKİT ÖDENEN</t>
        </is>
      </c>
      <c r="K70" s="109" t="n"/>
      <c r="L70" s="226">
        <f>IF($E70="","",DATE(YEAR($E70),MONTH($E70),1))</f>
        <v/>
      </c>
      <c r="M70" s="113">
        <f>IF($D70="","",IF($C70="TANIMSIZ MÜŞTERİ","HATA",IF(OR($E70="",$F70&lt;=0,$G70=""),"EKSİK",IF($E70&gt;TODAY(),"İLERİ TARİH",IF(COUNTIF($S$7:$S$1506,$S70)&gt;1,"MÜKERRER?",IF($T70&gt;0,"KAPALI DÖNEM","UYGUN"))))))</f>
        <v/>
      </c>
      <c r="N70" s="121">
        <f>IF($C70="","",IF($C70="TANIMSIZ MÜŞTERİ","—",INDEX(MUSTERILER!$C$7:$C$106,MATCH($C70,MUSTERILER!$B$7:$B$106,0))))</f>
        <v/>
      </c>
      <c r="O70" s="6" t="n"/>
      <c r="P70" s="6" t="n"/>
      <c r="Q70" s="3">
        <f>IF($D70="","",$C70&amp;"|"&amp;COUNTIFS($C$7:$C70,$C70))</f>
        <v/>
      </c>
      <c r="R70" s="3">
        <f>IF($D70="","",UPPER(SUBSTITUTE(SUBSTITUTE(SUBSTITUTE(SUBSTITUTE(SUBSTITUTE(SUBSTITUTE(SUBSTITUTE(SUBSTITUTE(SUBSTITUTE(SUBSTITUTE(SUBSTITUTE(SUBSTITUTE(SUBSTITUTE(SUBSTITUTE(SUBSTITUTE(SUBSTITUTE(SUBSTITUTE(SUBSTITUTE(TRIM($D70),"'",""),"İ","I"),"ı","I"),"i","I"),"Ş","S"),"ş","S"),"Ğ","G"),"ğ","G"),"Ü","U"),"ü","U"),"Ö","O"),"ö","O"),"Ç","C"),"ç","C"),".",""),",","")," ",""),"-","")))</f>
        <v/>
      </c>
      <c r="S70" s="3">
        <f>IF($D70="","",$C70&amp;"|"&amp;TEXT($E70,"0")&amp;"|"&amp;TEXT($F70,"0")&amp;"|"&amp;$I70)</f>
        <v/>
      </c>
      <c r="T70" s="3">
        <f>IF($E70="",0,SUMPRODUCT((AY_SONU!$O$7:$O$42="Evet")*(AY_SONU!$B$7:$B$42=DATE(YEAR($E70),MONTH($E70),1))))</f>
        <v/>
      </c>
    </row>
    <row r="71">
      <c r="A71" s="6" t="n"/>
      <c r="B71" s="113">
        <f>IF($D71="","","T"&amp;TEXT(ROW()-6,"00000"))</f>
        <v/>
      </c>
      <c r="C71" s="113">
        <f>IF($D71="","",IFERROR(INDEX(MUSTERILER!$B$7:$B$106,MATCH($R71,MUSTERILER!$T$7:$T$106,0)),IFERROR(INDEX(MUSTERILER!$B$7:$B$106,MATCH($D71,MUSTERILER!$B$7:$B$106,0)),IFERROR(INDEX(MUSTERILER!$B$7:$B$106,MATCH($R71&amp;"*",MUSTERILER!$T$7:$T$106,0)),"TANIMSIZ MÜŞTERİ"))))</f>
        <v/>
      </c>
      <c r="D71" s="109" t="inlineStr">
        <is>
          <t>İBRAHİM MALDAN</t>
        </is>
      </c>
      <c r="E71" s="220" t="n">
        <v>46053</v>
      </c>
      <c r="F71" s="221" t="n">
        <v>1500</v>
      </c>
      <c r="G71" s="108" t="inlineStr">
        <is>
          <t>MERKEZ KASA</t>
        </is>
      </c>
      <c r="H71" s="108" t="inlineStr">
        <is>
          <t>Nakit</t>
        </is>
      </c>
      <c r="I71" s="109" t="n"/>
      <c r="J71" s="109" t="inlineStr">
        <is>
          <t>NAKİT ÖDENEN</t>
        </is>
      </c>
      <c r="K71" s="109" t="n"/>
      <c r="L71" s="226">
        <f>IF($E71="","",DATE(YEAR($E71),MONTH($E71),1))</f>
        <v/>
      </c>
      <c r="M71" s="113">
        <f>IF($D71="","",IF($C71="TANIMSIZ MÜŞTERİ","HATA",IF(OR($E71="",$F71&lt;=0,$G71=""),"EKSİK",IF($E71&gt;TODAY(),"İLERİ TARİH",IF(COUNTIF($S$7:$S$1506,$S71)&gt;1,"MÜKERRER?",IF($T71&gt;0,"KAPALI DÖNEM","UYGUN"))))))</f>
        <v/>
      </c>
      <c r="N71" s="121">
        <f>IF($C71="","",IF($C71="TANIMSIZ MÜŞTERİ","—",INDEX(MUSTERILER!$C$7:$C$106,MATCH($C71,MUSTERILER!$B$7:$B$106,0))))</f>
        <v/>
      </c>
      <c r="O71" s="6" t="n"/>
      <c r="P71" s="6" t="n"/>
      <c r="Q71" s="3">
        <f>IF($D71="","",$C71&amp;"|"&amp;COUNTIFS($C$7:$C71,$C71))</f>
        <v/>
      </c>
      <c r="R71" s="3">
        <f>IF($D71="","",UPPER(SUBSTITUTE(SUBSTITUTE(SUBSTITUTE(SUBSTITUTE(SUBSTITUTE(SUBSTITUTE(SUBSTITUTE(SUBSTITUTE(SUBSTITUTE(SUBSTITUTE(SUBSTITUTE(SUBSTITUTE(SUBSTITUTE(SUBSTITUTE(SUBSTITUTE(SUBSTITUTE(SUBSTITUTE(SUBSTITUTE(TRIM($D71),"'",""),"İ","I"),"ı","I"),"i","I"),"Ş","S"),"ş","S"),"Ğ","G"),"ğ","G"),"Ü","U"),"ü","U"),"Ö","O"),"ö","O"),"Ç","C"),"ç","C"),".",""),",","")," ",""),"-","")))</f>
        <v/>
      </c>
      <c r="S71" s="3">
        <f>IF($D71="","",$C71&amp;"|"&amp;TEXT($E71,"0")&amp;"|"&amp;TEXT($F71,"0")&amp;"|"&amp;$I71)</f>
        <v/>
      </c>
      <c r="T71" s="3">
        <f>IF($E71="",0,SUMPRODUCT((AY_SONU!$O$7:$O$42="Evet")*(AY_SONU!$B$7:$B$42=DATE(YEAR($E71),MONTH($E71),1))))</f>
        <v/>
      </c>
    </row>
    <row r="72">
      <c r="A72" s="6" t="n"/>
      <c r="B72" s="113">
        <f>IF($D72="","","T"&amp;TEXT(ROW()-6,"00000"))</f>
        <v/>
      </c>
      <c r="C72" s="113">
        <f>IF($D72="","",IFERROR(INDEX(MUSTERILER!$B$7:$B$106,MATCH($R72,MUSTERILER!$T$7:$T$106,0)),IFERROR(INDEX(MUSTERILER!$B$7:$B$106,MATCH($D72,MUSTERILER!$B$7:$B$106,0)),IFERROR(INDEX(MUSTERILER!$B$7:$B$106,MATCH($R72&amp;"*",MUSTERILER!$T$7:$T$106,0)),"TANIMSIZ MÜŞTERİ"))))</f>
        <v/>
      </c>
      <c r="D72" s="109" t="inlineStr">
        <is>
          <t>İLDEŞ LTD.ŞTİ.</t>
        </is>
      </c>
      <c r="E72" s="220" t="n">
        <v>46053</v>
      </c>
      <c r="F72" s="221" t="n">
        <v>2000</v>
      </c>
      <c r="G72" s="108" t="inlineStr">
        <is>
          <t>MERKEZ KASA</t>
        </is>
      </c>
      <c r="H72" s="108" t="inlineStr">
        <is>
          <t>Nakit</t>
        </is>
      </c>
      <c r="I72" s="109" t="n"/>
      <c r="J72" s="109" t="inlineStr">
        <is>
          <t>NAKİT ÖDENEN</t>
        </is>
      </c>
      <c r="K72" s="109" t="n"/>
      <c r="L72" s="226">
        <f>IF($E72="","",DATE(YEAR($E72),MONTH($E72),1))</f>
        <v/>
      </c>
      <c r="M72" s="113">
        <f>IF($D72="","",IF($C72="TANIMSIZ MÜŞTERİ","HATA",IF(OR($E72="",$F72&lt;=0,$G72=""),"EKSİK",IF($E72&gt;TODAY(),"İLERİ TARİH",IF(COUNTIF($S$7:$S$1506,$S72)&gt;1,"MÜKERRER?",IF($T72&gt;0,"KAPALI DÖNEM","UYGUN"))))))</f>
        <v/>
      </c>
      <c r="N72" s="121">
        <f>IF($C72="","",IF($C72="TANIMSIZ MÜŞTERİ","—",INDEX(MUSTERILER!$C$7:$C$106,MATCH($C72,MUSTERILER!$B$7:$B$106,0))))</f>
        <v/>
      </c>
      <c r="O72" s="6" t="n"/>
      <c r="P72" s="6" t="n"/>
      <c r="Q72" s="3">
        <f>IF($D72="","",$C72&amp;"|"&amp;COUNTIFS($C$7:$C72,$C72))</f>
        <v/>
      </c>
      <c r="R72" s="3">
        <f>IF($D72="","",UPPER(SUBSTITUTE(SUBSTITUTE(SUBSTITUTE(SUBSTITUTE(SUBSTITUTE(SUBSTITUTE(SUBSTITUTE(SUBSTITUTE(SUBSTITUTE(SUBSTITUTE(SUBSTITUTE(SUBSTITUTE(SUBSTITUTE(SUBSTITUTE(SUBSTITUTE(SUBSTITUTE(SUBSTITUTE(SUBSTITUTE(TRIM($D72),"'",""),"İ","I"),"ı","I"),"i","I"),"Ş","S"),"ş","S"),"Ğ","G"),"ğ","G"),"Ü","U"),"ü","U"),"Ö","O"),"ö","O"),"Ç","C"),"ç","C"),".",""),",","")," ",""),"-","")))</f>
        <v/>
      </c>
      <c r="S72" s="3">
        <f>IF($D72="","",$C72&amp;"|"&amp;TEXT($E72,"0")&amp;"|"&amp;TEXT($F72,"0")&amp;"|"&amp;$I72)</f>
        <v/>
      </c>
      <c r="T72" s="3">
        <f>IF($E72="",0,SUMPRODUCT((AY_SONU!$O$7:$O$42="Evet")*(AY_SONU!$B$7:$B$42=DATE(YEAR($E72),MONTH($E72),1))))</f>
        <v/>
      </c>
    </row>
    <row r="73">
      <c r="A73" s="6" t="n"/>
      <c r="B73" s="113">
        <f>IF($D73="","","T"&amp;TEXT(ROW()-6,"00000"))</f>
        <v/>
      </c>
      <c r="C73" s="113">
        <f>IF($D73="","",IFERROR(INDEX(MUSTERILER!$B$7:$B$106,MATCH($R73,MUSTERILER!$T$7:$T$106,0)),IFERROR(INDEX(MUSTERILER!$B$7:$B$106,MATCH($D73,MUSTERILER!$B$7:$B$106,0)),IFERROR(INDEX(MUSTERILER!$B$7:$B$106,MATCH($R73&amp;"*",MUSTERILER!$T$7:$T$106,0)),"TANIMSIZ MÜŞTERİ"))))</f>
        <v/>
      </c>
      <c r="D73" s="109" t="inlineStr">
        <is>
          <t>MEHMET EVREN KILINÇ</t>
        </is>
      </c>
      <c r="E73" s="220" t="n">
        <v>46053</v>
      </c>
      <c r="F73" s="221" t="n">
        <v>2000</v>
      </c>
      <c r="G73" s="108" t="inlineStr">
        <is>
          <t>ÖMER KARTAL</t>
        </is>
      </c>
      <c r="H73" s="108" t="inlineStr">
        <is>
          <t>Nakit</t>
        </is>
      </c>
      <c r="I73" s="109" t="n"/>
      <c r="J73" s="109" t="inlineStr">
        <is>
          <t>ÖMER KARTALA ÖDENEN</t>
        </is>
      </c>
      <c r="K73" s="109" t="n"/>
      <c r="L73" s="226">
        <f>IF($E73="","",DATE(YEAR($E73),MONTH($E73),1))</f>
        <v/>
      </c>
      <c r="M73" s="113">
        <f>IF($D73="","",IF($C73="TANIMSIZ MÜŞTERİ","HATA",IF(OR($E73="",$F73&lt;=0,$G73=""),"EKSİK",IF($E73&gt;TODAY(),"İLERİ TARİH",IF(COUNTIF($S$7:$S$1506,$S73)&gt;1,"MÜKERRER?",IF($T73&gt;0,"KAPALI DÖNEM","UYGUN"))))))</f>
        <v/>
      </c>
      <c r="N73" s="121">
        <f>IF($C73="","",IF($C73="TANIMSIZ MÜŞTERİ","—",INDEX(MUSTERILER!$C$7:$C$106,MATCH($C73,MUSTERILER!$B$7:$B$106,0))))</f>
        <v/>
      </c>
      <c r="O73" s="6" t="n"/>
      <c r="P73" s="6" t="n"/>
      <c r="Q73" s="3">
        <f>IF($D73="","",$C73&amp;"|"&amp;COUNTIFS($C$7:$C73,$C73))</f>
        <v/>
      </c>
      <c r="R73" s="3">
        <f>IF($D73="","",UPPER(SUBSTITUTE(SUBSTITUTE(SUBSTITUTE(SUBSTITUTE(SUBSTITUTE(SUBSTITUTE(SUBSTITUTE(SUBSTITUTE(SUBSTITUTE(SUBSTITUTE(SUBSTITUTE(SUBSTITUTE(SUBSTITUTE(SUBSTITUTE(SUBSTITUTE(SUBSTITUTE(SUBSTITUTE(SUBSTITUTE(TRIM($D73),"'",""),"İ","I"),"ı","I"),"i","I"),"Ş","S"),"ş","S"),"Ğ","G"),"ğ","G"),"Ü","U"),"ü","U"),"Ö","O"),"ö","O"),"Ç","C"),"ç","C"),".",""),",","")," ",""),"-","")))</f>
        <v/>
      </c>
      <c r="S73" s="3">
        <f>IF($D73="","",$C73&amp;"|"&amp;TEXT($E73,"0")&amp;"|"&amp;TEXT($F73,"0")&amp;"|"&amp;$I73)</f>
        <v/>
      </c>
      <c r="T73" s="3">
        <f>IF($E73="",0,SUMPRODUCT((AY_SONU!$O$7:$O$42="Evet")*(AY_SONU!$B$7:$B$42=DATE(YEAR($E73),MONTH($E73),1))))</f>
        <v/>
      </c>
    </row>
    <row r="74">
      <c r="A74" s="6" t="n"/>
      <c r="B74" s="113">
        <f>IF($D74="","","T"&amp;TEXT(ROW()-6,"00000"))</f>
        <v/>
      </c>
      <c r="C74" s="113">
        <f>IF($D74="","",IFERROR(INDEX(MUSTERILER!$B$7:$B$106,MATCH($R74,MUSTERILER!$T$7:$T$106,0)),IFERROR(INDEX(MUSTERILER!$B$7:$B$106,MATCH($D74,MUSTERILER!$B$7:$B$106,0)),IFERROR(INDEX(MUSTERILER!$B$7:$B$106,MATCH($R74&amp;"*",MUSTERILER!$T$7:$T$106,0)),"TANIMSIZ MÜŞTERİ"))))</f>
        <v/>
      </c>
      <c r="D74" s="109" t="inlineStr">
        <is>
          <t>NAZ 1 GIDA LTD.ŞTİ.</t>
        </is>
      </c>
      <c r="E74" s="220" t="n">
        <v>46053</v>
      </c>
      <c r="F74" s="221" t="n">
        <v>2000</v>
      </c>
      <c r="G74" s="108" t="inlineStr">
        <is>
          <t>ÖMER KARTAL</t>
        </is>
      </c>
      <c r="H74" s="108" t="inlineStr">
        <is>
          <t>Nakit</t>
        </is>
      </c>
      <c r="I74" s="109" t="n"/>
      <c r="J74" s="109" t="inlineStr">
        <is>
          <t>ÖMER KARTALA ÖDENEN</t>
        </is>
      </c>
      <c r="K74" s="109" t="n"/>
      <c r="L74" s="226">
        <f>IF($E74="","",DATE(YEAR($E74),MONTH($E74),1))</f>
        <v/>
      </c>
      <c r="M74" s="113">
        <f>IF($D74="","",IF($C74="TANIMSIZ MÜŞTERİ","HATA",IF(OR($E74="",$F74&lt;=0,$G74=""),"EKSİK",IF($E74&gt;TODAY(),"İLERİ TARİH",IF(COUNTIF($S$7:$S$1506,$S74)&gt;1,"MÜKERRER?",IF($T74&gt;0,"KAPALI DÖNEM","UYGUN"))))))</f>
        <v/>
      </c>
      <c r="N74" s="121">
        <f>IF($C74="","",IF($C74="TANIMSIZ MÜŞTERİ","—",INDEX(MUSTERILER!$C$7:$C$106,MATCH($C74,MUSTERILER!$B$7:$B$106,0))))</f>
        <v/>
      </c>
      <c r="O74" s="6" t="n"/>
      <c r="P74" s="6" t="n"/>
      <c r="Q74" s="3">
        <f>IF($D74="","",$C74&amp;"|"&amp;COUNTIFS($C$7:$C74,$C74))</f>
        <v/>
      </c>
      <c r="R74" s="3">
        <f>IF($D74="","",UPPER(SUBSTITUTE(SUBSTITUTE(SUBSTITUTE(SUBSTITUTE(SUBSTITUTE(SUBSTITUTE(SUBSTITUTE(SUBSTITUTE(SUBSTITUTE(SUBSTITUTE(SUBSTITUTE(SUBSTITUTE(SUBSTITUTE(SUBSTITUTE(SUBSTITUTE(SUBSTITUTE(SUBSTITUTE(SUBSTITUTE(TRIM($D74),"'",""),"İ","I"),"ı","I"),"i","I"),"Ş","S"),"ş","S"),"Ğ","G"),"ğ","G"),"Ü","U"),"ü","U"),"Ö","O"),"ö","O"),"Ç","C"),"ç","C"),".",""),",","")," ",""),"-","")))</f>
        <v/>
      </c>
      <c r="S74" s="3">
        <f>IF($D74="","",$C74&amp;"|"&amp;TEXT($E74,"0")&amp;"|"&amp;TEXT($F74,"0")&amp;"|"&amp;$I74)</f>
        <v/>
      </c>
      <c r="T74" s="3">
        <f>IF($E74="",0,SUMPRODUCT((AY_SONU!$O$7:$O$42="Evet")*(AY_SONU!$B$7:$B$42=DATE(YEAR($E74),MONTH($E74),1))))</f>
        <v/>
      </c>
    </row>
    <row r="75">
      <c r="A75" s="6" t="n"/>
      <c r="B75" s="113">
        <f>IF($D75="","","T"&amp;TEXT(ROW()-6,"00000"))</f>
        <v/>
      </c>
      <c r="C75" s="113">
        <f>IF($D75="","",IFERROR(INDEX(MUSTERILER!$B$7:$B$106,MATCH($R75,MUSTERILER!$T$7:$T$106,0)),IFERROR(INDEX(MUSTERILER!$B$7:$B$106,MATCH($D75,MUSTERILER!$B$7:$B$106,0)),IFERROR(INDEX(MUSTERILER!$B$7:$B$106,MATCH($R75&amp;"*",MUSTERILER!$T$7:$T$106,0)),"TANIMSIZ MÜŞTERİ"))))</f>
        <v/>
      </c>
      <c r="D75" s="109" t="inlineStr">
        <is>
          <t>NERO E TİCARET LTD.ŞTİ.</t>
        </is>
      </c>
      <c r="E75" s="220" t="n">
        <v>46053</v>
      </c>
      <c r="F75" s="221" t="n">
        <v>7500</v>
      </c>
      <c r="G75" s="108" t="inlineStr">
        <is>
          <t>ÖMER KARTAL</t>
        </is>
      </c>
      <c r="H75" s="108" t="inlineStr">
        <is>
          <t>Nakit</t>
        </is>
      </c>
      <c r="I75" s="109" t="n"/>
      <c r="J75" s="109" t="inlineStr">
        <is>
          <t>ÖMER KARTALA ÖDENEN</t>
        </is>
      </c>
      <c r="K75" s="109" t="n"/>
      <c r="L75" s="226">
        <f>IF($E75="","",DATE(YEAR($E75),MONTH($E75),1))</f>
        <v/>
      </c>
      <c r="M75" s="113">
        <f>IF($D75="","",IF($C75="TANIMSIZ MÜŞTERİ","HATA",IF(OR($E75="",$F75&lt;=0,$G75=""),"EKSİK",IF($E75&gt;TODAY(),"İLERİ TARİH",IF(COUNTIF($S$7:$S$1506,$S75)&gt;1,"MÜKERRER?",IF($T75&gt;0,"KAPALI DÖNEM","UYGUN"))))))</f>
        <v/>
      </c>
      <c r="N75" s="121">
        <f>IF($C75="","",IF($C75="TANIMSIZ MÜŞTERİ","—",INDEX(MUSTERILER!$C$7:$C$106,MATCH($C75,MUSTERILER!$B$7:$B$106,0))))</f>
        <v/>
      </c>
      <c r="O75" s="6" t="n"/>
      <c r="P75" s="6" t="n"/>
      <c r="Q75" s="3">
        <f>IF($D75="","",$C75&amp;"|"&amp;COUNTIFS($C$7:$C75,$C75))</f>
        <v/>
      </c>
      <c r="R75" s="3">
        <f>IF($D75="","",UPPER(SUBSTITUTE(SUBSTITUTE(SUBSTITUTE(SUBSTITUTE(SUBSTITUTE(SUBSTITUTE(SUBSTITUTE(SUBSTITUTE(SUBSTITUTE(SUBSTITUTE(SUBSTITUTE(SUBSTITUTE(SUBSTITUTE(SUBSTITUTE(SUBSTITUTE(SUBSTITUTE(SUBSTITUTE(SUBSTITUTE(TRIM($D75),"'",""),"İ","I"),"ı","I"),"i","I"),"Ş","S"),"ş","S"),"Ğ","G"),"ğ","G"),"Ü","U"),"ü","U"),"Ö","O"),"ö","O"),"Ç","C"),"ç","C"),".",""),",","")," ",""),"-","")))</f>
        <v/>
      </c>
      <c r="S75" s="3">
        <f>IF($D75="","",$C75&amp;"|"&amp;TEXT($E75,"0")&amp;"|"&amp;TEXT($F75,"0")&amp;"|"&amp;$I75)</f>
        <v/>
      </c>
      <c r="T75" s="3">
        <f>IF($E75="",0,SUMPRODUCT((AY_SONU!$O$7:$O$42="Evet")*(AY_SONU!$B$7:$B$42=DATE(YEAR($E75),MONTH($E75),1))))</f>
        <v/>
      </c>
    </row>
    <row r="76">
      <c r="A76" s="6" t="n"/>
      <c r="B76" s="113">
        <f>IF($D76="","","T"&amp;TEXT(ROW()-6,"00000"))</f>
        <v/>
      </c>
      <c r="C76" s="113">
        <f>IF($D76="","",IFERROR(INDEX(MUSTERILER!$B$7:$B$106,MATCH($R76,MUSTERILER!$T$7:$T$106,0)),IFERROR(INDEX(MUSTERILER!$B$7:$B$106,MATCH($D76,MUSTERILER!$B$7:$B$106,0)),IFERROR(INDEX(MUSTERILER!$B$7:$B$106,MATCH($R76&amp;"*",MUSTERILER!$T$7:$T$106,0)),"TANIMSIZ MÜŞTERİ"))))</f>
        <v/>
      </c>
      <c r="D76" s="109" t="inlineStr">
        <is>
          <t>ÖZFİDANLAR LTD.ŞTİ.</t>
        </is>
      </c>
      <c r="E76" s="220" t="n">
        <v>46053</v>
      </c>
      <c r="F76" s="221" t="n">
        <v>8000</v>
      </c>
      <c r="G76" s="108" t="inlineStr">
        <is>
          <t>MERKEZ KASA</t>
        </is>
      </c>
      <c r="H76" s="108" t="inlineStr">
        <is>
          <t>Nakit</t>
        </is>
      </c>
      <c r="I76" s="109" t="n"/>
      <c r="J76" s="109" t="inlineStr">
        <is>
          <t>2026/5 HAFTA VE 2 HAFTALIK FARK</t>
        </is>
      </c>
      <c r="K76" s="109" t="n"/>
      <c r="L76" s="226">
        <f>IF($E76="","",DATE(YEAR($E76),MONTH($E76),1))</f>
        <v/>
      </c>
      <c r="M76" s="113">
        <f>IF($D76="","",IF($C76="TANIMSIZ MÜŞTERİ","HATA",IF(OR($E76="",$F76&lt;=0,$G76=""),"EKSİK",IF($E76&gt;TODAY(),"İLERİ TARİH",IF(COUNTIF($S$7:$S$1506,$S76)&gt;1,"MÜKERRER?",IF($T76&gt;0,"KAPALI DÖNEM","UYGUN"))))))</f>
        <v/>
      </c>
      <c r="N76" s="121">
        <f>IF($C76="","",IF($C76="TANIMSIZ MÜŞTERİ","—",INDEX(MUSTERILER!$C$7:$C$106,MATCH($C76,MUSTERILER!$B$7:$B$106,0))))</f>
        <v/>
      </c>
      <c r="O76" s="6" t="n"/>
      <c r="P76" s="6" t="n"/>
      <c r="Q76" s="3">
        <f>IF($D76="","",$C76&amp;"|"&amp;COUNTIFS($C$7:$C76,$C76))</f>
        <v/>
      </c>
      <c r="R76" s="3">
        <f>IF($D76="","",UPPER(SUBSTITUTE(SUBSTITUTE(SUBSTITUTE(SUBSTITUTE(SUBSTITUTE(SUBSTITUTE(SUBSTITUTE(SUBSTITUTE(SUBSTITUTE(SUBSTITUTE(SUBSTITUTE(SUBSTITUTE(SUBSTITUTE(SUBSTITUTE(SUBSTITUTE(SUBSTITUTE(SUBSTITUTE(SUBSTITUTE(TRIM($D76),"'",""),"İ","I"),"ı","I"),"i","I"),"Ş","S"),"ş","S"),"Ğ","G"),"ğ","G"),"Ü","U"),"ü","U"),"Ö","O"),"ö","O"),"Ç","C"),"ç","C"),".",""),",","")," ",""),"-","")))</f>
        <v/>
      </c>
      <c r="S76" s="3">
        <f>IF($D76="","",$C76&amp;"|"&amp;TEXT($E76,"0")&amp;"|"&amp;TEXT($F76,"0")&amp;"|"&amp;$I76)</f>
        <v/>
      </c>
      <c r="T76" s="3">
        <f>IF($E76="",0,SUMPRODUCT((AY_SONU!$O$7:$O$42="Evet")*(AY_SONU!$B$7:$B$42=DATE(YEAR($E76),MONTH($E76),1))))</f>
        <v/>
      </c>
    </row>
    <row r="77">
      <c r="A77" s="6" t="n"/>
      <c r="B77" s="113">
        <f>IF($D77="","","T"&amp;TEXT(ROW()-6,"00000"))</f>
        <v/>
      </c>
      <c r="C77" s="113">
        <f>IF($D77="","",IFERROR(INDEX(MUSTERILER!$B$7:$B$106,MATCH($R77,MUSTERILER!$T$7:$T$106,0)),IFERROR(INDEX(MUSTERILER!$B$7:$B$106,MATCH($D77,MUSTERILER!$B$7:$B$106,0)),IFERROR(INDEX(MUSTERILER!$B$7:$B$106,MATCH($R77&amp;"*",MUSTERILER!$T$7:$T$106,0)),"TANIMSIZ MÜŞTERİ"))))</f>
        <v/>
      </c>
      <c r="D77" s="109" t="inlineStr">
        <is>
          <t>PAKYILDIZ LTD.ŞTİ.</t>
        </is>
      </c>
      <c r="E77" s="220" t="n">
        <v>46053</v>
      </c>
      <c r="F77" s="221" t="n">
        <v>2000</v>
      </c>
      <c r="G77" s="108" t="inlineStr">
        <is>
          <t>MERKEZ KASA</t>
        </is>
      </c>
      <c r="H77" s="108" t="inlineStr">
        <is>
          <t>Nakit</t>
        </is>
      </c>
      <c r="I77" s="109" t="n"/>
      <c r="J77" s="109" t="inlineStr">
        <is>
          <t>NAKİT ÖDENEN</t>
        </is>
      </c>
      <c r="K77" s="109" t="n"/>
      <c r="L77" s="226">
        <f>IF($E77="","",DATE(YEAR($E77),MONTH($E77),1))</f>
        <v/>
      </c>
      <c r="M77" s="113">
        <f>IF($D77="","",IF($C77="TANIMSIZ MÜŞTERİ","HATA",IF(OR($E77="",$F77&lt;=0,$G77=""),"EKSİK",IF($E77&gt;TODAY(),"İLERİ TARİH",IF(COUNTIF($S$7:$S$1506,$S77)&gt;1,"MÜKERRER?",IF($T77&gt;0,"KAPALI DÖNEM","UYGUN"))))))</f>
        <v/>
      </c>
      <c r="N77" s="121">
        <f>IF($C77="","",IF($C77="TANIMSIZ MÜŞTERİ","—",INDEX(MUSTERILER!$C$7:$C$106,MATCH($C77,MUSTERILER!$B$7:$B$106,0))))</f>
        <v/>
      </c>
      <c r="O77" s="6" t="n"/>
      <c r="P77" s="6" t="n"/>
      <c r="Q77" s="3">
        <f>IF($D77="","",$C77&amp;"|"&amp;COUNTIFS($C$7:$C77,$C77))</f>
        <v/>
      </c>
      <c r="R77" s="3">
        <f>IF($D77="","",UPPER(SUBSTITUTE(SUBSTITUTE(SUBSTITUTE(SUBSTITUTE(SUBSTITUTE(SUBSTITUTE(SUBSTITUTE(SUBSTITUTE(SUBSTITUTE(SUBSTITUTE(SUBSTITUTE(SUBSTITUTE(SUBSTITUTE(SUBSTITUTE(SUBSTITUTE(SUBSTITUTE(SUBSTITUTE(SUBSTITUTE(TRIM($D77),"'",""),"İ","I"),"ı","I"),"i","I"),"Ş","S"),"ş","S"),"Ğ","G"),"ğ","G"),"Ü","U"),"ü","U"),"Ö","O"),"ö","O"),"Ç","C"),"ç","C"),".",""),",","")," ",""),"-","")))</f>
        <v/>
      </c>
      <c r="S77" s="3">
        <f>IF($D77="","",$C77&amp;"|"&amp;TEXT($E77,"0")&amp;"|"&amp;TEXT($F77,"0")&amp;"|"&amp;$I77)</f>
        <v/>
      </c>
      <c r="T77" s="3">
        <f>IF($E77="",0,SUMPRODUCT((AY_SONU!$O$7:$O$42="Evet")*(AY_SONU!$B$7:$B$42=DATE(YEAR($E77),MONTH($E77),1))))</f>
        <v/>
      </c>
    </row>
    <row r="78">
      <c r="A78" s="6" t="n"/>
      <c r="B78" s="113">
        <f>IF($D78="","","T"&amp;TEXT(ROW()-6,"00000"))</f>
        <v/>
      </c>
      <c r="C78" s="113">
        <f>IF($D78="","",IFERROR(INDEX(MUSTERILER!$B$7:$B$106,MATCH($R78,MUSTERILER!$T$7:$T$106,0)),IFERROR(INDEX(MUSTERILER!$B$7:$B$106,MATCH($D78,MUSTERILER!$B$7:$B$106,0)),IFERROR(INDEX(MUSTERILER!$B$7:$B$106,MATCH($R78&amp;"*",MUSTERILER!$T$7:$T$106,0)),"TANIMSIZ MÜŞTERİ"))))</f>
        <v/>
      </c>
      <c r="D78" s="109" t="inlineStr">
        <is>
          <t>RİX ŞOW LTD.ŞTİ.</t>
        </is>
      </c>
      <c r="E78" s="220" t="n">
        <v>46053</v>
      </c>
      <c r="F78" s="221" t="n">
        <v>1800</v>
      </c>
      <c r="G78" s="108" t="inlineStr">
        <is>
          <t>MERKEZ KASA</t>
        </is>
      </c>
      <c r="H78" s="108" t="inlineStr">
        <is>
          <t>Nakit</t>
        </is>
      </c>
      <c r="I78" s="109" t="n"/>
      <c r="J78" s="109" t="inlineStr">
        <is>
          <t>NAKİT ÖDENEN</t>
        </is>
      </c>
      <c r="K78" s="109" t="n"/>
      <c r="L78" s="226">
        <f>IF($E78="","",DATE(YEAR($E78),MONTH($E78),1))</f>
        <v/>
      </c>
      <c r="M78" s="113">
        <f>IF($D78="","",IF($C78="TANIMSIZ MÜŞTERİ","HATA",IF(OR($E78="",$F78&lt;=0,$G78=""),"EKSİK",IF($E78&gt;TODAY(),"İLERİ TARİH",IF(COUNTIF($S$7:$S$1506,$S78)&gt;1,"MÜKERRER?",IF($T78&gt;0,"KAPALI DÖNEM","UYGUN"))))))</f>
        <v/>
      </c>
      <c r="N78" s="121">
        <f>IF($C78="","",IF($C78="TANIMSIZ MÜŞTERİ","—",INDEX(MUSTERILER!$C$7:$C$106,MATCH($C78,MUSTERILER!$B$7:$B$106,0))))</f>
        <v/>
      </c>
      <c r="O78" s="6" t="n"/>
      <c r="P78" s="6" t="n"/>
      <c r="Q78" s="3">
        <f>IF($D78="","",$C78&amp;"|"&amp;COUNTIFS($C$7:$C78,$C78))</f>
        <v/>
      </c>
      <c r="R78" s="3">
        <f>IF($D78="","",UPPER(SUBSTITUTE(SUBSTITUTE(SUBSTITUTE(SUBSTITUTE(SUBSTITUTE(SUBSTITUTE(SUBSTITUTE(SUBSTITUTE(SUBSTITUTE(SUBSTITUTE(SUBSTITUTE(SUBSTITUTE(SUBSTITUTE(SUBSTITUTE(SUBSTITUTE(SUBSTITUTE(SUBSTITUTE(SUBSTITUTE(TRIM($D78),"'",""),"İ","I"),"ı","I"),"i","I"),"Ş","S"),"ş","S"),"Ğ","G"),"ğ","G"),"Ü","U"),"ü","U"),"Ö","O"),"ö","O"),"Ç","C"),"ç","C"),".",""),",","")," ",""),"-","")))</f>
        <v/>
      </c>
      <c r="S78" s="3">
        <f>IF($D78="","",$C78&amp;"|"&amp;TEXT($E78,"0")&amp;"|"&amp;TEXT($F78,"0")&amp;"|"&amp;$I78)</f>
        <v/>
      </c>
      <c r="T78" s="3">
        <f>IF($E78="",0,SUMPRODUCT((AY_SONU!$O$7:$O$42="Evet")*(AY_SONU!$B$7:$B$42=DATE(YEAR($E78),MONTH($E78),1))))</f>
        <v/>
      </c>
    </row>
    <row r="79">
      <c r="A79" s="6" t="n"/>
      <c r="B79" s="113">
        <f>IF($D79="","","T"&amp;TEXT(ROW()-6,"00000"))</f>
        <v/>
      </c>
      <c r="C79" s="113">
        <f>IF($D79="","",IFERROR(INDEX(MUSTERILER!$B$7:$B$106,MATCH($R79,MUSTERILER!$T$7:$T$106,0)),IFERROR(INDEX(MUSTERILER!$B$7:$B$106,MATCH($D79,MUSTERILER!$B$7:$B$106,0)),IFERROR(INDEX(MUSTERILER!$B$7:$B$106,MATCH($R79&amp;"*",MUSTERILER!$T$7:$T$106,0)),"TANIMSIZ MÜŞTERİ"))))</f>
        <v/>
      </c>
      <c r="D79" s="109" t="inlineStr">
        <is>
          <t>VOLKAN AÇIK</t>
        </is>
      </c>
      <c r="E79" s="220" t="n">
        <v>46053</v>
      </c>
      <c r="F79" s="221" t="n">
        <v>1000</v>
      </c>
      <c r="G79" s="108" t="inlineStr">
        <is>
          <t>ÖMER KARTAL</t>
        </is>
      </c>
      <c r="H79" s="108" t="inlineStr">
        <is>
          <t>Nakit</t>
        </is>
      </c>
      <c r="I79" s="109" t="n"/>
      <c r="J79" s="109" t="inlineStr">
        <is>
          <t>NAKİT ÖDENEN M.ALİ KARTAL</t>
        </is>
      </c>
      <c r="K79" s="109" t="n"/>
      <c r="L79" s="226">
        <f>IF($E79="","",DATE(YEAR($E79),MONTH($E79),1))</f>
        <v/>
      </c>
      <c r="M79" s="113">
        <f>IF($D79="","",IF($C79="TANIMSIZ MÜŞTERİ","HATA",IF(OR($E79="",$F79&lt;=0,$G79=""),"EKSİK",IF($E79&gt;TODAY(),"İLERİ TARİH",IF(COUNTIF($S$7:$S$1506,$S79)&gt;1,"MÜKERRER?",IF($T79&gt;0,"KAPALI DÖNEM","UYGUN"))))))</f>
        <v/>
      </c>
      <c r="N79" s="121">
        <f>IF($C79="","",IF($C79="TANIMSIZ MÜŞTERİ","—",INDEX(MUSTERILER!$C$7:$C$106,MATCH($C79,MUSTERILER!$B$7:$B$106,0))))</f>
        <v/>
      </c>
      <c r="O79" s="6" t="n"/>
      <c r="P79" s="6" t="n"/>
      <c r="Q79" s="3">
        <f>IF($D79="","",$C79&amp;"|"&amp;COUNTIFS($C$7:$C79,$C79))</f>
        <v/>
      </c>
      <c r="R79" s="3">
        <f>IF($D79="","",UPPER(SUBSTITUTE(SUBSTITUTE(SUBSTITUTE(SUBSTITUTE(SUBSTITUTE(SUBSTITUTE(SUBSTITUTE(SUBSTITUTE(SUBSTITUTE(SUBSTITUTE(SUBSTITUTE(SUBSTITUTE(SUBSTITUTE(SUBSTITUTE(SUBSTITUTE(SUBSTITUTE(SUBSTITUTE(SUBSTITUTE(TRIM($D79),"'",""),"İ","I"),"ı","I"),"i","I"),"Ş","S"),"ş","S"),"Ğ","G"),"ğ","G"),"Ü","U"),"ü","U"),"Ö","O"),"ö","O"),"Ç","C"),"ç","C"),".",""),",","")," ",""),"-","")))</f>
        <v/>
      </c>
      <c r="S79" s="3">
        <f>IF($D79="","",$C79&amp;"|"&amp;TEXT($E79,"0")&amp;"|"&amp;TEXT($F79,"0")&amp;"|"&amp;$I79)</f>
        <v/>
      </c>
      <c r="T79" s="3">
        <f>IF($E79="",0,SUMPRODUCT((AY_SONU!$O$7:$O$42="Evet")*(AY_SONU!$B$7:$B$42=DATE(YEAR($E79),MONTH($E79),1))))</f>
        <v/>
      </c>
    </row>
    <row r="80">
      <c r="A80" s="6" t="n"/>
      <c r="B80" s="113">
        <f>IF($D80="","","T"&amp;TEXT(ROW()-6,"00000"))</f>
        <v/>
      </c>
      <c r="C80" s="113">
        <f>IF($D80="","",IFERROR(INDEX(MUSTERILER!$B$7:$B$106,MATCH($R80,MUSTERILER!$T$7:$T$106,0)),IFERROR(INDEX(MUSTERILER!$B$7:$B$106,MATCH($D80,MUSTERILER!$B$7:$B$106,0)),IFERROR(INDEX(MUSTERILER!$B$7:$B$106,MATCH($R80&amp;"*",MUSTERILER!$T$7:$T$106,0)),"TANIMSIZ MÜŞTERİ"))))</f>
        <v/>
      </c>
      <c r="D80" s="109" t="inlineStr">
        <is>
          <t>ZÜMRÜT EĞLENCE LTD.ŞTİ.</t>
        </is>
      </c>
      <c r="E80" s="220" t="n">
        <v>46053</v>
      </c>
      <c r="F80" s="221" t="n">
        <v>3000</v>
      </c>
      <c r="G80" s="108" t="inlineStr">
        <is>
          <t>MERKEZ KASA</t>
        </is>
      </c>
      <c r="H80" s="108" t="inlineStr">
        <is>
          <t>Nakit</t>
        </is>
      </c>
      <c r="I80" s="109" t="n"/>
      <c r="J80" s="109" t="inlineStr">
        <is>
          <t>NAKİT ÖDENEN</t>
        </is>
      </c>
      <c r="K80" s="109" t="n"/>
      <c r="L80" s="226">
        <f>IF($E80="","",DATE(YEAR($E80),MONTH($E80),1))</f>
        <v/>
      </c>
      <c r="M80" s="113">
        <f>IF($D80="","",IF($C80="TANIMSIZ MÜŞTERİ","HATA",IF(OR($E80="",$F80&lt;=0,$G80=""),"EKSİK",IF($E80&gt;TODAY(),"İLERİ TARİH",IF(COUNTIF($S$7:$S$1506,$S80)&gt;1,"MÜKERRER?",IF($T80&gt;0,"KAPALI DÖNEM","UYGUN"))))))</f>
        <v/>
      </c>
      <c r="N80" s="121">
        <f>IF($C80="","",IF($C80="TANIMSIZ MÜŞTERİ","—",INDEX(MUSTERILER!$C$7:$C$106,MATCH($C80,MUSTERILER!$B$7:$B$106,0))))</f>
        <v/>
      </c>
      <c r="O80" s="6" t="n"/>
      <c r="P80" s="6" t="n"/>
      <c r="Q80" s="3">
        <f>IF($D80="","",$C80&amp;"|"&amp;COUNTIFS($C$7:$C80,$C80))</f>
        <v/>
      </c>
      <c r="R80" s="3">
        <f>IF($D80="","",UPPER(SUBSTITUTE(SUBSTITUTE(SUBSTITUTE(SUBSTITUTE(SUBSTITUTE(SUBSTITUTE(SUBSTITUTE(SUBSTITUTE(SUBSTITUTE(SUBSTITUTE(SUBSTITUTE(SUBSTITUTE(SUBSTITUTE(SUBSTITUTE(SUBSTITUTE(SUBSTITUTE(SUBSTITUTE(SUBSTITUTE(TRIM($D80),"'",""),"İ","I"),"ı","I"),"i","I"),"Ş","S"),"ş","S"),"Ğ","G"),"ğ","G"),"Ü","U"),"ü","U"),"Ö","O"),"ö","O"),"Ç","C"),"ç","C"),".",""),",","")," ",""),"-","")))</f>
        <v/>
      </c>
      <c r="S80" s="3">
        <f>IF($D80="","",$C80&amp;"|"&amp;TEXT($E80,"0")&amp;"|"&amp;TEXT($F80,"0")&amp;"|"&amp;$I80)</f>
        <v/>
      </c>
      <c r="T80" s="3">
        <f>IF($E80="",0,SUMPRODUCT((AY_SONU!$O$7:$O$42="Evet")*(AY_SONU!$B$7:$B$42=DATE(YEAR($E80),MONTH($E80),1))))</f>
        <v/>
      </c>
    </row>
    <row r="81">
      <c r="A81" s="6" t="n"/>
      <c r="B81" s="113">
        <f>IF($D81="","","T"&amp;TEXT(ROW()-6,"00000"))</f>
        <v/>
      </c>
      <c r="C81" s="113">
        <f>IF($D81="","",IFERROR(INDEX(MUSTERILER!$B$7:$B$106,MATCH($R81,MUSTERILER!$T$7:$T$106,0)),IFERROR(INDEX(MUSTERILER!$B$7:$B$106,MATCH($D81,MUSTERILER!$B$7:$B$106,0)),IFERROR(INDEX(MUSTERILER!$B$7:$B$106,MATCH($R81&amp;"*",MUSTERILER!$T$7:$T$106,0)),"TANIMSIZ MÜŞTERİ"))))</f>
        <v/>
      </c>
      <c r="D81" s="109" t="inlineStr">
        <is>
          <t>ZÜMRÜT GRUP LTD.ŞTİ.</t>
        </is>
      </c>
      <c r="E81" s="220" t="n">
        <v>46053</v>
      </c>
      <c r="F81" s="221" t="n">
        <v>2000</v>
      </c>
      <c r="G81" s="108" t="inlineStr">
        <is>
          <t>MERKEZ KASA</t>
        </is>
      </c>
      <c r="H81" s="108" t="inlineStr">
        <is>
          <t>Nakit</t>
        </is>
      </c>
      <c r="I81" s="109" t="n"/>
      <c r="J81" s="109" t="inlineStr">
        <is>
          <t>NAKİT ÖDENEN</t>
        </is>
      </c>
      <c r="K81" s="109" t="n"/>
      <c r="L81" s="226">
        <f>IF($E81="","",DATE(YEAR($E81),MONTH($E81),1))</f>
        <v/>
      </c>
      <c r="M81" s="113">
        <f>IF($D81="","",IF($C81="TANIMSIZ MÜŞTERİ","HATA",IF(OR($E81="",$F81&lt;=0,$G81=""),"EKSİK",IF($E81&gt;TODAY(),"İLERİ TARİH",IF(COUNTIF($S$7:$S$1506,$S81)&gt;1,"MÜKERRER?",IF($T81&gt;0,"KAPALI DÖNEM","UYGUN"))))))</f>
        <v/>
      </c>
      <c r="N81" s="121">
        <f>IF($C81="","",IF($C81="TANIMSIZ MÜŞTERİ","—",INDEX(MUSTERILER!$C$7:$C$106,MATCH($C81,MUSTERILER!$B$7:$B$106,0))))</f>
        <v/>
      </c>
      <c r="O81" s="6" t="n"/>
      <c r="P81" s="6" t="n"/>
      <c r="Q81" s="3">
        <f>IF($D81="","",$C81&amp;"|"&amp;COUNTIFS($C$7:$C81,$C81))</f>
        <v/>
      </c>
      <c r="R81" s="3">
        <f>IF($D81="","",UPPER(SUBSTITUTE(SUBSTITUTE(SUBSTITUTE(SUBSTITUTE(SUBSTITUTE(SUBSTITUTE(SUBSTITUTE(SUBSTITUTE(SUBSTITUTE(SUBSTITUTE(SUBSTITUTE(SUBSTITUTE(SUBSTITUTE(SUBSTITUTE(SUBSTITUTE(SUBSTITUTE(SUBSTITUTE(SUBSTITUTE(TRIM($D81),"'",""),"İ","I"),"ı","I"),"i","I"),"Ş","S"),"ş","S"),"Ğ","G"),"ğ","G"),"Ü","U"),"ü","U"),"Ö","O"),"ö","O"),"Ç","C"),"ç","C"),".",""),",","")," ",""),"-","")))</f>
        <v/>
      </c>
      <c r="S81" s="3">
        <f>IF($D81="","",$C81&amp;"|"&amp;TEXT($E81,"0")&amp;"|"&amp;TEXT($F81,"0")&amp;"|"&amp;$I81)</f>
        <v/>
      </c>
      <c r="T81" s="3">
        <f>IF($E81="",0,SUMPRODUCT((AY_SONU!$O$7:$O$42="Evet")*(AY_SONU!$B$7:$B$42=DATE(YEAR($E81),MONTH($E81),1))))</f>
        <v/>
      </c>
    </row>
    <row r="82">
      <c r="A82" s="6" t="n"/>
      <c r="B82" s="113">
        <f>IF($D82="","","T"&amp;TEXT(ROW()-6,"00000"))</f>
        <v/>
      </c>
      <c r="C82" s="113">
        <f>IF($D82="","",IFERROR(INDEX(MUSTERILER!$B$7:$B$106,MATCH($R82,MUSTERILER!$T$7:$T$106,0)),IFERROR(INDEX(MUSTERILER!$B$7:$B$106,MATCH($D82,MUSTERILER!$B$7:$B$106,0)),IFERROR(INDEX(MUSTERILER!$B$7:$B$106,MATCH($R82&amp;"*",MUSTERILER!$T$7:$T$106,0)),"TANIMSIZ MÜŞTERİ"))))</f>
        <v/>
      </c>
      <c r="D82" s="109" t="inlineStr">
        <is>
          <t>KRİSTAL LTD.ŞTİ.</t>
        </is>
      </c>
      <c r="E82" s="220" t="n">
        <v>46053</v>
      </c>
      <c r="F82" s="221" t="n">
        <v>3000</v>
      </c>
      <c r="G82" s="108" t="inlineStr">
        <is>
          <t>MERKEZ KASA</t>
        </is>
      </c>
      <c r="H82" s="108" t="inlineStr">
        <is>
          <t>Nakit</t>
        </is>
      </c>
      <c r="I82" s="109" t="n"/>
      <c r="J82" s="109" t="inlineStr">
        <is>
          <t>NAKİT ÖDENEN</t>
        </is>
      </c>
      <c r="K82" s="109" t="n"/>
      <c r="L82" s="226">
        <f>IF($E82="","",DATE(YEAR($E82),MONTH($E82),1))</f>
        <v/>
      </c>
      <c r="M82" s="113">
        <f>IF($D82="","",IF($C82="TANIMSIZ MÜŞTERİ","HATA",IF(OR($E82="",$F82&lt;=0,$G82=""),"EKSİK",IF($E82&gt;TODAY(),"İLERİ TARİH",IF(COUNTIF($S$7:$S$1506,$S82)&gt;1,"MÜKERRER?",IF($T82&gt;0,"KAPALI DÖNEM","UYGUN"))))))</f>
        <v/>
      </c>
      <c r="N82" s="121">
        <f>IF($C82="","",IF($C82="TANIMSIZ MÜŞTERİ","—",INDEX(MUSTERILER!$C$7:$C$106,MATCH($C82,MUSTERILER!$B$7:$B$106,0))))</f>
        <v/>
      </c>
      <c r="O82" s="6" t="n"/>
      <c r="P82" s="6" t="n"/>
      <c r="Q82" s="3">
        <f>IF($D82="","",$C82&amp;"|"&amp;COUNTIFS($C$7:$C82,$C82))</f>
        <v/>
      </c>
      <c r="R82" s="3">
        <f>IF($D82="","",UPPER(SUBSTITUTE(SUBSTITUTE(SUBSTITUTE(SUBSTITUTE(SUBSTITUTE(SUBSTITUTE(SUBSTITUTE(SUBSTITUTE(SUBSTITUTE(SUBSTITUTE(SUBSTITUTE(SUBSTITUTE(SUBSTITUTE(SUBSTITUTE(SUBSTITUTE(SUBSTITUTE(SUBSTITUTE(SUBSTITUTE(TRIM($D82),"'",""),"İ","I"),"ı","I"),"i","I"),"Ş","S"),"ş","S"),"Ğ","G"),"ğ","G"),"Ü","U"),"ü","U"),"Ö","O"),"ö","O"),"Ç","C"),"ç","C"),".",""),",","")," ",""),"-","")))</f>
        <v/>
      </c>
      <c r="S82" s="3">
        <f>IF($D82="","",$C82&amp;"|"&amp;TEXT($E82,"0")&amp;"|"&amp;TEXT($F82,"0")&amp;"|"&amp;$I82)</f>
        <v/>
      </c>
      <c r="T82" s="3">
        <f>IF($E82="",0,SUMPRODUCT((AY_SONU!$O$7:$O$42="Evet")*(AY_SONU!$B$7:$B$42=DATE(YEAR($E82),MONTH($E82),1))))</f>
        <v/>
      </c>
    </row>
    <row r="83">
      <c r="A83" s="6" t="n"/>
      <c r="B83" s="113">
        <f>IF($D83="","","T"&amp;TEXT(ROW()-6,"00000"))</f>
        <v/>
      </c>
      <c r="C83" s="113">
        <f>IF($D83="","",IFERROR(INDEX(MUSTERILER!$B$7:$B$106,MATCH($R83,MUSTERILER!$T$7:$T$106,0)),IFERROR(INDEX(MUSTERILER!$B$7:$B$106,MATCH($D83,MUSTERILER!$B$7:$B$106,0)),IFERROR(INDEX(MUSTERILER!$B$7:$B$106,MATCH($R83&amp;"*",MUSTERILER!$T$7:$T$106,0)),"TANIMSIZ MÜŞTERİ"))))</f>
        <v/>
      </c>
      <c r="D83" s="109" t="inlineStr">
        <is>
          <t>YEDİYİRMİDÖRT LTD.ŞTİ.</t>
        </is>
      </c>
      <c r="E83" s="220" t="n">
        <v>46054</v>
      </c>
      <c r="F83" s="221" t="n">
        <v>10000</v>
      </c>
      <c r="G83" s="108" t="inlineStr">
        <is>
          <t>ÖMER KARTAL</t>
        </is>
      </c>
      <c r="H83" s="108" t="inlineStr">
        <is>
          <t>Nakit</t>
        </is>
      </c>
      <c r="I83" s="109" t="n"/>
      <c r="J83" s="109" t="inlineStr">
        <is>
          <t>NAKİT ÖDENEN</t>
        </is>
      </c>
      <c r="K83" s="109" t="n"/>
      <c r="L83" s="226">
        <f>IF($E83="","",DATE(YEAR($E83),MONTH($E83),1))</f>
        <v/>
      </c>
      <c r="M83" s="113">
        <f>IF($D83="","",IF($C83="TANIMSIZ MÜŞTERİ","HATA",IF(OR($E83="",$F83&lt;=0,$G83=""),"EKSİK",IF($E83&gt;TODAY(),"İLERİ TARİH",IF(COUNTIF($S$7:$S$1506,$S83)&gt;1,"MÜKERRER?",IF($T83&gt;0,"KAPALI DÖNEM","UYGUN"))))))</f>
        <v/>
      </c>
      <c r="N83" s="121">
        <f>IF($C83="","",IF($C83="TANIMSIZ MÜŞTERİ","—",INDEX(MUSTERILER!$C$7:$C$106,MATCH($C83,MUSTERILER!$B$7:$B$106,0))))</f>
        <v/>
      </c>
      <c r="O83" s="6" t="n"/>
      <c r="P83" s="6" t="n"/>
      <c r="Q83" s="3">
        <f>IF($D83="","",$C83&amp;"|"&amp;COUNTIFS($C$7:$C83,$C83))</f>
        <v/>
      </c>
      <c r="R83" s="3">
        <f>IF($D83="","",UPPER(SUBSTITUTE(SUBSTITUTE(SUBSTITUTE(SUBSTITUTE(SUBSTITUTE(SUBSTITUTE(SUBSTITUTE(SUBSTITUTE(SUBSTITUTE(SUBSTITUTE(SUBSTITUTE(SUBSTITUTE(SUBSTITUTE(SUBSTITUTE(SUBSTITUTE(SUBSTITUTE(SUBSTITUTE(SUBSTITUTE(TRIM($D83),"'",""),"İ","I"),"ı","I"),"i","I"),"Ş","S"),"ş","S"),"Ğ","G"),"ğ","G"),"Ü","U"),"ü","U"),"Ö","O"),"ö","O"),"Ç","C"),"ç","C"),".",""),",","")," ",""),"-","")))</f>
        <v/>
      </c>
      <c r="S83" s="3">
        <f>IF($D83="","",$C83&amp;"|"&amp;TEXT($E83,"0")&amp;"|"&amp;TEXT($F83,"0")&amp;"|"&amp;$I83)</f>
        <v/>
      </c>
      <c r="T83" s="3">
        <f>IF($E83="",0,SUMPRODUCT((AY_SONU!$O$7:$O$42="Evet")*(AY_SONU!$B$7:$B$42=DATE(YEAR($E83),MONTH($E83),1))))</f>
        <v/>
      </c>
    </row>
    <row r="84">
      <c r="A84" s="6" t="n"/>
      <c r="B84" s="113">
        <f>IF($D84="","","T"&amp;TEXT(ROW()-6,"00000"))</f>
        <v/>
      </c>
      <c r="C84" s="113">
        <f>IF($D84="","",IFERROR(INDEX(MUSTERILER!$B$7:$B$106,MATCH($R84,MUSTERILER!$T$7:$T$106,0)),IFERROR(INDEX(MUSTERILER!$B$7:$B$106,MATCH($D84,MUSTERILER!$B$7:$B$106,0)),IFERROR(INDEX(MUSTERILER!$B$7:$B$106,MATCH($R84&amp;"*",MUSTERILER!$T$7:$T$106,0)),"TANIMSIZ MÜŞTERİ"))))</f>
        <v/>
      </c>
      <c r="D84" s="109" t="inlineStr">
        <is>
          <t>Ankara Havana Ltd.Şti.</t>
        </is>
      </c>
      <c r="E84" s="220" t="n">
        <v>46060</v>
      </c>
      <c r="F84" s="221" t="n">
        <v>4000</v>
      </c>
      <c r="G84" s="108" t="inlineStr">
        <is>
          <t>MERKEZ KASA</t>
        </is>
      </c>
      <c r="H84" s="108" t="inlineStr">
        <is>
          <t>Nakit</t>
        </is>
      </c>
      <c r="I84" s="109" t="n"/>
      <c r="J84" s="109" t="inlineStr">
        <is>
          <t>NAKİT ÖDENEN</t>
        </is>
      </c>
      <c r="K84" s="109" t="n"/>
      <c r="L84" s="226">
        <f>IF($E84="","",DATE(YEAR($E84),MONTH($E84),1))</f>
        <v/>
      </c>
      <c r="M84" s="113">
        <f>IF($D84="","",IF($C84="TANIMSIZ MÜŞTERİ","HATA",IF(OR($E84="",$F84&lt;=0,$G84=""),"EKSİK",IF($E84&gt;TODAY(),"İLERİ TARİH",IF(COUNTIF($S$7:$S$1506,$S84)&gt;1,"MÜKERRER?",IF($T84&gt;0,"KAPALI DÖNEM","UYGUN"))))))</f>
        <v/>
      </c>
      <c r="N84" s="121">
        <f>IF($C84="","",IF($C84="TANIMSIZ MÜŞTERİ","—",INDEX(MUSTERILER!$C$7:$C$106,MATCH($C84,MUSTERILER!$B$7:$B$106,0))))</f>
        <v/>
      </c>
      <c r="O84" s="6" t="n"/>
      <c r="P84" s="6" t="n"/>
      <c r="Q84" s="3">
        <f>IF($D84="","",$C84&amp;"|"&amp;COUNTIFS($C$7:$C84,$C84))</f>
        <v/>
      </c>
      <c r="R84" s="3">
        <f>IF($D84="","",UPPER(SUBSTITUTE(SUBSTITUTE(SUBSTITUTE(SUBSTITUTE(SUBSTITUTE(SUBSTITUTE(SUBSTITUTE(SUBSTITUTE(SUBSTITUTE(SUBSTITUTE(SUBSTITUTE(SUBSTITUTE(SUBSTITUTE(SUBSTITUTE(SUBSTITUTE(SUBSTITUTE(SUBSTITUTE(SUBSTITUTE(TRIM($D84),"'",""),"İ","I"),"ı","I"),"i","I"),"Ş","S"),"ş","S"),"Ğ","G"),"ğ","G"),"Ü","U"),"ü","U"),"Ö","O"),"ö","O"),"Ç","C"),"ç","C"),".",""),",","")," ",""),"-","")))</f>
        <v/>
      </c>
      <c r="S84" s="3">
        <f>IF($D84="","",$C84&amp;"|"&amp;TEXT($E84,"0")&amp;"|"&amp;TEXT($F84,"0")&amp;"|"&amp;$I84)</f>
        <v/>
      </c>
      <c r="T84" s="3">
        <f>IF($E84="",0,SUMPRODUCT((AY_SONU!$O$7:$O$42="Evet")*(AY_SONU!$B$7:$B$42=DATE(YEAR($E84),MONTH($E84),1))))</f>
        <v/>
      </c>
    </row>
    <row r="85">
      <c r="A85" s="6" t="n"/>
      <c r="B85" s="113">
        <f>IF($D85="","","T"&amp;TEXT(ROW()-6,"00000"))</f>
        <v/>
      </c>
      <c r="C85" s="113">
        <f>IF($D85="","",IFERROR(INDEX(MUSTERILER!$B$7:$B$106,MATCH($R85,MUSTERILER!$T$7:$T$106,0)),IFERROR(INDEX(MUSTERILER!$B$7:$B$106,MATCH($D85,MUSTERILER!$B$7:$B$106,0)),IFERROR(INDEX(MUSTERILER!$B$7:$B$106,MATCH($R85&amp;"*",MUSTERILER!$T$7:$T$106,0)),"TANIMSIZ MÜŞTERİ"))))</f>
        <v/>
      </c>
      <c r="D85" s="109" t="inlineStr">
        <is>
          <t>ASIM AÇIKGÖZ</t>
        </is>
      </c>
      <c r="E85" s="220" t="n">
        <v>46060</v>
      </c>
      <c r="F85" s="221" t="n">
        <v>2000</v>
      </c>
      <c r="G85" s="108" t="inlineStr">
        <is>
          <t>MERKEZ KASA</t>
        </is>
      </c>
      <c r="H85" s="108" t="inlineStr">
        <is>
          <t>Nakit</t>
        </is>
      </c>
      <c r="I85" s="109" t="n"/>
      <c r="J85" s="109" t="inlineStr">
        <is>
          <t>NAKİT ÖDENEN</t>
        </is>
      </c>
      <c r="K85" s="109" t="n"/>
      <c r="L85" s="226">
        <f>IF($E85="","",DATE(YEAR($E85),MONTH($E85),1))</f>
        <v/>
      </c>
      <c r="M85" s="113">
        <f>IF($D85="","",IF($C85="TANIMSIZ MÜŞTERİ","HATA",IF(OR($E85="",$F85&lt;=0,$G85=""),"EKSİK",IF($E85&gt;TODAY(),"İLERİ TARİH",IF(COUNTIF($S$7:$S$1506,$S85)&gt;1,"MÜKERRER?",IF($T85&gt;0,"KAPALI DÖNEM","UYGUN"))))))</f>
        <v/>
      </c>
      <c r="N85" s="121">
        <f>IF($C85="","",IF($C85="TANIMSIZ MÜŞTERİ","—",INDEX(MUSTERILER!$C$7:$C$106,MATCH($C85,MUSTERILER!$B$7:$B$106,0))))</f>
        <v/>
      </c>
      <c r="O85" s="6" t="n"/>
      <c r="P85" s="6" t="n"/>
      <c r="Q85" s="3">
        <f>IF($D85="","",$C85&amp;"|"&amp;COUNTIFS($C$7:$C85,$C85))</f>
        <v/>
      </c>
      <c r="R85" s="3">
        <f>IF($D85="","",UPPER(SUBSTITUTE(SUBSTITUTE(SUBSTITUTE(SUBSTITUTE(SUBSTITUTE(SUBSTITUTE(SUBSTITUTE(SUBSTITUTE(SUBSTITUTE(SUBSTITUTE(SUBSTITUTE(SUBSTITUTE(SUBSTITUTE(SUBSTITUTE(SUBSTITUTE(SUBSTITUTE(SUBSTITUTE(SUBSTITUTE(TRIM($D85),"'",""),"İ","I"),"ı","I"),"i","I"),"Ş","S"),"ş","S"),"Ğ","G"),"ğ","G"),"Ü","U"),"ü","U"),"Ö","O"),"ö","O"),"Ç","C"),"ç","C"),".",""),",","")," ",""),"-","")))</f>
        <v/>
      </c>
      <c r="S85" s="3">
        <f>IF($D85="","",$C85&amp;"|"&amp;TEXT($E85,"0")&amp;"|"&amp;TEXT($F85,"0")&amp;"|"&amp;$I85)</f>
        <v/>
      </c>
      <c r="T85" s="3">
        <f>IF($E85="",0,SUMPRODUCT((AY_SONU!$O$7:$O$42="Evet")*(AY_SONU!$B$7:$B$42=DATE(YEAR($E85),MONTH($E85),1))))</f>
        <v/>
      </c>
    </row>
    <row r="86">
      <c r="A86" s="6" t="n"/>
      <c r="B86" s="113">
        <f>IF($D86="","","T"&amp;TEXT(ROW()-6,"00000"))</f>
        <v/>
      </c>
      <c r="C86" s="113">
        <f>IF($D86="","",IFERROR(INDEX(MUSTERILER!$B$7:$B$106,MATCH($R86,MUSTERILER!$T$7:$T$106,0)),IFERROR(INDEX(MUSTERILER!$B$7:$B$106,MATCH($D86,MUSTERILER!$B$7:$B$106,0)),IFERROR(INDEX(MUSTERILER!$B$7:$B$106,MATCH($R86&amp;"*",MUSTERILER!$T$7:$T$106,0)),"TANIMSIZ MÜŞTERİ"))))</f>
        <v/>
      </c>
      <c r="D86" s="109" t="inlineStr">
        <is>
          <t>ASM EĞLENCE LTD.ŞTİ.</t>
        </is>
      </c>
      <c r="E86" s="220" t="n">
        <v>46060</v>
      </c>
      <c r="F86" s="221" t="n">
        <v>2500</v>
      </c>
      <c r="G86" s="108" t="inlineStr">
        <is>
          <t>MERKEZ KASA</t>
        </is>
      </c>
      <c r="H86" s="108" t="inlineStr">
        <is>
          <t>Nakit</t>
        </is>
      </c>
      <c r="I86" s="109" t="n"/>
      <c r="J86" s="109" t="inlineStr">
        <is>
          <t>NAKİT ÖDENEN</t>
        </is>
      </c>
      <c r="K86" s="109" t="n"/>
      <c r="L86" s="226">
        <f>IF($E86="","",DATE(YEAR($E86),MONTH($E86),1))</f>
        <v/>
      </c>
      <c r="M86" s="113">
        <f>IF($D86="","",IF($C86="TANIMSIZ MÜŞTERİ","HATA",IF(OR($E86="",$F86&lt;=0,$G86=""),"EKSİK",IF($E86&gt;TODAY(),"İLERİ TARİH",IF(COUNTIF($S$7:$S$1506,$S86)&gt;1,"MÜKERRER?",IF($T86&gt;0,"KAPALI DÖNEM","UYGUN"))))))</f>
        <v/>
      </c>
      <c r="N86" s="121">
        <f>IF($C86="","",IF($C86="TANIMSIZ MÜŞTERİ","—",INDEX(MUSTERILER!$C$7:$C$106,MATCH($C86,MUSTERILER!$B$7:$B$106,0))))</f>
        <v/>
      </c>
      <c r="O86" s="6" t="n"/>
      <c r="P86" s="6" t="n"/>
      <c r="Q86" s="3">
        <f>IF($D86="","",$C86&amp;"|"&amp;COUNTIFS($C$7:$C86,$C86))</f>
        <v/>
      </c>
      <c r="R86" s="3">
        <f>IF($D86="","",UPPER(SUBSTITUTE(SUBSTITUTE(SUBSTITUTE(SUBSTITUTE(SUBSTITUTE(SUBSTITUTE(SUBSTITUTE(SUBSTITUTE(SUBSTITUTE(SUBSTITUTE(SUBSTITUTE(SUBSTITUTE(SUBSTITUTE(SUBSTITUTE(SUBSTITUTE(SUBSTITUTE(SUBSTITUTE(SUBSTITUTE(TRIM($D86),"'",""),"İ","I"),"ı","I"),"i","I"),"Ş","S"),"ş","S"),"Ğ","G"),"ğ","G"),"Ü","U"),"ü","U"),"Ö","O"),"ö","O"),"Ç","C"),"ç","C"),".",""),",","")," ",""),"-","")))</f>
        <v/>
      </c>
      <c r="S86" s="3">
        <f>IF($D86="","",$C86&amp;"|"&amp;TEXT($E86,"0")&amp;"|"&amp;TEXT($F86,"0")&amp;"|"&amp;$I86)</f>
        <v/>
      </c>
      <c r="T86" s="3">
        <f>IF($E86="",0,SUMPRODUCT((AY_SONU!$O$7:$O$42="Evet")*(AY_SONU!$B$7:$B$42=DATE(YEAR($E86),MONTH($E86),1))))</f>
        <v/>
      </c>
    </row>
    <row r="87">
      <c r="A87" s="6" t="n"/>
      <c r="B87" s="113">
        <f>IF($D87="","","T"&amp;TEXT(ROW()-6,"00000"))</f>
        <v/>
      </c>
      <c r="C87" s="113">
        <f>IF($D87="","",IFERROR(INDEX(MUSTERILER!$B$7:$B$106,MATCH($R87,MUSTERILER!$T$7:$T$106,0)),IFERROR(INDEX(MUSTERILER!$B$7:$B$106,MATCH($D87,MUSTERILER!$B$7:$B$106,0)),IFERROR(INDEX(MUSTERILER!$B$7:$B$106,MATCH($R87&amp;"*",MUSTERILER!$T$7:$T$106,0)),"TANIMSIZ MÜŞTERİ"))))</f>
        <v/>
      </c>
      <c r="D87" s="109" t="inlineStr">
        <is>
          <t>Çayıralan Ltd.Şti.</t>
        </is>
      </c>
      <c r="E87" s="220" t="n">
        <v>46060</v>
      </c>
      <c r="F87" s="221" t="n">
        <v>3000</v>
      </c>
      <c r="G87" s="108" t="inlineStr">
        <is>
          <t>MERKEZ KASA</t>
        </is>
      </c>
      <c r="H87" s="108" t="inlineStr">
        <is>
          <t>Nakit</t>
        </is>
      </c>
      <c r="I87" s="109" t="n"/>
      <c r="J87" s="109" t="inlineStr">
        <is>
          <t>NAKİT ÖDENEN</t>
        </is>
      </c>
      <c r="K87" s="109" t="n"/>
      <c r="L87" s="226">
        <f>IF($E87="","",DATE(YEAR($E87),MONTH($E87),1))</f>
        <v/>
      </c>
      <c r="M87" s="113">
        <f>IF($D87="","",IF($C87="TANIMSIZ MÜŞTERİ","HATA",IF(OR($E87="",$F87&lt;=0,$G87=""),"EKSİK",IF($E87&gt;TODAY(),"İLERİ TARİH",IF(COUNTIF($S$7:$S$1506,$S87)&gt;1,"MÜKERRER?",IF($T87&gt;0,"KAPALI DÖNEM","UYGUN"))))))</f>
        <v/>
      </c>
      <c r="N87" s="121">
        <f>IF($C87="","",IF($C87="TANIMSIZ MÜŞTERİ","—",INDEX(MUSTERILER!$C$7:$C$106,MATCH($C87,MUSTERILER!$B$7:$B$106,0))))</f>
        <v/>
      </c>
      <c r="O87" s="6" t="n"/>
      <c r="P87" s="6" t="n"/>
      <c r="Q87" s="3">
        <f>IF($D87="","",$C87&amp;"|"&amp;COUNTIFS($C$7:$C87,$C87))</f>
        <v/>
      </c>
      <c r="R87" s="3">
        <f>IF($D87="","",UPPER(SUBSTITUTE(SUBSTITUTE(SUBSTITUTE(SUBSTITUTE(SUBSTITUTE(SUBSTITUTE(SUBSTITUTE(SUBSTITUTE(SUBSTITUTE(SUBSTITUTE(SUBSTITUTE(SUBSTITUTE(SUBSTITUTE(SUBSTITUTE(SUBSTITUTE(SUBSTITUTE(SUBSTITUTE(SUBSTITUTE(TRIM($D87),"'",""),"İ","I"),"ı","I"),"i","I"),"Ş","S"),"ş","S"),"Ğ","G"),"ğ","G"),"Ü","U"),"ü","U"),"Ö","O"),"ö","O"),"Ç","C"),"ç","C"),".",""),",","")," ",""),"-","")))</f>
        <v/>
      </c>
      <c r="S87" s="3">
        <f>IF($D87="","",$C87&amp;"|"&amp;TEXT($E87,"0")&amp;"|"&amp;TEXT($F87,"0")&amp;"|"&amp;$I87)</f>
        <v/>
      </c>
      <c r="T87" s="3">
        <f>IF($E87="",0,SUMPRODUCT((AY_SONU!$O$7:$O$42="Evet")*(AY_SONU!$B$7:$B$42=DATE(YEAR($E87),MONTH($E87),1))))</f>
        <v/>
      </c>
    </row>
    <row r="88">
      <c r="A88" s="6" t="n"/>
      <c r="B88" s="113">
        <f>IF($D88="","","T"&amp;TEXT(ROW()-6,"00000"))</f>
        <v/>
      </c>
      <c r="C88" s="113">
        <f>IF($D88="","",IFERROR(INDEX(MUSTERILER!$B$7:$B$106,MATCH($R88,MUSTERILER!$T$7:$T$106,0)),IFERROR(INDEX(MUSTERILER!$B$7:$B$106,MATCH($D88,MUSTERILER!$B$7:$B$106,0)),IFERROR(INDEX(MUSTERILER!$B$7:$B$106,MATCH($R88&amp;"*",MUSTERILER!$T$7:$T$106,0)),"TANIMSIZ MÜŞTERİ"))))</f>
        <v/>
      </c>
      <c r="D88" s="109" t="inlineStr">
        <is>
          <t>Eğlengör Ltd.Şti.</t>
        </is>
      </c>
      <c r="E88" s="220" t="n">
        <v>46060</v>
      </c>
      <c r="F88" s="221" t="n">
        <v>3000</v>
      </c>
      <c r="G88" s="108" t="inlineStr">
        <is>
          <t>MERKEZ KASA</t>
        </is>
      </c>
      <c r="H88" s="108" t="inlineStr">
        <is>
          <t>Nakit</t>
        </is>
      </c>
      <c r="I88" s="109" t="n"/>
      <c r="J88" s="109" t="inlineStr">
        <is>
          <t>NAKİT ÖDENEN</t>
        </is>
      </c>
      <c r="K88" s="109" t="n"/>
      <c r="L88" s="226">
        <f>IF($E88="","",DATE(YEAR($E88),MONTH($E88),1))</f>
        <v/>
      </c>
      <c r="M88" s="113">
        <f>IF($D88="","",IF($C88="TANIMSIZ MÜŞTERİ","HATA",IF(OR($E88="",$F88&lt;=0,$G88=""),"EKSİK",IF($E88&gt;TODAY(),"İLERİ TARİH",IF(COUNTIF($S$7:$S$1506,$S88)&gt;1,"MÜKERRER?",IF($T88&gt;0,"KAPALI DÖNEM","UYGUN"))))))</f>
        <v/>
      </c>
      <c r="N88" s="121">
        <f>IF($C88="","",IF($C88="TANIMSIZ MÜŞTERİ","—",INDEX(MUSTERILER!$C$7:$C$106,MATCH($C88,MUSTERILER!$B$7:$B$106,0))))</f>
        <v/>
      </c>
      <c r="O88" s="6" t="n"/>
      <c r="P88" s="6" t="n"/>
      <c r="Q88" s="3">
        <f>IF($D88="","",$C88&amp;"|"&amp;COUNTIFS($C$7:$C88,$C88))</f>
        <v/>
      </c>
      <c r="R88" s="3">
        <f>IF($D88="","",UPPER(SUBSTITUTE(SUBSTITUTE(SUBSTITUTE(SUBSTITUTE(SUBSTITUTE(SUBSTITUTE(SUBSTITUTE(SUBSTITUTE(SUBSTITUTE(SUBSTITUTE(SUBSTITUTE(SUBSTITUTE(SUBSTITUTE(SUBSTITUTE(SUBSTITUTE(SUBSTITUTE(SUBSTITUTE(SUBSTITUTE(TRIM($D88),"'",""),"İ","I"),"ı","I"),"i","I"),"Ş","S"),"ş","S"),"Ğ","G"),"ğ","G"),"Ü","U"),"ü","U"),"Ö","O"),"ö","O"),"Ç","C"),"ç","C"),".",""),",","")," ",""),"-","")))</f>
        <v/>
      </c>
      <c r="S88" s="3">
        <f>IF($D88="","",$C88&amp;"|"&amp;TEXT($E88,"0")&amp;"|"&amp;TEXT($F88,"0")&amp;"|"&amp;$I88)</f>
        <v/>
      </c>
      <c r="T88" s="3">
        <f>IF($E88="",0,SUMPRODUCT((AY_SONU!$O$7:$O$42="Evet")*(AY_SONU!$B$7:$B$42=DATE(YEAR($E88),MONTH($E88),1))))</f>
        <v/>
      </c>
    </row>
    <row r="89">
      <c r="A89" s="6" t="n"/>
      <c r="B89" s="113">
        <f>IF($D89="","","T"&amp;TEXT(ROW()-6,"00000"))</f>
        <v/>
      </c>
      <c r="C89" s="113">
        <f>IF($D89="","",IFERROR(INDEX(MUSTERILER!$B$7:$B$106,MATCH($R89,MUSTERILER!$T$7:$T$106,0)),IFERROR(INDEX(MUSTERILER!$B$7:$B$106,MATCH($D89,MUSTERILER!$B$7:$B$106,0)),IFERROR(INDEX(MUSTERILER!$B$7:$B$106,MATCH($R89&amp;"*",MUSTERILER!$T$7:$T$106,0)),"TANIMSIZ MÜŞTERİ"))))</f>
        <v/>
      </c>
      <c r="D89" s="109" t="inlineStr">
        <is>
          <t>Final Siyah Beyaz Ltd.Şti.</t>
        </is>
      </c>
      <c r="E89" s="220" t="n">
        <v>46060</v>
      </c>
      <c r="F89" s="221" t="n">
        <v>2000</v>
      </c>
      <c r="G89" s="108" t="inlineStr">
        <is>
          <t>MERKEZ KASA</t>
        </is>
      </c>
      <c r="H89" s="108" t="inlineStr">
        <is>
          <t>Nakit</t>
        </is>
      </c>
      <c r="I89" s="109" t="n"/>
      <c r="J89" s="109" t="inlineStr">
        <is>
          <t>NAKİT ÖDENEN</t>
        </is>
      </c>
      <c r="K89" s="109" t="n"/>
      <c r="L89" s="226">
        <f>IF($E89="","",DATE(YEAR($E89),MONTH($E89),1))</f>
        <v/>
      </c>
      <c r="M89" s="113">
        <f>IF($D89="","",IF($C89="TANIMSIZ MÜŞTERİ","HATA",IF(OR($E89="",$F89&lt;=0,$G89=""),"EKSİK",IF($E89&gt;TODAY(),"İLERİ TARİH",IF(COUNTIF($S$7:$S$1506,$S89)&gt;1,"MÜKERRER?",IF($T89&gt;0,"KAPALI DÖNEM","UYGUN"))))))</f>
        <v/>
      </c>
      <c r="N89" s="121">
        <f>IF($C89="","",IF($C89="TANIMSIZ MÜŞTERİ","—",INDEX(MUSTERILER!$C$7:$C$106,MATCH($C89,MUSTERILER!$B$7:$B$106,0))))</f>
        <v/>
      </c>
      <c r="O89" s="6" t="n"/>
      <c r="P89" s="6" t="n"/>
      <c r="Q89" s="3">
        <f>IF($D89="","",$C89&amp;"|"&amp;COUNTIFS($C$7:$C89,$C89))</f>
        <v/>
      </c>
      <c r="R89" s="3">
        <f>IF($D89="","",UPPER(SUBSTITUTE(SUBSTITUTE(SUBSTITUTE(SUBSTITUTE(SUBSTITUTE(SUBSTITUTE(SUBSTITUTE(SUBSTITUTE(SUBSTITUTE(SUBSTITUTE(SUBSTITUTE(SUBSTITUTE(SUBSTITUTE(SUBSTITUTE(SUBSTITUTE(SUBSTITUTE(SUBSTITUTE(SUBSTITUTE(TRIM($D89),"'",""),"İ","I"),"ı","I"),"i","I"),"Ş","S"),"ş","S"),"Ğ","G"),"ğ","G"),"Ü","U"),"ü","U"),"Ö","O"),"ö","O"),"Ç","C"),"ç","C"),".",""),",","")," ",""),"-","")))</f>
        <v/>
      </c>
      <c r="S89" s="3">
        <f>IF($D89="","",$C89&amp;"|"&amp;TEXT($E89,"0")&amp;"|"&amp;TEXT($F89,"0")&amp;"|"&amp;$I89)</f>
        <v/>
      </c>
      <c r="T89" s="3">
        <f>IF($E89="",0,SUMPRODUCT((AY_SONU!$O$7:$O$42="Evet")*(AY_SONU!$B$7:$B$42=DATE(YEAR($E89),MONTH($E89),1))))</f>
        <v/>
      </c>
    </row>
    <row r="90">
      <c r="A90" s="6" t="n"/>
      <c r="B90" s="113">
        <f>IF($D90="","","T"&amp;TEXT(ROW()-6,"00000"))</f>
        <v/>
      </c>
      <c r="C90" s="113">
        <f>IF($D90="","",IFERROR(INDEX(MUSTERILER!$B$7:$B$106,MATCH($R90,MUSTERILER!$T$7:$T$106,0)),IFERROR(INDEX(MUSTERILER!$B$7:$B$106,MATCH($D90,MUSTERILER!$B$7:$B$106,0)),IFERROR(INDEX(MUSTERILER!$B$7:$B$106,MATCH($R90&amp;"*",MUSTERILER!$T$7:$T$106,0)),"TANIMSIZ MÜŞTERİ"))))</f>
        <v/>
      </c>
      <c r="D90" s="109" t="inlineStr">
        <is>
          <t>İbrahim Maldan</t>
        </is>
      </c>
      <c r="E90" s="220" t="n">
        <v>46060</v>
      </c>
      <c r="F90" s="221" t="n">
        <v>1500</v>
      </c>
      <c r="G90" s="108" t="inlineStr">
        <is>
          <t>MERKEZ KASA</t>
        </is>
      </c>
      <c r="H90" s="108" t="inlineStr">
        <is>
          <t>Nakit</t>
        </is>
      </c>
      <c r="I90" s="109" t="n"/>
      <c r="J90" s="109" t="inlineStr">
        <is>
          <t>NAKİT ÖDENEN</t>
        </is>
      </c>
      <c r="K90" s="109" t="n"/>
      <c r="L90" s="226">
        <f>IF($E90="","",DATE(YEAR($E90),MONTH($E90),1))</f>
        <v/>
      </c>
      <c r="M90" s="113">
        <f>IF($D90="","",IF($C90="TANIMSIZ MÜŞTERİ","HATA",IF(OR($E90="",$F90&lt;=0,$G90=""),"EKSİK",IF($E90&gt;TODAY(),"İLERİ TARİH",IF(COUNTIF($S$7:$S$1506,$S90)&gt;1,"MÜKERRER?",IF($T90&gt;0,"KAPALI DÖNEM","UYGUN"))))))</f>
        <v/>
      </c>
      <c r="N90" s="121">
        <f>IF($C90="","",IF($C90="TANIMSIZ MÜŞTERİ","—",INDEX(MUSTERILER!$C$7:$C$106,MATCH($C90,MUSTERILER!$B$7:$B$106,0))))</f>
        <v/>
      </c>
      <c r="O90" s="6" t="n"/>
      <c r="P90" s="6" t="n"/>
      <c r="Q90" s="3">
        <f>IF($D90="","",$C90&amp;"|"&amp;COUNTIFS($C$7:$C90,$C90))</f>
        <v/>
      </c>
      <c r="R90" s="3">
        <f>IF($D90="","",UPPER(SUBSTITUTE(SUBSTITUTE(SUBSTITUTE(SUBSTITUTE(SUBSTITUTE(SUBSTITUTE(SUBSTITUTE(SUBSTITUTE(SUBSTITUTE(SUBSTITUTE(SUBSTITUTE(SUBSTITUTE(SUBSTITUTE(SUBSTITUTE(SUBSTITUTE(SUBSTITUTE(SUBSTITUTE(SUBSTITUTE(TRIM($D90),"'",""),"İ","I"),"ı","I"),"i","I"),"Ş","S"),"ş","S"),"Ğ","G"),"ğ","G"),"Ü","U"),"ü","U"),"Ö","O"),"ö","O"),"Ç","C"),"ç","C"),".",""),",","")," ",""),"-","")))</f>
        <v/>
      </c>
      <c r="S90" s="3">
        <f>IF($D90="","",$C90&amp;"|"&amp;TEXT($E90,"0")&amp;"|"&amp;TEXT($F90,"0")&amp;"|"&amp;$I90)</f>
        <v/>
      </c>
      <c r="T90" s="3">
        <f>IF($E90="",0,SUMPRODUCT((AY_SONU!$O$7:$O$42="Evet")*(AY_SONU!$B$7:$B$42=DATE(YEAR($E90),MONTH($E90),1))))</f>
        <v/>
      </c>
    </row>
    <row r="91">
      <c r="A91" s="6" t="n"/>
      <c r="B91" s="113">
        <f>IF($D91="","","T"&amp;TEXT(ROW()-6,"00000"))</f>
        <v/>
      </c>
      <c r="C91" s="113">
        <f>IF($D91="","",IFERROR(INDEX(MUSTERILER!$B$7:$B$106,MATCH($R91,MUSTERILER!$T$7:$T$106,0)),IFERROR(INDEX(MUSTERILER!$B$7:$B$106,MATCH($D91,MUSTERILER!$B$7:$B$106,0)),IFERROR(INDEX(MUSTERILER!$B$7:$B$106,MATCH($R91&amp;"*",MUSTERILER!$T$7:$T$106,0)),"TANIMSIZ MÜŞTERİ"))))</f>
        <v/>
      </c>
      <c r="D91" s="109" t="inlineStr">
        <is>
          <t>İldeş Ltd.Şti.</t>
        </is>
      </c>
      <c r="E91" s="220" t="n">
        <v>46060</v>
      </c>
      <c r="F91" s="221" t="n">
        <v>2000</v>
      </c>
      <c r="G91" s="108" t="inlineStr">
        <is>
          <t>MERKEZ KASA</t>
        </is>
      </c>
      <c r="H91" s="108" t="inlineStr">
        <is>
          <t>Nakit</t>
        </is>
      </c>
      <c r="I91" s="109" t="n"/>
      <c r="J91" s="109" t="inlineStr">
        <is>
          <t>NAKİT ÖDENEN</t>
        </is>
      </c>
      <c r="K91" s="109" t="n"/>
      <c r="L91" s="226">
        <f>IF($E91="","",DATE(YEAR($E91),MONTH($E91),1))</f>
        <v/>
      </c>
      <c r="M91" s="113">
        <f>IF($D91="","",IF($C91="TANIMSIZ MÜŞTERİ","HATA",IF(OR($E91="",$F91&lt;=0,$G91=""),"EKSİK",IF($E91&gt;TODAY(),"İLERİ TARİH",IF(COUNTIF($S$7:$S$1506,$S91)&gt;1,"MÜKERRER?",IF($T91&gt;0,"KAPALI DÖNEM","UYGUN"))))))</f>
        <v/>
      </c>
      <c r="N91" s="121">
        <f>IF($C91="","",IF($C91="TANIMSIZ MÜŞTERİ","—",INDEX(MUSTERILER!$C$7:$C$106,MATCH($C91,MUSTERILER!$B$7:$B$106,0))))</f>
        <v/>
      </c>
      <c r="O91" s="6" t="n"/>
      <c r="P91" s="6" t="n"/>
      <c r="Q91" s="3">
        <f>IF($D91="","",$C91&amp;"|"&amp;COUNTIFS($C$7:$C91,$C91))</f>
        <v/>
      </c>
      <c r="R91" s="3">
        <f>IF($D91="","",UPPER(SUBSTITUTE(SUBSTITUTE(SUBSTITUTE(SUBSTITUTE(SUBSTITUTE(SUBSTITUTE(SUBSTITUTE(SUBSTITUTE(SUBSTITUTE(SUBSTITUTE(SUBSTITUTE(SUBSTITUTE(SUBSTITUTE(SUBSTITUTE(SUBSTITUTE(SUBSTITUTE(SUBSTITUTE(SUBSTITUTE(TRIM($D91),"'",""),"İ","I"),"ı","I"),"i","I"),"Ş","S"),"ş","S"),"Ğ","G"),"ğ","G"),"Ü","U"),"ü","U"),"Ö","O"),"ö","O"),"Ç","C"),"ç","C"),".",""),",","")," ",""),"-","")))</f>
        <v/>
      </c>
      <c r="S91" s="3">
        <f>IF($D91="","",$C91&amp;"|"&amp;TEXT($E91,"0")&amp;"|"&amp;TEXT($F91,"0")&amp;"|"&amp;$I91)</f>
        <v/>
      </c>
      <c r="T91" s="3">
        <f>IF($E91="",0,SUMPRODUCT((AY_SONU!$O$7:$O$42="Evet")*(AY_SONU!$B$7:$B$42=DATE(YEAR($E91),MONTH($E91),1))))</f>
        <v/>
      </c>
    </row>
    <row r="92">
      <c r="A92" s="6" t="n"/>
      <c r="B92" s="113">
        <f>IF($D92="","","T"&amp;TEXT(ROW()-6,"00000"))</f>
        <v/>
      </c>
      <c r="C92" s="113">
        <f>IF($D92="","",IFERROR(INDEX(MUSTERILER!$B$7:$B$106,MATCH($R92,MUSTERILER!$T$7:$T$106,0)),IFERROR(INDEX(MUSTERILER!$B$7:$B$106,MATCH($D92,MUSTERILER!$B$7:$B$106,0)),IFERROR(INDEX(MUSTERILER!$B$7:$B$106,MATCH($R92&amp;"*",MUSTERILER!$T$7:$T$106,0)),"TANIMSIZ MÜŞTERİ"))))</f>
        <v/>
      </c>
      <c r="D92" s="109" t="inlineStr">
        <is>
          <t>Monamour Ltd.Şti.</t>
        </is>
      </c>
      <c r="E92" s="220" t="n">
        <v>46060</v>
      </c>
      <c r="F92" s="221" t="n">
        <v>3500</v>
      </c>
      <c r="G92" s="108" t="inlineStr">
        <is>
          <t>MERKEZ KASA</t>
        </is>
      </c>
      <c r="H92" s="108" t="inlineStr">
        <is>
          <t>Nakit</t>
        </is>
      </c>
      <c r="I92" s="109" t="n"/>
      <c r="J92" s="109" t="inlineStr">
        <is>
          <t>NAKİT ÖDENEN</t>
        </is>
      </c>
      <c r="K92" s="109" t="n"/>
      <c r="L92" s="226">
        <f>IF($E92="","",DATE(YEAR($E92),MONTH($E92),1))</f>
        <v/>
      </c>
      <c r="M92" s="113">
        <f>IF($D92="","",IF($C92="TANIMSIZ MÜŞTERİ","HATA",IF(OR($E92="",$F92&lt;=0,$G92=""),"EKSİK",IF($E92&gt;TODAY(),"İLERİ TARİH",IF(COUNTIF($S$7:$S$1506,$S92)&gt;1,"MÜKERRER?",IF($T92&gt;0,"KAPALI DÖNEM","UYGUN"))))))</f>
        <v/>
      </c>
      <c r="N92" s="121">
        <f>IF($C92="","",IF($C92="TANIMSIZ MÜŞTERİ","—",INDEX(MUSTERILER!$C$7:$C$106,MATCH($C92,MUSTERILER!$B$7:$B$106,0))))</f>
        <v/>
      </c>
      <c r="O92" s="6" t="n"/>
      <c r="P92" s="6" t="n"/>
      <c r="Q92" s="3">
        <f>IF($D92="","",$C92&amp;"|"&amp;COUNTIFS($C$7:$C92,$C92))</f>
        <v/>
      </c>
      <c r="R92" s="3">
        <f>IF($D92="","",UPPER(SUBSTITUTE(SUBSTITUTE(SUBSTITUTE(SUBSTITUTE(SUBSTITUTE(SUBSTITUTE(SUBSTITUTE(SUBSTITUTE(SUBSTITUTE(SUBSTITUTE(SUBSTITUTE(SUBSTITUTE(SUBSTITUTE(SUBSTITUTE(SUBSTITUTE(SUBSTITUTE(SUBSTITUTE(SUBSTITUTE(TRIM($D92),"'",""),"İ","I"),"ı","I"),"i","I"),"Ş","S"),"ş","S"),"Ğ","G"),"ğ","G"),"Ü","U"),"ü","U"),"Ö","O"),"ö","O"),"Ç","C"),"ç","C"),".",""),",","")," ",""),"-","")))</f>
        <v/>
      </c>
      <c r="S92" s="3">
        <f>IF($D92="","",$C92&amp;"|"&amp;TEXT($E92,"0")&amp;"|"&amp;TEXT($F92,"0")&amp;"|"&amp;$I92)</f>
        <v/>
      </c>
      <c r="T92" s="3">
        <f>IF($E92="",0,SUMPRODUCT((AY_SONU!$O$7:$O$42="Evet")*(AY_SONU!$B$7:$B$42=DATE(YEAR($E92),MONTH($E92),1))))</f>
        <v/>
      </c>
    </row>
    <row r="93">
      <c r="A93" s="6" t="n"/>
      <c r="B93" s="113">
        <f>IF($D93="","","T"&amp;TEXT(ROW()-6,"00000"))</f>
        <v/>
      </c>
      <c r="C93" s="113">
        <f>IF($D93="","",IFERROR(INDEX(MUSTERILER!$B$7:$B$106,MATCH($R93,MUSTERILER!$T$7:$T$106,0)),IFERROR(INDEX(MUSTERILER!$B$7:$B$106,MATCH($D93,MUSTERILER!$B$7:$B$106,0)),IFERROR(INDEX(MUSTERILER!$B$7:$B$106,MATCH($R93&amp;"*",MUSTERILER!$T$7:$T$106,0)),"TANIMSIZ MÜŞTERİ"))))</f>
        <v/>
      </c>
      <c r="D93" s="109" t="inlineStr">
        <is>
          <t>Naz 1 Gıda Ltd.Şti.</t>
        </is>
      </c>
      <c r="E93" s="220" t="n">
        <v>46060</v>
      </c>
      <c r="F93" s="221" t="n">
        <v>2000</v>
      </c>
      <c r="G93" s="108" t="inlineStr">
        <is>
          <t>MERKEZ KASA</t>
        </is>
      </c>
      <c r="H93" s="108" t="inlineStr">
        <is>
          <t>Nakit</t>
        </is>
      </c>
      <c r="I93" s="109" t="n"/>
      <c r="J93" s="109" t="inlineStr">
        <is>
          <t>NAKİT ÖDENEN</t>
        </is>
      </c>
      <c r="K93" s="109" t="n"/>
      <c r="L93" s="226">
        <f>IF($E93="","",DATE(YEAR($E93),MONTH($E93),1))</f>
        <v/>
      </c>
      <c r="M93" s="113">
        <f>IF($D93="","",IF($C93="TANIMSIZ MÜŞTERİ","HATA",IF(OR($E93="",$F93&lt;=0,$G93=""),"EKSİK",IF($E93&gt;TODAY(),"İLERİ TARİH",IF(COUNTIF($S$7:$S$1506,$S93)&gt;1,"MÜKERRER?",IF($T93&gt;0,"KAPALI DÖNEM","UYGUN"))))))</f>
        <v/>
      </c>
      <c r="N93" s="121">
        <f>IF($C93="","",IF($C93="TANIMSIZ MÜŞTERİ","—",INDEX(MUSTERILER!$C$7:$C$106,MATCH($C93,MUSTERILER!$B$7:$B$106,0))))</f>
        <v/>
      </c>
      <c r="O93" s="6" t="n"/>
      <c r="P93" s="6" t="n"/>
      <c r="Q93" s="3">
        <f>IF($D93="","",$C93&amp;"|"&amp;COUNTIFS($C$7:$C93,$C93))</f>
        <v/>
      </c>
      <c r="R93" s="3">
        <f>IF($D93="","",UPPER(SUBSTITUTE(SUBSTITUTE(SUBSTITUTE(SUBSTITUTE(SUBSTITUTE(SUBSTITUTE(SUBSTITUTE(SUBSTITUTE(SUBSTITUTE(SUBSTITUTE(SUBSTITUTE(SUBSTITUTE(SUBSTITUTE(SUBSTITUTE(SUBSTITUTE(SUBSTITUTE(SUBSTITUTE(SUBSTITUTE(TRIM($D93),"'",""),"İ","I"),"ı","I"),"i","I"),"Ş","S"),"ş","S"),"Ğ","G"),"ğ","G"),"Ü","U"),"ü","U"),"Ö","O"),"ö","O"),"Ç","C"),"ç","C"),".",""),",","")," ",""),"-","")))</f>
        <v/>
      </c>
      <c r="S93" s="3">
        <f>IF($D93="","",$C93&amp;"|"&amp;TEXT($E93,"0")&amp;"|"&amp;TEXT($F93,"0")&amp;"|"&amp;$I93)</f>
        <v/>
      </c>
      <c r="T93" s="3">
        <f>IF($E93="",0,SUMPRODUCT((AY_SONU!$O$7:$O$42="Evet")*(AY_SONU!$B$7:$B$42=DATE(YEAR($E93),MONTH($E93),1))))</f>
        <v/>
      </c>
    </row>
    <row r="94">
      <c r="A94" s="6" t="n"/>
      <c r="B94" s="113">
        <f>IF($D94="","","T"&amp;TEXT(ROW()-6,"00000"))</f>
        <v/>
      </c>
      <c r="C94" s="113">
        <f>IF($D94="","",IFERROR(INDEX(MUSTERILER!$B$7:$B$106,MATCH($R94,MUSTERILER!$T$7:$T$106,0)),IFERROR(INDEX(MUSTERILER!$B$7:$B$106,MATCH($D94,MUSTERILER!$B$7:$B$106,0)),IFERROR(INDEX(MUSTERILER!$B$7:$B$106,MATCH($R94&amp;"*",MUSTERILER!$T$7:$T$106,0)),"TANIMSIZ MÜŞTERİ"))))</f>
        <v/>
      </c>
      <c r="D94" s="109" t="inlineStr">
        <is>
          <t>Pakyıldız Ltd.Şti.</t>
        </is>
      </c>
      <c r="E94" s="220" t="n">
        <v>46060</v>
      </c>
      <c r="F94" s="221" t="n">
        <v>2000</v>
      </c>
      <c r="G94" s="108" t="inlineStr">
        <is>
          <t>MERKEZ KASA</t>
        </is>
      </c>
      <c r="H94" s="108" t="inlineStr">
        <is>
          <t>Nakit</t>
        </is>
      </c>
      <c r="I94" s="109" t="n"/>
      <c r="J94" s="109" t="inlineStr">
        <is>
          <t>NAKİT ÖDENEN</t>
        </is>
      </c>
      <c r="K94" s="109" t="n"/>
      <c r="L94" s="226">
        <f>IF($E94="","",DATE(YEAR($E94),MONTH($E94),1))</f>
        <v/>
      </c>
      <c r="M94" s="113">
        <f>IF($D94="","",IF($C94="TANIMSIZ MÜŞTERİ","HATA",IF(OR($E94="",$F94&lt;=0,$G94=""),"EKSİK",IF($E94&gt;TODAY(),"İLERİ TARİH",IF(COUNTIF($S$7:$S$1506,$S94)&gt;1,"MÜKERRER?",IF($T94&gt;0,"KAPALI DÖNEM","UYGUN"))))))</f>
        <v/>
      </c>
      <c r="N94" s="121">
        <f>IF($C94="","",IF($C94="TANIMSIZ MÜŞTERİ","—",INDEX(MUSTERILER!$C$7:$C$106,MATCH($C94,MUSTERILER!$B$7:$B$106,0))))</f>
        <v/>
      </c>
      <c r="O94" s="6" t="n"/>
      <c r="P94" s="6" t="n"/>
      <c r="Q94" s="3">
        <f>IF($D94="","",$C94&amp;"|"&amp;COUNTIFS($C$7:$C94,$C94))</f>
        <v/>
      </c>
      <c r="R94" s="3">
        <f>IF($D94="","",UPPER(SUBSTITUTE(SUBSTITUTE(SUBSTITUTE(SUBSTITUTE(SUBSTITUTE(SUBSTITUTE(SUBSTITUTE(SUBSTITUTE(SUBSTITUTE(SUBSTITUTE(SUBSTITUTE(SUBSTITUTE(SUBSTITUTE(SUBSTITUTE(SUBSTITUTE(SUBSTITUTE(SUBSTITUTE(SUBSTITUTE(TRIM($D94),"'",""),"İ","I"),"ı","I"),"i","I"),"Ş","S"),"ş","S"),"Ğ","G"),"ğ","G"),"Ü","U"),"ü","U"),"Ö","O"),"ö","O"),"Ç","C"),"ç","C"),".",""),",","")," ",""),"-","")))</f>
        <v/>
      </c>
      <c r="S94" s="3">
        <f>IF($D94="","",$C94&amp;"|"&amp;TEXT($E94,"0")&amp;"|"&amp;TEXT($F94,"0")&amp;"|"&amp;$I94)</f>
        <v/>
      </c>
      <c r="T94" s="3">
        <f>IF($E94="",0,SUMPRODUCT((AY_SONU!$O$7:$O$42="Evet")*(AY_SONU!$B$7:$B$42=DATE(YEAR($E94),MONTH($E94),1))))</f>
        <v/>
      </c>
    </row>
    <row r="95">
      <c r="A95" s="6" t="n"/>
      <c r="B95" s="113">
        <f>IF($D95="","","T"&amp;TEXT(ROW()-6,"00000"))</f>
        <v/>
      </c>
      <c r="C95" s="113">
        <f>IF($D95="","",IFERROR(INDEX(MUSTERILER!$B$7:$B$106,MATCH($R95,MUSTERILER!$T$7:$T$106,0)),IFERROR(INDEX(MUSTERILER!$B$7:$B$106,MATCH($D95,MUSTERILER!$B$7:$B$106,0)),IFERROR(INDEX(MUSTERILER!$B$7:$B$106,MATCH($R95&amp;"*",MUSTERILER!$T$7:$T$106,0)),"TANIMSIZ MÜŞTERİ"))))</f>
        <v/>
      </c>
      <c r="D95" s="109" t="inlineStr">
        <is>
          <t>Rix Şow Ltd.Şti.</t>
        </is>
      </c>
      <c r="E95" s="220" t="n">
        <v>46060</v>
      </c>
      <c r="F95" s="221" t="n">
        <v>2000</v>
      </c>
      <c r="G95" s="108" t="inlineStr">
        <is>
          <t>MERKEZ KASA</t>
        </is>
      </c>
      <c r="H95" s="108" t="inlineStr">
        <is>
          <t>Nakit</t>
        </is>
      </c>
      <c r="I95" s="109" t="n"/>
      <c r="J95" s="109" t="inlineStr">
        <is>
          <t>NAKİT ÖDENEN</t>
        </is>
      </c>
      <c r="K95" s="109" t="n"/>
      <c r="L95" s="226">
        <f>IF($E95="","",DATE(YEAR($E95),MONTH($E95),1))</f>
        <v/>
      </c>
      <c r="M95" s="113">
        <f>IF($D95="","",IF($C95="TANIMSIZ MÜŞTERİ","HATA",IF(OR($E95="",$F95&lt;=0,$G95=""),"EKSİK",IF($E95&gt;TODAY(),"İLERİ TARİH",IF(COUNTIF($S$7:$S$1506,$S95)&gt;1,"MÜKERRER?",IF($T95&gt;0,"KAPALI DÖNEM","UYGUN"))))))</f>
        <v/>
      </c>
      <c r="N95" s="121">
        <f>IF($C95="","",IF($C95="TANIMSIZ MÜŞTERİ","—",INDEX(MUSTERILER!$C$7:$C$106,MATCH($C95,MUSTERILER!$B$7:$B$106,0))))</f>
        <v/>
      </c>
      <c r="O95" s="6" t="n"/>
      <c r="P95" s="6" t="n"/>
      <c r="Q95" s="3">
        <f>IF($D95="","",$C95&amp;"|"&amp;COUNTIFS($C$7:$C95,$C95))</f>
        <v/>
      </c>
      <c r="R95" s="3">
        <f>IF($D95="","",UPPER(SUBSTITUTE(SUBSTITUTE(SUBSTITUTE(SUBSTITUTE(SUBSTITUTE(SUBSTITUTE(SUBSTITUTE(SUBSTITUTE(SUBSTITUTE(SUBSTITUTE(SUBSTITUTE(SUBSTITUTE(SUBSTITUTE(SUBSTITUTE(SUBSTITUTE(SUBSTITUTE(SUBSTITUTE(SUBSTITUTE(TRIM($D95),"'",""),"İ","I"),"ı","I"),"i","I"),"Ş","S"),"ş","S"),"Ğ","G"),"ğ","G"),"Ü","U"),"ü","U"),"Ö","O"),"ö","O"),"Ç","C"),"ç","C"),".",""),",","")," ",""),"-","")))</f>
        <v/>
      </c>
      <c r="S95" s="3">
        <f>IF($D95="","",$C95&amp;"|"&amp;TEXT($E95,"0")&amp;"|"&amp;TEXT($F95,"0")&amp;"|"&amp;$I95)</f>
        <v/>
      </c>
      <c r="T95" s="3">
        <f>IF($E95="",0,SUMPRODUCT((AY_SONU!$O$7:$O$42="Evet")*(AY_SONU!$B$7:$B$42=DATE(YEAR($E95),MONTH($E95),1))))</f>
        <v/>
      </c>
    </row>
    <row r="96">
      <c r="A96" s="6" t="n"/>
      <c r="B96" s="113">
        <f>IF($D96="","","T"&amp;TEXT(ROW()-6,"00000"))</f>
        <v/>
      </c>
      <c r="C96" s="113">
        <f>IF($D96="","",IFERROR(INDEX(MUSTERILER!$B$7:$B$106,MATCH($R96,MUSTERILER!$T$7:$T$106,0)),IFERROR(INDEX(MUSTERILER!$B$7:$B$106,MATCH($D96,MUSTERILER!$B$7:$B$106,0)),IFERROR(INDEX(MUSTERILER!$B$7:$B$106,MATCH($R96&amp;"*",MUSTERILER!$T$7:$T$106,0)),"TANIMSIZ MÜŞTERİ"))))</f>
        <v/>
      </c>
      <c r="D96" s="109" t="inlineStr">
        <is>
          <t>Zümrüt Grup Ltd.Şti.</t>
        </is>
      </c>
      <c r="E96" s="220" t="n">
        <v>46060</v>
      </c>
      <c r="F96" s="221" t="n">
        <v>1750</v>
      </c>
      <c r="G96" s="108" t="inlineStr">
        <is>
          <t>MERKEZ KASA</t>
        </is>
      </c>
      <c r="H96" s="108" t="inlineStr">
        <is>
          <t>Nakit</t>
        </is>
      </c>
      <c r="I96" s="109" t="n"/>
      <c r="J96" s="109" t="inlineStr">
        <is>
          <t>NAKİT ÖDENEN</t>
        </is>
      </c>
      <c r="K96" s="109" t="n"/>
      <c r="L96" s="226">
        <f>IF($E96="","",DATE(YEAR($E96),MONTH($E96),1))</f>
        <v/>
      </c>
      <c r="M96" s="113">
        <f>IF($D96="","",IF($C96="TANIMSIZ MÜŞTERİ","HATA",IF(OR($E96="",$F96&lt;=0,$G96=""),"EKSİK",IF($E96&gt;TODAY(),"İLERİ TARİH",IF(COUNTIF($S$7:$S$1506,$S96)&gt;1,"MÜKERRER?",IF($T96&gt;0,"KAPALI DÖNEM","UYGUN"))))))</f>
        <v/>
      </c>
      <c r="N96" s="121">
        <f>IF($C96="","",IF($C96="TANIMSIZ MÜŞTERİ","—",INDEX(MUSTERILER!$C$7:$C$106,MATCH($C96,MUSTERILER!$B$7:$B$106,0))))</f>
        <v/>
      </c>
      <c r="O96" s="6" t="n"/>
      <c r="P96" s="6" t="n"/>
      <c r="Q96" s="3">
        <f>IF($D96="","",$C96&amp;"|"&amp;COUNTIFS($C$7:$C96,$C96))</f>
        <v/>
      </c>
      <c r="R96" s="3">
        <f>IF($D96="","",UPPER(SUBSTITUTE(SUBSTITUTE(SUBSTITUTE(SUBSTITUTE(SUBSTITUTE(SUBSTITUTE(SUBSTITUTE(SUBSTITUTE(SUBSTITUTE(SUBSTITUTE(SUBSTITUTE(SUBSTITUTE(SUBSTITUTE(SUBSTITUTE(SUBSTITUTE(SUBSTITUTE(SUBSTITUTE(SUBSTITUTE(TRIM($D96),"'",""),"İ","I"),"ı","I"),"i","I"),"Ş","S"),"ş","S"),"Ğ","G"),"ğ","G"),"Ü","U"),"ü","U"),"Ö","O"),"ö","O"),"Ç","C"),"ç","C"),".",""),",","")," ",""),"-","")))</f>
        <v/>
      </c>
      <c r="S96" s="3">
        <f>IF($D96="","",$C96&amp;"|"&amp;TEXT($E96,"0")&amp;"|"&amp;TEXT($F96,"0")&amp;"|"&amp;$I96)</f>
        <v/>
      </c>
      <c r="T96" s="3">
        <f>IF($E96="",0,SUMPRODUCT((AY_SONU!$O$7:$O$42="Evet")*(AY_SONU!$B$7:$B$42=DATE(YEAR($E96),MONTH($E96),1))))</f>
        <v/>
      </c>
    </row>
    <row r="97">
      <c r="A97" s="6" t="n"/>
      <c r="B97" s="113">
        <f>IF($D97="","","T"&amp;TEXT(ROW()-6,"00000"))</f>
        <v/>
      </c>
      <c r="C97" s="113">
        <f>IF($D97="","",IFERROR(INDEX(MUSTERILER!$B$7:$B$106,MATCH($R97,MUSTERILER!$T$7:$T$106,0)),IFERROR(INDEX(MUSTERILER!$B$7:$B$106,MATCH($D97,MUSTERILER!$B$7:$B$106,0)),IFERROR(INDEX(MUSTERILER!$B$7:$B$106,MATCH($R97&amp;"*",MUSTERILER!$T$7:$T$106,0)),"TANIMSIZ MÜŞTERİ"))))</f>
        <v/>
      </c>
      <c r="D97" s="109" t="inlineStr">
        <is>
          <t>ÇINARHAN LTD.ŞTİ.</t>
        </is>
      </c>
      <c r="E97" s="220" t="n">
        <v>46060</v>
      </c>
      <c r="F97" s="221" t="n">
        <v>2500</v>
      </c>
      <c r="G97" s="108" t="inlineStr">
        <is>
          <t>ÖMER KARTAL</t>
        </is>
      </c>
      <c r="H97" s="108" t="inlineStr">
        <is>
          <t>Nakit</t>
        </is>
      </c>
      <c r="I97" s="109" t="n"/>
      <c r="J97" s="109" t="inlineStr">
        <is>
          <t>NAKİT ÖDENEN</t>
        </is>
      </c>
      <c r="K97" s="109" t="n"/>
      <c r="L97" s="226">
        <f>IF($E97="","",DATE(YEAR($E97),MONTH($E97),1))</f>
        <v/>
      </c>
      <c r="M97" s="113">
        <f>IF($D97="","",IF($C97="TANIMSIZ MÜŞTERİ","HATA",IF(OR($E97="",$F97&lt;=0,$G97=""),"EKSİK",IF($E97&gt;TODAY(),"İLERİ TARİH",IF(COUNTIF($S$7:$S$1506,$S97)&gt;1,"MÜKERRER?",IF($T97&gt;0,"KAPALI DÖNEM","UYGUN"))))))</f>
        <v/>
      </c>
      <c r="N97" s="121">
        <f>IF($C97="","",IF($C97="TANIMSIZ MÜŞTERİ","—",INDEX(MUSTERILER!$C$7:$C$106,MATCH($C97,MUSTERILER!$B$7:$B$106,0))))</f>
        <v/>
      </c>
      <c r="O97" s="6" t="n"/>
      <c r="P97" s="6" t="n"/>
      <c r="Q97" s="3">
        <f>IF($D97="","",$C97&amp;"|"&amp;COUNTIFS($C$7:$C97,$C97))</f>
        <v/>
      </c>
      <c r="R97" s="3">
        <f>IF($D97="","",UPPER(SUBSTITUTE(SUBSTITUTE(SUBSTITUTE(SUBSTITUTE(SUBSTITUTE(SUBSTITUTE(SUBSTITUTE(SUBSTITUTE(SUBSTITUTE(SUBSTITUTE(SUBSTITUTE(SUBSTITUTE(SUBSTITUTE(SUBSTITUTE(SUBSTITUTE(SUBSTITUTE(SUBSTITUTE(SUBSTITUTE(TRIM($D97),"'",""),"İ","I"),"ı","I"),"i","I"),"Ş","S"),"ş","S"),"Ğ","G"),"ğ","G"),"Ü","U"),"ü","U"),"Ö","O"),"ö","O"),"Ç","C"),"ç","C"),".",""),",","")," ",""),"-","")))</f>
        <v/>
      </c>
      <c r="S97" s="3">
        <f>IF($D97="","",$C97&amp;"|"&amp;TEXT($E97,"0")&amp;"|"&amp;TEXT($F97,"0")&amp;"|"&amp;$I97)</f>
        <v/>
      </c>
      <c r="T97" s="3">
        <f>IF($E97="",0,SUMPRODUCT((AY_SONU!$O$7:$O$42="Evet")*(AY_SONU!$B$7:$B$42=DATE(YEAR($E97),MONTH($E97),1))))</f>
        <v/>
      </c>
    </row>
    <row r="98">
      <c r="A98" s="6" t="n"/>
      <c r="B98" s="113">
        <f>IF($D98="","","T"&amp;TEXT(ROW()-6,"00000"))</f>
        <v/>
      </c>
      <c r="C98" s="113">
        <f>IF($D98="","",IFERROR(INDEX(MUSTERILER!$B$7:$B$106,MATCH($R98,MUSTERILER!$T$7:$T$106,0)),IFERROR(INDEX(MUSTERILER!$B$7:$B$106,MATCH($D98,MUSTERILER!$B$7:$B$106,0)),IFERROR(INDEX(MUSTERILER!$B$7:$B$106,MATCH($R98&amp;"*",MUSTERILER!$T$7:$T$106,0)),"TANIMSIZ MÜŞTERİ"))))</f>
        <v/>
      </c>
      <c r="D98" s="109" t="inlineStr">
        <is>
          <t>KRİSTAL LTD.ŞTİ.</t>
        </is>
      </c>
      <c r="E98" s="220" t="n">
        <v>46060</v>
      </c>
      <c r="F98" s="221" t="n">
        <v>3000</v>
      </c>
      <c r="G98" s="108" t="inlineStr">
        <is>
          <t>MERKEZ KASA</t>
        </is>
      </c>
      <c r="H98" s="108" t="inlineStr">
        <is>
          <t>Nakit</t>
        </is>
      </c>
      <c r="I98" s="109" t="n"/>
      <c r="J98" s="109" t="inlineStr">
        <is>
          <t>NAKİT ÖDENEN</t>
        </is>
      </c>
      <c r="K98" s="109" t="n"/>
      <c r="L98" s="226">
        <f>IF($E98="","",DATE(YEAR($E98),MONTH($E98),1))</f>
        <v/>
      </c>
      <c r="M98" s="113">
        <f>IF($D98="","",IF($C98="TANIMSIZ MÜŞTERİ","HATA",IF(OR($E98="",$F98&lt;=0,$G98=""),"EKSİK",IF($E98&gt;TODAY(),"İLERİ TARİH",IF(COUNTIF($S$7:$S$1506,$S98)&gt;1,"MÜKERRER?",IF($T98&gt;0,"KAPALI DÖNEM","UYGUN"))))))</f>
        <v/>
      </c>
      <c r="N98" s="121">
        <f>IF($C98="","",IF($C98="TANIMSIZ MÜŞTERİ","—",INDEX(MUSTERILER!$C$7:$C$106,MATCH($C98,MUSTERILER!$B$7:$B$106,0))))</f>
        <v/>
      </c>
      <c r="O98" s="6" t="n"/>
      <c r="P98" s="6" t="n"/>
      <c r="Q98" s="3">
        <f>IF($D98="","",$C98&amp;"|"&amp;COUNTIFS($C$7:$C98,$C98))</f>
        <v/>
      </c>
      <c r="R98" s="3">
        <f>IF($D98="","",UPPER(SUBSTITUTE(SUBSTITUTE(SUBSTITUTE(SUBSTITUTE(SUBSTITUTE(SUBSTITUTE(SUBSTITUTE(SUBSTITUTE(SUBSTITUTE(SUBSTITUTE(SUBSTITUTE(SUBSTITUTE(SUBSTITUTE(SUBSTITUTE(SUBSTITUTE(SUBSTITUTE(SUBSTITUTE(SUBSTITUTE(TRIM($D98),"'",""),"İ","I"),"ı","I"),"i","I"),"Ş","S"),"ş","S"),"Ğ","G"),"ğ","G"),"Ü","U"),"ü","U"),"Ö","O"),"ö","O"),"Ç","C"),"ç","C"),".",""),",","")," ",""),"-","")))</f>
        <v/>
      </c>
      <c r="S98" s="3">
        <f>IF($D98="","",$C98&amp;"|"&amp;TEXT($E98,"0")&amp;"|"&amp;TEXT($F98,"0")&amp;"|"&amp;$I98)</f>
        <v/>
      </c>
      <c r="T98" s="3">
        <f>IF($E98="",0,SUMPRODUCT((AY_SONU!$O$7:$O$42="Evet")*(AY_SONU!$B$7:$B$42=DATE(YEAR($E98),MONTH($E98),1))))</f>
        <v/>
      </c>
    </row>
    <row r="99">
      <c r="A99" s="6" t="n"/>
      <c r="B99" s="113">
        <f>IF($D99="","","T"&amp;TEXT(ROW()-6,"00000"))</f>
        <v/>
      </c>
      <c r="C99" s="113">
        <f>IF($D99="","",IFERROR(INDEX(MUSTERILER!$B$7:$B$106,MATCH($R99,MUSTERILER!$T$7:$T$106,0)),IFERROR(INDEX(MUSTERILER!$B$7:$B$106,MATCH($D99,MUSTERILER!$B$7:$B$106,0)),IFERROR(INDEX(MUSTERILER!$B$7:$B$106,MATCH($R99&amp;"*",MUSTERILER!$T$7:$T$106,0)),"TANIMSIZ MÜŞTERİ"))))</f>
        <v/>
      </c>
      <c r="D99" s="109" t="inlineStr">
        <is>
          <t>Monamour Ltd.Şti.</t>
        </is>
      </c>
      <c r="E99" s="220" t="n">
        <v>46063</v>
      </c>
      <c r="F99" s="221" t="n">
        <v>3500</v>
      </c>
      <c r="G99" s="108" t="inlineStr">
        <is>
          <t>ÖMER KARTAL</t>
        </is>
      </c>
      <c r="H99" s="108" t="inlineStr">
        <is>
          <t>Nakit</t>
        </is>
      </c>
      <c r="I99" s="109" t="n"/>
      <c r="J99" s="109" t="inlineStr">
        <is>
          <t>ÖMER KARTALA ÖDENEN</t>
        </is>
      </c>
      <c r="K99" s="109" t="n"/>
      <c r="L99" s="226">
        <f>IF($E99="","",DATE(YEAR($E99),MONTH($E99),1))</f>
        <v/>
      </c>
      <c r="M99" s="113">
        <f>IF($D99="","",IF($C99="TANIMSIZ MÜŞTERİ","HATA",IF(OR($E99="",$F99&lt;=0,$G99=""),"EKSİK",IF($E99&gt;TODAY(),"İLERİ TARİH",IF(COUNTIF($S$7:$S$1506,$S99)&gt;1,"MÜKERRER?",IF($T99&gt;0,"KAPALI DÖNEM","UYGUN"))))))</f>
        <v/>
      </c>
      <c r="N99" s="121">
        <f>IF($C99="","",IF($C99="TANIMSIZ MÜŞTERİ","—",INDEX(MUSTERILER!$C$7:$C$106,MATCH($C99,MUSTERILER!$B$7:$B$106,0))))</f>
        <v/>
      </c>
      <c r="O99" s="6" t="n"/>
      <c r="P99" s="6" t="n"/>
      <c r="Q99" s="3">
        <f>IF($D99="","",$C99&amp;"|"&amp;COUNTIFS($C$7:$C99,$C99))</f>
        <v/>
      </c>
      <c r="R99" s="3">
        <f>IF($D99="","",UPPER(SUBSTITUTE(SUBSTITUTE(SUBSTITUTE(SUBSTITUTE(SUBSTITUTE(SUBSTITUTE(SUBSTITUTE(SUBSTITUTE(SUBSTITUTE(SUBSTITUTE(SUBSTITUTE(SUBSTITUTE(SUBSTITUTE(SUBSTITUTE(SUBSTITUTE(SUBSTITUTE(SUBSTITUTE(SUBSTITUTE(TRIM($D99),"'",""),"İ","I"),"ı","I"),"i","I"),"Ş","S"),"ş","S"),"Ğ","G"),"ğ","G"),"Ü","U"),"ü","U"),"Ö","O"),"ö","O"),"Ç","C"),"ç","C"),".",""),",","")," ",""),"-","")))</f>
        <v/>
      </c>
      <c r="S99" s="3">
        <f>IF($D99="","",$C99&amp;"|"&amp;TEXT($E99,"0")&amp;"|"&amp;TEXT($F99,"0")&amp;"|"&amp;$I99)</f>
        <v/>
      </c>
      <c r="T99" s="3">
        <f>IF($E99="",0,SUMPRODUCT((AY_SONU!$O$7:$O$42="Evet")*(AY_SONU!$B$7:$B$42=DATE(YEAR($E99),MONTH($E99),1))))</f>
        <v/>
      </c>
    </row>
    <row r="100">
      <c r="A100" s="6" t="n"/>
      <c r="B100" s="113">
        <f>IF($D100="","","T"&amp;TEXT(ROW()-6,"00000"))</f>
        <v/>
      </c>
      <c r="C100" s="113">
        <f>IF($D100="","",IFERROR(INDEX(MUSTERILER!$B$7:$B$106,MATCH($R100,MUSTERILER!$T$7:$T$106,0)),IFERROR(INDEX(MUSTERILER!$B$7:$B$106,MATCH($D100,MUSTERILER!$B$7:$B$106,0)),IFERROR(INDEX(MUSTERILER!$B$7:$B$106,MATCH($R100&amp;"*",MUSTERILER!$T$7:$T$106,0)),"TANIMSIZ MÜŞTERİ"))))</f>
        <v/>
      </c>
      <c r="D100" s="109" t="inlineStr">
        <is>
          <t>MENEKŞE AKAN</t>
        </is>
      </c>
      <c r="E100" s="220" t="n">
        <v>46063</v>
      </c>
      <c r="F100" s="221" t="n">
        <v>1500</v>
      </c>
      <c r="G100" s="108" t="inlineStr">
        <is>
          <t>MERKEZ KASA</t>
        </is>
      </c>
      <c r="H100" s="108" t="inlineStr">
        <is>
          <t>Nakit</t>
        </is>
      </c>
      <c r="I100" s="109" t="n"/>
      <c r="J100" s="109" t="inlineStr">
        <is>
          <t>NAKİT ÖDENEN</t>
        </is>
      </c>
      <c r="K100" s="109" t="n"/>
      <c r="L100" s="226">
        <f>IF($E100="","",DATE(YEAR($E100),MONTH($E100),1))</f>
        <v/>
      </c>
      <c r="M100" s="113">
        <f>IF($D100="","",IF($C100="TANIMSIZ MÜŞTERİ","HATA",IF(OR($E100="",$F100&lt;=0,$G100=""),"EKSİK",IF($E100&gt;TODAY(),"İLERİ TARİH",IF(COUNTIF($S$7:$S$1506,$S100)&gt;1,"MÜKERRER?",IF($T100&gt;0,"KAPALI DÖNEM","UYGUN"))))))</f>
        <v/>
      </c>
      <c r="N100" s="121">
        <f>IF($C100="","",IF($C100="TANIMSIZ MÜŞTERİ","—",INDEX(MUSTERILER!$C$7:$C$106,MATCH($C100,MUSTERILER!$B$7:$B$106,0))))</f>
        <v/>
      </c>
      <c r="O100" s="6" t="n"/>
      <c r="P100" s="6" t="n"/>
      <c r="Q100" s="3">
        <f>IF($D100="","",$C100&amp;"|"&amp;COUNTIFS($C$7:$C100,$C100))</f>
        <v/>
      </c>
      <c r="R100" s="3">
        <f>IF($D100="","",UPPER(SUBSTITUTE(SUBSTITUTE(SUBSTITUTE(SUBSTITUTE(SUBSTITUTE(SUBSTITUTE(SUBSTITUTE(SUBSTITUTE(SUBSTITUTE(SUBSTITUTE(SUBSTITUTE(SUBSTITUTE(SUBSTITUTE(SUBSTITUTE(SUBSTITUTE(SUBSTITUTE(SUBSTITUTE(SUBSTITUTE(TRIM($D100),"'",""),"İ","I"),"ı","I"),"i","I"),"Ş","S"),"ş","S"),"Ğ","G"),"ğ","G"),"Ü","U"),"ü","U"),"Ö","O"),"ö","O"),"Ç","C"),"ç","C"),".",""),",","")," ",""),"-","")))</f>
        <v/>
      </c>
      <c r="S100" s="3">
        <f>IF($D100="","",$C100&amp;"|"&amp;TEXT($E100,"0")&amp;"|"&amp;TEXT($F100,"0")&amp;"|"&amp;$I100)</f>
        <v/>
      </c>
      <c r="T100" s="3">
        <f>IF($E100="",0,SUMPRODUCT((AY_SONU!$O$7:$O$42="Evet")*(AY_SONU!$B$7:$B$42=DATE(YEAR($E100),MONTH($E100),1))))</f>
        <v/>
      </c>
    </row>
    <row r="101">
      <c r="A101" s="6" t="n"/>
      <c r="B101" s="113">
        <f>IF($D101="","","T"&amp;TEXT(ROW()-6,"00000"))</f>
        <v/>
      </c>
      <c r="C101" s="113">
        <f>IF($D101="","",IFERROR(INDEX(MUSTERILER!$B$7:$B$106,MATCH($R101,MUSTERILER!$T$7:$T$106,0)),IFERROR(INDEX(MUSTERILER!$B$7:$B$106,MATCH($D101,MUSTERILER!$B$7:$B$106,0)),IFERROR(INDEX(MUSTERILER!$B$7:$B$106,MATCH($R101&amp;"*",MUSTERILER!$T$7:$T$106,0)),"TANIMSIZ MÜŞTERİ"))))</f>
        <v/>
      </c>
      <c r="D101" s="109" t="inlineStr">
        <is>
          <t>Ankara Havana Ltd.Şti.</t>
        </is>
      </c>
      <c r="E101" s="220" t="n">
        <v>46067</v>
      </c>
      <c r="F101" s="221" t="n">
        <v>4000</v>
      </c>
      <c r="G101" s="108" t="inlineStr">
        <is>
          <t>MERKEZ KASA</t>
        </is>
      </c>
      <c r="H101" s="108" t="inlineStr">
        <is>
          <t>Nakit</t>
        </is>
      </c>
      <c r="I101" s="109" t="n"/>
      <c r="J101" s="109" t="inlineStr">
        <is>
          <t>NAKİT ÖDENEN</t>
        </is>
      </c>
      <c r="K101" s="109" t="n"/>
      <c r="L101" s="226">
        <f>IF($E101="","",DATE(YEAR($E101),MONTH($E101),1))</f>
        <v/>
      </c>
      <c r="M101" s="113">
        <f>IF($D101="","",IF($C101="TANIMSIZ MÜŞTERİ","HATA",IF(OR($E101="",$F101&lt;=0,$G101=""),"EKSİK",IF($E101&gt;TODAY(),"İLERİ TARİH",IF(COUNTIF($S$7:$S$1506,$S101)&gt;1,"MÜKERRER?",IF($T101&gt;0,"KAPALI DÖNEM","UYGUN"))))))</f>
        <v/>
      </c>
      <c r="N101" s="121">
        <f>IF($C101="","",IF($C101="TANIMSIZ MÜŞTERİ","—",INDEX(MUSTERILER!$C$7:$C$106,MATCH($C101,MUSTERILER!$B$7:$B$106,0))))</f>
        <v/>
      </c>
      <c r="O101" s="6" t="n"/>
      <c r="P101" s="6" t="n"/>
      <c r="Q101" s="3">
        <f>IF($D101="","",$C101&amp;"|"&amp;COUNTIFS($C$7:$C101,$C101))</f>
        <v/>
      </c>
      <c r="R101" s="3">
        <f>IF($D101="","",UPPER(SUBSTITUTE(SUBSTITUTE(SUBSTITUTE(SUBSTITUTE(SUBSTITUTE(SUBSTITUTE(SUBSTITUTE(SUBSTITUTE(SUBSTITUTE(SUBSTITUTE(SUBSTITUTE(SUBSTITUTE(SUBSTITUTE(SUBSTITUTE(SUBSTITUTE(SUBSTITUTE(SUBSTITUTE(SUBSTITUTE(TRIM($D101),"'",""),"İ","I"),"ı","I"),"i","I"),"Ş","S"),"ş","S"),"Ğ","G"),"ğ","G"),"Ü","U"),"ü","U"),"Ö","O"),"ö","O"),"Ç","C"),"ç","C"),".",""),",","")," ",""),"-","")))</f>
        <v/>
      </c>
      <c r="S101" s="3">
        <f>IF($D101="","",$C101&amp;"|"&amp;TEXT($E101,"0")&amp;"|"&amp;TEXT($F101,"0")&amp;"|"&amp;$I101)</f>
        <v/>
      </c>
      <c r="T101" s="3">
        <f>IF($E101="",0,SUMPRODUCT((AY_SONU!$O$7:$O$42="Evet")*(AY_SONU!$B$7:$B$42=DATE(YEAR($E101),MONTH($E101),1))))</f>
        <v/>
      </c>
    </row>
    <row r="102">
      <c r="A102" s="6" t="n"/>
      <c r="B102" s="113">
        <f>IF($D102="","","T"&amp;TEXT(ROW()-6,"00000"))</f>
        <v/>
      </c>
      <c r="C102" s="113">
        <f>IF($D102="","",IFERROR(INDEX(MUSTERILER!$B$7:$B$106,MATCH($R102,MUSTERILER!$T$7:$T$106,0)),IFERROR(INDEX(MUSTERILER!$B$7:$B$106,MATCH($D102,MUSTERILER!$B$7:$B$106,0)),IFERROR(INDEX(MUSTERILER!$B$7:$B$106,MATCH($R102&amp;"*",MUSTERILER!$T$7:$T$106,0)),"TANIMSIZ MÜŞTERİ"))))</f>
        <v/>
      </c>
      <c r="D102" s="109" t="inlineStr">
        <is>
          <t>ASIM AÇIKGÖZ</t>
        </is>
      </c>
      <c r="E102" s="220" t="n">
        <v>46067</v>
      </c>
      <c r="F102" s="221" t="n">
        <v>2000</v>
      </c>
      <c r="G102" s="108" t="inlineStr">
        <is>
          <t>MERKEZ KASA</t>
        </is>
      </c>
      <c r="H102" s="108" t="inlineStr">
        <is>
          <t>Nakit</t>
        </is>
      </c>
      <c r="I102" s="109" t="n"/>
      <c r="J102" s="109" t="inlineStr">
        <is>
          <t>NAKİT ÖDENEN</t>
        </is>
      </c>
      <c r="K102" s="109" t="n"/>
      <c r="L102" s="226">
        <f>IF($E102="","",DATE(YEAR($E102),MONTH($E102),1))</f>
        <v/>
      </c>
      <c r="M102" s="113">
        <f>IF($D102="","",IF($C102="TANIMSIZ MÜŞTERİ","HATA",IF(OR($E102="",$F102&lt;=0,$G102=""),"EKSİK",IF($E102&gt;TODAY(),"İLERİ TARİH",IF(COUNTIF($S$7:$S$1506,$S102)&gt;1,"MÜKERRER?",IF($T102&gt;0,"KAPALI DÖNEM","UYGUN"))))))</f>
        <v/>
      </c>
      <c r="N102" s="121">
        <f>IF($C102="","",IF($C102="TANIMSIZ MÜŞTERİ","—",INDEX(MUSTERILER!$C$7:$C$106,MATCH($C102,MUSTERILER!$B$7:$B$106,0))))</f>
        <v/>
      </c>
      <c r="O102" s="6" t="n"/>
      <c r="P102" s="6" t="n"/>
      <c r="Q102" s="3">
        <f>IF($D102="","",$C102&amp;"|"&amp;COUNTIFS($C$7:$C102,$C102))</f>
        <v/>
      </c>
      <c r="R102" s="3">
        <f>IF($D102="","",UPPER(SUBSTITUTE(SUBSTITUTE(SUBSTITUTE(SUBSTITUTE(SUBSTITUTE(SUBSTITUTE(SUBSTITUTE(SUBSTITUTE(SUBSTITUTE(SUBSTITUTE(SUBSTITUTE(SUBSTITUTE(SUBSTITUTE(SUBSTITUTE(SUBSTITUTE(SUBSTITUTE(SUBSTITUTE(SUBSTITUTE(TRIM($D102),"'",""),"İ","I"),"ı","I"),"i","I"),"Ş","S"),"ş","S"),"Ğ","G"),"ğ","G"),"Ü","U"),"ü","U"),"Ö","O"),"ö","O"),"Ç","C"),"ç","C"),".",""),",","")," ",""),"-","")))</f>
        <v/>
      </c>
      <c r="S102" s="3">
        <f>IF($D102="","",$C102&amp;"|"&amp;TEXT($E102,"0")&amp;"|"&amp;TEXT($F102,"0")&amp;"|"&amp;$I102)</f>
        <v/>
      </c>
      <c r="T102" s="3">
        <f>IF($E102="",0,SUMPRODUCT((AY_SONU!$O$7:$O$42="Evet")*(AY_SONU!$B$7:$B$42=DATE(YEAR($E102),MONTH($E102),1))))</f>
        <v/>
      </c>
    </row>
    <row r="103">
      <c r="A103" s="6" t="n"/>
      <c r="B103" s="113">
        <f>IF($D103="","","T"&amp;TEXT(ROW()-6,"00000"))</f>
        <v/>
      </c>
      <c r="C103" s="113">
        <f>IF($D103="","",IFERROR(INDEX(MUSTERILER!$B$7:$B$106,MATCH($R103,MUSTERILER!$T$7:$T$106,0)),IFERROR(INDEX(MUSTERILER!$B$7:$B$106,MATCH($D103,MUSTERILER!$B$7:$B$106,0)),IFERROR(INDEX(MUSTERILER!$B$7:$B$106,MATCH($R103&amp;"*",MUSTERILER!$T$7:$T$106,0)),"TANIMSIZ MÜŞTERİ"))))</f>
        <v/>
      </c>
      <c r="D103" s="109" t="inlineStr">
        <is>
          <t>ASM EĞLENCE LTD.ŞTİ.</t>
        </is>
      </c>
      <c r="E103" s="220" t="n">
        <v>46067</v>
      </c>
      <c r="F103" s="221" t="n">
        <v>2500</v>
      </c>
      <c r="G103" s="108" t="inlineStr">
        <is>
          <t>MERKEZ KASA</t>
        </is>
      </c>
      <c r="H103" s="108" t="inlineStr">
        <is>
          <t>Nakit</t>
        </is>
      </c>
      <c r="I103" s="109" t="n"/>
      <c r="J103" s="109" t="inlineStr">
        <is>
          <t>NAKİT ÖDENEN</t>
        </is>
      </c>
      <c r="K103" s="109" t="n"/>
      <c r="L103" s="226">
        <f>IF($E103="","",DATE(YEAR($E103),MONTH($E103),1))</f>
        <v/>
      </c>
      <c r="M103" s="113">
        <f>IF($D103="","",IF($C103="TANIMSIZ MÜŞTERİ","HATA",IF(OR($E103="",$F103&lt;=0,$G103=""),"EKSİK",IF($E103&gt;TODAY(),"İLERİ TARİH",IF(COUNTIF($S$7:$S$1506,$S103)&gt;1,"MÜKERRER?",IF($T103&gt;0,"KAPALI DÖNEM","UYGUN"))))))</f>
        <v/>
      </c>
      <c r="N103" s="121">
        <f>IF($C103="","",IF($C103="TANIMSIZ MÜŞTERİ","—",INDEX(MUSTERILER!$C$7:$C$106,MATCH($C103,MUSTERILER!$B$7:$B$106,0))))</f>
        <v/>
      </c>
      <c r="O103" s="6" t="n"/>
      <c r="P103" s="6" t="n"/>
      <c r="Q103" s="3">
        <f>IF($D103="","",$C103&amp;"|"&amp;COUNTIFS($C$7:$C103,$C103))</f>
        <v/>
      </c>
      <c r="R103" s="3">
        <f>IF($D103="","",UPPER(SUBSTITUTE(SUBSTITUTE(SUBSTITUTE(SUBSTITUTE(SUBSTITUTE(SUBSTITUTE(SUBSTITUTE(SUBSTITUTE(SUBSTITUTE(SUBSTITUTE(SUBSTITUTE(SUBSTITUTE(SUBSTITUTE(SUBSTITUTE(SUBSTITUTE(SUBSTITUTE(SUBSTITUTE(SUBSTITUTE(TRIM($D103),"'",""),"İ","I"),"ı","I"),"i","I"),"Ş","S"),"ş","S"),"Ğ","G"),"ğ","G"),"Ü","U"),"ü","U"),"Ö","O"),"ö","O"),"Ç","C"),"ç","C"),".",""),",","")," ",""),"-","")))</f>
        <v/>
      </c>
      <c r="S103" s="3">
        <f>IF($D103="","",$C103&amp;"|"&amp;TEXT($E103,"0")&amp;"|"&amp;TEXT($F103,"0")&amp;"|"&amp;$I103)</f>
        <v/>
      </c>
      <c r="T103" s="3">
        <f>IF($E103="",0,SUMPRODUCT((AY_SONU!$O$7:$O$42="Evet")*(AY_SONU!$B$7:$B$42=DATE(YEAR($E103),MONTH($E103),1))))</f>
        <v/>
      </c>
    </row>
    <row r="104">
      <c r="A104" s="6" t="n"/>
      <c r="B104" s="113">
        <f>IF($D104="","","T"&amp;TEXT(ROW()-6,"00000"))</f>
        <v/>
      </c>
      <c r="C104" s="113">
        <f>IF($D104="","",IFERROR(INDEX(MUSTERILER!$B$7:$B$106,MATCH($R104,MUSTERILER!$T$7:$T$106,0)),IFERROR(INDEX(MUSTERILER!$B$7:$B$106,MATCH($D104,MUSTERILER!$B$7:$B$106,0)),IFERROR(INDEX(MUSTERILER!$B$7:$B$106,MATCH($R104&amp;"*",MUSTERILER!$T$7:$T$106,0)),"TANIMSIZ MÜŞTERİ"))))</f>
        <v/>
      </c>
      <c r="D104" s="109" t="inlineStr">
        <is>
          <t>Çayıralan Ltd.Şti.</t>
        </is>
      </c>
      <c r="E104" s="220" t="n">
        <v>46067</v>
      </c>
      <c r="F104" s="221" t="n">
        <v>3000</v>
      </c>
      <c r="G104" s="108" t="inlineStr">
        <is>
          <t>MERKEZ KASA</t>
        </is>
      </c>
      <c r="H104" s="108" t="inlineStr">
        <is>
          <t>Nakit</t>
        </is>
      </c>
      <c r="I104" s="109" t="n"/>
      <c r="J104" s="109" t="inlineStr">
        <is>
          <t>NAKİT ÖDENEN</t>
        </is>
      </c>
      <c r="K104" s="109" t="n"/>
      <c r="L104" s="226">
        <f>IF($E104="","",DATE(YEAR($E104),MONTH($E104),1))</f>
        <v/>
      </c>
      <c r="M104" s="113">
        <f>IF($D104="","",IF($C104="TANIMSIZ MÜŞTERİ","HATA",IF(OR($E104="",$F104&lt;=0,$G104=""),"EKSİK",IF($E104&gt;TODAY(),"İLERİ TARİH",IF(COUNTIF($S$7:$S$1506,$S104)&gt;1,"MÜKERRER?",IF($T104&gt;0,"KAPALI DÖNEM","UYGUN"))))))</f>
        <v/>
      </c>
      <c r="N104" s="121">
        <f>IF($C104="","",IF($C104="TANIMSIZ MÜŞTERİ","—",INDEX(MUSTERILER!$C$7:$C$106,MATCH($C104,MUSTERILER!$B$7:$B$106,0))))</f>
        <v/>
      </c>
      <c r="O104" s="6" t="n"/>
      <c r="P104" s="6" t="n"/>
      <c r="Q104" s="3">
        <f>IF($D104="","",$C104&amp;"|"&amp;COUNTIFS($C$7:$C104,$C104))</f>
        <v/>
      </c>
      <c r="R104" s="3">
        <f>IF($D104="","",UPPER(SUBSTITUTE(SUBSTITUTE(SUBSTITUTE(SUBSTITUTE(SUBSTITUTE(SUBSTITUTE(SUBSTITUTE(SUBSTITUTE(SUBSTITUTE(SUBSTITUTE(SUBSTITUTE(SUBSTITUTE(SUBSTITUTE(SUBSTITUTE(SUBSTITUTE(SUBSTITUTE(SUBSTITUTE(SUBSTITUTE(TRIM($D104),"'",""),"İ","I"),"ı","I"),"i","I"),"Ş","S"),"ş","S"),"Ğ","G"),"ğ","G"),"Ü","U"),"ü","U"),"Ö","O"),"ö","O"),"Ç","C"),"ç","C"),".",""),",","")," ",""),"-","")))</f>
        <v/>
      </c>
      <c r="S104" s="3">
        <f>IF($D104="","",$C104&amp;"|"&amp;TEXT($E104,"0")&amp;"|"&amp;TEXT($F104,"0")&amp;"|"&amp;$I104)</f>
        <v/>
      </c>
      <c r="T104" s="3">
        <f>IF($E104="",0,SUMPRODUCT((AY_SONU!$O$7:$O$42="Evet")*(AY_SONU!$B$7:$B$42=DATE(YEAR($E104),MONTH($E104),1))))</f>
        <v/>
      </c>
    </row>
    <row r="105">
      <c r="A105" s="6" t="n"/>
      <c r="B105" s="113">
        <f>IF($D105="","","T"&amp;TEXT(ROW()-6,"00000"))</f>
        <v/>
      </c>
      <c r="C105" s="113">
        <f>IF($D105="","",IFERROR(INDEX(MUSTERILER!$B$7:$B$106,MATCH($R105,MUSTERILER!$T$7:$T$106,0)),IFERROR(INDEX(MUSTERILER!$B$7:$B$106,MATCH($D105,MUSTERILER!$B$7:$B$106,0)),IFERROR(INDEX(MUSTERILER!$B$7:$B$106,MATCH($R105&amp;"*",MUSTERILER!$T$7:$T$106,0)),"TANIMSIZ MÜŞTERİ"))))</f>
        <v/>
      </c>
      <c r="D105" s="109" t="inlineStr">
        <is>
          <t>Eğlengör Ltd.Şti.</t>
        </is>
      </c>
      <c r="E105" s="220" t="n">
        <v>46067</v>
      </c>
      <c r="F105" s="221" t="n">
        <v>3000</v>
      </c>
      <c r="G105" s="108" t="inlineStr">
        <is>
          <t>MERKEZ KASA</t>
        </is>
      </c>
      <c r="H105" s="108" t="inlineStr">
        <is>
          <t>Nakit</t>
        </is>
      </c>
      <c r="I105" s="109" t="n"/>
      <c r="J105" s="109" t="inlineStr">
        <is>
          <t>NAKİT ÖDENEN</t>
        </is>
      </c>
      <c r="K105" s="109" t="n"/>
      <c r="L105" s="226">
        <f>IF($E105="","",DATE(YEAR($E105),MONTH($E105),1))</f>
        <v/>
      </c>
      <c r="M105" s="113">
        <f>IF($D105="","",IF($C105="TANIMSIZ MÜŞTERİ","HATA",IF(OR($E105="",$F105&lt;=0,$G105=""),"EKSİK",IF($E105&gt;TODAY(),"İLERİ TARİH",IF(COUNTIF($S$7:$S$1506,$S105)&gt;1,"MÜKERRER?",IF($T105&gt;0,"KAPALI DÖNEM","UYGUN"))))))</f>
        <v/>
      </c>
      <c r="N105" s="121">
        <f>IF($C105="","",IF($C105="TANIMSIZ MÜŞTERİ","—",INDEX(MUSTERILER!$C$7:$C$106,MATCH($C105,MUSTERILER!$B$7:$B$106,0))))</f>
        <v/>
      </c>
      <c r="O105" s="6" t="n"/>
      <c r="P105" s="6" t="n"/>
      <c r="Q105" s="3">
        <f>IF($D105="","",$C105&amp;"|"&amp;COUNTIFS($C$7:$C105,$C105))</f>
        <v/>
      </c>
      <c r="R105" s="3">
        <f>IF($D105="","",UPPER(SUBSTITUTE(SUBSTITUTE(SUBSTITUTE(SUBSTITUTE(SUBSTITUTE(SUBSTITUTE(SUBSTITUTE(SUBSTITUTE(SUBSTITUTE(SUBSTITUTE(SUBSTITUTE(SUBSTITUTE(SUBSTITUTE(SUBSTITUTE(SUBSTITUTE(SUBSTITUTE(SUBSTITUTE(SUBSTITUTE(TRIM($D105),"'",""),"İ","I"),"ı","I"),"i","I"),"Ş","S"),"ş","S"),"Ğ","G"),"ğ","G"),"Ü","U"),"ü","U"),"Ö","O"),"ö","O"),"Ç","C"),"ç","C"),".",""),",","")," ",""),"-","")))</f>
        <v/>
      </c>
      <c r="S105" s="3">
        <f>IF($D105="","",$C105&amp;"|"&amp;TEXT($E105,"0")&amp;"|"&amp;TEXT($F105,"0")&amp;"|"&amp;$I105)</f>
        <v/>
      </c>
      <c r="T105" s="3">
        <f>IF($E105="",0,SUMPRODUCT((AY_SONU!$O$7:$O$42="Evet")*(AY_SONU!$B$7:$B$42=DATE(YEAR($E105),MONTH($E105),1))))</f>
        <v/>
      </c>
    </row>
    <row r="106">
      <c r="A106" s="6" t="n"/>
      <c r="B106" s="113">
        <f>IF($D106="","","T"&amp;TEXT(ROW()-6,"00000"))</f>
        <v/>
      </c>
      <c r="C106" s="113">
        <f>IF($D106="","",IFERROR(INDEX(MUSTERILER!$B$7:$B$106,MATCH($R106,MUSTERILER!$T$7:$T$106,0)),IFERROR(INDEX(MUSTERILER!$B$7:$B$106,MATCH($D106,MUSTERILER!$B$7:$B$106,0)),IFERROR(INDEX(MUSTERILER!$B$7:$B$106,MATCH($R106&amp;"*",MUSTERILER!$T$7:$T$106,0)),"TANIMSIZ MÜŞTERİ"))))</f>
        <v/>
      </c>
      <c r="D106" s="109" t="inlineStr">
        <is>
          <t>Final Siyah Beyaz Ltd.Şti.</t>
        </is>
      </c>
      <c r="E106" s="220" t="n">
        <v>46067</v>
      </c>
      <c r="F106" s="221" t="n">
        <v>2000</v>
      </c>
      <c r="G106" s="108" t="inlineStr">
        <is>
          <t>MERKEZ KASA</t>
        </is>
      </c>
      <c r="H106" s="108" t="inlineStr">
        <is>
          <t>Nakit</t>
        </is>
      </c>
      <c r="I106" s="109" t="n"/>
      <c r="J106" s="109" t="inlineStr">
        <is>
          <t>NAKİT ÖDENEN</t>
        </is>
      </c>
      <c r="K106" s="109" t="n"/>
      <c r="L106" s="226">
        <f>IF($E106="","",DATE(YEAR($E106),MONTH($E106),1))</f>
        <v/>
      </c>
      <c r="M106" s="113">
        <f>IF($D106="","",IF($C106="TANIMSIZ MÜŞTERİ","HATA",IF(OR($E106="",$F106&lt;=0,$G106=""),"EKSİK",IF($E106&gt;TODAY(),"İLERİ TARİH",IF(COUNTIF($S$7:$S$1506,$S106)&gt;1,"MÜKERRER?",IF($T106&gt;0,"KAPALI DÖNEM","UYGUN"))))))</f>
        <v/>
      </c>
      <c r="N106" s="121">
        <f>IF($C106="","",IF($C106="TANIMSIZ MÜŞTERİ","—",INDEX(MUSTERILER!$C$7:$C$106,MATCH($C106,MUSTERILER!$B$7:$B$106,0))))</f>
        <v/>
      </c>
      <c r="O106" s="6" t="n"/>
      <c r="P106" s="6" t="n"/>
      <c r="Q106" s="3">
        <f>IF($D106="","",$C106&amp;"|"&amp;COUNTIFS($C$7:$C106,$C106))</f>
        <v/>
      </c>
      <c r="R106" s="3">
        <f>IF($D106="","",UPPER(SUBSTITUTE(SUBSTITUTE(SUBSTITUTE(SUBSTITUTE(SUBSTITUTE(SUBSTITUTE(SUBSTITUTE(SUBSTITUTE(SUBSTITUTE(SUBSTITUTE(SUBSTITUTE(SUBSTITUTE(SUBSTITUTE(SUBSTITUTE(SUBSTITUTE(SUBSTITUTE(SUBSTITUTE(SUBSTITUTE(TRIM($D106),"'",""),"İ","I"),"ı","I"),"i","I"),"Ş","S"),"ş","S"),"Ğ","G"),"ğ","G"),"Ü","U"),"ü","U"),"Ö","O"),"ö","O"),"Ç","C"),"ç","C"),".",""),",","")," ",""),"-","")))</f>
        <v/>
      </c>
      <c r="S106" s="3">
        <f>IF($D106="","",$C106&amp;"|"&amp;TEXT($E106,"0")&amp;"|"&amp;TEXT($F106,"0")&amp;"|"&amp;$I106)</f>
        <v/>
      </c>
      <c r="T106" s="3">
        <f>IF($E106="",0,SUMPRODUCT((AY_SONU!$O$7:$O$42="Evet")*(AY_SONU!$B$7:$B$42=DATE(YEAR($E106),MONTH($E106),1))))</f>
        <v/>
      </c>
    </row>
    <row r="107">
      <c r="A107" s="6" t="n"/>
      <c r="B107" s="113">
        <f>IF($D107="","","T"&amp;TEXT(ROW()-6,"00000"))</f>
        <v/>
      </c>
      <c r="C107" s="113">
        <f>IF($D107="","",IFERROR(INDEX(MUSTERILER!$B$7:$B$106,MATCH($R107,MUSTERILER!$T$7:$T$106,0)),IFERROR(INDEX(MUSTERILER!$B$7:$B$106,MATCH($D107,MUSTERILER!$B$7:$B$106,0)),IFERROR(INDEX(MUSTERILER!$B$7:$B$106,MATCH($R107&amp;"*",MUSTERILER!$T$7:$T$106,0)),"TANIMSIZ MÜŞTERİ"))))</f>
        <v/>
      </c>
      <c r="D107" s="109" t="inlineStr">
        <is>
          <t>İbrahim Maldan</t>
        </is>
      </c>
      <c r="E107" s="220" t="n">
        <v>46067</v>
      </c>
      <c r="F107" s="221" t="n">
        <v>1500</v>
      </c>
      <c r="G107" s="108" t="inlineStr">
        <is>
          <t>MERKEZ KASA</t>
        </is>
      </c>
      <c r="H107" s="108" t="inlineStr">
        <is>
          <t>Nakit</t>
        </is>
      </c>
      <c r="I107" s="109" t="n"/>
      <c r="J107" s="109" t="inlineStr">
        <is>
          <t>NAKİT ÖDENEN</t>
        </is>
      </c>
      <c r="K107" s="109" t="n"/>
      <c r="L107" s="226">
        <f>IF($E107="","",DATE(YEAR($E107),MONTH($E107),1))</f>
        <v/>
      </c>
      <c r="M107" s="113">
        <f>IF($D107="","",IF($C107="TANIMSIZ MÜŞTERİ","HATA",IF(OR($E107="",$F107&lt;=0,$G107=""),"EKSİK",IF($E107&gt;TODAY(),"İLERİ TARİH",IF(COUNTIF($S$7:$S$1506,$S107)&gt;1,"MÜKERRER?",IF($T107&gt;0,"KAPALI DÖNEM","UYGUN"))))))</f>
        <v/>
      </c>
      <c r="N107" s="121">
        <f>IF($C107="","",IF($C107="TANIMSIZ MÜŞTERİ","—",INDEX(MUSTERILER!$C$7:$C$106,MATCH($C107,MUSTERILER!$B$7:$B$106,0))))</f>
        <v/>
      </c>
      <c r="O107" s="6" t="n"/>
      <c r="P107" s="6" t="n"/>
      <c r="Q107" s="3">
        <f>IF($D107="","",$C107&amp;"|"&amp;COUNTIFS($C$7:$C107,$C107))</f>
        <v/>
      </c>
      <c r="R107" s="3">
        <f>IF($D107="","",UPPER(SUBSTITUTE(SUBSTITUTE(SUBSTITUTE(SUBSTITUTE(SUBSTITUTE(SUBSTITUTE(SUBSTITUTE(SUBSTITUTE(SUBSTITUTE(SUBSTITUTE(SUBSTITUTE(SUBSTITUTE(SUBSTITUTE(SUBSTITUTE(SUBSTITUTE(SUBSTITUTE(SUBSTITUTE(SUBSTITUTE(TRIM($D107),"'",""),"İ","I"),"ı","I"),"i","I"),"Ş","S"),"ş","S"),"Ğ","G"),"ğ","G"),"Ü","U"),"ü","U"),"Ö","O"),"ö","O"),"Ç","C"),"ç","C"),".",""),",","")," ",""),"-","")))</f>
        <v/>
      </c>
      <c r="S107" s="3">
        <f>IF($D107="","",$C107&amp;"|"&amp;TEXT($E107,"0")&amp;"|"&amp;TEXT($F107,"0")&amp;"|"&amp;$I107)</f>
        <v/>
      </c>
      <c r="T107" s="3">
        <f>IF($E107="",0,SUMPRODUCT((AY_SONU!$O$7:$O$42="Evet")*(AY_SONU!$B$7:$B$42=DATE(YEAR($E107),MONTH($E107),1))))</f>
        <v/>
      </c>
    </row>
    <row r="108">
      <c r="A108" s="6" t="n"/>
      <c r="B108" s="113">
        <f>IF($D108="","","T"&amp;TEXT(ROW()-6,"00000"))</f>
        <v/>
      </c>
      <c r="C108" s="113">
        <f>IF($D108="","",IFERROR(INDEX(MUSTERILER!$B$7:$B$106,MATCH($R108,MUSTERILER!$T$7:$T$106,0)),IFERROR(INDEX(MUSTERILER!$B$7:$B$106,MATCH($D108,MUSTERILER!$B$7:$B$106,0)),IFERROR(INDEX(MUSTERILER!$B$7:$B$106,MATCH($R108&amp;"*",MUSTERILER!$T$7:$T$106,0)),"TANIMSIZ MÜŞTERİ"))))</f>
        <v/>
      </c>
      <c r="D108" s="109" t="inlineStr">
        <is>
          <t>Monamour Ltd.Şti.</t>
        </is>
      </c>
      <c r="E108" s="220" t="n">
        <v>46067</v>
      </c>
      <c r="F108" s="221" t="n">
        <v>3500</v>
      </c>
      <c r="G108" s="108" t="inlineStr">
        <is>
          <t>MERKEZ KASA</t>
        </is>
      </c>
      <c r="H108" s="108" t="inlineStr">
        <is>
          <t>Nakit</t>
        </is>
      </c>
      <c r="I108" s="109" t="n"/>
      <c r="J108" s="109" t="inlineStr">
        <is>
          <t>NAKİT ÖDENEN</t>
        </is>
      </c>
      <c r="K108" s="109" t="n"/>
      <c r="L108" s="226">
        <f>IF($E108="","",DATE(YEAR($E108),MONTH($E108),1))</f>
        <v/>
      </c>
      <c r="M108" s="113">
        <f>IF($D108="","",IF($C108="TANIMSIZ MÜŞTERİ","HATA",IF(OR($E108="",$F108&lt;=0,$G108=""),"EKSİK",IF($E108&gt;TODAY(),"İLERİ TARİH",IF(COUNTIF($S$7:$S$1506,$S108)&gt;1,"MÜKERRER?",IF($T108&gt;0,"KAPALI DÖNEM","UYGUN"))))))</f>
        <v/>
      </c>
      <c r="N108" s="121">
        <f>IF($C108="","",IF($C108="TANIMSIZ MÜŞTERİ","—",INDEX(MUSTERILER!$C$7:$C$106,MATCH($C108,MUSTERILER!$B$7:$B$106,0))))</f>
        <v/>
      </c>
      <c r="O108" s="6" t="n"/>
      <c r="P108" s="6" t="n"/>
      <c r="Q108" s="3">
        <f>IF($D108="","",$C108&amp;"|"&amp;COUNTIFS($C$7:$C108,$C108))</f>
        <v/>
      </c>
      <c r="R108" s="3">
        <f>IF($D108="","",UPPER(SUBSTITUTE(SUBSTITUTE(SUBSTITUTE(SUBSTITUTE(SUBSTITUTE(SUBSTITUTE(SUBSTITUTE(SUBSTITUTE(SUBSTITUTE(SUBSTITUTE(SUBSTITUTE(SUBSTITUTE(SUBSTITUTE(SUBSTITUTE(SUBSTITUTE(SUBSTITUTE(SUBSTITUTE(SUBSTITUTE(TRIM($D108),"'",""),"İ","I"),"ı","I"),"i","I"),"Ş","S"),"ş","S"),"Ğ","G"),"ğ","G"),"Ü","U"),"ü","U"),"Ö","O"),"ö","O"),"Ç","C"),"ç","C"),".",""),",","")," ",""),"-","")))</f>
        <v/>
      </c>
      <c r="S108" s="3">
        <f>IF($D108="","",$C108&amp;"|"&amp;TEXT($E108,"0")&amp;"|"&amp;TEXT($F108,"0")&amp;"|"&amp;$I108)</f>
        <v/>
      </c>
      <c r="T108" s="3">
        <f>IF($E108="",0,SUMPRODUCT((AY_SONU!$O$7:$O$42="Evet")*(AY_SONU!$B$7:$B$42=DATE(YEAR($E108),MONTH($E108),1))))</f>
        <v/>
      </c>
    </row>
    <row r="109">
      <c r="A109" s="6" t="n"/>
      <c r="B109" s="113">
        <f>IF($D109="","","T"&amp;TEXT(ROW()-6,"00000"))</f>
        <v/>
      </c>
      <c r="C109" s="113">
        <f>IF($D109="","",IFERROR(INDEX(MUSTERILER!$B$7:$B$106,MATCH($R109,MUSTERILER!$T$7:$T$106,0)),IFERROR(INDEX(MUSTERILER!$B$7:$B$106,MATCH($D109,MUSTERILER!$B$7:$B$106,0)),IFERROR(INDEX(MUSTERILER!$B$7:$B$106,MATCH($R109&amp;"*",MUSTERILER!$T$7:$T$106,0)),"TANIMSIZ MÜŞTERİ"))))</f>
        <v/>
      </c>
      <c r="D109" s="109" t="inlineStr">
        <is>
          <t>Naz 1 Gıda Ltd.Şti.</t>
        </is>
      </c>
      <c r="E109" s="220" t="n">
        <v>46067</v>
      </c>
      <c r="F109" s="221" t="n">
        <v>2000</v>
      </c>
      <c r="G109" s="108" t="inlineStr">
        <is>
          <t>MERKEZ KASA</t>
        </is>
      </c>
      <c r="H109" s="108" t="inlineStr">
        <is>
          <t>Nakit</t>
        </is>
      </c>
      <c r="I109" s="109" t="n"/>
      <c r="J109" s="109" t="inlineStr">
        <is>
          <t>NAKİT ÖDENEN</t>
        </is>
      </c>
      <c r="K109" s="109" t="n"/>
      <c r="L109" s="226">
        <f>IF($E109="","",DATE(YEAR($E109),MONTH($E109),1))</f>
        <v/>
      </c>
      <c r="M109" s="113">
        <f>IF($D109="","",IF($C109="TANIMSIZ MÜŞTERİ","HATA",IF(OR($E109="",$F109&lt;=0,$G109=""),"EKSİK",IF($E109&gt;TODAY(),"İLERİ TARİH",IF(COUNTIF($S$7:$S$1506,$S109)&gt;1,"MÜKERRER?",IF($T109&gt;0,"KAPALI DÖNEM","UYGUN"))))))</f>
        <v/>
      </c>
      <c r="N109" s="121">
        <f>IF($C109="","",IF($C109="TANIMSIZ MÜŞTERİ","—",INDEX(MUSTERILER!$C$7:$C$106,MATCH($C109,MUSTERILER!$B$7:$B$106,0))))</f>
        <v/>
      </c>
      <c r="O109" s="6" t="n"/>
      <c r="P109" s="6" t="n"/>
      <c r="Q109" s="3">
        <f>IF($D109="","",$C109&amp;"|"&amp;COUNTIFS($C$7:$C109,$C109))</f>
        <v/>
      </c>
      <c r="R109" s="3">
        <f>IF($D109="","",UPPER(SUBSTITUTE(SUBSTITUTE(SUBSTITUTE(SUBSTITUTE(SUBSTITUTE(SUBSTITUTE(SUBSTITUTE(SUBSTITUTE(SUBSTITUTE(SUBSTITUTE(SUBSTITUTE(SUBSTITUTE(SUBSTITUTE(SUBSTITUTE(SUBSTITUTE(SUBSTITUTE(SUBSTITUTE(SUBSTITUTE(TRIM($D109),"'",""),"İ","I"),"ı","I"),"i","I"),"Ş","S"),"ş","S"),"Ğ","G"),"ğ","G"),"Ü","U"),"ü","U"),"Ö","O"),"ö","O"),"Ç","C"),"ç","C"),".",""),",","")," ",""),"-","")))</f>
        <v/>
      </c>
      <c r="S109" s="3">
        <f>IF($D109="","",$C109&amp;"|"&amp;TEXT($E109,"0")&amp;"|"&amp;TEXT($F109,"0")&amp;"|"&amp;$I109)</f>
        <v/>
      </c>
      <c r="T109" s="3">
        <f>IF($E109="",0,SUMPRODUCT((AY_SONU!$O$7:$O$42="Evet")*(AY_SONU!$B$7:$B$42=DATE(YEAR($E109),MONTH($E109),1))))</f>
        <v/>
      </c>
    </row>
    <row r="110">
      <c r="A110" s="6" t="n"/>
      <c r="B110" s="113">
        <f>IF($D110="","","T"&amp;TEXT(ROW()-6,"00000"))</f>
        <v/>
      </c>
      <c r="C110" s="113">
        <f>IF($D110="","",IFERROR(INDEX(MUSTERILER!$B$7:$B$106,MATCH($R110,MUSTERILER!$T$7:$T$106,0)),IFERROR(INDEX(MUSTERILER!$B$7:$B$106,MATCH($D110,MUSTERILER!$B$7:$B$106,0)),IFERROR(INDEX(MUSTERILER!$B$7:$B$106,MATCH($R110&amp;"*",MUSTERILER!$T$7:$T$106,0)),"TANIMSIZ MÜŞTERİ"))))</f>
        <v/>
      </c>
      <c r="D110" s="109" t="inlineStr">
        <is>
          <t>Pakyıldız Ltd.Şti.</t>
        </is>
      </c>
      <c r="E110" s="220" t="n">
        <v>46067</v>
      </c>
      <c r="F110" s="221" t="n">
        <v>2000</v>
      </c>
      <c r="G110" s="108" t="inlineStr">
        <is>
          <t>MERKEZ KASA</t>
        </is>
      </c>
      <c r="H110" s="108" t="inlineStr">
        <is>
          <t>Nakit</t>
        </is>
      </c>
      <c r="I110" s="109" t="n"/>
      <c r="J110" s="109" t="inlineStr">
        <is>
          <t>NAKİT ÖDENEN</t>
        </is>
      </c>
      <c r="K110" s="109" t="n"/>
      <c r="L110" s="226">
        <f>IF($E110="","",DATE(YEAR($E110),MONTH($E110),1))</f>
        <v/>
      </c>
      <c r="M110" s="113">
        <f>IF($D110="","",IF($C110="TANIMSIZ MÜŞTERİ","HATA",IF(OR($E110="",$F110&lt;=0,$G110=""),"EKSİK",IF($E110&gt;TODAY(),"İLERİ TARİH",IF(COUNTIF($S$7:$S$1506,$S110)&gt;1,"MÜKERRER?",IF($T110&gt;0,"KAPALI DÖNEM","UYGUN"))))))</f>
        <v/>
      </c>
      <c r="N110" s="121">
        <f>IF($C110="","",IF($C110="TANIMSIZ MÜŞTERİ","—",INDEX(MUSTERILER!$C$7:$C$106,MATCH($C110,MUSTERILER!$B$7:$B$106,0))))</f>
        <v/>
      </c>
      <c r="O110" s="6" t="n"/>
      <c r="P110" s="6" t="n"/>
      <c r="Q110" s="3">
        <f>IF($D110="","",$C110&amp;"|"&amp;COUNTIFS($C$7:$C110,$C110))</f>
        <v/>
      </c>
      <c r="R110" s="3">
        <f>IF($D110="","",UPPER(SUBSTITUTE(SUBSTITUTE(SUBSTITUTE(SUBSTITUTE(SUBSTITUTE(SUBSTITUTE(SUBSTITUTE(SUBSTITUTE(SUBSTITUTE(SUBSTITUTE(SUBSTITUTE(SUBSTITUTE(SUBSTITUTE(SUBSTITUTE(SUBSTITUTE(SUBSTITUTE(SUBSTITUTE(SUBSTITUTE(TRIM($D110),"'",""),"İ","I"),"ı","I"),"i","I"),"Ş","S"),"ş","S"),"Ğ","G"),"ğ","G"),"Ü","U"),"ü","U"),"Ö","O"),"ö","O"),"Ç","C"),"ç","C"),".",""),",","")," ",""),"-","")))</f>
        <v/>
      </c>
      <c r="S110" s="3">
        <f>IF($D110="","",$C110&amp;"|"&amp;TEXT($E110,"0")&amp;"|"&amp;TEXT($F110,"0")&amp;"|"&amp;$I110)</f>
        <v/>
      </c>
      <c r="T110" s="3">
        <f>IF($E110="",0,SUMPRODUCT((AY_SONU!$O$7:$O$42="Evet")*(AY_SONU!$B$7:$B$42=DATE(YEAR($E110),MONTH($E110),1))))</f>
        <v/>
      </c>
    </row>
    <row r="111">
      <c r="A111" s="6" t="n"/>
      <c r="B111" s="113">
        <f>IF($D111="","","T"&amp;TEXT(ROW()-6,"00000"))</f>
        <v/>
      </c>
      <c r="C111" s="113">
        <f>IF($D111="","",IFERROR(INDEX(MUSTERILER!$B$7:$B$106,MATCH($R111,MUSTERILER!$T$7:$T$106,0)),IFERROR(INDEX(MUSTERILER!$B$7:$B$106,MATCH($D111,MUSTERILER!$B$7:$B$106,0)),IFERROR(INDEX(MUSTERILER!$B$7:$B$106,MATCH($R111&amp;"*",MUSTERILER!$T$7:$T$106,0)),"TANIMSIZ MÜŞTERİ"))))</f>
        <v/>
      </c>
      <c r="D111" s="109" t="inlineStr">
        <is>
          <t>Rix Şow Ltd.Şti.</t>
        </is>
      </c>
      <c r="E111" s="220" t="n">
        <v>46067</v>
      </c>
      <c r="F111" s="221" t="n">
        <v>4000</v>
      </c>
      <c r="G111" s="108" t="inlineStr">
        <is>
          <t>MERKEZ KASA</t>
        </is>
      </c>
      <c r="H111" s="108" t="inlineStr">
        <is>
          <t>Nakit</t>
        </is>
      </c>
      <c r="I111" s="109" t="n"/>
      <c r="J111" s="109" t="inlineStr">
        <is>
          <t>NAKİT ÖDENEN</t>
        </is>
      </c>
      <c r="K111" s="109" t="n"/>
      <c r="L111" s="226">
        <f>IF($E111="","",DATE(YEAR($E111),MONTH($E111),1))</f>
        <v/>
      </c>
      <c r="M111" s="113">
        <f>IF($D111="","",IF($C111="TANIMSIZ MÜŞTERİ","HATA",IF(OR($E111="",$F111&lt;=0,$G111=""),"EKSİK",IF($E111&gt;TODAY(),"İLERİ TARİH",IF(COUNTIF($S$7:$S$1506,$S111)&gt;1,"MÜKERRER?",IF($T111&gt;0,"KAPALI DÖNEM","UYGUN"))))))</f>
        <v/>
      </c>
      <c r="N111" s="121">
        <f>IF($C111="","",IF($C111="TANIMSIZ MÜŞTERİ","—",INDEX(MUSTERILER!$C$7:$C$106,MATCH($C111,MUSTERILER!$B$7:$B$106,0))))</f>
        <v/>
      </c>
      <c r="O111" s="6" t="n"/>
      <c r="P111" s="6" t="n"/>
      <c r="Q111" s="3">
        <f>IF($D111="","",$C111&amp;"|"&amp;COUNTIFS($C$7:$C111,$C111))</f>
        <v/>
      </c>
      <c r="R111" s="3">
        <f>IF($D111="","",UPPER(SUBSTITUTE(SUBSTITUTE(SUBSTITUTE(SUBSTITUTE(SUBSTITUTE(SUBSTITUTE(SUBSTITUTE(SUBSTITUTE(SUBSTITUTE(SUBSTITUTE(SUBSTITUTE(SUBSTITUTE(SUBSTITUTE(SUBSTITUTE(SUBSTITUTE(SUBSTITUTE(SUBSTITUTE(SUBSTITUTE(TRIM($D111),"'",""),"İ","I"),"ı","I"),"i","I"),"Ş","S"),"ş","S"),"Ğ","G"),"ğ","G"),"Ü","U"),"ü","U"),"Ö","O"),"ö","O"),"Ç","C"),"ç","C"),".",""),",","")," ",""),"-","")))</f>
        <v/>
      </c>
      <c r="S111" s="3">
        <f>IF($D111="","",$C111&amp;"|"&amp;TEXT($E111,"0")&amp;"|"&amp;TEXT($F111,"0")&amp;"|"&amp;$I111)</f>
        <v/>
      </c>
      <c r="T111" s="3">
        <f>IF($E111="",0,SUMPRODUCT((AY_SONU!$O$7:$O$42="Evet")*(AY_SONU!$B$7:$B$42=DATE(YEAR($E111),MONTH($E111),1))))</f>
        <v/>
      </c>
    </row>
    <row r="112">
      <c r="A112" s="6" t="n"/>
      <c r="B112" s="113">
        <f>IF($D112="","","T"&amp;TEXT(ROW()-6,"00000"))</f>
        <v/>
      </c>
      <c r="C112" s="113">
        <f>IF($D112="","",IFERROR(INDEX(MUSTERILER!$B$7:$B$106,MATCH($R112,MUSTERILER!$T$7:$T$106,0)),IFERROR(INDEX(MUSTERILER!$B$7:$B$106,MATCH($D112,MUSTERILER!$B$7:$B$106,0)),IFERROR(INDEX(MUSTERILER!$B$7:$B$106,MATCH($R112&amp;"*",MUSTERILER!$T$7:$T$106,0)),"TANIMSIZ MÜŞTERİ"))))</f>
        <v/>
      </c>
      <c r="D112" s="109" t="inlineStr">
        <is>
          <t>Zümrüt Grup Ltd.Şti.</t>
        </is>
      </c>
      <c r="E112" s="220" t="n">
        <v>46067</v>
      </c>
      <c r="F112" s="221" t="n">
        <v>1750</v>
      </c>
      <c r="G112" s="108" t="inlineStr">
        <is>
          <t>MERKEZ KASA</t>
        </is>
      </c>
      <c r="H112" s="108" t="inlineStr">
        <is>
          <t>Nakit</t>
        </is>
      </c>
      <c r="I112" s="109" t="n"/>
      <c r="J112" s="109" t="inlineStr">
        <is>
          <t>NAKİT ÖDENEN</t>
        </is>
      </c>
      <c r="K112" s="109" t="n"/>
      <c r="L112" s="226">
        <f>IF($E112="","",DATE(YEAR($E112),MONTH($E112),1))</f>
        <v/>
      </c>
      <c r="M112" s="113">
        <f>IF($D112="","",IF($C112="TANIMSIZ MÜŞTERİ","HATA",IF(OR($E112="",$F112&lt;=0,$G112=""),"EKSİK",IF($E112&gt;TODAY(),"İLERİ TARİH",IF(COUNTIF($S$7:$S$1506,$S112)&gt;1,"MÜKERRER?",IF($T112&gt;0,"KAPALI DÖNEM","UYGUN"))))))</f>
        <v/>
      </c>
      <c r="N112" s="121">
        <f>IF($C112="","",IF($C112="TANIMSIZ MÜŞTERİ","—",INDEX(MUSTERILER!$C$7:$C$106,MATCH($C112,MUSTERILER!$B$7:$B$106,0))))</f>
        <v/>
      </c>
      <c r="O112" s="6" t="n"/>
      <c r="P112" s="6" t="n"/>
      <c r="Q112" s="3">
        <f>IF($D112="","",$C112&amp;"|"&amp;COUNTIFS($C$7:$C112,$C112))</f>
        <v/>
      </c>
      <c r="R112" s="3">
        <f>IF($D112="","",UPPER(SUBSTITUTE(SUBSTITUTE(SUBSTITUTE(SUBSTITUTE(SUBSTITUTE(SUBSTITUTE(SUBSTITUTE(SUBSTITUTE(SUBSTITUTE(SUBSTITUTE(SUBSTITUTE(SUBSTITUTE(SUBSTITUTE(SUBSTITUTE(SUBSTITUTE(SUBSTITUTE(SUBSTITUTE(SUBSTITUTE(TRIM($D112),"'",""),"İ","I"),"ı","I"),"i","I"),"Ş","S"),"ş","S"),"Ğ","G"),"ğ","G"),"Ü","U"),"ü","U"),"Ö","O"),"ö","O"),"Ç","C"),"ç","C"),".",""),",","")," ",""),"-","")))</f>
        <v/>
      </c>
      <c r="S112" s="3">
        <f>IF($D112="","",$C112&amp;"|"&amp;TEXT($E112,"0")&amp;"|"&amp;TEXT($F112,"0")&amp;"|"&amp;$I112)</f>
        <v/>
      </c>
      <c r="T112" s="3">
        <f>IF($E112="",0,SUMPRODUCT((AY_SONU!$O$7:$O$42="Evet")*(AY_SONU!$B$7:$B$42=DATE(YEAR($E112),MONTH($E112),1))))</f>
        <v/>
      </c>
    </row>
    <row r="113">
      <c r="A113" s="6" t="n"/>
      <c r="B113" s="113">
        <f>IF($D113="","","T"&amp;TEXT(ROW()-6,"00000"))</f>
        <v/>
      </c>
      <c r="C113" s="113">
        <f>IF($D113="","",IFERROR(INDEX(MUSTERILER!$B$7:$B$106,MATCH($R113,MUSTERILER!$T$7:$T$106,0)),IFERROR(INDEX(MUSTERILER!$B$7:$B$106,MATCH($D113,MUSTERILER!$B$7:$B$106,0)),IFERROR(INDEX(MUSTERILER!$B$7:$B$106,MATCH($R113&amp;"*",MUSTERILER!$T$7:$T$106,0)),"TANIMSIZ MÜŞTERİ"))))</f>
        <v/>
      </c>
      <c r="D113" s="109" t="inlineStr">
        <is>
          <t>İSA DEMİRCİ</t>
        </is>
      </c>
      <c r="E113" s="220" t="n">
        <v>46067</v>
      </c>
      <c r="F113" s="221" t="n">
        <v>3500</v>
      </c>
      <c r="G113" s="108" t="inlineStr">
        <is>
          <t>MERKEZ KASA</t>
        </is>
      </c>
      <c r="H113" s="108" t="inlineStr">
        <is>
          <t>Nakit</t>
        </is>
      </c>
      <c r="I113" s="109" t="n"/>
      <c r="J113" s="109" t="inlineStr">
        <is>
          <t>NAKİT ÖDENEN</t>
        </is>
      </c>
      <c r="K113" s="109" t="n"/>
      <c r="L113" s="226">
        <f>IF($E113="","",DATE(YEAR($E113),MONTH($E113),1))</f>
        <v/>
      </c>
      <c r="M113" s="113">
        <f>IF($D113="","",IF($C113="TANIMSIZ MÜŞTERİ","HATA",IF(OR($E113="",$F113&lt;=0,$G113=""),"EKSİK",IF($E113&gt;TODAY(),"İLERİ TARİH",IF(COUNTIF($S$7:$S$1506,$S113)&gt;1,"MÜKERRER?",IF($T113&gt;0,"KAPALI DÖNEM","UYGUN"))))))</f>
        <v/>
      </c>
      <c r="N113" s="121">
        <f>IF($C113="","",IF($C113="TANIMSIZ MÜŞTERİ","—",INDEX(MUSTERILER!$C$7:$C$106,MATCH($C113,MUSTERILER!$B$7:$B$106,0))))</f>
        <v/>
      </c>
      <c r="O113" s="6" t="n"/>
      <c r="P113" s="6" t="n"/>
      <c r="Q113" s="3">
        <f>IF($D113="","",$C113&amp;"|"&amp;COUNTIFS($C$7:$C113,$C113))</f>
        <v/>
      </c>
      <c r="R113" s="3">
        <f>IF($D113="","",UPPER(SUBSTITUTE(SUBSTITUTE(SUBSTITUTE(SUBSTITUTE(SUBSTITUTE(SUBSTITUTE(SUBSTITUTE(SUBSTITUTE(SUBSTITUTE(SUBSTITUTE(SUBSTITUTE(SUBSTITUTE(SUBSTITUTE(SUBSTITUTE(SUBSTITUTE(SUBSTITUTE(SUBSTITUTE(SUBSTITUTE(TRIM($D113),"'",""),"İ","I"),"ı","I"),"i","I"),"Ş","S"),"ş","S"),"Ğ","G"),"ğ","G"),"Ü","U"),"ü","U"),"Ö","O"),"ö","O"),"Ç","C"),"ç","C"),".",""),",","")," ",""),"-","")))</f>
        <v/>
      </c>
      <c r="S113" s="3">
        <f>IF($D113="","",$C113&amp;"|"&amp;TEXT($E113,"0")&amp;"|"&amp;TEXT($F113,"0")&amp;"|"&amp;$I113)</f>
        <v/>
      </c>
      <c r="T113" s="3">
        <f>IF($E113="",0,SUMPRODUCT((AY_SONU!$O$7:$O$42="Evet")*(AY_SONU!$B$7:$B$42=DATE(YEAR($E113),MONTH($E113),1))))</f>
        <v/>
      </c>
    </row>
    <row r="114">
      <c r="A114" s="6" t="n"/>
      <c r="B114" s="113">
        <f>IF($D114="","","T"&amp;TEXT(ROW()-6,"00000"))</f>
        <v/>
      </c>
      <c r="C114" s="113">
        <f>IF($D114="","",IFERROR(INDEX(MUSTERILER!$B$7:$B$106,MATCH($R114,MUSTERILER!$T$7:$T$106,0)),IFERROR(INDEX(MUSTERILER!$B$7:$B$106,MATCH($D114,MUSTERILER!$B$7:$B$106,0)),IFERROR(INDEX(MUSTERILER!$B$7:$B$106,MATCH($R114&amp;"*",MUSTERILER!$T$7:$T$106,0)),"TANIMSIZ MÜŞTERİ"))))</f>
        <v/>
      </c>
      <c r="D114" s="109" t="inlineStr">
        <is>
          <t>KRİSTAL LTD.ŞTİ.</t>
        </is>
      </c>
      <c r="E114" s="220" t="n">
        <v>46067</v>
      </c>
      <c r="F114" s="221" t="n">
        <v>3000</v>
      </c>
      <c r="G114" s="108" t="inlineStr">
        <is>
          <t>MERKEZ KASA</t>
        </is>
      </c>
      <c r="H114" s="108" t="inlineStr">
        <is>
          <t>Nakit</t>
        </is>
      </c>
      <c r="I114" s="109" t="n"/>
      <c r="J114" s="109" t="inlineStr">
        <is>
          <t>NAKİT ÖDENEN</t>
        </is>
      </c>
      <c r="K114" s="109" t="n"/>
      <c r="L114" s="226">
        <f>IF($E114="","",DATE(YEAR($E114),MONTH($E114),1))</f>
        <v/>
      </c>
      <c r="M114" s="113">
        <f>IF($D114="","",IF($C114="TANIMSIZ MÜŞTERİ","HATA",IF(OR($E114="",$F114&lt;=0,$G114=""),"EKSİK",IF($E114&gt;TODAY(),"İLERİ TARİH",IF(COUNTIF($S$7:$S$1506,$S114)&gt;1,"MÜKERRER?",IF($T114&gt;0,"KAPALI DÖNEM","UYGUN"))))))</f>
        <v/>
      </c>
      <c r="N114" s="121">
        <f>IF($C114="","",IF($C114="TANIMSIZ MÜŞTERİ","—",INDEX(MUSTERILER!$C$7:$C$106,MATCH($C114,MUSTERILER!$B$7:$B$106,0))))</f>
        <v/>
      </c>
      <c r="O114" s="6" t="n"/>
      <c r="P114" s="6" t="n"/>
      <c r="Q114" s="3">
        <f>IF($D114="","",$C114&amp;"|"&amp;COUNTIFS($C$7:$C114,$C114))</f>
        <v/>
      </c>
      <c r="R114" s="3">
        <f>IF($D114="","",UPPER(SUBSTITUTE(SUBSTITUTE(SUBSTITUTE(SUBSTITUTE(SUBSTITUTE(SUBSTITUTE(SUBSTITUTE(SUBSTITUTE(SUBSTITUTE(SUBSTITUTE(SUBSTITUTE(SUBSTITUTE(SUBSTITUTE(SUBSTITUTE(SUBSTITUTE(SUBSTITUTE(SUBSTITUTE(SUBSTITUTE(TRIM($D114),"'",""),"İ","I"),"ı","I"),"i","I"),"Ş","S"),"ş","S"),"Ğ","G"),"ğ","G"),"Ü","U"),"ü","U"),"Ö","O"),"ö","O"),"Ç","C"),"ç","C"),".",""),",","")," ",""),"-","")))</f>
        <v/>
      </c>
      <c r="S114" s="3">
        <f>IF($D114="","",$C114&amp;"|"&amp;TEXT($E114,"0")&amp;"|"&amp;TEXT($F114,"0")&amp;"|"&amp;$I114)</f>
        <v/>
      </c>
      <c r="T114" s="3">
        <f>IF($E114="",0,SUMPRODUCT((AY_SONU!$O$7:$O$42="Evet")*(AY_SONU!$B$7:$B$42=DATE(YEAR($E114),MONTH($E114),1))))</f>
        <v/>
      </c>
    </row>
    <row r="115">
      <c r="A115" s="6" t="n"/>
      <c r="B115" s="113">
        <f>IF($D115="","","T"&amp;TEXT(ROW()-6,"00000"))</f>
        <v/>
      </c>
      <c r="C115" s="113">
        <f>IF($D115="","",IFERROR(INDEX(MUSTERILER!$B$7:$B$106,MATCH($R115,MUSTERILER!$T$7:$T$106,0)),IFERROR(INDEX(MUSTERILER!$B$7:$B$106,MATCH($D115,MUSTERILER!$B$7:$B$106,0)),IFERROR(INDEX(MUSTERILER!$B$7:$B$106,MATCH($R115&amp;"*",MUSTERILER!$T$7:$T$106,0)),"TANIMSIZ MÜŞTERİ"))))</f>
        <v/>
      </c>
      <c r="D115" s="109" t="inlineStr">
        <is>
          <t>AC OTEL LTD.ŞTİ.</t>
        </is>
      </c>
      <c r="E115" s="220" t="n">
        <v>46071</v>
      </c>
      <c r="F115" s="221" t="n">
        <v>3000</v>
      </c>
      <c r="G115" s="108" t="inlineStr">
        <is>
          <t>MERKEZ KASA</t>
        </is>
      </c>
      <c r="H115" s="108" t="inlineStr">
        <is>
          <t>Nakit</t>
        </is>
      </c>
      <c r="I115" s="109" t="n"/>
      <c r="J115" s="109" t="inlineStr">
        <is>
          <t>NAKİT ÖDENEN</t>
        </is>
      </c>
      <c r="K115" s="109" t="n"/>
      <c r="L115" s="226">
        <f>IF($E115="","",DATE(YEAR($E115),MONTH($E115),1))</f>
        <v/>
      </c>
      <c r="M115" s="113">
        <f>IF($D115="","",IF($C115="TANIMSIZ MÜŞTERİ","HATA",IF(OR($E115="",$F115&lt;=0,$G115=""),"EKSİK",IF($E115&gt;TODAY(),"İLERİ TARİH",IF(COUNTIF($S$7:$S$1506,$S115)&gt;1,"MÜKERRER?",IF($T115&gt;0,"KAPALI DÖNEM","UYGUN"))))))</f>
        <v/>
      </c>
      <c r="N115" s="121">
        <f>IF($C115="","",IF($C115="TANIMSIZ MÜŞTERİ","—",INDEX(MUSTERILER!$C$7:$C$106,MATCH($C115,MUSTERILER!$B$7:$B$106,0))))</f>
        <v/>
      </c>
      <c r="O115" s="6" t="n"/>
      <c r="P115" s="6" t="n"/>
      <c r="Q115" s="3">
        <f>IF($D115="","",$C115&amp;"|"&amp;COUNTIFS($C$7:$C115,$C115))</f>
        <v/>
      </c>
      <c r="R115" s="3">
        <f>IF($D115="","",UPPER(SUBSTITUTE(SUBSTITUTE(SUBSTITUTE(SUBSTITUTE(SUBSTITUTE(SUBSTITUTE(SUBSTITUTE(SUBSTITUTE(SUBSTITUTE(SUBSTITUTE(SUBSTITUTE(SUBSTITUTE(SUBSTITUTE(SUBSTITUTE(SUBSTITUTE(SUBSTITUTE(SUBSTITUTE(SUBSTITUTE(TRIM($D115),"'",""),"İ","I"),"ı","I"),"i","I"),"Ş","S"),"ş","S"),"Ğ","G"),"ğ","G"),"Ü","U"),"ü","U"),"Ö","O"),"ö","O"),"Ç","C"),"ç","C"),".",""),",","")," ",""),"-","")))</f>
        <v/>
      </c>
      <c r="S115" s="3">
        <f>IF($D115="","",$C115&amp;"|"&amp;TEXT($E115,"0")&amp;"|"&amp;TEXT($F115,"0")&amp;"|"&amp;$I115)</f>
        <v/>
      </c>
      <c r="T115" s="3">
        <f>IF($E115="",0,SUMPRODUCT((AY_SONU!$O$7:$O$42="Evet")*(AY_SONU!$B$7:$B$42=DATE(YEAR($E115),MONTH($E115),1))))</f>
        <v/>
      </c>
    </row>
    <row r="116">
      <c r="A116" s="6" t="n"/>
      <c r="B116" s="113">
        <f>IF($D116="","","T"&amp;TEXT(ROW()-6,"00000"))</f>
        <v/>
      </c>
      <c r="C116" s="113">
        <f>IF($D116="","",IFERROR(INDEX(MUSTERILER!$B$7:$B$106,MATCH($R116,MUSTERILER!$T$7:$T$106,0)),IFERROR(INDEX(MUSTERILER!$B$7:$B$106,MATCH($D116,MUSTERILER!$B$7:$B$106,0)),IFERROR(INDEX(MUSTERILER!$B$7:$B$106,MATCH($R116&amp;"*",MUSTERILER!$T$7:$T$106,0)),"TANIMSIZ MÜŞTERİ"))))</f>
        <v/>
      </c>
      <c r="D116" s="109" t="inlineStr">
        <is>
          <t>ASM EĞLENCE LTD.ŞTİ.</t>
        </is>
      </c>
      <c r="E116" s="220" t="n">
        <v>46074</v>
      </c>
      <c r="F116" s="221" t="n">
        <v>2500</v>
      </c>
      <c r="G116" s="108" t="inlineStr">
        <is>
          <t>ÖMER KARTAL</t>
        </is>
      </c>
      <c r="H116" s="108" t="inlineStr">
        <is>
          <t>Nakit</t>
        </is>
      </c>
      <c r="I116" s="109" t="n"/>
      <c r="J116" s="109" t="inlineStr">
        <is>
          <t>NAKİT ÖDENEN</t>
        </is>
      </c>
      <c r="K116" s="109" t="n"/>
      <c r="L116" s="226">
        <f>IF($E116="","",DATE(YEAR($E116),MONTH($E116),1))</f>
        <v/>
      </c>
      <c r="M116" s="113">
        <f>IF($D116="","",IF($C116="TANIMSIZ MÜŞTERİ","HATA",IF(OR($E116="",$F116&lt;=0,$G116=""),"EKSİK",IF($E116&gt;TODAY(),"İLERİ TARİH",IF(COUNTIF($S$7:$S$1506,$S116)&gt;1,"MÜKERRER?",IF($T116&gt;0,"KAPALI DÖNEM","UYGUN"))))))</f>
        <v/>
      </c>
      <c r="N116" s="121">
        <f>IF($C116="","",IF($C116="TANIMSIZ MÜŞTERİ","—",INDEX(MUSTERILER!$C$7:$C$106,MATCH($C116,MUSTERILER!$B$7:$B$106,0))))</f>
        <v/>
      </c>
      <c r="O116" s="6" t="n"/>
      <c r="P116" s="6" t="n"/>
      <c r="Q116" s="3">
        <f>IF($D116="","",$C116&amp;"|"&amp;COUNTIFS($C$7:$C116,$C116))</f>
        <v/>
      </c>
      <c r="R116" s="3">
        <f>IF($D116="","",UPPER(SUBSTITUTE(SUBSTITUTE(SUBSTITUTE(SUBSTITUTE(SUBSTITUTE(SUBSTITUTE(SUBSTITUTE(SUBSTITUTE(SUBSTITUTE(SUBSTITUTE(SUBSTITUTE(SUBSTITUTE(SUBSTITUTE(SUBSTITUTE(SUBSTITUTE(SUBSTITUTE(SUBSTITUTE(SUBSTITUTE(TRIM($D116),"'",""),"İ","I"),"ı","I"),"i","I"),"Ş","S"),"ş","S"),"Ğ","G"),"ğ","G"),"Ü","U"),"ü","U"),"Ö","O"),"ö","O"),"Ç","C"),"ç","C"),".",""),",","")," ",""),"-","")))</f>
        <v/>
      </c>
      <c r="S116" s="3">
        <f>IF($D116="","",$C116&amp;"|"&amp;TEXT($E116,"0")&amp;"|"&amp;TEXT($F116,"0")&amp;"|"&amp;$I116)</f>
        <v/>
      </c>
      <c r="T116" s="3">
        <f>IF($E116="",0,SUMPRODUCT((AY_SONU!$O$7:$O$42="Evet")*(AY_SONU!$B$7:$B$42=DATE(YEAR($E116),MONTH($E116),1))))</f>
        <v/>
      </c>
    </row>
    <row r="117">
      <c r="A117" s="6" t="n"/>
      <c r="B117" s="113">
        <f>IF($D117="","","T"&amp;TEXT(ROW()-6,"00000"))</f>
        <v/>
      </c>
      <c r="C117" s="113">
        <f>IF($D117="","",IFERROR(INDEX(MUSTERILER!$B$7:$B$106,MATCH($R117,MUSTERILER!$T$7:$T$106,0)),IFERROR(INDEX(MUSTERILER!$B$7:$B$106,MATCH($D117,MUSTERILER!$B$7:$B$106,0)),IFERROR(INDEX(MUSTERILER!$B$7:$B$106,MATCH($R117&amp;"*",MUSTERILER!$T$7:$T$106,0)),"TANIMSIZ MÜŞTERİ"))))</f>
        <v/>
      </c>
      <c r="D117" s="109" t="inlineStr">
        <is>
          <t>İldeş Ltd.Şti.</t>
        </is>
      </c>
      <c r="E117" s="220" t="n">
        <v>46074</v>
      </c>
      <c r="F117" s="221" t="n">
        <v>4000</v>
      </c>
      <c r="G117" s="108" t="inlineStr">
        <is>
          <t>ÖMER KARTAL</t>
        </is>
      </c>
      <c r="H117" s="108" t="inlineStr">
        <is>
          <t>Nakit</t>
        </is>
      </c>
      <c r="I117" s="109" t="n"/>
      <c r="J117" s="109" t="inlineStr">
        <is>
          <t>ÖMER KARTALA ÖDENEN</t>
        </is>
      </c>
      <c r="K117" s="109" t="n"/>
      <c r="L117" s="226">
        <f>IF($E117="","",DATE(YEAR($E117),MONTH($E117),1))</f>
        <v/>
      </c>
      <c r="M117" s="113">
        <f>IF($D117="","",IF($C117="TANIMSIZ MÜŞTERİ","HATA",IF(OR($E117="",$F117&lt;=0,$G117=""),"EKSİK",IF($E117&gt;TODAY(),"İLERİ TARİH",IF(COUNTIF($S$7:$S$1506,$S117)&gt;1,"MÜKERRER?",IF($T117&gt;0,"KAPALI DÖNEM","UYGUN"))))))</f>
        <v/>
      </c>
      <c r="N117" s="121">
        <f>IF($C117="","",IF($C117="TANIMSIZ MÜŞTERİ","—",INDEX(MUSTERILER!$C$7:$C$106,MATCH($C117,MUSTERILER!$B$7:$B$106,0))))</f>
        <v/>
      </c>
      <c r="O117" s="6" t="n"/>
      <c r="P117" s="6" t="n"/>
      <c r="Q117" s="3">
        <f>IF($D117="","",$C117&amp;"|"&amp;COUNTIFS($C$7:$C117,$C117))</f>
        <v/>
      </c>
      <c r="R117" s="3">
        <f>IF($D117="","",UPPER(SUBSTITUTE(SUBSTITUTE(SUBSTITUTE(SUBSTITUTE(SUBSTITUTE(SUBSTITUTE(SUBSTITUTE(SUBSTITUTE(SUBSTITUTE(SUBSTITUTE(SUBSTITUTE(SUBSTITUTE(SUBSTITUTE(SUBSTITUTE(SUBSTITUTE(SUBSTITUTE(SUBSTITUTE(SUBSTITUTE(TRIM($D117),"'",""),"İ","I"),"ı","I"),"i","I"),"Ş","S"),"ş","S"),"Ğ","G"),"ğ","G"),"Ü","U"),"ü","U"),"Ö","O"),"ö","O"),"Ç","C"),"ç","C"),".",""),",","")," ",""),"-","")))</f>
        <v/>
      </c>
      <c r="S117" s="3">
        <f>IF($D117="","",$C117&amp;"|"&amp;TEXT($E117,"0")&amp;"|"&amp;TEXT($F117,"0")&amp;"|"&amp;$I117)</f>
        <v/>
      </c>
      <c r="T117" s="3">
        <f>IF($E117="",0,SUMPRODUCT((AY_SONU!$O$7:$O$42="Evet")*(AY_SONU!$B$7:$B$42=DATE(YEAR($E117),MONTH($E117),1))))</f>
        <v/>
      </c>
    </row>
    <row r="118">
      <c r="A118" s="6" t="n"/>
      <c r="B118" s="113">
        <f>IF($D118="","","T"&amp;TEXT(ROW()-6,"00000"))</f>
        <v/>
      </c>
      <c r="C118" s="113">
        <f>IF($D118="","",IFERROR(INDEX(MUSTERILER!$B$7:$B$106,MATCH($R118,MUSTERILER!$T$7:$T$106,0)),IFERROR(INDEX(MUSTERILER!$B$7:$B$106,MATCH($D118,MUSTERILER!$B$7:$B$106,0)),IFERROR(INDEX(MUSTERILER!$B$7:$B$106,MATCH($R118&amp;"*",MUSTERILER!$T$7:$T$106,0)),"TANIMSIZ MÜŞTERİ"))))</f>
        <v/>
      </c>
      <c r="D118" s="109" t="inlineStr">
        <is>
          <t>Özfidanlar Ltd.Şti.</t>
        </is>
      </c>
      <c r="E118" s="220" t="n">
        <v>46074</v>
      </c>
      <c r="F118" s="221" t="n">
        <v>8000</v>
      </c>
      <c r="G118" s="108" t="inlineStr">
        <is>
          <t>ÖMER KARTAL</t>
        </is>
      </c>
      <c r="H118" s="108" t="inlineStr">
        <is>
          <t>Nakit</t>
        </is>
      </c>
      <c r="I118" s="109" t="n"/>
      <c r="J118" s="109" t="inlineStr">
        <is>
          <t>ÖMER KARTALA ÖDENEN</t>
        </is>
      </c>
      <c r="K118" s="109" t="n"/>
      <c r="L118" s="226">
        <f>IF($E118="","",DATE(YEAR($E118),MONTH($E118),1))</f>
        <v/>
      </c>
      <c r="M118" s="113">
        <f>IF($D118="","",IF($C118="TANIMSIZ MÜŞTERİ","HATA",IF(OR($E118="",$F118&lt;=0,$G118=""),"EKSİK",IF($E118&gt;TODAY(),"İLERİ TARİH",IF(COUNTIF($S$7:$S$1506,$S118)&gt;1,"MÜKERRER?",IF($T118&gt;0,"KAPALI DÖNEM","UYGUN"))))))</f>
        <v/>
      </c>
      <c r="N118" s="121">
        <f>IF($C118="","",IF($C118="TANIMSIZ MÜŞTERİ","—",INDEX(MUSTERILER!$C$7:$C$106,MATCH($C118,MUSTERILER!$B$7:$B$106,0))))</f>
        <v/>
      </c>
      <c r="O118" s="6" t="n"/>
      <c r="P118" s="6" t="n"/>
      <c r="Q118" s="3">
        <f>IF($D118="","",$C118&amp;"|"&amp;COUNTIFS($C$7:$C118,$C118))</f>
        <v/>
      </c>
      <c r="R118" s="3">
        <f>IF($D118="","",UPPER(SUBSTITUTE(SUBSTITUTE(SUBSTITUTE(SUBSTITUTE(SUBSTITUTE(SUBSTITUTE(SUBSTITUTE(SUBSTITUTE(SUBSTITUTE(SUBSTITUTE(SUBSTITUTE(SUBSTITUTE(SUBSTITUTE(SUBSTITUTE(SUBSTITUTE(SUBSTITUTE(SUBSTITUTE(SUBSTITUTE(TRIM($D118),"'",""),"İ","I"),"ı","I"),"i","I"),"Ş","S"),"ş","S"),"Ğ","G"),"ğ","G"),"Ü","U"),"ü","U"),"Ö","O"),"ö","O"),"Ç","C"),"ç","C"),".",""),",","")," ",""),"-","")))</f>
        <v/>
      </c>
      <c r="S118" s="3">
        <f>IF($D118="","",$C118&amp;"|"&amp;TEXT($E118,"0")&amp;"|"&amp;TEXT($F118,"0")&amp;"|"&amp;$I118)</f>
        <v/>
      </c>
      <c r="T118" s="3">
        <f>IF($E118="",0,SUMPRODUCT((AY_SONU!$O$7:$O$42="Evet")*(AY_SONU!$B$7:$B$42=DATE(YEAR($E118),MONTH($E118),1))))</f>
        <v/>
      </c>
    </row>
    <row r="119">
      <c r="A119" s="6" t="n"/>
      <c r="B119" s="113">
        <f>IF($D119="","","T"&amp;TEXT(ROW()-6,"00000"))</f>
        <v/>
      </c>
      <c r="C119" s="113">
        <f>IF($D119="","",IFERROR(INDEX(MUSTERILER!$B$7:$B$106,MATCH($R119,MUSTERILER!$T$7:$T$106,0)),IFERROR(INDEX(MUSTERILER!$B$7:$B$106,MATCH($D119,MUSTERILER!$B$7:$B$106,0)),IFERROR(INDEX(MUSTERILER!$B$7:$B$106,MATCH($R119&amp;"*",MUSTERILER!$T$7:$T$106,0)),"TANIMSIZ MÜŞTERİ"))))</f>
        <v/>
      </c>
      <c r="D119" s="109" t="inlineStr">
        <is>
          <t>Rix Şow Ltd.Şti.</t>
        </is>
      </c>
      <c r="E119" s="220" t="n">
        <v>46074</v>
      </c>
      <c r="F119" s="221" t="n">
        <v>3000</v>
      </c>
      <c r="G119" s="108" t="inlineStr">
        <is>
          <t>ÖMER KARTAL</t>
        </is>
      </c>
      <c r="H119" s="108" t="inlineStr">
        <is>
          <t>Nakit</t>
        </is>
      </c>
      <c r="I119" s="109" t="n"/>
      <c r="J119" s="109" t="inlineStr">
        <is>
          <t>ÖMER KARTALA ÖDENEN</t>
        </is>
      </c>
      <c r="K119" s="109" t="n"/>
      <c r="L119" s="226">
        <f>IF($E119="","",DATE(YEAR($E119),MONTH($E119),1))</f>
        <v/>
      </c>
      <c r="M119" s="113">
        <f>IF($D119="","",IF($C119="TANIMSIZ MÜŞTERİ","HATA",IF(OR($E119="",$F119&lt;=0,$G119=""),"EKSİK",IF($E119&gt;TODAY(),"İLERİ TARİH",IF(COUNTIF($S$7:$S$1506,$S119)&gt;1,"MÜKERRER?",IF($T119&gt;0,"KAPALI DÖNEM","UYGUN"))))))</f>
        <v/>
      </c>
      <c r="N119" s="121">
        <f>IF($C119="","",IF($C119="TANIMSIZ MÜŞTERİ","—",INDEX(MUSTERILER!$C$7:$C$106,MATCH($C119,MUSTERILER!$B$7:$B$106,0))))</f>
        <v/>
      </c>
      <c r="O119" s="6" t="n"/>
      <c r="P119" s="6" t="n"/>
      <c r="Q119" s="3">
        <f>IF($D119="","",$C119&amp;"|"&amp;COUNTIFS($C$7:$C119,$C119))</f>
        <v/>
      </c>
      <c r="R119" s="3">
        <f>IF($D119="","",UPPER(SUBSTITUTE(SUBSTITUTE(SUBSTITUTE(SUBSTITUTE(SUBSTITUTE(SUBSTITUTE(SUBSTITUTE(SUBSTITUTE(SUBSTITUTE(SUBSTITUTE(SUBSTITUTE(SUBSTITUTE(SUBSTITUTE(SUBSTITUTE(SUBSTITUTE(SUBSTITUTE(SUBSTITUTE(SUBSTITUTE(TRIM($D119),"'",""),"İ","I"),"ı","I"),"i","I"),"Ş","S"),"ş","S"),"Ğ","G"),"ğ","G"),"Ü","U"),"ü","U"),"Ö","O"),"ö","O"),"Ç","C"),"ç","C"),".",""),",","")," ",""),"-","")))</f>
        <v/>
      </c>
      <c r="S119" s="3">
        <f>IF($D119="","",$C119&amp;"|"&amp;TEXT($E119,"0")&amp;"|"&amp;TEXT($F119,"0")&amp;"|"&amp;$I119)</f>
        <v/>
      </c>
      <c r="T119" s="3">
        <f>IF($E119="",0,SUMPRODUCT((AY_SONU!$O$7:$O$42="Evet")*(AY_SONU!$B$7:$B$42=DATE(YEAR($E119),MONTH($E119),1))))</f>
        <v/>
      </c>
    </row>
    <row r="120">
      <c r="A120" s="6" t="n"/>
      <c r="B120" s="113">
        <f>IF($D120="","","T"&amp;TEXT(ROW()-6,"00000"))</f>
        <v/>
      </c>
      <c r="C120" s="113">
        <f>IF($D120="","",IFERROR(INDEX(MUSTERILER!$B$7:$B$106,MATCH($R120,MUSTERILER!$T$7:$T$106,0)),IFERROR(INDEX(MUSTERILER!$B$7:$B$106,MATCH($D120,MUSTERILER!$B$7:$B$106,0)),IFERROR(INDEX(MUSTERILER!$B$7:$B$106,MATCH($R120&amp;"*",MUSTERILER!$T$7:$T$106,0)),"TANIMSIZ MÜŞTERİ"))))</f>
        <v/>
      </c>
      <c r="D120" s="109" t="inlineStr">
        <is>
          <t>EĞLENGÖR LTD.ŞTİ.</t>
        </is>
      </c>
      <c r="E120" s="220" t="n">
        <v>46074</v>
      </c>
      <c r="F120" s="221" t="n">
        <v>3000</v>
      </c>
      <c r="G120" s="108" t="inlineStr">
        <is>
          <t>MERKEZ KASA</t>
        </is>
      </c>
      <c r="H120" s="108" t="inlineStr">
        <is>
          <t>Nakit</t>
        </is>
      </c>
      <c r="I120" s="109" t="n"/>
      <c r="J120" s="109" t="inlineStr">
        <is>
          <t>NAKİT ÖDENEN</t>
        </is>
      </c>
      <c r="K120" s="109" t="n"/>
      <c r="L120" s="226">
        <f>IF($E120="","",DATE(YEAR($E120),MONTH($E120),1))</f>
        <v/>
      </c>
      <c r="M120" s="113">
        <f>IF($D120="","",IF($C120="TANIMSIZ MÜŞTERİ","HATA",IF(OR($E120="",$F120&lt;=0,$G120=""),"EKSİK",IF($E120&gt;TODAY(),"İLERİ TARİH",IF(COUNTIF($S$7:$S$1506,$S120)&gt;1,"MÜKERRER?",IF($T120&gt;0,"KAPALI DÖNEM","UYGUN"))))))</f>
        <v/>
      </c>
      <c r="N120" s="121">
        <f>IF($C120="","",IF($C120="TANIMSIZ MÜŞTERİ","—",INDEX(MUSTERILER!$C$7:$C$106,MATCH($C120,MUSTERILER!$B$7:$B$106,0))))</f>
        <v/>
      </c>
      <c r="O120" s="6" t="n"/>
      <c r="P120" s="6" t="n"/>
      <c r="Q120" s="3">
        <f>IF($D120="","",$C120&amp;"|"&amp;COUNTIFS($C$7:$C120,$C120))</f>
        <v/>
      </c>
      <c r="R120" s="3">
        <f>IF($D120="","",UPPER(SUBSTITUTE(SUBSTITUTE(SUBSTITUTE(SUBSTITUTE(SUBSTITUTE(SUBSTITUTE(SUBSTITUTE(SUBSTITUTE(SUBSTITUTE(SUBSTITUTE(SUBSTITUTE(SUBSTITUTE(SUBSTITUTE(SUBSTITUTE(SUBSTITUTE(SUBSTITUTE(SUBSTITUTE(SUBSTITUTE(TRIM($D120),"'",""),"İ","I"),"ı","I"),"i","I"),"Ş","S"),"ş","S"),"Ğ","G"),"ğ","G"),"Ü","U"),"ü","U"),"Ö","O"),"ö","O"),"Ç","C"),"ç","C"),".",""),",","")," ",""),"-","")))</f>
        <v/>
      </c>
      <c r="S120" s="3">
        <f>IF($D120="","",$C120&amp;"|"&amp;TEXT($E120,"0")&amp;"|"&amp;TEXT($F120,"0")&amp;"|"&amp;$I120)</f>
        <v/>
      </c>
      <c r="T120" s="3">
        <f>IF($E120="",0,SUMPRODUCT((AY_SONU!$O$7:$O$42="Evet")*(AY_SONU!$B$7:$B$42=DATE(YEAR($E120),MONTH($E120),1))))</f>
        <v/>
      </c>
    </row>
    <row r="121">
      <c r="A121" s="6" t="n"/>
      <c r="B121" s="113">
        <f>IF($D121="","","T"&amp;TEXT(ROW()-6,"00000"))</f>
        <v/>
      </c>
      <c r="C121" s="113">
        <f>IF($D121="","",IFERROR(INDEX(MUSTERILER!$B$7:$B$106,MATCH($R121,MUSTERILER!$T$7:$T$106,0)),IFERROR(INDEX(MUSTERILER!$B$7:$B$106,MATCH($D121,MUSTERILER!$B$7:$B$106,0)),IFERROR(INDEX(MUSTERILER!$B$7:$B$106,MATCH($R121&amp;"*",MUSTERILER!$T$7:$T$106,0)),"TANIMSIZ MÜŞTERİ"))))</f>
        <v/>
      </c>
      <c r="D121" s="109" t="inlineStr">
        <is>
          <t>KRİSTAL LTD.ŞTİ.</t>
        </is>
      </c>
      <c r="E121" s="220" t="n">
        <v>46074</v>
      </c>
      <c r="F121" s="221" t="n">
        <v>3000</v>
      </c>
      <c r="G121" s="108" t="inlineStr">
        <is>
          <t>ÖMER KARTAL</t>
        </is>
      </c>
      <c r="H121" s="108" t="inlineStr">
        <is>
          <t>Nakit</t>
        </is>
      </c>
      <c r="I121" s="109" t="n"/>
      <c r="J121" s="109" t="inlineStr">
        <is>
          <t>NAKİT ÖDENEN</t>
        </is>
      </c>
      <c r="K121" s="109" t="n"/>
      <c r="L121" s="226">
        <f>IF($E121="","",DATE(YEAR($E121),MONTH($E121),1))</f>
        <v/>
      </c>
      <c r="M121" s="113">
        <f>IF($D121="","",IF($C121="TANIMSIZ MÜŞTERİ","HATA",IF(OR($E121="",$F121&lt;=0,$G121=""),"EKSİK",IF($E121&gt;TODAY(),"İLERİ TARİH",IF(COUNTIF($S$7:$S$1506,$S121)&gt;1,"MÜKERRER?",IF($T121&gt;0,"KAPALI DÖNEM","UYGUN"))))))</f>
        <v/>
      </c>
      <c r="N121" s="121">
        <f>IF($C121="","",IF($C121="TANIMSIZ MÜŞTERİ","—",INDEX(MUSTERILER!$C$7:$C$106,MATCH($C121,MUSTERILER!$B$7:$B$106,0))))</f>
        <v/>
      </c>
      <c r="O121" s="6" t="n"/>
      <c r="P121" s="6" t="n"/>
      <c r="Q121" s="3">
        <f>IF($D121="","",$C121&amp;"|"&amp;COUNTIFS($C$7:$C121,$C121))</f>
        <v/>
      </c>
      <c r="R121" s="3">
        <f>IF($D121="","",UPPER(SUBSTITUTE(SUBSTITUTE(SUBSTITUTE(SUBSTITUTE(SUBSTITUTE(SUBSTITUTE(SUBSTITUTE(SUBSTITUTE(SUBSTITUTE(SUBSTITUTE(SUBSTITUTE(SUBSTITUTE(SUBSTITUTE(SUBSTITUTE(SUBSTITUTE(SUBSTITUTE(SUBSTITUTE(SUBSTITUTE(TRIM($D121),"'",""),"İ","I"),"ı","I"),"i","I"),"Ş","S"),"ş","S"),"Ğ","G"),"ğ","G"),"Ü","U"),"ü","U"),"Ö","O"),"ö","O"),"Ç","C"),"ç","C"),".",""),",","")," ",""),"-","")))</f>
        <v/>
      </c>
      <c r="S121" s="3">
        <f>IF($D121="","",$C121&amp;"|"&amp;TEXT($E121,"0")&amp;"|"&amp;TEXT($F121,"0")&amp;"|"&amp;$I121)</f>
        <v/>
      </c>
      <c r="T121" s="3">
        <f>IF($E121="",0,SUMPRODUCT((AY_SONU!$O$7:$O$42="Evet")*(AY_SONU!$B$7:$B$42=DATE(YEAR($E121),MONTH($E121),1))))</f>
        <v/>
      </c>
    </row>
    <row r="122">
      <c r="A122" s="6" t="n"/>
      <c r="B122" s="113">
        <f>IF($D122="","","T"&amp;TEXT(ROW()-6,"00000"))</f>
        <v/>
      </c>
      <c r="C122" s="113">
        <f>IF($D122="","",IFERROR(INDEX(MUSTERILER!$B$7:$B$106,MATCH($R122,MUSTERILER!$T$7:$T$106,0)),IFERROR(INDEX(MUSTERILER!$B$7:$B$106,MATCH($D122,MUSTERILER!$B$7:$B$106,0)),IFERROR(INDEX(MUSTERILER!$B$7:$B$106,MATCH($R122&amp;"*",MUSTERILER!$T$7:$T$106,0)),"TANIMSIZ MÜŞTERİ"))))</f>
        <v/>
      </c>
      <c r="D122" s="109" t="inlineStr">
        <is>
          <t>TYANA LTD.ŞTİ.</t>
        </is>
      </c>
      <c r="E122" s="220" t="n">
        <v>46077</v>
      </c>
      <c r="F122" s="221" t="n">
        <v>12000</v>
      </c>
      <c r="G122" s="108" t="inlineStr">
        <is>
          <t>MERKEZ KASA</t>
        </is>
      </c>
      <c r="H122" s="108" t="inlineStr">
        <is>
          <t>Nakit</t>
        </is>
      </c>
      <c r="I122" s="109" t="n"/>
      <c r="J122" s="109" t="inlineStr">
        <is>
          <t>NAKİT ÖDENEN</t>
        </is>
      </c>
      <c r="K122" s="109" t="n"/>
      <c r="L122" s="226">
        <f>IF($E122="","",DATE(YEAR($E122),MONTH($E122),1))</f>
        <v/>
      </c>
      <c r="M122" s="113">
        <f>IF($D122="","",IF($C122="TANIMSIZ MÜŞTERİ","HATA",IF(OR($E122="",$F122&lt;=0,$G122=""),"EKSİK",IF($E122&gt;TODAY(),"İLERİ TARİH",IF(COUNTIF($S$7:$S$1506,$S122)&gt;1,"MÜKERRER?",IF($T122&gt;0,"KAPALI DÖNEM","UYGUN"))))))</f>
        <v/>
      </c>
      <c r="N122" s="121">
        <f>IF($C122="","",IF($C122="TANIMSIZ MÜŞTERİ","—",INDEX(MUSTERILER!$C$7:$C$106,MATCH($C122,MUSTERILER!$B$7:$B$106,0))))</f>
        <v/>
      </c>
      <c r="O122" s="6" t="n"/>
      <c r="P122" s="6" t="n"/>
      <c r="Q122" s="3">
        <f>IF($D122="","",$C122&amp;"|"&amp;COUNTIFS($C$7:$C122,$C122))</f>
        <v/>
      </c>
      <c r="R122" s="3">
        <f>IF($D122="","",UPPER(SUBSTITUTE(SUBSTITUTE(SUBSTITUTE(SUBSTITUTE(SUBSTITUTE(SUBSTITUTE(SUBSTITUTE(SUBSTITUTE(SUBSTITUTE(SUBSTITUTE(SUBSTITUTE(SUBSTITUTE(SUBSTITUTE(SUBSTITUTE(SUBSTITUTE(SUBSTITUTE(SUBSTITUTE(SUBSTITUTE(TRIM($D122),"'",""),"İ","I"),"ı","I"),"i","I"),"Ş","S"),"ş","S"),"Ğ","G"),"ğ","G"),"Ü","U"),"ü","U"),"Ö","O"),"ö","O"),"Ç","C"),"ç","C"),".",""),",","")," ",""),"-","")))</f>
        <v/>
      </c>
      <c r="S122" s="3">
        <f>IF($D122="","",$C122&amp;"|"&amp;TEXT($E122,"0")&amp;"|"&amp;TEXT($F122,"0")&amp;"|"&amp;$I122)</f>
        <v/>
      </c>
      <c r="T122" s="3">
        <f>IF($E122="",0,SUMPRODUCT((AY_SONU!$O$7:$O$42="Evet")*(AY_SONU!$B$7:$B$42=DATE(YEAR($E122),MONTH($E122),1))))</f>
        <v/>
      </c>
    </row>
    <row r="123">
      <c r="A123" s="6" t="n"/>
      <c r="B123" s="113">
        <f>IF($D123="","","T"&amp;TEXT(ROW()-6,"00000"))</f>
        <v/>
      </c>
      <c r="C123" s="113">
        <f>IF($D123="","",IFERROR(INDEX(MUSTERILER!$B$7:$B$106,MATCH($R123,MUSTERILER!$T$7:$T$106,0)),IFERROR(INDEX(MUSTERILER!$B$7:$B$106,MATCH($D123,MUSTERILER!$B$7:$B$106,0)),IFERROR(INDEX(MUSTERILER!$B$7:$B$106,MATCH($R123&amp;"*",MUSTERILER!$T$7:$T$106,0)),"TANIMSIZ MÜŞTERİ"))))</f>
        <v/>
      </c>
      <c r="D123" s="109" t="inlineStr">
        <is>
          <t>ALTINEL LTD.ŞTİ.</t>
        </is>
      </c>
      <c r="E123" s="220" t="n">
        <v>46081</v>
      </c>
      <c r="F123" s="221" t="n">
        <v>12000</v>
      </c>
      <c r="G123" s="108" t="inlineStr">
        <is>
          <t>ÖMER KARTAL</t>
        </is>
      </c>
      <c r="H123" s="108" t="inlineStr">
        <is>
          <t>Nakit</t>
        </is>
      </c>
      <c r="I123" s="109" t="n"/>
      <c r="J123" s="109" t="inlineStr">
        <is>
          <t xml:space="preserve">ALTINEL LTD.ŞTİ. </t>
        </is>
      </c>
      <c r="K123" s="109" t="n"/>
      <c r="L123" s="226">
        <f>IF($E123="","",DATE(YEAR($E123),MONTH($E123),1))</f>
        <v/>
      </c>
      <c r="M123" s="113">
        <f>IF($D123="","",IF($C123="TANIMSIZ MÜŞTERİ","HATA",IF(OR($E123="",$F123&lt;=0,$G123=""),"EKSİK",IF($E123&gt;TODAY(),"İLERİ TARİH",IF(COUNTIF($S$7:$S$1506,$S123)&gt;1,"MÜKERRER?",IF($T123&gt;0,"KAPALI DÖNEM","UYGUN"))))))</f>
        <v/>
      </c>
      <c r="N123" s="121">
        <f>IF($C123="","",IF($C123="TANIMSIZ MÜŞTERİ","—",INDEX(MUSTERILER!$C$7:$C$106,MATCH($C123,MUSTERILER!$B$7:$B$106,0))))</f>
        <v/>
      </c>
      <c r="O123" s="6" t="n"/>
      <c r="P123" s="6" t="n"/>
      <c r="Q123" s="3">
        <f>IF($D123="","",$C123&amp;"|"&amp;COUNTIFS($C$7:$C123,$C123))</f>
        <v/>
      </c>
      <c r="R123" s="3">
        <f>IF($D123="","",UPPER(SUBSTITUTE(SUBSTITUTE(SUBSTITUTE(SUBSTITUTE(SUBSTITUTE(SUBSTITUTE(SUBSTITUTE(SUBSTITUTE(SUBSTITUTE(SUBSTITUTE(SUBSTITUTE(SUBSTITUTE(SUBSTITUTE(SUBSTITUTE(SUBSTITUTE(SUBSTITUTE(SUBSTITUTE(SUBSTITUTE(TRIM($D123),"'",""),"İ","I"),"ı","I"),"i","I"),"Ş","S"),"ş","S"),"Ğ","G"),"ğ","G"),"Ü","U"),"ü","U"),"Ö","O"),"ö","O"),"Ç","C"),"ç","C"),".",""),",","")," ",""),"-","")))</f>
        <v/>
      </c>
      <c r="S123" s="3">
        <f>IF($D123="","",$C123&amp;"|"&amp;TEXT($E123,"0")&amp;"|"&amp;TEXT($F123,"0")&amp;"|"&amp;$I123)</f>
        <v/>
      </c>
      <c r="T123" s="3">
        <f>IF($E123="",0,SUMPRODUCT((AY_SONU!$O$7:$O$42="Evet")*(AY_SONU!$B$7:$B$42=DATE(YEAR($E123),MONTH($E123),1))))</f>
        <v/>
      </c>
    </row>
    <row r="124">
      <c r="A124" s="6" t="n"/>
      <c r="B124" s="113">
        <f>IF($D124="","","T"&amp;TEXT(ROW()-6,"00000"))</f>
        <v/>
      </c>
      <c r="C124" s="113">
        <f>IF($D124="","",IFERROR(INDEX(MUSTERILER!$B$7:$B$106,MATCH($R124,MUSTERILER!$T$7:$T$106,0)),IFERROR(INDEX(MUSTERILER!$B$7:$B$106,MATCH($D124,MUSTERILER!$B$7:$B$106,0)),IFERROR(INDEX(MUSTERILER!$B$7:$B$106,MATCH($R124&amp;"*",MUSTERILER!$T$7:$T$106,0)),"TANIMSIZ MÜŞTERİ"))))</f>
        <v/>
      </c>
      <c r="D124" s="109" t="inlineStr">
        <is>
          <t>ASIM AÇIKGÖZ</t>
        </is>
      </c>
      <c r="E124" s="220" t="n">
        <v>46081</v>
      </c>
      <c r="F124" s="221" t="n">
        <v>2000</v>
      </c>
      <c r="G124" s="108" t="inlineStr">
        <is>
          <t>MERKEZ KASA</t>
        </is>
      </c>
      <c r="H124" s="108" t="inlineStr">
        <is>
          <t>Nakit</t>
        </is>
      </c>
      <c r="I124" s="109" t="n"/>
      <c r="J124" s="109" t="inlineStr">
        <is>
          <t>NAKİT ÖDENEN</t>
        </is>
      </c>
      <c r="K124" s="109" t="n"/>
      <c r="L124" s="226">
        <f>IF($E124="","",DATE(YEAR($E124),MONTH($E124),1))</f>
        <v/>
      </c>
      <c r="M124" s="113">
        <f>IF($D124="","",IF($C124="TANIMSIZ MÜŞTERİ","HATA",IF(OR($E124="",$F124&lt;=0,$G124=""),"EKSİK",IF($E124&gt;TODAY(),"İLERİ TARİH",IF(COUNTIF($S$7:$S$1506,$S124)&gt;1,"MÜKERRER?",IF($T124&gt;0,"KAPALI DÖNEM","UYGUN"))))))</f>
        <v/>
      </c>
      <c r="N124" s="121">
        <f>IF($C124="","",IF($C124="TANIMSIZ MÜŞTERİ","—",INDEX(MUSTERILER!$C$7:$C$106,MATCH($C124,MUSTERILER!$B$7:$B$106,0))))</f>
        <v/>
      </c>
      <c r="O124" s="6" t="n"/>
      <c r="P124" s="6" t="n"/>
      <c r="Q124" s="3">
        <f>IF($D124="","",$C124&amp;"|"&amp;COUNTIFS($C$7:$C124,$C124))</f>
        <v/>
      </c>
      <c r="R124" s="3">
        <f>IF($D124="","",UPPER(SUBSTITUTE(SUBSTITUTE(SUBSTITUTE(SUBSTITUTE(SUBSTITUTE(SUBSTITUTE(SUBSTITUTE(SUBSTITUTE(SUBSTITUTE(SUBSTITUTE(SUBSTITUTE(SUBSTITUTE(SUBSTITUTE(SUBSTITUTE(SUBSTITUTE(SUBSTITUTE(SUBSTITUTE(SUBSTITUTE(TRIM($D124),"'",""),"İ","I"),"ı","I"),"i","I"),"Ş","S"),"ş","S"),"Ğ","G"),"ğ","G"),"Ü","U"),"ü","U"),"Ö","O"),"ö","O"),"Ç","C"),"ç","C"),".",""),",","")," ",""),"-","")))</f>
        <v/>
      </c>
      <c r="S124" s="3">
        <f>IF($D124="","",$C124&amp;"|"&amp;TEXT($E124,"0")&amp;"|"&amp;TEXT($F124,"0")&amp;"|"&amp;$I124)</f>
        <v/>
      </c>
      <c r="T124" s="3">
        <f>IF($E124="",0,SUMPRODUCT((AY_SONU!$O$7:$O$42="Evet")*(AY_SONU!$B$7:$B$42=DATE(YEAR($E124),MONTH($E124),1))))</f>
        <v/>
      </c>
    </row>
    <row r="125">
      <c r="A125" s="6" t="n"/>
      <c r="B125" s="113">
        <f>IF($D125="","","T"&amp;TEXT(ROW()-6,"00000"))</f>
        <v/>
      </c>
      <c r="C125" s="113">
        <f>IF($D125="","",IFERROR(INDEX(MUSTERILER!$B$7:$B$106,MATCH($R125,MUSTERILER!$T$7:$T$106,0)),IFERROR(INDEX(MUSTERILER!$B$7:$B$106,MATCH($D125,MUSTERILER!$B$7:$B$106,0)),IFERROR(INDEX(MUSTERILER!$B$7:$B$106,MATCH($R125&amp;"*",MUSTERILER!$T$7:$T$106,0)),"TANIMSIZ MÜŞTERİ"))))</f>
        <v/>
      </c>
      <c r="D125" s="109" t="inlineStr">
        <is>
          <t>Final Siyah Beyaz Ltd.Şti.</t>
        </is>
      </c>
      <c r="E125" s="220" t="n">
        <v>46081</v>
      </c>
      <c r="F125" s="221" t="n">
        <v>4000</v>
      </c>
      <c r="G125" s="108" t="inlineStr">
        <is>
          <t>MERKEZ KASA</t>
        </is>
      </c>
      <c r="H125" s="108" t="inlineStr">
        <is>
          <t>Nakit</t>
        </is>
      </c>
      <c r="I125" s="109" t="n"/>
      <c r="J125" s="109" t="inlineStr">
        <is>
          <t>NAKİT ÖDENEN</t>
        </is>
      </c>
      <c r="K125" s="109" t="n"/>
      <c r="L125" s="226">
        <f>IF($E125="","",DATE(YEAR($E125),MONTH($E125),1))</f>
        <v/>
      </c>
      <c r="M125" s="113">
        <f>IF($D125="","",IF($C125="TANIMSIZ MÜŞTERİ","HATA",IF(OR($E125="",$F125&lt;=0,$G125=""),"EKSİK",IF($E125&gt;TODAY(),"İLERİ TARİH",IF(COUNTIF($S$7:$S$1506,$S125)&gt;1,"MÜKERRER?",IF($T125&gt;0,"KAPALI DÖNEM","UYGUN"))))))</f>
        <v/>
      </c>
      <c r="N125" s="121">
        <f>IF($C125="","",IF($C125="TANIMSIZ MÜŞTERİ","—",INDEX(MUSTERILER!$C$7:$C$106,MATCH($C125,MUSTERILER!$B$7:$B$106,0))))</f>
        <v/>
      </c>
      <c r="O125" s="6" t="n"/>
      <c r="P125" s="6" t="n"/>
      <c r="Q125" s="3">
        <f>IF($D125="","",$C125&amp;"|"&amp;COUNTIFS($C$7:$C125,$C125))</f>
        <v/>
      </c>
      <c r="R125" s="3">
        <f>IF($D125="","",UPPER(SUBSTITUTE(SUBSTITUTE(SUBSTITUTE(SUBSTITUTE(SUBSTITUTE(SUBSTITUTE(SUBSTITUTE(SUBSTITUTE(SUBSTITUTE(SUBSTITUTE(SUBSTITUTE(SUBSTITUTE(SUBSTITUTE(SUBSTITUTE(SUBSTITUTE(SUBSTITUTE(SUBSTITUTE(SUBSTITUTE(TRIM($D125),"'",""),"İ","I"),"ı","I"),"i","I"),"Ş","S"),"ş","S"),"Ğ","G"),"ğ","G"),"Ü","U"),"ü","U"),"Ö","O"),"ö","O"),"Ç","C"),"ç","C"),".",""),",","")," ",""),"-","")))</f>
        <v/>
      </c>
      <c r="S125" s="3">
        <f>IF($D125="","",$C125&amp;"|"&amp;TEXT($E125,"0")&amp;"|"&amp;TEXT($F125,"0")&amp;"|"&amp;$I125)</f>
        <v/>
      </c>
      <c r="T125" s="3">
        <f>IF($E125="",0,SUMPRODUCT((AY_SONU!$O$7:$O$42="Evet")*(AY_SONU!$B$7:$B$42=DATE(YEAR($E125),MONTH($E125),1))))</f>
        <v/>
      </c>
    </row>
    <row r="126">
      <c r="A126" s="6" t="n"/>
      <c r="B126" s="113">
        <f>IF($D126="","","T"&amp;TEXT(ROW()-6,"00000"))</f>
        <v/>
      </c>
      <c r="C126" s="113">
        <f>IF($D126="","",IFERROR(INDEX(MUSTERILER!$B$7:$B$106,MATCH($R126,MUSTERILER!$T$7:$T$106,0)),IFERROR(INDEX(MUSTERILER!$B$7:$B$106,MATCH($D126,MUSTERILER!$B$7:$B$106,0)),IFERROR(INDEX(MUSTERILER!$B$7:$B$106,MATCH($R126&amp;"*",MUSTERILER!$T$7:$T$106,0)),"TANIMSIZ MÜŞTERİ"))))</f>
        <v/>
      </c>
      <c r="D126" s="109" t="inlineStr">
        <is>
          <t>İldeş Ltd.Şti.</t>
        </is>
      </c>
      <c r="E126" s="220" t="n">
        <v>46081</v>
      </c>
      <c r="F126" s="221" t="n">
        <v>4000</v>
      </c>
      <c r="G126" s="108" t="inlineStr">
        <is>
          <t>MERKEZ KASA</t>
        </is>
      </c>
      <c r="H126" s="108" t="inlineStr">
        <is>
          <t>Nakit</t>
        </is>
      </c>
      <c r="I126" s="109" t="n"/>
      <c r="J126" s="109" t="inlineStr">
        <is>
          <t>NAKİT ÖDENEN</t>
        </is>
      </c>
      <c r="K126" s="109" t="n"/>
      <c r="L126" s="226">
        <f>IF($E126="","",DATE(YEAR($E126),MONTH($E126),1))</f>
        <v/>
      </c>
      <c r="M126" s="113">
        <f>IF($D126="","",IF($C126="TANIMSIZ MÜŞTERİ","HATA",IF(OR($E126="",$F126&lt;=0,$G126=""),"EKSİK",IF($E126&gt;TODAY(),"İLERİ TARİH",IF(COUNTIF($S$7:$S$1506,$S126)&gt;1,"MÜKERRER?",IF($T126&gt;0,"KAPALI DÖNEM","UYGUN"))))))</f>
        <v/>
      </c>
      <c r="N126" s="121">
        <f>IF($C126="","",IF($C126="TANIMSIZ MÜŞTERİ","—",INDEX(MUSTERILER!$C$7:$C$106,MATCH($C126,MUSTERILER!$B$7:$B$106,0))))</f>
        <v/>
      </c>
      <c r="O126" s="6" t="n"/>
      <c r="P126" s="6" t="n"/>
      <c r="Q126" s="3">
        <f>IF($D126="","",$C126&amp;"|"&amp;COUNTIFS($C$7:$C126,$C126))</f>
        <v/>
      </c>
      <c r="R126" s="3">
        <f>IF($D126="","",UPPER(SUBSTITUTE(SUBSTITUTE(SUBSTITUTE(SUBSTITUTE(SUBSTITUTE(SUBSTITUTE(SUBSTITUTE(SUBSTITUTE(SUBSTITUTE(SUBSTITUTE(SUBSTITUTE(SUBSTITUTE(SUBSTITUTE(SUBSTITUTE(SUBSTITUTE(SUBSTITUTE(SUBSTITUTE(SUBSTITUTE(TRIM($D126),"'",""),"İ","I"),"ı","I"),"i","I"),"Ş","S"),"ş","S"),"Ğ","G"),"ğ","G"),"Ü","U"),"ü","U"),"Ö","O"),"ö","O"),"Ç","C"),"ç","C"),".",""),",","")," ",""),"-","")))</f>
        <v/>
      </c>
      <c r="S126" s="3">
        <f>IF($D126="","",$C126&amp;"|"&amp;TEXT($E126,"0")&amp;"|"&amp;TEXT($F126,"0")&amp;"|"&amp;$I126)</f>
        <v/>
      </c>
      <c r="T126" s="3">
        <f>IF($E126="",0,SUMPRODUCT((AY_SONU!$O$7:$O$42="Evet")*(AY_SONU!$B$7:$B$42=DATE(YEAR($E126),MONTH($E126),1))))</f>
        <v/>
      </c>
    </row>
    <row r="127">
      <c r="A127" s="6" t="n"/>
      <c r="B127" s="113">
        <f>IF($D127="","","T"&amp;TEXT(ROW()-6,"00000"))</f>
        <v/>
      </c>
      <c r="C127" s="113">
        <f>IF($D127="","",IFERROR(INDEX(MUSTERILER!$B$7:$B$106,MATCH($R127,MUSTERILER!$T$7:$T$106,0)),IFERROR(INDEX(MUSTERILER!$B$7:$B$106,MATCH($D127,MUSTERILER!$B$7:$B$106,0)),IFERROR(INDEX(MUSTERILER!$B$7:$B$106,MATCH($R127&amp;"*",MUSTERILER!$T$7:$T$106,0)),"TANIMSIZ MÜŞTERİ"))))</f>
        <v/>
      </c>
      <c r="D127" s="109" t="inlineStr">
        <is>
          <t>Zümrüt Eğlence Ltd.Şti.</t>
        </is>
      </c>
      <c r="E127" s="220" t="n">
        <v>46081</v>
      </c>
      <c r="F127" s="221" t="n">
        <v>3500</v>
      </c>
      <c r="G127" s="108" t="inlineStr">
        <is>
          <t>MERKEZ KASA</t>
        </is>
      </c>
      <c r="H127" s="108" t="inlineStr">
        <is>
          <t>Nakit</t>
        </is>
      </c>
      <c r="I127" s="109" t="n"/>
      <c r="J127" s="109" t="inlineStr">
        <is>
          <t>NAKİT ÖDENEN</t>
        </is>
      </c>
      <c r="K127" s="109" t="n"/>
      <c r="L127" s="226">
        <f>IF($E127="","",DATE(YEAR($E127),MONTH($E127),1))</f>
        <v/>
      </c>
      <c r="M127" s="113">
        <f>IF($D127="","",IF($C127="TANIMSIZ MÜŞTERİ","HATA",IF(OR($E127="",$F127&lt;=0,$G127=""),"EKSİK",IF($E127&gt;TODAY(),"İLERİ TARİH",IF(COUNTIF($S$7:$S$1506,$S127)&gt;1,"MÜKERRER?",IF($T127&gt;0,"KAPALI DÖNEM","UYGUN"))))))</f>
        <v/>
      </c>
      <c r="N127" s="121">
        <f>IF($C127="","",IF($C127="TANIMSIZ MÜŞTERİ","—",INDEX(MUSTERILER!$C$7:$C$106,MATCH($C127,MUSTERILER!$B$7:$B$106,0))))</f>
        <v/>
      </c>
      <c r="O127" s="6" t="n"/>
      <c r="P127" s="6" t="n"/>
      <c r="Q127" s="3">
        <f>IF($D127="","",$C127&amp;"|"&amp;COUNTIFS($C$7:$C127,$C127))</f>
        <v/>
      </c>
      <c r="R127" s="3">
        <f>IF($D127="","",UPPER(SUBSTITUTE(SUBSTITUTE(SUBSTITUTE(SUBSTITUTE(SUBSTITUTE(SUBSTITUTE(SUBSTITUTE(SUBSTITUTE(SUBSTITUTE(SUBSTITUTE(SUBSTITUTE(SUBSTITUTE(SUBSTITUTE(SUBSTITUTE(SUBSTITUTE(SUBSTITUTE(SUBSTITUTE(SUBSTITUTE(TRIM($D127),"'",""),"İ","I"),"ı","I"),"i","I"),"Ş","S"),"ş","S"),"Ğ","G"),"ğ","G"),"Ü","U"),"ü","U"),"Ö","O"),"ö","O"),"Ç","C"),"ç","C"),".",""),",","")," ",""),"-","")))</f>
        <v/>
      </c>
      <c r="S127" s="3">
        <f>IF($D127="","",$C127&amp;"|"&amp;TEXT($E127,"0")&amp;"|"&amp;TEXT($F127,"0")&amp;"|"&amp;$I127)</f>
        <v/>
      </c>
      <c r="T127" s="3">
        <f>IF($E127="",0,SUMPRODUCT((AY_SONU!$O$7:$O$42="Evet")*(AY_SONU!$B$7:$B$42=DATE(YEAR($E127),MONTH($E127),1))))</f>
        <v/>
      </c>
    </row>
    <row r="128">
      <c r="A128" s="6" t="n"/>
      <c r="B128" s="113">
        <f>IF($D128="","","T"&amp;TEXT(ROW()-6,"00000"))</f>
        <v/>
      </c>
      <c r="C128" s="113">
        <f>IF($D128="","",IFERROR(INDEX(MUSTERILER!$B$7:$B$106,MATCH($R128,MUSTERILER!$T$7:$T$106,0)),IFERROR(INDEX(MUSTERILER!$B$7:$B$106,MATCH($D128,MUSTERILER!$B$7:$B$106,0)),IFERROR(INDEX(MUSTERILER!$B$7:$B$106,MATCH($R128&amp;"*",MUSTERILER!$T$7:$T$106,0)),"TANIMSIZ MÜŞTERİ"))))</f>
        <v/>
      </c>
      <c r="D128" s="109" t="inlineStr">
        <is>
          <t>EĞLENGÖR LTD.ŞTİ.</t>
        </is>
      </c>
      <c r="E128" s="220" t="n">
        <v>46081</v>
      </c>
      <c r="F128" s="221" t="n">
        <v>3000</v>
      </c>
      <c r="G128" s="108" t="inlineStr">
        <is>
          <t>MERKEZ KASA</t>
        </is>
      </c>
      <c r="H128" s="108" t="inlineStr">
        <is>
          <t>Nakit</t>
        </is>
      </c>
      <c r="I128" s="109" t="n"/>
      <c r="J128" s="109" t="inlineStr">
        <is>
          <t>NAKİT ÖDENEN</t>
        </is>
      </c>
      <c r="K128" s="109" t="n"/>
      <c r="L128" s="226">
        <f>IF($E128="","",DATE(YEAR($E128),MONTH($E128),1))</f>
        <v/>
      </c>
      <c r="M128" s="113">
        <f>IF($D128="","",IF($C128="TANIMSIZ MÜŞTERİ","HATA",IF(OR($E128="",$F128&lt;=0,$G128=""),"EKSİK",IF($E128&gt;TODAY(),"İLERİ TARİH",IF(COUNTIF($S$7:$S$1506,$S128)&gt;1,"MÜKERRER?",IF($T128&gt;0,"KAPALI DÖNEM","UYGUN"))))))</f>
        <v/>
      </c>
      <c r="N128" s="121">
        <f>IF($C128="","",IF($C128="TANIMSIZ MÜŞTERİ","—",INDEX(MUSTERILER!$C$7:$C$106,MATCH($C128,MUSTERILER!$B$7:$B$106,0))))</f>
        <v/>
      </c>
      <c r="O128" s="6" t="n"/>
      <c r="P128" s="6" t="n"/>
      <c r="Q128" s="3">
        <f>IF($D128="","",$C128&amp;"|"&amp;COUNTIFS($C$7:$C128,$C128))</f>
        <v/>
      </c>
      <c r="R128" s="3">
        <f>IF($D128="","",UPPER(SUBSTITUTE(SUBSTITUTE(SUBSTITUTE(SUBSTITUTE(SUBSTITUTE(SUBSTITUTE(SUBSTITUTE(SUBSTITUTE(SUBSTITUTE(SUBSTITUTE(SUBSTITUTE(SUBSTITUTE(SUBSTITUTE(SUBSTITUTE(SUBSTITUTE(SUBSTITUTE(SUBSTITUTE(SUBSTITUTE(TRIM($D128),"'",""),"İ","I"),"ı","I"),"i","I"),"Ş","S"),"ş","S"),"Ğ","G"),"ğ","G"),"Ü","U"),"ü","U"),"Ö","O"),"ö","O"),"Ç","C"),"ç","C"),".",""),",","")," ",""),"-","")))</f>
        <v/>
      </c>
      <c r="S128" s="3">
        <f>IF($D128="","",$C128&amp;"|"&amp;TEXT($E128,"0")&amp;"|"&amp;TEXT($F128,"0")&amp;"|"&amp;$I128)</f>
        <v/>
      </c>
      <c r="T128" s="3">
        <f>IF($E128="",0,SUMPRODUCT((AY_SONU!$O$7:$O$42="Evet")*(AY_SONU!$B$7:$B$42=DATE(YEAR($E128),MONTH($E128),1))))</f>
        <v/>
      </c>
    </row>
    <row r="129">
      <c r="A129" s="6" t="n"/>
      <c r="B129" s="113">
        <f>IF($D129="","","T"&amp;TEXT(ROW()-6,"00000"))</f>
        <v/>
      </c>
      <c r="C129" s="113">
        <f>IF($D129="","",IFERROR(INDEX(MUSTERILER!$B$7:$B$106,MATCH($R129,MUSTERILER!$T$7:$T$106,0)),IFERROR(INDEX(MUSTERILER!$B$7:$B$106,MATCH($D129,MUSTERILER!$B$7:$B$106,0)),IFERROR(INDEX(MUSTERILER!$B$7:$B$106,MATCH($R129&amp;"*",MUSTERILER!$T$7:$T$106,0)),"TANIMSIZ MÜŞTERİ"))))</f>
        <v/>
      </c>
      <c r="D129" s="109" t="inlineStr">
        <is>
          <t>KRİSTAL LTD.ŞTİ.</t>
        </is>
      </c>
      <c r="E129" s="220" t="n">
        <v>46081</v>
      </c>
      <c r="F129" s="221" t="n">
        <v>3000</v>
      </c>
      <c r="G129" s="108" t="inlineStr">
        <is>
          <t>MERKEZ KASA</t>
        </is>
      </c>
      <c r="H129" s="108" t="inlineStr">
        <is>
          <t>Nakit</t>
        </is>
      </c>
      <c r="I129" s="109" t="n"/>
      <c r="J129" s="109" t="inlineStr">
        <is>
          <t>NAKİT ÖDENEN</t>
        </is>
      </c>
      <c r="K129" s="109" t="n"/>
      <c r="L129" s="226">
        <f>IF($E129="","",DATE(YEAR($E129),MONTH($E129),1))</f>
        <v/>
      </c>
      <c r="M129" s="113">
        <f>IF($D129="","",IF($C129="TANIMSIZ MÜŞTERİ","HATA",IF(OR($E129="",$F129&lt;=0,$G129=""),"EKSİK",IF($E129&gt;TODAY(),"İLERİ TARİH",IF(COUNTIF($S$7:$S$1506,$S129)&gt;1,"MÜKERRER?",IF($T129&gt;0,"KAPALI DÖNEM","UYGUN"))))))</f>
        <v/>
      </c>
      <c r="N129" s="121">
        <f>IF($C129="","",IF($C129="TANIMSIZ MÜŞTERİ","—",INDEX(MUSTERILER!$C$7:$C$106,MATCH($C129,MUSTERILER!$B$7:$B$106,0))))</f>
        <v/>
      </c>
      <c r="O129" s="6" t="n"/>
      <c r="P129" s="6" t="n"/>
      <c r="Q129" s="3">
        <f>IF($D129="","",$C129&amp;"|"&amp;COUNTIFS($C$7:$C129,$C129))</f>
        <v/>
      </c>
      <c r="R129" s="3">
        <f>IF($D129="","",UPPER(SUBSTITUTE(SUBSTITUTE(SUBSTITUTE(SUBSTITUTE(SUBSTITUTE(SUBSTITUTE(SUBSTITUTE(SUBSTITUTE(SUBSTITUTE(SUBSTITUTE(SUBSTITUTE(SUBSTITUTE(SUBSTITUTE(SUBSTITUTE(SUBSTITUTE(SUBSTITUTE(SUBSTITUTE(SUBSTITUTE(TRIM($D129),"'",""),"İ","I"),"ı","I"),"i","I"),"Ş","S"),"ş","S"),"Ğ","G"),"ğ","G"),"Ü","U"),"ü","U"),"Ö","O"),"ö","O"),"Ç","C"),"ç","C"),".",""),",","")," ",""),"-","")))</f>
        <v/>
      </c>
      <c r="S129" s="3">
        <f>IF($D129="","",$C129&amp;"|"&amp;TEXT($E129,"0")&amp;"|"&amp;TEXT($F129,"0")&amp;"|"&amp;$I129)</f>
        <v/>
      </c>
      <c r="T129" s="3">
        <f>IF($E129="",0,SUMPRODUCT((AY_SONU!$O$7:$O$42="Evet")*(AY_SONU!$B$7:$B$42=DATE(YEAR($E129),MONTH($E129),1))))</f>
        <v/>
      </c>
    </row>
    <row r="130">
      <c r="A130" s="6" t="n"/>
      <c r="B130" s="113">
        <f>IF($D130="","","T"&amp;TEXT(ROW()-6,"00000"))</f>
        <v/>
      </c>
      <c r="C130" s="113">
        <f>IF($D130="","",IFERROR(INDEX(MUSTERILER!$B$7:$B$106,MATCH($R130,MUSTERILER!$T$7:$T$106,0)),IFERROR(INDEX(MUSTERILER!$B$7:$B$106,MATCH($D130,MUSTERILER!$B$7:$B$106,0)),IFERROR(INDEX(MUSTERILER!$B$7:$B$106,MATCH($R130&amp;"*",MUSTERILER!$T$7:$T$106,0)),"TANIMSIZ MÜŞTERİ"))))</f>
        <v/>
      </c>
      <c r="D130" s="109" t="inlineStr">
        <is>
          <t>YEDİYİRMİDÖRT LTD.ŞTİ.</t>
        </is>
      </c>
      <c r="E130" s="220" t="n">
        <v>46082</v>
      </c>
      <c r="F130" s="221" t="n">
        <v>10000</v>
      </c>
      <c r="G130" s="108" t="inlineStr">
        <is>
          <t>ÖMER KARTAL</t>
        </is>
      </c>
      <c r="H130" s="108" t="inlineStr">
        <is>
          <t>Nakit</t>
        </is>
      </c>
      <c r="I130" s="109" t="n"/>
      <c r="J130" s="109" t="inlineStr">
        <is>
          <t>NAKİT ÖDENEN</t>
        </is>
      </c>
      <c r="K130" s="109" t="n"/>
      <c r="L130" s="226">
        <f>IF($E130="","",DATE(YEAR($E130),MONTH($E130),1))</f>
        <v/>
      </c>
      <c r="M130" s="113">
        <f>IF($D130="","",IF($C130="TANIMSIZ MÜŞTERİ","HATA",IF(OR($E130="",$F130&lt;=0,$G130=""),"EKSİK",IF($E130&gt;TODAY(),"İLERİ TARİH",IF(COUNTIF($S$7:$S$1506,$S130)&gt;1,"MÜKERRER?",IF($T130&gt;0,"KAPALI DÖNEM","UYGUN"))))))</f>
        <v/>
      </c>
      <c r="N130" s="121">
        <f>IF($C130="","",IF($C130="TANIMSIZ MÜŞTERİ","—",INDEX(MUSTERILER!$C$7:$C$106,MATCH($C130,MUSTERILER!$B$7:$B$106,0))))</f>
        <v/>
      </c>
      <c r="O130" s="6" t="n"/>
      <c r="P130" s="6" t="n"/>
      <c r="Q130" s="3">
        <f>IF($D130="","",$C130&amp;"|"&amp;COUNTIFS($C$7:$C130,$C130))</f>
        <v/>
      </c>
      <c r="R130" s="3">
        <f>IF($D130="","",UPPER(SUBSTITUTE(SUBSTITUTE(SUBSTITUTE(SUBSTITUTE(SUBSTITUTE(SUBSTITUTE(SUBSTITUTE(SUBSTITUTE(SUBSTITUTE(SUBSTITUTE(SUBSTITUTE(SUBSTITUTE(SUBSTITUTE(SUBSTITUTE(SUBSTITUTE(SUBSTITUTE(SUBSTITUTE(SUBSTITUTE(TRIM($D130),"'",""),"İ","I"),"ı","I"),"i","I"),"Ş","S"),"ş","S"),"Ğ","G"),"ğ","G"),"Ü","U"),"ü","U"),"Ö","O"),"ö","O"),"Ç","C"),"ç","C"),".",""),",","")," ",""),"-","")))</f>
        <v/>
      </c>
      <c r="S130" s="3">
        <f>IF($D130="","",$C130&amp;"|"&amp;TEXT($E130,"0")&amp;"|"&amp;TEXT($F130,"0")&amp;"|"&amp;$I130)</f>
        <v/>
      </c>
      <c r="T130" s="3">
        <f>IF($E130="",0,SUMPRODUCT((AY_SONU!$O$7:$O$42="Evet")*(AY_SONU!$B$7:$B$42=DATE(YEAR($E130),MONTH($E130),1))))</f>
        <v/>
      </c>
    </row>
    <row r="131">
      <c r="A131" s="6" t="n"/>
      <c r="B131" s="113">
        <f>IF($D131="","","T"&amp;TEXT(ROW()-6,"00000"))</f>
        <v/>
      </c>
      <c r="C131" s="113">
        <f>IF($D131="","",IFERROR(INDEX(MUSTERILER!$B$7:$B$106,MATCH($R131,MUSTERILER!$T$7:$T$106,0)),IFERROR(INDEX(MUSTERILER!$B$7:$B$106,MATCH($D131,MUSTERILER!$B$7:$B$106,0)),IFERROR(INDEX(MUSTERILER!$B$7:$B$106,MATCH($R131&amp;"*",MUSTERILER!$T$7:$T$106,0)),"TANIMSIZ MÜŞTERİ"))))</f>
        <v/>
      </c>
      <c r="D131" s="109" t="inlineStr">
        <is>
          <t>ARON TOPTAN LTD.ŞTİ.</t>
        </is>
      </c>
      <c r="E131" s="220" t="n">
        <v>46088</v>
      </c>
      <c r="F131" s="221" t="n">
        <v>10000</v>
      </c>
      <c r="G131" s="108" t="inlineStr">
        <is>
          <t>MERKEZ KASA</t>
        </is>
      </c>
      <c r="H131" s="108" t="inlineStr">
        <is>
          <t>Nakit</t>
        </is>
      </c>
      <c r="I131" s="109" t="n"/>
      <c r="J131" s="109" t="inlineStr">
        <is>
          <t>NAKİT ÖDENEN</t>
        </is>
      </c>
      <c r="K131" s="109" t="n"/>
      <c r="L131" s="226">
        <f>IF($E131="","",DATE(YEAR($E131),MONTH($E131),1))</f>
        <v/>
      </c>
      <c r="M131" s="113">
        <f>IF($D131="","",IF($C131="TANIMSIZ MÜŞTERİ","HATA",IF(OR($E131="",$F131&lt;=0,$G131=""),"EKSİK",IF($E131&gt;TODAY(),"İLERİ TARİH",IF(COUNTIF($S$7:$S$1506,$S131)&gt;1,"MÜKERRER?",IF($T131&gt;0,"KAPALI DÖNEM","UYGUN"))))))</f>
        <v/>
      </c>
      <c r="N131" s="121">
        <f>IF($C131="","",IF($C131="TANIMSIZ MÜŞTERİ","—",INDEX(MUSTERILER!$C$7:$C$106,MATCH($C131,MUSTERILER!$B$7:$B$106,0))))</f>
        <v/>
      </c>
      <c r="O131" s="6" t="n"/>
      <c r="P131" s="6" t="n"/>
      <c r="Q131" s="3">
        <f>IF($D131="","",$C131&amp;"|"&amp;COUNTIFS($C$7:$C131,$C131))</f>
        <v/>
      </c>
      <c r="R131" s="3">
        <f>IF($D131="","",UPPER(SUBSTITUTE(SUBSTITUTE(SUBSTITUTE(SUBSTITUTE(SUBSTITUTE(SUBSTITUTE(SUBSTITUTE(SUBSTITUTE(SUBSTITUTE(SUBSTITUTE(SUBSTITUTE(SUBSTITUTE(SUBSTITUTE(SUBSTITUTE(SUBSTITUTE(SUBSTITUTE(SUBSTITUTE(SUBSTITUTE(TRIM($D131),"'",""),"İ","I"),"ı","I"),"i","I"),"Ş","S"),"ş","S"),"Ğ","G"),"ğ","G"),"Ü","U"),"ü","U"),"Ö","O"),"ö","O"),"Ç","C"),"ç","C"),".",""),",","")," ",""),"-","")))</f>
        <v/>
      </c>
      <c r="S131" s="3">
        <f>IF($D131="","",$C131&amp;"|"&amp;TEXT($E131,"0")&amp;"|"&amp;TEXT($F131,"0")&amp;"|"&amp;$I131)</f>
        <v/>
      </c>
      <c r="T131" s="3">
        <f>IF($E131="",0,SUMPRODUCT((AY_SONU!$O$7:$O$42="Evet")*(AY_SONU!$B$7:$B$42=DATE(YEAR($E131),MONTH($E131),1))))</f>
        <v/>
      </c>
    </row>
    <row r="132">
      <c r="A132" s="6" t="n"/>
      <c r="B132" s="113">
        <f>IF($D132="","","T"&amp;TEXT(ROW()-6,"00000"))</f>
        <v/>
      </c>
      <c r="C132" s="113">
        <f>IF($D132="","",IFERROR(INDEX(MUSTERILER!$B$7:$B$106,MATCH($R132,MUSTERILER!$T$7:$T$106,0)),IFERROR(INDEX(MUSTERILER!$B$7:$B$106,MATCH($D132,MUSTERILER!$B$7:$B$106,0)),IFERROR(INDEX(MUSTERILER!$B$7:$B$106,MATCH($R132&amp;"*",MUSTERILER!$T$7:$T$106,0)),"TANIMSIZ MÜŞTERİ"))))</f>
        <v/>
      </c>
      <c r="D132" s="109" t="inlineStr">
        <is>
          <t>ASIM AÇIKGÖZ</t>
        </is>
      </c>
      <c r="E132" s="220" t="n">
        <v>46088</v>
      </c>
      <c r="F132" s="221" t="n">
        <v>2000</v>
      </c>
      <c r="G132" s="108" t="inlineStr">
        <is>
          <t>MERKEZ KASA</t>
        </is>
      </c>
      <c r="H132" s="108" t="inlineStr">
        <is>
          <t>Nakit</t>
        </is>
      </c>
      <c r="I132" s="109" t="n"/>
      <c r="J132" s="109" t="inlineStr">
        <is>
          <t>NAKİT ÖDENEN</t>
        </is>
      </c>
      <c r="K132" s="109" t="n"/>
      <c r="L132" s="226">
        <f>IF($E132="","",DATE(YEAR($E132),MONTH($E132),1))</f>
        <v/>
      </c>
      <c r="M132" s="113">
        <f>IF($D132="","",IF($C132="TANIMSIZ MÜŞTERİ","HATA",IF(OR($E132="",$F132&lt;=0,$G132=""),"EKSİK",IF($E132&gt;TODAY(),"İLERİ TARİH",IF(COUNTIF($S$7:$S$1506,$S132)&gt;1,"MÜKERRER?",IF($T132&gt;0,"KAPALI DÖNEM","UYGUN"))))))</f>
        <v/>
      </c>
      <c r="N132" s="121">
        <f>IF($C132="","",IF($C132="TANIMSIZ MÜŞTERİ","—",INDEX(MUSTERILER!$C$7:$C$106,MATCH($C132,MUSTERILER!$B$7:$B$106,0))))</f>
        <v/>
      </c>
      <c r="O132" s="6" t="n"/>
      <c r="P132" s="6" t="n"/>
      <c r="Q132" s="3">
        <f>IF($D132="","",$C132&amp;"|"&amp;COUNTIFS($C$7:$C132,$C132))</f>
        <v/>
      </c>
      <c r="R132" s="3">
        <f>IF($D132="","",UPPER(SUBSTITUTE(SUBSTITUTE(SUBSTITUTE(SUBSTITUTE(SUBSTITUTE(SUBSTITUTE(SUBSTITUTE(SUBSTITUTE(SUBSTITUTE(SUBSTITUTE(SUBSTITUTE(SUBSTITUTE(SUBSTITUTE(SUBSTITUTE(SUBSTITUTE(SUBSTITUTE(SUBSTITUTE(SUBSTITUTE(TRIM($D132),"'",""),"İ","I"),"ı","I"),"i","I"),"Ş","S"),"ş","S"),"Ğ","G"),"ğ","G"),"Ü","U"),"ü","U"),"Ö","O"),"ö","O"),"Ç","C"),"ç","C"),".",""),",","")," ",""),"-","")))</f>
        <v/>
      </c>
      <c r="S132" s="3">
        <f>IF($D132="","",$C132&amp;"|"&amp;TEXT($E132,"0")&amp;"|"&amp;TEXT($F132,"0")&amp;"|"&amp;$I132)</f>
        <v/>
      </c>
      <c r="T132" s="3">
        <f>IF($E132="",0,SUMPRODUCT((AY_SONU!$O$7:$O$42="Evet")*(AY_SONU!$B$7:$B$42=DATE(YEAR($E132),MONTH($E132),1))))</f>
        <v/>
      </c>
    </row>
    <row r="133">
      <c r="A133" s="6" t="n"/>
      <c r="B133" s="113">
        <f>IF($D133="","","T"&amp;TEXT(ROW()-6,"00000"))</f>
        <v/>
      </c>
      <c r="C133" s="113">
        <f>IF($D133="","",IFERROR(INDEX(MUSTERILER!$B$7:$B$106,MATCH($R133,MUSTERILER!$T$7:$T$106,0)),IFERROR(INDEX(MUSTERILER!$B$7:$B$106,MATCH($D133,MUSTERILER!$B$7:$B$106,0)),IFERROR(INDEX(MUSTERILER!$B$7:$B$106,MATCH($R133&amp;"*",MUSTERILER!$T$7:$T$106,0)),"TANIMSIZ MÜŞTERİ"))))</f>
        <v/>
      </c>
      <c r="D133" s="109" t="inlineStr">
        <is>
          <t>ASM EĞLENCE LTD.ŞTİ.</t>
        </is>
      </c>
      <c r="E133" s="220" t="n">
        <v>46088</v>
      </c>
      <c r="F133" s="221" t="n">
        <v>2500</v>
      </c>
      <c r="G133" s="108" t="inlineStr">
        <is>
          <t>MERKEZ KASA</t>
        </is>
      </c>
      <c r="H133" s="108" t="inlineStr">
        <is>
          <t>Nakit</t>
        </is>
      </c>
      <c r="I133" s="109" t="n"/>
      <c r="J133" s="109" t="inlineStr">
        <is>
          <t>NAKİT ÖDENEN</t>
        </is>
      </c>
      <c r="K133" s="109" t="n"/>
      <c r="L133" s="226">
        <f>IF($E133="","",DATE(YEAR($E133),MONTH($E133),1))</f>
        <v/>
      </c>
      <c r="M133" s="113">
        <f>IF($D133="","",IF($C133="TANIMSIZ MÜŞTERİ","HATA",IF(OR($E133="",$F133&lt;=0,$G133=""),"EKSİK",IF($E133&gt;TODAY(),"İLERİ TARİH",IF(COUNTIF($S$7:$S$1506,$S133)&gt;1,"MÜKERRER?",IF($T133&gt;0,"KAPALI DÖNEM","UYGUN"))))))</f>
        <v/>
      </c>
      <c r="N133" s="121">
        <f>IF($C133="","",IF($C133="TANIMSIZ MÜŞTERİ","—",INDEX(MUSTERILER!$C$7:$C$106,MATCH($C133,MUSTERILER!$B$7:$B$106,0))))</f>
        <v/>
      </c>
      <c r="O133" s="6" t="n"/>
      <c r="P133" s="6" t="n"/>
      <c r="Q133" s="3">
        <f>IF($D133="","",$C133&amp;"|"&amp;COUNTIFS($C$7:$C133,$C133))</f>
        <v/>
      </c>
      <c r="R133" s="3">
        <f>IF($D133="","",UPPER(SUBSTITUTE(SUBSTITUTE(SUBSTITUTE(SUBSTITUTE(SUBSTITUTE(SUBSTITUTE(SUBSTITUTE(SUBSTITUTE(SUBSTITUTE(SUBSTITUTE(SUBSTITUTE(SUBSTITUTE(SUBSTITUTE(SUBSTITUTE(SUBSTITUTE(SUBSTITUTE(SUBSTITUTE(SUBSTITUTE(TRIM($D133),"'",""),"İ","I"),"ı","I"),"i","I"),"Ş","S"),"ş","S"),"Ğ","G"),"ğ","G"),"Ü","U"),"ü","U"),"Ö","O"),"ö","O"),"Ç","C"),"ç","C"),".",""),",","")," ",""),"-","")))</f>
        <v/>
      </c>
      <c r="S133" s="3">
        <f>IF($D133="","",$C133&amp;"|"&amp;TEXT($E133,"0")&amp;"|"&amp;TEXT($F133,"0")&amp;"|"&amp;$I133)</f>
        <v/>
      </c>
      <c r="T133" s="3">
        <f>IF($E133="",0,SUMPRODUCT((AY_SONU!$O$7:$O$42="Evet")*(AY_SONU!$B$7:$B$42=DATE(YEAR($E133),MONTH($E133),1))))</f>
        <v/>
      </c>
    </row>
    <row r="134">
      <c r="A134" s="6" t="n"/>
      <c r="B134" s="113">
        <f>IF($D134="","","T"&amp;TEXT(ROW()-6,"00000"))</f>
        <v/>
      </c>
      <c r="C134" s="113">
        <f>IF($D134="","",IFERROR(INDEX(MUSTERILER!$B$7:$B$106,MATCH($R134,MUSTERILER!$T$7:$T$106,0)),IFERROR(INDEX(MUSTERILER!$B$7:$B$106,MATCH($D134,MUSTERILER!$B$7:$B$106,0)),IFERROR(INDEX(MUSTERILER!$B$7:$B$106,MATCH($R134&amp;"*",MUSTERILER!$T$7:$T$106,0)),"TANIMSIZ MÜŞTERİ"))))</f>
        <v/>
      </c>
      <c r="D134" s="109" t="inlineStr">
        <is>
          <t>Final Siyah Beyaz Ltd.Şti.</t>
        </is>
      </c>
      <c r="E134" s="220" t="n">
        <v>46088</v>
      </c>
      <c r="F134" s="221" t="n">
        <v>2000</v>
      </c>
      <c r="G134" s="108" t="inlineStr">
        <is>
          <t>MERKEZ KASA</t>
        </is>
      </c>
      <c r="H134" s="108" t="inlineStr">
        <is>
          <t>Nakit</t>
        </is>
      </c>
      <c r="I134" s="109" t="n"/>
      <c r="J134" s="109" t="inlineStr">
        <is>
          <t>NAKİT ÖDENEN</t>
        </is>
      </c>
      <c r="K134" s="109" t="n"/>
      <c r="L134" s="226">
        <f>IF($E134="","",DATE(YEAR($E134),MONTH($E134),1))</f>
        <v/>
      </c>
      <c r="M134" s="113">
        <f>IF($D134="","",IF($C134="TANIMSIZ MÜŞTERİ","HATA",IF(OR($E134="",$F134&lt;=0,$G134=""),"EKSİK",IF($E134&gt;TODAY(),"İLERİ TARİH",IF(COUNTIF($S$7:$S$1506,$S134)&gt;1,"MÜKERRER?",IF($T134&gt;0,"KAPALI DÖNEM","UYGUN"))))))</f>
        <v/>
      </c>
      <c r="N134" s="121">
        <f>IF($C134="","",IF($C134="TANIMSIZ MÜŞTERİ","—",INDEX(MUSTERILER!$C$7:$C$106,MATCH($C134,MUSTERILER!$B$7:$B$106,0))))</f>
        <v/>
      </c>
      <c r="O134" s="6" t="n"/>
      <c r="P134" s="6" t="n"/>
      <c r="Q134" s="3">
        <f>IF($D134="","",$C134&amp;"|"&amp;COUNTIFS($C$7:$C134,$C134))</f>
        <v/>
      </c>
      <c r="R134" s="3">
        <f>IF($D134="","",UPPER(SUBSTITUTE(SUBSTITUTE(SUBSTITUTE(SUBSTITUTE(SUBSTITUTE(SUBSTITUTE(SUBSTITUTE(SUBSTITUTE(SUBSTITUTE(SUBSTITUTE(SUBSTITUTE(SUBSTITUTE(SUBSTITUTE(SUBSTITUTE(SUBSTITUTE(SUBSTITUTE(SUBSTITUTE(SUBSTITUTE(TRIM($D134),"'",""),"İ","I"),"ı","I"),"i","I"),"Ş","S"),"ş","S"),"Ğ","G"),"ğ","G"),"Ü","U"),"ü","U"),"Ö","O"),"ö","O"),"Ç","C"),"ç","C"),".",""),",","")," ",""),"-","")))</f>
        <v/>
      </c>
      <c r="S134" s="3">
        <f>IF($D134="","",$C134&amp;"|"&amp;TEXT($E134,"0")&amp;"|"&amp;TEXT($F134,"0")&amp;"|"&amp;$I134)</f>
        <v/>
      </c>
      <c r="T134" s="3">
        <f>IF($E134="",0,SUMPRODUCT((AY_SONU!$O$7:$O$42="Evet")*(AY_SONU!$B$7:$B$42=DATE(YEAR($E134),MONTH($E134),1))))</f>
        <v/>
      </c>
    </row>
    <row r="135">
      <c r="A135" s="6" t="n"/>
      <c r="B135" s="113">
        <f>IF($D135="","","T"&amp;TEXT(ROW()-6,"00000"))</f>
        <v/>
      </c>
      <c r="C135" s="113">
        <f>IF($D135="","",IFERROR(INDEX(MUSTERILER!$B$7:$B$106,MATCH($R135,MUSTERILER!$T$7:$T$106,0)),IFERROR(INDEX(MUSTERILER!$B$7:$B$106,MATCH($D135,MUSTERILER!$B$7:$B$106,0)),IFERROR(INDEX(MUSTERILER!$B$7:$B$106,MATCH($R135&amp;"*",MUSTERILER!$T$7:$T$106,0)),"TANIMSIZ MÜŞTERİ"))))</f>
        <v/>
      </c>
      <c r="D135" s="109" t="inlineStr">
        <is>
          <t>İldeş Ltd.Şti.</t>
        </is>
      </c>
      <c r="E135" s="220" t="n">
        <v>46088</v>
      </c>
      <c r="F135" s="221" t="n">
        <v>4000</v>
      </c>
      <c r="G135" s="108" t="inlineStr">
        <is>
          <t>MERKEZ KASA</t>
        </is>
      </c>
      <c r="H135" s="108" t="inlineStr">
        <is>
          <t>Nakit</t>
        </is>
      </c>
      <c r="I135" s="109" t="n"/>
      <c r="J135" s="109" t="inlineStr">
        <is>
          <t>NAKİT ÖDENEN</t>
        </is>
      </c>
      <c r="K135" s="109" t="n"/>
      <c r="L135" s="226">
        <f>IF($E135="","",DATE(YEAR($E135),MONTH($E135),1))</f>
        <v/>
      </c>
      <c r="M135" s="113">
        <f>IF($D135="","",IF($C135="TANIMSIZ MÜŞTERİ","HATA",IF(OR($E135="",$F135&lt;=0,$G135=""),"EKSİK",IF($E135&gt;TODAY(),"İLERİ TARİH",IF(COUNTIF($S$7:$S$1506,$S135)&gt;1,"MÜKERRER?",IF($T135&gt;0,"KAPALI DÖNEM","UYGUN"))))))</f>
        <v/>
      </c>
      <c r="N135" s="121">
        <f>IF($C135="","",IF($C135="TANIMSIZ MÜŞTERİ","—",INDEX(MUSTERILER!$C$7:$C$106,MATCH($C135,MUSTERILER!$B$7:$B$106,0))))</f>
        <v/>
      </c>
      <c r="O135" s="6" t="n"/>
      <c r="P135" s="6" t="n"/>
      <c r="Q135" s="3">
        <f>IF($D135="","",$C135&amp;"|"&amp;COUNTIFS($C$7:$C135,$C135))</f>
        <v/>
      </c>
      <c r="R135" s="3">
        <f>IF($D135="","",UPPER(SUBSTITUTE(SUBSTITUTE(SUBSTITUTE(SUBSTITUTE(SUBSTITUTE(SUBSTITUTE(SUBSTITUTE(SUBSTITUTE(SUBSTITUTE(SUBSTITUTE(SUBSTITUTE(SUBSTITUTE(SUBSTITUTE(SUBSTITUTE(SUBSTITUTE(SUBSTITUTE(SUBSTITUTE(SUBSTITUTE(TRIM($D135),"'",""),"İ","I"),"ı","I"),"i","I"),"Ş","S"),"ş","S"),"Ğ","G"),"ğ","G"),"Ü","U"),"ü","U"),"Ö","O"),"ö","O"),"Ç","C"),"ç","C"),".",""),",","")," ",""),"-","")))</f>
        <v/>
      </c>
      <c r="S135" s="3">
        <f>IF($D135="","",$C135&amp;"|"&amp;TEXT($E135,"0")&amp;"|"&amp;TEXT($F135,"0")&amp;"|"&amp;$I135)</f>
        <v/>
      </c>
      <c r="T135" s="3">
        <f>IF($E135="",0,SUMPRODUCT((AY_SONU!$O$7:$O$42="Evet")*(AY_SONU!$B$7:$B$42=DATE(YEAR($E135),MONTH($E135),1))))</f>
        <v/>
      </c>
    </row>
    <row r="136">
      <c r="A136" s="6" t="n"/>
      <c r="B136" s="113">
        <f>IF($D136="","","T"&amp;TEXT(ROW()-6,"00000"))</f>
        <v/>
      </c>
      <c r="C136" s="113">
        <f>IF($D136="","",IFERROR(INDEX(MUSTERILER!$B$7:$B$106,MATCH($R136,MUSTERILER!$T$7:$T$106,0)),IFERROR(INDEX(MUSTERILER!$B$7:$B$106,MATCH($D136,MUSTERILER!$B$7:$B$106,0)),IFERROR(INDEX(MUSTERILER!$B$7:$B$106,MATCH($R136&amp;"*",MUSTERILER!$T$7:$T$106,0)),"TANIMSIZ MÜŞTERİ"))))</f>
        <v/>
      </c>
      <c r="D136" s="109" t="inlineStr">
        <is>
          <t>Özfidanlar Ltd.Şti.</t>
        </is>
      </c>
      <c r="E136" s="220" t="n">
        <v>46088</v>
      </c>
      <c r="F136" s="221" t="n">
        <v>4000</v>
      </c>
      <c r="G136" s="108" t="inlineStr">
        <is>
          <t>MERKEZ KASA</t>
        </is>
      </c>
      <c r="H136" s="108" t="inlineStr">
        <is>
          <t>Nakit</t>
        </is>
      </c>
      <c r="I136" s="109" t="n"/>
      <c r="J136" s="109" t="inlineStr">
        <is>
          <t>NAKİT ÖDENEN</t>
        </is>
      </c>
      <c r="K136" s="109" t="n"/>
      <c r="L136" s="226">
        <f>IF($E136="","",DATE(YEAR($E136),MONTH($E136),1))</f>
        <v/>
      </c>
      <c r="M136" s="113">
        <f>IF($D136="","",IF($C136="TANIMSIZ MÜŞTERİ","HATA",IF(OR($E136="",$F136&lt;=0,$G136=""),"EKSİK",IF($E136&gt;TODAY(),"İLERİ TARİH",IF(COUNTIF($S$7:$S$1506,$S136)&gt;1,"MÜKERRER?",IF($T136&gt;0,"KAPALI DÖNEM","UYGUN"))))))</f>
        <v/>
      </c>
      <c r="N136" s="121">
        <f>IF($C136="","",IF($C136="TANIMSIZ MÜŞTERİ","—",INDEX(MUSTERILER!$C$7:$C$106,MATCH($C136,MUSTERILER!$B$7:$B$106,0))))</f>
        <v/>
      </c>
      <c r="O136" s="6" t="n"/>
      <c r="P136" s="6" t="n"/>
      <c r="Q136" s="3">
        <f>IF($D136="","",$C136&amp;"|"&amp;COUNTIFS($C$7:$C136,$C136))</f>
        <v/>
      </c>
      <c r="R136" s="3">
        <f>IF($D136="","",UPPER(SUBSTITUTE(SUBSTITUTE(SUBSTITUTE(SUBSTITUTE(SUBSTITUTE(SUBSTITUTE(SUBSTITUTE(SUBSTITUTE(SUBSTITUTE(SUBSTITUTE(SUBSTITUTE(SUBSTITUTE(SUBSTITUTE(SUBSTITUTE(SUBSTITUTE(SUBSTITUTE(SUBSTITUTE(SUBSTITUTE(TRIM($D136),"'",""),"İ","I"),"ı","I"),"i","I"),"Ş","S"),"ş","S"),"Ğ","G"),"ğ","G"),"Ü","U"),"ü","U"),"Ö","O"),"ö","O"),"Ç","C"),"ç","C"),".",""),",","")," ",""),"-","")))</f>
        <v/>
      </c>
      <c r="S136" s="3">
        <f>IF($D136="","",$C136&amp;"|"&amp;TEXT($E136,"0")&amp;"|"&amp;TEXT($F136,"0")&amp;"|"&amp;$I136)</f>
        <v/>
      </c>
      <c r="T136" s="3">
        <f>IF($E136="",0,SUMPRODUCT((AY_SONU!$O$7:$O$42="Evet")*(AY_SONU!$B$7:$B$42=DATE(YEAR($E136),MONTH($E136),1))))</f>
        <v/>
      </c>
    </row>
    <row r="137">
      <c r="A137" s="6" t="n"/>
      <c r="B137" s="113">
        <f>IF($D137="","","T"&amp;TEXT(ROW()-6,"00000"))</f>
        <v/>
      </c>
      <c r="C137" s="113">
        <f>IF($D137="","",IFERROR(INDEX(MUSTERILER!$B$7:$B$106,MATCH($R137,MUSTERILER!$T$7:$T$106,0)),IFERROR(INDEX(MUSTERILER!$B$7:$B$106,MATCH($D137,MUSTERILER!$B$7:$B$106,0)),IFERROR(INDEX(MUSTERILER!$B$7:$B$106,MATCH($R137&amp;"*",MUSTERILER!$T$7:$T$106,0)),"TANIMSIZ MÜŞTERİ"))))</f>
        <v/>
      </c>
      <c r="D137" s="109" t="inlineStr">
        <is>
          <t>Rix Şow Ltd.Şti.</t>
        </is>
      </c>
      <c r="E137" s="220" t="n">
        <v>46088</v>
      </c>
      <c r="F137" s="221" t="n">
        <v>3000</v>
      </c>
      <c r="G137" s="108" t="inlineStr">
        <is>
          <t>MERKEZ KASA</t>
        </is>
      </c>
      <c r="H137" s="108" t="inlineStr">
        <is>
          <t>Nakit</t>
        </is>
      </c>
      <c r="I137" s="109" t="n"/>
      <c r="J137" s="109" t="inlineStr">
        <is>
          <t>NAKİT ÖDENEN</t>
        </is>
      </c>
      <c r="K137" s="109" t="n"/>
      <c r="L137" s="226">
        <f>IF($E137="","",DATE(YEAR($E137),MONTH($E137),1))</f>
        <v/>
      </c>
      <c r="M137" s="113">
        <f>IF($D137="","",IF($C137="TANIMSIZ MÜŞTERİ","HATA",IF(OR($E137="",$F137&lt;=0,$G137=""),"EKSİK",IF($E137&gt;TODAY(),"İLERİ TARİH",IF(COUNTIF($S$7:$S$1506,$S137)&gt;1,"MÜKERRER?",IF($T137&gt;0,"KAPALI DÖNEM","UYGUN"))))))</f>
        <v/>
      </c>
      <c r="N137" s="121">
        <f>IF($C137="","",IF($C137="TANIMSIZ MÜŞTERİ","—",INDEX(MUSTERILER!$C$7:$C$106,MATCH($C137,MUSTERILER!$B$7:$B$106,0))))</f>
        <v/>
      </c>
      <c r="O137" s="6" t="n"/>
      <c r="P137" s="6" t="n"/>
      <c r="Q137" s="3">
        <f>IF($D137="","",$C137&amp;"|"&amp;COUNTIFS($C$7:$C137,$C137))</f>
        <v/>
      </c>
      <c r="R137" s="3">
        <f>IF($D137="","",UPPER(SUBSTITUTE(SUBSTITUTE(SUBSTITUTE(SUBSTITUTE(SUBSTITUTE(SUBSTITUTE(SUBSTITUTE(SUBSTITUTE(SUBSTITUTE(SUBSTITUTE(SUBSTITUTE(SUBSTITUTE(SUBSTITUTE(SUBSTITUTE(SUBSTITUTE(SUBSTITUTE(SUBSTITUTE(SUBSTITUTE(TRIM($D137),"'",""),"İ","I"),"ı","I"),"i","I"),"Ş","S"),"ş","S"),"Ğ","G"),"ğ","G"),"Ü","U"),"ü","U"),"Ö","O"),"ö","O"),"Ç","C"),"ç","C"),".",""),",","")," ",""),"-","")))</f>
        <v/>
      </c>
      <c r="S137" s="3">
        <f>IF($D137="","",$C137&amp;"|"&amp;TEXT($E137,"0")&amp;"|"&amp;TEXT($F137,"0")&amp;"|"&amp;$I137)</f>
        <v/>
      </c>
      <c r="T137" s="3">
        <f>IF($E137="",0,SUMPRODUCT((AY_SONU!$O$7:$O$42="Evet")*(AY_SONU!$B$7:$B$42=DATE(YEAR($E137),MONTH($E137),1))))</f>
        <v/>
      </c>
    </row>
    <row r="138">
      <c r="A138" s="6" t="n"/>
      <c r="B138" s="113">
        <f>IF($D138="","","T"&amp;TEXT(ROW()-6,"00000"))</f>
        <v/>
      </c>
      <c r="C138" s="113">
        <f>IF($D138="","",IFERROR(INDEX(MUSTERILER!$B$7:$B$106,MATCH($R138,MUSTERILER!$T$7:$T$106,0)),IFERROR(INDEX(MUSTERILER!$B$7:$B$106,MATCH($D138,MUSTERILER!$B$7:$B$106,0)),IFERROR(INDEX(MUSTERILER!$B$7:$B$106,MATCH($R138&amp;"*",MUSTERILER!$T$7:$T$106,0)),"TANIMSIZ MÜŞTERİ"))))</f>
        <v/>
      </c>
      <c r="D138" s="109" t="inlineStr">
        <is>
          <t>Zümrüt Grup Ltd.Şti.</t>
        </is>
      </c>
      <c r="E138" s="220" t="n">
        <v>46088</v>
      </c>
      <c r="F138" s="221" t="n">
        <v>1750</v>
      </c>
      <c r="G138" s="108" t="inlineStr">
        <is>
          <t>MERKEZ KASA</t>
        </is>
      </c>
      <c r="H138" s="108" t="inlineStr">
        <is>
          <t>Nakit</t>
        </is>
      </c>
      <c r="I138" s="109" t="n"/>
      <c r="J138" s="109" t="inlineStr">
        <is>
          <t>NAKİT ÖDENEN</t>
        </is>
      </c>
      <c r="K138" s="109" t="n"/>
      <c r="L138" s="226">
        <f>IF($E138="","",DATE(YEAR($E138),MONTH($E138),1))</f>
        <v/>
      </c>
      <c r="M138" s="113">
        <f>IF($D138="","",IF($C138="TANIMSIZ MÜŞTERİ","HATA",IF(OR($E138="",$F138&lt;=0,$G138=""),"EKSİK",IF($E138&gt;TODAY(),"İLERİ TARİH",IF(COUNTIF($S$7:$S$1506,$S138)&gt;1,"MÜKERRER?",IF($T138&gt;0,"KAPALI DÖNEM","UYGUN"))))))</f>
        <v/>
      </c>
      <c r="N138" s="121">
        <f>IF($C138="","",IF($C138="TANIMSIZ MÜŞTERİ","—",INDEX(MUSTERILER!$C$7:$C$106,MATCH($C138,MUSTERILER!$B$7:$B$106,0))))</f>
        <v/>
      </c>
      <c r="O138" s="6" t="n"/>
      <c r="P138" s="6" t="n"/>
      <c r="Q138" s="3">
        <f>IF($D138="","",$C138&amp;"|"&amp;COUNTIFS($C$7:$C138,$C138))</f>
        <v/>
      </c>
      <c r="R138" s="3">
        <f>IF($D138="","",UPPER(SUBSTITUTE(SUBSTITUTE(SUBSTITUTE(SUBSTITUTE(SUBSTITUTE(SUBSTITUTE(SUBSTITUTE(SUBSTITUTE(SUBSTITUTE(SUBSTITUTE(SUBSTITUTE(SUBSTITUTE(SUBSTITUTE(SUBSTITUTE(SUBSTITUTE(SUBSTITUTE(SUBSTITUTE(SUBSTITUTE(TRIM($D138),"'",""),"İ","I"),"ı","I"),"i","I"),"Ş","S"),"ş","S"),"Ğ","G"),"ğ","G"),"Ü","U"),"ü","U"),"Ö","O"),"ö","O"),"Ç","C"),"ç","C"),".",""),",","")," ",""),"-","")))</f>
        <v/>
      </c>
      <c r="S138" s="3">
        <f>IF($D138="","",$C138&amp;"|"&amp;TEXT($E138,"0")&amp;"|"&amp;TEXT($F138,"0")&amp;"|"&amp;$I138)</f>
        <v/>
      </c>
      <c r="T138" s="3">
        <f>IF($E138="",0,SUMPRODUCT((AY_SONU!$O$7:$O$42="Evet")*(AY_SONU!$B$7:$B$42=DATE(YEAR($E138),MONTH($E138),1))))</f>
        <v/>
      </c>
    </row>
    <row r="139">
      <c r="A139" s="6" t="n"/>
      <c r="B139" s="113">
        <f>IF($D139="","","T"&amp;TEXT(ROW()-6,"00000"))</f>
        <v/>
      </c>
      <c r="C139" s="113">
        <f>IF($D139="","",IFERROR(INDEX(MUSTERILER!$B$7:$B$106,MATCH($R139,MUSTERILER!$T$7:$T$106,0)),IFERROR(INDEX(MUSTERILER!$B$7:$B$106,MATCH($D139,MUSTERILER!$B$7:$B$106,0)),IFERROR(INDEX(MUSTERILER!$B$7:$B$106,MATCH($R139&amp;"*",MUSTERILER!$T$7:$T$106,0)),"TANIMSIZ MÜŞTERİ"))))</f>
        <v/>
      </c>
      <c r="D139" s="109" t="inlineStr">
        <is>
          <t>YALIKENT LTD.ŞTİ.</t>
        </is>
      </c>
      <c r="E139" s="220" t="n">
        <v>46088</v>
      </c>
      <c r="F139" s="221" t="n">
        <v>4000</v>
      </c>
      <c r="G139" s="108" t="inlineStr">
        <is>
          <t>MERKEZ KASA</t>
        </is>
      </c>
      <c r="H139" s="108" t="inlineStr">
        <is>
          <t>Nakit</t>
        </is>
      </c>
      <c r="I139" s="109" t="n"/>
      <c r="J139" s="109" t="inlineStr">
        <is>
          <t>NAKİT ÖDENEN</t>
        </is>
      </c>
      <c r="K139" s="109" t="n"/>
      <c r="L139" s="226">
        <f>IF($E139="","",DATE(YEAR($E139),MONTH($E139),1))</f>
        <v/>
      </c>
      <c r="M139" s="113">
        <f>IF($D139="","",IF($C139="TANIMSIZ MÜŞTERİ","HATA",IF(OR($E139="",$F139&lt;=0,$G139=""),"EKSİK",IF($E139&gt;TODAY(),"İLERİ TARİH",IF(COUNTIF($S$7:$S$1506,$S139)&gt;1,"MÜKERRER?",IF($T139&gt;0,"KAPALI DÖNEM","UYGUN"))))))</f>
        <v/>
      </c>
      <c r="N139" s="121">
        <f>IF($C139="","",IF($C139="TANIMSIZ MÜŞTERİ","—",INDEX(MUSTERILER!$C$7:$C$106,MATCH($C139,MUSTERILER!$B$7:$B$106,0))))</f>
        <v/>
      </c>
      <c r="O139" s="6" t="n"/>
      <c r="P139" s="6" t="n"/>
      <c r="Q139" s="3">
        <f>IF($D139="","",$C139&amp;"|"&amp;COUNTIFS($C$7:$C139,$C139))</f>
        <v/>
      </c>
      <c r="R139" s="3">
        <f>IF($D139="","",UPPER(SUBSTITUTE(SUBSTITUTE(SUBSTITUTE(SUBSTITUTE(SUBSTITUTE(SUBSTITUTE(SUBSTITUTE(SUBSTITUTE(SUBSTITUTE(SUBSTITUTE(SUBSTITUTE(SUBSTITUTE(SUBSTITUTE(SUBSTITUTE(SUBSTITUTE(SUBSTITUTE(SUBSTITUTE(SUBSTITUTE(TRIM($D139),"'",""),"İ","I"),"ı","I"),"i","I"),"Ş","S"),"ş","S"),"Ğ","G"),"ğ","G"),"Ü","U"),"ü","U"),"Ö","O"),"ö","O"),"Ç","C"),"ç","C"),".",""),",","")," ",""),"-","")))</f>
        <v/>
      </c>
      <c r="S139" s="3">
        <f>IF($D139="","",$C139&amp;"|"&amp;TEXT($E139,"0")&amp;"|"&amp;TEXT($F139,"0")&amp;"|"&amp;$I139)</f>
        <v/>
      </c>
      <c r="T139" s="3">
        <f>IF($E139="",0,SUMPRODUCT((AY_SONU!$O$7:$O$42="Evet")*(AY_SONU!$B$7:$B$42=DATE(YEAR($E139),MONTH($E139),1))))</f>
        <v/>
      </c>
    </row>
    <row r="140">
      <c r="A140" s="6" t="n"/>
      <c r="B140" s="113">
        <f>IF($D140="","","T"&amp;TEXT(ROW()-6,"00000"))</f>
        <v/>
      </c>
      <c r="C140" s="113">
        <f>IF($D140="","",IFERROR(INDEX(MUSTERILER!$B$7:$B$106,MATCH($R140,MUSTERILER!$T$7:$T$106,0)),IFERROR(INDEX(MUSTERILER!$B$7:$B$106,MATCH($D140,MUSTERILER!$B$7:$B$106,0)),IFERROR(INDEX(MUSTERILER!$B$7:$B$106,MATCH($R140&amp;"*",MUSTERILER!$T$7:$T$106,0)),"TANIMSIZ MÜŞTERİ"))))</f>
        <v/>
      </c>
      <c r="D140" s="109" t="inlineStr">
        <is>
          <t>EĞLENGÖR LTD.ŞTİ.</t>
        </is>
      </c>
      <c r="E140" s="220" t="n">
        <v>46088</v>
      </c>
      <c r="F140" s="221" t="n">
        <v>3000</v>
      </c>
      <c r="G140" s="108" t="inlineStr">
        <is>
          <t>MERKEZ KASA</t>
        </is>
      </c>
      <c r="H140" s="108" t="inlineStr">
        <is>
          <t>Nakit</t>
        </is>
      </c>
      <c r="I140" s="109" t="n"/>
      <c r="J140" s="109" t="inlineStr">
        <is>
          <t>NAKİT ÖDENEN</t>
        </is>
      </c>
      <c r="K140" s="109" t="n"/>
      <c r="L140" s="226">
        <f>IF($E140="","",DATE(YEAR($E140),MONTH($E140),1))</f>
        <v/>
      </c>
      <c r="M140" s="113">
        <f>IF($D140="","",IF($C140="TANIMSIZ MÜŞTERİ","HATA",IF(OR($E140="",$F140&lt;=0,$G140=""),"EKSİK",IF($E140&gt;TODAY(),"İLERİ TARİH",IF(COUNTIF($S$7:$S$1506,$S140)&gt;1,"MÜKERRER?",IF($T140&gt;0,"KAPALI DÖNEM","UYGUN"))))))</f>
        <v/>
      </c>
      <c r="N140" s="121">
        <f>IF($C140="","",IF($C140="TANIMSIZ MÜŞTERİ","—",INDEX(MUSTERILER!$C$7:$C$106,MATCH($C140,MUSTERILER!$B$7:$B$106,0))))</f>
        <v/>
      </c>
      <c r="O140" s="6" t="n"/>
      <c r="P140" s="6" t="n"/>
      <c r="Q140" s="3">
        <f>IF($D140="","",$C140&amp;"|"&amp;COUNTIFS($C$7:$C140,$C140))</f>
        <v/>
      </c>
      <c r="R140" s="3">
        <f>IF($D140="","",UPPER(SUBSTITUTE(SUBSTITUTE(SUBSTITUTE(SUBSTITUTE(SUBSTITUTE(SUBSTITUTE(SUBSTITUTE(SUBSTITUTE(SUBSTITUTE(SUBSTITUTE(SUBSTITUTE(SUBSTITUTE(SUBSTITUTE(SUBSTITUTE(SUBSTITUTE(SUBSTITUTE(SUBSTITUTE(SUBSTITUTE(TRIM($D140),"'",""),"İ","I"),"ı","I"),"i","I"),"Ş","S"),"ş","S"),"Ğ","G"),"ğ","G"),"Ü","U"),"ü","U"),"Ö","O"),"ö","O"),"Ç","C"),"ç","C"),".",""),",","")," ",""),"-","")))</f>
        <v/>
      </c>
      <c r="S140" s="3">
        <f>IF($D140="","",$C140&amp;"|"&amp;TEXT($E140,"0")&amp;"|"&amp;TEXT($F140,"0")&amp;"|"&amp;$I140)</f>
        <v/>
      </c>
      <c r="T140" s="3">
        <f>IF($E140="",0,SUMPRODUCT((AY_SONU!$O$7:$O$42="Evet")*(AY_SONU!$B$7:$B$42=DATE(YEAR($E140),MONTH($E140),1))))</f>
        <v/>
      </c>
    </row>
    <row r="141">
      <c r="A141" s="6" t="n"/>
      <c r="B141" s="113">
        <f>IF($D141="","","T"&amp;TEXT(ROW()-6,"00000"))</f>
        <v/>
      </c>
      <c r="C141" s="113">
        <f>IF($D141="","",IFERROR(INDEX(MUSTERILER!$B$7:$B$106,MATCH($R141,MUSTERILER!$T$7:$T$106,0)),IFERROR(INDEX(MUSTERILER!$B$7:$B$106,MATCH($D141,MUSTERILER!$B$7:$B$106,0)),IFERROR(INDEX(MUSTERILER!$B$7:$B$106,MATCH($R141&amp;"*",MUSTERILER!$T$7:$T$106,0)),"TANIMSIZ MÜŞTERİ"))))</f>
        <v/>
      </c>
      <c r="D141" s="109" t="inlineStr">
        <is>
          <t>ESERLİ LTD.ŞTİ.</t>
        </is>
      </c>
      <c r="E141" s="220" t="n">
        <v>46088</v>
      </c>
      <c r="F141" s="221" t="n">
        <v>3500</v>
      </c>
      <c r="G141" s="108" t="inlineStr">
        <is>
          <t>MERKEZ KASA</t>
        </is>
      </c>
      <c r="H141" s="108" t="inlineStr">
        <is>
          <t>Nakit</t>
        </is>
      </c>
      <c r="I141" s="109" t="n"/>
      <c r="J141" s="109" t="inlineStr">
        <is>
          <t>NAKİT ÖDENEN</t>
        </is>
      </c>
      <c r="K141" s="109" t="n"/>
      <c r="L141" s="226">
        <f>IF($E141="","",DATE(YEAR($E141),MONTH($E141),1))</f>
        <v/>
      </c>
      <c r="M141" s="113">
        <f>IF($D141="","",IF($C141="TANIMSIZ MÜŞTERİ","HATA",IF(OR($E141="",$F141&lt;=0,$G141=""),"EKSİK",IF($E141&gt;TODAY(),"İLERİ TARİH",IF(COUNTIF($S$7:$S$1506,$S141)&gt;1,"MÜKERRER?",IF($T141&gt;0,"KAPALI DÖNEM","UYGUN"))))))</f>
        <v/>
      </c>
      <c r="N141" s="121">
        <f>IF($C141="","",IF($C141="TANIMSIZ MÜŞTERİ","—",INDEX(MUSTERILER!$C$7:$C$106,MATCH($C141,MUSTERILER!$B$7:$B$106,0))))</f>
        <v/>
      </c>
      <c r="O141" s="6" t="n"/>
      <c r="P141" s="6" t="n"/>
      <c r="Q141" s="3">
        <f>IF($D141="","",$C141&amp;"|"&amp;COUNTIFS($C$7:$C141,$C141))</f>
        <v/>
      </c>
      <c r="R141" s="3">
        <f>IF($D141="","",UPPER(SUBSTITUTE(SUBSTITUTE(SUBSTITUTE(SUBSTITUTE(SUBSTITUTE(SUBSTITUTE(SUBSTITUTE(SUBSTITUTE(SUBSTITUTE(SUBSTITUTE(SUBSTITUTE(SUBSTITUTE(SUBSTITUTE(SUBSTITUTE(SUBSTITUTE(SUBSTITUTE(SUBSTITUTE(SUBSTITUTE(TRIM($D141),"'",""),"İ","I"),"ı","I"),"i","I"),"Ş","S"),"ş","S"),"Ğ","G"),"ğ","G"),"Ü","U"),"ü","U"),"Ö","O"),"ö","O"),"Ç","C"),"ç","C"),".",""),",","")," ",""),"-","")))</f>
        <v/>
      </c>
      <c r="S141" s="3">
        <f>IF($D141="","",$C141&amp;"|"&amp;TEXT($E141,"0")&amp;"|"&amp;TEXT($F141,"0")&amp;"|"&amp;$I141)</f>
        <v/>
      </c>
      <c r="T141" s="3">
        <f>IF($E141="",0,SUMPRODUCT((AY_SONU!$O$7:$O$42="Evet")*(AY_SONU!$B$7:$B$42=DATE(YEAR($E141),MONTH($E141),1))))</f>
        <v/>
      </c>
    </row>
    <row r="142">
      <c r="A142" s="6" t="n"/>
      <c r="B142" s="113">
        <f>IF($D142="","","T"&amp;TEXT(ROW()-6,"00000"))</f>
        <v/>
      </c>
      <c r="C142" s="113">
        <f>IF($D142="","",IFERROR(INDEX(MUSTERILER!$B$7:$B$106,MATCH($R142,MUSTERILER!$T$7:$T$106,0)),IFERROR(INDEX(MUSTERILER!$B$7:$B$106,MATCH($D142,MUSTERILER!$B$7:$B$106,0)),IFERROR(INDEX(MUSTERILER!$B$7:$B$106,MATCH($R142&amp;"*",MUSTERILER!$T$7:$T$106,0)),"TANIMSIZ MÜŞTERİ"))))</f>
        <v/>
      </c>
      <c r="D142" s="109" t="inlineStr">
        <is>
          <t>KRİSTAL LTD.ŞTİ.</t>
        </is>
      </c>
      <c r="E142" s="220" t="n">
        <v>46088</v>
      </c>
      <c r="F142" s="221" t="n">
        <v>3000</v>
      </c>
      <c r="G142" s="108" t="inlineStr">
        <is>
          <t>MERKEZ KASA</t>
        </is>
      </c>
      <c r="H142" s="108" t="inlineStr">
        <is>
          <t>Nakit</t>
        </is>
      </c>
      <c r="I142" s="109" t="n"/>
      <c r="J142" s="109" t="inlineStr">
        <is>
          <t>NAKİT ÖDENEN</t>
        </is>
      </c>
      <c r="K142" s="109" t="n"/>
      <c r="L142" s="226">
        <f>IF($E142="","",DATE(YEAR($E142),MONTH($E142),1))</f>
        <v/>
      </c>
      <c r="M142" s="113">
        <f>IF($D142="","",IF($C142="TANIMSIZ MÜŞTERİ","HATA",IF(OR($E142="",$F142&lt;=0,$G142=""),"EKSİK",IF($E142&gt;TODAY(),"İLERİ TARİH",IF(COUNTIF($S$7:$S$1506,$S142)&gt;1,"MÜKERRER?",IF($T142&gt;0,"KAPALI DÖNEM","UYGUN"))))))</f>
        <v/>
      </c>
      <c r="N142" s="121">
        <f>IF($C142="","",IF($C142="TANIMSIZ MÜŞTERİ","—",INDEX(MUSTERILER!$C$7:$C$106,MATCH($C142,MUSTERILER!$B$7:$B$106,0))))</f>
        <v/>
      </c>
      <c r="O142" s="6" t="n"/>
      <c r="P142" s="6" t="n"/>
      <c r="Q142" s="3">
        <f>IF($D142="","",$C142&amp;"|"&amp;COUNTIFS($C$7:$C142,$C142))</f>
        <v/>
      </c>
      <c r="R142" s="3">
        <f>IF($D142="","",UPPER(SUBSTITUTE(SUBSTITUTE(SUBSTITUTE(SUBSTITUTE(SUBSTITUTE(SUBSTITUTE(SUBSTITUTE(SUBSTITUTE(SUBSTITUTE(SUBSTITUTE(SUBSTITUTE(SUBSTITUTE(SUBSTITUTE(SUBSTITUTE(SUBSTITUTE(SUBSTITUTE(SUBSTITUTE(SUBSTITUTE(TRIM($D142),"'",""),"İ","I"),"ı","I"),"i","I"),"Ş","S"),"ş","S"),"Ğ","G"),"ğ","G"),"Ü","U"),"ü","U"),"Ö","O"),"ö","O"),"Ç","C"),"ç","C"),".",""),",","")," ",""),"-","")))</f>
        <v/>
      </c>
      <c r="S142" s="3">
        <f>IF($D142="","",$C142&amp;"|"&amp;TEXT($E142,"0")&amp;"|"&amp;TEXT($F142,"0")&amp;"|"&amp;$I142)</f>
        <v/>
      </c>
      <c r="T142" s="3">
        <f>IF($E142="",0,SUMPRODUCT((AY_SONU!$O$7:$O$42="Evet")*(AY_SONU!$B$7:$B$42=DATE(YEAR($E142),MONTH($E142),1))))</f>
        <v/>
      </c>
    </row>
    <row r="143">
      <c r="A143" s="6" t="n"/>
      <c r="B143" s="113">
        <f>IF($D143="","","T"&amp;TEXT(ROW()-6,"00000"))</f>
        <v/>
      </c>
      <c r="C143" s="113">
        <f>IF($D143="","",IFERROR(INDEX(MUSTERILER!$B$7:$B$106,MATCH($R143,MUSTERILER!$T$7:$T$106,0)),IFERROR(INDEX(MUSTERILER!$B$7:$B$106,MATCH($D143,MUSTERILER!$B$7:$B$106,0)),IFERROR(INDEX(MUSTERILER!$B$7:$B$106,MATCH($R143&amp;"*",MUSTERILER!$T$7:$T$106,0)),"TANIMSIZ MÜŞTERİ"))))</f>
        <v/>
      </c>
      <c r="D143" s="109" t="inlineStr">
        <is>
          <t>PALAOĞULLARI LTD.ŞTİ.</t>
        </is>
      </c>
      <c r="E143" s="220" t="n">
        <v>46088</v>
      </c>
      <c r="F143" s="221" t="n">
        <v>4000</v>
      </c>
      <c r="G143" s="108" t="inlineStr">
        <is>
          <t>MERKEZ KASA</t>
        </is>
      </c>
      <c r="H143" s="108" t="inlineStr">
        <is>
          <t>Nakit</t>
        </is>
      </c>
      <c r="I143" s="109" t="n"/>
      <c r="J143" s="109" t="inlineStr">
        <is>
          <t>NAKİT ÖDENEN</t>
        </is>
      </c>
      <c r="K143" s="109" t="n"/>
      <c r="L143" s="226">
        <f>IF($E143="","",DATE(YEAR($E143),MONTH($E143),1))</f>
        <v/>
      </c>
      <c r="M143" s="113">
        <f>IF($D143="","",IF($C143="TANIMSIZ MÜŞTERİ","HATA",IF(OR($E143="",$F143&lt;=0,$G143=""),"EKSİK",IF($E143&gt;TODAY(),"İLERİ TARİH",IF(COUNTIF($S$7:$S$1506,$S143)&gt;1,"MÜKERRER?",IF($T143&gt;0,"KAPALI DÖNEM","UYGUN"))))))</f>
        <v/>
      </c>
      <c r="N143" s="121">
        <f>IF($C143="","",IF($C143="TANIMSIZ MÜŞTERİ","—",INDEX(MUSTERILER!$C$7:$C$106,MATCH($C143,MUSTERILER!$B$7:$B$106,0))))</f>
        <v/>
      </c>
      <c r="O143" s="6" t="n"/>
      <c r="P143" s="6" t="n"/>
      <c r="Q143" s="3">
        <f>IF($D143="","",$C143&amp;"|"&amp;COUNTIFS($C$7:$C143,$C143))</f>
        <v/>
      </c>
      <c r="R143" s="3">
        <f>IF($D143="","",UPPER(SUBSTITUTE(SUBSTITUTE(SUBSTITUTE(SUBSTITUTE(SUBSTITUTE(SUBSTITUTE(SUBSTITUTE(SUBSTITUTE(SUBSTITUTE(SUBSTITUTE(SUBSTITUTE(SUBSTITUTE(SUBSTITUTE(SUBSTITUTE(SUBSTITUTE(SUBSTITUTE(SUBSTITUTE(SUBSTITUTE(TRIM($D143),"'",""),"İ","I"),"ı","I"),"i","I"),"Ş","S"),"ş","S"),"Ğ","G"),"ğ","G"),"Ü","U"),"ü","U"),"Ö","O"),"ö","O"),"Ç","C"),"ç","C"),".",""),",","")," ",""),"-","")))</f>
        <v/>
      </c>
      <c r="S143" s="3">
        <f>IF($D143="","",$C143&amp;"|"&amp;TEXT($E143,"0")&amp;"|"&amp;TEXT($F143,"0")&amp;"|"&amp;$I143)</f>
        <v/>
      </c>
      <c r="T143" s="3">
        <f>IF($E143="",0,SUMPRODUCT((AY_SONU!$O$7:$O$42="Evet")*(AY_SONU!$B$7:$B$42=DATE(YEAR($E143),MONTH($E143),1))))</f>
        <v/>
      </c>
    </row>
    <row r="144">
      <c r="A144" s="6" t="n"/>
      <c r="B144" s="113">
        <f>IF($D144="","","T"&amp;TEXT(ROW()-6,"00000"))</f>
        <v/>
      </c>
      <c r="C144" s="113">
        <f>IF($D144="","",IFERROR(INDEX(MUSTERILER!$B$7:$B$106,MATCH($R144,MUSTERILER!$T$7:$T$106,0)),IFERROR(INDEX(MUSTERILER!$B$7:$B$106,MATCH($D144,MUSTERILER!$B$7:$B$106,0)),IFERROR(INDEX(MUSTERILER!$B$7:$B$106,MATCH($R144&amp;"*",MUSTERILER!$T$7:$T$106,0)),"TANIMSIZ MÜŞTERİ"))))</f>
        <v/>
      </c>
      <c r="D144" s="109" t="inlineStr">
        <is>
          <t>AC OTEL LTD.ŞTİ.</t>
        </is>
      </c>
      <c r="E144" s="220" t="n">
        <v>46090</v>
      </c>
      <c r="F144" s="221" t="n">
        <v>4000</v>
      </c>
      <c r="G144" s="108" t="inlineStr">
        <is>
          <t>MERKEZ KASA</t>
        </is>
      </c>
      <c r="H144" s="108" t="inlineStr">
        <is>
          <t>Nakit</t>
        </is>
      </c>
      <c r="I144" s="109" t="n"/>
      <c r="J144" s="109" t="inlineStr">
        <is>
          <t>NAKİT ÖDENEN</t>
        </is>
      </c>
      <c r="K144" s="109" t="n"/>
      <c r="L144" s="226">
        <f>IF($E144="","",DATE(YEAR($E144),MONTH($E144),1))</f>
        <v/>
      </c>
      <c r="M144" s="113">
        <f>IF($D144="","",IF($C144="TANIMSIZ MÜŞTERİ","HATA",IF(OR($E144="",$F144&lt;=0,$G144=""),"EKSİK",IF($E144&gt;TODAY(),"İLERİ TARİH",IF(COUNTIF($S$7:$S$1506,$S144)&gt;1,"MÜKERRER?",IF($T144&gt;0,"KAPALI DÖNEM","UYGUN"))))))</f>
        <v/>
      </c>
      <c r="N144" s="121">
        <f>IF($C144="","",IF($C144="TANIMSIZ MÜŞTERİ","—",INDEX(MUSTERILER!$C$7:$C$106,MATCH($C144,MUSTERILER!$B$7:$B$106,0))))</f>
        <v/>
      </c>
      <c r="O144" s="6" t="n"/>
      <c r="P144" s="6" t="n"/>
      <c r="Q144" s="3">
        <f>IF($D144="","",$C144&amp;"|"&amp;COUNTIFS($C$7:$C144,$C144))</f>
        <v/>
      </c>
      <c r="R144" s="3">
        <f>IF($D144="","",UPPER(SUBSTITUTE(SUBSTITUTE(SUBSTITUTE(SUBSTITUTE(SUBSTITUTE(SUBSTITUTE(SUBSTITUTE(SUBSTITUTE(SUBSTITUTE(SUBSTITUTE(SUBSTITUTE(SUBSTITUTE(SUBSTITUTE(SUBSTITUTE(SUBSTITUTE(SUBSTITUTE(SUBSTITUTE(SUBSTITUTE(TRIM($D144),"'",""),"İ","I"),"ı","I"),"i","I"),"Ş","S"),"ş","S"),"Ğ","G"),"ğ","G"),"Ü","U"),"ü","U"),"Ö","O"),"ö","O"),"Ç","C"),"ç","C"),".",""),",","")," ",""),"-","")))</f>
        <v/>
      </c>
      <c r="S144" s="3">
        <f>IF($D144="","",$C144&amp;"|"&amp;TEXT($E144,"0")&amp;"|"&amp;TEXT($F144,"0")&amp;"|"&amp;$I144)</f>
        <v/>
      </c>
      <c r="T144" s="3">
        <f>IF($E144="",0,SUMPRODUCT((AY_SONU!$O$7:$O$42="Evet")*(AY_SONU!$B$7:$B$42=DATE(YEAR($E144),MONTH($E144),1))))</f>
        <v/>
      </c>
    </row>
    <row r="145">
      <c r="A145" s="6" t="n"/>
      <c r="B145" s="113">
        <f>IF($D145="","","T"&amp;TEXT(ROW()-6,"00000"))</f>
        <v/>
      </c>
      <c r="C145" s="113">
        <f>IF($D145="","",IFERROR(INDEX(MUSTERILER!$B$7:$B$106,MATCH($R145,MUSTERILER!$T$7:$T$106,0)),IFERROR(INDEX(MUSTERILER!$B$7:$B$106,MATCH($D145,MUSTERILER!$B$7:$B$106,0)),IFERROR(INDEX(MUSTERILER!$B$7:$B$106,MATCH($R145&amp;"*",MUSTERILER!$T$7:$T$106,0)),"TANIMSIZ MÜŞTERİ"))))</f>
        <v/>
      </c>
      <c r="D145" s="109" t="inlineStr">
        <is>
          <t>MENEKŞE AKAN</t>
        </is>
      </c>
      <c r="E145" s="220" t="n">
        <v>46093</v>
      </c>
      <c r="F145" s="221" t="n">
        <v>17000</v>
      </c>
      <c r="G145" s="108" t="inlineStr">
        <is>
          <t>ÖMER KARTAL</t>
        </is>
      </c>
      <c r="H145" s="108" t="inlineStr">
        <is>
          <t>Nakit</t>
        </is>
      </c>
      <c r="I145" s="109" t="n"/>
      <c r="J145" s="109" t="inlineStr">
        <is>
          <t>VERGİ TAHSİLATI İÇİN BORÇ YAZILAN</t>
        </is>
      </c>
      <c r="K145" s="109" t="n"/>
      <c r="L145" s="226">
        <f>IF($E145="","",DATE(YEAR($E145),MONTH($E145),1))</f>
        <v/>
      </c>
      <c r="M145" s="113">
        <f>IF($D145="","",IF($C145="TANIMSIZ MÜŞTERİ","HATA",IF(OR($E145="",$F145&lt;=0,$G145=""),"EKSİK",IF($E145&gt;TODAY(),"İLERİ TARİH",IF(COUNTIF($S$7:$S$1506,$S145)&gt;1,"MÜKERRER?",IF($T145&gt;0,"KAPALI DÖNEM","UYGUN"))))))</f>
        <v/>
      </c>
      <c r="N145" s="121">
        <f>IF($C145="","",IF($C145="TANIMSIZ MÜŞTERİ","—",INDEX(MUSTERILER!$C$7:$C$106,MATCH($C145,MUSTERILER!$B$7:$B$106,0))))</f>
        <v/>
      </c>
      <c r="O145" s="6" t="n"/>
      <c r="P145" s="6" t="n"/>
      <c r="Q145" s="3">
        <f>IF($D145="","",$C145&amp;"|"&amp;COUNTIFS($C$7:$C145,$C145))</f>
        <v/>
      </c>
      <c r="R145" s="3">
        <f>IF($D145="","",UPPER(SUBSTITUTE(SUBSTITUTE(SUBSTITUTE(SUBSTITUTE(SUBSTITUTE(SUBSTITUTE(SUBSTITUTE(SUBSTITUTE(SUBSTITUTE(SUBSTITUTE(SUBSTITUTE(SUBSTITUTE(SUBSTITUTE(SUBSTITUTE(SUBSTITUTE(SUBSTITUTE(SUBSTITUTE(SUBSTITUTE(TRIM($D145),"'",""),"İ","I"),"ı","I"),"i","I"),"Ş","S"),"ş","S"),"Ğ","G"),"ğ","G"),"Ü","U"),"ü","U"),"Ö","O"),"ö","O"),"Ç","C"),"ç","C"),".",""),",","")," ",""),"-","")))</f>
        <v/>
      </c>
      <c r="S145" s="3">
        <f>IF($D145="","",$C145&amp;"|"&amp;TEXT($E145,"0")&amp;"|"&amp;TEXT($F145,"0")&amp;"|"&amp;$I145)</f>
        <v/>
      </c>
      <c r="T145" s="3">
        <f>IF($E145="",0,SUMPRODUCT((AY_SONU!$O$7:$O$42="Evet")*(AY_SONU!$B$7:$B$42=DATE(YEAR($E145),MONTH($E145),1))))</f>
        <v/>
      </c>
    </row>
    <row r="146">
      <c r="A146" s="6" t="n"/>
      <c r="B146" s="113">
        <f>IF($D146="","","T"&amp;TEXT(ROW()-6,"00000"))</f>
        <v/>
      </c>
      <c r="C146" s="113">
        <f>IF($D146="","",IFERROR(INDEX(MUSTERILER!$B$7:$B$106,MATCH($R146,MUSTERILER!$T$7:$T$106,0)),IFERROR(INDEX(MUSTERILER!$B$7:$B$106,MATCH($D146,MUSTERILER!$B$7:$B$106,0)),IFERROR(INDEX(MUSTERILER!$B$7:$B$106,MATCH($R146&amp;"*",MUSTERILER!$T$7:$T$106,0)),"TANIMSIZ MÜŞTERİ"))))</f>
        <v/>
      </c>
      <c r="D146" s="109" t="inlineStr">
        <is>
          <t>EĞLENGÖR LTD.ŞTİ.</t>
        </is>
      </c>
      <c r="E146" s="220" t="n">
        <v>46095</v>
      </c>
      <c r="F146" s="221" t="n">
        <v>3000</v>
      </c>
      <c r="G146" s="108" t="inlineStr">
        <is>
          <t>MERKEZ KASA</t>
        </is>
      </c>
      <c r="H146" s="108" t="inlineStr">
        <is>
          <t>Nakit</t>
        </is>
      </c>
      <c r="I146" s="109" t="n"/>
      <c r="J146" s="109" t="inlineStr">
        <is>
          <t>NAKİT ÖDENEN</t>
        </is>
      </c>
      <c r="K146" s="109" t="n"/>
      <c r="L146" s="226">
        <f>IF($E146="","",DATE(YEAR($E146),MONTH($E146),1))</f>
        <v/>
      </c>
      <c r="M146" s="113">
        <f>IF($D146="","",IF($C146="TANIMSIZ MÜŞTERİ","HATA",IF(OR($E146="",$F146&lt;=0,$G146=""),"EKSİK",IF($E146&gt;TODAY(),"İLERİ TARİH",IF(COUNTIF($S$7:$S$1506,$S146)&gt;1,"MÜKERRER?",IF($T146&gt;0,"KAPALI DÖNEM","UYGUN"))))))</f>
        <v/>
      </c>
      <c r="N146" s="121">
        <f>IF($C146="","",IF($C146="TANIMSIZ MÜŞTERİ","—",INDEX(MUSTERILER!$C$7:$C$106,MATCH($C146,MUSTERILER!$B$7:$B$106,0))))</f>
        <v/>
      </c>
      <c r="O146" s="6" t="n"/>
      <c r="P146" s="6" t="n"/>
      <c r="Q146" s="3">
        <f>IF($D146="","",$C146&amp;"|"&amp;COUNTIFS($C$7:$C146,$C146))</f>
        <v/>
      </c>
      <c r="R146" s="3">
        <f>IF($D146="","",UPPER(SUBSTITUTE(SUBSTITUTE(SUBSTITUTE(SUBSTITUTE(SUBSTITUTE(SUBSTITUTE(SUBSTITUTE(SUBSTITUTE(SUBSTITUTE(SUBSTITUTE(SUBSTITUTE(SUBSTITUTE(SUBSTITUTE(SUBSTITUTE(SUBSTITUTE(SUBSTITUTE(SUBSTITUTE(SUBSTITUTE(TRIM($D146),"'",""),"İ","I"),"ı","I"),"i","I"),"Ş","S"),"ş","S"),"Ğ","G"),"ğ","G"),"Ü","U"),"ü","U"),"Ö","O"),"ö","O"),"Ç","C"),"ç","C"),".",""),",","")," ",""),"-","")))</f>
        <v/>
      </c>
      <c r="S146" s="3">
        <f>IF($D146="","",$C146&amp;"|"&amp;TEXT($E146,"0")&amp;"|"&amp;TEXT($F146,"0")&amp;"|"&amp;$I146)</f>
        <v/>
      </c>
      <c r="T146" s="3">
        <f>IF($E146="",0,SUMPRODUCT((AY_SONU!$O$7:$O$42="Evet")*(AY_SONU!$B$7:$B$42=DATE(YEAR($E146),MONTH($E146),1))))</f>
        <v/>
      </c>
    </row>
    <row r="147">
      <c r="A147" s="6" t="n"/>
      <c r="B147" s="113">
        <f>IF($D147="","","T"&amp;TEXT(ROW()-6,"00000"))</f>
        <v/>
      </c>
      <c r="C147" s="113">
        <f>IF($D147="","",IFERROR(INDEX(MUSTERILER!$B$7:$B$106,MATCH($R147,MUSTERILER!$T$7:$T$106,0)),IFERROR(INDEX(MUSTERILER!$B$7:$B$106,MATCH($D147,MUSTERILER!$B$7:$B$106,0)),IFERROR(INDEX(MUSTERILER!$B$7:$B$106,MATCH($R147&amp;"*",MUSTERILER!$T$7:$T$106,0)),"TANIMSIZ MÜŞTERİ"))))</f>
        <v/>
      </c>
      <c r="D147" s="109" t="inlineStr">
        <is>
          <t>ASIM AÇIKGÖZ</t>
        </is>
      </c>
      <c r="E147" s="220" t="n">
        <v>46096</v>
      </c>
      <c r="F147" s="221" t="n">
        <v>2000</v>
      </c>
      <c r="G147" s="108" t="inlineStr">
        <is>
          <t>MERKEZ KASA</t>
        </is>
      </c>
      <c r="H147" s="108" t="inlineStr">
        <is>
          <t>Nakit</t>
        </is>
      </c>
      <c r="I147" s="109" t="n"/>
      <c r="J147" s="109" t="inlineStr">
        <is>
          <t>NAKİT ÖDENEN</t>
        </is>
      </c>
      <c r="K147" s="109" t="n"/>
      <c r="L147" s="226">
        <f>IF($E147="","",DATE(YEAR($E147),MONTH($E147),1))</f>
        <v/>
      </c>
      <c r="M147" s="113">
        <f>IF($D147="","",IF($C147="TANIMSIZ MÜŞTERİ","HATA",IF(OR($E147="",$F147&lt;=0,$G147=""),"EKSİK",IF($E147&gt;TODAY(),"İLERİ TARİH",IF(COUNTIF($S$7:$S$1506,$S147)&gt;1,"MÜKERRER?",IF($T147&gt;0,"KAPALI DÖNEM","UYGUN"))))))</f>
        <v/>
      </c>
      <c r="N147" s="121">
        <f>IF($C147="","",IF($C147="TANIMSIZ MÜŞTERİ","—",INDEX(MUSTERILER!$C$7:$C$106,MATCH($C147,MUSTERILER!$B$7:$B$106,0))))</f>
        <v/>
      </c>
      <c r="O147" s="6" t="n"/>
      <c r="P147" s="6" t="n"/>
      <c r="Q147" s="3">
        <f>IF($D147="","",$C147&amp;"|"&amp;COUNTIFS($C$7:$C147,$C147))</f>
        <v/>
      </c>
      <c r="R147" s="3">
        <f>IF($D147="","",UPPER(SUBSTITUTE(SUBSTITUTE(SUBSTITUTE(SUBSTITUTE(SUBSTITUTE(SUBSTITUTE(SUBSTITUTE(SUBSTITUTE(SUBSTITUTE(SUBSTITUTE(SUBSTITUTE(SUBSTITUTE(SUBSTITUTE(SUBSTITUTE(SUBSTITUTE(SUBSTITUTE(SUBSTITUTE(SUBSTITUTE(TRIM($D147),"'",""),"İ","I"),"ı","I"),"i","I"),"Ş","S"),"ş","S"),"Ğ","G"),"ğ","G"),"Ü","U"),"ü","U"),"Ö","O"),"ö","O"),"Ç","C"),"ç","C"),".",""),",","")," ",""),"-","")))</f>
        <v/>
      </c>
      <c r="S147" s="3">
        <f>IF($D147="","",$C147&amp;"|"&amp;TEXT($E147,"0")&amp;"|"&amp;TEXT($F147,"0")&amp;"|"&amp;$I147)</f>
        <v/>
      </c>
      <c r="T147" s="3">
        <f>IF($E147="",0,SUMPRODUCT((AY_SONU!$O$7:$O$42="Evet")*(AY_SONU!$B$7:$B$42=DATE(YEAR($E147),MONTH($E147),1))))</f>
        <v/>
      </c>
    </row>
    <row r="148">
      <c r="A148" s="6" t="n"/>
      <c r="B148" s="113">
        <f>IF($D148="","","T"&amp;TEXT(ROW()-6,"00000"))</f>
        <v/>
      </c>
      <c r="C148" s="113">
        <f>IF($D148="","",IFERROR(INDEX(MUSTERILER!$B$7:$B$106,MATCH($R148,MUSTERILER!$T$7:$T$106,0)),IFERROR(INDEX(MUSTERILER!$B$7:$B$106,MATCH($D148,MUSTERILER!$B$7:$B$106,0)),IFERROR(INDEX(MUSTERILER!$B$7:$B$106,MATCH($R148&amp;"*",MUSTERILER!$T$7:$T$106,0)),"TANIMSIZ MÜŞTERİ"))))</f>
        <v/>
      </c>
      <c r="D148" s="109" t="inlineStr">
        <is>
          <t>ASM EĞLENCE LTD.ŞTİ.</t>
        </is>
      </c>
      <c r="E148" s="220" t="n">
        <v>46096</v>
      </c>
      <c r="F148" s="221" t="n">
        <v>2500</v>
      </c>
      <c r="G148" s="108" t="inlineStr">
        <is>
          <t>ÖMER KARTAL</t>
        </is>
      </c>
      <c r="H148" s="108" t="inlineStr">
        <is>
          <t>Nakit</t>
        </is>
      </c>
      <c r="I148" s="109" t="n"/>
      <c r="J148" s="109" t="inlineStr">
        <is>
          <t>NAKİT ÖDENEN</t>
        </is>
      </c>
      <c r="K148" s="109" t="n"/>
      <c r="L148" s="226">
        <f>IF($E148="","",DATE(YEAR($E148),MONTH($E148),1))</f>
        <v/>
      </c>
      <c r="M148" s="113">
        <f>IF($D148="","",IF($C148="TANIMSIZ MÜŞTERİ","HATA",IF(OR($E148="",$F148&lt;=0,$G148=""),"EKSİK",IF($E148&gt;TODAY(),"İLERİ TARİH",IF(COUNTIF($S$7:$S$1506,$S148)&gt;1,"MÜKERRER?",IF($T148&gt;0,"KAPALI DÖNEM","UYGUN"))))))</f>
        <v/>
      </c>
      <c r="N148" s="121">
        <f>IF($C148="","",IF($C148="TANIMSIZ MÜŞTERİ","—",INDEX(MUSTERILER!$C$7:$C$106,MATCH($C148,MUSTERILER!$B$7:$B$106,0))))</f>
        <v/>
      </c>
      <c r="O148" s="6" t="n"/>
      <c r="P148" s="6" t="n"/>
      <c r="Q148" s="3">
        <f>IF($D148="","",$C148&amp;"|"&amp;COUNTIFS($C$7:$C148,$C148))</f>
        <v/>
      </c>
      <c r="R148" s="3">
        <f>IF($D148="","",UPPER(SUBSTITUTE(SUBSTITUTE(SUBSTITUTE(SUBSTITUTE(SUBSTITUTE(SUBSTITUTE(SUBSTITUTE(SUBSTITUTE(SUBSTITUTE(SUBSTITUTE(SUBSTITUTE(SUBSTITUTE(SUBSTITUTE(SUBSTITUTE(SUBSTITUTE(SUBSTITUTE(SUBSTITUTE(SUBSTITUTE(TRIM($D148),"'",""),"İ","I"),"ı","I"),"i","I"),"Ş","S"),"ş","S"),"Ğ","G"),"ğ","G"),"Ü","U"),"ü","U"),"Ö","O"),"ö","O"),"Ç","C"),"ç","C"),".",""),",","")," ",""),"-","")))</f>
        <v/>
      </c>
      <c r="S148" s="3">
        <f>IF($D148="","",$C148&amp;"|"&amp;TEXT($E148,"0")&amp;"|"&amp;TEXT($F148,"0")&amp;"|"&amp;$I148)</f>
        <v/>
      </c>
      <c r="T148" s="3">
        <f>IF($E148="",0,SUMPRODUCT((AY_SONU!$O$7:$O$42="Evet")*(AY_SONU!$B$7:$B$42=DATE(YEAR($E148),MONTH($E148),1))))</f>
        <v/>
      </c>
    </row>
    <row r="149">
      <c r="A149" s="6" t="n"/>
      <c r="B149" s="113">
        <f>IF($D149="","","T"&amp;TEXT(ROW()-6,"00000"))</f>
        <v/>
      </c>
      <c r="C149" s="113">
        <f>IF($D149="","",IFERROR(INDEX(MUSTERILER!$B$7:$B$106,MATCH($R149,MUSTERILER!$T$7:$T$106,0)),IFERROR(INDEX(MUSTERILER!$B$7:$B$106,MATCH($D149,MUSTERILER!$B$7:$B$106,0)),IFERROR(INDEX(MUSTERILER!$B$7:$B$106,MATCH($R149&amp;"*",MUSTERILER!$T$7:$T$106,0)),"TANIMSIZ MÜŞTERİ"))))</f>
        <v/>
      </c>
      <c r="D149" s="109" t="inlineStr">
        <is>
          <t>Çayıralan Ltd.Şti.</t>
        </is>
      </c>
      <c r="E149" s="220" t="n">
        <v>46096</v>
      </c>
      <c r="F149" s="221" t="n">
        <v>11500</v>
      </c>
      <c r="G149" s="108" t="inlineStr">
        <is>
          <t>ÖMER KARTAL</t>
        </is>
      </c>
      <c r="H149" s="108" t="inlineStr">
        <is>
          <t>Nakit</t>
        </is>
      </c>
      <c r="I149" s="109" t="n"/>
      <c r="J149" s="109" t="inlineStr">
        <is>
          <t>ÖMER KARTALA ÖDENEN</t>
        </is>
      </c>
      <c r="K149" s="109" t="n"/>
      <c r="L149" s="226">
        <f>IF($E149="","",DATE(YEAR($E149),MONTH($E149),1))</f>
        <v/>
      </c>
      <c r="M149" s="113">
        <f>IF($D149="","",IF($C149="TANIMSIZ MÜŞTERİ","HATA",IF(OR($E149="",$F149&lt;=0,$G149=""),"EKSİK",IF($E149&gt;TODAY(),"İLERİ TARİH",IF(COUNTIF($S$7:$S$1506,$S149)&gt;1,"MÜKERRER?",IF($T149&gt;0,"KAPALI DÖNEM","UYGUN"))))))</f>
        <v/>
      </c>
      <c r="N149" s="121">
        <f>IF($C149="","",IF($C149="TANIMSIZ MÜŞTERİ","—",INDEX(MUSTERILER!$C$7:$C$106,MATCH($C149,MUSTERILER!$B$7:$B$106,0))))</f>
        <v/>
      </c>
      <c r="O149" s="6" t="n"/>
      <c r="P149" s="6" t="n"/>
      <c r="Q149" s="3">
        <f>IF($D149="","",$C149&amp;"|"&amp;COUNTIFS($C$7:$C149,$C149))</f>
        <v/>
      </c>
      <c r="R149" s="3">
        <f>IF($D149="","",UPPER(SUBSTITUTE(SUBSTITUTE(SUBSTITUTE(SUBSTITUTE(SUBSTITUTE(SUBSTITUTE(SUBSTITUTE(SUBSTITUTE(SUBSTITUTE(SUBSTITUTE(SUBSTITUTE(SUBSTITUTE(SUBSTITUTE(SUBSTITUTE(SUBSTITUTE(SUBSTITUTE(SUBSTITUTE(SUBSTITUTE(TRIM($D149),"'",""),"İ","I"),"ı","I"),"i","I"),"Ş","S"),"ş","S"),"Ğ","G"),"ğ","G"),"Ü","U"),"ü","U"),"Ö","O"),"ö","O"),"Ç","C"),"ç","C"),".",""),",","")," ",""),"-","")))</f>
        <v/>
      </c>
      <c r="S149" s="3">
        <f>IF($D149="","",$C149&amp;"|"&amp;TEXT($E149,"0")&amp;"|"&amp;TEXT($F149,"0")&amp;"|"&amp;$I149)</f>
        <v/>
      </c>
      <c r="T149" s="3">
        <f>IF($E149="",0,SUMPRODUCT((AY_SONU!$O$7:$O$42="Evet")*(AY_SONU!$B$7:$B$42=DATE(YEAR($E149),MONTH($E149),1))))</f>
        <v/>
      </c>
    </row>
    <row r="150">
      <c r="A150" s="6" t="n"/>
      <c r="B150" s="113">
        <f>IF($D150="","","T"&amp;TEXT(ROW()-6,"00000"))</f>
        <v/>
      </c>
      <c r="C150" s="113">
        <f>IF($D150="","",IFERROR(INDEX(MUSTERILER!$B$7:$B$106,MATCH($R150,MUSTERILER!$T$7:$T$106,0)),IFERROR(INDEX(MUSTERILER!$B$7:$B$106,MATCH($D150,MUSTERILER!$B$7:$B$106,0)),IFERROR(INDEX(MUSTERILER!$B$7:$B$106,MATCH($R150&amp;"*",MUSTERILER!$T$7:$T$106,0)),"TANIMSIZ MÜŞTERİ"))))</f>
        <v/>
      </c>
      <c r="D150" s="109" t="inlineStr">
        <is>
          <t>Final Siyah Beyaz Ltd.Şti.</t>
        </is>
      </c>
      <c r="E150" s="220" t="n">
        <v>46096</v>
      </c>
      <c r="F150" s="221" t="n">
        <v>2000</v>
      </c>
      <c r="G150" s="108" t="inlineStr">
        <is>
          <t>MERKEZ KASA</t>
        </is>
      </c>
      <c r="H150" s="108" t="inlineStr">
        <is>
          <t>Nakit</t>
        </is>
      </c>
      <c r="I150" s="109" t="n"/>
      <c r="J150" s="109" t="inlineStr">
        <is>
          <t>NAKİT ÖDENEN</t>
        </is>
      </c>
      <c r="K150" s="109" t="n"/>
      <c r="L150" s="226">
        <f>IF($E150="","",DATE(YEAR($E150),MONTH($E150),1))</f>
        <v/>
      </c>
      <c r="M150" s="113">
        <f>IF($D150="","",IF($C150="TANIMSIZ MÜŞTERİ","HATA",IF(OR($E150="",$F150&lt;=0,$G150=""),"EKSİK",IF($E150&gt;TODAY(),"İLERİ TARİH",IF(COUNTIF($S$7:$S$1506,$S150)&gt;1,"MÜKERRER?",IF($T150&gt;0,"KAPALI DÖNEM","UYGUN"))))))</f>
        <v/>
      </c>
      <c r="N150" s="121">
        <f>IF($C150="","",IF($C150="TANIMSIZ MÜŞTERİ","—",INDEX(MUSTERILER!$C$7:$C$106,MATCH($C150,MUSTERILER!$B$7:$B$106,0))))</f>
        <v/>
      </c>
      <c r="O150" s="6" t="n"/>
      <c r="P150" s="6" t="n"/>
      <c r="Q150" s="3">
        <f>IF($D150="","",$C150&amp;"|"&amp;COUNTIFS($C$7:$C150,$C150))</f>
        <v/>
      </c>
      <c r="R150" s="3">
        <f>IF($D150="","",UPPER(SUBSTITUTE(SUBSTITUTE(SUBSTITUTE(SUBSTITUTE(SUBSTITUTE(SUBSTITUTE(SUBSTITUTE(SUBSTITUTE(SUBSTITUTE(SUBSTITUTE(SUBSTITUTE(SUBSTITUTE(SUBSTITUTE(SUBSTITUTE(SUBSTITUTE(SUBSTITUTE(SUBSTITUTE(SUBSTITUTE(TRIM($D150),"'",""),"İ","I"),"ı","I"),"i","I"),"Ş","S"),"ş","S"),"Ğ","G"),"ğ","G"),"Ü","U"),"ü","U"),"Ö","O"),"ö","O"),"Ç","C"),"ç","C"),".",""),",","")," ",""),"-","")))</f>
        <v/>
      </c>
      <c r="S150" s="3">
        <f>IF($D150="","",$C150&amp;"|"&amp;TEXT($E150,"0")&amp;"|"&amp;TEXT($F150,"0")&amp;"|"&amp;$I150)</f>
        <v/>
      </c>
      <c r="T150" s="3">
        <f>IF($E150="",0,SUMPRODUCT((AY_SONU!$O$7:$O$42="Evet")*(AY_SONU!$B$7:$B$42=DATE(YEAR($E150),MONTH($E150),1))))</f>
        <v/>
      </c>
    </row>
    <row r="151">
      <c r="A151" s="6" t="n"/>
      <c r="B151" s="113">
        <f>IF($D151="","","T"&amp;TEXT(ROW()-6,"00000"))</f>
        <v/>
      </c>
      <c r="C151" s="113">
        <f>IF($D151="","",IFERROR(INDEX(MUSTERILER!$B$7:$B$106,MATCH($R151,MUSTERILER!$T$7:$T$106,0)),IFERROR(INDEX(MUSTERILER!$B$7:$B$106,MATCH($D151,MUSTERILER!$B$7:$B$106,0)),IFERROR(INDEX(MUSTERILER!$B$7:$B$106,MATCH($R151&amp;"*",MUSTERILER!$T$7:$T$106,0)),"TANIMSIZ MÜŞTERİ"))))</f>
        <v/>
      </c>
      <c r="D151" s="109" t="inlineStr">
        <is>
          <t>İbrahim Maldan</t>
        </is>
      </c>
      <c r="E151" s="220" t="n">
        <v>46096</v>
      </c>
      <c r="F151" s="221" t="n">
        <v>4000</v>
      </c>
      <c r="G151" s="108" t="inlineStr">
        <is>
          <t>ÖMER KARTAL</t>
        </is>
      </c>
      <c r="H151" s="108" t="inlineStr">
        <is>
          <t>Nakit</t>
        </is>
      </c>
      <c r="I151" s="109" t="n"/>
      <c r="J151" s="109" t="inlineStr">
        <is>
          <t>ÖMER KARTALA ÖDENEN</t>
        </is>
      </c>
      <c r="K151" s="109" t="n"/>
      <c r="L151" s="226">
        <f>IF($E151="","",DATE(YEAR($E151),MONTH($E151),1))</f>
        <v/>
      </c>
      <c r="M151" s="113">
        <f>IF($D151="","",IF($C151="TANIMSIZ MÜŞTERİ","HATA",IF(OR($E151="",$F151&lt;=0,$G151=""),"EKSİK",IF($E151&gt;TODAY(),"İLERİ TARİH",IF(COUNTIF($S$7:$S$1506,$S151)&gt;1,"MÜKERRER?",IF($T151&gt;0,"KAPALI DÖNEM","UYGUN"))))))</f>
        <v/>
      </c>
      <c r="N151" s="121">
        <f>IF($C151="","",IF($C151="TANIMSIZ MÜŞTERİ","—",INDEX(MUSTERILER!$C$7:$C$106,MATCH($C151,MUSTERILER!$B$7:$B$106,0))))</f>
        <v/>
      </c>
      <c r="O151" s="6" t="n"/>
      <c r="P151" s="6" t="n"/>
      <c r="Q151" s="3">
        <f>IF($D151="","",$C151&amp;"|"&amp;COUNTIFS($C$7:$C151,$C151))</f>
        <v/>
      </c>
      <c r="R151" s="3">
        <f>IF($D151="","",UPPER(SUBSTITUTE(SUBSTITUTE(SUBSTITUTE(SUBSTITUTE(SUBSTITUTE(SUBSTITUTE(SUBSTITUTE(SUBSTITUTE(SUBSTITUTE(SUBSTITUTE(SUBSTITUTE(SUBSTITUTE(SUBSTITUTE(SUBSTITUTE(SUBSTITUTE(SUBSTITUTE(SUBSTITUTE(SUBSTITUTE(TRIM($D151),"'",""),"İ","I"),"ı","I"),"i","I"),"Ş","S"),"ş","S"),"Ğ","G"),"ğ","G"),"Ü","U"),"ü","U"),"Ö","O"),"ö","O"),"Ç","C"),"ç","C"),".",""),",","")," ",""),"-","")))</f>
        <v/>
      </c>
      <c r="S151" s="3">
        <f>IF($D151="","",$C151&amp;"|"&amp;TEXT($E151,"0")&amp;"|"&amp;TEXT($F151,"0")&amp;"|"&amp;$I151)</f>
        <v/>
      </c>
      <c r="T151" s="3">
        <f>IF($E151="",0,SUMPRODUCT((AY_SONU!$O$7:$O$42="Evet")*(AY_SONU!$B$7:$B$42=DATE(YEAR($E151),MONTH($E151),1))))</f>
        <v/>
      </c>
    </row>
    <row r="152">
      <c r="A152" s="6" t="n"/>
      <c r="B152" s="113">
        <f>IF($D152="","","T"&amp;TEXT(ROW()-6,"00000"))</f>
        <v/>
      </c>
      <c r="C152" s="113">
        <f>IF($D152="","",IFERROR(INDEX(MUSTERILER!$B$7:$B$106,MATCH($R152,MUSTERILER!$T$7:$T$106,0)),IFERROR(INDEX(MUSTERILER!$B$7:$B$106,MATCH($D152,MUSTERILER!$B$7:$B$106,0)),IFERROR(INDEX(MUSTERILER!$B$7:$B$106,MATCH($R152&amp;"*",MUSTERILER!$T$7:$T$106,0)),"TANIMSIZ MÜŞTERİ"))))</f>
        <v/>
      </c>
      <c r="D152" s="109" t="inlineStr">
        <is>
          <t>İldeş Ltd.Şti.</t>
        </is>
      </c>
      <c r="E152" s="220" t="n">
        <v>46096</v>
      </c>
      <c r="F152" s="221" t="n">
        <v>4000</v>
      </c>
      <c r="G152" s="108" t="inlineStr">
        <is>
          <t>MERKEZ KASA</t>
        </is>
      </c>
      <c r="H152" s="108" t="inlineStr">
        <is>
          <t>Nakit</t>
        </is>
      </c>
      <c r="I152" s="109" t="n"/>
      <c r="J152" s="109" t="inlineStr">
        <is>
          <t>NAKİT ÖDENEN</t>
        </is>
      </c>
      <c r="K152" s="109" t="n"/>
      <c r="L152" s="226">
        <f>IF($E152="","",DATE(YEAR($E152),MONTH($E152),1))</f>
        <v/>
      </c>
      <c r="M152" s="113">
        <f>IF($D152="","",IF($C152="TANIMSIZ MÜŞTERİ","HATA",IF(OR($E152="",$F152&lt;=0,$G152=""),"EKSİK",IF($E152&gt;TODAY(),"İLERİ TARİH",IF(COUNTIF($S$7:$S$1506,$S152)&gt;1,"MÜKERRER?",IF($T152&gt;0,"KAPALI DÖNEM","UYGUN"))))))</f>
        <v/>
      </c>
      <c r="N152" s="121">
        <f>IF($C152="","",IF($C152="TANIMSIZ MÜŞTERİ","—",INDEX(MUSTERILER!$C$7:$C$106,MATCH($C152,MUSTERILER!$B$7:$B$106,0))))</f>
        <v/>
      </c>
      <c r="O152" s="6" t="n"/>
      <c r="P152" s="6" t="n"/>
      <c r="Q152" s="3">
        <f>IF($D152="","",$C152&amp;"|"&amp;COUNTIFS($C$7:$C152,$C152))</f>
        <v/>
      </c>
      <c r="R152" s="3">
        <f>IF($D152="","",UPPER(SUBSTITUTE(SUBSTITUTE(SUBSTITUTE(SUBSTITUTE(SUBSTITUTE(SUBSTITUTE(SUBSTITUTE(SUBSTITUTE(SUBSTITUTE(SUBSTITUTE(SUBSTITUTE(SUBSTITUTE(SUBSTITUTE(SUBSTITUTE(SUBSTITUTE(SUBSTITUTE(SUBSTITUTE(SUBSTITUTE(TRIM($D152),"'",""),"İ","I"),"ı","I"),"i","I"),"Ş","S"),"ş","S"),"Ğ","G"),"ğ","G"),"Ü","U"),"ü","U"),"Ö","O"),"ö","O"),"Ç","C"),"ç","C"),".",""),",","")," ",""),"-","")))</f>
        <v/>
      </c>
      <c r="S152" s="3">
        <f>IF($D152="","",$C152&amp;"|"&amp;TEXT($E152,"0")&amp;"|"&amp;TEXT($F152,"0")&amp;"|"&amp;$I152)</f>
        <v/>
      </c>
      <c r="T152" s="3">
        <f>IF($E152="",0,SUMPRODUCT((AY_SONU!$O$7:$O$42="Evet")*(AY_SONU!$B$7:$B$42=DATE(YEAR($E152),MONTH($E152),1))))</f>
        <v/>
      </c>
    </row>
    <row r="153">
      <c r="A153" s="6" t="n"/>
      <c r="B153" s="113">
        <f>IF($D153="","","T"&amp;TEXT(ROW()-6,"00000"))</f>
        <v/>
      </c>
      <c r="C153" s="113">
        <f>IF($D153="","",IFERROR(INDEX(MUSTERILER!$B$7:$B$106,MATCH($R153,MUSTERILER!$T$7:$T$106,0)),IFERROR(INDEX(MUSTERILER!$B$7:$B$106,MATCH($D153,MUSTERILER!$B$7:$B$106,0)),IFERROR(INDEX(MUSTERILER!$B$7:$B$106,MATCH($R153&amp;"*",MUSTERILER!$T$7:$T$106,0)),"TANIMSIZ MÜŞTERİ"))))</f>
        <v/>
      </c>
      <c r="D153" s="109" t="inlineStr">
        <is>
          <t>Monamour Ltd.Şti.</t>
        </is>
      </c>
      <c r="E153" s="220" t="n">
        <v>46096</v>
      </c>
      <c r="F153" s="221" t="n">
        <v>3500</v>
      </c>
      <c r="G153" s="108" t="inlineStr">
        <is>
          <t>MERKEZ KASA</t>
        </is>
      </c>
      <c r="H153" s="108" t="inlineStr">
        <is>
          <t>Nakit</t>
        </is>
      </c>
      <c r="I153" s="109" t="n"/>
      <c r="J153" s="109" t="inlineStr">
        <is>
          <t>NAKİT ÖDENEN</t>
        </is>
      </c>
      <c r="K153" s="109" t="n"/>
      <c r="L153" s="226">
        <f>IF($E153="","",DATE(YEAR($E153),MONTH($E153),1))</f>
        <v/>
      </c>
      <c r="M153" s="113">
        <f>IF($D153="","",IF($C153="TANIMSIZ MÜŞTERİ","HATA",IF(OR($E153="",$F153&lt;=0,$G153=""),"EKSİK",IF($E153&gt;TODAY(),"İLERİ TARİH",IF(COUNTIF($S$7:$S$1506,$S153)&gt;1,"MÜKERRER?",IF($T153&gt;0,"KAPALI DÖNEM","UYGUN"))))))</f>
        <v/>
      </c>
      <c r="N153" s="121">
        <f>IF($C153="","",IF($C153="TANIMSIZ MÜŞTERİ","—",INDEX(MUSTERILER!$C$7:$C$106,MATCH($C153,MUSTERILER!$B$7:$B$106,0))))</f>
        <v/>
      </c>
      <c r="O153" s="6" t="n"/>
      <c r="P153" s="6" t="n"/>
      <c r="Q153" s="3">
        <f>IF($D153="","",$C153&amp;"|"&amp;COUNTIFS($C$7:$C153,$C153))</f>
        <v/>
      </c>
      <c r="R153" s="3">
        <f>IF($D153="","",UPPER(SUBSTITUTE(SUBSTITUTE(SUBSTITUTE(SUBSTITUTE(SUBSTITUTE(SUBSTITUTE(SUBSTITUTE(SUBSTITUTE(SUBSTITUTE(SUBSTITUTE(SUBSTITUTE(SUBSTITUTE(SUBSTITUTE(SUBSTITUTE(SUBSTITUTE(SUBSTITUTE(SUBSTITUTE(SUBSTITUTE(TRIM($D153),"'",""),"İ","I"),"ı","I"),"i","I"),"Ş","S"),"ş","S"),"Ğ","G"),"ğ","G"),"Ü","U"),"ü","U"),"Ö","O"),"ö","O"),"Ç","C"),"ç","C"),".",""),",","")," ",""),"-","")))</f>
        <v/>
      </c>
      <c r="S153" s="3">
        <f>IF($D153="","",$C153&amp;"|"&amp;TEXT($E153,"0")&amp;"|"&amp;TEXT($F153,"0")&amp;"|"&amp;$I153)</f>
        <v/>
      </c>
      <c r="T153" s="3">
        <f>IF($E153="",0,SUMPRODUCT((AY_SONU!$O$7:$O$42="Evet")*(AY_SONU!$B$7:$B$42=DATE(YEAR($E153),MONTH($E153),1))))</f>
        <v/>
      </c>
    </row>
    <row r="154">
      <c r="A154" s="6" t="n"/>
      <c r="B154" s="113">
        <f>IF($D154="","","T"&amp;TEXT(ROW()-6,"00000"))</f>
        <v/>
      </c>
      <c r="C154" s="113">
        <f>IF($D154="","",IFERROR(INDEX(MUSTERILER!$B$7:$B$106,MATCH($R154,MUSTERILER!$T$7:$T$106,0)),IFERROR(INDEX(MUSTERILER!$B$7:$B$106,MATCH($D154,MUSTERILER!$B$7:$B$106,0)),IFERROR(INDEX(MUSTERILER!$B$7:$B$106,MATCH($R154&amp;"*",MUSTERILER!$T$7:$T$106,0)),"TANIMSIZ MÜŞTERİ"))))</f>
        <v/>
      </c>
      <c r="D154" s="109" t="inlineStr">
        <is>
          <t>Rix Şow Ltd.Şti.</t>
        </is>
      </c>
      <c r="E154" s="220" t="n">
        <v>46096</v>
      </c>
      <c r="F154" s="221" t="n">
        <v>3000</v>
      </c>
      <c r="G154" s="108" t="inlineStr">
        <is>
          <t>ÖMER KARTAL</t>
        </is>
      </c>
      <c r="H154" s="108" t="inlineStr">
        <is>
          <t>Nakit</t>
        </is>
      </c>
      <c r="I154" s="109" t="n"/>
      <c r="J154" s="109" t="inlineStr">
        <is>
          <t>ÖMER KARTALA ÖDENEN</t>
        </is>
      </c>
      <c r="K154" s="109" t="n"/>
      <c r="L154" s="226">
        <f>IF($E154="","",DATE(YEAR($E154),MONTH($E154),1))</f>
        <v/>
      </c>
      <c r="M154" s="113">
        <f>IF($D154="","",IF($C154="TANIMSIZ MÜŞTERİ","HATA",IF(OR($E154="",$F154&lt;=0,$G154=""),"EKSİK",IF($E154&gt;TODAY(),"İLERİ TARİH",IF(COUNTIF($S$7:$S$1506,$S154)&gt;1,"MÜKERRER?",IF($T154&gt;0,"KAPALI DÖNEM","UYGUN"))))))</f>
        <v/>
      </c>
      <c r="N154" s="121">
        <f>IF($C154="","",IF($C154="TANIMSIZ MÜŞTERİ","—",INDEX(MUSTERILER!$C$7:$C$106,MATCH($C154,MUSTERILER!$B$7:$B$106,0))))</f>
        <v/>
      </c>
      <c r="O154" s="6" t="n"/>
      <c r="P154" s="6" t="n"/>
      <c r="Q154" s="3">
        <f>IF($D154="","",$C154&amp;"|"&amp;COUNTIFS($C$7:$C154,$C154))</f>
        <v/>
      </c>
      <c r="R154" s="3">
        <f>IF($D154="","",UPPER(SUBSTITUTE(SUBSTITUTE(SUBSTITUTE(SUBSTITUTE(SUBSTITUTE(SUBSTITUTE(SUBSTITUTE(SUBSTITUTE(SUBSTITUTE(SUBSTITUTE(SUBSTITUTE(SUBSTITUTE(SUBSTITUTE(SUBSTITUTE(SUBSTITUTE(SUBSTITUTE(SUBSTITUTE(SUBSTITUTE(TRIM($D154),"'",""),"İ","I"),"ı","I"),"i","I"),"Ş","S"),"ş","S"),"Ğ","G"),"ğ","G"),"Ü","U"),"ü","U"),"Ö","O"),"ö","O"),"Ç","C"),"ç","C"),".",""),",","")," ",""),"-","")))</f>
        <v/>
      </c>
      <c r="S154" s="3">
        <f>IF($D154="","",$C154&amp;"|"&amp;TEXT($E154,"0")&amp;"|"&amp;TEXT($F154,"0")&amp;"|"&amp;$I154)</f>
        <v/>
      </c>
      <c r="T154" s="3">
        <f>IF($E154="",0,SUMPRODUCT((AY_SONU!$O$7:$O$42="Evet")*(AY_SONU!$B$7:$B$42=DATE(YEAR($E154),MONTH($E154),1))))</f>
        <v/>
      </c>
    </row>
    <row r="155">
      <c r="A155" s="6" t="n"/>
      <c r="B155" s="113">
        <f>IF($D155="","","T"&amp;TEXT(ROW()-6,"00000"))</f>
        <v/>
      </c>
      <c r="C155" s="113">
        <f>IF($D155="","",IFERROR(INDEX(MUSTERILER!$B$7:$B$106,MATCH($R155,MUSTERILER!$T$7:$T$106,0)),IFERROR(INDEX(MUSTERILER!$B$7:$B$106,MATCH($D155,MUSTERILER!$B$7:$B$106,0)),IFERROR(INDEX(MUSTERILER!$B$7:$B$106,MATCH($R155&amp;"*",MUSTERILER!$T$7:$T$106,0)),"TANIMSIZ MÜŞTERİ"))))</f>
        <v/>
      </c>
      <c r="D155" s="109" t="inlineStr">
        <is>
          <t>Zümrüt Grup Ltd.Şti.</t>
        </is>
      </c>
      <c r="E155" s="220" t="n">
        <v>46096</v>
      </c>
      <c r="F155" s="221" t="n">
        <v>1750</v>
      </c>
      <c r="G155" s="108" t="inlineStr">
        <is>
          <t>MERKEZ KASA</t>
        </is>
      </c>
      <c r="H155" s="108" t="inlineStr">
        <is>
          <t>Nakit</t>
        </is>
      </c>
      <c r="I155" s="109" t="n"/>
      <c r="J155" s="109" t="inlineStr">
        <is>
          <t>NAKİT ÖDENEN</t>
        </is>
      </c>
      <c r="K155" s="109" t="n"/>
      <c r="L155" s="226">
        <f>IF($E155="","",DATE(YEAR($E155),MONTH($E155),1))</f>
        <v/>
      </c>
      <c r="M155" s="113">
        <f>IF($D155="","",IF($C155="TANIMSIZ MÜŞTERİ","HATA",IF(OR($E155="",$F155&lt;=0,$G155=""),"EKSİK",IF($E155&gt;TODAY(),"İLERİ TARİH",IF(COUNTIF($S$7:$S$1506,$S155)&gt;1,"MÜKERRER?",IF($T155&gt;0,"KAPALI DÖNEM","UYGUN"))))))</f>
        <v/>
      </c>
      <c r="N155" s="121">
        <f>IF($C155="","",IF($C155="TANIMSIZ MÜŞTERİ","—",INDEX(MUSTERILER!$C$7:$C$106,MATCH($C155,MUSTERILER!$B$7:$B$106,0))))</f>
        <v/>
      </c>
      <c r="O155" s="6" t="n"/>
      <c r="P155" s="6" t="n"/>
      <c r="Q155" s="3">
        <f>IF($D155="","",$C155&amp;"|"&amp;COUNTIFS($C$7:$C155,$C155))</f>
        <v/>
      </c>
      <c r="R155" s="3">
        <f>IF($D155="","",UPPER(SUBSTITUTE(SUBSTITUTE(SUBSTITUTE(SUBSTITUTE(SUBSTITUTE(SUBSTITUTE(SUBSTITUTE(SUBSTITUTE(SUBSTITUTE(SUBSTITUTE(SUBSTITUTE(SUBSTITUTE(SUBSTITUTE(SUBSTITUTE(SUBSTITUTE(SUBSTITUTE(SUBSTITUTE(SUBSTITUTE(TRIM($D155),"'",""),"İ","I"),"ı","I"),"i","I"),"Ş","S"),"ş","S"),"Ğ","G"),"ğ","G"),"Ü","U"),"ü","U"),"Ö","O"),"ö","O"),"Ç","C"),"ç","C"),".",""),",","")," ",""),"-","")))</f>
        <v/>
      </c>
      <c r="S155" s="3">
        <f>IF($D155="","",$C155&amp;"|"&amp;TEXT($E155,"0")&amp;"|"&amp;TEXT($F155,"0")&amp;"|"&amp;$I155)</f>
        <v/>
      </c>
      <c r="T155" s="3">
        <f>IF($E155="",0,SUMPRODUCT((AY_SONU!$O$7:$O$42="Evet")*(AY_SONU!$B$7:$B$42=DATE(YEAR($E155),MONTH($E155),1))))</f>
        <v/>
      </c>
    </row>
    <row r="156">
      <c r="A156" s="6" t="n"/>
      <c r="B156" s="113">
        <f>IF($D156="","","T"&amp;TEXT(ROW()-6,"00000"))</f>
        <v/>
      </c>
      <c r="C156" s="113">
        <f>IF($D156="","",IFERROR(INDEX(MUSTERILER!$B$7:$B$106,MATCH($R156,MUSTERILER!$T$7:$T$106,0)),IFERROR(INDEX(MUSTERILER!$B$7:$B$106,MATCH($D156,MUSTERILER!$B$7:$B$106,0)),IFERROR(INDEX(MUSTERILER!$B$7:$B$106,MATCH($R156&amp;"*",MUSTERILER!$T$7:$T$106,0)),"TANIMSIZ MÜŞTERİ"))))</f>
        <v/>
      </c>
      <c r="D156" s="109" t="inlineStr">
        <is>
          <t>KRİSTAL LTD.ŞTİ.</t>
        </is>
      </c>
      <c r="E156" s="220" t="n">
        <v>46096</v>
      </c>
      <c r="F156" s="221" t="n">
        <v>3000</v>
      </c>
      <c r="G156" s="108" t="inlineStr">
        <is>
          <t>MERKEZ KASA</t>
        </is>
      </c>
      <c r="H156" s="108" t="inlineStr">
        <is>
          <t>Nakit</t>
        </is>
      </c>
      <c r="I156" s="109" t="n"/>
      <c r="J156" s="109" t="inlineStr">
        <is>
          <t>NAKİT ÖDENEN</t>
        </is>
      </c>
      <c r="K156" s="109" t="n"/>
      <c r="L156" s="226">
        <f>IF($E156="","",DATE(YEAR($E156),MONTH($E156),1))</f>
        <v/>
      </c>
      <c r="M156" s="113">
        <f>IF($D156="","",IF($C156="TANIMSIZ MÜŞTERİ","HATA",IF(OR($E156="",$F156&lt;=0,$G156=""),"EKSİK",IF($E156&gt;TODAY(),"İLERİ TARİH",IF(COUNTIF($S$7:$S$1506,$S156)&gt;1,"MÜKERRER?",IF($T156&gt;0,"KAPALI DÖNEM","UYGUN"))))))</f>
        <v/>
      </c>
      <c r="N156" s="121">
        <f>IF($C156="","",IF($C156="TANIMSIZ MÜŞTERİ","—",INDEX(MUSTERILER!$C$7:$C$106,MATCH($C156,MUSTERILER!$B$7:$B$106,0))))</f>
        <v/>
      </c>
      <c r="O156" s="6" t="n"/>
      <c r="P156" s="6" t="n"/>
      <c r="Q156" s="3">
        <f>IF($D156="","",$C156&amp;"|"&amp;COUNTIFS($C$7:$C156,$C156))</f>
        <v/>
      </c>
      <c r="R156" s="3">
        <f>IF($D156="","",UPPER(SUBSTITUTE(SUBSTITUTE(SUBSTITUTE(SUBSTITUTE(SUBSTITUTE(SUBSTITUTE(SUBSTITUTE(SUBSTITUTE(SUBSTITUTE(SUBSTITUTE(SUBSTITUTE(SUBSTITUTE(SUBSTITUTE(SUBSTITUTE(SUBSTITUTE(SUBSTITUTE(SUBSTITUTE(SUBSTITUTE(TRIM($D156),"'",""),"İ","I"),"ı","I"),"i","I"),"Ş","S"),"ş","S"),"Ğ","G"),"ğ","G"),"Ü","U"),"ü","U"),"Ö","O"),"ö","O"),"Ç","C"),"ç","C"),".",""),",","")," ",""),"-","")))</f>
        <v/>
      </c>
      <c r="S156" s="3">
        <f>IF($D156="","",$C156&amp;"|"&amp;TEXT($E156,"0")&amp;"|"&amp;TEXT($F156,"0")&amp;"|"&amp;$I156)</f>
        <v/>
      </c>
      <c r="T156" s="3">
        <f>IF($E156="",0,SUMPRODUCT((AY_SONU!$O$7:$O$42="Evet")*(AY_SONU!$B$7:$B$42=DATE(YEAR($E156),MONTH($E156),1))))</f>
        <v/>
      </c>
    </row>
    <row r="157">
      <c r="A157" s="6" t="n"/>
      <c r="B157" s="113">
        <f>IF($D157="","","T"&amp;TEXT(ROW()-6,"00000"))</f>
        <v/>
      </c>
      <c r="C157" s="113">
        <f>IF($D157="","",IFERROR(INDEX(MUSTERILER!$B$7:$B$106,MATCH($R157,MUSTERILER!$T$7:$T$106,0)),IFERROR(INDEX(MUSTERILER!$B$7:$B$106,MATCH($D157,MUSTERILER!$B$7:$B$106,0)),IFERROR(INDEX(MUSTERILER!$B$7:$B$106,MATCH($R157&amp;"*",MUSTERILER!$T$7:$T$106,0)),"TANIMSIZ MÜŞTERİ"))))</f>
        <v/>
      </c>
      <c r="D157" s="109" t="inlineStr">
        <is>
          <t>PALAOĞULLARI LTD.ŞTİ.</t>
        </is>
      </c>
      <c r="E157" s="220" t="n">
        <v>46096</v>
      </c>
      <c r="F157" s="221" t="n">
        <v>4000</v>
      </c>
      <c r="G157" s="108" t="inlineStr">
        <is>
          <t>ÖMER KARTAL</t>
        </is>
      </c>
      <c r="H157" s="108" t="inlineStr">
        <is>
          <t>Nakit</t>
        </is>
      </c>
      <c r="I157" s="109" t="n"/>
      <c r="J157" s="109" t="inlineStr">
        <is>
          <t>NAKİT ÖDENEN</t>
        </is>
      </c>
      <c r="K157" s="109" t="n"/>
      <c r="L157" s="226">
        <f>IF($E157="","",DATE(YEAR($E157),MONTH($E157),1))</f>
        <v/>
      </c>
      <c r="M157" s="113">
        <f>IF($D157="","",IF($C157="TANIMSIZ MÜŞTERİ","HATA",IF(OR($E157="",$F157&lt;=0,$G157=""),"EKSİK",IF($E157&gt;TODAY(),"İLERİ TARİH",IF(COUNTIF($S$7:$S$1506,$S157)&gt;1,"MÜKERRER?",IF($T157&gt;0,"KAPALI DÖNEM","UYGUN"))))))</f>
        <v/>
      </c>
      <c r="N157" s="121">
        <f>IF($C157="","",IF($C157="TANIMSIZ MÜŞTERİ","—",INDEX(MUSTERILER!$C$7:$C$106,MATCH($C157,MUSTERILER!$B$7:$B$106,0))))</f>
        <v/>
      </c>
      <c r="O157" s="6" t="n"/>
      <c r="P157" s="6" t="n"/>
      <c r="Q157" s="3">
        <f>IF($D157="","",$C157&amp;"|"&amp;COUNTIFS($C$7:$C157,$C157))</f>
        <v/>
      </c>
      <c r="R157" s="3">
        <f>IF($D157="","",UPPER(SUBSTITUTE(SUBSTITUTE(SUBSTITUTE(SUBSTITUTE(SUBSTITUTE(SUBSTITUTE(SUBSTITUTE(SUBSTITUTE(SUBSTITUTE(SUBSTITUTE(SUBSTITUTE(SUBSTITUTE(SUBSTITUTE(SUBSTITUTE(SUBSTITUTE(SUBSTITUTE(SUBSTITUTE(SUBSTITUTE(TRIM($D157),"'",""),"İ","I"),"ı","I"),"i","I"),"Ş","S"),"ş","S"),"Ğ","G"),"ğ","G"),"Ü","U"),"ü","U"),"Ö","O"),"ö","O"),"Ç","C"),"ç","C"),".",""),",","")," ",""),"-","")))</f>
        <v/>
      </c>
      <c r="S157" s="3">
        <f>IF($D157="","",$C157&amp;"|"&amp;TEXT($E157,"0")&amp;"|"&amp;TEXT($F157,"0")&amp;"|"&amp;$I157)</f>
        <v/>
      </c>
      <c r="T157" s="3">
        <f>IF($E157="",0,SUMPRODUCT((AY_SONU!$O$7:$O$42="Evet")*(AY_SONU!$B$7:$B$42=DATE(YEAR($E157),MONTH($E157),1))))</f>
        <v/>
      </c>
    </row>
    <row r="158">
      <c r="A158" s="6" t="n"/>
      <c r="B158" s="113">
        <f>IF($D158="","","T"&amp;TEXT(ROW()-6,"00000"))</f>
        <v/>
      </c>
      <c r="C158" s="113">
        <f>IF($D158="","",IFERROR(INDEX(MUSTERILER!$B$7:$B$106,MATCH($R158,MUSTERILER!$T$7:$T$106,0)),IFERROR(INDEX(MUSTERILER!$B$7:$B$106,MATCH($D158,MUSTERILER!$B$7:$B$106,0)),IFERROR(INDEX(MUSTERILER!$B$7:$B$106,MATCH($R158&amp;"*",MUSTERILER!$T$7:$T$106,0)),"TANIMSIZ MÜŞTERİ"))))</f>
        <v/>
      </c>
      <c r="D158" s="109" t="inlineStr">
        <is>
          <t>TYANA LTD.ŞTİ.</t>
        </is>
      </c>
      <c r="E158" s="220" t="n">
        <v>46096</v>
      </c>
      <c r="F158" s="221" t="n">
        <v>4000</v>
      </c>
      <c r="G158" s="108" t="inlineStr">
        <is>
          <t>ÖMER KARTAL</t>
        </is>
      </c>
      <c r="H158" s="108" t="inlineStr">
        <is>
          <t>Nakit</t>
        </is>
      </c>
      <c r="I158" s="109" t="n"/>
      <c r="J158" s="109" t="inlineStr">
        <is>
          <t>NAKİT ÖDENEN</t>
        </is>
      </c>
      <c r="K158" s="109" t="n"/>
      <c r="L158" s="226">
        <f>IF($E158="","",DATE(YEAR($E158),MONTH($E158),1))</f>
        <v/>
      </c>
      <c r="M158" s="113">
        <f>IF($D158="","",IF($C158="TANIMSIZ MÜŞTERİ","HATA",IF(OR($E158="",$F158&lt;=0,$G158=""),"EKSİK",IF($E158&gt;TODAY(),"İLERİ TARİH",IF(COUNTIF($S$7:$S$1506,$S158)&gt;1,"MÜKERRER?",IF($T158&gt;0,"KAPALI DÖNEM","UYGUN"))))))</f>
        <v/>
      </c>
      <c r="N158" s="121">
        <f>IF($C158="","",IF($C158="TANIMSIZ MÜŞTERİ","—",INDEX(MUSTERILER!$C$7:$C$106,MATCH($C158,MUSTERILER!$B$7:$B$106,0))))</f>
        <v/>
      </c>
      <c r="O158" s="6" t="n"/>
      <c r="P158" s="6" t="n"/>
      <c r="Q158" s="3">
        <f>IF($D158="","",$C158&amp;"|"&amp;COUNTIFS($C$7:$C158,$C158))</f>
        <v/>
      </c>
      <c r="R158" s="3">
        <f>IF($D158="","",UPPER(SUBSTITUTE(SUBSTITUTE(SUBSTITUTE(SUBSTITUTE(SUBSTITUTE(SUBSTITUTE(SUBSTITUTE(SUBSTITUTE(SUBSTITUTE(SUBSTITUTE(SUBSTITUTE(SUBSTITUTE(SUBSTITUTE(SUBSTITUTE(SUBSTITUTE(SUBSTITUTE(SUBSTITUTE(SUBSTITUTE(TRIM($D158),"'",""),"İ","I"),"ı","I"),"i","I"),"Ş","S"),"ş","S"),"Ğ","G"),"ğ","G"),"Ü","U"),"ü","U"),"Ö","O"),"ö","O"),"Ç","C"),"ç","C"),".",""),",","")," ",""),"-","")))</f>
        <v/>
      </c>
      <c r="S158" s="3">
        <f>IF($D158="","",$C158&amp;"|"&amp;TEXT($E158,"0")&amp;"|"&amp;TEXT($F158,"0")&amp;"|"&amp;$I158)</f>
        <v/>
      </c>
      <c r="T158" s="3">
        <f>IF($E158="",0,SUMPRODUCT((AY_SONU!$O$7:$O$42="Evet")*(AY_SONU!$B$7:$B$42=DATE(YEAR($E158),MONTH($E158),1))))</f>
        <v/>
      </c>
    </row>
    <row r="159">
      <c r="A159" s="6" t="n"/>
      <c r="B159" s="113">
        <f>IF($D159="","","T"&amp;TEXT(ROW()-6,"00000"))</f>
        <v/>
      </c>
      <c r="C159" s="113">
        <f>IF($D159="","",IFERROR(INDEX(MUSTERILER!$B$7:$B$106,MATCH($R159,MUSTERILER!$T$7:$T$106,0)),IFERROR(INDEX(MUSTERILER!$B$7:$B$106,MATCH($D159,MUSTERILER!$B$7:$B$106,0)),IFERROR(INDEX(MUSTERILER!$B$7:$B$106,MATCH($R159&amp;"*",MUSTERILER!$T$7:$T$106,0)),"TANIMSIZ MÜŞTERİ"))))</f>
        <v/>
      </c>
      <c r="D159" s="109" t="inlineStr">
        <is>
          <t>YALIKENT LTD.ŞTİ.</t>
        </is>
      </c>
      <c r="E159" s="220" t="n">
        <v>46096</v>
      </c>
      <c r="F159" s="221" t="n">
        <v>4000</v>
      </c>
      <c r="G159" s="108" t="inlineStr">
        <is>
          <t>MERKEZ KASA</t>
        </is>
      </c>
      <c r="H159" s="108" t="inlineStr">
        <is>
          <t>Nakit</t>
        </is>
      </c>
      <c r="I159" s="109" t="n"/>
      <c r="J159" s="109" t="inlineStr">
        <is>
          <t>NAKİT ÖDENEN</t>
        </is>
      </c>
      <c r="K159" s="109" t="n"/>
      <c r="L159" s="226">
        <f>IF($E159="","",DATE(YEAR($E159),MONTH($E159),1))</f>
        <v/>
      </c>
      <c r="M159" s="113">
        <f>IF($D159="","",IF($C159="TANIMSIZ MÜŞTERİ","HATA",IF(OR($E159="",$F159&lt;=0,$G159=""),"EKSİK",IF($E159&gt;TODAY(),"İLERİ TARİH",IF(COUNTIF($S$7:$S$1506,$S159)&gt;1,"MÜKERRER?",IF($T159&gt;0,"KAPALI DÖNEM","UYGUN"))))))</f>
        <v/>
      </c>
      <c r="N159" s="121">
        <f>IF($C159="","",IF($C159="TANIMSIZ MÜŞTERİ","—",INDEX(MUSTERILER!$C$7:$C$106,MATCH($C159,MUSTERILER!$B$7:$B$106,0))))</f>
        <v/>
      </c>
      <c r="O159" s="6" t="n"/>
      <c r="P159" s="6" t="n"/>
      <c r="Q159" s="3">
        <f>IF($D159="","",$C159&amp;"|"&amp;COUNTIFS($C$7:$C159,$C159))</f>
        <v/>
      </c>
      <c r="R159" s="3">
        <f>IF($D159="","",UPPER(SUBSTITUTE(SUBSTITUTE(SUBSTITUTE(SUBSTITUTE(SUBSTITUTE(SUBSTITUTE(SUBSTITUTE(SUBSTITUTE(SUBSTITUTE(SUBSTITUTE(SUBSTITUTE(SUBSTITUTE(SUBSTITUTE(SUBSTITUTE(SUBSTITUTE(SUBSTITUTE(SUBSTITUTE(SUBSTITUTE(TRIM($D159),"'",""),"İ","I"),"ı","I"),"i","I"),"Ş","S"),"ş","S"),"Ğ","G"),"ğ","G"),"Ü","U"),"ü","U"),"Ö","O"),"ö","O"),"Ç","C"),"ç","C"),".",""),",","")," ",""),"-","")))</f>
        <v/>
      </c>
      <c r="S159" s="3">
        <f>IF($D159="","",$C159&amp;"|"&amp;TEXT($E159,"0")&amp;"|"&amp;TEXT($F159,"0")&amp;"|"&amp;$I159)</f>
        <v/>
      </c>
      <c r="T159" s="3">
        <f>IF($E159="",0,SUMPRODUCT((AY_SONU!$O$7:$O$42="Evet")*(AY_SONU!$B$7:$B$42=DATE(YEAR($E159),MONTH($E159),1))))</f>
        <v/>
      </c>
    </row>
    <row r="160">
      <c r="A160" s="6" t="n"/>
      <c r="B160" s="113">
        <f>IF($D160="","","T"&amp;TEXT(ROW()-6,"00000"))</f>
        <v/>
      </c>
      <c r="C160" s="113">
        <f>IF($D160="","",IFERROR(INDEX(MUSTERILER!$B$7:$B$106,MATCH($R160,MUSTERILER!$T$7:$T$106,0)),IFERROR(INDEX(MUSTERILER!$B$7:$B$106,MATCH($D160,MUSTERILER!$B$7:$B$106,0)),IFERROR(INDEX(MUSTERILER!$B$7:$B$106,MATCH($R160&amp;"*",MUSTERILER!$T$7:$T$106,0)),"TANIMSIZ MÜŞTERİ"))))</f>
        <v/>
      </c>
      <c r="D160" s="109" t="inlineStr">
        <is>
          <t>SEMRA GÜMÜŞ</t>
        </is>
      </c>
      <c r="E160" s="220" t="n">
        <v>46098</v>
      </c>
      <c r="F160" s="221" t="n">
        <v>4000</v>
      </c>
      <c r="G160" s="108" t="inlineStr">
        <is>
          <t>MERKEZ KASA</t>
        </is>
      </c>
      <c r="H160" s="108" t="inlineStr">
        <is>
          <t>Nakit</t>
        </is>
      </c>
      <c r="I160" s="109" t="n"/>
      <c r="J160" s="109" t="inlineStr">
        <is>
          <t>NAKİT ÖDENEN</t>
        </is>
      </c>
      <c r="K160" s="109" t="n"/>
      <c r="L160" s="226">
        <f>IF($E160="","",DATE(YEAR($E160),MONTH($E160),1))</f>
        <v/>
      </c>
      <c r="M160" s="113">
        <f>IF($D160="","",IF($C160="TANIMSIZ MÜŞTERİ","HATA",IF(OR($E160="",$F160&lt;=0,$G160=""),"EKSİK",IF($E160&gt;TODAY(),"İLERİ TARİH",IF(COUNTIF($S$7:$S$1506,$S160)&gt;1,"MÜKERRER?",IF($T160&gt;0,"KAPALI DÖNEM","UYGUN"))))))</f>
        <v/>
      </c>
      <c r="N160" s="121">
        <f>IF($C160="","",IF($C160="TANIMSIZ MÜŞTERİ","—",INDEX(MUSTERILER!$C$7:$C$106,MATCH($C160,MUSTERILER!$B$7:$B$106,0))))</f>
        <v/>
      </c>
      <c r="O160" s="6" t="n"/>
      <c r="P160" s="6" t="n"/>
      <c r="Q160" s="3">
        <f>IF($D160="","",$C160&amp;"|"&amp;COUNTIFS($C$7:$C160,$C160))</f>
        <v/>
      </c>
      <c r="R160" s="3">
        <f>IF($D160="","",UPPER(SUBSTITUTE(SUBSTITUTE(SUBSTITUTE(SUBSTITUTE(SUBSTITUTE(SUBSTITUTE(SUBSTITUTE(SUBSTITUTE(SUBSTITUTE(SUBSTITUTE(SUBSTITUTE(SUBSTITUTE(SUBSTITUTE(SUBSTITUTE(SUBSTITUTE(SUBSTITUTE(SUBSTITUTE(SUBSTITUTE(TRIM($D160),"'",""),"İ","I"),"ı","I"),"i","I"),"Ş","S"),"ş","S"),"Ğ","G"),"ğ","G"),"Ü","U"),"ü","U"),"Ö","O"),"ö","O"),"Ç","C"),"ç","C"),".",""),",","")," ",""),"-","")))</f>
        <v/>
      </c>
      <c r="S160" s="3">
        <f>IF($D160="","",$C160&amp;"|"&amp;TEXT($E160,"0")&amp;"|"&amp;TEXT($F160,"0")&amp;"|"&amp;$I160)</f>
        <v/>
      </c>
      <c r="T160" s="3">
        <f>IF($E160="",0,SUMPRODUCT((AY_SONU!$O$7:$O$42="Evet")*(AY_SONU!$B$7:$B$42=DATE(YEAR($E160),MONTH($E160),1))))</f>
        <v/>
      </c>
    </row>
    <row r="161">
      <c r="A161" s="6" t="n"/>
      <c r="B161" s="113">
        <f>IF($D161="","","T"&amp;TEXT(ROW()-6,"00000"))</f>
        <v/>
      </c>
      <c r="C161" s="113">
        <f>IF($D161="","",IFERROR(INDEX(MUSTERILER!$B$7:$B$106,MATCH($R161,MUSTERILER!$T$7:$T$106,0)),IFERROR(INDEX(MUSTERILER!$B$7:$B$106,MATCH($D161,MUSTERILER!$B$7:$B$106,0)),IFERROR(INDEX(MUSTERILER!$B$7:$B$106,MATCH($R161&amp;"*",MUSTERILER!$T$7:$T$106,0)),"TANIMSIZ MÜŞTERİ"))))</f>
        <v/>
      </c>
      <c r="D161" s="109" t="inlineStr">
        <is>
          <t>SEMRA GÜMÜŞ</t>
        </is>
      </c>
      <c r="E161" s="220" t="n">
        <v>46098</v>
      </c>
      <c r="F161" s="221" t="n">
        <v>4000</v>
      </c>
      <c r="G161" s="108" t="inlineStr">
        <is>
          <t>MERKEZ KASA</t>
        </is>
      </c>
      <c r="H161" s="108" t="inlineStr">
        <is>
          <t>Nakit</t>
        </is>
      </c>
      <c r="I161" s="109" t="n"/>
      <c r="J161" s="109" t="inlineStr">
        <is>
          <t>NAKİT ÖDENEN</t>
        </is>
      </c>
      <c r="K161" s="109" t="n"/>
      <c r="L161" s="226">
        <f>IF($E161="","",DATE(YEAR($E161),MONTH($E161),1))</f>
        <v/>
      </c>
      <c r="M161" s="113">
        <f>IF($D161="","",IF($C161="TANIMSIZ MÜŞTERİ","HATA",IF(OR($E161="",$F161&lt;=0,$G161=""),"EKSİK",IF($E161&gt;TODAY(),"İLERİ TARİH",IF(COUNTIF($S$7:$S$1506,$S161)&gt;1,"MÜKERRER?",IF($T161&gt;0,"KAPALI DÖNEM","UYGUN"))))))</f>
        <v/>
      </c>
      <c r="N161" s="121">
        <f>IF($C161="","",IF($C161="TANIMSIZ MÜŞTERİ","—",INDEX(MUSTERILER!$C$7:$C$106,MATCH($C161,MUSTERILER!$B$7:$B$106,0))))</f>
        <v/>
      </c>
      <c r="O161" s="6" t="n"/>
      <c r="P161" s="6" t="n"/>
      <c r="Q161" s="3">
        <f>IF($D161="","",$C161&amp;"|"&amp;COUNTIFS($C$7:$C161,$C161))</f>
        <v/>
      </c>
      <c r="R161" s="3">
        <f>IF($D161="","",UPPER(SUBSTITUTE(SUBSTITUTE(SUBSTITUTE(SUBSTITUTE(SUBSTITUTE(SUBSTITUTE(SUBSTITUTE(SUBSTITUTE(SUBSTITUTE(SUBSTITUTE(SUBSTITUTE(SUBSTITUTE(SUBSTITUTE(SUBSTITUTE(SUBSTITUTE(SUBSTITUTE(SUBSTITUTE(SUBSTITUTE(TRIM($D161),"'",""),"İ","I"),"ı","I"),"i","I"),"Ş","S"),"ş","S"),"Ğ","G"),"ğ","G"),"Ü","U"),"ü","U"),"Ö","O"),"ö","O"),"Ç","C"),"ç","C"),".",""),",","")," ",""),"-","")))</f>
        <v/>
      </c>
      <c r="S161" s="3">
        <f>IF($D161="","",$C161&amp;"|"&amp;TEXT($E161,"0")&amp;"|"&amp;TEXT($F161,"0")&amp;"|"&amp;$I161)</f>
        <v/>
      </c>
      <c r="T161" s="3">
        <f>IF($E161="",0,SUMPRODUCT((AY_SONU!$O$7:$O$42="Evet")*(AY_SONU!$B$7:$B$42=DATE(YEAR($E161),MONTH($E161),1))))</f>
        <v/>
      </c>
    </row>
    <row r="162">
      <c r="A162" s="6" t="n"/>
      <c r="B162" s="113">
        <f>IF($D162="","","T"&amp;TEXT(ROW()-6,"00000"))</f>
        <v/>
      </c>
      <c r="C162" s="113">
        <f>IF($D162="","",IFERROR(INDEX(MUSTERILER!$B$7:$B$106,MATCH($R162,MUSTERILER!$T$7:$T$106,0)),IFERROR(INDEX(MUSTERILER!$B$7:$B$106,MATCH($D162,MUSTERILER!$B$7:$B$106,0)),IFERROR(INDEX(MUSTERILER!$B$7:$B$106,MATCH($R162&amp;"*",MUSTERILER!$T$7:$T$106,0)),"TANIMSIZ MÜŞTERİ"))))</f>
        <v/>
      </c>
      <c r="D162" s="109" t="inlineStr">
        <is>
          <t>UFUK YILMAZ</t>
        </is>
      </c>
      <c r="E162" s="220" t="n">
        <v>46099</v>
      </c>
      <c r="F162" s="221" t="n">
        <v>3000</v>
      </c>
      <c r="G162" s="108" t="inlineStr">
        <is>
          <t>MERKEZ KASA</t>
        </is>
      </c>
      <c r="H162" s="108" t="inlineStr">
        <is>
          <t>Nakit</t>
        </is>
      </c>
      <c r="I162" s="109" t="n"/>
      <c r="J162" s="109" t="inlineStr">
        <is>
          <t>NAKİT ÖDENEN</t>
        </is>
      </c>
      <c r="K162" s="109" t="n"/>
      <c r="L162" s="226">
        <f>IF($E162="","",DATE(YEAR($E162),MONTH($E162),1))</f>
        <v/>
      </c>
      <c r="M162" s="113">
        <f>IF($D162="","",IF($C162="TANIMSIZ MÜŞTERİ","HATA",IF(OR($E162="",$F162&lt;=0,$G162=""),"EKSİK",IF($E162&gt;TODAY(),"İLERİ TARİH",IF(COUNTIF($S$7:$S$1506,$S162)&gt;1,"MÜKERRER?",IF($T162&gt;0,"KAPALI DÖNEM","UYGUN"))))))</f>
        <v/>
      </c>
      <c r="N162" s="121">
        <f>IF($C162="","",IF($C162="TANIMSIZ MÜŞTERİ","—",INDEX(MUSTERILER!$C$7:$C$106,MATCH($C162,MUSTERILER!$B$7:$B$106,0))))</f>
        <v/>
      </c>
      <c r="O162" s="6" t="n"/>
      <c r="P162" s="6" t="n"/>
      <c r="Q162" s="3">
        <f>IF($D162="","",$C162&amp;"|"&amp;COUNTIFS($C$7:$C162,$C162))</f>
        <v/>
      </c>
      <c r="R162" s="3">
        <f>IF($D162="","",UPPER(SUBSTITUTE(SUBSTITUTE(SUBSTITUTE(SUBSTITUTE(SUBSTITUTE(SUBSTITUTE(SUBSTITUTE(SUBSTITUTE(SUBSTITUTE(SUBSTITUTE(SUBSTITUTE(SUBSTITUTE(SUBSTITUTE(SUBSTITUTE(SUBSTITUTE(SUBSTITUTE(SUBSTITUTE(SUBSTITUTE(TRIM($D162),"'",""),"İ","I"),"ı","I"),"i","I"),"Ş","S"),"ş","S"),"Ğ","G"),"ğ","G"),"Ü","U"),"ü","U"),"Ö","O"),"ö","O"),"Ç","C"),"ç","C"),".",""),",","")," ",""),"-","")))</f>
        <v/>
      </c>
      <c r="S162" s="3">
        <f>IF($D162="","",$C162&amp;"|"&amp;TEXT($E162,"0")&amp;"|"&amp;TEXT($F162,"0")&amp;"|"&amp;$I162)</f>
        <v/>
      </c>
      <c r="T162" s="3">
        <f>IF($E162="",0,SUMPRODUCT((AY_SONU!$O$7:$O$42="Evet")*(AY_SONU!$B$7:$B$42=DATE(YEAR($E162),MONTH($E162),1))))</f>
        <v/>
      </c>
    </row>
    <row r="163">
      <c r="A163" s="6" t="n"/>
      <c r="B163" s="113">
        <f>IF($D163="","","T"&amp;TEXT(ROW()-6,"00000"))</f>
        <v/>
      </c>
      <c r="C163" s="113">
        <f>IF($D163="","",IFERROR(INDEX(MUSTERILER!$B$7:$B$106,MATCH($R163,MUSTERILER!$T$7:$T$106,0)),IFERROR(INDEX(MUSTERILER!$B$7:$B$106,MATCH($D163,MUSTERILER!$B$7:$B$106,0)),IFERROR(INDEX(MUSTERILER!$B$7:$B$106,MATCH($R163&amp;"*",MUSTERILER!$T$7:$T$106,0)),"TANIMSIZ MÜŞTERİ"))))</f>
        <v/>
      </c>
      <c r="D163" s="109" t="inlineStr">
        <is>
          <t>ARMAN DİK</t>
        </is>
      </c>
      <c r="E163" s="220" t="n">
        <v>46100</v>
      </c>
      <c r="F163" s="221" t="n">
        <v>3000</v>
      </c>
      <c r="G163" s="108" t="inlineStr">
        <is>
          <t>MERKEZ KASA</t>
        </is>
      </c>
      <c r="H163" s="108" t="inlineStr">
        <is>
          <t>Nakit</t>
        </is>
      </c>
      <c r="I163" s="109" t="n"/>
      <c r="J163" s="109" t="inlineStr">
        <is>
          <t>NAKİT ÖDENEN</t>
        </is>
      </c>
      <c r="K163" s="109" t="n"/>
      <c r="L163" s="226">
        <f>IF($E163="","",DATE(YEAR($E163),MONTH($E163),1))</f>
        <v/>
      </c>
      <c r="M163" s="113">
        <f>IF($D163="","",IF($C163="TANIMSIZ MÜŞTERİ","HATA",IF(OR($E163="",$F163&lt;=0,$G163=""),"EKSİK",IF($E163&gt;TODAY(),"İLERİ TARİH",IF(COUNTIF($S$7:$S$1506,$S163)&gt;1,"MÜKERRER?",IF($T163&gt;0,"KAPALI DÖNEM","UYGUN"))))))</f>
        <v/>
      </c>
      <c r="N163" s="121">
        <f>IF($C163="","",IF($C163="TANIMSIZ MÜŞTERİ","—",INDEX(MUSTERILER!$C$7:$C$106,MATCH($C163,MUSTERILER!$B$7:$B$106,0))))</f>
        <v/>
      </c>
      <c r="O163" s="6" t="n"/>
      <c r="P163" s="6" t="n"/>
      <c r="Q163" s="3">
        <f>IF($D163="","",$C163&amp;"|"&amp;COUNTIFS($C$7:$C163,$C163))</f>
        <v/>
      </c>
      <c r="R163" s="3">
        <f>IF($D163="","",UPPER(SUBSTITUTE(SUBSTITUTE(SUBSTITUTE(SUBSTITUTE(SUBSTITUTE(SUBSTITUTE(SUBSTITUTE(SUBSTITUTE(SUBSTITUTE(SUBSTITUTE(SUBSTITUTE(SUBSTITUTE(SUBSTITUTE(SUBSTITUTE(SUBSTITUTE(SUBSTITUTE(SUBSTITUTE(SUBSTITUTE(TRIM($D163),"'",""),"İ","I"),"ı","I"),"i","I"),"Ş","S"),"ş","S"),"Ğ","G"),"ğ","G"),"Ü","U"),"ü","U"),"Ö","O"),"ö","O"),"Ç","C"),"ç","C"),".",""),",","")," ",""),"-","")))</f>
        <v/>
      </c>
      <c r="S163" s="3">
        <f>IF($D163="","",$C163&amp;"|"&amp;TEXT($E163,"0")&amp;"|"&amp;TEXT($F163,"0")&amp;"|"&amp;$I163)</f>
        <v/>
      </c>
      <c r="T163" s="3">
        <f>IF($E163="",0,SUMPRODUCT((AY_SONU!$O$7:$O$42="Evet")*(AY_SONU!$B$7:$B$42=DATE(YEAR($E163),MONTH($E163),1))))</f>
        <v/>
      </c>
    </row>
    <row r="164">
      <c r="A164" s="6" t="n"/>
      <c r="B164" s="113">
        <f>IF($D164="","","T"&amp;TEXT(ROW()-6,"00000"))</f>
        <v/>
      </c>
      <c r="C164" s="113">
        <f>IF($D164="","",IFERROR(INDEX(MUSTERILER!$B$7:$B$106,MATCH($R164,MUSTERILER!$T$7:$T$106,0)),IFERROR(INDEX(MUSTERILER!$B$7:$B$106,MATCH($D164,MUSTERILER!$B$7:$B$106,0)),IFERROR(INDEX(MUSTERILER!$B$7:$B$106,MATCH($R164&amp;"*",MUSTERILER!$T$7:$T$106,0)),"TANIMSIZ MÜŞTERİ"))))</f>
        <v/>
      </c>
      <c r="D164" s="109" t="inlineStr">
        <is>
          <t>EĞLENGÖR LTD.ŞTİ.</t>
        </is>
      </c>
      <c r="E164" s="220" t="n">
        <v>46102</v>
      </c>
      <c r="F164" s="221" t="n">
        <v>1000</v>
      </c>
      <c r="G164" s="108" t="inlineStr">
        <is>
          <t>MERKEZ KASA</t>
        </is>
      </c>
      <c r="H164" s="108" t="inlineStr">
        <is>
          <t>Nakit</t>
        </is>
      </c>
      <c r="I164" s="109" t="n"/>
      <c r="J164" s="109" t="inlineStr">
        <is>
          <t>NAKİT ÖDENEN</t>
        </is>
      </c>
      <c r="K164" s="109" t="n"/>
      <c r="L164" s="226">
        <f>IF($E164="","",DATE(YEAR($E164),MONTH($E164),1))</f>
        <v/>
      </c>
      <c r="M164" s="113">
        <f>IF($D164="","",IF($C164="TANIMSIZ MÜŞTERİ","HATA",IF(OR($E164="",$F164&lt;=0,$G164=""),"EKSİK",IF($E164&gt;TODAY(),"İLERİ TARİH",IF(COUNTIF($S$7:$S$1506,$S164)&gt;1,"MÜKERRER?",IF($T164&gt;0,"KAPALI DÖNEM","UYGUN"))))))</f>
        <v/>
      </c>
      <c r="N164" s="121">
        <f>IF($C164="","",IF($C164="TANIMSIZ MÜŞTERİ","—",INDEX(MUSTERILER!$C$7:$C$106,MATCH($C164,MUSTERILER!$B$7:$B$106,0))))</f>
        <v/>
      </c>
      <c r="O164" s="6" t="n"/>
      <c r="P164" s="6" t="n"/>
      <c r="Q164" s="3">
        <f>IF($D164="","",$C164&amp;"|"&amp;COUNTIFS($C$7:$C164,$C164))</f>
        <v/>
      </c>
      <c r="R164" s="3">
        <f>IF($D164="","",UPPER(SUBSTITUTE(SUBSTITUTE(SUBSTITUTE(SUBSTITUTE(SUBSTITUTE(SUBSTITUTE(SUBSTITUTE(SUBSTITUTE(SUBSTITUTE(SUBSTITUTE(SUBSTITUTE(SUBSTITUTE(SUBSTITUTE(SUBSTITUTE(SUBSTITUTE(SUBSTITUTE(SUBSTITUTE(SUBSTITUTE(TRIM($D164),"'",""),"İ","I"),"ı","I"),"i","I"),"Ş","S"),"ş","S"),"Ğ","G"),"ğ","G"),"Ü","U"),"ü","U"),"Ö","O"),"ö","O"),"Ç","C"),"ç","C"),".",""),",","")," ",""),"-","")))</f>
        <v/>
      </c>
      <c r="S164" s="3">
        <f>IF($D164="","",$C164&amp;"|"&amp;TEXT($E164,"0")&amp;"|"&amp;TEXT($F164,"0")&amp;"|"&amp;$I164)</f>
        <v/>
      </c>
      <c r="T164" s="3">
        <f>IF($E164="",0,SUMPRODUCT((AY_SONU!$O$7:$O$42="Evet")*(AY_SONU!$B$7:$B$42=DATE(YEAR($E164),MONTH($E164),1))))</f>
        <v/>
      </c>
    </row>
    <row r="165">
      <c r="A165" s="6" t="n"/>
      <c r="B165" s="113">
        <f>IF($D165="","","T"&amp;TEXT(ROW()-6,"00000"))</f>
        <v/>
      </c>
      <c r="C165" s="113">
        <f>IF($D165="","",IFERROR(INDEX(MUSTERILER!$B$7:$B$106,MATCH($R165,MUSTERILER!$T$7:$T$106,0)),IFERROR(INDEX(MUSTERILER!$B$7:$B$106,MATCH($D165,MUSTERILER!$B$7:$B$106,0)),IFERROR(INDEX(MUSTERILER!$B$7:$B$106,MATCH($R165&amp;"*",MUSTERILER!$T$7:$T$106,0)),"TANIMSIZ MÜŞTERİ"))))</f>
        <v/>
      </c>
      <c r="D165" s="109" t="inlineStr">
        <is>
          <t>ASM EĞLENCE LTD.ŞTİ.</t>
        </is>
      </c>
      <c r="E165" s="220" t="n">
        <v>46103</v>
      </c>
      <c r="F165" s="221" t="n">
        <v>5000</v>
      </c>
      <c r="G165" s="108" t="inlineStr">
        <is>
          <t>MERKEZ KASA</t>
        </is>
      </c>
      <c r="H165" s="108" t="inlineStr">
        <is>
          <t>Nakit</t>
        </is>
      </c>
      <c r="I165" s="109" t="n"/>
      <c r="J165" s="109" t="inlineStr">
        <is>
          <t>NAKİT ÖDENEN</t>
        </is>
      </c>
      <c r="K165" s="109" t="n"/>
      <c r="L165" s="226">
        <f>IF($E165="","",DATE(YEAR($E165),MONTH($E165),1))</f>
        <v/>
      </c>
      <c r="M165" s="113">
        <f>IF($D165="","",IF($C165="TANIMSIZ MÜŞTERİ","HATA",IF(OR($E165="",$F165&lt;=0,$G165=""),"EKSİK",IF($E165&gt;TODAY(),"İLERİ TARİH",IF(COUNTIF($S$7:$S$1506,$S165)&gt;1,"MÜKERRER?",IF($T165&gt;0,"KAPALI DÖNEM","UYGUN"))))))</f>
        <v/>
      </c>
      <c r="N165" s="121">
        <f>IF($C165="","",IF($C165="TANIMSIZ MÜŞTERİ","—",INDEX(MUSTERILER!$C$7:$C$106,MATCH($C165,MUSTERILER!$B$7:$B$106,0))))</f>
        <v/>
      </c>
      <c r="O165" s="6" t="n"/>
      <c r="P165" s="6" t="n"/>
      <c r="Q165" s="3">
        <f>IF($D165="","",$C165&amp;"|"&amp;COUNTIFS($C$7:$C165,$C165))</f>
        <v/>
      </c>
      <c r="R165" s="3">
        <f>IF($D165="","",UPPER(SUBSTITUTE(SUBSTITUTE(SUBSTITUTE(SUBSTITUTE(SUBSTITUTE(SUBSTITUTE(SUBSTITUTE(SUBSTITUTE(SUBSTITUTE(SUBSTITUTE(SUBSTITUTE(SUBSTITUTE(SUBSTITUTE(SUBSTITUTE(SUBSTITUTE(SUBSTITUTE(SUBSTITUTE(SUBSTITUTE(TRIM($D165),"'",""),"İ","I"),"ı","I"),"i","I"),"Ş","S"),"ş","S"),"Ğ","G"),"ğ","G"),"Ü","U"),"ü","U"),"Ö","O"),"ö","O"),"Ç","C"),"ç","C"),".",""),",","")," ",""),"-","")))</f>
        <v/>
      </c>
      <c r="S165" s="3">
        <f>IF($D165="","",$C165&amp;"|"&amp;TEXT($E165,"0")&amp;"|"&amp;TEXT($F165,"0")&amp;"|"&amp;$I165)</f>
        <v/>
      </c>
      <c r="T165" s="3">
        <f>IF($E165="",0,SUMPRODUCT((AY_SONU!$O$7:$O$42="Evet")*(AY_SONU!$B$7:$B$42=DATE(YEAR($E165),MONTH($E165),1))))</f>
        <v/>
      </c>
    </row>
    <row r="166">
      <c r="A166" s="6" t="n"/>
      <c r="B166" s="113">
        <f>IF($D166="","","T"&amp;TEXT(ROW()-6,"00000"))</f>
        <v/>
      </c>
      <c r="C166" s="113">
        <f>IF($D166="","",IFERROR(INDEX(MUSTERILER!$B$7:$B$106,MATCH($R166,MUSTERILER!$T$7:$T$106,0)),IFERROR(INDEX(MUSTERILER!$B$7:$B$106,MATCH($D166,MUSTERILER!$B$7:$B$106,0)),IFERROR(INDEX(MUSTERILER!$B$7:$B$106,MATCH($R166&amp;"*",MUSTERILER!$T$7:$T$106,0)),"TANIMSIZ MÜŞTERİ"))))</f>
        <v/>
      </c>
      <c r="D166" s="109" t="inlineStr">
        <is>
          <t>Çayıralan Ltd.Şti.</t>
        </is>
      </c>
      <c r="E166" s="220" t="n">
        <v>46103</v>
      </c>
      <c r="F166" s="221" t="n">
        <v>3000</v>
      </c>
      <c r="G166" s="108" t="inlineStr">
        <is>
          <t>MERKEZ KASA</t>
        </is>
      </c>
      <c r="H166" s="108" t="inlineStr">
        <is>
          <t>Nakit</t>
        </is>
      </c>
      <c r="I166" s="109" t="n"/>
      <c r="J166" s="109" t="inlineStr">
        <is>
          <t>NAKİT ÖDENEN</t>
        </is>
      </c>
      <c r="K166" s="109" t="n"/>
      <c r="L166" s="226">
        <f>IF($E166="","",DATE(YEAR($E166),MONTH($E166),1))</f>
        <v/>
      </c>
      <c r="M166" s="113">
        <f>IF($D166="","",IF($C166="TANIMSIZ MÜŞTERİ","HATA",IF(OR($E166="",$F166&lt;=0,$G166=""),"EKSİK",IF($E166&gt;TODAY(),"İLERİ TARİH",IF(COUNTIF($S$7:$S$1506,$S166)&gt;1,"MÜKERRER?",IF($T166&gt;0,"KAPALI DÖNEM","UYGUN"))))))</f>
        <v/>
      </c>
      <c r="N166" s="121">
        <f>IF($C166="","",IF($C166="TANIMSIZ MÜŞTERİ","—",INDEX(MUSTERILER!$C$7:$C$106,MATCH($C166,MUSTERILER!$B$7:$B$106,0))))</f>
        <v/>
      </c>
      <c r="O166" s="6" t="n"/>
      <c r="P166" s="6" t="n"/>
      <c r="Q166" s="3">
        <f>IF($D166="","",$C166&amp;"|"&amp;COUNTIFS($C$7:$C166,$C166))</f>
        <v/>
      </c>
      <c r="R166" s="3">
        <f>IF($D166="","",UPPER(SUBSTITUTE(SUBSTITUTE(SUBSTITUTE(SUBSTITUTE(SUBSTITUTE(SUBSTITUTE(SUBSTITUTE(SUBSTITUTE(SUBSTITUTE(SUBSTITUTE(SUBSTITUTE(SUBSTITUTE(SUBSTITUTE(SUBSTITUTE(SUBSTITUTE(SUBSTITUTE(SUBSTITUTE(SUBSTITUTE(TRIM($D166),"'",""),"İ","I"),"ı","I"),"i","I"),"Ş","S"),"ş","S"),"Ğ","G"),"ğ","G"),"Ü","U"),"ü","U"),"Ö","O"),"ö","O"),"Ç","C"),"ç","C"),".",""),",","")," ",""),"-","")))</f>
        <v/>
      </c>
      <c r="S166" s="3">
        <f>IF($D166="","",$C166&amp;"|"&amp;TEXT($E166,"0")&amp;"|"&amp;TEXT($F166,"0")&amp;"|"&amp;$I166)</f>
        <v/>
      </c>
      <c r="T166" s="3">
        <f>IF($E166="",0,SUMPRODUCT((AY_SONU!$O$7:$O$42="Evet")*(AY_SONU!$B$7:$B$42=DATE(YEAR($E166),MONTH($E166),1))))</f>
        <v/>
      </c>
    </row>
    <row r="167">
      <c r="A167" s="6" t="n"/>
      <c r="B167" s="113">
        <f>IF($D167="","","T"&amp;TEXT(ROW()-6,"00000"))</f>
        <v/>
      </c>
      <c r="C167" s="113">
        <f>IF($D167="","",IFERROR(INDEX(MUSTERILER!$B$7:$B$106,MATCH($R167,MUSTERILER!$T$7:$T$106,0)),IFERROR(INDEX(MUSTERILER!$B$7:$B$106,MATCH($D167,MUSTERILER!$B$7:$B$106,0)),IFERROR(INDEX(MUSTERILER!$B$7:$B$106,MATCH($R167&amp;"*",MUSTERILER!$T$7:$T$106,0)),"TANIMSIZ MÜŞTERİ"))))</f>
        <v/>
      </c>
      <c r="D167" s="109" t="inlineStr">
        <is>
          <t>Final Siyah Beyaz Ltd.Şti.</t>
        </is>
      </c>
      <c r="E167" s="220" t="n">
        <v>46103</v>
      </c>
      <c r="F167" s="221" t="n">
        <v>2000</v>
      </c>
      <c r="G167" s="108" t="inlineStr">
        <is>
          <t>MERKEZ KASA</t>
        </is>
      </c>
      <c r="H167" s="108" t="inlineStr">
        <is>
          <t>Nakit</t>
        </is>
      </c>
      <c r="I167" s="109" t="n"/>
      <c r="J167" s="109" t="inlineStr">
        <is>
          <t>NAKİT ÖDENEN</t>
        </is>
      </c>
      <c r="K167" s="109" t="n"/>
      <c r="L167" s="226">
        <f>IF($E167="","",DATE(YEAR($E167),MONTH($E167),1))</f>
        <v/>
      </c>
      <c r="M167" s="113">
        <f>IF($D167="","",IF($C167="TANIMSIZ MÜŞTERİ","HATA",IF(OR($E167="",$F167&lt;=0,$G167=""),"EKSİK",IF($E167&gt;TODAY(),"İLERİ TARİH",IF(COUNTIF($S$7:$S$1506,$S167)&gt;1,"MÜKERRER?",IF($T167&gt;0,"KAPALI DÖNEM","UYGUN"))))))</f>
        <v/>
      </c>
      <c r="N167" s="121">
        <f>IF($C167="","",IF($C167="TANIMSIZ MÜŞTERİ","—",INDEX(MUSTERILER!$C$7:$C$106,MATCH($C167,MUSTERILER!$B$7:$B$106,0))))</f>
        <v/>
      </c>
      <c r="O167" s="6" t="n"/>
      <c r="P167" s="6" t="n"/>
      <c r="Q167" s="3">
        <f>IF($D167="","",$C167&amp;"|"&amp;COUNTIFS($C$7:$C167,$C167))</f>
        <v/>
      </c>
      <c r="R167" s="3">
        <f>IF($D167="","",UPPER(SUBSTITUTE(SUBSTITUTE(SUBSTITUTE(SUBSTITUTE(SUBSTITUTE(SUBSTITUTE(SUBSTITUTE(SUBSTITUTE(SUBSTITUTE(SUBSTITUTE(SUBSTITUTE(SUBSTITUTE(SUBSTITUTE(SUBSTITUTE(SUBSTITUTE(SUBSTITUTE(SUBSTITUTE(SUBSTITUTE(TRIM($D167),"'",""),"İ","I"),"ı","I"),"i","I"),"Ş","S"),"ş","S"),"Ğ","G"),"ğ","G"),"Ü","U"),"ü","U"),"Ö","O"),"ö","O"),"Ç","C"),"ç","C"),".",""),",","")," ",""),"-","")))</f>
        <v/>
      </c>
      <c r="S167" s="3">
        <f>IF($D167="","",$C167&amp;"|"&amp;TEXT($E167,"0")&amp;"|"&amp;TEXT($F167,"0")&amp;"|"&amp;$I167)</f>
        <v/>
      </c>
      <c r="T167" s="3">
        <f>IF($E167="",0,SUMPRODUCT((AY_SONU!$O$7:$O$42="Evet")*(AY_SONU!$B$7:$B$42=DATE(YEAR($E167),MONTH($E167),1))))</f>
        <v/>
      </c>
    </row>
    <row r="168">
      <c r="A168" s="6" t="n"/>
      <c r="B168" s="113">
        <f>IF($D168="","","T"&amp;TEXT(ROW()-6,"00000"))</f>
        <v/>
      </c>
      <c r="C168" s="113">
        <f>IF($D168="","",IFERROR(INDEX(MUSTERILER!$B$7:$B$106,MATCH($R168,MUSTERILER!$T$7:$T$106,0)),IFERROR(INDEX(MUSTERILER!$B$7:$B$106,MATCH($D168,MUSTERILER!$B$7:$B$106,0)),IFERROR(INDEX(MUSTERILER!$B$7:$B$106,MATCH($R168&amp;"*",MUSTERILER!$T$7:$T$106,0)),"TANIMSIZ MÜŞTERİ"))))</f>
        <v/>
      </c>
      <c r="D168" s="109" t="inlineStr">
        <is>
          <t>İldeş Ltd.Şti.</t>
        </is>
      </c>
      <c r="E168" s="220" t="n">
        <v>46103</v>
      </c>
      <c r="F168" s="221" t="n">
        <v>4000</v>
      </c>
      <c r="G168" s="108" t="inlineStr">
        <is>
          <t>MERKEZ KASA</t>
        </is>
      </c>
      <c r="H168" s="108" t="inlineStr">
        <is>
          <t>Nakit</t>
        </is>
      </c>
      <c r="I168" s="109" t="n"/>
      <c r="J168" s="109" t="inlineStr">
        <is>
          <t>NAKİT ÖDENEN</t>
        </is>
      </c>
      <c r="K168" s="109" t="n"/>
      <c r="L168" s="226">
        <f>IF($E168="","",DATE(YEAR($E168),MONTH($E168),1))</f>
        <v/>
      </c>
      <c r="M168" s="113">
        <f>IF($D168="","",IF($C168="TANIMSIZ MÜŞTERİ","HATA",IF(OR($E168="",$F168&lt;=0,$G168=""),"EKSİK",IF($E168&gt;TODAY(),"İLERİ TARİH",IF(COUNTIF($S$7:$S$1506,$S168)&gt;1,"MÜKERRER?",IF($T168&gt;0,"KAPALI DÖNEM","UYGUN"))))))</f>
        <v/>
      </c>
      <c r="N168" s="121">
        <f>IF($C168="","",IF($C168="TANIMSIZ MÜŞTERİ","—",INDEX(MUSTERILER!$C$7:$C$106,MATCH($C168,MUSTERILER!$B$7:$B$106,0))))</f>
        <v/>
      </c>
      <c r="O168" s="6" t="n"/>
      <c r="P168" s="6" t="n"/>
      <c r="Q168" s="3">
        <f>IF($D168="","",$C168&amp;"|"&amp;COUNTIFS($C$7:$C168,$C168))</f>
        <v/>
      </c>
      <c r="R168" s="3">
        <f>IF($D168="","",UPPER(SUBSTITUTE(SUBSTITUTE(SUBSTITUTE(SUBSTITUTE(SUBSTITUTE(SUBSTITUTE(SUBSTITUTE(SUBSTITUTE(SUBSTITUTE(SUBSTITUTE(SUBSTITUTE(SUBSTITUTE(SUBSTITUTE(SUBSTITUTE(SUBSTITUTE(SUBSTITUTE(SUBSTITUTE(SUBSTITUTE(TRIM($D168),"'",""),"İ","I"),"ı","I"),"i","I"),"Ş","S"),"ş","S"),"Ğ","G"),"ğ","G"),"Ü","U"),"ü","U"),"Ö","O"),"ö","O"),"Ç","C"),"ç","C"),".",""),",","")," ",""),"-","")))</f>
        <v/>
      </c>
      <c r="S168" s="3">
        <f>IF($D168="","",$C168&amp;"|"&amp;TEXT($E168,"0")&amp;"|"&amp;TEXT($F168,"0")&amp;"|"&amp;$I168)</f>
        <v/>
      </c>
      <c r="T168" s="3">
        <f>IF($E168="",0,SUMPRODUCT((AY_SONU!$O$7:$O$42="Evet")*(AY_SONU!$B$7:$B$42=DATE(YEAR($E168),MONTH($E168),1))))</f>
        <v/>
      </c>
    </row>
    <row r="169">
      <c r="A169" s="6" t="n"/>
      <c r="B169" s="113">
        <f>IF($D169="","","T"&amp;TEXT(ROW()-6,"00000"))</f>
        <v/>
      </c>
      <c r="C169" s="113">
        <f>IF($D169="","",IFERROR(INDEX(MUSTERILER!$B$7:$B$106,MATCH($R169,MUSTERILER!$T$7:$T$106,0)),IFERROR(INDEX(MUSTERILER!$B$7:$B$106,MATCH($D169,MUSTERILER!$B$7:$B$106,0)),IFERROR(INDEX(MUSTERILER!$B$7:$B$106,MATCH($R169&amp;"*",MUSTERILER!$T$7:$T$106,0)),"TANIMSIZ MÜŞTERİ"))))</f>
        <v/>
      </c>
      <c r="D169" s="109" t="inlineStr">
        <is>
          <t>Pakyıldız Ltd.Şti.</t>
        </is>
      </c>
      <c r="E169" s="220" t="n">
        <v>46103</v>
      </c>
      <c r="F169" s="221" t="n">
        <v>2000</v>
      </c>
      <c r="G169" s="108" t="inlineStr">
        <is>
          <t>MERKEZ KASA</t>
        </is>
      </c>
      <c r="H169" s="108" t="inlineStr">
        <is>
          <t>Nakit</t>
        </is>
      </c>
      <c r="I169" s="109" t="n"/>
      <c r="J169" s="109" t="inlineStr">
        <is>
          <t>NAKİT ÖDENEN</t>
        </is>
      </c>
      <c r="K169" s="109" t="n"/>
      <c r="L169" s="226">
        <f>IF($E169="","",DATE(YEAR($E169),MONTH($E169),1))</f>
        <v/>
      </c>
      <c r="M169" s="113">
        <f>IF($D169="","",IF($C169="TANIMSIZ MÜŞTERİ","HATA",IF(OR($E169="",$F169&lt;=0,$G169=""),"EKSİK",IF($E169&gt;TODAY(),"İLERİ TARİH",IF(COUNTIF($S$7:$S$1506,$S169)&gt;1,"MÜKERRER?",IF($T169&gt;0,"KAPALI DÖNEM","UYGUN"))))))</f>
        <v/>
      </c>
      <c r="N169" s="121">
        <f>IF($C169="","",IF($C169="TANIMSIZ MÜŞTERİ","—",INDEX(MUSTERILER!$C$7:$C$106,MATCH($C169,MUSTERILER!$B$7:$B$106,0))))</f>
        <v/>
      </c>
      <c r="O169" s="6" t="n"/>
      <c r="P169" s="6" t="n"/>
      <c r="Q169" s="3">
        <f>IF($D169="","",$C169&amp;"|"&amp;COUNTIFS($C$7:$C169,$C169))</f>
        <v/>
      </c>
      <c r="R169" s="3">
        <f>IF($D169="","",UPPER(SUBSTITUTE(SUBSTITUTE(SUBSTITUTE(SUBSTITUTE(SUBSTITUTE(SUBSTITUTE(SUBSTITUTE(SUBSTITUTE(SUBSTITUTE(SUBSTITUTE(SUBSTITUTE(SUBSTITUTE(SUBSTITUTE(SUBSTITUTE(SUBSTITUTE(SUBSTITUTE(SUBSTITUTE(SUBSTITUTE(TRIM($D169),"'",""),"İ","I"),"ı","I"),"i","I"),"Ş","S"),"ş","S"),"Ğ","G"),"ğ","G"),"Ü","U"),"ü","U"),"Ö","O"),"ö","O"),"Ç","C"),"ç","C"),".",""),",","")," ",""),"-","")))</f>
        <v/>
      </c>
      <c r="S169" s="3">
        <f>IF($D169="","",$C169&amp;"|"&amp;TEXT($E169,"0")&amp;"|"&amp;TEXT($F169,"0")&amp;"|"&amp;$I169)</f>
        <v/>
      </c>
      <c r="T169" s="3">
        <f>IF($E169="",0,SUMPRODUCT((AY_SONU!$O$7:$O$42="Evet")*(AY_SONU!$B$7:$B$42=DATE(YEAR($E169),MONTH($E169),1))))</f>
        <v/>
      </c>
    </row>
    <row r="170">
      <c r="A170" s="6" t="n"/>
      <c r="B170" s="113">
        <f>IF($D170="","","T"&amp;TEXT(ROW()-6,"00000"))</f>
        <v/>
      </c>
      <c r="C170" s="113">
        <f>IF($D170="","",IFERROR(INDEX(MUSTERILER!$B$7:$B$106,MATCH($R170,MUSTERILER!$T$7:$T$106,0)),IFERROR(INDEX(MUSTERILER!$B$7:$B$106,MATCH($D170,MUSTERILER!$B$7:$B$106,0)),IFERROR(INDEX(MUSTERILER!$B$7:$B$106,MATCH($R170&amp;"*",MUSTERILER!$T$7:$T$106,0)),"TANIMSIZ MÜŞTERİ"))))</f>
        <v/>
      </c>
      <c r="D170" s="109" t="inlineStr">
        <is>
          <t>Rix Şow Ltd.Şti.</t>
        </is>
      </c>
      <c r="E170" s="220" t="n">
        <v>46103</v>
      </c>
      <c r="F170" s="221" t="n">
        <v>3000</v>
      </c>
      <c r="G170" s="108" t="inlineStr">
        <is>
          <t>MERKEZ KASA</t>
        </is>
      </c>
      <c r="H170" s="108" t="inlineStr">
        <is>
          <t>Nakit</t>
        </is>
      </c>
      <c r="I170" s="109" t="n"/>
      <c r="J170" s="109" t="inlineStr">
        <is>
          <t>NAKİT ÖDENEN</t>
        </is>
      </c>
      <c r="K170" s="109" t="n"/>
      <c r="L170" s="226">
        <f>IF($E170="","",DATE(YEAR($E170),MONTH($E170),1))</f>
        <v/>
      </c>
      <c r="M170" s="113">
        <f>IF($D170="","",IF($C170="TANIMSIZ MÜŞTERİ","HATA",IF(OR($E170="",$F170&lt;=0,$G170=""),"EKSİK",IF($E170&gt;TODAY(),"İLERİ TARİH",IF(COUNTIF($S$7:$S$1506,$S170)&gt;1,"MÜKERRER?",IF($T170&gt;0,"KAPALI DÖNEM","UYGUN"))))))</f>
        <v/>
      </c>
      <c r="N170" s="121">
        <f>IF($C170="","",IF($C170="TANIMSIZ MÜŞTERİ","—",INDEX(MUSTERILER!$C$7:$C$106,MATCH($C170,MUSTERILER!$B$7:$B$106,0))))</f>
        <v/>
      </c>
      <c r="O170" s="6" t="n"/>
      <c r="P170" s="6" t="n"/>
      <c r="Q170" s="3">
        <f>IF($D170="","",$C170&amp;"|"&amp;COUNTIFS($C$7:$C170,$C170))</f>
        <v/>
      </c>
      <c r="R170" s="3">
        <f>IF($D170="","",UPPER(SUBSTITUTE(SUBSTITUTE(SUBSTITUTE(SUBSTITUTE(SUBSTITUTE(SUBSTITUTE(SUBSTITUTE(SUBSTITUTE(SUBSTITUTE(SUBSTITUTE(SUBSTITUTE(SUBSTITUTE(SUBSTITUTE(SUBSTITUTE(SUBSTITUTE(SUBSTITUTE(SUBSTITUTE(SUBSTITUTE(TRIM($D170),"'",""),"İ","I"),"ı","I"),"i","I"),"Ş","S"),"ş","S"),"Ğ","G"),"ğ","G"),"Ü","U"),"ü","U"),"Ö","O"),"ö","O"),"Ç","C"),"ç","C"),".",""),",","")," ",""),"-","")))</f>
        <v/>
      </c>
      <c r="S170" s="3">
        <f>IF($D170="","",$C170&amp;"|"&amp;TEXT($E170,"0")&amp;"|"&amp;TEXT($F170,"0")&amp;"|"&amp;$I170)</f>
        <v/>
      </c>
      <c r="T170" s="3">
        <f>IF($E170="",0,SUMPRODUCT((AY_SONU!$O$7:$O$42="Evet")*(AY_SONU!$B$7:$B$42=DATE(YEAR($E170),MONTH($E170),1))))</f>
        <v/>
      </c>
    </row>
    <row r="171">
      <c r="A171" s="6" t="n"/>
      <c r="B171" s="113">
        <f>IF($D171="","","T"&amp;TEXT(ROW()-6,"00000"))</f>
        <v/>
      </c>
      <c r="C171" s="113">
        <f>IF($D171="","",IFERROR(INDEX(MUSTERILER!$B$7:$B$106,MATCH($R171,MUSTERILER!$T$7:$T$106,0)),IFERROR(INDEX(MUSTERILER!$B$7:$B$106,MATCH($D171,MUSTERILER!$B$7:$B$106,0)),IFERROR(INDEX(MUSTERILER!$B$7:$B$106,MATCH($R171&amp;"*",MUSTERILER!$T$7:$T$106,0)),"TANIMSIZ MÜŞTERİ"))))</f>
        <v/>
      </c>
      <c r="D171" s="109" t="inlineStr">
        <is>
          <t>Zümrüt Grup Ltd.Şti.</t>
        </is>
      </c>
      <c r="E171" s="220" t="n">
        <v>46103</v>
      </c>
      <c r="F171" s="221" t="n">
        <v>1750</v>
      </c>
      <c r="G171" s="108" t="inlineStr">
        <is>
          <t>MERKEZ KASA</t>
        </is>
      </c>
      <c r="H171" s="108" t="inlineStr">
        <is>
          <t>Nakit</t>
        </is>
      </c>
      <c r="I171" s="109" t="n"/>
      <c r="J171" s="109" t="inlineStr">
        <is>
          <t>NAKİT ÖDENEN</t>
        </is>
      </c>
      <c r="K171" s="109" t="n"/>
      <c r="L171" s="226">
        <f>IF($E171="","",DATE(YEAR($E171),MONTH($E171),1))</f>
        <v/>
      </c>
      <c r="M171" s="113">
        <f>IF($D171="","",IF($C171="TANIMSIZ MÜŞTERİ","HATA",IF(OR($E171="",$F171&lt;=0,$G171=""),"EKSİK",IF($E171&gt;TODAY(),"İLERİ TARİH",IF(COUNTIF($S$7:$S$1506,$S171)&gt;1,"MÜKERRER?",IF($T171&gt;0,"KAPALI DÖNEM","UYGUN"))))))</f>
        <v/>
      </c>
      <c r="N171" s="121">
        <f>IF($C171="","",IF($C171="TANIMSIZ MÜŞTERİ","—",INDEX(MUSTERILER!$C$7:$C$106,MATCH($C171,MUSTERILER!$B$7:$B$106,0))))</f>
        <v/>
      </c>
      <c r="O171" s="6" t="n"/>
      <c r="P171" s="6" t="n"/>
      <c r="Q171" s="3">
        <f>IF($D171="","",$C171&amp;"|"&amp;COUNTIFS($C$7:$C171,$C171))</f>
        <v/>
      </c>
      <c r="R171" s="3">
        <f>IF($D171="","",UPPER(SUBSTITUTE(SUBSTITUTE(SUBSTITUTE(SUBSTITUTE(SUBSTITUTE(SUBSTITUTE(SUBSTITUTE(SUBSTITUTE(SUBSTITUTE(SUBSTITUTE(SUBSTITUTE(SUBSTITUTE(SUBSTITUTE(SUBSTITUTE(SUBSTITUTE(SUBSTITUTE(SUBSTITUTE(SUBSTITUTE(TRIM($D171),"'",""),"İ","I"),"ı","I"),"i","I"),"Ş","S"),"ş","S"),"Ğ","G"),"ğ","G"),"Ü","U"),"ü","U"),"Ö","O"),"ö","O"),"Ç","C"),"ç","C"),".",""),",","")," ",""),"-","")))</f>
        <v/>
      </c>
      <c r="S171" s="3">
        <f>IF($D171="","",$C171&amp;"|"&amp;TEXT($E171,"0")&amp;"|"&amp;TEXT($F171,"0")&amp;"|"&amp;$I171)</f>
        <v/>
      </c>
      <c r="T171" s="3">
        <f>IF($E171="",0,SUMPRODUCT((AY_SONU!$O$7:$O$42="Evet")*(AY_SONU!$B$7:$B$42=DATE(YEAR($E171),MONTH($E171),1))))</f>
        <v/>
      </c>
    </row>
    <row r="172">
      <c r="A172" s="6" t="n"/>
      <c r="B172" s="113">
        <f>IF($D172="","","T"&amp;TEXT(ROW()-6,"00000"))</f>
        <v/>
      </c>
      <c r="C172" s="113">
        <f>IF($D172="","",IFERROR(INDEX(MUSTERILER!$B$7:$B$106,MATCH($R172,MUSTERILER!$T$7:$T$106,0)),IFERROR(INDEX(MUSTERILER!$B$7:$B$106,MATCH($D172,MUSTERILER!$B$7:$B$106,0)),IFERROR(INDEX(MUSTERILER!$B$7:$B$106,MATCH($R172&amp;"*",MUSTERILER!$T$7:$T$106,0)),"TANIMSIZ MÜŞTERİ"))))</f>
        <v/>
      </c>
      <c r="D172" s="109" t="inlineStr">
        <is>
          <t>ÇINARHAN LTD.ŞTİ.</t>
        </is>
      </c>
      <c r="E172" s="220" t="n">
        <v>46103</v>
      </c>
      <c r="F172" s="221" t="n">
        <v>2500</v>
      </c>
      <c r="G172" s="108" t="inlineStr">
        <is>
          <t>MERKEZ KASA</t>
        </is>
      </c>
      <c r="H172" s="108" t="inlineStr">
        <is>
          <t>Nakit</t>
        </is>
      </c>
      <c r="I172" s="109" t="n"/>
      <c r="J172" s="109" t="inlineStr">
        <is>
          <t>NAKİT ÖDENEN</t>
        </is>
      </c>
      <c r="K172" s="109" t="n"/>
      <c r="L172" s="226">
        <f>IF($E172="","",DATE(YEAR($E172),MONTH($E172),1))</f>
        <v/>
      </c>
      <c r="M172" s="113">
        <f>IF($D172="","",IF($C172="TANIMSIZ MÜŞTERİ","HATA",IF(OR($E172="",$F172&lt;=0,$G172=""),"EKSİK",IF($E172&gt;TODAY(),"İLERİ TARİH",IF(COUNTIF($S$7:$S$1506,$S172)&gt;1,"MÜKERRER?",IF($T172&gt;0,"KAPALI DÖNEM","UYGUN"))))))</f>
        <v/>
      </c>
      <c r="N172" s="121">
        <f>IF($C172="","",IF($C172="TANIMSIZ MÜŞTERİ","—",INDEX(MUSTERILER!$C$7:$C$106,MATCH($C172,MUSTERILER!$B$7:$B$106,0))))</f>
        <v/>
      </c>
      <c r="O172" s="6" t="n"/>
      <c r="P172" s="6" t="n"/>
      <c r="Q172" s="3">
        <f>IF($D172="","",$C172&amp;"|"&amp;COUNTIFS($C$7:$C172,$C172))</f>
        <v/>
      </c>
      <c r="R172" s="3">
        <f>IF($D172="","",UPPER(SUBSTITUTE(SUBSTITUTE(SUBSTITUTE(SUBSTITUTE(SUBSTITUTE(SUBSTITUTE(SUBSTITUTE(SUBSTITUTE(SUBSTITUTE(SUBSTITUTE(SUBSTITUTE(SUBSTITUTE(SUBSTITUTE(SUBSTITUTE(SUBSTITUTE(SUBSTITUTE(SUBSTITUTE(SUBSTITUTE(TRIM($D172),"'",""),"İ","I"),"ı","I"),"i","I"),"Ş","S"),"ş","S"),"Ğ","G"),"ğ","G"),"Ü","U"),"ü","U"),"Ö","O"),"ö","O"),"Ç","C"),"ç","C"),".",""),",","")," ",""),"-","")))</f>
        <v/>
      </c>
      <c r="S172" s="3">
        <f>IF($D172="","",$C172&amp;"|"&amp;TEXT($E172,"0")&amp;"|"&amp;TEXT($F172,"0")&amp;"|"&amp;$I172)</f>
        <v/>
      </c>
      <c r="T172" s="3">
        <f>IF($E172="",0,SUMPRODUCT((AY_SONU!$O$7:$O$42="Evet")*(AY_SONU!$B$7:$B$42=DATE(YEAR($E172),MONTH($E172),1))))</f>
        <v/>
      </c>
    </row>
    <row r="173">
      <c r="A173" s="6" t="n"/>
      <c r="B173" s="113">
        <f>IF($D173="","","T"&amp;TEXT(ROW()-6,"00000"))</f>
        <v/>
      </c>
      <c r="C173" s="113">
        <f>IF($D173="","",IFERROR(INDEX(MUSTERILER!$B$7:$B$106,MATCH($R173,MUSTERILER!$T$7:$T$106,0)),IFERROR(INDEX(MUSTERILER!$B$7:$B$106,MATCH($D173,MUSTERILER!$B$7:$B$106,0)),IFERROR(INDEX(MUSTERILER!$B$7:$B$106,MATCH($R173&amp;"*",MUSTERILER!$T$7:$T$106,0)),"TANIMSIZ MÜŞTERİ"))))</f>
        <v/>
      </c>
      <c r="D173" s="109" t="inlineStr">
        <is>
          <t>KRİSTAL LTD.ŞTİ.</t>
        </is>
      </c>
      <c r="E173" s="220" t="n">
        <v>46103</v>
      </c>
      <c r="F173" s="221" t="n">
        <v>3000</v>
      </c>
      <c r="G173" s="108" t="inlineStr">
        <is>
          <t>MERKEZ KASA</t>
        </is>
      </c>
      <c r="H173" s="108" t="inlineStr">
        <is>
          <t>Nakit</t>
        </is>
      </c>
      <c r="I173" s="109" t="n"/>
      <c r="J173" s="109" t="inlineStr">
        <is>
          <t>NAKİT ÖDENEN</t>
        </is>
      </c>
      <c r="K173" s="109" t="n"/>
      <c r="L173" s="226">
        <f>IF($E173="","",DATE(YEAR($E173),MONTH($E173),1))</f>
        <v/>
      </c>
      <c r="M173" s="113">
        <f>IF($D173="","",IF($C173="TANIMSIZ MÜŞTERİ","HATA",IF(OR($E173="",$F173&lt;=0,$G173=""),"EKSİK",IF($E173&gt;TODAY(),"İLERİ TARİH",IF(COUNTIF($S$7:$S$1506,$S173)&gt;1,"MÜKERRER?",IF($T173&gt;0,"KAPALI DÖNEM","UYGUN"))))))</f>
        <v/>
      </c>
      <c r="N173" s="121">
        <f>IF($C173="","",IF($C173="TANIMSIZ MÜŞTERİ","—",INDEX(MUSTERILER!$C$7:$C$106,MATCH($C173,MUSTERILER!$B$7:$B$106,0))))</f>
        <v/>
      </c>
      <c r="O173" s="6" t="n"/>
      <c r="P173" s="6" t="n"/>
      <c r="Q173" s="3">
        <f>IF($D173="","",$C173&amp;"|"&amp;COUNTIFS($C$7:$C173,$C173))</f>
        <v/>
      </c>
      <c r="R173" s="3">
        <f>IF($D173="","",UPPER(SUBSTITUTE(SUBSTITUTE(SUBSTITUTE(SUBSTITUTE(SUBSTITUTE(SUBSTITUTE(SUBSTITUTE(SUBSTITUTE(SUBSTITUTE(SUBSTITUTE(SUBSTITUTE(SUBSTITUTE(SUBSTITUTE(SUBSTITUTE(SUBSTITUTE(SUBSTITUTE(SUBSTITUTE(SUBSTITUTE(TRIM($D173),"'",""),"İ","I"),"ı","I"),"i","I"),"Ş","S"),"ş","S"),"Ğ","G"),"ğ","G"),"Ü","U"),"ü","U"),"Ö","O"),"ö","O"),"Ç","C"),"ç","C"),".",""),",","")," ",""),"-","")))</f>
        <v/>
      </c>
      <c r="S173" s="3">
        <f>IF($D173="","",$C173&amp;"|"&amp;TEXT($E173,"0")&amp;"|"&amp;TEXT($F173,"0")&amp;"|"&amp;$I173)</f>
        <v/>
      </c>
      <c r="T173" s="3">
        <f>IF($E173="",0,SUMPRODUCT((AY_SONU!$O$7:$O$42="Evet")*(AY_SONU!$B$7:$B$42=DATE(YEAR($E173),MONTH($E173),1))))</f>
        <v/>
      </c>
    </row>
    <row r="174">
      <c r="A174" s="6" t="n"/>
      <c r="B174" s="113">
        <f>IF($D174="","","T"&amp;TEXT(ROW()-6,"00000"))</f>
        <v/>
      </c>
      <c r="C174" s="113">
        <f>IF($D174="","",IFERROR(INDEX(MUSTERILER!$B$7:$B$106,MATCH($R174,MUSTERILER!$T$7:$T$106,0)),IFERROR(INDEX(MUSTERILER!$B$7:$B$106,MATCH($D174,MUSTERILER!$B$7:$B$106,0)),IFERROR(INDEX(MUSTERILER!$B$7:$B$106,MATCH($R174&amp;"*",MUSTERILER!$T$7:$T$106,0)),"TANIMSIZ MÜŞTERİ"))))</f>
        <v/>
      </c>
      <c r="D174" s="109" t="inlineStr">
        <is>
          <t>PALAOĞULLARI LTD.ŞTİ.</t>
        </is>
      </c>
      <c r="E174" s="220" t="n">
        <v>46103</v>
      </c>
      <c r="F174" s="221" t="n">
        <v>4000</v>
      </c>
      <c r="G174" s="108" t="inlineStr">
        <is>
          <t>MERKEZ KASA</t>
        </is>
      </c>
      <c r="H174" s="108" t="inlineStr">
        <is>
          <t>Nakit</t>
        </is>
      </c>
      <c r="I174" s="109" t="n"/>
      <c r="J174" s="109" t="inlineStr">
        <is>
          <t>NAKİT ÖDENEN</t>
        </is>
      </c>
      <c r="K174" s="109" t="n"/>
      <c r="L174" s="226">
        <f>IF($E174="","",DATE(YEAR($E174),MONTH($E174),1))</f>
        <v/>
      </c>
      <c r="M174" s="113">
        <f>IF($D174="","",IF($C174="TANIMSIZ MÜŞTERİ","HATA",IF(OR($E174="",$F174&lt;=0,$G174=""),"EKSİK",IF($E174&gt;TODAY(),"İLERİ TARİH",IF(COUNTIF($S$7:$S$1506,$S174)&gt;1,"MÜKERRER?",IF($T174&gt;0,"KAPALI DÖNEM","UYGUN"))))))</f>
        <v/>
      </c>
      <c r="N174" s="121">
        <f>IF($C174="","",IF($C174="TANIMSIZ MÜŞTERİ","—",INDEX(MUSTERILER!$C$7:$C$106,MATCH($C174,MUSTERILER!$B$7:$B$106,0))))</f>
        <v/>
      </c>
      <c r="O174" s="6" t="n"/>
      <c r="P174" s="6" t="n"/>
      <c r="Q174" s="3">
        <f>IF($D174="","",$C174&amp;"|"&amp;COUNTIFS($C$7:$C174,$C174))</f>
        <v/>
      </c>
      <c r="R174" s="3">
        <f>IF($D174="","",UPPER(SUBSTITUTE(SUBSTITUTE(SUBSTITUTE(SUBSTITUTE(SUBSTITUTE(SUBSTITUTE(SUBSTITUTE(SUBSTITUTE(SUBSTITUTE(SUBSTITUTE(SUBSTITUTE(SUBSTITUTE(SUBSTITUTE(SUBSTITUTE(SUBSTITUTE(SUBSTITUTE(SUBSTITUTE(SUBSTITUTE(TRIM($D174),"'",""),"İ","I"),"ı","I"),"i","I"),"Ş","S"),"ş","S"),"Ğ","G"),"ğ","G"),"Ü","U"),"ü","U"),"Ö","O"),"ö","O"),"Ç","C"),"ç","C"),".",""),",","")," ",""),"-","")))</f>
        <v/>
      </c>
      <c r="S174" s="3">
        <f>IF($D174="","",$C174&amp;"|"&amp;TEXT($E174,"0")&amp;"|"&amp;TEXT($F174,"0")&amp;"|"&amp;$I174)</f>
        <v/>
      </c>
      <c r="T174" s="3">
        <f>IF($E174="",0,SUMPRODUCT((AY_SONU!$O$7:$O$42="Evet")*(AY_SONU!$B$7:$B$42=DATE(YEAR($E174),MONTH($E174),1))))</f>
        <v/>
      </c>
    </row>
    <row r="175">
      <c r="A175" s="6" t="n"/>
      <c r="B175" s="113">
        <f>IF($D175="","","T"&amp;TEXT(ROW()-6,"00000"))</f>
        <v/>
      </c>
      <c r="C175" s="113">
        <f>IF($D175="","",IFERROR(INDEX(MUSTERILER!$B$7:$B$106,MATCH($R175,MUSTERILER!$T$7:$T$106,0)),IFERROR(INDEX(MUSTERILER!$B$7:$B$106,MATCH($D175,MUSTERILER!$B$7:$B$106,0)),IFERROR(INDEX(MUSTERILER!$B$7:$B$106,MATCH($R175&amp;"*",MUSTERILER!$T$7:$T$106,0)),"TANIMSIZ MÜŞTERİ"))))</f>
        <v/>
      </c>
      <c r="D175" s="109" t="inlineStr">
        <is>
          <t>Naz 1 Gıda Ltd.Şti.</t>
        </is>
      </c>
      <c r="E175" s="220" t="n">
        <v>46107</v>
      </c>
      <c r="F175" s="221" t="n">
        <v>6000</v>
      </c>
      <c r="G175" s="108" t="inlineStr">
        <is>
          <t>ÖMER KARTAL</t>
        </is>
      </c>
      <c r="H175" s="108" t="inlineStr">
        <is>
          <t>Nakit</t>
        </is>
      </c>
      <c r="I175" s="109" t="n"/>
      <c r="J175" s="109" t="inlineStr">
        <is>
          <t>ÖMER KARTALA ÖDENEN</t>
        </is>
      </c>
      <c r="K175" s="109" t="n"/>
      <c r="L175" s="226">
        <f>IF($E175="","",DATE(YEAR($E175),MONTH($E175),1))</f>
        <v/>
      </c>
      <c r="M175" s="113">
        <f>IF($D175="","",IF($C175="TANIMSIZ MÜŞTERİ","HATA",IF(OR($E175="",$F175&lt;=0,$G175=""),"EKSİK",IF($E175&gt;TODAY(),"İLERİ TARİH",IF(COUNTIF($S$7:$S$1506,$S175)&gt;1,"MÜKERRER?",IF($T175&gt;0,"KAPALI DÖNEM","UYGUN"))))))</f>
        <v/>
      </c>
      <c r="N175" s="121">
        <f>IF($C175="","",IF($C175="TANIMSIZ MÜŞTERİ","—",INDEX(MUSTERILER!$C$7:$C$106,MATCH($C175,MUSTERILER!$B$7:$B$106,0))))</f>
        <v/>
      </c>
      <c r="O175" s="6" t="n"/>
      <c r="P175" s="6" t="n"/>
      <c r="Q175" s="3">
        <f>IF($D175="","",$C175&amp;"|"&amp;COUNTIFS($C$7:$C175,$C175))</f>
        <v/>
      </c>
      <c r="R175" s="3">
        <f>IF($D175="","",UPPER(SUBSTITUTE(SUBSTITUTE(SUBSTITUTE(SUBSTITUTE(SUBSTITUTE(SUBSTITUTE(SUBSTITUTE(SUBSTITUTE(SUBSTITUTE(SUBSTITUTE(SUBSTITUTE(SUBSTITUTE(SUBSTITUTE(SUBSTITUTE(SUBSTITUTE(SUBSTITUTE(SUBSTITUTE(SUBSTITUTE(TRIM($D175),"'",""),"İ","I"),"ı","I"),"i","I"),"Ş","S"),"ş","S"),"Ğ","G"),"ğ","G"),"Ü","U"),"ü","U"),"Ö","O"),"ö","O"),"Ç","C"),"ç","C"),".",""),",","")," ",""),"-","")))</f>
        <v/>
      </c>
      <c r="S175" s="3">
        <f>IF($D175="","",$C175&amp;"|"&amp;TEXT($E175,"0")&amp;"|"&amp;TEXT($F175,"0")&amp;"|"&amp;$I175)</f>
        <v/>
      </c>
      <c r="T175" s="3">
        <f>IF($E175="",0,SUMPRODUCT((AY_SONU!$O$7:$O$42="Evet")*(AY_SONU!$B$7:$B$42=DATE(YEAR($E175),MONTH($E175),1))))</f>
        <v/>
      </c>
    </row>
    <row r="176">
      <c r="A176" s="6" t="n"/>
      <c r="B176" s="113">
        <f>IF($D176="","","T"&amp;TEXT(ROW()-6,"00000"))</f>
        <v/>
      </c>
      <c r="C176" s="113">
        <f>IF($D176="","",IFERROR(INDEX(MUSTERILER!$B$7:$B$106,MATCH($R176,MUSTERILER!$T$7:$T$106,0)),IFERROR(INDEX(MUSTERILER!$B$7:$B$106,MATCH($D176,MUSTERILER!$B$7:$B$106,0)),IFERROR(INDEX(MUSTERILER!$B$7:$B$106,MATCH($R176&amp;"*",MUSTERILER!$T$7:$T$106,0)),"TANIMSIZ MÜŞTERİ"))))</f>
        <v/>
      </c>
      <c r="D176" s="109" t="inlineStr">
        <is>
          <t>ASIM AÇIKGÖZ</t>
        </is>
      </c>
      <c r="E176" s="220" t="n">
        <v>46109</v>
      </c>
      <c r="F176" s="221" t="n">
        <v>2000</v>
      </c>
      <c r="G176" s="108" t="inlineStr">
        <is>
          <t>MERKEZ KASA</t>
        </is>
      </c>
      <c r="H176" s="108" t="inlineStr">
        <is>
          <t>Nakit</t>
        </is>
      </c>
      <c r="I176" s="109" t="n"/>
      <c r="J176" s="109" t="inlineStr">
        <is>
          <t>NAKİT ÖDENEN</t>
        </is>
      </c>
      <c r="K176" s="109" t="n"/>
      <c r="L176" s="226">
        <f>IF($E176="","",DATE(YEAR($E176),MONTH($E176),1))</f>
        <v/>
      </c>
      <c r="M176" s="113">
        <f>IF($D176="","",IF($C176="TANIMSIZ MÜŞTERİ","HATA",IF(OR($E176="",$F176&lt;=0,$G176=""),"EKSİK",IF($E176&gt;TODAY(),"İLERİ TARİH",IF(COUNTIF($S$7:$S$1506,$S176)&gt;1,"MÜKERRER?",IF($T176&gt;0,"KAPALI DÖNEM","UYGUN"))))))</f>
        <v/>
      </c>
      <c r="N176" s="121">
        <f>IF($C176="","",IF($C176="TANIMSIZ MÜŞTERİ","—",INDEX(MUSTERILER!$C$7:$C$106,MATCH($C176,MUSTERILER!$B$7:$B$106,0))))</f>
        <v/>
      </c>
      <c r="O176" s="6" t="n"/>
      <c r="P176" s="6" t="n"/>
      <c r="Q176" s="3">
        <f>IF($D176="","",$C176&amp;"|"&amp;COUNTIFS($C$7:$C176,$C176))</f>
        <v/>
      </c>
      <c r="R176" s="3">
        <f>IF($D176="","",UPPER(SUBSTITUTE(SUBSTITUTE(SUBSTITUTE(SUBSTITUTE(SUBSTITUTE(SUBSTITUTE(SUBSTITUTE(SUBSTITUTE(SUBSTITUTE(SUBSTITUTE(SUBSTITUTE(SUBSTITUTE(SUBSTITUTE(SUBSTITUTE(SUBSTITUTE(SUBSTITUTE(SUBSTITUTE(SUBSTITUTE(TRIM($D176),"'",""),"İ","I"),"ı","I"),"i","I"),"Ş","S"),"ş","S"),"Ğ","G"),"ğ","G"),"Ü","U"),"ü","U"),"Ö","O"),"ö","O"),"Ç","C"),"ç","C"),".",""),",","")," ",""),"-","")))</f>
        <v/>
      </c>
      <c r="S176" s="3">
        <f>IF($D176="","",$C176&amp;"|"&amp;TEXT($E176,"0")&amp;"|"&amp;TEXT($F176,"0")&amp;"|"&amp;$I176)</f>
        <v/>
      </c>
      <c r="T176" s="3">
        <f>IF($E176="",0,SUMPRODUCT((AY_SONU!$O$7:$O$42="Evet")*(AY_SONU!$B$7:$B$42=DATE(YEAR($E176),MONTH($E176),1))))</f>
        <v/>
      </c>
    </row>
    <row r="177">
      <c r="A177" s="6" t="n"/>
      <c r="B177" s="113">
        <f>IF($D177="","","T"&amp;TEXT(ROW()-6,"00000"))</f>
        <v/>
      </c>
      <c r="C177" s="113">
        <f>IF($D177="","",IFERROR(INDEX(MUSTERILER!$B$7:$B$106,MATCH($R177,MUSTERILER!$T$7:$T$106,0)),IFERROR(INDEX(MUSTERILER!$B$7:$B$106,MATCH($D177,MUSTERILER!$B$7:$B$106,0)),IFERROR(INDEX(MUSTERILER!$B$7:$B$106,MATCH($R177&amp;"*",MUSTERILER!$T$7:$T$106,0)),"TANIMSIZ MÜŞTERİ"))))</f>
        <v/>
      </c>
      <c r="D177" s="109" t="inlineStr">
        <is>
          <t>ASM EĞLENCE LTD.ŞTİ.</t>
        </is>
      </c>
      <c r="E177" s="220" t="n">
        <v>46109</v>
      </c>
      <c r="F177" s="221" t="n">
        <v>2500</v>
      </c>
      <c r="G177" s="108" t="inlineStr">
        <is>
          <t>MERKEZ KASA</t>
        </is>
      </c>
      <c r="H177" s="108" t="inlineStr">
        <is>
          <t>Nakit</t>
        </is>
      </c>
      <c r="I177" s="109" t="n"/>
      <c r="J177" s="109" t="inlineStr">
        <is>
          <t>NAKİT ÖDENEN</t>
        </is>
      </c>
      <c r="K177" s="109" t="n"/>
      <c r="L177" s="226">
        <f>IF($E177="","",DATE(YEAR($E177),MONTH($E177),1))</f>
        <v/>
      </c>
      <c r="M177" s="113">
        <f>IF($D177="","",IF($C177="TANIMSIZ MÜŞTERİ","HATA",IF(OR($E177="",$F177&lt;=0,$G177=""),"EKSİK",IF($E177&gt;TODAY(),"İLERİ TARİH",IF(COUNTIF($S$7:$S$1506,$S177)&gt;1,"MÜKERRER?",IF($T177&gt;0,"KAPALI DÖNEM","UYGUN"))))))</f>
        <v/>
      </c>
      <c r="N177" s="121">
        <f>IF($C177="","",IF($C177="TANIMSIZ MÜŞTERİ","—",INDEX(MUSTERILER!$C$7:$C$106,MATCH($C177,MUSTERILER!$B$7:$B$106,0))))</f>
        <v/>
      </c>
      <c r="O177" s="6" t="n"/>
      <c r="P177" s="6" t="n"/>
      <c r="Q177" s="3">
        <f>IF($D177="","",$C177&amp;"|"&amp;COUNTIFS($C$7:$C177,$C177))</f>
        <v/>
      </c>
      <c r="R177" s="3">
        <f>IF($D177="","",UPPER(SUBSTITUTE(SUBSTITUTE(SUBSTITUTE(SUBSTITUTE(SUBSTITUTE(SUBSTITUTE(SUBSTITUTE(SUBSTITUTE(SUBSTITUTE(SUBSTITUTE(SUBSTITUTE(SUBSTITUTE(SUBSTITUTE(SUBSTITUTE(SUBSTITUTE(SUBSTITUTE(SUBSTITUTE(SUBSTITUTE(TRIM($D177),"'",""),"İ","I"),"ı","I"),"i","I"),"Ş","S"),"ş","S"),"Ğ","G"),"ğ","G"),"Ü","U"),"ü","U"),"Ö","O"),"ö","O"),"Ç","C"),"ç","C"),".",""),",","")," ",""),"-","")))</f>
        <v/>
      </c>
      <c r="S177" s="3">
        <f>IF($D177="","",$C177&amp;"|"&amp;TEXT($E177,"0")&amp;"|"&amp;TEXT($F177,"0")&amp;"|"&amp;$I177)</f>
        <v/>
      </c>
      <c r="T177" s="3">
        <f>IF($E177="",0,SUMPRODUCT((AY_SONU!$O$7:$O$42="Evet")*(AY_SONU!$B$7:$B$42=DATE(YEAR($E177),MONTH($E177),1))))</f>
        <v/>
      </c>
    </row>
    <row r="178">
      <c r="A178" s="6" t="n"/>
      <c r="B178" s="113">
        <f>IF($D178="","","T"&amp;TEXT(ROW()-6,"00000"))</f>
        <v/>
      </c>
      <c r="C178" s="113">
        <f>IF($D178="","",IFERROR(INDEX(MUSTERILER!$B$7:$B$106,MATCH($R178,MUSTERILER!$T$7:$T$106,0)),IFERROR(INDEX(MUSTERILER!$B$7:$B$106,MATCH($D178,MUSTERILER!$B$7:$B$106,0)),IFERROR(INDEX(MUSTERILER!$B$7:$B$106,MATCH($R178&amp;"*",MUSTERILER!$T$7:$T$106,0)),"TANIMSIZ MÜŞTERİ"))))</f>
        <v/>
      </c>
      <c r="D178" s="109" t="inlineStr">
        <is>
          <t>Çayıralan Ltd.Şti.</t>
        </is>
      </c>
      <c r="E178" s="220" t="n">
        <v>46109</v>
      </c>
      <c r="F178" s="221" t="n">
        <v>3000</v>
      </c>
      <c r="G178" s="108" t="inlineStr">
        <is>
          <t>MERKEZ KASA</t>
        </is>
      </c>
      <c r="H178" s="108" t="inlineStr">
        <is>
          <t>Nakit</t>
        </is>
      </c>
      <c r="I178" s="109" t="n"/>
      <c r="J178" s="109" t="inlineStr">
        <is>
          <t>NAKİT ÖDENEN</t>
        </is>
      </c>
      <c r="K178" s="109" t="n"/>
      <c r="L178" s="226">
        <f>IF($E178="","",DATE(YEAR($E178),MONTH($E178),1))</f>
        <v/>
      </c>
      <c r="M178" s="113">
        <f>IF($D178="","",IF($C178="TANIMSIZ MÜŞTERİ","HATA",IF(OR($E178="",$F178&lt;=0,$G178=""),"EKSİK",IF($E178&gt;TODAY(),"İLERİ TARİH",IF(COUNTIF($S$7:$S$1506,$S178)&gt;1,"MÜKERRER?",IF($T178&gt;0,"KAPALI DÖNEM","UYGUN"))))))</f>
        <v/>
      </c>
      <c r="N178" s="121">
        <f>IF($C178="","",IF($C178="TANIMSIZ MÜŞTERİ","—",INDEX(MUSTERILER!$C$7:$C$106,MATCH($C178,MUSTERILER!$B$7:$B$106,0))))</f>
        <v/>
      </c>
      <c r="O178" s="6" t="n"/>
      <c r="P178" s="6" t="n"/>
      <c r="Q178" s="3">
        <f>IF($D178="","",$C178&amp;"|"&amp;COUNTIFS($C$7:$C178,$C178))</f>
        <v/>
      </c>
      <c r="R178" s="3">
        <f>IF($D178="","",UPPER(SUBSTITUTE(SUBSTITUTE(SUBSTITUTE(SUBSTITUTE(SUBSTITUTE(SUBSTITUTE(SUBSTITUTE(SUBSTITUTE(SUBSTITUTE(SUBSTITUTE(SUBSTITUTE(SUBSTITUTE(SUBSTITUTE(SUBSTITUTE(SUBSTITUTE(SUBSTITUTE(SUBSTITUTE(SUBSTITUTE(TRIM($D178),"'",""),"İ","I"),"ı","I"),"i","I"),"Ş","S"),"ş","S"),"Ğ","G"),"ğ","G"),"Ü","U"),"ü","U"),"Ö","O"),"ö","O"),"Ç","C"),"ç","C"),".",""),",","")," ",""),"-","")))</f>
        <v/>
      </c>
      <c r="S178" s="3">
        <f>IF($D178="","",$C178&amp;"|"&amp;TEXT($E178,"0")&amp;"|"&amp;TEXT($F178,"0")&amp;"|"&amp;$I178)</f>
        <v/>
      </c>
      <c r="T178" s="3">
        <f>IF($E178="",0,SUMPRODUCT((AY_SONU!$O$7:$O$42="Evet")*(AY_SONU!$B$7:$B$42=DATE(YEAR($E178),MONTH($E178),1))))</f>
        <v/>
      </c>
    </row>
    <row r="179">
      <c r="A179" s="6" t="n"/>
      <c r="B179" s="113">
        <f>IF($D179="","","T"&amp;TEXT(ROW()-6,"00000"))</f>
        <v/>
      </c>
      <c r="C179" s="113">
        <f>IF($D179="","",IFERROR(INDEX(MUSTERILER!$B$7:$B$106,MATCH($R179,MUSTERILER!$T$7:$T$106,0)),IFERROR(INDEX(MUSTERILER!$B$7:$B$106,MATCH($D179,MUSTERILER!$B$7:$B$106,0)),IFERROR(INDEX(MUSTERILER!$B$7:$B$106,MATCH($R179&amp;"*",MUSTERILER!$T$7:$T$106,0)),"TANIMSIZ MÜŞTERİ"))))</f>
        <v/>
      </c>
      <c r="D179" s="109" t="inlineStr">
        <is>
          <t>Eğlengör Ltd.Şti.</t>
        </is>
      </c>
      <c r="E179" s="220" t="n">
        <v>46109</v>
      </c>
      <c r="F179" s="221" t="n">
        <v>3000</v>
      </c>
      <c r="G179" s="108" t="inlineStr">
        <is>
          <t>MERKEZ KASA</t>
        </is>
      </c>
      <c r="H179" s="108" t="inlineStr">
        <is>
          <t>Nakit</t>
        </is>
      </c>
      <c r="I179" s="109" t="n"/>
      <c r="J179" s="109" t="inlineStr">
        <is>
          <t>NAKİT ÖDENEN</t>
        </is>
      </c>
      <c r="K179" s="109" t="n"/>
      <c r="L179" s="226">
        <f>IF($E179="","",DATE(YEAR($E179),MONTH($E179),1))</f>
        <v/>
      </c>
      <c r="M179" s="113">
        <f>IF($D179="","",IF($C179="TANIMSIZ MÜŞTERİ","HATA",IF(OR($E179="",$F179&lt;=0,$G179=""),"EKSİK",IF($E179&gt;TODAY(),"İLERİ TARİH",IF(COUNTIF($S$7:$S$1506,$S179)&gt;1,"MÜKERRER?",IF($T179&gt;0,"KAPALI DÖNEM","UYGUN"))))))</f>
        <v/>
      </c>
      <c r="N179" s="121">
        <f>IF($C179="","",IF($C179="TANIMSIZ MÜŞTERİ","—",INDEX(MUSTERILER!$C$7:$C$106,MATCH($C179,MUSTERILER!$B$7:$B$106,0))))</f>
        <v/>
      </c>
      <c r="O179" s="6" t="n"/>
      <c r="P179" s="6" t="n"/>
      <c r="Q179" s="3">
        <f>IF($D179="","",$C179&amp;"|"&amp;COUNTIFS($C$7:$C179,$C179))</f>
        <v/>
      </c>
      <c r="R179" s="3">
        <f>IF($D179="","",UPPER(SUBSTITUTE(SUBSTITUTE(SUBSTITUTE(SUBSTITUTE(SUBSTITUTE(SUBSTITUTE(SUBSTITUTE(SUBSTITUTE(SUBSTITUTE(SUBSTITUTE(SUBSTITUTE(SUBSTITUTE(SUBSTITUTE(SUBSTITUTE(SUBSTITUTE(SUBSTITUTE(SUBSTITUTE(SUBSTITUTE(TRIM($D179),"'",""),"İ","I"),"ı","I"),"i","I"),"Ş","S"),"ş","S"),"Ğ","G"),"ğ","G"),"Ü","U"),"ü","U"),"Ö","O"),"ö","O"),"Ç","C"),"ç","C"),".",""),",","")," ",""),"-","")))</f>
        <v/>
      </c>
      <c r="S179" s="3">
        <f>IF($D179="","",$C179&amp;"|"&amp;TEXT($E179,"0")&amp;"|"&amp;TEXT($F179,"0")&amp;"|"&amp;$I179)</f>
        <v/>
      </c>
      <c r="T179" s="3">
        <f>IF($E179="",0,SUMPRODUCT((AY_SONU!$O$7:$O$42="Evet")*(AY_SONU!$B$7:$B$42=DATE(YEAR($E179),MONTH($E179),1))))</f>
        <v/>
      </c>
    </row>
    <row r="180">
      <c r="A180" s="6" t="n"/>
      <c r="B180" s="113">
        <f>IF($D180="","","T"&amp;TEXT(ROW()-6,"00000"))</f>
        <v/>
      </c>
      <c r="C180" s="113">
        <f>IF($D180="","",IFERROR(INDEX(MUSTERILER!$B$7:$B$106,MATCH($R180,MUSTERILER!$T$7:$T$106,0)),IFERROR(INDEX(MUSTERILER!$B$7:$B$106,MATCH($D180,MUSTERILER!$B$7:$B$106,0)),IFERROR(INDEX(MUSTERILER!$B$7:$B$106,MATCH($R180&amp;"*",MUSTERILER!$T$7:$T$106,0)),"TANIMSIZ MÜŞTERİ"))))</f>
        <v/>
      </c>
      <c r="D180" s="109" t="inlineStr">
        <is>
          <t>Final Siyah Beyaz Ltd.Şti.</t>
        </is>
      </c>
      <c r="E180" s="220" t="n">
        <v>46109</v>
      </c>
      <c r="F180" s="221" t="n">
        <v>2000</v>
      </c>
      <c r="G180" s="108" t="inlineStr">
        <is>
          <t>MERKEZ KASA</t>
        </is>
      </c>
      <c r="H180" s="108" t="inlineStr">
        <is>
          <t>Nakit</t>
        </is>
      </c>
      <c r="I180" s="109" t="n"/>
      <c r="J180" s="109" t="inlineStr">
        <is>
          <t>NAKİT ÖDENEN</t>
        </is>
      </c>
      <c r="K180" s="109" t="n"/>
      <c r="L180" s="226">
        <f>IF($E180="","",DATE(YEAR($E180),MONTH($E180),1))</f>
        <v/>
      </c>
      <c r="M180" s="113">
        <f>IF($D180="","",IF($C180="TANIMSIZ MÜŞTERİ","HATA",IF(OR($E180="",$F180&lt;=0,$G180=""),"EKSİK",IF($E180&gt;TODAY(),"İLERİ TARİH",IF(COUNTIF($S$7:$S$1506,$S180)&gt;1,"MÜKERRER?",IF($T180&gt;0,"KAPALI DÖNEM","UYGUN"))))))</f>
        <v/>
      </c>
      <c r="N180" s="121">
        <f>IF($C180="","",IF($C180="TANIMSIZ MÜŞTERİ","—",INDEX(MUSTERILER!$C$7:$C$106,MATCH($C180,MUSTERILER!$B$7:$B$106,0))))</f>
        <v/>
      </c>
      <c r="O180" s="6" t="n"/>
      <c r="P180" s="6" t="n"/>
      <c r="Q180" s="3">
        <f>IF($D180="","",$C180&amp;"|"&amp;COUNTIFS($C$7:$C180,$C180))</f>
        <v/>
      </c>
      <c r="R180" s="3">
        <f>IF($D180="","",UPPER(SUBSTITUTE(SUBSTITUTE(SUBSTITUTE(SUBSTITUTE(SUBSTITUTE(SUBSTITUTE(SUBSTITUTE(SUBSTITUTE(SUBSTITUTE(SUBSTITUTE(SUBSTITUTE(SUBSTITUTE(SUBSTITUTE(SUBSTITUTE(SUBSTITUTE(SUBSTITUTE(SUBSTITUTE(SUBSTITUTE(TRIM($D180),"'",""),"İ","I"),"ı","I"),"i","I"),"Ş","S"),"ş","S"),"Ğ","G"),"ğ","G"),"Ü","U"),"ü","U"),"Ö","O"),"ö","O"),"Ç","C"),"ç","C"),".",""),",","")," ",""),"-","")))</f>
        <v/>
      </c>
      <c r="S180" s="3">
        <f>IF($D180="","",$C180&amp;"|"&amp;TEXT($E180,"0")&amp;"|"&amp;TEXT($F180,"0")&amp;"|"&amp;$I180)</f>
        <v/>
      </c>
      <c r="T180" s="3">
        <f>IF($E180="",0,SUMPRODUCT((AY_SONU!$O$7:$O$42="Evet")*(AY_SONU!$B$7:$B$42=DATE(YEAR($E180),MONTH($E180),1))))</f>
        <v/>
      </c>
    </row>
    <row r="181">
      <c r="A181" s="6" t="n"/>
      <c r="B181" s="113">
        <f>IF($D181="","","T"&amp;TEXT(ROW()-6,"00000"))</f>
        <v/>
      </c>
      <c r="C181" s="113">
        <f>IF($D181="","",IFERROR(INDEX(MUSTERILER!$B$7:$B$106,MATCH($R181,MUSTERILER!$T$7:$T$106,0)),IFERROR(INDEX(MUSTERILER!$B$7:$B$106,MATCH($D181,MUSTERILER!$B$7:$B$106,0)),IFERROR(INDEX(MUSTERILER!$B$7:$B$106,MATCH($R181&amp;"*",MUSTERILER!$T$7:$T$106,0)),"TANIMSIZ MÜŞTERİ"))))</f>
        <v/>
      </c>
      <c r="D181" s="109" t="inlineStr">
        <is>
          <t>İbrahim Maldan</t>
        </is>
      </c>
      <c r="E181" s="220" t="n">
        <v>46109</v>
      </c>
      <c r="F181" s="221" t="n">
        <v>4000</v>
      </c>
      <c r="G181" s="108" t="inlineStr">
        <is>
          <t>MERKEZ KASA</t>
        </is>
      </c>
      <c r="H181" s="108" t="inlineStr">
        <is>
          <t>Nakit</t>
        </is>
      </c>
      <c r="I181" s="109" t="n"/>
      <c r="J181" s="109" t="inlineStr">
        <is>
          <t>NAKİT ÖDENEN</t>
        </is>
      </c>
      <c r="K181" s="109" t="n"/>
      <c r="L181" s="226">
        <f>IF($E181="","",DATE(YEAR($E181),MONTH($E181),1))</f>
        <v/>
      </c>
      <c r="M181" s="113">
        <f>IF($D181="","",IF($C181="TANIMSIZ MÜŞTERİ","HATA",IF(OR($E181="",$F181&lt;=0,$G181=""),"EKSİK",IF($E181&gt;TODAY(),"İLERİ TARİH",IF(COUNTIF($S$7:$S$1506,$S181)&gt;1,"MÜKERRER?",IF($T181&gt;0,"KAPALI DÖNEM","UYGUN"))))))</f>
        <v/>
      </c>
      <c r="N181" s="121">
        <f>IF($C181="","",IF($C181="TANIMSIZ MÜŞTERİ","—",INDEX(MUSTERILER!$C$7:$C$106,MATCH($C181,MUSTERILER!$B$7:$B$106,0))))</f>
        <v/>
      </c>
      <c r="O181" s="6" t="n"/>
      <c r="P181" s="6" t="n"/>
      <c r="Q181" s="3">
        <f>IF($D181="","",$C181&amp;"|"&amp;COUNTIFS($C$7:$C181,$C181))</f>
        <v/>
      </c>
      <c r="R181" s="3">
        <f>IF($D181="","",UPPER(SUBSTITUTE(SUBSTITUTE(SUBSTITUTE(SUBSTITUTE(SUBSTITUTE(SUBSTITUTE(SUBSTITUTE(SUBSTITUTE(SUBSTITUTE(SUBSTITUTE(SUBSTITUTE(SUBSTITUTE(SUBSTITUTE(SUBSTITUTE(SUBSTITUTE(SUBSTITUTE(SUBSTITUTE(SUBSTITUTE(TRIM($D181),"'",""),"İ","I"),"ı","I"),"i","I"),"Ş","S"),"ş","S"),"Ğ","G"),"ğ","G"),"Ü","U"),"ü","U"),"Ö","O"),"ö","O"),"Ç","C"),"ç","C"),".",""),",","")," ",""),"-","")))</f>
        <v/>
      </c>
      <c r="S181" s="3">
        <f>IF($D181="","",$C181&amp;"|"&amp;TEXT($E181,"0")&amp;"|"&amp;TEXT($F181,"0")&amp;"|"&amp;$I181)</f>
        <v/>
      </c>
      <c r="T181" s="3">
        <f>IF($E181="",0,SUMPRODUCT((AY_SONU!$O$7:$O$42="Evet")*(AY_SONU!$B$7:$B$42=DATE(YEAR($E181),MONTH($E181),1))))</f>
        <v/>
      </c>
    </row>
    <row r="182">
      <c r="A182" s="6" t="n"/>
      <c r="B182" s="113">
        <f>IF($D182="","","T"&amp;TEXT(ROW()-6,"00000"))</f>
        <v/>
      </c>
      <c r="C182" s="113">
        <f>IF($D182="","",IFERROR(INDEX(MUSTERILER!$B$7:$B$106,MATCH($R182,MUSTERILER!$T$7:$T$106,0)),IFERROR(INDEX(MUSTERILER!$B$7:$B$106,MATCH($D182,MUSTERILER!$B$7:$B$106,0)),IFERROR(INDEX(MUSTERILER!$B$7:$B$106,MATCH($R182&amp;"*",MUSTERILER!$T$7:$T$106,0)),"TANIMSIZ MÜŞTERİ"))))</f>
        <v/>
      </c>
      <c r="D182" s="109" t="inlineStr">
        <is>
          <t>İldeş Ltd.Şti.</t>
        </is>
      </c>
      <c r="E182" s="220" t="n">
        <v>46109</v>
      </c>
      <c r="F182" s="221" t="n">
        <v>4000</v>
      </c>
      <c r="G182" s="108" t="inlineStr">
        <is>
          <t>MERKEZ KASA</t>
        </is>
      </c>
      <c r="H182" s="108" t="inlineStr">
        <is>
          <t>Nakit</t>
        </is>
      </c>
      <c r="I182" s="109" t="n"/>
      <c r="J182" s="109" t="inlineStr">
        <is>
          <t>NAKİT ÖDENEN</t>
        </is>
      </c>
      <c r="K182" s="109" t="n"/>
      <c r="L182" s="226">
        <f>IF($E182="","",DATE(YEAR($E182),MONTH($E182),1))</f>
        <v/>
      </c>
      <c r="M182" s="113">
        <f>IF($D182="","",IF($C182="TANIMSIZ MÜŞTERİ","HATA",IF(OR($E182="",$F182&lt;=0,$G182=""),"EKSİK",IF($E182&gt;TODAY(),"İLERİ TARİH",IF(COUNTIF($S$7:$S$1506,$S182)&gt;1,"MÜKERRER?",IF($T182&gt;0,"KAPALI DÖNEM","UYGUN"))))))</f>
        <v/>
      </c>
      <c r="N182" s="121">
        <f>IF($C182="","",IF($C182="TANIMSIZ MÜŞTERİ","—",INDEX(MUSTERILER!$C$7:$C$106,MATCH($C182,MUSTERILER!$B$7:$B$106,0))))</f>
        <v/>
      </c>
      <c r="O182" s="6" t="n"/>
      <c r="P182" s="6" t="n"/>
      <c r="Q182" s="3">
        <f>IF($D182="","",$C182&amp;"|"&amp;COUNTIFS($C$7:$C182,$C182))</f>
        <v/>
      </c>
      <c r="R182" s="3">
        <f>IF($D182="","",UPPER(SUBSTITUTE(SUBSTITUTE(SUBSTITUTE(SUBSTITUTE(SUBSTITUTE(SUBSTITUTE(SUBSTITUTE(SUBSTITUTE(SUBSTITUTE(SUBSTITUTE(SUBSTITUTE(SUBSTITUTE(SUBSTITUTE(SUBSTITUTE(SUBSTITUTE(SUBSTITUTE(SUBSTITUTE(SUBSTITUTE(TRIM($D182),"'",""),"İ","I"),"ı","I"),"i","I"),"Ş","S"),"ş","S"),"Ğ","G"),"ğ","G"),"Ü","U"),"ü","U"),"Ö","O"),"ö","O"),"Ç","C"),"ç","C"),".",""),",","")," ",""),"-","")))</f>
        <v/>
      </c>
      <c r="S182" s="3">
        <f>IF($D182="","",$C182&amp;"|"&amp;TEXT($E182,"0")&amp;"|"&amp;TEXT($F182,"0")&amp;"|"&amp;$I182)</f>
        <v/>
      </c>
      <c r="T182" s="3">
        <f>IF($E182="",0,SUMPRODUCT((AY_SONU!$O$7:$O$42="Evet")*(AY_SONU!$B$7:$B$42=DATE(YEAR($E182),MONTH($E182),1))))</f>
        <v/>
      </c>
    </row>
    <row r="183">
      <c r="A183" s="6" t="n"/>
      <c r="B183" s="113">
        <f>IF($D183="","","T"&amp;TEXT(ROW()-6,"00000"))</f>
        <v/>
      </c>
      <c r="C183" s="113">
        <f>IF($D183="","",IFERROR(INDEX(MUSTERILER!$B$7:$B$106,MATCH($R183,MUSTERILER!$T$7:$T$106,0)),IFERROR(INDEX(MUSTERILER!$B$7:$B$106,MATCH($D183,MUSTERILER!$B$7:$B$106,0)),IFERROR(INDEX(MUSTERILER!$B$7:$B$106,MATCH($R183&amp;"*",MUSTERILER!$T$7:$T$106,0)),"TANIMSIZ MÜŞTERİ"))))</f>
        <v/>
      </c>
      <c r="D183" s="109" t="inlineStr">
        <is>
          <t>Monamour Ltd.Şti.</t>
        </is>
      </c>
      <c r="E183" s="220" t="n">
        <v>46109</v>
      </c>
      <c r="F183" s="221" t="n">
        <v>10500</v>
      </c>
      <c r="G183" s="108" t="inlineStr">
        <is>
          <t>MERKEZ KASA</t>
        </is>
      </c>
      <c r="H183" s="108" t="inlineStr">
        <is>
          <t>Nakit</t>
        </is>
      </c>
      <c r="I183" s="109" t="n"/>
      <c r="J183" s="109" t="inlineStr">
        <is>
          <t>NAKİT ÖDENEN</t>
        </is>
      </c>
      <c r="K183" s="109" t="n"/>
      <c r="L183" s="226">
        <f>IF($E183="","",DATE(YEAR($E183),MONTH($E183),1))</f>
        <v/>
      </c>
      <c r="M183" s="113">
        <f>IF($D183="","",IF($C183="TANIMSIZ MÜŞTERİ","HATA",IF(OR($E183="",$F183&lt;=0,$G183=""),"EKSİK",IF($E183&gt;TODAY(),"İLERİ TARİH",IF(COUNTIF($S$7:$S$1506,$S183)&gt;1,"MÜKERRER?",IF($T183&gt;0,"KAPALI DÖNEM","UYGUN"))))))</f>
        <v/>
      </c>
      <c r="N183" s="121">
        <f>IF($C183="","",IF($C183="TANIMSIZ MÜŞTERİ","—",INDEX(MUSTERILER!$C$7:$C$106,MATCH($C183,MUSTERILER!$B$7:$B$106,0))))</f>
        <v/>
      </c>
      <c r="O183" s="6" t="n"/>
      <c r="P183" s="6" t="n"/>
      <c r="Q183" s="3">
        <f>IF($D183="","",$C183&amp;"|"&amp;COUNTIFS($C$7:$C183,$C183))</f>
        <v/>
      </c>
      <c r="R183" s="3">
        <f>IF($D183="","",UPPER(SUBSTITUTE(SUBSTITUTE(SUBSTITUTE(SUBSTITUTE(SUBSTITUTE(SUBSTITUTE(SUBSTITUTE(SUBSTITUTE(SUBSTITUTE(SUBSTITUTE(SUBSTITUTE(SUBSTITUTE(SUBSTITUTE(SUBSTITUTE(SUBSTITUTE(SUBSTITUTE(SUBSTITUTE(SUBSTITUTE(TRIM($D183),"'",""),"İ","I"),"ı","I"),"i","I"),"Ş","S"),"ş","S"),"Ğ","G"),"ğ","G"),"Ü","U"),"ü","U"),"Ö","O"),"ö","O"),"Ç","C"),"ç","C"),".",""),",","")," ",""),"-","")))</f>
        <v/>
      </c>
      <c r="S183" s="3">
        <f>IF($D183="","",$C183&amp;"|"&amp;TEXT($E183,"0")&amp;"|"&amp;TEXT($F183,"0")&amp;"|"&amp;$I183)</f>
        <v/>
      </c>
      <c r="T183" s="3">
        <f>IF($E183="",0,SUMPRODUCT((AY_SONU!$O$7:$O$42="Evet")*(AY_SONU!$B$7:$B$42=DATE(YEAR($E183),MONTH($E183),1))))</f>
        <v/>
      </c>
    </row>
    <row r="184">
      <c r="A184" s="6" t="n"/>
      <c r="B184" s="113">
        <f>IF($D184="","","T"&amp;TEXT(ROW()-6,"00000"))</f>
        <v/>
      </c>
      <c r="C184" s="113">
        <f>IF($D184="","",IFERROR(INDEX(MUSTERILER!$B$7:$B$106,MATCH($R184,MUSTERILER!$T$7:$T$106,0)),IFERROR(INDEX(MUSTERILER!$B$7:$B$106,MATCH($D184,MUSTERILER!$B$7:$B$106,0)),IFERROR(INDEX(MUSTERILER!$B$7:$B$106,MATCH($R184&amp;"*",MUSTERILER!$T$7:$T$106,0)),"TANIMSIZ MÜŞTERİ"))))</f>
        <v/>
      </c>
      <c r="D184" s="109" t="inlineStr">
        <is>
          <t>Naz 1 Gıda Ltd.Şti.</t>
        </is>
      </c>
      <c r="E184" s="220" t="n">
        <v>46109</v>
      </c>
      <c r="F184" s="221" t="n">
        <v>2000</v>
      </c>
      <c r="G184" s="108" t="inlineStr">
        <is>
          <t>MERKEZ KASA</t>
        </is>
      </c>
      <c r="H184" s="108" t="inlineStr">
        <is>
          <t>Nakit</t>
        </is>
      </c>
      <c r="I184" s="109" t="n"/>
      <c r="J184" s="109" t="inlineStr">
        <is>
          <t>NAKİT ÖDENEN</t>
        </is>
      </c>
      <c r="K184" s="109" t="n"/>
      <c r="L184" s="226">
        <f>IF($E184="","",DATE(YEAR($E184),MONTH($E184),1))</f>
        <v/>
      </c>
      <c r="M184" s="113">
        <f>IF($D184="","",IF($C184="TANIMSIZ MÜŞTERİ","HATA",IF(OR($E184="",$F184&lt;=0,$G184=""),"EKSİK",IF($E184&gt;TODAY(),"İLERİ TARİH",IF(COUNTIF($S$7:$S$1506,$S184)&gt;1,"MÜKERRER?",IF($T184&gt;0,"KAPALI DÖNEM","UYGUN"))))))</f>
        <v/>
      </c>
      <c r="N184" s="121">
        <f>IF($C184="","",IF($C184="TANIMSIZ MÜŞTERİ","—",INDEX(MUSTERILER!$C$7:$C$106,MATCH($C184,MUSTERILER!$B$7:$B$106,0))))</f>
        <v/>
      </c>
      <c r="O184" s="6" t="n"/>
      <c r="P184" s="6" t="n"/>
      <c r="Q184" s="3">
        <f>IF($D184="","",$C184&amp;"|"&amp;COUNTIFS($C$7:$C184,$C184))</f>
        <v/>
      </c>
      <c r="R184" s="3">
        <f>IF($D184="","",UPPER(SUBSTITUTE(SUBSTITUTE(SUBSTITUTE(SUBSTITUTE(SUBSTITUTE(SUBSTITUTE(SUBSTITUTE(SUBSTITUTE(SUBSTITUTE(SUBSTITUTE(SUBSTITUTE(SUBSTITUTE(SUBSTITUTE(SUBSTITUTE(SUBSTITUTE(SUBSTITUTE(SUBSTITUTE(SUBSTITUTE(TRIM($D184),"'",""),"İ","I"),"ı","I"),"i","I"),"Ş","S"),"ş","S"),"Ğ","G"),"ğ","G"),"Ü","U"),"ü","U"),"Ö","O"),"ö","O"),"Ç","C"),"ç","C"),".",""),",","")," ",""),"-","")))</f>
        <v/>
      </c>
      <c r="S184" s="3">
        <f>IF($D184="","",$C184&amp;"|"&amp;TEXT($E184,"0")&amp;"|"&amp;TEXT($F184,"0")&amp;"|"&amp;$I184)</f>
        <v/>
      </c>
      <c r="T184" s="3">
        <f>IF($E184="",0,SUMPRODUCT((AY_SONU!$O$7:$O$42="Evet")*(AY_SONU!$B$7:$B$42=DATE(YEAR($E184),MONTH($E184),1))))</f>
        <v/>
      </c>
    </row>
    <row r="185">
      <c r="A185" s="6" t="n"/>
      <c r="B185" s="113">
        <f>IF($D185="","","T"&amp;TEXT(ROW()-6,"00000"))</f>
        <v/>
      </c>
      <c r="C185" s="113">
        <f>IF($D185="","",IFERROR(INDEX(MUSTERILER!$B$7:$B$106,MATCH($R185,MUSTERILER!$T$7:$T$106,0)),IFERROR(INDEX(MUSTERILER!$B$7:$B$106,MATCH($D185,MUSTERILER!$B$7:$B$106,0)),IFERROR(INDEX(MUSTERILER!$B$7:$B$106,MATCH($R185&amp;"*",MUSTERILER!$T$7:$T$106,0)),"TANIMSIZ MÜŞTERİ"))))</f>
        <v/>
      </c>
      <c r="D185" s="109" t="inlineStr">
        <is>
          <t>Rix Şow Ltd.Şti.</t>
        </is>
      </c>
      <c r="E185" s="220" t="n">
        <v>46109</v>
      </c>
      <c r="F185" s="221" t="n">
        <v>3000</v>
      </c>
      <c r="G185" s="108" t="inlineStr">
        <is>
          <t>MERKEZ KASA</t>
        </is>
      </c>
      <c r="H185" s="108" t="inlineStr">
        <is>
          <t>Nakit</t>
        </is>
      </c>
      <c r="I185" s="109" t="n"/>
      <c r="J185" s="109" t="inlineStr">
        <is>
          <t>NAKİT ÖDENEN</t>
        </is>
      </c>
      <c r="K185" s="109" t="n"/>
      <c r="L185" s="226">
        <f>IF($E185="","",DATE(YEAR($E185),MONTH($E185),1))</f>
        <v/>
      </c>
      <c r="M185" s="113">
        <f>IF($D185="","",IF($C185="TANIMSIZ MÜŞTERİ","HATA",IF(OR($E185="",$F185&lt;=0,$G185=""),"EKSİK",IF($E185&gt;TODAY(),"İLERİ TARİH",IF(COUNTIF($S$7:$S$1506,$S185)&gt;1,"MÜKERRER?",IF($T185&gt;0,"KAPALI DÖNEM","UYGUN"))))))</f>
        <v/>
      </c>
      <c r="N185" s="121">
        <f>IF($C185="","",IF($C185="TANIMSIZ MÜŞTERİ","—",INDEX(MUSTERILER!$C$7:$C$106,MATCH($C185,MUSTERILER!$B$7:$B$106,0))))</f>
        <v/>
      </c>
      <c r="O185" s="6" t="n"/>
      <c r="P185" s="6" t="n"/>
      <c r="Q185" s="3">
        <f>IF($D185="","",$C185&amp;"|"&amp;COUNTIFS($C$7:$C185,$C185))</f>
        <v/>
      </c>
      <c r="R185" s="3">
        <f>IF($D185="","",UPPER(SUBSTITUTE(SUBSTITUTE(SUBSTITUTE(SUBSTITUTE(SUBSTITUTE(SUBSTITUTE(SUBSTITUTE(SUBSTITUTE(SUBSTITUTE(SUBSTITUTE(SUBSTITUTE(SUBSTITUTE(SUBSTITUTE(SUBSTITUTE(SUBSTITUTE(SUBSTITUTE(SUBSTITUTE(SUBSTITUTE(TRIM($D185),"'",""),"İ","I"),"ı","I"),"i","I"),"Ş","S"),"ş","S"),"Ğ","G"),"ğ","G"),"Ü","U"),"ü","U"),"Ö","O"),"ö","O"),"Ç","C"),"ç","C"),".",""),",","")," ",""),"-","")))</f>
        <v/>
      </c>
      <c r="S185" s="3">
        <f>IF($D185="","",$C185&amp;"|"&amp;TEXT($E185,"0")&amp;"|"&amp;TEXT($F185,"0")&amp;"|"&amp;$I185)</f>
        <v/>
      </c>
      <c r="T185" s="3">
        <f>IF($E185="",0,SUMPRODUCT((AY_SONU!$O$7:$O$42="Evet")*(AY_SONU!$B$7:$B$42=DATE(YEAR($E185),MONTH($E185),1))))</f>
        <v/>
      </c>
    </row>
    <row r="186">
      <c r="A186" s="6" t="n"/>
      <c r="B186" s="113">
        <f>IF($D186="","","T"&amp;TEXT(ROW()-6,"00000"))</f>
        <v/>
      </c>
      <c r="C186" s="113">
        <f>IF($D186="","",IFERROR(INDEX(MUSTERILER!$B$7:$B$106,MATCH($R186,MUSTERILER!$T$7:$T$106,0)),IFERROR(INDEX(MUSTERILER!$B$7:$B$106,MATCH($D186,MUSTERILER!$B$7:$B$106,0)),IFERROR(INDEX(MUSTERILER!$B$7:$B$106,MATCH($R186&amp;"*",MUSTERILER!$T$7:$T$106,0)),"TANIMSIZ MÜŞTERİ"))))</f>
        <v/>
      </c>
      <c r="D186" s="109" t="inlineStr">
        <is>
          <t>Rix Şow Ltd.Şti.</t>
        </is>
      </c>
      <c r="E186" s="220" t="n">
        <v>46109</v>
      </c>
      <c r="F186" s="221" t="n">
        <v>3000</v>
      </c>
      <c r="G186" s="108" t="inlineStr">
        <is>
          <t>MERKEZ KASA</t>
        </is>
      </c>
      <c r="H186" s="108" t="inlineStr">
        <is>
          <t>Nakit</t>
        </is>
      </c>
      <c r="I186" s="109" t="n"/>
      <c r="J186" s="109" t="inlineStr">
        <is>
          <t>NAKİT ÖDENEN</t>
        </is>
      </c>
      <c r="K186" s="109" t="n"/>
      <c r="L186" s="226">
        <f>IF($E186="","",DATE(YEAR($E186),MONTH($E186),1))</f>
        <v/>
      </c>
      <c r="M186" s="113">
        <f>IF($D186="","",IF($C186="TANIMSIZ MÜŞTERİ","HATA",IF(OR($E186="",$F186&lt;=0,$G186=""),"EKSİK",IF($E186&gt;TODAY(),"İLERİ TARİH",IF(COUNTIF($S$7:$S$1506,$S186)&gt;1,"MÜKERRER?",IF($T186&gt;0,"KAPALI DÖNEM","UYGUN"))))))</f>
        <v/>
      </c>
      <c r="N186" s="121">
        <f>IF($C186="","",IF($C186="TANIMSIZ MÜŞTERİ","—",INDEX(MUSTERILER!$C$7:$C$106,MATCH($C186,MUSTERILER!$B$7:$B$106,0))))</f>
        <v/>
      </c>
      <c r="O186" s="6" t="n"/>
      <c r="P186" s="6" t="n"/>
      <c r="Q186" s="3">
        <f>IF($D186="","",$C186&amp;"|"&amp;COUNTIFS($C$7:$C186,$C186))</f>
        <v/>
      </c>
      <c r="R186" s="3">
        <f>IF($D186="","",UPPER(SUBSTITUTE(SUBSTITUTE(SUBSTITUTE(SUBSTITUTE(SUBSTITUTE(SUBSTITUTE(SUBSTITUTE(SUBSTITUTE(SUBSTITUTE(SUBSTITUTE(SUBSTITUTE(SUBSTITUTE(SUBSTITUTE(SUBSTITUTE(SUBSTITUTE(SUBSTITUTE(SUBSTITUTE(SUBSTITUTE(TRIM($D186),"'",""),"İ","I"),"ı","I"),"i","I"),"Ş","S"),"ş","S"),"Ğ","G"),"ğ","G"),"Ü","U"),"ü","U"),"Ö","O"),"ö","O"),"Ç","C"),"ç","C"),".",""),",","")," ",""),"-","")))</f>
        <v/>
      </c>
      <c r="S186" s="3">
        <f>IF($D186="","",$C186&amp;"|"&amp;TEXT($E186,"0")&amp;"|"&amp;TEXT($F186,"0")&amp;"|"&amp;$I186)</f>
        <v/>
      </c>
      <c r="T186" s="3">
        <f>IF($E186="",0,SUMPRODUCT((AY_SONU!$O$7:$O$42="Evet")*(AY_SONU!$B$7:$B$42=DATE(YEAR($E186),MONTH($E186),1))))</f>
        <v/>
      </c>
    </row>
    <row r="187">
      <c r="A187" s="6" t="n"/>
      <c r="B187" s="113">
        <f>IF($D187="","","T"&amp;TEXT(ROW()-6,"00000"))</f>
        <v/>
      </c>
      <c r="C187" s="113">
        <f>IF($D187="","",IFERROR(INDEX(MUSTERILER!$B$7:$B$106,MATCH($R187,MUSTERILER!$T$7:$T$106,0)),IFERROR(INDEX(MUSTERILER!$B$7:$B$106,MATCH($D187,MUSTERILER!$B$7:$B$106,0)),IFERROR(INDEX(MUSTERILER!$B$7:$B$106,MATCH($R187&amp;"*",MUSTERILER!$T$7:$T$106,0)),"TANIMSIZ MÜŞTERİ"))))</f>
        <v/>
      </c>
      <c r="D187" s="109" t="inlineStr">
        <is>
          <t>Zümrüt Eğlence Ltd.Şti.</t>
        </is>
      </c>
      <c r="E187" s="220" t="n">
        <v>46109</v>
      </c>
      <c r="F187" s="221" t="n">
        <v>3000</v>
      </c>
      <c r="G187" s="108" t="inlineStr">
        <is>
          <t>MERKEZ KASA</t>
        </is>
      </c>
      <c r="H187" s="108" t="inlineStr">
        <is>
          <t>Nakit</t>
        </is>
      </c>
      <c r="I187" s="109" t="n"/>
      <c r="J187" s="109" t="inlineStr">
        <is>
          <t>NAKİT ÖDENEN</t>
        </is>
      </c>
      <c r="K187" s="109" t="n"/>
      <c r="L187" s="226">
        <f>IF($E187="","",DATE(YEAR($E187),MONTH($E187),1))</f>
        <v/>
      </c>
      <c r="M187" s="113">
        <f>IF($D187="","",IF($C187="TANIMSIZ MÜŞTERİ","HATA",IF(OR($E187="",$F187&lt;=0,$G187=""),"EKSİK",IF($E187&gt;TODAY(),"İLERİ TARİH",IF(COUNTIF($S$7:$S$1506,$S187)&gt;1,"MÜKERRER?",IF($T187&gt;0,"KAPALI DÖNEM","UYGUN"))))))</f>
        <v/>
      </c>
      <c r="N187" s="121">
        <f>IF($C187="","",IF($C187="TANIMSIZ MÜŞTERİ","—",INDEX(MUSTERILER!$C$7:$C$106,MATCH($C187,MUSTERILER!$B$7:$B$106,0))))</f>
        <v/>
      </c>
      <c r="O187" s="6" t="n"/>
      <c r="P187" s="6" t="n"/>
      <c r="Q187" s="3">
        <f>IF($D187="","",$C187&amp;"|"&amp;COUNTIFS($C$7:$C187,$C187))</f>
        <v/>
      </c>
      <c r="R187" s="3">
        <f>IF($D187="","",UPPER(SUBSTITUTE(SUBSTITUTE(SUBSTITUTE(SUBSTITUTE(SUBSTITUTE(SUBSTITUTE(SUBSTITUTE(SUBSTITUTE(SUBSTITUTE(SUBSTITUTE(SUBSTITUTE(SUBSTITUTE(SUBSTITUTE(SUBSTITUTE(SUBSTITUTE(SUBSTITUTE(SUBSTITUTE(SUBSTITUTE(TRIM($D187),"'",""),"İ","I"),"ı","I"),"i","I"),"Ş","S"),"ş","S"),"Ğ","G"),"ğ","G"),"Ü","U"),"ü","U"),"Ö","O"),"ö","O"),"Ç","C"),"ç","C"),".",""),",","")," ",""),"-","")))</f>
        <v/>
      </c>
      <c r="S187" s="3">
        <f>IF($D187="","",$C187&amp;"|"&amp;TEXT($E187,"0")&amp;"|"&amp;TEXT($F187,"0")&amp;"|"&amp;$I187)</f>
        <v/>
      </c>
      <c r="T187" s="3">
        <f>IF($E187="",0,SUMPRODUCT((AY_SONU!$O$7:$O$42="Evet")*(AY_SONU!$B$7:$B$42=DATE(YEAR($E187),MONTH($E187),1))))</f>
        <v/>
      </c>
    </row>
    <row r="188">
      <c r="A188" s="6" t="n"/>
      <c r="B188" s="113">
        <f>IF($D188="","","T"&amp;TEXT(ROW()-6,"00000"))</f>
        <v/>
      </c>
      <c r="C188" s="113">
        <f>IF($D188="","",IFERROR(INDEX(MUSTERILER!$B$7:$B$106,MATCH($R188,MUSTERILER!$T$7:$T$106,0)),IFERROR(INDEX(MUSTERILER!$B$7:$B$106,MATCH($D188,MUSTERILER!$B$7:$B$106,0)),IFERROR(INDEX(MUSTERILER!$B$7:$B$106,MATCH($R188&amp;"*",MUSTERILER!$T$7:$T$106,0)),"TANIMSIZ MÜŞTERİ"))))</f>
        <v/>
      </c>
      <c r="D188" s="109" t="inlineStr">
        <is>
          <t>Zümrüt Eğlence Ltd.Şti.</t>
        </is>
      </c>
      <c r="E188" s="220" t="n">
        <v>46109</v>
      </c>
      <c r="F188" s="221" t="n">
        <v>5500</v>
      </c>
      <c r="G188" s="108" t="inlineStr">
        <is>
          <t>ÖMER KARTAL</t>
        </is>
      </c>
      <c r="H188" s="108" t="inlineStr">
        <is>
          <t>Nakit</t>
        </is>
      </c>
      <c r="I188" s="109" t="n"/>
      <c r="J188" s="109" t="inlineStr">
        <is>
          <t>ÖMER KARTALA ÖDENEN</t>
        </is>
      </c>
      <c r="K188" s="109" t="n"/>
      <c r="L188" s="226">
        <f>IF($E188="","",DATE(YEAR($E188),MONTH($E188),1))</f>
        <v/>
      </c>
      <c r="M188" s="113">
        <f>IF($D188="","",IF($C188="TANIMSIZ MÜŞTERİ","HATA",IF(OR($E188="",$F188&lt;=0,$G188=""),"EKSİK",IF($E188&gt;TODAY(),"İLERİ TARİH",IF(COUNTIF($S$7:$S$1506,$S188)&gt;1,"MÜKERRER?",IF($T188&gt;0,"KAPALI DÖNEM","UYGUN"))))))</f>
        <v/>
      </c>
      <c r="N188" s="121">
        <f>IF($C188="","",IF($C188="TANIMSIZ MÜŞTERİ","—",INDEX(MUSTERILER!$C$7:$C$106,MATCH($C188,MUSTERILER!$B$7:$B$106,0))))</f>
        <v/>
      </c>
      <c r="O188" s="6" t="n"/>
      <c r="P188" s="6" t="n"/>
      <c r="Q188" s="3">
        <f>IF($D188="","",$C188&amp;"|"&amp;COUNTIFS($C$7:$C188,$C188))</f>
        <v/>
      </c>
      <c r="R188" s="3">
        <f>IF($D188="","",UPPER(SUBSTITUTE(SUBSTITUTE(SUBSTITUTE(SUBSTITUTE(SUBSTITUTE(SUBSTITUTE(SUBSTITUTE(SUBSTITUTE(SUBSTITUTE(SUBSTITUTE(SUBSTITUTE(SUBSTITUTE(SUBSTITUTE(SUBSTITUTE(SUBSTITUTE(SUBSTITUTE(SUBSTITUTE(SUBSTITUTE(TRIM($D188),"'",""),"İ","I"),"ı","I"),"i","I"),"Ş","S"),"ş","S"),"Ğ","G"),"ğ","G"),"Ü","U"),"ü","U"),"Ö","O"),"ö","O"),"Ç","C"),"ç","C"),".",""),",","")," ",""),"-","")))</f>
        <v/>
      </c>
      <c r="S188" s="3">
        <f>IF($D188="","",$C188&amp;"|"&amp;TEXT($E188,"0")&amp;"|"&amp;TEXT($F188,"0")&amp;"|"&amp;$I188)</f>
        <v/>
      </c>
      <c r="T188" s="3">
        <f>IF($E188="",0,SUMPRODUCT((AY_SONU!$O$7:$O$42="Evet")*(AY_SONU!$B$7:$B$42=DATE(YEAR($E188),MONTH($E188),1))))</f>
        <v/>
      </c>
    </row>
    <row r="189">
      <c r="A189" s="6" t="n"/>
      <c r="B189" s="113">
        <f>IF($D189="","","T"&amp;TEXT(ROW()-6,"00000"))</f>
        <v/>
      </c>
      <c r="C189" s="113">
        <f>IF($D189="","",IFERROR(INDEX(MUSTERILER!$B$7:$B$106,MATCH($R189,MUSTERILER!$T$7:$T$106,0)),IFERROR(INDEX(MUSTERILER!$B$7:$B$106,MATCH($D189,MUSTERILER!$B$7:$B$106,0)),IFERROR(INDEX(MUSTERILER!$B$7:$B$106,MATCH($R189&amp;"*",MUSTERILER!$T$7:$T$106,0)),"TANIMSIZ MÜŞTERİ"))))</f>
        <v/>
      </c>
      <c r="D189" s="109" t="inlineStr">
        <is>
          <t>ÇINARHAN LTD.ŞTİ.</t>
        </is>
      </c>
      <c r="E189" s="220" t="n">
        <v>46109</v>
      </c>
      <c r="F189" s="221" t="n">
        <v>2500</v>
      </c>
      <c r="G189" s="108" t="inlineStr">
        <is>
          <t>MERKEZ KASA</t>
        </is>
      </c>
      <c r="H189" s="108" t="inlineStr">
        <is>
          <t>Nakit</t>
        </is>
      </c>
      <c r="I189" s="109" t="n"/>
      <c r="J189" s="109" t="inlineStr">
        <is>
          <t>NAKİT ÖDENEN</t>
        </is>
      </c>
      <c r="K189" s="109" t="n"/>
      <c r="L189" s="226">
        <f>IF($E189="","",DATE(YEAR($E189),MONTH($E189),1))</f>
        <v/>
      </c>
      <c r="M189" s="113">
        <f>IF($D189="","",IF($C189="TANIMSIZ MÜŞTERİ","HATA",IF(OR($E189="",$F189&lt;=0,$G189=""),"EKSİK",IF($E189&gt;TODAY(),"İLERİ TARİH",IF(COUNTIF($S$7:$S$1506,$S189)&gt;1,"MÜKERRER?",IF($T189&gt;0,"KAPALI DÖNEM","UYGUN"))))))</f>
        <v/>
      </c>
      <c r="N189" s="121">
        <f>IF($C189="","",IF($C189="TANIMSIZ MÜŞTERİ","—",INDEX(MUSTERILER!$C$7:$C$106,MATCH($C189,MUSTERILER!$B$7:$B$106,0))))</f>
        <v/>
      </c>
      <c r="O189" s="6" t="n"/>
      <c r="P189" s="6" t="n"/>
      <c r="Q189" s="3">
        <f>IF($D189="","",$C189&amp;"|"&amp;COUNTIFS($C$7:$C189,$C189))</f>
        <v/>
      </c>
      <c r="R189" s="3">
        <f>IF($D189="","",UPPER(SUBSTITUTE(SUBSTITUTE(SUBSTITUTE(SUBSTITUTE(SUBSTITUTE(SUBSTITUTE(SUBSTITUTE(SUBSTITUTE(SUBSTITUTE(SUBSTITUTE(SUBSTITUTE(SUBSTITUTE(SUBSTITUTE(SUBSTITUTE(SUBSTITUTE(SUBSTITUTE(SUBSTITUTE(SUBSTITUTE(TRIM($D189),"'",""),"İ","I"),"ı","I"),"i","I"),"Ş","S"),"ş","S"),"Ğ","G"),"ğ","G"),"Ü","U"),"ü","U"),"Ö","O"),"ö","O"),"Ç","C"),"ç","C"),".",""),",","")," ",""),"-","")))</f>
        <v/>
      </c>
      <c r="S189" s="3">
        <f>IF($D189="","",$C189&amp;"|"&amp;TEXT($E189,"0")&amp;"|"&amp;TEXT($F189,"0")&amp;"|"&amp;$I189)</f>
        <v/>
      </c>
      <c r="T189" s="3">
        <f>IF($E189="",0,SUMPRODUCT((AY_SONU!$O$7:$O$42="Evet")*(AY_SONU!$B$7:$B$42=DATE(YEAR($E189),MONTH($E189),1))))</f>
        <v/>
      </c>
    </row>
    <row r="190">
      <c r="A190" s="6" t="n"/>
      <c r="B190" s="113">
        <f>IF($D190="","","T"&amp;TEXT(ROW()-6,"00000"))</f>
        <v/>
      </c>
      <c r="C190" s="113">
        <f>IF($D190="","",IFERROR(INDEX(MUSTERILER!$B$7:$B$106,MATCH($R190,MUSTERILER!$T$7:$T$106,0)),IFERROR(INDEX(MUSTERILER!$B$7:$B$106,MATCH($D190,MUSTERILER!$B$7:$B$106,0)),IFERROR(INDEX(MUSTERILER!$B$7:$B$106,MATCH($R190&amp;"*",MUSTERILER!$T$7:$T$106,0)),"TANIMSIZ MÜŞTERİ"))))</f>
        <v/>
      </c>
      <c r="D190" s="109" t="inlineStr">
        <is>
          <t>İSA DEMİRCİ</t>
        </is>
      </c>
      <c r="E190" s="220" t="n">
        <v>46109</v>
      </c>
      <c r="F190" s="221" t="n">
        <v>3500</v>
      </c>
      <c r="G190" s="108" t="inlineStr">
        <is>
          <t>MERKEZ KASA</t>
        </is>
      </c>
      <c r="H190" s="108" t="inlineStr">
        <is>
          <t>Nakit</t>
        </is>
      </c>
      <c r="I190" s="109" t="n"/>
      <c r="J190" s="109" t="inlineStr">
        <is>
          <t>NAKİT ÖDENEN</t>
        </is>
      </c>
      <c r="K190" s="109" t="n"/>
      <c r="L190" s="226">
        <f>IF($E190="","",DATE(YEAR($E190),MONTH($E190),1))</f>
        <v/>
      </c>
      <c r="M190" s="113">
        <f>IF($D190="","",IF($C190="TANIMSIZ MÜŞTERİ","HATA",IF(OR($E190="",$F190&lt;=0,$G190=""),"EKSİK",IF($E190&gt;TODAY(),"İLERİ TARİH",IF(COUNTIF($S$7:$S$1506,$S190)&gt;1,"MÜKERRER?",IF($T190&gt;0,"KAPALI DÖNEM","UYGUN"))))))</f>
        <v/>
      </c>
      <c r="N190" s="121">
        <f>IF($C190="","",IF($C190="TANIMSIZ MÜŞTERİ","—",INDEX(MUSTERILER!$C$7:$C$106,MATCH($C190,MUSTERILER!$B$7:$B$106,0))))</f>
        <v/>
      </c>
      <c r="O190" s="6" t="n"/>
      <c r="P190" s="6" t="n"/>
      <c r="Q190" s="3">
        <f>IF($D190="","",$C190&amp;"|"&amp;COUNTIFS($C$7:$C190,$C190))</f>
        <v/>
      </c>
      <c r="R190" s="3">
        <f>IF($D190="","",UPPER(SUBSTITUTE(SUBSTITUTE(SUBSTITUTE(SUBSTITUTE(SUBSTITUTE(SUBSTITUTE(SUBSTITUTE(SUBSTITUTE(SUBSTITUTE(SUBSTITUTE(SUBSTITUTE(SUBSTITUTE(SUBSTITUTE(SUBSTITUTE(SUBSTITUTE(SUBSTITUTE(SUBSTITUTE(SUBSTITUTE(TRIM($D190),"'",""),"İ","I"),"ı","I"),"i","I"),"Ş","S"),"ş","S"),"Ğ","G"),"ğ","G"),"Ü","U"),"ü","U"),"Ö","O"),"ö","O"),"Ç","C"),"ç","C"),".",""),",","")," ",""),"-","")))</f>
        <v/>
      </c>
      <c r="S190" s="3">
        <f>IF($D190="","",$C190&amp;"|"&amp;TEXT($E190,"0")&amp;"|"&amp;TEXT($F190,"0")&amp;"|"&amp;$I190)</f>
        <v/>
      </c>
      <c r="T190" s="3">
        <f>IF($E190="",0,SUMPRODUCT((AY_SONU!$O$7:$O$42="Evet")*(AY_SONU!$B$7:$B$42=DATE(YEAR($E190),MONTH($E190),1))))</f>
        <v/>
      </c>
    </row>
    <row r="191">
      <c r="A191" s="6" t="n"/>
      <c r="B191" s="113">
        <f>IF($D191="","","T"&amp;TEXT(ROW()-6,"00000"))</f>
        <v/>
      </c>
      <c r="C191" s="113">
        <f>IF($D191="","",IFERROR(INDEX(MUSTERILER!$B$7:$B$106,MATCH($R191,MUSTERILER!$T$7:$T$106,0)),IFERROR(INDEX(MUSTERILER!$B$7:$B$106,MATCH($D191,MUSTERILER!$B$7:$B$106,0)),IFERROR(INDEX(MUSTERILER!$B$7:$B$106,MATCH($R191&amp;"*",MUSTERILER!$T$7:$T$106,0)),"TANIMSIZ MÜŞTERİ"))))</f>
        <v/>
      </c>
      <c r="D191" s="109" t="inlineStr">
        <is>
          <t>KRİSTAL LTD.ŞTİ.</t>
        </is>
      </c>
      <c r="E191" s="220" t="n">
        <v>46109</v>
      </c>
      <c r="F191" s="221" t="n">
        <v>3000</v>
      </c>
      <c r="G191" s="108" t="inlineStr">
        <is>
          <t>MERKEZ KASA</t>
        </is>
      </c>
      <c r="H191" s="108" t="inlineStr">
        <is>
          <t>Nakit</t>
        </is>
      </c>
      <c r="I191" s="109" t="n"/>
      <c r="J191" s="109" t="inlineStr">
        <is>
          <t>NAKİT ÖDENEN</t>
        </is>
      </c>
      <c r="K191" s="109" t="n"/>
      <c r="L191" s="226">
        <f>IF($E191="","",DATE(YEAR($E191),MONTH($E191),1))</f>
        <v/>
      </c>
      <c r="M191" s="113">
        <f>IF($D191="","",IF($C191="TANIMSIZ MÜŞTERİ","HATA",IF(OR($E191="",$F191&lt;=0,$G191=""),"EKSİK",IF($E191&gt;TODAY(),"İLERİ TARİH",IF(COUNTIF($S$7:$S$1506,$S191)&gt;1,"MÜKERRER?",IF($T191&gt;0,"KAPALI DÖNEM","UYGUN"))))))</f>
        <v/>
      </c>
      <c r="N191" s="121">
        <f>IF($C191="","",IF($C191="TANIMSIZ MÜŞTERİ","—",INDEX(MUSTERILER!$C$7:$C$106,MATCH($C191,MUSTERILER!$B$7:$B$106,0))))</f>
        <v/>
      </c>
      <c r="O191" s="6" t="n"/>
      <c r="P191" s="6" t="n"/>
      <c r="Q191" s="3">
        <f>IF($D191="","",$C191&amp;"|"&amp;COUNTIFS($C$7:$C191,$C191))</f>
        <v/>
      </c>
      <c r="R191" s="3">
        <f>IF($D191="","",UPPER(SUBSTITUTE(SUBSTITUTE(SUBSTITUTE(SUBSTITUTE(SUBSTITUTE(SUBSTITUTE(SUBSTITUTE(SUBSTITUTE(SUBSTITUTE(SUBSTITUTE(SUBSTITUTE(SUBSTITUTE(SUBSTITUTE(SUBSTITUTE(SUBSTITUTE(SUBSTITUTE(SUBSTITUTE(SUBSTITUTE(TRIM($D191),"'",""),"İ","I"),"ı","I"),"i","I"),"Ş","S"),"ş","S"),"Ğ","G"),"ğ","G"),"Ü","U"),"ü","U"),"Ö","O"),"ö","O"),"Ç","C"),"ç","C"),".",""),",","")," ",""),"-","")))</f>
        <v/>
      </c>
      <c r="S191" s="3">
        <f>IF($D191="","",$C191&amp;"|"&amp;TEXT($E191,"0")&amp;"|"&amp;TEXT($F191,"0")&amp;"|"&amp;$I191)</f>
        <v/>
      </c>
      <c r="T191" s="3">
        <f>IF($E191="",0,SUMPRODUCT((AY_SONU!$O$7:$O$42="Evet")*(AY_SONU!$B$7:$B$42=DATE(YEAR($E191),MONTH($E191),1))))</f>
        <v/>
      </c>
    </row>
    <row r="192">
      <c r="A192" s="6" t="n"/>
      <c r="B192" s="113">
        <f>IF($D192="","","T"&amp;TEXT(ROW()-6,"00000"))</f>
        <v/>
      </c>
      <c r="C192" s="113">
        <f>IF($D192="","",IFERROR(INDEX(MUSTERILER!$B$7:$B$106,MATCH($R192,MUSTERILER!$T$7:$T$106,0)),IFERROR(INDEX(MUSTERILER!$B$7:$B$106,MATCH($D192,MUSTERILER!$B$7:$B$106,0)),IFERROR(INDEX(MUSTERILER!$B$7:$B$106,MATCH($R192&amp;"*",MUSTERILER!$T$7:$T$106,0)),"TANIMSIZ MÜŞTERİ"))))</f>
        <v/>
      </c>
      <c r="D192" s="109" t="inlineStr">
        <is>
          <t>PALAOĞULLARI LTD.ŞTİ.</t>
        </is>
      </c>
      <c r="E192" s="220" t="n">
        <v>46109</v>
      </c>
      <c r="F192" s="221" t="n">
        <v>4000</v>
      </c>
      <c r="G192" s="108" t="inlineStr">
        <is>
          <t>MERKEZ KASA</t>
        </is>
      </c>
      <c r="H192" s="108" t="inlineStr">
        <is>
          <t>Nakit</t>
        </is>
      </c>
      <c r="I192" s="109" t="n"/>
      <c r="J192" s="109" t="inlineStr">
        <is>
          <t>NAKİT ÖDENEN</t>
        </is>
      </c>
      <c r="K192" s="109" t="n"/>
      <c r="L192" s="226">
        <f>IF($E192="","",DATE(YEAR($E192),MONTH($E192),1))</f>
        <v/>
      </c>
      <c r="M192" s="113">
        <f>IF($D192="","",IF($C192="TANIMSIZ MÜŞTERİ","HATA",IF(OR($E192="",$F192&lt;=0,$G192=""),"EKSİK",IF($E192&gt;TODAY(),"İLERİ TARİH",IF(COUNTIF($S$7:$S$1506,$S192)&gt;1,"MÜKERRER?",IF($T192&gt;0,"KAPALI DÖNEM","UYGUN"))))))</f>
        <v/>
      </c>
      <c r="N192" s="121">
        <f>IF($C192="","",IF($C192="TANIMSIZ MÜŞTERİ","—",INDEX(MUSTERILER!$C$7:$C$106,MATCH($C192,MUSTERILER!$B$7:$B$106,0))))</f>
        <v/>
      </c>
      <c r="O192" s="6" t="n"/>
      <c r="P192" s="6" t="n"/>
      <c r="Q192" s="3">
        <f>IF($D192="","",$C192&amp;"|"&amp;COUNTIFS($C$7:$C192,$C192))</f>
        <v/>
      </c>
      <c r="R192" s="3">
        <f>IF($D192="","",UPPER(SUBSTITUTE(SUBSTITUTE(SUBSTITUTE(SUBSTITUTE(SUBSTITUTE(SUBSTITUTE(SUBSTITUTE(SUBSTITUTE(SUBSTITUTE(SUBSTITUTE(SUBSTITUTE(SUBSTITUTE(SUBSTITUTE(SUBSTITUTE(SUBSTITUTE(SUBSTITUTE(SUBSTITUTE(SUBSTITUTE(TRIM($D192),"'",""),"İ","I"),"ı","I"),"i","I"),"Ş","S"),"ş","S"),"Ğ","G"),"ğ","G"),"Ü","U"),"ü","U"),"Ö","O"),"ö","O"),"Ç","C"),"ç","C"),".",""),",","")," ",""),"-","")))</f>
        <v/>
      </c>
      <c r="S192" s="3">
        <f>IF($D192="","",$C192&amp;"|"&amp;TEXT($E192,"0")&amp;"|"&amp;TEXT($F192,"0")&amp;"|"&amp;$I192)</f>
        <v/>
      </c>
      <c r="T192" s="3">
        <f>IF($E192="",0,SUMPRODUCT((AY_SONU!$O$7:$O$42="Evet")*(AY_SONU!$B$7:$B$42=DATE(YEAR($E192),MONTH($E192),1))))</f>
        <v/>
      </c>
    </row>
    <row r="193">
      <c r="A193" s="6" t="n"/>
      <c r="B193" s="113">
        <f>IF($D193="","","T"&amp;TEXT(ROW()-6,"00000"))</f>
        <v/>
      </c>
      <c r="C193" s="113">
        <f>IF($D193="","",IFERROR(INDEX(MUSTERILER!$B$7:$B$106,MATCH($R193,MUSTERILER!$T$7:$T$106,0)),IFERROR(INDEX(MUSTERILER!$B$7:$B$106,MATCH($D193,MUSTERILER!$B$7:$B$106,0)),IFERROR(INDEX(MUSTERILER!$B$7:$B$106,MATCH($R193&amp;"*",MUSTERILER!$T$7:$T$106,0)),"TANIMSIZ MÜŞTERİ"))))</f>
        <v/>
      </c>
      <c r="D193" s="109" t="inlineStr">
        <is>
          <t>MEHMET EVREN KILINÇ</t>
        </is>
      </c>
      <c r="E193" s="220" t="n">
        <v>46111</v>
      </c>
      <c r="F193" s="221" t="n">
        <v>2000</v>
      </c>
      <c r="G193" s="108" t="inlineStr">
        <is>
          <t>MERKEZ KASA</t>
        </is>
      </c>
      <c r="H193" s="108" t="inlineStr">
        <is>
          <t>Nakit</t>
        </is>
      </c>
      <c r="I193" s="109" t="n"/>
      <c r="J193" s="109" t="inlineStr">
        <is>
          <t>NAKİT ÖDENEN</t>
        </is>
      </c>
      <c r="K193" s="109" t="n"/>
      <c r="L193" s="226">
        <f>IF($E193="","",DATE(YEAR($E193),MONTH($E193),1))</f>
        <v/>
      </c>
      <c r="M193" s="113">
        <f>IF($D193="","",IF($C193="TANIMSIZ MÜŞTERİ","HATA",IF(OR($E193="",$F193&lt;=0,$G193=""),"EKSİK",IF($E193&gt;TODAY(),"İLERİ TARİH",IF(COUNTIF($S$7:$S$1506,$S193)&gt;1,"MÜKERRER?",IF($T193&gt;0,"KAPALI DÖNEM","UYGUN"))))))</f>
        <v/>
      </c>
      <c r="N193" s="121">
        <f>IF($C193="","",IF($C193="TANIMSIZ MÜŞTERİ","—",INDEX(MUSTERILER!$C$7:$C$106,MATCH($C193,MUSTERILER!$B$7:$B$106,0))))</f>
        <v/>
      </c>
      <c r="O193" s="6" t="n"/>
      <c r="P193" s="6" t="n"/>
      <c r="Q193" s="3">
        <f>IF($D193="","",$C193&amp;"|"&amp;COUNTIFS($C$7:$C193,$C193))</f>
        <v/>
      </c>
      <c r="R193" s="3">
        <f>IF($D193="","",UPPER(SUBSTITUTE(SUBSTITUTE(SUBSTITUTE(SUBSTITUTE(SUBSTITUTE(SUBSTITUTE(SUBSTITUTE(SUBSTITUTE(SUBSTITUTE(SUBSTITUTE(SUBSTITUTE(SUBSTITUTE(SUBSTITUTE(SUBSTITUTE(SUBSTITUTE(SUBSTITUTE(SUBSTITUTE(SUBSTITUTE(TRIM($D193),"'",""),"İ","I"),"ı","I"),"i","I"),"Ş","S"),"ş","S"),"Ğ","G"),"ğ","G"),"Ü","U"),"ü","U"),"Ö","O"),"ö","O"),"Ç","C"),"ç","C"),".",""),",","")," ",""),"-","")))</f>
        <v/>
      </c>
      <c r="S193" s="3">
        <f>IF($D193="","",$C193&amp;"|"&amp;TEXT($E193,"0")&amp;"|"&amp;TEXT($F193,"0")&amp;"|"&amp;$I193)</f>
        <v/>
      </c>
      <c r="T193" s="3">
        <f>IF($E193="",0,SUMPRODUCT((AY_SONU!$O$7:$O$42="Evet")*(AY_SONU!$B$7:$B$42=DATE(YEAR($E193),MONTH($E193),1))))</f>
        <v/>
      </c>
    </row>
    <row r="194">
      <c r="A194" s="6" t="n"/>
      <c r="B194" s="113">
        <f>IF($D194="","","T"&amp;TEXT(ROW()-6,"00000"))</f>
        <v/>
      </c>
      <c r="C194" s="113">
        <f>IF($D194="","",IFERROR(INDEX(MUSTERILER!$B$7:$B$106,MATCH($R194,MUSTERILER!$T$7:$T$106,0)),IFERROR(INDEX(MUSTERILER!$B$7:$B$106,MATCH($D194,MUSTERILER!$B$7:$B$106,0)),IFERROR(INDEX(MUSTERILER!$B$7:$B$106,MATCH($R194&amp;"*",MUSTERILER!$T$7:$T$106,0)),"TANIMSIZ MÜŞTERİ"))))</f>
        <v/>
      </c>
      <c r="D194" s="109" t="inlineStr">
        <is>
          <t>ALTINEL LTD.ŞTİ.</t>
        </is>
      </c>
      <c r="E194" s="220" t="n">
        <v>46112</v>
      </c>
      <c r="F194" s="221" t="n">
        <v>12000</v>
      </c>
      <c r="G194" s="108" t="inlineStr">
        <is>
          <t>ÖMER KARTAL</t>
        </is>
      </c>
      <c r="H194" s="108" t="inlineStr">
        <is>
          <t>Nakit</t>
        </is>
      </c>
      <c r="I194" s="109" t="n"/>
      <c r="J194" s="109" t="inlineStr">
        <is>
          <t xml:space="preserve">ALTINEL LTD.ŞTİ. </t>
        </is>
      </c>
      <c r="K194" s="109" t="n"/>
      <c r="L194" s="226">
        <f>IF($E194="","",DATE(YEAR($E194),MONTH($E194),1))</f>
        <v/>
      </c>
      <c r="M194" s="113">
        <f>IF($D194="","",IF($C194="TANIMSIZ MÜŞTERİ","HATA",IF(OR($E194="",$F194&lt;=0,$G194=""),"EKSİK",IF($E194&gt;TODAY(),"İLERİ TARİH",IF(COUNTIF($S$7:$S$1506,$S194)&gt;1,"MÜKERRER?",IF($T194&gt;0,"KAPALI DÖNEM","UYGUN"))))))</f>
        <v/>
      </c>
      <c r="N194" s="121">
        <f>IF($C194="","",IF($C194="TANIMSIZ MÜŞTERİ","—",INDEX(MUSTERILER!$C$7:$C$106,MATCH($C194,MUSTERILER!$B$7:$B$106,0))))</f>
        <v/>
      </c>
      <c r="O194" s="6" t="n"/>
      <c r="P194" s="6" t="n"/>
      <c r="Q194" s="3">
        <f>IF($D194="","",$C194&amp;"|"&amp;COUNTIFS($C$7:$C194,$C194))</f>
        <v/>
      </c>
      <c r="R194" s="3">
        <f>IF($D194="","",UPPER(SUBSTITUTE(SUBSTITUTE(SUBSTITUTE(SUBSTITUTE(SUBSTITUTE(SUBSTITUTE(SUBSTITUTE(SUBSTITUTE(SUBSTITUTE(SUBSTITUTE(SUBSTITUTE(SUBSTITUTE(SUBSTITUTE(SUBSTITUTE(SUBSTITUTE(SUBSTITUTE(SUBSTITUTE(SUBSTITUTE(TRIM($D194),"'",""),"İ","I"),"ı","I"),"i","I"),"Ş","S"),"ş","S"),"Ğ","G"),"ğ","G"),"Ü","U"),"ü","U"),"Ö","O"),"ö","O"),"Ç","C"),"ç","C"),".",""),",","")," ",""),"-","")))</f>
        <v/>
      </c>
      <c r="S194" s="3">
        <f>IF($D194="","",$C194&amp;"|"&amp;TEXT($E194,"0")&amp;"|"&amp;TEXT($F194,"0")&amp;"|"&amp;$I194)</f>
        <v/>
      </c>
      <c r="T194" s="3">
        <f>IF($E194="",0,SUMPRODUCT((AY_SONU!$O$7:$O$42="Evet")*(AY_SONU!$B$7:$B$42=DATE(YEAR($E194),MONTH($E194),1))))</f>
        <v/>
      </c>
    </row>
    <row r="195">
      <c r="A195" s="6" t="n"/>
      <c r="B195" s="113">
        <f>IF($D195="","","T"&amp;TEXT(ROW()-6,"00000"))</f>
        <v/>
      </c>
      <c r="C195" s="113">
        <f>IF($D195="","",IFERROR(INDEX(MUSTERILER!$B$7:$B$106,MATCH($R195,MUSTERILER!$T$7:$T$106,0)),IFERROR(INDEX(MUSTERILER!$B$7:$B$106,MATCH($D195,MUSTERILER!$B$7:$B$106,0)),IFERROR(INDEX(MUSTERILER!$B$7:$B$106,MATCH($R195&amp;"*",MUSTERILER!$T$7:$T$106,0)),"TANIMSIZ MÜŞTERİ"))))</f>
        <v/>
      </c>
      <c r="D195" s="109" t="inlineStr">
        <is>
          <t>Monamour Ltd.Şti.</t>
        </is>
      </c>
      <c r="E195" s="220" t="n">
        <v>46112</v>
      </c>
      <c r="F195" s="221" t="n">
        <v>7000</v>
      </c>
      <c r="G195" s="108" t="inlineStr">
        <is>
          <t>ÖMER KARTAL</t>
        </is>
      </c>
      <c r="H195" s="108" t="inlineStr">
        <is>
          <t>Nakit</t>
        </is>
      </c>
      <c r="I195" s="109" t="n"/>
      <c r="J195" s="109" t="inlineStr">
        <is>
          <t>ÖMER KARTALA ÖDENEN</t>
        </is>
      </c>
      <c r="K195" s="109" t="n"/>
      <c r="L195" s="226">
        <f>IF($E195="","",DATE(YEAR($E195),MONTH($E195),1))</f>
        <v/>
      </c>
      <c r="M195" s="113">
        <f>IF($D195="","",IF($C195="TANIMSIZ MÜŞTERİ","HATA",IF(OR($E195="",$F195&lt;=0,$G195=""),"EKSİK",IF($E195&gt;TODAY(),"İLERİ TARİH",IF(COUNTIF($S$7:$S$1506,$S195)&gt;1,"MÜKERRER?",IF($T195&gt;0,"KAPALI DÖNEM","UYGUN"))))))</f>
        <v/>
      </c>
      <c r="N195" s="121">
        <f>IF($C195="","",IF($C195="TANIMSIZ MÜŞTERİ","—",INDEX(MUSTERILER!$C$7:$C$106,MATCH($C195,MUSTERILER!$B$7:$B$106,0))))</f>
        <v/>
      </c>
      <c r="O195" s="6" t="n"/>
      <c r="P195" s="6" t="n"/>
      <c r="Q195" s="3">
        <f>IF($D195="","",$C195&amp;"|"&amp;COUNTIFS($C$7:$C195,$C195))</f>
        <v/>
      </c>
      <c r="R195" s="3">
        <f>IF($D195="","",UPPER(SUBSTITUTE(SUBSTITUTE(SUBSTITUTE(SUBSTITUTE(SUBSTITUTE(SUBSTITUTE(SUBSTITUTE(SUBSTITUTE(SUBSTITUTE(SUBSTITUTE(SUBSTITUTE(SUBSTITUTE(SUBSTITUTE(SUBSTITUTE(SUBSTITUTE(SUBSTITUTE(SUBSTITUTE(SUBSTITUTE(TRIM($D195),"'",""),"İ","I"),"ı","I"),"i","I"),"Ş","S"),"ş","S"),"Ğ","G"),"ğ","G"),"Ü","U"),"ü","U"),"Ö","O"),"ö","O"),"Ç","C"),"ç","C"),".",""),",","")," ",""),"-","")))</f>
        <v/>
      </c>
      <c r="S195" s="3">
        <f>IF($D195="","",$C195&amp;"|"&amp;TEXT($E195,"0")&amp;"|"&amp;TEXT($F195,"0")&amp;"|"&amp;$I195)</f>
        <v/>
      </c>
      <c r="T195" s="3">
        <f>IF($E195="",0,SUMPRODUCT((AY_SONU!$O$7:$O$42="Evet")*(AY_SONU!$B$7:$B$42=DATE(YEAR($E195),MONTH($E195),1))))</f>
        <v/>
      </c>
    </row>
    <row r="196">
      <c r="A196" s="6" t="n"/>
      <c r="B196" s="113">
        <f>IF($D196="","","T"&amp;TEXT(ROW()-6,"00000"))</f>
        <v/>
      </c>
      <c r="C196" s="113">
        <f>IF($D196="","",IFERROR(INDEX(MUSTERILER!$B$7:$B$106,MATCH($R196,MUSTERILER!$T$7:$T$106,0)),IFERROR(INDEX(MUSTERILER!$B$7:$B$106,MATCH($D196,MUSTERILER!$B$7:$B$106,0)),IFERROR(INDEX(MUSTERILER!$B$7:$B$106,MATCH($R196&amp;"*",MUSTERILER!$T$7:$T$106,0)),"TANIMSIZ MÜŞTERİ"))))</f>
        <v/>
      </c>
      <c r="D196" s="109" t="inlineStr">
        <is>
          <t>ASM EĞLENCE LTD.ŞTİ.</t>
        </is>
      </c>
      <c r="E196" s="220" t="n">
        <v>46116</v>
      </c>
      <c r="F196" s="221" t="n">
        <v>2500</v>
      </c>
      <c r="G196" s="108" t="inlineStr">
        <is>
          <t>MERKEZ KASA</t>
        </is>
      </c>
      <c r="H196" s="108" t="inlineStr">
        <is>
          <t>Nakit</t>
        </is>
      </c>
      <c r="I196" s="109" t="n"/>
      <c r="J196" s="109" t="inlineStr">
        <is>
          <t>NAKİT ÖDENEN</t>
        </is>
      </c>
      <c r="K196" s="109" t="n"/>
      <c r="L196" s="226">
        <f>IF($E196="","",DATE(YEAR($E196),MONTH($E196),1))</f>
        <v/>
      </c>
      <c r="M196" s="113">
        <f>IF($D196="","",IF($C196="TANIMSIZ MÜŞTERİ","HATA",IF(OR($E196="",$F196&lt;=0,$G196=""),"EKSİK",IF($E196&gt;TODAY(),"İLERİ TARİH",IF(COUNTIF($S$7:$S$1506,$S196)&gt;1,"MÜKERRER?",IF($T196&gt;0,"KAPALI DÖNEM","UYGUN"))))))</f>
        <v/>
      </c>
      <c r="N196" s="121">
        <f>IF($C196="","",IF($C196="TANIMSIZ MÜŞTERİ","—",INDEX(MUSTERILER!$C$7:$C$106,MATCH($C196,MUSTERILER!$B$7:$B$106,0))))</f>
        <v/>
      </c>
      <c r="O196" s="6" t="n"/>
      <c r="P196" s="6" t="n"/>
      <c r="Q196" s="3">
        <f>IF($D196="","",$C196&amp;"|"&amp;COUNTIFS($C$7:$C196,$C196))</f>
        <v/>
      </c>
      <c r="R196" s="3">
        <f>IF($D196="","",UPPER(SUBSTITUTE(SUBSTITUTE(SUBSTITUTE(SUBSTITUTE(SUBSTITUTE(SUBSTITUTE(SUBSTITUTE(SUBSTITUTE(SUBSTITUTE(SUBSTITUTE(SUBSTITUTE(SUBSTITUTE(SUBSTITUTE(SUBSTITUTE(SUBSTITUTE(SUBSTITUTE(SUBSTITUTE(SUBSTITUTE(TRIM($D196),"'",""),"İ","I"),"ı","I"),"i","I"),"Ş","S"),"ş","S"),"Ğ","G"),"ğ","G"),"Ü","U"),"ü","U"),"Ö","O"),"ö","O"),"Ç","C"),"ç","C"),".",""),",","")," ",""),"-","")))</f>
        <v/>
      </c>
      <c r="S196" s="3">
        <f>IF($D196="","",$C196&amp;"|"&amp;TEXT($E196,"0")&amp;"|"&amp;TEXT($F196,"0")&amp;"|"&amp;$I196)</f>
        <v/>
      </c>
      <c r="T196" s="3">
        <f>IF($E196="",0,SUMPRODUCT((AY_SONU!$O$7:$O$42="Evet")*(AY_SONU!$B$7:$B$42=DATE(YEAR($E196),MONTH($E196),1))))</f>
        <v/>
      </c>
    </row>
    <row r="197">
      <c r="A197" s="6" t="n"/>
      <c r="B197" s="113">
        <f>IF($D197="","","T"&amp;TEXT(ROW()-6,"00000"))</f>
        <v/>
      </c>
      <c r="C197" s="113">
        <f>IF($D197="","",IFERROR(INDEX(MUSTERILER!$B$7:$B$106,MATCH($R197,MUSTERILER!$T$7:$T$106,0)),IFERROR(INDEX(MUSTERILER!$B$7:$B$106,MATCH($D197,MUSTERILER!$B$7:$B$106,0)),IFERROR(INDEX(MUSTERILER!$B$7:$B$106,MATCH($R197&amp;"*",MUSTERILER!$T$7:$T$106,0)),"TANIMSIZ MÜŞTERİ"))))</f>
        <v/>
      </c>
      <c r="D197" s="109" t="inlineStr">
        <is>
          <t>Çayıralan Ltd.Şti.</t>
        </is>
      </c>
      <c r="E197" s="220" t="n">
        <v>46116</v>
      </c>
      <c r="F197" s="221" t="n">
        <v>3000</v>
      </c>
      <c r="G197" s="108" t="inlineStr">
        <is>
          <t>MERKEZ KASA</t>
        </is>
      </c>
      <c r="H197" s="108" t="inlineStr">
        <is>
          <t>Nakit</t>
        </is>
      </c>
      <c r="I197" s="109" t="n"/>
      <c r="J197" s="109" t="inlineStr">
        <is>
          <t>NAKİT ÖDENEN</t>
        </is>
      </c>
      <c r="K197" s="109" t="n"/>
      <c r="L197" s="226">
        <f>IF($E197="","",DATE(YEAR($E197),MONTH($E197),1))</f>
        <v/>
      </c>
      <c r="M197" s="113">
        <f>IF($D197="","",IF($C197="TANIMSIZ MÜŞTERİ","HATA",IF(OR($E197="",$F197&lt;=0,$G197=""),"EKSİK",IF($E197&gt;TODAY(),"İLERİ TARİH",IF(COUNTIF($S$7:$S$1506,$S197)&gt;1,"MÜKERRER?",IF($T197&gt;0,"KAPALI DÖNEM","UYGUN"))))))</f>
        <v/>
      </c>
      <c r="N197" s="121">
        <f>IF($C197="","",IF($C197="TANIMSIZ MÜŞTERİ","—",INDEX(MUSTERILER!$C$7:$C$106,MATCH($C197,MUSTERILER!$B$7:$B$106,0))))</f>
        <v/>
      </c>
      <c r="O197" s="6" t="n"/>
      <c r="P197" s="6" t="n"/>
      <c r="Q197" s="3">
        <f>IF($D197="","",$C197&amp;"|"&amp;COUNTIFS($C$7:$C197,$C197))</f>
        <v/>
      </c>
      <c r="R197" s="3">
        <f>IF($D197="","",UPPER(SUBSTITUTE(SUBSTITUTE(SUBSTITUTE(SUBSTITUTE(SUBSTITUTE(SUBSTITUTE(SUBSTITUTE(SUBSTITUTE(SUBSTITUTE(SUBSTITUTE(SUBSTITUTE(SUBSTITUTE(SUBSTITUTE(SUBSTITUTE(SUBSTITUTE(SUBSTITUTE(SUBSTITUTE(SUBSTITUTE(TRIM($D197),"'",""),"İ","I"),"ı","I"),"i","I"),"Ş","S"),"ş","S"),"Ğ","G"),"ğ","G"),"Ü","U"),"ü","U"),"Ö","O"),"ö","O"),"Ç","C"),"ç","C"),".",""),",","")," ",""),"-","")))</f>
        <v/>
      </c>
      <c r="S197" s="3">
        <f>IF($D197="","",$C197&amp;"|"&amp;TEXT($E197,"0")&amp;"|"&amp;TEXT($F197,"0")&amp;"|"&amp;$I197)</f>
        <v/>
      </c>
      <c r="T197" s="3">
        <f>IF($E197="",0,SUMPRODUCT((AY_SONU!$O$7:$O$42="Evet")*(AY_SONU!$B$7:$B$42=DATE(YEAR($E197),MONTH($E197),1))))</f>
        <v/>
      </c>
    </row>
    <row r="198">
      <c r="A198" s="6" t="n"/>
      <c r="B198" s="113">
        <f>IF($D198="","","T"&amp;TEXT(ROW()-6,"00000"))</f>
        <v/>
      </c>
      <c r="C198" s="113">
        <f>IF($D198="","",IFERROR(INDEX(MUSTERILER!$B$7:$B$106,MATCH($R198,MUSTERILER!$T$7:$T$106,0)),IFERROR(INDEX(MUSTERILER!$B$7:$B$106,MATCH($D198,MUSTERILER!$B$7:$B$106,0)),IFERROR(INDEX(MUSTERILER!$B$7:$B$106,MATCH($R198&amp;"*",MUSTERILER!$T$7:$T$106,0)),"TANIMSIZ MÜŞTERİ"))))</f>
        <v/>
      </c>
      <c r="D198" s="109" t="inlineStr">
        <is>
          <t>Eğlengör Ltd.Şti.</t>
        </is>
      </c>
      <c r="E198" s="220" t="n">
        <v>46116</v>
      </c>
      <c r="F198" s="221" t="n">
        <v>4000</v>
      </c>
      <c r="G198" s="108" t="inlineStr">
        <is>
          <t>MERKEZ KASA</t>
        </is>
      </c>
      <c r="H198" s="108" t="inlineStr">
        <is>
          <t>Nakit</t>
        </is>
      </c>
      <c r="I198" s="109" t="n"/>
      <c r="J198" s="109" t="inlineStr">
        <is>
          <t>NAKİT ÖDENEN</t>
        </is>
      </c>
      <c r="K198" s="109" t="n"/>
      <c r="L198" s="226">
        <f>IF($E198="","",DATE(YEAR($E198),MONTH($E198),1))</f>
        <v/>
      </c>
      <c r="M198" s="113">
        <f>IF($D198="","",IF($C198="TANIMSIZ MÜŞTERİ","HATA",IF(OR($E198="",$F198&lt;=0,$G198=""),"EKSİK",IF($E198&gt;TODAY(),"İLERİ TARİH",IF(COUNTIF($S$7:$S$1506,$S198)&gt;1,"MÜKERRER?",IF($T198&gt;0,"KAPALI DÖNEM","UYGUN"))))))</f>
        <v/>
      </c>
      <c r="N198" s="121">
        <f>IF($C198="","",IF($C198="TANIMSIZ MÜŞTERİ","—",INDEX(MUSTERILER!$C$7:$C$106,MATCH($C198,MUSTERILER!$B$7:$B$106,0))))</f>
        <v/>
      </c>
      <c r="O198" s="6" t="n"/>
      <c r="P198" s="6" t="n"/>
      <c r="Q198" s="3">
        <f>IF($D198="","",$C198&amp;"|"&amp;COUNTIFS($C$7:$C198,$C198))</f>
        <v/>
      </c>
      <c r="R198" s="3">
        <f>IF($D198="","",UPPER(SUBSTITUTE(SUBSTITUTE(SUBSTITUTE(SUBSTITUTE(SUBSTITUTE(SUBSTITUTE(SUBSTITUTE(SUBSTITUTE(SUBSTITUTE(SUBSTITUTE(SUBSTITUTE(SUBSTITUTE(SUBSTITUTE(SUBSTITUTE(SUBSTITUTE(SUBSTITUTE(SUBSTITUTE(SUBSTITUTE(TRIM($D198),"'",""),"İ","I"),"ı","I"),"i","I"),"Ş","S"),"ş","S"),"Ğ","G"),"ğ","G"),"Ü","U"),"ü","U"),"Ö","O"),"ö","O"),"Ç","C"),"ç","C"),".",""),",","")," ",""),"-","")))</f>
        <v/>
      </c>
      <c r="S198" s="3">
        <f>IF($D198="","",$C198&amp;"|"&amp;TEXT($E198,"0")&amp;"|"&amp;TEXT($F198,"0")&amp;"|"&amp;$I198)</f>
        <v/>
      </c>
      <c r="T198" s="3">
        <f>IF($E198="",0,SUMPRODUCT((AY_SONU!$O$7:$O$42="Evet")*(AY_SONU!$B$7:$B$42=DATE(YEAR($E198),MONTH($E198),1))))</f>
        <v/>
      </c>
    </row>
    <row r="199">
      <c r="A199" s="6" t="n"/>
      <c r="B199" s="113">
        <f>IF($D199="","","T"&amp;TEXT(ROW()-6,"00000"))</f>
        <v/>
      </c>
      <c r="C199" s="113">
        <f>IF($D199="","",IFERROR(INDEX(MUSTERILER!$B$7:$B$106,MATCH($R199,MUSTERILER!$T$7:$T$106,0)),IFERROR(INDEX(MUSTERILER!$B$7:$B$106,MATCH($D199,MUSTERILER!$B$7:$B$106,0)),IFERROR(INDEX(MUSTERILER!$B$7:$B$106,MATCH($R199&amp;"*",MUSTERILER!$T$7:$T$106,0)),"TANIMSIZ MÜŞTERİ"))))</f>
        <v/>
      </c>
      <c r="D199" s="109" t="inlineStr">
        <is>
          <t>Final Siyah Beyaz Ltd.Şti.</t>
        </is>
      </c>
      <c r="E199" s="220" t="n">
        <v>46116</v>
      </c>
      <c r="F199" s="221" t="n">
        <v>4000</v>
      </c>
      <c r="G199" s="108" t="inlineStr">
        <is>
          <t>MERKEZ KASA</t>
        </is>
      </c>
      <c r="H199" s="108" t="inlineStr">
        <is>
          <t>Nakit</t>
        </is>
      </c>
      <c r="I199" s="109" t="n"/>
      <c r="J199" s="109" t="inlineStr">
        <is>
          <t>NAKİT ÖDENEN</t>
        </is>
      </c>
      <c r="K199" s="109" t="n"/>
      <c r="L199" s="226">
        <f>IF($E199="","",DATE(YEAR($E199),MONTH($E199),1))</f>
        <v/>
      </c>
      <c r="M199" s="113">
        <f>IF($D199="","",IF($C199="TANIMSIZ MÜŞTERİ","HATA",IF(OR($E199="",$F199&lt;=0,$G199=""),"EKSİK",IF($E199&gt;TODAY(),"İLERİ TARİH",IF(COUNTIF($S$7:$S$1506,$S199)&gt;1,"MÜKERRER?",IF($T199&gt;0,"KAPALI DÖNEM","UYGUN"))))))</f>
        <v/>
      </c>
      <c r="N199" s="121">
        <f>IF($C199="","",IF($C199="TANIMSIZ MÜŞTERİ","—",INDEX(MUSTERILER!$C$7:$C$106,MATCH($C199,MUSTERILER!$B$7:$B$106,0))))</f>
        <v/>
      </c>
      <c r="O199" s="6" t="n"/>
      <c r="P199" s="6" t="n"/>
      <c r="Q199" s="3">
        <f>IF($D199="","",$C199&amp;"|"&amp;COUNTIFS($C$7:$C199,$C199))</f>
        <v/>
      </c>
      <c r="R199" s="3">
        <f>IF($D199="","",UPPER(SUBSTITUTE(SUBSTITUTE(SUBSTITUTE(SUBSTITUTE(SUBSTITUTE(SUBSTITUTE(SUBSTITUTE(SUBSTITUTE(SUBSTITUTE(SUBSTITUTE(SUBSTITUTE(SUBSTITUTE(SUBSTITUTE(SUBSTITUTE(SUBSTITUTE(SUBSTITUTE(SUBSTITUTE(SUBSTITUTE(TRIM($D199),"'",""),"İ","I"),"ı","I"),"i","I"),"Ş","S"),"ş","S"),"Ğ","G"),"ğ","G"),"Ü","U"),"ü","U"),"Ö","O"),"ö","O"),"Ç","C"),"ç","C"),".",""),",","")," ",""),"-","")))</f>
        <v/>
      </c>
      <c r="S199" s="3">
        <f>IF($D199="","",$C199&amp;"|"&amp;TEXT($E199,"0")&amp;"|"&amp;TEXT($F199,"0")&amp;"|"&amp;$I199)</f>
        <v/>
      </c>
      <c r="T199" s="3">
        <f>IF($E199="",0,SUMPRODUCT((AY_SONU!$O$7:$O$42="Evet")*(AY_SONU!$B$7:$B$42=DATE(YEAR($E199),MONTH($E199),1))))</f>
        <v/>
      </c>
    </row>
    <row r="200">
      <c r="A200" s="6" t="n"/>
      <c r="B200" s="113">
        <f>IF($D200="","","T"&amp;TEXT(ROW()-6,"00000"))</f>
        <v/>
      </c>
      <c r="C200" s="113">
        <f>IF($D200="","",IFERROR(INDEX(MUSTERILER!$B$7:$B$106,MATCH($R200,MUSTERILER!$T$7:$T$106,0)),IFERROR(INDEX(MUSTERILER!$B$7:$B$106,MATCH($D200,MUSTERILER!$B$7:$B$106,0)),IFERROR(INDEX(MUSTERILER!$B$7:$B$106,MATCH($R200&amp;"*",MUSTERILER!$T$7:$T$106,0)),"TANIMSIZ MÜŞTERİ"))))</f>
        <v/>
      </c>
      <c r="D200" s="109" t="inlineStr">
        <is>
          <t>İbrahim Maldan</t>
        </is>
      </c>
      <c r="E200" s="220" t="n">
        <v>46116</v>
      </c>
      <c r="F200" s="221" t="n">
        <v>4000</v>
      </c>
      <c r="G200" s="108" t="inlineStr">
        <is>
          <t>MERKEZ KASA</t>
        </is>
      </c>
      <c r="H200" s="108" t="inlineStr">
        <is>
          <t>Nakit</t>
        </is>
      </c>
      <c r="I200" s="109" t="n"/>
      <c r="J200" s="109" t="inlineStr">
        <is>
          <t>NAKİT ÖDENEN</t>
        </is>
      </c>
      <c r="K200" s="109" t="n"/>
      <c r="L200" s="226">
        <f>IF($E200="","",DATE(YEAR($E200),MONTH($E200),1))</f>
        <v/>
      </c>
      <c r="M200" s="113">
        <f>IF($D200="","",IF($C200="TANIMSIZ MÜŞTERİ","HATA",IF(OR($E200="",$F200&lt;=0,$G200=""),"EKSİK",IF($E200&gt;TODAY(),"İLERİ TARİH",IF(COUNTIF($S$7:$S$1506,$S200)&gt;1,"MÜKERRER?",IF($T200&gt;0,"KAPALI DÖNEM","UYGUN"))))))</f>
        <v/>
      </c>
      <c r="N200" s="121">
        <f>IF($C200="","",IF($C200="TANIMSIZ MÜŞTERİ","—",INDEX(MUSTERILER!$C$7:$C$106,MATCH($C200,MUSTERILER!$B$7:$B$106,0))))</f>
        <v/>
      </c>
      <c r="O200" s="6" t="n"/>
      <c r="P200" s="6" t="n"/>
      <c r="Q200" s="3">
        <f>IF($D200="","",$C200&amp;"|"&amp;COUNTIFS($C$7:$C200,$C200))</f>
        <v/>
      </c>
      <c r="R200" s="3">
        <f>IF($D200="","",UPPER(SUBSTITUTE(SUBSTITUTE(SUBSTITUTE(SUBSTITUTE(SUBSTITUTE(SUBSTITUTE(SUBSTITUTE(SUBSTITUTE(SUBSTITUTE(SUBSTITUTE(SUBSTITUTE(SUBSTITUTE(SUBSTITUTE(SUBSTITUTE(SUBSTITUTE(SUBSTITUTE(SUBSTITUTE(SUBSTITUTE(TRIM($D200),"'",""),"İ","I"),"ı","I"),"i","I"),"Ş","S"),"ş","S"),"Ğ","G"),"ğ","G"),"Ü","U"),"ü","U"),"Ö","O"),"ö","O"),"Ç","C"),"ç","C"),".",""),",","")," ",""),"-","")))</f>
        <v/>
      </c>
      <c r="S200" s="3">
        <f>IF($D200="","",$C200&amp;"|"&amp;TEXT($E200,"0")&amp;"|"&amp;TEXT($F200,"0")&amp;"|"&amp;$I200)</f>
        <v/>
      </c>
      <c r="T200" s="3">
        <f>IF($E200="",0,SUMPRODUCT((AY_SONU!$O$7:$O$42="Evet")*(AY_SONU!$B$7:$B$42=DATE(YEAR($E200),MONTH($E200),1))))</f>
        <v/>
      </c>
    </row>
    <row r="201">
      <c r="A201" s="6" t="n"/>
      <c r="B201" s="113">
        <f>IF($D201="","","T"&amp;TEXT(ROW()-6,"00000"))</f>
        <v/>
      </c>
      <c r="C201" s="113">
        <f>IF($D201="","",IFERROR(INDEX(MUSTERILER!$B$7:$B$106,MATCH($R201,MUSTERILER!$T$7:$T$106,0)),IFERROR(INDEX(MUSTERILER!$B$7:$B$106,MATCH($D201,MUSTERILER!$B$7:$B$106,0)),IFERROR(INDEX(MUSTERILER!$B$7:$B$106,MATCH($R201&amp;"*",MUSTERILER!$T$7:$T$106,0)),"TANIMSIZ MÜŞTERİ"))))</f>
        <v/>
      </c>
      <c r="D201" s="109" t="inlineStr">
        <is>
          <t>İldeş Ltd.Şti.</t>
        </is>
      </c>
      <c r="E201" s="220" t="n">
        <v>46116</v>
      </c>
      <c r="F201" s="221" t="n">
        <v>4000</v>
      </c>
      <c r="G201" s="108" t="inlineStr">
        <is>
          <t>MERKEZ KASA</t>
        </is>
      </c>
      <c r="H201" s="108" t="inlineStr">
        <is>
          <t>Nakit</t>
        </is>
      </c>
      <c r="I201" s="109" t="n"/>
      <c r="J201" s="109" t="inlineStr">
        <is>
          <t>NAKİT ÖDENEN</t>
        </is>
      </c>
      <c r="K201" s="109" t="n"/>
      <c r="L201" s="226">
        <f>IF($E201="","",DATE(YEAR($E201),MONTH($E201),1))</f>
        <v/>
      </c>
      <c r="M201" s="113">
        <f>IF($D201="","",IF($C201="TANIMSIZ MÜŞTERİ","HATA",IF(OR($E201="",$F201&lt;=0,$G201=""),"EKSİK",IF($E201&gt;TODAY(),"İLERİ TARİH",IF(COUNTIF($S$7:$S$1506,$S201)&gt;1,"MÜKERRER?",IF($T201&gt;0,"KAPALI DÖNEM","UYGUN"))))))</f>
        <v/>
      </c>
      <c r="N201" s="121">
        <f>IF($C201="","",IF($C201="TANIMSIZ MÜŞTERİ","—",INDEX(MUSTERILER!$C$7:$C$106,MATCH($C201,MUSTERILER!$B$7:$B$106,0))))</f>
        <v/>
      </c>
      <c r="O201" s="6" t="n"/>
      <c r="P201" s="6" t="n"/>
      <c r="Q201" s="3">
        <f>IF($D201="","",$C201&amp;"|"&amp;COUNTIFS($C$7:$C201,$C201))</f>
        <v/>
      </c>
      <c r="R201" s="3">
        <f>IF($D201="","",UPPER(SUBSTITUTE(SUBSTITUTE(SUBSTITUTE(SUBSTITUTE(SUBSTITUTE(SUBSTITUTE(SUBSTITUTE(SUBSTITUTE(SUBSTITUTE(SUBSTITUTE(SUBSTITUTE(SUBSTITUTE(SUBSTITUTE(SUBSTITUTE(SUBSTITUTE(SUBSTITUTE(SUBSTITUTE(SUBSTITUTE(TRIM($D201),"'",""),"İ","I"),"ı","I"),"i","I"),"Ş","S"),"ş","S"),"Ğ","G"),"ğ","G"),"Ü","U"),"ü","U"),"Ö","O"),"ö","O"),"Ç","C"),"ç","C"),".",""),",","")," ",""),"-","")))</f>
        <v/>
      </c>
      <c r="S201" s="3">
        <f>IF($D201="","",$C201&amp;"|"&amp;TEXT($E201,"0")&amp;"|"&amp;TEXT($F201,"0")&amp;"|"&amp;$I201)</f>
        <v/>
      </c>
      <c r="T201" s="3">
        <f>IF($E201="",0,SUMPRODUCT((AY_SONU!$O$7:$O$42="Evet")*(AY_SONU!$B$7:$B$42=DATE(YEAR($E201),MONTH($E201),1))))</f>
        <v/>
      </c>
    </row>
    <row r="202">
      <c r="A202" s="6" t="n"/>
      <c r="B202" s="113">
        <f>IF($D202="","","T"&amp;TEXT(ROW()-6,"00000"))</f>
        <v/>
      </c>
      <c r="C202" s="113">
        <f>IF($D202="","",IFERROR(INDEX(MUSTERILER!$B$7:$B$106,MATCH($R202,MUSTERILER!$T$7:$T$106,0)),IFERROR(INDEX(MUSTERILER!$B$7:$B$106,MATCH($D202,MUSTERILER!$B$7:$B$106,0)),IFERROR(INDEX(MUSTERILER!$B$7:$B$106,MATCH($R202&amp;"*",MUSTERILER!$T$7:$T$106,0)),"TANIMSIZ MÜŞTERİ"))))</f>
        <v/>
      </c>
      <c r="D202" s="109" t="inlineStr">
        <is>
          <t>İLDEŞ LTD.ŞTİ.</t>
        </is>
      </c>
      <c r="E202" s="220" t="n">
        <v>46116</v>
      </c>
      <c r="F202" s="221" t="n">
        <v>4000</v>
      </c>
      <c r="G202" s="108" t="inlineStr">
        <is>
          <t>MERKEZ KASA</t>
        </is>
      </c>
      <c r="H202" s="108" t="inlineStr">
        <is>
          <t>Nakit</t>
        </is>
      </c>
      <c r="I202" s="109" t="n"/>
      <c r="J202" s="109" t="inlineStr">
        <is>
          <t>NAKİT ÖDENEN</t>
        </is>
      </c>
      <c r="K202" s="109" t="n"/>
      <c r="L202" s="226">
        <f>IF($E202="","",DATE(YEAR($E202),MONTH($E202),1))</f>
        <v/>
      </c>
      <c r="M202" s="113">
        <f>IF($D202="","",IF($C202="TANIMSIZ MÜŞTERİ","HATA",IF(OR($E202="",$F202&lt;=0,$G202=""),"EKSİK",IF($E202&gt;TODAY(),"İLERİ TARİH",IF(COUNTIF($S$7:$S$1506,$S202)&gt;1,"MÜKERRER?",IF($T202&gt;0,"KAPALI DÖNEM","UYGUN"))))))</f>
        <v/>
      </c>
      <c r="N202" s="121">
        <f>IF($C202="","",IF($C202="TANIMSIZ MÜŞTERİ","—",INDEX(MUSTERILER!$C$7:$C$106,MATCH($C202,MUSTERILER!$B$7:$B$106,0))))</f>
        <v/>
      </c>
      <c r="O202" s="6" t="n"/>
      <c r="P202" s="6" t="n"/>
      <c r="Q202" s="3">
        <f>IF($D202="","",$C202&amp;"|"&amp;COUNTIFS($C$7:$C202,$C202))</f>
        <v/>
      </c>
      <c r="R202" s="3">
        <f>IF($D202="","",UPPER(SUBSTITUTE(SUBSTITUTE(SUBSTITUTE(SUBSTITUTE(SUBSTITUTE(SUBSTITUTE(SUBSTITUTE(SUBSTITUTE(SUBSTITUTE(SUBSTITUTE(SUBSTITUTE(SUBSTITUTE(SUBSTITUTE(SUBSTITUTE(SUBSTITUTE(SUBSTITUTE(SUBSTITUTE(SUBSTITUTE(TRIM($D202),"'",""),"İ","I"),"ı","I"),"i","I"),"Ş","S"),"ş","S"),"Ğ","G"),"ğ","G"),"Ü","U"),"ü","U"),"Ö","O"),"ö","O"),"Ç","C"),"ç","C"),".",""),",","")," ",""),"-","")))</f>
        <v/>
      </c>
      <c r="S202" s="3">
        <f>IF($D202="","",$C202&amp;"|"&amp;TEXT($E202,"0")&amp;"|"&amp;TEXT($F202,"0")&amp;"|"&amp;$I202)</f>
        <v/>
      </c>
      <c r="T202" s="3">
        <f>IF($E202="",0,SUMPRODUCT((AY_SONU!$O$7:$O$42="Evet")*(AY_SONU!$B$7:$B$42=DATE(YEAR($E202),MONTH($E202),1))))</f>
        <v/>
      </c>
    </row>
    <row r="203">
      <c r="A203" s="6" t="n"/>
      <c r="B203" s="113">
        <f>IF($D203="","","T"&amp;TEXT(ROW()-6,"00000"))</f>
        <v/>
      </c>
      <c r="C203" s="113">
        <f>IF($D203="","",IFERROR(INDEX(MUSTERILER!$B$7:$B$106,MATCH($R203,MUSTERILER!$T$7:$T$106,0)),IFERROR(INDEX(MUSTERILER!$B$7:$B$106,MATCH($D203,MUSTERILER!$B$7:$B$106,0)),IFERROR(INDEX(MUSTERILER!$B$7:$B$106,MATCH($R203&amp;"*",MUSTERILER!$T$7:$T$106,0)),"TANIMSIZ MÜŞTERİ"))))</f>
        <v/>
      </c>
      <c r="D203" s="109" t="inlineStr">
        <is>
          <t>Monamour Ltd.Şti.</t>
        </is>
      </c>
      <c r="E203" s="220" t="n">
        <v>46116</v>
      </c>
      <c r="F203" s="221" t="n">
        <v>3500</v>
      </c>
      <c r="G203" s="108" t="inlineStr">
        <is>
          <t>MERKEZ KASA</t>
        </is>
      </c>
      <c r="H203" s="108" t="inlineStr">
        <is>
          <t>Nakit</t>
        </is>
      </c>
      <c r="I203" s="109" t="n"/>
      <c r="J203" s="109" t="inlineStr">
        <is>
          <t>NAKİT ÖDENEN</t>
        </is>
      </c>
      <c r="K203" s="109" t="n"/>
      <c r="L203" s="226">
        <f>IF($E203="","",DATE(YEAR($E203),MONTH($E203),1))</f>
        <v/>
      </c>
      <c r="M203" s="113">
        <f>IF($D203="","",IF($C203="TANIMSIZ MÜŞTERİ","HATA",IF(OR($E203="",$F203&lt;=0,$G203=""),"EKSİK",IF($E203&gt;TODAY(),"İLERİ TARİH",IF(COUNTIF($S$7:$S$1506,$S203)&gt;1,"MÜKERRER?",IF($T203&gt;0,"KAPALI DÖNEM","UYGUN"))))))</f>
        <v/>
      </c>
      <c r="N203" s="121">
        <f>IF($C203="","",IF($C203="TANIMSIZ MÜŞTERİ","—",INDEX(MUSTERILER!$C$7:$C$106,MATCH($C203,MUSTERILER!$B$7:$B$106,0))))</f>
        <v/>
      </c>
      <c r="O203" s="6" t="n"/>
      <c r="P203" s="6" t="n"/>
      <c r="Q203" s="3">
        <f>IF($D203="","",$C203&amp;"|"&amp;COUNTIFS($C$7:$C203,$C203))</f>
        <v/>
      </c>
      <c r="R203" s="3">
        <f>IF($D203="","",UPPER(SUBSTITUTE(SUBSTITUTE(SUBSTITUTE(SUBSTITUTE(SUBSTITUTE(SUBSTITUTE(SUBSTITUTE(SUBSTITUTE(SUBSTITUTE(SUBSTITUTE(SUBSTITUTE(SUBSTITUTE(SUBSTITUTE(SUBSTITUTE(SUBSTITUTE(SUBSTITUTE(SUBSTITUTE(SUBSTITUTE(TRIM($D203),"'",""),"İ","I"),"ı","I"),"i","I"),"Ş","S"),"ş","S"),"Ğ","G"),"ğ","G"),"Ü","U"),"ü","U"),"Ö","O"),"ö","O"),"Ç","C"),"ç","C"),".",""),",","")," ",""),"-","")))</f>
        <v/>
      </c>
      <c r="S203" s="3">
        <f>IF($D203="","",$C203&amp;"|"&amp;TEXT($E203,"0")&amp;"|"&amp;TEXT($F203,"0")&amp;"|"&amp;$I203)</f>
        <v/>
      </c>
      <c r="T203" s="3">
        <f>IF($E203="",0,SUMPRODUCT((AY_SONU!$O$7:$O$42="Evet")*(AY_SONU!$B$7:$B$42=DATE(YEAR($E203),MONTH($E203),1))))</f>
        <v/>
      </c>
    </row>
    <row r="204">
      <c r="A204" s="6" t="n"/>
      <c r="B204" s="113">
        <f>IF($D204="","","T"&amp;TEXT(ROW()-6,"00000"))</f>
        <v/>
      </c>
      <c r="C204" s="113">
        <f>IF($D204="","",IFERROR(INDEX(MUSTERILER!$B$7:$B$106,MATCH($R204,MUSTERILER!$T$7:$T$106,0)),IFERROR(INDEX(MUSTERILER!$B$7:$B$106,MATCH($D204,MUSTERILER!$B$7:$B$106,0)),IFERROR(INDEX(MUSTERILER!$B$7:$B$106,MATCH($R204&amp;"*",MUSTERILER!$T$7:$T$106,0)),"TANIMSIZ MÜŞTERİ"))))</f>
        <v/>
      </c>
      <c r="D204" s="109" t="inlineStr">
        <is>
          <t>Pakyıldız Ltd.Şti.</t>
        </is>
      </c>
      <c r="E204" s="220" t="n">
        <v>46116</v>
      </c>
      <c r="F204" s="221" t="n">
        <v>4000</v>
      </c>
      <c r="G204" s="108" t="inlineStr">
        <is>
          <t>MERKEZ KASA</t>
        </is>
      </c>
      <c r="H204" s="108" t="inlineStr">
        <is>
          <t>Nakit</t>
        </is>
      </c>
      <c r="I204" s="109" t="n"/>
      <c r="J204" s="109" t="inlineStr">
        <is>
          <t>NAKİT ÖDENEN</t>
        </is>
      </c>
      <c r="K204" s="109" t="n"/>
      <c r="L204" s="226">
        <f>IF($E204="","",DATE(YEAR($E204),MONTH($E204),1))</f>
        <v/>
      </c>
      <c r="M204" s="113">
        <f>IF($D204="","",IF($C204="TANIMSIZ MÜŞTERİ","HATA",IF(OR($E204="",$F204&lt;=0,$G204=""),"EKSİK",IF($E204&gt;TODAY(),"İLERİ TARİH",IF(COUNTIF($S$7:$S$1506,$S204)&gt;1,"MÜKERRER?",IF($T204&gt;0,"KAPALI DÖNEM","UYGUN"))))))</f>
        <v/>
      </c>
      <c r="N204" s="121">
        <f>IF($C204="","",IF($C204="TANIMSIZ MÜŞTERİ","—",INDEX(MUSTERILER!$C$7:$C$106,MATCH($C204,MUSTERILER!$B$7:$B$106,0))))</f>
        <v/>
      </c>
      <c r="O204" s="6" t="n"/>
      <c r="P204" s="6" t="n"/>
      <c r="Q204" s="3">
        <f>IF($D204="","",$C204&amp;"|"&amp;COUNTIFS($C$7:$C204,$C204))</f>
        <v/>
      </c>
      <c r="R204" s="3">
        <f>IF($D204="","",UPPER(SUBSTITUTE(SUBSTITUTE(SUBSTITUTE(SUBSTITUTE(SUBSTITUTE(SUBSTITUTE(SUBSTITUTE(SUBSTITUTE(SUBSTITUTE(SUBSTITUTE(SUBSTITUTE(SUBSTITUTE(SUBSTITUTE(SUBSTITUTE(SUBSTITUTE(SUBSTITUTE(SUBSTITUTE(SUBSTITUTE(TRIM($D204),"'",""),"İ","I"),"ı","I"),"i","I"),"Ş","S"),"ş","S"),"Ğ","G"),"ğ","G"),"Ü","U"),"ü","U"),"Ö","O"),"ö","O"),"Ç","C"),"ç","C"),".",""),",","")," ",""),"-","")))</f>
        <v/>
      </c>
      <c r="S204" s="3">
        <f>IF($D204="","",$C204&amp;"|"&amp;TEXT($E204,"0")&amp;"|"&amp;TEXT($F204,"0")&amp;"|"&amp;$I204)</f>
        <v/>
      </c>
      <c r="T204" s="3">
        <f>IF($E204="",0,SUMPRODUCT((AY_SONU!$O$7:$O$42="Evet")*(AY_SONU!$B$7:$B$42=DATE(YEAR($E204),MONTH($E204),1))))</f>
        <v/>
      </c>
    </row>
    <row r="205">
      <c r="A205" s="6" t="n"/>
      <c r="B205" s="113">
        <f>IF($D205="","","T"&amp;TEXT(ROW()-6,"00000"))</f>
        <v/>
      </c>
      <c r="C205" s="113">
        <f>IF($D205="","",IFERROR(INDEX(MUSTERILER!$B$7:$B$106,MATCH($R205,MUSTERILER!$T$7:$T$106,0)),IFERROR(INDEX(MUSTERILER!$B$7:$B$106,MATCH($D205,MUSTERILER!$B$7:$B$106,0)),IFERROR(INDEX(MUSTERILER!$B$7:$B$106,MATCH($R205&amp;"*",MUSTERILER!$T$7:$T$106,0)),"TANIMSIZ MÜŞTERİ"))))</f>
        <v/>
      </c>
      <c r="D205" s="109" t="inlineStr">
        <is>
          <t>TYANA LTD.ŞTİ.</t>
        </is>
      </c>
      <c r="E205" s="220" t="n">
        <v>46116</v>
      </c>
      <c r="F205" s="221" t="n">
        <v>6000</v>
      </c>
      <c r="G205" s="108" t="inlineStr">
        <is>
          <t>MERKEZ KASA</t>
        </is>
      </c>
      <c r="H205" s="108" t="inlineStr">
        <is>
          <t>Nakit</t>
        </is>
      </c>
      <c r="I205" s="109" t="n"/>
      <c r="J205" s="109" t="inlineStr">
        <is>
          <t>NAKİT ÖDENEN</t>
        </is>
      </c>
      <c r="K205" s="109" t="n"/>
      <c r="L205" s="226">
        <f>IF($E205="","",DATE(YEAR($E205),MONTH($E205),1))</f>
        <v/>
      </c>
      <c r="M205" s="113">
        <f>IF($D205="","",IF($C205="TANIMSIZ MÜŞTERİ","HATA",IF(OR($E205="",$F205&lt;=0,$G205=""),"EKSİK",IF($E205&gt;TODAY(),"İLERİ TARİH",IF(COUNTIF($S$7:$S$1506,$S205)&gt;1,"MÜKERRER?",IF($T205&gt;0,"KAPALI DÖNEM","UYGUN"))))))</f>
        <v/>
      </c>
      <c r="N205" s="121">
        <f>IF($C205="","",IF($C205="TANIMSIZ MÜŞTERİ","—",INDEX(MUSTERILER!$C$7:$C$106,MATCH($C205,MUSTERILER!$B$7:$B$106,0))))</f>
        <v/>
      </c>
      <c r="O205" s="6" t="n"/>
      <c r="P205" s="6" t="n"/>
      <c r="Q205" s="3">
        <f>IF($D205="","",$C205&amp;"|"&amp;COUNTIFS($C$7:$C205,$C205))</f>
        <v/>
      </c>
      <c r="R205" s="3">
        <f>IF($D205="","",UPPER(SUBSTITUTE(SUBSTITUTE(SUBSTITUTE(SUBSTITUTE(SUBSTITUTE(SUBSTITUTE(SUBSTITUTE(SUBSTITUTE(SUBSTITUTE(SUBSTITUTE(SUBSTITUTE(SUBSTITUTE(SUBSTITUTE(SUBSTITUTE(SUBSTITUTE(SUBSTITUTE(SUBSTITUTE(SUBSTITUTE(TRIM($D205),"'",""),"İ","I"),"ı","I"),"i","I"),"Ş","S"),"ş","S"),"Ğ","G"),"ğ","G"),"Ü","U"),"ü","U"),"Ö","O"),"ö","O"),"Ç","C"),"ç","C"),".",""),",","")," ",""),"-","")))</f>
        <v/>
      </c>
      <c r="S205" s="3">
        <f>IF($D205="","",$C205&amp;"|"&amp;TEXT($E205,"0")&amp;"|"&amp;TEXT($F205,"0")&amp;"|"&amp;$I205)</f>
        <v/>
      </c>
      <c r="T205" s="3">
        <f>IF($E205="",0,SUMPRODUCT((AY_SONU!$O$7:$O$42="Evet")*(AY_SONU!$B$7:$B$42=DATE(YEAR($E205),MONTH($E205),1))))</f>
        <v/>
      </c>
    </row>
    <row r="206">
      <c r="A206" s="6" t="n"/>
      <c r="B206" s="113">
        <f>IF($D206="","","T"&amp;TEXT(ROW()-6,"00000"))</f>
        <v/>
      </c>
      <c r="C206" s="113">
        <f>IF($D206="","",IFERROR(INDEX(MUSTERILER!$B$7:$B$106,MATCH($R206,MUSTERILER!$T$7:$T$106,0)),IFERROR(INDEX(MUSTERILER!$B$7:$B$106,MATCH($D206,MUSTERILER!$B$7:$B$106,0)),IFERROR(INDEX(MUSTERILER!$B$7:$B$106,MATCH($R206&amp;"*",MUSTERILER!$T$7:$T$106,0)),"TANIMSIZ MÜŞTERİ"))))</f>
        <v/>
      </c>
      <c r="D206" s="109" t="inlineStr">
        <is>
          <t>Zümrüt Eğlence Ltd.Şti.</t>
        </is>
      </c>
      <c r="E206" s="220" t="n">
        <v>46116</v>
      </c>
      <c r="F206" s="221" t="n">
        <v>3000</v>
      </c>
      <c r="G206" s="108" t="inlineStr">
        <is>
          <t>MERKEZ KASA</t>
        </is>
      </c>
      <c r="H206" s="108" t="inlineStr">
        <is>
          <t>Nakit</t>
        </is>
      </c>
      <c r="I206" s="109" t="n"/>
      <c r="J206" s="109" t="inlineStr">
        <is>
          <t>NAKİT ÖDENEN</t>
        </is>
      </c>
      <c r="K206" s="109" t="n"/>
      <c r="L206" s="226">
        <f>IF($E206="","",DATE(YEAR($E206),MONTH($E206),1))</f>
        <v/>
      </c>
      <c r="M206" s="113">
        <f>IF($D206="","",IF($C206="TANIMSIZ MÜŞTERİ","HATA",IF(OR($E206="",$F206&lt;=0,$G206=""),"EKSİK",IF($E206&gt;TODAY(),"İLERİ TARİH",IF(COUNTIF($S$7:$S$1506,$S206)&gt;1,"MÜKERRER?",IF($T206&gt;0,"KAPALI DÖNEM","UYGUN"))))))</f>
        <v/>
      </c>
      <c r="N206" s="121">
        <f>IF($C206="","",IF($C206="TANIMSIZ MÜŞTERİ","—",INDEX(MUSTERILER!$C$7:$C$106,MATCH($C206,MUSTERILER!$B$7:$B$106,0))))</f>
        <v/>
      </c>
      <c r="O206" s="6" t="n"/>
      <c r="P206" s="6" t="n"/>
      <c r="Q206" s="3">
        <f>IF($D206="","",$C206&amp;"|"&amp;COUNTIFS($C$7:$C206,$C206))</f>
        <v/>
      </c>
      <c r="R206" s="3">
        <f>IF($D206="","",UPPER(SUBSTITUTE(SUBSTITUTE(SUBSTITUTE(SUBSTITUTE(SUBSTITUTE(SUBSTITUTE(SUBSTITUTE(SUBSTITUTE(SUBSTITUTE(SUBSTITUTE(SUBSTITUTE(SUBSTITUTE(SUBSTITUTE(SUBSTITUTE(SUBSTITUTE(SUBSTITUTE(SUBSTITUTE(SUBSTITUTE(TRIM($D206),"'",""),"İ","I"),"ı","I"),"i","I"),"Ş","S"),"ş","S"),"Ğ","G"),"ğ","G"),"Ü","U"),"ü","U"),"Ö","O"),"ö","O"),"Ç","C"),"ç","C"),".",""),",","")," ",""),"-","")))</f>
        <v/>
      </c>
      <c r="S206" s="3">
        <f>IF($D206="","",$C206&amp;"|"&amp;TEXT($E206,"0")&amp;"|"&amp;TEXT($F206,"0")&amp;"|"&amp;$I206)</f>
        <v/>
      </c>
      <c r="T206" s="3">
        <f>IF($E206="",0,SUMPRODUCT((AY_SONU!$O$7:$O$42="Evet")*(AY_SONU!$B$7:$B$42=DATE(YEAR($E206),MONTH($E206),1))))</f>
        <v/>
      </c>
    </row>
    <row r="207">
      <c r="A207" s="6" t="n"/>
      <c r="B207" s="113">
        <f>IF($D207="","","T"&amp;TEXT(ROW()-6,"00000"))</f>
        <v/>
      </c>
      <c r="C207" s="113">
        <f>IF($D207="","",IFERROR(INDEX(MUSTERILER!$B$7:$B$106,MATCH($R207,MUSTERILER!$T$7:$T$106,0)),IFERROR(INDEX(MUSTERILER!$B$7:$B$106,MATCH($D207,MUSTERILER!$B$7:$B$106,0)),IFERROR(INDEX(MUSTERILER!$B$7:$B$106,MATCH($R207&amp;"*",MUSTERILER!$T$7:$T$106,0)),"TANIMSIZ MÜŞTERİ"))))</f>
        <v/>
      </c>
      <c r="D207" s="109" t="inlineStr">
        <is>
          <t>Zümrüt Grup Ltd.Şti.</t>
        </is>
      </c>
      <c r="E207" s="220" t="n">
        <v>46116</v>
      </c>
      <c r="F207" s="221" t="n">
        <v>1750</v>
      </c>
      <c r="G207" s="108" t="inlineStr">
        <is>
          <t>MERKEZ KASA</t>
        </is>
      </c>
      <c r="H207" s="108" t="inlineStr">
        <is>
          <t>Nakit</t>
        </is>
      </c>
      <c r="I207" s="109" t="n"/>
      <c r="J207" s="109" t="inlineStr">
        <is>
          <t>NAKİT ÖDENEN</t>
        </is>
      </c>
      <c r="K207" s="109" t="n"/>
      <c r="L207" s="226">
        <f>IF($E207="","",DATE(YEAR($E207),MONTH($E207),1))</f>
        <v/>
      </c>
      <c r="M207" s="113">
        <f>IF($D207="","",IF($C207="TANIMSIZ MÜŞTERİ","HATA",IF(OR($E207="",$F207&lt;=0,$G207=""),"EKSİK",IF($E207&gt;TODAY(),"İLERİ TARİH",IF(COUNTIF($S$7:$S$1506,$S207)&gt;1,"MÜKERRER?",IF($T207&gt;0,"KAPALI DÖNEM","UYGUN"))))))</f>
        <v/>
      </c>
      <c r="N207" s="121">
        <f>IF($C207="","",IF($C207="TANIMSIZ MÜŞTERİ","—",INDEX(MUSTERILER!$C$7:$C$106,MATCH($C207,MUSTERILER!$B$7:$B$106,0))))</f>
        <v/>
      </c>
      <c r="O207" s="6" t="n"/>
      <c r="P207" s="6" t="n"/>
      <c r="Q207" s="3">
        <f>IF($D207="","",$C207&amp;"|"&amp;COUNTIFS($C$7:$C207,$C207))</f>
        <v/>
      </c>
      <c r="R207" s="3">
        <f>IF($D207="","",UPPER(SUBSTITUTE(SUBSTITUTE(SUBSTITUTE(SUBSTITUTE(SUBSTITUTE(SUBSTITUTE(SUBSTITUTE(SUBSTITUTE(SUBSTITUTE(SUBSTITUTE(SUBSTITUTE(SUBSTITUTE(SUBSTITUTE(SUBSTITUTE(SUBSTITUTE(SUBSTITUTE(SUBSTITUTE(SUBSTITUTE(TRIM($D207),"'",""),"İ","I"),"ı","I"),"i","I"),"Ş","S"),"ş","S"),"Ğ","G"),"ğ","G"),"Ü","U"),"ü","U"),"Ö","O"),"ö","O"),"Ç","C"),"ç","C"),".",""),",","")," ",""),"-","")))</f>
        <v/>
      </c>
      <c r="S207" s="3">
        <f>IF($D207="","",$C207&amp;"|"&amp;TEXT($E207,"0")&amp;"|"&amp;TEXT($F207,"0")&amp;"|"&amp;$I207)</f>
        <v/>
      </c>
      <c r="T207" s="3">
        <f>IF($E207="",0,SUMPRODUCT((AY_SONU!$O$7:$O$42="Evet")*(AY_SONU!$B$7:$B$42=DATE(YEAR($E207),MONTH($E207),1))))</f>
        <v/>
      </c>
    </row>
    <row r="208">
      <c r="A208" s="6" t="n"/>
      <c r="B208" s="113">
        <f>IF($D208="","","T"&amp;TEXT(ROW()-6,"00000"))</f>
        <v/>
      </c>
      <c r="C208" s="113">
        <f>IF($D208="","",IFERROR(INDEX(MUSTERILER!$B$7:$B$106,MATCH($R208,MUSTERILER!$T$7:$T$106,0)),IFERROR(INDEX(MUSTERILER!$B$7:$B$106,MATCH($D208,MUSTERILER!$B$7:$B$106,0)),IFERROR(INDEX(MUSTERILER!$B$7:$B$106,MATCH($R208&amp;"*",MUSTERILER!$T$7:$T$106,0)),"TANIMSIZ MÜŞTERİ"))))</f>
        <v/>
      </c>
      <c r="D208" s="109" t="inlineStr">
        <is>
          <t>ESERLİ LTD.ŞTİ.</t>
        </is>
      </c>
      <c r="E208" s="220" t="n">
        <v>46116</v>
      </c>
      <c r="F208" s="221" t="n">
        <v>3500</v>
      </c>
      <c r="G208" s="108" t="inlineStr">
        <is>
          <t>MERKEZ KASA</t>
        </is>
      </c>
      <c r="H208" s="108" t="inlineStr">
        <is>
          <t>Nakit</t>
        </is>
      </c>
      <c r="I208" s="109" t="n"/>
      <c r="J208" s="109" t="inlineStr">
        <is>
          <t>NAKİT ÖDENEN</t>
        </is>
      </c>
      <c r="K208" s="109" t="n"/>
      <c r="L208" s="226">
        <f>IF($E208="","",DATE(YEAR($E208),MONTH($E208),1))</f>
        <v/>
      </c>
      <c r="M208" s="113">
        <f>IF($D208="","",IF($C208="TANIMSIZ MÜŞTERİ","HATA",IF(OR($E208="",$F208&lt;=0,$G208=""),"EKSİK",IF($E208&gt;TODAY(),"İLERİ TARİH",IF(COUNTIF($S$7:$S$1506,$S208)&gt;1,"MÜKERRER?",IF($T208&gt;0,"KAPALI DÖNEM","UYGUN"))))))</f>
        <v/>
      </c>
      <c r="N208" s="121">
        <f>IF($C208="","",IF($C208="TANIMSIZ MÜŞTERİ","—",INDEX(MUSTERILER!$C$7:$C$106,MATCH($C208,MUSTERILER!$B$7:$B$106,0))))</f>
        <v/>
      </c>
      <c r="O208" s="6" t="n"/>
      <c r="P208" s="6" t="n"/>
      <c r="Q208" s="3">
        <f>IF($D208="","",$C208&amp;"|"&amp;COUNTIFS($C$7:$C208,$C208))</f>
        <v/>
      </c>
      <c r="R208" s="3">
        <f>IF($D208="","",UPPER(SUBSTITUTE(SUBSTITUTE(SUBSTITUTE(SUBSTITUTE(SUBSTITUTE(SUBSTITUTE(SUBSTITUTE(SUBSTITUTE(SUBSTITUTE(SUBSTITUTE(SUBSTITUTE(SUBSTITUTE(SUBSTITUTE(SUBSTITUTE(SUBSTITUTE(SUBSTITUTE(SUBSTITUTE(SUBSTITUTE(TRIM($D208),"'",""),"İ","I"),"ı","I"),"i","I"),"Ş","S"),"ş","S"),"Ğ","G"),"ğ","G"),"Ü","U"),"ü","U"),"Ö","O"),"ö","O"),"Ç","C"),"ç","C"),".",""),",","")," ",""),"-","")))</f>
        <v/>
      </c>
      <c r="S208" s="3">
        <f>IF($D208="","",$C208&amp;"|"&amp;TEXT($E208,"0")&amp;"|"&amp;TEXT($F208,"0")&amp;"|"&amp;$I208)</f>
        <v/>
      </c>
      <c r="T208" s="3">
        <f>IF($E208="",0,SUMPRODUCT((AY_SONU!$O$7:$O$42="Evet")*(AY_SONU!$B$7:$B$42=DATE(YEAR($E208),MONTH($E208),1))))</f>
        <v/>
      </c>
    </row>
    <row r="209">
      <c r="A209" s="6" t="n"/>
      <c r="B209" s="113">
        <f>IF($D209="","","T"&amp;TEXT(ROW()-6,"00000"))</f>
        <v/>
      </c>
      <c r="C209" s="113">
        <f>IF($D209="","",IFERROR(INDEX(MUSTERILER!$B$7:$B$106,MATCH($R209,MUSTERILER!$T$7:$T$106,0)),IFERROR(INDEX(MUSTERILER!$B$7:$B$106,MATCH($D209,MUSTERILER!$B$7:$B$106,0)),IFERROR(INDEX(MUSTERILER!$B$7:$B$106,MATCH($R209&amp;"*",MUSTERILER!$T$7:$T$106,0)),"TANIMSIZ MÜŞTERİ"))))</f>
        <v/>
      </c>
      <c r="D209" s="109" t="inlineStr">
        <is>
          <t>KRİSTAL LTD.ŞTİ.</t>
        </is>
      </c>
      <c r="E209" s="220" t="n">
        <v>46116</v>
      </c>
      <c r="F209" s="221" t="n">
        <v>3000</v>
      </c>
      <c r="G209" s="108" t="inlineStr">
        <is>
          <t>MERKEZ KASA</t>
        </is>
      </c>
      <c r="H209" s="108" t="inlineStr">
        <is>
          <t>Nakit</t>
        </is>
      </c>
      <c r="I209" s="109" t="n"/>
      <c r="J209" s="109" t="inlineStr">
        <is>
          <t>NAKİT ÖDENEN</t>
        </is>
      </c>
      <c r="K209" s="109" t="n"/>
      <c r="L209" s="226">
        <f>IF($E209="","",DATE(YEAR($E209),MONTH($E209),1))</f>
        <v/>
      </c>
      <c r="M209" s="113">
        <f>IF($D209="","",IF($C209="TANIMSIZ MÜŞTERİ","HATA",IF(OR($E209="",$F209&lt;=0,$G209=""),"EKSİK",IF($E209&gt;TODAY(),"İLERİ TARİH",IF(COUNTIF($S$7:$S$1506,$S209)&gt;1,"MÜKERRER?",IF($T209&gt;0,"KAPALI DÖNEM","UYGUN"))))))</f>
        <v/>
      </c>
      <c r="N209" s="121">
        <f>IF($C209="","",IF($C209="TANIMSIZ MÜŞTERİ","—",INDEX(MUSTERILER!$C$7:$C$106,MATCH($C209,MUSTERILER!$B$7:$B$106,0))))</f>
        <v/>
      </c>
      <c r="O209" s="6" t="n"/>
      <c r="P209" s="6" t="n"/>
      <c r="Q209" s="3">
        <f>IF($D209="","",$C209&amp;"|"&amp;COUNTIFS($C$7:$C209,$C209))</f>
        <v/>
      </c>
      <c r="R209" s="3">
        <f>IF($D209="","",UPPER(SUBSTITUTE(SUBSTITUTE(SUBSTITUTE(SUBSTITUTE(SUBSTITUTE(SUBSTITUTE(SUBSTITUTE(SUBSTITUTE(SUBSTITUTE(SUBSTITUTE(SUBSTITUTE(SUBSTITUTE(SUBSTITUTE(SUBSTITUTE(SUBSTITUTE(SUBSTITUTE(SUBSTITUTE(SUBSTITUTE(TRIM($D209),"'",""),"İ","I"),"ı","I"),"i","I"),"Ş","S"),"ş","S"),"Ğ","G"),"ğ","G"),"Ü","U"),"ü","U"),"Ö","O"),"ö","O"),"Ç","C"),"ç","C"),".",""),",","")," ",""),"-","")))</f>
        <v/>
      </c>
      <c r="S209" s="3">
        <f>IF($D209="","",$C209&amp;"|"&amp;TEXT($E209,"0")&amp;"|"&amp;TEXT($F209,"0")&amp;"|"&amp;$I209)</f>
        <v/>
      </c>
      <c r="T209" s="3">
        <f>IF($E209="",0,SUMPRODUCT((AY_SONU!$O$7:$O$42="Evet")*(AY_SONU!$B$7:$B$42=DATE(YEAR($E209),MONTH($E209),1))))</f>
        <v/>
      </c>
    </row>
    <row r="210">
      <c r="A210" s="6" t="n"/>
      <c r="B210" s="113">
        <f>IF($D210="","","T"&amp;TEXT(ROW()-6,"00000"))</f>
        <v/>
      </c>
      <c r="C210" s="113">
        <f>IF($D210="","",IFERROR(INDEX(MUSTERILER!$B$7:$B$106,MATCH($R210,MUSTERILER!$T$7:$T$106,0)),IFERROR(INDEX(MUSTERILER!$B$7:$B$106,MATCH($D210,MUSTERILER!$B$7:$B$106,0)),IFERROR(INDEX(MUSTERILER!$B$7:$B$106,MATCH($R210&amp;"*",MUSTERILER!$T$7:$T$106,0)),"TANIMSIZ MÜŞTERİ"))))</f>
        <v/>
      </c>
      <c r="D210" s="109" t="inlineStr">
        <is>
          <t>PALAOĞULLARI LTD.ŞTİ.</t>
        </is>
      </c>
      <c r="E210" s="220" t="n">
        <v>46116</v>
      </c>
      <c r="F210" s="221" t="n">
        <v>4000</v>
      </c>
      <c r="G210" s="108" t="inlineStr">
        <is>
          <t>MERKEZ KASA</t>
        </is>
      </c>
      <c r="H210" s="108" t="inlineStr">
        <is>
          <t>Nakit</t>
        </is>
      </c>
      <c r="I210" s="109" t="n"/>
      <c r="J210" s="109" t="inlineStr">
        <is>
          <t>NAKİT ÖDENEN</t>
        </is>
      </c>
      <c r="K210" s="109" t="n"/>
      <c r="L210" s="226">
        <f>IF($E210="","",DATE(YEAR($E210),MONTH($E210),1))</f>
        <v/>
      </c>
      <c r="M210" s="113">
        <f>IF($D210="","",IF($C210="TANIMSIZ MÜŞTERİ","HATA",IF(OR($E210="",$F210&lt;=0,$G210=""),"EKSİK",IF($E210&gt;TODAY(),"İLERİ TARİH",IF(COUNTIF($S$7:$S$1506,$S210)&gt;1,"MÜKERRER?",IF($T210&gt;0,"KAPALI DÖNEM","UYGUN"))))))</f>
        <v/>
      </c>
      <c r="N210" s="121">
        <f>IF($C210="","",IF($C210="TANIMSIZ MÜŞTERİ","—",INDEX(MUSTERILER!$C$7:$C$106,MATCH($C210,MUSTERILER!$B$7:$B$106,0))))</f>
        <v/>
      </c>
      <c r="O210" s="6" t="n"/>
      <c r="P210" s="6" t="n"/>
      <c r="Q210" s="3">
        <f>IF($D210="","",$C210&amp;"|"&amp;COUNTIFS($C$7:$C210,$C210))</f>
        <v/>
      </c>
      <c r="R210" s="3">
        <f>IF($D210="","",UPPER(SUBSTITUTE(SUBSTITUTE(SUBSTITUTE(SUBSTITUTE(SUBSTITUTE(SUBSTITUTE(SUBSTITUTE(SUBSTITUTE(SUBSTITUTE(SUBSTITUTE(SUBSTITUTE(SUBSTITUTE(SUBSTITUTE(SUBSTITUTE(SUBSTITUTE(SUBSTITUTE(SUBSTITUTE(SUBSTITUTE(TRIM($D210),"'",""),"İ","I"),"ı","I"),"i","I"),"Ş","S"),"ş","S"),"Ğ","G"),"ğ","G"),"Ü","U"),"ü","U"),"Ö","O"),"ö","O"),"Ç","C"),"ç","C"),".",""),",","")," ",""),"-","")))</f>
        <v/>
      </c>
      <c r="S210" s="3">
        <f>IF($D210="","",$C210&amp;"|"&amp;TEXT($E210,"0")&amp;"|"&amp;TEXT($F210,"0")&amp;"|"&amp;$I210)</f>
        <v/>
      </c>
      <c r="T210" s="3">
        <f>IF($E210="",0,SUMPRODUCT((AY_SONU!$O$7:$O$42="Evet")*(AY_SONU!$B$7:$B$42=DATE(YEAR($E210),MONTH($E210),1))))</f>
        <v/>
      </c>
    </row>
    <row r="211">
      <c r="A211" s="6" t="n"/>
      <c r="B211" s="113">
        <f>IF($D211="","","T"&amp;TEXT(ROW()-6,"00000"))</f>
        <v/>
      </c>
      <c r="C211" s="113">
        <f>IF($D211="","",IFERROR(INDEX(MUSTERILER!$B$7:$B$106,MATCH($R211,MUSTERILER!$T$7:$T$106,0)),IFERROR(INDEX(MUSTERILER!$B$7:$B$106,MATCH($D211,MUSTERILER!$B$7:$B$106,0)),IFERROR(INDEX(MUSTERILER!$B$7:$B$106,MATCH($R211&amp;"*",MUSTERILER!$T$7:$T$106,0)),"TANIMSIZ MÜŞTERİ"))))</f>
        <v/>
      </c>
      <c r="D211" s="109" t="inlineStr">
        <is>
          <t>RASİM DEMİRCİ</t>
        </is>
      </c>
      <c r="E211" s="220" t="n">
        <v>46122</v>
      </c>
      <c r="F211" s="221" t="n">
        <v>10000</v>
      </c>
      <c r="G211" s="108" t="inlineStr">
        <is>
          <t>ÖMER KARTAL</t>
        </is>
      </c>
      <c r="H211" s="108" t="inlineStr">
        <is>
          <t>Nakit</t>
        </is>
      </c>
      <c r="I211" s="109" t="n"/>
      <c r="J211" s="109" t="inlineStr">
        <is>
          <t>NAKİT ÖDENEN</t>
        </is>
      </c>
      <c r="K211" s="109" t="n"/>
      <c r="L211" s="226">
        <f>IF($E211="","",DATE(YEAR($E211),MONTH($E211),1))</f>
        <v/>
      </c>
      <c r="M211" s="113">
        <f>IF($D211="","",IF($C211="TANIMSIZ MÜŞTERİ","HATA",IF(OR($E211="",$F211&lt;=0,$G211=""),"EKSİK",IF($E211&gt;TODAY(),"İLERİ TARİH",IF(COUNTIF($S$7:$S$1506,$S211)&gt;1,"MÜKERRER?",IF($T211&gt;0,"KAPALI DÖNEM","UYGUN"))))))</f>
        <v/>
      </c>
      <c r="N211" s="121">
        <f>IF($C211="","",IF($C211="TANIMSIZ MÜŞTERİ","—",INDEX(MUSTERILER!$C$7:$C$106,MATCH($C211,MUSTERILER!$B$7:$B$106,0))))</f>
        <v/>
      </c>
      <c r="O211" s="6" t="n"/>
      <c r="P211" s="6" t="n"/>
      <c r="Q211" s="3">
        <f>IF($D211="","",$C211&amp;"|"&amp;COUNTIFS($C$7:$C211,$C211))</f>
        <v/>
      </c>
      <c r="R211" s="3">
        <f>IF($D211="","",UPPER(SUBSTITUTE(SUBSTITUTE(SUBSTITUTE(SUBSTITUTE(SUBSTITUTE(SUBSTITUTE(SUBSTITUTE(SUBSTITUTE(SUBSTITUTE(SUBSTITUTE(SUBSTITUTE(SUBSTITUTE(SUBSTITUTE(SUBSTITUTE(SUBSTITUTE(SUBSTITUTE(SUBSTITUTE(SUBSTITUTE(TRIM($D211),"'",""),"İ","I"),"ı","I"),"i","I"),"Ş","S"),"ş","S"),"Ğ","G"),"ğ","G"),"Ü","U"),"ü","U"),"Ö","O"),"ö","O"),"Ç","C"),"ç","C"),".",""),",","")," ",""),"-","")))</f>
        <v/>
      </c>
      <c r="S211" s="3">
        <f>IF($D211="","",$C211&amp;"|"&amp;TEXT($E211,"0")&amp;"|"&amp;TEXT($F211,"0")&amp;"|"&amp;$I211)</f>
        <v/>
      </c>
      <c r="T211" s="3">
        <f>IF($E211="",0,SUMPRODUCT((AY_SONU!$O$7:$O$42="Evet")*(AY_SONU!$B$7:$B$42=DATE(YEAR($E211),MONTH($E211),1))))</f>
        <v/>
      </c>
    </row>
    <row r="212">
      <c r="A212" s="6" t="n"/>
      <c r="B212" s="113">
        <f>IF($D212="","","T"&amp;TEXT(ROW()-6,"00000"))</f>
        <v/>
      </c>
      <c r="C212" s="113">
        <f>IF($D212="","",IFERROR(INDEX(MUSTERILER!$B$7:$B$106,MATCH($R212,MUSTERILER!$T$7:$T$106,0)),IFERROR(INDEX(MUSTERILER!$B$7:$B$106,MATCH($D212,MUSTERILER!$B$7:$B$106,0)),IFERROR(INDEX(MUSTERILER!$B$7:$B$106,MATCH($R212&amp;"*",MUSTERILER!$T$7:$T$106,0)),"TANIMSIZ MÜŞTERİ"))))</f>
        <v/>
      </c>
      <c r="D212" s="109" t="inlineStr">
        <is>
          <t>ASIM AÇIKGÖZ</t>
        </is>
      </c>
      <c r="E212" s="220" t="n">
        <v>46123</v>
      </c>
      <c r="F212" s="221" t="n">
        <v>2000</v>
      </c>
      <c r="G212" s="108" t="inlineStr">
        <is>
          <t>ÖMER KARTAL</t>
        </is>
      </c>
      <c r="H212" s="108" t="inlineStr">
        <is>
          <t>Nakit</t>
        </is>
      </c>
      <c r="I212" s="109" t="n"/>
      <c r="J212" s="109" t="inlineStr">
        <is>
          <t>NAKİT ÖDENEN</t>
        </is>
      </c>
      <c r="K212" s="109" t="n"/>
      <c r="L212" s="226">
        <f>IF($E212="","",DATE(YEAR($E212),MONTH($E212),1))</f>
        <v/>
      </c>
      <c r="M212" s="113">
        <f>IF($D212="","",IF($C212="TANIMSIZ MÜŞTERİ","HATA",IF(OR($E212="",$F212&lt;=0,$G212=""),"EKSİK",IF($E212&gt;TODAY(),"İLERİ TARİH",IF(COUNTIF($S$7:$S$1506,$S212)&gt;1,"MÜKERRER?",IF($T212&gt;0,"KAPALI DÖNEM","UYGUN"))))))</f>
        <v/>
      </c>
      <c r="N212" s="121">
        <f>IF($C212="","",IF($C212="TANIMSIZ MÜŞTERİ","—",INDEX(MUSTERILER!$C$7:$C$106,MATCH($C212,MUSTERILER!$B$7:$B$106,0))))</f>
        <v/>
      </c>
      <c r="O212" s="6" t="n"/>
      <c r="P212" s="6" t="n"/>
      <c r="Q212" s="3">
        <f>IF($D212="","",$C212&amp;"|"&amp;COUNTIFS($C$7:$C212,$C212))</f>
        <v/>
      </c>
      <c r="R212" s="3">
        <f>IF($D212="","",UPPER(SUBSTITUTE(SUBSTITUTE(SUBSTITUTE(SUBSTITUTE(SUBSTITUTE(SUBSTITUTE(SUBSTITUTE(SUBSTITUTE(SUBSTITUTE(SUBSTITUTE(SUBSTITUTE(SUBSTITUTE(SUBSTITUTE(SUBSTITUTE(SUBSTITUTE(SUBSTITUTE(SUBSTITUTE(SUBSTITUTE(TRIM($D212),"'",""),"İ","I"),"ı","I"),"i","I"),"Ş","S"),"ş","S"),"Ğ","G"),"ğ","G"),"Ü","U"),"ü","U"),"Ö","O"),"ö","O"),"Ç","C"),"ç","C"),".",""),",","")," ",""),"-","")))</f>
        <v/>
      </c>
      <c r="S212" s="3">
        <f>IF($D212="","",$C212&amp;"|"&amp;TEXT($E212,"0")&amp;"|"&amp;TEXT($F212,"0")&amp;"|"&amp;$I212)</f>
        <v/>
      </c>
      <c r="T212" s="3">
        <f>IF($E212="",0,SUMPRODUCT((AY_SONU!$O$7:$O$42="Evet")*(AY_SONU!$B$7:$B$42=DATE(YEAR($E212),MONTH($E212),1))))</f>
        <v/>
      </c>
    </row>
    <row r="213">
      <c r="A213" s="6" t="n"/>
      <c r="B213" s="113">
        <f>IF($D213="","","T"&amp;TEXT(ROW()-6,"00000"))</f>
        <v/>
      </c>
      <c r="C213" s="113">
        <f>IF($D213="","",IFERROR(INDEX(MUSTERILER!$B$7:$B$106,MATCH($R213,MUSTERILER!$T$7:$T$106,0)),IFERROR(INDEX(MUSTERILER!$B$7:$B$106,MATCH($D213,MUSTERILER!$B$7:$B$106,0)),IFERROR(INDEX(MUSTERILER!$B$7:$B$106,MATCH($R213&amp;"*",MUSTERILER!$T$7:$T$106,0)),"TANIMSIZ MÜŞTERİ"))))</f>
        <v/>
      </c>
      <c r="D213" s="109" t="inlineStr">
        <is>
          <t>ASM EĞLENCE LTD.ŞTİ.</t>
        </is>
      </c>
      <c r="E213" s="220" t="n">
        <v>46123</v>
      </c>
      <c r="F213" s="221" t="n">
        <v>2500</v>
      </c>
      <c r="G213" s="108" t="inlineStr">
        <is>
          <t>ÖMER KARTAL</t>
        </is>
      </c>
      <c r="H213" s="108" t="inlineStr">
        <is>
          <t>Nakit</t>
        </is>
      </c>
      <c r="I213" s="109" t="n"/>
      <c r="J213" s="109" t="inlineStr">
        <is>
          <t>NAKİT ÖDENEN</t>
        </is>
      </c>
      <c r="K213" s="109" t="n"/>
      <c r="L213" s="226">
        <f>IF($E213="","",DATE(YEAR($E213),MONTH($E213),1))</f>
        <v/>
      </c>
      <c r="M213" s="113">
        <f>IF($D213="","",IF($C213="TANIMSIZ MÜŞTERİ","HATA",IF(OR($E213="",$F213&lt;=0,$G213=""),"EKSİK",IF($E213&gt;TODAY(),"İLERİ TARİH",IF(COUNTIF($S$7:$S$1506,$S213)&gt;1,"MÜKERRER?",IF($T213&gt;0,"KAPALI DÖNEM","UYGUN"))))))</f>
        <v/>
      </c>
      <c r="N213" s="121">
        <f>IF($C213="","",IF($C213="TANIMSIZ MÜŞTERİ","—",INDEX(MUSTERILER!$C$7:$C$106,MATCH($C213,MUSTERILER!$B$7:$B$106,0))))</f>
        <v/>
      </c>
      <c r="O213" s="6" t="n"/>
      <c r="P213" s="6" t="n"/>
      <c r="Q213" s="3">
        <f>IF($D213="","",$C213&amp;"|"&amp;COUNTIFS($C$7:$C213,$C213))</f>
        <v/>
      </c>
      <c r="R213" s="3">
        <f>IF($D213="","",UPPER(SUBSTITUTE(SUBSTITUTE(SUBSTITUTE(SUBSTITUTE(SUBSTITUTE(SUBSTITUTE(SUBSTITUTE(SUBSTITUTE(SUBSTITUTE(SUBSTITUTE(SUBSTITUTE(SUBSTITUTE(SUBSTITUTE(SUBSTITUTE(SUBSTITUTE(SUBSTITUTE(SUBSTITUTE(SUBSTITUTE(TRIM($D213),"'",""),"İ","I"),"ı","I"),"i","I"),"Ş","S"),"ş","S"),"Ğ","G"),"ğ","G"),"Ü","U"),"ü","U"),"Ö","O"),"ö","O"),"Ç","C"),"ç","C"),".",""),",","")," ",""),"-","")))</f>
        <v/>
      </c>
      <c r="S213" s="3">
        <f>IF($D213="","",$C213&amp;"|"&amp;TEXT($E213,"0")&amp;"|"&amp;TEXT($F213,"0")&amp;"|"&amp;$I213)</f>
        <v/>
      </c>
      <c r="T213" s="3">
        <f>IF($E213="",0,SUMPRODUCT((AY_SONU!$O$7:$O$42="Evet")*(AY_SONU!$B$7:$B$42=DATE(YEAR($E213),MONTH($E213),1))))</f>
        <v/>
      </c>
    </row>
    <row r="214">
      <c r="A214" s="6" t="n"/>
      <c r="B214" s="113">
        <f>IF($D214="","","T"&amp;TEXT(ROW()-6,"00000"))</f>
        <v/>
      </c>
      <c r="C214" s="113">
        <f>IF($D214="","",IFERROR(INDEX(MUSTERILER!$B$7:$B$106,MATCH($R214,MUSTERILER!$T$7:$T$106,0)),IFERROR(INDEX(MUSTERILER!$B$7:$B$106,MATCH($D214,MUSTERILER!$B$7:$B$106,0)),IFERROR(INDEX(MUSTERILER!$B$7:$B$106,MATCH($R214&amp;"*",MUSTERILER!$T$7:$T$106,0)),"TANIMSIZ MÜŞTERİ"))))</f>
        <v/>
      </c>
      <c r="D214" s="109" t="inlineStr">
        <is>
          <t>Çayıralan Ltd.Şti.</t>
        </is>
      </c>
      <c r="E214" s="220" t="n">
        <v>46123</v>
      </c>
      <c r="F214" s="221" t="n">
        <v>3000</v>
      </c>
      <c r="G214" s="108" t="inlineStr">
        <is>
          <t>ÖMER KARTAL</t>
        </is>
      </c>
      <c r="H214" s="108" t="inlineStr">
        <is>
          <t>Nakit</t>
        </is>
      </c>
      <c r="I214" s="109" t="n"/>
      <c r="J214" s="109" t="inlineStr">
        <is>
          <t>ÖMER KARTALA ÖDENEN</t>
        </is>
      </c>
      <c r="K214" s="109" t="n"/>
      <c r="L214" s="226">
        <f>IF($E214="","",DATE(YEAR($E214),MONTH($E214),1))</f>
        <v/>
      </c>
      <c r="M214" s="113">
        <f>IF($D214="","",IF($C214="TANIMSIZ MÜŞTERİ","HATA",IF(OR($E214="",$F214&lt;=0,$G214=""),"EKSİK",IF($E214&gt;TODAY(),"İLERİ TARİH",IF(COUNTIF($S$7:$S$1506,$S214)&gt;1,"MÜKERRER?",IF($T214&gt;0,"KAPALI DÖNEM","UYGUN"))))))</f>
        <v/>
      </c>
      <c r="N214" s="121">
        <f>IF($C214="","",IF($C214="TANIMSIZ MÜŞTERİ","—",INDEX(MUSTERILER!$C$7:$C$106,MATCH($C214,MUSTERILER!$B$7:$B$106,0))))</f>
        <v/>
      </c>
      <c r="O214" s="6" t="n"/>
      <c r="P214" s="6" t="n"/>
      <c r="Q214" s="3">
        <f>IF($D214="","",$C214&amp;"|"&amp;COUNTIFS($C$7:$C214,$C214))</f>
        <v/>
      </c>
      <c r="R214" s="3">
        <f>IF($D214="","",UPPER(SUBSTITUTE(SUBSTITUTE(SUBSTITUTE(SUBSTITUTE(SUBSTITUTE(SUBSTITUTE(SUBSTITUTE(SUBSTITUTE(SUBSTITUTE(SUBSTITUTE(SUBSTITUTE(SUBSTITUTE(SUBSTITUTE(SUBSTITUTE(SUBSTITUTE(SUBSTITUTE(SUBSTITUTE(SUBSTITUTE(TRIM($D214),"'",""),"İ","I"),"ı","I"),"i","I"),"Ş","S"),"ş","S"),"Ğ","G"),"ğ","G"),"Ü","U"),"ü","U"),"Ö","O"),"ö","O"),"Ç","C"),"ç","C"),".",""),",","")," ",""),"-","")))</f>
        <v/>
      </c>
      <c r="S214" s="3">
        <f>IF($D214="","",$C214&amp;"|"&amp;TEXT($E214,"0")&amp;"|"&amp;TEXT($F214,"0")&amp;"|"&amp;$I214)</f>
        <v/>
      </c>
      <c r="T214" s="3">
        <f>IF($E214="",0,SUMPRODUCT((AY_SONU!$O$7:$O$42="Evet")*(AY_SONU!$B$7:$B$42=DATE(YEAR($E214),MONTH($E214),1))))</f>
        <v/>
      </c>
    </row>
    <row r="215">
      <c r="A215" s="6" t="n"/>
      <c r="B215" s="113">
        <f>IF($D215="","","T"&amp;TEXT(ROW()-6,"00000"))</f>
        <v/>
      </c>
      <c r="C215" s="113">
        <f>IF($D215="","",IFERROR(INDEX(MUSTERILER!$B$7:$B$106,MATCH($R215,MUSTERILER!$T$7:$T$106,0)),IFERROR(INDEX(MUSTERILER!$B$7:$B$106,MATCH($D215,MUSTERILER!$B$7:$B$106,0)),IFERROR(INDEX(MUSTERILER!$B$7:$B$106,MATCH($R215&amp;"*",MUSTERILER!$T$7:$T$106,0)),"TANIMSIZ MÜŞTERİ"))))</f>
        <v/>
      </c>
      <c r="D215" s="109" t="inlineStr">
        <is>
          <t>Final Siyah Beyaz Ltd.Şti.</t>
        </is>
      </c>
      <c r="E215" s="220" t="n">
        <v>46123</v>
      </c>
      <c r="F215" s="221" t="n">
        <v>4000</v>
      </c>
      <c r="G215" s="108" t="inlineStr">
        <is>
          <t>MERKEZ KASA</t>
        </is>
      </c>
      <c r="H215" s="108" t="inlineStr">
        <is>
          <t>Nakit</t>
        </is>
      </c>
      <c r="I215" s="109" t="n"/>
      <c r="J215" s="109" t="inlineStr">
        <is>
          <t>NAKİT ÖDENEN</t>
        </is>
      </c>
      <c r="K215" s="109" t="n"/>
      <c r="L215" s="226">
        <f>IF($E215="","",DATE(YEAR($E215),MONTH($E215),1))</f>
        <v/>
      </c>
      <c r="M215" s="113">
        <f>IF($D215="","",IF($C215="TANIMSIZ MÜŞTERİ","HATA",IF(OR($E215="",$F215&lt;=0,$G215=""),"EKSİK",IF($E215&gt;TODAY(),"İLERİ TARİH",IF(COUNTIF($S$7:$S$1506,$S215)&gt;1,"MÜKERRER?",IF($T215&gt;0,"KAPALI DÖNEM","UYGUN"))))))</f>
        <v/>
      </c>
      <c r="N215" s="121">
        <f>IF($C215="","",IF($C215="TANIMSIZ MÜŞTERİ","—",INDEX(MUSTERILER!$C$7:$C$106,MATCH($C215,MUSTERILER!$B$7:$B$106,0))))</f>
        <v/>
      </c>
      <c r="O215" s="6" t="n"/>
      <c r="P215" s="6" t="n"/>
      <c r="Q215" s="3">
        <f>IF($D215="","",$C215&amp;"|"&amp;COUNTIFS($C$7:$C215,$C215))</f>
        <v/>
      </c>
      <c r="R215" s="3">
        <f>IF($D215="","",UPPER(SUBSTITUTE(SUBSTITUTE(SUBSTITUTE(SUBSTITUTE(SUBSTITUTE(SUBSTITUTE(SUBSTITUTE(SUBSTITUTE(SUBSTITUTE(SUBSTITUTE(SUBSTITUTE(SUBSTITUTE(SUBSTITUTE(SUBSTITUTE(SUBSTITUTE(SUBSTITUTE(SUBSTITUTE(SUBSTITUTE(TRIM($D215),"'",""),"İ","I"),"ı","I"),"i","I"),"Ş","S"),"ş","S"),"Ğ","G"),"ğ","G"),"Ü","U"),"ü","U"),"Ö","O"),"ö","O"),"Ç","C"),"ç","C"),".",""),",","")," ",""),"-","")))</f>
        <v/>
      </c>
      <c r="S215" s="3">
        <f>IF($D215="","",$C215&amp;"|"&amp;TEXT($E215,"0")&amp;"|"&amp;TEXT($F215,"0")&amp;"|"&amp;$I215)</f>
        <v/>
      </c>
      <c r="T215" s="3">
        <f>IF($E215="",0,SUMPRODUCT((AY_SONU!$O$7:$O$42="Evet")*(AY_SONU!$B$7:$B$42=DATE(YEAR($E215),MONTH($E215),1))))</f>
        <v/>
      </c>
    </row>
    <row r="216">
      <c r="A216" s="6" t="n"/>
      <c r="B216" s="113">
        <f>IF($D216="","","T"&amp;TEXT(ROW()-6,"00000"))</f>
        <v/>
      </c>
      <c r="C216" s="113">
        <f>IF($D216="","",IFERROR(INDEX(MUSTERILER!$B$7:$B$106,MATCH($R216,MUSTERILER!$T$7:$T$106,0)),IFERROR(INDEX(MUSTERILER!$B$7:$B$106,MATCH($D216,MUSTERILER!$B$7:$B$106,0)),IFERROR(INDEX(MUSTERILER!$B$7:$B$106,MATCH($R216&amp;"*",MUSTERILER!$T$7:$T$106,0)),"TANIMSIZ MÜŞTERİ"))))</f>
        <v/>
      </c>
      <c r="D216" s="109" t="inlineStr">
        <is>
          <t>İbrahim Maldan</t>
        </is>
      </c>
      <c r="E216" s="220" t="n">
        <v>46123</v>
      </c>
      <c r="F216" s="221" t="n">
        <v>4000</v>
      </c>
      <c r="G216" s="108" t="inlineStr">
        <is>
          <t>ÖMER KARTAL</t>
        </is>
      </c>
      <c r="H216" s="108" t="inlineStr">
        <is>
          <t>Nakit</t>
        </is>
      </c>
      <c r="I216" s="109" t="n"/>
      <c r="J216" s="109" t="inlineStr">
        <is>
          <t>ÖMER KARTALA ÖDENEN</t>
        </is>
      </c>
      <c r="K216" s="109" t="n"/>
      <c r="L216" s="226">
        <f>IF($E216="","",DATE(YEAR($E216),MONTH($E216),1))</f>
        <v/>
      </c>
      <c r="M216" s="113">
        <f>IF($D216="","",IF($C216="TANIMSIZ MÜŞTERİ","HATA",IF(OR($E216="",$F216&lt;=0,$G216=""),"EKSİK",IF($E216&gt;TODAY(),"İLERİ TARİH",IF(COUNTIF($S$7:$S$1506,$S216)&gt;1,"MÜKERRER?",IF($T216&gt;0,"KAPALI DÖNEM","UYGUN"))))))</f>
        <v/>
      </c>
      <c r="N216" s="121">
        <f>IF($C216="","",IF($C216="TANIMSIZ MÜŞTERİ","—",INDEX(MUSTERILER!$C$7:$C$106,MATCH($C216,MUSTERILER!$B$7:$B$106,0))))</f>
        <v/>
      </c>
      <c r="O216" s="6" t="n"/>
      <c r="P216" s="6" t="n"/>
      <c r="Q216" s="3">
        <f>IF($D216="","",$C216&amp;"|"&amp;COUNTIFS($C$7:$C216,$C216))</f>
        <v/>
      </c>
      <c r="R216" s="3">
        <f>IF($D216="","",UPPER(SUBSTITUTE(SUBSTITUTE(SUBSTITUTE(SUBSTITUTE(SUBSTITUTE(SUBSTITUTE(SUBSTITUTE(SUBSTITUTE(SUBSTITUTE(SUBSTITUTE(SUBSTITUTE(SUBSTITUTE(SUBSTITUTE(SUBSTITUTE(SUBSTITUTE(SUBSTITUTE(SUBSTITUTE(SUBSTITUTE(TRIM($D216),"'",""),"İ","I"),"ı","I"),"i","I"),"Ş","S"),"ş","S"),"Ğ","G"),"ğ","G"),"Ü","U"),"ü","U"),"Ö","O"),"ö","O"),"Ç","C"),"ç","C"),".",""),",","")," ",""),"-","")))</f>
        <v/>
      </c>
      <c r="S216" s="3">
        <f>IF($D216="","",$C216&amp;"|"&amp;TEXT($E216,"0")&amp;"|"&amp;TEXT($F216,"0")&amp;"|"&amp;$I216)</f>
        <v/>
      </c>
      <c r="T216" s="3">
        <f>IF($E216="",0,SUMPRODUCT((AY_SONU!$O$7:$O$42="Evet")*(AY_SONU!$B$7:$B$42=DATE(YEAR($E216),MONTH($E216),1))))</f>
        <v/>
      </c>
    </row>
    <row r="217">
      <c r="A217" s="6" t="n"/>
      <c r="B217" s="113">
        <f>IF($D217="","","T"&amp;TEXT(ROW()-6,"00000"))</f>
        <v/>
      </c>
      <c r="C217" s="113">
        <f>IF($D217="","",IFERROR(INDEX(MUSTERILER!$B$7:$B$106,MATCH($R217,MUSTERILER!$T$7:$T$106,0)),IFERROR(INDEX(MUSTERILER!$B$7:$B$106,MATCH($D217,MUSTERILER!$B$7:$B$106,0)),IFERROR(INDEX(MUSTERILER!$B$7:$B$106,MATCH($R217&amp;"*",MUSTERILER!$T$7:$T$106,0)),"TANIMSIZ MÜŞTERİ"))))</f>
        <v/>
      </c>
      <c r="D217" s="109" t="inlineStr">
        <is>
          <t>İldeş Ltd.Şti.</t>
        </is>
      </c>
      <c r="E217" s="220" t="n">
        <v>46123</v>
      </c>
      <c r="F217" s="221" t="n">
        <v>4000</v>
      </c>
      <c r="G217" s="108" t="inlineStr">
        <is>
          <t>MERKEZ KASA</t>
        </is>
      </c>
      <c r="H217" s="108" t="inlineStr">
        <is>
          <t>Nakit</t>
        </is>
      </c>
      <c r="I217" s="109" t="n"/>
      <c r="J217" s="109" t="inlineStr">
        <is>
          <t>NAKİT ÖDENEN</t>
        </is>
      </c>
      <c r="K217" s="109" t="n"/>
      <c r="L217" s="226">
        <f>IF($E217="","",DATE(YEAR($E217),MONTH($E217),1))</f>
        <v/>
      </c>
      <c r="M217" s="113">
        <f>IF($D217="","",IF($C217="TANIMSIZ MÜŞTERİ","HATA",IF(OR($E217="",$F217&lt;=0,$G217=""),"EKSİK",IF($E217&gt;TODAY(),"İLERİ TARİH",IF(COUNTIF($S$7:$S$1506,$S217)&gt;1,"MÜKERRER?",IF($T217&gt;0,"KAPALI DÖNEM","UYGUN"))))))</f>
        <v/>
      </c>
      <c r="N217" s="121">
        <f>IF($C217="","",IF($C217="TANIMSIZ MÜŞTERİ","—",INDEX(MUSTERILER!$C$7:$C$106,MATCH($C217,MUSTERILER!$B$7:$B$106,0))))</f>
        <v/>
      </c>
      <c r="O217" s="6" t="n"/>
      <c r="P217" s="6" t="n"/>
      <c r="Q217" s="3">
        <f>IF($D217="","",$C217&amp;"|"&amp;COUNTIFS($C$7:$C217,$C217))</f>
        <v/>
      </c>
      <c r="R217" s="3">
        <f>IF($D217="","",UPPER(SUBSTITUTE(SUBSTITUTE(SUBSTITUTE(SUBSTITUTE(SUBSTITUTE(SUBSTITUTE(SUBSTITUTE(SUBSTITUTE(SUBSTITUTE(SUBSTITUTE(SUBSTITUTE(SUBSTITUTE(SUBSTITUTE(SUBSTITUTE(SUBSTITUTE(SUBSTITUTE(SUBSTITUTE(SUBSTITUTE(TRIM($D217),"'",""),"İ","I"),"ı","I"),"i","I"),"Ş","S"),"ş","S"),"Ğ","G"),"ğ","G"),"Ü","U"),"ü","U"),"Ö","O"),"ö","O"),"Ç","C"),"ç","C"),".",""),",","")," ",""),"-","")))</f>
        <v/>
      </c>
      <c r="S217" s="3">
        <f>IF($D217="","",$C217&amp;"|"&amp;TEXT($E217,"0")&amp;"|"&amp;TEXT($F217,"0")&amp;"|"&amp;$I217)</f>
        <v/>
      </c>
      <c r="T217" s="3">
        <f>IF($E217="",0,SUMPRODUCT((AY_SONU!$O$7:$O$42="Evet")*(AY_SONU!$B$7:$B$42=DATE(YEAR($E217),MONTH($E217),1))))</f>
        <v/>
      </c>
    </row>
    <row r="218">
      <c r="A218" s="6" t="n"/>
      <c r="B218" s="113">
        <f>IF($D218="","","T"&amp;TEXT(ROW()-6,"00000"))</f>
        <v/>
      </c>
      <c r="C218" s="113">
        <f>IF($D218="","",IFERROR(INDEX(MUSTERILER!$B$7:$B$106,MATCH($R218,MUSTERILER!$T$7:$T$106,0)),IFERROR(INDEX(MUSTERILER!$B$7:$B$106,MATCH($D218,MUSTERILER!$B$7:$B$106,0)),IFERROR(INDEX(MUSTERILER!$B$7:$B$106,MATCH($R218&amp;"*",MUSTERILER!$T$7:$T$106,0)),"TANIMSIZ MÜŞTERİ"))))</f>
        <v/>
      </c>
      <c r="D218" s="109" t="inlineStr">
        <is>
          <t>Naz 1 Gıda Ltd.Şti.</t>
        </is>
      </c>
      <c r="E218" s="220" t="n">
        <v>46123</v>
      </c>
      <c r="F218" s="221" t="n">
        <v>4200</v>
      </c>
      <c r="G218" s="108" t="inlineStr">
        <is>
          <t>MERKEZ KASA</t>
        </is>
      </c>
      <c r="H218" s="108" t="inlineStr">
        <is>
          <t>Nakit</t>
        </is>
      </c>
      <c r="I218" s="109" t="n"/>
      <c r="J218" s="109" t="inlineStr">
        <is>
          <t>NAKİT ÖDENEN</t>
        </is>
      </c>
      <c r="K218" s="109" t="n"/>
      <c r="L218" s="226">
        <f>IF($E218="","",DATE(YEAR($E218),MONTH($E218),1))</f>
        <v/>
      </c>
      <c r="M218" s="113">
        <f>IF($D218="","",IF($C218="TANIMSIZ MÜŞTERİ","HATA",IF(OR($E218="",$F218&lt;=0,$G218=""),"EKSİK",IF($E218&gt;TODAY(),"İLERİ TARİH",IF(COUNTIF($S$7:$S$1506,$S218)&gt;1,"MÜKERRER?",IF($T218&gt;0,"KAPALI DÖNEM","UYGUN"))))))</f>
        <v/>
      </c>
      <c r="N218" s="121">
        <f>IF($C218="","",IF($C218="TANIMSIZ MÜŞTERİ","—",INDEX(MUSTERILER!$C$7:$C$106,MATCH($C218,MUSTERILER!$B$7:$B$106,0))))</f>
        <v/>
      </c>
      <c r="O218" s="6" t="n"/>
      <c r="P218" s="6" t="n"/>
      <c r="Q218" s="3">
        <f>IF($D218="","",$C218&amp;"|"&amp;COUNTIFS($C$7:$C218,$C218))</f>
        <v/>
      </c>
      <c r="R218" s="3">
        <f>IF($D218="","",UPPER(SUBSTITUTE(SUBSTITUTE(SUBSTITUTE(SUBSTITUTE(SUBSTITUTE(SUBSTITUTE(SUBSTITUTE(SUBSTITUTE(SUBSTITUTE(SUBSTITUTE(SUBSTITUTE(SUBSTITUTE(SUBSTITUTE(SUBSTITUTE(SUBSTITUTE(SUBSTITUTE(SUBSTITUTE(SUBSTITUTE(TRIM($D218),"'",""),"İ","I"),"ı","I"),"i","I"),"Ş","S"),"ş","S"),"Ğ","G"),"ğ","G"),"Ü","U"),"ü","U"),"Ö","O"),"ö","O"),"Ç","C"),"ç","C"),".",""),",","")," ",""),"-","")))</f>
        <v/>
      </c>
      <c r="S218" s="3">
        <f>IF($D218="","",$C218&amp;"|"&amp;TEXT($E218,"0")&amp;"|"&amp;TEXT($F218,"0")&amp;"|"&amp;$I218)</f>
        <v/>
      </c>
      <c r="T218" s="3">
        <f>IF($E218="",0,SUMPRODUCT((AY_SONU!$O$7:$O$42="Evet")*(AY_SONU!$B$7:$B$42=DATE(YEAR($E218),MONTH($E218),1))))</f>
        <v/>
      </c>
    </row>
    <row r="219">
      <c r="A219" s="6" t="n"/>
      <c r="B219" s="113">
        <f>IF($D219="","","T"&amp;TEXT(ROW()-6,"00000"))</f>
        <v/>
      </c>
      <c r="C219" s="113">
        <f>IF($D219="","",IFERROR(INDEX(MUSTERILER!$B$7:$B$106,MATCH($R219,MUSTERILER!$T$7:$T$106,0)),IFERROR(INDEX(MUSTERILER!$B$7:$B$106,MATCH($D219,MUSTERILER!$B$7:$B$106,0)),IFERROR(INDEX(MUSTERILER!$B$7:$B$106,MATCH($R219&amp;"*",MUSTERILER!$T$7:$T$106,0)),"TANIMSIZ MÜŞTERİ"))))</f>
        <v/>
      </c>
      <c r="D219" s="109" t="inlineStr">
        <is>
          <t>Pakyıldız Ltd.Şti.</t>
        </is>
      </c>
      <c r="E219" s="220" t="n">
        <v>46123</v>
      </c>
      <c r="F219" s="221" t="n">
        <v>4000</v>
      </c>
      <c r="G219" s="108" t="inlineStr">
        <is>
          <t>ÖMER KARTAL</t>
        </is>
      </c>
      <c r="H219" s="108" t="inlineStr">
        <is>
          <t>Nakit</t>
        </is>
      </c>
      <c r="I219" s="109" t="n"/>
      <c r="J219" s="109" t="inlineStr">
        <is>
          <t>ÖMER KARTALA ÖDENEN</t>
        </is>
      </c>
      <c r="K219" s="109" t="n"/>
      <c r="L219" s="226">
        <f>IF($E219="","",DATE(YEAR($E219),MONTH($E219),1))</f>
        <v/>
      </c>
      <c r="M219" s="113">
        <f>IF($D219="","",IF($C219="TANIMSIZ MÜŞTERİ","HATA",IF(OR($E219="",$F219&lt;=0,$G219=""),"EKSİK",IF($E219&gt;TODAY(),"İLERİ TARİH",IF(COUNTIF($S$7:$S$1506,$S219)&gt;1,"MÜKERRER?",IF($T219&gt;0,"KAPALI DÖNEM","UYGUN"))))))</f>
        <v/>
      </c>
      <c r="N219" s="121">
        <f>IF($C219="","",IF($C219="TANIMSIZ MÜŞTERİ","—",INDEX(MUSTERILER!$C$7:$C$106,MATCH($C219,MUSTERILER!$B$7:$B$106,0))))</f>
        <v/>
      </c>
      <c r="O219" s="6" t="n"/>
      <c r="P219" s="6" t="n"/>
      <c r="Q219" s="3">
        <f>IF($D219="","",$C219&amp;"|"&amp;COUNTIFS($C$7:$C219,$C219))</f>
        <v/>
      </c>
      <c r="R219" s="3">
        <f>IF($D219="","",UPPER(SUBSTITUTE(SUBSTITUTE(SUBSTITUTE(SUBSTITUTE(SUBSTITUTE(SUBSTITUTE(SUBSTITUTE(SUBSTITUTE(SUBSTITUTE(SUBSTITUTE(SUBSTITUTE(SUBSTITUTE(SUBSTITUTE(SUBSTITUTE(SUBSTITUTE(SUBSTITUTE(SUBSTITUTE(SUBSTITUTE(TRIM($D219),"'",""),"İ","I"),"ı","I"),"i","I"),"Ş","S"),"ş","S"),"Ğ","G"),"ğ","G"),"Ü","U"),"ü","U"),"Ö","O"),"ö","O"),"Ç","C"),"ç","C"),".",""),",","")," ",""),"-","")))</f>
        <v/>
      </c>
      <c r="S219" s="3">
        <f>IF($D219="","",$C219&amp;"|"&amp;TEXT($E219,"0")&amp;"|"&amp;TEXT($F219,"0")&amp;"|"&amp;$I219)</f>
        <v/>
      </c>
      <c r="T219" s="3">
        <f>IF($E219="",0,SUMPRODUCT((AY_SONU!$O$7:$O$42="Evet")*(AY_SONU!$B$7:$B$42=DATE(YEAR($E219),MONTH($E219),1))))</f>
        <v/>
      </c>
    </row>
    <row r="220">
      <c r="A220" s="6" t="n"/>
      <c r="B220" s="113">
        <f>IF($D220="","","T"&amp;TEXT(ROW()-6,"00000"))</f>
        <v/>
      </c>
      <c r="C220" s="113">
        <f>IF($D220="","",IFERROR(INDEX(MUSTERILER!$B$7:$B$106,MATCH($R220,MUSTERILER!$T$7:$T$106,0)),IFERROR(INDEX(MUSTERILER!$B$7:$B$106,MATCH($D220,MUSTERILER!$B$7:$B$106,0)),IFERROR(INDEX(MUSTERILER!$B$7:$B$106,MATCH($R220&amp;"*",MUSTERILER!$T$7:$T$106,0)),"TANIMSIZ MÜŞTERİ"))))</f>
        <v/>
      </c>
      <c r="D220" s="109" t="inlineStr">
        <is>
          <t>Rix Şow Ltd.Şti.</t>
        </is>
      </c>
      <c r="E220" s="220" t="n">
        <v>46123</v>
      </c>
      <c r="F220" s="221" t="n">
        <v>3000</v>
      </c>
      <c r="G220" s="108" t="inlineStr">
        <is>
          <t>ÖMER KARTAL</t>
        </is>
      </c>
      <c r="H220" s="108" t="inlineStr">
        <is>
          <t>Nakit</t>
        </is>
      </c>
      <c r="I220" s="109" t="n"/>
      <c r="J220" s="109" t="inlineStr">
        <is>
          <t>ÖMER KARTALA ÖDENEN</t>
        </is>
      </c>
      <c r="K220" s="109" t="n"/>
      <c r="L220" s="226">
        <f>IF($E220="","",DATE(YEAR($E220),MONTH($E220),1))</f>
        <v/>
      </c>
      <c r="M220" s="113">
        <f>IF($D220="","",IF($C220="TANIMSIZ MÜŞTERİ","HATA",IF(OR($E220="",$F220&lt;=0,$G220=""),"EKSİK",IF($E220&gt;TODAY(),"İLERİ TARİH",IF(COUNTIF($S$7:$S$1506,$S220)&gt;1,"MÜKERRER?",IF($T220&gt;0,"KAPALI DÖNEM","UYGUN"))))))</f>
        <v/>
      </c>
      <c r="N220" s="121">
        <f>IF($C220="","",IF($C220="TANIMSIZ MÜŞTERİ","—",INDEX(MUSTERILER!$C$7:$C$106,MATCH($C220,MUSTERILER!$B$7:$B$106,0))))</f>
        <v/>
      </c>
      <c r="O220" s="6" t="n"/>
      <c r="P220" s="6" t="n"/>
      <c r="Q220" s="3">
        <f>IF($D220="","",$C220&amp;"|"&amp;COUNTIFS($C$7:$C220,$C220))</f>
        <v/>
      </c>
      <c r="R220" s="3">
        <f>IF($D220="","",UPPER(SUBSTITUTE(SUBSTITUTE(SUBSTITUTE(SUBSTITUTE(SUBSTITUTE(SUBSTITUTE(SUBSTITUTE(SUBSTITUTE(SUBSTITUTE(SUBSTITUTE(SUBSTITUTE(SUBSTITUTE(SUBSTITUTE(SUBSTITUTE(SUBSTITUTE(SUBSTITUTE(SUBSTITUTE(SUBSTITUTE(TRIM($D220),"'",""),"İ","I"),"ı","I"),"i","I"),"Ş","S"),"ş","S"),"Ğ","G"),"ğ","G"),"Ü","U"),"ü","U"),"Ö","O"),"ö","O"),"Ç","C"),"ç","C"),".",""),",","")," ",""),"-","")))</f>
        <v/>
      </c>
      <c r="S220" s="3">
        <f>IF($D220="","",$C220&amp;"|"&amp;TEXT($E220,"0")&amp;"|"&amp;TEXT($F220,"0")&amp;"|"&amp;$I220)</f>
        <v/>
      </c>
      <c r="T220" s="3">
        <f>IF($E220="",0,SUMPRODUCT((AY_SONU!$O$7:$O$42="Evet")*(AY_SONU!$B$7:$B$42=DATE(YEAR($E220),MONTH($E220),1))))</f>
        <v/>
      </c>
    </row>
    <row r="221">
      <c r="A221" s="6" t="n"/>
      <c r="B221" s="113">
        <f>IF($D221="","","T"&amp;TEXT(ROW()-6,"00000"))</f>
        <v/>
      </c>
      <c r="C221" s="113">
        <f>IF($D221="","",IFERROR(INDEX(MUSTERILER!$B$7:$B$106,MATCH($R221,MUSTERILER!$T$7:$T$106,0)),IFERROR(INDEX(MUSTERILER!$B$7:$B$106,MATCH($D221,MUSTERILER!$B$7:$B$106,0)),IFERROR(INDEX(MUSTERILER!$B$7:$B$106,MATCH($R221&amp;"*",MUSTERILER!$T$7:$T$106,0)),"TANIMSIZ MÜŞTERİ"))))</f>
        <v/>
      </c>
      <c r="D221" s="109" t="inlineStr">
        <is>
          <t>ÇINARHAN LTD.ŞTİ.</t>
        </is>
      </c>
      <c r="E221" s="220" t="n">
        <v>46123</v>
      </c>
      <c r="F221" s="221" t="n">
        <v>2500</v>
      </c>
      <c r="G221" s="108" t="inlineStr">
        <is>
          <t>ÖMER KARTAL</t>
        </is>
      </c>
      <c r="H221" s="108" t="inlineStr">
        <is>
          <t>Nakit</t>
        </is>
      </c>
      <c r="I221" s="109" t="n"/>
      <c r="J221" s="109" t="inlineStr">
        <is>
          <t>NAKİT ÖDENEN</t>
        </is>
      </c>
      <c r="K221" s="109" t="n"/>
      <c r="L221" s="226">
        <f>IF($E221="","",DATE(YEAR($E221),MONTH($E221),1))</f>
        <v/>
      </c>
      <c r="M221" s="113">
        <f>IF($D221="","",IF($C221="TANIMSIZ MÜŞTERİ","HATA",IF(OR($E221="",$F221&lt;=0,$G221=""),"EKSİK",IF($E221&gt;TODAY(),"İLERİ TARİH",IF(COUNTIF($S$7:$S$1506,$S221)&gt;1,"MÜKERRER?",IF($T221&gt;0,"KAPALI DÖNEM","UYGUN"))))))</f>
        <v/>
      </c>
      <c r="N221" s="121">
        <f>IF($C221="","",IF($C221="TANIMSIZ MÜŞTERİ","—",INDEX(MUSTERILER!$C$7:$C$106,MATCH($C221,MUSTERILER!$B$7:$B$106,0))))</f>
        <v/>
      </c>
      <c r="O221" s="6" t="n"/>
      <c r="P221" s="6" t="n"/>
      <c r="Q221" s="3">
        <f>IF($D221="","",$C221&amp;"|"&amp;COUNTIFS($C$7:$C221,$C221))</f>
        <v/>
      </c>
      <c r="R221" s="3">
        <f>IF($D221="","",UPPER(SUBSTITUTE(SUBSTITUTE(SUBSTITUTE(SUBSTITUTE(SUBSTITUTE(SUBSTITUTE(SUBSTITUTE(SUBSTITUTE(SUBSTITUTE(SUBSTITUTE(SUBSTITUTE(SUBSTITUTE(SUBSTITUTE(SUBSTITUTE(SUBSTITUTE(SUBSTITUTE(SUBSTITUTE(SUBSTITUTE(TRIM($D221),"'",""),"İ","I"),"ı","I"),"i","I"),"Ş","S"),"ş","S"),"Ğ","G"),"ğ","G"),"Ü","U"),"ü","U"),"Ö","O"),"ö","O"),"Ç","C"),"ç","C"),".",""),",","")," ",""),"-","")))</f>
        <v/>
      </c>
      <c r="S221" s="3">
        <f>IF($D221="","",$C221&amp;"|"&amp;TEXT($E221,"0")&amp;"|"&amp;TEXT($F221,"0")&amp;"|"&amp;$I221)</f>
        <v/>
      </c>
      <c r="T221" s="3">
        <f>IF($E221="",0,SUMPRODUCT((AY_SONU!$O$7:$O$42="Evet")*(AY_SONU!$B$7:$B$42=DATE(YEAR($E221),MONTH($E221),1))))</f>
        <v/>
      </c>
    </row>
    <row r="222">
      <c r="A222" s="6" t="n"/>
      <c r="B222" s="113">
        <f>IF($D222="","","T"&amp;TEXT(ROW()-6,"00000"))</f>
        <v/>
      </c>
      <c r="C222" s="113">
        <f>IF($D222="","",IFERROR(INDEX(MUSTERILER!$B$7:$B$106,MATCH($R222,MUSTERILER!$T$7:$T$106,0)),IFERROR(INDEX(MUSTERILER!$B$7:$B$106,MATCH($D222,MUSTERILER!$B$7:$B$106,0)),IFERROR(INDEX(MUSTERILER!$B$7:$B$106,MATCH($R222&amp;"*",MUSTERILER!$T$7:$T$106,0)),"TANIMSIZ MÜŞTERİ"))))</f>
        <v/>
      </c>
      <c r="D222" s="109" t="inlineStr">
        <is>
          <t>KRİSTAL LTD.ŞTİ.</t>
        </is>
      </c>
      <c r="E222" s="220" t="n">
        <v>46123</v>
      </c>
      <c r="F222" s="221" t="n">
        <v>3000</v>
      </c>
      <c r="G222" s="108" t="inlineStr">
        <is>
          <t>ÖMER KARTAL</t>
        </is>
      </c>
      <c r="H222" s="108" t="inlineStr">
        <is>
          <t>Nakit</t>
        </is>
      </c>
      <c r="I222" s="109" t="n"/>
      <c r="J222" s="109" t="inlineStr">
        <is>
          <t>NAKİT ÖDENEN</t>
        </is>
      </c>
      <c r="K222" s="109" t="n"/>
      <c r="L222" s="226">
        <f>IF($E222="","",DATE(YEAR($E222),MONTH($E222),1))</f>
        <v/>
      </c>
      <c r="M222" s="113">
        <f>IF($D222="","",IF($C222="TANIMSIZ MÜŞTERİ","HATA",IF(OR($E222="",$F222&lt;=0,$G222=""),"EKSİK",IF($E222&gt;TODAY(),"İLERİ TARİH",IF(COUNTIF($S$7:$S$1506,$S222)&gt;1,"MÜKERRER?",IF($T222&gt;0,"KAPALI DÖNEM","UYGUN"))))))</f>
        <v/>
      </c>
      <c r="N222" s="121">
        <f>IF($C222="","",IF($C222="TANIMSIZ MÜŞTERİ","—",INDEX(MUSTERILER!$C$7:$C$106,MATCH($C222,MUSTERILER!$B$7:$B$106,0))))</f>
        <v/>
      </c>
      <c r="O222" s="6" t="n"/>
      <c r="P222" s="6" t="n"/>
      <c r="Q222" s="3">
        <f>IF($D222="","",$C222&amp;"|"&amp;COUNTIFS($C$7:$C222,$C222))</f>
        <v/>
      </c>
      <c r="R222" s="3">
        <f>IF($D222="","",UPPER(SUBSTITUTE(SUBSTITUTE(SUBSTITUTE(SUBSTITUTE(SUBSTITUTE(SUBSTITUTE(SUBSTITUTE(SUBSTITUTE(SUBSTITUTE(SUBSTITUTE(SUBSTITUTE(SUBSTITUTE(SUBSTITUTE(SUBSTITUTE(SUBSTITUTE(SUBSTITUTE(SUBSTITUTE(SUBSTITUTE(TRIM($D222),"'",""),"İ","I"),"ı","I"),"i","I"),"Ş","S"),"ş","S"),"Ğ","G"),"ğ","G"),"Ü","U"),"ü","U"),"Ö","O"),"ö","O"),"Ç","C"),"ç","C"),".",""),",","")," ",""),"-","")))</f>
        <v/>
      </c>
      <c r="S222" s="3">
        <f>IF($D222="","",$C222&amp;"|"&amp;TEXT($E222,"0")&amp;"|"&amp;TEXT($F222,"0")&amp;"|"&amp;$I222)</f>
        <v/>
      </c>
      <c r="T222" s="3">
        <f>IF($E222="",0,SUMPRODUCT((AY_SONU!$O$7:$O$42="Evet")*(AY_SONU!$B$7:$B$42=DATE(YEAR($E222),MONTH($E222),1))))</f>
        <v/>
      </c>
    </row>
    <row r="223">
      <c r="A223" s="6" t="n"/>
      <c r="B223" s="113">
        <f>IF($D223="","","T"&amp;TEXT(ROW()-6,"00000"))</f>
        <v/>
      </c>
      <c r="C223" s="113">
        <f>IF($D223="","",IFERROR(INDEX(MUSTERILER!$B$7:$B$106,MATCH($R223,MUSTERILER!$T$7:$T$106,0)),IFERROR(INDEX(MUSTERILER!$B$7:$B$106,MATCH($D223,MUSTERILER!$B$7:$B$106,0)),IFERROR(INDEX(MUSTERILER!$B$7:$B$106,MATCH($R223&amp;"*",MUSTERILER!$T$7:$T$106,0)),"TANIMSIZ MÜŞTERİ"))))</f>
        <v/>
      </c>
      <c r="D223" s="109" t="inlineStr">
        <is>
          <t>PALAOĞULLARI LTD.ŞTİ.</t>
        </is>
      </c>
      <c r="E223" s="220" t="n">
        <v>46123</v>
      </c>
      <c r="F223" s="221" t="n">
        <v>4000</v>
      </c>
      <c r="G223" s="108" t="inlineStr">
        <is>
          <t>ÖMER KARTAL</t>
        </is>
      </c>
      <c r="H223" s="108" t="inlineStr">
        <is>
          <t>Nakit</t>
        </is>
      </c>
      <c r="I223" s="109" t="n"/>
      <c r="J223" s="109" t="inlineStr">
        <is>
          <t>NAKİT ÖDENEN</t>
        </is>
      </c>
      <c r="K223" s="109" t="n"/>
      <c r="L223" s="226">
        <f>IF($E223="","",DATE(YEAR($E223),MONTH($E223),1))</f>
        <v/>
      </c>
      <c r="M223" s="113">
        <f>IF($D223="","",IF($C223="TANIMSIZ MÜŞTERİ","HATA",IF(OR($E223="",$F223&lt;=0,$G223=""),"EKSİK",IF($E223&gt;TODAY(),"İLERİ TARİH",IF(COUNTIF($S$7:$S$1506,$S223)&gt;1,"MÜKERRER?",IF($T223&gt;0,"KAPALI DÖNEM","UYGUN"))))))</f>
        <v/>
      </c>
      <c r="N223" s="121">
        <f>IF($C223="","",IF($C223="TANIMSIZ MÜŞTERİ","—",INDEX(MUSTERILER!$C$7:$C$106,MATCH($C223,MUSTERILER!$B$7:$B$106,0))))</f>
        <v/>
      </c>
      <c r="O223" s="6" t="n"/>
      <c r="P223" s="6" t="n"/>
      <c r="Q223" s="3">
        <f>IF($D223="","",$C223&amp;"|"&amp;COUNTIFS($C$7:$C223,$C223))</f>
        <v/>
      </c>
      <c r="R223" s="3">
        <f>IF($D223="","",UPPER(SUBSTITUTE(SUBSTITUTE(SUBSTITUTE(SUBSTITUTE(SUBSTITUTE(SUBSTITUTE(SUBSTITUTE(SUBSTITUTE(SUBSTITUTE(SUBSTITUTE(SUBSTITUTE(SUBSTITUTE(SUBSTITUTE(SUBSTITUTE(SUBSTITUTE(SUBSTITUTE(SUBSTITUTE(SUBSTITUTE(TRIM($D223),"'",""),"İ","I"),"ı","I"),"i","I"),"Ş","S"),"ş","S"),"Ğ","G"),"ğ","G"),"Ü","U"),"ü","U"),"Ö","O"),"ö","O"),"Ç","C"),"ç","C"),".",""),",","")," ",""),"-","")))</f>
        <v/>
      </c>
      <c r="S223" s="3">
        <f>IF($D223="","",$C223&amp;"|"&amp;TEXT($E223,"0")&amp;"|"&amp;TEXT($F223,"0")&amp;"|"&amp;$I223)</f>
        <v/>
      </c>
      <c r="T223" s="3">
        <f>IF($E223="",0,SUMPRODUCT((AY_SONU!$O$7:$O$42="Evet")*(AY_SONU!$B$7:$B$42=DATE(YEAR($E223),MONTH($E223),1))))</f>
        <v/>
      </c>
    </row>
    <row r="224">
      <c r="A224" s="6" t="n"/>
      <c r="B224" s="113">
        <f>IF($D224="","","T"&amp;TEXT(ROW()-6,"00000"))</f>
        <v/>
      </c>
      <c r="C224" s="113">
        <f>IF($D224="","",IFERROR(INDEX(MUSTERILER!$B$7:$B$106,MATCH($R224,MUSTERILER!$T$7:$T$106,0)),IFERROR(INDEX(MUSTERILER!$B$7:$B$106,MATCH($D224,MUSTERILER!$B$7:$B$106,0)),IFERROR(INDEX(MUSTERILER!$B$7:$B$106,MATCH($R224&amp;"*",MUSTERILER!$T$7:$T$106,0)),"TANIMSIZ MÜŞTERİ"))))</f>
        <v/>
      </c>
      <c r="D224" s="109" t="inlineStr">
        <is>
          <t>YALIKENT LTD.ŞTİ.</t>
        </is>
      </c>
      <c r="E224" s="220" t="n">
        <v>46123</v>
      </c>
      <c r="F224" s="221" t="n">
        <v>4000</v>
      </c>
      <c r="G224" s="108" t="inlineStr">
        <is>
          <t>MERKEZ KASA</t>
        </is>
      </c>
      <c r="H224" s="108" t="inlineStr">
        <is>
          <t>Nakit</t>
        </is>
      </c>
      <c r="I224" s="109" t="n"/>
      <c r="J224" s="109" t="inlineStr">
        <is>
          <t>NAKİT ÖDENEN</t>
        </is>
      </c>
      <c r="K224" s="109" t="n"/>
      <c r="L224" s="226">
        <f>IF($E224="","",DATE(YEAR($E224),MONTH($E224),1))</f>
        <v/>
      </c>
      <c r="M224" s="113">
        <f>IF($D224="","",IF($C224="TANIMSIZ MÜŞTERİ","HATA",IF(OR($E224="",$F224&lt;=0,$G224=""),"EKSİK",IF($E224&gt;TODAY(),"İLERİ TARİH",IF(COUNTIF($S$7:$S$1506,$S224)&gt;1,"MÜKERRER?",IF($T224&gt;0,"KAPALI DÖNEM","UYGUN"))))))</f>
        <v/>
      </c>
      <c r="N224" s="121">
        <f>IF($C224="","",IF($C224="TANIMSIZ MÜŞTERİ","—",INDEX(MUSTERILER!$C$7:$C$106,MATCH($C224,MUSTERILER!$B$7:$B$106,0))))</f>
        <v/>
      </c>
      <c r="O224" s="6" t="n"/>
      <c r="P224" s="6" t="n"/>
      <c r="Q224" s="3">
        <f>IF($D224="","",$C224&amp;"|"&amp;COUNTIFS($C$7:$C224,$C224))</f>
        <v/>
      </c>
      <c r="R224" s="3">
        <f>IF($D224="","",UPPER(SUBSTITUTE(SUBSTITUTE(SUBSTITUTE(SUBSTITUTE(SUBSTITUTE(SUBSTITUTE(SUBSTITUTE(SUBSTITUTE(SUBSTITUTE(SUBSTITUTE(SUBSTITUTE(SUBSTITUTE(SUBSTITUTE(SUBSTITUTE(SUBSTITUTE(SUBSTITUTE(SUBSTITUTE(SUBSTITUTE(TRIM($D224),"'",""),"İ","I"),"ı","I"),"i","I"),"Ş","S"),"ş","S"),"Ğ","G"),"ğ","G"),"Ü","U"),"ü","U"),"Ö","O"),"ö","O"),"Ç","C"),"ç","C"),".",""),",","")," ",""),"-","")))</f>
        <v/>
      </c>
      <c r="S224" s="3">
        <f>IF($D224="","",$C224&amp;"|"&amp;TEXT($E224,"0")&amp;"|"&amp;TEXT($F224,"0")&amp;"|"&amp;$I224)</f>
        <v/>
      </c>
      <c r="T224" s="3">
        <f>IF($E224="",0,SUMPRODUCT((AY_SONU!$O$7:$O$42="Evet")*(AY_SONU!$B$7:$B$42=DATE(YEAR($E224),MONTH($E224),1))))</f>
        <v/>
      </c>
    </row>
    <row r="225">
      <c r="A225" s="6" t="n"/>
      <c r="B225" s="113">
        <f>IF($D225="","","T"&amp;TEXT(ROW()-6,"00000"))</f>
        <v/>
      </c>
      <c r="C225" s="113">
        <f>IF($D225="","",IFERROR(INDEX(MUSTERILER!$B$7:$B$106,MATCH($R225,MUSTERILER!$T$7:$T$106,0)),IFERROR(INDEX(MUSTERILER!$B$7:$B$106,MATCH($D225,MUSTERILER!$B$7:$B$106,0)),IFERROR(INDEX(MUSTERILER!$B$7:$B$106,MATCH($R225&amp;"*",MUSTERILER!$T$7:$T$106,0)),"TANIMSIZ MÜŞTERİ"))))</f>
        <v/>
      </c>
      <c r="D225" s="109" t="inlineStr">
        <is>
          <t>Monamour Ltd.Şti.</t>
        </is>
      </c>
      <c r="E225" s="220" t="n">
        <v>46124</v>
      </c>
      <c r="F225" s="221" t="n">
        <v>3500</v>
      </c>
      <c r="G225" s="108" t="inlineStr">
        <is>
          <t>ÖMER KARTAL</t>
        </is>
      </c>
      <c r="H225" s="108" t="inlineStr">
        <is>
          <t>Nakit</t>
        </is>
      </c>
      <c r="I225" s="109" t="n"/>
      <c r="J225" s="109" t="inlineStr">
        <is>
          <t>ÖMER KARTALA ÖDENEN</t>
        </is>
      </c>
      <c r="K225" s="109" t="n"/>
      <c r="L225" s="226">
        <f>IF($E225="","",DATE(YEAR($E225),MONTH($E225),1))</f>
        <v/>
      </c>
      <c r="M225" s="113">
        <f>IF($D225="","",IF($C225="TANIMSIZ MÜŞTERİ","HATA",IF(OR($E225="",$F225&lt;=0,$G225=""),"EKSİK",IF($E225&gt;TODAY(),"İLERİ TARİH",IF(COUNTIF($S$7:$S$1506,$S225)&gt;1,"MÜKERRER?",IF($T225&gt;0,"KAPALI DÖNEM","UYGUN"))))))</f>
        <v/>
      </c>
      <c r="N225" s="121">
        <f>IF($C225="","",IF($C225="TANIMSIZ MÜŞTERİ","—",INDEX(MUSTERILER!$C$7:$C$106,MATCH($C225,MUSTERILER!$B$7:$B$106,0))))</f>
        <v/>
      </c>
      <c r="O225" s="6" t="n"/>
      <c r="P225" s="6" t="n"/>
      <c r="Q225" s="3">
        <f>IF($D225="","",$C225&amp;"|"&amp;COUNTIFS($C$7:$C225,$C225))</f>
        <v/>
      </c>
      <c r="R225" s="3">
        <f>IF($D225="","",UPPER(SUBSTITUTE(SUBSTITUTE(SUBSTITUTE(SUBSTITUTE(SUBSTITUTE(SUBSTITUTE(SUBSTITUTE(SUBSTITUTE(SUBSTITUTE(SUBSTITUTE(SUBSTITUTE(SUBSTITUTE(SUBSTITUTE(SUBSTITUTE(SUBSTITUTE(SUBSTITUTE(SUBSTITUTE(SUBSTITUTE(TRIM($D225),"'",""),"İ","I"),"ı","I"),"i","I"),"Ş","S"),"ş","S"),"Ğ","G"),"ğ","G"),"Ü","U"),"ü","U"),"Ö","O"),"ö","O"),"Ç","C"),"ç","C"),".",""),",","")," ",""),"-","")))</f>
        <v/>
      </c>
      <c r="S225" s="3">
        <f>IF($D225="","",$C225&amp;"|"&amp;TEXT($E225,"0")&amp;"|"&amp;TEXT($F225,"0")&amp;"|"&amp;$I225)</f>
        <v/>
      </c>
      <c r="T225" s="3">
        <f>IF($E225="",0,SUMPRODUCT((AY_SONU!$O$7:$O$42="Evet")*(AY_SONU!$B$7:$B$42=DATE(YEAR($E225),MONTH($E225),1))))</f>
        <v/>
      </c>
    </row>
    <row r="226">
      <c r="A226" s="6" t="n"/>
      <c r="B226" s="113">
        <f>IF($D226="","","T"&amp;TEXT(ROW()-6,"00000"))</f>
        <v/>
      </c>
      <c r="C226" s="113">
        <f>IF($D226="","",IFERROR(INDEX(MUSTERILER!$B$7:$B$106,MATCH($R226,MUSTERILER!$T$7:$T$106,0)),IFERROR(INDEX(MUSTERILER!$B$7:$B$106,MATCH($D226,MUSTERILER!$B$7:$B$106,0)),IFERROR(INDEX(MUSTERILER!$B$7:$B$106,MATCH($R226&amp;"*",MUSTERILER!$T$7:$T$106,0)),"TANIMSIZ MÜŞTERİ"))))</f>
        <v/>
      </c>
      <c r="D226" s="109" t="inlineStr">
        <is>
          <t>VOLKAN AÇIK</t>
        </is>
      </c>
      <c r="E226" s="220" t="n">
        <v>46125</v>
      </c>
      <c r="F226" s="221" t="n">
        <v>3000</v>
      </c>
      <c r="G226" s="108" t="inlineStr">
        <is>
          <t>MERKEZ KASA</t>
        </is>
      </c>
      <c r="H226" s="108" t="inlineStr">
        <is>
          <t>Nakit</t>
        </is>
      </c>
      <c r="I226" s="109" t="n"/>
      <c r="J226" s="109" t="inlineStr">
        <is>
          <t>NAKİT ÖDENEN</t>
        </is>
      </c>
      <c r="K226" s="109" t="n"/>
      <c r="L226" s="226">
        <f>IF($E226="","",DATE(YEAR($E226),MONTH($E226),1))</f>
        <v/>
      </c>
      <c r="M226" s="113">
        <f>IF($D226="","",IF($C226="TANIMSIZ MÜŞTERİ","HATA",IF(OR($E226="",$F226&lt;=0,$G226=""),"EKSİK",IF($E226&gt;TODAY(),"İLERİ TARİH",IF(COUNTIF($S$7:$S$1506,$S226)&gt;1,"MÜKERRER?",IF($T226&gt;0,"KAPALI DÖNEM","UYGUN"))))))</f>
        <v/>
      </c>
      <c r="N226" s="121">
        <f>IF($C226="","",IF($C226="TANIMSIZ MÜŞTERİ","—",INDEX(MUSTERILER!$C$7:$C$106,MATCH($C226,MUSTERILER!$B$7:$B$106,0))))</f>
        <v/>
      </c>
      <c r="O226" s="6" t="n"/>
      <c r="P226" s="6" t="n"/>
      <c r="Q226" s="3">
        <f>IF($D226="","",$C226&amp;"|"&amp;COUNTIFS($C$7:$C226,$C226))</f>
        <v/>
      </c>
      <c r="R226" s="3">
        <f>IF($D226="","",UPPER(SUBSTITUTE(SUBSTITUTE(SUBSTITUTE(SUBSTITUTE(SUBSTITUTE(SUBSTITUTE(SUBSTITUTE(SUBSTITUTE(SUBSTITUTE(SUBSTITUTE(SUBSTITUTE(SUBSTITUTE(SUBSTITUTE(SUBSTITUTE(SUBSTITUTE(SUBSTITUTE(SUBSTITUTE(SUBSTITUTE(TRIM($D226),"'",""),"İ","I"),"ı","I"),"i","I"),"Ş","S"),"ş","S"),"Ğ","G"),"ğ","G"),"Ü","U"),"ü","U"),"Ö","O"),"ö","O"),"Ç","C"),"ç","C"),".",""),",","")," ",""),"-","")))</f>
        <v/>
      </c>
      <c r="S226" s="3">
        <f>IF($D226="","",$C226&amp;"|"&amp;TEXT($E226,"0")&amp;"|"&amp;TEXT($F226,"0")&amp;"|"&amp;$I226)</f>
        <v/>
      </c>
      <c r="T226" s="3">
        <f>IF($E226="",0,SUMPRODUCT((AY_SONU!$O$7:$O$42="Evet")*(AY_SONU!$B$7:$B$42=DATE(YEAR($E226),MONTH($E226),1))))</f>
        <v/>
      </c>
    </row>
    <row r="227">
      <c r="A227" s="6" t="n"/>
      <c r="B227" s="113">
        <f>IF($D227="","","T"&amp;TEXT(ROW()-6,"00000"))</f>
        <v/>
      </c>
      <c r="C227" s="113">
        <f>IF($D227="","",IFERROR(INDEX(MUSTERILER!$B$7:$B$106,MATCH($R227,MUSTERILER!$T$7:$T$106,0)),IFERROR(INDEX(MUSTERILER!$B$7:$B$106,MATCH($D227,MUSTERILER!$B$7:$B$106,0)),IFERROR(INDEX(MUSTERILER!$B$7:$B$106,MATCH($R227&amp;"*",MUSTERILER!$T$7:$T$106,0)),"TANIMSIZ MÜŞTERİ"))))</f>
        <v/>
      </c>
      <c r="D227" s="109" t="inlineStr">
        <is>
          <t>CEREN DEMİRCİ</t>
        </is>
      </c>
      <c r="E227" s="220" t="n">
        <v>46127</v>
      </c>
      <c r="F227" s="221" t="n">
        <v>7500</v>
      </c>
      <c r="G227" s="108" t="inlineStr">
        <is>
          <t>MERKEZ KASA</t>
        </is>
      </c>
      <c r="H227" s="108" t="inlineStr">
        <is>
          <t>Nakit</t>
        </is>
      </c>
      <c r="I227" s="109" t="n"/>
      <c r="J227" s="109" t="inlineStr">
        <is>
          <t>NAKİT ÖDENEN</t>
        </is>
      </c>
      <c r="K227" s="109" t="n"/>
      <c r="L227" s="226">
        <f>IF($E227="","",DATE(YEAR($E227),MONTH($E227),1))</f>
        <v/>
      </c>
      <c r="M227" s="113">
        <f>IF($D227="","",IF($C227="TANIMSIZ MÜŞTERİ","HATA",IF(OR($E227="",$F227&lt;=0,$G227=""),"EKSİK",IF($E227&gt;TODAY(),"İLERİ TARİH",IF(COUNTIF($S$7:$S$1506,$S227)&gt;1,"MÜKERRER?",IF($T227&gt;0,"KAPALI DÖNEM","UYGUN"))))))</f>
        <v/>
      </c>
      <c r="N227" s="121">
        <f>IF($C227="","",IF($C227="TANIMSIZ MÜŞTERİ","—",INDEX(MUSTERILER!$C$7:$C$106,MATCH($C227,MUSTERILER!$B$7:$B$106,0))))</f>
        <v/>
      </c>
      <c r="O227" s="6" t="n"/>
      <c r="P227" s="6" t="n"/>
      <c r="Q227" s="3">
        <f>IF($D227="","",$C227&amp;"|"&amp;COUNTIFS($C$7:$C227,$C227))</f>
        <v/>
      </c>
      <c r="R227" s="3">
        <f>IF($D227="","",UPPER(SUBSTITUTE(SUBSTITUTE(SUBSTITUTE(SUBSTITUTE(SUBSTITUTE(SUBSTITUTE(SUBSTITUTE(SUBSTITUTE(SUBSTITUTE(SUBSTITUTE(SUBSTITUTE(SUBSTITUTE(SUBSTITUTE(SUBSTITUTE(SUBSTITUTE(SUBSTITUTE(SUBSTITUTE(SUBSTITUTE(TRIM($D227),"'",""),"İ","I"),"ı","I"),"i","I"),"Ş","S"),"ş","S"),"Ğ","G"),"ğ","G"),"Ü","U"),"ü","U"),"Ö","O"),"ö","O"),"Ç","C"),"ç","C"),".",""),",","")," ",""),"-","")))</f>
        <v/>
      </c>
      <c r="S227" s="3">
        <f>IF($D227="","",$C227&amp;"|"&amp;TEXT($E227,"0")&amp;"|"&amp;TEXT($F227,"0")&amp;"|"&amp;$I227)</f>
        <v/>
      </c>
      <c r="T227" s="3">
        <f>IF($E227="",0,SUMPRODUCT((AY_SONU!$O$7:$O$42="Evet")*(AY_SONU!$B$7:$B$42=DATE(YEAR($E227),MONTH($E227),1))))</f>
        <v/>
      </c>
    </row>
    <row r="228">
      <c r="A228" s="6" t="n"/>
      <c r="B228" s="113">
        <f>IF($D228="","","T"&amp;TEXT(ROW()-6,"00000"))</f>
        <v/>
      </c>
      <c r="C228" s="113">
        <f>IF($D228="","",IFERROR(INDEX(MUSTERILER!$B$7:$B$106,MATCH($R228,MUSTERILER!$T$7:$T$106,0)),IFERROR(INDEX(MUSTERILER!$B$7:$B$106,MATCH($D228,MUSTERILER!$B$7:$B$106,0)),IFERROR(INDEX(MUSTERILER!$B$7:$B$106,MATCH($R228&amp;"*",MUSTERILER!$T$7:$T$106,0)),"TANIMSIZ MÜŞTERİ"))))</f>
        <v/>
      </c>
      <c r="D228" s="109" t="inlineStr">
        <is>
          <t>Çayıralan Ltd.Şti.</t>
        </is>
      </c>
      <c r="E228" s="220" t="n">
        <v>46130</v>
      </c>
      <c r="F228" s="221" t="n">
        <v>3000</v>
      </c>
      <c r="G228" s="108" t="inlineStr">
        <is>
          <t>MERKEZ KASA</t>
        </is>
      </c>
      <c r="H228" s="108" t="inlineStr">
        <is>
          <t>Nakit</t>
        </is>
      </c>
      <c r="I228" s="109" t="n"/>
      <c r="J228" s="109" t="inlineStr">
        <is>
          <t>NAKİT ÖDENEN</t>
        </is>
      </c>
      <c r="K228" s="109" t="n"/>
      <c r="L228" s="226">
        <f>IF($E228="","",DATE(YEAR($E228),MONTH($E228),1))</f>
        <v/>
      </c>
      <c r="M228" s="113">
        <f>IF($D228="","",IF($C228="TANIMSIZ MÜŞTERİ","HATA",IF(OR($E228="",$F228&lt;=0,$G228=""),"EKSİK",IF($E228&gt;TODAY(),"İLERİ TARİH",IF(COUNTIF($S$7:$S$1506,$S228)&gt;1,"MÜKERRER?",IF($T228&gt;0,"KAPALI DÖNEM","UYGUN"))))))</f>
        <v/>
      </c>
      <c r="N228" s="121">
        <f>IF($C228="","",IF($C228="TANIMSIZ MÜŞTERİ","—",INDEX(MUSTERILER!$C$7:$C$106,MATCH($C228,MUSTERILER!$B$7:$B$106,0))))</f>
        <v/>
      </c>
      <c r="O228" s="6" t="n"/>
      <c r="P228" s="6" t="n"/>
      <c r="Q228" s="3">
        <f>IF($D228="","",$C228&amp;"|"&amp;COUNTIFS($C$7:$C228,$C228))</f>
        <v/>
      </c>
      <c r="R228" s="3">
        <f>IF($D228="","",UPPER(SUBSTITUTE(SUBSTITUTE(SUBSTITUTE(SUBSTITUTE(SUBSTITUTE(SUBSTITUTE(SUBSTITUTE(SUBSTITUTE(SUBSTITUTE(SUBSTITUTE(SUBSTITUTE(SUBSTITUTE(SUBSTITUTE(SUBSTITUTE(SUBSTITUTE(SUBSTITUTE(SUBSTITUTE(SUBSTITUTE(TRIM($D228),"'",""),"İ","I"),"ı","I"),"i","I"),"Ş","S"),"ş","S"),"Ğ","G"),"ğ","G"),"Ü","U"),"ü","U"),"Ö","O"),"ö","O"),"Ç","C"),"ç","C"),".",""),",","")," ",""),"-","")))</f>
        <v/>
      </c>
      <c r="S228" s="3">
        <f>IF($D228="","",$C228&amp;"|"&amp;TEXT($E228,"0")&amp;"|"&amp;TEXT($F228,"0")&amp;"|"&amp;$I228)</f>
        <v/>
      </c>
      <c r="T228" s="3">
        <f>IF($E228="",0,SUMPRODUCT((AY_SONU!$O$7:$O$42="Evet")*(AY_SONU!$B$7:$B$42=DATE(YEAR($E228),MONTH($E228),1))))</f>
        <v/>
      </c>
    </row>
    <row r="229">
      <c r="A229" s="6" t="n"/>
      <c r="B229" s="113">
        <f>IF($D229="","","T"&amp;TEXT(ROW()-6,"00000"))</f>
        <v/>
      </c>
      <c r="C229" s="113">
        <f>IF($D229="","",IFERROR(INDEX(MUSTERILER!$B$7:$B$106,MATCH($R229,MUSTERILER!$T$7:$T$106,0)),IFERROR(INDEX(MUSTERILER!$B$7:$B$106,MATCH($D229,MUSTERILER!$B$7:$B$106,0)),IFERROR(INDEX(MUSTERILER!$B$7:$B$106,MATCH($R229&amp;"*",MUSTERILER!$T$7:$T$106,0)),"TANIMSIZ MÜŞTERİ"))))</f>
        <v/>
      </c>
      <c r="D229" s="109" t="inlineStr">
        <is>
          <t>Eğlengör Ltd.Şti.</t>
        </is>
      </c>
      <c r="E229" s="220" t="n">
        <v>46130</v>
      </c>
      <c r="F229" s="221" t="n">
        <v>4000</v>
      </c>
      <c r="G229" s="108" t="inlineStr">
        <is>
          <t>MERKEZ KASA</t>
        </is>
      </c>
      <c r="H229" s="108" t="inlineStr">
        <is>
          <t>Nakit</t>
        </is>
      </c>
      <c r="I229" s="109" t="n"/>
      <c r="J229" s="109" t="inlineStr">
        <is>
          <t>NAKİT ÖDENEN</t>
        </is>
      </c>
      <c r="K229" s="109" t="n"/>
      <c r="L229" s="226">
        <f>IF($E229="","",DATE(YEAR($E229),MONTH($E229),1))</f>
        <v/>
      </c>
      <c r="M229" s="113">
        <f>IF($D229="","",IF($C229="TANIMSIZ MÜŞTERİ","HATA",IF(OR($E229="",$F229&lt;=0,$G229=""),"EKSİK",IF($E229&gt;TODAY(),"İLERİ TARİH",IF(COUNTIF($S$7:$S$1506,$S229)&gt;1,"MÜKERRER?",IF($T229&gt;0,"KAPALI DÖNEM","UYGUN"))))))</f>
        <v/>
      </c>
      <c r="N229" s="121">
        <f>IF($C229="","",IF($C229="TANIMSIZ MÜŞTERİ","—",INDEX(MUSTERILER!$C$7:$C$106,MATCH($C229,MUSTERILER!$B$7:$B$106,0))))</f>
        <v/>
      </c>
      <c r="O229" s="6" t="n"/>
      <c r="P229" s="6" t="n"/>
      <c r="Q229" s="3">
        <f>IF($D229="","",$C229&amp;"|"&amp;COUNTIFS($C$7:$C229,$C229))</f>
        <v/>
      </c>
      <c r="R229" s="3">
        <f>IF($D229="","",UPPER(SUBSTITUTE(SUBSTITUTE(SUBSTITUTE(SUBSTITUTE(SUBSTITUTE(SUBSTITUTE(SUBSTITUTE(SUBSTITUTE(SUBSTITUTE(SUBSTITUTE(SUBSTITUTE(SUBSTITUTE(SUBSTITUTE(SUBSTITUTE(SUBSTITUTE(SUBSTITUTE(SUBSTITUTE(SUBSTITUTE(TRIM($D229),"'",""),"İ","I"),"ı","I"),"i","I"),"Ş","S"),"ş","S"),"Ğ","G"),"ğ","G"),"Ü","U"),"ü","U"),"Ö","O"),"ö","O"),"Ç","C"),"ç","C"),".",""),",","")," ",""),"-","")))</f>
        <v/>
      </c>
      <c r="S229" s="3">
        <f>IF($D229="","",$C229&amp;"|"&amp;TEXT($E229,"0")&amp;"|"&amp;TEXT($F229,"0")&amp;"|"&amp;$I229)</f>
        <v/>
      </c>
      <c r="T229" s="3">
        <f>IF($E229="",0,SUMPRODUCT((AY_SONU!$O$7:$O$42="Evet")*(AY_SONU!$B$7:$B$42=DATE(YEAR($E229),MONTH($E229),1))))</f>
        <v/>
      </c>
    </row>
    <row r="230">
      <c r="A230" s="6" t="n"/>
      <c r="B230" s="113">
        <f>IF($D230="","","T"&amp;TEXT(ROW()-6,"00000"))</f>
        <v/>
      </c>
      <c r="C230" s="113">
        <f>IF($D230="","",IFERROR(INDEX(MUSTERILER!$B$7:$B$106,MATCH($R230,MUSTERILER!$T$7:$T$106,0)),IFERROR(INDEX(MUSTERILER!$B$7:$B$106,MATCH($D230,MUSTERILER!$B$7:$B$106,0)),IFERROR(INDEX(MUSTERILER!$B$7:$B$106,MATCH($R230&amp;"*",MUSTERILER!$T$7:$T$106,0)),"TANIMSIZ MÜŞTERİ"))))</f>
        <v/>
      </c>
      <c r="D230" s="109" t="inlineStr">
        <is>
          <t>Final Siyah Beyaz Ltd.Şti.</t>
        </is>
      </c>
      <c r="E230" s="220" t="n">
        <v>46130</v>
      </c>
      <c r="F230" s="221" t="n">
        <v>4000</v>
      </c>
      <c r="G230" s="108" t="inlineStr">
        <is>
          <t>MERKEZ KASA</t>
        </is>
      </c>
      <c r="H230" s="108" t="inlineStr">
        <is>
          <t>Nakit</t>
        </is>
      </c>
      <c r="I230" s="109" t="n"/>
      <c r="J230" s="109" t="inlineStr">
        <is>
          <t>NAKİT ÖDENEN</t>
        </is>
      </c>
      <c r="K230" s="109" t="n"/>
      <c r="L230" s="226">
        <f>IF($E230="","",DATE(YEAR($E230),MONTH($E230),1))</f>
        <v/>
      </c>
      <c r="M230" s="113">
        <f>IF($D230="","",IF($C230="TANIMSIZ MÜŞTERİ","HATA",IF(OR($E230="",$F230&lt;=0,$G230=""),"EKSİK",IF($E230&gt;TODAY(),"İLERİ TARİH",IF(COUNTIF($S$7:$S$1506,$S230)&gt;1,"MÜKERRER?",IF($T230&gt;0,"KAPALI DÖNEM","UYGUN"))))))</f>
        <v/>
      </c>
      <c r="N230" s="121">
        <f>IF($C230="","",IF($C230="TANIMSIZ MÜŞTERİ","—",INDEX(MUSTERILER!$C$7:$C$106,MATCH($C230,MUSTERILER!$B$7:$B$106,0))))</f>
        <v/>
      </c>
      <c r="O230" s="6" t="n"/>
      <c r="P230" s="6" t="n"/>
      <c r="Q230" s="3">
        <f>IF($D230="","",$C230&amp;"|"&amp;COUNTIFS($C$7:$C230,$C230))</f>
        <v/>
      </c>
      <c r="R230" s="3">
        <f>IF($D230="","",UPPER(SUBSTITUTE(SUBSTITUTE(SUBSTITUTE(SUBSTITUTE(SUBSTITUTE(SUBSTITUTE(SUBSTITUTE(SUBSTITUTE(SUBSTITUTE(SUBSTITUTE(SUBSTITUTE(SUBSTITUTE(SUBSTITUTE(SUBSTITUTE(SUBSTITUTE(SUBSTITUTE(SUBSTITUTE(SUBSTITUTE(TRIM($D230),"'",""),"İ","I"),"ı","I"),"i","I"),"Ş","S"),"ş","S"),"Ğ","G"),"ğ","G"),"Ü","U"),"ü","U"),"Ö","O"),"ö","O"),"Ç","C"),"ç","C"),".",""),",","")," ",""),"-","")))</f>
        <v/>
      </c>
      <c r="S230" s="3">
        <f>IF($D230="","",$C230&amp;"|"&amp;TEXT($E230,"0")&amp;"|"&amp;TEXT($F230,"0")&amp;"|"&amp;$I230)</f>
        <v/>
      </c>
      <c r="T230" s="3">
        <f>IF($E230="",0,SUMPRODUCT((AY_SONU!$O$7:$O$42="Evet")*(AY_SONU!$B$7:$B$42=DATE(YEAR($E230),MONTH($E230),1))))</f>
        <v/>
      </c>
    </row>
    <row r="231">
      <c r="A231" s="6" t="n"/>
      <c r="B231" s="113">
        <f>IF($D231="","","T"&amp;TEXT(ROW()-6,"00000"))</f>
        <v/>
      </c>
      <c r="C231" s="113">
        <f>IF($D231="","",IFERROR(INDEX(MUSTERILER!$B$7:$B$106,MATCH($R231,MUSTERILER!$T$7:$T$106,0)),IFERROR(INDEX(MUSTERILER!$B$7:$B$106,MATCH($D231,MUSTERILER!$B$7:$B$106,0)),IFERROR(INDEX(MUSTERILER!$B$7:$B$106,MATCH($R231&amp;"*",MUSTERILER!$T$7:$T$106,0)),"TANIMSIZ MÜŞTERİ"))))</f>
        <v/>
      </c>
      <c r="D231" s="109" t="inlineStr">
        <is>
          <t>İbrahim Maldan</t>
        </is>
      </c>
      <c r="E231" s="220" t="n">
        <v>46130</v>
      </c>
      <c r="F231" s="221" t="n">
        <v>4000</v>
      </c>
      <c r="G231" s="108" t="inlineStr">
        <is>
          <t>MERKEZ KASA</t>
        </is>
      </c>
      <c r="H231" s="108" t="inlineStr">
        <is>
          <t>Nakit</t>
        </is>
      </c>
      <c r="I231" s="109" t="n"/>
      <c r="J231" s="109" t="inlineStr">
        <is>
          <t>NAKİT ÖDENEN</t>
        </is>
      </c>
      <c r="K231" s="109" t="n"/>
      <c r="L231" s="226">
        <f>IF($E231="","",DATE(YEAR($E231),MONTH($E231),1))</f>
        <v/>
      </c>
      <c r="M231" s="113">
        <f>IF($D231="","",IF($C231="TANIMSIZ MÜŞTERİ","HATA",IF(OR($E231="",$F231&lt;=0,$G231=""),"EKSİK",IF($E231&gt;TODAY(),"İLERİ TARİH",IF(COUNTIF($S$7:$S$1506,$S231)&gt;1,"MÜKERRER?",IF($T231&gt;0,"KAPALI DÖNEM","UYGUN"))))))</f>
        <v/>
      </c>
      <c r="N231" s="121">
        <f>IF($C231="","",IF($C231="TANIMSIZ MÜŞTERİ","—",INDEX(MUSTERILER!$C$7:$C$106,MATCH($C231,MUSTERILER!$B$7:$B$106,0))))</f>
        <v/>
      </c>
      <c r="O231" s="6" t="n"/>
      <c r="P231" s="6" t="n"/>
      <c r="Q231" s="3">
        <f>IF($D231="","",$C231&amp;"|"&amp;COUNTIFS($C$7:$C231,$C231))</f>
        <v/>
      </c>
      <c r="R231" s="3">
        <f>IF($D231="","",UPPER(SUBSTITUTE(SUBSTITUTE(SUBSTITUTE(SUBSTITUTE(SUBSTITUTE(SUBSTITUTE(SUBSTITUTE(SUBSTITUTE(SUBSTITUTE(SUBSTITUTE(SUBSTITUTE(SUBSTITUTE(SUBSTITUTE(SUBSTITUTE(SUBSTITUTE(SUBSTITUTE(SUBSTITUTE(SUBSTITUTE(TRIM($D231),"'",""),"İ","I"),"ı","I"),"i","I"),"Ş","S"),"ş","S"),"Ğ","G"),"ğ","G"),"Ü","U"),"ü","U"),"Ö","O"),"ö","O"),"Ç","C"),"ç","C"),".",""),",","")," ",""),"-","")))</f>
        <v/>
      </c>
      <c r="S231" s="3">
        <f>IF($D231="","",$C231&amp;"|"&amp;TEXT($E231,"0")&amp;"|"&amp;TEXT($F231,"0")&amp;"|"&amp;$I231)</f>
        <v/>
      </c>
      <c r="T231" s="3">
        <f>IF($E231="",0,SUMPRODUCT((AY_SONU!$O$7:$O$42="Evet")*(AY_SONU!$B$7:$B$42=DATE(YEAR($E231),MONTH($E231),1))))</f>
        <v/>
      </c>
    </row>
    <row r="232">
      <c r="A232" s="6" t="n"/>
      <c r="B232" s="113">
        <f>IF($D232="","","T"&amp;TEXT(ROW()-6,"00000"))</f>
        <v/>
      </c>
      <c r="C232" s="113">
        <f>IF($D232="","",IFERROR(INDEX(MUSTERILER!$B$7:$B$106,MATCH($R232,MUSTERILER!$T$7:$T$106,0)),IFERROR(INDEX(MUSTERILER!$B$7:$B$106,MATCH($D232,MUSTERILER!$B$7:$B$106,0)),IFERROR(INDEX(MUSTERILER!$B$7:$B$106,MATCH($R232&amp;"*",MUSTERILER!$T$7:$T$106,0)),"TANIMSIZ MÜŞTERİ"))))</f>
        <v/>
      </c>
      <c r="D232" s="109" t="inlineStr">
        <is>
          <t>İldeş Ltd.Şti.</t>
        </is>
      </c>
      <c r="E232" s="220" t="n">
        <v>46130</v>
      </c>
      <c r="F232" s="221" t="n">
        <v>4000</v>
      </c>
      <c r="G232" s="108" t="inlineStr">
        <is>
          <t>MERKEZ KASA</t>
        </is>
      </c>
      <c r="H232" s="108" t="inlineStr">
        <is>
          <t>Nakit</t>
        </is>
      </c>
      <c r="I232" s="109" t="n"/>
      <c r="J232" s="109" t="inlineStr">
        <is>
          <t>NAKİT ÖDENEN</t>
        </is>
      </c>
      <c r="K232" s="109" t="n"/>
      <c r="L232" s="226">
        <f>IF($E232="","",DATE(YEAR($E232),MONTH($E232),1))</f>
        <v/>
      </c>
      <c r="M232" s="113">
        <f>IF($D232="","",IF($C232="TANIMSIZ MÜŞTERİ","HATA",IF(OR($E232="",$F232&lt;=0,$G232=""),"EKSİK",IF($E232&gt;TODAY(),"İLERİ TARİH",IF(COUNTIF($S$7:$S$1506,$S232)&gt;1,"MÜKERRER?",IF($T232&gt;0,"KAPALI DÖNEM","UYGUN"))))))</f>
        <v/>
      </c>
      <c r="N232" s="121">
        <f>IF($C232="","",IF($C232="TANIMSIZ MÜŞTERİ","—",INDEX(MUSTERILER!$C$7:$C$106,MATCH($C232,MUSTERILER!$B$7:$B$106,0))))</f>
        <v/>
      </c>
      <c r="O232" s="6" t="n"/>
      <c r="P232" s="6" t="n"/>
      <c r="Q232" s="3">
        <f>IF($D232="","",$C232&amp;"|"&amp;COUNTIFS($C$7:$C232,$C232))</f>
        <v/>
      </c>
      <c r="R232" s="3">
        <f>IF($D232="","",UPPER(SUBSTITUTE(SUBSTITUTE(SUBSTITUTE(SUBSTITUTE(SUBSTITUTE(SUBSTITUTE(SUBSTITUTE(SUBSTITUTE(SUBSTITUTE(SUBSTITUTE(SUBSTITUTE(SUBSTITUTE(SUBSTITUTE(SUBSTITUTE(SUBSTITUTE(SUBSTITUTE(SUBSTITUTE(SUBSTITUTE(TRIM($D232),"'",""),"İ","I"),"ı","I"),"i","I"),"Ş","S"),"ş","S"),"Ğ","G"),"ğ","G"),"Ü","U"),"ü","U"),"Ö","O"),"ö","O"),"Ç","C"),"ç","C"),".",""),",","")," ",""),"-","")))</f>
        <v/>
      </c>
      <c r="S232" s="3">
        <f>IF($D232="","",$C232&amp;"|"&amp;TEXT($E232,"0")&amp;"|"&amp;TEXT($F232,"0")&amp;"|"&amp;$I232)</f>
        <v/>
      </c>
      <c r="T232" s="3">
        <f>IF($E232="",0,SUMPRODUCT((AY_SONU!$O$7:$O$42="Evet")*(AY_SONU!$B$7:$B$42=DATE(YEAR($E232),MONTH($E232),1))))</f>
        <v/>
      </c>
    </row>
    <row r="233">
      <c r="A233" s="6" t="n"/>
      <c r="B233" s="113">
        <f>IF($D233="","","T"&amp;TEXT(ROW()-6,"00000"))</f>
        <v/>
      </c>
      <c r="C233" s="113">
        <f>IF($D233="","",IFERROR(INDEX(MUSTERILER!$B$7:$B$106,MATCH($R233,MUSTERILER!$T$7:$T$106,0)),IFERROR(INDEX(MUSTERILER!$B$7:$B$106,MATCH($D233,MUSTERILER!$B$7:$B$106,0)),IFERROR(INDEX(MUSTERILER!$B$7:$B$106,MATCH($R233&amp;"*",MUSTERILER!$T$7:$T$106,0)),"TANIMSIZ MÜŞTERİ"))))</f>
        <v/>
      </c>
      <c r="D233" s="109" t="inlineStr">
        <is>
          <t>Monamour Ltd.Şti.</t>
        </is>
      </c>
      <c r="E233" s="220" t="n">
        <v>46130</v>
      </c>
      <c r="F233" s="221" t="n">
        <v>3500</v>
      </c>
      <c r="G233" s="108" t="inlineStr">
        <is>
          <t>MERKEZ KASA</t>
        </is>
      </c>
      <c r="H233" s="108" t="inlineStr">
        <is>
          <t>Nakit</t>
        </is>
      </c>
      <c r="I233" s="109" t="n"/>
      <c r="J233" s="109" t="inlineStr">
        <is>
          <t>NAKİT ÖDENEN</t>
        </is>
      </c>
      <c r="K233" s="109" t="n"/>
      <c r="L233" s="226">
        <f>IF($E233="","",DATE(YEAR($E233),MONTH($E233),1))</f>
        <v/>
      </c>
      <c r="M233" s="113">
        <f>IF($D233="","",IF($C233="TANIMSIZ MÜŞTERİ","HATA",IF(OR($E233="",$F233&lt;=0,$G233=""),"EKSİK",IF($E233&gt;TODAY(),"İLERİ TARİH",IF(COUNTIF($S$7:$S$1506,$S233)&gt;1,"MÜKERRER?",IF($T233&gt;0,"KAPALI DÖNEM","UYGUN"))))))</f>
        <v/>
      </c>
      <c r="N233" s="121">
        <f>IF($C233="","",IF($C233="TANIMSIZ MÜŞTERİ","—",INDEX(MUSTERILER!$C$7:$C$106,MATCH($C233,MUSTERILER!$B$7:$B$106,0))))</f>
        <v/>
      </c>
      <c r="O233" s="6" t="n"/>
      <c r="P233" s="6" t="n"/>
      <c r="Q233" s="3">
        <f>IF($D233="","",$C233&amp;"|"&amp;COUNTIFS($C$7:$C233,$C233))</f>
        <v/>
      </c>
      <c r="R233" s="3">
        <f>IF($D233="","",UPPER(SUBSTITUTE(SUBSTITUTE(SUBSTITUTE(SUBSTITUTE(SUBSTITUTE(SUBSTITUTE(SUBSTITUTE(SUBSTITUTE(SUBSTITUTE(SUBSTITUTE(SUBSTITUTE(SUBSTITUTE(SUBSTITUTE(SUBSTITUTE(SUBSTITUTE(SUBSTITUTE(SUBSTITUTE(SUBSTITUTE(TRIM($D233),"'",""),"İ","I"),"ı","I"),"i","I"),"Ş","S"),"ş","S"),"Ğ","G"),"ğ","G"),"Ü","U"),"ü","U"),"Ö","O"),"ö","O"),"Ç","C"),"ç","C"),".",""),",","")," ",""),"-","")))</f>
        <v/>
      </c>
      <c r="S233" s="3">
        <f>IF($D233="","",$C233&amp;"|"&amp;TEXT($E233,"0")&amp;"|"&amp;TEXT($F233,"0")&amp;"|"&amp;$I233)</f>
        <v/>
      </c>
      <c r="T233" s="3">
        <f>IF($E233="",0,SUMPRODUCT((AY_SONU!$O$7:$O$42="Evet")*(AY_SONU!$B$7:$B$42=DATE(YEAR($E233),MONTH($E233),1))))</f>
        <v/>
      </c>
    </row>
    <row r="234">
      <c r="A234" s="6" t="n"/>
      <c r="B234" s="113">
        <f>IF($D234="","","T"&amp;TEXT(ROW()-6,"00000"))</f>
        <v/>
      </c>
      <c r="C234" s="113">
        <f>IF($D234="","",IFERROR(INDEX(MUSTERILER!$B$7:$B$106,MATCH($R234,MUSTERILER!$T$7:$T$106,0)),IFERROR(INDEX(MUSTERILER!$B$7:$B$106,MATCH($D234,MUSTERILER!$B$7:$B$106,0)),IFERROR(INDEX(MUSTERILER!$B$7:$B$106,MATCH($R234&amp;"*",MUSTERILER!$T$7:$T$106,0)),"TANIMSIZ MÜŞTERİ"))))</f>
        <v/>
      </c>
      <c r="D234" s="109" t="inlineStr">
        <is>
          <t>Naz 1 Gıda Ltd.Şti.</t>
        </is>
      </c>
      <c r="E234" s="220" t="n">
        <v>46130</v>
      </c>
      <c r="F234" s="221" t="n">
        <v>4000</v>
      </c>
      <c r="G234" s="108" t="inlineStr">
        <is>
          <t>MERKEZ KASA</t>
        </is>
      </c>
      <c r="H234" s="108" t="inlineStr">
        <is>
          <t>Nakit</t>
        </is>
      </c>
      <c r="I234" s="109" t="n"/>
      <c r="J234" s="109" t="inlineStr">
        <is>
          <t>NAKİT ÖDENEN</t>
        </is>
      </c>
      <c r="K234" s="109" t="n"/>
      <c r="L234" s="226">
        <f>IF($E234="","",DATE(YEAR($E234),MONTH($E234),1))</f>
        <v/>
      </c>
      <c r="M234" s="113">
        <f>IF($D234="","",IF($C234="TANIMSIZ MÜŞTERİ","HATA",IF(OR($E234="",$F234&lt;=0,$G234=""),"EKSİK",IF($E234&gt;TODAY(),"İLERİ TARİH",IF(COUNTIF($S$7:$S$1506,$S234)&gt;1,"MÜKERRER?",IF($T234&gt;0,"KAPALI DÖNEM","UYGUN"))))))</f>
        <v/>
      </c>
      <c r="N234" s="121">
        <f>IF($C234="","",IF($C234="TANIMSIZ MÜŞTERİ","—",INDEX(MUSTERILER!$C$7:$C$106,MATCH($C234,MUSTERILER!$B$7:$B$106,0))))</f>
        <v/>
      </c>
      <c r="O234" s="6" t="n"/>
      <c r="P234" s="6" t="n"/>
      <c r="Q234" s="3">
        <f>IF($D234="","",$C234&amp;"|"&amp;COUNTIFS($C$7:$C234,$C234))</f>
        <v/>
      </c>
      <c r="R234" s="3">
        <f>IF($D234="","",UPPER(SUBSTITUTE(SUBSTITUTE(SUBSTITUTE(SUBSTITUTE(SUBSTITUTE(SUBSTITUTE(SUBSTITUTE(SUBSTITUTE(SUBSTITUTE(SUBSTITUTE(SUBSTITUTE(SUBSTITUTE(SUBSTITUTE(SUBSTITUTE(SUBSTITUTE(SUBSTITUTE(SUBSTITUTE(SUBSTITUTE(TRIM($D234),"'",""),"İ","I"),"ı","I"),"i","I"),"Ş","S"),"ş","S"),"Ğ","G"),"ğ","G"),"Ü","U"),"ü","U"),"Ö","O"),"ö","O"),"Ç","C"),"ç","C"),".",""),",","")," ",""),"-","")))</f>
        <v/>
      </c>
      <c r="S234" s="3">
        <f>IF($D234="","",$C234&amp;"|"&amp;TEXT($E234,"0")&amp;"|"&amp;TEXT($F234,"0")&amp;"|"&amp;$I234)</f>
        <v/>
      </c>
      <c r="T234" s="3">
        <f>IF($E234="",0,SUMPRODUCT((AY_SONU!$O$7:$O$42="Evet")*(AY_SONU!$B$7:$B$42=DATE(YEAR($E234),MONTH($E234),1))))</f>
        <v/>
      </c>
    </row>
    <row r="235">
      <c r="A235" s="6" t="n"/>
      <c r="B235" s="113">
        <f>IF($D235="","","T"&amp;TEXT(ROW()-6,"00000"))</f>
        <v/>
      </c>
      <c r="C235" s="113">
        <f>IF($D235="","",IFERROR(INDEX(MUSTERILER!$B$7:$B$106,MATCH($R235,MUSTERILER!$T$7:$T$106,0)),IFERROR(INDEX(MUSTERILER!$B$7:$B$106,MATCH($D235,MUSTERILER!$B$7:$B$106,0)),IFERROR(INDEX(MUSTERILER!$B$7:$B$106,MATCH($R235&amp;"*",MUSTERILER!$T$7:$T$106,0)),"TANIMSIZ MÜŞTERİ"))))</f>
        <v/>
      </c>
      <c r="D235" s="109" t="inlineStr">
        <is>
          <t>Pakyıldız Ltd.Şti.</t>
        </is>
      </c>
      <c r="E235" s="220" t="n">
        <v>46130</v>
      </c>
      <c r="F235" s="221" t="n">
        <v>4000</v>
      </c>
      <c r="G235" s="108" t="inlineStr">
        <is>
          <t>MERKEZ KASA</t>
        </is>
      </c>
      <c r="H235" s="108" t="inlineStr">
        <is>
          <t>Nakit</t>
        </is>
      </c>
      <c r="I235" s="109" t="n"/>
      <c r="J235" s="109" t="inlineStr">
        <is>
          <t>NAKİT ÖDENEN</t>
        </is>
      </c>
      <c r="K235" s="109" t="n"/>
      <c r="L235" s="226">
        <f>IF($E235="","",DATE(YEAR($E235),MONTH($E235),1))</f>
        <v/>
      </c>
      <c r="M235" s="113">
        <f>IF($D235="","",IF($C235="TANIMSIZ MÜŞTERİ","HATA",IF(OR($E235="",$F235&lt;=0,$G235=""),"EKSİK",IF($E235&gt;TODAY(),"İLERİ TARİH",IF(COUNTIF($S$7:$S$1506,$S235)&gt;1,"MÜKERRER?",IF($T235&gt;0,"KAPALI DÖNEM","UYGUN"))))))</f>
        <v/>
      </c>
      <c r="N235" s="121">
        <f>IF($C235="","",IF($C235="TANIMSIZ MÜŞTERİ","—",INDEX(MUSTERILER!$C$7:$C$106,MATCH($C235,MUSTERILER!$B$7:$B$106,0))))</f>
        <v/>
      </c>
      <c r="O235" s="6" t="n"/>
      <c r="P235" s="6" t="n"/>
      <c r="Q235" s="3">
        <f>IF($D235="","",$C235&amp;"|"&amp;COUNTIFS($C$7:$C235,$C235))</f>
        <v/>
      </c>
      <c r="R235" s="3">
        <f>IF($D235="","",UPPER(SUBSTITUTE(SUBSTITUTE(SUBSTITUTE(SUBSTITUTE(SUBSTITUTE(SUBSTITUTE(SUBSTITUTE(SUBSTITUTE(SUBSTITUTE(SUBSTITUTE(SUBSTITUTE(SUBSTITUTE(SUBSTITUTE(SUBSTITUTE(SUBSTITUTE(SUBSTITUTE(SUBSTITUTE(SUBSTITUTE(TRIM($D235),"'",""),"İ","I"),"ı","I"),"i","I"),"Ş","S"),"ş","S"),"Ğ","G"),"ğ","G"),"Ü","U"),"ü","U"),"Ö","O"),"ö","O"),"Ç","C"),"ç","C"),".",""),",","")," ",""),"-","")))</f>
        <v/>
      </c>
      <c r="S235" s="3">
        <f>IF($D235="","",$C235&amp;"|"&amp;TEXT($E235,"0")&amp;"|"&amp;TEXT($F235,"0")&amp;"|"&amp;$I235)</f>
        <v/>
      </c>
      <c r="T235" s="3">
        <f>IF($E235="",0,SUMPRODUCT((AY_SONU!$O$7:$O$42="Evet")*(AY_SONU!$B$7:$B$42=DATE(YEAR($E235),MONTH($E235),1))))</f>
        <v/>
      </c>
    </row>
    <row r="236">
      <c r="A236" s="6" t="n"/>
      <c r="B236" s="113">
        <f>IF($D236="","","T"&amp;TEXT(ROW()-6,"00000"))</f>
        <v/>
      </c>
      <c r="C236" s="113">
        <f>IF($D236="","",IFERROR(INDEX(MUSTERILER!$B$7:$B$106,MATCH($R236,MUSTERILER!$T$7:$T$106,0)),IFERROR(INDEX(MUSTERILER!$B$7:$B$106,MATCH($D236,MUSTERILER!$B$7:$B$106,0)),IFERROR(INDEX(MUSTERILER!$B$7:$B$106,MATCH($R236&amp;"*",MUSTERILER!$T$7:$T$106,0)),"TANIMSIZ MÜŞTERİ"))))</f>
        <v/>
      </c>
      <c r="D236" s="109" t="inlineStr">
        <is>
          <t>Rix Şow Ltd.Şti.</t>
        </is>
      </c>
      <c r="E236" s="220" t="n">
        <v>46130</v>
      </c>
      <c r="F236" s="221" t="n">
        <v>3000</v>
      </c>
      <c r="G236" s="108" t="inlineStr">
        <is>
          <t>MERKEZ KASA</t>
        </is>
      </c>
      <c r="H236" s="108" t="inlineStr">
        <is>
          <t>Nakit</t>
        </is>
      </c>
      <c r="I236" s="109" t="n"/>
      <c r="J236" s="109" t="inlineStr">
        <is>
          <t>NAKİT ÖDENEN</t>
        </is>
      </c>
      <c r="K236" s="109" t="n"/>
      <c r="L236" s="226">
        <f>IF($E236="","",DATE(YEAR($E236),MONTH($E236),1))</f>
        <v/>
      </c>
      <c r="M236" s="113">
        <f>IF($D236="","",IF($C236="TANIMSIZ MÜŞTERİ","HATA",IF(OR($E236="",$F236&lt;=0,$G236=""),"EKSİK",IF($E236&gt;TODAY(),"İLERİ TARİH",IF(COUNTIF($S$7:$S$1506,$S236)&gt;1,"MÜKERRER?",IF($T236&gt;0,"KAPALI DÖNEM","UYGUN"))))))</f>
        <v/>
      </c>
      <c r="N236" s="121">
        <f>IF($C236="","",IF($C236="TANIMSIZ MÜŞTERİ","—",INDEX(MUSTERILER!$C$7:$C$106,MATCH($C236,MUSTERILER!$B$7:$B$106,0))))</f>
        <v/>
      </c>
      <c r="O236" s="6" t="n"/>
      <c r="P236" s="6" t="n"/>
      <c r="Q236" s="3">
        <f>IF($D236="","",$C236&amp;"|"&amp;COUNTIFS($C$7:$C236,$C236))</f>
        <v/>
      </c>
      <c r="R236" s="3">
        <f>IF($D236="","",UPPER(SUBSTITUTE(SUBSTITUTE(SUBSTITUTE(SUBSTITUTE(SUBSTITUTE(SUBSTITUTE(SUBSTITUTE(SUBSTITUTE(SUBSTITUTE(SUBSTITUTE(SUBSTITUTE(SUBSTITUTE(SUBSTITUTE(SUBSTITUTE(SUBSTITUTE(SUBSTITUTE(SUBSTITUTE(SUBSTITUTE(TRIM($D236),"'",""),"İ","I"),"ı","I"),"i","I"),"Ş","S"),"ş","S"),"Ğ","G"),"ğ","G"),"Ü","U"),"ü","U"),"Ö","O"),"ö","O"),"Ç","C"),"ç","C"),".",""),",","")," ",""),"-","")))</f>
        <v/>
      </c>
      <c r="S236" s="3">
        <f>IF($D236="","",$C236&amp;"|"&amp;TEXT($E236,"0")&amp;"|"&amp;TEXT($F236,"0")&amp;"|"&amp;$I236)</f>
        <v/>
      </c>
      <c r="T236" s="3">
        <f>IF($E236="",0,SUMPRODUCT((AY_SONU!$O$7:$O$42="Evet")*(AY_SONU!$B$7:$B$42=DATE(YEAR($E236),MONTH($E236),1))))</f>
        <v/>
      </c>
    </row>
    <row r="237">
      <c r="A237" s="6" t="n"/>
      <c r="B237" s="113">
        <f>IF($D237="","","T"&amp;TEXT(ROW()-6,"00000"))</f>
        <v/>
      </c>
      <c r="C237" s="113">
        <f>IF($D237="","",IFERROR(INDEX(MUSTERILER!$B$7:$B$106,MATCH($R237,MUSTERILER!$T$7:$T$106,0)),IFERROR(INDEX(MUSTERILER!$B$7:$B$106,MATCH($D237,MUSTERILER!$B$7:$B$106,0)),IFERROR(INDEX(MUSTERILER!$B$7:$B$106,MATCH($R237&amp;"*",MUSTERILER!$T$7:$T$106,0)),"TANIMSIZ MÜŞTERİ"))))</f>
        <v/>
      </c>
      <c r="D237" s="109" t="inlineStr">
        <is>
          <t>Zümrüt Eğlence Ltd.Şti.</t>
        </is>
      </c>
      <c r="E237" s="220" t="n">
        <v>46130</v>
      </c>
      <c r="F237" s="221" t="n">
        <v>3000</v>
      </c>
      <c r="G237" s="108" t="inlineStr">
        <is>
          <t>MERKEZ KASA</t>
        </is>
      </c>
      <c r="H237" s="108" t="inlineStr">
        <is>
          <t>Nakit</t>
        </is>
      </c>
      <c r="I237" s="109" t="n"/>
      <c r="J237" s="109" t="inlineStr">
        <is>
          <t>NAKİT ÖDENEN</t>
        </is>
      </c>
      <c r="K237" s="109" t="n"/>
      <c r="L237" s="226">
        <f>IF($E237="","",DATE(YEAR($E237),MONTH($E237),1))</f>
        <v/>
      </c>
      <c r="M237" s="113">
        <f>IF($D237="","",IF($C237="TANIMSIZ MÜŞTERİ","HATA",IF(OR($E237="",$F237&lt;=0,$G237=""),"EKSİK",IF($E237&gt;TODAY(),"İLERİ TARİH",IF(COUNTIF($S$7:$S$1506,$S237)&gt;1,"MÜKERRER?",IF($T237&gt;0,"KAPALI DÖNEM","UYGUN"))))))</f>
        <v/>
      </c>
      <c r="N237" s="121">
        <f>IF($C237="","",IF($C237="TANIMSIZ MÜŞTERİ","—",INDEX(MUSTERILER!$C$7:$C$106,MATCH($C237,MUSTERILER!$B$7:$B$106,0))))</f>
        <v/>
      </c>
      <c r="O237" s="6" t="n"/>
      <c r="P237" s="6" t="n"/>
      <c r="Q237" s="3">
        <f>IF($D237="","",$C237&amp;"|"&amp;COUNTIFS($C$7:$C237,$C237))</f>
        <v/>
      </c>
      <c r="R237" s="3">
        <f>IF($D237="","",UPPER(SUBSTITUTE(SUBSTITUTE(SUBSTITUTE(SUBSTITUTE(SUBSTITUTE(SUBSTITUTE(SUBSTITUTE(SUBSTITUTE(SUBSTITUTE(SUBSTITUTE(SUBSTITUTE(SUBSTITUTE(SUBSTITUTE(SUBSTITUTE(SUBSTITUTE(SUBSTITUTE(SUBSTITUTE(SUBSTITUTE(TRIM($D237),"'",""),"İ","I"),"ı","I"),"i","I"),"Ş","S"),"ş","S"),"Ğ","G"),"ğ","G"),"Ü","U"),"ü","U"),"Ö","O"),"ö","O"),"Ç","C"),"ç","C"),".",""),",","")," ",""),"-","")))</f>
        <v/>
      </c>
      <c r="S237" s="3">
        <f>IF($D237="","",$C237&amp;"|"&amp;TEXT($E237,"0")&amp;"|"&amp;TEXT($F237,"0")&amp;"|"&amp;$I237)</f>
        <v/>
      </c>
      <c r="T237" s="3">
        <f>IF($E237="",0,SUMPRODUCT((AY_SONU!$O$7:$O$42="Evet")*(AY_SONU!$B$7:$B$42=DATE(YEAR($E237),MONTH($E237),1))))</f>
        <v/>
      </c>
    </row>
    <row r="238">
      <c r="A238" s="6" t="n"/>
      <c r="B238" s="113">
        <f>IF($D238="","","T"&amp;TEXT(ROW()-6,"00000"))</f>
        <v/>
      </c>
      <c r="C238" s="113">
        <f>IF($D238="","",IFERROR(INDEX(MUSTERILER!$B$7:$B$106,MATCH($R238,MUSTERILER!$T$7:$T$106,0)),IFERROR(INDEX(MUSTERILER!$B$7:$B$106,MATCH($D238,MUSTERILER!$B$7:$B$106,0)),IFERROR(INDEX(MUSTERILER!$B$7:$B$106,MATCH($R238&amp;"*",MUSTERILER!$T$7:$T$106,0)),"TANIMSIZ MÜŞTERİ"))))</f>
        <v/>
      </c>
      <c r="D238" s="109" t="inlineStr">
        <is>
          <t>Zümrüt Grup Ltd.Şti.</t>
        </is>
      </c>
      <c r="E238" s="220" t="n">
        <v>46130</v>
      </c>
      <c r="F238" s="221" t="n">
        <v>1750</v>
      </c>
      <c r="G238" s="108" t="inlineStr">
        <is>
          <t>MERKEZ KASA</t>
        </is>
      </c>
      <c r="H238" s="108" t="inlineStr">
        <is>
          <t>Nakit</t>
        </is>
      </c>
      <c r="I238" s="109" t="n"/>
      <c r="J238" s="109" t="inlineStr">
        <is>
          <t>NAKİT ÖDENEN</t>
        </is>
      </c>
      <c r="K238" s="109" t="n"/>
      <c r="L238" s="226">
        <f>IF($E238="","",DATE(YEAR($E238),MONTH($E238),1))</f>
        <v/>
      </c>
      <c r="M238" s="113">
        <f>IF($D238="","",IF($C238="TANIMSIZ MÜŞTERİ","HATA",IF(OR($E238="",$F238&lt;=0,$G238=""),"EKSİK",IF($E238&gt;TODAY(),"İLERİ TARİH",IF(COUNTIF($S$7:$S$1506,$S238)&gt;1,"MÜKERRER?",IF($T238&gt;0,"KAPALI DÖNEM","UYGUN"))))))</f>
        <v/>
      </c>
      <c r="N238" s="121">
        <f>IF($C238="","",IF($C238="TANIMSIZ MÜŞTERİ","—",INDEX(MUSTERILER!$C$7:$C$106,MATCH($C238,MUSTERILER!$B$7:$B$106,0))))</f>
        <v/>
      </c>
      <c r="O238" s="6" t="n"/>
      <c r="P238" s="6" t="n"/>
      <c r="Q238" s="3">
        <f>IF($D238="","",$C238&amp;"|"&amp;COUNTIFS($C$7:$C238,$C238))</f>
        <v/>
      </c>
      <c r="R238" s="3">
        <f>IF($D238="","",UPPER(SUBSTITUTE(SUBSTITUTE(SUBSTITUTE(SUBSTITUTE(SUBSTITUTE(SUBSTITUTE(SUBSTITUTE(SUBSTITUTE(SUBSTITUTE(SUBSTITUTE(SUBSTITUTE(SUBSTITUTE(SUBSTITUTE(SUBSTITUTE(SUBSTITUTE(SUBSTITUTE(SUBSTITUTE(SUBSTITUTE(TRIM($D238),"'",""),"İ","I"),"ı","I"),"i","I"),"Ş","S"),"ş","S"),"Ğ","G"),"ğ","G"),"Ü","U"),"ü","U"),"Ö","O"),"ö","O"),"Ç","C"),"ç","C"),".",""),",","")," ",""),"-","")))</f>
        <v/>
      </c>
      <c r="S238" s="3">
        <f>IF($D238="","",$C238&amp;"|"&amp;TEXT($E238,"0")&amp;"|"&amp;TEXT($F238,"0")&amp;"|"&amp;$I238)</f>
        <v/>
      </c>
      <c r="T238" s="3">
        <f>IF($E238="",0,SUMPRODUCT((AY_SONU!$O$7:$O$42="Evet")*(AY_SONU!$B$7:$B$42=DATE(YEAR($E238),MONTH($E238),1))))</f>
        <v/>
      </c>
    </row>
    <row r="239">
      <c r="A239" s="6" t="n"/>
      <c r="B239" s="113">
        <f>IF($D239="","","T"&amp;TEXT(ROW()-6,"00000"))</f>
        <v/>
      </c>
      <c r="C239" s="113">
        <f>IF($D239="","",IFERROR(INDEX(MUSTERILER!$B$7:$B$106,MATCH($R239,MUSTERILER!$T$7:$T$106,0)),IFERROR(INDEX(MUSTERILER!$B$7:$B$106,MATCH($D239,MUSTERILER!$B$7:$B$106,0)),IFERROR(INDEX(MUSTERILER!$B$7:$B$106,MATCH($R239&amp;"*",MUSTERILER!$T$7:$T$106,0)),"TANIMSIZ MÜŞTERİ"))))</f>
        <v/>
      </c>
      <c r="D239" s="109" t="inlineStr">
        <is>
          <t>ÇINARHAN LTD.ŞTİ.</t>
        </is>
      </c>
      <c r="E239" s="220" t="n">
        <v>46130</v>
      </c>
      <c r="F239" s="221" t="n">
        <v>2500</v>
      </c>
      <c r="G239" s="108" t="inlineStr">
        <is>
          <t>MERKEZ KASA</t>
        </is>
      </c>
      <c r="H239" s="108" t="inlineStr">
        <is>
          <t>Nakit</t>
        </is>
      </c>
      <c r="I239" s="109" t="n"/>
      <c r="J239" s="109" t="inlineStr">
        <is>
          <t>NAKİT ÖDENEN</t>
        </is>
      </c>
      <c r="K239" s="109" t="n"/>
      <c r="L239" s="226">
        <f>IF($E239="","",DATE(YEAR($E239),MONTH($E239),1))</f>
        <v/>
      </c>
      <c r="M239" s="113">
        <f>IF($D239="","",IF($C239="TANIMSIZ MÜŞTERİ","HATA",IF(OR($E239="",$F239&lt;=0,$G239=""),"EKSİK",IF($E239&gt;TODAY(),"İLERİ TARİH",IF(COUNTIF($S$7:$S$1506,$S239)&gt;1,"MÜKERRER?",IF($T239&gt;0,"KAPALI DÖNEM","UYGUN"))))))</f>
        <v/>
      </c>
      <c r="N239" s="121">
        <f>IF($C239="","",IF($C239="TANIMSIZ MÜŞTERİ","—",INDEX(MUSTERILER!$C$7:$C$106,MATCH($C239,MUSTERILER!$B$7:$B$106,0))))</f>
        <v/>
      </c>
      <c r="O239" s="6" t="n"/>
      <c r="P239" s="6" t="n"/>
      <c r="Q239" s="3">
        <f>IF($D239="","",$C239&amp;"|"&amp;COUNTIFS($C$7:$C239,$C239))</f>
        <v/>
      </c>
      <c r="R239" s="3">
        <f>IF($D239="","",UPPER(SUBSTITUTE(SUBSTITUTE(SUBSTITUTE(SUBSTITUTE(SUBSTITUTE(SUBSTITUTE(SUBSTITUTE(SUBSTITUTE(SUBSTITUTE(SUBSTITUTE(SUBSTITUTE(SUBSTITUTE(SUBSTITUTE(SUBSTITUTE(SUBSTITUTE(SUBSTITUTE(SUBSTITUTE(SUBSTITUTE(TRIM($D239),"'",""),"İ","I"),"ı","I"),"i","I"),"Ş","S"),"ş","S"),"Ğ","G"),"ğ","G"),"Ü","U"),"ü","U"),"Ö","O"),"ö","O"),"Ç","C"),"ç","C"),".",""),",","")," ",""),"-","")))</f>
        <v/>
      </c>
      <c r="S239" s="3">
        <f>IF($D239="","",$C239&amp;"|"&amp;TEXT($E239,"0")&amp;"|"&amp;TEXT($F239,"0")&amp;"|"&amp;$I239)</f>
        <v/>
      </c>
      <c r="T239" s="3">
        <f>IF($E239="",0,SUMPRODUCT((AY_SONU!$O$7:$O$42="Evet")*(AY_SONU!$B$7:$B$42=DATE(YEAR($E239),MONTH($E239),1))))</f>
        <v/>
      </c>
    </row>
    <row r="240">
      <c r="A240" s="6" t="n"/>
      <c r="B240" s="113">
        <f>IF($D240="","","T"&amp;TEXT(ROW()-6,"00000"))</f>
        <v/>
      </c>
      <c r="C240" s="113">
        <f>IF($D240="","",IFERROR(INDEX(MUSTERILER!$B$7:$B$106,MATCH($R240,MUSTERILER!$T$7:$T$106,0)),IFERROR(INDEX(MUSTERILER!$B$7:$B$106,MATCH($D240,MUSTERILER!$B$7:$B$106,0)),IFERROR(INDEX(MUSTERILER!$B$7:$B$106,MATCH($R240&amp;"*",MUSTERILER!$T$7:$T$106,0)),"TANIMSIZ MÜŞTERİ"))))</f>
        <v/>
      </c>
      <c r="D240" s="109" t="inlineStr">
        <is>
          <t>İSA DEMİRCİ</t>
        </is>
      </c>
      <c r="E240" s="220" t="n">
        <v>46130</v>
      </c>
      <c r="F240" s="221" t="n">
        <v>3500</v>
      </c>
      <c r="G240" s="108" t="inlineStr">
        <is>
          <t>MERKEZ KASA</t>
        </is>
      </c>
      <c r="H240" s="108" t="inlineStr">
        <is>
          <t>Nakit</t>
        </is>
      </c>
      <c r="I240" s="109" t="n"/>
      <c r="J240" s="109" t="inlineStr">
        <is>
          <t>NAKİT ÖDENEN</t>
        </is>
      </c>
      <c r="K240" s="109" t="n"/>
      <c r="L240" s="226">
        <f>IF($E240="","",DATE(YEAR($E240),MONTH($E240),1))</f>
        <v/>
      </c>
      <c r="M240" s="113">
        <f>IF($D240="","",IF($C240="TANIMSIZ MÜŞTERİ","HATA",IF(OR($E240="",$F240&lt;=0,$G240=""),"EKSİK",IF($E240&gt;TODAY(),"İLERİ TARİH",IF(COUNTIF($S$7:$S$1506,$S240)&gt;1,"MÜKERRER?",IF($T240&gt;0,"KAPALI DÖNEM","UYGUN"))))))</f>
        <v/>
      </c>
      <c r="N240" s="121">
        <f>IF($C240="","",IF($C240="TANIMSIZ MÜŞTERİ","—",INDEX(MUSTERILER!$C$7:$C$106,MATCH($C240,MUSTERILER!$B$7:$B$106,0))))</f>
        <v/>
      </c>
      <c r="O240" s="6" t="n"/>
      <c r="P240" s="6" t="n"/>
      <c r="Q240" s="3">
        <f>IF($D240="","",$C240&amp;"|"&amp;COUNTIFS($C$7:$C240,$C240))</f>
        <v/>
      </c>
      <c r="R240" s="3">
        <f>IF($D240="","",UPPER(SUBSTITUTE(SUBSTITUTE(SUBSTITUTE(SUBSTITUTE(SUBSTITUTE(SUBSTITUTE(SUBSTITUTE(SUBSTITUTE(SUBSTITUTE(SUBSTITUTE(SUBSTITUTE(SUBSTITUTE(SUBSTITUTE(SUBSTITUTE(SUBSTITUTE(SUBSTITUTE(SUBSTITUTE(SUBSTITUTE(TRIM($D240),"'",""),"İ","I"),"ı","I"),"i","I"),"Ş","S"),"ş","S"),"Ğ","G"),"ğ","G"),"Ü","U"),"ü","U"),"Ö","O"),"ö","O"),"Ç","C"),"ç","C"),".",""),",","")," ",""),"-","")))</f>
        <v/>
      </c>
      <c r="S240" s="3">
        <f>IF($D240="","",$C240&amp;"|"&amp;TEXT($E240,"0")&amp;"|"&amp;TEXT($F240,"0")&amp;"|"&amp;$I240)</f>
        <v/>
      </c>
      <c r="T240" s="3">
        <f>IF($E240="",0,SUMPRODUCT((AY_SONU!$O$7:$O$42="Evet")*(AY_SONU!$B$7:$B$42=DATE(YEAR($E240),MONTH($E240),1))))</f>
        <v/>
      </c>
    </row>
    <row r="241">
      <c r="A241" s="6" t="n"/>
      <c r="B241" s="113">
        <f>IF($D241="","","T"&amp;TEXT(ROW()-6,"00000"))</f>
        <v/>
      </c>
      <c r="C241" s="113">
        <f>IF($D241="","",IFERROR(INDEX(MUSTERILER!$B$7:$B$106,MATCH($R241,MUSTERILER!$T$7:$T$106,0)),IFERROR(INDEX(MUSTERILER!$B$7:$B$106,MATCH($D241,MUSTERILER!$B$7:$B$106,0)),IFERROR(INDEX(MUSTERILER!$B$7:$B$106,MATCH($R241&amp;"*",MUSTERILER!$T$7:$T$106,0)),"TANIMSIZ MÜŞTERİ"))))</f>
        <v/>
      </c>
      <c r="D241" s="109" t="inlineStr">
        <is>
          <t>KRİSTAL LTD.ŞTİ.</t>
        </is>
      </c>
      <c r="E241" s="220" t="n">
        <v>46130</v>
      </c>
      <c r="F241" s="221" t="n">
        <v>3000</v>
      </c>
      <c r="G241" s="108" t="inlineStr">
        <is>
          <t>MERKEZ KASA</t>
        </is>
      </c>
      <c r="H241" s="108" t="inlineStr">
        <is>
          <t>Nakit</t>
        </is>
      </c>
      <c r="I241" s="109" t="n"/>
      <c r="J241" s="109" t="inlineStr">
        <is>
          <t>NAKİT ÖDENEN</t>
        </is>
      </c>
      <c r="K241" s="109" t="n"/>
      <c r="L241" s="226">
        <f>IF($E241="","",DATE(YEAR($E241),MONTH($E241),1))</f>
        <v/>
      </c>
      <c r="M241" s="113">
        <f>IF($D241="","",IF($C241="TANIMSIZ MÜŞTERİ","HATA",IF(OR($E241="",$F241&lt;=0,$G241=""),"EKSİK",IF($E241&gt;TODAY(),"İLERİ TARİH",IF(COUNTIF($S$7:$S$1506,$S241)&gt;1,"MÜKERRER?",IF($T241&gt;0,"KAPALI DÖNEM","UYGUN"))))))</f>
        <v/>
      </c>
      <c r="N241" s="121">
        <f>IF($C241="","",IF($C241="TANIMSIZ MÜŞTERİ","—",INDEX(MUSTERILER!$C$7:$C$106,MATCH($C241,MUSTERILER!$B$7:$B$106,0))))</f>
        <v/>
      </c>
      <c r="O241" s="6" t="n"/>
      <c r="P241" s="6" t="n"/>
      <c r="Q241" s="3">
        <f>IF($D241="","",$C241&amp;"|"&amp;COUNTIFS($C$7:$C241,$C241))</f>
        <v/>
      </c>
      <c r="R241" s="3">
        <f>IF($D241="","",UPPER(SUBSTITUTE(SUBSTITUTE(SUBSTITUTE(SUBSTITUTE(SUBSTITUTE(SUBSTITUTE(SUBSTITUTE(SUBSTITUTE(SUBSTITUTE(SUBSTITUTE(SUBSTITUTE(SUBSTITUTE(SUBSTITUTE(SUBSTITUTE(SUBSTITUTE(SUBSTITUTE(SUBSTITUTE(SUBSTITUTE(TRIM($D241),"'",""),"İ","I"),"ı","I"),"i","I"),"Ş","S"),"ş","S"),"Ğ","G"),"ğ","G"),"Ü","U"),"ü","U"),"Ö","O"),"ö","O"),"Ç","C"),"ç","C"),".",""),",","")," ",""),"-","")))</f>
        <v/>
      </c>
      <c r="S241" s="3">
        <f>IF($D241="","",$C241&amp;"|"&amp;TEXT($E241,"0")&amp;"|"&amp;TEXT($F241,"0")&amp;"|"&amp;$I241)</f>
        <v/>
      </c>
      <c r="T241" s="3">
        <f>IF($E241="",0,SUMPRODUCT((AY_SONU!$O$7:$O$42="Evet")*(AY_SONU!$B$7:$B$42=DATE(YEAR($E241),MONTH($E241),1))))</f>
        <v/>
      </c>
    </row>
    <row r="242">
      <c r="A242" s="6" t="n"/>
      <c r="B242" s="113">
        <f>IF($D242="","","T"&amp;TEXT(ROW()-6,"00000"))</f>
        <v/>
      </c>
      <c r="C242" s="113">
        <f>IF($D242="","",IFERROR(INDEX(MUSTERILER!$B$7:$B$106,MATCH($R242,MUSTERILER!$T$7:$T$106,0)),IFERROR(INDEX(MUSTERILER!$B$7:$B$106,MATCH($D242,MUSTERILER!$B$7:$B$106,0)),IFERROR(INDEX(MUSTERILER!$B$7:$B$106,MATCH($R242&amp;"*",MUSTERILER!$T$7:$T$106,0)),"TANIMSIZ MÜŞTERİ"))))</f>
        <v/>
      </c>
      <c r="D242" s="109" t="inlineStr">
        <is>
          <t>YALIKENT LTD.ŞTİ.</t>
        </is>
      </c>
      <c r="E242" s="220" t="n">
        <v>46130</v>
      </c>
      <c r="F242" s="221" t="n">
        <v>4000</v>
      </c>
      <c r="G242" s="108" t="inlineStr">
        <is>
          <t>MERKEZ KASA</t>
        </is>
      </c>
      <c r="H242" s="108" t="inlineStr">
        <is>
          <t>Nakit</t>
        </is>
      </c>
      <c r="I242" s="109" t="n"/>
      <c r="J242" s="109" t="inlineStr">
        <is>
          <t>NAKİT ÖDENEN</t>
        </is>
      </c>
      <c r="K242" s="109" t="n"/>
      <c r="L242" s="226">
        <f>IF($E242="","",DATE(YEAR($E242),MONTH($E242),1))</f>
        <v/>
      </c>
      <c r="M242" s="113">
        <f>IF($D242="","",IF($C242="TANIMSIZ MÜŞTERİ","HATA",IF(OR($E242="",$F242&lt;=0,$G242=""),"EKSİK",IF($E242&gt;TODAY(),"İLERİ TARİH",IF(COUNTIF($S$7:$S$1506,$S242)&gt;1,"MÜKERRER?",IF($T242&gt;0,"KAPALI DÖNEM","UYGUN"))))))</f>
        <v/>
      </c>
      <c r="N242" s="121">
        <f>IF($C242="","",IF($C242="TANIMSIZ MÜŞTERİ","—",INDEX(MUSTERILER!$C$7:$C$106,MATCH($C242,MUSTERILER!$B$7:$B$106,0))))</f>
        <v/>
      </c>
      <c r="O242" s="6" t="n"/>
      <c r="P242" s="6" t="n"/>
      <c r="Q242" s="3">
        <f>IF($D242="","",$C242&amp;"|"&amp;COUNTIFS($C$7:$C242,$C242))</f>
        <v/>
      </c>
      <c r="R242" s="3">
        <f>IF($D242="","",UPPER(SUBSTITUTE(SUBSTITUTE(SUBSTITUTE(SUBSTITUTE(SUBSTITUTE(SUBSTITUTE(SUBSTITUTE(SUBSTITUTE(SUBSTITUTE(SUBSTITUTE(SUBSTITUTE(SUBSTITUTE(SUBSTITUTE(SUBSTITUTE(SUBSTITUTE(SUBSTITUTE(SUBSTITUTE(SUBSTITUTE(TRIM($D242),"'",""),"İ","I"),"ı","I"),"i","I"),"Ş","S"),"ş","S"),"Ğ","G"),"ğ","G"),"Ü","U"),"ü","U"),"Ö","O"),"ö","O"),"Ç","C"),"ç","C"),".",""),",","")," ",""),"-","")))</f>
        <v/>
      </c>
      <c r="S242" s="3">
        <f>IF($D242="","",$C242&amp;"|"&amp;TEXT($E242,"0")&amp;"|"&amp;TEXT($F242,"0")&amp;"|"&amp;$I242)</f>
        <v/>
      </c>
      <c r="T242" s="3">
        <f>IF($E242="",0,SUMPRODUCT((AY_SONU!$O$7:$O$42="Evet")*(AY_SONU!$B$7:$B$42=DATE(YEAR($E242),MONTH($E242),1))))</f>
        <v/>
      </c>
    </row>
    <row r="243">
      <c r="A243" s="6" t="n"/>
      <c r="B243" s="113">
        <f>IF($D243="","","T"&amp;TEXT(ROW()-6,"00000"))</f>
        <v/>
      </c>
      <c r="C243" s="113">
        <f>IF($D243="","",IFERROR(INDEX(MUSTERILER!$B$7:$B$106,MATCH($R243,MUSTERILER!$T$7:$T$106,0)),IFERROR(INDEX(MUSTERILER!$B$7:$B$106,MATCH($D243,MUSTERILER!$B$7:$B$106,0)),IFERROR(INDEX(MUSTERILER!$B$7:$B$106,MATCH($R243&amp;"*",MUSTERILER!$T$7:$T$106,0)),"TANIMSIZ MÜŞTERİ"))))</f>
        <v/>
      </c>
      <c r="D243" s="109" t="inlineStr">
        <is>
          <t>ARON TOPTAN LTD.ŞTİ.</t>
        </is>
      </c>
      <c r="E243" s="220" t="n">
        <v>46136</v>
      </c>
      <c r="F243" s="221" t="n">
        <v>20000</v>
      </c>
      <c r="G243" s="108" t="inlineStr">
        <is>
          <t>MERKEZ KASA</t>
        </is>
      </c>
      <c r="H243" s="108" t="inlineStr">
        <is>
          <t>Nakit</t>
        </is>
      </c>
      <c r="I243" s="109" t="n"/>
      <c r="J243" s="109" t="inlineStr">
        <is>
          <t>NAKİT ÖDENEN</t>
        </is>
      </c>
      <c r="K243" s="109" t="n"/>
      <c r="L243" s="226">
        <f>IF($E243="","",DATE(YEAR($E243),MONTH($E243),1))</f>
        <v/>
      </c>
      <c r="M243" s="113">
        <f>IF($D243="","",IF($C243="TANIMSIZ MÜŞTERİ","HATA",IF(OR($E243="",$F243&lt;=0,$G243=""),"EKSİK",IF($E243&gt;TODAY(),"İLERİ TARİH",IF(COUNTIF($S$7:$S$1506,$S243)&gt;1,"MÜKERRER?",IF($T243&gt;0,"KAPALI DÖNEM","UYGUN"))))))</f>
        <v/>
      </c>
      <c r="N243" s="121">
        <f>IF($C243="","",IF($C243="TANIMSIZ MÜŞTERİ","—",INDEX(MUSTERILER!$C$7:$C$106,MATCH($C243,MUSTERILER!$B$7:$B$106,0))))</f>
        <v/>
      </c>
      <c r="O243" s="6" t="n"/>
      <c r="P243" s="6" t="n"/>
      <c r="Q243" s="3">
        <f>IF($D243="","",$C243&amp;"|"&amp;COUNTIFS($C$7:$C243,$C243))</f>
        <v/>
      </c>
      <c r="R243" s="3">
        <f>IF($D243="","",UPPER(SUBSTITUTE(SUBSTITUTE(SUBSTITUTE(SUBSTITUTE(SUBSTITUTE(SUBSTITUTE(SUBSTITUTE(SUBSTITUTE(SUBSTITUTE(SUBSTITUTE(SUBSTITUTE(SUBSTITUTE(SUBSTITUTE(SUBSTITUTE(SUBSTITUTE(SUBSTITUTE(SUBSTITUTE(SUBSTITUTE(TRIM($D243),"'",""),"İ","I"),"ı","I"),"i","I"),"Ş","S"),"ş","S"),"Ğ","G"),"ğ","G"),"Ü","U"),"ü","U"),"Ö","O"),"ö","O"),"Ç","C"),"ç","C"),".",""),",","")," ",""),"-","")))</f>
        <v/>
      </c>
      <c r="S243" s="3">
        <f>IF($D243="","",$C243&amp;"|"&amp;TEXT($E243,"0")&amp;"|"&amp;TEXT($F243,"0")&amp;"|"&amp;$I243)</f>
        <v/>
      </c>
      <c r="T243" s="3">
        <f>IF($E243="",0,SUMPRODUCT((AY_SONU!$O$7:$O$42="Evet")*(AY_SONU!$B$7:$B$42=DATE(YEAR($E243),MONTH($E243),1))))</f>
        <v/>
      </c>
    </row>
    <row r="244">
      <c r="A244" s="6" t="n"/>
      <c r="B244" s="113">
        <f>IF($D244="","","T"&amp;TEXT(ROW()-6,"00000"))</f>
        <v/>
      </c>
      <c r="C244" s="113">
        <f>IF($D244="","",IFERROR(INDEX(MUSTERILER!$B$7:$B$106,MATCH($R244,MUSTERILER!$T$7:$T$106,0)),IFERROR(INDEX(MUSTERILER!$B$7:$B$106,MATCH($D244,MUSTERILER!$B$7:$B$106,0)),IFERROR(INDEX(MUSTERILER!$B$7:$B$106,MATCH($R244&amp;"*",MUSTERILER!$T$7:$T$106,0)),"TANIMSIZ MÜŞTERİ"))))</f>
        <v/>
      </c>
      <c r="D244" s="109" t="inlineStr">
        <is>
          <t>Ankara Havana Ltd.Şti.</t>
        </is>
      </c>
      <c r="E244" s="220" t="n">
        <v>46137</v>
      </c>
      <c r="F244" s="221" t="n">
        <v>4000</v>
      </c>
      <c r="G244" s="108" t="inlineStr">
        <is>
          <t>MERKEZ KASA</t>
        </is>
      </c>
      <c r="H244" s="108" t="inlineStr">
        <is>
          <t>Nakit</t>
        </is>
      </c>
      <c r="I244" s="109" t="n"/>
      <c r="J244" s="109" t="inlineStr">
        <is>
          <t>NAKİT ÖDENEN</t>
        </is>
      </c>
      <c r="K244" s="109" t="n"/>
      <c r="L244" s="226">
        <f>IF($E244="","",DATE(YEAR($E244),MONTH($E244),1))</f>
        <v/>
      </c>
      <c r="M244" s="113">
        <f>IF($D244="","",IF($C244="TANIMSIZ MÜŞTERİ","HATA",IF(OR($E244="",$F244&lt;=0,$G244=""),"EKSİK",IF($E244&gt;TODAY(),"İLERİ TARİH",IF(COUNTIF($S$7:$S$1506,$S244)&gt;1,"MÜKERRER?",IF($T244&gt;0,"KAPALI DÖNEM","UYGUN"))))))</f>
        <v/>
      </c>
      <c r="N244" s="121">
        <f>IF($C244="","",IF($C244="TANIMSIZ MÜŞTERİ","—",INDEX(MUSTERILER!$C$7:$C$106,MATCH($C244,MUSTERILER!$B$7:$B$106,0))))</f>
        <v/>
      </c>
      <c r="O244" s="6" t="n"/>
      <c r="P244" s="6" t="n"/>
      <c r="Q244" s="3">
        <f>IF($D244="","",$C244&amp;"|"&amp;COUNTIFS($C$7:$C244,$C244))</f>
        <v/>
      </c>
      <c r="R244" s="3">
        <f>IF($D244="","",UPPER(SUBSTITUTE(SUBSTITUTE(SUBSTITUTE(SUBSTITUTE(SUBSTITUTE(SUBSTITUTE(SUBSTITUTE(SUBSTITUTE(SUBSTITUTE(SUBSTITUTE(SUBSTITUTE(SUBSTITUTE(SUBSTITUTE(SUBSTITUTE(SUBSTITUTE(SUBSTITUTE(SUBSTITUTE(SUBSTITUTE(TRIM($D244),"'",""),"İ","I"),"ı","I"),"i","I"),"Ş","S"),"ş","S"),"Ğ","G"),"ğ","G"),"Ü","U"),"ü","U"),"Ö","O"),"ö","O"),"Ç","C"),"ç","C"),".",""),",","")," ",""),"-","")))</f>
        <v/>
      </c>
      <c r="S244" s="3">
        <f>IF($D244="","",$C244&amp;"|"&amp;TEXT($E244,"0")&amp;"|"&amp;TEXT($F244,"0")&amp;"|"&amp;$I244)</f>
        <v/>
      </c>
      <c r="T244" s="3">
        <f>IF($E244="",0,SUMPRODUCT((AY_SONU!$O$7:$O$42="Evet")*(AY_SONU!$B$7:$B$42=DATE(YEAR($E244),MONTH($E244),1))))</f>
        <v/>
      </c>
    </row>
    <row r="245">
      <c r="A245" s="6" t="n"/>
      <c r="B245" s="113">
        <f>IF($D245="","","T"&amp;TEXT(ROW()-6,"00000"))</f>
        <v/>
      </c>
      <c r="C245" s="113">
        <f>IF($D245="","",IFERROR(INDEX(MUSTERILER!$B$7:$B$106,MATCH($R245,MUSTERILER!$T$7:$T$106,0)),IFERROR(INDEX(MUSTERILER!$B$7:$B$106,MATCH($D245,MUSTERILER!$B$7:$B$106,0)),IFERROR(INDEX(MUSTERILER!$B$7:$B$106,MATCH($R245&amp;"*",MUSTERILER!$T$7:$T$106,0)),"TANIMSIZ MÜŞTERİ"))))</f>
        <v/>
      </c>
      <c r="D245" s="109" t="inlineStr">
        <is>
          <t>ASIM AÇIKGÖZ</t>
        </is>
      </c>
      <c r="E245" s="220" t="n">
        <v>46137</v>
      </c>
      <c r="F245" s="221" t="n">
        <v>2000</v>
      </c>
      <c r="G245" s="108" t="inlineStr">
        <is>
          <t>MERKEZ KASA</t>
        </is>
      </c>
      <c r="H245" s="108" t="inlineStr">
        <is>
          <t>Nakit</t>
        </is>
      </c>
      <c r="I245" s="109" t="n"/>
      <c r="J245" s="109" t="inlineStr">
        <is>
          <t>NAKİT ÖDENEN</t>
        </is>
      </c>
      <c r="K245" s="109" t="n"/>
      <c r="L245" s="226">
        <f>IF($E245="","",DATE(YEAR($E245),MONTH($E245),1))</f>
        <v/>
      </c>
      <c r="M245" s="113">
        <f>IF($D245="","",IF($C245="TANIMSIZ MÜŞTERİ","HATA",IF(OR($E245="",$F245&lt;=0,$G245=""),"EKSİK",IF($E245&gt;TODAY(),"İLERİ TARİH",IF(COUNTIF($S$7:$S$1506,$S245)&gt;1,"MÜKERRER?",IF($T245&gt;0,"KAPALI DÖNEM","UYGUN"))))))</f>
        <v/>
      </c>
      <c r="N245" s="121">
        <f>IF($C245="","",IF($C245="TANIMSIZ MÜŞTERİ","—",INDEX(MUSTERILER!$C$7:$C$106,MATCH($C245,MUSTERILER!$B$7:$B$106,0))))</f>
        <v/>
      </c>
      <c r="O245" s="6" t="n"/>
      <c r="P245" s="6" t="n"/>
      <c r="Q245" s="3">
        <f>IF($D245="","",$C245&amp;"|"&amp;COUNTIFS($C$7:$C245,$C245))</f>
        <v/>
      </c>
      <c r="R245" s="3">
        <f>IF($D245="","",UPPER(SUBSTITUTE(SUBSTITUTE(SUBSTITUTE(SUBSTITUTE(SUBSTITUTE(SUBSTITUTE(SUBSTITUTE(SUBSTITUTE(SUBSTITUTE(SUBSTITUTE(SUBSTITUTE(SUBSTITUTE(SUBSTITUTE(SUBSTITUTE(SUBSTITUTE(SUBSTITUTE(SUBSTITUTE(SUBSTITUTE(TRIM($D245),"'",""),"İ","I"),"ı","I"),"i","I"),"Ş","S"),"ş","S"),"Ğ","G"),"ğ","G"),"Ü","U"),"ü","U"),"Ö","O"),"ö","O"),"Ç","C"),"ç","C"),".",""),",","")," ",""),"-","")))</f>
        <v/>
      </c>
      <c r="S245" s="3">
        <f>IF($D245="","",$C245&amp;"|"&amp;TEXT($E245,"0")&amp;"|"&amp;TEXT($F245,"0")&amp;"|"&amp;$I245)</f>
        <v/>
      </c>
      <c r="T245" s="3">
        <f>IF($E245="",0,SUMPRODUCT((AY_SONU!$O$7:$O$42="Evet")*(AY_SONU!$B$7:$B$42=DATE(YEAR($E245),MONTH($E245),1))))</f>
        <v/>
      </c>
    </row>
    <row r="246">
      <c r="A246" s="6" t="n"/>
      <c r="B246" s="113">
        <f>IF($D246="","","T"&amp;TEXT(ROW()-6,"00000"))</f>
        <v/>
      </c>
      <c r="C246" s="113">
        <f>IF($D246="","",IFERROR(INDEX(MUSTERILER!$B$7:$B$106,MATCH($R246,MUSTERILER!$T$7:$T$106,0)),IFERROR(INDEX(MUSTERILER!$B$7:$B$106,MATCH($D246,MUSTERILER!$B$7:$B$106,0)),IFERROR(INDEX(MUSTERILER!$B$7:$B$106,MATCH($R246&amp;"*",MUSTERILER!$T$7:$T$106,0)),"TANIMSIZ MÜŞTERİ"))))</f>
        <v/>
      </c>
      <c r="D246" s="109" t="inlineStr">
        <is>
          <t>ASM EĞLENCE LTD.ŞTİ.</t>
        </is>
      </c>
      <c r="E246" s="220" t="n">
        <v>46137</v>
      </c>
      <c r="F246" s="221" t="n">
        <v>2500</v>
      </c>
      <c r="G246" s="108" t="inlineStr">
        <is>
          <t>MERKEZ KASA</t>
        </is>
      </c>
      <c r="H246" s="108" t="inlineStr">
        <is>
          <t>Nakit</t>
        </is>
      </c>
      <c r="I246" s="109" t="n"/>
      <c r="J246" s="109" t="inlineStr">
        <is>
          <t>NAKİT ÖDENEN</t>
        </is>
      </c>
      <c r="K246" s="109" t="n"/>
      <c r="L246" s="226">
        <f>IF($E246="","",DATE(YEAR($E246),MONTH($E246),1))</f>
        <v/>
      </c>
      <c r="M246" s="113">
        <f>IF($D246="","",IF($C246="TANIMSIZ MÜŞTERİ","HATA",IF(OR($E246="",$F246&lt;=0,$G246=""),"EKSİK",IF($E246&gt;TODAY(),"İLERİ TARİH",IF(COUNTIF($S$7:$S$1506,$S246)&gt;1,"MÜKERRER?",IF($T246&gt;0,"KAPALI DÖNEM","UYGUN"))))))</f>
        <v/>
      </c>
      <c r="N246" s="121">
        <f>IF($C246="","",IF($C246="TANIMSIZ MÜŞTERİ","—",INDEX(MUSTERILER!$C$7:$C$106,MATCH($C246,MUSTERILER!$B$7:$B$106,0))))</f>
        <v/>
      </c>
      <c r="O246" s="6" t="n"/>
      <c r="P246" s="6" t="n"/>
      <c r="Q246" s="3">
        <f>IF($D246="","",$C246&amp;"|"&amp;COUNTIFS($C$7:$C246,$C246))</f>
        <v/>
      </c>
      <c r="R246" s="3">
        <f>IF($D246="","",UPPER(SUBSTITUTE(SUBSTITUTE(SUBSTITUTE(SUBSTITUTE(SUBSTITUTE(SUBSTITUTE(SUBSTITUTE(SUBSTITUTE(SUBSTITUTE(SUBSTITUTE(SUBSTITUTE(SUBSTITUTE(SUBSTITUTE(SUBSTITUTE(SUBSTITUTE(SUBSTITUTE(SUBSTITUTE(SUBSTITUTE(TRIM($D246),"'",""),"İ","I"),"ı","I"),"i","I"),"Ş","S"),"ş","S"),"Ğ","G"),"ğ","G"),"Ü","U"),"ü","U"),"Ö","O"),"ö","O"),"Ç","C"),"ç","C"),".",""),",","")," ",""),"-","")))</f>
        <v/>
      </c>
      <c r="S246" s="3">
        <f>IF($D246="","",$C246&amp;"|"&amp;TEXT($E246,"0")&amp;"|"&amp;TEXT($F246,"0")&amp;"|"&amp;$I246)</f>
        <v/>
      </c>
      <c r="T246" s="3">
        <f>IF($E246="",0,SUMPRODUCT((AY_SONU!$O$7:$O$42="Evet")*(AY_SONU!$B$7:$B$42=DATE(YEAR($E246),MONTH($E246),1))))</f>
        <v/>
      </c>
    </row>
    <row r="247">
      <c r="A247" s="6" t="n"/>
      <c r="B247" s="113">
        <f>IF($D247="","","T"&amp;TEXT(ROW()-6,"00000"))</f>
        <v/>
      </c>
      <c r="C247" s="113">
        <f>IF($D247="","",IFERROR(INDEX(MUSTERILER!$B$7:$B$106,MATCH($R247,MUSTERILER!$T$7:$T$106,0)),IFERROR(INDEX(MUSTERILER!$B$7:$B$106,MATCH($D247,MUSTERILER!$B$7:$B$106,0)),IFERROR(INDEX(MUSTERILER!$B$7:$B$106,MATCH($R247&amp;"*",MUSTERILER!$T$7:$T$106,0)),"TANIMSIZ MÜŞTERİ"))))</f>
        <v/>
      </c>
      <c r="D247" s="109" t="inlineStr">
        <is>
          <t>Çayıralan Ltd.Şti.</t>
        </is>
      </c>
      <c r="E247" s="220" t="n">
        <v>46137</v>
      </c>
      <c r="F247" s="221" t="n">
        <v>3000</v>
      </c>
      <c r="G247" s="108" t="inlineStr">
        <is>
          <t>MERKEZ KASA</t>
        </is>
      </c>
      <c r="H247" s="108" t="inlineStr">
        <is>
          <t>Nakit</t>
        </is>
      </c>
      <c r="I247" s="109" t="n"/>
      <c r="J247" s="109" t="inlineStr">
        <is>
          <t>NAKİT ÖDENEN</t>
        </is>
      </c>
      <c r="K247" s="109" t="n"/>
      <c r="L247" s="226">
        <f>IF($E247="","",DATE(YEAR($E247),MONTH($E247),1))</f>
        <v/>
      </c>
      <c r="M247" s="113">
        <f>IF($D247="","",IF($C247="TANIMSIZ MÜŞTERİ","HATA",IF(OR($E247="",$F247&lt;=0,$G247=""),"EKSİK",IF($E247&gt;TODAY(),"İLERİ TARİH",IF(COUNTIF($S$7:$S$1506,$S247)&gt;1,"MÜKERRER?",IF($T247&gt;0,"KAPALI DÖNEM","UYGUN"))))))</f>
        <v/>
      </c>
      <c r="N247" s="121">
        <f>IF($C247="","",IF($C247="TANIMSIZ MÜŞTERİ","—",INDEX(MUSTERILER!$C$7:$C$106,MATCH($C247,MUSTERILER!$B$7:$B$106,0))))</f>
        <v/>
      </c>
      <c r="O247" s="6" t="n"/>
      <c r="P247" s="6" t="n"/>
      <c r="Q247" s="3">
        <f>IF($D247="","",$C247&amp;"|"&amp;COUNTIFS($C$7:$C247,$C247))</f>
        <v/>
      </c>
      <c r="R247" s="3">
        <f>IF($D247="","",UPPER(SUBSTITUTE(SUBSTITUTE(SUBSTITUTE(SUBSTITUTE(SUBSTITUTE(SUBSTITUTE(SUBSTITUTE(SUBSTITUTE(SUBSTITUTE(SUBSTITUTE(SUBSTITUTE(SUBSTITUTE(SUBSTITUTE(SUBSTITUTE(SUBSTITUTE(SUBSTITUTE(SUBSTITUTE(SUBSTITUTE(TRIM($D247),"'",""),"İ","I"),"ı","I"),"i","I"),"Ş","S"),"ş","S"),"Ğ","G"),"ğ","G"),"Ü","U"),"ü","U"),"Ö","O"),"ö","O"),"Ç","C"),"ç","C"),".",""),",","")," ",""),"-","")))</f>
        <v/>
      </c>
      <c r="S247" s="3">
        <f>IF($D247="","",$C247&amp;"|"&amp;TEXT($E247,"0")&amp;"|"&amp;TEXT($F247,"0")&amp;"|"&amp;$I247)</f>
        <v/>
      </c>
      <c r="T247" s="3">
        <f>IF($E247="",0,SUMPRODUCT((AY_SONU!$O$7:$O$42="Evet")*(AY_SONU!$B$7:$B$42=DATE(YEAR($E247),MONTH($E247),1))))</f>
        <v/>
      </c>
    </row>
    <row r="248">
      <c r="A248" s="6" t="n"/>
      <c r="B248" s="113">
        <f>IF($D248="","","T"&amp;TEXT(ROW()-6,"00000"))</f>
        <v/>
      </c>
      <c r="C248" s="113">
        <f>IF($D248="","",IFERROR(INDEX(MUSTERILER!$B$7:$B$106,MATCH($R248,MUSTERILER!$T$7:$T$106,0)),IFERROR(INDEX(MUSTERILER!$B$7:$B$106,MATCH($D248,MUSTERILER!$B$7:$B$106,0)),IFERROR(INDEX(MUSTERILER!$B$7:$B$106,MATCH($R248&amp;"*",MUSTERILER!$T$7:$T$106,0)),"TANIMSIZ MÜŞTERİ"))))</f>
        <v/>
      </c>
      <c r="D248" s="109" t="inlineStr">
        <is>
          <t>Eğlengör Ltd.Şti.</t>
        </is>
      </c>
      <c r="E248" s="220" t="n">
        <v>46137</v>
      </c>
      <c r="F248" s="221" t="n">
        <v>4000</v>
      </c>
      <c r="G248" s="108" t="inlineStr">
        <is>
          <t>MERKEZ KASA</t>
        </is>
      </c>
      <c r="H248" s="108" t="inlineStr">
        <is>
          <t>Nakit</t>
        </is>
      </c>
      <c r="I248" s="109" t="n"/>
      <c r="J248" s="109" t="inlineStr">
        <is>
          <t>NAKİT ÖDENEN</t>
        </is>
      </c>
      <c r="K248" s="109" t="n"/>
      <c r="L248" s="226">
        <f>IF($E248="","",DATE(YEAR($E248),MONTH($E248),1))</f>
        <v/>
      </c>
      <c r="M248" s="113">
        <f>IF($D248="","",IF($C248="TANIMSIZ MÜŞTERİ","HATA",IF(OR($E248="",$F248&lt;=0,$G248=""),"EKSİK",IF($E248&gt;TODAY(),"İLERİ TARİH",IF(COUNTIF($S$7:$S$1506,$S248)&gt;1,"MÜKERRER?",IF($T248&gt;0,"KAPALI DÖNEM","UYGUN"))))))</f>
        <v/>
      </c>
      <c r="N248" s="121">
        <f>IF($C248="","",IF($C248="TANIMSIZ MÜŞTERİ","—",INDEX(MUSTERILER!$C$7:$C$106,MATCH($C248,MUSTERILER!$B$7:$B$106,0))))</f>
        <v/>
      </c>
      <c r="O248" s="6" t="n"/>
      <c r="P248" s="6" t="n"/>
      <c r="Q248" s="3">
        <f>IF($D248="","",$C248&amp;"|"&amp;COUNTIFS($C$7:$C248,$C248))</f>
        <v/>
      </c>
      <c r="R248" s="3">
        <f>IF($D248="","",UPPER(SUBSTITUTE(SUBSTITUTE(SUBSTITUTE(SUBSTITUTE(SUBSTITUTE(SUBSTITUTE(SUBSTITUTE(SUBSTITUTE(SUBSTITUTE(SUBSTITUTE(SUBSTITUTE(SUBSTITUTE(SUBSTITUTE(SUBSTITUTE(SUBSTITUTE(SUBSTITUTE(SUBSTITUTE(SUBSTITUTE(TRIM($D248),"'",""),"İ","I"),"ı","I"),"i","I"),"Ş","S"),"ş","S"),"Ğ","G"),"ğ","G"),"Ü","U"),"ü","U"),"Ö","O"),"ö","O"),"Ç","C"),"ç","C"),".",""),",","")," ",""),"-","")))</f>
        <v/>
      </c>
      <c r="S248" s="3">
        <f>IF($D248="","",$C248&amp;"|"&amp;TEXT($E248,"0")&amp;"|"&amp;TEXT($F248,"0")&amp;"|"&amp;$I248)</f>
        <v/>
      </c>
      <c r="T248" s="3">
        <f>IF($E248="",0,SUMPRODUCT((AY_SONU!$O$7:$O$42="Evet")*(AY_SONU!$B$7:$B$42=DATE(YEAR($E248),MONTH($E248),1))))</f>
        <v/>
      </c>
    </row>
    <row r="249">
      <c r="A249" s="6" t="n"/>
      <c r="B249" s="113">
        <f>IF($D249="","","T"&amp;TEXT(ROW()-6,"00000"))</f>
        <v/>
      </c>
      <c r="C249" s="113">
        <f>IF($D249="","",IFERROR(INDEX(MUSTERILER!$B$7:$B$106,MATCH($R249,MUSTERILER!$T$7:$T$106,0)),IFERROR(INDEX(MUSTERILER!$B$7:$B$106,MATCH($D249,MUSTERILER!$B$7:$B$106,0)),IFERROR(INDEX(MUSTERILER!$B$7:$B$106,MATCH($R249&amp;"*",MUSTERILER!$T$7:$T$106,0)),"TANIMSIZ MÜŞTERİ"))))</f>
        <v/>
      </c>
      <c r="D249" s="109" t="inlineStr">
        <is>
          <t>Final Siyah Beyaz Ltd.Şti.</t>
        </is>
      </c>
      <c r="E249" s="220" t="n">
        <v>46137</v>
      </c>
      <c r="F249" s="221" t="n">
        <v>4000</v>
      </c>
      <c r="G249" s="108" t="inlineStr">
        <is>
          <t>MERKEZ KASA</t>
        </is>
      </c>
      <c r="H249" s="108" t="inlineStr">
        <is>
          <t>Nakit</t>
        </is>
      </c>
      <c r="I249" s="109" t="n"/>
      <c r="J249" s="109" t="inlineStr">
        <is>
          <t>NAKİT ÖDENEN</t>
        </is>
      </c>
      <c r="K249" s="109" t="n"/>
      <c r="L249" s="226">
        <f>IF($E249="","",DATE(YEAR($E249),MONTH($E249),1))</f>
        <v/>
      </c>
      <c r="M249" s="113">
        <f>IF($D249="","",IF($C249="TANIMSIZ MÜŞTERİ","HATA",IF(OR($E249="",$F249&lt;=0,$G249=""),"EKSİK",IF($E249&gt;TODAY(),"İLERİ TARİH",IF(COUNTIF($S$7:$S$1506,$S249)&gt;1,"MÜKERRER?",IF($T249&gt;0,"KAPALI DÖNEM","UYGUN"))))))</f>
        <v/>
      </c>
      <c r="N249" s="121">
        <f>IF($C249="","",IF($C249="TANIMSIZ MÜŞTERİ","—",INDEX(MUSTERILER!$C$7:$C$106,MATCH($C249,MUSTERILER!$B$7:$B$106,0))))</f>
        <v/>
      </c>
      <c r="O249" s="6" t="n"/>
      <c r="P249" s="6" t="n"/>
      <c r="Q249" s="3">
        <f>IF($D249="","",$C249&amp;"|"&amp;COUNTIFS($C$7:$C249,$C249))</f>
        <v/>
      </c>
      <c r="R249" s="3">
        <f>IF($D249="","",UPPER(SUBSTITUTE(SUBSTITUTE(SUBSTITUTE(SUBSTITUTE(SUBSTITUTE(SUBSTITUTE(SUBSTITUTE(SUBSTITUTE(SUBSTITUTE(SUBSTITUTE(SUBSTITUTE(SUBSTITUTE(SUBSTITUTE(SUBSTITUTE(SUBSTITUTE(SUBSTITUTE(SUBSTITUTE(SUBSTITUTE(TRIM($D249),"'",""),"İ","I"),"ı","I"),"i","I"),"Ş","S"),"ş","S"),"Ğ","G"),"ğ","G"),"Ü","U"),"ü","U"),"Ö","O"),"ö","O"),"Ç","C"),"ç","C"),".",""),",","")," ",""),"-","")))</f>
        <v/>
      </c>
      <c r="S249" s="3">
        <f>IF($D249="","",$C249&amp;"|"&amp;TEXT($E249,"0")&amp;"|"&amp;TEXT($F249,"0")&amp;"|"&amp;$I249)</f>
        <v/>
      </c>
      <c r="T249" s="3">
        <f>IF($E249="",0,SUMPRODUCT((AY_SONU!$O$7:$O$42="Evet")*(AY_SONU!$B$7:$B$42=DATE(YEAR($E249),MONTH($E249),1))))</f>
        <v/>
      </c>
    </row>
    <row r="250">
      <c r="A250" s="6" t="n"/>
      <c r="B250" s="113">
        <f>IF($D250="","","T"&amp;TEXT(ROW()-6,"00000"))</f>
        <v/>
      </c>
      <c r="C250" s="113">
        <f>IF($D250="","",IFERROR(INDEX(MUSTERILER!$B$7:$B$106,MATCH($R250,MUSTERILER!$T$7:$T$106,0)),IFERROR(INDEX(MUSTERILER!$B$7:$B$106,MATCH($D250,MUSTERILER!$B$7:$B$106,0)),IFERROR(INDEX(MUSTERILER!$B$7:$B$106,MATCH($R250&amp;"*",MUSTERILER!$T$7:$T$106,0)),"TANIMSIZ MÜŞTERİ"))))</f>
        <v/>
      </c>
      <c r="D250" s="109" t="inlineStr">
        <is>
          <t>İbrahim Maldan</t>
        </is>
      </c>
      <c r="E250" s="220" t="n">
        <v>46137</v>
      </c>
      <c r="F250" s="221" t="n">
        <v>4000</v>
      </c>
      <c r="G250" s="108" t="inlineStr">
        <is>
          <t>MERKEZ KASA</t>
        </is>
      </c>
      <c r="H250" s="108" t="inlineStr">
        <is>
          <t>Nakit</t>
        </is>
      </c>
      <c r="I250" s="109" t="n"/>
      <c r="J250" s="109" t="inlineStr">
        <is>
          <t>NAKİT ÖDENEN</t>
        </is>
      </c>
      <c r="K250" s="109" t="n"/>
      <c r="L250" s="226">
        <f>IF($E250="","",DATE(YEAR($E250),MONTH($E250),1))</f>
        <v/>
      </c>
      <c r="M250" s="113">
        <f>IF($D250="","",IF($C250="TANIMSIZ MÜŞTERİ","HATA",IF(OR($E250="",$F250&lt;=0,$G250=""),"EKSİK",IF($E250&gt;TODAY(),"İLERİ TARİH",IF(COUNTIF($S$7:$S$1506,$S250)&gt;1,"MÜKERRER?",IF($T250&gt;0,"KAPALI DÖNEM","UYGUN"))))))</f>
        <v/>
      </c>
      <c r="N250" s="121">
        <f>IF($C250="","",IF($C250="TANIMSIZ MÜŞTERİ","—",INDEX(MUSTERILER!$C$7:$C$106,MATCH($C250,MUSTERILER!$B$7:$B$106,0))))</f>
        <v/>
      </c>
      <c r="O250" s="6" t="n"/>
      <c r="P250" s="6" t="n"/>
      <c r="Q250" s="3">
        <f>IF($D250="","",$C250&amp;"|"&amp;COUNTIFS($C$7:$C250,$C250))</f>
        <v/>
      </c>
      <c r="R250" s="3">
        <f>IF($D250="","",UPPER(SUBSTITUTE(SUBSTITUTE(SUBSTITUTE(SUBSTITUTE(SUBSTITUTE(SUBSTITUTE(SUBSTITUTE(SUBSTITUTE(SUBSTITUTE(SUBSTITUTE(SUBSTITUTE(SUBSTITUTE(SUBSTITUTE(SUBSTITUTE(SUBSTITUTE(SUBSTITUTE(SUBSTITUTE(SUBSTITUTE(TRIM($D250),"'",""),"İ","I"),"ı","I"),"i","I"),"Ş","S"),"ş","S"),"Ğ","G"),"ğ","G"),"Ü","U"),"ü","U"),"Ö","O"),"ö","O"),"Ç","C"),"ç","C"),".",""),",","")," ",""),"-","")))</f>
        <v/>
      </c>
      <c r="S250" s="3">
        <f>IF($D250="","",$C250&amp;"|"&amp;TEXT($E250,"0")&amp;"|"&amp;TEXT($F250,"0")&amp;"|"&amp;$I250)</f>
        <v/>
      </c>
      <c r="T250" s="3">
        <f>IF($E250="",0,SUMPRODUCT((AY_SONU!$O$7:$O$42="Evet")*(AY_SONU!$B$7:$B$42=DATE(YEAR($E250),MONTH($E250),1))))</f>
        <v/>
      </c>
    </row>
    <row r="251">
      <c r="A251" s="6" t="n"/>
      <c r="B251" s="113">
        <f>IF($D251="","","T"&amp;TEXT(ROW()-6,"00000"))</f>
        <v/>
      </c>
      <c r="C251" s="113">
        <f>IF($D251="","",IFERROR(INDEX(MUSTERILER!$B$7:$B$106,MATCH($R251,MUSTERILER!$T$7:$T$106,0)),IFERROR(INDEX(MUSTERILER!$B$7:$B$106,MATCH($D251,MUSTERILER!$B$7:$B$106,0)),IFERROR(INDEX(MUSTERILER!$B$7:$B$106,MATCH($R251&amp;"*",MUSTERILER!$T$7:$T$106,0)),"TANIMSIZ MÜŞTERİ"))))</f>
        <v/>
      </c>
      <c r="D251" s="109" t="inlineStr">
        <is>
          <t>İldeş Ltd.Şti.</t>
        </is>
      </c>
      <c r="E251" s="220" t="n">
        <v>46137</v>
      </c>
      <c r="F251" s="221" t="n">
        <v>4000</v>
      </c>
      <c r="G251" s="108" t="inlineStr">
        <is>
          <t>MERKEZ KASA</t>
        </is>
      </c>
      <c r="H251" s="108" t="inlineStr">
        <is>
          <t>Nakit</t>
        </is>
      </c>
      <c r="I251" s="109" t="n"/>
      <c r="J251" s="109" t="inlineStr">
        <is>
          <t>NAKİT ÖDENEN</t>
        </is>
      </c>
      <c r="K251" s="109" t="n"/>
      <c r="L251" s="226">
        <f>IF($E251="","",DATE(YEAR($E251),MONTH($E251),1))</f>
        <v/>
      </c>
      <c r="M251" s="113">
        <f>IF($D251="","",IF($C251="TANIMSIZ MÜŞTERİ","HATA",IF(OR($E251="",$F251&lt;=0,$G251=""),"EKSİK",IF($E251&gt;TODAY(),"İLERİ TARİH",IF(COUNTIF($S$7:$S$1506,$S251)&gt;1,"MÜKERRER?",IF($T251&gt;0,"KAPALI DÖNEM","UYGUN"))))))</f>
        <v/>
      </c>
      <c r="N251" s="121">
        <f>IF($C251="","",IF($C251="TANIMSIZ MÜŞTERİ","—",INDEX(MUSTERILER!$C$7:$C$106,MATCH($C251,MUSTERILER!$B$7:$B$106,0))))</f>
        <v/>
      </c>
      <c r="O251" s="6" t="n"/>
      <c r="P251" s="6" t="n"/>
      <c r="Q251" s="3">
        <f>IF($D251="","",$C251&amp;"|"&amp;COUNTIFS($C$7:$C251,$C251))</f>
        <v/>
      </c>
      <c r="R251" s="3">
        <f>IF($D251="","",UPPER(SUBSTITUTE(SUBSTITUTE(SUBSTITUTE(SUBSTITUTE(SUBSTITUTE(SUBSTITUTE(SUBSTITUTE(SUBSTITUTE(SUBSTITUTE(SUBSTITUTE(SUBSTITUTE(SUBSTITUTE(SUBSTITUTE(SUBSTITUTE(SUBSTITUTE(SUBSTITUTE(SUBSTITUTE(SUBSTITUTE(TRIM($D251),"'",""),"İ","I"),"ı","I"),"i","I"),"Ş","S"),"ş","S"),"Ğ","G"),"ğ","G"),"Ü","U"),"ü","U"),"Ö","O"),"ö","O"),"Ç","C"),"ç","C"),".",""),",","")," ",""),"-","")))</f>
        <v/>
      </c>
      <c r="S251" s="3">
        <f>IF($D251="","",$C251&amp;"|"&amp;TEXT($E251,"0")&amp;"|"&amp;TEXT($F251,"0")&amp;"|"&amp;$I251)</f>
        <v/>
      </c>
      <c r="T251" s="3">
        <f>IF($E251="",0,SUMPRODUCT((AY_SONU!$O$7:$O$42="Evet")*(AY_SONU!$B$7:$B$42=DATE(YEAR($E251),MONTH($E251),1))))</f>
        <v/>
      </c>
    </row>
    <row r="252">
      <c r="A252" s="6" t="n"/>
      <c r="B252" s="113">
        <f>IF($D252="","","T"&amp;TEXT(ROW()-6,"00000"))</f>
        <v/>
      </c>
      <c r="C252" s="113">
        <f>IF($D252="","",IFERROR(INDEX(MUSTERILER!$B$7:$B$106,MATCH($R252,MUSTERILER!$T$7:$T$106,0)),IFERROR(INDEX(MUSTERILER!$B$7:$B$106,MATCH($D252,MUSTERILER!$B$7:$B$106,0)),IFERROR(INDEX(MUSTERILER!$B$7:$B$106,MATCH($R252&amp;"*",MUSTERILER!$T$7:$T$106,0)),"TANIMSIZ MÜŞTERİ"))))</f>
        <v/>
      </c>
      <c r="D252" s="109" t="inlineStr">
        <is>
          <t>Monamour Ltd.Şti.</t>
        </is>
      </c>
      <c r="E252" s="220" t="n">
        <v>46137</v>
      </c>
      <c r="F252" s="221" t="n">
        <v>3500</v>
      </c>
      <c r="G252" s="108" t="inlineStr">
        <is>
          <t>MERKEZ KASA</t>
        </is>
      </c>
      <c r="H252" s="108" t="inlineStr">
        <is>
          <t>Nakit</t>
        </is>
      </c>
      <c r="I252" s="109" t="n"/>
      <c r="J252" s="109" t="inlineStr">
        <is>
          <t>NAKİT ÖDENEN</t>
        </is>
      </c>
      <c r="K252" s="109" t="n"/>
      <c r="L252" s="226">
        <f>IF($E252="","",DATE(YEAR($E252),MONTH($E252),1))</f>
        <v/>
      </c>
      <c r="M252" s="113">
        <f>IF($D252="","",IF($C252="TANIMSIZ MÜŞTERİ","HATA",IF(OR($E252="",$F252&lt;=0,$G252=""),"EKSİK",IF($E252&gt;TODAY(),"İLERİ TARİH",IF(COUNTIF($S$7:$S$1506,$S252)&gt;1,"MÜKERRER?",IF($T252&gt;0,"KAPALI DÖNEM","UYGUN"))))))</f>
        <v/>
      </c>
      <c r="N252" s="121">
        <f>IF($C252="","",IF($C252="TANIMSIZ MÜŞTERİ","—",INDEX(MUSTERILER!$C$7:$C$106,MATCH($C252,MUSTERILER!$B$7:$B$106,0))))</f>
        <v/>
      </c>
      <c r="O252" s="6" t="n"/>
      <c r="P252" s="6" t="n"/>
      <c r="Q252" s="3">
        <f>IF($D252="","",$C252&amp;"|"&amp;COUNTIFS($C$7:$C252,$C252))</f>
        <v/>
      </c>
      <c r="R252" s="3">
        <f>IF($D252="","",UPPER(SUBSTITUTE(SUBSTITUTE(SUBSTITUTE(SUBSTITUTE(SUBSTITUTE(SUBSTITUTE(SUBSTITUTE(SUBSTITUTE(SUBSTITUTE(SUBSTITUTE(SUBSTITUTE(SUBSTITUTE(SUBSTITUTE(SUBSTITUTE(SUBSTITUTE(SUBSTITUTE(SUBSTITUTE(SUBSTITUTE(TRIM($D252),"'",""),"İ","I"),"ı","I"),"i","I"),"Ş","S"),"ş","S"),"Ğ","G"),"ğ","G"),"Ü","U"),"ü","U"),"Ö","O"),"ö","O"),"Ç","C"),"ç","C"),".",""),",","")," ",""),"-","")))</f>
        <v/>
      </c>
      <c r="S252" s="3">
        <f>IF($D252="","",$C252&amp;"|"&amp;TEXT($E252,"0")&amp;"|"&amp;TEXT($F252,"0")&amp;"|"&amp;$I252)</f>
        <v/>
      </c>
      <c r="T252" s="3">
        <f>IF($E252="",0,SUMPRODUCT((AY_SONU!$O$7:$O$42="Evet")*(AY_SONU!$B$7:$B$42=DATE(YEAR($E252),MONTH($E252),1))))</f>
        <v/>
      </c>
    </row>
    <row r="253">
      <c r="A253" s="6" t="n"/>
      <c r="B253" s="113">
        <f>IF($D253="","","T"&amp;TEXT(ROW()-6,"00000"))</f>
        <v/>
      </c>
      <c r="C253" s="113">
        <f>IF($D253="","",IFERROR(INDEX(MUSTERILER!$B$7:$B$106,MATCH($R253,MUSTERILER!$T$7:$T$106,0)),IFERROR(INDEX(MUSTERILER!$B$7:$B$106,MATCH($D253,MUSTERILER!$B$7:$B$106,0)),IFERROR(INDEX(MUSTERILER!$B$7:$B$106,MATCH($R253&amp;"*",MUSTERILER!$T$7:$T$106,0)),"TANIMSIZ MÜŞTERİ"))))</f>
        <v/>
      </c>
      <c r="D253" s="109" t="inlineStr">
        <is>
          <t>Naz 1 Gıda Ltd.Şti.</t>
        </is>
      </c>
      <c r="E253" s="220" t="n">
        <v>46137</v>
      </c>
      <c r="F253" s="221" t="n">
        <v>4000</v>
      </c>
      <c r="G253" s="108" t="inlineStr">
        <is>
          <t>MERKEZ KASA</t>
        </is>
      </c>
      <c r="H253" s="108" t="inlineStr">
        <is>
          <t>Nakit</t>
        </is>
      </c>
      <c r="I253" s="109" t="n"/>
      <c r="J253" s="109" t="inlineStr">
        <is>
          <t>NAKİT ÖDENEN</t>
        </is>
      </c>
      <c r="K253" s="109" t="n"/>
      <c r="L253" s="226">
        <f>IF($E253="","",DATE(YEAR($E253),MONTH($E253),1))</f>
        <v/>
      </c>
      <c r="M253" s="113">
        <f>IF($D253="","",IF($C253="TANIMSIZ MÜŞTERİ","HATA",IF(OR($E253="",$F253&lt;=0,$G253=""),"EKSİK",IF($E253&gt;TODAY(),"İLERİ TARİH",IF(COUNTIF($S$7:$S$1506,$S253)&gt;1,"MÜKERRER?",IF($T253&gt;0,"KAPALI DÖNEM","UYGUN"))))))</f>
        <v/>
      </c>
      <c r="N253" s="121">
        <f>IF($C253="","",IF($C253="TANIMSIZ MÜŞTERİ","—",INDEX(MUSTERILER!$C$7:$C$106,MATCH($C253,MUSTERILER!$B$7:$B$106,0))))</f>
        <v/>
      </c>
      <c r="O253" s="6" t="n"/>
      <c r="P253" s="6" t="n"/>
      <c r="Q253" s="3">
        <f>IF($D253="","",$C253&amp;"|"&amp;COUNTIFS($C$7:$C253,$C253))</f>
        <v/>
      </c>
      <c r="R253" s="3">
        <f>IF($D253="","",UPPER(SUBSTITUTE(SUBSTITUTE(SUBSTITUTE(SUBSTITUTE(SUBSTITUTE(SUBSTITUTE(SUBSTITUTE(SUBSTITUTE(SUBSTITUTE(SUBSTITUTE(SUBSTITUTE(SUBSTITUTE(SUBSTITUTE(SUBSTITUTE(SUBSTITUTE(SUBSTITUTE(SUBSTITUTE(SUBSTITUTE(TRIM($D253),"'",""),"İ","I"),"ı","I"),"i","I"),"Ş","S"),"ş","S"),"Ğ","G"),"ğ","G"),"Ü","U"),"ü","U"),"Ö","O"),"ö","O"),"Ç","C"),"ç","C"),".",""),",","")," ",""),"-","")))</f>
        <v/>
      </c>
      <c r="S253" s="3">
        <f>IF($D253="","",$C253&amp;"|"&amp;TEXT($E253,"0")&amp;"|"&amp;TEXT($F253,"0")&amp;"|"&amp;$I253)</f>
        <v/>
      </c>
      <c r="T253" s="3">
        <f>IF($E253="",0,SUMPRODUCT((AY_SONU!$O$7:$O$42="Evet")*(AY_SONU!$B$7:$B$42=DATE(YEAR($E253),MONTH($E253),1))))</f>
        <v/>
      </c>
    </row>
    <row r="254">
      <c r="A254" s="6" t="n"/>
      <c r="B254" s="113">
        <f>IF($D254="","","T"&amp;TEXT(ROW()-6,"00000"))</f>
        <v/>
      </c>
      <c r="C254" s="113">
        <f>IF($D254="","",IFERROR(INDEX(MUSTERILER!$B$7:$B$106,MATCH($R254,MUSTERILER!$T$7:$T$106,0)),IFERROR(INDEX(MUSTERILER!$B$7:$B$106,MATCH($D254,MUSTERILER!$B$7:$B$106,0)),IFERROR(INDEX(MUSTERILER!$B$7:$B$106,MATCH($R254&amp;"*",MUSTERILER!$T$7:$T$106,0)),"TANIMSIZ MÜŞTERİ"))))</f>
        <v/>
      </c>
      <c r="D254" s="109" t="inlineStr">
        <is>
          <t>Pakyıldız Ltd.Şti.</t>
        </is>
      </c>
      <c r="E254" s="220" t="n">
        <v>46137</v>
      </c>
      <c r="F254" s="221" t="n">
        <v>4000</v>
      </c>
      <c r="G254" s="108" t="inlineStr">
        <is>
          <t>MERKEZ KASA</t>
        </is>
      </c>
      <c r="H254" s="108" t="inlineStr">
        <is>
          <t>Nakit</t>
        </is>
      </c>
      <c r="I254" s="109" t="n"/>
      <c r="J254" s="109" t="inlineStr">
        <is>
          <t>NAKİT ÖDENEN</t>
        </is>
      </c>
      <c r="K254" s="109" t="n"/>
      <c r="L254" s="226">
        <f>IF($E254="","",DATE(YEAR($E254),MONTH($E254),1))</f>
        <v/>
      </c>
      <c r="M254" s="113">
        <f>IF($D254="","",IF($C254="TANIMSIZ MÜŞTERİ","HATA",IF(OR($E254="",$F254&lt;=0,$G254=""),"EKSİK",IF($E254&gt;TODAY(),"İLERİ TARİH",IF(COUNTIF($S$7:$S$1506,$S254)&gt;1,"MÜKERRER?",IF($T254&gt;0,"KAPALI DÖNEM","UYGUN"))))))</f>
        <v/>
      </c>
      <c r="N254" s="121">
        <f>IF($C254="","",IF($C254="TANIMSIZ MÜŞTERİ","—",INDEX(MUSTERILER!$C$7:$C$106,MATCH($C254,MUSTERILER!$B$7:$B$106,0))))</f>
        <v/>
      </c>
      <c r="O254" s="6" t="n"/>
      <c r="P254" s="6" t="n"/>
      <c r="Q254" s="3">
        <f>IF($D254="","",$C254&amp;"|"&amp;COUNTIFS($C$7:$C254,$C254))</f>
        <v/>
      </c>
      <c r="R254" s="3">
        <f>IF($D254="","",UPPER(SUBSTITUTE(SUBSTITUTE(SUBSTITUTE(SUBSTITUTE(SUBSTITUTE(SUBSTITUTE(SUBSTITUTE(SUBSTITUTE(SUBSTITUTE(SUBSTITUTE(SUBSTITUTE(SUBSTITUTE(SUBSTITUTE(SUBSTITUTE(SUBSTITUTE(SUBSTITUTE(SUBSTITUTE(SUBSTITUTE(TRIM($D254),"'",""),"İ","I"),"ı","I"),"i","I"),"Ş","S"),"ş","S"),"Ğ","G"),"ğ","G"),"Ü","U"),"ü","U"),"Ö","O"),"ö","O"),"Ç","C"),"ç","C"),".",""),",","")," ",""),"-","")))</f>
        <v/>
      </c>
      <c r="S254" s="3">
        <f>IF($D254="","",$C254&amp;"|"&amp;TEXT($E254,"0")&amp;"|"&amp;TEXT($F254,"0")&amp;"|"&amp;$I254)</f>
        <v/>
      </c>
      <c r="T254" s="3">
        <f>IF($E254="",0,SUMPRODUCT((AY_SONU!$O$7:$O$42="Evet")*(AY_SONU!$B$7:$B$42=DATE(YEAR($E254),MONTH($E254),1))))</f>
        <v/>
      </c>
    </row>
    <row r="255">
      <c r="A255" s="6" t="n"/>
      <c r="B255" s="113">
        <f>IF($D255="","","T"&amp;TEXT(ROW()-6,"00000"))</f>
        <v/>
      </c>
      <c r="C255" s="113">
        <f>IF($D255="","",IFERROR(INDEX(MUSTERILER!$B$7:$B$106,MATCH($R255,MUSTERILER!$T$7:$T$106,0)),IFERROR(INDEX(MUSTERILER!$B$7:$B$106,MATCH($D255,MUSTERILER!$B$7:$B$106,0)),IFERROR(INDEX(MUSTERILER!$B$7:$B$106,MATCH($R255&amp;"*",MUSTERILER!$T$7:$T$106,0)),"TANIMSIZ MÜŞTERİ"))))</f>
        <v/>
      </c>
      <c r="D255" s="109" t="inlineStr">
        <is>
          <t>Rix Şow Ltd.Şti.</t>
        </is>
      </c>
      <c r="E255" s="220" t="n">
        <v>46137</v>
      </c>
      <c r="F255" s="221" t="n">
        <v>3000</v>
      </c>
      <c r="G255" s="108" t="inlineStr">
        <is>
          <t>MERKEZ KASA</t>
        </is>
      </c>
      <c r="H255" s="108" t="inlineStr">
        <is>
          <t>Nakit</t>
        </is>
      </c>
      <c r="I255" s="109" t="n"/>
      <c r="J255" s="109" t="inlineStr">
        <is>
          <t>NAKİT ÖDENEN</t>
        </is>
      </c>
      <c r="K255" s="109" t="n"/>
      <c r="L255" s="226">
        <f>IF($E255="","",DATE(YEAR($E255),MONTH($E255),1))</f>
        <v/>
      </c>
      <c r="M255" s="113">
        <f>IF($D255="","",IF($C255="TANIMSIZ MÜŞTERİ","HATA",IF(OR($E255="",$F255&lt;=0,$G255=""),"EKSİK",IF($E255&gt;TODAY(),"İLERİ TARİH",IF(COUNTIF($S$7:$S$1506,$S255)&gt;1,"MÜKERRER?",IF($T255&gt;0,"KAPALI DÖNEM","UYGUN"))))))</f>
        <v/>
      </c>
      <c r="N255" s="121">
        <f>IF($C255="","",IF($C255="TANIMSIZ MÜŞTERİ","—",INDEX(MUSTERILER!$C$7:$C$106,MATCH($C255,MUSTERILER!$B$7:$B$106,0))))</f>
        <v/>
      </c>
      <c r="O255" s="6" t="n"/>
      <c r="P255" s="6" t="n"/>
      <c r="Q255" s="3">
        <f>IF($D255="","",$C255&amp;"|"&amp;COUNTIFS($C$7:$C255,$C255))</f>
        <v/>
      </c>
      <c r="R255" s="3">
        <f>IF($D255="","",UPPER(SUBSTITUTE(SUBSTITUTE(SUBSTITUTE(SUBSTITUTE(SUBSTITUTE(SUBSTITUTE(SUBSTITUTE(SUBSTITUTE(SUBSTITUTE(SUBSTITUTE(SUBSTITUTE(SUBSTITUTE(SUBSTITUTE(SUBSTITUTE(SUBSTITUTE(SUBSTITUTE(SUBSTITUTE(SUBSTITUTE(TRIM($D255),"'",""),"İ","I"),"ı","I"),"i","I"),"Ş","S"),"ş","S"),"Ğ","G"),"ğ","G"),"Ü","U"),"ü","U"),"Ö","O"),"ö","O"),"Ç","C"),"ç","C"),".",""),",","")," ",""),"-","")))</f>
        <v/>
      </c>
      <c r="S255" s="3">
        <f>IF($D255="","",$C255&amp;"|"&amp;TEXT($E255,"0")&amp;"|"&amp;TEXT($F255,"0")&amp;"|"&amp;$I255)</f>
        <v/>
      </c>
      <c r="T255" s="3">
        <f>IF($E255="",0,SUMPRODUCT((AY_SONU!$O$7:$O$42="Evet")*(AY_SONU!$B$7:$B$42=DATE(YEAR($E255),MONTH($E255),1))))</f>
        <v/>
      </c>
    </row>
    <row r="256">
      <c r="A256" s="6" t="n"/>
      <c r="B256" s="113">
        <f>IF($D256="","","T"&amp;TEXT(ROW()-6,"00000"))</f>
        <v/>
      </c>
      <c r="C256" s="113">
        <f>IF($D256="","",IFERROR(INDEX(MUSTERILER!$B$7:$B$106,MATCH($R256,MUSTERILER!$T$7:$T$106,0)),IFERROR(INDEX(MUSTERILER!$B$7:$B$106,MATCH($D256,MUSTERILER!$B$7:$B$106,0)),IFERROR(INDEX(MUSTERILER!$B$7:$B$106,MATCH($R256&amp;"*",MUSTERILER!$T$7:$T$106,0)),"TANIMSIZ MÜŞTERİ"))))</f>
        <v/>
      </c>
      <c r="D256" s="109" t="inlineStr">
        <is>
          <t>Zümrüt Eğlence Ltd.Şti.</t>
        </is>
      </c>
      <c r="E256" s="220" t="n">
        <v>46137</v>
      </c>
      <c r="F256" s="221" t="n">
        <v>3000</v>
      </c>
      <c r="G256" s="108" t="inlineStr">
        <is>
          <t>MERKEZ KASA</t>
        </is>
      </c>
      <c r="H256" s="108" t="inlineStr">
        <is>
          <t>Nakit</t>
        </is>
      </c>
      <c r="I256" s="109" t="n"/>
      <c r="J256" s="109" t="inlineStr">
        <is>
          <t>NAKİT ÖDENEN</t>
        </is>
      </c>
      <c r="K256" s="109" t="n"/>
      <c r="L256" s="226">
        <f>IF($E256="","",DATE(YEAR($E256),MONTH($E256),1))</f>
        <v/>
      </c>
      <c r="M256" s="113">
        <f>IF($D256="","",IF($C256="TANIMSIZ MÜŞTERİ","HATA",IF(OR($E256="",$F256&lt;=0,$G256=""),"EKSİK",IF($E256&gt;TODAY(),"İLERİ TARİH",IF(COUNTIF($S$7:$S$1506,$S256)&gt;1,"MÜKERRER?",IF($T256&gt;0,"KAPALI DÖNEM","UYGUN"))))))</f>
        <v/>
      </c>
      <c r="N256" s="121">
        <f>IF($C256="","",IF($C256="TANIMSIZ MÜŞTERİ","—",INDEX(MUSTERILER!$C$7:$C$106,MATCH($C256,MUSTERILER!$B$7:$B$106,0))))</f>
        <v/>
      </c>
      <c r="O256" s="6" t="n"/>
      <c r="P256" s="6" t="n"/>
      <c r="Q256" s="3">
        <f>IF($D256="","",$C256&amp;"|"&amp;COUNTIFS($C$7:$C256,$C256))</f>
        <v/>
      </c>
      <c r="R256" s="3">
        <f>IF($D256="","",UPPER(SUBSTITUTE(SUBSTITUTE(SUBSTITUTE(SUBSTITUTE(SUBSTITUTE(SUBSTITUTE(SUBSTITUTE(SUBSTITUTE(SUBSTITUTE(SUBSTITUTE(SUBSTITUTE(SUBSTITUTE(SUBSTITUTE(SUBSTITUTE(SUBSTITUTE(SUBSTITUTE(SUBSTITUTE(SUBSTITUTE(TRIM($D256),"'",""),"İ","I"),"ı","I"),"i","I"),"Ş","S"),"ş","S"),"Ğ","G"),"ğ","G"),"Ü","U"),"ü","U"),"Ö","O"),"ö","O"),"Ç","C"),"ç","C"),".",""),",","")," ",""),"-","")))</f>
        <v/>
      </c>
      <c r="S256" s="3">
        <f>IF($D256="","",$C256&amp;"|"&amp;TEXT($E256,"0")&amp;"|"&amp;TEXT($F256,"0")&amp;"|"&amp;$I256)</f>
        <v/>
      </c>
      <c r="T256" s="3">
        <f>IF($E256="",0,SUMPRODUCT((AY_SONU!$O$7:$O$42="Evet")*(AY_SONU!$B$7:$B$42=DATE(YEAR($E256),MONTH($E256),1))))</f>
        <v/>
      </c>
    </row>
    <row r="257">
      <c r="A257" s="6" t="n"/>
      <c r="B257" s="113">
        <f>IF($D257="","","T"&amp;TEXT(ROW()-6,"00000"))</f>
        <v/>
      </c>
      <c r="C257" s="113">
        <f>IF($D257="","",IFERROR(INDEX(MUSTERILER!$B$7:$B$106,MATCH($R257,MUSTERILER!$T$7:$T$106,0)),IFERROR(INDEX(MUSTERILER!$B$7:$B$106,MATCH($D257,MUSTERILER!$B$7:$B$106,0)),IFERROR(INDEX(MUSTERILER!$B$7:$B$106,MATCH($R257&amp;"*",MUSTERILER!$T$7:$T$106,0)),"TANIMSIZ MÜŞTERİ"))))</f>
        <v/>
      </c>
      <c r="D257" s="109" t="inlineStr">
        <is>
          <t>ÇINARHAN LTD.ŞTİ.</t>
        </is>
      </c>
      <c r="E257" s="220" t="n">
        <v>46137</v>
      </c>
      <c r="F257" s="221" t="n">
        <v>2500</v>
      </c>
      <c r="G257" s="108" t="inlineStr">
        <is>
          <t>MERKEZ KASA</t>
        </is>
      </c>
      <c r="H257" s="108" t="inlineStr">
        <is>
          <t>Nakit</t>
        </is>
      </c>
      <c r="I257" s="109" t="n"/>
      <c r="J257" s="109" t="inlineStr">
        <is>
          <t>NAKİT ÖDENEN</t>
        </is>
      </c>
      <c r="K257" s="109" t="n"/>
      <c r="L257" s="226">
        <f>IF($E257="","",DATE(YEAR($E257),MONTH($E257),1))</f>
        <v/>
      </c>
      <c r="M257" s="113">
        <f>IF($D257="","",IF($C257="TANIMSIZ MÜŞTERİ","HATA",IF(OR($E257="",$F257&lt;=0,$G257=""),"EKSİK",IF($E257&gt;TODAY(),"İLERİ TARİH",IF(COUNTIF($S$7:$S$1506,$S257)&gt;1,"MÜKERRER?",IF($T257&gt;0,"KAPALI DÖNEM","UYGUN"))))))</f>
        <v/>
      </c>
      <c r="N257" s="121">
        <f>IF($C257="","",IF($C257="TANIMSIZ MÜŞTERİ","—",INDEX(MUSTERILER!$C$7:$C$106,MATCH($C257,MUSTERILER!$B$7:$B$106,0))))</f>
        <v/>
      </c>
      <c r="O257" s="6" t="n"/>
      <c r="P257" s="6" t="n"/>
      <c r="Q257" s="3">
        <f>IF($D257="","",$C257&amp;"|"&amp;COUNTIFS($C$7:$C257,$C257))</f>
        <v/>
      </c>
      <c r="R257" s="3">
        <f>IF($D257="","",UPPER(SUBSTITUTE(SUBSTITUTE(SUBSTITUTE(SUBSTITUTE(SUBSTITUTE(SUBSTITUTE(SUBSTITUTE(SUBSTITUTE(SUBSTITUTE(SUBSTITUTE(SUBSTITUTE(SUBSTITUTE(SUBSTITUTE(SUBSTITUTE(SUBSTITUTE(SUBSTITUTE(SUBSTITUTE(SUBSTITUTE(TRIM($D257),"'",""),"İ","I"),"ı","I"),"i","I"),"Ş","S"),"ş","S"),"Ğ","G"),"ğ","G"),"Ü","U"),"ü","U"),"Ö","O"),"ö","O"),"Ç","C"),"ç","C"),".",""),",","")," ",""),"-","")))</f>
        <v/>
      </c>
      <c r="S257" s="3">
        <f>IF($D257="","",$C257&amp;"|"&amp;TEXT($E257,"0")&amp;"|"&amp;TEXT($F257,"0")&amp;"|"&amp;$I257)</f>
        <v/>
      </c>
      <c r="T257" s="3">
        <f>IF($E257="",0,SUMPRODUCT((AY_SONU!$O$7:$O$42="Evet")*(AY_SONU!$B$7:$B$42=DATE(YEAR($E257),MONTH($E257),1))))</f>
        <v/>
      </c>
    </row>
    <row r="258">
      <c r="A258" s="6" t="n"/>
      <c r="B258" s="113">
        <f>IF($D258="","","T"&amp;TEXT(ROW()-6,"00000"))</f>
        <v/>
      </c>
      <c r="C258" s="113">
        <f>IF($D258="","",IFERROR(INDEX(MUSTERILER!$B$7:$B$106,MATCH($R258,MUSTERILER!$T$7:$T$106,0)),IFERROR(INDEX(MUSTERILER!$B$7:$B$106,MATCH($D258,MUSTERILER!$B$7:$B$106,0)),IFERROR(INDEX(MUSTERILER!$B$7:$B$106,MATCH($R258&amp;"*",MUSTERILER!$T$7:$T$106,0)),"TANIMSIZ MÜŞTERİ"))))</f>
        <v/>
      </c>
      <c r="D258" s="109" t="inlineStr">
        <is>
          <t>KRİSTAL LTD.ŞTİ.</t>
        </is>
      </c>
      <c r="E258" s="220" t="n">
        <v>46137</v>
      </c>
      <c r="F258" s="221" t="n">
        <v>3000</v>
      </c>
      <c r="G258" s="108" t="inlineStr">
        <is>
          <t>MERKEZ KASA</t>
        </is>
      </c>
      <c r="H258" s="108" t="inlineStr">
        <is>
          <t>Nakit</t>
        </is>
      </c>
      <c r="I258" s="109" t="n"/>
      <c r="J258" s="109" t="inlineStr">
        <is>
          <t>NAKİT ÖDENEN</t>
        </is>
      </c>
      <c r="K258" s="109" t="n"/>
      <c r="L258" s="226">
        <f>IF($E258="","",DATE(YEAR($E258),MONTH($E258),1))</f>
        <v/>
      </c>
      <c r="M258" s="113">
        <f>IF($D258="","",IF($C258="TANIMSIZ MÜŞTERİ","HATA",IF(OR($E258="",$F258&lt;=0,$G258=""),"EKSİK",IF($E258&gt;TODAY(),"İLERİ TARİH",IF(COUNTIF($S$7:$S$1506,$S258)&gt;1,"MÜKERRER?",IF($T258&gt;0,"KAPALI DÖNEM","UYGUN"))))))</f>
        <v/>
      </c>
      <c r="N258" s="121">
        <f>IF($C258="","",IF($C258="TANIMSIZ MÜŞTERİ","—",INDEX(MUSTERILER!$C$7:$C$106,MATCH($C258,MUSTERILER!$B$7:$B$106,0))))</f>
        <v/>
      </c>
      <c r="O258" s="6" t="n"/>
      <c r="P258" s="6" t="n"/>
      <c r="Q258" s="3">
        <f>IF($D258="","",$C258&amp;"|"&amp;COUNTIFS($C$7:$C258,$C258))</f>
        <v/>
      </c>
      <c r="R258" s="3">
        <f>IF($D258="","",UPPER(SUBSTITUTE(SUBSTITUTE(SUBSTITUTE(SUBSTITUTE(SUBSTITUTE(SUBSTITUTE(SUBSTITUTE(SUBSTITUTE(SUBSTITUTE(SUBSTITUTE(SUBSTITUTE(SUBSTITUTE(SUBSTITUTE(SUBSTITUTE(SUBSTITUTE(SUBSTITUTE(SUBSTITUTE(SUBSTITUTE(TRIM($D258),"'",""),"İ","I"),"ı","I"),"i","I"),"Ş","S"),"ş","S"),"Ğ","G"),"ğ","G"),"Ü","U"),"ü","U"),"Ö","O"),"ö","O"),"Ç","C"),"ç","C"),".",""),",","")," ",""),"-","")))</f>
        <v/>
      </c>
      <c r="S258" s="3">
        <f>IF($D258="","",$C258&amp;"|"&amp;TEXT($E258,"0")&amp;"|"&amp;TEXT($F258,"0")&amp;"|"&amp;$I258)</f>
        <v/>
      </c>
      <c r="T258" s="3">
        <f>IF($E258="",0,SUMPRODUCT((AY_SONU!$O$7:$O$42="Evet")*(AY_SONU!$B$7:$B$42=DATE(YEAR($E258),MONTH($E258),1))))</f>
        <v/>
      </c>
    </row>
    <row r="259">
      <c r="A259" s="6" t="n"/>
      <c r="B259" s="113">
        <f>IF($D259="","","T"&amp;TEXT(ROW()-6,"00000"))</f>
        <v/>
      </c>
      <c r="C259" s="113">
        <f>IF($D259="","",IFERROR(INDEX(MUSTERILER!$B$7:$B$106,MATCH($R259,MUSTERILER!$T$7:$T$106,0)),IFERROR(INDEX(MUSTERILER!$B$7:$B$106,MATCH($D259,MUSTERILER!$B$7:$B$106,0)),IFERROR(INDEX(MUSTERILER!$B$7:$B$106,MATCH($R259&amp;"*",MUSTERILER!$T$7:$T$106,0)),"TANIMSIZ MÜŞTERİ"))))</f>
        <v/>
      </c>
      <c r="D259" s="109" t="inlineStr">
        <is>
          <t>PALAOĞULLARI LTD.ŞTİ.</t>
        </is>
      </c>
      <c r="E259" s="220" t="n">
        <v>46137</v>
      </c>
      <c r="F259" s="221" t="n">
        <v>4000</v>
      </c>
      <c r="G259" s="108" t="inlineStr">
        <is>
          <t>MERKEZ KASA</t>
        </is>
      </c>
      <c r="H259" s="108" t="inlineStr">
        <is>
          <t>Nakit</t>
        </is>
      </c>
      <c r="I259" s="109" t="n"/>
      <c r="J259" s="109" t="inlineStr">
        <is>
          <t>NAKİT ÖDENEN</t>
        </is>
      </c>
      <c r="K259" s="109" t="n"/>
      <c r="L259" s="226">
        <f>IF($E259="","",DATE(YEAR($E259),MONTH($E259),1))</f>
        <v/>
      </c>
      <c r="M259" s="113">
        <f>IF($D259="","",IF($C259="TANIMSIZ MÜŞTERİ","HATA",IF(OR($E259="",$F259&lt;=0,$G259=""),"EKSİK",IF($E259&gt;TODAY(),"İLERİ TARİH",IF(COUNTIF($S$7:$S$1506,$S259)&gt;1,"MÜKERRER?",IF($T259&gt;0,"KAPALI DÖNEM","UYGUN"))))))</f>
        <v/>
      </c>
      <c r="N259" s="121">
        <f>IF($C259="","",IF($C259="TANIMSIZ MÜŞTERİ","—",INDEX(MUSTERILER!$C$7:$C$106,MATCH($C259,MUSTERILER!$B$7:$B$106,0))))</f>
        <v/>
      </c>
      <c r="O259" s="6" t="n"/>
      <c r="P259" s="6" t="n"/>
      <c r="Q259" s="3">
        <f>IF($D259="","",$C259&amp;"|"&amp;COUNTIFS($C$7:$C259,$C259))</f>
        <v/>
      </c>
      <c r="R259" s="3">
        <f>IF($D259="","",UPPER(SUBSTITUTE(SUBSTITUTE(SUBSTITUTE(SUBSTITUTE(SUBSTITUTE(SUBSTITUTE(SUBSTITUTE(SUBSTITUTE(SUBSTITUTE(SUBSTITUTE(SUBSTITUTE(SUBSTITUTE(SUBSTITUTE(SUBSTITUTE(SUBSTITUTE(SUBSTITUTE(SUBSTITUTE(SUBSTITUTE(TRIM($D259),"'",""),"İ","I"),"ı","I"),"i","I"),"Ş","S"),"ş","S"),"Ğ","G"),"ğ","G"),"Ü","U"),"ü","U"),"Ö","O"),"ö","O"),"Ç","C"),"ç","C"),".",""),",","")," ",""),"-","")))</f>
        <v/>
      </c>
      <c r="S259" s="3">
        <f>IF($D259="","",$C259&amp;"|"&amp;TEXT($E259,"0")&amp;"|"&amp;TEXT($F259,"0")&amp;"|"&amp;$I259)</f>
        <v/>
      </c>
      <c r="T259" s="3">
        <f>IF($E259="",0,SUMPRODUCT((AY_SONU!$O$7:$O$42="Evet")*(AY_SONU!$B$7:$B$42=DATE(YEAR($E259),MONTH($E259),1))))</f>
        <v/>
      </c>
    </row>
    <row r="260">
      <c r="A260" s="6" t="n"/>
      <c r="B260" s="113">
        <f>IF($D260="","","T"&amp;TEXT(ROW()-6,"00000"))</f>
        <v/>
      </c>
      <c r="C260" s="113">
        <f>IF($D260="","",IFERROR(INDEX(MUSTERILER!$B$7:$B$106,MATCH($R260,MUSTERILER!$T$7:$T$106,0)),IFERROR(INDEX(MUSTERILER!$B$7:$B$106,MATCH($D260,MUSTERILER!$B$7:$B$106,0)),IFERROR(INDEX(MUSTERILER!$B$7:$B$106,MATCH($R260&amp;"*",MUSTERILER!$T$7:$T$106,0)),"TANIMSIZ MÜŞTERİ"))))</f>
        <v/>
      </c>
      <c r="D260" s="109" t="inlineStr">
        <is>
          <t>YALIKENT LTD.ŞTİ.</t>
        </is>
      </c>
      <c r="E260" s="220" t="n">
        <v>46137</v>
      </c>
      <c r="F260" s="221" t="n">
        <v>4000</v>
      </c>
      <c r="G260" s="108" t="inlineStr">
        <is>
          <t>MERKEZ KASA</t>
        </is>
      </c>
      <c r="H260" s="108" t="inlineStr">
        <is>
          <t>Nakit</t>
        </is>
      </c>
      <c r="I260" s="109" t="n"/>
      <c r="J260" s="109" t="inlineStr">
        <is>
          <t>NAKİT ÖDENEN</t>
        </is>
      </c>
      <c r="K260" s="109" t="n"/>
      <c r="L260" s="226">
        <f>IF($E260="","",DATE(YEAR($E260),MONTH($E260),1))</f>
        <v/>
      </c>
      <c r="M260" s="113">
        <f>IF($D260="","",IF($C260="TANIMSIZ MÜŞTERİ","HATA",IF(OR($E260="",$F260&lt;=0,$G260=""),"EKSİK",IF($E260&gt;TODAY(),"İLERİ TARİH",IF(COUNTIF($S$7:$S$1506,$S260)&gt;1,"MÜKERRER?",IF($T260&gt;0,"KAPALI DÖNEM","UYGUN"))))))</f>
        <v/>
      </c>
      <c r="N260" s="121">
        <f>IF($C260="","",IF($C260="TANIMSIZ MÜŞTERİ","—",INDEX(MUSTERILER!$C$7:$C$106,MATCH($C260,MUSTERILER!$B$7:$B$106,0))))</f>
        <v/>
      </c>
      <c r="O260" s="6" t="n"/>
      <c r="P260" s="6" t="n"/>
      <c r="Q260" s="3">
        <f>IF($D260="","",$C260&amp;"|"&amp;COUNTIFS($C$7:$C260,$C260))</f>
        <v/>
      </c>
      <c r="R260" s="3">
        <f>IF($D260="","",UPPER(SUBSTITUTE(SUBSTITUTE(SUBSTITUTE(SUBSTITUTE(SUBSTITUTE(SUBSTITUTE(SUBSTITUTE(SUBSTITUTE(SUBSTITUTE(SUBSTITUTE(SUBSTITUTE(SUBSTITUTE(SUBSTITUTE(SUBSTITUTE(SUBSTITUTE(SUBSTITUTE(SUBSTITUTE(SUBSTITUTE(TRIM($D260),"'",""),"İ","I"),"ı","I"),"i","I"),"Ş","S"),"ş","S"),"Ğ","G"),"ğ","G"),"Ü","U"),"ü","U"),"Ö","O"),"ö","O"),"Ç","C"),"ç","C"),".",""),",","")," ",""),"-","")))</f>
        <v/>
      </c>
      <c r="S260" s="3">
        <f>IF($D260="","",$C260&amp;"|"&amp;TEXT($E260,"0")&amp;"|"&amp;TEXT($F260,"0")&amp;"|"&amp;$I260)</f>
        <v/>
      </c>
      <c r="T260" s="3">
        <f>IF($E260="",0,SUMPRODUCT((AY_SONU!$O$7:$O$42="Evet")*(AY_SONU!$B$7:$B$42=DATE(YEAR($E260),MONTH($E260),1))))</f>
        <v/>
      </c>
    </row>
    <row r="261">
      <c r="A261" s="6" t="n"/>
      <c r="B261" s="113">
        <f>IF($D261="","","T"&amp;TEXT(ROW()-6,"00000"))</f>
        <v/>
      </c>
      <c r="C261" s="113">
        <f>IF($D261="","",IFERROR(INDEX(MUSTERILER!$B$7:$B$106,MATCH($R261,MUSTERILER!$T$7:$T$106,0)),IFERROR(INDEX(MUSTERILER!$B$7:$B$106,MATCH($D261,MUSTERILER!$B$7:$B$106,0)),IFERROR(INDEX(MUSTERILER!$B$7:$B$106,MATCH($R261&amp;"*",MUSTERILER!$T$7:$T$106,0)),"TANIMSIZ MÜŞTERİ"))))</f>
        <v/>
      </c>
      <c r="D261" s="109" t="inlineStr">
        <is>
          <t>MEHMET EVREN KILINÇ</t>
        </is>
      </c>
      <c r="E261" s="220" t="n">
        <v>46140</v>
      </c>
      <c r="F261" s="221" t="n">
        <v>2000</v>
      </c>
      <c r="G261" s="108" t="inlineStr">
        <is>
          <t>MERKEZ KASA</t>
        </is>
      </c>
      <c r="H261" s="108" t="inlineStr">
        <is>
          <t>Nakit</t>
        </is>
      </c>
      <c r="I261" s="109" t="n"/>
      <c r="J261" s="109" t="inlineStr">
        <is>
          <t>NAKİT ÖDENEN</t>
        </is>
      </c>
      <c r="K261" s="109" t="n"/>
      <c r="L261" s="226">
        <f>IF($E261="","",DATE(YEAR($E261),MONTH($E261),1))</f>
        <v/>
      </c>
      <c r="M261" s="113">
        <f>IF($D261="","",IF($C261="TANIMSIZ MÜŞTERİ","HATA",IF(OR($E261="",$F261&lt;=0,$G261=""),"EKSİK",IF($E261&gt;TODAY(),"İLERİ TARİH",IF(COUNTIF($S$7:$S$1506,$S261)&gt;1,"MÜKERRER?",IF($T261&gt;0,"KAPALI DÖNEM","UYGUN"))))))</f>
        <v/>
      </c>
      <c r="N261" s="121">
        <f>IF($C261="","",IF($C261="TANIMSIZ MÜŞTERİ","—",INDEX(MUSTERILER!$C$7:$C$106,MATCH($C261,MUSTERILER!$B$7:$B$106,0))))</f>
        <v/>
      </c>
      <c r="O261" s="6" t="n"/>
      <c r="P261" s="6" t="n"/>
      <c r="Q261" s="3">
        <f>IF($D261="","",$C261&amp;"|"&amp;COUNTIFS($C$7:$C261,$C261))</f>
        <v/>
      </c>
      <c r="R261" s="3">
        <f>IF($D261="","",UPPER(SUBSTITUTE(SUBSTITUTE(SUBSTITUTE(SUBSTITUTE(SUBSTITUTE(SUBSTITUTE(SUBSTITUTE(SUBSTITUTE(SUBSTITUTE(SUBSTITUTE(SUBSTITUTE(SUBSTITUTE(SUBSTITUTE(SUBSTITUTE(SUBSTITUTE(SUBSTITUTE(SUBSTITUTE(SUBSTITUTE(TRIM($D261),"'",""),"İ","I"),"ı","I"),"i","I"),"Ş","S"),"ş","S"),"Ğ","G"),"ğ","G"),"Ü","U"),"ü","U"),"Ö","O"),"ö","O"),"Ç","C"),"ç","C"),".",""),",","")," ",""),"-","")))</f>
        <v/>
      </c>
      <c r="S261" s="3">
        <f>IF($D261="","",$C261&amp;"|"&amp;TEXT($E261,"0")&amp;"|"&amp;TEXT($F261,"0")&amp;"|"&amp;$I261)</f>
        <v/>
      </c>
      <c r="T261" s="3">
        <f>IF($E261="",0,SUMPRODUCT((AY_SONU!$O$7:$O$42="Evet")*(AY_SONU!$B$7:$B$42=DATE(YEAR($E261),MONTH($E261),1))))</f>
        <v/>
      </c>
    </row>
    <row r="262">
      <c r="A262" s="6" t="n"/>
      <c r="B262" s="113">
        <f>IF($D262="","","T"&amp;TEXT(ROW()-6,"00000"))</f>
        <v/>
      </c>
      <c r="C262" s="113">
        <f>IF($D262="","",IFERROR(INDEX(MUSTERILER!$B$7:$B$106,MATCH($R262,MUSTERILER!$T$7:$T$106,0)),IFERROR(INDEX(MUSTERILER!$B$7:$B$106,MATCH($D262,MUSTERILER!$B$7:$B$106,0)),IFERROR(INDEX(MUSTERILER!$B$7:$B$106,MATCH($R262&amp;"*",MUSTERILER!$T$7:$T$106,0)),"TANIMSIZ MÜŞTERİ"))))</f>
        <v/>
      </c>
      <c r="D262" s="109" t="inlineStr">
        <is>
          <t>MELEK GÜLER</t>
        </is>
      </c>
      <c r="E262" s="220" t="n">
        <v>46140</v>
      </c>
      <c r="F262" s="221" t="n">
        <v>6000</v>
      </c>
      <c r="G262" s="108" t="inlineStr">
        <is>
          <t>MERKEZ KASA</t>
        </is>
      </c>
      <c r="H262" s="108" t="inlineStr">
        <is>
          <t>Nakit</t>
        </is>
      </c>
      <c r="I262" s="109" t="n"/>
      <c r="J262" s="109" t="inlineStr">
        <is>
          <t>NAKİT ÖDENEN</t>
        </is>
      </c>
      <c r="K262" s="109" t="n"/>
      <c r="L262" s="226">
        <f>IF($E262="","",DATE(YEAR($E262),MONTH($E262),1))</f>
        <v/>
      </c>
      <c r="M262" s="113">
        <f>IF($D262="","",IF($C262="TANIMSIZ MÜŞTERİ","HATA",IF(OR($E262="",$F262&lt;=0,$G262=""),"EKSİK",IF($E262&gt;TODAY(),"İLERİ TARİH",IF(COUNTIF($S$7:$S$1506,$S262)&gt;1,"MÜKERRER?",IF($T262&gt;0,"KAPALI DÖNEM","UYGUN"))))))</f>
        <v/>
      </c>
      <c r="N262" s="121">
        <f>IF($C262="","",IF($C262="TANIMSIZ MÜŞTERİ","—",INDEX(MUSTERILER!$C$7:$C$106,MATCH($C262,MUSTERILER!$B$7:$B$106,0))))</f>
        <v/>
      </c>
      <c r="O262" s="6" t="n"/>
      <c r="P262" s="6" t="n"/>
      <c r="Q262" s="3">
        <f>IF($D262="","",$C262&amp;"|"&amp;COUNTIFS($C$7:$C262,$C262))</f>
        <v/>
      </c>
      <c r="R262" s="3">
        <f>IF($D262="","",UPPER(SUBSTITUTE(SUBSTITUTE(SUBSTITUTE(SUBSTITUTE(SUBSTITUTE(SUBSTITUTE(SUBSTITUTE(SUBSTITUTE(SUBSTITUTE(SUBSTITUTE(SUBSTITUTE(SUBSTITUTE(SUBSTITUTE(SUBSTITUTE(SUBSTITUTE(SUBSTITUTE(SUBSTITUTE(SUBSTITUTE(TRIM($D262),"'",""),"İ","I"),"ı","I"),"i","I"),"Ş","S"),"ş","S"),"Ğ","G"),"ğ","G"),"Ü","U"),"ü","U"),"Ö","O"),"ö","O"),"Ç","C"),"ç","C"),".",""),",","")," ",""),"-","")))</f>
        <v/>
      </c>
      <c r="S262" s="3">
        <f>IF($D262="","",$C262&amp;"|"&amp;TEXT($E262,"0")&amp;"|"&amp;TEXT($F262,"0")&amp;"|"&amp;$I262)</f>
        <v/>
      </c>
      <c r="T262" s="3">
        <f>IF($E262="",0,SUMPRODUCT((AY_SONU!$O$7:$O$42="Evet")*(AY_SONU!$B$7:$B$42=DATE(YEAR($E262),MONTH($E262),1))))</f>
        <v/>
      </c>
    </row>
    <row r="263">
      <c r="A263" s="6" t="n"/>
      <c r="B263" s="113">
        <f>IF($D263="","","T"&amp;TEXT(ROW()-6,"00000"))</f>
        <v/>
      </c>
      <c r="C263" s="113">
        <f>IF($D263="","",IFERROR(INDEX(MUSTERILER!$B$7:$B$106,MATCH($R263,MUSTERILER!$T$7:$T$106,0)),IFERROR(INDEX(MUSTERILER!$B$7:$B$106,MATCH($D263,MUSTERILER!$B$7:$B$106,0)),IFERROR(INDEX(MUSTERILER!$B$7:$B$106,MATCH($R263&amp;"*",MUSTERILER!$T$7:$T$106,0)),"TANIMSIZ MÜŞTERİ"))))</f>
        <v/>
      </c>
      <c r="D263" s="109" t="inlineStr">
        <is>
          <t>MUSTAFA UMUT KOYUN</t>
        </is>
      </c>
      <c r="E263" s="220" t="n">
        <v>46141</v>
      </c>
      <c r="F263" s="221" t="n">
        <v>6000</v>
      </c>
      <c r="G263" s="108" t="inlineStr">
        <is>
          <t>MERKEZ KASA</t>
        </is>
      </c>
      <c r="H263" s="108" t="inlineStr">
        <is>
          <t>Nakit</t>
        </is>
      </c>
      <c r="I263" s="109" t="n"/>
      <c r="J263" s="109" t="inlineStr">
        <is>
          <t>NAKİT ÖDENEN</t>
        </is>
      </c>
      <c r="K263" s="109" t="n"/>
      <c r="L263" s="226">
        <f>IF($E263="","",DATE(YEAR($E263),MONTH($E263),1))</f>
        <v/>
      </c>
      <c r="M263" s="113">
        <f>IF($D263="","",IF($C263="TANIMSIZ MÜŞTERİ","HATA",IF(OR($E263="",$F263&lt;=0,$G263=""),"EKSİK",IF($E263&gt;TODAY(),"İLERİ TARİH",IF(COUNTIF($S$7:$S$1506,$S263)&gt;1,"MÜKERRER?",IF($T263&gt;0,"KAPALI DÖNEM","UYGUN"))))))</f>
        <v/>
      </c>
      <c r="N263" s="121">
        <f>IF($C263="","",IF($C263="TANIMSIZ MÜŞTERİ","—",INDEX(MUSTERILER!$C$7:$C$106,MATCH($C263,MUSTERILER!$B$7:$B$106,0))))</f>
        <v/>
      </c>
      <c r="O263" s="6" t="n"/>
      <c r="P263" s="6" t="n"/>
      <c r="Q263" s="3">
        <f>IF($D263="","",$C263&amp;"|"&amp;COUNTIFS($C$7:$C263,$C263))</f>
        <v/>
      </c>
      <c r="R263" s="3">
        <f>IF($D263="","",UPPER(SUBSTITUTE(SUBSTITUTE(SUBSTITUTE(SUBSTITUTE(SUBSTITUTE(SUBSTITUTE(SUBSTITUTE(SUBSTITUTE(SUBSTITUTE(SUBSTITUTE(SUBSTITUTE(SUBSTITUTE(SUBSTITUTE(SUBSTITUTE(SUBSTITUTE(SUBSTITUTE(SUBSTITUTE(SUBSTITUTE(TRIM($D263),"'",""),"İ","I"),"ı","I"),"i","I"),"Ş","S"),"ş","S"),"Ğ","G"),"ğ","G"),"Ü","U"),"ü","U"),"Ö","O"),"ö","O"),"Ç","C"),"ç","C"),".",""),",","")," ",""),"-","")))</f>
        <v/>
      </c>
      <c r="S263" s="3">
        <f>IF($D263="","",$C263&amp;"|"&amp;TEXT($E263,"0")&amp;"|"&amp;TEXT($F263,"0")&amp;"|"&amp;$I263)</f>
        <v/>
      </c>
      <c r="T263" s="3">
        <f>IF($E263="",0,SUMPRODUCT((AY_SONU!$O$7:$O$42="Evet")*(AY_SONU!$B$7:$B$42=DATE(YEAR($E263),MONTH($E263),1))))</f>
        <v/>
      </c>
    </row>
    <row r="264">
      <c r="A264" s="6" t="n"/>
      <c r="B264" s="113">
        <f>IF($D264="","","T"&amp;TEXT(ROW()-6,"00000"))</f>
        <v/>
      </c>
      <c r="C264" s="113">
        <f>IF($D264="","",IFERROR(INDEX(MUSTERILER!$B$7:$B$106,MATCH($R264,MUSTERILER!$T$7:$T$106,0)),IFERROR(INDEX(MUSTERILER!$B$7:$B$106,MATCH($D264,MUSTERILER!$B$7:$B$106,0)),IFERROR(INDEX(MUSTERILER!$B$7:$B$106,MATCH($R264&amp;"*",MUSTERILER!$T$7:$T$106,0)),"TANIMSIZ MÜŞTERİ"))))</f>
        <v/>
      </c>
      <c r="D264" s="109" t="inlineStr">
        <is>
          <t>ALTINEL LTD.ŞTİ.</t>
        </is>
      </c>
      <c r="E264" s="220" t="n">
        <v>46142</v>
      </c>
      <c r="F264" s="221" t="n">
        <v>12000</v>
      </c>
      <c r="G264" s="108" t="inlineStr">
        <is>
          <t>ÖMER KARTAL</t>
        </is>
      </c>
      <c r="H264" s="108" t="inlineStr">
        <is>
          <t>Nakit</t>
        </is>
      </c>
      <c r="I264" s="109" t="n"/>
      <c r="J264" s="109" t="inlineStr">
        <is>
          <t xml:space="preserve">ALTINEL LTD.ŞTİ. </t>
        </is>
      </c>
      <c r="K264" s="109" t="n"/>
      <c r="L264" s="226">
        <f>IF($E264="","",DATE(YEAR($E264),MONTH($E264),1))</f>
        <v/>
      </c>
      <c r="M264" s="113">
        <f>IF($D264="","",IF($C264="TANIMSIZ MÜŞTERİ","HATA",IF(OR($E264="",$F264&lt;=0,$G264=""),"EKSİK",IF($E264&gt;TODAY(),"İLERİ TARİH",IF(COUNTIF($S$7:$S$1506,$S264)&gt;1,"MÜKERRER?",IF($T264&gt;0,"KAPALI DÖNEM","UYGUN"))))))</f>
        <v/>
      </c>
      <c r="N264" s="121">
        <f>IF($C264="","",IF($C264="TANIMSIZ MÜŞTERİ","—",INDEX(MUSTERILER!$C$7:$C$106,MATCH($C264,MUSTERILER!$B$7:$B$106,0))))</f>
        <v/>
      </c>
      <c r="O264" s="6" t="n"/>
      <c r="P264" s="6" t="n"/>
      <c r="Q264" s="3">
        <f>IF($D264="","",$C264&amp;"|"&amp;COUNTIFS($C$7:$C264,$C264))</f>
        <v/>
      </c>
      <c r="R264" s="3">
        <f>IF($D264="","",UPPER(SUBSTITUTE(SUBSTITUTE(SUBSTITUTE(SUBSTITUTE(SUBSTITUTE(SUBSTITUTE(SUBSTITUTE(SUBSTITUTE(SUBSTITUTE(SUBSTITUTE(SUBSTITUTE(SUBSTITUTE(SUBSTITUTE(SUBSTITUTE(SUBSTITUTE(SUBSTITUTE(SUBSTITUTE(SUBSTITUTE(TRIM($D264),"'",""),"İ","I"),"ı","I"),"i","I"),"Ş","S"),"ş","S"),"Ğ","G"),"ğ","G"),"Ü","U"),"ü","U"),"Ö","O"),"ö","O"),"Ç","C"),"ç","C"),".",""),",","")," ",""),"-","")))</f>
        <v/>
      </c>
      <c r="S264" s="3">
        <f>IF($D264="","",$C264&amp;"|"&amp;TEXT($E264,"0")&amp;"|"&amp;TEXT($F264,"0")&amp;"|"&amp;$I264)</f>
        <v/>
      </c>
      <c r="T264" s="3">
        <f>IF($E264="",0,SUMPRODUCT((AY_SONU!$O$7:$O$42="Evet")*(AY_SONU!$B$7:$B$42=DATE(YEAR($E264),MONTH($E264),1))))</f>
        <v/>
      </c>
    </row>
    <row r="265">
      <c r="A265" s="6" t="n"/>
      <c r="B265" s="113">
        <f>IF($D265="","","T"&amp;TEXT(ROW()-6,"00000"))</f>
        <v/>
      </c>
      <c r="C265" s="113">
        <f>IF($D265="","",IFERROR(INDEX(MUSTERILER!$B$7:$B$106,MATCH($R265,MUSTERILER!$T$7:$T$106,0)),IFERROR(INDEX(MUSTERILER!$B$7:$B$106,MATCH($D265,MUSTERILER!$B$7:$B$106,0)),IFERROR(INDEX(MUSTERILER!$B$7:$B$106,MATCH($R265&amp;"*",MUSTERILER!$T$7:$T$106,0)),"TANIMSIZ MÜŞTERİ"))))</f>
        <v/>
      </c>
      <c r="D265" s="109" t="inlineStr">
        <is>
          <t>PAKYILDIZ LTD.ŞTİ.</t>
        </is>
      </c>
      <c r="E265" s="220" t="n">
        <v>46143</v>
      </c>
      <c r="F265" s="221" t="n">
        <v>31000</v>
      </c>
      <c r="G265" s="108" t="inlineStr">
        <is>
          <t>MERKEZ KASA</t>
        </is>
      </c>
      <c r="H265" s="108" t="inlineStr">
        <is>
          <t>Nakit</t>
        </is>
      </c>
      <c r="I265" s="109" t="n"/>
      <c r="J265" s="109" t="inlineStr">
        <is>
          <t>NAKİT ÖDENEN</t>
        </is>
      </c>
      <c r="K265" s="109" t="n"/>
      <c r="L265" s="226">
        <f>IF($E265="","",DATE(YEAR($E265),MONTH($E265),1))</f>
        <v/>
      </c>
      <c r="M265" s="113">
        <f>IF($D265="","",IF($C265="TANIMSIZ MÜŞTERİ","HATA",IF(OR($E265="",$F265&lt;=0,$G265=""),"EKSİK",IF($E265&gt;TODAY(),"İLERİ TARİH",IF(COUNTIF($S$7:$S$1506,$S265)&gt;1,"MÜKERRER?",IF($T265&gt;0,"KAPALI DÖNEM","UYGUN"))))))</f>
        <v/>
      </c>
      <c r="N265" s="121">
        <f>IF($C265="","",IF($C265="TANIMSIZ MÜŞTERİ","—",INDEX(MUSTERILER!$C$7:$C$106,MATCH($C265,MUSTERILER!$B$7:$B$106,0))))</f>
        <v/>
      </c>
      <c r="O265" s="6" t="n"/>
      <c r="P265" s="6" t="n"/>
      <c r="Q265" s="3">
        <f>IF($D265="","",$C265&amp;"|"&amp;COUNTIFS($C$7:$C265,$C265))</f>
        <v/>
      </c>
      <c r="R265" s="3">
        <f>IF($D265="","",UPPER(SUBSTITUTE(SUBSTITUTE(SUBSTITUTE(SUBSTITUTE(SUBSTITUTE(SUBSTITUTE(SUBSTITUTE(SUBSTITUTE(SUBSTITUTE(SUBSTITUTE(SUBSTITUTE(SUBSTITUTE(SUBSTITUTE(SUBSTITUTE(SUBSTITUTE(SUBSTITUTE(SUBSTITUTE(SUBSTITUTE(TRIM($D265),"'",""),"İ","I"),"ı","I"),"i","I"),"Ş","S"),"ş","S"),"Ğ","G"),"ğ","G"),"Ü","U"),"ü","U"),"Ö","O"),"ö","O"),"Ç","C"),"ç","C"),".",""),",","")," ",""),"-","")))</f>
        <v/>
      </c>
      <c r="S265" s="3">
        <f>IF($D265="","",$C265&amp;"|"&amp;TEXT($E265,"0")&amp;"|"&amp;TEXT($F265,"0")&amp;"|"&amp;$I265)</f>
        <v/>
      </c>
      <c r="T265" s="3">
        <f>IF($E265="",0,SUMPRODUCT((AY_SONU!$O$7:$O$42="Evet")*(AY_SONU!$B$7:$B$42=DATE(YEAR($E265),MONTH($E265),1))))</f>
        <v/>
      </c>
    </row>
    <row r="266">
      <c r="A266" s="6" t="n"/>
      <c r="B266" s="113">
        <f>IF($D266="","","T"&amp;TEXT(ROW()-6,"00000"))</f>
        <v/>
      </c>
      <c r="C266" s="113">
        <f>IF($D266="","",IFERROR(INDEX(MUSTERILER!$B$7:$B$106,MATCH($R266,MUSTERILER!$T$7:$T$106,0)),IFERROR(INDEX(MUSTERILER!$B$7:$B$106,MATCH($D266,MUSTERILER!$B$7:$B$106,0)),IFERROR(INDEX(MUSTERILER!$B$7:$B$106,MATCH($R266&amp;"*",MUSTERILER!$T$7:$T$106,0)),"TANIMSIZ MÜŞTERİ"))))</f>
        <v/>
      </c>
      <c r="D266" s="109" t="inlineStr">
        <is>
          <t>Ankara Havana Ltd.Şti.</t>
        </is>
      </c>
      <c r="E266" s="220" t="n">
        <v>46144</v>
      </c>
      <c r="F266" s="221" t="n">
        <v>14000</v>
      </c>
      <c r="G266" s="108" t="inlineStr">
        <is>
          <t>MERKEZ KASA</t>
        </is>
      </c>
      <c r="H266" s="108" t="inlineStr">
        <is>
          <t>Nakit</t>
        </is>
      </c>
      <c r="I266" s="109" t="n"/>
      <c r="J266" s="109" t="inlineStr">
        <is>
          <t>NAKİT ÖDENEN</t>
        </is>
      </c>
      <c r="K266" s="109" t="n"/>
      <c r="L266" s="226">
        <f>IF($E266="","",DATE(YEAR($E266),MONTH($E266),1))</f>
        <v/>
      </c>
      <c r="M266" s="113">
        <f>IF($D266="","",IF($C266="TANIMSIZ MÜŞTERİ","HATA",IF(OR($E266="",$F266&lt;=0,$G266=""),"EKSİK",IF($E266&gt;TODAY(),"İLERİ TARİH",IF(COUNTIF($S$7:$S$1506,$S266)&gt;1,"MÜKERRER?",IF($T266&gt;0,"KAPALI DÖNEM","UYGUN"))))))</f>
        <v/>
      </c>
      <c r="N266" s="121">
        <f>IF($C266="","",IF($C266="TANIMSIZ MÜŞTERİ","—",INDEX(MUSTERILER!$C$7:$C$106,MATCH($C266,MUSTERILER!$B$7:$B$106,0))))</f>
        <v/>
      </c>
      <c r="O266" s="6" t="n"/>
      <c r="P266" s="6" t="n"/>
      <c r="Q266" s="3">
        <f>IF($D266="","",$C266&amp;"|"&amp;COUNTIFS($C$7:$C266,$C266))</f>
        <v/>
      </c>
      <c r="R266" s="3">
        <f>IF($D266="","",UPPER(SUBSTITUTE(SUBSTITUTE(SUBSTITUTE(SUBSTITUTE(SUBSTITUTE(SUBSTITUTE(SUBSTITUTE(SUBSTITUTE(SUBSTITUTE(SUBSTITUTE(SUBSTITUTE(SUBSTITUTE(SUBSTITUTE(SUBSTITUTE(SUBSTITUTE(SUBSTITUTE(SUBSTITUTE(SUBSTITUTE(TRIM($D266),"'",""),"İ","I"),"ı","I"),"i","I"),"Ş","S"),"ş","S"),"Ğ","G"),"ğ","G"),"Ü","U"),"ü","U"),"Ö","O"),"ö","O"),"Ç","C"),"ç","C"),".",""),",","")," ",""),"-","")))</f>
        <v/>
      </c>
      <c r="S266" s="3">
        <f>IF($D266="","",$C266&amp;"|"&amp;TEXT($E266,"0")&amp;"|"&amp;TEXT($F266,"0")&amp;"|"&amp;$I266)</f>
        <v/>
      </c>
      <c r="T266" s="3">
        <f>IF($E266="",0,SUMPRODUCT((AY_SONU!$O$7:$O$42="Evet")*(AY_SONU!$B$7:$B$42=DATE(YEAR($E266),MONTH($E266),1))))</f>
        <v/>
      </c>
    </row>
    <row r="267">
      <c r="A267" s="6" t="n"/>
      <c r="B267" s="113">
        <f>IF($D267="","","T"&amp;TEXT(ROW()-6,"00000"))</f>
        <v/>
      </c>
      <c r="C267" s="113">
        <f>IF($D267="","",IFERROR(INDEX(MUSTERILER!$B$7:$B$106,MATCH($R267,MUSTERILER!$T$7:$T$106,0)),IFERROR(INDEX(MUSTERILER!$B$7:$B$106,MATCH($D267,MUSTERILER!$B$7:$B$106,0)),IFERROR(INDEX(MUSTERILER!$B$7:$B$106,MATCH($R267&amp;"*",MUSTERILER!$T$7:$T$106,0)),"TANIMSIZ MÜŞTERİ"))))</f>
        <v/>
      </c>
      <c r="D267" s="109" t="inlineStr">
        <is>
          <t>ASIM AÇIKGÖZ</t>
        </is>
      </c>
      <c r="E267" s="220" t="n">
        <v>46144</v>
      </c>
      <c r="F267" s="221" t="n">
        <v>2000</v>
      </c>
      <c r="G267" s="108" t="inlineStr">
        <is>
          <t>MERKEZ KASA</t>
        </is>
      </c>
      <c r="H267" s="108" t="inlineStr">
        <is>
          <t>Nakit</t>
        </is>
      </c>
      <c r="I267" s="109" t="n"/>
      <c r="J267" s="109" t="inlineStr">
        <is>
          <t>NAKİT ÖDENEN</t>
        </is>
      </c>
      <c r="K267" s="109" t="n"/>
      <c r="L267" s="226">
        <f>IF($E267="","",DATE(YEAR($E267),MONTH($E267),1))</f>
        <v/>
      </c>
      <c r="M267" s="113">
        <f>IF($D267="","",IF($C267="TANIMSIZ MÜŞTERİ","HATA",IF(OR($E267="",$F267&lt;=0,$G267=""),"EKSİK",IF($E267&gt;TODAY(),"İLERİ TARİH",IF(COUNTIF($S$7:$S$1506,$S267)&gt;1,"MÜKERRER?",IF($T267&gt;0,"KAPALI DÖNEM","UYGUN"))))))</f>
        <v/>
      </c>
      <c r="N267" s="121">
        <f>IF($C267="","",IF($C267="TANIMSIZ MÜŞTERİ","—",INDEX(MUSTERILER!$C$7:$C$106,MATCH($C267,MUSTERILER!$B$7:$B$106,0))))</f>
        <v/>
      </c>
      <c r="O267" s="6" t="n"/>
      <c r="P267" s="6" t="n"/>
      <c r="Q267" s="3">
        <f>IF($D267="","",$C267&amp;"|"&amp;COUNTIFS($C$7:$C267,$C267))</f>
        <v/>
      </c>
      <c r="R267" s="3">
        <f>IF($D267="","",UPPER(SUBSTITUTE(SUBSTITUTE(SUBSTITUTE(SUBSTITUTE(SUBSTITUTE(SUBSTITUTE(SUBSTITUTE(SUBSTITUTE(SUBSTITUTE(SUBSTITUTE(SUBSTITUTE(SUBSTITUTE(SUBSTITUTE(SUBSTITUTE(SUBSTITUTE(SUBSTITUTE(SUBSTITUTE(SUBSTITUTE(TRIM($D267),"'",""),"İ","I"),"ı","I"),"i","I"),"Ş","S"),"ş","S"),"Ğ","G"),"ğ","G"),"Ü","U"),"ü","U"),"Ö","O"),"ö","O"),"Ç","C"),"ç","C"),".",""),",","")," ",""),"-","")))</f>
        <v/>
      </c>
      <c r="S267" s="3">
        <f>IF($D267="","",$C267&amp;"|"&amp;TEXT($E267,"0")&amp;"|"&amp;TEXT($F267,"0")&amp;"|"&amp;$I267)</f>
        <v/>
      </c>
      <c r="T267" s="3">
        <f>IF($E267="",0,SUMPRODUCT((AY_SONU!$O$7:$O$42="Evet")*(AY_SONU!$B$7:$B$42=DATE(YEAR($E267),MONTH($E267),1))))</f>
        <v/>
      </c>
    </row>
    <row r="268">
      <c r="A268" s="6" t="n"/>
      <c r="B268" s="113">
        <f>IF($D268="","","T"&amp;TEXT(ROW()-6,"00000"))</f>
        <v/>
      </c>
      <c r="C268" s="113">
        <f>IF($D268="","",IFERROR(INDEX(MUSTERILER!$B$7:$B$106,MATCH($R268,MUSTERILER!$T$7:$T$106,0)),IFERROR(INDEX(MUSTERILER!$B$7:$B$106,MATCH($D268,MUSTERILER!$B$7:$B$106,0)),IFERROR(INDEX(MUSTERILER!$B$7:$B$106,MATCH($R268&amp;"*",MUSTERILER!$T$7:$T$106,0)),"TANIMSIZ MÜŞTERİ"))))</f>
        <v/>
      </c>
      <c r="D268" s="109" t="inlineStr">
        <is>
          <t>ASM EĞLENCE LTD.ŞTİ.</t>
        </is>
      </c>
      <c r="E268" s="220" t="n">
        <v>46144</v>
      </c>
      <c r="F268" s="221" t="n">
        <v>2500</v>
      </c>
      <c r="G268" s="108" t="inlineStr">
        <is>
          <t>MERKEZ KASA</t>
        </is>
      </c>
      <c r="H268" s="108" t="inlineStr">
        <is>
          <t>Nakit</t>
        </is>
      </c>
      <c r="I268" s="109" t="n"/>
      <c r="J268" s="109" t="inlineStr">
        <is>
          <t>NAKİT ÖDENEN</t>
        </is>
      </c>
      <c r="K268" s="109" t="n"/>
      <c r="L268" s="226">
        <f>IF($E268="","",DATE(YEAR($E268),MONTH($E268),1))</f>
        <v/>
      </c>
      <c r="M268" s="113">
        <f>IF($D268="","",IF($C268="TANIMSIZ MÜŞTERİ","HATA",IF(OR($E268="",$F268&lt;=0,$G268=""),"EKSİK",IF($E268&gt;TODAY(),"İLERİ TARİH",IF(COUNTIF($S$7:$S$1506,$S268)&gt;1,"MÜKERRER?",IF($T268&gt;0,"KAPALI DÖNEM","UYGUN"))))))</f>
        <v/>
      </c>
      <c r="N268" s="121">
        <f>IF($C268="","",IF($C268="TANIMSIZ MÜŞTERİ","—",INDEX(MUSTERILER!$C$7:$C$106,MATCH($C268,MUSTERILER!$B$7:$B$106,0))))</f>
        <v/>
      </c>
      <c r="O268" s="6" t="n"/>
      <c r="P268" s="6" t="n"/>
      <c r="Q268" s="3">
        <f>IF($D268="","",$C268&amp;"|"&amp;COUNTIFS($C$7:$C268,$C268))</f>
        <v/>
      </c>
      <c r="R268" s="3">
        <f>IF($D268="","",UPPER(SUBSTITUTE(SUBSTITUTE(SUBSTITUTE(SUBSTITUTE(SUBSTITUTE(SUBSTITUTE(SUBSTITUTE(SUBSTITUTE(SUBSTITUTE(SUBSTITUTE(SUBSTITUTE(SUBSTITUTE(SUBSTITUTE(SUBSTITUTE(SUBSTITUTE(SUBSTITUTE(SUBSTITUTE(SUBSTITUTE(TRIM($D268),"'",""),"İ","I"),"ı","I"),"i","I"),"Ş","S"),"ş","S"),"Ğ","G"),"ğ","G"),"Ü","U"),"ü","U"),"Ö","O"),"ö","O"),"Ç","C"),"ç","C"),".",""),",","")," ",""),"-","")))</f>
        <v/>
      </c>
      <c r="S268" s="3">
        <f>IF($D268="","",$C268&amp;"|"&amp;TEXT($E268,"0")&amp;"|"&amp;TEXT($F268,"0")&amp;"|"&amp;$I268)</f>
        <v/>
      </c>
      <c r="T268" s="3">
        <f>IF($E268="",0,SUMPRODUCT((AY_SONU!$O$7:$O$42="Evet")*(AY_SONU!$B$7:$B$42=DATE(YEAR($E268),MONTH($E268),1))))</f>
        <v/>
      </c>
    </row>
    <row r="269">
      <c r="A269" s="6" t="n"/>
      <c r="B269" s="113">
        <f>IF($D269="","","T"&amp;TEXT(ROW()-6,"00000"))</f>
        <v/>
      </c>
      <c r="C269" s="113">
        <f>IF($D269="","",IFERROR(INDEX(MUSTERILER!$B$7:$B$106,MATCH($R269,MUSTERILER!$T$7:$T$106,0)),IFERROR(INDEX(MUSTERILER!$B$7:$B$106,MATCH($D269,MUSTERILER!$B$7:$B$106,0)),IFERROR(INDEX(MUSTERILER!$B$7:$B$106,MATCH($R269&amp;"*",MUSTERILER!$T$7:$T$106,0)),"TANIMSIZ MÜŞTERİ"))))</f>
        <v/>
      </c>
      <c r="D269" s="109" t="inlineStr">
        <is>
          <t>Çayıralan Ltd.Şti.</t>
        </is>
      </c>
      <c r="E269" s="220" t="n">
        <v>46144</v>
      </c>
      <c r="F269" s="221" t="n">
        <v>3000</v>
      </c>
      <c r="G269" s="108" t="inlineStr">
        <is>
          <t>MERKEZ KASA</t>
        </is>
      </c>
      <c r="H269" s="108" t="inlineStr">
        <is>
          <t>Nakit</t>
        </is>
      </c>
      <c r="I269" s="109" t="n"/>
      <c r="J269" s="109" t="inlineStr">
        <is>
          <t>NAKİT ÖDENEN</t>
        </is>
      </c>
      <c r="K269" s="109" t="n"/>
      <c r="L269" s="226">
        <f>IF($E269="","",DATE(YEAR($E269),MONTH($E269),1))</f>
        <v/>
      </c>
      <c r="M269" s="113">
        <f>IF($D269="","",IF($C269="TANIMSIZ MÜŞTERİ","HATA",IF(OR($E269="",$F269&lt;=0,$G269=""),"EKSİK",IF($E269&gt;TODAY(),"İLERİ TARİH",IF(COUNTIF($S$7:$S$1506,$S269)&gt;1,"MÜKERRER?",IF($T269&gt;0,"KAPALI DÖNEM","UYGUN"))))))</f>
        <v/>
      </c>
      <c r="N269" s="121">
        <f>IF($C269="","",IF($C269="TANIMSIZ MÜŞTERİ","—",INDEX(MUSTERILER!$C$7:$C$106,MATCH($C269,MUSTERILER!$B$7:$B$106,0))))</f>
        <v/>
      </c>
      <c r="O269" s="6" t="n"/>
      <c r="P269" s="6" t="n"/>
      <c r="Q269" s="3">
        <f>IF($D269="","",$C269&amp;"|"&amp;COUNTIFS($C$7:$C269,$C269))</f>
        <v/>
      </c>
      <c r="R269" s="3">
        <f>IF($D269="","",UPPER(SUBSTITUTE(SUBSTITUTE(SUBSTITUTE(SUBSTITUTE(SUBSTITUTE(SUBSTITUTE(SUBSTITUTE(SUBSTITUTE(SUBSTITUTE(SUBSTITUTE(SUBSTITUTE(SUBSTITUTE(SUBSTITUTE(SUBSTITUTE(SUBSTITUTE(SUBSTITUTE(SUBSTITUTE(SUBSTITUTE(TRIM($D269),"'",""),"İ","I"),"ı","I"),"i","I"),"Ş","S"),"ş","S"),"Ğ","G"),"ğ","G"),"Ü","U"),"ü","U"),"Ö","O"),"ö","O"),"Ç","C"),"ç","C"),".",""),",","")," ",""),"-","")))</f>
        <v/>
      </c>
      <c r="S269" s="3">
        <f>IF($D269="","",$C269&amp;"|"&amp;TEXT($E269,"0")&amp;"|"&amp;TEXT($F269,"0")&amp;"|"&amp;$I269)</f>
        <v/>
      </c>
      <c r="T269" s="3">
        <f>IF($E269="",0,SUMPRODUCT((AY_SONU!$O$7:$O$42="Evet")*(AY_SONU!$B$7:$B$42=DATE(YEAR($E269),MONTH($E269),1))))</f>
        <v/>
      </c>
    </row>
    <row r="270">
      <c r="A270" s="6" t="n"/>
      <c r="B270" s="113">
        <f>IF($D270="","","T"&amp;TEXT(ROW()-6,"00000"))</f>
        <v/>
      </c>
      <c r="C270" s="113">
        <f>IF($D270="","",IFERROR(INDEX(MUSTERILER!$B$7:$B$106,MATCH($R270,MUSTERILER!$T$7:$T$106,0)),IFERROR(INDEX(MUSTERILER!$B$7:$B$106,MATCH($D270,MUSTERILER!$B$7:$B$106,0)),IFERROR(INDEX(MUSTERILER!$B$7:$B$106,MATCH($R270&amp;"*",MUSTERILER!$T$7:$T$106,0)),"TANIMSIZ MÜŞTERİ"))))</f>
        <v/>
      </c>
      <c r="D270" s="109" t="inlineStr">
        <is>
          <t>Eğlengör Ltd.Şti.</t>
        </is>
      </c>
      <c r="E270" s="220" t="n">
        <v>46144</v>
      </c>
      <c r="F270" s="221" t="n">
        <v>4000</v>
      </c>
      <c r="G270" s="108" t="inlineStr">
        <is>
          <t>MERKEZ KASA</t>
        </is>
      </c>
      <c r="H270" s="108" t="inlineStr">
        <is>
          <t>Nakit</t>
        </is>
      </c>
      <c r="I270" s="109" t="n"/>
      <c r="J270" s="109" t="inlineStr">
        <is>
          <t>NAKİT ÖDENEN</t>
        </is>
      </c>
      <c r="K270" s="109" t="n"/>
      <c r="L270" s="226">
        <f>IF($E270="","",DATE(YEAR($E270),MONTH($E270),1))</f>
        <v/>
      </c>
      <c r="M270" s="113">
        <f>IF($D270="","",IF($C270="TANIMSIZ MÜŞTERİ","HATA",IF(OR($E270="",$F270&lt;=0,$G270=""),"EKSİK",IF($E270&gt;TODAY(),"İLERİ TARİH",IF(COUNTIF($S$7:$S$1506,$S270)&gt;1,"MÜKERRER?",IF($T270&gt;0,"KAPALI DÖNEM","UYGUN"))))))</f>
        <v/>
      </c>
      <c r="N270" s="121">
        <f>IF($C270="","",IF($C270="TANIMSIZ MÜŞTERİ","—",INDEX(MUSTERILER!$C$7:$C$106,MATCH($C270,MUSTERILER!$B$7:$B$106,0))))</f>
        <v/>
      </c>
      <c r="O270" s="6" t="n"/>
      <c r="P270" s="6" t="n"/>
      <c r="Q270" s="3">
        <f>IF($D270="","",$C270&amp;"|"&amp;COUNTIFS($C$7:$C270,$C270))</f>
        <v/>
      </c>
      <c r="R270" s="3">
        <f>IF($D270="","",UPPER(SUBSTITUTE(SUBSTITUTE(SUBSTITUTE(SUBSTITUTE(SUBSTITUTE(SUBSTITUTE(SUBSTITUTE(SUBSTITUTE(SUBSTITUTE(SUBSTITUTE(SUBSTITUTE(SUBSTITUTE(SUBSTITUTE(SUBSTITUTE(SUBSTITUTE(SUBSTITUTE(SUBSTITUTE(SUBSTITUTE(TRIM($D270),"'",""),"İ","I"),"ı","I"),"i","I"),"Ş","S"),"ş","S"),"Ğ","G"),"ğ","G"),"Ü","U"),"ü","U"),"Ö","O"),"ö","O"),"Ç","C"),"ç","C"),".",""),",","")," ",""),"-","")))</f>
        <v/>
      </c>
      <c r="S270" s="3">
        <f>IF($D270="","",$C270&amp;"|"&amp;TEXT($E270,"0")&amp;"|"&amp;TEXT($F270,"0")&amp;"|"&amp;$I270)</f>
        <v/>
      </c>
      <c r="T270" s="3">
        <f>IF($E270="",0,SUMPRODUCT((AY_SONU!$O$7:$O$42="Evet")*(AY_SONU!$B$7:$B$42=DATE(YEAR($E270),MONTH($E270),1))))</f>
        <v/>
      </c>
    </row>
    <row r="271">
      <c r="A271" s="6" t="n"/>
      <c r="B271" s="113">
        <f>IF($D271="","","T"&amp;TEXT(ROW()-6,"00000"))</f>
        <v/>
      </c>
      <c r="C271" s="113">
        <f>IF($D271="","",IFERROR(INDEX(MUSTERILER!$B$7:$B$106,MATCH($R271,MUSTERILER!$T$7:$T$106,0)),IFERROR(INDEX(MUSTERILER!$B$7:$B$106,MATCH($D271,MUSTERILER!$B$7:$B$106,0)),IFERROR(INDEX(MUSTERILER!$B$7:$B$106,MATCH($R271&amp;"*",MUSTERILER!$T$7:$T$106,0)),"TANIMSIZ MÜŞTERİ"))))</f>
        <v/>
      </c>
      <c r="D271" s="109" t="inlineStr">
        <is>
          <t>İbrahim Maldan</t>
        </is>
      </c>
      <c r="E271" s="220" t="n">
        <v>46144</v>
      </c>
      <c r="F271" s="221" t="n">
        <v>4000</v>
      </c>
      <c r="G271" s="108" t="inlineStr">
        <is>
          <t>MERKEZ KASA</t>
        </is>
      </c>
      <c r="H271" s="108" t="inlineStr">
        <is>
          <t>Nakit</t>
        </is>
      </c>
      <c r="I271" s="109" t="n"/>
      <c r="J271" s="109" t="inlineStr">
        <is>
          <t>NAKİT ÖDENEN</t>
        </is>
      </c>
      <c r="K271" s="109" t="n"/>
      <c r="L271" s="226">
        <f>IF($E271="","",DATE(YEAR($E271),MONTH($E271),1))</f>
        <v/>
      </c>
      <c r="M271" s="113">
        <f>IF($D271="","",IF($C271="TANIMSIZ MÜŞTERİ","HATA",IF(OR($E271="",$F271&lt;=0,$G271=""),"EKSİK",IF($E271&gt;TODAY(),"İLERİ TARİH",IF(COUNTIF($S$7:$S$1506,$S271)&gt;1,"MÜKERRER?",IF($T271&gt;0,"KAPALI DÖNEM","UYGUN"))))))</f>
        <v/>
      </c>
      <c r="N271" s="121">
        <f>IF($C271="","",IF($C271="TANIMSIZ MÜŞTERİ","—",INDEX(MUSTERILER!$C$7:$C$106,MATCH($C271,MUSTERILER!$B$7:$B$106,0))))</f>
        <v/>
      </c>
      <c r="O271" s="6" t="n"/>
      <c r="P271" s="6" t="n"/>
      <c r="Q271" s="3">
        <f>IF($D271="","",$C271&amp;"|"&amp;COUNTIFS($C$7:$C271,$C271))</f>
        <v/>
      </c>
      <c r="R271" s="3">
        <f>IF($D271="","",UPPER(SUBSTITUTE(SUBSTITUTE(SUBSTITUTE(SUBSTITUTE(SUBSTITUTE(SUBSTITUTE(SUBSTITUTE(SUBSTITUTE(SUBSTITUTE(SUBSTITUTE(SUBSTITUTE(SUBSTITUTE(SUBSTITUTE(SUBSTITUTE(SUBSTITUTE(SUBSTITUTE(SUBSTITUTE(SUBSTITUTE(TRIM($D271),"'",""),"İ","I"),"ı","I"),"i","I"),"Ş","S"),"ş","S"),"Ğ","G"),"ğ","G"),"Ü","U"),"ü","U"),"Ö","O"),"ö","O"),"Ç","C"),"ç","C"),".",""),",","")," ",""),"-","")))</f>
        <v/>
      </c>
      <c r="S271" s="3">
        <f>IF($D271="","",$C271&amp;"|"&amp;TEXT($E271,"0")&amp;"|"&amp;TEXT($F271,"0")&amp;"|"&amp;$I271)</f>
        <v/>
      </c>
      <c r="T271" s="3">
        <f>IF($E271="",0,SUMPRODUCT((AY_SONU!$O$7:$O$42="Evet")*(AY_SONU!$B$7:$B$42=DATE(YEAR($E271),MONTH($E271),1))))</f>
        <v/>
      </c>
    </row>
    <row r="272">
      <c r="A272" s="6" t="n"/>
      <c r="B272" s="113">
        <f>IF($D272="","","T"&amp;TEXT(ROW()-6,"00000"))</f>
        <v/>
      </c>
      <c r="C272" s="113">
        <f>IF($D272="","",IFERROR(INDEX(MUSTERILER!$B$7:$B$106,MATCH($R272,MUSTERILER!$T$7:$T$106,0)),IFERROR(INDEX(MUSTERILER!$B$7:$B$106,MATCH($D272,MUSTERILER!$B$7:$B$106,0)),IFERROR(INDEX(MUSTERILER!$B$7:$B$106,MATCH($R272&amp;"*",MUSTERILER!$T$7:$T$106,0)),"TANIMSIZ MÜŞTERİ"))))</f>
        <v/>
      </c>
      <c r="D272" s="109" t="inlineStr">
        <is>
          <t>İldeş Ltd.Şti.</t>
        </is>
      </c>
      <c r="E272" s="220" t="n">
        <v>46144</v>
      </c>
      <c r="F272" s="221" t="n">
        <v>4000</v>
      </c>
      <c r="G272" s="108" t="inlineStr">
        <is>
          <t>MERKEZ KASA</t>
        </is>
      </c>
      <c r="H272" s="108" t="inlineStr">
        <is>
          <t>Nakit</t>
        </is>
      </c>
      <c r="I272" s="109" t="n"/>
      <c r="J272" s="109" t="inlineStr">
        <is>
          <t>NAKİT ÖDENEN</t>
        </is>
      </c>
      <c r="K272" s="109" t="n"/>
      <c r="L272" s="226">
        <f>IF($E272="","",DATE(YEAR($E272),MONTH($E272),1))</f>
        <v/>
      </c>
      <c r="M272" s="113">
        <f>IF($D272="","",IF($C272="TANIMSIZ MÜŞTERİ","HATA",IF(OR($E272="",$F272&lt;=0,$G272=""),"EKSİK",IF($E272&gt;TODAY(),"İLERİ TARİH",IF(COUNTIF($S$7:$S$1506,$S272)&gt;1,"MÜKERRER?",IF($T272&gt;0,"KAPALI DÖNEM","UYGUN"))))))</f>
        <v/>
      </c>
      <c r="N272" s="121">
        <f>IF($C272="","",IF($C272="TANIMSIZ MÜŞTERİ","—",INDEX(MUSTERILER!$C$7:$C$106,MATCH($C272,MUSTERILER!$B$7:$B$106,0))))</f>
        <v/>
      </c>
      <c r="O272" s="6" t="n"/>
      <c r="P272" s="6" t="n"/>
      <c r="Q272" s="3">
        <f>IF($D272="","",$C272&amp;"|"&amp;COUNTIFS($C$7:$C272,$C272))</f>
        <v/>
      </c>
      <c r="R272" s="3">
        <f>IF($D272="","",UPPER(SUBSTITUTE(SUBSTITUTE(SUBSTITUTE(SUBSTITUTE(SUBSTITUTE(SUBSTITUTE(SUBSTITUTE(SUBSTITUTE(SUBSTITUTE(SUBSTITUTE(SUBSTITUTE(SUBSTITUTE(SUBSTITUTE(SUBSTITUTE(SUBSTITUTE(SUBSTITUTE(SUBSTITUTE(SUBSTITUTE(TRIM($D272),"'",""),"İ","I"),"ı","I"),"i","I"),"Ş","S"),"ş","S"),"Ğ","G"),"ğ","G"),"Ü","U"),"ü","U"),"Ö","O"),"ö","O"),"Ç","C"),"ç","C"),".",""),",","")," ",""),"-","")))</f>
        <v/>
      </c>
      <c r="S272" s="3">
        <f>IF($D272="","",$C272&amp;"|"&amp;TEXT($E272,"0")&amp;"|"&amp;TEXT($F272,"0")&amp;"|"&amp;$I272)</f>
        <v/>
      </c>
      <c r="T272" s="3">
        <f>IF($E272="",0,SUMPRODUCT((AY_SONU!$O$7:$O$42="Evet")*(AY_SONU!$B$7:$B$42=DATE(YEAR($E272),MONTH($E272),1))))</f>
        <v/>
      </c>
    </row>
    <row r="273">
      <c r="A273" s="6" t="n"/>
      <c r="B273" s="113">
        <f>IF($D273="","","T"&amp;TEXT(ROW()-6,"00000"))</f>
        <v/>
      </c>
      <c r="C273" s="113">
        <f>IF($D273="","",IFERROR(INDEX(MUSTERILER!$B$7:$B$106,MATCH($R273,MUSTERILER!$T$7:$T$106,0)),IFERROR(INDEX(MUSTERILER!$B$7:$B$106,MATCH($D273,MUSTERILER!$B$7:$B$106,0)),IFERROR(INDEX(MUSTERILER!$B$7:$B$106,MATCH($R273&amp;"*",MUSTERILER!$T$7:$T$106,0)),"TANIMSIZ MÜŞTERİ"))))</f>
        <v/>
      </c>
      <c r="D273" s="109" t="inlineStr">
        <is>
          <t>Pakyıldız Ltd.Şti.</t>
        </is>
      </c>
      <c r="E273" s="220" t="n">
        <v>46144</v>
      </c>
      <c r="F273" s="221" t="n">
        <v>4000</v>
      </c>
      <c r="G273" s="108" t="inlineStr">
        <is>
          <t>MERKEZ KASA</t>
        </is>
      </c>
      <c r="H273" s="108" t="inlineStr">
        <is>
          <t>Nakit</t>
        </is>
      </c>
      <c r="I273" s="109" t="n"/>
      <c r="J273" s="109" t="inlineStr">
        <is>
          <t>NAKİT ÖDENEN</t>
        </is>
      </c>
      <c r="K273" s="109" t="n"/>
      <c r="L273" s="226">
        <f>IF($E273="","",DATE(YEAR($E273),MONTH($E273),1))</f>
        <v/>
      </c>
      <c r="M273" s="113">
        <f>IF($D273="","",IF($C273="TANIMSIZ MÜŞTERİ","HATA",IF(OR($E273="",$F273&lt;=0,$G273=""),"EKSİK",IF($E273&gt;TODAY(),"İLERİ TARİH",IF(COUNTIF($S$7:$S$1506,$S273)&gt;1,"MÜKERRER?",IF($T273&gt;0,"KAPALI DÖNEM","UYGUN"))))))</f>
        <v/>
      </c>
      <c r="N273" s="121">
        <f>IF($C273="","",IF($C273="TANIMSIZ MÜŞTERİ","—",INDEX(MUSTERILER!$C$7:$C$106,MATCH($C273,MUSTERILER!$B$7:$B$106,0))))</f>
        <v/>
      </c>
      <c r="O273" s="6" t="n"/>
      <c r="P273" s="6" t="n"/>
      <c r="Q273" s="3">
        <f>IF($D273="","",$C273&amp;"|"&amp;COUNTIFS($C$7:$C273,$C273))</f>
        <v/>
      </c>
      <c r="R273" s="3">
        <f>IF($D273="","",UPPER(SUBSTITUTE(SUBSTITUTE(SUBSTITUTE(SUBSTITUTE(SUBSTITUTE(SUBSTITUTE(SUBSTITUTE(SUBSTITUTE(SUBSTITUTE(SUBSTITUTE(SUBSTITUTE(SUBSTITUTE(SUBSTITUTE(SUBSTITUTE(SUBSTITUTE(SUBSTITUTE(SUBSTITUTE(SUBSTITUTE(TRIM($D273),"'",""),"İ","I"),"ı","I"),"i","I"),"Ş","S"),"ş","S"),"Ğ","G"),"ğ","G"),"Ü","U"),"ü","U"),"Ö","O"),"ö","O"),"Ç","C"),"ç","C"),".",""),",","")," ",""),"-","")))</f>
        <v/>
      </c>
      <c r="S273" s="3">
        <f>IF($D273="","",$C273&amp;"|"&amp;TEXT($E273,"0")&amp;"|"&amp;TEXT($F273,"0")&amp;"|"&amp;$I273)</f>
        <v/>
      </c>
      <c r="T273" s="3">
        <f>IF($E273="",0,SUMPRODUCT((AY_SONU!$O$7:$O$42="Evet")*(AY_SONU!$B$7:$B$42=DATE(YEAR($E273),MONTH($E273),1))))</f>
        <v/>
      </c>
    </row>
    <row r="274">
      <c r="A274" s="6" t="n"/>
      <c r="B274" s="113">
        <f>IF($D274="","","T"&amp;TEXT(ROW()-6,"00000"))</f>
        <v/>
      </c>
      <c r="C274" s="113">
        <f>IF($D274="","",IFERROR(INDEX(MUSTERILER!$B$7:$B$106,MATCH($R274,MUSTERILER!$T$7:$T$106,0)),IFERROR(INDEX(MUSTERILER!$B$7:$B$106,MATCH($D274,MUSTERILER!$B$7:$B$106,0)),IFERROR(INDEX(MUSTERILER!$B$7:$B$106,MATCH($R274&amp;"*",MUSTERILER!$T$7:$T$106,0)),"TANIMSIZ MÜŞTERİ"))))</f>
        <v/>
      </c>
      <c r="D274" s="109" t="inlineStr">
        <is>
          <t>Rix Şow Ltd.Şti.</t>
        </is>
      </c>
      <c r="E274" s="220" t="n">
        <v>46144</v>
      </c>
      <c r="F274" s="221" t="n">
        <v>3000</v>
      </c>
      <c r="G274" s="108" t="inlineStr">
        <is>
          <t>MERKEZ KASA</t>
        </is>
      </c>
      <c r="H274" s="108" t="inlineStr">
        <is>
          <t>Nakit</t>
        </is>
      </c>
      <c r="I274" s="109" t="n"/>
      <c r="J274" s="109" t="inlineStr">
        <is>
          <t>NAKİT ÖDENEN</t>
        </is>
      </c>
      <c r="K274" s="109" t="n"/>
      <c r="L274" s="226">
        <f>IF($E274="","",DATE(YEAR($E274),MONTH($E274),1))</f>
        <v/>
      </c>
      <c r="M274" s="113">
        <f>IF($D274="","",IF($C274="TANIMSIZ MÜŞTERİ","HATA",IF(OR($E274="",$F274&lt;=0,$G274=""),"EKSİK",IF($E274&gt;TODAY(),"İLERİ TARİH",IF(COUNTIF($S$7:$S$1506,$S274)&gt;1,"MÜKERRER?",IF($T274&gt;0,"KAPALI DÖNEM","UYGUN"))))))</f>
        <v/>
      </c>
      <c r="N274" s="121">
        <f>IF($C274="","",IF($C274="TANIMSIZ MÜŞTERİ","—",INDEX(MUSTERILER!$C$7:$C$106,MATCH($C274,MUSTERILER!$B$7:$B$106,0))))</f>
        <v/>
      </c>
      <c r="O274" s="6" t="n"/>
      <c r="P274" s="6" t="n"/>
      <c r="Q274" s="3">
        <f>IF($D274="","",$C274&amp;"|"&amp;COUNTIFS($C$7:$C274,$C274))</f>
        <v/>
      </c>
      <c r="R274" s="3">
        <f>IF($D274="","",UPPER(SUBSTITUTE(SUBSTITUTE(SUBSTITUTE(SUBSTITUTE(SUBSTITUTE(SUBSTITUTE(SUBSTITUTE(SUBSTITUTE(SUBSTITUTE(SUBSTITUTE(SUBSTITUTE(SUBSTITUTE(SUBSTITUTE(SUBSTITUTE(SUBSTITUTE(SUBSTITUTE(SUBSTITUTE(SUBSTITUTE(TRIM($D274),"'",""),"İ","I"),"ı","I"),"i","I"),"Ş","S"),"ş","S"),"Ğ","G"),"ğ","G"),"Ü","U"),"ü","U"),"Ö","O"),"ö","O"),"Ç","C"),"ç","C"),".",""),",","")," ",""),"-","")))</f>
        <v/>
      </c>
      <c r="S274" s="3">
        <f>IF($D274="","",$C274&amp;"|"&amp;TEXT($E274,"0")&amp;"|"&amp;TEXT($F274,"0")&amp;"|"&amp;$I274)</f>
        <v/>
      </c>
      <c r="T274" s="3">
        <f>IF($E274="",0,SUMPRODUCT((AY_SONU!$O$7:$O$42="Evet")*(AY_SONU!$B$7:$B$42=DATE(YEAR($E274),MONTH($E274),1))))</f>
        <v/>
      </c>
    </row>
    <row r="275">
      <c r="A275" s="6" t="n"/>
      <c r="B275" s="113">
        <f>IF($D275="","","T"&amp;TEXT(ROW()-6,"00000"))</f>
        <v/>
      </c>
      <c r="C275" s="113">
        <f>IF($D275="","",IFERROR(INDEX(MUSTERILER!$B$7:$B$106,MATCH($R275,MUSTERILER!$T$7:$T$106,0)),IFERROR(INDEX(MUSTERILER!$B$7:$B$106,MATCH($D275,MUSTERILER!$B$7:$B$106,0)),IFERROR(INDEX(MUSTERILER!$B$7:$B$106,MATCH($R275&amp;"*",MUSTERILER!$T$7:$T$106,0)),"TANIMSIZ MÜŞTERİ"))))</f>
        <v/>
      </c>
      <c r="D275" s="109" t="inlineStr">
        <is>
          <t>Zümrüt Grup Ltd.Şti.</t>
        </is>
      </c>
      <c r="E275" s="220" t="n">
        <v>46144</v>
      </c>
      <c r="F275" s="221" t="n">
        <v>1750</v>
      </c>
      <c r="G275" s="108" t="inlineStr">
        <is>
          <t>MERKEZ KASA</t>
        </is>
      </c>
      <c r="H275" s="108" t="inlineStr">
        <is>
          <t>Nakit</t>
        </is>
      </c>
      <c r="I275" s="109" t="n"/>
      <c r="J275" s="109" t="inlineStr">
        <is>
          <t>NAKİT ÖDENEN</t>
        </is>
      </c>
      <c r="K275" s="109" t="n"/>
      <c r="L275" s="226">
        <f>IF($E275="","",DATE(YEAR($E275),MONTH($E275),1))</f>
        <v/>
      </c>
      <c r="M275" s="113">
        <f>IF($D275="","",IF($C275="TANIMSIZ MÜŞTERİ","HATA",IF(OR($E275="",$F275&lt;=0,$G275=""),"EKSİK",IF($E275&gt;TODAY(),"İLERİ TARİH",IF(COUNTIF($S$7:$S$1506,$S275)&gt;1,"MÜKERRER?",IF($T275&gt;0,"KAPALI DÖNEM","UYGUN"))))))</f>
        <v/>
      </c>
      <c r="N275" s="121">
        <f>IF($C275="","",IF($C275="TANIMSIZ MÜŞTERİ","—",INDEX(MUSTERILER!$C$7:$C$106,MATCH($C275,MUSTERILER!$B$7:$B$106,0))))</f>
        <v/>
      </c>
      <c r="O275" s="6" t="n"/>
      <c r="P275" s="6" t="n"/>
      <c r="Q275" s="3">
        <f>IF($D275="","",$C275&amp;"|"&amp;COUNTIFS($C$7:$C275,$C275))</f>
        <v/>
      </c>
      <c r="R275" s="3">
        <f>IF($D275="","",UPPER(SUBSTITUTE(SUBSTITUTE(SUBSTITUTE(SUBSTITUTE(SUBSTITUTE(SUBSTITUTE(SUBSTITUTE(SUBSTITUTE(SUBSTITUTE(SUBSTITUTE(SUBSTITUTE(SUBSTITUTE(SUBSTITUTE(SUBSTITUTE(SUBSTITUTE(SUBSTITUTE(SUBSTITUTE(SUBSTITUTE(TRIM($D275),"'",""),"İ","I"),"ı","I"),"i","I"),"Ş","S"),"ş","S"),"Ğ","G"),"ğ","G"),"Ü","U"),"ü","U"),"Ö","O"),"ö","O"),"Ç","C"),"ç","C"),".",""),",","")," ",""),"-","")))</f>
        <v/>
      </c>
      <c r="S275" s="3">
        <f>IF($D275="","",$C275&amp;"|"&amp;TEXT($E275,"0")&amp;"|"&amp;TEXT($F275,"0")&amp;"|"&amp;$I275)</f>
        <v/>
      </c>
      <c r="T275" s="3">
        <f>IF($E275="",0,SUMPRODUCT((AY_SONU!$O$7:$O$42="Evet")*(AY_SONU!$B$7:$B$42=DATE(YEAR($E275),MONTH($E275),1))))</f>
        <v/>
      </c>
    </row>
    <row r="276">
      <c r="A276" s="6" t="n"/>
      <c r="B276" s="113">
        <f>IF($D276="","","T"&amp;TEXT(ROW()-6,"00000"))</f>
        <v/>
      </c>
      <c r="C276" s="113">
        <f>IF($D276="","",IFERROR(INDEX(MUSTERILER!$B$7:$B$106,MATCH($R276,MUSTERILER!$T$7:$T$106,0)),IFERROR(INDEX(MUSTERILER!$B$7:$B$106,MATCH($D276,MUSTERILER!$B$7:$B$106,0)),IFERROR(INDEX(MUSTERILER!$B$7:$B$106,MATCH($R276&amp;"*",MUSTERILER!$T$7:$T$106,0)),"TANIMSIZ MÜŞTERİ"))))</f>
        <v/>
      </c>
      <c r="D276" s="109" t="inlineStr">
        <is>
          <t>ÇINARHAN LTD.ŞTİ.</t>
        </is>
      </c>
      <c r="E276" s="220" t="n">
        <v>46144</v>
      </c>
      <c r="F276" s="221" t="n">
        <v>2500</v>
      </c>
      <c r="G276" s="108" t="inlineStr">
        <is>
          <t>MERKEZ KASA</t>
        </is>
      </c>
      <c r="H276" s="108" t="inlineStr">
        <is>
          <t>Nakit</t>
        </is>
      </c>
      <c r="I276" s="109" t="n"/>
      <c r="J276" s="109" t="inlineStr">
        <is>
          <t>NAKİT ÖDENEN</t>
        </is>
      </c>
      <c r="K276" s="109" t="n"/>
      <c r="L276" s="226">
        <f>IF($E276="","",DATE(YEAR($E276),MONTH($E276),1))</f>
        <v/>
      </c>
      <c r="M276" s="113">
        <f>IF($D276="","",IF($C276="TANIMSIZ MÜŞTERİ","HATA",IF(OR($E276="",$F276&lt;=0,$G276=""),"EKSİK",IF($E276&gt;TODAY(),"İLERİ TARİH",IF(COUNTIF($S$7:$S$1506,$S276)&gt;1,"MÜKERRER?",IF($T276&gt;0,"KAPALI DÖNEM","UYGUN"))))))</f>
        <v/>
      </c>
      <c r="N276" s="121">
        <f>IF($C276="","",IF($C276="TANIMSIZ MÜŞTERİ","—",INDEX(MUSTERILER!$C$7:$C$106,MATCH($C276,MUSTERILER!$B$7:$B$106,0))))</f>
        <v/>
      </c>
      <c r="O276" s="6" t="n"/>
      <c r="P276" s="6" t="n"/>
      <c r="Q276" s="3">
        <f>IF($D276="","",$C276&amp;"|"&amp;COUNTIFS($C$7:$C276,$C276))</f>
        <v/>
      </c>
      <c r="R276" s="3">
        <f>IF($D276="","",UPPER(SUBSTITUTE(SUBSTITUTE(SUBSTITUTE(SUBSTITUTE(SUBSTITUTE(SUBSTITUTE(SUBSTITUTE(SUBSTITUTE(SUBSTITUTE(SUBSTITUTE(SUBSTITUTE(SUBSTITUTE(SUBSTITUTE(SUBSTITUTE(SUBSTITUTE(SUBSTITUTE(SUBSTITUTE(SUBSTITUTE(TRIM($D276),"'",""),"İ","I"),"ı","I"),"i","I"),"Ş","S"),"ş","S"),"Ğ","G"),"ğ","G"),"Ü","U"),"ü","U"),"Ö","O"),"ö","O"),"Ç","C"),"ç","C"),".",""),",","")," ",""),"-","")))</f>
        <v/>
      </c>
      <c r="S276" s="3">
        <f>IF($D276="","",$C276&amp;"|"&amp;TEXT($E276,"0")&amp;"|"&amp;TEXT($F276,"0")&amp;"|"&amp;$I276)</f>
        <v/>
      </c>
      <c r="T276" s="3">
        <f>IF($E276="",0,SUMPRODUCT((AY_SONU!$O$7:$O$42="Evet")*(AY_SONU!$B$7:$B$42=DATE(YEAR($E276),MONTH($E276),1))))</f>
        <v/>
      </c>
    </row>
    <row r="277">
      <c r="A277" s="6" t="n"/>
      <c r="B277" s="113">
        <f>IF($D277="","","T"&amp;TEXT(ROW()-6,"00000"))</f>
        <v/>
      </c>
      <c r="C277" s="113">
        <f>IF($D277="","",IFERROR(INDEX(MUSTERILER!$B$7:$B$106,MATCH($R277,MUSTERILER!$T$7:$T$106,0)),IFERROR(INDEX(MUSTERILER!$B$7:$B$106,MATCH($D277,MUSTERILER!$B$7:$B$106,0)),IFERROR(INDEX(MUSTERILER!$B$7:$B$106,MATCH($R277&amp;"*",MUSTERILER!$T$7:$T$106,0)),"TANIMSIZ MÜŞTERİ"))))</f>
        <v/>
      </c>
      <c r="D277" s="109" t="inlineStr">
        <is>
          <t>İSA DEMİRCİ</t>
        </is>
      </c>
      <c r="E277" s="220" t="n">
        <v>46144</v>
      </c>
      <c r="F277" s="221" t="n">
        <v>3500</v>
      </c>
      <c r="G277" s="108" t="inlineStr">
        <is>
          <t>MERKEZ KASA</t>
        </is>
      </c>
      <c r="H277" s="108" t="inlineStr">
        <is>
          <t>Nakit</t>
        </is>
      </c>
      <c r="I277" s="109" t="n"/>
      <c r="J277" s="109" t="inlineStr">
        <is>
          <t>NAKİT ÖDENEN</t>
        </is>
      </c>
      <c r="K277" s="109" t="n"/>
      <c r="L277" s="226">
        <f>IF($E277="","",DATE(YEAR($E277),MONTH($E277),1))</f>
        <v/>
      </c>
      <c r="M277" s="113">
        <f>IF($D277="","",IF($C277="TANIMSIZ MÜŞTERİ","HATA",IF(OR($E277="",$F277&lt;=0,$G277=""),"EKSİK",IF($E277&gt;TODAY(),"İLERİ TARİH",IF(COUNTIF($S$7:$S$1506,$S277)&gt;1,"MÜKERRER?",IF($T277&gt;0,"KAPALI DÖNEM","UYGUN"))))))</f>
        <v/>
      </c>
      <c r="N277" s="121">
        <f>IF($C277="","",IF($C277="TANIMSIZ MÜŞTERİ","—",INDEX(MUSTERILER!$C$7:$C$106,MATCH($C277,MUSTERILER!$B$7:$B$106,0))))</f>
        <v/>
      </c>
      <c r="O277" s="6" t="n"/>
      <c r="P277" s="6" t="n"/>
      <c r="Q277" s="3">
        <f>IF($D277="","",$C277&amp;"|"&amp;COUNTIFS($C$7:$C277,$C277))</f>
        <v/>
      </c>
      <c r="R277" s="3">
        <f>IF($D277="","",UPPER(SUBSTITUTE(SUBSTITUTE(SUBSTITUTE(SUBSTITUTE(SUBSTITUTE(SUBSTITUTE(SUBSTITUTE(SUBSTITUTE(SUBSTITUTE(SUBSTITUTE(SUBSTITUTE(SUBSTITUTE(SUBSTITUTE(SUBSTITUTE(SUBSTITUTE(SUBSTITUTE(SUBSTITUTE(SUBSTITUTE(TRIM($D277),"'",""),"İ","I"),"ı","I"),"i","I"),"Ş","S"),"ş","S"),"Ğ","G"),"ğ","G"),"Ü","U"),"ü","U"),"Ö","O"),"ö","O"),"Ç","C"),"ç","C"),".",""),",","")," ",""),"-","")))</f>
        <v/>
      </c>
      <c r="S277" s="3">
        <f>IF($D277="","",$C277&amp;"|"&amp;TEXT($E277,"0")&amp;"|"&amp;TEXT($F277,"0")&amp;"|"&amp;$I277)</f>
        <v/>
      </c>
      <c r="T277" s="3">
        <f>IF($E277="",0,SUMPRODUCT((AY_SONU!$O$7:$O$42="Evet")*(AY_SONU!$B$7:$B$42=DATE(YEAR($E277),MONTH($E277),1))))</f>
        <v/>
      </c>
    </row>
    <row r="278">
      <c r="A278" s="6" t="n"/>
      <c r="B278" s="113">
        <f>IF($D278="","","T"&amp;TEXT(ROW()-6,"00000"))</f>
        <v/>
      </c>
      <c r="C278" s="113">
        <f>IF($D278="","",IFERROR(INDEX(MUSTERILER!$B$7:$B$106,MATCH($R278,MUSTERILER!$T$7:$T$106,0)),IFERROR(INDEX(MUSTERILER!$B$7:$B$106,MATCH($D278,MUSTERILER!$B$7:$B$106,0)),IFERROR(INDEX(MUSTERILER!$B$7:$B$106,MATCH($R278&amp;"*",MUSTERILER!$T$7:$T$106,0)),"TANIMSIZ MÜŞTERİ"))))</f>
        <v/>
      </c>
      <c r="D278" s="109" t="inlineStr">
        <is>
          <t>KRİSTAL LTD.ŞTİ.</t>
        </is>
      </c>
      <c r="E278" s="220" t="n">
        <v>46144</v>
      </c>
      <c r="F278" s="221" t="n">
        <v>3000</v>
      </c>
      <c r="G278" s="108" t="inlineStr">
        <is>
          <t>MERKEZ KASA</t>
        </is>
      </c>
      <c r="H278" s="108" t="inlineStr">
        <is>
          <t>Nakit</t>
        </is>
      </c>
      <c r="I278" s="109" t="n"/>
      <c r="J278" s="109" t="inlineStr">
        <is>
          <t>NAKİT ÖDENEN</t>
        </is>
      </c>
      <c r="K278" s="109" t="n"/>
      <c r="L278" s="226">
        <f>IF($E278="","",DATE(YEAR($E278),MONTH($E278),1))</f>
        <v/>
      </c>
      <c r="M278" s="113">
        <f>IF($D278="","",IF($C278="TANIMSIZ MÜŞTERİ","HATA",IF(OR($E278="",$F278&lt;=0,$G278=""),"EKSİK",IF($E278&gt;TODAY(),"İLERİ TARİH",IF(COUNTIF($S$7:$S$1506,$S278)&gt;1,"MÜKERRER?",IF($T278&gt;0,"KAPALI DÖNEM","UYGUN"))))))</f>
        <v/>
      </c>
      <c r="N278" s="121">
        <f>IF($C278="","",IF($C278="TANIMSIZ MÜŞTERİ","—",INDEX(MUSTERILER!$C$7:$C$106,MATCH($C278,MUSTERILER!$B$7:$B$106,0))))</f>
        <v/>
      </c>
      <c r="O278" s="6" t="n"/>
      <c r="P278" s="6" t="n"/>
      <c r="Q278" s="3">
        <f>IF($D278="","",$C278&amp;"|"&amp;COUNTIFS($C$7:$C278,$C278))</f>
        <v/>
      </c>
      <c r="R278" s="3">
        <f>IF($D278="","",UPPER(SUBSTITUTE(SUBSTITUTE(SUBSTITUTE(SUBSTITUTE(SUBSTITUTE(SUBSTITUTE(SUBSTITUTE(SUBSTITUTE(SUBSTITUTE(SUBSTITUTE(SUBSTITUTE(SUBSTITUTE(SUBSTITUTE(SUBSTITUTE(SUBSTITUTE(SUBSTITUTE(SUBSTITUTE(SUBSTITUTE(TRIM($D278),"'",""),"İ","I"),"ı","I"),"i","I"),"Ş","S"),"ş","S"),"Ğ","G"),"ğ","G"),"Ü","U"),"ü","U"),"Ö","O"),"ö","O"),"Ç","C"),"ç","C"),".",""),",","")," ",""),"-","")))</f>
        <v/>
      </c>
      <c r="S278" s="3">
        <f>IF($D278="","",$C278&amp;"|"&amp;TEXT($E278,"0")&amp;"|"&amp;TEXT($F278,"0")&amp;"|"&amp;$I278)</f>
        <v/>
      </c>
      <c r="T278" s="3">
        <f>IF($E278="",0,SUMPRODUCT((AY_SONU!$O$7:$O$42="Evet")*(AY_SONU!$B$7:$B$42=DATE(YEAR($E278),MONTH($E278),1))))</f>
        <v/>
      </c>
    </row>
    <row r="279">
      <c r="A279" s="6" t="n"/>
      <c r="B279" s="113">
        <f>IF($D279="","","T"&amp;TEXT(ROW()-6,"00000"))</f>
        <v/>
      </c>
      <c r="C279" s="113">
        <f>IF($D279="","",IFERROR(INDEX(MUSTERILER!$B$7:$B$106,MATCH($R279,MUSTERILER!$T$7:$T$106,0)),IFERROR(INDEX(MUSTERILER!$B$7:$B$106,MATCH($D279,MUSTERILER!$B$7:$B$106,0)),IFERROR(INDEX(MUSTERILER!$B$7:$B$106,MATCH($R279&amp;"*",MUSTERILER!$T$7:$T$106,0)),"TANIMSIZ MÜŞTERİ"))))</f>
        <v/>
      </c>
      <c r="D279" s="109" t="inlineStr">
        <is>
          <t>PALAOĞULLARI LTD.ŞTİ.</t>
        </is>
      </c>
      <c r="E279" s="220" t="n">
        <v>46144</v>
      </c>
      <c r="F279" s="221" t="n">
        <v>4000</v>
      </c>
      <c r="G279" s="108" t="inlineStr">
        <is>
          <t>MERKEZ KASA</t>
        </is>
      </c>
      <c r="H279" s="108" t="inlineStr">
        <is>
          <t>Nakit</t>
        </is>
      </c>
      <c r="I279" s="109" t="n"/>
      <c r="J279" s="109" t="inlineStr">
        <is>
          <t>NAKİT ÖDENEN</t>
        </is>
      </c>
      <c r="K279" s="109" t="n"/>
      <c r="L279" s="226">
        <f>IF($E279="","",DATE(YEAR($E279),MONTH($E279),1))</f>
        <v/>
      </c>
      <c r="M279" s="113">
        <f>IF($D279="","",IF($C279="TANIMSIZ MÜŞTERİ","HATA",IF(OR($E279="",$F279&lt;=0,$G279=""),"EKSİK",IF($E279&gt;TODAY(),"İLERİ TARİH",IF(COUNTIF($S$7:$S$1506,$S279)&gt;1,"MÜKERRER?",IF($T279&gt;0,"KAPALI DÖNEM","UYGUN"))))))</f>
        <v/>
      </c>
      <c r="N279" s="121">
        <f>IF($C279="","",IF($C279="TANIMSIZ MÜŞTERİ","—",INDEX(MUSTERILER!$C$7:$C$106,MATCH($C279,MUSTERILER!$B$7:$B$106,0))))</f>
        <v/>
      </c>
      <c r="O279" s="6" t="n"/>
      <c r="P279" s="6" t="n"/>
      <c r="Q279" s="3">
        <f>IF($D279="","",$C279&amp;"|"&amp;COUNTIFS($C$7:$C279,$C279))</f>
        <v/>
      </c>
      <c r="R279" s="3">
        <f>IF($D279="","",UPPER(SUBSTITUTE(SUBSTITUTE(SUBSTITUTE(SUBSTITUTE(SUBSTITUTE(SUBSTITUTE(SUBSTITUTE(SUBSTITUTE(SUBSTITUTE(SUBSTITUTE(SUBSTITUTE(SUBSTITUTE(SUBSTITUTE(SUBSTITUTE(SUBSTITUTE(SUBSTITUTE(SUBSTITUTE(SUBSTITUTE(TRIM($D279),"'",""),"İ","I"),"ı","I"),"i","I"),"Ş","S"),"ş","S"),"Ğ","G"),"ğ","G"),"Ü","U"),"ü","U"),"Ö","O"),"ö","O"),"Ç","C"),"ç","C"),".",""),",","")," ",""),"-","")))</f>
        <v/>
      </c>
      <c r="S279" s="3">
        <f>IF($D279="","",$C279&amp;"|"&amp;TEXT($E279,"0")&amp;"|"&amp;TEXT($F279,"0")&amp;"|"&amp;$I279)</f>
        <v/>
      </c>
      <c r="T279" s="3">
        <f>IF($E279="",0,SUMPRODUCT((AY_SONU!$O$7:$O$42="Evet")*(AY_SONU!$B$7:$B$42=DATE(YEAR($E279),MONTH($E279),1))))</f>
        <v/>
      </c>
    </row>
    <row r="280">
      <c r="A280" s="6" t="n"/>
      <c r="B280" s="113">
        <f>IF($D280="","","T"&amp;TEXT(ROW()-6,"00000"))</f>
        <v/>
      </c>
      <c r="C280" s="113">
        <f>IF($D280="","",IFERROR(INDEX(MUSTERILER!$B$7:$B$106,MATCH($R280,MUSTERILER!$T$7:$T$106,0)),IFERROR(INDEX(MUSTERILER!$B$7:$B$106,MATCH($D280,MUSTERILER!$B$7:$B$106,0)),IFERROR(INDEX(MUSTERILER!$B$7:$B$106,MATCH($R280&amp;"*",MUSTERILER!$T$7:$T$106,0)),"TANIMSIZ MÜŞTERİ"))))</f>
        <v/>
      </c>
      <c r="D280" s="109" t="inlineStr">
        <is>
          <t>YALIKENT LTD.ŞTİ.</t>
        </is>
      </c>
      <c r="E280" s="220" t="n">
        <v>46144</v>
      </c>
      <c r="F280" s="221" t="n">
        <v>4000</v>
      </c>
      <c r="G280" s="108" t="inlineStr">
        <is>
          <t>MERKEZ KASA</t>
        </is>
      </c>
      <c r="H280" s="108" t="inlineStr">
        <is>
          <t>Nakit</t>
        </is>
      </c>
      <c r="I280" s="109" t="n"/>
      <c r="J280" s="109" t="inlineStr">
        <is>
          <t>NAKİT ÖDENEN</t>
        </is>
      </c>
      <c r="K280" s="109" t="n"/>
      <c r="L280" s="226">
        <f>IF($E280="","",DATE(YEAR($E280),MONTH($E280),1))</f>
        <v/>
      </c>
      <c r="M280" s="113">
        <f>IF($D280="","",IF($C280="TANIMSIZ MÜŞTERİ","HATA",IF(OR($E280="",$F280&lt;=0,$G280=""),"EKSİK",IF($E280&gt;TODAY(),"İLERİ TARİH",IF(COUNTIF($S$7:$S$1506,$S280)&gt;1,"MÜKERRER?",IF($T280&gt;0,"KAPALI DÖNEM","UYGUN"))))))</f>
        <v/>
      </c>
      <c r="N280" s="121">
        <f>IF($C280="","",IF($C280="TANIMSIZ MÜŞTERİ","—",INDEX(MUSTERILER!$C$7:$C$106,MATCH($C280,MUSTERILER!$B$7:$B$106,0))))</f>
        <v/>
      </c>
      <c r="O280" s="6" t="n"/>
      <c r="P280" s="6" t="n"/>
      <c r="Q280" s="3">
        <f>IF($D280="","",$C280&amp;"|"&amp;COUNTIFS($C$7:$C280,$C280))</f>
        <v/>
      </c>
      <c r="R280" s="3">
        <f>IF($D280="","",UPPER(SUBSTITUTE(SUBSTITUTE(SUBSTITUTE(SUBSTITUTE(SUBSTITUTE(SUBSTITUTE(SUBSTITUTE(SUBSTITUTE(SUBSTITUTE(SUBSTITUTE(SUBSTITUTE(SUBSTITUTE(SUBSTITUTE(SUBSTITUTE(SUBSTITUTE(SUBSTITUTE(SUBSTITUTE(SUBSTITUTE(TRIM($D280),"'",""),"İ","I"),"ı","I"),"i","I"),"Ş","S"),"ş","S"),"Ğ","G"),"ğ","G"),"Ü","U"),"ü","U"),"Ö","O"),"ö","O"),"Ç","C"),"ç","C"),".",""),",","")," ",""),"-","")))</f>
        <v/>
      </c>
      <c r="S280" s="3">
        <f>IF($D280="","",$C280&amp;"|"&amp;TEXT($E280,"0")&amp;"|"&amp;TEXT($F280,"0")&amp;"|"&amp;$I280)</f>
        <v/>
      </c>
      <c r="T280" s="3">
        <f>IF($E280="",0,SUMPRODUCT((AY_SONU!$O$7:$O$42="Evet")*(AY_SONU!$B$7:$B$42=DATE(YEAR($E280),MONTH($E280),1))))</f>
        <v/>
      </c>
    </row>
    <row r="281">
      <c r="A281" s="6" t="n"/>
      <c r="B281" s="113">
        <f>IF($D281="","","T"&amp;TEXT(ROW()-6,"00000"))</f>
        <v/>
      </c>
      <c r="C281" s="113">
        <f>IF($D281="","",IFERROR(INDEX(MUSTERILER!$B$7:$B$106,MATCH($R281,MUSTERILER!$T$7:$T$106,0)),IFERROR(INDEX(MUSTERILER!$B$7:$B$106,MATCH($D281,MUSTERILER!$B$7:$B$106,0)),IFERROR(INDEX(MUSTERILER!$B$7:$B$106,MATCH($R281&amp;"*",MUSTERILER!$T$7:$T$106,0)),"TANIMSIZ MÜŞTERİ"))))</f>
        <v/>
      </c>
      <c r="D281" s="109" t="inlineStr">
        <is>
          <t>VOLKAN AÇIK</t>
        </is>
      </c>
      <c r="E281" s="220" t="n">
        <v>46146</v>
      </c>
      <c r="F281" s="221" t="n">
        <v>5000</v>
      </c>
      <c r="G281" s="108" t="inlineStr">
        <is>
          <t>MERKEZ KASA</t>
        </is>
      </c>
      <c r="H281" s="108" t="inlineStr">
        <is>
          <t>Nakit</t>
        </is>
      </c>
      <c r="I281" s="109" t="n"/>
      <c r="J281" s="109" t="inlineStr">
        <is>
          <t>ALI KILIC ZIRAATBANK HAVALE</t>
        </is>
      </c>
      <c r="K281" s="109" t="n"/>
      <c r="L281" s="226">
        <f>IF($E281="","",DATE(YEAR($E281),MONTH($E281),1))</f>
        <v/>
      </c>
      <c r="M281" s="113">
        <f>IF($D281="","",IF($C281="TANIMSIZ MÜŞTERİ","HATA",IF(OR($E281="",$F281&lt;=0,$G281=""),"EKSİK",IF($E281&gt;TODAY(),"İLERİ TARİH",IF(COUNTIF($S$7:$S$1506,$S281)&gt;1,"MÜKERRER?",IF($T281&gt;0,"KAPALI DÖNEM","UYGUN"))))))</f>
        <v/>
      </c>
      <c r="N281" s="121">
        <f>IF($C281="","",IF($C281="TANIMSIZ MÜŞTERİ","—",INDEX(MUSTERILER!$C$7:$C$106,MATCH($C281,MUSTERILER!$B$7:$B$106,0))))</f>
        <v/>
      </c>
      <c r="O281" s="6" t="n"/>
      <c r="P281" s="6" t="n"/>
      <c r="Q281" s="3">
        <f>IF($D281="","",$C281&amp;"|"&amp;COUNTIFS($C$7:$C281,$C281))</f>
        <v/>
      </c>
      <c r="R281" s="3">
        <f>IF($D281="","",UPPER(SUBSTITUTE(SUBSTITUTE(SUBSTITUTE(SUBSTITUTE(SUBSTITUTE(SUBSTITUTE(SUBSTITUTE(SUBSTITUTE(SUBSTITUTE(SUBSTITUTE(SUBSTITUTE(SUBSTITUTE(SUBSTITUTE(SUBSTITUTE(SUBSTITUTE(SUBSTITUTE(SUBSTITUTE(SUBSTITUTE(TRIM($D281),"'",""),"İ","I"),"ı","I"),"i","I"),"Ş","S"),"ş","S"),"Ğ","G"),"ğ","G"),"Ü","U"),"ü","U"),"Ö","O"),"ö","O"),"Ç","C"),"ç","C"),".",""),",","")," ",""),"-","")))</f>
        <v/>
      </c>
      <c r="S281" s="3">
        <f>IF($D281="","",$C281&amp;"|"&amp;TEXT($E281,"0")&amp;"|"&amp;TEXT($F281,"0")&amp;"|"&amp;$I281)</f>
        <v/>
      </c>
      <c r="T281" s="3">
        <f>IF($E281="",0,SUMPRODUCT((AY_SONU!$O$7:$O$42="Evet")*(AY_SONU!$B$7:$B$42=DATE(YEAR($E281),MONTH($E281),1))))</f>
        <v/>
      </c>
    </row>
    <row r="282">
      <c r="A282" s="6" t="n"/>
      <c r="B282" s="113">
        <f>IF($D282="","","T"&amp;TEXT(ROW()-6,"00000"))</f>
        <v/>
      </c>
      <c r="C282" s="113">
        <f>IF($D282="","",IFERROR(INDEX(MUSTERILER!$B$7:$B$106,MATCH($R282,MUSTERILER!$T$7:$T$106,0)),IFERROR(INDEX(MUSTERILER!$B$7:$B$106,MATCH($D282,MUSTERILER!$B$7:$B$106,0)),IFERROR(INDEX(MUSTERILER!$B$7:$B$106,MATCH($R282&amp;"*",MUSTERILER!$T$7:$T$106,0)),"TANIMSIZ MÜŞTERİ"))))</f>
        <v/>
      </c>
      <c r="D282" s="109" t="inlineStr">
        <is>
          <t>Ankara Havana Ltd.Şti.</t>
        </is>
      </c>
      <c r="E282" s="220" t="n">
        <v>46151</v>
      </c>
      <c r="F282" s="221" t="n">
        <v>14000</v>
      </c>
      <c r="G282" s="108" t="inlineStr">
        <is>
          <t>MERKEZ KASA</t>
        </is>
      </c>
      <c r="H282" s="108" t="inlineStr">
        <is>
          <t>Nakit</t>
        </is>
      </c>
      <c r="I282" s="109" t="n"/>
      <c r="J282" s="109" t="inlineStr">
        <is>
          <t>NAKİT ÖDENEN</t>
        </is>
      </c>
      <c r="K282" s="109" t="n"/>
      <c r="L282" s="226">
        <f>IF($E282="","",DATE(YEAR($E282),MONTH($E282),1))</f>
        <v/>
      </c>
      <c r="M282" s="113">
        <f>IF($D282="","",IF($C282="TANIMSIZ MÜŞTERİ","HATA",IF(OR($E282="",$F282&lt;=0,$G282=""),"EKSİK",IF($E282&gt;TODAY(),"İLERİ TARİH",IF(COUNTIF($S$7:$S$1506,$S282)&gt;1,"MÜKERRER?",IF($T282&gt;0,"KAPALI DÖNEM","UYGUN"))))))</f>
        <v/>
      </c>
      <c r="N282" s="121">
        <f>IF($C282="","",IF($C282="TANIMSIZ MÜŞTERİ","—",INDEX(MUSTERILER!$C$7:$C$106,MATCH($C282,MUSTERILER!$B$7:$B$106,0))))</f>
        <v/>
      </c>
      <c r="O282" s="6" t="n"/>
      <c r="P282" s="6" t="n"/>
      <c r="Q282" s="3">
        <f>IF($D282="","",$C282&amp;"|"&amp;COUNTIFS($C$7:$C282,$C282))</f>
        <v/>
      </c>
      <c r="R282" s="3">
        <f>IF($D282="","",UPPER(SUBSTITUTE(SUBSTITUTE(SUBSTITUTE(SUBSTITUTE(SUBSTITUTE(SUBSTITUTE(SUBSTITUTE(SUBSTITUTE(SUBSTITUTE(SUBSTITUTE(SUBSTITUTE(SUBSTITUTE(SUBSTITUTE(SUBSTITUTE(SUBSTITUTE(SUBSTITUTE(SUBSTITUTE(SUBSTITUTE(TRIM($D282),"'",""),"İ","I"),"ı","I"),"i","I"),"Ş","S"),"ş","S"),"Ğ","G"),"ğ","G"),"Ü","U"),"ü","U"),"Ö","O"),"ö","O"),"Ç","C"),"ç","C"),".",""),",","")," ",""),"-","")))</f>
        <v/>
      </c>
      <c r="S282" s="3">
        <f>IF($D282="","",$C282&amp;"|"&amp;TEXT($E282,"0")&amp;"|"&amp;TEXT($F282,"0")&amp;"|"&amp;$I282)</f>
        <v/>
      </c>
      <c r="T282" s="3">
        <f>IF($E282="",0,SUMPRODUCT((AY_SONU!$O$7:$O$42="Evet")*(AY_SONU!$B$7:$B$42=DATE(YEAR($E282),MONTH($E282),1))))</f>
        <v/>
      </c>
    </row>
    <row r="283">
      <c r="A283" s="6" t="n"/>
      <c r="B283" s="113">
        <f>IF($D283="","","T"&amp;TEXT(ROW()-6,"00000"))</f>
        <v/>
      </c>
      <c r="C283" s="113">
        <f>IF($D283="","",IFERROR(INDEX(MUSTERILER!$B$7:$B$106,MATCH($R283,MUSTERILER!$T$7:$T$106,0)),IFERROR(INDEX(MUSTERILER!$B$7:$B$106,MATCH($D283,MUSTERILER!$B$7:$B$106,0)),IFERROR(INDEX(MUSTERILER!$B$7:$B$106,MATCH($R283&amp;"*",MUSTERILER!$T$7:$T$106,0)),"TANIMSIZ MÜŞTERİ"))))</f>
        <v/>
      </c>
      <c r="D283" s="109" t="inlineStr">
        <is>
          <t>ASIM AÇIKGÖZ</t>
        </is>
      </c>
      <c r="E283" s="220" t="n">
        <v>46151</v>
      </c>
      <c r="F283" s="221" t="n">
        <v>2000</v>
      </c>
      <c r="G283" s="108" t="inlineStr">
        <is>
          <t>MERKEZ KASA</t>
        </is>
      </c>
      <c r="H283" s="108" t="inlineStr">
        <is>
          <t>Nakit</t>
        </is>
      </c>
      <c r="I283" s="109" t="n"/>
      <c r="J283" s="109" t="inlineStr">
        <is>
          <t>NAKİT ÖDENEN</t>
        </is>
      </c>
      <c r="K283" s="109" t="n"/>
      <c r="L283" s="226">
        <f>IF($E283="","",DATE(YEAR($E283),MONTH($E283),1))</f>
        <v/>
      </c>
      <c r="M283" s="113">
        <f>IF($D283="","",IF($C283="TANIMSIZ MÜŞTERİ","HATA",IF(OR($E283="",$F283&lt;=0,$G283=""),"EKSİK",IF($E283&gt;TODAY(),"İLERİ TARİH",IF(COUNTIF($S$7:$S$1506,$S283)&gt;1,"MÜKERRER?",IF($T283&gt;0,"KAPALI DÖNEM","UYGUN"))))))</f>
        <v/>
      </c>
      <c r="N283" s="121">
        <f>IF($C283="","",IF($C283="TANIMSIZ MÜŞTERİ","—",INDEX(MUSTERILER!$C$7:$C$106,MATCH($C283,MUSTERILER!$B$7:$B$106,0))))</f>
        <v/>
      </c>
      <c r="O283" s="6" t="n"/>
      <c r="P283" s="6" t="n"/>
      <c r="Q283" s="3">
        <f>IF($D283="","",$C283&amp;"|"&amp;COUNTIFS($C$7:$C283,$C283))</f>
        <v/>
      </c>
      <c r="R283" s="3">
        <f>IF($D283="","",UPPER(SUBSTITUTE(SUBSTITUTE(SUBSTITUTE(SUBSTITUTE(SUBSTITUTE(SUBSTITUTE(SUBSTITUTE(SUBSTITUTE(SUBSTITUTE(SUBSTITUTE(SUBSTITUTE(SUBSTITUTE(SUBSTITUTE(SUBSTITUTE(SUBSTITUTE(SUBSTITUTE(SUBSTITUTE(SUBSTITUTE(TRIM($D283),"'",""),"İ","I"),"ı","I"),"i","I"),"Ş","S"),"ş","S"),"Ğ","G"),"ğ","G"),"Ü","U"),"ü","U"),"Ö","O"),"ö","O"),"Ç","C"),"ç","C"),".",""),",","")," ",""),"-","")))</f>
        <v/>
      </c>
      <c r="S283" s="3">
        <f>IF($D283="","",$C283&amp;"|"&amp;TEXT($E283,"0")&amp;"|"&amp;TEXT($F283,"0")&amp;"|"&amp;$I283)</f>
        <v/>
      </c>
      <c r="T283" s="3">
        <f>IF($E283="",0,SUMPRODUCT((AY_SONU!$O$7:$O$42="Evet")*(AY_SONU!$B$7:$B$42=DATE(YEAR($E283),MONTH($E283),1))))</f>
        <v/>
      </c>
    </row>
    <row r="284">
      <c r="A284" s="6" t="n"/>
      <c r="B284" s="113">
        <f>IF($D284="","","T"&amp;TEXT(ROW()-6,"00000"))</f>
        <v/>
      </c>
      <c r="C284" s="113">
        <f>IF($D284="","",IFERROR(INDEX(MUSTERILER!$B$7:$B$106,MATCH($R284,MUSTERILER!$T$7:$T$106,0)),IFERROR(INDEX(MUSTERILER!$B$7:$B$106,MATCH($D284,MUSTERILER!$B$7:$B$106,0)),IFERROR(INDEX(MUSTERILER!$B$7:$B$106,MATCH($R284&amp;"*",MUSTERILER!$T$7:$T$106,0)),"TANIMSIZ MÜŞTERİ"))))</f>
        <v/>
      </c>
      <c r="D284" s="109" t="inlineStr">
        <is>
          <t>Çayıralan Ltd.Şti.</t>
        </is>
      </c>
      <c r="E284" s="220" t="n">
        <v>46151</v>
      </c>
      <c r="F284" s="221" t="n">
        <v>3000</v>
      </c>
      <c r="G284" s="108" t="inlineStr">
        <is>
          <t>MERKEZ KASA</t>
        </is>
      </c>
      <c r="H284" s="108" t="inlineStr">
        <is>
          <t>Nakit</t>
        </is>
      </c>
      <c r="I284" s="109" t="n"/>
      <c r="J284" s="109" t="inlineStr">
        <is>
          <t>NAKİT ÖDENEN</t>
        </is>
      </c>
      <c r="K284" s="109" t="n"/>
      <c r="L284" s="226">
        <f>IF($E284="","",DATE(YEAR($E284),MONTH($E284),1))</f>
        <v/>
      </c>
      <c r="M284" s="113">
        <f>IF($D284="","",IF($C284="TANIMSIZ MÜŞTERİ","HATA",IF(OR($E284="",$F284&lt;=0,$G284=""),"EKSİK",IF($E284&gt;TODAY(),"İLERİ TARİH",IF(COUNTIF($S$7:$S$1506,$S284)&gt;1,"MÜKERRER?",IF($T284&gt;0,"KAPALI DÖNEM","UYGUN"))))))</f>
        <v/>
      </c>
      <c r="N284" s="121">
        <f>IF($C284="","",IF($C284="TANIMSIZ MÜŞTERİ","—",INDEX(MUSTERILER!$C$7:$C$106,MATCH($C284,MUSTERILER!$B$7:$B$106,0))))</f>
        <v/>
      </c>
      <c r="O284" s="6" t="n"/>
      <c r="P284" s="6" t="n"/>
      <c r="Q284" s="3">
        <f>IF($D284="","",$C284&amp;"|"&amp;COUNTIFS($C$7:$C284,$C284))</f>
        <v/>
      </c>
      <c r="R284" s="3">
        <f>IF($D284="","",UPPER(SUBSTITUTE(SUBSTITUTE(SUBSTITUTE(SUBSTITUTE(SUBSTITUTE(SUBSTITUTE(SUBSTITUTE(SUBSTITUTE(SUBSTITUTE(SUBSTITUTE(SUBSTITUTE(SUBSTITUTE(SUBSTITUTE(SUBSTITUTE(SUBSTITUTE(SUBSTITUTE(SUBSTITUTE(SUBSTITUTE(TRIM($D284),"'",""),"İ","I"),"ı","I"),"i","I"),"Ş","S"),"ş","S"),"Ğ","G"),"ğ","G"),"Ü","U"),"ü","U"),"Ö","O"),"ö","O"),"Ç","C"),"ç","C"),".",""),",","")," ",""),"-","")))</f>
        <v/>
      </c>
      <c r="S284" s="3">
        <f>IF($D284="","",$C284&amp;"|"&amp;TEXT($E284,"0")&amp;"|"&amp;TEXT($F284,"0")&amp;"|"&amp;$I284)</f>
        <v/>
      </c>
      <c r="T284" s="3">
        <f>IF($E284="",0,SUMPRODUCT((AY_SONU!$O$7:$O$42="Evet")*(AY_SONU!$B$7:$B$42=DATE(YEAR($E284),MONTH($E284),1))))</f>
        <v/>
      </c>
    </row>
    <row r="285">
      <c r="A285" s="6" t="n"/>
      <c r="B285" s="113">
        <f>IF($D285="","","T"&amp;TEXT(ROW()-6,"00000"))</f>
        <v/>
      </c>
      <c r="C285" s="113">
        <f>IF($D285="","",IFERROR(INDEX(MUSTERILER!$B$7:$B$106,MATCH($R285,MUSTERILER!$T$7:$T$106,0)),IFERROR(INDEX(MUSTERILER!$B$7:$B$106,MATCH($D285,MUSTERILER!$B$7:$B$106,0)),IFERROR(INDEX(MUSTERILER!$B$7:$B$106,MATCH($R285&amp;"*",MUSTERILER!$T$7:$T$106,0)),"TANIMSIZ MÜŞTERİ"))))</f>
        <v/>
      </c>
      <c r="D285" s="109" t="inlineStr">
        <is>
          <t>Eğlengör Ltd.Şti.</t>
        </is>
      </c>
      <c r="E285" s="220" t="n">
        <v>46151</v>
      </c>
      <c r="F285" s="221" t="n">
        <v>4000</v>
      </c>
      <c r="G285" s="108" t="inlineStr">
        <is>
          <t>ÖMER KARTAL</t>
        </is>
      </c>
      <c r="H285" s="108" t="inlineStr">
        <is>
          <t>Nakit</t>
        </is>
      </c>
      <c r="I285" s="109" t="n"/>
      <c r="J285" s="109" t="inlineStr">
        <is>
          <t>ÖMER KARTALA ÖDENEN</t>
        </is>
      </c>
      <c r="K285" s="109" t="n"/>
      <c r="L285" s="226">
        <f>IF($E285="","",DATE(YEAR($E285),MONTH($E285),1))</f>
        <v/>
      </c>
      <c r="M285" s="113">
        <f>IF($D285="","",IF($C285="TANIMSIZ MÜŞTERİ","HATA",IF(OR($E285="",$F285&lt;=0,$G285=""),"EKSİK",IF($E285&gt;TODAY(),"İLERİ TARİH",IF(COUNTIF($S$7:$S$1506,$S285)&gt;1,"MÜKERRER?",IF($T285&gt;0,"KAPALI DÖNEM","UYGUN"))))))</f>
        <v/>
      </c>
      <c r="N285" s="121">
        <f>IF($C285="","",IF($C285="TANIMSIZ MÜŞTERİ","—",INDEX(MUSTERILER!$C$7:$C$106,MATCH($C285,MUSTERILER!$B$7:$B$106,0))))</f>
        <v/>
      </c>
      <c r="O285" s="6" t="n"/>
      <c r="P285" s="6" t="n"/>
      <c r="Q285" s="3">
        <f>IF($D285="","",$C285&amp;"|"&amp;COUNTIFS($C$7:$C285,$C285))</f>
        <v/>
      </c>
      <c r="R285" s="3">
        <f>IF($D285="","",UPPER(SUBSTITUTE(SUBSTITUTE(SUBSTITUTE(SUBSTITUTE(SUBSTITUTE(SUBSTITUTE(SUBSTITUTE(SUBSTITUTE(SUBSTITUTE(SUBSTITUTE(SUBSTITUTE(SUBSTITUTE(SUBSTITUTE(SUBSTITUTE(SUBSTITUTE(SUBSTITUTE(SUBSTITUTE(SUBSTITUTE(TRIM($D285),"'",""),"İ","I"),"ı","I"),"i","I"),"Ş","S"),"ş","S"),"Ğ","G"),"ğ","G"),"Ü","U"),"ü","U"),"Ö","O"),"ö","O"),"Ç","C"),"ç","C"),".",""),",","")," ",""),"-","")))</f>
        <v/>
      </c>
      <c r="S285" s="3">
        <f>IF($D285="","",$C285&amp;"|"&amp;TEXT($E285,"0")&amp;"|"&amp;TEXT($F285,"0")&amp;"|"&amp;$I285)</f>
        <v/>
      </c>
      <c r="T285" s="3">
        <f>IF($E285="",0,SUMPRODUCT((AY_SONU!$O$7:$O$42="Evet")*(AY_SONU!$B$7:$B$42=DATE(YEAR($E285),MONTH($E285),1))))</f>
        <v/>
      </c>
    </row>
    <row r="286">
      <c r="A286" s="6" t="n"/>
      <c r="B286" s="113">
        <f>IF($D286="","","T"&amp;TEXT(ROW()-6,"00000"))</f>
        <v/>
      </c>
      <c r="C286" s="113">
        <f>IF($D286="","",IFERROR(INDEX(MUSTERILER!$B$7:$B$106,MATCH($R286,MUSTERILER!$T$7:$T$106,0)),IFERROR(INDEX(MUSTERILER!$B$7:$B$106,MATCH($D286,MUSTERILER!$B$7:$B$106,0)),IFERROR(INDEX(MUSTERILER!$B$7:$B$106,MATCH($R286&amp;"*",MUSTERILER!$T$7:$T$106,0)),"TANIMSIZ MÜŞTERİ"))))</f>
        <v/>
      </c>
      <c r="D286" s="109" t="inlineStr">
        <is>
          <t>Final Siyah Beyaz Ltd.Şti.</t>
        </is>
      </c>
      <c r="E286" s="220" t="n">
        <v>46151</v>
      </c>
      <c r="F286" s="221" t="n">
        <v>4000</v>
      </c>
      <c r="G286" s="108" t="inlineStr">
        <is>
          <t>MERKEZ KASA</t>
        </is>
      </c>
      <c r="H286" s="108" t="inlineStr">
        <is>
          <t>Nakit</t>
        </is>
      </c>
      <c r="I286" s="109" t="n"/>
      <c r="J286" s="109" t="inlineStr">
        <is>
          <t>NAKİT ÖDENEN</t>
        </is>
      </c>
      <c r="K286" s="109" t="n"/>
      <c r="L286" s="226">
        <f>IF($E286="","",DATE(YEAR($E286),MONTH($E286),1))</f>
        <v/>
      </c>
      <c r="M286" s="113">
        <f>IF($D286="","",IF($C286="TANIMSIZ MÜŞTERİ","HATA",IF(OR($E286="",$F286&lt;=0,$G286=""),"EKSİK",IF($E286&gt;TODAY(),"İLERİ TARİH",IF(COUNTIF($S$7:$S$1506,$S286)&gt;1,"MÜKERRER?",IF($T286&gt;0,"KAPALI DÖNEM","UYGUN"))))))</f>
        <v/>
      </c>
      <c r="N286" s="121">
        <f>IF($C286="","",IF($C286="TANIMSIZ MÜŞTERİ","—",INDEX(MUSTERILER!$C$7:$C$106,MATCH($C286,MUSTERILER!$B$7:$B$106,0))))</f>
        <v/>
      </c>
      <c r="O286" s="6" t="n"/>
      <c r="P286" s="6" t="n"/>
      <c r="Q286" s="3">
        <f>IF($D286="","",$C286&amp;"|"&amp;COUNTIFS($C$7:$C286,$C286))</f>
        <v/>
      </c>
      <c r="R286" s="3">
        <f>IF($D286="","",UPPER(SUBSTITUTE(SUBSTITUTE(SUBSTITUTE(SUBSTITUTE(SUBSTITUTE(SUBSTITUTE(SUBSTITUTE(SUBSTITUTE(SUBSTITUTE(SUBSTITUTE(SUBSTITUTE(SUBSTITUTE(SUBSTITUTE(SUBSTITUTE(SUBSTITUTE(SUBSTITUTE(SUBSTITUTE(SUBSTITUTE(TRIM($D286),"'",""),"İ","I"),"ı","I"),"i","I"),"Ş","S"),"ş","S"),"Ğ","G"),"ğ","G"),"Ü","U"),"ü","U"),"Ö","O"),"ö","O"),"Ç","C"),"ç","C"),".",""),",","")," ",""),"-","")))</f>
        <v/>
      </c>
      <c r="S286" s="3">
        <f>IF($D286="","",$C286&amp;"|"&amp;TEXT($E286,"0")&amp;"|"&amp;TEXT($F286,"0")&amp;"|"&amp;$I286)</f>
        <v/>
      </c>
      <c r="T286" s="3">
        <f>IF($E286="",0,SUMPRODUCT((AY_SONU!$O$7:$O$42="Evet")*(AY_SONU!$B$7:$B$42=DATE(YEAR($E286),MONTH($E286),1))))</f>
        <v/>
      </c>
    </row>
    <row r="287">
      <c r="A287" s="6" t="n"/>
      <c r="B287" s="113">
        <f>IF($D287="","","T"&amp;TEXT(ROW()-6,"00000"))</f>
        <v/>
      </c>
      <c r="C287" s="113">
        <f>IF($D287="","",IFERROR(INDEX(MUSTERILER!$B$7:$B$106,MATCH($R287,MUSTERILER!$T$7:$T$106,0)),IFERROR(INDEX(MUSTERILER!$B$7:$B$106,MATCH($D287,MUSTERILER!$B$7:$B$106,0)),IFERROR(INDEX(MUSTERILER!$B$7:$B$106,MATCH($R287&amp;"*",MUSTERILER!$T$7:$T$106,0)),"TANIMSIZ MÜŞTERİ"))))</f>
        <v/>
      </c>
      <c r="D287" s="109" t="inlineStr">
        <is>
          <t>İbrahim Maldan</t>
        </is>
      </c>
      <c r="E287" s="220" t="n">
        <v>46151</v>
      </c>
      <c r="F287" s="221" t="n">
        <v>4000</v>
      </c>
      <c r="G287" s="108" t="inlineStr">
        <is>
          <t>MERKEZ KASA</t>
        </is>
      </c>
      <c r="H287" s="108" t="inlineStr">
        <is>
          <t>Nakit</t>
        </is>
      </c>
      <c r="I287" s="109" t="n"/>
      <c r="J287" s="109" t="inlineStr">
        <is>
          <t>NAKİT ÖDENEN</t>
        </is>
      </c>
      <c r="K287" s="109" t="n"/>
      <c r="L287" s="226">
        <f>IF($E287="","",DATE(YEAR($E287),MONTH($E287),1))</f>
        <v/>
      </c>
      <c r="M287" s="113">
        <f>IF($D287="","",IF($C287="TANIMSIZ MÜŞTERİ","HATA",IF(OR($E287="",$F287&lt;=0,$G287=""),"EKSİK",IF($E287&gt;TODAY(),"İLERİ TARİH",IF(COUNTIF($S$7:$S$1506,$S287)&gt;1,"MÜKERRER?",IF($T287&gt;0,"KAPALI DÖNEM","UYGUN"))))))</f>
        <v/>
      </c>
      <c r="N287" s="121">
        <f>IF($C287="","",IF($C287="TANIMSIZ MÜŞTERİ","—",INDEX(MUSTERILER!$C$7:$C$106,MATCH($C287,MUSTERILER!$B$7:$B$106,0))))</f>
        <v/>
      </c>
      <c r="O287" s="6" t="n"/>
      <c r="P287" s="6" t="n"/>
      <c r="Q287" s="3">
        <f>IF($D287="","",$C287&amp;"|"&amp;COUNTIFS($C$7:$C287,$C287))</f>
        <v/>
      </c>
      <c r="R287" s="3">
        <f>IF($D287="","",UPPER(SUBSTITUTE(SUBSTITUTE(SUBSTITUTE(SUBSTITUTE(SUBSTITUTE(SUBSTITUTE(SUBSTITUTE(SUBSTITUTE(SUBSTITUTE(SUBSTITUTE(SUBSTITUTE(SUBSTITUTE(SUBSTITUTE(SUBSTITUTE(SUBSTITUTE(SUBSTITUTE(SUBSTITUTE(SUBSTITUTE(TRIM($D287),"'",""),"İ","I"),"ı","I"),"i","I"),"Ş","S"),"ş","S"),"Ğ","G"),"ğ","G"),"Ü","U"),"ü","U"),"Ö","O"),"ö","O"),"Ç","C"),"ç","C"),".",""),",","")," ",""),"-","")))</f>
        <v/>
      </c>
      <c r="S287" s="3">
        <f>IF($D287="","",$C287&amp;"|"&amp;TEXT($E287,"0")&amp;"|"&amp;TEXT($F287,"0")&amp;"|"&amp;$I287)</f>
        <v/>
      </c>
      <c r="T287" s="3">
        <f>IF($E287="",0,SUMPRODUCT((AY_SONU!$O$7:$O$42="Evet")*(AY_SONU!$B$7:$B$42=DATE(YEAR($E287),MONTH($E287),1))))</f>
        <v/>
      </c>
    </row>
    <row r="288">
      <c r="A288" s="6" t="n"/>
      <c r="B288" s="113">
        <f>IF($D288="","","T"&amp;TEXT(ROW()-6,"00000"))</f>
        <v/>
      </c>
      <c r="C288" s="113">
        <f>IF($D288="","",IFERROR(INDEX(MUSTERILER!$B$7:$B$106,MATCH($R288,MUSTERILER!$T$7:$T$106,0)),IFERROR(INDEX(MUSTERILER!$B$7:$B$106,MATCH($D288,MUSTERILER!$B$7:$B$106,0)),IFERROR(INDEX(MUSTERILER!$B$7:$B$106,MATCH($R288&amp;"*",MUSTERILER!$T$7:$T$106,0)),"TANIMSIZ MÜŞTERİ"))))</f>
        <v/>
      </c>
      <c r="D288" s="109" t="inlineStr">
        <is>
          <t>İldeş Ltd.Şti.</t>
        </is>
      </c>
      <c r="E288" s="220" t="n">
        <v>46151</v>
      </c>
      <c r="F288" s="221" t="n">
        <v>4000</v>
      </c>
      <c r="G288" s="108" t="inlineStr">
        <is>
          <t>ÖMER KARTAL</t>
        </is>
      </c>
      <c r="H288" s="108" t="inlineStr">
        <is>
          <t>Nakit</t>
        </is>
      </c>
      <c r="I288" s="109" t="n"/>
      <c r="J288" s="109" t="inlineStr">
        <is>
          <t>ÖMER KARTALA ÖDENEN</t>
        </is>
      </c>
      <c r="K288" s="109" t="n"/>
      <c r="L288" s="226">
        <f>IF($E288="","",DATE(YEAR($E288),MONTH($E288),1))</f>
        <v/>
      </c>
      <c r="M288" s="113">
        <f>IF($D288="","",IF($C288="TANIMSIZ MÜŞTERİ","HATA",IF(OR($E288="",$F288&lt;=0,$G288=""),"EKSİK",IF($E288&gt;TODAY(),"İLERİ TARİH",IF(COUNTIF($S$7:$S$1506,$S288)&gt;1,"MÜKERRER?",IF($T288&gt;0,"KAPALI DÖNEM","UYGUN"))))))</f>
        <v/>
      </c>
      <c r="N288" s="121">
        <f>IF($C288="","",IF($C288="TANIMSIZ MÜŞTERİ","—",INDEX(MUSTERILER!$C$7:$C$106,MATCH($C288,MUSTERILER!$B$7:$B$106,0))))</f>
        <v/>
      </c>
      <c r="O288" s="6" t="n"/>
      <c r="P288" s="6" t="n"/>
      <c r="Q288" s="3">
        <f>IF($D288="","",$C288&amp;"|"&amp;COUNTIFS($C$7:$C288,$C288))</f>
        <v/>
      </c>
      <c r="R288" s="3">
        <f>IF($D288="","",UPPER(SUBSTITUTE(SUBSTITUTE(SUBSTITUTE(SUBSTITUTE(SUBSTITUTE(SUBSTITUTE(SUBSTITUTE(SUBSTITUTE(SUBSTITUTE(SUBSTITUTE(SUBSTITUTE(SUBSTITUTE(SUBSTITUTE(SUBSTITUTE(SUBSTITUTE(SUBSTITUTE(SUBSTITUTE(SUBSTITUTE(TRIM($D288),"'",""),"İ","I"),"ı","I"),"i","I"),"Ş","S"),"ş","S"),"Ğ","G"),"ğ","G"),"Ü","U"),"ü","U"),"Ö","O"),"ö","O"),"Ç","C"),"ç","C"),".",""),",","")," ",""),"-","")))</f>
        <v/>
      </c>
      <c r="S288" s="3">
        <f>IF($D288="","",$C288&amp;"|"&amp;TEXT($E288,"0")&amp;"|"&amp;TEXT($F288,"0")&amp;"|"&amp;$I288)</f>
        <v/>
      </c>
      <c r="T288" s="3">
        <f>IF($E288="",0,SUMPRODUCT((AY_SONU!$O$7:$O$42="Evet")*(AY_SONU!$B$7:$B$42=DATE(YEAR($E288),MONTH($E288),1))))</f>
        <v/>
      </c>
    </row>
    <row r="289">
      <c r="A289" s="6" t="n"/>
      <c r="B289" s="113">
        <f>IF($D289="","","T"&amp;TEXT(ROW()-6,"00000"))</f>
        <v/>
      </c>
      <c r="C289" s="113">
        <f>IF($D289="","",IFERROR(INDEX(MUSTERILER!$B$7:$B$106,MATCH($R289,MUSTERILER!$T$7:$T$106,0)),IFERROR(INDEX(MUSTERILER!$B$7:$B$106,MATCH($D289,MUSTERILER!$B$7:$B$106,0)),IFERROR(INDEX(MUSTERILER!$B$7:$B$106,MATCH($R289&amp;"*",MUSTERILER!$T$7:$T$106,0)),"TANIMSIZ MÜŞTERİ"))))</f>
        <v/>
      </c>
      <c r="D289" s="109" t="inlineStr">
        <is>
          <t>Naz 1 Gıda Ltd.Şti.</t>
        </is>
      </c>
      <c r="E289" s="220" t="n">
        <v>46151</v>
      </c>
      <c r="F289" s="221" t="n">
        <v>650</v>
      </c>
      <c r="G289" s="108" t="inlineStr">
        <is>
          <t>MERKEZ KASA</t>
        </is>
      </c>
      <c r="H289" s="108" t="inlineStr">
        <is>
          <t>Nakit</t>
        </is>
      </c>
      <c r="I289" s="109" t="n"/>
      <c r="J289" s="109" t="inlineStr">
        <is>
          <t>NAKİT ÖDENEN</t>
        </is>
      </c>
      <c r="K289" s="109" t="n"/>
      <c r="L289" s="226">
        <f>IF($E289="","",DATE(YEAR($E289),MONTH($E289),1))</f>
        <v/>
      </c>
      <c r="M289" s="113">
        <f>IF($D289="","",IF($C289="TANIMSIZ MÜŞTERİ","HATA",IF(OR($E289="",$F289&lt;=0,$G289=""),"EKSİK",IF($E289&gt;TODAY(),"İLERİ TARİH",IF(COUNTIF($S$7:$S$1506,$S289)&gt;1,"MÜKERRER?",IF($T289&gt;0,"KAPALI DÖNEM","UYGUN"))))))</f>
        <v/>
      </c>
      <c r="N289" s="121">
        <f>IF($C289="","",IF($C289="TANIMSIZ MÜŞTERİ","—",INDEX(MUSTERILER!$C$7:$C$106,MATCH($C289,MUSTERILER!$B$7:$B$106,0))))</f>
        <v/>
      </c>
      <c r="O289" s="6" t="n"/>
      <c r="P289" s="6" t="n"/>
      <c r="Q289" s="3">
        <f>IF($D289="","",$C289&amp;"|"&amp;COUNTIFS($C$7:$C289,$C289))</f>
        <v/>
      </c>
      <c r="R289" s="3">
        <f>IF($D289="","",UPPER(SUBSTITUTE(SUBSTITUTE(SUBSTITUTE(SUBSTITUTE(SUBSTITUTE(SUBSTITUTE(SUBSTITUTE(SUBSTITUTE(SUBSTITUTE(SUBSTITUTE(SUBSTITUTE(SUBSTITUTE(SUBSTITUTE(SUBSTITUTE(SUBSTITUTE(SUBSTITUTE(SUBSTITUTE(SUBSTITUTE(TRIM($D289),"'",""),"İ","I"),"ı","I"),"i","I"),"Ş","S"),"ş","S"),"Ğ","G"),"ğ","G"),"Ü","U"),"ü","U"),"Ö","O"),"ö","O"),"Ç","C"),"ç","C"),".",""),",","")," ",""),"-","")))</f>
        <v/>
      </c>
      <c r="S289" s="3">
        <f>IF($D289="","",$C289&amp;"|"&amp;TEXT($E289,"0")&amp;"|"&amp;TEXT($F289,"0")&amp;"|"&amp;$I289)</f>
        <v/>
      </c>
      <c r="T289" s="3">
        <f>IF($E289="",0,SUMPRODUCT((AY_SONU!$O$7:$O$42="Evet")*(AY_SONU!$B$7:$B$42=DATE(YEAR($E289),MONTH($E289),1))))</f>
        <v/>
      </c>
    </row>
    <row r="290">
      <c r="A290" s="6" t="n"/>
      <c r="B290" s="113">
        <f>IF($D290="","","T"&amp;TEXT(ROW()-6,"00000"))</f>
        <v/>
      </c>
      <c r="C290" s="113">
        <f>IF($D290="","",IFERROR(INDEX(MUSTERILER!$B$7:$B$106,MATCH($R290,MUSTERILER!$T$7:$T$106,0)),IFERROR(INDEX(MUSTERILER!$B$7:$B$106,MATCH($D290,MUSTERILER!$B$7:$B$106,0)),IFERROR(INDEX(MUSTERILER!$B$7:$B$106,MATCH($R290&amp;"*",MUSTERILER!$T$7:$T$106,0)),"TANIMSIZ MÜŞTERİ"))))</f>
        <v/>
      </c>
      <c r="D290" s="109" t="inlineStr">
        <is>
          <t>Pakyıldız Ltd.Şti.</t>
        </is>
      </c>
      <c r="E290" s="220" t="n">
        <v>46151</v>
      </c>
      <c r="F290" s="221" t="n">
        <v>4000</v>
      </c>
      <c r="G290" s="108" t="inlineStr">
        <is>
          <t>ÖMER KARTAL</t>
        </is>
      </c>
      <c r="H290" s="108" t="inlineStr">
        <is>
          <t>Nakit</t>
        </is>
      </c>
      <c r="I290" s="109" t="n"/>
      <c r="J290" s="109" t="inlineStr">
        <is>
          <t>ÖMER KARTALA ÖDENEN</t>
        </is>
      </c>
      <c r="K290" s="109" t="n"/>
      <c r="L290" s="226">
        <f>IF($E290="","",DATE(YEAR($E290),MONTH($E290),1))</f>
        <v/>
      </c>
      <c r="M290" s="113">
        <f>IF($D290="","",IF($C290="TANIMSIZ MÜŞTERİ","HATA",IF(OR($E290="",$F290&lt;=0,$G290=""),"EKSİK",IF($E290&gt;TODAY(),"İLERİ TARİH",IF(COUNTIF($S$7:$S$1506,$S290)&gt;1,"MÜKERRER?",IF($T290&gt;0,"KAPALI DÖNEM","UYGUN"))))))</f>
        <v/>
      </c>
      <c r="N290" s="121">
        <f>IF($C290="","",IF($C290="TANIMSIZ MÜŞTERİ","—",INDEX(MUSTERILER!$C$7:$C$106,MATCH($C290,MUSTERILER!$B$7:$B$106,0))))</f>
        <v/>
      </c>
      <c r="O290" s="6" t="n"/>
      <c r="P290" s="6" t="n"/>
      <c r="Q290" s="3">
        <f>IF($D290="","",$C290&amp;"|"&amp;COUNTIFS($C$7:$C290,$C290))</f>
        <v/>
      </c>
      <c r="R290" s="3">
        <f>IF($D290="","",UPPER(SUBSTITUTE(SUBSTITUTE(SUBSTITUTE(SUBSTITUTE(SUBSTITUTE(SUBSTITUTE(SUBSTITUTE(SUBSTITUTE(SUBSTITUTE(SUBSTITUTE(SUBSTITUTE(SUBSTITUTE(SUBSTITUTE(SUBSTITUTE(SUBSTITUTE(SUBSTITUTE(SUBSTITUTE(SUBSTITUTE(TRIM($D290),"'",""),"İ","I"),"ı","I"),"i","I"),"Ş","S"),"ş","S"),"Ğ","G"),"ğ","G"),"Ü","U"),"ü","U"),"Ö","O"),"ö","O"),"Ç","C"),"ç","C"),".",""),",","")," ",""),"-","")))</f>
        <v/>
      </c>
      <c r="S290" s="3">
        <f>IF($D290="","",$C290&amp;"|"&amp;TEXT($E290,"0")&amp;"|"&amp;TEXT($F290,"0")&amp;"|"&amp;$I290)</f>
        <v/>
      </c>
      <c r="T290" s="3">
        <f>IF($E290="",0,SUMPRODUCT((AY_SONU!$O$7:$O$42="Evet")*(AY_SONU!$B$7:$B$42=DATE(YEAR($E290),MONTH($E290),1))))</f>
        <v/>
      </c>
    </row>
    <row r="291">
      <c r="A291" s="6" t="n"/>
      <c r="B291" s="113">
        <f>IF($D291="","","T"&amp;TEXT(ROW()-6,"00000"))</f>
        <v/>
      </c>
      <c r="C291" s="113">
        <f>IF($D291="","",IFERROR(INDEX(MUSTERILER!$B$7:$B$106,MATCH($R291,MUSTERILER!$T$7:$T$106,0)),IFERROR(INDEX(MUSTERILER!$B$7:$B$106,MATCH($D291,MUSTERILER!$B$7:$B$106,0)),IFERROR(INDEX(MUSTERILER!$B$7:$B$106,MATCH($R291&amp;"*",MUSTERILER!$T$7:$T$106,0)),"TANIMSIZ MÜŞTERİ"))))</f>
        <v/>
      </c>
      <c r="D291" s="109" t="inlineStr">
        <is>
          <t>Rix Şow Ltd.Şti.</t>
        </is>
      </c>
      <c r="E291" s="220" t="n">
        <v>46151</v>
      </c>
      <c r="F291" s="221" t="n">
        <v>3000</v>
      </c>
      <c r="G291" s="108" t="inlineStr">
        <is>
          <t>MERKEZ KASA</t>
        </is>
      </c>
      <c r="H291" s="108" t="inlineStr">
        <is>
          <t>Nakit</t>
        </is>
      </c>
      <c r="I291" s="109" t="n"/>
      <c r="J291" s="109" t="inlineStr">
        <is>
          <t>NAKİT ÖDENEN</t>
        </is>
      </c>
      <c r="K291" s="109" t="n"/>
      <c r="L291" s="226">
        <f>IF($E291="","",DATE(YEAR($E291),MONTH($E291),1))</f>
        <v/>
      </c>
      <c r="M291" s="113">
        <f>IF($D291="","",IF($C291="TANIMSIZ MÜŞTERİ","HATA",IF(OR($E291="",$F291&lt;=0,$G291=""),"EKSİK",IF($E291&gt;TODAY(),"İLERİ TARİH",IF(COUNTIF($S$7:$S$1506,$S291)&gt;1,"MÜKERRER?",IF($T291&gt;0,"KAPALI DÖNEM","UYGUN"))))))</f>
        <v/>
      </c>
      <c r="N291" s="121">
        <f>IF($C291="","",IF($C291="TANIMSIZ MÜŞTERİ","—",INDEX(MUSTERILER!$C$7:$C$106,MATCH($C291,MUSTERILER!$B$7:$B$106,0))))</f>
        <v/>
      </c>
      <c r="O291" s="6" t="n"/>
      <c r="P291" s="6" t="n"/>
      <c r="Q291" s="3">
        <f>IF($D291="","",$C291&amp;"|"&amp;COUNTIFS($C$7:$C291,$C291))</f>
        <v/>
      </c>
      <c r="R291" s="3">
        <f>IF($D291="","",UPPER(SUBSTITUTE(SUBSTITUTE(SUBSTITUTE(SUBSTITUTE(SUBSTITUTE(SUBSTITUTE(SUBSTITUTE(SUBSTITUTE(SUBSTITUTE(SUBSTITUTE(SUBSTITUTE(SUBSTITUTE(SUBSTITUTE(SUBSTITUTE(SUBSTITUTE(SUBSTITUTE(SUBSTITUTE(SUBSTITUTE(TRIM($D291),"'",""),"İ","I"),"ı","I"),"i","I"),"Ş","S"),"ş","S"),"Ğ","G"),"ğ","G"),"Ü","U"),"ü","U"),"Ö","O"),"ö","O"),"Ç","C"),"ç","C"),".",""),",","")," ",""),"-","")))</f>
        <v/>
      </c>
      <c r="S291" s="3">
        <f>IF($D291="","",$C291&amp;"|"&amp;TEXT($E291,"0")&amp;"|"&amp;TEXT($F291,"0")&amp;"|"&amp;$I291)</f>
        <v/>
      </c>
      <c r="T291" s="3">
        <f>IF($E291="",0,SUMPRODUCT((AY_SONU!$O$7:$O$42="Evet")*(AY_SONU!$B$7:$B$42=DATE(YEAR($E291),MONTH($E291),1))))</f>
        <v/>
      </c>
    </row>
    <row r="292">
      <c r="A292" s="6" t="n"/>
      <c r="B292" s="113">
        <f>IF($D292="","","T"&amp;TEXT(ROW()-6,"00000"))</f>
        <v/>
      </c>
      <c r="C292" s="113">
        <f>IF($D292="","",IFERROR(INDEX(MUSTERILER!$B$7:$B$106,MATCH($R292,MUSTERILER!$T$7:$T$106,0)),IFERROR(INDEX(MUSTERILER!$B$7:$B$106,MATCH($D292,MUSTERILER!$B$7:$B$106,0)),IFERROR(INDEX(MUSTERILER!$B$7:$B$106,MATCH($R292&amp;"*",MUSTERILER!$T$7:$T$106,0)),"TANIMSIZ MÜŞTERİ"))))</f>
        <v/>
      </c>
      <c r="D292" s="109" t="inlineStr">
        <is>
          <t>Zümrüt Grup Ltd.Şti.</t>
        </is>
      </c>
      <c r="E292" s="220" t="n">
        <v>46151</v>
      </c>
      <c r="F292" s="221" t="n">
        <v>1750</v>
      </c>
      <c r="G292" s="108" t="inlineStr">
        <is>
          <t>MERKEZ KASA</t>
        </is>
      </c>
      <c r="H292" s="108" t="inlineStr">
        <is>
          <t>Nakit</t>
        </is>
      </c>
      <c r="I292" s="109" t="n"/>
      <c r="J292" s="109" t="inlineStr">
        <is>
          <t>NAKİT ÖDENEN</t>
        </is>
      </c>
      <c r="K292" s="109" t="n"/>
      <c r="L292" s="226">
        <f>IF($E292="","",DATE(YEAR($E292),MONTH($E292),1))</f>
        <v/>
      </c>
      <c r="M292" s="113">
        <f>IF($D292="","",IF($C292="TANIMSIZ MÜŞTERİ","HATA",IF(OR($E292="",$F292&lt;=0,$G292=""),"EKSİK",IF($E292&gt;TODAY(),"İLERİ TARİH",IF(COUNTIF($S$7:$S$1506,$S292)&gt;1,"MÜKERRER?",IF($T292&gt;0,"KAPALI DÖNEM","UYGUN"))))))</f>
        <v/>
      </c>
      <c r="N292" s="121">
        <f>IF($C292="","",IF($C292="TANIMSIZ MÜŞTERİ","—",INDEX(MUSTERILER!$C$7:$C$106,MATCH($C292,MUSTERILER!$B$7:$B$106,0))))</f>
        <v/>
      </c>
      <c r="O292" s="6" t="n"/>
      <c r="P292" s="6" t="n"/>
      <c r="Q292" s="3">
        <f>IF($D292="","",$C292&amp;"|"&amp;COUNTIFS($C$7:$C292,$C292))</f>
        <v/>
      </c>
      <c r="R292" s="3">
        <f>IF($D292="","",UPPER(SUBSTITUTE(SUBSTITUTE(SUBSTITUTE(SUBSTITUTE(SUBSTITUTE(SUBSTITUTE(SUBSTITUTE(SUBSTITUTE(SUBSTITUTE(SUBSTITUTE(SUBSTITUTE(SUBSTITUTE(SUBSTITUTE(SUBSTITUTE(SUBSTITUTE(SUBSTITUTE(SUBSTITUTE(SUBSTITUTE(TRIM($D292),"'",""),"İ","I"),"ı","I"),"i","I"),"Ş","S"),"ş","S"),"Ğ","G"),"ğ","G"),"Ü","U"),"ü","U"),"Ö","O"),"ö","O"),"Ç","C"),"ç","C"),".",""),",","")," ",""),"-","")))</f>
        <v/>
      </c>
      <c r="S292" s="3">
        <f>IF($D292="","",$C292&amp;"|"&amp;TEXT($E292,"0")&amp;"|"&amp;TEXT($F292,"0")&amp;"|"&amp;$I292)</f>
        <v/>
      </c>
      <c r="T292" s="3">
        <f>IF($E292="",0,SUMPRODUCT((AY_SONU!$O$7:$O$42="Evet")*(AY_SONU!$B$7:$B$42=DATE(YEAR($E292),MONTH($E292),1))))</f>
        <v/>
      </c>
    </row>
    <row r="293">
      <c r="A293" s="6" t="n"/>
      <c r="B293" s="113">
        <f>IF($D293="","","T"&amp;TEXT(ROW()-6,"00000"))</f>
        <v/>
      </c>
      <c r="C293" s="113">
        <f>IF($D293="","",IFERROR(INDEX(MUSTERILER!$B$7:$B$106,MATCH($R293,MUSTERILER!$T$7:$T$106,0)),IFERROR(INDEX(MUSTERILER!$B$7:$B$106,MATCH($D293,MUSTERILER!$B$7:$B$106,0)),IFERROR(INDEX(MUSTERILER!$B$7:$B$106,MATCH($R293&amp;"*",MUSTERILER!$T$7:$T$106,0)),"TANIMSIZ MÜŞTERİ"))))</f>
        <v/>
      </c>
      <c r="D293" s="109" t="inlineStr">
        <is>
          <t>ÇINARHAN LTD.ŞTİ.</t>
        </is>
      </c>
      <c r="E293" s="220" t="n">
        <v>46151</v>
      </c>
      <c r="F293" s="221" t="n">
        <v>2500</v>
      </c>
      <c r="G293" s="108" t="inlineStr">
        <is>
          <t>ÖMER KARTAL</t>
        </is>
      </c>
      <c r="H293" s="108" t="inlineStr">
        <is>
          <t>Nakit</t>
        </is>
      </c>
      <c r="I293" s="109" t="n"/>
      <c r="J293" s="109" t="inlineStr">
        <is>
          <t>NAKİT ÖDENEN</t>
        </is>
      </c>
      <c r="K293" s="109" t="n"/>
      <c r="L293" s="226">
        <f>IF($E293="","",DATE(YEAR($E293),MONTH($E293),1))</f>
        <v/>
      </c>
      <c r="M293" s="113">
        <f>IF($D293="","",IF($C293="TANIMSIZ MÜŞTERİ","HATA",IF(OR($E293="",$F293&lt;=0,$G293=""),"EKSİK",IF($E293&gt;TODAY(),"İLERİ TARİH",IF(COUNTIF($S$7:$S$1506,$S293)&gt;1,"MÜKERRER?",IF($T293&gt;0,"KAPALI DÖNEM","UYGUN"))))))</f>
        <v/>
      </c>
      <c r="N293" s="121">
        <f>IF($C293="","",IF($C293="TANIMSIZ MÜŞTERİ","—",INDEX(MUSTERILER!$C$7:$C$106,MATCH($C293,MUSTERILER!$B$7:$B$106,0))))</f>
        <v/>
      </c>
      <c r="O293" s="6" t="n"/>
      <c r="P293" s="6" t="n"/>
      <c r="Q293" s="3">
        <f>IF($D293="","",$C293&amp;"|"&amp;COUNTIFS($C$7:$C293,$C293))</f>
        <v/>
      </c>
      <c r="R293" s="3">
        <f>IF($D293="","",UPPER(SUBSTITUTE(SUBSTITUTE(SUBSTITUTE(SUBSTITUTE(SUBSTITUTE(SUBSTITUTE(SUBSTITUTE(SUBSTITUTE(SUBSTITUTE(SUBSTITUTE(SUBSTITUTE(SUBSTITUTE(SUBSTITUTE(SUBSTITUTE(SUBSTITUTE(SUBSTITUTE(SUBSTITUTE(SUBSTITUTE(TRIM($D293),"'",""),"İ","I"),"ı","I"),"i","I"),"Ş","S"),"ş","S"),"Ğ","G"),"ğ","G"),"Ü","U"),"ü","U"),"Ö","O"),"ö","O"),"Ç","C"),"ç","C"),".",""),",","")," ",""),"-","")))</f>
        <v/>
      </c>
      <c r="S293" s="3">
        <f>IF($D293="","",$C293&amp;"|"&amp;TEXT($E293,"0")&amp;"|"&amp;TEXT($F293,"0")&amp;"|"&amp;$I293)</f>
        <v/>
      </c>
      <c r="T293" s="3">
        <f>IF($E293="",0,SUMPRODUCT((AY_SONU!$O$7:$O$42="Evet")*(AY_SONU!$B$7:$B$42=DATE(YEAR($E293),MONTH($E293),1))))</f>
        <v/>
      </c>
    </row>
    <row r="294">
      <c r="A294" s="6" t="n"/>
      <c r="B294" s="113">
        <f>IF($D294="","","T"&amp;TEXT(ROW()-6,"00000"))</f>
        <v/>
      </c>
      <c r="C294" s="113">
        <f>IF($D294="","",IFERROR(INDEX(MUSTERILER!$B$7:$B$106,MATCH($R294,MUSTERILER!$T$7:$T$106,0)),IFERROR(INDEX(MUSTERILER!$B$7:$B$106,MATCH($D294,MUSTERILER!$B$7:$B$106,0)),IFERROR(INDEX(MUSTERILER!$B$7:$B$106,MATCH($R294&amp;"*",MUSTERILER!$T$7:$T$106,0)),"TANIMSIZ MÜŞTERİ"))))</f>
        <v/>
      </c>
      <c r="D294" s="109" t="inlineStr">
        <is>
          <t>ÇINARHAN LTD.ŞTİ.</t>
        </is>
      </c>
      <c r="E294" s="220" t="n">
        <v>46151</v>
      </c>
      <c r="F294" s="221" t="n">
        <v>17500</v>
      </c>
      <c r="G294" s="108" t="inlineStr">
        <is>
          <t>ÖMER KARTAL</t>
        </is>
      </c>
      <c r="H294" s="108" t="inlineStr">
        <is>
          <t>Nakit</t>
        </is>
      </c>
      <c r="I294" s="109" t="n"/>
      <c r="J294" s="109" t="inlineStr">
        <is>
          <t>NAKİT ÖDENEN</t>
        </is>
      </c>
      <c r="K294" s="109" t="n"/>
      <c r="L294" s="226">
        <f>IF($E294="","",DATE(YEAR($E294),MONTH($E294),1))</f>
        <v/>
      </c>
      <c r="M294" s="113">
        <f>IF($D294="","",IF($C294="TANIMSIZ MÜŞTERİ","HATA",IF(OR($E294="",$F294&lt;=0,$G294=""),"EKSİK",IF($E294&gt;TODAY(),"İLERİ TARİH",IF(COUNTIF($S$7:$S$1506,$S294)&gt;1,"MÜKERRER?",IF($T294&gt;0,"KAPALI DÖNEM","UYGUN"))))))</f>
        <v/>
      </c>
      <c r="N294" s="121">
        <f>IF($C294="","",IF($C294="TANIMSIZ MÜŞTERİ","—",INDEX(MUSTERILER!$C$7:$C$106,MATCH($C294,MUSTERILER!$B$7:$B$106,0))))</f>
        <v/>
      </c>
      <c r="O294" s="6" t="n"/>
      <c r="P294" s="6" t="n"/>
      <c r="Q294" s="3">
        <f>IF($D294="","",$C294&amp;"|"&amp;COUNTIFS($C$7:$C294,$C294))</f>
        <v/>
      </c>
      <c r="R294" s="3">
        <f>IF($D294="","",UPPER(SUBSTITUTE(SUBSTITUTE(SUBSTITUTE(SUBSTITUTE(SUBSTITUTE(SUBSTITUTE(SUBSTITUTE(SUBSTITUTE(SUBSTITUTE(SUBSTITUTE(SUBSTITUTE(SUBSTITUTE(SUBSTITUTE(SUBSTITUTE(SUBSTITUTE(SUBSTITUTE(SUBSTITUTE(SUBSTITUTE(TRIM($D294),"'",""),"İ","I"),"ı","I"),"i","I"),"Ş","S"),"ş","S"),"Ğ","G"),"ğ","G"),"Ü","U"),"ü","U"),"Ö","O"),"ö","O"),"Ç","C"),"ç","C"),".",""),",","")," ",""),"-","")))</f>
        <v/>
      </c>
      <c r="S294" s="3">
        <f>IF($D294="","",$C294&amp;"|"&amp;TEXT($E294,"0")&amp;"|"&amp;TEXT($F294,"0")&amp;"|"&amp;$I294)</f>
        <v/>
      </c>
      <c r="T294" s="3">
        <f>IF($E294="",0,SUMPRODUCT((AY_SONU!$O$7:$O$42="Evet")*(AY_SONU!$B$7:$B$42=DATE(YEAR($E294),MONTH($E294),1))))</f>
        <v/>
      </c>
    </row>
    <row r="295">
      <c r="A295" s="6" t="n"/>
      <c r="B295" s="113">
        <f>IF($D295="","","T"&amp;TEXT(ROW()-6,"00000"))</f>
        <v/>
      </c>
      <c r="C295" s="113">
        <f>IF($D295="","",IFERROR(INDEX(MUSTERILER!$B$7:$B$106,MATCH($R295,MUSTERILER!$T$7:$T$106,0)),IFERROR(INDEX(MUSTERILER!$B$7:$B$106,MATCH($D295,MUSTERILER!$B$7:$B$106,0)),IFERROR(INDEX(MUSTERILER!$B$7:$B$106,MATCH($R295&amp;"*",MUSTERILER!$T$7:$T$106,0)),"TANIMSIZ MÜŞTERİ"))))</f>
        <v/>
      </c>
      <c r="D295" s="109" t="inlineStr">
        <is>
          <t>KRİSTAL LTD.ŞTİ.</t>
        </is>
      </c>
      <c r="E295" s="220" t="n">
        <v>46151</v>
      </c>
      <c r="F295" s="221" t="n">
        <v>3000</v>
      </c>
      <c r="G295" s="108" t="inlineStr">
        <is>
          <t>MERKEZ KASA</t>
        </is>
      </c>
      <c r="H295" s="108" t="inlineStr">
        <is>
          <t>Nakit</t>
        </is>
      </c>
      <c r="I295" s="109" t="n"/>
      <c r="J295" s="109" t="inlineStr">
        <is>
          <t>NAKİT ÖDENEN</t>
        </is>
      </c>
      <c r="K295" s="109" t="n"/>
      <c r="L295" s="226">
        <f>IF($E295="","",DATE(YEAR($E295),MONTH($E295),1))</f>
        <v/>
      </c>
      <c r="M295" s="113">
        <f>IF($D295="","",IF($C295="TANIMSIZ MÜŞTERİ","HATA",IF(OR($E295="",$F295&lt;=0,$G295=""),"EKSİK",IF($E295&gt;TODAY(),"İLERİ TARİH",IF(COUNTIF($S$7:$S$1506,$S295)&gt;1,"MÜKERRER?",IF($T295&gt;0,"KAPALI DÖNEM","UYGUN"))))))</f>
        <v/>
      </c>
      <c r="N295" s="121">
        <f>IF($C295="","",IF($C295="TANIMSIZ MÜŞTERİ","—",INDEX(MUSTERILER!$C$7:$C$106,MATCH($C295,MUSTERILER!$B$7:$B$106,0))))</f>
        <v/>
      </c>
      <c r="O295" s="6" t="n"/>
      <c r="P295" s="6" t="n"/>
      <c r="Q295" s="3">
        <f>IF($D295="","",$C295&amp;"|"&amp;COUNTIFS($C$7:$C295,$C295))</f>
        <v/>
      </c>
      <c r="R295" s="3">
        <f>IF($D295="","",UPPER(SUBSTITUTE(SUBSTITUTE(SUBSTITUTE(SUBSTITUTE(SUBSTITUTE(SUBSTITUTE(SUBSTITUTE(SUBSTITUTE(SUBSTITUTE(SUBSTITUTE(SUBSTITUTE(SUBSTITUTE(SUBSTITUTE(SUBSTITUTE(SUBSTITUTE(SUBSTITUTE(SUBSTITUTE(SUBSTITUTE(TRIM($D295),"'",""),"İ","I"),"ı","I"),"i","I"),"Ş","S"),"ş","S"),"Ğ","G"),"ğ","G"),"Ü","U"),"ü","U"),"Ö","O"),"ö","O"),"Ç","C"),"ç","C"),".",""),",","")," ",""),"-","")))</f>
        <v/>
      </c>
      <c r="S295" s="3">
        <f>IF($D295="","",$C295&amp;"|"&amp;TEXT($E295,"0")&amp;"|"&amp;TEXT($F295,"0")&amp;"|"&amp;$I295)</f>
        <v/>
      </c>
      <c r="T295" s="3">
        <f>IF($E295="",0,SUMPRODUCT((AY_SONU!$O$7:$O$42="Evet")*(AY_SONU!$B$7:$B$42=DATE(YEAR($E295),MONTH($E295),1))))</f>
        <v/>
      </c>
    </row>
    <row r="296">
      <c r="A296" s="6" t="n"/>
      <c r="B296" s="113">
        <f>IF($D296="","","T"&amp;TEXT(ROW()-6,"00000"))</f>
        <v/>
      </c>
      <c r="C296" s="113">
        <f>IF($D296="","",IFERROR(INDEX(MUSTERILER!$B$7:$B$106,MATCH($R296,MUSTERILER!$T$7:$T$106,0)),IFERROR(INDEX(MUSTERILER!$B$7:$B$106,MATCH($D296,MUSTERILER!$B$7:$B$106,0)),IFERROR(INDEX(MUSTERILER!$B$7:$B$106,MATCH($R296&amp;"*",MUSTERILER!$T$7:$T$106,0)),"TANIMSIZ MÜŞTERİ"))))</f>
        <v/>
      </c>
      <c r="D296" s="109" t="inlineStr">
        <is>
          <t>PALAOĞULLARI LTD.ŞTİ.</t>
        </is>
      </c>
      <c r="E296" s="220" t="n">
        <v>46151</v>
      </c>
      <c r="F296" s="221" t="n">
        <v>4000</v>
      </c>
      <c r="G296" s="108" t="inlineStr">
        <is>
          <t>ÖMER KARTAL</t>
        </is>
      </c>
      <c r="H296" s="108" t="inlineStr">
        <is>
          <t>Nakit</t>
        </is>
      </c>
      <c r="I296" s="109" t="n"/>
      <c r="J296" s="109" t="inlineStr">
        <is>
          <t>NAKİT ÖDENEN</t>
        </is>
      </c>
      <c r="K296" s="109" t="n"/>
      <c r="L296" s="226">
        <f>IF($E296="","",DATE(YEAR($E296),MONTH($E296),1))</f>
        <v/>
      </c>
      <c r="M296" s="113">
        <f>IF($D296="","",IF($C296="TANIMSIZ MÜŞTERİ","HATA",IF(OR($E296="",$F296&lt;=0,$G296=""),"EKSİK",IF($E296&gt;TODAY(),"İLERİ TARİH",IF(COUNTIF($S$7:$S$1506,$S296)&gt;1,"MÜKERRER?",IF($T296&gt;0,"KAPALI DÖNEM","UYGUN"))))))</f>
        <v/>
      </c>
      <c r="N296" s="121">
        <f>IF($C296="","",IF($C296="TANIMSIZ MÜŞTERİ","—",INDEX(MUSTERILER!$C$7:$C$106,MATCH($C296,MUSTERILER!$B$7:$B$106,0))))</f>
        <v/>
      </c>
      <c r="O296" s="6" t="n"/>
      <c r="P296" s="6" t="n"/>
      <c r="Q296" s="3">
        <f>IF($D296="","",$C296&amp;"|"&amp;COUNTIFS($C$7:$C296,$C296))</f>
        <v/>
      </c>
      <c r="R296" s="3">
        <f>IF($D296="","",UPPER(SUBSTITUTE(SUBSTITUTE(SUBSTITUTE(SUBSTITUTE(SUBSTITUTE(SUBSTITUTE(SUBSTITUTE(SUBSTITUTE(SUBSTITUTE(SUBSTITUTE(SUBSTITUTE(SUBSTITUTE(SUBSTITUTE(SUBSTITUTE(SUBSTITUTE(SUBSTITUTE(SUBSTITUTE(SUBSTITUTE(TRIM($D296),"'",""),"İ","I"),"ı","I"),"i","I"),"Ş","S"),"ş","S"),"Ğ","G"),"ğ","G"),"Ü","U"),"ü","U"),"Ö","O"),"ö","O"),"Ç","C"),"ç","C"),".",""),",","")," ",""),"-","")))</f>
        <v/>
      </c>
      <c r="S296" s="3">
        <f>IF($D296="","",$C296&amp;"|"&amp;TEXT($E296,"0")&amp;"|"&amp;TEXT($F296,"0")&amp;"|"&amp;$I296)</f>
        <v/>
      </c>
      <c r="T296" s="3">
        <f>IF($E296="",0,SUMPRODUCT((AY_SONU!$O$7:$O$42="Evet")*(AY_SONU!$B$7:$B$42=DATE(YEAR($E296),MONTH($E296),1))))</f>
        <v/>
      </c>
    </row>
    <row r="297">
      <c r="A297" s="6" t="n"/>
      <c r="B297" s="113">
        <f>IF($D297="","","T"&amp;TEXT(ROW()-6,"00000"))</f>
        <v/>
      </c>
      <c r="C297" s="113">
        <f>IF($D297="","",IFERROR(INDEX(MUSTERILER!$B$7:$B$106,MATCH($R297,MUSTERILER!$T$7:$T$106,0)),IFERROR(INDEX(MUSTERILER!$B$7:$B$106,MATCH($D297,MUSTERILER!$B$7:$B$106,0)),IFERROR(INDEX(MUSTERILER!$B$7:$B$106,MATCH($R297&amp;"*",MUSTERILER!$T$7:$T$106,0)),"TANIMSIZ MÜŞTERİ"))))</f>
        <v/>
      </c>
      <c r="D297" s="109" t="inlineStr">
        <is>
          <t>YALIKENT LTD.ŞTİ.</t>
        </is>
      </c>
      <c r="E297" s="220" t="n">
        <v>46151</v>
      </c>
      <c r="F297" s="221" t="n">
        <v>4000</v>
      </c>
      <c r="G297" s="108" t="inlineStr">
        <is>
          <t>MERKEZ KASA</t>
        </is>
      </c>
      <c r="H297" s="108" t="inlineStr">
        <is>
          <t>Nakit</t>
        </is>
      </c>
      <c r="I297" s="109" t="n"/>
      <c r="J297" s="109" t="inlineStr">
        <is>
          <t>NAKİT ÖDENEN</t>
        </is>
      </c>
      <c r="K297" s="109" t="n"/>
      <c r="L297" s="226">
        <f>IF($E297="","",DATE(YEAR($E297),MONTH($E297),1))</f>
        <v/>
      </c>
      <c r="M297" s="113">
        <f>IF($D297="","",IF($C297="TANIMSIZ MÜŞTERİ","HATA",IF(OR($E297="",$F297&lt;=0,$G297=""),"EKSİK",IF($E297&gt;TODAY(),"İLERİ TARİH",IF(COUNTIF($S$7:$S$1506,$S297)&gt;1,"MÜKERRER?",IF($T297&gt;0,"KAPALI DÖNEM","UYGUN"))))))</f>
        <v/>
      </c>
      <c r="N297" s="121">
        <f>IF($C297="","",IF($C297="TANIMSIZ MÜŞTERİ","—",INDEX(MUSTERILER!$C$7:$C$106,MATCH($C297,MUSTERILER!$B$7:$B$106,0))))</f>
        <v/>
      </c>
      <c r="O297" s="6" t="n"/>
      <c r="P297" s="6" t="n"/>
      <c r="Q297" s="3">
        <f>IF($D297="","",$C297&amp;"|"&amp;COUNTIFS($C$7:$C297,$C297))</f>
        <v/>
      </c>
      <c r="R297" s="3">
        <f>IF($D297="","",UPPER(SUBSTITUTE(SUBSTITUTE(SUBSTITUTE(SUBSTITUTE(SUBSTITUTE(SUBSTITUTE(SUBSTITUTE(SUBSTITUTE(SUBSTITUTE(SUBSTITUTE(SUBSTITUTE(SUBSTITUTE(SUBSTITUTE(SUBSTITUTE(SUBSTITUTE(SUBSTITUTE(SUBSTITUTE(SUBSTITUTE(TRIM($D297),"'",""),"İ","I"),"ı","I"),"i","I"),"Ş","S"),"ş","S"),"Ğ","G"),"ğ","G"),"Ü","U"),"ü","U"),"Ö","O"),"ö","O"),"Ç","C"),"ç","C"),".",""),",","")," ",""),"-","")))</f>
        <v/>
      </c>
      <c r="S297" s="3">
        <f>IF($D297="","",$C297&amp;"|"&amp;TEXT($E297,"0")&amp;"|"&amp;TEXT($F297,"0")&amp;"|"&amp;$I297)</f>
        <v/>
      </c>
      <c r="T297" s="3">
        <f>IF($E297="",0,SUMPRODUCT((AY_SONU!$O$7:$O$42="Evet")*(AY_SONU!$B$7:$B$42=DATE(YEAR($E297),MONTH($E297),1))))</f>
        <v/>
      </c>
    </row>
    <row r="298">
      <c r="A298" s="6" t="n"/>
      <c r="B298" s="113">
        <f>IF($D298="","","T"&amp;TEXT(ROW()-6,"00000"))</f>
        <v/>
      </c>
      <c r="C298" s="113">
        <f>IF($D298="","",IFERROR(INDEX(MUSTERILER!$B$7:$B$106,MATCH($R298,MUSTERILER!$T$7:$T$106,0)),IFERROR(INDEX(MUSTERILER!$B$7:$B$106,MATCH($D298,MUSTERILER!$B$7:$B$106,0)),IFERROR(INDEX(MUSTERILER!$B$7:$B$106,MATCH($R298&amp;"*",MUSTERILER!$T$7:$T$106,0)),"TANIMSIZ MÜŞTERİ"))))</f>
        <v/>
      </c>
      <c r="D298" s="109" t="inlineStr">
        <is>
          <t>Ankara Havana Ltd.Şti.</t>
        </is>
      </c>
      <c r="E298" s="220" t="n">
        <v>46158</v>
      </c>
      <c r="F298" s="221" t="n">
        <v>14000</v>
      </c>
      <c r="G298" s="108" t="inlineStr">
        <is>
          <t>MERKEZ KASA</t>
        </is>
      </c>
      <c r="H298" s="108" t="inlineStr">
        <is>
          <t>Nakit</t>
        </is>
      </c>
      <c r="I298" s="109" t="n"/>
      <c r="J298" s="109" t="inlineStr">
        <is>
          <t>NAKİT ÖDENEN</t>
        </is>
      </c>
      <c r="K298" s="109" t="n"/>
      <c r="L298" s="226">
        <f>IF($E298="","",DATE(YEAR($E298),MONTH($E298),1))</f>
        <v/>
      </c>
      <c r="M298" s="113">
        <f>IF($D298="","",IF($C298="TANIMSIZ MÜŞTERİ","HATA",IF(OR($E298="",$F298&lt;=0,$G298=""),"EKSİK",IF($E298&gt;TODAY(),"İLERİ TARİH",IF(COUNTIF($S$7:$S$1506,$S298)&gt;1,"MÜKERRER?",IF($T298&gt;0,"KAPALI DÖNEM","UYGUN"))))))</f>
        <v/>
      </c>
      <c r="N298" s="121">
        <f>IF($C298="","",IF($C298="TANIMSIZ MÜŞTERİ","—",INDEX(MUSTERILER!$C$7:$C$106,MATCH($C298,MUSTERILER!$B$7:$B$106,0))))</f>
        <v/>
      </c>
      <c r="O298" s="6" t="n"/>
      <c r="P298" s="6" t="n"/>
      <c r="Q298" s="3">
        <f>IF($D298="","",$C298&amp;"|"&amp;COUNTIFS($C$7:$C298,$C298))</f>
        <v/>
      </c>
      <c r="R298" s="3">
        <f>IF($D298="","",UPPER(SUBSTITUTE(SUBSTITUTE(SUBSTITUTE(SUBSTITUTE(SUBSTITUTE(SUBSTITUTE(SUBSTITUTE(SUBSTITUTE(SUBSTITUTE(SUBSTITUTE(SUBSTITUTE(SUBSTITUTE(SUBSTITUTE(SUBSTITUTE(SUBSTITUTE(SUBSTITUTE(SUBSTITUTE(SUBSTITUTE(TRIM($D298),"'",""),"İ","I"),"ı","I"),"i","I"),"Ş","S"),"ş","S"),"Ğ","G"),"ğ","G"),"Ü","U"),"ü","U"),"Ö","O"),"ö","O"),"Ç","C"),"ç","C"),".",""),",","")," ",""),"-","")))</f>
        <v/>
      </c>
      <c r="S298" s="3">
        <f>IF($D298="","",$C298&amp;"|"&amp;TEXT($E298,"0")&amp;"|"&amp;TEXT($F298,"0")&amp;"|"&amp;$I298)</f>
        <v/>
      </c>
      <c r="T298" s="3">
        <f>IF($E298="",0,SUMPRODUCT((AY_SONU!$O$7:$O$42="Evet")*(AY_SONU!$B$7:$B$42=DATE(YEAR($E298),MONTH($E298),1))))</f>
        <v/>
      </c>
    </row>
    <row r="299">
      <c r="A299" s="6" t="n"/>
      <c r="B299" s="113">
        <f>IF($D299="","","T"&amp;TEXT(ROW()-6,"00000"))</f>
        <v/>
      </c>
      <c r="C299" s="113">
        <f>IF($D299="","",IFERROR(INDEX(MUSTERILER!$B$7:$B$106,MATCH($R299,MUSTERILER!$T$7:$T$106,0)),IFERROR(INDEX(MUSTERILER!$B$7:$B$106,MATCH($D299,MUSTERILER!$B$7:$B$106,0)),IFERROR(INDEX(MUSTERILER!$B$7:$B$106,MATCH($R299&amp;"*",MUSTERILER!$T$7:$T$106,0)),"TANIMSIZ MÜŞTERİ"))))</f>
        <v/>
      </c>
      <c r="D299" s="109" t="inlineStr">
        <is>
          <t>ASIM AÇIKGÖZ</t>
        </is>
      </c>
      <c r="E299" s="220" t="n">
        <v>46158</v>
      </c>
      <c r="F299" s="221" t="n">
        <v>2000</v>
      </c>
      <c r="G299" s="108" t="inlineStr">
        <is>
          <t>MERKEZ KASA</t>
        </is>
      </c>
      <c r="H299" s="108" t="inlineStr">
        <is>
          <t>Nakit</t>
        </is>
      </c>
      <c r="I299" s="109" t="n"/>
      <c r="J299" s="109" t="inlineStr">
        <is>
          <t>NAKİT ÖDENEN</t>
        </is>
      </c>
      <c r="K299" s="109" t="n"/>
      <c r="L299" s="226">
        <f>IF($E299="","",DATE(YEAR($E299),MONTH($E299),1))</f>
        <v/>
      </c>
      <c r="M299" s="113">
        <f>IF($D299="","",IF($C299="TANIMSIZ MÜŞTERİ","HATA",IF(OR($E299="",$F299&lt;=0,$G299=""),"EKSİK",IF($E299&gt;TODAY(),"İLERİ TARİH",IF(COUNTIF($S$7:$S$1506,$S299)&gt;1,"MÜKERRER?",IF($T299&gt;0,"KAPALI DÖNEM","UYGUN"))))))</f>
        <v/>
      </c>
      <c r="N299" s="121">
        <f>IF($C299="","",IF($C299="TANIMSIZ MÜŞTERİ","—",INDEX(MUSTERILER!$C$7:$C$106,MATCH($C299,MUSTERILER!$B$7:$B$106,0))))</f>
        <v/>
      </c>
      <c r="O299" s="6" t="n"/>
      <c r="P299" s="6" t="n"/>
      <c r="Q299" s="3">
        <f>IF($D299="","",$C299&amp;"|"&amp;COUNTIFS($C$7:$C299,$C299))</f>
        <v/>
      </c>
      <c r="R299" s="3">
        <f>IF($D299="","",UPPER(SUBSTITUTE(SUBSTITUTE(SUBSTITUTE(SUBSTITUTE(SUBSTITUTE(SUBSTITUTE(SUBSTITUTE(SUBSTITUTE(SUBSTITUTE(SUBSTITUTE(SUBSTITUTE(SUBSTITUTE(SUBSTITUTE(SUBSTITUTE(SUBSTITUTE(SUBSTITUTE(SUBSTITUTE(SUBSTITUTE(TRIM($D299),"'",""),"İ","I"),"ı","I"),"i","I"),"Ş","S"),"ş","S"),"Ğ","G"),"ğ","G"),"Ü","U"),"ü","U"),"Ö","O"),"ö","O"),"Ç","C"),"ç","C"),".",""),",","")," ",""),"-","")))</f>
        <v/>
      </c>
      <c r="S299" s="3">
        <f>IF($D299="","",$C299&amp;"|"&amp;TEXT($E299,"0")&amp;"|"&amp;TEXT($F299,"0")&amp;"|"&amp;$I299)</f>
        <v/>
      </c>
      <c r="T299" s="3">
        <f>IF($E299="",0,SUMPRODUCT((AY_SONU!$O$7:$O$42="Evet")*(AY_SONU!$B$7:$B$42=DATE(YEAR($E299),MONTH($E299),1))))</f>
        <v/>
      </c>
    </row>
    <row r="300">
      <c r="A300" s="6" t="n"/>
      <c r="B300" s="113">
        <f>IF($D300="","","T"&amp;TEXT(ROW()-6,"00000"))</f>
        <v/>
      </c>
      <c r="C300" s="113">
        <f>IF($D300="","",IFERROR(INDEX(MUSTERILER!$B$7:$B$106,MATCH($R300,MUSTERILER!$T$7:$T$106,0)),IFERROR(INDEX(MUSTERILER!$B$7:$B$106,MATCH($D300,MUSTERILER!$B$7:$B$106,0)),IFERROR(INDEX(MUSTERILER!$B$7:$B$106,MATCH($R300&amp;"*",MUSTERILER!$T$7:$T$106,0)),"TANIMSIZ MÜŞTERİ"))))</f>
        <v/>
      </c>
      <c r="D300" s="109" t="inlineStr">
        <is>
          <t>ASM EĞLENCE LTD.ŞTİ.</t>
        </is>
      </c>
      <c r="E300" s="220" t="n">
        <v>46158</v>
      </c>
      <c r="F300" s="221" t="n">
        <v>2500</v>
      </c>
      <c r="G300" s="108" t="inlineStr">
        <is>
          <t>ÖMER KARTAL</t>
        </is>
      </c>
      <c r="H300" s="108" t="inlineStr">
        <is>
          <t>Nakit</t>
        </is>
      </c>
      <c r="I300" s="109" t="n"/>
      <c r="J300" s="109" t="inlineStr">
        <is>
          <t>NAKİT ÖDENEN</t>
        </is>
      </c>
      <c r="K300" s="109" t="n"/>
      <c r="L300" s="226">
        <f>IF($E300="","",DATE(YEAR($E300),MONTH($E300),1))</f>
        <v/>
      </c>
      <c r="M300" s="113">
        <f>IF($D300="","",IF($C300="TANIMSIZ MÜŞTERİ","HATA",IF(OR($E300="",$F300&lt;=0,$G300=""),"EKSİK",IF($E300&gt;TODAY(),"İLERİ TARİH",IF(COUNTIF($S$7:$S$1506,$S300)&gt;1,"MÜKERRER?",IF($T300&gt;0,"KAPALI DÖNEM","UYGUN"))))))</f>
        <v/>
      </c>
      <c r="N300" s="121">
        <f>IF($C300="","",IF($C300="TANIMSIZ MÜŞTERİ","—",INDEX(MUSTERILER!$C$7:$C$106,MATCH($C300,MUSTERILER!$B$7:$B$106,0))))</f>
        <v/>
      </c>
      <c r="O300" s="6" t="n"/>
      <c r="P300" s="6" t="n"/>
      <c r="Q300" s="3">
        <f>IF($D300="","",$C300&amp;"|"&amp;COUNTIFS($C$7:$C300,$C300))</f>
        <v/>
      </c>
      <c r="R300" s="3">
        <f>IF($D300="","",UPPER(SUBSTITUTE(SUBSTITUTE(SUBSTITUTE(SUBSTITUTE(SUBSTITUTE(SUBSTITUTE(SUBSTITUTE(SUBSTITUTE(SUBSTITUTE(SUBSTITUTE(SUBSTITUTE(SUBSTITUTE(SUBSTITUTE(SUBSTITUTE(SUBSTITUTE(SUBSTITUTE(SUBSTITUTE(SUBSTITUTE(TRIM($D300),"'",""),"İ","I"),"ı","I"),"i","I"),"Ş","S"),"ş","S"),"Ğ","G"),"ğ","G"),"Ü","U"),"ü","U"),"Ö","O"),"ö","O"),"Ç","C"),"ç","C"),".",""),",","")," ",""),"-","")))</f>
        <v/>
      </c>
      <c r="S300" s="3">
        <f>IF($D300="","",$C300&amp;"|"&amp;TEXT($E300,"0")&amp;"|"&amp;TEXT($F300,"0")&amp;"|"&amp;$I300)</f>
        <v/>
      </c>
      <c r="T300" s="3">
        <f>IF($E300="",0,SUMPRODUCT((AY_SONU!$O$7:$O$42="Evet")*(AY_SONU!$B$7:$B$42=DATE(YEAR($E300),MONTH($E300),1))))</f>
        <v/>
      </c>
    </row>
    <row r="301">
      <c r="A301" s="6" t="n"/>
      <c r="B301" s="113">
        <f>IF($D301="","","T"&amp;TEXT(ROW()-6,"00000"))</f>
        <v/>
      </c>
      <c r="C301" s="113">
        <f>IF($D301="","",IFERROR(INDEX(MUSTERILER!$B$7:$B$106,MATCH($R301,MUSTERILER!$T$7:$T$106,0)),IFERROR(INDEX(MUSTERILER!$B$7:$B$106,MATCH($D301,MUSTERILER!$B$7:$B$106,0)),IFERROR(INDEX(MUSTERILER!$B$7:$B$106,MATCH($R301&amp;"*",MUSTERILER!$T$7:$T$106,0)),"TANIMSIZ MÜŞTERİ"))))</f>
        <v/>
      </c>
      <c r="D301" s="109" t="inlineStr">
        <is>
          <t>Çayıralan Ltd.Şti.</t>
        </is>
      </c>
      <c r="E301" s="220" t="n">
        <v>46158</v>
      </c>
      <c r="F301" s="221" t="n">
        <v>4000</v>
      </c>
      <c r="G301" s="108" t="inlineStr">
        <is>
          <t>MERKEZ KASA</t>
        </is>
      </c>
      <c r="H301" s="108" t="inlineStr">
        <is>
          <t>Nakit</t>
        </is>
      </c>
      <c r="I301" s="109" t="n"/>
      <c r="J301" s="109" t="inlineStr">
        <is>
          <t>NAKİT ÖDENEN</t>
        </is>
      </c>
      <c r="K301" s="109" t="n"/>
      <c r="L301" s="226">
        <f>IF($E301="","",DATE(YEAR($E301),MONTH($E301),1))</f>
        <v/>
      </c>
      <c r="M301" s="113">
        <f>IF($D301="","",IF($C301="TANIMSIZ MÜŞTERİ","HATA",IF(OR($E301="",$F301&lt;=0,$G301=""),"EKSİK",IF($E301&gt;TODAY(),"İLERİ TARİH",IF(COUNTIF($S$7:$S$1506,$S301)&gt;1,"MÜKERRER?",IF($T301&gt;0,"KAPALI DÖNEM","UYGUN"))))))</f>
        <v/>
      </c>
      <c r="N301" s="121">
        <f>IF($C301="","",IF($C301="TANIMSIZ MÜŞTERİ","—",INDEX(MUSTERILER!$C$7:$C$106,MATCH($C301,MUSTERILER!$B$7:$B$106,0))))</f>
        <v/>
      </c>
      <c r="O301" s="6" t="n"/>
      <c r="P301" s="6" t="n"/>
      <c r="Q301" s="3">
        <f>IF($D301="","",$C301&amp;"|"&amp;COUNTIFS($C$7:$C301,$C301))</f>
        <v/>
      </c>
      <c r="R301" s="3">
        <f>IF($D301="","",UPPER(SUBSTITUTE(SUBSTITUTE(SUBSTITUTE(SUBSTITUTE(SUBSTITUTE(SUBSTITUTE(SUBSTITUTE(SUBSTITUTE(SUBSTITUTE(SUBSTITUTE(SUBSTITUTE(SUBSTITUTE(SUBSTITUTE(SUBSTITUTE(SUBSTITUTE(SUBSTITUTE(SUBSTITUTE(SUBSTITUTE(TRIM($D301),"'",""),"İ","I"),"ı","I"),"i","I"),"Ş","S"),"ş","S"),"Ğ","G"),"ğ","G"),"Ü","U"),"ü","U"),"Ö","O"),"ö","O"),"Ç","C"),"ç","C"),".",""),",","")," ",""),"-","")))</f>
        <v/>
      </c>
      <c r="S301" s="3">
        <f>IF($D301="","",$C301&amp;"|"&amp;TEXT($E301,"0")&amp;"|"&amp;TEXT($F301,"0")&amp;"|"&amp;$I301)</f>
        <v/>
      </c>
      <c r="T301" s="3">
        <f>IF($E301="",0,SUMPRODUCT((AY_SONU!$O$7:$O$42="Evet")*(AY_SONU!$B$7:$B$42=DATE(YEAR($E301),MONTH($E301),1))))</f>
        <v/>
      </c>
    </row>
    <row r="302">
      <c r="A302" s="6" t="n"/>
      <c r="B302" s="113">
        <f>IF($D302="","","T"&amp;TEXT(ROW()-6,"00000"))</f>
        <v/>
      </c>
      <c r="C302" s="113">
        <f>IF($D302="","",IFERROR(INDEX(MUSTERILER!$B$7:$B$106,MATCH($R302,MUSTERILER!$T$7:$T$106,0)),IFERROR(INDEX(MUSTERILER!$B$7:$B$106,MATCH($D302,MUSTERILER!$B$7:$B$106,0)),IFERROR(INDEX(MUSTERILER!$B$7:$B$106,MATCH($R302&amp;"*",MUSTERILER!$T$7:$T$106,0)),"TANIMSIZ MÜŞTERİ"))))</f>
        <v/>
      </c>
      <c r="D302" s="109" t="inlineStr">
        <is>
          <t>Eğlengör Ltd.Şti.</t>
        </is>
      </c>
      <c r="E302" s="220" t="n">
        <v>46158</v>
      </c>
      <c r="F302" s="221" t="n">
        <v>4000</v>
      </c>
      <c r="G302" s="108" t="inlineStr">
        <is>
          <t>MERKEZ KASA</t>
        </is>
      </c>
      <c r="H302" s="108" t="inlineStr">
        <is>
          <t>Nakit</t>
        </is>
      </c>
      <c r="I302" s="109" t="n"/>
      <c r="J302" s="109" t="inlineStr">
        <is>
          <t>NAKİT ÖDENEN</t>
        </is>
      </c>
      <c r="K302" s="109" t="n"/>
      <c r="L302" s="226">
        <f>IF($E302="","",DATE(YEAR($E302),MONTH($E302),1))</f>
        <v/>
      </c>
      <c r="M302" s="113">
        <f>IF($D302="","",IF($C302="TANIMSIZ MÜŞTERİ","HATA",IF(OR($E302="",$F302&lt;=0,$G302=""),"EKSİK",IF($E302&gt;TODAY(),"İLERİ TARİH",IF(COUNTIF($S$7:$S$1506,$S302)&gt;1,"MÜKERRER?",IF($T302&gt;0,"KAPALI DÖNEM","UYGUN"))))))</f>
        <v/>
      </c>
      <c r="N302" s="121">
        <f>IF($C302="","",IF($C302="TANIMSIZ MÜŞTERİ","—",INDEX(MUSTERILER!$C$7:$C$106,MATCH($C302,MUSTERILER!$B$7:$B$106,0))))</f>
        <v/>
      </c>
      <c r="O302" s="6" t="n"/>
      <c r="P302" s="6" t="n"/>
      <c r="Q302" s="3">
        <f>IF($D302="","",$C302&amp;"|"&amp;COUNTIFS($C$7:$C302,$C302))</f>
        <v/>
      </c>
      <c r="R302" s="3">
        <f>IF($D302="","",UPPER(SUBSTITUTE(SUBSTITUTE(SUBSTITUTE(SUBSTITUTE(SUBSTITUTE(SUBSTITUTE(SUBSTITUTE(SUBSTITUTE(SUBSTITUTE(SUBSTITUTE(SUBSTITUTE(SUBSTITUTE(SUBSTITUTE(SUBSTITUTE(SUBSTITUTE(SUBSTITUTE(SUBSTITUTE(SUBSTITUTE(TRIM($D302),"'",""),"İ","I"),"ı","I"),"i","I"),"Ş","S"),"ş","S"),"Ğ","G"),"ğ","G"),"Ü","U"),"ü","U"),"Ö","O"),"ö","O"),"Ç","C"),"ç","C"),".",""),",","")," ",""),"-","")))</f>
        <v/>
      </c>
      <c r="S302" s="3">
        <f>IF($D302="","",$C302&amp;"|"&amp;TEXT($E302,"0")&amp;"|"&amp;TEXT($F302,"0")&amp;"|"&amp;$I302)</f>
        <v/>
      </c>
      <c r="T302" s="3">
        <f>IF($E302="",0,SUMPRODUCT((AY_SONU!$O$7:$O$42="Evet")*(AY_SONU!$B$7:$B$42=DATE(YEAR($E302),MONTH($E302),1))))</f>
        <v/>
      </c>
    </row>
    <row r="303">
      <c r="A303" s="6" t="n"/>
      <c r="B303" s="113">
        <f>IF($D303="","","T"&amp;TEXT(ROW()-6,"00000"))</f>
        <v/>
      </c>
      <c r="C303" s="113">
        <f>IF($D303="","",IFERROR(INDEX(MUSTERILER!$B$7:$B$106,MATCH($R303,MUSTERILER!$T$7:$T$106,0)),IFERROR(INDEX(MUSTERILER!$B$7:$B$106,MATCH($D303,MUSTERILER!$B$7:$B$106,0)),IFERROR(INDEX(MUSTERILER!$B$7:$B$106,MATCH($R303&amp;"*",MUSTERILER!$T$7:$T$106,0)),"TANIMSIZ MÜŞTERİ"))))</f>
        <v/>
      </c>
      <c r="D303" s="109" t="inlineStr">
        <is>
          <t>Final Siyah Beyaz Ltd.Şti.</t>
        </is>
      </c>
      <c r="E303" s="220" t="n">
        <v>46158</v>
      </c>
      <c r="F303" s="221" t="n">
        <v>4000</v>
      </c>
      <c r="G303" s="108" t="inlineStr">
        <is>
          <t>MERKEZ KASA</t>
        </is>
      </c>
      <c r="H303" s="108" t="inlineStr">
        <is>
          <t>Nakit</t>
        </is>
      </c>
      <c r="I303" s="109" t="n"/>
      <c r="J303" s="109" t="inlineStr">
        <is>
          <t>NAKİT ÖDENEN</t>
        </is>
      </c>
      <c r="K303" s="109" t="n"/>
      <c r="L303" s="226">
        <f>IF($E303="","",DATE(YEAR($E303),MONTH($E303),1))</f>
        <v/>
      </c>
      <c r="M303" s="113">
        <f>IF($D303="","",IF($C303="TANIMSIZ MÜŞTERİ","HATA",IF(OR($E303="",$F303&lt;=0,$G303=""),"EKSİK",IF($E303&gt;TODAY(),"İLERİ TARİH",IF(COUNTIF($S$7:$S$1506,$S303)&gt;1,"MÜKERRER?",IF($T303&gt;0,"KAPALI DÖNEM","UYGUN"))))))</f>
        <v/>
      </c>
      <c r="N303" s="121">
        <f>IF($C303="","",IF($C303="TANIMSIZ MÜŞTERİ","—",INDEX(MUSTERILER!$C$7:$C$106,MATCH($C303,MUSTERILER!$B$7:$B$106,0))))</f>
        <v/>
      </c>
      <c r="O303" s="6" t="n"/>
      <c r="P303" s="6" t="n"/>
      <c r="Q303" s="3">
        <f>IF($D303="","",$C303&amp;"|"&amp;COUNTIFS($C$7:$C303,$C303))</f>
        <v/>
      </c>
      <c r="R303" s="3">
        <f>IF($D303="","",UPPER(SUBSTITUTE(SUBSTITUTE(SUBSTITUTE(SUBSTITUTE(SUBSTITUTE(SUBSTITUTE(SUBSTITUTE(SUBSTITUTE(SUBSTITUTE(SUBSTITUTE(SUBSTITUTE(SUBSTITUTE(SUBSTITUTE(SUBSTITUTE(SUBSTITUTE(SUBSTITUTE(SUBSTITUTE(SUBSTITUTE(TRIM($D303),"'",""),"İ","I"),"ı","I"),"i","I"),"Ş","S"),"ş","S"),"Ğ","G"),"ğ","G"),"Ü","U"),"ü","U"),"Ö","O"),"ö","O"),"Ç","C"),"ç","C"),".",""),",","")," ",""),"-","")))</f>
        <v/>
      </c>
      <c r="S303" s="3">
        <f>IF($D303="","",$C303&amp;"|"&amp;TEXT($E303,"0")&amp;"|"&amp;TEXT($F303,"0")&amp;"|"&amp;$I303)</f>
        <v/>
      </c>
      <c r="T303" s="3">
        <f>IF($E303="",0,SUMPRODUCT((AY_SONU!$O$7:$O$42="Evet")*(AY_SONU!$B$7:$B$42=DATE(YEAR($E303),MONTH($E303),1))))</f>
        <v/>
      </c>
    </row>
    <row r="304">
      <c r="A304" s="6" t="n"/>
      <c r="B304" s="113">
        <f>IF($D304="","","T"&amp;TEXT(ROW()-6,"00000"))</f>
        <v/>
      </c>
      <c r="C304" s="113">
        <f>IF($D304="","",IFERROR(INDEX(MUSTERILER!$B$7:$B$106,MATCH($R304,MUSTERILER!$T$7:$T$106,0)),IFERROR(INDEX(MUSTERILER!$B$7:$B$106,MATCH($D304,MUSTERILER!$B$7:$B$106,0)),IFERROR(INDEX(MUSTERILER!$B$7:$B$106,MATCH($R304&amp;"*",MUSTERILER!$T$7:$T$106,0)),"TANIMSIZ MÜŞTERİ"))))</f>
        <v/>
      </c>
      <c r="D304" s="109" t="inlineStr">
        <is>
          <t>İbrahim Maldan</t>
        </is>
      </c>
      <c r="E304" s="220" t="n">
        <v>46158</v>
      </c>
      <c r="F304" s="221" t="n">
        <v>4000</v>
      </c>
      <c r="G304" s="108" t="inlineStr">
        <is>
          <t>MERKEZ KASA</t>
        </is>
      </c>
      <c r="H304" s="108" t="inlineStr">
        <is>
          <t>Nakit</t>
        </is>
      </c>
      <c r="I304" s="109" t="n"/>
      <c r="J304" s="109" t="inlineStr">
        <is>
          <t>NAKİT ÖDENEN</t>
        </is>
      </c>
      <c r="K304" s="109" t="n"/>
      <c r="L304" s="226">
        <f>IF($E304="","",DATE(YEAR($E304),MONTH($E304),1))</f>
        <v/>
      </c>
      <c r="M304" s="113">
        <f>IF($D304="","",IF($C304="TANIMSIZ MÜŞTERİ","HATA",IF(OR($E304="",$F304&lt;=0,$G304=""),"EKSİK",IF($E304&gt;TODAY(),"İLERİ TARİH",IF(COUNTIF($S$7:$S$1506,$S304)&gt;1,"MÜKERRER?",IF($T304&gt;0,"KAPALI DÖNEM","UYGUN"))))))</f>
        <v/>
      </c>
      <c r="N304" s="121">
        <f>IF($C304="","",IF($C304="TANIMSIZ MÜŞTERİ","—",INDEX(MUSTERILER!$C$7:$C$106,MATCH($C304,MUSTERILER!$B$7:$B$106,0))))</f>
        <v/>
      </c>
      <c r="O304" s="6" t="n"/>
      <c r="P304" s="6" t="n"/>
      <c r="Q304" s="3">
        <f>IF($D304="","",$C304&amp;"|"&amp;COUNTIFS($C$7:$C304,$C304))</f>
        <v/>
      </c>
      <c r="R304" s="3">
        <f>IF($D304="","",UPPER(SUBSTITUTE(SUBSTITUTE(SUBSTITUTE(SUBSTITUTE(SUBSTITUTE(SUBSTITUTE(SUBSTITUTE(SUBSTITUTE(SUBSTITUTE(SUBSTITUTE(SUBSTITUTE(SUBSTITUTE(SUBSTITUTE(SUBSTITUTE(SUBSTITUTE(SUBSTITUTE(SUBSTITUTE(SUBSTITUTE(TRIM($D304),"'",""),"İ","I"),"ı","I"),"i","I"),"Ş","S"),"ş","S"),"Ğ","G"),"ğ","G"),"Ü","U"),"ü","U"),"Ö","O"),"ö","O"),"Ç","C"),"ç","C"),".",""),",","")," ",""),"-","")))</f>
        <v/>
      </c>
      <c r="S304" s="3">
        <f>IF($D304="","",$C304&amp;"|"&amp;TEXT($E304,"0")&amp;"|"&amp;TEXT($F304,"0")&amp;"|"&amp;$I304)</f>
        <v/>
      </c>
      <c r="T304" s="3">
        <f>IF($E304="",0,SUMPRODUCT((AY_SONU!$O$7:$O$42="Evet")*(AY_SONU!$B$7:$B$42=DATE(YEAR($E304),MONTH($E304),1))))</f>
        <v/>
      </c>
    </row>
    <row r="305">
      <c r="A305" s="6" t="n"/>
      <c r="B305" s="113">
        <f>IF($D305="","","T"&amp;TEXT(ROW()-6,"00000"))</f>
        <v/>
      </c>
      <c r="C305" s="113">
        <f>IF($D305="","",IFERROR(INDEX(MUSTERILER!$B$7:$B$106,MATCH($R305,MUSTERILER!$T$7:$T$106,0)),IFERROR(INDEX(MUSTERILER!$B$7:$B$106,MATCH($D305,MUSTERILER!$B$7:$B$106,0)),IFERROR(INDEX(MUSTERILER!$B$7:$B$106,MATCH($R305&amp;"*",MUSTERILER!$T$7:$T$106,0)),"TANIMSIZ MÜŞTERİ"))))</f>
        <v/>
      </c>
      <c r="D305" s="109" t="inlineStr">
        <is>
          <t>İldeş Ltd.Şti.</t>
        </is>
      </c>
      <c r="E305" s="220" t="n">
        <v>46158</v>
      </c>
      <c r="F305" s="221" t="n">
        <v>4000</v>
      </c>
      <c r="G305" s="108" t="inlineStr">
        <is>
          <t>MERKEZ KASA</t>
        </is>
      </c>
      <c r="H305" s="108" t="inlineStr">
        <is>
          <t>Nakit</t>
        </is>
      </c>
      <c r="I305" s="109" t="n"/>
      <c r="J305" s="109" t="inlineStr">
        <is>
          <t>NAKİT ÖDENEN</t>
        </is>
      </c>
      <c r="K305" s="109" t="n"/>
      <c r="L305" s="226">
        <f>IF($E305="","",DATE(YEAR($E305),MONTH($E305),1))</f>
        <v/>
      </c>
      <c r="M305" s="113">
        <f>IF($D305="","",IF($C305="TANIMSIZ MÜŞTERİ","HATA",IF(OR($E305="",$F305&lt;=0,$G305=""),"EKSİK",IF($E305&gt;TODAY(),"İLERİ TARİH",IF(COUNTIF($S$7:$S$1506,$S305)&gt;1,"MÜKERRER?",IF($T305&gt;0,"KAPALI DÖNEM","UYGUN"))))))</f>
        <v/>
      </c>
      <c r="N305" s="121">
        <f>IF($C305="","",IF($C305="TANIMSIZ MÜŞTERİ","—",INDEX(MUSTERILER!$C$7:$C$106,MATCH($C305,MUSTERILER!$B$7:$B$106,0))))</f>
        <v/>
      </c>
      <c r="O305" s="6" t="n"/>
      <c r="P305" s="6" t="n"/>
      <c r="Q305" s="3">
        <f>IF($D305="","",$C305&amp;"|"&amp;COUNTIFS($C$7:$C305,$C305))</f>
        <v/>
      </c>
      <c r="R305" s="3">
        <f>IF($D305="","",UPPER(SUBSTITUTE(SUBSTITUTE(SUBSTITUTE(SUBSTITUTE(SUBSTITUTE(SUBSTITUTE(SUBSTITUTE(SUBSTITUTE(SUBSTITUTE(SUBSTITUTE(SUBSTITUTE(SUBSTITUTE(SUBSTITUTE(SUBSTITUTE(SUBSTITUTE(SUBSTITUTE(SUBSTITUTE(SUBSTITUTE(TRIM($D305),"'",""),"İ","I"),"ı","I"),"i","I"),"Ş","S"),"ş","S"),"Ğ","G"),"ğ","G"),"Ü","U"),"ü","U"),"Ö","O"),"ö","O"),"Ç","C"),"ç","C"),".",""),",","")," ",""),"-","")))</f>
        <v/>
      </c>
      <c r="S305" s="3">
        <f>IF($D305="","",$C305&amp;"|"&amp;TEXT($E305,"0")&amp;"|"&amp;TEXT($F305,"0")&amp;"|"&amp;$I305)</f>
        <v/>
      </c>
      <c r="T305" s="3">
        <f>IF($E305="",0,SUMPRODUCT((AY_SONU!$O$7:$O$42="Evet")*(AY_SONU!$B$7:$B$42=DATE(YEAR($E305),MONTH($E305),1))))</f>
        <v/>
      </c>
    </row>
    <row r="306">
      <c r="A306" s="6" t="n"/>
      <c r="B306" s="113">
        <f>IF($D306="","","T"&amp;TEXT(ROW()-6,"00000"))</f>
        <v/>
      </c>
      <c r="C306" s="113">
        <f>IF($D306="","",IFERROR(INDEX(MUSTERILER!$B$7:$B$106,MATCH($R306,MUSTERILER!$T$7:$T$106,0)),IFERROR(INDEX(MUSTERILER!$B$7:$B$106,MATCH($D306,MUSTERILER!$B$7:$B$106,0)),IFERROR(INDEX(MUSTERILER!$B$7:$B$106,MATCH($R306&amp;"*",MUSTERILER!$T$7:$T$106,0)),"TANIMSIZ MÜŞTERİ"))))</f>
        <v/>
      </c>
      <c r="D306" s="109" t="inlineStr">
        <is>
          <t>Monamour Ltd.Şti.</t>
        </is>
      </c>
      <c r="E306" s="220" t="n">
        <v>46158</v>
      </c>
      <c r="F306" s="221" t="n">
        <v>3500</v>
      </c>
      <c r="G306" s="108" t="inlineStr">
        <is>
          <t>MERKEZ KASA</t>
        </is>
      </c>
      <c r="H306" s="108" t="inlineStr">
        <is>
          <t>Nakit</t>
        </is>
      </c>
      <c r="I306" s="109" t="n"/>
      <c r="J306" s="109" t="inlineStr">
        <is>
          <t>NAKİT ÖDENEN</t>
        </is>
      </c>
      <c r="K306" s="109" t="n"/>
      <c r="L306" s="226">
        <f>IF($E306="","",DATE(YEAR($E306),MONTH($E306),1))</f>
        <v/>
      </c>
      <c r="M306" s="113">
        <f>IF($D306="","",IF($C306="TANIMSIZ MÜŞTERİ","HATA",IF(OR($E306="",$F306&lt;=0,$G306=""),"EKSİK",IF($E306&gt;TODAY(),"İLERİ TARİH",IF(COUNTIF($S$7:$S$1506,$S306)&gt;1,"MÜKERRER?",IF($T306&gt;0,"KAPALI DÖNEM","UYGUN"))))))</f>
        <v/>
      </c>
      <c r="N306" s="121">
        <f>IF($C306="","",IF($C306="TANIMSIZ MÜŞTERİ","—",INDEX(MUSTERILER!$C$7:$C$106,MATCH($C306,MUSTERILER!$B$7:$B$106,0))))</f>
        <v/>
      </c>
      <c r="O306" s="6" t="n"/>
      <c r="P306" s="6" t="n"/>
      <c r="Q306" s="3">
        <f>IF($D306="","",$C306&amp;"|"&amp;COUNTIFS($C$7:$C306,$C306))</f>
        <v/>
      </c>
      <c r="R306" s="3">
        <f>IF($D306="","",UPPER(SUBSTITUTE(SUBSTITUTE(SUBSTITUTE(SUBSTITUTE(SUBSTITUTE(SUBSTITUTE(SUBSTITUTE(SUBSTITUTE(SUBSTITUTE(SUBSTITUTE(SUBSTITUTE(SUBSTITUTE(SUBSTITUTE(SUBSTITUTE(SUBSTITUTE(SUBSTITUTE(SUBSTITUTE(SUBSTITUTE(TRIM($D306),"'",""),"İ","I"),"ı","I"),"i","I"),"Ş","S"),"ş","S"),"Ğ","G"),"ğ","G"),"Ü","U"),"ü","U"),"Ö","O"),"ö","O"),"Ç","C"),"ç","C"),".",""),",","")," ",""),"-","")))</f>
        <v/>
      </c>
      <c r="S306" s="3">
        <f>IF($D306="","",$C306&amp;"|"&amp;TEXT($E306,"0")&amp;"|"&amp;TEXT($F306,"0")&amp;"|"&amp;$I306)</f>
        <v/>
      </c>
      <c r="T306" s="3">
        <f>IF($E306="",0,SUMPRODUCT((AY_SONU!$O$7:$O$42="Evet")*(AY_SONU!$B$7:$B$42=DATE(YEAR($E306),MONTH($E306),1))))</f>
        <v/>
      </c>
    </row>
    <row r="307">
      <c r="A307" s="6" t="n"/>
      <c r="B307" s="113">
        <f>IF($D307="","","T"&amp;TEXT(ROW()-6,"00000"))</f>
        <v/>
      </c>
      <c r="C307" s="113">
        <f>IF($D307="","",IFERROR(INDEX(MUSTERILER!$B$7:$B$106,MATCH($R307,MUSTERILER!$T$7:$T$106,0)),IFERROR(INDEX(MUSTERILER!$B$7:$B$106,MATCH($D307,MUSTERILER!$B$7:$B$106,0)),IFERROR(INDEX(MUSTERILER!$B$7:$B$106,MATCH($R307&amp;"*",MUSTERILER!$T$7:$T$106,0)),"TANIMSIZ MÜŞTERİ"))))</f>
        <v/>
      </c>
      <c r="D307" s="109" t="inlineStr">
        <is>
          <t>Naz 1 Gıda Ltd.Şti.</t>
        </is>
      </c>
      <c r="E307" s="220" t="n">
        <v>46158</v>
      </c>
      <c r="F307" s="221" t="n">
        <v>2000</v>
      </c>
      <c r="G307" s="108" t="inlineStr">
        <is>
          <t>MERKEZ KASA</t>
        </is>
      </c>
      <c r="H307" s="108" t="inlineStr">
        <is>
          <t>Nakit</t>
        </is>
      </c>
      <c r="I307" s="109" t="n"/>
      <c r="J307" s="109" t="inlineStr">
        <is>
          <t>NAKİT ÖDENEN</t>
        </is>
      </c>
      <c r="K307" s="109" t="n"/>
      <c r="L307" s="226">
        <f>IF($E307="","",DATE(YEAR($E307),MONTH($E307),1))</f>
        <v/>
      </c>
      <c r="M307" s="113">
        <f>IF($D307="","",IF($C307="TANIMSIZ MÜŞTERİ","HATA",IF(OR($E307="",$F307&lt;=0,$G307=""),"EKSİK",IF($E307&gt;TODAY(),"İLERİ TARİH",IF(COUNTIF($S$7:$S$1506,$S307)&gt;1,"MÜKERRER?",IF($T307&gt;0,"KAPALI DÖNEM","UYGUN"))))))</f>
        <v/>
      </c>
      <c r="N307" s="121">
        <f>IF($C307="","",IF($C307="TANIMSIZ MÜŞTERİ","—",INDEX(MUSTERILER!$C$7:$C$106,MATCH($C307,MUSTERILER!$B$7:$B$106,0))))</f>
        <v/>
      </c>
      <c r="O307" s="6" t="n"/>
      <c r="P307" s="6" t="n"/>
      <c r="Q307" s="3">
        <f>IF($D307="","",$C307&amp;"|"&amp;COUNTIFS($C$7:$C307,$C307))</f>
        <v/>
      </c>
      <c r="R307" s="3">
        <f>IF($D307="","",UPPER(SUBSTITUTE(SUBSTITUTE(SUBSTITUTE(SUBSTITUTE(SUBSTITUTE(SUBSTITUTE(SUBSTITUTE(SUBSTITUTE(SUBSTITUTE(SUBSTITUTE(SUBSTITUTE(SUBSTITUTE(SUBSTITUTE(SUBSTITUTE(SUBSTITUTE(SUBSTITUTE(SUBSTITUTE(SUBSTITUTE(TRIM($D307),"'",""),"İ","I"),"ı","I"),"i","I"),"Ş","S"),"ş","S"),"Ğ","G"),"ğ","G"),"Ü","U"),"ü","U"),"Ö","O"),"ö","O"),"Ç","C"),"ç","C"),".",""),",","")," ",""),"-","")))</f>
        <v/>
      </c>
      <c r="S307" s="3">
        <f>IF($D307="","",$C307&amp;"|"&amp;TEXT($E307,"0")&amp;"|"&amp;TEXT($F307,"0")&amp;"|"&amp;$I307)</f>
        <v/>
      </c>
      <c r="T307" s="3">
        <f>IF($E307="",0,SUMPRODUCT((AY_SONU!$O$7:$O$42="Evet")*(AY_SONU!$B$7:$B$42=DATE(YEAR($E307),MONTH($E307),1))))</f>
        <v/>
      </c>
    </row>
    <row r="308">
      <c r="A308" s="6" t="n"/>
      <c r="B308" s="113">
        <f>IF($D308="","","T"&amp;TEXT(ROW()-6,"00000"))</f>
        <v/>
      </c>
      <c r="C308" s="113">
        <f>IF($D308="","",IFERROR(INDEX(MUSTERILER!$B$7:$B$106,MATCH($R308,MUSTERILER!$T$7:$T$106,0)),IFERROR(INDEX(MUSTERILER!$B$7:$B$106,MATCH($D308,MUSTERILER!$B$7:$B$106,0)),IFERROR(INDEX(MUSTERILER!$B$7:$B$106,MATCH($R308&amp;"*",MUSTERILER!$T$7:$T$106,0)),"TANIMSIZ MÜŞTERİ"))))</f>
        <v/>
      </c>
      <c r="D308" s="109" t="inlineStr">
        <is>
          <t>Pakyıldız Ltd.Şti.</t>
        </is>
      </c>
      <c r="E308" s="220" t="n">
        <v>46158</v>
      </c>
      <c r="F308" s="221" t="n">
        <v>4000</v>
      </c>
      <c r="G308" s="108" t="inlineStr">
        <is>
          <t>MERKEZ KASA</t>
        </is>
      </c>
      <c r="H308" s="108" t="inlineStr">
        <is>
          <t>Nakit</t>
        </is>
      </c>
      <c r="I308" s="109" t="n"/>
      <c r="J308" s="109" t="inlineStr">
        <is>
          <t>NAKİT ÖDENEN</t>
        </is>
      </c>
      <c r="K308" s="109" t="n"/>
      <c r="L308" s="226">
        <f>IF($E308="","",DATE(YEAR($E308),MONTH($E308),1))</f>
        <v/>
      </c>
      <c r="M308" s="113">
        <f>IF($D308="","",IF($C308="TANIMSIZ MÜŞTERİ","HATA",IF(OR($E308="",$F308&lt;=0,$G308=""),"EKSİK",IF($E308&gt;TODAY(),"İLERİ TARİH",IF(COUNTIF($S$7:$S$1506,$S308)&gt;1,"MÜKERRER?",IF($T308&gt;0,"KAPALI DÖNEM","UYGUN"))))))</f>
        <v/>
      </c>
      <c r="N308" s="121">
        <f>IF($C308="","",IF($C308="TANIMSIZ MÜŞTERİ","—",INDEX(MUSTERILER!$C$7:$C$106,MATCH($C308,MUSTERILER!$B$7:$B$106,0))))</f>
        <v/>
      </c>
      <c r="O308" s="6" t="n"/>
      <c r="P308" s="6" t="n"/>
      <c r="Q308" s="3">
        <f>IF($D308="","",$C308&amp;"|"&amp;COUNTIFS($C$7:$C308,$C308))</f>
        <v/>
      </c>
      <c r="R308" s="3">
        <f>IF($D308="","",UPPER(SUBSTITUTE(SUBSTITUTE(SUBSTITUTE(SUBSTITUTE(SUBSTITUTE(SUBSTITUTE(SUBSTITUTE(SUBSTITUTE(SUBSTITUTE(SUBSTITUTE(SUBSTITUTE(SUBSTITUTE(SUBSTITUTE(SUBSTITUTE(SUBSTITUTE(SUBSTITUTE(SUBSTITUTE(SUBSTITUTE(TRIM($D308),"'",""),"İ","I"),"ı","I"),"i","I"),"Ş","S"),"ş","S"),"Ğ","G"),"ğ","G"),"Ü","U"),"ü","U"),"Ö","O"),"ö","O"),"Ç","C"),"ç","C"),".",""),",","")," ",""),"-","")))</f>
        <v/>
      </c>
      <c r="S308" s="3">
        <f>IF($D308="","",$C308&amp;"|"&amp;TEXT($E308,"0")&amp;"|"&amp;TEXT($F308,"0")&amp;"|"&amp;$I308)</f>
        <v/>
      </c>
      <c r="T308" s="3">
        <f>IF($E308="",0,SUMPRODUCT((AY_SONU!$O$7:$O$42="Evet")*(AY_SONU!$B$7:$B$42=DATE(YEAR($E308),MONTH($E308),1))))</f>
        <v/>
      </c>
    </row>
    <row r="309">
      <c r="A309" s="6" t="n"/>
      <c r="B309" s="113">
        <f>IF($D309="","","T"&amp;TEXT(ROW()-6,"00000"))</f>
        <v/>
      </c>
      <c r="C309" s="113">
        <f>IF($D309="","",IFERROR(INDEX(MUSTERILER!$B$7:$B$106,MATCH($R309,MUSTERILER!$T$7:$T$106,0)),IFERROR(INDEX(MUSTERILER!$B$7:$B$106,MATCH($D309,MUSTERILER!$B$7:$B$106,0)),IFERROR(INDEX(MUSTERILER!$B$7:$B$106,MATCH($R309&amp;"*",MUSTERILER!$T$7:$T$106,0)),"TANIMSIZ MÜŞTERİ"))))</f>
        <v/>
      </c>
      <c r="D309" s="109" t="inlineStr">
        <is>
          <t>Zümrüt Grup Ltd.Şti.</t>
        </is>
      </c>
      <c r="E309" s="220" t="n">
        <v>46158</v>
      </c>
      <c r="F309" s="221" t="n">
        <v>1750</v>
      </c>
      <c r="G309" s="108" t="inlineStr">
        <is>
          <t>MERKEZ KASA</t>
        </is>
      </c>
      <c r="H309" s="108" t="inlineStr">
        <is>
          <t>Nakit</t>
        </is>
      </c>
      <c r="I309" s="109" t="n"/>
      <c r="J309" s="109" t="inlineStr">
        <is>
          <t>NAKİT ÖDENEN</t>
        </is>
      </c>
      <c r="K309" s="109" t="n"/>
      <c r="L309" s="226">
        <f>IF($E309="","",DATE(YEAR($E309),MONTH($E309),1))</f>
        <v/>
      </c>
      <c r="M309" s="113">
        <f>IF($D309="","",IF($C309="TANIMSIZ MÜŞTERİ","HATA",IF(OR($E309="",$F309&lt;=0,$G309=""),"EKSİK",IF($E309&gt;TODAY(),"İLERİ TARİH",IF(COUNTIF($S$7:$S$1506,$S309)&gt;1,"MÜKERRER?",IF($T309&gt;0,"KAPALI DÖNEM","UYGUN"))))))</f>
        <v/>
      </c>
      <c r="N309" s="121">
        <f>IF($C309="","",IF($C309="TANIMSIZ MÜŞTERİ","—",INDEX(MUSTERILER!$C$7:$C$106,MATCH($C309,MUSTERILER!$B$7:$B$106,0))))</f>
        <v/>
      </c>
      <c r="O309" s="6" t="n"/>
      <c r="P309" s="6" t="n"/>
      <c r="Q309" s="3">
        <f>IF($D309="","",$C309&amp;"|"&amp;COUNTIFS($C$7:$C309,$C309))</f>
        <v/>
      </c>
      <c r="R309" s="3">
        <f>IF($D309="","",UPPER(SUBSTITUTE(SUBSTITUTE(SUBSTITUTE(SUBSTITUTE(SUBSTITUTE(SUBSTITUTE(SUBSTITUTE(SUBSTITUTE(SUBSTITUTE(SUBSTITUTE(SUBSTITUTE(SUBSTITUTE(SUBSTITUTE(SUBSTITUTE(SUBSTITUTE(SUBSTITUTE(SUBSTITUTE(SUBSTITUTE(TRIM($D309),"'",""),"İ","I"),"ı","I"),"i","I"),"Ş","S"),"ş","S"),"Ğ","G"),"ğ","G"),"Ü","U"),"ü","U"),"Ö","O"),"ö","O"),"Ç","C"),"ç","C"),".",""),",","")," ",""),"-","")))</f>
        <v/>
      </c>
      <c r="S309" s="3">
        <f>IF($D309="","",$C309&amp;"|"&amp;TEXT($E309,"0")&amp;"|"&amp;TEXT($F309,"0")&amp;"|"&amp;$I309)</f>
        <v/>
      </c>
      <c r="T309" s="3">
        <f>IF($E309="",0,SUMPRODUCT((AY_SONU!$O$7:$O$42="Evet")*(AY_SONU!$B$7:$B$42=DATE(YEAR($E309),MONTH($E309),1))))</f>
        <v/>
      </c>
    </row>
    <row r="310">
      <c r="A310" s="6" t="n"/>
      <c r="B310" s="113">
        <f>IF($D310="","","T"&amp;TEXT(ROW()-6,"00000"))</f>
        <v/>
      </c>
      <c r="C310" s="113">
        <f>IF($D310="","",IFERROR(INDEX(MUSTERILER!$B$7:$B$106,MATCH($R310,MUSTERILER!$T$7:$T$106,0)),IFERROR(INDEX(MUSTERILER!$B$7:$B$106,MATCH($D310,MUSTERILER!$B$7:$B$106,0)),IFERROR(INDEX(MUSTERILER!$B$7:$B$106,MATCH($R310&amp;"*",MUSTERILER!$T$7:$T$106,0)),"TANIMSIZ MÜŞTERİ"))))</f>
        <v/>
      </c>
      <c r="D310" s="109" t="inlineStr">
        <is>
          <t>ÇINARHAN LTD.ŞTİ.</t>
        </is>
      </c>
      <c r="E310" s="220" t="n">
        <v>46158</v>
      </c>
      <c r="F310" s="221" t="n">
        <v>2500</v>
      </c>
      <c r="G310" s="108" t="inlineStr">
        <is>
          <t>MERKEZ KASA</t>
        </is>
      </c>
      <c r="H310" s="108" t="inlineStr">
        <is>
          <t>Nakit</t>
        </is>
      </c>
      <c r="I310" s="109" t="n"/>
      <c r="J310" s="109" t="inlineStr">
        <is>
          <t>NAKİT ÖDENEN</t>
        </is>
      </c>
      <c r="K310" s="109" t="n"/>
      <c r="L310" s="226">
        <f>IF($E310="","",DATE(YEAR($E310),MONTH($E310),1))</f>
        <v/>
      </c>
      <c r="M310" s="113">
        <f>IF($D310="","",IF($C310="TANIMSIZ MÜŞTERİ","HATA",IF(OR($E310="",$F310&lt;=0,$G310=""),"EKSİK",IF($E310&gt;TODAY(),"İLERİ TARİH",IF(COUNTIF($S$7:$S$1506,$S310)&gt;1,"MÜKERRER?",IF($T310&gt;0,"KAPALI DÖNEM","UYGUN"))))))</f>
        <v/>
      </c>
      <c r="N310" s="121">
        <f>IF($C310="","",IF($C310="TANIMSIZ MÜŞTERİ","—",INDEX(MUSTERILER!$C$7:$C$106,MATCH($C310,MUSTERILER!$B$7:$B$106,0))))</f>
        <v/>
      </c>
      <c r="O310" s="6" t="n"/>
      <c r="P310" s="6" t="n"/>
      <c r="Q310" s="3">
        <f>IF($D310="","",$C310&amp;"|"&amp;COUNTIFS($C$7:$C310,$C310))</f>
        <v/>
      </c>
      <c r="R310" s="3">
        <f>IF($D310="","",UPPER(SUBSTITUTE(SUBSTITUTE(SUBSTITUTE(SUBSTITUTE(SUBSTITUTE(SUBSTITUTE(SUBSTITUTE(SUBSTITUTE(SUBSTITUTE(SUBSTITUTE(SUBSTITUTE(SUBSTITUTE(SUBSTITUTE(SUBSTITUTE(SUBSTITUTE(SUBSTITUTE(SUBSTITUTE(SUBSTITUTE(TRIM($D310),"'",""),"İ","I"),"ı","I"),"i","I"),"Ş","S"),"ş","S"),"Ğ","G"),"ğ","G"),"Ü","U"),"ü","U"),"Ö","O"),"ö","O"),"Ç","C"),"ç","C"),".",""),",","")," ",""),"-","")))</f>
        <v/>
      </c>
      <c r="S310" s="3">
        <f>IF($D310="","",$C310&amp;"|"&amp;TEXT($E310,"0")&amp;"|"&amp;TEXT($F310,"0")&amp;"|"&amp;$I310)</f>
        <v/>
      </c>
      <c r="T310" s="3">
        <f>IF($E310="",0,SUMPRODUCT((AY_SONU!$O$7:$O$42="Evet")*(AY_SONU!$B$7:$B$42=DATE(YEAR($E310),MONTH($E310),1))))</f>
        <v/>
      </c>
    </row>
    <row r="311">
      <c r="A311" s="6" t="n"/>
      <c r="B311" s="113">
        <f>IF($D311="","","T"&amp;TEXT(ROW()-6,"00000"))</f>
        <v/>
      </c>
      <c r="C311" s="113">
        <f>IF($D311="","",IFERROR(INDEX(MUSTERILER!$B$7:$B$106,MATCH($R311,MUSTERILER!$T$7:$T$106,0)),IFERROR(INDEX(MUSTERILER!$B$7:$B$106,MATCH($D311,MUSTERILER!$B$7:$B$106,0)),IFERROR(INDEX(MUSTERILER!$B$7:$B$106,MATCH($R311&amp;"*",MUSTERILER!$T$7:$T$106,0)),"TANIMSIZ MÜŞTERİ"))))</f>
        <v/>
      </c>
      <c r="D311" s="109" t="inlineStr">
        <is>
          <t>KRİSTAL LTD.ŞTİ.</t>
        </is>
      </c>
      <c r="E311" s="220" t="n">
        <v>46158</v>
      </c>
      <c r="F311" s="221" t="n">
        <v>3000</v>
      </c>
      <c r="G311" s="108" t="inlineStr">
        <is>
          <t>MERKEZ KASA</t>
        </is>
      </c>
      <c r="H311" s="108" t="inlineStr">
        <is>
          <t>Nakit</t>
        </is>
      </c>
      <c r="I311" s="109" t="n"/>
      <c r="J311" s="109" t="inlineStr">
        <is>
          <t>NAKİT ÖDENEN</t>
        </is>
      </c>
      <c r="K311" s="109" t="n"/>
      <c r="L311" s="226">
        <f>IF($E311="","",DATE(YEAR($E311),MONTH($E311),1))</f>
        <v/>
      </c>
      <c r="M311" s="113">
        <f>IF($D311="","",IF($C311="TANIMSIZ MÜŞTERİ","HATA",IF(OR($E311="",$F311&lt;=0,$G311=""),"EKSİK",IF($E311&gt;TODAY(),"İLERİ TARİH",IF(COUNTIF($S$7:$S$1506,$S311)&gt;1,"MÜKERRER?",IF($T311&gt;0,"KAPALI DÖNEM","UYGUN"))))))</f>
        <v/>
      </c>
      <c r="N311" s="121">
        <f>IF($C311="","",IF($C311="TANIMSIZ MÜŞTERİ","—",INDEX(MUSTERILER!$C$7:$C$106,MATCH($C311,MUSTERILER!$B$7:$B$106,0))))</f>
        <v/>
      </c>
      <c r="O311" s="6" t="n"/>
      <c r="P311" s="6" t="n"/>
      <c r="Q311" s="3">
        <f>IF($D311="","",$C311&amp;"|"&amp;COUNTIFS($C$7:$C311,$C311))</f>
        <v/>
      </c>
      <c r="R311" s="3">
        <f>IF($D311="","",UPPER(SUBSTITUTE(SUBSTITUTE(SUBSTITUTE(SUBSTITUTE(SUBSTITUTE(SUBSTITUTE(SUBSTITUTE(SUBSTITUTE(SUBSTITUTE(SUBSTITUTE(SUBSTITUTE(SUBSTITUTE(SUBSTITUTE(SUBSTITUTE(SUBSTITUTE(SUBSTITUTE(SUBSTITUTE(SUBSTITUTE(TRIM($D311),"'",""),"İ","I"),"ı","I"),"i","I"),"Ş","S"),"ş","S"),"Ğ","G"),"ğ","G"),"Ü","U"),"ü","U"),"Ö","O"),"ö","O"),"Ç","C"),"ç","C"),".",""),",","")," ",""),"-","")))</f>
        <v/>
      </c>
      <c r="S311" s="3">
        <f>IF($D311="","",$C311&amp;"|"&amp;TEXT($E311,"0")&amp;"|"&amp;TEXT($F311,"0")&amp;"|"&amp;$I311)</f>
        <v/>
      </c>
      <c r="T311" s="3">
        <f>IF($E311="",0,SUMPRODUCT((AY_SONU!$O$7:$O$42="Evet")*(AY_SONU!$B$7:$B$42=DATE(YEAR($E311),MONTH($E311),1))))</f>
        <v/>
      </c>
    </row>
    <row r="312">
      <c r="A312" s="6" t="n"/>
      <c r="B312" s="113">
        <f>IF($D312="","","T"&amp;TEXT(ROW()-6,"00000"))</f>
        <v/>
      </c>
      <c r="C312" s="113">
        <f>IF($D312="","",IFERROR(INDEX(MUSTERILER!$B$7:$B$106,MATCH($R312,MUSTERILER!$T$7:$T$106,0)),IFERROR(INDEX(MUSTERILER!$B$7:$B$106,MATCH($D312,MUSTERILER!$B$7:$B$106,0)),IFERROR(INDEX(MUSTERILER!$B$7:$B$106,MATCH($R312&amp;"*",MUSTERILER!$T$7:$T$106,0)),"TANIMSIZ MÜŞTERİ"))))</f>
        <v/>
      </c>
      <c r="D312" s="109" t="inlineStr">
        <is>
          <t>PALAOĞULLARI LTD.ŞTİ.</t>
        </is>
      </c>
      <c r="E312" s="220" t="n">
        <v>46158</v>
      </c>
      <c r="F312" s="221" t="n">
        <v>4000</v>
      </c>
      <c r="G312" s="108" t="inlineStr">
        <is>
          <t>MERKEZ KASA</t>
        </is>
      </c>
      <c r="H312" s="108" t="inlineStr">
        <is>
          <t>Nakit</t>
        </is>
      </c>
      <c r="I312" s="109" t="n"/>
      <c r="J312" s="109" t="inlineStr">
        <is>
          <t>NAKİT ÖDENEN</t>
        </is>
      </c>
      <c r="K312" s="109" t="n"/>
      <c r="L312" s="226">
        <f>IF($E312="","",DATE(YEAR($E312),MONTH($E312),1))</f>
        <v/>
      </c>
      <c r="M312" s="113">
        <f>IF($D312="","",IF($C312="TANIMSIZ MÜŞTERİ","HATA",IF(OR($E312="",$F312&lt;=0,$G312=""),"EKSİK",IF($E312&gt;TODAY(),"İLERİ TARİH",IF(COUNTIF($S$7:$S$1506,$S312)&gt;1,"MÜKERRER?",IF($T312&gt;0,"KAPALI DÖNEM","UYGUN"))))))</f>
        <v/>
      </c>
      <c r="N312" s="121">
        <f>IF($C312="","",IF($C312="TANIMSIZ MÜŞTERİ","—",INDEX(MUSTERILER!$C$7:$C$106,MATCH($C312,MUSTERILER!$B$7:$B$106,0))))</f>
        <v/>
      </c>
      <c r="O312" s="6" t="n"/>
      <c r="P312" s="6" t="n"/>
      <c r="Q312" s="3">
        <f>IF($D312="","",$C312&amp;"|"&amp;COUNTIFS($C$7:$C312,$C312))</f>
        <v/>
      </c>
      <c r="R312" s="3">
        <f>IF($D312="","",UPPER(SUBSTITUTE(SUBSTITUTE(SUBSTITUTE(SUBSTITUTE(SUBSTITUTE(SUBSTITUTE(SUBSTITUTE(SUBSTITUTE(SUBSTITUTE(SUBSTITUTE(SUBSTITUTE(SUBSTITUTE(SUBSTITUTE(SUBSTITUTE(SUBSTITUTE(SUBSTITUTE(SUBSTITUTE(SUBSTITUTE(TRIM($D312),"'",""),"İ","I"),"ı","I"),"i","I"),"Ş","S"),"ş","S"),"Ğ","G"),"ğ","G"),"Ü","U"),"ü","U"),"Ö","O"),"ö","O"),"Ç","C"),"ç","C"),".",""),",","")," ",""),"-","")))</f>
        <v/>
      </c>
      <c r="S312" s="3">
        <f>IF($D312="","",$C312&amp;"|"&amp;TEXT($E312,"0")&amp;"|"&amp;TEXT($F312,"0")&amp;"|"&amp;$I312)</f>
        <v/>
      </c>
      <c r="T312" s="3">
        <f>IF($E312="",0,SUMPRODUCT((AY_SONU!$O$7:$O$42="Evet")*(AY_SONU!$B$7:$B$42=DATE(YEAR($E312),MONTH($E312),1))))</f>
        <v/>
      </c>
    </row>
    <row r="313">
      <c r="A313" s="6" t="n"/>
      <c r="B313" s="113">
        <f>IF($D313="","","T"&amp;TEXT(ROW()-6,"00000"))</f>
        <v/>
      </c>
      <c r="C313" s="113">
        <f>IF($D313="","",IFERROR(INDEX(MUSTERILER!$B$7:$B$106,MATCH($R313,MUSTERILER!$T$7:$T$106,0)),IFERROR(INDEX(MUSTERILER!$B$7:$B$106,MATCH($D313,MUSTERILER!$B$7:$B$106,0)),IFERROR(INDEX(MUSTERILER!$B$7:$B$106,MATCH($R313&amp;"*",MUSTERILER!$T$7:$T$106,0)),"TANIMSIZ MÜŞTERİ"))))</f>
        <v/>
      </c>
      <c r="D313" s="109" t="inlineStr">
        <is>
          <t>YALIKENT LTD.ŞTİ.</t>
        </is>
      </c>
      <c r="E313" s="220" t="n">
        <v>46158</v>
      </c>
      <c r="F313" s="221" t="n">
        <v>4000</v>
      </c>
      <c r="G313" s="108" t="inlineStr">
        <is>
          <t>MERKEZ KASA</t>
        </is>
      </c>
      <c r="H313" s="108" t="inlineStr">
        <is>
          <t>Nakit</t>
        </is>
      </c>
      <c r="I313" s="109" t="n"/>
      <c r="J313" s="109" t="inlineStr">
        <is>
          <t>NAKİT ÖDENEN</t>
        </is>
      </c>
      <c r="K313" s="109" t="n"/>
      <c r="L313" s="226">
        <f>IF($E313="","",DATE(YEAR($E313),MONTH($E313),1))</f>
        <v/>
      </c>
      <c r="M313" s="113">
        <f>IF($D313="","",IF($C313="TANIMSIZ MÜŞTERİ","HATA",IF(OR($E313="",$F313&lt;=0,$G313=""),"EKSİK",IF($E313&gt;TODAY(),"İLERİ TARİH",IF(COUNTIF($S$7:$S$1506,$S313)&gt;1,"MÜKERRER?",IF($T313&gt;0,"KAPALI DÖNEM","UYGUN"))))))</f>
        <v/>
      </c>
      <c r="N313" s="121">
        <f>IF($C313="","",IF($C313="TANIMSIZ MÜŞTERİ","—",INDEX(MUSTERILER!$C$7:$C$106,MATCH($C313,MUSTERILER!$B$7:$B$106,0))))</f>
        <v/>
      </c>
      <c r="O313" s="6" t="n"/>
      <c r="P313" s="6" t="n"/>
      <c r="Q313" s="3">
        <f>IF($D313="","",$C313&amp;"|"&amp;COUNTIFS($C$7:$C313,$C313))</f>
        <v/>
      </c>
      <c r="R313" s="3">
        <f>IF($D313="","",UPPER(SUBSTITUTE(SUBSTITUTE(SUBSTITUTE(SUBSTITUTE(SUBSTITUTE(SUBSTITUTE(SUBSTITUTE(SUBSTITUTE(SUBSTITUTE(SUBSTITUTE(SUBSTITUTE(SUBSTITUTE(SUBSTITUTE(SUBSTITUTE(SUBSTITUTE(SUBSTITUTE(SUBSTITUTE(SUBSTITUTE(TRIM($D313),"'",""),"İ","I"),"ı","I"),"i","I"),"Ş","S"),"ş","S"),"Ğ","G"),"ğ","G"),"Ü","U"),"ü","U"),"Ö","O"),"ö","O"),"Ç","C"),"ç","C"),".",""),",","")," ",""),"-","")))</f>
        <v/>
      </c>
      <c r="S313" s="3">
        <f>IF($D313="","",$C313&amp;"|"&amp;TEXT($E313,"0")&amp;"|"&amp;TEXT($F313,"0")&amp;"|"&amp;$I313)</f>
        <v/>
      </c>
      <c r="T313" s="3">
        <f>IF($E313="",0,SUMPRODUCT((AY_SONU!$O$7:$O$42="Evet")*(AY_SONU!$B$7:$B$42=DATE(YEAR($E313),MONTH($E313),1))))</f>
        <v/>
      </c>
    </row>
    <row r="314">
      <c r="A314" s="6" t="n"/>
      <c r="B314" s="113">
        <f>IF($D314="","","T"&amp;TEXT(ROW()-6,"00000"))</f>
        <v/>
      </c>
      <c r="C314" s="113">
        <f>IF($D314="","",IFERROR(INDEX(MUSTERILER!$B$7:$B$106,MATCH($R314,MUSTERILER!$T$7:$T$106,0)),IFERROR(INDEX(MUSTERILER!$B$7:$B$106,MATCH($D314,MUSTERILER!$B$7:$B$106,0)),IFERROR(INDEX(MUSTERILER!$B$7:$B$106,MATCH($R314&amp;"*",MUSTERILER!$T$7:$T$106,0)),"TANIMSIZ MÜŞTERİ"))))</f>
        <v/>
      </c>
      <c r="D314" s="109" t="inlineStr">
        <is>
          <t>HALİL AVŞAR</t>
        </is>
      </c>
      <c r="E314" s="220" t="n">
        <v>46164</v>
      </c>
      <c r="F314" s="221" t="n">
        <v>6000</v>
      </c>
      <c r="G314" s="108" t="inlineStr">
        <is>
          <t>MERKEZ KASA</t>
        </is>
      </c>
      <c r="H314" s="108" t="inlineStr">
        <is>
          <t>Nakit</t>
        </is>
      </c>
      <c r="I314" s="109" t="n"/>
      <c r="J314" s="109" t="inlineStr">
        <is>
          <t>NAKİT ÖDENEN</t>
        </is>
      </c>
      <c r="K314" s="109" t="n"/>
      <c r="L314" s="226">
        <f>IF($E314="","",DATE(YEAR($E314),MONTH($E314),1))</f>
        <v/>
      </c>
      <c r="M314" s="113">
        <f>IF($D314="","",IF($C314="TANIMSIZ MÜŞTERİ","HATA",IF(OR($E314="",$F314&lt;=0,$G314=""),"EKSİK",IF($E314&gt;TODAY(),"İLERİ TARİH",IF(COUNTIF($S$7:$S$1506,$S314)&gt;1,"MÜKERRER?",IF($T314&gt;0,"KAPALI DÖNEM","UYGUN"))))))</f>
        <v/>
      </c>
      <c r="N314" s="121">
        <f>IF($C314="","",IF($C314="TANIMSIZ MÜŞTERİ","—",INDEX(MUSTERILER!$C$7:$C$106,MATCH($C314,MUSTERILER!$B$7:$B$106,0))))</f>
        <v/>
      </c>
      <c r="O314" s="6" t="n"/>
      <c r="P314" s="6" t="n"/>
      <c r="Q314" s="3">
        <f>IF($D314="","",$C314&amp;"|"&amp;COUNTIFS($C$7:$C314,$C314))</f>
        <v/>
      </c>
      <c r="R314" s="3">
        <f>IF($D314="","",UPPER(SUBSTITUTE(SUBSTITUTE(SUBSTITUTE(SUBSTITUTE(SUBSTITUTE(SUBSTITUTE(SUBSTITUTE(SUBSTITUTE(SUBSTITUTE(SUBSTITUTE(SUBSTITUTE(SUBSTITUTE(SUBSTITUTE(SUBSTITUTE(SUBSTITUTE(SUBSTITUTE(SUBSTITUTE(SUBSTITUTE(TRIM($D314),"'",""),"İ","I"),"ı","I"),"i","I"),"Ş","S"),"ş","S"),"Ğ","G"),"ğ","G"),"Ü","U"),"ü","U"),"Ö","O"),"ö","O"),"Ç","C"),"ç","C"),".",""),",","")," ",""),"-","")))</f>
        <v/>
      </c>
      <c r="S314" s="3">
        <f>IF($D314="","",$C314&amp;"|"&amp;TEXT($E314,"0")&amp;"|"&amp;TEXT($F314,"0")&amp;"|"&amp;$I314)</f>
        <v/>
      </c>
      <c r="T314" s="3">
        <f>IF($E314="",0,SUMPRODUCT((AY_SONU!$O$7:$O$42="Evet")*(AY_SONU!$B$7:$B$42=DATE(YEAR($E314),MONTH($E314),1))))</f>
        <v/>
      </c>
    </row>
    <row r="315">
      <c r="A315" s="6" t="n"/>
      <c r="B315" s="113">
        <f>IF($D315="","","T"&amp;TEXT(ROW()-6,"00000"))</f>
        <v/>
      </c>
      <c r="C315" s="113">
        <f>IF($D315="","",IFERROR(INDEX(MUSTERILER!$B$7:$B$106,MATCH($R315,MUSTERILER!$T$7:$T$106,0)),IFERROR(INDEX(MUSTERILER!$B$7:$B$106,MATCH($D315,MUSTERILER!$B$7:$B$106,0)),IFERROR(INDEX(MUSTERILER!$B$7:$B$106,MATCH($R315&amp;"*",MUSTERILER!$T$7:$T$106,0)),"TANIMSIZ MÜŞTERİ"))))</f>
        <v/>
      </c>
      <c r="D315" s="109" t="inlineStr">
        <is>
          <t>ASIM AÇIKGÖZ</t>
        </is>
      </c>
      <c r="E315" s="220" t="n">
        <v>46165</v>
      </c>
      <c r="F315" s="221" t="n">
        <v>2000</v>
      </c>
      <c r="G315" s="108" t="inlineStr">
        <is>
          <t>MERKEZ KASA</t>
        </is>
      </c>
      <c r="H315" s="108" t="inlineStr">
        <is>
          <t>Nakit</t>
        </is>
      </c>
      <c r="I315" s="109" t="n"/>
      <c r="J315" s="109" t="inlineStr">
        <is>
          <t>NAKİT ÖDENEN</t>
        </is>
      </c>
      <c r="K315" s="109" t="n"/>
      <c r="L315" s="226">
        <f>IF($E315="","",DATE(YEAR($E315),MONTH($E315),1))</f>
        <v/>
      </c>
      <c r="M315" s="113">
        <f>IF($D315="","",IF($C315="TANIMSIZ MÜŞTERİ","HATA",IF(OR($E315="",$F315&lt;=0,$G315=""),"EKSİK",IF($E315&gt;TODAY(),"İLERİ TARİH",IF(COUNTIF($S$7:$S$1506,$S315)&gt;1,"MÜKERRER?",IF($T315&gt;0,"KAPALI DÖNEM","UYGUN"))))))</f>
        <v/>
      </c>
      <c r="N315" s="121">
        <f>IF($C315="","",IF($C315="TANIMSIZ MÜŞTERİ","—",INDEX(MUSTERILER!$C$7:$C$106,MATCH($C315,MUSTERILER!$B$7:$B$106,0))))</f>
        <v/>
      </c>
      <c r="O315" s="6" t="n"/>
      <c r="P315" s="6" t="n"/>
      <c r="Q315" s="3">
        <f>IF($D315="","",$C315&amp;"|"&amp;COUNTIFS($C$7:$C315,$C315))</f>
        <v/>
      </c>
      <c r="R315" s="3">
        <f>IF($D315="","",UPPER(SUBSTITUTE(SUBSTITUTE(SUBSTITUTE(SUBSTITUTE(SUBSTITUTE(SUBSTITUTE(SUBSTITUTE(SUBSTITUTE(SUBSTITUTE(SUBSTITUTE(SUBSTITUTE(SUBSTITUTE(SUBSTITUTE(SUBSTITUTE(SUBSTITUTE(SUBSTITUTE(SUBSTITUTE(SUBSTITUTE(TRIM($D315),"'",""),"İ","I"),"ı","I"),"i","I"),"Ş","S"),"ş","S"),"Ğ","G"),"ğ","G"),"Ü","U"),"ü","U"),"Ö","O"),"ö","O"),"Ç","C"),"ç","C"),".",""),",","")," ",""),"-","")))</f>
        <v/>
      </c>
      <c r="S315" s="3">
        <f>IF($D315="","",$C315&amp;"|"&amp;TEXT($E315,"0")&amp;"|"&amp;TEXT($F315,"0")&amp;"|"&amp;$I315)</f>
        <v/>
      </c>
      <c r="T315" s="3">
        <f>IF($E315="",0,SUMPRODUCT((AY_SONU!$O$7:$O$42="Evet")*(AY_SONU!$B$7:$B$42=DATE(YEAR($E315),MONTH($E315),1))))</f>
        <v/>
      </c>
    </row>
    <row r="316">
      <c r="A316" s="6" t="n"/>
      <c r="B316" s="113">
        <f>IF($D316="","","T"&amp;TEXT(ROW()-6,"00000"))</f>
        <v/>
      </c>
      <c r="C316" s="113">
        <f>IF($D316="","",IFERROR(INDEX(MUSTERILER!$B$7:$B$106,MATCH($R316,MUSTERILER!$T$7:$T$106,0)),IFERROR(INDEX(MUSTERILER!$B$7:$B$106,MATCH($D316,MUSTERILER!$B$7:$B$106,0)),IFERROR(INDEX(MUSTERILER!$B$7:$B$106,MATCH($R316&amp;"*",MUSTERILER!$T$7:$T$106,0)),"TANIMSIZ MÜŞTERİ"))))</f>
        <v/>
      </c>
      <c r="D316" s="109" t="inlineStr">
        <is>
          <t>ASM EĞLENCE LTD.ŞTİ.</t>
        </is>
      </c>
      <c r="E316" s="220" t="n">
        <v>46165</v>
      </c>
      <c r="F316" s="221" t="n">
        <v>2500</v>
      </c>
      <c r="G316" s="108" t="inlineStr">
        <is>
          <t>MERKEZ KASA</t>
        </is>
      </c>
      <c r="H316" s="108" t="inlineStr">
        <is>
          <t>Nakit</t>
        </is>
      </c>
      <c r="I316" s="109" t="n"/>
      <c r="J316" s="109" t="inlineStr">
        <is>
          <t>NAKİT ÖDENEN</t>
        </is>
      </c>
      <c r="K316" s="109" t="n"/>
      <c r="L316" s="226">
        <f>IF($E316="","",DATE(YEAR($E316),MONTH($E316),1))</f>
        <v/>
      </c>
      <c r="M316" s="113">
        <f>IF($D316="","",IF($C316="TANIMSIZ MÜŞTERİ","HATA",IF(OR($E316="",$F316&lt;=0,$G316=""),"EKSİK",IF($E316&gt;TODAY(),"İLERİ TARİH",IF(COUNTIF($S$7:$S$1506,$S316)&gt;1,"MÜKERRER?",IF($T316&gt;0,"KAPALI DÖNEM","UYGUN"))))))</f>
        <v/>
      </c>
      <c r="N316" s="121">
        <f>IF($C316="","",IF($C316="TANIMSIZ MÜŞTERİ","—",INDEX(MUSTERILER!$C$7:$C$106,MATCH($C316,MUSTERILER!$B$7:$B$106,0))))</f>
        <v/>
      </c>
      <c r="O316" s="6" t="n"/>
      <c r="P316" s="6" t="n"/>
      <c r="Q316" s="3">
        <f>IF($D316="","",$C316&amp;"|"&amp;COUNTIFS($C$7:$C316,$C316))</f>
        <v/>
      </c>
      <c r="R316" s="3">
        <f>IF($D316="","",UPPER(SUBSTITUTE(SUBSTITUTE(SUBSTITUTE(SUBSTITUTE(SUBSTITUTE(SUBSTITUTE(SUBSTITUTE(SUBSTITUTE(SUBSTITUTE(SUBSTITUTE(SUBSTITUTE(SUBSTITUTE(SUBSTITUTE(SUBSTITUTE(SUBSTITUTE(SUBSTITUTE(SUBSTITUTE(SUBSTITUTE(TRIM($D316),"'",""),"İ","I"),"ı","I"),"i","I"),"Ş","S"),"ş","S"),"Ğ","G"),"ğ","G"),"Ü","U"),"ü","U"),"Ö","O"),"ö","O"),"Ç","C"),"ç","C"),".",""),",","")," ",""),"-","")))</f>
        <v/>
      </c>
      <c r="S316" s="3">
        <f>IF($D316="","",$C316&amp;"|"&amp;TEXT($E316,"0")&amp;"|"&amp;TEXT($F316,"0")&amp;"|"&amp;$I316)</f>
        <v/>
      </c>
      <c r="T316" s="3">
        <f>IF($E316="",0,SUMPRODUCT((AY_SONU!$O$7:$O$42="Evet")*(AY_SONU!$B$7:$B$42=DATE(YEAR($E316),MONTH($E316),1))))</f>
        <v/>
      </c>
    </row>
    <row r="317">
      <c r="A317" s="6" t="n"/>
      <c r="B317" s="113">
        <f>IF($D317="","","T"&amp;TEXT(ROW()-6,"00000"))</f>
        <v/>
      </c>
      <c r="C317" s="113">
        <f>IF($D317="","",IFERROR(INDEX(MUSTERILER!$B$7:$B$106,MATCH($R317,MUSTERILER!$T$7:$T$106,0)),IFERROR(INDEX(MUSTERILER!$B$7:$B$106,MATCH($D317,MUSTERILER!$B$7:$B$106,0)),IFERROR(INDEX(MUSTERILER!$B$7:$B$106,MATCH($R317&amp;"*",MUSTERILER!$T$7:$T$106,0)),"TANIMSIZ MÜŞTERİ"))))</f>
        <v/>
      </c>
      <c r="D317" s="109" t="inlineStr">
        <is>
          <t>Çayıralan Ltd.Şti.</t>
        </is>
      </c>
      <c r="E317" s="220" t="n">
        <v>46165</v>
      </c>
      <c r="F317" s="221" t="n">
        <v>3000</v>
      </c>
      <c r="G317" s="108" t="inlineStr">
        <is>
          <t>MERKEZ KASA</t>
        </is>
      </c>
      <c r="H317" s="108" t="inlineStr">
        <is>
          <t>Nakit</t>
        </is>
      </c>
      <c r="I317" s="109" t="n"/>
      <c r="J317" s="109" t="inlineStr">
        <is>
          <t>NAKİT ÖDENEN</t>
        </is>
      </c>
      <c r="K317" s="109" t="n"/>
      <c r="L317" s="226">
        <f>IF($E317="","",DATE(YEAR($E317),MONTH($E317),1))</f>
        <v/>
      </c>
      <c r="M317" s="113">
        <f>IF($D317="","",IF($C317="TANIMSIZ MÜŞTERİ","HATA",IF(OR($E317="",$F317&lt;=0,$G317=""),"EKSİK",IF($E317&gt;TODAY(),"İLERİ TARİH",IF(COUNTIF($S$7:$S$1506,$S317)&gt;1,"MÜKERRER?",IF($T317&gt;0,"KAPALI DÖNEM","UYGUN"))))))</f>
        <v/>
      </c>
      <c r="N317" s="121">
        <f>IF($C317="","",IF($C317="TANIMSIZ MÜŞTERİ","—",INDEX(MUSTERILER!$C$7:$C$106,MATCH($C317,MUSTERILER!$B$7:$B$106,0))))</f>
        <v/>
      </c>
      <c r="O317" s="6" t="n"/>
      <c r="P317" s="6" t="n"/>
      <c r="Q317" s="3">
        <f>IF($D317="","",$C317&amp;"|"&amp;COUNTIFS($C$7:$C317,$C317))</f>
        <v/>
      </c>
      <c r="R317" s="3">
        <f>IF($D317="","",UPPER(SUBSTITUTE(SUBSTITUTE(SUBSTITUTE(SUBSTITUTE(SUBSTITUTE(SUBSTITUTE(SUBSTITUTE(SUBSTITUTE(SUBSTITUTE(SUBSTITUTE(SUBSTITUTE(SUBSTITUTE(SUBSTITUTE(SUBSTITUTE(SUBSTITUTE(SUBSTITUTE(SUBSTITUTE(SUBSTITUTE(TRIM($D317),"'",""),"İ","I"),"ı","I"),"i","I"),"Ş","S"),"ş","S"),"Ğ","G"),"ğ","G"),"Ü","U"),"ü","U"),"Ö","O"),"ö","O"),"Ç","C"),"ç","C"),".",""),",","")," ",""),"-","")))</f>
        <v/>
      </c>
      <c r="S317" s="3">
        <f>IF($D317="","",$C317&amp;"|"&amp;TEXT($E317,"0")&amp;"|"&amp;TEXT($F317,"0")&amp;"|"&amp;$I317)</f>
        <v/>
      </c>
      <c r="T317" s="3">
        <f>IF($E317="",0,SUMPRODUCT((AY_SONU!$O$7:$O$42="Evet")*(AY_SONU!$B$7:$B$42=DATE(YEAR($E317),MONTH($E317),1))))</f>
        <v/>
      </c>
    </row>
    <row r="318">
      <c r="A318" s="6" t="n"/>
      <c r="B318" s="113">
        <f>IF($D318="","","T"&amp;TEXT(ROW()-6,"00000"))</f>
        <v/>
      </c>
      <c r="C318" s="113">
        <f>IF($D318="","",IFERROR(INDEX(MUSTERILER!$B$7:$B$106,MATCH($R318,MUSTERILER!$T$7:$T$106,0)),IFERROR(INDEX(MUSTERILER!$B$7:$B$106,MATCH($D318,MUSTERILER!$B$7:$B$106,0)),IFERROR(INDEX(MUSTERILER!$B$7:$B$106,MATCH($R318&amp;"*",MUSTERILER!$T$7:$T$106,0)),"TANIMSIZ MÜŞTERİ"))))</f>
        <v/>
      </c>
      <c r="D318" s="109" t="inlineStr">
        <is>
          <t>Eğlengör Ltd.Şti.</t>
        </is>
      </c>
      <c r="E318" s="220" t="n">
        <v>46165</v>
      </c>
      <c r="F318" s="221" t="n">
        <v>4000</v>
      </c>
      <c r="G318" s="108" t="inlineStr">
        <is>
          <t>MERKEZ KASA</t>
        </is>
      </c>
      <c r="H318" s="108" t="inlineStr">
        <is>
          <t>Nakit</t>
        </is>
      </c>
      <c r="I318" s="109" t="n"/>
      <c r="J318" s="109" t="inlineStr">
        <is>
          <t>NAKİT ÖDENEN</t>
        </is>
      </c>
      <c r="K318" s="109" t="n"/>
      <c r="L318" s="226">
        <f>IF($E318="","",DATE(YEAR($E318),MONTH($E318),1))</f>
        <v/>
      </c>
      <c r="M318" s="113">
        <f>IF($D318="","",IF($C318="TANIMSIZ MÜŞTERİ","HATA",IF(OR($E318="",$F318&lt;=0,$G318=""),"EKSİK",IF($E318&gt;TODAY(),"İLERİ TARİH",IF(COUNTIF($S$7:$S$1506,$S318)&gt;1,"MÜKERRER?",IF($T318&gt;0,"KAPALI DÖNEM","UYGUN"))))))</f>
        <v/>
      </c>
      <c r="N318" s="121">
        <f>IF($C318="","",IF($C318="TANIMSIZ MÜŞTERİ","—",INDEX(MUSTERILER!$C$7:$C$106,MATCH($C318,MUSTERILER!$B$7:$B$106,0))))</f>
        <v/>
      </c>
      <c r="O318" s="6" t="n"/>
      <c r="P318" s="6" t="n"/>
      <c r="Q318" s="3">
        <f>IF($D318="","",$C318&amp;"|"&amp;COUNTIFS($C$7:$C318,$C318))</f>
        <v/>
      </c>
      <c r="R318" s="3">
        <f>IF($D318="","",UPPER(SUBSTITUTE(SUBSTITUTE(SUBSTITUTE(SUBSTITUTE(SUBSTITUTE(SUBSTITUTE(SUBSTITUTE(SUBSTITUTE(SUBSTITUTE(SUBSTITUTE(SUBSTITUTE(SUBSTITUTE(SUBSTITUTE(SUBSTITUTE(SUBSTITUTE(SUBSTITUTE(SUBSTITUTE(SUBSTITUTE(TRIM($D318),"'",""),"İ","I"),"ı","I"),"i","I"),"Ş","S"),"ş","S"),"Ğ","G"),"ğ","G"),"Ü","U"),"ü","U"),"Ö","O"),"ö","O"),"Ç","C"),"ç","C"),".",""),",","")," ",""),"-","")))</f>
        <v/>
      </c>
      <c r="S318" s="3">
        <f>IF($D318="","",$C318&amp;"|"&amp;TEXT($E318,"0")&amp;"|"&amp;TEXT($F318,"0")&amp;"|"&amp;$I318)</f>
        <v/>
      </c>
      <c r="T318" s="3">
        <f>IF($E318="",0,SUMPRODUCT((AY_SONU!$O$7:$O$42="Evet")*(AY_SONU!$B$7:$B$42=DATE(YEAR($E318),MONTH($E318),1))))</f>
        <v/>
      </c>
    </row>
    <row r="319">
      <c r="A319" s="6" t="n"/>
      <c r="B319" s="113">
        <f>IF($D319="","","T"&amp;TEXT(ROW()-6,"00000"))</f>
        <v/>
      </c>
      <c r="C319" s="113">
        <f>IF($D319="","",IFERROR(INDEX(MUSTERILER!$B$7:$B$106,MATCH($R319,MUSTERILER!$T$7:$T$106,0)),IFERROR(INDEX(MUSTERILER!$B$7:$B$106,MATCH($D319,MUSTERILER!$B$7:$B$106,0)),IFERROR(INDEX(MUSTERILER!$B$7:$B$106,MATCH($R319&amp;"*",MUSTERILER!$T$7:$T$106,0)),"TANIMSIZ MÜŞTERİ"))))</f>
        <v/>
      </c>
      <c r="D319" s="109" t="inlineStr">
        <is>
          <t>Final Siyah Beyaz Ltd.Şti.</t>
        </is>
      </c>
      <c r="E319" s="220" t="n">
        <v>46165</v>
      </c>
      <c r="F319" s="221" t="n">
        <v>4000</v>
      </c>
      <c r="G319" s="108" t="inlineStr">
        <is>
          <t>MERKEZ KASA</t>
        </is>
      </c>
      <c r="H319" s="108" t="inlineStr">
        <is>
          <t>Nakit</t>
        </is>
      </c>
      <c r="I319" s="109" t="n"/>
      <c r="J319" s="109" t="inlineStr">
        <is>
          <t>NAKİT ÖDENEN</t>
        </is>
      </c>
      <c r="K319" s="109" t="n"/>
      <c r="L319" s="226">
        <f>IF($E319="","",DATE(YEAR($E319),MONTH($E319),1))</f>
        <v/>
      </c>
      <c r="M319" s="113">
        <f>IF($D319="","",IF($C319="TANIMSIZ MÜŞTERİ","HATA",IF(OR($E319="",$F319&lt;=0,$G319=""),"EKSİK",IF($E319&gt;TODAY(),"İLERİ TARİH",IF(COUNTIF($S$7:$S$1506,$S319)&gt;1,"MÜKERRER?",IF($T319&gt;0,"KAPALI DÖNEM","UYGUN"))))))</f>
        <v/>
      </c>
      <c r="N319" s="121">
        <f>IF($C319="","",IF($C319="TANIMSIZ MÜŞTERİ","—",INDEX(MUSTERILER!$C$7:$C$106,MATCH($C319,MUSTERILER!$B$7:$B$106,0))))</f>
        <v/>
      </c>
      <c r="O319" s="6" t="n"/>
      <c r="P319" s="6" t="n"/>
      <c r="Q319" s="3">
        <f>IF($D319="","",$C319&amp;"|"&amp;COUNTIFS($C$7:$C319,$C319))</f>
        <v/>
      </c>
      <c r="R319" s="3">
        <f>IF($D319="","",UPPER(SUBSTITUTE(SUBSTITUTE(SUBSTITUTE(SUBSTITUTE(SUBSTITUTE(SUBSTITUTE(SUBSTITUTE(SUBSTITUTE(SUBSTITUTE(SUBSTITUTE(SUBSTITUTE(SUBSTITUTE(SUBSTITUTE(SUBSTITUTE(SUBSTITUTE(SUBSTITUTE(SUBSTITUTE(SUBSTITUTE(TRIM($D319),"'",""),"İ","I"),"ı","I"),"i","I"),"Ş","S"),"ş","S"),"Ğ","G"),"ğ","G"),"Ü","U"),"ü","U"),"Ö","O"),"ö","O"),"Ç","C"),"ç","C"),".",""),",","")," ",""),"-","")))</f>
        <v/>
      </c>
      <c r="S319" s="3">
        <f>IF($D319="","",$C319&amp;"|"&amp;TEXT($E319,"0")&amp;"|"&amp;TEXT($F319,"0")&amp;"|"&amp;$I319)</f>
        <v/>
      </c>
      <c r="T319" s="3">
        <f>IF($E319="",0,SUMPRODUCT((AY_SONU!$O$7:$O$42="Evet")*(AY_SONU!$B$7:$B$42=DATE(YEAR($E319),MONTH($E319),1))))</f>
        <v/>
      </c>
    </row>
    <row r="320">
      <c r="A320" s="6" t="n"/>
      <c r="B320" s="113">
        <f>IF($D320="","","T"&amp;TEXT(ROW()-6,"00000"))</f>
        <v/>
      </c>
      <c r="C320" s="113">
        <f>IF($D320="","",IFERROR(INDEX(MUSTERILER!$B$7:$B$106,MATCH($R320,MUSTERILER!$T$7:$T$106,0)),IFERROR(INDEX(MUSTERILER!$B$7:$B$106,MATCH($D320,MUSTERILER!$B$7:$B$106,0)),IFERROR(INDEX(MUSTERILER!$B$7:$B$106,MATCH($R320&amp;"*",MUSTERILER!$T$7:$T$106,0)),"TANIMSIZ MÜŞTERİ"))))</f>
        <v/>
      </c>
      <c r="D320" s="109" t="inlineStr">
        <is>
          <t>İldeş Ltd.Şti.</t>
        </is>
      </c>
      <c r="E320" s="220" t="n">
        <v>46165</v>
      </c>
      <c r="F320" s="221" t="n">
        <v>4000</v>
      </c>
      <c r="G320" s="108" t="inlineStr">
        <is>
          <t>MERKEZ KASA</t>
        </is>
      </c>
      <c r="H320" s="108" t="inlineStr">
        <is>
          <t>Nakit</t>
        </is>
      </c>
      <c r="I320" s="109" t="n"/>
      <c r="J320" s="109" t="inlineStr">
        <is>
          <t>NAKİT ÖDENEN</t>
        </is>
      </c>
      <c r="K320" s="109" t="n"/>
      <c r="L320" s="226">
        <f>IF($E320="","",DATE(YEAR($E320),MONTH($E320),1))</f>
        <v/>
      </c>
      <c r="M320" s="113">
        <f>IF($D320="","",IF($C320="TANIMSIZ MÜŞTERİ","HATA",IF(OR($E320="",$F320&lt;=0,$G320=""),"EKSİK",IF($E320&gt;TODAY(),"İLERİ TARİH",IF(COUNTIF($S$7:$S$1506,$S320)&gt;1,"MÜKERRER?",IF($T320&gt;0,"KAPALI DÖNEM","UYGUN"))))))</f>
        <v/>
      </c>
      <c r="N320" s="121">
        <f>IF($C320="","",IF($C320="TANIMSIZ MÜŞTERİ","—",INDEX(MUSTERILER!$C$7:$C$106,MATCH($C320,MUSTERILER!$B$7:$B$106,0))))</f>
        <v/>
      </c>
      <c r="O320" s="6" t="n"/>
      <c r="P320" s="6" t="n"/>
      <c r="Q320" s="3">
        <f>IF($D320="","",$C320&amp;"|"&amp;COUNTIFS($C$7:$C320,$C320))</f>
        <v/>
      </c>
      <c r="R320" s="3">
        <f>IF($D320="","",UPPER(SUBSTITUTE(SUBSTITUTE(SUBSTITUTE(SUBSTITUTE(SUBSTITUTE(SUBSTITUTE(SUBSTITUTE(SUBSTITUTE(SUBSTITUTE(SUBSTITUTE(SUBSTITUTE(SUBSTITUTE(SUBSTITUTE(SUBSTITUTE(SUBSTITUTE(SUBSTITUTE(SUBSTITUTE(SUBSTITUTE(TRIM($D320),"'",""),"İ","I"),"ı","I"),"i","I"),"Ş","S"),"ş","S"),"Ğ","G"),"ğ","G"),"Ü","U"),"ü","U"),"Ö","O"),"ö","O"),"Ç","C"),"ç","C"),".",""),",","")," ",""),"-","")))</f>
        <v/>
      </c>
      <c r="S320" s="3">
        <f>IF($D320="","",$C320&amp;"|"&amp;TEXT($E320,"0")&amp;"|"&amp;TEXT($F320,"0")&amp;"|"&amp;$I320)</f>
        <v/>
      </c>
      <c r="T320" s="3">
        <f>IF($E320="",0,SUMPRODUCT((AY_SONU!$O$7:$O$42="Evet")*(AY_SONU!$B$7:$B$42=DATE(YEAR($E320),MONTH($E320),1))))</f>
        <v/>
      </c>
    </row>
    <row r="321">
      <c r="A321" s="6" t="n"/>
      <c r="B321" s="113">
        <f>IF($D321="","","T"&amp;TEXT(ROW()-6,"00000"))</f>
        <v/>
      </c>
      <c r="C321" s="113">
        <f>IF($D321="","",IFERROR(INDEX(MUSTERILER!$B$7:$B$106,MATCH($R321,MUSTERILER!$T$7:$T$106,0)),IFERROR(INDEX(MUSTERILER!$B$7:$B$106,MATCH($D321,MUSTERILER!$B$7:$B$106,0)),IFERROR(INDEX(MUSTERILER!$B$7:$B$106,MATCH($R321&amp;"*",MUSTERILER!$T$7:$T$106,0)),"TANIMSIZ MÜŞTERİ"))))</f>
        <v/>
      </c>
      <c r="D321" s="109" t="inlineStr">
        <is>
          <t>Monamour Ltd.Şti.</t>
        </is>
      </c>
      <c r="E321" s="220" t="n">
        <v>46165</v>
      </c>
      <c r="F321" s="221" t="n">
        <v>3500</v>
      </c>
      <c r="G321" s="108" t="inlineStr">
        <is>
          <t>MERKEZ KASA</t>
        </is>
      </c>
      <c r="H321" s="108" t="inlineStr">
        <is>
          <t>Nakit</t>
        </is>
      </c>
      <c r="I321" s="109" t="n"/>
      <c r="J321" s="109" t="inlineStr">
        <is>
          <t>NAKİT ÖDENEN</t>
        </is>
      </c>
      <c r="K321" s="109" t="n"/>
      <c r="L321" s="226">
        <f>IF($E321="","",DATE(YEAR($E321),MONTH($E321),1))</f>
        <v/>
      </c>
      <c r="M321" s="113">
        <f>IF($D321="","",IF($C321="TANIMSIZ MÜŞTERİ","HATA",IF(OR($E321="",$F321&lt;=0,$G321=""),"EKSİK",IF($E321&gt;TODAY(),"İLERİ TARİH",IF(COUNTIF($S$7:$S$1506,$S321)&gt;1,"MÜKERRER?",IF($T321&gt;0,"KAPALI DÖNEM","UYGUN"))))))</f>
        <v/>
      </c>
      <c r="N321" s="121">
        <f>IF($C321="","",IF($C321="TANIMSIZ MÜŞTERİ","—",INDEX(MUSTERILER!$C$7:$C$106,MATCH($C321,MUSTERILER!$B$7:$B$106,0))))</f>
        <v/>
      </c>
      <c r="O321" s="6" t="n"/>
      <c r="P321" s="6" t="n"/>
      <c r="Q321" s="3">
        <f>IF($D321="","",$C321&amp;"|"&amp;COUNTIFS($C$7:$C321,$C321))</f>
        <v/>
      </c>
      <c r="R321" s="3">
        <f>IF($D321="","",UPPER(SUBSTITUTE(SUBSTITUTE(SUBSTITUTE(SUBSTITUTE(SUBSTITUTE(SUBSTITUTE(SUBSTITUTE(SUBSTITUTE(SUBSTITUTE(SUBSTITUTE(SUBSTITUTE(SUBSTITUTE(SUBSTITUTE(SUBSTITUTE(SUBSTITUTE(SUBSTITUTE(SUBSTITUTE(SUBSTITUTE(TRIM($D321),"'",""),"İ","I"),"ı","I"),"i","I"),"Ş","S"),"ş","S"),"Ğ","G"),"ğ","G"),"Ü","U"),"ü","U"),"Ö","O"),"ö","O"),"Ç","C"),"ç","C"),".",""),",","")," ",""),"-","")))</f>
        <v/>
      </c>
      <c r="S321" s="3">
        <f>IF($D321="","",$C321&amp;"|"&amp;TEXT($E321,"0")&amp;"|"&amp;TEXT($F321,"0")&amp;"|"&amp;$I321)</f>
        <v/>
      </c>
      <c r="T321" s="3">
        <f>IF($E321="",0,SUMPRODUCT((AY_SONU!$O$7:$O$42="Evet")*(AY_SONU!$B$7:$B$42=DATE(YEAR($E321),MONTH($E321),1))))</f>
        <v/>
      </c>
    </row>
    <row r="322">
      <c r="A322" s="6" t="n"/>
      <c r="B322" s="113">
        <f>IF($D322="","","T"&amp;TEXT(ROW()-6,"00000"))</f>
        <v/>
      </c>
      <c r="C322" s="113">
        <f>IF($D322="","",IFERROR(INDEX(MUSTERILER!$B$7:$B$106,MATCH($R322,MUSTERILER!$T$7:$T$106,0)),IFERROR(INDEX(MUSTERILER!$B$7:$B$106,MATCH($D322,MUSTERILER!$B$7:$B$106,0)),IFERROR(INDEX(MUSTERILER!$B$7:$B$106,MATCH($R322&amp;"*",MUSTERILER!$T$7:$T$106,0)),"TANIMSIZ MÜŞTERİ"))))</f>
        <v/>
      </c>
      <c r="D322" s="109" t="inlineStr">
        <is>
          <t>Pakyıldız Ltd.Şti.</t>
        </is>
      </c>
      <c r="E322" s="220" t="n">
        <v>46165</v>
      </c>
      <c r="F322" s="221" t="n">
        <v>4000</v>
      </c>
      <c r="G322" s="108" t="inlineStr">
        <is>
          <t>MERKEZ KASA</t>
        </is>
      </c>
      <c r="H322" s="108" t="inlineStr">
        <is>
          <t>Nakit</t>
        </is>
      </c>
      <c r="I322" s="109" t="n"/>
      <c r="J322" s="109" t="inlineStr">
        <is>
          <t>NAKİT ÖDENEN</t>
        </is>
      </c>
      <c r="K322" s="109" t="n"/>
      <c r="L322" s="226">
        <f>IF($E322="","",DATE(YEAR($E322),MONTH($E322),1))</f>
        <v/>
      </c>
      <c r="M322" s="113">
        <f>IF($D322="","",IF($C322="TANIMSIZ MÜŞTERİ","HATA",IF(OR($E322="",$F322&lt;=0,$G322=""),"EKSİK",IF($E322&gt;TODAY(),"İLERİ TARİH",IF(COUNTIF($S$7:$S$1506,$S322)&gt;1,"MÜKERRER?",IF($T322&gt;0,"KAPALI DÖNEM","UYGUN"))))))</f>
        <v/>
      </c>
      <c r="N322" s="121">
        <f>IF($C322="","",IF($C322="TANIMSIZ MÜŞTERİ","—",INDEX(MUSTERILER!$C$7:$C$106,MATCH($C322,MUSTERILER!$B$7:$B$106,0))))</f>
        <v/>
      </c>
      <c r="O322" s="6" t="n"/>
      <c r="P322" s="6" t="n"/>
      <c r="Q322" s="3">
        <f>IF($D322="","",$C322&amp;"|"&amp;COUNTIFS($C$7:$C322,$C322))</f>
        <v/>
      </c>
      <c r="R322" s="3">
        <f>IF($D322="","",UPPER(SUBSTITUTE(SUBSTITUTE(SUBSTITUTE(SUBSTITUTE(SUBSTITUTE(SUBSTITUTE(SUBSTITUTE(SUBSTITUTE(SUBSTITUTE(SUBSTITUTE(SUBSTITUTE(SUBSTITUTE(SUBSTITUTE(SUBSTITUTE(SUBSTITUTE(SUBSTITUTE(SUBSTITUTE(SUBSTITUTE(TRIM($D322),"'",""),"İ","I"),"ı","I"),"i","I"),"Ş","S"),"ş","S"),"Ğ","G"),"ğ","G"),"Ü","U"),"ü","U"),"Ö","O"),"ö","O"),"Ç","C"),"ç","C"),".",""),",","")," ",""),"-","")))</f>
        <v/>
      </c>
      <c r="S322" s="3">
        <f>IF($D322="","",$C322&amp;"|"&amp;TEXT($E322,"0")&amp;"|"&amp;TEXT($F322,"0")&amp;"|"&amp;$I322)</f>
        <v/>
      </c>
      <c r="T322" s="3">
        <f>IF($E322="",0,SUMPRODUCT((AY_SONU!$O$7:$O$42="Evet")*(AY_SONU!$B$7:$B$42=DATE(YEAR($E322),MONTH($E322),1))))</f>
        <v/>
      </c>
    </row>
    <row r="323">
      <c r="A323" s="6" t="n"/>
      <c r="B323" s="113">
        <f>IF($D323="","","T"&amp;TEXT(ROW()-6,"00000"))</f>
        <v/>
      </c>
      <c r="C323" s="113">
        <f>IF($D323="","",IFERROR(INDEX(MUSTERILER!$B$7:$B$106,MATCH($R323,MUSTERILER!$T$7:$T$106,0)),IFERROR(INDEX(MUSTERILER!$B$7:$B$106,MATCH($D323,MUSTERILER!$B$7:$B$106,0)),IFERROR(INDEX(MUSTERILER!$B$7:$B$106,MATCH($R323&amp;"*",MUSTERILER!$T$7:$T$106,0)),"TANIMSIZ MÜŞTERİ"))))</f>
        <v/>
      </c>
      <c r="D323" s="109" t="inlineStr">
        <is>
          <t>Rix Şow Ltd.Şti.</t>
        </is>
      </c>
      <c r="E323" s="220" t="n">
        <v>46165</v>
      </c>
      <c r="F323" s="221" t="n">
        <v>3000</v>
      </c>
      <c r="G323" s="108" t="inlineStr">
        <is>
          <t>MERKEZ KASA</t>
        </is>
      </c>
      <c r="H323" s="108" t="inlineStr">
        <is>
          <t>Nakit</t>
        </is>
      </c>
      <c r="I323" s="109" t="n"/>
      <c r="J323" s="109" t="inlineStr">
        <is>
          <t>NAKİT ÖDENEN</t>
        </is>
      </c>
      <c r="K323" s="109" t="n"/>
      <c r="L323" s="226">
        <f>IF($E323="","",DATE(YEAR($E323),MONTH($E323),1))</f>
        <v/>
      </c>
      <c r="M323" s="113">
        <f>IF($D323="","",IF($C323="TANIMSIZ MÜŞTERİ","HATA",IF(OR($E323="",$F323&lt;=0,$G323=""),"EKSİK",IF($E323&gt;TODAY(),"İLERİ TARİH",IF(COUNTIF($S$7:$S$1506,$S323)&gt;1,"MÜKERRER?",IF($T323&gt;0,"KAPALI DÖNEM","UYGUN"))))))</f>
        <v/>
      </c>
      <c r="N323" s="121">
        <f>IF($C323="","",IF($C323="TANIMSIZ MÜŞTERİ","—",INDEX(MUSTERILER!$C$7:$C$106,MATCH($C323,MUSTERILER!$B$7:$B$106,0))))</f>
        <v/>
      </c>
      <c r="O323" s="6" t="n"/>
      <c r="P323" s="6" t="n"/>
      <c r="Q323" s="3">
        <f>IF($D323="","",$C323&amp;"|"&amp;COUNTIFS($C$7:$C323,$C323))</f>
        <v/>
      </c>
      <c r="R323" s="3">
        <f>IF($D323="","",UPPER(SUBSTITUTE(SUBSTITUTE(SUBSTITUTE(SUBSTITUTE(SUBSTITUTE(SUBSTITUTE(SUBSTITUTE(SUBSTITUTE(SUBSTITUTE(SUBSTITUTE(SUBSTITUTE(SUBSTITUTE(SUBSTITUTE(SUBSTITUTE(SUBSTITUTE(SUBSTITUTE(SUBSTITUTE(SUBSTITUTE(TRIM($D323),"'",""),"İ","I"),"ı","I"),"i","I"),"Ş","S"),"ş","S"),"Ğ","G"),"ğ","G"),"Ü","U"),"ü","U"),"Ö","O"),"ö","O"),"Ç","C"),"ç","C"),".",""),",","")," ",""),"-","")))</f>
        <v/>
      </c>
      <c r="S323" s="3">
        <f>IF($D323="","",$C323&amp;"|"&amp;TEXT($E323,"0")&amp;"|"&amp;TEXT($F323,"0")&amp;"|"&amp;$I323)</f>
        <v/>
      </c>
      <c r="T323" s="3">
        <f>IF($E323="",0,SUMPRODUCT((AY_SONU!$O$7:$O$42="Evet")*(AY_SONU!$B$7:$B$42=DATE(YEAR($E323),MONTH($E323),1))))</f>
        <v/>
      </c>
    </row>
    <row r="324">
      <c r="A324" s="6" t="n"/>
      <c r="B324" s="113">
        <f>IF($D324="","","T"&amp;TEXT(ROW()-6,"00000"))</f>
        <v/>
      </c>
      <c r="C324" s="113">
        <f>IF($D324="","",IFERROR(INDEX(MUSTERILER!$B$7:$B$106,MATCH($R324,MUSTERILER!$T$7:$T$106,0)),IFERROR(INDEX(MUSTERILER!$B$7:$B$106,MATCH($D324,MUSTERILER!$B$7:$B$106,0)),IFERROR(INDEX(MUSTERILER!$B$7:$B$106,MATCH($R324&amp;"*",MUSTERILER!$T$7:$T$106,0)),"TANIMSIZ MÜŞTERİ"))))</f>
        <v/>
      </c>
      <c r="D324" s="109" t="inlineStr">
        <is>
          <t>ÇINARHAN LTD.ŞTİ.</t>
        </is>
      </c>
      <c r="E324" s="220" t="n">
        <v>46165</v>
      </c>
      <c r="F324" s="221" t="n">
        <v>2500</v>
      </c>
      <c r="G324" s="108" t="inlineStr">
        <is>
          <t>MERKEZ KASA</t>
        </is>
      </c>
      <c r="H324" s="108" t="inlineStr">
        <is>
          <t>Nakit</t>
        </is>
      </c>
      <c r="I324" s="109" t="n"/>
      <c r="J324" s="109" t="inlineStr">
        <is>
          <t>NAKİT ÖDENEN</t>
        </is>
      </c>
      <c r="K324" s="109" t="n"/>
      <c r="L324" s="226">
        <f>IF($E324="","",DATE(YEAR($E324),MONTH($E324),1))</f>
        <v/>
      </c>
      <c r="M324" s="113">
        <f>IF($D324="","",IF($C324="TANIMSIZ MÜŞTERİ","HATA",IF(OR($E324="",$F324&lt;=0,$G324=""),"EKSİK",IF($E324&gt;TODAY(),"İLERİ TARİH",IF(COUNTIF($S$7:$S$1506,$S324)&gt;1,"MÜKERRER?",IF($T324&gt;0,"KAPALI DÖNEM","UYGUN"))))))</f>
        <v/>
      </c>
      <c r="N324" s="121">
        <f>IF($C324="","",IF($C324="TANIMSIZ MÜŞTERİ","—",INDEX(MUSTERILER!$C$7:$C$106,MATCH($C324,MUSTERILER!$B$7:$B$106,0))))</f>
        <v/>
      </c>
      <c r="O324" s="6" t="n"/>
      <c r="P324" s="6" t="n"/>
      <c r="Q324" s="3">
        <f>IF($D324="","",$C324&amp;"|"&amp;COUNTIFS($C$7:$C324,$C324))</f>
        <v/>
      </c>
      <c r="R324" s="3">
        <f>IF($D324="","",UPPER(SUBSTITUTE(SUBSTITUTE(SUBSTITUTE(SUBSTITUTE(SUBSTITUTE(SUBSTITUTE(SUBSTITUTE(SUBSTITUTE(SUBSTITUTE(SUBSTITUTE(SUBSTITUTE(SUBSTITUTE(SUBSTITUTE(SUBSTITUTE(SUBSTITUTE(SUBSTITUTE(SUBSTITUTE(SUBSTITUTE(TRIM($D324),"'",""),"İ","I"),"ı","I"),"i","I"),"Ş","S"),"ş","S"),"Ğ","G"),"ğ","G"),"Ü","U"),"ü","U"),"Ö","O"),"ö","O"),"Ç","C"),"ç","C"),".",""),",","")," ",""),"-","")))</f>
        <v/>
      </c>
      <c r="S324" s="3">
        <f>IF($D324="","",$C324&amp;"|"&amp;TEXT($E324,"0")&amp;"|"&amp;TEXT($F324,"0")&amp;"|"&amp;$I324)</f>
        <v/>
      </c>
      <c r="T324" s="3">
        <f>IF($E324="",0,SUMPRODUCT((AY_SONU!$O$7:$O$42="Evet")*(AY_SONU!$B$7:$B$42=DATE(YEAR($E324),MONTH($E324),1))))</f>
        <v/>
      </c>
    </row>
    <row r="325">
      <c r="A325" s="6" t="n"/>
      <c r="B325" s="113">
        <f>IF($D325="","","T"&amp;TEXT(ROW()-6,"00000"))</f>
        <v/>
      </c>
      <c r="C325" s="113">
        <f>IF($D325="","",IFERROR(INDEX(MUSTERILER!$B$7:$B$106,MATCH($R325,MUSTERILER!$T$7:$T$106,0)),IFERROR(INDEX(MUSTERILER!$B$7:$B$106,MATCH($D325,MUSTERILER!$B$7:$B$106,0)),IFERROR(INDEX(MUSTERILER!$B$7:$B$106,MATCH($R325&amp;"*",MUSTERILER!$T$7:$T$106,0)),"TANIMSIZ MÜŞTERİ"))))</f>
        <v/>
      </c>
      <c r="D325" s="109" t="inlineStr">
        <is>
          <t>YALIKENT LTD.ŞTİ.</t>
        </is>
      </c>
      <c r="E325" s="220" t="n">
        <v>46165</v>
      </c>
      <c r="F325" s="221" t="n">
        <v>4000</v>
      </c>
      <c r="G325" s="108" t="inlineStr">
        <is>
          <t>MERKEZ KASA</t>
        </is>
      </c>
      <c r="H325" s="108" t="inlineStr">
        <is>
          <t>Nakit</t>
        </is>
      </c>
      <c r="I325" s="109" t="n"/>
      <c r="J325" s="109" t="inlineStr">
        <is>
          <t>NAKİT ÖDENEN</t>
        </is>
      </c>
      <c r="K325" s="109" t="n"/>
      <c r="L325" s="226">
        <f>IF($E325="","",DATE(YEAR($E325),MONTH($E325),1))</f>
        <v/>
      </c>
      <c r="M325" s="113">
        <f>IF($D325="","",IF($C325="TANIMSIZ MÜŞTERİ","HATA",IF(OR($E325="",$F325&lt;=0,$G325=""),"EKSİK",IF($E325&gt;TODAY(),"İLERİ TARİH",IF(COUNTIF($S$7:$S$1506,$S325)&gt;1,"MÜKERRER?",IF($T325&gt;0,"KAPALI DÖNEM","UYGUN"))))))</f>
        <v/>
      </c>
      <c r="N325" s="121">
        <f>IF($C325="","",IF($C325="TANIMSIZ MÜŞTERİ","—",INDEX(MUSTERILER!$C$7:$C$106,MATCH($C325,MUSTERILER!$B$7:$B$106,0))))</f>
        <v/>
      </c>
      <c r="O325" s="6" t="n"/>
      <c r="P325" s="6" t="n"/>
      <c r="Q325" s="3">
        <f>IF($D325="","",$C325&amp;"|"&amp;COUNTIFS($C$7:$C325,$C325))</f>
        <v/>
      </c>
      <c r="R325" s="3">
        <f>IF($D325="","",UPPER(SUBSTITUTE(SUBSTITUTE(SUBSTITUTE(SUBSTITUTE(SUBSTITUTE(SUBSTITUTE(SUBSTITUTE(SUBSTITUTE(SUBSTITUTE(SUBSTITUTE(SUBSTITUTE(SUBSTITUTE(SUBSTITUTE(SUBSTITUTE(SUBSTITUTE(SUBSTITUTE(SUBSTITUTE(SUBSTITUTE(TRIM($D325),"'",""),"İ","I"),"ı","I"),"i","I"),"Ş","S"),"ş","S"),"Ğ","G"),"ğ","G"),"Ü","U"),"ü","U"),"Ö","O"),"ö","O"),"Ç","C"),"ç","C"),".",""),",","")," ",""),"-","")))</f>
        <v/>
      </c>
      <c r="S325" s="3">
        <f>IF($D325="","",$C325&amp;"|"&amp;TEXT($E325,"0")&amp;"|"&amp;TEXT($F325,"0")&amp;"|"&amp;$I325)</f>
        <v/>
      </c>
      <c r="T325" s="3">
        <f>IF($E325="",0,SUMPRODUCT((AY_SONU!$O$7:$O$42="Evet")*(AY_SONU!$B$7:$B$42=DATE(YEAR($E325),MONTH($E325),1))))</f>
        <v/>
      </c>
    </row>
    <row r="326">
      <c r="A326" s="6" t="n"/>
      <c r="B326" s="113">
        <f>IF($D326="","","T"&amp;TEXT(ROW()-6,"00000"))</f>
        <v/>
      </c>
      <c r="C326" s="113">
        <f>IF($D326="","",IFERROR(INDEX(MUSTERILER!$B$7:$B$106,MATCH($R326,MUSTERILER!$T$7:$T$106,0)),IFERROR(INDEX(MUSTERILER!$B$7:$B$106,MATCH($D326,MUSTERILER!$B$7:$B$106,0)),IFERROR(INDEX(MUSTERILER!$B$7:$B$106,MATCH($R326&amp;"*",MUSTERILER!$T$7:$T$106,0)),"TANIMSIZ MÜŞTERİ"))))</f>
        <v/>
      </c>
      <c r="D326" s="109" t="inlineStr">
        <is>
          <t>FARUK DEMİRCİ</t>
        </is>
      </c>
      <c r="E326" s="220" t="n">
        <v>46168</v>
      </c>
      <c r="F326" s="221" t="n">
        <v>2000</v>
      </c>
      <c r="G326" s="108" t="inlineStr">
        <is>
          <t>MERKEZ KASA</t>
        </is>
      </c>
      <c r="H326" s="108" t="inlineStr">
        <is>
          <t>Nakit</t>
        </is>
      </c>
      <c r="I326" s="109" t="n"/>
      <c r="J326" s="109" t="inlineStr">
        <is>
          <t>NAKİT ÖDENEN</t>
        </is>
      </c>
      <c r="K326" s="109" t="n"/>
      <c r="L326" s="226">
        <f>IF($E326="","",DATE(YEAR($E326),MONTH($E326),1))</f>
        <v/>
      </c>
      <c r="M326" s="113">
        <f>IF($D326="","",IF($C326="TANIMSIZ MÜŞTERİ","HATA",IF(OR($E326="",$F326&lt;=0,$G326=""),"EKSİK",IF($E326&gt;TODAY(),"İLERİ TARİH",IF(COUNTIF($S$7:$S$1506,$S326)&gt;1,"MÜKERRER?",IF($T326&gt;0,"KAPALI DÖNEM","UYGUN"))))))</f>
        <v/>
      </c>
      <c r="N326" s="121">
        <f>IF($C326="","",IF($C326="TANIMSIZ MÜŞTERİ","—",INDEX(MUSTERILER!$C$7:$C$106,MATCH($C326,MUSTERILER!$B$7:$B$106,0))))</f>
        <v/>
      </c>
      <c r="O326" s="6" t="n"/>
      <c r="P326" s="6" t="n"/>
      <c r="Q326" s="3">
        <f>IF($D326="","",$C326&amp;"|"&amp;COUNTIFS($C$7:$C326,$C326))</f>
        <v/>
      </c>
      <c r="R326" s="3">
        <f>IF($D326="","",UPPER(SUBSTITUTE(SUBSTITUTE(SUBSTITUTE(SUBSTITUTE(SUBSTITUTE(SUBSTITUTE(SUBSTITUTE(SUBSTITUTE(SUBSTITUTE(SUBSTITUTE(SUBSTITUTE(SUBSTITUTE(SUBSTITUTE(SUBSTITUTE(SUBSTITUTE(SUBSTITUTE(SUBSTITUTE(SUBSTITUTE(TRIM($D326),"'",""),"İ","I"),"ı","I"),"i","I"),"Ş","S"),"ş","S"),"Ğ","G"),"ğ","G"),"Ü","U"),"ü","U"),"Ö","O"),"ö","O"),"Ç","C"),"ç","C"),".",""),",","")," ",""),"-","")))</f>
        <v/>
      </c>
      <c r="S326" s="3">
        <f>IF($D326="","",$C326&amp;"|"&amp;TEXT($E326,"0")&amp;"|"&amp;TEXT($F326,"0")&amp;"|"&amp;$I326)</f>
        <v/>
      </c>
      <c r="T326" s="3">
        <f>IF($E326="",0,SUMPRODUCT((AY_SONU!$O$7:$O$42="Evet")*(AY_SONU!$B$7:$B$42=DATE(YEAR($E326),MONTH($E326),1))))</f>
        <v/>
      </c>
    </row>
    <row r="327">
      <c r="A327" s="6" t="n"/>
      <c r="B327" s="113">
        <f>IF($D327="","","T"&amp;TEXT(ROW()-6,"00000"))</f>
        <v/>
      </c>
      <c r="C327" s="113">
        <f>IF($D327="","",IFERROR(INDEX(MUSTERILER!$B$7:$B$106,MATCH($R327,MUSTERILER!$T$7:$T$106,0)),IFERROR(INDEX(MUSTERILER!$B$7:$B$106,MATCH($D327,MUSTERILER!$B$7:$B$106,0)),IFERROR(INDEX(MUSTERILER!$B$7:$B$106,MATCH($R327&amp;"*",MUSTERILER!$T$7:$T$106,0)),"TANIMSIZ MÜŞTERİ"))))</f>
        <v/>
      </c>
      <c r="D327" s="109" t="inlineStr">
        <is>
          <t>Zümrüt Grup Ltd.Şti.</t>
        </is>
      </c>
      <c r="E327" s="220" t="n">
        <v>46168</v>
      </c>
      <c r="F327" s="221" t="n">
        <v>1500</v>
      </c>
      <c r="G327" s="108" t="inlineStr">
        <is>
          <t>MERKEZ KASA</t>
        </is>
      </c>
      <c r="H327" s="108" t="inlineStr">
        <is>
          <t>Nakit</t>
        </is>
      </c>
      <c r="I327" s="109" t="n"/>
      <c r="J327" s="109" t="inlineStr">
        <is>
          <t>NAKİT ÖDENEN</t>
        </is>
      </c>
      <c r="K327" s="109" t="n"/>
      <c r="L327" s="226">
        <f>IF($E327="","",DATE(YEAR($E327),MONTH($E327),1))</f>
        <v/>
      </c>
      <c r="M327" s="113">
        <f>IF($D327="","",IF($C327="TANIMSIZ MÜŞTERİ","HATA",IF(OR($E327="",$F327&lt;=0,$G327=""),"EKSİK",IF($E327&gt;TODAY(),"İLERİ TARİH",IF(COUNTIF($S$7:$S$1506,$S327)&gt;1,"MÜKERRER?",IF($T327&gt;0,"KAPALI DÖNEM","UYGUN"))))))</f>
        <v/>
      </c>
      <c r="N327" s="121">
        <f>IF($C327="","",IF($C327="TANIMSIZ MÜŞTERİ","—",INDEX(MUSTERILER!$C$7:$C$106,MATCH($C327,MUSTERILER!$B$7:$B$106,0))))</f>
        <v/>
      </c>
      <c r="O327" s="6" t="n"/>
      <c r="P327" s="6" t="n"/>
      <c r="Q327" s="3">
        <f>IF($D327="","",$C327&amp;"|"&amp;COUNTIFS($C$7:$C327,$C327))</f>
        <v/>
      </c>
      <c r="R327" s="3">
        <f>IF($D327="","",UPPER(SUBSTITUTE(SUBSTITUTE(SUBSTITUTE(SUBSTITUTE(SUBSTITUTE(SUBSTITUTE(SUBSTITUTE(SUBSTITUTE(SUBSTITUTE(SUBSTITUTE(SUBSTITUTE(SUBSTITUTE(SUBSTITUTE(SUBSTITUTE(SUBSTITUTE(SUBSTITUTE(SUBSTITUTE(SUBSTITUTE(TRIM($D327),"'",""),"İ","I"),"ı","I"),"i","I"),"Ş","S"),"ş","S"),"Ğ","G"),"ğ","G"),"Ü","U"),"ü","U"),"Ö","O"),"ö","O"),"Ç","C"),"ç","C"),".",""),",","")," ",""),"-","")))</f>
        <v/>
      </c>
      <c r="S327" s="3">
        <f>IF($D327="","",$C327&amp;"|"&amp;TEXT($E327,"0")&amp;"|"&amp;TEXT($F327,"0")&amp;"|"&amp;$I327)</f>
        <v/>
      </c>
      <c r="T327" s="3">
        <f>IF($E327="",0,SUMPRODUCT((AY_SONU!$O$7:$O$42="Evet")*(AY_SONU!$B$7:$B$42=DATE(YEAR($E327),MONTH($E327),1))))</f>
        <v/>
      </c>
    </row>
    <row r="328">
      <c r="A328" s="6" t="n"/>
      <c r="B328" s="113">
        <f>IF($D328="","","T"&amp;TEXT(ROW()-6,"00000"))</f>
        <v/>
      </c>
      <c r="C328" s="113">
        <f>IF($D328="","",IFERROR(INDEX(MUSTERILER!$B$7:$B$106,MATCH($R328,MUSTERILER!$T$7:$T$106,0)),IFERROR(INDEX(MUSTERILER!$B$7:$B$106,MATCH($D328,MUSTERILER!$B$7:$B$106,0)),IFERROR(INDEX(MUSTERILER!$B$7:$B$106,MATCH($R328&amp;"*",MUSTERILER!$T$7:$T$106,0)),"TANIMSIZ MÜŞTERİ"))))</f>
        <v/>
      </c>
      <c r="D328" s="109" t="inlineStr">
        <is>
          <t>MEHMET EVREN KILINÇ</t>
        </is>
      </c>
      <c r="E328" s="220" t="n">
        <v>46169</v>
      </c>
      <c r="F328" s="221" t="n">
        <v>2000</v>
      </c>
      <c r="G328" s="108" t="inlineStr">
        <is>
          <t>MERKEZ KASA</t>
        </is>
      </c>
      <c r="H328" s="108" t="inlineStr">
        <is>
          <t>Nakit</t>
        </is>
      </c>
      <c r="I328" s="109" t="n"/>
      <c r="J328" s="109" t="inlineStr">
        <is>
          <t>NAKİT ÖDENEN</t>
        </is>
      </c>
      <c r="K328" s="109" t="n"/>
      <c r="L328" s="226">
        <f>IF($E328="","",DATE(YEAR($E328),MONTH($E328),1))</f>
        <v/>
      </c>
      <c r="M328" s="113">
        <f>IF($D328="","",IF($C328="TANIMSIZ MÜŞTERİ","HATA",IF(OR($E328="",$F328&lt;=0,$G328=""),"EKSİK",IF($E328&gt;TODAY(),"İLERİ TARİH",IF(COUNTIF($S$7:$S$1506,$S328)&gt;1,"MÜKERRER?",IF($T328&gt;0,"KAPALI DÖNEM","UYGUN"))))))</f>
        <v/>
      </c>
      <c r="N328" s="121">
        <f>IF($C328="","",IF($C328="TANIMSIZ MÜŞTERİ","—",INDEX(MUSTERILER!$C$7:$C$106,MATCH($C328,MUSTERILER!$B$7:$B$106,0))))</f>
        <v/>
      </c>
      <c r="O328" s="6" t="n"/>
      <c r="P328" s="6" t="n"/>
      <c r="Q328" s="3">
        <f>IF($D328="","",$C328&amp;"|"&amp;COUNTIFS($C$7:$C328,$C328))</f>
        <v/>
      </c>
      <c r="R328" s="3">
        <f>IF($D328="","",UPPER(SUBSTITUTE(SUBSTITUTE(SUBSTITUTE(SUBSTITUTE(SUBSTITUTE(SUBSTITUTE(SUBSTITUTE(SUBSTITUTE(SUBSTITUTE(SUBSTITUTE(SUBSTITUTE(SUBSTITUTE(SUBSTITUTE(SUBSTITUTE(SUBSTITUTE(SUBSTITUTE(SUBSTITUTE(SUBSTITUTE(TRIM($D328),"'",""),"İ","I"),"ı","I"),"i","I"),"Ş","S"),"ş","S"),"Ğ","G"),"ğ","G"),"Ü","U"),"ü","U"),"Ö","O"),"ö","O"),"Ç","C"),"ç","C"),".",""),",","")," ",""),"-","")))</f>
        <v/>
      </c>
      <c r="S328" s="3">
        <f>IF($D328="","",$C328&amp;"|"&amp;TEXT($E328,"0")&amp;"|"&amp;TEXT($F328,"0")&amp;"|"&amp;$I328)</f>
        <v/>
      </c>
      <c r="T328" s="3">
        <f>IF($E328="",0,SUMPRODUCT((AY_SONU!$O$7:$O$42="Evet")*(AY_SONU!$B$7:$B$42=DATE(YEAR($E328),MONTH($E328),1))))</f>
        <v/>
      </c>
    </row>
    <row r="329">
      <c r="A329" s="6" t="n"/>
      <c r="B329" s="113">
        <f>IF($D329="","","T"&amp;TEXT(ROW()-6,"00000"))</f>
        <v/>
      </c>
      <c r="C329" s="113">
        <f>IF($D329="","",IFERROR(INDEX(MUSTERILER!$B$7:$B$106,MATCH($R329,MUSTERILER!$T$7:$T$106,0)),IFERROR(INDEX(MUSTERILER!$B$7:$B$106,MATCH($D329,MUSTERILER!$B$7:$B$106,0)),IFERROR(INDEX(MUSTERILER!$B$7:$B$106,MATCH($R329&amp;"*",MUSTERILER!$T$7:$T$106,0)),"TANIMSIZ MÜŞTERİ"))))</f>
        <v/>
      </c>
      <c r="D329" s="109" t="inlineStr">
        <is>
          <t>Ankara Havana Ltd.Şti.</t>
        </is>
      </c>
      <c r="E329" s="220" t="n">
        <v>46172</v>
      </c>
      <c r="F329" s="221" t="n">
        <v>4000</v>
      </c>
      <c r="G329" s="108" t="inlineStr">
        <is>
          <t>MERKEZ KASA</t>
        </is>
      </c>
      <c r="H329" s="108" t="inlineStr">
        <is>
          <t>Nakit</t>
        </is>
      </c>
      <c r="I329" s="109" t="n"/>
      <c r="J329" s="109" t="inlineStr">
        <is>
          <t>NAKİT ÖDENEN</t>
        </is>
      </c>
      <c r="K329" s="109" t="n"/>
      <c r="L329" s="226">
        <f>IF($E329="","",DATE(YEAR($E329),MONTH($E329),1))</f>
        <v/>
      </c>
      <c r="M329" s="113">
        <f>IF($D329="","",IF($C329="TANIMSIZ MÜŞTERİ","HATA",IF(OR($E329="",$F329&lt;=0,$G329=""),"EKSİK",IF($E329&gt;TODAY(),"İLERİ TARİH",IF(COUNTIF($S$7:$S$1506,$S329)&gt;1,"MÜKERRER?",IF($T329&gt;0,"KAPALI DÖNEM","UYGUN"))))))</f>
        <v/>
      </c>
      <c r="N329" s="121">
        <f>IF($C329="","",IF($C329="TANIMSIZ MÜŞTERİ","—",INDEX(MUSTERILER!$C$7:$C$106,MATCH($C329,MUSTERILER!$B$7:$B$106,0))))</f>
        <v/>
      </c>
      <c r="O329" s="6" t="n"/>
      <c r="P329" s="6" t="n"/>
      <c r="Q329" s="3">
        <f>IF($D329="","",$C329&amp;"|"&amp;COUNTIFS($C$7:$C329,$C329))</f>
        <v/>
      </c>
      <c r="R329" s="3">
        <f>IF($D329="","",UPPER(SUBSTITUTE(SUBSTITUTE(SUBSTITUTE(SUBSTITUTE(SUBSTITUTE(SUBSTITUTE(SUBSTITUTE(SUBSTITUTE(SUBSTITUTE(SUBSTITUTE(SUBSTITUTE(SUBSTITUTE(SUBSTITUTE(SUBSTITUTE(SUBSTITUTE(SUBSTITUTE(SUBSTITUTE(SUBSTITUTE(TRIM($D329),"'",""),"İ","I"),"ı","I"),"i","I"),"Ş","S"),"ş","S"),"Ğ","G"),"ğ","G"),"Ü","U"),"ü","U"),"Ö","O"),"ö","O"),"Ç","C"),"ç","C"),".",""),",","")," ",""),"-","")))</f>
        <v/>
      </c>
      <c r="S329" s="3">
        <f>IF($D329="","",$C329&amp;"|"&amp;TEXT($E329,"0")&amp;"|"&amp;TEXT($F329,"0")&amp;"|"&amp;$I329)</f>
        <v/>
      </c>
      <c r="T329" s="3">
        <f>IF($E329="",0,SUMPRODUCT((AY_SONU!$O$7:$O$42="Evet")*(AY_SONU!$B$7:$B$42=DATE(YEAR($E329),MONTH($E329),1))))</f>
        <v/>
      </c>
    </row>
    <row r="330">
      <c r="A330" s="6" t="n"/>
      <c r="B330" s="113">
        <f>IF($D330="","","T"&amp;TEXT(ROW()-6,"00000"))</f>
        <v/>
      </c>
      <c r="C330" s="113">
        <f>IF($D330="","",IFERROR(INDEX(MUSTERILER!$B$7:$B$106,MATCH($R330,MUSTERILER!$T$7:$T$106,0)),IFERROR(INDEX(MUSTERILER!$B$7:$B$106,MATCH($D330,MUSTERILER!$B$7:$B$106,0)),IFERROR(INDEX(MUSTERILER!$B$7:$B$106,MATCH($R330&amp;"*",MUSTERILER!$T$7:$T$106,0)),"TANIMSIZ MÜŞTERİ"))))</f>
        <v/>
      </c>
      <c r="D330" s="109" t="inlineStr">
        <is>
          <t>ASIM AÇIKGÖZ</t>
        </is>
      </c>
      <c r="E330" s="220" t="n">
        <v>46172</v>
      </c>
      <c r="F330" s="221" t="n">
        <v>2000</v>
      </c>
      <c r="G330" s="108" t="inlineStr">
        <is>
          <t>MERKEZ KASA</t>
        </is>
      </c>
      <c r="H330" s="108" t="inlineStr">
        <is>
          <t>Nakit</t>
        </is>
      </c>
      <c r="I330" s="109" t="n"/>
      <c r="J330" s="109" t="inlineStr">
        <is>
          <t>NAKİT ÖDENEN</t>
        </is>
      </c>
      <c r="K330" s="109" t="n"/>
      <c r="L330" s="226">
        <f>IF($E330="","",DATE(YEAR($E330),MONTH($E330),1))</f>
        <v/>
      </c>
      <c r="M330" s="113">
        <f>IF($D330="","",IF($C330="TANIMSIZ MÜŞTERİ","HATA",IF(OR($E330="",$F330&lt;=0,$G330=""),"EKSİK",IF($E330&gt;TODAY(),"İLERİ TARİH",IF(COUNTIF($S$7:$S$1506,$S330)&gt;1,"MÜKERRER?",IF($T330&gt;0,"KAPALI DÖNEM","UYGUN"))))))</f>
        <v/>
      </c>
      <c r="N330" s="121">
        <f>IF($C330="","",IF($C330="TANIMSIZ MÜŞTERİ","—",INDEX(MUSTERILER!$C$7:$C$106,MATCH($C330,MUSTERILER!$B$7:$B$106,0))))</f>
        <v/>
      </c>
      <c r="O330" s="6" t="n"/>
      <c r="P330" s="6" t="n"/>
      <c r="Q330" s="3">
        <f>IF($D330="","",$C330&amp;"|"&amp;COUNTIFS($C$7:$C330,$C330))</f>
        <v/>
      </c>
      <c r="R330" s="3">
        <f>IF($D330="","",UPPER(SUBSTITUTE(SUBSTITUTE(SUBSTITUTE(SUBSTITUTE(SUBSTITUTE(SUBSTITUTE(SUBSTITUTE(SUBSTITUTE(SUBSTITUTE(SUBSTITUTE(SUBSTITUTE(SUBSTITUTE(SUBSTITUTE(SUBSTITUTE(SUBSTITUTE(SUBSTITUTE(SUBSTITUTE(SUBSTITUTE(TRIM($D330),"'",""),"İ","I"),"ı","I"),"i","I"),"Ş","S"),"ş","S"),"Ğ","G"),"ğ","G"),"Ü","U"),"ü","U"),"Ö","O"),"ö","O"),"Ç","C"),"ç","C"),".",""),",","")," ",""),"-","")))</f>
        <v/>
      </c>
      <c r="S330" s="3">
        <f>IF($D330="","",$C330&amp;"|"&amp;TEXT($E330,"0")&amp;"|"&amp;TEXT($F330,"0")&amp;"|"&amp;$I330)</f>
        <v/>
      </c>
      <c r="T330" s="3">
        <f>IF($E330="",0,SUMPRODUCT((AY_SONU!$O$7:$O$42="Evet")*(AY_SONU!$B$7:$B$42=DATE(YEAR($E330),MONTH($E330),1))))</f>
        <v/>
      </c>
    </row>
    <row r="331">
      <c r="A331" s="6" t="n"/>
      <c r="B331" s="113">
        <f>IF($D331="","","T"&amp;TEXT(ROW()-6,"00000"))</f>
        <v/>
      </c>
      <c r="C331" s="113">
        <f>IF($D331="","",IFERROR(INDEX(MUSTERILER!$B$7:$B$106,MATCH($R331,MUSTERILER!$T$7:$T$106,0)),IFERROR(INDEX(MUSTERILER!$B$7:$B$106,MATCH($D331,MUSTERILER!$B$7:$B$106,0)),IFERROR(INDEX(MUSTERILER!$B$7:$B$106,MATCH($R331&amp;"*",MUSTERILER!$T$7:$T$106,0)),"TANIMSIZ MÜŞTERİ"))))</f>
        <v/>
      </c>
      <c r="D331" s="109" t="inlineStr">
        <is>
          <t>ASM EĞLENCE LTD.ŞTİ.</t>
        </is>
      </c>
      <c r="E331" s="220" t="n">
        <v>46172</v>
      </c>
      <c r="F331" s="221" t="n">
        <v>2500</v>
      </c>
      <c r="G331" s="108" t="inlineStr">
        <is>
          <t>MERKEZ KASA</t>
        </is>
      </c>
      <c r="H331" s="108" t="inlineStr">
        <is>
          <t>Nakit</t>
        </is>
      </c>
      <c r="I331" s="109" t="n"/>
      <c r="J331" s="109" t="inlineStr">
        <is>
          <t>NAKİT ÖDENEN</t>
        </is>
      </c>
      <c r="K331" s="109" t="n"/>
      <c r="L331" s="226">
        <f>IF($E331="","",DATE(YEAR($E331),MONTH($E331),1))</f>
        <v/>
      </c>
      <c r="M331" s="113">
        <f>IF($D331="","",IF($C331="TANIMSIZ MÜŞTERİ","HATA",IF(OR($E331="",$F331&lt;=0,$G331=""),"EKSİK",IF($E331&gt;TODAY(),"İLERİ TARİH",IF(COUNTIF($S$7:$S$1506,$S331)&gt;1,"MÜKERRER?",IF($T331&gt;0,"KAPALI DÖNEM","UYGUN"))))))</f>
        <v/>
      </c>
      <c r="N331" s="121">
        <f>IF($C331="","",IF($C331="TANIMSIZ MÜŞTERİ","—",INDEX(MUSTERILER!$C$7:$C$106,MATCH($C331,MUSTERILER!$B$7:$B$106,0))))</f>
        <v/>
      </c>
      <c r="O331" s="6" t="n"/>
      <c r="P331" s="6" t="n"/>
      <c r="Q331" s="3">
        <f>IF($D331="","",$C331&amp;"|"&amp;COUNTIFS($C$7:$C331,$C331))</f>
        <v/>
      </c>
      <c r="R331" s="3">
        <f>IF($D331="","",UPPER(SUBSTITUTE(SUBSTITUTE(SUBSTITUTE(SUBSTITUTE(SUBSTITUTE(SUBSTITUTE(SUBSTITUTE(SUBSTITUTE(SUBSTITUTE(SUBSTITUTE(SUBSTITUTE(SUBSTITUTE(SUBSTITUTE(SUBSTITUTE(SUBSTITUTE(SUBSTITUTE(SUBSTITUTE(SUBSTITUTE(TRIM($D331),"'",""),"İ","I"),"ı","I"),"i","I"),"Ş","S"),"ş","S"),"Ğ","G"),"ğ","G"),"Ü","U"),"ü","U"),"Ö","O"),"ö","O"),"Ç","C"),"ç","C"),".",""),",","")," ",""),"-","")))</f>
        <v/>
      </c>
      <c r="S331" s="3">
        <f>IF($D331="","",$C331&amp;"|"&amp;TEXT($E331,"0")&amp;"|"&amp;TEXT($F331,"0")&amp;"|"&amp;$I331)</f>
        <v/>
      </c>
      <c r="T331" s="3">
        <f>IF($E331="",0,SUMPRODUCT((AY_SONU!$O$7:$O$42="Evet")*(AY_SONU!$B$7:$B$42=DATE(YEAR($E331),MONTH($E331),1))))</f>
        <v/>
      </c>
    </row>
    <row r="332">
      <c r="A332" s="6" t="n"/>
      <c r="B332" s="113">
        <f>IF($D332="","","T"&amp;TEXT(ROW()-6,"00000"))</f>
        <v/>
      </c>
      <c r="C332" s="113">
        <f>IF($D332="","",IFERROR(INDEX(MUSTERILER!$B$7:$B$106,MATCH($R332,MUSTERILER!$T$7:$T$106,0)),IFERROR(INDEX(MUSTERILER!$B$7:$B$106,MATCH($D332,MUSTERILER!$B$7:$B$106,0)),IFERROR(INDEX(MUSTERILER!$B$7:$B$106,MATCH($R332&amp;"*",MUSTERILER!$T$7:$T$106,0)),"TANIMSIZ MÜŞTERİ"))))</f>
        <v/>
      </c>
      <c r="D332" s="109" t="inlineStr">
        <is>
          <t>Çayıralan Ltd.Şti.</t>
        </is>
      </c>
      <c r="E332" s="220" t="n">
        <v>46172</v>
      </c>
      <c r="F332" s="221" t="n">
        <v>3000</v>
      </c>
      <c r="G332" s="108" t="inlineStr">
        <is>
          <t>MERKEZ KASA</t>
        </is>
      </c>
      <c r="H332" s="108" t="inlineStr">
        <is>
          <t>Nakit</t>
        </is>
      </c>
      <c r="I332" s="109" t="n"/>
      <c r="J332" s="109" t="inlineStr">
        <is>
          <t>NAKİT ÖDENEN</t>
        </is>
      </c>
      <c r="K332" s="109" t="n"/>
      <c r="L332" s="226">
        <f>IF($E332="","",DATE(YEAR($E332),MONTH($E332),1))</f>
        <v/>
      </c>
      <c r="M332" s="113">
        <f>IF($D332="","",IF($C332="TANIMSIZ MÜŞTERİ","HATA",IF(OR($E332="",$F332&lt;=0,$G332=""),"EKSİK",IF($E332&gt;TODAY(),"İLERİ TARİH",IF(COUNTIF($S$7:$S$1506,$S332)&gt;1,"MÜKERRER?",IF($T332&gt;0,"KAPALI DÖNEM","UYGUN"))))))</f>
        <v/>
      </c>
      <c r="N332" s="121">
        <f>IF($C332="","",IF($C332="TANIMSIZ MÜŞTERİ","—",INDEX(MUSTERILER!$C$7:$C$106,MATCH($C332,MUSTERILER!$B$7:$B$106,0))))</f>
        <v/>
      </c>
      <c r="O332" s="6" t="n"/>
      <c r="P332" s="6" t="n"/>
      <c r="Q332" s="3">
        <f>IF($D332="","",$C332&amp;"|"&amp;COUNTIFS($C$7:$C332,$C332))</f>
        <v/>
      </c>
      <c r="R332" s="3">
        <f>IF($D332="","",UPPER(SUBSTITUTE(SUBSTITUTE(SUBSTITUTE(SUBSTITUTE(SUBSTITUTE(SUBSTITUTE(SUBSTITUTE(SUBSTITUTE(SUBSTITUTE(SUBSTITUTE(SUBSTITUTE(SUBSTITUTE(SUBSTITUTE(SUBSTITUTE(SUBSTITUTE(SUBSTITUTE(SUBSTITUTE(SUBSTITUTE(TRIM($D332),"'",""),"İ","I"),"ı","I"),"i","I"),"Ş","S"),"ş","S"),"Ğ","G"),"ğ","G"),"Ü","U"),"ü","U"),"Ö","O"),"ö","O"),"Ç","C"),"ç","C"),".",""),",","")," ",""),"-","")))</f>
        <v/>
      </c>
      <c r="S332" s="3">
        <f>IF($D332="","",$C332&amp;"|"&amp;TEXT($E332,"0")&amp;"|"&amp;TEXT($F332,"0")&amp;"|"&amp;$I332)</f>
        <v/>
      </c>
      <c r="T332" s="3">
        <f>IF($E332="",0,SUMPRODUCT((AY_SONU!$O$7:$O$42="Evet")*(AY_SONU!$B$7:$B$42=DATE(YEAR($E332),MONTH($E332),1))))</f>
        <v/>
      </c>
    </row>
    <row r="333">
      <c r="A333" s="6" t="n"/>
      <c r="B333" s="113">
        <f>IF($D333="","","T"&amp;TEXT(ROW()-6,"00000"))</f>
        <v/>
      </c>
      <c r="C333" s="113">
        <f>IF($D333="","",IFERROR(INDEX(MUSTERILER!$B$7:$B$106,MATCH($R333,MUSTERILER!$T$7:$T$106,0)),IFERROR(INDEX(MUSTERILER!$B$7:$B$106,MATCH($D333,MUSTERILER!$B$7:$B$106,0)),IFERROR(INDEX(MUSTERILER!$B$7:$B$106,MATCH($R333&amp;"*",MUSTERILER!$T$7:$T$106,0)),"TANIMSIZ MÜŞTERİ"))))</f>
        <v/>
      </c>
      <c r="D333" s="109" t="inlineStr">
        <is>
          <t>Eğlengör Ltd.Şti.</t>
        </is>
      </c>
      <c r="E333" s="220" t="n">
        <v>46172</v>
      </c>
      <c r="F333" s="221" t="n">
        <v>4000</v>
      </c>
      <c r="G333" s="108" t="inlineStr">
        <is>
          <t>MERKEZ KASA</t>
        </is>
      </c>
      <c r="H333" s="108" t="inlineStr">
        <is>
          <t>Nakit</t>
        </is>
      </c>
      <c r="I333" s="109" t="n"/>
      <c r="J333" s="109" t="inlineStr">
        <is>
          <t>NAKİT ÖDENEN</t>
        </is>
      </c>
      <c r="K333" s="109" t="n"/>
      <c r="L333" s="226">
        <f>IF($E333="","",DATE(YEAR($E333),MONTH($E333),1))</f>
        <v/>
      </c>
      <c r="M333" s="113">
        <f>IF($D333="","",IF($C333="TANIMSIZ MÜŞTERİ","HATA",IF(OR($E333="",$F333&lt;=0,$G333=""),"EKSİK",IF($E333&gt;TODAY(),"İLERİ TARİH",IF(COUNTIF($S$7:$S$1506,$S333)&gt;1,"MÜKERRER?",IF($T333&gt;0,"KAPALI DÖNEM","UYGUN"))))))</f>
        <v/>
      </c>
      <c r="N333" s="121">
        <f>IF($C333="","",IF($C333="TANIMSIZ MÜŞTERİ","—",INDEX(MUSTERILER!$C$7:$C$106,MATCH($C333,MUSTERILER!$B$7:$B$106,0))))</f>
        <v/>
      </c>
      <c r="O333" s="6" t="n"/>
      <c r="P333" s="6" t="n"/>
      <c r="Q333" s="3">
        <f>IF($D333="","",$C333&amp;"|"&amp;COUNTIFS($C$7:$C333,$C333))</f>
        <v/>
      </c>
      <c r="R333" s="3">
        <f>IF($D333="","",UPPER(SUBSTITUTE(SUBSTITUTE(SUBSTITUTE(SUBSTITUTE(SUBSTITUTE(SUBSTITUTE(SUBSTITUTE(SUBSTITUTE(SUBSTITUTE(SUBSTITUTE(SUBSTITUTE(SUBSTITUTE(SUBSTITUTE(SUBSTITUTE(SUBSTITUTE(SUBSTITUTE(SUBSTITUTE(SUBSTITUTE(TRIM($D333),"'",""),"İ","I"),"ı","I"),"i","I"),"Ş","S"),"ş","S"),"Ğ","G"),"ğ","G"),"Ü","U"),"ü","U"),"Ö","O"),"ö","O"),"Ç","C"),"ç","C"),".",""),",","")," ",""),"-","")))</f>
        <v/>
      </c>
      <c r="S333" s="3">
        <f>IF($D333="","",$C333&amp;"|"&amp;TEXT($E333,"0")&amp;"|"&amp;TEXT($F333,"0")&amp;"|"&amp;$I333)</f>
        <v/>
      </c>
      <c r="T333" s="3">
        <f>IF($E333="",0,SUMPRODUCT((AY_SONU!$O$7:$O$42="Evet")*(AY_SONU!$B$7:$B$42=DATE(YEAR($E333),MONTH($E333),1))))</f>
        <v/>
      </c>
    </row>
    <row r="334">
      <c r="A334" s="6" t="n"/>
      <c r="B334" s="113">
        <f>IF($D334="","","T"&amp;TEXT(ROW()-6,"00000"))</f>
        <v/>
      </c>
      <c r="C334" s="113">
        <f>IF($D334="","",IFERROR(INDEX(MUSTERILER!$B$7:$B$106,MATCH($R334,MUSTERILER!$T$7:$T$106,0)),IFERROR(INDEX(MUSTERILER!$B$7:$B$106,MATCH($D334,MUSTERILER!$B$7:$B$106,0)),IFERROR(INDEX(MUSTERILER!$B$7:$B$106,MATCH($R334&amp;"*",MUSTERILER!$T$7:$T$106,0)),"TANIMSIZ MÜŞTERİ"))))</f>
        <v/>
      </c>
      <c r="D334" s="109" t="inlineStr">
        <is>
          <t>Final Siyah Beyaz Ltd.Şti.</t>
        </is>
      </c>
      <c r="E334" s="220" t="n">
        <v>46172</v>
      </c>
      <c r="F334" s="221" t="n">
        <v>4000</v>
      </c>
      <c r="G334" s="108" t="inlineStr">
        <is>
          <t>MERKEZ KASA</t>
        </is>
      </c>
      <c r="H334" s="108" t="inlineStr">
        <is>
          <t>Nakit</t>
        </is>
      </c>
      <c r="I334" s="109" t="n"/>
      <c r="J334" s="109" t="inlineStr">
        <is>
          <t>NAKİT ÖDENEN</t>
        </is>
      </c>
      <c r="K334" s="109" t="n"/>
      <c r="L334" s="226">
        <f>IF($E334="","",DATE(YEAR($E334),MONTH($E334),1))</f>
        <v/>
      </c>
      <c r="M334" s="113">
        <f>IF($D334="","",IF($C334="TANIMSIZ MÜŞTERİ","HATA",IF(OR($E334="",$F334&lt;=0,$G334=""),"EKSİK",IF($E334&gt;TODAY(),"İLERİ TARİH",IF(COUNTIF($S$7:$S$1506,$S334)&gt;1,"MÜKERRER?",IF($T334&gt;0,"KAPALI DÖNEM","UYGUN"))))))</f>
        <v/>
      </c>
      <c r="N334" s="121">
        <f>IF($C334="","",IF($C334="TANIMSIZ MÜŞTERİ","—",INDEX(MUSTERILER!$C$7:$C$106,MATCH($C334,MUSTERILER!$B$7:$B$106,0))))</f>
        <v/>
      </c>
      <c r="O334" s="6" t="n"/>
      <c r="P334" s="6" t="n"/>
      <c r="Q334" s="3">
        <f>IF($D334="","",$C334&amp;"|"&amp;COUNTIFS($C$7:$C334,$C334))</f>
        <v/>
      </c>
      <c r="R334" s="3">
        <f>IF($D334="","",UPPER(SUBSTITUTE(SUBSTITUTE(SUBSTITUTE(SUBSTITUTE(SUBSTITUTE(SUBSTITUTE(SUBSTITUTE(SUBSTITUTE(SUBSTITUTE(SUBSTITUTE(SUBSTITUTE(SUBSTITUTE(SUBSTITUTE(SUBSTITUTE(SUBSTITUTE(SUBSTITUTE(SUBSTITUTE(SUBSTITUTE(TRIM($D334),"'",""),"İ","I"),"ı","I"),"i","I"),"Ş","S"),"ş","S"),"Ğ","G"),"ğ","G"),"Ü","U"),"ü","U"),"Ö","O"),"ö","O"),"Ç","C"),"ç","C"),".",""),",","")," ",""),"-","")))</f>
        <v/>
      </c>
      <c r="S334" s="3">
        <f>IF($D334="","",$C334&amp;"|"&amp;TEXT($E334,"0")&amp;"|"&amp;TEXT($F334,"0")&amp;"|"&amp;$I334)</f>
        <v/>
      </c>
      <c r="T334" s="3">
        <f>IF($E334="",0,SUMPRODUCT((AY_SONU!$O$7:$O$42="Evet")*(AY_SONU!$B$7:$B$42=DATE(YEAR($E334),MONTH($E334),1))))</f>
        <v/>
      </c>
    </row>
    <row r="335">
      <c r="A335" s="6" t="n"/>
      <c r="B335" s="113">
        <f>IF($D335="","","T"&amp;TEXT(ROW()-6,"00000"))</f>
        <v/>
      </c>
      <c r="C335" s="113">
        <f>IF($D335="","",IFERROR(INDEX(MUSTERILER!$B$7:$B$106,MATCH($R335,MUSTERILER!$T$7:$T$106,0)),IFERROR(INDEX(MUSTERILER!$B$7:$B$106,MATCH($D335,MUSTERILER!$B$7:$B$106,0)),IFERROR(INDEX(MUSTERILER!$B$7:$B$106,MATCH($R335&amp;"*",MUSTERILER!$T$7:$T$106,0)),"TANIMSIZ MÜŞTERİ"))))</f>
        <v/>
      </c>
      <c r="D335" s="109" t="inlineStr">
        <is>
          <t>İldeş Ltd.Şti.</t>
        </is>
      </c>
      <c r="E335" s="220" t="n">
        <v>46172</v>
      </c>
      <c r="F335" s="221" t="n">
        <v>4000</v>
      </c>
      <c r="G335" s="108" t="inlineStr">
        <is>
          <t>MERKEZ KASA</t>
        </is>
      </c>
      <c r="H335" s="108" t="inlineStr">
        <is>
          <t>Nakit</t>
        </is>
      </c>
      <c r="I335" s="109" t="n"/>
      <c r="J335" s="109" t="inlineStr">
        <is>
          <t>NAKİT ÖDENEN</t>
        </is>
      </c>
      <c r="K335" s="109" t="n"/>
      <c r="L335" s="226">
        <f>IF($E335="","",DATE(YEAR($E335),MONTH($E335),1))</f>
        <v/>
      </c>
      <c r="M335" s="113">
        <f>IF($D335="","",IF($C335="TANIMSIZ MÜŞTERİ","HATA",IF(OR($E335="",$F335&lt;=0,$G335=""),"EKSİK",IF($E335&gt;TODAY(),"İLERİ TARİH",IF(COUNTIF($S$7:$S$1506,$S335)&gt;1,"MÜKERRER?",IF($T335&gt;0,"KAPALI DÖNEM","UYGUN"))))))</f>
        <v/>
      </c>
      <c r="N335" s="121">
        <f>IF($C335="","",IF($C335="TANIMSIZ MÜŞTERİ","—",INDEX(MUSTERILER!$C$7:$C$106,MATCH($C335,MUSTERILER!$B$7:$B$106,0))))</f>
        <v/>
      </c>
      <c r="O335" s="6" t="n"/>
      <c r="P335" s="6" t="n"/>
      <c r="Q335" s="3">
        <f>IF($D335="","",$C335&amp;"|"&amp;COUNTIFS($C$7:$C335,$C335))</f>
        <v/>
      </c>
      <c r="R335" s="3">
        <f>IF($D335="","",UPPER(SUBSTITUTE(SUBSTITUTE(SUBSTITUTE(SUBSTITUTE(SUBSTITUTE(SUBSTITUTE(SUBSTITUTE(SUBSTITUTE(SUBSTITUTE(SUBSTITUTE(SUBSTITUTE(SUBSTITUTE(SUBSTITUTE(SUBSTITUTE(SUBSTITUTE(SUBSTITUTE(SUBSTITUTE(SUBSTITUTE(TRIM($D335),"'",""),"İ","I"),"ı","I"),"i","I"),"Ş","S"),"ş","S"),"Ğ","G"),"ğ","G"),"Ü","U"),"ü","U"),"Ö","O"),"ö","O"),"Ç","C"),"ç","C"),".",""),",","")," ",""),"-","")))</f>
        <v/>
      </c>
      <c r="S335" s="3">
        <f>IF($D335="","",$C335&amp;"|"&amp;TEXT($E335,"0")&amp;"|"&amp;TEXT($F335,"0")&amp;"|"&amp;$I335)</f>
        <v/>
      </c>
      <c r="T335" s="3">
        <f>IF($E335="",0,SUMPRODUCT((AY_SONU!$O$7:$O$42="Evet")*(AY_SONU!$B$7:$B$42=DATE(YEAR($E335),MONTH($E335),1))))</f>
        <v/>
      </c>
    </row>
    <row r="336">
      <c r="A336" s="6" t="n"/>
      <c r="B336" s="113">
        <f>IF($D336="","","T"&amp;TEXT(ROW()-6,"00000"))</f>
        <v/>
      </c>
      <c r="C336" s="113">
        <f>IF($D336="","",IFERROR(INDEX(MUSTERILER!$B$7:$B$106,MATCH($R336,MUSTERILER!$T$7:$T$106,0)),IFERROR(INDEX(MUSTERILER!$B$7:$B$106,MATCH($D336,MUSTERILER!$B$7:$B$106,0)),IFERROR(INDEX(MUSTERILER!$B$7:$B$106,MATCH($R336&amp;"*",MUSTERILER!$T$7:$T$106,0)),"TANIMSIZ MÜŞTERİ"))))</f>
        <v/>
      </c>
      <c r="D336" s="109" t="inlineStr">
        <is>
          <t>Pakyıldız Ltd.Şti.</t>
        </is>
      </c>
      <c r="E336" s="220" t="n">
        <v>46172</v>
      </c>
      <c r="F336" s="221" t="n">
        <v>4000</v>
      </c>
      <c r="G336" s="108" t="inlineStr">
        <is>
          <t>MERKEZ KASA</t>
        </is>
      </c>
      <c r="H336" s="108" t="inlineStr">
        <is>
          <t>Nakit</t>
        </is>
      </c>
      <c r="I336" s="109" t="n"/>
      <c r="J336" s="109" t="inlineStr">
        <is>
          <t>NAKİT ÖDENEN</t>
        </is>
      </c>
      <c r="K336" s="109" t="n"/>
      <c r="L336" s="226">
        <f>IF($E336="","",DATE(YEAR($E336),MONTH($E336),1))</f>
        <v/>
      </c>
      <c r="M336" s="113">
        <f>IF($D336="","",IF($C336="TANIMSIZ MÜŞTERİ","HATA",IF(OR($E336="",$F336&lt;=0,$G336=""),"EKSİK",IF($E336&gt;TODAY(),"İLERİ TARİH",IF(COUNTIF($S$7:$S$1506,$S336)&gt;1,"MÜKERRER?",IF($T336&gt;0,"KAPALI DÖNEM","UYGUN"))))))</f>
        <v/>
      </c>
      <c r="N336" s="121">
        <f>IF($C336="","",IF($C336="TANIMSIZ MÜŞTERİ","—",INDEX(MUSTERILER!$C$7:$C$106,MATCH($C336,MUSTERILER!$B$7:$B$106,0))))</f>
        <v/>
      </c>
      <c r="O336" s="6" t="n"/>
      <c r="P336" s="6" t="n"/>
      <c r="Q336" s="3">
        <f>IF($D336="","",$C336&amp;"|"&amp;COUNTIFS($C$7:$C336,$C336))</f>
        <v/>
      </c>
      <c r="R336" s="3">
        <f>IF($D336="","",UPPER(SUBSTITUTE(SUBSTITUTE(SUBSTITUTE(SUBSTITUTE(SUBSTITUTE(SUBSTITUTE(SUBSTITUTE(SUBSTITUTE(SUBSTITUTE(SUBSTITUTE(SUBSTITUTE(SUBSTITUTE(SUBSTITUTE(SUBSTITUTE(SUBSTITUTE(SUBSTITUTE(SUBSTITUTE(SUBSTITUTE(TRIM($D336),"'",""),"İ","I"),"ı","I"),"i","I"),"Ş","S"),"ş","S"),"Ğ","G"),"ğ","G"),"Ü","U"),"ü","U"),"Ö","O"),"ö","O"),"Ç","C"),"ç","C"),".",""),",","")," ",""),"-","")))</f>
        <v/>
      </c>
      <c r="S336" s="3">
        <f>IF($D336="","",$C336&amp;"|"&amp;TEXT($E336,"0")&amp;"|"&amp;TEXT($F336,"0")&amp;"|"&amp;$I336)</f>
        <v/>
      </c>
      <c r="T336" s="3">
        <f>IF($E336="",0,SUMPRODUCT((AY_SONU!$O$7:$O$42="Evet")*(AY_SONU!$B$7:$B$42=DATE(YEAR($E336),MONTH($E336),1))))</f>
        <v/>
      </c>
    </row>
    <row r="337">
      <c r="A337" s="6" t="n"/>
      <c r="B337" s="113">
        <f>IF($D337="","","T"&amp;TEXT(ROW()-6,"00000"))</f>
        <v/>
      </c>
      <c r="C337" s="113">
        <f>IF($D337="","",IFERROR(INDEX(MUSTERILER!$B$7:$B$106,MATCH($R337,MUSTERILER!$T$7:$T$106,0)),IFERROR(INDEX(MUSTERILER!$B$7:$B$106,MATCH($D337,MUSTERILER!$B$7:$B$106,0)),IFERROR(INDEX(MUSTERILER!$B$7:$B$106,MATCH($R337&amp;"*",MUSTERILER!$T$7:$T$106,0)),"TANIMSIZ MÜŞTERİ"))))</f>
        <v/>
      </c>
      <c r="D337" s="109" t="inlineStr">
        <is>
          <t>Rix Şow Ltd.Şti.</t>
        </is>
      </c>
      <c r="E337" s="220" t="n">
        <v>46172</v>
      </c>
      <c r="F337" s="221" t="n">
        <v>3000</v>
      </c>
      <c r="G337" s="108" t="inlineStr">
        <is>
          <t>MERKEZ KASA</t>
        </is>
      </c>
      <c r="H337" s="108" t="inlineStr">
        <is>
          <t>Nakit</t>
        </is>
      </c>
      <c r="I337" s="109" t="n"/>
      <c r="J337" s="109" t="inlineStr">
        <is>
          <t>NAKİT ÖDENEN</t>
        </is>
      </c>
      <c r="K337" s="109" t="n"/>
      <c r="L337" s="226">
        <f>IF($E337="","",DATE(YEAR($E337),MONTH($E337),1))</f>
        <v/>
      </c>
      <c r="M337" s="113">
        <f>IF($D337="","",IF($C337="TANIMSIZ MÜŞTERİ","HATA",IF(OR($E337="",$F337&lt;=0,$G337=""),"EKSİK",IF($E337&gt;TODAY(),"İLERİ TARİH",IF(COUNTIF($S$7:$S$1506,$S337)&gt;1,"MÜKERRER?",IF($T337&gt;0,"KAPALI DÖNEM","UYGUN"))))))</f>
        <v/>
      </c>
      <c r="N337" s="121">
        <f>IF($C337="","",IF($C337="TANIMSIZ MÜŞTERİ","—",INDEX(MUSTERILER!$C$7:$C$106,MATCH($C337,MUSTERILER!$B$7:$B$106,0))))</f>
        <v/>
      </c>
      <c r="O337" s="6" t="n"/>
      <c r="P337" s="6" t="n"/>
      <c r="Q337" s="3">
        <f>IF($D337="","",$C337&amp;"|"&amp;COUNTIFS($C$7:$C337,$C337))</f>
        <v/>
      </c>
      <c r="R337" s="3">
        <f>IF($D337="","",UPPER(SUBSTITUTE(SUBSTITUTE(SUBSTITUTE(SUBSTITUTE(SUBSTITUTE(SUBSTITUTE(SUBSTITUTE(SUBSTITUTE(SUBSTITUTE(SUBSTITUTE(SUBSTITUTE(SUBSTITUTE(SUBSTITUTE(SUBSTITUTE(SUBSTITUTE(SUBSTITUTE(SUBSTITUTE(SUBSTITUTE(TRIM($D337),"'",""),"İ","I"),"ı","I"),"i","I"),"Ş","S"),"ş","S"),"Ğ","G"),"ğ","G"),"Ü","U"),"ü","U"),"Ö","O"),"ö","O"),"Ç","C"),"ç","C"),".",""),",","")," ",""),"-","")))</f>
        <v/>
      </c>
      <c r="S337" s="3">
        <f>IF($D337="","",$C337&amp;"|"&amp;TEXT($E337,"0")&amp;"|"&amp;TEXT($F337,"0")&amp;"|"&amp;$I337)</f>
        <v/>
      </c>
      <c r="T337" s="3">
        <f>IF($E337="",0,SUMPRODUCT((AY_SONU!$O$7:$O$42="Evet")*(AY_SONU!$B$7:$B$42=DATE(YEAR($E337),MONTH($E337),1))))</f>
        <v/>
      </c>
    </row>
    <row r="338">
      <c r="A338" s="6" t="n"/>
      <c r="B338" s="113">
        <f>IF($D338="","","T"&amp;TEXT(ROW()-6,"00000"))</f>
        <v/>
      </c>
      <c r="C338" s="113">
        <f>IF($D338="","",IFERROR(INDEX(MUSTERILER!$B$7:$B$106,MATCH($R338,MUSTERILER!$T$7:$T$106,0)),IFERROR(INDEX(MUSTERILER!$B$7:$B$106,MATCH($D338,MUSTERILER!$B$7:$B$106,0)),IFERROR(INDEX(MUSTERILER!$B$7:$B$106,MATCH($R338&amp;"*",MUSTERILER!$T$7:$T$106,0)),"TANIMSIZ MÜŞTERİ"))))</f>
        <v/>
      </c>
      <c r="D338" s="109" t="inlineStr">
        <is>
          <t>Zümrüt Grup Ltd.Şti.</t>
        </is>
      </c>
      <c r="E338" s="220" t="n">
        <v>46172</v>
      </c>
      <c r="F338" s="221" t="n">
        <v>1750</v>
      </c>
      <c r="G338" s="108" t="inlineStr">
        <is>
          <t>MERKEZ KASA</t>
        </is>
      </c>
      <c r="H338" s="108" t="inlineStr">
        <is>
          <t>Nakit</t>
        </is>
      </c>
      <c r="I338" s="109" t="n"/>
      <c r="J338" s="109" t="inlineStr">
        <is>
          <t>NAKİT ÖDENEN</t>
        </is>
      </c>
      <c r="K338" s="109" t="n"/>
      <c r="L338" s="226">
        <f>IF($E338="","",DATE(YEAR($E338),MONTH($E338),1))</f>
        <v/>
      </c>
      <c r="M338" s="113">
        <f>IF($D338="","",IF($C338="TANIMSIZ MÜŞTERİ","HATA",IF(OR($E338="",$F338&lt;=0,$G338=""),"EKSİK",IF($E338&gt;TODAY(),"İLERİ TARİH",IF(COUNTIF($S$7:$S$1506,$S338)&gt;1,"MÜKERRER?",IF($T338&gt;0,"KAPALI DÖNEM","UYGUN"))))))</f>
        <v/>
      </c>
      <c r="N338" s="121">
        <f>IF($C338="","",IF($C338="TANIMSIZ MÜŞTERİ","—",INDEX(MUSTERILER!$C$7:$C$106,MATCH($C338,MUSTERILER!$B$7:$B$106,0))))</f>
        <v/>
      </c>
      <c r="O338" s="6" t="n"/>
      <c r="P338" s="6" t="n"/>
      <c r="Q338" s="3">
        <f>IF($D338="","",$C338&amp;"|"&amp;COUNTIFS($C$7:$C338,$C338))</f>
        <v/>
      </c>
      <c r="R338" s="3">
        <f>IF($D338="","",UPPER(SUBSTITUTE(SUBSTITUTE(SUBSTITUTE(SUBSTITUTE(SUBSTITUTE(SUBSTITUTE(SUBSTITUTE(SUBSTITUTE(SUBSTITUTE(SUBSTITUTE(SUBSTITUTE(SUBSTITUTE(SUBSTITUTE(SUBSTITUTE(SUBSTITUTE(SUBSTITUTE(SUBSTITUTE(SUBSTITUTE(TRIM($D338),"'",""),"İ","I"),"ı","I"),"i","I"),"Ş","S"),"ş","S"),"Ğ","G"),"ğ","G"),"Ü","U"),"ü","U"),"Ö","O"),"ö","O"),"Ç","C"),"ç","C"),".",""),",","")," ",""),"-","")))</f>
        <v/>
      </c>
      <c r="S338" s="3">
        <f>IF($D338="","",$C338&amp;"|"&amp;TEXT($E338,"0")&amp;"|"&amp;TEXT($F338,"0")&amp;"|"&amp;$I338)</f>
        <v/>
      </c>
      <c r="T338" s="3">
        <f>IF($E338="",0,SUMPRODUCT((AY_SONU!$O$7:$O$42="Evet")*(AY_SONU!$B$7:$B$42=DATE(YEAR($E338),MONTH($E338),1))))</f>
        <v/>
      </c>
    </row>
    <row r="339">
      <c r="A339" s="6" t="n"/>
      <c r="B339" s="113">
        <f>IF($D339="","","T"&amp;TEXT(ROW()-6,"00000"))</f>
        <v/>
      </c>
      <c r="C339" s="113">
        <f>IF($D339="","",IFERROR(INDEX(MUSTERILER!$B$7:$B$106,MATCH($R339,MUSTERILER!$T$7:$T$106,0)),IFERROR(INDEX(MUSTERILER!$B$7:$B$106,MATCH($D339,MUSTERILER!$B$7:$B$106,0)),IFERROR(INDEX(MUSTERILER!$B$7:$B$106,MATCH($R339&amp;"*",MUSTERILER!$T$7:$T$106,0)),"TANIMSIZ MÜŞTERİ"))))</f>
        <v/>
      </c>
      <c r="D339" s="109" t="inlineStr">
        <is>
          <t>ÇINARHAN LTD.ŞTİ.</t>
        </is>
      </c>
      <c r="E339" s="220" t="n">
        <v>46172</v>
      </c>
      <c r="F339" s="221" t="n">
        <v>2500</v>
      </c>
      <c r="G339" s="108" t="inlineStr">
        <is>
          <t>MERKEZ KASA</t>
        </is>
      </c>
      <c r="H339" s="108" t="inlineStr">
        <is>
          <t>Nakit</t>
        </is>
      </c>
      <c r="I339" s="109" t="n"/>
      <c r="J339" s="109" t="inlineStr">
        <is>
          <t>NAKİT ÖDENEN</t>
        </is>
      </c>
      <c r="K339" s="109" t="n"/>
      <c r="L339" s="226">
        <f>IF($E339="","",DATE(YEAR($E339),MONTH($E339),1))</f>
        <v/>
      </c>
      <c r="M339" s="113">
        <f>IF($D339="","",IF($C339="TANIMSIZ MÜŞTERİ","HATA",IF(OR($E339="",$F339&lt;=0,$G339=""),"EKSİK",IF($E339&gt;TODAY(),"İLERİ TARİH",IF(COUNTIF($S$7:$S$1506,$S339)&gt;1,"MÜKERRER?",IF($T339&gt;0,"KAPALI DÖNEM","UYGUN"))))))</f>
        <v/>
      </c>
      <c r="N339" s="121">
        <f>IF($C339="","",IF($C339="TANIMSIZ MÜŞTERİ","—",INDEX(MUSTERILER!$C$7:$C$106,MATCH($C339,MUSTERILER!$B$7:$B$106,0))))</f>
        <v/>
      </c>
      <c r="O339" s="6" t="n"/>
      <c r="P339" s="6" t="n"/>
      <c r="Q339" s="3">
        <f>IF($D339="","",$C339&amp;"|"&amp;COUNTIFS($C$7:$C339,$C339))</f>
        <v/>
      </c>
      <c r="R339" s="3">
        <f>IF($D339="","",UPPER(SUBSTITUTE(SUBSTITUTE(SUBSTITUTE(SUBSTITUTE(SUBSTITUTE(SUBSTITUTE(SUBSTITUTE(SUBSTITUTE(SUBSTITUTE(SUBSTITUTE(SUBSTITUTE(SUBSTITUTE(SUBSTITUTE(SUBSTITUTE(SUBSTITUTE(SUBSTITUTE(SUBSTITUTE(SUBSTITUTE(TRIM($D339),"'",""),"İ","I"),"ı","I"),"i","I"),"Ş","S"),"ş","S"),"Ğ","G"),"ğ","G"),"Ü","U"),"ü","U"),"Ö","O"),"ö","O"),"Ç","C"),"ç","C"),".",""),",","")," ",""),"-","")))</f>
        <v/>
      </c>
      <c r="S339" s="3">
        <f>IF($D339="","",$C339&amp;"|"&amp;TEXT($E339,"0")&amp;"|"&amp;TEXT($F339,"0")&amp;"|"&amp;$I339)</f>
        <v/>
      </c>
      <c r="T339" s="3">
        <f>IF($E339="",0,SUMPRODUCT((AY_SONU!$O$7:$O$42="Evet")*(AY_SONU!$B$7:$B$42=DATE(YEAR($E339),MONTH($E339),1))))</f>
        <v/>
      </c>
    </row>
    <row r="340">
      <c r="A340" s="6" t="n"/>
      <c r="B340" s="113">
        <f>IF($D340="","","T"&amp;TEXT(ROW()-6,"00000"))</f>
        <v/>
      </c>
      <c r="C340" s="113">
        <f>IF($D340="","",IFERROR(INDEX(MUSTERILER!$B$7:$B$106,MATCH($R340,MUSTERILER!$T$7:$T$106,0)),IFERROR(INDEX(MUSTERILER!$B$7:$B$106,MATCH($D340,MUSTERILER!$B$7:$B$106,0)),IFERROR(INDEX(MUSTERILER!$B$7:$B$106,MATCH($R340&amp;"*",MUSTERILER!$T$7:$T$106,0)),"TANIMSIZ MÜŞTERİ"))))</f>
        <v/>
      </c>
      <c r="D340" s="109" t="inlineStr">
        <is>
          <t>KRİSTAL LTD.ŞTİ.</t>
        </is>
      </c>
      <c r="E340" s="220" t="n">
        <v>46172</v>
      </c>
      <c r="F340" s="221" t="n">
        <v>6000</v>
      </c>
      <c r="G340" s="108" t="inlineStr">
        <is>
          <t>ÖMER KARTAL</t>
        </is>
      </c>
      <c r="H340" s="108" t="inlineStr">
        <is>
          <t>Nakit</t>
        </is>
      </c>
      <c r="I340" s="109" t="n"/>
      <c r="J340" s="109" t="inlineStr">
        <is>
          <t>NAKİT ÖDENEN</t>
        </is>
      </c>
      <c r="K340" s="109" t="n"/>
      <c r="L340" s="226">
        <f>IF($E340="","",DATE(YEAR($E340),MONTH($E340),1))</f>
        <v/>
      </c>
      <c r="M340" s="113">
        <f>IF($D340="","",IF($C340="TANIMSIZ MÜŞTERİ","HATA",IF(OR($E340="",$F340&lt;=0,$G340=""),"EKSİK",IF($E340&gt;TODAY(),"İLERİ TARİH",IF(COUNTIF($S$7:$S$1506,$S340)&gt;1,"MÜKERRER?",IF($T340&gt;0,"KAPALI DÖNEM","UYGUN"))))))</f>
        <v/>
      </c>
      <c r="N340" s="121">
        <f>IF($C340="","",IF($C340="TANIMSIZ MÜŞTERİ","—",INDEX(MUSTERILER!$C$7:$C$106,MATCH($C340,MUSTERILER!$B$7:$B$106,0))))</f>
        <v/>
      </c>
      <c r="O340" s="6" t="n"/>
      <c r="P340" s="6" t="n"/>
      <c r="Q340" s="3">
        <f>IF($D340="","",$C340&amp;"|"&amp;COUNTIFS($C$7:$C340,$C340))</f>
        <v/>
      </c>
      <c r="R340" s="3">
        <f>IF($D340="","",UPPER(SUBSTITUTE(SUBSTITUTE(SUBSTITUTE(SUBSTITUTE(SUBSTITUTE(SUBSTITUTE(SUBSTITUTE(SUBSTITUTE(SUBSTITUTE(SUBSTITUTE(SUBSTITUTE(SUBSTITUTE(SUBSTITUTE(SUBSTITUTE(SUBSTITUTE(SUBSTITUTE(SUBSTITUTE(SUBSTITUTE(TRIM($D340),"'",""),"İ","I"),"ı","I"),"i","I"),"Ş","S"),"ş","S"),"Ğ","G"),"ğ","G"),"Ü","U"),"ü","U"),"Ö","O"),"ö","O"),"Ç","C"),"ç","C"),".",""),",","")," ",""),"-","")))</f>
        <v/>
      </c>
      <c r="S340" s="3">
        <f>IF($D340="","",$C340&amp;"|"&amp;TEXT($E340,"0")&amp;"|"&amp;TEXT($F340,"0")&amp;"|"&amp;$I340)</f>
        <v/>
      </c>
      <c r="T340" s="3">
        <f>IF($E340="",0,SUMPRODUCT((AY_SONU!$O$7:$O$42="Evet")*(AY_SONU!$B$7:$B$42=DATE(YEAR($E340),MONTH($E340),1))))</f>
        <v/>
      </c>
    </row>
    <row r="341">
      <c r="A341" s="6" t="n"/>
      <c r="B341" s="113">
        <f>IF($D341="","","T"&amp;TEXT(ROW()-6,"00000"))</f>
        <v/>
      </c>
      <c r="C341" s="113">
        <f>IF($D341="","",IFERROR(INDEX(MUSTERILER!$B$7:$B$106,MATCH($R341,MUSTERILER!$T$7:$T$106,0)),IFERROR(INDEX(MUSTERILER!$B$7:$B$106,MATCH($D341,MUSTERILER!$B$7:$B$106,0)),IFERROR(INDEX(MUSTERILER!$B$7:$B$106,MATCH($R341&amp;"*",MUSTERILER!$T$7:$T$106,0)),"TANIMSIZ MÜŞTERİ"))))</f>
        <v/>
      </c>
      <c r="D341" s="109" t="inlineStr">
        <is>
          <t>PALAOĞULLARI LTD.ŞTİ.</t>
        </is>
      </c>
      <c r="E341" s="220" t="n">
        <v>46172</v>
      </c>
      <c r="F341" s="221" t="n">
        <v>4000</v>
      </c>
      <c r="G341" s="108" t="inlineStr">
        <is>
          <t>MERKEZ KASA</t>
        </is>
      </c>
      <c r="H341" s="108" t="inlineStr">
        <is>
          <t>Nakit</t>
        </is>
      </c>
      <c r="I341" s="109" t="n"/>
      <c r="J341" s="109" t="inlineStr">
        <is>
          <t>NAKİT ÖDENEN</t>
        </is>
      </c>
      <c r="K341" s="109" t="n"/>
      <c r="L341" s="226">
        <f>IF($E341="","",DATE(YEAR($E341),MONTH($E341),1))</f>
        <v/>
      </c>
      <c r="M341" s="113">
        <f>IF($D341="","",IF($C341="TANIMSIZ MÜŞTERİ","HATA",IF(OR($E341="",$F341&lt;=0,$G341=""),"EKSİK",IF($E341&gt;TODAY(),"İLERİ TARİH",IF(COUNTIF($S$7:$S$1506,$S341)&gt;1,"MÜKERRER?",IF($T341&gt;0,"KAPALI DÖNEM","UYGUN"))))))</f>
        <v/>
      </c>
      <c r="N341" s="121">
        <f>IF($C341="","",IF($C341="TANIMSIZ MÜŞTERİ","—",INDEX(MUSTERILER!$C$7:$C$106,MATCH($C341,MUSTERILER!$B$7:$B$106,0))))</f>
        <v/>
      </c>
      <c r="O341" s="6" t="n"/>
      <c r="P341" s="6" t="n"/>
      <c r="Q341" s="3">
        <f>IF($D341="","",$C341&amp;"|"&amp;COUNTIFS($C$7:$C341,$C341))</f>
        <v/>
      </c>
      <c r="R341" s="3">
        <f>IF($D341="","",UPPER(SUBSTITUTE(SUBSTITUTE(SUBSTITUTE(SUBSTITUTE(SUBSTITUTE(SUBSTITUTE(SUBSTITUTE(SUBSTITUTE(SUBSTITUTE(SUBSTITUTE(SUBSTITUTE(SUBSTITUTE(SUBSTITUTE(SUBSTITUTE(SUBSTITUTE(SUBSTITUTE(SUBSTITUTE(SUBSTITUTE(TRIM($D341),"'",""),"İ","I"),"ı","I"),"i","I"),"Ş","S"),"ş","S"),"Ğ","G"),"ğ","G"),"Ü","U"),"ü","U"),"Ö","O"),"ö","O"),"Ç","C"),"ç","C"),".",""),",","")," ",""),"-","")))</f>
        <v/>
      </c>
      <c r="S341" s="3">
        <f>IF($D341="","",$C341&amp;"|"&amp;TEXT($E341,"0")&amp;"|"&amp;TEXT($F341,"0")&amp;"|"&amp;$I341)</f>
        <v/>
      </c>
      <c r="T341" s="3">
        <f>IF($E341="",0,SUMPRODUCT((AY_SONU!$O$7:$O$42="Evet")*(AY_SONU!$B$7:$B$42=DATE(YEAR($E341),MONTH($E341),1))))</f>
        <v/>
      </c>
    </row>
    <row r="342">
      <c r="A342" s="6" t="n"/>
      <c r="B342" s="113">
        <f>IF($D342="","","T"&amp;TEXT(ROW()-6,"00000"))</f>
        <v/>
      </c>
      <c r="C342" s="113">
        <f>IF($D342="","",IFERROR(INDEX(MUSTERILER!$B$7:$B$106,MATCH($R342,MUSTERILER!$T$7:$T$106,0)),IFERROR(INDEX(MUSTERILER!$B$7:$B$106,MATCH($D342,MUSTERILER!$B$7:$B$106,0)),IFERROR(INDEX(MUSTERILER!$B$7:$B$106,MATCH($R342&amp;"*",MUSTERILER!$T$7:$T$106,0)),"TANIMSIZ MÜŞTERİ"))))</f>
        <v/>
      </c>
      <c r="D342" s="109" t="inlineStr">
        <is>
          <t>YALIKENT LTD.ŞTİ.</t>
        </is>
      </c>
      <c r="E342" s="220" t="n">
        <v>46172</v>
      </c>
      <c r="F342" s="221" t="n">
        <v>4000</v>
      </c>
      <c r="G342" s="108" t="inlineStr">
        <is>
          <t>MERKEZ KASA</t>
        </is>
      </c>
      <c r="H342" s="108" t="inlineStr">
        <is>
          <t>Nakit</t>
        </is>
      </c>
      <c r="I342" s="109" t="n"/>
      <c r="J342" s="109" t="inlineStr">
        <is>
          <t>NAKİT ÖDENEN</t>
        </is>
      </c>
      <c r="K342" s="109" t="n"/>
      <c r="L342" s="226">
        <f>IF($E342="","",DATE(YEAR($E342),MONTH($E342),1))</f>
        <v/>
      </c>
      <c r="M342" s="113">
        <f>IF($D342="","",IF($C342="TANIMSIZ MÜŞTERİ","HATA",IF(OR($E342="",$F342&lt;=0,$G342=""),"EKSİK",IF($E342&gt;TODAY(),"İLERİ TARİH",IF(COUNTIF($S$7:$S$1506,$S342)&gt;1,"MÜKERRER?",IF($T342&gt;0,"KAPALI DÖNEM","UYGUN"))))))</f>
        <v/>
      </c>
      <c r="N342" s="121">
        <f>IF($C342="","",IF($C342="TANIMSIZ MÜŞTERİ","—",INDEX(MUSTERILER!$C$7:$C$106,MATCH($C342,MUSTERILER!$B$7:$B$106,0))))</f>
        <v/>
      </c>
      <c r="O342" s="6" t="n"/>
      <c r="P342" s="6" t="n"/>
      <c r="Q342" s="3">
        <f>IF($D342="","",$C342&amp;"|"&amp;COUNTIFS($C$7:$C342,$C342))</f>
        <v/>
      </c>
      <c r="R342" s="3">
        <f>IF($D342="","",UPPER(SUBSTITUTE(SUBSTITUTE(SUBSTITUTE(SUBSTITUTE(SUBSTITUTE(SUBSTITUTE(SUBSTITUTE(SUBSTITUTE(SUBSTITUTE(SUBSTITUTE(SUBSTITUTE(SUBSTITUTE(SUBSTITUTE(SUBSTITUTE(SUBSTITUTE(SUBSTITUTE(SUBSTITUTE(SUBSTITUTE(TRIM($D342),"'",""),"İ","I"),"ı","I"),"i","I"),"Ş","S"),"ş","S"),"Ğ","G"),"ğ","G"),"Ü","U"),"ü","U"),"Ö","O"),"ö","O"),"Ç","C"),"ç","C"),".",""),",","")," ",""),"-","")))</f>
        <v/>
      </c>
      <c r="S342" s="3">
        <f>IF($D342="","",$C342&amp;"|"&amp;TEXT($E342,"0")&amp;"|"&amp;TEXT($F342,"0")&amp;"|"&amp;$I342)</f>
        <v/>
      </c>
      <c r="T342" s="3">
        <f>IF($E342="",0,SUMPRODUCT((AY_SONU!$O$7:$O$42="Evet")*(AY_SONU!$B$7:$B$42=DATE(YEAR($E342),MONTH($E342),1))))</f>
        <v/>
      </c>
    </row>
    <row r="343">
      <c r="A343" s="6" t="n"/>
      <c r="B343" s="113">
        <f>IF($D343="","","T"&amp;TEXT(ROW()-6,"00000"))</f>
        <v/>
      </c>
      <c r="C343" s="113">
        <f>IF($D343="","",IFERROR(INDEX(MUSTERILER!$B$7:$B$106,MATCH($R343,MUSTERILER!$T$7:$T$106,0)),IFERROR(INDEX(MUSTERILER!$B$7:$B$106,MATCH($D343,MUSTERILER!$B$7:$B$106,0)),IFERROR(INDEX(MUSTERILER!$B$7:$B$106,MATCH($R343&amp;"*",MUSTERILER!$T$7:$T$106,0)),"TANIMSIZ MÜŞTERİ"))))</f>
        <v/>
      </c>
      <c r="D343" s="109" t="inlineStr">
        <is>
          <t>ALTINEL LTD.ŞTİ.</t>
        </is>
      </c>
      <c r="E343" s="220" t="n">
        <v>46173</v>
      </c>
      <c r="F343" s="221" t="n">
        <v>12000</v>
      </c>
      <c r="G343" s="108" t="inlineStr">
        <is>
          <t>ÖMER KARTAL</t>
        </is>
      </c>
      <c r="H343" s="108" t="inlineStr">
        <is>
          <t>Nakit</t>
        </is>
      </c>
      <c r="I343" s="109" t="n"/>
      <c r="J343" s="109" t="inlineStr">
        <is>
          <t xml:space="preserve">ALTINEL LTD.ŞTİ. </t>
        </is>
      </c>
      <c r="K343" s="109" t="n"/>
      <c r="L343" s="226">
        <f>IF($E343="","",DATE(YEAR($E343),MONTH($E343),1))</f>
        <v/>
      </c>
      <c r="M343" s="113">
        <f>IF($D343="","",IF($C343="TANIMSIZ MÜŞTERİ","HATA",IF(OR($E343="",$F343&lt;=0,$G343=""),"EKSİK",IF($E343&gt;TODAY(),"İLERİ TARİH",IF(COUNTIF($S$7:$S$1506,$S343)&gt;1,"MÜKERRER?",IF($T343&gt;0,"KAPALI DÖNEM","UYGUN"))))))</f>
        <v/>
      </c>
      <c r="N343" s="121">
        <f>IF($C343="","",IF($C343="TANIMSIZ MÜŞTERİ","—",INDEX(MUSTERILER!$C$7:$C$106,MATCH($C343,MUSTERILER!$B$7:$B$106,0))))</f>
        <v/>
      </c>
      <c r="O343" s="6" t="n"/>
      <c r="P343" s="6" t="n"/>
      <c r="Q343" s="3">
        <f>IF($D343="","",$C343&amp;"|"&amp;COUNTIFS($C$7:$C343,$C343))</f>
        <v/>
      </c>
      <c r="R343" s="3">
        <f>IF($D343="","",UPPER(SUBSTITUTE(SUBSTITUTE(SUBSTITUTE(SUBSTITUTE(SUBSTITUTE(SUBSTITUTE(SUBSTITUTE(SUBSTITUTE(SUBSTITUTE(SUBSTITUTE(SUBSTITUTE(SUBSTITUTE(SUBSTITUTE(SUBSTITUTE(SUBSTITUTE(SUBSTITUTE(SUBSTITUTE(SUBSTITUTE(TRIM($D343),"'",""),"İ","I"),"ı","I"),"i","I"),"Ş","S"),"ş","S"),"Ğ","G"),"ğ","G"),"Ü","U"),"ü","U"),"Ö","O"),"ö","O"),"Ç","C"),"ç","C"),".",""),",","")," ",""),"-","")))</f>
        <v/>
      </c>
      <c r="S343" s="3">
        <f>IF($D343="","",$C343&amp;"|"&amp;TEXT($E343,"0")&amp;"|"&amp;TEXT($F343,"0")&amp;"|"&amp;$I343)</f>
        <v/>
      </c>
      <c r="T343" s="3">
        <f>IF($E343="",0,SUMPRODUCT((AY_SONU!$O$7:$O$42="Evet")*(AY_SONU!$B$7:$B$42=DATE(YEAR($E343),MONTH($E343),1))))</f>
        <v/>
      </c>
    </row>
    <row r="344">
      <c r="A344" s="6" t="n"/>
      <c r="B344" s="113">
        <f>IF($D344="","","T"&amp;TEXT(ROW()-6,"00000"))</f>
        <v/>
      </c>
      <c r="C344" s="113">
        <f>IF($D344="","",IFERROR(INDEX(MUSTERILER!$B$7:$B$106,MATCH($R344,MUSTERILER!$T$7:$T$106,0)),IFERROR(INDEX(MUSTERILER!$B$7:$B$106,MATCH($D344,MUSTERILER!$B$7:$B$106,0)),IFERROR(INDEX(MUSTERILER!$B$7:$B$106,MATCH($R344&amp;"*",MUSTERILER!$T$7:$T$106,0)),"TANIMSIZ MÜŞTERİ"))))</f>
        <v/>
      </c>
      <c r="D344" s="109" t="inlineStr">
        <is>
          <t>ALTINEL LTD.ŞTİ.</t>
        </is>
      </c>
      <c r="E344" s="220" t="n">
        <v>46174</v>
      </c>
      <c r="F344" s="221" t="n">
        <v>12000</v>
      </c>
      <c r="G344" s="108" t="inlineStr">
        <is>
          <t>ÖMER KARTAL</t>
        </is>
      </c>
      <c r="H344" s="108" t="inlineStr">
        <is>
          <t>Nakit</t>
        </is>
      </c>
      <c r="I344" s="109" t="n"/>
      <c r="J344" s="109" t="inlineStr">
        <is>
          <t xml:space="preserve">ALTINEL LTD.ŞTİ. </t>
        </is>
      </c>
      <c r="K344" s="109" t="n"/>
      <c r="L344" s="226">
        <f>IF($E344="","",DATE(YEAR($E344),MONTH($E344),1))</f>
        <v/>
      </c>
      <c r="M344" s="113">
        <f>IF($D344="","",IF($C344="TANIMSIZ MÜŞTERİ","HATA",IF(OR($E344="",$F344&lt;=0,$G344=""),"EKSİK",IF($E344&gt;TODAY(),"İLERİ TARİH",IF(COUNTIF($S$7:$S$1506,$S344)&gt;1,"MÜKERRER?",IF($T344&gt;0,"KAPALI DÖNEM","UYGUN"))))))</f>
        <v/>
      </c>
      <c r="N344" s="121">
        <f>IF($C344="","",IF($C344="TANIMSIZ MÜŞTERİ","—",INDEX(MUSTERILER!$C$7:$C$106,MATCH($C344,MUSTERILER!$B$7:$B$106,0))))</f>
        <v/>
      </c>
      <c r="O344" s="6" t="n"/>
      <c r="P344" s="6" t="n"/>
      <c r="Q344" s="3">
        <f>IF($D344="","",$C344&amp;"|"&amp;COUNTIFS($C$7:$C344,$C344))</f>
        <v/>
      </c>
      <c r="R344" s="3">
        <f>IF($D344="","",UPPER(SUBSTITUTE(SUBSTITUTE(SUBSTITUTE(SUBSTITUTE(SUBSTITUTE(SUBSTITUTE(SUBSTITUTE(SUBSTITUTE(SUBSTITUTE(SUBSTITUTE(SUBSTITUTE(SUBSTITUTE(SUBSTITUTE(SUBSTITUTE(SUBSTITUTE(SUBSTITUTE(SUBSTITUTE(SUBSTITUTE(TRIM($D344),"'",""),"İ","I"),"ı","I"),"i","I"),"Ş","S"),"ş","S"),"Ğ","G"),"ğ","G"),"Ü","U"),"ü","U"),"Ö","O"),"ö","O"),"Ç","C"),"ç","C"),".",""),",","")," ",""),"-","")))</f>
        <v/>
      </c>
      <c r="S344" s="3">
        <f>IF($D344="","",$C344&amp;"|"&amp;TEXT($E344,"0")&amp;"|"&amp;TEXT($F344,"0")&amp;"|"&amp;$I344)</f>
        <v/>
      </c>
      <c r="T344" s="3">
        <f>IF($E344="",0,SUMPRODUCT((AY_SONU!$O$7:$O$42="Evet")*(AY_SONU!$B$7:$B$42=DATE(YEAR($E344),MONTH($E344),1))))</f>
        <v/>
      </c>
    </row>
    <row r="345">
      <c r="A345" s="6" t="n"/>
      <c r="B345" s="113">
        <f>IF($D345="","","T"&amp;TEXT(ROW()-6,"00000"))</f>
        <v/>
      </c>
      <c r="C345" s="113">
        <f>IF($D345="","",IFERROR(INDEX(MUSTERILER!$B$7:$B$106,MATCH($R345,MUSTERILER!$T$7:$T$106,0)),IFERROR(INDEX(MUSTERILER!$B$7:$B$106,MATCH($D345,MUSTERILER!$B$7:$B$106,0)),IFERROR(INDEX(MUSTERILER!$B$7:$B$106,MATCH($R345&amp;"*",MUSTERILER!$T$7:$T$106,0)),"TANIMSIZ MÜŞTERİ"))))</f>
        <v/>
      </c>
      <c r="D345" s="109" t="inlineStr">
        <is>
          <t>Ankara Havana Ltd.Şti.</t>
        </is>
      </c>
      <c r="E345" s="220" t="n">
        <v>46179</v>
      </c>
      <c r="F345" s="221" t="n">
        <v>4000</v>
      </c>
      <c r="G345" s="108" t="inlineStr">
        <is>
          <t>MERKEZ KASA</t>
        </is>
      </c>
      <c r="H345" s="108" t="inlineStr">
        <is>
          <t>Nakit</t>
        </is>
      </c>
      <c r="I345" s="109" t="n"/>
      <c r="J345" s="109" t="inlineStr">
        <is>
          <t>NAKİT ÖDENEN</t>
        </is>
      </c>
      <c r="K345" s="109" t="n"/>
      <c r="L345" s="226">
        <f>IF($E345="","",DATE(YEAR($E345),MONTH($E345),1))</f>
        <v/>
      </c>
      <c r="M345" s="113">
        <f>IF($D345="","",IF($C345="TANIMSIZ MÜŞTERİ","HATA",IF(OR($E345="",$F345&lt;=0,$G345=""),"EKSİK",IF($E345&gt;TODAY(),"İLERİ TARİH",IF(COUNTIF($S$7:$S$1506,$S345)&gt;1,"MÜKERRER?",IF($T345&gt;0,"KAPALI DÖNEM","UYGUN"))))))</f>
        <v/>
      </c>
      <c r="N345" s="121">
        <f>IF($C345="","",IF($C345="TANIMSIZ MÜŞTERİ","—",INDEX(MUSTERILER!$C$7:$C$106,MATCH($C345,MUSTERILER!$B$7:$B$106,0))))</f>
        <v/>
      </c>
      <c r="O345" s="6" t="n"/>
      <c r="P345" s="6" t="n"/>
      <c r="Q345" s="3">
        <f>IF($D345="","",$C345&amp;"|"&amp;COUNTIFS($C$7:$C345,$C345))</f>
        <v/>
      </c>
      <c r="R345" s="3">
        <f>IF($D345="","",UPPER(SUBSTITUTE(SUBSTITUTE(SUBSTITUTE(SUBSTITUTE(SUBSTITUTE(SUBSTITUTE(SUBSTITUTE(SUBSTITUTE(SUBSTITUTE(SUBSTITUTE(SUBSTITUTE(SUBSTITUTE(SUBSTITUTE(SUBSTITUTE(SUBSTITUTE(SUBSTITUTE(SUBSTITUTE(SUBSTITUTE(TRIM($D345),"'",""),"İ","I"),"ı","I"),"i","I"),"Ş","S"),"ş","S"),"Ğ","G"),"ğ","G"),"Ü","U"),"ü","U"),"Ö","O"),"ö","O"),"Ç","C"),"ç","C"),".",""),",","")," ",""),"-","")))</f>
        <v/>
      </c>
      <c r="S345" s="3">
        <f>IF($D345="","",$C345&amp;"|"&amp;TEXT($E345,"0")&amp;"|"&amp;TEXT($F345,"0")&amp;"|"&amp;$I345)</f>
        <v/>
      </c>
      <c r="T345" s="3">
        <f>IF($E345="",0,SUMPRODUCT((AY_SONU!$O$7:$O$42="Evet")*(AY_SONU!$B$7:$B$42=DATE(YEAR($E345),MONTH($E345),1))))</f>
        <v/>
      </c>
    </row>
    <row r="346">
      <c r="A346" s="6" t="n"/>
      <c r="B346" s="113">
        <f>IF($D346="","","T"&amp;TEXT(ROW()-6,"00000"))</f>
        <v/>
      </c>
      <c r="C346" s="113">
        <f>IF($D346="","",IFERROR(INDEX(MUSTERILER!$B$7:$B$106,MATCH($R346,MUSTERILER!$T$7:$T$106,0)),IFERROR(INDEX(MUSTERILER!$B$7:$B$106,MATCH($D346,MUSTERILER!$B$7:$B$106,0)),IFERROR(INDEX(MUSTERILER!$B$7:$B$106,MATCH($R346&amp;"*",MUSTERILER!$T$7:$T$106,0)),"TANIMSIZ MÜŞTERİ"))))</f>
        <v/>
      </c>
      <c r="D346" s="109" t="inlineStr">
        <is>
          <t>ASIM AÇIKGÖZ</t>
        </is>
      </c>
      <c r="E346" s="220" t="n">
        <v>46179</v>
      </c>
      <c r="F346" s="221" t="n">
        <v>2000</v>
      </c>
      <c r="G346" s="108" t="inlineStr">
        <is>
          <t>MERKEZ KASA</t>
        </is>
      </c>
      <c r="H346" s="108" t="inlineStr">
        <is>
          <t>Nakit</t>
        </is>
      </c>
      <c r="I346" s="109" t="n"/>
      <c r="J346" s="109" t="inlineStr">
        <is>
          <t>NAKİT ÖDENEN</t>
        </is>
      </c>
      <c r="K346" s="109" t="n"/>
      <c r="L346" s="226">
        <f>IF($E346="","",DATE(YEAR($E346),MONTH($E346),1))</f>
        <v/>
      </c>
      <c r="M346" s="113">
        <f>IF($D346="","",IF($C346="TANIMSIZ MÜŞTERİ","HATA",IF(OR($E346="",$F346&lt;=0,$G346=""),"EKSİK",IF($E346&gt;TODAY(),"İLERİ TARİH",IF(COUNTIF($S$7:$S$1506,$S346)&gt;1,"MÜKERRER?",IF($T346&gt;0,"KAPALI DÖNEM","UYGUN"))))))</f>
        <v/>
      </c>
      <c r="N346" s="121">
        <f>IF($C346="","",IF($C346="TANIMSIZ MÜŞTERİ","—",INDEX(MUSTERILER!$C$7:$C$106,MATCH($C346,MUSTERILER!$B$7:$B$106,0))))</f>
        <v/>
      </c>
      <c r="O346" s="6" t="n"/>
      <c r="P346" s="6" t="n"/>
      <c r="Q346" s="3">
        <f>IF($D346="","",$C346&amp;"|"&amp;COUNTIFS($C$7:$C346,$C346))</f>
        <v/>
      </c>
      <c r="R346" s="3">
        <f>IF($D346="","",UPPER(SUBSTITUTE(SUBSTITUTE(SUBSTITUTE(SUBSTITUTE(SUBSTITUTE(SUBSTITUTE(SUBSTITUTE(SUBSTITUTE(SUBSTITUTE(SUBSTITUTE(SUBSTITUTE(SUBSTITUTE(SUBSTITUTE(SUBSTITUTE(SUBSTITUTE(SUBSTITUTE(SUBSTITUTE(SUBSTITUTE(TRIM($D346),"'",""),"İ","I"),"ı","I"),"i","I"),"Ş","S"),"ş","S"),"Ğ","G"),"ğ","G"),"Ü","U"),"ü","U"),"Ö","O"),"ö","O"),"Ç","C"),"ç","C"),".",""),",","")," ",""),"-","")))</f>
        <v/>
      </c>
      <c r="S346" s="3">
        <f>IF($D346="","",$C346&amp;"|"&amp;TEXT($E346,"0")&amp;"|"&amp;TEXT($F346,"0")&amp;"|"&amp;$I346)</f>
        <v/>
      </c>
      <c r="T346" s="3">
        <f>IF($E346="",0,SUMPRODUCT((AY_SONU!$O$7:$O$42="Evet")*(AY_SONU!$B$7:$B$42=DATE(YEAR($E346),MONTH($E346),1))))</f>
        <v/>
      </c>
    </row>
    <row r="347">
      <c r="A347" s="6" t="n"/>
      <c r="B347" s="113">
        <f>IF($D347="","","T"&amp;TEXT(ROW()-6,"00000"))</f>
        <v/>
      </c>
      <c r="C347" s="113">
        <f>IF($D347="","",IFERROR(INDEX(MUSTERILER!$B$7:$B$106,MATCH($R347,MUSTERILER!$T$7:$T$106,0)),IFERROR(INDEX(MUSTERILER!$B$7:$B$106,MATCH($D347,MUSTERILER!$B$7:$B$106,0)),IFERROR(INDEX(MUSTERILER!$B$7:$B$106,MATCH($R347&amp;"*",MUSTERILER!$T$7:$T$106,0)),"TANIMSIZ MÜŞTERİ"))))</f>
        <v/>
      </c>
      <c r="D347" s="109" t="inlineStr">
        <is>
          <t>ASM EĞLENCE LTD.ŞTİ.</t>
        </is>
      </c>
      <c r="E347" s="220" t="n">
        <v>46179</v>
      </c>
      <c r="F347" s="221" t="n">
        <v>2500</v>
      </c>
      <c r="G347" s="108" t="inlineStr">
        <is>
          <t>MERKEZ KASA</t>
        </is>
      </c>
      <c r="H347" s="108" t="inlineStr">
        <is>
          <t>Nakit</t>
        </is>
      </c>
      <c r="I347" s="109" t="n"/>
      <c r="J347" s="109" t="inlineStr">
        <is>
          <t>NAKİT ÖDENEN</t>
        </is>
      </c>
      <c r="K347" s="109" t="n"/>
      <c r="L347" s="226">
        <f>IF($E347="","",DATE(YEAR($E347),MONTH($E347),1))</f>
        <v/>
      </c>
      <c r="M347" s="113">
        <f>IF($D347="","",IF($C347="TANIMSIZ MÜŞTERİ","HATA",IF(OR($E347="",$F347&lt;=0,$G347=""),"EKSİK",IF($E347&gt;TODAY(),"İLERİ TARİH",IF(COUNTIF($S$7:$S$1506,$S347)&gt;1,"MÜKERRER?",IF($T347&gt;0,"KAPALI DÖNEM","UYGUN"))))))</f>
        <v/>
      </c>
      <c r="N347" s="121">
        <f>IF($C347="","",IF($C347="TANIMSIZ MÜŞTERİ","—",INDEX(MUSTERILER!$C$7:$C$106,MATCH($C347,MUSTERILER!$B$7:$B$106,0))))</f>
        <v/>
      </c>
      <c r="O347" s="6" t="n"/>
      <c r="P347" s="6" t="n"/>
      <c r="Q347" s="3">
        <f>IF($D347="","",$C347&amp;"|"&amp;COUNTIFS($C$7:$C347,$C347))</f>
        <v/>
      </c>
      <c r="R347" s="3">
        <f>IF($D347="","",UPPER(SUBSTITUTE(SUBSTITUTE(SUBSTITUTE(SUBSTITUTE(SUBSTITUTE(SUBSTITUTE(SUBSTITUTE(SUBSTITUTE(SUBSTITUTE(SUBSTITUTE(SUBSTITUTE(SUBSTITUTE(SUBSTITUTE(SUBSTITUTE(SUBSTITUTE(SUBSTITUTE(SUBSTITUTE(SUBSTITUTE(TRIM($D347),"'",""),"İ","I"),"ı","I"),"i","I"),"Ş","S"),"ş","S"),"Ğ","G"),"ğ","G"),"Ü","U"),"ü","U"),"Ö","O"),"ö","O"),"Ç","C"),"ç","C"),".",""),",","")," ",""),"-","")))</f>
        <v/>
      </c>
      <c r="S347" s="3">
        <f>IF($D347="","",$C347&amp;"|"&amp;TEXT($E347,"0")&amp;"|"&amp;TEXT($F347,"0")&amp;"|"&amp;$I347)</f>
        <v/>
      </c>
      <c r="T347" s="3">
        <f>IF($E347="",0,SUMPRODUCT((AY_SONU!$O$7:$O$42="Evet")*(AY_SONU!$B$7:$B$42=DATE(YEAR($E347),MONTH($E347),1))))</f>
        <v/>
      </c>
    </row>
    <row r="348">
      <c r="A348" s="6" t="n"/>
      <c r="B348" s="113">
        <f>IF($D348="","","T"&amp;TEXT(ROW()-6,"00000"))</f>
        <v/>
      </c>
      <c r="C348" s="113">
        <f>IF($D348="","",IFERROR(INDEX(MUSTERILER!$B$7:$B$106,MATCH($R348,MUSTERILER!$T$7:$T$106,0)),IFERROR(INDEX(MUSTERILER!$B$7:$B$106,MATCH($D348,MUSTERILER!$B$7:$B$106,0)),IFERROR(INDEX(MUSTERILER!$B$7:$B$106,MATCH($R348&amp;"*",MUSTERILER!$T$7:$T$106,0)),"TANIMSIZ MÜŞTERİ"))))</f>
        <v/>
      </c>
      <c r="D348" s="109" t="inlineStr">
        <is>
          <t>Çayıralan Ltd.Şti.</t>
        </is>
      </c>
      <c r="E348" s="220" t="n">
        <v>46179</v>
      </c>
      <c r="F348" s="221" t="n">
        <v>3000</v>
      </c>
      <c r="G348" s="108" t="inlineStr">
        <is>
          <t>MERKEZ KASA</t>
        </is>
      </c>
      <c r="H348" s="108" t="inlineStr">
        <is>
          <t>Nakit</t>
        </is>
      </c>
      <c r="I348" s="109" t="n"/>
      <c r="J348" s="109" t="inlineStr">
        <is>
          <t>NAKİT ÖDENEN</t>
        </is>
      </c>
      <c r="K348" s="109" t="n"/>
      <c r="L348" s="226">
        <f>IF($E348="","",DATE(YEAR($E348),MONTH($E348),1))</f>
        <v/>
      </c>
      <c r="M348" s="113">
        <f>IF($D348="","",IF($C348="TANIMSIZ MÜŞTERİ","HATA",IF(OR($E348="",$F348&lt;=0,$G348=""),"EKSİK",IF($E348&gt;TODAY(),"İLERİ TARİH",IF(COUNTIF($S$7:$S$1506,$S348)&gt;1,"MÜKERRER?",IF($T348&gt;0,"KAPALI DÖNEM","UYGUN"))))))</f>
        <v/>
      </c>
      <c r="N348" s="121">
        <f>IF($C348="","",IF($C348="TANIMSIZ MÜŞTERİ","—",INDEX(MUSTERILER!$C$7:$C$106,MATCH($C348,MUSTERILER!$B$7:$B$106,0))))</f>
        <v/>
      </c>
      <c r="O348" s="6" t="n"/>
      <c r="P348" s="6" t="n"/>
      <c r="Q348" s="3">
        <f>IF($D348="","",$C348&amp;"|"&amp;COUNTIFS($C$7:$C348,$C348))</f>
        <v/>
      </c>
      <c r="R348" s="3">
        <f>IF($D348="","",UPPER(SUBSTITUTE(SUBSTITUTE(SUBSTITUTE(SUBSTITUTE(SUBSTITUTE(SUBSTITUTE(SUBSTITUTE(SUBSTITUTE(SUBSTITUTE(SUBSTITUTE(SUBSTITUTE(SUBSTITUTE(SUBSTITUTE(SUBSTITUTE(SUBSTITUTE(SUBSTITUTE(SUBSTITUTE(SUBSTITUTE(TRIM($D348),"'",""),"İ","I"),"ı","I"),"i","I"),"Ş","S"),"ş","S"),"Ğ","G"),"ğ","G"),"Ü","U"),"ü","U"),"Ö","O"),"ö","O"),"Ç","C"),"ç","C"),".",""),",","")," ",""),"-","")))</f>
        <v/>
      </c>
      <c r="S348" s="3">
        <f>IF($D348="","",$C348&amp;"|"&amp;TEXT($E348,"0")&amp;"|"&amp;TEXT($F348,"0")&amp;"|"&amp;$I348)</f>
        <v/>
      </c>
      <c r="T348" s="3">
        <f>IF($E348="",0,SUMPRODUCT((AY_SONU!$O$7:$O$42="Evet")*(AY_SONU!$B$7:$B$42=DATE(YEAR($E348),MONTH($E348),1))))</f>
        <v/>
      </c>
    </row>
    <row r="349">
      <c r="A349" s="6" t="n"/>
      <c r="B349" s="113">
        <f>IF($D349="","","T"&amp;TEXT(ROW()-6,"00000"))</f>
        <v/>
      </c>
      <c r="C349" s="113">
        <f>IF($D349="","",IFERROR(INDEX(MUSTERILER!$B$7:$B$106,MATCH($R349,MUSTERILER!$T$7:$T$106,0)),IFERROR(INDEX(MUSTERILER!$B$7:$B$106,MATCH($D349,MUSTERILER!$B$7:$B$106,0)),IFERROR(INDEX(MUSTERILER!$B$7:$B$106,MATCH($R349&amp;"*",MUSTERILER!$T$7:$T$106,0)),"TANIMSIZ MÜŞTERİ"))))</f>
        <v/>
      </c>
      <c r="D349" s="109" t="inlineStr">
        <is>
          <t>Eğlengör Ltd.Şti.</t>
        </is>
      </c>
      <c r="E349" s="220" t="n">
        <v>46179</v>
      </c>
      <c r="F349" s="221" t="n">
        <v>4000</v>
      </c>
      <c r="G349" s="108" t="inlineStr">
        <is>
          <t>MERKEZ KASA</t>
        </is>
      </c>
      <c r="H349" s="108" t="inlineStr">
        <is>
          <t>Nakit</t>
        </is>
      </c>
      <c r="I349" s="109" t="n"/>
      <c r="J349" s="109" t="inlineStr">
        <is>
          <t>NAKİT ÖDENEN</t>
        </is>
      </c>
      <c r="K349" s="109" t="n"/>
      <c r="L349" s="226">
        <f>IF($E349="","",DATE(YEAR($E349),MONTH($E349),1))</f>
        <v/>
      </c>
      <c r="M349" s="113">
        <f>IF($D349="","",IF($C349="TANIMSIZ MÜŞTERİ","HATA",IF(OR($E349="",$F349&lt;=0,$G349=""),"EKSİK",IF($E349&gt;TODAY(),"İLERİ TARİH",IF(COUNTIF($S$7:$S$1506,$S349)&gt;1,"MÜKERRER?",IF($T349&gt;0,"KAPALI DÖNEM","UYGUN"))))))</f>
        <v/>
      </c>
      <c r="N349" s="121">
        <f>IF($C349="","",IF($C349="TANIMSIZ MÜŞTERİ","—",INDEX(MUSTERILER!$C$7:$C$106,MATCH($C349,MUSTERILER!$B$7:$B$106,0))))</f>
        <v/>
      </c>
      <c r="O349" s="6" t="n"/>
      <c r="P349" s="6" t="n"/>
      <c r="Q349" s="3">
        <f>IF($D349="","",$C349&amp;"|"&amp;COUNTIFS($C$7:$C349,$C349))</f>
        <v/>
      </c>
      <c r="R349" s="3">
        <f>IF($D349="","",UPPER(SUBSTITUTE(SUBSTITUTE(SUBSTITUTE(SUBSTITUTE(SUBSTITUTE(SUBSTITUTE(SUBSTITUTE(SUBSTITUTE(SUBSTITUTE(SUBSTITUTE(SUBSTITUTE(SUBSTITUTE(SUBSTITUTE(SUBSTITUTE(SUBSTITUTE(SUBSTITUTE(SUBSTITUTE(SUBSTITUTE(TRIM($D349),"'",""),"İ","I"),"ı","I"),"i","I"),"Ş","S"),"ş","S"),"Ğ","G"),"ğ","G"),"Ü","U"),"ü","U"),"Ö","O"),"ö","O"),"Ç","C"),"ç","C"),".",""),",","")," ",""),"-","")))</f>
        <v/>
      </c>
      <c r="S349" s="3">
        <f>IF($D349="","",$C349&amp;"|"&amp;TEXT($E349,"0")&amp;"|"&amp;TEXT($F349,"0")&amp;"|"&amp;$I349)</f>
        <v/>
      </c>
      <c r="T349" s="3">
        <f>IF($E349="",0,SUMPRODUCT((AY_SONU!$O$7:$O$42="Evet")*(AY_SONU!$B$7:$B$42=DATE(YEAR($E349),MONTH($E349),1))))</f>
        <v/>
      </c>
    </row>
    <row r="350">
      <c r="A350" s="6" t="n"/>
      <c r="B350" s="113">
        <f>IF($D350="","","T"&amp;TEXT(ROW()-6,"00000"))</f>
        <v/>
      </c>
      <c r="C350" s="113">
        <f>IF($D350="","",IFERROR(INDEX(MUSTERILER!$B$7:$B$106,MATCH($R350,MUSTERILER!$T$7:$T$106,0)),IFERROR(INDEX(MUSTERILER!$B$7:$B$106,MATCH($D350,MUSTERILER!$B$7:$B$106,0)),IFERROR(INDEX(MUSTERILER!$B$7:$B$106,MATCH($R350&amp;"*",MUSTERILER!$T$7:$T$106,0)),"TANIMSIZ MÜŞTERİ"))))</f>
        <v/>
      </c>
      <c r="D350" s="109" t="inlineStr">
        <is>
          <t>Final Siyah Beyaz Ltd.Şti.</t>
        </is>
      </c>
      <c r="E350" s="220" t="n">
        <v>46179</v>
      </c>
      <c r="F350" s="221" t="n">
        <v>4000</v>
      </c>
      <c r="G350" s="108" t="inlineStr">
        <is>
          <t>MERKEZ KASA</t>
        </is>
      </c>
      <c r="H350" s="108" t="inlineStr">
        <is>
          <t>Nakit</t>
        </is>
      </c>
      <c r="I350" s="109" t="n"/>
      <c r="J350" s="109" t="inlineStr">
        <is>
          <t>NAKİT ÖDENEN</t>
        </is>
      </c>
      <c r="K350" s="109" t="n"/>
      <c r="L350" s="226">
        <f>IF($E350="","",DATE(YEAR($E350),MONTH($E350),1))</f>
        <v/>
      </c>
      <c r="M350" s="113">
        <f>IF($D350="","",IF($C350="TANIMSIZ MÜŞTERİ","HATA",IF(OR($E350="",$F350&lt;=0,$G350=""),"EKSİK",IF($E350&gt;TODAY(),"İLERİ TARİH",IF(COUNTIF($S$7:$S$1506,$S350)&gt;1,"MÜKERRER?",IF($T350&gt;0,"KAPALI DÖNEM","UYGUN"))))))</f>
        <v/>
      </c>
      <c r="N350" s="121">
        <f>IF($C350="","",IF($C350="TANIMSIZ MÜŞTERİ","—",INDEX(MUSTERILER!$C$7:$C$106,MATCH($C350,MUSTERILER!$B$7:$B$106,0))))</f>
        <v/>
      </c>
      <c r="O350" s="6" t="n"/>
      <c r="P350" s="6" t="n"/>
      <c r="Q350" s="3">
        <f>IF($D350="","",$C350&amp;"|"&amp;COUNTIFS($C$7:$C350,$C350))</f>
        <v/>
      </c>
      <c r="R350" s="3">
        <f>IF($D350="","",UPPER(SUBSTITUTE(SUBSTITUTE(SUBSTITUTE(SUBSTITUTE(SUBSTITUTE(SUBSTITUTE(SUBSTITUTE(SUBSTITUTE(SUBSTITUTE(SUBSTITUTE(SUBSTITUTE(SUBSTITUTE(SUBSTITUTE(SUBSTITUTE(SUBSTITUTE(SUBSTITUTE(SUBSTITUTE(SUBSTITUTE(TRIM($D350),"'",""),"İ","I"),"ı","I"),"i","I"),"Ş","S"),"ş","S"),"Ğ","G"),"ğ","G"),"Ü","U"),"ü","U"),"Ö","O"),"ö","O"),"Ç","C"),"ç","C"),".",""),",","")," ",""),"-","")))</f>
        <v/>
      </c>
      <c r="S350" s="3">
        <f>IF($D350="","",$C350&amp;"|"&amp;TEXT($E350,"0")&amp;"|"&amp;TEXT($F350,"0")&amp;"|"&amp;$I350)</f>
        <v/>
      </c>
      <c r="T350" s="3">
        <f>IF($E350="",0,SUMPRODUCT((AY_SONU!$O$7:$O$42="Evet")*(AY_SONU!$B$7:$B$42=DATE(YEAR($E350),MONTH($E350),1))))</f>
        <v/>
      </c>
    </row>
    <row r="351">
      <c r="A351" s="6" t="n"/>
      <c r="B351" s="113">
        <f>IF($D351="","","T"&amp;TEXT(ROW()-6,"00000"))</f>
        <v/>
      </c>
      <c r="C351" s="113">
        <f>IF($D351="","",IFERROR(INDEX(MUSTERILER!$B$7:$B$106,MATCH($R351,MUSTERILER!$T$7:$T$106,0)),IFERROR(INDEX(MUSTERILER!$B$7:$B$106,MATCH($D351,MUSTERILER!$B$7:$B$106,0)),IFERROR(INDEX(MUSTERILER!$B$7:$B$106,MATCH($R351&amp;"*",MUSTERILER!$T$7:$T$106,0)),"TANIMSIZ MÜŞTERİ"))))</f>
        <v/>
      </c>
      <c r="D351" s="109" t="inlineStr">
        <is>
          <t>İldeş Ltd.Şti.</t>
        </is>
      </c>
      <c r="E351" s="220" t="n">
        <v>46179</v>
      </c>
      <c r="F351" s="221" t="n">
        <v>5000</v>
      </c>
      <c r="G351" s="108" t="inlineStr">
        <is>
          <t>MERKEZ KASA</t>
        </is>
      </c>
      <c r="H351" s="108" t="inlineStr">
        <is>
          <t>Nakit</t>
        </is>
      </c>
      <c r="I351" s="109" t="n"/>
      <c r="J351" s="109" t="inlineStr">
        <is>
          <t>NAKİT ÖDENEN</t>
        </is>
      </c>
      <c r="K351" s="109" t="n"/>
      <c r="L351" s="226">
        <f>IF($E351="","",DATE(YEAR($E351),MONTH($E351),1))</f>
        <v/>
      </c>
      <c r="M351" s="113">
        <f>IF($D351="","",IF($C351="TANIMSIZ MÜŞTERİ","HATA",IF(OR($E351="",$F351&lt;=0,$G351=""),"EKSİK",IF($E351&gt;TODAY(),"İLERİ TARİH",IF(COUNTIF($S$7:$S$1506,$S351)&gt;1,"MÜKERRER?",IF($T351&gt;0,"KAPALI DÖNEM","UYGUN"))))))</f>
        <v/>
      </c>
      <c r="N351" s="121">
        <f>IF($C351="","",IF($C351="TANIMSIZ MÜŞTERİ","—",INDEX(MUSTERILER!$C$7:$C$106,MATCH($C351,MUSTERILER!$B$7:$B$106,0))))</f>
        <v/>
      </c>
      <c r="O351" s="6" t="n"/>
      <c r="P351" s="6" t="n"/>
      <c r="Q351" s="3">
        <f>IF($D351="","",$C351&amp;"|"&amp;COUNTIFS($C$7:$C351,$C351))</f>
        <v/>
      </c>
      <c r="R351" s="3">
        <f>IF($D351="","",UPPER(SUBSTITUTE(SUBSTITUTE(SUBSTITUTE(SUBSTITUTE(SUBSTITUTE(SUBSTITUTE(SUBSTITUTE(SUBSTITUTE(SUBSTITUTE(SUBSTITUTE(SUBSTITUTE(SUBSTITUTE(SUBSTITUTE(SUBSTITUTE(SUBSTITUTE(SUBSTITUTE(SUBSTITUTE(SUBSTITUTE(TRIM($D351),"'",""),"İ","I"),"ı","I"),"i","I"),"Ş","S"),"ş","S"),"Ğ","G"),"ğ","G"),"Ü","U"),"ü","U"),"Ö","O"),"ö","O"),"Ç","C"),"ç","C"),".",""),",","")," ",""),"-","")))</f>
        <v/>
      </c>
      <c r="S351" s="3">
        <f>IF($D351="","",$C351&amp;"|"&amp;TEXT($E351,"0")&amp;"|"&amp;TEXT($F351,"0")&amp;"|"&amp;$I351)</f>
        <v/>
      </c>
      <c r="T351" s="3">
        <f>IF($E351="",0,SUMPRODUCT((AY_SONU!$O$7:$O$42="Evet")*(AY_SONU!$B$7:$B$42=DATE(YEAR($E351),MONTH($E351),1))))</f>
        <v/>
      </c>
    </row>
    <row r="352">
      <c r="A352" s="6" t="n"/>
      <c r="B352" s="113">
        <f>IF($D352="","","T"&amp;TEXT(ROW()-6,"00000"))</f>
        <v/>
      </c>
      <c r="C352" s="113">
        <f>IF($D352="","",IFERROR(INDEX(MUSTERILER!$B$7:$B$106,MATCH($R352,MUSTERILER!$T$7:$T$106,0)),IFERROR(INDEX(MUSTERILER!$B$7:$B$106,MATCH($D352,MUSTERILER!$B$7:$B$106,0)),IFERROR(INDEX(MUSTERILER!$B$7:$B$106,MATCH($R352&amp;"*",MUSTERILER!$T$7:$T$106,0)),"TANIMSIZ MÜŞTERİ"))))</f>
        <v/>
      </c>
      <c r="D352" s="109" t="inlineStr">
        <is>
          <t>Naz 1 Gıda Ltd.Şti.</t>
        </is>
      </c>
      <c r="E352" s="220" t="n">
        <v>46179</v>
      </c>
      <c r="F352" s="221" t="n">
        <v>2000</v>
      </c>
      <c r="G352" s="108" t="inlineStr">
        <is>
          <t>MERKEZ KASA</t>
        </is>
      </c>
      <c r="H352" s="108" t="inlineStr">
        <is>
          <t>Nakit</t>
        </is>
      </c>
      <c r="I352" s="109" t="n"/>
      <c r="J352" s="109" t="inlineStr">
        <is>
          <t>NAKİT ÖDENEN</t>
        </is>
      </c>
      <c r="K352" s="109" t="n"/>
      <c r="L352" s="226">
        <f>IF($E352="","",DATE(YEAR($E352),MONTH($E352),1))</f>
        <v/>
      </c>
      <c r="M352" s="113">
        <f>IF($D352="","",IF($C352="TANIMSIZ MÜŞTERİ","HATA",IF(OR($E352="",$F352&lt;=0,$G352=""),"EKSİK",IF($E352&gt;TODAY(),"İLERİ TARİH",IF(COUNTIF($S$7:$S$1506,$S352)&gt;1,"MÜKERRER?",IF($T352&gt;0,"KAPALI DÖNEM","UYGUN"))))))</f>
        <v/>
      </c>
      <c r="N352" s="121">
        <f>IF($C352="","",IF($C352="TANIMSIZ MÜŞTERİ","—",INDEX(MUSTERILER!$C$7:$C$106,MATCH($C352,MUSTERILER!$B$7:$B$106,0))))</f>
        <v/>
      </c>
      <c r="O352" s="6" t="n"/>
      <c r="P352" s="6" t="n"/>
      <c r="Q352" s="3">
        <f>IF($D352="","",$C352&amp;"|"&amp;COUNTIFS($C$7:$C352,$C352))</f>
        <v/>
      </c>
      <c r="R352" s="3">
        <f>IF($D352="","",UPPER(SUBSTITUTE(SUBSTITUTE(SUBSTITUTE(SUBSTITUTE(SUBSTITUTE(SUBSTITUTE(SUBSTITUTE(SUBSTITUTE(SUBSTITUTE(SUBSTITUTE(SUBSTITUTE(SUBSTITUTE(SUBSTITUTE(SUBSTITUTE(SUBSTITUTE(SUBSTITUTE(SUBSTITUTE(SUBSTITUTE(TRIM($D352),"'",""),"İ","I"),"ı","I"),"i","I"),"Ş","S"),"ş","S"),"Ğ","G"),"ğ","G"),"Ü","U"),"ü","U"),"Ö","O"),"ö","O"),"Ç","C"),"ç","C"),".",""),",","")," ",""),"-","")))</f>
        <v/>
      </c>
      <c r="S352" s="3">
        <f>IF($D352="","",$C352&amp;"|"&amp;TEXT($E352,"0")&amp;"|"&amp;TEXT($F352,"0")&amp;"|"&amp;$I352)</f>
        <v/>
      </c>
      <c r="T352" s="3">
        <f>IF($E352="",0,SUMPRODUCT((AY_SONU!$O$7:$O$42="Evet")*(AY_SONU!$B$7:$B$42=DATE(YEAR($E352),MONTH($E352),1))))</f>
        <v/>
      </c>
    </row>
    <row r="353">
      <c r="A353" s="6" t="n"/>
      <c r="B353" s="113">
        <f>IF($D353="","","T"&amp;TEXT(ROW()-6,"00000"))</f>
        <v/>
      </c>
      <c r="C353" s="113">
        <f>IF($D353="","",IFERROR(INDEX(MUSTERILER!$B$7:$B$106,MATCH($R353,MUSTERILER!$T$7:$T$106,0)),IFERROR(INDEX(MUSTERILER!$B$7:$B$106,MATCH($D353,MUSTERILER!$B$7:$B$106,0)),IFERROR(INDEX(MUSTERILER!$B$7:$B$106,MATCH($R353&amp;"*",MUSTERILER!$T$7:$T$106,0)),"TANIMSIZ MÜŞTERİ"))))</f>
        <v/>
      </c>
      <c r="D353" s="109" t="inlineStr">
        <is>
          <t>Pakyıldız Ltd.Şti.</t>
        </is>
      </c>
      <c r="E353" s="220" t="n">
        <v>46179</v>
      </c>
      <c r="F353" s="221" t="n">
        <v>4000</v>
      </c>
      <c r="G353" s="108" t="inlineStr">
        <is>
          <t>MERKEZ KASA</t>
        </is>
      </c>
      <c r="H353" s="108" t="inlineStr">
        <is>
          <t>Nakit</t>
        </is>
      </c>
      <c r="I353" s="109" t="n"/>
      <c r="J353" s="109" t="inlineStr">
        <is>
          <t>NAKİT ÖDENEN</t>
        </is>
      </c>
      <c r="K353" s="109" t="n"/>
      <c r="L353" s="226">
        <f>IF($E353="","",DATE(YEAR($E353),MONTH($E353),1))</f>
        <v/>
      </c>
      <c r="M353" s="113">
        <f>IF($D353="","",IF($C353="TANIMSIZ MÜŞTERİ","HATA",IF(OR($E353="",$F353&lt;=0,$G353=""),"EKSİK",IF($E353&gt;TODAY(),"İLERİ TARİH",IF(COUNTIF($S$7:$S$1506,$S353)&gt;1,"MÜKERRER?",IF($T353&gt;0,"KAPALI DÖNEM","UYGUN"))))))</f>
        <v/>
      </c>
      <c r="N353" s="121">
        <f>IF($C353="","",IF($C353="TANIMSIZ MÜŞTERİ","—",INDEX(MUSTERILER!$C$7:$C$106,MATCH($C353,MUSTERILER!$B$7:$B$106,0))))</f>
        <v/>
      </c>
      <c r="O353" s="6" t="n"/>
      <c r="P353" s="6" t="n"/>
      <c r="Q353" s="3">
        <f>IF($D353="","",$C353&amp;"|"&amp;COUNTIFS($C$7:$C353,$C353))</f>
        <v/>
      </c>
      <c r="R353" s="3">
        <f>IF($D353="","",UPPER(SUBSTITUTE(SUBSTITUTE(SUBSTITUTE(SUBSTITUTE(SUBSTITUTE(SUBSTITUTE(SUBSTITUTE(SUBSTITUTE(SUBSTITUTE(SUBSTITUTE(SUBSTITUTE(SUBSTITUTE(SUBSTITUTE(SUBSTITUTE(SUBSTITUTE(SUBSTITUTE(SUBSTITUTE(SUBSTITUTE(TRIM($D353),"'",""),"İ","I"),"ı","I"),"i","I"),"Ş","S"),"ş","S"),"Ğ","G"),"ğ","G"),"Ü","U"),"ü","U"),"Ö","O"),"ö","O"),"Ç","C"),"ç","C"),".",""),",","")," ",""),"-","")))</f>
        <v/>
      </c>
      <c r="S353" s="3">
        <f>IF($D353="","",$C353&amp;"|"&amp;TEXT($E353,"0")&amp;"|"&amp;TEXT($F353,"0")&amp;"|"&amp;$I353)</f>
        <v/>
      </c>
      <c r="T353" s="3">
        <f>IF($E353="",0,SUMPRODUCT((AY_SONU!$O$7:$O$42="Evet")*(AY_SONU!$B$7:$B$42=DATE(YEAR($E353),MONTH($E353),1))))</f>
        <v/>
      </c>
    </row>
    <row r="354">
      <c r="A354" s="6" t="n"/>
      <c r="B354" s="113">
        <f>IF($D354="","","T"&amp;TEXT(ROW()-6,"00000"))</f>
        <v/>
      </c>
      <c r="C354" s="113">
        <f>IF($D354="","",IFERROR(INDEX(MUSTERILER!$B$7:$B$106,MATCH($R354,MUSTERILER!$T$7:$T$106,0)),IFERROR(INDEX(MUSTERILER!$B$7:$B$106,MATCH($D354,MUSTERILER!$B$7:$B$106,0)),IFERROR(INDEX(MUSTERILER!$B$7:$B$106,MATCH($R354&amp;"*",MUSTERILER!$T$7:$T$106,0)),"TANIMSIZ MÜŞTERİ"))))</f>
        <v/>
      </c>
      <c r="D354" s="109" t="inlineStr">
        <is>
          <t>Rix Şow Ltd.Şti.</t>
        </is>
      </c>
      <c r="E354" s="220" t="n">
        <v>46179</v>
      </c>
      <c r="F354" s="221" t="n">
        <v>3000</v>
      </c>
      <c r="G354" s="108" t="inlineStr">
        <is>
          <t>MERKEZ KASA</t>
        </is>
      </c>
      <c r="H354" s="108" t="inlineStr">
        <is>
          <t>Nakit</t>
        </is>
      </c>
      <c r="I354" s="109" t="n"/>
      <c r="J354" s="109" t="inlineStr">
        <is>
          <t>NAKİT ÖDENEN</t>
        </is>
      </c>
      <c r="K354" s="109" t="n"/>
      <c r="L354" s="226">
        <f>IF($E354="","",DATE(YEAR($E354),MONTH($E354),1))</f>
        <v/>
      </c>
      <c r="M354" s="113">
        <f>IF($D354="","",IF($C354="TANIMSIZ MÜŞTERİ","HATA",IF(OR($E354="",$F354&lt;=0,$G354=""),"EKSİK",IF($E354&gt;TODAY(),"İLERİ TARİH",IF(COUNTIF($S$7:$S$1506,$S354)&gt;1,"MÜKERRER?",IF($T354&gt;0,"KAPALI DÖNEM","UYGUN"))))))</f>
        <v/>
      </c>
      <c r="N354" s="121">
        <f>IF($C354="","",IF($C354="TANIMSIZ MÜŞTERİ","—",INDEX(MUSTERILER!$C$7:$C$106,MATCH($C354,MUSTERILER!$B$7:$B$106,0))))</f>
        <v/>
      </c>
      <c r="O354" s="6" t="n"/>
      <c r="P354" s="6" t="n"/>
      <c r="Q354" s="3">
        <f>IF($D354="","",$C354&amp;"|"&amp;COUNTIFS($C$7:$C354,$C354))</f>
        <v/>
      </c>
      <c r="R354" s="3">
        <f>IF($D354="","",UPPER(SUBSTITUTE(SUBSTITUTE(SUBSTITUTE(SUBSTITUTE(SUBSTITUTE(SUBSTITUTE(SUBSTITUTE(SUBSTITUTE(SUBSTITUTE(SUBSTITUTE(SUBSTITUTE(SUBSTITUTE(SUBSTITUTE(SUBSTITUTE(SUBSTITUTE(SUBSTITUTE(SUBSTITUTE(SUBSTITUTE(TRIM($D354),"'",""),"İ","I"),"ı","I"),"i","I"),"Ş","S"),"ş","S"),"Ğ","G"),"ğ","G"),"Ü","U"),"ü","U"),"Ö","O"),"ö","O"),"Ç","C"),"ç","C"),".",""),",","")," ",""),"-","")))</f>
        <v/>
      </c>
      <c r="S354" s="3">
        <f>IF($D354="","",$C354&amp;"|"&amp;TEXT($E354,"0")&amp;"|"&amp;TEXT($F354,"0")&amp;"|"&amp;$I354)</f>
        <v/>
      </c>
      <c r="T354" s="3">
        <f>IF($E354="",0,SUMPRODUCT((AY_SONU!$O$7:$O$42="Evet")*(AY_SONU!$B$7:$B$42=DATE(YEAR($E354),MONTH($E354),1))))</f>
        <v/>
      </c>
    </row>
    <row r="355">
      <c r="A355" s="6" t="n"/>
      <c r="B355" s="113">
        <f>IF($D355="","","T"&amp;TEXT(ROW()-6,"00000"))</f>
        <v/>
      </c>
      <c r="C355" s="113">
        <f>IF($D355="","",IFERROR(INDEX(MUSTERILER!$B$7:$B$106,MATCH($R355,MUSTERILER!$T$7:$T$106,0)),IFERROR(INDEX(MUSTERILER!$B$7:$B$106,MATCH($D355,MUSTERILER!$B$7:$B$106,0)),IFERROR(INDEX(MUSTERILER!$B$7:$B$106,MATCH($R355&amp;"*",MUSTERILER!$T$7:$T$106,0)),"TANIMSIZ MÜŞTERİ"))))</f>
        <v/>
      </c>
      <c r="D355" s="109" t="inlineStr">
        <is>
          <t>ÇINARHAN LTD.ŞTİ.</t>
        </is>
      </c>
      <c r="E355" s="220" t="n">
        <v>46179</v>
      </c>
      <c r="F355" s="221" t="n">
        <v>2500</v>
      </c>
      <c r="G355" s="108" t="inlineStr">
        <is>
          <t>MERKEZ KASA</t>
        </is>
      </c>
      <c r="H355" s="108" t="inlineStr">
        <is>
          <t>Nakit</t>
        </is>
      </c>
      <c r="I355" s="109" t="n"/>
      <c r="J355" s="109" t="inlineStr">
        <is>
          <t>NAKİT ÖDENEN</t>
        </is>
      </c>
      <c r="K355" s="109" t="n"/>
      <c r="L355" s="226">
        <f>IF($E355="","",DATE(YEAR($E355),MONTH($E355),1))</f>
        <v/>
      </c>
      <c r="M355" s="113">
        <f>IF($D355="","",IF($C355="TANIMSIZ MÜŞTERİ","HATA",IF(OR($E355="",$F355&lt;=0,$G355=""),"EKSİK",IF($E355&gt;TODAY(),"İLERİ TARİH",IF(COUNTIF($S$7:$S$1506,$S355)&gt;1,"MÜKERRER?",IF($T355&gt;0,"KAPALI DÖNEM","UYGUN"))))))</f>
        <v/>
      </c>
      <c r="N355" s="121">
        <f>IF($C355="","",IF($C355="TANIMSIZ MÜŞTERİ","—",INDEX(MUSTERILER!$C$7:$C$106,MATCH($C355,MUSTERILER!$B$7:$B$106,0))))</f>
        <v/>
      </c>
      <c r="O355" s="6" t="n"/>
      <c r="P355" s="6" t="n"/>
      <c r="Q355" s="3">
        <f>IF($D355="","",$C355&amp;"|"&amp;COUNTIFS($C$7:$C355,$C355))</f>
        <v/>
      </c>
      <c r="R355" s="3">
        <f>IF($D355="","",UPPER(SUBSTITUTE(SUBSTITUTE(SUBSTITUTE(SUBSTITUTE(SUBSTITUTE(SUBSTITUTE(SUBSTITUTE(SUBSTITUTE(SUBSTITUTE(SUBSTITUTE(SUBSTITUTE(SUBSTITUTE(SUBSTITUTE(SUBSTITUTE(SUBSTITUTE(SUBSTITUTE(SUBSTITUTE(SUBSTITUTE(TRIM($D355),"'",""),"İ","I"),"ı","I"),"i","I"),"Ş","S"),"ş","S"),"Ğ","G"),"ğ","G"),"Ü","U"),"ü","U"),"Ö","O"),"ö","O"),"Ç","C"),"ç","C"),".",""),",","")," ",""),"-","")))</f>
        <v/>
      </c>
      <c r="S355" s="3">
        <f>IF($D355="","",$C355&amp;"|"&amp;TEXT($E355,"0")&amp;"|"&amp;TEXT($F355,"0")&amp;"|"&amp;$I355)</f>
        <v/>
      </c>
      <c r="T355" s="3">
        <f>IF($E355="",0,SUMPRODUCT((AY_SONU!$O$7:$O$42="Evet")*(AY_SONU!$B$7:$B$42=DATE(YEAR($E355),MONTH($E355),1))))</f>
        <v/>
      </c>
    </row>
    <row r="356">
      <c r="A356" s="6" t="n"/>
      <c r="B356" s="113">
        <f>IF($D356="","","T"&amp;TEXT(ROW()-6,"00000"))</f>
        <v/>
      </c>
      <c r="C356" s="113">
        <f>IF($D356="","",IFERROR(INDEX(MUSTERILER!$B$7:$B$106,MATCH($R356,MUSTERILER!$T$7:$T$106,0)),IFERROR(INDEX(MUSTERILER!$B$7:$B$106,MATCH($D356,MUSTERILER!$B$7:$B$106,0)),IFERROR(INDEX(MUSTERILER!$B$7:$B$106,MATCH($R356&amp;"*",MUSTERILER!$T$7:$T$106,0)),"TANIMSIZ MÜŞTERİ"))))</f>
        <v/>
      </c>
      <c r="D356" s="109" t="inlineStr">
        <is>
          <t>İSA DEMİRCİ</t>
        </is>
      </c>
      <c r="E356" s="220" t="n">
        <v>46179</v>
      </c>
      <c r="F356" s="221" t="n">
        <v>3500</v>
      </c>
      <c r="G356" s="108" t="inlineStr">
        <is>
          <t>MERKEZ KASA</t>
        </is>
      </c>
      <c r="H356" s="108" t="inlineStr">
        <is>
          <t>Nakit</t>
        </is>
      </c>
      <c r="I356" s="109" t="n"/>
      <c r="J356" s="109" t="inlineStr">
        <is>
          <t>NAKİT ÖDENEN</t>
        </is>
      </c>
      <c r="K356" s="109" t="n"/>
      <c r="L356" s="226">
        <f>IF($E356="","",DATE(YEAR($E356),MONTH($E356),1))</f>
        <v/>
      </c>
      <c r="M356" s="113">
        <f>IF($D356="","",IF($C356="TANIMSIZ MÜŞTERİ","HATA",IF(OR($E356="",$F356&lt;=0,$G356=""),"EKSİK",IF($E356&gt;TODAY(),"İLERİ TARİH",IF(COUNTIF($S$7:$S$1506,$S356)&gt;1,"MÜKERRER?",IF($T356&gt;0,"KAPALI DÖNEM","UYGUN"))))))</f>
        <v/>
      </c>
      <c r="N356" s="121">
        <f>IF($C356="","",IF($C356="TANIMSIZ MÜŞTERİ","—",INDEX(MUSTERILER!$C$7:$C$106,MATCH($C356,MUSTERILER!$B$7:$B$106,0))))</f>
        <v/>
      </c>
      <c r="O356" s="6" t="n"/>
      <c r="P356" s="6" t="n"/>
      <c r="Q356" s="3">
        <f>IF($D356="","",$C356&amp;"|"&amp;COUNTIFS($C$7:$C356,$C356))</f>
        <v/>
      </c>
      <c r="R356" s="3">
        <f>IF($D356="","",UPPER(SUBSTITUTE(SUBSTITUTE(SUBSTITUTE(SUBSTITUTE(SUBSTITUTE(SUBSTITUTE(SUBSTITUTE(SUBSTITUTE(SUBSTITUTE(SUBSTITUTE(SUBSTITUTE(SUBSTITUTE(SUBSTITUTE(SUBSTITUTE(SUBSTITUTE(SUBSTITUTE(SUBSTITUTE(SUBSTITUTE(TRIM($D356),"'",""),"İ","I"),"ı","I"),"i","I"),"Ş","S"),"ş","S"),"Ğ","G"),"ğ","G"),"Ü","U"),"ü","U"),"Ö","O"),"ö","O"),"Ç","C"),"ç","C"),".",""),",","")," ",""),"-","")))</f>
        <v/>
      </c>
      <c r="S356" s="3">
        <f>IF($D356="","",$C356&amp;"|"&amp;TEXT($E356,"0")&amp;"|"&amp;TEXT($F356,"0")&amp;"|"&amp;$I356)</f>
        <v/>
      </c>
      <c r="T356" s="3">
        <f>IF($E356="",0,SUMPRODUCT((AY_SONU!$O$7:$O$42="Evet")*(AY_SONU!$B$7:$B$42=DATE(YEAR($E356),MONTH($E356),1))))</f>
        <v/>
      </c>
    </row>
    <row r="357">
      <c r="A357" s="6" t="n"/>
      <c r="B357" s="113">
        <f>IF($D357="","","T"&amp;TEXT(ROW()-6,"00000"))</f>
        <v/>
      </c>
      <c r="C357" s="113">
        <f>IF($D357="","",IFERROR(INDEX(MUSTERILER!$B$7:$B$106,MATCH($R357,MUSTERILER!$T$7:$T$106,0)),IFERROR(INDEX(MUSTERILER!$B$7:$B$106,MATCH($D357,MUSTERILER!$B$7:$B$106,0)),IFERROR(INDEX(MUSTERILER!$B$7:$B$106,MATCH($R357&amp;"*",MUSTERILER!$T$7:$T$106,0)),"TANIMSIZ MÜŞTERİ"))))</f>
        <v/>
      </c>
      <c r="D357" s="109" t="inlineStr">
        <is>
          <t>KRİSTAL LTD.ŞTİ.</t>
        </is>
      </c>
      <c r="E357" s="220" t="n">
        <v>46179</v>
      </c>
      <c r="F357" s="221" t="n">
        <v>4000</v>
      </c>
      <c r="G357" s="108" t="inlineStr">
        <is>
          <t>MERKEZ KASA</t>
        </is>
      </c>
      <c r="H357" s="108" t="inlineStr">
        <is>
          <t>Nakit</t>
        </is>
      </c>
      <c r="I357" s="109" t="n"/>
      <c r="J357" s="109" t="inlineStr">
        <is>
          <t>NAKİT ÖDENEN</t>
        </is>
      </c>
      <c r="K357" s="109" t="n"/>
      <c r="L357" s="226">
        <f>IF($E357="","",DATE(YEAR($E357),MONTH($E357),1))</f>
        <v/>
      </c>
      <c r="M357" s="113">
        <f>IF($D357="","",IF($C357="TANIMSIZ MÜŞTERİ","HATA",IF(OR($E357="",$F357&lt;=0,$G357=""),"EKSİK",IF($E357&gt;TODAY(),"İLERİ TARİH",IF(COUNTIF($S$7:$S$1506,$S357)&gt;1,"MÜKERRER?",IF($T357&gt;0,"KAPALI DÖNEM","UYGUN"))))))</f>
        <v/>
      </c>
      <c r="N357" s="121">
        <f>IF($C357="","",IF($C357="TANIMSIZ MÜŞTERİ","—",INDEX(MUSTERILER!$C$7:$C$106,MATCH($C357,MUSTERILER!$B$7:$B$106,0))))</f>
        <v/>
      </c>
      <c r="O357" s="6" t="n"/>
      <c r="P357" s="6" t="n"/>
      <c r="Q357" s="3">
        <f>IF($D357="","",$C357&amp;"|"&amp;COUNTIFS($C$7:$C357,$C357))</f>
        <v/>
      </c>
      <c r="R357" s="3">
        <f>IF($D357="","",UPPER(SUBSTITUTE(SUBSTITUTE(SUBSTITUTE(SUBSTITUTE(SUBSTITUTE(SUBSTITUTE(SUBSTITUTE(SUBSTITUTE(SUBSTITUTE(SUBSTITUTE(SUBSTITUTE(SUBSTITUTE(SUBSTITUTE(SUBSTITUTE(SUBSTITUTE(SUBSTITUTE(SUBSTITUTE(SUBSTITUTE(TRIM($D357),"'",""),"İ","I"),"ı","I"),"i","I"),"Ş","S"),"ş","S"),"Ğ","G"),"ğ","G"),"Ü","U"),"ü","U"),"Ö","O"),"ö","O"),"Ç","C"),"ç","C"),".",""),",","")," ",""),"-","")))</f>
        <v/>
      </c>
      <c r="S357" s="3">
        <f>IF($D357="","",$C357&amp;"|"&amp;TEXT($E357,"0")&amp;"|"&amp;TEXT($F357,"0")&amp;"|"&amp;$I357)</f>
        <v/>
      </c>
      <c r="T357" s="3">
        <f>IF($E357="",0,SUMPRODUCT((AY_SONU!$O$7:$O$42="Evet")*(AY_SONU!$B$7:$B$42=DATE(YEAR($E357),MONTH($E357),1))))</f>
        <v/>
      </c>
    </row>
    <row r="358">
      <c r="A358" s="6" t="n"/>
      <c r="B358" s="113">
        <f>IF($D358="","","T"&amp;TEXT(ROW()-6,"00000"))</f>
        <v/>
      </c>
      <c r="C358" s="113">
        <f>IF($D358="","",IFERROR(INDEX(MUSTERILER!$B$7:$B$106,MATCH($R358,MUSTERILER!$T$7:$T$106,0)),IFERROR(INDEX(MUSTERILER!$B$7:$B$106,MATCH($D358,MUSTERILER!$B$7:$B$106,0)),IFERROR(INDEX(MUSTERILER!$B$7:$B$106,MATCH($R358&amp;"*",MUSTERILER!$T$7:$T$106,0)),"TANIMSIZ MÜŞTERİ"))))</f>
        <v/>
      </c>
      <c r="D358" s="109" t="inlineStr">
        <is>
          <t>KRİSTAL LTD.ŞTİ.</t>
        </is>
      </c>
      <c r="E358" s="220" t="n">
        <v>46179</v>
      </c>
      <c r="F358" s="221" t="n">
        <v>3000</v>
      </c>
      <c r="G358" s="108" t="inlineStr">
        <is>
          <t>ÖMER KARTAL</t>
        </is>
      </c>
      <c r="H358" s="108" t="inlineStr">
        <is>
          <t>Nakit</t>
        </is>
      </c>
      <c r="I358" s="109" t="n"/>
      <c r="J358" s="109" t="inlineStr">
        <is>
          <t>NAKİT ÖDENEN</t>
        </is>
      </c>
      <c r="K358" s="109" t="n"/>
      <c r="L358" s="226">
        <f>IF($E358="","",DATE(YEAR($E358),MONTH($E358),1))</f>
        <v/>
      </c>
      <c r="M358" s="113">
        <f>IF($D358="","",IF($C358="TANIMSIZ MÜŞTERİ","HATA",IF(OR($E358="",$F358&lt;=0,$G358=""),"EKSİK",IF($E358&gt;TODAY(),"İLERİ TARİH",IF(COUNTIF($S$7:$S$1506,$S358)&gt;1,"MÜKERRER?",IF($T358&gt;0,"KAPALI DÖNEM","UYGUN"))))))</f>
        <v/>
      </c>
      <c r="N358" s="121">
        <f>IF($C358="","",IF($C358="TANIMSIZ MÜŞTERİ","—",INDEX(MUSTERILER!$C$7:$C$106,MATCH($C358,MUSTERILER!$B$7:$B$106,0))))</f>
        <v/>
      </c>
      <c r="O358" s="6" t="n"/>
      <c r="P358" s="6" t="n"/>
      <c r="Q358" s="3">
        <f>IF($D358="","",$C358&amp;"|"&amp;COUNTIFS($C$7:$C358,$C358))</f>
        <v/>
      </c>
      <c r="R358" s="3">
        <f>IF($D358="","",UPPER(SUBSTITUTE(SUBSTITUTE(SUBSTITUTE(SUBSTITUTE(SUBSTITUTE(SUBSTITUTE(SUBSTITUTE(SUBSTITUTE(SUBSTITUTE(SUBSTITUTE(SUBSTITUTE(SUBSTITUTE(SUBSTITUTE(SUBSTITUTE(SUBSTITUTE(SUBSTITUTE(SUBSTITUTE(SUBSTITUTE(TRIM($D358),"'",""),"İ","I"),"ı","I"),"i","I"),"Ş","S"),"ş","S"),"Ğ","G"),"ğ","G"),"Ü","U"),"ü","U"),"Ö","O"),"ö","O"),"Ç","C"),"ç","C"),".",""),",","")," ",""),"-","")))</f>
        <v/>
      </c>
      <c r="S358" s="3">
        <f>IF($D358="","",$C358&amp;"|"&amp;TEXT($E358,"0")&amp;"|"&amp;TEXT($F358,"0")&amp;"|"&amp;$I358)</f>
        <v/>
      </c>
      <c r="T358" s="3">
        <f>IF($E358="",0,SUMPRODUCT((AY_SONU!$O$7:$O$42="Evet")*(AY_SONU!$B$7:$B$42=DATE(YEAR($E358),MONTH($E358),1))))</f>
        <v/>
      </c>
    </row>
    <row r="359">
      <c r="A359" s="6" t="n"/>
      <c r="B359" s="113">
        <f>IF($D359="","","T"&amp;TEXT(ROW()-6,"00000"))</f>
        <v/>
      </c>
      <c r="C359" s="113">
        <f>IF($D359="","",IFERROR(INDEX(MUSTERILER!$B$7:$B$106,MATCH($R359,MUSTERILER!$T$7:$T$106,0)),IFERROR(INDEX(MUSTERILER!$B$7:$B$106,MATCH($D359,MUSTERILER!$B$7:$B$106,0)),IFERROR(INDEX(MUSTERILER!$B$7:$B$106,MATCH($R359&amp;"*",MUSTERILER!$T$7:$T$106,0)),"TANIMSIZ MÜŞTERİ"))))</f>
        <v/>
      </c>
      <c r="D359" s="109" t="inlineStr">
        <is>
          <t>PALAOĞULLARI LTD.ŞTİ.</t>
        </is>
      </c>
      <c r="E359" s="220" t="n">
        <v>46179</v>
      </c>
      <c r="F359" s="221" t="n">
        <v>4000</v>
      </c>
      <c r="G359" s="108" t="inlineStr">
        <is>
          <t>MERKEZ KASA</t>
        </is>
      </c>
      <c r="H359" s="108" t="inlineStr">
        <is>
          <t>Nakit</t>
        </is>
      </c>
      <c r="I359" s="109" t="n"/>
      <c r="J359" s="109" t="inlineStr">
        <is>
          <t>NAKİT ÖDENEN</t>
        </is>
      </c>
      <c r="K359" s="109" t="n"/>
      <c r="L359" s="226">
        <f>IF($E359="","",DATE(YEAR($E359),MONTH($E359),1))</f>
        <v/>
      </c>
      <c r="M359" s="113">
        <f>IF($D359="","",IF($C359="TANIMSIZ MÜŞTERİ","HATA",IF(OR($E359="",$F359&lt;=0,$G359=""),"EKSİK",IF($E359&gt;TODAY(),"İLERİ TARİH",IF(COUNTIF($S$7:$S$1506,$S359)&gt;1,"MÜKERRER?",IF($T359&gt;0,"KAPALI DÖNEM","UYGUN"))))))</f>
        <v/>
      </c>
      <c r="N359" s="121">
        <f>IF($C359="","",IF($C359="TANIMSIZ MÜŞTERİ","—",INDEX(MUSTERILER!$C$7:$C$106,MATCH($C359,MUSTERILER!$B$7:$B$106,0))))</f>
        <v/>
      </c>
      <c r="O359" s="6" t="n"/>
      <c r="P359" s="6" t="n"/>
      <c r="Q359" s="3">
        <f>IF($D359="","",$C359&amp;"|"&amp;COUNTIFS($C$7:$C359,$C359))</f>
        <v/>
      </c>
      <c r="R359" s="3">
        <f>IF($D359="","",UPPER(SUBSTITUTE(SUBSTITUTE(SUBSTITUTE(SUBSTITUTE(SUBSTITUTE(SUBSTITUTE(SUBSTITUTE(SUBSTITUTE(SUBSTITUTE(SUBSTITUTE(SUBSTITUTE(SUBSTITUTE(SUBSTITUTE(SUBSTITUTE(SUBSTITUTE(SUBSTITUTE(SUBSTITUTE(SUBSTITUTE(TRIM($D359),"'",""),"İ","I"),"ı","I"),"i","I"),"Ş","S"),"ş","S"),"Ğ","G"),"ğ","G"),"Ü","U"),"ü","U"),"Ö","O"),"ö","O"),"Ç","C"),"ç","C"),".",""),",","")," ",""),"-","")))</f>
        <v/>
      </c>
      <c r="S359" s="3">
        <f>IF($D359="","",$C359&amp;"|"&amp;TEXT($E359,"0")&amp;"|"&amp;TEXT($F359,"0")&amp;"|"&amp;$I359)</f>
        <v/>
      </c>
      <c r="T359" s="3">
        <f>IF($E359="",0,SUMPRODUCT((AY_SONU!$O$7:$O$42="Evet")*(AY_SONU!$B$7:$B$42=DATE(YEAR($E359),MONTH($E359),1))))</f>
        <v/>
      </c>
    </row>
    <row r="360">
      <c r="A360" s="6" t="n"/>
      <c r="B360" s="113">
        <f>IF($D360="","","T"&amp;TEXT(ROW()-6,"00000"))</f>
        <v/>
      </c>
      <c r="C360" s="113">
        <f>IF($D360="","",IFERROR(INDEX(MUSTERILER!$B$7:$B$106,MATCH($R360,MUSTERILER!$T$7:$T$106,0)),IFERROR(INDEX(MUSTERILER!$B$7:$B$106,MATCH($D360,MUSTERILER!$B$7:$B$106,0)),IFERROR(INDEX(MUSTERILER!$B$7:$B$106,MATCH($R360&amp;"*",MUSTERILER!$T$7:$T$106,0)),"TANIMSIZ MÜŞTERİ"))))</f>
        <v/>
      </c>
      <c r="D360" s="109" t="inlineStr">
        <is>
          <t>YALIKENT LTD.ŞTİ.</t>
        </is>
      </c>
      <c r="E360" s="220" t="n">
        <v>46179</v>
      </c>
      <c r="F360" s="221" t="n">
        <v>4000</v>
      </c>
      <c r="G360" s="108" t="inlineStr">
        <is>
          <t>MERKEZ KASA</t>
        </is>
      </c>
      <c r="H360" s="108" t="inlineStr">
        <is>
          <t>Nakit</t>
        </is>
      </c>
      <c r="I360" s="109" t="n"/>
      <c r="J360" s="109" t="inlineStr">
        <is>
          <t>NAKİT ÖDENEN</t>
        </is>
      </c>
      <c r="K360" s="109" t="n"/>
      <c r="L360" s="226">
        <f>IF($E360="","",DATE(YEAR($E360),MONTH($E360),1))</f>
        <v/>
      </c>
      <c r="M360" s="113">
        <f>IF($D360="","",IF($C360="TANIMSIZ MÜŞTERİ","HATA",IF(OR($E360="",$F360&lt;=0,$G360=""),"EKSİK",IF($E360&gt;TODAY(),"İLERİ TARİH",IF(COUNTIF($S$7:$S$1506,$S360)&gt;1,"MÜKERRER?",IF($T360&gt;0,"KAPALI DÖNEM","UYGUN"))))))</f>
        <v/>
      </c>
      <c r="N360" s="121">
        <f>IF($C360="","",IF($C360="TANIMSIZ MÜŞTERİ","—",INDEX(MUSTERILER!$C$7:$C$106,MATCH($C360,MUSTERILER!$B$7:$B$106,0))))</f>
        <v/>
      </c>
      <c r="O360" s="6" t="n"/>
      <c r="P360" s="6" t="n"/>
      <c r="Q360" s="3">
        <f>IF($D360="","",$C360&amp;"|"&amp;COUNTIFS($C$7:$C360,$C360))</f>
        <v/>
      </c>
      <c r="R360" s="3">
        <f>IF($D360="","",UPPER(SUBSTITUTE(SUBSTITUTE(SUBSTITUTE(SUBSTITUTE(SUBSTITUTE(SUBSTITUTE(SUBSTITUTE(SUBSTITUTE(SUBSTITUTE(SUBSTITUTE(SUBSTITUTE(SUBSTITUTE(SUBSTITUTE(SUBSTITUTE(SUBSTITUTE(SUBSTITUTE(SUBSTITUTE(SUBSTITUTE(TRIM($D360),"'",""),"İ","I"),"ı","I"),"i","I"),"Ş","S"),"ş","S"),"Ğ","G"),"ğ","G"),"Ü","U"),"ü","U"),"Ö","O"),"ö","O"),"Ç","C"),"ç","C"),".",""),",","")," ",""),"-","")))</f>
        <v/>
      </c>
      <c r="S360" s="3">
        <f>IF($D360="","",$C360&amp;"|"&amp;TEXT($E360,"0")&amp;"|"&amp;TEXT($F360,"0")&amp;"|"&amp;$I360)</f>
        <v/>
      </c>
      <c r="T360" s="3">
        <f>IF($E360="",0,SUMPRODUCT((AY_SONU!$O$7:$O$42="Evet")*(AY_SONU!$B$7:$B$42=DATE(YEAR($E360),MONTH($E360),1))))</f>
        <v/>
      </c>
    </row>
    <row r="361">
      <c r="A361" s="6" t="n"/>
      <c r="B361" s="113">
        <f>IF($D361="","","T"&amp;TEXT(ROW()-6,"00000"))</f>
        <v/>
      </c>
      <c r="C361" s="113">
        <f>IF($D361="","",IFERROR(INDEX(MUSTERILER!$B$7:$B$106,MATCH($R361,MUSTERILER!$T$7:$T$106,0)),IFERROR(INDEX(MUSTERILER!$B$7:$B$106,MATCH($D361,MUSTERILER!$B$7:$B$106,0)),IFERROR(INDEX(MUSTERILER!$B$7:$B$106,MATCH($R361&amp;"*",MUSTERILER!$T$7:$T$106,0)),"TANIMSIZ MÜŞTERİ"))))</f>
        <v/>
      </c>
      <c r="D361" s="109" t="inlineStr">
        <is>
          <t>AC OTEL LTD.ŞTİ.</t>
        </is>
      </c>
      <c r="E361" s="220" t="n">
        <v>46183</v>
      </c>
      <c r="F361" s="221" t="n">
        <v>5000</v>
      </c>
      <c r="G361" s="108" t="inlineStr">
        <is>
          <t>MERKEZ KASA</t>
        </is>
      </c>
      <c r="H361" s="108" t="inlineStr">
        <is>
          <t>Nakit</t>
        </is>
      </c>
      <c r="I361" s="109" t="n"/>
      <c r="J361" s="109" t="inlineStr">
        <is>
          <t>NAKİT ÖDENEN</t>
        </is>
      </c>
      <c r="K361" s="109" t="n"/>
      <c r="L361" s="226">
        <f>IF($E361="","",DATE(YEAR($E361),MONTH($E361),1))</f>
        <v/>
      </c>
      <c r="M361" s="113">
        <f>IF($D361="","",IF($C361="TANIMSIZ MÜŞTERİ","HATA",IF(OR($E361="",$F361&lt;=0,$G361=""),"EKSİK",IF($E361&gt;TODAY(),"İLERİ TARİH",IF(COUNTIF($S$7:$S$1506,$S361)&gt;1,"MÜKERRER?",IF($T361&gt;0,"KAPALI DÖNEM","UYGUN"))))))</f>
        <v/>
      </c>
      <c r="N361" s="121">
        <f>IF($C361="","",IF($C361="TANIMSIZ MÜŞTERİ","—",INDEX(MUSTERILER!$C$7:$C$106,MATCH($C361,MUSTERILER!$B$7:$B$106,0))))</f>
        <v/>
      </c>
      <c r="O361" s="6" t="n"/>
      <c r="P361" s="6" t="n"/>
      <c r="Q361" s="3">
        <f>IF($D361="","",$C361&amp;"|"&amp;COUNTIFS($C$7:$C361,$C361))</f>
        <v/>
      </c>
      <c r="R361" s="3">
        <f>IF($D361="","",UPPER(SUBSTITUTE(SUBSTITUTE(SUBSTITUTE(SUBSTITUTE(SUBSTITUTE(SUBSTITUTE(SUBSTITUTE(SUBSTITUTE(SUBSTITUTE(SUBSTITUTE(SUBSTITUTE(SUBSTITUTE(SUBSTITUTE(SUBSTITUTE(SUBSTITUTE(SUBSTITUTE(SUBSTITUTE(SUBSTITUTE(TRIM($D361),"'",""),"İ","I"),"ı","I"),"i","I"),"Ş","S"),"ş","S"),"Ğ","G"),"ğ","G"),"Ü","U"),"ü","U"),"Ö","O"),"ö","O"),"Ç","C"),"ç","C"),".",""),",","")," ",""),"-","")))</f>
        <v/>
      </c>
      <c r="S361" s="3">
        <f>IF($D361="","",$C361&amp;"|"&amp;TEXT($E361,"0")&amp;"|"&amp;TEXT($F361,"0")&amp;"|"&amp;$I361)</f>
        <v/>
      </c>
      <c r="T361" s="3">
        <f>IF($E361="",0,SUMPRODUCT((AY_SONU!$O$7:$O$42="Evet")*(AY_SONU!$B$7:$B$42=DATE(YEAR($E361),MONTH($E361),1))))</f>
        <v/>
      </c>
    </row>
    <row r="362">
      <c r="A362" s="6" t="n"/>
      <c r="B362" s="113">
        <f>IF($D362="","","T"&amp;TEXT(ROW()-6,"00000"))</f>
        <v/>
      </c>
      <c r="C362" s="113">
        <f>IF($D362="","",IFERROR(INDEX(MUSTERILER!$B$7:$B$106,MATCH($R362,MUSTERILER!$T$7:$T$106,0)),IFERROR(INDEX(MUSTERILER!$B$7:$B$106,MATCH($D362,MUSTERILER!$B$7:$B$106,0)),IFERROR(INDEX(MUSTERILER!$B$7:$B$106,MATCH($R362&amp;"*",MUSTERILER!$T$7:$T$106,0)),"TANIMSIZ MÜŞTERİ"))))</f>
        <v/>
      </c>
      <c r="D362" s="109" t="inlineStr">
        <is>
          <t>ASIM AÇIKGÖZ</t>
        </is>
      </c>
      <c r="E362" s="220" t="n">
        <v>46186</v>
      </c>
      <c r="F362" s="221" t="n">
        <v>2000</v>
      </c>
      <c r="G362" s="108" t="inlineStr">
        <is>
          <t>MERKEZ KASA</t>
        </is>
      </c>
      <c r="H362" s="108" t="inlineStr">
        <is>
          <t>Nakit</t>
        </is>
      </c>
      <c r="I362" s="109" t="n"/>
      <c r="J362" s="109" t="inlineStr">
        <is>
          <t>NAKİT ÖDENEN</t>
        </is>
      </c>
      <c r="K362" s="109" t="n"/>
      <c r="L362" s="226">
        <f>IF($E362="","",DATE(YEAR($E362),MONTH($E362),1))</f>
        <v/>
      </c>
      <c r="M362" s="113">
        <f>IF($D362="","",IF($C362="TANIMSIZ MÜŞTERİ","HATA",IF(OR($E362="",$F362&lt;=0,$G362=""),"EKSİK",IF($E362&gt;TODAY(),"İLERİ TARİH",IF(COUNTIF($S$7:$S$1506,$S362)&gt;1,"MÜKERRER?",IF($T362&gt;0,"KAPALI DÖNEM","UYGUN"))))))</f>
        <v/>
      </c>
      <c r="N362" s="121">
        <f>IF($C362="","",IF($C362="TANIMSIZ MÜŞTERİ","—",INDEX(MUSTERILER!$C$7:$C$106,MATCH($C362,MUSTERILER!$B$7:$B$106,0))))</f>
        <v/>
      </c>
      <c r="O362" s="6" t="n"/>
      <c r="P362" s="6" t="n"/>
      <c r="Q362" s="3">
        <f>IF($D362="","",$C362&amp;"|"&amp;COUNTIFS($C$7:$C362,$C362))</f>
        <v/>
      </c>
      <c r="R362" s="3">
        <f>IF($D362="","",UPPER(SUBSTITUTE(SUBSTITUTE(SUBSTITUTE(SUBSTITUTE(SUBSTITUTE(SUBSTITUTE(SUBSTITUTE(SUBSTITUTE(SUBSTITUTE(SUBSTITUTE(SUBSTITUTE(SUBSTITUTE(SUBSTITUTE(SUBSTITUTE(SUBSTITUTE(SUBSTITUTE(SUBSTITUTE(SUBSTITUTE(TRIM($D362),"'",""),"İ","I"),"ı","I"),"i","I"),"Ş","S"),"ş","S"),"Ğ","G"),"ğ","G"),"Ü","U"),"ü","U"),"Ö","O"),"ö","O"),"Ç","C"),"ç","C"),".",""),",","")," ",""),"-","")))</f>
        <v/>
      </c>
      <c r="S362" s="3">
        <f>IF($D362="","",$C362&amp;"|"&amp;TEXT($E362,"0")&amp;"|"&amp;TEXT($F362,"0")&amp;"|"&amp;$I362)</f>
        <v/>
      </c>
      <c r="T362" s="3">
        <f>IF($E362="",0,SUMPRODUCT((AY_SONU!$O$7:$O$42="Evet")*(AY_SONU!$B$7:$B$42=DATE(YEAR($E362),MONTH($E362),1))))</f>
        <v/>
      </c>
    </row>
    <row r="363">
      <c r="A363" s="6" t="n"/>
      <c r="B363" s="113">
        <f>IF($D363="","","T"&amp;TEXT(ROW()-6,"00000"))</f>
        <v/>
      </c>
      <c r="C363" s="113">
        <f>IF($D363="","",IFERROR(INDEX(MUSTERILER!$B$7:$B$106,MATCH($R363,MUSTERILER!$T$7:$T$106,0)),IFERROR(INDEX(MUSTERILER!$B$7:$B$106,MATCH($D363,MUSTERILER!$B$7:$B$106,0)),IFERROR(INDEX(MUSTERILER!$B$7:$B$106,MATCH($R363&amp;"*",MUSTERILER!$T$7:$T$106,0)),"TANIMSIZ MÜŞTERİ"))))</f>
        <v/>
      </c>
      <c r="D363" s="109" t="inlineStr">
        <is>
          <t>ASM EĞLENCE LTD.ŞTİ.</t>
        </is>
      </c>
      <c r="E363" s="220" t="n">
        <v>46186</v>
      </c>
      <c r="F363" s="221" t="n">
        <v>2500</v>
      </c>
      <c r="G363" s="108" t="inlineStr">
        <is>
          <t>MERKEZ KASA</t>
        </is>
      </c>
      <c r="H363" s="108" t="inlineStr">
        <is>
          <t>Nakit</t>
        </is>
      </c>
      <c r="I363" s="109" t="n"/>
      <c r="J363" s="109" t="inlineStr">
        <is>
          <t>NAKİT ÖDENEN</t>
        </is>
      </c>
      <c r="K363" s="109" t="n"/>
      <c r="L363" s="226">
        <f>IF($E363="","",DATE(YEAR($E363),MONTH($E363),1))</f>
        <v/>
      </c>
      <c r="M363" s="113">
        <f>IF($D363="","",IF($C363="TANIMSIZ MÜŞTERİ","HATA",IF(OR($E363="",$F363&lt;=0,$G363=""),"EKSİK",IF($E363&gt;TODAY(),"İLERİ TARİH",IF(COUNTIF($S$7:$S$1506,$S363)&gt;1,"MÜKERRER?",IF($T363&gt;0,"KAPALI DÖNEM","UYGUN"))))))</f>
        <v/>
      </c>
      <c r="N363" s="121">
        <f>IF($C363="","",IF($C363="TANIMSIZ MÜŞTERİ","—",INDEX(MUSTERILER!$C$7:$C$106,MATCH($C363,MUSTERILER!$B$7:$B$106,0))))</f>
        <v/>
      </c>
      <c r="O363" s="6" t="n"/>
      <c r="P363" s="6" t="n"/>
      <c r="Q363" s="3">
        <f>IF($D363="","",$C363&amp;"|"&amp;COUNTIFS($C$7:$C363,$C363))</f>
        <v/>
      </c>
      <c r="R363" s="3">
        <f>IF($D363="","",UPPER(SUBSTITUTE(SUBSTITUTE(SUBSTITUTE(SUBSTITUTE(SUBSTITUTE(SUBSTITUTE(SUBSTITUTE(SUBSTITUTE(SUBSTITUTE(SUBSTITUTE(SUBSTITUTE(SUBSTITUTE(SUBSTITUTE(SUBSTITUTE(SUBSTITUTE(SUBSTITUTE(SUBSTITUTE(SUBSTITUTE(TRIM($D363),"'",""),"İ","I"),"ı","I"),"i","I"),"Ş","S"),"ş","S"),"Ğ","G"),"ğ","G"),"Ü","U"),"ü","U"),"Ö","O"),"ö","O"),"Ç","C"),"ç","C"),".",""),",","")," ",""),"-","")))</f>
        <v/>
      </c>
      <c r="S363" s="3">
        <f>IF($D363="","",$C363&amp;"|"&amp;TEXT($E363,"0")&amp;"|"&amp;TEXT($F363,"0")&amp;"|"&amp;$I363)</f>
        <v/>
      </c>
      <c r="T363" s="3">
        <f>IF($E363="",0,SUMPRODUCT((AY_SONU!$O$7:$O$42="Evet")*(AY_SONU!$B$7:$B$42=DATE(YEAR($E363),MONTH($E363),1))))</f>
        <v/>
      </c>
    </row>
    <row r="364">
      <c r="A364" s="6" t="n"/>
      <c r="B364" s="113">
        <f>IF($D364="","","T"&amp;TEXT(ROW()-6,"00000"))</f>
        <v/>
      </c>
      <c r="C364" s="113">
        <f>IF($D364="","",IFERROR(INDEX(MUSTERILER!$B$7:$B$106,MATCH($R364,MUSTERILER!$T$7:$T$106,0)),IFERROR(INDEX(MUSTERILER!$B$7:$B$106,MATCH($D364,MUSTERILER!$B$7:$B$106,0)),IFERROR(INDEX(MUSTERILER!$B$7:$B$106,MATCH($R364&amp;"*",MUSTERILER!$T$7:$T$106,0)),"TANIMSIZ MÜŞTERİ"))))</f>
        <v/>
      </c>
      <c r="D364" s="109" t="inlineStr">
        <is>
          <t>Çayıralan Ltd.Şti.</t>
        </is>
      </c>
      <c r="E364" s="220" t="n">
        <v>46186</v>
      </c>
      <c r="F364" s="221" t="n">
        <v>3000</v>
      </c>
      <c r="G364" s="108" t="inlineStr">
        <is>
          <t>MERKEZ KASA</t>
        </is>
      </c>
      <c r="H364" s="108" t="inlineStr">
        <is>
          <t>Nakit</t>
        </is>
      </c>
      <c r="I364" s="109" t="n"/>
      <c r="J364" s="109" t="inlineStr">
        <is>
          <t>NAKİT ÖDENEN</t>
        </is>
      </c>
      <c r="K364" s="109" t="n"/>
      <c r="L364" s="226">
        <f>IF($E364="","",DATE(YEAR($E364),MONTH($E364),1))</f>
        <v/>
      </c>
      <c r="M364" s="113">
        <f>IF($D364="","",IF($C364="TANIMSIZ MÜŞTERİ","HATA",IF(OR($E364="",$F364&lt;=0,$G364=""),"EKSİK",IF($E364&gt;TODAY(),"İLERİ TARİH",IF(COUNTIF($S$7:$S$1506,$S364)&gt;1,"MÜKERRER?",IF($T364&gt;0,"KAPALI DÖNEM","UYGUN"))))))</f>
        <v/>
      </c>
      <c r="N364" s="121">
        <f>IF($C364="","",IF($C364="TANIMSIZ MÜŞTERİ","—",INDEX(MUSTERILER!$C$7:$C$106,MATCH($C364,MUSTERILER!$B$7:$B$106,0))))</f>
        <v/>
      </c>
      <c r="O364" s="6" t="n"/>
      <c r="P364" s="6" t="n"/>
      <c r="Q364" s="3">
        <f>IF($D364="","",$C364&amp;"|"&amp;COUNTIFS($C$7:$C364,$C364))</f>
        <v/>
      </c>
      <c r="R364" s="3">
        <f>IF($D364="","",UPPER(SUBSTITUTE(SUBSTITUTE(SUBSTITUTE(SUBSTITUTE(SUBSTITUTE(SUBSTITUTE(SUBSTITUTE(SUBSTITUTE(SUBSTITUTE(SUBSTITUTE(SUBSTITUTE(SUBSTITUTE(SUBSTITUTE(SUBSTITUTE(SUBSTITUTE(SUBSTITUTE(SUBSTITUTE(SUBSTITUTE(TRIM($D364),"'",""),"İ","I"),"ı","I"),"i","I"),"Ş","S"),"ş","S"),"Ğ","G"),"ğ","G"),"Ü","U"),"ü","U"),"Ö","O"),"ö","O"),"Ç","C"),"ç","C"),".",""),",","")," ",""),"-","")))</f>
        <v/>
      </c>
      <c r="S364" s="3">
        <f>IF($D364="","",$C364&amp;"|"&amp;TEXT($E364,"0")&amp;"|"&amp;TEXT($F364,"0")&amp;"|"&amp;$I364)</f>
        <v/>
      </c>
      <c r="T364" s="3">
        <f>IF($E364="",0,SUMPRODUCT((AY_SONU!$O$7:$O$42="Evet")*(AY_SONU!$B$7:$B$42=DATE(YEAR($E364),MONTH($E364),1))))</f>
        <v/>
      </c>
    </row>
    <row r="365">
      <c r="A365" s="6" t="n"/>
      <c r="B365" s="113">
        <f>IF($D365="","","T"&amp;TEXT(ROW()-6,"00000"))</f>
        <v/>
      </c>
      <c r="C365" s="113">
        <f>IF($D365="","",IFERROR(INDEX(MUSTERILER!$B$7:$B$106,MATCH($R365,MUSTERILER!$T$7:$T$106,0)),IFERROR(INDEX(MUSTERILER!$B$7:$B$106,MATCH($D365,MUSTERILER!$B$7:$B$106,0)),IFERROR(INDEX(MUSTERILER!$B$7:$B$106,MATCH($R365&amp;"*",MUSTERILER!$T$7:$T$106,0)),"TANIMSIZ MÜŞTERİ"))))</f>
        <v/>
      </c>
      <c r="D365" s="109" t="inlineStr">
        <is>
          <t>Eğlengör Ltd.Şti.</t>
        </is>
      </c>
      <c r="E365" s="220" t="n">
        <v>46186</v>
      </c>
      <c r="F365" s="221" t="n">
        <v>4000</v>
      </c>
      <c r="G365" s="108" t="inlineStr">
        <is>
          <t>MERKEZ KASA</t>
        </is>
      </c>
      <c r="H365" s="108" t="inlineStr">
        <is>
          <t>Nakit</t>
        </is>
      </c>
      <c r="I365" s="109" t="n"/>
      <c r="J365" s="109" t="inlineStr">
        <is>
          <t>NAKİT ÖDENEN</t>
        </is>
      </c>
      <c r="K365" s="109" t="n"/>
      <c r="L365" s="226">
        <f>IF($E365="","",DATE(YEAR($E365),MONTH($E365),1))</f>
        <v/>
      </c>
      <c r="M365" s="113">
        <f>IF($D365="","",IF($C365="TANIMSIZ MÜŞTERİ","HATA",IF(OR($E365="",$F365&lt;=0,$G365=""),"EKSİK",IF($E365&gt;TODAY(),"İLERİ TARİH",IF(COUNTIF($S$7:$S$1506,$S365)&gt;1,"MÜKERRER?",IF($T365&gt;0,"KAPALI DÖNEM","UYGUN"))))))</f>
        <v/>
      </c>
      <c r="N365" s="121">
        <f>IF($C365="","",IF($C365="TANIMSIZ MÜŞTERİ","—",INDEX(MUSTERILER!$C$7:$C$106,MATCH($C365,MUSTERILER!$B$7:$B$106,0))))</f>
        <v/>
      </c>
      <c r="O365" s="6" t="n"/>
      <c r="P365" s="6" t="n"/>
      <c r="Q365" s="3">
        <f>IF($D365="","",$C365&amp;"|"&amp;COUNTIFS($C$7:$C365,$C365))</f>
        <v/>
      </c>
      <c r="R365" s="3">
        <f>IF($D365="","",UPPER(SUBSTITUTE(SUBSTITUTE(SUBSTITUTE(SUBSTITUTE(SUBSTITUTE(SUBSTITUTE(SUBSTITUTE(SUBSTITUTE(SUBSTITUTE(SUBSTITUTE(SUBSTITUTE(SUBSTITUTE(SUBSTITUTE(SUBSTITUTE(SUBSTITUTE(SUBSTITUTE(SUBSTITUTE(SUBSTITUTE(TRIM($D365),"'",""),"İ","I"),"ı","I"),"i","I"),"Ş","S"),"ş","S"),"Ğ","G"),"ğ","G"),"Ü","U"),"ü","U"),"Ö","O"),"ö","O"),"Ç","C"),"ç","C"),".",""),",","")," ",""),"-","")))</f>
        <v/>
      </c>
      <c r="S365" s="3">
        <f>IF($D365="","",$C365&amp;"|"&amp;TEXT($E365,"0")&amp;"|"&amp;TEXT($F365,"0")&amp;"|"&amp;$I365)</f>
        <v/>
      </c>
      <c r="T365" s="3">
        <f>IF($E365="",0,SUMPRODUCT((AY_SONU!$O$7:$O$42="Evet")*(AY_SONU!$B$7:$B$42=DATE(YEAR($E365),MONTH($E365),1))))</f>
        <v/>
      </c>
    </row>
    <row r="366">
      <c r="A366" s="6" t="n"/>
      <c r="B366" s="113">
        <f>IF($D366="","","T"&amp;TEXT(ROW()-6,"00000"))</f>
        <v/>
      </c>
      <c r="C366" s="113">
        <f>IF($D366="","",IFERROR(INDEX(MUSTERILER!$B$7:$B$106,MATCH($R366,MUSTERILER!$T$7:$T$106,0)),IFERROR(INDEX(MUSTERILER!$B$7:$B$106,MATCH($D366,MUSTERILER!$B$7:$B$106,0)),IFERROR(INDEX(MUSTERILER!$B$7:$B$106,MATCH($R366&amp;"*",MUSTERILER!$T$7:$T$106,0)),"TANIMSIZ MÜŞTERİ"))))</f>
        <v/>
      </c>
      <c r="D366" s="109" t="inlineStr">
        <is>
          <t>Final Siyah Beyaz Ltd.Şti.</t>
        </is>
      </c>
      <c r="E366" s="220" t="n">
        <v>46186</v>
      </c>
      <c r="F366" s="221" t="n">
        <v>4000</v>
      </c>
      <c r="G366" s="108" t="inlineStr">
        <is>
          <t>MERKEZ KASA</t>
        </is>
      </c>
      <c r="H366" s="108" t="inlineStr">
        <is>
          <t>Nakit</t>
        </is>
      </c>
      <c r="I366" s="109" t="n"/>
      <c r="J366" s="109" t="inlineStr">
        <is>
          <t>NAKİT ÖDENEN</t>
        </is>
      </c>
      <c r="K366" s="109" t="n"/>
      <c r="L366" s="226">
        <f>IF($E366="","",DATE(YEAR($E366),MONTH($E366),1))</f>
        <v/>
      </c>
      <c r="M366" s="113">
        <f>IF($D366="","",IF($C366="TANIMSIZ MÜŞTERİ","HATA",IF(OR($E366="",$F366&lt;=0,$G366=""),"EKSİK",IF($E366&gt;TODAY(),"İLERİ TARİH",IF(COUNTIF($S$7:$S$1506,$S366)&gt;1,"MÜKERRER?",IF($T366&gt;0,"KAPALI DÖNEM","UYGUN"))))))</f>
        <v/>
      </c>
      <c r="N366" s="121">
        <f>IF($C366="","",IF($C366="TANIMSIZ MÜŞTERİ","—",INDEX(MUSTERILER!$C$7:$C$106,MATCH($C366,MUSTERILER!$B$7:$B$106,0))))</f>
        <v/>
      </c>
      <c r="O366" s="6" t="n"/>
      <c r="P366" s="6" t="n"/>
      <c r="Q366" s="3">
        <f>IF($D366="","",$C366&amp;"|"&amp;COUNTIFS($C$7:$C366,$C366))</f>
        <v/>
      </c>
      <c r="R366" s="3">
        <f>IF($D366="","",UPPER(SUBSTITUTE(SUBSTITUTE(SUBSTITUTE(SUBSTITUTE(SUBSTITUTE(SUBSTITUTE(SUBSTITUTE(SUBSTITUTE(SUBSTITUTE(SUBSTITUTE(SUBSTITUTE(SUBSTITUTE(SUBSTITUTE(SUBSTITUTE(SUBSTITUTE(SUBSTITUTE(SUBSTITUTE(SUBSTITUTE(TRIM($D366),"'",""),"İ","I"),"ı","I"),"i","I"),"Ş","S"),"ş","S"),"Ğ","G"),"ğ","G"),"Ü","U"),"ü","U"),"Ö","O"),"ö","O"),"Ç","C"),"ç","C"),".",""),",","")," ",""),"-","")))</f>
        <v/>
      </c>
      <c r="S366" s="3">
        <f>IF($D366="","",$C366&amp;"|"&amp;TEXT($E366,"0")&amp;"|"&amp;TEXT($F366,"0")&amp;"|"&amp;$I366)</f>
        <v/>
      </c>
      <c r="T366" s="3">
        <f>IF($E366="",0,SUMPRODUCT((AY_SONU!$O$7:$O$42="Evet")*(AY_SONU!$B$7:$B$42=DATE(YEAR($E366),MONTH($E366),1))))</f>
        <v/>
      </c>
    </row>
    <row r="367">
      <c r="A367" s="6" t="n"/>
      <c r="B367" s="113">
        <f>IF($D367="","","T"&amp;TEXT(ROW()-6,"00000"))</f>
        <v/>
      </c>
      <c r="C367" s="113">
        <f>IF($D367="","",IFERROR(INDEX(MUSTERILER!$B$7:$B$106,MATCH($R367,MUSTERILER!$T$7:$T$106,0)),IFERROR(INDEX(MUSTERILER!$B$7:$B$106,MATCH($D367,MUSTERILER!$B$7:$B$106,0)),IFERROR(INDEX(MUSTERILER!$B$7:$B$106,MATCH($R367&amp;"*",MUSTERILER!$T$7:$T$106,0)),"TANIMSIZ MÜŞTERİ"))))</f>
        <v/>
      </c>
      <c r="D367" s="109" t="inlineStr">
        <is>
          <t>İldeş Ltd.Şti.</t>
        </is>
      </c>
      <c r="E367" s="220" t="n">
        <v>46186</v>
      </c>
      <c r="F367" s="221" t="n">
        <v>4000</v>
      </c>
      <c r="G367" s="108" t="inlineStr">
        <is>
          <t>MERKEZ KASA</t>
        </is>
      </c>
      <c r="H367" s="108" t="inlineStr">
        <is>
          <t>Nakit</t>
        </is>
      </c>
      <c r="I367" s="109" t="n"/>
      <c r="J367" s="109" t="inlineStr">
        <is>
          <t>NAKİT ÖDENEN</t>
        </is>
      </c>
      <c r="K367" s="109" t="n"/>
      <c r="L367" s="226">
        <f>IF($E367="","",DATE(YEAR($E367),MONTH($E367),1))</f>
        <v/>
      </c>
      <c r="M367" s="113">
        <f>IF($D367="","",IF($C367="TANIMSIZ MÜŞTERİ","HATA",IF(OR($E367="",$F367&lt;=0,$G367=""),"EKSİK",IF($E367&gt;TODAY(),"İLERİ TARİH",IF(COUNTIF($S$7:$S$1506,$S367)&gt;1,"MÜKERRER?",IF($T367&gt;0,"KAPALI DÖNEM","UYGUN"))))))</f>
        <v/>
      </c>
      <c r="N367" s="121">
        <f>IF($C367="","",IF($C367="TANIMSIZ MÜŞTERİ","—",INDEX(MUSTERILER!$C$7:$C$106,MATCH($C367,MUSTERILER!$B$7:$B$106,0))))</f>
        <v/>
      </c>
      <c r="O367" s="6" t="n"/>
      <c r="P367" s="6" t="n"/>
      <c r="Q367" s="3">
        <f>IF($D367="","",$C367&amp;"|"&amp;COUNTIFS($C$7:$C367,$C367))</f>
        <v/>
      </c>
      <c r="R367" s="3">
        <f>IF($D367="","",UPPER(SUBSTITUTE(SUBSTITUTE(SUBSTITUTE(SUBSTITUTE(SUBSTITUTE(SUBSTITUTE(SUBSTITUTE(SUBSTITUTE(SUBSTITUTE(SUBSTITUTE(SUBSTITUTE(SUBSTITUTE(SUBSTITUTE(SUBSTITUTE(SUBSTITUTE(SUBSTITUTE(SUBSTITUTE(SUBSTITUTE(TRIM($D367),"'",""),"İ","I"),"ı","I"),"i","I"),"Ş","S"),"ş","S"),"Ğ","G"),"ğ","G"),"Ü","U"),"ü","U"),"Ö","O"),"ö","O"),"Ç","C"),"ç","C"),".",""),",","")," ",""),"-","")))</f>
        <v/>
      </c>
      <c r="S367" s="3">
        <f>IF($D367="","",$C367&amp;"|"&amp;TEXT($E367,"0")&amp;"|"&amp;TEXT($F367,"0")&amp;"|"&amp;$I367)</f>
        <v/>
      </c>
      <c r="T367" s="3">
        <f>IF($E367="",0,SUMPRODUCT((AY_SONU!$O$7:$O$42="Evet")*(AY_SONU!$B$7:$B$42=DATE(YEAR($E367),MONTH($E367),1))))</f>
        <v/>
      </c>
    </row>
    <row r="368">
      <c r="A368" s="6" t="n"/>
      <c r="B368" s="113">
        <f>IF($D368="","","T"&amp;TEXT(ROW()-6,"00000"))</f>
        <v/>
      </c>
      <c r="C368" s="113">
        <f>IF($D368="","",IFERROR(INDEX(MUSTERILER!$B$7:$B$106,MATCH($R368,MUSTERILER!$T$7:$T$106,0)),IFERROR(INDEX(MUSTERILER!$B$7:$B$106,MATCH($D368,MUSTERILER!$B$7:$B$106,0)),IFERROR(INDEX(MUSTERILER!$B$7:$B$106,MATCH($R368&amp;"*",MUSTERILER!$T$7:$T$106,0)),"TANIMSIZ MÜŞTERİ"))))</f>
        <v/>
      </c>
      <c r="D368" s="109" t="inlineStr">
        <is>
          <t>Monamour Ltd.Şti.</t>
        </is>
      </c>
      <c r="E368" s="220" t="n">
        <v>46186</v>
      </c>
      <c r="F368" s="221" t="n">
        <v>3500</v>
      </c>
      <c r="G368" s="108" t="inlineStr">
        <is>
          <t>MERKEZ KASA</t>
        </is>
      </c>
      <c r="H368" s="108" t="inlineStr">
        <is>
          <t>Nakit</t>
        </is>
      </c>
      <c r="I368" s="109" t="n"/>
      <c r="J368" s="109" t="inlineStr">
        <is>
          <t>NAKİT ÖDENEN</t>
        </is>
      </c>
      <c r="K368" s="109" t="n"/>
      <c r="L368" s="226">
        <f>IF($E368="","",DATE(YEAR($E368),MONTH($E368),1))</f>
        <v/>
      </c>
      <c r="M368" s="113">
        <f>IF($D368="","",IF($C368="TANIMSIZ MÜŞTERİ","HATA",IF(OR($E368="",$F368&lt;=0,$G368=""),"EKSİK",IF($E368&gt;TODAY(),"İLERİ TARİH",IF(COUNTIF($S$7:$S$1506,$S368)&gt;1,"MÜKERRER?",IF($T368&gt;0,"KAPALI DÖNEM","UYGUN"))))))</f>
        <v/>
      </c>
      <c r="N368" s="121">
        <f>IF($C368="","",IF($C368="TANIMSIZ MÜŞTERİ","—",INDEX(MUSTERILER!$C$7:$C$106,MATCH($C368,MUSTERILER!$B$7:$B$106,0))))</f>
        <v/>
      </c>
      <c r="O368" s="6" t="n"/>
      <c r="P368" s="6" t="n"/>
      <c r="Q368" s="3">
        <f>IF($D368="","",$C368&amp;"|"&amp;COUNTIFS($C$7:$C368,$C368))</f>
        <v/>
      </c>
      <c r="R368" s="3">
        <f>IF($D368="","",UPPER(SUBSTITUTE(SUBSTITUTE(SUBSTITUTE(SUBSTITUTE(SUBSTITUTE(SUBSTITUTE(SUBSTITUTE(SUBSTITUTE(SUBSTITUTE(SUBSTITUTE(SUBSTITUTE(SUBSTITUTE(SUBSTITUTE(SUBSTITUTE(SUBSTITUTE(SUBSTITUTE(SUBSTITUTE(SUBSTITUTE(TRIM($D368),"'",""),"İ","I"),"ı","I"),"i","I"),"Ş","S"),"ş","S"),"Ğ","G"),"ğ","G"),"Ü","U"),"ü","U"),"Ö","O"),"ö","O"),"Ç","C"),"ç","C"),".",""),",","")," ",""),"-","")))</f>
        <v/>
      </c>
      <c r="S368" s="3">
        <f>IF($D368="","",$C368&amp;"|"&amp;TEXT($E368,"0")&amp;"|"&amp;TEXT($F368,"0")&amp;"|"&amp;$I368)</f>
        <v/>
      </c>
      <c r="T368" s="3">
        <f>IF($E368="",0,SUMPRODUCT((AY_SONU!$O$7:$O$42="Evet")*(AY_SONU!$B$7:$B$42=DATE(YEAR($E368),MONTH($E368),1))))</f>
        <v/>
      </c>
    </row>
    <row r="369">
      <c r="A369" s="6" t="n"/>
      <c r="B369" s="113">
        <f>IF($D369="","","T"&amp;TEXT(ROW()-6,"00000"))</f>
        <v/>
      </c>
      <c r="C369" s="113">
        <f>IF($D369="","",IFERROR(INDEX(MUSTERILER!$B$7:$B$106,MATCH($R369,MUSTERILER!$T$7:$T$106,0)),IFERROR(INDEX(MUSTERILER!$B$7:$B$106,MATCH($D369,MUSTERILER!$B$7:$B$106,0)),IFERROR(INDEX(MUSTERILER!$B$7:$B$106,MATCH($R369&amp;"*",MUSTERILER!$T$7:$T$106,0)),"TANIMSIZ MÜŞTERİ"))))</f>
        <v/>
      </c>
      <c r="D369" s="109" t="inlineStr">
        <is>
          <t>Naz 1 Gıda Ltd.Şti.</t>
        </is>
      </c>
      <c r="E369" s="220" t="n">
        <v>46186</v>
      </c>
      <c r="F369" s="221" t="n">
        <v>2000</v>
      </c>
      <c r="G369" s="108" t="inlineStr">
        <is>
          <t>MERKEZ KASA</t>
        </is>
      </c>
      <c r="H369" s="108" t="inlineStr">
        <is>
          <t>Nakit</t>
        </is>
      </c>
      <c r="I369" s="109" t="n"/>
      <c r="J369" s="109" t="inlineStr">
        <is>
          <t>NAKİT ÖDENEN</t>
        </is>
      </c>
      <c r="K369" s="109" t="n"/>
      <c r="L369" s="226">
        <f>IF($E369="","",DATE(YEAR($E369),MONTH($E369),1))</f>
        <v/>
      </c>
      <c r="M369" s="113">
        <f>IF($D369="","",IF($C369="TANIMSIZ MÜŞTERİ","HATA",IF(OR($E369="",$F369&lt;=0,$G369=""),"EKSİK",IF($E369&gt;TODAY(),"İLERİ TARİH",IF(COUNTIF($S$7:$S$1506,$S369)&gt;1,"MÜKERRER?",IF($T369&gt;0,"KAPALI DÖNEM","UYGUN"))))))</f>
        <v/>
      </c>
      <c r="N369" s="121">
        <f>IF($C369="","",IF($C369="TANIMSIZ MÜŞTERİ","—",INDEX(MUSTERILER!$C$7:$C$106,MATCH($C369,MUSTERILER!$B$7:$B$106,0))))</f>
        <v/>
      </c>
      <c r="O369" s="6" t="n"/>
      <c r="P369" s="6" t="n"/>
      <c r="Q369" s="3">
        <f>IF($D369="","",$C369&amp;"|"&amp;COUNTIFS($C$7:$C369,$C369))</f>
        <v/>
      </c>
      <c r="R369" s="3">
        <f>IF($D369="","",UPPER(SUBSTITUTE(SUBSTITUTE(SUBSTITUTE(SUBSTITUTE(SUBSTITUTE(SUBSTITUTE(SUBSTITUTE(SUBSTITUTE(SUBSTITUTE(SUBSTITUTE(SUBSTITUTE(SUBSTITUTE(SUBSTITUTE(SUBSTITUTE(SUBSTITUTE(SUBSTITUTE(SUBSTITUTE(SUBSTITUTE(TRIM($D369),"'",""),"İ","I"),"ı","I"),"i","I"),"Ş","S"),"ş","S"),"Ğ","G"),"ğ","G"),"Ü","U"),"ü","U"),"Ö","O"),"ö","O"),"Ç","C"),"ç","C"),".",""),",","")," ",""),"-","")))</f>
        <v/>
      </c>
      <c r="S369" s="3">
        <f>IF($D369="","",$C369&amp;"|"&amp;TEXT($E369,"0")&amp;"|"&amp;TEXT($F369,"0")&amp;"|"&amp;$I369)</f>
        <v/>
      </c>
      <c r="T369" s="3">
        <f>IF($E369="",0,SUMPRODUCT((AY_SONU!$O$7:$O$42="Evet")*(AY_SONU!$B$7:$B$42=DATE(YEAR($E369),MONTH($E369),1))))</f>
        <v/>
      </c>
    </row>
    <row r="370">
      <c r="A370" s="6" t="n"/>
      <c r="B370" s="113">
        <f>IF($D370="","","T"&amp;TEXT(ROW()-6,"00000"))</f>
        <v/>
      </c>
      <c r="C370" s="113">
        <f>IF($D370="","",IFERROR(INDEX(MUSTERILER!$B$7:$B$106,MATCH($R370,MUSTERILER!$T$7:$T$106,0)),IFERROR(INDEX(MUSTERILER!$B$7:$B$106,MATCH($D370,MUSTERILER!$B$7:$B$106,0)),IFERROR(INDEX(MUSTERILER!$B$7:$B$106,MATCH($R370&amp;"*",MUSTERILER!$T$7:$T$106,0)),"TANIMSIZ MÜŞTERİ"))))</f>
        <v/>
      </c>
      <c r="D370" s="109" t="inlineStr">
        <is>
          <t>Pakyıldız Ltd.Şti.</t>
        </is>
      </c>
      <c r="E370" s="220" t="n">
        <v>46186</v>
      </c>
      <c r="F370" s="221" t="n">
        <v>4000</v>
      </c>
      <c r="G370" s="108" t="inlineStr">
        <is>
          <t>MERKEZ KASA</t>
        </is>
      </c>
      <c r="H370" s="108" t="inlineStr">
        <is>
          <t>Nakit</t>
        </is>
      </c>
      <c r="I370" s="109" t="n"/>
      <c r="J370" s="109" t="inlineStr">
        <is>
          <t>NAKİT ÖDENEN</t>
        </is>
      </c>
      <c r="K370" s="109" t="n"/>
      <c r="L370" s="226">
        <f>IF($E370="","",DATE(YEAR($E370),MONTH($E370),1))</f>
        <v/>
      </c>
      <c r="M370" s="113">
        <f>IF($D370="","",IF($C370="TANIMSIZ MÜŞTERİ","HATA",IF(OR($E370="",$F370&lt;=0,$G370=""),"EKSİK",IF($E370&gt;TODAY(),"İLERİ TARİH",IF(COUNTIF($S$7:$S$1506,$S370)&gt;1,"MÜKERRER?",IF($T370&gt;0,"KAPALI DÖNEM","UYGUN"))))))</f>
        <v/>
      </c>
      <c r="N370" s="121">
        <f>IF($C370="","",IF($C370="TANIMSIZ MÜŞTERİ","—",INDEX(MUSTERILER!$C$7:$C$106,MATCH($C370,MUSTERILER!$B$7:$B$106,0))))</f>
        <v/>
      </c>
      <c r="O370" s="6" t="n"/>
      <c r="P370" s="6" t="n"/>
      <c r="Q370" s="3">
        <f>IF($D370="","",$C370&amp;"|"&amp;COUNTIFS($C$7:$C370,$C370))</f>
        <v/>
      </c>
      <c r="R370" s="3">
        <f>IF($D370="","",UPPER(SUBSTITUTE(SUBSTITUTE(SUBSTITUTE(SUBSTITUTE(SUBSTITUTE(SUBSTITUTE(SUBSTITUTE(SUBSTITUTE(SUBSTITUTE(SUBSTITUTE(SUBSTITUTE(SUBSTITUTE(SUBSTITUTE(SUBSTITUTE(SUBSTITUTE(SUBSTITUTE(SUBSTITUTE(SUBSTITUTE(TRIM($D370),"'",""),"İ","I"),"ı","I"),"i","I"),"Ş","S"),"ş","S"),"Ğ","G"),"ğ","G"),"Ü","U"),"ü","U"),"Ö","O"),"ö","O"),"Ç","C"),"ç","C"),".",""),",","")," ",""),"-","")))</f>
        <v/>
      </c>
      <c r="S370" s="3">
        <f>IF($D370="","",$C370&amp;"|"&amp;TEXT($E370,"0")&amp;"|"&amp;TEXT($F370,"0")&amp;"|"&amp;$I370)</f>
        <v/>
      </c>
      <c r="T370" s="3">
        <f>IF($E370="",0,SUMPRODUCT((AY_SONU!$O$7:$O$42="Evet")*(AY_SONU!$B$7:$B$42=DATE(YEAR($E370),MONTH($E370),1))))</f>
        <v/>
      </c>
    </row>
    <row r="371">
      <c r="A371" s="6" t="n"/>
      <c r="B371" s="113">
        <f>IF($D371="","","T"&amp;TEXT(ROW()-6,"00000"))</f>
        <v/>
      </c>
      <c r="C371" s="113">
        <f>IF($D371="","",IFERROR(INDEX(MUSTERILER!$B$7:$B$106,MATCH($R371,MUSTERILER!$T$7:$T$106,0)),IFERROR(INDEX(MUSTERILER!$B$7:$B$106,MATCH($D371,MUSTERILER!$B$7:$B$106,0)),IFERROR(INDEX(MUSTERILER!$B$7:$B$106,MATCH($R371&amp;"*",MUSTERILER!$T$7:$T$106,0)),"TANIMSIZ MÜŞTERİ"))))</f>
        <v/>
      </c>
      <c r="D371" s="109" t="inlineStr">
        <is>
          <t>Rix Şow Ltd.Şti.</t>
        </is>
      </c>
      <c r="E371" s="220" t="n">
        <v>46186</v>
      </c>
      <c r="F371" s="221" t="n">
        <v>3000</v>
      </c>
      <c r="G371" s="108" t="inlineStr">
        <is>
          <t>MERKEZ KASA</t>
        </is>
      </c>
      <c r="H371" s="108" t="inlineStr">
        <is>
          <t>Nakit</t>
        </is>
      </c>
      <c r="I371" s="109" t="n"/>
      <c r="J371" s="109" t="inlineStr">
        <is>
          <t>NAKİT ÖDENEN</t>
        </is>
      </c>
      <c r="K371" s="109" t="n"/>
      <c r="L371" s="226">
        <f>IF($E371="","",DATE(YEAR($E371),MONTH($E371),1))</f>
        <v/>
      </c>
      <c r="M371" s="113">
        <f>IF($D371="","",IF($C371="TANIMSIZ MÜŞTERİ","HATA",IF(OR($E371="",$F371&lt;=0,$G371=""),"EKSİK",IF($E371&gt;TODAY(),"İLERİ TARİH",IF(COUNTIF($S$7:$S$1506,$S371)&gt;1,"MÜKERRER?",IF($T371&gt;0,"KAPALI DÖNEM","UYGUN"))))))</f>
        <v/>
      </c>
      <c r="N371" s="121">
        <f>IF($C371="","",IF($C371="TANIMSIZ MÜŞTERİ","—",INDEX(MUSTERILER!$C$7:$C$106,MATCH($C371,MUSTERILER!$B$7:$B$106,0))))</f>
        <v/>
      </c>
      <c r="O371" s="6" t="n"/>
      <c r="P371" s="6" t="n"/>
      <c r="Q371" s="3">
        <f>IF($D371="","",$C371&amp;"|"&amp;COUNTIFS($C$7:$C371,$C371))</f>
        <v/>
      </c>
      <c r="R371" s="3">
        <f>IF($D371="","",UPPER(SUBSTITUTE(SUBSTITUTE(SUBSTITUTE(SUBSTITUTE(SUBSTITUTE(SUBSTITUTE(SUBSTITUTE(SUBSTITUTE(SUBSTITUTE(SUBSTITUTE(SUBSTITUTE(SUBSTITUTE(SUBSTITUTE(SUBSTITUTE(SUBSTITUTE(SUBSTITUTE(SUBSTITUTE(SUBSTITUTE(TRIM($D371),"'",""),"İ","I"),"ı","I"),"i","I"),"Ş","S"),"ş","S"),"Ğ","G"),"ğ","G"),"Ü","U"),"ü","U"),"Ö","O"),"ö","O"),"Ç","C"),"ç","C"),".",""),",","")," ",""),"-","")))</f>
        <v/>
      </c>
      <c r="S371" s="3">
        <f>IF($D371="","",$C371&amp;"|"&amp;TEXT($E371,"0")&amp;"|"&amp;TEXT($F371,"0")&amp;"|"&amp;$I371)</f>
        <v/>
      </c>
      <c r="T371" s="3">
        <f>IF($E371="",0,SUMPRODUCT((AY_SONU!$O$7:$O$42="Evet")*(AY_SONU!$B$7:$B$42=DATE(YEAR($E371),MONTH($E371),1))))</f>
        <v/>
      </c>
    </row>
    <row r="372">
      <c r="A372" s="6" t="n"/>
      <c r="B372" s="113">
        <f>IF($D372="","","T"&amp;TEXT(ROW()-6,"00000"))</f>
        <v/>
      </c>
      <c r="C372" s="113">
        <f>IF($D372="","",IFERROR(INDEX(MUSTERILER!$B$7:$B$106,MATCH($R372,MUSTERILER!$T$7:$T$106,0)),IFERROR(INDEX(MUSTERILER!$B$7:$B$106,MATCH($D372,MUSTERILER!$B$7:$B$106,0)),IFERROR(INDEX(MUSTERILER!$B$7:$B$106,MATCH($R372&amp;"*",MUSTERILER!$T$7:$T$106,0)),"TANIMSIZ MÜŞTERİ"))))</f>
        <v/>
      </c>
      <c r="D372" s="109" t="inlineStr">
        <is>
          <t>Zümrüt Grup Ltd.Şti.</t>
        </is>
      </c>
      <c r="E372" s="220" t="n">
        <v>46186</v>
      </c>
      <c r="F372" s="221" t="n">
        <v>1750</v>
      </c>
      <c r="G372" s="108" t="inlineStr">
        <is>
          <t>MERKEZ KASA</t>
        </is>
      </c>
      <c r="H372" s="108" t="inlineStr">
        <is>
          <t>Nakit</t>
        </is>
      </c>
      <c r="I372" s="109" t="n"/>
      <c r="J372" s="109" t="inlineStr">
        <is>
          <t>NAKİT ÖDENEN</t>
        </is>
      </c>
      <c r="K372" s="109" t="n"/>
      <c r="L372" s="226">
        <f>IF($E372="","",DATE(YEAR($E372),MONTH($E372),1))</f>
        <v/>
      </c>
      <c r="M372" s="113">
        <f>IF($D372="","",IF($C372="TANIMSIZ MÜŞTERİ","HATA",IF(OR($E372="",$F372&lt;=0,$G372=""),"EKSİK",IF($E372&gt;TODAY(),"İLERİ TARİH",IF(COUNTIF($S$7:$S$1506,$S372)&gt;1,"MÜKERRER?",IF($T372&gt;0,"KAPALI DÖNEM","UYGUN"))))))</f>
        <v/>
      </c>
      <c r="N372" s="121">
        <f>IF($C372="","",IF($C372="TANIMSIZ MÜŞTERİ","—",INDEX(MUSTERILER!$C$7:$C$106,MATCH($C372,MUSTERILER!$B$7:$B$106,0))))</f>
        <v/>
      </c>
      <c r="O372" s="6" t="n"/>
      <c r="P372" s="6" t="n"/>
      <c r="Q372" s="3">
        <f>IF($D372="","",$C372&amp;"|"&amp;COUNTIFS($C$7:$C372,$C372))</f>
        <v/>
      </c>
      <c r="R372" s="3">
        <f>IF($D372="","",UPPER(SUBSTITUTE(SUBSTITUTE(SUBSTITUTE(SUBSTITUTE(SUBSTITUTE(SUBSTITUTE(SUBSTITUTE(SUBSTITUTE(SUBSTITUTE(SUBSTITUTE(SUBSTITUTE(SUBSTITUTE(SUBSTITUTE(SUBSTITUTE(SUBSTITUTE(SUBSTITUTE(SUBSTITUTE(SUBSTITUTE(TRIM($D372),"'",""),"İ","I"),"ı","I"),"i","I"),"Ş","S"),"ş","S"),"Ğ","G"),"ğ","G"),"Ü","U"),"ü","U"),"Ö","O"),"ö","O"),"Ç","C"),"ç","C"),".",""),",","")," ",""),"-","")))</f>
        <v/>
      </c>
      <c r="S372" s="3">
        <f>IF($D372="","",$C372&amp;"|"&amp;TEXT($E372,"0")&amp;"|"&amp;TEXT($F372,"0")&amp;"|"&amp;$I372)</f>
        <v/>
      </c>
      <c r="T372" s="3">
        <f>IF($E372="",0,SUMPRODUCT((AY_SONU!$O$7:$O$42="Evet")*(AY_SONU!$B$7:$B$42=DATE(YEAR($E372),MONTH($E372),1))))</f>
        <v/>
      </c>
    </row>
    <row r="373">
      <c r="A373" s="6" t="n"/>
      <c r="B373" s="113">
        <f>IF($D373="","","T"&amp;TEXT(ROW()-6,"00000"))</f>
        <v/>
      </c>
      <c r="C373" s="113">
        <f>IF($D373="","",IFERROR(INDEX(MUSTERILER!$B$7:$B$106,MATCH($R373,MUSTERILER!$T$7:$T$106,0)),IFERROR(INDEX(MUSTERILER!$B$7:$B$106,MATCH($D373,MUSTERILER!$B$7:$B$106,0)),IFERROR(INDEX(MUSTERILER!$B$7:$B$106,MATCH($R373&amp;"*",MUSTERILER!$T$7:$T$106,0)),"TANIMSIZ MÜŞTERİ"))))</f>
        <v/>
      </c>
      <c r="D373" s="109" t="inlineStr">
        <is>
          <t>ÇINARHAN LTD.ŞTİ.</t>
        </is>
      </c>
      <c r="E373" s="220" t="n">
        <v>46186</v>
      </c>
      <c r="F373" s="221" t="n">
        <v>2500</v>
      </c>
      <c r="G373" s="108" t="inlineStr">
        <is>
          <t>MERKEZ KASA</t>
        </is>
      </c>
      <c r="H373" s="108" t="inlineStr">
        <is>
          <t>Nakit</t>
        </is>
      </c>
      <c r="I373" s="109" t="n"/>
      <c r="J373" s="109" t="inlineStr">
        <is>
          <t>NAKİT ÖDENEN</t>
        </is>
      </c>
      <c r="K373" s="109" t="n"/>
      <c r="L373" s="226">
        <f>IF($E373="","",DATE(YEAR($E373),MONTH($E373),1))</f>
        <v/>
      </c>
      <c r="M373" s="113">
        <f>IF($D373="","",IF($C373="TANIMSIZ MÜŞTERİ","HATA",IF(OR($E373="",$F373&lt;=0,$G373=""),"EKSİK",IF($E373&gt;TODAY(),"İLERİ TARİH",IF(COUNTIF($S$7:$S$1506,$S373)&gt;1,"MÜKERRER?",IF($T373&gt;0,"KAPALI DÖNEM","UYGUN"))))))</f>
        <v/>
      </c>
      <c r="N373" s="121">
        <f>IF($C373="","",IF($C373="TANIMSIZ MÜŞTERİ","—",INDEX(MUSTERILER!$C$7:$C$106,MATCH($C373,MUSTERILER!$B$7:$B$106,0))))</f>
        <v/>
      </c>
      <c r="O373" s="6" t="n"/>
      <c r="P373" s="6" t="n"/>
      <c r="Q373" s="3">
        <f>IF($D373="","",$C373&amp;"|"&amp;COUNTIFS($C$7:$C373,$C373))</f>
        <v/>
      </c>
      <c r="R373" s="3">
        <f>IF($D373="","",UPPER(SUBSTITUTE(SUBSTITUTE(SUBSTITUTE(SUBSTITUTE(SUBSTITUTE(SUBSTITUTE(SUBSTITUTE(SUBSTITUTE(SUBSTITUTE(SUBSTITUTE(SUBSTITUTE(SUBSTITUTE(SUBSTITUTE(SUBSTITUTE(SUBSTITUTE(SUBSTITUTE(SUBSTITUTE(SUBSTITUTE(TRIM($D373),"'",""),"İ","I"),"ı","I"),"i","I"),"Ş","S"),"ş","S"),"Ğ","G"),"ğ","G"),"Ü","U"),"ü","U"),"Ö","O"),"ö","O"),"Ç","C"),"ç","C"),".",""),",","")," ",""),"-","")))</f>
        <v/>
      </c>
      <c r="S373" s="3">
        <f>IF($D373="","",$C373&amp;"|"&amp;TEXT($E373,"0")&amp;"|"&amp;TEXT($F373,"0")&amp;"|"&amp;$I373)</f>
        <v/>
      </c>
      <c r="T373" s="3">
        <f>IF($E373="",0,SUMPRODUCT((AY_SONU!$O$7:$O$42="Evet")*(AY_SONU!$B$7:$B$42=DATE(YEAR($E373),MONTH($E373),1))))</f>
        <v/>
      </c>
    </row>
    <row r="374">
      <c r="A374" s="6" t="n"/>
      <c r="B374" s="113">
        <f>IF($D374="","","T"&amp;TEXT(ROW()-6,"00000"))</f>
        <v/>
      </c>
      <c r="C374" s="113">
        <f>IF($D374="","",IFERROR(INDEX(MUSTERILER!$B$7:$B$106,MATCH($R374,MUSTERILER!$T$7:$T$106,0)),IFERROR(INDEX(MUSTERILER!$B$7:$B$106,MATCH($D374,MUSTERILER!$B$7:$B$106,0)),IFERROR(INDEX(MUSTERILER!$B$7:$B$106,MATCH($R374&amp;"*",MUSTERILER!$T$7:$T$106,0)),"TANIMSIZ MÜŞTERİ"))))</f>
        <v/>
      </c>
      <c r="D374" s="109" t="inlineStr">
        <is>
          <t>KRİSTAL LTD.ŞTİ.</t>
        </is>
      </c>
      <c r="E374" s="220" t="n">
        <v>46186</v>
      </c>
      <c r="F374" s="221" t="n">
        <v>3000</v>
      </c>
      <c r="G374" s="108" t="inlineStr">
        <is>
          <t>MERKEZ KASA</t>
        </is>
      </c>
      <c r="H374" s="108" t="inlineStr">
        <is>
          <t>Nakit</t>
        </is>
      </c>
      <c r="I374" s="109" t="n"/>
      <c r="J374" s="109" t="inlineStr">
        <is>
          <t>NAKİT ÖDENEN</t>
        </is>
      </c>
      <c r="K374" s="109" t="n"/>
      <c r="L374" s="226">
        <f>IF($E374="","",DATE(YEAR($E374),MONTH($E374),1))</f>
        <v/>
      </c>
      <c r="M374" s="113">
        <f>IF($D374="","",IF($C374="TANIMSIZ MÜŞTERİ","HATA",IF(OR($E374="",$F374&lt;=0,$G374=""),"EKSİK",IF($E374&gt;TODAY(),"İLERİ TARİH",IF(COUNTIF($S$7:$S$1506,$S374)&gt;1,"MÜKERRER?",IF($T374&gt;0,"KAPALI DÖNEM","UYGUN"))))))</f>
        <v/>
      </c>
      <c r="N374" s="121">
        <f>IF($C374="","",IF($C374="TANIMSIZ MÜŞTERİ","—",INDEX(MUSTERILER!$C$7:$C$106,MATCH($C374,MUSTERILER!$B$7:$B$106,0))))</f>
        <v/>
      </c>
      <c r="O374" s="6" t="n"/>
      <c r="P374" s="6" t="n"/>
      <c r="Q374" s="3">
        <f>IF($D374="","",$C374&amp;"|"&amp;COUNTIFS($C$7:$C374,$C374))</f>
        <v/>
      </c>
      <c r="R374" s="3">
        <f>IF($D374="","",UPPER(SUBSTITUTE(SUBSTITUTE(SUBSTITUTE(SUBSTITUTE(SUBSTITUTE(SUBSTITUTE(SUBSTITUTE(SUBSTITUTE(SUBSTITUTE(SUBSTITUTE(SUBSTITUTE(SUBSTITUTE(SUBSTITUTE(SUBSTITUTE(SUBSTITUTE(SUBSTITUTE(SUBSTITUTE(SUBSTITUTE(TRIM($D374),"'",""),"İ","I"),"ı","I"),"i","I"),"Ş","S"),"ş","S"),"Ğ","G"),"ğ","G"),"Ü","U"),"ü","U"),"Ö","O"),"ö","O"),"Ç","C"),"ç","C"),".",""),",","")," ",""),"-","")))</f>
        <v/>
      </c>
      <c r="S374" s="3">
        <f>IF($D374="","",$C374&amp;"|"&amp;TEXT($E374,"0")&amp;"|"&amp;TEXT($F374,"0")&amp;"|"&amp;$I374)</f>
        <v/>
      </c>
      <c r="T374" s="3">
        <f>IF($E374="",0,SUMPRODUCT((AY_SONU!$O$7:$O$42="Evet")*(AY_SONU!$B$7:$B$42=DATE(YEAR($E374),MONTH($E374),1))))</f>
        <v/>
      </c>
    </row>
    <row r="375">
      <c r="A375" s="6" t="n"/>
      <c r="B375" s="113">
        <f>IF($D375="","","T"&amp;TEXT(ROW()-6,"00000"))</f>
        <v/>
      </c>
      <c r="C375" s="113">
        <f>IF($D375="","",IFERROR(INDEX(MUSTERILER!$B$7:$B$106,MATCH($R375,MUSTERILER!$T$7:$T$106,0)),IFERROR(INDEX(MUSTERILER!$B$7:$B$106,MATCH($D375,MUSTERILER!$B$7:$B$106,0)),IFERROR(INDEX(MUSTERILER!$B$7:$B$106,MATCH($R375&amp;"*",MUSTERILER!$T$7:$T$106,0)),"TANIMSIZ MÜŞTERİ"))))</f>
        <v/>
      </c>
      <c r="D375" s="109" t="inlineStr">
        <is>
          <t>PALAOĞULLARI LTD.ŞTİ.</t>
        </is>
      </c>
      <c r="E375" s="220" t="n">
        <v>46186</v>
      </c>
      <c r="F375" s="221" t="n">
        <v>4000</v>
      </c>
      <c r="G375" s="108" t="inlineStr">
        <is>
          <t>MERKEZ KASA</t>
        </is>
      </c>
      <c r="H375" s="108" t="inlineStr">
        <is>
          <t>Nakit</t>
        </is>
      </c>
      <c r="I375" s="109" t="n"/>
      <c r="J375" s="109" t="inlineStr">
        <is>
          <t>NAKİT ÖDENEN</t>
        </is>
      </c>
      <c r="K375" s="109" t="n"/>
      <c r="L375" s="226">
        <f>IF($E375="","",DATE(YEAR($E375),MONTH($E375),1))</f>
        <v/>
      </c>
      <c r="M375" s="113">
        <f>IF($D375="","",IF($C375="TANIMSIZ MÜŞTERİ","HATA",IF(OR($E375="",$F375&lt;=0,$G375=""),"EKSİK",IF($E375&gt;TODAY(),"İLERİ TARİH",IF(COUNTIF($S$7:$S$1506,$S375)&gt;1,"MÜKERRER?",IF($T375&gt;0,"KAPALI DÖNEM","UYGUN"))))))</f>
        <v/>
      </c>
      <c r="N375" s="121">
        <f>IF($C375="","",IF($C375="TANIMSIZ MÜŞTERİ","—",INDEX(MUSTERILER!$C$7:$C$106,MATCH($C375,MUSTERILER!$B$7:$B$106,0))))</f>
        <v/>
      </c>
      <c r="O375" s="6" t="n"/>
      <c r="P375" s="6" t="n"/>
      <c r="Q375" s="3">
        <f>IF($D375="","",$C375&amp;"|"&amp;COUNTIFS($C$7:$C375,$C375))</f>
        <v/>
      </c>
      <c r="R375" s="3">
        <f>IF($D375="","",UPPER(SUBSTITUTE(SUBSTITUTE(SUBSTITUTE(SUBSTITUTE(SUBSTITUTE(SUBSTITUTE(SUBSTITUTE(SUBSTITUTE(SUBSTITUTE(SUBSTITUTE(SUBSTITUTE(SUBSTITUTE(SUBSTITUTE(SUBSTITUTE(SUBSTITUTE(SUBSTITUTE(SUBSTITUTE(SUBSTITUTE(TRIM($D375),"'",""),"İ","I"),"ı","I"),"i","I"),"Ş","S"),"ş","S"),"Ğ","G"),"ğ","G"),"Ü","U"),"ü","U"),"Ö","O"),"ö","O"),"Ç","C"),"ç","C"),".",""),",","")," ",""),"-","")))</f>
        <v/>
      </c>
      <c r="S375" s="3">
        <f>IF($D375="","",$C375&amp;"|"&amp;TEXT($E375,"0")&amp;"|"&amp;TEXT($F375,"0")&amp;"|"&amp;$I375)</f>
        <v/>
      </c>
      <c r="T375" s="3">
        <f>IF($E375="",0,SUMPRODUCT((AY_SONU!$O$7:$O$42="Evet")*(AY_SONU!$B$7:$B$42=DATE(YEAR($E375),MONTH($E375),1))))</f>
        <v/>
      </c>
    </row>
    <row r="376">
      <c r="A376" s="6" t="n"/>
      <c r="B376" s="113">
        <f>IF($D376="","","T"&amp;TEXT(ROW()-6,"00000"))</f>
        <v/>
      </c>
      <c r="C376" s="113">
        <f>IF($D376="","",IFERROR(INDEX(MUSTERILER!$B$7:$B$106,MATCH($R376,MUSTERILER!$T$7:$T$106,0)),IFERROR(INDEX(MUSTERILER!$B$7:$B$106,MATCH($D376,MUSTERILER!$B$7:$B$106,0)),IFERROR(INDEX(MUSTERILER!$B$7:$B$106,MATCH($R376&amp;"*",MUSTERILER!$T$7:$T$106,0)),"TANIMSIZ MÜŞTERİ"))))</f>
        <v/>
      </c>
      <c r="D376" s="109" t="inlineStr">
        <is>
          <t>YALIKENT LTD.ŞTİ.</t>
        </is>
      </c>
      <c r="E376" s="220" t="n">
        <v>46186</v>
      </c>
      <c r="F376" s="221" t="n">
        <v>4000</v>
      </c>
      <c r="G376" s="108" t="inlineStr">
        <is>
          <t>MERKEZ KASA</t>
        </is>
      </c>
      <c r="H376" s="108" t="inlineStr">
        <is>
          <t>Nakit</t>
        </is>
      </c>
      <c r="I376" s="109" t="n"/>
      <c r="J376" s="109" t="inlineStr">
        <is>
          <t>NAKİT ÖDENEN</t>
        </is>
      </c>
      <c r="K376" s="109" t="n"/>
      <c r="L376" s="226">
        <f>IF($E376="","",DATE(YEAR($E376),MONTH($E376),1))</f>
        <v/>
      </c>
      <c r="M376" s="113">
        <f>IF($D376="","",IF($C376="TANIMSIZ MÜŞTERİ","HATA",IF(OR($E376="",$F376&lt;=0,$G376=""),"EKSİK",IF($E376&gt;TODAY(),"İLERİ TARİH",IF(COUNTIF($S$7:$S$1506,$S376)&gt;1,"MÜKERRER?",IF($T376&gt;0,"KAPALI DÖNEM","UYGUN"))))))</f>
        <v/>
      </c>
      <c r="N376" s="121">
        <f>IF($C376="","",IF($C376="TANIMSIZ MÜŞTERİ","—",INDEX(MUSTERILER!$C$7:$C$106,MATCH($C376,MUSTERILER!$B$7:$B$106,0))))</f>
        <v/>
      </c>
      <c r="O376" s="6" t="n"/>
      <c r="P376" s="6" t="n"/>
      <c r="Q376" s="3">
        <f>IF($D376="","",$C376&amp;"|"&amp;COUNTIFS($C$7:$C376,$C376))</f>
        <v/>
      </c>
      <c r="R376" s="3">
        <f>IF($D376="","",UPPER(SUBSTITUTE(SUBSTITUTE(SUBSTITUTE(SUBSTITUTE(SUBSTITUTE(SUBSTITUTE(SUBSTITUTE(SUBSTITUTE(SUBSTITUTE(SUBSTITUTE(SUBSTITUTE(SUBSTITUTE(SUBSTITUTE(SUBSTITUTE(SUBSTITUTE(SUBSTITUTE(SUBSTITUTE(SUBSTITUTE(TRIM($D376),"'",""),"İ","I"),"ı","I"),"i","I"),"Ş","S"),"ş","S"),"Ğ","G"),"ğ","G"),"Ü","U"),"ü","U"),"Ö","O"),"ö","O"),"Ç","C"),"ç","C"),".",""),",","")," ",""),"-","")))</f>
        <v/>
      </c>
      <c r="S376" s="3">
        <f>IF($D376="","",$C376&amp;"|"&amp;TEXT($E376,"0")&amp;"|"&amp;TEXT($F376,"0")&amp;"|"&amp;$I376)</f>
        <v/>
      </c>
      <c r="T376" s="3">
        <f>IF($E376="",0,SUMPRODUCT((AY_SONU!$O$7:$O$42="Evet")*(AY_SONU!$B$7:$B$42=DATE(YEAR($E376),MONTH($E376),1))))</f>
        <v/>
      </c>
    </row>
    <row r="377">
      <c r="A377" s="6" t="n"/>
      <c r="B377" s="113">
        <f>IF($D377="","","T"&amp;TEXT(ROW()-6,"00000"))</f>
        <v/>
      </c>
      <c r="C377" s="113">
        <f>IF($D377="","",IFERROR(INDEX(MUSTERILER!$B$7:$B$106,MATCH($R377,MUSTERILER!$T$7:$T$106,0)),IFERROR(INDEX(MUSTERILER!$B$7:$B$106,MATCH($D377,MUSTERILER!$B$7:$B$106,0)),IFERROR(INDEX(MUSTERILER!$B$7:$B$106,MATCH($R377&amp;"*",MUSTERILER!$T$7:$T$106,0)),"TANIMSIZ MÜŞTERİ"))))</f>
        <v/>
      </c>
      <c r="D377" s="109" t="inlineStr">
        <is>
          <t>ARON TOPTAN LTD.ŞTİ.</t>
        </is>
      </c>
      <c r="E377" s="220" t="n">
        <v>46193</v>
      </c>
      <c r="F377" s="221" t="n">
        <v>10000</v>
      </c>
      <c r="G377" s="108" t="inlineStr">
        <is>
          <t>MERKEZ KASA</t>
        </is>
      </c>
      <c r="H377" s="108" t="inlineStr">
        <is>
          <t>Nakit</t>
        </is>
      </c>
      <c r="I377" s="109" t="n"/>
      <c r="J377" s="109" t="inlineStr">
        <is>
          <t>NAKİT ÖDENEN</t>
        </is>
      </c>
      <c r="K377" s="109" t="n"/>
      <c r="L377" s="226">
        <f>IF($E377="","",DATE(YEAR($E377),MONTH($E377),1))</f>
        <v/>
      </c>
      <c r="M377" s="113">
        <f>IF($D377="","",IF($C377="TANIMSIZ MÜŞTERİ","HATA",IF(OR($E377="",$F377&lt;=0,$G377=""),"EKSİK",IF($E377&gt;TODAY(),"İLERİ TARİH",IF(COUNTIF($S$7:$S$1506,$S377)&gt;1,"MÜKERRER?",IF($T377&gt;0,"KAPALI DÖNEM","UYGUN"))))))</f>
        <v/>
      </c>
      <c r="N377" s="121">
        <f>IF($C377="","",IF($C377="TANIMSIZ MÜŞTERİ","—",INDEX(MUSTERILER!$C$7:$C$106,MATCH($C377,MUSTERILER!$B$7:$B$106,0))))</f>
        <v/>
      </c>
      <c r="O377" s="6" t="n"/>
      <c r="P377" s="6" t="n"/>
      <c r="Q377" s="3">
        <f>IF($D377="","",$C377&amp;"|"&amp;COUNTIFS($C$7:$C377,$C377))</f>
        <v/>
      </c>
      <c r="R377" s="3">
        <f>IF($D377="","",UPPER(SUBSTITUTE(SUBSTITUTE(SUBSTITUTE(SUBSTITUTE(SUBSTITUTE(SUBSTITUTE(SUBSTITUTE(SUBSTITUTE(SUBSTITUTE(SUBSTITUTE(SUBSTITUTE(SUBSTITUTE(SUBSTITUTE(SUBSTITUTE(SUBSTITUTE(SUBSTITUTE(SUBSTITUTE(SUBSTITUTE(TRIM($D377),"'",""),"İ","I"),"ı","I"),"i","I"),"Ş","S"),"ş","S"),"Ğ","G"),"ğ","G"),"Ü","U"),"ü","U"),"Ö","O"),"ö","O"),"Ç","C"),"ç","C"),".",""),",","")," ",""),"-","")))</f>
        <v/>
      </c>
      <c r="S377" s="3">
        <f>IF($D377="","",$C377&amp;"|"&amp;TEXT($E377,"0")&amp;"|"&amp;TEXT($F377,"0")&amp;"|"&amp;$I377)</f>
        <v/>
      </c>
      <c r="T377" s="3">
        <f>IF($E377="",0,SUMPRODUCT((AY_SONU!$O$7:$O$42="Evet")*(AY_SONU!$B$7:$B$42=DATE(YEAR($E377),MONTH($E377),1))))</f>
        <v/>
      </c>
    </row>
    <row r="378">
      <c r="A378" s="6" t="n"/>
      <c r="B378" s="113">
        <f>IF($D378="","","T"&amp;TEXT(ROW()-6,"00000"))</f>
        <v/>
      </c>
      <c r="C378" s="113">
        <f>IF($D378="","",IFERROR(INDEX(MUSTERILER!$B$7:$B$106,MATCH($R378,MUSTERILER!$T$7:$T$106,0)),IFERROR(INDEX(MUSTERILER!$B$7:$B$106,MATCH($D378,MUSTERILER!$B$7:$B$106,0)),IFERROR(INDEX(MUSTERILER!$B$7:$B$106,MATCH($R378&amp;"*",MUSTERILER!$T$7:$T$106,0)),"TANIMSIZ MÜŞTERİ"))))</f>
        <v/>
      </c>
      <c r="D378" s="109" t="inlineStr">
        <is>
          <t>ASIM AÇIKGÖZ</t>
        </is>
      </c>
      <c r="E378" s="220" t="n">
        <v>46194</v>
      </c>
      <c r="F378" s="221" t="n">
        <v>2000</v>
      </c>
      <c r="G378" s="108" t="inlineStr">
        <is>
          <t>ÖMER KARTAL</t>
        </is>
      </c>
      <c r="H378" s="108" t="inlineStr">
        <is>
          <t>Nakit</t>
        </is>
      </c>
      <c r="I378" s="109" t="n"/>
      <c r="J378" s="109" t="inlineStr">
        <is>
          <t>NAKİT ÖDENEN</t>
        </is>
      </c>
      <c r="K378" s="109" t="n"/>
      <c r="L378" s="226">
        <f>IF($E378="","",DATE(YEAR($E378),MONTH($E378),1))</f>
        <v/>
      </c>
      <c r="M378" s="113">
        <f>IF($D378="","",IF($C378="TANIMSIZ MÜŞTERİ","HATA",IF(OR($E378="",$F378&lt;=0,$G378=""),"EKSİK",IF($E378&gt;TODAY(),"İLERİ TARİH",IF(COUNTIF($S$7:$S$1506,$S378)&gt;1,"MÜKERRER?",IF($T378&gt;0,"KAPALI DÖNEM","UYGUN"))))))</f>
        <v/>
      </c>
      <c r="N378" s="121">
        <f>IF($C378="","",IF($C378="TANIMSIZ MÜŞTERİ","—",INDEX(MUSTERILER!$C$7:$C$106,MATCH($C378,MUSTERILER!$B$7:$B$106,0))))</f>
        <v/>
      </c>
      <c r="O378" s="6" t="n"/>
      <c r="P378" s="6" t="n"/>
      <c r="Q378" s="3">
        <f>IF($D378="","",$C378&amp;"|"&amp;COUNTIFS($C$7:$C378,$C378))</f>
        <v/>
      </c>
      <c r="R378" s="3">
        <f>IF($D378="","",UPPER(SUBSTITUTE(SUBSTITUTE(SUBSTITUTE(SUBSTITUTE(SUBSTITUTE(SUBSTITUTE(SUBSTITUTE(SUBSTITUTE(SUBSTITUTE(SUBSTITUTE(SUBSTITUTE(SUBSTITUTE(SUBSTITUTE(SUBSTITUTE(SUBSTITUTE(SUBSTITUTE(SUBSTITUTE(SUBSTITUTE(TRIM($D378),"'",""),"İ","I"),"ı","I"),"i","I"),"Ş","S"),"ş","S"),"Ğ","G"),"ğ","G"),"Ü","U"),"ü","U"),"Ö","O"),"ö","O"),"Ç","C"),"ç","C"),".",""),",","")," ",""),"-","")))</f>
        <v/>
      </c>
      <c r="S378" s="3">
        <f>IF($D378="","",$C378&amp;"|"&amp;TEXT($E378,"0")&amp;"|"&amp;TEXT($F378,"0")&amp;"|"&amp;$I378)</f>
        <v/>
      </c>
      <c r="T378" s="3">
        <f>IF($E378="",0,SUMPRODUCT((AY_SONU!$O$7:$O$42="Evet")*(AY_SONU!$B$7:$B$42=DATE(YEAR($E378),MONTH($E378),1))))</f>
        <v/>
      </c>
    </row>
    <row r="379">
      <c r="A379" s="6" t="n"/>
      <c r="B379" s="113">
        <f>IF($D379="","","T"&amp;TEXT(ROW()-6,"00000"))</f>
        <v/>
      </c>
      <c r="C379" s="113">
        <f>IF($D379="","",IFERROR(INDEX(MUSTERILER!$B$7:$B$106,MATCH($R379,MUSTERILER!$T$7:$T$106,0)),IFERROR(INDEX(MUSTERILER!$B$7:$B$106,MATCH($D379,MUSTERILER!$B$7:$B$106,0)),IFERROR(INDEX(MUSTERILER!$B$7:$B$106,MATCH($R379&amp;"*",MUSTERILER!$T$7:$T$106,0)),"TANIMSIZ MÜŞTERİ"))))</f>
        <v/>
      </c>
      <c r="D379" s="109" t="inlineStr">
        <is>
          <t>ASM EĞLENCE LTD.ŞTİ.</t>
        </is>
      </c>
      <c r="E379" s="220" t="n">
        <v>46194</v>
      </c>
      <c r="F379" s="221" t="n">
        <v>2500</v>
      </c>
      <c r="G379" s="108" t="inlineStr">
        <is>
          <t>ÖMER KARTAL</t>
        </is>
      </c>
      <c r="H379" s="108" t="inlineStr">
        <is>
          <t>Nakit</t>
        </is>
      </c>
      <c r="I379" s="109" t="n"/>
      <c r="J379" s="109" t="inlineStr">
        <is>
          <t>NAKİT ÖDENEN</t>
        </is>
      </c>
      <c r="K379" s="109" t="n"/>
      <c r="L379" s="226">
        <f>IF($E379="","",DATE(YEAR($E379),MONTH($E379),1))</f>
        <v/>
      </c>
      <c r="M379" s="113">
        <f>IF($D379="","",IF($C379="TANIMSIZ MÜŞTERİ","HATA",IF(OR($E379="",$F379&lt;=0,$G379=""),"EKSİK",IF($E379&gt;TODAY(),"İLERİ TARİH",IF(COUNTIF($S$7:$S$1506,$S379)&gt;1,"MÜKERRER?",IF($T379&gt;0,"KAPALI DÖNEM","UYGUN"))))))</f>
        <v/>
      </c>
      <c r="N379" s="121">
        <f>IF($C379="","",IF($C379="TANIMSIZ MÜŞTERİ","—",INDEX(MUSTERILER!$C$7:$C$106,MATCH($C379,MUSTERILER!$B$7:$B$106,0))))</f>
        <v/>
      </c>
      <c r="O379" s="6" t="n"/>
      <c r="P379" s="6" t="n"/>
      <c r="Q379" s="3">
        <f>IF($D379="","",$C379&amp;"|"&amp;COUNTIFS($C$7:$C379,$C379))</f>
        <v/>
      </c>
      <c r="R379" s="3">
        <f>IF($D379="","",UPPER(SUBSTITUTE(SUBSTITUTE(SUBSTITUTE(SUBSTITUTE(SUBSTITUTE(SUBSTITUTE(SUBSTITUTE(SUBSTITUTE(SUBSTITUTE(SUBSTITUTE(SUBSTITUTE(SUBSTITUTE(SUBSTITUTE(SUBSTITUTE(SUBSTITUTE(SUBSTITUTE(SUBSTITUTE(SUBSTITUTE(TRIM($D379),"'",""),"İ","I"),"ı","I"),"i","I"),"Ş","S"),"ş","S"),"Ğ","G"),"ğ","G"),"Ü","U"),"ü","U"),"Ö","O"),"ö","O"),"Ç","C"),"ç","C"),".",""),",","")," ",""),"-","")))</f>
        <v/>
      </c>
      <c r="S379" s="3">
        <f>IF($D379="","",$C379&amp;"|"&amp;TEXT($E379,"0")&amp;"|"&amp;TEXT($F379,"0")&amp;"|"&amp;$I379)</f>
        <v/>
      </c>
      <c r="T379" s="3">
        <f>IF($E379="",0,SUMPRODUCT((AY_SONU!$O$7:$O$42="Evet")*(AY_SONU!$B$7:$B$42=DATE(YEAR($E379),MONTH($E379),1))))</f>
        <v/>
      </c>
    </row>
    <row r="380">
      <c r="A380" s="6" t="n"/>
      <c r="B380" s="113">
        <f>IF($D380="","","T"&amp;TEXT(ROW()-6,"00000"))</f>
        <v/>
      </c>
      <c r="C380" s="113">
        <f>IF($D380="","",IFERROR(INDEX(MUSTERILER!$B$7:$B$106,MATCH($R380,MUSTERILER!$T$7:$T$106,0)),IFERROR(INDEX(MUSTERILER!$B$7:$B$106,MATCH($D380,MUSTERILER!$B$7:$B$106,0)),IFERROR(INDEX(MUSTERILER!$B$7:$B$106,MATCH($R380&amp;"*",MUSTERILER!$T$7:$T$106,0)),"TANIMSIZ MÜŞTERİ"))))</f>
        <v/>
      </c>
      <c r="D380" s="109" t="inlineStr">
        <is>
          <t>Çayıralan Ltd.Şti.</t>
        </is>
      </c>
      <c r="E380" s="220" t="n">
        <v>46194</v>
      </c>
      <c r="F380" s="221" t="n">
        <v>3000</v>
      </c>
      <c r="G380" s="108" t="inlineStr">
        <is>
          <t>ÖMER KARTAL</t>
        </is>
      </c>
      <c r="H380" s="108" t="inlineStr">
        <is>
          <t>Nakit</t>
        </is>
      </c>
      <c r="I380" s="109" t="n"/>
      <c r="J380" s="109" t="inlineStr">
        <is>
          <t>ÖMER KARTALA ÖDENEN</t>
        </is>
      </c>
      <c r="K380" s="109" t="n"/>
      <c r="L380" s="226">
        <f>IF($E380="","",DATE(YEAR($E380),MONTH($E380),1))</f>
        <v/>
      </c>
      <c r="M380" s="113">
        <f>IF($D380="","",IF($C380="TANIMSIZ MÜŞTERİ","HATA",IF(OR($E380="",$F380&lt;=0,$G380=""),"EKSİK",IF($E380&gt;TODAY(),"İLERİ TARİH",IF(COUNTIF($S$7:$S$1506,$S380)&gt;1,"MÜKERRER?",IF($T380&gt;0,"KAPALI DÖNEM","UYGUN"))))))</f>
        <v/>
      </c>
      <c r="N380" s="121">
        <f>IF($C380="","",IF($C380="TANIMSIZ MÜŞTERİ","—",INDEX(MUSTERILER!$C$7:$C$106,MATCH($C380,MUSTERILER!$B$7:$B$106,0))))</f>
        <v/>
      </c>
      <c r="O380" s="6" t="n"/>
      <c r="P380" s="6" t="n"/>
      <c r="Q380" s="3">
        <f>IF($D380="","",$C380&amp;"|"&amp;COUNTIFS($C$7:$C380,$C380))</f>
        <v/>
      </c>
      <c r="R380" s="3">
        <f>IF($D380="","",UPPER(SUBSTITUTE(SUBSTITUTE(SUBSTITUTE(SUBSTITUTE(SUBSTITUTE(SUBSTITUTE(SUBSTITUTE(SUBSTITUTE(SUBSTITUTE(SUBSTITUTE(SUBSTITUTE(SUBSTITUTE(SUBSTITUTE(SUBSTITUTE(SUBSTITUTE(SUBSTITUTE(SUBSTITUTE(SUBSTITUTE(TRIM($D380),"'",""),"İ","I"),"ı","I"),"i","I"),"Ş","S"),"ş","S"),"Ğ","G"),"ğ","G"),"Ü","U"),"ü","U"),"Ö","O"),"ö","O"),"Ç","C"),"ç","C"),".",""),",","")," ",""),"-","")))</f>
        <v/>
      </c>
      <c r="S380" s="3">
        <f>IF($D380="","",$C380&amp;"|"&amp;TEXT($E380,"0")&amp;"|"&amp;TEXT($F380,"0")&amp;"|"&amp;$I380)</f>
        <v/>
      </c>
      <c r="T380" s="3">
        <f>IF($E380="",0,SUMPRODUCT((AY_SONU!$O$7:$O$42="Evet")*(AY_SONU!$B$7:$B$42=DATE(YEAR($E380),MONTH($E380),1))))</f>
        <v/>
      </c>
    </row>
    <row r="381">
      <c r="A381" s="6" t="n"/>
      <c r="B381" s="113">
        <f>IF($D381="","","T"&amp;TEXT(ROW()-6,"00000"))</f>
        <v/>
      </c>
      <c r="C381" s="113">
        <f>IF($D381="","",IFERROR(INDEX(MUSTERILER!$B$7:$B$106,MATCH($R381,MUSTERILER!$T$7:$T$106,0)),IFERROR(INDEX(MUSTERILER!$B$7:$B$106,MATCH($D381,MUSTERILER!$B$7:$B$106,0)),IFERROR(INDEX(MUSTERILER!$B$7:$B$106,MATCH($R381&amp;"*",MUSTERILER!$T$7:$T$106,0)),"TANIMSIZ MÜŞTERİ"))))</f>
        <v/>
      </c>
      <c r="D381" s="109" t="inlineStr">
        <is>
          <t>Eğlengör Ltd.Şti.</t>
        </is>
      </c>
      <c r="E381" s="220" t="n">
        <v>46194</v>
      </c>
      <c r="F381" s="221" t="n">
        <v>4000</v>
      </c>
      <c r="G381" s="108" t="inlineStr">
        <is>
          <t>MERKEZ KASA</t>
        </is>
      </c>
      <c r="H381" s="108" t="inlineStr">
        <is>
          <t>Nakit</t>
        </is>
      </c>
      <c r="I381" s="109" t="n"/>
      <c r="J381" s="109" t="inlineStr">
        <is>
          <t>NAKİT ÖDENEN</t>
        </is>
      </c>
      <c r="K381" s="109" t="n"/>
      <c r="L381" s="226">
        <f>IF($E381="","",DATE(YEAR($E381),MONTH($E381),1))</f>
        <v/>
      </c>
      <c r="M381" s="113">
        <f>IF($D381="","",IF($C381="TANIMSIZ MÜŞTERİ","HATA",IF(OR($E381="",$F381&lt;=0,$G381=""),"EKSİK",IF($E381&gt;TODAY(),"İLERİ TARİH",IF(COUNTIF($S$7:$S$1506,$S381)&gt;1,"MÜKERRER?",IF($T381&gt;0,"KAPALI DÖNEM","UYGUN"))))))</f>
        <v/>
      </c>
      <c r="N381" s="121">
        <f>IF($C381="","",IF($C381="TANIMSIZ MÜŞTERİ","—",INDEX(MUSTERILER!$C$7:$C$106,MATCH($C381,MUSTERILER!$B$7:$B$106,0))))</f>
        <v/>
      </c>
      <c r="O381" s="6" t="n"/>
      <c r="P381" s="6" t="n"/>
      <c r="Q381" s="3">
        <f>IF($D381="","",$C381&amp;"|"&amp;COUNTIFS($C$7:$C381,$C381))</f>
        <v/>
      </c>
      <c r="R381" s="3">
        <f>IF($D381="","",UPPER(SUBSTITUTE(SUBSTITUTE(SUBSTITUTE(SUBSTITUTE(SUBSTITUTE(SUBSTITUTE(SUBSTITUTE(SUBSTITUTE(SUBSTITUTE(SUBSTITUTE(SUBSTITUTE(SUBSTITUTE(SUBSTITUTE(SUBSTITUTE(SUBSTITUTE(SUBSTITUTE(SUBSTITUTE(SUBSTITUTE(TRIM($D381),"'",""),"İ","I"),"ı","I"),"i","I"),"Ş","S"),"ş","S"),"Ğ","G"),"ğ","G"),"Ü","U"),"ü","U"),"Ö","O"),"ö","O"),"Ç","C"),"ç","C"),".",""),",","")," ",""),"-","")))</f>
        <v/>
      </c>
      <c r="S381" s="3">
        <f>IF($D381="","",$C381&amp;"|"&amp;TEXT($E381,"0")&amp;"|"&amp;TEXT($F381,"0")&amp;"|"&amp;$I381)</f>
        <v/>
      </c>
      <c r="T381" s="3">
        <f>IF($E381="",0,SUMPRODUCT((AY_SONU!$O$7:$O$42="Evet")*(AY_SONU!$B$7:$B$42=DATE(YEAR($E381),MONTH($E381),1))))</f>
        <v/>
      </c>
    </row>
    <row r="382">
      <c r="A382" s="6" t="n"/>
      <c r="B382" s="113">
        <f>IF($D382="","","T"&amp;TEXT(ROW()-6,"00000"))</f>
        <v/>
      </c>
      <c r="C382" s="113">
        <f>IF($D382="","",IFERROR(INDEX(MUSTERILER!$B$7:$B$106,MATCH($R382,MUSTERILER!$T$7:$T$106,0)),IFERROR(INDEX(MUSTERILER!$B$7:$B$106,MATCH($D382,MUSTERILER!$B$7:$B$106,0)),IFERROR(INDEX(MUSTERILER!$B$7:$B$106,MATCH($R382&amp;"*",MUSTERILER!$T$7:$T$106,0)),"TANIMSIZ MÜŞTERİ"))))</f>
        <v/>
      </c>
      <c r="D382" s="109" t="inlineStr">
        <is>
          <t>Final Siyah Beyaz Ltd.Şti.</t>
        </is>
      </c>
      <c r="E382" s="220" t="n">
        <v>46194</v>
      </c>
      <c r="F382" s="221" t="n">
        <v>4000</v>
      </c>
      <c r="G382" s="108" t="inlineStr">
        <is>
          <t>MERKEZ KASA</t>
        </is>
      </c>
      <c r="H382" s="108" t="inlineStr">
        <is>
          <t>Nakit</t>
        </is>
      </c>
      <c r="I382" s="109" t="n"/>
      <c r="J382" s="109" t="inlineStr">
        <is>
          <t>NAKİT ÖDENEN</t>
        </is>
      </c>
      <c r="K382" s="109" t="n"/>
      <c r="L382" s="226">
        <f>IF($E382="","",DATE(YEAR($E382),MONTH($E382),1))</f>
        <v/>
      </c>
      <c r="M382" s="113">
        <f>IF($D382="","",IF($C382="TANIMSIZ MÜŞTERİ","HATA",IF(OR($E382="",$F382&lt;=0,$G382=""),"EKSİK",IF($E382&gt;TODAY(),"İLERİ TARİH",IF(COUNTIF($S$7:$S$1506,$S382)&gt;1,"MÜKERRER?",IF($T382&gt;0,"KAPALI DÖNEM","UYGUN"))))))</f>
        <v/>
      </c>
      <c r="N382" s="121">
        <f>IF($C382="","",IF($C382="TANIMSIZ MÜŞTERİ","—",INDEX(MUSTERILER!$C$7:$C$106,MATCH($C382,MUSTERILER!$B$7:$B$106,0))))</f>
        <v/>
      </c>
      <c r="O382" s="6" t="n"/>
      <c r="P382" s="6" t="n"/>
      <c r="Q382" s="3">
        <f>IF($D382="","",$C382&amp;"|"&amp;COUNTIFS($C$7:$C382,$C382))</f>
        <v/>
      </c>
      <c r="R382" s="3">
        <f>IF($D382="","",UPPER(SUBSTITUTE(SUBSTITUTE(SUBSTITUTE(SUBSTITUTE(SUBSTITUTE(SUBSTITUTE(SUBSTITUTE(SUBSTITUTE(SUBSTITUTE(SUBSTITUTE(SUBSTITUTE(SUBSTITUTE(SUBSTITUTE(SUBSTITUTE(SUBSTITUTE(SUBSTITUTE(SUBSTITUTE(SUBSTITUTE(TRIM($D382),"'",""),"İ","I"),"ı","I"),"i","I"),"Ş","S"),"ş","S"),"Ğ","G"),"ğ","G"),"Ü","U"),"ü","U"),"Ö","O"),"ö","O"),"Ç","C"),"ç","C"),".",""),",","")," ",""),"-","")))</f>
        <v/>
      </c>
      <c r="S382" s="3">
        <f>IF($D382="","",$C382&amp;"|"&amp;TEXT($E382,"0")&amp;"|"&amp;TEXT($F382,"0")&amp;"|"&amp;$I382)</f>
        <v/>
      </c>
      <c r="T382" s="3">
        <f>IF($E382="",0,SUMPRODUCT((AY_SONU!$O$7:$O$42="Evet")*(AY_SONU!$B$7:$B$42=DATE(YEAR($E382),MONTH($E382),1))))</f>
        <v/>
      </c>
    </row>
    <row r="383">
      <c r="A383" s="6" t="n"/>
      <c r="B383" s="113">
        <f>IF($D383="","","T"&amp;TEXT(ROW()-6,"00000"))</f>
        <v/>
      </c>
      <c r="C383" s="113">
        <f>IF($D383="","",IFERROR(INDEX(MUSTERILER!$B$7:$B$106,MATCH($R383,MUSTERILER!$T$7:$T$106,0)),IFERROR(INDEX(MUSTERILER!$B$7:$B$106,MATCH($D383,MUSTERILER!$B$7:$B$106,0)),IFERROR(INDEX(MUSTERILER!$B$7:$B$106,MATCH($R383&amp;"*",MUSTERILER!$T$7:$T$106,0)),"TANIMSIZ MÜŞTERİ"))))</f>
        <v/>
      </c>
      <c r="D383" s="109" t="inlineStr">
        <is>
          <t>İldeş Ltd.Şti.</t>
        </is>
      </c>
      <c r="E383" s="220" t="n">
        <v>46194</v>
      </c>
      <c r="F383" s="221" t="n">
        <v>5000</v>
      </c>
      <c r="G383" s="108" t="inlineStr">
        <is>
          <t>MERKEZ KASA</t>
        </is>
      </c>
      <c r="H383" s="108" t="inlineStr">
        <is>
          <t>Nakit</t>
        </is>
      </c>
      <c r="I383" s="109" t="n"/>
      <c r="J383" s="109" t="inlineStr">
        <is>
          <t>NAKİT ÖDENEN</t>
        </is>
      </c>
      <c r="K383" s="109" t="n"/>
      <c r="L383" s="226">
        <f>IF($E383="","",DATE(YEAR($E383),MONTH($E383),1))</f>
        <v/>
      </c>
      <c r="M383" s="113">
        <f>IF($D383="","",IF($C383="TANIMSIZ MÜŞTERİ","HATA",IF(OR($E383="",$F383&lt;=0,$G383=""),"EKSİK",IF($E383&gt;TODAY(),"İLERİ TARİH",IF(COUNTIF($S$7:$S$1506,$S383)&gt;1,"MÜKERRER?",IF($T383&gt;0,"KAPALI DÖNEM","UYGUN"))))))</f>
        <v/>
      </c>
      <c r="N383" s="121">
        <f>IF($C383="","",IF($C383="TANIMSIZ MÜŞTERİ","—",INDEX(MUSTERILER!$C$7:$C$106,MATCH($C383,MUSTERILER!$B$7:$B$106,0))))</f>
        <v/>
      </c>
      <c r="O383" s="6" t="n"/>
      <c r="P383" s="6" t="n"/>
      <c r="Q383" s="3">
        <f>IF($D383="","",$C383&amp;"|"&amp;COUNTIFS($C$7:$C383,$C383))</f>
        <v/>
      </c>
      <c r="R383" s="3">
        <f>IF($D383="","",UPPER(SUBSTITUTE(SUBSTITUTE(SUBSTITUTE(SUBSTITUTE(SUBSTITUTE(SUBSTITUTE(SUBSTITUTE(SUBSTITUTE(SUBSTITUTE(SUBSTITUTE(SUBSTITUTE(SUBSTITUTE(SUBSTITUTE(SUBSTITUTE(SUBSTITUTE(SUBSTITUTE(SUBSTITUTE(SUBSTITUTE(TRIM($D383),"'",""),"İ","I"),"ı","I"),"i","I"),"Ş","S"),"ş","S"),"Ğ","G"),"ğ","G"),"Ü","U"),"ü","U"),"Ö","O"),"ö","O"),"Ç","C"),"ç","C"),".",""),",","")," ",""),"-","")))</f>
        <v/>
      </c>
      <c r="S383" s="3">
        <f>IF($D383="","",$C383&amp;"|"&amp;TEXT($E383,"0")&amp;"|"&amp;TEXT($F383,"0")&amp;"|"&amp;$I383)</f>
        <v/>
      </c>
      <c r="T383" s="3">
        <f>IF($E383="",0,SUMPRODUCT((AY_SONU!$O$7:$O$42="Evet")*(AY_SONU!$B$7:$B$42=DATE(YEAR($E383),MONTH($E383),1))))</f>
        <v/>
      </c>
    </row>
    <row r="384">
      <c r="A384" s="6" t="n"/>
      <c r="B384" s="113">
        <f>IF($D384="","","T"&amp;TEXT(ROW()-6,"00000"))</f>
        <v/>
      </c>
      <c r="C384" s="113">
        <f>IF($D384="","",IFERROR(INDEX(MUSTERILER!$B$7:$B$106,MATCH($R384,MUSTERILER!$T$7:$T$106,0)),IFERROR(INDEX(MUSTERILER!$B$7:$B$106,MATCH($D384,MUSTERILER!$B$7:$B$106,0)),IFERROR(INDEX(MUSTERILER!$B$7:$B$106,MATCH($R384&amp;"*",MUSTERILER!$T$7:$T$106,0)),"TANIMSIZ MÜŞTERİ"))))</f>
        <v/>
      </c>
      <c r="D384" s="109" t="inlineStr">
        <is>
          <t>Monamour Ltd.Şti.</t>
        </is>
      </c>
      <c r="E384" s="220" t="n">
        <v>46194</v>
      </c>
      <c r="F384" s="221" t="n">
        <v>3500</v>
      </c>
      <c r="G384" s="108" t="inlineStr">
        <is>
          <t>ÖMER KARTAL</t>
        </is>
      </c>
      <c r="H384" s="108" t="inlineStr">
        <is>
          <t>Nakit</t>
        </is>
      </c>
      <c r="I384" s="109" t="n"/>
      <c r="J384" s="109" t="inlineStr">
        <is>
          <t>ÖMER KARTALA ÖDENEN</t>
        </is>
      </c>
      <c r="K384" s="109" t="n"/>
      <c r="L384" s="226">
        <f>IF($E384="","",DATE(YEAR($E384),MONTH($E384),1))</f>
        <v/>
      </c>
      <c r="M384" s="113">
        <f>IF($D384="","",IF($C384="TANIMSIZ MÜŞTERİ","HATA",IF(OR($E384="",$F384&lt;=0,$G384=""),"EKSİK",IF($E384&gt;TODAY(),"İLERİ TARİH",IF(COUNTIF($S$7:$S$1506,$S384)&gt;1,"MÜKERRER?",IF($T384&gt;0,"KAPALI DÖNEM","UYGUN"))))))</f>
        <v/>
      </c>
      <c r="N384" s="121">
        <f>IF($C384="","",IF($C384="TANIMSIZ MÜŞTERİ","—",INDEX(MUSTERILER!$C$7:$C$106,MATCH($C384,MUSTERILER!$B$7:$B$106,0))))</f>
        <v/>
      </c>
      <c r="O384" s="6" t="n"/>
      <c r="P384" s="6" t="n"/>
      <c r="Q384" s="3">
        <f>IF($D384="","",$C384&amp;"|"&amp;COUNTIFS($C$7:$C384,$C384))</f>
        <v/>
      </c>
      <c r="R384" s="3">
        <f>IF($D384="","",UPPER(SUBSTITUTE(SUBSTITUTE(SUBSTITUTE(SUBSTITUTE(SUBSTITUTE(SUBSTITUTE(SUBSTITUTE(SUBSTITUTE(SUBSTITUTE(SUBSTITUTE(SUBSTITUTE(SUBSTITUTE(SUBSTITUTE(SUBSTITUTE(SUBSTITUTE(SUBSTITUTE(SUBSTITUTE(SUBSTITUTE(TRIM($D384),"'",""),"İ","I"),"ı","I"),"i","I"),"Ş","S"),"ş","S"),"Ğ","G"),"ğ","G"),"Ü","U"),"ü","U"),"Ö","O"),"ö","O"),"Ç","C"),"ç","C"),".",""),",","")," ",""),"-","")))</f>
        <v/>
      </c>
      <c r="S384" s="3">
        <f>IF($D384="","",$C384&amp;"|"&amp;TEXT($E384,"0")&amp;"|"&amp;TEXT($F384,"0")&amp;"|"&amp;$I384)</f>
        <v/>
      </c>
      <c r="T384" s="3">
        <f>IF($E384="",0,SUMPRODUCT((AY_SONU!$O$7:$O$42="Evet")*(AY_SONU!$B$7:$B$42=DATE(YEAR($E384),MONTH($E384),1))))</f>
        <v/>
      </c>
    </row>
    <row r="385">
      <c r="A385" s="6" t="n"/>
      <c r="B385" s="113">
        <f>IF($D385="","","T"&amp;TEXT(ROW()-6,"00000"))</f>
        <v/>
      </c>
      <c r="C385" s="113">
        <f>IF($D385="","",IFERROR(INDEX(MUSTERILER!$B$7:$B$106,MATCH($R385,MUSTERILER!$T$7:$T$106,0)),IFERROR(INDEX(MUSTERILER!$B$7:$B$106,MATCH($D385,MUSTERILER!$B$7:$B$106,0)),IFERROR(INDEX(MUSTERILER!$B$7:$B$106,MATCH($R385&amp;"*",MUSTERILER!$T$7:$T$106,0)),"TANIMSIZ MÜŞTERİ"))))</f>
        <v/>
      </c>
      <c r="D385" s="109" t="inlineStr">
        <is>
          <t>Pakyıldız Ltd.Şti.</t>
        </is>
      </c>
      <c r="E385" s="220" t="n">
        <v>46194</v>
      </c>
      <c r="F385" s="221" t="n">
        <v>4000</v>
      </c>
      <c r="G385" s="108" t="inlineStr">
        <is>
          <t>ÖMER KARTAL</t>
        </is>
      </c>
      <c r="H385" s="108" t="inlineStr">
        <is>
          <t>Nakit</t>
        </is>
      </c>
      <c r="I385" s="109" t="n"/>
      <c r="J385" s="109" t="inlineStr">
        <is>
          <t>ÖMER KARTALA ÖDENEN</t>
        </is>
      </c>
      <c r="K385" s="109" t="n"/>
      <c r="L385" s="226">
        <f>IF($E385="","",DATE(YEAR($E385),MONTH($E385),1))</f>
        <v/>
      </c>
      <c r="M385" s="113">
        <f>IF($D385="","",IF($C385="TANIMSIZ MÜŞTERİ","HATA",IF(OR($E385="",$F385&lt;=0,$G385=""),"EKSİK",IF($E385&gt;TODAY(),"İLERİ TARİH",IF(COUNTIF($S$7:$S$1506,$S385)&gt;1,"MÜKERRER?",IF($T385&gt;0,"KAPALI DÖNEM","UYGUN"))))))</f>
        <v/>
      </c>
      <c r="N385" s="121">
        <f>IF($C385="","",IF($C385="TANIMSIZ MÜŞTERİ","—",INDEX(MUSTERILER!$C$7:$C$106,MATCH($C385,MUSTERILER!$B$7:$B$106,0))))</f>
        <v/>
      </c>
      <c r="O385" s="6" t="n"/>
      <c r="P385" s="6" t="n"/>
      <c r="Q385" s="3">
        <f>IF($D385="","",$C385&amp;"|"&amp;COUNTIFS($C$7:$C385,$C385))</f>
        <v/>
      </c>
      <c r="R385" s="3">
        <f>IF($D385="","",UPPER(SUBSTITUTE(SUBSTITUTE(SUBSTITUTE(SUBSTITUTE(SUBSTITUTE(SUBSTITUTE(SUBSTITUTE(SUBSTITUTE(SUBSTITUTE(SUBSTITUTE(SUBSTITUTE(SUBSTITUTE(SUBSTITUTE(SUBSTITUTE(SUBSTITUTE(SUBSTITUTE(SUBSTITUTE(SUBSTITUTE(TRIM($D385),"'",""),"İ","I"),"ı","I"),"i","I"),"Ş","S"),"ş","S"),"Ğ","G"),"ğ","G"),"Ü","U"),"ü","U"),"Ö","O"),"ö","O"),"Ç","C"),"ç","C"),".",""),",","")," ",""),"-","")))</f>
        <v/>
      </c>
      <c r="S385" s="3">
        <f>IF($D385="","",$C385&amp;"|"&amp;TEXT($E385,"0")&amp;"|"&amp;TEXT($F385,"0")&amp;"|"&amp;$I385)</f>
        <v/>
      </c>
      <c r="T385" s="3">
        <f>IF($E385="",0,SUMPRODUCT((AY_SONU!$O$7:$O$42="Evet")*(AY_SONU!$B$7:$B$42=DATE(YEAR($E385),MONTH($E385),1))))</f>
        <v/>
      </c>
    </row>
    <row r="386">
      <c r="A386" s="6" t="n"/>
      <c r="B386" s="113">
        <f>IF($D386="","","T"&amp;TEXT(ROW()-6,"00000"))</f>
        <v/>
      </c>
      <c r="C386" s="113">
        <f>IF($D386="","",IFERROR(INDEX(MUSTERILER!$B$7:$B$106,MATCH($R386,MUSTERILER!$T$7:$T$106,0)),IFERROR(INDEX(MUSTERILER!$B$7:$B$106,MATCH($D386,MUSTERILER!$B$7:$B$106,0)),IFERROR(INDEX(MUSTERILER!$B$7:$B$106,MATCH($R386&amp;"*",MUSTERILER!$T$7:$T$106,0)),"TANIMSIZ MÜŞTERİ"))))</f>
        <v/>
      </c>
      <c r="D386" s="109" t="inlineStr">
        <is>
          <t>Rix Şow Ltd.Şti.</t>
        </is>
      </c>
      <c r="E386" s="220" t="n">
        <v>46194</v>
      </c>
      <c r="F386" s="221" t="n">
        <v>3000</v>
      </c>
      <c r="G386" s="108" t="inlineStr">
        <is>
          <t>ÖMER KARTAL</t>
        </is>
      </c>
      <c r="H386" s="108" t="inlineStr">
        <is>
          <t>Nakit</t>
        </is>
      </c>
      <c r="I386" s="109" t="n"/>
      <c r="J386" s="109" t="inlineStr">
        <is>
          <t>ÖMER KARTALA ÖDENEN</t>
        </is>
      </c>
      <c r="K386" s="109" t="n"/>
      <c r="L386" s="226">
        <f>IF($E386="","",DATE(YEAR($E386),MONTH($E386),1))</f>
        <v/>
      </c>
      <c r="M386" s="113">
        <f>IF($D386="","",IF($C386="TANIMSIZ MÜŞTERİ","HATA",IF(OR($E386="",$F386&lt;=0,$G386=""),"EKSİK",IF($E386&gt;TODAY(),"İLERİ TARİH",IF(COUNTIF($S$7:$S$1506,$S386)&gt;1,"MÜKERRER?",IF($T386&gt;0,"KAPALI DÖNEM","UYGUN"))))))</f>
        <v/>
      </c>
      <c r="N386" s="121">
        <f>IF($C386="","",IF($C386="TANIMSIZ MÜŞTERİ","—",INDEX(MUSTERILER!$C$7:$C$106,MATCH($C386,MUSTERILER!$B$7:$B$106,0))))</f>
        <v/>
      </c>
      <c r="O386" s="6" t="n"/>
      <c r="P386" s="6" t="n"/>
      <c r="Q386" s="3">
        <f>IF($D386="","",$C386&amp;"|"&amp;COUNTIFS($C$7:$C386,$C386))</f>
        <v/>
      </c>
      <c r="R386" s="3">
        <f>IF($D386="","",UPPER(SUBSTITUTE(SUBSTITUTE(SUBSTITUTE(SUBSTITUTE(SUBSTITUTE(SUBSTITUTE(SUBSTITUTE(SUBSTITUTE(SUBSTITUTE(SUBSTITUTE(SUBSTITUTE(SUBSTITUTE(SUBSTITUTE(SUBSTITUTE(SUBSTITUTE(SUBSTITUTE(SUBSTITUTE(SUBSTITUTE(TRIM($D386),"'",""),"İ","I"),"ı","I"),"i","I"),"Ş","S"),"ş","S"),"Ğ","G"),"ğ","G"),"Ü","U"),"ü","U"),"Ö","O"),"ö","O"),"Ç","C"),"ç","C"),".",""),",","")," ",""),"-","")))</f>
        <v/>
      </c>
      <c r="S386" s="3">
        <f>IF($D386="","",$C386&amp;"|"&amp;TEXT($E386,"0")&amp;"|"&amp;TEXT($F386,"0")&amp;"|"&amp;$I386)</f>
        <v/>
      </c>
      <c r="T386" s="3">
        <f>IF($E386="",0,SUMPRODUCT((AY_SONU!$O$7:$O$42="Evet")*(AY_SONU!$B$7:$B$42=DATE(YEAR($E386),MONTH($E386),1))))</f>
        <v/>
      </c>
    </row>
    <row r="387">
      <c r="A387" s="6" t="n"/>
      <c r="B387" s="113">
        <f>IF($D387="","","T"&amp;TEXT(ROW()-6,"00000"))</f>
        <v/>
      </c>
      <c r="C387" s="113">
        <f>IF($D387="","",IFERROR(INDEX(MUSTERILER!$B$7:$B$106,MATCH($R387,MUSTERILER!$T$7:$T$106,0)),IFERROR(INDEX(MUSTERILER!$B$7:$B$106,MATCH($D387,MUSTERILER!$B$7:$B$106,0)),IFERROR(INDEX(MUSTERILER!$B$7:$B$106,MATCH($R387&amp;"*",MUSTERILER!$T$7:$T$106,0)),"TANIMSIZ MÜŞTERİ"))))</f>
        <v/>
      </c>
      <c r="D387" s="109" t="inlineStr">
        <is>
          <t>KRİSTAL LTD.ŞTİ.</t>
        </is>
      </c>
      <c r="E387" s="220" t="n">
        <v>46194</v>
      </c>
      <c r="F387" s="221" t="n">
        <v>3000</v>
      </c>
      <c r="G387" s="108" t="inlineStr">
        <is>
          <t>MERKEZ KASA</t>
        </is>
      </c>
      <c r="H387" s="108" t="inlineStr">
        <is>
          <t>Nakit</t>
        </is>
      </c>
      <c r="I387" s="109" t="n"/>
      <c r="J387" s="109" t="inlineStr">
        <is>
          <t>NAKİT ÖDENEN</t>
        </is>
      </c>
      <c r="K387" s="109" t="n"/>
      <c r="L387" s="226">
        <f>IF($E387="","",DATE(YEAR($E387),MONTH($E387),1))</f>
        <v/>
      </c>
      <c r="M387" s="113">
        <f>IF($D387="","",IF($C387="TANIMSIZ MÜŞTERİ","HATA",IF(OR($E387="",$F387&lt;=0,$G387=""),"EKSİK",IF($E387&gt;TODAY(),"İLERİ TARİH",IF(COUNTIF($S$7:$S$1506,$S387)&gt;1,"MÜKERRER?",IF($T387&gt;0,"KAPALI DÖNEM","UYGUN"))))))</f>
        <v/>
      </c>
      <c r="N387" s="121">
        <f>IF($C387="","",IF($C387="TANIMSIZ MÜŞTERİ","—",INDEX(MUSTERILER!$C$7:$C$106,MATCH($C387,MUSTERILER!$B$7:$B$106,0))))</f>
        <v/>
      </c>
      <c r="O387" s="6" t="n"/>
      <c r="P387" s="6" t="n"/>
      <c r="Q387" s="3">
        <f>IF($D387="","",$C387&amp;"|"&amp;COUNTIFS($C$7:$C387,$C387))</f>
        <v/>
      </c>
      <c r="R387" s="3">
        <f>IF($D387="","",UPPER(SUBSTITUTE(SUBSTITUTE(SUBSTITUTE(SUBSTITUTE(SUBSTITUTE(SUBSTITUTE(SUBSTITUTE(SUBSTITUTE(SUBSTITUTE(SUBSTITUTE(SUBSTITUTE(SUBSTITUTE(SUBSTITUTE(SUBSTITUTE(SUBSTITUTE(SUBSTITUTE(SUBSTITUTE(SUBSTITUTE(TRIM($D387),"'",""),"İ","I"),"ı","I"),"i","I"),"Ş","S"),"ş","S"),"Ğ","G"),"ğ","G"),"Ü","U"),"ü","U"),"Ö","O"),"ö","O"),"Ç","C"),"ç","C"),".",""),",","")," ",""),"-","")))</f>
        <v/>
      </c>
      <c r="S387" s="3">
        <f>IF($D387="","",$C387&amp;"|"&amp;TEXT($E387,"0")&amp;"|"&amp;TEXT($F387,"0")&amp;"|"&amp;$I387)</f>
        <v/>
      </c>
      <c r="T387" s="3">
        <f>IF($E387="",0,SUMPRODUCT((AY_SONU!$O$7:$O$42="Evet")*(AY_SONU!$B$7:$B$42=DATE(YEAR($E387),MONTH($E387),1))))</f>
        <v/>
      </c>
    </row>
    <row r="388">
      <c r="A388" s="6" t="n"/>
      <c r="B388" s="113">
        <f>IF($D388="","","T"&amp;TEXT(ROW()-6,"00000"))</f>
        <v/>
      </c>
      <c r="C388" s="113">
        <f>IF($D388="","",IFERROR(INDEX(MUSTERILER!$B$7:$B$106,MATCH($R388,MUSTERILER!$T$7:$T$106,0)),IFERROR(INDEX(MUSTERILER!$B$7:$B$106,MATCH($D388,MUSTERILER!$B$7:$B$106,0)),IFERROR(INDEX(MUSTERILER!$B$7:$B$106,MATCH($R388&amp;"*",MUSTERILER!$T$7:$T$106,0)),"TANIMSIZ MÜŞTERİ"))))</f>
        <v/>
      </c>
      <c r="D388" s="109" t="inlineStr">
        <is>
          <t>PALAOĞULLARI LTD.ŞTİ.</t>
        </is>
      </c>
      <c r="E388" s="220" t="n">
        <v>46194</v>
      </c>
      <c r="F388" s="221" t="n">
        <v>1000</v>
      </c>
      <c r="G388" s="108" t="inlineStr">
        <is>
          <t>MERKEZ KASA</t>
        </is>
      </c>
      <c r="H388" s="108" t="inlineStr">
        <is>
          <t>Nakit</t>
        </is>
      </c>
      <c r="I388" s="109" t="n"/>
      <c r="J388" s="109" t="inlineStr">
        <is>
          <t>NAKİT ÖDENEN</t>
        </is>
      </c>
      <c r="K388" s="109" t="n"/>
      <c r="L388" s="226">
        <f>IF($E388="","",DATE(YEAR($E388),MONTH($E388),1))</f>
        <v/>
      </c>
      <c r="M388" s="113">
        <f>IF($D388="","",IF($C388="TANIMSIZ MÜŞTERİ","HATA",IF(OR($E388="",$F388&lt;=0,$G388=""),"EKSİK",IF($E388&gt;TODAY(),"İLERİ TARİH",IF(COUNTIF($S$7:$S$1506,$S388)&gt;1,"MÜKERRER?",IF($T388&gt;0,"KAPALI DÖNEM","UYGUN"))))))</f>
        <v/>
      </c>
      <c r="N388" s="121">
        <f>IF($C388="","",IF($C388="TANIMSIZ MÜŞTERİ","—",INDEX(MUSTERILER!$C$7:$C$106,MATCH($C388,MUSTERILER!$B$7:$B$106,0))))</f>
        <v/>
      </c>
      <c r="O388" s="6" t="n"/>
      <c r="P388" s="6" t="n"/>
      <c r="Q388" s="3">
        <f>IF($D388="","",$C388&amp;"|"&amp;COUNTIFS($C$7:$C388,$C388))</f>
        <v/>
      </c>
      <c r="R388" s="3">
        <f>IF($D388="","",UPPER(SUBSTITUTE(SUBSTITUTE(SUBSTITUTE(SUBSTITUTE(SUBSTITUTE(SUBSTITUTE(SUBSTITUTE(SUBSTITUTE(SUBSTITUTE(SUBSTITUTE(SUBSTITUTE(SUBSTITUTE(SUBSTITUTE(SUBSTITUTE(SUBSTITUTE(SUBSTITUTE(SUBSTITUTE(SUBSTITUTE(TRIM($D388),"'",""),"İ","I"),"ı","I"),"i","I"),"Ş","S"),"ş","S"),"Ğ","G"),"ğ","G"),"Ü","U"),"ü","U"),"Ö","O"),"ö","O"),"Ç","C"),"ç","C"),".",""),",","")," ",""),"-","")))</f>
        <v/>
      </c>
      <c r="S388" s="3">
        <f>IF($D388="","",$C388&amp;"|"&amp;TEXT($E388,"0")&amp;"|"&amp;TEXT($F388,"0")&amp;"|"&amp;$I388)</f>
        <v/>
      </c>
      <c r="T388" s="3">
        <f>IF($E388="",0,SUMPRODUCT((AY_SONU!$O$7:$O$42="Evet")*(AY_SONU!$B$7:$B$42=DATE(YEAR($E388),MONTH($E388),1))))</f>
        <v/>
      </c>
    </row>
    <row r="389">
      <c r="A389" s="6" t="n"/>
      <c r="B389" s="113">
        <f>IF($D389="","","T"&amp;TEXT(ROW()-6,"00000"))</f>
        <v/>
      </c>
      <c r="C389" s="113">
        <f>IF($D389="","",IFERROR(INDEX(MUSTERILER!$B$7:$B$106,MATCH($R389,MUSTERILER!$T$7:$T$106,0)),IFERROR(INDEX(MUSTERILER!$B$7:$B$106,MATCH($D389,MUSTERILER!$B$7:$B$106,0)),IFERROR(INDEX(MUSTERILER!$B$7:$B$106,MATCH($R389&amp;"*",MUSTERILER!$T$7:$T$106,0)),"TANIMSIZ MÜŞTERİ"))))</f>
        <v/>
      </c>
      <c r="D389" s="109" t="inlineStr">
        <is>
          <t>PALAOĞULLARI LTD.ŞTİ.</t>
        </is>
      </c>
      <c r="E389" s="220" t="n">
        <v>46194</v>
      </c>
      <c r="F389" s="221" t="n">
        <v>5000</v>
      </c>
      <c r="G389" s="108" t="inlineStr">
        <is>
          <t>MERKEZ KASA</t>
        </is>
      </c>
      <c r="H389" s="108" t="inlineStr">
        <is>
          <t>Nakit</t>
        </is>
      </c>
      <c r="I389" s="109" t="n"/>
      <c r="J389" s="109" t="inlineStr">
        <is>
          <t>NAKİT ÖDENEN</t>
        </is>
      </c>
      <c r="K389" s="109" t="n"/>
      <c r="L389" s="226">
        <f>IF($E389="","",DATE(YEAR($E389),MONTH($E389),1))</f>
        <v/>
      </c>
      <c r="M389" s="113">
        <f>IF($D389="","",IF($C389="TANIMSIZ MÜŞTERİ","HATA",IF(OR($E389="",$F389&lt;=0,$G389=""),"EKSİK",IF($E389&gt;TODAY(),"İLERİ TARİH",IF(COUNTIF($S$7:$S$1506,$S389)&gt;1,"MÜKERRER?",IF($T389&gt;0,"KAPALI DÖNEM","UYGUN"))))))</f>
        <v/>
      </c>
      <c r="N389" s="121">
        <f>IF($C389="","",IF($C389="TANIMSIZ MÜŞTERİ","—",INDEX(MUSTERILER!$C$7:$C$106,MATCH($C389,MUSTERILER!$B$7:$B$106,0))))</f>
        <v/>
      </c>
      <c r="O389" s="6" t="n"/>
      <c r="P389" s="6" t="n"/>
      <c r="Q389" s="3">
        <f>IF($D389="","",$C389&amp;"|"&amp;COUNTIFS($C$7:$C389,$C389))</f>
        <v/>
      </c>
      <c r="R389" s="3">
        <f>IF($D389="","",UPPER(SUBSTITUTE(SUBSTITUTE(SUBSTITUTE(SUBSTITUTE(SUBSTITUTE(SUBSTITUTE(SUBSTITUTE(SUBSTITUTE(SUBSTITUTE(SUBSTITUTE(SUBSTITUTE(SUBSTITUTE(SUBSTITUTE(SUBSTITUTE(SUBSTITUTE(SUBSTITUTE(SUBSTITUTE(SUBSTITUTE(TRIM($D389),"'",""),"İ","I"),"ı","I"),"i","I"),"Ş","S"),"ş","S"),"Ğ","G"),"ğ","G"),"Ü","U"),"ü","U"),"Ö","O"),"ö","O"),"Ç","C"),"ç","C"),".",""),",","")," ",""),"-","")))</f>
        <v/>
      </c>
      <c r="S389" s="3">
        <f>IF($D389="","",$C389&amp;"|"&amp;TEXT($E389,"0")&amp;"|"&amp;TEXT($F389,"0")&amp;"|"&amp;$I389)</f>
        <v/>
      </c>
      <c r="T389" s="3">
        <f>IF($E389="",0,SUMPRODUCT((AY_SONU!$O$7:$O$42="Evet")*(AY_SONU!$B$7:$B$42=DATE(YEAR($E389),MONTH($E389),1))))</f>
        <v/>
      </c>
    </row>
    <row r="390">
      <c r="A390" s="6" t="n"/>
      <c r="B390" s="113">
        <f>IF($D390="","","T"&amp;TEXT(ROW()-6,"00000"))</f>
        <v/>
      </c>
      <c r="C390" s="113">
        <f>IF($D390="","",IFERROR(INDEX(MUSTERILER!$B$7:$B$106,MATCH($R390,MUSTERILER!$T$7:$T$106,0)),IFERROR(INDEX(MUSTERILER!$B$7:$B$106,MATCH($D390,MUSTERILER!$B$7:$B$106,0)),IFERROR(INDEX(MUSTERILER!$B$7:$B$106,MATCH($R390&amp;"*",MUSTERILER!$T$7:$T$106,0)),"TANIMSIZ MÜŞTERİ"))))</f>
        <v/>
      </c>
      <c r="D390" s="109" t="inlineStr">
        <is>
          <t>YALIKENT LTD.ŞTİ.</t>
        </is>
      </c>
      <c r="E390" s="220" t="n">
        <v>46194</v>
      </c>
      <c r="F390" s="221" t="n">
        <v>4000</v>
      </c>
      <c r="G390" s="108" t="inlineStr">
        <is>
          <t>MERKEZ KASA</t>
        </is>
      </c>
      <c r="H390" s="108" t="inlineStr">
        <is>
          <t>Nakit</t>
        </is>
      </c>
      <c r="I390" s="109" t="n"/>
      <c r="J390" s="109" t="inlineStr">
        <is>
          <t>NAKİT ÖDENEN</t>
        </is>
      </c>
      <c r="K390" s="109" t="n"/>
      <c r="L390" s="226">
        <f>IF($E390="","",DATE(YEAR($E390),MONTH($E390),1))</f>
        <v/>
      </c>
      <c r="M390" s="113">
        <f>IF($D390="","",IF($C390="TANIMSIZ MÜŞTERİ","HATA",IF(OR($E390="",$F390&lt;=0,$G390=""),"EKSİK",IF($E390&gt;TODAY(),"İLERİ TARİH",IF(COUNTIF($S$7:$S$1506,$S390)&gt;1,"MÜKERRER?",IF($T390&gt;0,"KAPALI DÖNEM","UYGUN"))))))</f>
        <v/>
      </c>
      <c r="N390" s="121">
        <f>IF($C390="","",IF($C390="TANIMSIZ MÜŞTERİ","—",INDEX(MUSTERILER!$C$7:$C$106,MATCH($C390,MUSTERILER!$B$7:$B$106,0))))</f>
        <v/>
      </c>
      <c r="O390" s="6" t="n"/>
      <c r="P390" s="6" t="n"/>
      <c r="Q390" s="3">
        <f>IF($D390="","",$C390&amp;"|"&amp;COUNTIFS($C$7:$C390,$C390))</f>
        <v/>
      </c>
      <c r="R390" s="3">
        <f>IF($D390="","",UPPER(SUBSTITUTE(SUBSTITUTE(SUBSTITUTE(SUBSTITUTE(SUBSTITUTE(SUBSTITUTE(SUBSTITUTE(SUBSTITUTE(SUBSTITUTE(SUBSTITUTE(SUBSTITUTE(SUBSTITUTE(SUBSTITUTE(SUBSTITUTE(SUBSTITUTE(SUBSTITUTE(SUBSTITUTE(SUBSTITUTE(TRIM($D390),"'",""),"İ","I"),"ı","I"),"i","I"),"Ş","S"),"ş","S"),"Ğ","G"),"ğ","G"),"Ü","U"),"ü","U"),"Ö","O"),"ö","O"),"Ç","C"),"ç","C"),".",""),",","")," ",""),"-","")))</f>
        <v/>
      </c>
      <c r="S390" s="3">
        <f>IF($D390="","",$C390&amp;"|"&amp;TEXT($E390,"0")&amp;"|"&amp;TEXT($F390,"0")&amp;"|"&amp;$I390)</f>
        <v/>
      </c>
      <c r="T390" s="3">
        <f>IF($E390="",0,SUMPRODUCT((AY_SONU!$O$7:$O$42="Evet")*(AY_SONU!$B$7:$B$42=DATE(YEAR($E390),MONTH($E390),1))))</f>
        <v/>
      </c>
    </row>
    <row r="391">
      <c r="A391" s="6" t="n"/>
      <c r="B391" s="113">
        <f>IF($D391="","","T"&amp;TEXT(ROW()-6,"00000"))</f>
        <v/>
      </c>
      <c r="C391" s="113">
        <f>IF($D391="","",IFERROR(INDEX(MUSTERILER!$B$7:$B$106,MATCH($R391,MUSTERILER!$T$7:$T$106,0)),IFERROR(INDEX(MUSTERILER!$B$7:$B$106,MATCH($D391,MUSTERILER!$B$7:$B$106,0)),IFERROR(INDEX(MUSTERILER!$B$7:$B$106,MATCH($R391&amp;"*",MUSTERILER!$T$7:$T$106,0)),"TANIMSIZ MÜŞTERİ"))))</f>
        <v/>
      </c>
      <c r="D391" s="109" t="inlineStr">
        <is>
          <t>MEHMET EVREN KILINÇ</t>
        </is>
      </c>
      <c r="E391" s="220" t="n">
        <v>46195</v>
      </c>
      <c r="F391" s="221" t="n">
        <v>2000</v>
      </c>
      <c r="G391" s="108" t="inlineStr">
        <is>
          <t>MERKEZ KASA</t>
        </is>
      </c>
      <c r="H391" s="108" t="inlineStr">
        <is>
          <t>Nakit</t>
        </is>
      </c>
      <c r="I391" s="109" t="n"/>
      <c r="J391" s="109" t="inlineStr">
        <is>
          <t>NAKİT ÖDENEN</t>
        </is>
      </c>
      <c r="K391" s="109" t="n"/>
      <c r="L391" s="226">
        <f>IF($E391="","",DATE(YEAR($E391),MONTH($E391),1))</f>
        <v/>
      </c>
      <c r="M391" s="113">
        <f>IF($D391="","",IF($C391="TANIMSIZ MÜŞTERİ","HATA",IF(OR($E391="",$F391&lt;=0,$G391=""),"EKSİK",IF($E391&gt;TODAY(),"İLERİ TARİH",IF(COUNTIF($S$7:$S$1506,$S391)&gt;1,"MÜKERRER?",IF($T391&gt;0,"KAPALI DÖNEM","UYGUN"))))))</f>
        <v/>
      </c>
      <c r="N391" s="121">
        <f>IF($C391="","",IF($C391="TANIMSIZ MÜŞTERİ","—",INDEX(MUSTERILER!$C$7:$C$106,MATCH($C391,MUSTERILER!$B$7:$B$106,0))))</f>
        <v/>
      </c>
      <c r="O391" s="6" t="n"/>
      <c r="P391" s="6" t="n"/>
      <c r="Q391" s="3">
        <f>IF($D391="","",$C391&amp;"|"&amp;COUNTIFS($C$7:$C391,$C391))</f>
        <v/>
      </c>
      <c r="R391" s="3">
        <f>IF($D391="","",UPPER(SUBSTITUTE(SUBSTITUTE(SUBSTITUTE(SUBSTITUTE(SUBSTITUTE(SUBSTITUTE(SUBSTITUTE(SUBSTITUTE(SUBSTITUTE(SUBSTITUTE(SUBSTITUTE(SUBSTITUTE(SUBSTITUTE(SUBSTITUTE(SUBSTITUTE(SUBSTITUTE(SUBSTITUTE(SUBSTITUTE(TRIM($D391),"'",""),"İ","I"),"ı","I"),"i","I"),"Ş","S"),"ş","S"),"Ğ","G"),"ğ","G"),"Ü","U"),"ü","U"),"Ö","O"),"ö","O"),"Ç","C"),"ç","C"),".",""),",","")," ",""),"-","")))</f>
        <v/>
      </c>
      <c r="S391" s="3">
        <f>IF($D391="","",$C391&amp;"|"&amp;TEXT($E391,"0")&amp;"|"&amp;TEXT($F391,"0")&amp;"|"&amp;$I391)</f>
        <v/>
      </c>
      <c r="T391" s="3">
        <f>IF($E391="",0,SUMPRODUCT((AY_SONU!$O$7:$O$42="Evet")*(AY_SONU!$B$7:$B$42=DATE(YEAR($E391),MONTH($E391),1))))</f>
        <v/>
      </c>
    </row>
    <row r="392">
      <c r="A392" s="6" t="n"/>
      <c r="B392" s="113">
        <f>IF($D392="","","T"&amp;TEXT(ROW()-6,"00000"))</f>
        <v/>
      </c>
      <c r="C392" s="113">
        <f>IF($D392="","",IFERROR(INDEX(MUSTERILER!$B$7:$B$106,MATCH($R392,MUSTERILER!$T$7:$T$106,0)),IFERROR(INDEX(MUSTERILER!$B$7:$B$106,MATCH($D392,MUSTERILER!$B$7:$B$106,0)),IFERROR(INDEX(MUSTERILER!$B$7:$B$106,MATCH($R392&amp;"*",MUSTERILER!$T$7:$T$106,0)),"TANIMSIZ MÜŞTERİ"))))</f>
        <v/>
      </c>
      <c r="D392" s="109" t="inlineStr">
        <is>
          <t>FARUK DEMİRCİ</t>
        </is>
      </c>
      <c r="E392" s="220" t="n">
        <v>46196</v>
      </c>
      <c r="F392" s="221" t="n">
        <v>2000</v>
      </c>
      <c r="G392" s="108" t="inlineStr">
        <is>
          <t>MERKEZ KASA</t>
        </is>
      </c>
      <c r="H392" s="108" t="inlineStr">
        <is>
          <t>Nakit</t>
        </is>
      </c>
      <c r="I392" s="109" t="n"/>
      <c r="J392" s="109" t="inlineStr">
        <is>
          <t>NAKİT ÖDENEN</t>
        </is>
      </c>
      <c r="K392" s="109" t="n"/>
      <c r="L392" s="226">
        <f>IF($E392="","",DATE(YEAR($E392),MONTH($E392),1))</f>
        <v/>
      </c>
      <c r="M392" s="113">
        <f>IF($D392="","",IF($C392="TANIMSIZ MÜŞTERİ","HATA",IF(OR($E392="",$F392&lt;=0,$G392=""),"EKSİK",IF($E392&gt;TODAY(),"İLERİ TARİH",IF(COUNTIF($S$7:$S$1506,$S392)&gt;1,"MÜKERRER?",IF($T392&gt;0,"KAPALI DÖNEM","UYGUN"))))))</f>
        <v/>
      </c>
      <c r="N392" s="121">
        <f>IF($C392="","",IF($C392="TANIMSIZ MÜŞTERİ","—",INDEX(MUSTERILER!$C$7:$C$106,MATCH($C392,MUSTERILER!$B$7:$B$106,0))))</f>
        <v/>
      </c>
      <c r="O392" s="6" t="n"/>
      <c r="P392" s="6" t="n"/>
      <c r="Q392" s="3">
        <f>IF($D392="","",$C392&amp;"|"&amp;COUNTIFS($C$7:$C392,$C392))</f>
        <v/>
      </c>
      <c r="R392" s="3">
        <f>IF($D392="","",UPPER(SUBSTITUTE(SUBSTITUTE(SUBSTITUTE(SUBSTITUTE(SUBSTITUTE(SUBSTITUTE(SUBSTITUTE(SUBSTITUTE(SUBSTITUTE(SUBSTITUTE(SUBSTITUTE(SUBSTITUTE(SUBSTITUTE(SUBSTITUTE(SUBSTITUTE(SUBSTITUTE(SUBSTITUTE(SUBSTITUTE(TRIM($D392),"'",""),"İ","I"),"ı","I"),"i","I"),"Ş","S"),"ş","S"),"Ğ","G"),"ğ","G"),"Ü","U"),"ü","U"),"Ö","O"),"ö","O"),"Ç","C"),"ç","C"),".",""),",","")," ",""),"-","")))</f>
        <v/>
      </c>
      <c r="S392" s="3">
        <f>IF($D392="","",$C392&amp;"|"&amp;TEXT($E392,"0")&amp;"|"&amp;TEXT($F392,"0")&amp;"|"&amp;$I392)</f>
        <v/>
      </c>
      <c r="T392" s="3">
        <f>IF($E392="",0,SUMPRODUCT((AY_SONU!$O$7:$O$42="Evet")*(AY_SONU!$B$7:$B$42=DATE(YEAR($E392),MONTH($E392),1))))</f>
        <v/>
      </c>
    </row>
    <row r="393">
      <c r="A393" s="6" t="n"/>
      <c r="B393" s="113">
        <f>IF($D393="","","T"&amp;TEXT(ROW()-6,"00000"))</f>
        <v/>
      </c>
      <c r="C393" s="113">
        <f>IF($D393="","",IFERROR(INDEX(MUSTERILER!$B$7:$B$106,MATCH($R393,MUSTERILER!$T$7:$T$106,0)),IFERROR(INDEX(MUSTERILER!$B$7:$B$106,MATCH($D393,MUSTERILER!$B$7:$B$106,0)),IFERROR(INDEX(MUSTERILER!$B$7:$B$106,MATCH($R393&amp;"*",MUSTERILER!$T$7:$T$106,0)),"TANIMSIZ MÜŞTERİ"))))</f>
        <v/>
      </c>
      <c r="D393" s="109" t="inlineStr">
        <is>
          <t>PALAOĞULLARI LTD.ŞTİ.</t>
        </is>
      </c>
      <c r="E393" s="220" t="n">
        <v>46196</v>
      </c>
      <c r="F393" s="221" t="n">
        <v>23600</v>
      </c>
      <c r="G393" s="108" t="inlineStr">
        <is>
          <t>MERKEZ KASA</t>
        </is>
      </c>
      <c r="H393" s="108" t="inlineStr">
        <is>
          <t>Nakit</t>
        </is>
      </c>
      <c r="I393" s="109" t="n"/>
      <c r="J393" s="109" t="inlineStr">
        <is>
          <t>GRAND 06 HASAN &amp; ÖMER BAKİYE</t>
        </is>
      </c>
      <c r="K393" s="109" t="n"/>
      <c r="L393" s="226">
        <f>IF($E393="","",DATE(YEAR($E393),MONTH($E393),1))</f>
        <v/>
      </c>
      <c r="M393" s="113">
        <f>IF($D393="","",IF($C393="TANIMSIZ MÜŞTERİ","HATA",IF(OR($E393="",$F393&lt;=0,$G393=""),"EKSİK",IF($E393&gt;TODAY(),"İLERİ TARİH",IF(COUNTIF($S$7:$S$1506,$S393)&gt;1,"MÜKERRER?",IF($T393&gt;0,"KAPALI DÖNEM","UYGUN"))))))</f>
        <v/>
      </c>
      <c r="N393" s="121">
        <f>IF($C393="","",IF($C393="TANIMSIZ MÜŞTERİ","—",INDEX(MUSTERILER!$C$7:$C$106,MATCH($C393,MUSTERILER!$B$7:$B$106,0))))</f>
        <v/>
      </c>
      <c r="O393" s="6" t="n"/>
      <c r="P393" s="6" t="n"/>
      <c r="Q393" s="3">
        <f>IF($D393="","",$C393&amp;"|"&amp;COUNTIFS($C$7:$C393,$C393))</f>
        <v/>
      </c>
      <c r="R393" s="3">
        <f>IF($D393="","",UPPER(SUBSTITUTE(SUBSTITUTE(SUBSTITUTE(SUBSTITUTE(SUBSTITUTE(SUBSTITUTE(SUBSTITUTE(SUBSTITUTE(SUBSTITUTE(SUBSTITUTE(SUBSTITUTE(SUBSTITUTE(SUBSTITUTE(SUBSTITUTE(SUBSTITUTE(SUBSTITUTE(SUBSTITUTE(SUBSTITUTE(TRIM($D393),"'",""),"İ","I"),"ı","I"),"i","I"),"Ş","S"),"ş","S"),"Ğ","G"),"ğ","G"),"Ü","U"),"ü","U"),"Ö","O"),"ö","O"),"Ç","C"),"ç","C"),".",""),",","")," ",""),"-","")))</f>
        <v/>
      </c>
      <c r="S393" s="3">
        <f>IF($D393="","",$C393&amp;"|"&amp;TEXT($E393,"0")&amp;"|"&amp;TEXT($F393,"0")&amp;"|"&amp;$I393)</f>
        <v/>
      </c>
      <c r="T393" s="3">
        <f>IF($E393="",0,SUMPRODUCT((AY_SONU!$O$7:$O$42="Evet")*(AY_SONU!$B$7:$B$42=DATE(YEAR($E393),MONTH($E393),1))))</f>
        <v/>
      </c>
    </row>
    <row r="394">
      <c r="A394" s="6" t="n"/>
      <c r="B394" s="113">
        <f>IF($D394="","","T"&amp;TEXT(ROW()-6,"00000"))</f>
        <v/>
      </c>
      <c r="C394" s="113">
        <f>IF($D394="","",IFERROR(INDEX(MUSTERILER!$B$7:$B$106,MATCH($R394,MUSTERILER!$T$7:$T$106,0)),IFERROR(INDEX(MUSTERILER!$B$7:$B$106,MATCH($D394,MUSTERILER!$B$7:$B$106,0)),IFERROR(INDEX(MUSTERILER!$B$7:$B$106,MATCH($R394&amp;"*",MUSTERILER!$T$7:$T$106,0)),"TANIMSIZ MÜŞTERİ"))))</f>
        <v/>
      </c>
      <c r="D394" s="109" t="inlineStr">
        <is>
          <t>YEDİYİRMİDÖRT LTD.ŞTİ.</t>
        </is>
      </c>
      <c r="E394" s="220" t="n">
        <v>46197</v>
      </c>
      <c r="F394" s="221" t="n">
        <v>20000</v>
      </c>
      <c r="G394" s="108" t="inlineStr">
        <is>
          <t>MERKEZ KASA</t>
        </is>
      </c>
      <c r="H394" s="108" t="inlineStr">
        <is>
          <t>Nakit</t>
        </is>
      </c>
      <c r="I394" s="109" t="n"/>
      <c r="J394" s="109" t="inlineStr">
        <is>
          <t>NAKİT ÖDENEN</t>
        </is>
      </c>
      <c r="K394" s="109" t="n"/>
      <c r="L394" s="226">
        <f>IF($E394="","",DATE(YEAR($E394),MONTH($E394),1))</f>
        <v/>
      </c>
      <c r="M394" s="113">
        <f>IF($D394="","",IF($C394="TANIMSIZ MÜŞTERİ","HATA",IF(OR($E394="",$F394&lt;=0,$G394=""),"EKSİK",IF($E394&gt;TODAY(),"İLERİ TARİH",IF(COUNTIF($S$7:$S$1506,$S394)&gt;1,"MÜKERRER?",IF($T394&gt;0,"KAPALI DÖNEM","UYGUN"))))))</f>
        <v/>
      </c>
      <c r="N394" s="121">
        <f>IF($C394="","",IF($C394="TANIMSIZ MÜŞTERİ","—",INDEX(MUSTERILER!$C$7:$C$106,MATCH($C394,MUSTERILER!$B$7:$B$106,0))))</f>
        <v/>
      </c>
      <c r="O394" s="6" t="n"/>
      <c r="P394" s="6" t="n"/>
      <c r="Q394" s="3">
        <f>IF($D394="","",$C394&amp;"|"&amp;COUNTIFS($C$7:$C394,$C394))</f>
        <v/>
      </c>
      <c r="R394" s="3">
        <f>IF($D394="","",UPPER(SUBSTITUTE(SUBSTITUTE(SUBSTITUTE(SUBSTITUTE(SUBSTITUTE(SUBSTITUTE(SUBSTITUTE(SUBSTITUTE(SUBSTITUTE(SUBSTITUTE(SUBSTITUTE(SUBSTITUTE(SUBSTITUTE(SUBSTITUTE(SUBSTITUTE(SUBSTITUTE(SUBSTITUTE(SUBSTITUTE(TRIM($D394),"'",""),"İ","I"),"ı","I"),"i","I"),"Ş","S"),"ş","S"),"Ğ","G"),"ğ","G"),"Ü","U"),"ü","U"),"Ö","O"),"ö","O"),"Ç","C"),"ç","C"),".",""),",","")," ",""),"-","")))</f>
        <v/>
      </c>
      <c r="S394" s="3">
        <f>IF($D394="","",$C394&amp;"|"&amp;TEXT($E394,"0")&amp;"|"&amp;TEXT($F394,"0")&amp;"|"&amp;$I394)</f>
        <v/>
      </c>
      <c r="T394" s="3">
        <f>IF($E394="",0,SUMPRODUCT((AY_SONU!$O$7:$O$42="Evet")*(AY_SONU!$B$7:$B$42=DATE(YEAR($E394),MONTH($E394),1))))</f>
        <v/>
      </c>
    </row>
    <row r="395">
      <c r="A395" s="6" t="n"/>
      <c r="B395" s="113">
        <f>IF($D395="","","T"&amp;TEXT(ROW()-6,"00000"))</f>
        <v/>
      </c>
      <c r="C395" s="113">
        <f>IF($D395="","",IFERROR(INDEX(MUSTERILER!$B$7:$B$106,MATCH($R395,MUSTERILER!$T$7:$T$106,0)),IFERROR(INDEX(MUSTERILER!$B$7:$B$106,MATCH($D395,MUSTERILER!$B$7:$B$106,0)),IFERROR(INDEX(MUSTERILER!$B$7:$B$106,MATCH($R395&amp;"*",MUSTERILER!$T$7:$T$106,0)),"TANIMSIZ MÜŞTERİ"))))</f>
        <v/>
      </c>
      <c r="D395" s="109" t="inlineStr">
        <is>
          <t>MESUT KÖKLÜ</t>
        </is>
      </c>
      <c r="E395" s="220" t="n">
        <v>46198</v>
      </c>
      <c r="F395" s="221" t="n">
        <v>5000</v>
      </c>
      <c r="G395" s="108" t="inlineStr">
        <is>
          <t>MERKEZ KASA</t>
        </is>
      </c>
      <c r="H395" s="108" t="inlineStr">
        <is>
          <t>Nakit</t>
        </is>
      </c>
      <c r="I395" s="109" t="n"/>
      <c r="J395" s="109" t="inlineStr">
        <is>
          <t>NAKİT ÖDENEN</t>
        </is>
      </c>
      <c r="K395" s="109" t="n"/>
      <c r="L395" s="226">
        <f>IF($E395="","",DATE(YEAR($E395),MONTH($E395),1))</f>
        <v/>
      </c>
      <c r="M395" s="113">
        <f>IF($D395="","",IF($C395="TANIMSIZ MÜŞTERİ","HATA",IF(OR($E395="",$F395&lt;=0,$G395=""),"EKSİK",IF($E395&gt;TODAY(),"İLERİ TARİH",IF(COUNTIF($S$7:$S$1506,$S395)&gt;1,"MÜKERRER?",IF($T395&gt;0,"KAPALI DÖNEM","UYGUN"))))))</f>
        <v/>
      </c>
      <c r="N395" s="121">
        <f>IF($C395="","",IF($C395="TANIMSIZ MÜŞTERİ","—",INDEX(MUSTERILER!$C$7:$C$106,MATCH($C395,MUSTERILER!$B$7:$B$106,0))))</f>
        <v/>
      </c>
      <c r="O395" s="6" t="n"/>
      <c r="P395" s="6" t="n"/>
      <c r="Q395" s="3">
        <f>IF($D395="","",$C395&amp;"|"&amp;COUNTIFS($C$7:$C395,$C395))</f>
        <v/>
      </c>
      <c r="R395" s="3">
        <f>IF($D395="","",UPPER(SUBSTITUTE(SUBSTITUTE(SUBSTITUTE(SUBSTITUTE(SUBSTITUTE(SUBSTITUTE(SUBSTITUTE(SUBSTITUTE(SUBSTITUTE(SUBSTITUTE(SUBSTITUTE(SUBSTITUTE(SUBSTITUTE(SUBSTITUTE(SUBSTITUTE(SUBSTITUTE(SUBSTITUTE(SUBSTITUTE(TRIM($D395),"'",""),"İ","I"),"ı","I"),"i","I"),"Ş","S"),"ş","S"),"Ğ","G"),"ğ","G"),"Ü","U"),"ü","U"),"Ö","O"),"ö","O"),"Ç","C"),"ç","C"),".",""),",","")," ",""),"-","")))</f>
        <v/>
      </c>
      <c r="S395" s="3">
        <f>IF($D395="","",$C395&amp;"|"&amp;TEXT($E395,"0")&amp;"|"&amp;TEXT($F395,"0")&amp;"|"&amp;$I395)</f>
        <v/>
      </c>
      <c r="T395" s="3">
        <f>IF($E395="",0,SUMPRODUCT((AY_SONU!$O$7:$O$42="Evet")*(AY_SONU!$B$7:$B$42=DATE(YEAR($E395),MONTH($E395),1))))</f>
        <v/>
      </c>
    </row>
    <row r="396">
      <c r="A396" s="6" t="n"/>
      <c r="B396" s="113">
        <f>IF($D396="","","T"&amp;TEXT(ROW()-6,"00000"))</f>
        <v/>
      </c>
      <c r="C396" s="113">
        <f>IF($D396="","",IFERROR(INDEX(MUSTERILER!$B$7:$B$106,MATCH($R396,MUSTERILER!$T$7:$T$106,0)),IFERROR(INDEX(MUSTERILER!$B$7:$B$106,MATCH($D396,MUSTERILER!$B$7:$B$106,0)),IFERROR(INDEX(MUSTERILER!$B$7:$B$106,MATCH($R396&amp;"*",MUSTERILER!$T$7:$T$106,0)),"TANIMSIZ MÜŞTERİ"))))</f>
        <v/>
      </c>
      <c r="D396" s="109" t="inlineStr">
        <is>
          <t>Ankara Havana Ltd.Şti.</t>
        </is>
      </c>
      <c r="E396" s="220" t="n">
        <v>46200</v>
      </c>
      <c r="F396" s="221" t="n">
        <v>4000</v>
      </c>
      <c r="G396" s="108" t="inlineStr">
        <is>
          <t>MERKEZ KASA</t>
        </is>
      </c>
      <c r="H396" s="108" t="inlineStr">
        <is>
          <t>Nakit</t>
        </is>
      </c>
      <c r="I396" s="109" t="n"/>
      <c r="J396" s="109" t="inlineStr">
        <is>
          <t>NAKİT ÖDENEN</t>
        </is>
      </c>
      <c r="K396" s="109" t="n"/>
      <c r="L396" s="226">
        <f>IF($E396="","",DATE(YEAR($E396),MONTH($E396),1))</f>
        <v/>
      </c>
      <c r="M396" s="113">
        <f>IF($D396="","",IF($C396="TANIMSIZ MÜŞTERİ","HATA",IF(OR($E396="",$F396&lt;=0,$G396=""),"EKSİK",IF($E396&gt;TODAY(),"İLERİ TARİH",IF(COUNTIF($S$7:$S$1506,$S396)&gt;1,"MÜKERRER?",IF($T396&gt;0,"KAPALI DÖNEM","UYGUN"))))))</f>
        <v/>
      </c>
      <c r="N396" s="121">
        <f>IF($C396="","",IF($C396="TANIMSIZ MÜŞTERİ","—",INDEX(MUSTERILER!$C$7:$C$106,MATCH($C396,MUSTERILER!$B$7:$B$106,0))))</f>
        <v/>
      </c>
      <c r="O396" s="6" t="n"/>
      <c r="P396" s="6" t="n"/>
      <c r="Q396" s="3">
        <f>IF($D396="","",$C396&amp;"|"&amp;COUNTIFS($C$7:$C396,$C396))</f>
        <v/>
      </c>
      <c r="R396" s="3">
        <f>IF($D396="","",UPPER(SUBSTITUTE(SUBSTITUTE(SUBSTITUTE(SUBSTITUTE(SUBSTITUTE(SUBSTITUTE(SUBSTITUTE(SUBSTITUTE(SUBSTITUTE(SUBSTITUTE(SUBSTITUTE(SUBSTITUTE(SUBSTITUTE(SUBSTITUTE(SUBSTITUTE(SUBSTITUTE(SUBSTITUTE(SUBSTITUTE(TRIM($D396),"'",""),"İ","I"),"ı","I"),"i","I"),"Ş","S"),"ş","S"),"Ğ","G"),"ğ","G"),"Ü","U"),"ü","U"),"Ö","O"),"ö","O"),"Ç","C"),"ç","C"),".",""),",","")," ",""),"-","")))</f>
        <v/>
      </c>
      <c r="S396" s="3">
        <f>IF($D396="","",$C396&amp;"|"&amp;TEXT($E396,"0")&amp;"|"&amp;TEXT($F396,"0")&amp;"|"&amp;$I396)</f>
        <v/>
      </c>
      <c r="T396" s="3">
        <f>IF($E396="",0,SUMPRODUCT((AY_SONU!$O$7:$O$42="Evet")*(AY_SONU!$B$7:$B$42=DATE(YEAR($E396),MONTH($E396),1))))</f>
        <v/>
      </c>
    </row>
    <row r="397">
      <c r="A397" s="6" t="n"/>
      <c r="B397" s="113">
        <f>IF($D397="","","T"&amp;TEXT(ROW()-6,"00000"))</f>
        <v/>
      </c>
      <c r="C397" s="113">
        <f>IF($D397="","",IFERROR(INDEX(MUSTERILER!$B$7:$B$106,MATCH($R397,MUSTERILER!$T$7:$T$106,0)),IFERROR(INDEX(MUSTERILER!$B$7:$B$106,MATCH($D397,MUSTERILER!$B$7:$B$106,0)),IFERROR(INDEX(MUSTERILER!$B$7:$B$106,MATCH($R397&amp;"*",MUSTERILER!$T$7:$T$106,0)),"TANIMSIZ MÜŞTERİ"))))</f>
        <v/>
      </c>
      <c r="D397" s="109" t="inlineStr">
        <is>
          <t>ASIM AÇIKGÖZ</t>
        </is>
      </c>
      <c r="E397" s="220" t="n">
        <v>46200</v>
      </c>
      <c r="F397" s="221" t="n">
        <v>2000</v>
      </c>
      <c r="G397" s="108" t="inlineStr">
        <is>
          <t>MERKEZ KASA</t>
        </is>
      </c>
      <c r="H397" s="108" t="inlineStr">
        <is>
          <t>Nakit</t>
        </is>
      </c>
      <c r="I397" s="109" t="n"/>
      <c r="J397" s="109" t="inlineStr">
        <is>
          <t>NAKİT ÖDENEN</t>
        </is>
      </c>
      <c r="K397" s="109" t="n"/>
      <c r="L397" s="226">
        <f>IF($E397="","",DATE(YEAR($E397),MONTH($E397),1))</f>
        <v/>
      </c>
      <c r="M397" s="113">
        <f>IF($D397="","",IF($C397="TANIMSIZ MÜŞTERİ","HATA",IF(OR($E397="",$F397&lt;=0,$G397=""),"EKSİK",IF($E397&gt;TODAY(),"İLERİ TARİH",IF(COUNTIF($S$7:$S$1506,$S397)&gt;1,"MÜKERRER?",IF($T397&gt;0,"KAPALI DÖNEM","UYGUN"))))))</f>
        <v/>
      </c>
      <c r="N397" s="121">
        <f>IF($C397="","",IF($C397="TANIMSIZ MÜŞTERİ","—",INDEX(MUSTERILER!$C$7:$C$106,MATCH($C397,MUSTERILER!$B$7:$B$106,0))))</f>
        <v/>
      </c>
      <c r="O397" s="6" t="n"/>
      <c r="P397" s="6" t="n"/>
      <c r="Q397" s="3">
        <f>IF($D397="","",$C397&amp;"|"&amp;COUNTIFS($C$7:$C397,$C397))</f>
        <v/>
      </c>
      <c r="R397" s="3">
        <f>IF($D397="","",UPPER(SUBSTITUTE(SUBSTITUTE(SUBSTITUTE(SUBSTITUTE(SUBSTITUTE(SUBSTITUTE(SUBSTITUTE(SUBSTITUTE(SUBSTITUTE(SUBSTITUTE(SUBSTITUTE(SUBSTITUTE(SUBSTITUTE(SUBSTITUTE(SUBSTITUTE(SUBSTITUTE(SUBSTITUTE(SUBSTITUTE(TRIM($D397),"'",""),"İ","I"),"ı","I"),"i","I"),"Ş","S"),"ş","S"),"Ğ","G"),"ğ","G"),"Ü","U"),"ü","U"),"Ö","O"),"ö","O"),"Ç","C"),"ç","C"),".",""),",","")," ",""),"-","")))</f>
        <v/>
      </c>
      <c r="S397" s="3">
        <f>IF($D397="","",$C397&amp;"|"&amp;TEXT($E397,"0")&amp;"|"&amp;TEXT($F397,"0")&amp;"|"&amp;$I397)</f>
        <v/>
      </c>
      <c r="T397" s="3">
        <f>IF($E397="",0,SUMPRODUCT((AY_SONU!$O$7:$O$42="Evet")*(AY_SONU!$B$7:$B$42=DATE(YEAR($E397),MONTH($E397),1))))</f>
        <v/>
      </c>
    </row>
    <row r="398">
      <c r="A398" s="6" t="n"/>
      <c r="B398" s="113">
        <f>IF($D398="","","T"&amp;TEXT(ROW()-6,"00000"))</f>
        <v/>
      </c>
      <c r="C398" s="113">
        <f>IF($D398="","",IFERROR(INDEX(MUSTERILER!$B$7:$B$106,MATCH($R398,MUSTERILER!$T$7:$T$106,0)),IFERROR(INDEX(MUSTERILER!$B$7:$B$106,MATCH($D398,MUSTERILER!$B$7:$B$106,0)),IFERROR(INDEX(MUSTERILER!$B$7:$B$106,MATCH($R398&amp;"*",MUSTERILER!$T$7:$T$106,0)),"TANIMSIZ MÜŞTERİ"))))</f>
        <v/>
      </c>
      <c r="D398" s="109" t="inlineStr">
        <is>
          <t>ASM EĞLENCE LTD.ŞTİ.</t>
        </is>
      </c>
      <c r="E398" s="220" t="n">
        <v>46200</v>
      </c>
      <c r="F398" s="221" t="n">
        <v>2500</v>
      </c>
      <c r="G398" s="108" t="inlineStr">
        <is>
          <t>MERKEZ KASA</t>
        </is>
      </c>
      <c r="H398" s="108" t="inlineStr">
        <is>
          <t>Nakit</t>
        </is>
      </c>
      <c r="I398" s="109" t="n"/>
      <c r="J398" s="109" t="inlineStr">
        <is>
          <t>NAKİT ÖDENEN</t>
        </is>
      </c>
      <c r="K398" s="109" t="n"/>
      <c r="L398" s="226">
        <f>IF($E398="","",DATE(YEAR($E398),MONTH($E398),1))</f>
        <v/>
      </c>
      <c r="M398" s="113">
        <f>IF($D398="","",IF($C398="TANIMSIZ MÜŞTERİ","HATA",IF(OR($E398="",$F398&lt;=0,$G398=""),"EKSİK",IF($E398&gt;TODAY(),"İLERİ TARİH",IF(COUNTIF($S$7:$S$1506,$S398)&gt;1,"MÜKERRER?",IF($T398&gt;0,"KAPALI DÖNEM","UYGUN"))))))</f>
        <v/>
      </c>
      <c r="N398" s="121">
        <f>IF($C398="","",IF($C398="TANIMSIZ MÜŞTERİ","—",INDEX(MUSTERILER!$C$7:$C$106,MATCH($C398,MUSTERILER!$B$7:$B$106,0))))</f>
        <v/>
      </c>
      <c r="O398" s="6" t="n"/>
      <c r="P398" s="6" t="n"/>
      <c r="Q398" s="3">
        <f>IF($D398="","",$C398&amp;"|"&amp;COUNTIFS($C$7:$C398,$C398))</f>
        <v/>
      </c>
      <c r="R398" s="3">
        <f>IF($D398="","",UPPER(SUBSTITUTE(SUBSTITUTE(SUBSTITUTE(SUBSTITUTE(SUBSTITUTE(SUBSTITUTE(SUBSTITUTE(SUBSTITUTE(SUBSTITUTE(SUBSTITUTE(SUBSTITUTE(SUBSTITUTE(SUBSTITUTE(SUBSTITUTE(SUBSTITUTE(SUBSTITUTE(SUBSTITUTE(SUBSTITUTE(TRIM($D398),"'",""),"İ","I"),"ı","I"),"i","I"),"Ş","S"),"ş","S"),"Ğ","G"),"ğ","G"),"Ü","U"),"ü","U"),"Ö","O"),"ö","O"),"Ç","C"),"ç","C"),".",""),",","")," ",""),"-","")))</f>
        <v/>
      </c>
      <c r="S398" s="3">
        <f>IF($D398="","",$C398&amp;"|"&amp;TEXT($E398,"0")&amp;"|"&amp;TEXT($F398,"0")&amp;"|"&amp;$I398)</f>
        <v/>
      </c>
      <c r="T398" s="3">
        <f>IF($E398="",0,SUMPRODUCT((AY_SONU!$O$7:$O$42="Evet")*(AY_SONU!$B$7:$B$42=DATE(YEAR($E398),MONTH($E398),1))))</f>
        <v/>
      </c>
    </row>
    <row r="399">
      <c r="A399" s="6" t="n"/>
      <c r="B399" s="113">
        <f>IF($D399="","","T"&amp;TEXT(ROW()-6,"00000"))</f>
        <v/>
      </c>
      <c r="C399" s="113">
        <f>IF($D399="","",IFERROR(INDEX(MUSTERILER!$B$7:$B$106,MATCH($R399,MUSTERILER!$T$7:$T$106,0)),IFERROR(INDEX(MUSTERILER!$B$7:$B$106,MATCH($D399,MUSTERILER!$B$7:$B$106,0)),IFERROR(INDEX(MUSTERILER!$B$7:$B$106,MATCH($R399&amp;"*",MUSTERILER!$T$7:$T$106,0)),"TANIMSIZ MÜŞTERİ"))))</f>
        <v/>
      </c>
      <c r="D399" s="109" t="inlineStr">
        <is>
          <t>Çayıralan Ltd.Şti.</t>
        </is>
      </c>
      <c r="E399" s="220" t="n">
        <v>46200</v>
      </c>
      <c r="F399" s="221" t="n">
        <v>3000</v>
      </c>
      <c r="G399" s="108" t="inlineStr">
        <is>
          <t>MERKEZ KASA</t>
        </is>
      </c>
      <c r="H399" s="108" t="inlineStr">
        <is>
          <t>Nakit</t>
        </is>
      </c>
      <c r="I399" s="109" t="n"/>
      <c r="J399" s="109" t="inlineStr">
        <is>
          <t>NAKİT ÖDENEN</t>
        </is>
      </c>
      <c r="K399" s="109" t="n"/>
      <c r="L399" s="226">
        <f>IF($E399="","",DATE(YEAR($E399),MONTH($E399),1))</f>
        <v/>
      </c>
      <c r="M399" s="113">
        <f>IF($D399="","",IF($C399="TANIMSIZ MÜŞTERİ","HATA",IF(OR($E399="",$F399&lt;=0,$G399=""),"EKSİK",IF($E399&gt;TODAY(),"İLERİ TARİH",IF(COUNTIF($S$7:$S$1506,$S399)&gt;1,"MÜKERRER?",IF($T399&gt;0,"KAPALI DÖNEM","UYGUN"))))))</f>
        <v/>
      </c>
      <c r="N399" s="121">
        <f>IF($C399="","",IF($C399="TANIMSIZ MÜŞTERİ","—",INDEX(MUSTERILER!$C$7:$C$106,MATCH($C399,MUSTERILER!$B$7:$B$106,0))))</f>
        <v/>
      </c>
      <c r="O399" s="6" t="n"/>
      <c r="P399" s="6" t="n"/>
      <c r="Q399" s="3">
        <f>IF($D399="","",$C399&amp;"|"&amp;COUNTIFS($C$7:$C399,$C399))</f>
        <v/>
      </c>
      <c r="R399" s="3">
        <f>IF($D399="","",UPPER(SUBSTITUTE(SUBSTITUTE(SUBSTITUTE(SUBSTITUTE(SUBSTITUTE(SUBSTITUTE(SUBSTITUTE(SUBSTITUTE(SUBSTITUTE(SUBSTITUTE(SUBSTITUTE(SUBSTITUTE(SUBSTITUTE(SUBSTITUTE(SUBSTITUTE(SUBSTITUTE(SUBSTITUTE(SUBSTITUTE(TRIM($D399),"'",""),"İ","I"),"ı","I"),"i","I"),"Ş","S"),"ş","S"),"Ğ","G"),"ğ","G"),"Ü","U"),"ü","U"),"Ö","O"),"ö","O"),"Ç","C"),"ç","C"),".",""),",","")," ",""),"-","")))</f>
        <v/>
      </c>
      <c r="S399" s="3">
        <f>IF($D399="","",$C399&amp;"|"&amp;TEXT($E399,"0")&amp;"|"&amp;TEXT($F399,"0")&amp;"|"&amp;$I399)</f>
        <v/>
      </c>
      <c r="T399" s="3">
        <f>IF($E399="",0,SUMPRODUCT((AY_SONU!$O$7:$O$42="Evet")*(AY_SONU!$B$7:$B$42=DATE(YEAR($E399),MONTH($E399),1))))</f>
        <v/>
      </c>
    </row>
    <row r="400">
      <c r="A400" s="6" t="n"/>
      <c r="B400" s="113">
        <f>IF($D400="","","T"&amp;TEXT(ROW()-6,"00000"))</f>
        <v/>
      </c>
      <c r="C400" s="113">
        <f>IF($D400="","",IFERROR(INDEX(MUSTERILER!$B$7:$B$106,MATCH($R400,MUSTERILER!$T$7:$T$106,0)),IFERROR(INDEX(MUSTERILER!$B$7:$B$106,MATCH($D400,MUSTERILER!$B$7:$B$106,0)),IFERROR(INDEX(MUSTERILER!$B$7:$B$106,MATCH($R400&amp;"*",MUSTERILER!$T$7:$T$106,0)),"TANIMSIZ MÜŞTERİ"))))</f>
        <v/>
      </c>
      <c r="D400" s="109" t="inlineStr">
        <is>
          <t>Eğlengör Ltd.Şti.</t>
        </is>
      </c>
      <c r="E400" s="220" t="n">
        <v>46200</v>
      </c>
      <c r="F400" s="221" t="n">
        <v>4000</v>
      </c>
      <c r="G400" s="108" t="inlineStr">
        <is>
          <t>MERKEZ KASA</t>
        </is>
      </c>
      <c r="H400" s="108" t="inlineStr">
        <is>
          <t>Nakit</t>
        </is>
      </c>
      <c r="I400" s="109" t="n"/>
      <c r="J400" s="109" t="inlineStr">
        <is>
          <t>NAKİT ÖDENEN</t>
        </is>
      </c>
      <c r="K400" s="109" t="n"/>
      <c r="L400" s="226">
        <f>IF($E400="","",DATE(YEAR($E400),MONTH($E400),1))</f>
        <v/>
      </c>
      <c r="M400" s="113">
        <f>IF($D400="","",IF($C400="TANIMSIZ MÜŞTERİ","HATA",IF(OR($E400="",$F400&lt;=0,$G400=""),"EKSİK",IF($E400&gt;TODAY(),"İLERİ TARİH",IF(COUNTIF($S$7:$S$1506,$S400)&gt;1,"MÜKERRER?",IF($T400&gt;0,"KAPALI DÖNEM","UYGUN"))))))</f>
        <v/>
      </c>
      <c r="N400" s="121">
        <f>IF($C400="","",IF($C400="TANIMSIZ MÜŞTERİ","—",INDEX(MUSTERILER!$C$7:$C$106,MATCH($C400,MUSTERILER!$B$7:$B$106,0))))</f>
        <v/>
      </c>
      <c r="O400" s="6" t="n"/>
      <c r="P400" s="6" t="n"/>
      <c r="Q400" s="3">
        <f>IF($D400="","",$C400&amp;"|"&amp;COUNTIFS($C$7:$C400,$C400))</f>
        <v/>
      </c>
      <c r="R400" s="3">
        <f>IF($D400="","",UPPER(SUBSTITUTE(SUBSTITUTE(SUBSTITUTE(SUBSTITUTE(SUBSTITUTE(SUBSTITUTE(SUBSTITUTE(SUBSTITUTE(SUBSTITUTE(SUBSTITUTE(SUBSTITUTE(SUBSTITUTE(SUBSTITUTE(SUBSTITUTE(SUBSTITUTE(SUBSTITUTE(SUBSTITUTE(SUBSTITUTE(TRIM($D400),"'",""),"İ","I"),"ı","I"),"i","I"),"Ş","S"),"ş","S"),"Ğ","G"),"ğ","G"),"Ü","U"),"ü","U"),"Ö","O"),"ö","O"),"Ç","C"),"ç","C"),".",""),",","")," ",""),"-","")))</f>
        <v/>
      </c>
      <c r="S400" s="3">
        <f>IF($D400="","",$C400&amp;"|"&amp;TEXT($E400,"0")&amp;"|"&amp;TEXT($F400,"0")&amp;"|"&amp;$I400)</f>
        <v/>
      </c>
      <c r="T400" s="3">
        <f>IF($E400="",0,SUMPRODUCT((AY_SONU!$O$7:$O$42="Evet")*(AY_SONU!$B$7:$B$42=DATE(YEAR($E400),MONTH($E400),1))))</f>
        <v/>
      </c>
    </row>
    <row r="401">
      <c r="A401" s="6" t="n"/>
      <c r="B401" s="113">
        <f>IF($D401="","","T"&amp;TEXT(ROW()-6,"00000"))</f>
        <v/>
      </c>
      <c r="C401" s="113">
        <f>IF($D401="","",IFERROR(INDEX(MUSTERILER!$B$7:$B$106,MATCH($R401,MUSTERILER!$T$7:$T$106,0)),IFERROR(INDEX(MUSTERILER!$B$7:$B$106,MATCH($D401,MUSTERILER!$B$7:$B$106,0)),IFERROR(INDEX(MUSTERILER!$B$7:$B$106,MATCH($R401&amp;"*",MUSTERILER!$T$7:$T$106,0)),"TANIMSIZ MÜŞTERİ"))))</f>
        <v/>
      </c>
      <c r="D401" s="109" t="inlineStr">
        <is>
          <t>Final Siyah Beyaz Ltd.Şti.</t>
        </is>
      </c>
      <c r="E401" s="220" t="n">
        <v>46200</v>
      </c>
      <c r="F401" s="221" t="n">
        <v>4000</v>
      </c>
      <c r="G401" s="108" t="inlineStr">
        <is>
          <t>MERKEZ KASA</t>
        </is>
      </c>
      <c r="H401" s="108" t="inlineStr">
        <is>
          <t>Nakit</t>
        </is>
      </c>
      <c r="I401" s="109" t="n"/>
      <c r="J401" s="109" t="inlineStr">
        <is>
          <t>NAKİT ÖDENEN</t>
        </is>
      </c>
      <c r="K401" s="109" t="n"/>
      <c r="L401" s="226">
        <f>IF($E401="","",DATE(YEAR($E401),MONTH($E401),1))</f>
        <v/>
      </c>
      <c r="M401" s="113">
        <f>IF($D401="","",IF($C401="TANIMSIZ MÜŞTERİ","HATA",IF(OR($E401="",$F401&lt;=0,$G401=""),"EKSİK",IF($E401&gt;TODAY(),"İLERİ TARİH",IF(COUNTIF($S$7:$S$1506,$S401)&gt;1,"MÜKERRER?",IF($T401&gt;0,"KAPALI DÖNEM","UYGUN"))))))</f>
        <v/>
      </c>
      <c r="N401" s="121">
        <f>IF($C401="","",IF($C401="TANIMSIZ MÜŞTERİ","—",INDEX(MUSTERILER!$C$7:$C$106,MATCH($C401,MUSTERILER!$B$7:$B$106,0))))</f>
        <v/>
      </c>
      <c r="O401" s="6" t="n"/>
      <c r="P401" s="6" t="n"/>
      <c r="Q401" s="3">
        <f>IF($D401="","",$C401&amp;"|"&amp;COUNTIFS($C$7:$C401,$C401))</f>
        <v/>
      </c>
      <c r="R401" s="3">
        <f>IF($D401="","",UPPER(SUBSTITUTE(SUBSTITUTE(SUBSTITUTE(SUBSTITUTE(SUBSTITUTE(SUBSTITUTE(SUBSTITUTE(SUBSTITUTE(SUBSTITUTE(SUBSTITUTE(SUBSTITUTE(SUBSTITUTE(SUBSTITUTE(SUBSTITUTE(SUBSTITUTE(SUBSTITUTE(SUBSTITUTE(SUBSTITUTE(TRIM($D401),"'",""),"İ","I"),"ı","I"),"i","I"),"Ş","S"),"ş","S"),"Ğ","G"),"ğ","G"),"Ü","U"),"ü","U"),"Ö","O"),"ö","O"),"Ç","C"),"ç","C"),".",""),",","")," ",""),"-","")))</f>
        <v/>
      </c>
      <c r="S401" s="3">
        <f>IF($D401="","",$C401&amp;"|"&amp;TEXT($E401,"0")&amp;"|"&amp;TEXT($F401,"0")&amp;"|"&amp;$I401)</f>
        <v/>
      </c>
      <c r="T401" s="3">
        <f>IF($E401="",0,SUMPRODUCT((AY_SONU!$O$7:$O$42="Evet")*(AY_SONU!$B$7:$B$42=DATE(YEAR($E401),MONTH($E401),1))))</f>
        <v/>
      </c>
    </row>
    <row r="402">
      <c r="A402" s="6" t="n"/>
      <c r="B402" s="113">
        <f>IF($D402="","","T"&amp;TEXT(ROW()-6,"00000"))</f>
        <v/>
      </c>
      <c r="C402" s="113">
        <f>IF($D402="","",IFERROR(INDEX(MUSTERILER!$B$7:$B$106,MATCH($R402,MUSTERILER!$T$7:$T$106,0)),IFERROR(INDEX(MUSTERILER!$B$7:$B$106,MATCH($D402,MUSTERILER!$B$7:$B$106,0)),IFERROR(INDEX(MUSTERILER!$B$7:$B$106,MATCH($R402&amp;"*",MUSTERILER!$T$7:$T$106,0)),"TANIMSIZ MÜŞTERİ"))))</f>
        <v/>
      </c>
      <c r="D402" s="109" t="inlineStr">
        <is>
          <t>İldeş Ltd.Şti.</t>
        </is>
      </c>
      <c r="E402" s="220" t="n">
        <v>46200</v>
      </c>
      <c r="F402" s="221" t="n">
        <v>5000</v>
      </c>
      <c r="G402" s="108" t="inlineStr">
        <is>
          <t>MERKEZ KASA</t>
        </is>
      </c>
      <c r="H402" s="108" t="inlineStr">
        <is>
          <t>Nakit</t>
        </is>
      </c>
      <c r="I402" s="109" t="n"/>
      <c r="J402" s="109" t="inlineStr">
        <is>
          <t>NAKİT ÖDENEN</t>
        </is>
      </c>
      <c r="K402" s="109" t="n"/>
      <c r="L402" s="226">
        <f>IF($E402="","",DATE(YEAR($E402),MONTH($E402),1))</f>
        <v/>
      </c>
      <c r="M402" s="113">
        <f>IF($D402="","",IF($C402="TANIMSIZ MÜŞTERİ","HATA",IF(OR($E402="",$F402&lt;=0,$G402=""),"EKSİK",IF($E402&gt;TODAY(),"İLERİ TARİH",IF(COUNTIF($S$7:$S$1506,$S402)&gt;1,"MÜKERRER?",IF($T402&gt;0,"KAPALI DÖNEM","UYGUN"))))))</f>
        <v/>
      </c>
      <c r="N402" s="121">
        <f>IF($C402="","",IF($C402="TANIMSIZ MÜŞTERİ","—",INDEX(MUSTERILER!$C$7:$C$106,MATCH($C402,MUSTERILER!$B$7:$B$106,0))))</f>
        <v/>
      </c>
      <c r="O402" s="6" t="n"/>
      <c r="P402" s="6" t="n"/>
      <c r="Q402" s="3">
        <f>IF($D402="","",$C402&amp;"|"&amp;COUNTIFS($C$7:$C402,$C402))</f>
        <v/>
      </c>
      <c r="R402" s="3">
        <f>IF($D402="","",UPPER(SUBSTITUTE(SUBSTITUTE(SUBSTITUTE(SUBSTITUTE(SUBSTITUTE(SUBSTITUTE(SUBSTITUTE(SUBSTITUTE(SUBSTITUTE(SUBSTITUTE(SUBSTITUTE(SUBSTITUTE(SUBSTITUTE(SUBSTITUTE(SUBSTITUTE(SUBSTITUTE(SUBSTITUTE(SUBSTITUTE(TRIM($D402),"'",""),"İ","I"),"ı","I"),"i","I"),"Ş","S"),"ş","S"),"Ğ","G"),"ğ","G"),"Ü","U"),"ü","U"),"Ö","O"),"ö","O"),"Ç","C"),"ç","C"),".",""),",","")," ",""),"-","")))</f>
        <v/>
      </c>
      <c r="S402" s="3">
        <f>IF($D402="","",$C402&amp;"|"&amp;TEXT($E402,"0")&amp;"|"&amp;TEXT($F402,"0")&amp;"|"&amp;$I402)</f>
        <v/>
      </c>
      <c r="T402" s="3">
        <f>IF($E402="",0,SUMPRODUCT((AY_SONU!$O$7:$O$42="Evet")*(AY_SONU!$B$7:$B$42=DATE(YEAR($E402),MONTH($E402),1))))</f>
        <v/>
      </c>
    </row>
    <row r="403">
      <c r="A403" s="6" t="n"/>
      <c r="B403" s="113">
        <f>IF($D403="","","T"&amp;TEXT(ROW()-6,"00000"))</f>
        <v/>
      </c>
      <c r="C403" s="113">
        <f>IF($D403="","",IFERROR(INDEX(MUSTERILER!$B$7:$B$106,MATCH($R403,MUSTERILER!$T$7:$T$106,0)),IFERROR(INDEX(MUSTERILER!$B$7:$B$106,MATCH($D403,MUSTERILER!$B$7:$B$106,0)),IFERROR(INDEX(MUSTERILER!$B$7:$B$106,MATCH($R403&amp;"*",MUSTERILER!$T$7:$T$106,0)),"TANIMSIZ MÜŞTERİ"))))</f>
        <v/>
      </c>
      <c r="D403" s="109" t="inlineStr">
        <is>
          <t>Monamour Ltd.Şti.</t>
        </is>
      </c>
      <c r="E403" s="220" t="n">
        <v>46200</v>
      </c>
      <c r="F403" s="221" t="n">
        <v>3500</v>
      </c>
      <c r="G403" s="108" t="inlineStr">
        <is>
          <t>ÖMER KARTAL</t>
        </is>
      </c>
      <c r="H403" s="108" t="inlineStr">
        <is>
          <t>Nakit</t>
        </is>
      </c>
      <c r="I403" s="109" t="n"/>
      <c r="J403" s="109" t="inlineStr">
        <is>
          <t>ÖMER KARTALA ÖDENEN</t>
        </is>
      </c>
      <c r="K403" s="109" t="n"/>
      <c r="L403" s="226">
        <f>IF($E403="","",DATE(YEAR($E403),MONTH($E403),1))</f>
        <v/>
      </c>
      <c r="M403" s="113">
        <f>IF($D403="","",IF($C403="TANIMSIZ MÜŞTERİ","HATA",IF(OR($E403="",$F403&lt;=0,$G403=""),"EKSİK",IF($E403&gt;TODAY(),"İLERİ TARİH",IF(COUNTIF($S$7:$S$1506,$S403)&gt;1,"MÜKERRER?",IF($T403&gt;0,"KAPALI DÖNEM","UYGUN"))))))</f>
        <v/>
      </c>
      <c r="N403" s="121">
        <f>IF($C403="","",IF($C403="TANIMSIZ MÜŞTERİ","—",INDEX(MUSTERILER!$C$7:$C$106,MATCH($C403,MUSTERILER!$B$7:$B$106,0))))</f>
        <v/>
      </c>
      <c r="O403" s="6" t="n"/>
      <c r="P403" s="6" t="n"/>
      <c r="Q403" s="3">
        <f>IF($D403="","",$C403&amp;"|"&amp;COUNTIFS($C$7:$C403,$C403))</f>
        <v/>
      </c>
      <c r="R403" s="3">
        <f>IF($D403="","",UPPER(SUBSTITUTE(SUBSTITUTE(SUBSTITUTE(SUBSTITUTE(SUBSTITUTE(SUBSTITUTE(SUBSTITUTE(SUBSTITUTE(SUBSTITUTE(SUBSTITUTE(SUBSTITUTE(SUBSTITUTE(SUBSTITUTE(SUBSTITUTE(SUBSTITUTE(SUBSTITUTE(SUBSTITUTE(SUBSTITUTE(TRIM($D403),"'",""),"İ","I"),"ı","I"),"i","I"),"Ş","S"),"ş","S"),"Ğ","G"),"ğ","G"),"Ü","U"),"ü","U"),"Ö","O"),"ö","O"),"Ç","C"),"ç","C"),".",""),",","")," ",""),"-","")))</f>
        <v/>
      </c>
      <c r="S403" s="3">
        <f>IF($D403="","",$C403&amp;"|"&amp;TEXT($E403,"0")&amp;"|"&amp;TEXT($F403,"0")&amp;"|"&amp;$I403)</f>
        <v/>
      </c>
      <c r="T403" s="3">
        <f>IF($E403="",0,SUMPRODUCT((AY_SONU!$O$7:$O$42="Evet")*(AY_SONU!$B$7:$B$42=DATE(YEAR($E403),MONTH($E403),1))))</f>
        <v/>
      </c>
    </row>
    <row r="404">
      <c r="A404" s="6" t="n"/>
      <c r="B404" s="113">
        <f>IF($D404="","","T"&amp;TEXT(ROW()-6,"00000"))</f>
        <v/>
      </c>
      <c r="C404" s="113">
        <f>IF($D404="","",IFERROR(INDEX(MUSTERILER!$B$7:$B$106,MATCH($R404,MUSTERILER!$T$7:$T$106,0)),IFERROR(INDEX(MUSTERILER!$B$7:$B$106,MATCH($D404,MUSTERILER!$B$7:$B$106,0)),IFERROR(INDEX(MUSTERILER!$B$7:$B$106,MATCH($R404&amp;"*",MUSTERILER!$T$7:$T$106,0)),"TANIMSIZ MÜŞTERİ"))))</f>
        <v/>
      </c>
      <c r="D404" s="109" t="inlineStr">
        <is>
          <t>Naz 1 Gıda Ltd.Şti.</t>
        </is>
      </c>
      <c r="E404" s="220" t="n">
        <v>46200</v>
      </c>
      <c r="F404" s="221" t="n">
        <v>2000</v>
      </c>
      <c r="G404" s="108" t="inlineStr">
        <is>
          <t>MERKEZ KASA</t>
        </is>
      </c>
      <c r="H404" s="108" t="inlineStr">
        <is>
          <t>Nakit</t>
        </is>
      </c>
      <c r="I404" s="109" t="n"/>
      <c r="J404" s="109" t="inlineStr">
        <is>
          <t>NAKİT ÖDENEN</t>
        </is>
      </c>
      <c r="K404" s="109" t="n"/>
      <c r="L404" s="226">
        <f>IF($E404="","",DATE(YEAR($E404),MONTH($E404),1))</f>
        <v/>
      </c>
      <c r="M404" s="113">
        <f>IF($D404="","",IF($C404="TANIMSIZ MÜŞTERİ","HATA",IF(OR($E404="",$F404&lt;=0,$G404=""),"EKSİK",IF($E404&gt;TODAY(),"İLERİ TARİH",IF(COUNTIF($S$7:$S$1506,$S404)&gt;1,"MÜKERRER?",IF($T404&gt;0,"KAPALI DÖNEM","UYGUN"))))))</f>
        <v/>
      </c>
      <c r="N404" s="121">
        <f>IF($C404="","",IF($C404="TANIMSIZ MÜŞTERİ","—",INDEX(MUSTERILER!$C$7:$C$106,MATCH($C404,MUSTERILER!$B$7:$B$106,0))))</f>
        <v/>
      </c>
      <c r="O404" s="6" t="n"/>
      <c r="P404" s="6" t="n"/>
      <c r="Q404" s="3">
        <f>IF($D404="","",$C404&amp;"|"&amp;COUNTIFS($C$7:$C404,$C404))</f>
        <v/>
      </c>
      <c r="R404" s="3">
        <f>IF($D404="","",UPPER(SUBSTITUTE(SUBSTITUTE(SUBSTITUTE(SUBSTITUTE(SUBSTITUTE(SUBSTITUTE(SUBSTITUTE(SUBSTITUTE(SUBSTITUTE(SUBSTITUTE(SUBSTITUTE(SUBSTITUTE(SUBSTITUTE(SUBSTITUTE(SUBSTITUTE(SUBSTITUTE(SUBSTITUTE(SUBSTITUTE(TRIM($D404),"'",""),"İ","I"),"ı","I"),"i","I"),"Ş","S"),"ş","S"),"Ğ","G"),"ğ","G"),"Ü","U"),"ü","U"),"Ö","O"),"ö","O"),"Ç","C"),"ç","C"),".",""),",","")," ",""),"-","")))</f>
        <v/>
      </c>
      <c r="S404" s="3">
        <f>IF($D404="","",$C404&amp;"|"&amp;TEXT($E404,"0")&amp;"|"&amp;TEXT($F404,"0")&amp;"|"&amp;$I404)</f>
        <v/>
      </c>
      <c r="T404" s="3">
        <f>IF($E404="",0,SUMPRODUCT((AY_SONU!$O$7:$O$42="Evet")*(AY_SONU!$B$7:$B$42=DATE(YEAR($E404),MONTH($E404),1))))</f>
        <v/>
      </c>
    </row>
    <row r="405">
      <c r="A405" s="6" t="n"/>
      <c r="B405" s="113">
        <f>IF($D405="","","T"&amp;TEXT(ROW()-6,"00000"))</f>
        <v/>
      </c>
      <c r="C405" s="113">
        <f>IF($D405="","",IFERROR(INDEX(MUSTERILER!$B$7:$B$106,MATCH($R405,MUSTERILER!$T$7:$T$106,0)),IFERROR(INDEX(MUSTERILER!$B$7:$B$106,MATCH($D405,MUSTERILER!$B$7:$B$106,0)),IFERROR(INDEX(MUSTERILER!$B$7:$B$106,MATCH($R405&amp;"*",MUSTERILER!$T$7:$T$106,0)),"TANIMSIZ MÜŞTERİ"))))</f>
        <v/>
      </c>
      <c r="D405" s="109" t="inlineStr">
        <is>
          <t>Pakyıldız Ltd.Şti.</t>
        </is>
      </c>
      <c r="E405" s="220" t="n">
        <v>46200</v>
      </c>
      <c r="F405" s="221" t="n">
        <v>4000</v>
      </c>
      <c r="G405" s="108" t="inlineStr">
        <is>
          <t>MERKEZ KASA</t>
        </is>
      </c>
      <c r="H405" s="108" t="inlineStr">
        <is>
          <t>Nakit</t>
        </is>
      </c>
      <c r="I405" s="109" t="n"/>
      <c r="J405" s="109" t="inlineStr">
        <is>
          <t>NAKİT ÖDENEN</t>
        </is>
      </c>
      <c r="K405" s="109" t="n"/>
      <c r="L405" s="226">
        <f>IF($E405="","",DATE(YEAR($E405),MONTH($E405),1))</f>
        <v/>
      </c>
      <c r="M405" s="113">
        <f>IF($D405="","",IF($C405="TANIMSIZ MÜŞTERİ","HATA",IF(OR($E405="",$F405&lt;=0,$G405=""),"EKSİK",IF($E405&gt;TODAY(),"İLERİ TARİH",IF(COUNTIF($S$7:$S$1506,$S405)&gt;1,"MÜKERRER?",IF($T405&gt;0,"KAPALI DÖNEM","UYGUN"))))))</f>
        <v/>
      </c>
      <c r="N405" s="121">
        <f>IF($C405="","",IF($C405="TANIMSIZ MÜŞTERİ","—",INDEX(MUSTERILER!$C$7:$C$106,MATCH($C405,MUSTERILER!$B$7:$B$106,0))))</f>
        <v/>
      </c>
      <c r="O405" s="6" t="n"/>
      <c r="P405" s="6" t="n"/>
      <c r="Q405" s="3">
        <f>IF($D405="","",$C405&amp;"|"&amp;COUNTIFS($C$7:$C405,$C405))</f>
        <v/>
      </c>
      <c r="R405" s="3">
        <f>IF($D405="","",UPPER(SUBSTITUTE(SUBSTITUTE(SUBSTITUTE(SUBSTITUTE(SUBSTITUTE(SUBSTITUTE(SUBSTITUTE(SUBSTITUTE(SUBSTITUTE(SUBSTITUTE(SUBSTITUTE(SUBSTITUTE(SUBSTITUTE(SUBSTITUTE(SUBSTITUTE(SUBSTITUTE(SUBSTITUTE(SUBSTITUTE(TRIM($D405),"'",""),"İ","I"),"ı","I"),"i","I"),"Ş","S"),"ş","S"),"Ğ","G"),"ğ","G"),"Ü","U"),"ü","U"),"Ö","O"),"ö","O"),"Ç","C"),"ç","C"),".",""),",","")," ",""),"-","")))</f>
        <v/>
      </c>
      <c r="S405" s="3">
        <f>IF($D405="","",$C405&amp;"|"&amp;TEXT($E405,"0")&amp;"|"&amp;TEXT($F405,"0")&amp;"|"&amp;$I405)</f>
        <v/>
      </c>
      <c r="T405" s="3">
        <f>IF($E405="",0,SUMPRODUCT((AY_SONU!$O$7:$O$42="Evet")*(AY_SONU!$B$7:$B$42=DATE(YEAR($E405),MONTH($E405),1))))</f>
        <v/>
      </c>
    </row>
    <row r="406">
      <c r="A406" s="6" t="n"/>
      <c r="B406" s="113">
        <f>IF($D406="","","T"&amp;TEXT(ROW()-6,"00000"))</f>
        <v/>
      </c>
      <c r="C406" s="113">
        <f>IF($D406="","",IFERROR(INDEX(MUSTERILER!$B$7:$B$106,MATCH($R406,MUSTERILER!$T$7:$T$106,0)),IFERROR(INDEX(MUSTERILER!$B$7:$B$106,MATCH($D406,MUSTERILER!$B$7:$B$106,0)),IFERROR(INDEX(MUSTERILER!$B$7:$B$106,MATCH($R406&amp;"*",MUSTERILER!$T$7:$T$106,0)),"TANIMSIZ MÜŞTERİ"))))</f>
        <v/>
      </c>
      <c r="D406" s="109" t="inlineStr">
        <is>
          <t>Rix Şow Ltd.Şti.</t>
        </is>
      </c>
      <c r="E406" s="220" t="n">
        <v>46200</v>
      </c>
      <c r="F406" s="221" t="n">
        <v>3000</v>
      </c>
      <c r="G406" s="108" t="inlineStr">
        <is>
          <t>MERKEZ KASA</t>
        </is>
      </c>
      <c r="H406" s="108" t="inlineStr">
        <is>
          <t>Nakit</t>
        </is>
      </c>
      <c r="I406" s="109" t="n"/>
      <c r="J406" s="109" t="inlineStr">
        <is>
          <t>NAKİT ÖDENEN</t>
        </is>
      </c>
      <c r="K406" s="109" t="n"/>
      <c r="L406" s="226">
        <f>IF($E406="","",DATE(YEAR($E406),MONTH($E406),1))</f>
        <v/>
      </c>
      <c r="M406" s="113">
        <f>IF($D406="","",IF($C406="TANIMSIZ MÜŞTERİ","HATA",IF(OR($E406="",$F406&lt;=0,$G406=""),"EKSİK",IF($E406&gt;TODAY(),"İLERİ TARİH",IF(COUNTIF($S$7:$S$1506,$S406)&gt;1,"MÜKERRER?",IF($T406&gt;0,"KAPALI DÖNEM","UYGUN"))))))</f>
        <v/>
      </c>
      <c r="N406" s="121">
        <f>IF($C406="","",IF($C406="TANIMSIZ MÜŞTERİ","—",INDEX(MUSTERILER!$C$7:$C$106,MATCH($C406,MUSTERILER!$B$7:$B$106,0))))</f>
        <v/>
      </c>
      <c r="O406" s="6" t="n"/>
      <c r="P406" s="6" t="n"/>
      <c r="Q406" s="3">
        <f>IF($D406="","",$C406&amp;"|"&amp;COUNTIFS($C$7:$C406,$C406))</f>
        <v/>
      </c>
      <c r="R406" s="3">
        <f>IF($D406="","",UPPER(SUBSTITUTE(SUBSTITUTE(SUBSTITUTE(SUBSTITUTE(SUBSTITUTE(SUBSTITUTE(SUBSTITUTE(SUBSTITUTE(SUBSTITUTE(SUBSTITUTE(SUBSTITUTE(SUBSTITUTE(SUBSTITUTE(SUBSTITUTE(SUBSTITUTE(SUBSTITUTE(SUBSTITUTE(SUBSTITUTE(TRIM($D406),"'",""),"İ","I"),"ı","I"),"i","I"),"Ş","S"),"ş","S"),"Ğ","G"),"ğ","G"),"Ü","U"),"ü","U"),"Ö","O"),"ö","O"),"Ç","C"),"ç","C"),".",""),",","")," ",""),"-","")))</f>
        <v/>
      </c>
      <c r="S406" s="3">
        <f>IF($D406="","",$C406&amp;"|"&amp;TEXT($E406,"0")&amp;"|"&amp;TEXT($F406,"0")&amp;"|"&amp;$I406)</f>
        <v/>
      </c>
      <c r="T406" s="3">
        <f>IF($E406="",0,SUMPRODUCT((AY_SONU!$O$7:$O$42="Evet")*(AY_SONU!$B$7:$B$42=DATE(YEAR($E406),MONTH($E406),1))))</f>
        <v/>
      </c>
    </row>
    <row r="407">
      <c r="A407" s="6" t="n"/>
      <c r="B407" s="113">
        <f>IF($D407="","","T"&amp;TEXT(ROW()-6,"00000"))</f>
        <v/>
      </c>
      <c r="C407" s="113">
        <f>IF($D407="","",IFERROR(INDEX(MUSTERILER!$B$7:$B$106,MATCH($R407,MUSTERILER!$T$7:$T$106,0)),IFERROR(INDEX(MUSTERILER!$B$7:$B$106,MATCH($D407,MUSTERILER!$B$7:$B$106,0)),IFERROR(INDEX(MUSTERILER!$B$7:$B$106,MATCH($R407&amp;"*",MUSTERILER!$T$7:$T$106,0)),"TANIMSIZ MÜŞTERİ"))))</f>
        <v/>
      </c>
      <c r="D407" s="109" t="inlineStr">
        <is>
          <t>İSA DEMİRCİ</t>
        </is>
      </c>
      <c r="E407" s="220" t="n">
        <v>46200</v>
      </c>
      <c r="F407" s="221" t="n">
        <v>3500</v>
      </c>
      <c r="G407" s="108" t="inlineStr">
        <is>
          <t>ÖMER KARTAL</t>
        </is>
      </c>
      <c r="H407" s="108" t="inlineStr">
        <is>
          <t>Nakit</t>
        </is>
      </c>
      <c r="I407" s="109" t="n"/>
      <c r="J407" s="109" t="inlineStr">
        <is>
          <t>NAKİT ÖDENEN</t>
        </is>
      </c>
      <c r="K407" s="109" t="n"/>
      <c r="L407" s="226">
        <f>IF($E407="","",DATE(YEAR($E407),MONTH($E407),1))</f>
        <v/>
      </c>
      <c r="M407" s="113">
        <f>IF($D407="","",IF($C407="TANIMSIZ MÜŞTERİ","HATA",IF(OR($E407="",$F407&lt;=0,$G407=""),"EKSİK",IF($E407&gt;TODAY(),"İLERİ TARİH",IF(COUNTIF($S$7:$S$1506,$S407)&gt;1,"MÜKERRER?",IF($T407&gt;0,"KAPALI DÖNEM","UYGUN"))))))</f>
        <v/>
      </c>
      <c r="N407" s="121">
        <f>IF($C407="","",IF($C407="TANIMSIZ MÜŞTERİ","—",INDEX(MUSTERILER!$C$7:$C$106,MATCH($C407,MUSTERILER!$B$7:$B$106,0))))</f>
        <v/>
      </c>
      <c r="O407" s="6" t="n"/>
      <c r="P407" s="6" t="n"/>
      <c r="Q407" s="3">
        <f>IF($D407="","",$C407&amp;"|"&amp;COUNTIFS($C$7:$C407,$C407))</f>
        <v/>
      </c>
      <c r="R407" s="3">
        <f>IF($D407="","",UPPER(SUBSTITUTE(SUBSTITUTE(SUBSTITUTE(SUBSTITUTE(SUBSTITUTE(SUBSTITUTE(SUBSTITUTE(SUBSTITUTE(SUBSTITUTE(SUBSTITUTE(SUBSTITUTE(SUBSTITUTE(SUBSTITUTE(SUBSTITUTE(SUBSTITUTE(SUBSTITUTE(SUBSTITUTE(SUBSTITUTE(TRIM($D407),"'",""),"İ","I"),"ı","I"),"i","I"),"Ş","S"),"ş","S"),"Ğ","G"),"ğ","G"),"Ü","U"),"ü","U"),"Ö","O"),"ö","O"),"Ç","C"),"ç","C"),".",""),",","")," ",""),"-","")))</f>
        <v/>
      </c>
      <c r="S407" s="3">
        <f>IF($D407="","",$C407&amp;"|"&amp;TEXT($E407,"0")&amp;"|"&amp;TEXT($F407,"0")&amp;"|"&amp;$I407)</f>
        <v/>
      </c>
      <c r="T407" s="3">
        <f>IF($E407="",0,SUMPRODUCT((AY_SONU!$O$7:$O$42="Evet")*(AY_SONU!$B$7:$B$42=DATE(YEAR($E407),MONTH($E407),1))))</f>
        <v/>
      </c>
    </row>
    <row r="408">
      <c r="A408" s="6" t="n"/>
      <c r="B408" s="113">
        <f>IF($D408="","","T"&amp;TEXT(ROW()-6,"00000"))</f>
        <v/>
      </c>
      <c r="C408" s="113">
        <f>IF($D408="","",IFERROR(INDEX(MUSTERILER!$B$7:$B$106,MATCH($R408,MUSTERILER!$T$7:$T$106,0)),IFERROR(INDEX(MUSTERILER!$B$7:$B$106,MATCH($D408,MUSTERILER!$B$7:$B$106,0)),IFERROR(INDEX(MUSTERILER!$B$7:$B$106,MATCH($R408&amp;"*",MUSTERILER!$T$7:$T$106,0)),"TANIMSIZ MÜŞTERİ"))))</f>
        <v/>
      </c>
      <c r="D408" s="109" t="inlineStr">
        <is>
          <t>KRİSTAL LTD.ŞTİ.</t>
        </is>
      </c>
      <c r="E408" s="220" t="n">
        <v>46200</v>
      </c>
      <c r="F408" s="221" t="n">
        <v>3000</v>
      </c>
      <c r="G408" s="108" t="inlineStr">
        <is>
          <t>MERKEZ KASA</t>
        </is>
      </c>
      <c r="H408" s="108" t="inlineStr">
        <is>
          <t>Nakit</t>
        </is>
      </c>
      <c r="I408" s="109" t="n"/>
      <c r="J408" s="109" t="inlineStr">
        <is>
          <t>NAKİT ÖDENEN</t>
        </is>
      </c>
      <c r="K408" s="109" t="n"/>
      <c r="L408" s="226">
        <f>IF($E408="","",DATE(YEAR($E408),MONTH($E408),1))</f>
        <v/>
      </c>
      <c r="M408" s="113">
        <f>IF($D408="","",IF($C408="TANIMSIZ MÜŞTERİ","HATA",IF(OR($E408="",$F408&lt;=0,$G408=""),"EKSİK",IF($E408&gt;TODAY(),"İLERİ TARİH",IF(COUNTIF($S$7:$S$1506,$S408)&gt;1,"MÜKERRER?",IF($T408&gt;0,"KAPALI DÖNEM","UYGUN"))))))</f>
        <v/>
      </c>
      <c r="N408" s="121">
        <f>IF($C408="","",IF($C408="TANIMSIZ MÜŞTERİ","—",INDEX(MUSTERILER!$C$7:$C$106,MATCH($C408,MUSTERILER!$B$7:$B$106,0))))</f>
        <v/>
      </c>
      <c r="O408" s="6" t="n"/>
      <c r="P408" s="6" t="n"/>
      <c r="Q408" s="3">
        <f>IF($D408="","",$C408&amp;"|"&amp;COUNTIFS($C$7:$C408,$C408))</f>
        <v/>
      </c>
      <c r="R408" s="3">
        <f>IF($D408="","",UPPER(SUBSTITUTE(SUBSTITUTE(SUBSTITUTE(SUBSTITUTE(SUBSTITUTE(SUBSTITUTE(SUBSTITUTE(SUBSTITUTE(SUBSTITUTE(SUBSTITUTE(SUBSTITUTE(SUBSTITUTE(SUBSTITUTE(SUBSTITUTE(SUBSTITUTE(SUBSTITUTE(SUBSTITUTE(SUBSTITUTE(TRIM($D408),"'",""),"İ","I"),"ı","I"),"i","I"),"Ş","S"),"ş","S"),"Ğ","G"),"ğ","G"),"Ü","U"),"ü","U"),"Ö","O"),"ö","O"),"Ç","C"),"ç","C"),".",""),",","")," ",""),"-","")))</f>
        <v/>
      </c>
      <c r="S408" s="3">
        <f>IF($D408="","",$C408&amp;"|"&amp;TEXT($E408,"0")&amp;"|"&amp;TEXT($F408,"0")&amp;"|"&amp;$I408)</f>
        <v/>
      </c>
      <c r="T408" s="3">
        <f>IF($E408="",0,SUMPRODUCT((AY_SONU!$O$7:$O$42="Evet")*(AY_SONU!$B$7:$B$42=DATE(YEAR($E408),MONTH($E408),1))))</f>
        <v/>
      </c>
    </row>
    <row r="409">
      <c r="A409" s="6" t="n"/>
      <c r="B409" s="113">
        <f>IF($D409="","","T"&amp;TEXT(ROW()-6,"00000"))</f>
        <v/>
      </c>
      <c r="C409" s="113">
        <f>IF($D409="","",IFERROR(INDEX(MUSTERILER!$B$7:$B$106,MATCH($R409,MUSTERILER!$T$7:$T$106,0)),IFERROR(INDEX(MUSTERILER!$B$7:$B$106,MATCH($D409,MUSTERILER!$B$7:$B$106,0)),IFERROR(INDEX(MUSTERILER!$B$7:$B$106,MATCH($R409&amp;"*",MUSTERILER!$T$7:$T$106,0)),"TANIMSIZ MÜŞTERİ"))))</f>
        <v/>
      </c>
      <c r="D409" s="109" t="inlineStr">
        <is>
          <t>YALIKENT LTD.ŞTİ.</t>
        </is>
      </c>
      <c r="E409" s="220" t="n">
        <v>46200</v>
      </c>
      <c r="F409" s="221" t="n">
        <v>4000</v>
      </c>
      <c r="G409" s="108" t="inlineStr">
        <is>
          <t>MERKEZ KASA</t>
        </is>
      </c>
      <c r="H409" s="108" t="inlineStr">
        <is>
          <t>Nakit</t>
        </is>
      </c>
      <c r="I409" s="109" t="n"/>
      <c r="J409" s="109" t="inlineStr">
        <is>
          <t>NAKİT ÖDENEN</t>
        </is>
      </c>
      <c r="K409" s="109" t="n"/>
      <c r="L409" s="226">
        <f>IF($E409="","",DATE(YEAR($E409),MONTH($E409),1))</f>
        <v/>
      </c>
      <c r="M409" s="113">
        <f>IF($D409="","",IF($C409="TANIMSIZ MÜŞTERİ","HATA",IF(OR($E409="",$F409&lt;=0,$G409=""),"EKSİK",IF($E409&gt;TODAY(),"İLERİ TARİH",IF(COUNTIF($S$7:$S$1506,$S409)&gt;1,"MÜKERRER?",IF($T409&gt;0,"KAPALI DÖNEM","UYGUN"))))))</f>
        <v/>
      </c>
      <c r="N409" s="121">
        <f>IF($C409="","",IF($C409="TANIMSIZ MÜŞTERİ","—",INDEX(MUSTERILER!$C$7:$C$106,MATCH($C409,MUSTERILER!$B$7:$B$106,0))))</f>
        <v/>
      </c>
      <c r="O409" s="6" t="n"/>
      <c r="P409" s="6" t="n"/>
      <c r="Q409" s="3">
        <f>IF($D409="","",$C409&amp;"|"&amp;COUNTIFS($C$7:$C409,$C409))</f>
        <v/>
      </c>
      <c r="R409" s="3">
        <f>IF($D409="","",UPPER(SUBSTITUTE(SUBSTITUTE(SUBSTITUTE(SUBSTITUTE(SUBSTITUTE(SUBSTITUTE(SUBSTITUTE(SUBSTITUTE(SUBSTITUTE(SUBSTITUTE(SUBSTITUTE(SUBSTITUTE(SUBSTITUTE(SUBSTITUTE(SUBSTITUTE(SUBSTITUTE(SUBSTITUTE(SUBSTITUTE(TRIM($D409),"'",""),"İ","I"),"ı","I"),"i","I"),"Ş","S"),"ş","S"),"Ğ","G"),"ğ","G"),"Ü","U"),"ü","U"),"Ö","O"),"ö","O"),"Ç","C"),"ç","C"),".",""),",","")," ",""),"-","")))</f>
        <v/>
      </c>
      <c r="S409" s="3">
        <f>IF($D409="","",$C409&amp;"|"&amp;TEXT($E409,"0")&amp;"|"&amp;TEXT($F409,"0")&amp;"|"&amp;$I409)</f>
        <v/>
      </c>
      <c r="T409" s="3">
        <f>IF($E409="",0,SUMPRODUCT((AY_SONU!$O$7:$O$42="Evet")*(AY_SONU!$B$7:$B$42=DATE(YEAR($E409),MONTH($E409),1))))</f>
        <v/>
      </c>
    </row>
    <row r="410">
      <c r="A410" s="6" t="n"/>
      <c r="B410" s="113">
        <f>IF($D410="","","T"&amp;TEXT(ROW()-6,"00000"))</f>
        <v/>
      </c>
      <c r="C410" s="113">
        <f>IF($D410="","",IFERROR(INDEX(MUSTERILER!$B$7:$B$106,MATCH($R410,MUSTERILER!$T$7:$T$106,0)),IFERROR(INDEX(MUSTERILER!$B$7:$B$106,MATCH($D410,MUSTERILER!$B$7:$B$106,0)),IFERROR(INDEX(MUSTERILER!$B$7:$B$106,MATCH($R410&amp;"*",MUSTERILER!$T$7:$T$106,0)),"TANIMSIZ MÜŞTERİ"))))</f>
        <v/>
      </c>
      <c r="D410" s="109" t="inlineStr">
        <is>
          <t>YALIKENT LTD.ŞTİ.</t>
        </is>
      </c>
      <c r="E410" s="220" t="n">
        <v>46200</v>
      </c>
      <c r="F410" s="221" t="n">
        <v>23000</v>
      </c>
      <c r="G410" s="108" t="inlineStr">
        <is>
          <t>ÖMER KARTAL</t>
        </is>
      </c>
      <c r="H410" s="108" t="inlineStr">
        <is>
          <t>Nakit</t>
        </is>
      </c>
      <c r="I410" s="109" t="n"/>
      <c r="J410" s="109" t="inlineStr">
        <is>
          <t>NAKİT ÖDENEN</t>
        </is>
      </c>
      <c r="K410" s="109" t="n"/>
      <c r="L410" s="226">
        <f>IF($E410="","",DATE(YEAR($E410),MONTH($E410),1))</f>
        <v/>
      </c>
      <c r="M410" s="113">
        <f>IF($D410="","",IF($C410="TANIMSIZ MÜŞTERİ","HATA",IF(OR($E410="",$F410&lt;=0,$G410=""),"EKSİK",IF($E410&gt;TODAY(),"İLERİ TARİH",IF(COUNTIF($S$7:$S$1506,$S410)&gt;1,"MÜKERRER?",IF($T410&gt;0,"KAPALI DÖNEM","UYGUN"))))))</f>
        <v/>
      </c>
      <c r="N410" s="121">
        <f>IF($C410="","",IF($C410="TANIMSIZ MÜŞTERİ","—",INDEX(MUSTERILER!$C$7:$C$106,MATCH($C410,MUSTERILER!$B$7:$B$106,0))))</f>
        <v/>
      </c>
      <c r="O410" s="6" t="n"/>
      <c r="P410" s="6" t="n"/>
      <c r="Q410" s="3">
        <f>IF($D410="","",$C410&amp;"|"&amp;COUNTIFS($C$7:$C410,$C410))</f>
        <v/>
      </c>
      <c r="R410" s="3">
        <f>IF($D410="","",UPPER(SUBSTITUTE(SUBSTITUTE(SUBSTITUTE(SUBSTITUTE(SUBSTITUTE(SUBSTITUTE(SUBSTITUTE(SUBSTITUTE(SUBSTITUTE(SUBSTITUTE(SUBSTITUTE(SUBSTITUTE(SUBSTITUTE(SUBSTITUTE(SUBSTITUTE(SUBSTITUTE(SUBSTITUTE(SUBSTITUTE(TRIM($D410),"'",""),"İ","I"),"ı","I"),"i","I"),"Ş","S"),"ş","S"),"Ğ","G"),"ğ","G"),"Ü","U"),"ü","U"),"Ö","O"),"ö","O"),"Ç","C"),"ç","C"),".",""),",","")," ",""),"-","")))</f>
        <v/>
      </c>
      <c r="S410" s="3">
        <f>IF($D410="","",$C410&amp;"|"&amp;TEXT($E410,"0")&amp;"|"&amp;TEXT($F410,"0")&amp;"|"&amp;$I410)</f>
        <v/>
      </c>
      <c r="T410" s="3">
        <f>IF($E410="",0,SUMPRODUCT((AY_SONU!$O$7:$O$42="Evet")*(AY_SONU!$B$7:$B$42=DATE(YEAR($E410),MONTH($E410),1))))</f>
        <v/>
      </c>
    </row>
    <row r="411">
      <c r="A411" s="6" t="n"/>
      <c r="B411" s="113">
        <f>IF($D411="","","T"&amp;TEXT(ROW()-6,"00000"))</f>
        <v/>
      </c>
      <c r="C411" s="113">
        <f>IF($D411="","",IFERROR(INDEX(MUSTERILER!$B$7:$B$106,MATCH($R411,MUSTERILER!$T$7:$T$106,0)),IFERROR(INDEX(MUSTERILER!$B$7:$B$106,MATCH($D411,MUSTERILER!$B$7:$B$106,0)),IFERROR(INDEX(MUSTERILER!$B$7:$B$106,MATCH($R411&amp;"*",MUSTERILER!$T$7:$T$106,0)),"TANIMSIZ MÜŞTERİ"))))</f>
        <v/>
      </c>
      <c r="D411" s="109" t="inlineStr">
        <is>
          <t>YEDİYİRMİDÖRT LTD.ŞTİ.</t>
        </is>
      </c>
      <c r="E411" s="220" t="n">
        <v>46203</v>
      </c>
      <c r="F411" s="221" t="n">
        <v>6000</v>
      </c>
      <c r="G411" s="108" t="inlineStr">
        <is>
          <t>MERKEZ KASA</t>
        </is>
      </c>
      <c r="H411" s="108" t="inlineStr">
        <is>
          <t>Nakit</t>
        </is>
      </c>
      <c r="I411" s="109" t="n"/>
      <c r="J411" s="109" t="inlineStr">
        <is>
          <t>NAKİT ÖDENEN</t>
        </is>
      </c>
      <c r="K411" s="109" t="n"/>
      <c r="L411" s="226">
        <f>IF($E411="","",DATE(YEAR($E411),MONTH($E411),1))</f>
        <v/>
      </c>
      <c r="M411" s="113">
        <f>IF($D411="","",IF($C411="TANIMSIZ MÜŞTERİ","HATA",IF(OR($E411="",$F411&lt;=0,$G411=""),"EKSİK",IF($E411&gt;TODAY(),"İLERİ TARİH",IF(COUNTIF($S$7:$S$1506,$S411)&gt;1,"MÜKERRER?",IF($T411&gt;0,"KAPALI DÖNEM","UYGUN"))))))</f>
        <v/>
      </c>
      <c r="N411" s="121">
        <f>IF($C411="","",IF($C411="TANIMSIZ MÜŞTERİ","—",INDEX(MUSTERILER!$C$7:$C$106,MATCH($C411,MUSTERILER!$B$7:$B$106,0))))</f>
        <v/>
      </c>
      <c r="O411" s="6" t="n"/>
      <c r="P411" s="6" t="n"/>
      <c r="Q411" s="3">
        <f>IF($D411="","",$C411&amp;"|"&amp;COUNTIFS($C$7:$C411,$C411))</f>
        <v/>
      </c>
      <c r="R411" s="3">
        <f>IF($D411="","",UPPER(SUBSTITUTE(SUBSTITUTE(SUBSTITUTE(SUBSTITUTE(SUBSTITUTE(SUBSTITUTE(SUBSTITUTE(SUBSTITUTE(SUBSTITUTE(SUBSTITUTE(SUBSTITUTE(SUBSTITUTE(SUBSTITUTE(SUBSTITUTE(SUBSTITUTE(SUBSTITUTE(SUBSTITUTE(SUBSTITUTE(TRIM($D411),"'",""),"İ","I"),"ı","I"),"i","I"),"Ş","S"),"ş","S"),"Ğ","G"),"ğ","G"),"Ü","U"),"ü","U"),"Ö","O"),"ö","O"),"Ç","C"),"ç","C"),".",""),",","")," ",""),"-","")))</f>
        <v/>
      </c>
      <c r="S411" s="3">
        <f>IF($D411="","",$C411&amp;"|"&amp;TEXT($E411,"0")&amp;"|"&amp;TEXT($F411,"0")&amp;"|"&amp;$I411)</f>
        <v/>
      </c>
      <c r="T411" s="3">
        <f>IF($E411="",0,SUMPRODUCT((AY_SONU!$O$7:$O$42="Evet")*(AY_SONU!$B$7:$B$42=DATE(YEAR($E411),MONTH($E411),1))))</f>
        <v/>
      </c>
    </row>
    <row r="412">
      <c r="A412" s="6" t="n"/>
      <c r="B412" s="113">
        <f>IF($D412="","","T"&amp;TEXT(ROW()-6,"00000"))</f>
        <v/>
      </c>
      <c r="C412" s="113">
        <f>IF($D412="","",IFERROR(INDEX(MUSTERILER!$B$7:$B$106,MATCH($R412,MUSTERILER!$T$7:$T$106,0)),IFERROR(INDEX(MUSTERILER!$B$7:$B$106,MATCH($D412,MUSTERILER!$B$7:$B$106,0)),IFERROR(INDEX(MUSTERILER!$B$7:$B$106,MATCH($R412&amp;"*",MUSTERILER!$T$7:$T$106,0)),"TANIMSIZ MÜŞTERİ"))))</f>
        <v/>
      </c>
      <c r="D412" s="109" t="inlineStr">
        <is>
          <t>ALTINEL LTD.ŞTİ.</t>
        </is>
      </c>
      <c r="E412" s="220" t="n">
        <v>46204</v>
      </c>
      <c r="F412" s="221" t="n">
        <v>12000</v>
      </c>
      <c r="G412" s="108" t="inlineStr">
        <is>
          <t>ÖMER KARTAL</t>
        </is>
      </c>
      <c r="H412" s="108" t="inlineStr">
        <is>
          <t>Nakit</t>
        </is>
      </c>
      <c r="I412" s="109" t="n"/>
      <c r="J412" s="109" t="inlineStr">
        <is>
          <t xml:space="preserve">ALTINEL LTD.ŞTİ. </t>
        </is>
      </c>
      <c r="K412" s="109" t="n"/>
      <c r="L412" s="226">
        <f>IF($E412="","",DATE(YEAR($E412),MONTH($E412),1))</f>
        <v/>
      </c>
      <c r="M412" s="113">
        <f>IF($D412="","",IF($C412="TANIMSIZ MÜŞTERİ","HATA",IF(OR($E412="",$F412&lt;=0,$G412=""),"EKSİK",IF($E412&gt;TODAY(),"İLERİ TARİH",IF(COUNTIF($S$7:$S$1506,$S412)&gt;1,"MÜKERRER?",IF($T412&gt;0,"KAPALI DÖNEM","UYGUN"))))))</f>
        <v/>
      </c>
      <c r="N412" s="121">
        <f>IF($C412="","",IF($C412="TANIMSIZ MÜŞTERİ","—",INDEX(MUSTERILER!$C$7:$C$106,MATCH($C412,MUSTERILER!$B$7:$B$106,0))))</f>
        <v/>
      </c>
      <c r="O412" s="6" t="n"/>
      <c r="P412" s="6" t="n"/>
      <c r="Q412" s="3">
        <f>IF($D412="","",$C412&amp;"|"&amp;COUNTIFS($C$7:$C412,$C412))</f>
        <v/>
      </c>
      <c r="R412" s="3">
        <f>IF($D412="","",UPPER(SUBSTITUTE(SUBSTITUTE(SUBSTITUTE(SUBSTITUTE(SUBSTITUTE(SUBSTITUTE(SUBSTITUTE(SUBSTITUTE(SUBSTITUTE(SUBSTITUTE(SUBSTITUTE(SUBSTITUTE(SUBSTITUTE(SUBSTITUTE(SUBSTITUTE(SUBSTITUTE(SUBSTITUTE(SUBSTITUTE(TRIM($D412),"'",""),"İ","I"),"ı","I"),"i","I"),"Ş","S"),"ş","S"),"Ğ","G"),"ğ","G"),"Ü","U"),"ü","U"),"Ö","O"),"ö","O"),"Ç","C"),"ç","C"),".",""),",","")," ",""),"-","")))</f>
        <v/>
      </c>
      <c r="S412" s="3">
        <f>IF($D412="","",$C412&amp;"|"&amp;TEXT($E412,"0")&amp;"|"&amp;TEXT($F412,"0")&amp;"|"&amp;$I412)</f>
        <v/>
      </c>
      <c r="T412" s="3">
        <f>IF($E412="",0,SUMPRODUCT((AY_SONU!$O$7:$O$42="Evet")*(AY_SONU!$B$7:$B$42=DATE(YEAR($E412),MONTH($E412),1))))</f>
        <v/>
      </c>
    </row>
    <row r="413">
      <c r="A413" s="6" t="n"/>
      <c r="B413" s="113">
        <f>IF($D413="","","T"&amp;TEXT(ROW()-6,"00000"))</f>
        <v/>
      </c>
      <c r="C413" s="113">
        <f>IF($D413="","",IFERROR(INDEX(MUSTERILER!$B$7:$B$106,MATCH($R413,MUSTERILER!$T$7:$T$106,0)),IFERROR(INDEX(MUSTERILER!$B$7:$B$106,MATCH($D413,MUSTERILER!$B$7:$B$106,0)),IFERROR(INDEX(MUSTERILER!$B$7:$B$106,MATCH($R413&amp;"*",MUSTERILER!$T$7:$T$106,0)),"TANIMSIZ MÜŞTERİ"))))</f>
        <v/>
      </c>
      <c r="D413" s="109" t="inlineStr">
        <is>
          <t>ASIM AÇIKGÖZ</t>
        </is>
      </c>
      <c r="E413" s="220" t="n">
        <v>46207</v>
      </c>
      <c r="F413" s="221" t="n">
        <v>2000</v>
      </c>
      <c r="G413" s="108" t="inlineStr">
        <is>
          <t>ÖMER KARTAL</t>
        </is>
      </c>
      <c r="H413" s="108" t="inlineStr">
        <is>
          <t>Nakit</t>
        </is>
      </c>
      <c r="I413" s="109" t="n"/>
      <c r="J413" s="109" t="inlineStr">
        <is>
          <t>NAKİT ÖDENEN</t>
        </is>
      </c>
      <c r="K413" s="109" t="n"/>
      <c r="L413" s="226">
        <f>IF($E413="","",DATE(YEAR($E413),MONTH($E413),1))</f>
        <v/>
      </c>
      <c r="M413" s="113">
        <f>IF($D413="","",IF($C413="TANIMSIZ MÜŞTERİ","HATA",IF(OR($E413="",$F413&lt;=0,$G413=""),"EKSİK",IF($E413&gt;TODAY(),"İLERİ TARİH",IF(COUNTIF($S$7:$S$1506,$S413)&gt;1,"MÜKERRER?",IF($T413&gt;0,"KAPALI DÖNEM","UYGUN"))))))</f>
        <v/>
      </c>
      <c r="N413" s="121">
        <f>IF($C413="","",IF($C413="TANIMSIZ MÜŞTERİ","—",INDEX(MUSTERILER!$C$7:$C$106,MATCH($C413,MUSTERILER!$B$7:$B$106,0))))</f>
        <v/>
      </c>
      <c r="O413" s="6" t="n"/>
      <c r="P413" s="6" t="n"/>
      <c r="Q413" s="3">
        <f>IF($D413="","",$C413&amp;"|"&amp;COUNTIFS($C$7:$C413,$C413))</f>
        <v/>
      </c>
      <c r="R413" s="3">
        <f>IF($D413="","",UPPER(SUBSTITUTE(SUBSTITUTE(SUBSTITUTE(SUBSTITUTE(SUBSTITUTE(SUBSTITUTE(SUBSTITUTE(SUBSTITUTE(SUBSTITUTE(SUBSTITUTE(SUBSTITUTE(SUBSTITUTE(SUBSTITUTE(SUBSTITUTE(SUBSTITUTE(SUBSTITUTE(SUBSTITUTE(SUBSTITUTE(TRIM($D413),"'",""),"İ","I"),"ı","I"),"i","I"),"Ş","S"),"ş","S"),"Ğ","G"),"ğ","G"),"Ü","U"),"ü","U"),"Ö","O"),"ö","O"),"Ç","C"),"ç","C"),".",""),",","")," ",""),"-","")))</f>
        <v/>
      </c>
      <c r="S413" s="3">
        <f>IF($D413="","",$C413&amp;"|"&amp;TEXT($E413,"0")&amp;"|"&amp;TEXT($F413,"0")&amp;"|"&amp;$I413)</f>
        <v/>
      </c>
      <c r="T413" s="3">
        <f>IF($E413="",0,SUMPRODUCT((AY_SONU!$O$7:$O$42="Evet")*(AY_SONU!$B$7:$B$42=DATE(YEAR($E413),MONTH($E413),1))))</f>
        <v/>
      </c>
    </row>
    <row r="414">
      <c r="A414" s="6" t="n"/>
      <c r="B414" s="113">
        <f>IF($D414="","","T"&amp;TEXT(ROW()-6,"00000"))</f>
        <v/>
      </c>
      <c r="C414" s="113">
        <f>IF($D414="","",IFERROR(INDEX(MUSTERILER!$B$7:$B$106,MATCH($R414,MUSTERILER!$T$7:$T$106,0)),IFERROR(INDEX(MUSTERILER!$B$7:$B$106,MATCH($D414,MUSTERILER!$B$7:$B$106,0)),IFERROR(INDEX(MUSTERILER!$B$7:$B$106,MATCH($R414&amp;"*",MUSTERILER!$T$7:$T$106,0)),"TANIMSIZ MÜŞTERİ"))))</f>
        <v/>
      </c>
      <c r="D414" s="109" t="inlineStr">
        <is>
          <t>ASM EĞLENCE LTD.ŞTİ.</t>
        </is>
      </c>
      <c r="E414" s="220" t="n">
        <v>46207</v>
      </c>
      <c r="F414" s="221" t="n">
        <v>2500</v>
      </c>
      <c r="G414" s="108" t="inlineStr">
        <is>
          <t>ÖMER KARTAL</t>
        </is>
      </c>
      <c r="H414" s="108" t="inlineStr">
        <is>
          <t>Nakit</t>
        </is>
      </c>
      <c r="I414" s="109" t="n"/>
      <c r="J414" s="109" t="inlineStr">
        <is>
          <t>NAKİT ÖDENEN</t>
        </is>
      </c>
      <c r="K414" s="109" t="n"/>
      <c r="L414" s="226">
        <f>IF($E414="","",DATE(YEAR($E414),MONTH($E414),1))</f>
        <v/>
      </c>
      <c r="M414" s="113">
        <f>IF($D414="","",IF($C414="TANIMSIZ MÜŞTERİ","HATA",IF(OR($E414="",$F414&lt;=0,$G414=""),"EKSİK",IF($E414&gt;TODAY(),"İLERİ TARİH",IF(COUNTIF($S$7:$S$1506,$S414)&gt;1,"MÜKERRER?",IF($T414&gt;0,"KAPALI DÖNEM","UYGUN"))))))</f>
        <v/>
      </c>
      <c r="N414" s="121">
        <f>IF($C414="","",IF($C414="TANIMSIZ MÜŞTERİ","—",INDEX(MUSTERILER!$C$7:$C$106,MATCH($C414,MUSTERILER!$B$7:$B$106,0))))</f>
        <v/>
      </c>
      <c r="O414" s="6" t="n"/>
      <c r="P414" s="6" t="n"/>
      <c r="Q414" s="3">
        <f>IF($D414="","",$C414&amp;"|"&amp;COUNTIFS($C$7:$C414,$C414))</f>
        <v/>
      </c>
      <c r="R414" s="3">
        <f>IF($D414="","",UPPER(SUBSTITUTE(SUBSTITUTE(SUBSTITUTE(SUBSTITUTE(SUBSTITUTE(SUBSTITUTE(SUBSTITUTE(SUBSTITUTE(SUBSTITUTE(SUBSTITUTE(SUBSTITUTE(SUBSTITUTE(SUBSTITUTE(SUBSTITUTE(SUBSTITUTE(SUBSTITUTE(SUBSTITUTE(SUBSTITUTE(TRIM($D414),"'",""),"İ","I"),"ı","I"),"i","I"),"Ş","S"),"ş","S"),"Ğ","G"),"ğ","G"),"Ü","U"),"ü","U"),"Ö","O"),"ö","O"),"Ç","C"),"ç","C"),".",""),",","")," ",""),"-","")))</f>
        <v/>
      </c>
      <c r="S414" s="3">
        <f>IF($D414="","",$C414&amp;"|"&amp;TEXT($E414,"0")&amp;"|"&amp;TEXT($F414,"0")&amp;"|"&amp;$I414)</f>
        <v/>
      </c>
      <c r="T414" s="3">
        <f>IF($E414="",0,SUMPRODUCT((AY_SONU!$O$7:$O$42="Evet")*(AY_SONU!$B$7:$B$42=DATE(YEAR($E414),MONTH($E414),1))))</f>
        <v/>
      </c>
    </row>
    <row r="415">
      <c r="A415" s="6" t="n"/>
      <c r="B415" s="113">
        <f>IF($D415="","","T"&amp;TEXT(ROW()-6,"00000"))</f>
        <v/>
      </c>
      <c r="C415" s="113">
        <f>IF($D415="","",IFERROR(INDEX(MUSTERILER!$B$7:$B$106,MATCH($R415,MUSTERILER!$T$7:$T$106,0)),IFERROR(INDEX(MUSTERILER!$B$7:$B$106,MATCH($D415,MUSTERILER!$B$7:$B$106,0)),IFERROR(INDEX(MUSTERILER!$B$7:$B$106,MATCH($R415&amp;"*",MUSTERILER!$T$7:$T$106,0)),"TANIMSIZ MÜŞTERİ"))))</f>
        <v/>
      </c>
      <c r="D415" s="109" t="inlineStr">
        <is>
          <t>Çayıralan Ltd.Şti.</t>
        </is>
      </c>
      <c r="E415" s="220" t="n">
        <v>46207</v>
      </c>
      <c r="F415" s="221" t="n">
        <v>3000</v>
      </c>
      <c r="G415" s="108" t="inlineStr">
        <is>
          <t>ÖMER KARTAL</t>
        </is>
      </c>
      <c r="H415" s="108" t="inlineStr">
        <is>
          <t>Nakit</t>
        </is>
      </c>
      <c r="I415" s="109" t="n"/>
      <c r="J415" s="109" t="inlineStr">
        <is>
          <t>ÖMER KARTALA ÖDENEN</t>
        </is>
      </c>
      <c r="K415" s="109" t="n"/>
      <c r="L415" s="226">
        <f>IF($E415="","",DATE(YEAR($E415),MONTH($E415),1))</f>
        <v/>
      </c>
      <c r="M415" s="113">
        <f>IF($D415="","",IF($C415="TANIMSIZ MÜŞTERİ","HATA",IF(OR($E415="",$F415&lt;=0,$G415=""),"EKSİK",IF($E415&gt;TODAY(),"İLERİ TARİH",IF(COUNTIF($S$7:$S$1506,$S415)&gt;1,"MÜKERRER?",IF($T415&gt;0,"KAPALI DÖNEM","UYGUN"))))))</f>
        <v/>
      </c>
      <c r="N415" s="121">
        <f>IF($C415="","",IF($C415="TANIMSIZ MÜŞTERİ","—",INDEX(MUSTERILER!$C$7:$C$106,MATCH($C415,MUSTERILER!$B$7:$B$106,0))))</f>
        <v/>
      </c>
      <c r="O415" s="6" t="n"/>
      <c r="P415" s="6" t="n"/>
      <c r="Q415" s="3">
        <f>IF($D415="","",$C415&amp;"|"&amp;COUNTIFS($C$7:$C415,$C415))</f>
        <v/>
      </c>
      <c r="R415" s="3">
        <f>IF($D415="","",UPPER(SUBSTITUTE(SUBSTITUTE(SUBSTITUTE(SUBSTITUTE(SUBSTITUTE(SUBSTITUTE(SUBSTITUTE(SUBSTITUTE(SUBSTITUTE(SUBSTITUTE(SUBSTITUTE(SUBSTITUTE(SUBSTITUTE(SUBSTITUTE(SUBSTITUTE(SUBSTITUTE(SUBSTITUTE(SUBSTITUTE(TRIM($D415),"'",""),"İ","I"),"ı","I"),"i","I"),"Ş","S"),"ş","S"),"Ğ","G"),"ğ","G"),"Ü","U"),"ü","U"),"Ö","O"),"ö","O"),"Ç","C"),"ç","C"),".",""),",","")," ",""),"-","")))</f>
        <v/>
      </c>
      <c r="S415" s="3">
        <f>IF($D415="","",$C415&amp;"|"&amp;TEXT($E415,"0")&amp;"|"&amp;TEXT($F415,"0")&amp;"|"&amp;$I415)</f>
        <v/>
      </c>
      <c r="T415" s="3">
        <f>IF($E415="",0,SUMPRODUCT((AY_SONU!$O$7:$O$42="Evet")*(AY_SONU!$B$7:$B$42=DATE(YEAR($E415),MONTH($E415),1))))</f>
        <v/>
      </c>
    </row>
    <row r="416">
      <c r="A416" s="6" t="n"/>
      <c r="B416" s="113">
        <f>IF($D416="","","T"&amp;TEXT(ROW()-6,"00000"))</f>
        <v/>
      </c>
      <c r="C416" s="113">
        <f>IF($D416="","",IFERROR(INDEX(MUSTERILER!$B$7:$B$106,MATCH($R416,MUSTERILER!$T$7:$T$106,0)),IFERROR(INDEX(MUSTERILER!$B$7:$B$106,MATCH($D416,MUSTERILER!$B$7:$B$106,0)),IFERROR(INDEX(MUSTERILER!$B$7:$B$106,MATCH($R416&amp;"*",MUSTERILER!$T$7:$T$106,0)),"TANIMSIZ MÜŞTERİ"))))</f>
        <v/>
      </c>
      <c r="D416" s="109" t="inlineStr">
        <is>
          <t>Eğlengör Ltd.Şti.</t>
        </is>
      </c>
      <c r="E416" s="220" t="n">
        <v>46207</v>
      </c>
      <c r="F416" s="221" t="n">
        <v>4000</v>
      </c>
      <c r="G416" s="108" t="inlineStr">
        <is>
          <t>ÖMER KARTAL</t>
        </is>
      </c>
      <c r="H416" s="108" t="inlineStr">
        <is>
          <t>Nakit</t>
        </is>
      </c>
      <c r="I416" s="109" t="n"/>
      <c r="J416" s="109" t="inlineStr">
        <is>
          <t>ÖMER KARTALA ÖDENEN</t>
        </is>
      </c>
      <c r="K416" s="109" t="n"/>
      <c r="L416" s="226">
        <f>IF($E416="","",DATE(YEAR($E416),MONTH($E416),1))</f>
        <v/>
      </c>
      <c r="M416" s="113">
        <f>IF($D416="","",IF($C416="TANIMSIZ MÜŞTERİ","HATA",IF(OR($E416="",$F416&lt;=0,$G416=""),"EKSİK",IF($E416&gt;TODAY(),"İLERİ TARİH",IF(COUNTIF($S$7:$S$1506,$S416)&gt;1,"MÜKERRER?",IF($T416&gt;0,"KAPALI DÖNEM","UYGUN"))))))</f>
        <v/>
      </c>
      <c r="N416" s="121">
        <f>IF($C416="","",IF($C416="TANIMSIZ MÜŞTERİ","—",INDEX(MUSTERILER!$C$7:$C$106,MATCH($C416,MUSTERILER!$B$7:$B$106,0))))</f>
        <v/>
      </c>
      <c r="O416" s="6" t="n"/>
      <c r="P416" s="6" t="n"/>
      <c r="Q416" s="3">
        <f>IF($D416="","",$C416&amp;"|"&amp;COUNTIFS($C$7:$C416,$C416))</f>
        <v/>
      </c>
      <c r="R416" s="3">
        <f>IF($D416="","",UPPER(SUBSTITUTE(SUBSTITUTE(SUBSTITUTE(SUBSTITUTE(SUBSTITUTE(SUBSTITUTE(SUBSTITUTE(SUBSTITUTE(SUBSTITUTE(SUBSTITUTE(SUBSTITUTE(SUBSTITUTE(SUBSTITUTE(SUBSTITUTE(SUBSTITUTE(SUBSTITUTE(SUBSTITUTE(SUBSTITUTE(TRIM($D416),"'",""),"İ","I"),"ı","I"),"i","I"),"Ş","S"),"ş","S"),"Ğ","G"),"ğ","G"),"Ü","U"),"ü","U"),"Ö","O"),"ö","O"),"Ç","C"),"ç","C"),".",""),",","")," ",""),"-","")))</f>
        <v/>
      </c>
      <c r="S416" s="3">
        <f>IF($D416="","",$C416&amp;"|"&amp;TEXT($E416,"0")&amp;"|"&amp;TEXT($F416,"0")&amp;"|"&amp;$I416)</f>
        <v/>
      </c>
      <c r="T416" s="3">
        <f>IF($E416="",0,SUMPRODUCT((AY_SONU!$O$7:$O$42="Evet")*(AY_SONU!$B$7:$B$42=DATE(YEAR($E416),MONTH($E416),1))))</f>
        <v/>
      </c>
    </row>
    <row r="417">
      <c r="A417" s="6" t="n"/>
      <c r="B417" s="113">
        <f>IF($D417="","","T"&amp;TEXT(ROW()-6,"00000"))</f>
        <v/>
      </c>
      <c r="C417" s="113">
        <f>IF($D417="","",IFERROR(INDEX(MUSTERILER!$B$7:$B$106,MATCH($R417,MUSTERILER!$T$7:$T$106,0)),IFERROR(INDEX(MUSTERILER!$B$7:$B$106,MATCH($D417,MUSTERILER!$B$7:$B$106,0)),IFERROR(INDEX(MUSTERILER!$B$7:$B$106,MATCH($R417&amp;"*",MUSTERILER!$T$7:$T$106,0)),"TANIMSIZ MÜŞTERİ"))))</f>
        <v/>
      </c>
      <c r="D417" s="109" t="inlineStr">
        <is>
          <t>Final Siyah Beyaz Ltd.Şti.</t>
        </is>
      </c>
      <c r="E417" s="220" t="n">
        <v>46207</v>
      </c>
      <c r="F417" s="221" t="n">
        <v>4000</v>
      </c>
      <c r="G417" s="108" t="inlineStr">
        <is>
          <t>ÖMER KARTAL</t>
        </is>
      </c>
      <c r="H417" s="108" t="inlineStr">
        <is>
          <t>Nakit</t>
        </is>
      </c>
      <c r="I417" s="109" t="n"/>
      <c r="J417" s="109" t="inlineStr">
        <is>
          <t>ÖMER KARTALA ÖDENEN</t>
        </is>
      </c>
      <c r="K417" s="109" t="n"/>
      <c r="L417" s="226">
        <f>IF($E417="","",DATE(YEAR($E417),MONTH($E417),1))</f>
        <v/>
      </c>
      <c r="M417" s="113">
        <f>IF($D417="","",IF($C417="TANIMSIZ MÜŞTERİ","HATA",IF(OR($E417="",$F417&lt;=0,$G417=""),"EKSİK",IF($E417&gt;TODAY(),"İLERİ TARİH",IF(COUNTIF($S$7:$S$1506,$S417)&gt;1,"MÜKERRER?",IF($T417&gt;0,"KAPALI DÖNEM","UYGUN"))))))</f>
        <v/>
      </c>
      <c r="N417" s="121">
        <f>IF($C417="","",IF($C417="TANIMSIZ MÜŞTERİ","—",INDEX(MUSTERILER!$C$7:$C$106,MATCH($C417,MUSTERILER!$B$7:$B$106,0))))</f>
        <v/>
      </c>
      <c r="O417" s="6" t="n"/>
      <c r="P417" s="6" t="n"/>
      <c r="Q417" s="3">
        <f>IF($D417="","",$C417&amp;"|"&amp;COUNTIFS($C$7:$C417,$C417))</f>
        <v/>
      </c>
      <c r="R417" s="3">
        <f>IF($D417="","",UPPER(SUBSTITUTE(SUBSTITUTE(SUBSTITUTE(SUBSTITUTE(SUBSTITUTE(SUBSTITUTE(SUBSTITUTE(SUBSTITUTE(SUBSTITUTE(SUBSTITUTE(SUBSTITUTE(SUBSTITUTE(SUBSTITUTE(SUBSTITUTE(SUBSTITUTE(SUBSTITUTE(SUBSTITUTE(SUBSTITUTE(TRIM($D417),"'",""),"İ","I"),"ı","I"),"i","I"),"Ş","S"),"ş","S"),"Ğ","G"),"ğ","G"),"Ü","U"),"ü","U"),"Ö","O"),"ö","O"),"Ç","C"),"ç","C"),".",""),",","")," ",""),"-","")))</f>
        <v/>
      </c>
      <c r="S417" s="3">
        <f>IF($D417="","",$C417&amp;"|"&amp;TEXT($E417,"0")&amp;"|"&amp;TEXT($F417,"0")&amp;"|"&amp;$I417)</f>
        <v/>
      </c>
      <c r="T417" s="3">
        <f>IF($E417="",0,SUMPRODUCT((AY_SONU!$O$7:$O$42="Evet")*(AY_SONU!$B$7:$B$42=DATE(YEAR($E417),MONTH($E417),1))))</f>
        <v/>
      </c>
    </row>
    <row r="418">
      <c r="A418" s="6" t="n"/>
      <c r="B418" s="113">
        <f>IF($D418="","","T"&amp;TEXT(ROW()-6,"00000"))</f>
        <v/>
      </c>
      <c r="C418" s="113">
        <f>IF($D418="","",IFERROR(INDEX(MUSTERILER!$B$7:$B$106,MATCH($R418,MUSTERILER!$T$7:$T$106,0)),IFERROR(INDEX(MUSTERILER!$B$7:$B$106,MATCH($D418,MUSTERILER!$B$7:$B$106,0)),IFERROR(INDEX(MUSTERILER!$B$7:$B$106,MATCH($R418&amp;"*",MUSTERILER!$T$7:$T$106,0)),"TANIMSIZ MÜŞTERİ"))))</f>
        <v/>
      </c>
      <c r="D418" s="109" t="inlineStr">
        <is>
          <t>Naz 1 Gıda Ltd.Şti.</t>
        </is>
      </c>
      <c r="E418" s="220" t="n">
        <v>46207</v>
      </c>
      <c r="F418" s="221" t="n">
        <v>2000</v>
      </c>
      <c r="G418" s="108" t="inlineStr">
        <is>
          <t>ÖMER KARTAL</t>
        </is>
      </c>
      <c r="H418" s="108" t="inlineStr">
        <is>
          <t>Nakit</t>
        </is>
      </c>
      <c r="I418" s="109" t="n"/>
      <c r="J418" s="109" t="inlineStr">
        <is>
          <t>ÖMER KARTALA ÖDENEN</t>
        </is>
      </c>
      <c r="K418" s="109" t="n"/>
      <c r="L418" s="226">
        <f>IF($E418="","",DATE(YEAR($E418),MONTH($E418),1))</f>
        <v/>
      </c>
      <c r="M418" s="113">
        <f>IF($D418="","",IF($C418="TANIMSIZ MÜŞTERİ","HATA",IF(OR($E418="",$F418&lt;=0,$G418=""),"EKSİK",IF($E418&gt;TODAY(),"İLERİ TARİH",IF(COUNTIF($S$7:$S$1506,$S418)&gt;1,"MÜKERRER?",IF($T418&gt;0,"KAPALI DÖNEM","UYGUN"))))))</f>
        <v/>
      </c>
      <c r="N418" s="121">
        <f>IF($C418="","",IF($C418="TANIMSIZ MÜŞTERİ","—",INDEX(MUSTERILER!$C$7:$C$106,MATCH($C418,MUSTERILER!$B$7:$B$106,0))))</f>
        <v/>
      </c>
      <c r="O418" s="6" t="n"/>
      <c r="P418" s="6" t="n"/>
      <c r="Q418" s="3">
        <f>IF($D418="","",$C418&amp;"|"&amp;COUNTIFS($C$7:$C418,$C418))</f>
        <v/>
      </c>
      <c r="R418" s="3">
        <f>IF($D418="","",UPPER(SUBSTITUTE(SUBSTITUTE(SUBSTITUTE(SUBSTITUTE(SUBSTITUTE(SUBSTITUTE(SUBSTITUTE(SUBSTITUTE(SUBSTITUTE(SUBSTITUTE(SUBSTITUTE(SUBSTITUTE(SUBSTITUTE(SUBSTITUTE(SUBSTITUTE(SUBSTITUTE(SUBSTITUTE(SUBSTITUTE(TRIM($D418),"'",""),"İ","I"),"ı","I"),"i","I"),"Ş","S"),"ş","S"),"Ğ","G"),"ğ","G"),"Ü","U"),"ü","U"),"Ö","O"),"ö","O"),"Ç","C"),"ç","C"),".",""),",","")," ",""),"-","")))</f>
        <v/>
      </c>
      <c r="S418" s="3">
        <f>IF($D418="","",$C418&amp;"|"&amp;TEXT($E418,"0")&amp;"|"&amp;TEXT($F418,"0")&amp;"|"&amp;$I418)</f>
        <v/>
      </c>
      <c r="T418" s="3">
        <f>IF($E418="",0,SUMPRODUCT((AY_SONU!$O$7:$O$42="Evet")*(AY_SONU!$B$7:$B$42=DATE(YEAR($E418),MONTH($E418),1))))</f>
        <v/>
      </c>
    </row>
    <row r="419">
      <c r="A419" s="6" t="n"/>
      <c r="B419" s="113">
        <f>IF($D419="","","T"&amp;TEXT(ROW()-6,"00000"))</f>
        <v/>
      </c>
      <c r="C419" s="113">
        <f>IF($D419="","",IFERROR(INDEX(MUSTERILER!$B$7:$B$106,MATCH($R419,MUSTERILER!$T$7:$T$106,0)),IFERROR(INDEX(MUSTERILER!$B$7:$B$106,MATCH($D419,MUSTERILER!$B$7:$B$106,0)),IFERROR(INDEX(MUSTERILER!$B$7:$B$106,MATCH($R419&amp;"*",MUSTERILER!$T$7:$T$106,0)),"TANIMSIZ MÜŞTERİ"))))</f>
        <v/>
      </c>
      <c r="D419" s="109" t="inlineStr">
        <is>
          <t>Pakyıldız Ltd.Şti.</t>
        </is>
      </c>
      <c r="E419" s="220" t="n">
        <v>46207</v>
      </c>
      <c r="F419" s="221" t="n">
        <v>4000</v>
      </c>
      <c r="G419" s="108" t="inlineStr">
        <is>
          <t>ÖMER KARTAL</t>
        </is>
      </c>
      <c r="H419" s="108" t="inlineStr">
        <is>
          <t>Nakit</t>
        </is>
      </c>
      <c r="I419" s="109" t="n"/>
      <c r="J419" s="109" t="inlineStr">
        <is>
          <t>ÖMER KARTALA ÖDENEN</t>
        </is>
      </c>
      <c r="K419" s="109" t="n"/>
      <c r="L419" s="226">
        <f>IF($E419="","",DATE(YEAR($E419),MONTH($E419),1))</f>
        <v/>
      </c>
      <c r="M419" s="113">
        <f>IF($D419="","",IF($C419="TANIMSIZ MÜŞTERİ","HATA",IF(OR($E419="",$F419&lt;=0,$G419=""),"EKSİK",IF($E419&gt;TODAY(),"İLERİ TARİH",IF(COUNTIF($S$7:$S$1506,$S419)&gt;1,"MÜKERRER?",IF($T419&gt;0,"KAPALI DÖNEM","UYGUN"))))))</f>
        <v/>
      </c>
      <c r="N419" s="121">
        <f>IF($C419="","",IF($C419="TANIMSIZ MÜŞTERİ","—",INDEX(MUSTERILER!$C$7:$C$106,MATCH($C419,MUSTERILER!$B$7:$B$106,0))))</f>
        <v/>
      </c>
      <c r="O419" s="6" t="n"/>
      <c r="P419" s="6" t="n"/>
      <c r="Q419" s="3">
        <f>IF($D419="","",$C419&amp;"|"&amp;COUNTIFS($C$7:$C419,$C419))</f>
        <v/>
      </c>
      <c r="R419" s="3">
        <f>IF($D419="","",UPPER(SUBSTITUTE(SUBSTITUTE(SUBSTITUTE(SUBSTITUTE(SUBSTITUTE(SUBSTITUTE(SUBSTITUTE(SUBSTITUTE(SUBSTITUTE(SUBSTITUTE(SUBSTITUTE(SUBSTITUTE(SUBSTITUTE(SUBSTITUTE(SUBSTITUTE(SUBSTITUTE(SUBSTITUTE(SUBSTITUTE(TRIM($D419),"'",""),"İ","I"),"ı","I"),"i","I"),"Ş","S"),"ş","S"),"Ğ","G"),"ğ","G"),"Ü","U"),"ü","U"),"Ö","O"),"ö","O"),"Ç","C"),"ç","C"),".",""),",","")," ",""),"-","")))</f>
        <v/>
      </c>
      <c r="S419" s="3">
        <f>IF($D419="","",$C419&amp;"|"&amp;TEXT($E419,"0")&amp;"|"&amp;TEXT($F419,"0")&amp;"|"&amp;$I419)</f>
        <v/>
      </c>
      <c r="T419" s="3">
        <f>IF($E419="",0,SUMPRODUCT((AY_SONU!$O$7:$O$42="Evet")*(AY_SONU!$B$7:$B$42=DATE(YEAR($E419),MONTH($E419),1))))</f>
        <v/>
      </c>
    </row>
    <row r="420">
      <c r="A420" s="6" t="n"/>
      <c r="B420" s="113">
        <f>IF($D420="","","T"&amp;TEXT(ROW()-6,"00000"))</f>
        <v/>
      </c>
      <c r="C420" s="113">
        <f>IF($D420="","",IFERROR(INDEX(MUSTERILER!$B$7:$B$106,MATCH($R420,MUSTERILER!$T$7:$T$106,0)),IFERROR(INDEX(MUSTERILER!$B$7:$B$106,MATCH($D420,MUSTERILER!$B$7:$B$106,0)),IFERROR(INDEX(MUSTERILER!$B$7:$B$106,MATCH($R420&amp;"*",MUSTERILER!$T$7:$T$106,0)),"TANIMSIZ MÜŞTERİ"))))</f>
        <v/>
      </c>
      <c r="D420" s="109" t="inlineStr">
        <is>
          <t>Rix Şow Ltd.Şti.</t>
        </is>
      </c>
      <c r="E420" s="220" t="n">
        <v>46207</v>
      </c>
      <c r="F420" s="221" t="n">
        <v>3000</v>
      </c>
      <c r="G420" s="108" t="inlineStr">
        <is>
          <t>ÖMER KARTAL</t>
        </is>
      </c>
      <c r="H420" s="108" t="inlineStr">
        <is>
          <t>Nakit</t>
        </is>
      </c>
      <c r="I420" s="109" t="n"/>
      <c r="J420" s="109" t="inlineStr">
        <is>
          <t>ÖMER KARTALA ÖDENEN</t>
        </is>
      </c>
      <c r="K420" s="109" t="n"/>
      <c r="L420" s="226">
        <f>IF($E420="","",DATE(YEAR($E420),MONTH($E420),1))</f>
        <v/>
      </c>
      <c r="M420" s="113">
        <f>IF($D420="","",IF($C420="TANIMSIZ MÜŞTERİ","HATA",IF(OR($E420="",$F420&lt;=0,$G420=""),"EKSİK",IF($E420&gt;TODAY(),"İLERİ TARİH",IF(COUNTIF($S$7:$S$1506,$S420)&gt;1,"MÜKERRER?",IF($T420&gt;0,"KAPALI DÖNEM","UYGUN"))))))</f>
        <v/>
      </c>
      <c r="N420" s="121">
        <f>IF($C420="","",IF($C420="TANIMSIZ MÜŞTERİ","—",INDEX(MUSTERILER!$C$7:$C$106,MATCH($C420,MUSTERILER!$B$7:$B$106,0))))</f>
        <v/>
      </c>
      <c r="O420" s="6" t="n"/>
      <c r="P420" s="6" t="n"/>
      <c r="Q420" s="3">
        <f>IF($D420="","",$C420&amp;"|"&amp;COUNTIFS($C$7:$C420,$C420))</f>
        <v/>
      </c>
      <c r="R420" s="3">
        <f>IF($D420="","",UPPER(SUBSTITUTE(SUBSTITUTE(SUBSTITUTE(SUBSTITUTE(SUBSTITUTE(SUBSTITUTE(SUBSTITUTE(SUBSTITUTE(SUBSTITUTE(SUBSTITUTE(SUBSTITUTE(SUBSTITUTE(SUBSTITUTE(SUBSTITUTE(SUBSTITUTE(SUBSTITUTE(SUBSTITUTE(SUBSTITUTE(TRIM($D420),"'",""),"İ","I"),"ı","I"),"i","I"),"Ş","S"),"ş","S"),"Ğ","G"),"ğ","G"),"Ü","U"),"ü","U"),"Ö","O"),"ö","O"),"Ç","C"),"ç","C"),".",""),",","")," ",""),"-","")))</f>
        <v/>
      </c>
      <c r="S420" s="3">
        <f>IF($D420="","",$C420&amp;"|"&amp;TEXT($E420,"0")&amp;"|"&amp;TEXT($F420,"0")&amp;"|"&amp;$I420)</f>
        <v/>
      </c>
      <c r="T420" s="3">
        <f>IF($E420="",0,SUMPRODUCT((AY_SONU!$O$7:$O$42="Evet")*(AY_SONU!$B$7:$B$42=DATE(YEAR($E420),MONTH($E420),1))))</f>
        <v/>
      </c>
    </row>
    <row r="421">
      <c r="A421" s="6" t="n"/>
      <c r="B421" s="113">
        <f>IF($D421="","","T"&amp;TEXT(ROW()-6,"00000"))</f>
        <v/>
      </c>
      <c r="C421" s="113">
        <f>IF($D421="","",IFERROR(INDEX(MUSTERILER!$B$7:$B$106,MATCH($R421,MUSTERILER!$T$7:$T$106,0)),IFERROR(INDEX(MUSTERILER!$B$7:$B$106,MATCH($D421,MUSTERILER!$B$7:$B$106,0)),IFERROR(INDEX(MUSTERILER!$B$7:$B$106,MATCH($R421&amp;"*",MUSTERILER!$T$7:$T$106,0)),"TANIMSIZ MÜŞTERİ"))))</f>
        <v/>
      </c>
      <c r="D421" s="109" t="inlineStr">
        <is>
          <t>SEMRA GÜMÜŞ</t>
        </is>
      </c>
      <c r="E421" s="220" t="n">
        <v>46207</v>
      </c>
      <c r="F421" s="221" t="n">
        <v>2000</v>
      </c>
      <c r="G421" s="108" t="inlineStr">
        <is>
          <t>MERKEZ KASA</t>
        </is>
      </c>
      <c r="H421" s="108" t="inlineStr">
        <is>
          <t>Nakit</t>
        </is>
      </c>
      <c r="I421" s="109" t="n"/>
      <c r="J421" s="109" t="inlineStr">
        <is>
          <t>NAKİT ÖDENEN</t>
        </is>
      </c>
      <c r="K421" s="109" t="n"/>
      <c r="L421" s="226">
        <f>IF($E421="","",DATE(YEAR($E421),MONTH($E421),1))</f>
        <v/>
      </c>
      <c r="M421" s="113">
        <f>IF($D421="","",IF($C421="TANIMSIZ MÜŞTERİ","HATA",IF(OR($E421="",$F421&lt;=0,$G421=""),"EKSİK",IF($E421&gt;TODAY(),"İLERİ TARİH",IF(COUNTIF($S$7:$S$1506,$S421)&gt;1,"MÜKERRER?",IF($T421&gt;0,"KAPALI DÖNEM","UYGUN"))))))</f>
        <v/>
      </c>
      <c r="N421" s="121">
        <f>IF($C421="","",IF($C421="TANIMSIZ MÜŞTERİ","—",INDEX(MUSTERILER!$C$7:$C$106,MATCH($C421,MUSTERILER!$B$7:$B$106,0))))</f>
        <v/>
      </c>
      <c r="O421" s="6" t="n"/>
      <c r="P421" s="6" t="n"/>
      <c r="Q421" s="3">
        <f>IF($D421="","",$C421&amp;"|"&amp;COUNTIFS($C$7:$C421,$C421))</f>
        <v/>
      </c>
      <c r="R421" s="3">
        <f>IF($D421="","",UPPER(SUBSTITUTE(SUBSTITUTE(SUBSTITUTE(SUBSTITUTE(SUBSTITUTE(SUBSTITUTE(SUBSTITUTE(SUBSTITUTE(SUBSTITUTE(SUBSTITUTE(SUBSTITUTE(SUBSTITUTE(SUBSTITUTE(SUBSTITUTE(SUBSTITUTE(SUBSTITUTE(SUBSTITUTE(SUBSTITUTE(TRIM($D421),"'",""),"İ","I"),"ı","I"),"i","I"),"Ş","S"),"ş","S"),"Ğ","G"),"ğ","G"),"Ü","U"),"ü","U"),"Ö","O"),"ö","O"),"Ç","C"),"ç","C"),".",""),",","")," ",""),"-","")))</f>
        <v/>
      </c>
      <c r="S421" s="3">
        <f>IF($D421="","",$C421&amp;"|"&amp;TEXT($E421,"0")&amp;"|"&amp;TEXT($F421,"0")&amp;"|"&amp;$I421)</f>
        <v/>
      </c>
      <c r="T421" s="3">
        <f>IF($E421="",0,SUMPRODUCT((AY_SONU!$O$7:$O$42="Evet")*(AY_SONU!$B$7:$B$42=DATE(YEAR($E421),MONTH($E421),1))))</f>
        <v/>
      </c>
    </row>
    <row r="422">
      <c r="A422" s="6" t="n"/>
      <c r="B422" s="113">
        <f>IF($D422="","","T"&amp;TEXT(ROW()-6,"00000"))</f>
        <v/>
      </c>
      <c r="C422" s="113">
        <f>IF($D422="","",IFERROR(INDEX(MUSTERILER!$B$7:$B$106,MATCH($R422,MUSTERILER!$T$7:$T$106,0)),IFERROR(INDEX(MUSTERILER!$B$7:$B$106,MATCH($D422,MUSTERILER!$B$7:$B$106,0)),IFERROR(INDEX(MUSTERILER!$B$7:$B$106,MATCH($R422&amp;"*",MUSTERILER!$T$7:$T$106,0)),"TANIMSIZ MÜŞTERİ"))))</f>
        <v/>
      </c>
      <c r="D422" s="109" t="inlineStr">
        <is>
          <t>YALIKENT LTD.ŞTİ.</t>
        </is>
      </c>
      <c r="E422" s="220" t="n">
        <v>46207</v>
      </c>
      <c r="F422" s="221" t="n">
        <v>5000</v>
      </c>
      <c r="G422" s="108" t="inlineStr">
        <is>
          <t>MERKEZ KASA</t>
        </is>
      </c>
      <c r="H422" s="108" t="inlineStr">
        <is>
          <t>Nakit</t>
        </is>
      </c>
      <c r="I422" s="109" t="n"/>
      <c r="J422" s="109" t="inlineStr">
        <is>
          <t>YALIKENT HAFTALIK MENDERES MAHSUP</t>
        </is>
      </c>
      <c r="K422" s="109" t="n"/>
      <c r="L422" s="226">
        <f>IF($E422="","",DATE(YEAR($E422),MONTH($E422),1))</f>
        <v/>
      </c>
      <c r="M422" s="113">
        <f>IF($D422="","",IF($C422="TANIMSIZ MÜŞTERİ","HATA",IF(OR($E422="",$F422&lt;=0,$G422=""),"EKSİK",IF($E422&gt;TODAY(),"İLERİ TARİH",IF(COUNTIF($S$7:$S$1506,$S422)&gt;1,"MÜKERRER?",IF($T422&gt;0,"KAPALI DÖNEM","UYGUN"))))))</f>
        <v/>
      </c>
      <c r="N422" s="121">
        <f>IF($C422="","",IF($C422="TANIMSIZ MÜŞTERİ","—",INDEX(MUSTERILER!$C$7:$C$106,MATCH($C422,MUSTERILER!$B$7:$B$106,0))))</f>
        <v/>
      </c>
      <c r="O422" s="6" t="n"/>
      <c r="P422" s="6" t="n"/>
      <c r="Q422" s="3">
        <f>IF($D422="","",$C422&amp;"|"&amp;COUNTIFS($C$7:$C422,$C422))</f>
        <v/>
      </c>
      <c r="R422" s="3">
        <f>IF($D422="","",UPPER(SUBSTITUTE(SUBSTITUTE(SUBSTITUTE(SUBSTITUTE(SUBSTITUTE(SUBSTITUTE(SUBSTITUTE(SUBSTITUTE(SUBSTITUTE(SUBSTITUTE(SUBSTITUTE(SUBSTITUTE(SUBSTITUTE(SUBSTITUTE(SUBSTITUTE(SUBSTITUTE(SUBSTITUTE(SUBSTITUTE(TRIM($D422),"'",""),"İ","I"),"ı","I"),"i","I"),"Ş","S"),"ş","S"),"Ğ","G"),"ğ","G"),"Ü","U"),"ü","U"),"Ö","O"),"ö","O"),"Ç","C"),"ç","C"),".",""),",","")," ",""),"-","")))</f>
        <v/>
      </c>
      <c r="S422" s="3">
        <f>IF($D422="","",$C422&amp;"|"&amp;TEXT($E422,"0")&amp;"|"&amp;TEXT($F422,"0")&amp;"|"&amp;$I422)</f>
        <v/>
      </c>
      <c r="T422" s="3">
        <f>IF($E422="",0,SUMPRODUCT((AY_SONU!$O$7:$O$42="Evet")*(AY_SONU!$B$7:$B$42=DATE(YEAR($E422),MONTH($E422),1))))</f>
        <v/>
      </c>
    </row>
    <row r="423">
      <c r="A423" s="6" t="n"/>
      <c r="B423" s="113">
        <f>IF($D423="","","T"&amp;TEXT(ROW()-6,"00000"))</f>
        <v/>
      </c>
      <c r="C423" s="113">
        <f>IF($D423="","",IFERROR(INDEX(MUSTERILER!$B$7:$B$106,MATCH($R423,MUSTERILER!$T$7:$T$106,0)),IFERROR(INDEX(MUSTERILER!$B$7:$B$106,MATCH($D423,MUSTERILER!$B$7:$B$106,0)),IFERROR(INDEX(MUSTERILER!$B$7:$B$106,MATCH($R423&amp;"*",MUSTERILER!$T$7:$T$106,0)),"TANIMSIZ MÜŞTERİ"))))</f>
        <v/>
      </c>
      <c r="D423" s="109" t="inlineStr">
        <is>
          <t>KRİSTAL LTD.ŞTİ.</t>
        </is>
      </c>
      <c r="E423" s="220" t="n">
        <v>46207</v>
      </c>
      <c r="F423" s="221" t="n">
        <v>3000</v>
      </c>
      <c r="G423" s="108" t="inlineStr">
        <is>
          <t>MERKEZ KASA</t>
        </is>
      </c>
      <c r="H423" s="108" t="inlineStr">
        <is>
          <t>Nakit</t>
        </is>
      </c>
      <c r="I423" s="109" t="n"/>
      <c r="J423" s="109" t="inlineStr">
        <is>
          <t>NAKİT ÖDENEN</t>
        </is>
      </c>
      <c r="K423" s="109" t="n"/>
      <c r="L423" s="226">
        <f>IF($E423="","",DATE(YEAR($E423),MONTH($E423),1))</f>
        <v/>
      </c>
      <c r="M423" s="113">
        <f>IF($D423="","",IF($C423="TANIMSIZ MÜŞTERİ","HATA",IF(OR($E423="",$F423&lt;=0,$G423=""),"EKSİK",IF($E423&gt;TODAY(),"İLERİ TARİH",IF(COUNTIF($S$7:$S$1506,$S423)&gt;1,"MÜKERRER?",IF($T423&gt;0,"KAPALI DÖNEM","UYGUN"))))))</f>
        <v/>
      </c>
      <c r="N423" s="121">
        <f>IF($C423="","",IF($C423="TANIMSIZ MÜŞTERİ","—",INDEX(MUSTERILER!$C$7:$C$106,MATCH($C423,MUSTERILER!$B$7:$B$106,0))))</f>
        <v/>
      </c>
      <c r="O423" s="6" t="n"/>
      <c r="P423" s="6" t="n"/>
      <c r="Q423" s="3">
        <f>IF($D423="","",$C423&amp;"|"&amp;COUNTIFS($C$7:$C423,$C423))</f>
        <v/>
      </c>
      <c r="R423" s="3">
        <f>IF($D423="","",UPPER(SUBSTITUTE(SUBSTITUTE(SUBSTITUTE(SUBSTITUTE(SUBSTITUTE(SUBSTITUTE(SUBSTITUTE(SUBSTITUTE(SUBSTITUTE(SUBSTITUTE(SUBSTITUTE(SUBSTITUTE(SUBSTITUTE(SUBSTITUTE(SUBSTITUTE(SUBSTITUTE(SUBSTITUTE(SUBSTITUTE(TRIM($D423),"'",""),"İ","I"),"ı","I"),"i","I"),"Ş","S"),"ş","S"),"Ğ","G"),"ğ","G"),"Ü","U"),"ü","U"),"Ö","O"),"ö","O"),"Ç","C"),"ç","C"),".",""),",","")," ",""),"-","")))</f>
        <v/>
      </c>
      <c r="S423" s="3">
        <f>IF($D423="","",$C423&amp;"|"&amp;TEXT($E423,"0")&amp;"|"&amp;TEXT($F423,"0")&amp;"|"&amp;$I423)</f>
        <v/>
      </c>
      <c r="T423" s="3">
        <f>IF($E423="",0,SUMPRODUCT((AY_SONU!$O$7:$O$42="Evet")*(AY_SONU!$B$7:$B$42=DATE(YEAR($E423),MONTH($E423),1))))</f>
        <v/>
      </c>
    </row>
    <row r="424">
      <c r="A424" s="6" t="n"/>
      <c r="B424" s="113">
        <f>IF($D424="","","T"&amp;TEXT(ROW()-6,"00000"))</f>
        <v/>
      </c>
      <c r="C424" s="113">
        <f>IF($D424="","",IFERROR(INDEX(MUSTERILER!$B$7:$B$106,MATCH($R424,MUSTERILER!$T$7:$T$106,0)),IFERROR(INDEX(MUSTERILER!$B$7:$B$106,MATCH($D424,MUSTERILER!$B$7:$B$106,0)),IFERROR(INDEX(MUSTERILER!$B$7:$B$106,MATCH($R424&amp;"*",MUSTERILER!$T$7:$T$106,0)),"TANIMSIZ MÜŞTERİ"))))</f>
        <v/>
      </c>
      <c r="D424" s="109" t="inlineStr">
        <is>
          <t>ASIM AÇIKGÖZ</t>
        </is>
      </c>
      <c r="E424" s="220" t="n">
        <v>46214</v>
      </c>
      <c r="F424" s="221" t="n">
        <v>2000</v>
      </c>
      <c r="G424" s="108" t="inlineStr">
        <is>
          <t>ÖMER KARTAL</t>
        </is>
      </c>
      <c r="H424" s="108" t="inlineStr">
        <is>
          <t>Nakit</t>
        </is>
      </c>
      <c r="I424" s="109" t="n"/>
      <c r="J424" s="109" t="inlineStr">
        <is>
          <t>NAKİT ÖDENEN</t>
        </is>
      </c>
      <c r="K424" s="109" t="n"/>
      <c r="L424" s="226">
        <f>IF($E424="","",DATE(YEAR($E424),MONTH($E424),1))</f>
        <v/>
      </c>
      <c r="M424" s="113">
        <f>IF($D424="","",IF($C424="TANIMSIZ MÜŞTERİ","HATA",IF(OR($E424="",$F424&lt;=0,$G424=""),"EKSİK",IF($E424&gt;TODAY(),"İLERİ TARİH",IF(COUNTIF($S$7:$S$1506,$S424)&gt;1,"MÜKERRER?",IF($T424&gt;0,"KAPALI DÖNEM","UYGUN"))))))</f>
        <v/>
      </c>
      <c r="N424" s="121">
        <f>IF($C424="","",IF($C424="TANIMSIZ MÜŞTERİ","—",INDEX(MUSTERILER!$C$7:$C$106,MATCH($C424,MUSTERILER!$B$7:$B$106,0))))</f>
        <v/>
      </c>
      <c r="O424" s="6" t="n"/>
      <c r="P424" s="6" t="n"/>
      <c r="Q424" s="3">
        <f>IF($D424="","",$C424&amp;"|"&amp;COUNTIFS($C$7:$C424,$C424))</f>
        <v/>
      </c>
      <c r="R424" s="3">
        <f>IF($D424="","",UPPER(SUBSTITUTE(SUBSTITUTE(SUBSTITUTE(SUBSTITUTE(SUBSTITUTE(SUBSTITUTE(SUBSTITUTE(SUBSTITUTE(SUBSTITUTE(SUBSTITUTE(SUBSTITUTE(SUBSTITUTE(SUBSTITUTE(SUBSTITUTE(SUBSTITUTE(SUBSTITUTE(SUBSTITUTE(SUBSTITUTE(TRIM($D424),"'",""),"İ","I"),"ı","I"),"i","I"),"Ş","S"),"ş","S"),"Ğ","G"),"ğ","G"),"Ü","U"),"ü","U"),"Ö","O"),"ö","O"),"Ç","C"),"ç","C"),".",""),",","")," ",""),"-","")))</f>
        <v/>
      </c>
      <c r="S424" s="3">
        <f>IF($D424="","",$C424&amp;"|"&amp;TEXT($E424,"0")&amp;"|"&amp;TEXT($F424,"0")&amp;"|"&amp;$I424)</f>
        <v/>
      </c>
      <c r="T424" s="3">
        <f>IF($E424="",0,SUMPRODUCT((AY_SONU!$O$7:$O$42="Evet")*(AY_SONU!$B$7:$B$42=DATE(YEAR($E424),MONTH($E424),1))))</f>
        <v/>
      </c>
    </row>
    <row r="425">
      <c r="A425" s="6" t="n"/>
      <c r="B425" s="113">
        <f>IF($D425="","","T"&amp;TEXT(ROW()-6,"00000"))</f>
        <v/>
      </c>
      <c r="C425" s="113">
        <f>IF($D425="","",IFERROR(INDEX(MUSTERILER!$B$7:$B$106,MATCH($R425,MUSTERILER!$T$7:$T$106,0)),IFERROR(INDEX(MUSTERILER!$B$7:$B$106,MATCH($D425,MUSTERILER!$B$7:$B$106,0)),IFERROR(INDEX(MUSTERILER!$B$7:$B$106,MATCH($R425&amp;"*",MUSTERILER!$T$7:$T$106,0)),"TANIMSIZ MÜŞTERİ"))))</f>
        <v/>
      </c>
      <c r="D425" s="109" t="inlineStr">
        <is>
          <t>ASM EĞLENCE LTD.ŞTİ.</t>
        </is>
      </c>
      <c r="E425" s="220" t="n">
        <v>46214</v>
      </c>
      <c r="F425" s="221" t="n">
        <v>2500</v>
      </c>
      <c r="G425" s="108" t="inlineStr">
        <is>
          <t>ÖMER KARTAL</t>
        </is>
      </c>
      <c r="H425" s="108" t="inlineStr">
        <is>
          <t>Nakit</t>
        </is>
      </c>
      <c r="I425" s="109" t="n"/>
      <c r="J425" s="109" t="inlineStr">
        <is>
          <t>NAKİT ÖDENEN</t>
        </is>
      </c>
      <c r="K425" s="109" t="n"/>
      <c r="L425" s="226">
        <f>IF($E425="","",DATE(YEAR($E425),MONTH($E425),1))</f>
        <v/>
      </c>
      <c r="M425" s="113">
        <f>IF($D425="","",IF($C425="TANIMSIZ MÜŞTERİ","HATA",IF(OR($E425="",$F425&lt;=0,$G425=""),"EKSİK",IF($E425&gt;TODAY(),"İLERİ TARİH",IF(COUNTIF($S$7:$S$1506,$S425)&gt;1,"MÜKERRER?",IF($T425&gt;0,"KAPALI DÖNEM","UYGUN"))))))</f>
        <v/>
      </c>
      <c r="N425" s="121">
        <f>IF($C425="","",IF($C425="TANIMSIZ MÜŞTERİ","—",INDEX(MUSTERILER!$C$7:$C$106,MATCH($C425,MUSTERILER!$B$7:$B$106,0))))</f>
        <v/>
      </c>
      <c r="O425" s="6" t="n"/>
      <c r="P425" s="6" t="n"/>
      <c r="Q425" s="3">
        <f>IF($D425="","",$C425&amp;"|"&amp;COUNTIFS($C$7:$C425,$C425))</f>
        <v/>
      </c>
      <c r="R425" s="3">
        <f>IF($D425="","",UPPER(SUBSTITUTE(SUBSTITUTE(SUBSTITUTE(SUBSTITUTE(SUBSTITUTE(SUBSTITUTE(SUBSTITUTE(SUBSTITUTE(SUBSTITUTE(SUBSTITUTE(SUBSTITUTE(SUBSTITUTE(SUBSTITUTE(SUBSTITUTE(SUBSTITUTE(SUBSTITUTE(SUBSTITUTE(SUBSTITUTE(TRIM($D425),"'",""),"İ","I"),"ı","I"),"i","I"),"Ş","S"),"ş","S"),"Ğ","G"),"ğ","G"),"Ü","U"),"ü","U"),"Ö","O"),"ö","O"),"Ç","C"),"ç","C"),".",""),",","")," ",""),"-","")))</f>
        <v/>
      </c>
      <c r="S425" s="3">
        <f>IF($D425="","",$C425&amp;"|"&amp;TEXT($E425,"0")&amp;"|"&amp;TEXT($F425,"0")&amp;"|"&amp;$I425)</f>
        <v/>
      </c>
      <c r="T425" s="3">
        <f>IF($E425="",0,SUMPRODUCT((AY_SONU!$O$7:$O$42="Evet")*(AY_SONU!$B$7:$B$42=DATE(YEAR($E425),MONTH($E425),1))))</f>
        <v/>
      </c>
    </row>
    <row r="426">
      <c r="A426" s="6" t="n"/>
      <c r="B426" s="113">
        <f>IF($D426="","","T"&amp;TEXT(ROW()-6,"00000"))</f>
        <v/>
      </c>
      <c r="C426" s="113">
        <f>IF($D426="","",IFERROR(INDEX(MUSTERILER!$B$7:$B$106,MATCH($R426,MUSTERILER!$T$7:$T$106,0)),IFERROR(INDEX(MUSTERILER!$B$7:$B$106,MATCH($D426,MUSTERILER!$B$7:$B$106,0)),IFERROR(INDEX(MUSTERILER!$B$7:$B$106,MATCH($R426&amp;"*",MUSTERILER!$T$7:$T$106,0)),"TANIMSIZ MÜŞTERİ"))))</f>
        <v/>
      </c>
      <c r="D426" s="109" t="inlineStr">
        <is>
          <t>Çayıralan Ltd.Şti.</t>
        </is>
      </c>
      <c r="E426" s="220" t="n">
        <v>46214</v>
      </c>
      <c r="F426" s="221" t="n">
        <v>3000</v>
      </c>
      <c r="G426" s="108" t="inlineStr">
        <is>
          <t>ÖMER KARTAL</t>
        </is>
      </c>
      <c r="H426" s="108" t="inlineStr">
        <is>
          <t>Nakit</t>
        </is>
      </c>
      <c r="I426" s="109" t="n"/>
      <c r="J426" s="109" t="inlineStr">
        <is>
          <t>ÖMER KARTALA ÖDENEN</t>
        </is>
      </c>
      <c r="K426" s="109" t="n"/>
      <c r="L426" s="226">
        <f>IF($E426="","",DATE(YEAR($E426),MONTH($E426),1))</f>
        <v/>
      </c>
      <c r="M426" s="113">
        <f>IF($D426="","",IF($C426="TANIMSIZ MÜŞTERİ","HATA",IF(OR($E426="",$F426&lt;=0,$G426=""),"EKSİK",IF($E426&gt;TODAY(),"İLERİ TARİH",IF(COUNTIF($S$7:$S$1506,$S426)&gt;1,"MÜKERRER?",IF($T426&gt;0,"KAPALI DÖNEM","UYGUN"))))))</f>
        <v/>
      </c>
      <c r="N426" s="121">
        <f>IF($C426="","",IF($C426="TANIMSIZ MÜŞTERİ","—",INDEX(MUSTERILER!$C$7:$C$106,MATCH($C426,MUSTERILER!$B$7:$B$106,0))))</f>
        <v/>
      </c>
      <c r="O426" s="6" t="n"/>
      <c r="P426" s="6" t="n"/>
      <c r="Q426" s="3">
        <f>IF($D426="","",$C426&amp;"|"&amp;COUNTIFS($C$7:$C426,$C426))</f>
        <v/>
      </c>
      <c r="R426" s="3">
        <f>IF($D426="","",UPPER(SUBSTITUTE(SUBSTITUTE(SUBSTITUTE(SUBSTITUTE(SUBSTITUTE(SUBSTITUTE(SUBSTITUTE(SUBSTITUTE(SUBSTITUTE(SUBSTITUTE(SUBSTITUTE(SUBSTITUTE(SUBSTITUTE(SUBSTITUTE(SUBSTITUTE(SUBSTITUTE(SUBSTITUTE(SUBSTITUTE(TRIM($D426),"'",""),"İ","I"),"ı","I"),"i","I"),"Ş","S"),"ş","S"),"Ğ","G"),"ğ","G"),"Ü","U"),"ü","U"),"Ö","O"),"ö","O"),"Ç","C"),"ç","C"),".",""),",","")," ",""),"-","")))</f>
        <v/>
      </c>
      <c r="S426" s="3">
        <f>IF($D426="","",$C426&amp;"|"&amp;TEXT($E426,"0")&amp;"|"&amp;TEXT($F426,"0")&amp;"|"&amp;$I426)</f>
        <v/>
      </c>
      <c r="T426" s="3">
        <f>IF($E426="",0,SUMPRODUCT((AY_SONU!$O$7:$O$42="Evet")*(AY_SONU!$B$7:$B$42=DATE(YEAR($E426),MONTH($E426),1))))</f>
        <v/>
      </c>
    </row>
    <row r="427">
      <c r="A427" s="6" t="n"/>
      <c r="B427" s="113">
        <f>IF($D427="","","T"&amp;TEXT(ROW()-6,"00000"))</f>
        <v/>
      </c>
      <c r="C427" s="113">
        <f>IF($D427="","",IFERROR(INDEX(MUSTERILER!$B$7:$B$106,MATCH($R427,MUSTERILER!$T$7:$T$106,0)),IFERROR(INDEX(MUSTERILER!$B$7:$B$106,MATCH($D427,MUSTERILER!$B$7:$B$106,0)),IFERROR(INDEX(MUSTERILER!$B$7:$B$106,MATCH($R427&amp;"*",MUSTERILER!$T$7:$T$106,0)),"TANIMSIZ MÜŞTERİ"))))</f>
        <v/>
      </c>
      <c r="D427" s="109" t="inlineStr">
        <is>
          <t>Eğlengör Ltd.Şti.</t>
        </is>
      </c>
      <c r="E427" s="220" t="n">
        <v>46214</v>
      </c>
      <c r="F427" s="221" t="n">
        <v>4000</v>
      </c>
      <c r="G427" s="108" t="inlineStr">
        <is>
          <t>ÖMER KARTAL</t>
        </is>
      </c>
      <c r="H427" s="108" t="inlineStr">
        <is>
          <t>Nakit</t>
        </is>
      </c>
      <c r="I427" s="109" t="n"/>
      <c r="J427" s="109" t="inlineStr">
        <is>
          <t>ÖMER KARTALA ÖDENEN</t>
        </is>
      </c>
      <c r="K427" s="109" t="n"/>
      <c r="L427" s="226">
        <f>IF($E427="","",DATE(YEAR($E427),MONTH($E427),1))</f>
        <v/>
      </c>
      <c r="M427" s="113">
        <f>IF($D427="","",IF($C427="TANIMSIZ MÜŞTERİ","HATA",IF(OR($E427="",$F427&lt;=0,$G427=""),"EKSİK",IF($E427&gt;TODAY(),"İLERİ TARİH",IF(COUNTIF($S$7:$S$1506,$S427)&gt;1,"MÜKERRER?",IF($T427&gt;0,"KAPALI DÖNEM","UYGUN"))))))</f>
        <v/>
      </c>
      <c r="N427" s="121">
        <f>IF($C427="","",IF($C427="TANIMSIZ MÜŞTERİ","—",INDEX(MUSTERILER!$C$7:$C$106,MATCH($C427,MUSTERILER!$B$7:$B$106,0))))</f>
        <v/>
      </c>
      <c r="O427" s="6" t="n"/>
      <c r="P427" s="6" t="n"/>
      <c r="Q427" s="3">
        <f>IF($D427="","",$C427&amp;"|"&amp;COUNTIFS($C$7:$C427,$C427))</f>
        <v/>
      </c>
      <c r="R427" s="3">
        <f>IF($D427="","",UPPER(SUBSTITUTE(SUBSTITUTE(SUBSTITUTE(SUBSTITUTE(SUBSTITUTE(SUBSTITUTE(SUBSTITUTE(SUBSTITUTE(SUBSTITUTE(SUBSTITUTE(SUBSTITUTE(SUBSTITUTE(SUBSTITUTE(SUBSTITUTE(SUBSTITUTE(SUBSTITUTE(SUBSTITUTE(SUBSTITUTE(TRIM($D427),"'",""),"İ","I"),"ı","I"),"i","I"),"Ş","S"),"ş","S"),"Ğ","G"),"ğ","G"),"Ü","U"),"ü","U"),"Ö","O"),"ö","O"),"Ç","C"),"ç","C"),".",""),",","")," ",""),"-","")))</f>
        <v/>
      </c>
      <c r="S427" s="3">
        <f>IF($D427="","",$C427&amp;"|"&amp;TEXT($E427,"0")&amp;"|"&amp;TEXT($F427,"0")&amp;"|"&amp;$I427)</f>
        <v/>
      </c>
      <c r="T427" s="3">
        <f>IF($E427="",0,SUMPRODUCT((AY_SONU!$O$7:$O$42="Evet")*(AY_SONU!$B$7:$B$42=DATE(YEAR($E427),MONTH($E427),1))))</f>
        <v/>
      </c>
    </row>
    <row r="428">
      <c r="A428" s="6" t="n"/>
      <c r="B428" s="113">
        <f>IF($D428="","","T"&amp;TEXT(ROW()-6,"00000"))</f>
        <v/>
      </c>
      <c r="C428" s="113">
        <f>IF($D428="","",IFERROR(INDEX(MUSTERILER!$B$7:$B$106,MATCH($R428,MUSTERILER!$T$7:$T$106,0)),IFERROR(INDEX(MUSTERILER!$B$7:$B$106,MATCH($D428,MUSTERILER!$B$7:$B$106,0)),IFERROR(INDEX(MUSTERILER!$B$7:$B$106,MATCH($R428&amp;"*",MUSTERILER!$T$7:$T$106,0)),"TANIMSIZ MÜŞTERİ"))))</f>
        <v/>
      </c>
      <c r="D428" s="109" t="inlineStr">
        <is>
          <t>Final Siyah Beyaz Ltd.Şti.</t>
        </is>
      </c>
      <c r="E428" s="220" t="n">
        <v>46214</v>
      </c>
      <c r="F428" s="221" t="n">
        <v>4000</v>
      </c>
      <c r="G428" s="108" t="inlineStr">
        <is>
          <t>ÖMER KARTAL</t>
        </is>
      </c>
      <c r="H428" s="108" t="inlineStr">
        <is>
          <t>Nakit</t>
        </is>
      </c>
      <c r="I428" s="109" t="n"/>
      <c r="J428" s="109" t="inlineStr">
        <is>
          <t>ÖMER KARTALA ÖDENEN</t>
        </is>
      </c>
      <c r="K428" s="109" t="n"/>
      <c r="L428" s="226">
        <f>IF($E428="","",DATE(YEAR($E428),MONTH($E428),1))</f>
        <v/>
      </c>
      <c r="M428" s="113">
        <f>IF($D428="","",IF($C428="TANIMSIZ MÜŞTERİ","HATA",IF(OR($E428="",$F428&lt;=0,$G428=""),"EKSİK",IF($E428&gt;TODAY(),"İLERİ TARİH",IF(COUNTIF($S$7:$S$1506,$S428)&gt;1,"MÜKERRER?",IF($T428&gt;0,"KAPALI DÖNEM","UYGUN"))))))</f>
        <v/>
      </c>
      <c r="N428" s="121">
        <f>IF($C428="","",IF($C428="TANIMSIZ MÜŞTERİ","—",INDEX(MUSTERILER!$C$7:$C$106,MATCH($C428,MUSTERILER!$B$7:$B$106,0))))</f>
        <v/>
      </c>
      <c r="O428" s="6" t="n"/>
      <c r="P428" s="6" t="n"/>
      <c r="Q428" s="3">
        <f>IF($D428="","",$C428&amp;"|"&amp;COUNTIFS($C$7:$C428,$C428))</f>
        <v/>
      </c>
      <c r="R428" s="3">
        <f>IF($D428="","",UPPER(SUBSTITUTE(SUBSTITUTE(SUBSTITUTE(SUBSTITUTE(SUBSTITUTE(SUBSTITUTE(SUBSTITUTE(SUBSTITUTE(SUBSTITUTE(SUBSTITUTE(SUBSTITUTE(SUBSTITUTE(SUBSTITUTE(SUBSTITUTE(SUBSTITUTE(SUBSTITUTE(SUBSTITUTE(SUBSTITUTE(TRIM($D428),"'",""),"İ","I"),"ı","I"),"i","I"),"Ş","S"),"ş","S"),"Ğ","G"),"ğ","G"),"Ü","U"),"ü","U"),"Ö","O"),"ö","O"),"Ç","C"),"ç","C"),".",""),",","")," ",""),"-","")))</f>
        <v/>
      </c>
      <c r="S428" s="3">
        <f>IF($D428="","",$C428&amp;"|"&amp;TEXT($E428,"0")&amp;"|"&amp;TEXT($F428,"0")&amp;"|"&amp;$I428)</f>
        <v/>
      </c>
      <c r="T428" s="3">
        <f>IF($E428="",0,SUMPRODUCT((AY_SONU!$O$7:$O$42="Evet")*(AY_SONU!$B$7:$B$42=DATE(YEAR($E428),MONTH($E428),1))))</f>
        <v/>
      </c>
    </row>
    <row r="429">
      <c r="A429" s="6" t="n"/>
      <c r="B429" s="113">
        <f>IF($D429="","","T"&amp;TEXT(ROW()-6,"00000"))</f>
        <v/>
      </c>
      <c r="C429" s="113">
        <f>IF($D429="","",IFERROR(INDEX(MUSTERILER!$B$7:$B$106,MATCH($R429,MUSTERILER!$T$7:$T$106,0)),IFERROR(INDEX(MUSTERILER!$B$7:$B$106,MATCH($D429,MUSTERILER!$B$7:$B$106,0)),IFERROR(INDEX(MUSTERILER!$B$7:$B$106,MATCH($R429&amp;"*",MUSTERILER!$T$7:$T$106,0)),"TANIMSIZ MÜŞTERİ"))))</f>
        <v/>
      </c>
      <c r="D429" s="109" t="inlineStr">
        <is>
          <t>Naz 1 Gıda Ltd.Şti.</t>
        </is>
      </c>
      <c r="E429" s="220" t="n">
        <v>46214</v>
      </c>
      <c r="F429" s="221" t="n">
        <v>2000</v>
      </c>
      <c r="G429" s="108" t="inlineStr">
        <is>
          <t>ÖMER KARTAL</t>
        </is>
      </c>
      <c r="H429" s="108" t="inlineStr">
        <is>
          <t>Nakit</t>
        </is>
      </c>
      <c r="I429" s="109" t="n"/>
      <c r="J429" s="109" t="inlineStr">
        <is>
          <t>ÖMER KARTALA ÖDENEN</t>
        </is>
      </c>
      <c r="K429" s="109" t="n"/>
      <c r="L429" s="226">
        <f>IF($E429="","",DATE(YEAR($E429),MONTH($E429),1))</f>
        <v/>
      </c>
      <c r="M429" s="113">
        <f>IF($D429="","",IF($C429="TANIMSIZ MÜŞTERİ","HATA",IF(OR($E429="",$F429&lt;=0,$G429=""),"EKSİK",IF($E429&gt;TODAY(),"İLERİ TARİH",IF(COUNTIF($S$7:$S$1506,$S429)&gt;1,"MÜKERRER?",IF($T429&gt;0,"KAPALI DÖNEM","UYGUN"))))))</f>
        <v/>
      </c>
      <c r="N429" s="121">
        <f>IF($C429="","",IF($C429="TANIMSIZ MÜŞTERİ","—",INDEX(MUSTERILER!$C$7:$C$106,MATCH($C429,MUSTERILER!$B$7:$B$106,0))))</f>
        <v/>
      </c>
      <c r="O429" s="6" t="n"/>
      <c r="P429" s="6" t="n"/>
      <c r="Q429" s="3">
        <f>IF($D429="","",$C429&amp;"|"&amp;COUNTIFS($C$7:$C429,$C429))</f>
        <v/>
      </c>
      <c r="R429" s="3">
        <f>IF($D429="","",UPPER(SUBSTITUTE(SUBSTITUTE(SUBSTITUTE(SUBSTITUTE(SUBSTITUTE(SUBSTITUTE(SUBSTITUTE(SUBSTITUTE(SUBSTITUTE(SUBSTITUTE(SUBSTITUTE(SUBSTITUTE(SUBSTITUTE(SUBSTITUTE(SUBSTITUTE(SUBSTITUTE(SUBSTITUTE(SUBSTITUTE(TRIM($D429),"'",""),"İ","I"),"ı","I"),"i","I"),"Ş","S"),"ş","S"),"Ğ","G"),"ğ","G"),"Ü","U"),"ü","U"),"Ö","O"),"ö","O"),"Ç","C"),"ç","C"),".",""),",","")," ",""),"-","")))</f>
        <v/>
      </c>
      <c r="S429" s="3">
        <f>IF($D429="","",$C429&amp;"|"&amp;TEXT($E429,"0")&amp;"|"&amp;TEXT($F429,"0")&amp;"|"&amp;$I429)</f>
        <v/>
      </c>
      <c r="T429" s="3">
        <f>IF($E429="",0,SUMPRODUCT((AY_SONU!$O$7:$O$42="Evet")*(AY_SONU!$B$7:$B$42=DATE(YEAR($E429),MONTH($E429),1))))</f>
        <v/>
      </c>
    </row>
    <row r="430">
      <c r="A430" s="6" t="n"/>
      <c r="B430" s="113">
        <f>IF($D430="","","T"&amp;TEXT(ROW()-6,"00000"))</f>
        <v/>
      </c>
      <c r="C430" s="113">
        <f>IF($D430="","",IFERROR(INDEX(MUSTERILER!$B$7:$B$106,MATCH($R430,MUSTERILER!$T$7:$T$106,0)),IFERROR(INDEX(MUSTERILER!$B$7:$B$106,MATCH($D430,MUSTERILER!$B$7:$B$106,0)),IFERROR(INDEX(MUSTERILER!$B$7:$B$106,MATCH($R430&amp;"*",MUSTERILER!$T$7:$T$106,0)),"TANIMSIZ MÜŞTERİ"))))</f>
        <v/>
      </c>
      <c r="D430" s="109" t="inlineStr">
        <is>
          <t>Pakyıldız Ltd.Şti.</t>
        </is>
      </c>
      <c r="E430" s="220" t="n">
        <v>46214</v>
      </c>
      <c r="F430" s="221" t="n">
        <v>4000</v>
      </c>
      <c r="G430" s="108" t="inlineStr">
        <is>
          <t>ÖMER KARTAL</t>
        </is>
      </c>
      <c r="H430" s="108" t="inlineStr">
        <is>
          <t>Nakit</t>
        </is>
      </c>
      <c r="I430" s="109" t="n"/>
      <c r="J430" s="109" t="inlineStr">
        <is>
          <t>ÖMER KARTALA ÖDENEN</t>
        </is>
      </c>
      <c r="K430" s="109" t="n"/>
      <c r="L430" s="226">
        <f>IF($E430="","",DATE(YEAR($E430),MONTH($E430),1))</f>
        <v/>
      </c>
      <c r="M430" s="113">
        <f>IF($D430="","",IF($C430="TANIMSIZ MÜŞTERİ","HATA",IF(OR($E430="",$F430&lt;=0,$G430=""),"EKSİK",IF($E430&gt;TODAY(),"İLERİ TARİH",IF(COUNTIF($S$7:$S$1506,$S430)&gt;1,"MÜKERRER?",IF($T430&gt;0,"KAPALI DÖNEM","UYGUN"))))))</f>
        <v/>
      </c>
      <c r="N430" s="121">
        <f>IF($C430="","",IF($C430="TANIMSIZ MÜŞTERİ","—",INDEX(MUSTERILER!$C$7:$C$106,MATCH($C430,MUSTERILER!$B$7:$B$106,0))))</f>
        <v/>
      </c>
      <c r="O430" s="6" t="n"/>
      <c r="P430" s="6" t="n"/>
      <c r="Q430" s="3">
        <f>IF($D430="","",$C430&amp;"|"&amp;COUNTIFS($C$7:$C430,$C430))</f>
        <v/>
      </c>
      <c r="R430" s="3">
        <f>IF($D430="","",UPPER(SUBSTITUTE(SUBSTITUTE(SUBSTITUTE(SUBSTITUTE(SUBSTITUTE(SUBSTITUTE(SUBSTITUTE(SUBSTITUTE(SUBSTITUTE(SUBSTITUTE(SUBSTITUTE(SUBSTITUTE(SUBSTITUTE(SUBSTITUTE(SUBSTITUTE(SUBSTITUTE(SUBSTITUTE(SUBSTITUTE(TRIM($D430),"'",""),"İ","I"),"ı","I"),"i","I"),"Ş","S"),"ş","S"),"Ğ","G"),"ğ","G"),"Ü","U"),"ü","U"),"Ö","O"),"ö","O"),"Ç","C"),"ç","C"),".",""),",","")," ",""),"-","")))</f>
        <v/>
      </c>
      <c r="S430" s="3">
        <f>IF($D430="","",$C430&amp;"|"&amp;TEXT($E430,"0")&amp;"|"&amp;TEXT($F430,"0")&amp;"|"&amp;$I430)</f>
        <v/>
      </c>
      <c r="T430" s="3">
        <f>IF($E430="",0,SUMPRODUCT((AY_SONU!$O$7:$O$42="Evet")*(AY_SONU!$B$7:$B$42=DATE(YEAR($E430),MONTH($E430),1))))</f>
        <v/>
      </c>
    </row>
    <row r="431">
      <c r="A431" s="6" t="n"/>
      <c r="B431" s="113">
        <f>IF($D431="","","T"&amp;TEXT(ROW()-6,"00000"))</f>
        <v/>
      </c>
      <c r="C431" s="113">
        <f>IF($D431="","",IFERROR(INDEX(MUSTERILER!$B$7:$B$106,MATCH($R431,MUSTERILER!$T$7:$T$106,0)),IFERROR(INDEX(MUSTERILER!$B$7:$B$106,MATCH($D431,MUSTERILER!$B$7:$B$106,0)),IFERROR(INDEX(MUSTERILER!$B$7:$B$106,MATCH($R431&amp;"*",MUSTERILER!$T$7:$T$106,0)),"TANIMSIZ MÜŞTERİ"))))</f>
        <v/>
      </c>
      <c r="D431" s="109" t="inlineStr">
        <is>
          <t>Rix Şow Ltd.Şti.</t>
        </is>
      </c>
      <c r="E431" s="220" t="n">
        <v>46214</v>
      </c>
      <c r="F431" s="221" t="n">
        <v>3000</v>
      </c>
      <c r="G431" s="108" t="inlineStr">
        <is>
          <t>ÖMER KARTAL</t>
        </is>
      </c>
      <c r="H431" s="108" t="inlineStr">
        <is>
          <t>Nakit</t>
        </is>
      </c>
      <c r="I431" s="109" t="n"/>
      <c r="J431" s="109" t="inlineStr">
        <is>
          <t>ÖMER KARTALA ÖDENEN</t>
        </is>
      </c>
      <c r="K431" s="109" t="n"/>
      <c r="L431" s="226">
        <f>IF($E431="","",DATE(YEAR($E431),MONTH($E431),1))</f>
        <v/>
      </c>
      <c r="M431" s="113">
        <f>IF($D431="","",IF($C431="TANIMSIZ MÜŞTERİ","HATA",IF(OR($E431="",$F431&lt;=0,$G431=""),"EKSİK",IF($E431&gt;TODAY(),"İLERİ TARİH",IF(COUNTIF($S$7:$S$1506,$S431)&gt;1,"MÜKERRER?",IF($T431&gt;0,"KAPALI DÖNEM","UYGUN"))))))</f>
        <v/>
      </c>
      <c r="N431" s="121">
        <f>IF($C431="","",IF($C431="TANIMSIZ MÜŞTERİ","—",INDEX(MUSTERILER!$C$7:$C$106,MATCH($C431,MUSTERILER!$B$7:$B$106,0))))</f>
        <v/>
      </c>
      <c r="O431" s="6" t="n"/>
      <c r="P431" s="6" t="n"/>
      <c r="Q431" s="3">
        <f>IF($D431="","",$C431&amp;"|"&amp;COUNTIFS($C$7:$C431,$C431))</f>
        <v/>
      </c>
      <c r="R431" s="3">
        <f>IF($D431="","",UPPER(SUBSTITUTE(SUBSTITUTE(SUBSTITUTE(SUBSTITUTE(SUBSTITUTE(SUBSTITUTE(SUBSTITUTE(SUBSTITUTE(SUBSTITUTE(SUBSTITUTE(SUBSTITUTE(SUBSTITUTE(SUBSTITUTE(SUBSTITUTE(SUBSTITUTE(SUBSTITUTE(SUBSTITUTE(SUBSTITUTE(TRIM($D431),"'",""),"İ","I"),"ı","I"),"i","I"),"Ş","S"),"ş","S"),"Ğ","G"),"ğ","G"),"Ü","U"),"ü","U"),"Ö","O"),"ö","O"),"Ç","C"),"ç","C"),".",""),",","")," ",""),"-","")))</f>
        <v/>
      </c>
      <c r="S431" s="3">
        <f>IF($D431="","",$C431&amp;"|"&amp;TEXT($E431,"0")&amp;"|"&amp;TEXT($F431,"0")&amp;"|"&amp;$I431)</f>
        <v/>
      </c>
      <c r="T431" s="3">
        <f>IF($E431="",0,SUMPRODUCT((AY_SONU!$O$7:$O$42="Evet")*(AY_SONU!$B$7:$B$42=DATE(YEAR($E431),MONTH($E431),1))))</f>
        <v/>
      </c>
    </row>
    <row r="432">
      <c r="A432" s="6" t="n"/>
      <c r="B432" s="113">
        <f>IF($D432="","","T"&amp;TEXT(ROW()-6,"00000"))</f>
        <v/>
      </c>
      <c r="C432" s="113">
        <f>IF($D432="","",IFERROR(INDEX(MUSTERILER!$B$7:$B$106,MATCH($R432,MUSTERILER!$T$7:$T$106,0)),IFERROR(INDEX(MUSTERILER!$B$7:$B$106,MATCH($D432,MUSTERILER!$B$7:$B$106,0)),IFERROR(INDEX(MUSTERILER!$B$7:$B$106,MATCH($R432&amp;"*",MUSTERILER!$T$7:$T$106,0)),"TANIMSIZ MÜŞTERİ"))))</f>
        <v/>
      </c>
      <c r="D432" s="109" t="inlineStr">
        <is>
          <t>YALIKENT LTD.ŞTİ.</t>
        </is>
      </c>
      <c r="E432" s="220" t="n">
        <v>46214</v>
      </c>
      <c r="F432" s="221" t="n">
        <v>5000</v>
      </c>
      <c r="G432" s="108" t="inlineStr">
        <is>
          <t>MERKEZ KASA</t>
        </is>
      </c>
      <c r="H432" s="108" t="inlineStr">
        <is>
          <t>Nakit</t>
        </is>
      </c>
      <c r="I432" s="109" t="n"/>
      <c r="J432" s="109" t="inlineStr">
        <is>
          <t>YALIKENT HAFTALIK MENDERES MAHSUP</t>
        </is>
      </c>
      <c r="K432" s="109" t="n"/>
      <c r="L432" s="226">
        <f>IF($E432="","",DATE(YEAR($E432),MONTH($E432),1))</f>
        <v/>
      </c>
      <c r="M432" s="113">
        <f>IF($D432="","",IF($C432="TANIMSIZ MÜŞTERİ","HATA",IF(OR($E432="",$F432&lt;=0,$G432=""),"EKSİK",IF($E432&gt;TODAY(),"İLERİ TARİH",IF(COUNTIF($S$7:$S$1506,$S432)&gt;1,"MÜKERRER?",IF($T432&gt;0,"KAPALI DÖNEM","UYGUN"))))))</f>
        <v/>
      </c>
      <c r="N432" s="121">
        <f>IF($C432="","",IF($C432="TANIMSIZ MÜŞTERİ","—",INDEX(MUSTERILER!$C$7:$C$106,MATCH($C432,MUSTERILER!$B$7:$B$106,0))))</f>
        <v/>
      </c>
      <c r="O432" s="6" t="n"/>
      <c r="P432" s="6" t="n"/>
      <c r="Q432" s="3">
        <f>IF($D432="","",$C432&amp;"|"&amp;COUNTIFS($C$7:$C432,$C432))</f>
        <v/>
      </c>
      <c r="R432" s="3">
        <f>IF($D432="","",UPPER(SUBSTITUTE(SUBSTITUTE(SUBSTITUTE(SUBSTITUTE(SUBSTITUTE(SUBSTITUTE(SUBSTITUTE(SUBSTITUTE(SUBSTITUTE(SUBSTITUTE(SUBSTITUTE(SUBSTITUTE(SUBSTITUTE(SUBSTITUTE(SUBSTITUTE(SUBSTITUTE(SUBSTITUTE(SUBSTITUTE(TRIM($D432),"'",""),"İ","I"),"ı","I"),"i","I"),"Ş","S"),"ş","S"),"Ğ","G"),"ğ","G"),"Ü","U"),"ü","U"),"Ö","O"),"ö","O"),"Ç","C"),"ç","C"),".",""),",","")," ",""),"-","")))</f>
        <v/>
      </c>
      <c r="S432" s="3">
        <f>IF($D432="","",$C432&amp;"|"&amp;TEXT($E432,"0")&amp;"|"&amp;TEXT($F432,"0")&amp;"|"&amp;$I432)</f>
        <v/>
      </c>
      <c r="T432" s="3">
        <f>IF($E432="",0,SUMPRODUCT((AY_SONU!$O$7:$O$42="Evet")*(AY_SONU!$B$7:$B$42=DATE(YEAR($E432),MONTH($E432),1))))</f>
        <v/>
      </c>
    </row>
    <row r="433">
      <c r="A433" s="6" t="n"/>
      <c r="B433" s="113">
        <f>IF($D433="","","T"&amp;TEXT(ROW()-6,"00000"))</f>
        <v/>
      </c>
      <c r="C433" s="113">
        <f>IF($D433="","",IFERROR(INDEX(MUSTERILER!$B$7:$B$106,MATCH($R433,MUSTERILER!$T$7:$T$106,0)),IFERROR(INDEX(MUSTERILER!$B$7:$B$106,MATCH($D433,MUSTERILER!$B$7:$B$106,0)),IFERROR(INDEX(MUSTERILER!$B$7:$B$106,MATCH($R433&amp;"*",MUSTERILER!$T$7:$T$106,0)),"TANIMSIZ MÜŞTERİ"))))</f>
        <v/>
      </c>
      <c r="D433" s="109" t="inlineStr">
        <is>
          <t>KRİSTAL LTD.ŞTİ.</t>
        </is>
      </c>
      <c r="E433" s="220" t="n">
        <v>46214</v>
      </c>
      <c r="F433" s="221" t="n">
        <v>3000</v>
      </c>
      <c r="G433" s="108" t="inlineStr">
        <is>
          <t>ÖMER KARTAL</t>
        </is>
      </c>
      <c r="H433" s="108" t="inlineStr">
        <is>
          <t>Nakit</t>
        </is>
      </c>
      <c r="I433" s="109" t="n"/>
      <c r="J433" s="109" t="inlineStr">
        <is>
          <t>NAKİT ÖDENEN</t>
        </is>
      </c>
      <c r="K433" s="109" t="n"/>
      <c r="L433" s="226">
        <f>IF($E433="","",DATE(YEAR($E433),MONTH($E433),1))</f>
        <v/>
      </c>
      <c r="M433" s="113">
        <f>IF($D433="","",IF($C433="TANIMSIZ MÜŞTERİ","HATA",IF(OR($E433="",$F433&lt;=0,$G433=""),"EKSİK",IF($E433&gt;TODAY(),"İLERİ TARİH",IF(COUNTIF($S$7:$S$1506,$S433)&gt;1,"MÜKERRER?",IF($T433&gt;0,"KAPALI DÖNEM","UYGUN"))))))</f>
        <v/>
      </c>
      <c r="N433" s="121">
        <f>IF($C433="","",IF($C433="TANIMSIZ MÜŞTERİ","—",INDEX(MUSTERILER!$C$7:$C$106,MATCH($C433,MUSTERILER!$B$7:$B$106,0))))</f>
        <v/>
      </c>
      <c r="O433" s="6" t="n"/>
      <c r="P433" s="6" t="n"/>
      <c r="Q433" s="3">
        <f>IF($D433="","",$C433&amp;"|"&amp;COUNTIFS($C$7:$C433,$C433))</f>
        <v/>
      </c>
      <c r="R433" s="3">
        <f>IF($D433="","",UPPER(SUBSTITUTE(SUBSTITUTE(SUBSTITUTE(SUBSTITUTE(SUBSTITUTE(SUBSTITUTE(SUBSTITUTE(SUBSTITUTE(SUBSTITUTE(SUBSTITUTE(SUBSTITUTE(SUBSTITUTE(SUBSTITUTE(SUBSTITUTE(SUBSTITUTE(SUBSTITUTE(SUBSTITUTE(SUBSTITUTE(TRIM($D433),"'",""),"İ","I"),"ı","I"),"i","I"),"Ş","S"),"ş","S"),"Ğ","G"),"ğ","G"),"Ü","U"),"ü","U"),"Ö","O"),"ö","O"),"Ç","C"),"ç","C"),".",""),",","")," ",""),"-","")))</f>
        <v/>
      </c>
      <c r="S433" s="3">
        <f>IF($D433="","",$C433&amp;"|"&amp;TEXT($E433,"0")&amp;"|"&amp;TEXT($F433,"0")&amp;"|"&amp;$I433)</f>
        <v/>
      </c>
      <c r="T433" s="3">
        <f>IF($E433="",0,SUMPRODUCT((AY_SONU!$O$7:$O$42="Evet")*(AY_SONU!$B$7:$B$42=DATE(YEAR($E433),MONTH($E433),1))))</f>
        <v/>
      </c>
    </row>
    <row r="434">
      <c r="A434" s="6" t="n"/>
      <c r="B434" s="113">
        <f>IF($D434="","","T"&amp;TEXT(ROW()-6,"00000"))</f>
        <v/>
      </c>
      <c r="C434" s="113">
        <f>IF($D434="","",IFERROR(INDEX(MUSTERILER!$B$7:$B$106,MATCH($R434,MUSTERILER!$T$7:$T$106,0)),IFERROR(INDEX(MUSTERILER!$B$7:$B$106,MATCH($D434,MUSTERILER!$B$7:$B$106,0)),IFERROR(INDEX(MUSTERILER!$B$7:$B$106,MATCH($R434&amp;"*",MUSTERILER!$T$7:$T$106,0)),"TANIMSIZ MÜŞTERİ"))))</f>
        <v/>
      </c>
      <c r="D434" s="109" t="inlineStr">
        <is>
          <t>Ankara Havana Ltd.Şti.</t>
        </is>
      </c>
      <c r="E434" s="220" t="n">
        <v>46221</v>
      </c>
      <c r="F434" s="221" t="n">
        <v>4000</v>
      </c>
      <c r="G434" s="108" t="inlineStr">
        <is>
          <t>MERKEZ KASA</t>
        </is>
      </c>
      <c r="H434" s="108" t="inlineStr">
        <is>
          <t>Nakit</t>
        </is>
      </c>
      <c r="I434" s="109" t="n"/>
      <c r="J434" s="109" t="inlineStr">
        <is>
          <t>NAKİT ÖDENEN</t>
        </is>
      </c>
      <c r="K434" s="109" t="n"/>
      <c r="L434" s="226">
        <f>IF($E434="","",DATE(YEAR($E434),MONTH($E434),1))</f>
        <v/>
      </c>
      <c r="M434" s="113">
        <f>IF($D434="","",IF($C434="TANIMSIZ MÜŞTERİ","HATA",IF(OR($E434="",$F434&lt;=0,$G434=""),"EKSİK",IF($E434&gt;TODAY(),"İLERİ TARİH",IF(COUNTIF($S$7:$S$1506,$S434)&gt;1,"MÜKERRER?",IF($T434&gt;0,"KAPALI DÖNEM","UYGUN"))))))</f>
        <v/>
      </c>
      <c r="N434" s="121">
        <f>IF($C434="","",IF($C434="TANIMSIZ MÜŞTERİ","—",INDEX(MUSTERILER!$C$7:$C$106,MATCH($C434,MUSTERILER!$B$7:$B$106,0))))</f>
        <v/>
      </c>
      <c r="O434" s="6" t="n"/>
      <c r="P434" s="6" t="n"/>
      <c r="Q434" s="3">
        <f>IF($D434="","",$C434&amp;"|"&amp;COUNTIFS($C$7:$C434,$C434))</f>
        <v/>
      </c>
      <c r="R434" s="3">
        <f>IF($D434="","",UPPER(SUBSTITUTE(SUBSTITUTE(SUBSTITUTE(SUBSTITUTE(SUBSTITUTE(SUBSTITUTE(SUBSTITUTE(SUBSTITUTE(SUBSTITUTE(SUBSTITUTE(SUBSTITUTE(SUBSTITUTE(SUBSTITUTE(SUBSTITUTE(SUBSTITUTE(SUBSTITUTE(SUBSTITUTE(SUBSTITUTE(TRIM($D434),"'",""),"İ","I"),"ı","I"),"i","I"),"Ş","S"),"ş","S"),"Ğ","G"),"ğ","G"),"Ü","U"),"ü","U"),"Ö","O"),"ö","O"),"Ç","C"),"ç","C"),".",""),",","")," ",""),"-","")))</f>
        <v/>
      </c>
      <c r="S434" s="3">
        <f>IF($D434="","",$C434&amp;"|"&amp;TEXT($E434,"0")&amp;"|"&amp;TEXT($F434,"0")&amp;"|"&amp;$I434)</f>
        <v/>
      </c>
      <c r="T434" s="3">
        <f>IF($E434="",0,SUMPRODUCT((AY_SONU!$O$7:$O$42="Evet")*(AY_SONU!$B$7:$B$42=DATE(YEAR($E434),MONTH($E434),1))))</f>
        <v/>
      </c>
    </row>
    <row r="435">
      <c r="A435" s="6" t="n"/>
      <c r="B435" s="113">
        <f>IF($D435="","","T"&amp;TEXT(ROW()-6,"00000"))</f>
        <v/>
      </c>
      <c r="C435" s="113">
        <f>IF($D435="","",IFERROR(INDEX(MUSTERILER!$B$7:$B$106,MATCH($R435,MUSTERILER!$T$7:$T$106,0)),IFERROR(INDEX(MUSTERILER!$B$7:$B$106,MATCH($D435,MUSTERILER!$B$7:$B$106,0)),IFERROR(INDEX(MUSTERILER!$B$7:$B$106,MATCH($R435&amp;"*",MUSTERILER!$T$7:$T$106,0)),"TANIMSIZ MÜŞTERİ"))))</f>
        <v/>
      </c>
      <c r="D435" s="109" t="inlineStr">
        <is>
          <t>ASIM AÇIKGÖZ</t>
        </is>
      </c>
      <c r="E435" s="220" t="n">
        <v>46221</v>
      </c>
      <c r="F435" s="221" t="n">
        <v>2000</v>
      </c>
      <c r="G435" s="108" t="inlineStr">
        <is>
          <t>MERKEZ KASA</t>
        </is>
      </c>
      <c r="H435" s="108" t="inlineStr">
        <is>
          <t>Nakit</t>
        </is>
      </c>
      <c r="I435" s="109" t="n"/>
      <c r="J435" s="109" t="inlineStr">
        <is>
          <t>NAKİT ÖDENEN</t>
        </is>
      </c>
      <c r="K435" s="109" t="n"/>
      <c r="L435" s="226">
        <f>IF($E435="","",DATE(YEAR($E435),MONTH($E435),1))</f>
        <v/>
      </c>
      <c r="M435" s="113">
        <f>IF($D435="","",IF($C435="TANIMSIZ MÜŞTERİ","HATA",IF(OR($E435="",$F435&lt;=0,$G435=""),"EKSİK",IF($E435&gt;TODAY(),"İLERİ TARİH",IF(COUNTIF($S$7:$S$1506,$S435)&gt;1,"MÜKERRER?",IF($T435&gt;0,"KAPALI DÖNEM","UYGUN"))))))</f>
        <v/>
      </c>
      <c r="N435" s="121">
        <f>IF($C435="","",IF($C435="TANIMSIZ MÜŞTERİ","—",INDEX(MUSTERILER!$C$7:$C$106,MATCH($C435,MUSTERILER!$B$7:$B$106,0))))</f>
        <v/>
      </c>
      <c r="O435" s="6" t="n"/>
      <c r="P435" s="6" t="n"/>
      <c r="Q435" s="3">
        <f>IF($D435="","",$C435&amp;"|"&amp;COUNTIFS($C$7:$C435,$C435))</f>
        <v/>
      </c>
      <c r="R435" s="3">
        <f>IF($D435="","",UPPER(SUBSTITUTE(SUBSTITUTE(SUBSTITUTE(SUBSTITUTE(SUBSTITUTE(SUBSTITUTE(SUBSTITUTE(SUBSTITUTE(SUBSTITUTE(SUBSTITUTE(SUBSTITUTE(SUBSTITUTE(SUBSTITUTE(SUBSTITUTE(SUBSTITUTE(SUBSTITUTE(SUBSTITUTE(SUBSTITUTE(TRIM($D435),"'",""),"İ","I"),"ı","I"),"i","I"),"Ş","S"),"ş","S"),"Ğ","G"),"ğ","G"),"Ü","U"),"ü","U"),"Ö","O"),"ö","O"),"Ç","C"),"ç","C"),".",""),",","")," ",""),"-","")))</f>
        <v/>
      </c>
      <c r="S435" s="3">
        <f>IF($D435="","",$C435&amp;"|"&amp;TEXT($E435,"0")&amp;"|"&amp;TEXT($F435,"0")&amp;"|"&amp;$I435)</f>
        <v/>
      </c>
      <c r="T435" s="3">
        <f>IF($E435="",0,SUMPRODUCT((AY_SONU!$O$7:$O$42="Evet")*(AY_SONU!$B$7:$B$42=DATE(YEAR($E435),MONTH($E435),1))))</f>
        <v/>
      </c>
    </row>
    <row r="436">
      <c r="A436" s="6" t="n"/>
      <c r="B436" s="113">
        <f>IF($D436="","","T"&amp;TEXT(ROW()-6,"00000"))</f>
        <v/>
      </c>
      <c r="C436" s="113">
        <f>IF($D436="","",IFERROR(INDEX(MUSTERILER!$B$7:$B$106,MATCH($R436,MUSTERILER!$T$7:$T$106,0)),IFERROR(INDEX(MUSTERILER!$B$7:$B$106,MATCH($D436,MUSTERILER!$B$7:$B$106,0)),IFERROR(INDEX(MUSTERILER!$B$7:$B$106,MATCH($R436&amp;"*",MUSTERILER!$T$7:$T$106,0)),"TANIMSIZ MÜŞTERİ"))))</f>
        <v/>
      </c>
      <c r="D436" s="109" t="inlineStr">
        <is>
          <t>Çayıralan Ltd.Şti.</t>
        </is>
      </c>
      <c r="E436" s="220" t="n">
        <v>46221</v>
      </c>
      <c r="F436" s="221" t="n">
        <v>3000</v>
      </c>
      <c r="G436" s="108" t="inlineStr">
        <is>
          <t>MERKEZ KASA</t>
        </is>
      </c>
      <c r="H436" s="108" t="inlineStr">
        <is>
          <t>Nakit</t>
        </is>
      </c>
      <c r="I436" s="109" t="n"/>
      <c r="J436" s="109" t="inlineStr">
        <is>
          <t>NAKİT ÖDENEN</t>
        </is>
      </c>
      <c r="K436" s="109" t="n"/>
      <c r="L436" s="226">
        <f>IF($E436="","",DATE(YEAR($E436),MONTH($E436),1))</f>
        <v/>
      </c>
      <c r="M436" s="113">
        <f>IF($D436="","",IF($C436="TANIMSIZ MÜŞTERİ","HATA",IF(OR($E436="",$F436&lt;=0,$G436=""),"EKSİK",IF($E436&gt;TODAY(),"İLERİ TARİH",IF(COUNTIF($S$7:$S$1506,$S436)&gt;1,"MÜKERRER?",IF($T436&gt;0,"KAPALI DÖNEM","UYGUN"))))))</f>
        <v/>
      </c>
      <c r="N436" s="121">
        <f>IF($C436="","",IF($C436="TANIMSIZ MÜŞTERİ","—",INDEX(MUSTERILER!$C$7:$C$106,MATCH($C436,MUSTERILER!$B$7:$B$106,0))))</f>
        <v/>
      </c>
      <c r="O436" s="6" t="n"/>
      <c r="P436" s="6" t="n"/>
      <c r="Q436" s="3">
        <f>IF($D436="","",$C436&amp;"|"&amp;COUNTIFS($C$7:$C436,$C436))</f>
        <v/>
      </c>
      <c r="R436" s="3">
        <f>IF($D436="","",UPPER(SUBSTITUTE(SUBSTITUTE(SUBSTITUTE(SUBSTITUTE(SUBSTITUTE(SUBSTITUTE(SUBSTITUTE(SUBSTITUTE(SUBSTITUTE(SUBSTITUTE(SUBSTITUTE(SUBSTITUTE(SUBSTITUTE(SUBSTITUTE(SUBSTITUTE(SUBSTITUTE(SUBSTITUTE(SUBSTITUTE(TRIM($D436),"'",""),"İ","I"),"ı","I"),"i","I"),"Ş","S"),"ş","S"),"Ğ","G"),"ğ","G"),"Ü","U"),"ü","U"),"Ö","O"),"ö","O"),"Ç","C"),"ç","C"),".",""),",","")," ",""),"-","")))</f>
        <v/>
      </c>
      <c r="S436" s="3">
        <f>IF($D436="","",$C436&amp;"|"&amp;TEXT($E436,"0")&amp;"|"&amp;TEXT($F436,"0")&amp;"|"&amp;$I436)</f>
        <v/>
      </c>
      <c r="T436" s="3">
        <f>IF($E436="",0,SUMPRODUCT((AY_SONU!$O$7:$O$42="Evet")*(AY_SONU!$B$7:$B$42=DATE(YEAR($E436),MONTH($E436),1))))</f>
        <v/>
      </c>
    </row>
    <row r="437">
      <c r="A437" s="6" t="n"/>
      <c r="B437" s="113">
        <f>IF($D437="","","T"&amp;TEXT(ROW()-6,"00000"))</f>
        <v/>
      </c>
      <c r="C437" s="113">
        <f>IF($D437="","",IFERROR(INDEX(MUSTERILER!$B$7:$B$106,MATCH($R437,MUSTERILER!$T$7:$T$106,0)),IFERROR(INDEX(MUSTERILER!$B$7:$B$106,MATCH($D437,MUSTERILER!$B$7:$B$106,0)),IFERROR(INDEX(MUSTERILER!$B$7:$B$106,MATCH($R437&amp;"*",MUSTERILER!$T$7:$T$106,0)),"TANIMSIZ MÜŞTERİ"))))</f>
        <v/>
      </c>
      <c r="D437" s="109" t="inlineStr">
        <is>
          <t>Eğlengör Ltd.Şti.</t>
        </is>
      </c>
      <c r="E437" s="220" t="n">
        <v>46221</v>
      </c>
      <c r="F437" s="221" t="n">
        <v>4000</v>
      </c>
      <c r="G437" s="108" t="inlineStr">
        <is>
          <t>MERKEZ KASA</t>
        </is>
      </c>
      <c r="H437" s="108" t="inlineStr">
        <is>
          <t>Nakit</t>
        </is>
      </c>
      <c r="I437" s="109" t="n"/>
      <c r="J437" s="109" t="inlineStr">
        <is>
          <t>NAKİT ÖDENEN</t>
        </is>
      </c>
      <c r="K437" s="109" t="n"/>
      <c r="L437" s="226">
        <f>IF($E437="","",DATE(YEAR($E437),MONTH($E437),1))</f>
        <v/>
      </c>
      <c r="M437" s="113">
        <f>IF($D437="","",IF($C437="TANIMSIZ MÜŞTERİ","HATA",IF(OR($E437="",$F437&lt;=0,$G437=""),"EKSİK",IF($E437&gt;TODAY(),"İLERİ TARİH",IF(COUNTIF($S$7:$S$1506,$S437)&gt;1,"MÜKERRER?",IF($T437&gt;0,"KAPALI DÖNEM","UYGUN"))))))</f>
        <v/>
      </c>
      <c r="N437" s="121">
        <f>IF($C437="","",IF($C437="TANIMSIZ MÜŞTERİ","—",INDEX(MUSTERILER!$C$7:$C$106,MATCH($C437,MUSTERILER!$B$7:$B$106,0))))</f>
        <v/>
      </c>
      <c r="O437" s="6" t="n"/>
      <c r="P437" s="6" t="n"/>
      <c r="Q437" s="3">
        <f>IF($D437="","",$C437&amp;"|"&amp;COUNTIFS($C$7:$C437,$C437))</f>
        <v/>
      </c>
      <c r="R437" s="3">
        <f>IF($D437="","",UPPER(SUBSTITUTE(SUBSTITUTE(SUBSTITUTE(SUBSTITUTE(SUBSTITUTE(SUBSTITUTE(SUBSTITUTE(SUBSTITUTE(SUBSTITUTE(SUBSTITUTE(SUBSTITUTE(SUBSTITUTE(SUBSTITUTE(SUBSTITUTE(SUBSTITUTE(SUBSTITUTE(SUBSTITUTE(SUBSTITUTE(TRIM($D437),"'",""),"İ","I"),"ı","I"),"i","I"),"Ş","S"),"ş","S"),"Ğ","G"),"ğ","G"),"Ü","U"),"ü","U"),"Ö","O"),"ö","O"),"Ç","C"),"ç","C"),".",""),",","")," ",""),"-","")))</f>
        <v/>
      </c>
      <c r="S437" s="3">
        <f>IF($D437="","",$C437&amp;"|"&amp;TEXT($E437,"0")&amp;"|"&amp;TEXT($F437,"0")&amp;"|"&amp;$I437)</f>
        <v/>
      </c>
      <c r="T437" s="3">
        <f>IF($E437="",0,SUMPRODUCT((AY_SONU!$O$7:$O$42="Evet")*(AY_SONU!$B$7:$B$42=DATE(YEAR($E437),MONTH($E437),1))))</f>
        <v/>
      </c>
    </row>
    <row r="438">
      <c r="A438" s="6" t="n"/>
      <c r="B438" s="113">
        <f>IF($D438="","","T"&amp;TEXT(ROW()-6,"00000"))</f>
        <v/>
      </c>
      <c r="C438" s="113">
        <f>IF($D438="","",IFERROR(INDEX(MUSTERILER!$B$7:$B$106,MATCH($R438,MUSTERILER!$T$7:$T$106,0)),IFERROR(INDEX(MUSTERILER!$B$7:$B$106,MATCH($D438,MUSTERILER!$B$7:$B$106,0)),IFERROR(INDEX(MUSTERILER!$B$7:$B$106,MATCH($R438&amp;"*",MUSTERILER!$T$7:$T$106,0)),"TANIMSIZ MÜŞTERİ"))))</f>
        <v/>
      </c>
      <c r="D438" s="109" t="inlineStr">
        <is>
          <t>Final Siyah Beyaz Ltd.Şti.</t>
        </is>
      </c>
      <c r="E438" s="220" t="n">
        <v>46221</v>
      </c>
      <c r="F438" s="221" t="n">
        <v>4000</v>
      </c>
      <c r="G438" s="108" t="inlineStr">
        <is>
          <t>MERKEZ KASA</t>
        </is>
      </c>
      <c r="H438" s="108" t="inlineStr">
        <is>
          <t>Nakit</t>
        </is>
      </c>
      <c r="I438" s="109" t="n"/>
      <c r="J438" s="109" t="inlineStr">
        <is>
          <t>NAKİT ÖDENEN</t>
        </is>
      </c>
      <c r="K438" s="109" t="n"/>
      <c r="L438" s="226">
        <f>IF($E438="","",DATE(YEAR($E438),MONTH($E438),1))</f>
        <v/>
      </c>
      <c r="M438" s="113">
        <f>IF($D438="","",IF($C438="TANIMSIZ MÜŞTERİ","HATA",IF(OR($E438="",$F438&lt;=0,$G438=""),"EKSİK",IF($E438&gt;TODAY(),"İLERİ TARİH",IF(COUNTIF($S$7:$S$1506,$S438)&gt;1,"MÜKERRER?",IF($T438&gt;0,"KAPALI DÖNEM","UYGUN"))))))</f>
        <v/>
      </c>
      <c r="N438" s="121">
        <f>IF($C438="","",IF($C438="TANIMSIZ MÜŞTERİ","—",INDEX(MUSTERILER!$C$7:$C$106,MATCH($C438,MUSTERILER!$B$7:$B$106,0))))</f>
        <v/>
      </c>
      <c r="O438" s="6" t="n"/>
      <c r="P438" s="6" t="n"/>
      <c r="Q438" s="3">
        <f>IF($D438="","",$C438&amp;"|"&amp;COUNTIFS($C$7:$C438,$C438))</f>
        <v/>
      </c>
      <c r="R438" s="3">
        <f>IF($D438="","",UPPER(SUBSTITUTE(SUBSTITUTE(SUBSTITUTE(SUBSTITUTE(SUBSTITUTE(SUBSTITUTE(SUBSTITUTE(SUBSTITUTE(SUBSTITUTE(SUBSTITUTE(SUBSTITUTE(SUBSTITUTE(SUBSTITUTE(SUBSTITUTE(SUBSTITUTE(SUBSTITUTE(SUBSTITUTE(SUBSTITUTE(TRIM($D438),"'",""),"İ","I"),"ı","I"),"i","I"),"Ş","S"),"ş","S"),"Ğ","G"),"ğ","G"),"Ü","U"),"ü","U"),"Ö","O"),"ö","O"),"Ç","C"),"ç","C"),".",""),",","")," ",""),"-","")))</f>
        <v/>
      </c>
      <c r="S438" s="3">
        <f>IF($D438="","",$C438&amp;"|"&amp;TEXT($E438,"0")&amp;"|"&amp;TEXT($F438,"0")&amp;"|"&amp;$I438)</f>
        <v/>
      </c>
      <c r="T438" s="3">
        <f>IF($E438="",0,SUMPRODUCT((AY_SONU!$O$7:$O$42="Evet")*(AY_SONU!$B$7:$B$42=DATE(YEAR($E438),MONTH($E438),1))))</f>
        <v/>
      </c>
    </row>
    <row r="439">
      <c r="A439" s="6" t="n"/>
      <c r="B439" s="113">
        <f>IF($D439="","","T"&amp;TEXT(ROW()-6,"00000"))</f>
        <v/>
      </c>
      <c r="C439" s="113">
        <f>IF($D439="","",IFERROR(INDEX(MUSTERILER!$B$7:$B$106,MATCH($R439,MUSTERILER!$T$7:$T$106,0)),IFERROR(INDEX(MUSTERILER!$B$7:$B$106,MATCH($D439,MUSTERILER!$B$7:$B$106,0)),IFERROR(INDEX(MUSTERILER!$B$7:$B$106,MATCH($R439&amp;"*",MUSTERILER!$T$7:$T$106,0)),"TANIMSIZ MÜŞTERİ"))))</f>
        <v/>
      </c>
      <c r="D439" s="109" t="inlineStr">
        <is>
          <t>İldeş Ltd.Şti.</t>
        </is>
      </c>
      <c r="E439" s="220" t="n">
        <v>46221</v>
      </c>
      <c r="F439" s="221" t="n">
        <v>4000</v>
      </c>
      <c r="G439" s="108" t="inlineStr">
        <is>
          <t>MERKEZ KASA</t>
        </is>
      </c>
      <c r="H439" s="108" t="inlineStr">
        <is>
          <t>Nakit</t>
        </is>
      </c>
      <c r="I439" s="109" t="n"/>
      <c r="J439" s="109" t="inlineStr">
        <is>
          <t>NAKİT ÖDENEN</t>
        </is>
      </c>
      <c r="K439" s="109" t="n"/>
      <c r="L439" s="226">
        <f>IF($E439="","",DATE(YEAR($E439),MONTH($E439),1))</f>
        <v/>
      </c>
      <c r="M439" s="113">
        <f>IF($D439="","",IF($C439="TANIMSIZ MÜŞTERİ","HATA",IF(OR($E439="",$F439&lt;=0,$G439=""),"EKSİK",IF($E439&gt;TODAY(),"İLERİ TARİH",IF(COUNTIF($S$7:$S$1506,$S439)&gt;1,"MÜKERRER?",IF($T439&gt;0,"KAPALI DÖNEM","UYGUN"))))))</f>
        <v/>
      </c>
      <c r="N439" s="121">
        <f>IF($C439="","",IF($C439="TANIMSIZ MÜŞTERİ","—",INDEX(MUSTERILER!$C$7:$C$106,MATCH($C439,MUSTERILER!$B$7:$B$106,0))))</f>
        <v/>
      </c>
      <c r="O439" s="6" t="n"/>
      <c r="P439" s="6" t="n"/>
      <c r="Q439" s="3">
        <f>IF($D439="","",$C439&amp;"|"&amp;COUNTIFS($C$7:$C439,$C439))</f>
        <v/>
      </c>
      <c r="R439" s="3">
        <f>IF($D439="","",UPPER(SUBSTITUTE(SUBSTITUTE(SUBSTITUTE(SUBSTITUTE(SUBSTITUTE(SUBSTITUTE(SUBSTITUTE(SUBSTITUTE(SUBSTITUTE(SUBSTITUTE(SUBSTITUTE(SUBSTITUTE(SUBSTITUTE(SUBSTITUTE(SUBSTITUTE(SUBSTITUTE(SUBSTITUTE(SUBSTITUTE(TRIM($D439),"'",""),"İ","I"),"ı","I"),"i","I"),"Ş","S"),"ş","S"),"Ğ","G"),"ğ","G"),"Ü","U"),"ü","U"),"Ö","O"),"ö","O"),"Ç","C"),"ç","C"),".",""),",","")," ",""),"-","")))</f>
        <v/>
      </c>
      <c r="S439" s="3">
        <f>IF($D439="","",$C439&amp;"|"&amp;TEXT($E439,"0")&amp;"|"&amp;TEXT($F439,"0")&amp;"|"&amp;$I439)</f>
        <v/>
      </c>
      <c r="T439" s="3">
        <f>IF($E439="",0,SUMPRODUCT((AY_SONU!$O$7:$O$42="Evet")*(AY_SONU!$B$7:$B$42=DATE(YEAR($E439),MONTH($E439),1))))</f>
        <v/>
      </c>
    </row>
    <row r="440">
      <c r="A440" s="6" t="n"/>
      <c r="B440" s="113">
        <f>IF($D440="","","T"&amp;TEXT(ROW()-6,"00000"))</f>
        <v/>
      </c>
      <c r="C440" s="113">
        <f>IF($D440="","",IFERROR(INDEX(MUSTERILER!$B$7:$B$106,MATCH($R440,MUSTERILER!$T$7:$T$106,0)),IFERROR(INDEX(MUSTERILER!$B$7:$B$106,MATCH($D440,MUSTERILER!$B$7:$B$106,0)),IFERROR(INDEX(MUSTERILER!$B$7:$B$106,MATCH($R440&amp;"*",MUSTERILER!$T$7:$T$106,0)),"TANIMSIZ MÜŞTERİ"))))</f>
        <v/>
      </c>
      <c r="D440" s="109" t="inlineStr">
        <is>
          <t>Naz 1 Gıda Ltd.Şti.</t>
        </is>
      </c>
      <c r="E440" s="220" t="n">
        <v>46221</v>
      </c>
      <c r="F440" s="221" t="n">
        <v>2000</v>
      </c>
      <c r="G440" s="108" t="inlineStr">
        <is>
          <t>MERKEZ KASA</t>
        </is>
      </c>
      <c r="H440" s="108" t="inlineStr">
        <is>
          <t>Nakit</t>
        </is>
      </c>
      <c r="I440" s="109" t="n"/>
      <c r="J440" s="109" t="inlineStr">
        <is>
          <t>NAKİT ÖDENEN</t>
        </is>
      </c>
      <c r="K440" s="109" t="n"/>
      <c r="L440" s="226">
        <f>IF($E440="","",DATE(YEAR($E440),MONTH($E440),1))</f>
        <v/>
      </c>
      <c r="M440" s="113">
        <f>IF($D440="","",IF($C440="TANIMSIZ MÜŞTERİ","HATA",IF(OR($E440="",$F440&lt;=0,$G440=""),"EKSİK",IF($E440&gt;TODAY(),"İLERİ TARİH",IF(COUNTIF($S$7:$S$1506,$S440)&gt;1,"MÜKERRER?",IF($T440&gt;0,"KAPALI DÖNEM","UYGUN"))))))</f>
        <v/>
      </c>
      <c r="N440" s="121">
        <f>IF($C440="","",IF($C440="TANIMSIZ MÜŞTERİ","—",INDEX(MUSTERILER!$C$7:$C$106,MATCH($C440,MUSTERILER!$B$7:$B$106,0))))</f>
        <v/>
      </c>
      <c r="O440" s="6" t="n"/>
      <c r="P440" s="6" t="n"/>
      <c r="Q440" s="3">
        <f>IF($D440="","",$C440&amp;"|"&amp;COUNTIFS($C$7:$C440,$C440))</f>
        <v/>
      </c>
      <c r="R440" s="3">
        <f>IF($D440="","",UPPER(SUBSTITUTE(SUBSTITUTE(SUBSTITUTE(SUBSTITUTE(SUBSTITUTE(SUBSTITUTE(SUBSTITUTE(SUBSTITUTE(SUBSTITUTE(SUBSTITUTE(SUBSTITUTE(SUBSTITUTE(SUBSTITUTE(SUBSTITUTE(SUBSTITUTE(SUBSTITUTE(SUBSTITUTE(SUBSTITUTE(TRIM($D440),"'",""),"İ","I"),"ı","I"),"i","I"),"Ş","S"),"ş","S"),"Ğ","G"),"ğ","G"),"Ü","U"),"ü","U"),"Ö","O"),"ö","O"),"Ç","C"),"ç","C"),".",""),",","")," ",""),"-","")))</f>
        <v/>
      </c>
      <c r="S440" s="3">
        <f>IF($D440="","",$C440&amp;"|"&amp;TEXT($E440,"0")&amp;"|"&amp;TEXT($F440,"0")&amp;"|"&amp;$I440)</f>
        <v/>
      </c>
      <c r="T440" s="3">
        <f>IF($E440="",0,SUMPRODUCT((AY_SONU!$O$7:$O$42="Evet")*(AY_SONU!$B$7:$B$42=DATE(YEAR($E440),MONTH($E440),1))))</f>
        <v/>
      </c>
    </row>
    <row r="441">
      <c r="A441" s="6" t="n"/>
      <c r="B441" s="113">
        <f>IF($D441="","","T"&amp;TEXT(ROW()-6,"00000"))</f>
        <v/>
      </c>
      <c r="C441" s="113">
        <f>IF($D441="","",IFERROR(INDEX(MUSTERILER!$B$7:$B$106,MATCH($R441,MUSTERILER!$T$7:$T$106,0)),IFERROR(INDEX(MUSTERILER!$B$7:$B$106,MATCH($D441,MUSTERILER!$B$7:$B$106,0)),IFERROR(INDEX(MUSTERILER!$B$7:$B$106,MATCH($R441&amp;"*",MUSTERILER!$T$7:$T$106,0)),"TANIMSIZ MÜŞTERİ"))))</f>
        <v/>
      </c>
      <c r="D441" s="109" t="inlineStr">
        <is>
          <t>Pakyıldız Ltd.Şti.</t>
        </is>
      </c>
      <c r="E441" s="220" t="n">
        <v>46221</v>
      </c>
      <c r="F441" s="221" t="n">
        <v>4000</v>
      </c>
      <c r="G441" s="108" t="inlineStr">
        <is>
          <t>MERKEZ KASA</t>
        </is>
      </c>
      <c r="H441" s="108" t="inlineStr">
        <is>
          <t>Nakit</t>
        </is>
      </c>
      <c r="I441" s="109" t="n"/>
      <c r="J441" s="109" t="inlineStr">
        <is>
          <t>NAKİT ÖDENEN</t>
        </is>
      </c>
      <c r="K441" s="109" t="n"/>
      <c r="L441" s="226">
        <f>IF($E441="","",DATE(YEAR($E441),MONTH($E441),1))</f>
        <v/>
      </c>
      <c r="M441" s="113">
        <f>IF($D441="","",IF($C441="TANIMSIZ MÜŞTERİ","HATA",IF(OR($E441="",$F441&lt;=0,$G441=""),"EKSİK",IF($E441&gt;TODAY(),"İLERİ TARİH",IF(COUNTIF($S$7:$S$1506,$S441)&gt;1,"MÜKERRER?",IF($T441&gt;0,"KAPALI DÖNEM","UYGUN"))))))</f>
        <v/>
      </c>
      <c r="N441" s="121">
        <f>IF($C441="","",IF($C441="TANIMSIZ MÜŞTERİ","—",INDEX(MUSTERILER!$C$7:$C$106,MATCH($C441,MUSTERILER!$B$7:$B$106,0))))</f>
        <v/>
      </c>
      <c r="O441" s="6" t="n"/>
      <c r="P441" s="6" t="n"/>
      <c r="Q441" s="3">
        <f>IF($D441="","",$C441&amp;"|"&amp;COUNTIFS($C$7:$C441,$C441))</f>
        <v/>
      </c>
      <c r="R441" s="3">
        <f>IF($D441="","",UPPER(SUBSTITUTE(SUBSTITUTE(SUBSTITUTE(SUBSTITUTE(SUBSTITUTE(SUBSTITUTE(SUBSTITUTE(SUBSTITUTE(SUBSTITUTE(SUBSTITUTE(SUBSTITUTE(SUBSTITUTE(SUBSTITUTE(SUBSTITUTE(SUBSTITUTE(SUBSTITUTE(SUBSTITUTE(SUBSTITUTE(TRIM($D441),"'",""),"İ","I"),"ı","I"),"i","I"),"Ş","S"),"ş","S"),"Ğ","G"),"ğ","G"),"Ü","U"),"ü","U"),"Ö","O"),"ö","O"),"Ç","C"),"ç","C"),".",""),",","")," ",""),"-","")))</f>
        <v/>
      </c>
      <c r="S441" s="3">
        <f>IF($D441="","",$C441&amp;"|"&amp;TEXT($E441,"0")&amp;"|"&amp;TEXT($F441,"0")&amp;"|"&amp;$I441)</f>
        <v/>
      </c>
      <c r="T441" s="3">
        <f>IF($E441="",0,SUMPRODUCT((AY_SONU!$O$7:$O$42="Evet")*(AY_SONU!$B$7:$B$42=DATE(YEAR($E441),MONTH($E441),1))))</f>
        <v/>
      </c>
    </row>
    <row r="442">
      <c r="A442" s="6" t="n"/>
      <c r="B442" s="113">
        <f>IF($D442="","","T"&amp;TEXT(ROW()-6,"00000"))</f>
        <v/>
      </c>
      <c r="C442" s="113">
        <f>IF($D442="","",IFERROR(INDEX(MUSTERILER!$B$7:$B$106,MATCH($R442,MUSTERILER!$T$7:$T$106,0)),IFERROR(INDEX(MUSTERILER!$B$7:$B$106,MATCH($D442,MUSTERILER!$B$7:$B$106,0)),IFERROR(INDEX(MUSTERILER!$B$7:$B$106,MATCH($R442&amp;"*",MUSTERILER!$T$7:$T$106,0)),"TANIMSIZ MÜŞTERİ"))))</f>
        <v/>
      </c>
      <c r="D442" s="109" t="inlineStr">
        <is>
          <t>Pakyıldız Ltd.Şti.</t>
        </is>
      </c>
      <c r="E442" s="220" t="n">
        <v>46221</v>
      </c>
      <c r="F442" s="221" t="n">
        <v>5000</v>
      </c>
      <c r="G442" s="108" t="inlineStr">
        <is>
          <t>MERKEZ KASA</t>
        </is>
      </c>
      <c r="H442" s="108" t="inlineStr">
        <is>
          <t>Nakit</t>
        </is>
      </c>
      <c r="I442" s="109" t="n"/>
      <c r="J442" s="109" t="inlineStr">
        <is>
          <t>NAKİT ÖDENEN</t>
        </is>
      </c>
      <c r="K442" s="109" t="n"/>
      <c r="L442" s="226">
        <f>IF($E442="","",DATE(YEAR($E442),MONTH($E442),1))</f>
        <v/>
      </c>
      <c r="M442" s="113">
        <f>IF($D442="","",IF($C442="TANIMSIZ MÜŞTERİ","HATA",IF(OR($E442="",$F442&lt;=0,$G442=""),"EKSİK",IF($E442&gt;TODAY(),"İLERİ TARİH",IF(COUNTIF($S$7:$S$1506,$S442)&gt;1,"MÜKERRER?",IF($T442&gt;0,"KAPALI DÖNEM","UYGUN"))))))</f>
        <v/>
      </c>
      <c r="N442" s="121">
        <f>IF($C442="","",IF($C442="TANIMSIZ MÜŞTERİ","—",INDEX(MUSTERILER!$C$7:$C$106,MATCH($C442,MUSTERILER!$B$7:$B$106,0))))</f>
        <v/>
      </c>
      <c r="O442" s="6" t="n"/>
      <c r="P442" s="6" t="n"/>
      <c r="Q442" s="3">
        <f>IF($D442="","",$C442&amp;"|"&amp;COUNTIFS($C$7:$C442,$C442))</f>
        <v/>
      </c>
      <c r="R442" s="3">
        <f>IF($D442="","",UPPER(SUBSTITUTE(SUBSTITUTE(SUBSTITUTE(SUBSTITUTE(SUBSTITUTE(SUBSTITUTE(SUBSTITUTE(SUBSTITUTE(SUBSTITUTE(SUBSTITUTE(SUBSTITUTE(SUBSTITUTE(SUBSTITUTE(SUBSTITUTE(SUBSTITUTE(SUBSTITUTE(SUBSTITUTE(SUBSTITUTE(TRIM($D442),"'",""),"İ","I"),"ı","I"),"i","I"),"Ş","S"),"ş","S"),"Ğ","G"),"ğ","G"),"Ü","U"),"ü","U"),"Ö","O"),"ö","O"),"Ç","C"),"ç","C"),".",""),",","")," ",""),"-","")))</f>
        <v/>
      </c>
      <c r="S442" s="3">
        <f>IF($D442="","",$C442&amp;"|"&amp;TEXT($E442,"0")&amp;"|"&amp;TEXT($F442,"0")&amp;"|"&amp;$I442)</f>
        <v/>
      </c>
      <c r="T442" s="3">
        <f>IF($E442="",0,SUMPRODUCT((AY_SONU!$O$7:$O$42="Evet")*(AY_SONU!$B$7:$B$42=DATE(YEAR($E442),MONTH($E442),1))))</f>
        <v/>
      </c>
    </row>
    <row r="443">
      <c r="A443" s="6" t="n"/>
      <c r="B443" s="113">
        <f>IF($D443="","","T"&amp;TEXT(ROW()-6,"00000"))</f>
        <v/>
      </c>
      <c r="C443" s="113">
        <f>IF($D443="","",IFERROR(INDEX(MUSTERILER!$B$7:$B$106,MATCH($R443,MUSTERILER!$T$7:$T$106,0)),IFERROR(INDEX(MUSTERILER!$B$7:$B$106,MATCH($D443,MUSTERILER!$B$7:$B$106,0)),IFERROR(INDEX(MUSTERILER!$B$7:$B$106,MATCH($R443&amp;"*",MUSTERILER!$T$7:$T$106,0)),"TANIMSIZ MÜŞTERİ"))))</f>
        <v/>
      </c>
      <c r="D443" s="109" t="inlineStr">
        <is>
          <t>Rix Şow Ltd.Şti.</t>
        </is>
      </c>
      <c r="E443" s="220" t="n">
        <v>46221</v>
      </c>
      <c r="F443" s="221" t="n">
        <v>3000</v>
      </c>
      <c r="G443" s="108" t="inlineStr">
        <is>
          <t>MERKEZ KASA</t>
        </is>
      </c>
      <c r="H443" s="108" t="inlineStr">
        <is>
          <t>Nakit</t>
        </is>
      </c>
      <c r="I443" s="109" t="n"/>
      <c r="J443" s="109" t="inlineStr">
        <is>
          <t>NAKİT ÖDENEN</t>
        </is>
      </c>
      <c r="K443" s="109" t="n"/>
      <c r="L443" s="226">
        <f>IF($E443="","",DATE(YEAR($E443),MONTH($E443),1))</f>
        <v/>
      </c>
      <c r="M443" s="113">
        <f>IF($D443="","",IF($C443="TANIMSIZ MÜŞTERİ","HATA",IF(OR($E443="",$F443&lt;=0,$G443=""),"EKSİK",IF($E443&gt;TODAY(),"İLERİ TARİH",IF(COUNTIF($S$7:$S$1506,$S443)&gt;1,"MÜKERRER?",IF($T443&gt;0,"KAPALI DÖNEM","UYGUN"))))))</f>
        <v/>
      </c>
      <c r="N443" s="121">
        <f>IF($C443="","",IF($C443="TANIMSIZ MÜŞTERİ","—",INDEX(MUSTERILER!$C$7:$C$106,MATCH($C443,MUSTERILER!$B$7:$B$106,0))))</f>
        <v/>
      </c>
      <c r="O443" s="6" t="n"/>
      <c r="P443" s="6" t="n"/>
      <c r="Q443" s="3">
        <f>IF($D443="","",$C443&amp;"|"&amp;COUNTIFS($C$7:$C443,$C443))</f>
        <v/>
      </c>
      <c r="R443" s="3">
        <f>IF($D443="","",UPPER(SUBSTITUTE(SUBSTITUTE(SUBSTITUTE(SUBSTITUTE(SUBSTITUTE(SUBSTITUTE(SUBSTITUTE(SUBSTITUTE(SUBSTITUTE(SUBSTITUTE(SUBSTITUTE(SUBSTITUTE(SUBSTITUTE(SUBSTITUTE(SUBSTITUTE(SUBSTITUTE(SUBSTITUTE(SUBSTITUTE(TRIM($D443),"'",""),"İ","I"),"ı","I"),"i","I"),"Ş","S"),"ş","S"),"Ğ","G"),"ğ","G"),"Ü","U"),"ü","U"),"Ö","O"),"ö","O"),"Ç","C"),"ç","C"),".",""),",","")," ",""),"-","")))</f>
        <v/>
      </c>
      <c r="S443" s="3">
        <f>IF($D443="","",$C443&amp;"|"&amp;TEXT($E443,"0")&amp;"|"&amp;TEXT($F443,"0")&amp;"|"&amp;$I443)</f>
        <v/>
      </c>
      <c r="T443" s="3">
        <f>IF($E443="",0,SUMPRODUCT((AY_SONU!$O$7:$O$42="Evet")*(AY_SONU!$B$7:$B$42=DATE(YEAR($E443),MONTH($E443),1))))</f>
        <v/>
      </c>
    </row>
    <row r="444">
      <c r="A444" s="6" t="n"/>
      <c r="B444" s="113">
        <f>IF($D444="","","T"&amp;TEXT(ROW()-6,"00000"))</f>
        <v/>
      </c>
      <c r="C444" s="113">
        <f>IF($D444="","",IFERROR(INDEX(MUSTERILER!$B$7:$B$106,MATCH($R444,MUSTERILER!$T$7:$T$106,0)),IFERROR(INDEX(MUSTERILER!$B$7:$B$106,MATCH($D444,MUSTERILER!$B$7:$B$106,0)),IFERROR(INDEX(MUSTERILER!$B$7:$B$106,MATCH($R444&amp;"*",MUSTERILER!$T$7:$T$106,0)),"TANIMSIZ MÜŞTERİ"))))</f>
        <v/>
      </c>
      <c r="D444" s="109" t="inlineStr">
        <is>
          <t>YALIKENT LTD.ŞTİ.</t>
        </is>
      </c>
      <c r="E444" s="220" t="n">
        <v>46221</v>
      </c>
      <c r="F444" s="221" t="n">
        <v>5000</v>
      </c>
      <c r="G444" s="108" t="inlineStr">
        <is>
          <t>MERKEZ KASA</t>
        </is>
      </c>
      <c r="H444" s="108" t="inlineStr">
        <is>
          <t>Nakit</t>
        </is>
      </c>
      <c r="I444" s="109" t="n"/>
      <c r="J444" s="109" t="inlineStr">
        <is>
          <t>YALIKENT HAFTALIK MENDERES MAHSUP</t>
        </is>
      </c>
      <c r="K444" s="109" t="n"/>
      <c r="L444" s="226">
        <f>IF($E444="","",DATE(YEAR($E444),MONTH($E444),1))</f>
        <v/>
      </c>
      <c r="M444" s="113">
        <f>IF($D444="","",IF($C444="TANIMSIZ MÜŞTERİ","HATA",IF(OR($E444="",$F444&lt;=0,$G444=""),"EKSİK",IF($E444&gt;TODAY(),"İLERİ TARİH",IF(COUNTIF($S$7:$S$1506,$S444)&gt;1,"MÜKERRER?",IF($T444&gt;0,"KAPALI DÖNEM","UYGUN"))))))</f>
        <v/>
      </c>
      <c r="N444" s="121">
        <f>IF($C444="","",IF($C444="TANIMSIZ MÜŞTERİ","—",INDEX(MUSTERILER!$C$7:$C$106,MATCH($C444,MUSTERILER!$B$7:$B$106,0))))</f>
        <v/>
      </c>
      <c r="O444" s="6" t="n"/>
      <c r="P444" s="6" t="n"/>
      <c r="Q444" s="3">
        <f>IF($D444="","",$C444&amp;"|"&amp;COUNTIFS($C$7:$C444,$C444))</f>
        <v/>
      </c>
      <c r="R444" s="3">
        <f>IF($D444="","",UPPER(SUBSTITUTE(SUBSTITUTE(SUBSTITUTE(SUBSTITUTE(SUBSTITUTE(SUBSTITUTE(SUBSTITUTE(SUBSTITUTE(SUBSTITUTE(SUBSTITUTE(SUBSTITUTE(SUBSTITUTE(SUBSTITUTE(SUBSTITUTE(SUBSTITUTE(SUBSTITUTE(SUBSTITUTE(SUBSTITUTE(TRIM($D444),"'",""),"İ","I"),"ı","I"),"i","I"),"Ş","S"),"ş","S"),"Ğ","G"),"ğ","G"),"Ü","U"),"ü","U"),"Ö","O"),"ö","O"),"Ç","C"),"ç","C"),".",""),",","")," ",""),"-","")))</f>
        <v/>
      </c>
      <c r="S444" s="3">
        <f>IF($D444="","",$C444&amp;"|"&amp;TEXT($E444,"0")&amp;"|"&amp;TEXT($F444,"0")&amp;"|"&amp;$I444)</f>
        <v/>
      </c>
      <c r="T444" s="3">
        <f>IF($E444="",0,SUMPRODUCT((AY_SONU!$O$7:$O$42="Evet")*(AY_SONU!$B$7:$B$42=DATE(YEAR($E444),MONTH($E444),1))))</f>
        <v/>
      </c>
    </row>
    <row r="445">
      <c r="A445" s="6" t="n"/>
      <c r="B445" s="113">
        <f>IF($D445="","","T"&amp;TEXT(ROW()-6,"00000"))</f>
        <v/>
      </c>
      <c r="C445" s="113">
        <f>IF($D445="","",IFERROR(INDEX(MUSTERILER!$B$7:$B$106,MATCH($R445,MUSTERILER!$T$7:$T$106,0)),IFERROR(INDEX(MUSTERILER!$B$7:$B$106,MATCH($D445,MUSTERILER!$B$7:$B$106,0)),IFERROR(INDEX(MUSTERILER!$B$7:$B$106,MATCH($R445&amp;"*",MUSTERILER!$T$7:$T$106,0)),"TANIMSIZ MÜŞTERİ"))))</f>
        <v/>
      </c>
      <c r="D445" s="109" t="inlineStr">
        <is>
          <t>Zümrüt Grup Ltd.Şti.</t>
        </is>
      </c>
      <c r="E445" s="220" t="n">
        <v>46221</v>
      </c>
      <c r="F445" s="221" t="n">
        <v>3500</v>
      </c>
      <c r="G445" s="108" t="inlineStr">
        <is>
          <t>MERKEZ KASA</t>
        </is>
      </c>
      <c r="H445" s="108" t="inlineStr">
        <is>
          <t>Nakit</t>
        </is>
      </c>
      <c r="I445" s="109" t="n"/>
      <c r="J445" s="109" t="inlineStr">
        <is>
          <t>NAKİT ÖDENEN</t>
        </is>
      </c>
      <c r="K445" s="109" t="n"/>
      <c r="L445" s="226">
        <f>IF($E445="","",DATE(YEAR($E445),MONTH($E445),1))</f>
        <v/>
      </c>
      <c r="M445" s="113">
        <f>IF($D445="","",IF($C445="TANIMSIZ MÜŞTERİ","HATA",IF(OR($E445="",$F445&lt;=0,$G445=""),"EKSİK",IF($E445&gt;TODAY(),"İLERİ TARİH",IF(COUNTIF($S$7:$S$1506,$S445)&gt;1,"MÜKERRER?",IF($T445&gt;0,"KAPALI DÖNEM","UYGUN"))))))</f>
        <v/>
      </c>
      <c r="N445" s="121">
        <f>IF($C445="","",IF($C445="TANIMSIZ MÜŞTERİ","—",INDEX(MUSTERILER!$C$7:$C$106,MATCH($C445,MUSTERILER!$B$7:$B$106,0))))</f>
        <v/>
      </c>
      <c r="O445" s="6" t="n"/>
      <c r="P445" s="6" t="n"/>
      <c r="Q445" s="3">
        <f>IF($D445="","",$C445&amp;"|"&amp;COUNTIFS($C$7:$C445,$C445))</f>
        <v/>
      </c>
      <c r="R445" s="3">
        <f>IF($D445="","",UPPER(SUBSTITUTE(SUBSTITUTE(SUBSTITUTE(SUBSTITUTE(SUBSTITUTE(SUBSTITUTE(SUBSTITUTE(SUBSTITUTE(SUBSTITUTE(SUBSTITUTE(SUBSTITUTE(SUBSTITUTE(SUBSTITUTE(SUBSTITUTE(SUBSTITUTE(SUBSTITUTE(SUBSTITUTE(SUBSTITUTE(TRIM($D445),"'",""),"İ","I"),"ı","I"),"i","I"),"Ş","S"),"ş","S"),"Ğ","G"),"ğ","G"),"Ü","U"),"ü","U"),"Ö","O"),"ö","O"),"Ç","C"),"ç","C"),".",""),",","")," ",""),"-","")))</f>
        <v/>
      </c>
      <c r="S445" s="3">
        <f>IF($D445="","",$C445&amp;"|"&amp;TEXT($E445,"0")&amp;"|"&amp;TEXT($F445,"0")&amp;"|"&amp;$I445)</f>
        <v/>
      </c>
      <c r="T445" s="3">
        <f>IF($E445="",0,SUMPRODUCT((AY_SONU!$O$7:$O$42="Evet")*(AY_SONU!$B$7:$B$42=DATE(YEAR($E445),MONTH($E445),1))))</f>
        <v/>
      </c>
    </row>
    <row r="446">
      <c r="A446" s="6" t="n"/>
      <c r="B446" s="113">
        <f>IF($D446="","","T"&amp;TEXT(ROW()-6,"00000"))</f>
        <v/>
      </c>
      <c r="C446" s="113">
        <f>IF($D446="","",IFERROR(INDEX(MUSTERILER!$B$7:$B$106,MATCH($R446,MUSTERILER!$T$7:$T$106,0)),IFERROR(INDEX(MUSTERILER!$B$7:$B$106,MATCH($D446,MUSTERILER!$B$7:$B$106,0)),IFERROR(INDEX(MUSTERILER!$B$7:$B$106,MATCH($R446&amp;"*",MUSTERILER!$T$7:$T$106,0)),"TANIMSIZ MÜŞTERİ"))))</f>
        <v/>
      </c>
      <c r="D446" s="109" t="inlineStr">
        <is>
          <t>ÇINARHAN LTD.ŞTİ.</t>
        </is>
      </c>
      <c r="E446" s="220" t="n">
        <v>46221</v>
      </c>
      <c r="F446" s="221" t="n">
        <v>5000</v>
      </c>
      <c r="G446" s="108" t="inlineStr">
        <is>
          <t>MERKEZ KASA</t>
        </is>
      </c>
      <c r="H446" s="108" t="inlineStr">
        <is>
          <t>Nakit</t>
        </is>
      </c>
      <c r="I446" s="109" t="n"/>
      <c r="J446" s="109" t="inlineStr">
        <is>
          <t>NAKİT ÖDENEN</t>
        </is>
      </c>
      <c r="K446" s="109" t="n"/>
      <c r="L446" s="226">
        <f>IF($E446="","",DATE(YEAR($E446),MONTH($E446),1))</f>
        <v/>
      </c>
      <c r="M446" s="113">
        <f>IF($D446="","",IF($C446="TANIMSIZ MÜŞTERİ","HATA",IF(OR($E446="",$F446&lt;=0,$G446=""),"EKSİK",IF($E446&gt;TODAY(),"İLERİ TARİH",IF(COUNTIF($S$7:$S$1506,$S446)&gt;1,"MÜKERRER?",IF($T446&gt;0,"KAPALI DÖNEM","UYGUN"))))))</f>
        <v/>
      </c>
      <c r="N446" s="121">
        <f>IF($C446="","",IF($C446="TANIMSIZ MÜŞTERİ","—",INDEX(MUSTERILER!$C$7:$C$106,MATCH($C446,MUSTERILER!$B$7:$B$106,0))))</f>
        <v/>
      </c>
      <c r="O446" s="6" t="n"/>
      <c r="P446" s="6" t="n"/>
      <c r="Q446" s="3">
        <f>IF($D446="","",$C446&amp;"|"&amp;COUNTIFS($C$7:$C446,$C446))</f>
        <v/>
      </c>
      <c r="R446" s="3">
        <f>IF($D446="","",UPPER(SUBSTITUTE(SUBSTITUTE(SUBSTITUTE(SUBSTITUTE(SUBSTITUTE(SUBSTITUTE(SUBSTITUTE(SUBSTITUTE(SUBSTITUTE(SUBSTITUTE(SUBSTITUTE(SUBSTITUTE(SUBSTITUTE(SUBSTITUTE(SUBSTITUTE(SUBSTITUTE(SUBSTITUTE(SUBSTITUTE(TRIM($D446),"'",""),"İ","I"),"ı","I"),"i","I"),"Ş","S"),"ş","S"),"Ğ","G"),"ğ","G"),"Ü","U"),"ü","U"),"Ö","O"),"ö","O"),"Ç","C"),"ç","C"),".",""),",","")," ",""),"-","")))</f>
        <v/>
      </c>
      <c r="S446" s="3">
        <f>IF($D446="","",$C446&amp;"|"&amp;TEXT($E446,"0")&amp;"|"&amp;TEXT($F446,"0")&amp;"|"&amp;$I446)</f>
        <v/>
      </c>
      <c r="T446" s="3">
        <f>IF($E446="",0,SUMPRODUCT((AY_SONU!$O$7:$O$42="Evet")*(AY_SONU!$B$7:$B$42=DATE(YEAR($E446),MONTH($E446),1))))</f>
        <v/>
      </c>
    </row>
    <row r="447">
      <c r="A447" s="6" t="n"/>
      <c r="B447" s="113">
        <f>IF($D447="","","T"&amp;TEXT(ROW()-6,"00000"))</f>
        <v/>
      </c>
      <c r="C447" s="113">
        <f>IF($D447="","",IFERROR(INDEX(MUSTERILER!$B$7:$B$106,MATCH($R447,MUSTERILER!$T$7:$T$106,0)),IFERROR(INDEX(MUSTERILER!$B$7:$B$106,MATCH($D447,MUSTERILER!$B$7:$B$106,0)),IFERROR(INDEX(MUSTERILER!$B$7:$B$106,MATCH($R447&amp;"*",MUSTERILER!$T$7:$T$106,0)),"TANIMSIZ MÜŞTERİ"))))</f>
        <v/>
      </c>
      <c r="D447" s="109" t="inlineStr">
        <is>
          <t>İSA DEMİRCİ</t>
        </is>
      </c>
      <c r="E447" s="220" t="n">
        <v>46221</v>
      </c>
      <c r="F447" s="221" t="n">
        <v>3500</v>
      </c>
      <c r="G447" s="108" t="inlineStr">
        <is>
          <t>ÖMER KARTAL</t>
        </is>
      </c>
      <c r="H447" s="108" t="inlineStr">
        <is>
          <t>Nakit</t>
        </is>
      </c>
      <c r="I447" s="109" t="n"/>
      <c r="J447" s="109" t="inlineStr">
        <is>
          <t>NAKİT ÖDENEN</t>
        </is>
      </c>
      <c r="K447" s="109" t="n"/>
      <c r="L447" s="226">
        <f>IF($E447="","",DATE(YEAR($E447),MONTH($E447),1))</f>
        <v/>
      </c>
      <c r="M447" s="113">
        <f>IF($D447="","",IF($C447="TANIMSIZ MÜŞTERİ","HATA",IF(OR($E447="",$F447&lt;=0,$G447=""),"EKSİK",IF($E447&gt;TODAY(),"İLERİ TARİH",IF(COUNTIF($S$7:$S$1506,$S447)&gt;1,"MÜKERRER?",IF($T447&gt;0,"KAPALI DÖNEM","UYGUN"))))))</f>
        <v/>
      </c>
      <c r="N447" s="121">
        <f>IF($C447="","",IF($C447="TANIMSIZ MÜŞTERİ","—",INDEX(MUSTERILER!$C$7:$C$106,MATCH($C447,MUSTERILER!$B$7:$B$106,0))))</f>
        <v/>
      </c>
      <c r="O447" s="6" t="n"/>
      <c r="P447" s="6" t="n"/>
      <c r="Q447" s="3">
        <f>IF($D447="","",$C447&amp;"|"&amp;COUNTIFS($C$7:$C447,$C447))</f>
        <v/>
      </c>
      <c r="R447" s="3">
        <f>IF($D447="","",UPPER(SUBSTITUTE(SUBSTITUTE(SUBSTITUTE(SUBSTITUTE(SUBSTITUTE(SUBSTITUTE(SUBSTITUTE(SUBSTITUTE(SUBSTITUTE(SUBSTITUTE(SUBSTITUTE(SUBSTITUTE(SUBSTITUTE(SUBSTITUTE(SUBSTITUTE(SUBSTITUTE(SUBSTITUTE(SUBSTITUTE(TRIM($D447),"'",""),"İ","I"),"ı","I"),"i","I"),"Ş","S"),"ş","S"),"Ğ","G"),"ğ","G"),"Ü","U"),"ü","U"),"Ö","O"),"ö","O"),"Ç","C"),"ç","C"),".",""),",","")," ",""),"-","")))</f>
        <v/>
      </c>
      <c r="S447" s="3">
        <f>IF($D447="","",$C447&amp;"|"&amp;TEXT($E447,"0")&amp;"|"&amp;TEXT($F447,"0")&amp;"|"&amp;$I447)</f>
        <v/>
      </c>
      <c r="T447" s="3">
        <f>IF($E447="",0,SUMPRODUCT((AY_SONU!$O$7:$O$42="Evet")*(AY_SONU!$B$7:$B$42=DATE(YEAR($E447),MONTH($E447),1))))</f>
        <v/>
      </c>
    </row>
    <row r="448">
      <c r="A448" s="6" t="n"/>
      <c r="B448" s="113">
        <f>IF($D448="","","T"&amp;TEXT(ROW()-6,"00000"))</f>
        <v/>
      </c>
      <c r="C448" s="113">
        <f>IF($D448="","",IFERROR(INDEX(MUSTERILER!$B$7:$B$106,MATCH($R448,MUSTERILER!$T$7:$T$106,0)),IFERROR(INDEX(MUSTERILER!$B$7:$B$106,MATCH($D448,MUSTERILER!$B$7:$B$106,0)),IFERROR(INDEX(MUSTERILER!$B$7:$B$106,MATCH($R448&amp;"*",MUSTERILER!$T$7:$T$106,0)),"TANIMSIZ MÜŞTERİ"))))</f>
        <v/>
      </c>
      <c r="D448" s="109" t="inlineStr">
        <is>
          <t>PALAOĞULLARI LTD.ŞTİ.</t>
        </is>
      </c>
      <c r="E448" s="220" t="n">
        <v>46221</v>
      </c>
      <c r="F448" s="221" t="n">
        <v>5000</v>
      </c>
      <c r="G448" s="108" t="inlineStr">
        <is>
          <t>MERKEZ KASA</t>
        </is>
      </c>
      <c r="H448" s="108" t="inlineStr">
        <is>
          <t>Nakit</t>
        </is>
      </c>
      <c r="I448" s="109" t="n"/>
      <c r="J448" s="109" t="inlineStr">
        <is>
          <t>NAKİT ÖDENEN</t>
        </is>
      </c>
      <c r="K448" s="109" t="n"/>
      <c r="L448" s="226">
        <f>IF($E448="","",DATE(YEAR($E448),MONTH($E448),1))</f>
        <v/>
      </c>
      <c r="M448" s="113">
        <f>IF($D448="","",IF($C448="TANIMSIZ MÜŞTERİ","HATA",IF(OR($E448="",$F448&lt;=0,$G448=""),"EKSİK",IF($E448&gt;TODAY(),"İLERİ TARİH",IF(COUNTIF($S$7:$S$1506,$S448)&gt;1,"MÜKERRER?",IF($T448&gt;0,"KAPALI DÖNEM","UYGUN"))))))</f>
        <v/>
      </c>
      <c r="N448" s="121">
        <f>IF($C448="","",IF($C448="TANIMSIZ MÜŞTERİ","—",INDEX(MUSTERILER!$C$7:$C$106,MATCH($C448,MUSTERILER!$B$7:$B$106,0))))</f>
        <v/>
      </c>
      <c r="O448" s="6" t="n"/>
      <c r="P448" s="6" t="n"/>
      <c r="Q448" s="3">
        <f>IF($D448="","",$C448&amp;"|"&amp;COUNTIFS($C$7:$C448,$C448))</f>
        <v/>
      </c>
      <c r="R448" s="3">
        <f>IF($D448="","",UPPER(SUBSTITUTE(SUBSTITUTE(SUBSTITUTE(SUBSTITUTE(SUBSTITUTE(SUBSTITUTE(SUBSTITUTE(SUBSTITUTE(SUBSTITUTE(SUBSTITUTE(SUBSTITUTE(SUBSTITUTE(SUBSTITUTE(SUBSTITUTE(SUBSTITUTE(SUBSTITUTE(SUBSTITUTE(SUBSTITUTE(TRIM($D448),"'",""),"İ","I"),"ı","I"),"i","I"),"Ş","S"),"ş","S"),"Ğ","G"),"ğ","G"),"Ü","U"),"ü","U"),"Ö","O"),"ö","O"),"Ç","C"),"ç","C"),".",""),",","")," ",""),"-","")))</f>
        <v/>
      </c>
      <c r="S448" s="3">
        <f>IF($D448="","",$C448&amp;"|"&amp;TEXT($E448,"0")&amp;"|"&amp;TEXT($F448,"0")&amp;"|"&amp;$I448)</f>
        <v/>
      </c>
      <c r="T448" s="3">
        <f>IF($E448="",0,SUMPRODUCT((AY_SONU!$O$7:$O$42="Evet")*(AY_SONU!$B$7:$B$42=DATE(YEAR($E448),MONTH($E448),1))))</f>
        <v/>
      </c>
    </row>
    <row r="449">
      <c r="A449" s="6" t="n"/>
      <c r="B449" s="113">
        <f>IF($D449="","","T"&amp;TEXT(ROW()-6,"00000"))</f>
        <v/>
      </c>
      <c r="C449" s="113">
        <f>IF($D449="","",IFERROR(INDEX(MUSTERILER!$B$7:$B$106,MATCH($R449,MUSTERILER!$T$7:$T$106,0)),IFERROR(INDEX(MUSTERILER!$B$7:$B$106,MATCH($D449,MUSTERILER!$B$7:$B$106,0)),IFERROR(INDEX(MUSTERILER!$B$7:$B$106,MATCH($R449&amp;"*",MUSTERILER!$T$7:$T$106,0)),"TANIMSIZ MÜŞTERİ"))))</f>
        <v/>
      </c>
      <c r="D449" s="109" t="inlineStr">
        <is>
          <t>FARUK DEMİRCİ</t>
        </is>
      </c>
      <c r="E449" s="220" t="n">
        <v>46225</v>
      </c>
      <c r="F449" s="221" t="n">
        <v>2000</v>
      </c>
      <c r="G449" s="108" t="inlineStr">
        <is>
          <t>MERKEZ KASA</t>
        </is>
      </c>
      <c r="H449" s="108" t="inlineStr">
        <is>
          <t>Nakit</t>
        </is>
      </c>
      <c r="I449" s="109" t="n"/>
      <c r="J449" s="109" t="inlineStr">
        <is>
          <t>NAKİT ÖDENEN</t>
        </is>
      </c>
      <c r="K449" s="109" t="n"/>
      <c r="L449" s="226">
        <f>IF($E449="","",DATE(YEAR($E449),MONTH($E449),1))</f>
        <v/>
      </c>
      <c r="M449" s="113">
        <f>IF($D449="","",IF($C449="TANIMSIZ MÜŞTERİ","HATA",IF(OR($E449="",$F449&lt;=0,$G449=""),"EKSİK",IF($E449&gt;TODAY(),"İLERİ TARİH",IF(COUNTIF($S$7:$S$1506,$S449)&gt;1,"MÜKERRER?",IF($T449&gt;0,"KAPALI DÖNEM","UYGUN"))))))</f>
        <v/>
      </c>
      <c r="N449" s="121">
        <f>IF($C449="","",IF($C449="TANIMSIZ MÜŞTERİ","—",INDEX(MUSTERILER!$C$7:$C$106,MATCH($C449,MUSTERILER!$B$7:$B$106,0))))</f>
        <v/>
      </c>
      <c r="O449" s="6" t="n"/>
      <c r="P449" s="6" t="n"/>
      <c r="Q449" s="3">
        <f>IF($D449="","",$C449&amp;"|"&amp;COUNTIFS($C$7:$C449,$C449))</f>
        <v/>
      </c>
      <c r="R449" s="3">
        <f>IF($D449="","",UPPER(SUBSTITUTE(SUBSTITUTE(SUBSTITUTE(SUBSTITUTE(SUBSTITUTE(SUBSTITUTE(SUBSTITUTE(SUBSTITUTE(SUBSTITUTE(SUBSTITUTE(SUBSTITUTE(SUBSTITUTE(SUBSTITUTE(SUBSTITUTE(SUBSTITUTE(SUBSTITUTE(SUBSTITUTE(SUBSTITUTE(TRIM($D449),"'",""),"İ","I"),"ı","I"),"i","I"),"Ş","S"),"ş","S"),"Ğ","G"),"ğ","G"),"Ü","U"),"ü","U"),"Ö","O"),"ö","O"),"Ç","C"),"ç","C"),".",""),",","")," ",""),"-","")))</f>
        <v/>
      </c>
      <c r="S449" s="3">
        <f>IF($D449="","",$C449&amp;"|"&amp;TEXT($E449,"0")&amp;"|"&amp;TEXT($F449,"0")&amp;"|"&amp;$I449)</f>
        <v/>
      </c>
      <c r="T449" s="3">
        <f>IF($E449="",0,SUMPRODUCT((AY_SONU!$O$7:$O$42="Evet")*(AY_SONU!$B$7:$B$42=DATE(YEAR($E449),MONTH($E449),1))))</f>
        <v/>
      </c>
    </row>
    <row r="450">
      <c r="A450" s="6" t="n"/>
      <c r="B450" s="113">
        <f>IF($D450="","","T"&amp;TEXT(ROW()-6,"00000"))</f>
        <v/>
      </c>
      <c r="C450" s="113">
        <f>IF($D450="","",IFERROR(INDEX(MUSTERILER!$B$7:$B$106,MATCH($R450,MUSTERILER!$T$7:$T$106,0)),IFERROR(INDEX(MUSTERILER!$B$7:$B$106,MATCH($D450,MUSTERILER!$B$7:$B$106,0)),IFERROR(INDEX(MUSTERILER!$B$7:$B$106,MATCH($R450&amp;"*",MUSTERILER!$T$7:$T$106,0)),"TANIMSIZ MÜŞTERİ"))))</f>
        <v/>
      </c>
      <c r="D450" s="109" t="inlineStr">
        <is>
          <t>MEHMET EVREN KILINÇ</t>
        </is>
      </c>
      <c r="E450" s="220" t="n">
        <v>46225</v>
      </c>
      <c r="F450" s="221" t="n">
        <v>2000</v>
      </c>
      <c r="G450" s="108" t="inlineStr">
        <is>
          <t>MERKEZ KASA</t>
        </is>
      </c>
      <c r="H450" s="108" t="inlineStr">
        <is>
          <t>Nakit</t>
        </is>
      </c>
      <c r="I450" s="109" t="n"/>
      <c r="J450" s="109" t="inlineStr">
        <is>
          <t>NAKİT ÖDENEN</t>
        </is>
      </c>
      <c r="K450" s="109" t="n"/>
      <c r="L450" s="226">
        <f>IF($E450="","",DATE(YEAR($E450),MONTH($E450),1))</f>
        <v/>
      </c>
      <c r="M450" s="113">
        <f>IF($D450="","",IF($C450="TANIMSIZ MÜŞTERİ","HATA",IF(OR($E450="",$F450&lt;=0,$G450=""),"EKSİK",IF($E450&gt;TODAY(),"İLERİ TARİH",IF(COUNTIF($S$7:$S$1506,$S450)&gt;1,"MÜKERRER?",IF($T450&gt;0,"KAPALI DÖNEM","UYGUN"))))))</f>
        <v/>
      </c>
      <c r="N450" s="121">
        <f>IF($C450="","",IF($C450="TANIMSIZ MÜŞTERİ","—",INDEX(MUSTERILER!$C$7:$C$106,MATCH($C450,MUSTERILER!$B$7:$B$106,0))))</f>
        <v/>
      </c>
      <c r="O450" s="6" t="n"/>
      <c r="P450" s="6" t="n"/>
      <c r="Q450" s="3">
        <f>IF($D450="","",$C450&amp;"|"&amp;COUNTIFS($C$7:$C450,$C450))</f>
        <v/>
      </c>
      <c r="R450" s="3">
        <f>IF($D450="","",UPPER(SUBSTITUTE(SUBSTITUTE(SUBSTITUTE(SUBSTITUTE(SUBSTITUTE(SUBSTITUTE(SUBSTITUTE(SUBSTITUTE(SUBSTITUTE(SUBSTITUTE(SUBSTITUTE(SUBSTITUTE(SUBSTITUTE(SUBSTITUTE(SUBSTITUTE(SUBSTITUTE(SUBSTITUTE(SUBSTITUTE(TRIM($D450),"'",""),"İ","I"),"ı","I"),"i","I"),"Ş","S"),"ş","S"),"Ğ","G"),"ğ","G"),"Ü","U"),"ü","U"),"Ö","O"),"ö","O"),"Ç","C"),"ç","C"),".",""),",","")," ",""),"-","")))</f>
        <v/>
      </c>
      <c r="S450" s="3">
        <f>IF($D450="","",$C450&amp;"|"&amp;TEXT($E450,"0")&amp;"|"&amp;TEXT($F450,"0")&amp;"|"&amp;$I450)</f>
        <v/>
      </c>
      <c r="T450" s="3">
        <f>IF($E450="",0,SUMPRODUCT((AY_SONU!$O$7:$O$42="Evet")*(AY_SONU!$B$7:$B$42=DATE(YEAR($E450),MONTH($E450),1))))</f>
        <v/>
      </c>
    </row>
    <row r="451">
      <c r="A451" s="6" t="n"/>
      <c r="B451" s="113">
        <f>IF($D451="","","T"&amp;TEXT(ROW()-6,"00000"))</f>
        <v/>
      </c>
      <c r="C451" s="113">
        <f>IF($D451="","",IFERROR(INDEX(MUSTERILER!$B$7:$B$106,MATCH($R451,MUSTERILER!$T$7:$T$106,0)),IFERROR(INDEX(MUSTERILER!$B$7:$B$106,MATCH($D451,MUSTERILER!$B$7:$B$106,0)),IFERROR(INDEX(MUSTERILER!$B$7:$B$106,MATCH($R451&amp;"*",MUSTERILER!$T$7:$T$106,0)),"TANIMSIZ MÜŞTERİ"))))</f>
        <v/>
      </c>
      <c r="D451" s="109" t="inlineStr">
        <is>
          <t>RASİM DEMİRCİ</t>
        </is>
      </c>
      <c r="E451" s="220" t="n">
        <v>46226</v>
      </c>
      <c r="F451" s="221" t="n">
        <v>6000</v>
      </c>
      <c r="G451" s="108" t="inlineStr">
        <is>
          <t>MERKEZ KASA</t>
        </is>
      </c>
      <c r="H451" s="108" t="inlineStr">
        <is>
          <t>Nakit</t>
        </is>
      </c>
      <c r="I451" s="109" t="n"/>
      <c r="J451" s="109" t="inlineStr">
        <is>
          <t>NAKİT ÖDENEN</t>
        </is>
      </c>
      <c r="K451" s="109" t="n"/>
      <c r="L451" s="226">
        <f>IF($E451="","",DATE(YEAR($E451),MONTH($E451),1))</f>
        <v/>
      </c>
      <c r="M451" s="113">
        <f>IF($D451="","",IF($C451="TANIMSIZ MÜŞTERİ","HATA",IF(OR($E451="",$F451&lt;=0,$G451=""),"EKSİK",IF($E451&gt;TODAY(),"İLERİ TARİH",IF(COUNTIF($S$7:$S$1506,$S451)&gt;1,"MÜKERRER?",IF($T451&gt;0,"KAPALI DÖNEM","UYGUN"))))))</f>
        <v/>
      </c>
      <c r="N451" s="121">
        <f>IF($C451="","",IF($C451="TANIMSIZ MÜŞTERİ","—",INDEX(MUSTERILER!$C$7:$C$106,MATCH($C451,MUSTERILER!$B$7:$B$106,0))))</f>
        <v/>
      </c>
      <c r="O451" s="6" t="n"/>
      <c r="P451" s="6" t="n"/>
      <c r="Q451" s="3">
        <f>IF($D451="","",$C451&amp;"|"&amp;COUNTIFS($C$7:$C451,$C451))</f>
        <v/>
      </c>
      <c r="R451" s="3">
        <f>IF($D451="","",UPPER(SUBSTITUTE(SUBSTITUTE(SUBSTITUTE(SUBSTITUTE(SUBSTITUTE(SUBSTITUTE(SUBSTITUTE(SUBSTITUTE(SUBSTITUTE(SUBSTITUTE(SUBSTITUTE(SUBSTITUTE(SUBSTITUTE(SUBSTITUTE(SUBSTITUTE(SUBSTITUTE(SUBSTITUTE(SUBSTITUTE(TRIM($D451),"'",""),"İ","I"),"ı","I"),"i","I"),"Ş","S"),"ş","S"),"Ğ","G"),"ğ","G"),"Ü","U"),"ü","U"),"Ö","O"),"ö","O"),"Ç","C"),"ç","C"),".",""),",","")," ",""),"-","")))</f>
        <v/>
      </c>
      <c r="S451" s="3">
        <f>IF($D451="","",$C451&amp;"|"&amp;TEXT($E451,"0")&amp;"|"&amp;TEXT($F451,"0")&amp;"|"&amp;$I451)</f>
        <v/>
      </c>
      <c r="T451" s="3">
        <f>IF($E451="",0,SUMPRODUCT((AY_SONU!$O$7:$O$42="Evet")*(AY_SONU!$B$7:$B$42=DATE(YEAR($E451),MONTH($E451),1))))</f>
        <v/>
      </c>
    </row>
    <row r="452">
      <c r="A452" s="6" t="n"/>
      <c r="B452" s="113">
        <f>IF($D452="","","T"&amp;TEXT(ROW()-6,"00000"))</f>
        <v/>
      </c>
      <c r="C452" s="113">
        <f>IF($D452="","",IFERROR(INDEX(MUSTERILER!$B$7:$B$106,MATCH($R452,MUSTERILER!$T$7:$T$106,0)),IFERROR(INDEX(MUSTERILER!$B$7:$B$106,MATCH($D452,MUSTERILER!$B$7:$B$106,0)),IFERROR(INDEX(MUSTERILER!$B$7:$B$106,MATCH($R452&amp;"*",MUSTERILER!$T$7:$T$106,0)),"TANIMSIZ MÜŞTERİ"))))</f>
        <v/>
      </c>
      <c r="D452" s="109" t="inlineStr">
        <is>
          <t>Ankara Havana Ltd.Şti.</t>
        </is>
      </c>
      <c r="E452" s="220" t="n">
        <v>46228</v>
      </c>
      <c r="F452" s="221" t="n">
        <v>4000</v>
      </c>
      <c r="G452" s="108" t="inlineStr">
        <is>
          <t>MERKEZ KASA</t>
        </is>
      </c>
      <c r="H452" s="108" t="inlineStr">
        <is>
          <t>Nakit</t>
        </is>
      </c>
      <c r="I452" s="109" t="n"/>
      <c r="J452" s="109" t="inlineStr">
        <is>
          <t>NAKİT ÖDENEN</t>
        </is>
      </c>
      <c r="K452" s="109" t="n"/>
      <c r="L452" s="226">
        <f>IF($E452="","",DATE(YEAR($E452),MONTH($E452),1))</f>
        <v/>
      </c>
      <c r="M452" s="113">
        <f>IF($D452="","",IF($C452="TANIMSIZ MÜŞTERİ","HATA",IF(OR($E452="",$F452&lt;=0,$G452=""),"EKSİK",IF($E452&gt;TODAY(),"İLERİ TARİH",IF(COUNTIF($S$7:$S$1506,$S452)&gt;1,"MÜKERRER?",IF($T452&gt;0,"KAPALI DÖNEM","UYGUN"))))))</f>
        <v/>
      </c>
      <c r="N452" s="121">
        <f>IF($C452="","",IF($C452="TANIMSIZ MÜŞTERİ","—",INDEX(MUSTERILER!$C$7:$C$106,MATCH($C452,MUSTERILER!$B$7:$B$106,0))))</f>
        <v/>
      </c>
      <c r="O452" s="6" t="n"/>
      <c r="P452" s="6" t="n"/>
      <c r="Q452" s="3">
        <f>IF($D452="","",$C452&amp;"|"&amp;COUNTIFS($C$7:$C452,$C452))</f>
        <v/>
      </c>
      <c r="R452" s="3">
        <f>IF($D452="","",UPPER(SUBSTITUTE(SUBSTITUTE(SUBSTITUTE(SUBSTITUTE(SUBSTITUTE(SUBSTITUTE(SUBSTITUTE(SUBSTITUTE(SUBSTITUTE(SUBSTITUTE(SUBSTITUTE(SUBSTITUTE(SUBSTITUTE(SUBSTITUTE(SUBSTITUTE(SUBSTITUTE(SUBSTITUTE(SUBSTITUTE(TRIM($D452),"'",""),"İ","I"),"ı","I"),"i","I"),"Ş","S"),"ş","S"),"Ğ","G"),"ğ","G"),"Ü","U"),"ü","U"),"Ö","O"),"ö","O"),"Ç","C"),"ç","C"),".",""),",","")," ",""),"-","")))</f>
        <v/>
      </c>
      <c r="S452" s="3">
        <f>IF($D452="","",$C452&amp;"|"&amp;TEXT($E452,"0")&amp;"|"&amp;TEXT($F452,"0")&amp;"|"&amp;$I452)</f>
        <v/>
      </c>
      <c r="T452" s="3">
        <f>IF($E452="",0,SUMPRODUCT((AY_SONU!$O$7:$O$42="Evet")*(AY_SONU!$B$7:$B$42=DATE(YEAR($E452),MONTH($E452),1))))</f>
        <v/>
      </c>
    </row>
    <row r="453">
      <c r="A453" s="6" t="n"/>
      <c r="B453" s="113">
        <f>IF($D453="","","T"&amp;TEXT(ROW()-6,"00000"))</f>
        <v/>
      </c>
      <c r="C453" s="113">
        <f>IF($D453="","",IFERROR(INDEX(MUSTERILER!$B$7:$B$106,MATCH($R453,MUSTERILER!$T$7:$T$106,0)),IFERROR(INDEX(MUSTERILER!$B$7:$B$106,MATCH($D453,MUSTERILER!$B$7:$B$106,0)),IFERROR(INDEX(MUSTERILER!$B$7:$B$106,MATCH($R453&amp;"*",MUSTERILER!$T$7:$T$106,0)),"TANIMSIZ MÜŞTERİ"))))</f>
        <v/>
      </c>
      <c r="D453" s="109" t="inlineStr">
        <is>
          <t>ASIM AÇIKGÖZ</t>
        </is>
      </c>
      <c r="E453" s="220" t="n">
        <v>46228</v>
      </c>
      <c r="F453" s="221" t="n">
        <v>2000</v>
      </c>
      <c r="G453" s="108" t="inlineStr">
        <is>
          <t>MERKEZ KASA</t>
        </is>
      </c>
      <c r="H453" s="108" t="inlineStr">
        <is>
          <t>Nakit</t>
        </is>
      </c>
      <c r="I453" s="109" t="n"/>
      <c r="J453" s="109" t="inlineStr">
        <is>
          <t>NAKİT ÖDENEN</t>
        </is>
      </c>
      <c r="K453" s="109" t="n"/>
      <c r="L453" s="226">
        <f>IF($E453="","",DATE(YEAR($E453),MONTH($E453),1))</f>
        <v/>
      </c>
      <c r="M453" s="113">
        <f>IF($D453="","",IF($C453="TANIMSIZ MÜŞTERİ","HATA",IF(OR($E453="",$F453&lt;=0,$G453=""),"EKSİK",IF($E453&gt;TODAY(),"İLERİ TARİH",IF(COUNTIF($S$7:$S$1506,$S453)&gt;1,"MÜKERRER?",IF($T453&gt;0,"KAPALI DÖNEM","UYGUN"))))))</f>
        <v/>
      </c>
      <c r="N453" s="121">
        <f>IF($C453="","",IF($C453="TANIMSIZ MÜŞTERİ","—",INDEX(MUSTERILER!$C$7:$C$106,MATCH($C453,MUSTERILER!$B$7:$B$106,0))))</f>
        <v/>
      </c>
      <c r="O453" s="6" t="n"/>
      <c r="P453" s="6" t="n"/>
      <c r="Q453" s="3">
        <f>IF($D453="","",$C453&amp;"|"&amp;COUNTIFS($C$7:$C453,$C453))</f>
        <v/>
      </c>
      <c r="R453" s="3">
        <f>IF($D453="","",UPPER(SUBSTITUTE(SUBSTITUTE(SUBSTITUTE(SUBSTITUTE(SUBSTITUTE(SUBSTITUTE(SUBSTITUTE(SUBSTITUTE(SUBSTITUTE(SUBSTITUTE(SUBSTITUTE(SUBSTITUTE(SUBSTITUTE(SUBSTITUTE(SUBSTITUTE(SUBSTITUTE(SUBSTITUTE(SUBSTITUTE(TRIM($D453),"'",""),"İ","I"),"ı","I"),"i","I"),"Ş","S"),"ş","S"),"Ğ","G"),"ğ","G"),"Ü","U"),"ü","U"),"Ö","O"),"ö","O"),"Ç","C"),"ç","C"),".",""),",","")," ",""),"-","")))</f>
        <v/>
      </c>
      <c r="S453" s="3">
        <f>IF($D453="","",$C453&amp;"|"&amp;TEXT($E453,"0")&amp;"|"&amp;TEXT($F453,"0")&amp;"|"&amp;$I453)</f>
        <v/>
      </c>
      <c r="T453" s="3">
        <f>IF($E453="",0,SUMPRODUCT((AY_SONU!$O$7:$O$42="Evet")*(AY_SONU!$B$7:$B$42=DATE(YEAR($E453),MONTH($E453),1))))</f>
        <v/>
      </c>
    </row>
    <row r="454">
      <c r="A454" s="6" t="n"/>
      <c r="B454" s="113">
        <f>IF($D454="","","T"&amp;TEXT(ROW()-6,"00000"))</f>
        <v/>
      </c>
      <c r="C454" s="113">
        <f>IF($D454="","",IFERROR(INDEX(MUSTERILER!$B$7:$B$106,MATCH($R454,MUSTERILER!$T$7:$T$106,0)),IFERROR(INDEX(MUSTERILER!$B$7:$B$106,MATCH($D454,MUSTERILER!$B$7:$B$106,0)),IFERROR(INDEX(MUSTERILER!$B$7:$B$106,MATCH($R454&amp;"*",MUSTERILER!$T$7:$T$106,0)),"TANIMSIZ MÜŞTERİ"))))</f>
        <v/>
      </c>
      <c r="D454" s="109" t="inlineStr">
        <is>
          <t>ASM EĞLENCE LTD.ŞTİ.</t>
        </is>
      </c>
      <c r="E454" s="220" t="n">
        <v>46228</v>
      </c>
      <c r="F454" s="221" t="n">
        <v>2500</v>
      </c>
      <c r="G454" s="108" t="inlineStr">
        <is>
          <t>MERKEZ KASA</t>
        </is>
      </c>
      <c r="H454" s="108" t="inlineStr">
        <is>
          <t>Nakit</t>
        </is>
      </c>
      <c r="I454" s="109" t="n"/>
      <c r="J454" s="109" t="inlineStr">
        <is>
          <t>NAKİT ÖDENEN</t>
        </is>
      </c>
      <c r="K454" s="109" t="n"/>
      <c r="L454" s="226">
        <f>IF($E454="","",DATE(YEAR($E454),MONTH($E454),1))</f>
        <v/>
      </c>
      <c r="M454" s="113">
        <f>IF($D454="","",IF($C454="TANIMSIZ MÜŞTERİ","HATA",IF(OR($E454="",$F454&lt;=0,$G454=""),"EKSİK",IF($E454&gt;TODAY(),"İLERİ TARİH",IF(COUNTIF($S$7:$S$1506,$S454)&gt;1,"MÜKERRER?",IF($T454&gt;0,"KAPALI DÖNEM","UYGUN"))))))</f>
        <v/>
      </c>
      <c r="N454" s="121">
        <f>IF($C454="","",IF($C454="TANIMSIZ MÜŞTERİ","—",INDEX(MUSTERILER!$C$7:$C$106,MATCH($C454,MUSTERILER!$B$7:$B$106,0))))</f>
        <v/>
      </c>
      <c r="O454" s="6" t="n"/>
      <c r="P454" s="6" t="n"/>
      <c r="Q454" s="3">
        <f>IF($D454="","",$C454&amp;"|"&amp;COUNTIFS($C$7:$C454,$C454))</f>
        <v/>
      </c>
      <c r="R454" s="3">
        <f>IF($D454="","",UPPER(SUBSTITUTE(SUBSTITUTE(SUBSTITUTE(SUBSTITUTE(SUBSTITUTE(SUBSTITUTE(SUBSTITUTE(SUBSTITUTE(SUBSTITUTE(SUBSTITUTE(SUBSTITUTE(SUBSTITUTE(SUBSTITUTE(SUBSTITUTE(SUBSTITUTE(SUBSTITUTE(SUBSTITUTE(SUBSTITUTE(TRIM($D454),"'",""),"İ","I"),"ı","I"),"i","I"),"Ş","S"),"ş","S"),"Ğ","G"),"ğ","G"),"Ü","U"),"ü","U"),"Ö","O"),"ö","O"),"Ç","C"),"ç","C"),".",""),",","")," ",""),"-","")))</f>
        <v/>
      </c>
      <c r="S454" s="3">
        <f>IF($D454="","",$C454&amp;"|"&amp;TEXT($E454,"0")&amp;"|"&amp;TEXT($F454,"0")&amp;"|"&amp;$I454)</f>
        <v/>
      </c>
      <c r="T454" s="3">
        <f>IF($E454="",0,SUMPRODUCT((AY_SONU!$O$7:$O$42="Evet")*(AY_SONU!$B$7:$B$42=DATE(YEAR($E454),MONTH($E454),1))))</f>
        <v/>
      </c>
    </row>
    <row r="455">
      <c r="A455" s="6" t="n"/>
      <c r="B455" s="113">
        <f>IF($D455="","","T"&amp;TEXT(ROW()-6,"00000"))</f>
        <v/>
      </c>
      <c r="C455" s="113">
        <f>IF($D455="","",IFERROR(INDEX(MUSTERILER!$B$7:$B$106,MATCH($R455,MUSTERILER!$T$7:$T$106,0)),IFERROR(INDEX(MUSTERILER!$B$7:$B$106,MATCH($D455,MUSTERILER!$B$7:$B$106,0)),IFERROR(INDEX(MUSTERILER!$B$7:$B$106,MATCH($R455&amp;"*",MUSTERILER!$T$7:$T$106,0)),"TANIMSIZ MÜŞTERİ"))))</f>
        <v/>
      </c>
      <c r="D455" s="109" t="inlineStr">
        <is>
          <t>Çayıralan Ltd.Şti.</t>
        </is>
      </c>
      <c r="E455" s="220" t="n">
        <v>46228</v>
      </c>
      <c r="F455" s="221" t="n">
        <v>3000</v>
      </c>
      <c r="G455" s="108" t="inlineStr">
        <is>
          <t>MERKEZ KASA</t>
        </is>
      </c>
      <c r="H455" s="108" t="inlineStr">
        <is>
          <t>Nakit</t>
        </is>
      </c>
      <c r="I455" s="109" t="n"/>
      <c r="J455" s="109" t="inlineStr">
        <is>
          <t>NAKİT ÖDENEN</t>
        </is>
      </c>
      <c r="K455" s="109" t="n"/>
      <c r="L455" s="226">
        <f>IF($E455="","",DATE(YEAR($E455),MONTH($E455),1))</f>
        <v/>
      </c>
      <c r="M455" s="113">
        <f>IF($D455="","",IF($C455="TANIMSIZ MÜŞTERİ","HATA",IF(OR($E455="",$F455&lt;=0,$G455=""),"EKSİK",IF($E455&gt;TODAY(),"İLERİ TARİH",IF(COUNTIF($S$7:$S$1506,$S455)&gt;1,"MÜKERRER?",IF($T455&gt;0,"KAPALI DÖNEM","UYGUN"))))))</f>
        <v/>
      </c>
      <c r="N455" s="121">
        <f>IF($C455="","",IF($C455="TANIMSIZ MÜŞTERİ","—",INDEX(MUSTERILER!$C$7:$C$106,MATCH($C455,MUSTERILER!$B$7:$B$106,0))))</f>
        <v/>
      </c>
      <c r="O455" s="6" t="n"/>
      <c r="P455" s="6" t="n"/>
      <c r="Q455" s="3">
        <f>IF($D455="","",$C455&amp;"|"&amp;COUNTIFS($C$7:$C455,$C455))</f>
        <v/>
      </c>
      <c r="R455" s="3">
        <f>IF($D455="","",UPPER(SUBSTITUTE(SUBSTITUTE(SUBSTITUTE(SUBSTITUTE(SUBSTITUTE(SUBSTITUTE(SUBSTITUTE(SUBSTITUTE(SUBSTITUTE(SUBSTITUTE(SUBSTITUTE(SUBSTITUTE(SUBSTITUTE(SUBSTITUTE(SUBSTITUTE(SUBSTITUTE(SUBSTITUTE(SUBSTITUTE(TRIM($D455),"'",""),"İ","I"),"ı","I"),"i","I"),"Ş","S"),"ş","S"),"Ğ","G"),"ğ","G"),"Ü","U"),"ü","U"),"Ö","O"),"ö","O"),"Ç","C"),"ç","C"),".",""),",","")," ",""),"-","")))</f>
        <v/>
      </c>
      <c r="S455" s="3">
        <f>IF($D455="","",$C455&amp;"|"&amp;TEXT($E455,"0")&amp;"|"&amp;TEXT($F455,"0")&amp;"|"&amp;$I455)</f>
        <v/>
      </c>
      <c r="T455" s="3">
        <f>IF($E455="",0,SUMPRODUCT((AY_SONU!$O$7:$O$42="Evet")*(AY_SONU!$B$7:$B$42=DATE(YEAR($E455),MONTH($E455),1))))</f>
        <v/>
      </c>
    </row>
    <row r="456">
      <c r="A456" s="6" t="n"/>
      <c r="B456" s="113">
        <f>IF($D456="","","T"&amp;TEXT(ROW()-6,"00000"))</f>
        <v/>
      </c>
      <c r="C456" s="113">
        <f>IF($D456="","",IFERROR(INDEX(MUSTERILER!$B$7:$B$106,MATCH($R456,MUSTERILER!$T$7:$T$106,0)),IFERROR(INDEX(MUSTERILER!$B$7:$B$106,MATCH($D456,MUSTERILER!$B$7:$B$106,0)),IFERROR(INDEX(MUSTERILER!$B$7:$B$106,MATCH($R456&amp;"*",MUSTERILER!$T$7:$T$106,0)),"TANIMSIZ MÜŞTERİ"))))</f>
        <v/>
      </c>
      <c r="D456" s="109" t="inlineStr">
        <is>
          <t>Eğlengör Ltd.Şti.</t>
        </is>
      </c>
      <c r="E456" s="220" t="n">
        <v>46228</v>
      </c>
      <c r="F456" s="221" t="n">
        <v>4000</v>
      </c>
      <c r="G456" s="108" t="inlineStr">
        <is>
          <t>MERKEZ KASA</t>
        </is>
      </c>
      <c r="H456" s="108" t="inlineStr">
        <is>
          <t>Nakit</t>
        </is>
      </c>
      <c r="I456" s="109" t="n"/>
      <c r="J456" s="109" t="inlineStr">
        <is>
          <t>NAKİT ÖDENEN</t>
        </is>
      </c>
      <c r="K456" s="109" t="n"/>
      <c r="L456" s="226">
        <f>IF($E456="","",DATE(YEAR($E456),MONTH($E456),1))</f>
        <v/>
      </c>
      <c r="M456" s="113">
        <f>IF($D456="","",IF($C456="TANIMSIZ MÜŞTERİ","HATA",IF(OR($E456="",$F456&lt;=0,$G456=""),"EKSİK",IF($E456&gt;TODAY(),"İLERİ TARİH",IF(COUNTIF($S$7:$S$1506,$S456)&gt;1,"MÜKERRER?",IF($T456&gt;0,"KAPALI DÖNEM","UYGUN"))))))</f>
        <v/>
      </c>
      <c r="N456" s="121">
        <f>IF($C456="","",IF($C456="TANIMSIZ MÜŞTERİ","—",INDEX(MUSTERILER!$C$7:$C$106,MATCH($C456,MUSTERILER!$B$7:$B$106,0))))</f>
        <v/>
      </c>
      <c r="O456" s="6" t="n"/>
      <c r="P456" s="6" t="n"/>
      <c r="Q456" s="3">
        <f>IF($D456="","",$C456&amp;"|"&amp;COUNTIFS($C$7:$C456,$C456))</f>
        <v/>
      </c>
      <c r="R456" s="3">
        <f>IF($D456="","",UPPER(SUBSTITUTE(SUBSTITUTE(SUBSTITUTE(SUBSTITUTE(SUBSTITUTE(SUBSTITUTE(SUBSTITUTE(SUBSTITUTE(SUBSTITUTE(SUBSTITUTE(SUBSTITUTE(SUBSTITUTE(SUBSTITUTE(SUBSTITUTE(SUBSTITUTE(SUBSTITUTE(SUBSTITUTE(SUBSTITUTE(TRIM($D456),"'",""),"İ","I"),"ı","I"),"i","I"),"Ş","S"),"ş","S"),"Ğ","G"),"ğ","G"),"Ü","U"),"ü","U"),"Ö","O"),"ö","O"),"Ç","C"),"ç","C"),".",""),",","")," ",""),"-","")))</f>
        <v/>
      </c>
      <c r="S456" s="3">
        <f>IF($D456="","",$C456&amp;"|"&amp;TEXT($E456,"0")&amp;"|"&amp;TEXT($F456,"0")&amp;"|"&amp;$I456)</f>
        <v/>
      </c>
      <c r="T456" s="3">
        <f>IF($E456="",0,SUMPRODUCT((AY_SONU!$O$7:$O$42="Evet")*(AY_SONU!$B$7:$B$42=DATE(YEAR($E456),MONTH($E456),1))))</f>
        <v/>
      </c>
    </row>
    <row r="457">
      <c r="A457" s="6" t="n"/>
      <c r="B457" s="113">
        <f>IF($D457="","","T"&amp;TEXT(ROW()-6,"00000"))</f>
        <v/>
      </c>
      <c r="C457" s="113">
        <f>IF($D457="","",IFERROR(INDEX(MUSTERILER!$B$7:$B$106,MATCH($R457,MUSTERILER!$T$7:$T$106,0)),IFERROR(INDEX(MUSTERILER!$B$7:$B$106,MATCH($D457,MUSTERILER!$B$7:$B$106,0)),IFERROR(INDEX(MUSTERILER!$B$7:$B$106,MATCH($R457&amp;"*",MUSTERILER!$T$7:$T$106,0)),"TANIMSIZ MÜŞTERİ"))))</f>
        <v/>
      </c>
      <c r="D457" s="109" t="inlineStr">
        <is>
          <t>Final Siyah Beyaz Ltd.Şti.</t>
        </is>
      </c>
      <c r="E457" s="220" t="n">
        <v>46228</v>
      </c>
      <c r="F457" s="221" t="n">
        <v>4000</v>
      </c>
      <c r="G457" s="108" t="inlineStr">
        <is>
          <t>MERKEZ KASA</t>
        </is>
      </c>
      <c r="H457" s="108" t="inlineStr">
        <is>
          <t>Nakit</t>
        </is>
      </c>
      <c r="I457" s="109" t="n"/>
      <c r="J457" s="109" t="inlineStr">
        <is>
          <t>NAKİT ÖDENEN</t>
        </is>
      </c>
      <c r="K457" s="109" t="n"/>
      <c r="L457" s="226">
        <f>IF($E457="","",DATE(YEAR($E457),MONTH($E457),1))</f>
        <v/>
      </c>
      <c r="M457" s="113">
        <f>IF($D457="","",IF($C457="TANIMSIZ MÜŞTERİ","HATA",IF(OR($E457="",$F457&lt;=0,$G457=""),"EKSİK",IF($E457&gt;TODAY(),"İLERİ TARİH",IF(COUNTIF($S$7:$S$1506,$S457)&gt;1,"MÜKERRER?",IF($T457&gt;0,"KAPALI DÖNEM","UYGUN"))))))</f>
        <v/>
      </c>
      <c r="N457" s="121">
        <f>IF($C457="","",IF($C457="TANIMSIZ MÜŞTERİ","—",INDEX(MUSTERILER!$C$7:$C$106,MATCH($C457,MUSTERILER!$B$7:$B$106,0))))</f>
        <v/>
      </c>
      <c r="O457" s="6" t="n"/>
      <c r="P457" s="6" t="n"/>
      <c r="Q457" s="3">
        <f>IF($D457="","",$C457&amp;"|"&amp;COUNTIFS($C$7:$C457,$C457))</f>
        <v/>
      </c>
      <c r="R457" s="3">
        <f>IF($D457="","",UPPER(SUBSTITUTE(SUBSTITUTE(SUBSTITUTE(SUBSTITUTE(SUBSTITUTE(SUBSTITUTE(SUBSTITUTE(SUBSTITUTE(SUBSTITUTE(SUBSTITUTE(SUBSTITUTE(SUBSTITUTE(SUBSTITUTE(SUBSTITUTE(SUBSTITUTE(SUBSTITUTE(SUBSTITUTE(SUBSTITUTE(TRIM($D457),"'",""),"İ","I"),"ı","I"),"i","I"),"Ş","S"),"ş","S"),"Ğ","G"),"ğ","G"),"Ü","U"),"ü","U"),"Ö","O"),"ö","O"),"Ç","C"),"ç","C"),".",""),",","")," ",""),"-","")))</f>
        <v/>
      </c>
      <c r="S457" s="3">
        <f>IF($D457="","",$C457&amp;"|"&amp;TEXT($E457,"0")&amp;"|"&amp;TEXT($F457,"0")&amp;"|"&amp;$I457)</f>
        <v/>
      </c>
      <c r="T457" s="3">
        <f>IF($E457="",0,SUMPRODUCT((AY_SONU!$O$7:$O$42="Evet")*(AY_SONU!$B$7:$B$42=DATE(YEAR($E457),MONTH($E457),1))))</f>
        <v/>
      </c>
    </row>
    <row r="458">
      <c r="A458" s="6" t="n"/>
      <c r="B458" s="113">
        <f>IF($D458="","","T"&amp;TEXT(ROW()-6,"00000"))</f>
        <v/>
      </c>
      <c r="C458" s="113">
        <f>IF($D458="","",IFERROR(INDEX(MUSTERILER!$B$7:$B$106,MATCH($R458,MUSTERILER!$T$7:$T$106,0)),IFERROR(INDEX(MUSTERILER!$B$7:$B$106,MATCH($D458,MUSTERILER!$B$7:$B$106,0)),IFERROR(INDEX(MUSTERILER!$B$7:$B$106,MATCH($R458&amp;"*",MUSTERILER!$T$7:$T$106,0)),"TANIMSIZ MÜŞTERİ"))))</f>
        <v/>
      </c>
      <c r="D458" s="109" t="inlineStr">
        <is>
          <t>İldeş Ltd.Şti.</t>
        </is>
      </c>
      <c r="E458" s="220" t="n">
        <v>46228</v>
      </c>
      <c r="F458" s="221" t="n">
        <v>4000</v>
      </c>
      <c r="G458" s="108" t="inlineStr">
        <is>
          <t>MERKEZ KASA</t>
        </is>
      </c>
      <c r="H458" s="108" t="inlineStr">
        <is>
          <t>Nakit</t>
        </is>
      </c>
      <c r="I458" s="109" t="n"/>
      <c r="J458" s="109" t="inlineStr">
        <is>
          <t>NAKİT ÖDENEN</t>
        </is>
      </c>
      <c r="K458" s="109" t="n"/>
      <c r="L458" s="226">
        <f>IF($E458="","",DATE(YEAR($E458),MONTH($E458),1))</f>
        <v/>
      </c>
      <c r="M458" s="113">
        <f>IF($D458="","",IF($C458="TANIMSIZ MÜŞTERİ","HATA",IF(OR($E458="",$F458&lt;=0,$G458=""),"EKSİK",IF($E458&gt;TODAY(),"İLERİ TARİH",IF(COUNTIF($S$7:$S$1506,$S458)&gt;1,"MÜKERRER?",IF($T458&gt;0,"KAPALI DÖNEM","UYGUN"))))))</f>
        <v/>
      </c>
      <c r="N458" s="121">
        <f>IF($C458="","",IF($C458="TANIMSIZ MÜŞTERİ","—",INDEX(MUSTERILER!$C$7:$C$106,MATCH($C458,MUSTERILER!$B$7:$B$106,0))))</f>
        <v/>
      </c>
      <c r="O458" s="6" t="n"/>
      <c r="P458" s="6" t="n"/>
      <c r="Q458" s="3">
        <f>IF($D458="","",$C458&amp;"|"&amp;COUNTIFS($C$7:$C458,$C458))</f>
        <v/>
      </c>
      <c r="R458" s="3">
        <f>IF($D458="","",UPPER(SUBSTITUTE(SUBSTITUTE(SUBSTITUTE(SUBSTITUTE(SUBSTITUTE(SUBSTITUTE(SUBSTITUTE(SUBSTITUTE(SUBSTITUTE(SUBSTITUTE(SUBSTITUTE(SUBSTITUTE(SUBSTITUTE(SUBSTITUTE(SUBSTITUTE(SUBSTITUTE(SUBSTITUTE(SUBSTITUTE(TRIM($D458),"'",""),"İ","I"),"ı","I"),"i","I"),"Ş","S"),"ş","S"),"Ğ","G"),"ğ","G"),"Ü","U"),"ü","U"),"Ö","O"),"ö","O"),"Ç","C"),"ç","C"),".",""),",","")," ",""),"-","")))</f>
        <v/>
      </c>
      <c r="S458" s="3">
        <f>IF($D458="","",$C458&amp;"|"&amp;TEXT($E458,"0")&amp;"|"&amp;TEXT($F458,"0")&amp;"|"&amp;$I458)</f>
        <v/>
      </c>
      <c r="T458" s="3">
        <f>IF($E458="",0,SUMPRODUCT((AY_SONU!$O$7:$O$42="Evet")*(AY_SONU!$B$7:$B$42=DATE(YEAR($E458),MONTH($E458),1))))</f>
        <v/>
      </c>
    </row>
    <row r="459">
      <c r="A459" s="6" t="n"/>
      <c r="B459" s="113">
        <f>IF($D459="","","T"&amp;TEXT(ROW()-6,"00000"))</f>
        <v/>
      </c>
      <c r="C459" s="113">
        <f>IF($D459="","",IFERROR(INDEX(MUSTERILER!$B$7:$B$106,MATCH($R459,MUSTERILER!$T$7:$T$106,0)),IFERROR(INDEX(MUSTERILER!$B$7:$B$106,MATCH($D459,MUSTERILER!$B$7:$B$106,0)),IFERROR(INDEX(MUSTERILER!$B$7:$B$106,MATCH($R459&amp;"*",MUSTERILER!$T$7:$T$106,0)),"TANIMSIZ MÜŞTERİ"))))</f>
        <v/>
      </c>
      <c r="D459" s="109" t="inlineStr">
        <is>
          <t>Monamour Ltd.Şti.</t>
        </is>
      </c>
      <c r="E459" s="220" t="n">
        <v>46228</v>
      </c>
      <c r="F459" s="221" t="n">
        <v>3500</v>
      </c>
      <c r="G459" s="108" t="inlineStr">
        <is>
          <t>MERKEZ KASA</t>
        </is>
      </c>
      <c r="H459" s="108" t="inlineStr">
        <is>
          <t>Nakit</t>
        </is>
      </c>
      <c r="I459" s="109" t="n"/>
      <c r="J459" s="109" t="inlineStr">
        <is>
          <t>NAKİT ÖDENEN</t>
        </is>
      </c>
      <c r="K459" s="109" t="n"/>
      <c r="L459" s="226">
        <f>IF($E459="","",DATE(YEAR($E459),MONTH($E459),1))</f>
        <v/>
      </c>
      <c r="M459" s="113">
        <f>IF($D459="","",IF($C459="TANIMSIZ MÜŞTERİ","HATA",IF(OR($E459="",$F459&lt;=0,$G459=""),"EKSİK",IF($E459&gt;TODAY(),"İLERİ TARİH",IF(COUNTIF($S$7:$S$1506,$S459)&gt;1,"MÜKERRER?",IF($T459&gt;0,"KAPALI DÖNEM","UYGUN"))))))</f>
        <v/>
      </c>
      <c r="N459" s="121">
        <f>IF($C459="","",IF($C459="TANIMSIZ MÜŞTERİ","—",INDEX(MUSTERILER!$C$7:$C$106,MATCH($C459,MUSTERILER!$B$7:$B$106,0))))</f>
        <v/>
      </c>
      <c r="O459" s="6" t="n"/>
      <c r="P459" s="6" t="n"/>
      <c r="Q459" s="3">
        <f>IF($D459="","",$C459&amp;"|"&amp;COUNTIFS($C$7:$C459,$C459))</f>
        <v/>
      </c>
      <c r="R459" s="3">
        <f>IF($D459="","",UPPER(SUBSTITUTE(SUBSTITUTE(SUBSTITUTE(SUBSTITUTE(SUBSTITUTE(SUBSTITUTE(SUBSTITUTE(SUBSTITUTE(SUBSTITUTE(SUBSTITUTE(SUBSTITUTE(SUBSTITUTE(SUBSTITUTE(SUBSTITUTE(SUBSTITUTE(SUBSTITUTE(SUBSTITUTE(SUBSTITUTE(TRIM($D459),"'",""),"İ","I"),"ı","I"),"i","I"),"Ş","S"),"ş","S"),"Ğ","G"),"ğ","G"),"Ü","U"),"ü","U"),"Ö","O"),"ö","O"),"Ç","C"),"ç","C"),".",""),",","")," ",""),"-","")))</f>
        <v/>
      </c>
      <c r="S459" s="3">
        <f>IF($D459="","",$C459&amp;"|"&amp;TEXT($E459,"0")&amp;"|"&amp;TEXT($F459,"0")&amp;"|"&amp;$I459)</f>
        <v/>
      </c>
      <c r="T459" s="3">
        <f>IF($E459="",0,SUMPRODUCT((AY_SONU!$O$7:$O$42="Evet")*(AY_SONU!$B$7:$B$42=DATE(YEAR($E459),MONTH($E459),1))))</f>
        <v/>
      </c>
    </row>
    <row r="460">
      <c r="A460" s="6" t="n"/>
      <c r="B460" s="113">
        <f>IF($D460="","","T"&amp;TEXT(ROW()-6,"00000"))</f>
        <v/>
      </c>
      <c r="C460" s="113">
        <f>IF($D460="","",IFERROR(INDEX(MUSTERILER!$B$7:$B$106,MATCH($R460,MUSTERILER!$T$7:$T$106,0)),IFERROR(INDEX(MUSTERILER!$B$7:$B$106,MATCH($D460,MUSTERILER!$B$7:$B$106,0)),IFERROR(INDEX(MUSTERILER!$B$7:$B$106,MATCH($R460&amp;"*",MUSTERILER!$T$7:$T$106,0)),"TANIMSIZ MÜŞTERİ"))))</f>
        <v/>
      </c>
      <c r="D460" s="109" t="inlineStr">
        <is>
          <t>Naz 1 Gıda Ltd.Şti.</t>
        </is>
      </c>
      <c r="E460" s="220" t="n">
        <v>46228</v>
      </c>
      <c r="F460" s="221" t="n">
        <v>2000</v>
      </c>
      <c r="G460" s="108" t="inlineStr">
        <is>
          <t>MERKEZ KASA</t>
        </is>
      </c>
      <c r="H460" s="108" t="inlineStr">
        <is>
          <t>Nakit</t>
        </is>
      </c>
      <c r="I460" s="109" t="n"/>
      <c r="J460" s="109" t="inlineStr">
        <is>
          <t>NAKİT ÖDENEN</t>
        </is>
      </c>
      <c r="K460" s="109" t="n"/>
      <c r="L460" s="226">
        <f>IF($E460="","",DATE(YEAR($E460),MONTH($E460),1))</f>
        <v/>
      </c>
      <c r="M460" s="113">
        <f>IF($D460="","",IF($C460="TANIMSIZ MÜŞTERİ","HATA",IF(OR($E460="",$F460&lt;=0,$G460=""),"EKSİK",IF($E460&gt;TODAY(),"İLERİ TARİH",IF(COUNTIF($S$7:$S$1506,$S460)&gt;1,"MÜKERRER?",IF($T460&gt;0,"KAPALI DÖNEM","UYGUN"))))))</f>
        <v/>
      </c>
      <c r="N460" s="121">
        <f>IF($C460="","",IF($C460="TANIMSIZ MÜŞTERİ","—",INDEX(MUSTERILER!$C$7:$C$106,MATCH($C460,MUSTERILER!$B$7:$B$106,0))))</f>
        <v/>
      </c>
      <c r="O460" s="6" t="n"/>
      <c r="P460" s="6" t="n"/>
      <c r="Q460" s="3">
        <f>IF($D460="","",$C460&amp;"|"&amp;COUNTIFS($C$7:$C460,$C460))</f>
        <v/>
      </c>
      <c r="R460" s="3">
        <f>IF($D460="","",UPPER(SUBSTITUTE(SUBSTITUTE(SUBSTITUTE(SUBSTITUTE(SUBSTITUTE(SUBSTITUTE(SUBSTITUTE(SUBSTITUTE(SUBSTITUTE(SUBSTITUTE(SUBSTITUTE(SUBSTITUTE(SUBSTITUTE(SUBSTITUTE(SUBSTITUTE(SUBSTITUTE(SUBSTITUTE(SUBSTITUTE(TRIM($D460),"'",""),"İ","I"),"ı","I"),"i","I"),"Ş","S"),"ş","S"),"Ğ","G"),"ğ","G"),"Ü","U"),"ü","U"),"Ö","O"),"ö","O"),"Ç","C"),"ç","C"),".",""),",","")," ",""),"-","")))</f>
        <v/>
      </c>
      <c r="S460" s="3">
        <f>IF($D460="","",$C460&amp;"|"&amp;TEXT($E460,"0")&amp;"|"&amp;TEXT($F460,"0")&amp;"|"&amp;$I460)</f>
        <v/>
      </c>
      <c r="T460" s="3">
        <f>IF($E460="",0,SUMPRODUCT((AY_SONU!$O$7:$O$42="Evet")*(AY_SONU!$B$7:$B$42=DATE(YEAR($E460),MONTH($E460),1))))</f>
        <v/>
      </c>
    </row>
    <row r="461">
      <c r="A461" s="6" t="n"/>
      <c r="B461" s="113">
        <f>IF($D461="","","T"&amp;TEXT(ROW()-6,"00000"))</f>
        <v/>
      </c>
      <c r="C461" s="113">
        <f>IF($D461="","",IFERROR(INDEX(MUSTERILER!$B$7:$B$106,MATCH($R461,MUSTERILER!$T$7:$T$106,0)),IFERROR(INDEX(MUSTERILER!$B$7:$B$106,MATCH($D461,MUSTERILER!$B$7:$B$106,0)),IFERROR(INDEX(MUSTERILER!$B$7:$B$106,MATCH($R461&amp;"*",MUSTERILER!$T$7:$T$106,0)),"TANIMSIZ MÜŞTERİ"))))</f>
        <v/>
      </c>
      <c r="D461" s="109" t="inlineStr">
        <is>
          <t>YALIKENT LTD.ŞTİ.</t>
        </is>
      </c>
      <c r="E461" s="220" t="n">
        <v>46228</v>
      </c>
      <c r="F461" s="221" t="n">
        <v>5000</v>
      </c>
      <c r="G461" s="108" t="inlineStr">
        <is>
          <t>MERKEZ KASA</t>
        </is>
      </c>
      <c r="H461" s="108" t="inlineStr">
        <is>
          <t>Nakit</t>
        </is>
      </c>
      <c r="I461" s="109" t="n"/>
      <c r="J461" s="109" t="inlineStr">
        <is>
          <t>YALIKENT HAFTALIK MENDERES MAHSUP</t>
        </is>
      </c>
      <c r="K461" s="109" t="n"/>
      <c r="L461" s="226">
        <f>IF($E461="","",DATE(YEAR($E461),MONTH($E461),1))</f>
        <v/>
      </c>
      <c r="M461" s="113">
        <f>IF($D461="","",IF($C461="TANIMSIZ MÜŞTERİ","HATA",IF(OR($E461="",$F461&lt;=0,$G461=""),"EKSİK",IF($E461&gt;TODAY(),"İLERİ TARİH",IF(COUNTIF($S$7:$S$1506,$S461)&gt;1,"MÜKERRER?",IF($T461&gt;0,"KAPALI DÖNEM","UYGUN"))))))</f>
        <v/>
      </c>
      <c r="N461" s="121">
        <f>IF($C461="","",IF($C461="TANIMSIZ MÜŞTERİ","—",INDEX(MUSTERILER!$C$7:$C$106,MATCH($C461,MUSTERILER!$B$7:$B$106,0))))</f>
        <v/>
      </c>
      <c r="O461" s="6" t="n"/>
      <c r="P461" s="6" t="n"/>
      <c r="Q461" s="3">
        <f>IF($D461="","",$C461&amp;"|"&amp;COUNTIFS($C$7:$C461,$C461))</f>
        <v/>
      </c>
      <c r="R461" s="3">
        <f>IF($D461="","",UPPER(SUBSTITUTE(SUBSTITUTE(SUBSTITUTE(SUBSTITUTE(SUBSTITUTE(SUBSTITUTE(SUBSTITUTE(SUBSTITUTE(SUBSTITUTE(SUBSTITUTE(SUBSTITUTE(SUBSTITUTE(SUBSTITUTE(SUBSTITUTE(SUBSTITUTE(SUBSTITUTE(SUBSTITUTE(SUBSTITUTE(TRIM($D461),"'",""),"İ","I"),"ı","I"),"i","I"),"Ş","S"),"ş","S"),"Ğ","G"),"ğ","G"),"Ü","U"),"ü","U"),"Ö","O"),"ö","O"),"Ç","C"),"ç","C"),".",""),",","")," ",""),"-","")))</f>
        <v/>
      </c>
      <c r="S461" s="3">
        <f>IF($D461="","",$C461&amp;"|"&amp;TEXT($E461,"0")&amp;"|"&amp;TEXT($F461,"0")&amp;"|"&amp;$I461)</f>
        <v/>
      </c>
      <c r="T461" s="3">
        <f>IF($E461="",0,SUMPRODUCT((AY_SONU!$O$7:$O$42="Evet")*(AY_SONU!$B$7:$B$42=DATE(YEAR($E461),MONTH($E461),1))))</f>
        <v/>
      </c>
    </row>
    <row r="462">
      <c r="A462" s="6" t="n"/>
      <c r="B462" s="113">
        <f>IF($D462="","","T"&amp;TEXT(ROW()-6,"00000"))</f>
        <v/>
      </c>
      <c r="C462" s="113">
        <f>IF($D462="","",IFERROR(INDEX(MUSTERILER!$B$7:$B$106,MATCH($R462,MUSTERILER!$T$7:$T$106,0)),IFERROR(INDEX(MUSTERILER!$B$7:$B$106,MATCH($D462,MUSTERILER!$B$7:$B$106,0)),IFERROR(INDEX(MUSTERILER!$B$7:$B$106,MATCH($R462&amp;"*",MUSTERILER!$T$7:$T$106,0)),"TANIMSIZ MÜŞTERİ"))))</f>
        <v/>
      </c>
      <c r="D462" s="109" t="inlineStr">
        <is>
          <t>Zümrüt Grup Ltd.Şti.</t>
        </is>
      </c>
      <c r="E462" s="220" t="n">
        <v>46228</v>
      </c>
      <c r="F462" s="221" t="n">
        <v>1750</v>
      </c>
      <c r="G462" s="108" t="inlineStr">
        <is>
          <t>MERKEZ KASA</t>
        </is>
      </c>
      <c r="H462" s="108" t="inlineStr">
        <is>
          <t>Nakit</t>
        </is>
      </c>
      <c r="I462" s="109" t="n"/>
      <c r="J462" s="109" t="inlineStr">
        <is>
          <t>NAKİT ÖDENEN</t>
        </is>
      </c>
      <c r="K462" s="109" t="n"/>
      <c r="L462" s="226">
        <f>IF($E462="","",DATE(YEAR($E462),MONTH($E462),1))</f>
        <v/>
      </c>
      <c r="M462" s="113">
        <f>IF($D462="","",IF($C462="TANIMSIZ MÜŞTERİ","HATA",IF(OR($E462="",$F462&lt;=0,$G462=""),"EKSİK",IF($E462&gt;TODAY(),"İLERİ TARİH",IF(COUNTIF($S$7:$S$1506,$S462)&gt;1,"MÜKERRER?",IF($T462&gt;0,"KAPALI DÖNEM","UYGUN"))))))</f>
        <v/>
      </c>
      <c r="N462" s="121">
        <f>IF($C462="","",IF($C462="TANIMSIZ MÜŞTERİ","—",INDEX(MUSTERILER!$C$7:$C$106,MATCH($C462,MUSTERILER!$B$7:$B$106,0))))</f>
        <v/>
      </c>
      <c r="O462" s="6" t="n"/>
      <c r="P462" s="6" t="n"/>
      <c r="Q462" s="3">
        <f>IF($D462="","",$C462&amp;"|"&amp;COUNTIFS($C$7:$C462,$C462))</f>
        <v/>
      </c>
      <c r="R462" s="3">
        <f>IF($D462="","",UPPER(SUBSTITUTE(SUBSTITUTE(SUBSTITUTE(SUBSTITUTE(SUBSTITUTE(SUBSTITUTE(SUBSTITUTE(SUBSTITUTE(SUBSTITUTE(SUBSTITUTE(SUBSTITUTE(SUBSTITUTE(SUBSTITUTE(SUBSTITUTE(SUBSTITUTE(SUBSTITUTE(SUBSTITUTE(SUBSTITUTE(TRIM($D462),"'",""),"İ","I"),"ı","I"),"i","I"),"Ş","S"),"ş","S"),"Ğ","G"),"ğ","G"),"Ü","U"),"ü","U"),"Ö","O"),"ö","O"),"Ç","C"),"ç","C"),".",""),",","")," ",""),"-","")))</f>
        <v/>
      </c>
      <c r="S462" s="3">
        <f>IF($D462="","",$C462&amp;"|"&amp;TEXT($E462,"0")&amp;"|"&amp;TEXT($F462,"0")&amp;"|"&amp;$I462)</f>
        <v/>
      </c>
      <c r="T462" s="3">
        <f>IF($E462="",0,SUMPRODUCT((AY_SONU!$O$7:$O$42="Evet")*(AY_SONU!$B$7:$B$42=DATE(YEAR($E462),MONTH($E462),1))))</f>
        <v/>
      </c>
    </row>
    <row r="463">
      <c r="A463" s="6" t="n"/>
      <c r="B463" s="113">
        <f>IF($D463="","","T"&amp;TEXT(ROW()-6,"00000"))</f>
        <v/>
      </c>
      <c r="C463" s="113">
        <f>IF($D463="","",IFERROR(INDEX(MUSTERILER!$B$7:$B$106,MATCH($R463,MUSTERILER!$T$7:$T$106,0)),IFERROR(INDEX(MUSTERILER!$B$7:$B$106,MATCH($D463,MUSTERILER!$B$7:$B$106,0)),IFERROR(INDEX(MUSTERILER!$B$7:$B$106,MATCH($R463&amp;"*",MUSTERILER!$T$7:$T$106,0)),"TANIMSIZ MÜŞTERİ"))))</f>
        <v/>
      </c>
      <c r="D463" s="109" t="inlineStr">
        <is>
          <t>KRİSTAL LTD.ŞTİ.</t>
        </is>
      </c>
      <c r="E463" s="220" t="n">
        <v>46228</v>
      </c>
      <c r="F463" s="221" t="n">
        <v>3000</v>
      </c>
      <c r="G463" s="108" t="inlineStr">
        <is>
          <t>MERKEZ KASA</t>
        </is>
      </c>
      <c r="H463" s="108" t="inlineStr">
        <is>
          <t>Nakit</t>
        </is>
      </c>
      <c r="I463" s="109" t="n"/>
      <c r="J463" s="109" t="inlineStr">
        <is>
          <t>NAKİT ÖDENEN</t>
        </is>
      </c>
      <c r="K463" s="109" t="n"/>
      <c r="L463" s="226">
        <f>IF($E463="","",DATE(YEAR($E463),MONTH($E463),1))</f>
        <v/>
      </c>
      <c r="M463" s="113">
        <f>IF($D463="","",IF($C463="TANIMSIZ MÜŞTERİ","HATA",IF(OR($E463="",$F463&lt;=0,$G463=""),"EKSİK",IF($E463&gt;TODAY(),"İLERİ TARİH",IF(COUNTIF($S$7:$S$1506,$S463)&gt;1,"MÜKERRER?",IF($T463&gt;0,"KAPALI DÖNEM","UYGUN"))))))</f>
        <v/>
      </c>
      <c r="N463" s="121">
        <f>IF($C463="","",IF($C463="TANIMSIZ MÜŞTERİ","—",INDEX(MUSTERILER!$C$7:$C$106,MATCH($C463,MUSTERILER!$B$7:$B$106,0))))</f>
        <v/>
      </c>
      <c r="O463" s="6" t="n"/>
      <c r="P463" s="6" t="n"/>
      <c r="Q463" s="3">
        <f>IF($D463="","",$C463&amp;"|"&amp;COUNTIFS($C$7:$C463,$C463))</f>
        <v/>
      </c>
      <c r="R463" s="3">
        <f>IF($D463="","",UPPER(SUBSTITUTE(SUBSTITUTE(SUBSTITUTE(SUBSTITUTE(SUBSTITUTE(SUBSTITUTE(SUBSTITUTE(SUBSTITUTE(SUBSTITUTE(SUBSTITUTE(SUBSTITUTE(SUBSTITUTE(SUBSTITUTE(SUBSTITUTE(SUBSTITUTE(SUBSTITUTE(SUBSTITUTE(SUBSTITUTE(TRIM($D463),"'",""),"İ","I"),"ı","I"),"i","I"),"Ş","S"),"ş","S"),"Ğ","G"),"ğ","G"),"Ü","U"),"ü","U"),"Ö","O"),"ö","O"),"Ç","C"),"ç","C"),".",""),",","")," ",""),"-","")))</f>
        <v/>
      </c>
      <c r="S463" s="3">
        <f>IF($D463="","",$C463&amp;"|"&amp;TEXT($E463,"0")&amp;"|"&amp;TEXT($F463,"0")&amp;"|"&amp;$I463)</f>
        <v/>
      </c>
      <c r="T463" s="3">
        <f>IF($E463="",0,SUMPRODUCT((AY_SONU!$O$7:$O$42="Evet")*(AY_SONU!$B$7:$B$42=DATE(YEAR($E463),MONTH($E463),1))))</f>
        <v/>
      </c>
    </row>
    <row r="464">
      <c r="A464" s="6" t="n"/>
      <c r="B464" s="113">
        <f>IF($D464="","","T"&amp;TEXT(ROW()-6,"00000"))</f>
        <v/>
      </c>
      <c r="C464" s="113">
        <f>IF($D464="","",IFERROR(INDEX(MUSTERILER!$B$7:$B$106,MATCH($R464,MUSTERILER!$T$7:$T$106,0)),IFERROR(INDEX(MUSTERILER!$B$7:$B$106,MATCH($D464,MUSTERILER!$B$7:$B$106,0)),IFERROR(INDEX(MUSTERILER!$B$7:$B$106,MATCH($R464&amp;"*",MUSTERILER!$T$7:$T$106,0)),"TANIMSIZ MÜŞTERİ"))))</f>
        <v/>
      </c>
      <c r="D464" s="109" t="inlineStr">
        <is>
          <t>PALAOĞULLARI LTD.ŞTİ.</t>
        </is>
      </c>
      <c r="E464" s="220" t="n">
        <v>46228</v>
      </c>
      <c r="F464" s="221" t="n">
        <v>15000</v>
      </c>
      <c r="G464" s="108" t="inlineStr">
        <is>
          <t>MERKEZ KASA</t>
        </is>
      </c>
      <c r="H464" s="108" t="inlineStr">
        <is>
          <t>Nakit</t>
        </is>
      </c>
      <c r="I464" s="109" t="n"/>
      <c r="J464" s="109" t="inlineStr">
        <is>
          <t>NAKİT ÖDENEN</t>
        </is>
      </c>
      <c r="K464" s="109" t="n"/>
      <c r="L464" s="226">
        <f>IF($E464="","",DATE(YEAR($E464),MONTH($E464),1))</f>
        <v/>
      </c>
      <c r="M464" s="113">
        <f>IF($D464="","",IF($C464="TANIMSIZ MÜŞTERİ","HATA",IF(OR($E464="",$F464&lt;=0,$G464=""),"EKSİK",IF($E464&gt;TODAY(),"İLERİ TARİH",IF(COUNTIF($S$7:$S$1506,$S464)&gt;1,"MÜKERRER?",IF($T464&gt;0,"KAPALI DÖNEM","UYGUN"))))))</f>
        <v/>
      </c>
      <c r="N464" s="121">
        <f>IF($C464="","",IF($C464="TANIMSIZ MÜŞTERİ","—",INDEX(MUSTERILER!$C$7:$C$106,MATCH($C464,MUSTERILER!$B$7:$B$106,0))))</f>
        <v/>
      </c>
      <c r="O464" s="6" t="n"/>
      <c r="P464" s="6" t="n"/>
      <c r="Q464" s="3">
        <f>IF($D464="","",$C464&amp;"|"&amp;COUNTIFS($C$7:$C464,$C464))</f>
        <v/>
      </c>
      <c r="R464" s="3">
        <f>IF($D464="","",UPPER(SUBSTITUTE(SUBSTITUTE(SUBSTITUTE(SUBSTITUTE(SUBSTITUTE(SUBSTITUTE(SUBSTITUTE(SUBSTITUTE(SUBSTITUTE(SUBSTITUTE(SUBSTITUTE(SUBSTITUTE(SUBSTITUTE(SUBSTITUTE(SUBSTITUTE(SUBSTITUTE(SUBSTITUTE(SUBSTITUTE(TRIM($D464),"'",""),"İ","I"),"ı","I"),"i","I"),"Ş","S"),"ş","S"),"Ğ","G"),"ğ","G"),"Ü","U"),"ü","U"),"Ö","O"),"ö","O"),"Ç","C"),"ç","C"),".",""),",","")," ",""),"-","")))</f>
        <v/>
      </c>
      <c r="S464" s="3">
        <f>IF($D464="","",$C464&amp;"|"&amp;TEXT($E464,"0")&amp;"|"&amp;TEXT($F464,"0")&amp;"|"&amp;$I464)</f>
        <v/>
      </c>
      <c r="T464" s="3">
        <f>IF($E464="",0,SUMPRODUCT((AY_SONU!$O$7:$O$42="Evet")*(AY_SONU!$B$7:$B$42=DATE(YEAR($E464),MONTH($E464),1))))</f>
        <v/>
      </c>
    </row>
    <row r="465">
      <c r="A465" s="6" t="n"/>
      <c r="B465" s="113">
        <f>IF($D465="","","T"&amp;TEXT(ROW()-6,"00000"))</f>
        <v/>
      </c>
      <c r="C465" s="113">
        <f>IF($D465="","",IFERROR(INDEX(MUSTERILER!$B$7:$B$106,MATCH($R465,MUSTERILER!$T$7:$T$106,0)),IFERROR(INDEX(MUSTERILER!$B$7:$B$106,MATCH($D465,MUSTERILER!$B$7:$B$106,0)),IFERROR(INDEX(MUSTERILER!$B$7:$B$106,MATCH($R465&amp;"*",MUSTERILER!$T$7:$T$106,0)),"TANIMSIZ MÜŞTERİ"))))</f>
        <v/>
      </c>
      <c r="D465" s="109" t="inlineStr">
        <is>
          <t>Ankara Havana Ltd.Şti.</t>
        </is>
      </c>
      <c r="E465" s="220" t="n">
        <v>46235</v>
      </c>
      <c r="F465" s="221" t="n">
        <v>14000</v>
      </c>
      <c r="G465" s="108" t="inlineStr">
        <is>
          <t>MERKEZ KASA</t>
        </is>
      </c>
      <c r="H465" s="108" t="inlineStr">
        <is>
          <t>Nakit</t>
        </is>
      </c>
      <c r="I465" s="109" t="n"/>
      <c r="J465" s="109" t="inlineStr">
        <is>
          <t>NAKİT ÖDENEN</t>
        </is>
      </c>
      <c r="K465" s="109" t="n"/>
      <c r="L465" s="226">
        <f>IF($E465="","",DATE(YEAR($E465),MONTH($E465),1))</f>
        <v/>
      </c>
      <c r="M465" s="113">
        <f>IF($D465="","",IF($C465="TANIMSIZ MÜŞTERİ","HATA",IF(OR($E465="",$F465&lt;=0,$G465=""),"EKSİK",IF($E465&gt;TODAY(),"İLERİ TARİH",IF(COUNTIF($S$7:$S$1506,$S465)&gt;1,"MÜKERRER?",IF($T465&gt;0,"KAPALI DÖNEM","UYGUN"))))))</f>
        <v/>
      </c>
      <c r="N465" s="121">
        <f>IF($C465="","",IF($C465="TANIMSIZ MÜŞTERİ","—",INDEX(MUSTERILER!$C$7:$C$106,MATCH($C465,MUSTERILER!$B$7:$B$106,0))))</f>
        <v/>
      </c>
      <c r="O465" s="6" t="n"/>
      <c r="P465" s="6" t="n"/>
      <c r="Q465" s="3">
        <f>IF($D465="","",$C465&amp;"|"&amp;COUNTIFS($C$7:$C465,$C465))</f>
        <v/>
      </c>
      <c r="R465" s="3">
        <f>IF($D465="","",UPPER(SUBSTITUTE(SUBSTITUTE(SUBSTITUTE(SUBSTITUTE(SUBSTITUTE(SUBSTITUTE(SUBSTITUTE(SUBSTITUTE(SUBSTITUTE(SUBSTITUTE(SUBSTITUTE(SUBSTITUTE(SUBSTITUTE(SUBSTITUTE(SUBSTITUTE(SUBSTITUTE(SUBSTITUTE(SUBSTITUTE(TRIM($D465),"'",""),"İ","I"),"ı","I"),"i","I"),"Ş","S"),"ş","S"),"Ğ","G"),"ğ","G"),"Ü","U"),"ü","U"),"Ö","O"),"ö","O"),"Ç","C"),"ç","C"),".",""),",","")," ",""),"-","")))</f>
        <v/>
      </c>
      <c r="S465" s="3">
        <f>IF($D465="","",$C465&amp;"|"&amp;TEXT($E465,"0")&amp;"|"&amp;TEXT($F465,"0")&amp;"|"&amp;$I465)</f>
        <v/>
      </c>
      <c r="T465" s="3">
        <f>IF($E465="",0,SUMPRODUCT((AY_SONU!$O$7:$O$42="Evet")*(AY_SONU!$B$7:$B$42=DATE(YEAR($E465),MONTH($E465),1))))</f>
        <v/>
      </c>
    </row>
    <row r="466">
      <c r="A466" s="6" t="n"/>
      <c r="B466" s="113">
        <f>IF($D466="","","T"&amp;TEXT(ROW()-6,"00000"))</f>
        <v/>
      </c>
      <c r="C466" s="113">
        <f>IF($D466="","",IFERROR(INDEX(MUSTERILER!$B$7:$B$106,MATCH($R466,MUSTERILER!$T$7:$T$106,0)),IFERROR(INDEX(MUSTERILER!$B$7:$B$106,MATCH($D466,MUSTERILER!$B$7:$B$106,0)),IFERROR(INDEX(MUSTERILER!$B$7:$B$106,MATCH($R466&amp;"*",MUSTERILER!$T$7:$T$106,0)),"TANIMSIZ MÜŞTERİ"))))</f>
        <v/>
      </c>
      <c r="D466" s="109" t="inlineStr">
        <is>
          <t>ASIM AÇIKGÖZ</t>
        </is>
      </c>
      <c r="E466" s="220" t="n">
        <v>46235</v>
      </c>
      <c r="F466" s="221" t="n">
        <v>2000</v>
      </c>
      <c r="G466" s="108" t="inlineStr">
        <is>
          <t>MERKEZ KASA</t>
        </is>
      </c>
      <c r="H466" s="108" t="inlineStr">
        <is>
          <t>Nakit</t>
        </is>
      </c>
      <c r="I466" s="109" t="n"/>
      <c r="J466" s="109" t="inlineStr">
        <is>
          <t>NAKİT ÖDENEN</t>
        </is>
      </c>
      <c r="K466" s="109" t="n"/>
      <c r="L466" s="226">
        <f>IF($E466="","",DATE(YEAR($E466),MONTH($E466),1))</f>
        <v/>
      </c>
      <c r="M466" s="113">
        <f>IF($D466="","",IF($C466="TANIMSIZ MÜŞTERİ","HATA",IF(OR($E466="",$F466&lt;=0,$G466=""),"EKSİK",IF($E466&gt;TODAY(),"İLERİ TARİH",IF(COUNTIF($S$7:$S$1506,$S466)&gt;1,"MÜKERRER?",IF($T466&gt;0,"KAPALI DÖNEM","UYGUN"))))))</f>
        <v/>
      </c>
      <c r="N466" s="121">
        <f>IF($C466="","",IF($C466="TANIMSIZ MÜŞTERİ","—",INDEX(MUSTERILER!$C$7:$C$106,MATCH($C466,MUSTERILER!$B$7:$B$106,0))))</f>
        <v/>
      </c>
      <c r="O466" s="6" t="n"/>
      <c r="P466" s="6" t="n"/>
      <c r="Q466" s="3">
        <f>IF($D466="","",$C466&amp;"|"&amp;COUNTIFS($C$7:$C466,$C466))</f>
        <v/>
      </c>
      <c r="R466" s="3">
        <f>IF($D466="","",UPPER(SUBSTITUTE(SUBSTITUTE(SUBSTITUTE(SUBSTITUTE(SUBSTITUTE(SUBSTITUTE(SUBSTITUTE(SUBSTITUTE(SUBSTITUTE(SUBSTITUTE(SUBSTITUTE(SUBSTITUTE(SUBSTITUTE(SUBSTITUTE(SUBSTITUTE(SUBSTITUTE(SUBSTITUTE(SUBSTITUTE(TRIM($D466),"'",""),"İ","I"),"ı","I"),"i","I"),"Ş","S"),"ş","S"),"Ğ","G"),"ğ","G"),"Ü","U"),"ü","U"),"Ö","O"),"ö","O"),"Ç","C"),"ç","C"),".",""),",","")," ",""),"-","")))</f>
        <v/>
      </c>
      <c r="S466" s="3">
        <f>IF($D466="","",$C466&amp;"|"&amp;TEXT($E466,"0")&amp;"|"&amp;TEXT($F466,"0")&amp;"|"&amp;$I466)</f>
        <v/>
      </c>
      <c r="T466" s="3">
        <f>IF($E466="",0,SUMPRODUCT((AY_SONU!$O$7:$O$42="Evet")*(AY_SONU!$B$7:$B$42=DATE(YEAR($E466),MONTH($E466),1))))</f>
        <v/>
      </c>
    </row>
    <row r="467">
      <c r="A467" s="6" t="n"/>
      <c r="B467" s="113">
        <f>IF($D467="","","T"&amp;TEXT(ROW()-6,"00000"))</f>
        <v/>
      </c>
      <c r="C467" s="113">
        <f>IF($D467="","",IFERROR(INDEX(MUSTERILER!$B$7:$B$106,MATCH($R467,MUSTERILER!$T$7:$T$106,0)),IFERROR(INDEX(MUSTERILER!$B$7:$B$106,MATCH($D467,MUSTERILER!$B$7:$B$106,0)),IFERROR(INDEX(MUSTERILER!$B$7:$B$106,MATCH($R467&amp;"*",MUSTERILER!$T$7:$T$106,0)),"TANIMSIZ MÜŞTERİ"))))</f>
        <v/>
      </c>
      <c r="D467" s="109" t="inlineStr">
        <is>
          <t>ASM EĞLENCE LTD.ŞTİ.</t>
        </is>
      </c>
      <c r="E467" s="220" t="n">
        <v>46235</v>
      </c>
      <c r="F467" s="221" t="n">
        <v>2500</v>
      </c>
      <c r="G467" s="108" t="inlineStr">
        <is>
          <t>MERKEZ KASA</t>
        </is>
      </c>
      <c r="H467" s="108" t="inlineStr">
        <is>
          <t>Nakit</t>
        </is>
      </c>
      <c r="I467" s="109" t="n"/>
      <c r="J467" s="109" t="inlineStr">
        <is>
          <t>NAKİT ÖDENEN</t>
        </is>
      </c>
      <c r="K467" s="109" t="n"/>
      <c r="L467" s="226">
        <f>IF($E467="","",DATE(YEAR($E467),MONTH($E467),1))</f>
        <v/>
      </c>
      <c r="M467" s="113">
        <f>IF($D467="","",IF($C467="TANIMSIZ MÜŞTERİ","HATA",IF(OR($E467="",$F467&lt;=0,$G467=""),"EKSİK",IF($E467&gt;TODAY(),"İLERİ TARİH",IF(COUNTIF($S$7:$S$1506,$S467)&gt;1,"MÜKERRER?",IF($T467&gt;0,"KAPALI DÖNEM","UYGUN"))))))</f>
        <v/>
      </c>
      <c r="N467" s="121">
        <f>IF($C467="","",IF($C467="TANIMSIZ MÜŞTERİ","—",INDEX(MUSTERILER!$C$7:$C$106,MATCH($C467,MUSTERILER!$B$7:$B$106,0))))</f>
        <v/>
      </c>
      <c r="O467" s="6" t="n"/>
      <c r="P467" s="6" t="n"/>
      <c r="Q467" s="3">
        <f>IF($D467="","",$C467&amp;"|"&amp;COUNTIFS($C$7:$C467,$C467))</f>
        <v/>
      </c>
      <c r="R467" s="3">
        <f>IF($D467="","",UPPER(SUBSTITUTE(SUBSTITUTE(SUBSTITUTE(SUBSTITUTE(SUBSTITUTE(SUBSTITUTE(SUBSTITUTE(SUBSTITUTE(SUBSTITUTE(SUBSTITUTE(SUBSTITUTE(SUBSTITUTE(SUBSTITUTE(SUBSTITUTE(SUBSTITUTE(SUBSTITUTE(SUBSTITUTE(SUBSTITUTE(TRIM($D467),"'",""),"İ","I"),"ı","I"),"i","I"),"Ş","S"),"ş","S"),"Ğ","G"),"ğ","G"),"Ü","U"),"ü","U"),"Ö","O"),"ö","O"),"Ç","C"),"ç","C"),".",""),",","")," ",""),"-","")))</f>
        <v/>
      </c>
      <c r="S467" s="3">
        <f>IF($D467="","",$C467&amp;"|"&amp;TEXT($E467,"0")&amp;"|"&amp;TEXT($F467,"0")&amp;"|"&amp;$I467)</f>
        <v/>
      </c>
      <c r="T467" s="3">
        <f>IF($E467="",0,SUMPRODUCT((AY_SONU!$O$7:$O$42="Evet")*(AY_SONU!$B$7:$B$42=DATE(YEAR($E467),MONTH($E467),1))))</f>
        <v/>
      </c>
    </row>
    <row r="468">
      <c r="A468" s="6" t="n"/>
      <c r="B468" s="113">
        <f>IF($D468="","","T"&amp;TEXT(ROW()-6,"00000"))</f>
        <v/>
      </c>
      <c r="C468" s="113">
        <f>IF($D468="","",IFERROR(INDEX(MUSTERILER!$B$7:$B$106,MATCH($R468,MUSTERILER!$T$7:$T$106,0)),IFERROR(INDEX(MUSTERILER!$B$7:$B$106,MATCH($D468,MUSTERILER!$B$7:$B$106,0)),IFERROR(INDEX(MUSTERILER!$B$7:$B$106,MATCH($R468&amp;"*",MUSTERILER!$T$7:$T$106,0)),"TANIMSIZ MÜŞTERİ"))))</f>
        <v/>
      </c>
      <c r="D468" s="109" t="inlineStr">
        <is>
          <t>Eğlengör Ltd.Şti.</t>
        </is>
      </c>
      <c r="E468" s="220" t="n">
        <v>46235</v>
      </c>
      <c r="F468" s="221" t="n">
        <v>4000</v>
      </c>
      <c r="G468" s="108" t="inlineStr">
        <is>
          <t>MERKEZ KASA</t>
        </is>
      </c>
      <c r="H468" s="108" t="inlineStr">
        <is>
          <t>Nakit</t>
        </is>
      </c>
      <c r="I468" s="109" t="n"/>
      <c r="J468" s="109" t="inlineStr">
        <is>
          <t>NAKİT ÖDENEN</t>
        </is>
      </c>
      <c r="K468" s="109" t="n"/>
      <c r="L468" s="226">
        <f>IF($E468="","",DATE(YEAR($E468),MONTH($E468),1))</f>
        <v/>
      </c>
      <c r="M468" s="113">
        <f>IF($D468="","",IF($C468="TANIMSIZ MÜŞTERİ","HATA",IF(OR($E468="",$F468&lt;=0,$G468=""),"EKSİK",IF($E468&gt;TODAY(),"İLERİ TARİH",IF(COUNTIF($S$7:$S$1506,$S468)&gt;1,"MÜKERRER?",IF($T468&gt;0,"KAPALI DÖNEM","UYGUN"))))))</f>
        <v/>
      </c>
      <c r="N468" s="121">
        <f>IF($C468="","",IF($C468="TANIMSIZ MÜŞTERİ","—",INDEX(MUSTERILER!$C$7:$C$106,MATCH($C468,MUSTERILER!$B$7:$B$106,0))))</f>
        <v/>
      </c>
      <c r="O468" s="6" t="n"/>
      <c r="P468" s="6" t="n"/>
      <c r="Q468" s="3">
        <f>IF($D468="","",$C468&amp;"|"&amp;COUNTIFS($C$7:$C468,$C468))</f>
        <v/>
      </c>
      <c r="R468" s="3">
        <f>IF($D468="","",UPPER(SUBSTITUTE(SUBSTITUTE(SUBSTITUTE(SUBSTITUTE(SUBSTITUTE(SUBSTITUTE(SUBSTITUTE(SUBSTITUTE(SUBSTITUTE(SUBSTITUTE(SUBSTITUTE(SUBSTITUTE(SUBSTITUTE(SUBSTITUTE(SUBSTITUTE(SUBSTITUTE(SUBSTITUTE(SUBSTITUTE(TRIM($D468),"'",""),"İ","I"),"ı","I"),"i","I"),"Ş","S"),"ş","S"),"Ğ","G"),"ğ","G"),"Ü","U"),"ü","U"),"Ö","O"),"ö","O"),"Ç","C"),"ç","C"),".",""),",","")," ",""),"-","")))</f>
        <v/>
      </c>
      <c r="S468" s="3">
        <f>IF($D468="","",$C468&amp;"|"&amp;TEXT($E468,"0")&amp;"|"&amp;TEXT($F468,"0")&amp;"|"&amp;$I468)</f>
        <v/>
      </c>
      <c r="T468" s="3">
        <f>IF($E468="",0,SUMPRODUCT((AY_SONU!$O$7:$O$42="Evet")*(AY_SONU!$B$7:$B$42=DATE(YEAR($E468),MONTH($E468),1))))</f>
        <v/>
      </c>
    </row>
    <row r="469">
      <c r="A469" s="6" t="n"/>
      <c r="B469" s="113">
        <f>IF($D469="","","T"&amp;TEXT(ROW()-6,"00000"))</f>
        <v/>
      </c>
      <c r="C469" s="113">
        <f>IF($D469="","",IFERROR(INDEX(MUSTERILER!$B$7:$B$106,MATCH($R469,MUSTERILER!$T$7:$T$106,0)),IFERROR(INDEX(MUSTERILER!$B$7:$B$106,MATCH($D469,MUSTERILER!$B$7:$B$106,0)),IFERROR(INDEX(MUSTERILER!$B$7:$B$106,MATCH($R469&amp;"*",MUSTERILER!$T$7:$T$106,0)),"TANIMSIZ MÜŞTERİ"))))</f>
        <v/>
      </c>
      <c r="D469" s="109" t="inlineStr">
        <is>
          <t>Final Siyah Beyaz Ltd.Şti.</t>
        </is>
      </c>
      <c r="E469" s="220" t="n">
        <v>46235</v>
      </c>
      <c r="F469" s="221" t="n">
        <v>4000</v>
      </c>
      <c r="G469" s="108" t="inlineStr">
        <is>
          <t>MERKEZ KASA</t>
        </is>
      </c>
      <c r="H469" s="108" t="inlineStr">
        <is>
          <t>Nakit</t>
        </is>
      </c>
      <c r="I469" s="109" t="n"/>
      <c r="J469" s="109" t="inlineStr">
        <is>
          <t>NAKİT ÖDENEN</t>
        </is>
      </c>
      <c r="K469" s="109" t="n"/>
      <c r="L469" s="226">
        <f>IF($E469="","",DATE(YEAR($E469),MONTH($E469),1))</f>
        <v/>
      </c>
      <c r="M469" s="113">
        <f>IF($D469="","",IF($C469="TANIMSIZ MÜŞTERİ","HATA",IF(OR($E469="",$F469&lt;=0,$G469=""),"EKSİK",IF($E469&gt;TODAY(),"İLERİ TARİH",IF(COUNTIF($S$7:$S$1506,$S469)&gt;1,"MÜKERRER?",IF($T469&gt;0,"KAPALI DÖNEM","UYGUN"))))))</f>
        <v/>
      </c>
      <c r="N469" s="121">
        <f>IF($C469="","",IF($C469="TANIMSIZ MÜŞTERİ","—",INDEX(MUSTERILER!$C$7:$C$106,MATCH($C469,MUSTERILER!$B$7:$B$106,0))))</f>
        <v/>
      </c>
      <c r="O469" s="6" t="n"/>
      <c r="P469" s="6" t="n"/>
      <c r="Q469" s="3">
        <f>IF($D469="","",$C469&amp;"|"&amp;COUNTIFS($C$7:$C469,$C469))</f>
        <v/>
      </c>
      <c r="R469" s="3">
        <f>IF($D469="","",UPPER(SUBSTITUTE(SUBSTITUTE(SUBSTITUTE(SUBSTITUTE(SUBSTITUTE(SUBSTITUTE(SUBSTITUTE(SUBSTITUTE(SUBSTITUTE(SUBSTITUTE(SUBSTITUTE(SUBSTITUTE(SUBSTITUTE(SUBSTITUTE(SUBSTITUTE(SUBSTITUTE(SUBSTITUTE(SUBSTITUTE(TRIM($D469),"'",""),"İ","I"),"ı","I"),"i","I"),"Ş","S"),"ş","S"),"Ğ","G"),"ğ","G"),"Ü","U"),"ü","U"),"Ö","O"),"ö","O"),"Ç","C"),"ç","C"),".",""),",","")," ",""),"-","")))</f>
        <v/>
      </c>
      <c r="S469" s="3">
        <f>IF($D469="","",$C469&amp;"|"&amp;TEXT($E469,"0")&amp;"|"&amp;TEXT($F469,"0")&amp;"|"&amp;$I469)</f>
        <v/>
      </c>
      <c r="T469" s="3">
        <f>IF($E469="",0,SUMPRODUCT((AY_SONU!$O$7:$O$42="Evet")*(AY_SONU!$B$7:$B$42=DATE(YEAR($E469),MONTH($E469),1))))</f>
        <v/>
      </c>
    </row>
    <row r="470">
      <c r="A470" s="6" t="n"/>
      <c r="B470" s="113">
        <f>IF($D470="","","T"&amp;TEXT(ROW()-6,"00000"))</f>
        <v/>
      </c>
      <c r="C470" s="113">
        <f>IF($D470="","",IFERROR(INDEX(MUSTERILER!$B$7:$B$106,MATCH($R470,MUSTERILER!$T$7:$T$106,0)),IFERROR(INDEX(MUSTERILER!$B$7:$B$106,MATCH($D470,MUSTERILER!$B$7:$B$106,0)),IFERROR(INDEX(MUSTERILER!$B$7:$B$106,MATCH($R470&amp;"*",MUSTERILER!$T$7:$T$106,0)),"TANIMSIZ MÜŞTERİ"))))</f>
        <v/>
      </c>
      <c r="D470" s="109" t="inlineStr">
        <is>
          <t>Monamour Ltd.Şti.</t>
        </is>
      </c>
      <c r="E470" s="220" t="n">
        <v>46235</v>
      </c>
      <c r="F470" s="221" t="n">
        <v>3500</v>
      </c>
      <c r="G470" s="108" t="inlineStr">
        <is>
          <t>MERKEZ KASA</t>
        </is>
      </c>
      <c r="H470" s="108" t="inlineStr">
        <is>
          <t>Nakit</t>
        </is>
      </c>
      <c r="I470" s="109" t="n"/>
      <c r="J470" s="109" t="inlineStr">
        <is>
          <t>NAKİT ÖDENEN</t>
        </is>
      </c>
      <c r="K470" s="109" t="n"/>
      <c r="L470" s="226">
        <f>IF($E470="","",DATE(YEAR($E470),MONTH($E470),1))</f>
        <v/>
      </c>
      <c r="M470" s="113">
        <f>IF($D470="","",IF($C470="TANIMSIZ MÜŞTERİ","HATA",IF(OR($E470="",$F470&lt;=0,$G470=""),"EKSİK",IF($E470&gt;TODAY(),"İLERİ TARİH",IF(COUNTIF($S$7:$S$1506,$S470)&gt;1,"MÜKERRER?",IF($T470&gt;0,"KAPALI DÖNEM","UYGUN"))))))</f>
        <v/>
      </c>
      <c r="N470" s="121">
        <f>IF($C470="","",IF($C470="TANIMSIZ MÜŞTERİ","—",INDEX(MUSTERILER!$C$7:$C$106,MATCH($C470,MUSTERILER!$B$7:$B$106,0))))</f>
        <v/>
      </c>
      <c r="O470" s="6" t="n"/>
      <c r="P470" s="6" t="n"/>
      <c r="Q470" s="3">
        <f>IF($D470="","",$C470&amp;"|"&amp;COUNTIFS($C$7:$C470,$C470))</f>
        <v/>
      </c>
      <c r="R470" s="3">
        <f>IF($D470="","",UPPER(SUBSTITUTE(SUBSTITUTE(SUBSTITUTE(SUBSTITUTE(SUBSTITUTE(SUBSTITUTE(SUBSTITUTE(SUBSTITUTE(SUBSTITUTE(SUBSTITUTE(SUBSTITUTE(SUBSTITUTE(SUBSTITUTE(SUBSTITUTE(SUBSTITUTE(SUBSTITUTE(SUBSTITUTE(SUBSTITUTE(TRIM($D470),"'",""),"İ","I"),"ı","I"),"i","I"),"Ş","S"),"ş","S"),"Ğ","G"),"ğ","G"),"Ü","U"),"ü","U"),"Ö","O"),"ö","O"),"Ç","C"),"ç","C"),".",""),",","")," ",""),"-","")))</f>
        <v/>
      </c>
      <c r="S470" s="3">
        <f>IF($D470="","",$C470&amp;"|"&amp;TEXT($E470,"0")&amp;"|"&amp;TEXT($F470,"0")&amp;"|"&amp;$I470)</f>
        <v/>
      </c>
      <c r="T470" s="3">
        <f>IF($E470="",0,SUMPRODUCT((AY_SONU!$O$7:$O$42="Evet")*(AY_SONU!$B$7:$B$42=DATE(YEAR($E470),MONTH($E470),1))))</f>
        <v/>
      </c>
    </row>
    <row r="471">
      <c r="A471" s="6" t="n"/>
      <c r="B471" s="113">
        <f>IF($D471="","","T"&amp;TEXT(ROW()-6,"00000"))</f>
        <v/>
      </c>
      <c r="C471" s="113">
        <f>IF($D471="","",IFERROR(INDEX(MUSTERILER!$B$7:$B$106,MATCH($R471,MUSTERILER!$T$7:$T$106,0)),IFERROR(INDEX(MUSTERILER!$B$7:$B$106,MATCH($D471,MUSTERILER!$B$7:$B$106,0)),IFERROR(INDEX(MUSTERILER!$B$7:$B$106,MATCH($R471&amp;"*",MUSTERILER!$T$7:$T$106,0)),"TANIMSIZ MÜŞTERİ"))))</f>
        <v/>
      </c>
      <c r="D471" s="109" t="inlineStr">
        <is>
          <t>Naz 1 Gıda Ltd.Şti.</t>
        </is>
      </c>
      <c r="E471" s="220" t="n">
        <v>46235</v>
      </c>
      <c r="F471" s="221" t="n">
        <v>2000</v>
      </c>
      <c r="G471" s="108" t="inlineStr">
        <is>
          <t>MERKEZ KASA</t>
        </is>
      </c>
      <c r="H471" s="108" t="inlineStr">
        <is>
          <t>Nakit</t>
        </is>
      </c>
      <c r="I471" s="109" t="n"/>
      <c r="J471" s="109" t="inlineStr">
        <is>
          <t>NAKİT ÖDENEN</t>
        </is>
      </c>
      <c r="K471" s="109" t="n"/>
      <c r="L471" s="226">
        <f>IF($E471="","",DATE(YEAR($E471),MONTH($E471),1))</f>
        <v/>
      </c>
      <c r="M471" s="113">
        <f>IF($D471="","",IF($C471="TANIMSIZ MÜŞTERİ","HATA",IF(OR($E471="",$F471&lt;=0,$G471=""),"EKSİK",IF($E471&gt;TODAY(),"İLERİ TARİH",IF(COUNTIF($S$7:$S$1506,$S471)&gt;1,"MÜKERRER?",IF($T471&gt;0,"KAPALI DÖNEM","UYGUN"))))))</f>
        <v/>
      </c>
      <c r="N471" s="121">
        <f>IF($C471="","",IF($C471="TANIMSIZ MÜŞTERİ","—",INDEX(MUSTERILER!$C$7:$C$106,MATCH($C471,MUSTERILER!$B$7:$B$106,0))))</f>
        <v/>
      </c>
      <c r="O471" s="6" t="n"/>
      <c r="P471" s="6" t="n"/>
      <c r="Q471" s="3">
        <f>IF($D471="","",$C471&amp;"|"&amp;COUNTIFS($C$7:$C471,$C471))</f>
        <v/>
      </c>
      <c r="R471" s="3">
        <f>IF($D471="","",UPPER(SUBSTITUTE(SUBSTITUTE(SUBSTITUTE(SUBSTITUTE(SUBSTITUTE(SUBSTITUTE(SUBSTITUTE(SUBSTITUTE(SUBSTITUTE(SUBSTITUTE(SUBSTITUTE(SUBSTITUTE(SUBSTITUTE(SUBSTITUTE(SUBSTITUTE(SUBSTITUTE(SUBSTITUTE(SUBSTITUTE(TRIM($D471),"'",""),"İ","I"),"ı","I"),"i","I"),"Ş","S"),"ş","S"),"Ğ","G"),"ğ","G"),"Ü","U"),"ü","U"),"Ö","O"),"ö","O"),"Ç","C"),"ç","C"),".",""),",","")," ",""),"-","")))</f>
        <v/>
      </c>
      <c r="S471" s="3">
        <f>IF($D471="","",$C471&amp;"|"&amp;TEXT($E471,"0")&amp;"|"&amp;TEXT($F471,"0")&amp;"|"&amp;$I471)</f>
        <v/>
      </c>
      <c r="T471" s="3">
        <f>IF($E471="",0,SUMPRODUCT((AY_SONU!$O$7:$O$42="Evet")*(AY_SONU!$B$7:$B$42=DATE(YEAR($E471),MONTH($E471),1))))</f>
        <v/>
      </c>
    </row>
    <row r="472">
      <c r="A472" s="6" t="n"/>
      <c r="B472" s="113">
        <f>IF($D472="","","T"&amp;TEXT(ROW()-6,"00000"))</f>
        <v/>
      </c>
      <c r="C472" s="113">
        <f>IF($D472="","",IFERROR(INDEX(MUSTERILER!$B$7:$B$106,MATCH($R472,MUSTERILER!$T$7:$T$106,0)),IFERROR(INDEX(MUSTERILER!$B$7:$B$106,MATCH($D472,MUSTERILER!$B$7:$B$106,0)),IFERROR(INDEX(MUSTERILER!$B$7:$B$106,MATCH($R472&amp;"*",MUSTERILER!$T$7:$T$106,0)),"TANIMSIZ MÜŞTERİ"))))</f>
        <v/>
      </c>
      <c r="D472" s="109" t="inlineStr">
        <is>
          <t>Pakyıldız Ltd.Şti.</t>
        </is>
      </c>
      <c r="E472" s="220" t="n">
        <v>46235</v>
      </c>
      <c r="F472" s="221" t="n">
        <v>4000</v>
      </c>
      <c r="G472" s="108" t="inlineStr">
        <is>
          <t>MERKEZ KASA</t>
        </is>
      </c>
      <c r="H472" s="108" t="inlineStr">
        <is>
          <t>Nakit</t>
        </is>
      </c>
      <c r="I472" s="109" t="n"/>
      <c r="J472" s="109" t="inlineStr">
        <is>
          <t>NAKİT ÖDENEN</t>
        </is>
      </c>
      <c r="K472" s="109" t="n"/>
      <c r="L472" s="226">
        <f>IF($E472="","",DATE(YEAR($E472),MONTH($E472),1))</f>
        <v/>
      </c>
      <c r="M472" s="113">
        <f>IF($D472="","",IF($C472="TANIMSIZ MÜŞTERİ","HATA",IF(OR($E472="",$F472&lt;=0,$G472=""),"EKSİK",IF($E472&gt;TODAY(),"İLERİ TARİH",IF(COUNTIF($S$7:$S$1506,$S472)&gt;1,"MÜKERRER?",IF($T472&gt;0,"KAPALI DÖNEM","UYGUN"))))))</f>
        <v/>
      </c>
      <c r="N472" s="121">
        <f>IF($C472="","",IF($C472="TANIMSIZ MÜŞTERİ","—",INDEX(MUSTERILER!$C$7:$C$106,MATCH($C472,MUSTERILER!$B$7:$B$106,0))))</f>
        <v/>
      </c>
      <c r="O472" s="6" t="n"/>
      <c r="P472" s="6" t="n"/>
      <c r="Q472" s="3">
        <f>IF($D472="","",$C472&amp;"|"&amp;COUNTIFS($C$7:$C472,$C472))</f>
        <v/>
      </c>
      <c r="R472" s="3">
        <f>IF($D472="","",UPPER(SUBSTITUTE(SUBSTITUTE(SUBSTITUTE(SUBSTITUTE(SUBSTITUTE(SUBSTITUTE(SUBSTITUTE(SUBSTITUTE(SUBSTITUTE(SUBSTITUTE(SUBSTITUTE(SUBSTITUTE(SUBSTITUTE(SUBSTITUTE(SUBSTITUTE(SUBSTITUTE(SUBSTITUTE(SUBSTITUTE(TRIM($D472),"'",""),"İ","I"),"ı","I"),"i","I"),"Ş","S"),"ş","S"),"Ğ","G"),"ğ","G"),"Ü","U"),"ü","U"),"Ö","O"),"ö","O"),"Ç","C"),"ç","C"),".",""),",","")," ",""),"-","")))</f>
        <v/>
      </c>
      <c r="S472" s="3">
        <f>IF($D472="","",$C472&amp;"|"&amp;TEXT($E472,"0")&amp;"|"&amp;TEXT($F472,"0")&amp;"|"&amp;$I472)</f>
        <v/>
      </c>
      <c r="T472" s="3">
        <f>IF($E472="",0,SUMPRODUCT((AY_SONU!$O$7:$O$42="Evet")*(AY_SONU!$B$7:$B$42=DATE(YEAR($E472),MONTH($E472),1))))</f>
        <v/>
      </c>
    </row>
    <row r="473">
      <c r="A473" s="6" t="n"/>
      <c r="B473" s="113">
        <f>IF($D473="","","T"&amp;TEXT(ROW()-6,"00000"))</f>
        <v/>
      </c>
      <c r="C473" s="113">
        <f>IF($D473="","",IFERROR(INDEX(MUSTERILER!$B$7:$B$106,MATCH($R473,MUSTERILER!$T$7:$T$106,0)),IFERROR(INDEX(MUSTERILER!$B$7:$B$106,MATCH($D473,MUSTERILER!$B$7:$B$106,0)),IFERROR(INDEX(MUSTERILER!$B$7:$B$106,MATCH($R473&amp;"*",MUSTERILER!$T$7:$T$106,0)),"TANIMSIZ MÜŞTERİ"))))</f>
        <v/>
      </c>
      <c r="D473" s="109" t="inlineStr">
        <is>
          <t>Rix Şow Ltd.Şti.</t>
        </is>
      </c>
      <c r="E473" s="220" t="n">
        <v>46235</v>
      </c>
      <c r="F473" s="221" t="n">
        <v>3000</v>
      </c>
      <c r="G473" s="108" t="inlineStr">
        <is>
          <t>MERKEZ KASA</t>
        </is>
      </c>
      <c r="H473" s="108" t="inlineStr">
        <is>
          <t>Nakit</t>
        </is>
      </c>
      <c r="I473" s="109" t="n"/>
      <c r="J473" s="109" t="inlineStr">
        <is>
          <t>NAKİT ÖDENEN</t>
        </is>
      </c>
      <c r="K473" s="109" t="n"/>
      <c r="L473" s="226">
        <f>IF($E473="","",DATE(YEAR($E473),MONTH($E473),1))</f>
        <v/>
      </c>
      <c r="M473" s="113">
        <f>IF($D473="","",IF($C473="TANIMSIZ MÜŞTERİ","HATA",IF(OR($E473="",$F473&lt;=0,$G473=""),"EKSİK",IF($E473&gt;TODAY(),"İLERİ TARİH",IF(COUNTIF($S$7:$S$1506,$S473)&gt;1,"MÜKERRER?",IF($T473&gt;0,"KAPALI DÖNEM","UYGUN"))))))</f>
        <v/>
      </c>
      <c r="N473" s="121">
        <f>IF($C473="","",IF($C473="TANIMSIZ MÜŞTERİ","—",INDEX(MUSTERILER!$C$7:$C$106,MATCH($C473,MUSTERILER!$B$7:$B$106,0))))</f>
        <v/>
      </c>
      <c r="O473" s="6" t="n"/>
      <c r="P473" s="6" t="n"/>
      <c r="Q473" s="3">
        <f>IF($D473="","",$C473&amp;"|"&amp;COUNTIFS($C$7:$C473,$C473))</f>
        <v/>
      </c>
      <c r="R473" s="3">
        <f>IF($D473="","",UPPER(SUBSTITUTE(SUBSTITUTE(SUBSTITUTE(SUBSTITUTE(SUBSTITUTE(SUBSTITUTE(SUBSTITUTE(SUBSTITUTE(SUBSTITUTE(SUBSTITUTE(SUBSTITUTE(SUBSTITUTE(SUBSTITUTE(SUBSTITUTE(SUBSTITUTE(SUBSTITUTE(SUBSTITUTE(SUBSTITUTE(TRIM($D473),"'",""),"İ","I"),"ı","I"),"i","I"),"Ş","S"),"ş","S"),"Ğ","G"),"ğ","G"),"Ü","U"),"ü","U"),"Ö","O"),"ö","O"),"Ç","C"),"ç","C"),".",""),",","")," ",""),"-","")))</f>
        <v/>
      </c>
      <c r="S473" s="3">
        <f>IF($D473="","",$C473&amp;"|"&amp;TEXT($E473,"0")&amp;"|"&amp;TEXT($F473,"0")&amp;"|"&amp;$I473)</f>
        <v/>
      </c>
      <c r="T473" s="3">
        <f>IF($E473="",0,SUMPRODUCT((AY_SONU!$O$7:$O$42="Evet")*(AY_SONU!$B$7:$B$42=DATE(YEAR($E473),MONTH($E473),1))))</f>
        <v/>
      </c>
    </row>
    <row r="474">
      <c r="A474" s="6" t="n"/>
      <c r="B474" s="113">
        <f>IF($D474="","","T"&amp;TEXT(ROW()-6,"00000"))</f>
        <v/>
      </c>
      <c r="C474" s="113">
        <f>IF($D474="","",IFERROR(INDEX(MUSTERILER!$B$7:$B$106,MATCH($R474,MUSTERILER!$T$7:$T$106,0)),IFERROR(INDEX(MUSTERILER!$B$7:$B$106,MATCH($D474,MUSTERILER!$B$7:$B$106,0)),IFERROR(INDEX(MUSTERILER!$B$7:$B$106,MATCH($R474&amp;"*",MUSTERILER!$T$7:$T$106,0)),"TANIMSIZ MÜŞTERİ"))))</f>
        <v/>
      </c>
      <c r="D474" s="109" t="inlineStr">
        <is>
          <t>YALIKENT LTD.ŞTİ.</t>
        </is>
      </c>
      <c r="E474" s="220" t="n">
        <v>46235</v>
      </c>
      <c r="F474" s="221" t="n">
        <v>5000</v>
      </c>
      <c r="G474" s="108" t="inlineStr">
        <is>
          <t>MERKEZ KASA</t>
        </is>
      </c>
      <c r="H474" s="108" t="inlineStr">
        <is>
          <t>Nakit</t>
        </is>
      </c>
      <c r="I474" s="109" t="n"/>
      <c r="J474" s="109" t="inlineStr">
        <is>
          <t>YALIKENT HAFTALIK MENDERES MAHSUP</t>
        </is>
      </c>
      <c r="K474" s="109" t="n"/>
      <c r="L474" s="226">
        <f>IF($E474="","",DATE(YEAR($E474),MONTH($E474),1))</f>
        <v/>
      </c>
      <c r="M474" s="113">
        <f>IF($D474="","",IF($C474="TANIMSIZ MÜŞTERİ","HATA",IF(OR($E474="",$F474&lt;=0,$G474=""),"EKSİK",IF($E474&gt;TODAY(),"İLERİ TARİH",IF(COUNTIF($S$7:$S$1506,$S474)&gt;1,"MÜKERRER?",IF($T474&gt;0,"KAPALI DÖNEM","UYGUN"))))))</f>
        <v/>
      </c>
      <c r="N474" s="121">
        <f>IF($C474="","",IF($C474="TANIMSIZ MÜŞTERİ","—",INDEX(MUSTERILER!$C$7:$C$106,MATCH($C474,MUSTERILER!$B$7:$B$106,0))))</f>
        <v/>
      </c>
      <c r="O474" s="6" t="n"/>
      <c r="P474" s="6" t="n"/>
      <c r="Q474" s="3">
        <f>IF($D474="","",$C474&amp;"|"&amp;COUNTIFS($C$7:$C474,$C474))</f>
        <v/>
      </c>
      <c r="R474" s="3">
        <f>IF($D474="","",UPPER(SUBSTITUTE(SUBSTITUTE(SUBSTITUTE(SUBSTITUTE(SUBSTITUTE(SUBSTITUTE(SUBSTITUTE(SUBSTITUTE(SUBSTITUTE(SUBSTITUTE(SUBSTITUTE(SUBSTITUTE(SUBSTITUTE(SUBSTITUTE(SUBSTITUTE(SUBSTITUTE(SUBSTITUTE(SUBSTITUTE(TRIM($D474),"'",""),"İ","I"),"ı","I"),"i","I"),"Ş","S"),"ş","S"),"Ğ","G"),"ğ","G"),"Ü","U"),"ü","U"),"Ö","O"),"ö","O"),"Ç","C"),"ç","C"),".",""),",","")," ",""),"-","")))</f>
        <v/>
      </c>
      <c r="S474" s="3">
        <f>IF($D474="","",$C474&amp;"|"&amp;TEXT($E474,"0")&amp;"|"&amp;TEXT($F474,"0")&amp;"|"&amp;$I474)</f>
        <v/>
      </c>
      <c r="T474" s="3">
        <f>IF($E474="",0,SUMPRODUCT((AY_SONU!$O$7:$O$42="Evet")*(AY_SONU!$B$7:$B$42=DATE(YEAR($E474),MONTH($E474),1))))</f>
        <v/>
      </c>
    </row>
    <row r="475">
      <c r="A475" s="6" t="n"/>
      <c r="B475" s="113">
        <f>IF($D475="","","T"&amp;TEXT(ROW()-6,"00000"))</f>
        <v/>
      </c>
      <c r="C475" s="113">
        <f>IF($D475="","",IFERROR(INDEX(MUSTERILER!$B$7:$B$106,MATCH($R475,MUSTERILER!$T$7:$T$106,0)),IFERROR(INDEX(MUSTERILER!$B$7:$B$106,MATCH($D475,MUSTERILER!$B$7:$B$106,0)),IFERROR(INDEX(MUSTERILER!$B$7:$B$106,MATCH($R475&amp;"*",MUSTERILER!$T$7:$T$106,0)),"TANIMSIZ MÜŞTERİ"))))</f>
        <v/>
      </c>
      <c r="D475" s="109" t="inlineStr">
        <is>
          <t>Zümrüt Grup Ltd.Şti.</t>
        </is>
      </c>
      <c r="E475" s="220" t="n">
        <v>46235</v>
      </c>
      <c r="F475" s="221" t="n">
        <v>1750</v>
      </c>
      <c r="G475" s="108" t="inlineStr">
        <is>
          <t>MERKEZ KASA</t>
        </is>
      </c>
      <c r="H475" s="108" t="inlineStr">
        <is>
          <t>Nakit</t>
        </is>
      </c>
      <c r="I475" s="109" t="n"/>
      <c r="J475" s="109" t="inlineStr">
        <is>
          <t>NAKİT ÖDENEN</t>
        </is>
      </c>
      <c r="K475" s="109" t="n"/>
      <c r="L475" s="226">
        <f>IF($E475="","",DATE(YEAR($E475),MONTH($E475),1))</f>
        <v/>
      </c>
      <c r="M475" s="113">
        <f>IF($D475="","",IF($C475="TANIMSIZ MÜŞTERİ","HATA",IF(OR($E475="",$F475&lt;=0,$G475=""),"EKSİK",IF($E475&gt;TODAY(),"İLERİ TARİH",IF(COUNTIF($S$7:$S$1506,$S475)&gt;1,"MÜKERRER?",IF($T475&gt;0,"KAPALI DÖNEM","UYGUN"))))))</f>
        <v/>
      </c>
      <c r="N475" s="121">
        <f>IF($C475="","",IF($C475="TANIMSIZ MÜŞTERİ","—",INDEX(MUSTERILER!$C$7:$C$106,MATCH($C475,MUSTERILER!$B$7:$B$106,0))))</f>
        <v/>
      </c>
      <c r="O475" s="6" t="n"/>
      <c r="P475" s="6" t="n"/>
      <c r="Q475" s="3">
        <f>IF($D475="","",$C475&amp;"|"&amp;COUNTIFS($C$7:$C475,$C475))</f>
        <v/>
      </c>
      <c r="R475" s="3">
        <f>IF($D475="","",UPPER(SUBSTITUTE(SUBSTITUTE(SUBSTITUTE(SUBSTITUTE(SUBSTITUTE(SUBSTITUTE(SUBSTITUTE(SUBSTITUTE(SUBSTITUTE(SUBSTITUTE(SUBSTITUTE(SUBSTITUTE(SUBSTITUTE(SUBSTITUTE(SUBSTITUTE(SUBSTITUTE(SUBSTITUTE(SUBSTITUTE(TRIM($D475),"'",""),"İ","I"),"ı","I"),"i","I"),"Ş","S"),"ş","S"),"Ğ","G"),"ğ","G"),"Ü","U"),"ü","U"),"Ö","O"),"ö","O"),"Ç","C"),"ç","C"),".",""),",","")," ",""),"-","")))</f>
        <v/>
      </c>
      <c r="S475" s="3">
        <f>IF($D475="","",$C475&amp;"|"&amp;TEXT($E475,"0")&amp;"|"&amp;TEXT($F475,"0")&amp;"|"&amp;$I475)</f>
        <v/>
      </c>
      <c r="T475" s="3">
        <f>IF($E475="",0,SUMPRODUCT((AY_SONU!$O$7:$O$42="Evet")*(AY_SONU!$B$7:$B$42=DATE(YEAR($E475),MONTH($E475),1))))</f>
        <v/>
      </c>
    </row>
    <row r="476">
      <c r="A476" s="6" t="n"/>
      <c r="B476" s="113">
        <f>IF($D476="","","T"&amp;TEXT(ROW()-6,"00000"))</f>
        <v/>
      </c>
      <c r="C476" s="113">
        <f>IF($D476="","",IFERROR(INDEX(MUSTERILER!$B$7:$B$106,MATCH($R476,MUSTERILER!$T$7:$T$106,0)),IFERROR(INDEX(MUSTERILER!$B$7:$B$106,MATCH($D476,MUSTERILER!$B$7:$B$106,0)),IFERROR(INDEX(MUSTERILER!$B$7:$B$106,MATCH($R476&amp;"*",MUSTERILER!$T$7:$T$106,0)),"TANIMSIZ MÜŞTERİ"))))</f>
        <v/>
      </c>
      <c r="D476" s="109" t="inlineStr">
        <is>
          <t>ÇINARHAN LTD.ŞTİ.</t>
        </is>
      </c>
      <c r="E476" s="220" t="n">
        <v>46235</v>
      </c>
      <c r="F476" s="221" t="n">
        <v>4000</v>
      </c>
      <c r="G476" s="108" t="inlineStr">
        <is>
          <t>MERKEZ KASA</t>
        </is>
      </c>
      <c r="H476" s="108" t="inlineStr">
        <is>
          <t>Nakit</t>
        </is>
      </c>
      <c r="I476" s="109" t="n"/>
      <c r="J476" s="109" t="inlineStr">
        <is>
          <t>NAKİT ÖDENEN</t>
        </is>
      </c>
      <c r="K476" s="109" t="n"/>
      <c r="L476" s="226">
        <f>IF($E476="","",DATE(YEAR($E476),MONTH($E476),1))</f>
        <v/>
      </c>
      <c r="M476" s="113">
        <f>IF($D476="","",IF($C476="TANIMSIZ MÜŞTERİ","HATA",IF(OR($E476="",$F476&lt;=0,$G476=""),"EKSİK",IF($E476&gt;TODAY(),"İLERİ TARİH",IF(COUNTIF($S$7:$S$1506,$S476)&gt;1,"MÜKERRER?",IF($T476&gt;0,"KAPALI DÖNEM","UYGUN"))))))</f>
        <v/>
      </c>
      <c r="N476" s="121">
        <f>IF($C476="","",IF($C476="TANIMSIZ MÜŞTERİ","—",INDEX(MUSTERILER!$C$7:$C$106,MATCH($C476,MUSTERILER!$B$7:$B$106,0))))</f>
        <v/>
      </c>
      <c r="O476" s="6" t="n"/>
      <c r="P476" s="6" t="n"/>
      <c r="Q476" s="3">
        <f>IF($D476="","",$C476&amp;"|"&amp;COUNTIFS($C$7:$C476,$C476))</f>
        <v/>
      </c>
      <c r="R476" s="3">
        <f>IF($D476="","",UPPER(SUBSTITUTE(SUBSTITUTE(SUBSTITUTE(SUBSTITUTE(SUBSTITUTE(SUBSTITUTE(SUBSTITUTE(SUBSTITUTE(SUBSTITUTE(SUBSTITUTE(SUBSTITUTE(SUBSTITUTE(SUBSTITUTE(SUBSTITUTE(SUBSTITUTE(SUBSTITUTE(SUBSTITUTE(SUBSTITUTE(TRIM($D476),"'",""),"İ","I"),"ı","I"),"i","I"),"Ş","S"),"ş","S"),"Ğ","G"),"ğ","G"),"Ü","U"),"ü","U"),"Ö","O"),"ö","O"),"Ç","C"),"ç","C"),".",""),",","")," ",""),"-","")))</f>
        <v/>
      </c>
      <c r="S476" s="3">
        <f>IF($D476="","",$C476&amp;"|"&amp;TEXT($E476,"0")&amp;"|"&amp;TEXT($F476,"0")&amp;"|"&amp;$I476)</f>
        <v/>
      </c>
      <c r="T476" s="3">
        <f>IF($E476="",0,SUMPRODUCT((AY_SONU!$O$7:$O$42="Evet")*(AY_SONU!$B$7:$B$42=DATE(YEAR($E476),MONTH($E476),1))))</f>
        <v/>
      </c>
    </row>
    <row r="477">
      <c r="A477" s="6" t="n"/>
      <c r="B477" s="113">
        <f>IF($D477="","","T"&amp;TEXT(ROW()-6,"00000"))</f>
        <v/>
      </c>
      <c r="C477" s="113">
        <f>IF($D477="","",IFERROR(INDEX(MUSTERILER!$B$7:$B$106,MATCH($R477,MUSTERILER!$T$7:$T$106,0)),IFERROR(INDEX(MUSTERILER!$B$7:$B$106,MATCH($D477,MUSTERILER!$B$7:$B$106,0)),IFERROR(INDEX(MUSTERILER!$B$7:$B$106,MATCH($R477&amp;"*",MUSTERILER!$T$7:$T$106,0)),"TANIMSIZ MÜŞTERİ"))))</f>
        <v/>
      </c>
      <c r="D477" s="109" t="inlineStr">
        <is>
          <t>ÇINARHAN LTD.ŞTİ.</t>
        </is>
      </c>
      <c r="E477" s="220" t="n">
        <v>46235</v>
      </c>
      <c r="F477" s="221" t="n">
        <v>4500</v>
      </c>
      <c r="G477" s="108" t="inlineStr">
        <is>
          <t>MERKEZ KASA</t>
        </is>
      </c>
      <c r="H477" s="108" t="inlineStr">
        <is>
          <t>Nakit</t>
        </is>
      </c>
      <c r="I477" s="109" t="n"/>
      <c r="J477" s="109" t="inlineStr">
        <is>
          <t>NAKİT ÖDENEN</t>
        </is>
      </c>
      <c r="K477" s="109" t="n"/>
      <c r="L477" s="226">
        <f>IF($E477="","",DATE(YEAR($E477),MONTH($E477),1))</f>
        <v/>
      </c>
      <c r="M477" s="113">
        <f>IF($D477="","",IF($C477="TANIMSIZ MÜŞTERİ","HATA",IF(OR($E477="",$F477&lt;=0,$G477=""),"EKSİK",IF($E477&gt;TODAY(),"İLERİ TARİH",IF(COUNTIF($S$7:$S$1506,$S477)&gt;1,"MÜKERRER?",IF($T477&gt;0,"KAPALI DÖNEM","UYGUN"))))))</f>
        <v/>
      </c>
      <c r="N477" s="121">
        <f>IF($C477="","",IF($C477="TANIMSIZ MÜŞTERİ","—",INDEX(MUSTERILER!$C$7:$C$106,MATCH($C477,MUSTERILER!$B$7:$B$106,0))))</f>
        <v/>
      </c>
      <c r="O477" s="6" t="n"/>
      <c r="P477" s="6" t="n"/>
      <c r="Q477" s="3">
        <f>IF($D477="","",$C477&amp;"|"&amp;COUNTIFS($C$7:$C477,$C477))</f>
        <v/>
      </c>
      <c r="R477" s="3">
        <f>IF($D477="","",UPPER(SUBSTITUTE(SUBSTITUTE(SUBSTITUTE(SUBSTITUTE(SUBSTITUTE(SUBSTITUTE(SUBSTITUTE(SUBSTITUTE(SUBSTITUTE(SUBSTITUTE(SUBSTITUTE(SUBSTITUTE(SUBSTITUTE(SUBSTITUTE(SUBSTITUTE(SUBSTITUTE(SUBSTITUTE(SUBSTITUTE(TRIM($D477),"'",""),"İ","I"),"ı","I"),"i","I"),"Ş","S"),"ş","S"),"Ğ","G"),"ğ","G"),"Ü","U"),"ü","U"),"Ö","O"),"ö","O"),"Ç","C"),"ç","C"),".",""),",","")," ",""),"-","")))</f>
        <v/>
      </c>
      <c r="S477" s="3">
        <f>IF($D477="","",$C477&amp;"|"&amp;TEXT($E477,"0")&amp;"|"&amp;TEXT($F477,"0")&amp;"|"&amp;$I477)</f>
        <v/>
      </c>
      <c r="T477" s="3">
        <f>IF($E477="",0,SUMPRODUCT((AY_SONU!$O$7:$O$42="Evet")*(AY_SONU!$B$7:$B$42=DATE(YEAR($E477),MONTH($E477),1))))</f>
        <v/>
      </c>
    </row>
    <row r="478">
      <c r="A478" s="6" t="n"/>
      <c r="B478" s="113">
        <f>IF($D478="","","T"&amp;TEXT(ROW()-6,"00000"))</f>
        <v/>
      </c>
      <c r="C478" s="113">
        <f>IF($D478="","",IFERROR(INDEX(MUSTERILER!$B$7:$B$106,MATCH($R478,MUSTERILER!$T$7:$T$106,0)),IFERROR(INDEX(MUSTERILER!$B$7:$B$106,MATCH($D478,MUSTERILER!$B$7:$B$106,0)),IFERROR(INDEX(MUSTERILER!$B$7:$B$106,MATCH($R478&amp;"*",MUSTERILER!$T$7:$T$106,0)),"TANIMSIZ MÜŞTERİ"))))</f>
        <v/>
      </c>
      <c r="D478" s="109" t="inlineStr">
        <is>
          <t>KRİSTAL LTD.ŞTİ.</t>
        </is>
      </c>
      <c r="E478" s="220" t="n">
        <v>46235</v>
      </c>
      <c r="F478" s="221" t="n">
        <v>2000</v>
      </c>
      <c r="G478" s="108" t="inlineStr">
        <is>
          <t>MERKEZ KASA</t>
        </is>
      </c>
      <c r="H478" s="108" t="inlineStr">
        <is>
          <t>Nakit</t>
        </is>
      </c>
      <c r="I478" s="109" t="n"/>
      <c r="J478" s="109" t="inlineStr">
        <is>
          <t>NAKİT ÖDENEN</t>
        </is>
      </c>
      <c r="K478" s="109" t="n"/>
      <c r="L478" s="226">
        <f>IF($E478="","",DATE(YEAR($E478),MONTH($E478),1))</f>
        <v/>
      </c>
      <c r="M478" s="113">
        <f>IF($D478="","",IF($C478="TANIMSIZ MÜŞTERİ","HATA",IF(OR($E478="",$F478&lt;=0,$G478=""),"EKSİK",IF($E478&gt;TODAY(),"İLERİ TARİH",IF(COUNTIF($S$7:$S$1506,$S478)&gt;1,"MÜKERRER?",IF($T478&gt;0,"KAPALI DÖNEM","UYGUN"))))))</f>
        <v/>
      </c>
      <c r="N478" s="121">
        <f>IF($C478="","",IF($C478="TANIMSIZ MÜŞTERİ","—",INDEX(MUSTERILER!$C$7:$C$106,MATCH($C478,MUSTERILER!$B$7:$B$106,0))))</f>
        <v/>
      </c>
      <c r="O478" s="6" t="n"/>
      <c r="P478" s="6" t="n"/>
      <c r="Q478" s="3">
        <f>IF($D478="","",$C478&amp;"|"&amp;COUNTIFS($C$7:$C478,$C478))</f>
        <v/>
      </c>
      <c r="R478" s="3">
        <f>IF($D478="","",UPPER(SUBSTITUTE(SUBSTITUTE(SUBSTITUTE(SUBSTITUTE(SUBSTITUTE(SUBSTITUTE(SUBSTITUTE(SUBSTITUTE(SUBSTITUTE(SUBSTITUTE(SUBSTITUTE(SUBSTITUTE(SUBSTITUTE(SUBSTITUTE(SUBSTITUTE(SUBSTITUTE(SUBSTITUTE(SUBSTITUTE(TRIM($D478),"'",""),"İ","I"),"ı","I"),"i","I"),"Ş","S"),"ş","S"),"Ğ","G"),"ğ","G"),"Ü","U"),"ü","U"),"Ö","O"),"ö","O"),"Ç","C"),"ç","C"),".",""),",","")," ",""),"-","")))</f>
        <v/>
      </c>
      <c r="S478" s="3">
        <f>IF($D478="","",$C478&amp;"|"&amp;TEXT($E478,"0")&amp;"|"&amp;TEXT($F478,"0")&amp;"|"&amp;$I478)</f>
        <v/>
      </c>
      <c r="T478" s="3">
        <f>IF($E478="",0,SUMPRODUCT((AY_SONU!$O$7:$O$42="Evet")*(AY_SONU!$B$7:$B$42=DATE(YEAR($E478),MONTH($E478),1))))</f>
        <v/>
      </c>
    </row>
    <row r="479">
      <c r="A479" s="6" t="n"/>
      <c r="B479" s="113">
        <f>IF($D479="","","T"&amp;TEXT(ROW()-6,"00000"))</f>
        <v/>
      </c>
      <c r="C479" s="113">
        <f>IF($D479="","",IFERROR(INDEX(MUSTERILER!$B$7:$B$106,MATCH($R479,MUSTERILER!$T$7:$T$106,0)),IFERROR(INDEX(MUSTERILER!$B$7:$B$106,MATCH($D479,MUSTERILER!$B$7:$B$106,0)),IFERROR(INDEX(MUSTERILER!$B$7:$B$106,MATCH($R479&amp;"*",MUSTERILER!$T$7:$T$106,0)),"TANIMSIZ MÜŞTERİ"))))</f>
        <v/>
      </c>
      <c r="D479" s="109" t="inlineStr">
        <is>
          <t>ASIM AÇIKGÖZ</t>
        </is>
      </c>
      <c r="E479" s="220" t="n">
        <v>46243</v>
      </c>
      <c r="F479" s="221" t="n">
        <v>2000</v>
      </c>
      <c r="G479" s="108" t="inlineStr">
        <is>
          <t>MERKEZ KASA</t>
        </is>
      </c>
      <c r="H479" s="108" t="inlineStr">
        <is>
          <t>Nakit</t>
        </is>
      </c>
      <c r="I479" s="109" t="n"/>
      <c r="J479" s="109" t="inlineStr">
        <is>
          <t>NAKİT ÖDENEN</t>
        </is>
      </c>
      <c r="K479" s="109" t="n"/>
      <c r="L479" s="226">
        <f>IF($E479="","",DATE(YEAR($E479),MONTH($E479),1))</f>
        <v/>
      </c>
      <c r="M479" s="113">
        <f>IF($D479="","",IF($C479="TANIMSIZ MÜŞTERİ","HATA",IF(OR($E479="",$F479&lt;=0,$G479=""),"EKSİK",IF($E479&gt;TODAY(),"İLERİ TARİH",IF(COUNTIF($S$7:$S$1506,$S479)&gt;1,"MÜKERRER?",IF($T479&gt;0,"KAPALI DÖNEM","UYGUN"))))))</f>
        <v/>
      </c>
      <c r="N479" s="121">
        <f>IF($C479="","",IF($C479="TANIMSIZ MÜŞTERİ","—",INDEX(MUSTERILER!$C$7:$C$106,MATCH($C479,MUSTERILER!$B$7:$B$106,0))))</f>
        <v/>
      </c>
      <c r="O479" s="6" t="n"/>
      <c r="P479" s="6" t="n"/>
      <c r="Q479" s="3">
        <f>IF($D479="","",$C479&amp;"|"&amp;COUNTIFS($C$7:$C479,$C479))</f>
        <v/>
      </c>
      <c r="R479" s="3">
        <f>IF($D479="","",UPPER(SUBSTITUTE(SUBSTITUTE(SUBSTITUTE(SUBSTITUTE(SUBSTITUTE(SUBSTITUTE(SUBSTITUTE(SUBSTITUTE(SUBSTITUTE(SUBSTITUTE(SUBSTITUTE(SUBSTITUTE(SUBSTITUTE(SUBSTITUTE(SUBSTITUTE(SUBSTITUTE(SUBSTITUTE(SUBSTITUTE(TRIM($D479),"'",""),"İ","I"),"ı","I"),"i","I"),"Ş","S"),"ş","S"),"Ğ","G"),"ğ","G"),"Ü","U"),"ü","U"),"Ö","O"),"ö","O"),"Ç","C"),"ç","C"),".",""),",","")," ",""),"-","")))</f>
        <v/>
      </c>
      <c r="S479" s="3">
        <f>IF($D479="","",$C479&amp;"|"&amp;TEXT($E479,"0")&amp;"|"&amp;TEXT($F479,"0")&amp;"|"&amp;$I479)</f>
        <v/>
      </c>
      <c r="T479" s="3">
        <f>IF($E479="",0,SUMPRODUCT((AY_SONU!$O$7:$O$42="Evet")*(AY_SONU!$B$7:$B$42=DATE(YEAR($E479),MONTH($E479),1))))</f>
        <v/>
      </c>
    </row>
    <row r="480">
      <c r="A480" s="6" t="n"/>
      <c r="B480" s="113">
        <f>IF($D480="","","T"&amp;TEXT(ROW()-6,"00000"))</f>
        <v/>
      </c>
      <c r="C480" s="113">
        <f>IF($D480="","",IFERROR(INDEX(MUSTERILER!$B$7:$B$106,MATCH($R480,MUSTERILER!$T$7:$T$106,0)),IFERROR(INDEX(MUSTERILER!$B$7:$B$106,MATCH($D480,MUSTERILER!$B$7:$B$106,0)),IFERROR(INDEX(MUSTERILER!$B$7:$B$106,MATCH($R480&amp;"*",MUSTERILER!$T$7:$T$106,0)),"TANIMSIZ MÜŞTERİ"))))</f>
        <v/>
      </c>
      <c r="D480" s="109" t="inlineStr">
        <is>
          <t>ASM EĞLENCE LTD.ŞTİ.</t>
        </is>
      </c>
      <c r="E480" s="220" t="n">
        <v>46243</v>
      </c>
      <c r="F480" s="221" t="n">
        <v>2500</v>
      </c>
      <c r="G480" s="108" t="inlineStr">
        <is>
          <t>MERKEZ KASA</t>
        </is>
      </c>
      <c r="H480" s="108" t="inlineStr">
        <is>
          <t>Nakit</t>
        </is>
      </c>
      <c r="I480" s="109" t="n"/>
      <c r="J480" s="109" t="inlineStr">
        <is>
          <t>NAKİT ÖDENEN</t>
        </is>
      </c>
      <c r="K480" s="109" t="n"/>
      <c r="L480" s="226">
        <f>IF($E480="","",DATE(YEAR($E480),MONTH($E480),1))</f>
        <v/>
      </c>
      <c r="M480" s="113">
        <f>IF($D480="","",IF($C480="TANIMSIZ MÜŞTERİ","HATA",IF(OR($E480="",$F480&lt;=0,$G480=""),"EKSİK",IF($E480&gt;TODAY(),"İLERİ TARİH",IF(COUNTIF($S$7:$S$1506,$S480)&gt;1,"MÜKERRER?",IF($T480&gt;0,"KAPALI DÖNEM","UYGUN"))))))</f>
        <v/>
      </c>
      <c r="N480" s="121">
        <f>IF($C480="","",IF($C480="TANIMSIZ MÜŞTERİ","—",INDEX(MUSTERILER!$C$7:$C$106,MATCH($C480,MUSTERILER!$B$7:$B$106,0))))</f>
        <v/>
      </c>
      <c r="O480" s="6" t="n"/>
      <c r="P480" s="6" t="n"/>
      <c r="Q480" s="3">
        <f>IF($D480="","",$C480&amp;"|"&amp;COUNTIFS($C$7:$C480,$C480))</f>
        <v/>
      </c>
      <c r="R480" s="3">
        <f>IF($D480="","",UPPER(SUBSTITUTE(SUBSTITUTE(SUBSTITUTE(SUBSTITUTE(SUBSTITUTE(SUBSTITUTE(SUBSTITUTE(SUBSTITUTE(SUBSTITUTE(SUBSTITUTE(SUBSTITUTE(SUBSTITUTE(SUBSTITUTE(SUBSTITUTE(SUBSTITUTE(SUBSTITUTE(SUBSTITUTE(SUBSTITUTE(TRIM($D480),"'",""),"İ","I"),"ı","I"),"i","I"),"Ş","S"),"ş","S"),"Ğ","G"),"ğ","G"),"Ü","U"),"ü","U"),"Ö","O"),"ö","O"),"Ç","C"),"ç","C"),".",""),",","")," ",""),"-","")))</f>
        <v/>
      </c>
      <c r="S480" s="3">
        <f>IF($D480="","",$C480&amp;"|"&amp;TEXT($E480,"0")&amp;"|"&amp;TEXT($F480,"0")&amp;"|"&amp;$I480)</f>
        <v/>
      </c>
      <c r="T480" s="3">
        <f>IF($E480="",0,SUMPRODUCT((AY_SONU!$O$7:$O$42="Evet")*(AY_SONU!$B$7:$B$42=DATE(YEAR($E480),MONTH($E480),1))))</f>
        <v/>
      </c>
    </row>
    <row r="481">
      <c r="A481" s="6" t="n"/>
      <c r="B481" s="113">
        <f>IF($D481="","","T"&amp;TEXT(ROW()-6,"00000"))</f>
        <v/>
      </c>
      <c r="C481" s="113">
        <f>IF($D481="","",IFERROR(INDEX(MUSTERILER!$B$7:$B$106,MATCH($R481,MUSTERILER!$T$7:$T$106,0)),IFERROR(INDEX(MUSTERILER!$B$7:$B$106,MATCH($D481,MUSTERILER!$B$7:$B$106,0)),IFERROR(INDEX(MUSTERILER!$B$7:$B$106,MATCH($R481&amp;"*",MUSTERILER!$T$7:$T$106,0)),"TANIMSIZ MÜŞTERİ"))))</f>
        <v/>
      </c>
      <c r="D481" s="109" t="inlineStr">
        <is>
          <t>Çayıralan Ltd.Şti.</t>
        </is>
      </c>
      <c r="E481" s="220" t="n">
        <v>46243</v>
      </c>
      <c r="F481" s="221" t="n">
        <v>3000</v>
      </c>
      <c r="G481" s="108" t="inlineStr">
        <is>
          <t>MERKEZ KASA</t>
        </is>
      </c>
      <c r="H481" s="108" t="inlineStr">
        <is>
          <t>Nakit</t>
        </is>
      </c>
      <c r="I481" s="109" t="n"/>
      <c r="J481" s="109" t="inlineStr">
        <is>
          <t>NAKİT ÖDENEN</t>
        </is>
      </c>
      <c r="K481" s="109" t="n"/>
      <c r="L481" s="226">
        <f>IF($E481="","",DATE(YEAR($E481),MONTH($E481),1))</f>
        <v/>
      </c>
      <c r="M481" s="113">
        <f>IF($D481="","",IF($C481="TANIMSIZ MÜŞTERİ","HATA",IF(OR($E481="",$F481&lt;=0,$G481=""),"EKSİK",IF($E481&gt;TODAY(),"İLERİ TARİH",IF(COUNTIF($S$7:$S$1506,$S481)&gt;1,"MÜKERRER?",IF($T481&gt;0,"KAPALI DÖNEM","UYGUN"))))))</f>
        <v/>
      </c>
      <c r="N481" s="121">
        <f>IF($C481="","",IF($C481="TANIMSIZ MÜŞTERİ","—",INDEX(MUSTERILER!$C$7:$C$106,MATCH($C481,MUSTERILER!$B$7:$B$106,0))))</f>
        <v/>
      </c>
      <c r="O481" s="6" t="n"/>
      <c r="P481" s="6" t="n"/>
      <c r="Q481" s="3">
        <f>IF($D481="","",$C481&amp;"|"&amp;COUNTIFS($C$7:$C481,$C481))</f>
        <v/>
      </c>
      <c r="R481" s="3">
        <f>IF($D481="","",UPPER(SUBSTITUTE(SUBSTITUTE(SUBSTITUTE(SUBSTITUTE(SUBSTITUTE(SUBSTITUTE(SUBSTITUTE(SUBSTITUTE(SUBSTITUTE(SUBSTITUTE(SUBSTITUTE(SUBSTITUTE(SUBSTITUTE(SUBSTITUTE(SUBSTITUTE(SUBSTITUTE(SUBSTITUTE(SUBSTITUTE(TRIM($D481),"'",""),"İ","I"),"ı","I"),"i","I"),"Ş","S"),"ş","S"),"Ğ","G"),"ğ","G"),"Ü","U"),"ü","U"),"Ö","O"),"ö","O"),"Ç","C"),"ç","C"),".",""),",","")," ",""),"-","")))</f>
        <v/>
      </c>
      <c r="S481" s="3">
        <f>IF($D481="","",$C481&amp;"|"&amp;TEXT($E481,"0")&amp;"|"&amp;TEXT($F481,"0")&amp;"|"&amp;$I481)</f>
        <v/>
      </c>
      <c r="T481" s="3">
        <f>IF($E481="",0,SUMPRODUCT((AY_SONU!$O$7:$O$42="Evet")*(AY_SONU!$B$7:$B$42=DATE(YEAR($E481),MONTH($E481),1))))</f>
        <v/>
      </c>
    </row>
    <row r="482">
      <c r="A482" s="6" t="n"/>
      <c r="B482" s="113">
        <f>IF($D482="","","T"&amp;TEXT(ROW()-6,"00000"))</f>
        <v/>
      </c>
      <c r="C482" s="113">
        <f>IF($D482="","",IFERROR(INDEX(MUSTERILER!$B$7:$B$106,MATCH($R482,MUSTERILER!$T$7:$T$106,0)),IFERROR(INDEX(MUSTERILER!$B$7:$B$106,MATCH($D482,MUSTERILER!$B$7:$B$106,0)),IFERROR(INDEX(MUSTERILER!$B$7:$B$106,MATCH($R482&amp;"*",MUSTERILER!$T$7:$T$106,0)),"TANIMSIZ MÜŞTERİ"))))</f>
        <v/>
      </c>
      <c r="D482" s="109" t="inlineStr">
        <is>
          <t>Eğlengör Ltd.Şti.</t>
        </is>
      </c>
      <c r="E482" s="220" t="n">
        <v>46243</v>
      </c>
      <c r="F482" s="221" t="n">
        <v>4000</v>
      </c>
      <c r="G482" s="108" t="inlineStr">
        <is>
          <t>MERKEZ KASA</t>
        </is>
      </c>
      <c r="H482" s="108" t="inlineStr">
        <is>
          <t>Nakit</t>
        </is>
      </c>
      <c r="I482" s="109" t="n"/>
      <c r="J482" s="109" t="inlineStr">
        <is>
          <t>NAKİT ÖDENEN</t>
        </is>
      </c>
      <c r="K482" s="109" t="n"/>
      <c r="L482" s="226">
        <f>IF($E482="","",DATE(YEAR($E482),MONTH($E482),1))</f>
        <v/>
      </c>
      <c r="M482" s="113">
        <f>IF($D482="","",IF($C482="TANIMSIZ MÜŞTERİ","HATA",IF(OR($E482="",$F482&lt;=0,$G482=""),"EKSİK",IF($E482&gt;TODAY(),"İLERİ TARİH",IF(COUNTIF($S$7:$S$1506,$S482)&gt;1,"MÜKERRER?",IF($T482&gt;0,"KAPALI DÖNEM","UYGUN"))))))</f>
        <v/>
      </c>
      <c r="N482" s="121">
        <f>IF($C482="","",IF($C482="TANIMSIZ MÜŞTERİ","—",INDEX(MUSTERILER!$C$7:$C$106,MATCH($C482,MUSTERILER!$B$7:$B$106,0))))</f>
        <v/>
      </c>
      <c r="O482" s="6" t="n"/>
      <c r="P482" s="6" t="n"/>
      <c r="Q482" s="3">
        <f>IF($D482="","",$C482&amp;"|"&amp;COUNTIFS($C$7:$C482,$C482))</f>
        <v/>
      </c>
      <c r="R482" s="3">
        <f>IF($D482="","",UPPER(SUBSTITUTE(SUBSTITUTE(SUBSTITUTE(SUBSTITUTE(SUBSTITUTE(SUBSTITUTE(SUBSTITUTE(SUBSTITUTE(SUBSTITUTE(SUBSTITUTE(SUBSTITUTE(SUBSTITUTE(SUBSTITUTE(SUBSTITUTE(SUBSTITUTE(SUBSTITUTE(SUBSTITUTE(SUBSTITUTE(TRIM($D482),"'",""),"İ","I"),"ı","I"),"i","I"),"Ş","S"),"ş","S"),"Ğ","G"),"ğ","G"),"Ü","U"),"ü","U"),"Ö","O"),"ö","O"),"Ç","C"),"ç","C"),".",""),",","")," ",""),"-","")))</f>
        <v/>
      </c>
      <c r="S482" s="3">
        <f>IF($D482="","",$C482&amp;"|"&amp;TEXT($E482,"0")&amp;"|"&amp;TEXT($F482,"0")&amp;"|"&amp;$I482)</f>
        <v/>
      </c>
      <c r="T482" s="3">
        <f>IF($E482="",0,SUMPRODUCT((AY_SONU!$O$7:$O$42="Evet")*(AY_SONU!$B$7:$B$42=DATE(YEAR($E482),MONTH($E482),1))))</f>
        <v/>
      </c>
    </row>
    <row r="483">
      <c r="A483" s="6" t="n"/>
      <c r="B483" s="113">
        <f>IF($D483="","","T"&amp;TEXT(ROW()-6,"00000"))</f>
        <v/>
      </c>
      <c r="C483" s="113">
        <f>IF($D483="","",IFERROR(INDEX(MUSTERILER!$B$7:$B$106,MATCH($R483,MUSTERILER!$T$7:$T$106,0)),IFERROR(INDEX(MUSTERILER!$B$7:$B$106,MATCH($D483,MUSTERILER!$B$7:$B$106,0)),IFERROR(INDEX(MUSTERILER!$B$7:$B$106,MATCH($R483&amp;"*",MUSTERILER!$T$7:$T$106,0)),"TANIMSIZ MÜŞTERİ"))))</f>
        <v/>
      </c>
      <c r="D483" s="109" t="inlineStr">
        <is>
          <t>İldeş Ltd.Şti.</t>
        </is>
      </c>
      <c r="E483" s="220" t="n">
        <v>46243</v>
      </c>
      <c r="F483" s="221" t="n">
        <v>7000</v>
      </c>
      <c r="G483" s="108" t="inlineStr">
        <is>
          <t>MERKEZ KASA</t>
        </is>
      </c>
      <c r="H483" s="108" t="inlineStr">
        <is>
          <t>Nakit</t>
        </is>
      </c>
      <c r="I483" s="109" t="n"/>
      <c r="J483" s="109" t="inlineStr">
        <is>
          <t>NAKİT ÖDENEN</t>
        </is>
      </c>
      <c r="K483" s="109" t="n"/>
      <c r="L483" s="226">
        <f>IF($E483="","",DATE(YEAR($E483),MONTH($E483),1))</f>
        <v/>
      </c>
      <c r="M483" s="113">
        <f>IF($D483="","",IF($C483="TANIMSIZ MÜŞTERİ","HATA",IF(OR($E483="",$F483&lt;=0,$G483=""),"EKSİK",IF($E483&gt;TODAY(),"İLERİ TARİH",IF(COUNTIF($S$7:$S$1506,$S483)&gt;1,"MÜKERRER?",IF($T483&gt;0,"KAPALI DÖNEM","UYGUN"))))))</f>
        <v/>
      </c>
      <c r="N483" s="121">
        <f>IF($C483="","",IF($C483="TANIMSIZ MÜŞTERİ","—",INDEX(MUSTERILER!$C$7:$C$106,MATCH($C483,MUSTERILER!$B$7:$B$106,0))))</f>
        <v/>
      </c>
      <c r="O483" s="6" t="n"/>
      <c r="P483" s="6" t="n"/>
      <c r="Q483" s="3">
        <f>IF($D483="","",$C483&amp;"|"&amp;COUNTIFS($C$7:$C483,$C483))</f>
        <v/>
      </c>
      <c r="R483" s="3">
        <f>IF($D483="","",UPPER(SUBSTITUTE(SUBSTITUTE(SUBSTITUTE(SUBSTITUTE(SUBSTITUTE(SUBSTITUTE(SUBSTITUTE(SUBSTITUTE(SUBSTITUTE(SUBSTITUTE(SUBSTITUTE(SUBSTITUTE(SUBSTITUTE(SUBSTITUTE(SUBSTITUTE(SUBSTITUTE(SUBSTITUTE(SUBSTITUTE(TRIM($D483),"'",""),"İ","I"),"ı","I"),"i","I"),"Ş","S"),"ş","S"),"Ğ","G"),"ğ","G"),"Ü","U"),"ü","U"),"Ö","O"),"ö","O"),"Ç","C"),"ç","C"),".",""),",","")," ",""),"-","")))</f>
        <v/>
      </c>
      <c r="S483" s="3">
        <f>IF($D483="","",$C483&amp;"|"&amp;TEXT($E483,"0")&amp;"|"&amp;TEXT($F483,"0")&amp;"|"&amp;$I483)</f>
        <v/>
      </c>
      <c r="T483" s="3">
        <f>IF($E483="",0,SUMPRODUCT((AY_SONU!$O$7:$O$42="Evet")*(AY_SONU!$B$7:$B$42=DATE(YEAR($E483),MONTH($E483),1))))</f>
        <v/>
      </c>
    </row>
    <row r="484">
      <c r="A484" s="6" t="n"/>
      <c r="B484" s="113">
        <f>IF($D484="","","T"&amp;TEXT(ROW()-6,"00000"))</f>
        <v/>
      </c>
      <c r="C484" s="113">
        <f>IF($D484="","",IFERROR(INDEX(MUSTERILER!$B$7:$B$106,MATCH($R484,MUSTERILER!$T$7:$T$106,0)),IFERROR(INDEX(MUSTERILER!$B$7:$B$106,MATCH($D484,MUSTERILER!$B$7:$B$106,0)),IFERROR(INDEX(MUSTERILER!$B$7:$B$106,MATCH($R484&amp;"*",MUSTERILER!$T$7:$T$106,0)),"TANIMSIZ MÜŞTERİ"))))</f>
        <v/>
      </c>
      <c r="D484" s="109" t="inlineStr">
        <is>
          <t>Pakyıldız Ltd.Şti.</t>
        </is>
      </c>
      <c r="E484" s="220" t="n">
        <v>46243</v>
      </c>
      <c r="F484" s="221" t="n">
        <v>8000</v>
      </c>
      <c r="G484" s="108" t="inlineStr">
        <is>
          <t>MERKEZ KASA</t>
        </is>
      </c>
      <c r="H484" s="108" t="inlineStr">
        <is>
          <t>Nakit</t>
        </is>
      </c>
      <c r="I484" s="109" t="n"/>
      <c r="J484" s="109" t="inlineStr">
        <is>
          <t>NAKİT ÖDENEN</t>
        </is>
      </c>
      <c r="K484" s="109" t="n"/>
      <c r="L484" s="226">
        <f>IF($E484="","",DATE(YEAR($E484),MONTH($E484),1))</f>
        <v/>
      </c>
      <c r="M484" s="113">
        <f>IF($D484="","",IF($C484="TANIMSIZ MÜŞTERİ","HATA",IF(OR($E484="",$F484&lt;=0,$G484=""),"EKSİK",IF($E484&gt;TODAY(),"İLERİ TARİH",IF(COUNTIF($S$7:$S$1506,$S484)&gt;1,"MÜKERRER?",IF($T484&gt;0,"KAPALI DÖNEM","UYGUN"))))))</f>
        <v/>
      </c>
      <c r="N484" s="121">
        <f>IF($C484="","",IF($C484="TANIMSIZ MÜŞTERİ","—",INDEX(MUSTERILER!$C$7:$C$106,MATCH($C484,MUSTERILER!$B$7:$B$106,0))))</f>
        <v/>
      </c>
      <c r="O484" s="6" t="n"/>
      <c r="P484" s="6" t="n"/>
      <c r="Q484" s="3">
        <f>IF($D484="","",$C484&amp;"|"&amp;COUNTIFS($C$7:$C484,$C484))</f>
        <v/>
      </c>
      <c r="R484" s="3">
        <f>IF($D484="","",UPPER(SUBSTITUTE(SUBSTITUTE(SUBSTITUTE(SUBSTITUTE(SUBSTITUTE(SUBSTITUTE(SUBSTITUTE(SUBSTITUTE(SUBSTITUTE(SUBSTITUTE(SUBSTITUTE(SUBSTITUTE(SUBSTITUTE(SUBSTITUTE(SUBSTITUTE(SUBSTITUTE(SUBSTITUTE(SUBSTITUTE(TRIM($D484),"'",""),"İ","I"),"ı","I"),"i","I"),"Ş","S"),"ş","S"),"Ğ","G"),"ğ","G"),"Ü","U"),"ü","U"),"Ö","O"),"ö","O"),"Ç","C"),"ç","C"),".",""),",","")," ",""),"-","")))</f>
        <v/>
      </c>
      <c r="S484" s="3">
        <f>IF($D484="","",$C484&amp;"|"&amp;TEXT($E484,"0")&amp;"|"&amp;TEXT($F484,"0")&amp;"|"&amp;$I484)</f>
        <v/>
      </c>
      <c r="T484" s="3">
        <f>IF($E484="",0,SUMPRODUCT((AY_SONU!$O$7:$O$42="Evet")*(AY_SONU!$B$7:$B$42=DATE(YEAR($E484),MONTH($E484),1))))</f>
        <v/>
      </c>
    </row>
    <row r="485">
      <c r="A485" s="6" t="n"/>
      <c r="B485" s="113">
        <f>IF($D485="","","T"&amp;TEXT(ROW()-6,"00000"))</f>
        <v/>
      </c>
      <c r="C485" s="113">
        <f>IF($D485="","",IFERROR(INDEX(MUSTERILER!$B$7:$B$106,MATCH($R485,MUSTERILER!$T$7:$T$106,0)),IFERROR(INDEX(MUSTERILER!$B$7:$B$106,MATCH($D485,MUSTERILER!$B$7:$B$106,0)),IFERROR(INDEX(MUSTERILER!$B$7:$B$106,MATCH($R485&amp;"*",MUSTERILER!$T$7:$T$106,0)),"TANIMSIZ MÜŞTERİ"))))</f>
        <v/>
      </c>
      <c r="D485" s="109" t="inlineStr">
        <is>
          <t>PALAOĞULLARI LTD.ŞTİ.</t>
        </is>
      </c>
      <c r="E485" s="220" t="n">
        <v>46243</v>
      </c>
      <c r="F485" s="221" t="n">
        <v>9400</v>
      </c>
      <c r="G485" s="108" t="inlineStr">
        <is>
          <t>MERKEZ KASA</t>
        </is>
      </c>
      <c r="H485" s="108" t="inlineStr">
        <is>
          <t>Nakit</t>
        </is>
      </c>
      <c r="I485" s="109" t="n"/>
      <c r="J485" s="109" t="inlineStr">
        <is>
          <t>ÖMER GRAND 06 BAKİYESİ</t>
        </is>
      </c>
      <c r="K485" s="109" t="n"/>
      <c r="L485" s="226">
        <f>IF($E485="","",DATE(YEAR($E485),MONTH($E485),1))</f>
        <v/>
      </c>
      <c r="M485" s="113">
        <f>IF($D485="","",IF($C485="TANIMSIZ MÜŞTERİ","HATA",IF(OR($E485="",$F485&lt;=0,$G485=""),"EKSİK",IF($E485&gt;TODAY(),"İLERİ TARİH",IF(COUNTIF($S$7:$S$1506,$S485)&gt;1,"MÜKERRER?",IF($T485&gt;0,"KAPALI DÖNEM","UYGUN"))))))</f>
        <v/>
      </c>
      <c r="N485" s="121">
        <f>IF($C485="","",IF($C485="TANIMSIZ MÜŞTERİ","—",INDEX(MUSTERILER!$C$7:$C$106,MATCH($C485,MUSTERILER!$B$7:$B$106,0))))</f>
        <v/>
      </c>
      <c r="O485" s="6" t="n"/>
      <c r="P485" s="6" t="n"/>
      <c r="Q485" s="3">
        <f>IF($D485="","",$C485&amp;"|"&amp;COUNTIFS($C$7:$C485,$C485))</f>
        <v/>
      </c>
      <c r="R485" s="3">
        <f>IF($D485="","",UPPER(SUBSTITUTE(SUBSTITUTE(SUBSTITUTE(SUBSTITUTE(SUBSTITUTE(SUBSTITUTE(SUBSTITUTE(SUBSTITUTE(SUBSTITUTE(SUBSTITUTE(SUBSTITUTE(SUBSTITUTE(SUBSTITUTE(SUBSTITUTE(SUBSTITUTE(SUBSTITUTE(SUBSTITUTE(SUBSTITUTE(TRIM($D485),"'",""),"İ","I"),"ı","I"),"i","I"),"Ş","S"),"ş","S"),"Ğ","G"),"ğ","G"),"Ü","U"),"ü","U"),"Ö","O"),"ö","O"),"Ç","C"),"ç","C"),".",""),",","")," ",""),"-","")))</f>
        <v/>
      </c>
      <c r="S485" s="3">
        <f>IF($D485="","",$C485&amp;"|"&amp;TEXT($E485,"0")&amp;"|"&amp;TEXT($F485,"0")&amp;"|"&amp;$I485)</f>
        <v/>
      </c>
      <c r="T485" s="3">
        <f>IF($E485="",0,SUMPRODUCT((AY_SONU!$O$7:$O$42="Evet")*(AY_SONU!$B$7:$B$42=DATE(YEAR($E485),MONTH($E485),1))))</f>
        <v/>
      </c>
    </row>
    <row r="486">
      <c r="A486" s="6" t="n"/>
      <c r="B486" s="113">
        <f>IF($D486="","","T"&amp;TEXT(ROW()-6,"00000"))</f>
        <v/>
      </c>
      <c r="C486" s="113">
        <f>IF($D486="","",IFERROR(INDEX(MUSTERILER!$B$7:$B$106,MATCH($R486,MUSTERILER!$T$7:$T$106,0)),IFERROR(INDEX(MUSTERILER!$B$7:$B$106,MATCH($D486,MUSTERILER!$B$7:$B$106,0)),IFERROR(INDEX(MUSTERILER!$B$7:$B$106,MATCH($R486&amp;"*",MUSTERILER!$T$7:$T$106,0)),"TANIMSIZ MÜŞTERİ"))))</f>
        <v/>
      </c>
      <c r="D486" s="109" t="inlineStr">
        <is>
          <t>KRİSTAL LTD.ŞTİ.</t>
        </is>
      </c>
      <c r="E486" s="220" t="n">
        <v>46243</v>
      </c>
      <c r="F486" s="221" t="n">
        <v>3000</v>
      </c>
      <c r="G486" s="108" t="inlineStr">
        <is>
          <t>MERKEZ KASA</t>
        </is>
      </c>
      <c r="H486" s="108" t="inlineStr">
        <is>
          <t>Nakit</t>
        </is>
      </c>
      <c r="I486" s="109" t="n"/>
      <c r="J486" s="109" t="inlineStr">
        <is>
          <t>NAKİT ÖDENEN</t>
        </is>
      </c>
      <c r="K486" s="109" t="n"/>
      <c r="L486" s="226">
        <f>IF($E486="","",DATE(YEAR($E486),MONTH($E486),1))</f>
        <v/>
      </c>
      <c r="M486" s="113">
        <f>IF($D486="","",IF($C486="TANIMSIZ MÜŞTERİ","HATA",IF(OR($E486="",$F486&lt;=0,$G486=""),"EKSİK",IF($E486&gt;TODAY(),"İLERİ TARİH",IF(COUNTIF($S$7:$S$1506,$S486)&gt;1,"MÜKERRER?",IF($T486&gt;0,"KAPALI DÖNEM","UYGUN"))))))</f>
        <v/>
      </c>
      <c r="N486" s="121">
        <f>IF($C486="","",IF($C486="TANIMSIZ MÜŞTERİ","—",INDEX(MUSTERILER!$C$7:$C$106,MATCH($C486,MUSTERILER!$B$7:$B$106,0))))</f>
        <v/>
      </c>
      <c r="O486" s="6" t="n"/>
      <c r="P486" s="6" t="n"/>
      <c r="Q486" s="3">
        <f>IF($D486="","",$C486&amp;"|"&amp;COUNTIFS($C$7:$C486,$C486))</f>
        <v/>
      </c>
      <c r="R486" s="3">
        <f>IF($D486="","",UPPER(SUBSTITUTE(SUBSTITUTE(SUBSTITUTE(SUBSTITUTE(SUBSTITUTE(SUBSTITUTE(SUBSTITUTE(SUBSTITUTE(SUBSTITUTE(SUBSTITUTE(SUBSTITUTE(SUBSTITUTE(SUBSTITUTE(SUBSTITUTE(SUBSTITUTE(SUBSTITUTE(SUBSTITUTE(SUBSTITUTE(TRIM($D486),"'",""),"İ","I"),"ı","I"),"i","I"),"Ş","S"),"ş","S"),"Ğ","G"),"ğ","G"),"Ü","U"),"ü","U"),"Ö","O"),"ö","O"),"Ç","C"),"ç","C"),".",""),",","")," ",""),"-","")))</f>
        <v/>
      </c>
      <c r="S486" s="3">
        <f>IF($D486="","",$C486&amp;"|"&amp;TEXT($E486,"0")&amp;"|"&amp;TEXT($F486,"0")&amp;"|"&amp;$I486)</f>
        <v/>
      </c>
      <c r="T486" s="3">
        <f>IF($E486="",0,SUMPRODUCT((AY_SONU!$O$7:$O$42="Evet")*(AY_SONU!$B$7:$B$42=DATE(YEAR($E486),MONTH($E486),1))))</f>
        <v/>
      </c>
    </row>
    <row r="487">
      <c r="A487" s="6" t="n"/>
      <c r="B487" s="113">
        <f>IF($D487="","","T"&amp;TEXT(ROW()-6,"00000"))</f>
        <v/>
      </c>
      <c r="C487" s="113">
        <f>IF($D487="","",IFERROR(INDEX(MUSTERILER!$B$7:$B$106,MATCH($R487,MUSTERILER!$T$7:$T$106,0)),IFERROR(INDEX(MUSTERILER!$B$7:$B$106,MATCH($D487,MUSTERILER!$B$7:$B$106,0)),IFERROR(INDEX(MUSTERILER!$B$7:$B$106,MATCH($R487&amp;"*",MUSTERILER!$T$7:$T$106,0)),"TANIMSIZ MÜŞTERİ"))))</f>
        <v/>
      </c>
      <c r="D487" s="109" t="inlineStr">
        <is>
          <t>STAR ŞOW LTD.ŞTİ.</t>
        </is>
      </c>
      <c r="E487" s="220" t="n">
        <v>46243</v>
      </c>
      <c r="F487" s="221" t="n">
        <v>6000</v>
      </c>
      <c r="G487" s="108" t="inlineStr">
        <is>
          <t>MERKEZ KASA</t>
        </is>
      </c>
      <c r="H487" s="108" t="inlineStr">
        <is>
          <t>Nakit</t>
        </is>
      </c>
      <c r="I487" s="109" t="n"/>
      <c r="J487" s="109" t="inlineStr">
        <is>
          <t>NAKİT ÖDENEN</t>
        </is>
      </c>
      <c r="K487" s="109" t="n"/>
      <c r="L487" s="226">
        <f>IF($E487="","",DATE(YEAR($E487),MONTH($E487),1))</f>
        <v/>
      </c>
      <c r="M487" s="113">
        <f>IF($D487="","",IF($C487="TANIMSIZ MÜŞTERİ","HATA",IF(OR($E487="",$F487&lt;=0,$G487=""),"EKSİK",IF($E487&gt;TODAY(),"İLERİ TARİH",IF(COUNTIF($S$7:$S$1506,$S487)&gt;1,"MÜKERRER?",IF($T487&gt;0,"KAPALI DÖNEM","UYGUN"))))))</f>
        <v/>
      </c>
      <c r="N487" s="121">
        <f>IF($C487="","",IF($C487="TANIMSIZ MÜŞTERİ","—",INDEX(MUSTERILER!$C$7:$C$106,MATCH($C487,MUSTERILER!$B$7:$B$106,0))))</f>
        <v/>
      </c>
      <c r="O487" s="6" t="n"/>
      <c r="P487" s="6" t="n"/>
      <c r="Q487" s="3">
        <f>IF($D487="","",$C487&amp;"|"&amp;COUNTIFS($C$7:$C487,$C487))</f>
        <v/>
      </c>
      <c r="R487" s="3">
        <f>IF($D487="","",UPPER(SUBSTITUTE(SUBSTITUTE(SUBSTITUTE(SUBSTITUTE(SUBSTITUTE(SUBSTITUTE(SUBSTITUTE(SUBSTITUTE(SUBSTITUTE(SUBSTITUTE(SUBSTITUTE(SUBSTITUTE(SUBSTITUTE(SUBSTITUTE(SUBSTITUTE(SUBSTITUTE(SUBSTITUTE(SUBSTITUTE(TRIM($D487),"'",""),"İ","I"),"ı","I"),"i","I"),"Ş","S"),"ş","S"),"Ğ","G"),"ğ","G"),"Ü","U"),"ü","U"),"Ö","O"),"ö","O"),"Ç","C"),"ç","C"),".",""),",","")," ",""),"-","")))</f>
        <v/>
      </c>
      <c r="S487" s="3">
        <f>IF($D487="","",$C487&amp;"|"&amp;TEXT($E487,"0")&amp;"|"&amp;TEXT($F487,"0")&amp;"|"&amp;$I487)</f>
        <v/>
      </c>
      <c r="T487" s="3">
        <f>IF($E487="",0,SUMPRODUCT((AY_SONU!$O$7:$O$42="Evet")*(AY_SONU!$B$7:$B$42=DATE(YEAR($E487),MONTH($E487),1))))</f>
        <v/>
      </c>
    </row>
    <row r="488">
      <c r="A488" s="6" t="n"/>
      <c r="B488" s="113">
        <f>IF($D488="","","T"&amp;TEXT(ROW()-6,"00000"))</f>
        <v/>
      </c>
      <c r="C488" s="113">
        <f>IF($D488="","",IFERROR(INDEX(MUSTERILER!$B$7:$B$106,MATCH($R488,MUSTERILER!$T$7:$T$106,0)),IFERROR(INDEX(MUSTERILER!$B$7:$B$106,MATCH($D488,MUSTERILER!$B$7:$B$106,0)),IFERROR(INDEX(MUSTERILER!$B$7:$B$106,MATCH($R488&amp;"*",MUSTERILER!$T$7:$T$106,0)),"TANIMSIZ MÜŞTERİ"))))</f>
        <v/>
      </c>
      <c r="D488" s="109" t="inlineStr">
        <is>
          <t>TYANA LTD.ŞTİ.</t>
        </is>
      </c>
      <c r="E488" s="220" t="n">
        <v>46243</v>
      </c>
      <c r="F488" s="221" t="n">
        <v>3000</v>
      </c>
      <c r="G488" s="108" t="inlineStr">
        <is>
          <t>ÖMER KARTAL</t>
        </is>
      </c>
      <c r="H488" s="108" t="inlineStr">
        <is>
          <t>Nakit</t>
        </is>
      </c>
      <c r="I488" s="109" t="n"/>
      <c r="J488" s="109" t="inlineStr">
        <is>
          <t>NAKİT ÖDENEN</t>
        </is>
      </c>
      <c r="K488" s="109" t="n"/>
      <c r="L488" s="226">
        <f>IF($E488="","",DATE(YEAR($E488),MONTH($E488),1))</f>
        <v/>
      </c>
      <c r="M488" s="113">
        <f>IF($D488="","",IF($C488="TANIMSIZ MÜŞTERİ","HATA",IF(OR($E488="",$F488&lt;=0,$G488=""),"EKSİK",IF($E488&gt;TODAY(),"İLERİ TARİH",IF(COUNTIF($S$7:$S$1506,$S488)&gt;1,"MÜKERRER?",IF($T488&gt;0,"KAPALI DÖNEM","UYGUN"))))))</f>
        <v/>
      </c>
      <c r="N488" s="121">
        <f>IF($C488="","",IF($C488="TANIMSIZ MÜŞTERİ","—",INDEX(MUSTERILER!$C$7:$C$106,MATCH($C488,MUSTERILER!$B$7:$B$106,0))))</f>
        <v/>
      </c>
      <c r="O488" s="6" t="n"/>
      <c r="P488" s="6" t="n"/>
      <c r="Q488" s="3">
        <f>IF($D488="","",$C488&amp;"|"&amp;COUNTIFS($C$7:$C488,$C488))</f>
        <v/>
      </c>
      <c r="R488" s="3">
        <f>IF($D488="","",UPPER(SUBSTITUTE(SUBSTITUTE(SUBSTITUTE(SUBSTITUTE(SUBSTITUTE(SUBSTITUTE(SUBSTITUTE(SUBSTITUTE(SUBSTITUTE(SUBSTITUTE(SUBSTITUTE(SUBSTITUTE(SUBSTITUTE(SUBSTITUTE(SUBSTITUTE(SUBSTITUTE(SUBSTITUTE(SUBSTITUTE(TRIM($D488),"'",""),"İ","I"),"ı","I"),"i","I"),"Ş","S"),"ş","S"),"Ğ","G"),"ğ","G"),"Ü","U"),"ü","U"),"Ö","O"),"ö","O"),"Ç","C"),"ç","C"),".",""),",","")," ",""),"-","")))</f>
        <v/>
      </c>
      <c r="S488" s="3">
        <f>IF($D488="","",$C488&amp;"|"&amp;TEXT($E488,"0")&amp;"|"&amp;TEXT($F488,"0")&amp;"|"&amp;$I488)</f>
        <v/>
      </c>
      <c r="T488" s="3">
        <f>IF($E488="",0,SUMPRODUCT((AY_SONU!$O$7:$O$42="Evet")*(AY_SONU!$B$7:$B$42=DATE(YEAR($E488),MONTH($E488),1))))</f>
        <v/>
      </c>
    </row>
    <row r="489">
      <c r="A489" s="6" t="n"/>
      <c r="B489" s="113">
        <f>IF($D489="","","T"&amp;TEXT(ROW()-6,"00000"))</f>
        <v/>
      </c>
      <c r="C489" s="113">
        <f>IF($D489="","",IFERROR(INDEX(MUSTERILER!$B$7:$B$106,MATCH($R489,MUSTERILER!$T$7:$T$106,0)),IFERROR(INDEX(MUSTERILER!$B$7:$B$106,MATCH($D489,MUSTERILER!$B$7:$B$106,0)),IFERROR(INDEX(MUSTERILER!$B$7:$B$106,MATCH($R489&amp;"*",MUSTERILER!$T$7:$T$106,0)),"TANIMSIZ MÜŞTERİ"))))</f>
        <v/>
      </c>
      <c r="D489" s="109" t="inlineStr">
        <is>
          <t>ARMAN DİK</t>
        </is>
      </c>
      <c r="E489" s="220" t="n">
        <v>46245</v>
      </c>
      <c r="F489" s="221" t="n">
        <v>23000</v>
      </c>
      <c r="G489" s="108" t="inlineStr">
        <is>
          <t>MERKEZ KASA</t>
        </is>
      </c>
      <c r="H489" s="108" t="inlineStr">
        <is>
          <t>Nakit</t>
        </is>
      </c>
      <c r="I489" s="109" t="n"/>
      <c r="J489" s="109" t="inlineStr">
        <is>
          <t>ARMAN DİK VERGİ TELAFİSİ İÇİN YAZILAN ZARAR</t>
        </is>
      </c>
      <c r="K489" s="109" t="n"/>
      <c r="L489" s="226">
        <f>IF($E489="","",DATE(YEAR($E489),MONTH($E489),1))</f>
        <v/>
      </c>
      <c r="M489" s="113">
        <f>IF($D489="","",IF($C489="TANIMSIZ MÜŞTERİ","HATA",IF(OR($E489="",$F489&lt;=0,$G489=""),"EKSİK",IF($E489&gt;TODAY(),"İLERİ TARİH",IF(COUNTIF($S$7:$S$1506,$S489)&gt;1,"MÜKERRER?",IF($T489&gt;0,"KAPALI DÖNEM","UYGUN"))))))</f>
        <v/>
      </c>
      <c r="N489" s="121">
        <f>IF($C489="","",IF($C489="TANIMSIZ MÜŞTERİ","—",INDEX(MUSTERILER!$C$7:$C$106,MATCH($C489,MUSTERILER!$B$7:$B$106,0))))</f>
        <v/>
      </c>
      <c r="O489" s="6" t="n"/>
      <c r="P489" s="6" t="n"/>
      <c r="Q489" s="3">
        <f>IF($D489="","",$C489&amp;"|"&amp;COUNTIFS($C$7:$C489,$C489))</f>
        <v/>
      </c>
      <c r="R489" s="3">
        <f>IF($D489="","",UPPER(SUBSTITUTE(SUBSTITUTE(SUBSTITUTE(SUBSTITUTE(SUBSTITUTE(SUBSTITUTE(SUBSTITUTE(SUBSTITUTE(SUBSTITUTE(SUBSTITUTE(SUBSTITUTE(SUBSTITUTE(SUBSTITUTE(SUBSTITUTE(SUBSTITUTE(SUBSTITUTE(SUBSTITUTE(SUBSTITUTE(TRIM($D489),"'",""),"İ","I"),"ı","I"),"i","I"),"Ş","S"),"ş","S"),"Ğ","G"),"ğ","G"),"Ü","U"),"ü","U"),"Ö","O"),"ö","O"),"Ç","C"),"ç","C"),".",""),",","")," ",""),"-","")))</f>
        <v/>
      </c>
      <c r="S489" s="3">
        <f>IF($D489="","",$C489&amp;"|"&amp;TEXT($E489,"0")&amp;"|"&amp;TEXT($F489,"0")&amp;"|"&amp;$I489)</f>
        <v/>
      </c>
      <c r="T489" s="3">
        <f>IF($E489="",0,SUMPRODUCT((AY_SONU!$O$7:$O$42="Evet")*(AY_SONU!$B$7:$B$42=DATE(YEAR($E489),MONTH($E489),1))))</f>
        <v/>
      </c>
    </row>
    <row r="490">
      <c r="A490" s="6" t="n"/>
      <c r="B490" s="113">
        <f>IF($D490="","","T"&amp;TEXT(ROW()-6,"00000"))</f>
        <v/>
      </c>
      <c r="C490" s="113">
        <f>IF($D490="","",IFERROR(INDEX(MUSTERILER!$B$7:$B$106,MATCH($R490,MUSTERILER!$T$7:$T$106,0)),IFERROR(INDEX(MUSTERILER!$B$7:$B$106,MATCH($D490,MUSTERILER!$B$7:$B$106,0)),IFERROR(INDEX(MUSTERILER!$B$7:$B$106,MATCH($R490&amp;"*",MUSTERILER!$T$7:$T$106,0)),"TANIMSIZ MÜŞTERİ"))))</f>
        <v/>
      </c>
      <c r="D490" s="109" t="inlineStr">
        <is>
          <t>ARMAN DİK</t>
        </is>
      </c>
      <c r="E490" s="220" t="n">
        <v>46245</v>
      </c>
      <c r="F490" s="221" t="n">
        <v>4000</v>
      </c>
      <c r="G490" s="108" t="inlineStr">
        <is>
          <t>MERKEZ KASA</t>
        </is>
      </c>
      <c r="H490" s="108" t="inlineStr">
        <is>
          <t>Nakit</t>
        </is>
      </c>
      <c r="I490" s="109" t="n"/>
      <c r="J490" s="109" t="inlineStr">
        <is>
          <t>HESAP BAKİYE MUTABAKATINDAN KASIM KAPANDI</t>
        </is>
      </c>
      <c r="K490" s="109" t="n"/>
      <c r="L490" s="226">
        <f>IF($E490="","",DATE(YEAR($E490),MONTH($E490),1))</f>
        <v/>
      </c>
      <c r="M490" s="113">
        <f>IF($D490="","",IF($C490="TANIMSIZ MÜŞTERİ","HATA",IF(OR($E490="",$F490&lt;=0,$G490=""),"EKSİK",IF($E490&gt;TODAY(),"İLERİ TARİH",IF(COUNTIF($S$7:$S$1506,$S490)&gt;1,"MÜKERRER?",IF($T490&gt;0,"KAPALI DÖNEM","UYGUN"))))))</f>
        <v/>
      </c>
      <c r="N490" s="121">
        <f>IF($C490="","",IF($C490="TANIMSIZ MÜŞTERİ","—",INDEX(MUSTERILER!$C$7:$C$106,MATCH($C490,MUSTERILER!$B$7:$B$106,0))))</f>
        <v/>
      </c>
      <c r="O490" s="6" t="n"/>
      <c r="P490" s="6" t="n"/>
      <c r="Q490" s="3">
        <f>IF($D490="","",$C490&amp;"|"&amp;COUNTIFS($C$7:$C490,$C490))</f>
        <v/>
      </c>
      <c r="R490" s="3">
        <f>IF($D490="","",UPPER(SUBSTITUTE(SUBSTITUTE(SUBSTITUTE(SUBSTITUTE(SUBSTITUTE(SUBSTITUTE(SUBSTITUTE(SUBSTITUTE(SUBSTITUTE(SUBSTITUTE(SUBSTITUTE(SUBSTITUTE(SUBSTITUTE(SUBSTITUTE(SUBSTITUTE(SUBSTITUTE(SUBSTITUTE(SUBSTITUTE(TRIM($D490),"'",""),"İ","I"),"ı","I"),"i","I"),"Ş","S"),"ş","S"),"Ğ","G"),"ğ","G"),"Ü","U"),"ü","U"),"Ö","O"),"ö","O"),"Ç","C"),"ç","C"),".",""),",","")," ",""),"-","")))</f>
        <v/>
      </c>
      <c r="S490" s="3">
        <f>IF($D490="","",$C490&amp;"|"&amp;TEXT($E490,"0")&amp;"|"&amp;TEXT($F490,"0")&amp;"|"&amp;$I490)</f>
        <v/>
      </c>
      <c r="T490" s="3">
        <f>IF($E490="",0,SUMPRODUCT((AY_SONU!$O$7:$O$42="Evet")*(AY_SONU!$B$7:$B$42=DATE(YEAR($E490),MONTH($E490),1))))</f>
        <v/>
      </c>
    </row>
    <row r="491">
      <c r="A491" s="6" t="n"/>
      <c r="B491" s="113">
        <f>IF($D491="","","T"&amp;TEXT(ROW()-6,"00000"))</f>
        <v/>
      </c>
      <c r="C491" s="113">
        <f>IF($D491="","",IFERROR(INDEX(MUSTERILER!$B$7:$B$106,MATCH($R491,MUSTERILER!$T$7:$T$106,0)),IFERROR(INDEX(MUSTERILER!$B$7:$B$106,MATCH($D491,MUSTERILER!$B$7:$B$106,0)),IFERROR(INDEX(MUSTERILER!$B$7:$B$106,MATCH($R491&amp;"*",MUSTERILER!$T$7:$T$106,0)),"TANIMSIZ MÜŞTERİ"))))</f>
        <v/>
      </c>
      <c r="D491" s="109" t="inlineStr">
        <is>
          <t>AC OTEL LTD.ŞTİ.</t>
        </is>
      </c>
      <c r="E491" s="220" t="n">
        <v>46249</v>
      </c>
      <c r="F491" s="221" t="n">
        <v>5000</v>
      </c>
      <c r="G491" s="108" t="inlineStr">
        <is>
          <t>MERKEZ KASA</t>
        </is>
      </c>
      <c r="H491" s="108" t="inlineStr">
        <is>
          <t>Nakit</t>
        </is>
      </c>
      <c r="I491" s="109" t="n"/>
      <c r="J491" s="109" t="inlineStr">
        <is>
          <t>NAKİT ÖDENEN</t>
        </is>
      </c>
      <c r="K491" s="109" t="n"/>
      <c r="L491" s="226">
        <f>IF($E491="","",DATE(YEAR($E491),MONTH($E491),1))</f>
        <v/>
      </c>
      <c r="M491" s="113">
        <f>IF($D491="","",IF($C491="TANIMSIZ MÜŞTERİ","HATA",IF(OR($E491="",$F491&lt;=0,$G491=""),"EKSİK",IF($E491&gt;TODAY(),"İLERİ TARİH",IF(COUNTIF($S$7:$S$1506,$S491)&gt;1,"MÜKERRER?",IF($T491&gt;0,"KAPALI DÖNEM","UYGUN"))))))</f>
        <v/>
      </c>
      <c r="N491" s="121">
        <f>IF($C491="","",IF($C491="TANIMSIZ MÜŞTERİ","—",INDEX(MUSTERILER!$C$7:$C$106,MATCH($C491,MUSTERILER!$B$7:$B$106,0))))</f>
        <v/>
      </c>
      <c r="O491" s="6" t="n"/>
      <c r="P491" s="6" t="n"/>
      <c r="Q491" s="3">
        <f>IF($D491="","",$C491&amp;"|"&amp;COUNTIFS($C$7:$C491,$C491))</f>
        <v/>
      </c>
      <c r="R491" s="3">
        <f>IF($D491="","",UPPER(SUBSTITUTE(SUBSTITUTE(SUBSTITUTE(SUBSTITUTE(SUBSTITUTE(SUBSTITUTE(SUBSTITUTE(SUBSTITUTE(SUBSTITUTE(SUBSTITUTE(SUBSTITUTE(SUBSTITUTE(SUBSTITUTE(SUBSTITUTE(SUBSTITUTE(SUBSTITUTE(SUBSTITUTE(SUBSTITUTE(TRIM($D491),"'",""),"İ","I"),"ı","I"),"i","I"),"Ş","S"),"ş","S"),"Ğ","G"),"ğ","G"),"Ü","U"),"ü","U"),"Ö","O"),"ö","O"),"Ç","C"),"ç","C"),".",""),",","")," ",""),"-","")))</f>
        <v/>
      </c>
      <c r="S491" s="3">
        <f>IF($D491="","",$C491&amp;"|"&amp;TEXT($E491,"0")&amp;"|"&amp;TEXT($F491,"0")&amp;"|"&amp;$I491)</f>
        <v/>
      </c>
      <c r="T491" s="3">
        <f>IF($E491="",0,SUMPRODUCT((AY_SONU!$O$7:$O$42="Evet")*(AY_SONU!$B$7:$B$42=DATE(YEAR($E491),MONTH($E491),1))))</f>
        <v/>
      </c>
    </row>
    <row r="492">
      <c r="A492" s="6" t="n"/>
      <c r="B492" s="113">
        <f>IF($D492="","","T"&amp;TEXT(ROW()-6,"00000"))</f>
        <v/>
      </c>
      <c r="C492" s="113">
        <f>IF($D492="","",IFERROR(INDEX(MUSTERILER!$B$7:$B$106,MATCH($R492,MUSTERILER!$T$7:$T$106,0)),IFERROR(INDEX(MUSTERILER!$B$7:$B$106,MATCH($D492,MUSTERILER!$B$7:$B$106,0)),IFERROR(INDEX(MUSTERILER!$B$7:$B$106,MATCH($R492&amp;"*",MUSTERILER!$T$7:$T$106,0)),"TANIMSIZ MÜŞTERİ"))))</f>
        <v/>
      </c>
      <c r="D492" s="109" t="inlineStr">
        <is>
          <t>Ankara Havana Ltd.Şti.</t>
        </is>
      </c>
      <c r="E492" s="220" t="n">
        <v>46249</v>
      </c>
      <c r="F492" s="221" t="n">
        <v>4000</v>
      </c>
      <c r="G492" s="108" t="inlineStr">
        <is>
          <t>MERKEZ KASA</t>
        </is>
      </c>
      <c r="H492" s="108" t="inlineStr">
        <is>
          <t>Nakit</t>
        </is>
      </c>
      <c r="I492" s="109" t="n"/>
      <c r="J492" s="109" t="inlineStr">
        <is>
          <t>NAKİT ÖDENEN</t>
        </is>
      </c>
      <c r="K492" s="109" t="n"/>
      <c r="L492" s="226">
        <f>IF($E492="","",DATE(YEAR($E492),MONTH($E492),1))</f>
        <v/>
      </c>
      <c r="M492" s="113">
        <f>IF($D492="","",IF($C492="TANIMSIZ MÜŞTERİ","HATA",IF(OR($E492="",$F492&lt;=0,$G492=""),"EKSİK",IF($E492&gt;TODAY(),"İLERİ TARİH",IF(COUNTIF($S$7:$S$1506,$S492)&gt;1,"MÜKERRER?",IF($T492&gt;0,"KAPALI DÖNEM","UYGUN"))))))</f>
        <v/>
      </c>
      <c r="N492" s="121">
        <f>IF($C492="","",IF($C492="TANIMSIZ MÜŞTERİ","—",INDEX(MUSTERILER!$C$7:$C$106,MATCH($C492,MUSTERILER!$B$7:$B$106,0))))</f>
        <v/>
      </c>
      <c r="O492" s="6" t="n"/>
      <c r="P492" s="6" t="n"/>
      <c r="Q492" s="3">
        <f>IF($D492="","",$C492&amp;"|"&amp;COUNTIFS($C$7:$C492,$C492))</f>
        <v/>
      </c>
      <c r="R492" s="3">
        <f>IF($D492="","",UPPER(SUBSTITUTE(SUBSTITUTE(SUBSTITUTE(SUBSTITUTE(SUBSTITUTE(SUBSTITUTE(SUBSTITUTE(SUBSTITUTE(SUBSTITUTE(SUBSTITUTE(SUBSTITUTE(SUBSTITUTE(SUBSTITUTE(SUBSTITUTE(SUBSTITUTE(SUBSTITUTE(SUBSTITUTE(SUBSTITUTE(TRIM($D492),"'",""),"İ","I"),"ı","I"),"i","I"),"Ş","S"),"ş","S"),"Ğ","G"),"ğ","G"),"Ü","U"),"ü","U"),"Ö","O"),"ö","O"),"Ç","C"),"ç","C"),".",""),",","")," ",""),"-","")))</f>
        <v/>
      </c>
      <c r="S492" s="3">
        <f>IF($D492="","",$C492&amp;"|"&amp;TEXT($E492,"0")&amp;"|"&amp;TEXT($F492,"0")&amp;"|"&amp;$I492)</f>
        <v/>
      </c>
      <c r="T492" s="3">
        <f>IF($E492="",0,SUMPRODUCT((AY_SONU!$O$7:$O$42="Evet")*(AY_SONU!$B$7:$B$42=DATE(YEAR($E492),MONTH($E492),1))))</f>
        <v/>
      </c>
    </row>
    <row r="493">
      <c r="A493" s="6" t="n"/>
      <c r="B493" s="113">
        <f>IF($D493="","","T"&amp;TEXT(ROW()-6,"00000"))</f>
        <v/>
      </c>
      <c r="C493" s="113">
        <f>IF($D493="","",IFERROR(INDEX(MUSTERILER!$B$7:$B$106,MATCH($R493,MUSTERILER!$T$7:$T$106,0)),IFERROR(INDEX(MUSTERILER!$B$7:$B$106,MATCH($D493,MUSTERILER!$B$7:$B$106,0)),IFERROR(INDEX(MUSTERILER!$B$7:$B$106,MATCH($R493&amp;"*",MUSTERILER!$T$7:$T$106,0)),"TANIMSIZ MÜŞTERİ"))))</f>
        <v/>
      </c>
      <c r="D493" s="109" t="inlineStr">
        <is>
          <t>ASIM AÇIKGÖZ</t>
        </is>
      </c>
      <c r="E493" s="220" t="n">
        <v>46249</v>
      </c>
      <c r="F493" s="221" t="n">
        <v>2000</v>
      </c>
      <c r="G493" s="108" t="inlineStr">
        <is>
          <t>MERKEZ KASA</t>
        </is>
      </c>
      <c r="H493" s="108" t="inlineStr">
        <is>
          <t>Nakit</t>
        </is>
      </c>
      <c r="I493" s="109" t="n"/>
      <c r="J493" s="109" t="inlineStr">
        <is>
          <t>NAKİT ÖDENEN</t>
        </is>
      </c>
      <c r="K493" s="109" t="n"/>
      <c r="L493" s="226">
        <f>IF($E493="","",DATE(YEAR($E493),MONTH($E493),1))</f>
        <v/>
      </c>
      <c r="M493" s="113">
        <f>IF($D493="","",IF($C493="TANIMSIZ MÜŞTERİ","HATA",IF(OR($E493="",$F493&lt;=0,$G493=""),"EKSİK",IF($E493&gt;TODAY(),"İLERİ TARİH",IF(COUNTIF($S$7:$S$1506,$S493)&gt;1,"MÜKERRER?",IF($T493&gt;0,"KAPALI DÖNEM","UYGUN"))))))</f>
        <v/>
      </c>
      <c r="N493" s="121">
        <f>IF($C493="","",IF($C493="TANIMSIZ MÜŞTERİ","—",INDEX(MUSTERILER!$C$7:$C$106,MATCH($C493,MUSTERILER!$B$7:$B$106,0))))</f>
        <v/>
      </c>
      <c r="O493" s="6" t="n"/>
      <c r="P493" s="6" t="n"/>
      <c r="Q493" s="3">
        <f>IF($D493="","",$C493&amp;"|"&amp;COUNTIFS($C$7:$C493,$C493))</f>
        <v/>
      </c>
      <c r="R493" s="3">
        <f>IF($D493="","",UPPER(SUBSTITUTE(SUBSTITUTE(SUBSTITUTE(SUBSTITUTE(SUBSTITUTE(SUBSTITUTE(SUBSTITUTE(SUBSTITUTE(SUBSTITUTE(SUBSTITUTE(SUBSTITUTE(SUBSTITUTE(SUBSTITUTE(SUBSTITUTE(SUBSTITUTE(SUBSTITUTE(SUBSTITUTE(SUBSTITUTE(TRIM($D493),"'",""),"İ","I"),"ı","I"),"i","I"),"Ş","S"),"ş","S"),"Ğ","G"),"ğ","G"),"Ü","U"),"ü","U"),"Ö","O"),"ö","O"),"Ç","C"),"ç","C"),".",""),",","")," ",""),"-","")))</f>
        <v/>
      </c>
      <c r="S493" s="3">
        <f>IF($D493="","",$C493&amp;"|"&amp;TEXT($E493,"0")&amp;"|"&amp;TEXT($F493,"0")&amp;"|"&amp;$I493)</f>
        <v/>
      </c>
      <c r="T493" s="3">
        <f>IF($E493="",0,SUMPRODUCT((AY_SONU!$O$7:$O$42="Evet")*(AY_SONU!$B$7:$B$42=DATE(YEAR($E493),MONTH($E493),1))))</f>
        <v/>
      </c>
    </row>
    <row r="494">
      <c r="A494" s="6" t="n"/>
      <c r="B494" s="113">
        <f>IF($D494="","","T"&amp;TEXT(ROW()-6,"00000"))</f>
        <v/>
      </c>
      <c r="C494" s="113">
        <f>IF($D494="","",IFERROR(INDEX(MUSTERILER!$B$7:$B$106,MATCH($R494,MUSTERILER!$T$7:$T$106,0)),IFERROR(INDEX(MUSTERILER!$B$7:$B$106,MATCH($D494,MUSTERILER!$B$7:$B$106,0)),IFERROR(INDEX(MUSTERILER!$B$7:$B$106,MATCH($R494&amp;"*",MUSTERILER!$T$7:$T$106,0)),"TANIMSIZ MÜŞTERİ"))))</f>
        <v/>
      </c>
      <c r="D494" s="109" t="inlineStr">
        <is>
          <t>ASM EĞLENCE LTD.ŞTİ.</t>
        </is>
      </c>
      <c r="E494" s="220" t="n">
        <v>46249</v>
      </c>
      <c r="F494" s="221" t="n">
        <v>2500</v>
      </c>
      <c r="G494" s="108" t="inlineStr">
        <is>
          <t>MERKEZ KASA</t>
        </is>
      </c>
      <c r="H494" s="108" t="inlineStr">
        <is>
          <t>Nakit</t>
        </is>
      </c>
      <c r="I494" s="109" t="n"/>
      <c r="J494" s="109" t="inlineStr">
        <is>
          <t>NAKİT ÖDENEN</t>
        </is>
      </c>
      <c r="K494" s="109" t="n"/>
      <c r="L494" s="226">
        <f>IF($E494="","",DATE(YEAR($E494),MONTH($E494),1))</f>
        <v/>
      </c>
      <c r="M494" s="113">
        <f>IF($D494="","",IF($C494="TANIMSIZ MÜŞTERİ","HATA",IF(OR($E494="",$F494&lt;=0,$G494=""),"EKSİK",IF($E494&gt;TODAY(),"İLERİ TARİH",IF(COUNTIF($S$7:$S$1506,$S494)&gt;1,"MÜKERRER?",IF($T494&gt;0,"KAPALI DÖNEM","UYGUN"))))))</f>
        <v/>
      </c>
      <c r="N494" s="121">
        <f>IF($C494="","",IF($C494="TANIMSIZ MÜŞTERİ","—",INDEX(MUSTERILER!$C$7:$C$106,MATCH($C494,MUSTERILER!$B$7:$B$106,0))))</f>
        <v/>
      </c>
      <c r="O494" s="6" t="n"/>
      <c r="P494" s="6" t="n"/>
      <c r="Q494" s="3">
        <f>IF($D494="","",$C494&amp;"|"&amp;COUNTIFS($C$7:$C494,$C494))</f>
        <v/>
      </c>
      <c r="R494" s="3">
        <f>IF($D494="","",UPPER(SUBSTITUTE(SUBSTITUTE(SUBSTITUTE(SUBSTITUTE(SUBSTITUTE(SUBSTITUTE(SUBSTITUTE(SUBSTITUTE(SUBSTITUTE(SUBSTITUTE(SUBSTITUTE(SUBSTITUTE(SUBSTITUTE(SUBSTITUTE(SUBSTITUTE(SUBSTITUTE(SUBSTITUTE(SUBSTITUTE(TRIM($D494),"'",""),"İ","I"),"ı","I"),"i","I"),"Ş","S"),"ş","S"),"Ğ","G"),"ğ","G"),"Ü","U"),"ü","U"),"Ö","O"),"ö","O"),"Ç","C"),"ç","C"),".",""),",","")," ",""),"-","")))</f>
        <v/>
      </c>
      <c r="S494" s="3">
        <f>IF($D494="","",$C494&amp;"|"&amp;TEXT($E494,"0")&amp;"|"&amp;TEXT($F494,"0")&amp;"|"&amp;$I494)</f>
        <v/>
      </c>
      <c r="T494" s="3">
        <f>IF($E494="",0,SUMPRODUCT((AY_SONU!$O$7:$O$42="Evet")*(AY_SONU!$B$7:$B$42=DATE(YEAR($E494),MONTH($E494),1))))</f>
        <v/>
      </c>
    </row>
    <row r="495">
      <c r="A495" s="6" t="n"/>
      <c r="B495" s="113">
        <f>IF($D495="","","T"&amp;TEXT(ROW()-6,"00000"))</f>
        <v/>
      </c>
      <c r="C495" s="113">
        <f>IF($D495="","",IFERROR(INDEX(MUSTERILER!$B$7:$B$106,MATCH($R495,MUSTERILER!$T$7:$T$106,0)),IFERROR(INDEX(MUSTERILER!$B$7:$B$106,MATCH($D495,MUSTERILER!$B$7:$B$106,0)),IFERROR(INDEX(MUSTERILER!$B$7:$B$106,MATCH($R495&amp;"*",MUSTERILER!$T$7:$T$106,0)),"TANIMSIZ MÜŞTERİ"))))</f>
        <v/>
      </c>
      <c r="D495" s="109" t="inlineStr">
        <is>
          <t>Çayıralan Ltd.Şti.</t>
        </is>
      </c>
      <c r="E495" s="220" t="n">
        <v>46249</v>
      </c>
      <c r="F495" s="221" t="n">
        <v>5500</v>
      </c>
      <c r="G495" s="108" t="inlineStr">
        <is>
          <t>MERKEZ KASA</t>
        </is>
      </c>
      <c r="H495" s="108" t="inlineStr">
        <is>
          <t>Nakit</t>
        </is>
      </c>
      <c r="I495" s="109" t="n"/>
      <c r="J495" s="109" t="inlineStr">
        <is>
          <t>NAKİT ÖDENEN</t>
        </is>
      </c>
      <c r="K495" s="109" t="n"/>
      <c r="L495" s="226">
        <f>IF($E495="","",DATE(YEAR($E495),MONTH($E495),1))</f>
        <v/>
      </c>
      <c r="M495" s="113">
        <f>IF($D495="","",IF($C495="TANIMSIZ MÜŞTERİ","HATA",IF(OR($E495="",$F495&lt;=0,$G495=""),"EKSİK",IF($E495&gt;TODAY(),"İLERİ TARİH",IF(COUNTIF($S$7:$S$1506,$S495)&gt;1,"MÜKERRER?",IF($T495&gt;0,"KAPALI DÖNEM","UYGUN"))))))</f>
        <v/>
      </c>
      <c r="N495" s="121">
        <f>IF($C495="","",IF($C495="TANIMSIZ MÜŞTERİ","—",INDEX(MUSTERILER!$C$7:$C$106,MATCH($C495,MUSTERILER!$B$7:$B$106,0))))</f>
        <v/>
      </c>
      <c r="O495" s="6" t="n"/>
      <c r="P495" s="6" t="n"/>
      <c r="Q495" s="3">
        <f>IF($D495="","",$C495&amp;"|"&amp;COUNTIFS($C$7:$C495,$C495))</f>
        <v/>
      </c>
      <c r="R495" s="3">
        <f>IF($D495="","",UPPER(SUBSTITUTE(SUBSTITUTE(SUBSTITUTE(SUBSTITUTE(SUBSTITUTE(SUBSTITUTE(SUBSTITUTE(SUBSTITUTE(SUBSTITUTE(SUBSTITUTE(SUBSTITUTE(SUBSTITUTE(SUBSTITUTE(SUBSTITUTE(SUBSTITUTE(SUBSTITUTE(SUBSTITUTE(SUBSTITUTE(TRIM($D495),"'",""),"İ","I"),"ı","I"),"i","I"),"Ş","S"),"ş","S"),"Ğ","G"),"ğ","G"),"Ü","U"),"ü","U"),"Ö","O"),"ö","O"),"Ç","C"),"ç","C"),".",""),",","")," ",""),"-","")))</f>
        <v/>
      </c>
      <c r="S495" s="3">
        <f>IF($D495="","",$C495&amp;"|"&amp;TEXT($E495,"0")&amp;"|"&amp;TEXT($F495,"0")&amp;"|"&amp;$I495)</f>
        <v/>
      </c>
      <c r="T495" s="3">
        <f>IF($E495="",0,SUMPRODUCT((AY_SONU!$O$7:$O$42="Evet")*(AY_SONU!$B$7:$B$42=DATE(YEAR($E495),MONTH($E495),1))))</f>
        <v/>
      </c>
    </row>
    <row r="496">
      <c r="A496" s="6" t="n"/>
      <c r="B496" s="113">
        <f>IF($D496="","","T"&amp;TEXT(ROW()-6,"00000"))</f>
        <v/>
      </c>
      <c r="C496" s="113">
        <f>IF($D496="","",IFERROR(INDEX(MUSTERILER!$B$7:$B$106,MATCH($R496,MUSTERILER!$T$7:$T$106,0)),IFERROR(INDEX(MUSTERILER!$B$7:$B$106,MATCH($D496,MUSTERILER!$B$7:$B$106,0)),IFERROR(INDEX(MUSTERILER!$B$7:$B$106,MATCH($R496&amp;"*",MUSTERILER!$T$7:$T$106,0)),"TANIMSIZ MÜŞTERİ"))))</f>
        <v/>
      </c>
      <c r="D496" s="109" t="inlineStr">
        <is>
          <t>Eğlengör Ltd.Şti.</t>
        </is>
      </c>
      <c r="E496" s="220" t="n">
        <v>46249</v>
      </c>
      <c r="F496" s="221" t="n">
        <v>4000</v>
      </c>
      <c r="G496" s="108" t="inlineStr">
        <is>
          <t>MERKEZ KASA</t>
        </is>
      </c>
      <c r="H496" s="108" t="inlineStr">
        <is>
          <t>Nakit</t>
        </is>
      </c>
      <c r="I496" s="109" t="n"/>
      <c r="J496" s="109" t="inlineStr">
        <is>
          <t>NAKİT ÖDENEN</t>
        </is>
      </c>
      <c r="K496" s="109" t="n"/>
      <c r="L496" s="226">
        <f>IF($E496="","",DATE(YEAR($E496),MONTH($E496),1))</f>
        <v/>
      </c>
      <c r="M496" s="113">
        <f>IF($D496="","",IF($C496="TANIMSIZ MÜŞTERİ","HATA",IF(OR($E496="",$F496&lt;=0,$G496=""),"EKSİK",IF($E496&gt;TODAY(),"İLERİ TARİH",IF(COUNTIF($S$7:$S$1506,$S496)&gt;1,"MÜKERRER?",IF($T496&gt;0,"KAPALI DÖNEM","UYGUN"))))))</f>
        <v/>
      </c>
      <c r="N496" s="121">
        <f>IF($C496="","",IF($C496="TANIMSIZ MÜŞTERİ","—",INDEX(MUSTERILER!$C$7:$C$106,MATCH($C496,MUSTERILER!$B$7:$B$106,0))))</f>
        <v/>
      </c>
      <c r="O496" s="6" t="n"/>
      <c r="P496" s="6" t="n"/>
      <c r="Q496" s="3">
        <f>IF($D496="","",$C496&amp;"|"&amp;COUNTIFS($C$7:$C496,$C496))</f>
        <v/>
      </c>
      <c r="R496" s="3">
        <f>IF($D496="","",UPPER(SUBSTITUTE(SUBSTITUTE(SUBSTITUTE(SUBSTITUTE(SUBSTITUTE(SUBSTITUTE(SUBSTITUTE(SUBSTITUTE(SUBSTITUTE(SUBSTITUTE(SUBSTITUTE(SUBSTITUTE(SUBSTITUTE(SUBSTITUTE(SUBSTITUTE(SUBSTITUTE(SUBSTITUTE(SUBSTITUTE(TRIM($D496),"'",""),"İ","I"),"ı","I"),"i","I"),"Ş","S"),"ş","S"),"Ğ","G"),"ğ","G"),"Ü","U"),"ü","U"),"Ö","O"),"ö","O"),"Ç","C"),"ç","C"),".",""),",","")," ",""),"-","")))</f>
        <v/>
      </c>
      <c r="S496" s="3">
        <f>IF($D496="","",$C496&amp;"|"&amp;TEXT($E496,"0")&amp;"|"&amp;TEXT($F496,"0")&amp;"|"&amp;$I496)</f>
        <v/>
      </c>
      <c r="T496" s="3">
        <f>IF($E496="",0,SUMPRODUCT((AY_SONU!$O$7:$O$42="Evet")*(AY_SONU!$B$7:$B$42=DATE(YEAR($E496),MONTH($E496),1))))</f>
        <v/>
      </c>
    </row>
    <row r="497">
      <c r="A497" s="6" t="n"/>
      <c r="B497" s="113">
        <f>IF($D497="","","T"&amp;TEXT(ROW()-6,"00000"))</f>
        <v/>
      </c>
      <c r="C497" s="113">
        <f>IF($D497="","",IFERROR(INDEX(MUSTERILER!$B$7:$B$106,MATCH($R497,MUSTERILER!$T$7:$T$106,0)),IFERROR(INDEX(MUSTERILER!$B$7:$B$106,MATCH($D497,MUSTERILER!$B$7:$B$106,0)),IFERROR(INDEX(MUSTERILER!$B$7:$B$106,MATCH($R497&amp;"*",MUSTERILER!$T$7:$T$106,0)),"TANIMSIZ MÜŞTERİ"))))</f>
        <v/>
      </c>
      <c r="D497" s="109" t="inlineStr">
        <is>
          <t>Final Siyah Beyaz Ltd.Şti.</t>
        </is>
      </c>
      <c r="E497" s="220" t="n">
        <v>46249</v>
      </c>
      <c r="F497" s="221" t="n">
        <v>12000</v>
      </c>
      <c r="G497" s="108" t="inlineStr">
        <is>
          <t>MERKEZ KASA</t>
        </is>
      </c>
      <c r="H497" s="108" t="inlineStr">
        <is>
          <t>Nakit</t>
        </is>
      </c>
      <c r="I497" s="109" t="n"/>
      <c r="J497" s="109" t="inlineStr">
        <is>
          <t>NAKİT ÖDENEN</t>
        </is>
      </c>
      <c r="K497" s="109" t="n"/>
      <c r="L497" s="226">
        <f>IF($E497="","",DATE(YEAR($E497),MONTH($E497),1))</f>
        <v/>
      </c>
      <c r="M497" s="113">
        <f>IF($D497="","",IF($C497="TANIMSIZ MÜŞTERİ","HATA",IF(OR($E497="",$F497&lt;=0,$G497=""),"EKSİK",IF($E497&gt;TODAY(),"İLERİ TARİH",IF(COUNTIF($S$7:$S$1506,$S497)&gt;1,"MÜKERRER?",IF($T497&gt;0,"KAPALI DÖNEM","UYGUN"))))))</f>
        <v/>
      </c>
      <c r="N497" s="121">
        <f>IF($C497="","",IF($C497="TANIMSIZ MÜŞTERİ","—",INDEX(MUSTERILER!$C$7:$C$106,MATCH($C497,MUSTERILER!$B$7:$B$106,0))))</f>
        <v/>
      </c>
      <c r="O497" s="6" t="n"/>
      <c r="P497" s="6" t="n"/>
      <c r="Q497" s="3">
        <f>IF($D497="","",$C497&amp;"|"&amp;COUNTIFS($C$7:$C497,$C497))</f>
        <v/>
      </c>
      <c r="R497" s="3">
        <f>IF($D497="","",UPPER(SUBSTITUTE(SUBSTITUTE(SUBSTITUTE(SUBSTITUTE(SUBSTITUTE(SUBSTITUTE(SUBSTITUTE(SUBSTITUTE(SUBSTITUTE(SUBSTITUTE(SUBSTITUTE(SUBSTITUTE(SUBSTITUTE(SUBSTITUTE(SUBSTITUTE(SUBSTITUTE(SUBSTITUTE(SUBSTITUTE(TRIM($D497),"'",""),"İ","I"),"ı","I"),"i","I"),"Ş","S"),"ş","S"),"Ğ","G"),"ğ","G"),"Ü","U"),"ü","U"),"Ö","O"),"ö","O"),"Ç","C"),"ç","C"),".",""),",","")," ",""),"-","")))</f>
        <v/>
      </c>
      <c r="S497" s="3">
        <f>IF($D497="","",$C497&amp;"|"&amp;TEXT($E497,"0")&amp;"|"&amp;TEXT($F497,"0")&amp;"|"&amp;$I497)</f>
        <v/>
      </c>
      <c r="T497" s="3">
        <f>IF($E497="",0,SUMPRODUCT((AY_SONU!$O$7:$O$42="Evet")*(AY_SONU!$B$7:$B$42=DATE(YEAR($E497),MONTH($E497),1))))</f>
        <v/>
      </c>
    </row>
    <row r="498">
      <c r="A498" s="6" t="n"/>
      <c r="B498" s="113">
        <f>IF($D498="","","T"&amp;TEXT(ROW()-6,"00000"))</f>
        <v/>
      </c>
      <c r="C498" s="113">
        <f>IF($D498="","",IFERROR(INDEX(MUSTERILER!$B$7:$B$106,MATCH($R498,MUSTERILER!$T$7:$T$106,0)),IFERROR(INDEX(MUSTERILER!$B$7:$B$106,MATCH($D498,MUSTERILER!$B$7:$B$106,0)),IFERROR(INDEX(MUSTERILER!$B$7:$B$106,MATCH($R498&amp;"*",MUSTERILER!$T$7:$T$106,0)),"TANIMSIZ MÜŞTERİ"))))</f>
        <v/>
      </c>
      <c r="D498" s="109" t="inlineStr">
        <is>
          <t>İldeş Ltd.Şti.</t>
        </is>
      </c>
      <c r="E498" s="220" t="n">
        <v>46249</v>
      </c>
      <c r="F498" s="221" t="n">
        <v>4000</v>
      </c>
      <c r="G498" s="108" t="inlineStr">
        <is>
          <t>MERKEZ KASA</t>
        </is>
      </c>
      <c r="H498" s="108" t="inlineStr">
        <is>
          <t>Nakit</t>
        </is>
      </c>
      <c r="I498" s="109" t="n"/>
      <c r="J498" s="109" t="inlineStr">
        <is>
          <t>NAKİT ÖDENEN</t>
        </is>
      </c>
      <c r="K498" s="109" t="n"/>
      <c r="L498" s="226">
        <f>IF($E498="","",DATE(YEAR($E498),MONTH($E498),1))</f>
        <v/>
      </c>
      <c r="M498" s="113">
        <f>IF($D498="","",IF($C498="TANIMSIZ MÜŞTERİ","HATA",IF(OR($E498="",$F498&lt;=0,$G498=""),"EKSİK",IF($E498&gt;TODAY(),"İLERİ TARİH",IF(COUNTIF($S$7:$S$1506,$S498)&gt;1,"MÜKERRER?",IF($T498&gt;0,"KAPALI DÖNEM","UYGUN"))))))</f>
        <v/>
      </c>
      <c r="N498" s="121">
        <f>IF($C498="","",IF($C498="TANIMSIZ MÜŞTERİ","—",INDEX(MUSTERILER!$C$7:$C$106,MATCH($C498,MUSTERILER!$B$7:$B$106,0))))</f>
        <v/>
      </c>
      <c r="O498" s="6" t="n"/>
      <c r="P498" s="6" t="n"/>
      <c r="Q498" s="3">
        <f>IF($D498="","",$C498&amp;"|"&amp;COUNTIFS($C$7:$C498,$C498))</f>
        <v/>
      </c>
      <c r="R498" s="3">
        <f>IF($D498="","",UPPER(SUBSTITUTE(SUBSTITUTE(SUBSTITUTE(SUBSTITUTE(SUBSTITUTE(SUBSTITUTE(SUBSTITUTE(SUBSTITUTE(SUBSTITUTE(SUBSTITUTE(SUBSTITUTE(SUBSTITUTE(SUBSTITUTE(SUBSTITUTE(SUBSTITUTE(SUBSTITUTE(SUBSTITUTE(SUBSTITUTE(TRIM($D498),"'",""),"İ","I"),"ı","I"),"i","I"),"Ş","S"),"ş","S"),"Ğ","G"),"ğ","G"),"Ü","U"),"ü","U"),"Ö","O"),"ö","O"),"Ç","C"),"ç","C"),".",""),",","")," ",""),"-","")))</f>
        <v/>
      </c>
      <c r="S498" s="3">
        <f>IF($D498="","",$C498&amp;"|"&amp;TEXT($E498,"0")&amp;"|"&amp;TEXT($F498,"0")&amp;"|"&amp;$I498)</f>
        <v/>
      </c>
      <c r="T498" s="3">
        <f>IF($E498="",0,SUMPRODUCT((AY_SONU!$O$7:$O$42="Evet")*(AY_SONU!$B$7:$B$42=DATE(YEAR($E498),MONTH($E498),1))))</f>
        <v/>
      </c>
    </row>
    <row r="499">
      <c r="A499" s="6" t="n"/>
      <c r="B499" s="113">
        <f>IF($D499="","","T"&amp;TEXT(ROW()-6,"00000"))</f>
        <v/>
      </c>
      <c r="C499" s="113">
        <f>IF($D499="","",IFERROR(INDEX(MUSTERILER!$B$7:$B$106,MATCH($R499,MUSTERILER!$T$7:$T$106,0)),IFERROR(INDEX(MUSTERILER!$B$7:$B$106,MATCH($D499,MUSTERILER!$B$7:$B$106,0)),IFERROR(INDEX(MUSTERILER!$B$7:$B$106,MATCH($R499&amp;"*",MUSTERILER!$T$7:$T$106,0)),"TANIMSIZ MÜŞTERİ"))))</f>
        <v/>
      </c>
      <c r="D499" s="109" t="inlineStr">
        <is>
          <t>Monamour Ltd.Şti.</t>
        </is>
      </c>
      <c r="E499" s="220" t="n">
        <v>46249</v>
      </c>
      <c r="F499" s="221" t="n">
        <v>3500</v>
      </c>
      <c r="G499" s="108" t="inlineStr">
        <is>
          <t>MERKEZ KASA</t>
        </is>
      </c>
      <c r="H499" s="108" t="inlineStr">
        <is>
          <t>Nakit</t>
        </is>
      </c>
      <c r="I499" s="109" t="n"/>
      <c r="J499" s="109" t="inlineStr">
        <is>
          <t>NAKİT ÖDENEN</t>
        </is>
      </c>
      <c r="K499" s="109" t="n"/>
      <c r="L499" s="226">
        <f>IF($E499="","",DATE(YEAR($E499),MONTH($E499),1))</f>
        <v/>
      </c>
      <c r="M499" s="113">
        <f>IF($D499="","",IF($C499="TANIMSIZ MÜŞTERİ","HATA",IF(OR($E499="",$F499&lt;=0,$G499=""),"EKSİK",IF($E499&gt;TODAY(),"İLERİ TARİH",IF(COUNTIF($S$7:$S$1506,$S499)&gt;1,"MÜKERRER?",IF($T499&gt;0,"KAPALI DÖNEM","UYGUN"))))))</f>
        <v/>
      </c>
      <c r="N499" s="121">
        <f>IF($C499="","",IF($C499="TANIMSIZ MÜŞTERİ","—",INDEX(MUSTERILER!$C$7:$C$106,MATCH($C499,MUSTERILER!$B$7:$B$106,0))))</f>
        <v/>
      </c>
      <c r="O499" s="6" t="n"/>
      <c r="P499" s="6" t="n"/>
      <c r="Q499" s="3">
        <f>IF($D499="","",$C499&amp;"|"&amp;COUNTIFS($C$7:$C499,$C499))</f>
        <v/>
      </c>
      <c r="R499" s="3">
        <f>IF($D499="","",UPPER(SUBSTITUTE(SUBSTITUTE(SUBSTITUTE(SUBSTITUTE(SUBSTITUTE(SUBSTITUTE(SUBSTITUTE(SUBSTITUTE(SUBSTITUTE(SUBSTITUTE(SUBSTITUTE(SUBSTITUTE(SUBSTITUTE(SUBSTITUTE(SUBSTITUTE(SUBSTITUTE(SUBSTITUTE(SUBSTITUTE(TRIM($D499),"'",""),"İ","I"),"ı","I"),"i","I"),"Ş","S"),"ş","S"),"Ğ","G"),"ğ","G"),"Ü","U"),"ü","U"),"Ö","O"),"ö","O"),"Ç","C"),"ç","C"),".",""),",","")," ",""),"-","")))</f>
        <v/>
      </c>
      <c r="S499" s="3">
        <f>IF($D499="","",$C499&amp;"|"&amp;TEXT($E499,"0")&amp;"|"&amp;TEXT($F499,"0")&amp;"|"&amp;$I499)</f>
        <v/>
      </c>
      <c r="T499" s="3">
        <f>IF($E499="",0,SUMPRODUCT((AY_SONU!$O$7:$O$42="Evet")*(AY_SONU!$B$7:$B$42=DATE(YEAR($E499),MONTH($E499),1))))</f>
        <v/>
      </c>
    </row>
    <row r="500">
      <c r="A500" s="6" t="n"/>
      <c r="B500" s="113">
        <f>IF($D500="","","T"&amp;TEXT(ROW()-6,"00000"))</f>
        <v/>
      </c>
      <c r="C500" s="113">
        <f>IF($D500="","",IFERROR(INDEX(MUSTERILER!$B$7:$B$106,MATCH($R500,MUSTERILER!$T$7:$T$106,0)),IFERROR(INDEX(MUSTERILER!$B$7:$B$106,MATCH($D500,MUSTERILER!$B$7:$B$106,0)),IFERROR(INDEX(MUSTERILER!$B$7:$B$106,MATCH($R500&amp;"*",MUSTERILER!$T$7:$T$106,0)),"TANIMSIZ MÜŞTERİ"))))</f>
        <v/>
      </c>
      <c r="D500" s="109" t="inlineStr">
        <is>
          <t>Naz 1 Gıda Ltd.Şti.</t>
        </is>
      </c>
      <c r="E500" s="220" t="n">
        <v>46249</v>
      </c>
      <c r="F500" s="221" t="n">
        <v>4000</v>
      </c>
      <c r="G500" s="108" t="inlineStr">
        <is>
          <t>MERKEZ KASA</t>
        </is>
      </c>
      <c r="H500" s="108" t="inlineStr">
        <is>
          <t>Nakit</t>
        </is>
      </c>
      <c r="I500" s="109" t="n"/>
      <c r="J500" s="109" t="inlineStr">
        <is>
          <t>NAKİT ÖDENEN</t>
        </is>
      </c>
      <c r="K500" s="109" t="n"/>
      <c r="L500" s="226">
        <f>IF($E500="","",DATE(YEAR($E500),MONTH($E500),1))</f>
        <v/>
      </c>
      <c r="M500" s="113">
        <f>IF($D500="","",IF($C500="TANIMSIZ MÜŞTERİ","HATA",IF(OR($E500="",$F500&lt;=0,$G500=""),"EKSİK",IF($E500&gt;TODAY(),"İLERİ TARİH",IF(COUNTIF($S$7:$S$1506,$S500)&gt;1,"MÜKERRER?",IF($T500&gt;0,"KAPALI DÖNEM","UYGUN"))))))</f>
        <v/>
      </c>
      <c r="N500" s="121">
        <f>IF($C500="","",IF($C500="TANIMSIZ MÜŞTERİ","—",INDEX(MUSTERILER!$C$7:$C$106,MATCH($C500,MUSTERILER!$B$7:$B$106,0))))</f>
        <v/>
      </c>
      <c r="O500" s="6" t="n"/>
      <c r="P500" s="6" t="n"/>
      <c r="Q500" s="3">
        <f>IF($D500="","",$C500&amp;"|"&amp;COUNTIFS($C$7:$C500,$C500))</f>
        <v/>
      </c>
      <c r="R500" s="3">
        <f>IF($D500="","",UPPER(SUBSTITUTE(SUBSTITUTE(SUBSTITUTE(SUBSTITUTE(SUBSTITUTE(SUBSTITUTE(SUBSTITUTE(SUBSTITUTE(SUBSTITUTE(SUBSTITUTE(SUBSTITUTE(SUBSTITUTE(SUBSTITUTE(SUBSTITUTE(SUBSTITUTE(SUBSTITUTE(SUBSTITUTE(SUBSTITUTE(TRIM($D500),"'",""),"İ","I"),"ı","I"),"i","I"),"Ş","S"),"ş","S"),"Ğ","G"),"ğ","G"),"Ü","U"),"ü","U"),"Ö","O"),"ö","O"),"Ç","C"),"ç","C"),".",""),",","")," ",""),"-","")))</f>
        <v/>
      </c>
      <c r="S500" s="3">
        <f>IF($D500="","",$C500&amp;"|"&amp;TEXT($E500,"0")&amp;"|"&amp;TEXT($F500,"0")&amp;"|"&amp;$I500)</f>
        <v/>
      </c>
      <c r="T500" s="3">
        <f>IF($E500="",0,SUMPRODUCT((AY_SONU!$O$7:$O$42="Evet")*(AY_SONU!$B$7:$B$42=DATE(YEAR($E500),MONTH($E500),1))))</f>
        <v/>
      </c>
    </row>
    <row r="501">
      <c r="A501" s="6" t="n"/>
      <c r="B501" s="113">
        <f>IF($D501="","","T"&amp;TEXT(ROW()-6,"00000"))</f>
        <v/>
      </c>
      <c r="C501" s="113">
        <f>IF($D501="","",IFERROR(INDEX(MUSTERILER!$B$7:$B$106,MATCH($R501,MUSTERILER!$T$7:$T$106,0)),IFERROR(INDEX(MUSTERILER!$B$7:$B$106,MATCH($D501,MUSTERILER!$B$7:$B$106,0)),IFERROR(INDEX(MUSTERILER!$B$7:$B$106,MATCH($R501&amp;"*",MUSTERILER!$T$7:$T$106,0)),"TANIMSIZ MÜŞTERİ"))))</f>
        <v/>
      </c>
      <c r="D501" s="109" t="inlineStr">
        <is>
          <t>Pakyıldız Ltd.Şti.</t>
        </is>
      </c>
      <c r="E501" s="220" t="n">
        <v>46249</v>
      </c>
      <c r="F501" s="221" t="n">
        <v>4000</v>
      </c>
      <c r="G501" s="108" t="inlineStr">
        <is>
          <t>MERKEZ KASA</t>
        </is>
      </c>
      <c r="H501" s="108" t="inlineStr">
        <is>
          <t>Nakit</t>
        </is>
      </c>
      <c r="I501" s="109" t="n"/>
      <c r="J501" s="109" t="inlineStr">
        <is>
          <t>NAKİT ÖDENEN</t>
        </is>
      </c>
      <c r="K501" s="109" t="n"/>
      <c r="L501" s="226">
        <f>IF($E501="","",DATE(YEAR($E501),MONTH($E501),1))</f>
        <v/>
      </c>
      <c r="M501" s="113">
        <f>IF($D501="","",IF($C501="TANIMSIZ MÜŞTERİ","HATA",IF(OR($E501="",$F501&lt;=0,$G501=""),"EKSİK",IF($E501&gt;TODAY(),"İLERİ TARİH",IF(COUNTIF($S$7:$S$1506,$S501)&gt;1,"MÜKERRER?",IF($T501&gt;0,"KAPALI DÖNEM","UYGUN"))))))</f>
        <v/>
      </c>
      <c r="N501" s="121">
        <f>IF($C501="","",IF($C501="TANIMSIZ MÜŞTERİ","—",INDEX(MUSTERILER!$C$7:$C$106,MATCH($C501,MUSTERILER!$B$7:$B$106,0))))</f>
        <v/>
      </c>
      <c r="O501" s="6" t="n"/>
      <c r="P501" s="6" t="n"/>
      <c r="Q501" s="3">
        <f>IF($D501="","",$C501&amp;"|"&amp;COUNTIFS($C$7:$C501,$C501))</f>
        <v/>
      </c>
      <c r="R501" s="3">
        <f>IF($D501="","",UPPER(SUBSTITUTE(SUBSTITUTE(SUBSTITUTE(SUBSTITUTE(SUBSTITUTE(SUBSTITUTE(SUBSTITUTE(SUBSTITUTE(SUBSTITUTE(SUBSTITUTE(SUBSTITUTE(SUBSTITUTE(SUBSTITUTE(SUBSTITUTE(SUBSTITUTE(SUBSTITUTE(SUBSTITUTE(SUBSTITUTE(TRIM($D501),"'",""),"İ","I"),"ı","I"),"i","I"),"Ş","S"),"ş","S"),"Ğ","G"),"ğ","G"),"Ü","U"),"ü","U"),"Ö","O"),"ö","O"),"Ç","C"),"ç","C"),".",""),",","")," ",""),"-","")))</f>
        <v/>
      </c>
      <c r="S501" s="3">
        <f>IF($D501="","",$C501&amp;"|"&amp;TEXT($E501,"0")&amp;"|"&amp;TEXT($F501,"0")&amp;"|"&amp;$I501)</f>
        <v/>
      </c>
      <c r="T501" s="3">
        <f>IF($E501="",0,SUMPRODUCT((AY_SONU!$O$7:$O$42="Evet")*(AY_SONU!$B$7:$B$42=DATE(YEAR($E501),MONTH($E501),1))))</f>
        <v/>
      </c>
    </row>
    <row r="502">
      <c r="A502" s="6" t="n"/>
      <c r="B502" s="113">
        <f>IF($D502="","","T"&amp;TEXT(ROW()-6,"00000"))</f>
        <v/>
      </c>
      <c r="C502" s="113">
        <f>IF($D502="","",IFERROR(INDEX(MUSTERILER!$B$7:$B$106,MATCH($R502,MUSTERILER!$T$7:$T$106,0)),IFERROR(INDEX(MUSTERILER!$B$7:$B$106,MATCH($D502,MUSTERILER!$B$7:$B$106,0)),IFERROR(INDEX(MUSTERILER!$B$7:$B$106,MATCH($R502&amp;"*",MUSTERILER!$T$7:$T$106,0)),"TANIMSIZ MÜŞTERİ"))))</f>
        <v/>
      </c>
      <c r="D502" s="109" t="inlineStr">
        <is>
          <t>Rix Şow Ltd.Şti.</t>
        </is>
      </c>
      <c r="E502" s="220" t="n">
        <v>46249</v>
      </c>
      <c r="F502" s="221" t="n">
        <v>3000</v>
      </c>
      <c r="G502" s="108" t="inlineStr">
        <is>
          <t>MERKEZ KASA</t>
        </is>
      </c>
      <c r="H502" s="108" t="inlineStr">
        <is>
          <t>Nakit</t>
        </is>
      </c>
      <c r="I502" s="109" t="n"/>
      <c r="J502" s="109" t="inlineStr">
        <is>
          <t>NAKİT ÖDENEN</t>
        </is>
      </c>
      <c r="K502" s="109" t="n"/>
      <c r="L502" s="226">
        <f>IF($E502="","",DATE(YEAR($E502),MONTH($E502),1))</f>
        <v/>
      </c>
      <c r="M502" s="113">
        <f>IF($D502="","",IF($C502="TANIMSIZ MÜŞTERİ","HATA",IF(OR($E502="",$F502&lt;=0,$G502=""),"EKSİK",IF($E502&gt;TODAY(),"İLERİ TARİH",IF(COUNTIF($S$7:$S$1506,$S502)&gt;1,"MÜKERRER?",IF($T502&gt;0,"KAPALI DÖNEM","UYGUN"))))))</f>
        <v/>
      </c>
      <c r="N502" s="121">
        <f>IF($C502="","",IF($C502="TANIMSIZ MÜŞTERİ","—",INDEX(MUSTERILER!$C$7:$C$106,MATCH($C502,MUSTERILER!$B$7:$B$106,0))))</f>
        <v/>
      </c>
      <c r="O502" s="6" t="n"/>
      <c r="P502" s="6" t="n"/>
      <c r="Q502" s="3">
        <f>IF($D502="","",$C502&amp;"|"&amp;COUNTIFS($C$7:$C502,$C502))</f>
        <v/>
      </c>
      <c r="R502" s="3">
        <f>IF($D502="","",UPPER(SUBSTITUTE(SUBSTITUTE(SUBSTITUTE(SUBSTITUTE(SUBSTITUTE(SUBSTITUTE(SUBSTITUTE(SUBSTITUTE(SUBSTITUTE(SUBSTITUTE(SUBSTITUTE(SUBSTITUTE(SUBSTITUTE(SUBSTITUTE(SUBSTITUTE(SUBSTITUTE(SUBSTITUTE(SUBSTITUTE(TRIM($D502),"'",""),"İ","I"),"ı","I"),"i","I"),"Ş","S"),"ş","S"),"Ğ","G"),"ğ","G"),"Ü","U"),"ü","U"),"Ö","O"),"ö","O"),"Ç","C"),"ç","C"),".",""),",","")," ",""),"-","")))</f>
        <v/>
      </c>
      <c r="S502" s="3">
        <f>IF($D502="","",$C502&amp;"|"&amp;TEXT($E502,"0")&amp;"|"&amp;TEXT($F502,"0")&amp;"|"&amp;$I502)</f>
        <v/>
      </c>
      <c r="T502" s="3">
        <f>IF($E502="",0,SUMPRODUCT((AY_SONU!$O$7:$O$42="Evet")*(AY_SONU!$B$7:$B$42=DATE(YEAR($E502),MONTH($E502),1))))</f>
        <v/>
      </c>
    </row>
    <row r="503">
      <c r="A503" s="6" t="n"/>
      <c r="B503" s="113">
        <f>IF($D503="","","T"&amp;TEXT(ROW()-6,"00000"))</f>
        <v/>
      </c>
      <c r="C503" s="113">
        <f>IF($D503="","",IFERROR(INDEX(MUSTERILER!$B$7:$B$106,MATCH($R503,MUSTERILER!$T$7:$T$106,0)),IFERROR(INDEX(MUSTERILER!$B$7:$B$106,MATCH($D503,MUSTERILER!$B$7:$B$106,0)),IFERROR(INDEX(MUSTERILER!$B$7:$B$106,MATCH($R503&amp;"*",MUSTERILER!$T$7:$T$106,0)),"TANIMSIZ MÜŞTERİ"))))</f>
        <v/>
      </c>
      <c r="D503" s="109" t="inlineStr">
        <is>
          <t>Zümrüt Grup Ltd.Şti.</t>
        </is>
      </c>
      <c r="E503" s="220" t="n">
        <v>46249</v>
      </c>
      <c r="F503" s="221" t="n">
        <v>3500</v>
      </c>
      <c r="G503" s="108" t="inlineStr">
        <is>
          <t>MERKEZ KASA</t>
        </is>
      </c>
      <c r="H503" s="108" t="inlineStr">
        <is>
          <t>Nakit</t>
        </is>
      </c>
      <c r="I503" s="109" t="n"/>
      <c r="J503" s="109" t="inlineStr">
        <is>
          <t>NAKİT ÖDENEN</t>
        </is>
      </c>
      <c r="K503" s="109" t="n"/>
      <c r="L503" s="226">
        <f>IF($E503="","",DATE(YEAR($E503),MONTH($E503),1))</f>
        <v/>
      </c>
      <c r="M503" s="113">
        <f>IF($D503="","",IF($C503="TANIMSIZ MÜŞTERİ","HATA",IF(OR($E503="",$F503&lt;=0,$G503=""),"EKSİK",IF($E503&gt;TODAY(),"İLERİ TARİH",IF(COUNTIF($S$7:$S$1506,$S503)&gt;1,"MÜKERRER?",IF($T503&gt;0,"KAPALI DÖNEM","UYGUN"))))))</f>
        <v/>
      </c>
      <c r="N503" s="121">
        <f>IF($C503="","",IF($C503="TANIMSIZ MÜŞTERİ","—",INDEX(MUSTERILER!$C$7:$C$106,MATCH($C503,MUSTERILER!$B$7:$B$106,0))))</f>
        <v/>
      </c>
      <c r="O503" s="6" t="n"/>
      <c r="P503" s="6" t="n"/>
      <c r="Q503" s="3">
        <f>IF($D503="","",$C503&amp;"|"&amp;COUNTIFS($C$7:$C503,$C503))</f>
        <v/>
      </c>
      <c r="R503" s="3">
        <f>IF($D503="","",UPPER(SUBSTITUTE(SUBSTITUTE(SUBSTITUTE(SUBSTITUTE(SUBSTITUTE(SUBSTITUTE(SUBSTITUTE(SUBSTITUTE(SUBSTITUTE(SUBSTITUTE(SUBSTITUTE(SUBSTITUTE(SUBSTITUTE(SUBSTITUTE(SUBSTITUTE(SUBSTITUTE(SUBSTITUTE(SUBSTITUTE(TRIM($D503),"'",""),"İ","I"),"ı","I"),"i","I"),"Ş","S"),"ş","S"),"Ğ","G"),"ğ","G"),"Ü","U"),"ü","U"),"Ö","O"),"ö","O"),"Ç","C"),"ç","C"),".",""),",","")," ",""),"-","")))</f>
        <v/>
      </c>
      <c r="S503" s="3">
        <f>IF($D503="","",$C503&amp;"|"&amp;TEXT($E503,"0")&amp;"|"&amp;TEXT($F503,"0")&amp;"|"&amp;$I503)</f>
        <v/>
      </c>
      <c r="T503" s="3">
        <f>IF($E503="",0,SUMPRODUCT((AY_SONU!$O$7:$O$42="Evet")*(AY_SONU!$B$7:$B$42=DATE(YEAR($E503),MONTH($E503),1))))</f>
        <v/>
      </c>
    </row>
    <row r="504">
      <c r="A504" s="6" t="n"/>
      <c r="B504" s="113">
        <f>IF($D504="","","T"&amp;TEXT(ROW()-6,"00000"))</f>
        <v/>
      </c>
      <c r="C504" s="113">
        <f>IF($D504="","",IFERROR(INDEX(MUSTERILER!$B$7:$B$106,MATCH($R504,MUSTERILER!$T$7:$T$106,0)),IFERROR(INDEX(MUSTERILER!$B$7:$B$106,MATCH($D504,MUSTERILER!$B$7:$B$106,0)),IFERROR(INDEX(MUSTERILER!$B$7:$B$106,MATCH($R504&amp;"*",MUSTERILER!$T$7:$T$106,0)),"TANIMSIZ MÜŞTERİ"))))</f>
        <v/>
      </c>
      <c r="D504" s="109" t="inlineStr">
        <is>
          <t>ÇINARHAN LTD.ŞTİ.</t>
        </is>
      </c>
      <c r="E504" s="220" t="n">
        <v>46249</v>
      </c>
      <c r="F504" s="221" t="n">
        <v>3500</v>
      </c>
      <c r="G504" s="108" t="inlineStr">
        <is>
          <t>MERKEZ KASA</t>
        </is>
      </c>
      <c r="H504" s="108" t="inlineStr">
        <is>
          <t>Nakit</t>
        </is>
      </c>
      <c r="I504" s="109" t="n"/>
      <c r="J504" s="109" t="inlineStr">
        <is>
          <t>NAKİT ÖDENEN</t>
        </is>
      </c>
      <c r="K504" s="109" t="n"/>
      <c r="L504" s="226">
        <f>IF($E504="","",DATE(YEAR($E504),MONTH($E504),1))</f>
        <v/>
      </c>
      <c r="M504" s="113">
        <f>IF($D504="","",IF($C504="TANIMSIZ MÜŞTERİ","HATA",IF(OR($E504="",$F504&lt;=0,$G504=""),"EKSİK",IF($E504&gt;TODAY(),"İLERİ TARİH",IF(COUNTIF($S$7:$S$1506,$S504)&gt;1,"MÜKERRER?",IF($T504&gt;0,"KAPALI DÖNEM","UYGUN"))))))</f>
        <v/>
      </c>
      <c r="N504" s="121">
        <f>IF($C504="","",IF($C504="TANIMSIZ MÜŞTERİ","—",INDEX(MUSTERILER!$C$7:$C$106,MATCH($C504,MUSTERILER!$B$7:$B$106,0))))</f>
        <v/>
      </c>
      <c r="O504" s="6" t="n"/>
      <c r="P504" s="6" t="n"/>
      <c r="Q504" s="3">
        <f>IF($D504="","",$C504&amp;"|"&amp;COUNTIFS($C$7:$C504,$C504))</f>
        <v/>
      </c>
      <c r="R504" s="3">
        <f>IF($D504="","",UPPER(SUBSTITUTE(SUBSTITUTE(SUBSTITUTE(SUBSTITUTE(SUBSTITUTE(SUBSTITUTE(SUBSTITUTE(SUBSTITUTE(SUBSTITUTE(SUBSTITUTE(SUBSTITUTE(SUBSTITUTE(SUBSTITUTE(SUBSTITUTE(SUBSTITUTE(SUBSTITUTE(SUBSTITUTE(SUBSTITUTE(TRIM($D504),"'",""),"İ","I"),"ı","I"),"i","I"),"Ş","S"),"ş","S"),"Ğ","G"),"ğ","G"),"Ü","U"),"ü","U"),"Ö","O"),"ö","O"),"Ç","C"),"ç","C"),".",""),",","")," ",""),"-","")))</f>
        <v/>
      </c>
      <c r="S504" s="3">
        <f>IF($D504="","",$C504&amp;"|"&amp;TEXT($E504,"0")&amp;"|"&amp;TEXT($F504,"0")&amp;"|"&amp;$I504)</f>
        <v/>
      </c>
      <c r="T504" s="3">
        <f>IF($E504="",0,SUMPRODUCT((AY_SONU!$O$7:$O$42="Evet")*(AY_SONU!$B$7:$B$42=DATE(YEAR($E504),MONTH($E504),1))))</f>
        <v/>
      </c>
    </row>
    <row r="505">
      <c r="A505" s="6" t="n"/>
      <c r="B505" s="113">
        <f>IF($D505="","","T"&amp;TEXT(ROW()-6,"00000"))</f>
        <v/>
      </c>
      <c r="C505" s="113">
        <f>IF($D505="","",IFERROR(INDEX(MUSTERILER!$B$7:$B$106,MATCH($R505,MUSTERILER!$T$7:$T$106,0)),IFERROR(INDEX(MUSTERILER!$B$7:$B$106,MATCH($D505,MUSTERILER!$B$7:$B$106,0)),IFERROR(INDEX(MUSTERILER!$B$7:$B$106,MATCH($R505&amp;"*",MUSTERILER!$T$7:$T$106,0)),"TANIMSIZ MÜŞTERİ"))))</f>
        <v/>
      </c>
      <c r="D505" s="109" t="inlineStr">
        <is>
          <t>KRİSTAL LTD.ŞTİ.</t>
        </is>
      </c>
      <c r="E505" s="220" t="n">
        <v>46249</v>
      </c>
      <c r="F505" s="221" t="n">
        <v>3000</v>
      </c>
      <c r="G505" s="108" t="inlineStr">
        <is>
          <t>MERKEZ KASA</t>
        </is>
      </c>
      <c r="H505" s="108" t="inlineStr">
        <is>
          <t>Nakit</t>
        </is>
      </c>
      <c r="I505" s="109" t="n"/>
      <c r="J505" s="109" t="inlineStr">
        <is>
          <t>NAKİT ÖDENEN</t>
        </is>
      </c>
      <c r="K505" s="109" t="n"/>
      <c r="L505" s="226">
        <f>IF($E505="","",DATE(YEAR($E505),MONTH($E505),1))</f>
        <v/>
      </c>
      <c r="M505" s="113">
        <f>IF($D505="","",IF($C505="TANIMSIZ MÜŞTERİ","HATA",IF(OR($E505="",$F505&lt;=0,$G505=""),"EKSİK",IF($E505&gt;TODAY(),"İLERİ TARİH",IF(COUNTIF($S$7:$S$1506,$S505)&gt;1,"MÜKERRER?",IF($T505&gt;0,"KAPALI DÖNEM","UYGUN"))))))</f>
        <v/>
      </c>
      <c r="N505" s="121">
        <f>IF($C505="","",IF($C505="TANIMSIZ MÜŞTERİ","—",INDEX(MUSTERILER!$C$7:$C$106,MATCH($C505,MUSTERILER!$B$7:$B$106,0))))</f>
        <v/>
      </c>
      <c r="O505" s="6" t="n"/>
      <c r="P505" s="6" t="n"/>
      <c r="Q505" s="3">
        <f>IF($D505="","",$C505&amp;"|"&amp;COUNTIFS($C$7:$C505,$C505))</f>
        <v/>
      </c>
      <c r="R505" s="3">
        <f>IF($D505="","",UPPER(SUBSTITUTE(SUBSTITUTE(SUBSTITUTE(SUBSTITUTE(SUBSTITUTE(SUBSTITUTE(SUBSTITUTE(SUBSTITUTE(SUBSTITUTE(SUBSTITUTE(SUBSTITUTE(SUBSTITUTE(SUBSTITUTE(SUBSTITUTE(SUBSTITUTE(SUBSTITUTE(SUBSTITUTE(SUBSTITUTE(TRIM($D505),"'",""),"İ","I"),"ı","I"),"i","I"),"Ş","S"),"ş","S"),"Ğ","G"),"ğ","G"),"Ü","U"),"ü","U"),"Ö","O"),"ö","O"),"Ç","C"),"ç","C"),".",""),",","")," ",""),"-","")))</f>
        <v/>
      </c>
      <c r="S505" s="3">
        <f>IF($D505="","",$C505&amp;"|"&amp;TEXT($E505,"0")&amp;"|"&amp;TEXT($F505,"0")&amp;"|"&amp;$I505)</f>
        <v/>
      </c>
      <c r="T505" s="3">
        <f>IF($E505="",0,SUMPRODUCT((AY_SONU!$O$7:$O$42="Evet")*(AY_SONU!$B$7:$B$42=DATE(YEAR($E505),MONTH($E505),1))))</f>
        <v/>
      </c>
    </row>
    <row r="506">
      <c r="A506" s="6" t="n"/>
      <c r="B506" s="113">
        <f>IF($D506="","","T"&amp;TEXT(ROW()-6,"00000"))</f>
        <v/>
      </c>
      <c r="C506" s="113">
        <f>IF($D506="","",IFERROR(INDEX(MUSTERILER!$B$7:$B$106,MATCH($R506,MUSTERILER!$T$7:$T$106,0)),IFERROR(INDEX(MUSTERILER!$B$7:$B$106,MATCH($D506,MUSTERILER!$B$7:$B$106,0)),IFERROR(INDEX(MUSTERILER!$B$7:$B$106,MATCH($R506&amp;"*",MUSTERILER!$T$7:$T$106,0)),"TANIMSIZ MÜŞTERİ"))))</f>
        <v/>
      </c>
      <c r="D506" s="109" t="inlineStr">
        <is>
          <t>PALAOĞULLARI LTD.ŞTİ.</t>
        </is>
      </c>
      <c r="E506" s="220" t="n">
        <v>46249</v>
      </c>
      <c r="F506" s="221" t="n">
        <v>5000</v>
      </c>
      <c r="G506" s="108" t="inlineStr">
        <is>
          <t>MERKEZ KASA</t>
        </is>
      </c>
      <c r="H506" s="108" t="inlineStr">
        <is>
          <t>Nakit</t>
        </is>
      </c>
      <c r="I506" s="109" t="n"/>
      <c r="J506" s="109" t="inlineStr">
        <is>
          <t>NAKİT ÖDENEN</t>
        </is>
      </c>
      <c r="K506" s="109" t="n"/>
      <c r="L506" s="226">
        <f>IF($E506="","",DATE(YEAR($E506),MONTH($E506),1))</f>
        <v/>
      </c>
      <c r="M506" s="113">
        <f>IF($D506="","",IF($C506="TANIMSIZ MÜŞTERİ","HATA",IF(OR($E506="",$F506&lt;=0,$G506=""),"EKSİK",IF($E506&gt;TODAY(),"İLERİ TARİH",IF(COUNTIF($S$7:$S$1506,$S506)&gt;1,"MÜKERRER?",IF($T506&gt;0,"KAPALI DÖNEM","UYGUN"))))))</f>
        <v/>
      </c>
      <c r="N506" s="121">
        <f>IF($C506="","",IF($C506="TANIMSIZ MÜŞTERİ","—",INDEX(MUSTERILER!$C$7:$C$106,MATCH($C506,MUSTERILER!$B$7:$B$106,0))))</f>
        <v/>
      </c>
      <c r="O506" s="6" t="n"/>
      <c r="P506" s="6" t="n"/>
      <c r="Q506" s="3">
        <f>IF($D506="","",$C506&amp;"|"&amp;COUNTIFS($C$7:$C506,$C506))</f>
        <v/>
      </c>
      <c r="R506" s="3">
        <f>IF($D506="","",UPPER(SUBSTITUTE(SUBSTITUTE(SUBSTITUTE(SUBSTITUTE(SUBSTITUTE(SUBSTITUTE(SUBSTITUTE(SUBSTITUTE(SUBSTITUTE(SUBSTITUTE(SUBSTITUTE(SUBSTITUTE(SUBSTITUTE(SUBSTITUTE(SUBSTITUTE(SUBSTITUTE(SUBSTITUTE(SUBSTITUTE(TRIM($D506),"'",""),"İ","I"),"ı","I"),"i","I"),"Ş","S"),"ş","S"),"Ğ","G"),"ğ","G"),"Ü","U"),"ü","U"),"Ö","O"),"ö","O"),"Ç","C"),"ç","C"),".",""),",","")," ",""),"-","")))</f>
        <v/>
      </c>
      <c r="S506" s="3">
        <f>IF($D506="","",$C506&amp;"|"&amp;TEXT($E506,"0")&amp;"|"&amp;TEXT($F506,"0")&amp;"|"&amp;$I506)</f>
        <v/>
      </c>
      <c r="T506" s="3">
        <f>IF($E506="",0,SUMPRODUCT((AY_SONU!$O$7:$O$42="Evet")*(AY_SONU!$B$7:$B$42=DATE(YEAR($E506),MONTH($E506),1))))</f>
        <v/>
      </c>
    </row>
    <row r="507">
      <c r="A507" s="6" t="n"/>
      <c r="B507" s="113">
        <f>IF($D507="","","T"&amp;TEXT(ROW()-6,"00000"))</f>
        <v/>
      </c>
      <c r="C507" s="113">
        <f>IF($D507="","",IFERROR(INDEX(MUSTERILER!$B$7:$B$106,MATCH($R507,MUSTERILER!$T$7:$T$106,0)),IFERROR(INDEX(MUSTERILER!$B$7:$B$106,MATCH($D507,MUSTERILER!$B$7:$B$106,0)),IFERROR(INDEX(MUSTERILER!$B$7:$B$106,MATCH($R507&amp;"*",MUSTERILER!$T$7:$T$106,0)),"TANIMSIZ MÜŞTERİ"))))</f>
        <v/>
      </c>
      <c r="D507" s="109" t="inlineStr">
        <is>
          <t>STAR ŞOW LTD.ŞTİ.</t>
        </is>
      </c>
      <c r="E507" s="220" t="n">
        <v>46249</v>
      </c>
      <c r="F507" s="221" t="n">
        <v>3000</v>
      </c>
      <c r="G507" s="108" t="inlineStr">
        <is>
          <t>MERKEZ KASA</t>
        </is>
      </c>
      <c r="H507" s="108" t="inlineStr">
        <is>
          <t>Nakit</t>
        </is>
      </c>
      <c r="I507" s="109" t="n"/>
      <c r="J507" s="109" t="inlineStr">
        <is>
          <t>NAKİT ÖDENEN</t>
        </is>
      </c>
      <c r="K507" s="109" t="n"/>
      <c r="L507" s="226">
        <f>IF($E507="","",DATE(YEAR($E507),MONTH($E507),1))</f>
        <v/>
      </c>
      <c r="M507" s="113">
        <f>IF($D507="","",IF($C507="TANIMSIZ MÜŞTERİ","HATA",IF(OR($E507="",$F507&lt;=0,$G507=""),"EKSİK",IF($E507&gt;TODAY(),"İLERİ TARİH",IF(COUNTIF($S$7:$S$1506,$S507)&gt;1,"MÜKERRER?",IF($T507&gt;0,"KAPALI DÖNEM","UYGUN"))))))</f>
        <v/>
      </c>
      <c r="N507" s="121">
        <f>IF($C507="","",IF($C507="TANIMSIZ MÜŞTERİ","—",INDEX(MUSTERILER!$C$7:$C$106,MATCH($C507,MUSTERILER!$B$7:$B$106,0))))</f>
        <v/>
      </c>
      <c r="O507" s="6" t="n"/>
      <c r="P507" s="6" t="n"/>
      <c r="Q507" s="3">
        <f>IF($D507="","",$C507&amp;"|"&amp;COUNTIFS($C$7:$C507,$C507))</f>
        <v/>
      </c>
      <c r="R507" s="3">
        <f>IF($D507="","",UPPER(SUBSTITUTE(SUBSTITUTE(SUBSTITUTE(SUBSTITUTE(SUBSTITUTE(SUBSTITUTE(SUBSTITUTE(SUBSTITUTE(SUBSTITUTE(SUBSTITUTE(SUBSTITUTE(SUBSTITUTE(SUBSTITUTE(SUBSTITUTE(SUBSTITUTE(SUBSTITUTE(SUBSTITUTE(SUBSTITUTE(TRIM($D507),"'",""),"İ","I"),"ı","I"),"i","I"),"Ş","S"),"ş","S"),"Ğ","G"),"ğ","G"),"Ü","U"),"ü","U"),"Ö","O"),"ö","O"),"Ç","C"),"ç","C"),".",""),",","")," ",""),"-","")))</f>
        <v/>
      </c>
      <c r="S507" s="3">
        <f>IF($D507="","",$C507&amp;"|"&amp;TEXT($E507,"0")&amp;"|"&amp;TEXT($F507,"0")&amp;"|"&amp;$I507)</f>
        <v/>
      </c>
      <c r="T507" s="3">
        <f>IF($E507="",0,SUMPRODUCT((AY_SONU!$O$7:$O$42="Evet")*(AY_SONU!$B$7:$B$42=DATE(YEAR($E507),MONTH($E507),1))))</f>
        <v/>
      </c>
    </row>
    <row r="508">
      <c r="A508" s="6" t="n"/>
      <c r="B508" s="113">
        <f>IF($D508="","","T"&amp;TEXT(ROW()-6,"00000"))</f>
        <v/>
      </c>
      <c r="C508" s="113">
        <f>IF($D508="","",IFERROR(INDEX(MUSTERILER!$B$7:$B$106,MATCH($R508,MUSTERILER!$T$7:$T$106,0)),IFERROR(INDEX(MUSTERILER!$B$7:$B$106,MATCH($D508,MUSTERILER!$B$7:$B$106,0)),IFERROR(INDEX(MUSTERILER!$B$7:$B$106,MATCH($R508&amp;"*",MUSTERILER!$T$7:$T$106,0)),"TANIMSIZ MÜŞTERİ"))))</f>
        <v/>
      </c>
      <c r="D508" s="109" t="inlineStr">
        <is>
          <t>MESUT KÖKLÜ</t>
        </is>
      </c>
      <c r="E508" s="220" t="n">
        <v>46251</v>
      </c>
      <c r="F508" s="221" t="n">
        <v>5000</v>
      </c>
      <c r="G508" s="108" t="inlineStr">
        <is>
          <t>MERKEZ KASA</t>
        </is>
      </c>
      <c r="H508" s="108" t="inlineStr">
        <is>
          <t>Nakit</t>
        </is>
      </c>
      <c r="I508" s="109" t="n"/>
      <c r="J508" s="109" t="inlineStr">
        <is>
          <t>NAKİT ÖDENEN</t>
        </is>
      </c>
      <c r="K508" s="109" t="n"/>
      <c r="L508" s="226">
        <f>IF($E508="","",DATE(YEAR($E508),MONTH($E508),1))</f>
        <v/>
      </c>
      <c r="M508" s="113">
        <f>IF($D508="","",IF($C508="TANIMSIZ MÜŞTERİ","HATA",IF(OR($E508="",$F508&lt;=0,$G508=""),"EKSİK",IF($E508&gt;TODAY(),"İLERİ TARİH",IF(COUNTIF($S$7:$S$1506,$S508)&gt;1,"MÜKERRER?",IF($T508&gt;0,"KAPALI DÖNEM","UYGUN"))))))</f>
        <v/>
      </c>
      <c r="N508" s="121">
        <f>IF($C508="","",IF($C508="TANIMSIZ MÜŞTERİ","—",INDEX(MUSTERILER!$C$7:$C$106,MATCH($C508,MUSTERILER!$B$7:$B$106,0))))</f>
        <v/>
      </c>
      <c r="O508" s="6" t="n"/>
      <c r="P508" s="6" t="n"/>
      <c r="Q508" s="3">
        <f>IF($D508="","",$C508&amp;"|"&amp;COUNTIFS($C$7:$C508,$C508))</f>
        <v/>
      </c>
      <c r="R508" s="3">
        <f>IF($D508="","",UPPER(SUBSTITUTE(SUBSTITUTE(SUBSTITUTE(SUBSTITUTE(SUBSTITUTE(SUBSTITUTE(SUBSTITUTE(SUBSTITUTE(SUBSTITUTE(SUBSTITUTE(SUBSTITUTE(SUBSTITUTE(SUBSTITUTE(SUBSTITUTE(SUBSTITUTE(SUBSTITUTE(SUBSTITUTE(SUBSTITUTE(TRIM($D508),"'",""),"İ","I"),"ı","I"),"i","I"),"Ş","S"),"ş","S"),"Ğ","G"),"ğ","G"),"Ü","U"),"ü","U"),"Ö","O"),"ö","O"),"Ç","C"),"ç","C"),".",""),",","")," ",""),"-","")))</f>
        <v/>
      </c>
      <c r="S508" s="3">
        <f>IF($D508="","",$C508&amp;"|"&amp;TEXT($E508,"0")&amp;"|"&amp;TEXT($F508,"0")&amp;"|"&amp;$I508)</f>
        <v/>
      </c>
      <c r="T508" s="3">
        <f>IF($E508="",0,SUMPRODUCT((AY_SONU!$O$7:$O$42="Evet")*(AY_SONU!$B$7:$B$42=DATE(YEAR($E508),MONTH($E508),1))))</f>
        <v/>
      </c>
    </row>
    <row r="509">
      <c r="A509" s="6" t="n"/>
      <c r="B509" s="113">
        <f>IF($D509="","","T"&amp;TEXT(ROW()-6,"00000"))</f>
        <v/>
      </c>
      <c r="C509" s="113">
        <f>IF($D509="","",IFERROR(INDEX(MUSTERILER!$B$7:$B$106,MATCH($R509,MUSTERILER!$T$7:$T$106,0)),IFERROR(INDEX(MUSTERILER!$B$7:$B$106,MATCH($D509,MUSTERILER!$B$7:$B$106,0)),IFERROR(INDEX(MUSTERILER!$B$7:$B$106,MATCH($R509&amp;"*",MUSTERILER!$T$7:$T$106,0)),"TANIMSIZ MÜŞTERİ"))))</f>
        <v/>
      </c>
      <c r="D509" s="109" t="inlineStr">
        <is>
          <t>ARON TOPTAN LTD.ŞTİ.</t>
        </is>
      </c>
      <c r="E509" s="220" t="n">
        <v>46252</v>
      </c>
      <c r="F509" s="221" t="n">
        <v>10000</v>
      </c>
      <c r="G509" s="108" t="inlineStr">
        <is>
          <t>MERKEZ KASA</t>
        </is>
      </c>
      <c r="H509" s="108" t="inlineStr">
        <is>
          <t>Nakit</t>
        </is>
      </c>
      <c r="I509" s="109" t="n"/>
      <c r="J509" s="109" t="inlineStr">
        <is>
          <t>NAKİT ÖDENEN</t>
        </is>
      </c>
      <c r="K509" s="109" t="n"/>
      <c r="L509" s="226">
        <f>IF($E509="","",DATE(YEAR($E509),MONTH($E509),1))</f>
        <v/>
      </c>
      <c r="M509" s="113">
        <f>IF($D509="","",IF($C509="TANIMSIZ MÜŞTERİ","HATA",IF(OR($E509="",$F509&lt;=0,$G509=""),"EKSİK",IF($E509&gt;TODAY(),"İLERİ TARİH",IF(COUNTIF($S$7:$S$1506,$S509)&gt;1,"MÜKERRER?",IF($T509&gt;0,"KAPALI DÖNEM","UYGUN"))))))</f>
        <v/>
      </c>
      <c r="N509" s="121">
        <f>IF($C509="","",IF($C509="TANIMSIZ MÜŞTERİ","—",INDEX(MUSTERILER!$C$7:$C$106,MATCH($C509,MUSTERILER!$B$7:$B$106,0))))</f>
        <v/>
      </c>
      <c r="O509" s="6" t="n"/>
      <c r="P509" s="6" t="n"/>
      <c r="Q509" s="3">
        <f>IF($D509="","",$C509&amp;"|"&amp;COUNTIFS($C$7:$C509,$C509))</f>
        <v/>
      </c>
      <c r="R509" s="3">
        <f>IF($D509="","",UPPER(SUBSTITUTE(SUBSTITUTE(SUBSTITUTE(SUBSTITUTE(SUBSTITUTE(SUBSTITUTE(SUBSTITUTE(SUBSTITUTE(SUBSTITUTE(SUBSTITUTE(SUBSTITUTE(SUBSTITUTE(SUBSTITUTE(SUBSTITUTE(SUBSTITUTE(SUBSTITUTE(SUBSTITUTE(SUBSTITUTE(TRIM($D509),"'",""),"İ","I"),"ı","I"),"i","I"),"Ş","S"),"ş","S"),"Ğ","G"),"ğ","G"),"Ü","U"),"ü","U"),"Ö","O"),"ö","O"),"Ç","C"),"ç","C"),".",""),",","")," ",""),"-","")))</f>
        <v/>
      </c>
      <c r="S509" s="3">
        <f>IF($D509="","",$C509&amp;"|"&amp;TEXT($E509,"0")&amp;"|"&amp;TEXT($F509,"0")&amp;"|"&amp;$I509)</f>
        <v/>
      </c>
      <c r="T509" s="3">
        <f>IF($E509="",0,SUMPRODUCT((AY_SONU!$O$7:$O$42="Evet")*(AY_SONU!$B$7:$B$42=DATE(YEAR($E509),MONTH($E509),1))))</f>
        <v/>
      </c>
    </row>
    <row r="510">
      <c r="A510" s="6" t="n"/>
      <c r="B510" s="113">
        <f>IF($D510="","","T"&amp;TEXT(ROW()-6,"00000"))</f>
        <v/>
      </c>
      <c r="C510" s="113">
        <f>IF($D510="","",IFERROR(INDEX(MUSTERILER!$B$7:$B$106,MATCH($R510,MUSTERILER!$T$7:$T$106,0)),IFERROR(INDEX(MUSTERILER!$B$7:$B$106,MATCH($D510,MUSTERILER!$B$7:$B$106,0)),IFERROR(INDEX(MUSTERILER!$B$7:$B$106,MATCH($R510&amp;"*",MUSTERILER!$T$7:$T$106,0)),"TANIMSIZ MÜŞTERİ"))))</f>
        <v/>
      </c>
      <c r="D510" s="109" t="inlineStr">
        <is>
          <t>EMRAH SAVURKAN</t>
        </is>
      </c>
      <c r="E510" s="220" t="n">
        <v>46252</v>
      </c>
      <c r="F510" s="221" t="n">
        <v>6000</v>
      </c>
      <c r="G510" s="108" t="inlineStr">
        <is>
          <t>MERKEZ KASA</t>
        </is>
      </c>
      <c r="H510" s="108" t="inlineStr">
        <is>
          <t>Nakit</t>
        </is>
      </c>
      <c r="I510" s="109" t="n"/>
      <c r="J510" s="109" t="inlineStr">
        <is>
          <t>NAKİT ÖDENEN</t>
        </is>
      </c>
      <c r="K510" s="109" t="n"/>
      <c r="L510" s="226">
        <f>IF($E510="","",DATE(YEAR($E510),MONTH($E510),1))</f>
        <v/>
      </c>
      <c r="M510" s="113">
        <f>IF($D510="","",IF($C510="TANIMSIZ MÜŞTERİ","HATA",IF(OR($E510="",$F510&lt;=0,$G510=""),"EKSİK",IF($E510&gt;TODAY(),"İLERİ TARİH",IF(COUNTIF($S$7:$S$1506,$S510)&gt;1,"MÜKERRER?",IF($T510&gt;0,"KAPALI DÖNEM","UYGUN"))))))</f>
        <v/>
      </c>
      <c r="N510" s="121">
        <f>IF($C510="","",IF($C510="TANIMSIZ MÜŞTERİ","—",INDEX(MUSTERILER!$C$7:$C$106,MATCH($C510,MUSTERILER!$B$7:$B$106,0))))</f>
        <v/>
      </c>
      <c r="O510" s="6" t="n"/>
      <c r="P510" s="6" t="n"/>
      <c r="Q510" s="3">
        <f>IF($D510="","",$C510&amp;"|"&amp;COUNTIFS($C$7:$C510,$C510))</f>
        <v/>
      </c>
      <c r="R510" s="3">
        <f>IF($D510="","",UPPER(SUBSTITUTE(SUBSTITUTE(SUBSTITUTE(SUBSTITUTE(SUBSTITUTE(SUBSTITUTE(SUBSTITUTE(SUBSTITUTE(SUBSTITUTE(SUBSTITUTE(SUBSTITUTE(SUBSTITUTE(SUBSTITUTE(SUBSTITUTE(SUBSTITUTE(SUBSTITUTE(SUBSTITUTE(SUBSTITUTE(TRIM($D510),"'",""),"İ","I"),"ı","I"),"i","I"),"Ş","S"),"ş","S"),"Ğ","G"),"ğ","G"),"Ü","U"),"ü","U"),"Ö","O"),"ö","O"),"Ç","C"),"ç","C"),".",""),",","")," ",""),"-","")))</f>
        <v/>
      </c>
      <c r="S510" s="3">
        <f>IF($D510="","",$C510&amp;"|"&amp;TEXT($E510,"0")&amp;"|"&amp;TEXT($F510,"0")&amp;"|"&amp;$I510)</f>
        <v/>
      </c>
      <c r="T510" s="3">
        <f>IF($E510="",0,SUMPRODUCT((AY_SONU!$O$7:$O$42="Evet")*(AY_SONU!$B$7:$B$42=DATE(YEAR($E510),MONTH($E510),1))))</f>
        <v/>
      </c>
    </row>
    <row r="511">
      <c r="A511" s="6" t="n"/>
      <c r="B511" s="113">
        <f>IF($D511="","","T"&amp;TEXT(ROW()-6,"00000"))</f>
        <v/>
      </c>
      <c r="C511" s="113">
        <f>IF($D511="","",IFERROR(INDEX(MUSTERILER!$B$7:$B$106,MATCH($R511,MUSTERILER!$T$7:$T$106,0)),IFERROR(INDEX(MUSTERILER!$B$7:$B$106,MATCH($D511,MUSTERILER!$B$7:$B$106,0)),IFERROR(INDEX(MUSTERILER!$B$7:$B$106,MATCH($R511&amp;"*",MUSTERILER!$T$7:$T$106,0)),"TANIMSIZ MÜŞTERİ"))))</f>
        <v/>
      </c>
      <c r="D511" s="109" t="inlineStr">
        <is>
          <t>MUSTAFA KOLBAŞI</t>
        </is>
      </c>
      <c r="E511" s="220" t="n">
        <v>46252</v>
      </c>
      <c r="F511" s="221" t="n">
        <v>15000</v>
      </c>
      <c r="G511" s="108" t="inlineStr">
        <is>
          <t>MERKEZ KASA</t>
        </is>
      </c>
      <c r="H511" s="108" t="inlineStr">
        <is>
          <t>Nakit</t>
        </is>
      </c>
      <c r="I511" s="109" t="n"/>
      <c r="J511" s="109" t="inlineStr">
        <is>
          <t>NAKİT ÖDENEN</t>
        </is>
      </c>
      <c r="K511" s="109" t="n"/>
      <c r="L511" s="226">
        <f>IF($E511="","",DATE(YEAR($E511),MONTH($E511),1))</f>
        <v/>
      </c>
      <c r="M511" s="113">
        <f>IF($D511="","",IF($C511="TANIMSIZ MÜŞTERİ","HATA",IF(OR($E511="",$F511&lt;=0,$G511=""),"EKSİK",IF($E511&gt;TODAY(),"İLERİ TARİH",IF(COUNTIF($S$7:$S$1506,$S511)&gt;1,"MÜKERRER?",IF($T511&gt;0,"KAPALI DÖNEM","UYGUN"))))))</f>
        <v/>
      </c>
      <c r="N511" s="121">
        <f>IF($C511="","",IF($C511="TANIMSIZ MÜŞTERİ","—",INDEX(MUSTERILER!$C$7:$C$106,MATCH($C511,MUSTERILER!$B$7:$B$106,0))))</f>
        <v/>
      </c>
      <c r="O511" s="6" t="n"/>
      <c r="P511" s="6" t="n"/>
      <c r="Q511" s="3">
        <f>IF($D511="","",$C511&amp;"|"&amp;COUNTIFS($C$7:$C511,$C511))</f>
        <v/>
      </c>
      <c r="R511" s="3">
        <f>IF($D511="","",UPPER(SUBSTITUTE(SUBSTITUTE(SUBSTITUTE(SUBSTITUTE(SUBSTITUTE(SUBSTITUTE(SUBSTITUTE(SUBSTITUTE(SUBSTITUTE(SUBSTITUTE(SUBSTITUTE(SUBSTITUTE(SUBSTITUTE(SUBSTITUTE(SUBSTITUTE(SUBSTITUTE(SUBSTITUTE(SUBSTITUTE(TRIM($D511),"'",""),"İ","I"),"ı","I"),"i","I"),"Ş","S"),"ş","S"),"Ğ","G"),"ğ","G"),"Ü","U"),"ü","U"),"Ö","O"),"ö","O"),"Ç","C"),"ç","C"),".",""),",","")," ",""),"-","")))</f>
        <v/>
      </c>
      <c r="S511" s="3">
        <f>IF($D511="","",$C511&amp;"|"&amp;TEXT($E511,"0")&amp;"|"&amp;TEXT($F511,"0")&amp;"|"&amp;$I511)</f>
        <v/>
      </c>
      <c r="T511" s="3">
        <f>IF($E511="",0,SUMPRODUCT((AY_SONU!$O$7:$O$42="Evet")*(AY_SONU!$B$7:$B$42=DATE(YEAR($E511),MONTH($E511),1))))</f>
        <v/>
      </c>
    </row>
    <row r="512">
      <c r="A512" s="6" t="n"/>
      <c r="B512" s="113">
        <f>IF($D512="","","T"&amp;TEXT(ROW()-6,"00000"))</f>
        <v/>
      </c>
      <c r="C512" s="113">
        <f>IF($D512="","",IFERROR(INDEX(MUSTERILER!$B$7:$B$106,MATCH($R512,MUSTERILER!$T$7:$T$106,0)),IFERROR(INDEX(MUSTERILER!$B$7:$B$106,MATCH($D512,MUSTERILER!$B$7:$B$106,0)),IFERROR(INDEX(MUSTERILER!$B$7:$B$106,MATCH($R512&amp;"*",MUSTERILER!$T$7:$T$106,0)),"TANIMSIZ MÜŞTERİ"))))</f>
        <v/>
      </c>
      <c r="D512" s="109" t="inlineStr">
        <is>
          <t>İSMAİL AKPINAR</t>
        </is>
      </c>
      <c r="E512" s="220" t="n">
        <v>46253</v>
      </c>
      <c r="F512" s="221" t="n">
        <v>10000</v>
      </c>
      <c r="G512" s="108" t="inlineStr">
        <is>
          <t>MERKEZ KASA</t>
        </is>
      </c>
      <c r="H512" s="108" t="inlineStr">
        <is>
          <t>Nakit</t>
        </is>
      </c>
      <c r="I512" s="109" t="n"/>
      <c r="J512" s="109" t="inlineStr">
        <is>
          <t>NAKİT ÖDENEN</t>
        </is>
      </c>
      <c r="K512" s="109" t="n"/>
      <c r="L512" s="226">
        <f>IF($E512="","",DATE(YEAR($E512),MONTH($E512),1))</f>
        <v/>
      </c>
      <c r="M512" s="113">
        <f>IF($D512="","",IF($C512="TANIMSIZ MÜŞTERİ","HATA",IF(OR($E512="",$F512&lt;=0,$G512=""),"EKSİK",IF($E512&gt;TODAY(),"İLERİ TARİH",IF(COUNTIF($S$7:$S$1506,$S512)&gt;1,"MÜKERRER?",IF($T512&gt;0,"KAPALI DÖNEM","UYGUN"))))))</f>
        <v/>
      </c>
      <c r="N512" s="121">
        <f>IF($C512="","",IF($C512="TANIMSIZ MÜŞTERİ","—",INDEX(MUSTERILER!$C$7:$C$106,MATCH($C512,MUSTERILER!$B$7:$B$106,0))))</f>
        <v/>
      </c>
      <c r="O512" s="6" t="n"/>
      <c r="P512" s="6" t="n"/>
      <c r="Q512" s="3">
        <f>IF($D512="","",$C512&amp;"|"&amp;COUNTIFS($C$7:$C512,$C512))</f>
        <v/>
      </c>
      <c r="R512" s="3">
        <f>IF($D512="","",UPPER(SUBSTITUTE(SUBSTITUTE(SUBSTITUTE(SUBSTITUTE(SUBSTITUTE(SUBSTITUTE(SUBSTITUTE(SUBSTITUTE(SUBSTITUTE(SUBSTITUTE(SUBSTITUTE(SUBSTITUTE(SUBSTITUTE(SUBSTITUTE(SUBSTITUTE(SUBSTITUTE(SUBSTITUTE(SUBSTITUTE(TRIM($D512),"'",""),"İ","I"),"ı","I"),"i","I"),"Ş","S"),"ş","S"),"Ğ","G"),"ğ","G"),"Ü","U"),"ü","U"),"Ö","O"),"ö","O"),"Ç","C"),"ç","C"),".",""),",","")," ",""),"-","")))</f>
        <v/>
      </c>
      <c r="S512" s="3">
        <f>IF($D512="","",$C512&amp;"|"&amp;TEXT($E512,"0")&amp;"|"&amp;TEXT($F512,"0")&amp;"|"&amp;$I512)</f>
        <v/>
      </c>
      <c r="T512" s="3">
        <f>IF($E512="",0,SUMPRODUCT((AY_SONU!$O$7:$O$42="Evet")*(AY_SONU!$B$7:$B$42=DATE(YEAR($E512),MONTH($E512),1))))</f>
        <v/>
      </c>
    </row>
    <row r="513">
      <c r="A513" s="6" t="n"/>
      <c r="B513" s="113">
        <f>IF($D513="","","T"&amp;TEXT(ROW()-6,"00000"))</f>
        <v/>
      </c>
      <c r="C513" s="113">
        <f>IF($D513="","",IFERROR(INDEX(MUSTERILER!$B$7:$B$106,MATCH($R513,MUSTERILER!$T$7:$T$106,0)),IFERROR(INDEX(MUSTERILER!$B$7:$B$106,MATCH($D513,MUSTERILER!$B$7:$B$106,0)),IFERROR(INDEX(MUSTERILER!$B$7:$B$106,MATCH($R513&amp;"*",MUSTERILER!$T$7:$T$106,0)),"TANIMSIZ MÜŞTERİ"))))</f>
        <v/>
      </c>
      <c r="D513" s="109" t="inlineStr">
        <is>
          <t>HALİL AVŞAR</t>
        </is>
      </c>
      <c r="E513" s="220" t="n">
        <v>46254</v>
      </c>
      <c r="F513" s="221" t="n">
        <v>9000</v>
      </c>
      <c r="G513" s="108" t="inlineStr">
        <is>
          <t>MERKEZ KASA</t>
        </is>
      </c>
      <c r="H513" s="108" t="inlineStr">
        <is>
          <t>Nakit</t>
        </is>
      </c>
      <c r="I513" s="109" t="n"/>
      <c r="J513" s="109" t="inlineStr">
        <is>
          <t>NAKİT ÖDENEN</t>
        </is>
      </c>
      <c r="K513" s="109" t="n"/>
      <c r="L513" s="226">
        <f>IF($E513="","",DATE(YEAR($E513),MONTH($E513),1))</f>
        <v/>
      </c>
      <c r="M513" s="113">
        <f>IF($D513="","",IF($C513="TANIMSIZ MÜŞTERİ","HATA",IF(OR($E513="",$F513&lt;=0,$G513=""),"EKSİK",IF($E513&gt;TODAY(),"İLERİ TARİH",IF(COUNTIF($S$7:$S$1506,$S513)&gt;1,"MÜKERRER?",IF($T513&gt;0,"KAPALI DÖNEM","UYGUN"))))))</f>
        <v/>
      </c>
      <c r="N513" s="121">
        <f>IF($C513="","",IF($C513="TANIMSIZ MÜŞTERİ","—",INDEX(MUSTERILER!$C$7:$C$106,MATCH($C513,MUSTERILER!$B$7:$B$106,0))))</f>
        <v/>
      </c>
      <c r="O513" s="6" t="n"/>
      <c r="P513" s="6" t="n"/>
      <c r="Q513" s="3">
        <f>IF($D513="","",$C513&amp;"|"&amp;COUNTIFS($C$7:$C513,$C513))</f>
        <v/>
      </c>
      <c r="R513" s="3">
        <f>IF($D513="","",UPPER(SUBSTITUTE(SUBSTITUTE(SUBSTITUTE(SUBSTITUTE(SUBSTITUTE(SUBSTITUTE(SUBSTITUTE(SUBSTITUTE(SUBSTITUTE(SUBSTITUTE(SUBSTITUTE(SUBSTITUTE(SUBSTITUTE(SUBSTITUTE(SUBSTITUTE(SUBSTITUTE(SUBSTITUTE(SUBSTITUTE(TRIM($D513),"'",""),"İ","I"),"ı","I"),"i","I"),"Ş","S"),"ş","S"),"Ğ","G"),"ğ","G"),"Ü","U"),"ü","U"),"Ö","O"),"ö","O"),"Ç","C"),"ç","C"),".",""),",","")," ",""),"-","")))</f>
        <v/>
      </c>
      <c r="S513" s="3">
        <f>IF($D513="","",$C513&amp;"|"&amp;TEXT($E513,"0")&amp;"|"&amp;TEXT($F513,"0")&amp;"|"&amp;$I513)</f>
        <v/>
      </c>
      <c r="T513" s="3">
        <f>IF($E513="",0,SUMPRODUCT((AY_SONU!$O$7:$O$42="Evet")*(AY_SONU!$B$7:$B$42=DATE(YEAR($E513),MONTH($E513),1))))</f>
        <v/>
      </c>
    </row>
    <row r="514">
      <c r="A514" s="6" t="n"/>
      <c r="B514" s="113">
        <f>IF($D514="","","T"&amp;TEXT(ROW()-6,"00000"))</f>
        <v/>
      </c>
      <c r="C514" s="113">
        <f>IF($D514="","",IFERROR(INDEX(MUSTERILER!$B$7:$B$106,MATCH($R514,MUSTERILER!$T$7:$T$106,0)),IFERROR(INDEX(MUSTERILER!$B$7:$B$106,MATCH($D514,MUSTERILER!$B$7:$B$106,0)),IFERROR(INDEX(MUSTERILER!$B$7:$B$106,MATCH($R514&amp;"*",MUSTERILER!$T$7:$T$106,0)),"TANIMSIZ MÜŞTERİ"))))</f>
        <v/>
      </c>
      <c r="D514" s="109" t="inlineStr">
        <is>
          <t>ADEM KARABENLİ</t>
        </is>
      </c>
      <c r="E514" s="220" t="n">
        <v>46254</v>
      </c>
      <c r="F514" s="221" t="n">
        <v>3000</v>
      </c>
      <c r="G514" s="108" t="inlineStr">
        <is>
          <t>MERKEZ KASA</t>
        </is>
      </c>
      <c r="H514" s="108" t="inlineStr">
        <is>
          <t>Nakit</t>
        </is>
      </c>
      <c r="I514" s="109" t="n"/>
      <c r="J514" s="109" t="inlineStr">
        <is>
          <t>NAKİT ÖDENEN</t>
        </is>
      </c>
      <c r="K514" s="109" t="n"/>
      <c r="L514" s="226">
        <f>IF($E514="","",DATE(YEAR($E514),MONTH($E514),1))</f>
        <v/>
      </c>
      <c r="M514" s="113">
        <f>IF($D514="","",IF($C514="TANIMSIZ MÜŞTERİ","HATA",IF(OR($E514="",$F514&lt;=0,$G514=""),"EKSİK",IF($E514&gt;TODAY(),"İLERİ TARİH",IF(COUNTIF($S$7:$S$1506,$S514)&gt;1,"MÜKERRER?",IF($T514&gt;0,"KAPALI DÖNEM","UYGUN"))))))</f>
        <v/>
      </c>
      <c r="N514" s="121">
        <f>IF($C514="","",IF($C514="TANIMSIZ MÜŞTERİ","—",INDEX(MUSTERILER!$C$7:$C$106,MATCH($C514,MUSTERILER!$B$7:$B$106,0))))</f>
        <v/>
      </c>
      <c r="O514" s="6" t="n"/>
      <c r="P514" s="6" t="n"/>
      <c r="Q514" s="3">
        <f>IF($D514="","",$C514&amp;"|"&amp;COUNTIFS($C$7:$C514,$C514))</f>
        <v/>
      </c>
      <c r="R514" s="3">
        <f>IF($D514="","",UPPER(SUBSTITUTE(SUBSTITUTE(SUBSTITUTE(SUBSTITUTE(SUBSTITUTE(SUBSTITUTE(SUBSTITUTE(SUBSTITUTE(SUBSTITUTE(SUBSTITUTE(SUBSTITUTE(SUBSTITUTE(SUBSTITUTE(SUBSTITUTE(SUBSTITUTE(SUBSTITUTE(SUBSTITUTE(SUBSTITUTE(TRIM($D514),"'",""),"İ","I"),"ı","I"),"i","I"),"Ş","S"),"ş","S"),"Ğ","G"),"ğ","G"),"Ü","U"),"ü","U"),"Ö","O"),"ö","O"),"Ç","C"),"ç","C"),".",""),",","")," ",""),"-","")))</f>
        <v/>
      </c>
      <c r="S514" s="3">
        <f>IF($D514="","",$C514&amp;"|"&amp;TEXT($E514,"0")&amp;"|"&amp;TEXT($F514,"0")&amp;"|"&amp;$I514)</f>
        <v/>
      </c>
      <c r="T514" s="3">
        <f>IF($E514="",0,SUMPRODUCT((AY_SONU!$O$7:$O$42="Evet")*(AY_SONU!$B$7:$B$42=DATE(YEAR($E514),MONTH($E514),1))))</f>
        <v/>
      </c>
    </row>
    <row r="515">
      <c r="A515" s="6" t="n"/>
      <c r="B515" s="113">
        <f>IF($D515="","","T"&amp;TEXT(ROW()-6,"00000"))</f>
        <v/>
      </c>
      <c r="C515" s="113">
        <f>IF($D515="","",IFERROR(INDEX(MUSTERILER!$B$7:$B$106,MATCH($R515,MUSTERILER!$T$7:$T$106,0)),IFERROR(INDEX(MUSTERILER!$B$7:$B$106,MATCH($D515,MUSTERILER!$B$7:$B$106,0)),IFERROR(INDEX(MUSTERILER!$B$7:$B$106,MATCH($R515&amp;"*",MUSTERILER!$T$7:$T$106,0)),"TANIMSIZ MÜŞTERİ"))))</f>
        <v/>
      </c>
      <c r="D515" s="109" t="inlineStr">
        <is>
          <t>ÇAYIRALAN LTD.ŞTİ.</t>
        </is>
      </c>
      <c r="E515" s="220" t="n">
        <v>46254</v>
      </c>
      <c r="F515" s="221" t="n">
        <v>2500</v>
      </c>
      <c r="G515" s="108" t="inlineStr">
        <is>
          <t>MERKEZ KASA</t>
        </is>
      </c>
      <c r="H515" s="108" t="inlineStr">
        <is>
          <t>Nakit</t>
        </is>
      </c>
      <c r="I515" s="109" t="n"/>
      <c r="J515" s="109" t="inlineStr">
        <is>
          <t>NAKİT ÖDENEN</t>
        </is>
      </c>
      <c r="K515" s="109" t="n"/>
      <c r="L515" s="226">
        <f>IF($E515="","",DATE(YEAR($E515),MONTH($E515),1))</f>
        <v/>
      </c>
      <c r="M515" s="113">
        <f>IF($D515="","",IF($C515="TANIMSIZ MÜŞTERİ","HATA",IF(OR($E515="",$F515&lt;=0,$G515=""),"EKSİK",IF($E515&gt;TODAY(),"İLERİ TARİH",IF(COUNTIF($S$7:$S$1506,$S515)&gt;1,"MÜKERRER?",IF($T515&gt;0,"KAPALI DÖNEM","UYGUN"))))))</f>
        <v/>
      </c>
      <c r="N515" s="121">
        <f>IF($C515="","",IF($C515="TANIMSIZ MÜŞTERİ","—",INDEX(MUSTERILER!$C$7:$C$106,MATCH($C515,MUSTERILER!$B$7:$B$106,0))))</f>
        <v/>
      </c>
      <c r="O515" s="6" t="n"/>
      <c r="P515" s="6" t="n"/>
      <c r="Q515" s="3">
        <f>IF($D515="","",$C515&amp;"|"&amp;COUNTIFS($C$7:$C515,$C515))</f>
        <v/>
      </c>
      <c r="R515" s="3">
        <f>IF($D515="","",UPPER(SUBSTITUTE(SUBSTITUTE(SUBSTITUTE(SUBSTITUTE(SUBSTITUTE(SUBSTITUTE(SUBSTITUTE(SUBSTITUTE(SUBSTITUTE(SUBSTITUTE(SUBSTITUTE(SUBSTITUTE(SUBSTITUTE(SUBSTITUTE(SUBSTITUTE(SUBSTITUTE(SUBSTITUTE(SUBSTITUTE(TRIM($D515),"'",""),"İ","I"),"ı","I"),"i","I"),"Ş","S"),"ş","S"),"Ğ","G"),"ğ","G"),"Ü","U"),"ü","U"),"Ö","O"),"ö","O"),"Ç","C"),"ç","C"),".",""),",","")," ",""),"-","")))</f>
        <v/>
      </c>
      <c r="S515" s="3">
        <f>IF($D515="","",$C515&amp;"|"&amp;TEXT($E515,"0")&amp;"|"&amp;TEXT($F515,"0")&amp;"|"&amp;$I515)</f>
        <v/>
      </c>
      <c r="T515" s="3">
        <f>IF($E515="",0,SUMPRODUCT((AY_SONU!$O$7:$O$42="Evet")*(AY_SONU!$B$7:$B$42=DATE(YEAR($E515),MONTH($E515),1))))</f>
        <v/>
      </c>
    </row>
    <row r="516">
      <c r="A516" s="6" t="n"/>
      <c r="B516" s="113">
        <f>IF($D516="","","T"&amp;TEXT(ROW()-6,"00000"))</f>
        <v/>
      </c>
      <c r="C516" s="113">
        <f>IF($D516="","",IFERROR(INDEX(MUSTERILER!$B$7:$B$106,MATCH($R516,MUSTERILER!$T$7:$T$106,0)),IFERROR(INDEX(MUSTERILER!$B$7:$B$106,MATCH($D516,MUSTERILER!$B$7:$B$106,0)),IFERROR(INDEX(MUSTERILER!$B$7:$B$106,MATCH($R516&amp;"*",MUSTERILER!$T$7:$T$106,0)),"TANIMSIZ MÜŞTERİ"))))</f>
        <v/>
      </c>
      <c r="D516" s="109" t="inlineStr">
        <is>
          <t>MELEK GÜLER</t>
        </is>
      </c>
      <c r="E516" s="220" t="n">
        <v>46254</v>
      </c>
      <c r="F516" s="221" t="n">
        <v>12000</v>
      </c>
      <c r="G516" s="108" t="inlineStr">
        <is>
          <t>MERKEZ KASA</t>
        </is>
      </c>
      <c r="H516" s="108" t="inlineStr">
        <is>
          <t>Nakit</t>
        </is>
      </c>
      <c r="I516" s="109" t="n"/>
      <c r="J516" s="109" t="inlineStr">
        <is>
          <t>NAKİT ÖDENEN</t>
        </is>
      </c>
      <c r="K516" s="109" t="n"/>
      <c r="L516" s="226">
        <f>IF($E516="","",DATE(YEAR($E516),MONTH($E516),1))</f>
        <v/>
      </c>
      <c r="M516" s="113">
        <f>IF($D516="","",IF($C516="TANIMSIZ MÜŞTERİ","HATA",IF(OR($E516="",$F516&lt;=0,$G516=""),"EKSİK",IF($E516&gt;TODAY(),"İLERİ TARİH",IF(COUNTIF($S$7:$S$1506,$S516)&gt;1,"MÜKERRER?",IF($T516&gt;0,"KAPALI DÖNEM","UYGUN"))))))</f>
        <v/>
      </c>
      <c r="N516" s="121">
        <f>IF($C516="","",IF($C516="TANIMSIZ MÜŞTERİ","—",INDEX(MUSTERILER!$C$7:$C$106,MATCH($C516,MUSTERILER!$B$7:$B$106,0))))</f>
        <v/>
      </c>
      <c r="O516" s="6" t="n"/>
      <c r="P516" s="6" t="n"/>
      <c r="Q516" s="3">
        <f>IF($D516="","",$C516&amp;"|"&amp;COUNTIFS($C$7:$C516,$C516))</f>
        <v/>
      </c>
      <c r="R516" s="3">
        <f>IF($D516="","",UPPER(SUBSTITUTE(SUBSTITUTE(SUBSTITUTE(SUBSTITUTE(SUBSTITUTE(SUBSTITUTE(SUBSTITUTE(SUBSTITUTE(SUBSTITUTE(SUBSTITUTE(SUBSTITUTE(SUBSTITUTE(SUBSTITUTE(SUBSTITUTE(SUBSTITUTE(SUBSTITUTE(SUBSTITUTE(SUBSTITUTE(TRIM($D516),"'",""),"İ","I"),"ı","I"),"i","I"),"Ş","S"),"ş","S"),"Ğ","G"),"ğ","G"),"Ü","U"),"ü","U"),"Ö","O"),"ö","O"),"Ç","C"),"ç","C"),".",""),",","")," ",""),"-","")))</f>
        <v/>
      </c>
      <c r="S516" s="3">
        <f>IF($D516="","",$C516&amp;"|"&amp;TEXT($E516,"0")&amp;"|"&amp;TEXT($F516,"0")&amp;"|"&amp;$I516)</f>
        <v/>
      </c>
      <c r="T516" s="3">
        <f>IF($E516="",0,SUMPRODUCT((AY_SONU!$O$7:$O$42="Evet")*(AY_SONU!$B$7:$B$42=DATE(YEAR($E516),MONTH($E516),1))))</f>
        <v/>
      </c>
    </row>
    <row r="517">
      <c r="A517" s="6" t="n"/>
      <c r="B517" s="113">
        <f>IF($D517="","","T"&amp;TEXT(ROW()-6,"00000"))</f>
        <v/>
      </c>
      <c r="C517" s="113">
        <f>IF($D517="","",IFERROR(INDEX(MUSTERILER!$B$7:$B$106,MATCH($R517,MUSTERILER!$T$7:$T$106,0)),IFERROR(INDEX(MUSTERILER!$B$7:$B$106,MATCH($D517,MUSTERILER!$B$7:$B$106,0)),IFERROR(INDEX(MUSTERILER!$B$7:$B$106,MATCH($R517&amp;"*",MUSTERILER!$T$7:$T$106,0)),"TANIMSIZ MÜŞTERİ"))))</f>
        <v/>
      </c>
      <c r="D517" s="109" t="inlineStr">
        <is>
          <t>ÖMER DEMİRCİ</t>
        </is>
      </c>
      <c r="E517" s="220" t="n">
        <v>46200</v>
      </c>
      <c r="F517" s="221" t="n">
        <v>3500</v>
      </c>
      <c r="G517" s="108" t="inlineStr">
        <is>
          <t>ÖMER KARTAL</t>
        </is>
      </c>
      <c r="H517" s="108" t="inlineStr">
        <is>
          <t>Nakit</t>
        </is>
      </c>
      <c r="I517" s="109" t="n"/>
      <c r="J517" s="109" t="inlineStr">
        <is>
          <t>NAKİT ÖDENEN</t>
        </is>
      </c>
      <c r="K517" s="109" t="n"/>
      <c r="L517" s="226">
        <f>IF($E517="","",DATE(YEAR($E517),MONTH($E517),1))</f>
        <v/>
      </c>
      <c r="M517" s="113">
        <f>IF($D517="","",IF($C517="TANIMSIZ MÜŞTERİ","HATA",IF(OR($E517="",$F517&lt;=0,$G517=""),"EKSİK",IF($E517&gt;TODAY(),"İLERİ TARİH",IF(COUNTIF($S$7:$S$1506,$S517)&gt;1,"MÜKERRER?",IF($T517&gt;0,"KAPALI DÖNEM","UYGUN"))))))</f>
        <v/>
      </c>
      <c r="N517" s="121">
        <f>IF($C517="","",IF($C517="TANIMSIZ MÜŞTERİ","—",INDEX(MUSTERILER!$C$7:$C$106,MATCH($C517,MUSTERILER!$B$7:$B$106,0))))</f>
        <v/>
      </c>
      <c r="O517" s="6" t="n"/>
      <c r="P517" s="6" t="n"/>
      <c r="Q517" s="3">
        <f>IF($D517="","",$C517&amp;"|"&amp;COUNTIFS($C$7:$C517,$C517))</f>
        <v/>
      </c>
      <c r="R517" s="3">
        <f>IF($D517="","",UPPER(SUBSTITUTE(SUBSTITUTE(SUBSTITUTE(SUBSTITUTE(SUBSTITUTE(SUBSTITUTE(SUBSTITUTE(SUBSTITUTE(SUBSTITUTE(SUBSTITUTE(SUBSTITUTE(SUBSTITUTE(SUBSTITUTE(SUBSTITUTE(SUBSTITUTE(SUBSTITUTE(SUBSTITUTE(SUBSTITUTE(TRIM($D517),"'",""),"İ","I"),"ı","I"),"i","I"),"Ş","S"),"ş","S"),"Ğ","G"),"ğ","G"),"Ü","U"),"ü","U"),"Ö","O"),"ö","O"),"Ç","C"),"ç","C"),".",""),",","")," ",""),"-","")))</f>
        <v/>
      </c>
      <c r="S517" s="3">
        <f>IF($D517="","",$C517&amp;"|"&amp;TEXT($E517,"0")&amp;"|"&amp;TEXT($F517,"0")&amp;"|"&amp;$I517)</f>
        <v/>
      </c>
      <c r="T517" s="3">
        <f>IF($E517="",0,SUMPRODUCT((AY_SONU!$O$7:$O$42="Evet")*(AY_SONU!$B$7:$B$42=DATE(YEAR($E517),MONTH($E517),1))))</f>
        <v/>
      </c>
    </row>
    <row r="518">
      <c r="A518" s="6" t="n"/>
      <c r="B518" s="113">
        <f>IF($D518="","","T"&amp;TEXT(ROW()-6,"00000"))</f>
        <v/>
      </c>
      <c r="C518" s="113">
        <f>IF($D518="","",IFERROR(INDEX(MUSTERILER!$B$7:$B$106,MATCH($R518,MUSTERILER!$T$7:$T$106,0)),IFERROR(INDEX(MUSTERILER!$B$7:$B$106,MATCH($D518,MUSTERILER!$B$7:$B$106,0)),IFERROR(INDEX(MUSTERILER!$B$7:$B$106,MATCH($R518&amp;"*",MUSTERILER!$T$7:$T$106,0)),"TANIMSIZ MÜŞTERİ"))))</f>
        <v/>
      </c>
      <c r="D518" s="109" t="inlineStr">
        <is>
          <t>ÖMER DEMİRCİ</t>
        </is>
      </c>
      <c r="E518" s="220" t="n">
        <v>46221</v>
      </c>
      <c r="F518" s="221" t="n">
        <v>3500</v>
      </c>
      <c r="G518" s="108" t="inlineStr">
        <is>
          <t>ÖMER KARTAL</t>
        </is>
      </c>
      <c r="H518" s="108" t="inlineStr">
        <is>
          <t>Nakit</t>
        </is>
      </c>
      <c r="I518" s="109" t="n"/>
      <c r="J518" s="109" t="inlineStr">
        <is>
          <t>NAKİT ÖDENEN</t>
        </is>
      </c>
      <c r="K518" s="109" t="n"/>
      <c r="L518" s="226">
        <f>IF($E518="","",DATE(YEAR($E518),MONTH($E518),1))</f>
        <v/>
      </c>
      <c r="M518" s="113">
        <f>IF($D518="","",IF($C518="TANIMSIZ MÜŞTERİ","HATA",IF(OR($E518="",$F518&lt;=0,$G518=""),"EKSİK",IF($E518&gt;TODAY(),"İLERİ TARİH",IF(COUNTIF($S$7:$S$1506,$S518)&gt;1,"MÜKERRER?",IF($T518&gt;0,"KAPALI DÖNEM","UYGUN"))))))</f>
        <v/>
      </c>
      <c r="N518" s="121">
        <f>IF($C518="","",IF($C518="TANIMSIZ MÜŞTERİ","—",INDEX(MUSTERILER!$C$7:$C$106,MATCH($C518,MUSTERILER!$B$7:$B$106,0))))</f>
        <v/>
      </c>
      <c r="O518" s="6" t="n"/>
      <c r="P518" s="6" t="n"/>
      <c r="Q518" s="3">
        <f>IF($D518="","",$C518&amp;"|"&amp;COUNTIFS($C$7:$C518,$C518))</f>
        <v/>
      </c>
      <c r="R518" s="3">
        <f>IF($D518="","",UPPER(SUBSTITUTE(SUBSTITUTE(SUBSTITUTE(SUBSTITUTE(SUBSTITUTE(SUBSTITUTE(SUBSTITUTE(SUBSTITUTE(SUBSTITUTE(SUBSTITUTE(SUBSTITUTE(SUBSTITUTE(SUBSTITUTE(SUBSTITUTE(SUBSTITUTE(SUBSTITUTE(SUBSTITUTE(SUBSTITUTE(TRIM($D518),"'",""),"İ","I"),"ı","I"),"i","I"),"Ş","S"),"ş","S"),"Ğ","G"),"ğ","G"),"Ü","U"),"ü","U"),"Ö","O"),"ö","O"),"Ç","C"),"ç","C"),".",""),",","")," ",""),"-","")))</f>
        <v/>
      </c>
      <c r="S518" s="3">
        <f>IF($D518="","",$C518&amp;"|"&amp;TEXT($E518,"0")&amp;"|"&amp;TEXT($F518,"0")&amp;"|"&amp;$I518)</f>
        <v/>
      </c>
      <c r="T518" s="3">
        <f>IF($E518="",0,SUMPRODUCT((AY_SONU!$O$7:$O$42="Evet")*(AY_SONU!$B$7:$B$42=DATE(YEAR($E518),MONTH($E518),1))))</f>
        <v/>
      </c>
    </row>
    <row r="519">
      <c r="A519" s="6" t="n"/>
      <c r="B519" s="113">
        <f>IF($D519="","","T"&amp;TEXT(ROW()-6,"00000"))</f>
        <v/>
      </c>
      <c r="C519" s="113">
        <f>IF($D519="","",IFERROR(INDEX(MUSTERILER!$B$7:$B$106,MATCH($R519,MUSTERILER!$T$7:$T$106,0)),IFERROR(INDEX(MUSTERILER!$B$7:$B$106,MATCH($D519,MUSTERILER!$B$7:$B$106,0)),IFERROR(INDEX(MUSTERILER!$B$7:$B$106,MATCH($R519&amp;"*",MUSTERILER!$T$7:$T$106,0)),"TANIMSIZ MÜŞTERİ"))))</f>
        <v/>
      </c>
      <c r="D519" s="109" t="n"/>
      <c r="E519" s="220" t="n"/>
      <c r="F519" s="221" t="n"/>
      <c r="G519" s="108" t="n"/>
      <c r="H519" s="108" t="n"/>
      <c r="I519" s="109" t="n"/>
      <c r="J519" s="109" t="n"/>
      <c r="K519" s="109" t="n"/>
      <c r="L519" s="226">
        <f>IF($E519="","",DATE(YEAR($E519),MONTH($E519),1))</f>
        <v/>
      </c>
      <c r="M519" s="113">
        <f>IF($D519="","",IF($C519="TANIMSIZ MÜŞTERİ","HATA",IF(OR($E519="",$F519&lt;=0,$G519=""),"EKSİK",IF($E519&gt;TODAY(),"İLERİ TARİH",IF(COUNTIF($S$7:$S$1506,$S519)&gt;1,"MÜKERRER?",IF($T519&gt;0,"KAPALI DÖNEM","UYGUN"))))))</f>
        <v/>
      </c>
      <c r="N519" s="121">
        <f>IF($C519="","",IF($C519="TANIMSIZ MÜŞTERİ","—",INDEX(MUSTERILER!$C$7:$C$106,MATCH($C519,MUSTERILER!$B$7:$B$106,0))))</f>
        <v/>
      </c>
      <c r="O519" s="6" t="n"/>
      <c r="P519" s="6" t="n"/>
      <c r="Q519" s="3">
        <f>IF($D519="","",$C519&amp;"|"&amp;COUNTIFS($C$7:$C519,$C519))</f>
        <v/>
      </c>
      <c r="R519" s="3">
        <f>IF($D519="","",UPPER(SUBSTITUTE(SUBSTITUTE(SUBSTITUTE(SUBSTITUTE(SUBSTITUTE(SUBSTITUTE(SUBSTITUTE(SUBSTITUTE(SUBSTITUTE(SUBSTITUTE(SUBSTITUTE(SUBSTITUTE(SUBSTITUTE(SUBSTITUTE(SUBSTITUTE(SUBSTITUTE(SUBSTITUTE(SUBSTITUTE(TRIM($D519),"'",""),"İ","I"),"ı","I"),"i","I"),"Ş","S"),"ş","S"),"Ğ","G"),"ğ","G"),"Ü","U"),"ü","U"),"Ö","O"),"ö","O"),"Ç","C"),"ç","C"),".",""),",","")," ",""),"-","")))</f>
        <v/>
      </c>
      <c r="S519" s="3">
        <f>IF($D519="","",$C519&amp;"|"&amp;TEXT($E519,"0")&amp;"|"&amp;TEXT($F519,"0")&amp;"|"&amp;$I519)</f>
        <v/>
      </c>
      <c r="T519" s="3">
        <f>IF($E519="",0,SUMPRODUCT((AY_SONU!$O$7:$O$42="Evet")*(AY_SONU!$B$7:$B$42=DATE(YEAR($E519),MONTH($E519),1))))</f>
        <v/>
      </c>
    </row>
    <row r="520">
      <c r="A520" s="6" t="n"/>
      <c r="B520" s="113">
        <f>IF($D520="","","T"&amp;TEXT(ROW()-6,"00000"))</f>
        <v/>
      </c>
      <c r="C520" s="113">
        <f>IF($D520="","",IFERROR(INDEX(MUSTERILER!$B$7:$B$106,MATCH($R520,MUSTERILER!$T$7:$T$106,0)),IFERROR(INDEX(MUSTERILER!$B$7:$B$106,MATCH($D520,MUSTERILER!$B$7:$B$106,0)),IFERROR(INDEX(MUSTERILER!$B$7:$B$106,MATCH($R520&amp;"*",MUSTERILER!$T$7:$T$106,0)),"TANIMSIZ MÜŞTERİ"))))</f>
        <v/>
      </c>
      <c r="D520" s="109" t="n"/>
      <c r="E520" s="220" t="n"/>
      <c r="F520" s="221" t="n"/>
      <c r="G520" s="108" t="n"/>
      <c r="H520" s="108" t="n"/>
      <c r="I520" s="109" t="n"/>
      <c r="J520" s="109" t="n"/>
      <c r="K520" s="109" t="n"/>
      <c r="L520" s="226">
        <f>IF($E520="","",DATE(YEAR($E520),MONTH($E520),1))</f>
        <v/>
      </c>
      <c r="M520" s="113">
        <f>IF($D520="","",IF($C520="TANIMSIZ MÜŞTERİ","HATA",IF(OR($E520="",$F520&lt;=0,$G520=""),"EKSİK",IF($E520&gt;TODAY(),"İLERİ TARİH",IF(COUNTIF($S$7:$S$1506,$S520)&gt;1,"MÜKERRER?",IF($T520&gt;0,"KAPALI DÖNEM","UYGUN"))))))</f>
        <v/>
      </c>
      <c r="N520" s="121">
        <f>IF($C520="","",IF($C520="TANIMSIZ MÜŞTERİ","—",INDEX(MUSTERILER!$C$7:$C$106,MATCH($C520,MUSTERILER!$B$7:$B$106,0))))</f>
        <v/>
      </c>
      <c r="O520" s="6" t="n"/>
      <c r="P520" s="6" t="n"/>
      <c r="Q520" s="3">
        <f>IF($D520="","",$C520&amp;"|"&amp;COUNTIFS($C$7:$C520,$C520))</f>
        <v/>
      </c>
      <c r="R520" s="3">
        <f>IF($D520="","",UPPER(SUBSTITUTE(SUBSTITUTE(SUBSTITUTE(SUBSTITUTE(SUBSTITUTE(SUBSTITUTE(SUBSTITUTE(SUBSTITUTE(SUBSTITUTE(SUBSTITUTE(SUBSTITUTE(SUBSTITUTE(SUBSTITUTE(SUBSTITUTE(SUBSTITUTE(SUBSTITUTE(SUBSTITUTE(SUBSTITUTE(TRIM($D520),"'",""),"İ","I"),"ı","I"),"i","I"),"Ş","S"),"ş","S"),"Ğ","G"),"ğ","G"),"Ü","U"),"ü","U"),"Ö","O"),"ö","O"),"Ç","C"),"ç","C"),".",""),",","")," ",""),"-","")))</f>
        <v/>
      </c>
      <c r="S520" s="3">
        <f>IF($D520="","",$C520&amp;"|"&amp;TEXT($E520,"0")&amp;"|"&amp;TEXT($F520,"0")&amp;"|"&amp;$I520)</f>
        <v/>
      </c>
      <c r="T520" s="3">
        <f>IF($E520="",0,SUMPRODUCT((AY_SONU!$O$7:$O$42="Evet")*(AY_SONU!$B$7:$B$42=DATE(YEAR($E520),MONTH($E520),1))))</f>
        <v/>
      </c>
    </row>
    <row r="521">
      <c r="A521" s="6" t="n"/>
      <c r="B521" s="113">
        <f>IF($D521="","","T"&amp;TEXT(ROW()-6,"00000"))</f>
        <v/>
      </c>
      <c r="C521" s="113">
        <f>IF($D521="","",IFERROR(INDEX(MUSTERILER!$B$7:$B$106,MATCH($R521,MUSTERILER!$T$7:$T$106,0)),IFERROR(INDEX(MUSTERILER!$B$7:$B$106,MATCH($D521,MUSTERILER!$B$7:$B$106,0)),IFERROR(INDEX(MUSTERILER!$B$7:$B$106,MATCH($R521&amp;"*",MUSTERILER!$T$7:$T$106,0)),"TANIMSIZ MÜŞTERİ"))))</f>
        <v/>
      </c>
      <c r="D521" s="109" t="n"/>
      <c r="E521" s="220" t="n"/>
      <c r="F521" s="221" t="n"/>
      <c r="G521" s="108" t="n"/>
      <c r="H521" s="108" t="n"/>
      <c r="I521" s="109" t="n"/>
      <c r="J521" s="109" t="n"/>
      <c r="K521" s="109" t="n"/>
      <c r="L521" s="226">
        <f>IF($E521="","",DATE(YEAR($E521),MONTH($E521),1))</f>
        <v/>
      </c>
      <c r="M521" s="113">
        <f>IF($D521="","",IF($C521="TANIMSIZ MÜŞTERİ","HATA",IF(OR($E521="",$F521&lt;=0,$G521=""),"EKSİK",IF($E521&gt;TODAY(),"İLERİ TARİH",IF(COUNTIF($S$7:$S$1506,$S521)&gt;1,"MÜKERRER?",IF($T521&gt;0,"KAPALI DÖNEM","UYGUN"))))))</f>
        <v/>
      </c>
      <c r="N521" s="121">
        <f>IF($C521="","",IF($C521="TANIMSIZ MÜŞTERİ","—",INDEX(MUSTERILER!$C$7:$C$106,MATCH($C521,MUSTERILER!$B$7:$B$106,0))))</f>
        <v/>
      </c>
      <c r="O521" s="6" t="n"/>
      <c r="P521" s="6" t="n"/>
      <c r="Q521" s="3">
        <f>IF($D521="","",$C521&amp;"|"&amp;COUNTIFS($C$7:$C521,$C521))</f>
        <v/>
      </c>
      <c r="R521" s="3">
        <f>IF($D521="","",UPPER(SUBSTITUTE(SUBSTITUTE(SUBSTITUTE(SUBSTITUTE(SUBSTITUTE(SUBSTITUTE(SUBSTITUTE(SUBSTITUTE(SUBSTITUTE(SUBSTITUTE(SUBSTITUTE(SUBSTITUTE(SUBSTITUTE(SUBSTITUTE(SUBSTITUTE(SUBSTITUTE(SUBSTITUTE(SUBSTITUTE(TRIM($D521),"'",""),"İ","I"),"ı","I"),"i","I"),"Ş","S"),"ş","S"),"Ğ","G"),"ğ","G"),"Ü","U"),"ü","U"),"Ö","O"),"ö","O"),"Ç","C"),"ç","C"),".",""),",","")," ",""),"-","")))</f>
        <v/>
      </c>
      <c r="S521" s="3">
        <f>IF($D521="","",$C521&amp;"|"&amp;TEXT($E521,"0")&amp;"|"&amp;TEXT($F521,"0")&amp;"|"&amp;$I521)</f>
        <v/>
      </c>
      <c r="T521" s="3">
        <f>IF($E521="",0,SUMPRODUCT((AY_SONU!$O$7:$O$42="Evet")*(AY_SONU!$B$7:$B$42=DATE(YEAR($E521),MONTH($E521),1))))</f>
        <v/>
      </c>
    </row>
    <row r="522">
      <c r="A522" s="6" t="n"/>
      <c r="B522" s="113">
        <f>IF($D522="","","T"&amp;TEXT(ROW()-6,"00000"))</f>
        <v/>
      </c>
      <c r="C522" s="113">
        <f>IF($D522="","",IFERROR(INDEX(MUSTERILER!$B$7:$B$106,MATCH($R522,MUSTERILER!$T$7:$T$106,0)),IFERROR(INDEX(MUSTERILER!$B$7:$B$106,MATCH($D522,MUSTERILER!$B$7:$B$106,0)),IFERROR(INDEX(MUSTERILER!$B$7:$B$106,MATCH($R522&amp;"*",MUSTERILER!$T$7:$T$106,0)),"TANIMSIZ MÜŞTERİ"))))</f>
        <v/>
      </c>
      <c r="D522" s="109" t="n"/>
      <c r="E522" s="220" t="n"/>
      <c r="F522" s="221" t="n"/>
      <c r="G522" s="108" t="n"/>
      <c r="H522" s="108" t="n"/>
      <c r="I522" s="109" t="n"/>
      <c r="J522" s="109" t="n"/>
      <c r="K522" s="109" t="n"/>
      <c r="L522" s="226">
        <f>IF($E522="","",DATE(YEAR($E522),MONTH($E522),1))</f>
        <v/>
      </c>
      <c r="M522" s="113">
        <f>IF($D522="","",IF($C522="TANIMSIZ MÜŞTERİ","HATA",IF(OR($E522="",$F522&lt;=0,$G522=""),"EKSİK",IF($E522&gt;TODAY(),"İLERİ TARİH",IF(COUNTIF($S$7:$S$1506,$S522)&gt;1,"MÜKERRER?",IF($T522&gt;0,"KAPALI DÖNEM","UYGUN"))))))</f>
        <v/>
      </c>
      <c r="N522" s="121">
        <f>IF($C522="","",IF($C522="TANIMSIZ MÜŞTERİ","—",INDEX(MUSTERILER!$C$7:$C$106,MATCH($C522,MUSTERILER!$B$7:$B$106,0))))</f>
        <v/>
      </c>
      <c r="O522" s="6" t="n"/>
      <c r="P522" s="6" t="n"/>
      <c r="Q522" s="3">
        <f>IF($D522="","",$C522&amp;"|"&amp;COUNTIFS($C$7:$C522,$C522))</f>
        <v/>
      </c>
      <c r="R522" s="3">
        <f>IF($D522="","",UPPER(SUBSTITUTE(SUBSTITUTE(SUBSTITUTE(SUBSTITUTE(SUBSTITUTE(SUBSTITUTE(SUBSTITUTE(SUBSTITUTE(SUBSTITUTE(SUBSTITUTE(SUBSTITUTE(SUBSTITUTE(SUBSTITUTE(SUBSTITUTE(SUBSTITUTE(SUBSTITUTE(SUBSTITUTE(SUBSTITUTE(TRIM($D522),"'",""),"İ","I"),"ı","I"),"i","I"),"Ş","S"),"ş","S"),"Ğ","G"),"ğ","G"),"Ü","U"),"ü","U"),"Ö","O"),"ö","O"),"Ç","C"),"ç","C"),".",""),",","")," ",""),"-","")))</f>
        <v/>
      </c>
      <c r="S522" s="3">
        <f>IF($D522="","",$C522&amp;"|"&amp;TEXT($E522,"0")&amp;"|"&amp;TEXT($F522,"0")&amp;"|"&amp;$I522)</f>
        <v/>
      </c>
      <c r="T522" s="3">
        <f>IF($E522="",0,SUMPRODUCT((AY_SONU!$O$7:$O$42="Evet")*(AY_SONU!$B$7:$B$42=DATE(YEAR($E522),MONTH($E522),1))))</f>
        <v/>
      </c>
    </row>
    <row r="523">
      <c r="A523" s="6" t="n"/>
      <c r="B523" s="113">
        <f>IF($D523="","","T"&amp;TEXT(ROW()-6,"00000"))</f>
        <v/>
      </c>
      <c r="C523" s="113">
        <f>IF($D523="","",IFERROR(INDEX(MUSTERILER!$B$7:$B$106,MATCH($R523,MUSTERILER!$T$7:$T$106,0)),IFERROR(INDEX(MUSTERILER!$B$7:$B$106,MATCH($D523,MUSTERILER!$B$7:$B$106,0)),IFERROR(INDEX(MUSTERILER!$B$7:$B$106,MATCH($R523&amp;"*",MUSTERILER!$T$7:$T$106,0)),"TANIMSIZ MÜŞTERİ"))))</f>
        <v/>
      </c>
      <c r="D523" s="109" t="n"/>
      <c r="E523" s="220" t="n"/>
      <c r="F523" s="221" t="n"/>
      <c r="G523" s="108" t="n"/>
      <c r="H523" s="108" t="n"/>
      <c r="I523" s="109" t="n"/>
      <c r="J523" s="109" t="n"/>
      <c r="K523" s="109" t="n"/>
      <c r="L523" s="226">
        <f>IF($E523="","",DATE(YEAR($E523),MONTH($E523),1))</f>
        <v/>
      </c>
      <c r="M523" s="113">
        <f>IF($D523="","",IF($C523="TANIMSIZ MÜŞTERİ","HATA",IF(OR($E523="",$F523&lt;=0,$G523=""),"EKSİK",IF($E523&gt;TODAY(),"İLERİ TARİH",IF(COUNTIF($S$7:$S$1506,$S523)&gt;1,"MÜKERRER?",IF($T523&gt;0,"KAPALI DÖNEM","UYGUN"))))))</f>
        <v/>
      </c>
      <c r="N523" s="121">
        <f>IF($C523="","",IF($C523="TANIMSIZ MÜŞTERİ","—",INDEX(MUSTERILER!$C$7:$C$106,MATCH($C523,MUSTERILER!$B$7:$B$106,0))))</f>
        <v/>
      </c>
      <c r="O523" s="6" t="n"/>
      <c r="P523" s="6" t="n"/>
      <c r="Q523" s="3">
        <f>IF($D523="","",$C523&amp;"|"&amp;COUNTIFS($C$7:$C523,$C523))</f>
        <v/>
      </c>
      <c r="R523" s="3">
        <f>IF($D523="","",UPPER(SUBSTITUTE(SUBSTITUTE(SUBSTITUTE(SUBSTITUTE(SUBSTITUTE(SUBSTITUTE(SUBSTITUTE(SUBSTITUTE(SUBSTITUTE(SUBSTITUTE(SUBSTITUTE(SUBSTITUTE(SUBSTITUTE(SUBSTITUTE(SUBSTITUTE(SUBSTITUTE(SUBSTITUTE(SUBSTITUTE(TRIM($D523),"'",""),"İ","I"),"ı","I"),"i","I"),"Ş","S"),"ş","S"),"Ğ","G"),"ğ","G"),"Ü","U"),"ü","U"),"Ö","O"),"ö","O"),"Ç","C"),"ç","C"),".",""),",","")," ",""),"-","")))</f>
        <v/>
      </c>
      <c r="S523" s="3">
        <f>IF($D523="","",$C523&amp;"|"&amp;TEXT($E523,"0")&amp;"|"&amp;TEXT($F523,"0")&amp;"|"&amp;$I523)</f>
        <v/>
      </c>
      <c r="T523" s="3">
        <f>IF($E523="",0,SUMPRODUCT((AY_SONU!$O$7:$O$42="Evet")*(AY_SONU!$B$7:$B$42=DATE(YEAR($E523),MONTH($E523),1))))</f>
        <v/>
      </c>
    </row>
    <row r="524">
      <c r="A524" s="6" t="n"/>
      <c r="B524" s="113">
        <f>IF($D524="","","T"&amp;TEXT(ROW()-6,"00000"))</f>
        <v/>
      </c>
      <c r="C524" s="113">
        <f>IF($D524="","",IFERROR(INDEX(MUSTERILER!$B$7:$B$106,MATCH($R524,MUSTERILER!$T$7:$T$106,0)),IFERROR(INDEX(MUSTERILER!$B$7:$B$106,MATCH($D524,MUSTERILER!$B$7:$B$106,0)),IFERROR(INDEX(MUSTERILER!$B$7:$B$106,MATCH($R524&amp;"*",MUSTERILER!$T$7:$T$106,0)),"TANIMSIZ MÜŞTERİ"))))</f>
        <v/>
      </c>
      <c r="D524" s="109" t="n"/>
      <c r="E524" s="220" t="n"/>
      <c r="F524" s="221" t="n"/>
      <c r="G524" s="108" t="n"/>
      <c r="H524" s="108" t="n"/>
      <c r="I524" s="109" t="n"/>
      <c r="J524" s="109" t="n"/>
      <c r="K524" s="109" t="n"/>
      <c r="L524" s="226">
        <f>IF($E524="","",DATE(YEAR($E524),MONTH($E524),1))</f>
        <v/>
      </c>
      <c r="M524" s="113">
        <f>IF($D524="","",IF($C524="TANIMSIZ MÜŞTERİ","HATA",IF(OR($E524="",$F524&lt;=0,$G524=""),"EKSİK",IF($E524&gt;TODAY(),"İLERİ TARİH",IF(COUNTIF($S$7:$S$1506,$S524)&gt;1,"MÜKERRER?",IF($T524&gt;0,"KAPALI DÖNEM","UYGUN"))))))</f>
        <v/>
      </c>
      <c r="N524" s="121">
        <f>IF($C524="","",IF($C524="TANIMSIZ MÜŞTERİ","—",INDEX(MUSTERILER!$C$7:$C$106,MATCH($C524,MUSTERILER!$B$7:$B$106,0))))</f>
        <v/>
      </c>
      <c r="O524" s="6" t="n"/>
      <c r="P524" s="6" t="n"/>
      <c r="Q524" s="3">
        <f>IF($D524="","",$C524&amp;"|"&amp;COUNTIFS($C$7:$C524,$C524))</f>
        <v/>
      </c>
      <c r="R524" s="3">
        <f>IF($D524="","",UPPER(SUBSTITUTE(SUBSTITUTE(SUBSTITUTE(SUBSTITUTE(SUBSTITUTE(SUBSTITUTE(SUBSTITUTE(SUBSTITUTE(SUBSTITUTE(SUBSTITUTE(SUBSTITUTE(SUBSTITUTE(SUBSTITUTE(SUBSTITUTE(SUBSTITUTE(SUBSTITUTE(SUBSTITUTE(SUBSTITUTE(TRIM($D524),"'",""),"İ","I"),"ı","I"),"i","I"),"Ş","S"),"ş","S"),"Ğ","G"),"ğ","G"),"Ü","U"),"ü","U"),"Ö","O"),"ö","O"),"Ç","C"),"ç","C"),".",""),",","")," ",""),"-","")))</f>
        <v/>
      </c>
      <c r="S524" s="3">
        <f>IF($D524="","",$C524&amp;"|"&amp;TEXT($E524,"0")&amp;"|"&amp;TEXT($F524,"0")&amp;"|"&amp;$I524)</f>
        <v/>
      </c>
      <c r="T524" s="3">
        <f>IF($E524="",0,SUMPRODUCT((AY_SONU!$O$7:$O$42="Evet")*(AY_SONU!$B$7:$B$42=DATE(YEAR($E524),MONTH($E524),1))))</f>
        <v/>
      </c>
    </row>
    <row r="525">
      <c r="A525" s="6" t="n"/>
      <c r="B525" s="113">
        <f>IF($D525="","","T"&amp;TEXT(ROW()-6,"00000"))</f>
        <v/>
      </c>
      <c r="C525" s="113">
        <f>IF($D525="","",IFERROR(INDEX(MUSTERILER!$B$7:$B$106,MATCH($R525,MUSTERILER!$T$7:$T$106,0)),IFERROR(INDEX(MUSTERILER!$B$7:$B$106,MATCH($D525,MUSTERILER!$B$7:$B$106,0)),IFERROR(INDEX(MUSTERILER!$B$7:$B$106,MATCH($R525&amp;"*",MUSTERILER!$T$7:$T$106,0)),"TANIMSIZ MÜŞTERİ"))))</f>
        <v/>
      </c>
      <c r="D525" s="109" t="n"/>
      <c r="E525" s="220" t="n"/>
      <c r="F525" s="221" t="n"/>
      <c r="G525" s="108" t="n"/>
      <c r="H525" s="108" t="n"/>
      <c r="I525" s="109" t="n"/>
      <c r="J525" s="109" t="n"/>
      <c r="K525" s="109" t="n"/>
      <c r="L525" s="226">
        <f>IF($E525="","",DATE(YEAR($E525),MONTH($E525),1))</f>
        <v/>
      </c>
      <c r="M525" s="113">
        <f>IF($D525="","",IF($C525="TANIMSIZ MÜŞTERİ","HATA",IF(OR($E525="",$F525&lt;=0,$G525=""),"EKSİK",IF($E525&gt;TODAY(),"İLERİ TARİH",IF(COUNTIF($S$7:$S$1506,$S525)&gt;1,"MÜKERRER?",IF($T525&gt;0,"KAPALI DÖNEM","UYGUN"))))))</f>
        <v/>
      </c>
      <c r="N525" s="121">
        <f>IF($C525="","",IF($C525="TANIMSIZ MÜŞTERİ","—",INDEX(MUSTERILER!$C$7:$C$106,MATCH($C525,MUSTERILER!$B$7:$B$106,0))))</f>
        <v/>
      </c>
      <c r="O525" s="6" t="n"/>
      <c r="P525" s="6" t="n"/>
      <c r="Q525" s="3">
        <f>IF($D525="","",$C525&amp;"|"&amp;COUNTIFS($C$7:$C525,$C525))</f>
        <v/>
      </c>
      <c r="R525" s="3">
        <f>IF($D525="","",UPPER(SUBSTITUTE(SUBSTITUTE(SUBSTITUTE(SUBSTITUTE(SUBSTITUTE(SUBSTITUTE(SUBSTITUTE(SUBSTITUTE(SUBSTITUTE(SUBSTITUTE(SUBSTITUTE(SUBSTITUTE(SUBSTITUTE(SUBSTITUTE(SUBSTITUTE(SUBSTITUTE(SUBSTITUTE(SUBSTITUTE(TRIM($D525),"'",""),"İ","I"),"ı","I"),"i","I"),"Ş","S"),"ş","S"),"Ğ","G"),"ğ","G"),"Ü","U"),"ü","U"),"Ö","O"),"ö","O"),"Ç","C"),"ç","C"),".",""),",","")," ",""),"-","")))</f>
        <v/>
      </c>
      <c r="S525" s="3">
        <f>IF($D525="","",$C525&amp;"|"&amp;TEXT($E525,"0")&amp;"|"&amp;TEXT($F525,"0")&amp;"|"&amp;$I525)</f>
        <v/>
      </c>
      <c r="T525" s="3">
        <f>IF($E525="",0,SUMPRODUCT((AY_SONU!$O$7:$O$42="Evet")*(AY_SONU!$B$7:$B$42=DATE(YEAR($E525),MONTH($E525),1))))</f>
        <v/>
      </c>
    </row>
    <row r="526">
      <c r="A526" s="6" t="n"/>
      <c r="B526" s="113">
        <f>IF($D526="","","T"&amp;TEXT(ROW()-6,"00000"))</f>
        <v/>
      </c>
      <c r="C526" s="113">
        <f>IF($D526="","",IFERROR(INDEX(MUSTERILER!$B$7:$B$106,MATCH($R526,MUSTERILER!$T$7:$T$106,0)),IFERROR(INDEX(MUSTERILER!$B$7:$B$106,MATCH($D526,MUSTERILER!$B$7:$B$106,0)),IFERROR(INDEX(MUSTERILER!$B$7:$B$106,MATCH($R526&amp;"*",MUSTERILER!$T$7:$T$106,0)),"TANIMSIZ MÜŞTERİ"))))</f>
        <v/>
      </c>
      <c r="D526" s="109" t="n"/>
      <c r="E526" s="220" t="n"/>
      <c r="F526" s="221" t="n"/>
      <c r="G526" s="108" t="n"/>
      <c r="H526" s="108" t="n"/>
      <c r="I526" s="109" t="n"/>
      <c r="J526" s="109" t="n"/>
      <c r="K526" s="109" t="n"/>
      <c r="L526" s="226">
        <f>IF($E526="","",DATE(YEAR($E526),MONTH($E526),1))</f>
        <v/>
      </c>
      <c r="M526" s="113">
        <f>IF($D526="","",IF($C526="TANIMSIZ MÜŞTERİ","HATA",IF(OR($E526="",$F526&lt;=0,$G526=""),"EKSİK",IF($E526&gt;TODAY(),"İLERİ TARİH",IF(COUNTIF($S$7:$S$1506,$S526)&gt;1,"MÜKERRER?",IF($T526&gt;0,"KAPALI DÖNEM","UYGUN"))))))</f>
        <v/>
      </c>
      <c r="N526" s="121">
        <f>IF($C526="","",IF($C526="TANIMSIZ MÜŞTERİ","—",INDEX(MUSTERILER!$C$7:$C$106,MATCH($C526,MUSTERILER!$B$7:$B$106,0))))</f>
        <v/>
      </c>
      <c r="O526" s="6" t="n"/>
      <c r="P526" s="6" t="n"/>
      <c r="Q526" s="3">
        <f>IF($D526="","",$C526&amp;"|"&amp;COUNTIFS($C$7:$C526,$C526))</f>
        <v/>
      </c>
      <c r="R526" s="3">
        <f>IF($D526="","",UPPER(SUBSTITUTE(SUBSTITUTE(SUBSTITUTE(SUBSTITUTE(SUBSTITUTE(SUBSTITUTE(SUBSTITUTE(SUBSTITUTE(SUBSTITUTE(SUBSTITUTE(SUBSTITUTE(SUBSTITUTE(SUBSTITUTE(SUBSTITUTE(SUBSTITUTE(SUBSTITUTE(SUBSTITUTE(SUBSTITUTE(TRIM($D526),"'",""),"İ","I"),"ı","I"),"i","I"),"Ş","S"),"ş","S"),"Ğ","G"),"ğ","G"),"Ü","U"),"ü","U"),"Ö","O"),"ö","O"),"Ç","C"),"ç","C"),".",""),",","")," ",""),"-","")))</f>
        <v/>
      </c>
      <c r="S526" s="3">
        <f>IF($D526="","",$C526&amp;"|"&amp;TEXT($E526,"0")&amp;"|"&amp;TEXT($F526,"0")&amp;"|"&amp;$I526)</f>
        <v/>
      </c>
      <c r="T526" s="3">
        <f>IF($E526="",0,SUMPRODUCT((AY_SONU!$O$7:$O$42="Evet")*(AY_SONU!$B$7:$B$42=DATE(YEAR($E526),MONTH($E526),1))))</f>
        <v/>
      </c>
    </row>
    <row r="527">
      <c r="A527" s="6" t="n"/>
      <c r="B527" s="113">
        <f>IF($D527="","","T"&amp;TEXT(ROW()-6,"00000"))</f>
        <v/>
      </c>
      <c r="C527" s="113">
        <f>IF($D527="","",IFERROR(INDEX(MUSTERILER!$B$7:$B$106,MATCH($R527,MUSTERILER!$T$7:$T$106,0)),IFERROR(INDEX(MUSTERILER!$B$7:$B$106,MATCH($D527,MUSTERILER!$B$7:$B$106,0)),IFERROR(INDEX(MUSTERILER!$B$7:$B$106,MATCH($R527&amp;"*",MUSTERILER!$T$7:$T$106,0)),"TANIMSIZ MÜŞTERİ"))))</f>
        <v/>
      </c>
      <c r="D527" s="109" t="n"/>
      <c r="E527" s="220" t="n"/>
      <c r="F527" s="221" t="n"/>
      <c r="G527" s="108" t="n"/>
      <c r="H527" s="108" t="n"/>
      <c r="I527" s="109" t="n"/>
      <c r="J527" s="109" t="n"/>
      <c r="K527" s="109" t="n"/>
      <c r="L527" s="226">
        <f>IF($E527="","",DATE(YEAR($E527),MONTH($E527),1))</f>
        <v/>
      </c>
      <c r="M527" s="113">
        <f>IF($D527="","",IF($C527="TANIMSIZ MÜŞTERİ","HATA",IF(OR($E527="",$F527&lt;=0,$G527=""),"EKSİK",IF($E527&gt;TODAY(),"İLERİ TARİH",IF(COUNTIF($S$7:$S$1506,$S527)&gt;1,"MÜKERRER?",IF($T527&gt;0,"KAPALI DÖNEM","UYGUN"))))))</f>
        <v/>
      </c>
      <c r="N527" s="121">
        <f>IF($C527="","",IF($C527="TANIMSIZ MÜŞTERİ","—",INDEX(MUSTERILER!$C$7:$C$106,MATCH($C527,MUSTERILER!$B$7:$B$106,0))))</f>
        <v/>
      </c>
      <c r="O527" s="6" t="n"/>
      <c r="P527" s="6" t="n"/>
      <c r="Q527" s="3">
        <f>IF($D527="","",$C527&amp;"|"&amp;COUNTIFS($C$7:$C527,$C527))</f>
        <v/>
      </c>
      <c r="R527" s="3">
        <f>IF($D527="","",UPPER(SUBSTITUTE(SUBSTITUTE(SUBSTITUTE(SUBSTITUTE(SUBSTITUTE(SUBSTITUTE(SUBSTITUTE(SUBSTITUTE(SUBSTITUTE(SUBSTITUTE(SUBSTITUTE(SUBSTITUTE(SUBSTITUTE(SUBSTITUTE(SUBSTITUTE(SUBSTITUTE(SUBSTITUTE(SUBSTITUTE(TRIM($D527),"'",""),"İ","I"),"ı","I"),"i","I"),"Ş","S"),"ş","S"),"Ğ","G"),"ğ","G"),"Ü","U"),"ü","U"),"Ö","O"),"ö","O"),"Ç","C"),"ç","C"),".",""),",","")," ",""),"-","")))</f>
        <v/>
      </c>
      <c r="S527" s="3">
        <f>IF($D527="","",$C527&amp;"|"&amp;TEXT($E527,"0")&amp;"|"&amp;TEXT($F527,"0")&amp;"|"&amp;$I527)</f>
        <v/>
      </c>
      <c r="T527" s="3">
        <f>IF($E527="",0,SUMPRODUCT((AY_SONU!$O$7:$O$42="Evet")*(AY_SONU!$B$7:$B$42=DATE(YEAR($E527),MONTH($E527),1))))</f>
        <v/>
      </c>
    </row>
    <row r="528">
      <c r="A528" s="6" t="n"/>
      <c r="B528" s="113">
        <f>IF($D528="","","T"&amp;TEXT(ROW()-6,"00000"))</f>
        <v/>
      </c>
      <c r="C528" s="113">
        <f>IF($D528="","",IFERROR(INDEX(MUSTERILER!$B$7:$B$106,MATCH($R528,MUSTERILER!$T$7:$T$106,0)),IFERROR(INDEX(MUSTERILER!$B$7:$B$106,MATCH($D528,MUSTERILER!$B$7:$B$106,0)),IFERROR(INDEX(MUSTERILER!$B$7:$B$106,MATCH($R528&amp;"*",MUSTERILER!$T$7:$T$106,0)),"TANIMSIZ MÜŞTERİ"))))</f>
        <v/>
      </c>
      <c r="D528" s="109" t="n"/>
      <c r="E528" s="220" t="n"/>
      <c r="F528" s="221" t="n"/>
      <c r="G528" s="108" t="n"/>
      <c r="H528" s="108" t="n"/>
      <c r="I528" s="109" t="n"/>
      <c r="J528" s="109" t="n"/>
      <c r="K528" s="109" t="n"/>
      <c r="L528" s="226">
        <f>IF($E528="","",DATE(YEAR($E528),MONTH($E528),1))</f>
        <v/>
      </c>
      <c r="M528" s="113">
        <f>IF($D528="","",IF($C528="TANIMSIZ MÜŞTERİ","HATA",IF(OR($E528="",$F528&lt;=0,$G528=""),"EKSİK",IF($E528&gt;TODAY(),"İLERİ TARİH",IF(COUNTIF($S$7:$S$1506,$S528)&gt;1,"MÜKERRER?",IF($T528&gt;0,"KAPALI DÖNEM","UYGUN"))))))</f>
        <v/>
      </c>
      <c r="N528" s="121">
        <f>IF($C528="","",IF($C528="TANIMSIZ MÜŞTERİ","—",INDEX(MUSTERILER!$C$7:$C$106,MATCH($C528,MUSTERILER!$B$7:$B$106,0))))</f>
        <v/>
      </c>
      <c r="O528" s="6" t="n"/>
      <c r="P528" s="6" t="n"/>
      <c r="Q528" s="3">
        <f>IF($D528="","",$C528&amp;"|"&amp;COUNTIFS($C$7:$C528,$C528))</f>
        <v/>
      </c>
      <c r="R528" s="3">
        <f>IF($D528="","",UPPER(SUBSTITUTE(SUBSTITUTE(SUBSTITUTE(SUBSTITUTE(SUBSTITUTE(SUBSTITUTE(SUBSTITUTE(SUBSTITUTE(SUBSTITUTE(SUBSTITUTE(SUBSTITUTE(SUBSTITUTE(SUBSTITUTE(SUBSTITUTE(SUBSTITUTE(SUBSTITUTE(SUBSTITUTE(SUBSTITUTE(TRIM($D528),"'",""),"İ","I"),"ı","I"),"i","I"),"Ş","S"),"ş","S"),"Ğ","G"),"ğ","G"),"Ü","U"),"ü","U"),"Ö","O"),"ö","O"),"Ç","C"),"ç","C"),".",""),",","")," ",""),"-","")))</f>
        <v/>
      </c>
      <c r="S528" s="3">
        <f>IF($D528="","",$C528&amp;"|"&amp;TEXT($E528,"0")&amp;"|"&amp;TEXT($F528,"0")&amp;"|"&amp;$I528)</f>
        <v/>
      </c>
      <c r="T528" s="3">
        <f>IF($E528="",0,SUMPRODUCT((AY_SONU!$O$7:$O$42="Evet")*(AY_SONU!$B$7:$B$42=DATE(YEAR($E528),MONTH($E528),1))))</f>
        <v/>
      </c>
    </row>
    <row r="529">
      <c r="A529" s="6" t="n"/>
      <c r="B529" s="113">
        <f>IF($D529="","","T"&amp;TEXT(ROW()-6,"00000"))</f>
        <v/>
      </c>
      <c r="C529" s="113">
        <f>IF($D529="","",IFERROR(INDEX(MUSTERILER!$B$7:$B$106,MATCH($R529,MUSTERILER!$T$7:$T$106,0)),IFERROR(INDEX(MUSTERILER!$B$7:$B$106,MATCH($D529,MUSTERILER!$B$7:$B$106,0)),IFERROR(INDEX(MUSTERILER!$B$7:$B$106,MATCH($R529&amp;"*",MUSTERILER!$T$7:$T$106,0)),"TANIMSIZ MÜŞTERİ"))))</f>
        <v/>
      </c>
      <c r="D529" s="109" t="n"/>
      <c r="E529" s="220" t="n"/>
      <c r="F529" s="221" t="n"/>
      <c r="G529" s="108" t="n"/>
      <c r="H529" s="108" t="n"/>
      <c r="I529" s="109" t="n"/>
      <c r="J529" s="109" t="n"/>
      <c r="K529" s="109" t="n"/>
      <c r="L529" s="226">
        <f>IF($E529="","",DATE(YEAR($E529),MONTH($E529),1))</f>
        <v/>
      </c>
      <c r="M529" s="113">
        <f>IF($D529="","",IF($C529="TANIMSIZ MÜŞTERİ","HATA",IF(OR($E529="",$F529&lt;=0,$G529=""),"EKSİK",IF($E529&gt;TODAY(),"İLERİ TARİH",IF(COUNTIF($S$7:$S$1506,$S529)&gt;1,"MÜKERRER?",IF($T529&gt;0,"KAPALI DÖNEM","UYGUN"))))))</f>
        <v/>
      </c>
      <c r="N529" s="121">
        <f>IF($C529="","",IF($C529="TANIMSIZ MÜŞTERİ","—",INDEX(MUSTERILER!$C$7:$C$106,MATCH($C529,MUSTERILER!$B$7:$B$106,0))))</f>
        <v/>
      </c>
      <c r="O529" s="6" t="n"/>
      <c r="P529" s="6" t="n"/>
      <c r="Q529" s="3">
        <f>IF($D529="","",$C529&amp;"|"&amp;COUNTIFS($C$7:$C529,$C529))</f>
        <v/>
      </c>
      <c r="R529" s="3">
        <f>IF($D529="","",UPPER(SUBSTITUTE(SUBSTITUTE(SUBSTITUTE(SUBSTITUTE(SUBSTITUTE(SUBSTITUTE(SUBSTITUTE(SUBSTITUTE(SUBSTITUTE(SUBSTITUTE(SUBSTITUTE(SUBSTITUTE(SUBSTITUTE(SUBSTITUTE(SUBSTITUTE(SUBSTITUTE(SUBSTITUTE(SUBSTITUTE(TRIM($D529),"'",""),"İ","I"),"ı","I"),"i","I"),"Ş","S"),"ş","S"),"Ğ","G"),"ğ","G"),"Ü","U"),"ü","U"),"Ö","O"),"ö","O"),"Ç","C"),"ç","C"),".",""),",","")," ",""),"-","")))</f>
        <v/>
      </c>
      <c r="S529" s="3">
        <f>IF($D529="","",$C529&amp;"|"&amp;TEXT($E529,"0")&amp;"|"&amp;TEXT($F529,"0")&amp;"|"&amp;$I529)</f>
        <v/>
      </c>
      <c r="T529" s="3">
        <f>IF($E529="",0,SUMPRODUCT((AY_SONU!$O$7:$O$42="Evet")*(AY_SONU!$B$7:$B$42=DATE(YEAR($E529),MONTH($E529),1))))</f>
        <v/>
      </c>
    </row>
    <row r="530">
      <c r="A530" s="6" t="n"/>
      <c r="B530" s="113">
        <f>IF($D530="","","T"&amp;TEXT(ROW()-6,"00000"))</f>
        <v/>
      </c>
      <c r="C530" s="113">
        <f>IF($D530="","",IFERROR(INDEX(MUSTERILER!$B$7:$B$106,MATCH($R530,MUSTERILER!$T$7:$T$106,0)),IFERROR(INDEX(MUSTERILER!$B$7:$B$106,MATCH($D530,MUSTERILER!$B$7:$B$106,0)),IFERROR(INDEX(MUSTERILER!$B$7:$B$106,MATCH($R530&amp;"*",MUSTERILER!$T$7:$T$106,0)),"TANIMSIZ MÜŞTERİ"))))</f>
        <v/>
      </c>
      <c r="D530" s="109" t="n"/>
      <c r="E530" s="220" t="n"/>
      <c r="F530" s="221" t="n"/>
      <c r="G530" s="108" t="n"/>
      <c r="H530" s="108" t="n"/>
      <c r="I530" s="109" t="n"/>
      <c r="J530" s="109" t="n"/>
      <c r="K530" s="109" t="n"/>
      <c r="L530" s="226">
        <f>IF($E530="","",DATE(YEAR($E530),MONTH($E530),1))</f>
        <v/>
      </c>
      <c r="M530" s="113">
        <f>IF($D530="","",IF($C530="TANIMSIZ MÜŞTERİ","HATA",IF(OR($E530="",$F530&lt;=0,$G530=""),"EKSİK",IF($E530&gt;TODAY(),"İLERİ TARİH",IF(COUNTIF($S$7:$S$1506,$S530)&gt;1,"MÜKERRER?",IF($T530&gt;0,"KAPALI DÖNEM","UYGUN"))))))</f>
        <v/>
      </c>
      <c r="N530" s="121">
        <f>IF($C530="","",IF($C530="TANIMSIZ MÜŞTERİ","—",INDEX(MUSTERILER!$C$7:$C$106,MATCH($C530,MUSTERILER!$B$7:$B$106,0))))</f>
        <v/>
      </c>
      <c r="O530" s="6" t="n"/>
      <c r="P530" s="6" t="n"/>
      <c r="Q530" s="3">
        <f>IF($D530="","",$C530&amp;"|"&amp;COUNTIFS($C$7:$C530,$C530))</f>
        <v/>
      </c>
      <c r="R530" s="3">
        <f>IF($D530="","",UPPER(SUBSTITUTE(SUBSTITUTE(SUBSTITUTE(SUBSTITUTE(SUBSTITUTE(SUBSTITUTE(SUBSTITUTE(SUBSTITUTE(SUBSTITUTE(SUBSTITUTE(SUBSTITUTE(SUBSTITUTE(SUBSTITUTE(SUBSTITUTE(SUBSTITUTE(SUBSTITUTE(SUBSTITUTE(SUBSTITUTE(TRIM($D530),"'",""),"İ","I"),"ı","I"),"i","I"),"Ş","S"),"ş","S"),"Ğ","G"),"ğ","G"),"Ü","U"),"ü","U"),"Ö","O"),"ö","O"),"Ç","C"),"ç","C"),".",""),",","")," ",""),"-","")))</f>
        <v/>
      </c>
      <c r="S530" s="3">
        <f>IF($D530="","",$C530&amp;"|"&amp;TEXT($E530,"0")&amp;"|"&amp;TEXT($F530,"0")&amp;"|"&amp;$I530)</f>
        <v/>
      </c>
      <c r="T530" s="3">
        <f>IF($E530="",0,SUMPRODUCT((AY_SONU!$O$7:$O$42="Evet")*(AY_SONU!$B$7:$B$42=DATE(YEAR($E530),MONTH($E530),1))))</f>
        <v/>
      </c>
    </row>
    <row r="531">
      <c r="A531" s="6" t="n"/>
      <c r="B531" s="113">
        <f>IF($D531="","","T"&amp;TEXT(ROW()-6,"00000"))</f>
        <v/>
      </c>
      <c r="C531" s="113">
        <f>IF($D531="","",IFERROR(INDEX(MUSTERILER!$B$7:$B$106,MATCH($R531,MUSTERILER!$T$7:$T$106,0)),IFERROR(INDEX(MUSTERILER!$B$7:$B$106,MATCH($D531,MUSTERILER!$B$7:$B$106,0)),IFERROR(INDEX(MUSTERILER!$B$7:$B$106,MATCH($R531&amp;"*",MUSTERILER!$T$7:$T$106,0)),"TANIMSIZ MÜŞTERİ"))))</f>
        <v/>
      </c>
      <c r="D531" s="109" t="n"/>
      <c r="E531" s="220" t="n"/>
      <c r="F531" s="221" t="n"/>
      <c r="G531" s="108" t="n"/>
      <c r="H531" s="108" t="n"/>
      <c r="I531" s="109" t="n"/>
      <c r="J531" s="109" t="n"/>
      <c r="K531" s="109" t="n"/>
      <c r="L531" s="226">
        <f>IF($E531="","",DATE(YEAR($E531),MONTH($E531),1))</f>
        <v/>
      </c>
      <c r="M531" s="113">
        <f>IF($D531="","",IF($C531="TANIMSIZ MÜŞTERİ","HATA",IF(OR($E531="",$F531&lt;=0,$G531=""),"EKSİK",IF($E531&gt;TODAY(),"İLERİ TARİH",IF(COUNTIF($S$7:$S$1506,$S531)&gt;1,"MÜKERRER?",IF($T531&gt;0,"KAPALI DÖNEM","UYGUN"))))))</f>
        <v/>
      </c>
      <c r="N531" s="121">
        <f>IF($C531="","",IF($C531="TANIMSIZ MÜŞTERİ","—",INDEX(MUSTERILER!$C$7:$C$106,MATCH($C531,MUSTERILER!$B$7:$B$106,0))))</f>
        <v/>
      </c>
      <c r="O531" s="6" t="n"/>
      <c r="P531" s="6" t="n"/>
      <c r="Q531" s="3">
        <f>IF($D531="","",$C531&amp;"|"&amp;COUNTIFS($C$7:$C531,$C531))</f>
        <v/>
      </c>
      <c r="R531" s="3">
        <f>IF($D531="","",UPPER(SUBSTITUTE(SUBSTITUTE(SUBSTITUTE(SUBSTITUTE(SUBSTITUTE(SUBSTITUTE(SUBSTITUTE(SUBSTITUTE(SUBSTITUTE(SUBSTITUTE(SUBSTITUTE(SUBSTITUTE(SUBSTITUTE(SUBSTITUTE(SUBSTITUTE(SUBSTITUTE(SUBSTITUTE(SUBSTITUTE(TRIM($D531),"'",""),"İ","I"),"ı","I"),"i","I"),"Ş","S"),"ş","S"),"Ğ","G"),"ğ","G"),"Ü","U"),"ü","U"),"Ö","O"),"ö","O"),"Ç","C"),"ç","C"),".",""),",","")," ",""),"-","")))</f>
        <v/>
      </c>
      <c r="S531" s="3">
        <f>IF($D531="","",$C531&amp;"|"&amp;TEXT($E531,"0")&amp;"|"&amp;TEXT($F531,"0")&amp;"|"&amp;$I531)</f>
        <v/>
      </c>
      <c r="T531" s="3">
        <f>IF($E531="",0,SUMPRODUCT((AY_SONU!$O$7:$O$42="Evet")*(AY_SONU!$B$7:$B$42=DATE(YEAR($E531),MONTH($E531),1))))</f>
        <v/>
      </c>
    </row>
    <row r="532">
      <c r="A532" s="6" t="n"/>
      <c r="B532" s="113">
        <f>IF($D532="","","T"&amp;TEXT(ROW()-6,"00000"))</f>
        <v/>
      </c>
      <c r="C532" s="113">
        <f>IF($D532="","",IFERROR(INDEX(MUSTERILER!$B$7:$B$106,MATCH($R532,MUSTERILER!$T$7:$T$106,0)),IFERROR(INDEX(MUSTERILER!$B$7:$B$106,MATCH($D532,MUSTERILER!$B$7:$B$106,0)),IFERROR(INDEX(MUSTERILER!$B$7:$B$106,MATCH($R532&amp;"*",MUSTERILER!$T$7:$T$106,0)),"TANIMSIZ MÜŞTERİ"))))</f>
        <v/>
      </c>
      <c r="D532" s="109" t="n"/>
      <c r="E532" s="220" t="n"/>
      <c r="F532" s="221" t="n"/>
      <c r="G532" s="108" t="n"/>
      <c r="H532" s="108" t="n"/>
      <c r="I532" s="109" t="n"/>
      <c r="J532" s="109" t="n"/>
      <c r="K532" s="109" t="n"/>
      <c r="L532" s="226">
        <f>IF($E532="","",DATE(YEAR($E532),MONTH($E532),1))</f>
        <v/>
      </c>
      <c r="M532" s="113">
        <f>IF($D532="","",IF($C532="TANIMSIZ MÜŞTERİ","HATA",IF(OR($E532="",$F532&lt;=0,$G532=""),"EKSİK",IF($E532&gt;TODAY(),"İLERİ TARİH",IF(COUNTIF($S$7:$S$1506,$S532)&gt;1,"MÜKERRER?",IF($T532&gt;0,"KAPALI DÖNEM","UYGUN"))))))</f>
        <v/>
      </c>
      <c r="N532" s="121">
        <f>IF($C532="","",IF($C532="TANIMSIZ MÜŞTERİ","—",INDEX(MUSTERILER!$C$7:$C$106,MATCH($C532,MUSTERILER!$B$7:$B$106,0))))</f>
        <v/>
      </c>
      <c r="O532" s="6" t="n"/>
      <c r="P532" s="6" t="n"/>
      <c r="Q532" s="3">
        <f>IF($D532="","",$C532&amp;"|"&amp;COUNTIFS($C$7:$C532,$C532))</f>
        <v/>
      </c>
      <c r="R532" s="3">
        <f>IF($D532="","",UPPER(SUBSTITUTE(SUBSTITUTE(SUBSTITUTE(SUBSTITUTE(SUBSTITUTE(SUBSTITUTE(SUBSTITUTE(SUBSTITUTE(SUBSTITUTE(SUBSTITUTE(SUBSTITUTE(SUBSTITUTE(SUBSTITUTE(SUBSTITUTE(SUBSTITUTE(SUBSTITUTE(SUBSTITUTE(SUBSTITUTE(TRIM($D532),"'",""),"İ","I"),"ı","I"),"i","I"),"Ş","S"),"ş","S"),"Ğ","G"),"ğ","G"),"Ü","U"),"ü","U"),"Ö","O"),"ö","O"),"Ç","C"),"ç","C"),".",""),",","")," ",""),"-","")))</f>
        <v/>
      </c>
      <c r="S532" s="3">
        <f>IF($D532="","",$C532&amp;"|"&amp;TEXT($E532,"0")&amp;"|"&amp;TEXT($F532,"0")&amp;"|"&amp;$I532)</f>
        <v/>
      </c>
      <c r="T532" s="3">
        <f>IF($E532="",0,SUMPRODUCT((AY_SONU!$O$7:$O$42="Evet")*(AY_SONU!$B$7:$B$42=DATE(YEAR($E532),MONTH($E532),1))))</f>
        <v/>
      </c>
    </row>
    <row r="533">
      <c r="A533" s="6" t="n"/>
      <c r="B533" s="113">
        <f>IF($D533="","","T"&amp;TEXT(ROW()-6,"00000"))</f>
        <v/>
      </c>
      <c r="C533" s="113">
        <f>IF($D533="","",IFERROR(INDEX(MUSTERILER!$B$7:$B$106,MATCH($R533,MUSTERILER!$T$7:$T$106,0)),IFERROR(INDEX(MUSTERILER!$B$7:$B$106,MATCH($D533,MUSTERILER!$B$7:$B$106,0)),IFERROR(INDEX(MUSTERILER!$B$7:$B$106,MATCH($R533&amp;"*",MUSTERILER!$T$7:$T$106,0)),"TANIMSIZ MÜŞTERİ"))))</f>
        <v/>
      </c>
      <c r="D533" s="109" t="n"/>
      <c r="E533" s="220" t="n"/>
      <c r="F533" s="221" t="n"/>
      <c r="G533" s="108" t="n"/>
      <c r="H533" s="108" t="n"/>
      <c r="I533" s="109" t="n"/>
      <c r="J533" s="109" t="n"/>
      <c r="K533" s="109" t="n"/>
      <c r="L533" s="226">
        <f>IF($E533="","",DATE(YEAR($E533),MONTH($E533),1))</f>
        <v/>
      </c>
      <c r="M533" s="113">
        <f>IF($D533="","",IF($C533="TANIMSIZ MÜŞTERİ","HATA",IF(OR($E533="",$F533&lt;=0,$G533=""),"EKSİK",IF($E533&gt;TODAY(),"İLERİ TARİH",IF(COUNTIF($S$7:$S$1506,$S533)&gt;1,"MÜKERRER?",IF($T533&gt;0,"KAPALI DÖNEM","UYGUN"))))))</f>
        <v/>
      </c>
      <c r="N533" s="121">
        <f>IF($C533="","",IF($C533="TANIMSIZ MÜŞTERİ","—",INDEX(MUSTERILER!$C$7:$C$106,MATCH($C533,MUSTERILER!$B$7:$B$106,0))))</f>
        <v/>
      </c>
      <c r="O533" s="6" t="n"/>
      <c r="P533" s="6" t="n"/>
      <c r="Q533" s="3">
        <f>IF($D533="","",$C533&amp;"|"&amp;COUNTIFS($C$7:$C533,$C533))</f>
        <v/>
      </c>
      <c r="R533" s="3">
        <f>IF($D533="","",UPPER(SUBSTITUTE(SUBSTITUTE(SUBSTITUTE(SUBSTITUTE(SUBSTITUTE(SUBSTITUTE(SUBSTITUTE(SUBSTITUTE(SUBSTITUTE(SUBSTITUTE(SUBSTITUTE(SUBSTITUTE(SUBSTITUTE(SUBSTITUTE(SUBSTITUTE(SUBSTITUTE(SUBSTITUTE(SUBSTITUTE(TRIM($D533),"'",""),"İ","I"),"ı","I"),"i","I"),"Ş","S"),"ş","S"),"Ğ","G"),"ğ","G"),"Ü","U"),"ü","U"),"Ö","O"),"ö","O"),"Ç","C"),"ç","C"),".",""),",","")," ",""),"-","")))</f>
        <v/>
      </c>
      <c r="S533" s="3">
        <f>IF($D533="","",$C533&amp;"|"&amp;TEXT($E533,"0")&amp;"|"&amp;TEXT($F533,"0")&amp;"|"&amp;$I533)</f>
        <v/>
      </c>
      <c r="T533" s="3">
        <f>IF($E533="",0,SUMPRODUCT((AY_SONU!$O$7:$O$42="Evet")*(AY_SONU!$B$7:$B$42=DATE(YEAR($E533),MONTH($E533),1))))</f>
        <v/>
      </c>
    </row>
    <row r="534">
      <c r="A534" s="6" t="n"/>
      <c r="B534" s="113">
        <f>IF($D534="","","T"&amp;TEXT(ROW()-6,"00000"))</f>
        <v/>
      </c>
      <c r="C534" s="113">
        <f>IF($D534="","",IFERROR(INDEX(MUSTERILER!$B$7:$B$106,MATCH($R534,MUSTERILER!$T$7:$T$106,0)),IFERROR(INDEX(MUSTERILER!$B$7:$B$106,MATCH($D534,MUSTERILER!$B$7:$B$106,0)),IFERROR(INDEX(MUSTERILER!$B$7:$B$106,MATCH($R534&amp;"*",MUSTERILER!$T$7:$T$106,0)),"TANIMSIZ MÜŞTERİ"))))</f>
        <v/>
      </c>
      <c r="D534" s="109" t="n"/>
      <c r="E534" s="220" t="n"/>
      <c r="F534" s="221" t="n"/>
      <c r="G534" s="108" t="n"/>
      <c r="H534" s="108" t="n"/>
      <c r="I534" s="109" t="n"/>
      <c r="J534" s="109" t="n"/>
      <c r="K534" s="109" t="n"/>
      <c r="L534" s="226">
        <f>IF($E534="","",DATE(YEAR($E534),MONTH($E534),1))</f>
        <v/>
      </c>
      <c r="M534" s="113">
        <f>IF($D534="","",IF($C534="TANIMSIZ MÜŞTERİ","HATA",IF(OR($E534="",$F534&lt;=0,$G534=""),"EKSİK",IF($E534&gt;TODAY(),"İLERİ TARİH",IF(COUNTIF($S$7:$S$1506,$S534)&gt;1,"MÜKERRER?",IF($T534&gt;0,"KAPALI DÖNEM","UYGUN"))))))</f>
        <v/>
      </c>
      <c r="N534" s="121">
        <f>IF($C534="","",IF($C534="TANIMSIZ MÜŞTERİ","—",INDEX(MUSTERILER!$C$7:$C$106,MATCH($C534,MUSTERILER!$B$7:$B$106,0))))</f>
        <v/>
      </c>
      <c r="O534" s="6" t="n"/>
      <c r="P534" s="6" t="n"/>
      <c r="Q534" s="3">
        <f>IF($D534="","",$C534&amp;"|"&amp;COUNTIFS($C$7:$C534,$C534))</f>
        <v/>
      </c>
      <c r="R534" s="3">
        <f>IF($D534="","",UPPER(SUBSTITUTE(SUBSTITUTE(SUBSTITUTE(SUBSTITUTE(SUBSTITUTE(SUBSTITUTE(SUBSTITUTE(SUBSTITUTE(SUBSTITUTE(SUBSTITUTE(SUBSTITUTE(SUBSTITUTE(SUBSTITUTE(SUBSTITUTE(SUBSTITUTE(SUBSTITUTE(SUBSTITUTE(SUBSTITUTE(TRIM($D534),"'",""),"İ","I"),"ı","I"),"i","I"),"Ş","S"),"ş","S"),"Ğ","G"),"ğ","G"),"Ü","U"),"ü","U"),"Ö","O"),"ö","O"),"Ç","C"),"ç","C"),".",""),",","")," ",""),"-","")))</f>
        <v/>
      </c>
      <c r="S534" s="3">
        <f>IF($D534="","",$C534&amp;"|"&amp;TEXT($E534,"0")&amp;"|"&amp;TEXT($F534,"0")&amp;"|"&amp;$I534)</f>
        <v/>
      </c>
      <c r="T534" s="3">
        <f>IF($E534="",0,SUMPRODUCT((AY_SONU!$O$7:$O$42="Evet")*(AY_SONU!$B$7:$B$42=DATE(YEAR($E534),MONTH($E534),1))))</f>
        <v/>
      </c>
    </row>
    <row r="535">
      <c r="A535" s="6" t="n"/>
      <c r="B535" s="113">
        <f>IF($D535="","","T"&amp;TEXT(ROW()-6,"00000"))</f>
        <v/>
      </c>
      <c r="C535" s="113">
        <f>IF($D535="","",IFERROR(INDEX(MUSTERILER!$B$7:$B$106,MATCH($R535,MUSTERILER!$T$7:$T$106,0)),IFERROR(INDEX(MUSTERILER!$B$7:$B$106,MATCH($D535,MUSTERILER!$B$7:$B$106,0)),IFERROR(INDEX(MUSTERILER!$B$7:$B$106,MATCH($R535&amp;"*",MUSTERILER!$T$7:$T$106,0)),"TANIMSIZ MÜŞTERİ"))))</f>
        <v/>
      </c>
      <c r="D535" s="109" t="n"/>
      <c r="E535" s="220" t="n"/>
      <c r="F535" s="221" t="n"/>
      <c r="G535" s="108" t="n"/>
      <c r="H535" s="108" t="n"/>
      <c r="I535" s="109" t="n"/>
      <c r="J535" s="109" t="n"/>
      <c r="K535" s="109" t="n"/>
      <c r="L535" s="226">
        <f>IF($E535="","",DATE(YEAR($E535),MONTH($E535),1))</f>
        <v/>
      </c>
      <c r="M535" s="113">
        <f>IF($D535="","",IF($C535="TANIMSIZ MÜŞTERİ","HATA",IF(OR($E535="",$F535&lt;=0,$G535=""),"EKSİK",IF($E535&gt;TODAY(),"İLERİ TARİH",IF(COUNTIF($S$7:$S$1506,$S535)&gt;1,"MÜKERRER?",IF($T535&gt;0,"KAPALI DÖNEM","UYGUN"))))))</f>
        <v/>
      </c>
      <c r="N535" s="121">
        <f>IF($C535="","",IF($C535="TANIMSIZ MÜŞTERİ","—",INDEX(MUSTERILER!$C$7:$C$106,MATCH($C535,MUSTERILER!$B$7:$B$106,0))))</f>
        <v/>
      </c>
      <c r="O535" s="6" t="n"/>
      <c r="P535" s="6" t="n"/>
      <c r="Q535" s="3">
        <f>IF($D535="","",$C535&amp;"|"&amp;COUNTIFS($C$7:$C535,$C535))</f>
        <v/>
      </c>
      <c r="R535" s="3">
        <f>IF($D535="","",UPPER(SUBSTITUTE(SUBSTITUTE(SUBSTITUTE(SUBSTITUTE(SUBSTITUTE(SUBSTITUTE(SUBSTITUTE(SUBSTITUTE(SUBSTITUTE(SUBSTITUTE(SUBSTITUTE(SUBSTITUTE(SUBSTITUTE(SUBSTITUTE(SUBSTITUTE(SUBSTITUTE(SUBSTITUTE(SUBSTITUTE(TRIM($D535),"'",""),"İ","I"),"ı","I"),"i","I"),"Ş","S"),"ş","S"),"Ğ","G"),"ğ","G"),"Ü","U"),"ü","U"),"Ö","O"),"ö","O"),"Ç","C"),"ç","C"),".",""),",","")," ",""),"-","")))</f>
        <v/>
      </c>
      <c r="S535" s="3">
        <f>IF($D535="","",$C535&amp;"|"&amp;TEXT($E535,"0")&amp;"|"&amp;TEXT($F535,"0")&amp;"|"&amp;$I535)</f>
        <v/>
      </c>
      <c r="T535" s="3">
        <f>IF($E535="",0,SUMPRODUCT((AY_SONU!$O$7:$O$42="Evet")*(AY_SONU!$B$7:$B$42=DATE(YEAR($E535),MONTH($E535),1))))</f>
        <v/>
      </c>
    </row>
    <row r="536">
      <c r="A536" s="6" t="n"/>
      <c r="B536" s="113">
        <f>IF($D536="","","T"&amp;TEXT(ROW()-6,"00000"))</f>
        <v/>
      </c>
      <c r="C536" s="113">
        <f>IF($D536="","",IFERROR(INDEX(MUSTERILER!$B$7:$B$106,MATCH($R536,MUSTERILER!$T$7:$T$106,0)),IFERROR(INDEX(MUSTERILER!$B$7:$B$106,MATCH($D536,MUSTERILER!$B$7:$B$106,0)),IFERROR(INDEX(MUSTERILER!$B$7:$B$106,MATCH($R536&amp;"*",MUSTERILER!$T$7:$T$106,0)),"TANIMSIZ MÜŞTERİ"))))</f>
        <v/>
      </c>
      <c r="D536" s="109" t="n"/>
      <c r="E536" s="220" t="n"/>
      <c r="F536" s="221" t="n"/>
      <c r="G536" s="108" t="n"/>
      <c r="H536" s="108" t="n"/>
      <c r="I536" s="109" t="n"/>
      <c r="J536" s="109" t="n"/>
      <c r="K536" s="109" t="n"/>
      <c r="L536" s="226">
        <f>IF($E536="","",DATE(YEAR($E536),MONTH($E536),1))</f>
        <v/>
      </c>
      <c r="M536" s="113">
        <f>IF($D536="","",IF($C536="TANIMSIZ MÜŞTERİ","HATA",IF(OR($E536="",$F536&lt;=0,$G536=""),"EKSİK",IF($E536&gt;TODAY(),"İLERİ TARİH",IF(COUNTIF($S$7:$S$1506,$S536)&gt;1,"MÜKERRER?",IF($T536&gt;0,"KAPALI DÖNEM","UYGUN"))))))</f>
        <v/>
      </c>
      <c r="N536" s="121">
        <f>IF($C536="","",IF($C536="TANIMSIZ MÜŞTERİ","—",INDEX(MUSTERILER!$C$7:$C$106,MATCH($C536,MUSTERILER!$B$7:$B$106,0))))</f>
        <v/>
      </c>
      <c r="O536" s="6" t="n"/>
      <c r="P536" s="6" t="n"/>
      <c r="Q536" s="3">
        <f>IF($D536="","",$C536&amp;"|"&amp;COUNTIFS($C$7:$C536,$C536))</f>
        <v/>
      </c>
      <c r="R536" s="3">
        <f>IF($D536="","",UPPER(SUBSTITUTE(SUBSTITUTE(SUBSTITUTE(SUBSTITUTE(SUBSTITUTE(SUBSTITUTE(SUBSTITUTE(SUBSTITUTE(SUBSTITUTE(SUBSTITUTE(SUBSTITUTE(SUBSTITUTE(SUBSTITUTE(SUBSTITUTE(SUBSTITUTE(SUBSTITUTE(SUBSTITUTE(SUBSTITUTE(TRIM($D536),"'",""),"İ","I"),"ı","I"),"i","I"),"Ş","S"),"ş","S"),"Ğ","G"),"ğ","G"),"Ü","U"),"ü","U"),"Ö","O"),"ö","O"),"Ç","C"),"ç","C"),".",""),",","")," ",""),"-","")))</f>
        <v/>
      </c>
      <c r="S536" s="3">
        <f>IF($D536="","",$C536&amp;"|"&amp;TEXT($E536,"0")&amp;"|"&amp;TEXT($F536,"0")&amp;"|"&amp;$I536)</f>
        <v/>
      </c>
      <c r="T536" s="3">
        <f>IF($E536="",0,SUMPRODUCT((AY_SONU!$O$7:$O$42="Evet")*(AY_SONU!$B$7:$B$42=DATE(YEAR($E536),MONTH($E536),1))))</f>
        <v/>
      </c>
    </row>
    <row r="537">
      <c r="A537" s="6" t="n"/>
      <c r="B537" s="113">
        <f>IF($D537="","","T"&amp;TEXT(ROW()-6,"00000"))</f>
        <v/>
      </c>
      <c r="C537" s="113">
        <f>IF($D537="","",IFERROR(INDEX(MUSTERILER!$B$7:$B$106,MATCH($R537,MUSTERILER!$T$7:$T$106,0)),IFERROR(INDEX(MUSTERILER!$B$7:$B$106,MATCH($D537,MUSTERILER!$B$7:$B$106,0)),IFERROR(INDEX(MUSTERILER!$B$7:$B$106,MATCH($R537&amp;"*",MUSTERILER!$T$7:$T$106,0)),"TANIMSIZ MÜŞTERİ"))))</f>
        <v/>
      </c>
      <c r="D537" s="109" t="n"/>
      <c r="E537" s="220" t="n"/>
      <c r="F537" s="221" t="n"/>
      <c r="G537" s="108" t="n"/>
      <c r="H537" s="108" t="n"/>
      <c r="I537" s="109" t="n"/>
      <c r="J537" s="109" t="n"/>
      <c r="K537" s="109" t="n"/>
      <c r="L537" s="226">
        <f>IF($E537="","",DATE(YEAR($E537),MONTH($E537),1))</f>
        <v/>
      </c>
      <c r="M537" s="113">
        <f>IF($D537="","",IF($C537="TANIMSIZ MÜŞTERİ","HATA",IF(OR($E537="",$F537&lt;=0,$G537=""),"EKSİK",IF($E537&gt;TODAY(),"İLERİ TARİH",IF(COUNTIF($S$7:$S$1506,$S537)&gt;1,"MÜKERRER?",IF($T537&gt;0,"KAPALI DÖNEM","UYGUN"))))))</f>
        <v/>
      </c>
      <c r="N537" s="121">
        <f>IF($C537="","",IF($C537="TANIMSIZ MÜŞTERİ","—",INDEX(MUSTERILER!$C$7:$C$106,MATCH($C537,MUSTERILER!$B$7:$B$106,0))))</f>
        <v/>
      </c>
      <c r="O537" s="6" t="n"/>
      <c r="P537" s="6" t="n"/>
      <c r="Q537" s="3">
        <f>IF($D537="","",$C537&amp;"|"&amp;COUNTIFS($C$7:$C537,$C537))</f>
        <v/>
      </c>
      <c r="R537" s="3">
        <f>IF($D537="","",UPPER(SUBSTITUTE(SUBSTITUTE(SUBSTITUTE(SUBSTITUTE(SUBSTITUTE(SUBSTITUTE(SUBSTITUTE(SUBSTITUTE(SUBSTITUTE(SUBSTITUTE(SUBSTITUTE(SUBSTITUTE(SUBSTITUTE(SUBSTITUTE(SUBSTITUTE(SUBSTITUTE(SUBSTITUTE(SUBSTITUTE(TRIM($D537),"'",""),"İ","I"),"ı","I"),"i","I"),"Ş","S"),"ş","S"),"Ğ","G"),"ğ","G"),"Ü","U"),"ü","U"),"Ö","O"),"ö","O"),"Ç","C"),"ç","C"),".",""),",","")," ",""),"-","")))</f>
        <v/>
      </c>
      <c r="S537" s="3">
        <f>IF($D537="","",$C537&amp;"|"&amp;TEXT($E537,"0")&amp;"|"&amp;TEXT($F537,"0")&amp;"|"&amp;$I537)</f>
        <v/>
      </c>
      <c r="T537" s="3">
        <f>IF($E537="",0,SUMPRODUCT((AY_SONU!$O$7:$O$42="Evet")*(AY_SONU!$B$7:$B$42=DATE(YEAR($E537),MONTH($E537),1))))</f>
        <v/>
      </c>
    </row>
    <row r="538">
      <c r="A538" s="6" t="n"/>
      <c r="B538" s="113">
        <f>IF($D538="","","T"&amp;TEXT(ROW()-6,"00000"))</f>
        <v/>
      </c>
      <c r="C538" s="113">
        <f>IF($D538="","",IFERROR(INDEX(MUSTERILER!$B$7:$B$106,MATCH($R538,MUSTERILER!$T$7:$T$106,0)),IFERROR(INDEX(MUSTERILER!$B$7:$B$106,MATCH($D538,MUSTERILER!$B$7:$B$106,0)),IFERROR(INDEX(MUSTERILER!$B$7:$B$106,MATCH($R538&amp;"*",MUSTERILER!$T$7:$T$106,0)),"TANIMSIZ MÜŞTERİ"))))</f>
        <v/>
      </c>
      <c r="D538" s="109" t="n"/>
      <c r="E538" s="220" t="n"/>
      <c r="F538" s="221" t="n"/>
      <c r="G538" s="108" t="n"/>
      <c r="H538" s="108" t="n"/>
      <c r="I538" s="109" t="n"/>
      <c r="J538" s="109" t="n"/>
      <c r="K538" s="109" t="n"/>
      <c r="L538" s="226">
        <f>IF($E538="","",DATE(YEAR($E538),MONTH($E538),1))</f>
        <v/>
      </c>
      <c r="M538" s="113">
        <f>IF($D538="","",IF($C538="TANIMSIZ MÜŞTERİ","HATA",IF(OR($E538="",$F538&lt;=0,$G538=""),"EKSİK",IF($E538&gt;TODAY(),"İLERİ TARİH",IF(COUNTIF($S$7:$S$1506,$S538)&gt;1,"MÜKERRER?",IF($T538&gt;0,"KAPALI DÖNEM","UYGUN"))))))</f>
        <v/>
      </c>
      <c r="N538" s="121">
        <f>IF($C538="","",IF($C538="TANIMSIZ MÜŞTERİ","—",INDEX(MUSTERILER!$C$7:$C$106,MATCH($C538,MUSTERILER!$B$7:$B$106,0))))</f>
        <v/>
      </c>
      <c r="O538" s="6" t="n"/>
      <c r="P538" s="6" t="n"/>
      <c r="Q538" s="3">
        <f>IF($D538="","",$C538&amp;"|"&amp;COUNTIFS($C$7:$C538,$C538))</f>
        <v/>
      </c>
      <c r="R538" s="3">
        <f>IF($D538="","",UPPER(SUBSTITUTE(SUBSTITUTE(SUBSTITUTE(SUBSTITUTE(SUBSTITUTE(SUBSTITUTE(SUBSTITUTE(SUBSTITUTE(SUBSTITUTE(SUBSTITUTE(SUBSTITUTE(SUBSTITUTE(SUBSTITUTE(SUBSTITUTE(SUBSTITUTE(SUBSTITUTE(SUBSTITUTE(SUBSTITUTE(TRIM($D538),"'",""),"İ","I"),"ı","I"),"i","I"),"Ş","S"),"ş","S"),"Ğ","G"),"ğ","G"),"Ü","U"),"ü","U"),"Ö","O"),"ö","O"),"Ç","C"),"ç","C"),".",""),",","")," ",""),"-","")))</f>
        <v/>
      </c>
      <c r="S538" s="3">
        <f>IF($D538="","",$C538&amp;"|"&amp;TEXT($E538,"0")&amp;"|"&amp;TEXT($F538,"0")&amp;"|"&amp;$I538)</f>
        <v/>
      </c>
      <c r="T538" s="3">
        <f>IF($E538="",0,SUMPRODUCT((AY_SONU!$O$7:$O$42="Evet")*(AY_SONU!$B$7:$B$42=DATE(YEAR($E538),MONTH($E538),1))))</f>
        <v/>
      </c>
    </row>
    <row r="539">
      <c r="A539" s="6" t="n"/>
      <c r="B539" s="113">
        <f>IF($D539="","","T"&amp;TEXT(ROW()-6,"00000"))</f>
        <v/>
      </c>
      <c r="C539" s="113">
        <f>IF($D539="","",IFERROR(INDEX(MUSTERILER!$B$7:$B$106,MATCH($R539,MUSTERILER!$T$7:$T$106,0)),IFERROR(INDEX(MUSTERILER!$B$7:$B$106,MATCH($D539,MUSTERILER!$B$7:$B$106,0)),IFERROR(INDEX(MUSTERILER!$B$7:$B$106,MATCH($R539&amp;"*",MUSTERILER!$T$7:$T$106,0)),"TANIMSIZ MÜŞTERİ"))))</f>
        <v/>
      </c>
      <c r="D539" s="109" t="n"/>
      <c r="E539" s="220" t="n"/>
      <c r="F539" s="221" t="n"/>
      <c r="G539" s="108" t="n"/>
      <c r="H539" s="108" t="n"/>
      <c r="I539" s="109" t="n"/>
      <c r="J539" s="109" t="n"/>
      <c r="K539" s="109" t="n"/>
      <c r="L539" s="226">
        <f>IF($E539="","",DATE(YEAR($E539),MONTH($E539),1))</f>
        <v/>
      </c>
      <c r="M539" s="113">
        <f>IF($D539="","",IF($C539="TANIMSIZ MÜŞTERİ","HATA",IF(OR($E539="",$F539&lt;=0,$G539=""),"EKSİK",IF($E539&gt;TODAY(),"İLERİ TARİH",IF(COUNTIF($S$7:$S$1506,$S539)&gt;1,"MÜKERRER?",IF($T539&gt;0,"KAPALI DÖNEM","UYGUN"))))))</f>
        <v/>
      </c>
      <c r="N539" s="121">
        <f>IF($C539="","",IF($C539="TANIMSIZ MÜŞTERİ","—",INDEX(MUSTERILER!$C$7:$C$106,MATCH($C539,MUSTERILER!$B$7:$B$106,0))))</f>
        <v/>
      </c>
      <c r="O539" s="6" t="n"/>
      <c r="P539" s="6" t="n"/>
      <c r="Q539" s="3">
        <f>IF($D539="","",$C539&amp;"|"&amp;COUNTIFS($C$7:$C539,$C539))</f>
        <v/>
      </c>
      <c r="R539" s="3">
        <f>IF($D539="","",UPPER(SUBSTITUTE(SUBSTITUTE(SUBSTITUTE(SUBSTITUTE(SUBSTITUTE(SUBSTITUTE(SUBSTITUTE(SUBSTITUTE(SUBSTITUTE(SUBSTITUTE(SUBSTITUTE(SUBSTITUTE(SUBSTITUTE(SUBSTITUTE(SUBSTITUTE(SUBSTITUTE(SUBSTITUTE(SUBSTITUTE(TRIM($D539),"'",""),"İ","I"),"ı","I"),"i","I"),"Ş","S"),"ş","S"),"Ğ","G"),"ğ","G"),"Ü","U"),"ü","U"),"Ö","O"),"ö","O"),"Ç","C"),"ç","C"),".",""),",","")," ",""),"-","")))</f>
        <v/>
      </c>
      <c r="S539" s="3">
        <f>IF($D539="","",$C539&amp;"|"&amp;TEXT($E539,"0")&amp;"|"&amp;TEXT($F539,"0")&amp;"|"&amp;$I539)</f>
        <v/>
      </c>
      <c r="T539" s="3">
        <f>IF($E539="",0,SUMPRODUCT((AY_SONU!$O$7:$O$42="Evet")*(AY_SONU!$B$7:$B$42=DATE(YEAR($E539),MONTH($E539),1))))</f>
        <v/>
      </c>
    </row>
    <row r="540">
      <c r="A540" s="6" t="n"/>
      <c r="B540" s="113">
        <f>IF($D540="","","T"&amp;TEXT(ROW()-6,"00000"))</f>
        <v/>
      </c>
      <c r="C540" s="113">
        <f>IF($D540="","",IFERROR(INDEX(MUSTERILER!$B$7:$B$106,MATCH($R540,MUSTERILER!$T$7:$T$106,0)),IFERROR(INDEX(MUSTERILER!$B$7:$B$106,MATCH($D540,MUSTERILER!$B$7:$B$106,0)),IFERROR(INDEX(MUSTERILER!$B$7:$B$106,MATCH($R540&amp;"*",MUSTERILER!$T$7:$T$106,0)),"TANIMSIZ MÜŞTERİ"))))</f>
        <v/>
      </c>
      <c r="D540" s="109" t="n"/>
      <c r="E540" s="220" t="n"/>
      <c r="F540" s="221" t="n"/>
      <c r="G540" s="108" t="n"/>
      <c r="H540" s="108" t="n"/>
      <c r="I540" s="109" t="n"/>
      <c r="J540" s="109" t="n"/>
      <c r="K540" s="109" t="n"/>
      <c r="L540" s="226">
        <f>IF($E540="","",DATE(YEAR($E540),MONTH($E540),1))</f>
        <v/>
      </c>
      <c r="M540" s="113">
        <f>IF($D540="","",IF($C540="TANIMSIZ MÜŞTERİ","HATA",IF(OR($E540="",$F540&lt;=0,$G540=""),"EKSİK",IF($E540&gt;TODAY(),"İLERİ TARİH",IF(COUNTIF($S$7:$S$1506,$S540)&gt;1,"MÜKERRER?",IF($T540&gt;0,"KAPALI DÖNEM","UYGUN"))))))</f>
        <v/>
      </c>
      <c r="N540" s="121">
        <f>IF($C540="","",IF($C540="TANIMSIZ MÜŞTERİ","—",INDEX(MUSTERILER!$C$7:$C$106,MATCH($C540,MUSTERILER!$B$7:$B$106,0))))</f>
        <v/>
      </c>
      <c r="O540" s="6" t="n"/>
      <c r="P540" s="6" t="n"/>
      <c r="Q540" s="3">
        <f>IF($D540="","",$C540&amp;"|"&amp;COUNTIFS($C$7:$C540,$C540))</f>
        <v/>
      </c>
      <c r="R540" s="3">
        <f>IF($D540="","",UPPER(SUBSTITUTE(SUBSTITUTE(SUBSTITUTE(SUBSTITUTE(SUBSTITUTE(SUBSTITUTE(SUBSTITUTE(SUBSTITUTE(SUBSTITUTE(SUBSTITUTE(SUBSTITUTE(SUBSTITUTE(SUBSTITUTE(SUBSTITUTE(SUBSTITUTE(SUBSTITUTE(SUBSTITUTE(SUBSTITUTE(TRIM($D540),"'",""),"İ","I"),"ı","I"),"i","I"),"Ş","S"),"ş","S"),"Ğ","G"),"ğ","G"),"Ü","U"),"ü","U"),"Ö","O"),"ö","O"),"Ç","C"),"ç","C"),".",""),",","")," ",""),"-","")))</f>
        <v/>
      </c>
      <c r="S540" s="3">
        <f>IF($D540="","",$C540&amp;"|"&amp;TEXT($E540,"0")&amp;"|"&amp;TEXT($F540,"0")&amp;"|"&amp;$I540)</f>
        <v/>
      </c>
      <c r="T540" s="3">
        <f>IF($E540="",0,SUMPRODUCT((AY_SONU!$O$7:$O$42="Evet")*(AY_SONU!$B$7:$B$42=DATE(YEAR($E540),MONTH($E540),1))))</f>
        <v/>
      </c>
    </row>
    <row r="541">
      <c r="A541" s="6" t="n"/>
      <c r="B541" s="113">
        <f>IF($D541="","","T"&amp;TEXT(ROW()-6,"00000"))</f>
        <v/>
      </c>
      <c r="C541" s="113">
        <f>IF($D541="","",IFERROR(INDEX(MUSTERILER!$B$7:$B$106,MATCH($R541,MUSTERILER!$T$7:$T$106,0)),IFERROR(INDEX(MUSTERILER!$B$7:$B$106,MATCH($D541,MUSTERILER!$B$7:$B$106,0)),IFERROR(INDEX(MUSTERILER!$B$7:$B$106,MATCH($R541&amp;"*",MUSTERILER!$T$7:$T$106,0)),"TANIMSIZ MÜŞTERİ"))))</f>
        <v/>
      </c>
      <c r="D541" s="109" t="n"/>
      <c r="E541" s="220" t="n"/>
      <c r="F541" s="221" t="n"/>
      <c r="G541" s="108" t="n"/>
      <c r="H541" s="108" t="n"/>
      <c r="I541" s="109" t="n"/>
      <c r="J541" s="109" t="n"/>
      <c r="K541" s="109" t="n"/>
      <c r="L541" s="226">
        <f>IF($E541="","",DATE(YEAR($E541),MONTH($E541),1))</f>
        <v/>
      </c>
      <c r="M541" s="113">
        <f>IF($D541="","",IF($C541="TANIMSIZ MÜŞTERİ","HATA",IF(OR($E541="",$F541&lt;=0,$G541=""),"EKSİK",IF($E541&gt;TODAY(),"İLERİ TARİH",IF(COUNTIF($S$7:$S$1506,$S541)&gt;1,"MÜKERRER?",IF($T541&gt;0,"KAPALI DÖNEM","UYGUN"))))))</f>
        <v/>
      </c>
      <c r="N541" s="121">
        <f>IF($C541="","",IF($C541="TANIMSIZ MÜŞTERİ","—",INDEX(MUSTERILER!$C$7:$C$106,MATCH($C541,MUSTERILER!$B$7:$B$106,0))))</f>
        <v/>
      </c>
      <c r="O541" s="6" t="n"/>
      <c r="P541" s="6" t="n"/>
      <c r="Q541" s="3">
        <f>IF($D541="","",$C541&amp;"|"&amp;COUNTIFS($C$7:$C541,$C541))</f>
        <v/>
      </c>
      <c r="R541" s="3">
        <f>IF($D541="","",UPPER(SUBSTITUTE(SUBSTITUTE(SUBSTITUTE(SUBSTITUTE(SUBSTITUTE(SUBSTITUTE(SUBSTITUTE(SUBSTITUTE(SUBSTITUTE(SUBSTITUTE(SUBSTITUTE(SUBSTITUTE(SUBSTITUTE(SUBSTITUTE(SUBSTITUTE(SUBSTITUTE(SUBSTITUTE(SUBSTITUTE(TRIM($D541),"'",""),"İ","I"),"ı","I"),"i","I"),"Ş","S"),"ş","S"),"Ğ","G"),"ğ","G"),"Ü","U"),"ü","U"),"Ö","O"),"ö","O"),"Ç","C"),"ç","C"),".",""),",","")," ",""),"-","")))</f>
        <v/>
      </c>
      <c r="S541" s="3">
        <f>IF($D541="","",$C541&amp;"|"&amp;TEXT($E541,"0")&amp;"|"&amp;TEXT($F541,"0")&amp;"|"&amp;$I541)</f>
        <v/>
      </c>
      <c r="T541" s="3">
        <f>IF($E541="",0,SUMPRODUCT((AY_SONU!$O$7:$O$42="Evet")*(AY_SONU!$B$7:$B$42=DATE(YEAR($E541),MONTH($E541),1))))</f>
        <v/>
      </c>
    </row>
    <row r="542">
      <c r="A542" s="6" t="n"/>
      <c r="B542" s="113">
        <f>IF($D542="","","T"&amp;TEXT(ROW()-6,"00000"))</f>
        <v/>
      </c>
      <c r="C542" s="113">
        <f>IF($D542="","",IFERROR(INDEX(MUSTERILER!$B$7:$B$106,MATCH($R542,MUSTERILER!$T$7:$T$106,0)),IFERROR(INDEX(MUSTERILER!$B$7:$B$106,MATCH($D542,MUSTERILER!$B$7:$B$106,0)),IFERROR(INDEX(MUSTERILER!$B$7:$B$106,MATCH($R542&amp;"*",MUSTERILER!$T$7:$T$106,0)),"TANIMSIZ MÜŞTERİ"))))</f>
        <v/>
      </c>
      <c r="D542" s="109" t="n"/>
      <c r="E542" s="220" t="n"/>
      <c r="F542" s="221" t="n"/>
      <c r="G542" s="108" t="n"/>
      <c r="H542" s="108" t="n"/>
      <c r="I542" s="109" t="n"/>
      <c r="J542" s="109" t="n"/>
      <c r="K542" s="109" t="n"/>
      <c r="L542" s="226">
        <f>IF($E542="","",DATE(YEAR($E542),MONTH($E542),1))</f>
        <v/>
      </c>
      <c r="M542" s="113">
        <f>IF($D542="","",IF($C542="TANIMSIZ MÜŞTERİ","HATA",IF(OR($E542="",$F542&lt;=0,$G542=""),"EKSİK",IF($E542&gt;TODAY(),"İLERİ TARİH",IF(COUNTIF($S$7:$S$1506,$S542)&gt;1,"MÜKERRER?",IF($T542&gt;0,"KAPALI DÖNEM","UYGUN"))))))</f>
        <v/>
      </c>
      <c r="N542" s="121">
        <f>IF($C542="","",IF($C542="TANIMSIZ MÜŞTERİ","—",INDEX(MUSTERILER!$C$7:$C$106,MATCH($C542,MUSTERILER!$B$7:$B$106,0))))</f>
        <v/>
      </c>
      <c r="O542" s="6" t="n"/>
      <c r="P542" s="6" t="n"/>
      <c r="Q542" s="3">
        <f>IF($D542="","",$C542&amp;"|"&amp;COUNTIFS($C$7:$C542,$C542))</f>
        <v/>
      </c>
      <c r="R542" s="3">
        <f>IF($D542="","",UPPER(SUBSTITUTE(SUBSTITUTE(SUBSTITUTE(SUBSTITUTE(SUBSTITUTE(SUBSTITUTE(SUBSTITUTE(SUBSTITUTE(SUBSTITUTE(SUBSTITUTE(SUBSTITUTE(SUBSTITUTE(SUBSTITUTE(SUBSTITUTE(SUBSTITUTE(SUBSTITUTE(SUBSTITUTE(SUBSTITUTE(TRIM($D542),"'",""),"İ","I"),"ı","I"),"i","I"),"Ş","S"),"ş","S"),"Ğ","G"),"ğ","G"),"Ü","U"),"ü","U"),"Ö","O"),"ö","O"),"Ç","C"),"ç","C"),".",""),",","")," ",""),"-","")))</f>
        <v/>
      </c>
      <c r="S542" s="3">
        <f>IF($D542="","",$C542&amp;"|"&amp;TEXT($E542,"0")&amp;"|"&amp;TEXT($F542,"0")&amp;"|"&amp;$I542)</f>
        <v/>
      </c>
      <c r="T542" s="3">
        <f>IF($E542="",0,SUMPRODUCT((AY_SONU!$O$7:$O$42="Evet")*(AY_SONU!$B$7:$B$42=DATE(YEAR($E542),MONTH($E542),1))))</f>
        <v/>
      </c>
    </row>
    <row r="543">
      <c r="A543" s="6" t="n"/>
      <c r="B543" s="113">
        <f>IF($D543="","","T"&amp;TEXT(ROW()-6,"00000"))</f>
        <v/>
      </c>
      <c r="C543" s="113">
        <f>IF($D543="","",IFERROR(INDEX(MUSTERILER!$B$7:$B$106,MATCH($R543,MUSTERILER!$T$7:$T$106,0)),IFERROR(INDEX(MUSTERILER!$B$7:$B$106,MATCH($D543,MUSTERILER!$B$7:$B$106,0)),IFERROR(INDEX(MUSTERILER!$B$7:$B$106,MATCH($R543&amp;"*",MUSTERILER!$T$7:$T$106,0)),"TANIMSIZ MÜŞTERİ"))))</f>
        <v/>
      </c>
      <c r="D543" s="109" t="n"/>
      <c r="E543" s="220" t="n"/>
      <c r="F543" s="221" t="n"/>
      <c r="G543" s="108" t="n"/>
      <c r="H543" s="108" t="n"/>
      <c r="I543" s="109" t="n"/>
      <c r="J543" s="109" t="n"/>
      <c r="K543" s="109" t="n"/>
      <c r="L543" s="226">
        <f>IF($E543="","",DATE(YEAR($E543),MONTH($E543),1))</f>
        <v/>
      </c>
      <c r="M543" s="113">
        <f>IF($D543="","",IF($C543="TANIMSIZ MÜŞTERİ","HATA",IF(OR($E543="",$F543&lt;=0,$G543=""),"EKSİK",IF($E543&gt;TODAY(),"İLERİ TARİH",IF(COUNTIF($S$7:$S$1506,$S543)&gt;1,"MÜKERRER?",IF($T543&gt;0,"KAPALI DÖNEM","UYGUN"))))))</f>
        <v/>
      </c>
      <c r="N543" s="121">
        <f>IF($C543="","",IF($C543="TANIMSIZ MÜŞTERİ","—",INDEX(MUSTERILER!$C$7:$C$106,MATCH($C543,MUSTERILER!$B$7:$B$106,0))))</f>
        <v/>
      </c>
      <c r="O543" s="6" t="n"/>
      <c r="P543" s="6" t="n"/>
      <c r="Q543" s="3">
        <f>IF($D543="","",$C543&amp;"|"&amp;COUNTIFS($C$7:$C543,$C543))</f>
        <v/>
      </c>
      <c r="R543" s="3">
        <f>IF($D543="","",UPPER(SUBSTITUTE(SUBSTITUTE(SUBSTITUTE(SUBSTITUTE(SUBSTITUTE(SUBSTITUTE(SUBSTITUTE(SUBSTITUTE(SUBSTITUTE(SUBSTITUTE(SUBSTITUTE(SUBSTITUTE(SUBSTITUTE(SUBSTITUTE(SUBSTITUTE(SUBSTITUTE(SUBSTITUTE(SUBSTITUTE(TRIM($D543),"'",""),"İ","I"),"ı","I"),"i","I"),"Ş","S"),"ş","S"),"Ğ","G"),"ğ","G"),"Ü","U"),"ü","U"),"Ö","O"),"ö","O"),"Ç","C"),"ç","C"),".",""),",","")," ",""),"-","")))</f>
        <v/>
      </c>
      <c r="S543" s="3">
        <f>IF($D543="","",$C543&amp;"|"&amp;TEXT($E543,"0")&amp;"|"&amp;TEXT($F543,"0")&amp;"|"&amp;$I543)</f>
        <v/>
      </c>
      <c r="T543" s="3">
        <f>IF($E543="",0,SUMPRODUCT((AY_SONU!$O$7:$O$42="Evet")*(AY_SONU!$B$7:$B$42=DATE(YEAR($E543),MONTH($E543),1))))</f>
        <v/>
      </c>
    </row>
    <row r="544">
      <c r="A544" s="6" t="n"/>
      <c r="B544" s="113">
        <f>IF($D544="","","T"&amp;TEXT(ROW()-6,"00000"))</f>
        <v/>
      </c>
      <c r="C544" s="113">
        <f>IF($D544="","",IFERROR(INDEX(MUSTERILER!$B$7:$B$106,MATCH($R544,MUSTERILER!$T$7:$T$106,0)),IFERROR(INDEX(MUSTERILER!$B$7:$B$106,MATCH($D544,MUSTERILER!$B$7:$B$106,0)),IFERROR(INDEX(MUSTERILER!$B$7:$B$106,MATCH($R544&amp;"*",MUSTERILER!$T$7:$T$106,0)),"TANIMSIZ MÜŞTERİ"))))</f>
        <v/>
      </c>
      <c r="D544" s="109" t="n"/>
      <c r="E544" s="220" t="n"/>
      <c r="F544" s="221" t="n"/>
      <c r="G544" s="108" t="n"/>
      <c r="H544" s="108" t="n"/>
      <c r="I544" s="109" t="n"/>
      <c r="J544" s="109" t="n"/>
      <c r="K544" s="109" t="n"/>
      <c r="L544" s="226">
        <f>IF($E544="","",DATE(YEAR($E544),MONTH($E544),1))</f>
        <v/>
      </c>
      <c r="M544" s="113">
        <f>IF($D544="","",IF($C544="TANIMSIZ MÜŞTERİ","HATA",IF(OR($E544="",$F544&lt;=0,$G544=""),"EKSİK",IF($E544&gt;TODAY(),"İLERİ TARİH",IF(COUNTIF($S$7:$S$1506,$S544)&gt;1,"MÜKERRER?",IF($T544&gt;0,"KAPALI DÖNEM","UYGUN"))))))</f>
        <v/>
      </c>
      <c r="N544" s="121">
        <f>IF($C544="","",IF($C544="TANIMSIZ MÜŞTERİ","—",INDEX(MUSTERILER!$C$7:$C$106,MATCH($C544,MUSTERILER!$B$7:$B$106,0))))</f>
        <v/>
      </c>
      <c r="O544" s="6" t="n"/>
      <c r="P544" s="6" t="n"/>
      <c r="Q544" s="3">
        <f>IF($D544="","",$C544&amp;"|"&amp;COUNTIFS($C$7:$C544,$C544))</f>
        <v/>
      </c>
      <c r="R544" s="3">
        <f>IF($D544="","",UPPER(SUBSTITUTE(SUBSTITUTE(SUBSTITUTE(SUBSTITUTE(SUBSTITUTE(SUBSTITUTE(SUBSTITUTE(SUBSTITUTE(SUBSTITUTE(SUBSTITUTE(SUBSTITUTE(SUBSTITUTE(SUBSTITUTE(SUBSTITUTE(SUBSTITUTE(SUBSTITUTE(SUBSTITUTE(SUBSTITUTE(TRIM($D544),"'",""),"İ","I"),"ı","I"),"i","I"),"Ş","S"),"ş","S"),"Ğ","G"),"ğ","G"),"Ü","U"),"ü","U"),"Ö","O"),"ö","O"),"Ç","C"),"ç","C"),".",""),",","")," ",""),"-","")))</f>
        <v/>
      </c>
      <c r="S544" s="3">
        <f>IF($D544="","",$C544&amp;"|"&amp;TEXT($E544,"0")&amp;"|"&amp;TEXT($F544,"0")&amp;"|"&amp;$I544)</f>
        <v/>
      </c>
      <c r="T544" s="3">
        <f>IF($E544="",0,SUMPRODUCT((AY_SONU!$O$7:$O$42="Evet")*(AY_SONU!$B$7:$B$42=DATE(YEAR($E544),MONTH($E544),1))))</f>
        <v/>
      </c>
    </row>
    <row r="545">
      <c r="A545" s="6" t="n"/>
      <c r="B545" s="113">
        <f>IF($D545="","","T"&amp;TEXT(ROW()-6,"00000"))</f>
        <v/>
      </c>
      <c r="C545" s="113">
        <f>IF($D545="","",IFERROR(INDEX(MUSTERILER!$B$7:$B$106,MATCH($R545,MUSTERILER!$T$7:$T$106,0)),IFERROR(INDEX(MUSTERILER!$B$7:$B$106,MATCH($D545,MUSTERILER!$B$7:$B$106,0)),IFERROR(INDEX(MUSTERILER!$B$7:$B$106,MATCH($R545&amp;"*",MUSTERILER!$T$7:$T$106,0)),"TANIMSIZ MÜŞTERİ"))))</f>
        <v/>
      </c>
      <c r="D545" s="109" t="n"/>
      <c r="E545" s="220" t="n"/>
      <c r="F545" s="221" t="n"/>
      <c r="G545" s="108" t="n"/>
      <c r="H545" s="108" t="n"/>
      <c r="I545" s="109" t="n"/>
      <c r="J545" s="109" t="n"/>
      <c r="K545" s="109" t="n"/>
      <c r="L545" s="226">
        <f>IF($E545="","",DATE(YEAR($E545),MONTH($E545),1))</f>
        <v/>
      </c>
      <c r="M545" s="113">
        <f>IF($D545="","",IF($C545="TANIMSIZ MÜŞTERİ","HATA",IF(OR($E545="",$F545&lt;=0,$G545=""),"EKSİK",IF($E545&gt;TODAY(),"İLERİ TARİH",IF(COUNTIF($S$7:$S$1506,$S545)&gt;1,"MÜKERRER?",IF($T545&gt;0,"KAPALI DÖNEM","UYGUN"))))))</f>
        <v/>
      </c>
      <c r="N545" s="121">
        <f>IF($C545="","",IF($C545="TANIMSIZ MÜŞTERİ","—",INDEX(MUSTERILER!$C$7:$C$106,MATCH($C545,MUSTERILER!$B$7:$B$106,0))))</f>
        <v/>
      </c>
      <c r="O545" s="6" t="n"/>
      <c r="P545" s="6" t="n"/>
      <c r="Q545" s="3">
        <f>IF($D545="","",$C545&amp;"|"&amp;COUNTIFS($C$7:$C545,$C545))</f>
        <v/>
      </c>
      <c r="R545" s="3">
        <f>IF($D545="","",UPPER(SUBSTITUTE(SUBSTITUTE(SUBSTITUTE(SUBSTITUTE(SUBSTITUTE(SUBSTITUTE(SUBSTITUTE(SUBSTITUTE(SUBSTITUTE(SUBSTITUTE(SUBSTITUTE(SUBSTITUTE(SUBSTITUTE(SUBSTITUTE(SUBSTITUTE(SUBSTITUTE(SUBSTITUTE(SUBSTITUTE(TRIM($D545),"'",""),"İ","I"),"ı","I"),"i","I"),"Ş","S"),"ş","S"),"Ğ","G"),"ğ","G"),"Ü","U"),"ü","U"),"Ö","O"),"ö","O"),"Ç","C"),"ç","C"),".",""),",","")," ",""),"-","")))</f>
        <v/>
      </c>
      <c r="S545" s="3">
        <f>IF($D545="","",$C545&amp;"|"&amp;TEXT($E545,"0")&amp;"|"&amp;TEXT($F545,"0")&amp;"|"&amp;$I545)</f>
        <v/>
      </c>
      <c r="T545" s="3">
        <f>IF($E545="",0,SUMPRODUCT((AY_SONU!$O$7:$O$42="Evet")*(AY_SONU!$B$7:$B$42=DATE(YEAR($E545),MONTH($E545),1))))</f>
        <v/>
      </c>
    </row>
    <row r="546">
      <c r="A546" s="6" t="n"/>
      <c r="B546" s="113">
        <f>IF($D546="","","T"&amp;TEXT(ROW()-6,"00000"))</f>
        <v/>
      </c>
      <c r="C546" s="113">
        <f>IF($D546="","",IFERROR(INDEX(MUSTERILER!$B$7:$B$106,MATCH($R546,MUSTERILER!$T$7:$T$106,0)),IFERROR(INDEX(MUSTERILER!$B$7:$B$106,MATCH($D546,MUSTERILER!$B$7:$B$106,0)),IFERROR(INDEX(MUSTERILER!$B$7:$B$106,MATCH($R546&amp;"*",MUSTERILER!$T$7:$T$106,0)),"TANIMSIZ MÜŞTERİ"))))</f>
        <v/>
      </c>
      <c r="D546" s="109" t="n"/>
      <c r="E546" s="220" t="n"/>
      <c r="F546" s="221" t="n"/>
      <c r="G546" s="108" t="n"/>
      <c r="H546" s="108" t="n"/>
      <c r="I546" s="109" t="n"/>
      <c r="J546" s="109" t="n"/>
      <c r="K546" s="109" t="n"/>
      <c r="L546" s="226">
        <f>IF($E546="","",DATE(YEAR($E546),MONTH($E546),1))</f>
        <v/>
      </c>
      <c r="M546" s="113">
        <f>IF($D546="","",IF($C546="TANIMSIZ MÜŞTERİ","HATA",IF(OR($E546="",$F546&lt;=0,$G546=""),"EKSİK",IF($E546&gt;TODAY(),"İLERİ TARİH",IF(COUNTIF($S$7:$S$1506,$S546)&gt;1,"MÜKERRER?",IF($T546&gt;0,"KAPALI DÖNEM","UYGUN"))))))</f>
        <v/>
      </c>
      <c r="N546" s="121">
        <f>IF($C546="","",IF($C546="TANIMSIZ MÜŞTERİ","—",INDEX(MUSTERILER!$C$7:$C$106,MATCH($C546,MUSTERILER!$B$7:$B$106,0))))</f>
        <v/>
      </c>
      <c r="O546" s="6" t="n"/>
      <c r="P546" s="6" t="n"/>
      <c r="Q546" s="3">
        <f>IF($D546="","",$C546&amp;"|"&amp;COUNTIFS($C$7:$C546,$C546))</f>
        <v/>
      </c>
      <c r="R546" s="3">
        <f>IF($D546="","",UPPER(SUBSTITUTE(SUBSTITUTE(SUBSTITUTE(SUBSTITUTE(SUBSTITUTE(SUBSTITUTE(SUBSTITUTE(SUBSTITUTE(SUBSTITUTE(SUBSTITUTE(SUBSTITUTE(SUBSTITUTE(SUBSTITUTE(SUBSTITUTE(SUBSTITUTE(SUBSTITUTE(SUBSTITUTE(SUBSTITUTE(TRIM($D546),"'",""),"İ","I"),"ı","I"),"i","I"),"Ş","S"),"ş","S"),"Ğ","G"),"ğ","G"),"Ü","U"),"ü","U"),"Ö","O"),"ö","O"),"Ç","C"),"ç","C"),".",""),",","")," ",""),"-","")))</f>
        <v/>
      </c>
      <c r="S546" s="3">
        <f>IF($D546="","",$C546&amp;"|"&amp;TEXT($E546,"0")&amp;"|"&amp;TEXT($F546,"0")&amp;"|"&amp;$I546)</f>
        <v/>
      </c>
      <c r="T546" s="3">
        <f>IF($E546="",0,SUMPRODUCT((AY_SONU!$O$7:$O$42="Evet")*(AY_SONU!$B$7:$B$42=DATE(YEAR($E546),MONTH($E546),1))))</f>
        <v/>
      </c>
    </row>
    <row r="547">
      <c r="A547" s="6" t="n"/>
      <c r="B547" s="113">
        <f>IF($D547="","","T"&amp;TEXT(ROW()-6,"00000"))</f>
        <v/>
      </c>
      <c r="C547" s="113">
        <f>IF($D547="","",IFERROR(INDEX(MUSTERILER!$B$7:$B$106,MATCH($R547,MUSTERILER!$T$7:$T$106,0)),IFERROR(INDEX(MUSTERILER!$B$7:$B$106,MATCH($D547,MUSTERILER!$B$7:$B$106,0)),IFERROR(INDEX(MUSTERILER!$B$7:$B$106,MATCH($R547&amp;"*",MUSTERILER!$T$7:$T$106,0)),"TANIMSIZ MÜŞTERİ"))))</f>
        <v/>
      </c>
      <c r="D547" s="109" t="n"/>
      <c r="E547" s="220" t="n"/>
      <c r="F547" s="221" t="n"/>
      <c r="G547" s="108" t="n"/>
      <c r="H547" s="108" t="n"/>
      <c r="I547" s="109" t="n"/>
      <c r="J547" s="109" t="n"/>
      <c r="K547" s="109" t="n"/>
      <c r="L547" s="226">
        <f>IF($E547="","",DATE(YEAR($E547),MONTH($E547),1))</f>
        <v/>
      </c>
      <c r="M547" s="113">
        <f>IF($D547="","",IF($C547="TANIMSIZ MÜŞTERİ","HATA",IF(OR($E547="",$F547&lt;=0,$G547=""),"EKSİK",IF($E547&gt;TODAY(),"İLERİ TARİH",IF(COUNTIF($S$7:$S$1506,$S547)&gt;1,"MÜKERRER?",IF($T547&gt;0,"KAPALI DÖNEM","UYGUN"))))))</f>
        <v/>
      </c>
      <c r="N547" s="121">
        <f>IF($C547="","",IF($C547="TANIMSIZ MÜŞTERİ","—",INDEX(MUSTERILER!$C$7:$C$106,MATCH($C547,MUSTERILER!$B$7:$B$106,0))))</f>
        <v/>
      </c>
      <c r="O547" s="6" t="n"/>
      <c r="P547" s="6" t="n"/>
      <c r="Q547" s="3">
        <f>IF($D547="","",$C547&amp;"|"&amp;COUNTIFS($C$7:$C547,$C547))</f>
        <v/>
      </c>
      <c r="R547" s="3">
        <f>IF($D547="","",UPPER(SUBSTITUTE(SUBSTITUTE(SUBSTITUTE(SUBSTITUTE(SUBSTITUTE(SUBSTITUTE(SUBSTITUTE(SUBSTITUTE(SUBSTITUTE(SUBSTITUTE(SUBSTITUTE(SUBSTITUTE(SUBSTITUTE(SUBSTITUTE(SUBSTITUTE(SUBSTITUTE(SUBSTITUTE(SUBSTITUTE(TRIM($D547),"'",""),"İ","I"),"ı","I"),"i","I"),"Ş","S"),"ş","S"),"Ğ","G"),"ğ","G"),"Ü","U"),"ü","U"),"Ö","O"),"ö","O"),"Ç","C"),"ç","C"),".",""),",","")," ",""),"-","")))</f>
        <v/>
      </c>
      <c r="S547" s="3">
        <f>IF($D547="","",$C547&amp;"|"&amp;TEXT($E547,"0")&amp;"|"&amp;TEXT($F547,"0")&amp;"|"&amp;$I547)</f>
        <v/>
      </c>
      <c r="T547" s="3">
        <f>IF($E547="",0,SUMPRODUCT((AY_SONU!$O$7:$O$42="Evet")*(AY_SONU!$B$7:$B$42=DATE(YEAR($E547),MONTH($E547),1))))</f>
        <v/>
      </c>
    </row>
    <row r="548">
      <c r="A548" s="6" t="n"/>
      <c r="B548" s="113">
        <f>IF($D548="","","T"&amp;TEXT(ROW()-6,"00000"))</f>
        <v/>
      </c>
      <c r="C548" s="113">
        <f>IF($D548="","",IFERROR(INDEX(MUSTERILER!$B$7:$B$106,MATCH($R548,MUSTERILER!$T$7:$T$106,0)),IFERROR(INDEX(MUSTERILER!$B$7:$B$106,MATCH($D548,MUSTERILER!$B$7:$B$106,0)),IFERROR(INDEX(MUSTERILER!$B$7:$B$106,MATCH($R548&amp;"*",MUSTERILER!$T$7:$T$106,0)),"TANIMSIZ MÜŞTERİ"))))</f>
        <v/>
      </c>
      <c r="D548" s="109" t="n"/>
      <c r="E548" s="220" t="n"/>
      <c r="F548" s="221" t="n"/>
      <c r="G548" s="108" t="n"/>
      <c r="H548" s="108" t="n"/>
      <c r="I548" s="109" t="n"/>
      <c r="J548" s="109" t="n"/>
      <c r="K548" s="109" t="n"/>
      <c r="L548" s="226">
        <f>IF($E548="","",DATE(YEAR($E548),MONTH($E548),1))</f>
        <v/>
      </c>
      <c r="M548" s="113">
        <f>IF($D548="","",IF($C548="TANIMSIZ MÜŞTERİ","HATA",IF(OR($E548="",$F548&lt;=0,$G548=""),"EKSİK",IF($E548&gt;TODAY(),"İLERİ TARİH",IF(COUNTIF($S$7:$S$1506,$S548)&gt;1,"MÜKERRER?",IF($T548&gt;0,"KAPALI DÖNEM","UYGUN"))))))</f>
        <v/>
      </c>
      <c r="N548" s="121">
        <f>IF($C548="","",IF($C548="TANIMSIZ MÜŞTERİ","—",INDEX(MUSTERILER!$C$7:$C$106,MATCH($C548,MUSTERILER!$B$7:$B$106,0))))</f>
        <v/>
      </c>
      <c r="O548" s="6" t="n"/>
      <c r="P548" s="6" t="n"/>
      <c r="Q548" s="3">
        <f>IF($D548="","",$C548&amp;"|"&amp;COUNTIFS($C$7:$C548,$C548))</f>
        <v/>
      </c>
      <c r="R548" s="3">
        <f>IF($D548="","",UPPER(SUBSTITUTE(SUBSTITUTE(SUBSTITUTE(SUBSTITUTE(SUBSTITUTE(SUBSTITUTE(SUBSTITUTE(SUBSTITUTE(SUBSTITUTE(SUBSTITUTE(SUBSTITUTE(SUBSTITUTE(SUBSTITUTE(SUBSTITUTE(SUBSTITUTE(SUBSTITUTE(SUBSTITUTE(SUBSTITUTE(TRIM($D548),"'",""),"İ","I"),"ı","I"),"i","I"),"Ş","S"),"ş","S"),"Ğ","G"),"ğ","G"),"Ü","U"),"ü","U"),"Ö","O"),"ö","O"),"Ç","C"),"ç","C"),".",""),",","")," ",""),"-","")))</f>
        <v/>
      </c>
      <c r="S548" s="3">
        <f>IF($D548="","",$C548&amp;"|"&amp;TEXT($E548,"0")&amp;"|"&amp;TEXT($F548,"0")&amp;"|"&amp;$I548)</f>
        <v/>
      </c>
      <c r="T548" s="3">
        <f>IF($E548="",0,SUMPRODUCT((AY_SONU!$O$7:$O$42="Evet")*(AY_SONU!$B$7:$B$42=DATE(YEAR($E548),MONTH($E548),1))))</f>
        <v/>
      </c>
    </row>
    <row r="549">
      <c r="A549" s="6" t="n"/>
      <c r="B549" s="113">
        <f>IF($D549="","","T"&amp;TEXT(ROW()-6,"00000"))</f>
        <v/>
      </c>
      <c r="C549" s="113">
        <f>IF($D549="","",IFERROR(INDEX(MUSTERILER!$B$7:$B$106,MATCH($R549,MUSTERILER!$T$7:$T$106,0)),IFERROR(INDEX(MUSTERILER!$B$7:$B$106,MATCH($D549,MUSTERILER!$B$7:$B$106,0)),IFERROR(INDEX(MUSTERILER!$B$7:$B$106,MATCH($R549&amp;"*",MUSTERILER!$T$7:$T$106,0)),"TANIMSIZ MÜŞTERİ"))))</f>
        <v/>
      </c>
      <c r="D549" s="109" t="n"/>
      <c r="E549" s="220" t="n"/>
      <c r="F549" s="221" t="n"/>
      <c r="G549" s="108" t="n"/>
      <c r="H549" s="108" t="n"/>
      <c r="I549" s="109" t="n"/>
      <c r="J549" s="109" t="n"/>
      <c r="K549" s="109" t="n"/>
      <c r="L549" s="226">
        <f>IF($E549="","",DATE(YEAR($E549),MONTH($E549),1))</f>
        <v/>
      </c>
      <c r="M549" s="113">
        <f>IF($D549="","",IF($C549="TANIMSIZ MÜŞTERİ","HATA",IF(OR($E549="",$F549&lt;=0,$G549=""),"EKSİK",IF($E549&gt;TODAY(),"İLERİ TARİH",IF(COUNTIF($S$7:$S$1506,$S549)&gt;1,"MÜKERRER?",IF($T549&gt;0,"KAPALI DÖNEM","UYGUN"))))))</f>
        <v/>
      </c>
      <c r="N549" s="121">
        <f>IF($C549="","",IF($C549="TANIMSIZ MÜŞTERİ","—",INDEX(MUSTERILER!$C$7:$C$106,MATCH($C549,MUSTERILER!$B$7:$B$106,0))))</f>
        <v/>
      </c>
      <c r="O549" s="6" t="n"/>
      <c r="P549" s="6" t="n"/>
      <c r="Q549" s="3">
        <f>IF($D549="","",$C549&amp;"|"&amp;COUNTIFS($C$7:$C549,$C549))</f>
        <v/>
      </c>
      <c r="R549" s="3">
        <f>IF($D549="","",UPPER(SUBSTITUTE(SUBSTITUTE(SUBSTITUTE(SUBSTITUTE(SUBSTITUTE(SUBSTITUTE(SUBSTITUTE(SUBSTITUTE(SUBSTITUTE(SUBSTITUTE(SUBSTITUTE(SUBSTITUTE(SUBSTITUTE(SUBSTITUTE(SUBSTITUTE(SUBSTITUTE(SUBSTITUTE(SUBSTITUTE(TRIM($D549),"'",""),"İ","I"),"ı","I"),"i","I"),"Ş","S"),"ş","S"),"Ğ","G"),"ğ","G"),"Ü","U"),"ü","U"),"Ö","O"),"ö","O"),"Ç","C"),"ç","C"),".",""),",","")," ",""),"-","")))</f>
        <v/>
      </c>
      <c r="S549" s="3">
        <f>IF($D549="","",$C549&amp;"|"&amp;TEXT($E549,"0")&amp;"|"&amp;TEXT($F549,"0")&amp;"|"&amp;$I549)</f>
        <v/>
      </c>
      <c r="T549" s="3">
        <f>IF($E549="",0,SUMPRODUCT((AY_SONU!$O$7:$O$42="Evet")*(AY_SONU!$B$7:$B$42=DATE(YEAR($E549),MONTH($E549),1))))</f>
        <v/>
      </c>
    </row>
    <row r="550">
      <c r="A550" s="6" t="n"/>
      <c r="B550" s="113">
        <f>IF($D550="","","T"&amp;TEXT(ROW()-6,"00000"))</f>
        <v/>
      </c>
      <c r="C550" s="113">
        <f>IF($D550="","",IFERROR(INDEX(MUSTERILER!$B$7:$B$106,MATCH($R550,MUSTERILER!$T$7:$T$106,0)),IFERROR(INDEX(MUSTERILER!$B$7:$B$106,MATCH($D550,MUSTERILER!$B$7:$B$106,0)),IFERROR(INDEX(MUSTERILER!$B$7:$B$106,MATCH($R550&amp;"*",MUSTERILER!$T$7:$T$106,0)),"TANIMSIZ MÜŞTERİ"))))</f>
        <v/>
      </c>
      <c r="D550" s="109" t="n"/>
      <c r="E550" s="220" t="n"/>
      <c r="F550" s="221" t="n"/>
      <c r="G550" s="108" t="n"/>
      <c r="H550" s="108" t="n"/>
      <c r="I550" s="109" t="n"/>
      <c r="J550" s="109" t="n"/>
      <c r="K550" s="109" t="n"/>
      <c r="L550" s="226">
        <f>IF($E550="","",DATE(YEAR($E550),MONTH($E550),1))</f>
        <v/>
      </c>
      <c r="M550" s="113">
        <f>IF($D550="","",IF($C550="TANIMSIZ MÜŞTERİ","HATA",IF(OR($E550="",$F550&lt;=0,$G550=""),"EKSİK",IF($E550&gt;TODAY(),"İLERİ TARİH",IF(COUNTIF($S$7:$S$1506,$S550)&gt;1,"MÜKERRER?",IF($T550&gt;0,"KAPALI DÖNEM","UYGUN"))))))</f>
        <v/>
      </c>
      <c r="N550" s="121">
        <f>IF($C550="","",IF($C550="TANIMSIZ MÜŞTERİ","—",INDEX(MUSTERILER!$C$7:$C$106,MATCH($C550,MUSTERILER!$B$7:$B$106,0))))</f>
        <v/>
      </c>
      <c r="O550" s="6" t="n"/>
      <c r="P550" s="6" t="n"/>
      <c r="Q550" s="3">
        <f>IF($D550="","",$C550&amp;"|"&amp;COUNTIFS($C$7:$C550,$C550))</f>
        <v/>
      </c>
      <c r="R550" s="3">
        <f>IF($D550="","",UPPER(SUBSTITUTE(SUBSTITUTE(SUBSTITUTE(SUBSTITUTE(SUBSTITUTE(SUBSTITUTE(SUBSTITUTE(SUBSTITUTE(SUBSTITUTE(SUBSTITUTE(SUBSTITUTE(SUBSTITUTE(SUBSTITUTE(SUBSTITUTE(SUBSTITUTE(SUBSTITUTE(SUBSTITUTE(SUBSTITUTE(TRIM($D550),"'",""),"İ","I"),"ı","I"),"i","I"),"Ş","S"),"ş","S"),"Ğ","G"),"ğ","G"),"Ü","U"),"ü","U"),"Ö","O"),"ö","O"),"Ç","C"),"ç","C"),".",""),",","")," ",""),"-","")))</f>
        <v/>
      </c>
      <c r="S550" s="3">
        <f>IF($D550="","",$C550&amp;"|"&amp;TEXT($E550,"0")&amp;"|"&amp;TEXT($F550,"0")&amp;"|"&amp;$I550)</f>
        <v/>
      </c>
      <c r="T550" s="3">
        <f>IF($E550="",0,SUMPRODUCT((AY_SONU!$O$7:$O$42="Evet")*(AY_SONU!$B$7:$B$42=DATE(YEAR($E550),MONTH($E550),1))))</f>
        <v/>
      </c>
    </row>
    <row r="551">
      <c r="A551" s="6" t="n"/>
      <c r="B551" s="113">
        <f>IF($D551="","","T"&amp;TEXT(ROW()-6,"00000"))</f>
        <v/>
      </c>
      <c r="C551" s="113">
        <f>IF($D551="","",IFERROR(INDEX(MUSTERILER!$B$7:$B$106,MATCH($R551,MUSTERILER!$T$7:$T$106,0)),IFERROR(INDEX(MUSTERILER!$B$7:$B$106,MATCH($D551,MUSTERILER!$B$7:$B$106,0)),IFERROR(INDEX(MUSTERILER!$B$7:$B$106,MATCH($R551&amp;"*",MUSTERILER!$T$7:$T$106,0)),"TANIMSIZ MÜŞTERİ"))))</f>
        <v/>
      </c>
      <c r="D551" s="109" t="n"/>
      <c r="E551" s="220" t="n"/>
      <c r="F551" s="221" t="n"/>
      <c r="G551" s="108" t="n"/>
      <c r="H551" s="108" t="n"/>
      <c r="I551" s="109" t="n"/>
      <c r="J551" s="109" t="n"/>
      <c r="K551" s="109" t="n"/>
      <c r="L551" s="226">
        <f>IF($E551="","",DATE(YEAR($E551),MONTH($E551),1))</f>
        <v/>
      </c>
      <c r="M551" s="113">
        <f>IF($D551="","",IF($C551="TANIMSIZ MÜŞTERİ","HATA",IF(OR($E551="",$F551&lt;=0,$G551=""),"EKSİK",IF($E551&gt;TODAY(),"İLERİ TARİH",IF(COUNTIF($S$7:$S$1506,$S551)&gt;1,"MÜKERRER?",IF($T551&gt;0,"KAPALI DÖNEM","UYGUN"))))))</f>
        <v/>
      </c>
      <c r="N551" s="121">
        <f>IF($C551="","",IF($C551="TANIMSIZ MÜŞTERİ","—",INDEX(MUSTERILER!$C$7:$C$106,MATCH($C551,MUSTERILER!$B$7:$B$106,0))))</f>
        <v/>
      </c>
      <c r="O551" s="6" t="n"/>
      <c r="P551" s="6" t="n"/>
      <c r="Q551" s="3">
        <f>IF($D551="","",$C551&amp;"|"&amp;COUNTIFS($C$7:$C551,$C551))</f>
        <v/>
      </c>
      <c r="R551" s="3">
        <f>IF($D551="","",UPPER(SUBSTITUTE(SUBSTITUTE(SUBSTITUTE(SUBSTITUTE(SUBSTITUTE(SUBSTITUTE(SUBSTITUTE(SUBSTITUTE(SUBSTITUTE(SUBSTITUTE(SUBSTITUTE(SUBSTITUTE(SUBSTITUTE(SUBSTITUTE(SUBSTITUTE(SUBSTITUTE(SUBSTITUTE(SUBSTITUTE(TRIM($D551),"'",""),"İ","I"),"ı","I"),"i","I"),"Ş","S"),"ş","S"),"Ğ","G"),"ğ","G"),"Ü","U"),"ü","U"),"Ö","O"),"ö","O"),"Ç","C"),"ç","C"),".",""),",","")," ",""),"-","")))</f>
        <v/>
      </c>
      <c r="S551" s="3">
        <f>IF($D551="","",$C551&amp;"|"&amp;TEXT($E551,"0")&amp;"|"&amp;TEXT($F551,"0")&amp;"|"&amp;$I551)</f>
        <v/>
      </c>
      <c r="T551" s="3">
        <f>IF($E551="",0,SUMPRODUCT((AY_SONU!$O$7:$O$42="Evet")*(AY_SONU!$B$7:$B$42=DATE(YEAR($E551),MONTH($E551),1))))</f>
        <v/>
      </c>
    </row>
    <row r="552">
      <c r="A552" s="6" t="n"/>
      <c r="B552" s="113">
        <f>IF($D552="","","T"&amp;TEXT(ROW()-6,"00000"))</f>
        <v/>
      </c>
      <c r="C552" s="113">
        <f>IF($D552="","",IFERROR(INDEX(MUSTERILER!$B$7:$B$106,MATCH($R552,MUSTERILER!$T$7:$T$106,0)),IFERROR(INDEX(MUSTERILER!$B$7:$B$106,MATCH($D552,MUSTERILER!$B$7:$B$106,0)),IFERROR(INDEX(MUSTERILER!$B$7:$B$106,MATCH($R552&amp;"*",MUSTERILER!$T$7:$T$106,0)),"TANIMSIZ MÜŞTERİ"))))</f>
        <v/>
      </c>
      <c r="D552" s="109" t="n"/>
      <c r="E552" s="220" t="n"/>
      <c r="F552" s="221" t="n"/>
      <c r="G552" s="108" t="n"/>
      <c r="H552" s="108" t="n"/>
      <c r="I552" s="109" t="n"/>
      <c r="J552" s="109" t="n"/>
      <c r="K552" s="109" t="n"/>
      <c r="L552" s="226">
        <f>IF($E552="","",DATE(YEAR($E552),MONTH($E552),1))</f>
        <v/>
      </c>
      <c r="M552" s="113">
        <f>IF($D552="","",IF($C552="TANIMSIZ MÜŞTERİ","HATA",IF(OR($E552="",$F552&lt;=0,$G552=""),"EKSİK",IF($E552&gt;TODAY(),"İLERİ TARİH",IF(COUNTIF($S$7:$S$1506,$S552)&gt;1,"MÜKERRER?",IF($T552&gt;0,"KAPALI DÖNEM","UYGUN"))))))</f>
        <v/>
      </c>
      <c r="N552" s="121">
        <f>IF($C552="","",IF($C552="TANIMSIZ MÜŞTERİ","—",INDEX(MUSTERILER!$C$7:$C$106,MATCH($C552,MUSTERILER!$B$7:$B$106,0))))</f>
        <v/>
      </c>
      <c r="O552" s="6" t="n"/>
      <c r="P552" s="6" t="n"/>
      <c r="Q552" s="3">
        <f>IF($D552="","",$C552&amp;"|"&amp;COUNTIFS($C$7:$C552,$C552))</f>
        <v/>
      </c>
      <c r="R552" s="3">
        <f>IF($D552="","",UPPER(SUBSTITUTE(SUBSTITUTE(SUBSTITUTE(SUBSTITUTE(SUBSTITUTE(SUBSTITUTE(SUBSTITUTE(SUBSTITUTE(SUBSTITUTE(SUBSTITUTE(SUBSTITUTE(SUBSTITUTE(SUBSTITUTE(SUBSTITUTE(SUBSTITUTE(SUBSTITUTE(SUBSTITUTE(SUBSTITUTE(TRIM($D552),"'",""),"İ","I"),"ı","I"),"i","I"),"Ş","S"),"ş","S"),"Ğ","G"),"ğ","G"),"Ü","U"),"ü","U"),"Ö","O"),"ö","O"),"Ç","C"),"ç","C"),".",""),",","")," ",""),"-","")))</f>
        <v/>
      </c>
      <c r="S552" s="3">
        <f>IF($D552="","",$C552&amp;"|"&amp;TEXT($E552,"0")&amp;"|"&amp;TEXT($F552,"0")&amp;"|"&amp;$I552)</f>
        <v/>
      </c>
      <c r="T552" s="3">
        <f>IF($E552="",0,SUMPRODUCT((AY_SONU!$O$7:$O$42="Evet")*(AY_SONU!$B$7:$B$42=DATE(YEAR($E552),MONTH($E552),1))))</f>
        <v/>
      </c>
    </row>
    <row r="553">
      <c r="A553" s="6" t="n"/>
      <c r="B553" s="113">
        <f>IF($D553="","","T"&amp;TEXT(ROW()-6,"00000"))</f>
        <v/>
      </c>
      <c r="C553" s="113">
        <f>IF($D553="","",IFERROR(INDEX(MUSTERILER!$B$7:$B$106,MATCH($R553,MUSTERILER!$T$7:$T$106,0)),IFERROR(INDEX(MUSTERILER!$B$7:$B$106,MATCH($D553,MUSTERILER!$B$7:$B$106,0)),IFERROR(INDEX(MUSTERILER!$B$7:$B$106,MATCH($R553&amp;"*",MUSTERILER!$T$7:$T$106,0)),"TANIMSIZ MÜŞTERİ"))))</f>
        <v/>
      </c>
      <c r="D553" s="109" t="n"/>
      <c r="E553" s="220" t="n"/>
      <c r="F553" s="221" t="n"/>
      <c r="G553" s="108" t="n"/>
      <c r="H553" s="108" t="n"/>
      <c r="I553" s="109" t="n"/>
      <c r="J553" s="109" t="n"/>
      <c r="K553" s="109" t="n"/>
      <c r="L553" s="226">
        <f>IF($E553="","",DATE(YEAR($E553),MONTH($E553),1))</f>
        <v/>
      </c>
      <c r="M553" s="113">
        <f>IF($D553="","",IF($C553="TANIMSIZ MÜŞTERİ","HATA",IF(OR($E553="",$F553&lt;=0,$G553=""),"EKSİK",IF($E553&gt;TODAY(),"İLERİ TARİH",IF(COUNTIF($S$7:$S$1506,$S553)&gt;1,"MÜKERRER?",IF($T553&gt;0,"KAPALI DÖNEM","UYGUN"))))))</f>
        <v/>
      </c>
      <c r="N553" s="121">
        <f>IF($C553="","",IF($C553="TANIMSIZ MÜŞTERİ","—",INDEX(MUSTERILER!$C$7:$C$106,MATCH($C553,MUSTERILER!$B$7:$B$106,0))))</f>
        <v/>
      </c>
      <c r="O553" s="6" t="n"/>
      <c r="P553" s="6" t="n"/>
      <c r="Q553" s="3">
        <f>IF($D553="","",$C553&amp;"|"&amp;COUNTIFS($C$7:$C553,$C553))</f>
        <v/>
      </c>
      <c r="R553" s="3">
        <f>IF($D553="","",UPPER(SUBSTITUTE(SUBSTITUTE(SUBSTITUTE(SUBSTITUTE(SUBSTITUTE(SUBSTITUTE(SUBSTITUTE(SUBSTITUTE(SUBSTITUTE(SUBSTITUTE(SUBSTITUTE(SUBSTITUTE(SUBSTITUTE(SUBSTITUTE(SUBSTITUTE(SUBSTITUTE(SUBSTITUTE(SUBSTITUTE(TRIM($D553),"'",""),"İ","I"),"ı","I"),"i","I"),"Ş","S"),"ş","S"),"Ğ","G"),"ğ","G"),"Ü","U"),"ü","U"),"Ö","O"),"ö","O"),"Ç","C"),"ç","C"),".",""),",","")," ",""),"-","")))</f>
        <v/>
      </c>
      <c r="S553" s="3">
        <f>IF($D553="","",$C553&amp;"|"&amp;TEXT($E553,"0")&amp;"|"&amp;TEXT($F553,"0")&amp;"|"&amp;$I553)</f>
        <v/>
      </c>
      <c r="T553" s="3">
        <f>IF($E553="",0,SUMPRODUCT((AY_SONU!$O$7:$O$42="Evet")*(AY_SONU!$B$7:$B$42=DATE(YEAR($E553),MONTH($E553),1))))</f>
        <v/>
      </c>
    </row>
    <row r="554">
      <c r="A554" s="6" t="n"/>
      <c r="B554" s="113">
        <f>IF($D554="","","T"&amp;TEXT(ROW()-6,"00000"))</f>
        <v/>
      </c>
      <c r="C554" s="113">
        <f>IF($D554="","",IFERROR(INDEX(MUSTERILER!$B$7:$B$106,MATCH($R554,MUSTERILER!$T$7:$T$106,0)),IFERROR(INDEX(MUSTERILER!$B$7:$B$106,MATCH($D554,MUSTERILER!$B$7:$B$106,0)),IFERROR(INDEX(MUSTERILER!$B$7:$B$106,MATCH($R554&amp;"*",MUSTERILER!$T$7:$T$106,0)),"TANIMSIZ MÜŞTERİ"))))</f>
        <v/>
      </c>
      <c r="D554" s="109" t="n"/>
      <c r="E554" s="220" t="n"/>
      <c r="F554" s="221" t="n"/>
      <c r="G554" s="108" t="n"/>
      <c r="H554" s="108" t="n"/>
      <c r="I554" s="109" t="n"/>
      <c r="J554" s="109" t="n"/>
      <c r="K554" s="109" t="n"/>
      <c r="L554" s="226">
        <f>IF($E554="","",DATE(YEAR($E554),MONTH($E554),1))</f>
        <v/>
      </c>
      <c r="M554" s="113">
        <f>IF($D554="","",IF($C554="TANIMSIZ MÜŞTERİ","HATA",IF(OR($E554="",$F554&lt;=0,$G554=""),"EKSİK",IF($E554&gt;TODAY(),"İLERİ TARİH",IF(COUNTIF($S$7:$S$1506,$S554)&gt;1,"MÜKERRER?",IF($T554&gt;0,"KAPALI DÖNEM","UYGUN"))))))</f>
        <v/>
      </c>
      <c r="N554" s="121">
        <f>IF($C554="","",IF($C554="TANIMSIZ MÜŞTERİ","—",INDEX(MUSTERILER!$C$7:$C$106,MATCH($C554,MUSTERILER!$B$7:$B$106,0))))</f>
        <v/>
      </c>
      <c r="O554" s="6" t="n"/>
      <c r="P554" s="6" t="n"/>
      <c r="Q554" s="3">
        <f>IF($D554="","",$C554&amp;"|"&amp;COUNTIFS($C$7:$C554,$C554))</f>
        <v/>
      </c>
      <c r="R554" s="3">
        <f>IF($D554="","",UPPER(SUBSTITUTE(SUBSTITUTE(SUBSTITUTE(SUBSTITUTE(SUBSTITUTE(SUBSTITUTE(SUBSTITUTE(SUBSTITUTE(SUBSTITUTE(SUBSTITUTE(SUBSTITUTE(SUBSTITUTE(SUBSTITUTE(SUBSTITUTE(SUBSTITUTE(SUBSTITUTE(SUBSTITUTE(SUBSTITUTE(TRIM($D554),"'",""),"İ","I"),"ı","I"),"i","I"),"Ş","S"),"ş","S"),"Ğ","G"),"ğ","G"),"Ü","U"),"ü","U"),"Ö","O"),"ö","O"),"Ç","C"),"ç","C"),".",""),",","")," ",""),"-","")))</f>
        <v/>
      </c>
      <c r="S554" s="3">
        <f>IF($D554="","",$C554&amp;"|"&amp;TEXT($E554,"0")&amp;"|"&amp;TEXT($F554,"0")&amp;"|"&amp;$I554)</f>
        <v/>
      </c>
      <c r="T554" s="3">
        <f>IF($E554="",0,SUMPRODUCT((AY_SONU!$O$7:$O$42="Evet")*(AY_SONU!$B$7:$B$42=DATE(YEAR($E554),MONTH($E554),1))))</f>
        <v/>
      </c>
    </row>
    <row r="555">
      <c r="A555" s="6" t="n"/>
      <c r="B555" s="113">
        <f>IF($D555="","","T"&amp;TEXT(ROW()-6,"00000"))</f>
        <v/>
      </c>
      <c r="C555" s="113">
        <f>IF($D555="","",IFERROR(INDEX(MUSTERILER!$B$7:$B$106,MATCH($R555,MUSTERILER!$T$7:$T$106,0)),IFERROR(INDEX(MUSTERILER!$B$7:$B$106,MATCH($D555,MUSTERILER!$B$7:$B$106,0)),IFERROR(INDEX(MUSTERILER!$B$7:$B$106,MATCH($R555&amp;"*",MUSTERILER!$T$7:$T$106,0)),"TANIMSIZ MÜŞTERİ"))))</f>
        <v/>
      </c>
      <c r="D555" s="109" t="n"/>
      <c r="E555" s="220" t="n"/>
      <c r="F555" s="221" t="n"/>
      <c r="G555" s="108" t="n"/>
      <c r="H555" s="108" t="n"/>
      <c r="I555" s="109" t="n"/>
      <c r="J555" s="109" t="n"/>
      <c r="K555" s="109" t="n"/>
      <c r="L555" s="226">
        <f>IF($E555="","",DATE(YEAR($E555),MONTH($E555),1))</f>
        <v/>
      </c>
      <c r="M555" s="113">
        <f>IF($D555="","",IF($C555="TANIMSIZ MÜŞTERİ","HATA",IF(OR($E555="",$F555&lt;=0,$G555=""),"EKSİK",IF($E555&gt;TODAY(),"İLERİ TARİH",IF(COUNTIF($S$7:$S$1506,$S555)&gt;1,"MÜKERRER?",IF($T555&gt;0,"KAPALI DÖNEM","UYGUN"))))))</f>
        <v/>
      </c>
      <c r="N555" s="121">
        <f>IF($C555="","",IF($C555="TANIMSIZ MÜŞTERİ","—",INDEX(MUSTERILER!$C$7:$C$106,MATCH($C555,MUSTERILER!$B$7:$B$106,0))))</f>
        <v/>
      </c>
      <c r="O555" s="6" t="n"/>
      <c r="P555" s="6" t="n"/>
      <c r="Q555" s="3">
        <f>IF($D555="","",$C555&amp;"|"&amp;COUNTIFS($C$7:$C555,$C555))</f>
        <v/>
      </c>
      <c r="R555" s="3">
        <f>IF($D555="","",UPPER(SUBSTITUTE(SUBSTITUTE(SUBSTITUTE(SUBSTITUTE(SUBSTITUTE(SUBSTITUTE(SUBSTITUTE(SUBSTITUTE(SUBSTITUTE(SUBSTITUTE(SUBSTITUTE(SUBSTITUTE(SUBSTITUTE(SUBSTITUTE(SUBSTITUTE(SUBSTITUTE(SUBSTITUTE(SUBSTITUTE(TRIM($D555),"'",""),"İ","I"),"ı","I"),"i","I"),"Ş","S"),"ş","S"),"Ğ","G"),"ğ","G"),"Ü","U"),"ü","U"),"Ö","O"),"ö","O"),"Ç","C"),"ç","C"),".",""),",","")," ",""),"-","")))</f>
        <v/>
      </c>
      <c r="S555" s="3">
        <f>IF($D555="","",$C555&amp;"|"&amp;TEXT($E555,"0")&amp;"|"&amp;TEXT($F555,"0")&amp;"|"&amp;$I555)</f>
        <v/>
      </c>
      <c r="T555" s="3">
        <f>IF($E555="",0,SUMPRODUCT((AY_SONU!$O$7:$O$42="Evet")*(AY_SONU!$B$7:$B$42=DATE(YEAR($E555),MONTH($E555),1))))</f>
        <v/>
      </c>
    </row>
    <row r="556">
      <c r="A556" s="6" t="n"/>
      <c r="B556" s="113">
        <f>IF($D556="","","T"&amp;TEXT(ROW()-6,"00000"))</f>
        <v/>
      </c>
      <c r="C556" s="113">
        <f>IF($D556="","",IFERROR(INDEX(MUSTERILER!$B$7:$B$106,MATCH($R556,MUSTERILER!$T$7:$T$106,0)),IFERROR(INDEX(MUSTERILER!$B$7:$B$106,MATCH($D556,MUSTERILER!$B$7:$B$106,0)),IFERROR(INDEX(MUSTERILER!$B$7:$B$106,MATCH($R556&amp;"*",MUSTERILER!$T$7:$T$106,0)),"TANIMSIZ MÜŞTERİ"))))</f>
        <v/>
      </c>
      <c r="D556" s="109" t="n"/>
      <c r="E556" s="220" t="n"/>
      <c r="F556" s="221" t="n"/>
      <c r="G556" s="108" t="n"/>
      <c r="H556" s="108" t="n"/>
      <c r="I556" s="109" t="n"/>
      <c r="J556" s="109" t="n"/>
      <c r="K556" s="109" t="n"/>
      <c r="L556" s="226">
        <f>IF($E556="","",DATE(YEAR($E556),MONTH($E556),1))</f>
        <v/>
      </c>
      <c r="M556" s="113">
        <f>IF($D556="","",IF($C556="TANIMSIZ MÜŞTERİ","HATA",IF(OR($E556="",$F556&lt;=0,$G556=""),"EKSİK",IF($E556&gt;TODAY(),"İLERİ TARİH",IF(COUNTIF($S$7:$S$1506,$S556)&gt;1,"MÜKERRER?",IF($T556&gt;0,"KAPALI DÖNEM","UYGUN"))))))</f>
        <v/>
      </c>
      <c r="N556" s="121">
        <f>IF($C556="","",IF($C556="TANIMSIZ MÜŞTERİ","—",INDEX(MUSTERILER!$C$7:$C$106,MATCH($C556,MUSTERILER!$B$7:$B$106,0))))</f>
        <v/>
      </c>
      <c r="O556" s="6" t="n"/>
      <c r="P556" s="6" t="n"/>
      <c r="Q556" s="3">
        <f>IF($D556="","",$C556&amp;"|"&amp;COUNTIFS($C$7:$C556,$C556))</f>
        <v/>
      </c>
      <c r="R556" s="3">
        <f>IF($D556="","",UPPER(SUBSTITUTE(SUBSTITUTE(SUBSTITUTE(SUBSTITUTE(SUBSTITUTE(SUBSTITUTE(SUBSTITUTE(SUBSTITUTE(SUBSTITUTE(SUBSTITUTE(SUBSTITUTE(SUBSTITUTE(SUBSTITUTE(SUBSTITUTE(SUBSTITUTE(SUBSTITUTE(SUBSTITUTE(SUBSTITUTE(TRIM($D556),"'",""),"İ","I"),"ı","I"),"i","I"),"Ş","S"),"ş","S"),"Ğ","G"),"ğ","G"),"Ü","U"),"ü","U"),"Ö","O"),"ö","O"),"Ç","C"),"ç","C"),".",""),",","")," ",""),"-","")))</f>
        <v/>
      </c>
      <c r="S556" s="3">
        <f>IF($D556="","",$C556&amp;"|"&amp;TEXT($E556,"0")&amp;"|"&amp;TEXT($F556,"0")&amp;"|"&amp;$I556)</f>
        <v/>
      </c>
      <c r="T556" s="3">
        <f>IF($E556="",0,SUMPRODUCT((AY_SONU!$O$7:$O$42="Evet")*(AY_SONU!$B$7:$B$42=DATE(YEAR($E556),MONTH($E556),1))))</f>
        <v/>
      </c>
    </row>
    <row r="557">
      <c r="A557" s="6" t="n"/>
      <c r="B557" s="113">
        <f>IF($D557="","","T"&amp;TEXT(ROW()-6,"00000"))</f>
        <v/>
      </c>
      <c r="C557" s="113">
        <f>IF($D557="","",IFERROR(INDEX(MUSTERILER!$B$7:$B$106,MATCH($R557,MUSTERILER!$T$7:$T$106,0)),IFERROR(INDEX(MUSTERILER!$B$7:$B$106,MATCH($D557,MUSTERILER!$B$7:$B$106,0)),IFERROR(INDEX(MUSTERILER!$B$7:$B$106,MATCH($R557&amp;"*",MUSTERILER!$T$7:$T$106,0)),"TANIMSIZ MÜŞTERİ"))))</f>
        <v/>
      </c>
      <c r="D557" s="109" t="n"/>
      <c r="E557" s="220" t="n"/>
      <c r="F557" s="221" t="n"/>
      <c r="G557" s="108" t="n"/>
      <c r="H557" s="108" t="n"/>
      <c r="I557" s="109" t="n"/>
      <c r="J557" s="109" t="n"/>
      <c r="K557" s="109" t="n"/>
      <c r="L557" s="226">
        <f>IF($E557="","",DATE(YEAR($E557),MONTH($E557),1))</f>
        <v/>
      </c>
      <c r="M557" s="113">
        <f>IF($D557="","",IF($C557="TANIMSIZ MÜŞTERİ","HATA",IF(OR($E557="",$F557&lt;=0,$G557=""),"EKSİK",IF($E557&gt;TODAY(),"İLERİ TARİH",IF(COUNTIF($S$7:$S$1506,$S557)&gt;1,"MÜKERRER?",IF($T557&gt;0,"KAPALI DÖNEM","UYGUN"))))))</f>
        <v/>
      </c>
      <c r="N557" s="121">
        <f>IF($C557="","",IF($C557="TANIMSIZ MÜŞTERİ","—",INDEX(MUSTERILER!$C$7:$C$106,MATCH($C557,MUSTERILER!$B$7:$B$106,0))))</f>
        <v/>
      </c>
      <c r="O557" s="6" t="n"/>
      <c r="P557" s="6" t="n"/>
      <c r="Q557" s="3">
        <f>IF($D557="","",$C557&amp;"|"&amp;COUNTIFS($C$7:$C557,$C557))</f>
        <v/>
      </c>
      <c r="R557" s="3">
        <f>IF($D557="","",UPPER(SUBSTITUTE(SUBSTITUTE(SUBSTITUTE(SUBSTITUTE(SUBSTITUTE(SUBSTITUTE(SUBSTITUTE(SUBSTITUTE(SUBSTITUTE(SUBSTITUTE(SUBSTITUTE(SUBSTITUTE(SUBSTITUTE(SUBSTITUTE(SUBSTITUTE(SUBSTITUTE(SUBSTITUTE(SUBSTITUTE(TRIM($D557),"'",""),"İ","I"),"ı","I"),"i","I"),"Ş","S"),"ş","S"),"Ğ","G"),"ğ","G"),"Ü","U"),"ü","U"),"Ö","O"),"ö","O"),"Ç","C"),"ç","C"),".",""),",","")," ",""),"-","")))</f>
        <v/>
      </c>
      <c r="S557" s="3">
        <f>IF($D557="","",$C557&amp;"|"&amp;TEXT($E557,"0")&amp;"|"&amp;TEXT($F557,"0")&amp;"|"&amp;$I557)</f>
        <v/>
      </c>
      <c r="T557" s="3">
        <f>IF($E557="",0,SUMPRODUCT((AY_SONU!$O$7:$O$42="Evet")*(AY_SONU!$B$7:$B$42=DATE(YEAR($E557),MONTH($E557),1))))</f>
        <v/>
      </c>
    </row>
    <row r="558">
      <c r="A558" s="6" t="n"/>
      <c r="B558" s="113">
        <f>IF($D558="","","T"&amp;TEXT(ROW()-6,"00000"))</f>
        <v/>
      </c>
      <c r="C558" s="113">
        <f>IF($D558="","",IFERROR(INDEX(MUSTERILER!$B$7:$B$106,MATCH($R558,MUSTERILER!$T$7:$T$106,0)),IFERROR(INDEX(MUSTERILER!$B$7:$B$106,MATCH($D558,MUSTERILER!$B$7:$B$106,0)),IFERROR(INDEX(MUSTERILER!$B$7:$B$106,MATCH($R558&amp;"*",MUSTERILER!$T$7:$T$106,0)),"TANIMSIZ MÜŞTERİ"))))</f>
        <v/>
      </c>
      <c r="D558" s="109" t="n"/>
      <c r="E558" s="220" t="n"/>
      <c r="F558" s="221" t="n"/>
      <c r="G558" s="108" t="n"/>
      <c r="H558" s="108" t="n"/>
      <c r="I558" s="109" t="n"/>
      <c r="J558" s="109" t="n"/>
      <c r="K558" s="109" t="n"/>
      <c r="L558" s="226">
        <f>IF($E558="","",DATE(YEAR($E558),MONTH($E558),1))</f>
        <v/>
      </c>
      <c r="M558" s="113">
        <f>IF($D558="","",IF($C558="TANIMSIZ MÜŞTERİ","HATA",IF(OR($E558="",$F558&lt;=0,$G558=""),"EKSİK",IF($E558&gt;TODAY(),"İLERİ TARİH",IF(COUNTIF($S$7:$S$1506,$S558)&gt;1,"MÜKERRER?",IF($T558&gt;0,"KAPALI DÖNEM","UYGUN"))))))</f>
        <v/>
      </c>
      <c r="N558" s="121">
        <f>IF($C558="","",IF($C558="TANIMSIZ MÜŞTERİ","—",INDEX(MUSTERILER!$C$7:$C$106,MATCH($C558,MUSTERILER!$B$7:$B$106,0))))</f>
        <v/>
      </c>
      <c r="O558" s="6" t="n"/>
      <c r="P558" s="6" t="n"/>
      <c r="Q558" s="3">
        <f>IF($D558="","",$C558&amp;"|"&amp;COUNTIFS($C$7:$C558,$C558))</f>
        <v/>
      </c>
      <c r="R558" s="3">
        <f>IF($D558="","",UPPER(SUBSTITUTE(SUBSTITUTE(SUBSTITUTE(SUBSTITUTE(SUBSTITUTE(SUBSTITUTE(SUBSTITUTE(SUBSTITUTE(SUBSTITUTE(SUBSTITUTE(SUBSTITUTE(SUBSTITUTE(SUBSTITUTE(SUBSTITUTE(SUBSTITUTE(SUBSTITUTE(SUBSTITUTE(SUBSTITUTE(TRIM($D558),"'",""),"İ","I"),"ı","I"),"i","I"),"Ş","S"),"ş","S"),"Ğ","G"),"ğ","G"),"Ü","U"),"ü","U"),"Ö","O"),"ö","O"),"Ç","C"),"ç","C"),".",""),",","")," ",""),"-","")))</f>
        <v/>
      </c>
      <c r="S558" s="3">
        <f>IF($D558="","",$C558&amp;"|"&amp;TEXT($E558,"0")&amp;"|"&amp;TEXT($F558,"0")&amp;"|"&amp;$I558)</f>
        <v/>
      </c>
      <c r="T558" s="3">
        <f>IF($E558="",0,SUMPRODUCT((AY_SONU!$O$7:$O$42="Evet")*(AY_SONU!$B$7:$B$42=DATE(YEAR($E558),MONTH($E558),1))))</f>
        <v/>
      </c>
    </row>
    <row r="559">
      <c r="A559" s="6" t="n"/>
      <c r="B559" s="113">
        <f>IF($D559="","","T"&amp;TEXT(ROW()-6,"00000"))</f>
        <v/>
      </c>
      <c r="C559" s="113">
        <f>IF($D559="","",IFERROR(INDEX(MUSTERILER!$B$7:$B$106,MATCH($R559,MUSTERILER!$T$7:$T$106,0)),IFERROR(INDEX(MUSTERILER!$B$7:$B$106,MATCH($D559,MUSTERILER!$B$7:$B$106,0)),IFERROR(INDEX(MUSTERILER!$B$7:$B$106,MATCH($R559&amp;"*",MUSTERILER!$T$7:$T$106,0)),"TANIMSIZ MÜŞTERİ"))))</f>
        <v/>
      </c>
      <c r="D559" s="109" t="n"/>
      <c r="E559" s="220" t="n"/>
      <c r="F559" s="221" t="n"/>
      <c r="G559" s="108" t="n"/>
      <c r="H559" s="108" t="n"/>
      <c r="I559" s="109" t="n"/>
      <c r="J559" s="109" t="n"/>
      <c r="K559" s="109" t="n"/>
      <c r="L559" s="226">
        <f>IF($E559="","",DATE(YEAR($E559),MONTH($E559),1))</f>
        <v/>
      </c>
      <c r="M559" s="113">
        <f>IF($D559="","",IF($C559="TANIMSIZ MÜŞTERİ","HATA",IF(OR($E559="",$F559&lt;=0,$G559=""),"EKSİK",IF($E559&gt;TODAY(),"İLERİ TARİH",IF(COUNTIF($S$7:$S$1506,$S559)&gt;1,"MÜKERRER?",IF($T559&gt;0,"KAPALI DÖNEM","UYGUN"))))))</f>
        <v/>
      </c>
      <c r="N559" s="121">
        <f>IF($C559="","",IF($C559="TANIMSIZ MÜŞTERİ","—",INDEX(MUSTERILER!$C$7:$C$106,MATCH($C559,MUSTERILER!$B$7:$B$106,0))))</f>
        <v/>
      </c>
      <c r="O559" s="6" t="n"/>
      <c r="P559" s="6" t="n"/>
      <c r="Q559" s="3">
        <f>IF($D559="","",$C559&amp;"|"&amp;COUNTIFS($C$7:$C559,$C559))</f>
        <v/>
      </c>
      <c r="R559" s="3">
        <f>IF($D559="","",UPPER(SUBSTITUTE(SUBSTITUTE(SUBSTITUTE(SUBSTITUTE(SUBSTITUTE(SUBSTITUTE(SUBSTITUTE(SUBSTITUTE(SUBSTITUTE(SUBSTITUTE(SUBSTITUTE(SUBSTITUTE(SUBSTITUTE(SUBSTITUTE(SUBSTITUTE(SUBSTITUTE(SUBSTITUTE(SUBSTITUTE(TRIM($D559),"'",""),"İ","I"),"ı","I"),"i","I"),"Ş","S"),"ş","S"),"Ğ","G"),"ğ","G"),"Ü","U"),"ü","U"),"Ö","O"),"ö","O"),"Ç","C"),"ç","C"),".",""),",","")," ",""),"-","")))</f>
        <v/>
      </c>
      <c r="S559" s="3">
        <f>IF($D559="","",$C559&amp;"|"&amp;TEXT($E559,"0")&amp;"|"&amp;TEXT($F559,"0")&amp;"|"&amp;$I559)</f>
        <v/>
      </c>
      <c r="T559" s="3">
        <f>IF($E559="",0,SUMPRODUCT((AY_SONU!$O$7:$O$42="Evet")*(AY_SONU!$B$7:$B$42=DATE(YEAR($E559),MONTH($E559),1))))</f>
        <v/>
      </c>
    </row>
    <row r="560">
      <c r="A560" s="6" t="n"/>
      <c r="B560" s="113">
        <f>IF($D560="","","T"&amp;TEXT(ROW()-6,"00000"))</f>
        <v/>
      </c>
      <c r="C560" s="113">
        <f>IF($D560="","",IFERROR(INDEX(MUSTERILER!$B$7:$B$106,MATCH($R560,MUSTERILER!$T$7:$T$106,0)),IFERROR(INDEX(MUSTERILER!$B$7:$B$106,MATCH($D560,MUSTERILER!$B$7:$B$106,0)),IFERROR(INDEX(MUSTERILER!$B$7:$B$106,MATCH($R560&amp;"*",MUSTERILER!$T$7:$T$106,0)),"TANIMSIZ MÜŞTERİ"))))</f>
        <v/>
      </c>
      <c r="D560" s="109" t="n"/>
      <c r="E560" s="220" t="n"/>
      <c r="F560" s="221" t="n"/>
      <c r="G560" s="108" t="n"/>
      <c r="H560" s="108" t="n"/>
      <c r="I560" s="109" t="n"/>
      <c r="J560" s="109" t="n"/>
      <c r="K560" s="109" t="n"/>
      <c r="L560" s="226">
        <f>IF($E560="","",DATE(YEAR($E560),MONTH($E560),1))</f>
        <v/>
      </c>
      <c r="M560" s="113">
        <f>IF($D560="","",IF($C560="TANIMSIZ MÜŞTERİ","HATA",IF(OR($E560="",$F560&lt;=0,$G560=""),"EKSİK",IF($E560&gt;TODAY(),"İLERİ TARİH",IF(COUNTIF($S$7:$S$1506,$S560)&gt;1,"MÜKERRER?",IF($T560&gt;0,"KAPALI DÖNEM","UYGUN"))))))</f>
        <v/>
      </c>
      <c r="N560" s="121">
        <f>IF($C560="","",IF($C560="TANIMSIZ MÜŞTERİ","—",INDEX(MUSTERILER!$C$7:$C$106,MATCH($C560,MUSTERILER!$B$7:$B$106,0))))</f>
        <v/>
      </c>
      <c r="O560" s="6" t="n"/>
      <c r="P560" s="6" t="n"/>
      <c r="Q560" s="3">
        <f>IF($D560="","",$C560&amp;"|"&amp;COUNTIFS($C$7:$C560,$C560))</f>
        <v/>
      </c>
      <c r="R560" s="3">
        <f>IF($D560="","",UPPER(SUBSTITUTE(SUBSTITUTE(SUBSTITUTE(SUBSTITUTE(SUBSTITUTE(SUBSTITUTE(SUBSTITUTE(SUBSTITUTE(SUBSTITUTE(SUBSTITUTE(SUBSTITUTE(SUBSTITUTE(SUBSTITUTE(SUBSTITUTE(SUBSTITUTE(SUBSTITUTE(SUBSTITUTE(SUBSTITUTE(TRIM($D560),"'",""),"İ","I"),"ı","I"),"i","I"),"Ş","S"),"ş","S"),"Ğ","G"),"ğ","G"),"Ü","U"),"ü","U"),"Ö","O"),"ö","O"),"Ç","C"),"ç","C"),".",""),",","")," ",""),"-","")))</f>
        <v/>
      </c>
      <c r="S560" s="3">
        <f>IF($D560="","",$C560&amp;"|"&amp;TEXT($E560,"0")&amp;"|"&amp;TEXT($F560,"0")&amp;"|"&amp;$I560)</f>
        <v/>
      </c>
      <c r="T560" s="3">
        <f>IF($E560="",0,SUMPRODUCT((AY_SONU!$O$7:$O$42="Evet")*(AY_SONU!$B$7:$B$42=DATE(YEAR($E560),MONTH($E560),1))))</f>
        <v/>
      </c>
    </row>
    <row r="561">
      <c r="A561" s="6" t="n"/>
      <c r="B561" s="113">
        <f>IF($D561="","","T"&amp;TEXT(ROW()-6,"00000"))</f>
        <v/>
      </c>
      <c r="C561" s="113">
        <f>IF($D561="","",IFERROR(INDEX(MUSTERILER!$B$7:$B$106,MATCH($R561,MUSTERILER!$T$7:$T$106,0)),IFERROR(INDEX(MUSTERILER!$B$7:$B$106,MATCH($D561,MUSTERILER!$B$7:$B$106,0)),IFERROR(INDEX(MUSTERILER!$B$7:$B$106,MATCH($R561&amp;"*",MUSTERILER!$T$7:$T$106,0)),"TANIMSIZ MÜŞTERİ"))))</f>
        <v/>
      </c>
      <c r="D561" s="109" t="n"/>
      <c r="E561" s="220" t="n"/>
      <c r="F561" s="221" t="n"/>
      <c r="G561" s="108" t="n"/>
      <c r="H561" s="108" t="n"/>
      <c r="I561" s="109" t="n"/>
      <c r="J561" s="109" t="n"/>
      <c r="K561" s="109" t="n"/>
      <c r="L561" s="226">
        <f>IF($E561="","",DATE(YEAR($E561),MONTH($E561),1))</f>
        <v/>
      </c>
      <c r="M561" s="113">
        <f>IF($D561="","",IF($C561="TANIMSIZ MÜŞTERİ","HATA",IF(OR($E561="",$F561&lt;=0,$G561=""),"EKSİK",IF($E561&gt;TODAY(),"İLERİ TARİH",IF(COUNTIF($S$7:$S$1506,$S561)&gt;1,"MÜKERRER?",IF($T561&gt;0,"KAPALI DÖNEM","UYGUN"))))))</f>
        <v/>
      </c>
      <c r="N561" s="121">
        <f>IF($C561="","",IF($C561="TANIMSIZ MÜŞTERİ","—",INDEX(MUSTERILER!$C$7:$C$106,MATCH($C561,MUSTERILER!$B$7:$B$106,0))))</f>
        <v/>
      </c>
      <c r="O561" s="6" t="n"/>
      <c r="P561" s="6" t="n"/>
      <c r="Q561" s="3">
        <f>IF($D561="","",$C561&amp;"|"&amp;COUNTIFS($C$7:$C561,$C561))</f>
        <v/>
      </c>
      <c r="R561" s="3">
        <f>IF($D561="","",UPPER(SUBSTITUTE(SUBSTITUTE(SUBSTITUTE(SUBSTITUTE(SUBSTITUTE(SUBSTITUTE(SUBSTITUTE(SUBSTITUTE(SUBSTITUTE(SUBSTITUTE(SUBSTITUTE(SUBSTITUTE(SUBSTITUTE(SUBSTITUTE(SUBSTITUTE(SUBSTITUTE(SUBSTITUTE(SUBSTITUTE(TRIM($D561),"'",""),"İ","I"),"ı","I"),"i","I"),"Ş","S"),"ş","S"),"Ğ","G"),"ğ","G"),"Ü","U"),"ü","U"),"Ö","O"),"ö","O"),"Ç","C"),"ç","C"),".",""),",","")," ",""),"-","")))</f>
        <v/>
      </c>
      <c r="S561" s="3">
        <f>IF($D561="","",$C561&amp;"|"&amp;TEXT($E561,"0")&amp;"|"&amp;TEXT($F561,"0")&amp;"|"&amp;$I561)</f>
        <v/>
      </c>
      <c r="T561" s="3">
        <f>IF($E561="",0,SUMPRODUCT((AY_SONU!$O$7:$O$42="Evet")*(AY_SONU!$B$7:$B$42=DATE(YEAR($E561),MONTH($E561),1))))</f>
        <v/>
      </c>
    </row>
    <row r="562">
      <c r="A562" s="6" t="n"/>
      <c r="B562" s="113">
        <f>IF($D562="","","T"&amp;TEXT(ROW()-6,"00000"))</f>
        <v/>
      </c>
      <c r="C562" s="113">
        <f>IF($D562="","",IFERROR(INDEX(MUSTERILER!$B$7:$B$106,MATCH($R562,MUSTERILER!$T$7:$T$106,0)),IFERROR(INDEX(MUSTERILER!$B$7:$B$106,MATCH($D562,MUSTERILER!$B$7:$B$106,0)),IFERROR(INDEX(MUSTERILER!$B$7:$B$106,MATCH($R562&amp;"*",MUSTERILER!$T$7:$T$106,0)),"TANIMSIZ MÜŞTERİ"))))</f>
        <v/>
      </c>
      <c r="D562" s="109" t="n"/>
      <c r="E562" s="220" t="n"/>
      <c r="F562" s="221" t="n"/>
      <c r="G562" s="108" t="n"/>
      <c r="H562" s="108" t="n"/>
      <c r="I562" s="109" t="n"/>
      <c r="J562" s="109" t="n"/>
      <c r="K562" s="109" t="n"/>
      <c r="L562" s="226">
        <f>IF($E562="","",DATE(YEAR($E562),MONTH($E562),1))</f>
        <v/>
      </c>
      <c r="M562" s="113">
        <f>IF($D562="","",IF($C562="TANIMSIZ MÜŞTERİ","HATA",IF(OR($E562="",$F562&lt;=0,$G562=""),"EKSİK",IF($E562&gt;TODAY(),"İLERİ TARİH",IF(COUNTIF($S$7:$S$1506,$S562)&gt;1,"MÜKERRER?",IF($T562&gt;0,"KAPALI DÖNEM","UYGUN"))))))</f>
        <v/>
      </c>
      <c r="N562" s="121">
        <f>IF($C562="","",IF($C562="TANIMSIZ MÜŞTERİ","—",INDEX(MUSTERILER!$C$7:$C$106,MATCH($C562,MUSTERILER!$B$7:$B$106,0))))</f>
        <v/>
      </c>
      <c r="O562" s="6" t="n"/>
      <c r="P562" s="6" t="n"/>
      <c r="Q562" s="3">
        <f>IF($D562="","",$C562&amp;"|"&amp;COUNTIFS($C$7:$C562,$C562))</f>
        <v/>
      </c>
      <c r="R562" s="3">
        <f>IF($D562="","",UPPER(SUBSTITUTE(SUBSTITUTE(SUBSTITUTE(SUBSTITUTE(SUBSTITUTE(SUBSTITUTE(SUBSTITUTE(SUBSTITUTE(SUBSTITUTE(SUBSTITUTE(SUBSTITUTE(SUBSTITUTE(SUBSTITUTE(SUBSTITUTE(SUBSTITUTE(SUBSTITUTE(SUBSTITUTE(SUBSTITUTE(TRIM($D562),"'",""),"İ","I"),"ı","I"),"i","I"),"Ş","S"),"ş","S"),"Ğ","G"),"ğ","G"),"Ü","U"),"ü","U"),"Ö","O"),"ö","O"),"Ç","C"),"ç","C"),".",""),",","")," ",""),"-","")))</f>
        <v/>
      </c>
      <c r="S562" s="3">
        <f>IF($D562="","",$C562&amp;"|"&amp;TEXT($E562,"0")&amp;"|"&amp;TEXT($F562,"0")&amp;"|"&amp;$I562)</f>
        <v/>
      </c>
      <c r="T562" s="3">
        <f>IF($E562="",0,SUMPRODUCT((AY_SONU!$O$7:$O$42="Evet")*(AY_SONU!$B$7:$B$42=DATE(YEAR($E562),MONTH($E562),1))))</f>
        <v/>
      </c>
    </row>
    <row r="563">
      <c r="A563" s="6" t="n"/>
      <c r="B563" s="113">
        <f>IF($D563="","","T"&amp;TEXT(ROW()-6,"00000"))</f>
        <v/>
      </c>
      <c r="C563" s="113">
        <f>IF($D563="","",IFERROR(INDEX(MUSTERILER!$B$7:$B$106,MATCH($R563,MUSTERILER!$T$7:$T$106,0)),IFERROR(INDEX(MUSTERILER!$B$7:$B$106,MATCH($D563,MUSTERILER!$B$7:$B$106,0)),IFERROR(INDEX(MUSTERILER!$B$7:$B$106,MATCH($R563&amp;"*",MUSTERILER!$T$7:$T$106,0)),"TANIMSIZ MÜŞTERİ"))))</f>
        <v/>
      </c>
      <c r="D563" s="109" t="n"/>
      <c r="E563" s="220" t="n"/>
      <c r="F563" s="221" t="n"/>
      <c r="G563" s="108" t="n"/>
      <c r="H563" s="108" t="n"/>
      <c r="I563" s="109" t="n"/>
      <c r="J563" s="109" t="n"/>
      <c r="K563" s="109" t="n"/>
      <c r="L563" s="226">
        <f>IF($E563="","",DATE(YEAR($E563),MONTH($E563),1))</f>
        <v/>
      </c>
      <c r="M563" s="113">
        <f>IF($D563="","",IF($C563="TANIMSIZ MÜŞTERİ","HATA",IF(OR($E563="",$F563&lt;=0,$G563=""),"EKSİK",IF($E563&gt;TODAY(),"İLERİ TARİH",IF(COUNTIF($S$7:$S$1506,$S563)&gt;1,"MÜKERRER?",IF($T563&gt;0,"KAPALI DÖNEM","UYGUN"))))))</f>
        <v/>
      </c>
      <c r="N563" s="121">
        <f>IF($C563="","",IF($C563="TANIMSIZ MÜŞTERİ","—",INDEX(MUSTERILER!$C$7:$C$106,MATCH($C563,MUSTERILER!$B$7:$B$106,0))))</f>
        <v/>
      </c>
      <c r="O563" s="6" t="n"/>
      <c r="P563" s="6" t="n"/>
      <c r="Q563" s="3">
        <f>IF($D563="","",$C563&amp;"|"&amp;COUNTIFS($C$7:$C563,$C563))</f>
        <v/>
      </c>
      <c r="R563" s="3">
        <f>IF($D563="","",UPPER(SUBSTITUTE(SUBSTITUTE(SUBSTITUTE(SUBSTITUTE(SUBSTITUTE(SUBSTITUTE(SUBSTITUTE(SUBSTITUTE(SUBSTITUTE(SUBSTITUTE(SUBSTITUTE(SUBSTITUTE(SUBSTITUTE(SUBSTITUTE(SUBSTITUTE(SUBSTITUTE(SUBSTITUTE(SUBSTITUTE(TRIM($D563),"'",""),"İ","I"),"ı","I"),"i","I"),"Ş","S"),"ş","S"),"Ğ","G"),"ğ","G"),"Ü","U"),"ü","U"),"Ö","O"),"ö","O"),"Ç","C"),"ç","C"),".",""),",","")," ",""),"-","")))</f>
        <v/>
      </c>
      <c r="S563" s="3">
        <f>IF($D563="","",$C563&amp;"|"&amp;TEXT($E563,"0")&amp;"|"&amp;TEXT($F563,"0")&amp;"|"&amp;$I563)</f>
        <v/>
      </c>
      <c r="T563" s="3">
        <f>IF($E563="",0,SUMPRODUCT((AY_SONU!$O$7:$O$42="Evet")*(AY_SONU!$B$7:$B$42=DATE(YEAR($E563),MONTH($E563),1))))</f>
        <v/>
      </c>
    </row>
    <row r="564">
      <c r="A564" s="6" t="n"/>
      <c r="B564" s="113">
        <f>IF($D564="","","T"&amp;TEXT(ROW()-6,"00000"))</f>
        <v/>
      </c>
      <c r="C564" s="113">
        <f>IF($D564="","",IFERROR(INDEX(MUSTERILER!$B$7:$B$106,MATCH($R564,MUSTERILER!$T$7:$T$106,0)),IFERROR(INDEX(MUSTERILER!$B$7:$B$106,MATCH($D564,MUSTERILER!$B$7:$B$106,0)),IFERROR(INDEX(MUSTERILER!$B$7:$B$106,MATCH($R564&amp;"*",MUSTERILER!$T$7:$T$106,0)),"TANIMSIZ MÜŞTERİ"))))</f>
        <v/>
      </c>
      <c r="D564" s="109" t="n"/>
      <c r="E564" s="220" t="n"/>
      <c r="F564" s="221" t="n"/>
      <c r="G564" s="108" t="n"/>
      <c r="H564" s="108" t="n"/>
      <c r="I564" s="109" t="n"/>
      <c r="J564" s="109" t="n"/>
      <c r="K564" s="109" t="n"/>
      <c r="L564" s="226">
        <f>IF($E564="","",DATE(YEAR($E564),MONTH($E564),1))</f>
        <v/>
      </c>
      <c r="M564" s="113">
        <f>IF($D564="","",IF($C564="TANIMSIZ MÜŞTERİ","HATA",IF(OR($E564="",$F564&lt;=0,$G564=""),"EKSİK",IF($E564&gt;TODAY(),"İLERİ TARİH",IF(COUNTIF($S$7:$S$1506,$S564)&gt;1,"MÜKERRER?",IF($T564&gt;0,"KAPALI DÖNEM","UYGUN"))))))</f>
        <v/>
      </c>
      <c r="N564" s="121">
        <f>IF($C564="","",IF($C564="TANIMSIZ MÜŞTERİ","—",INDEX(MUSTERILER!$C$7:$C$106,MATCH($C564,MUSTERILER!$B$7:$B$106,0))))</f>
        <v/>
      </c>
      <c r="O564" s="6" t="n"/>
      <c r="P564" s="6" t="n"/>
      <c r="Q564" s="3">
        <f>IF($D564="","",$C564&amp;"|"&amp;COUNTIFS($C$7:$C564,$C564))</f>
        <v/>
      </c>
      <c r="R564" s="3">
        <f>IF($D564="","",UPPER(SUBSTITUTE(SUBSTITUTE(SUBSTITUTE(SUBSTITUTE(SUBSTITUTE(SUBSTITUTE(SUBSTITUTE(SUBSTITUTE(SUBSTITUTE(SUBSTITUTE(SUBSTITUTE(SUBSTITUTE(SUBSTITUTE(SUBSTITUTE(SUBSTITUTE(SUBSTITUTE(SUBSTITUTE(SUBSTITUTE(TRIM($D564),"'",""),"İ","I"),"ı","I"),"i","I"),"Ş","S"),"ş","S"),"Ğ","G"),"ğ","G"),"Ü","U"),"ü","U"),"Ö","O"),"ö","O"),"Ç","C"),"ç","C"),".",""),",","")," ",""),"-","")))</f>
        <v/>
      </c>
      <c r="S564" s="3">
        <f>IF($D564="","",$C564&amp;"|"&amp;TEXT($E564,"0")&amp;"|"&amp;TEXT($F564,"0")&amp;"|"&amp;$I564)</f>
        <v/>
      </c>
      <c r="T564" s="3">
        <f>IF($E564="",0,SUMPRODUCT((AY_SONU!$O$7:$O$42="Evet")*(AY_SONU!$B$7:$B$42=DATE(YEAR($E564),MONTH($E564),1))))</f>
        <v/>
      </c>
    </row>
    <row r="565">
      <c r="A565" s="6" t="n"/>
      <c r="B565" s="113">
        <f>IF($D565="","","T"&amp;TEXT(ROW()-6,"00000"))</f>
        <v/>
      </c>
      <c r="C565" s="113">
        <f>IF($D565="","",IFERROR(INDEX(MUSTERILER!$B$7:$B$106,MATCH($R565,MUSTERILER!$T$7:$T$106,0)),IFERROR(INDEX(MUSTERILER!$B$7:$B$106,MATCH($D565,MUSTERILER!$B$7:$B$106,0)),IFERROR(INDEX(MUSTERILER!$B$7:$B$106,MATCH($R565&amp;"*",MUSTERILER!$T$7:$T$106,0)),"TANIMSIZ MÜŞTERİ"))))</f>
        <v/>
      </c>
      <c r="D565" s="109" t="n"/>
      <c r="E565" s="220" t="n"/>
      <c r="F565" s="221" t="n"/>
      <c r="G565" s="108" t="n"/>
      <c r="H565" s="108" t="n"/>
      <c r="I565" s="109" t="n"/>
      <c r="J565" s="109" t="n"/>
      <c r="K565" s="109" t="n"/>
      <c r="L565" s="226">
        <f>IF($E565="","",DATE(YEAR($E565),MONTH($E565),1))</f>
        <v/>
      </c>
      <c r="M565" s="113">
        <f>IF($D565="","",IF($C565="TANIMSIZ MÜŞTERİ","HATA",IF(OR($E565="",$F565&lt;=0,$G565=""),"EKSİK",IF($E565&gt;TODAY(),"İLERİ TARİH",IF(COUNTIF($S$7:$S$1506,$S565)&gt;1,"MÜKERRER?",IF($T565&gt;0,"KAPALI DÖNEM","UYGUN"))))))</f>
        <v/>
      </c>
      <c r="N565" s="121">
        <f>IF($C565="","",IF($C565="TANIMSIZ MÜŞTERİ","—",INDEX(MUSTERILER!$C$7:$C$106,MATCH($C565,MUSTERILER!$B$7:$B$106,0))))</f>
        <v/>
      </c>
      <c r="O565" s="6" t="n"/>
      <c r="P565" s="6" t="n"/>
      <c r="Q565" s="3">
        <f>IF($D565="","",$C565&amp;"|"&amp;COUNTIFS($C$7:$C565,$C565))</f>
        <v/>
      </c>
      <c r="R565" s="3">
        <f>IF($D565="","",UPPER(SUBSTITUTE(SUBSTITUTE(SUBSTITUTE(SUBSTITUTE(SUBSTITUTE(SUBSTITUTE(SUBSTITUTE(SUBSTITUTE(SUBSTITUTE(SUBSTITUTE(SUBSTITUTE(SUBSTITUTE(SUBSTITUTE(SUBSTITUTE(SUBSTITUTE(SUBSTITUTE(SUBSTITUTE(SUBSTITUTE(TRIM($D565),"'",""),"İ","I"),"ı","I"),"i","I"),"Ş","S"),"ş","S"),"Ğ","G"),"ğ","G"),"Ü","U"),"ü","U"),"Ö","O"),"ö","O"),"Ç","C"),"ç","C"),".",""),",","")," ",""),"-","")))</f>
        <v/>
      </c>
      <c r="S565" s="3">
        <f>IF($D565="","",$C565&amp;"|"&amp;TEXT($E565,"0")&amp;"|"&amp;TEXT($F565,"0")&amp;"|"&amp;$I565)</f>
        <v/>
      </c>
      <c r="T565" s="3">
        <f>IF($E565="",0,SUMPRODUCT((AY_SONU!$O$7:$O$42="Evet")*(AY_SONU!$B$7:$B$42=DATE(YEAR($E565),MONTH($E565),1))))</f>
        <v/>
      </c>
    </row>
    <row r="566">
      <c r="A566" s="6" t="n"/>
      <c r="B566" s="113">
        <f>IF($D566="","","T"&amp;TEXT(ROW()-6,"00000"))</f>
        <v/>
      </c>
      <c r="C566" s="113">
        <f>IF($D566="","",IFERROR(INDEX(MUSTERILER!$B$7:$B$106,MATCH($R566,MUSTERILER!$T$7:$T$106,0)),IFERROR(INDEX(MUSTERILER!$B$7:$B$106,MATCH($D566,MUSTERILER!$B$7:$B$106,0)),IFERROR(INDEX(MUSTERILER!$B$7:$B$106,MATCH($R566&amp;"*",MUSTERILER!$T$7:$T$106,0)),"TANIMSIZ MÜŞTERİ"))))</f>
        <v/>
      </c>
      <c r="D566" s="109" t="n"/>
      <c r="E566" s="220" t="n"/>
      <c r="F566" s="221" t="n"/>
      <c r="G566" s="108" t="n"/>
      <c r="H566" s="108" t="n"/>
      <c r="I566" s="109" t="n"/>
      <c r="J566" s="109" t="n"/>
      <c r="K566" s="109" t="n"/>
      <c r="L566" s="226">
        <f>IF($E566="","",DATE(YEAR($E566),MONTH($E566),1))</f>
        <v/>
      </c>
      <c r="M566" s="113">
        <f>IF($D566="","",IF($C566="TANIMSIZ MÜŞTERİ","HATA",IF(OR($E566="",$F566&lt;=0,$G566=""),"EKSİK",IF($E566&gt;TODAY(),"İLERİ TARİH",IF(COUNTIF($S$7:$S$1506,$S566)&gt;1,"MÜKERRER?",IF($T566&gt;0,"KAPALI DÖNEM","UYGUN"))))))</f>
        <v/>
      </c>
      <c r="N566" s="121">
        <f>IF($C566="","",IF($C566="TANIMSIZ MÜŞTERİ","—",INDEX(MUSTERILER!$C$7:$C$106,MATCH($C566,MUSTERILER!$B$7:$B$106,0))))</f>
        <v/>
      </c>
      <c r="O566" s="6" t="n"/>
      <c r="P566" s="6" t="n"/>
      <c r="Q566" s="3">
        <f>IF($D566="","",$C566&amp;"|"&amp;COUNTIFS($C$7:$C566,$C566))</f>
        <v/>
      </c>
      <c r="R566" s="3">
        <f>IF($D566="","",UPPER(SUBSTITUTE(SUBSTITUTE(SUBSTITUTE(SUBSTITUTE(SUBSTITUTE(SUBSTITUTE(SUBSTITUTE(SUBSTITUTE(SUBSTITUTE(SUBSTITUTE(SUBSTITUTE(SUBSTITUTE(SUBSTITUTE(SUBSTITUTE(SUBSTITUTE(SUBSTITUTE(SUBSTITUTE(SUBSTITUTE(TRIM($D566),"'",""),"İ","I"),"ı","I"),"i","I"),"Ş","S"),"ş","S"),"Ğ","G"),"ğ","G"),"Ü","U"),"ü","U"),"Ö","O"),"ö","O"),"Ç","C"),"ç","C"),".",""),",","")," ",""),"-","")))</f>
        <v/>
      </c>
      <c r="S566" s="3">
        <f>IF($D566="","",$C566&amp;"|"&amp;TEXT($E566,"0")&amp;"|"&amp;TEXT($F566,"0")&amp;"|"&amp;$I566)</f>
        <v/>
      </c>
      <c r="T566" s="3">
        <f>IF($E566="",0,SUMPRODUCT((AY_SONU!$O$7:$O$42="Evet")*(AY_SONU!$B$7:$B$42=DATE(YEAR($E566),MONTH($E566),1))))</f>
        <v/>
      </c>
    </row>
    <row r="567">
      <c r="A567" s="6" t="n"/>
      <c r="B567" s="113">
        <f>IF($D567="","","T"&amp;TEXT(ROW()-6,"00000"))</f>
        <v/>
      </c>
      <c r="C567" s="113">
        <f>IF($D567="","",IFERROR(INDEX(MUSTERILER!$B$7:$B$106,MATCH($R567,MUSTERILER!$T$7:$T$106,0)),IFERROR(INDEX(MUSTERILER!$B$7:$B$106,MATCH($D567,MUSTERILER!$B$7:$B$106,0)),IFERROR(INDEX(MUSTERILER!$B$7:$B$106,MATCH($R567&amp;"*",MUSTERILER!$T$7:$T$106,0)),"TANIMSIZ MÜŞTERİ"))))</f>
        <v/>
      </c>
      <c r="D567" s="109" t="n"/>
      <c r="E567" s="220" t="n"/>
      <c r="F567" s="221" t="n"/>
      <c r="G567" s="108" t="n"/>
      <c r="H567" s="108" t="n"/>
      <c r="I567" s="109" t="n"/>
      <c r="J567" s="109" t="n"/>
      <c r="K567" s="109" t="n"/>
      <c r="L567" s="226">
        <f>IF($E567="","",DATE(YEAR($E567),MONTH($E567),1))</f>
        <v/>
      </c>
      <c r="M567" s="113">
        <f>IF($D567="","",IF($C567="TANIMSIZ MÜŞTERİ","HATA",IF(OR($E567="",$F567&lt;=0,$G567=""),"EKSİK",IF($E567&gt;TODAY(),"İLERİ TARİH",IF(COUNTIF($S$7:$S$1506,$S567)&gt;1,"MÜKERRER?",IF($T567&gt;0,"KAPALI DÖNEM","UYGUN"))))))</f>
        <v/>
      </c>
      <c r="N567" s="121">
        <f>IF($C567="","",IF($C567="TANIMSIZ MÜŞTERİ","—",INDEX(MUSTERILER!$C$7:$C$106,MATCH($C567,MUSTERILER!$B$7:$B$106,0))))</f>
        <v/>
      </c>
      <c r="O567" s="6" t="n"/>
      <c r="P567" s="6" t="n"/>
      <c r="Q567" s="3">
        <f>IF($D567="","",$C567&amp;"|"&amp;COUNTIFS($C$7:$C567,$C567))</f>
        <v/>
      </c>
      <c r="R567" s="3">
        <f>IF($D567="","",UPPER(SUBSTITUTE(SUBSTITUTE(SUBSTITUTE(SUBSTITUTE(SUBSTITUTE(SUBSTITUTE(SUBSTITUTE(SUBSTITUTE(SUBSTITUTE(SUBSTITUTE(SUBSTITUTE(SUBSTITUTE(SUBSTITUTE(SUBSTITUTE(SUBSTITUTE(SUBSTITUTE(SUBSTITUTE(SUBSTITUTE(TRIM($D567),"'",""),"İ","I"),"ı","I"),"i","I"),"Ş","S"),"ş","S"),"Ğ","G"),"ğ","G"),"Ü","U"),"ü","U"),"Ö","O"),"ö","O"),"Ç","C"),"ç","C"),".",""),",","")," ",""),"-","")))</f>
        <v/>
      </c>
      <c r="S567" s="3">
        <f>IF($D567="","",$C567&amp;"|"&amp;TEXT($E567,"0")&amp;"|"&amp;TEXT($F567,"0")&amp;"|"&amp;$I567)</f>
        <v/>
      </c>
      <c r="T567" s="3">
        <f>IF($E567="",0,SUMPRODUCT((AY_SONU!$O$7:$O$42="Evet")*(AY_SONU!$B$7:$B$42=DATE(YEAR($E567),MONTH($E567),1))))</f>
        <v/>
      </c>
    </row>
    <row r="568">
      <c r="A568" s="6" t="n"/>
      <c r="B568" s="113">
        <f>IF($D568="","","T"&amp;TEXT(ROW()-6,"00000"))</f>
        <v/>
      </c>
      <c r="C568" s="113">
        <f>IF($D568="","",IFERROR(INDEX(MUSTERILER!$B$7:$B$106,MATCH($R568,MUSTERILER!$T$7:$T$106,0)),IFERROR(INDEX(MUSTERILER!$B$7:$B$106,MATCH($D568,MUSTERILER!$B$7:$B$106,0)),IFERROR(INDEX(MUSTERILER!$B$7:$B$106,MATCH($R568&amp;"*",MUSTERILER!$T$7:$T$106,0)),"TANIMSIZ MÜŞTERİ"))))</f>
        <v/>
      </c>
      <c r="D568" s="109" t="n"/>
      <c r="E568" s="220" t="n"/>
      <c r="F568" s="221" t="n"/>
      <c r="G568" s="108" t="n"/>
      <c r="H568" s="108" t="n"/>
      <c r="I568" s="109" t="n"/>
      <c r="J568" s="109" t="n"/>
      <c r="K568" s="109" t="n"/>
      <c r="L568" s="226">
        <f>IF($E568="","",DATE(YEAR($E568),MONTH($E568),1))</f>
        <v/>
      </c>
      <c r="M568" s="113">
        <f>IF($D568="","",IF($C568="TANIMSIZ MÜŞTERİ","HATA",IF(OR($E568="",$F568&lt;=0,$G568=""),"EKSİK",IF($E568&gt;TODAY(),"İLERİ TARİH",IF(COUNTIF($S$7:$S$1506,$S568)&gt;1,"MÜKERRER?",IF($T568&gt;0,"KAPALI DÖNEM","UYGUN"))))))</f>
        <v/>
      </c>
      <c r="N568" s="121">
        <f>IF($C568="","",IF($C568="TANIMSIZ MÜŞTERİ","—",INDEX(MUSTERILER!$C$7:$C$106,MATCH($C568,MUSTERILER!$B$7:$B$106,0))))</f>
        <v/>
      </c>
      <c r="O568" s="6" t="n"/>
      <c r="P568" s="6" t="n"/>
      <c r="Q568" s="3">
        <f>IF($D568="","",$C568&amp;"|"&amp;COUNTIFS($C$7:$C568,$C568))</f>
        <v/>
      </c>
      <c r="R568" s="3">
        <f>IF($D568="","",UPPER(SUBSTITUTE(SUBSTITUTE(SUBSTITUTE(SUBSTITUTE(SUBSTITUTE(SUBSTITUTE(SUBSTITUTE(SUBSTITUTE(SUBSTITUTE(SUBSTITUTE(SUBSTITUTE(SUBSTITUTE(SUBSTITUTE(SUBSTITUTE(SUBSTITUTE(SUBSTITUTE(SUBSTITUTE(SUBSTITUTE(TRIM($D568),"'",""),"İ","I"),"ı","I"),"i","I"),"Ş","S"),"ş","S"),"Ğ","G"),"ğ","G"),"Ü","U"),"ü","U"),"Ö","O"),"ö","O"),"Ç","C"),"ç","C"),".",""),",","")," ",""),"-","")))</f>
        <v/>
      </c>
      <c r="S568" s="3">
        <f>IF($D568="","",$C568&amp;"|"&amp;TEXT($E568,"0")&amp;"|"&amp;TEXT($F568,"0")&amp;"|"&amp;$I568)</f>
        <v/>
      </c>
      <c r="T568" s="3">
        <f>IF($E568="",0,SUMPRODUCT((AY_SONU!$O$7:$O$42="Evet")*(AY_SONU!$B$7:$B$42=DATE(YEAR($E568),MONTH($E568),1))))</f>
        <v/>
      </c>
    </row>
    <row r="569">
      <c r="A569" s="6" t="n"/>
      <c r="B569" s="113">
        <f>IF($D569="","","T"&amp;TEXT(ROW()-6,"00000"))</f>
        <v/>
      </c>
      <c r="C569" s="113">
        <f>IF($D569="","",IFERROR(INDEX(MUSTERILER!$B$7:$B$106,MATCH($R569,MUSTERILER!$T$7:$T$106,0)),IFERROR(INDEX(MUSTERILER!$B$7:$B$106,MATCH($D569,MUSTERILER!$B$7:$B$106,0)),IFERROR(INDEX(MUSTERILER!$B$7:$B$106,MATCH($R569&amp;"*",MUSTERILER!$T$7:$T$106,0)),"TANIMSIZ MÜŞTERİ"))))</f>
        <v/>
      </c>
      <c r="D569" s="109" t="n"/>
      <c r="E569" s="220" t="n"/>
      <c r="F569" s="221" t="n"/>
      <c r="G569" s="108" t="n"/>
      <c r="H569" s="108" t="n"/>
      <c r="I569" s="109" t="n"/>
      <c r="J569" s="109" t="n"/>
      <c r="K569" s="109" t="n"/>
      <c r="L569" s="226">
        <f>IF($E569="","",DATE(YEAR($E569),MONTH($E569),1))</f>
        <v/>
      </c>
      <c r="M569" s="113">
        <f>IF($D569="","",IF($C569="TANIMSIZ MÜŞTERİ","HATA",IF(OR($E569="",$F569&lt;=0,$G569=""),"EKSİK",IF($E569&gt;TODAY(),"İLERİ TARİH",IF(COUNTIF($S$7:$S$1506,$S569)&gt;1,"MÜKERRER?",IF($T569&gt;0,"KAPALI DÖNEM","UYGUN"))))))</f>
        <v/>
      </c>
      <c r="N569" s="121">
        <f>IF($C569="","",IF($C569="TANIMSIZ MÜŞTERİ","—",INDEX(MUSTERILER!$C$7:$C$106,MATCH($C569,MUSTERILER!$B$7:$B$106,0))))</f>
        <v/>
      </c>
      <c r="O569" s="6" t="n"/>
      <c r="P569" s="6" t="n"/>
      <c r="Q569" s="3">
        <f>IF($D569="","",$C569&amp;"|"&amp;COUNTIFS($C$7:$C569,$C569))</f>
        <v/>
      </c>
      <c r="R569" s="3">
        <f>IF($D569="","",UPPER(SUBSTITUTE(SUBSTITUTE(SUBSTITUTE(SUBSTITUTE(SUBSTITUTE(SUBSTITUTE(SUBSTITUTE(SUBSTITUTE(SUBSTITUTE(SUBSTITUTE(SUBSTITUTE(SUBSTITUTE(SUBSTITUTE(SUBSTITUTE(SUBSTITUTE(SUBSTITUTE(SUBSTITUTE(SUBSTITUTE(TRIM($D569),"'",""),"İ","I"),"ı","I"),"i","I"),"Ş","S"),"ş","S"),"Ğ","G"),"ğ","G"),"Ü","U"),"ü","U"),"Ö","O"),"ö","O"),"Ç","C"),"ç","C"),".",""),",","")," ",""),"-","")))</f>
        <v/>
      </c>
      <c r="S569" s="3">
        <f>IF($D569="","",$C569&amp;"|"&amp;TEXT($E569,"0")&amp;"|"&amp;TEXT($F569,"0")&amp;"|"&amp;$I569)</f>
        <v/>
      </c>
      <c r="T569" s="3">
        <f>IF($E569="",0,SUMPRODUCT((AY_SONU!$O$7:$O$42="Evet")*(AY_SONU!$B$7:$B$42=DATE(YEAR($E569),MONTH($E569),1))))</f>
        <v/>
      </c>
    </row>
    <row r="570">
      <c r="A570" s="6" t="n"/>
      <c r="B570" s="113">
        <f>IF($D570="","","T"&amp;TEXT(ROW()-6,"00000"))</f>
        <v/>
      </c>
      <c r="C570" s="113">
        <f>IF($D570="","",IFERROR(INDEX(MUSTERILER!$B$7:$B$106,MATCH($R570,MUSTERILER!$T$7:$T$106,0)),IFERROR(INDEX(MUSTERILER!$B$7:$B$106,MATCH($D570,MUSTERILER!$B$7:$B$106,0)),IFERROR(INDEX(MUSTERILER!$B$7:$B$106,MATCH($R570&amp;"*",MUSTERILER!$T$7:$T$106,0)),"TANIMSIZ MÜŞTERİ"))))</f>
        <v/>
      </c>
      <c r="D570" s="109" t="n"/>
      <c r="E570" s="220" t="n"/>
      <c r="F570" s="221" t="n"/>
      <c r="G570" s="108" t="n"/>
      <c r="H570" s="108" t="n"/>
      <c r="I570" s="109" t="n"/>
      <c r="J570" s="109" t="n"/>
      <c r="K570" s="109" t="n"/>
      <c r="L570" s="226">
        <f>IF($E570="","",DATE(YEAR($E570),MONTH($E570),1))</f>
        <v/>
      </c>
      <c r="M570" s="113">
        <f>IF($D570="","",IF($C570="TANIMSIZ MÜŞTERİ","HATA",IF(OR($E570="",$F570&lt;=0,$G570=""),"EKSİK",IF($E570&gt;TODAY(),"İLERİ TARİH",IF(COUNTIF($S$7:$S$1506,$S570)&gt;1,"MÜKERRER?",IF($T570&gt;0,"KAPALI DÖNEM","UYGUN"))))))</f>
        <v/>
      </c>
      <c r="N570" s="121">
        <f>IF($C570="","",IF($C570="TANIMSIZ MÜŞTERİ","—",INDEX(MUSTERILER!$C$7:$C$106,MATCH($C570,MUSTERILER!$B$7:$B$106,0))))</f>
        <v/>
      </c>
      <c r="O570" s="6" t="n"/>
      <c r="P570" s="6" t="n"/>
      <c r="Q570" s="3">
        <f>IF($D570="","",$C570&amp;"|"&amp;COUNTIFS($C$7:$C570,$C570))</f>
        <v/>
      </c>
      <c r="R570" s="3">
        <f>IF($D570="","",UPPER(SUBSTITUTE(SUBSTITUTE(SUBSTITUTE(SUBSTITUTE(SUBSTITUTE(SUBSTITUTE(SUBSTITUTE(SUBSTITUTE(SUBSTITUTE(SUBSTITUTE(SUBSTITUTE(SUBSTITUTE(SUBSTITUTE(SUBSTITUTE(SUBSTITUTE(SUBSTITUTE(SUBSTITUTE(SUBSTITUTE(TRIM($D570),"'",""),"İ","I"),"ı","I"),"i","I"),"Ş","S"),"ş","S"),"Ğ","G"),"ğ","G"),"Ü","U"),"ü","U"),"Ö","O"),"ö","O"),"Ç","C"),"ç","C"),".",""),",","")," ",""),"-","")))</f>
        <v/>
      </c>
      <c r="S570" s="3">
        <f>IF($D570="","",$C570&amp;"|"&amp;TEXT($E570,"0")&amp;"|"&amp;TEXT($F570,"0")&amp;"|"&amp;$I570)</f>
        <v/>
      </c>
      <c r="T570" s="3">
        <f>IF($E570="",0,SUMPRODUCT((AY_SONU!$O$7:$O$42="Evet")*(AY_SONU!$B$7:$B$42=DATE(YEAR($E570),MONTH($E570),1))))</f>
        <v/>
      </c>
    </row>
    <row r="571">
      <c r="A571" s="6" t="n"/>
      <c r="B571" s="113">
        <f>IF($D571="","","T"&amp;TEXT(ROW()-6,"00000"))</f>
        <v/>
      </c>
      <c r="C571" s="113">
        <f>IF($D571="","",IFERROR(INDEX(MUSTERILER!$B$7:$B$106,MATCH($R571,MUSTERILER!$T$7:$T$106,0)),IFERROR(INDEX(MUSTERILER!$B$7:$B$106,MATCH($D571,MUSTERILER!$B$7:$B$106,0)),IFERROR(INDEX(MUSTERILER!$B$7:$B$106,MATCH($R571&amp;"*",MUSTERILER!$T$7:$T$106,0)),"TANIMSIZ MÜŞTERİ"))))</f>
        <v/>
      </c>
      <c r="D571" s="109" t="n"/>
      <c r="E571" s="220" t="n"/>
      <c r="F571" s="221" t="n"/>
      <c r="G571" s="108" t="n"/>
      <c r="H571" s="108" t="n"/>
      <c r="I571" s="109" t="n"/>
      <c r="J571" s="109" t="n"/>
      <c r="K571" s="109" t="n"/>
      <c r="L571" s="226">
        <f>IF($E571="","",DATE(YEAR($E571),MONTH($E571),1))</f>
        <v/>
      </c>
      <c r="M571" s="113">
        <f>IF($D571="","",IF($C571="TANIMSIZ MÜŞTERİ","HATA",IF(OR($E571="",$F571&lt;=0,$G571=""),"EKSİK",IF($E571&gt;TODAY(),"İLERİ TARİH",IF(COUNTIF($S$7:$S$1506,$S571)&gt;1,"MÜKERRER?",IF($T571&gt;0,"KAPALI DÖNEM","UYGUN"))))))</f>
        <v/>
      </c>
      <c r="N571" s="121">
        <f>IF($C571="","",IF($C571="TANIMSIZ MÜŞTERİ","—",INDEX(MUSTERILER!$C$7:$C$106,MATCH($C571,MUSTERILER!$B$7:$B$106,0))))</f>
        <v/>
      </c>
      <c r="O571" s="6" t="n"/>
      <c r="P571" s="6" t="n"/>
      <c r="Q571" s="3">
        <f>IF($D571="","",$C571&amp;"|"&amp;COUNTIFS($C$7:$C571,$C571))</f>
        <v/>
      </c>
      <c r="R571" s="3">
        <f>IF($D571="","",UPPER(SUBSTITUTE(SUBSTITUTE(SUBSTITUTE(SUBSTITUTE(SUBSTITUTE(SUBSTITUTE(SUBSTITUTE(SUBSTITUTE(SUBSTITUTE(SUBSTITUTE(SUBSTITUTE(SUBSTITUTE(SUBSTITUTE(SUBSTITUTE(SUBSTITUTE(SUBSTITUTE(SUBSTITUTE(SUBSTITUTE(TRIM($D571),"'",""),"İ","I"),"ı","I"),"i","I"),"Ş","S"),"ş","S"),"Ğ","G"),"ğ","G"),"Ü","U"),"ü","U"),"Ö","O"),"ö","O"),"Ç","C"),"ç","C"),".",""),",","")," ",""),"-","")))</f>
        <v/>
      </c>
      <c r="S571" s="3">
        <f>IF($D571="","",$C571&amp;"|"&amp;TEXT($E571,"0")&amp;"|"&amp;TEXT($F571,"0")&amp;"|"&amp;$I571)</f>
        <v/>
      </c>
      <c r="T571" s="3">
        <f>IF($E571="",0,SUMPRODUCT((AY_SONU!$O$7:$O$42="Evet")*(AY_SONU!$B$7:$B$42=DATE(YEAR($E571),MONTH($E571),1))))</f>
        <v/>
      </c>
    </row>
    <row r="572">
      <c r="A572" s="6" t="n"/>
      <c r="B572" s="113">
        <f>IF($D572="","","T"&amp;TEXT(ROW()-6,"00000"))</f>
        <v/>
      </c>
      <c r="C572" s="113">
        <f>IF($D572="","",IFERROR(INDEX(MUSTERILER!$B$7:$B$106,MATCH($R572,MUSTERILER!$T$7:$T$106,0)),IFERROR(INDEX(MUSTERILER!$B$7:$B$106,MATCH($D572,MUSTERILER!$B$7:$B$106,0)),IFERROR(INDEX(MUSTERILER!$B$7:$B$106,MATCH($R572&amp;"*",MUSTERILER!$T$7:$T$106,0)),"TANIMSIZ MÜŞTERİ"))))</f>
        <v/>
      </c>
      <c r="D572" s="109" t="n"/>
      <c r="E572" s="220" t="n"/>
      <c r="F572" s="221" t="n"/>
      <c r="G572" s="108" t="n"/>
      <c r="H572" s="108" t="n"/>
      <c r="I572" s="109" t="n"/>
      <c r="J572" s="109" t="n"/>
      <c r="K572" s="109" t="n"/>
      <c r="L572" s="226">
        <f>IF($E572="","",DATE(YEAR($E572),MONTH($E572),1))</f>
        <v/>
      </c>
      <c r="M572" s="113">
        <f>IF($D572="","",IF($C572="TANIMSIZ MÜŞTERİ","HATA",IF(OR($E572="",$F572&lt;=0,$G572=""),"EKSİK",IF($E572&gt;TODAY(),"İLERİ TARİH",IF(COUNTIF($S$7:$S$1506,$S572)&gt;1,"MÜKERRER?",IF($T572&gt;0,"KAPALI DÖNEM","UYGUN"))))))</f>
        <v/>
      </c>
      <c r="N572" s="121">
        <f>IF($C572="","",IF($C572="TANIMSIZ MÜŞTERİ","—",INDEX(MUSTERILER!$C$7:$C$106,MATCH($C572,MUSTERILER!$B$7:$B$106,0))))</f>
        <v/>
      </c>
      <c r="O572" s="6" t="n"/>
      <c r="P572" s="6" t="n"/>
      <c r="Q572" s="3">
        <f>IF($D572="","",$C572&amp;"|"&amp;COUNTIFS($C$7:$C572,$C572))</f>
        <v/>
      </c>
      <c r="R572" s="3">
        <f>IF($D572="","",UPPER(SUBSTITUTE(SUBSTITUTE(SUBSTITUTE(SUBSTITUTE(SUBSTITUTE(SUBSTITUTE(SUBSTITUTE(SUBSTITUTE(SUBSTITUTE(SUBSTITUTE(SUBSTITUTE(SUBSTITUTE(SUBSTITUTE(SUBSTITUTE(SUBSTITUTE(SUBSTITUTE(SUBSTITUTE(SUBSTITUTE(TRIM($D572),"'",""),"İ","I"),"ı","I"),"i","I"),"Ş","S"),"ş","S"),"Ğ","G"),"ğ","G"),"Ü","U"),"ü","U"),"Ö","O"),"ö","O"),"Ç","C"),"ç","C"),".",""),",","")," ",""),"-","")))</f>
        <v/>
      </c>
      <c r="S572" s="3">
        <f>IF($D572="","",$C572&amp;"|"&amp;TEXT($E572,"0")&amp;"|"&amp;TEXT($F572,"0")&amp;"|"&amp;$I572)</f>
        <v/>
      </c>
      <c r="T572" s="3">
        <f>IF($E572="",0,SUMPRODUCT((AY_SONU!$O$7:$O$42="Evet")*(AY_SONU!$B$7:$B$42=DATE(YEAR($E572),MONTH($E572),1))))</f>
        <v/>
      </c>
    </row>
    <row r="573">
      <c r="A573" s="6" t="n"/>
      <c r="B573" s="113">
        <f>IF($D573="","","T"&amp;TEXT(ROW()-6,"00000"))</f>
        <v/>
      </c>
      <c r="C573" s="113">
        <f>IF($D573="","",IFERROR(INDEX(MUSTERILER!$B$7:$B$106,MATCH($R573,MUSTERILER!$T$7:$T$106,0)),IFERROR(INDEX(MUSTERILER!$B$7:$B$106,MATCH($D573,MUSTERILER!$B$7:$B$106,0)),IFERROR(INDEX(MUSTERILER!$B$7:$B$106,MATCH($R573&amp;"*",MUSTERILER!$T$7:$T$106,0)),"TANIMSIZ MÜŞTERİ"))))</f>
        <v/>
      </c>
      <c r="D573" s="109" t="n"/>
      <c r="E573" s="220" t="n"/>
      <c r="F573" s="221" t="n"/>
      <c r="G573" s="108" t="n"/>
      <c r="H573" s="108" t="n"/>
      <c r="I573" s="109" t="n"/>
      <c r="J573" s="109" t="n"/>
      <c r="K573" s="109" t="n"/>
      <c r="L573" s="226">
        <f>IF($E573="","",DATE(YEAR($E573),MONTH($E573),1))</f>
        <v/>
      </c>
      <c r="M573" s="113">
        <f>IF($D573="","",IF($C573="TANIMSIZ MÜŞTERİ","HATA",IF(OR($E573="",$F573&lt;=0,$G573=""),"EKSİK",IF($E573&gt;TODAY(),"İLERİ TARİH",IF(COUNTIF($S$7:$S$1506,$S573)&gt;1,"MÜKERRER?",IF($T573&gt;0,"KAPALI DÖNEM","UYGUN"))))))</f>
        <v/>
      </c>
      <c r="N573" s="121">
        <f>IF($C573="","",IF($C573="TANIMSIZ MÜŞTERİ","—",INDEX(MUSTERILER!$C$7:$C$106,MATCH($C573,MUSTERILER!$B$7:$B$106,0))))</f>
        <v/>
      </c>
      <c r="O573" s="6" t="n"/>
      <c r="P573" s="6" t="n"/>
      <c r="Q573" s="3">
        <f>IF($D573="","",$C573&amp;"|"&amp;COUNTIFS($C$7:$C573,$C573))</f>
        <v/>
      </c>
      <c r="R573" s="3">
        <f>IF($D573="","",UPPER(SUBSTITUTE(SUBSTITUTE(SUBSTITUTE(SUBSTITUTE(SUBSTITUTE(SUBSTITUTE(SUBSTITUTE(SUBSTITUTE(SUBSTITUTE(SUBSTITUTE(SUBSTITUTE(SUBSTITUTE(SUBSTITUTE(SUBSTITUTE(SUBSTITUTE(SUBSTITUTE(SUBSTITUTE(SUBSTITUTE(TRIM($D573),"'",""),"İ","I"),"ı","I"),"i","I"),"Ş","S"),"ş","S"),"Ğ","G"),"ğ","G"),"Ü","U"),"ü","U"),"Ö","O"),"ö","O"),"Ç","C"),"ç","C"),".",""),",","")," ",""),"-","")))</f>
        <v/>
      </c>
      <c r="S573" s="3">
        <f>IF($D573="","",$C573&amp;"|"&amp;TEXT($E573,"0")&amp;"|"&amp;TEXT($F573,"0")&amp;"|"&amp;$I573)</f>
        <v/>
      </c>
      <c r="T573" s="3">
        <f>IF($E573="",0,SUMPRODUCT((AY_SONU!$O$7:$O$42="Evet")*(AY_SONU!$B$7:$B$42=DATE(YEAR($E573),MONTH($E573),1))))</f>
        <v/>
      </c>
    </row>
    <row r="574">
      <c r="A574" s="6" t="n"/>
      <c r="B574" s="113">
        <f>IF($D574="","","T"&amp;TEXT(ROW()-6,"00000"))</f>
        <v/>
      </c>
      <c r="C574" s="113">
        <f>IF($D574="","",IFERROR(INDEX(MUSTERILER!$B$7:$B$106,MATCH($R574,MUSTERILER!$T$7:$T$106,0)),IFERROR(INDEX(MUSTERILER!$B$7:$B$106,MATCH($D574,MUSTERILER!$B$7:$B$106,0)),IFERROR(INDEX(MUSTERILER!$B$7:$B$106,MATCH($R574&amp;"*",MUSTERILER!$T$7:$T$106,0)),"TANIMSIZ MÜŞTERİ"))))</f>
        <v/>
      </c>
      <c r="D574" s="109" t="n"/>
      <c r="E574" s="220" t="n"/>
      <c r="F574" s="221" t="n"/>
      <c r="G574" s="108" t="n"/>
      <c r="H574" s="108" t="n"/>
      <c r="I574" s="109" t="n"/>
      <c r="J574" s="109" t="n"/>
      <c r="K574" s="109" t="n"/>
      <c r="L574" s="226">
        <f>IF($E574="","",DATE(YEAR($E574),MONTH($E574),1))</f>
        <v/>
      </c>
      <c r="M574" s="113">
        <f>IF($D574="","",IF($C574="TANIMSIZ MÜŞTERİ","HATA",IF(OR($E574="",$F574&lt;=0,$G574=""),"EKSİK",IF($E574&gt;TODAY(),"İLERİ TARİH",IF(COUNTIF($S$7:$S$1506,$S574)&gt;1,"MÜKERRER?",IF($T574&gt;0,"KAPALI DÖNEM","UYGUN"))))))</f>
        <v/>
      </c>
      <c r="N574" s="121">
        <f>IF($C574="","",IF($C574="TANIMSIZ MÜŞTERİ","—",INDEX(MUSTERILER!$C$7:$C$106,MATCH($C574,MUSTERILER!$B$7:$B$106,0))))</f>
        <v/>
      </c>
      <c r="O574" s="6" t="n"/>
      <c r="P574" s="6" t="n"/>
      <c r="Q574" s="3">
        <f>IF($D574="","",$C574&amp;"|"&amp;COUNTIFS($C$7:$C574,$C574))</f>
        <v/>
      </c>
      <c r="R574" s="3">
        <f>IF($D574="","",UPPER(SUBSTITUTE(SUBSTITUTE(SUBSTITUTE(SUBSTITUTE(SUBSTITUTE(SUBSTITUTE(SUBSTITUTE(SUBSTITUTE(SUBSTITUTE(SUBSTITUTE(SUBSTITUTE(SUBSTITUTE(SUBSTITUTE(SUBSTITUTE(SUBSTITUTE(SUBSTITUTE(SUBSTITUTE(SUBSTITUTE(TRIM($D574),"'",""),"İ","I"),"ı","I"),"i","I"),"Ş","S"),"ş","S"),"Ğ","G"),"ğ","G"),"Ü","U"),"ü","U"),"Ö","O"),"ö","O"),"Ç","C"),"ç","C"),".",""),",","")," ",""),"-","")))</f>
        <v/>
      </c>
      <c r="S574" s="3">
        <f>IF($D574="","",$C574&amp;"|"&amp;TEXT($E574,"0")&amp;"|"&amp;TEXT($F574,"0")&amp;"|"&amp;$I574)</f>
        <v/>
      </c>
      <c r="T574" s="3">
        <f>IF($E574="",0,SUMPRODUCT((AY_SONU!$O$7:$O$42="Evet")*(AY_SONU!$B$7:$B$42=DATE(YEAR($E574),MONTH($E574),1))))</f>
        <v/>
      </c>
    </row>
    <row r="575">
      <c r="A575" s="6" t="n"/>
      <c r="B575" s="113">
        <f>IF($D575="","","T"&amp;TEXT(ROW()-6,"00000"))</f>
        <v/>
      </c>
      <c r="C575" s="113">
        <f>IF($D575="","",IFERROR(INDEX(MUSTERILER!$B$7:$B$106,MATCH($R575,MUSTERILER!$T$7:$T$106,0)),IFERROR(INDEX(MUSTERILER!$B$7:$B$106,MATCH($D575,MUSTERILER!$B$7:$B$106,0)),IFERROR(INDEX(MUSTERILER!$B$7:$B$106,MATCH($R575&amp;"*",MUSTERILER!$T$7:$T$106,0)),"TANIMSIZ MÜŞTERİ"))))</f>
        <v/>
      </c>
      <c r="D575" s="109" t="n"/>
      <c r="E575" s="220" t="n"/>
      <c r="F575" s="221" t="n"/>
      <c r="G575" s="108" t="n"/>
      <c r="H575" s="108" t="n"/>
      <c r="I575" s="109" t="n"/>
      <c r="J575" s="109" t="n"/>
      <c r="K575" s="109" t="n"/>
      <c r="L575" s="226">
        <f>IF($E575="","",DATE(YEAR($E575),MONTH($E575),1))</f>
        <v/>
      </c>
      <c r="M575" s="113">
        <f>IF($D575="","",IF($C575="TANIMSIZ MÜŞTERİ","HATA",IF(OR($E575="",$F575&lt;=0,$G575=""),"EKSİK",IF($E575&gt;TODAY(),"İLERİ TARİH",IF(COUNTIF($S$7:$S$1506,$S575)&gt;1,"MÜKERRER?",IF($T575&gt;0,"KAPALI DÖNEM","UYGUN"))))))</f>
        <v/>
      </c>
      <c r="N575" s="121">
        <f>IF($C575="","",IF($C575="TANIMSIZ MÜŞTERİ","—",INDEX(MUSTERILER!$C$7:$C$106,MATCH($C575,MUSTERILER!$B$7:$B$106,0))))</f>
        <v/>
      </c>
      <c r="O575" s="6" t="n"/>
      <c r="P575" s="6" t="n"/>
      <c r="Q575" s="3">
        <f>IF($D575="","",$C575&amp;"|"&amp;COUNTIFS($C$7:$C575,$C575))</f>
        <v/>
      </c>
      <c r="R575" s="3">
        <f>IF($D575="","",UPPER(SUBSTITUTE(SUBSTITUTE(SUBSTITUTE(SUBSTITUTE(SUBSTITUTE(SUBSTITUTE(SUBSTITUTE(SUBSTITUTE(SUBSTITUTE(SUBSTITUTE(SUBSTITUTE(SUBSTITUTE(SUBSTITUTE(SUBSTITUTE(SUBSTITUTE(SUBSTITUTE(SUBSTITUTE(SUBSTITUTE(TRIM($D575),"'",""),"İ","I"),"ı","I"),"i","I"),"Ş","S"),"ş","S"),"Ğ","G"),"ğ","G"),"Ü","U"),"ü","U"),"Ö","O"),"ö","O"),"Ç","C"),"ç","C"),".",""),",","")," ",""),"-","")))</f>
        <v/>
      </c>
      <c r="S575" s="3">
        <f>IF($D575="","",$C575&amp;"|"&amp;TEXT($E575,"0")&amp;"|"&amp;TEXT($F575,"0")&amp;"|"&amp;$I575)</f>
        <v/>
      </c>
      <c r="T575" s="3">
        <f>IF($E575="",0,SUMPRODUCT((AY_SONU!$O$7:$O$42="Evet")*(AY_SONU!$B$7:$B$42=DATE(YEAR($E575),MONTH($E575),1))))</f>
        <v/>
      </c>
    </row>
    <row r="576">
      <c r="A576" s="6" t="n"/>
      <c r="B576" s="113">
        <f>IF($D576="","","T"&amp;TEXT(ROW()-6,"00000"))</f>
        <v/>
      </c>
      <c r="C576" s="113">
        <f>IF($D576="","",IFERROR(INDEX(MUSTERILER!$B$7:$B$106,MATCH($R576,MUSTERILER!$T$7:$T$106,0)),IFERROR(INDEX(MUSTERILER!$B$7:$B$106,MATCH($D576,MUSTERILER!$B$7:$B$106,0)),IFERROR(INDEX(MUSTERILER!$B$7:$B$106,MATCH($R576&amp;"*",MUSTERILER!$T$7:$T$106,0)),"TANIMSIZ MÜŞTERİ"))))</f>
        <v/>
      </c>
      <c r="D576" s="109" t="n"/>
      <c r="E576" s="220" t="n"/>
      <c r="F576" s="221" t="n"/>
      <c r="G576" s="108" t="n"/>
      <c r="H576" s="108" t="n"/>
      <c r="I576" s="109" t="n"/>
      <c r="J576" s="109" t="n"/>
      <c r="K576" s="109" t="n"/>
      <c r="L576" s="226">
        <f>IF($E576="","",DATE(YEAR($E576),MONTH($E576),1))</f>
        <v/>
      </c>
      <c r="M576" s="113">
        <f>IF($D576="","",IF($C576="TANIMSIZ MÜŞTERİ","HATA",IF(OR($E576="",$F576&lt;=0,$G576=""),"EKSİK",IF($E576&gt;TODAY(),"İLERİ TARİH",IF(COUNTIF($S$7:$S$1506,$S576)&gt;1,"MÜKERRER?",IF($T576&gt;0,"KAPALI DÖNEM","UYGUN"))))))</f>
        <v/>
      </c>
      <c r="N576" s="121">
        <f>IF($C576="","",IF($C576="TANIMSIZ MÜŞTERİ","—",INDEX(MUSTERILER!$C$7:$C$106,MATCH($C576,MUSTERILER!$B$7:$B$106,0))))</f>
        <v/>
      </c>
      <c r="O576" s="6" t="n"/>
      <c r="P576" s="6" t="n"/>
      <c r="Q576" s="3">
        <f>IF($D576="","",$C576&amp;"|"&amp;COUNTIFS($C$7:$C576,$C576))</f>
        <v/>
      </c>
      <c r="R576" s="3">
        <f>IF($D576="","",UPPER(SUBSTITUTE(SUBSTITUTE(SUBSTITUTE(SUBSTITUTE(SUBSTITUTE(SUBSTITUTE(SUBSTITUTE(SUBSTITUTE(SUBSTITUTE(SUBSTITUTE(SUBSTITUTE(SUBSTITUTE(SUBSTITUTE(SUBSTITUTE(SUBSTITUTE(SUBSTITUTE(SUBSTITUTE(SUBSTITUTE(TRIM($D576),"'",""),"İ","I"),"ı","I"),"i","I"),"Ş","S"),"ş","S"),"Ğ","G"),"ğ","G"),"Ü","U"),"ü","U"),"Ö","O"),"ö","O"),"Ç","C"),"ç","C"),".",""),",","")," ",""),"-","")))</f>
        <v/>
      </c>
      <c r="S576" s="3">
        <f>IF($D576="","",$C576&amp;"|"&amp;TEXT($E576,"0")&amp;"|"&amp;TEXT($F576,"0")&amp;"|"&amp;$I576)</f>
        <v/>
      </c>
      <c r="T576" s="3">
        <f>IF($E576="",0,SUMPRODUCT((AY_SONU!$O$7:$O$42="Evet")*(AY_SONU!$B$7:$B$42=DATE(YEAR($E576),MONTH($E576),1))))</f>
        <v/>
      </c>
    </row>
    <row r="577">
      <c r="A577" s="6" t="n"/>
      <c r="B577" s="113">
        <f>IF($D577="","","T"&amp;TEXT(ROW()-6,"00000"))</f>
        <v/>
      </c>
      <c r="C577" s="113">
        <f>IF($D577="","",IFERROR(INDEX(MUSTERILER!$B$7:$B$106,MATCH($R577,MUSTERILER!$T$7:$T$106,0)),IFERROR(INDEX(MUSTERILER!$B$7:$B$106,MATCH($D577,MUSTERILER!$B$7:$B$106,0)),IFERROR(INDEX(MUSTERILER!$B$7:$B$106,MATCH($R577&amp;"*",MUSTERILER!$T$7:$T$106,0)),"TANIMSIZ MÜŞTERİ"))))</f>
        <v/>
      </c>
      <c r="D577" s="109" t="n"/>
      <c r="E577" s="220" t="n"/>
      <c r="F577" s="221" t="n"/>
      <c r="G577" s="108" t="n"/>
      <c r="H577" s="108" t="n"/>
      <c r="I577" s="109" t="n"/>
      <c r="J577" s="109" t="n"/>
      <c r="K577" s="109" t="n"/>
      <c r="L577" s="226">
        <f>IF($E577="","",DATE(YEAR($E577),MONTH($E577),1))</f>
        <v/>
      </c>
      <c r="M577" s="113">
        <f>IF($D577="","",IF($C577="TANIMSIZ MÜŞTERİ","HATA",IF(OR($E577="",$F577&lt;=0,$G577=""),"EKSİK",IF($E577&gt;TODAY(),"İLERİ TARİH",IF(COUNTIF($S$7:$S$1506,$S577)&gt;1,"MÜKERRER?",IF($T577&gt;0,"KAPALI DÖNEM","UYGUN"))))))</f>
        <v/>
      </c>
      <c r="N577" s="121">
        <f>IF($C577="","",IF($C577="TANIMSIZ MÜŞTERİ","—",INDEX(MUSTERILER!$C$7:$C$106,MATCH($C577,MUSTERILER!$B$7:$B$106,0))))</f>
        <v/>
      </c>
      <c r="O577" s="6" t="n"/>
      <c r="P577" s="6" t="n"/>
      <c r="Q577" s="3">
        <f>IF($D577="","",$C577&amp;"|"&amp;COUNTIFS($C$7:$C577,$C577))</f>
        <v/>
      </c>
      <c r="R577" s="3">
        <f>IF($D577="","",UPPER(SUBSTITUTE(SUBSTITUTE(SUBSTITUTE(SUBSTITUTE(SUBSTITUTE(SUBSTITUTE(SUBSTITUTE(SUBSTITUTE(SUBSTITUTE(SUBSTITUTE(SUBSTITUTE(SUBSTITUTE(SUBSTITUTE(SUBSTITUTE(SUBSTITUTE(SUBSTITUTE(SUBSTITUTE(SUBSTITUTE(TRIM($D577),"'",""),"İ","I"),"ı","I"),"i","I"),"Ş","S"),"ş","S"),"Ğ","G"),"ğ","G"),"Ü","U"),"ü","U"),"Ö","O"),"ö","O"),"Ç","C"),"ç","C"),".",""),",","")," ",""),"-","")))</f>
        <v/>
      </c>
      <c r="S577" s="3">
        <f>IF($D577="","",$C577&amp;"|"&amp;TEXT($E577,"0")&amp;"|"&amp;TEXT($F577,"0")&amp;"|"&amp;$I577)</f>
        <v/>
      </c>
      <c r="T577" s="3">
        <f>IF($E577="",0,SUMPRODUCT((AY_SONU!$O$7:$O$42="Evet")*(AY_SONU!$B$7:$B$42=DATE(YEAR($E577),MONTH($E577),1))))</f>
        <v/>
      </c>
    </row>
    <row r="578">
      <c r="A578" s="6" t="n"/>
      <c r="B578" s="113">
        <f>IF($D578="","","T"&amp;TEXT(ROW()-6,"00000"))</f>
        <v/>
      </c>
      <c r="C578" s="113">
        <f>IF($D578="","",IFERROR(INDEX(MUSTERILER!$B$7:$B$106,MATCH($R578,MUSTERILER!$T$7:$T$106,0)),IFERROR(INDEX(MUSTERILER!$B$7:$B$106,MATCH($D578,MUSTERILER!$B$7:$B$106,0)),IFERROR(INDEX(MUSTERILER!$B$7:$B$106,MATCH($R578&amp;"*",MUSTERILER!$T$7:$T$106,0)),"TANIMSIZ MÜŞTERİ"))))</f>
        <v/>
      </c>
      <c r="D578" s="109" t="n"/>
      <c r="E578" s="220" t="n"/>
      <c r="F578" s="221" t="n"/>
      <c r="G578" s="108" t="n"/>
      <c r="H578" s="108" t="n"/>
      <c r="I578" s="109" t="n"/>
      <c r="J578" s="109" t="n"/>
      <c r="K578" s="109" t="n"/>
      <c r="L578" s="226">
        <f>IF($E578="","",DATE(YEAR($E578),MONTH($E578),1))</f>
        <v/>
      </c>
      <c r="M578" s="113">
        <f>IF($D578="","",IF($C578="TANIMSIZ MÜŞTERİ","HATA",IF(OR($E578="",$F578&lt;=0,$G578=""),"EKSİK",IF($E578&gt;TODAY(),"İLERİ TARİH",IF(COUNTIF($S$7:$S$1506,$S578)&gt;1,"MÜKERRER?",IF($T578&gt;0,"KAPALI DÖNEM","UYGUN"))))))</f>
        <v/>
      </c>
      <c r="N578" s="121">
        <f>IF($C578="","",IF($C578="TANIMSIZ MÜŞTERİ","—",INDEX(MUSTERILER!$C$7:$C$106,MATCH($C578,MUSTERILER!$B$7:$B$106,0))))</f>
        <v/>
      </c>
      <c r="O578" s="6" t="n"/>
      <c r="P578" s="6" t="n"/>
      <c r="Q578" s="3">
        <f>IF($D578="","",$C578&amp;"|"&amp;COUNTIFS($C$7:$C578,$C578))</f>
        <v/>
      </c>
      <c r="R578" s="3">
        <f>IF($D578="","",UPPER(SUBSTITUTE(SUBSTITUTE(SUBSTITUTE(SUBSTITUTE(SUBSTITUTE(SUBSTITUTE(SUBSTITUTE(SUBSTITUTE(SUBSTITUTE(SUBSTITUTE(SUBSTITUTE(SUBSTITUTE(SUBSTITUTE(SUBSTITUTE(SUBSTITUTE(SUBSTITUTE(SUBSTITUTE(SUBSTITUTE(TRIM($D578),"'",""),"İ","I"),"ı","I"),"i","I"),"Ş","S"),"ş","S"),"Ğ","G"),"ğ","G"),"Ü","U"),"ü","U"),"Ö","O"),"ö","O"),"Ç","C"),"ç","C"),".",""),",","")," ",""),"-","")))</f>
        <v/>
      </c>
      <c r="S578" s="3">
        <f>IF($D578="","",$C578&amp;"|"&amp;TEXT($E578,"0")&amp;"|"&amp;TEXT($F578,"0")&amp;"|"&amp;$I578)</f>
        <v/>
      </c>
      <c r="T578" s="3">
        <f>IF($E578="",0,SUMPRODUCT((AY_SONU!$O$7:$O$42="Evet")*(AY_SONU!$B$7:$B$42=DATE(YEAR($E578),MONTH($E578),1))))</f>
        <v/>
      </c>
    </row>
    <row r="579">
      <c r="A579" s="6" t="n"/>
      <c r="B579" s="113">
        <f>IF($D579="","","T"&amp;TEXT(ROW()-6,"00000"))</f>
        <v/>
      </c>
      <c r="C579" s="113">
        <f>IF($D579="","",IFERROR(INDEX(MUSTERILER!$B$7:$B$106,MATCH($R579,MUSTERILER!$T$7:$T$106,0)),IFERROR(INDEX(MUSTERILER!$B$7:$B$106,MATCH($D579,MUSTERILER!$B$7:$B$106,0)),IFERROR(INDEX(MUSTERILER!$B$7:$B$106,MATCH($R579&amp;"*",MUSTERILER!$T$7:$T$106,0)),"TANIMSIZ MÜŞTERİ"))))</f>
        <v/>
      </c>
      <c r="D579" s="109" t="n"/>
      <c r="E579" s="220" t="n"/>
      <c r="F579" s="221" t="n"/>
      <c r="G579" s="108" t="n"/>
      <c r="H579" s="108" t="n"/>
      <c r="I579" s="109" t="n"/>
      <c r="J579" s="109" t="n"/>
      <c r="K579" s="109" t="n"/>
      <c r="L579" s="226">
        <f>IF($E579="","",DATE(YEAR($E579),MONTH($E579),1))</f>
        <v/>
      </c>
      <c r="M579" s="113">
        <f>IF($D579="","",IF($C579="TANIMSIZ MÜŞTERİ","HATA",IF(OR($E579="",$F579&lt;=0,$G579=""),"EKSİK",IF($E579&gt;TODAY(),"İLERİ TARİH",IF(COUNTIF($S$7:$S$1506,$S579)&gt;1,"MÜKERRER?",IF($T579&gt;0,"KAPALI DÖNEM","UYGUN"))))))</f>
        <v/>
      </c>
      <c r="N579" s="121">
        <f>IF($C579="","",IF($C579="TANIMSIZ MÜŞTERİ","—",INDEX(MUSTERILER!$C$7:$C$106,MATCH($C579,MUSTERILER!$B$7:$B$106,0))))</f>
        <v/>
      </c>
      <c r="O579" s="6" t="n"/>
      <c r="P579" s="6" t="n"/>
      <c r="Q579" s="3">
        <f>IF($D579="","",$C579&amp;"|"&amp;COUNTIFS($C$7:$C579,$C579))</f>
        <v/>
      </c>
      <c r="R579" s="3">
        <f>IF($D579="","",UPPER(SUBSTITUTE(SUBSTITUTE(SUBSTITUTE(SUBSTITUTE(SUBSTITUTE(SUBSTITUTE(SUBSTITUTE(SUBSTITUTE(SUBSTITUTE(SUBSTITUTE(SUBSTITUTE(SUBSTITUTE(SUBSTITUTE(SUBSTITUTE(SUBSTITUTE(SUBSTITUTE(SUBSTITUTE(SUBSTITUTE(TRIM($D579),"'",""),"İ","I"),"ı","I"),"i","I"),"Ş","S"),"ş","S"),"Ğ","G"),"ğ","G"),"Ü","U"),"ü","U"),"Ö","O"),"ö","O"),"Ç","C"),"ç","C"),".",""),",","")," ",""),"-","")))</f>
        <v/>
      </c>
      <c r="S579" s="3">
        <f>IF($D579="","",$C579&amp;"|"&amp;TEXT($E579,"0")&amp;"|"&amp;TEXT($F579,"0")&amp;"|"&amp;$I579)</f>
        <v/>
      </c>
      <c r="T579" s="3">
        <f>IF($E579="",0,SUMPRODUCT((AY_SONU!$O$7:$O$42="Evet")*(AY_SONU!$B$7:$B$42=DATE(YEAR($E579),MONTH($E579),1))))</f>
        <v/>
      </c>
    </row>
    <row r="580">
      <c r="A580" s="6" t="n"/>
      <c r="B580" s="113">
        <f>IF($D580="","","T"&amp;TEXT(ROW()-6,"00000"))</f>
        <v/>
      </c>
      <c r="C580" s="113">
        <f>IF($D580="","",IFERROR(INDEX(MUSTERILER!$B$7:$B$106,MATCH($R580,MUSTERILER!$T$7:$T$106,0)),IFERROR(INDEX(MUSTERILER!$B$7:$B$106,MATCH($D580,MUSTERILER!$B$7:$B$106,0)),IFERROR(INDEX(MUSTERILER!$B$7:$B$106,MATCH($R580&amp;"*",MUSTERILER!$T$7:$T$106,0)),"TANIMSIZ MÜŞTERİ"))))</f>
        <v/>
      </c>
      <c r="D580" s="109" t="n"/>
      <c r="E580" s="220" t="n"/>
      <c r="F580" s="221" t="n"/>
      <c r="G580" s="108" t="n"/>
      <c r="H580" s="108" t="n"/>
      <c r="I580" s="109" t="n"/>
      <c r="J580" s="109" t="n"/>
      <c r="K580" s="109" t="n"/>
      <c r="L580" s="226">
        <f>IF($E580="","",DATE(YEAR($E580),MONTH($E580),1))</f>
        <v/>
      </c>
      <c r="M580" s="113">
        <f>IF($D580="","",IF($C580="TANIMSIZ MÜŞTERİ","HATA",IF(OR($E580="",$F580&lt;=0,$G580=""),"EKSİK",IF($E580&gt;TODAY(),"İLERİ TARİH",IF(COUNTIF($S$7:$S$1506,$S580)&gt;1,"MÜKERRER?",IF($T580&gt;0,"KAPALI DÖNEM","UYGUN"))))))</f>
        <v/>
      </c>
      <c r="N580" s="121">
        <f>IF($C580="","",IF($C580="TANIMSIZ MÜŞTERİ","—",INDEX(MUSTERILER!$C$7:$C$106,MATCH($C580,MUSTERILER!$B$7:$B$106,0))))</f>
        <v/>
      </c>
      <c r="O580" s="6" t="n"/>
      <c r="P580" s="6" t="n"/>
      <c r="Q580" s="3">
        <f>IF($D580="","",$C580&amp;"|"&amp;COUNTIFS($C$7:$C580,$C580))</f>
        <v/>
      </c>
      <c r="R580" s="3">
        <f>IF($D580="","",UPPER(SUBSTITUTE(SUBSTITUTE(SUBSTITUTE(SUBSTITUTE(SUBSTITUTE(SUBSTITUTE(SUBSTITUTE(SUBSTITUTE(SUBSTITUTE(SUBSTITUTE(SUBSTITUTE(SUBSTITUTE(SUBSTITUTE(SUBSTITUTE(SUBSTITUTE(SUBSTITUTE(SUBSTITUTE(SUBSTITUTE(TRIM($D580),"'",""),"İ","I"),"ı","I"),"i","I"),"Ş","S"),"ş","S"),"Ğ","G"),"ğ","G"),"Ü","U"),"ü","U"),"Ö","O"),"ö","O"),"Ç","C"),"ç","C"),".",""),",","")," ",""),"-","")))</f>
        <v/>
      </c>
      <c r="S580" s="3">
        <f>IF($D580="","",$C580&amp;"|"&amp;TEXT($E580,"0")&amp;"|"&amp;TEXT($F580,"0")&amp;"|"&amp;$I580)</f>
        <v/>
      </c>
      <c r="T580" s="3">
        <f>IF($E580="",0,SUMPRODUCT((AY_SONU!$O$7:$O$42="Evet")*(AY_SONU!$B$7:$B$42=DATE(YEAR($E580),MONTH($E580),1))))</f>
        <v/>
      </c>
    </row>
    <row r="581">
      <c r="A581" s="6" t="n"/>
      <c r="B581" s="113">
        <f>IF($D581="","","T"&amp;TEXT(ROW()-6,"00000"))</f>
        <v/>
      </c>
      <c r="C581" s="113">
        <f>IF($D581="","",IFERROR(INDEX(MUSTERILER!$B$7:$B$106,MATCH($R581,MUSTERILER!$T$7:$T$106,0)),IFERROR(INDEX(MUSTERILER!$B$7:$B$106,MATCH($D581,MUSTERILER!$B$7:$B$106,0)),IFERROR(INDEX(MUSTERILER!$B$7:$B$106,MATCH($R581&amp;"*",MUSTERILER!$T$7:$T$106,0)),"TANIMSIZ MÜŞTERİ"))))</f>
        <v/>
      </c>
      <c r="D581" s="109" t="n"/>
      <c r="E581" s="220" t="n"/>
      <c r="F581" s="221" t="n"/>
      <c r="G581" s="108" t="n"/>
      <c r="H581" s="108" t="n"/>
      <c r="I581" s="109" t="n"/>
      <c r="J581" s="109" t="n"/>
      <c r="K581" s="109" t="n"/>
      <c r="L581" s="226">
        <f>IF($E581="","",DATE(YEAR($E581),MONTH($E581),1))</f>
        <v/>
      </c>
      <c r="M581" s="113">
        <f>IF($D581="","",IF($C581="TANIMSIZ MÜŞTERİ","HATA",IF(OR($E581="",$F581&lt;=0,$G581=""),"EKSİK",IF($E581&gt;TODAY(),"İLERİ TARİH",IF(COUNTIF($S$7:$S$1506,$S581)&gt;1,"MÜKERRER?",IF($T581&gt;0,"KAPALI DÖNEM","UYGUN"))))))</f>
        <v/>
      </c>
      <c r="N581" s="121">
        <f>IF($C581="","",IF($C581="TANIMSIZ MÜŞTERİ","—",INDEX(MUSTERILER!$C$7:$C$106,MATCH($C581,MUSTERILER!$B$7:$B$106,0))))</f>
        <v/>
      </c>
      <c r="O581" s="6" t="n"/>
      <c r="P581" s="6" t="n"/>
      <c r="Q581" s="3">
        <f>IF($D581="","",$C581&amp;"|"&amp;COUNTIFS($C$7:$C581,$C581))</f>
        <v/>
      </c>
      <c r="R581" s="3">
        <f>IF($D581="","",UPPER(SUBSTITUTE(SUBSTITUTE(SUBSTITUTE(SUBSTITUTE(SUBSTITUTE(SUBSTITUTE(SUBSTITUTE(SUBSTITUTE(SUBSTITUTE(SUBSTITUTE(SUBSTITUTE(SUBSTITUTE(SUBSTITUTE(SUBSTITUTE(SUBSTITUTE(SUBSTITUTE(SUBSTITUTE(SUBSTITUTE(TRIM($D581),"'",""),"İ","I"),"ı","I"),"i","I"),"Ş","S"),"ş","S"),"Ğ","G"),"ğ","G"),"Ü","U"),"ü","U"),"Ö","O"),"ö","O"),"Ç","C"),"ç","C"),".",""),",","")," ",""),"-","")))</f>
        <v/>
      </c>
      <c r="S581" s="3">
        <f>IF($D581="","",$C581&amp;"|"&amp;TEXT($E581,"0")&amp;"|"&amp;TEXT($F581,"0")&amp;"|"&amp;$I581)</f>
        <v/>
      </c>
      <c r="T581" s="3">
        <f>IF($E581="",0,SUMPRODUCT((AY_SONU!$O$7:$O$42="Evet")*(AY_SONU!$B$7:$B$42=DATE(YEAR($E581),MONTH($E581),1))))</f>
        <v/>
      </c>
    </row>
    <row r="582">
      <c r="A582" s="6" t="n"/>
      <c r="B582" s="113">
        <f>IF($D582="","","T"&amp;TEXT(ROW()-6,"00000"))</f>
        <v/>
      </c>
      <c r="C582" s="113">
        <f>IF($D582="","",IFERROR(INDEX(MUSTERILER!$B$7:$B$106,MATCH($R582,MUSTERILER!$T$7:$T$106,0)),IFERROR(INDEX(MUSTERILER!$B$7:$B$106,MATCH($D582,MUSTERILER!$B$7:$B$106,0)),IFERROR(INDEX(MUSTERILER!$B$7:$B$106,MATCH($R582&amp;"*",MUSTERILER!$T$7:$T$106,0)),"TANIMSIZ MÜŞTERİ"))))</f>
        <v/>
      </c>
      <c r="D582" s="109" t="n"/>
      <c r="E582" s="220" t="n"/>
      <c r="F582" s="221" t="n"/>
      <c r="G582" s="108" t="n"/>
      <c r="H582" s="108" t="n"/>
      <c r="I582" s="109" t="n"/>
      <c r="J582" s="109" t="n"/>
      <c r="K582" s="109" t="n"/>
      <c r="L582" s="226">
        <f>IF($E582="","",DATE(YEAR($E582),MONTH($E582),1))</f>
        <v/>
      </c>
      <c r="M582" s="113">
        <f>IF($D582="","",IF($C582="TANIMSIZ MÜŞTERİ","HATA",IF(OR($E582="",$F582&lt;=0,$G582=""),"EKSİK",IF($E582&gt;TODAY(),"İLERİ TARİH",IF(COUNTIF($S$7:$S$1506,$S582)&gt;1,"MÜKERRER?",IF($T582&gt;0,"KAPALI DÖNEM","UYGUN"))))))</f>
        <v/>
      </c>
      <c r="N582" s="121">
        <f>IF($C582="","",IF($C582="TANIMSIZ MÜŞTERİ","—",INDEX(MUSTERILER!$C$7:$C$106,MATCH($C582,MUSTERILER!$B$7:$B$106,0))))</f>
        <v/>
      </c>
      <c r="O582" s="6" t="n"/>
      <c r="P582" s="6" t="n"/>
      <c r="Q582" s="3">
        <f>IF($D582="","",$C582&amp;"|"&amp;COUNTIFS($C$7:$C582,$C582))</f>
        <v/>
      </c>
      <c r="R582" s="3">
        <f>IF($D582="","",UPPER(SUBSTITUTE(SUBSTITUTE(SUBSTITUTE(SUBSTITUTE(SUBSTITUTE(SUBSTITUTE(SUBSTITUTE(SUBSTITUTE(SUBSTITUTE(SUBSTITUTE(SUBSTITUTE(SUBSTITUTE(SUBSTITUTE(SUBSTITUTE(SUBSTITUTE(SUBSTITUTE(SUBSTITUTE(SUBSTITUTE(TRIM($D582),"'",""),"İ","I"),"ı","I"),"i","I"),"Ş","S"),"ş","S"),"Ğ","G"),"ğ","G"),"Ü","U"),"ü","U"),"Ö","O"),"ö","O"),"Ç","C"),"ç","C"),".",""),",","")," ",""),"-","")))</f>
        <v/>
      </c>
      <c r="S582" s="3">
        <f>IF($D582="","",$C582&amp;"|"&amp;TEXT($E582,"0")&amp;"|"&amp;TEXT($F582,"0")&amp;"|"&amp;$I582)</f>
        <v/>
      </c>
      <c r="T582" s="3">
        <f>IF($E582="",0,SUMPRODUCT((AY_SONU!$O$7:$O$42="Evet")*(AY_SONU!$B$7:$B$42=DATE(YEAR($E582),MONTH($E582),1))))</f>
        <v/>
      </c>
    </row>
    <row r="583">
      <c r="A583" s="6" t="n"/>
      <c r="B583" s="113">
        <f>IF($D583="","","T"&amp;TEXT(ROW()-6,"00000"))</f>
        <v/>
      </c>
      <c r="C583" s="113">
        <f>IF($D583="","",IFERROR(INDEX(MUSTERILER!$B$7:$B$106,MATCH($R583,MUSTERILER!$T$7:$T$106,0)),IFERROR(INDEX(MUSTERILER!$B$7:$B$106,MATCH($D583,MUSTERILER!$B$7:$B$106,0)),IFERROR(INDEX(MUSTERILER!$B$7:$B$106,MATCH($R583&amp;"*",MUSTERILER!$T$7:$T$106,0)),"TANIMSIZ MÜŞTERİ"))))</f>
        <v/>
      </c>
      <c r="D583" s="109" t="n"/>
      <c r="E583" s="220" t="n"/>
      <c r="F583" s="221" t="n"/>
      <c r="G583" s="108" t="n"/>
      <c r="H583" s="108" t="n"/>
      <c r="I583" s="109" t="n"/>
      <c r="J583" s="109" t="n"/>
      <c r="K583" s="109" t="n"/>
      <c r="L583" s="226">
        <f>IF($E583="","",DATE(YEAR($E583),MONTH($E583),1))</f>
        <v/>
      </c>
      <c r="M583" s="113">
        <f>IF($D583="","",IF($C583="TANIMSIZ MÜŞTERİ","HATA",IF(OR($E583="",$F583&lt;=0,$G583=""),"EKSİK",IF($E583&gt;TODAY(),"İLERİ TARİH",IF(COUNTIF($S$7:$S$1506,$S583)&gt;1,"MÜKERRER?",IF($T583&gt;0,"KAPALI DÖNEM","UYGUN"))))))</f>
        <v/>
      </c>
      <c r="N583" s="121">
        <f>IF($C583="","",IF($C583="TANIMSIZ MÜŞTERİ","—",INDEX(MUSTERILER!$C$7:$C$106,MATCH($C583,MUSTERILER!$B$7:$B$106,0))))</f>
        <v/>
      </c>
      <c r="O583" s="6" t="n"/>
      <c r="P583" s="6" t="n"/>
      <c r="Q583" s="3">
        <f>IF($D583="","",$C583&amp;"|"&amp;COUNTIFS($C$7:$C583,$C583))</f>
        <v/>
      </c>
      <c r="R583" s="3">
        <f>IF($D583="","",UPPER(SUBSTITUTE(SUBSTITUTE(SUBSTITUTE(SUBSTITUTE(SUBSTITUTE(SUBSTITUTE(SUBSTITUTE(SUBSTITUTE(SUBSTITUTE(SUBSTITUTE(SUBSTITUTE(SUBSTITUTE(SUBSTITUTE(SUBSTITUTE(SUBSTITUTE(SUBSTITUTE(SUBSTITUTE(SUBSTITUTE(TRIM($D583),"'",""),"İ","I"),"ı","I"),"i","I"),"Ş","S"),"ş","S"),"Ğ","G"),"ğ","G"),"Ü","U"),"ü","U"),"Ö","O"),"ö","O"),"Ç","C"),"ç","C"),".",""),",","")," ",""),"-","")))</f>
        <v/>
      </c>
      <c r="S583" s="3">
        <f>IF($D583="","",$C583&amp;"|"&amp;TEXT($E583,"0")&amp;"|"&amp;TEXT($F583,"0")&amp;"|"&amp;$I583)</f>
        <v/>
      </c>
      <c r="T583" s="3">
        <f>IF($E583="",0,SUMPRODUCT((AY_SONU!$O$7:$O$42="Evet")*(AY_SONU!$B$7:$B$42=DATE(YEAR($E583),MONTH($E583),1))))</f>
        <v/>
      </c>
    </row>
    <row r="584">
      <c r="A584" s="6" t="n"/>
      <c r="B584" s="113">
        <f>IF($D584="","","T"&amp;TEXT(ROW()-6,"00000"))</f>
        <v/>
      </c>
      <c r="C584" s="113">
        <f>IF($D584="","",IFERROR(INDEX(MUSTERILER!$B$7:$B$106,MATCH($R584,MUSTERILER!$T$7:$T$106,0)),IFERROR(INDEX(MUSTERILER!$B$7:$B$106,MATCH($D584,MUSTERILER!$B$7:$B$106,0)),IFERROR(INDEX(MUSTERILER!$B$7:$B$106,MATCH($R584&amp;"*",MUSTERILER!$T$7:$T$106,0)),"TANIMSIZ MÜŞTERİ"))))</f>
        <v/>
      </c>
      <c r="D584" s="109" t="n"/>
      <c r="E584" s="220" t="n"/>
      <c r="F584" s="221" t="n"/>
      <c r="G584" s="108" t="n"/>
      <c r="H584" s="108" t="n"/>
      <c r="I584" s="109" t="n"/>
      <c r="J584" s="109" t="n"/>
      <c r="K584" s="109" t="n"/>
      <c r="L584" s="226">
        <f>IF($E584="","",DATE(YEAR($E584),MONTH($E584),1))</f>
        <v/>
      </c>
      <c r="M584" s="113">
        <f>IF($D584="","",IF($C584="TANIMSIZ MÜŞTERİ","HATA",IF(OR($E584="",$F584&lt;=0,$G584=""),"EKSİK",IF($E584&gt;TODAY(),"İLERİ TARİH",IF(COUNTIF($S$7:$S$1506,$S584)&gt;1,"MÜKERRER?",IF($T584&gt;0,"KAPALI DÖNEM","UYGUN"))))))</f>
        <v/>
      </c>
      <c r="N584" s="121">
        <f>IF($C584="","",IF($C584="TANIMSIZ MÜŞTERİ","—",INDEX(MUSTERILER!$C$7:$C$106,MATCH($C584,MUSTERILER!$B$7:$B$106,0))))</f>
        <v/>
      </c>
      <c r="O584" s="6" t="n"/>
      <c r="P584" s="6" t="n"/>
      <c r="Q584" s="3">
        <f>IF($D584="","",$C584&amp;"|"&amp;COUNTIFS($C$7:$C584,$C584))</f>
        <v/>
      </c>
      <c r="R584" s="3">
        <f>IF($D584="","",UPPER(SUBSTITUTE(SUBSTITUTE(SUBSTITUTE(SUBSTITUTE(SUBSTITUTE(SUBSTITUTE(SUBSTITUTE(SUBSTITUTE(SUBSTITUTE(SUBSTITUTE(SUBSTITUTE(SUBSTITUTE(SUBSTITUTE(SUBSTITUTE(SUBSTITUTE(SUBSTITUTE(SUBSTITUTE(SUBSTITUTE(TRIM($D584),"'",""),"İ","I"),"ı","I"),"i","I"),"Ş","S"),"ş","S"),"Ğ","G"),"ğ","G"),"Ü","U"),"ü","U"),"Ö","O"),"ö","O"),"Ç","C"),"ç","C"),".",""),",","")," ",""),"-","")))</f>
        <v/>
      </c>
      <c r="S584" s="3">
        <f>IF($D584="","",$C584&amp;"|"&amp;TEXT($E584,"0")&amp;"|"&amp;TEXT($F584,"0")&amp;"|"&amp;$I584)</f>
        <v/>
      </c>
      <c r="T584" s="3">
        <f>IF($E584="",0,SUMPRODUCT((AY_SONU!$O$7:$O$42="Evet")*(AY_SONU!$B$7:$B$42=DATE(YEAR($E584),MONTH($E584),1))))</f>
        <v/>
      </c>
    </row>
    <row r="585">
      <c r="A585" s="6" t="n"/>
      <c r="B585" s="113">
        <f>IF($D585="","","T"&amp;TEXT(ROW()-6,"00000"))</f>
        <v/>
      </c>
      <c r="C585" s="113">
        <f>IF($D585="","",IFERROR(INDEX(MUSTERILER!$B$7:$B$106,MATCH($R585,MUSTERILER!$T$7:$T$106,0)),IFERROR(INDEX(MUSTERILER!$B$7:$B$106,MATCH($D585,MUSTERILER!$B$7:$B$106,0)),IFERROR(INDEX(MUSTERILER!$B$7:$B$106,MATCH($R585&amp;"*",MUSTERILER!$T$7:$T$106,0)),"TANIMSIZ MÜŞTERİ"))))</f>
        <v/>
      </c>
      <c r="D585" s="109" t="n"/>
      <c r="E585" s="220" t="n"/>
      <c r="F585" s="221" t="n"/>
      <c r="G585" s="108" t="n"/>
      <c r="H585" s="108" t="n"/>
      <c r="I585" s="109" t="n"/>
      <c r="J585" s="109" t="n"/>
      <c r="K585" s="109" t="n"/>
      <c r="L585" s="226">
        <f>IF($E585="","",DATE(YEAR($E585),MONTH($E585),1))</f>
        <v/>
      </c>
      <c r="M585" s="113">
        <f>IF($D585="","",IF($C585="TANIMSIZ MÜŞTERİ","HATA",IF(OR($E585="",$F585&lt;=0,$G585=""),"EKSİK",IF($E585&gt;TODAY(),"İLERİ TARİH",IF(COUNTIF($S$7:$S$1506,$S585)&gt;1,"MÜKERRER?",IF($T585&gt;0,"KAPALI DÖNEM","UYGUN"))))))</f>
        <v/>
      </c>
      <c r="N585" s="121">
        <f>IF($C585="","",IF($C585="TANIMSIZ MÜŞTERİ","—",INDEX(MUSTERILER!$C$7:$C$106,MATCH($C585,MUSTERILER!$B$7:$B$106,0))))</f>
        <v/>
      </c>
      <c r="O585" s="6" t="n"/>
      <c r="P585" s="6" t="n"/>
      <c r="Q585" s="3">
        <f>IF($D585="","",$C585&amp;"|"&amp;COUNTIFS($C$7:$C585,$C585))</f>
        <v/>
      </c>
      <c r="R585" s="3">
        <f>IF($D585="","",UPPER(SUBSTITUTE(SUBSTITUTE(SUBSTITUTE(SUBSTITUTE(SUBSTITUTE(SUBSTITUTE(SUBSTITUTE(SUBSTITUTE(SUBSTITUTE(SUBSTITUTE(SUBSTITUTE(SUBSTITUTE(SUBSTITUTE(SUBSTITUTE(SUBSTITUTE(SUBSTITUTE(SUBSTITUTE(SUBSTITUTE(TRIM($D585),"'",""),"İ","I"),"ı","I"),"i","I"),"Ş","S"),"ş","S"),"Ğ","G"),"ğ","G"),"Ü","U"),"ü","U"),"Ö","O"),"ö","O"),"Ç","C"),"ç","C"),".",""),",","")," ",""),"-","")))</f>
        <v/>
      </c>
      <c r="S585" s="3">
        <f>IF($D585="","",$C585&amp;"|"&amp;TEXT($E585,"0")&amp;"|"&amp;TEXT($F585,"0")&amp;"|"&amp;$I585)</f>
        <v/>
      </c>
      <c r="T585" s="3">
        <f>IF($E585="",0,SUMPRODUCT((AY_SONU!$O$7:$O$42="Evet")*(AY_SONU!$B$7:$B$42=DATE(YEAR($E585),MONTH($E585),1))))</f>
        <v/>
      </c>
    </row>
    <row r="586">
      <c r="A586" s="6" t="n"/>
      <c r="B586" s="113">
        <f>IF($D586="","","T"&amp;TEXT(ROW()-6,"00000"))</f>
        <v/>
      </c>
      <c r="C586" s="113">
        <f>IF($D586="","",IFERROR(INDEX(MUSTERILER!$B$7:$B$106,MATCH($R586,MUSTERILER!$T$7:$T$106,0)),IFERROR(INDEX(MUSTERILER!$B$7:$B$106,MATCH($D586,MUSTERILER!$B$7:$B$106,0)),IFERROR(INDEX(MUSTERILER!$B$7:$B$106,MATCH($R586&amp;"*",MUSTERILER!$T$7:$T$106,0)),"TANIMSIZ MÜŞTERİ"))))</f>
        <v/>
      </c>
      <c r="D586" s="109" t="n"/>
      <c r="E586" s="220" t="n"/>
      <c r="F586" s="221" t="n"/>
      <c r="G586" s="108" t="n"/>
      <c r="H586" s="108" t="n"/>
      <c r="I586" s="109" t="n"/>
      <c r="J586" s="109" t="n"/>
      <c r="K586" s="109" t="n"/>
      <c r="L586" s="226">
        <f>IF($E586="","",DATE(YEAR($E586),MONTH($E586),1))</f>
        <v/>
      </c>
      <c r="M586" s="113">
        <f>IF($D586="","",IF($C586="TANIMSIZ MÜŞTERİ","HATA",IF(OR($E586="",$F586&lt;=0,$G586=""),"EKSİK",IF($E586&gt;TODAY(),"İLERİ TARİH",IF(COUNTIF($S$7:$S$1506,$S586)&gt;1,"MÜKERRER?",IF($T586&gt;0,"KAPALI DÖNEM","UYGUN"))))))</f>
        <v/>
      </c>
      <c r="N586" s="121">
        <f>IF($C586="","",IF($C586="TANIMSIZ MÜŞTERİ","—",INDEX(MUSTERILER!$C$7:$C$106,MATCH($C586,MUSTERILER!$B$7:$B$106,0))))</f>
        <v/>
      </c>
      <c r="O586" s="6" t="n"/>
      <c r="P586" s="6" t="n"/>
      <c r="Q586" s="3">
        <f>IF($D586="","",$C586&amp;"|"&amp;COUNTIFS($C$7:$C586,$C586))</f>
        <v/>
      </c>
      <c r="R586" s="3">
        <f>IF($D586="","",UPPER(SUBSTITUTE(SUBSTITUTE(SUBSTITUTE(SUBSTITUTE(SUBSTITUTE(SUBSTITUTE(SUBSTITUTE(SUBSTITUTE(SUBSTITUTE(SUBSTITUTE(SUBSTITUTE(SUBSTITUTE(SUBSTITUTE(SUBSTITUTE(SUBSTITUTE(SUBSTITUTE(SUBSTITUTE(SUBSTITUTE(TRIM($D586),"'",""),"İ","I"),"ı","I"),"i","I"),"Ş","S"),"ş","S"),"Ğ","G"),"ğ","G"),"Ü","U"),"ü","U"),"Ö","O"),"ö","O"),"Ç","C"),"ç","C"),".",""),",","")," ",""),"-","")))</f>
        <v/>
      </c>
      <c r="S586" s="3">
        <f>IF($D586="","",$C586&amp;"|"&amp;TEXT($E586,"0")&amp;"|"&amp;TEXT($F586,"0")&amp;"|"&amp;$I586)</f>
        <v/>
      </c>
      <c r="T586" s="3">
        <f>IF($E586="",0,SUMPRODUCT((AY_SONU!$O$7:$O$42="Evet")*(AY_SONU!$B$7:$B$42=DATE(YEAR($E586),MONTH($E586),1))))</f>
        <v/>
      </c>
    </row>
    <row r="587">
      <c r="A587" s="6" t="n"/>
      <c r="B587" s="113">
        <f>IF($D587="","","T"&amp;TEXT(ROW()-6,"00000"))</f>
        <v/>
      </c>
      <c r="C587" s="113">
        <f>IF($D587="","",IFERROR(INDEX(MUSTERILER!$B$7:$B$106,MATCH($R587,MUSTERILER!$T$7:$T$106,0)),IFERROR(INDEX(MUSTERILER!$B$7:$B$106,MATCH($D587,MUSTERILER!$B$7:$B$106,0)),IFERROR(INDEX(MUSTERILER!$B$7:$B$106,MATCH($R587&amp;"*",MUSTERILER!$T$7:$T$106,0)),"TANIMSIZ MÜŞTERİ"))))</f>
        <v/>
      </c>
      <c r="D587" s="109" t="n"/>
      <c r="E587" s="220" t="n"/>
      <c r="F587" s="221" t="n"/>
      <c r="G587" s="108" t="n"/>
      <c r="H587" s="108" t="n"/>
      <c r="I587" s="109" t="n"/>
      <c r="J587" s="109" t="n"/>
      <c r="K587" s="109" t="n"/>
      <c r="L587" s="226">
        <f>IF($E587="","",DATE(YEAR($E587),MONTH($E587),1))</f>
        <v/>
      </c>
      <c r="M587" s="113">
        <f>IF($D587="","",IF($C587="TANIMSIZ MÜŞTERİ","HATA",IF(OR($E587="",$F587&lt;=0,$G587=""),"EKSİK",IF($E587&gt;TODAY(),"İLERİ TARİH",IF(COUNTIF($S$7:$S$1506,$S587)&gt;1,"MÜKERRER?",IF($T587&gt;0,"KAPALI DÖNEM","UYGUN"))))))</f>
        <v/>
      </c>
      <c r="N587" s="121">
        <f>IF($C587="","",IF($C587="TANIMSIZ MÜŞTERİ","—",INDEX(MUSTERILER!$C$7:$C$106,MATCH($C587,MUSTERILER!$B$7:$B$106,0))))</f>
        <v/>
      </c>
      <c r="O587" s="6" t="n"/>
      <c r="P587" s="6" t="n"/>
      <c r="Q587" s="3">
        <f>IF($D587="","",$C587&amp;"|"&amp;COUNTIFS($C$7:$C587,$C587))</f>
        <v/>
      </c>
      <c r="R587" s="3">
        <f>IF($D587="","",UPPER(SUBSTITUTE(SUBSTITUTE(SUBSTITUTE(SUBSTITUTE(SUBSTITUTE(SUBSTITUTE(SUBSTITUTE(SUBSTITUTE(SUBSTITUTE(SUBSTITUTE(SUBSTITUTE(SUBSTITUTE(SUBSTITUTE(SUBSTITUTE(SUBSTITUTE(SUBSTITUTE(SUBSTITUTE(SUBSTITUTE(TRIM($D587),"'",""),"İ","I"),"ı","I"),"i","I"),"Ş","S"),"ş","S"),"Ğ","G"),"ğ","G"),"Ü","U"),"ü","U"),"Ö","O"),"ö","O"),"Ç","C"),"ç","C"),".",""),",","")," ",""),"-","")))</f>
        <v/>
      </c>
      <c r="S587" s="3">
        <f>IF($D587="","",$C587&amp;"|"&amp;TEXT($E587,"0")&amp;"|"&amp;TEXT($F587,"0")&amp;"|"&amp;$I587)</f>
        <v/>
      </c>
      <c r="T587" s="3">
        <f>IF($E587="",0,SUMPRODUCT((AY_SONU!$O$7:$O$42="Evet")*(AY_SONU!$B$7:$B$42=DATE(YEAR($E587),MONTH($E587),1))))</f>
        <v/>
      </c>
    </row>
    <row r="588">
      <c r="A588" s="6" t="n"/>
      <c r="B588" s="113">
        <f>IF($D588="","","T"&amp;TEXT(ROW()-6,"00000"))</f>
        <v/>
      </c>
      <c r="C588" s="113">
        <f>IF($D588="","",IFERROR(INDEX(MUSTERILER!$B$7:$B$106,MATCH($R588,MUSTERILER!$T$7:$T$106,0)),IFERROR(INDEX(MUSTERILER!$B$7:$B$106,MATCH($D588,MUSTERILER!$B$7:$B$106,0)),IFERROR(INDEX(MUSTERILER!$B$7:$B$106,MATCH($R588&amp;"*",MUSTERILER!$T$7:$T$106,0)),"TANIMSIZ MÜŞTERİ"))))</f>
        <v/>
      </c>
      <c r="D588" s="109" t="n"/>
      <c r="E588" s="220" t="n"/>
      <c r="F588" s="221" t="n"/>
      <c r="G588" s="108" t="n"/>
      <c r="H588" s="108" t="n"/>
      <c r="I588" s="109" t="n"/>
      <c r="J588" s="109" t="n"/>
      <c r="K588" s="109" t="n"/>
      <c r="L588" s="226">
        <f>IF($E588="","",DATE(YEAR($E588),MONTH($E588),1))</f>
        <v/>
      </c>
      <c r="M588" s="113">
        <f>IF($D588="","",IF($C588="TANIMSIZ MÜŞTERİ","HATA",IF(OR($E588="",$F588&lt;=0,$G588=""),"EKSİK",IF($E588&gt;TODAY(),"İLERİ TARİH",IF(COUNTIF($S$7:$S$1506,$S588)&gt;1,"MÜKERRER?",IF($T588&gt;0,"KAPALI DÖNEM","UYGUN"))))))</f>
        <v/>
      </c>
      <c r="N588" s="121">
        <f>IF($C588="","",IF($C588="TANIMSIZ MÜŞTERİ","—",INDEX(MUSTERILER!$C$7:$C$106,MATCH($C588,MUSTERILER!$B$7:$B$106,0))))</f>
        <v/>
      </c>
      <c r="O588" s="6" t="n"/>
      <c r="P588" s="6" t="n"/>
      <c r="Q588" s="3">
        <f>IF($D588="","",$C588&amp;"|"&amp;COUNTIFS($C$7:$C588,$C588))</f>
        <v/>
      </c>
      <c r="R588" s="3">
        <f>IF($D588="","",UPPER(SUBSTITUTE(SUBSTITUTE(SUBSTITUTE(SUBSTITUTE(SUBSTITUTE(SUBSTITUTE(SUBSTITUTE(SUBSTITUTE(SUBSTITUTE(SUBSTITUTE(SUBSTITUTE(SUBSTITUTE(SUBSTITUTE(SUBSTITUTE(SUBSTITUTE(SUBSTITUTE(SUBSTITUTE(SUBSTITUTE(TRIM($D588),"'",""),"İ","I"),"ı","I"),"i","I"),"Ş","S"),"ş","S"),"Ğ","G"),"ğ","G"),"Ü","U"),"ü","U"),"Ö","O"),"ö","O"),"Ç","C"),"ç","C"),".",""),",","")," ",""),"-","")))</f>
        <v/>
      </c>
      <c r="S588" s="3">
        <f>IF($D588="","",$C588&amp;"|"&amp;TEXT($E588,"0")&amp;"|"&amp;TEXT($F588,"0")&amp;"|"&amp;$I588)</f>
        <v/>
      </c>
      <c r="T588" s="3">
        <f>IF($E588="",0,SUMPRODUCT((AY_SONU!$O$7:$O$42="Evet")*(AY_SONU!$B$7:$B$42=DATE(YEAR($E588),MONTH($E588),1))))</f>
        <v/>
      </c>
    </row>
    <row r="589">
      <c r="A589" s="6" t="n"/>
      <c r="B589" s="113">
        <f>IF($D589="","","T"&amp;TEXT(ROW()-6,"00000"))</f>
        <v/>
      </c>
      <c r="C589" s="113">
        <f>IF($D589="","",IFERROR(INDEX(MUSTERILER!$B$7:$B$106,MATCH($R589,MUSTERILER!$T$7:$T$106,0)),IFERROR(INDEX(MUSTERILER!$B$7:$B$106,MATCH($D589,MUSTERILER!$B$7:$B$106,0)),IFERROR(INDEX(MUSTERILER!$B$7:$B$106,MATCH($R589&amp;"*",MUSTERILER!$T$7:$T$106,0)),"TANIMSIZ MÜŞTERİ"))))</f>
        <v/>
      </c>
      <c r="D589" s="109" t="n"/>
      <c r="E589" s="220" t="n"/>
      <c r="F589" s="221" t="n"/>
      <c r="G589" s="108" t="n"/>
      <c r="H589" s="108" t="n"/>
      <c r="I589" s="109" t="n"/>
      <c r="J589" s="109" t="n"/>
      <c r="K589" s="109" t="n"/>
      <c r="L589" s="226">
        <f>IF($E589="","",DATE(YEAR($E589),MONTH($E589),1))</f>
        <v/>
      </c>
      <c r="M589" s="113">
        <f>IF($D589="","",IF($C589="TANIMSIZ MÜŞTERİ","HATA",IF(OR($E589="",$F589&lt;=0,$G589=""),"EKSİK",IF($E589&gt;TODAY(),"İLERİ TARİH",IF(COUNTIF($S$7:$S$1506,$S589)&gt;1,"MÜKERRER?",IF($T589&gt;0,"KAPALI DÖNEM","UYGUN"))))))</f>
        <v/>
      </c>
      <c r="N589" s="121">
        <f>IF($C589="","",IF($C589="TANIMSIZ MÜŞTERİ","—",INDEX(MUSTERILER!$C$7:$C$106,MATCH($C589,MUSTERILER!$B$7:$B$106,0))))</f>
        <v/>
      </c>
      <c r="O589" s="6" t="n"/>
      <c r="P589" s="6" t="n"/>
      <c r="Q589" s="3">
        <f>IF($D589="","",$C589&amp;"|"&amp;COUNTIFS($C$7:$C589,$C589))</f>
        <v/>
      </c>
      <c r="R589" s="3">
        <f>IF($D589="","",UPPER(SUBSTITUTE(SUBSTITUTE(SUBSTITUTE(SUBSTITUTE(SUBSTITUTE(SUBSTITUTE(SUBSTITUTE(SUBSTITUTE(SUBSTITUTE(SUBSTITUTE(SUBSTITUTE(SUBSTITUTE(SUBSTITUTE(SUBSTITUTE(SUBSTITUTE(SUBSTITUTE(SUBSTITUTE(SUBSTITUTE(TRIM($D589),"'",""),"İ","I"),"ı","I"),"i","I"),"Ş","S"),"ş","S"),"Ğ","G"),"ğ","G"),"Ü","U"),"ü","U"),"Ö","O"),"ö","O"),"Ç","C"),"ç","C"),".",""),",","")," ",""),"-","")))</f>
        <v/>
      </c>
      <c r="S589" s="3">
        <f>IF($D589="","",$C589&amp;"|"&amp;TEXT($E589,"0")&amp;"|"&amp;TEXT($F589,"0")&amp;"|"&amp;$I589)</f>
        <v/>
      </c>
      <c r="T589" s="3">
        <f>IF($E589="",0,SUMPRODUCT((AY_SONU!$O$7:$O$42="Evet")*(AY_SONU!$B$7:$B$42=DATE(YEAR($E589),MONTH($E589),1))))</f>
        <v/>
      </c>
    </row>
    <row r="590">
      <c r="A590" s="6" t="n"/>
      <c r="B590" s="113">
        <f>IF($D590="","","T"&amp;TEXT(ROW()-6,"00000"))</f>
        <v/>
      </c>
      <c r="C590" s="113">
        <f>IF($D590="","",IFERROR(INDEX(MUSTERILER!$B$7:$B$106,MATCH($R590,MUSTERILER!$T$7:$T$106,0)),IFERROR(INDEX(MUSTERILER!$B$7:$B$106,MATCH($D590,MUSTERILER!$B$7:$B$106,0)),IFERROR(INDEX(MUSTERILER!$B$7:$B$106,MATCH($R590&amp;"*",MUSTERILER!$T$7:$T$106,0)),"TANIMSIZ MÜŞTERİ"))))</f>
        <v/>
      </c>
      <c r="D590" s="109" t="n"/>
      <c r="E590" s="220" t="n"/>
      <c r="F590" s="221" t="n"/>
      <c r="G590" s="108" t="n"/>
      <c r="H590" s="108" t="n"/>
      <c r="I590" s="109" t="n"/>
      <c r="J590" s="109" t="n"/>
      <c r="K590" s="109" t="n"/>
      <c r="L590" s="226">
        <f>IF($E590="","",DATE(YEAR($E590),MONTH($E590),1))</f>
        <v/>
      </c>
      <c r="M590" s="113">
        <f>IF($D590="","",IF($C590="TANIMSIZ MÜŞTERİ","HATA",IF(OR($E590="",$F590&lt;=0,$G590=""),"EKSİK",IF($E590&gt;TODAY(),"İLERİ TARİH",IF(COUNTIF($S$7:$S$1506,$S590)&gt;1,"MÜKERRER?",IF($T590&gt;0,"KAPALI DÖNEM","UYGUN"))))))</f>
        <v/>
      </c>
      <c r="N590" s="121">
        <f>IF($C590="","",IF($C590="TANIMSIZ MÜŞTERİ","—",INDEX(MUSTERILER!$C$7:$C$106,MATCH($C590,MUSTERILER!$B$7:$B$106,0))))</f>
        <v/>
      </c>
      <c r="O590" s="6" t="n"/>
      <c r="P590" s="6" t="n"/>
      <c r="Q590" s="3">
        <f>IF($D590="","",$C590&amp;"|"&amp;COUNTIFS($C$7:$C590,$C590))</f>
        <v/>
      </c>
      <c r="R590" s="3">
        <f>IF($D590="","",UPPER(SUBSTITUTE(SUBSTITUTE(SUBSTITUTE(SUBSTITUTE(SUBSTITUTE(SUBSTITUTE(SUBSTITUTE(SUBSTITUTE(SUBSTITUTE(SUBSTITUTE(SUBSTITUTE(SUBSTITUTE(SUBSTITUTE(SUBSTITUTE(SUBSTITUTE(SUBSTITUTE(SUBSTITUTE(SUBSTITUTE(TRIM($D590),"'",""),"İ","I"),"ı","I"),"i","I"),"Ş","S"),"ş","S"),"Ğ","G"),"ğ","G"),"Ü","U"),"ü","U"),"Ö","O"),"ö","O"),"Ç","C"),"ç","C"),".",""),",","")," ",""),"-","")))</f>
        <v/>
      </c>
      <c r="S590" s="3">
        <f>IF($D590="","",$C590&amp;"|"&amp;TEXT($E590,"0")&amp;"|"&amp;TEXT($F590,"0")&amp;"|"&amp;$I590)</f>
        <v/>
      </c>
      <c r="T590" s="3">
        <f>IF($E590="",0,SUMPRODUCT((AY_SONU!$O$7:$O$42="Evet")*(AY_SONU!$B$7:$B$42=DATE(YEAR($E590),MONTH($E590),1))))</f>
        <v/>
      </c>
    </row>
    <row r="591">
      <c r="A591" s="6" t="n"/>
      <c r="B591" s="113">
        <f>IF($D591="","","T"&amp;TEXT(ROW()-6,"00000"))</f>
        <v/>
      </c>
      <c r="C591" s="113">
        <f>IF($D591="","",IFERROR(INDEX(MUSTERILER!$B$7:$B$106,MATCH($R591,MUSTERILER!$T$7:$T$106,0)),IFERROR(INDEX(MUSTERILER!$B$7:$B$106,MATCH($D591,MUSTERILER!$B$7:$B$106,0)),IFERROR(INDEX(MUSTERILER!$B$7:$B$106,MATCH($R591&amp;"*",MUSTERILER!$T$7:$T$106,0)),"TANIMSIZ MÜŞTERİ"))))</f>
        <v/>
      </c>
      <c r="D591" s="109" t="n"/>
      <c r="E591" s="220" t="n"/>
      <c r="F591" s="221" t="n"/>
      <c r="G591" s="108" t="n"/>
      <c r="H591" s="108" t="n"/>
      <c r="I591" s="109" t="n"/>
      <c r="J591" s="109" t="n"/>
      <c r="K591" s="109" t="n"/>
      <c r="L591" s="226">
        <f>IF($E591="","",DATE(YEAR($E591),MONTH($E591),1))</f>
        <v/>
      </c>
      <c r="M591" s="113">
        <f>IF($D591="","",IF($C591="TANIMSIZ MÜŞTERİ","HATA",IF(OR($E591="",$F591&lt;=0,$G591=""),"EKSİK",IF($E591&gt;TODAY(),"İLERİ TARİH",IF(COUNTIF($S$7:$S$1506,$S591)&gt;1,"MÜKERRER?",IF($T591&gt;0,"KAPALI DÖNEM","UYGUN"))))))</f>
        <v/>
      </c>
      <c r="N591" s="121">
        <f>IF($C591="","",IF($C591="TANIMSIZ MÜŞTERİ","—",INDEX(MUSTERILER!$C$7:$C$106,MATCH($C591,MUSTERILER!$B$7:$B$106,0))))</f>
        <v/>
      </c>
      <c r="O591" s="6" t="n"/>
      <c r="P591" s="6" t="n"/>
      <c r="Q591" s="3">
        <f>IF($D591="","",$C591&amp;"|"&amp;COUNTIFS($C$7:$C591,$C591))</f>
        <v/>
      </c>
      <c r="R591" s="3">
        <f>IF($D591="","",UPPER(SUBSTITUTE(SUBSTITUTE(SUBSTITUTE(SUBSTITUTE(SUBSTITUTE(SUBSTITUTE(SUBSTITUTE(SUBSTITUTE(SUBSTITUTE(SUBSTITUTE(SUBSTITUTE(SUBSTITUTE(SUBSTITUTE(SUBSTITUTE(SUBSTITUTE(SUBSTITUTE(SUBSTITUTE(SUBSTITUTE(TRIM($D591),"'",""),"İ","I"),"ı","I"),"i","I"),"Ş","S"),"ş","S"),"Ğ","G"),"ğ","G"),"Ü","U"),"ü","U"),"Ö","O"),"ö","O"),"Ç","C"),"ç","C"),".",""),",","")," ",""),"-","")))</f>
        <v/>
      </c>
      <c r="S591" s="3">
        <f>IF($D591="","",$C591&amp;"|"&amp;TEXT($E591,"0")&amp;"|"&amp;TEXT($F591,"0")&amp;"|"&amp;$I591)</f>
        <v/>
      </c>
      <c r="T591" s="3">
        <f>IF($E591="",0,SUMPRODUCT((AY_SONU!$O$7:$O$42="Evet")*(AY_SONU!$B$7:$B$42=DATE(YEAR($E591),MONTH($E591),1))))</f>
        <v/>
      </c>
    </row>
    <row r="592">
      <c r="A592" s="6" t="n"/>
      <c r="B592" s="113">
        <f>IF($D592="","","T"&amp;TEXT(ROW()-6,"00000"))</f>
        <v/>
      </c>
      <c r="C592" s="113">
        <f>IF($D592="","",IFERROR(INDEX(MUSTERILER!$B$7:$B$106,MATCH($R592,MUSTERILER!$T$7:$T$106,0)),IFERROR(INDEX(MUSTERILER!$B$7:$B$106,MATCH($D592,MUSTERILER!$B$7:$B$106,0)),IFERROR(INDEX(MUSTERILER!$B$7:$B$106,MATCH($R592&amp;"*",MUSTERILER!$T$7:$T$106,0)),"TANIMSIZ MÜŞTERİ"))))</f>
        <v/>
      </c>
      <c r="D592" s="109" t="n"/>
      <c r="E592" s="220" t="n"/>
      <c r="F592" s="221" t="n"/>
      <c r="G592" s="108" t="n"/>
      <c r="H592" s="108" t="n"/>
      <c r="I592" s="109" t="n"/>
      <c r="J592" s="109" t="n"/>
      <c r="K592" s="109" t="n"/>
      <c r="L592" s="226">
        <f>IF($E592="","",DATE(YEAR($E592),MONTH($E592),1))</f>
        <v/>
      </c>
      <c r="M592" s="113">
        <f>IF($D592="","",IF($C592="TANIMSIZ MÜŞTERİ","HATA",IF(OR($E592="",$F592&lt;=0,$G592=""),"EKSİK",IF($E592&gt;TODAY(),"İLERİ TARİH",IF(COUNTIF($S$7:$S$1506,$S592)&gt;1,"MÜKERRER?",IF($T592&gt;0,"KAPALI DÖNEM","UYGUN"))))))</f>
        <v/>
      </c>
      <c r="N592" s="121">
        <f>IF($C592="","",IF($C592="TANIMSIZ MÜŞTERİ","—",INDEX(MUSTERILER!$C$7:$C$106,MATCH($C592,MUSTERILER!$B$7:$B$106,0))))</f>
        <v/>
      </c>
      <c r="O592" s="6" t="n"/>
      <c r="P592" s="6" t="n"/>
      <c r="Q592" s="3">
        <f>IF($D592="","",$C592&amp;"|"&amp;COUNTIFS($C$7:$C592,$C592))</f>
        <v/>
      </c>
      <c r="R592" s="3">
        <f>IF($D592="","",UPPER(SUBSTITUTE(SUBSTITUTE(SUBSTITUTE(SUBSTITUTE(SUBSTITUTE(SUBSTITUTE(SUBSTITUTE(SUBSTITUTE(SUBSTITUTE(SUBSTITUTE(SUBSTITUTE(SUBSTITUTE(SUBSTITUTE(SUBSTITUTE(SUBSTITUTE(SUBSTITUTE(SUBSTITUTE(SUBSTITUTE(TRIM($D592),"'",""),"İ","I"),"ı","I"),"i","I"),"Ş","S"),"ş","S"),"Ğ","G"),"ğ","G"),"Ü","U"),"ü","U"),"Ö","O"),"ö","O"),"Ç","C"),"ç","C"),".",""),",","")," ",""),"-","")))</f>
        <v/>
      </c>
      <c r="S592" s="3">
        <f>IF($D592="","",$C592&amp;"|"&amp;TEXT($E592,"0")&amp;"|"&amp;TEXT($F592,"0")&amp;"|"&amp;$I592)</f>
        <v/>
      </c>
      <c r="T592" s="3">
        <f>IF($E592="",0,SUMPRODUCT((AY_SONU!$O$7:$O$42="Evet")*(AY_SONU!$B$7:$B$42=DATE(YEAR($E592),MONTH($E592),1))))</f>
        <v/>
      </c>
    </row>
    <row r="593">
      <c r="A593" s="6" t="n"/>
      <c r="B593" s="113">
        <f>IF($D593="","","T"&amp;TEXT(ROW()-6,"00000"))</f>
        <v/>
      </c>
      <c r="C593" s="113">
        <f>IF($D593="","",IFERROR(INDEX(MUSTERILER!$B$7:$B$106,MATCH($R593,MUSTERILER!$T$7:$T$106,0)),IFERROR(INDEX(MUSTERILER!$B$7:$B$106,MATCH($D593,MUSTERILER!$B$7:$B$106,0)),IFERROR(INDEX(MUSTERILER!$B$7:$B$106,MATCH($R593&amp;"*",MUSTERILER!$T$7:$T$106,0)),"TANIMSIZ MÜŞTERİ"))))</f>
        <v/>
      </c>
      <c r="D593" s="109" t="n"/>
      <c r="E593" s="220" t="n"/>
      <c r="F593" s="221" t="n"/>
      <c r="G593" s="108" t="n"/>
      <c r="H593" s="108" t="n"/>
      <c r="I593" s="109" t="n"/>
      <c r="J593" s="109" t="n"/>
      <c r="K593" s="109" t="n"/>
      <c r="L593" s="226">
        <f>IF($E593="","",DATE(YEAR($E593),MONTH($E593),1))</f>
        <v/>
      </c>
      <c r="M593" s="113">
        <f>IF($D593="","",IF($C593="TANIMSIZ MÜŞTERİ","HATA",IF(OR($E593="",$F593&lt;=0,$G593=""),"EKSİK",IF($E593&gt;TODAY(),"İLERİ TARİH",IF(COUNTIF($S$7:$S$1506,$S593)&gt;1,"MÜKERRER?",IF($T593&gt;0,"KAPALI DÖNEM","UYGUN"))))))</f>
        <v/>
      </c>
      <c r="N593" s="121">
        <f>IF($C593="","",IF($C593="TANIMSIZ MÜŞTERİ","—",INDEX(MUSTERILER!$C$7:$C$106,MATCH($C593,MUSTERILER!$B$7:$B$106,0))))</f>
        <v/>
      </c>
      <c r="O593" s="6" t="n"/>
      <c r="P593" s="6" t="n"/>
      <c r="Q593" s="3">
        <f>IF($D593="","",$C593&amp;"|"&amp;COUNTIFS($C$7:$C593,$C593))</f>
        <v/>
      </c>
      <c r="R593" s="3">
        <f>IF($D593="","",UPPER(SUBSTITUTE(SUBSTITUTE(SUBSTITUTE(SUBSTITUTE(SUBSTITUTE(SUBSTITUTE(SUBSTITUTE(SUBSTITUTE(SUBSTITUTE(SUBSTITUTE(SUBSTITUTE(SUBSTITUTE(SUBSTITUTE(SUBSTITUTE(SUBSTITUTE(SUBSTITUTE(SUBSTITUTE(SUBSTITUTE(TRIM($D593),"'",""),"İ","I"),"ı","I"),"i","I"),"Ş","S"),"ş","S"),"Ğ","G"),"ğ","G"),"Ü","U"),"ü","U"),"Ö","O"),"ö","O"),"Ç","C"),"ç","C"),".",""),",","")," ",""),"-","")))</f>
        <v/>
      </c>
      <c r="S593" s="3">
        <f>IF($D593="","",$C593&amp;"|"&amp;TEXT($E593,"0")&amp;"|"&amp;TEXT($F593,"0")&amp;"|"&amp;$I593)</f>
        <v/>
      </c>
      <c r="T593" s="3">
        <f>IF($E593="",0,SUMPRODUCT((AY_SONU!$O$7:$O$42="Evet")*(AY_SONU!$B$7:$B$42=DATE(YEAR($E593),MONTH($E593),1))))</f>
        <v/>
      </c>
    </row>
    <row r="594">
      <c r="A594" s="6" t="n"/>
      <c r="B594" s="113">
        <f>IF($D594="","","T"&amp;TEXT(ROW()-6,"00000"))</f>
        <v/>
      </c>
      <c r="C594" s="113">
        <f>IF($D594="","",IFERROR(INDEX(MUSTERILER!$B$7:$B$106,MATCH($R594,MUSTERILER!$T$7:$T$106,0)),IFERROR(INDEX(MUSTERILER!$B$7:$B$106,MATCH($D594,MUSTERILER!$B$7:$B$106,0)),IFERROR(INDEX(MUSTERILER!$B$7:$B$106,MATCH($R594&amp;"*",MUSTERILER!$T$7:$T$106,0)),"TANIMSIZ MÜŞTERİ"))))</f>
        <v/>
      </c>
      <c r="D594" s="109" t="n"/>
      <c r="E594" s="220" t="n"/>
      <c r="F594" s="221" t="n"/>
      <c r="G594" s="108" t="n"/>
      <c r="H594" s="108" t="n"/>
      <c r="I594" s="109" t="n"/>
      <c r="J594" s="109" t="n"/>
      <c r="K594" s="109" t="n"/>
      <c r="L594" s="226">
        <f>IF($E594="","",DATE(YEAR($E594),MONTH($E594),1))</f>
        <v/>
      </c>
      <c r="M594" s="113">
        <f>IF($D594="","",IF($C594="TANIMSIZ MÜŞTERİ","HATA",IF(OR($E594="",$F594&lt;=0,$G594=""),"EKSİK",IF($E594&gt;TODAY(),"İLERİ TARİH",IF(COUNTIF($S$7:$S$1506,$S594)&gt;1,"MÜKERRER?",IF($T594&gt;0,"KAPALI DÖNEM","UYGUN"))))))</f>
        <v/>
      </c>
      <c r="N594" s="121">
        <f>IF($C594="","",IF($C594="TANIMSIZ MÜŞTERİ","—",INDEX(MUSTERILER!$C$7:$C$106,MATCH($C594,MUSTERILER!$B$7:$B$106,0))))</f>
        <v/>
      </c>
      <c r="O594" s="6" t="n"/>
      <c r="P594" s="6" t="n"/>
      <c r="Q594" s="3">
        <f>IF($D594="","",$C594&amp;"|"&amp;COUNTIFS($C$7:$C594,$C594))</f>
        <v/>
      </c>
      <c r="R594" s="3">
        <f>IF($D594="","",UPPER(SUBSTITUTE(SUBSTITUTE(SUBSTITUTE(SUBSTITUTE(SUBSTITUTE(SUBSTITUTE(SUBSTITUTE(SUBSTITUTE(SUBSTITUTE(SUBSTITUTE(SUBSTITUTE(SUBSTITUTE(SUBSTITUTE(SUBSTITUTE(SUBSTITUTE(SUBSTITUTE(SUBSTITUTE(SUBSTITUTE(TRIM($D594),"'",""),"İ","I"),"ı","I"),"i","I"),"Ş","S"),"ş","S"),"Ğ","G"),"ğ","G"),"Ü","U"),"ü","U"),"Ö","O"),"ö","O"),"Ç","C"),"ç","C"),".",""),",","")," ",""),"-","")))</f>
        <v/>
      </c>
      <c r="S594" s="3">
        <f>IF($D594="","",$C594&amp;"|"&amp;TEXT($E594,"0")&amp;"|"&amp;TEXT($F594,"0")&amp;"|"&amp;$I594)</f>
        <v/>
      </c>
      <c r="T594" s="3">
        <f>IF($E594="",0,SUMPRODUCT((AY_SONU!$O$7:$O$42="Evet")*(AY_SONU!$B$7:$B$42=DATE(YEAR($E594),MONTH($E594),1))))</f>
        <v/>
      </c>
    </row>
    <row r="595">
      <c r="A595" s="6" t="n"/>
      <c r="B595" s="113">
        <f>IF($D595="","","T"&amp;TEXT(ROW()-6,"00000"))</f>
        <v/>
      </c>
      <c r="C595" s="113">
        <f>IF($D595="","",IFERROR(INDEX(MUSTERILER!$B$7:$B$106,MATCH($R595,MUSTERILER!$T$7:$T$106,0)),IFERROR(INDEX(MUSTERILER!$B$7:$B$106,MATCH($D595,MUSTERILER!$B$7:$B$106,0)),IFERROR(INDEX(MUSTERILER!$B$7:$B$106,MATCH($R595&amp;"*",MUSTERILER!$T$7:$T$106,0)),"TANIMSIZ MÜŞTERİ"))))</f>
        <v/>
      </c>
      <c r="D595" s="109" t="n"/>
      <c r="E595" s="220" t="n"/>
      <c r="F595" s="221" t="n"/>
      <c r="G595" s="108" t="n"/>
      <c r="H595" s="108" t="n"/>
      <c r="I595" s="109" t="n"/>
      <c r="J595" s="109" t="n"/>
      <c r="K595" s="109" t="n"/>
      <c r="L595" s="226">
        <f>IF($E595="","",DATE(YEAR($E595),MONTH($E595),1))</f>
        <v/>
      </c>
      <c r="M595" s="113">
        <f>IF($D595="","",IF($C595="TANIMSIZ MÜŞTERİ","HATA",IF(OR($E595="",$F595&lt;=0,$G595=""),"EKSİK",IF($E595&gt;TODAY(),"İLERİ TARİH",IF(COUNTIF($S$7:$S$1506,$S595)&gt;1,"MÜKERRER?",IF($T595&gt;0,"KAPALI DÖNEM","UYGUN"))))))</f>
        <v/>
      </c>
      <c r="N595" s="121">
        <f>IF($C595="","",IF($C595="TANIMSIZ MÜŞTERİ","—",INDEX(MUSTERILER!$C$7:$C$106,MATCH($C595,MUSTERILER!$B$7:$B$106,0))))</f>
        <v/>
      </c>
      <c r="O595" s="6" t="n"/>
      <c r="P595" s="6" t="n"/>
      <c r="Q595" s="3">
        <f>IF($D595="","",$C595&amp;"|"&amp;COUNTIFS($C$7:$C595,$C595))</f>
        <v/>
      </c>
      <c r="R595" s="3">
        <f>IF($D595="","",UPPER(SUBSTITUTE(SUBSTITUTE(SUBSTITUTE(SUBSTITUTE(SUBSTITUTE(SUBSTITUTE(SUBSTITUTE(SUBSTITUTE(SUBSTITUTE(SUBSTITUTE(SUBSTITUTE(SUBSTITUTE(SUBSTITUTE(SUBSTITUTE(SUBSTITUTE(SUBSTITUTE(SUBSTITUTE(SUBSTITUTE(TRIM($D595),"'",""),"İ","I"),"ı","I"),"i","I"),"Ş","S"),"ş","S"),"Ğ","G"),"ğ","G"),"Ü","U"),"ü","U"),"Ö","O"),"ö","O"),"Ç","C"),"ç","C"),".",""),",","")," ",""),"-","")))</f>
        <v/>
      </c>
      <c r="S595" s="3">
        <f>IF($D595="","",$C595&amp;"|"&amp;TEXT($E595,"0")&amp;"|"&amp;TEXT($F595,"0")&amp;"|"&amp;$I595)</f>
        <v/>
      </c>
      <c r="T595" s="3">
        <f>IF($E595="",0,SUMPRODUCT((AY_SONU!$O$7:$O$42="Evet")*(AY_SONU!$B$7:$B$42=DATE(YEAR($E595),MONTH($E595),1))))</f>
        <v/>
      </c>
    </row>
    <row r="596">
      <c r="A596" s="6" t="n"/>
      <c r="B596" s="113">
        <f>IF($D596="","","T"&amp;TEXT(ROW()-6,"00000"))</f>
        <v/>
      </c>
      <c r="C596" s="113">
        <f>IF($D596="","",IFERROR(INDEX(MUSTERILER!$B$7:$B$106,MATCH($R596,MUSTERILER!$T$7:$T$106,0)),IFERROR(INDEX(MUSTERILER!$B$7:$B$106,MATCH($D596,MUSTERILER!$B$7:$B$106,0)),IFERROR(INDEX(MUSTERILER!$B$7:$B$106,MATCH($R596&amp;"*",MUSTERILER!$T$7:$T$106,0)),"TANIMSIZ MÜŞTERİ"))))</f>
        <v/>
      </c>
      <c r="D596" s="109" t="n"/>
      <c r="E596" s="220" t="n"/>
      <c r="F596" s="221" t="n"/>
      <c r="G596" s="108" t="n"/>
      <c r="H596" s="108" t="n"/>
      <c r="I596" s="109" t="n"/>
      <c r="J596" s="109" t="n"/>
      <c r="K596" s="109" t="n"/>
      <c r="L596" s="226">
        <f>IF($E596="","",DATE(YEAR($E596),MONTH($E596),1))</f>
        <v/>
      </c>
      <c r="M596" s="113">
        <f>IF($D596="","",IF($C596="TANIMSIZ MÜŞTERİ","HATA",IF(OR($E596="",$F596&lt;=0,$G596=""),"EKSİK",IF($E596&gt;TODAY(),"İLERİ TARİH",IF(COUNTIF($S$7:$S$1506,$S596)&gt;1,"MÜKERRER?",IF($T596&gt;0,"KAPALI DÖNEM","UYGUN"))))))</f>
        <v/>
      </c>
      <c r="N596" s="121">
        <f>IF($C596="","",IF($C596="TANIMSIZ MÜŞTERİ","—",INDEX(MUSTERILER!$C$7:$C$106,MATCH($C596,MUSTERILER!$B$7:$B$106,0))))</f>
        <v/>
      </c>
      <c r="O596" s="6" t="n"/>
      <c r="P596" s="6" t="n"/>
      <c r="Q596" s="3">
        <f>IF($D596="","",$C596&amp;"|"&amp;COUNTIFS($C$7:$C596,$C596))</f>
        <v/>
      </c>
      <c r="R596" s="3">
        <f>IF($D596="","",UPPER(SUBSTITUTE(SUBSTITUTE(SUBSTITUTE(SUBSTITUTE(SUBSTITUTE(SUBSTITUTE(SUBSTITUTE(SUBSTITUTE(SUBSTITUTE(SUBSTITUTE(SUBSTITUTE(SUBSTITUTE(SUBSTITUTE(SUBSTITUTE(SUBSTITUTE(SUBSTITUTE(SUBSTITUTE(SUBSTITUTE(TRIM($D596),"'",""),"İ","I"),"ı","I"),"i","I"),"Ş","S"),"ş","S"),"Ğ","G"),"ğ","G"),"Ü","U"),"ü","U"),"Ö","O"),"ö","O"),"Ç","C"),"ç","C"),".",""),",","")," ",""),"-","")))</f>
        <v/>
      </c>
      <c r="S596" s="3">
        <f>IF($D596="","",$C596&amp;"|"&amp;TEXT($E596,"0")&amp;"|"&amp;TEXT($F596,"0")&amp;"|"&amp;$I596)</f>
        <v/>
      </c>
      <c r="T596" s="3">
        <f>IF($E596="",0,SUMPRODUCT((AY_SONU!$O$7:$O$42="Evet")*(AY_SONU!$B$7:$B$42=DATE(YEAR($E596),MONTH($E596),1))))</f>
        <v/>
      </c>
    </row>
    <row r="597">
      <c r="A597" s="6" t="n"/>
      <c r="B597" s="113">
        <f>IF($D597="","","T"&amp;TEXT(ROW()-6,"00000"))</f>
        <v/>
      </c>
      <c r="C597" s="113">
        <f>IF($D597="","",IFERROR(INDEX(MUSTERILER!$B$7:$B$106,MATCH($R597,MUSTERILER!$T$7:$T$106,0)),IFERROR(INDEX(MUSTERILER!$B$7:$B$106,MATCH($D597,MUSTERILER!$B$7:$B$106,0)),IFERROR(INDEX(MUSTERILER!$B$7:$B$106,MATCH($R597&amp;"*",MUSTERILER!$T$7:$T$106,0)),"TANIMSIZ MÜŞTERİ"))))</f>
        <v/>
      </c>
      <c r="D597" s="109" t="n"/>
      <c r="E597" s="220" t="n"/>
      <c r="F597" s="221" t="n"/>
      <c r="G597" s="108" t="n"/>
      <c r="H597" s="108" t="n"/>
      <c r="I597" s="109" t="n"/>
      <c r="J597" s="109" t="n"/>
      <c r="K597" s="109" t="n"/>
      <c r="L597" s="226">
        <f>IF($E597="","",DATE(YEAR($E597),MONTH($E597),1))</f>
        <v/>
      </c>
      <c r="M597" s="113">
        <f>IF($D597="","",IF($C597="TANIMSIZ MÜŞTERİ","HATA",IF(OR($E597="",$F597&lt;=0,$G597=""),"EKSİK",IF($E597&gt;TODAY(),"İLERİ TARİH",IF(COUNTIF($S$7:$S$1506,$S597)&gt;1,"MÜKERRER?",IF($T597&gt;0,"KAPALI DÖNEM","UYGUN"))))))</f>
        <v/>
      </c>
      <c r="N597" s="121">
        <f>IF($C597="","",IF($C597="TANIMSIZ MÜŞTERİ","—",INDEX(MUSTERILER!$C$7:$C$106,MATCH($C597,MUSTERILER!$B$7:$B$106,0))))</f>
        <v/>
      </c>
      <c r="O597" s="6" t="n"/>
      <c r="P597" s="6" t="n"/>
      <c r="Q597" s="3">
        <f>IF($D597="","",$C597&amp;"|"&amp;COUNTIFS($C$7:$C597,$C597))</f>
        <v/>
      </c>
      <c r="R597" s="3">
        <f>IF($D597="","",UPPER(SUBSTITUTE(SUBSTITUTE(SUBSTITUTE(SUBSTITUTE(SUBSTITUTE(SUBSTITUTE(SUBSTITUTE(SUBSTITUTE(SUBSTITUTE(SUBSTITUTE(SUBSTITUTE(SUBSTITUTE(SUBSTITUTE(SUBSTITUTE(SUBSTITUTE(SUBSTITUTE(SUBSTITUTE(SUBSTITUTE(TRIM($D597),"'",""),"İ","I"),"ı","I"),"i","I"),"Ş","S"),"ş","S"),"Ğ","G"),"ğ","G"),"Ü","U"),"ü","U"),"Ö","O"),"ö","O"),"Ç","C"),"ç","C"),".",""),",","")," ",""),"-","")))</f>
        <v/>
      </c>
      <c r="S597" s="3">
        <f>IF($D597="","",$C597&amp;"|"&amp;TEXT($E597,"0")&amp;"|"&amp;TEXT($F597,"0")&amp;"|"&amp;$I597)</f>
        <v/>
      </c>
      <c r="T597" s="3">
        <f>IF($E597="",0,SUMPRODUCT((AY_SONU!$O$7:$O$42="Evet")*(AY_SONU!$B$7:$B$42=DATE(YEAR($E597),MONTH($E597),1))))</f>
        <v/>
      </c>
    </row>
    <row r="598">
      <c r="A598" s="6" t="n"/>
      <c r="B598" s="113">
        <f>IF($D598="","","T"&amp;TEXT(ROW()-6,"00000"))</f>
        <v/>
      </c>
      <c r="C598" s="113">
        <f>IF($D598="","",IFERROR(INDEX(MUSTERILER!$B$7:$B$106,MATCH($R598,MUSTERILER!$T$7:$T$106,0)),IFERROR(INDEX(MUSTERILER!$B$7:$B$106,MATCH($D598,MUSTERILER!$B$7:$B$106,0)),IFERROR(INDEX(MUSTERILER!$B$7:$B$106,MATCH($R598&amp;"*",MUSTERILER!$T$7:$T$106,0)),"TANIMSIZ MÜŞTERİ"))))</f>
        <v/>
      </c>
      <c r="D598" s="109" t="n"/>
      <c r="E598" s="220" t="n"/>
      <c r="F598" s="221" t="n"/>
      <c r="G598" s="108" t="n"/>
      <c r="H598" s="108" t="n"/>
      <c r="I598" s="109" t="n"/>
      <c r="J598" s="109" t="n"/>
      <c r="K598" s="109" t="n"/>
      <c r="L598" s="226">
        <f>IF($E598="","",DATE(YEAR($E598),MONTH($E598),1))</f>
        <v/>
      </c>
      <c r="M598" s="113">
        <f>IF($D598="","",IF($C598="TANIMSIZ MÜŞTERİ","HATA",IF(OR($E598="",$F598&lt;=0,$G598=""),"EKSİK",IF($E598&gt;TODAY(),"İLERİ TARİH",IF(COUNTIF($S$7:$S$1506,$S598)&gt;1,"MÜKERRER?",IF($T598&gt;0,"KAPALI DÖNEM","UYGUN"))))))</f>
        <v/>
      </c>
      <c r="N598" s="121">
        <f>IF($C598="","",IF($C598="TANIMSIZ MÜŞTERİ","—",INDEX(MUSTERILER!$C$7:$C$106,MATCH($C598,MUSTERILER!$B$7:$B$106,0))))</f>
        <v/>
      </c>
      <c r="O598" s="6" t="n"/>
      <c r="P598" s="6" t="n"/>
      <c r="Q598" s="3">
        <f>IF($D598="","",$C598&amp;"|"&amp;COUNTIFS($C$7:$C598,$C598))</f>
        <v/>
      </c>
      <c r="R598" s="3">
        <f>IF($D598="","",UPPER(SUBSTITUTE(SUBSTITUTE(SUBSTITUTE(SUBSTITUTE(SUBSTITUTE(SUBSTITUTE(SUBSTITUTE(SUBSTITUTE(SUBSTITUTE(SUBSTITUTE(SUBSTITUTE(SUBSTITUTE(SUBSTITUTE(SUBSTITUTE(SUBSTITUTE(SUBSTITUTE(SUBSTITUTE(SUBSTITUTE(TRIM($D598),"'",""),"İ","I"),"ı","I"),"i","I"),"Ş","S"),"ş","S"),"Ğ","G"),"ğ","G"),"Ü","U"),"ü","U"),"Ö","O"),"ö","O"),"Ç","C"),"ç","C"),".",""),",","")," ",""),"-","")))</f>
        <v/>
      </c>
      <c r="S598" s="3">
        <f>IF($D598="","",$C598&amp;"|"&amp;TEXT($E598,"0")&amp;"|"&amp;TEXT($F598,"0")&amp;"|"&amp;$I598)</f>
        <v/>
      </c>
      <c r="T598" s="3">
        <f>IF($E598="",0,SUMPRODUCT((AY_SONU!$O$7:$O$42="Evet")*(AY_SONU!$B$7:$B$42=DATE(YEAR($E598),MONTH($E598),1))))</f>
        <v/>
      </c>
    </row>
    <row r="599">
      <c r="A599" s="6" t="n"/>
      <c r="B599" s="113">
        <f>IF($D599="","","T"&amp;TEXT(ROW()-6,"00000"))</f>
        <v/>
      </c>
      <c r="C599" s="113">
        <f>IF($D599="","",IFERROR(INDEX(MUSTERILER!$B$7:$B$106,MATCH($R599,MUSTERILER!$T$7:$T$106,0)),IFERROR(INDEX(MUSTERILER!$B$7:$B$106,MATCH($D599,MUSTERILER!$B$7:$B$106,0)),IFERROR(INDEX(MUSTERILER!$B$7:$B$106,MATCH($R599&amp;"*",MUSTERILER!$T$7:$T$106,0)),"TANIMSIZ MÜŞTERİ"))))</f>
        <v/>
      </c>
      <c r="D599" s="109" t="n"/>
      <c r="E599" s="220" t="n"/>
      <c r="F599" s="221" t="n"/>
      <c r="G599" s="108" t="n"/>
      <c r="H599" s="108" t="n"/>
      <c r="I599" s="109" t="n"/>
      <c r="J599" s="109" t="n"/>
      <c r="K599" s="109" t="n"/>
      <c r="L599" s="226">
        <f>IF($E599="","",DATE(YEAR($E599),MONTH($E599),1))</f>
        <v/>
      </c>
      <c r="M599" s="113">
        <f>IF($D599="","",IF($C599="TANIMSIZ MÜŞTERİ","HATA",IF(OR($E599="",$F599&lt;=0,$G599=""),"EKSİK",IF($E599&gt;TODAY(),"İLERİ TARİH",IF(COUNTIF($S$7:$S$1506,$S599)&gt;1,"MÜKERRER?",IF($T599&gt;0,"KAPALI DÖNEM","UYGUN"))))))</f>
        <v/>
      </c>
      <c r="N599" s="121">
        <f>IF($C599="","",IF($C599="TANIMSIZ MÜŞTERİ","—",INDEX(MUSTERILER!$C$7:$C$106,MATCH($C599,MUSTERILER!$B$7:$B$106,0))))</f>
        <v/>
      </c>
      <c r="O599" s="6" t="n"/>
      <c r="P599" s="6" t="n"/>
      <c r="Q599" s="3">
        <f>IF($D599="","",$C599&amp;"|"&amp;COUNTIFS($C$7:$C599,$C599))</f>
        <v/>
      </c>
      <c r="R599" s="3">
        <f>IF($D599="","",UPPER(SUBSTITUTE(SUBSTITUTE(SUBSTITUTE(SUBSTITUTE(SUBSTITUTE(SUBSTITUTE(SUBSTITUTE(SUBSTITUTE(SUBSTITUTE(SUBSTITUTE(SUBSTITUTE(SUBSTITUTE(SUBSTITUTE(SUBSTITUTE(SUBSTITUTE(SUBSTITUTE(SUBSTITUTE(SUBSTITUTE(TRIM($D599),"'",""),"İ","I"),"ı","I"),"i","I"),"Ş","S"),"ş","S"),"Ğ","G"),"ğ","G"),"Ü","U"),"ü","U"),"Ö","O"),"ö","O"),"Ç","C"),"ç","C"),".",""),",","")," ",""),"-","")))</f>
        <v/>
      </c>
      <c r="S599" s="3">
        <f>IF($D599="","",$C599&amp;"|"&amp;TEXT($E599,"0")&amp;"|"&amp;TEXT($F599,"0")&amp;"|"&amp;$I599)</f>
        <v/>
      </c>
      <c r="T599" s="3">
        <f>IF($E599="",0,SUMPRODUCT((AY_SONU!$O$7:$O$42="Evet")*(AY_SONU!$B$7:$B$42=DATE(YEAR($E599),MONTH($E599),1))))</f>
        <v/>
      </c>
    </row>
    <row r="600">
      <c r="A600" s="6" t="n"/>
      <c r="B600" s="113">
        <f>IF($D600="","","T"&amp;TEXT(ROW()-6,"00000"))</f>
        <v/>
      </c>
      <c r="C600" s="113">
        <f>IF($D600="","",IFERROR(INDEX(MUSTERILER!$B$7:$B$106,MATCH($R600,MUSTERILER!$T$7:$T$106,0)),IFERROR(INDEX(MUSTERILER!$B$7:$B$106,MATCH($D600,MUSTERILER!$B$7:$B$106,0)),IFERROR(INDEX(MUSTERILER!$B$7:$B$106,MATCH($R600&amp;"*",MUSTERILER!$T$7:$T$106,0)),"TANIMSIZ MÜŞTERİ"))))</f>
        <v/>
      </c>
      <c r="D600" s="109" t="n"/>
      <c r="E600" s="220" t="n"/>
      <c r="F600" s="221" t="n"/>
      <c r="G600" s="108" t="n"/>
      <c r="H600" s="108" t="n"/>
      <c r="I600" s="109" t="n"/>
      <c r="J600" s="109" t="n"/>
      <c r="K600" s="109" t="n"/>
      <c r="L600" s="226">
        <f>IF($E600="","",DATE(YEAR($E600),MONTH($E600),1))</f>
        <v/>
      </c>
      <c r="M600" s="113">
        <f>IF($D600="","",IF($C600="TANIMSIZ MÜŞTERİ","HATA",IF(OR($E600="",$F600&lt;=0,$G600=""),"EKSİK",IF($E600&gt;TODAY(),"İLERİ TARİH",IF(COUNTIF($S$7:$S$1506,$S600)&gt;1,"MÜKERRER?",IF($T600&gt;0,"KAPALI DÖNEM","UYGUN"))))))</f>
        <v/>
      </c>
      <c r="N600" s="121">
        <f>IF($C600="","",IF($C600="TANIMSIZ MÜŞTERİ","—",INDEX(MUSTERILER!$C$7:$C$106,MATCH($C600,MUSTERILER!$B$7:$B$106,0))))</f>
        <v/>
      </c>
      <c r="O600" s="6" t="n"/>
      <c r="P600" s="6" t="n"/>
      <c r="Q600" s="3">
        <f>IF($D600="","",$C600&amp;"|"&amp;COUNTIFS($C$7:$C600,$C600))</f>
        <v/>
      </c>
      <c r="R600" s="3">
        <f>IF($D600="","",UPPER(SUBSTITUTE(SUBSTITUTE(SUBSTITUTE(SUBSTITUTE(SUBSTITUTE(SUBSTITUTE(SUBSTITUTE(SUBSTITUTE(SUBSTITUTE(SUBSTITUTE(SUBSTITUTE(SUBSTITUTE(SUBSTITUTE(SUBSTITUTE(SUBSTITUTE(SUBSTITUTE(SUBSTITUTE(SUBSTITUTE(TRIM($D600),"'",""),"İ","I"),"ı","I"),"i","I"),"Ş","S"),"ş","S"),"Ğ","G"),"ğ","G"),"Ü","U"),"ü","U"),"Ö","O"),"ö","O"),"Ç","C"),"ç","C"),".",""),",","")," ",""),"-","")))</f>
        <v/>
      </c>
      <c r="S600" s="3">
        <f>IF($D600="","",$C600&amp;"|"&amp;TEXT($E600,"0")&amp;"|"&amp;TEXT($F600,"0")&amp;"|"&amp;$I600)</f>
        <v/>
      </c>
      <c r="T600" s="3">
        <f>IF($E600="",0,SUMPRODUCT((AY_SONU!$O$7:$O$42="Evet")*(AY_SONU!$B$7:$B$42=DATE(YEAR($E600),MONTH($E600),1))))</f>
        <v/>
      </c>
    </row>
    <row r="601">
      <c r="A601" s="6" t="n"/>
      <c r="B601" s="113">
        <f>IF($D601="","","T"&amp;TEXT(ROW()-6,"00000"))</f>
        <v/>
      </c>
      <c r="C601" s="113">
        <f>IF($D601="","",IFERROR(INDEX(MUSTERILER!$B$7:$B$106,MATCH($R601,MUSTERILER!$T$7:$T$106,0)),IFERROR(INDEX(MUSTERILER!$B$7:$B$106,MATCH($D601,MUSTERILER!$B$7:$B$106,0)),IFERROR(INDEX(MUSTERILER!$B$7:$B$106,MATCH($R601&amp;"*",MUSTERILER!$T$7:$T$106,0)),"TANIMSIZ MÜŞTERİ"))))</f>
        <v/>
      </c>
      <c r="D601" s="109" t="n"/>
      <c r="E601" s="220" t="n"/>
      <c r="F601" s="221" t="n"/>
      <c r="G601" s="108" t="n"/>
      <c r="H601" s="108" t="n"/>
      <c r="I601" s="109" t="n"/>
      <c r="J601" s="109" t="n"/>
      <c r="K601" s="109" t="n"/>
      <c r="L601" s="226">
        <f>IF($E601="","",DATE(YEAR($E601),MONTH($E601),1))</f>
        <v/>
      </c>
      <c r="M601" s="113">
        <f>IF($D601="","",IF($C601="TANIMSIZ MÜŞTERİ","HATA",IF(OR($E601="",$F601&lt;=0,$G601=""),"EKSİK",IF($E601&gt;TODAY(),"İLERİ TARİH",IF(COUNTIF($S$7:$S$1506,$S601)&gt;1,"MÜKERRER?",IF($T601&gt;0,"KAPALI DÖNEM","UYGUN"))))))</f>
        <v/>
      </c>
      <c r="N601" s="121">
        <f>IF($C601="","",IF($C601="TANIMSIZ MÜŞTERİ","—",INDEX(MUSTERILER!$C$7:$C$106,MATCH($C601,MUSTERILER!$B$7:$B$106,0))))</f>
        <v/>
      </c>
      <c r="O601" s="6" t="n"/>
      <c r="P601" s="6" t="n"/>
      <c r="Q601" s="3">
        <f>IF($D601="","",$C601&amp;"|"&amp;COUNTIFS($C$7:$C601,$C601))</f>
        <v/>
      </c>
      <c r="R601" s="3">
        <f>IF($D601="","",UPPER(SUBSTITUTE(SUBSTITUTE(SUBSTITUTE(SUBSTITUTE(SUBSTITUTE(SUBSTITUTE(SUBSTITUTE(SUBSTITUTE(SUBSTITUTE(SUBSTITUTE(SUBSTITUTE(SUBSTITUTE(SUBSTITUTE(SUBSTITUTE(SUBSTITUTE(SUBSTITUTE(SUBSTITUTE(SUBSTITUTE(TRIM($D601),"'",""),"İ","I"),"ı","I"),"i","I"),"Ş","S"),"ş","S"),"Ğ","G"),"ğ","G"),"Ü","U"),"ü","U"),"Ö","O"),"ö","O"),"Ç","C"),"ç","C"),".",""),",","")," ",""),"-","")))</f>
        <v/>
      </c>
      <c r="S601" s="3">
        <f>IF($D601="","",$C601&amp;"|"&amp;TEXT($E601,"0")&amp;"|"&amp;TEXT($F601,"0")&amp;"|"&amp;$I601)</f>
        <v/>
      </c>
      <c r="T601" s="3">
        <f>IF($E601="",0,SUMPRODUCT((AY_SONU!$O$7:$O$42="Evet")*(AY_SONU!$B$7:$B$42=DATE(YEAR($E601),MONTH($E601),1))))</f>
        <v/>
      </c>
    </row>
    <row r="602">
      <c r="A602" s="6" t="n"/>
      <c r="B602" s="113">
        <f>IF($D602="","","T"&amp;TEXT(ROW()-6,"00000"))</f>
        <v/>
      </c>
      <c r="C602" s="113">
        <f>IF($D602="","",IFERROR(INDEX(MUSTERILER!$B$7:$B$106,MATCH($R602,MUSTERILER!$T$7:$T$106,0)),IFERROR(INDEX(MUSTERILER!$B$7:$B$106,MATCH($D602,MUSTERILER!$B$7:$B$106,0)),IFERROR(INDEX(MUSTERILER!$B$7:$B$106,MATCH($R602&amp;"*",MUSTERILER!$T$7:$T$106,0)),"TANIMSIZ MÜŞTERİ"))))</f>
        <v/>
      </c>
      <c r="D602" s="109" t="n"/>
      <c r="E602" s="220" t="n"/>
      <c r="F602" s="221" t="n"/>
      <c r="G602" s="108" t="n"/>
      <c r="H602" s="108" t="n"/>
      <c r="I602" s="109" t="n"/>
      <c r="J602" s="109" t="n"/>
      <c r="K602" s="109" t="n"/>
      <c r="L602" s="226">
        <f>IF($E602="","",DATE(YEAR($E602),MONTH($E602),1))</f>
        <v/>
      </c>
      <c r="M602" s="113">
        <f>IF($D602="","",IF($C602="TANIMSIZ MÜŞTERİ","HATA",IF(OR($E602="",$F602&lt;=0,$G602=""),"EKSİK",IF($E602&gt;TODAY(),"İLERİ TARİH",IF(COUNTIF($S$7:$S$1506,$S602)&gt;1,"MÜKERRER?",IF($T602&gt;0,"KAPALI DÖNEM","UYGUN"))))))</f>
        <v/>
      </c>
      <c r="N602" s="121">
        <f>IF($C602="","",IF($C602="TANIMSIZ MÜŞTERİ","—",INDEX(MUSTERILER!$C$7:$C$106,MATCH($C602,MUSTERILER!$B$7:$B$106,0))))</f>
        <v/>
      </c>
      <c r="O602" s="6" t="n"/>
      <c r="P602" s="6" t="n"/>
      <c r="Q602" s="3">
        <f>IF($D602="","",$C602&amp;"|"&amp;COUNTIFS($C$7:$C602,$C602))</f>
        <v/>
      </c>
      <c r="R602" s="3">
        <f>IF($D602="","",UPPER(SUBSTITUTE(SUBSTITUTE(SUBSTITUTE(SUBSTITUTE(SUBSTITUTE(SUBSTITUTE(SUBSTITUTE(SUBSTITUTE(SUBSTITUTE(SUBSTITUTE(SUBSTITUTE(SUBSTITUTE(SUBSTITUTE(SUBSTITUTE(SUBSTITUTE(SUBSTITUTE(SUBSTITUTE(SUBSTITUTE(TRIM($D602),"'",""),"İ","I"),"ı","I"),"i","I"),"Ş","S"),"ş","S"),"Ğ","G"),"ğ","G"),"Ü","U"),"ü","U"),"Ö","O"),"ö","O"),"Ç","C"),"ç","C"),".",""),",","")," ",""),"-","")))</f>
        <v/>
      </c>
      <c r="S602" s="3">
        <f>IF($D602="","",$C602&amp;"|"&amp;TEXT($E602,"0")&amp;"|"&amp;TEXT($F602,"0")&amp;"|"&amp;$I602)</f>
        <v/>
      </c>
      <c r="T602" s="3">
        <f>IF($E602="",0,SUMPRODUCT((AY_SONU!$O$7:$O$42="Evet")*(AY_SONU!$B$7:$B$42=DATE(YEAR($E602),MONTH($E602),1))))</f>
        <v/>
      </c>
    </row>
    <row r="603">
      <c r="A603" s="6" t="n"/>
      <c r="B603" s="113">
        <f>IF($D603="","","T"&amp;TEXT(ROW()-6,"00000"))</f>
        <v/>
      </c>
      <c r="C603" s="113">
        <f>IF($D603="","",IFERROR(INDEX(MUSTERILER!$B$7:$B$106,MATCH($R603,MUSTERILER!$T$7:$T$106,0)),IFERROR(INDEX(MUSTERILER!$B$7:$B$106,MATCH($D603,MUSTERILER!$B$7:$B$106,0)),IFERROR(INDEX(MUSTERILER!$B$7:$B$106,MATCH($R603&amp;"*",MUSTERILER!$T$7:$T$106,0)),"TANIMSIZ MÜŞTERİ"))))</f>
        <v/>
      </c>
      <c r="D603" s="109" t="n"/>
      <c r="E603" s="220" t="n"/>
      <c r="F603" s="221" t="n"/>
      <c r="G603" s="108" t="n"/>
      <c r="H603" s="108" t="n"/>
      <c r="I603" s="109" t="n"/>
      <c r="J603" s="109" t="n"/>
      <c r="K603" s="109" t="n"/>
      <c r="L603" s="226">
        <f>IF($E603="","",DATE(YEAR($E603),MONTH($E603),1))</f>
        <v/>
      </c>
      <c r="M603" s="113">
        <f>IF($D603="","",IF($C603="TANIMSIZ MÜŞTERİ","HATA",IF(OR($E603="",$F603&lt;=0,$G603=""),"EKSİK",IF($E603&gt;TODAY(),"İLERİ TARİH",IF(COUNTIF($S$7:$S$1506,$S603)&gt;1,"MÜKERRER?",IF($T603&gt;0,"KAPALI DÖNEM","UYGUN"))))))</f>
        <v/>
      </c>
      <c r="N603" s="121">
        <f>IF($C603="","",IF($C603="TANIMSIZ MÜŞTERİ","—",INDEX(MUSTERILER!$C$7:$C$106,MATCH($C603,MUSTERILER!$B$7:$B$106,0))))</f>
        <v/>
      </c>
      <c r="O603" s="6" t="n"/>
      <c r="P603" s="6" t="n"/>
      <c r="Q603" s="3">
        <f>IF($D603="","",$C603&amp;"|"&amp;COUNTIFS($C$7:$C603,$C603))</f>
        <v/>
      </c>
      <c r="R603" s="3">
        <f>IF($D603="","",UPPER(SUBSTITUTE(SUBSTITUTE(SUBSTITUTE(SUBSTITUTE(SUBSTITUTE(SUBSTITUTE(SUBSTITUTE(SUBSTITUTE(SUBSTITUTE(SUBSTITUTE(SUBSTITUTE(SUBSTITUTE(SUBSTITUTE(SUBSTITUTE(SUBSTITUTE(SUBSTITUTE(SUBSTITUTE(SUBSTITUTE(TRIM($D603),"'",""),"İ","I"),"ı","I"),"i","I"),"Ş","S"),"ş","S"),"Ğ","G"),"ğ","G"),"Ü","U"),"ü","U"),"Ö","O"),"ö","O"),"Ç","C"),"ç","C"),".",""),",","")," ",""),"-","")))</f>
        <v/>
      </c>
      <c r="S603" s="3">
        <f>IF($D603="","",$C603&amp;"|"&amp;TEXT($E603,"0")&amp;"|"&amp;TEXT($F603,"0")&amp;"|"&amp;$I603)</f>
        <v/>
      </c>
      <c r="T603" s="3">
        <f>IF($E603="",0,SUMPRODUCT((AY_SONU!$O$7:$O$42="Evet")*(AY_SONU!$B$7:$B$42=DATE(YEAR($E603),MONTH($E603),1))))</f>
        <v/>
      </c>
    </row>
    <row r="604">
      <c r="A604" s="6" t="n"/>
      <c r="B604" s="113">
        <f>IF($D604="","","T"&amp;TEXT(ROW()-6,"00000"))</f>
        <v/>
      </c>
      <c r="C604" s="113">
        <f>IF($D604="","",IFERROR(INDEX(MUSTERILER!$B$7:$B$106,MATCH($R604,MUSTERILER!$T$7:$T$106,0)),IFERROR(INDEX(MUSTERILER!$B$7:$B$106,MATCH($D604,MUSTERILER!$B$7:$B$106,0)),IFERROR(INDEX(MUSTERILER!$B$7:$B$106,MATCH($R604&amp;"*",MUSTERILER!$T$7:$T$106,0)),"TANIMSIZ MÜŞTERİ"))))</f>
        <v/>
      </c>
      <c r="D604" s="109" t="n"/>
      <c r="E604" s="220" t="n"/>
      <c r="F604" s="221" t="n"/>
      <c r="G604" s="108" t="n"/>
      <c r="H604" s="108" t="n"/>
      <c r="I604" s="109" t="n"/>
      <c r="J604" s="109" t="n"/>
      <c r="K604" s="109" t="n"/>
      <c r="L604" s="226">
        <f>IF($E604="","",DATE(YEAR($E604),MONTH($E604),1))</f>
        <v/>
      </c>
      <c r="M604" s="113">
        <f>IF($D604="","",IF($C604="TANIMSIZ MÜŞTERİ","HATA",IF(OR($E604="",$F604&lt;=0,$G604=""),"EKSİK",IF($E604&gt;TODAY(),"İLERİ TARİH",IF(COUNTIF($S$7:$S$1506,$S604)&gt;1,"MÜKERRER?",IF($T604&gt;0,"KAPALI DÖNEM","UYGUN"))))))</f>
        <v/>
      </c>
      <c r="N604" s="121">
        <f>IF($C604="","",IF($C604="TANIMSIZ MÜŞTERİ","—",INDEX(MUSTERILER!$C$7:$C$106,MATCH($C604,MUSTERILER!$B$7:$B$106,0))))</f>
        <v/>
      </c>
      <c r="O604" s="6" t="n"/>
      <c r="P604" s="6" t="n"/>
      <c r="Q604" s="3">
        <f>IF($D604="","",$C604&amp;"|"&amp;COUNTIFS($C$7:$C604,$C604))</f>
        <v/>
      </c>
      <c r="R604" s="3">
        <f>IF($D604="","",UPPER(SUBSTITUTE(SUBSTITUTE(SUBSTITUTE(SUBSTITUTE(SUBSTITUTE(SUBSTITUTE(SUBSTITUTE(SUBSTITUTE(SUBSTITUTE(SUBSTITUTE(SUBSTITUTE(SUBSTITUTE(SUBSTITUTE(SUBSTITUTE(SUBSTITUTE(SUBSTITUTE(SUBSTITUTE(SUBSTITUTE(TRIM($D604),"'",""),"İ","I"),"ı","I"),"i","I"),"Ş","S"),"ş","S"),"Ğ","G"),"ğ","G"),"Ü","U"),"ü","U"),"Ö","O"),"ö","O"),"Ç","C"),"ç","C"),".",""),",","")," ",""),"-","")))</f>
        <v/>
      </c>
      <c r="S604" s="3">
        <f>IF($D604="","",$C604&amp;"|"&amp;TEXT($E604,"0")&amp;"|"&amp;TEXT($F604,"0")&amp;"|"&amp;$I604)</f>
        <v/>
      </c>
      <c r="T604" s="3">
        <f>IF($E604="",0,SUMPRODUCT((AY_SONU!$O$7:$O$42="Evet")*(AY_SONU!$B$7:$B$42=DATE(YEAR($E604),MONTH($E604),1))))</f>
        <v/>
      </c>
    </row>
    <row r="605">
      <c r="A605" s="6" t="n"/>
      <c r="B605" s="113">
        <f>IF($D605="","","T"&amp;TEXT(ROW()-6,"00000"))</f>
        <v/>
      </c>
      <c r="C605" s="113">
        <f>IF($D605="","",IFERROR(INDEX(MUSTERILER!$B$7:$B$106,MATCH($R605,MUSTERILER!$T$7:$T$106,0)),IFERROR(INDEX(MUSTERILER!$B$7:$B$106,MATCH($D605,MUSTERILER!$B$7:$B$106,0)),IFERROR(INDEX(MUSTERILER!$B$7:$B$106,MATCH($R605&amp;"*",MUSTERILER!$T$7:$T$106,0)),"TANIMSIZ MÜŞTERİ"))))</f>
        <v/>
      </c>
      <c r="D605" s="109" t="n"/>
      <c r="E605" s="220" t="n"/>
      <c r="F605" s="221" t="n"/>
      <c r="G605" s="108" t="n"/>
      <c r="H605" s="108" t="n"/>
      <c r="I605" s="109" t="n"/>
      <c r="J605" s="109" t="n"/>
      <c r="K605" s="109" t="n"/>
      <c r="L605" s="226">
        <f>IF($E605="","",DATE(YEAR($E605),MONTH($E605),1))</f>
        <v/>
      </c>
      <c r="M605" s="113">
        <f>IF($D605="","",IF($C605="TANIMSIZ MÜŞTERİ","HATA",IF(OR($E605="",$F605&lt;=0,$G605=""),"EKSİK",IF($E605&gt;TODAY(),"İLERİ TARİH",IF(COUNTIF($S$7:$S$1506,$S605)&gt;1,"MÜKERRER?",IF($T605&gt;0,"KAPALI DÖNEM","UYGUN"))))))</f>
        <v/>
      </c>
      <c r="N605" s="121">
        <f>IF($C605="","",IF($C605="TANIMSIZ MÜŞTERİ","—",INDEX(MUSTERILER!$C$7:$C$106,MATCH($C605,MUSTERILER!$B$7:$B$106,0))))</f>
        <v/>
      </c>
      <c r="O605" s="6" t="n"/>
      <c r="P605" s="6" t="n"/>
      <c r="Q605" s="3">
        <f>IF($D605="","",$C605&amp;"|"&amp;COUNTIFS($C$7:$C605,$C605))</f>
        <v/>
      </c>
      <c r="R605" s="3">
        <f>IF($D605="","",UPPER(SUBSTITUTE(SUBSTITUTE(SUBSTITUTE(SUBSTITUTE(SUBSTITUTE(SUBSTITUTE(SUBSTITUTE(SUBSTITUTE(SUBSTITUTE(SUBSTITUTE(SUBSTITUTE(SUBSTITUTE(SUBSTITUTE(SUBSTITUTE(SUBSTITUTE(SUBSTITUTE(SUBSTITUTE(SUBSTITUTE(TRIM($D605),"'",""),"İ","I"),"ı","I"),"i","I"),"Ş","S"),"ş","S"),"Ğ","G"),"ğ","G"),"Ü","U"),"ü","U"),"Ö","O"),"ö","O"),"Ç","C"),"ç","C"),".",""),",","")," ",""),"-","")))</f>
        <v/>
      </c>
      <c r="S605" s="3">
        <f>IF($D605="","",$C605&amp;"|"&amp;TEXT($E605,"0")&amp;"|"&amp;TEXT($F605,"0")&amp;"|"&amp;$I605)</f>
        <v/>
      </c>
      <c r="T605" s="3">
        <f>IF($E605="",0,SUMPRODUCT((AY_SONU!$O$7:$O$42="Evet")*(AY_SONU!$B$7:$B$42=DATE(YEAR($E605),MONTH($E605),1))))</f>
        <v/>
      </c>
    </row>
    <row r="606">
      <c r="A606" s="6" t="n"/>
      <c r="B606" s="113">
        <f>IF($D606="","","T"&amp;TEXT(ROW()-6,"00000"))</f>
        <v/>
      </c>
      <c r="C606" s="113">
        <f>IF($D606="","",IFERROR(INDEX(MUSTERILER!$B$7:$B$106,MATCH($R606,MUSTERILER!$T$7:$T$106,0)),IFERROR(INDEX(MUSTERILER!$B$7:$B$106,MATCH($D606,MUSTERILER!$B$7:$B$106,0)),IFERROR(INDEX(MUSTERILER!$B$7:$B$106,MATCH($R606&amp;"*",MUSTERILER!$T$7:$T$106,0)),"TANIMSIZ MÜŞTERİ"))))</f>
        <v/>
      </c>
      <c r="D606" s="109" t="n"/>
      <c r="E606" s="220" t="n"/>
      <c r="F606" s="221" t="n"/>
      <c r="G606" s="108" t="n"/>
      <c r="H606" s="108" t="n"/>
      <c r="I606" s="109" t="n"/>
      <c r="J606" s="109" t="n"/>
      <c r="K606" s="109" t="n"/>
      <c r="L606" s="226">
        <f>IF($E606="","",DATE(YEAR($E606),MONTH($E606),1))</f>
        <v/>
      </c>
      <c r="M606" s="113">
        <f>IF($D606="","",IF($C606="TANIMSIZ MÜŞTERİ","HATA",IF(OR($E606="",$F606&lt;=0,$G606=""),"EKSİK",IF($E606&gt;TODAY(),"İLERİ TARİH",IF(COUNTIF($S$7:$S$1506,$S606)&gt;1,"MÜKERRER?",IF($T606&gt;0,"KAPALI DÖNEM","UYGUN"))))))</f>
        <v/>
      </c>
      <c r="N606" s="121">
        <f>IF($C606="","",IF($C606="TANIMSIZ MÜŞTERİ","—",INDEX(MUSTERILER!$C$7:$C$106,MATCH($C606,MUSTERILER!$B$7:$B$106,0))))</f>
        <v/>
      </c>
      <c r="O606" s="6" t="n"/>
      <c r="P606" s="6" t="n"/>
      <c r="Q606" s="3">
        <f>IF($D606="","",$C606&amp;"|"&amp;COUNTIFS($C$7:$C606,$C606))</f>
        <v/>
      </c>
      <c r="R606" s="3">
        <f>IF($D606="","",UPPER(SUBSTITUTE(SUBSTITUTE(SUBSTITUTE(SUBSTITUTE(SUBSTITUTE(SUBSTITUTE(SUBSTITUTE(SUBSTITUTE(SUBSTITUTE(SUBSTITUTE(SUBSTITUTE(SUBSTITUTE(SUBSTITUTE(SUBSTITUTE(SUBSTITUTE(SUBSTITUTE(SUBSTITUTE(SUBSTITUTE(TRIM($D606),"'",""),"İ","I"),"ı","I"),"i","I"),"Ş","S"),"ş","S"),"Ğ","G"),"ğ","G"),"Ü","U"),"ü","U"),"Ö","O"),"ö","O"),"Ç","C"),"ç","C"),".",""),",","")," ",""),"-","")))</f>
        <v/>
      </c>
      <c r="S606" s="3">
        <f>IF($D606="","",$C606&amp;"|"&amp;TEXT($E606,"0")&amp;"|"&amp;TEXT($F606,"0")&amp;"|"&amp;$I606)</f>
        <v/>
      </c>
      <c r="T606" s="3">
        <f>IF($E606="",0,SUMPRODUCT((AY_SONU!$O$7:$O$42="Evet")*(AY_SONU!$B$7:$B$42=DATE(YEAR($E606),MONTH($E606),1))))</f>
        <v/>
      </c>
    </row>
    <row r="607">
      <c r="A607" s="6" t="n"/>
      <c r="B607" s="113">
        <f>IF($D607="","","T"&amp;TEXT(ROW()-6,"00000"))</f>
        <v/>
      </c>
      <c r="C607" s="113">
        <f>IF($D607="","",IFERROR(INDEX(MUSTERILER!$B$7:$B$106,MATCH($R607,MUSTERILER!$T$7:$T$106,0)),IFERROR(INDEX(MUSTERILER!$B$7:$B$106,MATCH($D607,MUSTERILER!$B$7:$B$106,0)),IFERROR(INDEX(MUSTERILER!$B$7:$B$106,MATCH($R607&amp;"*",MUSTERILER!$T$7:$T$106,0)),"TANIMSIZ MÜŞTERİ"))))</f>
        <v/>
      </c>
      <c r="D607" s="109" t="n"/>
      <c r="E607" s="220" t="n"/>
      <c r="F607" s="221" t="n"/>
      <c r="G607" s="108" t="n"/>
      <c r="H607" s="108" t="n"/>
      <c r="I607" s="109" t="n"/>
      <c r="J607" s="109" t="n"/>
      <c r="K607" s="109" t="n"/>
      <c r="L607" s="226">
        <f>IF($E607="","",DATE(YEAR($E607),MONTH($E607),1))</f>
        <v/>
      </c>
      <c r="M607" s="113">
        <f>IF($D607="","",IF($C607="TANIMSIZ MÜŞTERİ","HATA",IF(OR($E607="",$F607&lt;=0,$G607=""),"EKSİK",IF($E607&gt;TODAY(),"İLERİ TARİH",IF(COUNTIF($S$7:$S$1506,$S607)&gt;1,"MÜKERRER?",IF($T607&gt;0,"KAPALI DÖNEM","UYGUN"))))))</f>
        <v/>
      </c>
      <c r="N607" s="121">
        <f>IF($C607="","",IF($C607="TANIMSIZ MÜŞTERİ","—",INDEX(MUSTERILER!$C$7:$C$106,MATCH($C607,MUSTERILER!$B$7:$B$106,0))))</f>
        <v/>
      </c>
      <c r="O607" s="6" t="n"/>
      <c r="P607" s="6" t="n"/>
      <c r="Q607" s="3">
        <f>IF($D607="","",$C607&amp;"|"&amp;COUNTIFS($C$7:$C607,$C607))</f>
        <v/>
      </c>
      <c r="R607" s="3">
        <f>IF($D607="","",UPPER(SUBSTITUTE(SUBSTITUTE(SUBSTITUTE(SUBSTITUTE(SUBSTITUTE(SUBSTITUTE(SUBSTITUTE(SUBSTITUTE(SUBSTITUTE(SUBSTITUTE(SUBSTITUTE(SUBSTITUTE(SUBSTITUTE(SUBSTITUTE(SUBSTITUTE(SUBSTITUTE(SUBSTITUTE(SUBSTITUTE(TRIM($D607),"'",""),"İ","I"),"ı","I"),"i","I"),"Ş","S"),"ş","S"),"Ğ","G"),"ğ","G"),"Ü","U"),"ü","U"),"Ö","O"),"ö","O"),"Ç","C"),"ç","C"),".",""),",","")," ",""),"-","")))</f>
        <v/>
      </c>
      <c r="S607" s="3">
        <f>IF($D607="","",$C607&amp;"|"&amp;TEXT($E607,"0")&amp;"|"&amp;TEXT($F607,"0")&amp;"|"&amp;$I607)</f>
        <v/>
      </c>
      <c r="T607" s="3">
        <f>IF($E607="",0,SUMPRODUCT((AY_SONU!$O$7:$O$42="Evet")*(AY_SONU!$B$7:$B$42=DATE(YEAR($E607),MONTH($E607),1))))</f>
        <v/>
      </c>
    </row>
    <row r="608">
      <c r="A608" s="6" t="n"/>
      <c r="B608" s="113">
        <f>IF($D608="","","T"&amp;TEXT(ROW()-6,"00000"))</f>
        <v/>
      </c>
      <c r="C608" s="113">
        <f>IF($D608="","",IFERROR(INDEX(MUSTERILER!$B$7:$B$106,MATCH($R608,MUSTERILER!$T$7:$T$106,0)),IFERROR(INDEX(MUSTERILER!$B$7:$B$106,MATCH($D608,MUSTERILER!$B$7:$B$106,0)),IFERROR(INDEX(MUSTERILER!$B$7:$B$106,MATCH($R608&amp;"*",MUSTERILER!$T$7:$T$106,0)),"TANIMSIZ MÜŞTERİ"))))</f>
        <v/>
      </c>
      <c r="D608" s="109" t="n"/>
      <c r="E608" s="220" t="n"/>
      <c r="F608" s="221" t="n"/>
      <c r="G608" s="108" t="n"/>
      <c r="H608" s="108" t="n"/>
      <c r="I608" s="109" t="n"/>
      <c r="J608" s="109" t="n"/>
      <c r="K608" s="109" t="n"/>
      <c r="L608" s="226">
        <f>IF($E608="","",DATE(YEAR($E608),MONTH($E608),1))</f>
        <v/>
      </c>
      <c r="M608" s="113">
        <f>IF($D608="","",IF($C608="TANIMSIZ MÜŞTERİ","HATA",IF(OR($E608="",$F608&lt;=0,$G608=""),"EKSİK",IF($E608&gt;TODAY(),"İLERİ TARİH",IF(COUNTIF($S$7:$S$1506,$S608)&gt;1,"MÜKERRER?",IF($T608&gt;0,"KAPALI DÖNEM","UYGUN"))))))</f>
        <v/>
      </c>
      <c r="N608" s="121">
        <f>IF($C608="","",IF($C608="TANIMSIZ MÜŞTERİ","—",INDEX(MUSTERILER!$C$7:$C$106,MATCH($C608,MUSTERILER!$B$7:$B$106,0))))</f>
        <v/>
      </c>
      <c r="O608" s="6" t="n"/>
      <c r="P608" s="6" t="n"/>
      <c r="Q608" s="3">
        <f>IF($D608="","",$C608&amp;"|"&amp;COUNTIFS($C$7:$C608,$C608))</f>
        <v/>
      </c>
      <c r="R608" s="3">
        <f>IF($D608="","",UPPER(SUBSTITUTE(SUBSTITUTE(SUBSTITUTE(SUBSTITUTE(SUBSTITUTE(SUBSTITUTE(SUBSTITUTE(SUBSTITUTE(SUBSTITUTE(SUBSTITUTE(SUBSTITUTE(SUBSTITUTE(SUBSTITUTE(SUBSTITUTE(SUBSTITUTE(SUBSTITUTE(SUBSTITUTE(SUBSTITUTE(TRIM($D608),"'",""),"İ","I"),"ı","I"),"i","I"),"Ş","S"),"ş","S"),"Ğ","G"),"ğ","G"),"Ü","U"),"ü","U"),"Ö","O"),"ö","O"),"Ç","C"),"ç","C"),".",""),",","")," ",""),"-","")))</f>
        <v/>
      </c>
      <c r="S608" s="3">
        <f>IF($D608="","",$C608&amp;"|"&amp;TEXT($E608,"0")&amp;"|"&amp;TEXT($F608,"0")&amp;"|"&amp;$I608)</f>
        <v/>
      </c>
      <c r="T608" s="3">
        <f>IF($E608="",0,SUMPRODUCT((AY_SONU!$O$7:$O$42="Evet")*(AY_SONU!$B$7:$B$42=DATE(YEAR($E608),MONTH($E608),1))))</f>
        <v/>
      </c>
    </row>
    <row r="609">
      <c r="A609" s="6" t="n"/>
      <c r="B609" s="113">
        <f>IF($D609="","","T"&amp;TEXT(ROW()-6,"00000"))</f>
        <v/>
      </c>
      <c r="C609" s="113">
        <f>IF($D609="","",IFERROR(INDEX(MUSTERILER!$B$7:$B$106,MATCH($R609,MUSTERILER!$T$7:$T$106,0)),IFERROR(INDEX(MUSTERILER!$B$7:$B$106,MATCH($D609,MUSTERILER!$B$7:$B$106,0)),IFERROR(INDEX(MUSTERILER!$B$7:$B$106,MATCH($R609&amp;"*",MUSTERILER!$T$7:$T$106,0)),"TANIMSIZ MÜŞTERİ"))))</f>
        <v/>
      </c>
      <c r="D609" s="109" t="n"/>
      <c r="E609" s="220" t="n"/>
      <c r="F609" s="221" t="n"/>
      <c r="G609" s="108" t="n"/>
      <c r="H609" s="108" t="n"/>
      <c r="I609" s="109" t="n"/>
      <c r="J609" s="109" t="n"/>
      <c r="K609" s="109" t="n"/>
      <c r="L609" s="226">
        <f>IF($E609="","",DATE(YEAR($E609),MONTH($E609),1))</f>
        <v/>
      </c>
      <c r="M609" s="113">
        <f>IF($D609="","",IF($C609="TANIMSIZ MÜŞTERİ","HATA",IF(OR($E609="",$F609&lt;=0,$G609=""),"EKSİK",IF($E609&gt;TODAY(),"İLERİ TARİH",IF(COUNTIF($S$7:$S$1506,$S609)&gt;1,"MÜKERRER?",IF($T609&gt;0,"KAPALI DÖNEM","UYGUN"))))))</f>
        <v/>
      </c>
      <c r="N609" s="121">
        <f>IF($C609="","",IF($C609="TANIMSIZ MÜŞTERİ","—",INDEX(MUSTERILER!$C$7:$C$106,MATCH($C609,MUSTERILER!$B$7:$B$106,0))))</f>
        <v/>
      </c>
      <c r="O609" s="6" t="n"/>
      <c r="P609" s="6" t="n"/>
      <c r="Q609" s="3">
        <f>IF($D609="","",$C609&amp;"|"&amp;COUNTIFS($C$7:$C609,$C609))</f>
        <v/>
      </c>
      <c r="R609" s="3">
        <f>IF($D609="","",UPPER(SUBSTITUTE(SUBSTITUTE(SUBSTITUTE(SUBSTITUTE(SUBSTITUTE(SUBSTITUTE(SUBSTITUTE(SUBSTITUTE(SUBSTITUTE(SUBSTITUTE(SUBSTITUTE(SUBSTITUTE(SUBSTITUTE(SUBSTITUTE(SUBSTITUTE(SUBSTITUTE(SUBSTITUTE(SUBSTITUTE(TRIM($D609),"'",""),"İ","I"),"ı","I"),"i","I"),"Ş","S"),"ş","S"),"Ğ","G"),"ğ","G"),"Ü","U"),"ü","U"),"Ö","O"),"ö","O"),"Ç","C"),"ç","C"),".",""),",","")," ",""),"-","")))</f>
        <v/>
      </c>
      <c r="S609" s="3">
        <f>IF($D609="","",$C609&amp;"|"&amp;TEXT($E609,"0")&amp;"|"&amp;TEXT($F609,"0")&amp;"|"&amp;$I609)</f>
        <v/>
      </c>
      <c r="T609" s="3">
        <f>IF($E609="",0,SUMPRODUCT((AY_SONU!$O$7:$O$42="Evet")*(AY_SONU!$B$7:$B$42=DATE(YEAR($E609),MONTH($E609),1))))</f>
        <v/>
      </c>
    </row>
    <row r="610">
      <c r="A610" s="6" t="n"/>
      <c r="B610" s="113">
        <f>IF($D610="","","T"&amp;TEXT(ROW()-6,"00000"))</f>
        <v/>
      </c>
      <c r="C610" s="113">
        <f>IF($D610="","",IFERROR(INDEX(MUSTERILER!$B$7:$B$106,MATCH($R610,MUSTERILER!$T$7:$T$106,0)),IFERROR(INDEX(MUSTERILER!$B$7:$B$106,MATCH($D610,MUSTERILER!$B$7:$B$106,0)),IFERROR(INDEX(MUSTERILER!$B$7:$B$106,MATCH($R610&amp;"*",MUSTERILER!$T$7:$T$106,0)),"TANIMSIZ MÜŞTERİ"))))</f>
        <v/>
      </c>
      <c r="D610" s="109" t="n"/>
      <c r="E610" s="220" t="n"/>
      <c r="F610" s="221" t="n"/>
      <c r="G610" s="108" t="n"/>
      <c r="H610" s="108" t="n"/>
      <c r="I610" s="109" t="n"/>
      <c r="J610" s="109" t="n"/>
      <c r="K610" s="109" t="n"/>
      <c r="L610" s="226">
        <f>IF($E610="","",DATE(YEAR($E610),MONTH($E610),1))</f>
        <v/>
      </c>
      <c r="M610" s="113">
        <f>IF($D610="","",IF($C610="TANIMSIZ MÜŞTERİ","HATA",IF(OR($E610="",$F610&lt;=0,$G610=""),"EKSİK",IF($E610&gt;TODAY(),"İLERİ TARİH",IF(COUNTIF($S$7:$S$1506,$S610)&gt;1,"MÜKERRER?",IF($T610&gt;0,"KAPALI DÖNEM","UYGUN"))))))</f>
        <v/>
      </c>
      <c r="N610" s="121">
        <f>IF($C610="","",IF($C610="TANIMSIZ MÜŞTERİ","—",INDEX(MUSTERILER!$C$7:$C$106,MATCH($C610,MUSTERILER!$B$7:$B$106,0))))</f>
        <v/>
      </c>
      <c r="O610" s="6" t="n"/>
      <c r="P610" s="6" t="n"/>
      <c r="Q610" s="3">
        <f>IF($D610="","",$C610&amp;"|"&amp;COUNTIFS($C$7:$C610,$C610))</f>
        <v/>
      </c>
      <c r="R610" s="3">
        <f>IF($D610="","",UPPER(SUBSTITUTE(SUBSTITUTE(SUBSTITUTE(SUBSTITUTE(SUBSTITUTE(SUBSTITUTE(SUBSTITUTE(SUBSTITUTE(SUBSTITUTE(SUBSTITUTE(SUBSTITUTE(SUBSTITUTE(SUBSTITUTE(SUBSTITUTE(SUBSTITUTE(SUBSTITUTE(SUBSTITUTE(SUBSTITUTE(TRIM($D610),"'",""),"İ","I"),"ı","I"),"i","I"),"Ş","S"),"ş","S"),"Ğ","G"),"ğ","G"),"Ü","U"),"ü","U"),"Ö","O"),"ö","O"),"Ç","C"),"ç","C"),".",""),",","")," ",""),"-","")))</f>
        <v/>
      </c>
      <c r="S610" s="3">
        <f>IF($D610="","",$C610&amp;"|"&amp;TEXT($E610,"0")&amp;"|"&amp;TEXT($F610,"0")&amp;"|"&amp;$I610)</f>
        <v/>
      </c>
      <c r="T610" s="3">
        <f>IF($E610="",0,SUMPRODUCT((AY_SONU!$O$7:$O$42="Evet")*(AY_SONU!$B$7:$B$42=DATE(YEAR($E610),MONTH($E610),1))))</f>
        <v/>
      </c>
    </row>
    <row r="611">
      <c r="A611" s="6" t="n"/>
      <c r="B611" s="113">
        <f>IF($D611="","","T"&amp;TEXT(ROW()-6,"00000"))</f>
        <v/>
      </c>
      <c r="C611" s="113">
        <f>IF($D611="","",IFERROR(INDEX(MUSTERILER!$B$7:$B$106,MATCH($R611,MUSTERILER!$T$7:$T$106,0)),IFERROR(INDEX(MUSTERILER!$B$7:$B$106,MATCH($D611,MUSTERILER!$B$7:$B$106,0)),IFERROR(INDEX(MUSTERILER!$B$7:$B$106,MATCH($R611&amp;"*",MUSTERILER!$T$7:$T$106,0)),"TANIMSIZ MÜŞTERİ"))))</f>
        <v/>
      </c>
      <c r="D611" s="109" t="n"/>
      <c r="E611" s="220" t="n"/>
      <c r="F611" s="221" t="n"/>
      <c r="G611" s="108" t="n"/>
      <c r="H611" s="108" t="n"/>
      <c r="I611" s="109" t="n"/>
      <c r="J611" s="109" t="n"/>
      <c r="K611" s="109" t="n"/>
      <c r="L611" s="226">
        <f>IF($E611="","",DATE(YEAR($E611),MONTH($E611),1))</f>
        <v/>
      </c>
      <c r="M611" s="113">
        <f>IF($D611="","",IF($C611="TANIMSIZ MÜŞTERİ","HATA",IF(OR($E611="",$F611&lt;=0,$G611=""),"EKSİK",IF($E611&gt;TODAY(),"İLERİ TARİH",IF(COUNTIF($S$7:$S$1506,$S611)&gt;1,"MÜKERRER?",IF($T611&gt;0,"KAPALI DÖNEM","UYGUN"))))))</f>
        <v/>
      </c>
      <c r="N611" s="121">
        <f>IF($C611="","",IF($C611="TANIMSIZ MÜŞTERİ","—",INDEX(MUSTERILER!$C$7:$C$106,MATCH($C611,MUSTERILER!$B$7:$B$106,0))))</f>
        <v/>
      </c>
      <c r="O611" s="6" t="n"/>
      <c r="P611" s="6" t="n"/>
      <c r="Q611" s="3">
        <f>IF($D611="","",$C611&amp;"|"&amp;COUNTIFS($C$7:$C611,$C611))</f>
        <v/>
      </c>
      <c r="R611" s="3">
        <f>IF($D611="","",UPPER(SUBSTITUTE(SUBSTITUTE(SUBSTITUTE(SUBSTITUTE(SUBSTITUTE(SUBSTITUTE(SUBSTITUTE(SUBSTITUTE(SUBSTITUTE(SUBSTITUTE(SUBSTITUTE(SUBSTITUTE(SUBSTITUTE(SUBSTITUTE(SUBSTITUTE(SUBSTITUTE(SUBSTITUTE(SUBSTITUTE(TRIM($D611),"'",""),"İ","I"),"ı","I"),"i","I"),"Ş","S"),"ş","S"),"Ğ","G"),"ğ","G"),"Ü","U"),"ü","U"),"Ö","O"),"ö","O"),"Ç","C"),"ç","C"),".",""),",","")," ",""),"-","")))</f>
        <v/>
      </c>
      <c r="S611" s="3">
        <f>IF($D611="","",$C611&amp;"|"&amp;TEXT($E611,"0")&amp;"|"&amp;TEXT($F611,"0")&amp;"|"&amp;$I611)</f>
        <v/>
      </c>
      <c r="T611" s="3">
        <f>IF($E611="",0,SUMPRODUCT((AY_SONU!$O$7:$O$42="Evet")*(AY_SONU!$B$7:$B$42=DATE(YEAR($E611),MONTH($E611),1))))</f>
        <v/>
      </c>
    </row>
    <row r="612">
      <c r="A612" s="6" t="n"/>
      <c r="B612" s="113">
        <f>IF($D612="","","T"&amp;TEXT(ROW()-6,"00000"))</f>
        <v/>
      </c>
      <c r="C612" s="113">
        <f>IF($D612="","",IFERROR(INDEX(MUSTERILER!$B$7:$B$106,MATCH($R612,MUSTERILER!$T$7:$T$106,0)),IFERROR(INDEX(MUSTERILER!$B$7:$B$106,MATCH($D612,MUSTERILER!$B$7:$B$106,0)),IFERROR(INDEX(MUSTERILER!$B$7:$B$106,MATCH($R612&amp;"*",MUSTERILER!$T$7:$T$106,0)),"TANIMSIZ MÜŞTERİ"))))</f>
        <v/>
      </c>
      <c r="D612" s="109" t="n"/>
      <c r="E612" s="220" t="n"/>
      <c r="F612" s="221" t="n"/>
      <c r="G612" s="108" t="n"/>
      <c r="H612" s="108" t="n"/>
      <c r="I612" s="109" t="n"/>
      <c r="J612" s="109" t="n"/>
      <c r="K612" s="109" t="n"/>
      <c r="L612" s="226">
        <f>IF($E612="","",DATE(YEAR($E612),MONTH($E612),1))</f>
        <v/>
      </c>
      <c r="M612" s="113">
        <f>IF($D612="","",IF($C612="TANIMSIZ MÜŞTERİ","HATA",IF(OR($E612="",$F612&lt;=0,$G612=""),"EKSİK",IF($E612&gt;TODAY(),"İLERİ TARİH",IF(COUNTIF($S$7:$S$1506,$S612)&gt;1,"MÜKERRER?",IF($T612&gt;0,"KAPALI DÖNEM","UYGUN"))))))</f>
        <v/>
      </c>
      <c r="N612" s="121">
        <f>IF($C612="","",IF($C612="TANIMSIZ MÜŞTERİ","—",INDEX(MUSTERILER!$C$7:$C$106,MATCH($C612,MUSTERILER!$B$7:$B$106,0))))</f>
        <v/>
      </c>
      <c r="O612" s="6" t="n"/>
      <c r="P612" s="6" t="n"/>
      <c r="Q612" s="3">
        <f>IF($D612="","",$C612&amp;"|"&amp;COUNTIFS($C$7:$C612,$C612))</f>
        <v/>
      </c>
      <c r="R612" s="3">
        <f>IF($D612="","",UPPER(SUBSTITUTE(SUBSTITUTE(SUBSTITUTE(SUBSTITUTE(SUBSTITUTE(SUBSTITUTE(SUBSTITUTE(SUBSTITUTE(SUBSTITUTE(SUBSTITUTE(SUBSTITUTE(SUBSTITUTE(SUBSTITUTE(SUBSTITUTE(SUBSTITUTE(SUBSTITUTE(SUBSTITUTE(SUBSTITUTE(TRIM($D612),"'",""),"İ","I"),"ı","I"),"i","I"),"Ş","S"),"ş","S"),"Ğ","G"),"ğ","G"),"Ü","U"),"ü","U"),"Ö","O"),"ö","O"),"Ç","C"),"ç","C"),".",""),",","")," ",""),"-","")))</f>
        <v/>
      </c>
      <c r="S612" s="3">
        <f>IF($D612="","",$C612&amp;"|"&amp;TEXT($E612,"0")&amp;"|"&amp;TEXT($F612,"0")&amp;"|"&amp;$I612)</f>
        <v/>
      </c>
      <c r="T612" s="3">
        <f>IF($E612="",0,SUMPRODUCT((AY_SONU!$O$7:$O$42="Evet")*(AY_SONU!$B$7:$B$42=DATE(YEAR($E612),MONTH($E612),1))))</f>
        <v/>
      </c>
    </row>
    <row r="613">
      <c r="A613" s="6" t="n"/>
      <c r="B613" s="113">
        <f>IF($D613="","","T"&amp;TEXT(ROW()-6,"00000"))</f>
        <v/>
      </c>
      <c r="C613" s="113">
        <f>IF($D613="","",IFERROR(INDEX(MUSTERILER!$B$7:$B$106,MATCH($R613,MUSTERILER!$T$7:$T$106,0)),IFERROR(INDEX(MUSTERILER!$B$7:$B$106,MATCH($D613,MUSTERILER!$B$7:$B$106,0)),IFERROR(INDEX(MUSTERILER!$B$7:$B$106,MATCH($R613&amp;"*",MUSTERILER!$T$7:$T$106,0)),"TANIMSIZ MÜŞTERİ"))))</f>
        <v/>
      </c>
      <c r="D613" s="109" t="n"/>
      <c r="E613" s="220" t="n"/>
      <c r="F613" s="221" t="n"/>
      <c r="G613" s="108" t="n"/>
      <c r="H613" s="108" t="n"/>
      <c r="I613" s="109" t="n"/>
      <c r="J613" s="109" t="n"/>
      <c r="K613" s="109" t="n"/>
      <c r="L613" s="226">
        <f>IF($E613="","",DATE(YEAR($E613),MONTH($E613),1))</f>
        <v/>
      </c>
      <c r="M613" s="113">
        <f>IF($D613="","",IF($C613="TANIMSIZ MÜŞTERİ","HATA",IF(OR($E613="",$F613&lt;=0,$G613=""),"EKSİK",IF($E613&gt;TODAY(),"İLERİ TARİH",IF(COUNTIF($S$7:$S$1506,$S613)&gt;1,"MÜKERRER?",IF($T613&gt;0,"KAPALI DÖNEM","UYGUN"))))))</f>
        <v/>
      </c>
      <c r="N613" s="121">
        <f>IF($C613="","",IF($C613="TANIMSIZ MÜŞTERİ","—",INDEX(MUSTERILER!$C$7:$C$106,MATCH($C613,MUSTERILER!$B$7:$B$106,0))))</f>
        <v/>
      </c>
      <c r="O613" s="6" t="n"/>
      <c r="P613" s="6" t="n"/>
      <c r="Q613" s="3">
        <f>IF($D613="","",$C613&amp;"|"&amp;COUNTIFS($C$7:$C613,$C613))</f>
        <v/>
      </c>
      <c r="R613" s="3">
        <f>IF($D613="","",UPPER(SUBSTITUTE(SUBSTITUTE(SUBSTITUTE(SUBSTITUTE(SUBSTITUTE(SUBSTITUTE(SUBSTITUTE(SUBSTITUTE(SUBSTITUTE(SUBSTITUTE(SUBSTITUTE(SUBSTITUTE(SUBSTITUTE(SUBSTITUTE(SUBSTITUTE(SUBSTITUTE(SUBSTITUTE(SUBSTITUTE(TRIM($D613),"'",""),"İ","I"),"ı","I"),"i","I"),"Ş","S"),"ş","S"),"Ğ","G"),"ğ","G"),"Ü","U"),"ü","U"),"Ö","O"),"ö","O"),"Ç","C"),"ç","C"),".",""),",","")," ",""),"-","")))</f>
        <v/>
      </c>
      <c r="S613" s="3">
        <f>IF($D613="","",$C613&amp;"|"&amp;TEXT($E613,"0")&amp;"|"&amp;TEXT($F613,"0")&amp;"|"&amp;$I613)</f>
        <v/>
      </c>
      <c r="T613" s="3">
        <f>IF($E613="",0,SUMPRODUCT((AY_SONU!$O$7:$O$42="Evet")*(AY_SONU!$B$7:$B$42=DATE(YEAR($E613),MONTH($E613),1))))</f>
        <v/>
      </c>
    </row>
    <row r="614">
      <c r="A614" s="6" t="n"/>
      <c r="B614" s="113">
        <f>IF($D614="","","T"&amp;TEXT(ROW()-6,"00000"))</f>
        <v/>
      </c>
      <c r="C614" s="113">
        <f>IF($D614="","",IFERROR(INDEX(MUSTERILER!$B$7:$B$106,MATCH($R614,MUSTERILER!$T$7:$T$106,0)),IFERROR(INDEX(MUSTERILER!$B$7:$B$106,MATCH($D614,MUSTERILER!$B$7:$B$106,0)),IFERROR(INDEX(MUSTERILER!$B$7:$B$106,MATCH($R614&amp;"*",MUSTERILER!$T$7:$T$106,0)),"TANIMSIZ MÜŞTERİ"))))</f>
        <v/>
      </c>
      <c r="D614" s="109" t="n"/>
      <c r="E614" s="220" t="n"/>
      <c r="F614" s="221" t="n"/>
      <c r="G614" s="108" t="n"/>
      <c r="H614" s="108" t="n"/>
      <c r="I614" s="109" t="n"/>
      <c r="J614" s="109" t="n"/>
      <c r="K614" s="109" t="n"/>
      <c r="L614" s="226">
        <f>IF($E614="","",DATE(YEAR($E614),MONTH($E614),1))</f>
        <v/>
      </c>
      <c r="M614" s="113">
        <f>IF($D614="","",IF($C614="TANIMSIZ MÜŞTERİ","HATA",IF(OR($E614="",$F614&lt;=0,$G614=""),"EKSİK",IF($E614&gt;TODAY(),"İLERİ TARİH",IF(COUNTIF($S$7:$S$1506,$S614)&gt;1,"MÜKERRER?",IF($T614&gt;0,"KAPALI DÖNEM","UYGUN"))))))</f>
        <v/>
      </c>
      <c r="N614" s="121">
        <f>IF($C614="","",IF($C614="TANIMSIZ MÜŞTERİ","—",INDEX(MUSTERILER!$C$7:$C$106,MATCH($C614,MUSTERILER!$B$7:$B$106,0))))</f>
        <v/>
      </c>
      <c r="O614" s="6" t="n"/>
      <c r="P614" s="6" t="n"/>
      <c r="Q614" s="3">
        <f>IF($D614="","",$C614&amp;"|"&amp;COUNTIFS($C$7:$C614,$C614))</f>
        <v/>
      </c>
      <c r="R614" s="3">
        <f>IF($D614="","",UPPER(SUBSTITUTE(SUBSTITUTE(SUBSTITUTE(SUBSTITUTE(SUBSTITUTE(SUBSTITUTE(SUBSTITUTE(SUBSTITUTE(SUBSTITUTE(SUBSTITUTE(SUBSTITUTE(SUBSTITUTE(SUBSTITUTE(SUBSTITUTE(SUBSTITUTE(SUBSTITUTE(SUBSTITUTE(SUBSTITUTE(TRIM($D614),"'",""),"İ","I"),"ı","I"),"i","I"),"Ş","S"),"ş","S"),"Ğ","G"),"ğ","G"),"Ü","U"),"ü","U"),"Ö","O"),"ö","O"),"Ç","C"),"ç","C"),".",""),",","")," ",""),"-","")))</f>
        <v/>
      </c>
      <c r="S614" s="3">
        <f>IF($D614="","",$C614&amp;"|"&amp;TEXT($E614,"0")&amp;"|"&amp;TEXT($F614,"0")&amp;"|"&amp;$I614)</f>
        <v/>
      </c>
      <c r="T614" s="3">
        <f>IF($E614="",0,SUMPRODUCT((AY_SONU!$O$7:$O$42="Evet")*(AY_SONU!$B$7:$B$42=DATE(YEAR($E614),MONTH($E614),1))))</f>
        <v/>
      </c>
    </row>
    <row r="615">
      <c r="A615" s="6" t="n"/>
      <c r="B615" s="113">
        <f>IF($D615="","","T"&amp;TEXT(ROW()-6,"00000"))</f>
        <v/>
      </c>
      <c r="C615" s="113">
        <f>IF($D615="","",IFERROR(INDEX(MUSTERILER!$B$7:$B$106,MATCH($R615,MUSTERILER!$T$7:$T$106,0)),IFERROR(INDEX(MUSTERILER!$B$7:$B$106,MATCH($D615,MUSTERILER!$B$7:$B$106,0)),IFERROR(INDEX(MUSTERILER!$B$7:$B$106,MATCH($R615&amp;"*",MUSTERILER!$T$7:$T$106,0)),"TANIMSIZ MÜŞTERİ"))))</f>
        <v/>
      </c>
      <c r="D615" s="109" t="n"/>
      <c r="E615" s="220" t="n"/>
      <c r="F615" s="221" t="n"/>
      <c r="G615" s="108" t="n"/>
      <c r="H615" s="108" t="n"/>
      <c r="I615" s="109" t="n"/>
      <c r="J615" s="109" t="n"/>
      <c r="K615" s="109" t="n"/>
      <c r="L615" s="226">
        <f>IF($E615="","",DATE(YEAR($E615),MONTH($E615),1))</f>
        <v/>
      </c>
      <c r="M615" s="113">
        <f>IF($D615="","",IF($C615="TANIMSIZ MÜŞTERİ","HATA",IF(OR($E615="",$F615&lt;=0,$G615=""),"EKSİK",IF($E615&gt;TODAY(),"İLERİ TARİH",IF(COUNTIF($S$7:$S$1506,$S615)&gt;1,"MÜKERRER?",IF($T615&gt;0,"KAPALI DÖNEM","UYGUN"))))))</f>
        <v/>
      </c>
      <c r="N615" s="121">
        <f>IF($C615="","",IF($C615="TANIMSIZ MÜŞTERİ","—",INDEX(MUSTERILER!$C$7:$C$106,MATCH($C615,MUSTERILER!$B$7:$B$106,0))))</f>
        <v/>
      </c>
      <c r="O615" s="6" t="n"/>
      <c r="P615" s="6" t="n"/>
      <c r="Q615" s="3">
        <f>IF($D615="","",$C615&amp;"|"&amp;COUNTIFS($C$7:$C615,$C615))</f>
        <v/>
      </c>
      <c r="R615" s="3">
        <f>IF($D615="","",UPPER(SUBSTITUTE(SUBSTITUTE(SUBSTITUTE(SUBSTITUTE(SUBSTITUTE(SUBSTITUTE(SUBSTITUTE(SUBSTITUTE(SUBSTITUTE(SUBSTITUTE(SUBSTITUTE(SUBSTITUTE(SUBSTITUTE(SUBSTITUTE(SUBSTITUTE(SUBSTITUTE(SUBSTITUTE(SUBSTITUTE(TRIM($D615),"'",""),"İ","I"),"ı","I"),"i","I"),"Ş","S"),"ş","S"),"Ğ","G"),"ğ","G"),"Ü","U"),"ü","U"),"Ö","O"),"ö","O"),"Ç","C"),"ç","C"),".",""),",","")," ",""),"-","")))</f>
        <v/>
      </c>
      <c r="S615" s="3">
        <f>IF($D615="","",$C615&amp;"|"&amp;TEXT($E615,"0")&amp;"|"&amp;TEXT($F615,"0")&amp;"|"&amp;$I615)</f>
        <v/>
      </c>
      <c r="T615" s="3">
        <f>IF($E615="",0,SUMPRODUCT((AY_SONU!$O$7:$O$42="Evet")*(AY_SONU!$B$7:$B$42=DATE(YEAR($E615),MONTH($E615),1))))</f>
        <v/>
      </c>
    </row>
    <row r="616">
      <c r="A616" s="6" t="n"/>
      <c r="B616" s="113">
        <f>IF($D616="","","T"&amp;TEXT(ROW()-6,"00000"))</f>
        <v/>
      </c>
      <c r="C616" s="113">
        <f>IF($D616="","",IFERROR(INDEX(MUSTERILER!$B$7:$B$106,MATCH($R616,MUSTERILER!$T$7:$T$106,0)),IFERROR(INDEX(MUSTERILER!$B$7:$B$106,MATCH($D616,MUSTERILER!$B$7:$B$106,0)),IFERROR(INDEX(MUSTERILER!$B$7:$B$106,MATCH($R616&amp;"*",MUSTERILER!$T$7:$T$106,0)),"TANIMSIZ MÜŞTERİ"))))</f>
        <v/>
      </c>
      <c r="D616" s="109" t="n"/>
      <c r="E616" s="220" t="n"/>
      <c r="F616" s="221" t="n"/>
      <c r="G616" s="108" t="n"/>
      <c r="H616" s="108" t="n"/>
      <c r="I616" s="109" t="n"/>
      <c r="J616" s="109" t="n"/>
      <c r="K616" s="109" t="n"/>
      <c r="L616" s="226">
        <f>IF($E616="","",DATE(YEAR($E616),MONTH($E616),1))</f>
        <v/>
      </c>
      <c r="M616" s="113">
        <f>IF($D616="","",IF($C616="TANIMSIZ MÜŞTERİ","HATA",IF(OR($E616="",$F616&lt;=0,$G616=""),"EKSİK",IF($E616&gt;TODAY(),"İLERİ TARİH",IF(COUNTIF($S$7:$S$1506,$S616)&gt;1,"MÜKERRER?",IF($T616&gt;0,"KAPALI DÖNEM","UYGUN"))))))</f>
        <v/>
      </c>
      <c r="N616" s="121">
        <f>IF($C616="","",IF($C616="TANIMSIZ MÜŞTERİ","—",INDEX(MUSTERILER!$C$7:$C$106,MATCH($C616,MUSTERILER!$B$7:$B$106,0))))</f>
        <v/>
      </c>
      <c r="O616" s="6" t="n"/>
      <c r="P616" s="6" t="n"/>
      <c r="Q616" s="3">
        <f>IF($D616="","",$C616&amp;"|"&amp;COUNTIFS($C$7:$C616,$C616))</f>
        <v/>
      </c>
      <c r="R616" s="3">
        <f>IF($D616="","",UPPER(SUBSTITUTE(SUBSTITUTE(SUBSTITUTE(SUBSTITUTE(SUBSTITUTE(SUBSTITUTE(SUBSTITUTE(SUBSTITUTE(SUBSTITUTE(SUBSTITUTE(SUBSTITUTE(SUBSTITUTE(SUBSTITUTE(SUBSTITUTE(SUBSTITUTE(SUBSTITUTE(SUBSTITUTE(SUBSTITUTE(TRIM($D616),"'",""),"İ","I"),"ı","I"),"i","I"),"Ş","S"),"ş","S"),"Ğ","G"),"ğ","G"),"Ü","U"),"ü","U"),"Ö","O"),"ö","O"),"Ç","C"),"ç","C"),".",""),",","")," ",""),"-","")))</f>
        <v/>
      </c>
      <c r="S616" s="3">
        <f>IF($D616="","",$C616&amp;"|"&amp;TEXT($E616,"0")&amp;"|"&amp;TEXT($F616,"0")&amp;"|"&amp;$I616)</f>
        <v/>
      </c>
      <c r="T616" s="3">
        <f>IF($E616="",0,SUMPRODUCT((AY_SONU!$O$7:$O$42="Evet")*(AY_SONU!$B$7:$B$42=DATE(YEAR($E616),MONTH($E616),1))))</f>
        <v/>
      </c>
    </row>
    <row r="617">
      <c r="A617" s="6" t="n"/>
      <c r="B617" s="113">
        <f>IF($D617="","","T"&amp;TEXT(ROW()-6,"00000"))</f>
        <v/>
      </c>
      <c r="C617" s="113">
        <f>IF($D617="","",IFERROR(INDEX(MUSTERILER!$B$7:$B$106,MATCH($R617,MUSTERILER!$T$7:$T$106,0)),IFERROR(INDEX(MUSTERILER!$B$7:$B$106,MATCH($D617,MUSTERILER!$B$7:$B$106,0)),IFERROR(INDEX(MUSTERILER!$B$7:$B$106,MATCH($R617&amp;"*",MUSTERILER!$T$7:$T$106,0)),"TANIMSIZ MÜŞTERİ"))))</f>
        <v/>
      </c>
      <c r="D617" s="109" t="n"/>
      <c r="E617" s="220" t="n"/>
      <c r="F617" s="221" t="n"/>
      <c r="G617" s="108" t="n"/>
      <c r="H617" s="108" t="n"/>
      <c r="I617" s="109" t="n"/>
      <c r="J617" s="109" t="n"/>
      <c r="K617" s="109" t="n"/>
      <c r="L617" s="226">
        <f>IF($E617="","",DATE(YEAR($E617),MONTH($E617),1))</f>
        <v/>
      </c>
      <c r="M617" s="113">
        <f>IF($D617="","",IF($C617="TANIMSIZ MÜŞTERİ","HATA",IF(OR($E617="",$F617&lt;=0,$G617=""),"EKSİK",IF($E617&gt;TODAY(),"İLERİ TARİH",IF(COUNTIF($S$7:$S$1506,$S617)&gt;1,"MÜKERRER?",IF($T617&gt;0,"KAPALI DÖNEM","UYGUN"))))))</f>
        <v/>
      </c>
      <c r="N617" s="121">
        <f>IF($C617="","",IF($C617="TANIMSIZ MÜŞTERİ","—",INDEX(MUSTERILER!$C$7:$C$106,MATCH($C617,MUSTERILER!$B$7:$B$106,0))))</f>
        <v/>
      </c>
      <c r="O617" s="6" t="n"/>
      <c r="P617" s="6" t="n"/>
      <c r="Q617" s="3">
        <f>IF($D617="","",$C617&amp;"|"&amp;COUNTIFS($C$7:$C617,$C617))</f>
        <v/>
      </c>
      <c r="R617" s="3">
        <f>IF($D617="","",UPPER(SUBSTITUTE(SUBSTITUTE(SUBSTITUTE(SUBSTITUTE(SUBSTITUTE(SUBSTITUTE(SUBSTITUTE(SUBSTITUTE(SUBSTITUTE(SUBSTITUTE(SUBSTITUTE(SUBSTITUTE(SUBSTITUTE(SUBSTITUTE(SUBSTITUTE(SUBSTITUTE(SUBSTITUTE(SUBSTITUTE(TRIM($D617),"'",""),"İ","I"),"ı","I"),"i","I"),"Ş","S"),"ş","S"),"Ğ","G"),"ğ","G"),"Ü","U"),"ü","U"),"Ö","O"),"ö","O"),"Ç","C"),"ç","C"),".",""),",","")," ",""),"-","")))</f>
        <v/>
      </c>
      <c r="S617" s="3">
        <f>IF($D617="","",$C617&amp;"|"&amp;TEXT($E617,"0")&amp;"|"&amp;TEXT($F617,"0")&amp;"|"&amp;$I617)</f>
        <v/>
      </c>
      <c r="T617" s="3">
        <f>IF($E617="",0,SUMPRODUCT((AY_SONU!$O$7:$O$42="Evet")*(AY_SONU!$B$7:$B$42=DATE(YEAR($E617),MONTH($E617),1))))</f>
        <v/>
      </c>
    </row>
    <row r="618">
      <c r="A618" s="6" t="n"/>
      <c r="B618" s="113">
        <f>IF($D618="","","T"&amp;TEXT(ROW()-6,"00000"))</f>
        <v/>
      </c>
      <c r="C618" s="113">
        <f>IF($D618="","",IFERROR(INDEX(MUSTERILER!$B$7:$B$106,MATCH($R618,MUSTERILER!$T$7:$T$106,0)),IFERROR(INDEX(MUSTERILER!$B$7:$B$106,MATCH($D618,MUSTERILER!$B$7:$B$106,0)),IFERROR(INDEX(MUSTERILER!$B$7:$B$106,MATCH($R618&amp;"*",MUSTERILER!$T$7:$T$106,0)),"TANIMSIZ MÜŞTERİ"))))</f>
        <v/>
      </c>
      <c r="D618" s="109" t="n"/>
      <c r="E618" s="220" t="n"/>
      <c r="F618" s="221" t="n"/>
      <c r="G618" s="108" t="n"/>
      <c r="H618" s="108" t="n"/>
      <c r="I618" s="109" t="n"/>
      <c r="J618" s="109" t="n"/>
      <c r="K618" s="109" t="n"/>
      <c r="L618" s="226">
        <f>IF($E618="","",DATE(YEAR($E618),MONTH($E618),1))</f>
        <v/>
      </c>
      <c r="M618" s="113">
        <f>IF($D618="","",IF($C618="TANIMSIZ MÜŞTERİ","HATA",IF(OR($E618="",$F618&lt;=0,$G618=""),"EKSİK",IF($E618&gt;TODAY(),"İLERİ TARİH",IF(COUNTIF($S$7:$S$1506,$S618)&gt;1,"MÜKERRER?",IF($T618&gt;0,"KAPALI DÖNEM","UYGUN"))))))</f>
        <v/>
      </c>
      <c r="N618" s="121">
        <f>IF($C618="","",IF($C618="TANIMSIZ MÜŞTERİ","—",INDEX(MUSTERILER!$C$7:$C$106,MATCH($C618,MUSTERILER!$B$7:$B$106,0))))</f>
        <v/>
      </c>
      <c r="O618" s="6" t="n"/>
      <c r="P618" s="6" t="n"/>
      <c r="Q618" s="3">
        <f>IF($D618="","",$C618&amp;"|"&amp;COUNTIFS($C$7:$C618,$C618))</f>
        <v/>
      </c>
      <c r="R618" s="3">
        <f>IF($D618="","",UPPER(SUBSTITUTE(SUBSTITUTE(SUBSTITUTE(SUBSTITUTE(SUBSTITUTE(SUBSTITUTE(SUBSTITUTE(SUBSTITUTE(SUBSTITUTE(SUBSTITUTE(SUBSTITUTE(SUBSTITUTE(SUBSTITUTE(SUBSTITUTE(SUBSTITUTE(SUBSTITUTE(SUBSTITUTE(SUBSTITUTE(TRIM($D618),"'",""),"İ","I"),"ı","I"),"i","I"),"Ş","S"),"ş","S"),"Ğ","G"),"ğ","G"),"Ü","U"),"ü","U"),"Ö","O"),"ö","O"),"Ç","C"),"ç","C"),".",""),",","")," ",""),"-","")))</f>
        <v/>
      </c>
      <c r="S618" s="3">
        <f>IF($D618="","",$C618&amp;"|"&amp;TEXT($E618,"0")&amp;"|"&amp;TEXT($F618,"0")&amp;"|"&amp;$I618)</f>
        <v/>
      </c>
      <c r="T618" s="3">
        <f>IF($E618="",0,SUMPRODUCT((AY_SONU!$O$7:$O$42="Evet")*(AY_SONU!$B$7:$B$42=DATE(YEAR($E618),MONTH($E618),1))))</f>
        <v/>
      </c>
    </row>
    <row r="619">
      <c r="A619" s="6" t="n"/>
      <c r="B619" s="113">
        <f>IF($D619="","","T"&amp;TEXT(ROW()-6,"00000"))</f>
        <v/>
      </c>
      <c r="C619" s="113">
        <f>IF($D619="","",IFERROR(INDEX(MUSTERILER!$B$7:$B$106,MATCH($R619,MUSTERILER!$T$7:$T$106,0)),IFERROR(INDEX(MUSTERILER!$B$7:$B$106,MATCH($D619,MUSTERILER!$B$7:$B$106,0)),IFERROR(INDEX(MUSTERILER!$B$7:$B$106,MATCH($R619&amp;"*",MUSTERILER!$T$7:$T$106,0)),"TANIMSIZ MÜŞTERİ"))))</f>
        <v/>
      </c>
      <c r="D619" s="109" t="n"/>
      <c r="E619" s="220" t="n"/>
      <c r="F619" s="221" t="n"/>
      <c r="G619" s="108" t="n"/>
      <c r="H619" s="108" t="n"/>
      <c r="I619" s="109" t="n"/>
      <c r="J619" s="109" t="n"/>
      <c r="K619" s="109" t="n"/>
      <c r="L619" s="226">
        <f>IF($E619="","",DATE(YEAR($E619),MONTH($E619),1))</f>
        <v/>
      </c>
      <c r="M619" s="113">
        <f>IF($D619="","",IF($C619="TANIMSIZ MÜŞTERİ","HATA",IF(OR($E619="",$F619&lt;=0,$G619=""),"EKSİK",IF($E619&gt;TODAY(),"İLERİ TARİH",IF(COUNTIF($S$7:$S$1506,$S619)&gt;1,"MÜKERRER?",IF($T619&gt;0,"KAPALI DÖNEM","UYGUN"))))))</f>
        <v/>
      </c>
      <c r="N619" s="121">
        <f>IF($C619="","",IF($C619="TANIMSIZ MÜŞTERİ","—",INDEX(MUSTERILER!$C$7:$C$106,MATCH($C619,MUSTERILER!$B$7:$B$106,0))))</f>
        <v/>
      </c>
      <c r="O619" s="6" t="n"/>
      <c r="P619" s="6" t="n"/>
      <c r="Q619" s="3">
        <f>IF($D619="","",$C619&amp;"|"&amp;COUNTIFS($C$7:$C619,$C619))</f>
        <v/>
      </c>
      <c r="R619" s="3">
        <f>IF($D619="","",UPPER(SUBSTITUTE(SUBSTITUTE(SUBSTITUTE(SUBSTITUTE(SUBSTITUTE(SUBSTITUTE(SUBSTITUTE(SUBSTITUTE(SUBSTITUTE(SUBSTITUTE(SUBSTITUTE(SUBSTITUTE(SUBSTITUTE(SUBSTITUTE(SUBSTITUTE(SUBSTITUTE(SUBSTITUTE(SUBSTITUTE(TRIM($D619),"'",""),"İ","I"),"ı","I"),"i","I"),"Ş","S"),"ş","S"),"Ğ","G"),"ğ","G"),"Ü","U"),"ü","U"),"Ö","O"),"ö","O"),"Ç","C"),"ç","C"),".",""),",","")," ",""),"-","")))</f>
        <v/>
      </c>
      <c r="S619" s="3">
        <f>IF($D619="","",$C619&amp;"|"&amp;TEXT($E619,"0")&amp;"|"&amp;TEXT($F619,"0")&amp;"|"&amp;$I619)</f>
        <v/>
      </c>
      <c r="T619" s="3">
        <f>IF($E619="",0,SUMPRODUCT((AY_SONU!$O$7:$O$42="Evet")*(AY_SONU!$B$7:$B$42=DATE(YEAR($E619),MONTH($E619),1))))</f>
        <v/>
      </c>
    </row>
    <row r="620">
      <c r="A620" s="6" t="n"/>
      <c r="B620" s="113">
        <f>IF($D620="","","T"&amp;TEXT(ROW()-6,"00000"))</f>
        <v/>
      </c>
      <c r="C620" s="113">
        <f>IF($D620="","",IFERROR(INDEX(MUSTERILER!$B$7:$B$106,MATCH($R620,MUSTERILER!$T$7:$T$106,0)),IFERROR(INDEX(MUSTERILER!$B$7:$B$106,MATCH($D620,MUSTERILER!$B$7:$B$106,0)),IFERROR(INDEX(MUSTERILER!$B$7:$B$106,MATCH($R620&amp;"*",MUSTERILER!$T$7:$T$106,0)),"TANIMSIZ MÜŞTERİ"))))</f>
        <v/>
      </c>
      <c r="D620" s="109" t="n"/>
      <c r="E620" s="220" t="n"/>
      <c r="F620" s="221" t="n"/>
      <c r="G620" s="108" t="n"/>
      <c r="H620" s="108" t="n"/>
      <c r="I620" s="109" t="n"/>
      <c r="J620" s="109" t="n"/>
      <c r="K620" s="109" t="n"/>
      <c r="L620" s="226">
        <f>IF($E620="","",DATE(YEAR($E620),MONTH($E620),1))</f>
        <v/>
      </c>
      <c r="M620" s="113">
        <f>IF($D620="","",IF($C620="TANIMSIZ MÜŞTERİ","HATA",IF(OR($E620="",$F620&lt;=0,$G620=""),"EKSİK",IF($E620&gt;TODAY(),"İLERİ TARİH",IF(COUNTIF($S$7:$S$1506,$S620)&gt;1,"MÜKERRER?",IF($T620&gt;0,"KAPALI DÖNEM","UYGUN"))))))</f>
        <v/>
      </c>
      <c r="N620" s="121">
        <f>IF($C620="","",IF($C620="TANIMSIZ MÜŞTERİ","—",INDEX(MUSTERILER!$C$7:$C$106,MATCH($C620,MUSTERILER!$B$7:$B$106,0))))</f>
        <v/>
      </c>
      <c r="O620" s="6" t="n"/>
      <c r="P620" s="6" t="n"/>
      <c r="Q620" s="3">
        <f>IF($D620="","",$C620&amp;"|"&amp;COUNTIFS($C$7:$C620,$C620))</f>
        <v/>
      </c>
      <c r="R620" s="3">
        <f>IF($D620="","",UPPER(SUBSTITUTE(SUBSTITUTE(SUBSTITUTE(SUBSTITUTE(SUBSTITUTE(SUBSTITUTE(SUBSTITUTE(SUBSTITUTE(SUBSTITUTE(SUBSTITUTE(SUBSTITUTE(SUBSTITUTE(SUBSTITUTE(SUBSTITUTE(SUBSTITUTE(SUBSTITUTE(SUBSTITUTE(SUBSTITUTE(TRIM($D620),"'",""),"İ","I"),"ı","I"),"i","I"),"Ş","S"),"ş","S"),"Ğ","G"),"ğ","G"),"Ü","U"),"ü","U"),"Ö","O"),"ö","O"),"Ç","C"),"ç","C"),".",""),",","")," ",""),"-","")))</f>
        <v/>
      </c>
      <c r="S620" s="3">
        <f>IF($D620="","",$C620&amp;"|"&amp;TEXT($E620,"0")&amp;"|"&amp;TEXT($F620,"0")&amp;"|"&amp;$I620)</f>
        <v/>
      </c>
      <c r="T620" s="3">
        <f>IF($E620="",0,SUMPRODUCT((AY_SONU!$O$7:$O$42="Evet")*(AY_SONU!$B$7:$B$42=DATE(YEAR($E620),MONTH($E620),1))))</f>
        <v/>
      </c>
    </row>
    <row r="621">
      <c r="A621" s="6" t="n"/>
      <c r="B621" s="113">
        <f>IF($D621="","","T"&amp;TEXT(ROW()-6,"00000"))</f>
        <v/>
      </c>
      <c r="C621" s="113">
        <f>IF($D621="","",IFERROR(INDEX(MUSTERILER!$B$7:$B$106,MATCH($R621,MUSTERILER!$T$7:$T$106,0)),IFERROR(INDEX(MUSTERILER!$B$7:$B$106,MATCH($D621,MUSTERILER!$B$7:$B$106,0)),IFERROR(INDEX(MUSTERILER!$B$7:$B$106,MATCH($R621&amp;"*",MUSTERILER!$T$7:$T$106,0)),"TANIMSIZ MÜŞTERİ"))))</f>
        <v/>
      </c>
      <c r="D621" s="109" t="n"/>
      <c r="E621" s="220" t="n"/>
      <c r="F621" s="221" t="n"/>
      <c r="G621" s="108" t="n"/>
      <c r="H621" s="108" t="n"/>
      <c r="I621" s="109" t="n"/>
      <c r="J621" s="109" t="n"/>
      <c r="K621" s="109" t="n"/>
      <c r="L621" s="226">
        <f>IF($E621="","",DATE(YEAR($E621),MONTH($E621),1))</f>
        <v/>
      </c>
      <c r="M621" s="113">
        <f>IF($D621="","",IF($C621="TANIMSIZ MÜŞTERİ","HATA",IF(OR($E621="",$F621&lt;=0,$G621=""),"EKSİK",IF($E621&gt;TODAY(),"İLERİ TARİH",IF(COUNTIF($S$7:$S$1506,$S621)&gt;1,"MÜKERRER?",IF($T621&gt;0,"KAPALI DÖNEM","UYGUN"))))))</f>
        <v/>
      </c>
      <c r="N621" s="121">
        <f>IF($C621="","",IF($C621="TANIMSIZ MÜŞTERİ","—",INDEX(MUSTERILER!$C$7:$C$106,MATCH($C621,MUSTERILER!$B$7:$B$106,0))))</f>
        <v/>
      </c>
      <c r="O621" s="6" t="n"/>
      <c r="P621" s="6" t="n"/>
      <c r="Q621" s="3">
        <f>IF($D621="","",$C621&amp;"|"&amp;COUNTIFS($C$7:$C621,$C621))</f>
        <v/>
      </c>
      <c r="R621" s="3">
        <f>IF($D621="","",UPPER(SUBSTITUTE(SUBSTITUTE(SUBSTITUTE(SUBSTITUTE(SUBSTITUTE(SUBSTITUTE(SUBSTITUTE(SUBSTITUTE(SUBSTITUTE(SUBSTITUTE(SUBSTITUTE(SUBSTITUTE(SUBSTITUTE(SUBSTITUTE(SUBSTITUTE(SUBSTITUTE(SUBSTITUTE(SUBSTITUTE(TRIM($D621),"'",""),"İ","I"),"ı","I"),"i","I"),"Ş","S"),"ş","S"),"Ğ","G"),"ğ","G"),"Ü","U"),"ü","U"),"Ö","O"),"ö","O"),"Ç","C"),"ç","C"),".",""),",","")," ",""),"-","")))</f>
        <v/>
      </c>
      <c r="S621" s="3">
        <f>IF($D621="","",$C621&amp;"|"&amp;TEXT($E621,"0")&amp;"|"&amp;TEXT($F621,"0")&amp;"|"&amp;$I621)</f>
        <v/>
      </c>
      <c r="T621" s="3">
        <f>IF($E621="",0,SUMPRODUCT((AY_SONU!$O$7:$O$42="Evet")*(AY_SONU!$B$7:$B$42=DATE(YEAR($E621),MONTH($E621),1))))</f>
        <v/>
      </c>
    </row>
    <row r="622">
      <c r="A622" s="6" t="n"/>
      <c r="B622" s="113">
        <f>IF($D622="","","T"&amp;TEXT(ROW()-6,"00000"))</f>
        <v/>
      </c>
      <c r="C622" s="113">
        <f>IF($D622="","",IFERROR(INDEX(MUSTERILER!$B$7:$B$106,MATCH($R622,MUSTERILER!$T$7:$T$106,0)),IFERROR(INDEX(MUSTERILER!$B$7:$B$106,MATCH($D622,MUSTERILER!$B$7:$B$106,0)),IFERROR(INDEX(MUSTERILER!$B$7:$B$106,MATCH($R622&amp;"*",MUSTERILER!$T$7:$T$106,0)),"TANIMSIZ MÜŞTERİ"))))</f>
        <v/>
      </c>
      <c r="D622" s="109" t="n"/>
      <c r="E622" s="220" t="n"/>
      <c r="F622" s="221" t="n"/>
      <c r="G622" s="108" t="n"/>
      <c r="H622" s="108" t="n"/>
      <c r="I622" s="109" t="n"/>
      <c r="J622" s="109" t="n"/>
      <c r="K622" s="109" t="n"/>
      <c r="L622" s="226">
        <f>IF($E622="","",DATE(YEAR($E622),MONTH($E622),1))</f>
        <v/>
      </c>
      <c r="M622" s="113">
        <f>IF($D622="","",IF($C622="TANIMSIZ MÜŞTERİ","HATA",IF(OR($E622="",$F622&lt;=0,$G622=""),"EKSİK",IF($E622&gt;TODAY(),"İLERİ TARİH",IF(COUNTIF($S$7:$S$1506,$S622)&gt;1,"MÜKERRER?",IF($T622&gt;0,"KAPALI DÖNEM","UYGUN"))))))</f>
        <v/>
      </c>
      <c r="N622" s="121">
        <f>IF($C622="","",IF($C622="TANIMSIZ MÜŞTERİ","—",INDEX(MUSTERILER!$C$7:$C$106,MATCH($C622,MUSTERILER!$B$7:$B$106,0))))</f>
        <v/>
      </c>
      <c r="O622" s="6" t="n"/>
      <c r="P622" s="6" t="n"/>
      <c r="Q622" s="3">
        <f>IF($D622="","",$C622&amp;"|"&amp;COUNTIFS($C$7:$C622,$C622))</f>
        <v/>
      </c>
      <c r="R622" s="3">
        <f>IF($D622="","",UPPER(SUBSTITUTE(SUBSTITUTE(SUBSTITUTE(SUBSTITUTE(SUBSTITUTE(SUBSTITUTE(SUBSTITUTE(SUBSTITUTE(SUBSTITUTE(SUBSTITUTE(SUBSTITUTE(SUBSTITUTE(SUBSTITUTE(SUBSTITUTE(SUBSTITUTE(SUBSTITUTE(SUBSTITUTE(SUBSTITUTE(TRIM($D622),"'",""),"İ","I"),"ı","I"),"i","I"),"Ş","S"),"ş","S"),"Ğ","G"),"ğ","G"),"Ü","U"),"ü","U"),"Ö","O"),"ö","O"),"Ç","C"),"ç","C"),".",""),",","")," ",""),"-","")))</f>
        <v/>
      </c>
      <c r="S622" s="3">
        <f>IF($D622="","",$C622&amp;"|"&amp;TEXT($E622,"0")&amp;"|"&amp;TEXT($F622,"0")&amp;"|"&amp;$I622)</f>
        <v/>
      </c>
      <c r="T622" s="3">
        <f>IF($E622="",0,SUMPRODUCT((AY_SONU!$O$7:$O$42="Evet")*(AY_SONU!$B$7:$B$42=DATE(YEAR($E622),MONTH($E622),1))))</f>
        <v/>
      </c>
    </row>
    <row r="623">
      <c r="A623" s="6" t="n"/>
      <c r="B623" s="113">
        <f>IF($D623="","","T"&amp;TEXT(ROW()-6,"00000"))</f>
        <v/>
      </c>
      <c r="C623" s="113">
        <f>IF($D623="","",IFERROR(INDEX(MUSTERILER!$B$7:$B$106,MATCH($R623,MUSTERILER!$T$7:$T$106,0)),IFERROR(INDEX(MUSTERILER!$B$7:$B$106,MATCH($D623,MUSTERILER!$B$7:$B$106,0)),IFERROR(INDEX(MUSTERILER!$B$7:$B$106,MATCH($R623&amp;"*",MUSTERILER!$T$7:$T$106,0)),"TANIMSIZ MÜŞTERİ"))))</f>
        <v/>
      </c>
      <c r="D623" s="109" t="n"/>
      <c r="E623" s="220" t="n"/>
      <c r="F623" s="221" t="n"/>
      <c r="G623" s="108" t="n"/>
      <c r="H623" s="108" t="n"/>
      <c r="I623" s="109" t="n"/>
      <c r="J623" s="109" t="n"/>
      <c r="K623" s="109" t="n"/>
      <c r="L623" s="226">
        <f>IF($E623="","",DATE(YEAR($E623),MONTH($E623),1))</f>
        <v/>
      </c>
      <c r="M623" s="113">
        <f>IF($D623="","",IF($C623="TANIMSIZ MÜŞTERİ","HATA",IF(OR($E623="",$F623&lt;=0,$G623=""),"EKSİK",IF($E623&gt;TODAY(),"İLERİ TARİH",IF(COUNTIF($S$7:$S$1506,$S623)&gt;1,"MÜKERRER?",IF($T623&gt;0,"KAPALI DÖNEM","UYGUN"))))))</f>
        <v/>
      </c>
      <c r="N623" s="121">
        <f>IF($C623="","",IF($C623="TANIMSIZ MÜŞTERİ","—",INDEX(MUSTERILER!$C$7:$C$106,MATCH($C623,MUSTERILER!$B$7:$B$106,0))))</f>
        <v/>
      </c>
      <c r="O623" s="6" t="n"/>
      <c r="P623" s="6" t="n"/>
      <c r="Q623" s="3">
        <f>IF($D623="","",$C623&amp;"|"&amp;COUNTIFS($C$7:$C623,$C623))</f>
        <v/>
      </c>
      <c r="R623" s="3">
        <f>IF($D623="","",UPPER(SUBSTITUTE(SUBSTITUTE(SUBSTITUTE(SUBSTITUTE(SUBSTITUTE(SUBSTITUTE(SUBSTITUTE(SUBSTITUTE(SUBSTITUTE(SUBSTITUTE(SUBSTITUTE(SUBSTITUTE(SUBSTITUTE(SUBSTITUTE(SUBSTITUTE(SUBSTITUTE(SUBSTITUTE(SUBSTITUTE(TRIM($D623),"'",""),"İ","I"),"ı","I"),"i","I"),"Ş","S"),"ş","S"),"Ğ","G"),"ğ","G"),"Ü","U"),"ü","U"),"Ö","O"),"ö","O"),"Ç","C"),"ç","C"),".",""),",","")," ",""),"-","")))</f>
        <v/>
      </c>
      <c r="S623" s="3">
        <f>IF($D623="","",$C623&amp;"|"&amp;TEXT($E623,"0")&amp;"|"&amp;TEXT($F623,"0")&amp;"|"&amp;$I623)</f>
        <v/>
      </c>
      <c r="T623" s="3">
        <f>IF($E623="",0,SUMPRODUCT((AY_SONU!$O$7:$O$42="Evet")*(AY_SONU!$B$7:$B$42=DATE(YEAR($E623),MONTH($E623),1))))</f>
        <v/>
      </c>
    </row>
    <row r="624">
      <c r="A624" s="6" t="n"/>
      <c r="B624" s="113">
        <f>IF($D624="","","T"&amp;TEXT(ROW()-6,"00000"))</f>
        <v/>
      </c>
      <c r="C624" s="113">
        <f>IF($D624="","",IFERROR(INDEX(MUSTERILER!$B$7:$B$106,MATCH($R624,MUSTERILER!$T$7:$T$106,0)),IFERROR(INDEX(MUSTERILER!$B$7:$B$106,MATCH($D624,MUSTERILER!$B$7:$B$106,0)),IFERROR(INDEX(MUSTERILER!$B$7:$B$106,MATCH($R624&amp;"*",MUSTERILER!$T$7:$T$106,0)),"TANIMSIZ MÜŞTERİ"))))</f>
        <v/>
      </c>
      <c r="D624" s="109" t="n"/>
      <c r="E624" s="220" t="n"/>
      <c r="F624" s="221" t="n"/>
      <c r="G624" s="108" t="n"/>
      <c r="H624" s="108" t="n"/>
      <c r="I624" s="109" t="n"/>
      <c r="J624" s="109" t="n"/>
      <c r="K624" s="109" t="n"/>
      <c r="L624" s="226">
        <f>IF($E624="","",DATE(YEAR($E624),MONTH($E624),1))</f>
        <v/>
      </c>
      <c r="M624" s="113">
        <f>IF($D624="","",IF($C624="TANIMSIZ MÜŞTERİ","HATA",IF(OR($E624="",$F624&lt;=0,$G624=""),"EKSİK",IF($E624&gt;TODAY(),"İLERİ TARİH",IF(COUNTIF($S$7:$S$1506,$S624)&gt;1,"MÜKERRER?",IF($T624&gt;0,"KAPALI DÖNEM","UYGUN"))))))</f>
        <v/>
      </c>
      <c r="N624" s="121">
        <f>IF($C624="","",IF($C624="TANIMSIZ MÜŞTERİ","—",INDEX(MUSTERILER!$C$7:$C$106,MATCH($C624,MUSTERILER!$B$7:$B$106,0))))</f>
        <v/>
      </c>
      <c r="O624" s="6" t="n"/>
      <c r="P624" s="6" t="n"/>
      <c r="Q624" s="3">
        <f>IF($D624="","",$C624&amp;"|"&amp;COUNTIFS($C$7:$C624,$C624))</f>
        <v/>
      </c>
      <c r="R624" s="3">
        <f>IF($D624="","",UPPER(SUBSTITUTE(SUBSTITUTE(SUBSTITUTE(SUBSTITUTE(SUBSTITUTE(SUBSTITUTE(SUBSTITUTE(SUBSTITUTE(SUBSTITUTE(SUBSTITUTE(SUBSTITUTE(SUBSTITUTE(SUBSTITUTE(SUBSTITUTE(SUBSTITUTE(SUBSTITUTE(SUBSTITUTE(SUBSTITUTE(TRIM($D624),"'",""),"İ","I"),"ı","I"),"i","I"),"Ş","S"),"ş","S"),"Ğ","G"),"ğ","G"),"Ü","U"),"ü","U"),"Ö","O"),"ö","O"),"Ç","C"),"ç","C"),".",""),",","")," ",""),"-","")))</f>
        <v/>
      </c>
      <c r="S624" s="3">
        <f>IF($D624="","",$C624&amp;"|"&amp;TEXT($E624,"0")&amp;"|"&amp;TEXT($F624,"0")&amp;"|"&amp;$I624)</f>
        <v/>
      </c>
      <c r="T624" s="3">
        <f>IF($E624="",0,SUMPRODUCT((AY_SONU!$O$7:$O$42="Evet")*(AY_SONU!$B$7:$B$42=DATE(YEAR($E624),MONTH($E624),1))))</f>
        <v/>
      </c>
    </row>
    <row r="625">
      <c r="A625" s="6" t="n"/>
      <c r="B625" s="113">
        <f>IF($D625="","","T"&amp;TEXT(ROW()-6,"00000"))</f>
        <v/>
      </c>
      <c r="C625" s="113">
        <f>IF($D625="","",IFERROR(INDEX(MUSTERILER!$B$7:$B$106,MATCH($R625,MUSTERILER!$T$7:$T$106,0)),IFERROR(INDEX(MUSTERILER!$B$7:$B$106,MATCH($D625,MUSTERILER!$B$7:$B$106,0)),IFERROR(INDEX(MUSTERILER!$B$7:$B$106,MATCH($R625&amp;"*",MUSTERILER!$T$7:$T$106,0)),"TANIMSIZ MÜŞTERİ"))))</f>
        <v/>
      </c>
      <c r="D625" s="109" t="n"/>
      <c r="E625" s="220" t="n"/>
      <c r="F625" s="221" t="n"/>
      <c r="G625" s="108" t="n"/>
      <c r="H625" s="108" t="n"/>
      <c r="I625" s="109" t="n"/>
      <c r="J625" s="109" t="n"/>
      <c r="K625" s="109" t="n"/>
      <c r="L625" s="226">
        <f>IF($E625="","",DATE(YEAR($E625),MONTH($E625),1))</f>
        <v/>
      </c>
      <c r="M625" s="113">
        <f>IF($D625="","",IF($C625="TANIMSIZ MÜŞTERİ","HATA",IF(OR($E625="",$F625&lt;=0,$G625=""),"EKSİK",IF($E625&gt;TODAY(),"İLERİ TARİH",IF(COUNTIF($S$7:$S$1506,$S625)&gt;1,"MÜKERRER?",IF($T625&gt;0,"KAPALI DÖNEM","UYGUN"))))))</f>
        <v/>
      </c>
      <c r="N625" s="121">
        <f>IF($C625="","",IF($C625="TANIMSIZ MÜŞTERİ","—",INDEX(MUSTERILER!$C$7:$C$106,MATCH($C625,MUSTERILER!$B$7:$B$106,0))))</f>
        <v/>
      </c>
      <c r="O625" s="6" t="n"/>
      <c r="P625" s="6" t="n"/>
      <c r="Q625" s="3">
        <f>IF($D625="","",$C625&amp;"|"&amp;COUNTIFS($C$7:$C625,$C625))</f>
        <v/>
      </c>
      <c r="R625" s="3">
        <f>IF($D625="","",UPPER(SUBSTITUTE(SUBSTITUTE(SUBSTITUTE(SUBSTITUTE(SUBSTITUTE(SUBSTITUTE(SUBSTITUTE(SUBSTITUTE(SUBSTITUTE(SUBSTITUTE(SUBSTITUTE(SUBSTITUTE(SUBSTITUTE(SUBSTITUTE(SUBSTITUTE(SUBSTITUTE(SUBSTITUTE(SUBSTITUTE(TRIM($D625),"'",""),"İ","I"),"ı","I"),"i","I"),"Ş","S"),"ş","S"),"Ğ","G"),"ğ","G"),"Ü","U"),"ü","U"),"Ö","O"),"ö","O"),"Ç","C"),"ç","C"),".",""),",","")," ",""),"-","")))</f>
        <v/>
      </c>
      <c r="S625" s="3">
        <f>IF($D625="","",$C625&amp;"|"&amp;TEXT($E625,"0")&amp;"|"&amp;TEXT($F625,"0")&amp;"|"&amp;$I625)</f>
        <v/>
      </c>
      <c r="T625" s="3">
        <f>IF($E625="",0,SUMPRODUCT((AY_SONU!$O$7:$O$42="Evet")*(AY_SONU!$B$7:$B$42=DATE(YEAR($E625),MONTH($E625),1))))</f>
        <v/>
      </c>
    </row>
    <row r="626">
      <c r="A626" s="6" t="n"/>
      <c r="B626" s="113">
        <f>IF($D626="","","T"&amp;TEXT(ROW()-6,"00000"))</f>
        <v/>
      </c>
      <c r="C626" s="113">
        <f>IF($D626="","",IFERROR(INDEX(MUSTERILER!$B$7:$B$106,MATCH($R626,MUSTERILER!$T$7:$T$106,0)),IFERROR(INDEX(MUSTERILER!$B$7:$B$106,MATCH($D626,MUSTERILER!$B$7:$B$106,0)),IFERROR(INDEX(MUSTERILER!$B$7:$B$106,MATCH($R626&amp;"*",MUSTERILER!$T$7:$T$106,0)),"TANIMSIZ MÜŞTERİ"))))</f>
        <v/>
      </c>
      <c r="D626" s="109" t="n"/>
      <c r="E626" s="220" t="n"/>
      <c r="F626" s="221" t="n"/>
      <c r="G626" s="108" t="n"/>
      <c r="H626" s="108" t="n"/>
      <c r="I626" s="109" t="n"/>
      <c r="J626" s="109" t="n"/>
      <c r="K626" s="109" t="n"/>
      <c r="L626" s="226">
        <f>IF($E626="","",DATE(YEAR($E626),MONTH($E626),1))</f>
        <v/>
      </c>
      <c r="M626" s="113">
        <f>IF($D626="","",IF($C626="TANIMSIZ MÜŞTERİ","HATA",IF(OR($E626="",$F626&lt;=0,$G626=""),"EKSİK",IF($E626&gt;TODAY(),"İLERİ TARİH",IF(COUNTIF($S$7:$S$1506,$S626)&gt;1,"MÜKERRER?",IF($T626&gt;0,"KAPALI DÖNEM","UYGUN"))))))</f>
        <v/>
      </c>
      <c r="N626" s="121">
        <f>IF($C626="","",IF($C626="TANIMSIZ MÜŞTERİ","—",INDEX(MUSTERILER!$C$7:$C$106,MATCH($C626,MUSTERILER!$B$7:$B$106,0))))</f>
        <v/>
      </c>
      <c r="O626" s="6" t="n"/>
      <c r="P626" s="6" t="n"/>
      <c r="Q626" s="3">
        <f>IF($D626="","",$C626&amp;"|"&amp;COUNTIFS($C$7:$C626,$C626))</f>
        <v/>
      </c>
      <c r="R626" s="3">
        <f>IF($D626="","",UPPER(SUBSTITUTE(SUBSTITUTE(SUBSTITUTE(SUBSTITUTE(SUBSTITUTE(SUBSTITUTE(SUBSTITUTE(SUBSTITUTE(SUBSTITUTE(SUBSTITUTE(SUBSTITUTE(SUBSTITUTE(SUBSTITUTE(SUBSTITUTE(SUBSTITUTE(SUBSTITUTE(SUBSTITUTE(SUBSTITUTE(TRIM($D626),"'",""),"İ","I"),"ı","I"),"i","I"),"Ş","S"),"ş","S"),"Ğ","G"),"ğ","G"),"Ü","U"),"ü","U"),"Ö","O"),"ö","O"),"Ç","C"),"ç","C"),".",""),",","")," ",""),"-","")))</f>
        <v/>
      </c>
      <c r="S626" s="3">
        <f>IF($D626="","",$C626&amp;"|"&amp;TEXT($E626,"0")&amp;"|"&amp;TEXT($F626,"0")&amp;"|"&amp;$I626)</f>
        <v/>
      </c>
      <c r="T626" s="3">
        <f>IF($E626="",0,SUMPRODUCT((AY_SONU!$O$7:$O$42="Evet")*(AY_SONU!$B$7:$B$42=DATE(YEAR($E626),MONTH($E626),1))))</f>
        <v/>
      </c>
    </row>
    <row r="627">
      <c r="A627" s="6" t="n"/>
      <c r="B627" s="113">
        <f>IF($D627="","","T"&amp;TEXT(ROW()-6,"00000"))</f>
        <v/>
      </c>
      <c r="C627" s="113">
        <f>IF($D627="","",IFERROR(INDEX(MUSTERILER!$B$7:$B$106,MATCH($R627,MUSTERILER!$T$7:$T$106,0)),IFERROR(INDEX(MUSTERILER!$B$7:$B$106,MATCH($D627,MUSTERILER!$B$7:$B$106,0)),IFERROR(INDEX(MUSTERILER!$B$7:$B$106,MATCH($R627&amp;"*",MUSTERILER!$T$7:$T$106,0)),"TANIMSIZ MÜŞTERİ"))))</f>
        <v/>
      </c>
      <c r="D627" s="109" t="n"/>
      <c r="E627" s="220" t="n"/>
      <c r="F627" s="221" t="n"/>
      <c r="G627" s="108" t="n"/>
      <c r="H627" s="108" t="n"/>
      <c r="I627" s="109" t="n"/>
      <c r="J627" s="109" t="n"/>
      <c r="K627" s="109" t="n"/>
      <c r="L627" s="226">
        <f>IF($E627="","",DATE(YEAR($E627),MONTH($E627),1))</f>
        <v/>
      </c>
      <c r="M627" s="113">
        <f>IF($D627="","",IF($C627="TANIMSIZ MÜŞTERİ","HATA",IF(OR($E627="",$F627&lt;=0,$G627=""),"EKSİK",IF($E627&gt;TODAY(),"İLERİ TARİH",IF(COUNTIF($S$7:$S$1506,$S627)&gt;1,"MÜKERRER?",IF($T627&gt;0,"KAPALI DÖNEM","UYGUN"))))))</f>
        <v/>
      </c>
      <c r="N627" s="121">
        <f>IF($C627="","",IF($C627="TANIMSIZ MÜŞTERİ","—",INDEX(MUSTERILER!$C$7:$C$106,MATCH($C627,MUSTERILER!$B$7:$B$106,0))))</f>
        <v/>
      </c>
      <c r="O627" s="6" t="n"/>
      <c r="P627" s="6" t="n"/>
      <c r="Q627" s="3">
        <f>IF($D627="","",$C627&amp;"|"&amp;COUNTIFS($C$7:$C627,$C627))</f>
        <v/>
      </c>
      <c r="R627" s="3">
        <f>IF($D627="","",UPPER(SUBSTITUTE(SUBSTITUTE(SUBSTITUTE(SUBSTITUTE(SUBSTITUTE(SUBSTITUTE(SUBSTITUTE(SUBSTITUTE(SUBSTITUTE(SUBSTITUTE(SUBSTITUTE(SUBSTITUTE(SUBSTITUTE(SUBSTITUTE(SUBSTITUTE(SUBSTITUTE(SUBSTITUTE(SUBSTITUTE(TRIM($D627),"'",""),"İ","I"),"ı","I"),"i","I"),"Ş","S"),"ş","S"),"Ğ","G"),"ğ","G"),"Ü","U"),"ü","U"),"Ö","O"),"ö","O"),"Ç","C"),"ç","C"),".",""),",","")," ",""),"-","")))</f>
        <v/>
      </c>
      <c r="S627" s="3">
        <f>IF($D627="","",$C627&amp;"|"&amp;TEXT($E627,"0")&amp;"|"&amp;TEXT($F627,"0")&amp;"|"&amp;$I627)</f>
        <v/>
      </c>
      <c r="T627" s="3">
        <f>IF($E627="",0,SUMPRODUCT((AY_SONU!$O$7:$O$42="Evet")*(AY_SONU!$B$7:$B$42=DATE(YEAR($E627),MONTH($E627),1))))</f>
        <v/>
      </c>
    </row>
    <row r="628">
      <c r="A628" s="6" t="n"/>
      <c r="B628" s="113">
        <f>IF($D628="","","T"&amp;TEXT(ROW()-6,"00000"))</f>
        <v/>
      </c>
      <c r="C628" s="113">
        <f>IF($D628="","",IFERROR(INDEX(MUSTERILER!$B$7:$B$106,MATCH($R628,MUSTERILER!$T$7:$T$106,0)),IFERROR(INDEX(MUSTERILER!$B$7:$B$106,MATCH($D628,MUSTERILER!$B$7:$B$106,0)),IFERROR(INDEX(MUSTERILER!$B$7:$B$106,MATCH($R628&amp;"*",MUSTERILER!$T$7:$T$106,0)),"TANIMSIZ MÜŞTERİ"))))</f>
        <v/>
      </c>
      <c r="D628" s="109" t="n"/>
      <c r="E628" s="220" t="n"/>
      <c r="F628" s="221" t="n"/>
      <c r="G628" s="108" t="n"/>
      <c r="H628" s="108" t="n"/>
      <c r="I628" s="109" t="n"/>
      <c r="J628" s="109" t="n"/>
      <c r="K628" s="109" t="n"/>
      <c r="L628" s="226">
        <f>IF($E628="","",DATE(YEAR($E628),MONTH($E628),1))</f>
        <v/>
      </c>
      <c r="M628" s="113">
        <f>IF($D628="","",IF($C628="TANIMSIZ MÜŞTERİ","HATA",IF(OR($E628="",$F628&lt;=0,$G628=""),"EKSİK",IF($E628&gt;TODAY(),"İLERİ TARİH",IF(COUNTIF($S$7:$S$1506,$S628)&gt;1,"MÜKERRER?",IF($T628&gt;0,"KAPALI DÖNEM","UYGUN"))))))</f>
        <v/>
      </c>
      <c r="N628" s="121">
        <f>IF($C628="","",IF($C628="TANIMSIZ MÜŞTERİ","—",INDEX(MUSTERILER!$C$7:$C$106,MATCH($C628,MUSTERILER!$B$7:$B$106,0))))</f>
        <v/>
      </c>
      <c r="O628" s="6" t="n"/>
      <c r="P628" s="6" t="n"/>
      <c r="Q628" s="3">
        <f>IF($D628="","",$C628&amp;"|"&amp;COUNTIFS($C$7:$C628,$C628))</f>
        <v/>
      </c>
      <c r="R628" s="3">
        <f>IF($D628="","",UPPER(SUBSTITUTE(SUBSTITUTE(SUBSTITUTE(SUBSTITUTE(SUBSTITUTE(SUBSTITUTE(SUBSTITUTE(SUBSTITUTE(SUBSTITUTE(SUBSTITUTE(SUBSTITUTE(SUBSTITUTE(SUBSTITUTE(SUBSTITUTE(SUBSTITUTE(SUBSTITUTE(SUBSTITUTE(SUBSTITUTE(TRIM($D628),"'",""),"İ","I"),"ı","I"),"i","I"),"Ş","S"),"ş","S"),"Ğ","G"),"ğ","G"),"Ü","U"),"ü","U"),"Ö","O"),"ö","O"),"Ç","C"),"ç","C"),".",""),",","")," ",""),"-","")))</f>
        <v/>
      </c>
      <c r="S628" s="3">
        <f>IF($D628="","",$C628&amp;"|"&amp;TEXT($E628,"0")&amp;"|"&amp;TEXT($F628,"0")&amp;"|"&amp;$I628)</f>
        <v/>
      </c>
      <c r="T628" s="3">
        <f>IF($E628="",0,SUMPRODUCT((AY_SONU!$O$7:$O$42="Evet")*(AY_SONU!$B$7:$B$42=DATE(YEAR($E628),MONTH($E628),1))))</f>
        <v/>
      </c>
    </row>
    <row r="629">
      <c r="A629" s="6" t="n"/>
      <c r="B629" s="113">
        <f>IF($D629="","","T"&amp;TEXT(ROW()-6,"00000"))</f>
        <v/>
      </c>
      <c r="C629" s="113">
        <f>IF($D629="","",IFERROR(INDEX(MUSTERILER!$B$7:$B$106,MATCH($R629,MUSTERILER!$T$7:$T$106,0)),IFERROR(INDEX(MUSTERILER!$B$7:$B$106,MATCH($D629,MUSTERILER!$B$7:$B$106,0)),IFERROR(INDEX(MUSTERILER!$B$7:$B$106,MATCH($R629&amp;"*",MUSTERILER!$T$7:$T$106,0)),"TANIMSIZ MÜŞTERİ"))))</f>
        <v/>
      </c>
      <c r="D629" s="109" t="n"/>
      <c r="E629" s="220" t="n"/>
      <c r="F629" s="221" t="n"/>
      <c r="G629" s="108" t="n"/>
      <c r="H629" s="108" t="n"/>
      <c r="I629" s="109" t="n"/>
      <c r="J629" s="109" t="n"/>
      <c r="K629" s="109" t="n"/>
      <c r="L629" s="226">
        <f>IF($E629="","",DATE(YEAR($E629),MONTH($E629),1))</f>
        <v/>
      </c>
      <c r="M629" s="113">
        <f>IF($D629="","",IF($C629="TANIMSIZ MÜŞTERİ","HATA",IF(OR($E629="",$F629&lt;=0,$G629=""),"EKSİK",IF($E629&gt;TODAY(),"İLERİ TARİH",IF(COUNTIF($S$7:$S$1506,$S629)&gt;1,"MÜKERRER?",IF($T629&gt;0,"KAPALI DÖNEM","UYGUN"))))))</f>
        <v/>
      </c>
      <c r="N629" s="121">
        <f>IF($C629="","",IF($C629="TANIMSIZ MÜŞTERİ","—",INDEX(MUSTERILER!$C$7:$C$106,MATCH($C629,MUSTERILER!$B$7:$B$106,0))))</f>
        <v/>
      </c>
      <c r="O629" s="6" t="n"/>
      <c r="P629" s="6" t="n"/>
      <c r="Q629" s="3">
        <f>IF($D629="","",$C629&amp;"|"&amp;COUNTIFS($C$7:$C629,$C629))</f>
        <v/>
      </c>
      <c r="R629" s="3">
        <f>IF($D629="","",UPPER(SUBSTITUTE(SUBSTITUTE(SUBSTITUTE(SUBSTITUTE(SUBSTITUTE(SUBSTITUTE(SUBSTITUTE(SUBSTITUTE(SUBSTITUTE(SUBSTITUTE(SUBSTITUTE(SUBSTITUTE(SUBSTITUTE(SUBSTITUTE(SUBSTITUTE(SUBSTITUTE(SUBSTITUTE(SUBSTITUTE(TRIM($D629),"'",""),"İ","I"),"ı","I"),"i","I"),"Ş","S"),"ş","S"),"Ğ","G"),"ğ","G"),"Ü","U"),"ü","U"),"Ö","O"),"ö","O"),"Ç","C"),"ç","C"),".",""),",","")," ",""),"-","")))</f>
        <v/>
      </c>
      <c r="S629" s="3">
        <f>IF($D629="","",$C629&amp;"|"&amp;TEXT($E629,"0")&amp;"|"&amp;TEXT($F629,"0")&amp;"|"&amp;$I629)</f>
        <v/>
      </c>
      <c r="T629" s="3">
        <f>IF($E629="",0,SUMPRODUCT((AY_SONU!$O$7:$O$42="Evet")*(AY_SONU!$B$7:$B$42=DATE(YEAR($E629),MONTH($E629),1))))</f>
        <v/>
      </c>
    </row>
    <row r="630">
      <c r="A630" s="6" t="n"/>
      <c r="B630" s="113">
        <f>IF($D630="","","T"&amp;TEXT(ROW()-6,"00000"))</f>
        <v/>
      </c>
      <c r="C630" s="113">
        <f>IF($D630="","",IFERROR(INDEX(MUSTERILER!$B$7:$B$106,MATCH($R630,MUSTERILER!$T$7:$T$106,0)),IFERROR(INDEX(MUSTERILER!$B$7:$B$106,MATCH($D630,MUSTERILER!$B$7:$B$106,0)),IFERROR(INDEX(MUSTERILER!$B$7:$B$106,MATCH($R630&amp;"*",MUSTERILER!$T$7:$T$106,0)),"TANIMSIZ MÜŞTERİ"))))</f>
        <v/>
      </c>
      <c r="D630" s="109" t="n"/>
      <c r="E630" s="220" t="n"/>
      <c r="F630" s="221" t="n"/>
      <c r="G630" s="108" t="n"/>
      <c r="H630" s="108" t="n"/>
      <c r="I630" s="109" t="n"/>
      <c r="J630" s="109" t="n"/>
      <c r="K630" s="109" t="n"/>
      <c r="L630" s="226">
        <f>IF($E630="","",DATE(YEAR($E630),MONTH($E630),1))</f>
        <v/>
      </c>
      <c r="M630" s="113">
        <f>IF($D630="","",IF($C630="TANIMSIZ MÜŞTERİ","HATA",IF(OR($E630="",$F630&lt;=0,$G630=""),"EKSİK",IF($E630&gt;TODAY(),"İLERİ TARİH",IF(COUNTIF($S$7:$S$1506,$S630)&gt;1,"MÜKERRER?",IF($T630&gt;0,"KAPALI DÖNEM","UYGUN"))))))</f>
        <v/>
      </c>
      <c r="N630" s="121">
        <f>IF($C630="","",IF($C630="TANIMSIZ MÜŞTERİ","—",INDEX(MUSTERILER!$C$7:$C$106,MATCH($C630,MUSTERILER!$B$7:$B$106,0))))</f>
        <v/>
      </c>
      <c r="O630" s="6" t="n"/>
      <c r="P630" s="6" t="n"/>
      <c r="Q630" s="3">
        <f>IF($D630="","",$C630&amp;"|"&amp;COUNTIFS($C$7:$C630,$C630))</f>
        <v/>
      </c>
      <c r="R630" s="3">
        <f>IF($D630="","",UPPER(SUBSTITUTE(SUBSTITUTE(SUBSTITUTE(SUBSTITUTE(SUBSTITUTE(SUBSTITUTE(SUBSTITUTE(SUBSTITUTE(SUBSTITUTE(SUBSTITUTE(SUBSTITUTE(SUBSTITUTE(SUBSTITUTE(SUBSTITUTE(SUBSTITUTE(SUBSTITUTE(SUBSTITUTE(SUBSTITUTE(TRIM($D630),"'",""),"İ","I"),"ı","I"),"i","I"),"Ş","S"),"ş","S"),"Ğ","G"),"ğ","G"),"Ü","U"),"ü","U"),"Ö","O"),"ö","O"),"Ç","C"),"ç","C"),".",""),",","")," ",""),"-","")))</f>
        <v/>
      </c>
      <c r="S630" s="3">
        <f>IF($D630="","",$C630&amp;"|"&amp;TEXT($E630,"0")&amp;"|"&amp;TEXT($F630,"0")&amp;"|"&amp;$I630)</f>
        <v/>
      </c>
      <c r="T630" s="3">
        <f>IF($E630="",0,SUMPRODUCT((AY_SONU!$O$7:$O$42="Evet")*(AY_SONU!$B$7:$B$42=DATE(YEAR($E630),MONTH($E630),1))))</f>
        <v/>
      </c>
    </row>
    <row r="631">
      <c r="A631" s="6" t="n"/>
      <c r="B631" s="113">
        <f>IF($D631="","","T"&amp;TEXT(ROW()-6,"00000"))</f>
        <v/>
      </c>
      <c r="C631" s="113">
        <f>IF($D631="","",IFERROR(INDEX(MUSTERILER!$B$7:$B$106,MATCH($R631,MUSTERILER!$T$7:$T$106,0)),IFERROR(INDEX(MUSTERILER!$B$7:$B$106,MATCH($D631,MUSTERILER!$B$7:$B$106,0)),IFERROR(INDEX(MUSTERILER!$B$7:$B$106,MATCH($R631&amp;"*",MUSTERILER!$T$7:$T$106,0)),"TANIMSIZ MÜŞTERİ"))))</f>
        <v/>
      </c>
      <c r="D631" s="109" t="n"/>
      <c r="E631" s="220" t="n"/>
      <c r="F631" s="221" t="n"/>
      <c r="G631" s="108" t="n"/>
      <c r="H631" s="108" t="n"/>
      <c r="I631" s="109" t="n"/>
      <c r="J631" s="109" t="n"/>
      <c r="K631" s="109" t="n"/>
      <c r="L631" s="226">
        <f>IF($E631="","",DATE(YEAR($E631),MONTH($E631),1))</f>
        <v/>
      </c>
      <c r="M631" s="113">
        <f>IF($D631="","",IF($C631="TANIMSIZ MÜŞTERİ","HATA",IF(OR($E631="",$F631&lt;=0,$G631=""),"EKSİK",IF($E631&gt;TODAY(),"İLERİ TARİH",IF(COUNTIF($S$7:$S$1506,$S631)&gt;1,"MÜKERRER?",IF($T631&gt;0,"KAPALI DÖNEM","UYGUN"))))))</f>
        <v/>
      </c>
      <c r="N631" s="121">
        <f>IF($C631="","",IF($C631="TANIMSIZ MÜŞTERİ","—",INDEX(MUSTERILER!$C$7:$C$106,MATCH($C631,MUSTERILER!$B$7:$B$106,0))))</f>
        <v/>
      </c>
      <c r="O631" s="6" t="n"/>
      <c r="P631" s="6" t="n"/>
      <c r="Q631" s="3">
        <f>IF($D631="","",$C631&amp;"|"&amp;COUNTIFS($C$7:$C631,$C631))</f>
        <v/>
      </c>
      <c r="R631" s="3">
        <f>IF($D631="","",UPPER(SUBSTITUTE(SUBSTITUTE(SUBSTITUTE(SUBSTITUTE(SUBSTITUTE(SUBSTITUTE(SUBSTITUTE(SUBSTITUTE(SUBSTITUTE(SUBSTITUTE(SUBSTITUTE(SUBSTITUTE(SUBSTITUTE(SUBSTITUTE(SUBSTITUTE(SUBSTITUTE(SUBSTITUTE(SUBSTITUTE(TRIM($D631),"'",""),"İ","I"),"ı","I"),"i","I"),"Ş","S"),"ş","S"),"Ğ","G"),"ğ","G"),"Ü","U"),"ü","U"),"Ö","O"),"ö","O"),"Ç","C"),"ç","C"),".",""),",","")," ",""),"-","")))</f>
        <v/>
      </c>
      <c r="S631" s="3">
        <f>IF($D631="","",$C631&amp;"|"&amp;TEXT($E631,"0")&amp;"|"&amp;TEXT($F631,"0")&amp;"|"&amp;$I631)</f>
        <v/>
      </c>
      <c r="T631" s="3">
        <f>IF($E631="",0,SUMPRODUCT((AY_SONU!$O$7:$O$42="Evet")*(AY_SONU!$B$7:$B$42=DATE(YEAR($E631),MONTH($E631),1))))</f>
        <v/>
      </c>
    </row>
    <row r="632">
      <c r="A632" s="6" t="n"/>
      <c r="B632" s="113">
        <f>IF($D632="","","T"&amp;TEXT(ROW()-6,"00000"))</f>
        <v/>
      </c>
      <c r="C632" s="113">
        <f>IF($D632="","",IFERROR(INDEX(MUSTERILER!$B$7:$B$106,MATCH($R632,MUSTERILER!$T$7:$T$106,0)),IFERROR(INDEX(MUSTERILER!$B$7:$B$106,MATCH($D632,MUSTERILER!$B$7:$B$106,0)),IFERROR(INDEX(MUSTERILER!$B$7:$B$106,MATCH($R632&amp;"*",MUSTERILER!$T$7:$T$106,0)),"TANIMSIZ MÜŞTERİ"))))</f>
        <v/>
      </c>
      <c r="D632" s="109" t="n"/>
      <c r="E632" s="220" t="n"/>
      <c r="F632" s="221" t="n"/>
      <c r="G632" s="108" t="n"/>
      <c r="H632" s="108" t="n"/>
      <c r="I632" s="109" t="n"/>
      <c r="J632" s="109" t="n"/>
      <c r="K632" s="109" t="n"/>
      <c r="L632" s="226">
        <f>IF($E632="","",DATE(YEAR($E632),MONTH($E632),1))</f>
        <v/>
      </c>
      <c r="M632" s="113">
        <f>IF($D632="","",IF($C632="TANIMSIZ MÜŞTERİ","HATA",IF(OR($E632="",$F632&lt;=0,$G632=""),"EKSİK",IF($E632&gt;TODAY(),"İLERİ TARİH",IF(COUNTIF($S$7:$S$1506,$S632)&gt;1,"MÜKERRER?",IF($T632&gt;0,"KAPALI DÖNEM","UYGUN"))))))</f>
        <v/>
      </c>
      <c r="N632" s="121">
        <f>IF($C632="","",IF($C632="TANIMSIZ MÜŞTERİ","—",INDEX(MUSTERILER!$C$7:$C$106,MATCH($C632,MUSTERILER!$B$7:$B$106,0))))</f>
        <v/>
      </c>
      <c r="O632" s="6" t="n"/>
      <c r="P632" s="6" t="n"/>
      <c r="Q632" s="3">
        <f>IF($D632="","",$C632&amp;"|"&amp;COUNTIFS($C$7:$C632,$C632))</f>
        <v/>
      </c>
      <c r="R632" s="3">
        <f>IF($D632="","",UPPER(SUBSTITUTE(SUBSTITUTE(SUBSTITUTE(SUBSTITUTE(SUBSTITUTE(SUBSTITUTE(SUBSTITUTE(SUBSTITUTE(SUBSTITUTE(SUBSTITUTE(SUBSTITUTE(SUBSTITUTE(SUBSTITUTE(SUBSTITUTE(SUBSTITUTE(SUBSTITUTE(SUBSTITUTE(SUBSTITUTE(TRIM($D632),"'",""),"İ","I"),"ı","I"),"i","I"),"Ş","S"),"ş","S"),"Ğ","G"),"ğ","G"),"Ü","U"),"ü","U"),"Ö","O"),"ö","O"),"Ç","C"),"ç","C"),".",""),",","")," ",""),"-","")))</f>
        <v/>
      </c>
      <c r="S632" s="3">
        <f>IF($D632="","",$C632&amp;"|"&amp;TEXT($E632,"0")&amp;"|"&amp;TEXT($F632,"0")&amp;"|"&amp;$I632)</f>
        <v/>
      </c>
      <c r="T632" s="3">
        <f>IF($E632="",0,SUMPRODUCT((AY_SONU!$O$7:$O$42="Evet")*(AY_SONU!$B$7:$B$42=DATE(YEAR($E632),MONTH($E632),1))))</f>
        <v/>
      </c>
    </row>
    <row r="633">
      <c r="A633" s="6" t="n"/>
      <c r="B633" s="113">
        <f>IF($D633="","","T"&amp;TEXT(ROW()-6,"00000"))</f>
        <v/>
      </c>
      <c r="C633" s="113">
        <f>IF($D633="","",IFERROR(INDEX(MUSTERILER!$B$7:$B$106,MATCH($R633,MUSTERILER!$T$7:$T$106,0)),IFERROR(INDEX(MUSTERILER!$B$7:$B$106,MATCH($D633,MUSTERILER!$B$7:$B$106,0)),IFERROR(INDEX(MUSTERILER!$B$7:$B$106,MATCH($R633&amp;"*",MUSTERILER!$T$7:$T$106,0)),"TANIMSIZ MÜŞTERİ"))))</f>
        <v/>
      </c>
      <c r="D633" s="109" t="n"/>
      <c r="E633" s="220" t="n"/>
      <c r="F633" s="221" t="n"/>
      <c r="G633" s="108" t="n"/>
      <c r="H633" s="108" t="n"/>
      <c r="I633" s="109" t="n"/>
      <c r="J633" s="109" t="n"/>
      <c r="K633" s="109" t="n"/>
      <c r="L633" s="226">
        <f>IF($E633="","",DATE(YEAR($E633),MONTH($E633),1))</f>
        <v/>
      </c>
      <c r="M633" s="113">
        <f>IF($D633="","",IF($C633="TANIMSIZ MÜŞTERİ","HATA",IF(OR($E633="",$F633&lt;=0,$G633=""),"EKSİK",IF($E633&gt;TODAY(),"İLERİ TARİH",IF(COUNTIF($S$7:$S$1506,$S633)&gt;1,"MÜKERRER?",IF($T633&gt;0,"KAPALI DÖNEM","UYGUN"))))))</f>
        <v/>
      </c>
      <c r="N633" s="121">
        <f>IF($C633="","",IF($C633="TANIMSIZ MÜŞTERİ","—",INDEX(MUSTERILER!$C$7:$C$106,MATCH($C633,MUSTERILER!$B$7:$B$106,0))))</f>
        <v/>
      </c>
      <c r="O633" s="6" t="n"/>
      <c r="P633" s="6" t="n"/>
      <c r="Q633" s="3">
        <f>IF($D633="","",$C633&amp;"|"&amp;COUNTIFS($C$7:$C633,$C633))</f>
        <v/>
      </c>
      <c r="R633" s="3">
        <f>IF($D633="","",UPPER(SUBSTITUTE(SUBSTITUTE(SUBSTITUTE(SUBSTITUTE(SUBSTITUTE(SUBSTITUTE(SUBSTITUTE(SUBSTITUTE(SUBSTITUTE(SUBSTITUTE(SUBSTITUTE(SUBSTITUTE(SUBSTITUTE(SUBSTITUTE(SUBSTITUTE(SUBSTITUTE(SUBSTITUTE(SUBSTITUTE(TRIM($D633),"'",""),"İ","I"),"ı","I"),"i","I"),"Ş","S"),"ş","S"),"Ğ","G"),"ğ","G"),"Ü","U"),"ü","U"),"Ö","O"),"ö","O"),"Ç","C"),"ç","C"),".",""),",","")," ",""),"-","")))</f>
        <v/>
      </c>
      <c r="S633" s="3">
        <f>IF($D633="","",$C633&amp;"|"&amp;TEXT($E633,"0")&amp;"|"&amp;TEXT($F633,"0")&amp;"|"&amp;$I633)</f>
        <v/>
      </c>
      <c r="T633" s="3">
        <f>IF($E633="",0,SUMPRODUCT((AY_SONU!$O$7:$O$42="Evet")*(AY_SONU!$B$7:$B$42=DATE(YEAR($E633),MONTH($E633),1))))</f>
        <v/>
      </c>
    </row>
    <row r="634">
      <c r="A634" s="6" t="n"/>
      <c r="B634" s="113">
        <f>IF($D634="","","T"&amp;TEXT(ROW()-6,"00000"))</f>
        <v/>
      </c>
      <c r="C634" s="113">
        <f>IF($D634="","",IFERROR(INDEX(MUSTERILER!$B$7:$B$106,MATCH($R634,MUSTERILER!$T$7:$T$106,0)),IFERROR(INDEX(MUSTERILER!$B$7:$B$106,MATCH($D634,MUSTERILER!$B$7:$B$106,0)),IFERROR(INDEX(MUSTERILER!$B$7:$B$106,MATCH($R634&amp;"*",MUSTERILER!$T$7:$T$106,0)),"TANIMSIZ MÜŞTERİ"))))</f>
        <v/>
      </c>
      <c r="D634" s="109" t="n"/>
      <c r="E634" s="220" t="n"/>
      <c r="F634" s="221" t="n"/>
      <c r="G634" s="108" t="n"/>
      <c r="H634" s="108" t="n"/>
      <c r="I634" s="109" t="n"/>
      <c r="J634" s="109" t="n"/>
      <c r="K634" s="109" t="n"/>
      <c r="L634" s="226">
        <f>IF($E634="","",DATE(YEAR($E634),MONTH($E634),1))</f>
        <v/>
      </c>
      <c r="M634" s="113">
        <f>IF($D634="","",IF($C634="TANIMSIZ MÜŞTERİ","HATA",IF(OR($E634="",$F634&lt;=0,$G634=""),"EKSİK",IF($E634&gt;TODAY(),"İLERİ TARİH",IF(COUNTIF($S$7:$S$1506,$S634)&gt;1,"MÜKERRER?",IF($T634&gt;0,"KAPALI DÖNEM","UYGUN"))))))</f>
        <v/>
      </c>
      <c r="N634" s="121">
        <f>IF($C634="","",IF($C634="TANIMSIZ MÜŞTERİ","—",INDEX(MUSTERILER!$C$7:$C$106,MATCH($C634,MUSTERILER!$B$7:$B$106,0))))</f>
        <v/>
      </c>
      <c r="O634" s="6" t="n"/>
      <c r="P634" s="6" t="n"/>
      <c r="Q634" s="3">
        <f>IF($D634="","",$C634&amp;"|"&amp;COUNTIFS($C$7:$C634,$C634))</f>
        <v/>
      </c>
      <c r="R634" s="3">
        <f>IF($D634="","",UPPER(SUBSTITUTE(SUBSTITUTE(SUBSTITUTE(SUBSTITUTE(SUBSTITUTE(SUBSTITUTE(SUBSTITUTE(SUBSTITUTE(SUBSTITUTE(SUBSTITUTE(SUBSTITUTE(SUBSTITUTE(SUBSTITUTE(SUBSTITUTE(SUBSTITUTE(SUBSTITUTE(SUBSTITUTE(SUBSTITUTE(TRIM($D634),"'",""),"İ","I"),"ı","I"),"i","I"),"Ş","S"),"ş","S"),"Ğ","G"),"ğ","G"),"Ü","U"),"ü","U"),"Ö","O"),"ö","O"),"Ç","C"),"ç","C"),".",""),",","")," ",""),"-","")))</f>
        <v/>
      </c>
      <c r="S634" s="3">
        <f>IF($D634="","",$C634&amp;"|"&amp;TEXT($E634,"0")&amp;"|"&amp;TEXT($F634,"0")&amp;"|"&amp;$I634)</f>
        <v/>
      </c>
      <c r="T634" s="3">
        <f>IF($E634="",0,SUMPRODUCT((AY_SONU!$O$7:$O$42="Evet")*(AY_SONU!$B$7:$B$42=DATE(YEAR($E634),MONTH($E634),1))))</f>
        <v/>
      </c>
    </row>
    <row r="635">
      <c r="A635" s="6" t="n"/>
      <c r="B635" s="113">
        <f>IF($D635="","","T"&amp;TEXT(ROW()-6,"00000"))</f>
        <v/>
      </c>
      <c r="C635" s="113">
        <f>IF($D635="","",IFERROR(INDEX(MUSTERILER!$B$7:$B$106,MATCH($R635,MUSTERILER!$T$7:$T$106,0)),IFERROR(INDEX(MUSTERILER!$B$7:$B$106,MATCH($D635,MUSTERILER!$B$7:$B$106,0)),IFERROR(INDEX(MUSTERILER!$B$7:$B$106,MATCH($R635&amp;"*",MUSTERILER!$T$7:$T$106,0)),"TANIMSIZ MÜŞTERİ"))))</f>
        <v/>
      </c>
      <c r="D635" s="109" t="n"/>
      <c r="E635" s="220" t="n"/>
      <c r="F635" s="221" t="n"/>
      <c r="G635" s="108" t="n"/>
      <c r="H635" s="108" t="n"/>
      <c r="I635" s="109" t="n"/>
      <c r="J635" s="109" t="n"/>
      <c r="K635" s="109" t="n"/>
      <c r="L635" s="226">
        <f>IF($E635="","",DATE(YEAR($E635),MONTH($E635),1))</f>
        <v/>
      </c>
      <c r="M635" s="113">
        <f>IF($D635="","",IF($C635="TANIMSIZ MÜŞTERİ","HATA",IF(OR($E635="",$F635&lt;=0,$G635=""),"EKSİK",IF($E635&gt;TODAY(),"İLERİ TARİH",IF(COUNTIF($S$7:$S$1506,$S635)&gt;1,"MÜKERRER?",IF($T635&gt;0,"KAPALI DÖNEM","UYGUN"))))))</f>
        <v/>
      </c>
      <c r="N635" s="121">
        <f>IF($C635="","",IF($C635="TANIMSIZ MÜŞTERİ","—",INDEX(MUSTERILER!$C$7:$C$106,MATCH($C635,MUSTERILER!$B$7:$B$106,0))))</f>
        <v/>
      </c>
      <c r="O635" s="6" t="n"/>
      <c r="P635" s="6" t="n"/>
      <c r="Q635" s="3">
        <f>IF($D635="","",$C635&amp;"|"&amp;COUNTIFS($C$7:$C635,$C635))</f>
        <v/>
      </c>
      <c r="R635" s="3">
        <f>IF($D635="","",UPPER(SUBSTITUTE(SUBSTITUTE(SUBSTITUTE(SUBSTITUTE(SUBSTITUTE(SUBSTITUTE(SUBSTITUTE(SUBSTITUTE(SUBSTITUTE(SUBSTITUTE(SUBSTITUTE(SUBSTITUTE(SUBSTITUTE(SUBSTITUTE(SUBSTITUTE(SUBSTITUTE(SUBSTITUTE(SUBSTITUTE(TRIM($D635),"'",""),"İ","I"),"ı","I"),"i","I"),"Ş","S"),"ş","S"),"Ğ","G"),"ğ","G"),"Ü","U"),"ü","U"),"Ö","O"),"ö","O"),"Ç","C"),"ç","C"),".",""),",","")," ",""),"-","")))</f>
        <v/>
      </c>
      <c r="S635" s="3">
        <f>IF($D635="","",$C635&amp;"|"&amp;TEXT($E635,"0")&amp;"|"&amp;TEXT($F635,"0")&amp;"|"&amp;$I635)</f>
        <v/>
      </c>
      <c r="T635" s="3">
        <f>IF($E635="",0,SUMPRODUCT((AY_SONU!$O$7:$O$42="Evet")*(AY_SONU!$B$7:$B$42=DATE(YEAR($E635),MONTH($E635),1))))</f>
        <v/>
      </c>
    </row>
    <row r="636">
      <c r="A636" s="6" t="n"/>
      <c r="B636" s="113">
        <f>IF($D636="","","T"&amp;TEXT(ROW()-6,"00000"))</f>
        <v/>
      </c>
      <c r="C636" s="113">
        <f>IF($D636="","",IFERROR(INDEX(MUSTERILER!$B$7:$B$106,MATCH($R636,MUSTERILER!$T$7:$T$106,0)),IFERROR(INDEX(MUSTERILER!$B$7:$B$106,MATCH($D636,MUSTERILER!$B$7:$B$106,0)),IFERROR(INDEX(MUSTERILER!$B$7:$B$106,MATCH($R636&amp;"*",MUSTERILER!$T$7:$T$106,0)),"TANIMSIZ MÜŞTERİ"))))</f>
        <v/>
      </c>
      <c r="D636" s="109" t="n"/>
      <c r="E636" s="220" t="n"/>
      <c r="F636" s="221" t="n"/>
      <c r="G636" s="108" t="n"/>
      <c r="H636" s="108" t="n"/>
      <c r="I636" s="109" t="n"/>
      <c r="J636" s="109" t="n"/>
      <c r="K636" s="109" t="n"/>
      <c r="L636" s="226">
        <f>IF($E636="","",DATE(YEAR($E636),MONTH($E636),1))</f>
        <v/>
      </c>
      <c r="M636" s="113">
        <f>IF($D636="","",IF($C636="TANIMSIZ MÜŞTERİ","HATA",IF(OR($E636="",$F636&lt;=0,$G636=""),"EKSİK",IF($E636&gt;TODAY(),"İLERİ TARİH",IF(COUNTIF($S$7:$S$1506,$S636)&gt;1,"MÜKERRER?",IF($T636&gt;0,"KAPALI DÖNEM","UYGUN"))))))</f>
        <v/>
      </c>
      <c r="N636" s="121">
        <f>IF($C636="","",IF($C636="TANIMSIZ MÜŞTERİ","—",INDEX(MUSTERILER!$C$7:$C$106,MATCH($C636,MUSTERILER!$B$7:$B$106,0))))</f>
        <v/>
      </c>
      <c r="O636" s="6" t="n"/>
      <c r="P636" s="6" t="n"/>
      <c r="Q636" s="3">
        <f>IF($D636="","",$C636&amp;"|"&amp;COUNTIFS($C$7:$C636,$C636))</f>
        <v/>
      </c>
      <c r="R636" s="3">
        <f>IF($D636="","",UPPER(SUBSTITUTE(SUBSTITUTE(SUBSTITUTE(SUBSTITUTE(SUBSTITUTE(SUBSTITUTE(SUBSTITUTE(SUBSTITUTE(SUBSTITUTE(SUBSTITUTE(SUBSTITUTE(SUBSTITUTE(SUBSTITUTE(SUBSTITUTE(SUBSTITUTE(SUBSTITUTE(SUBSTITUTE(SUBSTITUTE(TRIM($D636),"'",""),"İ","I"),"ı","I"),"i","I"),"Ş","S"),"ş","S"),"Ğ","G"),"ğ","G"),"Ü","U"),"ü","U"),"Ö","O"),"ö","O"),"Ç","C"),"ç","C"),".",""),",","")," ",""),"-","")))</f>
        <v/>
      </c>
      <c r="S636" s="3">
        <f>IF($D636="","",$C636&amp;"|"&amp;TEXT($E636,"0")&amp;"|"&amp;TEXT($F636,"0")&amp;"|"&amp;$I636)</f>
        <v/>
      </c>
      <c r="T636" s="3">
        <f>IF($E636="",0,SUMPRODUCT((AY_SONU!$O$7:$O$42="Evet")*(AY_SONU!$B$7:$B$42=DATE(YEAR($E636),MONTH($E636),1))))</f>
        <v/>
      </c>
    </row>
    <row r="637">
      <c r="A637" s="6" t="n"/>
      <c r="B637" s="113">
        <f>IF($D637="","","T"&amp;TEXT(ROW()-6,"00000"))</f>
        <v/>
      </c>
      <c r="C637" s="113">
        <f>IF($D637="","",IFERROR(INDEX(MUSTERILER!$B$7:$B$106,MATCH($R637,MUSTERILER!$T$7:$T$106,0)),IFERROR(INDEX(MUSTERILER!$B$7:$B$106,MATCH($D637,MUSTERILER!$B$7:$B$106,0)),IFERROR(INDEX(MUSTERILER!$B$7:$B$106,MATCH($R637&amp;"*",MUSTERILER!$T$7:$T$106,0)),"TANIMSIZ MÜŞTERİ"))))</f>
        <v/>
      </c>
      <c r="D637" s="109" t="n"/>
      <c r="E637" s="220" t="n"/>
      <c r="F637" s="221" t="n"/>
      <c r="G637" s="108" t="n"/>
      <c r="H637" s="108" t="n"/>
      <c r="I637" s="109" t="n"/>
      <c r="J637" s="109" t="n"/>
      <c r="K637" s="109" t="n"/>
      <c r="L637" s="226">
        <f>IF($E637="","",DATE(YEAR($E637),MONTH($E637),1))</f>
        <v/>
      </c>
      <c r="M637" s="113">
        <f>IF($D637="","",IF($C637="TANIMSIZ MÜŞTERİ","HATA",IF(OR($E637="",$F637&lt;=0,$G637=""),"EKSİK",IF($E637&gt;TODAY(),"İLERİ TARİH",IF(COUNTIF($S$7:$S$1506,$S637)&gt;1,"MÜKERRER?",IF($T637&gt;0,"KAPALI DÖNEM","UYGUN"))))))</f>
        <v/>
      </c>
      <c r="N637" s="121">
        <f>IF($C637="","",IF($C637="TANIMSIZ MÜŞTERİ","—",INDEX(MUSTERILER!$C$7:$C$106,MATCH($C637,MUSTERILER!$B$7:$B$106,0))))</f>
        <v/>
      </c>
      <c r="O637" s="6" t="n"/>
      <c r="P637" s="6" t="n"/>
      <c r="Q637" s="3">
        <f>IF($D637="","",$C637&amp;"|"&amp;COUNTIFS($C$7:$C637,$C637))</f>
        <v/>
      </c>
      <c r="R637" s="3">
        <f>IF($D637="","",UPPER(SUBSTITUTE(SUBSTITUTE(SUBSTITUTE(SUBSTITUTE(SUBSTITUTE(SUBSTITUTE(SUBSTITUTE(SUBSTITUTE(SUBSTITUTE(SUBSTITUTE(SUBSTITUTE(SUBSTITUTE(SUBSTITUTE(SUBSTITUTE(SUBSTITUTE(SUBSTITUTE(SUBSTITUTE(SUBSTITUTE(TRIM($D637),"'",""),"İ","I"),"ı","I"),"i","I"),"Ş","S"),"ş","S"),"Ğ","G"),"ğ","G"),"Ü","U"),"ü","U"),"Ö","O"),"ö","O"),"Ç","C"),"ç","C"),".",""),",","")," ",""),"-","")))</f>
        <v/>
      </c>
      <c r="S637" s="3">
        <f>IF($D637="","",$C637&amp;"|"&amp;TEXT($E637,"0")&amp;"|"&amp;TEXT($F637,"0")&amp;"|"&amp;$I637)</f>
        <v/>
      </c>
      <c r="T637" s="3">
        <f>IF($E637="",0,SUMPRODUCT((AY_SONU!$O$7:$O$42="Evet")*(AY_SONU!$B$7:$B$42=DATE(YEAR($E637),MONTH($E637),1))))</f>
        <v/>
      </c>
    </row>
    <row r="638">
      <c r="A638" s="6" t="n"/>
      <c r="B638" s="113">
        <f>IF($D638="","","T"&amp;TEXT(ROW()-6,"00000"))</f>
        <v/>
      </c>
      <c r="C638" s="113">
        <f>IF($D638="","",IFERROR(INDEX(MUSTERILER!$B$7:$B$106,MATCH($R638,MUSTERILER!$T$7:$T$106,0)),IFERROR(INDEX(MUSTERILER!$B$7:$B$106,MATCH($D638,MUSTERILER!$B$7:$B$106,0)),IFERROR(INDEX(MUSTERILER!$B$7:$B$106,MATCH($R638&amp;"*",MUSTERILER!$T$7:$T$106,0)),"TANIMSIZ MÜŞTERİ"))))</f>
        <v/>
      </c>
      <c r="D638" s="109" t="n"/>
      <c r="E638" s="220" t="n"/>
      <c r="F638" s="221" t="n"/>
      <c r="G638" s="108" t="n"/>
      <c r="H638" s="108" t="n"/>
      <c r="I638" s="109" t="n"/>
      <c r="J638" s="109" t="n"/>
      <c r="K638" s="109" t="n"/>
      <c r="L638" s="226">
        <f>IF($E638="","",DATE(YEAR($E638),MONTH($E638),1))</f>
        <v/>
      </c>
      <c r="M638" s="113">
        <f>IF($D638="","",IF($C638="TANIMSIZ MÜŞTERİ","HATA",IF(OR($E638="",$F638&lt;=0,$G638=""),"EKSİK",IF($E638&gt;TODAY(),"İLERİ TARİH",IF(COUNTIF($S$7:$S$1506,$S638)&gt;1,"MÜKERRER?",IF($T638&gt;0,"KAPALI DÖNEM","UYGUN"))))))</f>
        <v/>
      </c>
      <c r="N638" s="121">
        <f>IF($C638="","",IF($C638="TANIMSIZ MÜŞTERİ","—",INDEX(MUSTERILER!$C$7:$C$106,MATCH($C638,MUSTERILER!$B$7:$B$106,0))))</f>
        <v/>
      </c>
      <c r="O638" s="6" t="n"/>
      <c r="P638" s="6" t="n"/>
      <c r="Q638" s="3">
        <f>IF($D638="","",$C638&amp;"|"&amp;COUNTIFS($C$7:$C638,$C638))</f>
        <v/>
      </c>
      <c r="R638" s="3">
        <f>IF($D638="","",UPPER(SUBSTITUTE(SUBSTITUTE(SUBSTITUTE(SUBSTITUTE(SUBSTITUTE(SUBSTITUTE(SUBSTITUTE(SUBSTITUTE(SUBSTITUTE(SUBSTITUTE(SUBSTITUTE(SUBSTITUTE(SUBSTITUTE(SUBSTITUTE(SUBSTITUTE(SUBSTITUTE(SUBSTITUTE(SUBSTITUTE(TRIM($D638),"'",""),"İ","I"),"ı","I"),"i","I"),"Ş","S"),"ş","S"),"Ğ","G"),"ğ","G"),"Ü","U"),"ü","U"),"Ö","O"),"ö","O"),"Ç","C"),"ç","C"),".",""),",","")," ",""),"-","")))</f>
        <v/>
      </c>
      <c r="S638" s="3">
        <f>IF($D638="","",$C638&amp;"|"&amp;TEXT($E638,"0")&amp;"|"&amp;TEXT($F638,"0")&amp;"|"&amp;$I638)</f>
        <v/>
      </c>
      <c r="T638" s="3">
        <f>IF($E638="",0,SUMPRODUCT((AY_SONU!$O$7:$O$42="Evet")*(AY_SONU!$B$7:$B$42=DATE(YEAR($E638),MONTH($E638),1))))</f>
        <v/>
      </c>
    </row>
    <row r="639">
      <c r="A639" s="6" t="n"/>
      <c r="B639" s="113">
        <f>IF($D639="","","T"&amp;TEXT(ROW()-6,"00000"))</f>
        <v/>
      </c>
      <c r="C639" s="113">
        <f>IF($D639="","",IFERROR(INDEX(MUSTERILER!$B$7:$B$106,MATCH($R639,MUSTERILER!$T$7:$T$106,0)),IFERROR(INDEX(MUSTERILER!$B$7:$B$106,MATCH($D639,MUSTERILER!$B$7:$B$106,0)),IFERROR(INDEX(MUSTERILER!$B$7:$B$106,MATCH($R639&amp;"*",MUSTERILER!$T$7:$T$106,0)),"TANIMSIZ MÜŞTERİ"))))</f>
        <v/>
      </c>
      <c r="D639" s="109" t="n"/>
      <c r="E639" s="220" t="n"/>
      <c r="F639" s="221" t="n"/>
      <c r="G639" s="108" t="n"/>
      <c r="H639" s="108" t="n"/>
      <c r="I639" s="109" t="n"/>
      <c r="J639" s="109" t="n"/>
      <c r="K639" s="109" t="n"/>
      <c r="L639" s="226">
        <f>IF($E639="","",DATE(YEAR($E639),MONTH($E639),1))</f>
        <v/>
      </c>
      <c r="M639" s="113">
        <f>IF($D639="","",IF($C639="TANIMSIZ MÜŞTERİ","HATA",IF(OR($E639="",$F639&lt;=0,$G639=""),"EKSİK",IF($E639&gt;TODAY(),"İLERİ TARİH",IF(COUNTIF($S$7:$S$1506,$S639)&gt;1,"MÜKERRER?",IF($T639&gt;0,"KAPALI DÖNEM","UYGUN"))))))</f>
        <v/>
      </c>
      <c r="N639" s="121">
        <f>IF($C639="","",IF($C639="TANIMSIZ MÜŞTERİ","—",INDEX(MUSTERILER!$C$7:$C$106,MATCH($C639,MUSTERILER!$B$7:$B$106,0))))</f>
        <v/>
      </c>
      <c r="O639" s="6" t="n"/>
      <c r="P639" s="6" t="n"/>
      <c r="Q639" s="3">
        <f>IF($D639="","",$C639&amp;"|"&amp;COUNTIFS($C$7:$C639,$C639))</f>
        <v/>
      </c>
      <c r="R639" s="3">
        <f>IF($D639="","",UPPER(SUBSTITUTE(SUBSTITUTE(SUBSTITUTE(SUBSTITUTE(SUBSTITUTE(SUBSTITUTE(SUBSTITUTE(SUBSTITUTE(SUBSTITUTE(SUBSTITUTE(SUBSTITUTE(SUBSTITUTE(SUBSTITUTE(SUBSTITUTE(SUBSTITUTE(SUBSTITUTE(SUBSTITUTE(SUBSTITUTE(TRIM($D639),"'",""),"İ","I"),"ı","I"),"i","I"),"Ş","S"),"ş","S"),"Ğ","G"),"ğ","G"),"Ü","U"),"ü","U"),"Ö","O"),"ö","O"),"Ç","C"),"ç","C"),".",""),",","")," ",""),"-","")))</f>
        <v/>
      </c>
      <c r="S639" s="3">
        <f>IF($D639="","",$C639&amp;"|"&amp;TEXT($E639,"0")&amp;"|"&amp;TEXT($F639,"0")&amp;"|"&amp;$I639)</f>
        <v/>
      </c>
      <c r="T639" s="3">
        <f>IF($E639="",0,SUMPRODUCT((AY_SONU!$O$7:$O$42="Evet")*(AY_SONU!$B$7:$B$42=DATE(YEAR($E639),MONTH($E639),1))))</f>
        <v/>
      </c>
    </row>
    <row r="640">
      <c r="A640" s="6" t="n"/>
      <c r="B640" s="113">
        <f>IF($D640="","","T"&amp;TEXT(ROW()-6,"00000"))</f>
        <v/>
      </c>
      <c r="C640" s="113">
        <f>IF($D640="","",IFERROR(INDEX(MUSTERILER!$B$7:$B$106,MATCH($R640,MUSTERILER!$T$7:$T$106,0)),IFERROR(INDEX(MUSTERILER!$B$7:$B$106,MATCH($D640,MUSTERILER!$B$7:$B$106,0)),IFERROR(INDEX(MUSTERILER!$B$7:$B$106,MATCH($R640&amp;"*",MUSTERILER!$T$7:$T$106,0)),"TANIMSIZ MÜŞTERİ"))))</f>
        <v/>
      </c>
      <c r="D640" s="109" t="n"/>
      <c r="E640" s="220" t="n"/>
      <c r="F640" s="221" t="n"/>
      <c r="G640" s="108" t="n"/>
      <c r="H640" s="108" t="n"/>
      <c r="I640" s="109" t="n"/>
      <c r="J640" s="109" t="n"/>
      <c r="K640" s="109" t="n"/>
      <c r="L640" s="226">
        <f>IF($E640="","",DATE(YEAR($E640),MONTH($E640),1))</f>
        <v/>
      </c>
      <c r="M640" s="113">
        <f>IF($D640="","",IF($C640="TANIMSIZ MÜŞTERİ","HATA",IF(OR($E640="",$F640&lt;=0,$G640=""),"EKSİK",IF($E640&gt;TODAY(),"İLERİ TARİH",IF(COUNTIF($S$7:$S$1506,$S640)&gt;1,"MÜKERRER?",IF($T640&gt;0,"KAPALI DÖNEM","UYGUN"))))))</f>
        <v/>
      </c>
      <c r="N640" s="121">
        <f>IF($C640="","",IF($C640="TANIMSIZ MÜŞTERİ","—",INDEX(MUSTERILER!$C$7:$C$106,MATCH($C640,MUSTERILER!$B$7:$B$106,0))))</f>
        <v/>
      </c>
      <c r="O640" s="6" t="n"/>
      <c r="P640" s="6" t="n"/>
      <c r="Q640" s="3">
        <f>IF($D640="","",$C640&amp;"|"&amp;COUNTIFS($C$7:$C640,$C640))</f>
        <v/>
      </c>
      <c r="R640" s="3">
        <f>IF($D640="","",UPPER(SUBSTITUTE(SUBSTITUTE(SUBSTITUTE(SUBSTITUTE(SUBSTITUTE(SUBSTITUTE(SUBSTITUTE(SUBSTITUTE(SUBSTITUTE(SUBSTITUTE(SUBSTITUTE(SUBSTITUTE(SUBSTITUTE(SUBSTITUTE(SUBSTITUTE(SUBSTITUTE(SUBSTITUTE(SUBSTITUTE(TRIM($D640),"'",""),"İ","I"),"ı","I"),"i","I"),"Ş","S"),"ş","S"),"Ğ","G"),"ğ","G"),"Ü","U"),"ü","U"),"Ö","O"),"ö","O"),"Ç","C"),"ç","C"),".",""),",","")," ",""),"-","")))</f>
        <v/>
      </c>
      <c r="S640" s="3">
        <f>IF($D640="","",$C640&amp;"|"&amp;TEXT($E640,"0")&amp;"|"&amp;TEXT($F640,"0")&amp;"|"&amp;$I640)</f>
        <v/>
      </c>
      <c r="T640" s="3">
        <f>IF($E640="",0,SUMPRODUCT((AY_SONU!$O$7:$O$42="Evet")*(AY_SONU!$B$7:$B$42=DATE(YEAR($E640),MONTH($E640),1))))</f>
        <v/>
      </c>
    </row>
    <row r="641">
      <c r="A641" s="6" t="n"/>
      <c r="B641" s="113">
        <f>IF($D641="","","T"&amp;TEXT(ROW()-6,"00000"))</f>
        <v/>
      </c>
      <c r="C641" s="113">
        <f>IF($D641="","",IFERROR(INDEX(MUSTERILER!$B$7:$B$106,MATCH($R641,MUSTERILER!$T$7:$T$106,0)),IFERROR(INDEX(MUSTERILER!$B$7:$B$106,MATCH($D641,MUSTERILER!$B$7:$B$106,0)),IFERROR(INDEX(MUSTERILER!$B$7:$B$106,MATCH($R641&amp;"*",MUSTERILER!$T$7:$T$106,0)),"TANIMSIZ MÜŞTERİ"))))</f>
        <v/>
      </c>
      <c r="D641" s="109" t="n"/>
      <c r="E641" s="220" t="n"/>
      <c r="F641" s="221" t="n"/>
      <c r="G641" s="108" t="n"/>
      <c r="H641" s="108" t="n"/>
      <c r="I641" s="109" t="n"/>
      <c r="J641" s="109" t="n"/>
      <c r="K641" s="109" t="n"/>
      <c r="L641" s="226">
        <f>IF($E641="","",DATE(YEAR($E641),MONTH($E641),1))</f>
        <v/>
      </c>
      <c r="M641" s="113">
        <f>IF($D641="","",IF($C641="TANIMSIZ MÜŞTERİ","HATA",IF(OR($E641="",$F641&lt;=0,$G641=""),"EKSİK",IF($E641&gt;TODAY(),"İLERİ TARİH",IF(COUNTIF($S$7:$S$1506,$S641)&gt;1,"MÜKERRER?",IF($T641&gt;0,"KAPALI DÖNEM","UYGUN"))))))</f>
        <v/>
      </c>
      <c r="N641" s="121">
        <f>IF($C641="","",IF($C641="TANIMSIZ MÜŞTERİ","—",INDEX(MUSTERILER!$C$7:$C$106,MATCH($C641,MUSTERILER!$B$7:$B$106,0))))</f>
        <v/>
      </c>
      <c r="O641" s="6" t="n"/>
      <c r="P641" s="6" t="n"/>
      <c r="Q641" s="3">
        <f>IF($D641="","",$C641&amp;"|"&amp;COUNTIFS($C$7:$C641,$C641))</f>
        <v/>
      </c>
      <c r="R641" s="3">
        <f>IF($D641="","",UPPER(SUBSTITUTE(SUBSTITUTE(SUBSTITUTE(SUBSTITUTE(SUBSTITUTE(SUBSTITUTE(SUBSTITUTE(SUBSTITUTE(SUBSTITUTE(SUBSTITUTE(SUBSTITUTE(SUBSTITUTE(SUBSTITUTE(SUBSTITUTE(SUBSTITUTE(SUBSTITUTE(SUBSTITUTE(SUBSTITUTE(TRIM($D641),"'",""),"İ","I"),"ı","I"),"i","I"),"Ş","S"),"ş","S"),"Ğ","G"),"ğ","G"),"Ü","U"),"ü","U"),"Ö","O"),"ö","O"),"Ç","C"),"ç","C"),".",""),",","")," ",""),"-","")))</f>
        <v/>
      </c>
      <c r="S641" s="3">
        <f>IF($D641="","",$C641&amp;"|"&amp;TEXT($E641,"0")&amp;"|"&amp;TEXT($F641,"0")&amp;"|"&amp;$I641)</f>
        <v/>
      </c>
      <c r="T641" s="3">
        <f>IF($E641="",0,SUMPRODUCT((AY_SONU!$O$7:$O$42="Evet")*(AY_SONU!$B$7:$B$42=DATE(YEAR($E641),MONTH($E641),1))))</f>
        <v/>
      </c>
    </row>
    <row r="642">
      <c r="A642" s="6" t="n"/>
      <c r="B642" s="113">
        <f>IF($D642="","","T"&amp;TEXT(ROW()-6,"00000"))</f>
        <v/>
      </c>
      <c r="C642" s="113">
        <f>IF($D642="","",IFERROR(INDEX(MUSTERILER!$B$7:$B$106,MATCH($R642,MUSTERILER!$T$7:$T$106,0)),IFERROR(INDEX(MUSTERILER!$B$7:$B$106,MATCH($D642,MUSTERILER!$B$7:$B$106,0)),IFERROR(INDEX(MUSTERILER!$B$7:$B$106,MATCH($R642&amp;"*",MUSTERILER!$T$7:$T$106,0)),"TANIMSIZ MÜŞTERİ"))))</f>
        <v/>
      </c>
      <c r="D642" s="109" t="n"/>
      <c r="E642" s="220" t="n"/>
      <c r="F642" s="221" t="n"/>
      <c r="G642" s="108" t="n"/>
      <c r="H642" s="108" t="n"/>
      <c r="I642" s="109" t="n"/>
      <c r="J642" s="109" t="n"/>
      <c r="K642" s="109" t="n"/>
      <c r="L642" s="226">
        <f>IF($E642="","",DATE(YEAR($E642),MONTH($E642),1))</f>
        <v/>
      </c>
      <c r="M642" s="113">
        <f>IF($D642="","",IF($C642="TANIMSIZ MÜŞTERİ","HATA",IF(OR($E642="",$F642&lt;=0,$G642=""),"EKSİK",IF($E642&gt;TODAY(),"İLERİ TARİH",IF(COUNTIF($S$7:$S$1506,$S642)&gt;1,"MÜKERRER?",IF($T642&gt;0,"KAPALI DÖNEM","UYGUN"))))))</f>
        <v/>
      </c>
      <c r="N642" s="121">
        <f>IF($C642="","",IF($C642="TANIMSIZ MÜŞTERİ","—",INDEX(MUSTERILER!$C$7:$C$106,MATCH($C642,MUSTERILER!$B$7:$B$106,0))))</f>
        <v/>
      </c>
      <c r="O642" s="6" t="n"/>
      <c r="P642" s="6" t="n"/>
      <c r="Q642" s="3">
        <f>IF($D642="","",$C642&amp;"|"&amp;COUNTIFS($C$7:$C642,$C642))</f>
        <v/>
      </c>
      <c r="R642" s="3">
        <f>IF($D642="","",UPPER(SUBSTITUTE(SUBSTITUTE(SUBSTITUTE(SUBSTITUTE(SUBSTITUTE(SUBSTITUTE(SUBSTITUTE(SUBSTITUTE(SUBSTITUTE(SUBSTITUTE(SUBSTITUTE(SUBSTITUTE(SUBSTITUTE(SUBSTITUTE(SUBSTITUTE(SUBSTITUTE(SUBSTITUTE(SUBSTITUTE(TRIM($D642),"'",""),"İ","I"),"ı","I"),"i","I"),"Ş","S"),"ş","S"),"Ğ","G"),"ğ","G"),"Ü","U"),"ü","U"),"Ö","O"),"ö","O"),"Ç","C"),"ç","C"),".",""),",","")," ",""),"-","")))</f>
        <v/>
      </c>
      <c r="S642" s="3">
        <f>IF($D642="","",$C642&amp;"|"&amp;TEXT($E642,"0")&amp;"|"&amp;TEXT($F642,"0")&amp;"|"&amp;$I642)</f>
        <v/>
      </c>
      <c r="T642" s="3">
        <f>IF($E642="",0,SUMPRODUCT((AY_SONU!$O$7:$O$42="Evet")*(AY_SONU!$B$7:$B$42=DATE(YEAR($E642),MONTH($E642),1))))</f>
        <v/>
      </c>
    </row>
    <row r="643">
      <c r="A643" s="6" t="n"/>
      <c r="B643" s="113">
        <f>IF($D643="","","T"&amp;TEXT(ROW()-6,"00000"))</f>
        <v/>
      </c>
      <c r="C643" s="113">
        <f>IF($D643="","",IFERROR(INDEX(MUSTERILER!$B$7:$B$106,MATCH($R643,MUSTERILER!$T$7:$T$106,0)),IFERROR(INDEX(MUSTERILER!$B$7:$B$106,MATCH($D643,MUSTERILER!$B$7:$B$106,0)),IFERROR(INDEX(MUSTERILER!$B$7:$B$106,MATCH($R643&amp;"*",MUSTERILER!$T$7:$T$106,0)),"TANIMSIZ MÜŞTERİ"))))</f>
        <v/>
      </c>
      <c r="D643" s="109" t="n"/>
      <c r="E643" s="220" t="n"/>
      <c r="F643" s="221" t="n"/>
      <c r="G643" s="108" t="n"/>
      <c r="H643" s="108" t="n"/>
      <c r="I643" s="109" t="n"/>
      <c r="J643" s="109" t="n"/>
      <c r="K643" s="109" t="n"/>
      <c r="L643" s="226">
        <f>IF($E643="","",DATE(YEAR($E643),MONTH($E643),1))</f>
        <v/>
      </c>
      <c r="M643" s="113">
        <f>IF($D643="","",IF($C643="TANIMSIZ MÜŞTERİ","HATA",IF(OR($E643="",$F643&lt;=0,$G643=""),"EKSİK",IF($E643&gt;TODAY(),"İLERİ TARİH",IF(COUNTIF($S$7:$S$1506,$S643)&gt;1,"MÜKERRER?",IF($T643&gt;0,"KAPALI DÖNEM","UYGUN"))))))</f>
        <v/>
      </c>
      <c r="N643" s="121">
        <f>IF($C643="","",IF($C643="TANIMSIZ MÜŞTERİ","—",INDEX(MUSTERILER!$C$7:$C$106,MATCH($C643,MUSTERILER!$B$7:$B$106,0))))</f>
        <v/>
      </c>
      <c r="O643" s="6" t="n"/>
      <c r="P643" s="6" t="n"/>
      <c r="Q643" s="3">
        <f>IF($D643="","",$C643&amp;"|"&amp;COUNTIFS($C$7:$C643,$C643))</f>
        <v/>
      </c>
      <c r="R643" s="3">
        <f>IF($D643="","",UPPER(SUBSTITUTE(SUBSTITUTE(SUBSTITUTE(SUBSTITUTE(SUBSTITUTE(SUBSTITUTE(SUBSTITUTE(SUBSTITUTE(SUBSTITUTE(SUBSTITUTE(SUBSTITUTE(SUBSTITUTE(SUBSTITUTE(SUBSTITUTE(SUBSTITUTE(SUBSTITUTE(SUBSTITUTE(SUBSTITUTE(TRIM($D643),"'",""),"İ","I"),"ı","I"),"i","I"),"Ş","S"),"ş","S"),"Ğ","G"),"ğ","G"),"Ü","U"),"ü","U"),"Ö","O"),"ö","O"),"Ç","C"),"ç","C"),".",""),",","")," ",""),"-","")))</f>
        <v/>
      </c>
      <c r="S643" s="3">
        <f>IF($D643="","",$C643&amp;"|"&amp;TEXT($E643,"0")&amp;"|"&amp;TEXT($F643,"0")&amp;"|"&amp;$I643)</f>
        <v/>
      </c>
      <c r="T643" s="3">
        <f>IF($E643="",0,SUMPRODUCT((AY_SONU!$O$7:$O$42="Evet")*(AY_SONU!$B$7:$B$42=DATE(YEAR($E643),MONTH($E643),1))))</f>
        <v/>
      </c>
    </row>
    <row r="644">
      <c r="A644" s="6" t="n"/>
      <c r="B644" s="113">
        <f>IF($D644="","","T"&amp;TEXT(ROW()-6,"00000"))</f>
        <v/>
      </c>
      <c r="C644" s="113">
        <f>IF($D644="","",IFERROR(INDEX(MUSTERILER!$B$7:$B$106,MATCH($R644,MUSTERILER!$T$7:$T$106,0)),IFERROR(INDEX(MUSTERILER!$B$7:$B$106,MATCH($D644,MUSTERILER!$B$7:$B$106,0)),IFERROR(INDEX(MUSTERILER!$B$7:$B$106,MATCH($R644&amp;"*",MUSTERILER!$T$7:$T$106,0)),"TANIMSIZ MÜŞTERİ"))))</f>
        <v/>
      </c>
      <c r="D644" s="109" t="n"/>
      <c r="E644" s="220" t="n"/>
      <c r="F644" s="221" t="n"/>
      <c r="G644" s="108" t="n"/>
      <c r="H644" s="108" t="n"/>
      <c r="I644" s="109" t="n"/>
      <c r="J644" s="109" t="n"/>
      <c r="K644" s="109" t="n"/>
      <c r="L644" s="226">
        <f>IF($E644="","",DATE(YEAR($E644),MONTH($E644),1))</f>
        <v/>
      </c>
      <c r="M644" s="113">
        <f>IF($D644="","",IF($C644="TANIMSIZ MÜŞTERİ","HATA",IF(OR($E644="",$F644&lt;=0,$G644=""),"EKSİK",IF($E644&gt;TODAY(),"İLERİ TARİH",IF(COUNTIF($S$7:$S$1506,$S644)&gt;1,"MÜKERRER?",IF($T644&gt;0,"KAPALI DÖNEM","UYGUN"))))))</f>
        <v/>
      </c>
      <c r="N644" s="121">
        <f>IF($C644="","",IF($C644="TANIMSIZ MÜŞTERİ","—",INDEX(MUSTERILER!$C$7:$C$106,MATCH($C644,MUSTERILER!$B$7:$B$106,0))))</f>
        <v/>
      </c>
      <c r="O644" s="6" t="n"/>
      <c r="P644" s="6" t="n"/>
      <c r="Q644" s="3">
        <f>IF($D644="","",$C644&amp;"|"&amp;COUNTIFS($C$7:$C644,$C644))</f>
        <v/>
      </c>
      <c r="R644" s="3">
        <f>IF($D644="","",UPPER(SUBSTITUTE(SUBSTITUTE(SUBSTITUTE(SUBSTITUTE(SUBSTITUTE(SUBSTITUTE(SUBSTITUTE(SUBSTITUTE(SUBSTITUTE(SUBSTITUTE(SUBSTITUTE(SUBSTITUTE(SUBSTITUTE(SUBSTITUTE(SUBSTITUTE(SUBSTITUTE(SUBSTITUTE(SUBSTITUTE(TRIM($D644),"'",""),"İ","I"),"ı","I"),"i","I"),"Ş","S"),"ş","S"),"Ğ","G"),"ğ","G"),"Ü","U"),"ü","U"),"Ö","O"),"ö","O"),"Ç","C"),"ç","C"),".",""),",","")," ",""),"-","")))</f>
        <v/>
      </c>
      <c r="S644" s="3">
        <f>IF($D644="","",$C644&amp;"|"&amp;TEXT($E644,"0")&amp;"|"&amp;TEXT($F644,"0")&amp;"|"&amp;$I644)</f>
        <v/>
      </c>
      <c r="T644" s="3">
        <f>IF($E644="",0,SUMPRODUCT((AY_SONU!$O$7:$O$42="Evet")*(AY_SONU!$B$7:$B$42=DATE(YEAR($E644),MONTH($E644),1))))</f>
        <v/>
      </c>
    </row>
    <row r="645">
      <c r="A645" s="6" t="n"/>
      <c r="B645" s="113">
        <f>IF($D645="","","T"&amp;TEXT(ROW()-6,"00000"))</f>
        <v/>
      </c>
      <c r="C645" s="113">
        <f>IF($D645="","",IFERROR(INDEX(MUSTERILER!$B$7:$B$106,MATCH($R645,MUSTERILER!$T$7:$T$106,0)),IFERROR(INDEX(MUSTERILER!$B$7:$B$106,MATCH($D645,MUSTERILER!$B$7:$B$106,0)),IFERROR(INDEX(MUSTERILER!$B$7:$B$106,MATCH($R645&amp;"*",MUSTERILER!$T$7:$T$106,0)),"TANIMSIZ MÜŞTERİ"))))</f>
        <v/>
      </c>
      <c r="D645" s="109" t="n"/>
      <c r="E645" s="220" t="n"/>
      <c r="F645" s="221" t="n"/>
      <c r="G645" s="108" t="n"/>
      <c r="H645" s="108" t="n"/>
      <c r="I645" s="109" t="n"/>
      <c r="J645" s="109" t="n"/>
      <c r="K645" s="109" t="n"/>
      <c r="L645" s="226">
        <f>IF($E645="","",DATE(YEAR($E645),MONTH($E645),1))</f>
        <v/>
      </c>
      <c r="M645" s="113">
        <f>IF($D645="","",IF($C645="TANIMSIZ MÜŞTERİ","HATA",IF(OR($E645="",$F645&lt;=0,$G645=""),"EKSİK",IF($E645&gt;TODAY(),"İLERİ TARİH",IF(COUNTIF($S$7:$S$1506,$S645)&gt;1,"MÜKERRER?",IF($T645&gt;0,"KAPALI DÖNEM","UYGUN"))))))</f>
        <v/>
      </c>
      <c r="N645" s="121">
        <f>IF($C645="","",IF($C645="TANIMSIZ MÜŞTERİ","—",INDEX(MUSTERILER!$C$7:$C$106,MATCH($C645,MUSTERILER!$B$7:$B$106,0))))</f>
        <v/>
      </c>
      <c r="O645" s="6" t="n"/>
      <c r="P645" s="6" t="n"/>
      <c r="Q645" s="3">
        <f>IF($D645="","",$C645&amp;"|"&amp;COUNTIFS($C$7:$C645,$C645))</f>
        <v/>
      </c>
      <c r="R645" s="3">
        <f>IF($D645="","",UPPER(SUBSTITUTE(SUBSTITUTE(SUBSTITUTE(SUBSTITUTE(SUBSTITUTE(SUBSTITUTE(SUBSTITUTE(SUBSTITUTE(SUBSTITUTE(SUBSTITUTE(SUBSTITUTE(SUBSTITUTE(SUBSTITUTE(SUBSTITUTE(SUBSTITUTE(SUBSTITUTE(SUBSTITUTE(SUBSTITUTE(TRIM($D645),"'",""),"İ","I"),"ı","I"),"i","I"),"Ş","S"),"ş","S"),"Ğ","G"),"ğ","G"),"Ü","U"),"ü","U"),"Ö","O"),"ö","O"),"Ç","C"),"ç","C"),".",""),",","")," ",""),"-","")))</f>
        <v/>
      </c>
      <c r="S645" s="3">
        <f>IF($D645="","",$C645&amp;"|"&amp;TEXT($E645,"0")&amp;"|"&amp;TEXT($F645,"0")&amp;"|"&amp;$I645)</f>
        <v/>
      </c>
      <c r="T645" s="3">
        <f>IF($E645="",0,SUMPRODUCT((AY_SONU!$O$7:$O$42="Evet")*(AY_SONU!$B$7:$B$42=DATE(YEAR($E645),MONTH($E645),1))))</f>
        <v/>
      </c>
    </row>
    <row r="646">
      <c r="A646" s="6" t="n"/>
      <c r="B646" s="113">
        <f>IF($D646="","","T"&amp;TEXT(ROW()-6,"00000"))</f>
        <v/>
      </c>
      <c r="C646" s="113">
        <f>IF($D646="","",IFERROR(INDEX(MUSTERILER!$B$7:$B$106,MATCH($R646,MUSTERILER!$T$7:$T$106,0)),IFERROR(INDEX(MUSTERILER!$B$7:$B$106,MATCH($D646,MUSTERILER!$B$7:$B$106,0)),IFERROR(INDEX(MUSTERILER!$B$7:$B$106,MATCH($R646&amp;"*",MUSTERILER!$T$7:$T$106,0)),"TANIMSIZ MÜŞTERİ"))))</f>
        <v/>
      </c>
      <c r="D646" s="109" t="n"/>
      <c r="E646" s="220" t="n"/>
      <c r="F646" s="221" t="n"/>
      <c r="G646" s="108" t="n"/>
      <c r="H646" s="108" t="n"/>
      <c r="I646" s="109" t="n"/>
      <c r="J646" s="109" t="n"/>
      <c r="K646" s="109" t="n"/>
      <c r="L646" s="226">
        <f>IF($E646="","",DATE(YEAR($E646),MONTH($E646),1))</f>
        <v/>
      </c>
      <c r="M646" s="113">
        <f>IF($D646="","",IF($C646="TANIMSIZ MÜŞTERİ","HATA",IF(OR($E646="",$F646&lt;=0,$G646=""),"EKSİK",IF($E646&gt;TODAY(),"İLERİ TARİH",IF(COUNTIF($S$7:$S$1506,$S646)&gt;1,"MÜKERRER?",IF($T646&gt;0,"KAPALI DÖNEM","UYGUN"))))))</f>
        <v/>
      </c>
      <c r="N646" s="121">
        <f>IF($C646="","",IF($C646="TANIMSIZ MÜŞTERİ","—",INDEX(MUSTERILER!$C$7:$C$106,MATCH($C646,MUSTERILER!$B$7:$B$106,0))))</f>
        <v/>
      </c>
      <c r="O646" s="6" t="n"/>
      <c r="P646" s="6" t="n"/>
      <c r="Q646" s="3">
        <f>IF($D646="","",$C646&amp;"|"&amp;COUNTIFS($C$7:$C646,$C646))</f>
        <v/>
      </c>
      <c r="R646" s="3">
        <f>IF($D646="","",UPPER(SUBSTITUTE(SUBSTITUTE(SUBSTITUTE(SUBSTITUTE(SUBSTITUTE(SUBSTITUTE(SUBSTITUTE(SUBSTITUTE(SUBSTITUTE(SUBSTITUTE(SUBSTITUTE(SUBSTITUTE(SUBSTITUTE(SUBSTITUTE(SUBSTITUTE(SUBSTITUTE(SUBSTITUTE(SUBSTITUTE(TRIM($D646),"'",""),"İ","I"),"ı","I"),"i","I"),"Ş","S"),"ş","S"),"Ğ","G"),"ğ","G"),"Ü","U"),"ü","U"),"Ö","O"),"ö","O"),"Ç","C"),"ç","C"),".",""),",","")," ",""),"-","")))</f>
        <v/>
      </c>
      <c r="S646" s="3">
        <f>IF($D646="","",$C646&amp;"|"&amp;TEXT($E646,"0")&amp;"|"&amp;TEXT($F646,"0")&amp;"|"&amp;$I646)</f>
        <v/>
      </c>
      <c r="T646" s="3">
        <f>IF($E646="",0,SUMPRODUCT((AY_SONU!$O$7:$O$42="Evet")*(AY_SONU!$B$7:$B$42=DATE(YEAR($E646),MONTH($E646),1))))</f>
        <v/>
      </c>
    </row>
    <row r="647">
      <c r="A647" s="6" t="n"/>
      <c r="B647" s="113">
        <f>IF($D647="","","T"&amp;TEXT(ROW()-6,"00000"))</f>
        <v/>
      </c>
      <c r="C647" s="113">
        <f>IF($D647="","",IFERROR(INDEX(MUSTERILER!$B$7:$B$106,MATCH($R647,MUSTERILER!$T$7:$T$106,0)),IFERROR(INDEX(MUSTERILER!$B$7:$B$106,MATCH($D647,MUSTERILER!$B$7:$B$106,0)),IFERROR(INDEX(MUSTERILER!$B$7:$B$106,MATCH($R647&amp;"*",MUSTERILER!$T$7:$T$106,0)),"TANIMSIZ MÜŞTERİ"))))</f>
        <v/>
      </c>
      <c r="D647" s="109" t="n"/>
      <c r="E647" s="220" t="n"/>
      <c r="F647" s="221" t="n"/>
      <c r="G647" s="108" t="n"/>
      <c r="H647" s="108" t="n"/>
      <c r="I647" s="109" t="n"/>
      <c r="J647" s="109" t="n"/>
      <c r="K647" s="109" t="n"/>
      <c r="L647" s="226">
        <f>IF($E647="","",DATE(YEAR($E647),MONTH($E647),1))</f>
        <v/>
      </c>
      <c r="M647" s="113">
        <f>IF($D647="","",IF($C647="TANIMSIZ MÜŞTERİ","HATA",IF(OR($E647="",$F647&lt;=0,$G647=""),"EKSİK",IF($E647&gt;TODAY(),"İLERİ TARİH",IF(COUNTIF($S$7:$S$1506,$S647)&gt;1,"MÜKERRER?",IF($T647&gt;0,"KAPALI DÖNEM","UYGUN"))))))</f>
        <v/>
      </c>
      <c r="N647" s="121">
        <f>IF($C647="","",IF($C647="TANIMSIZ MÜŞTERİ","—",INDEX(MUSTERILER!$C$7:$C$106,MATCH($C647,MUSTERILER!$B$7:$B$106,0))))</f>
        <v/>
      </c>
      <c r="O647" s="6" t="n"/>
      <c r="P647" s="6" t="n"/>
      <c r="Q647" s="3">
        <f>IF($D647="","",$C647&amp;"|"&amp;COUNTIFS($C$7:$C647,$C647))</f>
        <v/>
      </c>
      <c r="R647" s="3">
        <f>IF($D647="","",UPPER(SUBSTITUTE(SUBSTITUTE(SUBSTITUTE(SUBSTITUTE(SUBSTITUTE(SUBSTITUTE(SUBSTITUTE(SUBSTITUTE(SUBSTITUTE(SUBSTITUTE(SUBSTITUTE(SUBSTITUTE(SUBSTITUTE(SUBSTITUTE(SUBSTITUTE(SUBSTITUTE(SUBSTITUTE(SUBSTITUTE(TRIM($D647),"'",""),"İ","I"),"ı","I"),"i","I"),"Ş","S"),"ş","S"),"Ğ","G"),"ğ","G"),"Ü","U"),"ü","U"),"Ö","O"),"ö","O"),"Ç","C"),"ç","C"),".",""),",","")," ",""),"-","")))</f>
        <v/>
      </c>
      <c r="S647" s="3">
        <f>IF($D647="","",$C647&amp;"|"&amp;TEXT($E647,"0")&amp;"|"&amp;TEXT($F647,"0")&amp;"|"&amp;$I647)</f>
        <v/>
      </c>
      <c r="T647" s="3">
        <f>IF($E647="",0,SUMPRODUCT((AY_SONU!$O$7:$O$42="Evet")*(AY_SONU!$B$7:$B$42=DATE(YEAR($E647),MONTH($E647),1))))</f>
        <v/>
      </c>
    </row>
    <row r="648">
      <c r="A648" s="6" t="n"/>
      <c r="B648" s="113">
        <f>IF($D648="","","T"&amp;TEXT(ROW()-6,"00000"))</f>
        <v/>
      </c>
      <c r="C648" s="113">
        <f>IF($D648="","",IFERROR(INDEX(MUSTERILER!$B$7:$B$106,MATCH($R648,MUSTERILER!$T$7:$T$106,0)),IFERROR(INDEX(MUSTERILER!$B$7:$B$106,MATCH($D648,MUSTERILER!$B$7:$B$106,0)),IFERROR(INDEX(MUSTERILER!$B$7:$B$106,MATCH($R648&amp;"*",MUSTERILER!$T$7:$T$106,0)),"TANIMSIZ MÜŞTERİ"))))</f>
        <v/>
      </c>
      <c r="D648" s="109" t="n"/>
      <c r="E648" s="220" t="n"/>
      <c r="F648" s="221" t="n"/>
      <c r="G648" s="108" t="n"/>
      <c r="H648" s="108" t="n"/>
      <c r="I648" s="109" t="n"/>
      <c r="J648" s="109" t="n"/>
      <c r="K648" s="109" t="n"/>
      <c r="L648" s="226">
        <f>IF($E648="","",DATE(YEAR($E648),MONTH($E648),1))</f>
        <v/>
      </c>
      <c r="M648" s="113">
        <f>IF($D648="","",IF($C648="TANIMSIZ MÜŞTERİ","HATA",IF(OR($E648="",$F648&lt;=0,$G648=""),"EKSİK",IF($E648&gt;TODAY(),"İLERİ TARİH",IF(COUNTIF($S$7:$S$1506,$S648)&gt;1,"MÜKERRER?",IF($T648&gt;0,"KAPALI DÖNEM","UYGUN"))))))</f>
        <v/>
      </c>
      <c r="N648" s="121">
        <f>IF($C648="","",IF($C648="TANIMSIZ MÜŞTERİ","—",INDEX(MUSTERILER!$C$7:$C$106,MATCH($C648,MUSTERILER!$B$7:$B$106,0))))</f>
        <v/>
      </c>
      <c r="O648" s="6" t="n"/>
      <c r="P648" s="6" t="n"/>
      <c r="Q648" s="3">
        <f>IF($D648="","",$C648&amp;"|"&amp;COUNTIFS($C$7:$C648,$C648))</f>
        <v/>
      </c>
      <c r="R648" s="3">
        <f>IF($D648="","",UPPER(SUBSTITUTE(SUBSTITUTE(SUBSTITUTE(SUBSTITUTE(SUBSTITUTE(SUBSTITUTE(SUBSTITUTE(SUBSTITUTE(SUBSTITUTE(SUBSTITUTE(SUBSTITUTE(SUBSTITUTE(SUBSTITUTE(SUBSTITUTE(SUBSTITUTE(SUBSTITUTE(SUBSTITUTE(SUBSTITUTE(TRIM($D648),"'",""),"İ","I"),"ı","I"),"i","I"),"Ş","S"),"ş","S"),"Ğ","G"),"ğ","G"),"Ü","U"),"ü","U"),"Ö","O"),"ö","O"),"Ç","C"),"ç","C"),".",""),",","")," ",""),"-","")))</f>
        <v/>
      </c>
      <c r="S648" s="3">
        <f>IF($D648="","",$C648&amp;"|"&amp;TEXT($E648,"0")&amp;"|"&amp;TEXT($F648,"0")&amp;"|"&amp;$I648)</f>
        <v/>
      </c>
      <c r="T648" s="3">
        <f>IF($E648="",0,SUMPRODUCT((AY_SONU!$O$7:$O$42="Evet")*(AY_SONU!$B$7:$B$42=DATE(YEAR($E648),MONTH($E648),1))))</f>
        <v/>
      </c>
    </row>
    <row r="649">
      <c r="A649" s="6" t="n"/>
      <c r="B649" s="113">
        <f>IF($D649="","","T"&amp;TEXT(ROW()-6,"00000"))</f>
        <v/>
      </c>
      <c r="C649" s="113">
        <f>IF($D649="","",IFERROR(INDEX(MUSTERILER!$B$7:$B$106,MATCH($R649,MUSTERILER!$T$7:$T$106,0)),IFERROR(INDEX(MUSTERILER!$B$7:$B$106,MATCH($D649,MUSTERILER!$B$7:$B$106,0)),IFERROR(INDEX(MUSTERILER!$B$7:$B$106,MATCH($R649&amp;"*",MUSTERILER!$T$7:$T$106,0)),"TANIMSIZ MÜŞTERİ"))))</f>
        <v/>
      </c>
      <c r="D649" s="109" t="n"/>
      <c r="E649" s="220" t="n"/>
      <c r="F649" s="221" t="n"/>
      <c r="G649" s="108" t="n"/>
      <c r="H649" s="108" t="n"/>
      <c r="I649" s="109" t="n"/>
      <c r="J649" s="109" t="n"/>
      <c r="K649" s="109" t="n"/>
      <c r="L649" s="226">
        <f>IF($E649="","",DATE(YEAR($E649),MONTH($E649),1))</f>
        <v/>
      </c>
      <c r="M649" s="113">
        <f>IF($D649="","",IF($C649="TANIMSIZ MÜŞTERİ","HATA",IF(OR($E649="",$F649&lt;=0,$G649=""),"EKSİK",IF($E649&gt;TODAY(),"İLERİ TARİH",IF(COUNTIF($S$7:$S$1506,$S649)&gt;1,"MÜKERRER?",IF($T649&gt;0,"KAPALI DÖNEM","UYGUN"))))))</f>
        <v/>
      </c>
      <c r="N649" s="121">
        <f>IF($C649="","",IF($C649="TANIMSIZ MÜŞTERİ","—",INDEX(MUSTERILER!$C$7:$C$106,MATCH($C649,MUSTERILER!$B$7:$B$106,0))))</f>
        <v/>
      </c>
      <c r="O649" s="6" t="n"/>
      <c r="P649" s="6" t="n"/>
      <c r="Q649" s="3">
        <f>IF($D649="","",$C649&amp;"|"&amp;COUNTIFS($C$7:$C649,$C649))</f>
        <v/>
      </c>
      <c r="R649" s="3">
        <f>IF($D649="","",UPPER(SUBSTITUTE(SUBSTITUTE(SUBSTITUTE(SUBSTITUTE(SUBSTITUTE(SUBSTITUTE(SUBSTITUTE(SUBSTITUTE(SUBSTITUTE(SUBSTITUTE(SUBSTITUTE(SUBSTITUTE(SUBSTITUTE(SUBSTITUTE(SUBSTITUTE(SUBSTITUTE(SUBSTITUTE(SUBSTITUTE(TRIM($D649),"'",""),"İ","I"),"ı","I"),"i","I"),"Ş","S"),"ş","S"),"Ğ","G"),"ğ","G"),"Ü","U"),"ü","U"),"Ö","O"),"ö","O"),"Ç","C"),"ç","C"),".",""),",","")," ",""),"-","")))</f>
        <v/>
      </c>
      <c r="S649" s="3">
        <f>IF($D649="","",$C649&amp;"|"&amp;TEXT($E649,"0")&amp;"|"&amp;TEXT($F649,"0")&amp;"|"&amp;$I649)</f>
        <v/>
      </c>
      <c r="T649" s="3">
        <f>IF($E649="",0,SUMPRODUCT((AY_SONU!$O$7:$O$42="Evet")*(AY_SONU!$B$7:$B$42=DATE(YEAR($E649),MONTH($E649),1))))</f>
        <v/>
      </c>
    </row>
    <row r="650">
      <c r="A650" s="6" t="n"/>
      <c r="B650" s="113">
        <f>IF($D650="","","T"&amp;TEXT(ROW()-6,"00000"))</f>
        <v/>
      </c>
      <c r="C650" s="113">
        <f>IF($D650="","",IFERROR(INDEX(MUSTERILER!$B$7:$B$106,MATCH($R650,MUSTERILER!$T$7:$T$106,0)),IFERROR(INDEX(MUSTERILER!$B$7:$B$106,MATCH($D650,MUSTERILER!$B$7:$B$106,0)),IFERROR(INDEX(MUSTERILER!$B$7:$B$106,MATCH($R650&amp;"*",MUSTERILER!$T$7:$T$106,0)),"TANIMSIZ MÜŞTERİ"))))</f>
        <v/>
      </c>
      <c r="D650" s="109" t="n"/>
      <c r="E650" s="220" t="n"/>
      <c r="F650" s="221" t="n"/>
      <c r="G650" s="108" t="n"/>
      <c r="H650" s="108" t="n"/>
      <c r="I650" s="109" t="n"/>
      <c r="J650" s="109" t="n"/>
      <c r="K650" s="109" t="n"/>
      <c r="L650" s="226">
        <f>IF($E650="","",DATE(YEAR($E650),MONTH($E650),1))</f>
        <v/>
      </c>
      <c r="M650" s="113">
        <f>IF($D650="","",IF($C650="TANIMSIZ MÜŞTERİ","HATA",IF(OR($E650="",$F650&lt;=0,$G650=""),"EKSİK",IF($E650&gt;TODAY(),"İLERİ TARİH",IF(COUNTIF($S$7:$S$1506,$S650)&gt;1,"MÜKERRER?",IF($T650&gt;0,"KAPALI DÖNEM","UYGUN"))))))</f>
        <v/>
      </c>
      <c r="N650" s="121">
        <f>IF($C650="","",IF($C650="TANIMSIZ MÜŞTERİ","—",INDEX(MUSTERILER!$C$7:$C$106,MATCH($C650,MUSTERILER!$B$7:$B$106,0))))</f>
        <v/>
      </c>
      <c r="O650" s="6" t="n"/>
      <c r="P650" s="6" t="n"/>
      <c r="Q650" s="3">
        <f>IF($D650="","",$C650&amp;"|"&amp;COUNTIFS($C$7:$C650,$C650))</f>
        <v/>
      </c>
      <c r="R650" s="3">
        <f>IF($D650="","",UPPER(SUBSTITUTE(SUBSTITUTE(SUBSTITUTE(SUBSTITUTE(SUBSTITUTE(SUBSTITUTE(SUBSTITUTE(SUBSTITUTE(SUBSTITUTE(SUBSTITUTE(SUBSTITUTE(SUBSTITUTE(SUBSTITUTE(SUBSTITUTE(SUBSTITUTE(SUBSTITUTE(SUBSTITUTE(SUBSTITUTE(TRIM($D650),"'",""),"İ","I"),"ı","I"),"i","I"),"Ş","S"),"ş","S"),"Ğ","G"),"ğ","G"),"Ü","U"),"ü","U"),"Ö","O"),"ö","O"),"Ç","C"),"ç","C"),".",""),",","")," ",""),"-","")))</f>
        <v/>
      </c>
      <c r="S650" s="3">
        <f>IF($D650="","",$C650&amp;"|"&amp;TEXT($E650,"0")&amp;"|"&amp;TEXT($F650,"0")&amp;"|"&amp;$I650)</f>
        <v/>
      </c>
      <c r="T650" s="3">
        <f>IF($E650="",0,SUMPRODUCT((AY_SONU!$O$7:$O$42="Evet")*(AY_SONU!$B$7:$B$42=DATE(YEAR($E650),MONTH($E650),1))))</f>
        <v/>
      </c>
    </row>
    <row r="651">
      <c r="A651" s="6" t="n"/>
      <c r="B651" s="113">
        <f>IF($D651="","","T"&amp;TEXT(ROW()-6,"00000"))</f>
        <v/>
      </c>
      <c r="C651" s="113">
        <f>IF($D651="","",IFERROR(INDEX(MUSTERILER!$B$7:$B$106,MATCH($R651,MUSTERILER!$T$7:$T$106,0)),IFERROR(INDEX(MUSTERILER!$B$7:$B$106,MATCH($D651,MUSTERILER!$B$7:$B$106,0)),IFERROR(INDEX(MUSTERILER!$B$7:$B$106,MATCH($R651&amp;"*",MUSTERILER!$T$7:$T$106,0)),"TANIMSIZ MÜŞTERİ"))))</f>
        <v/>
      </c>
      <c r="D651" s="109" t="n"/>
      <c r="E651" s="220" t="n"/>
      <c r="F651" s="221" t="n"/>
      <c r="G651" s="108" t="n"/>
      <c r="H651" s="108" t="n"/>
      <c r="I651" s="109" t="n"/>
      <c r="J651" s="109" t="n"/>
      <c r="K651" s="109" t="n"/>
      <c r="L651" s="226">
        <f>IF($E651="","",DATE(YEAR($E651),MONTH($E651),1))</f>
        <v/>
      </c>
      <c r="M651" s="113">
        <f>IF($D651="","",IF($C651="TANIMSIZ MÜŞTERİ","HATA",IF(OR($E651="",$F651&lt;=0,$G651=""),"EKSİK",IF($E651&gt;TODAY(),"İLERİ TARİH",IF(COUNTIF($S$7:$S$1506,$S651)&gt;1,"MÜKERRER?",IF($T651&gt;0,"KAPALI DÖNEM","UYGUN"))))))</f>
        <v/>
      </c>
      <c r="N651" s="121">
        <f>IF($C651="","",IF($C651="TANIMSIZ MÜŞTERİ","—",INDEX(MUSTERILER!$C$7:$C$106,MATCH($C651,MUSTERILER!$B$7:$B$106,0))))</f>
        <v/>
      </c>
      <c r="O651" s="6" t="n"/>
      <c r="P651" s="6" t="n"/>
      <c r="Q651" s="3">
        <f>IF($D651="","",$C651&amp;"|"&amp;COUNTIFS($C$7:$C651,$C651))</f>
        <v/>
      </c>
      <c r="R651" s="3">
        <f>IF($D651="","",UPPER(SUBSTITUTE(SUBSTITUTE(SUBSTITUTE(SUBSTITUTE(SUBSTITUTE(SUBSTITUTE(SUBSTITUTE(SUBSTITUTE(SUBSTITUTE(SUBSTITUTE(SUBSTITUTE(SUBSTITUTE(SUBSTITUTE(SUBSTITUTE(SUBSTITUTE(SUBSTITUTE(SUBSTITUTE(SUBSTITUTE(TRIM($D651),"'",""),"İ","I"),"ı","I"),"i","I"),"Ş","S"),"ş","S"),"Ğ","G"),"ğ","G"),"Ü","U"),"ü","U"),"Ö","O"),"ö","O"),"Ç","C"),"ç","C"),".",""),",","")," ",""),"-","")))</f>
        <v/>
      </c>
      <c r="S651" s="3">
        <f>IF($D651="","",$C651&amp;"|"&amp;TEXT($E651,"0")&amp;"|"&amp;TEXT($F651,"0")&amp;"|"&amp;$I651)</f>
        <v/>
      </c>
      <c r="T651" s="3">
        <f>IF($E651="",0,SUMPRODUCT((AY_SONU!$O$7:$O$42="Evet")*(AY_SONU!$B$7:$B$42=DATE(YEAR($E651),MONTH($E651),1))))</f>
        <v/>
      </c>
    </row>
    <row r="652">
      <c r="A652" s="6" t="n"/>
      <c r="B652" s="113">
        <f>IF($D652="","","T"&amp;TEXT(ROW()-6,"00000"))</f>
        <v/>
      </c>
      <c r="C652" s="113">
        <f>IF($D652="","",IFERROR(INDEX(MUSTERILER!$B$7:$B$106,MATCH($R652,MUSTERILER!$T$7:$T$106,0)),IFERROR(INDEX(MUSTERILER!$B$7:$B$106,MATCH($D652,MUSTERILER!$B$7:$B$106,0)),IFERROR(INDEX(MUSTERILER!$B$7:$B$106,MATCH($R652&amp;"*",MUSTERILER!$T$7:$T$106,0)),"TANIMSIZ MÜŞTERİ"))))</f>
        <v/>
      </c>
      <c r="D652" s="109" t="n"/>
      <c r="E652" s="220" t="n"/>
      <c r="F652" s="221" t="n"/>
      <c r="G652" s="108" t="n"/>
      <c r="H652" s="108" t="n"/>
      <c r="I652" s="109" t="n"/>
      <c r="J652" s="109" t="n"/>
      <c r="K652" s="109" t="n"/>
      <c r="L652" s="226">
        <f>IF($E652="","",DATE(YEAR($E652),MONTH($E652),1))</f>
        <v/>
      </c>
      <c r="M652" s="113">
        <f>IF($D652="","",IF($C652="TANIMSIZ MÜŞTERİ","HATA",IF(OR($E652="",$F652&lt;=0,$G652=""),"EKSİK",IF($E652&gt;TODAY(),"İLERİ TARİH",IF(COUNTIF($S$7:$S$1506,$S652)&gt;1,"MÜKERRER?",IF($T652&gt;0,"KAPALI DÖNEM","UYGUN"))))))</f>
        <v/>
      </c>
      <c r="N652" s="121">
        <f>IF($C652="","",IF($C652="TANIMSIZ MÜŞTERİ","—",INDEX(MUSTERILER!$C$7:$C$106,MATCH($C652,MUSTERILER!$B$7:$B$106,0))))</f>
        <v/>
      </c>
      <c r="O652" s="6" t="n"/>
      <c r="P652" s="6" t="n"/>
      <c r="Q652" s="3">
        <f>IF($D652="","",$C652&amp;"|"&amp;COUNTIFS($C$7:$C652,$C652))</f>
        <v/>
      </c>
      <c r="R652" s="3">
        <f>IF($D652="","",UPPER(SUBSTITUTE(SUBSTITUTE(SUBSTITUTE(SUBSTITUTE(SUBSTITUTE(SUBSTITUTE(SUBSTITUTE(SUBSTITUTE(SUBSTITUTE(SUBSTITUTE(SUBSTITUTE(SUBSTITUTE(SUBSTITUTE(SUBSTITUTE(SUBSTITUTE(SUBSTITUTE(SUBSTITUTE(SUBSTITUTE(TRIM($D652),"'",""),"İ","I"),"ı","I"),"i","I"),"Ş","S"),"ş","S"),"Ğ","G"),"ğ","G"),"Ü","U"),"ü","U"),"Ö","O"),"ö","O"),"Ç","C"),"ç","C"),".",""),",","")," ",""),"-","")))</f>
        <v/>
      </c>
      <c r="S652" s="3">
        <f>IF($D652="","",$C652&amp;"|"&amp;TEXT($E652,"0")&amp;"|"&amp;TEXT($F652,"0")&amp;"|"&amp;$I652)</f>
        <v/>
      </c>
      <c r="T652" s="3">
        <f>IF($E652="",0,SUMPRODUCT((AY_SONU!$O$7:$O$42="Evet")*(AY_SONU!$B$7:$B$42=DATE(YEAR($E652),MONTH($E652),1))))</f>
        <v/>
      </c>
    </row>
    <row r="653">
      <c r="A653" s="6" t="n"/>
      <c r="B653" s="113">
        <f>IF($D653="","","T"&amp;TEXT(ROW()-6,"00000"))</f>
        <v/>
      </c>
      <c r="C653" s="113">
        <f>IF($D653="","",IFERROR(INDEX(MUSTERILER!$B$7:$B$106,MATCH($R653,MUSTERILER!$T$7:$T$106,0)),IFERROR(INDEX(MUSTERILER!$B$7:$B$106,MATCH($D653,MUSTERILER!$B$7:$B$106,0)),IFERROR(INDEX(MUSTERILER!$B$7:$B$106,MATCH($R653&amp;"*",MUSTERILER!$T$7:$T$106,0)),"TANIMSIZ MÜŞTERİ"))))</f>
        <v/>
      </c>
      <c r="D653" s="109" t="n"/>
      <c r="E653" s="220" t="n"/>
      <c r="F653" s="221" t="n"/>
      <c r="G653" s="108" t="n"/>
      <c r="H653" s="108" t="n"/>
      <c r="I653" s="109" t="n"/>
      <c r="J653" s="109" t="n"/>
      <c r="K653" s="109" t="n"/>
      <c r="L653" s="226">
        <f>IF($E653="","",DATE(YEAR($E653),MONTH($E653),1))</f>
        <v/>
      </c>
      <c r="M653" s="113">
        <f>IF($D653="","",IF($C653="TANIMSIZ MÜŞTERİ","HATA",IF(OR($E653="",$F653&lt;=0,$G653=""),"EKSİK",IF($E653&gt;TODAY(),"İLERİ TARİH",IF(COUNTIF($S$7:$S$1506,$S653)&gt;1,"MÜKERRER?",IF($T653&gt;0,"KAPALI DÖNEM","UYGUN"))))))</f>
        <v/>
      </c>
      <c r="N653" s="121">
        <f>IF($C653="","",IF($C653="TANIMSIZ MÜŞTERİ","—",INDEX(MUSTERILER!$C$7:$C$106,MATCH($C653,MUSTERILER!$B$7:$B$106,0))))</f>
        <v/>
      </c>
      <c r="O653" s="6" t="n"/>
      <c r="P653" s="6" t="n"/>
      <c r="Q653" s="3">
        <f>IF($D653="","",$C653&amp;"|"&amp;COUNTIFS($C$7:$C653,$C653))</f>
        <v/>
      </c>
      <c r="R653" s="3">
        <f>IF($D653="","",UPPER(SUBSTITUTE(SUBSTITUTE(SUBSTITUTE(SUBSTITUTE(SUBSTITUTE(SUBSTITUTE(SUBSTITUTE(SUBSTITUTE(SUBSTITUTE(SUBSTITUTE(SUBSTITUTE(SUBSTITUTE(SUBSTITUTE(SUBSTITUTE(SUBSTITUTE(SUBSTITUTE(SUBSTITUTE(SUBSTITUTE(TRIM($D653),"'",""),"İ","I"),"ı","I"),"i","I"),"Ş","S"),"ş","S"),"Ğ","G"),"ğ","G"),"Ü","U"),"ü","U"),"Ö","O"),"ö","O"),"Ç","C"),"ç","C"),".",""),",","")," ",""),"-","")))</f>
        <v/>
      </c>
      <c r="S653" s="3">
        <f>IF($D653="","",$C653&amp;"|"&amp;TEXT($E653,"0")&amp;"|"&amp;TEXT($F653,"0")&amp;"|"&amp;$I653)</f>
        <v/>
      </c>
      <c r="T653" s="3">
        <f>IF($E653="",0,SUMPRODUCT((AY_SONU!$O$7:$O$42="Evet")*(AY_SONU!$B$7:$B$42=DATE(YEAR($E653),MONTH($E653),1))))</f>
        <v/>
      </c>
    </row>
    <row r="654">
      <c r="A654" s="6" t="n"/>
      <c r="B654" s="113">
        <f>IF($D654="","","T"&amp;TEXT(ROW()-6,"00000"))</f>
        <v/>
      </c>
      <c r="C654" s="113">
        <f>IF($D654="","",IFERROR(INDEX(MUSTERILER!$B$7:$B$106,MATCH($R654,MUSTERILER!$T$7:$T$106,0)),IFERROR(INDEX(MUSTERILER!$B$7:$B$106,MATCH($D654,MUSTERILER!$B$7:$B$106,0)),IFERROR(INDEX(MUSTERILER!$B$7:$B$106,MATCH($R654&amp;"*",MUSTERILER!$T$7:$T$106,0)),"TANIMSIZ MÜŞTERİ"))))</f>
        <v/>
      </c>
      <c r="D654" s="109" t="n"/>
      <c r="E654" s="220" t="n"/>
      <c r="F654" s="221" t="n"/>
      <c r="G654" s="108" t="n"/>
      <c r="H654" s="108" t="n"/>
      <c r="I654" s="109" t="n"/>
      <c r="J654" s="109" t="n"/>
      <c r="K654" s="109" t="n"/>
      <c r="L654" s="226">
        <f>IF($E654="","",DATE(YEAR($E654),MONTH($E654),1))</f>
        <v/>
      </c>
      <c r="M654" s="113">
        <f>IF($D654="","",IF($C654="TANIMSIZ MÜŞTERİ","HATA",IF(OR($E654="",$F654&lt;=0,$G654=""),"EKSİK",IF($E654&gt;TODAY(),"İLERİ TARİH",IF(COUNTIF($S$7:$S$1506,$S654)&gt;1,"MÜKERRER?",IF($T654&gt;0,"KAPALI DÖNEM","UYGUN"))))))</f>
        <v/>
      </c>
      <c r="N654" s="121">
        <f>IF($C654="","",IF($C654="TANIMSIZ MÜŞTERİ","—",INDEX(MUSTERILER!$C$7:$C$106,MATCH($C654,MUSTERILER!$B$7:$B$106,0))))</f>
        <v/>
      </c>
      <c r="O654" s="6" t="n"/>
      <c r="P654" s="6" t="n"/>
      <c r="Q654" s="3">
        <f>IF($D654="","",$C654&amp;"|"&amp;COUNTIFS($C$7:$C654,$C654))</f>
        <v/>
      </c>
      <c r="R654" s="3">
        <f>IF($D654="","",UPPER(SUBSTITUTE(SUBSTITUTE(SUBSTITUTE(SUBSTITUTE(SUBSTITUTE(SUBSTITUTE(SUBSTITUTE(SUBSTITUTE(SUBSTITUTE(SUBSTITUTE(SUBSTITUTE(SUBSTITUTE(SUBSTITUTE(SUBSTITUTE(SUBSTITUTE(SUBSTITUTE(SUBSTITUTE(SUBSTITUTE(TRIM($D654),"'",""),"İ","I"),"ı","I"),"i","I"),"Ş","S"),"ş","S"),"Ğ","G"),"ğ","G"),"Ü","U"),"ü","U"),"Ö","O"),"ö","O"),"Ç","C"),"ç","C"),".",""),",","")," ",""),"-","")))</f>
        <v/>
      </c>
      <c r="S654" s="3">
        <f>IF($D654="","",$C654&amp;"|"&amp;TEXT($E654,"0")&amp;"|"&amp;TEXT($F654,"0")&amp;"|"&amp;$I654)</f>
        <v/>
      </c>
      <c r="T654" s="3">
        <f>IF($E654="",0,SUMPRODUCT((AY_SONU!$O$7:$O$42="Evet")*(AY_SONU!$B$7:$B$42=DATE(YEAR($E654),MONTH($E654),1))))</f>
        <v/>
      </c>
    </row>
    <row r="655">
      <c r="A655" s="6" t="n"/>
      <c r="B655" s="113">
        <f>IF($D655="","","T"&amp;TEXT(ROW()-6,"00000"))</f>
        <v/>
      </c>
      <c r="C655" s="113">
        <f>IF($D655="","",IFERROR(INDEX(MUSTERILER!$B$7:$B$106,MATCH($R655,MUSTERILER!$T$7:$T$106,0)),IFERROR(INDEX(MUSTERILER!$B$7:$B$106,MATCH($D655,MUSTERILER!$B$7:$B$106,0)),IFERROR(INDEX(MUSTERILER!$B$7:$B$106,MATCH($R655&amp;"*",MUSTERILER!$T$7:$T$106,0)),"TANIMSIZ MÜŞTERİ"))))</f>
        <v/>
      </c>
      <c r="D655" s="109" t="n"/>
      <c r="E655" s="220" t="n"/>
      <c r="F655" s="221" t="n"/>
      <c r="G655" s="108" t="n"/>
      <c r="H655" s="108" t="n"/>
      <c r="I655" s="109" t="n"/>
      <c r="J655" s="109" t="n"/>
      <c r="K655" s="109" t="n"/>
      <c r="L655" s="226">
        <f>IF($E655="","",DATE(YEAR($E655),MONTH($E655),1))</f>
        <v/>
      </c>
      <c r="M655" s="113">
        <f>IF($D655="","",IF($C655="TANIMSIZ MÜŞTERİ","HATA",IF(OR($E655="",$F655&lt;=0,$G655=""),"EKSİK",IF($E655&gt;TODAY(),"İLERİ TARİH",IF(COUNTIF($S$7:$S$1506,$S655)&gt;1,"MÜKERRER?",IF($T655&gt;0,"KAPALI DÖNEM","UYGUN"))))))</f>
        <v/>
      </c>
      <c r="N655" s="121">
        <f>IF($C655="","",IF($C655="TANIMSIZ MÜŞTERİ","—",INDEX(MUSTERILER!$C$7:$C$106,MATCH($C655,MUSTERILER!$B$7:$B$106,0))))</f>
        <v/>
      </c>
      <c r="O655" s="6" t="n"/>
      <c r="P655" s="6" t="n"/>
      <c r="Q655" s="3">
        <f>IF($D655="","",$C655&amp;"|"&amp;COUNTIFS($C$7:$C655,$C655))</f>
        <v/>
      </c>
      <c r="R655" s="3">
        <f>IF($D655="","",UPPER(SUBSTITUTE(SUBSTITUTE(SUBSTITUTE(SUBSTITUTE(SUBSTITUTE(SUBSTITUTE(SUBSTITUTE(SUBSTITUTE(SUBSTITUTE(SUBSTITUTE(SUBSTITUTE(SUBSTITUTE(SUBSTITUTE(SUBSTITUTE(SUBSTITUTE(SUBSTITUTE(SUBSTITUTE(SUBSTITUTE(TRIM($D655),"'",""),"İ","I"),"ı","I"),"i","I"),"Ş","S"),"ş","S"),"Ğ","G"),"ğ","G"),"Ü","U"),"ü","U"),"Ö","O"),"ö","O"),"Ç","C"),"ç","C"),".",""),",","")," ",""),"-","")))</f>
        <v/>
      </c>
      <c r="S655" s="3">
        <f>IF($D655="","",$C655&amp;"|"&amp;TEXT($E655,"0")&amp;"|"&amp;TEXT($F655,"0")&amp;"|"&amp;$I655)</f>
        <v/>
      </c>
      <c r="T655" s="3">
        <f>IF($E655="",0,SUMPRODUCT((AY_SONU!$O$7:$O$42="Evet")*(AY_SONU!$B$7:$B$42=DATE(YEAR($E655),MONTH($E655),1))))</f>
        <v/>
      </c>
    </row>
    <row r="656">
      <c r="A656" s="6" t="n"/>
      <c r="B656" s="113">
        <f>IF($D656="","","T"&amp;TEXT(ROW()-6,"00000"))</f>
        <v/>
      </c>
      <c r="C656" s="113">
        <f>IF($D656="","",IFERROR(INDEX(MUSTERILER!$B$7:$B$106,MATCH($R656,MUSTERILER!$T$7:$T$106,0)),IFERROR(INDEX(MUSTERILER!$B$7:$B$106,MATCH($D656,MUSTERILER!$B$7:$B$106,0)),IFERROR(INDEX(MUSTERILER!$B$7:$B$106,MATCH($R656&amp;"*",MUSTERILER!$T$7:$T$106,0)),"TANIMSIZ MÜŞTERİ"))))</f>
        <v/>
      </c>
      <c r="D656" s="109" t="n"/>
      <c r="E656" s="220" t="n"/>
      <c r="F656" s="221" t="n"/>
      <c r="G656" s="108" t="n"/>
      <c r="H656" s="108" t="n"/>
      <c r="I656" s="109" t="n"/>
      <c r="J656" s="109" t="n"/>
      <c r="K656" s="109" t="n"/>
      <c r="L656" s="226">
        <f>IF($E656="","",DATE(YEAR($E656),MONTH($E656),1))</f>
        <v/>
      </c>
      <c r="M656" s="113">
        <f>IF($D656="","",IF($C656="TANIMSIZ MÜŞTERİ","HATA",IF(OR($E656="",$F656&lt;=0,$G656=""),"EKSİK",IF($E656&gt;TODAY(),"İLERİ TARİH",IF(COUNTIF($S$7:$S$1506,$S656)&gt;1,"MÜKERRER?",IF($T656&gt;0,"KAPALI DÖNEM","UYGUN"))))))</f>
        <v/>
      </c>
      <c r="N656" s="121">
        <f>IF($C656="","",IF($C656="TANIMSIZ MÜŞTERİ","—",INDEX(MUSTERILER!$C$7:$C$106,MATCH($C656,MUSTERILER!$B$7:$B$106,0))))</f>
        <v/>
      </c>
      <c r="O656" s="6" t="n"/>
      <c r="P656" s="6" t="n"/>
      <c r="Q656" s="3">
        <f>IF($D656="","",$C656&amp;"|"&amp;COUNTIFS($C$7:$C656,$C656))</f>
        <v/>
      </c>
      <c r="R656" s="3">
        <f>IF($D656="","",UPPER(SUBSTITUTE(SUBSTITUTE(SUBSTITUTE(SUBSTITUTE(SUBSTITUTE(SUBSTITUTE(SUBSTITUTE(SUBSTITUTE(SUBSTITUTE(SUBSTITUTE(SUBSTITUTE(SUBSTITUTE(SUBSTITUTE(SUBSTITUTE(SUBSTITUTE(SUBSTITUTE(SUBSTITUTE(SUBSTITUTE(TRIM($D656),"'",""),"İ","I"),"ı","I"),"i","I"),"Ş","S"),"ş","S"),"Ğ","G"),"ğ","G"),"Ü","U"),"ü","U"),"Ö","O"),"ö","O"),"Ç","C"),"ç","C"),".",""),",","")," ",""),"-","")))</f>
        <v/>
      </c>
      <c r="S656" s="3">
        <f>IF($D656="","",$C656&amp;"|"&amp;TEXT($E656,"0")&amp;"|"&amp;TEXT($F656,"0")&amp;"|"&amp;$I656)</f>
        <v/>
      </c>
      <c r="T656" s="3">
        <f>IF($E656="",0,SUMPRODUCT((AY_SONU!$O$7:$O$42="Evet")*(AY_SONU!$B$7:$B$42=DATE(YEAR($E656),MONTH($E656),1))))</f>
        <v/>
      </c>
    </row>
    <row r="657">
      <c r="A657" s="6" t="n"/>
      <c r="B657" s="113">
        <f>IF($D657="","","T"&amp;TEXT(ROW()-6,"00000"))</f>
        <v/>
      </c>
      <c r="C657" s="113">
        <f>IF($D657="","",IFERROR(INDEX(MUSTERILER!$B$7:$B$106,MATCH($R657,MUSTERILER!$T$7:$T$106,0)),IFERROR(INDEX(MUSTERILER!$B$7:$B$106,MATCH($D657,MUSTERILER!$B$7:$B$106,0)),IFERROR(INDEX(MUSTERILER!$B$7:$B$106,MATCH($R657&amp;"*",MUSTERILER!$T$7:$T$106,0)),"TANIMSIZ MÜŞTERİ"))))</f>
        <v/>
      </c>
      <c r="D657" s="109" t="n"/>
      <c r="E657" s="220" t="n"/>
      <c r="F657" s="221" t="n"/>
      <c r="G657" s="108" t="n"/>
      <c r="H657" s="108" t="n"/>
      <c r="I657" s="109" t="n"/>
      <c r="J657" s="109" t="n"/>
      <c r="K657" s="109" t="n"/>
      <c r="L657" s="226">
        <f>IF($E657="","",DATE(YEAR($E657),MONTH($E657),1))</f>
        <v/>
      </c>
      <c r="M657" s="113">
        <f>IF($D657="","",IF($C657="TANIMSIZ MÜŞTERİ","HATA",IF(OR($E657="",$F657&lt;=0,$G657=""),"EKSİK",IF($E657&gt;TODAY(),"İLERİ TARİH",IF(COUNTIF($S$7:$S$1506,$S657)&gt;1,"MÜKERRER?",IF($T657&gt;0,"KAPALI DÖNEM","UYGUN"))))))</f>
        <v/>
      </c>
      <c r="N657" s="121">
        <f>IF($C657="","",IF($C657="TANIMSIZ MÜŞTERİ","—",INDEX(MUSTERILER!$C$7:$C$106,MATCH($C657,MUSTERILER!$B$7:$B$106,0))))</f>
        <v/>
      </c>
      <c r="O657" s="6" t="n"/>
      <c r="P657" s="6" t="n"/>
      <c r="Q657" s="3">
        <f>IF($D657="","",$C657&amp;"|"&amp;COUNTIFS($C$7:$C657,$C657))</f>
        <v/>
      </c>
      <c r="R657" s="3">
        <f>IF($D657="","",UPPER(SUBSTITUTE(SUBSTITUTE(SUBSTITUTE(SUBSTITUTE(SUBSTITUTE(SUBSTITUTE(SUBSTITUTE(SUBSTITUTE(SUBSTITUTE(SUBSTITUTE(SUBSTITUTE(SUBSTITUTE(SUBSTITUTE(SUBSTITUTE(SUBSTITUTE(SUBSTITUTE(SUBSTITUTE(SUBSTITUTE(TRIM($D657),"'",""),"İ","I"),"ı","I"),"i","I"),"Ş","S"),"ş","S"),"Ğ","G"),"ğ","G"),"Ü","U"),"ü","U"),"Ö","O"),"ö","O"),"Ç","C"),"ç","C"),".",""),",","")," ",""),"-","")))</f>
        <v/>
      </c>
      <c r="S657" s="3">
        <f>IF($D657="","",$C657&amp;"|"&amp;TEXT($E657,"0")&amp;"|"&amp;TEXT($F657,"0")&amp;"|"&amp;$I657)</f>
        <v/>
      </c>
      <c r="T657" s="3">
        <f>IF($E657="",0,SUMPRODUCT((AY_SONU!$O$7:$O$42="Evet")*(AY_SONU!$B$7:$B$42=DATE(YEAR($E657),MONTH($E657),1))))</f>
        <v/>
      </c>
    </row>
    <row r="658">
      <c r="A658" s="6" t="n"/>
      <c r="B658" s="113">
        <f>IF($D658="","","T"&amp;TEXT(ROW()-6,"00000"))</f>
        <v/>
      </c>
      <c r="C658" s="113">
        <f>IF($D658="","",IFERROR(INDEX(MUSTERILER!$B$7:$B$106,MATCH($R658,MUSTERILER!$T$7:$T$106,0)),IFERROR(INDEX(MUSTERILER!$B$7:$B$106,MATCH($D658,MUSTERILER!$B$7:$B$106,0)),IFERROR(INDEX(MUSTERILER!$B$7:$B$106,MATCH($R658&amp;"*",MUSTERILER!$T$7:$T$106,0)),"TANIMSIZ MÜŞTERİ"))))</f>
        <v/>
      </c>
      <c r="D658" s="109" t="n"/>
      <c r="E658" s="220" t="n"/>
      <c r="F658" s="221" t="n"/>
      <c r="G658" s="108" t="n"/>
      <c r="H658" s="108" t="n"/>
      <c r="I658" s="109" t="n"/>
      <c r="J658" s="109" t="n"/>
      <c r="K658" s="109" t="n"/>
      <c r="L658" s="226">
        <f>IF($E658="","",DATE(YEAR($E658),MONTH($E658),1))</f>
        <v/>
      </c>
      <c r="M658" s="113">
        <f>IF($D658="","",IF($C658="TANIMSIZ MÜŞTERİ","HATA",IF(OR($E658="",$F658&lt;=0,$G658=""),"EKSİK",IF($E658&gt;TODAY(),"İLERİ TARİH",IF(COUNTIF($S$7:$S$1506,$S658)&gt;1,"MÜKERRER?",IF($T658&gt;0,"KAPALI DÖNEM","UYGUN"))))))</f>
        <v/>
      </c>
      <c r="N658" s="121">
        <f>IF($C658="","",IF($C658="TANIMSIZ MÜŞTERİ","—",INDEX(MUSTERILER!$C$7:$C$106,MATCH($C658,MUSTERILER!$B$7:$B$106,0))))</f>
        <v/>
      </c>
      <c r="O658" s="6" t="n"/>
      <c r="P658" s="6" t="n"/>
      <c r="Q658" s="3">
        <f>IF($D658="","",$C658&amp;"|"&amp;COUNTIFS($C$7:$C658,$C658))</f>
        <v/>
      </c>
      <c r="R658" s="3">
        <f>IF($D658="","",UPPER(SUBSTITUTE(SUBSTITUTE(SUBSTITUTE(SUBSTITUTE(SUBSTITUTE(SUBSTITUTE(SUBSTITUTE(SUBSTITUTE(SUBSTITUTE(SUBSTITUTE(SUBSTITUTE(SUBSTITUTE(SUBSTITUTE(SUBSTITUTE(SUBSTITUTE(SUBSTITUTE(SUBSTITUTE(SUBSTITUTE(TRIM($D658),"'",""),"İ","I"),"ı","I"),"i","I"),"Ş","S"),"ş","S"),"Ğ","G"),"ğ","G"),"Ü","U"),"ü","U"),"Ö","O"),"ö","O"),"Ç","C"),"ç","C"),".",""),",","")," ",""),"-","")))</f>
        <v/>
      </c>
      <c r="S658" s="3">
        <f>IF($D658="","",$C658&amp;"|"&amp;TEXT($E658,"0")&amp;"|"&amp;TEXT($F658,"0")&amp;"|"&amp;$I658)</f>
        <v/>
      </c>
      <c r="T658" s="3">
        <f>IF($E658="",0,SUMPRODUCT((AY_SONU!$O$7:$O$42="Evet")*(AY_SONU!$B$7:$B$42=DATE(YEAR($E658),MONTH($E658),1))))</f>
        <v/>
      </c>
    </row>
    <row r="659">
      <c r="A659" s="6" t="n"/>
      <c r="B659" s="113">
        <f>IF($D659="","","T"&amp;TEXT(ROW()-6,"00000"))</f>
        <v/>
      </c>
      <c r="C659" s="113">
        <f>IF($D659="","",IFERROR(INDEX(MUSTERILER!$B$7:$B$106,MATCH($R659,MUSTERILER!$T$7:$T$106,0)),IFERROR(INDEX(MUSTERILER!$B$7:$B$106,MATCH($D659,MUSTERILER!$B$7:$B$106,0)),IFERROR(INDEX(MUSTERILER!$B$7:$B$106,MATCH($R659&amp;"*",MUSTERILER!$T$7:$T$106,0)),"TANIMSIZ MÜŞTERİ"))))</f>
        <v/>
      </c>
      <c r="D659" s="109" t="n"/>
      <c r="E659" s="220" t="n"/>
      <c r="F659" s="221" t="n"/>
      <c r="G659" s="108" t="n"/>
      <c r="H659" s="108" t="n"/>
      <c r="I659" s="109" t="n"/>
      <c r="J659" s="109" t="n"/>
      <c r="K659" s="109" t="n"/>
      <c r="L659" s="226">
        <f>IF($E659="","",DATE(YEAR($E659),MONTH($E659),1))</f>
        <v/>
      </c>
      <c r="M659" s="113">
        <f>IF($D659="","",IF($C659="TANIMSIZ MÜŞTERİ","HATA",IF(OR($E659="",$F659&lt;=0,$G659=""),"EKSİK",IF($E659&gt;TODAY(),"İLERİ TARİH",IF(COUNTIF($S$7:$S$1506,$S659)&gt;1,"MÜKERRER?",IF($T659&gt;0,"KAPALI DÖNEM","UYGUN"))))))</f>
        <v/>
      </c>
      <c r="N659" s="121">
        <f>IF($C659="","",IF($C659="TANIMSIZ MÜŞTERİ","—",INDEX(MUSTERILER!$C$7:$C$106,MATCH($C659,MUSTERILER!$B$7:$B$106,0))))</f>
        <v/>
      </c>
      <c r="O659" s="6" t="n"/>
      <c r="P659" s="6" t="n"/>
      <c r="Q659" s="3">
        <f>IF($D659="","",$C659&amp;"|"&amp;COUNTIFS($C$7:$C659,$C659))</f>
        <v/>
      </c>
      <c r="R659" s="3">
        <f>IF($D659="","",UPPER(SUBSTITUTE(SUBSTITUTE(SUBSTITUTE(SUBSTITUTE(SUBSTITUTE(SUBSTITUTE(SUBSTITUTE(SUBSTITUTE(SUBSTITUTE(SUBSTITUTE(SUBSTITUTE(SUBSTITUTE(SUBSTITUTE(SUBSTITUTE(SUBSTITUTE(SUBSTITUTE(SUBSTITUTE(SUBSTITUTE(TRIM($D659),"'",""),"İ","I"),"ı","I"),"i","I"),"Ş","S"),"ş","S"),"Ğ","G"),"ğ","G"),"Ü","U"),"ü","U"),"Ö","O"),"ö","O"),"Ç","C"),"ç","C"),".",""),",","")," ",""),"-","")))</f>
        <v/>
      </c>
      <c r="S659" s="3">
        <f>IF($D659="","",$C659&amp;"|"&amp;TEXT($E659,"0")&amp;"|"&amp;TEXT($F659,"0")&amp;"|"&amp;$I659)</f>
        <v/>
      </c>
      <c r="T659" s="3">
        <f>IF($E659="",0,SUMPRODUCT((AY_SONU!$O$7:$O$42="Evet")*(AY_SONU!$B$7:$B$42=DATE(YEAR($E659),MONTH($E659),1))))</f>
        <v/>
      </c>
    </row>
    <row r="660">
      <c r="A660" s="6" t="n"/>
      <c r="B660" s="113">
        <f>IF($D660="","","T"&amp;TEXT(ROW()-6,"00000"))</f>
        <v/>
      </c>
      <c r="C660" s="113">
        <f>IF($D660="","",IFERROR(INDEX(MUSTERILER!$B$7:$B$106,MATCH($R660,MUSTERILER!$T$7:$T$106,0)),IFERROR(INDEX(MUSTERILER!$B$7:$B$106,MATCH($D660,MUSTERILER!$B$7:$B$106,0)),IFERROR(INDEX(MUSTERILER!$B$7:$B$106,MATCH($R660&amp;"*",MUSTERILER!$T$7:$T$106,0)),"TANIMSIZ MÜŞTERİ"))))</f>
        <v/>
      </c>
      <c r="D660" s="109" t="n"/>
      <c r="E660" s="220" t="n"/>
      <c r="F660" s="221" t="n"/>
      <c r="G660" s="108" t="n"/>
      <c r="H660" s="108" t="n"/>
      <c r="I660" s="109" t="n"/>
      <c r="J660" s="109" t="n"/>
      <c r="K660" s="109" t="n"/>
      <c r="L660" s="226">
        <f>IF($E660="","",DATE(YEAR($E660),MONTH($E660),1))</f>
        <v/>
      </c>
      <c r="M660" s="113">
        <f>IF($D660="","",IF($C660="TANIMSIZ MÜŞTERİ","HATA",IF(OR($E660="",$F660&lt;=0,$G660=""),"EKSİK",IF($E660&gt;TODAY(),"İLERİ TARİH",IF(COUNTIF($S$7:$S$1506,$S660)&gt;1,"MÜKERRER?",IF($T660&gt;0,"KAPALI DÖNEM","UYGUN"))))))</f>
        <v/>
      </c>
      <c r="N660" s="121">
        <f>IF($C660="","",IF($C660="TANIMSIZ MÜŞTERİ","—",INDEX(MUSTERILER!$C$7:$C$106,MATCH($C660,MUSTERILER!$B$7:$B$106,0))))</f>
        <v/>
      </c>
      <c r="O660" s="6" t="n"/>
      <c r="P660" s="6" t="n"/>
      <c r="Q660" s="3">
        <f>IF($D660="","",$C660&amp;"|"&amp;COUNTIFS($C$7:$C660,$C660))</f>
        <v/>
      </c>
      <c r="R660" s="3">
        <f>IF($D660="","",UPPER(SUBSTITUTE(SUBSTITUTE(SUBSTITUTE(SUBSTITUTE(SUBSTITUTE(SUBSTITUTE(SUBSTITUTE(SUBSTITUTE(SUBSTITUTE(SUBSTITUTE(SUBSTITUTE(SUBSTITUTE(SUBSTITUTE(SUBSTITUTE(SUBSTITUTE(SUBSTITUTE(SUBSTITUTE(SUBSTITUTE(TRIM($D660),"'",""),"İ","I"),"ı","I"),"i","I"),"Ş","S"),"ş","S"),"Ğ","G"),"ğ","G"),"Ü","U"),"ü","U"),"Ö","O"),"ö","O"),"Ç","C"),"ç","C"),".",""),",","")," ",""),"-","")))</f>
        <v/>
      </c>
      <c r="S660" s="3">
        <f>IF($D660="","",$C660&amp;"|"&amp;TEXT($E660,"0")&amp;"|"&amp;TEXT($F660,"0")&amp;"|"&amp;$I660)</f>
        <v/>
      </c>
      <c r="T660" s="3">
        <f>IF($E660="",0,SUMPRODUCT((AY_SONU!$O$7:$O$42="Evet")*(AY_SONU!$B$7:$B$42=DATE(YEAR($E660),MONTH($E660),1))))</f>
        <v/>
      </c>
    </row>
    <row r="661">
      <c r="A661" s="6" t="n"/>
      <c r="B661" s="113">
        <f>IF($D661="","","T"&amp;TEXT(ROW()-6,"00000"))</f>
        <v/>
      </c>
      <c r="C661" s="113">
        <f>IF($D661="","",IFERROR(INDEX(MUSTERILER!$B$7:$B$106,MATCH($R661,MUSTERILER!$T$7:$T$106,0)),IFERROR(INDEX(MUSTERILER!$B$7:$B$106,MATCH($D661,MUSTERILER!$B$7:$B$106,0)),IFERROR(INDEX(MUSTERILER!$B$7:$B$106,MATCH($R661&amp;"*",MUSTERILER!$T$7:$T$106,0)),"TANIMSIZ MÜŞTERİ"))))</f>
        <v/>
      </c>
      <c r="D661" s="109" t="n"/>
      <c r="E661" s="220" t="n"/>
      <c r="F661" s="221" t="n"/>
      <c r="G661" s="108" t="n"/>
      <c r="H661" s="108" t="n"/>
      <c r="I661" s="109" t="n"/>
      <c r="J661" s="109" t="n"/>
      <c r="K661" s="109" t="n"/>
      <c r="L661" s="226">
        <f>IF($E661="","",DATE(YEAR($E661),MONTH($E661),1))</f>
        <v/>
      </c>
      <c r="M661" s="113">
        <f>IF($D661="","",IF($C661="TANIMSIZ MÜŞTERİ","HATA",IF(OR($E661="",$F661&lt;=0,$G661=""),"EKSİK",IF($E661&gt;TODAY(),"İLERİ TARİH",IF(COUNTIF($S$7:$S$1506,$S661)&gt;1,"MÜKERRER?",IF($T661&gt;0,"KAPALI DÖNEM","UYGUN"))))))</f>
        <v/>
      </c>
      <c r="N661" s="121">
        <f>IF($C661="","",IF($C661="TANIMSIZ MÜŞTERİ","—",INDEX(MUSTERILER!$C$7:$C$106,MATCH($C661,MUSTERILER!$B$7:$B$106,0))))</f>
        <v/>
      </c>
      <c r="O661" s="6" t="n"/>
      <c r="P661" s="6" t="n"/>
      <c r="Q661" s="3">
        <f>IF($D661="","",$C661&amp;"|"&amp;COUNTIFS($C$7:$C661,$C661))</f>
        <v/>
      </c>
      <c r="R661" s="3">
        <f>IF($D661="","",UPPER(SUBSTITUTE(SUBSTITUTE(SUBSTITUTE(SUBSTITUTE(SUBSTITUTE(SUBSTITUTE(SUBSTITUTE(SUBSTITUTE(SUBSTITUTE(SUBSTITUTE(SUBSTITUTE(SUBSTITUTE(SUBSTITUTE(SUBSTITUTE(SUBSTITUTE(SUBSTITUTE(SUBSTITUTE(SUBSTITUTE(TRIM($D661),"'",""),"İ","I"),"ı","I"),"i","I"),"Ş","S"),"ş","S"),"Ğ","G"),"ğ","G"),"Ü","U"),"ü","U"),"Ö","O"),"ö","O"),"Ç","C"),"ç","C"),".",""),",","")," ",""),"-","")))</f>
        <v/>
      </c>
      <c r="S661" s="3">
        <f>IF($D661="","",$C661&amp;"|"&amp;TEXT($E661,"0")&amp;"|"&amp;TEXT($F661,"0")&amp;"|"&amp;$I661)</f>
        <v/>
      </c>
      <c r="T661" s="3">
        <f>IF($E661="",0,SUMPRODUCT((AY_SONU!$O$7:$O$42="Evet")*(AY_SONU!$B$7:$B$42=DATE(YEAR($E661),MONTH($E661),1))))</f>
        <v/>
      </c>
    </row>
    <row r="662">
      <c r="A662" s="6" t="n"/>
      <c r="B662" s="113">
        <f>IF($D662="","","T"&amp;TEXT(ROW()-6,"00000"))</f>
        <v/>
      </c>
      <c r="C662" s="113">
        <f>IF($D662="","",IFERROR(INDEX(MUSTERILER!$B$7:$B$106,MATCH($R662,MUSTERILER!$T$7:$T$106,0)),IFERROR(INDEX(MUSTERILER!$B$7:$B$106,MATCH($D662,MUSTERILER!$B$7:$B$106,0)),IFERROR(INDEX(MUSTERILER!$B$7:$B$106,MATCH($R662&amp;"*",MUSTERILER!$T$7:$T$106,0)),"TANIMSIZ MÜŞTERİ"))))</f>
        <v/>
      </c>
      <c r="D662" s="109" t="n"/>
      <c r="E662" s="220" t="n"/>
      <c r="F662" s="221" t="n"/>
      <c r="G662" s="108" t="n"/>
      <c r="H662" s="108" t="n"/>
      <c r="I662" s="109" t="n"/>
      <c r="J662" s="109" t="n"/>
      <c r="K662" s="109" t="n"/>
      <c r="L662" s="226">
        <f>IF($E662="","",DATE(YEAR($E662),MONTH($E662),1))</f>
        <v/>
      </c>
      <c r="M662" s="113">
        <f>IF($D662="","",IF($C662="TANIMSIZ MÜŞTERİ","HATA",IF(OR($E662="",$F662&lt;=0,$G662=""),"EKSİK",IF($E662&gt;TODAY(),"İLERİ TARİH",IF(COUNTIF($S$7:$S$1506,$S662)&gt;1,"MÜKERRER?",IF($T662&gt;0,"KAPALI DÖNEM","UYGUN"))))))</f>
        <v/>
      </c>
      <c r="N662" s="121">
        <f>IF($C662="","",IF($C662="TANIMSIZ MÜŞTERİ","—",INDEX(MUSTERILER!$C$7:$C$106,MATCH($C662,MUSTERILER!$B$7:$B$106,0))))</f>
        <v/>
      </c>
      <c r="O662" s="6" t="n"/>
      <c r="P662" s="6" t="n"/>
      <c r="Q662" s="3">
        <f>IF($D662="","",$C662&amp;"|"&amp;COUNTIFS($C$7:$C662,$C662))</f>
        <v/>
      </c>
      <c r="R662" s="3">
        <f>IF($D662="","",UPPER(SUBSTITUTE(SUBSTITUTE(SUBSTITUTE(SUBSTITUTE(SUBSTITUTE(SUBSTITUTE(SUBSTITUTE(SUBSTITUTE(SUBSTITUTE(SUBSTITUTE(SUBSTITUTE(SUBSTITUTE(SUBSTITUTE(SUBSTITUTE(SUBSTITUTE(SUBSTITUTE(SUBSTITUTE(SUBSTITUTE(TRIM($D662),"'",""),"İ","I"),"ı","I"),"i","I"),"Ş","S"),"ş","S"),"Ğ","G"),"ğ","G"),"Ü","U"),"ü","U"),"Ö","O"),"ö","O"),"Ç","C"),"ç","C"),".",""),",","")," ",""),"-","")))</f>
        <v/>
      </c>
      <c r="S662" s="3">
        <f>IF($D662="","",$C662&amp;"|"&amp;TEXT($E662,"0")&amp;"|"&amp;TEXT($F662,"0")&amp;"|"&amp;$I662)</f>
        <v/>
      </c>
      <c r="T662" s="3">
        <f>IF($E662="",0,SUMPRODUCT((AY_SONU!$O$7:$O$42="Evet")*(AY_SONU!$B$7:$B$42=DATE(YEAR($E662),MONTH($E662),1))))</f>
        <v/>
      </c>
    </row>
    <row r="663">
      <c r="A663" s="6" t="n"/>
      <c r="B663" s="113">
        <f>IF($D663="","","T"&amp;TEXT(ROW()-6,"00000"))</f>
        <v/>
      </c>
      <c r="C663" s="113">
        <f>IF($D663="","",IFERROR(INDEX(MUSTERILER!$B$7:$B$106,MATCH($R663,MUSTERILER!$T$7:$T$106,0)),IFERROR(INDEX(MUSTERILER!$B$7:$B$106,MATCH($D663,MUSTERILER!$B$7:$B$106,0)),IFERROR(INDEX(MUSTERILER!$B$7:$B$106,MATCH($R663&amp;"*",MUSTERILER!$T$7:$T$106,0)),"TANIMSIZ MÜŞTERİ"))))</f>
        <v/>
      </c>
      <c r="D663" s="109" t="n"/>
      <c r="E663" s="220" t="n"/>
      <c r="F663" s="221" t="n"/>
      <c r="G663" s="108" t="n"/>
      <c r="H663" s="108" t="n"/>
      <c r="I663" s="109" t="n"/>
      <c r="J663" s="109" t="n"/>
      <c r="K663" s="109" t="n"/>
      <c r="L663" s="226">
        <f>IF($E663="","",DATE(YEAR($E663),MONTH($E663),1))</f>
        <v/>
      </c>
      <c r="M663" s="113">
        <f>IF($D663="","",IF($C663="TANIMSIZ MÜŞTERİ","HATA",IF(OR($E663="",$F663&lt;=0,$G663=""),"EKSİK",IF($E663&gt;TODAY(),"İLERİ TARİH",IF(COUNTIF($S$7:$S$1506,$S663)&gt;1,"MÜKERRER?",IF($T663&gt;0,"KAPALI DÖNEM","UYGUN"))))))</f>
        <v/>
      </c>
      <c r="N663" s="121">
        <f>IF($C663="","",IF($C663="TANIMSIZ MÜŞTERİ","—",INDEX(MUSTERILER!$C$7:$C$106,MATCH($C663,MUSTERILER!$B$7:$B$106,0))))</f>
        <v/>
      </c>
      <c r="O663" s="6" t="n"/>
      <c r="P663" s="6" t="n"/>
      <c r="Q663" s="3">
        <f>IF($D663="","",$C663&amp;"|"&amp;COUNTIFS($C$7:$C663,$C663))</f>
        <v/>
      </c>
      <c r="R663" s="3">
        <f>IF($D663="","",UPPER(SUBSTITUTE(SUBSTITUTE(SUBSTITUTE(SUBSTITUTE(SUBSTITUTE(SUBSTITUTE(SUBSTITUTE(SUBSTITUTE(SUBSTITUTE(SUBSTITUTE(SUBSTITUTE(SUBSTITUTE(SUBSTITUTE(SUBSTITUTE(SUBSTITUTE(SUBSTITUTE(SUBSTITUTE(SUBSTITUTE(TRIM($D663),"'",""),"İ","I"),"ı","I"),"i","I"),"Ş","S"),"ş","S"),"Ğ","G"),"ğ","G"),"Ü","U"),"ü","U"),"Ö","O"),"ö","O"),"Ç","C"),"ç","C"),".",""),",","")," ",""),"-","")))</f>
        <v/>
      </c>
      <c r="S663" s="3">
        <f>IF($D663="","",$C663&amp;"|"&amp;TEXT($E663,"0")&amp;"|"&amp;TEXT($F663,"0")&amp;"|"&amp;$I663)</f>
        <v/>
      </c>
      <c r="T663" s="3">
        <f>IF($E663="",0,SUMPRODUCT((AY_SONU!$O$7:$O$42="Evet")*(AY_SONU!$B$7:$B$42=DATE(YEAR($E663),MONTH($E663),1))))</f>
        <v/>
      </c>
    </row>
    <row r="664">
      <c r="A664" s="6" t="n"/>
      <c r="B664" s="113">
        <f>IF($D664="","","T"&amp;TEXT(ROW()-6,"00000"))</f>
        <v/>
      </c>
      <c r="C664" s="113">
        <f>IF($D664="","",IFERROR(INDEX(MUSTERILER!$B$7:$B$106,MATCH($R664,MUSTERILER!$T$7:$T$106,0)),IFERROR(INDEX(MUSTERILER!$B$7:$B$106,MATCH($D664,MUSTERILER!$B$7:$B$106,0)),IFERROR(INDEX(MUSTERILER!$B$7:$B$106,MATCH($R664&amp;"*",MUSTERILER!$T$7:$T$106,0)),"TANIMSIZ MÜŞTERİ"))))</f>
        <v/>
      </c>
      <c r="D664" s="109" t="n"/>
      <c r="E664" s="220" t="n"/>
      <c r="F664" s="221" t="n"/>
      <c r="G664" s="108" t="n"/>
      <c r="H664" s="108" t="n"/>
      <c r="I664" s="109" t="n"/>
      <c r="J664" s="109" t="n"/>
      <c r="K664" s="109" t="n"/>
      <c r="L664" s="226">
        <f>IF($E664="","",DATE(YEAR($E664),MONTH($E664),1))</f>
        <v/>
      </c>
      <c r="M664" s="113">
        <f>IF($D664="","",IF($C664="TANIMSIZ MÜŞTERİ","HATA",IF(OR($E664="",$F664&lt;=0,$G664=""),"EKSİK",IF($E664&gt;TODAY(),"İLERİ TARİH",IF(COUNTIF($S$7:$S$1506,$S664)&gt;1,"MÜKERRER?",IF($T664&gt;0,"KAPALI DÖNEM","UYGUN"))))))</f>
        <v/>
      </c>
      <c r="N664" s="121">
        <f>IF($C664="","",IF($C664="TANIMSIZ MÜŞTERİ","—",INDEX(MUSTERILER!$C$7:$C$106,MATCH($C664,MUSTERILER!$B$7:$B$106,0))))</f>
        <v/>
      </c>
      <c r="O664" s="6" t="n"/>
      <c r="P664" s="6" t="n"/>
      <c r="Q664" s="3">
        <f>IF($D664="","",$C664&amp;"|"&amp;COUNTIFS($C$7:$C664,$C664))</f>
        <v/>
      </c>
      <c r="R664" s="3">
        <f>IF($D664="","",UPPER(SUBSTITUTE(SUBSTITUTE(SUBSTITUTE(SUBSTITUTE(SUBSTITUTE(SUBSTITUTE(SUBSTITUTE(SUBSTITUTE(SUBSTITUTE(SUBSTITUTE(SUBSTITUTE(SUBSTITUTE(SUBSTITUTE(SUBSTITUTE(SUBSTITUTE(SUBSTITUTE(SUBSTITUTE(SUBSTITUTE(TRIM($D664),"'",""),"İ","I"),"ı","I"),"i","I"),"Ş","S"),"ş","S"),"Ğ","G"),"ğ","G"),"Ü","U"),"ü","U"),"Ö","O"),"ö","O"),"Ç","C"),"ç","C"),".",""),",","")," ",""),"-","")))</f>
        <v/>
      </c>
      <c r="S664" s="3">
        <f>IF($D664="","",$C664&amp;"|"&amp;TEXT($E664,"0")&amp;"|"&amp;TEXT($F664,"0")&amp;"|"&amp;$I664)</f>
        <v/>
      </c>
      <c r="T664" s="3">
        <f>IF($E664="",0,SUMPRODUCT((AY_SONU!$O$7:$O$42="Evet")*(AY_SONU!$B$7:$B$42=DATE(YEAR($E664),MONTH($E664),1))))</f>
        <v/>
      </c>
    </row>
    <row r="665">
      <c r="A665" s="6" t="n"/>
      <c r="B665" s="113">
        <f>IF($D665="","","T"&amp;TEXT(ROW()-6,"00000"))</f>
        <v/>
      </c>
      <c r="C665" s="113">
        <f>IF($D665="","",IFERROR(INDEX(MUSTERILER!$B$7:$B$106,MATCH($R665,MUSTERILER!$T$7:$T$106,0)),IFERROR(INDEX(MUSTERILER!$B$7:$B$106,MATCH($D665,MUSTERILER!$B$7:$B$106,0)),IFERROR(INDEX(MUSTERILER!$B$7:$B$106,MATCH($R665&amp;"*",MUSTERILER!$T$7:$T$106,0)),"TANIMSIZ MÜŞTERİ"))))</f>
        <v/>
      </c>
      <c r="D665" s="109" t="n"/>
      <c r="E665" s="220" t="n"/>
      <c r="F665" s="221" t="n"/>
      <c r="G665" s="108" t="n"/>
      <c r="H665" s="108" t="n"/>
      <c r="I665" s="109" t="n"/>
      <c r="J665" s="109" t="n"/>
      <c r="K665" s="109" t="n"/>
      <c r="L665" s="226">
        <f>IF($E665="","",DATE(YEAR($E665),MONTH($E665),1))</f>
        <v/>
      </c>
      <c r="M665" s="113">
        <f>IF($D665="","",IF($C665="TANIMSIZ MÜŞTERİ","HATA",IF(OR($E665="",$F665&lt;=0,$G665=""),"EKSİK",IF($E665&gt;TODAY(),"İLERİ TARİH",IF(COUNTIF($S$7:$S$1506,$S665)&gt;1,"MÜKERRER?",IF($T665&gt;0,"KAPALI DÖNEM","UYGUN"))))))</f>
        <v/>
      </c>
      <c r="N665" s="121">
        <f>IF($C665="","",IF($C665="TANIMSIZ MÜŞTERİ","—",INDEX(MUSTERILER!$C$7:$C$106,MATCH($C665,MUSTERILER!$B$7:$B$106,0))))</f>
        <v/>
      </c>
      <c r="O665" s="6" t="n"/>
      <c r="P665" s="6" t="n"/>
      <c r="Q665" s="3">
        <f>IF($D665="","",$C665&amp;"|"&amp;COUNTIFS($C$7:$C665,$C665))</f>
        <v/>
      </c>
      <c r="R665" s="3">
        <f>IF($D665="","",UPPER(SUBSTITUTE(SUBSTITUTE(SUBSTITUTE(SUBSTITUTE(SUBSTITUTE(SUBSTITUTE(SUBSTITUTE(SUBSTITUTE(SUBSTITUTE(SUBSTITUTE(SUBSTITUTE(SUBSTITUTE(SUBSTITUTE(SUBSTITUTE(SUBSTITUTE(SUBSTITUTE(SUBSTITUTE(SUBSTITUTE(TRIM($D665),"'",""),"İ","I"),"ı","I"),"i","I"),"Ş","S"),"ş","S"),"Ğ","G"),"ğ","G"),"Ü","U"),"ü","U"),"Ö","O"),"ö","O"),"Ç","C"),"ç","C"),".",""),",","")," ",""),"-","")))</f>
        <v/>
      </c>
      <c r="S665" s="3">
        <f>IF($D665="","",$C665&amp;"|"&amp;TEXT($E665,"0")&amp;"|"&amp;TEXT($F665,"0")&amp;"|"&amp;$I665)</f>
        <v/>
      </c>
      <c r="T665" s="3">
        <f>IF($E665="",0,SUMPRODUCT((AY_SONU!$O$7:$O$42="Evet")*(AY_SONU!$B$7:$B$42=DATE(YEAR($E665),MONTH($E665),1))))</f>
        <v/>
      </c>
    </row>
    <row r="666">
      <c r="A666" s="6" t="n"/>
      <c r="B666" s="113">
        <f>IF($D666="","","T"&amp;TEXT(ROW()-6,"00000"))</f>
        <v/>
      </c>
      <c r="C666" s="113">
        <f>IF($D666="","",IFERROR(INDEX(MUSTERILER!$B$7:$B$106,MATCH($R666,MUSTERILER!$T$7:$T$106,0)),IFERROR(INDEX(MUSTERILER!$B$7:$B$106,MATCH($D666,MUSTERILER!$B$7:$B$106,0)),IFERROR(INDEX(MUSTERILER!$B$7:$B$106,MATCH($R666&amp;"*",MUSTERILER!$T$7:$T$106,0)),"TANIMSIZ MÜŞTERİ"))))</f>
        <v/>
      </c>
      <c r="D666" s="109" t="n"/>
      <c r="E666" s="220" t="n"/>
      <c r="F666" s="221" t="n"/>
      <c r="G666" s="108" t="n"/>
      <c r="H666" s="108" t="n"/>
      <c r="I666" s="109" t="n"/>
      <c r="J666" s="109" t="n"/>
      <c r="K666" s="109" t="n"/>
      <c r="L666" s="226">
        <f>IF($E666="","",DATE(YEAR($E666),MONTH($E666),1))</f>
        <v/>
      </c>
      <c r="M666" s="113">
        <f>IF($D666="","",IF($C666="TANIMSIZ MÜŞTERİ","HATA",IF(OR($E666="",$F666&lt;=0,$G666=""),"EKSİK",IF($E666&gt;TODAY(),"İLERİ TARİH",IF(COUNTIF($S$7:$S$1506,$S666)&gt;1,"MÜKERRER?",IF($T666&gt;0,"KAPALI DÖNEM","UYGUN"))))))</f>
        <v/>
      </c>
      <c r="N666" s="121">
        <f>IF($C666="","",IF($C666="TANIMSIZ MÜŞTERİ","—",INDEX(MUSTERILER!$C$7:$C$106,MATCH($C666,MUSTERILER!$B$7:$B$106,0))))</f>
        <v/>
      </c>
      <c r="O666" s="6" t="n"/>
      <c r="P666" s="6" t="n"/>
      <c r="Q666" s="3">
        <f>IF($D666="","",$C666&amp;"|"&amp;COUNTIFS($C$7:$C666,$C666))</f>
        <v/>
      </c>
      <c r="R666" s="3">
        <f>IF($D666="","",UPPER(SUBSTITUTE(SUBSTITUTE(SUBSTITUTE(SUBSTITUTE(SUBSTITUTE(SUBSTITUTE(SUBSTITUTE(SUBSTITUTE(SUBSTITUTE(SUBSTITUTE(SUBSTITUTE(SUBSTITUTE(SUBSTITUTE(SUBSTITUTE(SUBSTITUTE(SUBSTITUTE(SUBSTITUTE(SUBSTITUTE(TRIM($D666),"'",""),"İ","I"),"ı","I"),"i","I"),"Ş","S"),"ş","S"),"Ğ","G"),"ğ","G"),"Ü","U"),"ü","U"),"Ö","O"),"ö","O"),"Ç","C"),"ç","C"),".",""),",","")," ",""),"-","")))</f>
        <v/>
      </c>
      <c r="S666" s="3">
        <f>IF($D666="","",$C666&amp;"|"&amp;TEXT($E666,"0")&amp;"|"&amp;TEXT($F666,"0")&amp;"|"&amp;$I666)</f>
        <v/>
      </c>
      <c r="T666" s="3">
        <f>IF($E666="",0,SUMPRODUCT((AY_SONU!$O$7:$O$42="Evet")*(AY_SONU!$B$7:$B$42=DATE(YEAR($E666),MONTH($E666),1))))</f>
        <v/>
      </c>
    </row>
    <row r="667">
      <c r="A667" s="6" t="n"/>
      <c r="B667" s="113">
        <f>IF($D667="","","T"&amp;TEXT(ROW()-6,"00000"))</f>
        <v/>
      </c>
      <c r="C667" s="113">
        <f>IF($D667="","",IFERROR(INDEX(MUSTERILER!$B$7:$B$106,MATCH($R667,MUSTERILER!$T$7:$T$106,0)),IFERROR(INDEX(MUSTERILER!$B$7:$B$106,MATCH($D667,MUSTERILER!$B$7:$B$106,0)),IFERROR(INDEX(MUSTERILER!$B$7:$B$106,MATCH($R667&amp;"*",MUSTERILER!$T$7:$T$106,0)),"TANIMSIZ MÜŞTERİ"))))</f>
        <v/>
      </c>
      <c r="D667" s="109" t="n"/>
      <c r="E667" s="220" t="n"/>
      <c r="F667" s="221" t="n"/>
      <c r="G667" s="108" t="n"/>
      <c r="H667" s="108" t="n"/>
      <c r="I667" s="109" t="n"/>
      <c r="J667" s="109" t="n"/>
      <c r="K667" s="109" t="n"/>
      <c r="L667" s="226">
        <f>IF($E667="","",DATE(YEAR($E667),MONTH($E667),1))</f>
        <v/>
      </c>
      <c r="M667" s="113">
        <f>IF($D667="","",IF($C667="TANIMSIZ MÜŞTERİ","HATA",IF(OR($E667="",$F667&lt;=0,$G667=""),"EKSİK",IF($E667&gt;TODAY(),"İLERİ TARİH",IF(COUNTIF($S$7:$S$1506,$S667)&gt;1,"MÜKERRER?",IF($T667&gt;0,"KAPALI DÖNEM","UYGUN"))))))</f>
        <v/>
      </c>
      <c r="N667" s="121">
        <f>IF($C667="","",IF($C667="TANIMSIZ MÜŞTERİ","—",INDEX(MUSTERILER!$C$7:$C$106,MATCH($C667,MUSTERILER!$B$7:$B$106,0))))</f>
        <v/>
      </c>
      <c r="O667" s="6" t="n"/>
      <c r="P667" s="6" t="n"/>
      <c r="Q667" s="3">
        <f>IF($D667="","",$C667&amp;"|"&amp;COUNTIFS($C$7:$C667,$C667))</f>
        <v/>
      </c>
      <c r="R667" s="3">
        <f>IF($D667="","",UPPER(SUBSTITUTE(SUBSTITUTE(SUBSTITUTE(SUBSTITUTE(SUBSTITUTE(SUBSTITUTE(SUBSTITUTE(SUBSTITUTE(SUBSTITUTE(SUBSTITUTE(SUBSTITUTE(SUBSTITUTE(SUBSTITUTE(SUBSTITUTE(SUBSTITUTE(SUBSTITUTE(SUBSTITUTE(SUBSTITUTE(TRIM($D667),"'",""),"İ","I"),"ı","I"),"i","I"),"Ş","S"),"ş","S"),"Ğ","G"),"ğ","G"),"Ü","U"),"ü","U"),"Ö","O"),"ö","O"),"Ç","C"),"ç","C"),".",""),",","")," ",""),"-","")))</f>
        <v/>
      </c>
      <c r="S667" s="3">
        <f>IF($D667="","",$C667&amp;"|"&amp;TEXT($E667,"0")&amp;"|"&amp;TEXT($F667,"0")&amp;"|"&amp;$I667)</f>
        <v/>
      </c>
      <c r="T667" s="3">
        <f>IF($E667="",0,SUMPRODUCT((AY_SONU!$O$7:$O$42="Evet")*(AY_SONU!$B$7:$B$42=DATE(YEAR($E667),MONTH($E667),1))))</f>
        <v/>
      </c>
    </row>
    <row r="668">
      <c r="A668" s="6" t="n"/>
      <c r="B668" s="113">
        <f>IF($D668="","","T"&amp;TEXT(ROW()-6,"00000"))</f>
        <v/>
      </c>
      <c r="C668" s="113">
        <f>IF($D668="","",IFERROR(INDEX(MUSTERILER!$B$7:$B$106,MATCH($R668,MUSTERILER!$T$7:$T$106,0)),IFERROR(INDEX(MUSTERILER!$B$7:$B$106,MATCH($D668,MUSTERILER!$B$7:$B$106,0)),IFERROR(INDEX(MUSTERILER!$B$7:$B$106,MATCH($R668&amp;"*",MUSTERILER!$T$7:$T$106,0)),"TANIMSIZ MÜŞTERİ"))))</f>
        <v/>
      </c>
      <c r="D668" s="109" t="n"/>
      <c r="E668" s="220" t="n"/>
      <c r="F668" s="221" t="n"/>
      <c r="G668" s="108" t="n"/>
      <c r="H668" s="108" t="n"/>
      <c r="I668" s="109" t="n"/>
      <c r="J668" s="109" t="n"/>
      <c r="K668" s="109" t="n"/>
      <c r="L668" s="226">
        <f>IF($E668="","",DATE(YEAR($E668),MONTH($E668),1))</f>
        <v/>
      </c>
      <c r="M668" s="113">
        <f>IF($D668="","",IF($C668="TANIMSIZ MÜŞTERİ","HATA",IF(OR($E668="",$F668&lt;=0,$G668=""),"EKSİK",IF($E668&gt;TODAY(),"İLERİ TARİH",IF(COUNTIF($S$7:$S$1506,$S668)&gt;1,"MÜKERRER?",IF($T668&gt;0,"KAPALI DÖNEM","UYGUN"))))))</f>
        <v/>
      </c>
      <c r="N668" s="121">
        <f>IF($C668="","",IF($C668="TANIMSIZ MÜŞTERİ","—",INDEX(MUSTERILER!$C$7:$C$106,MATCH($C668,MUSTERILER!$B$7:$B$106,0))))</f>
        <v/>
      </c>
      <c r="O668" s="6" t="n"/>
      <c r="P668" s="6" t="n"/>
      <c r="Q668" s="3">
        <f>IF($D668="","",$C668&amp;"|"&amp;COUNTIFS($C$7:$C668,$C668))</f>
        <v/>
      </c>
      <c r="R668" s="3">
        <f>IF($D668="","",UPPER(SUBSTITUTE(SUBSTITUTE(SUBSTITUTE(SUBSTITUTE(SUBSTITUTE(SUBSTITUTE(SUBSTITUTE(SUBSTITUTE(SUBSTITUTE(SUBSTITUTE(SUBSTITUTE(SUBSTITUTE(SUBSTITUTE(SUBSTITUTE(SUBSTITUTE(SUBSTITUTE(SUBSTITUTE(SUBSTITUTE(TRIM($D668),"'",""),"İ","I"),"ı","I"),"i","I"),"Ş","S"),"ş","S"),"Ğ","G"),"ğ","G"),"Ü","U"),"ü","U"),"Ö","O"),"ö","O"),"Ç","C"),"ç","C"),".",""),",","")," ",""),"-","")))</f>
        <v/>
      </c>
      <c r="S668" s="3">
        <f>IF($D668="","",$C668&amp;"|"&amp;TEXT($E668,"0")&amp;"|"&amp;TEXT($F668,"0")&amp;"|"&amp;$I668)</f>
        <v/>
      </c>
      <c r="T668" s="3">
        <f>IF($E668="",0,SUMPRODUCT((AY_SONU!$O$7:$O$42="Evet")*(AY_SONU!$B$7:$B$42=DATE(YEAR($E668),MONTH($E668),1))))</f>
        <v/>
      </c>
    </row>
    <row r="669">
      <c r="A669" s="6" t="n"/>
      <c r="B669" s="113">
        <f>IF($D669="","","T"&amp;TEXT(ROW()-6,"00000"))</f>
        <v/>
      </c>
      <c r="C669" s="113">
        <f>IF($D669="","",IFERROR(INDEX(MUSTERILER!$B$7:$B$106,MATCH($R669,MUSTERILER!$T$7:$T$106,0)),IFERROR(INDEX(MUSTERILER!$B$7:$B$106,MATCH($D669,MUSTERILER!$B$7:$B$106,0)),IFERROR(INDEX(MUSTERILER!$B$7:$B$106,MATCH($R669&amp;"*",MUSTERILER!$T$7:$T$106,0)),"TANIMSIZ MÜŞTERİ"))))</f>
        <v/>
      </c>
      <c r="D669" s="109" t="n"/>
      <c r="E669" s="220" t="n"/>
      <c r="F669" s="221" t="n"/>
      <c r="G669" s="108" t="n"/>
      <c r="H669" s="108" t="n"/>
      <c r="I669" s="109" t="n"/>
      <c r="J669" s="109" t="n"/>
      <c r="K669" s="109" t="n"/>
      <c r="L669" s="226">
        <f>IF($E669="","",DATE(YEAR($E669),MONTH($E669),1))</f>
        <v/>
      </c>
      <c r="M669" s="113">
        <f>IF($D669="","",IF($C669="TANIMSIZ MÜŞTERİ","HATA",IF(OR($E669="",$F669&lt;=0,$G669=""),"EKSİK",IF($E669&gt;TODAY(),"İLERİ TARİH",IF(COUNTIF($S$7:$S$1506,$S669)&gt;1,"MÜKERRER?",IF($T669&gt;0,"KAPALI DÖNEM","UYGUN"))))))</f>
        <v/>
      </c>
      <c r="N669" s="121">
        <f>IF($C669="","",IF($C669="TANIMSIZ MÜŞTERİ","—",INDEX(MUSTERILER!$C$7:$C$106,MATCH($C669,MUSTERILER!$B$7:$B$106,0))))</f>
        <v/>
      </c>
      <c r="O669" s="6" t="n"/>
      <c r="P669" s="6" t="n"/>
      <c r="Q669" s="3">
        <f>IF($D669="","",$C669&amp;"|"&amp;COUNTIFS($C$7:$C669,$C669))</f>
        <v/>
      </c>
      <c r="R669" s="3">
        <f>IF($D669="","",UPPER(SUBSTITUTE(SUBSTITUTE(SUBSTITUTE(SUBSTITUTE(SUBSTITUTE(SUBSTITUTE(SUBSTITUTE(SUBSTITUTE(SUBSTITUTE(SUBSTITUTE(SUBSTITUTE(SUBSTITUTE(SUBSTITUTE(SUBSTITUTE(SUBSTITUTE(SUBSTITUTE(SUBSTITUTE(SUBSTITUTE(TRIM($D669),"'",""),"İ","I"),"ı","I"),"i","I"),"Ş","S"),"ş","S"),"Ğ","G"),"ğ","G"),"Ü","U"),"ü","U"),"Ö","O"),"ö","O"),"Ç","C"),"ç","C"),".",""),",","")," ",""),"-","")))</f>
        <v/>
      </c>
      <c r="S669" s="3">
        <f>IF($D669="","",$C669&amp;"|"&amp;TEXT($E669,"0")&amp;"|"&amp;TEXT($F669,"0")&amp;"|"&amp;$I669)</f>
        <v/>
      </c>
      <c r="T669" s="3">
        <f>IF($E669="",0,SUMPRODUCT((AY_SONU!$O$7:$O$42="Evet")*(AY_SONU!$B$7:$B$42=DATE(YEAR($E669),MONTH($E669),1))))</f>
        <v/>
      </c>
    </row>
    <row r="670">
      <c r="A670" s="6" t="n"/>
      <c r="B670" s="113">
        <f>IF($D670="","","T"&amp;TEXT(ROW()-6,"00000"))</f>
        <v/>
      </c>
      <c r="C670" s="113">
        <f>IF($D670="","",IFERROR(INDEX(MUSTERILER!$B$7:$B$106,MATCH($R670,MUSTERILER!$T$7:$T$106,0)),IFERROR(INDEX(MUSTERILER!$B$7:$B$106,MATCH($D670,MUSTERILER!$B$7:$B$106,0)),IFERROR(INDEX(MUSTERILER!$B$7:$B$106,MATCH($R670&amp;"*",MUSTERILER!$T$7:$T$106,0)),"TANIMSIZ MÜŞTERİ"))))</f>
        <v/>
      </c>
      <c r="D670" s="109" t="n"/>
      <c r="E670" s="220" t="n"/>
      <c r="F670" s="221" t="n"/>
      <c r="G670" s="108" t="n"/>
      <c r="H670" s="108" t="n"/>
      <c r="I670" s="109" t="n"/>
      <c r="J670" s="109" t="n"/>
      <c r="K670" s="109" t="n"/>
      <c r="L670" s="226">
        <f>IF($E670="","",DATE(YEAR($E670),MONTH($E670),1))</f>
        <v/>
      </c>
      <c r="M670" s="113">
        <f>IF($D670="","",IF($C670="TANIMSIZ MÜŞTERİ","HATA",IF(OR($E670="",$F670&lt;=0,$G670=""),"EKSİK",IF($E670&gt;TODAY(),"İLERİ TARİH",IF(COUNTIF($S$7:$S$1506,$S670)&gt;1,"MÜKERRER?",IF($T670&gt;0,"KAPALI DÖNEM","UYGUN"))))))</f>
        <v/>
      </c>
      <c r="N670" s="121">
        <f>IF($C670="","",IF($C670="TANIMSIZ MÜŞTERİ","—",INDEX(MUSTERILER!$C$7:$C$106,MATCH($C670,MUSTERILER!$B$7:$B$106,0))))</f>
        <v/>
      </c>
      <c r="O670" s="6" t="n"/>
      <c r="P670" s="6" t="n"/>
      <c r="Q670" s="3">
        <f>IF($D670="","",$C670&amp;"|"&amp;COUNTIFS($C$7:$C670,$C670))</f>
        <v/>
      </c>
      <c r="R670" s="3">
        <f>IF($D670="","",UPPER(SUBSTITUTE(SUBSTITUTE(SUBSTITUTE(SUBSTITUTE(SUBSTITUTE(SUBSTITUTE(SUBSTITUTE(SUBSTITUTE(SUBSTITUTE(SUBSTITUTE(SUBSTITUTE(SUBSTITUTE(SUBSTITUTE(SUBSTITUTE(SUBSTITUTE(SUBSTITUTE(SUBSTITUTE(SUBSTITUTE(TRIM($D670),"'",""),"İ","I"),"ı","I"),"i","I"),"Ş","S"),"ş","S"),"Ğ","G"),"ğ","G"),"Ü","U"),"ü","U"),"Ö","O"),"ö","O"),"Ç","C"),"ç","C"),".",""),",","")," ",""),"-","")))</f>
        <v/>
      </c>
      <c r="S670" s="3">
        <f>IF($D670="","",$C670&amp;"|"&amp;TEXT($E670,"0")&amp;"|"&amp;TEXT($F670,"0")&amp;"|"&amp;$I670)</f>
        <v/>
      </c>
      <c r="T670" s="3">
        <f>IF($E670="",0,SUMPRODUCT((AY_SONU!$O$7:$O$42="Evet")*(AY_SONU!$B$7:$B$42=DATE(YEAR($E670),MONTH($E670),1))))</f>
        <v/>
      </c>
    </row>
    <row r="671">
      <c r="A671" s="6" t="n"/>
      <c r="B671" s="113">
        <f>IF($D671="","","T"&amp;TEXT(ROW()-6,"00000"))</f>
        <v/>
      </c>
      <c r="C671" s="113">
        <f>IF($D671="","",IFERROR(INDEX(MUSTERILER!$B$7:$B$106,MATCH($R671,MUSTERILER!$T$7:$T$106,0)),IFERROR(INDEX(MUSTERILER!$B$7:$B$106,MATCH($D671,MUSTERILER!$B$7:$B$106,0)),IFERROR(INDEX(MUSTERILER!$B$7:$B$106,MATCH($R671&amp;"*",MUSTERILER!$T$7:$T$106,0)),"TANIMSIZ MÜŞTERİ"))))</f>
        <v/>
      </c>
      <c r="D671" s="109" t="n"/>
      <c r="E671" s="220" t="n"/>
      <c r="F671" s="221" t="n"/>
      <c r="G671" s="108" t="n"/>
      <c r="H671" s="108" t="n"/>
      <c r="I671" s="109" t="n"/>
      <c r="J671" s="109" t="n"/>
      <c r="K671" s="109" t="n"/>
      <c r="L671" s="226">
        <f>IF($E671="","",DATE(YEAR($E671),MONTH($E671),1))</f>
        <v/>
      </c>
      <c r="M671" s="113">
        <f>IF($D671="","",IF($C671="TANIMSIZ MÜŞTERİ","HATA",IF(OR($E671="",$F671&lt;=0,$G671=""),"EKSİK",IF($E671&gt;TODAY(),"İLERİ TARİH",IF(COUNTIF($S$7:$S$1506,$S671)&gt;1,"MÜKERRER?",IF($T671&gt;0,"KAPALI DÖNEM","UYGUN"))))))</f>
        <v/>
      </c>
      <c r="N671" s="121">
        <f>IF($C671="","",IF($C671="TANIMSIZ MÜŞTERİ","—",INDEX(MUSTERILER!$C$7:$C$106,MATCH($C671,MUSTERILER!$B$7:$B$106,0))))</f>
        <v/>
      </c>
      <c r="O671" s="6" t="n"/>
      <c r="P671" s="6" t="n"/>
      <c r="Q671" s="3">
        <f>IF($D671="","",$C671&amp;"|"&amp;COUNTIFS($C$7:$C671,$C671))</f>
        <v/>
      </c>
      <c r="R671" s="3">
        <f>IF($D671="","",UPPER(SUBSTITUTE(SUBSTITUTE(SUBSTITUTE(SUBSTITUTE(SUBSTITUTE(SUBSTITUTE(SUBSTITUTE(SUBSTITUTE(SUBSTITUTE(SUBSTITUTE(SUBSTITUTE(SUBSTITUTE(SUBSTITUTE(SUBSTITUTE(SUBSTITUTE(SUBSTITUTE(SUBSTITUTE(SUBSTITUTE(TRIM($D671),"'",""),"İ","I"),"ı","I"),"i","I"),"Ş","S"),"ş","S"),"Ğ","G"),"ğ","G"),"Ü","U"),"ü","U"),"Ö","O"),"ö","O"),"Ç","C"),"ç","C"),".",""),",","")," ",""),"-","")))</f>
        <v/>
      </c>
      <c r="S671" s="3">
        <f>IF($D671="","",$C671&amp;"|"&amp;TEXT($E671,"0")&amp;"|"&amp;TEXT($F671,"0")&amp;"|"&amp;$I671)</f>
        <v/>
      </c>
      <c r="T671" s="3">
        <f>IF($E671="",0,SUMPRODUCT((AY_SONU!$O$7:$O$42="Evet")*(AY_SONU!$B$7:$B$42=DATE(YEAR($E671),MONTH($E671),1))))</f>
        <v/>
      </c>
    </row>
    <row r="672">
      <c r="A672" s="6" t="n"/>
      <c r="B672" s="113">
        <f>IF($D672="","","T"&amp;TEXT(ROW()-6,"00000"))</f>
        <v/>
      </c>
      <c r="C672" s="113">
        <f>IF($D672="","",IFERROR(INDEX(MUSTERILER!$B$7:$B$106,MATCH($R672,MUSTERILER!$T$7:$T$106,0)),IFERROR(INDEX(MUSTERILER!$B$7:$B$106,MATCH($D672,MUSTERILER!$B$7:$B$106,0)),IFERROR(INDEX(MUSTERILER!$B$7:$B$106,MATCH($R672&amp;"*",MUSTERILER!$T$7:$T$106,0)),"TANIMSIZ MÜŞTERİ"))))</f>
        <v/>
      </c>
      <c r="D672" s="109" t="n"/>
      <c r="E672" s="220" t="n"/>
      <c r="F672" s="221" t="n"/>
      <c r="G672" s="108" t="n"/>
      <c r="H672" s="108" t="n"/>
      <c r="I672" s="109" t="n"/>
      <c r="J672" s="109" t="n"/>
      <c r="K672" s="109" t="n"/>
      <c r="L672" s="226">
        <f>IF($E672="","",DATE(YEAR($E672),MONTH($E672),1))</f>
        <v/>
      </c>
      <c r="M672" s="113">
        <f>IF($D672="","",IF($C672="TANIMSIZ MÜŞTERİ","HATA",IF(OR($E672="",$F672&lt;=0,$G672=""),"EKSİK",IF($E672&gt;TODAY(),"İLERİ TARİH",IF(COUNTIF($S$7:$S$1506,$S672)&gt;1,"MÜKERRER?",IF($T672&gt;0,"KAPALI DÖNEM","UYGUN"))))))</f>
        <v/>
      </c>
      <c r="N672" s="121">
        <f>IF($C672="","",IF($C672="TANIMSIZ MÜŞTERİ","—",INDEX(MUSTERILER!$C$7:$C$106,MATCH($C672,MUSTERILER!$B$7:$B$106,0))))</f>
        <v/>
      </c>
      <c r="O672" s="6" t="n"/>
      <c r="P672" s="6" t="n"/>
      <c r="Q672" s="3">
        <f>IF($D672="","",$C672&amp;"|"&amp;COUNTIFS($C$7:$C672,$C672))</f>
        <v/>
      </c>
      <c r="R672" s="3">
        <f>IF($D672="","",UPPER(SUBSTITUTE(SUBSTITUTE(SUBSTITUTE(SUBSTITUTE(SUBSTITUTE(SUBSTITUTE(SUBSTITUTE(SUBSTITUTE(SUBSTITUTE(SUBSTITUTE(SUBSTITUTE(SUBSTITUTE(SUBSTITUTE(SUBSTITUTE(SUBSTITUTE(SUBSTITUTE(SUBSTITUTE(SUBSTITUTE(TRIM($D672),"'",""),"İ","I"),"ı","I"),"i","I"),"Ş","S"),"ş","S"),"Ğ","G"),"ğ","G"),"Ü","U"),"ü","U"),"Ö","O"),"ö","O"),"Ç","C"),"ç","C"),".",""),",","")," ",""),"-","")))</f>
        <v/>
      </c>
      <c r="S672" s="3">
        <f>IF($D672="","",$C672&amp;"|"&amp;TEXT($E672,"0")&amp;"|"&amp;TEXT($F672,"0")&amp;"|"&amp;$I672)</f>
        <v/>
      </c>
      <c r="T672" s="3">
        <f>IF($E672="",0,SUMPRODUCT((AY_SONU!$O$7:$O$42="Evet")*(AY_SONU!$B$7:$B$42=DATE(YEAR($E672),MONTH($E672),1))))</f>
        <v/>
      </c>
    </row>
    <row r="673">
      <c r="A673" s="6" t="n"/>
      <c r="B673" s="113">
        <f>IF($D673="","","T"&amp;TEXT(ROW()-6,"00000"))</f>
        <v/>
      </c>
      <c r="C673" s="113">
        <f>IF($D673="","",IFERROR(INDEX(MUSTERILER!$B$7:$B$106,MATCH($R673,MUSTERILER!$T$7:$T$106,0)),IFERROR(INDEX(MUSTERILER!$B$7:$B$106,MATCH($D673,MUSTERILER!$B$7:$B$106,0)),IFERROR(INDEX(MUSTERILER!$B$7:$B$106,MATCH($R673&amp;"*",MUSTERILER!$T$7:$T$106,0)),"TANIMSIZ MÜŞTERİ"))))</f>
        <v/>
      </c>
      <c r="D673" s="109" t="n"/>
      <c r="E673" s="220" t="n"/>
      <c r="F673" s="221" t="n"/>
      <c r="G673" s="108" t="n"/>
      <c r="H673" s="108" t="n"/>
      <c r="I673" s="109" t="n"/>
      <c r="J673" s="109" t="n"/>
      <c r="K673" s="109" t="n"/>
      <c r="L673" s="226">
        <f>IF($E673="","",DATE(YEAR($E673),MONTH($E673),1))</f>
        <v/>
      </c>
      <c r="M673" s="113">
        <f>IF($D673="","",IF($C673="TANIMSIZ MÜŞTERİ","HATA",IF(OR($E673="",$F673&lt;=0,$G673=""),"EKSİK",IF($E673&gt;TODAY(),"İLERİ TARİH",IF(COUNTIF($S$7:$S$1506,$S673)&gt;1,"MÜKERRER?",IF($T673&gt;0,"KAPALI DÖNEM","UYGUN"))))))</f>
        <v/>
      </c>
      <c r="N673" s="121">
        <f>IF($C673="","",IF($C673="TANIMSIZ MÜŞTERİ","—",INDEX(MUSTERILER!$C$7:$C$106,MATCH($C673,MUSTERILER!$B$7:$B$106,0))))</f>
        <v/>
      </c>
      <c r="O673" s="6" t="n"/>
      <c r="P673" s="6" t="n"/>
      <c r="Q673" s="3">
        <f>IF($D673="","",$C673&amp;"|"&amp;COUNTIFS($C$7:$C673,$C673))</f>
        <v/>
      </c>
      <c r="R673" s="3">
        <f>IF($D673="","",UPPER(SUBSTITUTE(SUBSTITUTE(SUBSTITUTE(SUBSTITUTE(SUBSTITUTE(SUBSTITUTE(SUBSTITUTE(SUBSTITUTE(SUBSTITUTE(SUBSTITUTE(SUBSTITUTE(SUBSTITUTE(SUBSTITUTE(SUBSTITUTE(SUBSTITUTE(SUBSTITUTE(SUBSTITUTE(SUBSTITUTE(TRIM($D673),"'",""),"İ","I"),"ı","I"),"i","I"),"Ş","S"),"ş","S"),"Ğ","G"),"ğ","G"),"Ü","U"),"ü","U"),"Ö","O"),"ö","O"),"Ç","C"),"ç","C"),".",""),",","")," ",""),"-","")))</f>
        <v/>
      </c>
      <c r="S673" s="3">
        <f>IF($D673="","",$C673&amp;"|"&amp;TEXT($E673,"0")&amp;"|"&amp;TEXT($F673,"0")&amp;"|"&amp;$I673)</f>
        <v/>
      </c>
      <c r="T673" s="3">
        <f>IF($E673="",0,SUMPRODUCT((AY_SONU!$O$7:$O$42="Evet")*(AY_SONU!$B$7:$B$42=DATE(YEAR($E673),MONTH($E673),1))))</f>
        <v/>
      </c>
    </row>
    <row r="674">
      <c r="A674" s="6" t="n"/>
      <c r="B674" s="113">
        <f>IF($D674="","","T"&amp;TEXT(ROW()-6,"00000"))</f>
        <v/>
      </c>
      <c r="C674" s="113">
        <f>IF($D674="","",IFERROR(INDEX(MUSTERILER!$B$7:$B$106,MATCH($R674,MUSTERILER!$T$7:$T$106,0)),IFERROR(INDEX(MUSTERILER!$B$7:$B$106,MATCH($D674,MUSTERILER!$B$7:$B$106,0)),IFERROR(INDEX(MUSTERILER!$B$7:$B$106,MATCH($R674&amp;"*",MUSTERILER!$T$7:$T$106,0)),"TANIMSIZ MÜŞTERİ"))))</f>
        <v/>
      </c>
      <c r="D674" s="109" t="n"/>
      <c r="E674" s="220" t="n"/>
      <c r="F674" s="221" t="n"/>
      <c r="G674" s="108" t="n"/>
      <c r="H674" s="108" t="n"/>
      <c r="I674" s="109" t="n"/>
      <c r="J674" s="109" t="n"/>
      <c r="K674" s="109" t="n"/>
      <c r="L674" s="226">
        <f>IF($E674="","",DATE(YEAR($E674),MONTH($E674),1))</f>
        <v/>
      </c>
      <c r="M674" s="113">
        <f>IF($D674="","",IF($C674="TANIMSIZ MÜŞTERİ","HATA",IF(OR($E674="",$F674&lt;=0,$G674=""),"EKSİK",IF($E674&gt;TODAY(),"İLERİ TARİH",IF(COUNTIF($S$7:$S$1506,$S674)&gt;1,"MÜKERRER?",IF($T674&gt;0,"KAPALI DÖNEM","UYGUN"))))))</f>
        <v/>
      </c>
      <c r="N674" s="121">
        <f>IF($C674="","",IF($C674="TANIMSIZ MÜŞTERİ","—",INDEX(MUSTERILER!$C$7:$C$106,MATCH($C674,MUSTERILER!$B$7:$B$106,0))))</f>
        <v/>
      </c>
      <c r="O674" s="6" t="n"/>
      <c r="P674" s="6" t="n"/>
      <c r="Q674" s="3">
        <f>IF($D674="","",$C674&amp;"|"&amp;COUNTIFS($C$7:$C674,$C674))</f>
        <v/>
      </c>
      <c r="R674" s="3">
        <f>IF($D674="","",UPPER(SUBSTITUTE(SUBSTITUTE(SUBSTITUTE(SUBSTITUTE(SUBSTITUTE(SUBSTITUTE(SUBSTITUTE(SUBSTITUTE(SUBSTITUTE(SUBSTITUTE(SUBSTITUTE(SUBSTITUTE(SUBSTITUTE(SUBSTITUTE(SUBSTITUTE(SUBSTITUTE(SUBSTITUTE(SUBSTITUTE(TRIM($D674),"'",""),"İ","I"),"ı","I"),"i","I"),"Ş","S"),"ş","S"),"Ğ","G"),"ğ","G"),"Ü","U"),"ü","U"),"Ö","O"),"ö","O"),"Ç","C"),"ç","C"),".",""),",","")," ",""),"-","")))</f>
        <v/>
      </c>
      <c r="S674" s="3">
        <f>IF($D674="","",$C674&amp;"|"&amp;TEXT($E674,"0")&amp;"|"&amp;TEXT($F674,"0")&amp;"|"&amp;$I674)</f>
        <v/>
      </c>
      <c r="T674" s="3">
        <f>IF($E674="",0,SUMPRODUCT((AY_SONU!$O$7:$O$42="Evet")*(AY_SONU!$B$7:$B$42=DATE(YEAR($E674),MONTH($E674),1))))</f>
        <v/>
      </c>
    </row>
    <row r="675">
      <c r="A675" s="6" t="n"/>
      <c r="B675" s="113">
        <f>IF($D675="","","T"&amp;TEXT(ROW()-6,"00000"))</f>
        <v/>
      </c>
      <c r="C675" s="113">
        <f>IF($D675="","",IFERROR(INDEX(MUSTERILER!$B$7:$B$106,MATCH($R675,MUSTERILER!$T$7:$T$106,0)),IFERROR(INDEX(MUSTERILER!$B$7:$B$106,MATCH($D675,MUSTERILER!$B$7:$B$106,0)),IFERROR(INDEX(MUSTERILER!$B$7:$B$106,MATCH($R675&amp;"*",MUSTERILER!$T$7:$T$106,0)),"TANIMSIZ MÜŞTERİ"))))</f>
        <v/>
      </c>
      <c r="D675" s="109" t="n"/>
      <c r="E675" s="220" t="n"/>
      <c r="F675" s="221" t="n"/>
      <c r="G675" s="108" t="n"/>
      <c r="H675" s="108" t="n"/>
      <c r="I675" s="109" t="n"/>
      <c r="J675" s="109" t="n"/>
      <c r="K675" s="109" t="n"/>
      <c r="L675" s="226">
        <f>IF($E675="","",DATE(YEAR($E675),MONTH($E675),1))</f>
        <v/>
      </c>
      <c r="M675" s="113">
        <f>IF($D675="","",IF($C675="TANIMSIZ MÜŞTERİ","HATA",IF(OR($E675="",$F675&lt;=0,$G675=""),"EKSİK",IF($E675&gt;TODAY(),"İLERİ TARİH",IF(COUNTIF($S$7:$S$1506,$S675)&gt;1,"MÜKERRER?",IF($T675&gt;0,"KAPALI DÖNEM","UYGUN"))))))</f>
        <v/>
      </c>
      <c r="N675" s="121">
        <f>IF($C675="","",IF($C675="TANIMSIZ MÜŞTERİ","—",INDEX(MUSTERILER!$C$7:$C$106,MATCH($C675,MUSTERILER!$B$7:$B$106,0))))</f>
        <v/>
      </c>
      <c r="O675" s="6" t="n"/>
      <c r="P675" s="6" t="n"/>
      <c r="Q675" s="3">
        <f>IF($D675="","",$C675&amp;"|"&amp;COUNTIFS($C$7:$C675,$C675))</f>
        <v/>
      </c>
      <c r="R675" s="3">
        <f>IF($D675="","",UPPER(SUBSTITUTE(SUBSTITUTE(SUBSTITUTE(SUBSTITUTE(SUBSTITUTE(SUBSTITUTE(SUBSTITUTE(SUBSTITUTE(SUBSTITUTE(SUBSTITUTE(SUBSTITUTE(SUBSTITUTE(SUBSTITUTE(SUBSTITUTE(SUBSTITUTE(SUBSTITUTE(SUBSTITUTE(SUBSTITUTE(TRIM($D675),"'",""),"İ","I"),"ı","I"),"i","I"),"Ş","S"),"ş","S"),"Ğ","G"),"ğ","G"),"Ü","U"),"ü","U"),"Ö","O"),"ö","O"),"Ç","C"),"ç","C"),".",""),",","")," ",""),"-","")))</f>
        <v/>
      </c>
      <c r="S675" s="3">
        <f>IF($D675="","",$C675&amp;"|"&amp;TEXT($E675,"0")&amp;"|"&amp;TEXT($F675,"0")&amp;"|"&amp;$I675)</f>
        <v/>
      </c>
      <c r="T675" s="3">
        <f>IF($E675="",0,SUMPRODUCT((AY_SONU!$O$7:$O$42="Evet")*(AY_SONU!$B$7:$B$42=DATE(YEAR($E675),MONTH($E675),1))))</f>
        <v/>
      </c>
    </row>
    <row r="676">
      <c r="A676" s="6" t="n"/>
      <c r="B676" s="113">
        <f>IF($D676="","","T"&amp;TEXT(ROW()-6,"00000"))</f>
        <v/>
      </c>
      <c r="C676" s="113">
        <f>IF($D676="","",IFERROR(INDEX(MUSTERILER!$B$7:$B$106,MATCH($R676,MUSTERILER!$T$7:$T$106,0)),IFERROR(INDEX(MUSTERILER!$B$7:$B$106,MATCH($D676,MUSTERILER!$B$7:$B$106,0)),IFERROR(INDEX(MUSTERILER!$B$7:$B$106,MATCH($R676&amp;"*",MUSTERILER!$T$7:$T$106,0)),"TANIMSIZ MÜŞTERİ"))))</f>
        <v/>
      </c>
      <c r="D676" s="109" t="n"/>
      <c r="E676" s="220" t="n"/>
      <c r="F676" s="221" t="n"/>
      <c r="G676" s="108" t="n"/>
      <c r="H676" s="108" t="n"/>
      <c r="I676" s="109" t="n"/>
      <c r="J676" s="109" t="n"/>
      <c r="K676" s="109" t="n"/>
      <c r="L676" s="226">
        <f>IF($E676="","",DATE(YEAR($E676),MONTH($E676),1))</f>
        <v/>
      </c>
      <c r="M676" s="113">
        <f>IF($D676="","",IF($C676="TANIMSIZ MÜŞTERİ","HATA",IF(OR($E676="",$F676&lt;=0,$G676=""),"EKSİK",IF($E676&gt;TODAY(),"İLERİ TARİH",IF(COUNTIF($S$7:$S$1506,$S676)&gt;1,"MÜKERRER?",IF($T676&gt;0,"KAPALI DÖNEM","UYGUN"))))))</f>
        <v/>
      </c>
      <c r="N676" s="121">
        <f>IF($C676="","",IF($C676="TANIMSIZ MÜŞTERİ","—",INDEX(MUSTERILER!$C$7:$C$106,MATCH($C676,MUSTERILER!$B$7:$B$106,0))))</f>
        <v/>
      </c>
      <c r="O676" s="6" t="n"/>
      <c r="P676" s="6" t="n"/>
      <c r="Q676" s="3">
        <f>IF($D676="","",$C676&amp;"|"&amp;COUNTIFS($C$7:$C676,$C676))</f>
        <v/>
      </c>
      <c r="R676" s="3">
        <f>IF($D676="","",UPPER(SUBSTITUTE(SUBSTITUTE(SUBSTITUTE(SUBSTITUTE(SUBSTITUTE(SUBSTITUTE(SUBSTITUTE(SUBSTITUTE(SUBSTITUTE(SUBSTITUTE(SUBSTITUTE(SUBSTITUTE(SUBSTITUTE(SUBSTITUTE(SUBSTITUTE(SUBSTITUTE(SUBSTITUTE(SUBSTITUTE(TRIM($D676),"'",""),"İ","I"),"ı","I"),"i","I"),"Ş","S"),"ş","S"),"Ğ","G"),"ğ","G"),"Ü","U"),"ü","U"),"Ö","O"),"ö","O"),"Ç","C"),"ç","C"),".",""),",","")," ",""),"-","")))</f>
        <v/>
      </c>
      <c r="S676" s="3">
        <f>IF($D676="","",$C676&amp;"|"&amp;TEXT($E676,"0")&amp;"|"&amp;TEXT($F676,"0")&amp;"|"&amp;$I676)</f>
        <v/>
      </c>
      <c r="T676" s="3">
        <f>IF($E676="",0,SUMPRODUCT((AY_SONU!$O$7:$O$42="Evet")*(AY_SONU!$B$7:$B$42=DATE(YEAR($E676),MONTH($E676),1))))</f>
        <v/>
      </c>
    </row>
    <row r="677">
      <c r="A677" s="6" t="n"/>
      <c r="B677" s="113">
        <f>IF($D677="","","T"&amp;TEXT(ROW()-6,"00000"))</f>
        <v/>
      </c>
      <c r="C677" s="113">
        <f>IF($D677="","",IFERROR(INDEX(MUSTERILER!$B$7:$B$106,MATCH($R677,MUSTERILER!$T$7:$T$106,0)),IFERROR(INDEX(MUSTERILER!$B$7:$B$106,MATCH($D677,MUSTERILER!$B$7:$B$106,0)),IFERROR(INDEX(MUSTERILER!$B$7:$B$106,MATCH($R677&amp;"*",MUSTERILER!$T$7:$T$106,0)),"TANIMSIZ MÜŞTERİ"))))</f>
        <v/>
      </c>
      <c r="D677" s="109" t="n"/>
      <c r="E677" s="220" t="n"/>
      <c r="F677" s="221" t="n"/>
      <c r="G677" s="108" t="n"/>
      <c r="H677" s="108" t="n"/>
      <c r="I677" s="109" t="n"/>
      <c r="J677" s="109" t="n"/>
      <c r="K677" s="109" t="n"/>
      <c r="L677" s="226">
        <f>IF($E677="","",DATE(YEAR($E677),MONTH($E677),1))</f>
        <v/>
      </c>
      <c r="M677" s="113">
        <f>IF($D677="","",IF($C677="TANIMSIZ MÜŞTERİ","HATA",IF(OR($E677="",$F677&lt;=0,$G677=""),"EKSİK",IF($E677&gt;TODAY(),"İLERİ TARİH",IF(COUNTIF($S$7:$S$1506,$S677)&gt;1,"MÜKERRER?",IF($T677&gt;0,"KAPALI DÖNEM","UYGUN"))))))</f>
        <v/>
      </c>
      <c r="N677" s="121">
        <f>IF($C677="","",IF($C677="TANIMSIZ MÜŞTERİ","—",INDEX(MUSTERILER!$C$7:$C$106,MATCH($C677,MUSTERILER!$B$7:$B$106,0))))</f>
        <v/>
      </c>
      <c r="O677" s="6" t="n"/>
      <c r="P677" s="6" t="n"/>
      <c r="Q677" s="3">
        <f>IF($D677="","",$C677&amp;"|"&amp;COUNTIFS($C$7:$C677,$C677))</f>
        <v/>
      </c>
      <c r="R677" s="3">
        <f>IF($D677="","",UPPER(SUBSTITUTE(SUBSTITUTE(SUBSTITUTE(SUBSTITUTE(SUBSTITUTE(SUBSTITUTE(SUBSTITUTE(SUBSTITUTE(SUBSTITUTE(SUBSTITUTE(SUBSTITUTE(SUBSTITUTE(SUBSTITUTE(SUBSTITUTE(SUBSTITUTE(SUBSTITUTE(SUBSTITUTE(SUBSTITUTE(TRIM($D677),"'",""),"İ","I"),"ı","I"),"i","I"),"Ş","S"),"ş","S"),"Ğ","G"),"ğ","G"),"Ü","U"),"ü","U"),"Ö","O"),"ö","O"),"Ç","C"),"ç","C"),".",""),",","")," ",""),"-","")))</f>
        <v/>
      </c>
      <c r="S677" s="3">
        <f>IF($D677="","",$C677&amp;"|"&amp;TEXT($E677,"0")&amp;"|"&amp;TEXT($F677,"0")&amp;"|"&amp;$I677)</f>
        <v/>
      </c>
      <c r="T677" s="3">
        <f>IF($E677="",0,SUMPRODUCT((AY_SONU!$O$7:$O$42="Evet")*(AY_SONU!$B$7:$B$42=DATE(YEAR($E677),MONTH($E677),1))))</f>
        <v/>
      </c>
    </row>
    <row r="678">
      <c r="A678" s="6" t="n"/>
      <c r="B678" s="113">
        <f>IF($D678="","","T"&amp;TEXT(ROW()-6,"00000"))</f>
        <v/>
      </c>
      <c r="C678" s="113">
        <f>IF($D678="","",IFERROR(INDEX(MUSTERILER!$B$7:$B$106,MATCH($R678,MUSTERILER!$T$7:$T$106,0)),IFERROR(INDEX(MUSTERILER!$B$7:$B$106,MATCH($D678,MUSTERILER!$B$7:$B$106,0)),IFERROR(INDEX(MUSTERILER!$B$7:$B$106,MATCH($R678&amp;"*",MUSTERILER!$T$7:$T$106,0)),"TANIMSIZ MÜŞTERİ"))))</f>
        <v/>
      </c>
      <c r="D678" s="109" t="n"/>
      <c r="E678" s="220" t="n"/>
      <c r="F678" s="221" t="n"/>
      <c r="G678" s="108" t="n"/>
      <c r="H678" s="108" t="n"/>
      <c r="I678" s="109" t="n"/>
      <c r="J678" s="109" t="n"/>
      <c r="K678" s="109" t="n"/>
      <c r="L678" s="226">
        <f>IF($E678="","",DATE(YEAR($E678),MONTH($E678),1))</f>
        <v/>
      </c>
      <c r="M678" s="113">
        <f>IF($D678="","",IF($C678="TANIMSIZ MÜŞTERİ","HATA",IF(OR($E678="",$F678&lt;=0,$G678=""),"EKSİK",IF($E678&gt;TODAY(),"İLERİ TARİH",IF(COUNTIF($S$7:$S$1506,$S678)&gt;1,"MÜKERRER?",IF($T678&gt;0,"KAPALI DÖNEM","UYGUN"))))))</f>
        <v/>
      </c>
      <c r="N678" s="121">
        <f>IF($C678="","",IF($C678="TANIMSIZ MÜŞTERİ","—",INDEX(MUSTERILER!$C$7:$C$106,MATCH($C678,MUSTERILER!$B$7:$B$106,0))))</f>
        <v/>
      </c>
      <c r="O678" s="6" t="n"/>
      <c r="P678" s="6" t="n"/>
      <c r="Q678" s="3">
        <f>IF($D678="","",$C678&amp;"|"&amp;COUNTIFS($C$7:$C678,$C678))</f>
        <v/>
      </c>
      <c r="R678" s="3">
        <f>IF($D678="","",UPPER(SUBSTITUTE(SUBSTITUTE(SUBSTITUTE(SUBSTITUTE(SUBSTITUTE(SUBSTITUTE(SUBSTITUTE(SUBSTITUTE(SUBSTITUTE(SUBSTITUTE(SUBSTITUTE(SUBSTITUTE(SUBSTITUTE(SUBSTITUTE(SUBSTITUTE(SUBSTITUTE(SUBSTITUTE(SUBSTITUTE(TRIM($D678),"'",""),"İ","I"),"ı","I"),"i","I"),"Ş","S"),"ş","S"),"Ğ","G"),"ğ","G"),"Ü","U"),"ü","U"),"Ö","O"),"ö","O"),"Ç","C"),"ç","C"),".",""),",","")," ",""),"-","")))</f>
        <v/>
      </c>
      <c r="S678" s="3">
        <f>IF($D678="","",$C678&amp;"|"&amp;TEXT($E678,"0")&amp;"|"&amp;TEXT($F678,"0")&amp;"|"&amp;$I678)</f>
        <v/>
      </c>
      <c r="T678" s="3">
        <f>IF($E678="",0,SUMPRODUCT((AY_SONU!$O$7:$O$42="Evet")*(AY_SONU!$B$7:$B$42=DATE(YEAR($E678),MONTH($E678),1))))</f>
        <v/>
      </c>
    </row>
    <row r="679">
      <c r="A679" s="6" t="n"/>
      <c r="B679" s="113">
        <f>IF($D679="","","T"&amp;TEXT(ROW()-6,"00000"))</f>
        <v/>
      </c>
      <c r="C679" s="113">
        <f>IF($D679="","",IFERROR(INDEX(MUSTERILER!$B$7:$B$106,MATCH($R679,MUSTERILER!$T$7:$T$106,0)),IFERROR(INDEX(MUSTERILER!$B$7:$B$106,MATCH($D679,MUSTERILER!$B$7:$B$106,0)),IFERROR(INDEX(MUSTERILER!$B$7:$B$106,MATCH($R679&amp;"*",MUSTERILER!$T$7:$T$106,0)),"TANIMSIZ MÜŞTERİ"))))</f>
        <v/>
      </c>
      <c r="D679" s="109" t="n"/>
      <c r="E679" s="220" t="n"/>
      <c r="F679" s="221" t="n"/>
      <c r="G679" s="108" t="n"/>
      <c r="H679" s="108" t="n"/>
      <c r="I679" s="109" t="n"/>
      <c r="J679" s="109" t="n"/>
      <c r="K679" s="109" t="n"/>
      <c r="L679" s="226">
        <f>IF($E679="","",DATE(YEAR($E679),MONTH($E679),1))</f>
        <v/>
      </c>
      <c r="M679" s="113">
        <f>IF($D679="","",IF($C679="TANIMSIZ MÜŞTERİ","HATA",IF(OR($E679="",$F679&lt;=0,$G679=""),"EKSİK",IF($E679&gt;TODAY(),"İLERİ TARİH",IF(COUNTIF($S$7:$S$1506,$S679)&gt;1,"MÜKERRER?",IF($T679&gt;0,"KAPALI DÖNEM","UYGUN"))))))</f>
        <v/>
      </c>
      <c r="N679" s="121">
        <f>IF($C679="","",IF($C679="TANIMSIZ MÜŞTERİ","—",INDEX(MUSTERILER!$C$7:$C$106,MATCH($C679,MUSTERILER!$B$7:$B$106,0))))</f>
        <v/>
      </c>
      <c r="O679" s="6" t="n"/>
      <c r="P679" s="6" t="n"/>
      <c r="Q679" s="3">
        <f>IF($D679="","",$C679&amp;"|"&amp;COUNTIFS($C$7:$C679,$C679))</f>
        <v/>
      </c>
      <c r="R679" s="3">
        <f>IF($D679="","",UPPER(SUBSTITUTE(SUBSTITUTE(SUBSTITUTE(SUBSTITUTE(SUBSTITUTE(SUBSTITUTE(SUBSTITUTE(SUBSTITUTE(SUBSTITUTE(SUBSTITUTE(SUBSTITUTE(SUBSTITUTE(SUBSTITUTE(SUBSTITUTE(SUBSTITUTE(SUBSTITUTE(SUBSTITUTE(SUBSTITUTE(TRIM($D679),"'",""),"İ","I"),"ı","I"),"i","I"),"Ş","S"),"ş","S"),"Ğ","G"),"ğ","G"),"Ü","U"),"ü","U"),"Ö","O"),"ö","O"),"Ç","C"),"ç","C"),".",""),",","")," ",""),"-","")))</f>
        <v/>
      </c>
      <c r="S679" s="3">
        <f>IF($D679="","",$C679&amp;"|"&amp;TEXT($E679,"0")&amp;"|"&amp;TEXT($F679,"0")&amp;"|"&amp;$I679)</f>
        <v/>
      </c>
      <c r="T679" s="3">
        <f>IF($E679="",0,SUMPRODUCT((AY_SONU!$O$7:$O$42="Evet")*(AY_SONU!$B$7:$B$42=DATE(YEAR($E679),MONTH($E679),1))))</f>
        <v/>
      </c>
    </row>
    <row r="680">
      <c r="A680" s="6" t="n"/>
      <c r="B680" s="113">
        <f>IF($D680="","","T"&amp;TEXT(ROW()-6,"00000"))</f>
        <v/>
      </c>
      <c r="C680" s="113">
        <f>IF($D680="","",IFERROR(INDEX(MUSTERILER!$B$7:$B$106,MATCH($R680,MUSTERILER!$T$7:$T$106,0)),IFERROR(INDEX(MUSTERILER!$B$7:$B$106,MATCH($D680,MUSTERILER!$B$7:$B$106,0)),IFERROR(INDEX(MUSTERILER!$B$7:$B$106,MATCH($R680&amp;"*",MUSTERILER!$T$7:$T$106,0)),"TANIMSIZ MÜŞTERİ"))))</f>
        <v/>
      </c>
      <c r="D680" s="109" t="n"/>
      <c r="E680" s="220" t="n"/>
      <c r="F680" s="221" t="n"/>
      <c r="G680" s="108" t="n"/>
      <c r="H680" s="108" t="n"/>
      <c r="I680" s="109" t="n"/>
      <c r="J680" s="109" t="n"/>
      <c r="K680" s="109" t="n"/>
      <c r="L680" s="226">
        <f>IF($E680="","",DATE(YEAR($E680),MONTH($E680),1))</f>
        <v/>
      </c>
      <c r="M680" s="113">
        <f>IF($D680="","",IF($C680="TANIMSIZ MÜŞTERİ","HATA",IF(OR($E680="",$F680&lt;=0,$G680=""),"EKSİK",IF($E680&gt;TODAY(),"İLERİ TARİH",IF(COUNTIF($S$7:$S$1506,$S680)&gt;1,"MÜKERRER?",IF($T680&gt;0,"KAPALI DÖNEM","UYGUN"))))))</f>
        <v/>
      </c>
      <c r="N680" s="121">
        <f>IF($C680="","",IF($C680="TANIMSIZ MÜŞTERİ","—",INDEX(MUSTERILER!$C$7:$C$106,MATCH($C680,MUSTERILER!$B$7:$B$106,0))))</f>
        <v/>
      </c>
      <c r="O680" s="6" t="n"/>
      <c r="P680" s="6" t="n"/>
      <c r="Q680" s="3">
        <f>IF($D680="","",$C680&amp;"|"&amp;COUNTIFS($C$7:$C680,$C680))</f>
        <v/>
      </c>
      <c r="R680" s="3">
        <f>IF($D680="","",UPPER(SUBSTITUTE(SUBSTITUTE(SUBSTITUTE(SUBSTITUTE(SUBSTITUTE(SUBSTITUTE(SUBSTITUTE(SUBSTITUTE(SUBSTITUTE(SUBSTITUTE(SUBSTITUTE(SUBSTITUTE(SUBSTITUTE(SUBSTITUTE(SUBSTITUTE(SUBSTITUTE(SUBSTITUTE(SUBSTITUTE(TRIM($D680),"'",""),"İ","I"),"ı","I"),"i","I"),"Ş","S"),"ş","S"),"Ğ","G"),"ğ","G"),"Ü","U"),"ü","U"),"Ö","O"),"ö","O"),"Ç","C"),"ç","C"),".",""),",","")," ",""),"-","")))</f>
        <v/>
      </c>
      <c r="S680" s="3">
        <f>IF($D680="","",$C680&amp;"|"&amp;TEXT($E680,"0")&amp;"|"&amp;TEXT($F680,"0")&amp;"|"&amp;$I680)</f>
        <v/>
      </c>
      <c r="T680" s="3">
        <f>IF($E680="",0,SUMPRODUCT((AY_SONU!$O$7:$O$42="Evet")*(AY_SONU!$B$7:$B$42=DATE(YEAR($E680),MONTH($E680),1))))</f>
        <v/>
      </c>
    </row>
    <row r="681">
      <c r="A681" s="6" t="n"/>
      <c r="B681" s="113">
        <f>IF($D681="","","T"&amp;TEXT(ROW()-6,"00000"))</f>
        <v/>
      </c>
      <c r="C681" s="113">
        <f>IF($D681="","",IFERROR(INDEX(MUSTERILER!$B$7:$B$106,MATCH($R681,MUSTERILER!$T$7:$T$106,0)),IFERROR(INDEX(MUSTERILER!$B$7:$B$106,MATCH($D681,MUSTERILER!$B$7:$B$106,0)),IFERROR(INDEX(MUSTERILER!$B$7:$B$106,MATCH($R681&amp;"*",MUSTERILER!$T$7:$T$106,0)),"TANIMSIZ MÜŞTERİ"))))</f>
        <v/>
      </c>
      <c r="D681" s="109" t="n"/>
      <c r="E681" s="220" t="n"/>
      <c r="F681" s="221" t="n"/>
      <c r="G681" s="108" t="n"/>
      <c r="H681" s="108" t="n"/>
      <c r="I681" s="109" t="n"/>
      <c r="J681" s="109" t="n"/>
      <c r="K681" s="109" t="n"/>
      <c r="L681" s="226">
        <f>IF($E681="","",DATE(YEAR($E681),MONTH($E681),1))</f>
        <v/>
      </c>
      <c r="M681" s="113">
        <f>IF($D681="","",IF($C681="TANIMSIZ MÜŞTERİ","HATA",IF(OR($E681="",$F681&lt;=0,$G681=""),"EKSİK",IF($E681&gt;TODAY(),"İLERİ TARİH",IF(COUNTIF($S$7:$S$1506,$S681)&gt;1,"MÜKERRER?",IF($T681&gt;0,"KAPALI DÖNEM","UYGUN"))))))</f>
        <v/>
      </c>
      <c r="N681" s="121">
        <f>IF($C681="","",IF($C681="TANIMSIZ MÜŞTERİ","—",INDEX(MUSTERILER!$C$7:$C$106,MATCH($C681,MUSTERILER!$B$7:$B$106,0))))</f>
        <v/>
      </c>
      <c r="O681" s="6" t="n"/>
      <c r="P681" s="6" t="n"/>
      <c r="Q681" s="3">
        <f>IF($D681="","",$C681&amp;"|"&amp;COUNTIFS($C$7:$C681,$C681))</f>
        <v/>
      </c>
      <c r="R681" s="3">
        <f>IF($D681="","",UPPER(SUBSTITUTE(SUBSTITUTE(SUBSTITUTE(SUBSTITUTE(SUBSTITUTE(SUBSTITUTE(SUBSTITUTE(SUBSTITUTE(SUBSTITUTE(SUBSTITUTE(SUBSTITUTE(SUBSTITUTE(SUBSTITUTE(SUBSTITUTE(SUBSTITUTE(SUBSTITUTE(SUBSTITUTE(SUBSTITUTE(TRIM($D681),"'",""),"İ","I"),"ı","I"),"i","I"),"Ş","S"),"ş","S"),"Ğ","G"),"ğ","G"),"Ü","U"),"ü","U"),"Ö","O"),"ö","O"),"Ç","C"),"ç","C"),".",""),",","")," ",""),"-","")))</f>
        <v/>
      </c>
      <c r="S681" s="3">
        <f>IF($D681="","",$C681&amp;"|"&amp;TEXT($E681,"0")&amp;"|"&amp;TEXT($F681,"0")&amp;"|"&amp;$I681)</f>
        <v/>
      </c>
      <c r="T681" s="3">
        <f>IF($E681="",0,SUMPRODUCT((AY_SONU!$O$7:$O$42="Evet")*(AY_SONU!$B$7:$B$42=DATE(YEAR($E681),MONTH($E681),1))))</f>
        <v/>
      </c>
    </row>
    <row r="682">
      <c r="A682" s="6" t="n"/>
      <c r="B682" s="113">
        <f>IF($D682="","","T"&amp;TEXT(ROW()-6,"00000"))</f>
        <v/>
      </c>
      <c r="C682" s="113">
        <f>IF($D682="","",IFERROR(INDEX(MUSTERILER!$B$7:$B$106,MATCH($R682,MUSTERILER!$T$7:$T$106,0)),IFERROR(INDEX(MUSTERILER!$B$7:$B$106,MATCH($D682,MUSTERILER!$B$7:$B$106,0)),IFERROR(INDEX(MUSTERILER!$B$7:$B$106,MATCH($R682&amp;"*",MUSTERILER!$T$7:$T$106,0)),"TANIMSIZ MÜŞTERİ"))))</f>
        <v/>
      </c>
      <c r="D682" s="109" t="n"/>
      <c r="E682" s="220" t="n"/>
      <c r="F682" s="221" t="n"/>
      <c r="G682" s="108" t="n"/>
      <c r="H682" s="108" t="n"/>
      <c r="I682" s="109" t="n"/>
      <c r="J682" s="109" t="n"/>
      <c r="K682" s="109" t="n"/>
      <c r="L682" s="226">
        <f>IF($E682="","",DATE(YEAR($E682),MONTH($E682),1))</f>
        <v/>
      </c>
      <c r="M682" s="113">
        <f>IF($D682="","",IF($C682="TANIMSIZ MÜŞTERİ","HATA",IF(OR($E682="",$F682&lt;=0,$G682=""),"EKSİK",IF($E682&gt;TODAY(),"İLERİ TARİH",IF(COUNTIF($S$7:$S$1506,$S682)&gt;1,"MÜKERRER?",IF($T682&gt;0,"KAPALI DÖNEM","UYGUN"))))))</f>
        <v/>
      </c>
      <c r="N682" s="121">
        <f>IF($C682="","",IF($C682="TANIMSIZ MÜŞTERİ","—",INDEX(MUSTERILER!$C$7:$C$106,MATCH($C682,MUSTERILER!$B$7:$B$106,0))))</f>
        <v/>
      </c>
      <c r="O682" s="6" t="n"/>
      <c r="P682" s="6" t="n"/>
      <c r="Q682" s="3">
        <f>IF($D682="","",$C682&amp;"|"&amp;COUNTIFS($C$7:$C682,$C682))</f>
        <v/>
      </c>
      <c r="R682" s="3">
        <f>IF($D682="","",UPPER(SUBSTITUTE(SUBSTITUTE(SUBSTITUTE(SUBSTITUTE(SUBSTITUTE(SUBSTITUTE(SUBSTITUTE(SUBSTITUTE(SUBSTITUTE(SUBSTITUTE(SUBSTITUTE(SUBSTITUTE(SUBSTITUTE(SUBSTITUTE(SUBSTITUTE(SUBSTITUTE(SUBSTITUTE(SUBSTITUTE(TRIM($D682),"'",""),"İ","I"),"ı","I"),"i","I"),"Ş","S"),"ş","S"),"Ğ","G"),"ğ","G"),"Ü","U"),"ü","U"),"Ö","O"),"ö","O"),"Ç","C"),"ç","C"),".",""),",","")," ",""),"-","")))</f>
        <v/>
      </c>
      <c r="S682" s="3">
        <f>IF($D682="","",$C682&amp;"|"&amp;TEXT($E682,"0")&amp;"|"&amp;TEXT($F682,"0")&amp;"|"&amp;$I682)</f>
        <v/>
      </c>
      <c r="T682" s="3">
        <f>IF($E682="",0,SUMPRODUCT((AY_SONU!$O$7:$O$42="Evet")*(AY_SONU!$B$7:$B$42=DATE(YEAR($E682),MONTH($E682),1))))</f>
        <v/>
      </c>
    </row>
    <row r="683">
      <c r="A683" s="6" t="n"/>
      <c r="B683" s="113">
        <f>IF($D683="","","T"&amp;TEXT(ROW()-6,"00000"))</f>
        <v/>
      </c>
      <c r="C683" s="113">
        <f>IF($D683="","",IFERROR(INDEX(MUSTERILER!$B$7:$B$106,MATCH($R683,MUSTERILER!$T$7:$T$106,0)),IFERROR(INDEX(MUSTERILER!$B$7:$B$106,MATCH($D683,MUSTERILER!$B$7:$B$106,0)),IFERROR(INDEX(MUSTERILER!$B$7:$B$106,MATCH($R683&amp;"*",MUSTERILER!$T$7:$T$106,0)),"TANIMSIZ MÜŞTERİ"))))</f>
        <v/>
      </c>
      <c r="D683" s="109" t="n"/>
      <c r="E683" s="220" t="n"/>
      <c r="F683" s="221" t="n"/>
      <c r="G683" s="108" t="n"/>
      <c r="H683" s="108" t="n"/>
      <c r="I683" s="109" t="n"/>
      <c r="J683" s="109" t="n"/>
      <c r="K683" s="109" t="n"/>
      <c r="L683" s="226">
        <f>IF($E683="","",DATE(YEAR($E683),MONTH($E683),1))</f>
        <v/>
      </c>
      <c r="M683" s="113">
        <f>IF($D683="","",IF($C683="TANIMSIZ MÜŞTERİ","HATA",IF(OR($E683="",$F683&lt;=0,$G683=""),"EKSİK",IF($E683&gt;TODAY(),"İLERİ TARİH",IF(COUNTIF($S$7:$S$1506,$S683)&gt;1,"MÜKERRER?",IF($T683&gt;0,"KAPALI DÖNEM","UYGUN"))))))</f>
        <v/>
      </c>
      <c r="N683" s="121">
        <f>IF($C683="","",IF($C683="TANIMSIZ MÜŞTERİ","—",INDEX(MUSTERILER!$C$7:$C$106,MATCH($C683,MUSTERILER!$B$7:$B$106,0))))</f>
        <v/>
      </c>
      <c r="O683" s="6" t="n"/>
      <c r="P683" s="6" t="n"/>
      <c r="Q683" s="3">
        <f>IF($D683="","",$C683&amp;"|"&amp;COUNTIFS($C$7:$C683,$C683))</f>
        <v/>
      </c>
      <c r="R683" s="3">
        <f>IF($D683="","",UPPER(SUBSTITUTE(SUBSTITUTE(SUBSTITUTE(SUBSTITUTE(SUBSTITUTE(SUBSTITUTE(SUBSTITUTE(SUBSTITUTE(SUBSTITUTE(SUBSTITUTE(SUBSTITUTE(SUBSTITUTE(SUBSTITUTE(SUBSTITUTE(SUBSTITUTE(SUBSTITUTE(SUBSTITUTE(SUBSTITUTE(TRIM($D683),"'",""),"İ","I"),"ı","I"),"i","I"),"Ş","S"),"ş","S"),"Ğ","G"),"ğ","G"),"Ü","U"),"ü","U"),"Ö","O"),"ö","O"),"Ç","C"),"ç","C"),".",""),",","")," ",""),"-","")))</f>
        <v/>
      </c>
      <c r="S683" s="3">
        <f>IF($D683="","",$C683&amp;"|"&amp;TEXT($E683,"0")&amp;"|"&amp;TEXT($F683,"0")&amp;"|"&amp;$I683)</f>
        <v/>
      </c>
      <c r="T683" s="3">
        <f>IF($E683="",0,SUMPRODUCT((AY_SONU!$O$7:$O$42="Evet")*(AY_SONU!$B$7:$B$42=DATE(YEAR($E683),MONTH($E683),1))))</f>
        <v/>
      </c>
    </row>
    <row r="684">
      <c r="A684" s="6" t="n"/>
      <c r="B684" s="113">
        <f>IF($D684="","","T"&amp;TEXT(ROW()-6,"00000"))</f>
        <v/>
      </c>
      <c r="C684" s="113">
        <f>IF($D684="","",IFERROR(INDEX(MUSTERILER!$B$7:$B$106,MATCH($R684,MUSTERILER!$T$7:$T$106,0)),IFERROR(INDEX(MUSTERILER!$B$7:$B$106,MATCH($D684,MUSTERILER!$B$7:$B$106,0)),IFERROR(INDEX(MUSTERILER!$B$7:$B$106,MATCH($R684&amp;"*",MUSTERILER!$T$7:$T$106,0)),"TANIMSIZ MÜŞTERİ"))))</f>
        <v/>
      </c>
      <c r="D684" s="109" t="n"/>
      <c r="E684" s="220" t="n"/>
      <c r="F684" s="221" t="n"/>
      <c r="G684" s="108" t="n"/>
      <c r="H684" s="108" t="n"/>
      <c r="I684" s="109" t="n"/>
      <c r="J684" s="109" t="n"/>
      <c r="K684" s="109" t="n"/>
      <c r="L684" s="226">
        <f>IF($E684="","",DATE(YEAR($E684),MONTH($E684),1))</f>
        <v/>
      </c>
      <c r="M684" s="113">
        <f>IF($D684="","",IF($C684="TANIMSIZ MÜŞTERİ","HATA",IF(OR($E684="",$F684&lt;=0,$G684=""),"EKSİK",IF($E684&gt;TODAY(),"İLERİ TARİH",IF(COUNTIF($S$7:$S$1506,$S684)&gt;1,"MÜKERRER?",IF($T684&gt;0,"KAPALI DÖNEM","UYGUN"))))))</f>
        <v/>
      </c>
      <c r="N684" s="121">
        <f>IF($C684="","",IF($C684="TANIMSIZ MÜŞTERİ","—",INDEX(MUSTERILER!$C$7:$C$106,MATCH($C684,MUSTERILER!$B$7:$B$106,0))))</f>
        <v/>
      </c>
      <c r="O684" s="6" t="n"/>
      <c r="P684" s="6" t="n"/>
      <c r="Q684" s="3">
        <f>IF($D684="","",$C684&amp;"|"&amp;COUNTIFS($C$7:$C684,$C684))</f>
        <v/>
      </c>
      <c r="R684" s="3">
        <f>IF($D684="","",UPPER(SUBSTITUTE(SUBSTITUTE(SUBSTITUTE(SUBSTITUTE(SUBSTITUTE(SUBSTITUTE(SUBSTITUTE(SUBSTITUTE(SUBSTITUTE(SUBSTITUTE(SUBSTITUTE(SUBSTITUTE(SUBSTITUTE(SUBSTITUTE(SUBSTITUTE(SUBSTITUTE(SUBSTITUTE(SUBSTITUTE(TRIM($D684),"'",""),"İ","I"),"ı","I"),"i","I"),"Ş","S"),"ş","S"),"Ğ","G"),"ğ","G"),"Ü","U"),"ü","U"),"Ö","O"),"ö","O"),"Ç","C"),"ç","C"),".",""),",","")," ",""),"-","")))</f>
        <v/>
      </c>
      <c r="S684" s="3">
        <f>IF($D684="","",$C684&amp;"|"&amp;TEXT($E684,"0")&amp;"|"&amp;TEXT($F684,"0")&amp;"|"&amp;$I684)</f>
        <v/>
      </c>
      <c r="T684" s="3">
        <f>IF($E684="",0,SUMPRODUCT((AY_SONU!$O$7:$O$42="Evet")*(AY_SONU!$B$7:$B$42=DATE(YEAR($E684),MONTH($E684),1))))</f>
        <v/>
      </c>
    </row>
    <row r="685">
      <c r="A685" s="6" t="n"/>
      <c r="B685" s="113">
        <f>IF($D685="","","T"&amp;TEXT(ROW()-6,"00000"))</f>
        <v/>
      </c>
      <c r="C685" s="113">
        <f>IF($D685="","",IFERROR(INDEX(MUSTERILER!$B$7:$B$106,MATCH($R685,MUSTERILER!$T$7:$T$106,0)),IFERROR(INDEX(MUSTERILER!$B$7:$B$106,MATCH($D685,MUSTERILER!$B$7:$B$106,0)),IFERROR(INDEX(MUSTERILER!$B$7:$B$106,MATCH($R685&amp;"*",MUSTERILER!$T$7:$T$106,0)),"TANIMSIZ MÜŞTERİ"))))</f>
        <v/>
      </c>
      <c r="D685" s="109" t="n"/>
      <c r="E685" s="220" t="n"/>
      <c r="F685" s="221" t="n"/>
      <c r="G685" s="108" t="n"/>
      <c r="H685" s="108" t="n"/>
      <c r="I685" s="109" t="n"/>
      <c r="J685" s="109" t="n"/>
      <c r="K685" s="109" t="n"/>
      <c r="L685" s="226">
        <f>IF($E685="","",DATE(YEAR($E685),MONTH($E685),1))</f>
        <v/>
      </c>
      <c r="M685" s="113">
        <f>IF($D685="","",IF($C685="TANIMSIZ MÜŞTERİ","HATA",IF(OR($E685="",$F685&lt;=0,$G685=""),"EKSİK",IF($E685&gt;TODAY(),"İLERİ TARİH",IF(COUNTIF($S$7:$S$1506,$S685)&gt;1,"MÜKERRER?",IF($T685&gt;0,"KAPALI DÖNEM","UYGUN"))))))</f>
        <v/>
      </c>
      <c r="N685" s="121">
        <f>IF($C685="","",IF($C685="TANIMSIZ MÜŞTERİ","—",INDEX(MUSTERILER!$C$7:$C$106,MATCH($C685,MUSTERILER!$B$7:$B$106,0))))</f>
        <v/>
      </c>
      <c r="O685" s="6" t="n"/>
      <c r="P685" s="6" t="n"/>
      <c r="Q685" s="3">
        <f>IF($D685="","",$C685&amp;"|"&amp;COUNTIFS($C$7:$C685,$C685))</f>
        <v/>
      </c>
      <c r="R685" s="3">
        <f>IF($D685="","",UPPER(SUBSTITUTE(SUBSTITUTE(SUBSTITUTE(SUBSTITUTE(SUBSTITUTE(SUBSTITUTE(SUBSTITUTE(SUBSTITUTE(SUBSTITUTE(SUBSTITUTE(SUBSTITUTE(SUBSTITUTE(SUBSTITUTE(SUBSTITUTE(SUBSTITUTE(SUBSTITUTE(SUBSTITUTE(SUBSTITUTE(TRIM($D685),"'",""),"İ","I"),"ı","I"),"i","I"),"Ş","S"),"ş","S"),"Ğ","G"),"ğ","G"),"Ü","U"),"ü","U"),"Ö","O"),"ö","O"),"Ç","C"),"ç","C"),".",""),",","")," ",""),"-","")))</f>
        <v/>
      </c>
      <c r="S685" s="3">
        <f>IF($D685="","",$C685&amp;"|"&amp;TEXT($E685,"0")&amp;"|"&amp;TEXT($F685,"0")&amp;"|"&amp;$I685)</f>
        <v/>
      </c>
      <c r="T685" s="3">
        <f>IF($E685="",0,SUMPRODUCT((AY_SONU!$O$7:$O$42="Evet")*(AY_SONU!$B$7:$B$42=DATE(YEAR($E685),MONTH($E685),1))))</f>
        <v/>
      </c>
    </row>
    <row r="686">
      <c r="A686" s="6" t="n"/>
      <c r="B686" s="113">
        <f>IF($D686="","","T"&amp;TEXT(ROW()-6,"00000"))</f>
        <v/>
      </c>
      <c r="C686" s="113">
        <f>IF($D686="","",IFERROR(INDEX(MUSTERILER!$B$7:$B$106,MATCH($R686,MUSTERILER!$T$7:$T$106,0)),IFERROR(INDEX(MUSTERILER!$B$7:$B$106,MATCH($D686,MUSTERILER!$B$7:$B$106,0)),IFERROR(INDEX(MUSTERILER!$B$7:$B$106,MATCH($R686&amp;"*",MUSTERILER!$T$7:$T$106,0)),"TANIMSIZ MÜŞTERİ"))))</f>
        <v/>
      </c>
      <c r="D686" s="109" t="n"/>
      <c r="E686" s="220" t="n"/>
      <c r="F686" s="221" t="n"/>
      <c r="G686" s="108" t="n"/>
      <c r="H686" s="108" t="n"/>
      <c r="I686" s="109" t="n"/>
      <c r="J686" s="109" t="n"/>
      <c r="K686" s="109" t="n"/>
      <c r="L686" s="226">
        <f>IF($E686="","",DATE(YEAR($E686),MONTH($E686),1))</f>
        <v/>
      </c>
      <c r="M686" s="113">
        <f>IF($D686="","",IF($C686="TANIMSIZ MÜŞTERİ","HATA",IF(OR($E686="",$F686&lt;=0,$G686=""),"EKSİK",IF($E686&gt;TODAY(),"İLERİ TARİH",IF(COUNTIF($S$7:$S$1506,$S686)&gt;1,"MÜKERRER?",IF($T686&gt;0,"KAPALI DÖNEM","UYGUN"))))))</f>
        <v/>
      </c>
      <c r="N686" s="121">
        <f>IF($C686="","",IF($C686="TANIMSIZ MÜŞTERİ","—",INDEX(MUSTERILER!$C$7:$C$106,MATCH($C686,MUSTERILER!$B$7:$B$106,0))))</f>
        <v/>
      </c>
      <c r="O686" s="6" t="n"/>
      <c r="P686" s="6" t="n"/>
      <c r="Q686" s="3">
        <f>IF($D686="","",$C686&amp;"|"&amp;COUNTIFS($C$7:$C686,$C686))</f>
        <v/>
      </c>
      <c r="R686" s="3">
        <f>IF($D686="","",UPPER(SUBSTITUTE(SUBSTITUTE(SUBSTITUTE(SUBSTITUTE(SUBSTITUTE(SUBSTITUTE(SUBSTITUTE(SUBSTITUTE(SUBSTITUTE(SUBSTITUTE(SUBSTITUTE(SUBSTITUTE(SUBSTITUTE(SUBSTITUTE(SUBSTITUTE(SUBSTITUTE(SUBSTITUTE(SUBSTITUTE(TRIM($D686),"'",""),"İ","I"),"ı","I"),"i","I"),"Ş","S"),"ş","S"),"Ğ","G"),"ğ","G"),"Ü","U"),"ü","U"),"Ö","O"),"ö","O"),"Ç","C"),"ç","C"),".",""),",","")," ",""),"-","")))</f>
        <v/>
      </c>
      <c r="S686" s="3">
        <f>IF($D686="","",$C686&amp;"|"&amp;TEXT($E686,"0")&amp;"|"&amp;TEXT($F686,"0")&amp;"|"&amp;$I686)</f>
        <v/>
      </c>
      <c r="T686" s="3">
        <f>IF($E686="",0,SUMPRODUCT((AY_SONU!$O$7:$O$42="Evet")*(AY_SONU!$B$7:$B$42=DATE(YEAR($E686),MONTH($E686),1))))</f>
        <v/>
      </c>
    </row>
    <row r="687">
      <c r="A687" s="6" t="n"/>
      <c r="B687" s="113">
        <f>IF($D687="","","T"&amp;TEXT(ROW()-6,"00000"))</f>
        <v/>
      </c>
      <c r="C687" s="113">
        <f>IF($D687="","",IFERROR(INDEX(MUSTERILER!$B$7:$B$106,MATCH($R687,MUSTERILER!$T$7:$T$106,0)),IFERROR(INDEX(MUSTERILER!$B$7:$B$106,MATCH($D687,MUSTERILER!$B$7:$B$106,0)),IFERROR(INDEX(MUSTERILER!$B$7:$B$106,MATCH($R687&amp;"*",MUSTERILER!$T$7:$T$106,0)),"TANIMSIZ MÜŞTERİ"))))</f>
        <v/>
      </c>
      <c r="D687" s="109" t="n"/>
      <c r="E687" s="220" t="n"/>
      <c r="F687" s="221" t="n"/>
      <c r="G687" s="108" t="n"/>
      <c r="H687" s="108" t="n"/>
      <c r="I687" s="109" t="n"/>
      <c r="J687" s="109" t="n"/>
      <c r="K687" s="109" t="n"/>
      <c r="L687" s="226">
        <f>IF($E687="","",DATE(YEAR($E687),MONTH($E687),1))</f>
        <v/>
      </c>
      <c r="M687" s="113">
        <f>IF($D687="","",IF($C687="TANIMSIZ MÜŞTERİ","HATA",IF(OR($E687="",$F687&lt;=0,$G687=""),"EKSİK",IF($E687&gt;TODAY(),"İLERİ TARİH",IF(COUNTIF($S$7:$S$1506,$S687)&gt;1,"MÜKERRER?",IF($T687&gt;0,"KAPALI DÖNEM","UYGUN"))))))</f>
        <v/>
      </c>
      <c r="N687" s="121">
        <f>IF($C687="","",IF($C687="TANIMSIZ MÜŞTERİ","—",INDEX(MUSTERILER!$C$7:$C$106,MATCH($C687,MUSTERILER!$B$7:$B$106,0))))</f>
        <v/>
      </c>
      <c r="O687" s="6" t="n"/>
      <c r="P687" s="6" t="n"/>
      <c r="Q687" s="3">
        <f>IF($D687="","",$C687&amp;"|"&amp;COUNTIFS($C$7:$C687,$C687))</f>
        <v/>
      </c>
      <c r="R687" s="3">
        <f>IF($D687="","",UPPER(SUBSTITUTE(SUBSTITUTE(SUBSTITUTE(SUBSTITUTE(SUBSTITUTE(SUBSTITUTE(SUBSTITUTE(SUBSTITUTE(SUBSTITUTE(SUBSTITUTE(SUBSTITUTE(SUBSTITUTE(SUBSTITUTE(SUBSTITUTE(SUBSTITUTE(SUBSTITUTE(SUBSTITUTE(SUBSTITUTE(TRIM($D687),"'",""),"İ","I"),"ı","I"),"i","I"),"Ş","S"),"ş","S"),"Ğ","G"),"ğ","G"),"Ü","U"),"ü","U"),"Ö","O"),"ö","O"),"Ç","C"),"ç","C"),".",""),",","")," ",""),"-","")))</f>
        <v/>
      </c>
      <c r="S687" s="3">
        <f>IF($D687="","",$C687&amp;"|"&amp;TEXT($E687,"0")&amp;"|"&amp;TEXT($F687,"0")&amp;"|"&amp;$I687)</f>
        <v/>
      </c>
      <c r="T687" s="3">
        <f>IF($E687="",0,SUMPRODUCT((AY_SONU!$O$7:$O$42="Evet")*(AY_SONU!$B$7:$B$42=DATE(YEAR($E687),MONTH($E687),1))))</f>
        <v/>
      </c>
    </row>
    <row r="688">
      <c r="A688" s="6" t="n"/>
      <c r="B688" s="113">
        <f>IF($D688="","","T"&amp;TEXT(ROW()-6,"00000"))</f>
        <v/>
      </c>
      <c r="C688" s="113">
        <f>IF($D688="","",IFERROR(INDEX(MUSTERILER!$B$7:$B$106,MATCH($R688,MUSTERILER!$T$7:$T$106,0)),IFERROR(INDEX(MUSTERILER!$B$7:$B$106,MATCH($D688,MUSTERILER!$B$7:$B$106,0)),IFERROR(INDEX(MUSTERILER!$B$7:$B$106,MATCH($R688&amp;"*",MUSTERILER!$T$7:$T$106,0)),"TANIMSIZ MÜŞTERİ"))))</f>
        <v/>
      </c>
      <c r="D688" s="109" t="n"/>
      <c r="E688" s="220" t="n"/>
      <c r="F688" s="221" t="n"/>
      <c r="G688" s="108" t="n"/>
      <c r="H688" s="108" t="n"/>
      <c r="I688" s="109" t="n"/>
      <c r="J688" s="109" t="n"/>
      <c r="K688" s="109" t="n"/>
      <c r="L688" s="226">
        <f>IF($E688="","",DATE(YEAR($E688),MONTH($E688),1))</f>
        <v/>
      </c>
      <c r="M688" s="113">
        <f>IF($D688="","",IF($C688="TANIMSIZ MÜŞTERİ","HATA",IF(OR($E688="",$F688&lt;=0,$G688=""),"EKSİK",IF($E688&gt;TODAY(),"İLERİ TARİH",IF(COUNTIF($S$7:$S$1506,$S688)&gt;1,"MÜKERRER?",IF($T688&gt;0,"KAPALI DÖNEM","UYGUN"))))))</f>
        <v/>
      </c>
      <c r="N688" s="121">
        <f>IF($C688="","",IF($C688="TANIMSIZ MÜŞTERİ","—",INDEX(MUSTERILER!$C$7:$C$106,MATCH($C688,MUSTERILER!$B$7:$B$106,0))))</f>
        <v/>
      </c>
      <c r="O688" s="6" t="n"/>
      <c r="P688" s="6" t="n"/>
      <c r="Q688" s="3">
        <f>IF($D688="","",$C688&amp;"|"&amp;COUNTIFS($C$7:$C688,$C688))</f>
        <v/>
      </c>
      <c r="R688" s="3">
        <f>IF($D688="","",UPPER(SUBSTITUTE(SUBSTITUTE(SUBSTITUTE(SUBSTITUTE(SUBSTITUTE(SUBSTITUTE(SUBSTITUTE(SUBSTITUTE(SUBSTITUTE(SUBSTITUTE(SUBSTITUTE(SUBSTITUTE(SUBSTITUTE(SUBSTITUTE(SUBSTITUTE(SUBSTITUTE(SUBSTITUTE(SUBSTITUTE(TRIM($D688),"'",""),"İ","I"),"ı","I"),"i","I"),"Ş","S"),"ş","S"),"Ğ","G"),"ğ","G"),"Ü","U"),"ü","U"),"Ö","O"),"ö","O"),"Ç","C"),"ç","C"),".",""),",","")," ",""),"-","")))</f>
        <v/>
      </c>
      <c r="S688" s="3">
        <f>IF($D688="","",$C688&amp;"|"&amp;TEXT($E688,"0")&amp;"|"&amp;TEXT($F688,"0")&amp;"|"&amp;$I688)</f>
        <v/>
      </c>
      <c r="T688" s="3">
        <f>IF($E688="",0,SUMPRODUCT((AY_SONU!$O$7:$O$42="Evet")*(AY_SONU!$B$7:$B$42=DATE(YEAR($E688),MONTH($E688),1))))</f>
        <v/>
      </c>
    </row>
    <row r="689">
      <c r="A689" s="6" t="n"/>
      <c r="B689" s="113">
        <f>IF($D689="","","T"&amp;TEXT(ROW()-6,"00000"))</f>
        <v/>
      </c>
      <c r="C689" s="113">
        <f>IF($D689="","",IFERROR(INDEX(MUSTERILER!$B$7:$B$106,MATCH($R689,MUSTERILER!$T$7:$T$106,0)),IFERROR(INDEX(MUSTERILER!$B$7:$B$106,MATCH($D689,MUSTERILER!$B$7:$B$106,0)),IFERROR(INDEX(MUSTERILER!$B$7:$B$106,MATCH($R689&amp;"*",MUSTERILER!$T$7:$T$106,0)),"TANIMSIZ MÜŞTERİ"))))</f>
        <v/>
      </c>
      <c r="D689" s="109" t="n"/>
      <c r="E689" s="220" t="n"/>
      <c r="F689" s="221" t="n"/>
      <c r="G689" s="108" t="n"/>
      <c r="H689" s="108" t="n"/>
      <c r="I689" s="109" t="n"/>
      <c r="J689" s="109" t="n"/>
      <c r="K689" s="109" t="n"/>
      <c r="L689" s="226">
        <f>IF($E689="","",DATE(YEAR($E689),MONTH($E689),1))</f>
        <v/>
      </c>
      <c r="M689" s="113">
        <f>IF($D689="","",IF($C689="TANIMSIZ MÜŞTERİ","HATA",IF(OR($E689="",$F689&lt;=0,$G689=""),"EKSİK",IF($E689&gt;TODAY(),"İLERİ TARİH",IF(COUNTIF($S$7:$S$1506,$S689)&gt;1,"MÜKERRER?",IF($T689&gt;0,"KAPALI DÖNEM","UYGUN"))))))</f>
        <v/>
      </c>
      <c r="N689" s="121">
        <f>IF($C689="","",IF($C689="TANIMSIZ MÜŞTERİ","—",INDEX(MUSTERILER!$C$7:$C$106,MATCH($C689,MUSTERILER!$B$7:$B$106,0))))</f>
        <v/>
      </c>
      <c r="O689" s="6" t="n"/>
      <c r="P689" s="6" t="n"/>
      <c r="Q689" s="3">
        <f>IF($D689="","",$C689&amp;"|"&amp;COUNTIFS($C$7:$C689,$C689))</f>
        <v/>
      </c>
      <c r="R689" s="3">
        <f>IF($D689="","",UPPER(SUBSTITUTE(SUBSTITUTE(SUBSTITUTE(SUBSTITUTE(SUBSTITUTE(SUBSTITUTE(SUBSTITUTE(SUBSTITUTE(SUBSTITUTE(SUBSTITUTE(SUBSTITUTE(SUBSTITUTE(SUBSTITUTE(SUBSTITUTE(SUBSTITUTE(SUBSTITUTE(SUBSTITUTE(SUBSTITUTE(TRIM($D689),"'",""),"İ","I"),"ı","I"),"i","I"),"Ş","S"),"ş","S"),"Ğ","G"),"ğ","G"),"Ü","U"),"ü","U"),"Ö","O"),"ö","O"),"Ç","C"),"ç","C"),".",""),",","")," ",""),"-","")))</f>
        <v/>
      </c>
      <c r="S689" s="3">
        <f>IF($D689="","",$C689&amp;"|"&amp;TEXT($E689,"0")&amp;"|"&amp;TEXT($F689,"0")&amp;"|"&amp;$I689)</f>
        <v/>
      </c>
      <c r="T689" s="3">
        <f>IF($E689="",0,SUMPRODUCT((AY_SONU!$O$7:$O$42="Evet")*(AY_SONU!$B$7:$B$42=DATE(YEAR($E689),MONTH($E689),1))))</f>
        <v/>
      </c>
    </row>
    <row r="690">
      <c r="A690" s="6" t="n"/>
      <c r="B690" s="113">
        <f>IF($D690="","","T"&amp;TEXT(ROW()-6,"00000"))</f>
        <v/>
      </c>
      <c r="C690" s="113">
        <f>IF($D690="","",IFERROR(INDEX(MUSTERILER!$B$7:$B$106,MATCH($R690,MUSTERILER!$T$7:$T$106,0)),IFERROR(INDEX(MUSTERILER!$B$7:$B$106,MATCH($D690,MUSTERILER!$B$7:$B$106,0)),IFERROR(INDEX(MUSTERILER!$B$7:$B$106,MATCH($R690&amp;"*",MUSTERILER!$T$7:$T$106,0)),"TANIMSIZ MÜŞTERİ"))))</f>
        <v/>
      </c>
      <c r="D690" s="109" t="n"/>
      <c r="E690" s="220" t="n"/>
      <c r="F690" s="221" t="n"/>
      <c r="G690" s="108" t="n"/>
      <c r="H690" s="108" t="n"/>
      <c r="I690" s="109" t="n"/>
      <c r="J690" s="109" t="n"/>
      <c r="K690" s="109" t="n"/>
      <c r="L690" s="226">
        <f>IF($E690="","",DATE(YEAR($E690),MONTH($E690),1))</f>
        <v/>
      </c>
      <c r="M690" s="113">
        <f>IF($D690="","",IF($C690="TANIMSIZ MÜŞTERİ","HATA",IF(OR($E690="",$F690&lt;=0,$G690=""),"EKSİK",IF($E690&gt;TODAY(),"İLERİ TARİH",IF(COUNTIF($S$7:$S$1506,$S690)&gt;1,"MÜKERRER?",IF($T690&gt;0,"KAPALI DÖNEM","UYGUN"))))))</f>
        <v/>
      </c>
      <c r="N690" s="121">
        <f>IF($C690="","",IF($C690="TANIMSIZ MÜŞTERİ","—",INDEX(MUSTERILER!$C$7:$C$106,MATCH($C690,MUSTERILER!$B$7:$B$106,0))))</f>
        <v/>
      </c>
      <c r="O690" s="6" t="n"/>
      <c r="P690" s="6" t="n"/>
      <c r="Q690" s="3">
        <f>IF($D690="","",$C690&amp;"|"&amp;COUNTIFS($C$7:$C690,$C690))</f>
        <v/>
      </c>
      <c r="R690" s="3">
        <f>IF($D690="","",UPPER(SUBSTITUTE(SUBSTITUTE(SUBSTITUTE(SUBSTITUTE(SUBSTITUTE(SUBSTITUTE(SUBSTITUTE(SUBSTITUTE(SUBSTITUTE(SUBSTITUTE(SUBSTITUTE(SUBSTITUTE(SUBSTITUTE(SUBSTITUTE(SUBSTITUTE(SUBSTITUTE(SUBSTITUTE(SUBSTITUTE(TRIM($D690),"'",""),"İ","I"),"ı","I"),"i","I"),"Ş","S"),"ş","S"),"Ğ","G"),"ğ","G"),"Ü","U"),"ü","U"),"Ö","O"),"ö","O"),"Ç","C"),"ç","C"),".",""),",","")," ",""),"-","")))</f>
        <v/>
      </c>
      <c r="S690" s="3">
        <f>IF($D690="","",$C690&amp;"|"&amp;TEXT($E690,"0")&amp;"|"&amp;TEXT($F690,"0")&amp;"|"&amp;$I690)</f>
        <v/>
      </c>
      <c r="T690" s="3">
        <f>IF($E690="",0,SUMPRODUCT((AY_SONU!$O$7:$O$42="Evet")*(AY_SONU!$B$7:$B$42=DATE(YEAR($E690),MONTH($E690),1))))</f>
        <v/>
      </c>
    </row>
    <row r="691">
      <c r="A691" s="6" t="n"/>
      <c r="B691" s="113">
        <f>IF($D691="","","T"&amp;TEXT(ROW()-6,"00000"))</f>
        <v/>
      </c>
      <c r="C691" s="113">
        <f>IF($D691="","",IFERROR(INDEX(MUSTERILER!$B$7:$B$106,MATCH($R691,MUSTERILER!$T$7:$T$106,0)),IFERROR(INDEX(MUSTERILER!$B$7:$B$106,MATCH($D691,MUSTERILER!$B$7:$B$106,0)),IFERROR(INDEX(MUSTERILER!$B$7:$B$106,MATCH($R691&amp;"*",MUSTERILER!$T$7:$T$106,0)),"TANIMSIZ MÜŞTERİ"))))</f>
        <v/>
      </c>
      <c r="D691" s="109" t="n"/>
      <c r="E691" s="220" t="n"/>
      <c r="F691" s="221" t="n"/>
      <c r="G691" s="108" t="n"/>
      <c r="H691" s="108" t="n"/>
      <c r="I691" s="109" t="n"/>
      <c r="J691" s="109" t="n"/>
      <c r="K691" s="109" t="n"/>
      <c r="L691" s="226">
        <f>IF($E691="","",DATE(YEAR($E691),MONTH($E691),1))</f>
        <v/>
      </c>
      <c r="M691" s="113">
        <f>IF($D691="","",IF($C691="TANIMSIZ MÜŞTERİ","HATA",IF(OR($E691="",$F691&lt;=0,$G691=""),"EKSİK",IF($E691&gt;TODAY(),"İLERİ TARİH",IF(COUNTIF($S$7:$S$1506,$S691)&gt;1,"MÜKERRER?",IF($T691&gt;0,"KAPALI DÖNEM","UYGUN"))))))</f>
        <v/>
      </c>
      <c r="N691" s="121">
        <f>IF($C691="","",IF($C691="TANIMSIZ MÜŞTERİ","—",INDEX(MUSTERILER!$C$7:$C$106,MATCH($C691,MUSTERILER!$B$7:$B$106,0))))</f>
        <v/>
      </c>
      <c r="O691" s="6" t="n"/>
      <c r="P691" s="6" t="n"/>
      <c r="Q691" s="3">
        <f>IF($D691="","",$C691&amp;"|"&amp;COUNTIFS($C$7:$C691,$C691))</f>
        <v/>
      </c>
      <c r="R691" s="3">
        <f>IF($D691="","",UPPER(SUBSTITUTE(SUBSTITUTE(SUBSTITUTE(SUBSTITUTE(SUBSTITUTE(SUBSTITUTE(SUBSTITUTE(SUBSTITUTE(SUBSTITUTE(SUBSTITUTE(SUBSTITUTE(SUBSTITUTE(SUBSTITUTE(SUBSTITUTE(SUBSTITUTE(SUBSTITUTE(SUBSTITUTE(SUBSTITUTE(TRIM($D691),"'",""),"İ","I"),"ı","I"),"i","I"),"Ş","S"),"ş","S"),"Ğ","G"),"ğ","G"),"Ü","U"),"ü","U"),"Ö","O"),"ö","O"),"Ç","C"),"ç","C"),".",""),",","")," ",""),"-","")))</f>
        <v/>
      </c>
      <c r="S691" s="3">
        <f>IF($D691="","",$C691&amp;"|"&amp;TEXT($E691,"0")&amp;"|"&amp;TEXT($F691,"0")&amp;"|"&amp;$I691)</f>
        <v/>
      </c>
      <c r="T691" s="3">
        <f>IF($E691="",0,SUMPRODUCT((AY_SONU!$O$7:$O$42="Evet")*(AY_SONU!$B$7:$B$42=DATE(YEAR($E691),MONTH($E691),1))))</f>
        <v/>
      </c>
    </row>
    <row r="692">
      <c r="A692" s="6" t="n"/>
      <c r="B692" s="113">
        <f>IF($D692="","","T"&amp;TEXT(ROW()-6,"00000"))</f>
        <v/>
      </c>
      <c r="C692" s="113">
        <f>IF($D692="","",IFERROR(INDEX(MUSTERILER!$B$7:$B$106,MATCH($R692,MUSTERILER!$T$7:$T$106,0)),IFERROR(INDEX(MUSTERILER!$B$7:$B$106,MATCH($D692,MUSTERILER!$B$7:$B$106,0)),IFERROR(INDEX(MUSTERILER!$B$7:$B$106,MATCH($R692&amp;"*",MUSTERILER!$T$7:$T$106,0)),"TANIMSIZ MÜŞTERİ"))))</f>
        <v/>
      </c>
      <c r="D692" s="109" t="n"/>
      <c r="E692" s="220" t="n"/>
      <c r="F692" s="221" t="n"/>
      <c r="G692" s="108" t="n"/>
      <c r="H692" s="108" t="n"/>
      <c r="I692" s="109" t="n"/>
      <c r="J692" s="109" t="n"/>
      <c r="K692" s="109" t="n"/>
      <c r="L692" s="226">
        <f>IF($E692="","",DATE(YEAR($E692),MONTH($E692),1))</f>
        <v/>
      </c>
      <c r="M692" s="113">
        <f>IF($D692="","",IF($C692="TANIMSIZ MÜŞTERİ","HATA",IF(OR($E692="",$F692&lt;=0,$G692=""),"EKSİK",IF($E692&gt;TODAY(),"İLERİ TARİH",IF(COUNTIF($S$7:$S$1506,$S692)&gt;1,"MÜKERRER?",IF($T692&gt;0,"KAPALI DÖNEM","UYGUN"))))))</f>
        <v/>
      </c>
      <c r="N692" s="121">
        <f>IF($C692="","",IF($C692="TANIMSIZ MÜŞTERİ","—",INDEX(MUSTERILER!$C$7:$C$106,MATCH($C692,MUSTERILER!$B$7:$B$106,0))))</f>
        <v/>
      </c>
      <c r="O692" s="6" t="n"/>
      <c r="P692" s="6" t="n"/>
      <c r="Q692" s="3">
        <f>IF($D692="","",$C692&amp;"|"&amp;COUNTIFS($C$7:$C692,$C692))</f>
        <v/>
      </c>
      <c r="R692" s="3">
        <f>IF($D692="","",UPPER(SUBSTITUTE(SUBSTITUTE(SUBSTITUTE(SUBSTITUTE(SUBSTITUTE(SUBSTITUTE(SUBSTITUTE(SUBSTITUTE(SUBSTITUTE(SUBSTITUTE(SUBSTITUTE(SUBSTITUTE(SUBSTITUTE(SUBSTITUTE(SUBSTITUTE(SUBSTITUTE(SUBSTITUTE(SUBSTITUTE(TRIM($D692),"'",""),"İ","I"),"ı","I"),"i","I"),"Ş","S"),"ş","S"),"Ğ","G"),"ğ","G"),"Ü","U"),"ü","U"),"Ö","O"),"ö","O"),"Ç","C"),"ç","C"),".",""),",","")," ",""),"-","")))</f>
        <v/>
      </c>
      <c r="S692" s="3">
        <f>IF($D692="","",$C692&amp;"|"&amp;TEXT($E692,"0")&amp;"|"&amp;TEXT($F692,"0")&amp;"|"&amp;$I692)</f>
        <v/>
      </c>
      <c r="T692" s="3">
        <f>IF($E692="",0,SUMPRODUCT((AY_SONU!$O$7:$O$42="Evet")*(AY_SONU!$B$7:$B$42=DATE(YEAR($E692),MONTH($E692),1))))</f>
        <v/>
      </c>
    </row>
    <row r="693">
      <c r="A693" s="6" t="n"/>
      <c r="B693" s="113">
        <f>IF($D693="","","T"&amp;TEXT(ROW()-6,"00000"))</f>
        <v/>
      </c>
      <c r="C693" s="113">
        <f>IF($D693="","",IFERROR(INDEX(MUSTERILER!$B$7:$B$106,MATCH($R693,MUSTERILER!$T$7:$T$106,0)),IFERROR(INDEX(MUSTERILER!$B$7:$B$106,MATCH($D693,MUSTERILER!$B$7:$B$106,0)),IFERROR(INDEX(MUSTERILER!$B$7:$B$106,MATCH($R693&amp;"*",MUSTERILER!$T$7:$T$106,0)),"TANIMSIZ MÜŞTERİ"))))</f>
        <v/>
      </c>
      <c r="D693" s="109" t="n"/>
      <c r="E693" s="220" t="n"/>
      <c r="F693" s="221" t="n"/>
      <c r="G693" s="108" t="n"/>
      <c r="H693" s="108" t="n"/>
      <c r="I693" s="109" t="n"/>
      <c r="J693" s="109" t="n"/>
      <c r="K693" s="109" t="n"/>
      <c r="L693" s="226">
        <f>IF($E693="","",DATE(YEAR($E693),MONTH($E693),1))</f>
        <v/>
      </c>
      <c r="M693" s="113">
        <f>IF($D693="","",IF($C693="TANIMSIZ MÜŞTERİ","HATA",IF(OR($E693="",$F693&lt;=0,$G693=""),"EKSİK",IF($E693&gt;TODAY(),"İLERİ TARİH",IF(COUNTIF($S$7:$S$1506,$S693)&gt;1,"MÜKERRER?",IF($T693&gt;0,"KAPALI DÖNEM","UYGUN"))))))</f>
        <v/>
      </c>
      <c r="N693" s="121">
        <f>IF($C693="","",IF($C693="TANIMSIZ MÜŞTERİ","—",INDEX(MUSTERILER!$C$7:$C$106,MATCH($C693,MUSTERILER!$B$7:$B$106,0))))</f>
        <v/>
      </c>
      <c r="O693" s="6" t="n"/>
      <c r="P693" s="6" t="n"/>
      <c r="Q693" s="3">
        <f>IF($D693="","",$C693&amp;"|"&amp;COUNTIFS($C$7:$C693,$C693))</f>
        <v/>
      </c>
      <c r="R693" s="3">
        <f>IF($D693="","",UPPER(SUBSTITUTE(SUBSTITUTE(SUBSTITUTE(SUBSTITUTE(SUBSTITUTE(SUBSTITUTE(SUBSTITUTE(SUBSTITUTE(SUBSTITUTE(SUBSTITUTE(SUBSTITUTE(SUBSTITUTE(SUBSTITUTE(SUBSTITUTE(SUBSTITUTE(SUBSTITUTE(SUBSTITUTE(SUBSTITUTE(TRIM($D693),"'",""),"İ","I"),"ı","I"),"i","I"),"Ş","S"),"ş","S"),"Ğ","G"),"ğ","G"),"Ü","U"),"ü","U"),"Ö","O"),"ö","O"),"Ç","C"),"ç","C"),".",""),",","")," ",""),"-","")))</f>
        <v/>
      </c>
      <c r="S693" s="3">
        <f>IF($D693="","",$C693&amp;"|"&amp;TEXT($E693,"0")&amp;"|"&amp;TEXT($F693,"0")&amp;"|"&amp;$I693)</f>
        <v/>
      </c>
      <c r="T693" s="3">
        <f>IF($E693="",0,SUMPRODUCT((AY_SONU!$O$7:$O$42="Evet")*(AY_SONU!$B$7:$B$42=DATE(YEAR($E693),MONTH($E693),1))))</f>
        <v/>
      </c>
    </row>
    <row r="694">
      <c r="A694" s="6" t="n"/>
      <c r="B694" s="113">
        <f>IF($D694="","","T"&amp;TEXT(ROW()-6,"00000"))</f>
        <v/>
      </c>
      <c r="C694" s="113">
        <f>IF($D694="","",IFERROR(INDEX(MUSTERILER!$B$7:$B$106,MATCH($R694,MUSTERILER!$T$7:$T$106,0)),IFERROR(INDEX(MUSTERILER!$B$7:$B$106,MATCH($D694,MUSTERILER!$B$7:$B$106,0)),IFERROR(INDEX(MUSTERILER!$B$7:$B$106,MATCH($R694&amp;"*",MUSTERILER!$T$7:$T$106,0)),"TANIMSIZ MÜŞTERİ"))))</f>
        <v/>
      </c>
      <c r="D694" s="109" t="n"/>
      <c r="E694" s="220" t="n"/>
      <c r="F694" s="221" t="n"/>
      <c r="G694" s="108" t="n"/>
      <c r="H694" s="108" t="n"/>
      <c r="I694" s="109" t="n"/>
      <c r="J694" s="109" t="n"/>
      <c r="K694" s="109" t="n"/>
      <c r="L694" s="226">
        <f>IF($E694="","",DATE(YEAR($E694),MONTH($E694),1))</f>
        <v/>
      </c>
      <c r="M694" s="113">
        <f>IF($D694="","",IF($C694="TANIMSIZ MÜŞTERİ","HATA",IF(OR($E694="",$F694&lt;=0,$G694=""),"EKSİK",IF($E694&gt;TODAY(),"İLERİ TARİH",IF(COUNTIF($S$7:$S$1506,$S694)&gt;1,"MÜKERRER?",IF($T694&gt;0,"KAPALI DÖNEM","UYGUN"))))))</f>
        <v/>
      </c>
      <c r="N694" s="121">
        <f>IF($C694="","",IF($C694="TANIMSIZ MÜŞTERİ","—",INDEX(MUSTERILER!$C$7:$C$106,MATCH($C694,MUSTERILER!$B$7:$B$106,0))))</f>
        <v/>
      </c>
      <c r="O694" s="6" t="n"/>
      <c r="P694" s="6" t="n"/>
      <c r="Q694" s="3">
        <f>IF($D694="","",$C694&amp;"|"&amp;COUNTIFS($C$7:$C694,$C694))</f>
        <v/>
      </c>
      <c r="R694" s="3">
        <f>IF($D694="","",UPPER(SUBSTITUTE(SUBSTITUTE(SUBSTITUTE(SUBSTITUTE(SUBSTITUTE(SUBSTITUTE(SUBSTITUTE(SUBSTITUTE(SUBSTITUTE(SUBSTITUTE(SUBSTITUTE(SUBSTITUTE(SUBSTITUTE(SUBSTITUTE(SUBSTITUTE(SUBSTITUTE(SUBSTITUTE(SUBSTITUTE(TRIM($D694),"'",""),"İ","I"),"ı","I"),"i","I"),"Ş","S"),"ş","S"),"Ğ","G"),"ğ","G"),"Ü","U"),"ü","U"),"Ö","O"),"ö","O"),"Ç","C"),"ç","C"),".",""),",","")," ",""),"-","")))</f>
        <v/>
      </c>
      <c r="S694" s="3">
        <f>IF($D694="","",$C694&amp;"|"&amp;TEXT($E694,"0")&amp;"|"&amp;TEXT($F694,"0")&amp;"|"&amp;$I694)</f>
        <v/>
      </c>
      <c r="T694" s="3">
        <f>IF($E694="",0,SUMPRODUCT((AY_SONU!$O$7:$O$42="Evet")*(AY_SONU!$B$7:$B$42=DATE(YEAR($E694),MONTH($E694),1))))</f>
        <v/>
      </c>
    </row>
    <row r="695">
      <c r="A695" s="6" t="n"/>
      <c r="B695" s="113">
        <f>IF($D695="","","T"&amp;TEXT(ROW()-6,"00000"))</f>
        <v/>
      </c>
      <c r="C695" s="113">
        <f>IF($D695="","",IFERROR(INDEX(MUSTERILER!$B$7:$B$106,MATCH($R695,MUSTERILER!$T$7:$T$106,0)),IFERROR(INDEX(MUSTERILER!$B$7:$B$106,MATCH($D695,MUSTERILER!$B$7:$B$106,0)),IFERROR(INDEX(MUSTERILER!$B$7:$B$106,MATCH($R695&amp;"*",MUSTERILER!$T$7:$T$106,0)),"TANIMSIZ MÜŞTERİ"))))</f>
        <v/>
      </c>
      <c r="D695" s="109" t="n"/>
      <c r="E695" s="220" t="n"/>
      <c r="F695" s="221" t="n"/>
      <c r="G695" s="108" t="n"/>
      <c r="H695" s="108" t="n"/>
      <c r="I695" s="109" t="n"/>
      <c r="J695" s="109" t="n"/>
      <c r="K695" s="109" t="n"/>
      <c r="L695" s="226">
        <f>IF($E695="","",DATE(YEAR($E695),MONTH($E695),1))</f>
        <v/>
      </c>
      <c r="M695" s="113">
        <f>IF($D695="","",IF($C695="TANIMSIZ MÜŞTERİ","HATA",IF(OR($E695="",$F695&lt;=0,$G695=""),"EKSİK",IF($E695&gt;TODAY(),"İLERİ TARİH",IF(COUNTIF($S$7:$S$1506,$S695)&gt;1,"MÜKERRER?",IF($T695&gt;0,"KAPALI DÖNEM","UYGUN"))))))</f>
        <v/>
      </c>
      <c r="N695" s="121">
        <f>IF($C695="","",IF($C695="TANIMSIZ MÜŞTERİ","—",INDEX(MUSTERILER!$C$7:$C$106,MATCH($C695,MUSTERILER!$B$7:$B$106,0))))</f>
        <v/>
      </c>
      <c r="O695" s="6" t="n"/>
      <c r="P695" s="6" t="n"/>
      <c r="Q695" s="3">
        <f>IF($D695="","",$C695&amp;"|"&amp;COUNTIFS($C$7:$C695,$C695))</f>
        <v/>
      </c>
      <c r="R695" s="3">
        <f>IF($D695="","",UPPER(SUBSTITUTE(SUBSTITUTE(SUBSTITUTE(SUBSTITUTE(SUBSTITUTE(SUBSTITUTE(SUBSTITUTE(SUBSTITUTE(SUBSTITUTE(SUBSTITUTE(SUBSTITUTE(SUBSTITUTE(SUBSTITUTE(SUBSTITUTE(SUBSTITUTE(SUBSTITUTE(SUBSTITUTE(SUBSTITUTE(TRIM($D695),"'",""),"İ","I"),"ı","I"),"i","I"),"Ş","S"),"ş","S"),"Ğ","G"),"ğ","G"),"Ü","U"),"ü","U"),"Ö","O"),"ö","O"),"Ç","C"),"ç","C"),".",""),",","")," ",""),"-","")))</f>
        <v/>
      </c>
      <c r="S695" s="3">
        <f>IF($D695="","",$C695&amp;"|"&amp;TEXT($E695,"0")&amp;"|"&amp;TEXT($F695,"0")&amp;"|"&amp;$I695)</f>
        <v/>
      </c>
      <c r="T695" s="3">
        <f>IF($E695="",0,SUMPRODUCT((AY_SONU!$O$7:$O$42="Evet")*(AY_SONU!$B$7:$B$42=DATE(YEAR($E695),MONTH($E695),1))))</f>
        <v/>
      </c>
    </row>
    <row r="696">
      <c r="A696" s="6" t="n"/>
      <c r="B696" s="113">
        <f>IF($D696="","","T"&amp;TEXT(ROW()-6,"00000"))</f>
        <v/>
      </c>
      <c r="C696" s="113">
        <f>IF($D696="","",IFERROR(INDEX(MUSTERILER!$B$7:$B$106,MATCH($R696,MUSTERILER!$T$7:$T$106,0)),IFERROR(INDEX(MUSTERILER!$B$7:$B$106,MATCH($D696,MUSTERILER!$B$7:$B$106,0)),IFERROR(INDEX(MUSTERILER!$B$7:$B$106,MATCH($R696&amp;"*",MUSTERILER!$T$7:$T$106,0)),"TANIMSIZ MÜŞTERİ"))))</f>
        <v/>
      </c>
      <c r="D696" s="109" t="n"/>
      <c r="E696" s="220" t="n"/>
      <c r="F696" s="221" t="n"/>
      <c r="G696" s="108" t="n"/>
      <c r="H696" s="108" t="n"/>
      <c r="I696" s="109" t="n"/>
      <c r="J696" s="109" t="n"/>
      <c r="K696" s="109" t="n"/>
      <c r="L696" s="226">
        <f>IF($E696="","",DATE(YEAR($E696),MONTH($E696),1))</f>
        <v/>
      </c>
      <c r="M696" s="113">
        <f>IF($D696="","",IF($C696="TANIMSIZ MÜŞTERİ","HATA",IF(OR($E696="",$F696&lt;=0,$G696=""),"EKSİK",IF($E696&gt;TODAY(),"İLERİ TARİH",IF(COUNTIF($S$7:$S$1506,$S696)&gt;1,"MÜKERRER?",IF($T696&gt;0,"KAPALI DÖNEM","UYGUN"))))))</f>
        <v/>
      </c>
      <c r="N696" s="121">
        <f>IF($C696="","",IF($C696="TANIMSIZ MÜŞTERİ","—",INDEX(MUSTERILER!$C$7:$C$106,MATCH($C696,MUSTERILER!$B$7:$B$106,0))))</f>
        <v/>
      </c>
      <c r="O696" s="6" t="n"/>
      <c r="P696" s="6" t="n"/>
      <c r="Q696" s="3">
        <f>IF($D696="","",$C696&amp;"|"&amp;COUNTIFS($C$7:$C696,$C696))</f>
        <v/>
      </c>
      <c r="R696" s="3">
        <f>IF($D696="","",UPPER(SUBSTITUTE(SUBSTITUTE(SUBSTITUTE(SUBSTITUTE(SUBSTITUTE(SUBSTITUTE(SUBSTITUTE(SUBSTITUTE(SUBSTITUTE(SUBSTITUTE(SUBSTITUTE(SUBSTITUTE(SUBSTITUTE(SUBSTITUTE(SUBSTITUTE(SUBSTITUTE(SUBSTITUTE(SUBSTITUTE(TRIM($D696),"'",""),"İ","I"),"ı","I"),"i","I"),"Ş","S"),"ş","S"),"Ğ","G"),"ğ","G"),"Ü","U"),"ü","U"),"Ö","O"),"ö","O"),"Ç","C"),"ç","C"),".",""),",","")," ",""),"-","")))</f>
        <v/>
      </c>
      <c r="S696" s="3">
        <f>IF($D696="","",$C696&amp;"|"&amp;TEXT($E696,"0")&amp;"|"&amp;TEXT($F696,"0")&amp;"|"&amp;$I696)</f>
        <v/>
      </c>
      <c r="T696" s="3">
        <f>IF($E696="",0,SUMPRODUCT((AY_SONU!$O$7:$O$42="Evet")*(AY_SONU!$B$7:$B$42=DATE(YEAR($E696),MONTH($E696),1))))</f>
        <v/>
      </c>
    </row>
    <row r="697">
      <c r="A697" s="6" t="n"/>
      <c r="B697" s="113">
        <f>IF($D697="","","T"&amp;TEXT(ROW()-6,"00000"))</f>
        <v/>
      </c>
      <c r="C697" s="113">
        <f>IF($D697="","",IFERROR(INDEX(MUSTERILER!$B$7:$B$106,MATCH($R697,MUSTERILER!$T$7:$T$106,0)),IFERROR(INDEX(MUSTERILER!$B$7:$B$106,MATCH($D697,MUSTERILER!$B$7:$B$106,0)),IFERROR(INDEX(MUSTERILER!$B$7:$B$106,MATCH($R697&amp;"*",MUSTERILER!$T$7:$T$106,0)),"TANIMSIZ MÜŞTERİ"))))</f>
        <v/>
      </c>
      <c r="D697" s="109" t="n"/>
      <c r="E697" s="220" t="n"/>
      <c r="F697" s="221" t="n"/>
      <c r="G697" s="108" t="n"/>
      <c r="H697" s="108" t="n"/>
      <c r="I697" s="109" t="n"/>
      <c r="J697" s="109" t="n"/>
      <c r="K697" s="109" t="n"/>
      <c r="L697" s="226">
        <f>IF($E697="","",DATE(YEAR($E697),MONTH($E697),1))</f>
        <v/>
      </c>
      <c r="M697" s="113">
        <f>IF($D697="","",IF($C697="TANIMSIZ MÜŞTERİ","HATA",IF(OR($E697="",$F697&lt;=0,$G697=""),"EKSİK",IF($E697&gt;TODAY(),"İLERİ TARİH",IF(COUNTIF($S$7:$S$1506,$S697)&gt;1,"MÜKERRER?",IF($T697&gt;0,"KAPALI DÖNEM","UYGUN"))))))</f>
        <v/>
      </c>
      <c r="N697" s="121">
        <f>IF($C697="","",IF($C697="TANIMSIZ MÜŞTERİ","—",INDEX(MUSTERILER!$C$7:$C$106,MATCH($C697,MUSTERILER!$B$7:$B$106,0))))</f>
        <v/>
      </c>
      <c r="O697" s="6" t="n"/>
      <c r="P697" s="6" t="n"/>
      <c r="Q697" s="3">
        <f>IF($D697="","",$C697&amp;"|"&amp;COUNTIFS($C$7:$C697,$C697))</f>
        <v/>
      </c>
      <c r="R697" s="3">
        <f>IF($D697="","",UPPER(SUBSTITUTE(SUBSTITUTE(SUBSTITUTE(SUBSTITUTE(SUBSTITUTE(SUBSTITUTE(SUBSTITUTE(SUBSTITUTE(SUBSTITUTE(SUBSTITUTE(SUBSTITUTE(SUBSTITUTE(SUBSTITUTE(SUBSTITUTE(SUBSTITUTE(SUBSTITUTE(SUBSTITUTE(SUBSTITUTE(TRIM($D697),"'",""),"İ","I"),"ı","I"),"i","I"),"Ş","S"),"ş","S"),"Ğ","G"),"ğ","G"),"Ü","U"),"ü","U"),"Ö","O"),"ö","O"),"Ç","C"),"ç","C"),".",""),",","")," ",""),"-","")))</f>
        <v/>
      </c>
      <c r="S697" s="3">
        <f>IF($D697="","",$C697&amp;"|"&amp;TEXT($E697,"0")&amp;"|"&amp;TEXT($F697,"0")&amp;"|"&amp;$I697)</f>
        <v/>
      </c>
      <c r="T697" s="3">
        <f>IF($E697="",0,SUMPRODUCT((AY_SONU!$O$7:$O$42="Evet")*(AY_SONU!$B$7:$B$42=DATE(YEAR($E697),MONTH($E697),1))))</f>
        <v/>
      </c>
    </row>
    <row r="698">
      <c r="A698" s="6" t="n"/>
      <c r="B698" s="113">
        <f>IF($D698="","","T"&amp;TEXT(ROW()-6,"00000"))</f>
        <v/>
      </c>
      <c r="C698" s="113">
        <f>IF($D698="","",IFERROR(INDEX(MUSTERILER!$B$7:$B$106,MATCH($R698,MUSTERILER!$T$7:$T$106,0)),IFERROR(INDEX(MUSTERILER!$B$7:$B$106,MATCH($D698,MUSTERILER!$B$7:$B$106,0)),IFERROR(INDEX(MUSTERILER!$B$7:$B$106,MATCH($R698&amp;"*",MUSTERILER!$T$7:$T$106,0)),"TANIMSIZ MÜŞTERİ"))))</f>
        <v/>
      </c>
      <c r="D698" s="109" t="n"/>
      <c r="E698" s="220" t="n"/>
      <c r="F698" s="221" t="n"/>
      <c r="G698" s="108" t="n"/>
      <c r="H698" s="108" t="n"/>
      <c r="I698" s="109" t="n"/>
      <c r="J698" s="109" t="n"/>
      <c r="K698" s="109" t="n"/>
      <c r="L698" s="226">
        <f>IF($E698="","",DATE(YEAR($E698),MONTH($E698),1))</f>
        <v/>
      </c>
      <c r="M698" s="113">
        <f>IF($D698="","",IF($C698="TANIMSIZ MÜŞTERİ","HATA",IF(OR($E698="",$F698&lt;=0,$G698=""),"EKSİK",IF($E698&gt;TODAY(),"İLERİ TARİH",IF(COUNTIF($S$7:$S$1506,$S698)&gt;1,"MÜKERRER?",IF($T698&gt;0,"KAPALI DÖNEM","UYGUN"))))))</f>
        <v/>
      </c>
      <c r="N698" s="121">
        <f>IF($C698="","",IF($C698="TANIMSIZ MÜŞTERİ","—",INDEX(MUSTERILER!$C$7:$C$106,MATCH($C698,MUSTERILER!$B$7:$B$106,0))))</f>
        <v/>
      </c>
      <c r="O698" s="6" t="n"/>
      <c r="P698" s="6" t="n"/>
      <c r="Q698" s="3">
        <f>IF($D698="","",$C698&amp;"|"&amp;COUNTIFS($C$7:$C698,$C698))</f>
        <v/>
      </c>
      <c r="R698" s="3">
        <f>IF($D698="","",UPPER(SUBSTITUTE(SUBSTITUTE(SUBSTITUTE(SUBSTITUTE(SUBSTITUTE(SUBSTITUTE(SUBSTITUTE(SUBSTITUTE(SUBSTITUTE(SUBSTITUTE(SUBSTITUTE(SUBSTITUTE(SUBSTITUTE(SUBSTITUTE(SUBSTITUTE(SUBSTITUTE(SUBSTITUTE(SUBSTITUTE(TRIM($D698),"'",""),"İ","I"),"ı","I"),"i","I"),"Ş","S"),"ş","S"),"Ğ","G"),"ğ","G"),"Ü","U"),"ü","U"),"Ö","O"),"ö","O"),"Ç","C"),"ç","C"),".",""),",","")," ",""),"-","")))</f>
        <v/>
      </c>
      <c r="S698" s="3">
        <f>IF($D698="","",$C698&amp;"|"&amp;TEXT($E698,"0")&amp;"|"&amp;TEXT($F698,"0")&amp;"|"&amp;$I698)</f>
        <v/>
      </c>
      <c r="T698" s="3">
        <f>IF($E698="",0,SUMPRODUCT((AY_SONU!$O$7:$O$42="Evet")*(AY_SONU!$B$7:$B$42=DATE(YEAR($E698),MONTH($E698),1))))</f>
        <v/>
      </c>
    </row>
    <row r="699">
      <c r="A699" s="6" t="n"/>
      <c r="B699" s="113">
        <f>IF($D699="","","T"&amp;TEXT(ROW()-6,"00000"))</f>
        <v/>
      </c>
      <c r="C699" s="113">
        <f>IF($D699="","",IFERROR(INDEX(MUSTERILER!$B$7:$B$106,MATCH($R699,MUSTERILER!$T$7:$T$106,0)),IFERROR(INDEX(MUSTERILER!$B$7:$B$106,MATCH($D699,MUSTERILER!$B$7:$B$106,0)),IFERROR(INDEX(MUSTERILER!$B$7:$B$106,MATCH($R699&amp;"*",MUSTERILER!$T$7:$T$106,0)),"TANIMSIZ MÜŞTERİ"))))</f>
        <v/>
      </c>
      <c r="D699" s="109" t="n"/>
      <c r="E699" s="220" t="n"/>
      <c r="F699" s="221" t="n"/>
      <c r="G699" s="108" t="n"/>
      <c r="H699" s="108" t="n"/>
      <c r="I699" s="109" t="n"/>
      <c r="J699" s="109" t="n"/>
      <c r="K699" s="109" t="n"/>
      <c r="L699" s="226">
        <f>IF($E699="","",DATE(YEAR($E699),MONTH($E699),1))</f>
        <v/>
      </c>
      <c r="M699" s="113">
        <f>IF($D699="","",IF($C699="TANIMSIZ MÜŞTERİ","HATA",IF(OR($E699="",$F699&lt;=0,$G699=""),"EKSİK",IF($E699&gt;TODAY(),"İLERİ TARİH",IF(COUNTIF($S$7:$S$1506,$S699)&gt;1,"MÜKERRER?",IF($T699&gt;0,"KAPALI DÖNEM","UYGUN"))))))</f>
        <v/>
      </c>
      <c r="N699" s="121">
        <f>IF($C699="","",IF($C699="TANIMSIZ MÜŞTERİ","—",INDEX(MUSTERILER!$C$7:$C$106,MATCH($C699,MUSTERILER!$B$7:$B$106,0))))</f>
        <v/>
      </c>
      <c r="O699" s="6" t="n"/>
      <c r="P699" s="6" t="n"/>
      <c r="Q699" s="3">
        <f>IF($D699="","",$C699&amp;"|"&amp;COUNTIFS($C$7:$C699,$C699))</f>
        <v/>
      </c>
      <c r="R699" s="3">
        <f>IF($D699="","",UPPER(SUBSTITUTE(SUBSTITUTE(SUBSTITUTE(SUBSTITUTE(SUBSTITUTE(SUBSTITUTE(SUBSTITUTE(SUBSTITUTE(SUBSTITUTE(SUBSTITUTE(SUBSTITUTE(SUBSTITUTE(SUBSTITUTE(SUBSTITUTE(SUBSTITUTE(SUBSTITUTE(SUBSTITUTE(SUBSTITUTE(TRIM($D699),"'",""),"İ","I"),"ı","I"),"i","I"),"Ş","S"),"ş","S"),"Ğ","G"),"ğ","G"),"Ü","U"),"ü","U"),"Ö","O"),"ö","O"),"Ç","C"),"ç","C"),".",""),",","")," ",""),"-","")))</f>
        <v/>
      </c>
      <c r="S699" s="3">
        <f>IF($D699="","",$C699&amp;"|"&amp;TEXT($E699,"0")&amp;"|"&amp;TEXT($F699,"0")&amp;"|"&amp;$I699)</f>
        <v/>
      </c>
      <c r="T699" s="3">
        <f>IF($E699="",0,SUMPRODUCT((AY_SONU!$O$7:$O$42="Evet")*(AY_SONU!$B$7:$B$42=DATE(YEAR($E699),MONTH($E699),1))))</f>
        <v/>
      </c>
    </row>
    <row r="700">
      <c r="A700" s="6" t="n"/>
      <c r="B700" s="113">
        <f>IF($D700="","","T"&amp;TEXT(ROW()-6,"00000"))</f>
        <v/>
      </c>
      <c r="C700" s="113">
        <f>IF($D700="","",IFERROR(INDEX(MUSTERILER!$B$7:$B$106,MATCH($R700,MUSTERILER!$T$7:$T$106,0)),IFERROR(INDEX(MUSTERILER!$B$7:$B$106,MATCH($D700,MUSTERILER!$B$7:$B$106,0)),IFERROR(INDEX(MUSTERILER!$B$7:$B$106,MATCH($R700&amp;"*",MUSTERILER!$T$7:$T$106,0)),"TANIMSIZ MÜŞTERİ"))))</f>
        <v/>
      </c>
      <c r="D700" s="109" t="n"/>
      <c r="E700" s="220" t="n"/>
      <c r="F700" s="221" t="n"/>
      <c r="G700" s="108" t="n"/>
      <c r="H700" s="108" t="n"/>
      <c r="I700" s="109" t="n"/>
      <c r="J700" s="109" t="n"/>
      <c r="K700" s="109" t="n"/>
      <c r="L700" s="226">
        <f>IF($E700="","",DATE(YEAR($E700),MONTH($E700),1))</f>
        <v/>
      </c>
      <c r="M700" s="113">
        <f>IF($D700="","",IF($C700="TANIMSIZ MÜŞTERİ","HATA",IF(OR($E700="",$F700&lt;=0,$G700=""),"EKSİK",IF($E700&gt;TODAY(),"İLERİ TARİH",IF(COUNTIF($S$7:$S$1506,$S700)&gt;1,"MÜKERRER?",IF($T700&gt;0,"KAPALI DÖNEM","UYGUN"))))))</f>
        <v/>
      </c>
      <c r="N700" s="121">
        <f>IF($C700="","",IF($C700="TANIMSIZ MÜŞTERİ","—",INDEX(MUSTERILER!$C$7:$C$106,MATCH($C700,MUSTERILER!$B$7:$B$106,0))))</f>
        <v/>
      </c>
      <c r="O700" s="6" t="n"/>
      <c r="P700" s="6" t="n"/>
      <c r="Q700" s="3">
        <f>IF($D700="","",$C700&amp;"|"&amp;COUNTIFS($C$7:$C700,$C700))</f>
        <v/>
      </c>
      <c r="R700" s="3">
        <f>IF($D700="","",UPPER(SUBSTITUTE(SUBSTITUTE(SUBSTITUTE(SUBSTITUTE(SUBSTITUTE(SUBSTITUTE(SUBSTITUTE(SUBSTITUTE(SUBSTITUTE(SUBSTITUTE(SUBSTITUTE(SUBSTITUTE(SUBSTITUTE(SUBSTITUTE(SUBSTITUTE(SUBSTITUTE(SUBSTITUTE(SUBSTITUTE(TRIM($D700),"'",""),"İ","I"),"ı","I"),"i","I"),"Ş","S"),"ş","S"),"Ğ","G"),"ğ","G"),"Ü","U"),"ü","U"),"Ö","O"),"ö","O"),"Ç","C"),"ç","C"),".",""),",","")," ",""),"-","")))</f>
        <v/>
      </c>
      <c r="S700" s="3">
        <f>IF($D700="","",$C700&amp;"|"&amp;TEXT($E700,"0")&amp;"|"&amp;TEXT($F700,"0")&amp;"|"&amp;$I700)</f>
        <v/>
      </c>
      <c r="T700" s="3">
        <f>IF($E700="",0,SUMPRODUCT((AY_SONU!$O$7:$O$42="Evet")*(AY_SONU!$B$7:$B$42=DATE(YEAR($E700),MONTH($E700),1))))</f>
        <v/>
      </c>
    </row>
    <row r="701">
      <c r="A701" s="6" t="n"/>
      <c r="B701" s="113">
        <f>IF($D701="","","T"&amp;TEXT(ROW()-6,"00000"))</f>
        <v/>
      </c>
      <c r="C701" s="113">
        <f>IF($D701="","",IFERROR(INDEX(MUSTERILER!$B$7:$B$106,MATCH($R701,MUSTERILER!$T$7:$T$106,0)),IFERROR(INDEX(MUSTERILER!$B$7:$B$106,MATCH($D701,MUSTERILER!$B$7:$B$106,0)),IFERROR(INDEX(MUSTERILER!$B$7:$B$106,MATCH($R701&amp;"*",MUSTERILER!$T$7:$T$106,0)),"TANIMSIZ MÜŞTERİ"))))</f>
        <v/>
      </c>
      <c r="D701" s="109" t="n"/>
      <c r="E701" s="220" t="n"/>
      <c r="F701" s="221" t="n"/>
      <c r="G701" s="108" t="n"/>
      <c r="H701" s="108" t="n"/>
      <c r="I701" s="109" t="n"/>
      <c r="J701" s="109" t="n"/>
      <c r="K701" s="109" t="n"/>
      <c r="L701" s="226">
        <f>IF($E701="","",DATE(YEAR($E701),MONTH($E701),1))</f>
        <v/>
      </c>
      <c r="M701" s="113">
        <f>IF($D701="","",IF($C701="TANIMSIZ MÜŞTERİ","HATA",IF(OR($E701="",$F701&lt;=0,$G701=""),"EKSİK",IF($E701&gt;TODAY(),"İLERİ TARİH",IF(COUNTIF($S$7:$S$1506,$S701)&gt;1,"MÜKERRER?",IF($T701&gt;0,"KAPALI DÖNEM","UYGUN"))))))</f>
        <v/>
      </c>
      <c r="N701" s="121">
        <f>IF($C701="","",IF($C701="TANIMSIZ MÜŞTERİ","—",INDEX(MUSTERILER!$C$7:$C$106,MATCH($C701,MUSTERILER!$B$7:$B$106,0))))</f>
        <v/>
      </c>
      <c r="O701" s="6" t="n"/>
      <c r="P701" s="6" t="n"/>
      <c r="Q701" s="3">
        <f>IF($D701="","",$C701&amp;"|"&amp;COUNTIFS($C$7:$C701,$C701))</f>
        <v/>
      </c>
      <c r="R701" s="3">
        <f>IF($D701="","",UPPER(SUBSTITUTE(SUBSTITUTE(SUBSTITUTE(SUBSTITUTE(SUBSTITUTE(SUBSTITUTE(SUBSTITUTE(SUBSTITUTE(SUBSTITUTE(SUBSTITUTE(SUBSTITUTE(SUBSTITUTE(SUBSTITUTE(SUBSTITUTE(SUBSTITUTE(SUBSTITUTE(SUBSTITUTE(SUBSTITUTE(TRIM($D701),"'",""),"İ","I"),"ı","I"),"i","I"),"Ş","S"),"ş","S"),"Ğ","G"),"ğ","G"),"Ü","U"),"ü","U"),"Ö","O"),"ö","O"),"Ç","C"),"ç","C"),".",""),",","")," ",""),"-","")))</f>
        <v/>
      </c>
      <c r="S701" s="3">
        <f>IF($D701="","",$C701&amp;"|"&amp;TEXT($E701,"0")&amp;"|"&amp;TEXT($F701,"0")&amp;"|"&amp;$I701)</f>
        <v/>
      </c>
      <c r="T701" s="3">
        <f>IF($E701="",0,SUMPRODUCT((AY_SONU!$O$7:$O$42="Evet")*(AY_SONU!$B$7:$B$42=DATE(YEAR($E701),MONTH($E701),1))))</f>
        <v/>
      </c>
    </row>
    <row r="702">
      <c r="A702" s="6" t="n"/>
      <c r="B702" s="113">
        <f>IF($D702="","","T"&amp;TEXT(ROW()-6,"00000"))</f>
        <v/>
      </c>
      <c r="C702" s="113">
        <f>IF($D702="","",IFERROR(INDEX(MUSTERILER!$B$7:$B$106,MATCH($R702,MUSTERILER!$T$7:$T$106,0)),IFERROR(INDEX(MUSTERILER!$B$7:$B$106,MATCH($D702,MUSTERILER!$B$7:$B$106,0)),IFERROR(INDEX(MUSTERILER!$B$7:$B$106,MATCH($R702&amp;"*",MUSTERILER!$T$7:$T$106,0)),"TANIMSIZ MÜŞTERİ"))))</f>
        <v/>
      </c>
      <c r="D702" s="109" t="n"/>
      <c r="E702" s="220" t="n"/>
      <c r="F702" s="221" t="n"/>
      <c r="G702" s="108" t="n"/>
      <c r="H702" s="108" t="n"/>
      <c r="I702" s="109" t="n"/>
      <c r="J702" s="109" t="n"/>
      <c r="K702" s="109" t="n"/>
      <c r="L702" s="226">
        <f>IF($E702="","",DATE(YEAR($E702),MONTH($E702),1))</f>
        <v/>
      </c>
      <c r="M702" s="113">
        <f>IF($D702="","",IF($C702="TANIMSIZ MÜŞTERİ","HATA",IF(OR($E702="",$F702&lt;=0,$G702=""),"EKSİK",IF($E702&gt;TODAY(),"İLERİ TARİH",IF(COUNTIF($S$7:$S$1506,$S702)&gt;1,"MÜKERRER?",IF($T702&gt;0,"KAPALI DÖNEM","UYGUN"))))))</f>
        <v/>
      </c>
      <c r="N702" s="121">
        <f>IF($C702="","",IF($C702="TANIMSIZ MÜŞTERİ","—",INDEX(MUSTERILER!$C$7:$C$106,MATCH($C702,MUSTERILER!$B$7:$B$106,0))))</f>
        <v/>
      </c>
      <c r="O702" s="6" t="n"/>
      <c r="P702" s="6" t="n"/>
      <c r="Q702" s="3">
        <f>IF($D702="","",$C702&amp;"|"&amp;COUNTIFS($C$7:$C702,$C702))</f>
        <v/>
      </c>
      <c r="R702" s="3">
        <f>IF($D702="","",UPPER(SUBSTITUTE(SUBSTITUTE(SUBSTITUTE(SUBSTITUTE(SUBSTITUTE(SUBSTITUTE(SUBSTITUTE(SUBSTITUTE(SUBSTITUTE(SUBSTITUTE(SUBSTITUTE(SUBSTITUTE(SUBSTITUTE(SUBSTITUTE(SUBSTITUTE(SUBSTITUTE(SUBSTITUTE(SUBSTITUTE(TRIM($D702),"'",""),"İ","I"),"ı","I"),"i","I"),"Ş","S"),"ş","S"),"Ğ","G"),"ğ","G"),"Ü","U"),"ü","U"),"Ö","O"),"ö","O"),"Ç","C"),"ç","C"),".",""),",","")," ",""),"-","")))</f>
        <v/>
      </c>
      <c r="S702" s="3">
        <f>IF($D702="","",$C702&amp;"|"&amp;TEXT($E702,"0")&amp;"|"&amp;TEXT($F702,"0")&amp;"|"&amp;$I702)</f>
        <v/>
      </c>
      <c r="T702" s="3">
        <f>IF($E702="",0,SUMPRODUCT((AY_SONU!$O$7:$O$42="Evet")*(AY_SONU!$B$7:$B$42=DATE(YEAR($E702),MONTH($E702),1))))</f>
        <v/>
      </c>
    </row>
    <row r="703">
      <c r="A703" s="6" t="n"/>
      <c r="B703" s="113">
        <f>IF($D703="","","T"&amp;TEXT(ROW()-6,"00000"))</f>
        <v/>
      </c>
      <c r="C703" s="113">
        <f>IF($D703="","",IFERROR(INDEX(MUSTERILER!$B$7:$B$106,MATCH($R703,MUSTERILER!$T$7:$T$106,0)),IFERROR(INDEX(MUSTERILER!$B$7:$B$106,MATCH($D703,MUSTERILER!$B$7:$B$106,0)),IFERROR(INDEX(MUSTERILER!$B$7:$B$106,MATCH($R703&amp;"*",MUSTERILER!$T$7:$T$106,0)),"TANIMSIZ MÜŞTERİ"))))</f>
        <v/>
      </c>
      <c r="D703" s="109" t="n"/>
      <c r="E703" s="220" t="n"/>
      <c r="F703" s="221" t="n"/>
      <c r="G703" s="108" t="n"/>
      <c r="H703" s="108" t="n"/>
      <c r="I703" s="109" t="n"/>
      <c r="J703" s="109" t="n"/>
      <c r="K703" s="109" t="n"/>
      <c r="L703" s="226">
        <f>IF($E703="","",DATE(YEAR($E703),MONTH($E703),1))</f>
        <v/>
      </c>
      <c r="M703" s="113">
        <f>IF($D703="","",IF($C703="TANIMSIZ MÜŞTERİ","HATA",IF(OR($E703="",$F703&lt;=0,$G703=""),"EKSİK",IF($E703&gt;TODAY(),"İLERİ TARİH",IF(COUNTIF($S$7:$S$1506,$S703)&gt;1,"MÜKERRER?",IF($T703&gt;0,"KAPALI DÖNEM","UYGUN"))))))</f>
        <v/>
      </c>
      <c r="N703" s="121">
        <f>IF($C703="","",IF($C703="TANIMSIZ MÜŞTERİ","—",INDEX(MUSTERILER!$C$7:$C$106,MATCH($C703,MUSTERILER!$B$7:$B$106,0))))</f>
        <v/>
      </c>
      <c r="O703" s="6" t="n"/>
      <c r="P703" s="6" t="n"/>
      <c r="Q703" s="3">
        <f>IF($D703="","",$C703&amp;"|"&amp;COUNTIFS($C$7:$C703,$C703))</f>
        <v/>
      </c>
      <c r="R703" s="3">
        <f>IF($D703="","",UPPER(SUBSTITUTE(SUBSTITUTE(SUBSTITUTE(SUBSTITUTE(SUBSTITUTE(SUBSTITUTE(SUBSTITUTE(SUBSTITUTE(SUBSTITUTE(SUBSTITUTE(SUBSTITUTE(SUBSTITUTE(SUBSTITUTE(SUBSTITUTE(SUBSTITUTE(SUBSTITUTE(SUBSTITUTE(SUBSTITUTE(TRIM($D703),"'",""),"İ","I"),"ı","I"),"i","I"),"Ş","S"),"ş","S"),"Ğ","G"),"ğ","G"),"Ü","U"),"ü","U"),"Ö","O"),"ö","O"),"Ç","C"),"ç","C"),".",""),",","")," ",""),"-","")))</f>
        <v/>
      </c>
      <c r="S703" s="3">
        <f>IF($D703="","",$C703&amp;"|"&amp;TEXT($E703,"0")&amp;"|"&amp;TEXT($F703,"0")&amp;"|"&amp;$I703)</f>
        <v/>
      </c>
      <c r="T703" s="3">
        <f>IF($E703="",0,SUMPRODUCT((AY_SONU!$O$7:$O$42="Evet")*(AY_SONU!$B$7:$B$42=DATE(YEAR($E703),MONTH($E703),1))))</f>
        <v/>
      </c>
    </row>
    <row r="704">
      <c r="A704" s="6" t="n"/>
      <c r="B704" s="113">
        <f>IF($D704="","","T"&amp;TEXT(ROW()-6,"00000"))</f>
        <v/>
      </c>
      <c r="C704" s="113">
        <f>IF($D704="","",IFERROR(INDEX(MUSTERILER!$B$7:$B$106,MATCH($R704,MUSTERILER!$T$7:$T$106,0)),IFERROR(INDEX(MUSTERILER!$B$7:$B$106,MATCH($D704,MUSTERILER!$B$7:$B$106,0)),IFERROR(INDEX(MUSTERILER!$B$7:$B$106,MATCH($R704&amp;"*",MUSTERILER!$T$7:$T$106,0)),"TANIMSIZ MÜŞTERİ"))))</f>
        <v/>
      </c>
      <c r="D704" s="109" t="n"/>
      <c r="E704" s="220" t="n"/>
      <c r="F704" s="221" t="n"/>
      <c r="G704" s="108" t="n"/>
      <c r="H704" s="108" t="n"/>
      <c r="I704" s="109" t="n"/>
      <c r="J704" s="109" t="n"/>
      <c r="K704" s="109" t="n"/>
      <c r="L704" s="226">
        <f>IF($E704="","",DATE(YEAR($E704),MONTH($E704),1))</f>
        <v/>
      </c>
      <c r="M704" s="113">
        <f>IF($D704="","",IF($C704="TANIMSIZ MÜŞTERİ","HATA",IF(OR($E704="",$F704&lt;=0,$G704=""),"EKSİK",IF($E704&gt;TODAY(),"İLERİ TARİH",IF(COUNTIF($S$7:$S$1506,$S704)&gt;1,"MÜKERRER?",IF($T704&gt;0,"KAPALI DÖNEM","UYGUN"))))))</f>
        <v/>
      </c>
      <c r="N704" s="121">
        <f>IF($C704="","",IF($C704="TANIMSIZ MÜŞTERİ","—",INDEX(MUSTERILER!$C$7:$C$106,MATCH($C704,MUSTERILER!$B$7:$B$106,0))))</f>
        <v/>
      </c>
      <c r="O704" s="6" t="n"/>
      <c r="P704" s="6" t="n"/>
      <c r="Q704" s="3">
        <f>IF($D704="","",$C704&amp;"|"&amp;COUNTIFS($C$7:$C704,$C704))</f>
        <v/>
      </c>
      <c r="R704" s="3">
        <f>IF($D704="","",UPPER(SUBSTITUTE(SUBSTITUTE(SUBSTITUTE(SUBSTITUTE(SUBSTITUTE(SUBSTITUTE(SUBSTITUTE(SUBSTITUTE(SUBSTITUTE(SUBSTITUTE(SUBSTITUTE(SUBSTITUTE(SUBSTITUTE(SUBSTITUTE(SUBSTITUTE(SUBSTITUTE(SUBSTITUTE(SUBSTITUTE(TRIM($D704),"'",""),"İ","I"),"ı","I"),"i","I"),"Ş","S"),"ş","S"),"Ğ","G"),"ğ","G"),"Ü","U"),"ü","U"),"Ö","O"),"ö","O"),"Ç","C"),"ç","C"),".",""),",","")," ",""),"-","")))</f>
        <v/>
      </c>
      <c r="S704" s="3">
        <f>IF($D704="","",$C704&amp;"|"&amp;TEXT($E704,"0")&amp;"|"&amp;TEXT($F704,"0")&amp;"|"&amp;$I704)</f>
        <v/>
      </c>
      <c r="T704" s="3">
        <f>IF($E704="",0,SUMPRODUCT((AY_SONU!$O$7:$O$42="Evet")*(AY_SONU!$B$7:$B$42=DATE(YEAR($E704),MONTH($E704),1))))</f>
        <v/>
      </c>
    </row>
    <row r="705">
      <c r="A705" s="6" t="n"/>
      <c r="B705" s="113">
        <f>IF($D705="","","T"&amp;TEXT(ROW()-6,"00000"))</f>
        <v/>
      </c>
      <c r="C705" s="113">
        <f>IF($D705="","",IFERROR(INDEX(MUSTERILER!$B$7:$B$106,MATCH($R705,MUSTERILER!$T$7:$T$106,0)),IFERROR(INDEX(MUSTERILER!$B$7:$B$106,MATCH($D705,MUSTERILER!$B$7:$B$106,0)),IFERROR(INDEX(MUSTERILER!$B$7:$B$106,MATCH($R705&amp;"*",MUSTERILER!$T$7:$T$106,0)),"TANIMSIZ MÜŞTERİ"))))</f>
        <v/>
      </c>
      <c r="D705" s="109" t="n"/>
      <c r="E705" s="220" t="n"/>
      <c r="F705" s="221" t="n"/>
      <c r="G705" s="108" t="n"/>
      <c r="H705" s="108" t="n"/>
      <c r="I705" s="109" t="n"/>
      <c r="J705" s="109" t="n"/>
      <c r="K705" s="109" t="n"/>
      <c r="L705" s="226">
        <f>IF($E705="","",DATE(YEAR($E705),MONTH($E705),1))</f>
        <v/>
      </c>
      <c r="M705" s="113">
        <f>IF($D705="","",IF($C705="TANIMSIZ MÜŞTERİ","HATA",IF(OR($E705="",$F705&lt;=0,$G705=""),"EKSİK",IF($E705&gt;TODAY(),"İLERİ TARİH",IF(COUNTIF($S$7:$S$1506,$S705)&gt;1,"MÜKERRER?",IF($T705&gt;0,"KAPALI DÖNEM","UYGUN"))))))</f>
        <v/>
      </c>
      <c r="N705" s="121">
        <f>IF($C705="","",IF($C705="TANIMSIZ MÜŞTERİ","—",INDEX(MUSTERILER!$C$7:$C$106,MATCH($C705,MUSTERILER!$B$7:$B$106,0))))</f>
        <v/>
      </c>
      <c r="O705" s="6" t="n"/>
      <c r="P705" s="6" t="n"/>
      <c r="Q705" s="3">
        <f>IF($D705="","",$C705&amp;"|"&amp;COUNTIFS($C$7:$C705,$C705))</f>
        <v/>
      </c>
      <c r="R705" s="3">
        <f>IF($D705="","",UPPER(SUBSTITUTE(SUBSTITUTE(SUBSTITUTE(SUBSTITUTE(SUBSTITUTE(SUBSTITUTE(SUBSTITUTE(SUBSTITUTE(SUBSTITUTE(SUBSTITUTE(SUBSTITUTE(SUBSTITUTE(SUBSTITUTE(SUBSTITUTE(SUBSTITUTE(SUBSTITUTE(SUBSTITUTE(SUBSTITUTE(TRIM($D705),"'",""),"İ","I"),"ı","I"),"i","I"),"Ş","S"),"ş","S"),"Ğ","G"),"ğ","G"),"Ü","U"),"ü","U"),"Ö","O"),"ö","O"),"Ç","C"),"ç","C"),".",""),",","")," ",""),"-","")))</f>
        <v/>
      </c>
      <c r="S705" s="3">
        <f>IF($D705="","",$C705&amp;"|"&amp;TEXT($E705,"0")&amp;"|"&amp;TEXT($F705,"0")&amp;"|"&amp;$I705)</f>
        <v/>
      </c>
      <c r="T705" s="3">
        <f>IF($E705="",0,SUMPRODUCT((AY_SONU!$O$7:$O$42="Evet")*(AY_SONU!$B$7:$B$42=DATE(YEAR($E705),MONTH($E705),1))))</f>
        <v/>
      </c>
    </row>
    <row r="706">
      <c r="A706" s="6" t="n"/>
      <c r="B706" s="113">
        <f>IF($D706="","","T"&amp;TEXT(ROW()-6,"00000"))</f>
        <v/>
      </c>
      <c r="C706" s="113">
        <f>IF($D706="","",IFERROR(INDEX(MUSTERILER!$B$7:$B$106,MATCH($R706,MUSTERILER!$T$7:$T$106,0)),IFERROR(INDEX(MUSTERILER!$B$7:$B$106,MATCH($D706,MUSTERILER!$B$7:$B$106,0)),IFERROR(INDEX(MUSTERILER!$B$7:$B$106,MATCH($R706&amp;"*",MUSTERILER!$T$7:$T$106,0)),"TANIMSIZ MÜŞTERİ"))))</f>
        <v/>
      </c>
      <c r="D706" s="109" t="n"/>
      <c r="E706" s="220" t="n"/>
      <c r="F706" s="221" t="n"/>
      <c r="G706" s="108" t="n"/>
      <c r="H706" s="108" t="n"/>
      <c r="I706" s="109" t="n"/>
      <c r="J706" s="109" t="n"/>
      <c r="K706" s="109" t="n"/>
      <c r="L706" s="226">
        <f>IF($E706="","",DATE(YEAR($E706),MONTH($E706),1))</f>
        <v/>
      </c>
      <c r="M706" s="113">
        <f>IF($D706="","",IF($C706="TANIMSIZ MÜŞTERİ","HATA",IF(OR($E706="",$F706&lt;=0,$G706=""),"EKSİK",IF($E706&gt;TODAY(),"İLERİ TARİH",IF(COUNTIF($S$7:$S$1506,$S706)&gt;1,"MÜKERRER?",IF($T706&gt;0,"KAPALI DÖNEM","UYGUN"))))))</f>
        <v/>
      </c>
      <c r="N706" s="121">
        <f>IF($C706="","",IF($C706="TANIMSIZ MÜŞTERİ","—",INDEX(MUSTERILER!$C$7:$C$106,MATCH($C706,MUSTERILER!$B$7:$B$106,0))))</f>
        <v/>
      </c>
      <c r="O706" s="6" t="n"/>
      <c r="P706" s="6" t="n"/>
      <c r="Q706" s="3">
        <f>IF($D706="","",$C706&amp;"|"&amp;COUNTIFS($C$7:$C706,$C706))</f>
        <v/>
      </c>
      <c r="R706" s="3">
        <f>IF($D706="","",UPPER(SUBSTITUTE(SUBSTITUTE(SUBSTITUTE(SUBSTITUTE(SUBSTITUTE(SUBSTITUTE(SUBSTITUTE(SUBSTITUTE(SUBSTITUTE(SUBSTITUTE(SUBSTITUTE(SUBSTITUTE(SUBSTITUTE(SUBSTITUTE(SUBSTITUTE(SUBSTITUTE(SUBSTITUTE(SUBSTITUTE(TRIM($D706),"'",""),"İ","I"),"ı","I"),"i","I"),"Ş","S"),"ş","S"),"Ğ","G"),"ğ","G"),"Ü","U"),"ü","U"),"Ö","O"),"ö","O"),"Ç","C"),"ç","C"),".",""),",","")," ",""),"-","")))</f>
        <v/>
      </c>
      <c r="S706" s="3">
        <f>IF($D706="","",$C706&amp;"|"&amp;TEXT($E706,"0")&amp;"|"&amp;TEXT($F706,"0")&amp;"|"&amp;$I706)</f>
        <v/>
      </c>
      <c r="T706" s="3">
        <f>IF($E706="",0,SUMPRODUCT((AY_SONU!$O$7:$O$42="Evet")*(AY_SONU!$B$7:$B$42=DATE(YEAR($E706),MONTH($E706),1))))</f>
        <v/>
      </c>
    </row>
    <row r="707">
      <c r="A707" s="6" t="n"/>
      <c r="B707" s="113">
        <f>IF($D707="","","T"&amp;TEXT(ROW()-6,"00000"))</f>
        <v/>
      </c>
      <c r="C707" s="113">
        <f>IF($D707="","",IFERROR(INDEX(MUSTERILER!$B$7:$B$106,MATCH($R707,MUSTERILER!$T$7:$T$106,0)),IFERROR(INDEX(MUSTERILER!$B$7:$B$106,MATCH($D707,MUSTERILER!$B$7:$B$106,0)),IFERROR(INDEX(MUSTERILER!$B$7:$B$106,MATCH($R707&amp;"*",MUSTERILER!$T$7:$T$106,0)),"TANIMSIZ MÜŞTERİ"))))</f>
        <v/>
      </c>
      <c r="D707" s="109" t="n"/>
      <c r="E707" s="220" t="n"/>
      <c r="F707" s="221" t="n"/>
      <c r="G707" s="108" t="n"/>
      <c r="H707" s="108" t="n"/>
      <c r="I707" s="109" t="n"/>
      <c r="J707" s="109" t="n"/>
      <c r="K707" s="109" t="n"/>
      <c r="L707" s="226">
        <f>IF($E707="","",DATE(YEAR($E707),MONTH($E707),1))</f>
        <v/>
      </c>
      <c r="M707" s="113">
        <f>IF($D707="","",IF($C707="TANIMSIZ MÜŞTERİ","HATA",IF(OR($E707="",$F707&lt;=0,$G707=""),"EKSİK",IF($E707&gt;TODAY(),"İLERİ TARİH",IF(COUNTIF($S$7:$S$1506,$S707)&gt;1,"MÜKERRER?",IF($T707&gt;0,"KAPALI DÖNEM","UYGUN"))))))</f>
        <v/>
      </c>
      <c r="N707" s="121">
        <f>IF($C707="","",IF($C707="TANIMSIZ MÜŞTERİ","—",INDEX(MUSTERILER!$C$7:$C$106,MATCH($C707,MUSTERILER!$B$7:$B$106,0))))</f>
        <v/>
      </c>
      <c r="O707" s="6" t="n"/>
      <c r="P707" s="6" t="n"/>
      <c r="Q707" s="3">
        <f>IF($D707="","",$C707&amp;"|"&amp;COUNTIFS($C$7:$C707,$C707))</f>
        <v/>
      </c>
      <c r="R707" s="3">
        <f>IF($D707="","",UPPER(SUBSTITUTE(SUBSTITUTE(SUBSTITUTE(SUBSTITUTE(SUBSTITUTE(SUBSTITUTE(SUBSTITUTE(SUBSTITUTE(SUBSTITUTE(SUBSTITUTE(SUBSTITUTE(SUBSTITUTE(SUBSTITUTE(SUBSTITUTE(SUBSTITUTE(SUBSTITUTE(SUBSTITUTE(SUBSTITUTE(TRIM($D707),"'",""),"İ","I"),"ı","I"),"i","I"),"Ş","S"),"ş","S"),"Ğ","G"),"ğ","G"),"Ü","U"),"ü","U"),"Ö","O"),"ö","O"),"Ç","C"),"ç","C"),".",""),",","")," ",""),"-","")))</f>
        <v/>
      </c>
      <c r="S707" s="3">
        <f>IF($D707="","",$C707&amp;"|"&amp;TEXT($E707,"0")&amp;"|"&amp;TEXT($F707,"0")&amp;"|"&amp;$I707)</f>
        <v/>
      </c>
      <c r="T707" s="3">
        <f>IF($E707="",0,SUMPRODUCT((AY_SONU!$O$7:$O$42="Evet")*(AY_SONU!$B$7:$B$42=DATE(YEAR($E707),MONTH($E707),1))))</f>
        <v/>
      </c>
    </row>
    <row r="708">
      <c r="A708" s="6" t="n"/>
      <c r="B708" s="113">
        <f>IF($D708="","","T"&amp;TEXT(ROW()-6,"00000"))</f>
        <v/>
      </c>
      <c r="C708" s="113">
        <f>IF($D708="","",IFERROR(INDEX(MUSTERILER!$B$7:$B$106,MATCH($R708,MUSTERILER!$T$7:$T$106,0)),IFERROR(INDEX(MUSTERILER!$B$7:$B$106,MATCH($D708,MUSTERILER!$B$7:$B$106,0)),IFERROR(INDEX(MUSTERILER!$B$7:$B$106,MATCH($R708&amp;"*",MUSTERILER!$T$7:$T$106,0)),"TANIMSIZ MÜŞTERİ"))))</f>
        <v/>
      </c>
      <c r="D708" s="109" t="n"/>
      <c r="E708" s="220" t="n"/>
      <c r="F708" s="221" t="n"/>
      <c r="G708" s="108" t="n"/>
      <c r="H708" s="108" t="n"/>
      <c r="I708" s="109" t="n"/>
      <c r="J708" s="109" t="n"/>
      <c r="K708" s="109" t="n"/>
      <c r="L708" s="226">
        <f>IF($E708="","",DATE(YEAR($E708),MONTH($E708),1))</f>
        <v/>
      </c>
      <c r="M708" s="113">
        <f>IF($D708="","",IF($C708="TANIMSIZ MÜŞTERİ","HATA",IF(OR($E708="",$F708&lt;=0,$G708=""),"EKSİK",IF($E708&gt;TODAY(),"İLERİ TARİH",IF(COUNTIF($S$7:$S$1506,$S708)&gt;1,"MÜKERRER?",IF($T708&gt;0,"KAPALI DÖNEM","UYGUN"))))))</f>
        <v/>
      </c>
      <c r="N708" s="121">
        <f>IF($C708="","",IF($C708="TANIMSIZ MÜŞTERİ","—",INDEX(MUSTERILER!$C$7:$C$106,MATCH($C708,MUSTERILER!$B$7:$B$106,0))))</f>
        <v/>
      </c>
      <c r="O708" s="6" t="n"/>
      <c r="P708" s="6" t="n"/>
      <c r="Q708" s="3">
        <f>IF($D708="","",$C708&amp;"|"&amp;COUNTIFS($C$7:$C708,$C708))</f>
        <v/>
      </c>
      <c r="R708" s="3">
        <f>IF($D708="","",UPPER(SUBSTITUTE(SUBSTITUTE(SUBSTITUTE(SUBSTITUTE(SUBSTITUTE(SUBSTITUTE(SUBSTITUTE(SUBSTITUTE(SUBSTITUTE(SUBSTITUTE(SUBSTITUTE(SUBSTITUTE(SUBSTITUTE(SUBSTITUTE(SUBSTITUTE(SUBSTITUTE(SUBSTITUTE(SUBSTITUTE(TRIM($D708),"'",""),"İ","I"),"ı","I"),"i","I"),"Ş","S"),"ş","S"),"Ğ","G"),"ğ","G"),"Ü","U"),"ü","U"),"Ö","O"),"ö","O"),"Ç","C"),"ç","C"),".",""),",","")," ",""),"-","")))</f>
        <v/>
      </c>
      <c r="S708" s="3">
        <f>IF($D708="","",$C708&amp;"|"&amp;TEXT($E708,"0")&amp;"|"&amp;TEXT($F708,"0")&amp;"|"&amp;$I708)</f>
        <v/>
      </c>
      <c r="T708" s="3">
        <f>IF($E708="",0,SUMPRODUCT((AY_SONU!$O$7:$O$42="Evet")*(AY_SONU!$B$7:$B$42=DATE(YEAR($E708),MONTH($E708),1))))</f>
        <v/>
      </c>
    </row>
    <row r="709">
      <c r="A709" s="6" t="n"/>
      <c r="B709" s="113">
        <f>IF($D709="","","T"&amp;TEXT(ROW()-6,"00000"))</f>
        <v/>
      </c>
      <c r="C709" s="113">
        <f>IF($D709="","",IFERROR(INDEX(MUSTERILER!$B$7:$B$106,MATCH($R709,MUSTERILER!$T$7:$T$106,0)),IFERROR(INDEX(MUSTERILER!$B$7:$B$106,MATCH($D709,MUSTERILER!$B$7:$B$106,0)),IFERROR(INDEX(MUSTERILER!$B$7:$B$106,MATCH($R709&amp;"*",MUSTERILER!$T$7:$T$106,0)),"TANIMSIZ MÜŞTERİ"))))</f>
        <v/>
      </c>
      <c r="D709" s="109" t="n"/>
      <c r="E709" s="220" t="n"/>
      <c r="F709" s="221" t="n"/>
      <c r="G709" s="108" t="n"/>
      <c r="H709" s="108" t="n"/>
      <c r="I709" s="109" t="n"/>
      <c r="J709" s="109" t="n"/>
      <c r="K709" s="109" t="n"/>
      <c r="L709" s="226">
        <f>IF($E709="","",DATE(YEAR($E709),MONTH($E709),1))</f>
        <v/>
      </c>
      <c r="M709" s="113">
        <f>IF($D709="","",IF($C709="TANIMSIZ MÜŞTERİ","HATA",IF(OR($E709="",$F709&lt;=0,$G709=""),"EKSİK",IF($E709&gt;TODAY(),"İLERİ TARİH",IF(COUNTIF($S$7:$S$1506,$S709)&gt;1,"MÜKERRER?",IF($T709&gt;0,"KAPALI DÖNEM","UYGUN"))))))</f>
        <v/>
      </c>
      <c r="N709" s="121">
        <f>IF($C709="","",IF($C709="TANIMSIZ MÜŞTERİ","—",INDEX(MUSTERILER!$C$7:$C$106,MATCH($C709,MUSTERILER!$B$7:$B$106,0))))</f>
        <v/>
      </c>
      <c r="O709" s="6" t="n"/>
      <c r="P709" s="6" t="n"/>
      <c r="Q709" s="3">
        <f>IF($D709="","",$C709&amp;"|"&amp;COUNTIFS($C$7:$C709,$C709))</f>
        <v/>
      </c>
      <c r="R709" s="3">
        <f>IF($D709="","",UPPER(SUBSTITUTE(SUBSTITUTE(SUBSTITUTE(SUBSTITUTE(SUBSTITUTE(SUBSTITUTE(SUBSTITUTE(SUBSTITUTE(SUBSTITUTE(SUBSTITUTE(SUBSTITUTE(SUBSTITUTE(SUBSTITUTE(SUBSTITUTE(SUBSTITUTE(SUBSTITUTE(SUBSTITUTE(SUBSTITUTE(TRIM($D709),"'",""),"İ","I"),"ı","I"),"i","I"),"Ş","S"),"ş","S"),"Ğ","G"),"ğ","G"),"Ü","U"),"ü","U"),"Ö","O"),"ö","O"),"Ç","C"),"ç","C"),".",""),",","")," ",""),"-","")))</f>
        <v/>
      </c>
      <c r="S709" s="3">
        <f>IF($D709="","",$C709&amp;"|"&amp;TEXT($E709,"0")&amp;"|"&amp;TEXT($F709,"0")&amp;"|"&amp;$I709)</f>
        <v/>
      </c>
      <c r="T709" s="3">
        <f>IF($E709="",0,SUMPRODUCT((AY_SONU!$O$7:$O$42="Evet")*(AY_SONU!$B$7:$B$42=DATE(YEAR($E709),MONTH($E709),1))))</f>
        <v/>
      </c>
    </row>
    <row r="710">
      <c r="A710" s="6" t="n"/>
      <c r="B710" s="113">
        <f>IF($D710="","","T"&amp;TEXT(ROW()-6,"00000"))</f>
        <v/>
      </c>
      <c r="C710" s="113">
        <f>IF($D710="","",IFERROR(INDEX(MUSTERILER!$B$7:$B$106,MATCH($R710,MUSTERILER!$T$7:$T$106,0)),IFERROR(INDEX(MUSTERILER!$B$7:$B$106,MATCH($D710,MUSTERILER!$B$7:$B$106,0)),IFERROR(INDEX(MUSTERILER!$B$7:$B$106,MATCH($R710&amp;"*",MUSTERILER!$T$7:$T$106,0)),"TANIMSIZ MÜŞTERİ"))))</f>
        <v/>
      </c>
      <c r="D710" s="109" t="n"/>
      <c r="E710" s="220" t="n"/>
      <c r="F710" s="221" t="n"/>
      <c r="G710" s="108" t="n"/>
      <c r="H710" s="108" t="n"/>
      <c r="I710" s="109" t="n"/>
      <c r="J710" s="109" t="n"/>
      <c r="K710" s="109" t="n"/>
      <c r="L710" s="226">
        <f>IF($E710="","",DATE(YEAR($E710),MONTH($E710),1))</f>
        <v/>
      </c>
      <c r="M710" s="113">
        <f>IF($D710="","",IF($C710="TANIMSIZ MÜŞTERİ","HATA",IF(OR($E710="",$F710&lt;=0,$G710=""),"EKSİK",IF($E710&gt;TODAY(),"İLERİ TARİH",IF(COUNTIF($S$7:$S$1506,$S710)&gt;1,"MÜKERRER?",IF($T710&gt;0,"KAPALI DÖNEM","UYGUN"))))))</f>
        <v/>
      </c>
      <c r="N710" s="121">
        <f>IF($C710="","",IF($C710="TANIMSIZ MÜŞTERİ","—",INDEX(MUSTERILER!$C$7:$C$106,MATCH($C710,MUSTERILER!$B$7:$B$106,0))))</f>
        <v/>
      </c>
      <c r="O710" s="6" t="n"/>
      <c r="P710" s="6" t="n"/>
      <c r="Q710" s="3">
        <f>IF($D710="","",$C710&amp;"|"&amp;COUNTIFS($C$7:$C710,$C710))</f>
        <v/>
      </c>
      <c r="R710" s="3">
        <f>IF($D710="","",UPPER(SUBSTITUTE(SUBSTITUTE(SUBSTITUTE(SUBSTITUTE(SUBSTITUTE(SUBSTITUTE(SUBSTITUTE(SUBSTITUTE(SUBSTITUTE(SUBSTITUTE(SUBSTITUTE(SUBSTITUTE(SUBSTITUTE(SUBSTITUTE(SUBSTITUTE(SUBSTITUTE(SUBSTITUTE(SUBSTITUTE(TRIM($D710),"'",""),"İ","I"),"ı","I"),"i","I"),"Ş","S"),"ş","S"),"Ğ","G"),"ğ","G"),"Ü","U"),"ü","U"),"Ö","O"),"ö","O"),"Ç","C"),"ç","C"),".",""),",","")," ",""),"-","")))</f>
        <v/>
      </c>
      <c r="S710" s="3">
        <f>IF($D710="","",$C710&amp;"|"&amp;TEXT($E710,"0")&amp;"|"&amp;TEXT($F710,"0")&amp;"|"&amp;$I710)</f>
        <v/>
      </c>
      <c r="T710" s="3">
        <f>IF($E710="",0,SUMPRODUCT((AY_SONU!$O$7:$O$42="Evet")*(AY_SONU!$B$7:$B$42=DATE(YEAR($E710),MONTH($E710),1))))</f>
        <v/>
      </c>
    </row>
    <row r="711">
      <c r="A711" s="6" t="n"/>
      <c r="B711" s="113">
        <f>IF($D711="","","T"&amp;TEXT(ROW()-6,"00000"))</f>
        <v/>
      </c>
      <c r="C711" s="113">
        <f>IF($D711="","",IFERROR(INDEX(MUSTERILER!$B$7:$B$106,MATCH($R711,MUSTERILER!$T$7:$T$106,0)),IFERROR(INDEX(MUSTERILER!$B$7:$B$106,MATCH($D711,MUSTERILER!$B$7:$B$106,0)),IFERROR(INDEX(MUSTERILER!$B$7:$B$106,MATCH($R711&amp;"*",MUSTERILER!$T$7:$T$106,0)),"TANIMSIZ MÜŞTERİ"))))</f>
        <v/>
      </c>
      <c r="D711" s="109" t="n"/>
      <c r="E711" s="220" t="n"/>
      <c r="F711" s="221" t="n"/>
      <c r="G711" s="108" t="n"/>
      <c r="H711" s="108" t="n"/>
      <c r="I711" s="109" t="n"/>
      <c r="J711" s="109" t="n"/>
      <c r="K711" s="109" t="n"/>
      <c r="L711" s="226">
        <f>IF($E711="","",DATE(YEAR($E711),MONTH($E711),1))</f>
        <v/>
      </c>
      <c r="M711" s="113">
        <f>IF($D711="","",IF($C711="TANIMSIZ MÜŞTERİ","HATA",IF(OR($E711="",$F711&lt;=0,$G711=""),"EKSİK",IF($E711&gt;TODAY(),"İLERİ TARİH",IF(COUNTIF($S$7:$S$1506,$S711)&gt;1,"MÜKERRER?",IF($T711&gt;0,"KAPALI DÖNEM","UYGUN"))))))</f>
        <v/>
      </c>
      <c r="N711" s="121">
        <f>IF($C711="","",IF($C711="TANIMSIZ MÜŞTERİ","—",INDEX(MUSTERILER!$C$7:$C$106,MATCH($C711,MUSTERILER!$B$7:$B$106,0))))</f>
        <v/>
      </c>
      <c r="O711" s="6" t="n"/>
      <c r="P711" s="6" t="n"/>
      <c r="Q711" s="3">
        <f>IF($D711="","",$C711&amp;"|"&amp;COUNTIFS($C$7:$C711,$C711))</f>
        <v/>
      </c>
      <c r="R711" s="3">
        <f>IF($D711="","",UPPER(SUBSTITUTE(SUBSTITUTE(SUBSTITUTE(SUBSTITUTE(SUBSTITUTE(SUBSTITUTE(SUBSTITUTE(SUBSTITUTE(SUBSTITUTE(SUBSTITUTE(SUBSTITUTE(SUBSTITUTE(SUBSTITUTE(SUBSTITUTE(SUBSTITUTE(SUBSTITUTE(SUBSTITUTE(SUBSTITUTE(TRIM($D711),"'",""),"İ","I"),"ı","I"),"i","I"),"Ş","S"),"ş","S"),"Ğ","G"),"ğ","G"),"Ü","U"),"ü","U"),"Ö","O"),"ö","O"),"Ç","C"),"ç","C"),".",""),",","")," ",""),"-","")))</f>
        <v/>
      </c>
      <c r="S711" s="3">
        <f>IF($D711="","",$C711&amp;"|"&amp;TEXT($E711,"0")&amp;"|"&amp;TEXT($F711,"0")&amp;"|"&amp;$I711)</f>
        <v/>
      </c>
      <c r="T711" s="3">
        <f>IF($E711="",0,SUMPRODUCT((AY_SONU!$O$7:$O$42="Evet")*(AY_SONU!$B$7:$B$42=DATE(YEAR($E711),MONTH($E711),1))))</f>
        <v/>
      </c>
    </row>
    <row r="712">
      <c r="A712" s="6" t="n"/>
      <c r="B712" s="113">
        <f>IF($D712="","","T"&amp;TEXT(ROW()-6,"00000"))</f>
        <v/>
      </c>
      <c r="C712" s="113">
        <f>IF($D712="","",IFERROR(INDEX(MUSTERILER!$B$7:$B$106,MATCH($R712,MUSTERILER!$T$7:$T$106,0)),IFERROR(INDEX(MUSTERILER!$B$7:$B$106,MATCH($D712,MUSTERILER!$B$7:$B$106,0)),IFERROR(INDEX(MUSTERILER!$B$7:$B$106,MATCH($R712&amp;"*",MUSTERILER!$T$7:$T$106,0)),"TANIMSIZ MÜŞTERİ"))))</f>
        <v/>
      </c>
      <c r="D712" s="109" t="n"/>
      <c r="E712" s="220" t="n"/>
      <c r="F712" s="221" t="n"/>
      <c r="G712" s="108" t="n"/>
      <c r="H712" s="108" t="n"/>
      <c r="I712" s="109" t="n"/>
      <c r="J712" s="109" t="n"/>
      <c r="K712" s="109" t="n"/>
      <c r="L712" s="226">
        <f>IF($E712="","",DATE(YEAR($E712),MONTH($E712),1))</f>
        <v/>
      </c>
      <c r="M712" s="113">
        <f>IF($D712="","",IF($C712="TANIMSIZ MÜŞTERİ","HATA",IF(OR($E712="",$F712&lt;=0,$G712=""),"EKSİK",IF($E712&gt;TODAY(),"İLERİ TARİH",IF(COUNTIF($S$7:$S$1506,$S712)&gt;1,"MÜKERRER?",IF($T712&gt;0,"KAPALI DÖNEM","UYGUN"))))))</f>
        <v/>
      </c>
      <c r="N712" s="121">
        <f>IF($C712="","",IF($C712="TANIMSIZ MÜŞTERİ","—",INDEX(MUSTERILER!$C$7:$C$106,MATCH($C712,MUSTERILER!$B$7:$B$106,0))))</f>
        <v/>
      </c>
      <c r="O712" s="6" t="n"/>
      <c r="P712" s="6" t="n"/>
      <c r="Q712" s="3">
        <f>IF($D712="","",$C712&amp;"|"&amp;COUNTIFS($C$7:$C712,$C712))</f>
        <v/>
      </c>
      <c r="R712" s="3">
        <f>IF($D712="","",UPPER(SUBSTITUTE(SUBSTITUTE(SUBSTITUTE(SUBSTITUTE(SUBSTITUTE(SUBSTITUTE(SUBSTITUTE(SUBSTITUTE(SUBSTITUTE(SUBSTITUTE(SUBSTITUTE(SUBSTITUTE(SUBSTITUTE(SUBSTITUTE(SUBSTITUTE(SUBSTITUTE(SUBSTITUTE(SUBSTITUTE(TRIM($D712),"'",""),"İ","I"),"ı","I"),"i","I"),"Ş","S"),"ş","S"),"Ğ","G"),"ğ","G"),"Ü","U"),"ü","U"),"Ö","O"),"ö","O"),"Ç","C"),"ç","C"),".",""),",","")," ",""),"-","")))</f>
        <v/>
      </c>
      <c r="S712" s="3">
        <f>IF($D712="","",$C712&amp;"|"&amp;TEXT($E712,"0")&amp;"|"&amp;TEXT($F712,"0")&amp;"|"&amp;$I712)</f>
        <v/>
      </c>
      <c r="T712" s="3">
        <f>IF($E712="",0,SUMPRODUCT((AY_SONU!$O$7:$O$42="Evet")*(AY_SONU!$B$7:$B$42=DATE(YEAR($E712),MONTH($E712),1))))</f>
        <v/>
      </c>
    </row>
    <row r="713">
      <c r="A713" s="6" t="n"/>
      <c r="B713" s="113">
        <f>IF($D713="","","T"&amp;TEXT(ROW()-6,"00000"))</f>
        <v/>
      </c>
      <c r="C713" s="113">
        <f>IF($D713="","",IFERROR(INDEX(MUSTERILER!$B$7:$B$106,MATCH($R713,MUSTERILER!$T$7:$T$106,0)),IFERROR(INDEX(MUSTERILER!$B$7:$B$106,MATCH($D713,MUSTERILER!$B$7:$B$106,0)),IFERROR(INDEX(MUSTERILER!$B$7:$B$106,MATCH($R713&amp;"*",MUSTERILER!$T$7:$T$106,0)),"TANIMSIZ MÜŞTERİ"))))</f>
        <v/>
      </c>
      <c r="D713" s="109" t="n"/>
      <c r="E713" s="220" t="n"/>
      <c r="F713" s="221" t="n"/>
      <c r="G713" s="108" t="n"/>
      <c r="H713" s="108" t="n"/>
      <c r="I713" s="109" t="n"/>
      <c r="J713" s="109" t="n"/>
      <c r="K713" s="109" t="n"/>
      <c r="L713" s="226">
        <f>IF($E713="","",DATE(YEAR($E713),MONTH($E713),1))</f>
        <v/>
      </c>
      <c r="M713" s="113">
        <f>IF($D713="","",IF($C713="TANIMSIZ MÜŞTERİ","HATA",IF(OR($E713="",$F713&lt;=0,$G713=""),"EKSİK",IF($E713&gt;TODAY(),"İLERİ TARİH",IF(COUNTIF($S$7:$S$1506,$S713)&gt;1,"MÜKERRER?",IF($T713&gt;0,"KAPALI DÖNEM","UYGUN"))))))</f>
        <v/>
      </c>
      <c r="N713" s="121">
        <f>IF($C713="","",IF($C713="TANIMSIZ MÜŞTERİ","—",INDEX(MUSTERILER!$C$7:$C$106,MATCH($C713,MUSTERILER!$B$7:$B$106,0))))</f>
        <v/>
      </c>
      <c r="O713" s="6" t="n"/>
      <c r="P713" s="6" t="n"/>
      <c r="Q713" s="3">
        <f>IF($D713="","",$C713&amp;"|"&amp;COUNTIFS($C$7:$C713,$C713))</f>
        <v/>
      </c>
      <c r="R713" s="3">
        <f>IF($D713="","",UPPER(SUBSTITUTE(SUBSTITUTE(SUBSTITUTE(SUBSTITUTE(SUBSTITUTE(SUBSTITUTE(SUBSTITUTE(SUBSTITUTE(SUBSTITUTE(SUBSTITUTE(SUBSTITUTE(SUBSTITUTE(SUBSTITUTE(SUBSTITUTE(SUBSTITUTE(SUBSTITUTE(SUBSTITUTE(SUBSTITUTE(TRIM($D713),"'",""),"İ","I"),"ı","I"),"i","I"),"Ş","S"),"ş","S"),"Ğ","G"),"ğ","G"),"Ü","U"),"ü","U"),"Ö","O"),"ö","O"),"Ç","C"),"ç","C"),".",""),",","")," ",""),"-","")))</f>
        <v/>
      </c>
      <c r="S713" s="3">
        <f>IF($D713="","",$C713&amp;"|"&amp;TEXT($E713,"0")&amp;"|"&amp;TEXT($F713,"0")&amp;"|"&amp;$I713)</f>
        <v/>
      </c>
      <c r="T713" s="3">
        <f>IF($E713="",0,SUMPRODUCT((AY_SONU!$O$7:$O$42="Evet")*(AY_SONU!$B$7:$B$42=DATE(YEAR($E713),MONTH($E713),1))))</f>
        <v/>
      </c>
    </row>
    <row r="714">
      <c r="A714" s="6" t="n"/>
      <c r="B714" s="113">
        <f>IF($D714="","","T"&amp;TEXT(ROW()-6,"00000"))</f>
        <v/>
      </c>
      <c r="C714" s="113">
        <f>IF($D714="","",IFERROR(INDEX(MUSTERILER!$B$7:$B$106,MATCH($R714,MUSTERILER!$T$7:$T$106,0)),IFERROR(INDEX(MUSTERILER!$B$7:$B$106,MATCH($D714,MUSTERILER!$B$7:$B$106,0)),IFERROR(INDEX(MUSTERILER!$B$7:$B$106,MATCH($R714&amp;"*",MUSTERILER!$T$7:$T$106,0)),"TANIMSIZ MÜŞTERİ"))))</f>
        <v/>
      </c>
      <c r="D714" s="109" t="n"/>
      <c r="E714" s="220" t="n"/>
      <c r="F714" s="221" t="n"/>
      <c r="G714" s="108" t="n"/>
      <c r="H714" s="108" t="n"/>
      <c r="I714" s="109" t="n"/>
      <c r="J714" s="109" t="n"/>
      <c r="K714" s="109" t="n"/>
      <c r="L714" s="226">
        <f>IF($E714="","",DATE(YEAR($E714),MONTH($E714),1))</f>
        <v/>
      </c>
      <c r="M714" s="113">
        <f>IF($D714="","",IF($C714="TANIMSIZ MÜŞTERİ","HATA",IF(OR($E714="",$F714&lt;=0,$G714=""),"EKSİK",IF($E714&gt;TODAY(),"İLERİ TARİH",IF(COUNTIF($S$7:$S$1506,$S714)&gt;1,"MÜKERRER?",IF($T714&gt;0,"KAPALI DÖNEM","UYGUN"))))))</f>
        <v/>
      </c>
      <c r="N714" s="121">
        <f>IF($C714="","",IF($C714="TANIMSIZ MÜŞTERİ","—",INDEX(MUSTERILER!$C$7:$C$106,MATCH($C714,MUSTERILER!$B$7:$B$106,0))))</f>
        <v/>
      </c>
      <c r="O714" s="6" t="n"/>
      <c r="P714" s="6" t="n"/>
      <c r="Q714" s="3">
        <f>IF($D714="","",$C714&amp;"|"&amp;COUNTIFS($C$7:$C714,$C714))</f>
        <v/>
      </c>
      <c r="R714" s="3">
        <f>IF($D714="","",UPPER(SUBSTITUTE(SUBSTITUTE(SUBSTITUTE(SUBSTITUTE(SUBSTITUTE(SUBSTITUTE(SUBSTITUTE(SUBSTITUTE(SUBSTITUTE(SUBSTITUTE(SUBSTITUTE(SUBSTITUTE(SUBSTITUTE(SUBSTITUTE(SUBSTITUTE(SUBSTITUTE(SUBSTITUTE(SUBSTITUTE(TRIM($D714),"'",""),"İ","I"),"ı","I"),"i","I"),"Ş","S"),"ş","S"),"Ğ","G"),"ğ","G"),"Ü","U"),"ü","U"),"Ö","O"),"ö","O"),"Ç","C"),"ç","C"),".",""),",","")," ",""),"-","")))</f>
        <v/>
      </c>
      <c r="S714" s="3">
        <f>IF($D714="","",$C714&amp;"|"&amp;TEXT($E714,"0")&amp;"|"&amp;TEXT($F714,"0")&amp;"|"&amp;$I714)</f>
        <v/>
      </c>
      <c r="T714" s="3">
        <f>IF($E714="",0,SUMPRODUCT((AY_SONU!$O$7:$O$42="Evet")*(AY_SONU!$B$7:$B$42=DATE(YEAR($E714),MONTH($E714),1))))</f>
        <v/>
      </c>
    </row>
    <row r="715">
      <c r="A715" s="6" t="n"/>
      <c r="B715" s="113">
        <f>IF($D715="","","T"&amp;TEXT(ROW()-6,"00000"))</f>
        <v/>
      </c>
      <c r="C715" s="113">
        <f>IF($D715="","",IFERROR(INDEX(MUSTERILER!$B$7:$B$106,MATCH($R715,MUSTERILER!$T$7:$T$106,0)),IFERROR(INDEX(MUSTERILER!$B$7:$B$106,MATCH($D715,MUSTERILER!$B$7:$B$106,0)),IFERROR(INDEX(MUSTERILER!$B$7:$B$106,MATCH($R715&amp;"*",MUSTERILER!$T$7:$T$106,0)),"TANIMSIZ MÜŞTERİ"))))</f>
        <v/>
      </c>
      <c r="D715" s="109" t="n"/>
      <c r="E715" s="220" t="n"/>
      <c r="F715" s="221" t="n"/>
      <c r="G715" s="108" t="n"/>
      <c r="H715" s="108" t="n"/>
      <c r="I715" s="109" t="n"/>
      <c r="J715" s="109" t="n"/>
      <c r="K715" s="109" t="n"/>
      <c r="L715" s="226">
        <f>IF($E715="","",DATE(YEAR($E715),MONTH($E715),1))</f>
        <v/>
      </c>
      <c r="M715" s="113">
        <f>IF($D715="","",IF($C715="TANIMSIZ MÜŞTERİ","HATA",IF(OR($E715="",$F715&lt;=0,$G715=""),"EKSİK",IF($E715&gt;TODAY(),"İLERİ TARİH",IF(COUNTIF($S$7:$S$1506,$S715)&gt;1,"MÜKERRER?",IF($T715&gt;0,"KAPALI DÖNEM","UYGUN"))))))</f>
        <v/>
      </c>
      <c r="N715" s="121">
        <f>IF($C715="","",IF($C715="TANIMSIZ MÜŞTERİ","—",INDEX(MUSTERILER!$C$7:$C$106,MATCH($C715,MUSTERILER!$B$7:$B$106,0))))</f>
        <v/>
      </c>
      <c r="O715" s="6" t="n"/>
      <c r="P715" s="6" t="n"/>
      <c r="Q715" s="3">
        <f>IF($D715="","",$C715&amp;"|"&amp;COUNTIFS($C$7:$C715,$C715))</f>
        <v/>
      </c>
      <c r="R715" s="3">
        <f>IF($D715="","",UPPER(SUBSTITUTE(SUBSTITUTE(SUBSTITUTE(SUBSTITUTE(SUBSTITUTE(SUBSTITUTE(SUBSTITUTE(SUBSTITUTE(SUBSTITUTE(SUBSTITUTE(SUBSTITUTE(SUBSTITUTE(SUBSTITUTE(SUBSTITUTE(SUBSTITUTE(SUBSTITUTE(SUBSTITUTE(SUBSTITUTE(TRIM($D715),"'",""),"İ","I"),"ı","I"),"i","I"),"Ş","S"),"ş","S"),"Ğ","G"),"ğ","G"),"Ü","U"),"ü","U"),"Ö","O"),"ö","O"),"Ç","C"),"ç","C"),".",""),",","")," ",""),"-","")))</f>
        <v/>
      </c>
      <c r="S715" s="3">
        <f>IF($D715="","",$C715&amp;"|"&amp;TEXT($E715,"0")&amp;"|"&amp;TEXT($F715,"0")&amp;"|"&amp;$I715)</f>
        <v/>
      </c>
      <c r="T715" s="3">
        <f>IF($E715="",0,SUMPRODUCT((AY_SONU!$O$7:$O$42="Evet")*(AY_SONU!$B$7:$B$42=DATE(YEAR($E715),MONTH($E715),1))))</f>
        <v/>
      </c>
    </row>
    <row r="716">
      <c r="A716" s="6" t="n"/>
      <c r="B716" s="113">
        <f>IF($D716="","","T"&amp;TEXT(ROW()-6,"00000"))</f>
        <v/>
      </c>
      <c r="C716" s="113">
        <f>IF($D716="","",IFERROR(INDEX(MUSTERILER!$B$7:$B$106,MATCH($R716,MUSTERILER!$T$7:$T$106,0)),IFERROR(INDEX(MUSTERILER!$B$7:$B$106,MATCH($D716,MUSTERILER!$B$7:$B$106,0)),IFERROR(INDEX(MUSTERILER!$B$7:$B$106,MATCH($R716&amp;"*",MUSTERILER!$T$7:$T$106,0)),"TANIMSIZ MÜŞTERİ"))))</f>
        <v/>
      </c>
      <c r="D716" s="109" t="n"/>
      <c r="E716" s="220" t="n"/>
      <c r="F716" s="221" t="n"/>
      <c r="G716" s="108" t="n"/>
      <c r="H716" s="108" t="n"/>
      <c r="I716" s="109" t="n"/>
      <c r="J716" s="109" t="n"/>
      <c r="K716" s="109" t="n"/>
      <c r="L716" s="226">
        <f>IF($E716="","",DATE(YEAR($E716),MONTH($E716),1))</f>
        <v/>
      </c>
      <c r="M716" s="113">
        <f>IF($D716="","",IF($C716="TANIMSIZ MÜŞTERİ","HATA",IF(OR($E716="",$F716&lt;=0,$G716=""),"EKSİK",IF($E716&gt;TODAY(),"İLERİ TARİH",IF(COUNTIF($S$7:$S$1506,$S716)&gt;1,"MÜKERRER?",IF($T716&gt;0,"KAPALI DÖNEM","UYGUN"))))))</f>
        <v/>
      </c>
      <c r="N716" s="121">
        <f>IF($C716="","",IF($C716="TANIMSIZ MÜŞTERİ","—",INDEX(MUSTERILER!$C$7:$C$106,MATCH($C716,MUSTERILER!$B$7:$B$106,0))))</f>
        <v/>
      </c>
      <c r="O716" s="6" t="n"/>
      <c r="P716" s="6" t="n"/>
      <c r="Q716" s="3">
        <f>IF($D716="","",$C716&amp;"|"&amp;COUNTIFS($C$7:$C716,$C716))</f>
        <v/>
      </c>
      <c r="R716" s="3">
        <f>IF($D716="","",UPPER(SUBSTITUTE(SUBSTITUTE(SUBSTITUTE(SUBSTITUTE(SUBSTITUTE(SUBSTITUTE(SUBSTITUTE(SUBSTITUTE(SUBSTITUTE(SUBSTITUTE(SUBSTITUTE(SUBSTITUTE(SUBSTITUTE(SUBSTITUTE(SUBSTITUTE(SUBSTITUTE(SUBSTITUTE(SUBSTITUTE(TRIM($D716),"'",""),"İ","I"),"ı","I"),"i","I"),"Ş","S"),"ş","S"),"Ğ","G"),"ğ","G"),"Ü","U"),"ü","U"),"Ö","O"),"ö","O"),"Ç","C"),"ç","C"),".",""),",","")," ",""),"-","")))</f>
        <v/>
      </c>
      <c r="S716" s="3">
        <f>IF($D716="","",$C716&amp;"|"&amp;TEXT($E716,"0")&amp;"|"&amp;TEXT($F716,"0")&amp;"|"&amp;$I716)</f>
        <v/>
      </c>
      <c r="T716" s="3">
        <f>IF($E716="",0,SUMPRODUCT((AY_SONU!$O$7:$O$42="Evet")*(AY_SONU!$B$7:$B$42=DATE(YEAR($E716),MONTH($E716),1))))</f>
        <v/>
      </c>
    </row>
    <row r="717">
      <c r="A717" s="6" t="n"/>
      <c r="B717" s="113">
        <f>IF($D717="","","T"&amp;TEXT(ROW()-6,"00000"))</f>
        <v/>
      </c>
      <c r="C717" s="113">
        <f>IF($D717="","",IFERROR(INDEX(MUSTERILER!$B$7:$B$106,MATCH($R717,MUSTERILER!$T$7:$T$106,0)),IFERROR(INDEX(MUSTERILER!$B$7:$B$106,MATCH($D717,MUSTERILER!$B$7:$B$106,0)),IFERROR(INDEX(MUSTERILER!$B$7:$B$106,MATCH($R717&amp;"*",MUSTERILER!$T$7:$T$106,0)),"TANIMSIZ MÜŞTERİ"))))</f>
        <v/>
      </c>
      <c r="D717" s="109" t="n"/>
      <c r="E717" s="220" t="n"/>
      <c r="F717" s="221" t="n"/>
      <c r="G717" s="108" t="n"/>
      <c r="H717" s="108" t="n"/>
      <c r="I717" s="109" t="n"/>
      <c r="J717" s="109" t="n"/>
      <c r="K717" s="109" t="n"/>
      <c r="L717" s="226">
        <f>IF($E717="","",DATE(YEAR($E717),MONTH($E717),1))</f>
        <v/>
      </c>
      <c r="M717" s="113">
        <f>IF($D717="","",IF($C717="TANIMSIZ MÜŞTERİ","HATA",IF(OR($E717="",$F717&lt;=0,$G717=""),"EKSİK",IF($E717&gt;TODAY(),"İLERİ TARİH",IF(COUNTIF($S$7:$S$1506,$S717)&gt;1,"MÜKERRER?",IF($T717&gt;0,"KAPALI DÖNEM","UYGUN"))))))</f>
        <v/>
      </c>
      <c r="N717" s="121">
        <f>IF($C717="","",IF($C717="TANIMSIZ MÜŞTERİ","—",INDEX(MUSTERILER!$C$7:$C$106,MATCH($C717,MUSTERILER!$B$7:$B$106,0))))</f>
        <v/>
      </c>
      <c r="O717" s="6" t="n"/>
      <c r="P717" s="6" t="n"/>
      <c r="Q717" s="3">
        <f>IF($D717="","",$C717&amp;"|"&amp;COUNTIFS($C$7:$C717,$C717))</f>
        <v/>
      </c>
      <c r="R717" s="3">
        <f>IF($D717="","",UPPER(SUBSTITUTE(SUBSTITUTE(SUBSTITUTE(SUBSTITUTE(SUBSTITUTE(SUBSTITUTE(SUBSTITUTE(SUBSTITUTE(SUBSTITUTE(SUBSTITUTE(SUBSTITUTE(SUBSTITUTE(SUBSTITUTE(SUBSTITUTE(SUBSTITUTE(SUBSTITUTE(SUBSTITUTE(SUBSTITUTE(TRIM($D717),"'",""),"İ","I"),"ı","I"),"i","I"),"Ş","S"),"ş","S"),"Ğ","G"),"ğ","G"),"Ü","U"),"ü","U"),"Ö","O"),"ö","O"),"Ç","C"),"ç","C"),".",""),",","")," ",""),"-","")))</f>
        <v/>
      </c>
      <c r="S717" s="3">
        <f>IF($D717="","",$C717&amp;"|"&amp;TEXT($E717,"0")&amp;"|"&amp;TEXT($F717,"0")&amp;"|"&amp;$I717)</f>
        <v/>
      </c>
      <c r="T717" s="3">
        <f>IF($E717="",0,SUMPRODUCT((AY_SONU!$O$7:$O$42="Evet")*(AY_SONU!$B$7:$B$42=DATE(YEAR($E717),MONTH($E717),1))))</f>
        <v/>
      </c>
    </row>
    <row r="718">
      <c r="A718" s="6" t="n"/>
      <c r="B718" s="113">
        <f>IF($D718="","","T"&amp;TEXT(ROW()-6,"00000"))</f>
        <v/>
      </c>
      <c r="C718" s="113">
        <f>IF($D718="","",IFERROR(INDEX(MUSTERILER!$B$7:$B$106,MATCH($R718,MUSTERILER!$T$7:$T$106,0)),IFERROR(INDEX(MUSTERILER!$B$7:$B$106,MATCH($D718,MUSTERILER!$B$7:$B$106,0)),IFERROR(INDEX(MUSTERILER!$B$7:$B$106,MATCH($R718&amp;"*",MUSTERILER!$T$7:$T$106,0)),"TANIMSIZ MÜŞTERİ"))))</f>
        <v/>
      </c>
      <c r="D718" s="109" t="n"/>
      <c r="E718" s="220" t="n"/>
      <c r="F718" s="221" t="n"/>
      <c r="G718" s="108" t="n"/>
      <c r="H718" s="108" t="n"/>
      <c r="I718" s="109" t="n"/>
      <c r="J718" s="109" t="n"/>
      <c r="K718" s="109" t="n"/>
      <c r="L718" s="226">
        <f>IF($E718="","",DATE(YEAR($E718),MONTH($E718),1))</f>
        <v/>
      </c>
      <c r="M718" s="113">
        <f>IF($D718="","",IF($C718="TANIMSIZ MÜŞTERİ","HATA",IF(OR($E718="",$F718&lt;=0,$G718=""),"EKSİK",IF($E718&gt;TODAY(),"İLERİ TARİH",IF(COUNTIF($S$7:$S$1506,$S718)&gt;1,"MÜKERRER?",IF($T718&gt;0,"KAPALI DÖNEM","UYGUN"))))))</f>
        <v/>
      </c>
      <c r="N718" s="121">
        <f>IF($C718="","",IF($C718="TANIMSIZ MÜŞTERİ","—",INDEX(MUSTERILER!$C$7:$C$106,MATCH($C718,MUSTERILER!$B$7:$B$106,0))))</f>
        <v/>
      </c>
      <c r="O718" s="6" t="n"/>
      <c r="P718" s="6" t="n"/>
      <c r="Q718" s="3">
        <f>IF($D718="","",$C718&amp;"|"&amp;COUNTIFS($C$7:$C718,$C718))</f>
        <v/>
      </c>
      <c r="R718" s="3">
        <f>IF($D718="","",UPPER(SUBSTITUTE(SUBSTITUTE(SUBSTITUTE(SUBSTITUTE(SUBSTITUTE(SUBSTITUTE(SUBSTITUTE(SUBSTITUTE(SUBSTITUTE(SUBSTITUTE(SUBSTITUTE(SUBSTITUTE(SUBSTITUTE(SUBSTITUTE(SUBSTITUTE(SUBSTITUTE(SUBSTITUTE(SUBSTITUTE(TRIM($D718),"'",""),"İ","I"),"ı","I"),"i","I"),"Ş","S"),"ş","S"),"Ğ","G"),"ğ","G"),"Ü","U"),"ü","U"),"Ö","O"),"ö","O"),"Ç","C"),"ç","C"),".",""),",","")," ",""),"-","")))</f>
        <v/>
      </c>
      <c r="S718" s="3">
        <f>IF($D718="","",$C718&amp;"|"&amp;TEXT($E718,"0")&amp;"|"&amp;TEXT($F718,"0")&amp;"|"&amp;$I718)</f>
        <v/>
      </c>
      <c r="T718" s="3">
        <f>IF($E718="",0,SUMPRODUCT((AY_SONU!$O$7:$O$42="Evet")*(AY_SONU!$B$7:$B$42=DATE(YEAR($E718),MONTH($E718),1))))</f>
        <v/>
      </c>
    </row>
    <row r="719">
      <c r="A719" s="6" t="n"/>
      <c r="B719" s="113">
        <f>IF($D719="","","T"&amp;TEXT(ROW()-6,"00000"))</f>
        <v/>
      </c>
      <c r="C719" s="113">
        <f>IF($D719="","",IFERROR(INDEX(MUSTERILER!$B$7:$B$106,MATCH($R719,MUSTERILER!$T$7:$T$106,0)),IFERROR(INDEX(MUSTERILER!$B$7:$B$106,MATCH($D719,MUSTERILER!$B$7:$B$106,0)),IFERROR(INDEX(MUSTERILER!$B$7:$B$106,MATCH($R719&amp;"*",MUSTERILER!$T$7:$T$106,0)),"TANIMSIZ MÜŞTERİ"))))</f>
        <v/>
      </c>
      <c r="D719" s="109" t="n"/>
      <c r="E719" s="220" t="n"/>
      <c r="F719" s="221" t="n"/>
      <c r="G719" s="108" t="n"/>
      <c r="H719" s="108" t="n"/>
      <c r="I719" s="109" t="n"/>
      <c r="J719" s="109" t="n"/>
      <c r="K719" s="109" t="n"/>
      <c r="L719" s="226">
        <f>IF($E719="","",DATE(YEAR($E719),MONTH($E719),1))</f>
        <v/>
      </c>
      <c r="M719" s="113">
        <f>IF($D719="","",IF($C719="TANIMSIZ MÜŞTERİ","HATA",IF(OR($E719="",$F719&lt;=0,$G719=""),"EKSİK",IF($E719&gt;TODAY(),"İLERİ TARİH",IF(COUNTIF($S$7:$S$1506,$S719)&gt;1,"MÜKERRER?",IF($T719&gt;0,"KAPALI DÖNEM","UYGUN"))))))</f>
        <v/>
      </c>
      <c r="N719" s="121">
        <f>IF($C719="","",IF($C719="TANIMSIZ MÜŞTERİ","—",INDEX(MUSTERILER!$C$7:$C$106,MATCH($C719,MUSTERILER!$B$7:$B$106,0))))</f>
        <v/>
      </c>
      <c r="O719" s="6" t="n"/>
      <c r="P719" s="6" t="n"/>
      <c r="Q719" s="3">
        <f>IF($D719="","",$C719&amp;"|"&amp;COUNTIFS($C$7:$C719,$C719))</f>
        <v/>
      </c>
      <c r="R719" s="3">
        <f>IF($D719="","",UPPER(SUBSTITUTE(SUBSTITUTE(SUBSTITUTE(SUBSTITUTE(SUBSTITUTE(SUBSTITUTE(SUBSTITUTE(SUBSTITUTE(SUBSTITUTE(SUBSTITUTE(SUBSTITUTE(SUBSTITUTE(SUBSTITUTE(SUBSTITUTE(SUBSTITUTE(SUBSTITUTE(SUBSTITUTE(SUBSTITUTE(TRIM($D719),"'",""),"İ","I"),"ı","I"),"i","I"),"Ş","S"),"ş","S"),"Ğ","G"),"ğ","G"),"Ü","U"),"ü","U"),"Ö","O"),"ö","O"),"Ç","C"),"ç","C"),".",""),",","")," ",""),"-","")))</f>
        <v/>
      </c>
      <c r="S719" s="3">
        <f>IF($D719="","",$C719&amp;"|"&amp;TEXT($E719,"0")&amp;"|"&amp;TEXT($F719,"0")&amp;"|"&amp;$I719)</f>
        <v/>
      </c>
      <c r="T719" s="3">
        <f>IF($E719="",0,SUMPRODUCT((AY_SONU!$O$7:$O$42="Evet")*(AY_SONU!$B$7:$B$42=DATE(YEAR($E719),MONTH($E719),1))))</f>
        <v/>
      </c>
    </row>
    <row r="720">
      <c r="A720" s="6" t="n"/>
      <c r="B720" s="113">
        <f>IF($D720="","","T"&amp;TEXT(ROW()-6,"00000"))</f>
        <v/>
      </c>
      <c r="C720" s="113">
        <f>IF($D720="","",IFERROR(INDEX(MUSTERILER!$B$7:$B$106,MATCH($R720,MUSTERILER!$T$7:$T$106,0)),IFERROR(INDEX(MUSTERILER!$B$7:$B$106,MATCH($D720,MUSTERILER!$B$7:$B$106,0)),IFERROR(INDEX(MUSTERILER!$B$7:$B$106,MATCH($R720&amp;"*",MUSTERILER!$T$7:$T$106,0)),"TANIMSIZ MÜŞTERİ"))))</f>
        <v/>
      </c>
      <c r="D720" s="109" t="n"/>
      <c r="E720" s="220" t="n"/>
      <c r="F720" s="221" t="n"/>
      <c r="G720" s="108" t="n"/>
      <c r="H720" s="108" t="n"/>
      <c r="I720" s="109" t="n"/>
      <c r="J720" s="109" t="n"/>
      <c r="K720" s="109" t="n"/>
      <c r="L720" s="226">
        <f>IF($E720="","",DATE(YEAR($E720),MONTH($E720),1))</f>
        <v/>
      </c>
      <c r="M720" s="113">
        <f>IF($D720="","",IF($C720="TANIMSIZ MÜŞTERİ","HATA",IF(OR($E720="",$F720&lt;=0,$G720=""),"EKSİK",IF($E720&gt;TODAY(),"İLERİ TARİH",IF(COUNTIF($S$7:$S$1506,$S720)&gt;1,"MÜKERRER?",IF($T720&gt;0,"KAPALI DÖNEM","UYGUN"))))))</f>
        <v/>
      </c>
      <c r="N720" s="121">
        <f>IF($C720="","",IF($C720="TANIMSIZ MÜŞTERİ","—",INDEX(MUSTERILER!$C$7:$C$106,MATCH($C720,MUSTERILER!$B$7:$B$106,0))))</f>
        <v/>
      </c>
      <c r="O720" s="6" t="n"/>
      <c r="P720" s="6" t="n"/>
      <c r="Q720" s="3">
        <f>IF($D720="","",$C720&amp;"|"&amp;COUNTIFS($C$7:$C720,$C720))</f>
        <v/>
      </c>
      <c r="R720" s="3">
        <f>IF($D720="","",UPPER(SUBSTITUTE(SUBSTITUTE(SUBSTITUTE(SUBSTITUTE(SUBSTITUTE(SUBSTITUTE(SUBSTITUTE(SUBSTITUTE(SUBSTITUTE(SUBSTITUTE(SUBSTITUTE(SUBSTITUTE(SUBSTITUTE(SUBSTITUTE(SUBSTITUTE(SUBSTITUTE(SUBSTITUTE(SUBSTITUTE(TRIM($D720),"'",""),"İ","I"),"ı","I"),"i","I"),"Ş","S"),"ş","S"),"Ğ","G"),"ğ","G"),"Ü","U"),"ü","U"),"Ö","O"),"ö","O"),"Ç","C"),"ç","C"),".",""),",","")," ",""),"-","")))</f>
        <v/>
      </c>
      <c r="S720" s="3">
        <f>IF($D720="","",$C720&amp;"|"&amp;TEXT($E720,"0")&amp;"|"&amp;TEXT($F720,"0")&amp;"|"&amp;$I720)</f>
        <v/>
      </c>
      <c r="T720" s="3">
        <f>IF($E720="",0,SUMPRODUCT((AY_SONU!$O$7:$O$42="Evet")*(AY_SONU!$B$7:$B$42=DATE(YEAR($E720),MONTH($E720),1))))</f>
        <v/>
      </c>
    </row>
    <row r="721">
      <c r="A721" s="6" t="n"/>
      <c r="B721" s="113">
        <f>IF($D721="","","T"&amp;TEXT(ROW()-6,"00000"))</f>
        <v/>
      </c>
      <c r="C721" s="113">
        <f>IF($D721="","",IFERROR(INDEX(MUSTERILER!$B$7:$B$106,MATCH($R721,MUSTERILER!$T$7:$T$106,0)),IFERROR(INDEX(MUSTERILER!$B$7:$B$106,MATCH($D721,MUSTERILER!$B$7:$B$106,0)),IFERROR(INDEX(MUSTERILER!$B$7:$B$106,MATCH($R721&amp;"*",MUSTERILER!$T$7:$T$106,0)),"TANIMSIZ MÜŞTERİ"))))</f>
        <v/>
      </c>
      <c r="D721" s="109" t="n"/>
      <c r="E721" s="220" t="n"/>
      <c r="F721" s="221" t="n"/>
      <c r="G721" s="108" t="n"/>
      <c r="H721" s="108" t="n"/>
      <c r="I721" s="109" t="n"/>
      <c r="J721" s="109" t="n"/>
      <c r="K721" s="109" t="n"/>
      <c r="L721" s="226">
        <f>IF($E721="","",DATE(YEAR($E721),MONTH($E721),1))</f>
        <v/>
      </c>
      <c r="M721" s="113">
        <f>IF($D721="","",IF($C721="TANIMSIZ MÜŞTERİ","HATA",IF(OR($E721="",$F721&lt;=0,$G721=""),"EKSİK",IF($E721&gt;TODAY(),"İLERİ TARİH",IF(COUNTIF($S$7:$S$1506,$S721)&gt;1,"MÜKERRER?",IF($T721&gt;0,"KAPALI DÖNEM","UYGUN"))))))</f>
        <v/>
      </c>
      <c r="N721" s="121">
        <f>IF($C721="","",IF($C721="TANIMSIZ MÜŞTERİ","—",INDEX(MUSTERILER!$C$7:$C$106,MATCH($C721,MUSTERILER!$B$7:$B$106,0))))</f>
        <v/>
      </c>
      <c r="O721" s="6" t="n"/>
      <c r="P721" s="6" t="n"/>
      <c r="Q721" s="3">
        <f>IF($D721="","",$C721&amp;"|"&amp;COUNTIFS($C$7:$C721,$C721))</f>
        <v/>
      </c>
      <c r="R721" s="3">
        <f>IF($D721="","",UPPER(SUBSTITUTE(SUBSTITUTE(SUBSTITUTE(SUBSTITUTE(SUBSTITUTE(SUBSTITUTE(SUBSTITUTE(SUBSTITUTE(SUBSTITUTE(SUBSTITUTE(SUBSTITUTE(SUBSTITUTE(SUBSTITUTE(SUBSTITUTE(SUBSTITUTE(SUBSTITUTE(SUBSTITUTE(SUBSTITUTE(TRIM($D721),"'",""),"İ","I"),"ı","I"),"i","I"),"Ş","S"),"ş","S"),"Ğ","G"),"ğ","G"),"Ü","U"),"ü","U"),"Ö","O"),"ö","O"),"Ç","C"),"ç","C"),".",""),",","")," ",""),"-","")))</f>
        <v/>
      </c>
      <c r="S721" s="3">
        <f>IF($D721="","",$C721&amp;"|"&amp;TEXT($E721,"0")&amp;"|"&amp;TEXT($F721,"0")&amp;"|"&amp;$I721)</f>
        <v/>
      </c>
      <c r="T721" s="3">
        <f>IF($E721="",0,SUMPRODUCT((AY_SONU!$O$7:$O$42="Evet")*(AY_SONU!$B$7:$B$42=DATE(YEAR($E721),MONTH($E721),1))))</f>
        <v/>
      </c>
    </row>
    <row r="722">
      <c r="A722" s="6" t="n"/>
      <c r="B722" s="113">
        <f>IF($D722="","","T"&amp;TEXT(ROW()-6,"00000"))</f>
        <v/>
      </c>
      <c r="C722" s="113">
        <f>IF($D722="","",IFERROR(INDEX(MUSTERILER!$B$7:$B$106,MATCH($R722,MUSTERILER!$T$7:$T$106,0)),IFERROR(INDEX(MUSTERILER!$B$7:$B$106,MATCH($D722,MUSTERILER!$B$7:$B$106,0)),IFERROR(INDEX(MUSTERILER!$B$7:$B$106,MATCH($R722&amp;"*",MUSTERILER!$T$7:$T$106,0)),"TANIMSIZ MÜŞTERİ"))))</f>
        <v/>
      </c>
      <c r="D722" s="109" t="n"/>
      <c r="E722" s="220" t="n"/>
      <c r="F722" s="221" t="n"/>
      <c r="G722" s="108" t="n"/>
      <c r="H722" s="108" t="n"/>
      <c r="I722" s="109" t="n"/>
      <c r="J722" s="109" t="n"/>
      <c r="K722" s="109" t="n"/>
      <c r="L722" s="226">
        <f>IF($E722="","",DATE(YEAR($E722),MONTH($E722),1))</f>
        <v/>
      </c>
      <c r="M722" s="113">
        <f>IF($D722="","",IF($C722="TANIMSIZ MÜŞTERİ","HATA",IF(OR($E722="",$F722&lt;=0,$G722=""),"EKSİK",IF($E722&gt;TODAY(),"İLERİ TARİH",IF(COUNTIF($S$7:$S$1506,$S722)&gt;1,"MÜKERRER?",IF($T722&gt;0,"KAPALI DÖNEM","UYGUN"))))))</f>
        <v/>
      </c>
      <c r="N722" s="121">
        <f>IF($C722="","",IF($C722="TANIMSIZ MÜŞTERİ","—",INDEX(MUSTERILER!$C$7:$C$106,MATCH($C722,MUSTERILER!$B$7:$B$106,0))))</f>
        <v/>
      </c>
      <c r="O722" s="6" t="n"/>
      <c r="P722" s="6" t="n"/>
      <c r="Q722" s="3">
        <f>IF($D722="","",$C722&amp;"|"&amp;COUNTIFS($C$7:$C722,$C722))</f>
        <v/>
      </c>
      <c r="R722" s="3">
        <f>IF($D722="","",UPPER(SUBSTITUTE(SUBSTITUTE(SUBSTITUTE(SUBSTITUTE(SUBSTITUTE(SUBSTITUTE(SUBSTITUTE(SUBSTITUTE(SUBSTITUTE(SUBSTITUTE(SUBSTITUTE(SUBSTITUTE(SUBSTITUTE(SUBSTITUTE(SUBSTITUTE(SUBSTITUTE(SUBSTITUTE(SUBSTITUTE(TRIM($D722),"'",""),"İ","I"),"ı","I"),"i","I"),"Ş","S"),"ş","S"),"Ğ","G"),"ğ","G"),"Ü","U"),"ü","U"),"Ö","O"),"ö","O"),"Ç","C"),"ç","C"),".",""),",","")," ",""),"-","")))</f>
        <v/>
      </c>
      <c r="S722" s="3">
        <f>IF($D722="","",$C722&amp;"|"&amp;TEXT($E722,"0")&amp;"|"&amp;TEXT($F722,"0")&amp;"|"&amp;$I722)</f>
        <v/>
      </c>
      <c r="T722" s="3">
        <f>IF($E722="",0,SUMPRODUCT((AY_SONU!$O$7:$O$42="Evet")*(AY_SONU!$B$7:$B$42=DATE(YEAR($E722),MONTH($E722),1))))</f>
        <v/>
      </c>
    </row>
    <row r="723">
      <c r="A723" s="6" t="n"/>
      <c r="B723" s="113">
        <f>IF($D723="","","T"&amp;TEXT(ROW()-6,"00000"))</f>
        <v/>
      </c>
      <c r="C723" s="113">
        <f>IF($D723="","",IFERROR(INDEX(MUSTERILER!$B$7:$B$106,MATCH($R723,MUSTERILER!$T$7:$T$106,0)),IFERROR(INDEX(MUSTERILER!$B$7:$B$106,MATCH($D723,MUSTERILER!$B$7:$B$106,0)),IFERROR(INDEX(MUSTERILER!$B$7:$B$106,MATCH($R723&amp;"*",MUSTERILER!$T$7:$T$106,0)),"TANIMSIZ MÜŞTERİ"))))</f>
        <v/>
      </c>
      <c r="D723" s="109" t="n"/>
      <c r="E723" s="220" t="n"/>
      <c r="F723" s="221" t="n"/>
      <c r="G723" s="108" t="n"/>
      <c r="H723" s="108" t="n"/>
      <c r="I723" s="109" t="n"/>
      <c r="J723" s="109" t="n"/>
      <c r="K723" s="109" t="n"/>
      <c r="L723" s="226">
        <f>IF($E723="","",DATE(YEAR($E723),MONTH($E723),1))</f>
        <v/>
      </c>
      <c r="M723" s="113">
        <f>IF($D723="","",IF($C723="TANIMSIZ MÜŞTERİ","HATA",IF(OR($E723="",$F723&lt;=0,$G723=""),"EKSİK",IF($E723&gt;TODAY(),"İLERİ TARİH",IF(COUNTIF($S$7:$S$1506,$S723)&gt;1,"MÜKERRER?",IF($T723&gt;0,"KAPALI DÖNEM","UYGUN"))))))</f>
        <v/>
      </c>
      <c r="N723" s="121">
        <f>IF($C723="","",IF($C723="TANIMSIZ MÜŞTERİ","—",INDEX(MUSTERILER!$C$7:$C$106,MATCH($C723,MUSTERILER!$B$7:$B$106,0))))</f>
        <v/>
      </c>
      <c r="O723" s="6" t="n"/>
      <c r="P723" s="6" t="n"/>
      <c r="Q723" s="3">
        <f>IF($D723="","",$C723&amp;"|"&amp;COUNTIFS($C$7:$C723,$C723))</f>
        <v/>
      </c>
      <c r="R723" s="3">
        <f>IF($D723="","",UPPER(SUBSTITUTE(SUBSTITUTE(SUBSTITUTE(SUBSTITUTE(SUBSTITUTE(SUBSTITUTE(SUBSTITUTE(SUBSTITUTE(SUBSTITUTE(SUBSTITUTE(SUBSTITUTE(SUBSTITUTE(SUBSTITUTE(SUBSTITUTE(SUBSTITUTE(SUBSTITUTE(SUBSTITUTE(SUBSTITUTE(TRIM($D723),"'",""),"İ","I"),"ı","I"),"i","I"),"Ş","S"),"ş","S"),"Ğ","G"),"ğ","G"),"Ü","U"),"ü","U"),"Ö","O"),"ö","O"),"Ç","C"),"ç","C"),".",""),",","")," ",""),"-","")))</f>
        <v/>
      </c>
      <c r="S723" s="3">
        <f>IF($D723="","",$C723&amp;"|"&amp;TEXT($E723,"0")&amp;"|"&amp;TEXT($F723,"0")&amp;"|"&amp;$I723)</f>
        <v/>
      </c>
      <c r="T723" s="3">
        <f>IF($E723="",0,SUMPRODUCT((AY_SONU!$O$7:$O$42="Evet")*(AY_SONU!$B$7:$B$42=DATE(YEAR($E723),MONTH($E723),1))))</f>
        <v/>
      </c>
    </row>
    <row r="724">
      <c r="A724" s="6" t="n"/>
      <c r="B724" s="113">
        <f>IF($D724="","","T"&amp;TEXT(ROW()-6,"00000"))</f>
        <v/>
      </c>
      <c r="C724" s="113">
        <f>IF($D724="","",IFERROR(INDEX(MUSTERILER!$B$7:$B$106,MATCH($R724,MUSTERILER!$T$7:$T$106,0)),IFERROR(INDEX(MUSTERILER!$B$7:$B$106,MATCH($D724,MUSTERILER!$B$7:$B$106,0)),IFERROR(INDEX(MUSTERILER!$B$7:$B$106,MATCH($R724&amp;"*",MUSTERILER!$T$7:$T$106,0)),"TANIMSIZ MÜŞTERİ"))))</f>
        <v/>
      </c>
      <c r="D724" s="109" t="n"/>
      <c r="E724" s="220" t="n"/>
      <c r="F724" s="221" t="n"/>
      <c r="G724" s="108" t="n"/>
      <c r="H724" s="108" t="n"/>
      <c r="I724" s="109" t="n"/>
      <c r="J724" s="109" t="n"/>
      <c r="K724" s="109" t="n"/>
      <c r="L724" s="226">
        <f>IF($E724="","",DATE(YEAR($E724),MONTH($E724),1))</f>
        <v/>
      </c>
      <c r="M724" s="113">
        <f>IF($D724="","",IF($C724="TANIMSIZ MÜŞTERİ","HATA",IF(OR($E724="",$F724&lt;=0,$G724=""),"EKSİK",IF($E724&gt;TODAY(),"İLERİ TARİH",IF(COUNTIF($S$7:$S$1506,$S724)&gt;1,"MÜKERRER?",IF($T724&gt;0,"KAPALI DÖNEM","UYGUN"))))))</f>
        <v/>
      </c>
      <c r="N724" s="121">
        <f>IF($C724="","",IF($C724="TANIMSIZ MÜŞTERİ","—",INDEX(MUSTERILER!$C$7:$C$106,MATCH($C724,MUSTERILER!$B$7:$B$106,0))))</f>
        <v/>
      </c>
      <c r="O724" s="6" t="n"/>
      <c r="P724" s="6" t="n"/>
      <c r="Q724" s="3">
        <f>IF($D724="","",$C724&amp;"|"&amp;COUNTIFS($C$7:$C724,$C724))</f>
        <v/>
      </c>
      <c r="R724" s="3">
        <f>IF($D724="","",UPPER(SUBSTITUTE(SUBSTITUTE(SUBSTITUTE(SUBSTITUTE(SUBSTITUTE(SUBSTITUTE(SUBSTITUTE(SUBSTITUTE(SUBSTITUTE(SUBSTITUTE(SUBSTITUTE(SUBSTITUTE(SUBSTITUTE(SUBSTITUTE(SUBSTITUTE(SUBSTITUTE(SUBSTITUTE(SUBSTITUTE(TRIM($D724),"'",""),"İ","I"),"ı","I"),"i","I"),"Ş","S"),"ş","S"),"Ğ","G"),"ğ","G"),"Ü","U"),"ü","U"),"Ö","O"),"ö","O"),"Ç","C"),"ç","C"),".",""),",","")," ",""),"-","")))</f>
        <v/>
      </c>
      <c r="S724" s="3">
        <f>IF($D724="","",$C724&amp;"|"&amp;TEXT($E724,"0")&amp;"|"&amp;TEXT($F724,"0")&amp;"|"&amp;$I724)</f>
        <v/>
      </c>
      <c r="T724" s="3">
        <f>IF($E724="",0,SUMPRODUCT((AY_SONU!$O$7:$O$42="Evet")*(AY_SONU!$B$7:$B$42=DATE(YEAR($E724),MONTH($E724),1))))</f>
        <v/>
      </c>
    </row>
    <row r="725">
      <c r="A725" s="6" t="n"/>
      <c r="B725" s="113">
        <f>IF($D725="","","T"&amp;TEXT(ROW()-6,"00000"))</f>
        <v/>
      </c>
      <c r="C725" s="113">
        <f>IF($D725="","",IFERROR(INDEX(MUSTERILER!$B$7:$B$106,MATCH($R725,MUSTERILER!$T$7:$T$106,0)),IFERROR(INDEX(MUSTERILER!$B$7:$B$106,MATCH($D725,MUSTERILER!$B$7:$B$106,0)),IFERROR(INDEX(MUSTERILER!$B$7:$B$106,MATCH($R725&amp;"*",MUSTERILER!$T$7:$T$106,0)),"TANIMSIZ MÜŞTERİ"))))</f>
        <v/>
      </c>
      <c r="D725" s="109" t="n"/>
      <c r="E725" s="220" t="n"/>
      <c r="F725" s="221" t="n"/>
      <c r="G725" s="108" t="n"/>
      <c r="H725" s="108" t="n"/>
      <c r="I725" s="109" t="n"/>
      <c r="J725" s="109" t="n"/>
      <c r="K725" s="109" t="n"/>
      <c r="L725" s="226">
        <f>IF($E725="","",DATE(YEAR($E725),MONTH($E725),1))</f>
        <v/>
      </c>
      <c r="M725" s="113">
        <f>IF($D725="","",IF($C725="TANIMSIZ MÜŞTERİ","HATA",IF(OR($E725="",$F725&lt;=0,$G725=""),"EKSİK",IF($E725&gt;TODAY(),"İLERİ TARİH",IF(COUNTIF($S$7:$S$1506,$S725)&gt;1,"MÜKERRER?",IF($T725&gt;0,"KAPALI DÖNEM","UYGUN"))))))</f>
        <v/>
      </c>
      <c r="N725" s="121">
        <f>IF($C725="","",IF($C725="TANIMSIZ MÜŞTERİ","—",INDEX(MUSTERILER!$C$7:$C$106,MATCH($C725,MUSTERILER!$B$7:$B$106,0))))</f>
        <v/>
      </c>
      <c r="O725" s="6" t="n"/>
      <c r="P725" s="6" t="n"/>
      <c r="Q725" s="3">
        <f>IF($D725="","",$C725&amp;"|"&amp;COUNTIFS($C$7:$C725,$C725))</f>
        <v/>
      </c>
      <c r="R725" s="3">
        <f>IF($D725="","",UPPER(SUBSTITUTE(SUBSTITUTE(SUBSTITUTE(SUBSTITUTE(SUBSTITUTE(SUBSTITUTE(SUBSTITUTE(SUBSTITUTE(SUBSTITUTE(SUBSTITUTE(SUBSTITUTE(SUBSTITUTE(SUBSTITUTE(SUBSTITUTE(SUBSTITUTE(SUBSTITUTE(SUBSTITUTE(SUBSTITUTE(TRIM($D725),"'",""),"İ","I"),"ı","I"),"i","I"),"Ş","S"),"ş","S"),"Ğ","G"),"ğ","G"),"Ü","U"),"ü","U"),"Ö","O"),"ö","O"),"Ç","C"),"ç","C"),".",""),",","")," ",""),"-","")))</f>
        <v/>
      </c>
      <c r="S725" s="3">
        <f>IF($D725="","",$C725&amp;"|"&amp;TEXT($E725,"0")&amp;"|"&amp;TEXT($F725,"0")&amp;"|"&amp;$I725)</f>
        <v/>
      </c>
      <c r="T725" s="3">
        <f>IF($E725="",0,SUMPRODUCT((AY_SONU!$O$7:$O$42="Evet")*(AY_SONU!$B$7:$B$42=DATE(YEAR($E725),MONTH($E725),1))))</f>
        <v/>
      </c>
    </row>
    <row r="726">
      <c r="A726" s="6" t="n"/>
      <c r="B726" s="113">
        <f>IF($D726="","","T"&amp;TEXT(ROW()-6,"00000"))</f>
        <v/>
      </c>
      <c r="C726" s="113">
        <f>IF($D726="","",IFERROR(INDEX(MUSTERILER!$B$7:$B$106,MATCH($R726,MUSTERILER!$T$7:$T$106,0)),IFERROR(INDEX(MUSTERILER!$B$7:$B$106,MATCH($D726,MUSTERILER!$B$7:$B$106,0)),IFERROR(INDEX(MUSTERILER!$B$7:$B$106,MATCH($R726&amp;"*",MUSTERILER!$T$7:$T$106,0)),"TANIMSIZ MÜŞTERİ"))))</f>
        <v/>
      </c>
      <c r="D726" s="109" t="n"/>
      <c r="E726" s="220" t="n"/>
      <c r="F726" s="221" t="n"/>
      <c r="G726" s="108" t="n"/>
      <c r="H726" s="108" t="n"/>
      <c r="I726" s="109" t="n"/>
      <c r="J726" s="109" t="n"/>
      <c r="K726" s="109" t="n"/>
      <c r="L726" s="226">
        <f>IF($E726="","",DATE(YEAR($E726),MONTH($E726),1))</f>
        <v/>
      </c>
      <c r="M726" s="113">
        <f>IF($D726="","",IF($C726="TANIMSIZ MÜŞTERİ","HATA",IF(OR($E726="",$F726&lt;=0,$G726=""),"EKSİK",IF($E726&gt;TODAY(),"İLERİ TARİH",IF(COUNTIF($S$7:$S$1506,$S726)&gt;1,"MÜKERRER?",IF($T726&gt;0,"KAPALI DÖNEM","UYGUN"))))))</f>
        <v/>
      </c>
      <c r="N726" s="121">
        <f>IF($C726="","",IF($C726="TANIMSIZ MÜŞTERİ","—",INDEX(MUSTERILER!$C$7:$C$106,MATCH($C726,MUSTERILER!$B$7:$B$106,0))))</f>
        <v/>
      </c>
      <c r="O726" s="6" t="n"/>
      <c r="P726" s="6" t="n"/>
      <c r="Q726" s="3">
        <f>IF($D726="","",$C726&amp;"|"&amp;COUNTIFS($C$7:$C726,$C726))</f>
        <v/>
      </c>
      <c r="R726" s="3">
        <f>IF($D726="","",UPPER(SUBSTITUTE(SUBSTITUTE(SUBSTITUTE(SUBSTITUTE(SUBSTITUTE(SUBSTITUTE(SUBSTITUTE(SUBSTITUTE(SUBSTITUTE(SUBSTITUTE(SUBSTITUTE(SUBSTITUTE(SUBSTITUTE(SUBSTITUTE(SUBSTITUTE(SUBSTITUTE(SUBSTITUTE(SUBSTITUTE(TRIM($D726),"'",""),"İ","I"),"ı","I"),"i","I"),"Ş","S"),"ş","S"),"Ğ","G"),"ğ","G"),"Ü","U"),"ü","U"),"Ö","O"),"ö","O"),"Ç","C"),"ç","C"),".",""),",","")," ",""),"-","")))</f>
        <v/>
      </c>
      <c r="S726" s="3">
        <f>IF($D726="","",$C726&amp;"|"&amp;TEXT($E726,"0")&amp;"|"&amp;TEXT($F726,"0")&amp;"|"&amp;$I726)</f>
        <v/>
      </c>
      <c r="T726" s="3">
        <f>IF($E726="",0,SUMPRODUCT((AY_SONU!$O$7:$O$42="Evet")*(AY_SONU!$B$7:$B$42=DATE(YEAR($E726),MONTH($E726),1))))</f>
        <v/>
      </c>
    </row>
    <row r="727">
      <c r="A727" s="6" t="n"/>
      <c r="B727" s="113">
        <f>IF($D727="","","T"&amp;TEXT(ROW()-6,"00000"))</f>
        <v/>
      </c>
      <c r="C727" s="113">
        <f>IF($D727="","",IFERROR(INDEX(MUSTERILER!$B$7:$B$106,MATCH($R727,MUSTERILER!$T$7:$T$106,0)),IFERROR(INDEX(MUSTERILER!$B$7:$B$106,MATCH($D727,MUSTERILER!$B$7:$B$106,0)),IFERROR(INDEX(MUSTERILER!$B$7:$B$106,MATCH($R727&amp;"*",MUSTERILER!$T$7:$T$106,0)),"TANIMSIZ MÜŞTERİ"))))</f>
        <v/>
      </c>
      <c r="D727" s="109" t="n"/>
      <c r="E727" s="220" t="n"/>
      <c r="F727" s="221" t="n"/>
      <c r="G727" s="108" t="n"/>
      <c r="H727" s="108" t="n"/>
      <c r="I727" s="109" t="n"/>
      <c r="J727" s="109" t="n"/>
      <c r="K727" s="109" t="n"/>
      <c r="L727" s="226">
        <f>IF($E727="","",DATE(YEAR($E727),MONTH($E727),1))</f>
        <v/>
      </c>
      <c r="M727" s="113">
        <f>IF($D727="","",IF($C727="TANIMSIZ MÜŞTERİ","HATA",IF(OR($E727="",$F727&lt;=0,$G727=""),"EKSİK",IF($E727&gt;TODAY(),"İLERİ TARİH",IF(COUNTIF($S$7:$S$1506,$S727)&gt;1,"MÜKERRER?",IF($T727&gt;0,"KAPALI DÖNEM","UYGUN"))))))</f>
        <v/>
      </c>
      <c r="N727" s="121">
        <f>IF($C727="","",IF($C727="TANIMSIZ MÜŞTERİ","—",INDEX(MUSTERILER!$C$7:$C$106,MATCH($C727,MUSTERILER!$B$7:$B$106,0))))</f>
        <v/>
      </c>
      <c r="O727" s="6" t="n"/>
      <c r="P727" s="6" t="n"/>
      <c r="Q727" s="3">
        <f>IF($D727="","",$C727&amp;"|"&amp;COUNTIFS($C$7:$C727,$C727))</f>
        <v/>
      </c>
      <c r="R727" s="3">
        <f>IF($D727="","",UPPER(SUBSTITUTE(SUBSTITUTE(SUBSTITUTE(SUBSTITUTE(SUBSTITUTE(SUBSTITUTE(SUBSTITUTE(SUBSTITUTE(SUBSTITUTE(SUBSTITUTE(SUBSTITUTE(SUBSTITUTE(SUBSTITUTE(SUBSTITUTE(SUBSTITUTE(SUBSTITUTE(SUBSTITUTE(SUBSTITUTE(TRIM($D727),"'",""),"İ","I"),"ı","I"),"i","I"),"Ş","S"),"ş","S"),"Ğ","G"),"ğ","G"),"Ü","U"),"ü","U"),"Ö","O"),"ö","O"),"Ç","C"),"ç","C"),".",""),",","")," ",""),"-","")))</f>
        <v/>
      </c>
      <c r="S727" s="3">
        <f>IF($D727="","",$C727&amp;"|"&amp;TEXT($E727,"0")&amp;"|"&amp;TEXT($F727,"0")&amp;"|"&amp;$I727)</f>
        <v/>
      </c>
      <c r="T727" s="3">
        <f>IF($E727="",0,SUMPRODUCT((AY_SONU!$O$7:$O$42="Evet")*(AY_SONU!$B$7:$B$42=DATE(YEAR($E727),MONTH($E727),1))))</f>
        <v/>
      </c>
    </row>
    <row r="728">
      <c r="A728" s="6" t="n"/>
      <c r="B728" s="113">
        <f>IF($D728="","","T"&amp;TEXT(ROW()-6,"00000"))</f>
        <v/>
      </c>
      <c r="C728" s="113">
        <f>IF($D728="","",IFERROR(INDEX(MUSTERILER!$B$7:$B$106,MATCH($R728,MUSTERILER!$T$7:$T$106,0)),IFERROR(INDEX(MUSTERILER!$B$7:$B$106,MATCH($D728,MUSTERILER!$B$7:$B$106,0)),IFERROR(INDEX(MUSTERILER!$B$7:$B$106,MATCH($R728&amp;"*",MUSTERILER!$T$7:$T$106,0)),"TANIMSIZ MÜŞTERİ"))))</f>
        <v/>
      </c>
      <c r="D728" s="109" t="n"/>
      <c r="E728" s="220" t="n"/>
      <c r="F728" s="221" t="n"/>
      <c r="G728" s="108" t="n"/>
      <c r="H728" s="108" t="n"/>
      <c r="I728" s="109" t="n"/>
      <c r="J728" s="109" t="n"/>
      <c r="K728" s="109" t="n"/>
      <c r="L728" s="226">
        <f>IF($E728="","",DATE(YEAR($E728),MONTH($E728),1))</f>
        <v/>
      </c>
      <c r="M728" s="113">
        <f>IF($D728="","",IF($C728="TANIMSIZ MÜŞTERİ","HATA",IF(OR($E728="",$F728&lt;=0,$G728=""),"EKSİK",IF($E728&gt;TODAY(),"İLERİ TARİH",IF(COUNTIF($S$7:$S$1506,$S728)&gt;1,"MÜKERRER?",IF($T728&gt;0,"KAPALI DÖNEM","UYGUN"))))))</f>
        <v/>
      </c>
      <c r="N728" s="121">
        <f>IF($C728="","",IF($C728="TANIMSIZ MÜŞTERİ","—",INDEX(MUSTERILER!$C$7:$C$106,MATCH($C728,MUSTERILER!$B$7:$B$106,0))))</f>
        <v/>
      </c>
      <c r="O728" s="6" t="n"/>
      <c r="P728" s="6" t="n"/>
      <c r="Q728" s="3">
        <f>IF($D728="","",$C728&amp;"|"&amp;COUNTIFS($C$7:$C728,$C728))</f>
        <v/>
      </c>
      <c r="R728" s="3">
        <f>IF($D728="","",UPPER(SUBSTITUTE(SUBSTITUTE(SUBSTITUTE(SUBSTITUTE(SUBSTITUTE(SUBSTITUTE(SUBSTITUTE(SUBSTITUTE(SUBSTITUTE(SUBSTITUTE(SUBSTITUTE(SUBSTITUTE(SUBSTITUTE(SUBSTITUTE(SUBSTITUTE(SUBSTITUTE(SUBSTITUTE(SUBSTITUTE(TRIM($D728),"'",""),"İ","I"),"ı","I"),"i","I"),"Ş","S"),"ş","S"),"Ğ","G"),"ğ","G"),"Ü","U"),"ü","U"),"Ö","O"),"ö","O"),"Ç","C"),"ç","C"),".",""),",","")," ",""),"-","")))</f>
        <v/>
      </c>
      <c r="S728" s="3">
        <f>IF($D728="","",$C728&amp;"|"&amp;TEXT($E728,"0")&amp;"|"&amp;TEXT($F728,"0")&amp;"|"&amp;$I728)</f>
        <v/>
      </c>
      <c r="T728" s="3">
        <f>IF($E728="",0,SUMPRODUCT((AY_SONU!$O$7:$O$42="Evet")*(AY_SONU!$B$7:$B$42=DATE(YEAR($E728),MONTH($E728),1))))</f>
        <v/>
      </c>
    </row>
    <row r="729">
      <c r="A729" s="6" t="n"/>
      <c r="B729" s="113">
        <f>IF($D729="","","T"&amp;TEXT(ROW()-6,"00000"))</f>
        <v/>
      </c>
      <c r="C729" s="113">
        <f>IF($D729="","",IFERROR(INDEX(MUSTERILER!$B$7:$B$106,MATCH($R729,MUSTERILER!$T$7:$T$106,0)),IFERROR(INDEX(MUSTERILER!$B$7:$B$106,MATCH($D729,MUSTERILER!$B$7:$B$106,0)),IFERROR(INDEX(MUSTERILER!$B$7:$B$106,MATCH($R729&amp;"*",MUSTERILER!$T$7:$T$106,0)),"TANIMSIZ MÜŞTERİ"))))</f>
        <v/>
      </c>
      <c r="D729" s="109" t="n"/>
      <c r="E729" s="220" t="n"/>
      <c r="F729" s="221" t="n"/>
      <c r="G729" s="108" t="n"/>
      <c r="H729" s="108" t="n"/>
      <c r="I729" s="109" t="n"/>
      <c r="J729" s="109" t="n"/>
      <c r="K729" s="109" t="n"/>
      <c r="L729" s="226">
        <f>IF($E729="","",DATE(YEAR($E729),MONTH($E729),1))</f>
        <v/>
      </c>
      <c r="M729" s="113">
        <f>IF($D729="","",IF($C729="TANIMSIZ MÜŞTERİ","HATA",IF(OR($E729="",$F729&lt;=0,$G729=""),"EKSİK",IF($E729&gt;TODAY(),"İLERİ TARİH",IF(COUNTIF($S$7:$S$1506,$S729)&gt;1,"MÜKERRER?",IF($T729&gt;0,"KAPALI DÖNEM","UYGUN"))))))</f>
        <v/>
      </c>
      <c r="N729" s="121">
        <f>IF($C729="","",IF($C729="TANIMSIZ MÜŞTERİ","—",INDEX(MUSTERILER!$C$7:$C$106,MATCH($C729,MUSTERILER!$B$7:$B$106,0))))</f>
        <v/>
      </c>
      <c r="O729" s="6" t="n"/>
      <c r="P729" s="6" t="n"/>
      <c r="Q729" s="3">
        <f>IF($D729="","",$C729&amp;"|"&amp;COUNTIFS($C$7:$C729,$C729))</f>
        <v/>
      </c>
      <c r="R729" s="3">
        <f>IF($D729="","",UPPER(SUBSTITUTE(SUBSTITUTE(SUBSTITUTE(SUBSTITUTE(SUBSTITUTE(SUBSTITUTE(SUBSTITUTE(SUBSTITUTE(SUBSTITUTE(SUBSTITUTE(SUBSTITUTE(SUBSTITUTE(SUBSTITUTE(SUBSTITUTE(SUBSTITUTE(SUBSTITUTE(SUBSTITUTE(SUBSTITUTE(TRIM($D729),"'",""),"İ","I"),"ı","I"),"i","I"),"Ş","S"),"ş","S"),"Ğ","G"),"ğ","G"),"Ü","U"),"ü","U"),"Ö","O"),"ö","O"),"Ç","C"),"ç","C"),".",""),",","")," ",""),"-","")))</f>
        <v/>
      </c>
      <c r="S729" s="3">
        <f>IF($D729="","",$C729&amp;"|"&amp;TEXT($E729,"0")&amp;"|"&amp;TEXT($F729,"0")&amp;"|"&amp;$I729)</f>
        <v/>
      </c>
      <c r="T729" s="3">
        <f>IF($E729="",0,SUMPRODUCT((AY_SONU!$O$7:$O$42="Evet")*(AY_SONU!$B$7:$B$42=DATE(YEAR($E729),MONTH($E729),1))))</f>
        <v/>
      </c>
    </row>
    <row r="730">
      <c r="A730" s="6" t="n"/>
      <c r="B730" s="113">
        <f>IF($D730="","","T"&amp;TEXT(ROW()-6,"00000"))</f>
        <v/>
      </c>
      <c r="C730" s="113">
        <f>IF($D730="","",IFERROR(INDEX(MUSTERILER!$B$7:$B$106,MATCH($R730,MUSTERILER!$T$7:$T$106,0)),IFERROR(INDEX(MUSTERILER!$B$7:$B$106,MATCH($D730,MUSTERILER!$B$7:$B$106,0)),IFERROR(INDEX(MUSTERILER!$B$7:$B$106,MATCH($R730&amp;"*",MUSTERILER!$T$7:$T$106,0)),"TANIMSIZ MÜŞTERİ"))))</f>
        <v/>
      </c>
      <c r="D730" s="109" t="n"/>
      <c r="E730" s="220" t="n"/>
      <c r="F730" s="221" t="n"/>
      <c r="G730" s="108" t="n"/>
      <c r="H730" s="108" t="n"/>
      <c r="I730" s="109" t="n"/>
      <c r="J730" s="109" t="n"/>
      <c r="K730" s="109" t="n"/>
      <c r="L730" s="226">
        <f>IF($E730="","",DATE(YEAR($E730),MONTH($E730),1))</f>
        <v/>
      </c>
      <c r="M730" s="113">
        <f>IF($D730="","",IF($C730="TANIMSIZ MÜŞTERİ","HATA",IF(OR($E730="",$F730&lt;=0,$G730=""),"EKSİK",IF($E730&gt;TODAY(),"İLERİ TARİH",IF(COUNTIF($S$7:$S$1506,$S730)&gt;1,"MÜKERRER?",IF($T730&gt;0,"KAPALI DÖNEM","UYGUN"))))))</f>
        <v/>
      </c>
      <c r="N730" s="121">
        <f>IF($C730="","",IF($C730="TANIMSIZ MÜŞTERİ","—",INDEX(MUSTERILER!$C$7:$C$106,MATCH($C730,MUSTERILER!$B$7:$B$106,0))))</f>
        <v/>
      </c>
      <c r="O730" s="6" t="n"/>
      <c r="P730" s="6" t="n"/>
      <c r="Q730" s="3">
        <f>IF($D730="","",$C730&amp;"|"&amp;COUNTIFS($C$7:$C730,$C730))</f>
        <v/>
      </c>
      <c r="R730" s="3">
        <f>IF($D730="","",UPPER(SUBSTITUTE(SUBSTITUTE(SUBSTITUTE(SUBSTITUTE(SUBSTITUTE(SUBSTITUTE(SUBSTITUTE(SUBSTITUTE(SUBSTITUTE(SUBSTITUTE(SUBSTITUTE(SUBSTITUTE(SUBSTITUTE(SUBSTITUTE(SUBSTITUTE(SUBSTITUTE(SUBSTITUTE(SUBSTITUTE(TRIM($D730),"'",""),"İ","I"),"ı","I"),"i","I"),"Ş","S"),"ş","S"),"Ğ","G"),"ğ","G"),"Ü","U"),"ü","U"),"Ö","O"),"ö","O"),"Ç","C"),"ç","C"),".",""),",","")," ",""),"-","")))</f>
        <v/>
      </c>
      <c r="S730" s="3">
        <f>IF($D730="","",$C730&amp;"|"&amp;TEXT($E730,"0")&amp;"|"&amp;TEXT($F730,"0")&amp;"|"&amp;$I730)</f>
        <v/>
      </c>
      <c r="T730" s="3">
        <f>IF($E730="",0,SUMPRODUCT((AY_SONU!$O$7:$O$42="Evet")*(AY_SONU!$B$7:$B$42=DATE(YEAR($E730),MONTH($E730),1))))</f>
        <v/>
      </c>
    </row>
    <row r="731">
      <c r="A731" s="6" t="n"/>
      <c r="B731" s="113">
        <f>IF($D731="","","T"&amp;TEXT(ROW()-6,"00000"))</f>
        <v/>
      </c>
      <c r="C731" s="113">
        <f>IF($D731="","",IFERROR(INDEX(MUSTERILER!$B$7:$B$106,MATCH($R731,MUSTERILER!$T$7:$T$106,0)),IFERROR(INDEX(MUSTERILER!$B$7:$B$106,MATCH($D731,MUSTERILER!$B$7:$B$106,0)),IFERROR(INDEX(MUSTERILER!$B$7:$B$106,MATCH($R731&amp;"*",MUSTERILER!$T$7:$T$106,0)),"TANIMSIZ MÜŞTERİ"))))</f>
        <v/>
      </c>
      <c r="D731" s="109" t="n"/>
      <c r="E731" s="220" t="n"/>
      <c r="F731" s="221" t="n"/>
      <c r="G731" s="108" t="n"/>
      <c r="H731" s="108" t="n"/>
      <c r="I731" s="109" t="n"/>
      <c r="J731" s="109" t="n"/>
      <c r="K731" s="109" t="n"/>
      <c r="L731" s="226">
        <f>IF($E731="","",DATE(YEAR($E731),MONTH($E731),1))</f>
        <v/>
      </c>
      <c r="M731" s="113">
        <f>IF($D731="","",IF($C731="TANIMSIZ MÜŞTERİ","HATA",IF(OR($E731="",$F731&lt;=0,$G731=""),"EKSİK",IF($E731&gt;TODAY(),"İLERİ TARİH",IF(COUNTIF($S$7:$S$1506,$S731)&gt;1,"MÜKERRER?",IF($T731&gt;0,"KAPALI DÖNEM","UYGUN"))))))</f>
        <v/>
      </c>
      <c r="N731" s="121">
        <f>IF($C731="","",IF($C731="TANIMSIZ MÜŞTERİ","—",INDEX(MUSTERILER!$C$7:$C$106,MATCH($C731,MUSTERILER!$B$7:$B$106,0))))</f>
        <v/>
      </c>
      <c r="O731" s="6" t="n"/>
      <c r="P731" s="6" t="n"/>
      <c r="Q731" s="3">
        <f>IF($D731="","",$C731&amp;"|"&amp;COUNTIFS($C$7:$C731,$C731))</f>
        <v/>
      </c>
      <c r="R731" s="3">
        <f>IF($D731="","",UPPER(SUBSTITUTE(SUBSTITUTE(SUBSTITUTE(SUBSTITUTE(SUBSTITUTE(SUBSTITUTE(SUBSTITUTE(SUBSTITUTE(SUBSTITUTE(SUBSTITUTE(SUBSTITUTE(SUBSTITUTE(SUBSTITUTE(SUBSTITUTE(SUBSTITUTE(SUBSTITUTE(SUBSTITUTE(SUBSTITUTE(TRIM($D731),"'",""),"İ","I"),"ı","I"),"i","I"),"Ş","S"),"ş","S"),"Ğ","G"),"ğ","G"),"Ü","U"),"ü","U"),"Ö","O"),"ö","O"),"Ç","C"),"ç","C"),".",""),",","")," ",""),"-","")))</f>
        <v/>
      </c>
      <c r="S731" s="3">
        <f>IF($D731="","",$C731&amp;"|"&amp;TEXT($E731,"0")&amp;"|"&amp;TEXT($F731,"0")&amp;"|"&amp;$I731)</f>
        <v/>
      </c>
      <c r="T731" s="3">
        <f>IF($E731="",0,SUMPRODUCT((AY_SONU!$O$7:$O$42="Evet")*(AY_SONU!$B$7:$B$42=DATE(YEAR($E731),MONTH($E731),1))))</f>
        <v/>
      </c>
    </row>
    <row r="732">
      <c r="A732" s="6" t="n"/>
      <c r="B732" s="113">
        <f>IF($D732="","","T"&amp;TEXT(ROW()-6,"00000"))</f>
        <v/>
      </c>
      <c r="C732" s="113">
        <f>IF($D732="","",IFERROR(INDEX(MUSTERILER!$B$7:$B$106,MATCH($R732,MUSTERILER!$T$7:$T$106,0)),IFERROR(INDEX(MUSTERILER!$B$7:$B$106,MATCH($D732,MUSTERILER!$B$7:$B$106,0)),IFERROR(INDEX(MUSTERILER!$B$7:$B$106,MATCH($R732&amp;"*",MUSTERILER!$T$7:$T$106,0)),"TANIMSIZ MÜŞTERİ"))))</f>
        <v/>
      </c>
      <c r="D732" s="109" t="n"/>
      <c r="E732" s="220" t="n"/>
      <c r="F732" s="221" t="n"/>
      <c r="G732" s="108" t="n"/>
      <c r="H732" s="108" t="n"/>
      <c r="I732" s="109" t="n"/>
      <c r="J732" s="109" t="n"/>
      <c r="K732" s="109" t="n"/>
      <c r="L732" s="226">
        <f>IF($E732="","",DATE(YEAR($E732),MONTH($E732),1))</f>
        <v/>
      </c>
      <c r="M732" s="113">
        <f>IF($D732="","",IF($C732="TANIMSIZ MÜŞTERİ","HATA",IF(OR($E732="",$F732&lt;=0,$G732=""),"EKSİK",IF($E732&gt;TODAY(),"İLERİ TARİH",IF(COUNTIF($S$7:$S$1506,$S732)&gt;1,"MÜKERRER?",IF($T732&gt;0,"KAPALI DÖNEM","UYGUN"))))))</f>
        <v/>
      </c>
      <c r="N732" s="121">
        <f>IF($C732="","",IF($C732="TANIMSIZ MÜŞTERİ","—",INDEX(MUSTERILER!$C$7:$C$106,MATCH($C732,MUSTERILER!$B$7:$B$106,0))))</f>
        <v/>
      </c>
      <c r="O732" s="6" t="n"/>
      <c r="P732" s="6" t="n"/>
      <c r="Q732" s="3">
        <f>IF($D732="","",$C732&amp;"|"&amp;COUNTIFS($C$7:$C732,$C732))</f>
        <v/>
      </c>
      <c r="R732" s="3">
        <f>IF($D732="","",UPPER(SUBSTITUTE(SUBSTITUTE(SUBSTITUTE(SUBSTITUTE(SUBSTITUTE(SUBSTITUTE(SUBSTITUTE(SUBSTITUTE(SUBSTITUTE(SUBSTITUTE(SUBSTITUTE(SUBSTITUTE(SUBSTITUTE(SUBSTITUTE(SUBSTITUTE(SUBSTITUTE(SUBSTITUTE(SUBSTITUTE(TRIM($D732),"'",""),"İ","I"),"ı","I"),"i","I"),"Ş","S"),"ş","S"),"Ğ","G"),"ğ","G"),"Ü","U"),"ü","U"),"Ö","O"),"ö","O"),"Ç","C"),"ç","C"),".",""),",","")," ",""),"-","")))</f>
        <v/>
      </c>
      <c r="S732" s="3">
        <f>IF($D732="","",$C732&amp;"|"&amp;TEXT($E732,"0")&amp;"|"&amp;TEXT($F732,"0")&amp;"|"&amp;$I732)</f>
        <v/>
      </c>
      <c r="T732" s="3">
        <f>IF($E732="",0,SUMPRODUCT((AY_SONU!$O$7:$O$42="Evet")*(AY_SONU!$B$7:$B$42=DATE(YEAR($E732),MONTH($E732),1))))</f>
        <v/>
      </c>
    </row>
    <row r="733">
      <c r="A733" s="6" t="n"/>
      <c r="B733" s="113">
        <f>IF($D733="","","T"&amp;TEXT(ROW()-6,"00000"))</f>
        <v/>
      </c>
      <c r="C733" s="113">
        <f>IF($D733="","",IFERROR(INDEX(MUSTERILER!$B$7:$B$106,MATCH($R733,MUSTERILER!$T$7:$T$106,0)),IFERROR(INDEX(MUSTERILER!$B$7:$B$106,MATCH($D733,MUSTERILER!$B$7:$B$106,0)),IFERROR(INDEX(MUSTERILER!$B$7:$B$106,MATCH($R733&amp;"*",MUSTERILER!$T$7:$T$106,0)),"TANIMSIZ MÜŞTERİ"))))</f>
        <v/>
      </c>
      <c r="D733" s="109" t="n"/>
      <c r="E733" s="220" t="n"/>
      <c r="F733" s="221" t="n"/>
      <c r="G733" s="108" t="n"/>
      <c r="H733" s="108" t="n"/>
      <c r="I733" s="109" t="n"/>
      <c r="J733" s="109" t="n"/>
      <c r="K733" s="109" t="n"/>
      <c r="L733" s="226">
        <f>IF($E733="","",DATE(YEAR($E733),MONTH($E733),1))</f>
        <v/>
      </c>
      <c r="M733" s="113">
        <f>IF($D733="","",IF($C733="TANIMSIZ MÜŞTERİ","HATA",IF(OR($E733="",$F733&lt;=0,$G733=""),"EKSİK",IF($E733&gt;TODAY(),"İLERİ TARİH",IF(COUNTIF($S$7:$S$1506,$S733)&gt;1,"MÜKERRER?",IF($T733&gt;0,"KAPALI DÖNEM","UYGUN"))))))</f>
        <v/>
      </c>
      <c r="N733" s="121">
        <f>IF($C733="","",IF($C733="TANIMSIZ MÜŞTERİ","—",INDEX(MUSTERILER!$C$7:$C$106,MATCH($C733,MUSTERILER!$B$7:$B$106,0))))</f>
        <v/>
      </c>
      <c r="O733" s="6" t="n"/>
      <c r="P733" s="6" t="n"/>
      <c r="Q733" s="3">
        <f>IF($D733="","",$C733&amp;"|"&amp;COUNTIFS($C$7:$C733,$C733))</f>
        <v/>
      </c>
      <c r="R733" s="3">
        <f>IF($D733="","",UPPER(SUBSTITUTE(SUBSTITUTE(SUBSTITUTE(SUBSTITUTE(SUBSTITUTE(SUBSTITUTE(SUBSTITUTE(SUBSTITUTE(SUBSTITUTE(SUBSTITUTE(SUBSTITUTE(SUBSTITUTE(SUBSTITUTE(SUBSTITUTE(SUBSTITUTE(SUBSTITUTE(SUBSTITUTE(SUBSTITUTE(TRIM($D733),"'",""),"İ","I"),"ı","I"),"i","I"),"Ş","S"),"ş","S"),"Ğ","G"),"ğ","G"),"Ü","U"),"ü","U"),"Ö","O"),"ö","O"),"Ç","C"),"ç","C"),".",""),",","")," ",""),"-","")))</f>
        <v/>
      </c>
      <c r="S733" s="3">
        <f>IF($D733="","",$C733&amp;"|"&amp;TEXT($E733,"0")&amp;"|"&amp;TEXT($F733,"0")&amp;"|"&amp;$I733)</f>
        <v/>
      </c>
      <c r="T733" s="3">
        <f>IF($E733="",0,SUMPRODUCT((AY_SONU!$O$7:$O$42="Evet")*(AY_SONU!$B$7:$B$42=DATE(YEAR($E733),MONTH($E733),1))))</f>
        <v/>
      </c>
    </row>
    <row r="734">
      <c r="A734" s="6" t="n"/>
      <c r="B734" s="113">
        <f>IF($D734="","","T"&amp;TEXT(ROW()-6,"00000"))</f>
        <v/>
      </c>
      <c r="C734" s="113">
        <f>IF($D734="","",IFERROR(INDEX(MUSTERILER!$B$7:$B$106,MATCH($R734,MUSTERILER!$T$7:$T$106,0)),IFERROR(INDEX(MUSTERILER!$B$7:$B$106,MATCH($D734,MUSTERILER!$B$7:$B$106,0)),IFERROR(INDEX(MUSTERILER!$B$7:$B$106,MATCH($R734&amp;"*",MUSTERILER!$T$7:$T$106,0)),"TANIMSIZ MÜŞTERİ"))))</f>
        <v/>
      </c>
      <c r="D734" s="109" t="n"/>
      <c r="E734" s="220" t="n"/>
      <c r="F734" s="221" t="n"/>
      <c r="G734" s="108" t="n"/>
      <c r="H734" s="108" t="n"/>
      <c r="I734" s="109" t="n"/>
      <c r="J734" s="109" t="n"/>
      <c r="K734" s="109" t="n"/>
      <c r="L734" s="226">
        <f>IF($E734="","",DATE(YEAR($E734),MONTH($E734),1))</f>
        <v/>
      </c>
      <c r="M734" s="113">
        <f>IF($D734="","",IF($C734="TANIMSIZ MÜŞTERİ","HATA",IF(OR($E734="",$F734&lt;=0,$G734=""),"EKSİK",IF($E734&gt;TODAY(),"İLERİ TARİH",IF(COUNTIF($S$7:$S$1506,$S734)&gt;1,"MÜKERRER?",IF($T734&gt;0,"KAPALI DÖNEM","UYGUN"))))))</f>
        <v/>
      </c>
      <c r="N734" s="121">
        <f>IF($C734="","",IF($C734="TANIMSIZ MÜŞTERİ","—",INDEX(MUSTERILER!$C$7:$C$106,MATCH($C734,MUSTERILER!$B$7:$B$106,0))))</f>
        <v/>
      </c>
      <c r="O734" s="6" t="n"/>
      <c r="P734" s="6" t="n"/>
      <c r="Q734" s="3">
        <f>IF($D734="","",$C734&amp;"|"&amp;COUNTIFS($C$7:$C734,$C734))</f>
        <v/>
      </c>
      <c r="R734" s="3">
        <f>IF($D734="","",UPPER(SUBSTITUTE(SUBSTITUTE(SUBSTITUTE(SUBSTITUTE(SUBSTITUTE(SUBSTITUTE(SUBSTITUTE(SUBSTITUTE(SUBSTITUTE(SUBSTITUTE(SUBSTITUTE(SUBSTITUTE(SUBSTITUTE(SUBSTITUTE(SUBSTITUTE(SUBSTITUTE(SUBSTITUTE(SUBSTITUTE(TRIM($D734),"'",""),"İ","I"),"ı","I"),"i","I"),"Ş","S"),"ş","S"),"Ğ","G"),"ğ","G"),"Ü","U"),"ü","U"),"Ö","O"),"ö","O"),"Ç","C"),"ç","C"),".",""),",","")," ",""),"-","")))</f>
        <v/>
      </c>
      <c r="S734" s="3">
        <f>IF($D734="","",$C734&amp;"|"&amp;TEXT($E734,"0")&amp;"|"&amp;TEXT($F734,"0")&amp;"|"&amp;$I734)</f>
        <v/>
      </c>
      <c r="T734" s="3">
        <f>IF($E734="",0,SUMPRODUCT((AY_SONU!$O$7:$O$42="Evet")*(AY_SONU!$B$7:$B$42=DATE(YEAR($E734),MONTH($E734),1))))</f>
        <v/>
      </c>
    </row>
    <row r="735">
      <c r="A735" s="6" t="n"/>
      <c r="B735" s="113">
        <f>IF($D735="","","T"&amp;TEXT(ROW()-6,"00000"))</f>
        <v/>
      </c>
      <c r="C735" s="113">
        <f>IF($D735="","",IFERROR(INDEX(MUSTERILER!$B$7:$B$106,MATCH($R735,MUSTERILER!$T$7:$T$106,0)),IFERROR(INDEX(MUSTERILER!$B$7:$B$106,MATCH($D735,MUSTERILER!$B$7:$B$106,0)),IFERROR(INDEX(MUSTERILER!$B$7:$B$106,MATCH($R735&amp;"*",MUSTERILER!$T$7:$T$106,0)),"TANIMSIZ MÜŞTERİ"))))</f>
        <v/>
      </c>
      <c r="D735" s="109" t="n"/>
      <c r="E735" s="220" t="n"/>
      <c r="F735" s="221" t="n"/>
      <c r="G735" s="108" t="n"/>
      <c r="H735" s="108" t="n"/>
      <c r="I735" s="109" t="n"/>
      <c r="J735" s="109" t="n"/>
      <c r="K735" s="109" t="n"/>
      <c r="L735" s="226">
        <f>IF($E735="","",DATE(YEAR($E735),MONTH($E735),1))</f>
        <v/>
      </c>
      <c r="M735" s="113">
        <f>IF($D735="","",IF($C735="TANIMSIZ MÜŞTERİ","HATA",IF(OR($E735="",$F735&lt;=0,$G735=""),"EKSİK",IF($E735&gt;TODAY(),"İLERİ TARİH",IF(COUNTIF($S$7:$S$1506,$S735)&gt;1,"MÜKERRER?",IF($T735&gt;0,"KAPALI DÖNEM","UYGUN"))))))</f>
        <v/>
      </c>
      <c r="N735" s="121">
        <f>IF($C735="","",IF($C735="TANIMSIZ MÜŞTERİ","—",INDEX(MUSTERILER!$C$7:$C$106,MATCH($C735,MUSTERILER!$B$7:$B$106,0))))</f>
        <v/>
      </c>
      <c r="O735" s="6" t="n"/>
      <c r="P735" s="6" t="n"/>
      <c r="Q735" s="3">
        <f>IF($D735="","",$C735&amp;"|"&amp;COUNTIFS($C$7:$C735,$C735))</f>
        <v/>
      </c>
      <c r="R735" s="3">
        <f>IF($D735="","",UPPER(SUBSTITUTE(SUBSTITUTE(SUBSTITUTE(SUBSTITUTE(SUBSTITUTE(SUBSTITUTE(SUBSTITUTE(SUBSTITUTE(SUBSTITUTE(SUBSTITUTE(SUBSTITUTE(SUBSTITUTE(SUBSTITUTE(SUBSTITUTE(SUBSTITUTE(SUBSTITUTE(SUBSTITUTE(SUBSTITUTE(TRIM($D735),"'",""),"İ","I"),"ı","I"),"i","I"),"Ş","S"),"ş","S"),"Ğ","G"),"ğ","G"),"Ü","U"),"ü","U"),"Ö","O"),"ö","O"),"Ç","C"),"ç","C"),".",""),",","")," ",""),"-","")))</f>
        <v/>
      </c>
      <c r="S735" s="3">
        <f>IF($D735="","",$C735&amp;"|"&amp;TEXT($E735,"0")&amp;"|"&amp;TEXT($F735,"0")&amp;"|"&amp;$I735)</f>
        <v/>
      </c>
      <c r="T735" s="3">
        <f>IF($E735="",0,SUMPRODUCT((AY_SONU!$O$7:$O$42="Evet")*(AY_SONU!$B$7:$B$42=DATE(YEAR($E735),MONTH($E735),1))))</f>
        <v/>
      </c>
    </row>
    <row r="736">
      <c r="A736" s="6" t="n"/>
      <c r="B736" s="113">
        <f>IF($D736="","","T"&amp;TEXT(ROW()-6,"00000"))</f>
        <v/>
      </c>
      <c r="C736" s="113">
        <f>IF($D736="","",IFERROR(INDEX(MUSTERILER!$B$7:$B$106,MATCH($R736,MUSTERILER!$T$7:$T$106,0)),IFERROR(INDEX(MUSTERILER!$B$7:$B$106,MATCH($D736,MUSTERILER!$B$7:$B$106,0)),IFERROR(INDEX(MUSTERILER!$B$7:$B$106,MATCH($R736&amp;"*",MUSTERILER!$T$7:$T$106,0)),"TANIMSIZ MÜŞTERİ"))))</f>
        <v/>
      </c>
      <c r="D736" s="109" t="n"/>
      <c r="E736" s="220" t="n"/>
      <c r="F736" s="221" t="n"/>
      <c r="G736" s="108" t="n"/>
      <c r="H736" s="108" t="n"/>
      <c r="I736" s="109" t="n"/>
      <c r="J736" s="109" t="n"/>
      <c r="K736" s="109" t="n"/>
      <c r="L736" s="226">
        <f>IF($E736="","",DATE(YEAR($E736),MONTH($E736),1))</f>
        <v/>
      </c>
      <c r="M736" s="113">
        <f>IF($D736="","",IF($C736="TANIMSIZ MÜŞTERİ","HATA",IF(OR($E736="",$F736&lt;=0,$G736=""),"EKSİK",IF($E736&gt;TODAY(),"İLERİ TARİH",IF(COUNTIF($S$7:$S$1506,$S736)&gt;1,"MÜKERRER?",IF($T736&gt;0,"KAPALI DÖNEM","UYGUN"))))))</f>
        <v/>
      </c>
      <c r="N736" s="121">
        <f>IF($C736="","",IF($C736="TANIMSIZ MÜŞTERİ","—",INDEX(MUSTERILER!$C$7:$C$106,MATCH($C736,MUSTERILER!$B$7:$B$106,0))))</f>
        <v/>
      </c>
      <c r="O736" s="6" t="n"/>
      <c r="P736" s="6" t="n"/>
      <c r="Q736" s="3">
        <f>IF($D736="","",$C736&amp;"|"&amp;COUNTIFS($C$7:$C736,$C736))</f>
        <v/>
      </c>
      <c r="R736" s="3">
        <f>IF($D736="","",UPPER(SUBSTITUTE(SUBSTITUTE(SUBSTITUTE(SUBSTITUTE(SUBSTITUTE(SUBSTITUTE(SUBSTITUTE(SUBSTITUTE(SUBSTITUTE(SUBSTITUTE(SUBSTITUTE(SUBSTITUTE(SUBSTITUTE(SUBSTITUTE(SUBSTITUTE(SUBSTITUTE(SUBSTITUTE(SUBSTITUTE(TRIM($D736),"'",""),"İ","I"),"ı","I"),"i","I"),"Ş","S"),"ş","S"),"Ğ","G"),"ğ","G"),"Ü","U"),"ü","U"),"Ö","O"),"ö","O"),"Ç","C"),"ç","C"),".",""),",","")," ",""),"-","")))</f>
        <v/>
      </c>
      <c r="S736" s="3">
        <f>IF($D736="","",$C736&amp;"|"&amp;TEXT($E736,"0")&amp;"|"&amp;TEXT($F736,"0")&amp;"|"&amp;$I736)</f>
        <v/>
      </c>
      <c r="T736" s="3">
        <f>IF($E736="",0,SUMPRODUCT((AY_SONU!$O$7:$O$42="Evet")*(AY_SONU!$B$7:$B$42=DATE(YEAR($E736),MONTH($E736),1))))</f>
        <v/>
      </c>
    </row>
    <row r="737">
      <c r="A737" s="6" t="n"/>
      <c r="B737" s="113">
        <f>IF($D737="","","T"&amp;TEXT(ROW()-6,"00000"))</f>
        <v/>
      </c>
      <c r="C737" s="113">
        <f>IF($D737="","",IFERROR(INDEX(MUSTERILER!$B$7:$B$106,MATCH($R737,MUSTERILER!$T$7:$T$106,0)),IFERROR(INDEX(MUSTERILER!$B$7:$B$106,MATCH($D737,MUSTERILER!$B$7:$B$106,0)),IFERROR(INDEX(MUSTERILER!$B$7:$B$106,MATCH($R737&amp;"*",MUSTERILER!$T$7:$T$106,0)),"TANIMSIZ MÜŞTERİ"))))</f>
        <v/>
      </c>
      <c r="D737" s="109" t="n"/>
      <c r="E737" s="220" t="n"/>
      <c r="F737" s="221" t="n"/>
      <c r="G737" s="108" t="n"/>
      <c r="H737" s="108" t="n"/>
      <c r="I737" s="109" t="n"/>
      <c r="J737" s="109" t="n"/>
      <c r="K737" s="109" t="n"/>
      <c r="L737" s="226">
        <f>IF($E737="","",DATE(YEAR($E737),MONTH($E737),1))</f>
        <v/>
      </c>
      <c r="M737" s="113">
        <f>IF($D737="","",IF($C737="TANIMSIZ MÜŞTERİ","HATA",IF(OR($E737="",$F737&lt;=0,$G737=""),"EKSİK",IF($E737&gt;TODAY(),"İLERİ TARİH",IF(COUNTIF($S$7:$S$1506,$S737)&gt;1,"MÜKERRER?",IF($T737&gt;0,"KAPALI DÖNEM","UYGUN"))))))</f>
        <v/>
      </c>
      <c r="N737" s="121">
        <f>IF($C737="","",IF($C737="TANIMSIZ MÜŞTERİ","—",INDEX(MUSTERILER!$C$7:$C$106,MATCH($C737,MUSTERILER!$B$7:$B$106,0))))</f>
        <v/>
      </c>
      <c r="O737" s="6" t="n"/>
      <c r="P737" s="6" t="n"/>
      <c r="Q737" s="3">
        <f>IF($D737="","",$C737&amp;"|"&amp;COUNTIFS($C$7:$C737,$C737))</f>
        <v/>
      </c>
      <c r="R737" s="3">
        <f>IF($D737="","",UPPER(SUBSTITUTE(SUBSTITUTE(SUBSTITUTE(SUBSTITUTE(SUBSTITUTE(SUBSTITUTE(SUBSTITUTE(SUBSTITUTE(SUBSTITUTE(SUBSTITUTE(SUBSTITUTE(SUBSTITUTE(SUBSTITUTE(SUBSTITUTE(SUBSTITUTE(SUBSTITUTE(SUBSTITUTE(SUBSTITUTE(TRIM($D737),"'",""),"İ","I"),"ı","I"),"i","I"),"Ş","S"),"ş","S"),"Ğ","G"),"ğ","G"),"Ü","U"),"ü","U"),"Ö","O"),"ö","O"),"Ç","C"),"ç","C"),".",""),",","")," ",""),"-","")))</f>
        <v/>
      </c>
      <c r="S737" s="3">
        <f>IF($D737="","",$C737&amp;"|"&amp;TEXT($E737,"0")&amp;"|"&amp;TEXT($F737,"0")&amp;"|"&amp;$I737)</f>
        <v/>
      </c>
      <c r="T737" s="3">
        <f>IF($E737="",0,SUMPRODUCT((AY_SONU!$O$7:$O$42="Evet")*(AY_SONU!$B$7:$B$42=DATE(YEAR($E737),MONTH($E737),1))))</f>
        <v/>
      </c>
    </row>
    <row r="738">
      <c r="A738" s="6" t="n"/>
      <c r="B738" s="113">
        <f>IF($D738="","","T"&amp;TEXT(ROW()-6,"00000"))</f>
        <v/>
      </c>
      <c r="C738" s="113">
        <f>IF($D738="","",IFERROR(INDEX(MUSTERILER!$B$7:$B$106,MATCH($R738,MUSTERILER!$T$7:$T$106,0)),IFERROR(INDEX(MUSTERILER!$B$7:$B$106,MATCH($D738,MUSTERILER!$B$7:$B$106,0)),IFERROR(INDEX(MUSTERILER!$B$7:$B$106,MATCH($R738&amp;"*",MUSTERILER!$T$7:$T$106,0)),"TANIMSIZ MÜŞTERİ"))))</f>
        <v/>
      </c>
      <c r="D738" s="109" t="n"/>
      <c r="E738" s="220" t="n"/>
      <c r="F738" s="221" t="n"/>
      <c r="G738" s="108" t="n"/>
      <c r="H738" s="108" t="n"/>
      <c r="I738" s="109" t="n"/>
      <c r="J738" s="109" t="n"/>
      <c r="K738" s="109" t="n"/>
      <c r="L738" s="226">
        <f>IF($E738="","",DATE(YEAR($E738),MONTH($E738),1))</f>
        <v/>
      </c>
      <c r="M738" s="113">
        <f>IF($D738="","",IF($C738="TANIMSIZ MÜŞTERİ","HATA",IF(OR($E738="",$F738&lt;=0,$G738=""),"EKSİK",IF($E738&gt;TODAY(),"İLERİ TARİH",IF(COUNTIF($S$7:$S$1506,$S738)&gt;1,"MÜKERRER?",IF($T738&gt;0,"KAPALI DÖNEM","UYGUN"))))))</f>
        <v/>
      </c>
      <c r="N738" s="121">
        <f>IF($C738="","",IF($C738="TANIMSIZ MÜŞTERİ","—",INDEX(MUSTERILER!$C$7:$C$106,MATCH($C738,MUSTERILER!$B$7:$B$106,0))))</f>
        <v/>
      </c>
      <c r="O738" s="6" t="n"/>
      <c r="P738" s="6" t="n"/>
      <c r="Q738" s="3">
        <f>IF($D738="","",$C738&amp;"|"&amp;COUNTIFS($C$7:$C738,$C738))</f>
        <v/>
      </c>
      <c r="R738" s="3">
        <f>IF($D738="","",UPPER(SUBSTITUTE(SUBSTITUTE(SUBSTITUTE(SUBSTITUTE(SUBSTITUTE(SUBSTITUTE(SUBSTITUTE(SUBSTITUTE(SUBSTITUTE(SUBSTITUTE(SUBSTITUTE(SUBSTITUTE(SUBSTITUTE(SUBSTITUTE(SUBSTITUTE(SUBSTITUTE(SUBSTITUTE(SUBSTITUTE(TRIM($D738),"'",""),"İ","I"),"ı","I"),"i","I"),"Ş","S"),"ş","S"),"Ğ","G"),"ğ","G"),"Ü","U"),"ü","U"),"Ö","O"),"ö","O"),"Ç","C"),"ç","C"),".",""),",","")," ",""),"-","")))</f>
        <v/>
      </c>
      <c r="S738" s="3">
        <f>IF($D738="","",$C738&amp;"|"&amp;TEXT($E738,"0")&amp;"|"&amp;TEXT($F738,"0")&amp;"|"&amp;$I738)</f>
        <v/>
      </c>
      <c r="T738" s="3">
        <f>IF($E738="",0,SUMPRODUCT((AY_SONU!$O$7:$O$42="Evet")*(AY_SONU!$B$7:$B$42=DATE(YEAR($E738),MONTH($E738),1))))</f>
        <v/>
      </c>
    </row>
    <row r="739">
      <c r="A739" s="6" t="n"/>
      <c r="B739" s="113">
        <f>IF($D739="","","T"&amp;TEXT(ROW()-6,"00000"))</f>
        <v/>
      </c>
      <c r="C739" s="113">
        <f>IF($D739="","",IFERROR(INDEX(MUSTERILER!$B$7:$B$106,MATCH($R739,MUSTERILER!$T$7:$T$106,0)),IFERROR(INDEX(MUSTERILER!$B$7:$B$106,MATCH($D739,MUSTERILER!$B$7:$B$106,0)),IFERROR(INDEX(MUSTERILER!$B$7:$B$106,MATCH($R739&amp;"*",MUSTERILER!$T$7:$T$106,0)),"TANIMSIZ MÜŞTERİ"))))</f>
        <v/>
      </c>
      <c r="D739" s="109" t="n"/>
      <c r="E739" s="220" t="n"/>
      <c r="F739" s="221" t="n"/>
      <c r="G739" s="108" t="n"/>
      <c r="H739" s="108" t="n"/>
      <c r="I739" s="109" t="n"/>
      <c r="J739" s="109" t="n"/>
      <c r="K739" s="109" t="n"/>
      <c r="L739" s="226">
        <f>IF($E739="","",DATE(YEAR($E739),MONTH($E739),1))</f>
        <v/>
      </c>
      <c r="M739" s="113">
        <f>IF($D739="","",IF($C739="TANIMSIZ MÜŞTERİ","HATA",IF(OR($E739="",$F739&lt;=0,$G739=""),"EKSİK",IF($E739&gt;TODAY(),"İLERİ TARİH",IF(COUNTIF($S$7:$S$1506,$S739)&gt;1,"MÜKERRER?",IF($T739&gt;0,"KAPALI DÖNEM","UYGUN"))))))</f>
        <v/>
      </c>
      <c r="N739" s="121">
        <f>IF($C739="","",IF($C739="TANIMSIZ MÜŞTERİ","—",INDEX(MUSTERILER!$C$7:$C$106,MATCH($C739,MUSTERILER!$B$7:$B$106,0))))</f>
        <v/>
      </c>
      <c r="O739" s="6" t="n"/>
      <c r="P739" s="6" t="n"/>
      <c r="Q739" s="3">
        <f>IF($D739="","",$C739&amp;"|"&amp;COUNTIFS($C$7:$C739,$C739))</f>
        <v/>
      </c>
      <c r="R739" s="3">
        <f>IF($D739="","",UPPER(SUBSTITUTE(SUBSTITUTE(SUBSTITUTE(SUBSTITUTE(SUBSTITUTE(SUBSTITUTE(SUBSTITUTE(SUBSTITUTE(SUBSTITUTE(SUBSTITUTE(SUBSTITUTE(SUBSTITUTE(SUBSTITUTE(SUBSTITUTE(SUBSTITUTE(SUBSTITUTE(SUBSTITUTE(SUBSTITUTE(TRIM($D739),"'",""),"İ","I"),"ı","I"),"i","I"),"Ş","S"),"ş","S"),"Ğ","G"),"ğ","G"),"Ü","U"),"ü","U"),"Ö","O"),"ö","O"),"Ç","C"),"ç","C"),".",""),",","")," ",""),"-","")))</f>
        <v/>
      </c>
      <c r="S739" s="3">
        <f>IF($D739="","",$C739&amp;"|"&amp;TEXT($E739,"0")&amp;"|"&amp;TEXT($F739,"0")&amp;"|"&amp;$I739)</f>
        <v/>
      </c>
      <c r="T739" s="3">
        <f>IF($E739="",0,SUMPRODUCT((AY_SONU!$O$7:$O$42="Evet")*(AY_SONU!$B$7:$B$42=DATE(YEAR($E739),MONTH($E739),1))))</f>
        <v/>
      </c>
    </row>
    <row r="740">
      <c r="A740" s="6" t="n"/>
      <c r="B740" s="113">
        <f>IF($D740="","","T"&amp;TEXT(ROW()-6,"00000"))</f>
        <v/>
      </c>
      <c r="C740" s="113">
        <f>IF($D740="","",IFERROR(INDEX(MUSTERILER!$B$7:$B$106,MATCH($R740,MUSTERILER!$T$7:$T$106,0)),IFERROR(INDEX(MUSTERILER!$B$7:$B$106,MATCH($D740,MUSTERILER!$B$7:$B$106,0)),IFERROR(INDEX(MUSTERILER!$B$7:$B$106,MATCH($R740&amp;"*",MUSTERILER!$T$7:$T$106,0)),"TANIMSIZ MÜŞTERİ"))))</f>
        <v/>
      </c>
      <c r="D740" s="109" t="n"/>
      <c r="E740" s="220" t="n"/>
      <c r="F740" s="221" t="n"/>
      <c r="G740" s="108" t="n"/>
      <c r="H740" s="108" t="n"/>
      <c r="I740" s="109" t="n"/>
      <c r="J740" s="109" t="n"/>
      <c r="K740" s="109" t="n"/>
      <c r="L740" s="226">
        <f>IF($E740="","",DATE(YEAR($E740),MONTH($E740),1))</f>
        <v/>
      </c>
      <c r="M740" s="113">
        <f>IF($D740="","",IF($C740="TANIMSIZ MÜŞTERİ","HATA",IF(OR($E740="",$F740&lt;=0,$G740=""),"EKSİK",IF($E740&gt;TODAY(),"İLERİ TARİH",IF(COUNTIF($S$7:$S$1506,$S740)&gt;1,"MÜKERRER?",IF($T740&gt;0,"KAPALI DÖNEM","UYGUN"))))))</f>
        <v/>
      </c>
      <c r="N740" s="121">
        <f>IF($C740="","",IF($C740="TANIMSIZ MÜŞTERİ","—",INDEX(MUSTERILER!$C$7:$C$106,MATCH($C740,MUSTERILER!$B$7:$B$106,0))))</f>
        <v/>
      </c>
      <c r="O740" s="6" t="n"/>
      <c r="P740" s="6" t="n"/>
      <c r="Q740" s="3">
        <f>IF($D740="","",$C740&amp;"|"&amp;COUNTIFS($C$7:$C740,$C740))</f>
        <v/>
      </c>
      <c r="R740" s="3">
        <f>IF($D740="","",UPPER(SUBSTITUTE(SUBSTITUTE(SUBSTITUTE(SUBSTITUTE(SUBSTITUTE(SUBSTITUTE(SUBSTITUTE(SUBSTITUTE(SUBSTITUTE(SUBSTITUTE(SUBSTITUTE(SUBSTITUTE(SUBSTITUTE(SUBSTITUTE(SUBSTITUTE(SUBSTITUTE(SUBSTITUTE(SUBSTITUTE(TRIM($D740),"'",""),"İ","I"),"ı","I"),"i","I"),"Ş","S"),"ş","S"),"Ğ","G"),"ğ","G"),"Ü","U"),"ü","U"),"Ö","O"),"ö","O"),"Ç","C"),"ç","C"),".",""),",","")," ",""),"-","")))</f>
        <v/>
      </c>
      <c r="S740" s="3">
        <f>IF($D740="","",$C740&amp;"|"&amp;TEXT($E740,"0")&amp;"|"&amp;TEXT($F740,"0")&amp;"|"&amp;$I740)</f>
        <v/>
      </c>
      <c r="T740" s="3">
        <f>IF($E740="",0,SUMPRODUCT((AY_SONU!$O$7:$O$42="Evet")*(AY_SONU!$B$7:$B$42=DATE(YEAR($E740),MONTH($E740),1))))</f>
        <v/>
      </c>
    </row>
    <row r="741">
      <c r="A741" s="6" t="n"/>
      <c r="B741" s="113">
        <f>IF($D741="","","T"&amp;TEXT(ROW()-6,"00000"))</f>
        <v/>
      </c>
      <c r="C741" s="113">
        <f>IF($D741="","",IFERROR(INDEX(MUSTERILER!$B$7:$B$106,MATCH($R741,MUSTERILER!$T$7:$T$106,0)),IFERROR(INDEX(MUSTERILER!$B$7:$B$106,MATCH($D741,MUSTERILER!$B$7:$B$106,0)),IFERROR(INDEX(MUSTERILER!$B$7:$B$106,MATCH($R741&amp;"*",MUSTERILER!$T$7:$T$106,0)),"TANIMSIZ MÜŞTERİ"))))</f>
        <v/>
      </c>
      <c r="D741" s="109" t="n"/>
      <c r="E741" s="220" t="n"/>
      <c r="F741" s="221" t="n"/>
      <c r="G741" s="108" t="n"/>
      <c r="H741" s="108" t="n"/>
      <c r="I741" s="109" t="n"/>
      <c r="J741" s="109" t="n"/>
      <c r="K741" s="109" t="n"/>
      <c r="L741" s="226">
        <f>IF($E741="","",DATE(YEAR($E741),MONTH($E741),1))</f>
        <v/>
      </c>
      <c r="M741" s="113">
        <f>IF($D741="","",IF($C741="TANIMSIZ MÜŞTERİ","HATA",IF(OR($E741="",$F741&lt;=0,$G741=""),"EKSİK",IF($E741&gt;TODAY(),"İLERİ TARİH",IF(COUNTIF($S$7:$S$1506,$S741)&gt;1,"MÜKERRER?",IF($T741&gt;0,"KAPALI DÖNEM","UYGUN"))))))</f>
        <v/>
      </c>
      <c r="N741" s="121">
        <f>IF($C741="","",IF($C741="TANIMSIZ MÜŞTERİ","—",INDEX(MUSTERILER!$C$7:$C$106,MATCH($C741,MUSTERILER!$B$7:$B$106,0))))</f>
        <v/>
      </c>
      <c r="O741" s="6" t="n"/>
      <c r="P741" s="6" t="n"/>
      <c r="Q741" s="3">
        <f>IF($D741="","",$C741&amp;"|"&amp;COUNTIFS($C$7:$C741,$C741))</f>
        <v/>
      </c>
      <c r="R741" s="3">
        <f>IF($D741="","",UPPER(SUBSTITUTE(SUBSTITUTE(SUBSTITUTE(SUBSTITUTE(SUBSTITUTE(SUBSTITUTE(SUBSTITUTE(SUBSTITUTE(SUBSTITUTE(SUBSTITUTE(SUBSTITUTE(SUBSTITUTE(SUBSTITUTE(SUBSTITUTE(SUBSTITUTE(SUBSTITUTE(SUBSTITUTE(SUBSTITUTE(TRIM($D741),"'",""),"İ","I"),"ı","I"),"i","I"),"Ş","S"),"ş","S"),"Ğ","G"),"ğ","G"),"Ü","U"),"ü","U"),"Ö","O"),"ö","O"),"Ç","C"),"ç","C"),".",""),",","")," ",""),"-","")))</f>
        <v/>
      </c>
      <c r="S741" s="3">
        <f>IF($D741="","",$C741&amp;"|"&amp;TEXT($E741,"0")&amp;"|"&amp;TEXT($F741,"0")&amp;"|"&amp;$I741)</f>
        <v/>
      </c>
      <c r="T741" s="3">
        <f>IF($E741="",0,SUMPRODUCT((AY_SONU!$O$7:$O$42="Evet")*(AY_SONU!$B$7:$B$42=DATE(YEAR($E741),MONTH($E741),1))))</f>
        <v/>
      </c>
    </row>
    <row r="742">
      <c r="A742" s="6" t="n"/>
      <c r="B742" s="113">
        <f>IF($D742="","","T"&amp;TEXT(ROW()-6,"00000"))</f>
        <v/>
      </c>
      <c r="C742" s="113">
        <f>IF($D742="","",IFERROR(INDEX(MUSTERILER!$B$7:$B$106,MATCH($R742,MUSTERILER!$T$7:$T$106,0)),IFERROR(INDEX(MUSTERILER!$B$7:$B$106,MATCH($D742,MUSTERILER!$B$7:$B$106,0)),IFERROR(INDEX(MUSTERILER!$B$7:$B$106,MATCH($R742&amp;"*",MUSTERILER!$T$7:$T$106,0)),"TANIMSIZ MÜŞTERİ"))))</f>
        <v/>
      </c>
      <c r="D742" s="109" t="n"/>
      <c r="E742" s="220" t="n"/>
      <c r="F742" s="221" t="n"/>
      <c r="G742" s="108" t="n"/>
      <c r="H742" s="108" t="n"/>
      <c r="I742" s="109" t="n"/>
      <c r="J742" s="109" t="n"/>
      <c r="K742" s="109" t="n"/>
      <c r="L742" s="226">
        <f>IF($E742="","",DATE(YEAR($E742),MONTH($E742),1))</f>
        <v/>
      </c>
      <c r="M742" s="113">
        <f>IF($D742="","",IF($C742="TANIMSIZ MÜŞTERİ","HATA",IF(OR($E742="",$F742&lt;=0,$G742=""),"EKSİK",IF($E742&gt;TODAY(),"İLERİ TARİH",IF(COUNTIF($S$7:$S$1506,$S742)&gt;1,"MÜKERRER?",IF($T742&gt;0,"KAPALI DÖNEM","UYGUN"))))))</f>
        <v/>
      </c>
      <c r="N742" s="121">
        <f>IF($C742="","",IF($C742="TANIMSIZ MÜŞTERİ","—",INDEX(MUSTERILER!$C$7:$C$106,MATCH($C742,MUSTERILER!$B$7:$B$106,0))))</f>
        <v/>
      </c>
      <c r="O742" s="6" t="n"/>
      <c r="P742" s="6" t="n"/>
      <c r="Q742" s="3">
        <f>IF($D742="","",$C742&amp;"|"&amp;COUNTIFS($C$7:$C742,$C742))</f>
        <v/>
      </c>
      <c r="R742" s="3">
        <f>IF($D742="","",UPPER(SUBSTITUTE(SUBSTITUTE(SUBSTITUTE(SUBSTITUTE(SUBSTITUTE(SUBSTITUTE(SUBSTITUTE(SUBSTITUTE(SUBSTITUTE(SUBSTITUTE(SUBSTITUTE(SUBSTITUTE(SUBSTITUTE(SUBSTITUTE(SUBSTITUTE(SUBSTITUTE(SUBSTITUTE(SUBSTITUTE(TRIM($D742),"'",""),"İ","I"),"ı","I"),"i","I"),"Ş","S"),"ş","S"),"Ğ","G"),"ğ","G"),"Ü","U"),"ü","U"),"Ö","O"),"ö","O"),"Ç","C"),"ç","C"),".",""),",","")," ",""),"-","")))</f>
        <v/>
      </c>
      <c r="S742" s="3">
        <f>IF($D742="","",$C742&amp;"|"&amp;TEXT($E742,"0")&amp;"|"&amp;TEXT($F742,"0")&amp;"|"&amp;$I742)</f>
        <v/>
      </c>
      <c r="T742" s="3">
        <f>IF($E742="",0,SUMPRODUCT((AY_SONU!$O$7:$O$42="Evet")*(AY_SONU!$B$7:$B$42=DATE(YEAR($E742),MONTH($E742),1))))</f>
        <v/>
      </c>
    </row>
    <row r="743">
      <c r="A743" s="6" t="n"/>
      <c r="B743" s="113">
        <f>IF($D743="","","T"&amp;TEXT(ROW()-6,"00000"))</f>
        <v/>
      </c>
      <c r="C743" s="113">
        <f>IF($D743="","",IFERROR(INDEX(MUSTERILER!$B$7:$B$106,MATCH($R743,MUSTERILER!$T$7:$T$106,0)),IFERROR(INDEX(MUSTERILER!$B$7:$B$106,MATCH($D743,MUSTERILER!$B$7:$B$106,0)),IFERROR(INDEX(MUSTERILER!$B$7:$B$106,MATCH($R743&amp;"*",MUSTERILER!$T$7:$T$106,0)),"TANIMSIZ MÜŞTERİ"))))</f>
        <v/>
      </c>
      <c r="D743" s="109" t="n"/>
      <c r="E743" s="220" t="n"/>
      <c r="F743" s="221" t="n"/>
      <c r="G743" s="108" t="n"/>
      <c r="H743" s="108" t="n"/>
      <c r="I743" s="109" t="n"/>
      <c r="J743" s="109" t="n"/>
      <c r="K743" s="109" t="n"/>
      <c r="L743" s="226">
        <f>IF($E743="","",DATE(YEAR($E743),MONTH($E743),1))</f>
        <v/>
      </c>
      <c r="M743" s="113">
        <f>IF($D743="","",IF($C743="TANIMSIZ MÜŞTERİ","HATA",IF(OR($E743="",$F743&lt;=0,$G743=""),"EKSİK",IF($E743&gt;TODAY(),"İLERİ TARİH",IF(COUNTIF($S$7:$S$1506,$S743)&gt;1,"MÜKERRER?",IF($T743&gt;0,"KAPALI DÖNEM","UYGUN"))))))</f>
        <v/>
      </c>
      <c r="N743" s="121">
        <f>IF($C743="","",IF($C743="TANIMSIZ MÜŞTERİ","—",INDEX(MUSTERILER!$C$7:$C$106,MATCH($C743,MUSTERILER!$B$7:$B$106,0))))</f>
        <v/>
      </c>
      <c r="O743" s="6" t="n"/>
      <c r="P743" s="6" t="n"/>
      <c r="Q743" s="3">
        <f>IF($D743="","",$C743&amp;"|"&amp;COUNTIFS($C$7:$C743,$C743))</f>
        <v/>
      </c>
      <c r="R743" s="3">
        <f>IF($D743="","",UPPER(SUBSTITUTE(SUBSTITUTE(SUBSTITUTE(SUBSTITUTE(SUBSTITUTE(SUBSTITUTE(SUBSTITUTE(SUBSTITUTE(SUBSTITUTE(SUBSTITUTE(SUBSTITUTE(SUBSTITUTE(SUBSTITUTE(SUBSTITUTE(SUBSTITUTE(SUBSTITUTE(SUBSTITUTE(SUBSTITUTE(TRIM($D743),"'",""),"İ","I"),"ı","I"),"i","I"),"Ş","S"),"ş","S"),"Ğ","G"),"ğ","G"),"Ü","U"),"ü","U"),"Ö","O"),"ö","O"),"Ç","C"),"ç","C"),".",""),",","")," ",""),"-","")))</f>
        <v/>
      </c>
      <c r="S743" s="3">
        <f>IF($D743="","",$C743&amp;"|"&amp;TEXT($E743,"0")&amp;"|"&amp;TEXT($F743,"0")&amp;"|"&amp;$I743)</f>
        <v/>
      </c>
      <c r="T743" s="3">
        <f>IF($E743="",0,SUMPRODUCT((AY_SONU!$O$7:$O$42="Evet")*(AY_SONU!$B$7:$B$42=DATE(YEAR($E743),MONTH($E743),1))))</f>
        <v/>
      </c>
    </row>
    <row r="744">
      <c r="A744" s="6" t="n"/>
      <c r="B744" s="113">
        <f>IF($D744="","","T"&amp;TEXT(ROW()-6,"00000"))</f>
        <v/>
      </c>
      <c r="C744" s="113">
        <f>IF($D744="","",IFERROR(INDEX(MUSTERILER!$B$7:$B$106,MATCH($R744,MUSTERILER!$T$7:$T$106,0)),IFERROR(INDEX(MUSTERILER!$B$7:$B$106,MATCH($D744,MUSTERILER!$B$7:$B$106,0)),IFERROR(INDEX(MUSTERILER!$B$7:$B$106,MATCH($R744&amp;"*",MUSTERILER!$T$7:$T$106,0)),"TANIMSIZ MÜŞTERİ"))))</f>
        <v/>
      </c>
      <c r="D744" s="109" t="n"/>
      <c r="E744" s="220" t="n"/>
      <c r="F744" s="221" t="n"/>
      <c r="G744" s="108" t="n"/>
      <c r="H744" s="108" t="n"/>
      <c r="I744" s="109" t="n"/>
      <c r="J744" s="109" t="n"/>
      <c r="K744" s="109" t="n"/>
      <c r="L744" s="226">
        <f>IF($E744="","",DATE(YEAR($E744),MONTH($E744),1))</f>
        <v/>
      </c>
      <c r="M744" s="113">
        <f>IF($D744="","",IF($C744="TANIMSIZ MÜŞTERİ","HATA",IF(OR($E744="",$F744&lt;=0,$G744=""),"EKSİK",IF($E744&gt;TODAY(),"İLERİ TARİH",IF(COUNTIF($S$7:$S$1506,$S744)&gt;1,"MÜKERRER?",IF($T744&gt;0,"KAPALI DÖNEM","UYGUN"))))))</f>
        <v/>
      </c>
      <c r="N744" s="121">
        <f>IF($C744="","",IF($C744="TANIMSIZ MÜŞTERİ","—",INDEX(MUSTERILER!$C$7:$C$106,MATCH($C744,MUSTERILER!$B$7:$B$106,0))))</f>
        <v/>
      </c>
      <c r="O744" s="6" t="n"/>
      <c r="P744" s="6" t="n"/>
      <c r="Q744" s="3">
        <f>IF($D744="","",$C744&amp;"|"&amp;COUNTIFS($C$7:$C744,$C744))</f>
        <v/>
      </c>
      <c r="R744" s="3">
        <f>IF($D744="","",UPPER(SUBSTITUTE(SUBSTITUTE(SUBSTITUTE(SUBSTITUTE(SUBSTITUTE(SUBSTITUTE(SUBSTITUTE(SUBSTITUTE(SUBSTITUTE(SUBSTITUTE(SUBSTITUTE(SUBSTITUTE(SUBSTITUTE(SUBSTITUTE(SUBSTITUTE(SUBSTITUTE(SUBSTITUTE(SUBSTITUTE(TRIM($D744),"'",""),"İ","I"),"ı","I"),"i","I"),"Ş","S"),"ş","S"),"Ğ","G"),"ğ","G"),"Ü","U"),"ü","U"),"Ö","O"),"ö","O"),"Ç","C"),"ç","C"),".",""),",","")," ",""),"-","")))</f>
        <v/>
      </c>
      <c r="S744" s="3">
        <f>IF($D744="","",$C744&amp;"|"&amp;TEXT($E744,"0")&amp;"|"&amp;TEXT($F744,"0")&amp;"|"&amp;$I744)</f>
        <v/>
      </c>
      <c r="T744" s="3">
        <f>IF($E744="",0,SUMPRODUCT((AY_SONU!$O$7:$O$42="Evet")*(AY_SONU!$B$7:$B$42=DATE(YEAR($E744),MONTH($E744),1))))</f>
        <v/>
      </c>
    </row>
    <row r="745">
      <c r="A745" s="6" t="n"/>
      <c r="B745" s="113">
        <f>IF($D745="","","T"&amp;TEXT(ROW()-6,"00000"))</f>
        <v/>
      </c>
      <c r="C745" s="113">
        <f>IF($D745="","",IFERROR(INDEX(MUSTERILER!$B$7:$B$106,MATCH($R745,MUSTERILER!$T$7:$T$106,0)),IFERROR(INDEX(MUSTERILER!$B$7:$B$106,MATCH($D745,MUSTERILER!$B$7:$B$106,0)),IFERROR(INDEX(MUSTERILER!$B$7:$B$106,MATCH($R745&amp;"*",MUSTERILER!$T$7:$T$106,0)),"TANIMSIZ MÜŞTERİ"))))</f>
        <v/>
      </c>
      <c r="D745" s="109" t="n"/>
      <c r="E745" s="220" t="n"/>
      <c r="F745" s="221" t="n"/>
      <c r="G745" s="108" t="n"/>
      <c r="H745" s="108" t="n"/>
      <c r="I745" s="109" t="n"/>
      <c r="J745" s="109" t="n"/>
      <c r="K745" s="109" t="n"/>
      <c r="L745" s="226">
        <f>IF($E745="","",DATE(YEAR($E745),MONTH($E745),1))</f>
        <v/>
      </c>
      <c r="M745" s="113">
        <f>IF($D745="","",IF($C745="TANIMSIZ MÜŞTERİ","HATA",IF(OR($E745="",$F745&lt;=0,$G745=""),"EKSİK",IF($E745&gt;TODAY(),"İLERİ TARİH",IF(COUNTIF($S$7:$S$1506,$S745)&gt;1,"MÜKERRER?",IF($T745&gt;0,"KAPALI DÖNEM","UYGUN"))))))</f>
        <v/>
      </c>
      <c r="N745" s="121">
        <f>IF($C745="","",IF($C745="TANIMSIZ MÜŞTERİ","—",INDEX(MUSTERILER!$C$7:$C$106,MATCH($C745,MUSTERILER!$B$7:$B$106,0))))</f>
        <v/>
      </c>
      <c r="O745" s="6" t="n"/>
      <c r="P745" s="6" t="n"/>
      <c r="Q745" s="3">
        <f>IF($D745="","",$C745&amp;"|"&amp;COUNTIFS($C$7:$C745,$C745))</f>
        <v/>
      </c>
      <c r="R745" s="3">
        <f>IF($D745="","",UPPER(SUBSTITUTE(SUBSTITUTE(SUBSTITUTE(SUBSTITUTE(SUBSTITUTE(SUBSTITUTE(SUBSTITUTE(SUBSTITUTE(SUBSTITUTE(SUBSTITUTE(SUBSTITUTE(SUBSTITUTE(SUBSTITUTE(SUBSTITUTE(SUBSTITUTE(SUBSTITUTE(SUBSTITUTE(SUBSTITUTE(TRIM($D745),"'",""),"İ","I"),"ı","I"),"i","I"),"Ş","S"),"ş","S"),"Ğ","G"),"ğ","G"),"Ü","U"),"ü","U"),"Ö","O"),"ö","O"),"Ç","C"),"ç","C"),".",""),",","")," ",""),"-","")))</f>
        <v/>
      </c>
      <c r="S745" s="3">
        <f>IF($D745="","",$C745&amp;"|"&amp;TEXT($E745,"0")&amp;"|"&amp;TEXT($F745,"0")&amp;"|"&amp;$I745)</f>
        <v/>
      </c>
      <c r="T745" s="3">
        <f>IF($E745="",0,SUMPRODUCT((AY_SONU!$O$7:$O$42="Evet")*(AY_SONU!$B$7:$B$42=DATE(YEAR($E745),MONTH($E745),1))))</f>
        <v/>
      </c>
    </row>
    <row r="746">
      <c r="A746" s="6" t="n"/>
      <c r="B746" s="113">
        <f>IF($D746="","","T"&amp;TEXT(ROW()-6,"00000"))</f>
        <v/>
      </c>
      <c r="C746" s="113">
        <f>IF($D746="","",IFERROR(INDEX(MUSTERILER!$B$7:$B$106,MATCH($R746,MUSTERILER!$T$7:$T$106,0)),IFERROR(INDEX(MUSTERILER!$B$7:$B$106,MATCH($D746,MUSTERILER!$B$7:$B$106,0)),IFERROR(INDEX(MUSTERILER!$B$7:$B$106,MATCH($R746&amp;"*",MUSTERILER!$T$7:$T$106,0)),"TANIMSIZ MÜŞTERİ"))))</f>
        <v/>
      </c>
      <c r="D746" s="109" t="n"/>
      <c r="E746" s="220" t="n"/>
      <c r="F746" s="221" t="n"/>
      <c r="G746" s="108" t="n"/>
      <c r="H746" s="108" t="n"/>
      <c r="I746" s="109" t="n"/>
      <c r="J746" s="109" t="n"/>
      <c r="K746" s="109" t="n"/>
      <c r="L746" s="226">
        <f>IF($E746="","",DATE(YEAR($E746),MONTH($E746),1))</f>
        <v/>
      </c>
      <c r="M746" s="113">
        <f>IF($D746="","",IF($C746="TANIMSIZ MÜŞTERİ","HATA",IF(OR($E746="",$F746&lt;=0,$G746=""),"EKSİK",IF($E746&gt;TODAY(),"İLERİ TARİH",IF(COUNTIF($S$7:$S$1506,$S746)&gt;1,"MÜKERRER?",IF($T746&gt;0,"KAPALI DÖNEM","UYGUN"))))))</f>
        <v/>
      </c>
      <c r="N746" s="121">
        <f>IF($C746="","",IF($C746="TANIMSIZ MÜŞTERİ","—",INDEX(MUSTERILER!$C$7:$C$106,MATCH($C746,MUSTERILER!$B$7:$B$106,0))))</f>
        <v/>
      </c>
      <c r="O746" s="6" t="n"/>
      <c r="P746" s="6" t="n"/>
      <c r="Q746" s="3">
        <f>IF($D746="","",$C746&amp;"|"&amp;COUNTIFS($C$7:$C746,$C746))</f>
        <v/>
      </c>
      <c r="R746" s="3">
        <f>IF($D746="","",UPPER(SUBSTITUTE(SUBSTITUTE(SUBSTITUTE(SUBSTITUTE(SUBSTITUTE(SUBSTITUTE(SUBSTITUTE(SUBSTITUTE(SUBSTITUTE(SUBSTITUTE(SUBSTITUTE(SUBSTITUTE(SUBSTITUTE(SUBSTITUTE(SUBSTITUTE(SUBSTITUTE(SUBSTITUTE(SUBSTITUTE(TRIM($D746),"'",""),"İ","I"),"ı","I"),"i","I"),"Ş","S"),"ş","S"),"Ğ","G"),"ğ","G"),"Ü","U"),"ü","U"),"Ö","O"),"ö","O"),"Ç","C"),"ç","C"),".",""),",","")," ",""),"-","")))</f>
        <v/>
      </c>
      <c r="S746" s="3">
        <f>IF($D746="","",$C746&amp;"|"&amp;TEXT($E746,"0")&amp;"|"&amp;TEXT($F746,"0")&amp;"|"&amp;$I746)</f>
        <v/>
      </c>
      <c r="T746" s="3">
        <f>IF($E746="",0,SUMPRODUCT((AY_SONU!$O$7:$O$42="Evet")*(AY_SONU!$B$7:$B$42=DATE(YEAR($E746),MONTH($E746),1))))</f>
        <v/>
      </c>
    </row>
    <row r="747">
      <c r="A747" s="6" t="n"/>
      <c r="B747" s="113">
        <f>IF($D747="","","T"&amp;TEXT(ROW()-6,"00000"))</f>
        <v/>
      </c>
      <c r="C747" s="113">
        <f>IF($D747="","",IFERROR(INDEX(MUSTERILER!$B$7:$B$106,MATCH($R747,MUSTERILER!$T$7:$T$106,0)),IFERROR(INDEX(MUSTERILER!$B$7:$B$106,MATCH($D747,MUSTERILER!$B$7:$B$106,0)),IFERROR(INDEX(MUSTERILER!$B$7:$B$106,MATCH($R747&amp;"*",MUSTERILER!$T$7:$T$106,0)),"TANIMSIZ MÜŞTERİ"))))</f>
        <v/>
      </c>
      <c r="D747" s="109" t="n"/>
      <c r="E747" s="220" t="n"/>
      <c r="F747" s="221" t="n"/>
      <c r="G747" s="108" t="n"/>
      <c r="H747" s="108" t="n"/>
      <c r="I747" s="109" t="n"/>
      <c r="J747" s="109" t="n"/>
      <c r="K747" s="109" t="n"/>
      <c r="L747" s="226">
        <f>IF($E747="","",DATE(YEAR($E747),MONTH($E747),1))</f>
        <v/>
      </c>
      <c r="M747" s="113">
        <f>IF($D747="","",IF($C747="TANIMSIZ MÜŞTERİ","HATA",IF(OR($E747="",$F747&lt;=0,$G747=""),"EKSİK",IF($E747&gt;TODAY(),"İLERİ TARİH",IF(COUNTIF($S$7:$S$1506,$S747)&gt;1,"MÜKERRER?",IF($T747&gt;0,"KAPALI DÖNEM","UYGUN"))))))</f>
        <v/>
      </c>
      <c r="N747" s="121">
        <f>IF($C747="","",IF($C747="TANIMSIZ MÜŞTERİ","—",INDEX(MUSTERILER!$C$7:$C$106,MATCH($C747,MUSTERILER!$B$7:$B$106,0))))</f>
        <v/>
      </c>
      <c r="O747" s="6" t="n"/>
      <c r="P747" s="6" t="n"/>
      <c r="Q747" s="3">
        <f>IF($D747="","",$C747&amp;"|"&amp;COUNTIFS($C$7:$C747,$C747))</f>
        <v/>
      </c>
      <c r="R747" s="3">
        <f>IF($D747="","",UPPER(SUBSTITUTE(SUBSTITUTE(SUBSTITUTE(SUBSTITUTE(SUBSTITUTE(SUBSTITUTE(SUBSTITUTE(SUBSTITUTE(SUBSTITUTE(SUBSTITUTE(SUBSTITUTE(SUBSTITUTE(SUBSTITUTE(SUBSTITUTE(SUBSTITUTE(SUBSTITUTE(SUBSTITUTE(SUBSTITUTE(TRIM($D747),"'",""),"İ","I"),"ı","I"),"i","I"),"Ş","S"),"ş","S"),"Ğ","G"),"ğ","G"),"Ü","U"),"ü","U"),"Ö","O"),"ö","O"),"Ç","C"),"ç","C"),".",""),",","")," ",""),"-","")))</f>
        <v/>
      </c>
      <c r="S747" s="3">
        <f>IF($D747="","",$C747&amp;"|"&amp;TEXT($E747,"0")&amp;"|"&amp;TEXT($F747,"0")&amp;"|"&amp;$I747)</f>
        <v/>
      </c>
      <c r="T747" s="3">
        <f>IF($E747="",0,SUMPRODUCT((AY_SONU!$O$7:$O$42="Evet")*(AY_SONU!$B$7:$B$42=DATE(YEAR($E747),MONTH($E747),1))))</f>
        <v/>
      </c>
    </row>
    <row r="748">
      <c r="A748" s="6" t="n"/>
      <c r="B748" s="113">
        <f>IF($D748="","","T"&amp;TEXT(ROW()-6,"00000"))</f>
        <v/>
      </c>
      <c r="C748" s="113">
        <f>IF($D748="","",IFERROR(INDEX(MUSTERILER!$B$7:$B$106,MATCH($R748,MUSTERILER!$T$7:$T$106,0)),IFERROR(INDEX(MUSTERILER!$B$7:$B$106,MATCH($D748,MUSTERILER!$B$7:$B$106,0)),IFERROR(INDEX(MUSTERILER!$B$7:$B$106,MATCH($R748&amp;"*",MUSTERILER!$T$7:$T$106,0)),"TANIMSIZ MÜŞTERİ"))))</f>
        <v/>
      </c>
      <c r="D748" s="109" t="n"/>
      <c r="E748" s="220" t="n"/>
      <c r="F748" s="221" t="n"/>
      <c r="G748" s="108" t="n"/>
      <c r="H748" s="108" t="n"/>
      <c r="I748" s="109" t="n"/>
      <c r="J748" s="109" t="n"/>
      <c r="K748" s="109" t="n"/>
      <c r="L748" s="226">
        <f>IF($E748="","",DATE(YEAR($E748),MONTH($E748),1))</f>
        <v/>
      </c>
      <c r="M748" s="113">
        <f>IF($D748="","",IF($C748="TANIMSIZ MÜŞTERİ","HATA",IF(OR($E748="",$F748&lt;=0,$G748=""),"EKSİK",IF($E748&gt;TODAY(),"İLERİ TARİH",IF(COUNTIF($S$7:$S$1506,$S748)&gt;1,"MÜKERRER?",IF($T748&gt;0,"KAPALI DÖNEM","UYGUN"))))))</f>
        <v/>
      </c>
      <c r="N748" s="121">
        <f>IF($C748="","",IF($C748="TANIMSIZ MÜŞTERİ","—",INDEX(MUSTERILER!$C$7:$C$106,MATCH($C748,MUSTERILER!$B$7:$B$106,0))))</f>
        <v/>
      </c>
      <c r="O748" s="6" t="n"/>
      <c r="P748" s="6" t="n"/>
      <c r="Q748" s="3">
        <f>IF($D748="","",$C748&amp;"|"&amp;COUNTIFS($C$7:$C748,$C748))</f>
        <v/>
      </c>
      <c r="R748" s="3">
        <f>IF($D748="","",UPPER(SUBSTITUTE(SUBSTITUTE(SUBSTITUTE(SUBSTITUTE(SUBSTITUTE(SUBSTITUTE(SUBSTITUTE(SUBSTITUTE(SUBSTITUTE(SUBSTITUTE(SUBSTITUTE(SUBSTITUTE(SUBSTITUTE(SUBSTITUTE(SUBSTITUTE(SUBSTITUTE(SUBSTITUTE(SUBSTITUTE(TRIM($D748),"'",""),"İ","I"),"ı","I"),"i","I"),"Ş","S"),"ş","S"),"Ğ","G"),"ğ","G"),"Ü","U"),"ü","U"),"Ö","O"),"ö","O"),"Ç","C"),"ç","C"),".",""),",","")," ",""),"-","")))</f>
        <v/>
      </c>
      <c r="S748" s="3">
        <f>IF($D748="","",$C748&amp;"|"&amp;TEXT($E748,"0")&amp;"|"&amp;TEXT($F748,"0")&amp;"|"&amp;$I748)</f>
        <v/>
      </c>
      <c r="T748" s="3">
        <f>IF($E748="",0,SUMPRODUCT((AY_SONU!$O$7:$O$42="Evet")*(AY_SONU!$B$7:$B$42=DATE(YEAR($E748),MONTH($E748),1))))</f>
        <v/>
      </c>
    </row>
    <row r="749">
      <c r="A749" s="6" t="n"/>
      <c r="B749" s="113">
        <f>IF($D749="","","T"&amp;TEXT(ROW()-6,"00000"))</f>
        <v/>
      </c>
      <c r="C749" s="113">
        <f>IF($D749="","",IFERROR(INDEX(MUSTERILER!$B$7:$B$106,MATCH($R749,MUSTERILER!$T$7:$T$106,0)),IFERROR(INDEX(MUSTERILER!$B$7:$B$106,MATCH($D749,MUSTERILER!$B$7:$B$106,0)),IFERROR(INDEX(MUSTERILER!$B$7:$B$106,MATCH($R749&amp;"*",MUSTERILER!$T$7:$T$106,0)),"TANIMSIZ MÜŞTERİ"))))</f>
        <v/>
      </c>
      <c r="D749" s="109" t="n"/>
      <c r="E749" s="220" t="n"/>
      <c r="F749" s="221" t="n"/>
      <c r="G749" s="108" t="n"/>
      <c r="H749" s="108" t="n"/>
      <c r="I749" s="109" t="n"/>
      <c r="J749" s="109" t="n"/>
      <c r="K749" s="109" t="n"/>
      <c r="L749" s="226">
        <f>IF($E749="","",DATE(YEAR($E749),MONTH($E749),1))</f>
        <v/>
      </c>
      <c r="M749" s="113">
        <f>IF($D749="","",IF($C749="TANIMSIZ MÜŞTERİ","HATA",IF(OR($E749="",$F749&lt;=0,$G749=""),"EKSİK",IF($E749&gt;TODAY(),"İLERİ TARİH",IF(COUNTIF($S$7:$S$1506,$S749)&gt;1,"MÜKERRER?",IF($T749&gt;0,"KAPALI DÖNEM","UYGUN"))))))</f>
        <v/>
      </c>
      <c r="N749" s="121">
        <f>IF($C749="","",IF($C749="TANIMSIZ MÜŞTERİ","—",INDEX(MUSTERILER!$C$7:$C$106,MATCH($C749,MUSTERILER!$B$7:$B$106,0))))</f>
        <v/>
      </c>
      <c r="O749" s="6" t="n"/>
      <c r="P749" s="6" t="n"/>
      <c r="Q749" s="3">
        <f>IF($D749="","",$C749&amp;"|"&amp;COUNTIFS($C$7:$C749,$C749))</f>
        <v/>
      </c>
      <c r="R749" s="3">
        <f>IF($D749="","",UPPER(SUBSTITUTE(SUBSTITUTE(SUBSTITUTE(SUBSTITUTE(SUBSTITUTE(SUBSTITUTE(SUBSTITUTE(SUBSTITUTE(SUBSTITUTE(SUBSTITUTE(SUBSTITUTE(SUBSTITUTE(SUBSTITUTE(SUBSTITUTE(SUBSTITUTE(SUBSTITUTE(SUBSTITUTE(SUBSTITUTE(TRIM($D749),"'",""),"İ","I"),"ı","I"),"i","I"),"Ş","S"),"ş","S"),"Ğ","G"),"ğ","G"),"Ü","U"),"ü","U"),"Ö","O"),"ö","O"),"Ç","C"),"ç","C"),".",""),",","")," ",""),"-","")))</f>
        <v/>
      </c>
      <c r="S749" s="3">
        <f>IF($D749="","",$C749&amp;"|"&amp;TEXT($E749,"0")&amp;"|"&amp;TEXT($F749,"0")&amp;"|"&amp;$I749)</f>
        <v/>
      </c>
      <c r="T749" s="3">
        <f>IF($E749="",0,SUMPRODUCT((AY_SONU!$O$7:$O$42="Evet")*(AY_SONU!$B$7:$B$42=DATE(YEAR($E749),MONTH($E749),1))))</f>
        <v/>
      </c>
    </row>
    <row r="750">
      <c r="A750" s="6" t="n"/>
      <c r="B750" s="113">
        <f>IF($D750="","","T"&amp;TEXT(ROW()-6,"00000"))</f>
        <v/>
      </c>
      <c r="C750" s="113">
        <f>IF($D750="","",IFERROR(INDEX(MUSTERILER!$B$7:$B$106,MATCH($R750,MUSTERILER!$T$7:$T$106,0)),IFERROR(INDEX(MUSTERILER!$B$7:$B$106,MATCH($D750,MUSTERILER!$B$7:$B$106,0)),IFERROR(INDEX(MUSTERILER!$B$7:$B$106,MATCH($R750&amp;"*",MUSTERILER!$T$7:$T$106,0)),"TANIMSIZ MÜŞTERİ"))))</f>
        <v/>
      </c>
      <c r="D750" s="109" t="n"/>
      <c r="E750" s="220" t="n"/>
      <c r="F750" s="221" t="n"/>
      <c r="G750" s="108" t="n"/>
      <c r="H750" s="108" t="n"/>
      <c r="I750" s="109" t="n"/>
      <c r="J750" s="109" t="n"/>
      <c r="K750" s="109" t="n"/>
      <c r="L750" s="226">
        <f>IF($E750="","",DATE(YEAR($E750),MONTH($E750),1))</f>
        <v/>
      </c>
      <c r="M750" s="113">
        <f>IF($D750="","",IF($C750="TANIMSIZ MÜŞTERİ","HATA",IF(OR($E750="",$F750&lt;=0,$G750=""),"EKSİK",IF($E750&gt;TODAY(),"İLERİ TARİH",IF(COUNTIF($S$7:$S$1506,$S750)&gt;1,"MÜKERRER?",IF($T750&gt;0,"KAPALI DÖNEM","UYGUN"))))))</f>
        <v/>
      </c>
      <c r="N750" s="121">
        <f>IF($C750="","",IF($C750="TANIMSIZ MÜŞTERİ","—",INDEX(MUSTERILER!$C$7:$C$106,MATCH($C750,MUSTERILER!$B$7:$B$106,0))))</f>
        <v/>
      </c>
      <c r="O750" s="6" t="n"/>
      <c r="P750" s="6" t="n"/>
      <c r="Q750" s="3">
        <f>IF($D750="","",$C750&amp;"|"&amp;COUNTIFS($C$7:$C750,$C750))</f>
        <v/>
      </c>
      <c r="R750" s="3">
        <f>IF($D750="","",UPPER(SUBSTITUTE(SUBSTITUTE(SUBSTITUTE(SUBSTITUTE(SUBSTITUTE(SUBSTITUTE(SUBSTITUTE(SUBSTITUTE(SUBSTITUTE(SUBSTITUTE(SUBSTITUTE(SUBSTITUTE(SUBSTITUTE(SUBSTITUTE(SUBSTITUTE(SUBSTITUTE(SUBSTITUTE(SUBSTITUTE(TRIM($D750),"'",""),"İ","I"),"ı","I"),"i","I"),"Ş","S"),"ş","S"),"Ğ","G"),"ğ","G"),"Ü","U"),"ü","U"),"Ö","O"),"ö","O"),"Ç","C"),"ç","C"),".",""),",","")," ",""),"-","")))</f>
        <v/>
      </c>
      <c r="S750" s="3">
        <f>IF($D750="","",$C750&amp;"|"&amp;TEXT($E750,"0")&amp;"|"&amp;TEXT($F750,"0")&amp;"|"&amp;$I750)</f>
        <v/>
      </c>
      <c r="T750" s="3">
        <f>IF($E750="",0,SUMPRODUCT((AY_SONU!$O$7:$O$42="Evet")*(AY_SONU!$B$7:$B$42=DATE(YEAR($E750),MONTH($E750),1))))</f>
        <v/>
      </c>
    </row>
    <row r="751">
      <c r="A751" s="6" t="n"/>
      <c r="B751" s="113">
        <f>IF($D751="","","T"&amp;TEXT(ROW()-6,"00000"))</f>
        <v/>
      </c>
      <c r="C751" s="113">
        <f>IF($D751="","",IFERROR(INDEX(MUSTERILER!$B$7:$B$106,MATCH($R751,MUSTERILER!$T$7:$T$106,0)),IFERROR(INDEX(MUSTERILER!$B$7:$B$106,MATCH($D751,MUSTERILER!$B$7:$B$106,0)),IFERROR(INDEX(MUSTERILER!$B$7:$B$106,MATCH($R751&amp;"*",MUSTERILER!$T$7:$T$106,0)),"TANIMSIZ MÜŞTERİ"))))</f>
        <v/>
      </c>
      <c r="D751" s="109" t="n"/>
      <c r="E751" s="220" t="n"/>
      <c r="F751" s="221" t="n"/>
      <c r="G751" s="108" t="n"/>
      <c r="H751" s="108" t="n"/>
      <c r="I751" s="109" t="n"/>
      <c r="J751" s="109" t="n"/>
      <c r="K751" s="109" t="n"/>
      <c r="L751" s="226">
        <f>IF($E751="","",DATE(YEAR($E751),MONTH($E751),1))</f>
        <v/>
      </c>
      <c r="M751" s="113">
        <f>IF($D751="","",IF($C751="TANIMSIZ MÜŞTERİ","HATA",IF(OR($E751="",$F751&lt;=0,$G751=""),"EKSİK",IF($E751&gt;TODAY(),"İLERİ TARİH",IF(COUNTIF($S$7:$S$1506,$S751)&gt;1,"MÜKERRER?",IF($T751&gt;0,"KAPALI DÖNEM","UYGUN"))))))</f>
        <v/>
      </c>
      <c r="N751" s="121">
        <f>IF($C751="","",IF($C751="TANIMSIZ MÜŞTERİ","—",INDEX(MUSTERILER!$C$7:$C$106,MATCH($C751,MUSTERILER!$B$7:$B$106,0))))</f>
        <v/>
      </c>
      <c r="O751" s="6" t="n"/>
      <c r="P751" s="6" t="n"/>
      <c r="Q751" s="3">
        <f>IF($D751="","",$C751&amp;"|"&amp;COUNTIFS($C$7:$C751,$C751))</f>
        <v/>
      </c>
      <c r="R751" s="3">
        <f>IF($D751="","",UPPER(SUBSTITUTE(SUBSTITUTE(SUBSTITUTE(SUBSTITUTE(SUBSTITUTE(SUBSTITUTE(SUBSTITUTE(SUBSTITUTE(SUBSTITUTE(SUBSTITUTE(SUBSTITUTE(SUBSTITUTE(SUBSTITUTE(SUBSTITUTE(SUBSTITUTE(SUBSTITUTE(SUBSTITUTE(SUBSTITUTE(TRIM($D751),"'",""),"İ","I"),"ı","I"),"i","I"),"Ş","S"),"ş","S"),"Ğ","G"),"ğ","G"),"Ü","U"),"ü","U"),"Ö","O"),"ö","O"),"Ç","C"),"ç","C"),".",""),",","")," ",""),"-","")))</f>
        <v/>
      </c>
      <c r="S751" s="3">
        <f>IF($D751="","",$C751&amp;"|"&amp;TEXT($E751,"0")&amp;"|"&amp;TEXT($F751,"0")&amp;"|"&amp;$I751)</f>
        <v/>
      </c>
      <c r="T751" s="3">
        <f>IF($E751="",0,SUMPRODUCT((AY_SONU!$O$7:$O$42="Evet")*(AY_SONU!$B$7:$B$42=DATE(YEAR($E751),MONTH($E751),1))))</f>
        <v/>
      </c>
    </row>
    <row r="752">
      <c r="A752" s="6" t="n"/>
      <c r="B752" s="113">
        <f>IF($D752="","","T"&amp;TEXT(ROW()-6,"00000"))</f>
        <v/>
      </c>
      <c r="C752" s="113">
        <f>IF($D752="","",IFERROR(INDEX(MUSTERILER!$B$7:$B$106,MATCH($R752,MUSTERILER!$T$7:$T$106,0)),IFERROR(INDEX(MUSTERILER!$B$7:$B$106,MATCH($D752,MUSTERILER!$B$7:$B$106,0)),IFERROR(INDEX(MUSTERILER!$B$7:$B$106,MATCH($R752&amp;"*",MUSTERILER!$T$7:$T$106,0)),"TANIMSIZ MÜŞTERİ"))))</f>
        <v/>
      </c>
      <c r="D752" s="109" t="n"/>
      <c r="E752" s="220" t="n"/>
      <c r="F752" s="221" t="n"/>
      <c r="G752" s="108" t="n"/>
      <c r="H752" s="108" t="n"/>
      <c r="I752" s="109" t="n"/>
      <c r="J752" s="109" t="n"/>
      <c r="K752" s="109" t="n"/>
      <c r="L752" s="226">
        <f>IF($E752="","",DATE(YEAR($E752),MONTH($E752),1))</f>
        <v/>
      </c>
      <c r="M752" s="113">
        <f>IF($D752="","",IF($C752="TANIMSIZ MÜŞTERİ","HATA",IF(OR($E752="",$F752&lt;=0,$G752=""),"EKSİK",IF($E752&gt;TODAY(),"İLERİ TARİH",IF(COUNTIF($S$7:$S$1506,$S752)&gt;1,"MÜKERRER?",IF($T752&gt;0,"KAPALI DÖNEM","UYGUN"))))))</f>
        <v/>
      </c>
      <c r="N752" s="121">
        <f>IF($C752="","",IF($C752="TANIMSIZ MÜŞTERİ","—",INDEX(MUSTERILER!$C$7:$C$106,MATCH($C752,MUSTERILER!$B$7:$B$106,0))))</f>
        <v/>
      </c>
      <c r="O752" s="6" t="n"/>
      <c r="P752" s="6" t="n"/>
      <c r="Q752" s="3">
        <f>IF($D752="","",$C752&amp;"|"&amp;COUNTIFS($C$7:$C752,$C752))</f>
        <v/>
      </c>
      <c r="R752" s="3">
        <f>IF($D752="","",UPPER(SUBSTITUTE(SUBSTITUTE(SUBSTITUTE(SUBSTITUTE(SUBSTITUTE(SUBSTITUTE(SUBSTITUTE(SUBSTITUTE(SUBSTITUTE(SUBSTITUTE(SUBSTITUTE(SUBSTITUTE(SUBSTITUTE(SUBSTITUTE(SUBSTITUTE(SUBSTITUTE(SUBSTITUTE(SUBSTITUTE(TRIM($D752),"'",""),"İ","I"),"ı","I"),"i","I"),"Ş","S"),"ş","S"),"Ğ","G"),"ğ","G"),"Ü","U"),"ü","U"),"Ö","O"),"ö","O"),"Ç","C"),"ç","C"),".",""),",","")," ",""),"-","")))</f>
        <v/>
      </c>
      <c r="S752" s="3">
        <f>IF($D752="","",$C752&amp;"|"&amp;TEXT($E752,"0")&amp;"|"&amp;TEXT($F752,"0")&amp;"|"&amp;$I752)</f>
        <v/>
      </c>
      <c r="T752" s="3">
        <f>IF($E752="",0,SUMPRODUCT((AY_SONU!$O$7:$O$42="Evet")*(AY_SONU!$B$7:$B$42=DATE(YEAR($E752),MONTH($E752),1))))</f>
        <v/>
      </c>
    </row>
    <row r="753">
      <c r="A753" s="6" t="n"/>
      <c r="B753" s="113">
        <f>IF($D753="","","T"&amp;TEXT(ROW()-6,"00000"))</f>
        <v/>
      </c>
      <c r="C753" s="113">
        <f>IF($D753="","",IFERROR(INDEX(MUSTERILER!$B$7:$B$106,MATCH($R753,MUSTERILER!$T$7:$T$106,0)),IFERROR(INDEX(MUSTERILER!$B$7:$B$106,MATCH($D753,MUSTERILER!$B$7:$B$106,0)),IFERROR(INDEX(MUSTERILER!$B$7:$B$106,MATCH($R753&amp;"*",MUSTERILER!$T$7:$T$106,0)),"TANIMSIZ MÜŞTERİ"))))</f>
        <v/>
      </c>
      <c r="D753" s="109" t="n"/>
      <c r="E753" s="220" t="n"/>
      <c r="F753" s="221" t="n"/>
      <c r="G753" s="108" t="n"/>
      <c r="H753" s="108" t="n"/>
      <c r="I753" s="109" t="n"/>
      <c r="J753" s="109" t="n"/>
      <c r="K753" s="109" t="n"/>
      <c r="L753" s="226">
        <f>IF($E753="","",DATE(YEAR($E753),MONTH($E753),1))</f>
        <v/>
      </c>
      <c r="M753" s="113">
        <f>IF($D753="","",IF($C753="TANIMSIZ MÜŞTERİ","HATA",IF(OR($E753="",$F753&lt;=0,$G753=""),"EKSİK",IF($E753&gt;TODAY(),"İLERİ TARİH",IF(COUNTIF($S$7:$S$1506,$S753)&gt;1,"MÜKERRER?",IF($T753&gt;0,"KAPALI DÖNEM","UYGUN"))))))</f>
        <v/>
      </c>
      <c r="N753" s="121">
        <f>IF($C753="","",IF($C753="TANIMSIZ MÜŞTERİ","—",INDEX(MUSTERILER!$C$7:$C$106,MATCH($C753,MUSTERILER!$B$7:$B$106,0))))</f>
        <v/>
      </c>
      <c r="O753" s="6" t="n"/>
      <c r="P753" s="6" t="n"/>
      <c r="Q753" s="3">
        <f>IF($D753="","",$C753&amp;"|"&amp;COUNTIFS($C$7:$C753,$C753))</f>
        <v/>
      </c>
      <c r="R753" s="3">
        <f>IF($D753="","",UPPER(SUBSTITUTE(SUBSTITUTE(SUBSTITUTE(SUBSTITUTE(SUBSTITUTE(SUBSTITUTE(SUBSTITUTE(SUBSTITUTE(SUBSTITUTE(SUBSTITUTE(SUBSTITUTE(SUBSTITUTE(SUBSTITUTE(SUBSTITUTE(SUBSTITUTE(SUBSTITUTE(SUBSTITUTE(SUBSTITUTE(TRIM($D753),"'",""),"İ","I"),"ı","I"),"i","I"),"Ş","S"),"ş","S"),"Ğ","G"),"ğ","G"),"Ü","U"),"ü","U"),"Ö","O"),"ö","O"),"Ç","C"),"ç","C"),".",""),",","")," ",""),"-","")))</f>
        <v/>
      </c>
      <c r="S753" s="3">
        <f>IF($D753="","",$C753&amp;"|"&amp;TEXT($E753,"0")&amp;"|"&amp;TEXT($F753,"0")&amp;"|"&amp;$I753)</f>
        <v/>
      </c>
      <c r="T753" s="3">
        <f>IF($E753="",0,SUMPRODUCT((AY_SONU!$O$7:$O$42="Evet")*(AY_SONU!$B$7:$B$42=DATE(YEAR($E753),MONTH($E753),1))))</f>
        <v/>
      </c>
    </row>
    <row r="754">
      <c r="A754" s="6" t="n"/>
      <c r="B754" s="113">
        <f>IF($D754="","","T"&amp;TEXT(ROW()-6,"00000"))</f>
        <v/>
      </c>
      <c r="C754" s="113">
        <f>IF($D754="","",IFERROR(INDEX(MUSTERILER!$B$7:$B$106,MATCH($R754,MUSTERILER!$T$7:$T$106,0)),IFERROR(INDEX(MUSTERILER!$B$7:$B$106,MATCH($D754,MUSTERILER!$B$7:$B$106,0)),IFERROR(INDEX(MUSTERILER!$B$7:$B$106,MATCH($R754&amp;"*",MUSTERILER!$T$7:$T$106,0)),"TANIMSIZ MÜŞTERİ"))))</f>
        <v/>
      </c>
      <c r="D754" s="109" t="n"/>
      <c r="E754" s="220" t="n"/>
      <c r="F754" s="221" t="n"/>
      <c r="G754" s="108" t="n"/>
      <c r="H754" s="108" t="n"/>
      <c r="I754" s="109" t="n"/>
      <c r="J754" s="109" t="n"/>
      <c r="K754" s="109" t="n"/>
      <c r="L754" s="226">
        <f>IF($E754="","",DATE(YEAR($E754),MONTH($E754),1))</f>
        <v/>
      </c>
      <c r="M754" s="113">
        <f>IF($D754="","",IF($C754="TANIMSIZ MÜŞTERİ","HATA",IF(OR($E754="",$F754&lt;=0,$G754=""),"EKSİK",IF($E754&gt;TODAY(),"İLERİ TARİH",IF(COUNTIF($S$7:$S$1506,$S754)&gt;1,"MÜKERRER?",IF($T754&gt;0,"KAPALI DÖNEM","UYGUN"))))))</f>
        <v/>
      </c>
      <c r="N754" s="121">
        <f>IF($C754="","",IF($C754="TANIMSIZ MÜŞTERİ","—",INDEX(MUSTERILER!$C$7:$C$106,MATCH($C754,MUSTERILER!$B$7:$B$106,0))))</f>
        <v/>
      </c>
      <c r="O754" s="6" t="n"/>
      <c r="P754" s="6" t="n"/>
      <c r="Q754" s="3">
        <f>IF($D754="","",$C754&amp;"|"&amp;COUNTIFS($C$7:$C754,$C754))</f>
        <v/>
      </c>
      <c r="R754" s="3">
        <f>IF($D754="","",UPPER(SUBSTITUTE(SUBSTITUTE(SUBSTITUTE(SUBSTITUTE(SUBSTITUTE(SUBSTITUTE(SUBSTITUTE(SUBSTITUTE(SUBSTITUTE(SUBSTITUTE(SUBSTITUTE(SUBSTITUTE(SUBSTITUTE(SUBSTITUTE(SUBSTITUTE(SUBSTITUTE(SUBSTITUTE(SUBSTITUTE(TRIM($D754),"'",""),"İ","I"),"ı","I"),"i","I"),"Ş","S"),"ş","S"),"Ğ","G"),"ğ","G"),"Ü","U"),"ü","U"),"Ö","O"),"ö","O"),"Ç","C"),"ç","C"),".",""),",","")," ",""),"-","")))</f>
        <v/>
      </c>
      <c r="S754" s="3">
        <f>IF($D754="","",$C754&amp;"|"&amp;TEXT($E754,"0")&amp;"|"&amp;TEXT($F754,"0")&amp;"|"&amp;$I754)</f>
        <v/>
      </c>
      <c r="T754" s="3">
        <f>IF($E754="",0,SUMPRODUCT((AY_SONU!$O$7:$O$42="Evet")*(AY_SONU!$B$7:$B$42=DATE(YEAR($E754),MONTH($E754),1))))</f>
        <v/>
      </c>
    </row>
    <row r="755">
      <c r="A755" s="6" t="n"/>
      <c r="B755" s="113">
        <f>IF($D755="","","T"&amp;TEXT(ROW()-6,"00000"))</f>
        <v/>
      </c>
      <c r="C755" s="113">
        <f>IF($D755="","",IFERROR(INDEX(MUSTERILER!$B$7:$B$106,MATCH($R755,MUSTERILER!$T$7:$T$106,0)),IFERROR(INDEX(MUSTERILER!$B$7:$B$106,MATCH($D755,MUSTERILER!$B$7:$B$106,0)),IFERROR(INDEX(MUSTERILER!$B$7:$B$106,MATCH($R755&amp;"*",MUSTERILER!$T$7:$T$106,0)),"TANIMSIZ MÜŞTERİ"))))</f>
        <v/>
      </c>
      <c r="D755" s="109" t="n"/>
      <c r="E755" s="220" t="n"/>
      <c r="F755" s="221" t="n"/>
      <c r="G755" s="108" t="n"/>
      <c r="H755" s="108" t="n"/>
      <c r="I755" s="109" t="n"/>
      <c r="J755" s="109" t="n"/>
      <c r="K755" s="109" t="n"/>
      <c r="L755" s="226">
        <f>IF($E755="","",DATE(YEAR($E755),MONTH($E755),1))</f>
        <v/>
      </c>
      <c r="M755" s="113">
        <f>IF($D755="","",IF($C755="TANIMSIZ MÜŞTERİ","HATA",IF(OR($E755="",$F755&lt;=0,$G755=""),"EKSİK",IF($E755&gt;TODAY(),"İLERİ TARİH",IF(COUNTIF($S$7:$S$1506,$S755)&gt;1,"MÜKERRER?",IF($T755&gt;0,"KAPALI DÖNEM","UYGUN"))))))</f>
        <v/>
      </c>
      <c r="N755" s="121">
        <f>IF($C755="","",IF($C755="TANIMSIZ MÜŞTERİ","—",INDEX(MUSTERILER!$C$7:$C$106,MATCH($C755,MUSTERILER!$B$7:$B$106,0))))</f>
        <v/>
      </c>
      <c r="O755" s="6" t="n"/>
      <c r="P755" s="6" t="n"/>
      <c r="Q755" s="3">
        <f>IF($D755="","",$C755&amp;"|"&amp;COUNTIFS($C$7:$C755,$C755))</f>
        <v/>
      </c>
      <c r="R755" s="3">
        <f>IF($D755="","",UPPER(SUBSTITUTE(SUBSTITUTE(SUBSTITUTE(SUBSTITUTE(SUBSTITUTE(SUBSTITUTE(SUBSTITUTE(SUBSTITUTE(SUBSTITUTE(SUBSTITUTE(SUBSTITUTE(SUBSTITUTE(SUBSTITUTE(SUBSTITUTE(SUBSTITUTE(SUBSTITUTE(SUBSTITUTE(SUBSTITUTE(TRIM($D755),"'",""),"İ","I"),"ı","I"),"i","I"),"Ş","S"),"ş","S"),"Ğ","G"),"ğ","G"),"Ü","U"),"ü","U"),"Ö","O"),"ö","O"),"Ç","C"),"ç","C"),".",""),",","")," ",""),"-","")))</f>
        <v/>
      </c>
      <c r="S755" s="3">
        <f>IF($D755="","",$C755&amp;"|"&amp;TEXT($E755,"0")&amp;"|"&amp;TEXT($F755,"0")&amp;"|"&amp;$I755)</f>
        <v/>
      </c>
      <c r="T755" s="3">
        <f>IF($E755="",0,SUMPRODUCT((AY_SONU!$O$7:$O$42="Evet")*(AY_SONU!$B$7:$B$42=DATE(YEAR($E755),MONTH($E755),1))))</f>
        <v/>
      </c>
    </row>
    <row r="756">
      <c r="A756" s="6" t="n"/>
      <c r="B756" s="113">
        <f>IF($D756="","","T"&amp;TEXT(ROW()-6,"00000"))</f>
        <v/>
      </c>
      <c r="C756" s="113">
        <f>IF($D756="","",IFERROR(INDEX(MUSTERILER!$B$7:$B$106,MATCH($R756,MUSTERILER!$T$7:$T$106,0)),IFERROR(INDEX(MUSTERILER!$B$7:$B$106,MATCH($D756,MUSTERILER!$B$7:$B$106,0)),IFERROR(INDEX(MUSTERILER!$B$7:$B$106,MATCH($R756&amp;"*",MUSTERILER!$T$7:$T$106,0)),"TANIMSIZ MÜŞTERİ"))))</f>
        <v/>
      </c>
      <c r="D756" s="109" t="n"/>
      <c r="E756" s="220" t="n"/>
      <c r="F756" s="221" t="n"/>
      <c r="G756" s="108" t="n"/>
      <c r="H756" s="108" t="n"/>
      <c r="I756" s="109" t="n"/>
      <c r="J756" s="109" t="n"/>
      <c r="K756" s="109" t="n"/>
      <c r="L756" s="226">
        <f>IF($E756="","",DATE(YEAR($E756),MONTH($E756),1))</f>
        <v/>
      </c>
      <c r="M756" s="113">
        <f>IF($D756="","",IF($C756="TANIMSIZ MÜŞTERİ","HATA",IF(OR($E756="",$F756&lt;=0,$G756=""),"EKSİK",IF($E756&gt;TODAY(),"İLERİ TARİH",IF(COUNTIF($S$7:$S$1506,$S756)&gt;1,"MÜKERRER?",IF($T756&gt;0,"KAPALI DÖNEM","UYGUN"))))))</f>
        <v/>
      </c>
      <c r="N756" s="121">
        <f>IF($C756="","",IF($C756="TANIMSIZ MÜŞTERİ","—",INDEX(MUSTERILER!$C$7:$C$106,MATCH($C756,MUSTERILER!$B$7:$B$106,0))))</f>
        <v/>
      </c>
      <c r="O756" s="6" t="n"/>
      <c r="P756" s="6" t="n"/>
      <c r="Q756" s="3">
        <f>IF($D756="","",$C756&amp;"|"&amp;COUNTIFS($C$7:$C756,$C756))</f>
        <v/>
      </c>
      <c r="R756" s="3">
        <f>IF($D756="","",UPPER(SUBSTITUTE(SUBSTITUTE(SUBSTITUTE(SUBSTITUTE(SUBSTITUTE(SUBSTITUTE(SUBSTITUTE(SUBSTITUTE(SUBSTITUTE(SUBSTITUTE(SUBSTITUTE(SUBSTITUTE(SUBSTITUTE(SUBSTITUTE(SUBSTITUTE(SUBSTITUTE(SUBSTITUTE(SUBSTITUTE(TRIM($D756),"'",""),"İ","I"),"ı","I"),"i","I"),"Ş","S"),"ş","S"),"Ğ","G"),"ğ","G"),"Ü","U"),"ü","U"),"Ö","O"),"ö","O"),"Ç","C"),"ç","C"),".",""),",","")," ",""),"-","")))</f>
        <v/>
      </c>
      <c r="S756" s="3">
        <f>IF($D756="","",$C756&amp;"|"&amp;TEXT($E756,"0")&amp;"|"&amp;TEXT($F756,"0")&amp;"|"&amp;$I756)</f>
        <v/>
      </c>
      <c r="T756" s="3">
        <f>IF($E756="",0,SUMPRODUCT((AY_SONU!$O$7:$O$42="Evet")*(AY_SONU!$B$7:$B$42=DATE(YEAR($E756),MONTH($E756),1))))</f>
        <v/>
      </c>
    </row>
    <row r="757">
      <c r="A757" s="6" t="n"/>
      <c r="B757" s="113">
        <f>IF($D757="","","T"&amp;TEXT(ROW()-6,"00000"))</f>
        <v/>
      </c>
      <c r="C757" s="113">
        <f>IF($D757="","",IFERROR(INDEX(MUSTERILER!$B$7:$B$106,MATCH($R757,MUSTERILER!$T$7:$T$106,0)),IFERROR(INDEX(MUSTERILER!$B$7:$B$106,MATCH($D757,MUSTERILER!$B$7:$B$106,0)),IFERROR(INDEX(MUSTERILER!$B$7:$B$106,MATCH($R757&amp;"*",MUSTERILER!$T$7:$T$106,0)),"TANIMSIZ MÜŞTERİ"))))</f>
        <v/>
      </c>
      <c r="D757" s="109" t="n"/>
      <c r="E757" s="220" t="n"/>
      <c r="F757" s="221" t="n"/>
      <c r="G757" s="108" t="n"/>
      <c r="H757" s="108" t="n"/>
      <c r="I757" s="109" t="n"/>
      <c r="J757" s="109" t="n"/>
      <c r="K757" s="109" t="n"/>
      <c r="L757" s="226">
        <f>IF($E757="","",DATE(YEAR($E757),MONTH($E757),1))</f>
        <v/>
      </c>
      <c r="M757" s="113">
        <f>IF($D757="","",IF($C757="TANIMSIZ MÜŞTERİ","HATA",IF(OR($E757="",$F757&lt;=0,$G757=""),"EKSİK",IF($E757&gt;TODAY(),"İLERİ TARİH",IF(COUNTIF($S$7:$S$1506,$S757)&gt;1,"MÜKERRER?",IF($T757&gt;0,"KAPALI DÖNEM","UYGUN"))))))</f>
        <v/>
      </c>
      <c r="N757" s="121">
        <f>IF($C757="","",IF($C757="TANIMSIZ MÜŞTERİ","—",INDEX(MUSTERILER!$C$7:$C$106,MATCH($C757,MUSTERILER!$B$7:$B$106,0))))</f>
        <v/>
      </c>
      <c r="O757" s="6" t="n"/>
      <c r="P757" s="6" t="n"/>
      <c r="Q757" s="3">
        <f>IF($D757="","",$C757&amp;"|"&amp;COUNTIFS($C$7:$C757,$C757))</f>
        <v/>
      </c>
      <c r="R757" s="3">
        <f>IF($D757="","",UPPER(SUBSTITUTE(SUBSTITUTE(SUBSTITUTE(SUBSTITUTE(SUBSTITUTE(SUBSTITUTE(SUBSTITUTE(SUBSTITUTE(SUBSTITUTE(SUBSTITUTE(SUBSTITUTE(SUBSTITUTE(SUBSTITUTE(SUBSTITUTE(SUBSTITUTE(SUBSTITUTE(SUBSTITUTE(SUBSTITUTE(TRIM($D757),"'",""),"İ","I"),"ı","I"),"i","I"),"Ş","S"),"ş","S"),"Ğ","G"),"ğ","G"),"Ü","U"),"ü","U"),"Ö","O"),"ö","O"),"Ç","C"),"ç","C"),".",""),",","")," ",""),"-","")))</f>
        <v/>
      </c>
      <c r="S757" s="3">
        <f>IF($D757="","",$C757&amp;"|"&amp;TEXT($E757,"0")&amp;"|"&amp;TEXT($F757,"0")&amp;"|"&amp;$I757)</f>
        <v/>
      </c>
      <c r="T757" s="3">
        <f>IF($E757="",0,SUMPRODUCT((AY_SONU!$O$7:$O$42="Evet")*(AY_SONU!$B$7:$B$42=DATE(YEAR($E757),MONTH($E757),1))))</f>
        <v/>
      </c>
    </row>
    <row r="758">
      <c r="A758" s="6" t="n"/>
      <c r="B758" s="113">
        <f>IF($D758="","","T"&amp;TEXT(ROW()-6,"00000"))</f>
        <v/>
      </c>
      <c r="C758" s="113">
        <f>IF($D758="","",IFERROR(INDEX(MUSTERILER!$B$7:$B$106,MATCH($R758,MUSTERILER!$T$7:$T$106,0)),IFERROR(INDEX(MUSTERILER!$B$7:$B$106,MATCH($D758,MUSTERILER!$B$7:$B$106,0)),IFERROR(INDEX(MUSTERILER!$B$7:$B$106,MATCH($R758&amp;"*",MUSTERILER!$T$7:$T$106,0)),"TANIMSIZ MÜŞTERİ"))))</f>
        <v/>
      </c>
      <c r="D758" s="109" t="n"/>
      <c r="E758" s="220" t="n"/>
      <c r="F758" s="221" t="n"/>
      <c r="G758" s="108" t="n"/>
      <c r="H758" s="108" t="n"/>
      <c r="I758" s="109" t="n"/>
      <c r="J758" s="109" t="n"/>
      <c r="K758" s="109" t="n"/>
      <c r="L758" s="226">
        <f>IF($E758="","",DATE(YEAR($E758),MONTH($E758),1))</f>
        <v/>
      </c>
      <c r="M758" s="113">
        <f>IF($D758="","",IF($C758="TANIMSIZ MÜŞTERİ","HATA",IF(OR($E758="",$F758&lt;=0,$G758=""),"EKSİK",IF($E758&gt;TODAY(),"İLERİ TARİH",IF(COUNTIF($S$7:$S$1506,$S758)&gt;1,"MÜKERRER?",IF($T758&gt;0,"KAPALI DÖNEM","UYGUN"))))))</f>
        <v/>
      </c>
      <c r="N758" s="121">
        <f>IF($C758="","",IF($C758="TANIMSIZ MÜŞTERİ","—",INDEX(MUSTERILER!$C$7:$C$106,MATCH($C758,MUSTERILER!$B$7:$B$106,0))))</f>
        <v/>
      </c>
      <c r="O758" s="6" t="n"/>
      <c r="P758" s="6" t="n"/>
      <c r="Q758" s="3">
        <f>IF($D758="","",$C758&amp;"|"&amp;COUNTIFS($C$7:$C758,$C758))</f>
        <v/>
      </c>
      <c r="R758" s="3">
        <f>IF($D758="","",UPPER(SUBSTITUTE(SUBSTITUTE(SUBSTITUTE(SUBSTITUTE(SUBSTITUTE(SUBSTITUTE(SUBSTITUTE(SUBSTITUTE(SUBSTITUTE(SUBSTITUTE(SUBSTITUTE(SUBSTITUTE(SUBSTITUTE(SUBSTITUTE(SUBSTITUTE(SUBSTITUTE(SUBSTITUTE(SUBSTITUTE(TRIM($D758),"'",""),"İ","I"),"ı","I"),"i","I"),"Ş","S"),"ş","S"),"Ğ","G"),"ğ","G"),"Ü","U"),"ü","U"),"Ö","O"),"ö","O"),"Ç","C"),"ç","C"),".",""),",","")," ",""),"-","")))</f>
        <v/>
      </c>
      <c r="S758" s="3">
        <f>IF($D758="","",$C758&amp;"|"&amp;TEXT($E758,"0")&amp;"|"&amp;TEXT($F758,"0")&amp;"|"&amp;$I758)</f>
        <v/>
      </c>
      <c r="T758" s="3">
        <f>IF($E758="",0,SUMPRODUCT((AY_SONU!$O$7:$O$42="Evet")*(AY_SONU!$B$7:$B$42=DATE(YEAR($E758),MONTH($E758),1))))</f>
        <v/>
      </c>
    </row>
    <row r="759">
      <c r="A759" s="6" t="n"/>
      <c r="B759" s="113">
        <f>IF($D759="","","T"&amp;TEXT(ROW()-6,"00000"))</f>
        <v/>
      </c>
      <c r="C759" s="113">
        <f>IF($D759="","",IFERROR(INDEX(MUSTERILER!$B$7:$B$106,MATCH($R759,MUSTERILER!$T$7:$T$106,0)),IFERROR(INDEX(MUSTERILER!$B$7:$B$106,MATCH($D759,MUSTERILER!$B$7:$B$106,0)),IFERROR(INDEX(MUSTERILER!$B$7:$B$106,MATCH($R759&amp;"*",MUSTERILER!$T$7:$T$106,0)),"TANIMSIZ MÜŞTERİ"))))</f>
        <v/>
      </c>
      <c r="D759" s="109" t="n"/>
      <c r="E759" s="220" t="n"/>
      <c r="F759" s="221" t="n"/>
      <c r="G759" s="108" t="n"/>
      <c r="H759" s="108" t="n"/>
      <c r="I759" s="109" t="n"/>
      <c r="J759" s="109" t="n"/>
      <c r="K759" s="109" t="n"/>
      <c r="L759" s="226">
        <f>IF($E759="","",DATE(YEAR($E759),MONTH($E759),1))</f>
        <v/>
      </c>
      <c r="M759" s="113">
        <f>IF($D759="","",IF($C759="TANIMSIZ MÜŞTERİ","HATA",IF(OR($E759="",$F759&lt;=0,$G759=""),"EKSİK",IF($E759&gt;TODAY(),"İLERİ TARİH",IF(COUNTIF($S$7:$S$1506,$S759)&gt;1,"MÜKERRER?",IF($T759&gt;0,"KAPALI DÖNEM","UYGUN"))))))</f>
        <v/>
      </c>
      <c r="N759" s="121">
        <f>IF($C759="","",IF($C759="TANIMSIZ MÜŞTERİ","—",INDEX(MUSTERILER!$C$7:$C$106,MATCH($C759,MUSTERILER!$B$7:$B$106,0))))</f>
        <v/>
      </c>
      <c r="O759" s="6" t="n"/>
      <c r="P759" s="6" t="n"/>
      <c r="Q759" s="3">
        <f>IF($D759="","",$C759&amp;"|"&amp;COUNTIFS($C$7:$C759,$C759))</f>
        <v/>
      </c>
      <c r="R759" s="3">
        <f>IF($D759="","",UPPER(SUBSTITUTE(SUBSTITUTE(SUBSTITUTE(SUBSTITUTE(SUBSTITUTE(SUBSTITUTE(SUBSTITUTE(SUBSTITUTE(SUBSTITUTE(SUBSTITUTE(SUBSTITUTE(SUBSTITUTE(SUBSTITUTE(SUBSTITUTE(SUBSTITUTE(SUBSTITUTE(SUBSTITUTE(SUBSTITUTE(TRIM($D759),"'",""),"İ","I"),"ı","I"),"i","I"),"Ş","S"),"ş","S"),"Ğ","G"),"ğ","G"),"Ü","U"),"ü","U"),"Ö","O"),"ö","O"),"Ç","C"),"ç","C"),".",""),",","")," ",""),"-","")))</f>
        <v/>
      </c>
      <c r="S759" s="3">
        <f>IF($D759="","",$C759&amp;"|"&amp;TEXT($E759,"0")&amp;"|"&amp;TEXT($F759,"0")&amp;"|"&amp;$I759)</f>
        <v/>
      </c>
      <c r="T759" s="3">
        <f>IF($E759="",0,SUMPRODUCT((AY_SONU!$O$7:$O$42="Evet")*(AY_SONU!$B$7:$B$42=DATE(YEAR($E759),MONTH($E759),1))))</f>
        <v/>
      </c>
    </row>
    <row r="760">
      <c r="A760" s="6" t="n"/>
      <c r="B760" s="113">
        <f>IF($D760="","","T"&amp;TEXT(ROW()-6,"00000"))</f>
        <v/>
      </c>
      <c r="C760" s="113">
        <f>IF($D760="","",IFERROR(INDEX(MUSTERILER!$B$7:$B$106,MATCH($R760,MUSTERILER!$T$7:$T$106,0)),IFERROR(INDEX(MUSTERILER!$B$7:$B$106,MATCH($D760,MUSTERILER!$B$7:$B$106,0)),IFERROR(INDEX(MUSTERILER!$B$7:$B$106,MATCH($R760&amp;"*",MUSTERILER!$T$7:$T$106,0)),"TANIMSIZ MÜŞTERİ"))))</f>
        <v/>
      </c>
      <c r="D760" s="109" t="n"/>
      <c r="E760" s="220" t="n"/>
      <c r="F760" s="221" t="n"/>
      <c r="G760" s="108" t="n"/>
      <c r="H760" s="108" t="n"/>
      <c r="I760" s="109" t="n"/>
      <c r="J760" s="109" t="n"/>
      <c r="K760" s="109" t="n"/>
      <c r="L760" s="226">
        <f>IF($E760="","",DATE(YEAR($E760),MONTH($E760),1))</f>
        <v/>
      </c>
      <c r="M760" s="113">
        <f>IF($D760="","",IF($C760="TANIMSIZ MÜŞTERİ","HATA",IF(OR($E760="",$F760&lt;=0,$G760=""),"EKSİK",IF($E760&gt;TODAY(),"İLERİ TARİH",IF(COUNTIF($S$7:$S$1506,$S760)&gt;1,"MÜKERRER?",IF($T760&gt;0,"KAPALI DÖNEM","UYGUN"))))))</f>
        <v/>
      </c>
      <c r="N760" s="121">
        <f>IF($C760="","",IF($C760="TANIMSIZ MÜŞTERİ","—",INDEX(MUSTERILER!$C$7:$C$106,MATCH($C760,MUSTERILER!$B$7:$B$106,0))))</f>
        <v/>
      </c>
      <c r="O760" s="6" t="n"/>
      <c r="P760" s="6" t="n"/>
      <c r="Q760" s="3">
        <f>IF($D760="","",$C760&amp;"|"&amp;COUNTIFS($C$7:$C760,$C760))</f>
        <v/>
      </c>
      <c r="R760" s="3">
        <f>IF($D760="","",UPPER(SUBSTITUTE(SUBSTITUTE(SUBSTITUTE(SUBSTITUTE(SUBSTITUTE(SUBSTITUTE(SUBSTITUTE(SUBSTITUTE(SUBSTITUTE(SUBSTITUTE(SUBSTITUTE(SUBSTITUTE(SUBSTITUTE(SUBSTITUTE(SUBSTITUTE(SUBSTITUTE(SUBSTITUTE(SUBSTITUTE(TRIM($D760),"'",""),"İ","I"),"ı","I"),"i","I"),"Ş","S"),"ş","S"),"Ğ","G"),"ğ","G"),"Ü","U"),"ü","U"),"Ö","O"),"ö","O"),"Ç","C"),"ç","C"),".",""),",","")," ",""),"-","")))</f>
        <v/>
      </c>
      <c r="S760" s="3">
        <f>IF($D760="","",$C760&amp;"|"&amp;TEXT($E760,"0")&amp;"|"&amp;TEXT($F760,"0")&amp;"|"&amp;$I760)</f>
        <v/>
      </c>
      <c r="T760" s="3">
        <f>IF($E760="",0,SUMPRODUCT((AY_SONU!$O$7:$O$42="Evet")*(AY_SONU!$B$7:$B$42=DATE(YEAR($E760),MONTH($E760),1))))</f>
        <v/>
      </c>
    </row>
    <row r="761">
      <c r="A761" s="6" t="n"/>
      <c r="B761" s="113">
        <f>IF($D761="","","T"&amp;TEXT(ROW()-6,"00000"))</f>
        <v/>
      </c>
      <c r="C761" s="113">
        <f>IF($D761="","",IFERROR(INDEX(MUSTERILER!$B$7:$B$106,MATCH($R761,MUSTERILER!$T$7:$T$106,0)),IFERROR(INDEX(MUSTERILER!$B$7:$B$106,MATCH($D761,MUSTERILER!$B$7:$B$106,0)),IFERROR(INDEX(MUSTERILER!$B$7:$B$106,MATCH($R761&amp;"*",MUSTERILER!$T$7:$T$106,0)),"TANIMSIZ MÜŞTERİ"))))</f>
        <v/>
      </c>
      <c r="D761" s="109" t="n"/>
      <c r="E761" s="220" t="n"/>
      <c r="F761" s="221" t="n"/>
      <c r="G761" s="108" t="n"/>
      <c r="H761" s="108" t="n"/>
      <c r="I761" s="109" t="n"/>
      <c r="J761" s="109" t="n"/>
      <c r="K761" s="109" t="n"/>
      <c r="L761" s="226">
        <f>IF($E761="","",DATE(YEAR($E761),MONTH($E761),1))</f>
        <v/>
      </c>
      <c r="M761" s="113">
        <f>IF($D761="","",IF($C761="TANIMSIZ MÜŞTERİ","HATA",IF(OR($E761="",$F761&lt;=0,$G761=""),"EKSİK",IF($E761&gt;TODAY(),"İLERİ TARİH",IF(COUNTIF($S$7:$S$1506,$S761)&gt;1,"MÜKERRER?",IF($T761&gt;0,"KAPALI DÖNEM","UYGUN"))))))</f>
        <v/>
      </c>
      <c r="N761" s="121">
        <f>IF($C761="","",IF($C761="TANIMSIZ MÜŞTERİ","—",INDEX(MUSTERILER!$C$7:$C$106,MATCH($C761,MUSTERILER!$B$7:$B$106,0))))</f>
        <v/>
      </c>
      <c r="O761" s="6" t="n"/>
      <c r="P761" s="6" t="n"/>
      <c r="Q761" s="3">
        <f>IF($D761="","",$C761&amp;"|"&amp;COUNTIFS($C$7:$C761,$C761))</f>
        <v/>
      </c>
      <c r="R761" s="3">
        <f>IF($D761="","",UPPER(SUBSTITUTE(SUBSTITUTE(SUBSTITUTE(SUBSTITUTE(SUBSTITUTE(SUBSTITUTE(SUBSTITUTE(SUBSTITUTE(SUBSTITUTE(SUBSTITUTE(SUBSTITUTE(SUBSTITUTE(SUBSTITUTE(SUBSTITUTE(SUBSTITUTE(SUBSTITUTE(SUBSTITUTE(SUBSTITUTE(TRIM($D761),"'",""),"İ","I"),"ı","I"),"i","I"),"Ş","S"),"ş","S"),"Ğ","G"),"ğ","G"),"Ü","U"),"ü","U"),"Ö","O"),"ö","O"),"Ç","C"),"ç","C"),".",""),",","")," ",""),"-","")))</f>
        <v/>
      </c>
      <c r="S761" s="3">
        <f>IF($D761="","",$C761&amp;"|"&amp;TEXT($E761,"0")&amp;"|"&amp;TEXT($F761,"0")&amp;"|"&amp;$I761)</f>
        <v/>
      </c>
      <c r="T761" s="3">
        <f>IF($E761="",0,SUMPRODUCT((AY_SONU!$O$7:$O$42="Evet")*(AY_SONU!$B$7:$B$42=DATE(YEAR($E761),MONTH($E761),1))))</f>
        <v/>
      </c>
    </row>
    <row r="762">
      <c r="A762" s="6" t="n"/>
      <c r="B762" s="113">
        <f>IF($D762="","","T"&amp;TEXT(ROW()-6,"00000"))</f>
        <v/>
      </c>
      <c r="C762" s="113">
        <f>IF($D762="","",IFERROR(INDEX(MUSTERILER!$B$7:$B$106,MATCH($R762,MUSTERILER!$T$7:$T$106,0)),IFERROR(INDEX(MUSTERILER!$B$7:$B$106,MATCH($D762,MUSTERILER!$B$7:$B$106,0)),IFERROR(INDEX(MUSTERILER!$B$7:$B$106,MATCH($R762&amp;"*",MUSTERILER!$T$7:$T$106,0)),"TANIMSIZ MÜŞTERİ"))))</f>
        <v/>
      </c>
      <c r="D762" s="109" t="n"/>
      <c r="E762" s="220" t="n"/>
      <c r="F762" s="221" t="n"/>
      <c r="G762" s="108" t="n"/>
      <c r="H762" s="108" t="n"/>
      <c r="I762" s="109" t="n"/>
      <c r="J762" s="109" t="n"/>
      <c r="K762" s="109" t="n"/>
      <c r="L762" s="226">
        <f>IF($E762="","",DATE(YEAR($E762),MONTH($E762),1))</f>
        <v/>
      </c>
      <c r="M762" s="113">
        <f>IF($D762="","",IF($C762="TANIMSIZ MÜŞTERİ","HATA",IF(OR($E762="",$F762&lt;=0,$G762=""),"EKSİK",IF($E762&gt;TODAY(),"İLERİ TARİH",IF(COUNTIF($S$7:$S$1506,$S762)&gt;1,"MÜKERRER?",IF($T762&gt;0,"KAPALI DÖNEM","UYGUN"))))))</f>
        <v/>
      </c>
      <c r="N762" s="121">
        <f>IF($C762="","",IF($C762="TANIMSIZ MÜŞTERİ","—",INDEX(MUSTERILER!$C$7:$C$106,MATCH($C762,MUSTERILER!$B$7:$B$106,0))))</f>
        <v/>
      </c>
      <c r="O762" s="6" t="n"/>
      <c r="P762" s="6" t="n"/>
      <c r="Q762" s="3">
        <f>IF($D762="","",$C762&amp;"|"&amp;COUNTIFS($C$7:$C762,$C762))</f>
        <v/>
      </c>
      <c r="R762" s="3">
        <f>IF($D762="","",UPPER(SUBSTITUTE(SUBSTITUTE(SUBSTITUTE(SUBSTITUTE(SUBSTITUTE(SUBSTITUTE(SUBSTITUTE(SUBSTITUTE(SUBSTITUTE(SUBSTITUTE(SUBSTITUTE(SUBSTITUTE(SUBSTITUTE(SUBSTITUTE(SUBSTITUTE(SUBSTITUTE(SUBSTITUTE(SUBSTITUTE(TRIM($D762),"'",""),"İ","I"),"ı","I"),"i","I"),"Ş","S"),"ş","S"),"Ğ","G"),"ğ","G"),"Ü","U"),"ü","U"),"Ö","O"),"ö","O"),"Ç","C"),"ç","C"),".",""),",","")," ",""),"-","")))</f>
        <v/>
      </c>
      <c r="S762" s="3">
        <f>IF($D762="","",$C762&amp;"|"&amp;TEXT($E762,"0")&amp;"|"&amp;TEXT($F762,"0")&amp;"|"&amp;$I762)</f>
        <v/>
      </c>
      <c r="T762" s="3">
        <f>IF($E762="",0,SUMPRODUCT((AY_SONU!$O$7:$O$42="Evet")*(AY_SONU!$B$7:$B$42=DATE(YEAR($E762),MONTH($E762),1))))</f>
        <v/>
      </c>
    </row>
    <row r="763">
      <c r="A763" s="6" t="n"/>
      <c r="B763" s="113">
        <f>IF($D763="","","T"&amp;TEXT(ROW()-6,"00000"))</f>
        <v/>
      </c>
      <c r="C763" s="113">
        <f>IF($D763="","",IFERROR(INDEX(MUSTERILER!$B$7:$B$106,MATCH($R763,MUSTERILER!$T$7:$T$106,0)),IFERROR(INDEX(MUSTERILER!$B$7:$B$106,MATCH($D763,MUSTERILER!$B$7:$B$106,0)),IFERROR(INDEX(MUSTERILER!$B$7:$B$106,MATCH($R763&amp;"*",MUSTERILER!$T$7:$T$106,0)),"TANIMSIZ MÜŞTERİ"))))</f>
        <v/>
      </c>
      <c r="D763" s="109" t="n"/>
      <c r="E763" s="220" t="n"/>
      <c r="F763" s="221" t="n"/>
      <c r="G763" s="108" t="n"/>
      <c r="H763" s="108" t="n"/>
      <c r="I763" s="109" t="n"/>
      <c r="J763" s="109" t="n"/>
      <c r="K763" s="109" t="n"/>
      <c r="L763" s="226">
        <f>IF($E763="","",DATE(YEAR($E763),MONTH($E763),1))</f>
        <v/>
      </c>
      <c r="M763" s="113">
        <f>IF($D763="","",IF($C763="TANIMSIZ MÜŞTERİ","HATA",IF(OR($E763="",$F763&lt;=0,$G763=""),"EKSİK",IF($E763&gt;TODAY(),"İLERİ TARİH",IF(COUNTIF($S$7:$S$1506,$S763)&gt;1,"MÜKERRER?",IF($T763&gt;0,"KAPALI DÖNEM","UYGUN"))))))</f>
        <v/>
      </c>
      <c r="N763" s="121">
        <f>IF($C763="","",IF($C763="TANIMSIZ MÜŞTERİ","—",INDEX(MUSTERILER!$C$7:$C$106,MATCH($C763,MUSTERILER!$B$7:$B$106,0))))</f>
        <v/>
      </c>
      <c r="O763" s="6" t="n"/>
      <c r="P763" s="6" t="n"/>
      <c r="Q763" s="3">
        <f>IF($D763="","",$C763&amp;"|"&amp;COUNTIFS($C$7:$C763,$C763))</f>
        <v/>
      </c>
      <c r="R763" s="3">
        <f>IF($D763="","",UPPER(SUBSTITUTE(SUBSTITUTE(SUBSTITUTE(SUBSTITUTE(SUBSTITUTE(SUBSTITUTE(SUBSTITUTE(SUBSTITUTE(SUBSTITUTE(SUBSTITUTE(SUBSTITUTE(SUBSTITUTE(SUBSTITUTE(SUBSTITUTE(SUBSTITUTE(SUBSTITUTE(SUBSTITUTE(SUBSTITUTE(TRIM($D763),"'",""),"İ","I"),"ı","I"),"i","I"),"Ş","S"),"ş","S"),"Ğ","G"),"ğ","G"),"Ü","U"),"ü","U"),"Ö","O"),"ö","O"),"Ç","C"),"ç","C"),".",""),",","")," ",""),"-","")))</f>
        <v/>
      </c>
      <c r="S763" s="3">
        <f>IF($D763="","",$C763&amp;"|"&amp;TEXT($E763,"0")&amp;"|"&amp;TEXT($F763,"0")&amp;"|"&amp;$I763)</f>
        <v/>
      </c>
      <c r="T763" s="3">
        <f>IF($E763="",0,SUMPRODUCT((AY_SONU!$O$7:$O$42="Evet")*(AY_SONU!$B$7:$B$42=DATE(YEAR($E763),MONTH($E763),1))))</f>
        <v/>
      </c>
    </row>
    <row r="764">
      <c r="A764" s="6" t="n"/>
      <c r="B764" s="113">
        <f>IF($D764="","","T"&amp;TEXT(ROW()-6,"00000"))</f>
        <v/>
      </c>
      <c r="C764" s="113">
        <f>IF($D764="","",IFERROR(INDEX(MUSTERILER!$B$7:$B$106,MATCH($R764,MUSTERILER!$T$7:$T$106,0)),IFERROR(INDEX(MUSTERILER!$B$7:$B$106,MATCH($D764,MUSTERILER!$B$7:$B$106,0)),IFERROR(INDEX(MUSTERILER!$B$7:$B$106,MATCH($R764&amp;"*",MUSTERILER!$T$7:$T$106,0)),"TANIMSIZ MÜŞTERİ"))))</f>
        <v/>
      </c>
      <c r="D764" s="109" t="n"/>
      <c r="E764" s="220" t="n"/>
      <c r="F764" s="221" t="n"/>
      <c r="G764" s="108" t="n"/>
      <c r="H764" s="108" t="n"/>
      <c r="I764" s="109" t="n"/>
      <c r="J764" s="109" t="n"/>
      <c r="K764" s="109" t="n"/>
      <c r="L764" s="226">
        <f>IF($E764="","",DATE(YEAR($E764),MONTH($E764),1))</f>
        <v/>
      </c>
      <c r="M764" s="113">
        <f>IF($D764="","",IF($C764="TANIMSIZ MÜŞTERİ","HATA",IF(OR($E764="",$F764&lt;=0,$G764=""),"EKSİK",IF($E764&gt;TODAY(),"İLERİ TARİH",IF(COUNTIF($S$7:$S$1506,$S764)&gt;1,"MÜKERRER?",IF($T764&gt;0,"KAPALI DÖNEM","UYGUN"))))))</f>
        <v/>
      </c>
      <c r="N764" s="121">
        <f>IF($C764="","",IF($C764="TANIMSIZ MÜŞTERİ","—",INDEX(MUSTERILER!$C$7:$C$106,MATCH($C764,MUSTERILER!$B$7:$B$106,0))))</f>
        <v/>
      </c>
      <c r="O764" s="6" t="n"/>
      <c r="P764" s="6" t="n"/>
      <c r="Q764" s="3">
        <f>IF($D764="","",$C764&amp;"|"&amp;COUNTIFS($C$7:$C764,$C764))</f>
        <v/>
      </c>
      <c r="R764" s="3">
        <f>IF($D764="","",UPPER(SUBSTITUTE(SUBSTITUTE(SUBSTITUTE(SUBSTITUTE(SUBSTITUTE(SUBSTITUTE(SUBSTITUTE(SUBSTITUTE(SUBSTITUTE(SUBSTITUTE(SUBSTITUTE(SUBSTITUTE(SUBSTITUTE(SUBSTITUTE(SUBSTITUTE(SUBSTITUTE(SUBSTITUTE(SUBSTITUTE(TRIM($D764),"'",""),"İ","I"),"ı","I"),"i","I"),"Ş","S"),"ş","S"),"Ğ","G"),"ğ","G"),"Ü","U"),"ü","U"),"Ö","O"),"ö","O"),"Ç","C"),"ç","C"),".",""),",","")," ",""),"-","")))</f>
        <v/>
      </c>
      <c r="S764" s="3">
        <f>IF($D764="","",$C764&amp;"|"&amp;TEXT($E764,"0")&amp;"|"&amp;TEXT($F764,"0")&amp;"|"&amp;$I764)</f>
        <v/>
      </c>
      <c r="T764" s="3">
        <f>IF($E764="",0,SUMPRODUCT((AY_SONU!$O$7:$O$42="Evet")*(AY_SONU!$B$7:$B$42=DATE(YEAR($E764),MONTH($E764),1))))</f>
        <v/>
      </c>
    </row>
    <row r="765">
      <c r="A765" s="6" t="n"/>
      <c r="B765" s="113">
        <f>IF($D765="","","T"&amp;TEXT(ROW()-6,"00000"))</f>
        <v/>
      </c>
      <c r="C765" s="113">
        <f>IF($D765="","",IFERROR(INDEX(MUSTERILER!$B$7:$B$106,MATCH($R765,MUSTERILER!$T$7:$T$106,0)),IFERROR(INDEX(MUSTERILER!$B$7:$B$106,MATCH($D765,MUSTERILER!$B$7:$B$106,0)),IFERROR(INDEX(MUSTERILER!$B$7:$B$106,MATCH($R765&amp;"*",MUSTERILER!$T$7:$T$106,0)),"TANIMSIZ MÜŞTERİ"))))</f>
        <v/>
      </c>
      <c r="D765" s="109" t="n"/>
      <c r="E765" s="220" t="n"/>
      <c r="F765" s="221" t="n"/>
      <c r="G765" s="108" t="n"/>
      <c r="H765" s="108" t="n"/>
      <c r="I765" s="109" t="n"/>
      <c r="J765" s="109" t="n"/>
      <c r="K765" s="109" t="n"/>
      <c r="L765" s="226">
        <f>IF($E765="","",DATE(YEAR($E765),MONTH($E765),1))</f>
        <v/>
      </c>
      <c r="M765" s="113">
        <f>IF($D765="","",IF($C765="TANIMSIZ MÜŞTERİ","HATA",IF(OR($E765="",$F765&lt;=0,$G765=""),"EKSİK",IF($E765&gt;TODAY(),"İLERİ TARİH",IF(COUNTIF($S$7:$S$1506,$S765)&gt;1,"MÜKERRER?",IF($T765&gt;0,"KAPALI DÖNEM","UYGUN"))))))</f>
        <v/>
      </c>
      <c r="N765" s="121">
        <f>IF($C765="","",IF($C765="TANIMSIZ MÜŞTERİ","—",INDEX(MUSTERILER!$C$7:$C$106,MATCH($C765,MUSTERILER!$B$7:$B$106,0))))</f>
        <v/>
      </c>
      <c r="O765" s="6" t="n"/>
      <c r="P765" s="6" t="n"/>
      <c r="Q765" s="3">
        <f>IF($D765="","",$C765&amp;"|"&amp;COUNTIFS($C$7:$C765,$C765))</f>
        <v/>
      </c>
      <c r="R765" s="3">
        <f>IF($D765="","",UPPER(SUBSTITUTE(SUBSTITUTE(SUBSTITUTE(SUBSTITUTE(SUBSTITUTE(SUBSTITUTE(SUBSTITUTE(SUBSTITUTE(SUBSTITUTE(SUBSTITUTE(SUBSTITUTE(SUBSTITUTE(SUBSTITUTE(SUBSTITUTE(SUBSTITUTE(SUBSTITUTE(SUBSTITUTE(SUBSTITUTE(TRIM($D765),"'",""),"İ","I"),"ı","I"),"i","I"),"Ş","S"),"ş","S"),"Ğ","G"),"ğ","G"),"Ü","U"),"ü","U"),"Ö","O"),"ö","O"),"Ç","C"),"ç","C"),".",""),",","")," ",""),"-","")))</f>
        <v/>
      </c>
      <c r="S765" s="3">
        <f>IF($D765="","",$C765&amp;"|"&amp;TEXT($E765,"0")&amp;"|"&amp;TEXT($F765,"0")&amp;"|"&amp;$I765)</f>
        <v/>
      </c>
      <c r="T765" s="3">
        <f>IF($E765="",0,SUMPRODUCT((AY_SONU!$O$7:$O$42="Evet")*(AY_SONU!$B$7:$B$42=DATE(YEAR($E765),MONTH($E765),1))))</f>
        <v/>
      </c>
    </row>
    <row r="766">
      <c r="A766" s="6" t="n"/>
      <c r="B766" s="113">
        <f>IF($D766="","","T"&amp;TEXT(ROW()-6,"00000"))</f>
        <v/>
      </c>
      <c r="C766" s="113">
        <f>IF($D766="","",IFERROR(INDEX(MUSTERILER!$B$7:$B$106,MATCH($R766,MUSTERILER!$T$7:$T$106,0)),IFERROR(INDEX(MUSTERILER!$B$7:$B$106,MATCH($D766,MUSTERILER!$B$7:$B$106,0)),IFERROR(INDEX(MUSTERILER!$B$7:$B$106,MATCH($R766&amp;"*",MUSTERILER!$T$7:$T$106,0)),"TANIMSIZ MÜŞTERİ"))))</f>
        <v/>
      </c>
      <c r="D766" s="109" t="n"/>
      <c r="E766" s="220" t="n"/>
      <c r="F766" s="221" t="n"/>
      <c r="G766" s="108" t="n"/>
      <c r="H766" s="108" t="n"/>
      <c r="I766" s="109" t="n"/>
      <c r="J766" s="109" t="n"/>
      <c r="K766" s="109" t="n"/>
      <c r="L766" s="226">
        <f>IF($E766="","",DATE(YEAR($E766),MONTH($E766),1))</f>
        <v/>
      </c>
      <c r="M766" s="113">
        <f>IF($D766="","",IF($C766="TANIMSIZ MÜŞTERİ","HATA",IF(OR($E766="",$F766&lt;=0,$G766=""),"EKSİK",IF($E766&gt;TODAY(),"İLERİ TARİH",IF(COUNTIF($S$7:$S$1506,$S766)&gt;1,"MÜKERRER?",IF($T766&gt;0,"KAPALI DÖNEM","UYGUN"))))))</f>
        <v/>
      </c>
      <c r="N766" s="121">
        <f>IF($C766="","",IF($C766="TANIMSIZ MÜŞTERİ","—",INDEX(MUSTERILER!$C$7:$C$106,MATCH($C766,MUSTERILER!$B$7:$B$106,0))))</f>
        <v/>
      </c>
      <c r="O766" s="6" t="n"/>
      <c r="P766" s="6" t="n"/>
      <c r="Q766" s="3">
        <f>IF($D766="","",$C766&amp;"|"&amp;COUNTIFS($C$7:$C766,$C766))</f>
        <v/>
      </c>
      <c r="R766" s="3">
        <f>IF($D766="","",UPPER(SUBSTITUTE(SUBSTITUTE(SUBSTITUTE(SUBSTITUTE(SUBSTITUTE(SUBSTITUTE(SUBSTITUTE(SUBSTITUTE(SUBSTITUTE(SUBSTITUTE(SUBSTITUTE(SUBSTITUTE(SUBSTITUTE(SUBSTITUTE(SUBSTITUTE(SUBSTITUTE(SUBSTITUTE(SUBSTITUTE(TRIM($D766),"'",""),"İ","I"),"ı","I"),"i","I"),"Ş","S"),"ş","S"),"Ğ","G"),"ğ","G"),"Ü","U"),"ü","U"),"Ö","O"),"ö","O"),"Ç","C"),"ç","C"),".",""),",","")," ",""),"-","")))</f>
        <v/>
      </c>
      <c r="S766" s="3">
        <f>IF($D766="","",$C766&amp;"|"&amp;TEXT($E766,"0")&amp;"|"&amp;TEXT($F766,"0")&amp;"|"&amp;$I766)</f>
        <v/>
      </c>
      <c r="T766" s="3">
        <f>IF($E766="",0,SUMPRODUCT((AY_SONU!$O$7:$O$42="Evet")*(AY_SONU!$B$7:$B$42=DATE(YEAR($E766),MONTH($E766),1))))</f>
        <v/>
      </c>
    </row>
    <row r="767">
      <c r="A767" s="6" t="n"/>
      <c r="B767" s="113">
        <f>IF($D767="","","T"&amp;TEXT(ROW()-6,"00000"))</f>
        <v/>
      </c>
      <c r="C767" s="113">
        <f>IF($D767="","",IFERROR(INDEX(MUSTERILER!$B$7:$B$106,MATCH($R767,MUSTERILER!$T$7:$T$106,0)),IFERROR(INDEX(MUSTERILER!$B$7:$B$106,MATCH($D767,MUSTERILER!$B$7:$B$106,0)),IFERROR(INDEX(MUSTERILER!$B$7:$B$106,MATCH($R767&amp;"*",MUSTERILER!$T$7:$T$106,0)),"TANIMSIZ MÜŞTERİ"))))</f>
        <v/>
      </c>
      <c r="D767" s="109" t="n"/>
      <c r="E767" s="220" t="n"/>
      <c r="F767" s="221" t="n"/>
      <c r="G767" s="108" t="n"/>
      <c r="H767" s="108" t="n"/>
      <c r="I767" s="109" t="n"/>
      <c r="J767" s="109" t="n"/>
      <c r="K767" s="109" t="n"/>
      <c r="L767" s="226">
        <f>IF($E767="","",DATE(YEAR($E767),MONTH($E767),1))</f>
        <v/>
      </c>
      <c r="M767" s="113">
        <f>IF($D767="","",IF($C767="TANIMSIZ MÜŞTERİ","HATA",IF(OR($E767="",$F767&lt;=0,$G767=""),"EKSİK",IF($E767&gt;TODAY(),"İLERİ TARİH",IF(COUNTIF($S$7:$S$1506,$S767)&gt;1,"MÜKERRER?",IF($T767&gt;0,"KAPALI DÖNEM","UYGUN"))))))</f>
        <v/>
      </c>
      <c r="N767" s="121">
        <f>IF($C767="","",IF($C767="TANIMSIZ MÜŞTERİ","—",INDEX(MUSTERILER!$C$7:$C$106,MATCH($C767,MUSTERILER!$B$7:$B$106,0))))</f>
        <v/>
      </c>
      <c r="O767" s="6" t="n"/>
      <c r="P767" s="6" t="n"/>
      <c r="Q767" s="3">
        <f>IF($D767="","",$C767&amp;"|"&amp;COUNTIFS($C$7:$C767,$C767))</f>
        <v/>
      </c>
      <c r="R767" s="3">
        <f>IF($D767="","",UPPER(SUBSTITUTE(SUBSTITUTE(SUBSTITUTE(SUBSTITUTE(SUBSTITUTE(SUBSTITUTE(SUBSTITUTE(SUBSTITUTE(SUBSTITUTE(SUBSTITUTE(SUBSTITUTE(SUBSTITUTE(SUBSTITUTE(SUBSTITUTE(SUBSTITUTE(SUBSTITUTE(SUBSTITUTE(SUBSTITUTE(TRIM($D767),"'",""),"İ","I"),"ı","I"),"i","I"),"Ş","S"),"ş","S"),"Ğ","G"),"ğ","G"),"Ü","U"),"ü","U"),"Ö","O"),"ö","O"),"Ç","C"),"ç","C"),".",""),",","")," ",""),"-","")))</f>
        <v/>
      </c>
      <c r="S767" s="3">
        <f>IF($D767="","",$C767&amp;"|"&amp;TEXT($E767,"0")&amp;"|"&amp;TEXT($F767,"0")&amp;"|"&amp;$I767)</f>
        <v/>
      </c>
      <c r="T767" s="3">
        <f>IF($E767="",0,SUMPRODUCT((AY_SONU!$O$7:$O$42="Evet")*(AY_SONU!$B$7:$B$42=DATE(YEAR($E767),MONTH($E767),1))))</f>
        <v/>
      </c>
    </row>
    <row r="768">
      <c r="A768" s="6" t="n"/>
      <c r="B768" s="113">
        <f>IF($D768="","","T"&amp;TEXT(ROW()-6,"00000"))</f>
        <v/>
      </c>
      <c r="C768" s="113">
        <f>IF($D768="","",IFERROR(INDEX(MUSTERILER!$B$7:$B$106,MATCH($R768,MUSTERILER!$T$7:$T$106,0)),IFERROR(INDEX(MUSTERILER!$B$7:$B$106,MATCH($D768,MUSTERILER!$B$7:$B$106,0)),IFERROR(INDEX(MUSTERILER!$B$7:$B$106,MATCH($R768&amp;"*",MUSTERILER!$T$7:$T$106,0)),"TANIMSIZ MÜŞTERİ"))))</f>
        <v/>
      </c>
      <c r="D768" s="109" t="n"/>
      <c r="E768" s="220" t="n"/>
      <c r="F768" s="221" t="n"/>
      <c r="G768" s="108" t="n"/>
      <c r="H768" s="108" t="n"/>
      <c r="I768" s="109" t="n"/>
      <c r="J768" s="109" t="n"/>
      <c r="K768" s="109" t="n"/>
      <c r="L768" s="226">
        <f>IF($E768="","",DATE(YEAR($E768),MONTH($E768),1))</f>
        <v/>
      </c>
      <c r="M768" s="113">
        <f>IF($D768="","",IF($C768="TANIMSIZ MÜŞTERİ","HATA",IF(OR($E768="",$F768&lt;=0,$G768=""),"EKSİK",IF($E768&gt;TODAY(),"İLERİ TARİH",IF(COUNTIF($S$7:$S$1506,$S768)&gt;1,"MÜKERRER?",IF($T768&gt;0,"KAPALI DÖNEM","UYGUN"))))))</f>
        <v/>
      </c>
      <c r="N768" s="121">
        <f>IF($C768="","",IF($C768="TANIMSIZ MÜŞTERİ","—",INDEX(MUSTERILER!$C$7:$C$106,MATCH($C768,MUSTERILER!$B$7:$B$106,0))))</f>
        <v/>
      </c>
      <c r="O768" s="6" t="n"/>
      <c r="P768" s="6" t="n"/>
      <c r="Q768" s="3">
        <f>IF($D768="","",$C768&amp;"|"&amp;COUNTIFS($C$7:$C768,$C768))</f>
        <v/>
      </c>
      <c r="R768" s="3">
        <f>IF($D768="","",UPPER(SUBSTITUTE(SUBSTITUTE(SUBSTITUTE(SUBSTITUTE(SUBSTITUTE(SUBSTITUTE(SUBSTITUTE(SUBSTITUTE(SUBSTITUTE(SUBSTITUTE(SUBSTITUTE(SUBSTITUTE(SUBSTITUTE(SUBSTITUTE(SUBSTITUTE(SUBSTITUTE(SUBSTITUTE(SUBSTITUTE(TRIM($D768),"'",""),"İ","I"),"ı","I"),"i","I"),"Ş","S"),"ş","S"),"Ğ","G"),"ğ","G"),"Ü","U"),"ü","U"),"Ö","O"),"ö","O"),"Ç","C"),"ç","C"),".",""),",","")," ",""),"-","")))</f>
        <v/>
      </c>
      <c r="S768" s="3">
        <f>IF($D768="","",$C768&amp;"|"&amp;TEXT($E768,"0")&amp;"|"&amp;TEXT($F768,"0")&amp;"|"&amp;$I768)</f>
        <v/>
      </c>
      <c r="T768" s="3">
        <f>IF($E768="",0,SUMPRODUCT((AY_SONU!$O$7:$O$42="Evet")*(AY_SONU!$B$7:$B$42=DATE(YEAR($E768),MONTH($E768),1))))</f>
        <v/>
      </c>
    </row>
    <row r="769">
      <c r="A769" s="6" t="n"/>
      <c r="B769" s="113">
        <f>IF($D769="","","T"&amp;TEXT(ROW()-6,"00000"))</f>
        <v/>
      </c>
      <c r="C769" s="113">
        <f>IF($D769="","",IFERROR(INDEX(MUSTERILER!$B$7:$B$106,MATCH($R769,MUSTERILER!$T$7:$T$106,0)),IFERROR(INDEX(MUSTERILER!$B$7:$B$106,MATCH($D769,MUSTERILER!$B$7:$B$106,0)),IFERROR(INDEX(MUSTERILER!$B$7:$B$106,MATCH($R769&amp;"*",MUSTERILER!$T$7:$T$106,0)),"TANIMSIZ MÜŞTERİ"))))</f>
        <v/>
      </c>
      <c r="D769" s="109" t="n"/>
      <c r="E769" s="220" t="n"/>
      <c r="F769" s="221" t="n"/>
      <c r="G769" s="108" t="n"/>
      <c r="H769" s="108" t="n"/>
      <c r="I769" s="109" t="n"/>
      <c r="J769" s="109" t="n"/>
      <c r="K769" s="109" t="n"/>
      <c r="L769" s="226">
        <f>IF($E769="","",DATE(YEAR($E769),MONTH($E769),1))</f>
        <v/>
      </c>
      <c r="M769" s="113">
        <f>IF($D769="","",IF($C769="TANIMSIZ MÜŞTERİ","HATA",IF(OR($E769="",$F769&lt;=0,$G769=""),"EKSİK",IF($E769&gt;TODAY(),"İLERİ TARİH",IF(COUNTIF($S$7:$S$1506,$S769)&gt;1,"MÜKERRER?",IF($T769&gt;0,"KAPALI DÖNEM","UYGUN"))))))</f>
        <v/>
      </c>
      <c r="N769" s="121">
        <f>IF($C769="","",IF($C769="TANIMSIZ MÜŞTERİ","—",INDEX(MUSTERILER!$C$7:$C$106,MATCH($C769,MUSTERILER!$B$7:$B$106,0))))</f>
        <v/>
      </c>
      <c r="O769" s="6" t="n"/>
      <c r="P769" s="6" t="n"/>
      <c r="Q769" s="3">
        <f>IF($D769="","",$C769&amp;"|"&amp;COUNTIFS($C$7:$C769,$C769))</f>
        <v/>
      </c>
      <c r="R769" s="3">
        <f>IF($D769="","",UPPER(SUBSTITUTE(SUBSTITUTE(SUBSTITUTE(SUBSTITUTE(SUBSTITUTE(SUBSTITUTE(SUBSTITUTE(SUBSTITUTE(SUBSTITUTE(SUBSTITUTE(SUBSTITUTE(SUBSTITUTE(SUBSTITUTE(SUBSTITUTE(SUBSTITUTE(SUBSTITUTE(SUBSTITUTE(SUBSTITUTE(TRIM($D769),"'",""),"İ","I"),"ı","I"),"i","I"),"Ş","S"),"ş","S"),"Ğ","G"),"ğ","G"),"Ü","U"),"ü","U"),"Ö","O"),"ö","O"),"Ç","C"),"ç","C"),".",""),",","")," ",""),"-","")))</f>
        <v/>
      </c>
      <c r="S769" s="3">
        <f>IF($D769="","",$C769&amp;"|"&amp;TEXT($E769,"0")&amp;"|"&amp;TEXT($F769,"0")&amp;"|"&amp;$I769)</f>
        <v/>
      </c>
      <c r="T769" s="3">
        <f>IF($E769="",0,SUMPRODUCT((AY_SONU!$O$7:$O$42="Evet")*(AY_SONU!$B$7:$B$42=DATE(YEAR($E769),MONTH($E769),1))))</f>
        <v/>
      </c>
    </row>
    <row r="770">
      <c r="A770" s="6" t="n"/>
      <c r="B770" s="113">
        <f>IF($D770="","","T"&amp;TEXT(ROW()-6,"00000"))</f>
        <v/>
      </c>
      <c r="C770" s="113">
        <f>IF($D770="","",IFERROR(INDEX(MUSTERILER!$B$7:$B$106,MATCH($R770,MUSTERILER!$T$7:$T$106,0)),IFERROR(INDEX(MUSTERILER!$B$7:$B$106,MATCH($D770,MUSTERILER!$B$7:$B$106,0)),IFERROR(INDEX(MUSTERILER!$B$7:$B$106,MATCH($R770&amp;"*",MUSTERILER!$T$7:$T$106,0)),"TANIMSIZ MÜŞTERİ"))))</f>
        <v/>
      </c>
      <c r="D770" s="109" t="n"/>
      <c r="E770" s="220" t="n"/>
      <c r="F770" s="221" t="n"/>
      <c r="G770" s="108" t="n"/>
      <c r="H770" s="108" t="n"/>
      <c r="I770" s="109" t="n"/>
      <c r="J770" s="109" t="n"/>
      <c r="K770" s="109" t="n"/>
      <c r="L770" s="226">
        <f>IF($E770="","",DATE(YEAR($E770),MONTH($E770),1))</f>
        <v/>
      </c>
      <c r="M770" s="113">
        <f>IF($D770="","",IF($C770="TANIMSIZ MÜŞTERİ","HATA",IF(OR($E770="",$F770&lt;=0,$G770=""),"EKSİK",IF($E770&gt;TODAY(),"İLERİ TARİH",IF(COUNTIF($S$7:$S$1506,$S770)&gt;1,"MÜKERRER?",IF($T770&gt;0,"KAPALI DÖNEM","UYGUN"))))))</f>
        <v/>
      </c>
      <c r="N770" s="121">
        <f>IF($C770="","",IF($C770="TANIMSIZ MÜŞTERİ","—",INDEX(MUSTERILER!$C$7:$C$106,MATCH($C770,MUSTERILER!$B$7:$B$106,0))))</f>
        <v/>
      </c>
      <c r="O770" s="6" t="n"/>
      <c r="P770" s="6" t="n"/>
      <c r="Q770" s="3">
        <f>IF($D770="","",$C770&amp;"|"&amp;COUNTIFS($C$7:$C770,$C770))</f>
        <v/>
      </c>
      <c r="R770" s="3">
        <f>IF($D770="","",UPPER(SUBSTITUTE(SUBSTITUTE(SUBSTITUTE(SUBSTITUTE(SUBSTITUTE(SUBSTITUTE(SUBSTITUTE(SUBSTITUTE(SUBSTITUTE(SUBSTITUTE(SUBSTITUTE(SUBSTITUTE(SUBSTITUTE(SUBSTITUTE(SUBSTITUTE(SUBSTITUTE(SUBSTITUTE(SUBSTITUTE(TRIM($D770),"'",""),"İ","I"),"ı","I"),"i","I"),"Ş","S"),"ş","S"),"Ğ","G"),"ğ","G"),"Ü","U"),"ü","U"),"Ö","O"),"ö","O"),"Ç","C"),"ç","C"),".",""),",","")," ",""),"-","")))</f>
        <v/>
      </c>
      <c r="S770" s="3">
        <f>IF($D770="","",$C770&amp;"|"&amp;TEXT($E770,"0")&amp;"|"&amp;TEXT($F770,"0")&amp;"|"&amp;$I770)</f>
        <v/>
      </c>
      <c r="T770" s="3">
        <f>IF($E770="",0,SUMPRODUCT((AY_SONU!$O$7:$O$42="Evet")*(AY_SONU!$B$7:$B$42=DATE(YEAR($E770),MONTH($E770),1))))</f>
        <v/>
      </c>
    </row>
    <row r="771">
      <c r="A771" s="6" t="n"/>
      <c r="B771" s="113">
        <f>IF($D771="","","T"&amp;TEXT(ROW()-6,"00000"))</f>
        <v/>
      </c>
      <c r="C771" s="113">
        <f>IF($D771="","",IFERROR(INDEX(MUSTERILER!$B$7:$B$106,MATCH($R771,MUSTERILER!$T$7:$T$106,0)),IFERROR(INDEX(MUSTERILER!$B$7:$B$106,MATCH($D771,MUSTERILER!$B$7:$B$106,0)),IFERROR(INDEX(MUSTERILER!$B$7:$B$106,MATCH($R771&amp;"*",MUSTERILER!$T$7:$T$106,0)),"TANIMSIZ MÜŞTERİ"))))</f>
        <v/>
      </c>
      <c r="D771" s="109" t="n"/>
      <c r="E771" s="220" t="n"/>
      <c r="F771" s="221" t="n"/>
      <c r="G771" s="108" t="n"/>
      <c r="H771" s="108" t="n"/>
      <c r="I771" s="109" t="n"/>
      <c r="J771" s="109" t="n"/>
      <c r="K771" s="109" t="n"/>
      <c r="L771" s="226">
        <f>IF($E771="","",DATE(YEAR($E771),MONTH($E771),1))</f>
        <v/>
      </c>
      <c r="M771" s="113">
        <f>IF($D771="","",IF($C771="TANIMSIZ MÜŞTERİ","HATA",IF(OR($E771="",$F771&lt;=0,$G771=""),"EKSİK",IF($E771&gt;TODAY(),"İLERİ TARİH",IF(COUNTIF($S$7:$S$1506,$S771)&gt;1,"MÜKERRER?",IF($T771&gt;0,"KAPALI DÖNEM","UYGUN"))))))</f>
        <v/>
      </c>
      <c r="N771" s="121">
        <f>IF($C771="","",IF($C771="TANIMSIZ MÜŞTERİ","—",INDEX(MUSTERILER!$C$7:$C$106,MATCH($C771,MUSTERILER!$B$7:$B$106,0))))</f>
        <v/>
      </c>
      <c r="O771" s="6" t="n"/>
      <c r="P771" s="6" t="n"/>
      <c r="Q771" s="3">
        <f>IF($D771="","",$C771&amp;"|"&amp;COUNTIFS($C$7:$C771,$C771))</f>
        <v/>
      </c>
      <c r="R771" s="3">
        <f>IF($D771="","",UPPER(SUBSTITUTE(SUBSTITUTE(SUBSTITUTE(SUBSTITUTE(SUBSTITUTE(SUBSTITUTE(SUBSTITUTE(SUBSTITUTE(SUBSTITUTE(SUBSTITUTE(SUBSTITUTE(SUBSTITUTE(SUBSTITUTE(SUBSTITUTE(SUBSTITUTE(SUBSTITUTE(SUBSTITUTE(SUBSTITUTE(TRIM($D771),"'",""),"İ","I"),"ı","I"),"i","I"),"Ş","S"),"ş","S"),"Ğ","G"),"ğ","G"),"Ü","U"),"ü","U"),"Ö","O"),"ö","O"),"Ç","C"),"ç","C"),".",""),",","")," ",""),"-","")))</f>
        <v/>
      </c>
      <c r="S771" s="3">
        <f>IF($D771="","",$C771&amp;"|"&amp;TEXT($E771,"0")&amp;"|"&amp;TEXT($F771,"0")&amp;"|"&amp;$I771)</f>
        <v/>
      </c>
      <c r="T771" s="3">
        <f>IF($E771="",0,SUMPRODUCT((AY_SONU!$O$7:$O$42="Evet")*(AY_SONU!$B$7:$B$42=DATE(YEAR($E771),MONTH($E771),1))))</f>
        <v/>
      </c>
    </row>
    <row r="772">
      <c r="A772" s="6" t="n"/>
      <c r="B772" s="113">
        <f>IF($D772="","","T"&amp;TEXT(ROW()-6,"00000"))</f>
        <v/>
      </c>
      <c r="C772" s="113">
        <f>IF($D772="","",IFERROR(INDEX(MUSTERILER!$B$7:$B$106,MATCH($R772,MUSTERILER!$T$7:$T$106,0)),IFERROR(INDEX(MUSTERILER!$B$7:$B$106,MATCH($D772,MUSTERILER!$B$7:$B$106,0)),IFERROR(INDEX(MUSTERILER!$B$7:$B$106,MATCH($R772&amp;"*",MUSTERILER!$T$7:$T$106,0)),"TANIMSIZ MÜŞTERİ"))))</f>
        <v/>
      </c>
      <c r="D772" s="109" t="n"/>
      <c r="E772" s="220" t="n"/>
      <c r="F772" s="221" t="n"/>
      <c r="G772" s="108" t="n"/>
      <c r="H772" s="108" t="n"/>
      <c r="I772" s="109" t="n"/>
      <c r="J772" s="109" t="n"/>
      <c r="K772" s="109" t="n"/>
      <c r="L772" s="226">
        <f>IF($E772="","",DATE(YEAR($E772),MONTH($E772),1))</f>
        <v/>
      </c>
      <c r="M772" s="113">
        <f>IF($D772="","",IF($C772="TANIMSIZ MÜŞTERİ","HATA",IF(OR($E772="",$F772&lt;=0,$G772=""),"EKSİK",IF($E772&gt;TODAY(),"İLERİ TARİH",IF(COUNTIF($S$7:$S$1506,$S772)&gt;1,"MÜKERRER?",IF($T772&gt;0,"KAPALI DÖNEM","UYGUN"))))))</f>
        <v/>
      </c>
      <c r="N772" s="121">
        <f>IF($C772="","",IF($C772="TANIMSIZ MÜŞTERİ","—",INDEX(MUSTERILER!$C$7:$C$106,MATCH($C772,MUSTERILER!$B$7:$B$106,0))))</f>
        <v/>
      </c>
      <c r="O772" s="6" t="n"/>
      <c r="P772" s="6" t="n"/>
      <c r="Q772" s="3">
        <f>IF($D772="","",$C772&amp;"|"&amp;COUNTIFS($C$7:$C772,$C772))</f>
        <v/>
      </c>
      <c r="R772" s="3">
        <f>IF($D772="","",UPPER(SUBSTITUTE(SUBSTITUTE(SUBSTITUTE(SUBSTITUTE(SUBSTITUTE(SUBSTITUTE(SUBSTITUTE(SUBSTITUTE(SUBSTITUTE(SUBSTITUTE(SUBSTITUTE(SUBSTITUTE(SUBSTITUTE(SUBSTITUTE(SUBSTITUTE(SUBSTITUTE(SUBSTITUTE(SUBSTITUTE(TRIM($D772),"'",""),"İ","I"),"ı","I"),"i","I"),"Ş","S"),"ş","S"),"Ğ","G"),"ğ","G"),"Ü","U"),"ü","U"),"Ö","O"),"ö","O"),"Ç","C"),"ç","C"),".",""),",","")," ",""),"-","")))</f>
        <v/>
      </c>
      <c r="S772" s="3">
        <f>IF($D772="","",$C772&amp;"|"&amp;TEXT($E772,"0")&amp;"|"&amp;TEXT($F772,"0")&amp;"|"&amp;$I772)</f>
        <v/>
      </c>
      <c r="T772" s="3">
        <f>IF($E772="",0,SUMPRODUCT((AY_SONU!$O$7:$O$42="Evet")*(AY_SONU!$B$7:$B$42=DATE(YEAR($E772),MONTH($E772),1))))</f>
        <v/>
      </c>
    </row>
    <row r="773">
      <c r="A773" s="6" t="n"/>
      <c r="B773" s="113">
        <f>IF($D773="","","T"&amp;TEXT(ROW()-6,"00000"))</f>
        <v/>
      </c>
      <c r="C773" s="113">
        <f>IF($D773="","",IFERROR(INDEX(MUSTERILER!$B$7:$B$106,MATCH($R773,MUSTERILER!$T$7:$T$106,0)),IFERROR(INDEX(MUSTERILER!$B$7:$B$106,MATCH($D773,MUSTERILER!$B$7:$B$106,0)),IFERROR(INDEX(MUSTERILER!$B$7:$B$106,MATCH($R773&amp;"*",MUSTERILER!$T$7:$T$106,0)),"TANIMSIZ MÜŞTERİ"))))</f>
        <v/>
      </c>
      <c r="D773" s="109" t="n"/>
      <c r="E773" s="220" t="n"/>
      <c r="F773" s="221" t="n"/>
      <c r="G773" s="108" t="n"/>
      <c r="H773" s="108" t="n"/>
      <c r="I773" s="109" t="n"/>
      <c r="J773" s="109" t="n"/>
      <c r="K773" s="109" t="n"/>
      <c r="L773" s="226">
        <f>IF($E773="","",DATE(YEAR($E773),MONTH($E773),1))</f>
        <v/>
      </c>
      <c r="M773" s="113">
        <f>IF($D773="","",IF($C773="TANIMSIZ MÜŞTERİ","HATA",IF(OR($E773="",$F773&lt;=0,$G773=""),"EKSİK",IF($E773&gt;TODAY(),"İLERİ TARİH",IF(COUNTIF($S$7:$S$1506,$S773)&gt;1,"MÜKERRER?",IF($T773&gt;0,"KAPALI DÖNEM","UYGUN"))))))</f>
        <v/>
      </c>
      <c r="N773" s="121">
        <f>IF($C773="","",IF($C773="TANIMSIZ MÜŞTERİ","—",INDEX(MUSTERILER!$C$7:$C$106,MATCH($C773,MUSTERILER!$B$7:$B$106,0))))</f>
        <v/>
      </c>
      <c r="O773" s="6" t="n"/>
      <c r="P773" s="6" t="n"/>
      <c r="Q773" s="3">
        <f>IF($D773="","",$C773&amp;"|"&amp;COUNTIFS($C$7:$C773,$C773))</f>
        <v/>
      </c>
      <c r="R773" s="3">
        <f>IF($D773="","",UPPER(SUBSTITUTE(SUBSTITUTE(SUBSTITUTE(SUBSTITUTE(SUBSTITUTE(SUBSTITUTE(SUBSTITUTE(SUBSTITUTE(SUBSTITUTE(SUBSTITUTE(SUBSTITUTE(SUBSTITUTE(SUBSTITUTE(SUBSTITUTE(SUBSTITUTE(SUBSTITUTE(SUBSTITUTE(SUBSTITUTE(TRIM($D773),"'",""),"İ","I"),"ı","I"),"i","I"),"Ş","S"),"ş","S"),"Ğ","G"),"ğ","G"),"Ü","U"),"ü","U"),"Ö","O"),"ö","O"),"Ç","C"),"ç","C"),".",""),",","")," ",""),"-","")))</f>
        <v/>
      </c>
      <c r="S773" s="3">
        <f>IF($D773="","",$C773&amp;"|"&amp;TEXT($E773,"0")&amp;"|"&amp;TEXT($F773,"0")&amp;"|"&amp;$I773)</f>
        <v/>
      </c>
      <c r="T773" s="3">
        <f>IF($E773="",0,SUMPRODUCT((AY_SONU!$O$7:$O$42="Evet")*(AY_SONU!$B$7:$B$42=DATE(YEAR($E773),MONTH($E773),1))))</f>
        <v/>
      </c>
    </row>
    <row r="774">
      <c r="A774" s="6" t="n"/>
      <c r="B774" s="113">
        <f>IF($D774="","","T"&amp;TEXT(ROW()-6,"00000"))</f>
        <v/>
      </c>
      <c r="C774" s="113">
        <f>IF($D774="","",IFERROR(INDEX(MUSTERILER!$B$7:$B$106,MATCH($R774,MUSTERILER!$T$7:$T$106,0)),IFERROR(INDEX(MUSTERILER!$B$7:$B$106,MATCH($D774,MUSTERILER!$B$7:$B$106,0)),IFERROR(INDEX(MUSTERILER!$B$7:$B$106,MATCH($R774&amp;"*",MUSTERILER!$T$7:$T$106,0)),"TANIMSIZ MÜŞTERİ"))))</f>
        <v/>
      </c>
      <c r="D774" s="109" t="n"/>
      <c r="E774" s="220" t="n"/>
      <c r="F774" s="221" t="n"/>
      <c r="G774" s="108" t="n"/>
      <c r="H774" s="108" t="n"/>
      <c r="I774" s="109" t="n"/>
      <c r="J774" s="109" t="n"/>
      <c r="K774" s="109" t="n"/>
      <c r="L774" s="226">
        <f>IF($E774="","",DATE(YEAR($E774),MONTH($E774),1))</f>
        <v/>
      </c>
      <c r="M774" s="113">
        <f>IF($D774="","",IF($C774="TANIMSIZ MÜŞTERİ","HATA",IF(OR($E774="",$F774&lt;=0,$G774=""),"EKSİK",IF($E774&gt;TODAY(),"İLERİ TARİH",IF(COUNTIF($S$7:$S$1506,$S774)&gt;1,"MÜKERRER?",IF($T774&gt;0,"KAPALI DÖNEM","UYGUN"))))))</f>
        <v/>
      </c>
      <c r="N774" s="121">
        <f>IF($C774="","",IF($C774="TANIMSIZ MÜŞTERİ","—",INDEX(MUSTERILER!$C$7:$C$106,MATCH($C774,MUSTERILER!$B$7:$B$106,0))))</f>
        <v/>
      </c>
      <c r="O774" s="6" t="n"/>
      <c r="P774" s="6" t="n"/>
      <c r="Q774" s="3">
        <f>IF($D774="","",$C774&amp;"|"&amp;COUNTIFS($C$7:$C774,$C774))</f>
        <v/>
      </c>
      <c r="R774" s="3">
        <f>IF($D774="","",UPPER(SUBSTITUTE(SUBSTITUTE(SUBSTITUTE(SUBSTITUTE(SUBSTITUTE(SUBSTITUTE(SUBSTITUTE(SUBSTITUTE(SUBSTITUTE(SUBSTITUTE(SUBSTITUTE(SUBSTITUTE(SUBSTITUTE(SUBSTITUTE(SUBSTITUTE(SUBSTITUTE(SUBSTITUTE(SUBSTITUTE(TRIM($D774),"'",""),"İ","I"),"ı","I"),"i","I"),"Ş","S"),"ş","S"),"Ğ","G"),"ğ","G"),"Ü","U"),"ü","U"),"Ö","O"),"ö","O"),"Ç","C"),"ç","C"),".",""),",","")," ",""),"-","")))</f>
        <v/>
      </c>
      <c r="S774" s="3">
        <f>IF($D774="","",$C774&amp;"|"&amp;TEXT($E774,"0")&amp;"|"&amp;TEXT($F774,"0")&amp;"|"&amp;$I774)</f>
        <v/>
      </c>
      <c r="T774" s="3">
        <f>IF($E774="",0,SUMPRODUCT((AY_SONU!$O$7:$O$42="Evet")*(AY_SONU!$B$7:$B$42=DATE(YEAR($E774),MONTH($E774),1))))</f>
        <v/>
      </c>
    </row>
    <row r="775">
      <c r="A775" s="6" t="n"/>
      <c r="B775" s="113">
        <f>IF($D775="","","T"&amp;TEXT(ROW()-6,"00000"))</f>
        <v/>
      </c>
      <c r="C775" s="113">
        <f>IF($D775="","",IFERROR(INDEX(MUSTERILER!$B$7:$B$106,MATCH($R775,MUSTERILER!$T$7:$T$106,0)),IFERROR(INDEX(MUSTERILER!$B$7:$B$106,MATCH($D775,MUSTERILER!$B$7:$B$106,0)),IFERROR(INDEX(MUSTERILER!$B$7:$B$106,MATCH($R775&amp;"*",MUSTERILER!$T$7:$T$106,0)),"TANIMSIZ MÜŞTERİ"))))</f>
        <v/>
      </c>
      <c r="D775" s="109" t="n"/>
      <c r="E775" s="220" t="n"/>
      <c r="F775" s="221" t="n"/>
      <c r="G775" s="108" t="n"/>
      <c r="H775" s="108" t="n"/>
      <c r="I775" s="109" t="n"/>
      <c r="J775" s="109" t="n"/>
      <c r="K775" s="109" t="n"/>
      <c r="L775" s="226">
        <f>IF($E775="","",DATE(YEAR($E775),MONTH($E775),1))</f>
        <v/>
      </c>
      <c r="M775" s="113">
        <f>IF($D775="","",IF($C775="TANIMSIZ MÜŞTERİ","HATA",IF(OR($E775="",$F775&lt;=0,$G775=""),"EKSİK",IF($E775&gt;TODAY(),"İLERİ TARİH",IF(COUNTIF($S$7:$S$1506,$S775)&gt;1,"MÜKERRER?",IF($T775&gt;0,"KAPALI DÖNEM","UYGUN"))))))</f>
        <v/>
      </c>
      <c r="N775" s="121">
        <f>IF($C775="","",IF($C775="TANIMSIZ MÜŞTERİ","—",INDEX(MUSTERILER!$C$7:$C$106,MATCH($C775,MUSTERILER!$B$7:$B$106,0))))</f>
        <v/>
      </c>
      <c r="O775" s="6" t="n"/>
      <c r="P775" s="6" t="n"/>
      <c r="Q775" s="3">
        <f>IF($D775="","",$C775&amp;"|"&amp;COUNTIFS($C$7:$C775,$C775))</f>
        <v/>
      </c>
      <c r="R775" s="3">
        <f>IF($D775="","",UPPER(SUBSTITUTE(SUBSTITUTE(SUBSTITUTE(SUBSTITUTE(SUBSTITUTE(SUBSTITUTE(SUBSTITUTE(SUBSTITUTE(SUBSTITUTE(SUBSTITUTE(SUBSTITUTE(SUBSTITUTE(SUBSTITUTE(SUBSTITUTE(SUBSTITUTE(SUBSTITUTE(SUBSTITUTE(SUBSTITUTE(TRIM($D775),"'",""),"İ","I"),"ı","I"),"i","I"),"Ş","S"),"ş","S"),"Ğ","G"),"ğ","G"),"Ü","U"),"ü","U"),"Ö","O"),"ö","O"),"Ç","C"),"ç","C"),".",""),",","")," ",""),"-","")))</f>
        <v/>
      </c>
      <c r="S775" s="3">
        <f>IF($D775="","",$C775&amp;"|"&amp;TEXT($E775,"0")&amp;"|"&amp;TEXT($F775,"0")&amp;"|"&amp;$I775)</f>
        <v/>
      </c>
      <c r="T775" s="3">
        <f>IF($E775="",0,SUMPRODUCT((AY_SONU!$O$7:$O$42="Evet")*(AY_SONU!$B$7:$B$42=DATE(YEAR($E775),MONTH($E775),1))))</f>
        <v/>
      </c>
    </row>
    <row r="776">
      <c r="A776" s="6" t="n"/>
      <c r="B776" s="113">
        <f>IF($D776="","","T"&amp;TEXT(ROW()-6,"00000"))</f>
        <v/>
      </c>
      <c r="C776" s="113">
        <f>IF($D776="","",IFERROR(INDEX(MUSTERILER!$B$7:$B$106,MATCH($R776,MUSTERILER!$T$7:$T$106,0)),IFERROR(INDEX(MUSTERILER!$B$7:$B$106,MATCH($D776,MUSTERILER!$B$7:$B$106,0)),IFERROR(INDEX(MUSTERILER!$B$7:$B$106,MATCH($R776&amp;"*",MUSTERILER!$T$7:$T$106,0)),"TANIMSIZ MÜŞTERİ"))))</f>
        <v/>
      </c>
      <c r="D776" s="109" t="n"/>
      <c r="E776" s="220" t="n"/>
      <c r="F776" s="221" t="n"/>
      <c r="G776" s="108" t="n"/>
      <c r="H776" s="108" t="n"/>
      <c r="I776" s="109" t="n"/>
      <c r="J776" s="109" t="n"/>
      <c r="K776" s="109" t="n"/>
      <c r="L776" s="226">
        <f>IF($E776="","",DATE(YEAR($E776),MONTH($E776),1))</f>
        <v/>
      </c>
      <c r="M776" s="113">
        <f>IF($D776="","",IF($C776="TANIMSIZ MÜŞTERİ","HATA",IF(OR($E776="",$F776&lt;=0,$G776=""),"EKSİK",IF($E776&gt;TODAY(),"İLERİ TARİH",IF(COUNTIF($S$7:$S$1506,$S776)&gt;1,"MÜKERRER?",IF($T776&gt;0,"KAPALI DÖNEM","UYGUN"))))))</f>
        <v/>
      </c>
      <c r="N776" s="121">
        <f>IF($C776="","",IF($C776="TANIMSIZ MÜŞTERİ","—",INDEX(MUSTERILER!$C$7:$C$106,MATCH($C776,MUSTERILER!$B$7:$B$106,0))))</f>
        <v/>
      </c>
      <c r="O776" s="6" t="n"/>
      <c r="P776" s="6" t="n"/>
      <c r="Q776" s="3">
        <f>IF($D776="","",$C776&amp;"|"&amp;COUNTIFS($C$7:$C776,$C776))</f>
        <v/>
      </c>
      <c r="R776" s="3">
        <f>IF($D776="","",UPPER(SUBSTITUTE(SUBSTITUTE(SUBSTITUTE(SUBSTITUTE(SUBSTITUTE(SUBSTITUTE(SUBSTITUTE(SUBSTITUTE(SUBSTITUTE(SUBSTITUTE(SUBSTITUTE(SUBSTITUTE(SUBSTITUTE(SUBSTITUTE(SUBSTITUTE(SUBSTITUTE(SUBSTITUTE(SUBSTITUTE(TRIM($D776),"'",""),"İ","I"),"ı","I"),"i","I"),"Ş","S"),"ş","S"),"Ğ","G"),"ğ","G"),"Ü","U"),"ü","U"),"Ö","O"),"ö","O"),"Ç","C"),"ç","C"),".",""),",","")," ",""),"-","")))</f>
        <v/>
      </c>
      <c r="S776" s="3">
        <f>IF($D776="","",$C776&amp;"|"&amp;TEXT($E776,"0")&amp;"|"&amp;TEXT($F776,"0")&amp;"|"&amp;$I776)</f>
        <v/>
      </c>
      <c r="T776" s="3">
        <f>IF($E776="",0,SUMPRODUCT((AY_SONU!$O$7:$O$42="Evet")*(AY_SONU!$B$7:$B$42=DATE(YEAR($E776),MONTH($E776),1))))</f>
        <v/>
      </c>
    </row>
    <row r="777">
      <c r="A777" s="6" t="n"/>
      <c r="B777" s="113">
        <f>IF($D777="","","T"&amp;TEXT(ROW()-6,"00000"))</f>
        <v/>
      </c>
      <c r="C777" s="113">
        <f>IF($D777="","",IFERROR(INDEX(MUSTERILER!$B$7:$B$106,MATCH($R777,MUSTERILER!$T$7:$T$106,0)),IFERROR(INDEX(MUSTERILER!$B$7:$B$106,MATCH($D777,MUSTERILER!$B$7:$B$106,0)),IFERROR(INDEX(MUSTERILER!$B$7:$B$106,MATCH($R777&amp;"*",MUSTERILER!$T$7:$T$106,0)),"TANIMSIZ MÜŞTERİ"))))</f>
        <v/>
      </c>
      <c r="D777" s="109" t="n"/>
      <c r="E777" s="220" t="n"/>
      <c r="F777" s="221" t="n"/>
      <c r="G777" s="108" t="n"/>
      <c r="H777" s="108" t="n"/>
      <c r="I777" s="109" t="n"/>
      <c r="J777" s="109" t="n"/>
      <c r="K777" s="109" t="n"/>
      <c r="L777" s="226">
        <f>IF($E777="","",DATE(YEAR($E777),MONTH($E777),1))</f>
        <v/>
      </c>
      <c r="M777" s="113">
        <f>IF($D777="","",IF($C777="TANIMSIZ MÜŞTERİ","HATA",IF(OR($E777="",$F777&lt;=0,$G777=""),"EKSİK",IF($E777&gt;TODAY(),"İLERİ TARİH",IF(COUNTIF($S$7:$S$1506,$S777)&gt;1,"MÜKERRER?",IF($T777&gt;0,"KAPALI DÖNEM","UYGUN"))))))</f>
        <v/>
      </c>
      <c r="N777" s="121">
        <f>IF($C777="","",IF($C777="TANIMSIZ MÜŞTERİ","—",INDEX(MUSTERILER!$C$7:$C$106,MATCH($C777,MUSTERILER!$B$7:$B$106,0))))</f>
        <v/>
      </c>
      <c r="O777" s="6" t="n"/>
      <c r="P777" s="6" t="n"/>
      <c r="Q777" s="3">
        <f>IF($D777="","",$C777&amp;"|"&amp;COUNTIFS($C$7:$C777,$C777))</f>
        <v/>
      </c>
      <c r="R777" s="3">
        <f>IF($D777="","",UPPER(SUBSTITUTE(SUBSTITUTE(SUBSTITUTE(SUBSTITUTE(SUBSTITUTE(SUBSTITUTE(SUBSTITUTE(SUBSTITUTE(SUBSTITUTE(SUBSTITUTE(SUBSTITUTE(SUBSTITUTE(SUBSTITUTE(SUBSTITUTE(SUBSTITUTE(SUBSTITUTE(SUBSTITUTE(SUBSTITUTE(TRIM($D777),"'",""),"İ","I"),"ı","I"),"i","I"),"Ş","S"),"ş","S"),"Ğ","G"),"ğ","G"),"Ü","U"),"ü","U"),"Ö","O"),"ö","O"),"Ç","C"),"ç","C"),".",""),",","")," ",""),"-","")))</f>
        <v/>
      </c>
      <c r="S777" s="3">
        <f>IF($D777="","",$C777&amp;"|"&amp;TEXT($E777,"0")&amp;"|"&amp;TEXT($F777,"0")&amp;"|"&amp;$I777)</f>
        <v/>
      </c>
      <c r="T777" s="3">
        <f>IF($E777="",0,SUMPRODUCT((AY_SONU!$O$7:$O$42="Evet")*(AY_SONU!$B$7:$B$42=DATE(YEAR($E777),MONTH($E777),1))))</f>
        <v/>
      </c>
    </row>
    <row r="778">
      <c r="A778" s="6" t="n"/>
      <c r="B778" s="113">
        <f>IF($D778="","","T"&amp;TEXT(ROW()-6,"00000"))</f>
        <v/>
      </c>
      <c r="C778" s="113">
        <f>IF($D778="","",IFERROR(INDEX(MUSTERILER!$B$7:$B$106,MATCH($R778,MUSTERILER!$T$7:$T$106,0)),IFERROR(INDEX(MUSTERILER!$B$7:$B$106,MATCH($D778,MUSTERILER!$B$7:$B$106,0)),IFERROR(INDEX(MUSTERILER!$B$7:$B$106,MATCH($R778&amp;"*",MUSTERILER!$T$7:$T$106,0)),"TANIMSIZ MÜŞTERİ"))))</f>
        <v/>
      </c>
      <c r="D778" s="109" t="n"/>
      <c r="E778" s="220" t="n"/>
      <c r="F778" s="221" t="n"/>
      <c r="G778" s="108" t="n"/>
      <c r="H778" s="108" t="n"/>
      <c r="I778" s="109" t="n"/>
      <c r="J778" s="109" t="n"/>
      <c r="K778" s="109" t="n"/>
      <c r="L778" s="226">
        <f>IF($E778="","",DATE(YEAR($E778),MONTH($E778),1))</f>
        <v/>
      </c>
      <c r="M778" s="113">
        <f>IF($D778="","",IF($C778="TANIMSIZ MÜŞTERİ","HATA",IF(OR($E778="",$F778&lt;=0,$G778=""),"EKSİK",IF($E778&gt;TODAY(),"İLERİ TARİH",IF(COUNTIF($S$7:$S$1506,$S778)&gt;1,"MÜKERRER?",IF($T778&gt;0,"KAPALI DÖNEM","UYGUN"))))))</f>
        <v/>
      </c>
      <c r="N778" s="121">
        <f>IF($C778="","",IF($C778="TANIMSIZ MÜŞTERİ","—",INDEX(MUSTERILER!$C$7:$C$106,MATCH($C778,MUSTERILER!$B$7:$B$106,0))))</f>
        <v/>
      </c>
      <c r="O778" s="6" t="n"/>
      <c r="P778" s="6" t="n"/>
      <c r="Q778" s="3">
        <f>IF($D778="","",$C778&amp;"|"&amp;COUNTIFS($C$7:$C778,$C778))</f>
        <v/>
      </c>
      <c r="R778" s="3">
        <f>IF($D778="","",UPPER(SUBSTITUTE(SUBSTITUTE(SUBSTITUTE(SUBSTITUTE(SUBSTITUTE(SUBSTITUTE(SUBSTITUTE(SUBSTITUTE(SUBSTITUTE(SUBSTITUTE(SUBSTITUTE(SUBSTITUTE(SUBSTITUTE(SUBSTITUTE(SUBSTITUTE(SUBSTITUTE(SUBSTITUTE(SUBSTITUTE(TRIM($D778),"'",""),"İ","I"),"ı","I"),"i","I"),"Ş","S"),"ş","S"),"Ğ","G"),"ğ","G"),"Ü","U"),"ü","U"),"Ö","O"),"ö","O"),"Ç","C"),"ç","C"),".",""),",","")," ",""),"-","")))</f>
        <v/>
      </c>
      <c r="S778" s="3">
        <f>IF($D778="","",$C778&amp;"|"&amp;TEXT($E778,"0")&amp;"|"&amp;TEXT($F778,"0")&amp;"|"&amp;$I778)</f>
        <v/>
      </c>
      <c r="T778" s="3">
        <f>IF($E778="",0,SUMPRODUCT((AY_SONU!$O$7:$O$42="Evet")*(AY_SONU!$B$7:$B$42=DATE(YEAR($E778),MONTH($E778),1))))</f>
        <v/>
      </c>
    </row>
    <row r="779">
      <c r="A779" s="6" t="n"/>
      <c r="B779" s="113">
        <f>IF($D779="","","T"&amp;TEXT(ROW()-6,"00000"))</f>
        <v/>
      </c>
      <c r="C779" s="113">
        <f>IF($D779="","",IFERROR(INDEX(MUSTERILER!$B$7:$B$106,MATCH($R779,MUSTERILER!$T$7:$T$106,0)),IFERROR(INDEX(MUSTERILER!$B$7:$B$106,MATCH($D779,MUSTERILER!$B$7:$B$106,0)),IFERROR(INDEX(MUSTERILER!$B$7:$B$106,MATCH($R779&amp;"*",MUSTERILER!$T$7:$T$106,0)),"TANIMSIZ MÜŞTERİ"))))</f>
        <v/>
      </c>
      <c r="D779" s="109" t="n"/>
      <c r="E779" s="220" t="n"/>
      <c r="F779" s="221" t="n"/>
      <c r="G779" s="108" t="n"/>
      <c r="H779" s="108" t="n"/>
      <c r="I779" s="109" t="n"/>
      <c r="J779" s="109" t="n"/>
      <c r="K779" s="109" t="n"/>
      <c r="L779" s="226">
        <f>IF($E779="","",DATE(YEAR($E779),MONTH($E779),1))</f>
        <v/>
      </c>
      <c r="M779" s="113">
        <f>IF($D779="","",IF($C779="TANIMSIZ MÜŞTERİ","HATA",IF(OR($E779="",$F779&lt;=0,$G779=""),"EKSİK",IF($E779&gt;TODAY(),"İLERİ TARİH",IF(COUNTIF($S$7:$S$1506,$S779)&gt;1,"MÜKERRER?",IF($T779&gt;0,"KAPALI DÖNEM","UYGUN"))))))</f>
        <v/>
      </c>
      <c r="N779" s="121">
        <f>IF($C779="","",IF($C779="TANIMSIZ MÜŞTERİ","—",INDEX(MUSTERILER!$C$7:$C$106,MATCH($C779,MUSTERILER!$B$7:$B$106,0))))</f>
        <v/>
      </c>
      <c r="O779" s="6" t="n"/>
      <c r="P779" s="6" t="n"/>
      <c r="Q779" s="3">
        <f>IF($D779="","",$C779&amp;"|"&amp;COUNTIFS($C$7:$C779,$C779))</f>
        <v/>
      </c>
      <c r="R779" s="3">
        <f>IF($D779="","",UPPER(SUBSTITUTE(SUBSTITUTE(SUBSTITUTE(SUBSTITUTE(SUBSTITUTE(SUBSTITUTE(SUBSTITUTE(SUBSTITUTE(SUBSTITUTE(SUBSTITUTE(SUBSTITUTE(SUBSTITUTE(SUBSTITUTE(SUBSTITUTE(SUBSTITUTE(SUBSTITUTE(SUBSTITUTE(SUBSTITUTE(TRIM($D779),"'",""),"İ","I"),"ı","I"),"i","I"),"Ş","S"),"ş","S"),"Ğ","G"),"ğ","G"),"Ü","U"),"ü","U"),"Ö","O"),"ö","O"),"Ç","C"),"ç","C"),".",""),",","")," ",""),"-","")))</f>
        <v/>
      </c>
      <c r="S779" s="3">
        <f>IF($D779="","",$C779&amp;"|"&amp;TEXT($E779,"0")&amp;"|"&amp;TEXT($F779,"0")&amp;"|"&amp;$I779)</f>
        <v/>
      </c>
      <c r="T779" s="3">
        <f>IF($E779="",0,SUMPRODUCT((AY_SONU!$O$7:$O$42="Evet")*(AY_SONU!$B$7:$B$42=DATE(YEAR($E779),MONTH($E779),1))))</f>
        <v/>
      </c>
    </row>
    <row r="780">
      <c r="A780" s="6" t="n"/>
      <c r="B780" s="113">
        <f>IF($D780="","","T"&amp;TEXT(ROW()-6,"00000"))</f>
        <v/>
      </c>
      <c r="C780" s="113">
        <f>IF($D780="","",IFERROR(INDEX(MUSTERILER!$B$7:$B$106,MATCH($R780,MUSTERILER!$T$7:$T$106,0)),IFERROR(INDEX(MUSTERILER!$B$7:$B$106,MATCH($D780,MUSTERILER!$B$7:$B$106,0)),IFERROR(INDEX(MUSTERILER!$B$7:$B$106,MATCH($R780&amp;"*",MUSTERILER!$T$7:$T$106,0)),"TANIMSIZ MÜŞTERİ"))))</f>
        <v/>
      </c>
      <c r="D780" s="109" t="n"/>
      <c r="E780" s="220" t="n"/>
      <c r="F780" s="221" t="n"/>
      <c r="G780" s="108" t="n"/>
      <c r="H780" s="108" t="n"/>
      <c r="I780" s="109" t="n"/>
      <c r="J780" s="109" t="n"/>
      <c r="K780" s="109" t="n"/>
      <c r="L780" s="226">
        <f>IF($E780="","",DATE(YEAR($E780),MONTH($E780),1))</f>
        <v/>
      </c>
      <c r="M780" s="113">
        <f>IF($D780="","",IF($C780="TANIMSIZ MÜŞTERİ","HATA",IF(OR($E780="",$F780&lt;=0,$G780=""),"EKSİK",IF($E780&gt;TODAY(),"İLERİ TARİH",IF(COUNTIF($S$7:$S$1506,$S780)&gt;1,"MÜKERRER?",IF($T780&gt;0,"KAPALI DÖNEM","UYGUN"))))))</f>
        <v/>
      </c>
      <c r="N780" s="121">
        <f>IF($C780="","",IF($C780="TANIMSIZ MÜŞTERİ","—",INDEX(MUSTERILER!$C$7:$C$106,MATCH($C780,MUSTERILER!$B$7:$B$106,0))))</f>
        <v/>
      </c>
      <c r="O780" s="6" t="n"/>
      <c r="P780" s="6" t="n"/>
      <c r="Q780" s="3">
        <f>IF($D780="","",$C780&amp;"|"&amp;COUNTIFS($C$7:$C780,$C780))</f>
        <v/>
      </c>
      <c r="R780" s="3">
        <f>IF($D780="","",UPPER(SUBSTITUTE(SUBSTITUTE(SUBSTITUTE(SUBSTITUTE(SUBSTITUTE(SUBSTITUTE(SUBSTITUTE(SUBSTITUTE(SUBSTITUTE(SUBSTITUTE(SUBSTITUTE(SUBSTITUTE(SUBSTITUTE(SUBSTITUTE(SUBSTITUTE(SUBSTITUTE(SUBSTITUTE(SUBSTITUTE(TRIM($D780),"'",""),"İ","I"),"ı","I"),"i","I"),"Ş","S"),"ş","S"),"Ğ","G"),"ğ","G"),"Ü","U"),"ü","U"),"Ö","O"),"ö","O"),"Ç","C"),"ç","C"),".",""),",","")," ",""),"-","")))</f>
        <v/>
      </c>
      <c r="S780" s="3">
        <f>IF($D780="","",$C780&amp;"|"&amp;TEXT($E780,"0")&amp;"|"&amp;TEXT($F780,"0")&amp;"|"&amp;$I780)</f>
        <v/>
      </c>
      <c r="T780" s="3">
        <f>IF($E780="",0,SUMPRODUCT((AY_SONU!$O$7:$O$42="Evet")*(AY_SONU!$B$7:$B$42=DATE(YEAR($E780),MONTH($E780),1))))</f>
        <v/>
      </c>
    </row>
    <row r="781">
      <c r="A781" s="6" t="n"/>
      <c r="B781" s="113">
        <f>IF($D781="","","T"&amp;TEXT(ROW()-6,"00000"))</f>
        <v/>
      </c>
      <c r="C781" s="113">
        <f>IF($D781="","",IFERROR(INDEX(MUSTERILER!$B$7:$B$106,MATCH($R781,MUSTERILER!$T$7:$T$106,0)),IFERROR(INDEX(MUSTERILER!$B$7:$B$106,MATCH($D781,MUSTERILER!$B$7:$B$106,0)),IFERROR(INDEX(MUSTERILER!$B$7:$B$106,MATCH($R781&amp;"*",MUSTERILER!$T$7:$T$106,0)),"TANIMSIZ MÜŞTERİ"))))</f>
        <v/>
      </c>
      <c r="D781" s="109" t="n"/>
      <c r="E781" s="220" t="n"/>
      <c r="F781" s="221" t="n"/>
      <c r="G781" s="108" t="n"/>
      <c r="H781" s="108" t="n"/>
      <c r="I781" s="109" t="n"/>
      <c r="J781" s="109" t="n"/>
      <c r="K781" s="109" t="n"/>
      <c r="L781" s="226">
        <f>IF($E781="","",DATE(YEAR($E781),MONTH($E781),1))</f>
        <v/>
      </c>
      <c r="M781" s="113">
        <f>IF($D781="","",IF($C781="TANIMSIZ MÜŞTERİ","HATA",IF(OR($E781="",$F781&lt;=0,$G781=""),"EKSİK",IF($E781&gt;TODAY(),"İLERİ TARİH",IF(COUNTIF($S$7:$S$1506,$S781)&gt;1,"MÜKERRER?",IF($T781&gt;0,"KAPALI DÖNEM","UYGUN"))))))</f>
        <v/>
      </c>
      <c r="N781" s="121">
        <f>IF($C781="","",IF($C781="TANIMSIZ MÜŞTERİ","—",INDEX(MUSTERILER!$C$7:$C$106,MATCH($C781,MUSTERILER!$B$7:$B$106,0))))</f>
        <v/>
      </c>
      <c r="O781" s="6" t="n"/>
      <c r="P781" s="6" t="n"/>
      <c r="Q781" s="3">
        <f>IF($D781="","",$C781&amp;"|"&amp;COUNTIFS($C$7:$C781,$C781))</f>
        <v/>
      </c>
      <c r="R781" s="3">
        <f>IF($D781="","",UPPER(SUBSTITUTE(SUBSTITUTE(SUBSTITUTE(SUBSTITUTE(SUBSTITUTE(SUBSTITUTE(SUBSTITUTE(SUBSTITUTE(SUBSTITUTE(SUBSTITUTE(SUBSTITUTE(SUBSTITUTE(SUBSTITUTE(SUBSTITUTE(SUBSTITUTE(SUBSTITUTE(SUBSTITUTE(SUBSTITUTE(TRIM($D781),"'",""),"İ","I"),"ı","I"),"i","I"),"Ş","S"),"ş","S"),"Ğ","G"),"ğ","G"),"Ü","U"),"ü","U"),"Ö","O"),"ö","O"),"Ç","C"),"ç","C"),".",""),",","")," ",""),"-","")))</f>
        <v/>
      </c>
      <c r="S781" s="3">
        <f>IF($D781="","",$C781&amp;"|"&amp;TEXT($E781,"0")&amp;"|"&amp;TEXT($F781,"0")&amp;"|"&amp;$I781)</f>
        <v/>
      </c>
      <c r="T781" s="3">
        <f>IF($E781="",0,SUMPRODUCT((AY_SONU!$O$7:$O$42="Evet")*(AY_SONU!$B$7:$B$42=DATE(YEAR($E781),MONTH($E781),1))))</f>
        <v/>
      </c>
    </row>
    <row r="782">
      <c r="A782" s="6" t="n"/>
      <c r="B782" s="113">
        <f>IF($D782="","","T"&amp;TEXT(ROW()-6,"00000"))</f>
        <v/>
      </c>
      <c r="C782" s="113">
        <f>IF($D782="","",IFERROR(INDEX(MUSTERILER!$B$7:$B$106,MATCH($R782,MUSTERILER!$T$7:$T$106,0)),IFERROR(INDEX(MUSTERILER!$B$7:$B$106,MATCH($D782,MUSTERILER!$B$7:$B$106,0)),IFERROR(INDEX(MUSTERILER!$B$7:$B$106,MATCH($R782&amp;"*",MUSTERILER!$T$7:$T$106,0)),"TANIMSIZ MÜŞTERİ"))))</f>
        <v/>
      </c>
      <c r="D782" s="109" t="n"/>
      <c r="E782" s="220" t="n"/>
      <c r="F782" s="221" t="n"/>
      <c r="G782" s="108" t="n"/>
      <c r="H782" s="108" t="n"/>
      <c r="I782" s="109" t="n"/>
      <c r="J782" s="109" t="n"/>
      <c r="K782" s="109" t="n"/>
      <c r="L782" s="226">
        <f>IF($E782="","",DATE(YEAR($E782),MONTH($E782),1))</f>
        <v/>
      </c>
      <c r="M782" s="113">
        <f>IF($D782="","",IF($C782="TANIMSIZ MÜŞTERİ","HATA",IF(OR($E782="",$F782&lt;=0,$G782=""),"EKSİK",IF($E782&gt;TODAY(),"İLERİ TARİH",IF(COUNTIF($S$7:$S$1506,$S782)&gt;1,"MÜKERRER?",IF($T782&gt;0,"KAPALI DÖNEM","UYGUN"))))))</f>
        <v/>
      </c>
      <c r="N782" s="121">
        <f>IF($C782="","",IF($C782="TANIMSIZ MÜŞTERİ","—",INDEX(MUSTERILER!$C$7:$C$106,MATCH($C782,MUSTERILER!$B$7:$B$106,0))))</f>
        <v/>
      </c>
      <c r="O782" s="6" t="n"/>
      <c r="P782" s="6" t="n"/>
      <c r="Q782" s="3">
        <f>IF($D782="","",$C782&amp;"|"&amp;COUNTIFS($C$7:$C782,$C782))</f>
        <v/>
      </c>
      <c r="R782" s="3">
        <f>IF($D782="","",UPPER(SUBSTITUTE(SUBSTITUTE(SUBSTITUTE(SUBSTITUTE(SUBSTITUTE(SUBSTITUTE(SUBSTITUTE(SUBSTITUTE(SUBSTITUTE(SUBSTITUTE(SUBSTITUTE(SUBSTITUTE(SUBSTITUTE(SUBSTITUTE(SUBSTITUTE(SUBSTITUTE(SUBSTITUTE(SUBSTITUTE(TRIM($D782),"'",""),"İ","I"),"ı","I"),"i","I"),"Ş","S"),"ş","S"),"Ğ","G"),"ğ","G"),"Ü","U"),"ü","U"),"Ö","O"),"ö","O"),"Ç","C"),"ç","C"),".",""),",","")," ",""),"-","")))</f>
        <v/>
      </c>
      <c r="S782" s="3">
        <f>IF($D782="","",$C782&amp;"|"&amp;TEXT($E782,"0")&amp;"|"&amp;TEXT($F782,"0")&amp;"|"&amp;$I782)</f>
        <v/>
      </c>
      <c r="T782" s="3">
        <f>IF($E782="",0,SUMPRODUCT((AY_SONU!$O$7:$O$42="Evet")*(AY_SONU!$B$7:$B$42=DATE(YEAR($E782),MONTH($E782),1))))</f>
        <v/>
      </c>
    </row>
    <row r="783">
      <c r="A783" s="6" t="n"/>
      <c r="B783" s="113">
        <f>IF($D783="","","T"&amp;TEXT(ROW()-6,"00000"))</f>
        <v/>
      </c>
      <c r="C783" s="113">
        <f>IF($D783="","",IFERROR(INDEX(MUSTERILER!$B$7:$B$106,MATCH($R783,MUSTERILER!$T$7:$T$106,0)),IFERROR(INDEX(MUSTERILER!$B$7:$B$106,MATCH($D783,MUSTERILER!$B$7:$B$106,0)),IFERROR(INDEX(MUSTERILER!$B$7:$B$106,MATCH($R783&amp;"*",MUSTERILER!$T$7:$T$106,0)),"TANIMSIZ MÜŞTERİ"))))</f>
        <v/>
      </c>
      <c r="D783" s="109" t="n"/>
      <c r="E783" s="220" t="n"/>
      <c r="F783" s="221" t="n"/>
      <c r="G783" s="108" t="n"/>
      <c r="H783" s="108" t="n"/>
      <c r="I783" s="109" t="n"/>
      <c r="J783" s="109" t="n"/>
      <c r="K783" s="109" t="n"/>
      <c r="L783" s="226">
        <f>IF($E783="","",DATE(YEAR($E783),MONTH($E783),1))</f>
        <v/>
      </c>
      <c r="M783" s="113">
        <f>IF($D783="","",IF($C783="TANIMSIZ MÜŞTERİ","HATA",IF(OR($E783="",$F783&lt;=0,$G783=""),"EKSİK",IF($E783&gt;TODAY(),"İLERİ TARİH",IF(COUNTIF($S$7:$S$1506,$S783)&gt;1,"MÜKERRER?",IF($T783&gt;0,"KAPALI DÖNEM","UYGUN"))))))</f>
        <v/>
      </c>
      <c r="N783" s="121">
        <f>IF($C783="","",IF($C783="TANIMSIZ MÜŞTERİ","—",INDEX(MUSTERILER!$C$7:$C$106,MATCH($C783,MUSTERILER!$B$7:$B$106,0))))</f>
        <v/>
      </c>
      <c r="O783" s="6" t="n"/>
      <c r="P783" s="6" t="n"/>
      <c r="Q783" s="3">
        <f>IF($D783="","",$C783&amp;"|"&amp;COUNTIFS($C$7:$C783,$C783))</f>
        <v/>
      </c>
      <c r="R783" s="3">
        <f>IF($D783="","",UPPER(SUBSTITUTE(SUBSTITUTE(SUBSTITUTE(SUBSTITUTE(SUBSTITUTE(SUBSTITUTE(SUBSTITUTE(SUBSTITUTE(SUBSTITUTE(SUBSTITUTE(SUBSTITUTE(SUBSTITUTE(SUBSTITUTE(SUBSTITUTE(SUBSTITUTE(SUBSTITUTE(SUBSTITUTE(SUBSTITUTE(TRIM($D783),"'",""),"İ","I"),"ı","I"),"i","I"),"Ş","S"),"ş","S"),"Ğ","G"),"ğ","G"),"Ü","U"),"ü","U"),"Ö","O"),"ö","O"),"Ç","C"),"ç","C"),".",""),",","")," ",""),"-","")))</f>
        <v/>
      </c>
      <c r="S783" s="3">
        <f>IF($D783="","",$C783&amp;"|"&amp;TEXT($E783,"0")&amp;"|"&amp;TEXT($F783,"0")&amp;"|"&amp;$I783)</f>
        <v/>
      </c>
      <c r="T783" s="3">
        <f>IF($E783="",0,SUMPRODUCT((AY_SONU!$O$7:$O$42="Evet")*(AY_SONU!$B$7:$B$42=DATE(YEAR($E783),MONTH($E783),1))))</f>
        <v/>
      </c>
    </row>
    <row r="784">
      <c r="A784" s="6" t="n"/>
      <c r="B784" s="113">
        <f>IF($D784="","","T"&amp;TEXT(ROW()-6,"00000"))</f>
        <v/>
      </c>
      <c r="C784" s="113">
        <f>IF($D784="","",IFERROR(INDEX(MUSTERILER!$B$7:$B$106,MATCH($R784,MUSTERILER!$T$7:$T$106,0)),IFERROR(INDEX(MUSTERILER!$B$7:$B$106,MATCH($D784,MUSTERILER!$B$7:$B$106,0)),IFERROR(INDEX(MUSTERILER!$B$7:$B$106,MATCH($R784&amp;"*",MUSTERILER!$T$7:$T$106,0)),"TANIMSIZ MÜŞTERİ"))))</f>
        <v/>
      </c>
      <c r="D784" s="109" t="n"/>
      <c r="E784" s="220" t="n"/>
      <c r="F784" s="221" t="n"/>
      <c r="G784" s="108" t="n"/>
      <c r="H784" s="108" t="n"/>
      <c r="I784" s="109" t="n"/>
      <c r="J784" s="109" t="n"/>
      <c r="K784" s="109" t="n"/>
      <c r="L784" s="226">
        <f>IF($E784="","",DATE(YEAR($E784),MONTH($E784),1))</f>
        <v/>
      </c>
      <c r="M784" s="113">
        <f>IF($D784="","",IF($C784="TANIMSIZ MÜŞTERİ","HATA",IF(OR($E784="",$F784&lt;=0,$G784=""),"EKSİK",IF($E784&gt;TODAY(),"İLERİ TARİH",IF(COUNTIF($S$7:$S$1506,$S784)&gt;1,"MÜKERRER?",IF($T784&gt;0,"KAPALI DÖNEM","UYGUN"))))))</f>
        <v/>
      </c>
      <c r="N784" s="121">
        <f>IF($C784="","",IF($C784="TANIMSIZ MÜŞTERİ","—",INDEX(MUSTERILER!$C$7:$C$106,MATCH($C784,MUSTERILER!$B$7:$B$106,0))))</f>
        <v/>
      </c>
      <c r="O784" s="6" t="n"/>
      <c r="P784" s="6" t="n"/>
      <c r="Q784" s="3">
        <f>IF($D784="","",$C784&amp;"|"&amp;COUNTIFS($C$7:$C784,$C784))</f>
        <v/>
      </c>
      <c r="R784" s="3">
        <f>IF($D784="","",UPPER(SUBSTITUTE(SUBSTITUTE(SUBSTITUTE(SUBSTITUTE(SUBSTITUTE(SUBSTITUTE(SUBSTITUTE(SUBSTITUTE(SUBSTITUTE(SUBSTITUTE(SUBSTITUTE(SUBSTITUTE(SUBSTITUTE(SUBSTITUTE(SUBSTITUTE(SUBSTITUTE(SUBSTITUTE(SUBSTITUTE(TRIM($D784),"'",""),"İ","I"),"ı","I"),"i","I"),"Ş","S"),"ş","S"),"Ğ","G"),"ğ","G"),"Ü","U"),"ü","U"),"Ö","O"),"ö","O"),"Ç","C"),"ç","C"),".",""),",","")," ",""),"-","")))</f>
        <v/>
      </c>
      <c r="S784" s="3">
        <f>IF($D784="","",$C784&amp;"|"&amp;TEXT($E784,"0")&amp;"|"&amp;TEXT($F784,"0")&amp;"|"&amp;$I784)</f>
        <v/>
      </c>
      <c r="T784" s="3">
        <f>IF($E784="",0,SUMPRODUCT((AY_SONU!$O$7:$O$42="Evet")*(AY_SONU!$B$7:$B$42=DATE(YEAR($E784),MONTH($E784),1))))</f>
        <v/>
      </c>
    </row>
    <row r="785">
      <c r="A785" s="6" t="n"/>
      <c r="B785" s="113">
        <f>IF($D785="","","T"&amp;TEXT(ROW()-6,"00000"))</f>
        <v/>
      </c>
      <c r="C785" s="113">
        <f>IF($D785="","",IFERROR(INDEX(MUSTERILER!$B$7:$B$106,MATCH($R785,MUSTERILER!$T$7:$T$106,0)),IFERROR(INDEX(MUSTERILER!$B$7:$B$106,MATCH($D785,MUSTERILER!$B$7:$B$106,0)),IFERROR(INDEX(MUSTERILER!$B$7:$B$106,MATCH($R785&amp;"*",MUSTERILER!$T$7:$T$106,0)),"TANIMSIZ MÜŞTERİ"))))</f>
        <v/>
      </c>
      <c r="D785" s="109" t="n"/>
      <c r="E785" s="220" t="n"/>
      <c r="F785" s="221" t="n"/>
      <c r="G785" s="108" t="n"/>
      <c r="H785" s="108" t="n"/>
      <c r="I785" s="109" t="n"/>
      <c r="J785" s="109" t="n"/>
      <c r="K785" s="109" t="n"/>
      <c r="L785" s="226">
        <f>IF($E785="","",DATE(YEAR($E785),MONTH($E785),1))</f>
        <v/>
      </c>
      <c r="M785" s="113">
        <f>IF($D785="","",IF($C785="TANIMSIZ MÜŞTERİ","HATA",IF(OR($E785="",$F785&lt;=0,$G785=""),"EKSİK",IF($E785&gt;TODAY(),"İLERİ TARİH",IF(COUNTIF($S$7:$S$1506,$S785)&gt;1,"MÜKERRER?",IF($T785&gt;0,"KAPALI DÖNEM","UYGUN"))))))</f>
        <v/>
      </c>
      <c r="N785" s="121">
        <f>IF($C785="","",IF($C785="TANIMSIZ MÜŞTERİ","—",INDEX(MUSTERILER!$C$7:$C$106,MATCH($C785,MUSTERILER!$B$7:$B$106,0))))</f>
        <v/>
      </c>
      <c r="O785" s="6" t="n"/>
      <c r="P785" s="6" t="n"/>
      <c r="Q785" s="3">
        <f>IF($D785="","",$C785&amp;"|"&amp;COUNTIFS($C$7:$C785,$C785))</f>
        <v/>
      </c>
      <c r="R785" s="3">
        <f>IF($D785="","",UPPER(SUBSTITUTE(SUBSTITUTE(SUBSTITUTE(SUBSTITUTE(SUBSTITUTE(SUBSTITUTE(SUBSTITUTE(SUBSTITUTE(SUBSTITUTE(SUBSTITUTE(SUBSTITUTE(SUBSTITUTE(SUBSTITUTE(SUBSTITUTE(SUBSTITUTE(SUBSTITUTE(SUBSTITUTE(SUBSTITUTE(TRIM($D785),"'",""),"İ","I"),"ı","I"),"i","I"),"Ş","S"),"ş","S"),"Ğ","G"),"ğ","G"),"Ü","U"),"ü","U"),"Ö","O"),"ö","O"),"Ç","C"),"ç","C"),".",""),",","")," ",""),"-","")))</f>
        <v/>
      </c>
      <c r="S785" s="3">
        <f>IF($D785="","",$C785&amp;"|"&amp;TEXT($E785,"0")&amp;"|"&amp;TEXT($F785,"0")&amp;"|"&amp;$I785)</f>
        <v/>
      </c>
      <c r="T785" s="3">
        <f>IF($E785="",0,SUMPRODUCT((AY_SONU!$O$7:$O$42="Evet")*(AY_SONU!$B$7:$B$42=DATE(YEAR($E785),MONTH($E785),1))))</f>
        <v/>
      </c>
    </row>
    <row r="786">
      <c r="A786" s="6" t="n"/>
      <c r="B786" s="113">
        <f>IF($D786="","","T"&amp;TEXT(ROW()-6,"00000"))</f>
        <v/>
      </c>
      <c r="C786" s="113">
        <f>IF($D786="","",IFERROR(INDEX(MUSTERILER!$B$7:$B$106,MATCH($R786,MUSTERILER!$T$7:$T$106,0)),IFERROR(INDEX(MUSTERILER!$B$7:$B$106,MATCH($D786,MUSTERILER!$B$7:$B$106,0)),IFERROR(INDEX(MUSTERILER!$B$7:$B$106,MATCH($R786&amp;"*",MUSTERILER!$T$7:$T$106,0)),"TANIMSIZ MÜŞTERİ"))))</f>
        <v/>
      </c>
      <c r="D786" s="109" t="n"/>
      <c r="E786" s="220" t="n"/>
      <c r="F786" s="221" t="n"/>
      <c r="G786" s="108" t="n"/>
      <c r="H786" s="108" t="n"/>
      <c r="I786" s="109" t="n"/>
      <c r="J786" s="109" t="n"/>
      <c r="K786" s="109" t="n"/>
      <c r="L786" s="226">
        <f>IF($E786="","",DATE(YEAR($E786),MONTH($E786),1))</f>
        <v/>
      </c>
      <c r="M786" s="113">
        <f>IF($D786="","",IF($C786="TANIMSIZ MÜŞTERİ","HATA",IF(OR($E786="",$F786&lt;=0,$G786=""),"EKSİK",IF($E786&gt;TODAY(),"İLERİ TARİH",IF(COUNTIF($S$7:$S$1506,$S786)&gt;1,"MÜKERRER?",IF($T786&gt;0,"KAPALI DÖNEM","UYGUN"))))))</f>
        <v/>
      </c>
      <c r="N786" s="121">
        <f>IF($C786="","",IF($C786="TANIMSIZ MÜŞTERİ","—",INDEX(MUSTERILER!$C$7:$C$106,MATCH($C786,MUSTERILER!$B$7:$B$106,0))))</f>
        <v/>
      </c>
      <c r="O786" s="6" t="n"/>
      <c r="P786" s="6" t="n"/>
      <c r="Q786" s="3">
        <f>IF($D786="","",$C786&amp;"|"&amp;COUNTIFS($C$7:$C786,$C786))</f>
        <v/>
      </c>
      <c r="R786" s="3">
        <f>IF($D786="","",UPPER(SUBSTITUTE(SUBSTITUTE(SUBSTITUTE(SUBSTITUTE(SUBSTITUTE(SUBSTITUTE(SUBSTITUTE(SUBSTITUTE(SUBSTITUTE(SUBSTITUTE(SUBSTITUTE(SUBSTITUTE(SUBSTITUTE(SUBSTITUTE(SUBSTITUTE(SUBSTITUTE(SUBSTITUTE(SUBSTITUTE(TRIM($D786),"'",""),"İ","I"),"ı","I"),"i","I"),"Ş","S"),"ş","S"),"Ğ","G"),"ğ","G"),"Ü","U"),"ü","U"),"Ö","O"),"ö","O"),"Ç","C"),"ç","C"),".",""),",","")," ",""),"-","")))</f>
        <v/>
      </c>
      <c r="S786" s="3">
        <f>IF($D786="","",$C786&amp;"|"&amp;TEXT($E786,"0")&amp;"|"&amp;TEXT($F786,"0")&amp;"|"&amp;$I786)</f>
        <v/>
      </c>
      <c r="T786" s="3">
        <f>IF($E786="",0,SUMPRODUCT((AY_SONU!$O$7:$O$42="Evet")*(AY_SONU!$B$7:$B$42=DATE(YEAR($E786),MONTH($E786),1))))</f>
        <v/>
      </c>
    </row>
    <row r="787">
      <c r="A787" s="6" t="n"/>
      <c r="B787" s="113">
        <f>IF($D787="","","T"&amp;TEXT(ROW()-6,"00000"))</f>
        <v/>
      </c>
      <c r="C787" s="113">
        <f>IF($D787="","",IFERROR(INDEX(MUSTERILER!$B$7:$B$106,MATCH($R787,MUSTERILER!$T$7:$T$106,0)),IFERROR(INDEX(MUSTERILER!$B$7:$B$106,MATCH($D787,MUSTERILER!$B$7:$B$106,0)),IFERROR(INDEX(MUSTERILER!$B$7:$B$106,MATCH($R787&amp;"*",MUSTERILER!$T$7:$T$106,0)),"TANIMSIZ MÜŞTERİ"))))</f>
        <v/>
      </c>
      <c r="D787" s="109" t="n"/>
      <c r="E787" s="220" t="n"/>
      <c r="F787" s="221" t="n"/>
      <c r="G787" s="108" t="n"/>
      <c r="H787" s="108" t="n"/>
      <c r="I787" s="109" t="n"/>
      <c r="J787" s="109" t="n"/>
      <c r="K787" s="109" t="n"/>
      <c r="L787" s="226">
        <f>IF($E787="","",DATE(YEAR($E787),MONTH($E787),1))</f>
        <v/>
      </c>
      <c r="M787" s="113">
        <f>IF($D787="","",IF($C787="TANIMSIZ MÜŞTERİ","HATA",IF(OR($E787="",$F787&lt;=0,$G787=""),"EKSİK",IF($E787&gt;TODAY(),"İLERİ TARİH",IF(COUNTIF($S$7:$S$1506,$S787)&gt;1,"MÜKERRER?",IF($T787&gt;0,"KAPALI DÖNEM","UYGUN"))))))</f>
        <v/>
      </c>
      <c r="N787" s="121">
        <f>IF($C787="","",IF($C787="TANIMSIZ MÜŞTERİ","—",INDEX(MUSTERILER!$C$7:$C$106,MATCH($C787,MUSTERILER!$B$7:$B$106,0))))</f>
        <v/>
      </c>
      <c r="O787" s="6" t="n"/>
      <c r="P787" s="6" t="n"/>
      <c r="Q787" s="3">
        <f>IF($D787="","",$C787&amp;"|"&amp;COUNTIFS($C$7:$C787,$C787))</f>
        <v/>
      </c>
      <c r="R787" s="3">
        <f>IF($D787="","",UPPER(SUBSTITUTE(SUBSTITUTE(SUBSTITUTE(SUBSTITUTE(SUBSTITUTE(SUBSTITUTE(SUBSTITUTE(SUBSTITUTE(SUBSTITUTE(SUBSTITUTE(SUBSTITUTE(SUBSTITUTE(SUBSTITUTE(SUBSTITUTE(SUBSTITUTE(SUBSTITUTE(SUBSTITUTE(SUBSTITUTE(TRIM($D787),"'",""),"İ","I"),"ı","I"),"i","I"),"Ş","S"),"ş","S"),"Ğ","G"),"ğ","G"),"Ü","U"),"ü","U"),"Ö","O"),"ö","O"),"Ç","C"),"ç","C"),".",""),",","")," ",""),"-","")))</f>
        <v/>
      </c>
      <c r="S787" s="3">
        <f>IF($D787="","",$C787&amp;"|"&amp;TEXT($E787,"0")&amp;"|"&amp;TEXT($F787,"0")&amp;"|"&amp;$I787)</f>
        <v/>
      </c>
      <c r="T787" s="3">
        <f>IF($E787="",0,SUMPRODUCT((AY_SONU!$O$7:$O$42="Evet")*(AY_SONU!$B$7:$B$42=DATE(YEAR($E787),MONTH($E787),1))))</f>
        <v/>
      </c>
    </row>
    <row r="788">
      <c r="A788" s="6" t="n"/>
      <c r="B788" s="113">
        <f>IF($D788="","","T"&amp;TEXT(ROW()-6,"00000"))</f>
        <v/>
      </c>
      <c r="C788" s="113">
        <f>IF($D788="","",IFERROR(INDEX(MUSTERILER!$B$7:$B$106,MATCH($R788,MUSTERILER!$T$7:$T$106,0)),IFERROR(INDEX(MUSTERILER!$B$7:$B$106,MATCH($D788,MUSTERILER!$B$7:$B$106,0)),IFERROR(INDEX(MUSTERILER!$B$7:$B$106,MATCH($R788&amp;"*",MUSTERILER!$T$7:$T$106,0)),"TANIMSIZ MÜŞTERİ"))))</f>
        <v/>
      </c>
      <c r="D788" s="109" t="n"/>
      <c r="E788" s="220" t="n"/>
      <c r="F788" s="221" t="n"/>
      <c r="G788" s="108" t="n"/>
      <c r="H788" s="108" t="n"/>
      <c r="I788" s="109" t="n"/>
      <c r="J788" s="109" t="n"/>
      <c r="K788" s="109" t="n"/>
      <c r="L788" s="226">
        <f>IF($E788="","",DATE(YEAR($E788),MONTH($E788),1))</f>
        <v/>
      </c>
      <c r="M788" s="113">
        <f>IF($D788="","",IF($C788="TANIMSIZ MÜŞTERİ","HATA",IF(OR($E788="",$F788&lt;=0,$G788=""),"EKSİK",IF($E788&gt;TODAY(),"İLERİ TARİH",IF(COUNTIF($S$7:$S$1506,$S788)&gt;1,"MÜKERRER?",IF($T788&gt;0,"KAPALI DÖNEM","UYGUN"))))))</f>
        <v/>
      </c>
      <c r="N788" s="121">
        <f>IF($C788="","",IF($C788="TANIMSIZ MÜŞTERİ","—",INDEX(MUSTERILER!$C$7:$C$106,MATCH($C788,MUSTERILER!$B$7:$B$106,0))))</f>
        <v/>
      </c>
      <c r="O788" s="6" t="n"/>
      <c r="P788" s="6" t="n"/>
      <c r="Q788" s="3">
        <f>IF($D788="","",$C788&amp;"|"&amp;COUNTIFS($C$7:$C788,$C788))</f>
        <v/>
      </c>
      <c r="R788" s="3">
        <f>IF($D788="","",UPPER(SUBSTITUTE(SUBSTITUTE(SUBSTITUTE(SUBSTITUTE(SUBSTITUTE(SUBSTITUTE(SUBSTITUTE(SUBSTITUTE(SUBSTITUTE(SUBSTITUTE(SUBSTITUTE(SUBSTITUTE(SUBSTITUTE(SUBSTITUTE(SUBSTITUTE(SUBSTITUTE(SUBSTITUTE(SUBSTITUTE(TRIM($D788),"'",""),"İ","I"),"ı","I"),"i","I"),"Ş","S"),"ş","S"),"Ğ","G"),"ğ","G"),"Ü","U"),"ü","U"),"Ö","O"),"ö","O"),"Ç","C"),"ç","C"),".",""),",","")," ",""),"-","")))</f>
        <v/>
      </c>
      <c r="S788" s="3">
        <f>IF($D788="","",$C788&amp;"|"&amp;TEXT($E788,"0")&amp;"|"&amp;TEXT($F788,"0")&amp;"|"&amp;$I788)</f>
        <v/>
      </c>
      <c r="T788" s="3">
        <f>IF($E788="",0,SUMPRODUCT((AY_SONU!$O$7:$O$42="Evet")*(AY_SONU!$B$7:$B$42=DATE(YEAR($E788),MONTH($E788),1))))</f>
        <v/>
      </c>
    </row>
    <row r="789">
      <c r="A789" s="6" t="n"/>
      <c r="B789" s="113">
        <f>IF($D789="","","T"&amp;TEXT(ROW()-6,"00000"))</f>
        <v/>
      </c>
      <c r="C789" s="113">
        <f>IF($D789="","",IFERROR(INDEX(MUSTERILER!$B$7:$B$106,MATCH($R789,MUSTERILER!$T$7:$T$106,0)),IFERROR(INDEX(MUSTERILER!$B$7:$B$106,MATCH($D789,MUSTERILER!$B$7:$B$106,0)),IFERROR(INDEX(MUSTERILER!$B$7:$B$106,MATCH($R789&amp;"*",MUSTERILER!$T$7:$T$106,0)),"TANIMSIZ MÜŞTERİ"))))</f>
        <v/>
      </c>
      <c r="D789" s="109" t="n"/>
      <c r="E789" s="220" t="n"/>
      <c r="F789" s="221" t="n"/>
      <c r="G789" s="108" t="n"/>
      <c r="H789" s="108" t="n"/>
      <c r="I789" s="109" t="n"/>
      <c r="J789" s="109" t="n"/>
      <c r="K789" s="109" t="n"/>
      <c r="L789" s="226">
        <f>IF($E789="","",DATE(YEAR($E789),MONTH($E789),1))</f>
        <v/>
      </c>
      <c r="M789" s="113">
        <f>IF($D789="","",IF($C789="TANIMSIZ MÜŞTERİ","HATA",IF(OR($E789="",$F789&lt;=0,$G789=""),"EKSİK",IF($E789&gt;TODAY(),"İLERİ TARİH",IF(COUNTIF($S$7:$S$1506,$S789)&gt;1,"MÜKERRER?",IF($T789&gt;0,"KAPALI DÖNEM","UYGUN"))))))</f>
        <v/>
      </c>
      <c r="N789" s="121">
        <f>IF($C789="","",IF($C789="TANIMSIZ MÜŞTERİ","—",INDEX(MUSTERILER!$C$7:$C$106,MATCH($C789,MUSTERILER!$B$7:$B$106,0))))</f>
        <v/>
      </c>
      <c r="O789" s="6" t="n"/>
      <c r="P789" s="6" t="n"/>
      <c r="Q789" s="3">
        <f>IF($D789="","",$C789&amp;"|"&amp;COUNTIFS($C$7:$C789,$C789))</f>
        <v/>
      </c>
      <c r="R789" s="3">
        <f>IF($D789="","",UPPER(SUBSTITUTE(SUBSTITUTE(SUBSTITUTE(SUBSTITUTE(SUBSTITUTE(SUBSTITUTE(SUBSTITUTE(SUBSTITUTE(SUBSTITUTE(SUBSTITUTE(SUBSTITUTE(SUBSTITUTE(SUBSTITUTE(SUBSTITUTE(SUBSTITUTE(SUBSTITUTE(SUBSTITUTE(SUBSTITUTE(TRIM($D789),"'",""),"İ","I"),"ı","I"),"i","I"),"Ş","S"),"ş","S"),"Ğ","G"),"ğ","G"),"Ü","U"),"ü","U"),"Ö","O"),"ö","O"),"Ç","C"),"ç","C"),".",""),",","")," ",""),"-","")))</f>
        <v/>
      </c>
      <c r="S789" s="3">
        <f>IF($D789="","",$C789&amp;"|"&amp;TEXT($E789,"0")&amp;"|"&amp;TEXT($F789,"0")&amp;"|"&amp;$I789)</f>
        <v/>
      </c>
      <c r="T789" s="3">
        <f>IF($E789="",0,SUMPRODUCT((AY_SONU!$O$7:$O$42="Evet")*(AY_SONU!$B$7:$B$42=DATE(YEAR($E789),MONTH($E789),1))))</f>
        <v/>
      </c>
    </row>
    <row r="790">
      <c r="A790" s="6" t="n"/>
      <c r="B790" s="113">
        <f>IF($D790="","","T"&amp;TEXT(ROW()-6,"00000"))</f>
        <v/>
      </c>
      <c r="C790" s="113">
        <f>IF($D790="","",IFERROR(INDEX(MUSTERILER!$B$7:$B$106,MATCH($R790,MUSTERILER!$T$7:$T$106,0)),IFERROR(INDEX(MUSTERILER!$B$7:$B$106,MATCH($D790,MUSTERILER!$B$7:$B$106,0)),IFERROR(INDEX(MUSTERILER!$B$7:$B$106,MATCH($R790&amp;"*",MUSTERILER!$T$7:$T$106,0)),"TANIMSIZ MÜŞTERİ"))))</f>
        <v/>
      </c>
      <c r="D790" s="109" t="n"/>
      <c r="E790" s="220" t="n"/>
      <c r="F790" s="221" t="n"/>
      <c r="G790" s="108" t="n"/>
      <c r="H790" s="108" t="n"/>
      <c r="I790" s="109" t="n"/>
      <c r="J790" s="109" t="n"/>
      <c r="K790" s="109" t="n"/>
      <c r="L790" s="226">
        <f>IF($E790="","",DATE(YEAR($E790),MONTH($E790),1))</f>
        <v/>
      </c>
      <c r="M790" s="113">
        <f>IF($D790="","",IF($C790="TANIMSIZ MÜŞTERİ","HATA",IF(OR($E790="",$F790&lt;=0,$G790=""),"EKSİK",IF($E790&gt;TODAY(),"İLERİ TARİH",IF(COUNTIF($S$7:$S$1506,$S790)&gt;1,"MÜKERRER?",IF($T790&gt;0,"KAPALI DÖNEM","UYGUN"))))))</f>
        <v/>
      </c>
      <c r="N790" s="121">
        <f>IF($C790="","",IF($C790="TANIMSIZ MÜŞTERİ","—",INDEX(MUSTERILER!$C$7:$C$106,MATCH($C790,MUSTERILER!$B$7:$B$106,0))))</f>
        <v/>
      </c>
      <c r="O790" s="6" t="n"/>
      <c r="P790" s="6" t="n"/>
      <c r="Q790" s="3">
        <f>IF($D790="","",$C790&amp;"|"&amp;COUNTIFS($C$7:$C790,$C790))</f>
        <v/>
      </c>
      <c r="R790" s="3">
        <f>IF($D790="","",UPPER(SUBSTITUTE(SUBSTITUTE(SUBSTITUTE(SUBSTITUTE(SUBSTITUTE(SUBSTITUTE(SUBSTITUTE(SUBSTITUTE(SUBSTITUTE(SUBSTITUTE(SUBSTITUTE(SUBSTITUTE(SUBSTITUTE(SUBSTITUTE(SUBSTITUTE(SUBSTITUTE(SUBSTITUTE(SUBSTITUTE(TRIM($D790),"'",""),"İ","I"),"ı","I"),"i","I"),"Ş","S"),"ş","S"),"Ğ","G"),"ğ","G"),"Ü","U"),"ü","U"),"Ö","O"),"ö","O"),"Ç","C"),"ç","C"),".",""),",","")," ",""),"-","")))</f>
        <v/>
      </c>
      <c r="S790" s="3">
        <f>IF($D790="","",$C790&amp;"|"&amp;TEXT($E790,"0")&amp;"|"&amp;TEXT($F790,"0")&amp;"|"&amp;$I790)</f>
        <v/>
      </c>
      <c r="T790" s="3">
        <f>IF($E790="",0,SUMPRODUCT((AY_SONU!$O$7:$O$42="Evet")*(AY_SONU!$B$7:$B$42=DATE(YEAR($E790),MONTH($E790),1))))</f>
        <v/>
      </c>
    </row>
    <row r="791">
      <c r="A791" s="6" t="n"/>
      <c r="B791" s="113">
        <f>IF($D791="","","T"&amp;TEXT(ROW()-6,"00000"))</f>
        <v/>
      </c>
      <c r="C791" s="113">
        <f>IF($D791="","",IFERROR(INDEX(MUSTERILER!$B$7:$B$106,MATCH($R791,MUSTERILER!$T$7:$T$106,0)),IFERROR(INDEX(MUSTERILER!$B$7:$B$106,MATCH($D791,MUSTERILER!$B$7:$B$106,0)),IFERROR(INDEX(MUSTERILER!$B$7:$B$106,MATCH($R791&amp;"*",MUSTERILER!$T$7:$T$106,0)),"TANIMSIZ MÜŞTERİ"))))</f>
        <v/>
      </c>
      <c r="D791" s="109" t="n"/>
      <c r="E791" s="220" t="n"/>
      <c r="F791" s="221" t="n"/>
      <c r="G791" s="108" t="n"/>
      <c r="H791" s="108" t="n"/>
      <c r="I791" s="109" t="n"/>
      <c r="J791" s="109" t="n"/>
      <c r="K791" s="109" t="n"/>
      <c r="L791" s="226">
        <f>IF($E791="","",DATE(YEAR($E791),MONTH($E791),1))</f>
        <v/>
      </c>
      <c r="M791" s="113">
        <f>IF($D791="","",IF($C791="TANIMSIZ MÜŞTERİ","HATA",IF(OR($E791="",$F791&lt;=0,$G791=""),"EKSİK",IF($E791&gt;TODAY(),"İLERİ TARİH",IF(COUNTIF($S$7:$S$1506,$S791)&gt;1,"MÜKERRER?",IF($T791&gt;0,"KAPALI DÖNEM","UYGUN"))))))</f>
        <v/>
      </c>
      <c r="N791" s="121">
        <f>IF($C791="","",IF($C791="TANIMSIZ MÜŞTERİ","—",INDEX(MUSTERILER!$C$7:$C$106,MATCH($C791,MUSTERILER!$B$7:$B$106,0))))</f>
        <v/>
      </c>
      <c r="O791" s="6" t="n"/>
      <c r="P791" s="6" t="n"/>
      <c r="Q791" s="3">
        <f>IF($D791="","",$C791&amp;"|"&amp;COUNTIFS($C$7:$C791,$C791))</f>
        <v/>
      </c>
      <c r="R791" s="3">
        <f>IF($D791="","",UPPER(SUBSTITUTE(SUBSTITUTE(SUBSTITUTE(SUBSTITUTE(SUBSTITUTE(SUBSTITUTE(SUBSTITUTE(SUBSTITUTE(SUBSTITUTE(SUBSTITUTE(SUBSTITUTE(SUBSTITUTE(SUBSTITUTE(SUBSTITUTE(SUBSTITUTE(SUBSTITUTE(SUBSTITUTE(SUBSTITUTE(TRIM($D791),"'",""),"İ","I"),"ı","I"),"i","I"),"Ş","S"),"ş","S"),"Ğ","G"),"ğ","G"),"Ü","U"),"ü","U"),"Ö","O"),"ö","O"),"Ç","C"),"ç","C"),".",""),",","")," ",""),"-","")))</f>
        <v/>
      </c>
      <c r="S791" s="3">
        <f>IF($D791="","",$C791&amp;"|"&amp;TEXT($E791,"0")&amp;"|"&amp;TEXT($F791,"0")&amp;"|"&amp;$I791)</f>
        <v/>
      </c>
      <c r="T791" s="3">
        <f>IF($E791="",0,SUMPRODUCT((AY_SONU!$O$7:$O$42="Evet")*(AY_SONU!$B$7:$B$42=DATE(YEAR($E791),MONTH($E791),1))))</f>
        <v/>
      </c>
    </row>
    <row r="792">
      <c r="A792" s="6" t="n"/>
      <c r="B792" s="113">
        <f>IF($D792="","","T"&amp;TEXT(ROW()-6,"00000"))</f>
        <v/>
      </c>
      <c r="C792" s="113">
        <f>IF($D792="","",IFERROR(INDEX(MUSTERILER!$B$7:$B$106,MATCH($R792,MUSTERILER!$T$7:$T$106,0)),IFERROR(INDEX(MUSTERILER!$B$7:$B$106,MATCH($D792,MUSTERILER!$B$7:$B$106,0)),IFERROR(INDEX(MUSTERILER!$B$7:$B$106,MATCH($R792&amp;"*",MUSTERILER!$T$7:$T$106,0)),"TANIMSIZ MÜŞTERİ"))))</f>
        <v/>
      </c>
      <c r="D792" s="109" t="n"/>
      <c r="E792" s="220" t="n"/>
      <c r="F792" s="221" t="n"/>
      <c r="G792" s="108" t="n"/>
      <c r="H792" s="108" t="n"/>
      <c r="I792" s="109" t="n"/>
      <c r="J792" s="109" t="n"/>
      <c r="K792" s="109" t="n"/>
      <c r="L792" s="226">
        <f>IF($E792="","",DATE(YEAR($E792),MONTH($E792),1))</f>
        <v/>
      </c>
      <c r="M792" s="113">
        <f>IF($D792="","",IF($C792="TANIMSIZ MÜŞTERİ","HATA",IF(OR($E792="",$F792&lt;=0,$G792=""),"EKSİK",IF($E792&gt;TODAY(),"İLERİ TARİH",IF(COUNTIF($S$7:$S$1506,$S792)&gt;1,"MÜKERRER?",IF($T792&gt;0,"KAPALI DÖNEM","UYGUN"))))))</f>
        <v/>
      </c>
      <c r="N792" s="121">
        <f>IF($C792="","",IF($C792="TANIMSIZ MÜŞTERİ","—",INDEX(MUSTERILER!$C$7:$C$106,MATCH($C792,MUSTERILER!$B$7:$B$106,0))))</f>
        <v/>
      </c>
      <c r="O792" s="6" t="n"/>
      <c r="P792" s="6" t="n"/>
      <c r="Q792" s="3">
        <f>IF($D792="","",$C792&amp;"|"&amp;COUNTIFS($C$7:$C792,$C792))</f>
        <v/>
      </c>
      <c r="R792" s="3">
        <f>IF($D792="","",UPPER(SUBSTITUTE(SUBSTITUTE(SUBSTITUTE(SUBSTITUTE(SUBSTITUTE(SUBSTITUTE(SUBSTITUTE(SUBSTITUTE(SUBSTITUTE(SUBSTITUTE(SUBSTITUTE(SUBSTITUTE(SUBSTITUTE(SUBSTITUTE(SUBSTITUTE(SUBSTITUTE(SUBSTITUTE(SUBSTITUTE(TRIM($D792),"'",""),"İ","I"),"ı","I"),"i","I"),"Ş","S"),"ş","S"),"Ğ","G"),"ğ","G"),"Ü","U"),"ü","U"),"Ö","O"),"ö","O"),"Ç","C"),"ç","C"),".",""),",","")," ",""),"-","")))</f>
        <v/>
      </c>
      <c r="S792" s="3">
        <f>IF($D792="","",$C792&amp;"|"&amp;TEXT($E792,"0")&amp;"|"&amp;TEXT($F792,"0")&amp;"|"&amp;$I792)</f>
        <v/>
      </c>
      <c r="T792" s="3">
        <f>IF($E792="",0,SUMPRODUCT((AY_SONU!$O$7:$O$42="Evet")*(AY_SONU!$B$7:$B$42=DATE(YEAR($E792),MONTH($E792),1))))</f>
        <v/>
      </c>
    </row>
    <row r="793">
      <c r="A793" s="6" t="n"/>
      <c r="B793" s="113">
        <f>IF($D793="","","T"&amp;TEXT(ROW()-6,"00000"))</f>
        <v/>
      </c>
      <c r="C793" s="113">
        <f>IF($D793="","",IFERROR(INDEX(MUSTERILER!$B$7:$B$106,MATCH($R793,MUSTERILER!$T$7:$T$106,0)),IFERROR(INDEX(MUSTERILER!$B$7:$B$106,MATCH($D793,MUSTERILER!$B$7:$B$106,0)),IFERROR(INDEX(MUSTERILER!$B$7:$B$106,MATCH($R793&amp;"*",MUSTERILER!$T$7:$T$106,0)),"TANIMSIZ MÜŞTERİ"))))</f>
        <v/>
      </c>
      <c r="D793" s="109" t="n"/>
      <c r="E793" s="220" t="n"/>
      <c r="F793" s="221" t="n"/>
      <c r="G793" s="108" t="n"/>
      <c r="H793" s="108" t="n"/>
      <c r="I793" s="109" t="n"/>
      <c r="J793" s="109" t="n"/>
      <c r="K793" s="109" t="n"/>
      <c r="L793" s="226">
        <f>IF($E793="","",DATE(YEAR($E793),MONTH($E793),1))</f>
        <v/>
      </c>
      <c r="M793" s="113">
        <f>IF($D793="","",IF($C793="TANIMSIZ MÜŞTERİ","HATA",IF(OR($E793="",$F793&lt;=0,$G793=""),"EKSİK",IF($E793&gt;TODAY(),"İLERİ TARİH",IF(COUNTIF($S$7:$S$1506,$S793)&gt;1,"MÜKERRER?",IF($T793&gt;0,"KAPALI DÖNEM","UYGUN"))))))</f>
        <v/>
      </c>
      <c r="N793" s="121">
        <f>IF($C793="","",IF($C793="TANIMSIZ MÜŞTERİ","—",INDEX(MUSTERILER!$C$7:$C$106,MATCH($C793,MUSTERILER!$B$7:$B$106,0))))</f>
        <v/>
      </c>
      <c r="O793" s="6" t="n"/>
      <c r="P793" s="6" t="n"/>
      <c r="Q793" s="3">
        <f>IF($D793="","",$C793&amp;"|"&amp;COUNTIFS($C$7:$C793,$C793))</f>
        <v/>
      </c>
      <c r="R793" s="3">
        <f>IF($D793="","",UPPER(SUBSTITUTE(SUBSTITUTE(SUBSTITUTE(SUBSTITUTE(SUBSTITUTE(SUBSTITUTE(SUBSTITUTE(SUBSTITUTE(SUBSTITUTE(SUBSTITUTE(SUBSTITUTE(SUBSTITUTE(SUBSTITUTE(SUBSTITUTE(SUBSTITUTE(SUBSTITUTE(SUBSTITUTE(SUBSTITUTE(TRIM($D793),"'",""),"İ","I"),"ı","I"),"i","I"),"Ş","S"),"ş","S"),"Ğ","G"),"ğ","G"),"Ü","U"),"ü","U"),"Ö","O"),"ö","O"),"Ç","C"),"ç","C"),".",""),",","")," ",""),"-","")))</f>
        <v/>
      </c>
      <c r="S793" s="3">
        <f>IF($D793="","",$C793&amp;"|"&amp;TEXT($E793,"0")&amp;"|"&amp;TEXT($F793,"0")&amp;"|"&amp;$I793)</f>
        <v/>
      </c>
      <c r="T793" s="3">
        <f>IF($E793="",0,SUMPRODUCT((AY_SONU!$O$7:$O$42="Evet")*(AY_SONU!$B$7:$B$42=DATE(YEAR($E793),MONTH($E793),1))))</f>
        <v/>
      </c>
    </row>
    <row r="794">
      <c r="A794" s="6" t="n"/>
      <c r="B794" s="113">
        <f>IF($D794="","","T"&amp;TEXT(ROW()-6,"00000"))</f>
        <v/>
      </c>
      <c r="C794" s="113">
        <f>IF($D794="","",IFERROR(INDEX(MUSTERILER!$B$7:$B$106,MATCH($R794,MUSTERILER!$T$7:$T$106,0)),IFERROR(INDEX(MUSTERILER!$B$7:$B$106,MATCH($D794,MUSTERILER!$B$7:$B$106,0)),IFERROR(INDEX(MUSTERILER!$B$7:$B$106,MATCH($R794&amp;"*",MUSTERILER!$T$7:$T$106,0)),"TANIMSIZ MÜŞTERİ"))))</f>
        <v/>
      </c>
      <c r="D794" s="109" t="n"/>
      <c r="E794" s="220" t="n"/>
      <c r="F794" s="221" t="n"/>
      <c r="G794" s="108" t="n"/>
      <c r="H794" s="108" t="n"/>
      <c r="I794" s="109" t="n"/>
      <c r="J794" s="109" t="n"/>
      <c r="K794" s="109" t="n"/>
      <c r="L794" s="226">
        <f>IF($E794="","",DATE(YEAR($E794),MONTH($E794),1))</f>
        <v/>
      </c>
      <c r="M794" s="113">
        <f>IF($D794="","",IF($C794="TANIMSIZ MÜŞTERİ","HATA",IF(OR($E794="",$F794&lt;=0,$G794=""),"EKSİK",IF($E794&gt;TODAY(),"İLERİ TARİH",IF(COUNTIF($S$7:$S$1506,$S794)&gt;1,"MÜKERRER?",IF($T794&gt;0,"KAPALI DÖNEM","UYGUN"))))))</f>
        <v/>
      </c>
      <c r="N794" s="121">
        <f>IF($C794="","",IF($C794="TANIMSIZ MÜŞTERİ","—",INDEX(MUSTERILER!$C$7:$C$106,MATCH($C794,MUSTERILER!$B$7:$B$106,0))))</f>
        <v/>
      </c>
      <c r="O794" s="6" t="n"/>
      <c r="P794" s="6" t="n"/>
      <c r="Q794" s="3">
        <f>IF($D794="","",$C794&amp;"|"&amp;COUNTIFS($C$7:$C794,$C794))</f>
        <v/>
      </c>
      <c r="R794" s="3">
        <f>IF($D794="","",UPPER(SUBSTITUTE(SUBSTITUTE(SUBSTITUTE(SUBSTITUTE(SUBSTITUTE(SUBSTITUTE(SUBSTITUTE(SUBSTITUTE(SUBSTITUTE(SUBSTITUTE(SUBSTITUTE(SUBSTITUTE(SUBSTITUTE(SUBSTITUTE(SUBSTITUTE(SUBSTITUTE(SUBSTITUTE(SUBSTITUTE(TRIM($D794),"'",""),"İ","I"),"ı","I"),"i","I"),"Ş","S"),"ş","S"),"Ğ","G"),"ğ","G"),"Ü","U"),"ü","U"),"Ö","O"),"ö","O"),"Ç","C"),"ç","C"),".",""),",","")," ",""),"-","")))</f>
        <v/>
      </c>
      <c r="S794" s="3">
        <f>IF($D794="","",$C794&amp;"|"&amp;TEXT($E794,"0")&amp;"|"&amp;TEXT($F794,"0")&amp;"|"&amp;$I794)</f>
        <v/>
      </c>
      <c r="T794" s="3">
        <f>IF($E794="",0,SUMPRODUCT((AY_SONU!$O$7:$O$42="Evet")*(AY_SONU!$B$7:$B$42=DATE(YEAR($E794),MONTH($E794),1))))</f>
        <v/>
      </c>
    </row>
    <row r="795">
      <c r="A795" s="6" t="n"/>
      <c r="B795" s="113">
        <f>IF($D795="","","T"&amp;TEXT(ROW()-6,"00000"))</f>
        <v/>
      </c>
      <c r="C795" s="113">
        <f>IF($D795="","",IFERROR(INDEX(MUSTERILER!$B$7:$B$106,MATCH($R795,MUSTERILER!$T$7:$T$106,0)),IFERROR(INDEX(MUSTERILER!$B$7:$B$106,MATCH($D795,MUSTERILER!$B$7:$B$106,0)),IFERROR(INDEX(MUSTERILER!$B$7:$B$106,MATCH($R795&amp;"*",MUSTERILER!$T$7:$T$106,0)),"TANIMSIZ MÜŞTERİ"))))</f>
        <v/>
      </c>
      <c r="D795" s="109" t="n"/>
      <c r="E795" s="220" t="n"/>
      <c r="F795" s="221" t="n"/>
      <c r="G795" s="108" t="n"/>
      <c r="H795" s="108" t="n"/>
      <c r="I795" s="109" t="n"/>
      <c r="J795" s="109" t="n"/>
      <c r="K795" s="109" t="n"/>
      <c r="L795" s="226">
        <f>IF($E795="","",DATE(YEAR($E795),MONTH($E795),1))</f>
        <v/>
      </c>
      <c r="M795" s="113">
        <f>IF($D795="","",IF($C795="TANIMSIZ MÜŞTERİ","HATA",IF(OR($E795="",$F795&lt;=0,$G795=""),"EKSİK",IF($E795&gt;TODAY(),"İLERİ TARİH",IF(COUNTIF($S$7:$S$1506,$S795)&gt;1,"MÜKERRER?",IF($T795&gt;0,"KAPALI DÖNEM","UYGUN"))))))</f>
        <v/>
      </c>
      <c r="N795" s="121">
        <f>IF($C795="","",IF($C795="TANIMSIZ MÜŞTERİ","—",INDEX(MUSTERILER!$C$7:$C$106,MATCH($C795,MUSTERILER!$B$7:$B$106,0))))</f>
        <v/>
      </c>
      <c r="O795" s="6" t="n"/>
      <c r="P795" s="6" t="n"/>
      <c r="Q795" s="3">
        <f>IF($D795="","",$C795&amp;"|"&amp;COUNTIFS($C$7:$C795,$C795))</f>
        <v/>
      </c>
      <c r="R795" s="3">
        <f>IF($D795="","",UPPER(SUBSTITUTE(SUBSTITUTE(SUBSTITUTE(SUBSTITUTE(SUBSTITUTE(SUBSTITUTE(SUBSTITUTE(SUBSTITUTE(SUBSTITUTE(SUBSTITUTE(SUBSTITUTE(SUBSTITUTE(SUBSTITUTE(SUBSTITUTE(SUBSTITUTE(SUBSTITUTE(SUBSTITUTE(SUBSTITUTE(TRIM($D795),"'",""),"İ","I"),"ı","I"),"i","I"),"Ş","S"),"ş","S"),"Ğ","G"),"ğ","G"),"Ü","U"),"ü","U"),"Ö","O"),"ö","O"),"Ç","C"),"ç","C"),".",""),",","")," ",""),"-","")))</f>
        <v/>
      </c>
      <c r="S795" s="3">
        <f>IF($D795="","",$C795&amp;"|"&amp;TEXT($E795,"0")&amp;"|"&amp;TEXT($F795,"0")&amp;"|"&amp;$I795)</f>
        <v/>
      </c>
      <c r="T795" s="3">
        <f>IF($E795="",0,SUMPRODUCT((AY_SONU!$O$7:$O$42="Evet")*(AY_SONU!$B$7:$B$42=DATE(YEAR($E795),MONTH($E795),1))))</f>
        <v/>
      </c>
    </row>
    <row r="796">
      <c r="A796" s="6" t="n"/>
      <c r="B796" s="113">
        <f>IF($D796="","","T"&amp;TEXT(ROW()-6,"00000"))</f>
        <v/>
      </c>
      <c r="C796" s="113">
        <f>IF($D796="","",IFERROR(INDEX(MUSTERILER!$B$7:$B$106,MATCH($R796,MUSTERILER!$T$7:$T$106,0)),IFERROR(INDEX(MUSTERILER!$B$7:$B$106,MATCH($D796,MUSTERILER!$B$7:$B$106,0)),IFERROR(INDEX(MUSTERILER!$B$7:$B$106,MATCH($R796&amp;"*",MUSTERILER!$T$7:$T$106,0)),"TANIMSIZ MÜŞTERİ"))))</f>
        <v/>
      </c>
      <c r="D796" s="109" t="n"/>
      <c r="E796" s="220" t="n"/>
      <c r="F796" s="221" t="n"/>
      <c r="G796" s="108" t="n"/>
      <c r="H796" s="108" t="n"/>
      <c r="I796" s="109" t="n"/>
      <c r="J796" s="109" t="n"/>
      <c r="K796" s="109" t="n"/>
      <c r="L796" s="226">
        <f>IF($E796="","",DATE(YEAR($E796),MONTH($E796),1))</f>
        <v/>
      </c>
      <c r="M796" s="113">
        <f>IF($D796="","",IF($C796="TANIMSIZ MÜŞTERİ","HATA",IF(OR($E796="",$F796&lt;=0,$G796=""),"EKSİK",IF($E796&gt;TODAY(),"İLERİ TARİH",IF(COUNTIF($S$7:$S$1506,$S796)&gt;1,"MÜKERRER?",IF($T796&gt;0,"KAPALI DÖNEM","UYGUN"))))))</f>
        <v/>
      </c>
      <c r="N796" s="121">
        <f>IF($C796="","",IF($C796="TANIMSIZ MÜŞTERİ","—",INDEX(MUSTERILER!$C$7:$C$106,MATCH($C796,MUSTERILER!$B$7:$B$106,0))))</f>
        <v/>
      </c>
      <c r="O796" s="6" t="n"/>
      <c r="P796" s="6" t="n"/>
      <c r="Q796" s="3">
        <f>IF($D796="","",$C796&amp;"|"&amp;COUNTIFS($C$7:$C796,$C796))</f>
        <v/>
      </c>
      <c r="R796" s="3">
        <f>IF($D796="","",UPPER(SUBSTITUTE(SUBSTITUTE(SUBSTITUTE(SUBSTITUTE(SUBSTITUTE(SUBSTITUTE(SUBSTITUTE(SUBSTITUTE(SUBSTITUTE(SUBSTITUTE(SUBSTITUTE(SUBSTITUTE(SUBSTITUTE(SUBSTITUTE(SUBSTITUTE(SUBSTITUTE(SUBSTITUTE(SUBSTITUTE(TRIM($D796),"'",""),"İ","I"),"ı","I"),"i","I"),"Ş","S"),"ş","S"),"Ğ","G"),"ğ","G"),"Ü","U"),"ü","U"),"Ö","O"),"ö","O"),"Ç","C"),"ç","C"),".",""),",","")," ",""),"-","")))</f>
        <v/>
      </c>
      <c r="S796" s="3">
        <f>IF($D796="","",$C796&amp;"|"&amp;TEXT($E796,"0")&amp;"|"&amp;TEXT($F796,"0")&amp;"|"&amp;$I796)</f>
        <v/>
      </c>
      <c r="T796" s="3">
        <f>IF($E796="",0,SUMPRODUCT((AY_SONU!$O$7:$O$42="Evet")*(AY_SONU!$B$7:$B$42=DATE(YEAR($E796),MONTH($E796),1))))</f>
        <v/>
      </c>
    </row>
    <row r="797">
      <c r="A797" s="6" t="n"/>
      <c r="B797" s="113">
        <f>IF($D797="","","T"&amp;TEXT(ROW()-6,"00000"))</f>
        <v/>
      </c>
      <c r="C797" s="113">
        <f>IF($D797="","",IFERROR(INDEX(MUSTERILER!$B$7:$B$106,MATCH($R797,MUSTERILER!$T$7:$T$106,0)),IFERROR(INDEX(MUSTERILER!$B$7:$B$106,MATCH($D797,MUSTERILER!$B$7:$B$106,0)),IFERROR(INDEX(MUSTERILER!$B$7:$B$106,MATCH($R797&amp;"*",MUSTERILER!$T$7:$T$106,0)),"TANIMSIZ MÜŞTERİ"))))</f>
        <v/>
      </c>
      <c r="D797" s="109" t="n"/>
      <c r="E797" s="220" t="n"/>
      <c r="F797" s="221" t="n"/>
      <c r="G797" s="108" t="n"/>
      <c r="H797" s="108" t="n"/>
      <c r="I797" s="109" t="n"/>
      <c r="J797" s="109" t="n"/>
      <c r="K797" s="109" t="n"/>
      <c r="L797" s="226">
        <f>IF($E797="","",DATE(YEAR($E797),MONTH($E797),1))</f>
        <v/>
      </c>
      <c r="M797" s="113">
        <f>IF($D797="","",IF($C797="TANIMSIZ MÜŞTERİ","HATA",IF(OR($E797="",$F797&lt;=0,$G797=""),"EKSİK",IF($E797&gt;TODAY(),"İLERİ TARİH",IF(COUNTIF($S$7:$S$1506,$S797)&gt;1,"MÜKERRER?",IF($T797&gt;0,"KAPALI DÖNEM","UYGUN"))))))</f>
        <v/>
      </c>
      <c r="N797" s="121">
        <f>IF($C797="","",IF($C797="TANIMSIZ MÜŞTERİ","—",INDEX(MUSTERILER!$C$7:$C$106,MATCH($C797,MUSTERILER!$B$7:$B$106,0))))</f>
        <v/>
      </c>
      <c r="O797" s="6" t="n"/>
      <c r="P797" s="6" t="n"/>
      <c r="Q797" s="3">
        <f>IF($D797="","",$C797&amp;"|"&amp;COUNTIFS($C$7:$C797,$C797))</f>
        <v/>
      </c>
      <c r="R797" s="3">
        <f>IF($D797="","",UPPER(SUBSTITUTE(SUBSTITUTE(SUBSTITUTE(SUBSTITUTE(SUBSTITUTE(SUBSTITUTE(SUBSTITUTE(SUBSTITUTE(SUBSTITUTE(SUBSTITUTE(SUBSTITUTE(SUBSTITUTE(SUBSTITUTE(SUBSTITUTE(SUBSTITUTE(SUBSTITUTE(SUBSTITUTE(SUBSTITUTE(TRIM($D797),"'",""),"İ","I"),"ı","I"),"i","I"),"Ş","S"),"ş","S"),"Ğ","G"),"ğ","G"),"Ü","U"),"ü","U"),"Ö","O"),"ö","O"),"Ç","C"),"ç","C"),".",""),",","")," ",""),"-","")))</f>
        <v/>
      </c>
      <c r="S797" s="3">
        <f>IF($D797="","",$C797&amp;"|"&amp;TEXT($E797,"0")&amp;"|"&amp;TEXT($F797,"0")&amp;"|"&amp;$I797)</f>
        <v/>
      </c>
      <c r="T797" s="3">
        <f>IF($E797="",0,SUMPRODUCT((AY_SONU!$O$7:$O$42="Evet")*(AY_SONU!$B$7:$B$42=DATE(YEAR($E797),MONTH($E797),1))))</f>
        <v/>
      </c>
    </row>
    <row r="798">
      <c r="A798" s="6" t="n"/>
      <c r="B798" s="113">
        <f>IF($D798="","","T"&amp;TEXT(ROW()-6,"00000"))</f>
        <v/>
      </c>
      <c r="C798" s="113">
        <f>IF($D798="","",IFERROR(INDEX(MUSTERILER!$B$7:$B$106,MATCH($R798,MUSTERILER!$T$7:$T$106,0)),IFERROR(INDEX(MUSTERILER!$B$7:$B$106,MATCH($D798,MUSTERILER!$B$7:$B$106,0)),IFERROR(INDEX(MUSTERILER!$B$7:$B$106,MATCH($R798&amp;"*",MUSTERILER!$T$7:$T$106,0)),"TANIMSIZ MÜŞTERİ"))))</f>
        <v/>
      </c>
      <c r="D798" s="109" t="n"/>
      <c r="E798" s="220" t="n"/>
      <c r="F798" s="221" t="n"/>
      <c r="G798" s="108" t="n"/>
      <c r="H798" s="108" t="n"/>
      <c r="I798" s="109" t="n"/>
      <c r="J798" s="109" t="n"/>
      <c r="K798" s="109" t="n"/>
      <c r="L798" s="226">
        <f>IF($E798="","",DATE(YEAR($E798),MONTH($E798),1))</f>
        <v/>
      </c>
      <c r="M798" s="113">
        <f>IF($D798="","",IF($C798="TANIMSIZ MÜŞTERİ","HATA",IF(OR($E798="",$F798&lt;=0,$G798=""),"EKSİK",IF($E798&gt;TODAY(),"İLERİ TARİH",IF(COUNTIF($S$7:$S$1506,$S798)&gt;1,"MÜKERRER?",IF($T798&gt;0,"KAPALI DÖNEM","UYGUN"))))))</f>
        <v/>
      </c>
      <c r="N798" s="121">
        <f>IF($C798="","",IF($C798="TANIMSIZ MÜŞTERİ","—",INDEX(MUSTERILER!$C$7:$C$106,MATCH($C798,MUSTERILER!$B$7:$B$106,0))))</f>
        <v/>
      </c>
      <c r="O798" s="6" t="n"/>
      <c r="P798" s="6" t="n"/>
      <c r="Q798" s="3">
        <f>IF($D798="","",$C798&amp;"|"&amp;COUNTIFS($C$7:$C798,$C798))</f>
        <v/>
      </c>
      <c r="R798" s="3">
        <f>IF($D798="","",UPPER(SUBSTITUTE(SUBSTITUTE(SUBSTITUTE(SUBSTITUTE(SUBSTITUTE(SUBSTITUTE(SUBSTITUTE(SUBSTITUTE(SUBSTITUTE(SUBSTITUTE(SUBSTITUTE(SUBSTITUTE(SUBSTITUTE(SUBSTITUTE(SUBSTITUTE(SUBSTITUTE(SUBSTITUTE(SUBSTITUTE(TRIM($D798),"'",""),"İ","I"),"ı","I"),"i","I"),"Ş","S"),"ş","S"),"Ğ","G"),"ğ","G"),"Ü","U"),"ü","U"),"Ö","O"),"ö","O"),"Ç","C"),"ç","C"),".",""),",","")," ",""),"-","")))</f>
        <v/>
      </c>
      <c r="S798" s="3">
        <f>IF($D798="","",$C798&amp;"|"&amp;TEXT($E798,"0")&amp;"|"&amp;TEXT($F798,"0")&amp;"|"&amp;$I798)</f>
        <v/>
      </c>
      <c r="T798" s="3">
        <f>IF($E798="",0,SUMPRODUCT((AY_SONU!$O$7:$O$42="Evet")*(AY_SONU!$B$7:$B$42=DATE(YEAR($E798),MONTH($E798),1))))</f>
        <v/>
      </c>
    </row>
    <row r="799">
      <c r="A799" s="6" t="n"/>
      <c r="B799" s="113">
        <f>IF($D799="","","T"&amp;TEXT(ROW()-6,"00000"))</f>
        <v/>
      </c>
      <c r="C799" s="113">
        <f>IF($D799="","",IFERROR(INDEX(MUSTERILER!$B$7:$B$106,MATCH($R799,MUSTERILER!$T$7:$T$106,0)),IFERROR(INDEX(MUSTERILER!$B$7:$B$106,MATCH($D799,MUSTERILER!$B$7:$B$106,0)),IFERROR(INDEX(MUSTERILER!$B$7:$B$106,MATCH($R799&amp;"*",MUSTERILER!$T$7:$T$106,0)),"TANIMSIZ MÜŞTERİ"))))</f>
        <v/>
      </c>
      <c r="D799" s="109" t="n"/>
      <c r="E799" s="220" t="n"/>
      <c r="F799" s="221" t="n"/>
      <c r="G799" s="108" t="n"/>
      <c r="H799" s="108" t="n"/>
      <c r="I799" s="109" t="n"/>
      <c r="J799" s="109" t="n"/>
      <c r="K799" s="109" t="n"/>
      <c r="L799" s="226">
        <f>IF($E799="","",DATE(YEAR($E799),MONTH($E799),1))</f>
        <v/>
      </c>
      <c r="M799" s="113">
        <f>IF($D799="","",IF($C799="TANIMSIZ MÜŞTERİ","HATA",IF(OR($E799="",$F799&lt;=0,$G799=""),"EKSİK",IF($E799&gt;TODAY(),"İLERİ TARİH",IF(COUNTIF($S$7:$S$1506,$S799)&gt;1,"MÜKERRER?",IF($T799&gt;0,"KAPALI DÖNEM","UYGUN"))))))</f>
        <v/>
      </c>
      <c r="N799" s="121">
        <f>IF($C799="","",IF($C799="TANIMSIZ MÜŞTERİ","—",INDEX(MUSTERILER!$C$7:$C$106,MATCH($C799,MUSTERILER!$B$7:$B$106,0))))</f>
        <v/>
      </c>
      <c r="O799" s="6" t="n"/>
      <c r="P799" s="6" t="n"/>
      <c r="Q799" s="3">
        <f>IF($D799="","",$C799&amp;"|"&amp;COUNTIFS($C$7:$C799,$C799))</f>
        <v/>
      </c>
      <c r="R799" s="3">
        <f>IF($D799="","",UPPER(SUBSTITUTE(SUBSTITUTE(SUBSTITUTE(SUBSTITUTE(SUBSTITUTE(SUBSTITUTE(SUBSTITUTE(SUBSTITUTE(SUBSTITUTE(SUBSTITUTE(SUBSTITUTE(SUBSTITUTE(SUBSTITUTE(SUBSTITUTE(SUBSTITUTE(SUBSTITUTE(SUBSTITUTE(SUBSTITUTE(TRIM($D799),"'",""),"İ","I"),"ı","I"),"i","I"),"Ş","S"),"ş","S"),"Ğ","G"),"ğ","G"),"Ü","U"),"ü","U"),"Ö","O"),"ö","O"),"Ç","C"),"ç","C"),".",""),",","")," ",""),"-","")))</f>
        <v/>
      </c>
      <c r="S799" s="3">
        <f>IF($D799="","",$C799&amp;"|"&amp;TEXT($E799,"0")&amp;"|"&amp;TEXT($F799,"0")&amp;"|"&amp;$I799)</f>
        <v/>
      </c>
      <c r="T799" s="3">
        <f>IF($E799="",0,SUMPRODUCT((AY_SONU!$O$7:$O$42="Evet")*(AY_SONU!$B$7:$B$42=DATE(YEAR($E799),MONTH($E799),1))))</f>
        <v/>
      </c>
    </row>
    <row r="800">
      <c r="A800" s="6" t="n"/>
      <c r="B800" s="113">
        <f>IF($D800="","","T"&amp;TEXT(ROW()-6,"00000"))</f>
        <v/>
      </c>
      <c r="C800" s="113">
        <f>IF($D800="","",IFERROR(INDEX(MUSTERILER!$B$7:$B$106,MATCH($R800,MUSTERILER!$T$7:$T$106,0)),IFERROR(INDEX(MUSTERILER!$B$7:$B$106,MATCH($D800,MUSTERILER!$B$7:$B$106,0)),IFERROR(INDEX(MUSTERILER!$B$7:$B$106,MATCH($R800&amp;"*",MUSTERILER!$T$7:$T$106,0)),"TANIMSIZ MÜŞTERİ"))))</f>
        <v/>
      </c>
      <c r="D800" s="109" t="n"/>
      <c r="E800" s="220" t="n"/>
      <c r="F800" s="221" t="n"/>
      <c r="G800" s="108" t="n"/>
      <c r="H800" s="108" t="n"/>
      <c r="I800" s="109" t="n"/>
      <c r="J800" s="109" t="n"/>
      <c r="K800" s="109" t="n"/>
      <c r="L800" s="226">
        <f>IF($E800="","",DATE(YEAR($E800),MONTH($E800),1))</f>
        <v/>
      </c>
      <c r="M800" s="113">
        <f>IF($D800="","",IF($C800="TANIMSIZ MÜŞTERİ","HATA",IF(OR($E800="",$F800&lt;=0,$G800=""),"EKSİK",IF($E800&gt;TODAY(),"İLERİ TARİH",IF(COUNTIF($S$7:$S$1506,$S800)&gt;1,"MÜKERRER?",IF($T800&gt;0,"KAPALI DÖNEM","UYGUN"))))))</f>
        <v/>
      </c>
      <c r="N800" s="121">
        <f>IF($C800="","",IF($C800="TANIMSIZ MÜŞTERİ","—",INDEX(MUSTERILER!$C$7:$C$106,MATCH($C800,MUSTERILER!$B$7:$B$106,0))))</f>
        <v/>
      </c>
      <c r="O800" s="6" t="n"/>
      <c r="P800" s="6" t="n"/>
      <c r="Q800" s="3">
        <f>IF($D800="","",$C800&amp;"|"&amp;COUNTIFS($C$7:$C800,$C800))</f>
        <v/>
      </c>
      <c r="R800" s="3">
        <f>IF($D800="","",UPPER(SUBSTITUTE(SUBSTITUTE(SUBSTITUTE(SUBSTITUTE(SUBSTITUTE(SUBSTITUTE(SUBSTITUTE(SUBSTITUTE(SUBSTITUTE(SUBSTITUTE(SUBSTITUTE(SUBSTITUTE(SUBSTITUTE(SUBSTITUTE(SUBSTITUTE(SUBSTITUTE(SUBSTITUTE(SUBSTITUTE(TRIM($D800),"'",""),"İ","I"),"ı","I"),"i","I"),"Ş","S"),"ş","S"),"Ğ","G"),"ğ","G"),"Ü","U"),"ü","U"),"Ö","O"),"ö","O"),"Ç","C"),"ç","C"),".",""),",","")," ",""),"-","")))</f>
        <v/>
      </c>
      <c r="S800" s="3">
        <f>IF($D800="","",$C800&amp;"|"&amp;TEXT($E800,"0")&amp;"|"&amp;TEXT($F800,"0")&amp;"|"&amp;$I800)</f>
        <v/>
      </c>
      <c r="T800" s="3">
        <f>IF($E800="",0,SUMPRODUCT((AY_SONU!$O$7:$O$42="Evet")*(AY_SONU!$B$7:$B$42=DATE(YEAR($E800),MONTH($E800),1))))</f>
        <v/>
      </c>
    </row>
    <row r="801">
      <c r="A801" s="6" t="n"/>
      <c r="B801" s="113">
        <f>IF($D801="","","T"&amp;TEXT(ROW()-6,"00000"))</f>
        <v/>
      </c>
      <c r="C801" s="113">
        <f>IF($D801="","",IFERROR(INDEX(MUSTERILER!$B$7:$B$106,MATCH($R801,MUSTERILER!$T$7:$T$106,0)),IFERROR(INDEX(MUSTERILER!$B$7:$B$106,MATCH($D801,MUSTERILER!$B$7:$B$106,0)),IFERROR(INDEX(MUSTERILER!$B$7:$B$106,MATCH($R801&amp;"*",MUSTERILER!$T$7:$T$106,0)),"TANIMSIZ MÜŞTERİ"))))</f>
        <v/>
      </c>
      <c r="D801" s="109" t="n"/>
      <c r="E801" s="220" t="n"/>
      <c r="F801" s="221" t="n"/>
      <c r="G801" s="108" t="n"/>
      <c r="H801" s="108" t="n"/>
      <c r="I801" s="109" t="n"/>
      <c r="J801" s="109" t="n"/>
      <c r="K801" s="109" t="n"/>
      <c r="L801" s="226">
        <f>IF($E801="","",DATE(YEAR($E801),MONTH($E801),1))</f>
        <v/>
      </c>
      <c r="M801" s="113">
        <f>IF($D801="","",IF($C801="TANIMSIZ MÜŞTERİ","HATA",IF(OR($E801="",$F801&lt;=0,$G801=""),"EKSİK",IF($E801&gt;TODAY(),"İLERİ TARİH",IF(COUNTIF($S$7:$S$1506,$S801)&gt;1,"MÜKERRER?",IF($T801&gt;0,"KAPALI DÖNEM","UYGUN"))))))</f>
        <v/>
      </c>
      <c r="N801" s="121">
        <f>IF($C801="","",IF($C801="TANIMSIZ MÜŞTERİ","—",INDEX(MUSTERILER!$C$7:$C$106,MATCH($C801,MUSTERILER!$B$7:$B$106,0))))</f>
        <v/>
      </c>
      <c r="O801" s="6" t="n"/>
      <c r="P801" s="6" t="n"/>
      <c r="Q801" s="3">
        <f>IF($D801="","",$C801&amp;"|"&amp;COUNTIFS($C$7:$C801,$C801))</f>
        <v/>
      </c>
      <c r="R801" s="3">
        <f>IF($D801="","",UPPER(SUBSTITUTE(SUBSTITUTE(SUBSTITUTE(SUBSTITUTE(SUBSTITUTE(SUBSTITUTE(SUBSTITUTE(SUBSTITUTE(SUBSTITUTE(SUBSTITUTE(SUBSTITUTE(SUBSTITUTE(SUBSTITUTE(SUBSTITUTE(SUBSTITUTE(SUBSTITUTE(SUBSTITUTE(SUBSTITUTE(TRIM($D801),"'",""),"İ","I"),"ı","I"),"i","I"),"Ş","S"),"ş","S"),"Ğ","G"),"ğ","G"),"Ü","U"),"ü","U"),"Ö","O"),"ö","O"),"Ç","C"),"ç","C"),".",""),",","")," ",""),"-","")))</f>
        <v/>
      </c>
      <c r="S801" s="3">
        <f>IF($D801="","",$C801&amp;"|"&amp;TEXT($E801,"0")&amp;"|"&amp;TEXT($F801,"0")&amp;"|"&amp;$I801)</f>
        <v/>
      </c>
      <c r="T801" s="3">
        <f>IF($E801="",0,SUMPRODUCT((AY_SONU!$O$7:$O$42="Evet")*(AY_SONU!$B$7:$B$42=DATE(YEAR($E801),MONTH($E801),1))))</f>
        <v/>
      </c>
    </row>
    <row r="802">
      <c r="A802" s="6" t="n"/>
      <c r="B802" s="113">
        <f>IF($D802="","","T"&amp;TEXT(ROW()-6,"00000"))</f>
        <v/>
      </c>
      <c r="C802" s="113">
        <f>IF($D802="","",IFERROR(INDEX(MUSTERILER!$B$7:$B$106,MATCH($R802,MUSTERILER!$T$7:$T$106,0)),IFERROR(INDEX(MUSTERILER!$B$7:$B$106,MATCH($D802,MUSTERILER!$B$7:$B$106,0)),IFERROR(INDEX(MUSTERILER!$B$7:$B$106,MATCH($R802&amp;"*",MUSTERILER!$T$7:$T$106,0)),"TANIMSIZ MÜŞTERİ"))))</f>
        <v/>
      </c>
      <c r="D802" s="109" t="n"/>
      <c r="E802" s="220" t="n"/>
      <c r="F802" s="221" t="n"/>
      <c r="G802" s="108" t="n"/>
      <c r="H802" s="108" t="n"/>
      <c r="I802" s="109" t="n"/>
      <c r="J802" s="109" t="n"/>
      <c r="K802" s="109" t="n"/>
      <c r="L802" s="226">
        <f>IF($E802="","",DATE(YEAR($E802),MONTH($E802),1))</f>
        <v/>
      </c>
      <c r="M802" s="113">
        <f>IF($D802="","",IF($C802="TANIMSIZ MÜŞTERİ","HATA",IF(OR($E802="",$F802&lt;=0,$G802=""),"EKSİK",IF($E802&gt;TODAY(),"İLERİ TARİH",IF(COUNTIF($S$7:$S$1506,$S802)&gt;1,"MÜKERRER?",IF($T802&gt;0,"KAPALI DÖNEM","UYGUN"))))))</f>
        <v/>
      </c>
      <c r="N802" s="121">
        <f>IF($C802="","",IF($C802="TANIMSIZ MÜŞTERİ","—",INDEX(MUSTERILER!$C$7:$C$106,MATCH($C802,MUSTERILER!$B$7:$B$106,0))))</f>
        <v/>
      </c>
      <c r="O802" s="6" t="n"/>
      <c r="P802" s="6" t="n"/>
      <c r="Q802" s="3">
        <f>IF($D802="","",$C802&amp;"|"&amp;COUNTIFS($C$7:$C802,$C802))</f>
        <v/>
      </c>
      <c r="R802" s="3">
        <f>IF($D802="","",UPPER(SUBSTITUTE(SUBSTITUTE(SUBSTITUTE(SUBSTITUTE(SUBSTITUTE(SUBSTITUTE(SUBSTITUTE(SUBSTITUTE(SUBSTITUTE(SUBSTITUTE(SUBSTITUTE(SUBSTITUTE(SUBSTITUTE(SUBSTITUTE(SUBSTITUTE(SUBSTITUTE(SUBSTITUTE(SUBSTITUTE(TRIM($D802),"'",""),"İ","I"),"ı","I"),"i","I"),"Ş","S"),"ş","S"),"Ğ","G"),"ğ","G"),"Ü","U"),"ü","U"),"Ö","O"),"ö","O"),"Ç","C"),"ç","C"),".",""),",","")," ",""),"-","")))</f>
        <v/>
      </c>
      <c r="S802" s="3">
        <f>IF($D802="","",$C802&amp;"|"&amp;TEXT($E802,"0")&amp;"|"&amp;TEXT($F802,"0")&amp;"|"&amp;$I802)</f>
        <v/>
      </c>
      <c r="T802" s="3">
        <f>IF($E802="",0,SUMPRODUCT((AY_SONU!$O$7:$O$42="Evet")*(AY_SONU!$B$7:$B$42=DATE(YEAR($E802),MONTH($E802),1))))</f>
        <v/>
      </c>
    </row>
    <row r="803">
      <c r="A803" s="6" t="n"/>
      <c r="B803" s="113">
        <f>IF($D803="","","T"&amp;TEXT(ROW()-6,"00000"))</f>
        <v/>
      </c>
      <c r="C803" s="113">
        <f>IF($D803="","",IFERROR(INDEX(MUSTERILER!$B$7:$B$106,MATCH($R803,MUSTERILER!$T$7:$T$106,0)),IFERROR(INDEX(MUSTERILER!$B$7:$B$106,MATCH($D803,MUSTERILER!$B$7:$B$106,0)),IFERROR(INDEX(MUSTERILER!$B$7:$B$106,MATCH($R803&amp;"*",MUSTERILER!$T$7:$T$106,0)),"TANIMSIZ MÜŞTERİ"))))</f>
        <v/>
      </c>
      <c r="D803" s="109" t="n"/>
      <c r="E803" s="220" t="n"/>
      <c r="F803" s="221" t="n"/>
      <c r="G803" s="108" t="n"/>
      <c r="H803" s="108" t="n"/>
      <c r="I803" s="109" t="n"/>
      <c r="J803" s="109" t="n"/>
      <c r="K803" s="109" t="n"/>
      <c r="L803" s="226">
        <f>IF($E803="","",DATE(YEAR($E803),MONTH($E803),1))</f>
        <v/>
      </c>
      <c r="M803" s="113">
        <f>IF($D803="","",IF($C803="TANIMSIZ MÜŞTERİ","HATA",IF(OR($E803="",$F803&lt;=0,$G803=""),"EKSİK",IF($E803&gt;TODAY(),"İLERİ TARİH",IF(COUNTIF($S$7:$S$1506,$S803)&gt;1,"MÜKERRER?",IF($T803&gt;0,"KAPALI DÖNEM","UYGUN"))))))</f>
        <v/>
      </c>
      <c r="N803" s="121">
        <f>IF($C803="","",IF($C803="TANIMSIZ MÜŞTERİ","—",INDEX(MUSTERILER!$C$7:$C$106,MATCH($C803,MUSTERILER!$B$7:$B$106,0))))</f>
        <v/>
      </c>
      <c r="O803" s="6" t="n"/>
      <c r="P803" s="6" t="n"/>
      <c r="Q803" s="3">
        <f>IF($D803="","",$C803&amp;"|"&amp;COUNTIFS($C$7:$C803,$C803))</f>
        <v/>
      </c>
      <c r="R803" s="3">
        <f>IF($D803="","",UPPER(SUBSTITUTE(SUBSTITUTE(SUBSTITUTE(SUBSTITUTE(SUBSTITUTE(SUBSTITUTE(SUBSTITUTE(SUBSTITUTE(SUBSTITUTE(SUBSTITUTE(SUBSTITUTE(SUBSTITUTE(SUBSTITUTE(SUBSTITUTE(SUBSTITUTE(SUBSTITUTE(SUBSTITUTE(SUBSTITUTE(TRIM($D803),"'",""),"İ","I"),"ı","I"),"i","I"),"Ş","S"),"ş","S"),"Ğ","G"),"ğ","G"),"Ü","U"),"ü","U"),"Ö","O"),"ö","O"),"Ç","C"),"ç","C"),".",""),",","")," ",""),"-","")))</f>
        <v/>
      </c>
      <c r="S803" s="3">
        <f>IF($D803="","",$C803&amp;"|"&amp;TEXT($E803,"0")&amp;"|"&amp;TEXT($F803,"0")&amp;"|"&amp;$I803)</f>
        <v/>
      </c>
      <c r="T803" s="3">
        <f>IF($E803="",0,SUMPRODUCT((AY_SONU!$O$7:$O$42="Evet")*(AY_SONU!$B$7:$B$42=DATE(YEAR($E803),MONTH($E803),1))))</f>
        <v/>
      </c>
    </row>
    <row r="804">
      <c r="A804" s="6" t="n"/>
      <c r="B804" s="113">
        <f>IF($D804="","","T"&amp;TEXT(ROW()-6,"00000"))</f>
        <v/>
      </c>
      <c r="C804" s="113">
        <f>IF($D804="","",IFERROR(INDEX(MUSTERILER!$B$7:$B$106,MATCH($R804,MUSTERILER!$T$7:$T$106,0)),IFERROR(INDEX(MUSTERILER!$B$7:$B$106,MATCH($D804,MUSTERILER!$B$7:$B$106,0)),IFERROR(INDEX(MUSTERILER!$B$7:$B$106,MATCH($R804&amp;"*",MUSTERILER!$T$7:$T$106,0)),"TANIMSIZ MÜŞTERİ"))))</f>
        <v/>
      </c>
      <c r="D804" s="109" t="n"/>
      <c r="E804" s="220" t="n"/>
      <c r="F804" s="221" t="n"/>
      <c r="G804" s="108" t="n"/>
      <c r="H804" s="108" t="n"/>
      <c r="I804" s="109" t="n"/>
      <c r="J804" s="109" t="n"/>
      <c r="K804" s="109" t="n"/>
      <c r="L804" s="226">
        <f>IF($E804="","",DATE(YEAR($E804),MONTH($E804),1))</f>
        <v/>
      </c>
      <c r="M804" s="113">
        <f>IF($D804="","",IF($C804="TANIMSIZ MÜŞTERİ","HATA",IF(OR($E804="",$F804&lt;=0,$G804=""),"EKSİK",IF($E804&gt;TODAY(),"İLERİ TARİH",IF(COUNTIF($S$7:$S$1506,$S804)&gt;1,"MÜKERRER?",IF($T804&gt;0,"KAPALI DÖNEM","UYGUN"))))))</f>
        <v/>
      </c>
      <c r="N804" s="121">
        <f>IF($C804="","",IF($C804="TANIMSIZ MÜŞTERİ","—",INDEX(MUSTERILER!$C$7:$C$106,MATCH($C804,MUSTERILER!$B$7:$B$106,0))))</f>
        <v/>
      </c>
      <c r="O804" s="6" t="n"/>
      <c r="P804" s="6" t="n"/>
      <c r="Q804" s="3">
        <f>IF($D804="","",$C804&amp;"|"&amp;COUNTIFS($C$7:$C804,$C804))</f>
        <v/>
      </c>
      <c r="R804" s="3">
        <f>IF($D804="","",UPPER(SUBSTITUTE(SUBSTITUTE(SUBSTITUTE(SUBSTITUTE(SUBSTITUTE(SUBSTITUTE(SUBSTITUTE(SUBSTITUTE(SUBSTITUTE(SUBSTITUTE(SUBSTITUTE(SUBSTITUTE(SUBSTITUTE(SUBSTITUTE(SUBSTITUTE(SUBSTITUTE(SUBSTITUTE(SUBSTITUTE(TRIM($D804),"'",""),"İ","I"),"ı","I"),"i","I"),"Ş","S"),"ş","S"),"Ğ","G"),"ğ","G"),"Ü","U"),"ü","U"),"Ö","O"),"ö","O"),"Ç","C"),"ç","C"),".",""),",","")," ",""),"-","")))</f>
        <v/>
      </c>
      <c r="S804" s="3">
        <f>IF($D804="","",$C804&amp;"|"&amp;TEXT($E804,"0")&amp;"|"&amp;TEXT($F804,"0")&amp;"|"&amp;$I804)</f>
        <v/>
      </c>
      <c r="T804" s="3">
        <f>IF($E804="",0,SUMPRODUCT((AY_SONU!$O$7:$O$42="Evet")*(AY_SONU!$B$7:$B$42=DATE(YEAR($E804),MONTH($E804),1))))</f>
        <v/>
      </c>
    </row>
    <row r="805">
      <c r="A805" s="6" t="n"/>
      <c r="B805" s="113">
        <f>IF($D805="","","T"&amp;TEXT(ROW()-6,"00000"))</f>
        <v/>
      </c>
      <c r="C805" s="113">
        <f>IF($D805="","",IFERROR(INDEX(MUSTERILER!$B$7:$B$106,MATCH($R805,MUSTERILER!$T$7:$T$106,0)),IFERROR(INDEX(MUSTERILER!$B$7:$B$106,MATCH($D805,MUSTERILER!$B$7:$B$106,0)),IFERROR(INDEX(MUSTERILER!$B$7:$B$106,MATCH($R805&amp;"*",MUSTERILER!$T$7:$T$106,0)),"TANIMSIZ MÜŞTERİ"))))</f>
        <v/>
      </c>
      <c r="D805" s="109" t="n"/>
      <c r="E805" s="220" t="n"/>
      <c r="F805" s="221" t="n"/>
      <c r="G805" s="108" t="n"/>
      <c r="H805" s="108" t="n"/>
      <c r="I805" s="109" t="n"/>
      <c r="J805" s="109" t="n"/>
      <c r="K805" s="109" t="n"/>
      <c r="L805" s="226">
        <f>IF($E805="","",DATE(YEAR($E805),MONTH($E805),1))</f>
        <v/>
      </c>
      <c r="M805" s="113">
        <f>IF($D805="","",IF($C805="TANIMSIZ MÜŞTERİ","HATA",IF(OR($E805="",$F805&lt;=0,$G805=""),"EKSİK",IF($E805&gt;TODAY(),"İLERİ TARİH",IF(COUNTIF($S$7:$S$1506,$S805)&gt;1,"MÜKERRER?",IF($T805&gt;0,"KAPALI DÖNEM","UYGUN"))))))</f>
        <v/>
      </c>
      <c r="N805" s="121">
        <f>IF($C805="","",IF($C805="TANIMSIZ MÜŞTERİ","—",INDEX(MUSTERILER!$C$7:$C$106,MATCH($C805,MUSTERILER!$B$7:$B$106,0))))</f>
        <v/>
      </c>
      <c r="O805" s="6" t="n"/>
      <c r="P805" s="6" t="n"/>
      <c r="Q805" s="3">
        <f>IF($D805="","",$C805&amp;"|"&amp;COUNTIFS($C$7:$C805,$C805))</f>
        <v/>
      </c>
      <c r="R805" s="3">
        <f>IF($D805="","",UPPER(SUBSTITUTE(SUBSTITUTE(SUBSTITUTE(SUBSTITUTE(SUBSTITUTE(SUBSTITUTE(SUBSTITUTE(SUBSTITUTE(SUBSTITUTE(SUBSTITUTE(SUBSTITUTE(SUBSTITUTE(SUBSTITUTE(SUBSTITUTE(SUBSTITUTE(SUBSTITUTE(SUBSTITUTE(SUBSTITUTE(TRIM($D805),"'",""),"İ","I"),"ı","I"),"i","I"),"Ş","S"),"ş","S"),"Ğ","G"),"ğ","G"),"Ü","U"),"ü","U"),"Ö","O"),"ö","O"),"Ç","C"),"ç","C"),".",""),",","")," ",""),"-","")))</f>
        <v/>
      </c>
      <c r="S805" s="3">
        <f>IF($D805="","",$C805&amp;"|"&amp;TEXT($E805,"0")&amp;"|"&amp;TEXT($F805,"0")&amp;"|"&amp;$I805)</f>
        <v/>
      </c>
      <c r="T805" s="3">
        <f>IF($E805="",0,SUMPRODUCT((AY_SONU!$O$7:$O$42="Evet")*(AY_SONU!$B$7:$B$42=DATE(YEAR($E805),MONTH($E805),1))))</f>
        <v/>
      </c>
    </row>
    <row r="806">
      <c r="A806" s="6" t="n"/>
      <c r="B806" s="113">
        <f>IF($D806="","","T"&amp;TEXT(ROW()-6,"00000"))</f>
        <v/>
      </c>
      <c r="C806" s="113">
        <f>IF($D806="","",IFERROR(INDEX(MUSTERILER!$B$7:$B$106,MATCH($R806,MUSTERILER!$T$7:$T$106,0)),IFERROR(INDEX(MUSTERILER!$B$7:$B$106,MATCH($D806,MUSTERILER!$B$7:$B$106,0)),IFERROR(INDEX(MUSTERILER!$B$7:$B$106,MATCH($R806&amp;"*",MUSTERILER!$T$7:$T$106,0)),"TANIMSIZ MÜŞTERİ"))))</f>
        <v/>
      </c>
      <c r="D806" s="109" t="n"/>
      <c r="E806" s="220" t="n"/>
      <c r="F806" s="221" t="n"/>
      <c r="G806" s="108" t="n"/>
      <c r="H806" s="108" t="n"/>
      <c r="I806" s="109" t="n"/>
      <c r="J806" s="109" t="n"/>
      <c r="K806" s="109" t="n"/>
      <c r="L806" s="226">
        <f>IF($E806="","",DATE(YEAR($E806),MONTH($E806),1))</f>
        <v/>
      </c>
      <c r="M806" s="113">
        <f>IF($D806="","",IF($C806="TANIMSIZ MÜŞTERİ","HATA",IF(OR($E806="",$F806&lt;=0,$G806=""),"EKSİK",IF($E806&gt;TODAY(),"İLERİ TARİH",IF(COUNTIF($S$7:$S$1506,$S806)&gt;1,"MÜKERRER?",IF($T806&gt;0,"KAPALI DÖNEM","UYGUN"))))))</f>
        <v/>
      </c>
      <c r="N806" s="121">
        <f>IF($C806="","",IF($C806="TANIMSIZ MÜŞTERİ","—",INDEX(MUSTERILER!$C$7:$C$106,MATCH($C806,MUSTERILER!$B$7:$B$106,0))))</f>
        <v/>
      </c>
      <c r="O806" s="6" t="n"/>
      <c r="P806" s="6" t="n"/>
      <c r="Q806" s="3">
        <f>IF($D806="","",$C806&amp;"|"&amp;COUNTIFS($C$7:$C806,$C806))</f>
        <v/>
      </c>
      <c r="R806" s="3">
        <f>IF($D806="","",UPPER(SUBSTITUTE(SUBSTITUTE(SUBSTITUTE(SUBSTITUTE(SUBSTITUTE(SUBSTITUTE(SUBSTITUTE(SUBSTITUTE(SUBSTITUTE(SUBSTITUTE(SUBSTITUTE(SUBSTITUTE(SUBSTITUTE(SUBSTITUTE(SUBSTITUTE(SUBSTITUTE(SUBSTITUTE(SUBSTITUTE(TRIM($D806),"'",""),"İ","I"),"ı","I"),"i","I"),"Ş","S"),"ş","S"),"Ğ","G"),"ğ","G"),"Ü","U"),"ü","U"),"Ö","O"),"ö","O"),"Ç","C"),"ç","C"),".",""),",","")," ",""),"-","")))</f>
        <v/>
      </c>
      <c r="S806" s="3">
        <f>IF($D806="","",$C806&amp;"|"&amp;TEXT($E806,"0")&amp;"|"&amp;TEXT($F806,"0")&amp;"|"&amp;$I806)</f>
        <v/>
      </c>
      <c r="T806" s="3">
        <f>IF($E806="",0,SUMPRODUCT((AY_SONU!$O$7:$O$42="Evet")*(AY_SONU!$B$7:$B$42=DATE(YEAR($E806),MONTH($E806),1))))</f>
        <v/>
      </c>
    </row>
    <row r="807">
      <c r="A807" s="6" t="n"/>
      <c r="B807" s="113">
        <f>IF($D807="","","T"&amp;TEXT(ROW()-6,"00000"))</f>
        <v/>
      </c>
      <c r="C807" s="113">
        <f>IF($D807="","",IFERROR(INDEX(MUSTERILER!$B$7:$B$106,MATCH($R807,MUSTERILER!$T$7:$T$106,0)),IFERROR(INDEX(MUSTERILER!$B$7:$B$106,MATCH($D807,MUSTERILER!$B$7:$B$106,0)),IFERROR(INDEX(MUSTERILER!$B$7:$B$106,MATCH($R807&amp;"*",MUSTERILER!$T$7:$T$106,0)),"TANIMSIZ MÜŞTERİ"))))</f>
        <v/>
      </c>
      <c r="D807" s="109" t="n"/>
      <c r="E807" s="220" t="n"/>
      <c r="F807" s="221" t="n"/>
      <c r="G807" s="108" t="n"/>
      <c r="H807" s="108" t="n"/>
      <c r="I807" s="109" t="n"/>
      <c r="J807" s="109" t="n"/>
      <c r="K807" s="109" t="n"/>
      <c r="L807" s="226">
        <f>IF($E807="","",DATE(YEAR($E807),MONTH($E807),1))</f>
        <v/>
      </c>
      <c r="M807" s="113">
        <f>IF($D807="","",IF($C807="TANIMSIZ MÜŞTERİ","HATA",IF(OR($E807="",$F807&lt;=0,$G807=""),"EKSİK",IF($E807&gt;TODAY(),"İLERİ TARİH",IF(COUNTIF($S$7:$S$1506,$S807)&gt;1,"MÜKERRER?",IF($T807&gt;0,"KAPALI DÖNEM","UYGUN"))))))</f>
        <v/>
      </c>
      <c r="N807" s="121">
        <f>IF($C807="","",IF($C807="TANIMSIZ MÜŞTERİ","—",INDEX(MUSTERILER!$C$7:$C$106,MATCH($C807,MUSTERILER!$B$7:$B$106,0))))</f>
        <v/>
      </c>
      <c r="O807" s="6" t="n"/>
      <c r="P807" s="6" t="n"/>
      <c r="Q807" s="3">
        <f>IF($D807="","",$C807&amp;"|"&amp;COUNTIFS($C$7:$C807,$C807))</f>
        <v/>
      </c>
      <c r="R807" s="3">
        <f>IF($D807="","",UPPER(SUBSTITUTE(SUBSTITUTE(SUBSTITUTE(SUBSTITUTE(SUBSTITUTE(SUBSTITUTE(SUBSTITUTE(SUBSTITUTE(SUBSTITUTE(SUBSTITUTE(SUBSTITUTE(SUBSTITUTE(SUBSTITUTE(SUBSTITUTE(SUBSTITUTE(SUBSTITUTE(SUBSTITUTE(SUBSTITUTE(TRIM($D807),"'",""),"İ","I"),"ı","I"),"i","I"),"Ş","S"),"ş","S"),"Ğ","G"),"ğ","G"),"Ü","U"),"ü","U"),"Ö","O"),"ö","O"),"Ç","C"),"ç","C"),".",""),",","")," ",""),"-","")))</f>
        <v/>
      </c>
      <c r="S807" s="3">
        <f>IF($D807="","",$C807&amp;"|"&amp;TEXT($E807,"0")&amp;"|"&amp;TEXT($F807,"0")&amp;"|"&amp;$I807)</f>
        <v/>
      </c>
      <c r="T807" s="3">
        <f>IF($E807="",0,SUMPRODUCT((AY_SONU!$O$7:$O$42="Evet")*(AY_SONU!$B$7:$B$42=DATE(YEAR($E807),MONTH($E807),1))))</f>
        <v/>
      </c>
    </row>
    <row r="808">
      <c r="A808" s="6" t="n"/>
      <c r="B808" s="113">
        <f>IF($D808="","","T"&amp;TEXT(ROW()-6,"00000"))</f>
        <v/>
      </c>
      <c r="C808" s="113">
        <f>IF($D808="","",IFERROR(INDEX(MUSTERILER!$B$7:$B$106,MATCH($R808,MUSTERILER!$T$7:$T$106,0)),IFERROR(INDEX(MUSTERILER!$B$7:$B$106,MATCH($D808,MUSTERILER!$B$7:$B$106,0)),IFERROR(INDEX(MUSTERILER!$B$7:$B$106,MATCH($R808&amp;"*",MUSTERILER!$T$7:$T$106,0)),"TANIMSIZ MÜŞTERİ"))))</f>
        <v/>
      </c>
      <c r="D808" s="109" t="n"/>
      <c r="E808" s="220" t="n"/>
      <c r="F808" s="221" t="n"/>
      <c r="G808" s="108" t="n"/>
      <c r="H808" s="108" t="n"/>
      <c r="I808" s="109" t="n"/>
      <c r="J808" s="109" t="n"/>
      <c r="K808" s="109" t="n"/>
      <c r="L808" s="226">
        <f>IF($E808="","",DATE(YEAR($E808),MONTH($E808),1))</f>
        <v/>
      </c>
      <c r="M808" s="113">
        <f>IF($D808="","",IF($C808="TANIMSIZ MÜŞTERİ","HATA",IF(OR($E808="",$F808&lt;=0,$G808=""),"EKSİK",IF($E808&gt;TODAY(),"İLERİ TARİH",IF(COUNTIF($S$7:$S$1506,$S808)&gt;1,"MÜKERRER?",IF($T808&gt;0,"KAPALI DÖNEM","UYGUN"))))))</f>
        <v/>
      </c>
      <c r="N808" s="121">
        <f>IF($C808="","",IF($C808="TANIMSIZ MÜŞTERİ","—",INDEX(MUSTERILER!$C$7:$C$106,MATCH($C808,MUSTERILER!$B$7:$B$106,0))))</f>
        <v/>
      </c>
      <c r="O808" s="6" t="n"/>
      <c r="P808" s="6" t="n"/>
      <c r="Q808" s="3">
        <f>IF($D808="","",$C808&amp;"|"&amp;COUNTIFS($C$7:$C808,$C808))</f>
        <v/>
      </c>
      <c r="R808" s="3">
        <f>IF($D808="","",UPPER(SUBSTITUTE(SUBSTITUTE(SUBSTITUTE(SUBSTITUTE(SUBSTITUTE(SUBSTITUTE(SUBSTITUTE(SUBSTITUTE(SUBSTITUTE(SUBSTITUTE(SUBSTITUTE(SUBSTITUTE(SUBSTITUTE(SUBSTITUTE(SUBSTITUTE(SUBSTITUTE(SUBSTITUTE(SUBSTITUTE(TRIM($D808),"'",""),"İ","I"),"ı","I"),"i","I"),"Ş","S"),"ş","S"),"Ğ","G"),"ğ","G"),"Ü","U"),"ü","U"),"Ö","O"),"ö","O"),"Ç","C"),"ç","C"),".",""),",","")," ",""),"-","")))</f>
        <v/>
      </c>
      <c r="S808" s="3">
        <f>IF($D808="","",$C808&amp;"|"&amp;TEXT($E808,"0")&amp;"|"&amp;TEXT($F808,"0")&amp;"|"&amp;$I808)</f>
        <v/>
      </c>
      <c r="T808" s="3">
        <f>IF($E808="",0,SUMPRODUCT((AY_SONU!$O$7:$O$42="Evet")*(AY_SONU!$B$7:$B$42=DATE(YEAR($E808),MONTH($E808),1))))</f>
        <v/>
      </c>
    </row>
    <row r="809">
      <c r="A809" s="6" t="n"/>
      <c r="B809" s="113">
        <f>IF($D809="","","T"&amp;TEXT(ROW()-6,"00000"))</f>
        <v/>
      </c>
      <c r="C809" s="113">
        <f>IF($D809="","",IFERROR(INDEX(MUSTERILER!$B$7:$B$106,MATCH($R809,MUSTERILER!$T$7:$T$106,0)),IFERROR(INDEX(MUSTERILER!$B$7:$B$106,MATCH($D809,MUSTERILER!$B$7:$B$106,0)),IFERROR(INDEX(MUSTERILER!$B$7:$B$106,MATCH($R809&amp;"*",MUSTERILER!$T$7:$T$106,0)),"TANIMSIZ MÜŞTERİ"))))</f>
        <v/>
      </c>
      <c r="D809" s="109" t="n"/>
      <c r="E809" s="220" t="n"/>
      <c r="F809" s="221" t="n"/>
      <c r="G809" s="108" t="n"/>
      <c r="H809" s="108" t="n"/>
      <c r="I809" s="109" t="n"/>
      <c r="J809" s="109" t="n"/>
      <c r="K809" s="109" t="n"/>
      <c r="L809" s="226">
        <f>IF($E809="","",DATE(YEAR($E809),MONTH($E809),1))</f>
        <v/>
      </c>
      <c r="M809" s="113">
        <f>IF($D809="","",IF($C809="TANIMSIZ MÜŞTERİ","HATA",IF(OR($E809="",$F809&lt;=0,$G809=""),"EKSİK",IF($E809&gt;TODAY(),"İLERİ TARİH",IF(COUNTIF($S$7:$S$1506,$S809)&gt;1,"MÜKERRER?",IF($T809&gt;0,"KAPALI DÖNEM","UYGUN"))))))</f>
        <v/>
      </c>
      <c r="N809" s="121">
        <f>IF($C809="","",IF($C809="TANIMSIZ MÜŞTERİ","—",INDEX(MUSTERILER!$C$7:$C$106,MATCH($C809,MUSTERILER!$B$7:$B$106,0))))</f>
        <v/>
      </c>
      <c r="O809" s="6" t="n"/>
      <c r="P809" s="6" t="n"/>
      <c r="Q809" s="3">
        <f>IF($D809="","",$C809&amp;"|"&amp;COUNTIFS($C$7:$C809,$C809))</f>
        <v/>
      </c>
      <c r="R809" s="3">
        <f>IF($D809="","",UPPER(SUBSTITUTE(SUBSTITUTE(SUBSTITUTE(SUBSTITUTE(SUBSTITUTE(SUBSTITUTE(SUBSTITUTE(SUBSTITUTE(SUBSTITUTE(SUBSTITUTE(SUBSTITUTE(SUBSTITUTE(SUBSTITUTE(SUBSTITUTE(SUBSTITUTE(SUBSTITUTE(SUBSTITUTE(SUBSTITUTE(TRIM($D809),"'",""),"İ","I"),"ı","I"),"i","I"),"Ş","S"),"ş","S"),"Ğ","G"),"ğ","G"),"Ü","U"),"ü","U"),"Ö","O"),"ö","O"),"Ç","C"),"ç","C"),".",""),",","")," ",""),"-","")))</f>
        <v/>
      </c>
      <c r="S809" s="3">
        <f>IF($D809="","",$C809&amp;"|"&amp;TEXT($E809,"0")&amp;"|"&amp;TEXT($F809,"0")&amp;"|"&amp;$I809)</f>
        <v/>
      </c>
      <c r="T809" s="3">
        <f>IF($E809="",0,SUMPRODUCT((AY_SONU!$O$7:$O$42="Evet")*(AY_SONU!$B$7:$B$42=DATE(YEAR($E809),MONTH($E809),1))))</f>
        <v/>
      </c>
    </row>
    <row r="810">
      <c r="A810" s="6" t="n"/>
      <c r="B810" s="113">
        <f>IF($D810="","","T"&amp;TEXT(ROW()-6,"00000"))</f>
        <v/>
      </c>
      <c r="C810" s="113">
        <f>IF($D810="","",IFERROR(INDEX(MUSTERILER!$B$7:$B$106,MATCH($R810,MUSTERILER!$T$7:$T$106,0)),IFERROR(INDEX(MUSTERILER!$B$7:$B$106,MATCH($D810,MUSTERILER!$B$7:$B$106,0)),IFERROR(INDEX(MUSTERILER!$B$7:$B$106,MATCH($R810&amp;"*",MUSTERILER!$T$7:$T$106,0)),"TANIMSIZ MÜŞTERİ"))))</f>
        <v/>
      </c>
      <c r="D810" s="109" t="n"/>
      <c r="E810" s="220" t="n"/>
      <c r="F810" s="221" t="n"/>
      <c r="G810" s="108" t="n"/>
      <c r="H810" s="108" t="n"/>
      <c r="I810" s="109" t="n"/>
      <c r="J810" s="109" t="n"/>
      <c r="K810" s="109" t="n"/>
      <c r="L810" s="226">
        <f>IF($E810="","",DATE(YEAR($E810),MONTH($E810),1))</f>
        <v/>
      </c>
      <c r="M810" s="113">
        <f>IF($D810="","",IF($C810="TANIMSIZ MÜŞTERİ","HATA",IF(OR($E810="",$F810&lt;=0,$G810=""),"EKSİK",IF($E810&gt;TODAY(),"İLERİ TARİH",IF(COUNTIF($S$7:$S$1506,$S810)&gt;1,"MÜKERRER?",IF($T810&gt;0,"KAPALI DÖNEM","UYGUN"))))))</f>
        <v/>
      </c>
      <c r="N810" s="121">
        <f>IF($C810="","",IF($C810="TANIMSIZ MÜŞTERİ","—",INDEX(MUSTERILER!$C$7:$C$106,MATCH($C810,MUSTERILER!$B$7:$B$106,0))))</f>
        <v/>
      </c>
      <c r="O810" s="6" t="n"/>
      <c r="P810" s="6" t="n"/>
      <c r="Q810" s="3">
        <f>IF($D810="","",$C810&amp;"|"&amp;COUNTIFS($C$7:$C810,$C810))</f>
        <v/>
      </c>
      <c r="R810" s="3">
        <f>IF($D810="","",UPPER(SUBSTITUTE(SUBSTITUTE(SUBSTITUTE(SUBSTITUTE(SUBSTITUTE(SUBSTITUTE(SUBSTITUTE(SUBSTITUTE(SUBSTITUTE(SUBSTITUTE(SUBSTITUTE(SUBSTITUTE(SUBSTITUTE(SUBSTITUTE(SUBSTITUTE(SUBSTITUTE(SUBSTITUTE(SUBSTITUTE(TRIM($D810),"'",""),"İ","I"),"ı","I"),"i","I"),"Ş","S"),"ş","S"),"Ğ","G"),"ğ","G"),"Ü","U"),"ü","U"),"Ö","O"),"ö","O"),"Ç","C"),"ç","C"),".",""),",","")," ",""),"-","")))</f>
        <v/>
      </c>
      <c r="S810" s="3">
        <f>IF($D810="","",$C810&amp;"|"&amp;TEXT($E810,"0")&amp;"|"&amp;TEXT($F810,"0")&amp;"|"&amp;$I810)</f>
        <v/>
      </c>
      <c r="T810" s="3">
        <f>IF($E810="",0,SUMPRODUCT((AY_SONU!$O$7:$O$42="Evet")*(AY_SONU!$B$7:$B$42=DATE(YEAR($E810),MONTH($E810),1))))</f>
        <v/>
      </c>
    </row>
    <row r="811">
      <c r="A811" s="6" t="n"/>
      <c r="B811" s="113">
        <f>IF($D811="","","T"&amp;TEXT(ROW()-6,"00000"))</f>
        <v/>
      </c>
      <c r="C811" s="113">
        <f>IF($D811="","",IFERROR(INDEX(MUSTERILER!$B$7:$B$106,MATCH($R811,MUSTERILER!$T$7:$T$106,0)),IFERROR(INDEX(MUSTERILER!$B$7:$B$106,MATCH($D811,MUSTERILER!$B$7:$B$106,0)),IFERROR(INDEX(MUSTERILER!$B$7:$B$106,MATCH($R811&amp;"*",MUSTERILER!$T$7:$T$106,0)),"TANIMSIZ MÜŞTERİ"))))</f>
        <v/>
      </c>
      <c r="D811" s="109" t="n"/>
      <c r="E811" s="220" t="n"/>
      <c r="F811" s="221" t="n"/>
      <c r="G811" s="108" t="n"/>
      <c r="H811" s="108" t="n"/>
      <c r="I811" s="109" t="n"/>
      <c r="J811" s="109" t="n"/>
      <c r="K811" s="109" t="n"/>
      <c r="L811" s="226">
        <f>IF($E811="","",DATE(YEAR($E811),MONTH($E811),1))</f>
        <v/>
      </c>
      <c r="M811" s="113">
        <f>IF($D811="","",IF($C811="TANIMSIZ MÜŞTERİ","HATA",IF(OR($E811="",$F811&lt;=0,$G811=""),"EKSİK",IF($E811&gt;TODAY(),"İLERİ TARİH",IF(COUNTIF($S$7:$S$1506,$S811)&gt;1,"MÜKERRER?",IF($T811&gt;0,"KAPALI DÖNEM","UYGUN"))))))</f>
        <v/>
      </c>
      <c r="N811" s="121">
        <f>IF($C811="","",IF($C811="TANIMSIZ MÜŞTERİ","—",INDEX(MUSTERILER!$C$7:$C$106,MATCH($C811,MUSTERILER!$B$7:$B$106,0))))</f>
        <v/>
      </c>
      <c r="O811" s="6" t="n"/>
      <c r="P811" s="6" t="n"/>
      <c r="Q811" s="3">
        <f>IF($D811="","",$C811&amp;"|"&amp;COUNTIFS($C$7:$C811,$C811))</f>
        <v/>
      </c>
      <c r="R811" s="3">
        <f>IF($D811="","",UPPER(SUBSTITUTE(SUBSTITUTE(SUBSTITUTE(SUBSTITUTE(SUBSTITUTE(SUBSTITUTE(SUBSTITUTE(SUBSTITUTE(SUBSTITUTE(SUBSTITUTE(SUBSTITUTE(SUBSTITUTE(SUBSTITUTE(SUBSTITUTE(SUBSTITUTE(SUBSTITUTE(SUBSTITUTE(SUBSTITUTE(TRIM($D811),"'",""),"İ","I"),"ı","I"),"i","I"),"Ş","S"),"ş","S"),"Ğ","G"),"ğ","G"),"Ü","U"),"ü","U"),"Ö","O"),"ö","O"),"Ç","C"),"ç","C"),".",""),",","")," ",""),"-","")))</f>
        <v/>
      </c>
      <c r="S811" s="3">
        <f>IF($D811="","",$C811&amp;"|"&amp;TEXT($E811,"0")&amp;"|"&amp;TEXT($F811,"0")&amp;"|"&amp;$I811)</f>
        <v/>
      </c>
      <c r="T811" s="3">
        <f>IF($E811="",0,SUMPRODUCT((AY_SONU!$O$7:$O$42="Evet")*(AY_SONU!$B$7:$B$42=DATE(YEAR($E811),MONTH($E811),1))))</f>
        <v/>
      </c>
    </row>
    <row r="812">
      <c r="A812" s="6" t="n"/>
      <c r="B812" s="113">
        <f>IF($D812="","","T"&amp;TEXT(ROW()-6,"00000"))</f>
        <v/>
      </c>
      <c r="C812" s="113">
        <f>IF($D812="","",IFERROR(INDEX(MUSTERILER!$B$7:$B$106,MATCH($R812,MUSTERILER!$T$7:$T$106,0)),IFERROR(INDEX(MUSTERILER!$B$7:$B$106,MATCH($D812,MUSTERILER!$B$7:$B$106,0)),IFERROR(INDEX(MUSTERILER!$B$7:$B$106,MATCH($R812&amp;"*",MUSTERILER!$T$7:$T$106,0)),"TANIMSIZ MÜŞTERİ"))))</f>
        <v/>
      </c>
      <c r="D812" s="109" t="n"/>
      <c r="E812" s="220" t="n"/>
      <c r="F812" s="221" t="n"/>
      <c r="G812" s="108" t="n"/>
      <c r="H812" s="108" t="n"/>
      <c r="I812" s="109" t="n"/>
      <c r="J812" s="109" t="n"/>
      <c r="K812" s="109" t="n"/>
      <c r="L812" s="226">
        <f>IF($E812="","",DATE(YEAR($E812),MONTH($E812),1))</f>
        <v/>
      </c>
      <c r="M812" s="113">
        <f>IF($D812="","",IF($C812="TANIMSIZ MÜŞTERİ","HATA",IF(OR($E812="",$F812&lt;=0,$G812=""),"EKSİK",IF($E812&gt;TODAY(),"İLERİ TARİH",IF(COUNTIF($S$7:$S$1506,$S812)&gt;1,"MÜKERRER?",IF($T812&gt;0,"KAPALI DÖNEM","UYGUN"))))))</f>
        <v/>
      </c>
      <c r="N812" s="121">
        <f>IF($C812="","",IF($C812="TANIMSIZ MÜŞTERİ","—",INDEX(MUSTERILER!$C$7:$C$106,MATCH($C812,MUSTERILER!$B$7:$B$106,0))))</f>
        <v/>
      </c>
      <c r="O812" s="6" t="n"/>
      <c r="P812" s="6" t="n"/>
      <c r="Q812" s="3">
        <f>IF($D812="","",$C812&amp;"|"&amp;COUNTIFS($C$7:$C812,$C812))</f>
        <v/>
      </c>
      <c r="R812" s="3">
        <f>IF($D812="","",UPPER(SUBSTITUTE(SUBSTITUTE(SUBSTITUTE(SUBSTITUTE(SUBSTITUTE(SUBSTITUTE(SUBSTITUTE(SUBSTITUTE(SUBSTITUTE(SUBSTITUTE(SUBSTITUTE(SUBSTITUTE(SUBSTITUTE(SUBSTITUTE(SUBSTITUTE(SUBSTITUTE(SUBSTITUTE(SUBSTITUTE(TRIM($D812),"'",""),"İ","I"),"ı","I"),"i","I"),"Ş","S"),"ş","S"),"Ğ","G"),"ğ","G"),"Ü","U"),"ü","U"),"Ö","O"),"ö","O"),"Ç","C"),"ç","C"),".",""),",","")," ",""),"-","")))</f>
        <v/>
      </c>
      <c r="S812" s="3">
        <f>IF($D812="","",$C812&amp;"|"&amp;TEXT($E812,"0")&amp;"|"&amp;TEXT($F812,"0")&amp;"|"&amp;$I812)</f>
        <v/>
      </c>
      <c r="T812" s="3">
        <f>IF($E812="",0,SUMPRODUCT((AY_SONU!$O$7:$O$42="Evet")*(AY_SONU!$B$7:$B$42=DATE(YEAR($E812),MONTH($E812),1))))</f>
        <v/>
      </c>
    </row>
    <row r="813">
      <c r="A813" s="6" t="n"/>
      <c r="B813" s="113">
        <f>IF($D813="","","T"&amp;TEXT(ROW()-6,"00000"))</f>
        <v/>
      </c>
      <c r="C813" s="113">
        <f>IF($D813="","",IFERROR(INDEX(MUSTERILER!$B$7:$B$106,MATCH($R813,MUSTERILER!$T$7:$T$106,0)),IFERROR(INDEX(MUSTERILER!$B$7:$B$106,MATCH($D813,MUSTERILER!$B$7:$B$106,0)),IFERROR(INDEX(MUSTERILER!$B$7:$B$106,MATCH($R813&amp;"*",MUSTERILER!$T$7:$T$106,0)),"TANIMSIZ MÜŞTERİ"))))</f>
        <v/>
      </c>
      <c r="D813" s="109" t="n"/>
      <c r="E813" s="220" t="n"/>
      <c r="F813" s="221" t="n"/>
      <c r="G813" s="108" t="n"/>
      <c r="H813" s="108" t="n"/>
      <c r="I813" s="109" t="n"/>
      <c r="J813" s="109" t="n"/>
      <c r="K813" s="109" t="n"/>
      <c r="L813" s="226">
        <f>IF($E813="","",DATE(YEAR($E813),MONTH($E813),1))</f>
        <v/>
      </c>
      <c r="M813" s="113">
        <f>IF($D813="","",IF($C813="TANIMSIZ MÜŞTERİ","HATA",IF(OR($E813="",$F813&lt;=0,$G813=""),"EKSİK",IF($E813&gt;TODAY(),"İLERİ TARİH",IF(COUNTIF($S$7:$S$1506,$S813)&gt;1,"MÜKERRER?",IF($T813&gt;0,"KAPALI DÖNEM","UYGUN"))))))</f>
        <v/>
      </c>
      <c r="N813" s="121">
        <f>IF($C813="","",IF($C813="TANIMSIZ MÜŞTERİ","—",INDEX(MUSTERILER!$C$7:$C$106,MATCH($C813,MUSTERILER!$B$7:$B$106,0))))</f>
        <v/>
      </c>
      <c r="O813" s="6" t="n"/>
      <c r="P813" s="6" t="n"/>
      <c r="Q813" s="3">
        <f>IF($D813="","",$C813&amp;"|"&amp;COUNTIFS($C$7:$C813,$C813))</f>
        <v/>
      </c>
      <c r="R813" s="3">
        <f>IF($D813="","",UPPER(SUBSTITUTE(SUBSTITUTE(SUBSTITUTE(SUBSTITUTE(SUBSTITUTE(SUBSTITUTE(SUBSTITUTE(SUBSTITUTE(SUBSTITUTE(SUBSTITUTE(SUBSTITUTE(SUBSTITUTE(SUBSTITUTE(SUBSTITUTE(SUBSTITUTE(SUBSTITUTE(SUBSTITUTE(SUBSTITUTE(TRIM($D813),"'",""),"İ","I"),"ı","I"),"i","I"),"Ş","S"),"ş","S"),"Ğ","G"),"ğ","G"),"Ü","U"),"ü","U"),"Ö","O"),"ö","O"),"Ç","C"),"ç","C"),".",""),",","")," ",""),"-","")))</f>
        <v/>
      </c>
      <c r="S813" s="3">
        <f>IF($D813="","",$C813&amp;"|"&amp;TEXT($E813,"0")&amp;"|"&amp;TEXT($F813,"0")&amp;"|"&amp;$I813)</f>
        <v/>
      </c>
      <c r="T813" s="3">
        <f>IF($E813="",0,SUMPRODUCT((AY_SONU!$O$7:$O$42="Evet")*(AY_SONU!$B$7:$B$42=DATE(YEAR($E813),MONTH($E813),1))))</f>
        <v/>
      </c>
    </row>
    <row r="814">
      <c r="A814" s="6" t="n"/>
      <c r="B814" s="113">
        <f>IF($D814="","","T"&amp;TEXT(ROW()-6,"00000"))</f>
        <v/>
      </c>
      <c r="C814" s="113">
        <f>IF($D814="","",IFERROR(INDEX(MUSTERILER!$B$7:$B$106,MATCH($R814,MUSTERILER!$T$7:$T$106,0)),IFERROR(INDEX(MUSTERILER!$B$7:$B$106,MATCH($D814,MUSTERILER!$B$7:$B$106,0)),IFERROR(INDEX(MUSTERILER!$B$7:$B$106,MATCH($R814&amp;"*",MUSTERILER!$T$7:$T$106,0)),"TANIMSIZ MÜŞTERİ"))))</f>
        <v/>
      </c>
      <c r="D814" s="109" t="n"/>
      <c r="E814" s="220" t="n"/>
      <c r="F814" s="221" t="n"/>
      <c r="G814" s="108" t="n"/>
      <c r="H814" s="108" t="n"/>
      <c r="I814" s="109" t="n"/>
      <c r="J814" s="109" t="n"/>
      <c r="K814" s="109" t="n"/>
      <c r="L814" s="226">
        <f>IF($E814="","",DATE(YEAR($E814),MONTH($E814),1))</f>
        <v/>
      </c>
      <c r="M814" s="113">
        <f>IF($D814="","",IF($C814="TANIMSIZ MÜŞTERİ","HATA",IF(OR($E814="",$F814&lt;=0,$G814=""),"EKSİK",IF($E814&gt;TODAY(),"İLERİ TARİH",IF(COUNTIF($S$7:$S$1506,$S814)&gt;1,"MÜKERRER?",IF($T814&gt;0,"KAPALI DÖNEM","UYGUN"))))))</f>
        <v/>
      </c>
      <c r="N814" s="121">
        <f>IF($C814="","",IF($C814="TANIMSIZ MÜŞTERİ","—",INDEX(MUSTERILER!$C$7:$C$106,MATCH($C814,MUSTERILER!$B$7:$B$106,0))))</f>
        <v/>
      </c>
      <c r="O814" s="6" t="n"/>
      <c r="P814" s="6" t="n"/>
      <c r="Q814" s="3">
        <f>IF($D814="","",$C814&amp;"|"&amp;COUNTIFS($C$7:$C814,$C814))</f>
        <v/>
      </c>
      <c r="R814" s="3">
        <f>IF($D814="","",UPPER(SUBSTITUTE(SUBSTITUTE(SUBSTITUTE(SUBSTITUTE(SUBSTITUTE(SUBSTITUTE(SUBSTITUTE(SUBSTITUTE(SUBSTITUTE(SUBSTITUTE(SUBSTITUTE(SUBSTITUTE(SUBSTITUTE(SUBSTITUTE(SUBSTITUTE(SUBSTITUTE(SUBSTITUTE(SUBSTITUTE(TRIM($D814),"'",""),"İ","I"),"ı","I"),"i","I"),"Ş","S"),"ş","S"),"Ğ","G"),"ğ","G"),"Ü","U"),"ü","U"),"Ö","O"),"ö","O"),"Ç","C"),"ç","C"),".",""),",","")," ",""),"-","")))</f>
        <v/>
      </c>
      <c r="S814" s="3">
        <f>IF($D814="","",$C814&amp;"|"&amp;TEXT($E814,"0")&amp;"|"&amp;TEXT($F814,"0")&amp;"|"&amp;$I814)</f>
        <v/>
      </c>
      <c r="T814" s="3">
        <f>IF($E814="",0,SUMPRODUCT((AY_SONU!$O$7:$O$42="Evet")*(AY_SONU!$B$7:$B$42=DATE(YEAR($E814),MONTH($E814),1))))</f>
        <v/>
      </c>
    </row>
    <row r="815">
      <c r="A815" s="6" t="n"/>
      <c r="B815" s="113">
        <f>IF($D815="","","T"&amp;TEXT(ROW()-6,"00000"))</f>
        <v/>
      </c>
      <c r="C815" s="113">
        <f>IF($D815="","",IFERROR(INDEX(MUSTERILER!$B$7:$B$106,MATCH($R815,MUSTERILER!$T$7:$T$106,0)),IFERROR(INDEX(MUSTERILER!$B$7:$B$106,MATCH($D815,MUSTERILER!$B$7:$B$106,0)),IFERROR(INDEX(MUSTERILER!$B$7:$B$106,MATCH($R815&amp;"*",MUSTERILER!$T$7:$T$106,0)),"TANIMSIZ MÜŞTERİ"))))</f>
        <v/>
      </c>
      <c r="D815" s="109" t="n"/>
      <c r="E815" s="220" t="n"/>
      <c r="F815" s="221" t="n"/>
      <c r="G815" s="108" t="n"/>
      <c r="H815" s="108" t="n"/>
      <c r="I815" s="109" t="n"/>
      <c r="J815" s="109" t="n"/>
      <c r="K815" s="109" t="n"/>
      <c r="L815" s="226">
        <f>IF($E815="","",DATE(YEAR($E815),MONTH($E815),1))</f>
        <v/>
      </c>
      <c r="M815" s="113">
        <f>IF($D815="","",IF($C815="TANIMSIZ MÜŞTERİ","HATA",IF(OR($E815="",$F815&lt;=0,$G815=""),"EKSİK",IF($E815&gt;TODAY(),"İLERİ TARİH",IF(COUNTIF($S$7:$S$1506,$S815)&gt;1,"MÜKERRER?",IF($T815&gt;0,"KAPALI DÖNEM","UYGUN"))))))</f>
        <v/>
      </c>
      <c r="N815" s="121">
        <f>IF($C815="","",IF($C815="TANIMSIZ MÜŞTERİ","—",INDEX(MUSTERILER!$C$7:$C$106,MATCH($C815,MUSTERILER!$B$7:$B$106,0))))</f>
        <v/>
      </c>
      <c r="O815" s="6" t="n"/>
      <c r="P815" s="6" t="n"/>
      <c r="Q815" s="3">
        <f>IF($D815="","",$C815&amp;"|"&amp;COUNTIFS($C$7:$C815,$C815))</f>
        <v/>
      </c>
      <c r="R815" s="3">
        <f>IF($D815="","",UPPER(SUBSTITUTE(SUBSTITUTE(SUBSTITUTE(SUBSTITUTE(SUBSTITUTE(SUBSTITUTE(SUBSTITUTE(SUBSTITUTE(SUBSTITUTE(SUBSTITUTE(SUBSTITUTE(SUBSTITUTE(SUBSTITUTE(SUBSTITUTE(SUBSTITUTE(SUBSTITUTE(SUBSTITUTE(SUBSTITUTE(TRIM($D815),"'",""),"İ","I"),"ı","I"),"i","I"),"Ş","S"),"ş","S"),"Ğ","G"),"ğ","G"),"Ü","U"),"ü","U"),"Ö","O"),"ö","O"),"Ç","C"),"ç","C"),".",""),",","")," ",""),"-","")))</f>
        <v/>
      </c>
      <c r="S815" s="3">
        <f>IF($D815="","",$C815&amp;"|"&amp;TEXT($E815,"0")&amp;"|"&amp;TEXT($F815,"0")&amp;"|"&amp;$I815)</f>
        <v/>
      </c>
      <c r="T815" s="3">
        <f>IF($E815="",0,SUMPRODUCT((AY_SONU!$O$7:$O$42="Evet")*(AY_SONU!$B$7:$B$42=DATE(YEAR($E815),MONTH($E815),1))))</f>
        <v/>
      </c>
    </row>
    <row r="816">
      <c r="A816" s="6" t="n"/>
      <c r="B816" s="113">
        <f>IF($D816="","","T"&amp;TEXT(ROW()-6,"00000"))</f>
        <v/>
      </c>
      <c r="C816" s="113">
        <f>IF($D816="","",IFERROR(INDEX(MUSTERILER!$B$7:$B$106,MATCH($R816,MUSTERILER!$T$7:$T$106,0)),IFERROR(INDEX(MUSTERILER!$B$7:$B$106,MATCH($D816,MUSTERILER!$B$7:$B$106,0)),IFERROR(INDEX(MUSTERILER!$B$7:$B$106,MATCH($R816&amp;"*",MUSTERILER!$T$7:$T$106,0)),"TANIMSIZ MÜŞTERİ"))))</f>
        <v/>
      </c>
      <c r="D816" s="109" t="n"/>
      <c r="E816" s="220" t="n"/>
      <c r="F816" s="221" t="n"/>
      <c r="G816" s="108" t="n"/>
      <c r="H816" s="108" t="n"/>
      <c r="I816" s="109" t="n"/>
      <c r="J816" s="109" t="n"/>
      <c r="K816" s="109" t="n"/>
      <c r="L816" s="226">
        <f>IF($E816="","",DATE(YEAR($E816),MONTH($E816),1))</f>
        <v/>
      </c>
      <c r="M816" s="113">
        <f>IF($D816="","",IF($C816="TANIMSIZ MÜŞTERİ","HATA",IF(OR($E816="",$F816&lt;=0,$G816=""),"EKSİK",IF($E816&gt;TODAY(),"İLERİ TARİH",IF(COUNTIF($S$7:$S$1506,$S816)&gt;1,"MÜKERRER?",IF($T816&gt;0,"KAPALI DÖNEM","UYGUN"))))))</f>
        <v/>
      </c>
      <c r="N816" s="121">
        <f>IF($C816="","",IF($C816="TANIMSIZ MÜŞTERİ","—",INDEX(MUSTERILER!$C$7:$C$106,MATCH($C816,MUSTERILER!$B$7:$B$106,0))))</f>
        <v/>
      </c>
      <c r="O816" s="6" t="n"/>
      <c r="P816" s="6" t="n"/>
      <c r="Q816" s="3">
        <f>IF($D816="","",$C816&amp;"|"&amp;COUNTIFS($C$7:$C816,$C816))</f>
        <v/>
      </c>
      <c r="R816" s="3">
        <f>IF($D816="","",UPPER(SUBSTITUTE(SUBSTITUTE(SUBSTITUTE(SUBSTITUTE(SUBSTITUTE(SUBSTITUTE(SUBSTITUTE(SUBSTITUTE(SUBSTITUTE(SUBSTITUTE(SUBSTITUTE(SUBSTITUTE(SUBSTITUTE(SUBSTITUTE(SUBSTITUTE(SUBSTITUTE(SUBSTITUTE(SUBSTITUTE(TRIM($D816),"'",""),"İ","I"),"ı","I"),"i","I"),"Ş","S"),"ş","S"),"Ğ","G"),"ğ","G"),"Ü","U"),"ü","U"),"Ö","O"),"ö","O"),"Ç","C"),"ç","C"),".",""),",","")," ",""),"-","")))</f>
        <v/>
      </c>
      <c r="S816" s="3">
        <f>IF($D816="","",$C816&amp;"|"&amp;TEXT($E816,"0")&amp;"|"&amp;TEXT($F816,"0")&amp;"|"&amp;$I816)</f>
        <v/>
      </c>
      <c r="T816" s="3">
        <f>IF($E816="",0,SUMPRODUCT((AY_SONU!$O$7:$O$42="Evet")*(AY_SONU!$B$7:$B$42=DATE(YEAR($E816),MONTH($E816),1))))</f>
        <v/>
      </c>
    </row>
    <row r="817">
      <c r="A817" s="6" t="n"/>
      <c r="B817" s="113">
        <f>IF($D817="","","T"&amp;TEXT(ROW()-6,"00000"))</f>
        <v/>
      </c>
      <c r="C817" s="113">
        <f>IF($D817="","",IFERROR(INDEX(MUSTERILER!$B$7:$B$106,MATCH($R817,MUSTERILER!$T$7:$T$106,0)),IFERROR(INDEX(MUSTERILER!$B$7:$B$106,MATCH($D817,MUSTERILER!$B$7:$B$106,0)),IFERROR(INDEX(MUSTERILER!$B$7:$B$106,MATCH($R817&amp;"*",MUSTERILER!$T$7:$T$106,0)),"TANIMSIZ MÜŞTERİ"))))</f>
        <v/>
      </c>
      <c r="D817" s="109" t="n"/>
      <c r="E817" s="220" t="n"/>
      <c r="F817" s="221" t="n"/>
      <c r="G817" s="108" t="n"/>
      <c r="H817" s="108" t="n"/>
      <c r="I817" s="109" t="n"/>
      <c r="J817" s="109" t="n"/>
      <c r="K817" s="109" t="n"/>
      <c r="L817" s="226">
        <f>IF($E817="","",DATE(YEAR($E817),MONTH($E817),1))</f>
        <v/>
      </c>
      <c r="M817" s="113">
        <f>IF($D817="","",IF($C817="TANIMSIZ MÜŞTERİ","HATA",IF(OR($E817="",$F817&lt;=0,$G817=""),"EKSİK",IF($E817&gt;TODAY(),"İLERİ TARİH",IF(COUNTIF($S$7:$S$1506,$S817)&gt;1,"MÜKERRER?",IF($T817&gt;0,"KAPALI DÖNEM","UYGUN"))))))</f>
        <v/>
      </c>
      <c r="N817" s="121">
        <f>IF($C817="","",IF($C817="TANIMSIZ MÜŞTERİ","—",INDEX(MUSTERILER!$C$7:$C$106,MATCH($C817,MUSTERILER!$B$7:$B$106,0))))</f>
        <v/>
      </c>
      <c r="O817" s="6" t="n"/>
      <c r="P817" s="6" t="n"/>
      <c r="Q817" s="3">
        <f>IF($D817="","",$C817&amp;"|"&amp;COUNTIFS($C$7:$C817,$C817))</f>
        <v/>
      </c>
      <c r="R817" s="3">
        <f>IF($D817="","",UPPER(SUBSTITUTE(SUBSTITUTE(SUBSTITUTE(SUBSTITUTE(SUBSTITUTE(SUBSTITUTE(SUBSTITUTE(SUBSTITUTE(SUBSTITUTE(SUBSTITUTE(SUBSTITUTE(SUBSTITUTE(SUBSTITUTE(SUBSTITUTE(SUBSTITUTE(SUBSTITUTE(SUBSTITUTE(SUBSTITUTE(TRIM($D817),"'",""),"İ","I"),"ı","I"),"i","I"),"Ş","S"),"ş","S"),"Ğ","G"),"ğ","G"),"Ü","U"),"ü","U"),"Ö","O"),"ö","O"),"Ç","C"),"ç","C"),".",""),",","")," ",""),"-","")))</f>
        <v/>
      </c>
      <c r="S817" s="3">
        <f>IF($D817="","",$C817&amp;"|"&amp;TEXT($E817,"0")&amp;"|"&amp;TEXT($F817,"0")&amp;"|"&amp;$I817)</f>
        <v/>
      </c>
      <c r="T817" s="3">
        <f>IF($E817="",0,SUMPRODUCT((AY_SONU!$O$7:$O$42="Evet")*(AY_SONU!$B$7:$B$42=DATE(YEAR($E817),MONTH($E817),1))))</f>
        <v/>
      </c>
    </row>
    <row r="818">
      <c r="A818" s="6" t="n"/>
      <c r="B818" s="113">
        <f>IF($D818="","","T"&amp;TEXT(ROW()-6,"00000"))</f>
        <v/>
      </c>
      <c r="C818" s="113">
        <f>IF($D818="","",IFERROR(INDEX(MUSTERILER!$B$7:$B$106,MATCH($R818,MUSTERILER!$T$7:$T$106,0)),IFERROR(INDEX(MUSTERILER!$B$7:$B$106,MATCH($D818,MUSTERILER!$B$7:$B$106,0)),IFERROR(INDEX(MUSTERILER!$B$7:$B$106,MATCH($R818&amp;"*",MUSTERILER!$T$7:$T$106,0)),"TANIMSIZ MÜŞTERİ"))))</f>
        <v/>
      </c>
      <c r="D818" s="109" t="n"/>
      <c r="E818" s="220" t="n"/>
      <c r="F818" s="221" t="n"/>
      <c r="G818" s="108" t="n"/>
      <c r="H818" s="108" t="n"/>
      <c r="I818" s="109" t="n"/>
      <c r="J818" s="109" t="n"/>
      <c r="K818" s="109" t="n"/>
      <c r="L818" s="226">
        <f>IF($E818="","",DATE(YEAR($E818),MONTH($E818),1))</f>
        <v/>
      </c>
      <c r="M818" s="113">
        <f>IF($D818="","",IF($C818="TANIMSIZ MÜŞTERİ","HATA",IF(OR($E818="",$F818&lt;=0,$G818=""),"EKSİK",IF($E818&gt;TODAY(),"İLERİ TARİH",IF(COUNTIF($S$7:$S$1506,$S818)&gt;1,"MÜKERRER?",IF($T818&gt;0,"KAPALI DÖNEM","UYGUN"))))))</f>
        <v/>
      </c>
      <c r="N818" s="121">
        <f>IF($C818="","",IF($C818="TANIMSIZ MÜŞTERİ","—",INDEX(MUSTERILER!$C$7:$C$106,MATCH($C818,MUSTERILER!$B$7:$B$106,0))))</f>
        <v/>
      </c>
      <c r="O818" s="6" t="n"/>
      <c r="P818" s="6" t="n"/>
      <c r="Q818" s="3">
        <f>IF($D818="","",$C818&amp;"|"&amp;COUNTIFS($C$7:$C818,$C818))</f>
        <v/>
      </c>
      <c r="R818" s="3">
        <f>IF($D818="","",UPPER(SUBSTITUTE(SUBSTITUTE(SUBSTITUTE(SUBSTITUTE(SUBSTITUTE(SUBSTITUTE(SUBSTITUTE(SUBSTITUTE(SUBSTITUTE(SUBSTITUTE(SUBSTITUTE(SUBSTITUTE(SUBSTITUTE(SUBSTITUTE(SUBSTITUTE(SUBSTITUTE(SUBSTITUTE(SUBSTITUTE(TRIM($D818),"'",""),"İ","I"),"ı","I"),"i","I"),"Ş","S"),"ş","S"),"Ğ","G"),"ğ","G"),"Ü","U"),"ü","U"),"Ö","O"),"ö","O"),"Ç","C"),"ç","C"),".",""),",","")," ",""),"-","")))</f>
        <v/>
      </c>
      <c r="S818" s="3">
        <f>IF($D818="","",$C818&amp;"|"&amp;TEXT($E818,"0")&amp;"|"&amp;TEXT($F818,"0")&amp;"|"&amp;$I818)</f>
        <v/>
      </c>
      <c r="T818" s="3">
        <f>IF($E818="",0,SUMPRODUCT((AY_SONU!$O$7:$O$42="Evet")*(AY_SONU!$B$7:$B$42=DATE(YEAR($E818),MONTH($E818),1))))</f>
        <v/>
      </c>
    </row>
    <row r="819">
      <c r="A819" s="6" t="n"/>
      <c r="B819" s="113">
        <f>IF($D819="","","T"&amp;TEXT(ROW()-6,"00000"))</f>
        <v/>
      </c>
      <c r="C819" s="113">
        <f>IF($D819="","",IFERROR(INDEX(MUSTERILER!$B$7:$B$106,MATCH($R819,MUSTERILER!$T$7:$T$106,0)),IFERROR(INDEX(MUSTERILER!$B$7:$B$106,MATCH($D819,MUSTERILER!$B$7:$B$106,0)),IFERROR(INDEX(MUSTERILER!$B$7:$B$106,MATCH($R819&amp;"*",MUSTERILER!$T$7:$T$106,0)),"TANIMSIZ MÜŞTERİ"))))</f>
        <v/>
      </c>
      <c r="D819" s="109" t="n"/>
      <c r="E819" s="220" t="n"/>
      <c r="F819" s="221" t="n"/>
      <c r="G819" s="108" t="n"/>
      <c r="H819" s="108" t="n"/>
      <c r="I819" s="109" t="n"/>
      <c r="J819" s="109" t="n"/>
      <c r="K819" s="109" t="n"/>
      <c r="L819" s="226">
        <f>IF($E819="","",DATE(YEAR($E819),MONTH($E819),1))</f>
        <v/>
      </c>
      <c r="M819" s="113">
        <f>IF($D819="","",IF($C819="TANIMSIZ MÜŞTERİ","HATA",IF(OR($E819="",$F819&lt;=0,$G819=""),"EKSİK",IF($E819&gt;TODAY(),"İLERİ TARİH",IF(COUNTIF($S$7:$S$1506,$S819)&gt;1,"MÜKERRER?",IF($T819&gt;0,"KAPALI DÖNEM","UYGUN"))))))</f>
        <v/>
      </c>
      <c r="N819" s="121">
        <f>IF($C819="","",IF($C819="TANIMSIZ MÜŞTERİ","—",INDEX(MUSTERILER!$C$7:$C$106,MATCH($C819,MUSTERILER!$B$7:$B$106,0))))</f>
        <v/>
      </c>
      <c r="O819" s="6" t="n"/>
      <c r="P819" s="6" t="n"/>
      <c r="Q819" s="3">
        <f>IF($D819="","",$C819&amp;"|"&amp;COUNTIFS($C$7:$C819,$C819))</f>
        <v/>
      </c>
      <c r="R819" s="3">
        <f>IF($D819="","",UPPER(SUBSTITUTE(SUBSTITUTE(SUBSTITUTE(SUBSTITUTE(SUBSTITUTE(SUBSTITUTE(SUBSTITUTE(SUBSTITUTE(SUBSTITUTE(SUBSTITUTE(SUBSTITUTE(SUBSTITUTE(SUBSTITUTE(SUBSTITUTE(SUBSTITUTE(SUBSTITUTE(SUBSTITUTE(SUBSTITUTE(TRIM($D819),"'",""),"İ","I"),"ı","I"),"i","I"),"Ş","S"),"ş","S"),"Ğ","G"),"ğ","G"),"Ü","U"),"ü","U"),"Ö","O"),"ö","O"),"Ç","C"),"ç","C"),".",""),",","")," ",""),"-","")))</f>
        <v/>
      </c>
      <c r="S819" s="3">
        <f>IF($D819="","",$C819&amp;"|"&amp;TEXT($E819,"0")&amp;"|"&amp;TEXT($F819,"0")&amp;"|"&amp;$I819)</f>
        <v/>
      </c>
      <c r="T819" s="3">
        <f>IF($E819="",0,SUMPRODUCT((AY_SONU!$O$7:$O$42="Evet")*(AY_SONU!$B$7:$B$42=DATE(YEAR($E819),MONTH($E819),1))))</f>
        <v/>
      </c>
    </row>
    <row r="820">
      <c r="A820" s="6" t="n"/>
      <c r="B820" s="113">
        <f>IF($D820="","","T"&amp;TEXT(ROW()-6,"00000"))</f>
        <v/>
      </c>
      <c r="C820" s="113">
        <f>IF($D820="","",IFERROR(INDEX(MUSTERILER!$B$7:$B$106,MATCH($R820,MUSTERILER!$T$7:$T$106,0)),IFERROR(INDEX(MUSTERILER!$B$7:$B$106,MATCH($D820,MUSTERILER!$B$7:$B$106,0)),IFERROR(INDEX(MUSTERILER!$B$7:$B$106,MATCH($R820&amp;"*",MUSTERILER!$T$7:$T$106,0)),"TANIMSIZ MÜŞTERİ"))))</f>
        <v/>
      </c>
      <c r="D820" s="109" t="n"/>
      <c r="E820" s="220" t="n"/>
      <c r="F820" s="221" t="n"/>
      <c r="G820" s="108" t="n"/>
      <c r="H820" s="108" t="n"/>
      <c r="I820" s="109" t="n"/>
      <c r="J820" s="109" t="n"/>
      <c r="K820" s="109" t="n"/>
      <c r="L820" s="226">
        <f>IF($E820="","",DATE(YEAR($E820),MONTH($E820),1))</f>
        <v/>
      </c>
      <c r="M820" s="113">
        <f>IF($D820="","",IF($C820="TANIMSIZ MÜŞTERİ","HATA",IF(OR($E820="",$F820&lt;=0,$G820=""),"EKSİK",IF($E820&gt;TODAY(),"İLERİ TARİH",IF(COUNTIF($S$7:$S$1506,$S820)&gt;1,"MÜKERRER?",IF($T820&gt;0,"KAPALI DÖNEM","UYGUN"))))))</f>
        <v/>
      </c>
      <c r="N820" s="121">
        <f>IF($C820="","",IF($C820="TANIMSIZ MÜŞTERİ","—",INDEX(MUSTERILER!$C$7:$C$106,MATCH($C820,MUSTERILER!$B$7:$B$106,0))))</f>
        <v/>
      </c>
      <c r="O820" s="6" t="n"/>
      <c r="P820" s="6" t="n"/>
      <c r="Q820" s="3">
        <f>IF($D820="","",$C820&amp;"|"&amp;COUNTIFS($C$7:$C820,$C820))</f>
        <v/>
      </c>
      <c r="R820" s="3">
        <f>IF($D820="","",UPPER(SUBSTITUTE(SUBSTITUTE(SUBSTITUTE(SUBSTITUTE(SUBSTITUTE(SUBSTITUTE(SUBSTITUTE(SUBSTITUTE(SUBSTITUTE(SUBSTITUTE(SUBSTITUTE(SUBSTITUTE(SUBSTITUTE(SUBSTITUTE(SUBSTITUTE(SUBSTITUTE(SUBSTITUTE(SUBSTITUTE(TRIM($D820),"'",""),"İ","I"),"ı","I"),"i","I"),"Ş","S"),"ş","S"),"Ğ","G"),"ğ","G"),"Ü","U"),"ü","U"),"Ö","O"),"ö","O"),"Ç","C"),"ç","C"),".",""),",","")," ",""),"-","")))</f>
        <v/>
      </c>
      <c r="S820" s="3">
        <f>IF($D820="","",$C820&amp;"|"&amp;TEXT($E820,"0")&amp;"|"&amp;TEXT($F820,"0")&amp;"|"&amp;$I820)</f>
        <v/>
      </c>
      <c r="T820" s="3">
        <f>IF($E820="",0,SUMPRODUCT((AY_SONU!$O$7:$O$42="Evet")*(AY_SONU!$B$7:$B$42=DATE(YEAR($E820),MONTH($E820),1))))</f>
        <v/>
      </c>
    </row>
    <row r="821">
      <c r="A821" s="6" t="n"/>
      <c r="B821" s="113">
        <f>IF($D821="","","T"&amp;TEXT(ROW()-6,"00000"))</f>
        <v/>
      </c>
      <c r="C821" s="113">
        <f>IF($D821="","",IFERROR(INDEX(MUSTERILER!$B$7:$B$106,MATCH($R821,MUSTERILER!$T$7:$T$106,0)),IFERROR(INDEX(MUSTERILER!$B$7:$B$106,MATCH($D821,MUSTERILER!$B$7:$B$106,0)),IFERROR(INDEX(MUSTERILER!$B$7:$B$106,MATCH($R821&amp;"*",MUSTERILER!$T$7:$T$106,0)),"TANIMSIZ MÜŞTERİ"))))</f>
        <v/>
      </c>
      <c r="D821" s="109" t="n"/>
      <c r="E821" s="220" t="n"/>
      <c r="F821" s="221" t="n"/>
      <c r="G821" s="108" t="n"/>
      <c r="H821" s="108" t="n"/>
      <c r="I821" s="109" t="n"/>
      <c r="J821" s="109" t="n"/>
      <c r="K821" s="109" t="n"/>
      <c r="L821" s="226">
        <f>IF($E821="","",DATE(YEAR($E821),MONTH($E821),1))</f>
        <v/>
      </c>
      <c r="M821" s="113">
        <f>IF($D821="","",IF($C821="TANIMSIZ MÜŞTERİ","HATA",IF(OR($E821="",$F821&lt;=0,$G821=""),"EKSİK",IF($E821&gt;TODAY(),"İLERİ TARİH",IF(COUNTIF($S$7:$S$1506,$S821)&gt;1,"MÜKERRER?",IF($T821&gt;0,"KAPALI DÖNEM","UYGUN"))))))</f>
        <v/>
      </c>
      <c r="N821" s="121">
        <f>IF($C821="","",IF($C821="TANIMSIZ MÜŞTERİ","—",INDEX(MUSTERILER!$C$7:$C$106,MATCH($C821,MUSTERILER!$B$7:$B$106,0))))</f>
        <v/>
      </c>
      <c r="O821" s="6" t="n"/>
      <c r="P821" s="6" t="n"/>
      <c r="Q821" s="3">
        <f>IF($D821="","",$C821&amp;"|"&amp;COUNTIFS($C$7:$C821,$C821))</f>
        <v/>
      </c>
      <c r="R821" s="3">
        <f>IF($D821="","",UPPER(SUBSTITUTE(SUBSTITUTE(SUBSTITUTE(SUBSTITUTE(SUBSTITUTE(SUBSTITUTE(SUBSTITUTE(SUBSTITUTE(SUBSTITUTE(SUBSTITUTE(SUBSTITUTE(SUBSTITUTE(SUBSTITUTE(SUBSTITUTE(SUBSTITUTE(SUBSTITUTE(SUBSTITUTE(SUBSTITUTE(TRIM($D821),"'",""),"İ","I"),"ı","I"),"i","I"),"Ş","S"),"ş","S"),"Ğ","G"),"ğ","G"),"Ü","U"),"ü","U"),"Ö","O"),"ö","O"),"Ç","C"),"ç","C"),".",""),",","")," ",""),"-","")))</f>
        <v/>
      </c>
      <c r="S821" s="3">
        <f>IF($D821="","",$C821&amp;"|"&amp;TEXT($E821,"0")&amp;"|"&amp;TEXT($F821,"0")&amp;"|"&amp;$I821)</f>
        <v/>
      </c>
      <c r="T821" s="3">
        <f>IF($E821="",0,SUMPRODUCT((AY_SONU!$O$7:$O$42="Evet")*(AY_SONU!$B$7:$B$42=DATE(YEAR($E821),MONTH($E821),1))))</f>
        <v/>
      </c>
    </row>
    <row r="822">
      <c r="A822" s="6" t="n"/>
      <c r="B822" s="113">
        <f>IF($D822="","","T"&amp;TEXT(ROW()-6,"00000"))</f>
        <v/>
      </c>
      <c r="C822" s="113">
        <f>IF($D822="","",IFERROR(INDEX(MUSTERILER!$B$7:$B$106,MATCH($R822,MUSTERILER!$T$7:$T$106,0)),IFERROR(INDEX(MUSTERILER!$B$7:$B$106,MATCH($D822,MUSTERILER!$B$7:$B$106,0)),IFERROR(INDEX(MUSTERILER!$B$7:$B$106,MATCH($R822&amp;"*",MUSTERILER!$T$7:$T$106,0)),"TANIMSIZ MÜŞTERİ"))))</f>
        <v/>
      </c>
      <c r="D822" s="109" t="n"/>
      <c r="E822" s="220" t="n"/>
      <c r="F822" s="221" t="n"/>
      <c r="G822" s="108" t="n"/>
      <c r="H822" s="108" t="n"/>
      <c r="I822" s="109" t="n"/>
      <c r="J822" s="109" t="n"/>
      <c r="K822" s="109" t="n"/>
      <c r="L822" s="226">
        <f>IF($E822="","",DATE(YEAR($E822),MONTH($E822),1))</f>
        <v/>
      </c>
      <c r="M822" s="113">
        <f>IF($D822="","",IF($C822="TANIMSIZ MÜŞTERİ","HATA",IF(OR($E822="",$F822&lt;=0,$G822=""),"EKSİK",IF($E822&gt;TODAY(),"İLERİ TARİH",IF(COUNTIF($S$7:$S$1506,$S822)&gt;1,"MÜKERRER?",IF($T822&gt;0,"KAPALI DÖNEM","UYGUN"))))))</f>
        <v/>
      </c>
      <c r="N822" s="121">
        <f>IF($C822="","",IF($C822="TANIMSIZ MÜŞTERİ","—",INDEX(MUSTERILER!$C$7:$C$106,MATCH($C822,MUSTERILER!$B$7:$B$106,0))))</f>
        <v/>
      </c>
      <c r="O822" s="6" t="n"/>
      <c r="P822" s="6" t="n"/>
      <c r="Q822" s="3">
        <f>IF($D822="","",$C822&amp;"|"&amp;COUNTIFS($C$7:$C822,$C822))</f>
        <v/>
      </c>
      <c r="R822" s="3">
        <f>IF($D822="","",UPPER(SUBSTITUTE(SUBSTITUTE(SUBSTITUTE(SUBSTITUTE(SUBSTITUTE(SUBSTITUTE(SUBSTITUTE(SUBSTITUTE(SUBSTITUTE(SUBSTITUTE(SUBSTITUTE(SUBSTITUTE(SUBSTITUTE(SUBSTITUTE(SUBSTITUTE(SUBSTITUTE(SUBSTITUTE(SUBSTITUTE(TRIM($D822),"'",""),"İ","I"),"ı","I"),"i","I"),"Ş","S"),"ş","S"),"Ğ","G"),"ğ","G"),"Ü","U"),"ü","U"),"Ö","O"),"ö","O"),"Ç","C"),"ç","C"),".",""),",","")," ",""),"-","")))</f>
        <v/>
      </c>
      <c r="S822" s="3">
        <f>IF($D822="","",$C822&amp;"|"&amp;TEXT($E822,"0")&amp;"|"&amp;TEXT($F822,"0")&amp;"|"&amp;$I822)</f>
        <v/>
      </c>
      <c r="T822" s="3">
        <f>IF($E822="",0,SUMPRODUCT((AY_SONU!$O$7:$O$42="Evet")*(AY_SONU!$B$7:$B$42=DATE(YEAR($E822),MONTH($E822),1))))</f>
        <v/>
      </c>
    </row>
    <row r="823">
      <c r="A823" s="6" t="n"/>
      <c r="B823" s="113">
        <f>IF($D823="","","T"&amp;TEXT(ROW()-6,"00000"))</f>
        <v/>
      </c>
      <c r="C823" s="113">
        <f>IF($D823="","",IFERROR(INDEX(MUSTERILER!$B$7:$B$106,MATCH($R823,MUSTERILER!$T$7:$T$106,0)),IFERROR(INDEX(MUSTERILER!$B$7:$B$106,MATCH($D823,MUSTERILER!$B$7:$B$106,0)),IFERROR(INDEX(MUSTERILER!$B$7:$B$106,MATCH($R823&amp;"*",MUSTERILER!$T$7:$T$106,0)),"TANIMSIZ MÜŞTERİ"))))</f>
        <v/>
      </c>
      <c r="D823" s="109" t="n"/>
      <c r="E823" s="220" t="n"/>
      <c r="F823" s="221" t="n"/>
      <c r="G823" s="108" t="n"/>
      <c r="H823" s="108" t="n"/>
      <c r="I823" s="109" t="n"/>
      <c r="J823" s="109" t="n"/>
      <c r="K823" s="109" t="n"/>
      <c r="L823" s="226">
        <f>IF($E823="","",DATE(YEAR($E823),MONTH($E823),1))</f>
        <v/>
      </c>
      <c r="M823" s="113">
        <f>IF($D823="","",IF($C823="TANIMSIZ MÜŞTERİ","HATA",IF(OR($E823="",$F823&lt;=0,$G823=""),"EKSİK",IF($E823&gt;TODAY(),"İLERİ TARİH",IF(COUNTIF($S$7:$S$1506,$S823)&gt;1,"MÜKERRER?",IF($T823&gt;0,"KAPALI DÖNEM","UYGUN"))))))</f>
        <v/>
      </c>
      <c r="N823" s="121">
        <f>IF($C823="","",IF($C823="TANIMSIZ MÜŞTERİ","—",INDEX(MUSTERILER!$C$7:$C$106,MATCH($C823,MUSTERILER!$B$7:$B$106,0))))</f>
        <v/>
      </c>
      <c r="O823" s="6" t="n"/>
      <c r="P823" s="6" t="n"/>
      <c r="Q823" s="3">
        <f>IF($D823="","",$C823&amp;"|"&amp;COUNTIFS($C$7:$C823,$C823))</f>
        <v/>
      </c>
      <c r="R823" s="3">
        <f>IF($D823="","",UPPER(SUBSTITUTE(SUBSTITUTE(SUBSTITUTE(SUBSTITUTE(SUBSTITUTE(SUBSTITUTE(SUBSTITUTE(SUBSTITUTE(SUBSTITUTE(SUBSTITUTE(SUBSTITUTE(SUBSTITUTE(SUBSTITUTE(SUBSTITUTE(SUBSTITUTE(SUBSTITUTE(SUBSTITUTE(SUBSTITUTE(TRIM($D823),"'",""),"İ","I"),"ı","I"),"i","I"),"Ş","S"),"ş","S"),"Ğ","G"),"ğ","G"),"Ü","U"),"ü","U"),"Ö","O"),"ö","O"),"Ç","C"),"ç","C"),".",""),",","")," ",""),"-","")))</f>
        <v/>
      </c>
      <c r="S823" s="3">
        <f>IF($D823="","",$C823&amp;"|"&amp;TEXT($E823,"0")&amp;"|"&amp;TEXT($F823,"0")&amp;"|"&amp;$I823)</f>
        <v/>
      </c>
      <c r="T823" s="3">
        <f>IF($E823="",0,SUMPRODUCT((AY_SONU!$O$7:$O$42="Evet")*(AY_SONU!$B$7:$B$42=DATE(YEAR($E823),MONTH($E823),1))))</f>
        <v/>
      </c>
    </row>
    <row r="824">
      <c r="A824" s="6" t="n"/>
      <c r="B824" s="113">
        <f>IF($D824="","","T"&amp;TEXT(ROW()-6,"00000"))</f>
        <v/>
      </c>
      <c r="C824" s="113">
        <f>IF($D824="","",IFERROR(INDEX(MUSTERILER!$B$7:$B$106,MATCH($R824,MUSTERILER!$T$7:$T$106,0)),IFERROR(INDEX(MUSTERILER!$B$7:$B$106,MATCH($D824,MUSTERILER!$B$7:$B$106,0)),IFERROR(INDEX(MUSTERILER!$B$7:$B$106,MATCH($R824&amp;"*",MUSTERILER!$T$7:$T$106,0)),"TANIMSIZ MÜŞTERİ"))))</f>
        <v/>
      </c>
      <c r="D824" s="109" t="n"/>
      <c r="E824" s="220" t="n"/>
      <c r="F824" s="221" t="n"/>
      <c r="G824" s="108" t="n"/>
      <c r="H824" s="108" t="n"/>
      <c r="I824" s="109" t="n"/>
      <c r="J824" s="109" t="n"/>
      <c r="K824" s="109" t="n"/>
      <c r="L824" s="226">
        <f>IF($E824="","",DATE(YEAR($E824),MONTH($E824),1))</f>
        <v/>
      </c>
      <c r="M824" s="113">
        <f>IF($D824="","",IF($C824="TANIMSIZ MÜŞTERİ","HATA",IF(OR($E824="",$F824&lt;=0,$G824=""),"EKSİK",IF($E824&gt;TODAY(),"İLERİ TARİH",IF(COUNTIF($S$7:$S$1506,$S824)&gt;1,"MÜKERRER?",IF($T824&gt;0,"KAPALI DÖNEM","UYGUN"))))))</f>
        <v/>
      </c>
      <c r="N824" s="121">
        <f>IF($C824="","",IF($C824="TANIMSIZ MÜŞTERİ","—",INDEX(MUSTERILER!$C$7:$C$106,MATCH($C824,MUSTERILER!$B$7:$B$106,0))))</f>
        <v/>
      </c>
      <c r="O824" s="6" t="n"/>
      <c r="P824" s="6" t="n"/>
      <c r="Q824" s="3">
        <f>IF($D824="","",$C824&amp;"|"&amp;COUNTIFS($C$7:$C824,$C824))</f>
        <v/>
      </c>
      <c r="R824" s="3">
        <f>IF($D824="","",UPPER(SUBSTITUTE(SUBSTITUTE(SUBSTITUTE(SUBSTITUTE(SUBSTITUTE(SUBSTITUTE(SUBSTITUTE(SUBSTITUTE(SUBSTITUTE(SUBSTITUTE(SUBSTITUTE(SUBSTITUTE(SUBSTITUTE(SUBSTITUTE(SUBSTITUTE(SUBSTITUTE(SUBSTITUTE(SUBSTITUTE(TRIM($D824),"'",""),"İ","I"),"ı","I"),"i","I"),"Ş","S"),"ş","S"),"Ğ","G"),"ğ","G"),"Ü","U"),"ü","U"),"Ö","O"),"ö","O"),"Ç","C"),"ç","C"),".",""),",","")," ",""),"-","")))</f>
        <v/>
      </c>
      <c r="S824" s="3">
        <f>IF($D824="","",$C824&amp;"|"&amp;TEXT($E824,"0")&amp;"|"&amp;TEXT($F824,"0")&amp;"|"&amp;$I824)</f>
        <v/>
      </c>
      <c r="T824" s="3">
        <f>IF($E824="",0,SUMPRODUCT((AY_SONU!$O$7:$O$42="Evet")*(AY_SONU!$B$7:$B$42=DATE(YEAR($E824),MONTH($E824),1))))</f>
        <v/>
      </c>
    </row>
    <row r="825">
      <c r="A825" s="6" t="n"/>
      <c r="B825" s="113">
        <f>IF($D825="","","T"&amp;TEXT(ROW()-6,"00000"))</f>
        <v/>
      </c>
      <c r="C825" s="113">
        <f>IF($D825="","",IFERROR(INDEX(MUSTERILER!$B$7:$B$106,MATCH($R825,MUSTERILER!$T$7:$T$106,0)),IFERROR(INDEX(MUSTERILER!$B$7:$B$106,MATCH($D825,MUSTERILER!$B$7:$B$106,0)),IFERROR(INDEX(MUSTERILER!$B$7:$B$106,MATCH($R825&amp;"*",MUSTERILER!$T$7:$T$106,0)),"TANIMSIZ MÜŞTERİ"))))</f>
        <v/>
      </c>
      <c r="D825" s="109" t="n"/>
      <c r="E825" s="220" t="n"/>
      <c r="F825" s="221" t="n"/>
      <c r="G825" s="108" t="n"/>
      <c r="H825" s="108" t="n"/>
      <c r="I825" s="109" t="n"/>
      <c r="J825" s="109" t="n"/>
      <c r="K825" s="109" t="n"/>
      <c r="L825" s="226">
        <f>IF($E825="","",DATE(YEAR($E825),MONTH($E825),1))</f>
        <v/>
      </c>
      <c r="M825" s="113">
        <f>IF($D825="","",IF($C825="TANIMSIZ MÜŞTERİ","HATA",IF(OR($E825="",$F825&lt;=0,$G825=""),"EKSİK",IF($E825&gt;TODAY(),"İLERİ TARİH",IF(COUNTIF($S$7:$S$1506,$S825)&gt;1,"MÜKERRER?",IF($T825&gt;0,"KAPALI DÖNEM","UYGUN"))))))</f>
        <v/>
      </c>
      <c r="N825" s="121">
        <f>IF($C825="","",IF($C825="TANIMSIZ MÜŞTERİ","—",INDEX(MUSTERILER!$C$7:$C$106,MATCH($C825,MUSTERILER!$B$7:$B$106,0))))</f>
        <v/>
      </c>
      <c r="O825" s="6" t="n"/>
      <c r="P825" s="6" t="n"/>
      <c r="Q825" s="3">
        <f>IF($D825="","",$C825&amp;"|"&amp;COUNTIFS($C$7:$C825,$C825))</f>
        <v/>
      </c>
      <c r="R825" s="3">
        <f>IF($D825="","",UPPER(SUBSTITUTE(SUBSTITUTE(SUBSTITUTE(SUBSTITUTE(SUBSTITUTE(SUBSTITUTE(SUBSTITUTE(SUBSTITUTE(SUBSTITUTE(SUBSTITUTE(SUBSTITUTE(SUBSTITUTE(SUBSTITUTE(SUBSTITUTE(SUBSTITUTE(SUBSTITUTE(SUBSTITUTE(SUBSTITUTE(TRIM($D825),"'",""),"İ","I"),"ı","I"),"i","I"),"Ş","S"),"ş","S"),"Ğ","G"),"ğ","G"),"Ü","U"),"ü","U"),"Ö","O"),"ö","O"),"Ç","C"),"ç","C"),".",""),",","")," ",""),"-","")))</f>
        <v/>
      </c>
      <c r="S825" s="3">
        <f>IF($D825="","",$C825&amp;"|"&amp;TEXT($E825,"0")&amp;"|"&amp;TEXT($F825,"0")&amp;"|"&amp;$I825)</f>
        <v/>
      </c>
      <c r="T825" s="3">
        <f>IF($E825="",0,SUMPRODUCT((AY_SONU!$O$7:$O$42="Evet")*(AY_SONU!$B$7:$B$42=DATE(YEAR($E825),MONTH($E825),1))))</f>
        <v/>
      </c>
    </row>
    <row r="826">
      <c r="A826" s="6" t="n"/>
      <c r="B826" s="113">
        <f>IF($D826="","","T"&amp;TEXT(ROW()-6,"00000"))</f>
        <v/>
      </c>
      <c r="C826" s="113">
        <f>IF($D826="","",IFERROR(INDEX(MUSTERILER!$B$7:$B$106,MATCH($R826,MUSTERILER!$T$7:$T$106,0)),IFERROR(INDEX(MUSTERILER!$B$7:$B$106,MATCH($D826,MUSTERILER!$B$7:$B$106,0)),IFERROR(INDEX(MUSTERILER!$B$7:$B$106,MATCH($R826&amp;"*",MUSTERILER!$T$7:$T$106,0)),"TANIMSIZ MÜŞTERİ"))))</f>
        <v/>
      </c>
      <c r="D826" s="109" t="n"/>
      <c r="E826" s="220" t="n"/>
      <c r="F826" s="221" t="n"/>
      <c r="G826" s="108" t="n"/>
      <c r="H826" s="108" t="n"/>
      <c r="I826" s="109" t="n"/>
      <c r="J826" s="109" t="n"/>
      <c r="K826" s="109" t="n"/>
      <c r="L826" s="226">
        <f>IF($E826="","",DATE(YEAR($E826),MONTH($E826),1))</f>
        <v/>
      </c>
      <c r="M826" s="113">
        <f>IF($D826="","",IF($C826="TANIMSIZ MÜŞTERİ","HATA",IF(OR($E826="",$F826&lt;=0,$G826=""),"EKSİK",IF($E826&gt;TODAY(),"İLERİ TARİH",IF(COUNTIF($S$7:$S$1506,$S826)&gt;1,"MÜKERRER?",IF($T826&gt;0,"KAPALI DÖNEM","UYGUN"))))))</f>
        <v/>
      </c>
      <c r="N826" s="121">
        <f>IF($C826="","",IF($C826="TANIMSIZ MÜŞTERİ","—",INDEX(MUSTERILER!$C$7:$C$106,MATCH($C826,MUSTERILER!$B$7:$B$106,0))))</f>
        <v/>
      </c>
      <c r="O826" s="6" t="n"/>
      <c r="P826" s="6" t="n"/>
      <c r="Q826" s="3">
        <f>IF($D826="","",$C826&amp;"|"&amp;COUNTIFS($C$7:$C826,$C826))</f>
        <v/>
      </c>
      <c r="R826" s="3">
        <f>IF($D826="","",UPPER(SUBSTITUTE(SUBSTITUTE(SUBSTITUTE(SUBSTITUTE(SUBSTITUTE(SUBSTITUTE(SUBSTITUTE(SUBSTITUTE(SUBSTITUTE(SUBSTITUTE(SUBSTITUTE(SUBSTITUTE(SUBSTITUTE(SUBSTITUTE(SUBSTITUTE(SUBSTITUTE(SUBSTITUTE(SUBSTITUTE(TRIM($D826),"'",""),"İ","I"),"ı","I"),"i","I"),"Ş","S"),"ş","S"),"Ğ","G"),"ğ","G"),"Ü","U"),"ü","U"),"Ö","O"),"ö","O"),"Ç","C"),"ç","C"),".",""),",","")," ",""),"-","")))</f>
        <v/>
      </c>
      <c r="S826" s="3">
        <f>IF($D826="","",$C826&amp;"|"&amp;TEXT($E826,"0")&amp;"|"&amp;TEXT($F826,"0")&amp;"|"&amp;$I826)</f>
        <v/>
      </c>
      <c r="T826" s="3">
        <f>IF($E826="",0,SUMPRODUCT((AY_SONU!$O$7:$O$42="Evet")*(AY_SONU!$B$7:$B$42=DATE(YEAR($E826),MONTH($E826),1))))</f>
        <v/>
      </c>
    </row>
    <row r="827">
      <c r="A827" s="6" t="n"/>
      <c r="B827" s="113">
        <f>IF($D827="","","T"&amp;TEXT(ROW()-6,"00000"))</f>
        <v/>
      </c>
      <c r="C827" s="113">
        <f>IF($D827="","",IFERROR(INDEX(MUSTERILER!$B$7:$B$106,MATCH($R827,MUSTERILER!$T$7:$T$106,0)),IFERROR(INDEX(MUSTERILER!$B$7:$B$106,MATCH($D827,MUSTERILER!$B$7:$B$106,0)),IFERROR(INDEX(MUSTERILER!$B$7:$B$106,MATCH($R827&amp;"*",MUSTERILER!$T$7:$T$106,0)),"TANIMSIZ MÜŞTERİ"))))</f>
        <v/>
      </c>
      <c r="D827" s="109" t="n"/>
      <c r="E827" s="220" t="n"/>
      <c r="F827" s="221" t="n"/>
      <c r="G827" s="108" t="n"/>
      <c r="H827" s="108" t="n"/>
      <c r="I827" s="109" t="n"/>
      <c r="J827" s="109" t="n"/>
      <c r="K827" s="109" t="n"/>
      <c r="L827" s="226">
        <f>IF($E827="","",DATE(YEAR($E827),MONTH($E827),1))</f>
        <v/>
      </c>
      <c r="M827" s="113">
        <f>IF($D827="","",IF($C827="TANIMSIZ MÜŞTERİ","HATA",IF(OR($E827="",$F827&lt;=0,$G827=""),"EKSİK",IF($E827&gt;TODAY(),"İLERİ TARİH",IF(COUNTIF($S$7:$S$1506,$S827)&gt;1,"MÜKERRER?",IF($T827&gt;0,"KAPALI DÖNEM","UYGUN"))))))</f>
        <v/>
      </c>
      <c r="N827" s="121">
        <f>IF($C827="","",IF($C827="TANIMSIZ MÜŞTERİ","—",INDEX(MUSTERILER!$C$7:$C$106,MATCH($C827,MUSTERILER!$B$7:$B$106,0))))</f>
        <v/>
      </c>
      <c r="O827" s="6" t="n"/>
      <c r="P827" s="6" t="n"/>
      <c r="Q827" s="3">
        <f>IF($D827="","",$C827&amp;"|"&amp;COUNTIFS($C$7:$C827,$C827))</f>
        <v/>
      </c>
      <c r="R827" s="3">
        <f>IF($D827="","",UPPER(SUBSTITUTE(SUBSTITUTE(SUBSTITUTE(SUBSTITUTE(SUBSTITUTE(SUBSTITUTE(SUBSTITUTE(SUBSTITUTE(SUBSTITUTE(SUBSTITUTE(SUBSTITUTE(SUBSTITUTE(SUBSTITUTE(SUBSTITUTE(SUBSTITUTE(SUBSTITUTE(SUBSTITUTE(SUBSTITUTE(TRIM($D827),"'",""),"İ","I"),"ı","I"),"i","I"),"Ş","S"),"ş","S"),"Ğ","G"),"ğ","G"),"Ü","U"),"ü","U"),"Ö","O"),"ö","O"),"Ç","C"),"ç","C"),".",""),",","")," ",""),"-","")))</f>
        <v/>
      </c>
      <c r="S827" s="3">
        <f>IF($D827="","",$C827&amp;"|"&amp;TEXT($E827,"0")&amp;"|"&amp;TEXT($F827,"0")&amp;"|"&amp;$I827)</f>
        <v/>
      </c>
      <c r="T827" s="3">
        <f>IF($E827="",0,SUMPRODUCT((AY_SONU!$O$7:$O$42="Evet")*(AY_SONU!$B$7:$B$42=DATE(YEAR($E827),MONTH($E827),1))))</f>
        <v/>
      </c>
    </row>
    <row r="828">
      <c r="A828" s="6" t="n"/>
      <c r="B828" s="113">
        <f>IF($D828="","","T"&amp;TEXT(ROW()-6,"00000"))</f>
        <v/>
      </c>
      <c r="C828" s="113">
        <f>IF($D828="","",IFERROR(INDEX(MUSTERILER!$B$7:$B$106,MATCH($R828,MUSTERILER!$T$7:$T$106,0)),IFERROR(INDEX(MUSTERILER!$B$7:$B$106,MATCH($D828,MUSTERILER!$B$7:$B$106,0)),IFERROR(INDEX(MUSTERILER!$B$7:$B$106,MATCH($R828&amp;"*",MUSTERILER!$T$7:$T$106,0)),"TANIMSIZ MÜŞTERİ"))))</f>
        <v/>
      </c>
      <c r="D828" s="109" t="n"/>
      <c r="E828" s="220" t="n"/>
      <c r="F828" s="221" t="n"/>
      <c r="G828" s="108" t="n"/>
      <c r="H828" s="108" t="n"/>
      <c r="I828" s="109" t="n"/>
      <c r="J828" s="109" t="n"/>
      <c r="K828" s="109" t="n"/>
      <c r="L828" s="226">
        <f>IF($E828="","",DATE(YEAR($E828),MONTH($E828),1))</f>
        <v/>
      </c>
      <c r="M828" s="113">
        <f>IF($D828="","",IF($C828="TANIMSIZ MÜŞTERİ","HATA",IF(OR($E828="",$F828&lt;=0,$G828=""),"EKSİK",IF($E828&gt;TODAY(),"İLERİ TARİH",IF(COUNTIF($S$7:$S$1506,$S828)&gt;1,"MÜKERRER?",IF($T828&gt;0,"KAPALI DÖNEM","UYGUN"))))))</f>
        <v/>
      </c>
      <c r="N828" s="121">
        <f>IF($C828="","",IF($C828="TANIMSIZ MÜŞTERİ","—",INDEX(MUSTERILER!$C$7:$C$106,MATCH($C828,MUSTERILER!$B$7:$B$106,0))))</f>
        <v/>
      </c>
      <c r="O828" s="6" t="n"/>
      <c r="P828" s="6" t="n"/>
      <c r="Q828" s="3">
        <f>IF($D828="","",$C828&amp;"|"&amp;COUNTIFS($C$7:$C828,$C828))</f>
        <v/>
      </c>
      <c r="R828" s="3">
        <f>IF($D828="","",UPPER(SUBSTITUTE(SUBSTITUTE(SUBSTITUTE(SUBSTITUTE(SUBSTITUTE(SUBSTITUTE(SUBSTITUTE(SUBSTITUTE(SUBSTITUTE(SUBSTITUTE(SUBSTITUTE(SUBSTITUTE(SUBSTITUTE(SUBSTITUTE(SUBSTITUTE(SUBSTITUTE(SUBSTITUTE(SUBSTITUTE(TRIM($D828),"'",""),"İ","I"),"ı","I"),"i","I"),"Ş","S"),"ş","S"),"Ğ","G"),"ğ","G"),"Ü","U"),"ü","U"),"Ö","O"),"ö","O"),"Ç","C"),"ç","C"),".",""),",","")," ",""),"-","")))</f>
        <v/>
      </c>
      <c r="S828" s="3">
        <f>IF($D828="","",$C828&amp;"|"&amp;TEXT($E828,"0")&amp;"|"&amp;TEXT($F828,"0")&amp;"|"&amp;$I828)</f>
        <v/>
      </c>
      <c r="T828" s="3">
        <f>IF($E828="",0,SUMPRODUCT((AY_SONU!$O$7:$O$42="Evet")*(AY_SONU!$B$7:$B$42=DATE(YEAR($E828),MONTH($E828),1))))</f>
        <v/>
      </c>
    </row>
    <row r="829">
      <c r="A829" s="6" t="n"/>
      <c r="B829" s="113">
        <f>IF($D829="","","T"&amp;TEXT(ROW()-6,"00000"))</f>
        <v/>
      </c>
      <c r="C829" s="113">
        <f>IF($D829="","",IFERROR(INDEX(MUSTERILER!$B$7:$B$106,MATCH($R829,MUSTERILER!$T$7:$T$106,0)),IFERROR(INDEX(MUSTERILER!$B$7:$B$106,MATCH($D829,MUSTERILER!$B$7:$B$106,0)),IFERROR(INDEX(MUSTERILER!$B$7:$B$106,MATCH($R829&amp;"*",MUSTERILER!$T$7:$T$106,0)),"TANIMSIZ MÜŞTERİ"))))</f>
        <v/>
      </c>
      <c r="D829" s="109" t="n"/>
      <c r="E829" s="220" t="n"/>
      <c r="F829" s="221" t="n"/>
      <c r="G829" s="108" t="n"/>
      <c r="H829" s="108" t="n"/>
      <c r="I829" s="109" t="n"/>
      <c r="J829" s="109" t="n"/>
      <c r="K829" s="109" t="n"/>
      <c r="L829" s="226">
        <f>IF($E829="","",DATE(YEAR($E829),MONTH($E829),1))</f>
        <v/>
      </c>
      <c r="M829" s="113">
        <f>IF($D829="","",IF($C829="TANIMSIZ MÜŞTERİ","HATA",IF(OR($E829="",$F829&lt;=0,$G829=""),"EKSİK",IF($E829&gt;TODAY(),"İLERİ TARİH",IF(COUNTIF($S$7:$S$1506,$S829)&gt;1,"MÜKERRER?",IF($T829&gt;0,"KAPALI DÖNEM","UYGUN"))))))</f>
        <v/>
      </c>
      <c r="N829" s="121">
        <f>IF($C829="","",IF($C829="TANIMSIZ MÜŞTERİ","—",INDEX(MUSTERILER!$C$7:$C$106,MATCH($C829,MUSTERILER!$B$7:$B$106,0))))</f>
        <v/>
      </c>
      <c r="O829" s="6" t="n"/>
      <c r="P829" s="6" t="n"/>
      <c r="Q829" s="3">
        <f>IF($D829="","",$C829&amp;"|"&amp;COUNTIFS($C$7:$C829,$C829))</f>
        <v/>
      </c>
      <c r="R829" s="3">
        <f>IF($D829="","",UPPER(SUBSTITUTE(SUBSTITUTE(SUBSTITUTE(SUBSTITUTE(SUBSTITUTE(SUBSTITUTE(SUBSTITUTE(SUBSTITUTE(SUBSTITUTE(SUBSTITUTE(SUBSTITUTE(SUBSTITUTE(SUBSTITUTE(SUBSTITUTE(SUBSTITUTE(SUBSTITUTE(SUBSTITUTE(SUBSTITUTE(TRIM($D829),"'",""),"İ","I"),"ı","I"),"i","I"),"Ş","S"),"ş","S"),"Ğ","G"),"ğ","G"),"Ü","U"),"ü","U"),"Ö","O"),"ö","O"),"Ç","C"),"ç","C"),".",""),",","")," ",""),"-","")))</f>
        <v/>
      </c>
      <c r="S829" s="3">
        <f>IF($D829="","",$C829&amp;"|"&amp;TEXT($E829,"0")&amp;"|"&amp;TEXT($F829,"0")&amp;"|"&amp;$I829)</f>
        <v/>
      </c>
      <c r="T829" s="3">
        <f>IF($E829="",0,SUMPRODUCT((AY_SONU!$O$7:$O$42="Evet")*(AY_SONU!$B$7:$B$42=DATE(YEAR($E829),MONTH($E829),1))))</f>
        <v/>
      </c>
    </row>
    <row r="830">
      <c r="A830" s="6" t="n"/>
      <c r="B830" s="113">
        <f>IF($D830="","","T"&amp;TEXT(ROW()-6,"00000"))</f>
        <v/>
      </c>
      <c r="C830" s="113">
        <f>IF($D830="","",IFERROR(INDEX(MUSTERILER!$B$7:$B$106,MATCH($R830,MUSTERILER!$T$7:$T$106,0)),IFERROR(INDEX(MUSTERILER!$B$7:$B$106,MATCH($D830,MUSTERILER!$B$7:$B$106,0)),IFERROR(INDEX(MUSTERILER!$B$7:$B$106,MATCH($R830&amp;"*",MUSTERILER!$T$7:$T$106,0)),"TANIMSIZ MÜŞTERİ"))))</f>
        <v/>
      </c>
      <c r="D830" s="109" t="n"/>
      <c r="E830" s="220" t="n"/>
      <c r="F830" s="221" t="n"/>
      <c r="G830" s="108" t="n"/>
      <c r="H830" s="108" t="n"/>
      <c r="I830" s="109" t="n"/>
      <c r="J830" s="109" t="n"/>
      <c r="K830" s="109" t="n"/>
      <c r="L830" s="226">
        <f>IF($E830="","",DATE(YEAR($E830),MONTH($E830),1))</f>
        <v/>
      </c>
      <c r="M830" s="113">
        <f>IF($D830="","",IF($C830="TANIMSIZ MÜŞTERİ","HATA",IF(OR($E830="",$F830&lt;=0,$G830=""),"EKSİK",IF($E830&gt;TODAY(),"İLERİ TARİH",IF(COUNTIF($S$7:$S$1506,$S830)&gt;1,"MÜKERRER?",IF($T830&gt;0,"KAPALI DÖNEM","UYGUN"))))))</f>
        <v/>
      </c>
      <c r="N830" s="121">
        <f>IF($C830="","",IF($C830="TANIMSIZ MÜŞTERİ","—",INDEX(MUSTERILER!$C$7:$C$106,MATCH($C830,MUSTERILER!$B$7:$B$106,0))))</f>
        <v/>
      </c>
      <c r="O830" s="6" t="n"/>
      <c r="P830" s="6" t="n"/>
      <c r="Q830" s="3">
        <f>IF($D830="","",$C830&amp;"|"&amp;COUNTIFS($C$7:$C830,$C830))</f>
        <v/>
      </c>
      <c r="R830" s="3">
        <f>IF($D830="","",UPPER(SUBSTITUTE(SUBSTITUTE(SUBSTITUTE(SUBSTITUTE(SUBSTITUTE(SUBSTITUTE(SUBSTITUTE(SUBSTITUTE(SUBSTITUTE(SUBSTITUTE(SUBSTITUTE(SUBSTITUTE(SUBSTITUTE(SUBSTITUTE(SUBSTITUTE(SUBSTITUTE(SUBSTITUTE(SUBSTITUTE(TRIM($D830),"'",""),"İ","I"),"ı","I"),"i","I"),"Ş","S"),"ş","S"),"Ğ","G"),"ğ","G"),"Ü","U"),"ü","U"),"Ö","O"),"ö","O"),"Ç","C"),"ç","C"),".",""),",","")," ",""),"-","")))</f>
        <v/>
      </c>
      <c r="S830" s="3">
        <f>IF($D830="","",$C830&amp;"|"&amp;TEXT($E830,"0")&amp;"|"&amp;TEXT($F830,"0")&amp;"|"&amp;$I830)</f>
        <v/>
      </c>
      <c r="T830" s="3">
        <f>IF($E830="",0,SUMPRODUCT((AY_SONU!$O$7:$O$42="Evet")*(AY_SONU!$B$7:$B$42=DATE(YEAR($E830),MONTH($E830),1))))</f>
        <v/>
      </c>
    </row>
    <row r="831">
      <c r="A831" s="6" t="n"/>
      <c r="B831" s="113">
        <f>IF($D831="","","T"&amp;TEXT(ROW()-6,"00000"))</f>
        <v/>
      </c>
      <c r="C831" s="113">
        <f>IF($D831="","",IFERROR(INDEX(MUSTERILER!$B$7:$B$106,MATCH($R831,MUSTERILER!$T$7:$T$106,0)),IFERROR(INDEX(MUSTERILER!$B$7:$B$106,MATCH($D831,MUSTERILER!$B$7:$B$106,0)),IFERROR(INDEX(MUSTERILER!$B$7:$B$106,MATCH($R831&amp;"*",MUSTERILER!$T$7:$T$106,0)),"TANIMSIZ MÜŞTERİ"))))</f>
        <v/>
      </c>
      <c r="D831" s="109" t="n"/>
      <c r="E831" s="220" t="n"/>
      <c r="F831" s="221" t="n"/>
      <c r="G831" s="108" t="n"/>
      <c r="H831" s="108" t="n"/>
      <c r="I831" s="109" t="n"/>
      <c r="J831" s="109" t="n"/>
      <c r="K831" s="109" t="n"/>
      <c r="L831" s="226">
        <f>IF($E831="","",DATE(YEAR($E831),MONTH($E831),1))</f>
        <v/>
      </c>
      <c r="M831" s="113">
        <f>IF($D831="","",IF($C831="TANIMSIZ MÜŞTERİ","HATA",IF(OR($E831="",$F831&lt;=0,$G831=""),"EKSİK",IF($E831&gt;TODAY(),"İLERİ TARİH",IF(COUNTIF($S$7:$S$1506,$S831)&gt;1,"MÜKERRER?",IF($T831&gt;0,"KAPALI DÖNEM","UYGUN"))))))</f>
        <v/>
      </c>
      <c r="N831" s="121">
        <f>IF($C831="","",IF($C831="TANIMSIZ MÜŞTERİ","—",INDEX(MUSTERILER!$C$7:$C$106,MATCH($C831,MUSTERILER!$B$7:$B$106,0))))</f>
        <v/>
      </c>
      <c r="O831" s="6" t="n"/>
      <c r="P831" s="6" t="n"/>
      <c r="Q831" s="3">
        <f>IF($D831="","",$C831&amp;"|"&amp;COUNTIFS($C$7:$C831,$C831))</f>
        <v/>
      </c>
      <c r="R831" s="3">
        <f>IF($D831="","",UPPER(SUBSTITUTE(SUBSTITUTE(SUBSTITUTE(SUBSTITUTE(SUBSTITUTE(SUBSTITUTE(SUBSTITUTE(SUBSTITUTE(SUBSTITUTE(SUBSTITUTE(SUBSTITUTE(SUBSTITUTE(SUBSTITUTE(SUBSTITUTE(SUBSTITUTE(SUBSTITUTE(SUBSTITUTE(SUBSTITUTE(TRIM($D831),"'",""),"İ","I"),"ı","I"),"i","I"),"Ş","S"),"ş","S"),"Ğ","G"),"ğ","G"),"Ü","U"),"ü","U"),"Ö","O"),"ö","O"),"Ç","C"),"ç","C"),".",""),",","")," ",""),"-","")))</f>
        <v/>
      </c>
      <c r="S831" s="3">
        <f>IF($D831="","",$C831&amp;"|"&amp;TEXT($E831,"0")&amp;"|"&amp;TEXT($F831,"0")&amp;"|"&amp;$I831)</f>
        <v/>
      </c>
      <c r="T831" s="3">
        <f>IF($E831="",0,SUMPRODUCT((AY_SONU!$O$7:$O$42="Evet")*(AY_SONU!$B$7:$B$42=DATE(YEAR($E831),MONTH($E831),1))))</f>
        <v/>
      </c>
    </row>
    <row r="832">
      <c r="A832" s="6" t="n"/>
      <c r="B832" s="113">
        <f>IF($D832="","","T"&amp;TEXT(ROW()-6,"00000"))</f>
        <v/>
      </c>
      <c r="C832" s="113">
        <f>IF($D832="","",IFERROR(INDEX(MUSTERILER!$B$7:$B$106,MATCH($R832,MUSTERILER!$T$7:$T$106,0)),IFERROR(INDEX(MUSTERILER!$B$7:$B$106,MATCH($D832,MUSTERILER!$B$7:$B$106,0)),IFERROR(INDEX(MUSTERILER!$B$7:$B$106,MATCH($R832&amp;"*",MUSTERILER!$T$7:$T$106,0)),"TANIMSIZ MÜŞTERİ"))))</f>
        <v/>
      </c>
      <c r="D832" s="109" t="n"/>
      <c r="E832" s="220" t="n"/>
      <c r="F832" s="221" t="n"/>
      <c r="G832" s="108" t="n"/>
      <c r="H832" s="108" t="n"/>
      <c r="I832" s="109" t="n"/>
      <c r="J832" s="109" t="n"/>
      <c r="K832" s="109" t="n"/>
      <c r="L832" s="226">
        <f>IF($E832="","",DATE(YEAR($E832),MONTH($E832),1))</f>
        <v/>
      </c>
      <c r="M832" s="113">
        <f>IF($D832="","",IF($C832="TANIMSIZ MÜŞTERİ","HATA",IF(OR($E832="",$F832&lt;=0,$G832=""),"EKSİK",IF($E832&gt;TODAY(),"İLERİ TARİH",IF(COUNTIF($S$7:$S$1506,$S832)&gt;1,"MÜKERRER?",IF($T832&gt;0,"KAPALI DÖNEM","UYGUN"))))))</f>
        <v/>
      </c>
      <c r="N832" s="121">
        <f>IF($C832="","",IF($C832="TANIMSIZ MÜŞTERİ","—",INDEX(MUSTERILER!$C$7:$C$106,MATCH($C832,MUSTERILER!$B$7:$B$106,0))))</f>
        <v/>
      </c>
      <c r="O832" s="6" t="n"/>
      <c r="P832" s="6" t="n"/>
      <c r="Q832" s="3">
        <f>IF($D832="","",$C832&amp;"|"&amp;COUNTIFS($C$7:$C832,$C832))</f>
        <v/>
      </c>
      <c r="R832" s="3">
        <f>IF($D832="","",UPPER(SUBSTITUTE(SUBSTITUTE(SUBSTITUTE(SUBSTITUTE(SUBSTITUTE(SUBSTITUTE(SUBSTITUTE(SUBSTITUTE(SUBSTITUTE(SUBSTITUTE(SUBSTITUTE(SUBSTITUTE(SUBSTITUTE(SUBSTITUTE(SUBSTITUTE(SUBSTITUTE(SUBSTITUTE(SUBSTITUTE(TRIM($D832),"'",""),"İ","I"),"ı","I"),"i","I"),"Ş","S"),"ş","S"),"Ğ","G"),"ğ","G"),"Ü","U"),"ü","U"),"Ö","O"),"ö","O"),"Ç","C"),"ç","C"),".",""),",","")," ",""),"-","")))</f>
        <v/>
      </c>
      <c r="S832" s="3">
        <f>IF($D832="","",$C832&amp;"|"&amp;TEXT($E832,"0")&amp;"|"&amp;TEXT($F832,"0")&amp;"|"&amp;$I832)</f>
        <v/>
      </c>
      <c r="T832" s="3">
        <f>IF($E832="",0,SUMPRODUCT((AY_SONU!$O$7:$O$42="Evet")*(AY_SONU!$B$7:$B$42=DATE(YEAR($E832),MONTH($E832),1))))</f>
        <v/>
      </c>
    </row>
    <row r="833">
      <c r="A833" s="6" t="n"/>
      <c r="B833" s="113">
        <f>IF($D833="","","T"&amp;TEXT(ROW()-6,"00000"))</f>
        <v/>
      </c>
      <c r="C833" s="113">
        <f>IF($D833="","",IFERROR(INDEX(MUSTERILER!$B$7:$B$106,MATCH($R833,MUSTERILER!$T$7:$T$106,0)),IFERROR(INDEX(MUSTERILER!$B$7:$B$106,MATCH($D833,MUSTERILER!$B$7:$B$106,0)),IFERROR(INDEX(MUSTERILER!$B$7:$B$106,MATCH($R833&amp;"*",MUSTERILER!$T$7:$T$106,0)),"TANIMSIZ MÜŞTERİ"))))</f>
        <v/>
      </c>
      <c r="D833" s="109" t="n"/>
      <c r="E833" s="220" t="n"/>
      <c r="F833" s="221" t="n"/>
      <c r="G833" s="108" t="n"/>
      <c r="H833" s="108" t="n"/>
      <c r="I833" s="109" t="n"/>
      <c r="J833" s="109" t="n"/>
      <c r="K833" s="109" t="n"/>
      <c r="L833" s="226">
        <f>IF($E833="","",DATE(YEAR($E833),MONTH($E833),1))</f>
        <v/>
      </c>
      <c r="M833" s="113">
        <f>IF($D833="","",IF($C833="TANIMSIZ MÜŞTERİ","HATA",IF(OR($E833="",$F833&lt;=0,$G833=""),"EKSİK",IF($E833&gt;TODAY(),"İLERİ TARİH",IF(COUNTIF($S$7:$S$1506,$S833)&gt;1,"MÜKERRER?",IF($T833&gt;0,"KAPALI DÖNEM","UYGUN"))))))</f>
        <v/>
      </c>
      <c r="N833" s="121">
        <f>IF($C833="","",IF($C833="TANIMSIZ MÜŞTERİ","—",INDEX(MUSTERILER!$C$7:$C$106,MATCH($C833,MUSTERILER!$B$7:$B$106,0))))</f>
        <v/>
      </c>
      <c r="O833" s="6" t="n"/>
      <c r="P833" s="6" t="n"/>
      <c r="Q833" s="3">
        <f>IF($D833="","",$C833&amp;"|"&amp;COUNTIFS($C$7:$C833,$C833))</f>
        <v/>
      </c>
      <c r="R833" s="3">
        <f>IF($D833="","",UPPER(SUBSTITUTE(SUBSTITUTE(SUBSTITUTE(SUBSTITUTE(SUBSTITUTE(SUBSTITUTE(SUBSTITUTE(SUBSTITUTE(SUBSTITUTE(SUBSTITUTE(SUBSTITUTE(SUBSTITUTE(SUBSTITUTE(SUBSTITUTE(SUBSTITUTE(SUBSTITUTE(SUBSTITUTE(SUBSTITUTE(TRIM($D833),"'",""),"İ","I"),"ı","I"),"i","I"),"Ş","S"),"ş","S"),"Ğ","G"),"ğ","G"),"Ü","U"),"ü","U"),"Ö","O"),"ö","O"),"Ç","C"),"ç","C"),".",""),",","")," ",""),"-","")))</f>
        <v/>
      </c>
      <c r="S833" s="3">
        <f>IF($D833="","",$C833&amp;"|"&amp;TEXT($E833,"0")&amp;"|"&amp;TEXT($F833,"0")&amp;"|"&amp;$I833)</f>
        <v/>
      </c>
      <c r="T833" s="3">
        <f>IF($E833="",0,SUMPRODUCT((AY_SONU!$O$7:$O$42="Evet")*(AY_SONU!$B$7:$B$42=DATE(YEAR($E833),MONTH($E833),1))))</f>
        <v/>
      </c>
    </row>
    <row r="834">
      <c r="A834" s="6" t="n"/>
      <c r="B834" s="113">
        <f>IF($D834="","","T"&amp;TEXT(ROW()-6,"00000"))</f>
        <v/>
      </c>
      <c r="C834" s="113">
        <f>IF($D834="","",IFERROR(INDEX(MUSTERILER!$B$7:$B$106,MATCH($R834,MUSTERILER!$T$7:$T$106,0)),IFERROR(INDEX(MUSTERILER!$B$7:$B$106,MATCH($D834,MUSTERILER!$B$7:$B$106,0)),IFERROR(INDEX(MUSTERILER!$B$7:$B$106,MATCH($R834&amp;"*",MUSTERILER!$T$7:$T$106,0)),"TANIMSIZ MÜŞTERİ"))))</f>
        <v/>
      </c>
      <c r="D834" s="109" t="n"/>
      <c r="E834" s="220" t="n"/>
      <c r="F834" s="221" t="n"/>
      <c r="G834" s="108" t="n"/>
      <c r="H834" s="108" t="n"/>
      <c r="I834" s="109" t="n"/>
      <c r="J834" s="109" t="n"/>
      <c r="K834" s="109" t="n"/>
      <c r="L834" s="226">
        <f>IF($E834="","",DATE(YEAR($E834),MONTH($E834),1))</f>
        <v/>
      </c>
      <c r="M834" s="113">
        <f>IF($D834="","",IF($C834="TANIMSIZ MÜŞTERİ","HATA",IF(OR($E834="",$F834&lt;=0,$G834=""),"EKSİK",IF($E834&gt;TODAY(),"İLERİ TARİH",IF(COUNTIF($S$7:$S$1506,$S834)&gt;1,"MÜKERRER?",IF($T834&gt;0,"KAPALI DÖNEM","UYGUN"))))))</f>
        <v/>
      </c>
      <c r="N834" s="121">
        <f>IF($C834="","",IF($C834="TANIMSIZ MÜŞTERİ","—",INDEX(MUSTERILER!$C$7:$C$106,MATCH($C834,MUSTERILER!$B$7:$B$106,0))))</f>
        <v/>
      </c>
      <c r="O834" s="6" t="n"/>
      <c r="P834" s="6" t="n"/>
      <c r="Q834" s="3">
        <f>IF($D834="","",$C834&amp;"|"&amp;COUNTIFS($C$7:$C834,$C834))</f>
        <v/>
      </c>
      <c r="R834" s="3">
        <f>IF($D834="","",UPPER(SUBSTITUTE(SUBSTITUTE(SUBSTITUTE(SUBSTITUTE(SUBSTITUTE(SUBSTITUTE(SUBSTITUTE(SUBSTITUTE(SUBSTITUTE(SUBSTITUTE(SUBSTITUTE(SUBSTITUTE(SUBSTITUTE(SUBSTITUTE(SUBSTITUTE(SUBSTITUTE(SUBSTITUTE(SUBSTITUTE(TRIM($D834),"'",""),"İ","I"),"ı","I"),"i","I"),"Ş","S"),"ş","S"),"Ğ","G"),"ğ","G"),"Ü","U"),"ü","U"),"Ö","O"),"ö","O"),"Ç","C"),"ç","C"),".",""),",","")," ",""),"-","")))</f>
        <v/>
      </c>
      <c r="S834" s="3">
        <f>IF($D834="","",$C834&amp;"|"&amp;TEXT($E834,"0")&amp;"|"&amp;TEXT($F834,"0")&amp;"|"&amp;$I834)</f>
        <v/>
      </c>
      <c r="T834" s="3">
        <f>IF($E834="",0,SUMPRODUCT((AY_SONU!$O$7:$O$42="Evet")*(AY_SONU!$B$7:$B$42=DATE(YEAR($E834),MONTH($E834),1))))</f>
        <v/>
      </c>
    </row>
    <row r="835">
      <c r="A835" s="6" t="n"/>
      <c r="B835" s="113">
        <f>IF($D835="","","T"&amp;TEXT(ROW()-6,"00000"))</f>
        <v/>
      </c>
      <c r="C835" s="113">
        <f>IF($D835="","",IFERROR(INDEX(MUSTERILER!$B$7:$B$106,MATCH($R835,MUSTERILER!$T$7:$T$106,0)),IFERROR(INDEX(MUSTERILER!$B$7:$B$106,MATCH($D835,MUSTERILER!$B$7:$B$106,0)),IFERROR(INDEX(MUSTERILER!$B$7:$B$106,MATCH($R835&amp;"*",MUSTERILER!$T$7:$T$106,0)),"TANIMSIZ MÜŞTERİ"))))</f>
        <v/>
      </c>
      <c r="D835" s="109" t="n"/>
      <c r="E835" s="220" t="n"/>
      <c r="F835" s="221" t="n"/>
      <c r="G835" s="108" t="n"/>
      <c r="H835" s="108" t="n"/>
      <c r="I835" s="109" t="n"/>
      <c r="J835" s="109" t="n"/>
      <c r="K835" s="109" t="n"/>
      <c r="L835" s="226">
        <f>IF($E835="","",DATE(YEAR($E835),MONTH($E835),1))</f>
        <v/>
      </c>
      <c r="M835" s="113">
        <f>IF($D835="","",IF($C835="TANIMSIZ MÜŞTERİ","HATA",IF(OR($E835="",$F835&lt;=0,$G835=""),"EKSİK",IF($E835&gt;TODAY(),"İLERİ TARİH",IF(COUNTIF($S$7:$S$1506,$S835)&gt;1,"MÜKERRER?",IF($T835&gt;0,"KAPALI DÖNEM","UYGUN"))))))</f>
        <v/>
      </c>
      <c r="N835" s="121">
        <f>IF($C835="","",IF($C835="TANIMSIZ MÜŞTERİ","—",INDEX(MUSTERILER!$C$7:$C$106,MATCH($C835,MUSTERILER!$B$7:$B$106,0))))</f>
        <v/>
      </c>
      <c r="O835" s="6" t="n"/>
      <c r="P835" s="6" t="n"/>
      <c r="Q835" s="3">
        <f>IF($D835="","",$C835&amp;"|"&amp;COUNTIFS($C$7:$C835,$C835))</f>
        <v/>
      </c>
      <c r="R835" s="3">
        <f>IF($D835="","",UPPER(SUBSTITUTE(SUBSTITUTE(SUBSTITUTE(SUBSTITUTE(SUBSTITUTE(SUBSTITUTE(SUBSTITUTE(SUBSTITUTE(SUBSTITUTE(SUBSTITUTE(SUBSTITUTE(SUBSTITUTE(SUBSTITUTE(SUBSTITUTE(SUBSTITUTE(SUBSTITUTE(SUBSTITUTE(SUBSTITUTE(TRIM($D835),"'",""),"İ","I"),"ı","I"),"i","I"),"Ş","S"),"ş","S"),"Ğ","G"),"ğ","G"),"Ü","U"),"ü","U"),"Ö","O"),"ö","O"),"Ç","C"),"ç","C"),".",""),",","")," ",""),"-","")))</f>
        <v/>
      </c>
      <c r="S835" s="3">
        <f>IF($D835="","",$C835&amp;"|"&amp;TEXT($E835,"0")&amp;"|"&amp;TEXT($F835,"0")&amp;"|"&amp;$I835)</f>
        <v/>
      </c>
      <c r="T835" s="3">
        <f>IF($E835="",0,SUMPRODUCT((AY_SONU!$O$7:$O$42="Evet")*(AY_SONU!$B$7:$B$42=DATE(YEAR($E835),MONTH($E835),1))))</f>
        <v/>
      </c>
    </row>
    <row r="836">
      <c r="A836" s="6" t="n"/>
      <c r="B836" s="113">
        <f>IF($D836="","","T"&amp;TEXT(ROW()-6,"00000"))</f>
        <v/>
      </c>
      <c r="C836" s="113">
        <f>IF($D836="","",IFERROR(INDEX(MUSTERILER!$B$7:$B$106,MATCH($R836,MUSTERILER!$T$7:$T$106,0)),IFERROR(INDEX(MUSTERILER!$B$7:$B$106,MATCH($D836,MUSTERILER!$B$7:$B$106,0)),IFERROR(INDEX(MUSTERILER!$B$7:$B$106,MATCH($R836&amp;"*",MUSTERILER!$T$7:$T$106,0)),"TANIMSIZ MÜŞTERİ"))))</f>
        <v/>
      </c>
      <c r="D836" s="109" t="n"/>
      <c r="E836" s="220" t="n"/>
      <c r="F836" s="221" t="n"/>
      <c r="G836" s="108" t="n"/>
      <c r="H836" s="108" t="n"/>
      <c r="I836" s="109" t="n"/>
      <c r="J836" s="109" t="n"/>
      <c r="K836" s="109" t="n"/>
      <c r="L836" s="226">
        <f>IF($E836="","",DATE(YEAR($E836),MONTH($E836),1))</f>
        <v/>
      </c>
      <c r="M836" s="113">
        <f>IF($D836="","",IF($C836="TANIMSIZ MÜŞTERİ","HATA",IF(OR($E836="",$F836&lt;=0,$G836=""),"EKSİK",IF($E836&gt;TODAY(),"İLERİ TARİH",IF(COUNTIF($S$7:$S$1506,$S836)&gt;1,"MÜKERRER?",IF($T836&gt;0,"KAPALI DÖNEM","UYGUN"))))))</f>
        <v/>
      </c>
      <c r="N836" s="121">
        <f>IF($C836="","",IF($C836="TANIMSIZ MÜŞTERİ","—",INDEX(MUSTERILER!$C$7:$C$106,MATCH($C836,MUSTERILER!$B$7:$B$106,0))))</f>
        <v/>
      </c>
      <c r="O836" s="6" t="n"/>
      <c r="P836" s="6" t="n"/>
      <c r="Q836" s="3">
        <f>IF($D836="","",$C836&amp;"|"&amp;COUNTIFS($C$7:$C836,$C836))</f>
        <v/>
      </c>
      <c r="R836" s="3">
        <f>IF($D836="","",UPPER(SUBSTITUTE(SUBSTITUTE(SUBSTITUTE(SUBSTITUTE(SUBSTITUTE(SUBSTITUTE(SUBSTITUTE(SUBSTITUTE(SUBSTITUTE(SUBSTITUTE(SUBSTITUTE(SUBSTITUTE(SUBSTITUTE(SUBSTITUTE(SUBSTITUTE(SUBSTITUTE(SUBSTITUTE(SUBSTITUTE(TRIM($D836),"'",""),"İ","I"),"ı","I"),"i","I"),"Ş","S"),"ş","S"),"Ğ","G"),"ğ","G"),"Ü","U"),"ü","U"),"Ö","O"),"ö","O"),"Ç","C"),"ç","C"),".",""),",","")," ",""),"-","")))</f>
        <v/>
      </c>
      <c r="S836" s="3">
        <f>IF($D836="","",$C836&amp;"|"&amp;TEXT($E836,"0")&amp;"|"&amp;TEXT($F836,"0")&amp;"|"&amp;$I836)</f>
        <v/>
      </c>
      <c r="T836" s="3">
        <f>IF($E836="",0,SUMPRODUCT((AY_SONU!$O$7:$O$42="Evet")*(AY_SONU!$B$7:$B$42=DATE(YEAR($E836),MONTH($E836),1))))</f>
        <v/>
      </c>
    </row>
    <row r="837">
      <c r="A837" s="6" t="n"/>
      <c r="B837" s="113">
        <f>IF($D837="","","T"&amp;TEXT(ROW()-6,"00000"))</f>
        <v/>
      </c>
      <c r="C837" s="113">
        <f>IF($D837="","",IFERROR(INDEX(MUSTERILER!$B$7:$B$106,MATCH($R837,MUSTERILER!$T$7:$T$106,0)),IFERROR(INDEX(MUSTERILER!$B$7:$B$106,MATCH($D837,MUSTERILER!$B$7:$B$106,0)),IFERROR(INDEX(MUSTERILER!$B$7:$B$106,MATCH($R837&amp;"*",MUSTERILER!$T$7:$T$106,0)),"TANIMSIZ MÜŞTERİ"))))</f>
        <v/>
      </c>
      <c r="D837" s="109" t="n"/>
      <c r="E837" s="220" t="n"/>
      <c r="F837" s="221" t="n"/>
      <c r="G837" s="108" t="n"/>
      <c r="H837" s="108" t="n"/>
      <c r="I837" s="109" t="n"/>
      <c r="J837" s="109" t="n"/>
      <c r="K837" s="109" t="n"/>
      <c r="L837" s="226">
        <f>IF($E837="","",DATE(YEAR($E837),MONTH($E837),1))</f>
        <v/>
      </c>
      <c r="M837" s="113">
        <f>IF($D837="","",IF($C837="TANIMSIZ MÜŞTERİ","HATA",IF(OR($E837="",$F837&lt;=0,$G837=""),"EKSİK",IF($E837&gt;TODAY(),"İLERİ TARİH",IF(COUNTIF($S$7:$S$1506,$S837)&gt;1,"MÜKERRER?",IF($T837&gt;0,"KAPALI DÖNEM","UYGUN"))))))</f>
        <v/>
      </c>
      <c r="N837" s="121">
        <f>IF($C837="","",IF($C837="TANIMSIZ MÜŞTERİ","—",INDEX(MUSTERILER!$C$7:$C$106,MATCH($C837,MUSTERILER!$B$7:$B$106,0))))</f>
        <v/>
      </c>
      <c r="O837" s="6" t="n"/>
      <c r="P837" s="6" t="n"/>
      <c r="Q837" s="3">
        <f>IF($D837="","",$C837&amp;"|"&amp;COUNTIFS($C$7:$C837,$C837))</f>
        <v/>
      </c>
      <c r="R837" s="3">
        <f>IF($D837="","",UPPER(SUBSTITUTE(SUBSTITUTE(SUBSTITUTE(SUBSTITUTE(SUBSTITUTE(SUBSTITUTE(SUBSTITUTE(SUBSTITUTE(SUBSTITUTE(SUBSTITUTE(SUBSTITUTE(SUBSTITUTE(SUBSTITUTE(SUBSTITUTE(SUBSTITUTE(SUBSTITUTE(SUBSTITUTE(SUBSTITUTE(TRIM($D837),"'",""),"İ","I"),"ı","I"),"i","I"),"Ş","S"),"ş","S"),"Ğ","G"),"ğ","G"),"Ü","U"),"ü","U"),"Ö","O"),"ö","O"),"Ç","C"),"ç","C"),".",""),",","")," ",""),"-","")))</f>
        <v/>
      </c>
      <c r="S837" s="3">
        <f>IF($D837="","",$C837&amp;"|"&amp;TEXT($E837,"0")&amp;"|"&amp;TEXT($F837,"0")&amp;"|"&amp;$I837)</f>
        <v/>
      </c>
      <c r="T837" s="3">
        <f>IF($E837="",0,SUMPRODUCT((AY_SONU!$O$7:$O$42="Evet")*(AY_SONU!$B$7:$B$42=DATE(YEAR($E837),MONTH($E837),1))))</f>
        <v/>
      </c>
    </row>
    <row r="838">
      <c r="A838" s="6" t="n"/>
      <c r="B838" s="113">
        <f>IF($D838="","","T"&amp;TEXT(ROW()-6,"00000"))</f>
        <v/>
      </c>
      <c r="C838" s="113">
        <f>IF($D838="","",IFERROR(INDEX(MUSTERILER!$B$7:$B$106,MATCH($R838,MUSTERILER!$T$7:$T$106,0)),IFERROR(INDEX(MUSTERILER!$B$7:$B$106,MATCH($D838,MUSTERILER!$B$7:$B$106,0)),IFERROR(INDEX(MUSTERILER!$B$7:$B$106,MATCH($R838&amp;"*",MUSTERILER!$T$7:$T$106,0)),"TANIMSIZ MÜŞTERİ"))))</f>
        <v/>
      </c>
      <c r="D838" s="109" t="n"/>
      <c r="E838" s="220" t="n"/>
      <c r="F838" s="221" t="n"/>
      <c r="G838" s="108" t="n"/>
      <c r="H838" s="108" t="n"/>
      <c r="I838" s="109" t="n"/>
      <c r="J838" s="109" t="n"/>
      <c r="K838" s="109" t="n"/>
      <c r="L838" s="226">
        <f>IF($E838="","",DATE(YEAR($E838),MONTH($E838),1))</f>
        <v/>
      </c>
      <c r="M838" s="113">
        <f>IF($D838="","",IF($C838="TANIMSIZ MÜŞTERİ","HATA",IF(OR($E838="",$F838&lt;=0,$G838=""),"EKSİK",IF($E838&gt;TODAY(),"İLERİ TARİH",IF(COUNTIF($S$7:$S$1506,$S838)&gt;1,"MÜKERRER?",IF($T838&gt;0,"KAPALI DÖNEM","UYGUN"))))))</f>
        <v/>
      </c>
      <c r="N838" s="121">
        <f>IF($C838="","",IF($C838="TANIMSIZ MÜŞTERİ","—",INDEX(MUSTERILER!$C$7:$C$106,MATCH($C838,MUSTERILER!$B$7:$B$106,0))))</f>
        <v/>
      </c>
      <c r="O838" s="6" t="n"/>
      <c r="P838" s="6" t="n"/>
      <c r="Q838" s="3">
        <f>IF($D838="","",$C838&amp;"|"&amp;COUNTIFS($C$7:$C838,$C838))</f>
        <v/>
      </c>
      <c r="R838" s="3">
        <f>IF($D838="","",UPPER(SUBSTITUTE(SUBSTITUTE(SUBSTITUTE(SUBSTITUTE(SUBSTITUTE(SUBSTITUTE(SUBSTITUTE(SUBSTITUTE(SUBSTITUTE(SUBSTITUTE(SUBSTITUTE(SUBSTITUTE(SUBSTITUTE(SUBSTITUTE(SUBSTITUTE(SUBSTITUTE(SUBSTITUTE(SUBSTITUTE(TRIM($D838),"'",""),"İ","I"),"ı","I"),"i","I"),"Ş","S"),"ş","S"),"Ğ","G"),"ğ","G"),"Ü","U"),"ü","U"),"Ö","O"),"ö","O"),"Ç","C"),"ç","C"),".",""),",","")," ",""),"-","")))</f>
        <v/>
      </c>
      <c r="S838" s="3">
        <f>IF($D838="","",$C838&amp;"|"&amp;TEXT($E838,"0")&amp;"|"&amp;TEXT($F838,"0")&amp;"|"&amp;$I838)</f>
        <v/>
      </c>
      <c r="T838" s="3">
        <f>IF($E838="",0,SUMPRODUCT((AY_SONU!$O$7:$O$42="Evet")*(AY_SONU!$B$7:$B$42=DATE(YEAR($E838),MONTH($E838),1))))</f>
        <v/>
      </c>
    </row>
    <row r="839">
      <c r="A839" s="6" t="n"/>
      <c r="B839" s="113">
        <f>IF($D839="","","T"&amp;TEXT(ROW()-6,"00000"))</f>
        <v/>
      </c>
      <c r="C839" s="113">
        <f>IF($D839="","",IFERROR(INDEX(MUSTERILER!$B$7:$B$106,MATCH($R839,MUSTERILER!$T$7:$T$106,0)),IFERROR(INDEX(MUSTERILER!$B$7:$B$106,MATCH($D839,MUSTERILER!$B$7:$B$106,0)),IFERROR(INDEX(MUSTERILER!$B$7:$B$106,MATCH($R839&amp;"*",MUSTERILER!$T$7:$T$106,0)),"TANIMSIZ MÜŞTERİ"))))</f>
        <v/>
      </c>
      <c r="D839" s="109" t="n"/>
      <c r="E839" s="220" t="n"/>
      <c r="F839" s="221" t="n"/>
      <c r="G839" s="108" t="n"/>
      <c r="H839" s="108" t="n"/>
      <c r="I839" s="109" t="n"/>
      <c r="J839" s="109" t="n"/>
      <c r="K839" s="109" t="n"/>
      <c r="L839" s="226">
        <f>IF($E839="","",DATE(YEAR($E839),MONTH($E839),1))</f>
        <v/>
      </c>
      <c r="M839" s="113">
        <f>IF($D839="","",IF($C839="TANIMSIZ MÜŞTERİ","HATA",IF(OR($E839="",$F839&lt;=0,$G839=""),"EKSİK",IF($E839&gt;TODAY(),"İLERİ TARİH",IF(COUNTIF($S$7:$S$1506,$S839)&gt;1,"MÜKERRER?",IF($T839&gt;0,"KAPALI DÖNEM","UYGUN"))))))</f>
        <v/>
      </c>
      <c r="N839" s="121">
        <f>IF($C839="","",IF($C839="TANIMSIZ MÜŞTERİ","—",INDEX(MUSTERILER!$C$7:$C$106,MATCH($C839,MUSTERILER!$B$7:$B$106,0))))</f>
        <v/>
      </c>
      <c r="O839" s="6" t="n"/>
      <c r="P839" s="6" t="n"/>
      <c r="Q839" s="3">
        <f>IF($D839="","",$C839&amp;"|"&amp;COUNTIFS($C$7:$C839,$C839))</f>
        <v/>
      </c>
      <c r="R839" s="3">
        <f>IF($D839="","",UPPER(SUBSTITUTE(SUBSTITUTE(SUBSTITUTE(SUBSTITUTE(SUBSTITUTE(SUBSTITUTE(SUBSTITUTE(SUBSTITUTE(SUBSTITUTE(SUBSTITUTE(SUBSTITUTE(SUBSTITUTE(SUBSTITUTE(SUBSTITUTE(SUBSTITUTE(SUBSTITUTE(SUBSTITUTE(SUBSTITUTE(TRIM($D839),"'",""),"İ","I"),"ı","I"),"i","I"),"Ş","S"),"ş","S"),"Ğ","G"),"ğ","G"),"Ü","U"),"ü","U"),"Ö","O"),"ö","O"),"Ç","C"),"ç","C"),".",""),",","")," ",""),"-","")))</f>
        <v/>
      </c>
      <c r="S839" s="3">
        <f>IF($D839="","",$C839&amp;"|"&amp;TEXT($E839,"0")&amp;"|"&amp;TEXT($F839,"0")&amp;"|"&amp;$I839)</f>
        <v/>
      </c>
      <c r="T839" s="3">
        <f>IF($E839="",0,SUMPRODUCT((AY_SONU!$O$7:$O$42="Evet")*(AY_SONU!$B$7:$B$42=DATE(YEAR($E839),MONTH($E839),1))))</f>
        <v/>
      </c>
    </row>
    <row r="840">
      <c r="A840" s="6" t="n"/>
      <c r="B840" s="113">
        <f>IF($D840="","","T"&amp;TEXT(ROW()-6,"00000"))</f>
        <v/>
      </c>
      <c r="C840" s="113">
        <f>IF($D840="","",IFERROR(INDEX(MUSTERILER!$B$7:$B$106,MATCH($R840,MUSTERILER!$T$7:$T$106,0)),IFERROR(INDEX(MUSTERILER!$B$7:$B$106,MATCH($D840,MUSTERILER!$B$7:$B$106,0)),IFERROR(INDEX(MUSTERILER!$B$7:$B$106,MATCH($R840&amp;"*",MUSTERILER!$T$7:$T$106,0)),"TANIMSIZ MÜŞTERİ"))))</f>
        <v/>
      </c>
      <c r="D840" s="109" t="n"/>
      <c r="E840" s="220" t="n"/>
      <c r="F840" s="221" t="n"/>
      <c r="G840" s="108" t="n"/>
      <c r="H840" s="108" t="n"/>
      <c r="I840" s="109" t="n"/>
      <c r="J840" s="109" t="n"/>
      <c r="K840" s="109" t="n"/>
      <c r="L840" s="226">
        <f>IF($E840="","",DATE(YEAR($E840),MONTH($E840),1))</f>
        <v/>
      </c>
      <c r="M840" s="113">
        <f>IF($D840="","",IF($C840="TANIMSIZ MÜŞTERİ","HATA",IF(OR($E840="",$F840&lt;=0,$G840=""),"EKSİK",IF($E840&gt;TODAY(),"İLERİ TARİH",IF(COUNTIF($S$7:$S$1506,$S840)&gt;1,"MÜKERRER?",IF($T840&gt;0,"KAPALI DÖNEM","UYGUN"))))))</f>
        <v/>
      </c>
      <c r="N840" s="121">
        <f>IF($C840="","",IF($C840="TANIMSIZ MÜŞTERİ","—",INDEX(MUSTERILER!$C$7:$C$106,MATCH($C840,MUSTERILER!$B$7:$B$106,0))))</f>
        <v/>
      </c>
      <c r="O840" s="6" t="n"/>
      <c r="P840" s="6" t="n"/>
      <c r="Q840" s="3">
        <f>IF($D840="","",$C840&amp;"|"&amp;COUNTIFS($C$7:$C840,$C840))</f>
        <v/>
      </c>
      <c r="R840" s="3">
        <f>IF($D840="","",UPPER(SUBSTITUTE(SUBSTITUTE(SUBSTITUTE(SUBSTITUTE(SUBSTITUTE(SUBSTITUTE(SUBSTITUTE(SUBSTITUTE(SUBSTITUTE(SUBSTITUTE(SUBSTITUTE(SUBSTITUTE(SUBSTITUTE(SUBSTITUTE(SUBSTITUTE(SUBSTITUTE(SUBSTITUTE(SUBSTITUTE(TRIM($D840),"'",""),"İ","I"),"ı","I"),"i","I"),"Ş","S"),"ş","S"),"Ğ","G"),"ğ","G"),"Ü","U"),"ü","U"),"Ö","O"),"ö","O"),"Ç","C"),"ç","C"),".",""),",","")," ",""),"-","")))</f>
        <v/>
      </c>
      <c r="S840" s="3">
        <f>IF($D840="","",$C840&amp;"|"&amp;TEXT($E840,"0")&amp;"|"&amp;TEXT($F840,"0")&amp;"|"&amp;$I840)</f>
        <v/>
      </c>
      <c r="T840" s="3">
        <f>IF($E840="",0,SUMPRODUCT((AY_SONU!$O$7:$O$42="Evet")*(AY_SONU!$B$7:$B$42=DATE(YEAR($E840),MONTH($E840),1))))</f>
        <v/>
      </c>
    </row>
    <row r="841">
      <c r="A841" s="6" t="n"/>
      <c r="B841" s="113">
        <f>IF($D841="","","T"&amp;TEXT(ROW()-6,"00000"))</f>
        <v/>
      </c>
      <c r="C841" s="113">
        <f>IF($D841="","",IFERROR(INDEX(MUSTERILER!$B$7:$B$106,MATCH($R841,MUSTERILER!$T$7:$T$106,0)),IFERROR(INDEX(MUSTERILER!$B$7:$B$106,MATCH($D841,MUSTERILER!$B$7:$B$106,0)),IFERROR(INDEX(MUSTERILER!$B$7:$B$106,MATCH($R841&amp;"*",MUSTERILER!$T$7:$T$106,0)),"TANIMSIZ MÜŞTERİ"))))</f>
        <v/>
      </c>
      <c r="D841" s="109" t="n"/>
      <c r="E841" s="220" t="n"/>
      <c r="F841" s="221" t="n"/>
      <c r="G841" s="108" t="n"/>
      <c r="H841" s="108" t="n"/>
      <c r="I841" s="109" t="n"/>
      <c r="J841" s="109" t="n"/>
      <c r="K841" s="109" t="n"/>
      <c r="L841" s="226">
        <f>IF($E841="","",DATE(YEAR($E841),MONTH($E841),1))</f>
        <v/>
      </c>
      <c r="M841" s="113">
        <f>IF($D841="","",IF($C841="TANIMSIZ MÜŞTERİ","HATA",IF(OR($E841="",$F841&lt;=0,$G841=""),"EKSİK",IF($E841&gt;TODAY(),"İLERİ TARİH",IF(COUNTIF($S$7:$S$1506,$S841)&gt;1,"MÜKERRER?",IF($T841&gt;0,"KAPALI DÖNEM","UYGUN"))))))</f>
        <v/>
      </c>
      <c r="N841" s="121">
        <f>IF($C841="","",IF($C841="TANIMSIZ MÜŞTERİ","—",INDEX(MUSTERILER!$C$7:$C$106,MATCH($C841,MUSTERILER!$B$7:$B$106,0))))</f>
        <v/>
      </c>
      <c r="O841" s="6" t="n"/>
      <c r="P841" s="6" t="n"/>
      <c r="Q841" s="3">
        <f>IF($D841="","",$C841&amp;"|"&amp;COUNTIFS($C$7:$C841,$C841))</f>
        <v/>
      </c>
      <c r="R841" s="3">
        <f>IF($D841="","",UPPER(SUBSTITUTE(SUBSTITUTE(SUBSTITUTE(SUBSTITUTE(SUBSTITUTE(SUBSTITUTE(SUBSTITUTE(SUBSTITUTE(SUBSTITUTE(SUBSTITUTE(SUBSTITUTE(SUBSTITUTE(SUBSTITUTE(SUBSTITUTE(SUBSTITUTE(SUBSTITUTE(SUBSTITUTE(SUBSTITUTE(TRIM($D841),"'",""),"İ","I"),"ı","I"),"i","I"),"Ş","S"),"ş","S"),"Ğ","G"),"ğ","G"),"Ü","U"),"ü","U"),"Ö","O"),"ö","O"),"Ç","C"),"ç","C"),".",""),",","")," ",""),"-","")))</f>
        <v/>
      </c>
      <c r="S841" s="3">
        <f>IF($D841="","",$C841&amp;"|"&amp;TEXT($E841,"0")&amp;"|"&amp;TEXT($F841,"0")&amp;"|"&amp;$I841)</f>
        <v/>
      </c>
      <c r="T841" s="3">
        <f>IF($E841="",0,SUMPRODUCT((AY_SONU!$O$7:$O$42="Evet")*(AY_SONU!$B$7:$B$42=DATE(YEAR($E841),MONTH($E841),1))))</f>
        <v/>
      </c>
    </row>
    <row r="842">
      <c r="A842" s="6" t="n"/>
      <c r="B842" s="113">
        <f>IF($D842="","","T"&amp;TEXT(ROW()-6,"00000"))</f>
        <v/>
      </c>
      <c r="C842" s="113">
        <f>IF($D842="","",IFERROR(INDEX(MUSTERILER!$B$7:$B$106,MATCH($R842,MUSTERILER!$T$7:$T$106,0)),IFERROR(INDEX(MUSTERILER!$B$7:$B$106,MATCH($D842,MUSTERILER!$B$7:$B$106,0)),IFERROR(INDEX(MUSTERILER!$B$7:$B$106,MATCH($R842&amp;"*",MUSTERILER!$T$7:$T$106,0)),"TANIMSIZ MÜŞTERİ"))))</f>
        <v/>
      </c>
      <c r="D842" s="109" t="n"/>
      <c r="E842" s="220" t="n"/>
      <c r="F842" s="221" t="n"/>
      <c r="G842" s="108" t="n"/>
      <c r="H842" s="108" t="n"/>
      <c r="I842" s="109" t="n"/>
      <c r="J842" s="109" t="n"/>
      <c r="K842" s="109" t="n"/>
      <c r="L842" s="226">
        <f>IF($E842="","",DATE(YEAR($E842),MONTH($E842),1))</f>
        <v/>
      </c>
      <c r="M842" s="113">
        <f>IF($D842="","",IF($C842="TANIMSIZ MÜŞTERİ","HATA",IF(OR($E842="",$F842&lt;=0,$G842=""),"EKSİK",IF($E842&gt;TODAY(),"İLERİ TARİH",IF(COUNTIF($S$7:$S$1506,$S842)&gt;1,"MÜKERRER?",IF($T842&gt;0,"KAPALI DÖNEM","UYGUN"))))))</f>
        <v/>
      </c>
      <c r="N842" s="121">
        <f>IF($C842="","",IF($C842="TANIMSIZ MÜŞTERİ","—",INDEX(MUSTERILER!$C$7:$C$106,MATCH($C842,MUSTERILER!$B$7:$B$106,0))))</f>
        <v/>
      </c>
      <c r="O842" s="6" t="n"/>
      <c r="P842" s="6" t="n"/>
      <c r="Q842" s="3">
        <f>IF($D842="","",$C842&amp;"|"&amp;COUNTIFS($C$7:$C842,$C842))</f>
        <v/>
      </c>
      <c r="R842" s="3">
        <f>IF($D842="","",UPPER(SUBSTITUTE(SUBSTITUTE(SUBSTITUTE(SUBSTITUTE(SUBSTITUTE(SUBSTITUTE(SUBSTITUTE(SUBSTITUTE(SUBSTITUTE(SUBSTITUTE(SUBSTITUTE(SUBSTITUTE(SUBSTITUTE(SUBSTITUTE(SUBSTITUTE(SUBSTITUTE(SUBSTITUTE(SUBSTITUTE(TRIM($D842),"'",""),"İ","I"),"ı","I"),"i","I"),"Ş","S"),"ş","S"),"Ğ","G"),"ğ","G"),"Ü","U"),"ü","U"),"Ö","O"),"ö","O"),"Ç","C"),"ç","C"),".",""),",","")," ",""),"-","")))</f>
        <v/>
      </c>
      <c r="S842" s="3">
        <f>IF($D842="","",$C842&amp;"|"&amp;TEXT($E842,"0")&amp;"|"&amp;TEXT($F842,"0")&amp;"|"&amp;$I842)</f>
        <v/>
      </c>
      <c r="T842" s="3">
        <f>IF($E842="",0,SUMPRODUCT((AY_SONU!$O$7:$O$42="Evet")*(AY_SONU!$B$7:$B$42=DATE(YEAR($E842),MONTH($E842),1))))</f>
        <v/>
      </c>
    </row>
    <row r="843">
      <c r="A843" s="6" t="n"/>
      <c r="B843" s="113">
        <f>IF($D843="","","T"&amp;TEXT(ROW()-6,"00000"))</f>
        <v/>
      </c>
      <c r="C843" s="113">
        <f>IF($D843="","",IFERROR(INDEX(MUSTERILER!$B$7:$B$106,MATCH($R843,MUSTERILER!$T$7:$T$106,0)),IFERROR(INDEX(MUSTERILER!$B$7:$B$106,MATCH($D843,MUSTERILER!$B$7:$B$106,0)),IFERROR(INDEX(MUSTERILER!$B$7:$B$106,MATCH($R843&amp;"*",MUSTERILER!$T$7:$T$106,0)),"TANIMSIZ MÜŞTERİ"))))</f>
        <v/>
      </c>
      <c r="D843" s="109" t="n"/>
      <c r="E843" s="220" t="n"/>
      <c r="F843" s="221" t="n"/>
      <c r="G843" s="108" t="n"/>
      <c r="H843" s="108" t="n"/>
      <c r="I843" s="109" t="n"/>
      <c r="J843" s="109" t="n"/>
      <c r="K843" s="109" t="n"/>
      <c r="L843" s="226">
        <f>IF($E843="","",DATE(YEAR($E843),MONTH($E843),1))</f>
        <v/>
      </c>
      <c r="M843" s="113">
        <f>IF($D843="","",IF($C843="TANIMSIZ MÜŞTERİ","HATA",IF(OR($E843="",$F843&lt;=0,$G843=""),"EKSİK",IF($E843&gt;TODAY(),"İLERİ TARİH",IF(COUNTIF($S$7:$S$1506,$S843)&gt;1,"MÜKERRER?",IF($T843&gt;0,"KAPALI DÖNEM","UYGUN"))))))</f>
        <v/>
      </c>
      <c r="N843" s="121">
        <f>IF($C843="","",IF($C843="TANIMSIZ MÜŞTERİ","—",INDEX(MUSTERILER!$C$7:$C$106,MATCH($C843,MUSTERILER!$B$7:$B$106,0))))</f>
        <v/>
      </c>
      <c r="O843" s="6" t="n"/>
      <c r="P843" s="6" t="n"/>
      <c r="Q843" s="3">
        <f>IF($D843="","",$C843&amp;"|"&amp;COUNTIFS($C$7:$C843,$C843))</f>
        <v/>
      </c>
      <c r="R843" s="3">
        <f>IF($D843="","",UPPER(SUBSTITUTE(SUBSTITUTE(SUBSTITUTE(SUBSTITUTE(SUBSTITUTE(SUBSTITUTE(SUBSTITUTE(SUBSTITUTE(SUBSTITUTE(SUBSTITUTE(SUBSTITUTE(SUBSTITUTE(SUBSTITUTE(SUBSTITUTE(SUBSTITUTE(SUBSTITUTE(SUBSTITUTE(SUBSTITUTE(TRIM($D843),"'",""),"İ","I"),"ı","I"),"i","I"),"Ş","S"),"ş","S"),"Ğ","G"),"ğ","G"),"Ü","U"),"ü","U"),"Ö","O"),"ö","O"),"Ç","C"),"ç","C"),".",""),",","")," ",""),"-","")))</f>
        <v/>
      </c>
      <c r="S843" s="3">
        <f>IF($D843="","",$C843&amp;"|"&amp;TEXT($E843,"0")&amp;"|"&amp;TEXT($F843,"0")&amp;"|"&amp;$I843)</f>
        <v/>
      </c>
      <c r="T843" s="3">
        <f>IF($E843="",0,SUMPRODUCT((AY_SONU!$O$7:$O$42="Evet")*(AY_SONU!$B$7:$B$42=DATE(YEAR($E843),MONTH($E843),1))))</f>
        <v/>
      </c>
    </row>
    <row r="844">
      <c r="A844" s="6" t="n"/>
      <c r="B844" s="113">
        <f>IF($D844="","","T"&amp;TEXT(ROW()-6,"00000"))</f>
        <v/>
      </c>
      <c r="C844" s="113">
        <f>IF($D844="","",IFERROR(INDEX(MUSTERILER!$B$7:$B$106,MATCH($R844,MUSTERILER!$T$7:$T$106,0)),IFERROR(INDEX(MUSTERILER!$B$7:$B$106,MATCH($D844,MUSTERILER!$B$7:$B$106,0)),IFERROR(INDEX(MUSTERILER!$B$7:$B$106,MATCH($R844&amp;"*",MUSTERILER!$T$7:$T$106,0)),"TANIMSIZ MÜŞTERİ"))))</f>
        <v/>
      </c>
      <c r="D844" s="109" t="n"/>
      <c r="E844" s="220" t="n"/>
      <c r="F844" s="221" t="n"/>
      <c r="G844" s="108" t="n"/>
      <c r="H844" s="108" t="n"/>
      <c r="I844" s="109" t="n"/>
      <c r="J844" s="109" t="n"/>
      <c r="K844" s="109" t="n"/>
      <c r="L844" s="226">
        <f>IF($E844="","",DATE(YEAR($E844),MONTH($E844),1))</f>
        <v/>
      </c>
      <c r="M844" s="113">
        <f>IF($D844="","",IF($C844="TANIMSIZ MÜŞTERİ","HATA",IF(OR($E844="",$F844&lt;=0,$G844=""),"EKSİK",IF($E844&gt;TODAY(),"İLERİ TARİH",IF(COUNTIF($S$7:$S$1506,$S844)&gt;1,"MÜKERRER?",IF($T844&gt;0,"KAPALI DÖNEM","UYGUN"))))))</f>
        <v/>
      </c>
      <c r="N844" s="121">
        <f>IF($C844="","",IF($C844="TANIMSIZ MÜŞTERİ","—",INDEX(MUSTERILER!$C$7:$C$106,MATCH($C844,MUSTERILER!$B$7:$B$106,0))))</f>
        <v/>
      </c>
      <c r="O844" s="6" t="n"/>
      <c r="P844" s="6" t="n"/>
      <c r="Q844" s="3">
        <f>IF($D844="","",$C844&amp;"|"&amp;COUNTIFS($C$7:$C844,$C844))</f>
        <v/>
      </c>
      <c r="R844" s="3">
        <f>IF($D844="","",UPPER(SUBSTITUTE(SUBSTITUTE(SUBSTITUTE(SUBSTITUTE(SUBSTITUTE(SUBSTITUTE(SUBSTITUTE(SUBSTITUTE(SUBSTITUTE(SUBSTITUTE(SUBSTITUTE(SUBSTITUTE(SUBSTITUTE(SUBSTITUTE(SUBSTITUTE(SUBSTITUTE(SUBSTITUTE(SUBSTITUTE(TRIM($D844),"'",""),"İ","I"),"ı","I"),"i","I"),"Ş","S"),"ş","S"),"Ğ","G"),"ğ","G"),"Ü","U"),"ü","U"),"Ö","O"),"ö","O"),"Ç","C"),"ç","C"),".",""),",","")," ",""),"-","")))</f>
        <v/>
      </c>
      <c r="S844" s="3">
        <f>IF($D844="","",$C844&amp;"|"&amp;TEXT($E844,"0")&amp;"|"&amp;TEXT($F844,"0")&amp;"|"&amp;$I844)</f>
        <v/>
      </c>
      <c r="T844" s="3">
        <f>IF($E844="",0,SUMPRODUCT((AY_SONU!$O$7:$O$42="Evet")*(AY_SONU!$B$7:$B$42=DATE(YEAR($E844),MONTH($E844),1))))</f>
        <v/>
      </c>
    </row>
    <row r="845">
      <c r="A845" s="6" t="n"/>
      <c r="B845" s="113">
        <f>IF($D845="","","T"&amp;TEXT(ROW()-6,"00000"))</f>
        <v/>
      </c>
      <c r="C845" s="113">
        <f>IF($D845="","",IFERROR(INDEX(MUSTERILER!$B$7:$B$106,MATCH($R845,MUSTERILER!$T$7:$T$106,0)),IFERROR(INDEX(MUSTERILER!$B$7:$B$106,MATCH($D845,MUSTERILER!$B$7:$B$106,0)),IFERROR(INDEX(MUSTERILER!$B$7:$B$106,MATCH($R845&amp;"*",MUSTERILER!$T$7:$T$106,0)),"TANIMSIZ MÜŞTERİ"))))</f>
        <v/>
      </c>
      <c r="D845" s="109" t="n"/>
      <c r="E845" s="220" t="n"/>
      <c r="F845" s="221" t="n"/>
      <c r="G845" s="108" t="n"/>
      <c r="H845" s="108" t="n"/>
      <c r="I845" s="109" t="n"/>
      <c r="J845" s="109" t="n"/>
      <c r="K845" s="109" t="n"/>
      <c r="L845" s="226">
        <f>IF($E845="","",DATE(YEAR($E845),MONTH($E845),1))</f>
        <v/>
      </c>
      <c r="M845" s="113">
        <f>IF($D845="","",IF($C845="TANIMSIZ MÜŞTERİ","HATA",IF(OR($E845="",$F845&lt;=0,$G845=""),"EKSİK",IF($E845&gt;TODAY(),"İLERİ TARİH",IF(COUNTIF($S$7:$S$1506,$S845)&gt;1,"MÜKERRER?",IF($T845&gt;0,"KAPALI DÖNEM","UYGUN"))))))</f>
        <v/>
      </c>
      <c r="N845" s="121">
        <f>IF($C845="","",IF($C845="TANIMSIZ MÜŞTERİ","—",INDEX(MUSTERILER!$C$7:$C$106,MATCH($C845,MUSTERILER!$B$7:$B$106,0))))</f>
        <v/>
      </c>
      <c r="O845" s="6" t="n"/>
      <c r="P845" s="6" t="n"/>
      <c r="Q845" s="3">
        <f>IF($D845="","",$C845&amp;"|"&amp;COUNTIFS($C$7:$C845,$C845))</f>
        <v/>
      </c>
      <c r="R845" s="3">
        <f>IF($D845="","",UPPER(SUBSTITUTE(SUBSTITUTE(SUBSTITUTE(SUBSTITUTE(SUBSTITUTE(SUBSTITUTE(SUBSTITUTE(SUBSTITUTE(SUBSTITUTE(SUBSTITUTE(SUBSTITUTE(SUBSTITUTE(SUBSTITUTE(SUBSTITUTE(SUBSTITUTE(SUBSTITUTE(SUBSTITUTE(SUBSTITUTE(TRIM($D845),"'",""),"İ","I"),"ı","I"),"i","I"),"Ş","S"),"ş","S"),"Ğ","G"),"ğ","G"),"Ü","U"),"ü","U"),"Ö","O"),"ö","O"),"Ç","C"),"ç","C"),".",""),",","")," ",""),"-","")))</f>
        <v/>
      </c>
      <c r="S845" s="3">
        <f>IF($D845="","",$C845&amp;"|"&amp;TEXT($E845,"0")&amp;"|"&amp;TEXT($F845,"0")&amp;"|"&amp;$I845)</f>
        <v/>
      </c>
      <c r="T845" s="3">
        <f>IF($E845="",0,SUMPRODUCT((AY_SONU!$O$7:$O$42="Evet")*(AY_SONU!$B$7:$B$42=DATE(YEAR($E845),MONTH($E845),1))))</f>
        <v/>
      </c>
    </row>
    <row r="846">
      <c r="A846" s="6" t="n"/>
      <c r="B846" s="113">
        <f>IF($D846="","","T"&amp;TEXT(ROW()-6,"00000"))</f>
        <v/>
      </c>
      <c r="C846" s="113">
        <f>IF($D846="","",IFERROR(INDEX(MUSTERILER!$B$7:$B$106,MATCH($R846,MUSTERILER!$T$7:$T$106,0)),IFERROR(INDEX(MUSTERILER!$B$7:$B$106,MATCH($D846,MUSTERILER!$B$7:$B$106,0)),IFERROR(INDEX(MUSTERILER!$B$7:$B$106,MATCH($R846&amp;"*",MUSTERILER!$T$7:$T$106,0)),"TANIMSIZ MÜŞTERİ"))))</f>
        <v/>
      </c>
      <c r="D846" s="109" t="n"/>
      <c r="E846" s="220" t="n"/>
      <c r="F846" s="221" t="n"/>
      <c r="G846" s="108" t="n"/>
      <c r="H846" s="108" t="n"/>
      <c r="I846" s="109" t="n"/>
      <c r="J846" s="109" t="n"/>
      <c r="K846" s="109" t="n"/>
      <c r="L846" s="226">
        <f>IF($E846="","",DATE(YEAR($E846),MONTH($E846),1))</f>
        <v/>
      </c>
      <c r="M846" s="113">
        <f>IF($D846="","",IF($C846="TANIMSIZ MÜŞTERİ","HATA",IF(OR($E846="",$F846&lt;=0,$G846=""),"EKSİK",IF($E846&gt;TODAY(),"İLERİ TARİH",IF(COUNTIF($S$7:$S$1506,$S846)&gt;1,"MÜKERRER?",IF($T846&gt;0,"KAPALI DÖNEM","UYGUN"))))))</f>
        <v/>
      </c>
      <c r="N846" s="121">
        <f>IF($C846="","",IF($C846="TANIMSIZ MÜŞTERİ","—",INDEX(MUSTERILER!$C$7:$C$106,MATCH($C846,MUSTERILER!$B$7:$B$106,0))))</f>
        <v/>
      </c>
      <c r="O846" s="6" t="n"/>
      <c r="P846" s="6" t="n"/>
      <c r="Q846" s="3">
        <f>IF($D846="","",$C846&amp;"|"&amp;COUNTIFS($C$7:$C846,$C846))</f>
        <v/>
      </c>
      <c r="R846" s="3">
        <f>IF($D846="","",UPPER(SUBSTITUTE(SUBSTITUTE(SUBSTITUTE(SUBSTITUTE(SUBSTITUTE(SUBSTITUTE(SUBSTITUTE(SUBSTITUTE(SUBSTITUTE(SUBSTITUTE(SUBSTITUTE(SUBSTITUTE(SUBSTITUTE(SUBSTITUTE(SUBSTITUTE(SUBSTITUTE(SUBSTITUTE(SUBSTITUTE(TRIM($D846),"'",""),"İ","I"),"ı","I"),"i","I"),"Ş","S"),"ş","S"),"Ğ","G"),"ğ","G"),"Ü","U"),"ü","U"),"Ö","O"),"ö","O"),"Ç","C"),"ç","C"),".",""),",","")," ",""),"-","")))</f>
        <v/>
      </c>
      <c r="S846" s="3">
        <f>IF($D846="","",$C846&amp;"|"&amp;TEXT($E846,"0")&amp;"|"&amp;TEXT($F846,"0")&amp;"|"&amp;$I846)</f>
        <v/>
      </c>
      <c r="T846" s="3">
        <f>IF($E846="",0,SUMPRODUCT((AY_SONU!$O$7:$O$42="Evet")*(AY_SONU!$B$7:$B$42=DATE(YEAR($E846),MONTH($E846),1))))</f>
        <v/>
      </c>
    </row>
    <row r="847">
      <c r="A847" s="6" t="n"/>
      <c r="B847" s="113">
        <f>IF($D847="","","T"&amp;TEXT(ROW()-6,"00000"))</f>
        <v/>
      </c>
      <c r="C847" s="113">
        <f>IF($D847="","",IFERROR(INDEX(MUSTERILER!$B$7:$B$106,MATCH($R847,MUSTERILER!$T$7:$T$106,0)),IFERROR(INDEX(MUSTERILER!$B$7:$B$106,MATCH($D847,MUSTERILER!$B$7:$B$106,0)),IFERROR(INDEX(MUSTERILER!$B$7:$B$106,MATCH($R847&amp;"*",MUSTERILER!$T$7:$T$106,0)),"TANIMSIZ MÜŞTERİ"))))</f>
        <v/>
      </c>
      <c r="D847" s="109" t="n"/>
      <c r="E847" s="220" t="n"/>
      <c r="F847" s="221" t="n"/>
      <c r="G847" s="108" t="n"/>
      <c r="H847" s="108" t="n"/>
      <c r="I847" s="109" t="n"/>
      <c r="J847" s="109" t="n"/>
      <c r="K847" s="109" t="n"/>
      <c r="L847" s="226">
        <f>IF($E847="","",DATE(YEAR($E847),MONTH($E847),1))</f>
        <v/>
      </c>
      <c r="M847" s="113">
        <f>IF($D847="","",IF($C847="TANIMSIZ MÜŞTERİ","HATA",IF(OR($E847="",$F847&lt;=0,$G847=""),"EKSİK",IF($E847&gt;TODAY(),"İLERİ TARİH",IF(COUNTIF($S$7:$S$1506,$S847)&gt;1,"MÜKERRER?",IF($T847&gt;0,"KAPALI DÖNEM","UYGUN"))))))</f>
        <v/>
      </c>
      <c r="N847" s="121">
        <f>IF($C847="","",IF($C847="TANIMSIZ MÜŞTERİ","—",INDEX(MUSTERILER!$C$7:$C$106,MATCH($C847,MUSTERILER!$B$7:$B$106,0))))</f>
        <v/>
      </c>
      <c r="O847" s="6" t="n"/>
      <c r="P847" s="6" t="n"/>
      <c r="Q847" s="3">
        <f>IF($D847="","",$C847&amp;"|"&amp;COUNTIFS($C$7:$C847,$C847))</f>
        <v/>
      </c>
      <c r="R847" s="3">
        <f>IF($D847="","",UPPER(SUBSTITUTE(SUBSTITUTE(SUBSTITUTE(SUBSTITUTE(SUBSTITUTE(SUBSTITUTE(SUBSTITUTE(SUBSTITUTE(SUBSTITUTE(SUBSTITUTE(SUBSTITUTE(SUBSTITUTE(SUBSTITUTE(SUBSTITUTE(SUBSTITUTE(SUBSTITUTE(SUBSTITUTE(SUBSTITUTE(TRIM($D847),"'",""),"İ","I"),"ı","I"),"i","I"),"Ş","S"),"ş","S"),"Ğ","G"),"ğ","G"),"Ü","U"),"ü","U"),"Ö","O"),"ö","O"),"Ç","C"),"ç","C"),".",""),",","")," ",""),"-","")))</f>
        <v/>
      </c>
      <c r="S847" s="3">
        <f>IF($D847="","",$C847&amp;"|"&amp;TEXT($E847,"0")&amp;"|"&amp;TEXT($F847,"0")&amp;"|"&amp;$I847)</f>
        <v/>
      </c>
      <c r="T847" s="3">
        <f>IF($E847="",0,SUMPRODUCT((AY_SONU!$O$7:$O$42="Evet")*(AY_SONU!$B$7:$B$42=DATE(YEAR($E847),MONTH($E847),1))))</f>
        <v/>
      </c>
    </row>
    <row r="848">
      <c r="A848" s="6" t="n"/>
      <c r="B848" s="113">
        <f>IF($D848="","","T"&amp;TEXT(ROW()-6,"00000"))</f>
        <v/>
      </c>
      <c r="C848" s="113">
        <f>IF($D848="","",IFERROR(INDEX(MUSTERILER!$B$7:$B$106,MATCH($R848,MUSTERILER!$T$7:$T$106,0)),IFERROR(INDEX(MUSTERILER!$B$7:$B$106,MATCH($D848,MUSTERILER!$B$7:$B$106,0)),IFERROR(INDEX(MUSTERILER!$B$7:$B$106,MATCH($R848&amp;"*",MUSTERILER!$T$7:$T$106,0)),"TANIMSIZ MÜŞTERİ"))))</f>
        <v/>
      </c>
      <c r="D848" s="109" t="n"/>
      <c r="E848" s="220" t="n"/>
      <c r="F848" s="221" t="n"/>
      <c r="G848" s="108" t="n"/>
      <c r="H848" s="108" t="n"/>
      <c r="I848" s="109" t="n"/>
      <c r="J848" s="109" t="n"/>
      <c r="K848" s="109" t="n"/>
      <c r="L848" s="226">
        <f>IF($E848="","",DATE(YEAR($E848),MONTH($E848),1))</f>
        <v/>
      </c>
      <c r="M848" s="113">
        <f>IF($D848="","",IF($C848="TANIMSIZ MÜŞTERİ","HATA",IF(OR($E848="",$F848&lt;=0,$G848=""),"EKSİK",IF($E848&gt;TODAY(),"İLERİ TARİH",IF(COUNTIF($S$7:$S$1506,$S848)&gt;1,"MÜKERRER?",IF($T848&gt;0,"KAPALI DÖNEM","UYGUN"))))))</f>
        <v/>
      </c>
      <c r="N848" s="121">
        <f>IF($C848="","",IF($C848="TANIMSIZ MÜŞTERİ","—",INDEX(MUSTERILER!$C$7:$C$106,MATCH($C848,MUSTERILER!$B$7:$B$106,0))))</f>
        <v/>
      </c>
      <c r="O848" s="6" t="n"/>
      <c r="P848" s="6" t="n"/>
      <c r="Q848" s="3">
        <f>IF($D848="","",$C848&amp;"|"&amp;COUNTIFS($C$7:$C848,$C848))</f>
        <v/>
      </c>
      <c r="R848" s="3">
        <f>IF($D848="","",UPPER(SUBSTITUTE(SUBSTITUTE(SUBSTITUTE(SUBSTITUTE(SUBSTITUTE(SUBSTITUTE(SUBSTITUTE(SUBSTITUTE(SUBSTITUTE(SUBSTITUTE(SUBSTITUTE(SUBSTITUTE(SUBSTITUTE(SUBSTITUTE(SUBSTITUTE(SUBSTITUTE(SUBSTITUTE(SUBSTITUTE(TRIM($D848),"'",""),"İ","I"),"ı","I"),"i","I"),"Ş","S"),"ş","S"),"Ğ","G"),"ğ","G"),"Ü","U"),"ü","U"),"Ö","O"),"ö","O"),"Ç","C"),"ç","C"),".",""),",","")," ",""),"-","")))</f>
        <v/>
      </c>
      <c r="S848" s="3">
        <f>IF($D848="","",$C848&amp;"|"&amp;TEXT($E848,"0")&amp;"|"&amp;TEXT($F848,"0")&amp;"|"&amp;$I848)</f>
        <v/>
      </c>
      <c r="T848" s="3">
        <f>IF($E848="",0,SUMPRODUCT((AY_SONU!$O$7:$O$42="Evet")*(AY_SONU!$B$7:$B$42=DATE(YEAR($E848),MONTH($E848),1))))</f>
        <v/>
      </c>
    </row>
    <row r="849">
      <c r="A849" s="6" t="n"/>
      <c r="B849" s="113">
        <f>IF($D849="","","T"&amp;TEXT(ROW()-6,"00000"))</f>
        <v/>
      </c>
      <c r="C849" s="113">
        <f>IF($D849="","",IFERROR(INDEX(MUSTERILER!$B$7:$B$106,MATCH($R849,MUSTERILER!$T$7:$T$106,0)),IFERROR(INDEX(MUSTERILER!$B$7:$B$106,MATCH($D849,MUSTERILER!$B$7:$B$106,0)),IFERROR(INDEX(MUSTERILER!$B$7:$B$106,MATCH($R849&amp;"*",MUSTERILER!$T$7:$T$106,0)),"TANIMSIZ MÜŞTERİ"))))</f>
        <v/>
      </c>
      <c r="D849" s="109" t="n"/>
      <c r="E849" s="220" t="n"/>
      <c r="F849" s="221" t="n"/>
      <c r="G849" s="108" t="n"/>
      <c r="H849" s="108" t="n"/>
      <c r="I849" s="109" t="n"/>
      <c r="J849" s="109" t="n"/>
      <c r="K849" s="109" t="n"/>
      <c r="L849" s="226">
        <f>IF($E849="","",DATE(YEAR($E849),MONTH($E849),1))</f>
        <v/>
      </c>
      <c r="M849" s="113">
        <f>IF($D849="","",IF($C849="TANIMSIZ MÜŞTERİ","HATA",IF(OR($E849="",$F849&lt;=0,$G849=""),"EKSİK",IF($E849&gt;TODAY(),"İLERİ TARİH",IF(COUNTIF($S$7:$S$1506,$S849)&gt;1,"MÜKERRER?",IF($T849&gt;0,"KAPALI DÖNEM","UYGUN"))))))</f>
        <v/>
      </c>
      <c r="N849" s="121">
        <f>IF($C849="","",IF($C849="TANIMSIZ MÜŞTERİ","—",INDEX(MUSTERILER!$C$7:$C$106,MATCH($C849,MUSTERILER!$B$7:$B$106,0))))</f>
        <v/>
      </c>
      <c r="O849" s="6" t="n"/>
      <c r="P849" s="6" t="n"/>
      <c r="Q849" s="3">
        <f>IF($D849="","",$C849&amp;"|"&amp;COUNTIFS($C$7:$C849,$C849))</f>
        <v/>
      </c>
      <c r="R849" s="3">
        <f>IF($D849="","",UPPER(SUBSTITUTE(SUBSTITUTE(SUBSTITUTE(SUBSTITUTE(SUBSTITUTE(SUBSTITUTE(SUBSTITUTE(SUBSTITUTE(SUBSTITUTE(SUBSTITUTE(SUBSTITUTE(SUBSTITUTE(SUBSTITUTE(SUBSTITUTE(SUBSTITUTE(SUBSTITUTE(SUBSTITUTE(SUBSTITUTE(TRIM($D849),"'",""),"İ","I"),"ı","I"),"i","I"),"Ş","S"),"ş","S"),"Ğ","G"),"ğ","G"),"Ü","U"),"ü","U"),"Ö","O"),"ö","O"),"Ç","C"),"ç","C"),".",""),",","")," ",""),"-","")))</f>
        <v/>
      </c>
      <c r="S849" s="3">
        <f>IF($D849="","",$C849&amp;"|"&amp;TEXT($E849,"0")&amp;"|"&amp;TEXT($F849,"0")&amp;"|"&amp;$I849)</f>
        <v/>
      </c>
      <c r="T849" s="3">
        <f>IF($E849="",0,SUMPRODUCT((AY_SONU!$O$7:$O$42="Evet")*(AY_SONU!$B$7:$B$42=DATE(YEAR($E849),MONTH($E849),1))))</f>
        <v/>
      </c>
    </row>
    <row r="850">
      <c r="A850" s="6" t="n"/>
      <c r="B850" s="113">
        <f>IF($D850="","","T"&amp;TEXT(ROW()-6,"00000"))</f>
        <v/>
      </c>
      <c r="C850" s="113">
        <f>IF($D850="","",IFERROR(INDEX(MUSTERILER!$B$7:$B$106,MATCH($R850,MUSTERILER!$T$7:$T$106,0)),IFERROR(INDEX(MUSTERILER!$B$7:$B$106,MATCH($D850,MUSTERILER!$B$7:$B$106,0)),IFERROR(INDEX(MUSTERILER!$B$7:$B$106,MATCH($R850&amp;"*",MUSTERILER!$T$7:$T$106,0)),"TANIMSIZ MÜŞTERİ"))))</f>
        <v/>
      </c>
      <c r="D850" s="109" t="n"/>
      <c r="E850" s="220" t="n"/>
      <c r="F850" s="221" t="n"/>
      <c r="G850" s="108" t="n"/>
      <c r="H850" s="108" t="n"/>
      <c r="I850" s="109" t="n"/>
      <c r="J850" s="109" t="n"/>
      <c r="K850" s="109" t="n"/>
      <c r="L850" s="226">
        <f>IF($E850="","",DATE(YEAR($E850),MONTH($E850),1))</f>
        <v/>
      </c>
      <c r="M850" s="113">
        <f>IF($D850="","",IF($C850="TANIMSIZ MÜŞTERİ","HATA",IF(OR($E850="",$F850&lt;=0,$G850=""),"EKSİK",IF($E850&gt;TODAY(),"İLERİ TARİH",IF(COUNTIF($S$7:$S$1506,$S850)&gt;1,"MÜKERRER?",IF($T850&gt;0,"KAPALI DÖNEM","UYGUN"))))))</f>
        <v/>
      </c>
      <c r="N850" s="121">
        <f>IF($C850="","",IF($C850="TANIMSIZ MÜŞTERİ","—",INDEX(MUSTERILER!$C$7:$C$106,MATCH($C850,MUSTERILER!$B$7:$B$106,0))))</f>
        <v/>
      </c>
      <c r="O850" s="6" t="n"/>
      <c r="P850" s="6" t="n"/>
      <c r="Q850" s="3">
        <f>IF($D850="","",$C850&amp;"|"&amp;COUNTIFS($C$7:$C850,$C850))</f>
        <v/>
      </c>
      <c r="R850" s="3">
        <f>IF($D850="","",UPPER(SUBSTITUTE(SUBSTITUTE(SUBSTITUTE(SUBSTITUTE(SUBSTITUTE(SUBSTITUTE(SUBSTITUTE(SUBSTITUTE(SUBSTITUTE(SUBSTITUTE(SUBSTITUTE(SUBSTITUTE(SUBSTITUTE(SUBSTITUTE(SUBSTITUTE(SUBSTITUTE(SUBSTITUTE(SUBSTITUTE(TRIM($D850),"'",""),"İ","I"),"ı","I"),"i","I"),"Ş","S"),"ş","S"),"Ğ","G"),"ğ","G"),"Ü","U"),"ü","U"),"Ö","O"),"ö","O"),"Ç","C"),"ç","C"),".",""),",","")," ",""),"-","")))</f>
        <v/>
      </c>
      <c r="S850" s="3">
        <f>IF($D850="","",$C850&amp;"|"&amp;TEXT($E850,"0")&amp;"|"&amp;TEXT($F850,"0")&amp;"|"&amp;$I850)</f>
        <v/>
      </c>
      <c r="T850" s="3">
        <f>IF($E850="",0,SUMPRODUCT((AY_SONU!$O$7:$O$42="Evet")*(AY_SONU!$B$7:$B$42=DATE(YEAR($E850),MONTH($E850),1))))</f>
        <v/>
      </c>
    </row>
    <row r="851">
      <c r="A851" s="6" t="n"/>
      <c r="B851" s="113">
        <f>IF($D851="","","T"&amp;TEXT(ROW()-6,"00000"))</f>
        <v/>
      </c>
      <c r="C851" s="113">
        <f>IF($D851="","",IFERROR(INDEX(MUSTERILER!$B$7:$B$106,MATCH($R851,MUSTERILER!$T$7:$T$106,0)),IFERROR(INDEX(MUSTERILER!$B$7:$B$106,MATCH($D851,MUSTERILER!$B$7:$B$106,0)),IFERROR(INDEX(MUSTERILER!$B$7:$B$106,MATCH($R851&amp;"*",MUSTERILER!$T$7:$T$106,0)),"TANIMSIZ MÜŞTERİ"))))</f>
        <v/>
      </c>
      <c r="D851" s="109" t="n"/>
      <c r="E851" s="220" t="n"/>
      <c r="F851" s="221" t="n"/>
      <c r="G851" s="108" t="n"/>
      <c r="H851" s="108" t="n"/>
      <c r="I851" s="109" t="n"/>
      <c r="J851" s="109" t="n"/>
      <c r="K851" s="109" t="n"/>
      <c r="L851" s="226">
        <f>IF($E851="","",DATE(YEAR($E851),MONTH($E851),1))</f>
        <v/>
      </c>
      <c r="M851" s="113">
        <f>IF($D851="","",IF($C851="TANIMSIZ MÜŞTERİ","HATA",IF(OR($E851="",$F851&lt;=0,$G851=""),"EKSİK",IF($E851&gt;TODAY(),"İLERİ TARİH",IF(COUNTIF($S$7:$S$1506,$S851)&gt;1,"MÜKERRER?",IF($T851&gt;0,"KAPALI DÖNEM","UYGUN"))))))</f>
        <v/>
      </c>
      <c r="N851" s="121">
        <f>IF($C851="","",IF($C851="TANIMSIZ MÜŞTERİ","—",INDEX(MUSTERILER!$C$7:$C$106,MATCH($C851,MUSTERILER!$B$7:$B$106,0))))</f>
        <v/>
      </c>
      <c r="O851" s="6" t="n"/>
      <c r="P851" s="6" t="n"/>
      <c r="Q851" s="3">
        <f>IF($D851="","",$C851&amp;"|"&amp;COUNTIFS($C$7:$C851,$C851))</f>
        <v/>
      </c>
      <c r="R851" s="3">
        <f>IF($D851="","",UPPER(SUBSTITUTE(SUBSTITUTE(SUBSTITUTE(SUBSTITUTE(SUBSTITUTE(SUBSTITUTE(SUBSTITUTE(SUBSTITUTE(SUBSTITUTE(SUBSTITUTE(SUBSTITUTE(SUBSTITUTE(SUBSTITUTE(SUBSTITUTE(SUBSTITUTE(SUBSTITUTE(SUBSTITUTE(SUBSTITUTE(TRIM($D851),"'",""),"İ","I"),"ı","I"),"i","I"),"Ş","S"),"ş","S"),"Ğ","G"),"ğ","G"),"Ü","U"),"ü","U"),"Ö","O"),"ö","O"),"Ç","C"),"ç","C"),".",""),",","")," ",""),"-","")))</f>
        <v/>
      </c>
      <c r="S851" s="3">
        <f>IF($D851="","",$C851&amp;"|"&amp;TEXT($E851,"0")&amp;"|"&amp;TEXT($F851,"0")&amp;"|"&amp;$I851)</f>
        <v/>
      </c>
      <c r="T851" s="3">
        <f>IF($E851="",0,SUMPRODUCT((AY_SONU!$O$7:$O$42="Evet")*(AY_SONU!$B$7:$B$42=DATE(YEAR($E851),MONTH($E851),1))))</f>
        <v/>
      </c>
    </row>
    <row r="852">
      <c r="A852" s="6" t="n"/>
      <c r="B852" s="113">
        <f>IF($D852="","","T"&amp;TEXT(ROW()-6,"00000"))</f>
        <v/>
      </c>
      <c r="C852" s="113">
        <f>IF($D852="","",IFERROR(INDEX(MUSTERILER!$B$7:$B$106,MATCH($R852,MUSTERILER!$T$7:$T$106,0)),IFERROR(INDEX(MUSTERILER!$B$7:$B$106,MATCH($D852,MUSTERILER!$B$7:$B$106,0)),IFERROR(INDEX(MUSTERILER!$B$7:$B$106,MATCH($R852&amp;"*",MUSTERILER!$T$7:$T$106,0)),"TANIMSIZ MÜŞTERİ"))))</f>
        <v/>
      </c>
      <c r="D852" s="109" t="n"/>
      <c r="E852" s="220" t="n"/>
      <c r="F852" s="221" t="n"/>
      <c r="G852" s="108" t="n"/>
      <c r="H852" s="108" t="n"/>
      <c r="I852" s="109" t="n"/>
      <c r="J852" s="109" t="n"/>
      <c r="K852" s="109" t="n"/>
      <c r="L852" s="226">
        <f>IF($E852="","",DATE(YEAR($E852),MONTH($E852),1))</f>
        <v/>
      </c>
      <c r="M852" s="113">
        <f>IF($D852="","",IF($C852="TANIMSIZ MÜŞTERİ","HATA",IF(OR($E852="",$F852&lt;=0,$G852=""),"EKSİK",IF($E852&gt;TODAY(),"İLERİ TARİH",IF(COUNTIF($S$7:$S$1506,$S852)&gt;1,"MÜKERRER?",IF($T852&gt;0,"KAPALI DÖNEM","UYGUN"))))))</f>
        <v/>
      </c>
      <c r="N852" s="121">
        <f>IF($C852="","",IF($C852="TANIMSIZ MÜŞTERİ","—",INDEX(MUSTERILER!$C$7:$C$106,MATCH($C852,MUSTERILER!$B$7:$B$106,0))))</f>
        <v/>
      </c>
      <c r="O852" s="6" t="n"/>
      <c r="P852" s="6" t="n"/>
      <c r="Q852" s="3">
        <f>IF($D852="","",$C852&amp;"|"&amp;COUNTIFS($C$7:$C852,$C852))</f>
        <v/>
      </c>
      <c r="R852" s="3">
        <f>IF($D852="","",UPPER(SUBSTITUTE(SUBSTITUTE(SUBSTITUTE(SUBSTITUTE(SUBSTITUTE(SUBSTITUTE(SUBSTITUTE(SUBSTITUTE(SUBSTITUTE(SUBSTITUTE(SUBSTITUTE(SUBSTITUTE(SUBSTITUTE(SUBSTITUTE(SUBSTITUTE(SUBSTITUTE(SUBSTITUTE(SUBSTITUTE(TRIM($D852),"'",""),"İ","I"),"ı","I"),"i","I"),"Ş","S"),"ş","S"),"Ğ","G"),"ğ","G"),"Ü","U"),"ü","U"),"Ö","O"),"ö","O"),"Ç","C"),"ç","C"),".",""),",","")," ",""),"-","")))</f>
        <v/>
      </c>
      <c r="S852" s="3">
        <f>IF($D852="","",$C852&amp;"|"&amp;TEXT($E852,"0")&amp;"|"&amp;TEXT($F852,"0")&amp;"|"&amp;$I852)</f>
        <v/>
      </c>
      <c r="T852" s="3">
        <f>IF($E852="",0,SUMPRODUCT((AY_SONU!$O$7:$O$42="Evet")*(AY_SONU!$B$7:$B$42=DATE(YEAR($E852),MONTH($E852),1))))</f>
        <v/>
      </c>
    </row>
    <row r="853">
      <c r="A853" s="6" t="n"/>
      <c r="B853" s="113">
        <f>IF($D853="","","T"&amp;TEXT(ROW()-6,"00000"))</f>
        <v/>
      </c>
      <c r="C853" s="113">
        <f>IF($D853="","",IFERROR(INDEX(MUSTERILER!$B$7:$B$106,MATCH($R853,MUSTERILER!$T$7:$T$106,0)),IFERROR(INDEX(MUSTERILER!$B$7:$B$106,MATCH($D853,MUSTERILER!$B$7:$B$106,0)),IFERROR(INDEX(MUSTERILER!$B$7:$B$106,MATCH($R853&amp;"*",MUSTERILER!$T$7:$T$106,0)),"TANIMSIZ MÜŞTERİ"))))</f>
        <v/>
      </c>
      <c r="D853" s="109" t="n"/>
      <c r="E853" s="220" t="n"/>
      <c r="F853" s="221" t="n"/>
      <c r="G853" s="108" t="n"/>
      <c r="H853" s="108" t="n"/>
      <c r="I853" s="109" t="n"/>
      <c r="J853" s="109" t="n"/>
      <c r="K853" s="109" t="n"/>
      <c r="L853" s="226">
        <f>IF($E853="","",DATE(YEAR($E853),MONTH($E853),1))</f>
        <v/>
      </c>
      <c r="M853" s="113">
        <f>IF($D853="","",IF($C853="TANIMSIZ MÜŞTERİ","HATA",IF(OR($E853="",$F853&lt;=0,$G853=""),"EKSİK",IF($E853&gt;TODAY(),"İLERİ TARİH",IF(COUNTIF($S$7:$S$1506,$S853)&gt;1,"MÜKERRER?",IF($T853&gt;0,"KAPALI DÖNEM","UYGUN"))))))</f>
        <v/>
      </c>
      <c r="N853" s="121">
        <f>IF($C853="","",IF($C853="TANIMSIZ MÜŞTERİ","—",INDEX(MUSTERILER!$C$7:$C$106,MATCH($C853,MUSTERILER!$B$7:$B$106,0))))</f>
        <v/>
      </c>
      <c r="O853" s="6" t="n"/>
      <c r="P853" s="6" t="n"/>
      <c r="Q853" s="3">
        <f>IF($D853="","",$C853&amp;"|"&amp;COUNTIFS($C$7:$C853,$C853))</f>
        <v/>
      </c>
      <c r="R853" s="3">
        <f>IF($D853="","",UPPER(SUBSTITUTE(SUBSTITUTE(SUBSTITUTE(SUBSTITUTE(SUBSTITUTE(SUBSTITUTE(SUBSTITUTE(SUBSTITUTE(SUBSTITUTE(SUBSTITUTE(SUBSTITUTE(SUBSTITUTE(SUBSTITUTE(SUBSTITUTE(SUBSTITUTE(SUBSTITUTE(SUBSTITUTE(SUBSTITUTE(TRIM($D853),"'",""),"İ","I"),"ı","I"),"i","I"),"Ş","S"),"ş","S"),"Ğ","G"),"ğ","G"),"Ü","U"),"ü","U"),"Ö","O"),"ö","O"),"Ç","C"),"ç","C"),".",""),",","")," ",""),"-","")))</f>
        <v/>
      </c>
      <c r="S853" s="3">
        <f>IF($D853="","",$C853&amp;"|"&amp;TEXT($E853,"0")&amp;"|"&amp;TEXT($F853,"0")&amp;"|"&amp;$I853)</f>
        <v/>
      </c>
      <c r="T853" s="3">
        <f>IF($E853="",0,SUMPRODUCT((AY_SONU!$O$7:$O$42="Evet")*(AY_SONU!$B$7:$B$42=DATE(YEAR($E853),MONTH($E853),1))))</f>
        <v/>
      </c>
    </row>
    <row r="854">
      <c r="A854" s="6" t="n"/>
      <c r="B854" s="113">
        <f>IF($D854="","","T"&amp;TEXT(ROW()-6,"00000"))</f>
        <v/>
      </c>
      <c r="C854" s="113">
        <f>IF($D854="","",IFERROR(INDEX(MUSTERILER!$B$7:$B$106,MATCH($R854,MUSTERILER!$T$7:$T$106,0)),IFERROR(INDEX(MUSTERILER!$B$7:$B$106,MATCH($D854,MUSTERILER!$B$7:$B$106,0)),IFERROR(INDEX(MUSTERILER!$B$7:$B$106,MATCH($R854&amp;"*",MUSTERILER!$T$7:$T$106,0)),"TANIMSIZ MÜŞTERİ"))))</f>
        <v/>
      </c>
      <c r="D854" s="109" t="n"/>
      <c r="E854" s="220" t="n"/>
      <c r="F854" s="221" t="n"/>
      <c r="G854" s="108" t="n"/>
      <c r="H854" s="108" t="n"/>
      <c r="I854" s="109" t="n"/>
      <c r="J854" s="109" t="n"/>
      <c r="K854" s="109" t="n"/>
      <c r="L854" s="226">
        <f>IF($E854="","",DATE(YEAR($E854),MONTH($E854),1))</f>
        <v/>
      </c>
      <c r="M854" s="113">
        <f>IF($D854="","",IF($C854="TANIMSIZ MÜŞTERİ","HATA",IF(OR($E854="",$F854&lt;=0,$G854=""),"EKSİK",IF($E854&gt;TODAY(),"İLERİ TARİH",IF(COUNTIF($S$7:$S$1506,$S854)&gt;1,"MÜKERRER?",IF($T854&gt;0,"KAPALI DÖNEM","UYGUN"))))))</f>
        <v/>
      </c>
      <c r="N854" s="121">
        <f>IF($C854="","",IF($C854="TANIMSIZ MÜŞTERİ","—",INDEX(MUSTERILER!$C$7:$C$106,MATCH($C854,MUSTERILER!$B$7:$B$106,0))))</f>
        <v/>
      </c>
      <c r="O854" s="6" t="n"/>
      <c r="P854" s="6" t="n"/>
      <c r="Q854" s="3">
        <f>IF($D854="","",$C854&amp;"|"&amp;COUNTIFS($C$7:$C854,$C854))</f>
        <v/>
      </c>
      <c r="R854" s="3">
        <f>IF($D854="","",UPPER(SUBSTITUTE(SUBSTITUTE(SUBSTITUTE(SUBSTITUTE(SUBSTITUTE(SUBSTITUTE(SUBSTITUTE(SUBSTITUTE(SUBSTITUTE(SUBSTITUTE(SUBSTITUTE(SUBSTITUTE(SUBSTITUTE(SUBSTITUTE(SUBSTITUTE(SUBSTITUTE(SUBSTITUTE(SUBSTITUTE(TRIM($D854),"'",""),"İ","I"),"ı","I"),"i","I"),"Ş","S"),"ş","S"),"Ğ","G"),"ğ","G"),"Ü","U"),"ü","U"),"Ö","O"),"ö","O"),"Ç","C"),"ç","C"),".",""),",","")," ",""),"-","")))</f>
        <v/>
      </c>
      <c r="S854" s="3">
        <f>IF($D854="","",$C854&amp;"|"&amp;TEXT($E854,"0")&amp;"|"&amp;TEXT($F854,"0")&amp;"|"&amp;$I854)</f>
        <v/>
      </c>
      <c r="T854" s="3">
        <f>IF($E854="",0,SUMPRODUCT((AY_SONU!$O$7:$O$42="Evet")*(AY_SONU!$B$7:$B$42=DATE(YEAR($E854),MONTH($E854),1))))</f>
        <v/>
      </c>
    </row>
    <row r="855">
      <c r="A855" s="6" t="n"/>
      <c r="B855" s="113">
        <f>IF($D855="","","T"&amp;TEXT(ROW()-6,"00000"))</f>
        <v/>
      </c>
      <c r="C855" s="113">
        <f>IF($D855="","",IFERROR(INDEX(MUSTERILER!$B$7:$B$106,MATCH($R855,MUSTERILER!$T$7:$T$106,0)),IFERROR(INDEX(MUSTERILER!$B$7:$B$106,MATCH($D855,MUSTERILER!$B$7:$B$106,0)),IFERROR(INDEX(MUSTERILER!$B$7:$B$106,MATCH($R855&amp;"*",MUSTERILER!$T$7:$T$106,0)),"TANIMSIZ MÜŞTERİ"))))</f>
        <v/>
      </c>
      <c r="D855" s="109" t="n"/>
      <c r="E855" s="220" t="n"/>
      <c r="F855" s="221" t="n"/>
      <c r="G855" s="108" t="n"/>
      <c r="H855" s="108" t="n"/>
      <c r="I855" s="109" t="n"/>
      <c r="J855" s="109" t="n"/>
      <c r="K855" s="109" t="n"/>
      <c r="L855" s="226">
        <f>IF($E855="","",DATE(YEAR($E855),MONTH($E855),1))</f>
        <v/>
      </c>
      <c r="M855" s="113">
        <f>IF($D855="","",IF($C855="TANIMSIZ MÜŞTERİ","HATA",IF(OR($E855="",$F855&lt;=0,$G855=""),"EKSİK",IF($E855&gt;TODAY(),"İLERİ TARİH",IF(COUNTIF($S$7:$S$1506,$S855)&gt;1,"MÜKERRER?",IF($T855&gt;0,"KAPALI DÖNEM","UYGUN"))))))</f>
        <v/>
      </c>
      <c r="N855" s="121">
        <f>IF($C855="","",IF($C855="TANIMSIZ MÜŞTERİ","—",INDEX(MUSTERILER!$C$7:$C$106,MATCH($C855,MUSTERILER!$B$7:$B$106,0))))</f>
        <v/>
      </c>
      <c r="O855" s="6" t="n"/>
      <c r="P855" s="6" t="n"/>
      <c r="Q855" s="3">
        <f>IF($D855="","",$C855&amp;"|"&amp;COUNTIFS($C$7:$C855,$C855))</f>
        <v/>
      </c>
      <c r="R855" s="3">
        <f>IF($D855="","",UPPER(SUBSTITUTE(SUBSTITUTE(SUBSTITUTE(SUBSTITUTE(SUBSTITUTE(SUBSTITUTE(SUBSTITUTE(SUBSTITUTE(SUBSTITUTE(SUBSTITUTE(SUBSTITUTE(SUBSTITUTE(SUBSTITUTE(SUBSTITUTE(SUBSTITUTE(SUBSTITUTE(SUBSTITUTE(SUBSTITUTE(TRIM($D855),"'",""),"İ","I"),"ı","I"),"i","I"),"Ş","S"),"ş","S"),"Ğ","G"),"ğ","G"),"Ü","U"),"ü","U"),"Ö","O"),"ö","O"),"Ç","C"),"ç","C"),".",""),",","")," ",""),"-","")))</f>
        <v/>
      </c>
      <c r="S855" s="3">
        <f>IF($D855="","",$C855&amp;"|"&amp;TEXT($E855,"0")&amp;"|"&amp;TEXT($F855,"0")&amp;"|"&amp;$I855)</f>
        <v/>
      </c>
      <c r="T855" s="3">
        <f>IF($E855="",0,SUMPRODUCT((AY_SONU!$O$7:$O$42="Evet")*(AY_SONU!$B$7:$B$42=DATE(YEAR($E855),MONTH($E855),1))))</f>
        <v/>
      </c>
    </row>
    <row r="856">
      <c r="A856" s="6" t="n"/>
      <c r="B856" s="113">
        <f>IF($D856="","","T"&amp;TEXT(ROW()-6,"00000"))</f>
        <v/>
      </c>
      <c r="C856" s="113">
        <f>IF($D856="","",IFERROR(INDEX(MUSTERILER!$B$7:$B$106,MATCH($R856,MUSTERILER!$T$7:$T$106,0)),IFERROR(INDEX(MUSTERILER!$B$7:$B$106,MATCH($D856,MUSTERILER!$B$7:$B$106,0)),IFERROR(INDEX(MUSTERILER!$B$7:$B$106,MATCH($R856&amp;"*",MUSTERILER!$T$7:$T$106,0)),"TANIMSIZ MÜŞTERİ"))))</f>
        <v/>
      </c>
      <c r="D856" s="109" t="n"/>
      <c r="E856" s="220" t="n"/>
      <c r="F856" s="221" t="n"/>
      <c r="G856" s="108" t="n"/>
      <c r="H856" s="108" t="n"/>
      <c r="I856" s="109" t="n"/>
      <c r="J856" s="109" t="n"/>
      <c r="K856" s="109" t="n"/>
      <c r="L856" s="226">
        <f>IF($E856="","",DATE(YEAR($E856),MONTH($E856),1))</f>
        <v/>
      </c>
      <c r="M856" s="113">
        <f>IF($D856="","",IF($C856="TANIMSIZ MÜŞTERİ","HATA",IF(OR($E856="",$F856&lt;=0,$G856=""),"EKSİK",IF($E856&gt;TODAY(),"İLERİ TARİH",IF(COUNTIF($S$7:$S$1506,$S856)&gt;1,"MÜKERRER?",IF($T856&gt;0,"KAPALI DÖNEM","UYGUN"))))))</f>
        <v/>
      </c>
      <c r="N856" s="121">
        <f>IF($C856="","",IF($C856="TANIMSIZ MÜŞTERİ","—",INDEX(MUSTERILER!$C$7:$C$106,MATCH($C856,MUSTERILER!$B$7:$B$106,0))))</f>
        <v/>
      </c>
      <c r="O856" s="6" t="n"/>
      <c r="P856" s="6" t="n"/>
      <c r="Q856" s="3">
        <f>IF($D856="","",$C856&amp;"|"&amp;COUNTIFS($C$7:$C856,$C856))</f>
        <v/>
      </c>
      <c r="R856" s="3">
        <f>IF($D856="","",UPPER(SUBSTITUTE(SUBSTITUTE(SUBSTITUTE(SUBSTITUTE(SUBSTITUTE(SUBSTITUTE(SUBSTITUTE(SUBSTITUTE(SUBSTITUTE(SUBSTITUTE(SUBSTITUTE(SUBSTITUTE(SUBSTITUTE(SUBSTITUTE(SUBSTITUTE(SUBSTITUTE(SUBSTITUTE(SUBSTITUTE(TRIM($D856),"'",""),"İ","I"),"ı","I"),"i","I"),"Ş","S"),"ş","S"),"Ğ","G"),"ğ","G"),"Ü","U"),"ü","U"),"Ö","O"),"ö","O"),"Ç","C"),"ç","C"),".",""),",","")," ",""),"-","")))</f>
        <v/>
      </c>
      <c r="S856" s="3">
        <f>IF($D856="","",$C856&amp;"|"&amp;TEXT($E856,"0")&amp;"|"&amp;TEXT($F856,"0")&amp;"|"&amp;$I856)</f>
        <v/>
      </c>
      <c r="T856" s="3">
        <f>IF($E856="",0,SUMPRODUCT((AY_SONU!$O$7:$O$42="Evet")*(AY_SONU!$B$7:$B$42=DATE(YEAR($E856),MONTH($E856),1))))</f>
        <v/>
      </c>
    </row>
    <row r="857">
      <c r="A857" s="6" t="n"/>
      <c r="B857" s="113">
        <f>IF($D857="","","T"&amp;TEXT(ROW()-6,"00000"))</f>
        <v/>
      </c>
      <c r="C857" s="113">
        <f>IF($D857="","",IFERROR(INDEX(MUSTERILER!$B$7:$B$106,MATCH($R857,MUSTERILER!$T$7:$T$106,0)),IFERROR(INDEX(MUSTERILER!$B$7:$B$106,MATCH($D857,MUSTERILER!$B$7:$B$106,0)),IFERROR(INDEX(MUSTERILER!$B$7:$B$106,MATCH($R857&amp;"*",MUSTERILER!$T$7:$T$106,0)),"TANIMSIZ MÜŞTERİ"))))</f>
        <v/>
      </c>
      <c r="D857" s="109" t="n"/>
      <c r="E857" s="220" t="n"/>
      <c r="F857" s="221" t="n"/>
      <c r="G857" s="108" t="n"/>
      <c r="H857" s="108" t="n"/>
      <c r="I857" s="109" t="n"/>
      <c r="J857" s="109" t="n"/>
      <c r="K857" s="109" t="n"/>
      <c r="L857" s="226">
        <f>IF($E857="","",DATE(YEAR($E857),MONTH($E857),1))</f>
        <v/>
      </c>
      <c r="M857" s="113">
        <f>IF($D857="","",IF($C857="TANIMSIZ MÜŞTERİ","HATA",IF(OR($E857="",$F857&lt;=0,$G857=""),"EKSİK",IF($E857&gt;TODAY(),"İLERİ TARİH",IF(COUNTIF($S$7:$S$1506,$S857)&gt;1,"MÜKERRER?",IF($T857&gt;0,"KAPALI DÖNEM","UYGUN"))))))</f>
        <v/>
      </c>
      <c r="N857" s="121">
        <f>IF($C857="","",IF($C857="TANIMSIZ MÜŞTERİ","—",INDEX(MUSTERILER!$C$7:$C$106,MATCH($C857,MUSTERILER!$B$7:$B$106,0))))</f>
        <v/>
      </c>
      <c r="O857" s="6" t="n"/>
      <c r="P857" s="6" t="n"/>
      <c r="Q857" s="3">
        <f>IF($D857="","",$C857&amp;"|"&amp;COUNTIFS($C$7:$C857,$C857))</f>
        <v/>
      </c>
      <c r="R857" s="3">
        <f>IF($D857="","",UPPER(SUBSTITUTE(SUBSTITUTE(SUBSTITUTE(SUBSTITUTE(SUBSTITUTE(SUBSTITUTE(SUBSTITUTE(SUBSTITUTE(SUBSTITUTE(SUBSTITUTE(SUBSTITUTE(SUBSTITUTE(SUBSTITUTE(SUBSTITUTE(SUBSTITUTE(SUBSTITUTE(SUBSTITUTE(SUBSTITUTE(TRIM($D857),"'",""),"İ","I"),"ı","I"),"i","I"),"Ş","S"),"ş","S"),"Ğ","G"),"ğ","G"),"Ü","U"),"ü","U"),"Ö","O"),"ö","O"),"Ç","C"),"ç","C"),".",""),",","")," ",""),"-","")))</f>
        <v/>
      </c>
      <c r="S857" s="3">
        <f>IF($D857="","",$C857&amp;"|"&amp;TEXT($E857,"0")&amp;"|"&amp;TEXT($F857,"0")&amp;"|"&amp;$I857)</f>
        <v/>
      </c>
      <c r="T857" s="3">
        <f>IF($E857="",0,SUMPRODUCT((AY_SONU!$O$7:$O$42="Evet")*(AY_SONU!$B$7:$B$42=DATE(YEAR($E857),MONTH($E857),1))))</f>
        <v/>
      </c>
    </row>
    <row r="858">
      <c r="A858" s="6" t="n"/>
      <c r="B858" s="113">
        <f>IF($D858="","","T"&amp;TEXT(ROW()-6,"00000"))</f>
        <v/>
      </c>
      <c r="C858" s="113">
        <f>IF($D858="","",IFERROR(INDEX(MUSTERILER!$B$7:$B$106,MATCH($R858,MUSTERILER!$T$7:$T$106,0)),IFERROR(INDEX(MUSTERILER!$B$7:$B$106,MATCH($D858,MUSTERILER!$B$7:$B$106,0)),IFERROR(INDEX(MUSTERILER!$B$7:$B$106,MATCH($R858&amp;"*",MUSTERILER!$T$7:$T$106,0)),"TANIMSIZ MÜŞTERİ"))))</f>
        <v/>
      </c>
      <c r="D858" s="109" t="n"/>
      <c r="E858" s="220" t="n"/>
      <c r="F858" s="221" t="n"/>
      <c r="G858" s="108" t="n"/>
      <c r="H858" s="108" t="n"/>
      <c r="I858" s="109" t="n"/>
      <c r="J858" s="109" t="n"/>
      <c r="K858" s="109" t="n"/>
      <c r="L858" s="226">
        <f>IF($E858="","",DATE(YEAR($E858),MONTH($E858),1))</f>
        <v/>
      </c>
      <c r="M858" s="113">
        <f>IF($D858="","",IF($C858="TANIMSIZ MÜŞTERİ","HATA",IF(OR($E858="",$F858&lt;=0,$G858=""),"EKSİK",IF($E858&gt;TODAY(),"İLERİ TARİH",IF(COUNTIF($S$7:$S$1506,$S858)&gt;1,"MÜKERRER?",IF($T858&gt;0,"KAPALI DÖNEM","UYGUN"))))))</f>
        <v/>
      </c>
      <c r="N858" s="121">
        <f>IF($C858="","",IF($C858="TANIMSIZ MÜŞTERİ","—",INDEX(MUSTERILER!$C$7:$C$106,MATCH($C858,MUSTERILER!$B$7:$B$106,0))))</f>
        <v/>
      </c>
      <c r="O858" s="6" t="n"/>
      <c r="P858" s="6" t="n"/>
      <c r="Q858" s="3">
        <f>IF($D858="","",$C858&amp;"|"&amp;COUNTIFS($C$7:$C858,$C858))</f>
        <v/>
      </c>
      <c r="R858" s="3">
        <f>IF($D858="","",UPPER(SUBSTITUTE(SUBSTITUTE(SUBSTITUTE(SUBSTITUTE(SUBSTITUTE(SUBSTITUTE(SUBSTITUTE(SUBSTITUTE(SUBSTITUTE(SUBSTITUTE(SUBSTITUTE(SUBSTITUTE(SUBSTITUTE(SUBSTITUTE(SUBSTITUTE(SUBSTITUTE(SUBSTITUTE(SUBSTITUTE(TRIM($D858),"'",""),"İ","I"),"ı","I"),"i","I"),"Ş","S"),"ş","S"),"Ğ","G"),"ğ","G"),"Ü","U"),"ü","U"),"Ö","O"),"ö","O"),"Ç","C"),"ç","C"),".",""),",","")," ",""),"-","")))</f>
        <v/>
      </c>
      <c r="S858" s="3">
        <f>IF($D858="","",$C858&amp;"|"&amp;TEXT($E858,"0")&amp;"|"&amp;TEXT($F858,"0")&amp;"|"&amp;$I858)</f>
        <v/>
      </c>
      <c r="T858" s="3">
        <f>IF($E858="",0,SUMPRODUCT((AY_SONU!$O$7:$O$42="Evet")*(AY_SONU!$B$7:$B$42=DATE(YEAR($E858),MONTH($E858),1))))</f>
        <v/>
      </c>
    </row>
    <row r="859">
      <c r="A859" s="6" t="n"/>
      <c r="B859" s="113">
        <f>IF($D859="","","T"&amp;TEXT(ROW()-6,"00000"))</f>
        <v/>
      </c>
      <c r="C859" s="113">
        <f>IF($D859="","",IFERROR(INDEX(MUSTERILER!$B$7:$B$106,MATCH($R859,MUSTERILER!$T$7:$T$106,0)),IFERROR(INDEX(MUSTERILER!$B$7:$B$106,MATCH($D859,MUSTERILER!$B$7:$B$106,0)),IFERROR(INDEX(MUSTERILER!$B$7:$B$106,MATCH($R859&amp;"*",MUSTERILER!$T$7:$T$106,0)),"TANIMSIZ MÜŞTERİ"))))</f>
        <v/>
      </c>
      <c r="D859" s="109" t="n"/>
      <c r="E859" s="220" t="n"/>
      <c r="F859" s="221" t="n"/>
      <c r="G859" s="108" t="n"/>
      <c r="H859" s="108" t="n"/>
      <c r="I859" s="109" t="n"/>
      <c r="J859" s="109" t="n"/>
      <c r="K859" s="109" t="n"/>
      <c r="L859" s="226">
        <f>IF($E859="","",DATE(YEAR($E859),MONTH($E859),1))</f>
        <v/>
      </c>
      <c r="M859" s="113">
        <f>IF($D859="","",IF($C859="TANIMSIZ MÜŞTERİ","HATA",IF(OR($E859="",$F859&lt;=0,$G859=""),"EKSİK",IF($E859&gt;TODAY(),"İLERİ TARİH",IF(COUNTIF($S$7:$S$1506,$S859)&gt;1,"MÜKERRER?",IF($T859&gt;0,"KAPALI DÖNEM","UYGUN"))))))</f>
        <v/>
      </c>
      <c r="N859" s="121">
        <f>IF($C859="","",IF($C859="TANIMSIZ MÜŞTERİ","—",INDEX(MUSTERILER!$C$7:$C$106,MATCH($C859,MUSTERILER!$B$7:$B$106,0))))</f>
        <v/>
      </c>
      <c r="O859" s="6" t="n"/>
      <c r="P859" s="6" t="n"/>
      <c r="Q859" s="3">
        <f>IF($D859="","",$C859&amp;"|"&amp;COUNTIFS($C$7:$C859,$C859))</f>
        <v/>
      </c>
      <c r="R859" s="3">
        <f>IF($D859="","",UPPER(SUBSTITUTE(SUBSTITUTE(SUBSTITUTE(SUBSTITUTE(SUBSTITUTE(SUBSTITUTE(SUBSTITUTE(SUBSTITUTE(SUBSTITUTE(SUBSTITUTE(SUBSTITUTE(SUBSTITUTE(SUBSTITUTE(SUBSTITUTE(SUBSTITUTE(SUBSTITUTE(SUBSTITUTE(SUBSTITUTE(TRIM($D859),"'",""),"İ","I"),"ı","I"),"i","I"),"Ş","S"),"ş","S"),"Ğ","G"),"ğ","G"),"Ü","U"),"ü","U"),"Ö","O"),"ö","O"),"Ç","C"),"ç","C"),".",""),",","")," ",""),"-","")))</f>
        <v/>
      </c>
      <c r="S859" s="3">
        <f>IF($D859="","",$C859&amp;"|"&amp;TEXT($E859,"0")&amp;"|"&amp;TEXT($F859,"0")&amp;"|"&amp;$I859)</f>
        <v/>
      </c>
      <c r="T859" s="3">
        <f>IF($E859="",0,SUMPRODUCT((AY_SONU!$O$7:$O$42="Evet")*(AY_SONU!$B$7:$B$42=DATE(YEAR($E859),MONTH($E859),1))))</f>
        <v/>
      </c>
    </row>
    <row r="860">
      <c r="A860" s="6" t="n"/>
      <c r="B860" s="113">
        <f>IF($D860="","","T"&amp;TEXT(ROW()-6,"00000"))</f>
        <v/>
      </c>
      <c r="C860" s="113">
        <f>IF($D860="","",IFERROR(INDEX(MUSTERILER!$B$7:$B$106,MATCH($R860,MUSTERILER!$T$7:$T$106,0)),IFERROR(INDEX(MUSTERILER!$B$7:$B$106,MATCH($D860,MUSTERILER!$B$7:$B$106,0)),IFERROR(INDEX(MUSTERILER!$B$7:$B$106,MATCH($R860&amp;"*",MUSTERILER!$T$7:$T$106,0)),"TANIMSIZ MÜŞTERİ"))))</f>
        <v/>
      </c>
      <c r="D860" s="109" t="n"/>
      <c r="E860" s="220" t="n"/>
      <c r="F860" s="221" t="n"/>
      <c r="G860" s="108" t="n"/>
      <c r="H860" s="108" t="n"/>
      <c r="I860" s="109" t="n"/>
      <c r="J860" s="109" t="n"/>
      <c r="K860" s="109" t="n"/>
      <c r="L860" s="226">
        <f>IF($E860="","",DATE(YEAR($E860),MONTH($E860),1))</f>
        <v/>
      </c>
      <c r="M860" s="113">
        <f>IF($D860="","",IF($C860="TANIMSIZ MÜŞTERİ","HATA",IF(OR($E860="",$F860&lt;=0,$G860=""),"EKSİK",IF($E860&gt;TODAY(),"İLERİ TARİH",IF(COUNTIF($S$7:$S$1506,$S860)&gt;1,"MÜKERRER?",IF($T860&gt;0,"KAPALI DÖNEM","UYGUN"))))))</f>
        <v/>
      </c>
      <c r="N860" s="121">
        <f>IF($C860="","",IF($C860="TANIMSIZ MÜŞTERİ","—",INDEX(MUSTERILER!$C$7:$C$106,MATCH($C860,MUSTERILER!$B$7:$B$106,0))))</f>
        <v/>
      </c>
      <c r="O860" s="6" t="n"/>
      <c r="P860" s="6" t="n"/>
      <c r="Q860" s="3">
        <f>IF($D860="","",$C860&amp;"|"&amp;COUNTIFS($C$7:$C860,$C860))</f>
        <v/>
      </c>
      <c r="R860" s="3">
        <f>IF($D860="","",UPPER(SUBSTITUTE(SUBSTITUTE(SUBSTITUTE(SUBSTITUTE(SUBSTITUTE(SUBSTITUTE(SUBSTITUTE(SUBSTITUTE(SUBSTITUTE(SUBSTITUTE(SUBSTITUTE(SUBSTITUTE(SUBSTITUTE(SUBSTITUTE(SUBSTITUTE(SUBSTITUTE(SUBSTITUTE(SUBSTITUTE(TRIM($D860),"'",""),"İ","I"),"ı","I"),"i","I"),"Ş","S"),"ş","S"),"Ğ","G"),"ğ","G"),"Ü","U"),"ü","U"),"Ö","O"),"ö","O"),"Ç","C"),"ç","C"),".",""),",","")," ",""),"-","")))</f>
        <v/>
      </c>
      <c r="S860" s="3">
        <f>IF($D860="","",$C860&amp;"|"&amp;TEXT($E860,"0")&amp;"|"&amp;TEXT($F860,"0")&amp;"|"&amp;$I860)</f>
        <v/>
      </c>
      <c r="T860" s="3">
        <f>IF($E860="",0,SUMPRODUCT((AY_SONU!$O$7:$O$42="Evet")*(AY_SONU!$B$7:$B$42=DATE(YEAR($E860),MONTH($E860),1))))</f>
        <v/>
      </c>
    </row>
    <row r="861">
      <c r="A861" s="6" t="n"/>
      <c r="B861" s="113">
        <f>IF($D861="","","T"&amp;TEXT(ROW()-6,"00000"))</f>
        <v/>
      </c>
      <c r="C861" s="113">
        <f>IF($D861="","",IFERROR(INDEX(MUSTERILER!$B$7:$B$106,MATCH($R861,MUSTERILER!$T$7:$T$106,0)),IFERROR(INDEX(MUSTERILER!$B$7:$B$106,MATCH($D861,MUSTERILER!$B$7:$B$106,0)),IFERROR(INDEX(MUSTERILER!$B$7:$B$106,MATCH($R861&amp;"*",MUSTERILER!$T$7:$T$106,0)),"TANIMSIZ MÜŞTERİ"))))</f>
        <v/>
      </c>
      <c r="D861" s="109" t="n"/>
      <c r="E861" s="220" t="n"/>
      <c r="F861" s="221" t="n"/>
      <c r="G861" s="108" t="n"/>
      <c r="H861" s="108" t="n"/>
      <c r="I861" s="109" t="n"/>
      <c r="J861" s="109" t="n"/>
      <c r="K861" s="109" t="n"/>
      <c r="L861" s="226">
        <f>IF($E861="","",DATE(YEAR($E861),MONTH($E861),1))</f>
        <v/>
      </c>
      <c r="M861" s="113">
        <f>IF($D861="","",IF($C861="TANIMSIZ MÜŞTERİ","HATA",IF(OR($E861="",$F861&lt;=0,$G861=""),"EKSİK",IF($E861&gt;TODAY(),"İLERİ TARİH",IF(COUNTIF($S$7:$S$1506,$S861)&gt;1,"MÜKERRER?",IF($T861&gt;0,"KAPALI DÖNEM","UYGUN"))))))</f>
        <v/>
      </c>
      <c r="N861" s="121">
        <f>IF($C861="","",IF($C861="TANIMSIZ MÜŞTERİ","—",INDEX(MUSTERILER!$C$7:$C$106,MATCH($C861,MUSTERILER!$B$7:$B$106,0))))</f>
        <v/>
      </c>
      <c r="O861" s="6" t="n"/>
      <c r="P861" s="6" t="n"/>
      <c r="Q861" s="3">
        <f>IF($D861="","",$C861&amp;"|"&amp;COUNTIFS($C$7:$C861,$C861))</f>
        <v/>
      </c>
      <c r="R861" s="3">
        <f>IF($D861="","",UPPER(SUBSTITUTE(SUBSTITUTE(SUBSTITUTE(SUBSTITUTE(SUBSTITUTE(SUBSTITUTE(SUBSTITUTE(SUBSTITUTE(SUBSTITUTE(SUBSTITUTE(SUBSTITUTE(SUBSTITUTE(SUBSTITUTE(SUBSTITUTE(SUBSTITUTE(SUBSTITUTE(SUBSTITUTE(SUBSTITUTE(TRIM($D861),"'",""),"İ","I"),"ı","I"),"i","I"),"Ş","S"),"ş","S"),"Ğ","G"),"ğ","G"),"Ü","U"),"ü","U"),"Ö","O"),"ö","O"),"Ç","C"),"ç","C"),".",""),",","")," ",""),"-","")))</f>
        <v/>
      </c>
      <c r="S861" s="3">
        <f>IF($D861="","",$C861&amp;"|"&amp;TEXT($E861,"0")&amp;"|"&amp;TEXT($F861,"0")&amp;"|"&amp;$I861)</f>
        <v/>
      </c>
      <c r="T861" s="3">
        <f>IF($E861="",0,SUMPRODUCT((AY_SONU!$O$7:$O$42="Evet")*(AY_SONU!$B$7:$B$42=DATE(YEAR($E861),MONTH($E861),1))))</f>
        <v/>
      </c>
    </row>
    <row r="862">
      <c r="A862" s="6" t="n"/>
      <c r="B862" s="113">
        <f>IF($D862="","","T"&amp;TEXT(ROW()-6,"00000"))</f>
        <v/>
      </c>
      <c r="C862" s="113">
        <f>IF($D862="","",IFERROR(INDEX(MUSTERILER!$B$7:$B$106,MATCH($R862,MUSTERILER!$T$7:$T$106,0)),IFERROR(INDEX(MUSTERILER!$B$7:$B$106,MATCH($D862,MUSTERILER!$B$7:$B$106,0)),IFERROR(INDEX(MUSTERILER!$B$7:$B$106,MATCH($R862&amp;"*",MUSTERILER!$T$7:$T$106,0)),"TANIMSIZ MÜŞTERİ"))))</f>
        <v/>
      </c>
      <c r="D862" s="109" t="n"/>
      <c r="E862" s="220" t="n"/>
      <c r="F862" s="221" t="n"/>
      <c r="G862" s="108" t="n"/>
      <c r="H862" s="108" t="n"/>
      <c r="I862" s="109" t="n"/>
      <c r="J862" s="109" t="n"/>
      <c r="K862" s="109" t="n"/>
      <c r="L862" s="226">
        <f>IF($E862="","",DATE(YEAR($E862),MONTH($E862),1))</f>
        <v/>
      </c>
      <c r="M862" s="113">
        <f>IF($D862="","",IF($C862="TANIMSIZ MÜŞTERİ","HATA",IF(OR($E862="",$F862&lt;=0,$G862=""),"EKSİK",IF($E862&gt;TODAY(),"İLERİ TARİH",IF(COUNTIF($S$7:$S$1506,$S862)&gt;1,"MÜKERRER?",IF($T862&gt;0,"KAPALI DÖNEM","UYGUN"))))))</f>
        <v/>
      </c>
      <c r="N862" s="121">
        <f>IF($C862="","",IF($C862="TANIMSIZ MÜŞTERİ","—",INDEX(MUSTERILER!$C$7:$C$106,MATCH($C862,MUSTERILER!$B$7:$B$106,0))))</f>
        <v/>
      </c>
      <c r="O862" s="6" t="n"/>
      <c r="P862" s="6" t="n"/>
      <c r="Q862" s="3">
        <f>IF($D862="","",$C862&amp;"|"&amp;COUNTIFS($C$7:$C862,$C862))</f>
        <v/>
      </c>
      <c r="R862" s="3">
        <f>IF($D862="","",UPPER(SUBSTITUTE(SUBSTITUTE(SUBSTITUTE(SUBSTITUTE(SUBSTITUTE(SUBSTITUTE(SUBSTITUTE(SUBSTITUTE(SUBSTITUTE(SUBSTITUTE(SUBSTITUTE(SUBSTITUTE(SUBSTITUTE(SUBSTITUTE(SUBSTITUTE(SUBSTITUTE(SUBSTITUTE(SUBSTITUTE(TRIM($D862),"'",""),"İ","I"),"ı","I"),"i","I"),"Ş","S"),"ş","S"),"Ğ","G"),"ğ","G"),"Ü","U"),"ü","U"),"Ö","O"),"ö","O"),"Ç","C"),"ç","C"),".",""),",","")," ",""),"-","")))</f>
        <v/>
      </c>
      <c r="S862" s="3">
        <f>IF($D862="","",$C862&amp;"|"&amp;TEXT($E862,"0")&amp;"|"&amp;TEXT($F862,"0")&amp;"|"&amp;$I862)</f>
        <v/>
      </c>
      <c r="T862" s="3">
        <f>IF($E862="",0,SUMPRODUCT((AY_SONU!$O$7:$O$42="Evet")*(AY_SONU!$B$7:$B$42=DATE(YEAR($E862),MONTH($E862),1))))</f>
        <v/>
      </c>
    </row>
    <row r="863">
      <c r="A863" s="6" t="n"/>
      <c r="B863" s="113">
        <f>IF($D863="","","T"&amp;TEXT(ROW()-6,"00000"))</f>
        <v/>
      </c>
      <c r="C863" s="113">
        <f>IF($D863="","",IFERROR(INDEX(MUSTERILER!$B$7:$B$106,MATCH($R863,MUSTERILER!$T$7:$T$106,0)),IFERROR(INDEX(MUSTERILER!$B$7:$B$106,MATCH($D863,MUSTERILER!$B$7:$B$106,0)),IFERROR(INDEX(MUSTERILER!$B$7:$B$106,MATCH($R863&amp;"*",MUSTERILER!$T$7:$T$106,0)),"TANIMSIZ MÜŞTERİ"))))</f>
        <v/>
      </c>
      <c r="D863" s="109" t="n"/>
      <c r="E863" s="220" t="n"/>
      <c r="F863" s="221" t="n"/>
      <c r="G863" s="108" t="n"/>
      <c r="H863" s="108" t="n"/>
      <c r="I863" s="109" t="n"/>
      <c r="J863" s="109" t="n"/>
      <c r="K863" s="109" t="n"/>
      <c r="L863" s="226">
        <f>IF($E863="","",DATE(YEAR($E863),MONTH($E863),1))</f>
        <v/>
      </c>
      <c r="M863" s="113">
        <f>IF($D863="","",IF($C863="TANIMSIZ MÜŞTERİ","HATA",IF(OR($E863="",$F863&lt;=0,$G863=""),"EKSİK",IF($E863&gt;TODAY(),"İLERİ TARİH",IF(COUNTIF($S$7:$S$1506,$S863)&gt;1,"MÜKERRER?",IF($T863&gt;0,"KAPALI DÖNEM","UYGUN"))))))</f>
        <v/>
      </c>
      <c r="N863" s="121">
        <f>IF($C863="","",IF($C863="TANIMSIZ MÜŞTERİ","—",INDEX(MUSTERILER!$C$7:$C$106,MATCH($C863,MUSTERILER!$B$7:$B$106,0))))</f>
        <v/>
      </c>
      <c r="O863" s="6" t="n"/>
      <c r="P863" s="6" t="n"/>
      <c r="Q863" s="3">
        <f>IF($D863="","",$C863&amp;"|"&amp;COUNTIFS($C$7:$C863,$C863))</f>
        <v/>
      </c>
      <c r="R863" s="3">
        <f>IF($D863="","",UPPER(SUBSTITUTE(SUBSTITUTE(SUBSTITUTE(SUBSTITUTE(SUBSTITUTE(SUBSTITUTE(SUBSTITUTE(SUBSTITUTE(SUBSTITUTE(SUBSTITUTE(SUBSTITUTE(SUBSTITUTE(SUBSTITUTE(SUBSTITUTE(SUBSTITUTE(SUBSTITUTE(SUBSTITUTE(SUBSTITUTE(TRIM($D863),"'",""),"İ","I"),"ı","I"),"i","I"),"Ş","S"),"ş","S"),"Ğ","G"),"ğ","G"),"Ü","U"),"ü","U"),"Ö","O"),"ö","O"),"Ç","C"),"ç","C"),".",""),",","")," ",""),"-","")))</f>
        <v/>
      </c>
      <c r="S863" s="3">
        <f>IF($D863="","",$C863&amp;"|"&amp;TEXT($E863,"0")&amp;"|"&amp;TEXT($F863,"0")&amp;"|"&amp;$I863)</f>
        <v/>
      </c>
      <c r="T863" s="3">
        <f>IF($E863="",0,SUMPRODUCT((AY_SONU!$O$7:$O$42="Evet")*(AY_SONU!$B$7:$B$42=DATE(YEAR($E863),MONTH($E863),1))))</f>
        <v/>
      </c>
    </row>
    <row r="864">
      <c r="A864" s="6" t="n"/>
      <c r="B864" s="113">
        <f>IF($D864="","","T"&amp;TEXT(ROW()-6,"00000"))</f>
        <v/>
      </c>
      <c r="C864" s="113">
        <f>IF($D864="","",IFERROR(INDEX(MUSTERILER!$B$7:$B$106,MATCH($R864,MUSTERILER!$T$7:$T$106,0)),IFERROR(INDEX(MUSTERILER!$B$7:$B$106,MATCH($D864,MUSTERILER!$B$7:$B$106,0)),IFERROR(INDEX(MUSTERILER!$B$7:$B$106,MATCH($R864&amp;"*",MUSTERILER!$T$7:$T$106,0)),"TANIMSIZ MÜŞTERİ"))))</f>
        <v/>
      </c>
      <c r="D864" s="109" t="n"/>
      <c r="E864" s="220" t="n"/>
      <c r="F864" s="221" t="n"/>
      <c r="G864" s="108" t="n"/>
      <c r="H864" s="108" t="n"/>
      <c r="I864" s="109" t="n"/>
      <c r="J864" s="109" t="n"/>
      <c r="K864" s="109" t="n"/>
      <c r="L864" s="226">
        <f>IF($E864="","",DATE(YEAR($E864),MONTH($E864),1))</f>
        <v/>
      </c>
      <c r="M864" s="113">
        <f>IF($D864="","",IF($C864="TANIMSIZ MÜŞTERİ","HATA",IF(OR($E864="",$F864&lt;=0,$G864=""),"EKSİK",IF($E864&gt;TODAY(),"İLERİ TARİH",IF(COUNTIF($S$7:$S$1506,$S864)&gt;1,"MÜKERRER?",IF($T864&gt;0,"KAPALI DÖNEM","UYGUN"))))))</f>
        <v/>
      </c>
      <c r="N864" s="121">
        <f>IF($C864="","",IF($C864="TANIMSIZ MÜŞTERİ","—",INDEX(MUSTERILER!$C$7:$C$106,MATCH($C864,MUSTERILER!$B$7:$B$106,0))))</f>
        <v/>
      </c>
      <c r="O864" s="6" t="n"/>
      <c r="P864" s="6" t="n"/>
      <c r="Q864" s="3">
        <f>IF($D864="","",$C864&amp;"|"&amp;COUNTIFS($C$7:$C864,$C864))</f>
        <v/>
      </c>
      <c r="R864" s="3">
        <f>IF($D864="","",UPPER(SUBSTITUTE(SUBSTITUTE(SUBSTITUTE(SUBSTITUTE(SUBSTITUTE(SUBSTITUTE(SUBSTITUTE(SUBSTITUTE(SUBSTITUTE(SUBSTITUTE(SUBSTITUTE(SUBSTITUTE(SUBSTITUTE(SUBSTITUTE(SUBSTITUTE(SUBSTITUTE(SUBSTITUTE(SUBSTITUTE(TRIM($D864),"'",""),"İ","I"),"ı","I"),"i","I"),"Ş","S"),"ş","S"),"Ğ","G"),"ğ","G"),"Ü","U"),"ü","U"),"Ö","O"),"ö","O"),"Ç","C"),"ç","C"),".",""),",","")," ",""),"-","")))</f>
        <v/>
      </c>
      <c r="S864" s="3">
        <f>IF($D864="","",$C864&amp;"|"&amp;TEXT($E864,"0")&amp;"|"&amp;TEXT($F864,"0")&amp;"|"&amp;$I864)</f>
        <v/>
      </c>
      <c r="T864" s="3">
        <f>IF($E864="",0,SUMPRODUCT((AY_SONU!$O$7:$O$42="Evet")*(AY_SONU!$B$7:$B$42=DATE(YEAR($E864),MONTH($E864),1))))</f>
        <v/>
      </c>
    </row>
    <row r="865">
      <c r="A865" s="6" t="n"/>
      <c r="B865" s="113">
        <f>IF($D865="","","T"&amp;TEXT(ROW()-6,"00000"))</f>
        <v/>
      </c>
      <c r="C865" s="113">
        <f>IF($D865="","",IFERROR(INDEX(MUSTERILER!$B$7:$B$106,MATCH($R865,MUSTERILER!$T$7:$T$106,0)),IFERROR(INDEX(MUSTERILER!$B$7:$B$106,MATCH($D865,MUSTERILER!$B$7:$B$106,0)),IFERROR(INDEX(MUSTERILER!$B$7:$B$106,MATCH($R865&amp;"*",MUSTERILER!$T$7:$T$106,0)),"TANIMSIZ MÜŞTERİ"))))</f>
        <v/>
      </c>
      <c r="D865" s="109" t="n"/>
      <c r="E865" s="220" t="n"/>
      <c r="F865" s="221" t="n"/>
      <c r="G865" s="108" t="n"/>
      <c r="H865" s="108" t="n"/>
      <c r="I865" s="109" t="n"/>
      <c r="J865" s="109" t="n"/>
      <c r="K865" s="109" t="n"/>
      <c r="L865" s="226">
        <f>IF($E865="","",DATE(YEAR($E865),MONTH($E865),1))</f>
        <v/>
      </c>
      <c r="M865" s="113">
        <f>IF($D865="","",IF($C865="TANIMSIZ MÜŞTERİ","HATA",IF(OR($E865="",$F865&lt;=0,$G865=""),"EKSİK",IF($E865&gt;TODAY(),"İLERİ TARİH",IF(COUNTIF($S$7:$S$1506,$S865)&gt;1,"MÜKERRER?",IF($T865&gt;0,"KAPALI DÖNEM","UYGUN"))))))</f>
        <v/>
      </c>
      <c r="N865" s="121">
        <f>IF($C865="","",IF($C865="TANIMSIZ MÜŞTERİ","—",INDEX(MUSTERILER!$C$7:$C$106,MATCH($C865,MUSTERILER!$B$7:$B$106,0))))</f>
        <v/>
      </c>
      <c r="O865" s="6" t="n"/>
      <c r="P865" s="6" t="n"/>
      <c r="Q865" s="3">
        <f>IF($D865="","",$C865&amp;"|"&amp;COUNTIFS($C$7:$C865,$C865))</f>
        <v/>
      </c>
      <c r="R865" s="3">
        <f>IF($D865="","",UPPER(SUBSTITUTE(SUBSTITUTE(SUBSTITUTE(SUBSTITUTE(SUBSTITUTE(SUBSTITUTE(SUBSTITUTE(SUBSTITUTE(SUBSTITUTE(SUBSTITUTE(SUBSTITUTE(SUBSTITUTE(SUBSTITUTE(SUBSTITUTE(SUBSTITUTE(SUBSTITUTE(SUBSTITUTE(SUBSTITUTE(TRIM($D865),"'",""),"İ","I"),"ı","I"),"i","I"),"Ş","S"),"ş","S"),"Ğ","G"),"ğ","G"),"Ü","U"),"ü","U"),"Ö","O"),"ö","O"),"Ç","C"),"ç","C"),".",""),",","")," ",""),"-","")))</f>
        <v/>
      </c>
      <c r="S865" s="3">
        <f>IF($D865="","",$C865&amp;"|"&amp;TEXT($E865,"0")&amp;"|"&amp;TEXT($F865,"0")&amp;"|"&amp;$I865)</f>
        <v/>
      </c>
      <c r="T865" s="3">
        <f>IF($E865="",0,SUMPRODUCT((AY_SONU!$O$7:$O$42="Evet")*(AY_SONU!$B$7:$B$42=DATE(YEAR($E865),MONTH($E865),1))))</f>
        <v/>
      </c>
    </row>
    <row r="866">
      <c r="A866" s="6" t="n"/>
      <c r="B866" s="113">
        <f>IF($D866="","","T"&amp;TEXT(ROW()-6,"00000"))</f>
        <v/>
      </c>
      <c r="C866" s="113">
        <f>IF($D866="","",IFERROR(INDEX(MUSTERILER!$B$7:$B$106,MATCH($R866,MUSTERILER!$T$7:$T$106,0)),IFERROR(INDEX(MUSTERILER!$B$7:$B$106,MATCH($D866,MUSTERILER!$B$7:$B$106,0)),IFERROR(INDEX(MUSTERILER!$B$7:$B$106,MATCH($R866&amp;"*",MUSTERILER!$T$7:$T$106,0)),"TANIMSIZ MÜŞTERİ"))))</f>
        <v/>
      </c>
      <c r="D866" s="109" t="n"/>
      <c r="E866" s="220" t="n"/>
      <c r="F866" s="221" t="n"/>
      <c r="G866" s="108" t="n"/>
      <c r="H866" s="108" t="n"/>
      <c r="I866" s="109" t="n"/>
      <c r="J866" s="109" t="n"/>
      <c r="K866" s="109" t="n"/>
      <c r="L866" s="226">
        <f>IF($E866="","",DATE(YEAR($E866),MONTH($E866),1))</f>
        <v/>
      </c>
      <c r="M866" s="113">
        <f>IF($D866="","",IF($C866="TANIMSIZ MÜŞTERİ","HATA",IF(OR($E866="",$F866&lt;=0,$G866=""),"EKSİK",IF($E866&gt;TODAY(),"İLERİ TARİH",IF(COUNTIF($S$7:$S$1506,$S866)&gt;1,"MÜKERRER?",IF($T866&gt;0,"KAPALI DÖNEM","UYGUN"))))))</f>
        <v/>
      </c>
      <c r="N866" s="121">
        <f>IF($C866="","",IF($C866="TANIMSIZ MÜŞTERİ","—",INDEX(MUSTERILER!$C$7:$C$106,MATCH($C866,MUSTERILER!$B$7:$B$106,0))))</f>
        <v/>
      </c>
      <c r="O866" s="6" t="n"/>
      <c r="P866" s="6" t="n"/>
      <c r="Q866" s="3">
        <f>IF($D866="","",$C866&amp;"|"&amp;COUNTIFS($C$7:$C866,$C866))</f>
        <v/>
      </c>
      <c r="R866" s="3">
        <f>IF($D866="","",UPPER(SUBSTITUTE(SUBSTITUTE(SUBSTITUTE(SUBSTITUTE(SUBSTITUTE(SUBSTITUTE(SUBSTITUTE(SUBSTITUTE(SUBSTITUTE(SUBSTITUTE(SUBSTITUTE(SUBSTITUTE(SUBSTITUTE(SUBSTITUTE(SUBSTITUTE(SUBSTITUTE(SUBSTITUTE(SUBSTITUTE(TRIM($D866),"'",""),"İ","I"),"ı","I"),"i","I"),"Ş","S"),"ş","S"),"Ğ","G"),"ğ","G"),"Ü","U"),"ü","U"),"Ö","O"),"ö","O"),"Ç","C"),"ç","C"),".",""),",","")," ",""),"-","")))</f>
        <v/>
      </c>
      <c r="S866" s="3">
        <f>IF($D866="","",$C866&amp;"|"&amp;TEXT($E866,"0")&amp;"|"&amp;TEXT($F866,"0")&amp;"|"&amp;$I866)</f>
        <v/>
      </c>
      <c r="T866" s="3">
        <f>IF($E866="",0,SUMPRODUCT((AY_SONU!$O$7:$O$42="Evet")*(AY_SONU!$B$7:$B$42=DATE(YEAR($E866),MONTH($E866),1))))</f>
        <v/>
      </c>
    </row>
    <row r="867">
      <c r="A867" s="6" t="n"/>
      <c r="B867" s="113">
        <f>IF($D867="","","T"&amp;TEXT(ROW()-6,"00000"))</f>
        <v/>
      </c>
      <c r="C867" s="113">
        <f>IF($D867="","",IFERROR(INDEX(MUSTERILER!$B$7:$B$106,MATCH($R867,MUSTERILER!$T$7:$T$106,0)),IFERROR(INDEX(MUSTERILER!$B$7:$B$106,MATCH($D867,MUSTERILER!$B$7:$B$106,0)),IFERROR(INDEX(MUSTERILER!$B$7:$B$106,MATCH($R867&amp;"*",MUSTERILER!$T$7:$T$106,0)),"TANIMSIZ MÜŞTERİ"))))</f>
        <v/>
      </c>
      <c r="D867" s="109" t="n"/>
      <c r="E867" s="220" t="n"/>
      <c r="F867" s="221" t="n"/>
      <c r="G867" s="108" t="n"/>
      <c r="H867" s="108" t="n"/>
      <c r="I867" s="109" t="n"/>
      <c r="J867" s="109" t="n"/>
      <c r="K867" s="109" t="n"/>
      <c r="L867" s="226">
        <f>IF($E867="","",DATE(YEAR($E867),MONTH($E867),1))</f>
        <v/>
      </c>
      <c r="M867" s="113">
        <f>IF($D867="","",IF($C867="TANIMSIZ MÜŞTERİ","HATA",IF(OR($E867="",$F867&lt;=0,$G867=""),"EKSİK",IF($E867&gt;TODAY(),"İLERİ TARİH",IF(COUNTIF($S$7:$S$1506,$S867)&gt;1,"MÜKERRER?",IF($T867&gt;0,"KAPALI DÖNEM","UYGUN"))))))</f>
        <v/>
      </c>
      <c r="N867" s="121">
        <f>IF($C867="","",IF($C867="TANIMSIZ MÜŞTERİ","—",INDEX(MUSTERILER!$C$7:$C$106,MATCH($C867,MUSTERILER!$B$7:$B$106,0))))</f>
        <v/>
      </c>
      <c r="O867" s="6" t="n"/>
      <c r="P867" s="6" t="n"/>
      <c r="Q867" s="3">
        <f>IF($D867="","",$C867&amp;"|"&amp;COUNTIFS($C$7:$C867,$C867))</f>
        <v/>
      </c>
      <c r="R867" s="3">
        <f>IF($D867="","",UPPER(SUBSTITUTE(SUBSTITUTE(SUBSTITUTE(SUBSTITUTE(SUBSTITUTE(SUBSTITUTE(SUBSTITUTE(SUBSTITUTE(SUBSTITUTE(SUBSTITUTE(SUBSTITUTE(SUBSTITUTE(SUBSTITUTE(SUBSTITUTE(SUBSTITUTE(SUBSTITUTE(SUBSTITUTE(SUBSTITUTE(TRIM($D867),"'",""),"İ","I"),"ı","I"),"i","I"),"Ş","S"),"ş","S"),"Ğ","G"),"ğ","G"),"Ü","U"),"ü","U"),"Ö","O"),"ö","O"),"Ç","C"),"ç","C"),".",""),",","")," ",""),"-","")))</f>
        <v/>
      </c>
      <c r="S867" s="3">
        <f>IF($D867="","",$C867&amp;"|"&amp;TEXT($E867,"0")&amp;"|"&amp;TEXT($F867,"0")&amp;"|"&amp;$I867)</f>
        <v/>
      </c>
      <c r="T867" s="3">
        <f>IF($E867="",0,SUMPRODUCT((AY_SONU!$O$7:$O$42="Evet")*(AY_SONU!$B$7:$B$42=DATE(YEAR($E867),MONTH($E867),1))))</f>
        <v/>
      </c>
    </row>
    <row r="868">
      <c r="A868" s="6" t="n"/>
      <c r="B868" s="113">
        <f>IF($D868="","","T"&amp;TEXT(ROW()-6,"00000"))</f>
        <v/>
      </c>
      <c r="C868" s="113">
        <f>IF($D868="","",IFERROR(INDEX(MUSTERILER!$B$7:$B$106,MATCH($R868,MUSTERILER!$T$7:$T$106,0)),IFERROR(INDEX(MUSTERILER!$B$7:$B$106,MATCH($D868,MUSTERILER!$B$7:$B$106,0)),IFERROR(INDEX(MUSTERILER!$B$7:$B$106,MATCH($R868&amp;"*",MUSTERILER!$T$7:$T$106,0)),"TANIMSIZ MÜŞTERİ"))))</f>
        <v/>
      </c>
      <c r="D868" s="109" t="n"/>
      <c r="E868" s="220" t="n"/>
      <c r="F868" s="221" t="n"/>
      <c r="G868" s="108" t="n"/>
      <c r="H868" s="108" t="n"/>
      <c r="I868" s="109" t="n"/>
      <c r="J868" s="109" t="n"/>
      <c r="K868" s="109" t="n"/>
      <c r="L868" s="226">
        <f>IF($E868="","",DATE(YEAR($E868),MONTH($E868),1))</f>
        <v/>
      </c>
      <c r="M868" s="113">
        <f>IF($D868="","",IF($C868="TANIMSIZ MÜŞTERİ","HATA",IF(OR($E868="",$F868&lt;=0,$G868=""),"EKSİK",IF($E868&gt;TODAY(),"İLERİ TARİH",IF(COUNTIF($S$7:$S$1506,$S868)&gt;1,"MÜKERRER?",IF($T868&gt;0,"KAPALI DÖNEM","UYGUN"))))))</f>
        <v/>
      </c>
      <c r="N868" s="121">
        <f>IF($C868="","",IF($C868="TANIMSIZ MÜŞTERİ","—",INDEX(MUSTERILER!$C$7:$C$106,MATCH($C868,MUSTERILER!$B$7:$B$106,0))))</f>
        <v/>
      </c>
      <c r="O868" s="6" t="n"/>
      <c r="P868" s="6" t="n"/>
      <c r="Q868" s="3">
        <f>IF($D868="","",$C868&amp;"|"&amp;COUNTIFS($C$7:$C868,$C868))</f>
        <v/>
      </c>
      <c r="R868" s="3">
        <f>IF($D868="","",UPPER(SUBSTITUTE(SUBSTITUTE(SUBSTITUTE(SUBSTITUTE(SUBSTITUTE(SUBSTITUTE(SUBSTITUTE(SUBSTITUTE(SUBSTITUTE(SUBSTITUTE(SUBSTITUTE(SUBSTITUTE(SUBSTITUTE(SUBSTITUTE(SUBSTITUTE(SUBSTITUTE(SUBSTITUTE(SUBSTITUTE(TRIM($D868),"'",""),"İ","I"),"ı","I"),"i","I"),"Ş","S"),"ş","S"),"Ğ","G"),"ğ","G"),"Ü","U"),"ü","U"),"Ö","O"),"ö","O"),"Ç","C"),"ç","C"),".",""),",","")," ",""),"-","")))</f>
        <v/>
      </c>
      <c r="S868" s="3">
        <f>IF($D868="","",$C868&amp;"|"&amp;TEXT($E868,"0")&amp;"|"&amp;TEXT($F868,"0")&amp;"|"&amp;$I868)</f>
        <v/>
      </c>
      <c r="T868" s="3">
        <f>IF($E868="",0,SUMPRODUCT((AY_SONU!$O$7:$O$42="Evet")*(AY_SONU!$B$7:$B$42=DATE(YEAR($E868),MONTH($E868),1))))</f>
        <v/>
      </c>
    </row>
    <row r="869">
      <c r="A869" s="6" t="n"/>
      <c r="B869" s="113">
        <f>IF($D869="","","T"&amp;TEXT(ROW()-6,"00000"))</f>
        <v/>
      </c>
      <c r="C869" s="113">
        <f>IF($D869="","",IFERROR(INDEX(MUSTERILER!$B$7:$B$106,MATCH($R869,MUSTERILER!$T$7:$T$106,0)),IFERROR(INDEX(MUSTERILER!$B$7:$B$106,MATCH($D869,MUSTERILER!$B$7:$B$106,0)),IFERROR(INDEX(MUSTERILER!$B$7:$B$106,MATCH($R869&amp;"*",MUSTERILER!$T$7:$T$106,0)),"TANIMSIZ MÜŞTERİ"))))</f>
        <v/>
      </c>
      <c r="D869" s="109" t="n"/>
      <c r="E869" s="220" t="n"/>
      <c r="F869" s="221" t="n"/>
      <c r="G869" s="108" t="n"/>
      <c r="H869" s="108" t="n"/>
      <c r="I869" s="109" t="n"/>
      <c r="J869" s="109" t="n"/>
      <c r="K869" s="109" t="n"/>
      <c r="L869" s="226">
        <f>IF($E869="","",DATE(YEAR($E869),MONTH($E869),1))</f>
        <v/>
      </c>
      <c r="M869" s="113">
        <f>IF($D869="","",IF($C869="TANIMSIZ MÜŞTERİ","HATA",IF(OR($E869="",$F869&lt;=0,$G869=""),"EKSİK",IF($E869&gt;TODAY(),"İLERİ TARİH",IF(COUNTIF($S$7:$S$1506,$S869)&gt;1,"MÜKERRER?",IF($T869&gt;0,"KAPALI DÖNEM","UYGUN"))))))</f>
        <v/>
      </c>
      <c r="N869" s="121">
        <f>IF($C869="","",IF($C869="TANIMSIZ MÜŞTERİ","—",INDEX(MUSTERILER!$C$7:$C$106,MATCH($C869,MUSTERILER!$B$7:$B$106,0))))</f>
        <v/>
      </c>
      <c r="O869" s="6" t="n"/>
      <c r="P869" s="6" t="n"/>
      <c r="Q869" s="3">
        <f>IF($D869="","",$C869&amp;"|"&amp;COUNTIFS($C$7:$C869,$C869))</f>
        <v/>
      </c>
      <c r="R869" s="3">
        <f>IF($D869="","",UPPER(SUBSTITUTE(SUBSTITUTE(SUBSTITUTE(SUBSTITUTE(SUBSTITUTE(SUBSTITUTE(SUBSTITUTE(SUBSTITUTE(SUBSTITUTE(SUBSTITUTE(SUBSTITUTE(SUBSTITUTE(SUBSTITUTE(SUBSTITUTE(SUBSTITUTE(SUBSTITUTE(SUBSTITUTE(SUBSTITUTE(TRIM($D869),"'",""),"İ","I"),"ı","I"),"i","I"),"Ş","S"),"ş","S"),"Ğ","G"),"ğ","G"),"Ü","U"),"ü","U"),"Ö","O"),"ö","O"),"Ç","C"),"ç","C"),".",""),",","")," ",""),"-","")))</f>
        <v/>
      </c>
      <c r="S869" s="3">
        <f>IF($D869="","",$C869&amp;"|"&amp;TEXT($E869,"0")&amp;"|"&amp;TEXT($F869,"0")&amp;"|"&amp;$I869)</f>
        <v/>
      </c>
      <c r="T869" s="3">
        <f>IF($E869="",0,SUMPRODUCT((AY_SONU!$O$7:$O$42="Evet")*(AY_SONU!$B$7:$B$42=DATE(YEAR($E869),MONTH($E869),1))))</f>
        <v/>
      </c>
    </row>
    <row r="870">
      <c r="A870" s="6" t="n"/>
      <c r="B870" s="113">
        <f>IF($D870="","","T"&amp;TEXT(ROW()-6,"00000"))</f>
        <v/>
      </c>
      <c r="C870" s="113">
        <f>IF($D870="","",IFERROR(INDEX(MUSTERILER!$B$7:$B$106,MATCH($R870,MUSTERILER!$T$7:$T$106,0)),IFERROR(INDEX(MUSTERILER!$B$7:$B$106,MATCH($D870,MUSTERILER!$B$7:$B$106,0)),IFERROR(INDEX(MUSTERILER!$B$7:$B$106,MATCH($R870&amp;"*",MUSTERILER!$T$7:$T$106,0)),"TANIMSIZ MÜŞTERİ"))))</f>
        <v/>
      </c>
      <c r="D870" s="109" t="n"/>
      <c r="E870" s="220" t="n"/>
      <c r="F870" s="221" t="n"/>
      <c r="G870" s="108" t="n"/>
      <c r="H870" s="108" t="n"/>
      <c r="I870" s="109" t="n"/>
      <c r="J870" s="109" t="n"/>
      <c r="K870" s="109" t="n"/>
      <c r="L870" s="226">
        <f>IF($E870="","",DATE(YEAR($E870),MONTH($E870),1))</f>
        <v/>
      </c>
      <c r="M870" s="113">
        <f>IF($D870="","",IF($C870="TANIMSIZ MÜŞTERİ","HATA",IF(OR($E870="",$F870&lt;=0,$G870=""),"EKSİK",IF($E870&gt;TODAY(),"İLERİ TARİH",IF(COUNTIF($S$7:$S$1506,$S870)&gt;1,"MÜKERRER?",IF($T870&gt;0,"KAPALI DÖNEM","UYGUN"))))))</f>
        <v/>
      </c>
      <c r="N870" s="121">
        <f>IF($C870="","",IF($C870="TANIMSIZ MÜŞTERİ","—",INDEX(MUSTERILER!$C$7:$C$106,MATCH($C870,MUSTERILER!$B$7:$B$106,0))))</f>
        <v/>
      </c>
      <c r="O870" s="6" t="n"/>
      <c r="P870" s="6" t="n"/>
      <c r="Q870" s="3">
        <f>IF($D870="","",$C870&amp;"|"&amp;COUNTIFS($C$7:$C870,$C870))</f>
        <v/>
      </c>
      <c r="R870" s="3">
        <f>IF($D870="","",UPPER(SUBSTITUTE(SUBSTITUTE(SUBSTITUTE(SUBSTITUTE(SUBSTITUTE(SUBSTITUTE(SUBSTITUTE(SUBSTITUTE(SUBSTITUTE(SUBSTITUTE(SUBSTITUTE(SUBSTITUTE(SUBSTITUTE(SUBSTITUTE(SUBSTITUTE(SUBSTITUTE(SUBSTITUTE(SUBSTITUTE(TRIM($D870),"'",""),"İ","I"),"ı","I"),"i","I"),"Ş","S"),"ş","S"),"Ğ","G"),"ğ","G"),"Ü","U"),"ü","U"),"Ö","O"),"ö","O"),"Ç","C"),"ç","C"),".",""),",","")," ",""),"-","")))</f>
        <v/>
      </c>
      <c r="S870" s="3">
        <f>IF($D870="","",$C870&amp;"|"&amp;TEXT($E870,"0")&amp;"|"&amp;TEXT($F870,"0")&amp;"|"&amp;$I870)</f>
        <v/>
      </c>
      <c r="T870" s="3">
        <f>IF($E870="",0,SUMPRODUCT((AY_SONU!$O$7:$O$42="Evet")*(AY_SONU!$B$7:$B$42=DATE(YEAR($E870),MONTH($E870),1))))</f>
        <v/>
      </c>
    </row>
    <row r="871">
      <c r="A871" s="6" t="n"/>
      <c r="B871" s="113">
        <f>IF($D871="","","T"&amp;TEXT(ROW()-6,"00000"))</f>
        <v/>
      </c>
      <c r="C871" s="113">
        <f>IF($D871="","",IFERROR(INDEX(MUSTERILER!$B$7:$B$106,MATCH($R871,MUSTERILER!$T$7:$T$106,0)),IFERROR(INDEX(MUSTERILER!$B$7:$B$106,MATCH($D871,MUSTERILER!$B$7:$B$106,0)),IFERROR(INDEX(MUSTERILER!$B$7:$B$106,MATCH($R871&amp;"*",MUSTERILER!$T$7:$T$106,0)),"TANIMSIZ MÜŞTERİ"))))</f>
        <v/>
      </c>
      <c r="D871" s="109" t="n"/>
      <c r="E871" s="220" t="n"/>
      <c r="F871" s="221" t="n"/>
      <c r="G871" s="108" t="n"/>
      <c r="H871" s="108" t="n"/>
      <c r="I871" s="109" t="n"/>
      <c r="J871" s="109" t="n"/>
      <c r="K871" s="109" t="n"/>
      <c r="L871" s="226">
        <f>IF($E871="","",DATE(YEAR($E871),MONTH($E871),1))</f>
        <v/>
      </c>
      <c r="M871" s="113">
        <f>IF($D871="","",IF($C871="TANIMSIZ MÜŞTERİ","HATA",IF(OR($E871="",$F871&lt;=0,$G871=""),"EKSİK",IF($E871&gt;TODAY(),"İLERİ TARİH",IF(COUNTIF($S$7:$S$1506,$S871)&gt;1,"MÜKERRER?",IF($T871&gt;0,"KAPALI DÖNEM","UYGUN"))))))</f>
        <v/>
      </c>
      <c r="N871" s="121">
        <f>IF($C871="","",IF($C871="TANIMSIZ MÜŞTERİ","—",INDEX(MUSTERILER!$C$7:$C$106,MATCH($C871,MUSTERILER!$B$7:$B$106,0))))</f>
        <v/>
      </c>
      <c r="O871" s="6" t="n"/>
      <c r="P871" s="6" t="n"/>
      <c r="Q871" s="3">
        <f>IF($D871="","",$C871&amp;"|"&amp;COUNTIFS($C$7:$C871,$C871))</f>
        <v/>
      </c>
      <c r="R871" s="3">
        <f>IF($D871="","",UPPER(SUBSTITUTE(SUBSTITUTE(SUBSTITUTE(SUBSTITUTE(SUBSTITUTE(SUBSTITUTE(SUBSTITUTE(SUBSTITUTE(SUBSTITUTE(SUBSTITUTE(SUBSTITUTE(SUBSTITUTE(SUBSTITUTE(SUBSTITUTE(SUBSTITUTE(SUBSTITUTE(SUBSTITUTE(SUBSTITUTE(TRIM($D871),"'",""),"İ","I"),"ı","I"),"i","I"),"Ş","S"),"ş","S"),"Ğ","G"),"ğ","G"),"Ü","U"),"ü","U"),"Ö","O"),"ö","O"),"Ç","C"),"ç","C"),".",""),",","")," ",""),"-","")))</f>
        <v/>
      </c>
      <c r="S871" s="3">
        <f>IF($D871="","",$C871&amp;"|"&amp;TEXT($E871,"0")&amp;"|"&amp;TEXT($F871,"0")&amp;"|"&amp;$I871)</f>
        <v/>
      </c>
      <c r="T871" s="3">
        <f>IF($E871="",0,SUMPRODUCT((AY_SONU!$O$7:$O$42="Evet")*(AY_SONU!$B$7:$B$42=DATE(YEAR($E871),MONTH($E871),1))))</f>
        <v/>
      </c>
    </row>
    <row r="872">
      <c r="A872" s="6" t="n"/>
      <c r="B872" s="113">
        <f>IF($D872="","","T"&amp;TEXT(ROW()-6,"00000"))</f>
        <v/>
      </c>
      <c r="C872" s="113">
        <f>IF($D872="","",IFERROR(INDEX(MUSTERILER!$B$7:$B$106,MATCH($R872,MUSTERILER!$T$7:$T$106,0)),IFERROR(INDEX(MUSTERILER!$B$7:$B$106,MATCH($D872,MUSTERILER!$B$7:$B$106,0)),IFERROR(INDEX(MUSTERILER!$B$7:$B$106,MATCH($R872&amp;"*",MUSTERILER!$T$7:$T$106,0)),"TANIMSIZ MÜŞTERİ"))))</f>
        <v/>
      </c>
      <c r="D872" s="109" t="n"/>
      <c r="E872" s="220" t="n"/>
      <c r="F872" s="221" t="n"/>
      <c r="G872" s="108" t="n"/>
      <c r="H872" s="108" t="n"/>
      <c r="I872" s="109" t="n"/>
      <c r="J872" s="109" t="n"/>
      <c r="K872" s="109" t="n"/>
      <c r="L872" s="226">
        <f>IF($E872="","",DATE(YEAR($E872),MONTH($E872),1))</f>
        <v/>
      </c>
      <c r="M872" s="113">
        <f>IF($D872="","",IF($C872="TANIMSIZ MÜŞTERİ","HATA",IF(OR($E872="",$F872&lt;=0,$G872=""),"EKSİK",IF($E872&gt;TODAY(),"İLERİ TARİH",IF(COUNTIF($S$7:$S$1506,$S872)&gt;1,"MÜKERRER?",IF($T872&gt;0,"KAPALI DÖNEM","UYGUN"))))))</f>
        <v/>
      </c>
      <c r="N872" s="121">
        <f>IF($C872="","",IF($C872="TANIMSIZ MÜŞTERİ","—",INDEX(MUSTERILER!$C$7:$C$106,MATCH($C872,MUSTERILER!$B$7:$B$106,0))))</f>
        <v/>
      </c>
      <c r="O872" s="6" t="n"/>
      <c r="P872" s="6" t="n"/>
      <c r="Q872" s="3">
        <f>IF($D872="","",$C872&amp;"|"&amp;COUNTIFS($C$7:$C872,$C872))</f>
        <v/>
      </c>
      <c r="R872" s="3">
        <f>IF($D872="","",UPPER(SUBSTITUTE(SUBSTITUTE(SUBSTITUTE(SUBSTITUTE(SUBSTITUTE(SUBSTITUTE(SUBSTITUTE(SUBSTITUTE(SUBSTITUTE(SUBSTITUTE(SUBSTITUTE(SUBSTITUTE(SUBSTITUTE(SUBSTITUTE(SUBSTITUTE(SUBSTITUTE(SUBSTITUTE(SUBSTITUTE(TRIM($D872),"'",""),"İ","I"),"ı","I"),"i","I"),"Ş","S"),"ş","S"),"Ğ","G"),"ğ","G"),"Ü","U"),"ü","U"),"Ö","O"),"ö","O"),"Ç","C"),"ç","C"),".",""),",","")," ",""),"-","")))</f>
        <v/>
      </c>
      <c r="S872" s="3">
        <f>IF($D872="","",$C872&amp;"|"&amp;TEXT($E872,"0")&amp;"|"&amp;TEXT($F872,"0")&amp;"|"&amp;$I872)</f>
        <v/>
      </c>
      <c r="T872" s="3">
        <f>IF($E872="",0,SUMPRODUCT((AY_SONU!$O$7:$O$42="Evet")*(AY_SONU!$B$7:$B$42=DATE(YEAR($E872),MONTH($E872),1))))</f>
        <v/>
      </c>
    </row>
    <row r="873">
      <c r="A873" s="6" t="n"/>
      <c r="B873" s="113">
        <f>IF($D873="","","T"&amp;TEXT(ROW()-6,"00000"))</f>
        <v/>
      </c>
      <c r="C873" s="113">
        <f>IF($D873="","",IFERROR(INDEX(MUSTERILER!$B$7:$B$106,MATCH($R873,MUSTERILER!$T$7:$T$106,0)),IFERROR(INDEX(MUSTERILER!$B$7:$B$106,MATCH($D873,MUSTERILER!$B$7:$B$106,0)),IFERROR(INDEX(MUSTERILER!$B$7:$B$106,MATCH($R873&amp;"*",MUSTERILER!$T$7:$T$106,0)),"TANIMSIZ MÜŞTERİ"))))</f>
        <v/>
      </c>
      <c r="D873" s="109" t="n"/>
      <c r="E873" s="220" t="n"/>
      <c r="F873" s="221" t="n"/>
      <c r="G873" s="108" t="n"/>
      <c r="H873" s="108" t="n"/>
      <c r="I873" s="109" t="n"/>
      <c r="J873" s="109" t="n"/>
      <c r="K873" s="109" t="n"/>
      <c r="L873" s="226">
        <f>IF($E873="","",DATE(YEAR($E873),MONTH($E873),1))</f>
        <v/>
      </c>
      <c r="M873" s="113">
        <f>IF($D873="","",IF($C873="TANIMSIZ MÜŞTERİ","HATA",IF(OR($E873="",$F873&lt;=0,$G873=""),"EKSİK",IF($E873&gt;TODAY(),"İLERİ TARİH",IF(COUNTIF($S$7:$S$1506,$S873)&gt;1,"MÜKERRER?",IF($T873&gt;0,"KAPALI DÖNEM","UYGUN"))))))</f>
        <v/>
      </c>
      <c r="N873" s="121">
        <f>IF($C873="","",IF($C873="TANIMSIZ MÜŞTERİ","—",INDEX(MUSTERILER!$C$7:$C$106,MATCH($C873,MUSTERILER!$B$7:$B$106,0))))</f>
        <v/>
      </c>
      <c r="O873" s="6" t="n"/>
      <c r="P873" s="6" t="n"/>
      <c r="Q873" s="3">
        <f>IF($D873="","",$C873&amp;"|"&amp;COUNTIFS($C$7:$C873,$C873))</f>
        <v/>
      </c>
      <c r="R873" s="3">
        <f>IF($D873="","",UPPER(SUBSTITUTE(SUBSTITUTE(SUBSTITUTE(SUBSTITUTE(SUBSTITUTE(SUBSTITUTE(SUBSTITUTE(SUBSTITUTE(SUBSTITUTE(SUBSTITUTE(SUBSTITUTE(SUBSTITUTE(SUBSTITUTE(SUBSTITUTE(SUBSTITUTE(SUBSTITUTE(SUBSTITUTE(SUBSTITUTE(TRIM($D873),"'",""),"İ","I"),"ı","I"),"i","I"),"Ş","S"),"ş","S"),"Ğ","G"),"ğ","G"),"Ü","U"),"ü","U"),"Ö","O"),"ö","O"),"Ç","C"),"ç","C"),".",""),",","")," ",""),"-","")))</f>
        <v/>
      </c>
      <c r="S873" s="3">
        <f>IF($D873="","",$C873&amp;"|"&amp;TEXT($E873,"0")&amp;"|"&amp;TEXT($F873,"0")&amp;"|"&amp;$I873)</f>
        <v/>
      </c>
      <c r="T873" s="3">
        <f>IF($E873="",0,SUMPRODUCT((AY_SONU!$O$7:$O$42="Evet")*(AY_SONU!$B$7:$B$42=DATE(YEAR($E873),MONTH($E873),1))))</f>
        <v/>
      </c>
    </row>
    <row r="874">
      <c r="A874" s="6" t="n"/>
      <c r="B874" s="113">
        <f>IF($D874="","","T"&amp;TEXT(ROW()-6,"00000"))</f>
        <v/>
      </c>
      <c r="C874" s="113">
        <f>IF($D874="","",IFERROR(INDEX(MUSTERILER!$B$7:$B$106,MATCH($R874,MUSTERILER!$T$7:$T$106,0)),IFERROR(INDEX(MUSTERILER!$B$7:$B$106,MATCH($D874,MUSTERILER!$B$7:$B$106,0)),IFERROR(INDEX(MUSTERILER!$B$7:$B$106,MATCH($R874&amp;"*",MUSTERILER!$T$7:$T$106,0)),"TANIMSIZ MÜŞTERİ"))))</f>
        <v/>
      </c>
      <c r="D874" s="109" t="n"/>
      <c r="E874" s="220" t="n"/>
      <c r="F874" s="221" t="n"/>
      <c r="G874" s="108" t="n"/>
      <c r="H874" s="108" t="n"/>
      <c r="I874" s="109" t="n"/>
      <c r="J874" s="109" t="n"/>
      <c r="K874" s="109" t="n"/>
      <c r="L874" s="226">
        <f>IF($E874="","",DATE(YEAR($E874),MONTH($E874),1))</f>
        <v/>
      </c>
      <c r="M874" s="113">
        <f>IF($D874="","",IF($C874="TANIMSIZ MÜŞTERİ","HATA",IF(OR($E874="",$F874&lt;=0,$G874=""),"EKSİK",IF($E874&gt;TODAY(),"İLERİ TARİH",IF(COUNTIF($S$7:$S$1506,$S874)&gt;1,"MÜKERRER?",IF($T874&gt;0,"KAPALI DÖNEM","UYGUN"))))))</f>
        <v/>
      </c>
      <c r="N874" s="121">
        <f>IF($C874="","",IF($C874="TANIMSIZ MÜŞTERİ","—",INDEX(MUSTERILER!$C$7:$C$106,MATCH($C874,MUSTERILER!$B$7:$B$106,0))))</f>
        <v/>
      </c>
      <c r="O874" s="6" t="n"/>
      <c r="P874" s="6" t="n"/>
      <c r="Q874" s="3">
        <f>IF($D874="","",$C874&amp;"|"&amp;COUNTIFS($C$7:$C874,$C874))</f>
        <v/>
      </c>
      <c r="R874" s="3">
        <f>IF($D874="","",UPPER(SUBSTITUTE(SUBSTITUTE(SUBSTITUTE(SUBSTITUTE(SUBSTITUTE(SUBSTITUTE(SUBSTITUTE(SUBSTITUTE(SUBSTITUTE(SUBSTITUTE(SUBSTITUTE(SUBSTITUTE(SUBSTITUTE(SUBSTITUTE(SUBSTITUTE(SUBSTITUTE(SUBSTITUTE(SUBSTITUTE(TRIM($D874),"'",""),"İ","I"),"ı","I"),"i","I"),"Ş","S"),"ş","S"),"Ğ","G"),"ğ","G"),"Ü","U"),"ü","U"),"Ö","O"),"ö","O"),"Ç","C"),"ç","C"),".",""),",","")," ",""),"-","")))</f>
        <v/>
      </c>
      <c r="S874" s="3">
        <f>IF($D874="","",$C874&amp;"|"&amp;TEXT($E874,"0")&amp;"|"&amp;TEXT($F874,"0")&amp;"|"&amp;$I874)</f>
        <v/>
      </c>
      <c r="T874" s="3">
        <f>IF($E874="",0,SUMPRODUCT((AY_SONU!$O$7:$O$42="Evet")*(AY_SONU!$B$7:$B$42=DATE(YEAR($E874),MONTH($E874),1))))</f>
        <v/>
      </c>
    </row>
    <row r="875">
      <c r="A875" s="6" t="n"/>
      <c r="B875" s="113">
        <f>IF($D875="","","T"&amp;TEXT(ROW()-6,"00000"))</f>
        <v/>
      </c>
      <c r="C875" s="113">
        <f>IF($D875="","",IFERROR(INDEX(MUSTERILER!$B$7:$B$106,MATCH($R875,MUSTERILER!$T$7:$T$106,0)),IFERROR(INDEX(MUSTERILER!$B$7:$B$106,MATCH($D875,MUSTERILER!$B$7:$B$106,0)),IFERROR(INDEX(MUSTERILER!$B$7:$B$106,MATCH($R875&amp;"*",MUSTERILER!$T$7:$T$106,0)),"TANIMSIZ MÜŞTERİ"))))</f>
        <v/>
      </c>
      <c r="D875" s="109" t="n"/>
      <c r="E875" s="220" t="n"/>
      <c r="F875" s="221" t="n"/>
      <c r="G875" s="108" t="n"/>
      <c r="H875" s="108" t="n"/>
      <c r="I875" s="109" t="n"/>
      <c r="J875" s="109" t="n"/>
      <c r="K875" s="109" t="n"/>
      <c r="L875" s="226">
        <f>IF($E875="","",DATE(YEAR($E875),MONTH($E875),1))</f>
        <v/>
      </c>
      <c r="M875" s="113">
        <f>IF($D875="","",IF($C875="TANIMSIZ MÜŞTERİ","HATA",IF(OR($E875="",$F875&lt;=0,$G875=""),"EKSİK",IF($E875&gt;TODAY(),"İLERİ TARİH",IF(COUNTIF($S$7:$S$1506,$S875)&gt;1,"MÜKERRER?",IF($T875&gt;0,"KAPALI DÖNEM","UYGUN"))))))</f>
        <v/>
      </c>
      <c r="N875" s="121">
        <f>IF($C875="","",IF($C875="TANIMSIZ MÜŞTERİ","—",INDEX(MUSTERILER!$C$7:$C$106,MATCH($C875,MUSTERILER!$B$7:$B$106,0))))</f>
        <v/>
      </c>
      <c r="O875" s="6" t="n"/>
      <c r="P875" s="6" t="n"/>
      <c r="Q875" s="3">
        <f>IF($D875="","",$C875&amp;"|"&amp;COUNTIFS($C$7:$C875,$C875))</f>
        <v/>
      </c>
      <c r="R875" s="3">
        <f>IF($D875="","",UPPER(SUBSTITUTE(SUBSTITUTE(SUBSTITUTE(SUBSTITUTE(SUBSTITUTE(SUBSTITUTE(SUBSTITUTE(SUBSTITUTE(SUBSTITUTE(SUBSTITUTE(SUBSTITUTE(SUBSTITUTE(SUBSTITUTE(SUBSTITUTE(SUBSTITUTE(SUBSTITUTE(SUBSTITUTE(SUBSTITUTE(TRIM($D875),"'",""),"İ","I"),"ı","I"),"i","I"),"Ş","S"),"ş","S"),"Ğ","G"),"ğ","G"),"Ü","U"),"ü","U"),"Ö","O"),"ö","O"),"Ç","C"),"ç","C"),".",""),",","")," ",""),"-","")))</f>
        <v/>
      </c>
      <c r="S875" s="3">
        <f>IF($D875="","",$C875&amp;"|"&amp;TEXT($E875,"0")&amp;"|"&amp;TEXT($F875,"0")&amp;"|"&amp;$I875)</f>
        <v/>
      </c>
      <c r="T875" s="3">
        <f>IF($E875="",0,SUMPRODUCT((AY_SONU!$O$7:$O$42="Evet")*(AY_SONU!$B$7:$B$42=DATE(YEAR($E875),MONTH($E875),1))))</f>
        <v/>
      </c>
    </row>
    <row r="876">
      <c r="A876" s="6" t="n"/>
      <c r="B876" s="113">
        <f>IF($D876="","","T"&amp;TEXT(ROW()-6,"00000"))</f>
        <v/>
      </c>
      <c r="C876" s="113">
        <f>IF($D876="","",IFERROR(INDEX(MUSTERILER!$B$7:$B$106,MATCH($R876,MUSTERILER!$T$7:$T$106,0)),IFERROR(INDEX(MUSTERILER!$B$7:$B$106,MATCH($D876,MUSTERILER!$B$7:$B$106,0)),IFERROR(INDEX(MUSTERILER!$B$7:$B$106,MATCH($R876&amp;"*",MUSTERILER!$T$7:$T$106,0)),"TANIMSIZ MÜŞTERİ"))))</f>
        <v/>
      </c>
      <c r="D876" s="109" t="n"/>
      <c r="E876" s="220" t="n"/>
      <c r="F876" s="221" t="n"/>
      <c r="G876" s="108" t="n"/>
      <c r="H876" s="108" t="n"/>
      <c r="I876" s="109" t="n"/>
      <c r="J876" s="109" t="n"/>
      <c r="K876" s="109" t="n"/>
      <c r="L876" s="226">
        <f>IF($E876="","",DATE(YEAR($E876),MONTH($E876),1))</f>
        <v/>
      </c>
      <c r="M876" s="113">
        <f>IF($D876="","",IF($C876="TANIMSIZ MÜŞTERİ","HATA",IF(OR($E876="",$F876&lt;=0,$G876=""),"EKSİK",IF($E876&gt;TODAY(),"İLERİ TARİH",IF(COUNTIF($S$7:$S$1506,$S876)&gt;1,"MÜKERRER?",IF($T876&gt;0,"KAPALI DÖNEM","UYGUN"))))))</f>
        <v/>
      </c>
      <c r="N876" s="121">
        <f>IF($C876="","",IF($C876="TANIMSIZ MÜŞTERİ","—",INDEX(MUSTERILER!$C$7:$C$106,MATCH($C876,MUSTERILER!$B$7:$B$106,0))))</f>
        <v/>
      </c>
      <c r="O876" s="6" t="n"/>
      <c r="P876" s="6" t="n"/>
      <c r="Q876" s="3">
        <f>IF($D876="","",$C876&amp;"|"&amp;COUNTIFS($C$7:$C876,$C876))</f>
        <v/>
      </c>
      <c r="R876" s="3">
        <f>IF($D876="","",UPPER(SUBSTITUTE(SUBSTITUTE(SUBSTITUTE(SUBSTITUTE(SUBSTITUTE(SUBSTITUTE(SUBSTITUTE(SUBSTITUTE(SUBSTITUTE(SUBSTITUTE(SUBSTITUTE(SUBSTITUTE(SUBSTITUTE(SUBSTITUTE(SUBSTITUTE(SUBSTITUTE(SUBSTITUTE(SUBSTITUTE(TRIM($D876),"'",""),"İ","I"),"ı","I"),"i","I"),"Ş","S"),"ş","S"),"Ğ","G"),"ğ","G"),"Ü","U"),"ü","U"),"Ö","O"),"ö","O"),"Ç","C"),"ç","C"),".",""),",","")," ",""),"-","")))</f>
        <v/>
      </c>
      <c r="S876" s="3">
        <f>IF($D876="","",$C876&amp;"|"&amp;TEXT($E876,"0")&amp;"|"&amp;TEXT($F876,"0")&amp;"|"&amp;$I876)</f>
        <v/>
      </c>
      <c r="T876" s="3">
        <f>IF($E876="",0,SUMPRODUCT((AY_SONU!$O$7:$O$42="Evet")*(AY_SONU!$B$7:$B$42=DATE(YEAR($E876),MONTH($E876),1))))</f>
        <v/>
      </c>
    </row>
    <row r="877">
      <c r="A877" s="6" t="n"/>
      <c r="B877" s="113">
        <f>IF($D877="","","T"&amp;TEXT(ROW()-6,"00000"))</f>
        <v/>
      </c>
      <c r="C877" s="113">
        <f>IF($D877="","",IFERROR(INDEX(MUSTERILER!$B$7:$B$106,MATCH($R877,MUSTERILER!$T$7:$T$106,0)),IFERROR(INDEX(MUSTERILER!$B$7:$B$106,MATCH($D877,MUSTERILER!$B$7:$B$106,0)),IFERROR(INDEX(MUSTERILER!$B$7:$B$106,MATCH($R877&amp;"*",MUSTERILER!$T$7:$T$106,0)),"TANIMSIZ MÜŞTERİ"))))</f>
        <v/>
      </c>
      <c r="D877" s="109" t="n"/>
      <c r="E877" s="220" t="n"/>
      <c r="F877" s="221" t="n"/>
      <c r="G877" s="108" t="n"/>
      <c r="H877" s="108" t="n"/>
      <c r="I877" s="109" t="n"/>
      <c r="J877" s="109" t="n"/>
      <c r="K877" s="109" t="n"/>
      <c r="L877" s="226">
        <f>IF($E877="","",DATE(YEAR($E877),MONTH($E877),1))</f>
        <v/>
      </c>
      <c r="M877" s="113">
        <f>IF($D877="","",IF($C877="TANIMSIZ MÜŞTERİ","HATA",IF(OR($E877="",$F877&lt;=0,$G877=""),"EKSİK",IF($E877&gt;TODAY(),"İLERİ TARİH",IF(COUNTIF($S$7:$S$1506,$S877)&gt;1,"MÜKERRER?",IF($T877&gt;0,"KAPALI DÖNEM","UYGUN"))))))</f>
        <v/>
      </c>
      <c r="N877" s="121">
        <f>IF($C877="","",IF($C877="TANIMSIZ MÜŞTERİ","—",INDEX(MUSTERILER!$C$7:$C$106,MATCH($C877,MUSTERILER!$B$7:$B$106,0))))</f>
        <v/>
      </c>
      <c r="O877" s="6" t="n"/>
      <c r="P877" s="6" t="n"/>
      <c r="Q877" s="3">
        <f>IF($D877="","",$C877&amp;"|"&amp;COUNTIFS($C$7:$C877,$C877))</f>
        <v/>
      </c>
      <c r="R877" s="3">
        <f>IF($D877="","",UPPER(SUBSTITUTE(SUBSTITUTE(SUBSTITUTE(SUBSTITUTE(SUBSTITUTE(SUBSTITUTE(SUBSTITUTE(SUBSTITUTE(SUBSTITUTE(SUBSTITUTE(SUBSTITUTE(SUBSTITUTE(SUBSTITUTE(SUBSTITUTE(SUBSTITUTE(SUBSTITUTE(SUBSTITUTE(SUBSTITUTE(TRIM($D877),"'",""),"İ","I"),"ı","I"),"i","I"),"Ş","S"),"ş","S"),"Ğ","G"),"ğ","G"),"Ü","U"),"ü","U"),"Ö","O"),"ö","O"),"Ç","C"),"ç","C"),".",""),",","")," ",""),"-","")))</f>
        <v/>
      </c>
      <c r="S877" s="3">
        <f>IF($D877="","",$C877&amp;"|"&amp;TEXT($E877,"0")&amp;"|"&amp;TEXT($F877,"0")&amp;"|"&amp;$I877)</f>
        <v/>
      </c>
      <c r="T877" s="3">
        <f>IF($E877="",0,SUMPRODUCT((AY_SONU!$O$7:$O$42="Evet")*(AY_SONU!$B$7:$B$42=DATE(YEAR($E877),MONTH($E877),1))))</f>
        <v/>
      </c>
    </row>
    <row r="878">
      <c r="A878" s="6" t="n"/>
      <c r="B878" s="113">
        <f>IF($D878="","","T"&amp;TEXT(ROW()-6,"00000"))</f>
        <v/>
      </c>
      <c r="C878" s="113">
        <f>IF($D878="","",IFERROR(INDEX(MUSTERILER!$B$7:$B$106,MATCH($R878,MUSTERILER!$T$7:$T$106,0)),IFERROR(INDEX(MUSTERILER!$B$7:$B$106,MATCH($D878,MUSTERILER!$B$7:$B$106,0)),IFERROR(INDEX(MUSTERILER!$B$7:$B$106,MATCH($R878&amp;"*",MUSTERILER!$T$7:$T$106,0)),"TANIMSIZ MÜŞTERİ"))))</f>
        <v/>
      </c>
      <c r="D878" s="109" t="n"/>
      <c r="E878" s="220" t="n"/>
      <c r="F878" s="221" t="n"/>
      <c r="G878" s="108" t="n"/>
      <c r="H878" s="108" t="n"/>
      <c r="I878" s="109" t="n"/>
      <c r="J878" s="109" t="n"/>
      <c r="K878" s="109" t="n"/>
      <c r="L878" s="226">
        <f>IF($E878="","",DATE(YEAR($E878),MONTH($E878),1))</f>
        <v/>
      </c>
      <c r="M878" s="113">
        <f>IF($D878="","",IF($C878="TANIMSIZ MÜŞTERİ","HATA",IF(OR($E878="",$F878&lt;=0,$G878=""),"EKSİK",IF($E878&gt;TODAY(),"İLERİ TARİH",IF(COUNTIF($S$7:$S$1506,$S878)&gt;1,"MÜKERRER?",IF($T878&gt;0,"KAPALI DÖNEM","UYGUN"))))))</f>
        <v/>
      </c>
      <c r="N878" s="121">
        <f>IF($C878="","",IF($C878="TANIMSIZ MÜŞTERİ","—",INDEX(MUSTERILER!$C$7:$C$106,MATCH($C878,MUSTERILER!$B$7:$B$106,0))))</f>
        <v/>
      </c>
      <c r="O878" s="6" t="n"/>
      <c r="P878" s="6" t="n"/>
      <c r="Q878" s="3">
        <f>IF($D878="","",$C878&amp;"|"&amp;COUNTIFS($C$7:$C878,$C878))</f>
        <v/>
      </c>
      <c r="R878" s="3">
        <f>IF($D878="","",UPPER(SUBSTITUTE(SUBSTITUTE(SUBSTITUTE(SUBSTITUTE(SUBSTITUTE(SUBSTITUTE(SUBSTITUTE(SUBSTITUTE(SUBSTITUTE(SUBSTITUTE(SUBSTITUTE(SUBSTITUTE(SUBSTITUTE(SUBSTITUTE(SUBSTITUTE(SUBSTITUTE(SUBSTITUTE(SUBSTITUTE(TRIM($D878),"'",""),"İ","I"),"ı","I"),"i","I"),"Ş","S"),"ş","S"),"Ğ","G"),"ğ","G"),"Ü","U"),"ü","U"),"Ö","O"),"ö","O"),"Ç","C"),"ç","C"),".",""),",","")," ",""),"-","")))</f>
        <v/>
      </c>
      <c r="S878" s="3">
        <f>IF($D878="","",$C878&amp;"|"&amp;TEXT($E878,"0")&amp;"|"&amp;TEXT($F878,"0")&amp;"|"&amp;$I878)</f>
        <v/>
      </c>
      <c r="T878" s="3">
        <f>IF($E878="",0,SUMPRODUCT((AY_SONU!$O$7:$O$42="Evet")*(AY_SONU!$B$7:$B$42=DATE(YEAR($E878),MONTH($E878),1))))</f>
        <v/>
      </c>
    </row>
    <row r="879">
      <c r="A879" s="6" t="n"/>
      <c r="B879" s="113">
        <f>IF($D879="","","T"&amp;TEXT(ROW()-6,"00000"))</f>
        <v/>
      </c>
      <c r="C879" s="113">
        <f>IF($D879="","",IFERROR(INDEX(MUSTERILER!$B$7:$B$106,MATCH($R879,MUSTERILER!$T$7:$T$106,0)),IFERROR(INDEX(MUSTERILER!$B$7:$B$106,MATCH($D879,MUSTERILER!$B$7:$B$106,0)),IFERROR(INDEX(MUSTERILER!$B$7:$B$106,MATCH($R879&amp;"*",MUSTERILER!$T$7:$T$106,0)),"TANIMSIZ MÜŞTERİ"))))</f>
        <v/>
      </c>
      <c r="D879" s="109" t="n"/>
      <c r="E879" s="220" t="n"/>
      <c r="F879" s="221" t="n"/>
      <c r="G879" s="108" t="n"/>
      <c r="H879" s="108" t="n"/>
      <c r="I879" s="109" t="n"/>
      <c r="J879" s="109" t="n"/>
      <c r="K879" s="109" t="n"/>
      <c r="L879" s="226">
        <f>IF($E879="","",DATE(YEAR($E879),MONTH($E879),1))</f>
        <v/>
      </c>
      <c r="M879" s="113">
        <f>IF($D879="","",IF($C879="TANIMSIZ MÜŞTERİ","HATA",IF(OR($E879="",$F879&lt;=0,$G879=""),"EKSİK",IF($E879&gt;TODAY(),"İLERİ TARİH",IF(COUNTIF($S$7:$S$1506,$S879)&gt;1,"MÜKERRER?",IF($T879&gt;0,"KAPALI DÖNEM","UYGUN"))))))</f>
        <v/>
      </c>
      <c r="N879" s="121">
        <f>IF($C879="","",IF($C879="TANIMSIZ MÜŞTERİ","—",INDEX(MUSTERILER!$C$7:$C$106,MATCH($C879,MUSTERILER!$B$7:$B$106,0))))</f>
        <v/>
      </c>
      <c r="O879" s="6" t="n"/>
      <c r="P879" s="6" t="n"/>
      <c r="Q879" s="3">
        <f>IF($D879="","",$C879&amp;"|"&amp;COUNTIFS($C$7:$C879,$C879))</f>
        <v/>
      </c>
      <c r="R879" s="3">
        <f>IF($D879="","",UPPER(SUBSTITUTE(SUBSTITUTE(SUBSTITUTE(SUBSTITUTE(SUBSTITUTE(SUBSTITUTE(SUBSTITUTE(SUBSTITUTE(SUBSTITUTE(SUBSTITUTE(SUBSTITUTE(SUBSTITUTE(SUBSTITUTE(SUBSTITUTE(SUBSTITUTE(SUBSTITUTE(SUBSTITUTE(SUBSTITUTE(TRIM($D879),"'",""),"İ","I"),"ı","I"),"i","I"),"Ş","S"),"ş","S"),"Ğ","G"),"ğ","G"),"Ü","U"),"ü","U"),"Ö","O"),"ö","O"),"Ç","C"),"ç","C"),".",""),",","")," ",""),"-","")))</f>
        <v/>
      </c>
      <c r="S879" s="3">
        <f>IF($D879="","",$C879&amp;"|"&amp;TEXT($E879,"0")&amp;"|"&amp;TEXT($F879,"0")&amp;"|"&amp;$I879)</f>
        <v/>
      </c>
      <c r="T879" s="3">
        <f>IF($E879="",0,SUMPRODUCT((AY_SONU!$O$7:$O$42="Evet")*(AY_SONU!$B$7:$B$42=DATE(YEAR($E879),MONTH($E879),1))))</f>
        <v/>
      </c>
    </row>
    <row r="880">
      <c r="A880" s="6" t="n"/>
      <c r="B880" s="113">
        <f>IF($D880="","","T"&amp;TEXT(ROW()-6,"00000"))</f>
        <v/>
      </c>
      <c r="C880" s="113">
        <f>IF($D880="","",IFERROR(INDEX(MUSTERILER!$B$7:$B$106,MATCH($R880,MUSTERILER!$T$7:$T$106,0)),IFERROR(INDEX(MUSTERILER!$B$7:$B$106,MATCH($D880,MUSTERILER!$B$7:$B$106,0)),IFERROR(INDEX(MUSTERILER!$B$7:$B$106,MATCH($R880&amp;"*",MUSTERILER!$T$7:$T$106,0)),"TANIMSIZ MÜŞTERİ"))))</f>
        <v/>
      </c>
      <c r="D880" s="109" t="n"/>
      <c r="E880" s="220" t="n"/>
      <c r="F880" s="221" t="n"/>
      <c r="G880" s="108" t="n"/>
      <c r="H880" s="108" t="n"/>
      <c r="I880" s="109" t="n"/>
      <c r="J880" s="109" t="n"/>
      <c r="K880" s="109" t="n"/>
      <c r="L880" s="226">
        <f>IF($E880="","",DATE(YEAR($E880),MONTH($E880),1))</f>
        <v/>
      </c>
      <c r="M880" s="113">
        <f>IF($D880="","",IF($C880="TANIMSIZ MÜŞTERİ","HATA",IF(OR($E880="",$F880&lt;=0,$G880=""),"EKSİK",IF($E880&gt;TODAY(),"İLERİ TARİH",IF(COUNTIF($S$7:$S$1506,$S880)&gt;1,"MÜKERRER?",IF($T880&gt;0,"KAPALI DÖNEM","UYGUN"))))))</f>
        <v/>
      </c>
      <c r="N880" s="121">
        <f>IF($C880="","",IF($C880="TANIMSIZ MÜŞTERİ","—",INDEX(MUSTERILER!$C$7:$C$106,MATCH($C880,MUSTERILER!$B$7:$B$106,0))))</f>
        <v/>
      </c>
      <c r="O880" s="6" t="n"/>
      <c r="P880" s="6" t="n"/>
      <c r="Q880" s="3">
        <f>IF($D880="","",$C880&amp;"|"&amp;COUNTIFS($C$7:$C880,$C880))</f>
        <v/>
      </c>
      <c r="R880" s="3">
        <f>IF($D880="","",UPPER(SUBSTITUTE(SUBSTITUTE(SUBSTITUTE(SUBSTITUTE(SUBSTITUTE(SUBSTITUTE(SUBSTITUTE(SUBSTITUTE(SUBSTITUTE(SUBSTITUTE(SUBSTITUTE(SUBSTITUTE(SUBSTITUTE(SUBSTITUTE(SUBSTITUTE(SUBSTITUTE(SUBSTITUTE(SUBSTITUTE(TRIM($D880),"'",""),"İ","I"),"ı","I"),"i","I"),"Ş","S"),"ş","S"),"Ğ","G"),"ğ","G"),"Ü","U"),"ü","U"),"Ö","O"),"ö","O"),"Ç","C"),"ç","C"),".",""),",","")," ",""),"-","")))</f>
        <v/>
      </c>
      <c r="S880" s="3">
        <f>IF($D880="","",$C880&amp;"|"&amp;TEXT($E880,"0")&amp;"|"&amp;TEXT($F880,"0")&amp;"|"&amp;$I880)</f>
        <v/>
      </c>
      <c r="T880" s="3">
        <f>IF($E880="",0,SUMPRODUCT((AY_SONU!$O$7:$O$42="Evet")*(AY_SONU!$B$7:$B$42=DATE(YEAR($E880),MONTH($E880),1))))</f>
        <v/>
      </c>
    </row>
    <row r="881">
      <c r="A881" s="6" t="n"/>
      <c r="B881" s="113">
        <f>IF($D881="","","T"&amp;TEXT(ROW()-6,"00000"))</f>
        <v/>
      </c>
      <c r="C881" s="113">
        <f>IF($D881="","",IFERROR(INDEX(MUSTERILER!$B$7:$B$106,MATCH($R881,MUSTERILER!$T$7:$T$106,0)),IFERROR(INDEX(MUSTERILER!$B$7:$B$106,MATCH($D881,MUSTERILER!$B$7:$B$106,0)),IFERROR(INDEX(MUSTERILER!$B$7:$B$106,MATCH($R881&amp;"*",MUSTERILER!$T$7:$T$106,0)),"TANIMSIZ MÜŞTERİ"))))</f>
        <v/>
      </c>
      <c r="D881" s="109" t="n"/>
      <c r="E881" s="220" t="n"/>
      <c r="F881" s="221" t="n"/>
      <c r="G881" s="108" t="n"/>
      <c r="H881" s="108" t="n"/>
      <c r="I881" s="109" t="n"/>
      <c r="J881" s="109" t="n"/>
      <c r="K881" s="109" t="n"/>
      <c r="L881" s="226">
        <f>IF($E881="","",DATE(YEAR($E881),MONTH($E881),1))</f>
        <v/>
      </c>
      <c r="M881" s="113">
        <f>IF($D881="","",IF($C881="TANIMSIZ MÜŞTERİ","HATA",IF(OR($E881="",$F881&lt;=0,$G881=""),"EKSİK",IF($E881&gt;TODAY(),"İLERİ TARİH",IF(COUNTIF($S$7:$S$1506,$S881)&gt;1,"MÜKERRER?",IF($T881&gt;0,"KAPALI DÖNEM","UYGUN"))))))</f>
        <v/>
      </c>
      <c r="N881" s="121">
        <f>IF($C881="","",IF($C881="TANIMSIZ MÜŞTERİ","—",INDEX(MUSTERILER!$C$7:$C$106,MATCH($C881,MUSTERILER!$B$7:$B$106,0))))</f>
        <v/>
      </c>
      <c r="O881" s="6" t="n"/>
      <c r="P881" s="6" t="n"/>
      <c r="Q881" s="3">
        <f>IF($D881="","",$C881&amp;"|"&amp;COUNTIFS($C$7:$C881,$C881))</f>
        <v/>
      </c>
      <c r="R881" s="3">
        <f>IF($D881="","",UPPER(SUBSTITUTE(SUBSTITUTE(SUBSTITUTE(SUBSTITUTE(SUBSTITUTE(SUBSTITUTE(SUBSTITUTE(SUBSTITUTE(SUBSTITUTE(SUBSTITUTE(SUBSTITUTE(SUBSTITUTE(SUBSTITUTE(SUBSTITUTE(SUBSTITUTE(SUBSTITUTE(SUBSTITUTE(SUBSTITUTE(TRIM($D881),"'",""),"İ","I"),"ı","I"),"i","I"),"Ş","S"),"ş","S"),"Ğ","G"),"ğ","G"),"Ü","U"),"ü","U"),"Ö","O"),"ö","O"),"Ç","C"),"ç","C"),".",""),",","")," ",""),"-","")))</f>
        <v/>
      </c>
      <c r="S881" s="3">
        <f>IF($D881="","",$C881&amp;"|"&amp;TEXT($E881,"0")&amp;"|"&amp;TEXT($F881,"0")&amp;"|"&amp;$I881)</f>
        <v/>
      </c>
      <c r="T881" s="3">
        <f>IF($E881="",0,SUMPRODUCT((AY_SONU!$O$7:$O$42="Evet")*(AY_SONU!$B$7:$B$42=DATE(YEAR($E881),MONTH($E881),1))))</f>
        <v/>
      </c>
    </row>
    <row r="882">
      <c r="A882" s="6" t="n"/>
      <c r="B882" s="113">
        <f>IF($D882="","","T"&amp;TEXT(ROW()-6,"00000"))</f>
        <v/>
      </c>
      <c r="C882" s="113">
        <f>IF($D882="","",IFERROR(INDEX(MUSTERILER!$B$7:$B$106,MATCH($R882,MUSTERILER!$T$7:$T$106,0)),IFERROR(INDEX(MUSTERILER!$B$7:$B$106,MATCH($D882,MUSTERILER!$B$7:$B$106,0)),IFERROR(INDEX(MUSTERILER!$B$7:$B$106,MATCH($R882&amp;"*",MUSTERILER!$T$7:$T$106,0)),"TANIMSIZ MÜŞTERİ"))))</f>
        <v/>
      </c>
      <c r="D882" s="109" t="n"/>
      <c r="E882" s="220" t="n"/>
      <c r="F882" s="221" t="n"/>
      <c r="G882" s="108" t="n"/>
      <c r="H882" s="108" t="n"/>
      <c r="I882" s="109" t="n"/>
      <c r="J882" s="109" t="n"/>
      <c r="K882" s="109" t="n"/>
      <c r="L882" s="226">
        <f>IF($E882="","",DATE(YEAR($E882),MONTH($E882),1))</f>
        <v/>
      </c>
      <c r="M882" s="113">
        <f>IF($D882="","",IF($C882="TANIMSIZ MÜŞTERİ","HATA",IF(OR($E882="",$F882&lt;=0,$G882=""),"EKSİK",IF($E882&gt;TODAY(),"İLERİ TARİH",IF(COUNTIF($S$7:$S$1506,$S882)&gt;1,"MÜKERRER?",IF($T882&gt;0,"KAPALI DÖNEM","UYGUN"))))))</f>
        <v/>
      </c>
      <c r="N882" s="121">
        <f>IF($C882="","",IF($C882="TANIMSIZ MÜŞTERİ","—",INDEX(MUSTERILER!$C$7:$C$106,MATCH($C882,MUSTERILER!$B$7:$B$106,0))))</f>
        <v/>
      </c>
      <c r="O882" s="6" t="n"/>
      <c r="P882" s="6" t="n"/>
      <c r="Q882" s="3">
        <f>IF($D882="","",$C882&amp;"|"&amp;COUNTIFS($C$7:$C882,$C882))</f>
        <v/>
      </c>
      <c r="R882" s="3">
        <f>IF($D882="","",UPPER(SUBSTITUTE(SUBSTITUTE(SUBSTITUTE(SUBSTITUTE(SUBSTITUTE(SUBSTITUTE(SUBSTITUTE(SUBSTITUTE(SUBSTITUTE(SUBSTITUTE(SUBSTITUTE(SUBSTITUTE(SUBSTITUTE(SUBSTITUTE(SUBSTITUTE(SUBSTITUTE(SUBSTITUTE(SUBSTITUTE(TRIM($D882),"'",""),"İ","I"),"ı","I"),"i","I"),"Ş","S"),"ş","S"),"Ğ","G"),"ğ","G"),"Ü","U"),"ü","U"),"Ö","O"),"ö","O"),"Ç","C"),"ç","C"),".",""),",","")," ",""),"-","")))</f>
        <v/>
      </c>
      <c r="S882" s="3">
        <f>IF($D882="","",$C882&amp;"|"&amp;TEXT($E882,"0")&amp;"|"&amp;TEXT($F882,"0")&amp;"|"&amp;$I882)</f>
        <v/>
      </c>
      <c r="T882" s="3">
        <f>IF($E882="",0,SUMPRODUCT((AY_SONU!$O$7:$O$42="Evet")*(AY_SONU!$B$7:$B$42=DATE(YEAR($E882),MONTH($E882),1))))</f>
        <v/>
      </c>
    </row>
    <row r="883">
      <c r="A883" s="6" t="n"/>
      <c r="B883" s="113">
        <f>IF($D883="","","T"&amp;TEXT(ROW()-6,"00000"))</f>
        <v/>
      </c>
      <c r="C883" s="113">
        <f>IF($D883="","",IFERROR(INDEX(MUSTERILER!$B$7:$B$106,MATCH($R883,MUSTERILER!$T$7:$T$106,0)),IFERROR(INDEX(MUSTERILER!$B$7:$B$106,MATCH($D883,MUSTERILER!$B$7:$B$106,0)),IFERROR(INDEX(MUSTERILER!$B$7:$B$106,MATCH($R883&amp;"*",MUSTERILER!$T$7:$T$106,0)),"TANIMSIZ MÜŞTERİ"))))</f>
        <v/>
      </c>
      <c r="D883" s="109" t="n"/>
      <c r="E883" s="220" t="n"/>
      <c r="F883" s="221" t="n"/>
      <c r="G883" s="108" t="n"/>
      <c r="H883" s="108" t="n"/>
      <c r="I883" s="109" t="n"/>
      <c r="J883" s="109" t="n"/>
      <c r="K883" s="109" t="n"/>
      <c r="L883" s="226">
        <f>IF($E883="","",DATE(YEAR($E883),MONTH($E883),1))</f>
        <v/>
      </c>
      <c r="M883" s="113">
        <f>IF($D883="","",IF($C883="TANIMSIZ MÜŞTERİ","HATA",IF(OR($E883="",$F883&lt;=0,$G883=""),"EKSİK",IF($E883&gt;TODAY(),"İLERİ TARİH",IF(COUNTIF($S$7:$S$1506,$S883)&gt;1,"MÜKERRER?",IF($T883&gt;0,"KAPALI DÖNEM","UYGUN"))))))</f>
        <v/>
      </c>
      <c r="N883" s="121">
        <f>IF($C883="","",IF($C883="TANIMSIZ MÜŞTERİ","—",INDEX(MUSTERILER!$C$7:$C$106,MATCH($C883,MUSTERILER!$B$7:$B$106,0))))</f>
        <v/>
      </c>
      <c r="O883" s="6" t="n"/>
      <c r="P883" s="6" t="n"/>
      <c r="Q883" s="3">
        <f>IF($D883="","",$C883&amp;"|"&amp;COUNTIFS($C$7:$C883,$C883))</f>
        <v/>
      </c>
      <c r="R883" s="3">
        <f>IF($D883="","",UPPER(SUBSTITUTE(SUBSTITUTE(SUBSTITUTE(SUBSTITUTE(SUBSTITUTE(SUBSTITUTE(SUBSTITUTE(SUBSTITUTE(SUBSTITUTE(SUBSTITUTE(SUBSTITUTE(SUBSTITUTE(SUBSTITUTE(SUBSTITUTE(SUBSTITUTE(SUBSTITUTE(SUBSTITUTE(SUBSTITUTE(TRIM($D883),"'",""),"İ","I"),"ı","I"),"i","I"),"Ş","S"),"ş","S"),"Ğ","G"),"ğ","G"),"Ü","U"),"ü","U"),"Ö","O"),"ö","O"),"Ç","C"),"ç","C"),".",""),",","")," ",""),"-","")))</f>
        <v/>
      </c>
      <c r="S883" s="3">
        <f>IF($D883="","",$C883&amp;"|"&amp;TEXT($E883,"0")&amp;"|"&amp;TEXT($F883,"0")&amp;"|"&amp;$I883)</f>
        <v/>
      </c>
      <c r="T883" s="3">
        <f>IF($E883="",0,SUMPRODUCT((AY_SONU!$O$7:$O$42="Evet")*(AY_SONU!$B$7:$B$42=DATE(YEAR($E883),MONTH($E883),1))))</f>
        <v/>
      </c>
    </row>
    <row r="884">
      <c r="A884" s="6" t="n"/>
      <c r="B884" s="113">
        <f>IF($D884="","","T"&amp;TEXT(ROW()-6,"00000"))</f>
        <v/>
      </c>
      <c r="C884" s="113">
        <f>IF($D884="","",IFERROR(INDEX(MUSTERILER!$B$7:$B$106,MATCH($R884,MUSTERILER!$T$7:$T$106,0)),IFERROR(INDEX(MUSTERILER!$B$7:$B$106,MATCH($D884,MUSTERILER!$B$7:$B$106,0)),IFERROR(INDEX(MUSTERILER!$B$7:$B$106,MATCH($R884&amp;"*",MUSTERILER!$T$7:$T$106,0)),"TANIMSIZ MÜŞTERİ"))))</f>
        <v/>
      </c>
      <c r="D884" s="109" t="n"/>
      <c r="E884" s="220" t="n"/>
      <c r="F884" s="221" t="n"/>
      <c r="G884" s="108" t="n"/>
      <c r="H884" s="108" t="n"/>
      <c r="I884" s="109" t="n"/>
      <c r="J884" s="109" t="n"/>
      <c r="K884" s="109" t="n"/>
      <c r="L884" s="226">
        <f>IF($E884="","",DATE(YEAR($E884),MONTH($E884),1))</f>
        <v/>
      </c>
      <c r="M884" s="113">
        <f>IF($D884="","",IF($C884="TANIMSIZ MÜŞTERİ","HATA",IF(OR($E884="",$F884&lt;=0,$G884=""),"EKSİK",IF($E884&gt;TODAY(),"İLERİ TARİH",IF(COUNTIF($S$7:$S$1506,$S884)&gt;1,"MÜKERRER?",IF($T884&gt;0,"KAPALI DÖNEM","UYGUN"))))))</f>
        <v/>
      </c>
      <c r="N884" s="121">
        <f>IF($C884="","",IF($C884="TANIMSIZ MÜŞTERİ","—",INDEX(MUSTERILER!$C$7:$C$106,MATCH($C884,MUSTERILER!$B$7:$B$106,0))))</f>
        <v/>
      </c>
      <c r="O884" s="6" t="n"/>
      <c r="P884" s="6" t="n"/>
      <c r="Q884" s="3">
        <f>IF($D884="","",$C884&amp;"|"&amp;COUNTIFS($C$7:$C884,$C884))</f>
        <v/>
      </c>
      <c r="R884" s="3">
        <f>IF($D884="","",UPPER(SUBSTITUTE(SUBSTITUTE(SUBSTITUTE(SUBSTITUTE(SUBSTITUTE(SUBSTITUTE(SUBSTITUTE(SUBSTITUTE(SUBSTITUTE(SUBSTITUTE(SUBSTITUTE(SUBSTITUTE(SUBSTITUTE(SUBSTITUTE(SUBSTITUTE(SUBSTITUTE(SUBSTITUTE(SUBSTITUTE(TRIM($D884),"'",""),"İ","I"),"ı","I"),"i","I"),"Ş","S"),"ş","S"),"Ğ","G"),"ğ","G"),"Ü","U"),"ü","U"),"Ö","O"),"ö","O"),"Ç","C"),"ç","C"),".",""),",","")," ",""),"-","")))</f>
        <v/>
      </c>
      <c r="S884" s="3">
        <f>IF($D884="","",$C884&amp;"|"&amp;TEXT($E884,"0")&amp;"|"&amp;TEXT($F884,"0")&amp;"|"&amp;$I884)</f>
        <v/>
      </c>
      <c r="T884" s="3">
        <f>IF($E884="",0,SUMPRODUCT((AY_SONU!$O$7:$O$42="Evet")*(AY_SONU!$B$7:$B$42=DATE(YEAR($E884),MONTH($E884),1))))</f>
        <v/>
      </c>
    </row>
    <row r="885">
      <c r="A885" s="6" t="n"/>
      <c r="B885" s="113">
        <f>IF($D885="","","T"&amp;TEXT(ROW()-6,"00000"))</f>
        <v/>
      </c>
      <c r="C885" s="113">
        <f>IF($D885="","",IFERROR(INDEX(MUSTERILER!$B$7:$B$106,MATCH($R885,MUSTERILER!$T$7:$T$106,0)),IFERROR(INDEX(MUSTERILER!$B$7:$B$106,MATCH($D885,MUSTERILER!$B$7:$B$106,0)),IFERROR(INDEX(MUSTERILER!$B$7:$B$106,MATCH($R885&amp;"*",MUSTERILER!$T$7:$T$106,0)),"TANIMSIZ MÜŞTERİ"))))</f>
        <v/>
      </c>
      <c r="D885" s="109" t="n"/>
      <c r="E885" s="220" t="n"/>
      <c r="F885" s="221" t="n"/>
      <c r="G885" s="108" t="n"/>
      <c r="H885" s="108" t="n"/>
      <c r="I885" s="109" t="n"/>
      <c r="J885" s="109" t="n"/>
      <c r="K885" s="109" t="n"/>
      <c r="L885" s="226">
        <f>IF($E885="","",DATE(YEAR($E885),MONTH($E885),1))</f>
        <v/>
      </c>
      <c r="M885" s="113">
        <f>IF($D885="","",IF($C885="TANIMSIZ MÜŞTERİ","HATA",IF(OR($E885="",$F885&lt;=0,$G885=""),"EKSİK",IF($E885&gt;TODAY(),"İLERİ TARİH",IF(COUNTIF($S$7:$S$1506,$S885)&gt;1,"MÜKERRER?",IF($T885&gt;0,"KAPALI DÖNEM","UYGUN"))))))</f>
        <v/>
      </c>
      <c r="N885" s="121">
        <f>IF($C885="","",IF($C885="TANIMSIZ MÜŞTERİ","—",INDEX(MUSTERILER!$C$7:$C$106,MATCH($C885,MUSTERILER!$B$7:$B$106,0))))</f>
        <v/>
      </c>
      <c r="O885" s="6" t="n"/>
      <c r="P885" s="6" t="n"/>
      <c r="Q885" s="3">
        <f>IF($D885="","",$C885&amp;"|"&amp;COUNTIFS($C$7:$C885,$C885))</f>
        <v/>
      </c>
      <c r="R885" s="3">
        <f>IF($D885="","",UPPER(SUBSTITUTE(SUBSTITUTE(SUBSTITUTE(SUBSTITUTE(SUBSTITUTE(SUBSTITUTE(SUBSTITUTE(SUBSTITUTE(SUBSTITUTE(SUBSTITUTE(SUBSTITUTE(SUBSTITUTE(SUBSTITUTE(SUBSTITUTE(SUBSTITUTE(SUBSTITUTE(SUBSTITUTE(SUBSTITUTE(TRIM($D885),"'",""),"İ","I"),"ı","I"),"i","I"),"Ş","S"),"ş","S"),"Ğ","G"),"ğ","G"),"Ü","U"),"ü","U"),"Ö","O"),"ö","O"),"Ç","C"),"ç","C"),".",""),",","")," ",""),"-","")))</f>
        <v/>
      </c>
      <c r="S885" s="3">
        <f>IF($D885="","",$C885&amp;"|"&amp;TEXT($E885,"0")&amp;"|"&amp;TEXT($F885,"0")&amp;"|"&amp;$I885)</f>
        <v/>
      </c>
      <c r="T885" s="3">
        <f>IF($E885="",0,SUMPRODUCT((AY_SONU!$O$7:$O$42="Evet")*(AY_SONU!$B$7:$B$42=DATE(YEAR($E885),MONTH($E885),1))))</f>
        <v/>
      </c>
    </row>
    <row r="886">
      <c r="A886" s="6" t="n"/>
      <c r="B886" s="113">
        <f>IF($D886="","","T"&amp;TEXT(ROW()-6,"00000"))</f>
        <v/>
      </c>
      <c r="C886" s="113">
        <f>IF($D886="","",IFERROR(INDEX(MUSTERILER!$B$7:$B$106,MATCH($R886,MUSTERILER!$T$7:$T$106,0)),IFERROR(INDEX(MUSTERILER!$B$7:$B$106,MATCH($D886,MUSTERILER!$B$7:$B$106,0)),IFERROR(INDEX(MUSTERILER!$B$7:$B$106,MATCH($R886&amp;"*",MUSTERILER!$T$7:$T$106,0)),"TANIMSIZ MÜŞTERİ"))))</f>
        <v/>
      </c>
      <c r="D886" s="109" t="n"/>
      <c r="E886" s="220" t="n"/>
      <c r="F886" s="221" t="n"/>
      <c r="G886" s="108" t="n"/>
      <c r="H886" s="108" t="n"/>
      <c r="I886" s="109" t="n"/>
      <c r="J886" s="109" t="n"/>
      <c r="K886" s="109" t="n"/>
      <c r="L886" s="226">
        <f>IF($E886="","",DATE(YEAR($E886),MONTH($E886),1))</f>
        <v/>
      </c>
      <c r="M886" s="113">
        <f>IF($D886="","",IF($C886="TANIMSIZ MÜŞTERİ","HATA",IF(OR($E886="",$F886&lt;=0,$G886=""),"EKSİK",IF($E886&gt;TODAY(),"İLERİ TARİH",IF(COUNTIF($S$7:$S$1506,$S886)&gt;1,"MÜKERRER?",IF($T886&gt;0,"KAPALI DÖNEM","UYGUN"))))))</f>
        <v/>
      </c>
      <c r="N886" s="121">
        <f>IF($C886="","",IF($C886="TANIMSIZ MÜŞTERİ","—",INDEX(MUSTERILER!$C$7:$C$106,MATCH($C886,MUSTERILER!$B$7:$B$106,0))))</f>
        <v/>
      </c>
      <c r="O886" s="6" t="n"/>
      <c r="P886" s="6" t="n"/>
      <c r="Q886" s="3">
        <f>IF($D886="","",$C886&amp;"|"&amp;COUNTIFS($C$7:$C886,$C886))</f>
        <v/>
      </c>
      <c r="R886" s="3">
        <f>IF($D886="","",UPPER(SUBSTITUTE(SUBSTITUTE(SUBSTITUTE(SUBSTITUTE(SUBSTITUTE(SUBSTITUTE(SUBSTITUTE(SUBSTITUTE(SUBSTITUTE(SUBSTITUTE(SUBSTITUTE(SUBSTITUTE(SUBSTITUTE(SUBSTITUTE(SUBSTITUTE(SUBSTITUTE(SUBSTITUTE(SUBSTITUTE(TRIM($D886),"'",""),"İ","I"),"ı","I"),"i","I"),"Ş","S"),"ş","S"),"Ğ","G"),"ğ","G"),"Ü","U"),"ü","U"),"Ö","O"),"ö","O"),"Ç","C"),"ç","C"),".",""),",","")," ",""),"-","")))</f>
        <v/>
      </c>
      <c r="S886" s="3">
        <f>IF($D886="","",$C886&amp;"|"&amp;TEXT($E886,"0")&amp;"|"&amp;TEXT($F886,"0")&amp;"|"&amp;$I886)</f>
        <v/>
      </c>
      <c r="T886" s="3">
        <f>IF($E886="",0,SUMPRODUCT((AY_SONU!$O$7:$O$42="Evet")*(AY_SONU!$B$7:$B$42=DATE(YEAR($E886),MONTH($E886),1))))</f>
        <v/>
      </c>
    </row>
    <row r="887">
      <c r="A887" s="6" t="n"/>
      <c r="B887" s="113">
        <f>IF($D887="","","T"&amp;TEXT(ROW()-6,"00000"))</f>
        <v/>
      </c>
      <c r="C887" s="113">
        <f>IF($D887="","",IFERROR(INDEX(MUSTERILER!$B$7:$B$106,MATCH($R887,MUSTERILER!$T$7:$T$106,0)),IFERROR(INDEX(MUSTERILER!$B$7:$B$106,MATCH($D887,MUSTERILER!$B$7:$B$106,0)),IFERROR(INDEX(MUSTERILER!$B$7:$B$106,MATCH($R887&amp;"*",MUSTERILER!$T$7:$T$106,0)),"TANIMSIZ MÜŞTERİ"))))</f>
        <v/>
      </c>
      <c r="D887" s="109" t="n"/>
      <c r="E887" s="220" t="n"/>
      <c r="F887" s="221" t="n"/>
      <c r="G887" s="108" t="n"/>
      <c r="H887" s="108" t="n"/>
      <c r="I887" s="109" t="n"/>
      <c r="J887" s="109" t="n"/>
      <c r="K887" s="109" t="n"/>
      <c r="L887" s="226">
        <f>IF($E887="","",DATE(YEAR($E887),MONTH($E887),1))</f>
        <v/>
      </c>
      <c r="M887" s="113">
        <f>IF($D887="","",IF($C887="TANIMSIZ MÜŞTERİ","HATA",IF(OR($E887="",$F887&lt;=0,$G887=""),"EKSİK",IF($E887&gt;TODAY(),"İLERİ TARİH",IF(COUNTIF($S$7:$S$1506,$S887)&gt;1,"MÜKERRER?",IF($T887&gt;0,"KAPALI DÖNEM","UYGUN"))))))</f>
        <v/>
      </c>
      <c r="N887" s="121">
        <f>IF($C887="","",IF($C887="TANIMSIZ MÜŞTERİ","—",INDEX(MUSTERILER!$C$7:$C$106,MATCH($C887,MUSTERILER!$B$7:$B$106,0))))</f>
        <v/>
      </c>
      <c r="O887" s="6" t="n"/>
      <c r="P887" s="6" t="n"/>
      <c r="Q887" s="3">
        <f>IF($D887="","",$C887&amp;"|"&amp;COUNTIFS($C$7:$C887,$C887))</f>
        <v/>
      </c>
      <c r="R887" s="3">
        <f>IF($D887="","",UPPER(SUBSTITUTE(SUBSTITUTE(SUBSTITUTE(SUBSTITUTE(SUBSTITUTE(SUBSTITUTE(SUBSTITUTE(SUBSTITUTE(SUBSTITUTE(SUBSTITUTE(SUBSTITUTE(SUBSTITUTE(SUBSTITUTE(SUBSTITUTE(SUBSTITUTE(SUBSTITUTE(SUBSTITUTE(SUBSTITUTE(TRIM($D887),"'",""),"İ","I"),"ı","I"),"i","I"),"Ş","S"),"ş","S"),"Ğ","G"),"ğ","G"),"Ü","U"),"ü","U"),"Ö","O"),"ö","O"),"Ç","C"),"ç","C"),".",""),",","")," ",""),"-","")))</f>
        <v/>
      </c>
      <c r="S887" s="3">
        <f>IF($D887="","",$C887&amp;"|"&amp;TEXT($E887,"0")&amp;"|"&amp;TEXT($F887,"0")&amp;"|"&amp;$I887)</f>
        <v/>
      </c>
      <c r="T887" s="3">
        <f>IF($E887="",0,SUMPRODUCT((AY_SONU!$O$7:$O$42="Evet")*(AY_SONU!$B$7:$B$42=DATE(YEAR($E887),MONTH($E887),1))))</f>
        <v/>
      </c>
    </row>
    <row r="888">
      <c r="A888" s="6" t="n"/>
      <c r="B888" s="113">
        <f>IF($D888="","","T"&amp;TEXT(ROW()-6,"00000"))</f>
        <v/>
      </c>
      <c r="C888" s="113">
        <f>IF($D888="","",IFERROR(INDEX(MUSTERILER!$B$7:$B$106,MATCH($R888,MUSTERILER!$T$7:$T$106,0)),IFERROR(INDEX(MUSTERILER!$B$7:$B$106,MATCH($D888,MUSTERILER!$B$7:$B$106,0)),IFERROR(INDEX(MUSTERILER!$B$7:$B$106,MATCH($R888&amp;"*",MUSTERILER!$T$7:$T$106,0)),"TANIMSIZ MÜŞTERİ"))))</f>
        <v/>
      </c>
      <c r="D888" s="109" t="n"/>
      <c r="E888" s="220" t="n"/>
      <c r="F888" s="221" t="n"/>
      <c r="G888" s="108" t="n"/>
      <c r="H888" s="108" t="n"/>
      <c r="I888" s="109" t="n"/>
      <c r="J888" s="109" t="n"/>
      <c r="K888" s="109" t="n"/>
      <c r="L888" s="226">
        <f>IF($E888="","",DATE(YEAR($E888),MONTH($E888),1))</f>
        <v/>
      </c>
      <c r="M888" s="113">
        <f>IF($D888="","",IF($C888="TANIMSIZ MÜŞTERİ","HATA",IF(OR($E888="",$F888&lt;=0,$G888=""),"EKSİK",IF($E888&gt;TODAY(),"İLERİ TARİH",IF(COUNTIF($S$7:$S$1506,$S888)&gt;1,"MÜKERRER?",IF($T888&gt;0,"KAPALI DÖNEM","UYGUN"))))))</f>
        <v/>
      </c>
      <c r="N888" s="121">
        <f>IF($C888="","",IF($C888="TANIMSIZ MÜŞTERİ","—",INDEX(MUSTERILER!$C$7:$C$106,MATCH($C888,MUSTERILER!$B$7:$B$106,0))))</f>
        <v/>
      </c>
      <c r="O888" s="6" t="n"/>
      <c r="P888" s="6" t="n"/>
      <c r="Q888" s="3">
        <f>IF($D888="","",$C888&amp;"|"&amp;COUNTIFS($C$7:$C888,$C888))</f>
        <v/>
      </c>
      <c r="R888" s="3">
        <f>IF($D888="","",UPPER(SUBSTITUTE(SUBSTITUTE(SUBSTITUTE(SUBSTITUTE(SUBSTITUTE(SUBSTITUTE(SUBSTITUTE(SUBSTITUTE(SUBSTITUTE(SUBSTITUTE(SUBSTITUTE(SUBSTITUTE(SUBSTITUTE(SUBSTITUTE(SUBSTITUTE(SUBSTITUTE(SUBSTITUTE(SUBSTITUTE(TRIM($D888),"'",""),"İ","I"),"ı","I"),"i","I"),"Ş","S"),"ş","S"),"Ğ","G"),"ğ","G"),"Ü","U"),"ü","U"),"Ö","O"),"ö","O"),"Ç","C"),"ç","C"),".",""),",","")," ",""),"-","")))</f>
        <v/>
      </c>
      <c r="S888" s="3">
        <f>IF($D888="","",$C888&amp;"|"&amp;TEXT($E888,"0")&amp;"|"&amp;TEXT($F888,"0")&amp;"|"&amp;$I888)</f>
        <v/>
      </c>
      <c r="T888" s="3">
        <f>IF($E888="",0,SUMPRODUCT((AY_SONU!$O$7:$O$42="Evet")*(AY_SONU!$B$7:$B$42=DATE(YEAR($E888),MONTH($E888),1))))</f>
        <v/>
      </c>
    </row>
    <row r="889">
      <c r="A889" s="6" t="n"/>
      <c r="B889" s="113">
        <f>IF($D889="","","T"&amp;TEXT(ROW()-6,"00000"))</f>
        <v/>
      </c>
      <c r="C889" s="113">
        <f>IF($D889="","",IFERROR(INDEX(MUSTERILER!$B$7:$B$106,MATCH($R889,MUSTERILER!$T$7:$T$106,0)),IFERROR(INDEX(MUSTERILER!$B$7:$B$106,MATCH($D889,MUSTERILER!$B$7:$B$106,0)),IFERROR(INDEX(MUSTERILER!$B$7:$B$106,MATCH($R889&amp;"*",MUSTERILER!$T$7:$T$106,0)),"TANIMSIZ MÜŞTERİ"))))</f>
        <v/>
      </c>
      <c r="D889" s="109" t="n"/>
      <c r="E889" s="220" t="n"/>
      <c r="F889" s="221" t="n"/>
      <c r="G889" s="108" t="n"/>
      <c r="H889" s="108" t="n"/>
      <c r="I889" s="109" t="n"/>
      <c r="J889" s="109" t="n"/>
      <c r="K889" s="109" t="n"/>
      <c r="L889" s="226">
        <f>IF($E889="","",DATE(YEAR($E889),MONTH($E889),1))</f>
        <v/>
      </c>
      <c r="M889" s="113">
        <f>IF($D889="","",IF($C889="TANIMSIZ MÜŞTERİ","HATA",IF(OR($E889="",$F889&lt;=0,$G889=""),"EKSİK",IF($E889&gt;TODAY(),"İLERİ TARİH",IF(COUNTIF($S$7:$S$1506,$S889)&gt;1,"MÜKERRER?",IF($T889&gt;0,"KAPALI DÖNEM","UYGUN"))))))</f>
        <v/>
      </c>
      <c r="N889" s="121">
        <f>IF($C889="","",IF($C889="TANIMSIZ MÜŞTERİ","—",INDEX(MUSTERILER!$C$7:$C$106,MATCH($C889,MUSTERILER!$B$7:$B$106,0))))</f>
        <v/>
      </c>
      <c r="O889" s="6" t="n"/>
      <c r="P889" s="6" t="n"/>
      <c r="Q889" s="3">
        <f>IF($D889="","",$C889&amp;"|"&amp;COUNTIFS($C$7:$C889,$C889))</f>
        <v/>
      </c>
      <c r="R889" s="3">
        <f>IF($D889="","",UPPER(SUBSTITUTE(SUBSTITUTE(SUBSTITUTE(SUBSTITUTE(SUBSTITUTE(SUBSTITUTE(SUBSTITUTE(SUBSTITUTE(SUBSTITUTE(SUBSTITUTE(SUBSTITUTE(SUBSTITUTE(SUBSTITUTE(SUBSTITUTE(SUBSTITUTE(SUBSTITUTE(SUBSTITUTE(SUBSTITUTE(TRIM($D889),"'",""),"İ","I"),"ı","I"),"i","I"),"Ş","S"),"ş","S"),"Ğ","G"),"ğ","G"),"Ü","U"),"ü","U"),"Ö","O"),"ö","O"),"Ç","C"),"ç","C"),".",""),",","")," ",""),"-","")))</f>
        <v/>
      </c>
      <c r="S889" s="3">
        <f>IF($D889="","",$C889&amp;"|"&amp;TEXT($E889,"0")&amp;"|"&amp;TEXT($F889,"0")&amp;"|"&amp;$I889)</f>
        <v/>
      </c>
      <c r="T889" s="3">
        <f>IF($E889="",0,SUMPRODUCT((AY_SONU!$O$7:$O$42="Evet")*(AY_SONU!$B$7:$B$42=DATE(YEAR($E889),MONTH($E889),1))))</f>
        <v/>
      </c>
    </row>
    <row r="890">
      <c r="A890" s="6" t="n"/>
      <c r="B890" s="113">
        <f>IF($D890="","","T"&amp;TEXT(ROW()-6,"00000"))</f>
        <v/>
      </c>
      <c r="C890" s="113">
        <f>IF($D890="","",IFERROR(INDEX(MUSTERILER!$B$7:$B$106,MATCH($R890,MUSTERILER!$T$7:$T$106,0)),IFERROR(INDEX(MUSTERILER!$B$7:$B$106,MATCH($D890,MUSTERILER!$B$7:$B$106,0)),IFERROR(INDEX(MUSTERILER!$B$7:$B$106,MATCH($R890&amp;"*",MUSTERILER!$T$7:$T$106,0)),"TANIMSIZ MÜŞTERİ"))))</f>
        <v/>
      </c>
      <c r="D890" s="109" t="n"/>
      <c r="E890" s="220" t="n"/>
      <c r="F890" s="221" t="n"/>
      <c r="G890" s="108" t="n"/>
      <c r="H890" s="108" t="n"/>
      <c r="I890" s="109" t="n"/>
      <c r="J890" s="109" t="n"/>
      <c r="K890" s="109" t="n"/>
      <c r="L890" s="226">
        <f>IF($E890="","",DATE(YEAR($E890),MONTH($E890),1))</f>
        <v/>
      </c>
      <c r="M890" s="113">
        <f>IF($D890="","",IF($C890="TANIMSIZ MÜŞTERİ","HATA",IF(OR($E890="",$F890&lt;=0,$G890=""),"EKSİK",IF($E890&gt;TODAY(),"İLERİ TARİH",IF(COUNTIF($S$7:$S$1506,$S890)&gt;1,"MÜKERRER?",IF($T890&gt;0,"KAPALI DÖNEM","UYGUN"))))))</f>
        <v/>
      </c>
      <c r="N890" s="121">
        <f>IF($C890="","",IF($C890="TANIMSIZ MÜŞTERİ","—",INDEX(MUSTERILER!$C$7:$C$106,MATCH($C890,MUSTERILER!$B$7:$B$106,0))))</f>
        <v/>
      </c>
      <c r="O890" s="6" t="n"/>
      <c r="P890" s="6" t="n"/>
      <c r="Q890" s="3">
        <f>IF($D890="","",$C890&amp;"|"&amp;COUNTIFS($C$7:$C890,$C890))</f>
        <v/>
      </c>
      <c r="R890" s="3">
        <f>IF($D890="","",UPPER(SUBSTITUTE(SUBSTITUTE(SUBSTITUTE(SUBSTITUTE(SUBSTITUTE(SUBSTITUTE(SUBSTITUTE(SUBSTITUTE(SUBSTITUTE(SUBSTITUTE(SUBSTITUTE(SUBSTITUTE(SUBSTITUTE(SUBSTITUTE(SUBSTITUTE(SUBSTITUTE(SUBSTITUTE(SUBSTITUTE(TRIM($D890),"'",""),"İ","I"),"ı","I"),"i","I"),"Ş","S"),"ş","S"),"Ğ","G"),"ğ","G"),"Ü","U"),"ü","U"),"Ö","O"),"ö","O"),"Ç","C"),"ç","C"),".",""),",","")," ",""),"-","")))</f>
        <v/>
      </c>
      <c r="S890" s="3">
        <f>IF($D890="","",$C890&amp;"|"&amp;TEXT($E890,"0")&amp;"|"&amp;TEXT($F890,"0")&amp;"|"&amp;$I890)</f>
        <v/>
      </c>
      <c r="T890" s="3">
        <f>IF($E890="",0,SUMPRODUCT((AY_SONU!$O$7:$O$42="Evet")*(AY_SONU!$B$7:$B$42=DATE(YEAR($E890),MONTH($E890),1))))</f>
        <v/>
      </c>
    </row>
    <row r="891">
      <c r="A891" s="6" t="n"/>
      <c r="B891" s="113">
        <f>IF($D891="","","T"&amp;TEXT(ROW()-6,"00000"))</f>
        <v/>
      </c>
      <c r="C891" s="113">
        <f>IF($D891="","",IFERROR(INDEX(MUSTERILER!$B$7:$B$106,MATCH($R891,MUSTERILER!$T$7:$T$106,0)),IFERROR(INDEX(MUSTERILER!$B$7:$B$106,MATCH($D891,MUSTERILER!$B$7:$B$106,0)),IFERROR(INDEX(MUSTERILER!$B$7:$B$106,MATCH($R891&amp;"*",MUSTERILER!$T$7:$T$106,0)),"TANIMSIZ MÜŞTERİ"))))</f>
        <v/>
      </c>
      <c r="D891" s="109" t="n"/>
      <c r="E891" s="220" t="n"/>
      <c r="F891" s="221" t="n"/>
      <c r="G891" s="108" t="n"/>
      <c r="H891" s="108" t="n"/>
      <c r="I891" s="109" t="n"/>
      <c r="J891" s="109" t="n"/>
      <c r="K891" s="109" t="n"/>
      <c r="L891" s="226">
        <f>IF($E891="","",DATE(YEAR($E891),MONTH($E891),1))</f>
        <v/>
      </c>
      <c r="M891" s="113">
        <f>IF($D891="","",IF($C891="TANIMSIZ MÜŞTERİ","HATA",IF(OR($E891="",$F891&lt;=0,$G891=""),"EKSİK",IF($E891&gt;TODAY(),"İLERİ TARİH",IF(COUNTIF($S$7:$S$1506,$S891)&gt;1,"MÜKERRER?",IF($T891&gt;0,"KAPALI DÖNEM","UYGUN"))))))</f>
        <v/>
      </c>
      <c r="N891" s="121">
        <f>IF($C891="","",IF($C891="TANIMSIZ MÜŞTERİ","—",INDEX(MUSTERILER!$C$7:$C$106,MATCH($C891,MUSTERILER!$B$7:$B$106,0))))</f>
        <v/>
      </c>
      <c r="O891" s="6" t="n"/>
      <c r="P891" s="6" t="n"/>
      <c r="Q891" s="3">
        <f>IF($D891="","",$C891&amp;"|"&amp;COUNTIFS($C$7:$C891,$C891))</f>
        <v/>
      </c>
      <c r="R891" s="3">
        <f>IF($D891="","",UPPER(SUBSTITUTE(SUBSTITUTE(SUBSTITUTE(SUBSTITUTE(SUBSTITUTE(SUBSTITUTE(SUBSTITUTE(SUBSTITUTE(SUBSTITUTE(SUBSTITUTE(SUBSTITUTE(SUBSTITUTE(SUBSTITUTE(SUBSTITUTE(SUBSTITUTE(SUBSTITUTE(SUBSTITUTE(SUBSTITUTE(TRIM($D891),"'",""),"İ","I"),"ı","I"),"i","I"),"Ş","S"),"ş","S"),"Ğ","G"),"ğ","G"),"Ü","U"),"ü","U"),"Ö","O"),"ö","O"),"Ç","C"),"ç","C"),".",""),",","")," ",""),"-","")))</f>
        <v/>
      </c>
      <c r="S891" s="3">
        <f>IF($D891="","",$C891&amp;"|"&amp;TEXT($E891,"0")&amp;"|"&amp;TEXT($F891,"0")&amp;"|"&amp;$I891)</f>
        <v/>
      </c>
      <c r="T891" s="3">
        <f>IF($E891="",0,SUMPRODUCT((AY_SONU!$O$7:$O$42="Evet")*(AY_SONU!$B$7:$B$42=DATE(YEAR($E891),MONTH($E891),1))))</f>
        <v/>
      </c>
    </row>
    <row r="892">
      <c r="A892" s="6" t="n"/>
      <c r="B892" s="113">
        <f>IF($D892="","","T"&amp;TEXT(ROW()-6,"00000"))</f>
        <v/>
      </c>
      <c r="C892" s="113">
        <f>IF($D892="","",IFERROR(INDEX(MUSTERILER!$B$7:$B$106,MATCH($R892,MUSTERILER!$T$7:$T$106,0)),IFERROR(INDEX(MUSTERILER!$B$7:$B$106,MATCH($D892,MUSTERILER!$B$7:$B$106,0)),IFERROR(INDEX(MUSTERILER!$B$7:$B$106,MATCH($R892&amp;"*",MUSTERILER!$T$7:$T$106,0)),"TANIMSIZ MÜŞTERİ"))))</f>
        <v/>
      </c>
      <c r="D892" s="109" t="n"/>
      <c r="E892" s="220" t="n"/>
      <c r="F892" s="221" t="n"/>
      <c r="G892" s="108" t="n"/>
      <c r="H892" s="108" t="n"/>
      <c r="I892" s="109" t="n"/>
      <c r="J892" s="109" t="n"/>
      <c r="K892" s="109" t="n"/>
      <c r="L892" s="226">
        <f>IF($E892="","",DATE(YEAR($E892),MONTH($E892),1))</f>
        <v/>
      </c>
      <c r="M892" s="113">
        <f>IF($D892="","",IF($C892="TANIMSIZ MÜŞTERİ","HATA",IF(OR($E892="",$F892&lt;=0,$G892=""),"EKSİK",IF($E892&gt;TODAY(),"İLERİ TARİH",IF(COUNTIF($S$7:$S$1506,$S892)&gt;1,"MÜKERRER?",IF($T892&gt;0,"KAPALI DÖNEM","UYGUN"))))))</f>
        <v/>
      </c>
      <c r="N892" s="121">
        <f>IF($C892="","",IF($C892="TANIMSIZ MÜŞTERİ","—",INDEX(MUSTERILER!$C$7:$C$106,MATCH($C892,MUSTERILER!$B$7:$B$106,0))))</f>
        <v/>
      </c>
      <c r="O892" s="6" t="n"/>
      <c r="P892" s="6" t="n"/>
      <c r="Q892" s="3">
        <f>IF($D892="","",$C892&amp;"|"&amp;COUNTIFS($C$7:$C892,$C892))</f>
        <v/>
      </c>
      <c r="R892" s="3">
        <f>IF($D892="","",UPPER(SUBSTITUTE(SUBSTITUTE(SUBSTITUTE(SUBSTITUTE(SUBSTITUTE(SUBSTITUTE(SUBSTITUTE(SUBSTITUTE(SUBSTITUTE(SUBSTITUTE(SUBSTITUTE(SUBSTITUTE(SUBSTITUTE(SUBSTITUTE(SUBSTITUTE(SUBSTITUTE(SUBSTITUTE(SUBSTITUTE(TRIM($D892),"'",""),"İ","I"),"ı","I"),"i","I"),"Ş","S"),"ş","S"),"Ğ","G"),"ğ","G"),"Ü","U"),"ü","U"),"Ö","O"),"ö","O"),"Ç","C"),"ç","C"),".",""),",","")," ",""),"-","")))</f>
        <v/>
      </c>
      <c r="S892" s="3">
        <f>IF($D892="","",$C892&amp;"|"&amp;TEXT($E892,"0")&amp;"|"&amp;TEXT($F892,"0")&amp;"|"&amp;$I892)</f>
        <v/>
      </c>
      <c r="T892" s="3">
        <f>IF($E892="",0,SUMPRODUCT((AY_SONU!$O$7:$O$42="Evet")*(AY_SONU!$B$7:$B$42=DATE(YEAR($E892),MONTH($E892),1))))</f>
        <v/>
      </c>
    </row>
    <row r="893">
      <c r="A893" s="6" t="n"/>
      <c r="B893" s="113">
        <f>IF($D893="","","T"&amp;TEXT(ROW()-6,"00000"))</f>
        <v/>
      </c>
      <c r="C893" s="113">
        <f>IF($D893="","",IFERROR(INDEX(MUSTERILER!$B$7:$B$106,MATCH($R893,MUSTERILER!$T$7:$T$106,0)),IFERROR(INDEX(MUSTERILER!$B$7:$B$106,MATCH($D893,MUSTERILER!$B$7:$B$106,0)),IFERROR(INDEX(MUSTERILER!$B$7:$B$106,MATCH($R893&amp;"*",MUSTERILER!$T$7:$T$106,0)),"TANIMSIZ MÜŞTERİ"))))</f>
        <v/>
      </c>
      <c r="D893" s="109" t="n"/>
      <c r="E893" s="220" t="n"/>
      <c r="F893" s="221" t="n"/>
      <c r="G893" s="108" t="n"/>
      <c r="H893" s="108" t="n"/>
      <c r="I893" s="109" t="n"/>
      <c r="J893" s="109" t="n"/>
      <c r="K893" s="109" t="n"/>
      <c r="L893" s="226">
        <f>IF($E893="","",DATE(YEAR($E893),MONTH($E893),1))</f>
        <v/>
      </c>
      <c r="M893" s="113">
        <f>IF($D893="","",IF($C893="TANIMSIZ MÜŞTERİ","HATA",IF(OR($E893="",$F893&lt;=0,$G893=""),"EKSİK",IF($E893&gt;TODAY(),"İLERİ TARİH",IF(COUNTIF($S$7:$S$1506,$S893)&gt;1,"MÜKERRER?",IF($T893&gt;0,"KAPALI DÖNEM","UYGUN"))))))</f>
        <v/>
      </c>
      <c r="N893" s="121">
        <f>IF($C893="","",IF($C893="TANIMSIZ MÜŞTERİ","—",INDEX(MUSTERILER!$C$7:$C$106,MATCH($C893,MUSTERILER!$B$7:$B$106,0))))</f>
        <v/>
      </c>
      <c r="O893" s="6" t="n"/>
      <c r="P893" s="6" t="n"/>
      <c r="Q893" s="3">
        <f>IF($D893="","",$C893&amp;"|"&amp;COUNTIFS($C$7:$C893,$C893))</f>
        <v/>
      </c>
      <c r="R893" s="3">
        <f>IF($D893="","",UPPER(SUBSTITUTE(SUBSTITUTE(SUBSTITUTE(SUBSTITUTE(SUBSTITUTE(SUBSTITUTE(SUBSTITUTE(SUBSTITUTE(SUBSTITUTE(SUBSTITUTE(SUBSTITUTE(SUBSTITUTE(SUBSTITUTE(SUBSTITUTE(SUBSTITUTE(SUBSTITUTE(SUBSTITUTE(SUBSTITUTE(TRIM($D893),"'",""),"İ","I"),"ı","I"),"i","I"),"Ş","S"),"ş","S"),"Ğ","G"),"ğ","G"),"Ü","U"),"ü","U"),"Ö","O"),"ö","O"),"Ç","C"),"ç","C"),".",""),",","")," ",""),"-","")))</f>
        <v/>
      </c>
      <c r="S893" s="3">
        <f>IF($D893="","",$C893&amp;"|"&amp;TEXT($E893,"0")&amp;"|"&amp;TEXT($F893,"0")&amp;"|"&amp;$I893)</f>
        <v/>
      </c>
      <c r="T893" s="3">
        <f>IF($E893="",0,SUMPRODUCT((AY_SONU!$O$7:$O$42="Evet")*(AY_SONU!$B$7:$B$42=DATE(YEAR($E893),MONTH($E893),1))))</f>
        <v/>
      </c>
    </row>
    <row r="894">
      <c r="A894" s="6" t="n"/>
      <c r="B894" s="113">
        <f>IF($D894="","","T"&amp;TEXT(ROW()-6,"00000"))</f>
        <v/>
      </c>
      <c r="C894" s="113">
        <f>IF($D894="","",IFERROR(INDEX(MUSTERILER!$B$7:$B$106,MATCH($R894,MUSTERILER!$T$7:$T$106,0)),IFERROR(INDEX(MUSTERILER!$B$7:$B$106,MATCH($D894,MUSTERILER!$B$7:$B$106,0)),IFERROR(INDEX(MUSTERILER!$B$7:$B$106,MATCH($R894&amp;"*",MUSTERILER!$T$7:$T$106,0)),"TANIMSIZ MÜŞTERİ"))))</f>
        <v/>
      </c>
      <c r="D894" s="109" t="n"/>
      <c r="E894" s="220" t="n"/>
      <c r="F894" s="221" t="n"/>
      <c r="G894" s="108" t="n"/>
      <c r="H894" s="108" t="n"/>
      <c r="I894" s="109" t="n"/>
      <c r="J894" s="109" t="n"/>
      <c r="K894" s="109" t="n"/>
      <c r="L894" s="226">
        <f>IF($E894="","",DATE(YEAR($E894),MONTH($E894),1))</f>
        <v/>
      </c>
      <c r="M894" s="113">
        <f>IF($D894="","",IF($C894="TANIMSIZ MÜŞTERİ","HATA",IF(OR($E894="",$F894&lt;=0,$G894=""),"EKSİK",IF($E894&gt;TODAY(),"İLERİ TARİH",IF(COUNTIF($S$7:$S$1506,$S894)&gt;1,"MÜKERRER?",IF($T894&gt;0,"KAPALI DÖNEM","UYGUN"))))))</f>
        <v/>
      </c>
      <c r="N894" s="121">
        <f>IF($C894="","",IF($C894="TANIMSIZ MÜŞTERİ","—",INDEX(MUSTERILER!$C$7:$C$106,MATCH($C894,MUSTERILER!$B$7:$B$106,0))))</f>
        <v/>
      </c>
      <c r="O894" s="6" t="n"/>
      <c r="P894" s="6" t="n"/>
      <c r="Q894" s="3">
        <f>IF($D894="","",$C894&amp;"|"&amp;COUNTIFS($C$7:$C894,$C894))</f>
        <v/>
      </c>
      <c r="R894" s="3">
        <f>IF($D894="","",UPPER(SUBSTITUTE(SUBSTITUTE(SUBSTITUTE(SUBSTITUTE(SUBSTITUTE(SUBSTITUTE(SUBSTITUTE(SUBSTITUTE(SUBSTITUTE(SUBSTITUTE(SUBSTITUTE(SUBSTITUTE(SUBSTITUTE(SUBSTITUTE(SUBSTITUTE(SUBSTITUTE(SUBSTITUTE(SUBSTITUTE(TRIM($D894),"'",""),"İ","I"),"ı","I"),"i","I"),"Ş","S"),"ş","S"),"Ğ","G"),"ğ","G"),"Ü","U"),"ü","U"),"Ö","O"),"ö","O"),"Ç","C"),"ç","C"),".",""),",","")," ",""),"-","")))</f>
        <v/>
      </c>
      <c r="S894" s="3">
        <f>IF($D894="","",$C894&amp;"|"&amp;TEXT($E894,"0")&amp;"|"&amp;TEXT($F894,"0")&amp;"|"&amp;$I894)</f>
        <v/>
      </c>
      <c r="T894" s="3">
        <f>IF($E894="",0,SUMPRODUCT((AY_SONU!$O$7:$O$42="Evet")*(AY_SONU!$B$7:$B$42=DATE(YEAR($E894),MONTH($E894),1))))</f>
        <v/>
      </c>
    </row>
    <row r="895">
      <c r="A895" s="6" t="n"/>
      <c r="B895" s="113">
        <f>IF($D895="","","T"&amp;TEXT(ROW()-6,"00000"))</f>
        <v/>
      </c>
      <c r="C895" s="113">
        <f>IF($D895="","",IFERROR(INDEX(MUSTERILER!$B$7:$B$106,MATCH($R895,MUSTERILER!$T$7:$T$106,0)),IFERROR(INDEX(MUSTERILER!$B$7:$B$106,MATCH($D895,MUSTERILER!$B$7:$B$106,0)),IFERROR(INDEX(MUSTERILER!$B$7:$B$106,MATCH($R895&amp;"*",MUSTERILER!$T$7:$T$106,0)),"TANIMSIZ MÜŞTERİ"))))</f>
        <v/>
      </c>
      <c r="D895" s="109" t="n"/>
      <c r="E895" s="220" t="n"/>
      <c r="F895" s="221" t="n"/>
      <c r="G895" s="108" t="n"/>
      <c r="H895" s="108" t="n"/>
      <c r="I895" s="109" t="n"/>
      <c r="J895" s="109" t="n"/>
      <c r="K895" s="109" t="n"/>
      <c r="L895" s="226">
        <f>IF($E895="","",DATE(YEAR($E895),MONTH($E895),1))</f>
        <v/>
      </c>
      <c r="M895" s="113">
        <f>IF($D895="","",IF($C895="TANIMSIZ MÜŞTERİ","HATA",IF(OR($E895="",$F895&lt;=0,$G895=""),"EKSİK",IF($E895&gt;TODAY(),"İLERİ TARİH",IF(COUNTIF($S$7:$S$1506,$S895)&gt;1,"MÜKERRER?",IF($T895&gt;0,"KAPALI DÖNEM","UYGUN"))))))</f>
        <v/>
      </c>
      <c r="N895" s="121">
        <f>IF($C895="","",IF($C895="TANIMSIZ MÜŞTERİ","—",INDEX(MUSTERILER!$C$7:$C$106,MATCH($C895,MUSTERILER!$B$7:$B$106,0))))</f>
        <v/>
      </c>
      <c r="O895" s="6" t="n"/>
      <c r="P895" s="6" t="n"/>
      <c r="Q895" s="3">
        <f>IF($D895="","",$C895&amp;"|"&amp;COUNTIFS($C$7:$C895,$C895))</f>
        <v/>
      </c>
      <c r="R895" s="3">
        <f>IF($D895="","",UPPER(SUBSTITUTE(SUBSTITUTE(SUBSTITUTE(SUBSTITUTE(SUBSTITUTE(SUBSTITUTE(SUBSTITUTE(SUBSTITUTE(SUBSTITUTE(SUBSTITUTE(SUBSTITUTE(SUBSTITUTE(SUBSTITUTE(SUBSTITUTE(SUBSTITUTE(SUBSTITUTE(SUBSTITUTE(SUBSTITUTE(TRIM($D895),"'",""),"İ","I"),"ı","I"),"i","I"),"Ş","S"),"ş","S"),"Ğ","G"),"ğ","G"),"Ü","U"),"ü","U"),"Ö","O"),"ö","O"),"Ç","C"),"ç","C"),".",""),",","")," ",""),"-","")))</f>
        <v/>
      </c>
      <c r="S895" s="3">
        <f>IF($D895="","",$C895&amp;"|"&amp;TEXT($E895,"0")&amp;"|"&amp;TEXT($F895,"0")&amp;"|"&amp;$I895)</f>
        <v/>
      </c>
      <c r="T895" s="3">
        <f>IF($E895="",0,SUMPRODUCT((AY_SONU!$O$7:$O$42="Evet")*(AY_SONU!$B$7:$B$42=DATE(YEAR($E895),MONTH($E895),1))))</f>
        <v/>
      </c>
    </row>
    <row r="896">
      <c r="A896" s="6" t="n"/>
      <c r="B896" s="113">
        <f>IF($D896="","","T"&amp;TEXT(ROW()-6,"00000"))</f>
        <v/>
      </c>
      <c r="C896" s="113">
        <f>IF($D896="","",IFERROR(INDEX(MUSTERILER!$B$7:$B$106,MATCH($R896,MUSTERILER!$T$7:$T$106,0)),IFERROR(INDEX(MUSTERILER!$B$7:$B$106,MATCH($D896,MUSTERILER!$B$7:$B$106,0)),IFERROR(INDEX(MUSTERILER!$B$7:$B$106,MATCH($R896&amp;"*",MUSTERILER!$T$7:$T$106,0)),"TANIMSIZ MÜŞTERİ"))))</f>
        <v/>
      </c>
      <c r="D896" s="109" t="n"/>
      <c r="E896" s="220" t="n"/>
      <c r="F896" s="221" t="n"/>
      <c r="G896" s="108" t="n"/>
      <c r="H896" s="108" t="n"/>
      <c r="I896" s="109" t="n"/>
      <c r="J896" s="109" t="n"/>
      <c r="K896" s="109" t="n"/>
      <c r="L896" s="226">
        <f>IF($E896="","",DATE(YEAR($E896),MONTH($E896),1))</f>
        <v/>
      </c>
      <c r="M896" s="113">
        <f>IF($D896="","",IF($C896="TANIMSIZ MÜŞTERİ","HATA",IF(OR($E896="",$F896&lt;=0,$G896=""),"EKSİK",IF($E896&gt;TODAY(),"İLERİ TARİH",IF(COUNTIF($S$7:$S$1506,$S896)&gt;1,"MÜKERRER?",IF($T896&gt;0,"KAPALI DÖNEM","UYGUN"))))))</f>
        <v/>
      </c>
      <c r="N896" s="121">
        <f>IF($C896="","",IF($C896="TANIMSIZ MÜŞTERİ","—",INDEX(MUSTERILER!$C$7:$C$106,MATCH($C896,MUSTERILER!$B$7:$B$106,0))))</f>
        <v/>
      </c>
      <c r="O896" s="6" t="n"/>
      <c r="P896" s="6" t="n"/>
      <c r="Q896" s="3">
        <f>IF($D896="","",$C896&amp;"|"&amp;COUNTIFS($C$7:$C896,$C896))</f>
        <v/>
      </c>
      <c r="R896" s="3">
        <f>IF($D896="","",UPPER(SUBSTITUTE(SUBSTITUTE(SUBSTITUTE(SUBSTITUTE(SUBSTITUTE(SUBSTITUTE(SUBSTITUTE(SUBSTITUTE(SUBSTITUTE(SUBSTITUTE(SUBSTITUTE(SUBSTITUTE(SUBSTITUTE(SUBSTITUTE(SUBSTITUTE(SUBSTITUTE(SUBSTITUTE(SUBSTITUTE(TRIM($D896),"'",""),"İ","I"),"ı","I"),"i","I"),"Ş","S"),"ş","S"),"Ğ","G"),"ğ","G"),"Ü","U"),"ü","U"),"Ö","O"),"ö","O"),"Ç","C"),"ç","C"),".",""),",","")," ",""),"-","")))</f>
        <v/>
      </c>
      <c r="S896" s="3">
        <f>IF($D896="","",$C896&amp;"|"&amp;TEXT($E896,"0")&amp;"|"&amp;TEXT($F896,"0")&amp;"|"&amp;$I896)</f>
        <v/>
      </c>
      <c r="T896" s="3">
        <f>IF($E896="",0,SUMPRODUCT((AY_SONU!$O$7:$O$42="Evet")*(AY_SONU!$B$7:$B$42=DATE(YEAR($E896),MONTH($E896),1))))</f>
        <v/>
      </c>
    </row>
    <row r="897">
      <c r="A897" s="6" t="n"/>
      <c r="B897" s="113">
        <f>IF($D897="","","T"&amp;TEXT(ROW()-6,"00000"))</f>
        <v/>
      </c>
      <c r="C897" s="113">
        <f>IF($D897="","",IFERROR(INDEX(MUSTERILER!$B$7:$B$106,MATCH($R897,MUSTERILER!$T$7:$T$106,0)),IFERROR(INDEX(MUSTERILER!$B$7:$B$106,MATCH($D897,MUSTERILER!$B$7:$B$106,0)),IFERROR(INDEX(MUSTERILER!$B$7:$B$106,MATCH($R897&amp;"*",MUSTERILER!$T$7:$T$106,0)),"TANIMSIZ MÜŞTERİ"))))</f>
        <v/>
      </c>
      <c r="D897" s="109" t="n"/>
      <c r="E897" s="220" t="n"/>
      <c r="F897" s="221" t="n"/>
      <c r="G897" s="108" t="n"/>
      <c r="H897" s="108" t="n"/>
      <c r="I897" s="109" t="n"/>
      <c r="J897" s="109" t="n"/>
      <c r="K897" s="109" t="n"/>
      <c r="L897" s="226">
        <f>IF($E897="","",DATE(YEAR($E897),MONTH($E897),1))</f>
        <v/>
      </c>
      <c r="M897" s="113">
        <f>IF($D897="","",IF($C897="TANIMSIZ MÜŞTERİ","HATA",IF(OR($E897="",$F897&lt;=0,$G897=""),"EKSİK",IF($E897&gt;TODAY(),"İLERİ TARİH",IF(COUNTIF($S$7:$S$1506,$S897)&gt;1,"MÜKERRER?",IF($T897&gt;0,"KAPALI DÖNEM","UYGUN"))))))</f>
        <v/>
      </c>
      <c r="N897" s="121">
        <f>IF($C897="","",IF($C897="TANIMSIZ MÜŞTERİ","—",INDEX(MUSTERILER!$C$7:$C$106,MATCH($C897,MUSTERILER!$B$7:$B$106,0))))</f>
        <v/>
      </c>
      <c r="O897" s="6" t="n"/>
      <c r="P897" s="6" t="n"/>
      <c r="Q897" s="3">
        <f>IF($D897="","",$C897&amp;"|"&amp;COUNTIFS($C$7:$C897,$C897))</f>
        <v/>
      </c>
      <c r="R897" s="3">
        <f>IF($D897="","",UPPER(SUBSTITUTE(SUBSTITUTE(SUBSTITUTE(SUBSTITUTE(SUBSTITUTE(SUBSTITUTE(SUBSTITUTE(SUBSTITUTE(SUBSTITUTE(SUBSTITUTE(SUBSTITUTE(SUBSTITUTE(SUBSTITUTE(SUBSTITUTE(SUBSTITUTE(SUBSTITUTE(SUBSTITUTE(SUBSTITUTE(TRIM($D897),"'",""),"İ","I"),"ı","I"),"i","I"),"Ş","S"),"ş","S"),"Ğ","G"),"ğ","G"),"Ü","U"),"ü","U"),"Ö","O"),"ö","O"),"Ç","C"),"ç","C"),".",""),",","")," ",""),"-","")))</f>
        <v/>
      </c>
      <c r="S897" s="3">
        <f>IF($D897="","",$C897&amp;"|"&amp;TEXT($E897,"0")&amp;"|"&amp;TEXT($F897,"0")&amp;"|"&amp;$I897)</f>
        <v/>
      </c>
      <c r="T897" s="3">
        <f>IF($E897="",0,SUMPRODUCT((AY_SONU!$O$7:$O$42="Evet")*(AY_SONU!$B$7:$B$42=DATE(YEAR($E897),MONTH($E897),1))))</f>
        <v/>
      </c>
    </row>
    <row r="898">
      <c r="A898" s="6" t="n"/>
      <c r="B898" s="113">
        <f>IF($D898="","","T"&amp;TEXT(ROW()-6,"00000"))</f>
        <v/>
      </c>
      <c r="C898" s="113">
        <f>IF($D898="","",IFERROR(INDEX(MUSTERILER!$B$7:$B$106,MATCH($R898,MUSTERILER!$T$7:$T$106,0)),IFERROR(INDEX(MUSTERILER!$B$7:$B$106,MATCH($D898,MUSTERILER!$B$7:$B$106,0)),IFERROR(INDEX(MUSTERILER!$B$7:$B$106,MATCH($R898&amp;"*",MUSTERILER!$T$7:$T$106,0)),"TANIMSIZ MÜŞTERİ"))))</f>
        <v/>
      </c>
      <c r="D898" s="109" t="n"/>
      <c r="E898" s="220" t="n"/>
      <c r="F898" s="221" t="n"/>
      <c r="G898" s="108" t="n"/>
      <c r="H898" s="108" t="n"/>
      <c r="I898" s="109" t="n"/>
      <c r="J898" s="109" t="n"/>
      <c r="K898" s="109" t="n"/>
      <c r="L898" s="226">
        <f>IF($E898="","",DATE(YEAR($E898),MONTH($E898),1))</f>
        <v/>
      </c>
      <c r="M898" s="113">
        <f>IF($D898="","",IF($C898="TANIMSIZ MÜŞTERİ","HATA",IF(OR($E898="",$F898&lt;=0,$G898=""),"EKSİK",IF($E898&gt;TODAY(),"İLERİ TARİH",IF(COUNTIF($S$7:$S$1506,$S898)&gt;1,"MÜKERRER?",IF($T898&gt;0,"KAPALI DÖNEM","UYGUN"))))))</f>
        <v/>
      </c>
      <c r="N898" s="121">
        <f>IF($C898="","",IF($C898="TANIMSIZ MÜŞTERİ","—",INDEX(MUSTERILER!$C$7:$C$106,MATCH($C898,MUSTERILER!$B$7:$B$106,0))))</f>
        <v/>
      </c>
      <c r="O898" s="6" t="n"/>
      <c r="P898" s="6" t="n"/>
      <c r="Q898" s="3">
        <f>IF($D898="","",$C898&amp;"|"&amp;COUNTIFS($C$7:$C898,$C898))</f>
        <v/>
      </c>
      <c r="R898" s="3">
        <f>IF($D898="","",UPPER(SUBSTITUTE(SUBSTITUTE(SUBSTITUTE(SUBSTITUTE(SUBSTITUTE(SUBSTITUTE(SUBSTITUTE(SUBSTITUTE(SUBSTITUTE(SUBSTITUTE(SUBSTITUTE(SUBSTITUTE(SUBSTITUTE(SUBSTITUTE(SUBSTITUTE(SUBSTITUTE(SUBSTITUTE(SUBSTITUTE(TRIM($D898),"'",""),"İ","I"),"ı","I"),"i","I"),"Ş","S"),"ş","S"),"Ğ","G"),"ğ","G"),"Ü","U"),"ü","U"),"Ö","O"),"ö","O"),"Ç","C"),"ç","C"),".",""),",","")," ",""),"-","")))</f>
        <v/>
      </c>
      <c r="S898" s="3">
        <f>IF($D898="","",$C898&amp;"|"&amp;TEXT($E898,"0")&amp;"|"&amp;TEXT($F898,"0")&amp;"|"&amp;$I898)</f>
        <v/>
      </c>
      <c r="T898" s="3">
        <f>IF($E898="",0,SUMPRODUCT((AY_SONU!$O$7:$O$42="Evet")*(AY_SONU!$B$7:$B$42=DATE(YEAR($E898),MONTH($E898),1))))</f>
        <v/>
      </c>
    </row>
    <row r="899">
      <c r="A899" s="6" t="n"/>
      <c r="B899" s="113">
        <f>IF($D899="","","T"&amp;TEXT(ROW()-6,"00000"))</f>
        <v/>
      </c>
      <c r="C899" s="113">
        <f>IF($D899="","",IFERROR(INDEX(MUSTERILER!$B$7:$B$106,MATCH($R899,MUSTERILER!$T$7:$T$106,0)),IFERROR(INDEX(MUSTERILER!$B$7:$B$106,MATCH($D899,MUSTERILER!$B$7:$B$106,0)),IFERROR(INDEX(MUSTERILER!$B$7:$B$106,MATCH($R899&amp;"*",MUSTERILER!$T$7:$T$106,0)),"TANIMSIZ MÜŞTERİ"))))</f>
        <v/>
      </c>
      <c r="D899" s="109" t="n"/>
      <c r="E899" s="220" t="n"/>
      <c r="F899" s="221" t="n"/>
      <c r="G899" s="108" t="n"/>
      <c r="H899" s="108" t="n"/>
      <c r="I899" s="109" t="n"/>
      <c r="J899" s="109" t="n"/>
      <c r="K899" s="109" t="n"/>
      <c r="L899" s="226">
        <f>IF($E899="","",DATE(YEAR($E899),MONTH($E899),1))</f>
        <v/>
      </c>
      <c r="M899" s="113">
        <f>IF($D899="","",IF($C899="TANIMSIZ MÜŞTERİ","HATA",IF(OR($E899="",$F899&lt;=0,$G899=""),"EKSİK",IF($E899&gt;TODAY(),"İLERİ TARİH",IF(COUNTIF($S$7:$S$1506,$S899)&gt;1,"MÜKERRER?",IF($T899&gt;0,"KAPALI DÖNEM","UYGUN"))))))</f>
        <v/>
      </c>
      <c r="N899" s="121">
        <f>IF($C899="","",IF($C899="TANIMSIZ MÜŞTERİ","—",INDEX(MUSTERILER!$C$7:$C$106,MATCH($C899,MUSTERILER!$B$7:$B$106,0))))</f>
        <v/>
      </c>
      <c r="O899" s="6" t="n"/>
      <c r="P899" s="6" t="n"/>
      <c r="Q899" s="3">
        <f>IF($D899="","",$C899&amp;"|"&amp;COUNTIFS($C$7:$C899,$C899))</f>
        <v/>
      </c>
      <c r="R899" s="3">
        <f>IF($D899="","",UPPER(SUBSTITUTE(SUBSTITUTE(SUBSTITUTE(SUBSTITUTE(SUBSTITUTE(SUBSTITUTE(SUBSTITUTE(SUBSTITUTE(SUBSTITUTE(SUBSTITUTE(SUBSTITUTE(SUBSTITUTE(SUBSTITUTE(SUBSTITUTE(SUBSTITUTE(SUBSTITUTE(SUBSTITUTE(SUBSTITUTE(TRIM($D899),"'",""),"İ","I"),"ı","I"),"i","I"),"Ş","S"),"ş","S"),"Ğ","G"),"ğ","G"),"Ü","U"),"ü","U"),"Ö","O"),"ö","O"),"Ç","C"),"ç","C"),".",""),",","")," ",""),"-","")))</f>
        <v/>
      </c>
      <c r="S899" s="3">
        <f>IF($D899="","",$C899&amp;"|"&amp;TEXT($E899,"0")&amp;"|"&amp;TEXT($F899,"0")&amp;"|"&amp;$I899)</f>
        <v/>
      </c>
      <c r="T899" s="3">
        <f>IF($E899="",0,SUMPRODUCT((AY_SONU!$O$7:$O$42="Evet")*(AY_SONU!$B$7:$B$42=DATE(YEAR($E899),MONTH($E899),1))))</f>
        <v/>
      </c>
    </row>
    <row r="900">
      <c r="A900" s="6" t="n"/>
      <c r="B900" s="113">
        <f>IF($D900="","","T"&amp;TEXT(ROW()-6,"00000"))</f>
        <v/>
      </c>
      <c r="C900" s="113">
        <f>IF($D900="","",IFERROR(INDEX(MUSTERILER!$B$7:$B$106,MATCH($R900,MUSTERILER!$T$7:$T$106,0)),IFERROR(INDEX(MUSTERILER!$B$7:$B$106,MATCH($D900,MUSTERILER!$B$7:$B$106,0)),IFERROR(INDEX(MUSTERILER!$B$7:$B$106,MATCH($R900&amp;"*",MUSTERILER!$T$7:$T$106,0)),"TANIMSIZ MÜŞTERİ"))))</f>
        <v/>
      </c>
      <c r="D900" s="109" t="n"/>
      <c r="E900" s="220" t="n"/>
      <c r="F900" s="221" t="n"/>
      <c r="G900" s="108" t="n"/>
      <c r="H900" s="108" t="n"/>
      <c r="I900" s="109" t="n"/>
      <c r="J900" s="109" t="n"/>
      <c r="K900" s="109" t="n"/>
      <c r="L900" s="226">
        <f>IF($E900="","",DATE(YEAR($E900),MONTH($E900),1))</f>
        <v/>
      </c>
      <c r="M900" s="113">
        <f>IF($D900="","",IF($C900="TANIMSIZ MÜŞTERİ","HATA",IF(OR($E900="",$F900&lt;=0,$G900=""),"EKSİK",IF($E900&gt;TODAY(),"İLERİ TARİH",IF(COUNTIF($S$7:$S$1506,$S900)&gt;1,"MÜKERRER?",IF($T900&gt;0,"KAPALI DÖNEM","UYGUN"))))))</f>
        <v/>
      </c>
      <c r="N900" s="121">
        <f>IF($C900="","",IF($C900="TANIMSIZ MÜŞTERİ","—",INDEX(MUSTERILER!$C$7:$C$106,MATCH($C900,MUSTERILER!$B$7:$B$106,0))))</f>
        <v/>
      </c>
      <c r="O900" s="6" t="n"/>
      <c r="P900" s="6" t="n"/>
      <c r="Q900" s="3">
        <f>IF($D900="","",$C900&amp;"|"&amp;COUNTIFS($C$7:$C900,$C900))</f>
        <v/>
      </c>
      <c r="R900" s="3">
        <f>IF($D900="","",UPPER(SUBSTITUTE(SUBSTITUTE(SUBSTITUTE(SUBSTITUTE(SUBSTITUTE(SUBSTITUTE(SUBSTITUTE(SUBSTITUTE(SUBSTITUTE(SUBSTITUTE(SUBSTITUTE(SUBSTITUTE(SUBSTITUTE(SUBSTITUTE(SUBSTITUTE(SUBSTITUTE(SUBSTITUTE(SUBSTITUTE(TRIM($D900),"'",""),"İ","I"),"ı","I"),"i","I"),"Ş","S"),"ş","S"),"Ğ","G"),"ğ","G"),"Ü","U"),"ü","U"),"Ö","O"),"ö","O"),"Ç","C"),"ç","C"),".",""),",","")," ",""),"-","")))</f>
        <v/>
      </c>
      <c r="S900" s="3">
        <f>IF($D900="","",$C900&amp;"|"&amp;TEXT($E900,"0")&amp;"|"&amp;TEXT($F900,"0")&amp;"|"&amp;$I900)</f>
        <v/>
      </c>
      <c r="T900" s="3">
        <f>IF($E900="",0,SUMPRODUCT((AY_SONU!$O$7:$O$42="Evet")*(AY_SONU!$B$7:$B$42=DATE(YEAR($E900),MONTH($E900),1))))</f>
        <v/>
      </c>
    </row>
    <row r="901">
      <c r="A901" s="6" t="n"/>
      <c r="B901" s="113">
        <f>IF($D901="","","T"&amp;TEXT(ROW()-6,"00000"))</f>
        <v/>
      </c>
      <c r="C901" s="113">
        <f>IF($D901="","",IFERROR(INDEX(MUSTERILER!$B$7:$B$106,MATCH($R901,MUSTERILER!$T$7:$T$106,0)),IFERROR(INDEX(MUSTERILER!$B$7:$B$106,MATCH($D901,MUSTERILER!$B$7:$B$106,0)),IFERROR(INDEX(MUSTERILER!$B$7:$B$106,MATCH($R901&amp;"*",MUSTERILER!$T$7:$T$106,0)),"TANIMSIZ MÜŞTERİ"))))</f>
        <v/>
      </c>
      <c r="D901" s="109" t="n"/>
      <c r="E901" s="220" t="n"/>
      <c r="F901" s="221" t="n"/>
      <c r="G901" s="108" t="n"/>
      <c r="H901" s="108" t="n"/>
      <c r="I901" s="109" t="n"/>
      <c r="J901" s="109" t="n"/>
      <c r="K901" s="109" t="n"/>
      <c r="L901" s="226">
        <f>IF($E901="","",DATE(YEAR($E901),MONTH($E901),1))</f>
        <v/>
      </c>
      <c r="M901" s="113">
        <f>IF($D901="","",IF($C901="TANIMSIZ MÜŞTERİ","HATA",IF(OR($E901="",$F901&lt;=0,$G901=""),"EKSİK",IF($E901&gt;TODAY(),"İLERİ TARİH",IF(COUNTIF($S$7:$S$1506,$S901)&gt;1,"MÜKERRER?",IF($T901&gt;0,"KAPALI DÖNEM","UYGUN"))))))</f>
        <v/>
      </c>
      <c r="N901" s="121">
        <f>IF($C901="","",IF($C901="TANIMSIZ MÜŞTERİ","—",INDEX(MUSTERILER!$C$7:$C$106,MATCH($C901,MUSTERILER!$B$7:$B$106,0))))</f>
        <v/>
      </c>
      <c r="O901" s="6" t="n"/>
      <c r="P901" s="6" t="n"/>
      <c r="Q901" s="3">
        <f>IF($D901="","",$C901&amp;"|"&amp;COUNTIFS($C$7:$C901,$C901))</f>
        <v/>
      </c>
      <c r="R901" s="3">
        <f>IF($D901="","",UPPER(SUBSTITUTE(SUBSTITUTE(SUBSTITUTE(SUBSTITUTE(SUBSTITUTE(SUBSTITUTE(SUBSTITUTE(SUBSTITUTE(SUBSTITUTE(SUBSTITUTE(SUBSTITUTE(SUBSTITUTE(SUBSTITUTE(SUBSTITUTE(SUBSTITUTE(SUBSTITUTE(SUBSTITUTE(SUBSTITUTE(TRIM($D901),"'",""),"İ","I"),"ı","I"),"i","I"),"Ş","S"),"ş","S"),"Ğ","G"),"ğ","G"),"Ü","U"),"ü","U"),"Ö","O"),"ö","O"),"Ç","C"),"ç","C"),".",""),",","")," ",""),"-","")))</f>
        <v/>
      </c>
      <c r="S901" s="3">
        <f>IF($D901="","",$C901&amp;"|"&amp;TEXT($E901,"0")&amp;"|"&amp;TEXT($F901,"0")&amp;"|"&amp;$I901)</f>
        <v/>
      </c>
      <c r="T901" s="3">
        <f>IF($E901="",0,SUMPRODUCT((AY_SONU!$O$7:$O$42="Evet")*(AY_SONU!$B$7:$B$42=DATE(YEAR($E901),MONTH($E901),1))))</f>
        <v/>
      </c>
    </row>
    <row r="902">
      <c r="A902" s="6" t="n"/>
      <c r="B902" s="113">
        <f>IF($D902="","","T"&amp;TEXT(ROW()-6,"00000"))</f>
        <v/>
      </c>
      <c r="C902" s="113">
        <f>IF($D902="","",IFERROR(INDEX(MUSTERILER!$B$7:$B$106,MATCH($R902,MUSTERILER!$T$7:$T$106,0)),IFERROR(INDEX(MUSTERILER!$B$7:$B$106,MATCH($D902,MUSTERILER!$B$7:$B$106,0)),IFERROR(INDEX(MUSTERILER!$B$7:$B$106,MATCH($R902&amp;"*",MUSTERILER!$T$7:$T$106,0)),"TANIMSIZ MÜŞTERİ"))))</f>
        <v/>
      </c>
      <c r="D902" s="109" t="n"/>
      <c r="E902" s="220" t="n"/>
      <c r="F902" s="221" t="n"/>
      <c r="G902" s="108" t="n"/>
      <c r="H902" s="108" t="n"/>
      <c r="I902" s="109" t="n"/>
      <c r="J902" s="109" t="n"/>
      <c r="K902" s="109" t="n"/>
      <c r="L902" s="226">
        <f>IF($E902="","",DATE(YEAR($E902),MONTH($E902),1))</f>
        <v/>
      </c>
      <c r="M902" s="113">
        <f>IF($D902="","",IF($C902="TANIMSIZ MÜŞTERİ","HATA",IF(OR($E902="",$F902&lt;=0,$G902=""),"EKSİK",IF($E902&gt;TODAY(),"İLERİ TARİH",IF(COUNTIF($S$7:$S$1506,$S902)&gt;1,"MÜKERRER?",IF($T902&gt;0,"KAPALI DÖNEM","UYGUN"))))))</f>
        <v/>
      </c>
      <c r="N902" s="121">
        <f>IF($C902="","",IF($C902="TANIMSIZ MÜŞTERİ","—",INDEX(MUSTERILER!$C$7:$C$106,MATCH($C902,MUSTERILER!$B$7:$B$106,0))))</f>
        <v/>
      </c>
      <c r="O902" s="6" t="n"/>
      <c r="P902" s="6" t="n"/>
      <c r="Q902" s="3">
        <f>IF($D902="","",$C902&amp;"|"&amp;COUNTIFS($C$7:$C902,$C902))</f>
        <v/>
      </c>
      <c r="R902" s="3">
        <f>IF($D902="","",UPPER(SUBSTITUTE(SUBSTITUTE(SUBSTITUTE(SUBSTITUTE(SUBSTITUTE(SUBSTITUTE(SUBSTITUTE(SUBSTITUTE(SUBSTITUTE(SUBSTITUTE(SUBSTITUTE(SUBSTITUTE(SUBSTITUTE(SUBSTITUTE(SUBSTITUTE(SUBSTITUTE(SUBSTITUTE(SUBSTITUTE(TRIM($D902),"'",""),"İ","I"),"ı","I"),"i","I"),"Ş","S"),"ş","S"),"Ğ","G"),"ğ","G"),"Ü","U"),"ü","U"),"Ö","O"),"ö","O"),"Ç","C"),"ç","C"),".",""),",","")," ",""),"-","")))</f>
        <v/>
      </c>
      <c r="S902" s="3">
        <f>IF($D902="","",$C902&amp;"|"&amp;TEXT($E902,"0")&amp;"|"&amp;TEXT($F902,"0")&amp;"|"&amp;$I902)</f>
        <v/>
      </c>
      <c r="T902" s="3">
        <f>IF($E902="",0,SUMPRODUCT((AY_SONU!$O$7:$O$42="Evet")*(AY_SONU!$B$7:$B$42=DATE(YEAR($E902),MONTH($E902),1))))</f>
        <v/>
      </c>
    </row>
    <row r="903">
      <c r="A903" s="6" t="n"/>
      <c r="B903" s="113">
        <f>IF($D903="","","T"&amp;TEXT(ROW()-6,"00000"))</f>
        <v/>
      </c>
      <c r="C903" s="113">
        <f>IF($D903="","",IFERROR(INDEX(MUSTERILER!$B$7:$B$106,MATCH($R903,MUSTERILER!$T$7:$T$106,0)),IFERROR(INDEX(MUSTERILER!$B$7:$B$106,MATCH($D903,MUSTERILER!$B$7:$B$106,0)),IFERROR(INDEX(MUSTERILER!$B$7:$B$106,MATCH($R903&amp;"*",MUSTERILER!$T$7:$T$106,0)),"TANIMSIZ MÜŞTERİ"))))</f>
        <v/>
      </c>
      <c r="D903" s="109" t="n"/>
      <c r="E903" s="220" t="n"/>
      <c r="F903" s="221" t="n"/>
      <c r="G903" s="108" t="n"/>
      <c r="H903" s="108" t="n"/>
      <c r="I903" s="109" t="n"/>
      <c r="J903" s="109" t="n"/>
      <c r="K903" s="109" t="n"/>
      <c r="L903" s="226">
        <f>IF($E903="","",DATE(YEAR($E903),MONTH($E903),1))</f>
        <v/>
      </c>
      <c r="M903" s="113">
        <f>IF($D903="","",IF($C903="TANIMSIZ MÜŞTERİ","HATA",IF(OR($E903="",$F903&lt;=0,$G903=""),"EKSİK",IF($E903&gt;TODAY(),"İLERİ TARİH",IF(COUNTIF($S$7:$S$1506,$S903)&gt;1,"MÜKERRER?",IF($T903&gt;0,"KAPALI DÖNEM","UYGUN"))))))</f>
        <v/>
      </c>
      <c r="N903" s="121">
        <f>IF($C903="","",IF($C903="TANIMSIZ MÜŞTERİ","—",INDEX(MUSTERILER!$C$7:$C$106,MATCH($C903,MUSTERILER!$B$7:$B$106,0))))</f>
        <v/>
      </c>
      <c r="O903" s="6" t="n"/>
      <c r="P903" s="6" t="n"/>
      <c r="Q903" s="3">
        <f>IF($D903="","",$C903&amp;"|"&amp;COUNTIFS($C$7:$C903,$C903))</f>
        <v/>
      </c>
      <c r="R903" s="3">
        <f>IF($D903="","",UPPER(SUBSTITUTE(SUBSTITUTE(SUBSTITUTE(SUBSTITUTE(SUBSTITUTE(SUBSTITUTE(SUBSTITUTE(SUBSTITUTE(SUBSTITUTE(SUBSTITUTE(SUBSTITUTE(SUBSTITUTE(SUBSTITUTE(SUBSTITUTE(SUBSTITUTE(SUBSTITUTE(SUBSTITUTE(SUBSTITUTE(TRIM($D903),"'",""),"İ","I"),"ı","I"),"i","I"),"Ş","S"),"ş","S"),"Ğ","G"),"ğ","G"),"Ü","U"),"ü","U"),"Ö","O"),"ö","O"),"Ç","C"),"ç","C"),".",""),",","")," ",""),"-","")))</f>
        <v/>
      </c>
      <c r="S903" s="3">
        <f>IF($D903="","",$C903&amp;"|"&amp;TEXT($E903,"0")&amp;"|"&amp;TEXT($F903,"0")&amp;"|"&amp;$I903)</f>
        <v/>
      </c>
      <c r="T903" s="3">
        <f>IF($E903="",0,SUMPRODUCT((AY_SONU!$O$7:$O$42="Evet")*(AY_SONU!$B$7:$B$42=DATE(YEAR($E903),MONTH($E903),1))))</f>
        <v/>
      </c>
    </row>
    <row r="904">
      <c r="A904" s="6" t="n"/>
      <c r="B904" s="113">
        <f>IF($D904="","","T"&amp;TEXT(ROW()-6,"00000"))</f>
        <v/>
      </c>
      <c r="C904" s="113">
        <f>IF($D904="","",IFERROR(INDEX(MUSTERILER!$B$7:$B$106,MATCH($R904,MUSTERILER!$T$7:$T$106,0)),IFERROR(INDEX(MUSTERILER!$B$7:$B$106,MATCH($D904,MUSTERILER!$B$7:$B$106,0)),IFERROR(INDEX(MUSTERILER!$B$7:$B$106,MATCH($R904&amp;"*",MUSTERILER!$T$7:$T$106,0)),"TANIMSIZ MÜŞTERİ"))))</f>
        <v/>
      </c>
      <c r="D904" s="109" t="n"/>
      <c r="E904" s="220" t="n"/>
      <c r="F904" s="221" t="n"/>
      <c r="G904" s="108" t="n"/>
      <c r="H904" s="108" t="n"/>
      <c r="I904" s="109" t="n"/>
      <c r="J904" s="109" t="n"/>
      <c r="K904" s="109" t="n"/>
      <c r="L904" s="226">
        <f>IF($E904="","",DATE(YEAR($E904),MONTH($E904),1))</f>
        <v/>
      </c>
      <c r="M904" s="113">
        <f>IF($D904="","",IF($C904="TANIMSIZ MÜŞTERİ","HATA",IF(OR($E904="",$F904&lt;=0,$G904=""),"EKSİK",IF($E904&gt;TODAY(),"İLERİ TARİH",IF(COUNTIF($S$7:$S$1506,$S904)&gt;1,"MÜKERRER?",IF($T904&gt;0,"KAPALI DÖNEM","UYGUN"))))))</f>
        <v/>
      </c>
      <c r="N904" s="121">
        <f>IF($C904="","",IF($C904="TANIMSIZ MÜŞTERİ","—",INDEX(MUSTERILER!$C$7:$C$106,MATCH($C904,MUSTERILER!$B$7:$B$106,0))))</f>
        <v/>
      </c>
      <c r="O904" s="6" t="n"/>
      <c r="P904" s="6" t="n"/>
      <c r="Q904" s="3">
        <f>IF($D904="","",$C904&amp;"|"&amp;COUNTIFS($C$7:$C904,$C904))</f>
        <v/>
      </c>
      <c r="R904" s="3">
        <f>IF($D904="","",UPPER(SUBSTITUTE(SUBSTITUTE(SUBSTITUTE(SUBSTITUTE(SUBSTITUTE(SUBSTITUTE(SUBSTITUTE(SUBSTITUTE(SUBSTITUTE(SUBSTITUTE(SUBSTITUTE(SUBSTITUTE(SUBSTITUTE(SUBSTITUTE(SUBSTITUTE(SUBSTITUTE(SUBSTITUTE(SUBSTITUTE(TRIM($D904),"'",""),"İ","I"),"ı","I"),"i","I"),"Ş","S"),"ş","S"),"Ğ","G"),"ğ","G"),"Ü","U"),"ü","U"),"Ö","O"),"ö","O"),"Ç","C"),"ç","C"),".",""),",","")," ",""),"-","")))</f>
        <v/>
      </c>
      <c r="S904" s="3">
        <f>IF($D904="","",$C904&amp;"|"&amp;TEXT($E904,"0")&amp;"|"&amp;TEXT($F904,"0")&amp;"|"&amp;$I904)</f>
        <v/>
      </c>
      <c r="T904" s="3">
        <f>IF($E904="",0,SUMPRODUCT((AY_SONU!$O$7:$O$42="Evet")*(AY_SONU!$B$7:$B$42=DATE(YEAR($E904),MONTH($E904),1))))</f>
        <v/>
      </c>
    </row>
    <row r="905">
      <c r="A905" s="6" t="n"/>
      <c r="B905" s="113">
        <f>IF($D905="","","T"&amp;TEXT(ROW()-6,"00000"))</f>
        <v/>
      </c>
      <c r="C905" s="113">
        <f>IF($D905="","",IFERROR(INDEX(MUSTERILER!$B$7:$B$106,MATCH($R905,MUSTERILER!$T$7:$T$106,0)),IFERROR(INDEX(MUSTERILER!$B$7:$B$106,MATCH($D905,MUSTERILER!$B$7:$B$106,0)),IFERROR(INDEX(MUSTERILER!$B$7:$B$106,MATCH($R905&amp;"*",MUSTERILER!$T$7:$T$106,0)),"TANIMSIZ MÜŞTERİ"))))</f>
        <v/>
      </c>
      <c r="D905" s="109" t="n"/>
      <c r="E905" s="220" t="n"/>
      <c r="F905" s="221" t="n"/>
      <c r="G905" s="108" t="n"/>
      <c r="H905" s="108" t="n"/>
      <c r="I905" s="109" t="n"/>
      <c r="J905" s="109" t="n"/>
      <c r="K905" s="109" t="n"/>
      <c r="L905" s="226">
        <f>IF($E905="","",DATE(YEAR($E905),MONTH($E905),1))</f>
        <v/>
      </c>
      <c r="M905" s="113">
        <f>IF($D905="","",IF($C905="TANIMSIZ MÜŞTERİ","HATA",IF(OR($E905="",$F905&lt;=0,$G905=""),"EKSİK",IF($E905&gt;TODAY(),"İLERİ TARİH",IF(COUNTIF($S$7:$S$1506,$S905)&gt;1,"MÜKERRER?",IF($T905&gt;0,"KAPALI DÖNEM","UYGUN"))))))</f>
        <v/>
      </c>
      <c r="N905" s="121">
        <f>IF($C905="","",IF($C905="TANIMSIZ MÜŞTERİ","—",INDEX(MUSTERILER!$C$7:$C$106,MATCH($C905,MUSTERILER!$B$7:$B$106,0))))</f>
        <v/>
      </c>
      <c r="O905" s="6" t="n"/>
      <c r="P905" s="6" t="n"/>
      <c r="Q905" s="3">
        <f>IF($D905="","",$C905&amp;"|"&amp;COUNTIFS($C$7:$C905,$C905))</f>
        <v/>
      </c>
      <c r="R905" s="3">
        <f>IF($D905="","",UPPER(SUBSTITUTE(SUBSTITUTE(SUBSTITUTE(SUBSTITUTE(SUBSTITUTE(SUBSTITUTE(SUBSTITUTE(SUBSTITUTE(SUBSTITUTE(SUBSTITUTE(SUBSTITUTE(SUBSTITUTE(SUBSTITUTE(SUBSTITUTE(SUBSTITUTE(SUBSTITUTE(SUBSTITUTE(SUBSTITUTE(TRIM($D905),"'",""),"İ","I"),"ı","I"),"i","I"),"Ş","S"),"ş","S"),"Ğ","G"),"ğ","G"),"Ü","U"),"ü","U"),"Ö","O"),"ö","O"),"Ç","C"),"ç","C"),".",""),",","")," ",""),"-","")))</f>
        <v/>
      </c>
      <c r="S905" s="3">
        <f>IF($D905="","",$C905&amp;"|"&amp;TEXT($E905,"0")&amp;"|"&amp;TEXT($F905,"0")&amp;"|"&amp;$I905)</f>
        <v/>
      </c>
      <c r="T905" s="3">
        <f>IF($E905="",0,SUMPRODUCT((AY_SONU!$O$7:$O$42="Evet")*(AY_SONU!$B$7:$B$42=DATE(YEAR($E905),MONTH($E905),1))))</f>
        <v/>
      </c>
    </row>
    <row r="906">
      <c r="A906" s="6" t="n"/>
      <c r="B906" s="113">
        <f>IF($D906="","","T"&amp;TEXT(ROW()-6,"00000"))</f>
        <v/>
      </c>
      <c r="C906" s="113">
        <f>IF($D906="","",IFERROR(INDEX(MUSTERILER!$B$7:$B$106,MATCH($R906,MUSTERILER!$T$7:$T$106,0)),IFERROR(INDEX(MUSTERILER!$B$7:$B$106,MATCH($D906,MUSTERILER!$B$7:$B$106,0)),IFERROR(INDEX(MUSTERILER!$B$7:$B$106,MATCH($R906&amp;"*",MUSTERILER!$T$7:$T$106,0)),"TANIMSIZ MÜŞTERİ"))))</f>
        <v/>
      </c>
      <c r="D906" s="109" t="n"/>
      <c r="E906" s="220" t="n"/>
      <c r="F906" s="221" t="n"/>
      <c r="G906" s="108" t="n"/>
      <c r="H906" s="108" t="n"/>
      <c r="I906" s="109" t="n"/>
      <c r="J906" s="109" t="n"/>
      <c r="K906" s="109" t="n"/>
      <c r="L906" s="226">
        <f>IF($E906="","",DATE(YEAR($E906),MONTH($E906),1))</f>
        <v/>
      </c>
      <c r="M906" s="113">
        <f>IF($D906="","",IF($C906="TANIMSIZ MÜŞTERİ","HATA",IF(OR($E906="",$F906&lt;=0,$G906=""),"EKSİK",IF($E906&gt;TODAY(),"İLERİ TARİH",IF(COUNTIF($S$7:$S$1506,$S906)&gt;1,"MÜKERRER?",IF($T906&gt;0,"KAPALI DÖNEM","UYGUN"))))))</f>
        <v/>
      </c>
      <c r="N906" s="121">
        <f>IF($C906="","",IF($C906="TANIMSIZ MÜŞTERİ","—",INDEX(MUSTERILER!$C$7:$C$106,MATCH($C906,MUSTERILER!$B$7:$B$106,0))))</f>
        <v/>
      </c>
      <c r="O906" s="6" t="n"/>
      <c r="P906" s="6" t="n"/>
      <c r="Q906" s="3">
        <f>IF($D906="","",$C906&amp;"|"&amp;COUNTIFS($C$7:$C906,$C906))</f>
        <v/>
      </c>
      <c r="R906" s="3">
        <f>IF($D906="","",UPPER(SUBSTITUTE(SUBSTITUTE(SUBSTITUTE(SUBSTITUTE(SUBSTITUTE(SUBSTITUTE(SUBSTITUTE(SUBSTITUTE(SUBSTITUTE(SUBSTITUTE(SUBSTITUTE(SUBSTITUTE(SUBSTITUTE(SUBSTITUTE(SUBSTITUTE(SUBSTITUTE(SUBSTITUTE(SUBSTITUTE(TRIM($D906),"'",""),"İ","I"),"ı","I"),"i","I"),"Ş","S"),"ş","S"),"Ğ","G"),"ğ","G"),"Ü","U"),"ü","U"),"Ö","O"),"ö","O"),"Ç","C"),"ç","C"),".",""),",","")," ",""),"-","")))</f>
        <v/>
      </c>
      <c r="S906" s="3">
        <f>IF($D906="","",$C906&amp;"|"&amp;TEXT($E906,"0")&amp;"|"&amp;TEXT($F906,"0")&amp;"|"&amp;$I906)</f>
        <v/>
      </c>
      <c r="T906" s="3">
        <f>IF($E906="",0,SUMPRODUCT((AY_SONU!$O$7:$O$42="Evet")*(AY_SONU!$B$7:$B$42=DATE(YEAR($E906),MONTH($E906),1))))</f>
        <v/>
      </c>
    </row>
    <row r="907">
      <c r="A907" s="6" t="n"/>
      <c r="B907" s="113">
        <f>IF($D907="","","T"&amp;TEXT(ROW()-6,"00000"))</f>
        <v/>
      </c>
      <c r="C907" s="113">
        <f>IF($D907="","",IFERROR(INDEX(MUSTERILER!$B$7:$B$106,MATCH($R907,MUSTERILER!$T$7:$T$106,0)),IFERROR(INDEX(MUSTERILER!$B$7:$B$106,MATCH($D907,MUSTERILER!$B$7:$B$106,0)),IFERROR(INDEX(MUSTERILER!$B$7:$B$106,MATCH($R907&amp;"*",MUSTERILER!$T$7:$T$106,0)),"TANIMSIZ MÜŞTERİ"))))</f>
        <v/>
      </c>
      <c r="D907" s="109" t="n"/>
      <c r="E907" s="220" t="n"/>
      <c r="F907" s="221" t="n"/>
      <c r="G907" s="108" t="n"/>
      <c r="H907" s="108" t="n"/>
      <c r="I907" s="109" t="n"/>
      <c r="J907" s="109" t="n"/>
      <c r="K907" s="109" t="n"/>
      <c r="L907" s="226">
        <f>IF($E907="","",DATE(YEAR($E907),MONTH($E907),1))</f>
        <v/>
      </c>
      <c r="M907" s="113">
        <f>IF($D907="","",IF($C907="TANIMSIZ MÜŞTERİ","HATA",IF(OR($E907="",$F907&lt;=0,$G907=""),"EKSİK",IF($E907&gt;TODAY(),"İLERİ TARİH",IF(COUNTIF($S$7:$S$1506,$S907)&gt;1,"MÜKERRER?",IF($T907&gt;0,"KAPALI DÖNEM","UYGUN"))))))</f>
        <v/>
      </c>
      <c r="N907" s="121">
        <f>IF($C907="","",IF($C907="TANIMSIZ MÜŞTERİ","—",INDEX(MUSTERILER!$C$7:$C$106,MATCH($C907,MUSTERILER!$B$7:$B$106,0))))</f>
        <v/>
      </c>
      <c r="O907" s="6" t="n"/>
      <c r="P907" s="6" t="n"/>
      <c r="Q907" s="3">
        <f>IF($D907="","",$C907&amp;"|"&amp;COUNTIFS($C$7:$C907,$C907))</f>
        <v/>
      </c>
      <c r="R907" s="3">
        <f>IF($D907="","",UPPER(SUBSTITUTE(SUBSTITUTE(SUBSTITUTE(SUBSTITUTE(SUBSTITUTE(SUBSTITUTE(SUBSTITUTE(SUBSTITUTE(SUBSTITUTE(SUBSTITUTE(SUBSTITUTE(SUBSTITUTE(SUBSTITUTE(SUBSTITUTE(SUBSTITUTE(SUBSTITUTE(SUBSTITUTE(SUBSTITUTE(TRIM($D907),"'",""),"İ","I"),"ı","I"),"i","I"),"Ş","S"),"ş","S"),"Ğ","G"),"ğ","G"),"Ü","U"),"ü","U"),"Ö","O"),"ö","O"),"Ç","C"),"ç","C"),".",""),",","")," ",""),"-","")))</f>
        <v/>
      </c>
      <c r="S907" s="3">
        <f>IF($D907="","",$C907&amp;"|"&amp;TEXT($E907,"0")&amp;"|"&amp;TEXT($F907,"0")&amp;"|"&amp;$I907)</f>
        <v/>
      </c>
      <c r="T907" s="3">
        <f>IF($E907="",0,SUMPRODUCT((AY_SONU!$O$7:$O$42="Evet")*(AY_SONU!$B$7:$B$42=DATE(YEAR($E907),MONTH($E907),1))))</f>
        <v/>
      </c>
    </row>
    <row r="908">
      <c r="A908" s="6" t="n"/>
      <c r="B908" s="113">
        <f>IF($D908="","","T"&amp;TEXT(ROW()-6,"00000"))</f>
        <v/>
      </c>
      <c r="C908" s="113">
        <f>IF($D908="","",IFERROR(INDEX(MUSTERILER!$B$7:$B$106,MATCH($R908,MUSTERILER!$T$7:$T$106,0)),IFERROR(INDEX(MUSTERILER!$B$7:$B$106,MATCH($D908,MUSTERILER!$B$7:$B$106,0)),IFERROR(INDEX(MUSTERILER!$B$7:$B$106,MATCH($R908&amp;"*",MUSTERILER!$T$7:$T$106,0)),"TANIMSIZ MÜŞTERİ"))))</f>
        <v/>
      </c>
      <c r="D908" s="109" t="n"/>
      <c r="E908" s="220" t="n"/>
      <c r="F908" s="221" t="n"/>
      <c r="G908" s="108" t="n"/>
      <c r="H908" s="108" t="n"/>
      <c r="I908" s="109" t="n"/>
      <c r="J908" s="109" t="n"/>
      <c r="K908" s="109" t="n"/>
      <c r="L908" s="226">
        <f>IF($E908="","",DATE(YEAR($E908),MONTH($E908),1))</f>
        <v/>
      </c>
      <c r="M908" s="113">
        <f>IF($D908="","",IF($C908="TANIMSIZ MÜŞTERİ","HATA",IF(OR($E908="",$F908&lt;=0,$G908=""),"EKSİK",IF($E908&gt;TODAY(),"İLERİ TARİH",IF(COUNTIF($S$7:$S$1506,$S908)&gt;1,"MÜKERRER?",IF($T908&gt;0,"KAPALI DÖNEM","UYGUN"))))))</f>
        <v/>
      </c>
      <c r="N908" s="121">
        <f>IF($C908="","",IF($C908="TANIMSIZ MÜŞTERİ","—",INDEX(MUSTERILER!$C$7:$C$106,MATCH($C908,MUSTERILER!$B$7:$B$106,0))))</f>
        <v/>
      </c>
      <c r="O908" s="6" t="n"/>
      <c r="P908" s="6" t="n"/>
      <c r="Q908" s="3">
        <f>IF($D908="","",$C908&amp;"|"&amp;COUNTIFS($C$7:$C908,$C908))</f>
        <v/>
      </c>
      <c r="R908" s="3">
        <f>IF($D908="","",UPPER(SUBSTITUTE(SUBSTITUTE(SUBSTITUTE(SUBSTITUTE(SUBSTITUTE(SUBSTITUTE(SUBSTITUTE(SUBSTITUTE(SUBSTITUTE(SUBSTITUTE(SUBSTITUTE(SUBSTITUTE(SUBSTITUTE(SUBSTITUTE(SUBSTITUTE(SUBSTITUTE(SUBSTITUTE(SUBSTITUTE(TRIM($D908),"'",""),"İ","I"),"ı","I"),"i","I"),"Ş","S"),"ş","S"),"Ğ","G"),"ğ","G"),"Ü","U"),"ü","U"),"Ö","O"),"ö","O"),"Ç","C"),"ç","C"),".",""),",","")," ",""),"-","")))</f>
        <v/>
      </c>
      <c r="S908" s="3">
        <f>IF($D908="","",$C908&amp;"|"&amp;TEXT($E908,"0")&amp;"|"&amp;TEXT($F908,"0")&amp;"|"&amp;$I908)</f>
        <v/>
      </c>
      <c r="T908" s="3">
        <f>IF($E908="",0,SUMPRODUCT((AY_SONU!$O$7:$O$42="Evet")*(AY_SONU!$B$7:$B$42=DATE(YEAR($E908),MONTH($E908),1))))</f>
        <v/>
      </c>
    </row>
    <row r="909">
      <c r="A909" s="6" t="n"/>
      <c r="B909" s="113">
        <f>IF($D909="","","T"&amp;TEXT(ROW()-6,"00000"))</f>
        <v/>
      </c>
      <c r="C909" s="113">
        <f>IF($D909="","",IFERROR(INDEX(MUSTERILER!$B$7:$B$106,MATCH($R909,MUSTERILER!$T$7:$T$106,0)),IFERROR(INDEX(MUSTERILER!$B$7:$B$106,MATCH($D909,MUSTERILER!$B$7:$B$106,0)),IFERROR(INDEX(MUSTERILER!$B$7:$B$106,MATCH($R909&amp;"*",MUSTERILER!$T$7:$T$106,0)),"TANIMSIZ MÜŞTERİ"))))</f>
        <v/>
      </c>
      <c r="D909" s="109" t="n"/>
      <c r="E909" s="220" t="n"/>
      <c r="F909" s="221" t="n"/>
      <c r="G909" s="108" t="n"/>
      <c r="H909" s="108" t="n"/>
      <c r="I909" s="109" t="n"/>
      <c r="J909" s="109" t="n"/>
      <c r="K909" s="109" t="n"/>
      <c r="L909" s="226">
        <f>IF($E909="","",DATE(YEAR($E909),MONTH($E909),1))</f>
        <v/>
      </c>
      <c r="M909" s="113">
        <f>IF($D909="","",IF($C909="TANIMSIZ MÜŞTERİ","HATA",IF(OR($E909="",$F909&lt;=0,$G909=""),"EKSİK",IF($E909&gt;TODAY(),"İLERİ TARİH",IF(COUNTIF($S$7:$S$1506,$S909)&gt;1,"MÜKERRER?",IF($T909&gt;0,"KAPALI DÖNEM","UYGUN"))))))</f>
        <v/>
      </c>
      <c r="N909" s="121">
        <f>IF($C909="","",IF($C909="TANIMSIZ MÜŞTERİ","—",INDEX(MUSTERILER!$C$7:$C$106,MATCH($C909,MUSTERILER!$B$7:$B$106,0))))</f>
        <v/>
      </c>
      <c r="O909" s="6" t="n"/>
      <c r="P909" s="6" t="n"/>
      <c r="Q909" s="3">
        <f>IF($D909="","",$C909&amp;"|"&amp;COUNTIFS($C$7:$C909,$C909))</f>
        <v/>
      </c>
      <c r="R909" s="3">
        <f>IF($D909="","",UPPER(SUBSTITUTE(SUBSTITUTE(SUBSTITUTE(SUBSTITUTE(SUBSTITUTE(SUBSTITUTE(SUBSTITUTE(SUBSTITUTE(SUBSTITUTE(SUBSTITUTE(SUBSTITUTE(SUBSTITUTE(SUBSTITUTE(SUBSTITUTE(SUBSTITUTE(SUBSTITUTE(SUBSTITUTE(SUBSTITUTE(TRIM($D909),"'",""),"İ","I"),"ı","I"),"i","I"),"Ş","S"),"ş","S"),"Ğ","G"),"ğ","G"),"Ü","U"),"ü","U"),"Ö","O"),"ö","O"),"Ç","C"),"ç","C"),".",""),",","")," ",""),"-","")))</f>
        <v/>
      </c>
      <c r="S909" s="3">
        <f>IF($D909="","",$C909&amp;"|"&amp;TEXT($E909,"0")&amp;"|"&amp;TEXT($F909,"0")&amp;"|"&amp;$I909)</f>
        <v/>
      </c>
      <c r="T909" s="3">
        <f>IF($E909="",0,SUMPRODUCT((AY_SONU!$O$7:$O$42="Evet")*(AY_SONU!$B$7:$B$42=DATE(YEAR($E909),MONTH($E909),1))))</f>
        <v/>
      </c>
    </row>
    <row r="910">
      <c r="A910" s="6" t="n"/>
      <c r="B910" s="113">
        <f>IF($D910="","","T"&amp;TEXT(ROW()-6,"00000"))</f>
        <v/>
      </c>
      <c r="C910" s="113">
        <f>IF($D910="","",IFERROR(INDEX(MUSTERILER!$B$7:$B$106,MATCH($R910,MUSTERILER!$T$7:$T$106,0)),IFERROR(INDEX(MUSTERILER!$B$7:$B$106,MATCH($D910,MUSTERILER!$B$7:$B$106,0)),IFERROR(INDEX(MUSTERILER!$B$7:$B$106,MATCH($R910&amp;"*",MUSTERILER!$T$7:$T$106,0)),"TANIMSIZ MÜŞTERİ"))))</f>
        <v/>
      </c>
      <c r="D910" s="109" t="n"/>
      <c r="E910" s="220" t="n"/>
      <c r="F910" s="221" t="n"/>
      <c r="G910" s="108" t="n"/>
      <c r="H910" s="108" t="n"/>
      <c r="I910" s="109" t="n"/>
      <c r="J910" s="109" t="n"/>
      <c r="K910" s="109" t="n"/>
      <c r="L910" s="226">
        <f>IF($E910="","",DATE(YEAR($E910),MONTH($E910),1))</f>
        <v/>
      </c>
      <c r="M910" s="113">
        <f>IF($D910="","",IF($C910="TANIMSIZ MÜŞTERİ","HATA",IF(OR($E910="",$F910&lt;=0,$G910=""),"EKSİK",IF($E910&gt;TODAY(),"İLERİ TARİH",IF(COUNTIF($S$7:$S$1506,$S910)&gt;1,"MÜKERRER?",IF($T910&gt;0,"KAPALI DÖNEM","UYGUN"))))))</f>
        <v/>
      </c>
      <c r="N910" s="121">
        <f>IF($C910="","",IF($C910="TANIMSIZ MÜŞTERİ","—",INDEX(MUSTERILER!$C$7:$C$106,MATCH($C910,MUSTERILER!$B$7:$B$106,0))))</f>
        <v/>
      </c>
      <c r="O910" s="6" t="n"/>
      <c r="P910" s="6" t="n"/>
      <c r="Q910" s="3">
        <f>IF($D910="","",$C910&amp;"|"&amp;COUNTIFS($C$7:$C910,$C910))</f>
        <v/>
      </c>
      <c r="R910" s="3">
        <f>IF($D910="","",UPPER(SUBSTITUTE(SUBSTITUTE(SUBSTITUTE(SUBSTITUTE(SUBSTITUTE(SUBSTITUTE(SUBSTITUTE(SUBSTITUTE(SUBSTITUTE(SUBSTITUTE(SUBSTITUTE(SUBSTITUTE(SUBSTITUTE(SUBSTITUTE(SUBSTITUTE(SUBSTITUTE(SUBSTITUTE(SUBSTITUTE(TRIM($D910),"'",""),"İ","I"),"ı","I"),"i","I"),"Ş","S"),"ş","S"),"Ğ","G"),"ğ","G"),"Ü","U"),"ü","U"),"Ö","O"),"ö","O"),"Ç","C"),"ç","C"),".",""),",","")," ",""),"-","")))</f>
        <v/>
      </c>
      <c r="S910" s="3">
        <f>IF($D910="","",$C910&amp;"|"&amp;TEXT($E910,"0")&amp;"|"&amp;TEXT($F910,"0")&amp;"|"&amp;$I910)</f>
        <v/>
      </c>
      <c r="T910" s="3">
        <f>IF($E910="",0,SUMPRODUCT((AY_SONU!$O$7:$O$42="Evet")*(AY_SONU!$B$7:$B$42=DATE(YEAR($E910),MONTH($E910),1))))</f>
        <v/>
      </c>
    </row>
    <row r="911">
      <c r="A911" s="6" t="n"/>
      <c r="B911" s="113">
        <f>IF($D911="","","T"&amp;TEXT(ROW()-6,"00000"))</f>
        <v/>
      </c>
      <c r="C911" s="113">
        <f>IF($D911="","",IFERROR(INDEX(MUSTERILER!$B$7:$B$106,MATCH($R911,MUSTERILER!$T$7:$T$106,0)),IFERROR(INDEX(MUSTERILER!$B$7:$B$106,MATCH($D911,MUSTERILER!$B$7:$B$106,0)),IFERROR(INDEX(MUSTERILER!$B$7:$B$106,MATCH($R911&amp;"*",MUSTERILER!$T$7:$T$106,0)),"TANIMSIZ MÜŞTERİ"))))</f>
        <v/>
      </c>
      <c r="D911" s="109" t="n"/>
      <c r="E911" s="220" t="n"/>
      <c r="F911" s="221" t="n"/>
      <c r="G911" s="108" t="n"/>
      <c r="H911" s="108" t="n"/>
      <c r="I911" s="109" t="n"/>
      <c r="J911" s="109" t="n"/>
      <c r="K911" s="109" t="n"/>
      <c r="L911" s="226">
        <f>IF($E911="","",DATE(YEAR($E911),MONTH($E911),1))</f>
        <v/>
      </c>
      <c r="M911" s="113">
        <f>IF($D911="","",IF($C911="TANIMSIZ MÜŞTERİ","HATA",IF(OR($E911="",$F911&lt;=0,$G911=""),"EKSİK",IF($E911&gt;TODAY(),"İLERİ TARİH",IF(COUNTIF($S$7:$S$1506,$S911)&gt;1,"MÜKERRER?",IF($T911&gt;0,"KAPALI DÖNEM","UYGUN"))))))</f>
        <v/>
      </c>
      <c r="N911" s="121">
        <f>IF($C911="","",IF($C911="TANIMSIZ MÜŞTERİ","—",INDEX(MUSTERILER!$C$7:$C$106,MATCH($C911,MUSTERILER!$B$7:$B$106,0))))</f>
        <v/>
      </c>
      <c r="O911" s="6" t="n"/>
      <c r="P911" s="6" t="n"/>
      <c r="Q911" s="3">
        <f>IF($D911="","",$C911&amp;"|"&amp;COUNTIFS($C$7:$C911,$C911))</f>
        <v/>
      </c>
      <c r="R911" s="3">
        <f>IF($D911="","",UPPER(SUBSTITUTE(SUBSTITUTE(SUBSTITUTE(SUBSTITUTE(SUBSTITUTE(SUBSTITUTE(SUBSTITUTE(SUBSTITUTE(SUBSTITUTE(SUBSTITUTE(SUBSTITUTE(SUBSTITUTE(SUBSTITUTE(SUBSTITUTE(SUBSTITUTE(SUBSTITUTE(SUBSTITUTE(SUBSTITUTE(TRIM($D911),"'",""),"İ","I"),"ı","I"),"i","I"),"Ş","S"),"ş","S"),"Ğ","G"),"ğ","G"),"Ü","U"),"ü","U"),"Ö","O"),"ö","O"),"Ç","C"),"ç","C"),".",""),",","")," ",""),"-","")))</f>
        <v/>
      </c>
      <c r="S911" s="3">
        <f>IF($D911="","",$C911&amp;"|"&amp;TEXT($E911,"0")&amp;"|"&amp;TEXT($F911,"0")&amp;"|"&amp;$I911)</f>
        <v/>
      </c>
      <c r="T911" s="3">
        <f>IF($E911="",0,SUMPRODUCT((AY_SONU!$O$7:$O$42="Evet")*(AY_SONU!$B$7:$B$42=DATE(YEAR($E911),MONTH($E911),1))))</f>
        <v/>
      </c>
    </row>
    <row r="912">
      <c r="A912" s="6" t="n"/>
      <c r="B912" s="113">
        <f>IF($D912="","","T"&amp;TEXT(ROW()-6,"00000"))</f>
        <v/>
      </c>
      <c r="C912" s="113">
        <f>IF($D912="","",IFERROR(INDEX(MUSTERILER!$B$7:$B$106,MATCH($R912,MUSTERILER!$T$7:$T$106,0)),IFERROR(INDEX(MUSTERILER!$B$7:$B$106,MATCH($D912,MUSTERILER!$B$7:$B$106,0)),IFERROR(INDEX(MUSTERILER!$B$7:$B$106,MATCH($R912&amp;"*",MUSTERILER!$T$7:$T$106,0)),"TANIMSIZ MÜŞTERİ"))))</f>
        <v/>
      </c>
      <c r="D912" s="109" t="n"/>
      <c r="E912" s="220" t="n"/>
      <c r="F912" s="221" t="n"/>
      <c r="G912" s="108" t="n"/>
      <c r="H912" s="108" t="n"/>
      <c r="I912" s="109" t="n"/>
      <c r="J912" s="109" t="n"/>
      <c r="K912" s="109" t="n"/>
      <c r="L912" s="226">
        <f>IF($E912="","",DATE(YEAR($E912),MONTH($E912),1))</f>
        <v/>
      </c>
      <c r="M912" s="113">
        <f>IF($D912="","",IF($C912="TANIMSIZ MÜŞTERİ","HATA",IF(OR($E912="",$F912&lt;=0,$G912=""),"EKSİK",IF($E912&gt;TODAY(),"İLERİ TARİH",IF(COUNTIF($S$7:$S$1506,$S912)&gt;1,"MÜKERRER?",IF($T912&gt;0,"KAPALI DÖNEM","UYGUN"))))))</f>
        <v/>
      </c>
      <c r="N912" s="121">
        <f>IF($C912="","",IF($C912="TANIMSIZ MÜŞTERİ","—",INDEX(MUSTERILER!$C$7:$C$106,MATCH($C912,MUSTERILER!$B$7:$B$106,0))))</f>
        <v/>
      </c>
      <c r="O912" s="6" t="n"/>
      <c r="P912" s="6" t="n"/>
      <c r="Q912" s="3">
        <f>IF($D912="","",$C912&amp;"|"&amp;COUNTIFS($C$7:$C912,$C912))</f>
        <v/>
      </c>
      <c r="R912" s="3">
        <f>IF($D912="","",UPPER(SUBSTITUTE(SUBSTITUTE(SUBSTITUTE(SUBSTITUTE(SUBSTITUTE(SUBSTITUTE(SUBSTITUTE(SUBSTITUTE(SUBSTITUTE(SUBSTITUTE(SUBSTITUTE(SUBSTITUTE(SUBSTITUTE(SUBSTITUTE(SUBSTITUTE(SUBSTITUTE(SUBSTITUTE(SUBSTITUTE(TRIM($D912),"'",""),"İ","I"),"ı","I"),"i","I"),"Ş","S"),"ş","S"),"Ğ","G"),"ğ","G"),"Ü","U"),"ü","U"),"Ö","O"),"ö","O"),"Ç","C"),"ç","C"),".",""),",","")," ",""),"-","")))</f>
        <v/>
      </c>
      <c r="S912" s="3">
        <f>IF($D912="","",$C912&amp;"|"&amp;TEXT($E912,"0")&amp;"|"&amp;TEXT($F912,"0")&amp;"|"&amp;$I912)</f>
        <v/>
      </c>
      <c r="T912" s="3">
        <f>IF($E912="",0,SUMPRODUCT((AY_SONU!$O$7:$O$42="Evet")*(AY_SONU!$B$7:$B$42=DATE(YEAR($E912),MONTH($E912),1))))</f>
        <v/>
      </c>
    </row>
    <row r="913">
      <c r="A913" s="6" t="n"/>
      <c r="B913" s="113">
        <f>IF($D913="","","T"&amp;TEXT(ROW()-6,"00000"))</f>
        <v/>
      </c>
      <c r="C913" s="113">
        <f>IF($D913="","",IFERROR(INDEX(MUSTERILER!$B$7:$B$106,MATCH($R913,MUSTERILER!$T$7:$T$106,0)),IFERROR(INDEX(MUSTERILER!$B$7:$B$106,MATCH($D913,MUSTERILER!$B$7:$B$106,0)),IFERROR(INDEX(MUSTERILER!$B$7:$B$106,MATCH($R913&amp;"*",MUSTERILER!$T$7:$T$106,0)),"TANIMSIZ MÜŞTERİ"))))</f>
        <v/>
      </c>
      <c r="D913" s="109" t="n"/>
      <c r="E913" s="220" t="n"/>
      <c r="F913" s="221" t="n"/>
      <c r="G913" s="108" t="n"/>
      <c r="H913" s="108" t="n"/>
      <c r="I913" s="109" t="n"/>
      <c r="J913" s="109" t="n"/>
      <c r="K913" s="109" t="n"/>
      <c r="L913" s="226">
        <f>IF($E913="","",DATE(YEAR($E913),MONTH($E913),1))</f>
        <v/>
      </c>
      <c r="M913" s="113">
        <f>IF($D913="","",IF($C913="TANIMSIZ MÜŞTERİ","HATA",IF(OR($E913="",$F913&lt;=0,$G913=""),"EKSİK",IF($E913&gt;TODAY(),"İLERİ TARİH",IF(COUNTIF($S$7:$S$1506,$S913)&gt;1,"MÜKERRER?",IF($T913&gt;0,"KAPALI DÖNEM","UYGUN"))))))</f>
        <v/>
      </c>
      <c r="N913" s="121">
        <f>IF($C913="","",IF($C913="TANIMSIZ MÜŞTERİ","—",INDEX(MUSTERILER!$C$7:$C$106,MATCH($C913,MUSTERILER!$B$7:$B$106,0))))</f>
        <v/>
      </c>
      <c r="O913" s="6" t="n"/>
      <c r="P913" s="6" t="n"/>
      <c r="Q913" s="3">
        <f>IF($D913="","",$C913&amp;"|"&amp;COUNTIFS($C$7:$C913,$C913))</f>
        <v/>
      </c>
      <c r="R913" s="3">
        <f>IF($D913="","",UPPER(SUBSTITUTE(SUBSTITUTE(SUBSTITUTE(SUBSTITUTE(SUBSTITUTE(SUBSTITUTE(SUBSTITUTE(SUBSTITUTE(SUBSTITUTE(SUBSTITUTE(SUBSTITUTE(SUBSTITUTE(SUBSTITUTE(SUBSTITUTE(SUBSTITUTE(SUBSTITUTE(SUBSTITUTE(SUBSTITUTE(TRIM($D913),"'",""),"İ","I"),"ı","I"),"i","I"),"Ş","S"),"ş","S"),"Ğ","G"),"ğ","G"),"Ü","U"),"ü","U"),"Ö","O"),"ö","O"),"Ç","C"),"ç","C"),".",""),",","")," ",""),"-","")))</f>
        <v/>
      </c>
      <c r="S913" s="3">
        <f>IF($D913="","",$C913&amp;"|"&amp;TEXT($E913,"0")&amp;"|"&amp;TEXT($F913,"0")&amp;"|"&amp;$I913)</f>
        <v/>
      </c>
      <c r="T913" s="3">
        <f>IF($E913="",0,SUMPRODUCT((AY_SONU!$O$7:$O$42="Evet")*(AY_SONU!$B$7:$B$42=DATE(YEAR($E913),MONTH($E913),1))))</f>
        <v/>
      </c>
    </row>
    <row r="914">
      <c r="A914" s="6" t="n"/>
      <c r="B914" s="113">
        <f>IF($D914="","","T"&amp;TEXT(ROW()-6,"00000"))</f>
        <v/>
      </c>
      <c r="C914" s="113">
        <f>IF($D914="","",IFERROR(INDEX(MUSTERILER!$B$7:$B$106,MATCH($R914,MUSTERILER!$T$7:$T$106,0)),IFERROR(INDEX(MUSTERILER!$B$7:$B$106,MATCH($D914,MUSTERILER!$B$7:$B$106,0)),IFERROR(INDEX(MUSTERILER!$B$7:$B$106,MATCH($R914&amp;"*",MUSTERILER!$T$7:$T$106,0)),"TANIMSIZ MÜŞTERİ"))))</f>
        <v/>
      </c>
      <c r="D914" s="109" t="n"/>
      <c r="E914" s="220" t="n"/>
      <c r="F914" s="221" t="n"/>
      <c r="G914" s="108" t="n"/>
      <c r="H914" s="108" t="n"/>
      <c r="I914" s="109" t="n"/>
      <c r="J914" s="109" t="n"/>
      <c r="K914" s="109" t="n"/>
      <c r="L914" s="226">
        <f>IF($E914="","",DATE(YEAR($E914),MONTH($E914),1))</f>
        <v/>
      </c>
      <c r="M914" s="113">
        <f>IF($D914="","",IF($C914="TANIMSIZ MÜŞTERİ","HATA",IF(OR($E914="",$F914&lt;=0,$G914=""),"EKSİK",IF($E914&gt;TODAY(),"İLERİ TARİH",IF(COUNTIF($S$7:$S$1506,$S914)&gt;1,"MÜKERRER?",IF($T914&gt;0,"KAPALI DÖNEM","UYGUN"))))))</f>
        <v/>
      </c>
      <c r="N914" s="121">
        <f>IF($C914="","",IF($C914="TANIMSIZ MÜŞTERİ","—",INDEX(MUSTERILER!$C$7:$C$106,MATCH($C914,MUSTERILER!$B$7:$B$106,0))))</f>
        <v/>
      </c>
      <c r="O914" s="6" t="n"/>
      <c r="P914" s="6" t="n"/>
      <c r="Q914" s="3">
        <f>IF($D914="","",$C914&amp;"|"&amp;COUNTIFS($C$7:$C914,$C914))</f>
        <v/>
      </c>
      <c r="R914" s="3">
        <f>IF($D914="","",UPPER(SUBSTITUTE(SUBSTITUTE(SUBSTITUTE(SUBSTITUTE(SUBSTITUTE(SUBSTITUTE(SUBSTITUTE(SUBSTITUTE(SUBSTITUTE(SUBSTITUTE(SUBSTITUTE(SUBSTITUTE(SUBSTITUTE(SUBSTITUTE(SUBSTITUTE(SUBSTITUTE(SUBSTITUTE(SUBSTITUTE(TRIM($D914),"'",""),"İ","I"),"ı","I"),"i","I"),"Ş","S"),"ş","S"),"Ğ","G"),"ğ","G"),"Ü","U"),"ü","U"),"Ö","O"),"ö","O"),"Ç","C"),"ç","C"),".",""),",","")," ",""),"-","")))</f>
        <v/>
      </c>
      <c r="S914" s="3">
        <f>IF($D914="","",$C914&amp;"|"&amp;TEXT($E914,"0")&amp;"|"&amp;TEXT($F914,"0")&amp;"|"&amp;$I914)</f>
        <v/>
      </c>
      <c r="T914" s="3">
        <f>IF($E914="",0,SUMPRODUCT((AY_SONU!$O$7:$O$42="Evet")*(AY_SONU!$B$7:$B$42=DATE(YEAR($E914),MONTH($E914),1))))</f>
        <v/>
      </c>
    </row>
    <row r="915">
      <c r="A915" s="6" t="n"/>
      <c r="B915" s="113">
        <f>IF($D915="","","T"&amp;TEXT(ROW()-6,"00000"))</f>
        <v/>
      </c>
      <c r="C915" s="113">
        <f>IF($D915="","",IFERROR(INDEX(MUSTERILER!$B$7:$B$106,MATCH($R915,MUSTERILER!$T$7:$T$106,0)),IFERROR(INDEX(MUSTERILER!$B$7:$B$106,MATCH($D915,MUSTERILER!$B$7:$B$106,0)),IFERROR(INDEX(MUSTERILER!$B$7:$B$106,MATCH($R915&amp;"*",MUSTERILER!$T$7:$T$106,0)),"TANIMSIZ MÜŞTERİ"))))</f>
        <v/>
      </c>
      <c r="D915" s="109" t="n"/>
      <c r="E915" s="220" t="n"/>
      <c r="F915" s="221" t="n"/>
      <c r="G915" s="108" t="n"/>
      <c r="H915" s="108" t="n"/>
      <c r="I915" s="109" t="n"/>
      <c r="J915" s="109" t="n"/>
      <c r="K915" s="109" t="n"/>
      <c r="L915" s="226">
        <f>IF($E915="","",DATE(YEAR($E915),MONTH($E915),1))</f>
        <v/>
      </c>
      <c r="M915" s="113">
        <f>IF($D915="","",IF($C915="TANIMSIZ MÜŞTERİ","HATA",IF(OR($E915="",$F915&lt;=0,$G915=""),"EKSİK",IF($E915&gt;TODAY(),"İLERİ TARİH",IF(COUNTIF($S$7:$S$1506,$S915)&gt;1,"MÜKERRER?",IF($T915&gt;0,"KAPALI DÖNEM","UYGUN"))))))</f>
        <v/>
      </c>
      <c r="N915" s="121">
        <f>IF($C915="","",IF($C915="TANIMSIZ MÜŞTERİ","—",INDEX(MUSTERILER!$C$7:$C$106,MATCH($C915,MUSTERILER!$B$7:$B$106,0))))</f>
        <v/>
      </c>
      <c r="O915" s="6" t="n"/>
      <c r="P915" s="6" t="n"/>
      <c r="Q915" s="3">
        <f>IF($D915="","",$C915&amp;"|"&amp;COUNTIFS($C$7:$C915,$C915))</f>
        <v/>
      </c>
      <c r="R915" s="3">
        <f>IF($D915="","",UPPER(SUBSTITUTE(SUBSTITUTE(SUBSTITUTE(SUBSTITUTE(SUBSTITUTE(SUBSTITUTE(SUBSTITUTE(SUBSTITUTE(SUBSTITUTE(SUBSTITUTE(SUBSTITUTE(SUBSTITUTE(SUBSTITUTE(SUBSTITUTE(SUBSTITUTE(SUBSTITUTE(SUBSTITUTE(SUBSTITUTE(TRIM($D915),"'",""),"İ","I"),"ı","I"),"i","I"),"Ş","S"),"ş","S"),"Ğ","G"),"ğ","G"),"Ü","U"),"ü","U"),"Ö","O"),"ö","O"),"Ç","C"),"ç","C"),".",""),",","")," ",""),"-","")))</f>
        <v/>
      </c>
      <c r="S915" s="3">
        <f>IF($D915="","",$C915&amp;"|"&amp;TEXT($E915,"0")&amp;"|"&amp;TEXT($F915,"0")&amp;"|"&amp;$I915)</f>
        <v/>
      </c>
      <c r="T915" s="3">
        <f>IF($E915="",0,SUMPRODUCT((AY_SONU!$O$7:$O$42="Evet")*(AY_SONU!$B$7:$B$42=DATE(YEAR($E915),MONTH($E915),1))))</f>
        <v/>
      </c>
    </row>
    <row r="916">
      <c r="A916" s="6" t="n"/>
      <c r="B916" s="113">
        <f>IF($D916="","","T"&amp;TEXT(ROW()-6,"00000"))</f>
        <v/>
      </c>
      <c r="C916" s="113">
        <f>IF($D916="","",IFERROR(INDEX(MUSTERILER!$B$7:$B$106,MATCH($R916,MUSTERILER!$T$7:$T$106,0)),IFERROR(INDEX(MUSTERILER!$B$7:$B$106,MATCH($D916,MUSTERILER!$B$7:$B$106,0)),IFERROR(INDEX(MUSTERILER!$B$7:$B$106,MATCH($R916&amp;"*",MUSTERILER!$T$7:$T$106,0)),"TANIMSIZ MÜŞTERİ"))))</f>
        <v/>
      </c>
      <c r="D916" s="109" t="n"/>
      <c r="E916" s="220" t="n"/>
      <c r="F916" s="221" t="n"/>
      <c r="G916" s="108" t="n"/>
      <c r="H916" s="108" t="n"/>
      <c r="I916" s="109" t="n"/>
      <c r="J916" s="109" t="n"/>
      <c r="K916" s="109" t="n"/>
      <c r="L916" s="226">
        <f>IF($E916="","",DATE(YEAR($E916),MONTH($E916),1))</f>
        <v/>
      </c>
      <c r="M916" s="113">
        <f>IF($D916="","",IF($C916="TANIMSIZ MÜŞTERİ","HATA",IF(OR($E916="",$F916&lt;=0,$G916=""),"EKSİK",IF($E916&gt;TODAY(),"İLERİ TARİH",IF(COUNTIF($S$7:$S$1506,$S916)&gt;1,"MÜKERRER?",IF($T916&gt;0,"KAPALI DÖNEM","UYGUN"))))))</f>
        <v/>
      </c>
      <c r="N916" s="121">
        <f>IF($C916="","",IF($C916="TANIMSIZ MÜŞTERİ","—",INDEX(MUSTERILER!$C$7:$C$106,MATCH($C916,MUSTERILER!$B$7:$B$106,0))))</f>
        <v/>
      </c>
      <c r="O916" s="6" t="n"/>
      <c r="P916" s="6" t="n"/>
      <c r="Q916" s="3">
        <f>IF($D916="","",$C916&amp;"|"&amp;COUNTIFS($C$7:$C916,$C916))</f>
        <v/>
      </c>
      <c r="R916" s="3">
        <f>IF($D916="","",UPPER(SUBSTITUTE(SUBSTITUTE(SUBSTITUTE(SUBSTITUTE(SUBSTITUTE(SUBSTITUTE(SUBSTITUTE(SUBSTITUTE(SUBSTITUTE(SUBSTITUTE(SUBSTITUTE(SUBSTITUTE(SUBSTITUTE(SUBSTITUTE(SUBSTITUTE(SUBSTITUTE(SUBSTITUTE(SUBSTITUTE(TRIM($D916),"'",""),"İ","I"),"ı","I"),"i","I"),"Ş","S"),"ş","S"),"Ğ","G"),"ğ","G"),"Ü","U"),"ü","U"),"Ö","O"),"ö","O"),"Ç","C"),"ç","C"),".",""),",","")," ",""),"-","")))</f>
        <v/>
      </c>
      <c r="S916" s="3">
        <f>IF($D916="","",$C916&amp;"|"&amp;TEXT($E916,"0")&amp;"|"&amp;TEXT($F916,"0")&amp;"|"&amp;$I916)</f>
        <v/>
      </c>
      <c r="T916" s="3">
        <f>IF($E916="",0,SUMPRODUCT((AY_SONU!$O$7:$O$42="Evet")*(AY_SONU!$B$7:$B$42=DATE(YEAR($E916),MONTH($E916),1))))</f>
        <v/>
      </c>
    </row>
    <row r="917">
      <c r="A917" s="6" t="n"/>
      <c r="B917" s="113">
        <f>IF($D917="","","T"&amp;TEXT(ROW()-6,"00000"))</f>
        <v/>
      </c>
      <c r="C917" s="113">
        <f>IF($D917="","",IFERROR(INDEX(MUSTERILER!$B$7:$B$106,MATCH($R917,MUSTERILER!$T$7:$T$106,0)),IFERROR(INDEX(MUSTERILER!$B$7:$B$106,MATCH($D917,MUSTERILER!$B$7:$B$106,0)),IFERROR(INDEX(MUSTERILER!$B$7:$B$106,MATCH($R917&amp;"*",MUSTERILER!$T$7:$T$106,0)),"TANIMSIZ MÜŞTERİ"))))</f>
        <v/>
      </c>
      <c r="D917" s="109" t="n"/>
      <c r="E917" s="220" t="n"/>
      <c r="F917" s="221" t="n"/>
      <c r="G917" s="108" t="n"/>
      <c r="H917" s="108" t="n"/>
      <c r="I917" s="109" t="n"/>
      <c r="J917" s="109" t="n"/>
      <c r="K917" s="109" t="n"/>
      <c r="L917" s="226">
        <f>IF($E917="","",DATE(YEAR($E917),MONTH($E917),1))</f>
        <v/>
      </c>
      <c r="M917" s="113">
        <f>IF($D917="","",IF($C917="TANIMSIZ MÜŞTERİ","HATA",IF(OR($E917="",$F917&lt;=0,$G917=""),"EKSİK",IF($E917&gt;TODAY(),"İLERİ TARİH",IF(COUNTIF($S$7:$S$1506,$S917)&gt;1,"MÜKERRER?",IF($T917&gt;0,"KAPALI DÖNEM","UYGUN"))))))</f>
        <v/>
      </c>
      <c r="N917" s="121">
        <f>IF($C917="","",IF($C917="TANIMSIZ MÜŞTERİ","—",INDEX(MUSTERILER!$C$7:$C$106,MATCH($C917,MUSTERILER!$B$7:$B$106,0))))</f>
        <v/>
      </c>
      <c r="O917" s="6" t="n"/>
      <c r="P917" s="6" t="n"/>
      <c r="Q917" s="3">
        <f>IF($D917="","",$C917&amp;"|"&amp;COUNTIFS($C$7:$C917,$C917))</f>
        <v/>
      </c>
      <c r="R917" s="3">
        <f>IF($D917="","",UPPER(SUBSTITUTE(SUBSTITUTE(SUBSTITUTE(SUBSTITUTE(SUBSTITUTE(SUBSTITUTE(SUBSTITUTE(SUBSTITUTE(SUBSTITUTE(SUBSTITUTE(SUBSTITUTE(SUBSTITUTE(SUBSTITUTE(SUBSTITUTE(SUBSTITUTE(SUBSTITUTE(SUBSTITUTE(SUBSTITUTE(TRIM($D917),"'",""),"İ","I"),"ı","I"),"i","I"),"Ş","S"),"ş","S"),"Ğ","G"),"ğ","G"),"Ü","U"),"ü","U"),"Ö","O"),"ö","O"),"Ç","C"),"ç","C"),".",""),",","")," ",""),"-","")))</f>
        <v/>
      </c>
      <c r="S917" s="3">
        <f>IF($D917="","",$C917&amp;"|"&amp;TEXT($E917,"0")&amp;"|"&amp;TEXT($F917,"0")&amp;"|"&amp;$I917)</f>
        <v/>
      </c>
      <c r="T917" s="3">
        <f>IF($E917="",0,SUMPRODUCT((AY_SONU!$O$7:$O$42="Evet")*(AY_SONU!$B$7:$B$42=DATE(YEAR($E917),MONTH($E917),1))))</f>
        <v/>
      </c>
    </row>
    <row r="918">
      <c r="A918" s="6" t="n"/>
      <c r="B918" s="113">
        <f>IF($D918="","","T"&amp;TEXT(ROW()-6,"00000"))</f>
        <v/>
      </c>
      <c r="C918" s="113">
        <f>IF($D918="","",IFERROR(INDEX(MUSTERILER!$B$7:$B$106,MATCH($R918,MUSTERILER!$T$7:$T$106,0)),IFERROR(INDEX(MUSTERILER!$B$7:$B$106,MATCH($D918,MUSTERILER!$B$7:$B$106,0)),IFERROR(INDEX(MUSTERILER!$B$7:$B$106,MATCH($R918&amp;"*",MUSTERILER!$T$7:$T$106,0)),"TANIMSIZ MÜŞTERİ"))))</f>
        <v/>
      </c>
      <c r="D918" s="109" t="n"/>
      <c r="E918" s="220" t="n"/>
      <c r="F918" s="221" t="n"/>
      <c r="G918" s="108" t="n"/>
      <c r="H918" s="108" t="n"/>
      <c r="I918" s="109" t="n"/>
      <c r="J918" s="109" t="n"/>
      <c r="K918" s="109" t="n"/>
      <c r="L918" s="226">
        <f>IF($E918="","",DATE(YEAR($E918),MONTH($E918),1))</f>
        <v/>
      </c>
      <c r="M918" s="113">
        <f>IF($D918="","",IF($C918="TANIMSIZ MÜŞTERİ","HATA",IF(OR($E918="",$F918&lt;=0,$G918=""),"EKSİK",IF($E918&gt;TODAY(),"İLERİ TARİH",IF(COUNTIF($S$7:$S$1506,$S918)&gt;1,"MÜKERRER?",IF($T918&gt;0,"KAPALI DÖNEM","UYGUN"))))))</f>
        <v/>
      </c>
      <c r="N918" s="121">
        <f>IF($C918="","",IF($C918="TANIMSIZ MÜŞTERİ","—",INDEX(MUSTERILER!$C$7:$C$106,MATCH($C918,MUSTERILER!$B$7:$B$106,0))))</f>
        <v/>
      </c>
      <c r="O918" s="6" t="n"/>
      <c r="P918" s="6" t="n"/>
      <c r="Q918" s="3">
        <f>IF($D918="","",$C918&amp;"|"&amp;COUNTIFS($C$7:$C918,$C918))</f>
        <v/>
      </c>
      <c r="R918" s="3">
        <f>IF($D918="","",UPPER(SUBSTITUTE(SUBSTITUTE(SUBSTITUTE(SUBSTITUTE(SUBSTITUTE(SUBSTITUTE(SUBSTITUTE(SUBSTITUTE(SUBSTITUTE(SUBSTITUTE(SUBSTITUTE(SUBSTITUTE(SUBSTITUTE(SUBSTITUTE(SUBSTITUTE(SUBSTITUTE(SUBSTITUTE(SUBSTITUTE(TRIM($D918),"'",""),"İ","I"),"ı","I"),"i","I"),"Ş","S"),"ş","S"),"Ğ","G"),"ğ","G"),"Ü","U"),"ü","U"),"Ö","O"),"ö","O"),"Ç","C"),"ç","C"),".",""),",","")," ",""),"-","")))</f>
        <v/>
      </c>
      <c r="S918" s="3">
        <f>IF($D918="","",$C918&amp;"|"&amp;TEXT($E918,"0")&amp;"|"&amp;TEXT($F918,"0")&amp;"|"&amp;$I918)</f>
        <v/>
      </c>
      <c r="T918" s="3">
        <f>IF($E918="",0,SUMPRODUCT((AY_SONU!$O$7:$O$42="Evet")*(AY_SONU!$B$7:$B$42=DATE(YEAR($E918),MONTH($E918),1))))</f>
        <v/>
      </c>
    </row>
    <row r="919">
      <c r="A919" s="6" t="n"/>
      <c r="B919" s="113">
        <f>IF($D919="","","T"&amp;TEXT(ROW()-6,"00000"))</f>
        <v/>
      </c>
      <c r="C919" s="113">
        <f>IF($D919="","",IFERROR(INDEX(MUSTERILER!$B$7:$B$106,MATCH($R919,MUSTERILER!$T$7:$T$106,0)),IFERROR(INDEX(MUSTERILER!$B$7:$B$106,MATCH($D919,MUSTERILER!$B$7:$B$106,0)),IFERROR(INDEX(MUSTERILER!$B$7:$B$106,MATCH($R919&amp;"*",MUSTERILER!$T$7:$T$106,0)),"TANIMSIZ MÜŞTERİ"))))</f>
        <v/>
      </c>
      <c r="D919" s="109" t="n"/>
      <c r="E919" s="220" t="n"/>
      <c r="F919" s="221" t="n"/>
      <c r="G919" s="108" t="n"/>
      <c r="H919" s="108" t="n"/>
      <c r="I919" s="109" t="n"/>
      <c r="J919" s="109" t="n"/>
      <c r="K919" s="109" t="n"/>
      <c r="L919" s="226">
        <f>IF($E919="","",DATE(YEAR($E919),MONTH($E919),1))</f>
        <v/>
      </c>
      <c r="M919" s="113">
        <f>IF($D919="","",IF($C919="TANIMSIZ MÜŞTERİ","HATA",IF(OR($E919="",$F919&lt;=0,$G919=""),"EKSİK",IF($E919&gt;TODAY(),"İLERİ TARİH",IF(COUNTIF($S$7:$S$1506,$S919)&gt;1,"MÜKERRER?",IF($T919&gt;0,"KAPALI DÖNEM","UYGUN"))))))</f>
        <v/>
      </c>
      <c r="N919" s="121">
        <f>IF($C919="","",IF($C919="TANIMSIZ MÜŞTERİ","—",INDEX(MUSTERILER!$C$7:$C$106,MATCH($C919,MUSTERILER!$B$7:$B$106,0))))</f>
        <v/>
      </c>
      <c r="O919" s="6" t="n"/>
      <c r="P919" s="6" t="n"/>
      <c r="Q919" s="3">
        <f>IF($D919="","",$C919&amp;"|"&amp;COUNTIFS($C$7:$C919,$C919))</f>
        <v/>
      </c>
      <c r="R919" s="3">
        <f>IF($D919="","",UPPER(SUBSTITUTE(SUBSTITUTE(SUBSTITUTE(SUBSTITUTE(SUBSTITUTE(SUBSTITUTE(SUBSTITUTE(SUBSTITUTE(SUBSTITUTE(SUBSTITUTE(SUBSTITUTE(SUBSTITUTE(SUBSTITUTE(SUBSTITUTE(SUBSTITUTE(SUBSTITUTE(SUBSTITUTE(SUBSTITUTE(TRIM($D919),"'",""),"İ","I"),"ı","I"),"i","I"),"Ş","S"),"ş","S"),"Ğ","G"),"ğ","G"),"Ü","U"),"ü","U"),"Ö","O"),"ö","O"),"Ç","C"),"ç","C"),".",""),",","")," ",""),"-","")))</f>
        <v/>
      </c>
      <c r="S919" s="3">
        <f>IF($D919="","",$C919&amp;"|"&amp;TEXT($E919,"0")&amp;"|"&amp;TEXT($F919,"0")&amp;"|"&amp;$I919)</f>
        <v/>
      </c>
      <c r="T919" s="3">
        <f>IF($E919="",0,SUMPRODUCT((AY_SONU!$O$7:$O$42="Evet")*(AY_SONU!$B$7:$B$42=DATE(YEAR($E919),MONTH($E919),1))))</f>
        <v/>
      </c>
    </row>
    <row r="920">
      <c r="A920" s="6" t="n"/>
      <c r="B920" s="113">
        <f>IF($D920="","","T"&amp;TEXT(ROW()-6,"00000"))</f>
        <v/>
      </c>
      <c r="C920" s="113">
        <f>IF($D920="","",IFERROR(INDEX(MUSTERILER!$B$7:$B$106,MATCH($R920,MUSTERILER!$T$7:$T$106,0)),IFERROR(INDEX(MUSTERILER!$B$7:$B$106,MATCH($D920,MUSTERILER!$B$7:$B$106,0)),IFERROR(INDEX(MUSTERILER!$B$7:$B$106,MATCH($R920&amp;"*",MUSTERILER!$T$7:$T$106,0)),"TANIMSIZ MÜŞTERİ"))))</f>
        <v/>
      </c>
      <c r="D920" s="109" t="n"/>
      <c r="E920" s="220" t="n"/>
      <c r="F920" s="221" t="n"/>
      <c r="G920" s="108" t="n"/>
      <c r="H920" s="108" t="n"/>
      <c r="I920" s="109" t="n"/>
      <c r="J920" s="109" t="n"/>
      <c r="K920" s="109" t="n"/>
      <c r="L920" s="226">
        <f>IF($E920="","",DATE(YEAR($E920),MONTH($E920),1))</f>
        <v/>
      </c>
      <c r="M920" s="113">
        <f>IF($D920="","",IF($C920="TANIMSIZ MÜŞTERİ","HATA",IF(OR($E920="",$F920&lt;=0,$G920=""),"EKSİK",IF($E920&gt;TODAY(),"İLERİ TARİH",IF(COUNTIF($S$7:$S$1506,$S920)&gt;1,"MÜKERRER?",IF($T920&gt;0,"KAPALI DÖNEM","UYGUN"))))))</f>
        <v/>
      </c>
      <c r="N920" s="121">
        <f>IF($C920="","",IF($C920="TANIMSIZ MÜŞTERİ","—",INDEX(MUSTERILER!$C$7:$C$106,MATCH($C920,MUSTERILER!$B$7:$B$106,0))))</f>
        <v/>
      </c>
      <c r="O920" s="6" t="n"/>
      <c r="P920" s="6" t="n"/>
      <c r="Q920" s="3">
        <f>IF($D920="","",$C920&amp;"|"&amp;COUNTIFS($C$7:$C920,$C920))</f>
        <v/>
      </c>
      <c r="R920" s="3">
        <f>IF($D920="","",UPPER(SUBSTITUTE(SUBSTITUTE(SUBSTITUTE(SUBSTITUTE(SUBSTITUTE(SUBSTITUTE(SUBSTITUTE(SUBSTITUTE(SUBSTITUTE(SUBSTITUTE(SUBSTITUTE(SUBSTITUTE(SUBSTITUTE(SUBSTITUTE(SUBSTITUTE(SUBSTITUTE(SUBSTITUTE(SUBSTITUTE(TRIM($D920),"'",""),"İ","I"),"ı","I"),"i","I"),"Ş","S"),"ş","S"),"Ğ","G"),"ğ","G"),"Ü","U"),"ü","U"),"Ö","O"),"ö","O"),"Ç","C"),"ç","C"),".",""),",","")," ",""),"-","")))</f>
        <v/>
      </c>
      <c r="S920" s="3">
        <f>IF($D920="","",$C920&amp;"|"&amp;TEXT($E920,"0")&amp;"|"&amp;TEXT($F920,"0")&amp;"|"&amp;$I920)</f>
        <v/>
      </c>
      <c r="T920" s="3">
        <f>IF($E920="",0,SUMPRODUCT((AY_SONU!$O$7:$O$42="Evet")*(AY_SONU!$B$7:$B$42=DATE(YEAR($E920),MONTH($E920),1))))</f>
        <v/>
      </c>
    </row>
    <row r="921">
      <c r="A921" s="6" t="n"/>
      <c r="B921" s="113">
        <f>IF($D921="","","T"&amp;TEXT(ROW()-6,"00000"))</f>
        <v/>
      </c>
      <c r="C921" s="113">
        <f>IF($D921="","",IFERROR(INDEX(MUSTERILER!$B$7:$B$106,MATCH($R921,MUSTERILER!$T$7:$T$106,0)),IFERROR(INDEX(MUSTERILER!$B$7:$B$106,MATCH($D921,MUSTERILER!$B$7:$B$106,0)),IFERROR(INDEX(MUSTERILER!$B$7:$B$106,MATCH($R921&amp;"*",MUSTERILER!$T$7:$T$106,0)),"TANIMSIZ MÜŞTERİ"))))</f>
        <v/>
      </c>
      <c r="D921" s="109" t="n"/>
      <c r="E921" s="220" t="n"/>
      <c r="F921" s="221" t="n"/>
      <c r="G921" s="108" t="n"/>
      <c r="H921" s="108" t="n"/>
      <c r="I921" s="109" t="n"/>
      <c r="J921" s="109" t="n"/>
      <c r="K921" s="109" t="n"/>
      <c r="L921" s="226">
        <f>IF($E921="","",DATE(YEAR($E921),MONTH($E921),1))</f>
        <v/>
      </c>
      <c r="M921" s="113">
        <f>IF($D921="","",IF($C921="TANIMSIZ MÜŞTERİ","HATA",IF(OR($E921="",$F921&lt;=0,$G921=""),"EKSİK",IF($E921&gt;TODAY(),"İLERİ TARİH",IF(COUNTIF($S$7:$S$1506,$S921)&gt;1,"MÜKERRER?",IF($T921&gt;0,"KAPALI DÖNEM","UYGUN"))))))</f>
        <v/>
      </c>
      <c r="N921" s="121">
        <f>IF($C921="","",IF($C921="TANIMSIZ MÜŞTERİ","—",INDEX(MUSTERILER!$C$7:$C$106,MATCH($C921,MUSTERILER!$B$7:$B$106,0))))</f>
        <v/>
      </c>
      <c r="O921" s="6" t="n"/>
      <c r="P921" s="6" t="n"/>
      <c r="Q921" s="3">
        <f>IF($D921="","",$C921&amp;"|"&amp;COUNTIFS($C$7:$C921,$C921))</f>
        <v/>
      </c>
      <c r="R921" s="3">
        <f>IF($D921="","",UPPER(SUBSTITUTE(SUBSTITUTE(SUBSTITUTE(SUBSTITUTE(SUBSTITUTE(SUBSTITUTE(SUBSTITUTE(SUBSTITUTE(SUBSTITUTE(SUBSTITUTE(SUBSTITUTE(SUBSTITUTE(SUBSTITUTE(SUBSTITUTE(SUBSTITUTE(SUBSTITUTE(SUBSTITUTE(SUBSTITUTE(TRIM($D921),"'",""),"İ","I"),"ı","I"),"i","I"),"Ş","S"),"ş","S"),"Ğ","G"),"ğ","G"),"Ü","U"),"ü","U"),"Ö","O"),"ö","O"),"Ç","C"),"ç","C"),".",""),",","")," ",""),"-","")))</f>
        <v/>
      </c>
      <c r="S921" s="3">
        <f>IF($D921="","",$C921&amp;"|"&amp;TEXT($E921,"0")&amp;"|"&amp;TEXT($F921,"0")&amp;"|"&amp;$I921)</f>
        <v/>
      </c>
      <c r="T921" s="3">
        <f>IF($E921="",0,SUMPRODUCT((AY_SONU!$O$7:$O$42="Evet")*(AY_SONU!$B$7:$B$42=DATE(YEAR($E921),MONTH($E921),1))))</f>
        <v/>
      </c>
    </row>
    <row r="922">
      <c r="A922" s="6" t="n"/>
      <c r="B922" s="113">
        <f>IF($D922="","","T"&amp;TEXT(ROW()-6,"00000"))</f>
        <v/>
      </c>
      <c r="C922" s="113">
        <f>IF($D922="","",IFERROR(INDEX(MUSTERILER!$B$7:$B$106,MATCH($R922,MUSTERILER!$T$7:$T$106,0)),IFERROR(INDEX(MUSTERILER!$B$7:$B$106,MATCH($D922,MUSTERILER!$B$7:$B$106,0)),IFERROR(INDEX(MUSTERILER!$B$7:$B$106,MATCH($R922&amp;"*",MUSTERILER!$T$7:$T$106,0)),"TANIMSIZ MÜŞTERİ"))))</f>
        <v/>
      </c>
      <c r="D922" s="109" t="n"/>
      <c r="E922" s="220" t="n"/>
      <c r="F922" s="221" t="n"/>
      <c r="G922" s="108" t="n"/>
      <c r="H922" s="108" t="n"/>
      <c r="I922" s="109" t="n"/>
      <c r="J922" s="109" t="n"/>
      <c r="K922" s="109" t="n"/>
      <c r="L922" s="226">
        <f>IF($E922="","",DATE(YEAR($E922),MONTH($E922),1))</f>
        <v/>
      </c>
      <c r="M922" s="113">
        <f>IF($D922="","",IF($C922="TANIMSIZ MÜŞTERİ","HATA",IF(OR($E922="",$F922&lt;=0,$G922=""),"EKSİK",IF($E922&gt;TODAY(),"İLERİ TARİH",IF(COUNTIF($S$7:$S$1506,$S922)&gt;1,"MÜKERRER?",IF($T922&gt;0,"KAPALI DÖNEM","UYGUN"))))))</f>
        <v/>
      </c>
      <c r="N922" s="121">
        <f>IF($C922="","",IF($C922="TANIMSIZ MÜŞTERİ","—",INDEX(MUSTERILER!$C$7:$C$106,MATCH($C922,MUSTERILER!$B$7:$B$106,0))))</f>
        <v/>
      </c>
      <c r="O922" s="6" t="n"/>
      <c r="P922" s="6" t="n"/>
      <c r="Q922" s="3">
        <f>IF($D922="","",$C922&amp;"|"&amp;COUNTIFS($C$7:$C922,$C922))</f>
        <v/>
      </c>
      <c r="R922" s="3">
        <f>IF($D922="","",UPPER(SUBSTITUTE(SUBSTITUTE(SUBSTITUTE(SUBSTITUTE(SUBSTITUTE(SUBSTITUTE(SUBSTITUTE(SUBSTITUTE(SUBSTITUTE(SUBSTITUTE(SUBSTITUTE(SUBSTITUTE(SUBSTITUTE(SUBSTITUTE(SUBSTITUTE(SUBSTITUTE(SUBSTITUTE(SUBSTITUTE(TRIM($D922),"'",""),"İ","I"),"ı","I"),"i","I"),"Ş","S"),"ş","S"),"Ğ","G"),"ğ","G"),"Ü","U"),"ü","U"),"Ö","O"),"ö","O"),"Ç","C"),"ç","C"),".",""),",","")," ",""),"-","")))</f>
        <v/>
      </c>
      <c r="S922" s="3">
        <f>IF($D922="","",$C922&amp;"|"&amp;TEXT($E922,"0")&amp;"|"&amp;TEXT($F922,"0")&amp;"|"&amp;$I922)</f>
        <v/>
      </c>
      <c r="T922" s="3">
        <f>IF($E922="",0,SUMPRODUCT((AY_SONU!$O$7:$O$42="Evet")*(AY_SONU!$B$7:$B$42=DATE(YEAR($E922),MONTH($E922),1))))</f>
        <v/>
      </c>
    </row>
    <row r="923">
      <c r="A923" s="6" t="n"/>
      <c r="B923" s="113">
        <f>IF($D923="","","T"&amp;TEXT(ROW()-6,"00000"))</f>
        <v/>
      </c>
      <c r="C923" s="113">
        <f>IF($D923="","",IFERROR(INDEX(MUSTERILER!$B$7:$B$106,MATCH($R923,MUSTERILER!$T$7:$T$106,0)),IFERROR(INDEX(MUSTERILER!$B$7:$B$106,MATCH($D923,MUSTERILER!$B$7:$B$106,0)),IFERROR(INDEX(MUSTERILER!$B$7:$B$106,MATCH($R923&amp;"*",MUSTERILER!$T$7:$T$106,0)),"TANIMSIZ MÜŞTERİ"))))</f>
        <v/>
      </c>
      <c r="D923" s="109" t="n"/>
      <c r="E923" s="220" t="n"/>
      <c r="F923" s="221" t="n"/>
      <c r="G923" s="108" t="n"/>
      <c r="H923" s="108" t="n"/>
      <c r="I923" s="109" t="n"/>
      <c r="J923" s="109" t="n"/>
      <c r="K923" s="109" t="n"/>
      <c r="L923" s="226">
        <f>IF($E923="","",DATE(YEAR($E923),MONTH($E923),1))</f>
        <v/>
      </c>
      <c r="M923" s="113">
        <f>IF($D923="","",IF($C923="TANIMSIZ MÜŞTERİ","HATA",IF(OR($E923="",$F923&lt;=0,$G923=""),"EKSİK",IF($E923&gt;TODAY(),"İLERİ TARİH",IF(COUNTIF($S$7:$S$1506,$S923)&gt;1,"MÜKERRER?",IF($T923&gt;0,"KAPALI DÖNEM","UYGUN"))))))</f>
        <v/>
      </c>
      <c r="N923" s="121">
        <f>IF($C923="","",IF($C923="TANIMSIZ MÜŞTERİ","—",INDEX(MUSTERILER!$C$7:$C$106,MATCH($C923,MUSTERILER!$B$7:$B$106,0))))</f>
        <v/>
      </c>
      <c r="O923" s="6" t="n"/>
      <c r="P923" s="6" t="n"/>
      <c r="Q923" s="3">
        <f>IF($D923="","",$C923&amp;"|"&amp;COUNTIFS($C$7:$C923,$C923))</f>
        <v/>
      </c>
      <c r="R923" s="3">
        <f>IF($D923="","",UPPER(SUBSTITUTE(SUBSTITUTE(SUBSTITUTE(SUBSTITUTE(SUBSTITUTE(SUBSTITUTE(SUBSTITUTE(SUBSTITUTE(SUBSTITUTE(SUBSTITUTE(SUBSTITUTE(SUBSTITUTE(SUBSTITUTE(SUBSTITUTE(SUBSTITUTE(SUBSTITUTE(SUBSTITUTE(SUBSTITUTE(TRIM($D923),"'",""),"İ","I"),"ı","I"),"i","I"),"Ş","S"),"ş","S"),"Ğ","G"),"ğ","G"),"Ü","U"),"ü","U"),"Ö","O"),"ö","O"),"Ç","C"),"ç","C"),".",""),",","")," ",""),"-","")))</f>
        <v/>
      </c>
      <c r="S923" s="3">
        <f>IF($D923="","",$C923&amp;"|"&amp;TEXT($E923,"0")&amp;"|"&amp;TEXT($F923,"0")&amp;"|"&amp;$I923)</f>
        <v/>
      </c>
      <c r="T923" s="3">
        <f>IF($E923="",0,SUMPRODUCT((AY_SONU!$O$7:$O$42="Evet")*(AY_SONU!$B$7:$B$42=DATE(YEAR($E923),MONTH($E923),1))))</f>
        <v/>
      </c>
    </row>
    <row r="924">
      <c r="A924" s="6" t="n"/>
      <c r="B924" s="113">
        <f>IF($D924="","","T"&amp;TEXT(ROW()-6,"00000"))</f>
        <v/>
      </c>
      <c r="C924" s="113">
        <f>IF($D924="","",IFERROR(INDEX(MUSTERILER!$B$7:$B$106,MATCH($R924,MUSTERILER!$T$7:$T$106,0)),IFERROR(INDEX(MUSTERILER!$B$7:$B$106,MATCH($D924,MUSTERILER!$B$7:$B$106,0)),IFERROR(INDEX(MUSTERILER!$B$7:$B$106,MATCH($R924&amp;"*",MUSTERILER!$T$7:$T$106,0)),"TANIMSIZ MÜŞTERİ"))))</f>
        <v/>
      </c>
      <c r="D924" s="109" t="n"/>
      <c r="E924" s="220" t="n"/>
      <c r="F924" s="221" t="n"/>
      <c r="G924" s="108" t="n"/>
      <c r="H924" s="108" t="n"/>
      <c r="I924" s="109" t="n"/>
      <c r="J924" s="109" t="n"/>
      <c r="K924" s="109" t="n"/>
      <c r="L924" s="226">
        <f>IF($E924="","",DATE(YEAR($E924),MONTH($E924),1))</f>
        <v/>
      </c>
      <c r="M924" s="113">
        <f>IF($D924="","",IF($C924="TANIMSIZ MÜŞTERİ","HATA",IF(OR($E924="",$F924&lt;=0,$G924=""),"EKSİK",IF($E924&gt;TODAY(),"İLERİ TARİH",IF(COUNTIF($S$7:$S$1506,$S924)&gt;1,"MÜKERRER?",IF($T924&gt;0,"KAPALI DÖNEM","UYGUN"))))))</f>
        <v/>
      </c>
      <c r="N924" s="121">
        <f>IF($C924="","",IF($C924="TANIMSIZ MÜŞTERİ","—",INDEX(MUSTERILER!$C$7:$C$106,MATCH($C924,MUSTERILER!$B$7:$B$106,0))))</f>
        <v/>
      </c>
      <c r="O924" s="6" t="n"/>
      <c r="P924" s="6" t="n"/>
      <c r="Q924" s="3">
        <f>IF($D924="","",$C924&amp;"|"&amp;COUNTIFS($C$7:$C924,$C924))</f>
        <v/>
      </c>
      <c r="R924" s="3">
        <f>IF($D924="","",UPPER(SUBSTITUTE(SUBSTITUTE(SUBSTITUTE(SUBSTITUTE(SUBSTITUTE(SUBSTITUTE(SUBSTITUTE(SUBSTITUTE(SUBSTITUTE(SUBSTITUTE(SUBSTITUTE(SUBSTITUTE(SUBSTITUTE(SUBSTITUTE(SUBSTITUTE(SUBSTITUTE(SUBSTITUTE(SUBSTITUTE(TRIM($D924),"'",""),"İ","I"),"ı","I"),"i","I"),"Ş","S"),"ş","S"),"Ğ","G"),"ğ","G"),"Ü","U"),"ü","U"),"Ö","O"),"ö","O"),"Ç","C"),"ç","C"),".",""),",","")," ",""),"-","")))</f>
        <v/>
      </c>
      <c r="S924" s="3">
        <f>IF($D924="","",$C924&amp;"|"&amp;TEXT($E924,"0")&amp;"|"&amp;TEXT($F924,"0")&amp;"|"&amp;$I924)</f>
        <v/>
      </c>
      <c r="T924" s="3">
        <f>IF($E924="",0,SUMPRODUCT((AY_SONU!$O$7:$O$42="Evet")*(AY_SONU!$B$7:$B$42=DATE(YEAR($E924),MONTH($E924),1))))</f>
        <v/>
      </c>
    </row>
    <row r="925">
      <c r="A925" s="6" t="n"/>
      <c r="B925" s="113">
        <f>IF($D925="","","T"&amp;TEXT(ROW()-6,"00000"))</f>
        <v/>
      </c>
      <c r="C925" s="113">
        <f>IF($D925="","",IFERROR(INDEX(MUSTERILER!$B$7:$B$106,MATCH($R925,MUSTERILER!$T$7:$T$106,0)),IFERROR(INDEX(MUSTERILER!$B$7:$B$106,MATCH($D925,MUSTERILER!$B$7:$B$106,0)),IFERROR(INDEX(MUSTERILER!$B$7:$B$106,MATCH($R925&amp;"*",MUSTERILER!$T$7:$T$106,0)),"TANIMSIZ MÜŞTERİ"))))</f>
        <v/>
      </c>
      <c r="D925" s="109" t="n"/>
      <c r="E925" s="220" t="n"/>
      <c r="F925" s="221" t="n"/>
      <c r="G925" s="108" t="n"/>
      <c r="H925" s="108" t="n"/>
      <c r="I925" s="109" t="n"/>
      <c r="J925" s="109" t="n"/>
      <c r="K925" s="109" t="n"/>
      <c r="L925" s="226">
        <f>IF($E925="","",DATE(YEAR($E925),MONTH($E925),1))</f>
        <v/>
      </c>
      <c r="M925" s="113">
        <f>IF($D925="","",IF($C925="TANIMSIZ MÜŞTERİ","HATA",IF(OR($E925="",$F925&lt;=0,$G925=""),"EKSİK",IF($E925&gt;TODAY(),"İLERİ TARİH",IF(COUNTIF($S$7:$S$1506,$S925)&gt;1,"MÜKERRER?",IF($T925&gt;0,"KAPALI DÖNEM","UYGUN"))))))</f>
        <v/>
      </c>
      <c r="N925" s="121">
        <f>IF($C925="","",IF($C925="TANIMSIZ MÜŞTERİ","—",INDEX(MUSTERILER!$C$7:$C$106,MATCH($C925,MUSTERILER!$B$7:$B$106,0))))</f>
        <v/>
      </c>
      <c r="O925" s="6" t="n"/>
      <c r="P925" s="6" t="n"/>
      <c r="Q925" s="3">
        <f>IF($D925="","",$C925&amp;"|"&amp;COUNTIFS($C$7:$C925,$C925))</f>
        <v/>
      </c>
      <c r="R925" s="3">
        <f>IF($D925="","",UPPER(SUBSTITUTE(SUBSTITUTE(SUBSTITUTE(SUBSTITUTE(SUBSTITUTE(SUBSTITUTE(SUBSTITUTE(SUBSTITUTE(SUBSTITUTE(SUBSTITUTE(SUBSTITUTE(SUBSTITUTE(SUBSTITUTE(SUBSTITUTE(SUBSTITUTE(SUBSTITUTE(SUBSTITUTE(SUBSTITUTE(TRIM($D925),"'",""),"İ","I"),"ı","I"),"i","I"),"Ş","S"),"ş","S"),"Ğ","G"),"ğ","G"),"Ü","U"),"ü","U"),"Ö","O"),"ö","O"),"Ç","C"),"ç","C"),".",""),",","")," ",""),"-","")))</f>
        <v/>
      </c>
      <c r="S925" s="3">
        <f>IF($D925="","",$C925&amp;"|"&amp;TEXT($E925,"0")&amp;"|"&amp;TEXT($F925,"0")&amp;"|"&amp;$I925)</f>
        <v/>
      </c>
      <c r="T925" s="3">
        <f>IF($E925="",0,SUMPRODUCT((AY_SONU!$O$7:$O$42="Evet")*(AY_SONU!$B$7:$B$42=DATE(YEAR($E925),MONTH($E925),1))))</f>
        <v/>
      </c>
    </row>
    <row r="926">
      <c r="A926" s="6" t="n"/>
      <c r="B926" s="113">
        <f>IF($D926="","","T"&amp;TEXT(ROW()-6,"00000"))</f>
        <v/>
      </c>
      <c r="C926" s="113">
        <f>IF($D926="","",IFERROR(INDEX(MUSTERILER!$B$7:$B$106,MATCH($R926,MUSTERILER!$T$7:$T$106,0)),IFERROR(INDEX(MUSTERILER!$B$7:$B$106,MATCH($D926,MUSTERILER!$B$7:$B$106,0)),IFERROR(INDEX(MUSTERILER!$B$7:$B$106,MATCH($R926&amp;"*",MUSTERILER!$T$7:$T$106,0)),"TANIMSIZ MÜŞTERİ"))))</f>
        <v/>
      </c>
      <c r="D926" s="109" t="n"/>
      <c r="E926" s="220" t="n"/>
      <c r="F926" s="221" t="n"/>
      <c r="G926" s="108" t="n"/>
      <c r="H926" s="108" t="n"/>
      <c r="I926" s="109" t="n"/>
      <c r="J926" s="109" t="n"/>
      <c r="K926" s="109" t="n"/>
      <c r="L926" s="226">
        <f>IF($E926="","",DATE(YEAR($E926),MONTH($E926),1))</f>
        <v/>
      </c>
      <c r="M926" s="113">
        <f>IF($D926="","",IF($C926="TANIMSIZ MÜŞTERİ","HATA",IF(OR($E926="",$F926&lt;=0,$G926=""),"EKSİK",IF($E926&gt;TODAY(),"İLERİ TARİH",IF(COUNTIF($S$7:$S$1506,$S926)&gt;1,"MÜKERRER?",IF($T926&gt;0,"KAPALI DÖNEM","UYGUN"))))))</f>
        <v/>
      </c>
      <c r="N926" s="121">
        <f>IF($C926="","",IF($C926="TANIMSIZ MÜŞTERİ","—",INDEX(MUSTERILER!$C$7:$C$106,MATCH($C926,MUSTERILER!$B$7:$B$106,0))))</f>
        <v/>
      </c>
      <c r="O926" s="6" t="n"/>
      <c r="P926" s="6" t="n"/>
      <c r="Q926" s="3">
        <f>IF($D926="","",$C926&amp;"|"&amp;COUNTIFS($C$7:$C926,$C926))</f>
        <v/>
      </c>
      <c r="R926" s="3">
        <f>IF($D926="","",UPPER(SUBSTITUTE(SUBSTITUTE(SUBSTITUTE(SUBSTITUTE(SUBSTITUTE(SUBSTITUTE(SUBSTITUTE(SUBSTITUTE(SUBSTITUTE(SUBSTITUTE(SUBSTITUTE(SUBSTITUTE(SUBSTITUTE(SUBSTITUTE(SUBSTITUTE(SUBSTITUTE(SUBSTITUTE(SUBSTITUTE(TRIM($D926),"'",""),"İ","I"),"ı","I"),"i","I"),"Ş","S"),"ş","S"),"Ğ","G"),"ğ","G"),"Ü","U"),"ü","U"),"Ö","O"),"ö","O"),"Ç","C"),"ç","C"),".",""),",","")," ",""),"-","")))</f>
        <v/>
      </c>
      <c r="S926" s="3">
        <f>IF($D926="","",$C926&amp;"|"&amp;TEXT($E926,"0")&amp;"|"&amp;TEXT($F926,"0")&amp;"|"&amp;$I926)</f>
        <v/>
      </c>
      <c r="T926" s="3">
        <f>IF($E926="",0,SUMPRODUCT((AY_SONU!$O$7:$O$42="Evet")*(AY_SONU!$B$7:$B$42=DATE(YEAR($E926),MONTH($E926),1))))</f>
        <v/>
      </c>
    </row>
    <row r="927">
      <c r="A927" s="6" t="n"/>
      <c r="B927" s="113">
        <f>IF($D927="","","T"&amp;TEXT(ROW()-6,"00000"))</f>
        <v/>
      </c>
      <c r="C927" s="113">
        <f>IF($D927="","",IFERROR(INDEX(MUSTERILER!$B$7:$B$106,MATCH($R927,MUSTERILER!$T$7:$T$106,0)),IFERROR(INDEX(MUSTERILER!$B$7:$B$106,MATCH($D927,MUSTERILER!$B$7:$B$106,0)),IFERROR(INDEX(MUSTERILER!$B$7:$B$106,MATCH($R927&amp;"*",MUSTERILER!$T$7:$T$106,0)),"TANIMSIZ MÜŞTERİ"))))</f>
        <v/>
      </c>
      <c r="D927" s="109" t="n"/>
      <c r="E927" s="220" t="n"/>
      <c r="F927" s="221" t="n"/>
      <c r="G927" s="108" t="n"/>
      <c r="H927" s="108" t="n"/>
      <c r="I927" s="109" t="n"/>
      <c r="J927" s="109" t="n"/>
      <c r="K927" s="109" t="n"/>
      <c r="L927" s="226">
        <f>IF($E927="","",DATE(YEAR($E927),MONTH($E927),1))</f>
        <v/>
      </c>
      <c r="M927" s="113">
        <f>IF($D927="","",IF($C927="TANIMSIZ MÜŞTERİ","HATA",IF(OR($E927="",$F927&lt;=0,$G927=""),"EKSİK",IF($E927&gt;TODAY(),"İLERİ TARİH",IF(COUNTIF($S$7:$S$1506,$S927)&gt;1,"MÜKERRER?",IF($T927&gt;0,"KAPALI DÖNEM","UYGUN"))))))</f>
        <v/>
      </c>
      <c r="N927" s="121">
        <f>IF($C927="","",IF($C927="TANIMSIZ MÜŞTERİ","—",INDEX(MUSTERILER!$C$7:$C$106,MATCH($C927,MUSTERILER!$B$7:$B$106,0))))</f>
        <v/>
      </c>
      <c r="O927" s="6" t="n"/>
      <c r="P927" s="6" t="n"/>
      <c r="Q927" s="3">
        <f>IF($D927="","",$C927&amp;"|"&amp;COUNTIFS($C$7:$C927,$C927))</f>
        <v/>
      </c>
      <c r="R927" s="3">
        <f>IF($D927="","",UPPER(SUBSTITUTE(SUBSTITUTE(SUBSTITUTE(SUBSTITUTE(SUBSTITUTE(SUBSTITUTE(SUBSTITUTE(SUBSTITUTE(SUBSTITUTE(SUBSTITUTE(SUBSTITUTE(SUBSTITUTE(SUBSTITUTE(SUBSTITUTE(SUBSTITUTE(SUBSTITUTE(SUBSTITUTE(SUBSTITUTE(TRIM($D927),"'",""),"İ","I"),"ı","I"),"i","I"),"Ş","S"),"ş","S"),"Ğ","G"),"ğ","G"),"Ü","U"),"ü","U"),"Ö","O"),"ö","O"),"Ç","C"),"ç","C"),".",""),",","")," ",""),"-","")))</f>
        <v/>
      </c>
      <c r="S927" s="3">
        <f>IF($D927="","",$C927&amp;"|"&amp;TEXT($E927,"0")&amp;"|"&amp;TEXT($F927,"0")&amp;"|"&amp;$I927)</f>
        <v/>
      </c>
      <c r="T927" s="3">
        <f>IF($E927="",0,SUMPRODUCT((AY_SONU!$O$7:$O$42="Evet")*(AY_SONU!$B$7:$B$42=DATE(YEAR($E927),MONTH($E927),1))))</f>
        <v/>
      </c>
    </row>
    <row r="928">
      <c r="A928" s="6" t="n"/>
      <c r="B928" s="113">
        <f>IF($D928="","","T"&amp;TEXT(ROW()-6,"00000"))</f>
        <v/>
      </c>
      <c r="C928" s="113">
        <f>IF($D928="","",IFERROR(INDEX(MUSTERILER!$B$7:$B$106,MATCH($R928,MUSTERILER!$T$7:$T$106,0)),IFERROR(INDEX(MUSTERILER!$B$7:$B$106,MATCH($D928,MUSTERILER!$B$7:$B$106,0)),IFERROR(INDEX(MUSTERILER!$B$7:$B$106,MATCH($R928&amp;"*",MUSTERILER!$T$7:$T$106,0)),"TANIMSIZ MÜŞTERİ"))))</f>
        <v/>
      </c>
      <c r="D928" s="109" t="n"/>
      <c r="E928" s="220" t="n"/>
      <c r="F928" s="221" t="n"/>
      <c r="G928" s="108" t="n"/>
      <c r="H928" s="108" t="n"/>
      <c r="I928" s="109" t="n"/>
      <c r="J928" s="109" t="n"/>
      <c r="K928" s="109" t="n"/>
      <c r="L928" s="226">
        <f>IF($E928="","",DATE(YEAR($E928),MONTH($E928),1))</f>
        <v/>
      </c>
      <c r="M928" s="113">
        <f>IF($D928="","",IF($C928="TANIMSIZ MÜŞTERİ","HATA",IF(OR($E928="",$F928&lt;=0,$G928=""),"EKSİK",IF($E928&gt;TODAY(),"İLERİ TARİH",IF(COUNTIF($S$7:$S$1506,$S928)&gt;1,"MÜKERRER?",IF($T928&gt;0,"KAPALI DÖNEM","UYGUN"))))))</f>
        <v/>
      </c>
      <c r="N928" s="121">
        <f>IF($C928="","",IF($C928="TANIMSIZ MÜŞTERİ","—",INDEX(MUSTERILER!$C$7:$C$106,MATCH($C928,MUSTERILER!$B$7:$B$106,0))))</f>
        <v/>
      </c>
      <c r="O928" s="6" t="n"/>
      <c r="P928" s="6" t="n"/>
      <c r="Q928" s="3">
        <f>IF($D928="","",$C928&amp;"|"&amp;COUNTIFS($C$7:$C928,$C928))</f>
        <v/>
      </c>
      <c r="R928" s="3">
        <f>IF($D928="","",UPPER(SUBSTITUTE(SUBSTITUTE(SUBSTITUTE(SUBSTITUTE(SUBSTITUTE(SUBSTITUTE(SUBSTITUTE(SUBSTITUTE(SUBSTITUTE(SUBSTITUTE(SUBSTITUTE(SUBSTITUTE(SUBSTITUTE(SUBSTITUTE(SUBSTITUTE(SUBSTITUTE(SUBSTITUTE(SUBSTITUTE(TRIM($D928),"'",""),"İ","I"),"ı","I"),"i","I"),"Ş","S"),"ş","S"),"Ğ","G"),"ğ","G"),"Ü","U"),"ü","U"),"Ö","O"),"ö","O"),"Ç","C"),"ç","C"),".",""),",","")," ",""),"-","")))</f>
        <v/>
      </c>
      <c r="S928" s="3">
        <f>IF($D928="","",$C928&amp;"|"&amp;TEXT($E928,"0")&amp;"|"&amp;TEXT($F928,"0")&amp;"|"&amp;$I928)</f>
        <v/>
      </c>
      <c r="T928" s="3">
        <f>IF($E928="",0,SUMPRODUCT((AY_SONU!$O$7:$O$42="Evet")*(AY_SONU!$B$7:$B$42=DATE(YEAR($E928),MONTH($E928),1))))</f>
        <v/>
      </c>
    </row>
    <row r="929">
      <c r="A929" s="6" t="n"/>
      <c r="B929" s="113">
        <f>IF($D929="","","T"&amp;TEXT(ROW()-6,"00000"))</f>
        <v/>
      </c>
      <c r="C929" s="113">
        <f>IF($D929="","",IFERROR(INDEX(MUSTERILER!$B$7:$B$106,MATCH($R929,MUSTERILER!$T$7:$T$106,0)),IFERROR(INDEX(MUSTERILER!$B$7:$B$106,MATCH($D929,MUSTERILER!$B$7:$B$106,0)),IFERROR(INDEX(MUSTERILER!$B$7:$B$106,MATCH($R929&amp;"*",MUSTERILER!$T$7:$T$106,0)),"TANIMSIZ MÜŞTERİ"))))</f>
        <v/>
      </c>
      <c r="D929" s="109" t="n"/>
      <c r="E929" s="220" t="n"/>
      <c r="F929" s="221" t="n"/>
      <c r="G929" s="108" t="n"/>
      <c r="H929" s="108" t="n"/>
      <c r="I929" s="109" t="n"/>
      <c r="J929" s="109" t="n"/>
      <c r="K929" s="109" t="n"/>
      <c r="L929" s="226">
        <f>IF($E929="","",DATE(YEAR($E929),MONTH($E929),1))</f>
        <v/>
      </c>
      <c r="M929" s="113">
        <f>IF($D929="","",IF($C929="TANIMSIZ MÜŞTERİ","HATA",IF(OR($E929="",$F929&lt;=0,$G929=""),"EKSİK",IF($E929&gt;TODAY(),"İLERİ TARİH",IF(COUNTIF($S$7:$S$1506,$S929)&gt;1,"MÜKERRER?",IF($T929&gt;0,"KAPALI DÖNEM","UYGUN"))))))</f>
        <v/>
      </c>
      <c r="N929" s="121">
        <f>IF($C929="","",IF($C929="TANIMSIZ MÜŞTERİ","—",INDEX(MUSTERILER!$C$7:$C$106,MATCH($C929,MUSTERILER!$B$7:$B$106,0))))</f>
        <v/>
      </c>
      <c r="O929" s="6" t="n"/>
      <c r="P929" s="6" t="n"/>
      <c r="Q929" s="3">
        <f>IF($D929="","",$C929&amp;"|"&amp;COUNTIFS($C$7:$C929,$C929))</f>
        <v/>
      </c>
      <c r="R929" s="3">
        <f>IF($D929="","",UPPER(SUBSTITUTE(SUBSTITUTE(SUBSTITUTE(SUBSTITUTE(SUBSTITUTE(SUBSTITUTE(SUBSTITUTE(SUBSTITUTE(SUBSTITUTE(SUBSTITUTE(SUBSTITUTE(SUBSTITUTE(SUBSTITUTE(SUBSTITUTE(SUBSTITUTE(SUBSTITUTE(SUBSTITUTE(SUBSTITUTE(TRIM($D929),"'",""),"İ","I"),"ı","I"),"i","I"),"Ş","S"),"ş","S"),"Ğ","G"),"ğ","G"),"Ü","U"),"ü","U"),"Ö","O"),"ö","O"),"Ç","C"),"ç","C"),".",""),",","")," ",""),"-","")))</f>
        <v/>
      </c>
      <c r="S929" s="3">
        <f>IF($D929="","",$C929&amp;"|"&amp;TEXT($E929,"0")&amp;"|"&amp;TEXT($F929,"0")&amp;"|"&amp;$I929)</f>
        <v/>
      </c>
      <c r="T929" s="3">
        <f>IF($E929="",0,SUMPRODUCT((AY_SONU!$O$7:$O$42="Evet")*(AY_SONU!$B$7:$B$42=DATE(YEAR($E929),MONTH($E929),1))))</f>
        <v/>
      </c>
    </row>
    <row r="930">
      <c r="A930" s="6" t="n"/>
      <c r="B930" s="113">
        <f>IF($D930="","","T"&amp;TEXT(ROW()-6,"00000"))</f>
        <v/>
      </c>
      <c r="C930" s="113">
        <f>IF($D930="","",IFERROR(INDEX(MUSTERILER!$B$7:$B$106,MATCH($R930,MUSTERILER!$T$7:$T$106,0)),IFERROR(INDEX(MUSTERILER!$B$7:$B$106,MATCH($D930,MUSTERILER!$B$7:$B$106,0)),IFERROR(INDEX(MUSTERILER!$B$7:$B$106,MATCH($R930&amp;"*",MUSTERILER!$T$7:$T$106,0)),"TANIMSIZ MÜŞTERİ"))))</f>
        <v/>
      </c>
      <c r="D930" s="109" t="n"/>
      <c r="E930" s="220" t="n"/>
      <c r="F930" s="221" t="n"/>
      <c r="G930" s="108" t="n"/>
      <c r="H930" s="108" t="n"/>
      <c r="I930" s="109" t="n"/>
      <c r="J930" s="109" t="n"/>
      <c r="K930" s="109" t="n"/>
      <c r="L930" s="226">
        <f>IF($E930="","",DATE(YEAR($E930),MONTH($E930),1))</f>
        <v/>
      </c>
      <c r="M930" s="113">
        <f>IF($D930="","",IF($C930="TANIMSIZ MÜŞTERİ","HATA",IF(OR($E930="",$F930&lt;=0,$G930=""),"EKSİK",IF($E930&gt;TODAY(),"İLERİ TARİH",IF(COUNTIF($S$7:$S$1506,$S930)&gt;1,"MÜKERRER?",IF($T930&gt;0,"KAPALI DÖNEM","UYGUN"))))))</f>
        <v/>
      </c>
      <c r="N930" s="121">
        <f>IF($C930="","",IF($C930="TANIMSIZ MÜŞTERİ","—",INDEX(MUSTERILER!$C$7:$C$106,MATCH($C930,MUSTERILER!$B$7:$B$106,0))))</f>
        <v/>
      </c>
      <c r="O930" s="6" t="n"/>
      <c r="P930" s="6" t="n"/>
      <c r="Q930" s="3">
        <f>IF($D930="","",$C930&amp;"|"&amp;COUNTIFS($C$7:$C930,$C930))</f>
        <v/>
      </c>
      <c r="R930" s="3">
        <f>IF($D930="","",UPPER(SUBSTITUTE(SUBSTITUTE(SUBSTITUTE(SUBSTITUTE(SUBSTITUTE(SUBSTITUTE(SUBSTITUTE(SUBSTITUTE(SUBSTITUTE(SUBSTITUTE(SUBSTITUTE(SUBSTITUTE(SUBSTITUTE(SUBSTITUTE(SUBSTITUTE(SUBSTITUTE(SUBSTITUTE(SUBSTITUTE(TRIM($D930),"'",""),"İ","I"),"ı","I"),"i","I"),"Ş","S"),"ş","S"),"Ğ","G"),"ğ","G"),"Ü","U"),"ü","U"),"Ö","O"),"ö","O"),"Ç","C"),"ç","C"),".",""),",","")," ",""),"-","")))</f>
        <v/>
      </c>
      <c r="S930" s="3">
        <f>IF($D930="","",$C930&amp;"|"&amp;TEXT($E930,"0")&amp;"|"&amp;TEXT($F930,"0")&amp;"|"&amp;$I930)</f>
        <v/>
      </c>
      <c r="T930" s="3">
        <f>IF($E930="",0,SUMPRODUCT((AY_SONU!$O$7:$O$42="Evet")*(AY_SONU!$B$7:$B$42=DATE(YEAR($E930),MONTH($E930),1))))</f>
        <v/>
      </c>
    </row>
    <row r="931">
      <c r="A931" s="6" t="n"/>
      <c r="B931" s="113">
        <f>IF($D931="","","T"&amp;TEXT(ROW()-6,"00000"))</f>
        <v/>
      </c>
      <c r="C931" s="113">
        <f>IF($D931="","",IFERROR(INDEX(MUSTERILER!$B$7:$B$106,MATCH($R931,MUSTERILER!$T$7:$T$106,0)),IFERROR(INDEX(MUSTERILER!$B$7:$B$106,MATCH($D931,MUSTERILER!$B$7:$B$106,0)),IFERROR(INDEX(MUSTERILER!$B$7:$B$106,MATCH($R931&amp;"*",MUSTERILER!$T$7:$T$106,0)),"TANIMSIZ MÜŞTERİ"))))</f>
        <v/>
      </c>
      <c r="D931" s="109" t="n"/>
      <c r="E931" s="220" t="n"/>
      <c r="F931" s="221" t="n"/>
      <c r="G931" s="108" t="n"/>
      <c r="H931" s="108" t="n"/>
      <c r="I931" s="109" t="n"/>
      <c r="J931" s="109" t="n"/>
      <c r="K931" s="109" t="n"/>
      <c r="L931" s="226">
        <f>IF($E931="","",DATE(YEAR($E931),MONTH($E931),1))</f>
        <v/>
      </c>
      <c r="M931" s="113">
        <f>IF($D931="","",IF($C931="TANIMSIZ MÜŞTERİ","HATA",IF(OR($E931="",$F931&lt;=0,$G931=""),"EKSİK",IF($E931&gt;TODAY(),"İLERİ TARİH",IF(COUNTIF($S$7:$S$1506,$S931)&gt;1,"MÜKERRER?",IF($T931&gt;0,"KAPALI DÖNEM","UYGUN"))))))</f>
        <v/>
      </c>
      <c r="N931" s="121">
        <f>IF($C931="","",IF($C931="TANIMSIZ MÜŞTERİ","—",INDEX(MUSTERILER!$C$7:$C$106,MATCH($C931,MUSTERILER!$B$7:$B$106,0))))</f>
        <v/>
      </c>
      <c r="O931" s="6" t="n"/>
      <c r="P931" s="6" t="n"/>
      <c r="Q931" s="3">
        <f>IF($D931="","",$C931&amp;"|"&amp;COUNTIFS($C$7:$C931,$C931))</f>
        <v/>
      </c>
      <c r="R931" s="3">
        <f>IF($D931="","",UPPER(SUBSTITUTE(SUBSTITUTE(SUBSTITUTE(SUBSTITUTE(SUBSTITUTE(SUBSTITUTE(SUBSTITUTE(SUBSTITUTE(SUBSTITUTE(SUBSTITUTE(SUBSTITUTE(SUBSTITUTE(SUBSTITUTE(SUBSTITUTE(SUBSTITUTE(SUBSTITUTE(SUBSTITUTE(SUBSTITUTE(TRIM($D931),"'",""),"İ","I"),"ı","I"),"i","I"),"Ş","S"),"ş","S"),"Ğ","G"),"ğ","G"),"Ü","U"),"ü","U"),"Ö","O"),"ö","O"),"Ç","C"),"ç","C"),".",""),",","")," ",""),"-","")))</f>
        <v/>
      </c>
      <c r="S931" s="3">
        <f>IF($D931="","",$C931&amp;"|"&amp;TEXT($E931,"0")&amp;"|"&amp;TEXT($F931,"0")&amp;"|"&amp;$I931)</f>
        <v/>
      </c>
      <c r="T931" s="3">
        <f>IF($E931="",0,SUMPRODUCT((AY_SONU!$O$7:$O$42="Evet")*(AY_SONU!$B$7:$B$42=DATE(YEAR($E931),MONTH($E931),1))))</f>
        <v/>
      </c>
    </row>
    <row r="932">
      <c r="A932" s="6" t="n"/>
      <c r="B932" s="113">
        <f>IF($D932="","","T"&amp;TEXT(ROW()-6,"00000"))</f>
        <v/>
      </c>
      <c r="C932" s="113">
        <f>IF($D932="","",IFERROR(INDEX(MUSTERILER!$B$7:$B$106,MATCH($R932,MUSTERILER!$T$7:$T$106,0)),IFERROR(INDEX(MUSTERILER!$B$7:$B$106,MATCH($D932,MUSTERILER!$B$7:$B$106,0)),IFERROR(INDEX(MUSTERILER!$B$7:$B$106,MATCH($R932&amp;"*",MUSTERILER!$T$7:$T$106,0)),"TANIMSIZ MÜŞTERİ"))))</f>
        <v/>
      </c>
      <c r="D932" s="109" t="n"/>
      <c r="E932" s="220" t="n"/>
      <c r="F932" s="221" t="n"/>
      <c r="G932" s="108" t="n"/>
      <c r="H932" s="108" t="n"/>
      <c r="I932" s="109" t="n"/>
      <c r="J932" s="109" t="n"/>
      <c r="K932" s="109" t="n"/>
      <c r="L932" s="226">
        <f>IF($E932="","",DATE(YEAR($E932),MONTH($E932),1))</f>
        <v/>
      </c>
      <c r="M932" s="113">
        <f>IF($D932="","",IF($C932="TANIMSIZ MÜŞTERİ","HATA",IF(OR($E932="",$F932&lt;=0,$G932=""),"EKSİK",IF($E932&gt;TODAY(),"İLERİ TARİH",IF(COUNTIF($S$7:$S$1506,$S932)&gt;1,"MÜKERRER?",IF($T932&gt;0,"KAPALI DÖNEM","UYGUN"))))))</f>
        <v/>
      </c>
      <c r="N932" s="121">
        <f>IF($C932="","",IF($C932="TANIMSIZ MÜŞTERİ","—",INDEX(MUSTERILER!$C$7:$C$106,MATCH($C932,MUSTERILER!$B$7:$B$106,0))))</f>
        <v/>
      </c>
      <c r="O932" s="6" t="n"/>
      <c r="P932" s="6" t="n"/>
      <c r="Q932" s="3">
        <f>IF($D932="","",$C932&amp;"|"&amp;COUNTIFS($C$7:$C932,$C932))</f>
        <v/>
      </c>
      <c r="R932" s="3">
        <f>IF($D932="","",UPPER(SUBSTITUTE(SUBSTITUTE(SUBSTITUTE(SUBSTITUTE(SUBSTITUTE(SUBSTITUTE(SUBSTITUTE(SUBSTITUTE(SUBSTITUTE(SUBSTITUTE(SUBSTITUTE(SUBSTITUTE(SUBSTITUTE(SUBSTITUTE(SUBSTITUTE(SUBSTITUTE(SUBSTITUTE(SUBSTITUTE(TRIM($D932),"'",""),"İ","I"),"ı","I"),"i","I"),"Ş","S"),"ş","S"),"Ğ","G"),"ğ","G"),"Ü","U"),"ü","U"),"Ö","O"),"ö","O"),"Ç","C"),"ç","C"),".",""),",","")," ",""),"-","")))</f>
        <v/>
      </c>
      <c r="S932" s="3">
        <f>IF($D932="","",$C932&amp;"|"&amp;TEXT($E932,"0")&amp;"|"&amp;TEXT($F932,"0")&amp;"|"&amp;$I932)</f>
        <v/>
      </c>
      <c r="T932" s="3">
        <f>IF($E932="",0,SUMPRODUCT((AY_SONU!$O$7:$O$42="Evet")*(AY_SONU!$B$7:$B$42=DATE(YEAR($E932),MONTH($E932),1))))</f>
        <v/>
      </c>
    </row>
    <row r="933">
      <c r="A933" s="6" t="n"/>
      <c r="B933" s="113">
        <f>IF($D933="","","T"&amp;TEXT(ROW()-6,"00000"))</f>
        <v/>
      </c>
      <c r="C933" s="113">
        <f>IF($D933="","",IFERROR(INDEX(MUSTERILER!$B$7:$B$106,MATCH($R933,MUSTERILER!$T$7:$T$106,0)),IFERROR(INDEX(MUSTERILER!$B$7:$B$106,MATCH($D933,MUSTERILER!$B$7:$B$106,0)),IFERROR(INDEX(MUSTERILER!$B$7:$B$106,MATCH($R933&amp;"*",MUSTERILER!$T$7:$T$106,0)),"TANIMSIZ MÜŞTERİ"))))</f>
        <v/>
      </c>
      <c r="D933" s="109" t="n"/>
      <c r="E933" s="220" t="n"/>
      <c r="F933" s="221" t="n"/>
      <c r="G933" s="108" t="n"/>
      <c r="H933" s="108" t="n"/>
      <c r="I933" s="109" t="n"/>
      <c r="J933" s="109" t="n"/>
      <c r="K933" s="109" t="n"/>
      <c r="L933" s="226">
        <f>IF($E933="","",DATE(YEAR($E933),MONTH($E933),1))</f>
        <v/>
      </c>
      <c r="M933" s="113">
        <f>IF($D933="","",IF($C933="TANIMSIZ MÜŞTERİ","HATA",IF(OR($E933="",$F933&lt;=0,$G933=""),"EKSİK",IF($E933&gt;TODAY(),"İLERİ TARİH",IF(COUNTIF($S$7:$S$1506,$S933)&gt;1,"MÜKERRER?",IF($T933&gt;0,"KAPALI DÖNEM","UYGUN"))))))</f>
        <v/>
      </c>
      <c r="N933" s="121">
        <f>IF($C933="","",IF($C933="TANIMSIZ MÜŞTERİ","—",INDEX(MUSTERILER!$C$7:$C$106,MATCH($C933,MUSTERILER!$B$7:$B$106,0))))</f>
        <v/>
      </c>
      <c r="O933" s="6" t="n"/>
      <c r="P933" s="6" t="n"/>
      <c r="Q933" s="3">
        <f>IF($D933="","",$C933&amp;"|"&amp;COUNTIFS($C$7:$C933,$C933))</f>
        <v/>
      </c>
      <c r="R933" s="3">
        <f>IF($D933="","",UPPER(SUBSTITUTE(SUBSTITUTE(SUBSTITUTE(SUBSTITUTE(SUBSTITUTE(SUBSTITUTE(SUBSTITUTE(SUBSTITUTE(SUBSTITUTE(SUBSTITUTE(SUBSTITUTE(SUBSTITUTE(SUBSTITUTE(SUBSTITUTE(SUBSTITUTE(SUBSTITUTE(SUBSTITUTE(SUBSTITUTE(TRIM($D933),"'",""),"İ","I"),"ı","I"),"i","I"),"Ş","S"),"ş","S"),"Ğ","G"),"ğ","G"),"Ü","U"),"ü","U"),"Ö","O"),"ö","O"),"Ç","C"),"ç","C"),".",""),",","")," ",""),"-","")))</f>
        <v/>
      </c>
      <c r="S933" s="3">
        <f>IF($D933="","",$C933&amp;"|"&amp;TEXT($E933,"0")&amp;"|"&amp;TEXT($F933,"0")&amp;"|"&amp;$I933)</f>
        <v/>
      </c>
      <c r="T933" s="3">
        <f>IF($E933="",0,SUMPRODUCT((AY_SONU!$O$7:$O$42="Evet")*(AY_SONU!$B$7:$B$42=DATE(YEAR($E933),MONTH($E933),1))))</f>
        <v/>
      </c>
    </row>
    <row r="934">
      <c r="A934" s="6" t="n"/>
      <c r="B934" s="113">
        <f>IF($D934="","","T"&amp;TEXT(ROW()-6,"00000"))</f>
        <v/>
      </c>
      <c r="C934" s="113">
        <f>IF($D934="","",IFERROR(INDEX(MUSTERILER!$B$7:$B$106,MATCH($R934,MUSTERILER!$T$7:$T$106,0)),IFERROR(INDEX(MUSTERILER!$B$7:$B$106,MATCH($D934,MUSTERILER!$B$7:$B$106,0)),IFERROR(INDEX(MUSTERILER!$B$7:$B$106,MATCH($R934&amp;"*",MUSTERILER!$T$7:$T$106,0)),"TANIMSIZ MÜŞTERİ"))))</f>
        <v/>
      </c>
      <c r="D934" s="109" t="n"/>
      <c r="E934" s="220" t="n"/>
      <c r="F934" s="221" t="n"/>
      <c r="G934" s="108" t="n"/>
      <c r="H934" s="108" t="n"/>
      <c r="I934" s="109" t="n"/>
      <c r="J934" s="109" t="n"/>
      <c r="K934" s="109" t="n"/>
      <c r="L934" s="226">
        <f>IF($E934="","",DATE(YEAR($E934),MONTH($E934),1))</f>
        <v/>
      </c>
      <c r="M934" s="113">
        <f>IF($D934="","",IF($C934="TANIMSIZ MÜŞTERİ","HATA",IF(OR($E934="",$F934&lt;=0,$G934=""),"EKSİK",IF($E934&gt;TODAY(),"İLERİ TARİH",IF(COUNTIF($S$7:$S$1506,$S934)&gt;1,"MÜKERRER?",IF($T934&gt;0,"KAPALI DÖNEM","UYGUN"))))))</f>
        <v/>
      </c>
      <c r="N934" s="121">
        <f>IF($C934="","",IF($C934="TANIMSIZ MÜŞTERİ","—",INDEX(MUSTERILER!$C$7:$C$106,MATCH($C934,MUSTERILER!$B$7:$B$106,0))))</f>
        <v/>
      </c>
      <c r="O934" s="6" t="n"/>
      <c r="P934" s="6" t="n"/>
      <c r="Q934" s="3">
        <f>IF($D934="","",$C934&amp;"|"&amp;COUNTIFS($C$7:$C934,$C934))</f>
        <v/>
      </c>
      <c r="R934" s="3">
        <f>IF($D934="","",UPPER(SUBSTITUTE(SUBSTITUTE(SUBSTITUTE(SUBSTITUTE(SUBSTITUTE(SUBSTITUTE(SUBSTITUTE(SUBSTITUTE(SUBSTITUTE(SUBSTITUTE(SUBSTITUTE(SUBSTITUTE(SUBSTITUTE(SUBSTITUTE(SUBSTITUTE(SUBSTITUTE(SUBSTITUTE(SUBSTITUTE(TRIM($D934),"'",""),"İ","I"),"ı","I"),"i","I"),"Ş","S"),"ş","S"),"Ğ","G"),"ğ","G"),"Ü","U"),"ü","U"),"Ö","O"),"ö","O"),"Ç","C"),"ç","C"),".",""),",","")," ",""),"-","")))</f>
        <v/>
      </c>
      <c r="S934" s="3">
        <f>IF($D934="","",$C934&amp;"|"&amp;TEXT($E934,"0")&amp;"|"&amp;TEXT($F934,"0")&amp;"|"&amp;$I934)</f>
        <v/>
      </c>
      <c r="T934" s="3">
        <f>IF($E934="",0,SUMPRODUCT((AY_SONU!$O$7:$O$42="Evet")*(AY_SONU!$B$7:$B$42=DATE(YEAR($E934),MONTH($E934),1))))</f>
        <v/>
      </c>
    </row>
    <row r="935">
      <c r="A935" s="6" t="n"/>
      <c r="B935" s="113">
        <f>IF($D935="","","T"&amp;TEXT(ROW()-6,"00000"))</f>
        <v/>
      </c>
      <c r="C935" s="113">
        <f>IF($D935="","",IFERROR(INDEX(MUSTERILER!$B$7:$B$106,MATCH($R935,MUSTERILER!$T$7:$T$106,0)),IFERROR(INDEX(MUSTERILER!$B$7:$B$106,MATCH($D935,MUSTERILER!$B$7:$B$106,0)),IFERROR(INDEX(MUSTERILER!$B$7:$B$106,MATCH($R935&amp;"*",MUSTERILER!$T$7:$T$106,0)),"TANIMSIZ MÜŞTERİ"))))</f>
        <v/>
      </c>
      <c r="D935" s="109" t="n"/>
      <c r="E935" s="220" t="n"/>
      <c r="F935" s="221" t="n"/>
      <c r="G935" s="108" t="n"/>
      <c r="H935" s="108" t="n"/>
      <c r="I935" s="109" t="n"/>
      <c r="J935" s="109" t="n"/>
      <c r="K935" s="109" t="n"/>
      <c r="L935" s="226">
        <f>IF($E935="","",DATE(YEAR($E935),MONTH($E935),1))</f>
        <v/>
      </c>
      <c r="M935" s="113">
        <f>IF($D935="","",IF($C935="TANIMSIZ MÜŞTERİ","HATA",IF(OR($E935="",$F935&lt;=0,$G935=""),"EKSİK",IF($E935&gt;TODAY(),"İLERİ TARİH",IF(COUNTIF($S$7:$S$1506,$S935)&gt;1,"MÜKERRER?",IF($T935&gt;0,"KAPALI DÖNEM","UYGUN"))))))</f>
        <v/>
      </c>
      <c r="N935" s="121">
        <f>IF($C935="","",IF($C935="TANIMSIZ MÜŞTERİ","—",INDEX(MUSTERILER!$C$7:$C$106,MATCH($C935,MUSTERILER!$B$7:$B$106,0))))</f>
        <v/>
      </c>
      <c r="O935" s="6" t="n"/>
      <c r="P935" s="6" t="n"/>
      <c r="Q935" s="3">
        <f>IF($D935="","",$C935&amp;"|"&amp;COUNTIFS($C$7:$C935,$C935))</f>
        <v/>
      </c>
      <c r="R935" s="3">
        <f>IF($D935="","",UPPER(SUBSTITUTE(SUBSTITUTE(SUBSTITUTE(SUBSTITUTE(SUBSTITUTE(SUBSTITUTE(SUBSTITUTE(SUBSTITUTE(SUBSTITUTE(SUBSTITUTE(SUBSTITUTE(SUBSTITUTE(SUBSTITUTE(SUBSTITUTE(SUBSTITUTE(SUBSTITUTE(SUBSTITUTE(SUBSTITUTE(TRIM($D935),"'",""),"İ","I"),"ı","I"),"i","I"),"Ş","S"),"ş","S"),"Ğ","G"),"ğ","G"),"Ü","U"),"ü","U"),"Ö","O"),"ö","O"),"Ç","C"),"ç","C"),".",""),",","")," ",""),"-","")))</f>
        <v/>
      </c>
      <c r="S935" s="3">
        <f>IF($D935="","",$C935&amp;"|"&amp;TEXT($E935,"0")&amp;"|"&amp;TEXT($F935,"0")&amp;"|"&amp;$I935)</f>
        <v/>
      </c>
      <c r="T935" s="3">
        <f>IF($E935="",0,SUMPRODUCT((AY_SONU!$O$7:$O$42="Evet")*(AY_SONU!$B$7:$B$42=DATE(YEAR($E935),MONTH($E935),1))))</f>
        <v/>
      </c>
    </row>
    <row r="936">
      <c r="A936" s="6" t="n"/>
      <c r="B936" s="113">
        <f>IF($D936="","","T"&amp;TEXT(ROW()-6,"00000"))</f>
        <v/>
      </c>
      <c r="C936" s="113">
        <f>IF($D936="","",IFERROR(INDEX(MUSTERILER!$B$7:$B$106,MATCH($R936,MUSTERILER!$T$7:$T$106,0)),IFERROR(INDEX(MUSTERILER!$B$7:$B$106,MATCH($D936,MUSTERILER!$B$7:$B$106,0)),IFERROR(INDEX(MUSTERILER!$B$7:$B$106,MATCH($R936&amp;"*",MUSTERILER!$T$7:$T$106,0)),"TANIMSIZ MÜŞTERİ"))))</f>
        <v/>
      </c>
      <c r="D936" s="109" t="n"/>
      <c r="E936" s="220" t="n"/>
      <c r="F936" s="221" t="n"/>
      <c r="G936" s="108" t="n"/>
      <c r="H936" s="108" t="n"/>
      <c r="I936" s="109" t="n"/>
      <c r="J936" s="109" t="n"/>
      <c r="K936" s="109" t="n"/>
      <c r="L936" s="226">
        <f>IF($E936="","",DATE(YEAR($E936),MONTH($E936),1))</f>
        <v/>
      </c>
      <c r="M936" s="113">
        <f>IF($D936="","",IF($C936="TANIMSIZ MÜŞTERİ","HATA",IF(OR($E936="",$F936&lt;=0,$G936=""),"EKSİK",IF($E936&gt;TODAY(),"İLERİ TARİH",IF(COUNTIF($S$7:$S$1506,$S936)&gt;1,"MÜKERRER?",IF($T936&gt;0,"KAPALI DÖNEM","UYGUN"))))))</f>
        <v/>
      </c>
      <c r="N936" s="121">
        <f>IF($C936="","",IF($C936="TANIMSIZ MÜŞTERİ","—",INDEX(MUSTERILER!$C$7:$C$106,MATCH($C936,MUSTERILER!$B$7:$B$106,0))))</f>
        <v/>
      </c>
      <c r="O936" s="6" t="n"/>
      <c r="P936" s="6" t="n"/>
      <c r="Q936" s="3">
        <f>IF($D936="","",$C936&amp;"|"&amp;COUNTIFS($C$7:$C936,$C936))</f>
        <v/>
      </c>
      <c r="R936" s="3">
        <f>IF($D936="","",UPPER(SUBSTITUTE(SUBSTITUTE(SUBSTITUTE(SUBSTITUTE(SUBSTITUTE(SUBSTITUTE(SUBSTITUTE(SUBSTITUTE(SUBSTITUTE(SUBSTITUTE(SUBSTITUTE(SUBSTITUTE(SUBSTITUTE(SUBSTITUTE(SUBSTITUTE(SUBSTITUTE(SUBSTITUTE(SUBSTITUTE(TRIM($D936),"'",""),"İ","I"),"ı","I"),"i","I"),"Ş","S"),"ş","S"),"Ğ","G"),"ğ","G"),"Ü","U"),"ü","U"),"Ö","O"),"ö","O"),"Ç","C"),"ç","C"),".",""),",","")," ",""),"-","")))</f>
        <v/>
      </c>
      <c r="S936" s="3">
        <f>IF($D936="","",$C936&amp;"|"&amp;TEXT($E936,"0")&amp;"|"&amp;TEXT($F936,"0")&amp;"|"&amp;$I936)</f>
        <v/>
      </c>
      <c r="T936" s="3">
        <f>IF($E936="",0,SUMPRODUCT((AY_SONU!$O$7:$O$42="Evet")*(AY_SONU!$B$7:$B$42=DATE(YEAR($E936),MONTH($E936),1))))</f>
        <v/>
      </c>
    </row>
    <row r="937">
      <c r="A937" s="6" t="n"/>
      <c r="B937" s="113">
        <f>IF($D937="","","T"&amp;TEXT(ROW()-6,"00000"))</f>
        <v/>
      </c>
      <c r="C937" s="113">
        <f>IF($D937="","",IFERROR(INDEX(MUSTERILER!$B$7:$B$106,MATCH($R937,MUSTERILER!$T$7:$T$106,0)),IFERROR(INDEX(MUSTERILER!$B$7:$B$106,MATCH($D937,MUSTERILER!$B$7:$B$106,0)),IFERROR(INDEX(MUSTERILER!$B$7:$B$106,MATCH($R937&amp;"*",MUSTERILER!$T$7:$T$106,0)),"TANIMSIZ MÜŞTERİ"))))</f>
        <v/>
      </c>
      <c r="D937" s="109" t="n"/>
      <c r="E937" s="220" t="n"/>
      <c r="F937" s="221" t="n"/>
      <c r="G937" s="108" t="n"/>
      <c r="H937" s="108" t="n"/>
      <c r="I937" s="109" t="n"/>
      <c r="J937" s="109" t="n"/>
      <c r="K937" s="109" t="n"/>
      <c r="L937" s="226">
        <f>IF($E937="","",DATE(YEAR($E937),MONTH($E937),1))</f>
        <v/>
      </c>
      <c r="M937" s="113">
        <f>IF($D937="","",IF($C937="TANIMSIZ MÜŞTERİ","HATA",IF(OR($E937="",$F937&lt;=0,$G937=""),"EKSİK",IF($E937&gt;TODAY(),"İLERİ TARİH",IF(COUNTIF($S$7:$S$1506,$S937)&gt;1,"MÜKERRER?",IF($T937&gt;0,"KAPALI DÖNEM","UYGUN"))))))</f>
        <v/>
      </c>
      <c r="N937" s="121">
        <f>IF($C937="","",IF($C937="TANIMSIZ MÜŞTERİ","—",INDEX(MUSTERILER!$C$7:$C$106,MATCH($C937,MUSTERILER!$B$7:$B$106,0))))</f>
        <v/>
      </c>
      <c r="O937" s="6" t="n"/>
      <c r="P937" s="6" t="n"/>
      <c r="Q937" s="3">
        <f>IF($D937="","",$C937&amp;"|"&amp;COUNTIFS($C$7:$C937,$C937))</f>
        <v/>
      </c>
      <c r="R937" s="3">
        <f>IF($D937="","",UPPER(SUBSTITUTE(SUBSTITUTE(SUBSTITUTE(SUBSTITUTE(SUBSTITUTE(SUBSTITUTE(SUBSTITUTE(SUBSTITUTE(SUBSTITUTE(SUBSTITUTE(SUBSTITUTE(SUBSTITUTE(SUBSTITUTE(SUBSTITUTE(SUBSTITUTE(SUBSTITUTE(SUBSTITUTE(SUBSTITUTE(TRIM($D937),"'",""),"İ","I"),"ı","I"),"i","I"),"Ş","S"),"ş","S"),"Ğ","G"),"ğ","G"),"Ü","U"),"ü","U"),"Ö","O"),"ö","O"),"Ç","C"),"ç","C"),".",""),",","")," ",""),"-","")))</f>
        <v/>
      </c>
      <c r="S937" s="3">
        <f>IF($D937="","",$C937&amp;"|"&amp;TEXT($E937,"0")&amp;"|"&amp;TEXT($F937,"0")&amp;"|"&amp;$I937)</f>
        <v/>
      </c>
      <c r="T937" s="3">
        <f>IF($E937="",0,SUMPRODUCT((AY_SONU!$O$7:$O$42="Evet")*(AY_SONU!$B$7:$B$42=DATE(YEAR($E937),MONTH($E937),1))))</f>
        <v/>
      </c>
    </row>
    <row r="938">
      <c r="A938" s="6" t="n"/>
      <c r="B938" s="113">
        <f>IF($D938="","","T"&amp;TEXT(ROW()-6,"00000"))</f>
        <v/>
      </c>
      <c r="C938" s="113">
        <f>IF($D938="","",IFERROR(INDEX(MUSTERILER!$B$7:$B$106,MATCH($R938,MUSTERILER!$T$7:$T$106,0)),IFERROR(INDEX(MUSTERILER!$B$7:$B$106,MATCH($D938,MUSTERILER!$B$7:$B$106,0)),IFERROR(INDEX(MUSTERILER!$B$7:$B$106,MATCH($R938&amp;"*",MUSTERILER!$T$7:$T$106,0)),"TANIMSIZ MÜŞTERİ"))))</f>
        <v/>
      </c>
      <c r="D938" s="109" t="n"/>
      <c r="E938" s="220" t="n"/>
      <c r="F938" s="221" t="n"/>
      <c r="G938" s="108" t="n"/>
      <c r="H938" s="108" t="n"/>
      <c r="I938" s="109" t="n"/>
      <c r="J938" s="109" t="n"/>
      <c r="K938" s="109" t="n"/>
      <c r="L938" s="226">
        <f>IF($E938="","",DATE(YEAR($E938),MONTH($E938),1))</f>
        <v/>
      </c>
      <c r="M938" s="113">
        <f>IF($D938="","",IF($C938="TANIMSIZ MÜŞTERİ","HATA",IF(OR($E938="",$F938&lt;=0,$G938=""),"EKSİK",IF($E938&gt;TODAY(),"İLERİ TARİH",IF(COUNTIF($S$7:$S$1506,$S938)&gt;1,"MÜKERRER?",IF($T938&gt;0,"KAPALI DÖNEM","UYGUN"))))))</f>
        <v/>
      </c>
      <c r="N938" s="121">
        <f>IF($C938="","",IF($C938="TANIMSIZ MÜŞTERİ","—",INDEX(MUSTERILER!$C$7:$C$106,MATCH($C938,MUSTERILER!$B$7:$B$106,0))))</f>
        <v/>
      </c>
      <c r="O938" s="6" t="n"/>
      <c r="P938" s="6" t="n"/>
      <c r="Q938" s="3">
        <f>IF($D938="","",$C938&amp;"|"&amp;COUNTIFS($C$7:$C938,$C938))</f>
        <v/>
      </c>
      <c r="R938" s="3">
        <f>IF($D938="","",UPPER(SUBSTITUTE(SUBSTITUTE(SUBSTITUTE(SUBSTITUTE(SUBSTITUTE(SUBSTITUTE(SUBSTITUTE(SUBSTITUTE(SUBSTITUTE(SUBSTITUTE(SUBSTITUTE(SUBSTITUTE(SUBSTITUTE(SUBSTITUTE(SUBSTITUTE(SUBSTITUTE(SUBSTITUTE(SUBSTITUTE(TRIM($D938),"'",""),"İ","I"),"ı","I"),"i","I"),"Ş","S"),"ş","S"),"Ğ","G"),"ğ","G"),"Ü","U"),"ü","U"),"Ö","O"),"ö","O"),"Ç","C"),"ç","C"),".",""),",","")," ",""),"-","")))</f>
        <v/>
      </c>
      <c r="S938" s="3">
        <f>IF($D938="","",$C938&amp;"|"&amp;TEXT($E938,"0")&amp;"|"&amp;TEXT($F938,"0")&amp;"|"&amp;$I938)</f>
        <v/>
      </c>
      <c r="T938" s="3">
        <f>IF($E938="",0,SUMPRODUCT((AY_SONU!$O$7:$O$42="Evet")*(AY_SONU!$B$7:$B$42=DATE(YEAR($E938),MONTH($E938),1))))</f>
        <v/>
      </c>
    </row>
    <row r="939">
      <c r="A939" s="6" t="n"/>
      <c r="B939" s="113">
        <f>IF($D939="","","T"&amp;TEXT(ROW()-6,"00000"))</f>
        <v/>
      </c>
      <c r="C939" s="113">
        <f>IF($D939="","",IFERROR(INDEX(MUSTERILER!$B$7:$B$106,MATCH($R939,MUSTERILER!$T$7:$T$106,0)),IFERROR(INDEX(MUSTERILER!$B$7:$B$106,MATCH($D939,MUSTERILER!$B$7:$B$106,0)),IFERROR(INDEX(MUSTERILER!$B$7:$B$106,MATCH($R939&amp;"*",MUSTERILER!$T$7:$T$106,0)),"TANIMSIZ MÜŞTERİ"))))</f>
        <v/>
      </c>
      <c r="D939" s="109" t="n"/>
      <c r="E939" s="220" t="n"/>
      <c r="F939" s="221" t="n"/>
      <c r="G939" s="108" t="n"/>
      <c r="H939" s="108" t="n"/>
      <c r="I939" s="109" t="n"/>
      <c r="J939" s="109" t="n"/>
      <c r="K939" s="109" t="n"/>
      <c r="L939" s="226">
        <f>IF($E939="","",DATE(YEAR($E939),MONTH($E939),1))</f>
        <v/>
      </c>
      <c r="M939" s="113">
        <f>IF($D939="","",IF($C939="TANIMSIZ MÜŞTERİ","HATA",IF(OR($E939="",$F939&lt;=0,$G939=""),"EKSİK",IF($E939&gt;TODAY(),"İLERİ TARİH",IF(COUNTIF($S$7:$S$1506,$S939)&gt;1,"MÜKERRER?",IF($T939&gt;0,"KAPALI DÖNEM","UYGUN"))))))</f>
        <v/>
      </c>
      <c r="N939" s="121">
        <f>IF($C939="","",IF($C939="TANIMSIZ MÜŞTERİ","—",INDEX(MUSTERILER!$C$7:$C$106,MATCH($C939,MUSTERILER!$B$7:$B$106,0))))</f>
        <v/>
      </c>
      <c r="O939" s="6" t="n"/>
      <c r="P939" s="6" t="n"/>
      <c r="Q939" s="3">
        <f>IF($D939="","",$C939&amp;"|"&amp;COUNTIFS($C$7:$C939,$C939))</f>
        <v/>
      </c>
      <c r="R939" s="3">
        <f>IF($D939="","",UPPER(SUBSTITUTE(SUBSTITUTE(SUBSTITUTE(SUBSTITUTE(SUBSTITUTE(SUBSTITUTE(SUBSTITUTE(SUBSTITUTE(SUBSTITUTE(SUBSTITUTE(SUBSTITUTE(SUBSTITUTE(SUBSTITUTE(SUBSTITUTE(SUBSTITUTE(SUBSTITUTE(SUBSTITUTE(SUBSTITUTE(TRIM($D939),"'",""),"İ","I"),"ı","I"),"i","I"),"Ş","S"),"ş","S"),"Ğ","G"),"ğ","G"),"Ü","U"),"ü","U"),"Ö","O"),"ö","O"),"Ç","C"),"ç","C"),".",""),",","")," ",""),"-","")))</f>
        <v/>
      </c>
      <c r="S939" s="3">
        <f>IF($D939="","",$C939&amp;"|"&amp;TEXT($E939,"0")&amp;"|"&amp;TEXT($F939,"0")&amp;"|"&amp;$I939)</f>
        <v/>
      </c>
      <c r="T939" s="3">
        <f>IF($E939="",0,SUMPRODUCT((AY_SONU!$O$7:$O$42="Evet")*(AY_SONU!$B$7:$B$42=DATE(YEAR($E939),MONTH($E939),1))))</f>
        <v/>
      </c>
    </row>
    <row r="940">
      <c r="A940" s="6" t="n"/>
      <c r="B940" s="113">
        <f>IF($D940="","","T"&amp;TEXT(ROW()-6,"00000"))</f>
        <v/>
      </c>
      <c r="C940" s="113">
        <f>IF($D940="","",IFERROR(INDEX(MUSTERILER!$B$7:$B$106,MATCH($R940,MUSTERILER!$T$7:$T$106,0)),IFERROR(INDEX(MUSTERILER!$B$7:$B$106,MATCH($D940,MUSTERILER!$B$7:$B$106,0)),IFERROR(INDEX(MUSTERILER!$B$7:$B$106,MATCH($R940&amp;"*",MUSTERILER!$T$7:$T$106,0)),"TANIMSIZ MÜŞTERİ"))))</f>
        <v/>
      </c>
      <c r="D940" s="109" t="n"/>
      <c r="E940" s="220" t="n"/>
      <c r="F940" s="221" t="n"/>
      <c r="G940" s="108" t="n"/>
      <c r="H940" s="108" t="n"/>
      <c r="I940" s="109" t="n"/>
      <c r="J940" s="109" t="n"/>
      <c r="K940" s="109" t="n"/>
      <c r="L940" s="226">
        <f>IF($E940="","",DATE(YEAR($E940),MONTH($E940),1))</f>
        <v/>
      </c>
      <c r="M940" s="113">
        <f>IF($D940="","",IF($C940="TANIMSIZ MÜŞTERİ","HATA",IF(OR($E940="",$F940&lt;=0,$G940=""),"EKSİK",IF($E940&gt;TODAY(),"İLERİ TARİH",IF(COUNTIF($S$7:$S$1506,$S940)&gt;1,"MÜKERRER?",IF($T940&gt;0,"KAPALI DÖNEM","UYGUN"))))))</f>
        <v/>
      </c>
      <c r="N940" s="121">
        <f>IF($C940="","",IF($C940="TANIMSIZ MÜŞTERİ","—",INDEX(MUSTERILER!$C$7:$C$106,MATCH($C940,MUSTERILER!$B$7:$B$106,0))))</f>
        <v/>
      </c>
      <c r="O940" s="6" t="n"/>
      <c r="P940" s="6" t="n"/>
      <c r="Q940" s="3">
        <f>IF($D940="","",$C940&amp;"|"&amp;COUNTIFS($C$7:$C940,$C940))</f>
        <v/>
      </c>
      <c r="R940" s="3">
        <f>IF($D940="","",UPPER(SUBSTITUTE(SUBSTITUTE(SUBSTITUTE(SUBSTITUTE(SUBSTITUTE(SUBSTITUTE(SUBSTITUTE(SUBSTITUTE(SUBSTITUTE(SUBSTITUTE(SUBSTITUTE(SUBSTITUTE(SUBSTITUTE(SUBSTITUTE(SUBSTITUTE(SUBSTITUTE(SUBSTITUTE(SUBSTITUTE(TRIM($D940),"'",""),"İ","I"),"ı","I"),"i","I"),"Ş","S"),"ş","S"),"Ğ","G"),"ğ","G"),"Ü","U"),"ü","U"),"Ö","O"),"ö","O"),"Ç","C"),"ç","C"),".",""),",","")," ",""),"-","")))</f>
        <v/>
      </c>
      <c r="S940" s="3">
        <f>IF($D940="","",$C940&amp;"|"&amp;TEXT($E940,"0")&amp;"|"&amp;TEXT($F940,"0")&amp;"|"&amp;$I940)</f>
        <v/>
      </c>
      <c r="T940" s="3">
        <f>IF($E940="",0,SUMPRODUCT((AY_SONU!$O$7:$O$42="Evet")*(AY_SONU!$B$7:$B$42=DATE(YEAR($E940),MONTH($E940),1))))</f>
        <v/>
      </c>
    </row>
    <row r="941">
      <c r="A941" s="6" t="n"/>
      <c r="B941" s="113">
        <f>IF($D941="","","T"&amp;TEXT(ROW()-6,"00000"))</f>
        <v/>
      </c>
      <c r="C941" s="113">
        <f>IF($D941="","",IFERROR(INDEX(MUSTERILER!$B$7:$B$106,MATCH($R941,MUSTERILER!$T$7:$T$106,0)),IFERROR(INDEX(MUSTERILER!$B$7:$B$106,MATCH($D941,MUSTERILER!$B$7:$B$106,0)),IFERROR(INDEX(MUSTERILER!$B$7:$B$106,MATCH($R941&amp;"*",MUSTERILER!$T$7:$T$106,0)),"TANIMSIZ MÜŞTERİ"))))</f>
        <v/>
      </c>
      <c r="D941" s="109" t="n"/>
      <c r="E941" s="220" t="n"/>
      <c r="F941" s="221" t="n"/>
      <c r="G941" s="108" t="n"/>
      <c r="H941" s="108" t="n"/>
      <c r="I941" s="109" t="n"/>
      <c r="J941" s="109" t="n"/>
      <c r="K941" s="109" t="n"/>
      <c r="L941" s="226">
        <f>IF($E941="","",DATE(YEAR($E941),MONTH($E941),1))</f>
        <v/>
      </c>
      <c r="M941" s="113">
        <f>IF($D941="","",IF($C941="TANIMSIZ MÜŞTERİ","HATA",IF(OR($E941="",$F941&lt;=0,$G941=""),"EKSİK",IF($E941&gt;TODAY(),"İLERİ TARİH",IF(COUNTIF($S$7:$S$1506,$S941)&gt;1,"MÜKERRER?",IF($T941&gt;0,"KAPALI DÖNEM","UYGUN"))))))</f>
        <v/>
      </c>
      <c r="N941" s="121">
        <f>IF($C941="","",IF($C941="TANIMSIZ MÜŞTERİ","—",INDEX(MUSTERILER!$C$7:$C$106,MATCH($C941,MUSTERILER!$B$7:$B$106,0))))</f>
        <v/>
      </c>
      <c r="O941" s="6" t="n"/>
      <c r="P941" s="6" t="n"/>
      <c r="Q941" s="3">
        <f>IF($D941="","",$C941&amp;"|"&amp;COUNTIFS($C$7:$C941,$C941))</f>
        <v/>
      </c>
      <c r="R941" s="3">
        <f>IF($D941="","",UPPER(SUBSTITUTE(SUBSTITUTE(SUBSTITUTE(SUBSTITUTE(SUBSTITUTE(SUBSTITUTE(SUBSTITUTE(SUBSTITUTE(SUBSTITUTE(SUBSTITUTE(SUBSTITUTE(SUBSTITUTE(SUBSTITUTE(SUBSTITUTE(SUBSTITUTE(SUBSTITUTE(SUBSTITUTE(SUBSTITUTE(TRIM($D941),"'",""),"İ","I"),"ı","I"),"i","I"),"Ş","S"),"ş","S"),"Ğ","G"),"ğ","G"),"Ü","U"),"ü","U"),"Ö","O"),"ö","O"),"Ç","C"),"ç","C"),".",""),",","")," ",""),"-","")))</f>
        <v/>
      </c>
      <c r="S941" s="3">
        <f>IF($D941="","",$C941&amp;"|"&amp;TEXT($E941,"0")&amp;"|"&amp;TEXT($F941,"0")&amp;"|"&amp;$I941)</f>
        <v/>
      </c>
      <c r="T941" s="3">
        <f>IF($E941="",0,SUMPRODUCT((AY_SONU!$O$7:$O$42="Evet")*(AY_SONU!$B$7:$B$42=DATE(YEAR($E941),MONTH($E941),1))))</f>
        <v/>
      </c>
    </row>
    <row r="942">
      <c r="A942" s="6" t="n"/>
      <c r="B942" s="113">
        <f>IF($D942="","","T"&amp;TEXT(ROW()-6,"00000"))</f>
        <v/>
      </c>
      <c r="C942" s="113">
        <f>IF($D942="","",IFERROR(INDEX(MUSTERILER!$B$7:$B$106,MATCH($R942,MUSTERILER!$T$7:$T$106,0)),IFERROR(INDEX(MUSTERILER!$B$7:$B$106,MATCH($D942,MUSTERILER!$B$7:$B$106,0)),IFERROR(INDEX(MUSTERILER!$B$7:$B$106,MATCH($R942&amp;"*",MUSTERILER!$T$7:$T$106,0)),"TANIMSIZ MÜŞTERİ"))))</f>
        <v/>
      </c>
      <c r="D942" s="109" t="n"/>
      <c r="E942" s="220" t="n"/>
      <c r="F942" s="221" t="n"/>
      <c r="G942" s="108" t="n"/>
      <c r="H942" s="108" t="n"/>
      <c r="I942" s="109" t="n"/>
      <c r="J942" s="109" t="n"/>
      <c r="K942" s="109" t="n"/>
      <c r="L942" s="226">
        <f>IF($E942="","",DATE(YEAR($E942),MONTH($E942),1))</f>
        <v/>
      </c>
      <c r="M942" s="113">
        <f>IF($D942="","",IF($C942="TANIMSIZ MÜŞTERİ","HATA",IF(OR($E942="",$F942&lt;=0,$G942=""),"EKSİK",IF($E942&gt;TODAY(),"İLERİ TARİH",IF(COUNTIF($S$7:$S$1506,$S942)&gt;1,"MÜKERRER?",IF($T942&gt;0,"KAPALI DÖNEM","UYGUN"))))))</f>
        <v/>
      </c>
      <c r="N942" s="121">
        <f>IF($C942="","",IF($C942="TANIMSIZ MÜŞTERİ","—",INDEX(MUSTERILER!$C$7:$C$106,MATCH($C942,MUSTERILER!$B$7:$B$106,0))))</f>
        <v/>
      </c>
      <c r="O942" s="6" t="n"/>
      <c r="P942" s="6" t="n"/>
      <c r="Q942" s="3">
        <f>IF($D942="","",$C942&amp;"|"&amp;COUNTIFS($C$7:$C942,$C942))</f>
        <v/>
      </c>
      <c r="R942" s="3">
        <f>IF($D942="","",UPPER(SUBSTITUTE(SUBSTITUTE(SUBSTITUTE(SUBSTITUTE(SUBSTITUTE(SUBSTITUTE(SUBSTITUTE(SUBSTITUTE(SUBSTITUTE(SUBSTITUTE(SUBSTITUTE(SUBSTITUTE(SUBSTITUTE(SUBSTITUTE(SUBSTITUTE(SUBSTITUTE(SUBSTITUTE(SUBSTITUTE(TRIM($D942),"'",""),"İ","I"),"ı","I"),"i","I"),"Ş","S"),"ş","S"),"Ğ","G"),"ğ","G"),"Ü","U"),"ü","U"),"Ö","O"),"ö","O"),"Ç","C"),"ç","C"),".",""),",","")," ",""),"-","")))</f>
        <v/>
      </c>
      <c r="S942" s="3">
        <f>IF($D942="","",$C942&amp;"|"&amp;TEXT($E942,"0")&amp;"|"&amp;TEXT($F942,"0")&amp;"|"&amp;$I942)</f>
        <v/>
      </c>
      <c r="T942" s="3">
        <f>IF($E942="",0,SUMPRODUCT((AY_SONU!$O$7:$O$42="Evet")*(AY_SONU!$B$7:$B$42=DATE(YEAR($E942),MONTH($E942),1))))</f>
        <v/>
      </c>
    </row>
    <row r="943">
      <c r="A943" s="6" t="n"/>
      <c r="B943" s="113">
        <f>IF($D943="","","T"&amp;TEXT(ROW()-6,"00000"))</f>
        <v/>
      </c>
      <c r="C943" s="113">
        <f>IF($D943="","",IFERROR(INDEX(MUSTERILER!$B$7:$B$106,MATCH($R943,MUSTERILER!$T$7:$T$106,0)),IFERROR(INDEX(MUSTERILER!$B$7:$B$106,MATCH($D943,MUSTERILER!$B$7:$B$106,0)),IFERROR(INDEX(MUSTERILER!$B$7:$B$106,MATCH($R943&amp;"*",MUSTERILER!$T$7:$T$106,0)),"TANIMSIZ MÜŞTERİ"))))</f>
        <v/>
      </c>
      <c r="D943" s="109" t="n"/>
      <c r="E943" s="220" t="n"/>
      <c r="F943" s="221" t="n"/>
      <c r="G943" s="108" t="n"/>
      <c r="H943" s="108" t="n"/>
      <c r="I943" s="109" t="n"/>
      <c r="J943" s="109" t="n"/>
      <c r="K943" s="109" t="n"/>
      <c r="L943" s="226">
        <f>IF($E943="","",DATE(YEAR($E943),MONTH($E943),1))</f>
        <v/>
      </c>
      <c r="M943" s="113">
        <f>IF($D943="","",IF($C943="TANIMSIZ MÜŞTERİ","HATA",IF(OR($E943="",$F943&lt;=0,$G943=""),"EKSİK",IF($E943&gt;TODAY(),"İLERİ TARİH",IF(COUNTIF($S$7:$S$1506,$S943)&gt;1,"MÜKERRER?",IF($T943&gt;0,"KAPALI DÖNEM","UYGUN"))))))</f>
        <v/>
      </c>
      <c r="N943" s="121">
        <f>IF($C943="","",IF($C943="TANIMSIZ MÜŞTERİ","—",INDEX(MUSTERILER!$C$7:$C$106,MATCH($C943,MUSTERILER!$B$7:$B$106,0))))</f>
        <v/>
      </c>
      <c r="O943" s="6" t="n"/>
      <c r="P943" s="6" t="n"/>
      <c r="Q943" s="3">
        <f>IF($D943="","",$C943&amp;"|"&amp;COUNTIFS($C$7:$C943,$C943))</f>
        <v/>
      </c>
      <c r="R943" s="3">
        <f>IF($D943="","",UPPER(SUBSTITUTE(SUBSTITUTE(SUBSTITUTE(SUBSTITUTE(SUBSTITUTE(SUBSTITUTE(SUBSTITUTE(SUBSTITUTE(SUBSTITUTE(SUBSTITUTE(SUBSTITUTE(SUBSTITUTE(SUBSTITUTE(SUBSTITUTE(SUBSTITUTE(SUBSTITUTE(SUBSTITUTE(SUBSTITUTE(TRIM($D943),"'",""),"İ","I"),"ı","I"),"i","I"),"Ş","S"),"ş","S"),"Ğ","G"),"ğ","G"),"Ü","U"),"ü","U"),"Ö","O"),"ö","O"),"Ç","C"),"ç","C"),".",""),",","")," ",""),"-","")))</f>
        <v/>
      </c>
      <c r="S943" s="3">
        <f>IF($D943="","",$C943&amp;"|"&amp;TEXT($E943,"0")&amp;"|"&amp;TEXT($F943,"0")&amp;"|"&amp;$I943)</f>
        <v/>
      </c>
      <c r="T943" s="3">
        <f>IF($E943="",0,SUMPRODUCT((AY_SONU!$O$7:$O$42="Evet")*(AY_SONU!$B$7:$B$42=DATE(YEAR($E943),MONTH($E943),1))))</f>
        <v/>
      </c>
    </row>
    <row r="944">
      <c r="A944" s="6" t="n"/>
      <c r="B944" s="113">
        <f>IF($D944="","","T"&amp;TEXT(ROW()-6,"00000"))</f>
        <v/>
      </c>
      <c r="C944" s="113">
        <f>IF($D944="","",IFERROR(INDEX(MUSTERILER!$B$7:$B$106,MATCH($R944,MUSTERILER!$T$7:$T$106,0)),IFERROR(INDEX(MUSTERILER!$B$7:$B$106,MATCH($D944,MUSTERILER!$B$7:$B$106,0)),IFERROR(INDEX(MUSTERILER!$B$7:$B$106,MATCH($R944&amp;"*",MUSTERILER!$T$7:$T$106,0)),"TANIMSIZ MÜŞTERİ"))))</f>
        <v/>
      </c>
      <c r="D944" s="109" t="n"/>
      <c r="E944" s="220" t="n"/>
      <c r="F944" s="221" t="n"/>
      <c r="G944" s="108" t="n"/>
      <c r="H944" s="108" t="n"/>
      <c r="I944" s="109" t="n"/>
      <c r="J944" s="109" t="n"/>
      <c r="K944" s="109" t="n"/>
      <c r="L944" s="226">
        <f>IF($E944="","",DATE(YEAR($E944),MONTH($E944),1))</f>
        <v/>
      </c>
      <c r="M944" s="113">
        <f>IF($D944="","",IF($C944="TANIMSIZ MÜŞTERİ","HATA",IF(OR($E944="",$F944&lt;=0,$G944=""),"EKSİK",IF($E944&gt;TODAY(),"İLERİ TARİH",IF(COUNTIF($S$7:$S$1506,$S944)&gt;1,"MÜKERRER?",IF($T944&gt;0,"KAPALI DÖNEM","UYGUN"))))))</f>
        <v/>
      </c>
      <c r="N944" s="121">
        <f>IF($C944="","",IF($C944="TANIMSIZ MÜŞTERİ","—",INDEX(MUSTERILER!$C$7:$C$106,MATCH($C944,MUSTERILER!$B$7:$B$106,0))))</f>
        <v/>
      </c>
      <c r="O944" s="6" t="n"/>
      <c r="P944" s="6" t="n"/>
      <c r="Q944" s="3">
        <f>IF($D944="","",$C944&amp;"|"&amp;COUNTIFS($C$7:$C944,$C944))</f>
        <v/>
      </c>
      <c r="R944" s="3">
        <f>IF($D944="","",UPPER(SUBSTITUTE(SUBSTITUTE(SUBSTITUTE(SUBSTITUTE(SUBSTITUTE(SUBSTITUTE(SUBSTITUTE(SUBSTITUTE(SUBSTITUTE(SUBSTITUTE(SUBSTITUTE(SUBSTITUTE(SUBSTITUTE(SUBSTITUTE(SUBSTITUTE(SUBSTITUTE(SUBSTITUTE(SUBSTITUTE(TRIM($D944),"'",""),"İ","I"),"ı","I"),"i","I"),"Ş","S"),"ş","S"),"Ğ","G"),"ğ","G"),"Ü","U"),"ü","U"),"Ö","O"),"ö","O"),"Ç","C"),"ç","C"),".",""),",","")," ",""),"-","")))</f>
        <v/>
      </c>
      <c r="S944" s="3">
        <f>IF($D944="","",$C944&amp;"|"&amp;TEXT($E944,"0")&amp;"|"&amp;TEXT($F944,"0")&amp;"|"&amp;$I944)</f>
        <v/>
      </c>
      <c r="T944" s="3">
        <f>IF($E944="",0,SUMPRODUCT((AY_SONU!$O$7:$O$42="Evet")*(AY_SONU!$B$7:$B$42=DATE(YEAR($E944),MONTH($E944),1))))</f>
        <v/>
      </c>
    </row>
    <row r="945">
      <c r="A945" s="6" t="n"/>
      <c r="B945" s="113">
        <f>IF($D945="","","T"&amp;TEXT(ROW()-6,"00000"))</f>
        <v/>
      </c>
      <c r="C945" s="113">
        <f>IF($D945="","",IFERROR(INDEX(MUSTERILER!$B$7:$B$106,MATCH($R945,MUSTERILER!$T$7:$T$106,0)),IFERROR(INDEX(MUSTERILER!$B$7:$B$106,MATCH($D945,MUSTERILER!$B$7:$B$106,0)),IFERROR(INDEX(MUSTERILER!$B$7:$B$106,MATCH($R945&amp;"*",MUSTERILER!$T$7:$T$106,0)),"TANIMSIZ MÜŞTERİ"))))</f>
        <v/>
      </c>
      <c r="D945" s="109" t="n"/>
      <c r="E945" s="220" t="n"/>
      <c r="F945" s="221" t="n"/>
      <c r="G945" s="108" t="n"/>
      <c r="H945" s="108" t="n"/>
      <c r="I945" s="109" t="n"/>
      <c r="J945" s="109" t="n"/>
      <c r="K945" s="109" t="n"/>
      <c r="L945" s="226">
        <f>IF($E945="","",DATE(YEAR($E945),MONTH($E945),1))</f>
        <v/>
      </c>
      <c r="M945" s="113">
        <f>IF($D945="","",IF($C945="TANIMSIZ MÜŞTERİ","HATA",IF(OR($E945="",$F945&lt;=0,$G945=""),"EKSİK",IF($E945&gt;TODAY(),"İLERİ TARİH",IF(COUNTIF($S$7:$S$1506,$S945)&gt;1,"MÜKERRER?",IF($T945&gt;0,"KAPALI DÖNEM","UYGUN"))))))</f>
        <v/>
      </c>
      <c r="N945" s="121">
        <f>IF($C945="","",IF($C945="TANIMSIZ MÜŞTERİ","—",INDEX(MUSTERILER!$C$7:$C$106,MATCH($C945,MUSTERILER!$B$7:$B$106,0))))</f>
        <v/>
      </c>
      <c r="O945" s="6" t="n"/>
      <c r="P945" s="6" t="n"/>
      <c r="Q945" s="3">
        <f>IF($D945="","",$C945&amp;"|"&amp;COUNTIFS($C$7:$C945,$C945))</f>
        <v/>
      </c>
      <c r="R945" s="3">
        <f>IF($D945="","",UPPER(SUBSTITUTE(SUBSTITUTE(SUBSTITUTE(SUBSTITUTE(SUBSTITUTE(SUBSTITUTE(SUBSTITUTE(SUBSTITUTE(SUBSTITUTE(SUBSTITUTE(SUBSTITUTE(SUBSTITUTE(SUBSTITUTE(SUBSTITUTE(SUBSTITUTE(SUBSTITUTE(SUBSTITUTE(SUBSTITUTE(TRIM($D945),"'",""),"İ","I"),"ı","I"),"i","I"),"Ş","S"),"ş","S"),"Ğ","G"),"ğ","G"),"Ü","U"),"ü","U"),"Ö","O"),"ö","O"),"Ç","C"),"ç","C"),".",""),",","")," ",""),"-","")))</f>
        <v/>
      </c>
      <c r="S945" s="3">
        <f>IF($D945="","",$C945&amp;"|"&amp;TEXT($E945,"0")&amp;"|"&amp;TEXT($F945,"0")&amp;"|"&amp;$I945)</f>
        <v/>
      </c>
      <c r="T945" s="3">
        <f>IF($E945="",0,SUMPRODUCT((AY_SONU!$O$7:$O$42="Evet")*(AY_SONU!$B$7:$B$42=DATE(YEAR($E945),MONTH($E945),1))))</f>
        <v/>
      </c>
    </row>
    <row r="946">
      <c r="A946" s="6" t="n"/>
      <c r="B946" s="113">
        <f>IF($D946="","","T"&amp;TEXT(ROW()-6,"00000"))</f>
        <v/>
      </c>
      <c r="C946" s="113">
        <f>IF($D946="","",IFERROR(INDEX(MUSTERILER!$B$7:$B$106,MATCH($R946,MUSTERILER!$T$7:$T$106,0)),IFERROR(INDEX(MUSTERILER!$B$7:$B$106,MATCH($D946,MUSTERILER!$B$7:$B$106,0)),IFERROR(INDEX(MUSTERILER!$B$7:$B$106,MATCH($R946&amp;"*",MUSTERILER!$T$7:$T$106,0)),"TANIMSIZ MÜŞTERİ"))))</f>
        <v/>
      </c>
      <c r="D946" s="109" t="n"/>
      <c r="E946" s="220" t="n"/>
      <c r="F946" s="221" t="n"/>
      <c r="G946" s="108" t="n"/>
      <c r="H946" s="108" t="n"/>
      <c r="I946" s="109" t="n"/>
      <c r="J946" s="109" t="n"/>
      <c r="K946" s="109" t="n"/>
      <c r="L946" s="226">
        <f>IF($E946="","",DATE(YEAR($E946),MONTH($E946),1))</f>
        <v/>
      </c>
      <c r="M946" s="113">
        <f>IF($D946="","",IF($C946="TANIMSIZ MÜŞTERİ","HATA",IF(OR($E946="",$F946&lt;=0,$G946=""),"EKSİK",IF($E946&gt;TODAY(),"İLERİ TARİH",IF(COUNTIF($S$7:$S$1506,$S946)&gt;1,"MÜKERRER?",IF($T946&gt;0,"KAPALI DÖNEM","UYGUN"))))))</f>
        <v/>
      </c>
      <c r="N946" s="121">
        <f>IF($C946="","",IF($C946="TANIMSIZ MÜŞTERİ","—",INDEX(MUSTERILER!$C$7:$C$106,MATCH($C946,MUSTERILER!$B$7:$B$106,0))))</f>
        <v/>
      </c>
      <c r="O946" s="6" t="n"/>
      <c r="P946" s="6" t="n"/>
      <c r="Q946" s="3">
        <f>IF($D946="","",$C946&amp;"|"&amp;COUNTIFS($C$7:$C946,$C946))</f>
        <v/>
      </c>
      <c r="R946" s="3">
        <f>IF($D946="","",UPPER(SUBSTITUTE(SUBSTITUTE(SUBSTITUTE(SUBSTITUTE(SUBSTITUTE(SUBSTITUTE(SUBSTITUTE(SUBSTITUTE(SUBSTITUTE(SUBSTITUTE(SUBSTITUTE(SUBSTITUTE(SUBSTITUTE(SUBSTITUTE(SUBSTITUTE(SUBSTITUTE(SUBSTITUTE(SUBSTITUTE(TRIM($D946),"'",""),"İ","I"),"ı","I"),"i","I"),"Ş","S"),"ş","S"),"Ğ","G"),"ğ","G"),"Ü","U"),"ü","U"),"Ö","O"),"ö","O"),"Ç","C"),"ç","C"),".",""),",","")," ",""),"-","")))</f>
        <v/>
      </c>
      <c r="S946" s="3">
        <f>IF($D946="","",$C946&amp;"|"&amp;TEXT($E946,"0")&amp;"|"&amp;TEXT($F946,"0")&amp;"|"&amp;$I946)</f>
        <v/>
      </c>
      <c r="T946" s="3">
        <f>IF($E946="",0,SUMPRODUCT((AY_SONU!$O$7:$O$42="Evet")*(AY_SONU!$B$7:$B$42=DATE(YEAR($E946),MONTH($E946),1))))</f>
        <v/>
      </c>
    </row>
    <row r="947">
      <c r="A947" s="6" t="n"/>
      <c r="B947" s="113">
        <f>IF($D947="","","T"&amp;TEXT(ROW()-6,"00000"))</f>
        <v/>
      </c>
      <c r="C947" s="113">
        <f>IF($D947="","",IFERROR(INDEX(MUSTERILER!$B$7:$B$106,MATCH($R947,MUSTERILER!$T$7:$T$106,0)),IFERROR(INDEX(MUSTERILER!$B$7:$B$106,MATCH($D947,MUSTERILER!$B$7:$B$106,0)),IFERROR(INDEX(MUSTERILER!$B$7:$B$106,MATCH($R947&amp;"*",MUSTERILER!$T$7:$T$106,0)),"TANIMSIZ MÜŞTERİ"))))</f>
        <v/>
      </c>
      <c r="D947" s="109" t="n"/>
      <c r="E947" s="220" t="n"/>
      <c r="F947" s="221" t="n"/>
      <c r="G947" s="108" t="n"/>
      <c r="H947" s="108" t="n"/>
      <c r="I947" s="109" t="n"/>
      <c r="J947" s="109" t="n"/>
      <c r="K947" s="109" t="n"/>
      <c r="L947" s="226">
        <f>IF($E947="","",DATE(YEAR($E947),MONTH($E947),1))</f>
        <v/>
      </c>
      <c r="M947" s="113">
        <f>IF($D947="","",IF($C947="TANIMSIZ MÜŞTERİ","HATA",IF(OR($E947="",$F947&lt;=0,$G947=""),"EKSİK",IF($E947&gt;TODAY(),"İLERİ TARİH",IF(COUNTIF($S$7:$S$1506,$S947)&gt;1,"MÜKERRER?",IF($T947&gt;0,"KAPALI DÖNEM","UYGUN"))))))</f>
        <v/>
      </c>
      <c r="N947" s="121">
        <f>IF($C947="","",IF($C947="TANIMSIZ MÜŞTERİ","—",INDEX(MUSTERILER!$C$7:$C$106,MATCH($C947,MUSTERILER!$B$7:$B$106,0))))</f>
        <v/>
      </c>
      <c r="O947" s="6" t="n"/>
      <c r="P947" s="6" t="n"/>
      <c r="Q947" s="3">
        <f>IF($D947="","",$C947&amp;"|"&amp;COUNTIFS($C$7:$C947,$C947))</f>
        <v/>
      </c>
      <c r="R947" s="3">
        <f>IF($D947="","",UPPER(SUBSTITUTE(SUBSTITUTE(SUBSTITUTE(SUBSTITUTE(SUBSTITUTE(SUBSTITUTE(SUBSTITUTE(SUBSTITUTE(SUBSTITUTE(SUBSTITUTE(SUBSTITUTE(SUBSTITUTE(SUBSTITUTE(SUBSTITUTE(SUBSTITUTE(SUBSTITUTE(SUBSTITUTE(SUBSTITUTE(TRIM($D947),"'",""),"İ","I"),"ı","I"),"i","I"),"Ş","S"),"ş","S"),"Ğ","G"),"ğ","G"),"Ü","U"),"ü","U"),"Ö","O"),"ö","O"),"Ç","C"),"ç","C"),".",""),",","")," ",""),"-","")))</f>
        <v/>
      </c>
      <c r="S947" s="3">
        <f>IF($D947="","",$C947&amp;"|"&amp;TEXT($E947,"0")&amp;"|"&amp;TEXT($F947,"0")&amp;"|"&amp;$I947)</f>
        <v/>
      </c>
      <c r="T947" s="3">
        <f>IF($E947="",0,SUMPRODUCT((AY_SONU!$O$7:$O$42="Evet")*(AY_SONU!$B$7:$B$42=DATE(YEAR($E947),MONTH($E947),1))))</f>
        <v/>
      </c>
    </row>
    <row r="948">
      <c r="A948" s="6" t="n"/>
      <c r="B948" s="113">
        <f>IF($D948="","","T"&amp;TEXT(ROW()-6,"00000"))</f>
        <v/>
      </c>
      <c r="C948" s="113">
        <f>IF($D948="","",IFERROR(INDEX(MUSTERILER!$B$7:$B$106,MATCH($R948,MUSTERILER!$T$7:$T$106,0)),IFERROR(INDEX(MUSTERILER!$B$7:$B$106,MATCH($D948,MUSTERILER!$B$7:$B$106,0)),IFERROR(INDEX(MUSTERILER!$B$7:$B$106,MATCH($R948&amp;"*",MUSTERILER!$T$7:$T$106,0)),"TANIMSIZ MÜŞTERİ"))))</f>
        <v/>
      </c>
      <c r="D948" s="109" t="n"/>
      <c r="E948" s="220" t="n"/>
      <c r="F948" s="221" t="n"/>
      <c r="G948" s="108" t="n"/>
      <c r="H948" s="108" t="n"/>
      <c r="I948" s="109" t="n"/>
      <c r="J948" s="109" t="n"/>
      <c r="K948" s="109" t="n"/>
      <c r="L948" s="226">
        <f>IF($E948="","",DATE(YEAR($E948),MONTH($E948),1))</f>
        <v/>
      </c>
      <c r="M948" s="113">
        <f>IF($D948="","",IF($C948="TANIMSIZ MÜŞTERİ","HATA",IF(OR($E948="",$F948&lt;=0,$G948=""),"EKSİK",IF($E948&gt;TODAY(),"İLERİ TARİH",IF(COUNTIF($S$7:$S$1506,$S948)&gt;1,"MÜKERRER?",IF($T948&gt;0,"KAPALI DÖNEM","UYGUN"))))))</f>
        <v/>
      </c>
      <c r="N948" s="121">
        <f>IF($C948="","",IF($C948="TANIMSIZ MÜŞTERİ","—",INDEX(MUSTERILER!$C$7:$C$106,MATCH($C948,MUSTERILER!$B$7:$B$106,0))))</f>
        <v/>
      </c>
      <c r="O948" s="6" t="n"/>
      <c r="P948" s="6" t="n"/>
      <c r="Q948" s="3">
        <f>IF($D948="","",$C948&amp;"|"&amp;COUNTIFS($C$7:$C948,$C948))</f>
        <v/>
      </c>
      <c r="R948" s="3">
        <f>IF($D948="","",UPPER(SUBSTITUTE(SUBSTITUTE(SUBSTITUTE(SUBSTITUTE(SUBSTITUTE(SUBSTITUTE(SUBSTITUTE(SUBSTITUTE(SUBSTITUTE(SUBSTITUTE(SUBSTITUTE(SUBSTITUTE(SUBSTITUTE(SUBSTITUTE(SUBSTITUTE(SUBSTITUTE(SUBSTITUTE(SUBSTITUTE(TRIM($D948),"'",""),"İ","I"),"ı","I"),"i","I"),"Ş","S"),"ş","S"),"Ğ","G"),"ğ","G"),"Ü","U"),"ü","U"),"Ö","O"),"ö","O"),"Ç","C"),"ç","C"),".",""),",","")," ",""),"-","")))</f>
        <v/>
      </c>
      <c r="S948" s="3">
        <f>IF($D948="","",$C948&amp;"|"&amp;TEXT($E948,"0")&amp;"|"&amp;TEXT($F948,"0")&amp;"|"&amp;$I948)</f>
        <v/>
      </c>
      <c r="T948" s="3">
        <f>IF($E948="",0,SUMPRODUCT((AY_SONU!$O$7:$O$42="Evet")*(AY_SONU!$B$7:$B$42=DATE(YEAR($E948),MONTH($E948),1))))</f>
        <v/>
      </c>
    </row>
    <row r="949">
      <c r="A949" s="6" t="n"/>
      <c r="B949" s="113">
        <f>IF($D949="","","T"&amp;TEXT(ROW()-6,"00000"))</f>
        <v/>
      </c>
      <c r="C949" s="113">
        <f>IF($D949="","",IFERROR(INDEX(MUSTERILER!$B$7:$B$106,MATCH($R949,MUSTERILER!$T$7:$T$106,0)),IFERROR(INDEX(MUSTERILER!$B$7:$B$106,MATCH($D949,MUSTERILER!$B$7:$B$106,0)),IFERROR(INDEX(MUSTERILER!$B$7:$B$106,MATCH($R949&amp;"*",MUSTERILER!$T$7:$T$106,0)),"TANIMSIZ MÜŞTERİ"))))</f>
        <v/>
      </c>
      <c r="D949" s="109" t="n"/>
      <c r="E949" s="220" t="n"/>
      <c r="F949" s="221" t="n"/>
      <c r="G949" s="108" t="n"/>
      <c r="H949" s="108" t="n"/>
      <c r="I949" s="109" t="n"/>
      <c r="J949" s="109" t="n"/>
      <c r="K949" s="109" t="n"/>
      <c r="L949" s="226">
        <f>IF($E949="","",DATE(YEAR($E949),MONTH($E949),1))</f>
        <v/>
      </c>
      <c r="M949" s="113">
        <f>IF($D949="","",IF($C949="TANIMSIZ MÜŞTERİ","HATA",IF(OR($E949="",$F949&lt;=0,$G949=""),"EKSİK",IF($E949&gt;TODAY(),"İLERİ TARİH",IF(COUNTIF($S$7:$S$1506,$S949)&gt;1,"MÜKERRER?",IF($T949&gt;0,"KAPALI DÖNEM","UYGUN"))))))</f>
        <v/>
      </c>
      <c r="N949" s="121">
        <f>IF($C949="","",IF($C949="TANIMSIZ MÜŞTERİ","—",INDEX(MUSTERILER!$C$7:$C$106,MATCH($C949,MUSTERILER!$B$7:$B$106,0))))</f>
        <v/>
      </c>
      <c r="O949" s="6" t="n"/>
      <c r="P949" s="6" t="n"/>
      <c r="Q949" s="3">
        <f>IF($D949="","",$C949&amp;"|"&amp;COUNTIFS($C$7:$C949,$C949))</f>
        <v/>
      </c>
      <c r="R949" s="3">
        <f>IF($D949="","",UPPER(SUBSTITUTE(SUBSTITUTE(SUBSTITUTE(SUBSTITUTE(SUBSTITUTE(SUBSTITUTE(SUBSTITUTE(SUBSTITUTE(SUBSTITUTE(SUBSTITUTE(SUBSTITUTE(SUBSTITUTE(SUBSTITUTE(SUBSTITUTE(SUBSTITUTE(SUBSTITUTE(SUBSTITUTE(SUBSTITUTE(TRIM($D949),"'",""),"İ","I"),"ı","I"),"i","I"),"Ş","S"),"ş","S"),"Ğ","G"),"ğ","G"),"Ü","U"),"ü","U"),"Ö","O"),"ö","O"),"Ç","C"),"ç","C"),".",""),",","")," ",""),"-","")))</f>
        <v/>
      </c>
      <c r="S949" s="3">
        <f>IF($D949="","",$C949&amp;"|"&amp;TEXT($E949,"0")&amp;"|"&amp;TEXT($F949,"0")&amp;"|"&amp;$I949)</f>
        <v/>
      </c>
      <c r="T949" s="3">
        <f>IF($E949="",0,SUMPRODUCT((AY_SONU!$O$7:$O$42="Evet")*(AY_SONU!$B$7:$B$42=DATE(YEAR($E949),MONTH($E949),1))))</f>
        <v/>
      </c>
    </row>
    <row r="950">
      <c r="A950" s="6" t="n"/>
      <c r="B950" s="113">
        <f>IF($D950="","","T"&amp;TEXT(ROW()-6,"00000"))</f>
        <v/>
      </c>
      <c r="C950" s="113">
        <f>IF($D950="","",IFERROR(INDEX(MUSTERILER!$B$7:$B$106,MATCH($R950,MUSTERILER!$T$7:$T$106,0)),IFERROR(INDEX(MUSTERILER!$B$7:$B$106,MATCH($D950,MUSTERILER!$B$7:$B$106,0)),IFERROR(INDEX(MUSTERILER!$B$7:$B$106,MATCH($R950&amp;"*",MUSTERILER!$T$7:$T$106,0)),"TANIMSIZ MÜŞTERİ"))))</f>
        <v/>
      </c>
      <c r="D950" s="109" t="n"/>
      <c r="E950" s="220" t="n"/>
      <c r="F950" s="221" t="n"/>
      <c r="G950" s="108" t="n"/>
      <c r="H950" s="108" t="n"/>
      <c r="I950" s="109" t="n"/>
      <c r="J950" s="109" t="n"/>
      <c r="K950" s="109" t="n"/>
      <c r="L950" s="226">
        <f>IF($E950="","",DATE(YEAR($E950),MONTH($E950),1))</f>
        <v/>
      </c>
      <c r="M950" s="113">
        <f>IF($D950="","",IF($C950="TANIMSIZ MÜŞTERİ","HATA",IF(OR($E950="",$F950&lt;=0,$G950=""),"EKSİK",IF($E950&gt;TODAY(),"İLERİ TARİH",IF(COUNTIF($S$7:$S$1506,$S950)&gt;1,"MÜKERRER?",IF($T950&gt;0,"KAPALI DÖNEM","UYGUN"))))))</f>
        <v/>
      </c>
      <c r="N950" s="121">
        <f>IF($C950="","",IF($C950="TANIMSIZ MÜŞTERİ","—",INDEX(MUSTERILER!$C$7:$C$106,MATCH($C950,MUSTERILER!$B$7:$B$106,0))))</f>
        <v/>
      </c>
      <c r="O950" s="6" t="n"/>
      <c r="P950" s="6" t="n"/>
      <c r="Q950" s="3">
        <f>IF($D950="","",$C950&amp;"|"&amp;COUNTIFS($C$7:$C950,$C950))</f>
        <v/>
      </c>
      <c r="R950" s="3">
        <f>IF($D950="","",UPPER(SUBSTITUTE(SUBSTITUTE(SUBSTITUTE(SUBSTITUTE(SUBSTITUTE(SUBSTITUTE(SUBSTITUTE(SUBSTITUTE(SUBSTITUTE(SUBSTITUTE(SUBSTITUTE(SUBSTITUTE(SUBSTITUTE(SUBSTITUTE(SUBSTITUTE(SUBSTITUTE(SUBSTITUTE(SUBSTITUTE(TRIM($D950),"'",""),"İ","I"),"ı","I"),"i","I"),"Ş","S"),"ş","S"),"Ğ","G"),"ğ","G"),"Ü","U"),"ü","U"),"Ö","O"),"ö","O"),"Ç","C"),"ç","C"),".",""),",","")," ",""),"-","")))</f>
        <v/>
      </c>
      <c r="S950" s="3">
        <f>IF($D950="","",$C950&amp;"|"&amp;TEXT($E950,"0")&amp;"|"&amp;TEXT($F950,"0")&amp;"|"&amp;$I950)</f>
        <v/>
      </c>
      <c r="T950" s="3">
        <f>IF($E950="",0,SUMPRODUCT((AY_SONU!$O$7:$O$42="Evet")*(AY_SONU!$B$7:$B$42=DATE(YEAR($E950),MONTH($E950),1))))</f>
        <v/>
      </c>
    </row>
    <row r="951">
      <c r="A951" s="6" t="n"/>
      <c r="B951" s="113">
        <f>IF($D951="","","T"&amp;TEXT(ROW()-6,"00000"))</f>
        <v/>
      </c>
      <c r="C951" s="113">
        <f>IF($D951="","",IFERROR(INDEX(MUSTERILER!$B$7:$B$106,MATCH($R951,MUSTERILER!$T$7:$T$106,0)),IFERROR(INDEX(MUSTERILER!$B$7:$B$106,MATCH($D951,MUSTERILER!$B$7:$B$106,0)),IFERROR(INDEX(MUSTERILER!$B$7:$B$106,MATCH($R951&amp;"*",MUSTERILER!$T$7:$T$106,0)),"TANIMSIZ MÜŞTERİ"))))</f>
        <v/>
      </c>
      <c r="D951" s="109" t="n"/>
      <c r="E951" s="220" t="n"/>
      <c r="F951" s="221" t="n"/>
      <c r="G951" s="108" t="n"/>
      <c r="H951" s="108" t="n"/>
      <c r="I951" s="109" t="n"/>
      <c r="J951" s="109" t="n"/>
      <c r="K951" s="109" t="n"/>
      <c r="L951" s="226">
        <f>IF($E951="","",DATE(YEAR($E951),MONTH($E951),1))</f>
        <v/>
      </c>
      <c r="M951" s="113">
        <f>IF($D951="","",IF($C951="TANIMSIZ MÜŞTERİ","HATA",IF(OR($E951="",$F951&lt;=0,$G951=""),"EKSİK",IF($E951&gt;TODAY(),"İLERİ TARİH",IF(COUNTIF($S$7:$S$1506,$S951)&gt;1,"MÜKERRER?",IF($T951&gt;0,"KAPALI DÖNEM","UYGUN"))))))</f>
        <v/>
      </c>
      <c r="N951" s="121">
        <f>IF($C951="","",IF($C951="TANIMSIZ MÜŞTERİ","—",INDEX(MUSTERILER!$C$7:$C$106,MATCH($C951,MUSTERILER!$B$7:$B$106,0))))</f>
        <v/>
      </c>
      <c r="O951" s="6" t="n"/>
      <c r="P951" s="6" t="n"/>
      <c r="Q951" s="3">
        <f>IF($D951="","",$C951&amp;"|"&amp;COUNTIFS($C$7:$C951,$C951))</f>
        <v/>
      </c>
      <c r="R951" s="3">
        <f>IF($D951="","",UPPER(SUBSTITUTE(SUBSTITUTE(SUBSTITUTE(SUBSTITUTE(SUBSTITUTE(SUBSTITUTE(SUBSTITUTE(SUBSTITUTE(SUBSTITUTE(SUBSTITUTE(SUBSTITUTE(SUBSTITUTE(SUBSTITUTE(SUBSTITUTE(SUBSTITUTE(SUBSTITUTE(SUBSTITUTE(SUBSTITUTE(TRIM($D951),"'",""),"İ","I"),"ı","I"),"i","I"),"Ş","S"),"ş","S"),"Ğ","G"),"ğ","G"),"Ü","U"),"ü","U"),"Ö","O"),"ö","O"),"Ç","C"),"ç","C"),".",""),",","")," ",""),"-","")))</f>
        <v/>
      </c>
      <c r="S951" s="3">
        <f>IF($D951="","",$C951&amp;"|"&amp;TEXT($E951,"0")&amp;"|"&amp;TEXT($F951,"0")&amp;"|"&amp;$I951)</f>
        <v/>
      </c>
      <c r="T951" s="3">
        <f>IF($E951="",0,SUMPRODUCT((AY_SONU!$O$7:$O$42="Evet")*(AY_SONU!$B$7:$B$42=DATE(YEAR($E951),MONTH($E951),1))))</f>
        <v/>
      </c>
    </row>
    <row r="952">
      <c r="A952" s="6" t="n"/>
      <c r="B952" s="113">
        <f>IF($D952="","","T"&amp;TEXT(ROW()-6,"00000"))</f>
        <v/>
      </c>
      <c r="C952" s="113">
        <f>IF($D952="","",IFERROR(INDEX(MUSTERILER!$B$7:$B$106,MATCH($R952,MUSTERILER!$T$7:$T$106,0)),IFERROR(INDEX(MUSTERILER!$B$7:$B$106,MATCH($D952,MUSTERILER!$B$7:$B$106,0)),IFERROR(INDEX(MUSTERILER!$B$7:$B$106,MATCH($R952&amp;"*",MUSTERILER!$T$7:$T$106,0)),"TANIMSIZ MÜŞTERİ"))))</f>
        <v/>
      </c>
      <c r="D952" s="109" t="n"/>
      <c r="E952" s="220" t="n"/>
      <c r="F952" s="221" t="n"/>
      <c r="G952" s="108" t="n"/>
      <c r="H952" s="108" t="n"/>
      <c r="I952" s="109" t="n"/>
      <c r="J952" s="109" t="n"/>
      <c r="K952" s="109" t="n"/>
      <c r="L952" s="226">
        <f>IF($E952="","",DATE(YEAR($E952),MONTH($E952),1))</f>
        <v/>
      </c>
      <c r="M952" s="113">
        <f>IF($D952="","",IF($C952="TANIMSIZ MÜŞTERİ","HATA",IF(OR($E952="",$F952&lt;=0,$G952=""),"EKSİK",IF($E952&gt;TODAY(),"İLERİ TARİH",IF(COUNTIF($S$7:$S$1506,$S952)&gt;1,"MÜKERRER?",IF($T952&gt;0,"KAPALI DÖNEM","UYGUN"))))))</f>
        <v/>
      </c>
      <c r="N952" s="121">
        <f>IF($C952="","",IF($C952="TANIMSIZ MÜŞTERİ","—",INDEX(MUSTERILER!$C$7:$C$106,MATCH($C952,MUSTERILER!$B$7:$B$106,0))))</f>
        <v/>
      </c>
      <c r="O952" s="6" t="n"/>
      <c r="P952" s="6" t="n"/>
      <c r="Q952" s="3">
        <f>IF($D952="","",$C952&amp;"|"&amp;COUNTIFS($C$7:$C952,$C952))</f>
        <v/>
      </c>
      <c r="R952" s="3">
        <f>IF($D952="","",UPPER(SUBSTITUTE(SUBSTITUTE(SUBSTITUTE(SUBSTITUTE(SUBSTITUTE(SUBSTITUTE(SUBSTITUTE(SUBSTITUTE(SUBSTITUTE(SUBSTITUTE(SUBSTITUTE(SUBSTITUTE(SUBSTITUTE(SUBSTITUTE(SUBSTITUTE(SUBSTITUTE(SUBSTITUTE(SUBSTITUTE(TRIM($D952),"'",""),"İ","I"),"ı","I"),"i","I"),"Ş","S"),"ş","S"),"Ğ","G"),"ğ","G"),"Ü","U"),"ü","U"),"Ö","O"),"ö","O"),"Ç","C"),"ç","C"),".",""),",","")," ",""),"-","")))</f>
        <v/>
      </c>
      <c r="S952" s="3">
        <f>IF($D952="","",$C952&amp;"|"&amp;TEXT($E952,"0")&amp;"|"&amp;TEXT($F952,"0")&amp;"|"&amp;$I952)</f>
        <v/>
      </c>
      <c r="T952" s="3">
        <f>IF($E952="",0,SUMPRODUCT((AY_SONU!$O$7:$O$42="Evet")*(AY_SONU!$B$7:$B$42=DATE(YEAR($E952),MONTH($E952),1))))</f>
        <v/>
      </c>
    </row>
    <row r="953">
      <c r="A953" s="6" t="n"/>
      <c r="B953" s="113">
        <f>IF($D953="","","T"&amp;TEXT(ROW()-6,"00000"))</f>
        <v/>
      </c>
      <c r="C953" s="113">
        <f>IF($D953="","",IFERROR(INDEX(MUSTERILER!$B$7:$B$106,MATCH($R953,MUSTERILER!$T$7:$T$106,0)),IFERROR(INDEX(MUSTERILER!$B$7:$B$106,MATCH($D953,MUSTERILER!$B$7:$B$106,0)),IFERROR(INDEX(MUSTERILER!$B$7:$B$106,MATCH($R953&amp;"*",MUSTERILER!$T$7:$T$106,0)),"TANIMSIZ MÜŞTERİ"))))</f>
        <v/>
      </c>
      <c r="D953" s="109" t="n"/>
      <c r="E953" s="220" t="n"/>
      <c r="F953" s="221" t="n"/>
      <c r="G953" s="108" t="n"/>
      <c r="H953" s="108" t="n"/>
      <c r="I953" s="109" t="n"/>
      <c r="J953" s="109" t="n"/>
      <c r="K953" s="109" t="n"/>
      <c r="L953" s="226">
        <f>IF($E953="","",DATE(YEAR($E953),MONTH($E953),1))</f>
        <v/>
      </c>
      <c r="M953" s="113">
        <f>IF($D953="","",IF($C953="TANIMSIZ MÜŞTERİ","HATA",IF(OR($E953="",$F953&lt;=0,$G953=""),"EKSİK",IF($E953&gt;TODAY(),"İLERİ TARİH",IF(COUNTIF($S$7:$S$1506,$S953)&gt;1,"MÜKERRER?",IF($T953&gt;0,"KAPALI DÖNEM","UYGUN"))))))</f>
        <v/>
      </c>
      <c r="N953" s="121">
        <f>IF($C953="","",IF($C953="TANIMSIZ MÜŞTERİ","—",INDEX(MUSTERILER!$C$7:$C$106,MATCH($C953,MUSTERILER!$B$7:$B$106,0))))</f>
        <v/>
      </c>
      <c r="O953" s="6" t="n"/>
      <c r="P953" s="6" t="n"/>
      <c r="Q953" s="3">
        <f>IF($D953="","",$C953&amp;"|"&amp;COUNTIFS($C$7:$C953,$C953))</f>
        <v/>
      </c>
      <c r="R953" s="3">
        <f>IF($D953="","",UPPER(SUBSTITUTE(SUBSTITUTE(SUBSTITUTE(SUBSTITUTE(SUBSTITUTE(SUBSTITUTE(SUBSTITUTE(SUBSTITUTE(SUBSTITUTE(SUBSTITUTE(SUBSTITUTE(SUBSTITUTE(SUBSTITUTE(SUBSTITUTE(SUBSTITUTE(SUBSTITUTE(SUBSTITUTE(SUBSTITUTE(TRIM($D953),"'",""),"İ","I"),"ı","I"),"i","I"),"Ş","S"),"ş","S"),"Ğ","G"),"ğ","G"),"Ü","U"),"ü","U"),"Ö","O"),"ö","O"),"Ç","C"),"ç","C"),".",""),",","")," ",""),"-","")))</f>
        <v/>
      </c>
      <c r="S953" s="3">
        <f>IF($D953="","",$C953&amp;"|"&amp;TEXT($E953,"0")&amp;"|"&amp;TEXT($F953,"0")&amp;"|"&amp;$I953)</f>
        <v/>
      </c>
      <c r="T953" s="3">
        <f>IF($E953="",0,SUMPRODUCT((AY_SONU!$O$7:$O$42="Evet")*(AY_SONU!$B$7:$B$42=DATE(YEAR($E953),MONTH($E953),1))))</f>
        <v/>
      </c>
    </row>
    <row r="954">
      <c r="A954" s="6" t="n"/>
      <c r="B954" s="113">
        <f>IF($D954="","","T"&amp;TEXT(ROW()-6,"00000"))</f>
        <v/>
      </c>
      <c r="C954" s="113">
        <f>IF($D954="","",IFERROR(INDEX(MUSTERILER!$B$7:$B$106,MATCH($R954,MUSTERILER!$T$7:$T$106,0)),IFERROR(INDEX(MUSTERILER!$B$7:$B$106,MATCH($D954,MUSTERILER!$B$7:$B$106,0)),IFERROR(INDEX(MUSTERILER!$B$7:$B$106,MATCH($R954&amp;"*",MUSTERILER!$T$7:$T$106,0)),"TANIMSIZ MÜŞTERİ"))))</f>
        <v/>
      </c>
      <c r="D954" s="109" t="n"/>
      <c r="E954" s="220" t="n"/>
      <c r="F954" s="221" t="n"/>
      <c r="G954" s="108" t="n"/>
      <c r="H954" s="108" t="n"/>
      <c r="I954" s="109" t="n"/>
      <c r="J954" s="109" t="n"/>
      <c r="K954" s="109" t="n"/>
      <c r="L954" s="226">
        <f>IF($E954="","",DATE(YEAR($E954),MONTH($E954),1))</f>
        <v/>
      </c>
      <c r="M954" s="113">
        <f>IF($D954="","",IF($C954="TANIMSIZ MÜŞTERİ","HATA",IF(OR($E954="",$F954&lt;=0,$G954=""),"EKSİK",IF($E954&gt;TODAY(),"İLERİ TARİH",IF(COUNTIF($S$7:$S$1506,$S954)&gt;1,"MÜKERRER?",IF($T954&gt;0,"KAPALI DÖNEM","UYGUN"))))))</f>
        <v/>
      </c>
      <c r="N954" s="121">
        <f>IF($C954="","",IF($C954="TANIMSIZ MÜŞTERİ","—",INDEX(MUSTERILER!$C$7:$C$106,MATCH($C954,MUSTERILER!$B$7:$B$106,0))))</f>
        <v/>
      </c>
      <c r="O954" s="6" t="n"/>
      <c r="P954" s="6" t="n"/>
      <c r="Q954" s="3">
        <f>IF($D954="","",$C954&amp;"|"&amp;COUNTIFS($C$7:$C954,$C954))</f>
        <v/>
      </c>
      <c r="R954" s="3">
        <f>IF($D954="","",UPPER(SUBSTITUTE(SUBSTITUTE(SUBSTITUTE(SUBSTITUTE(SUBSTITUTE(SUBSTITUTE(SUBSTITUTE(SUBSTITUTE(SUBSTITUTE(SUBSTITUTE(SUBSTITUTE(SUBSTITUTE(SUBSTITUTE(SUBSTITUTE(SUBSTITUTE(SUBSTITUTE(SUBSTITUTE(SUBSTITUTE(TRIM($D954),"'",""),"İ","I"),"ı","I"),"i","I"),"Ş","S"),"ş","S"),"Ğ","G"),"ğ","G"),"Ü","U"),"ü","U"),"Ö","O"),"ö","O"),"Ç","C"),"ç","C"),".",""),",","")," ",""),"-","")))</f>
        <v/>
      </c>
      <c r="S954" s="3">
        <f>IF($D954="","",$C954&amp;"|"&amp;TEXT($E954,"0")&amp;"|"&amp;TEXT($F954,"0")&amp;"|"&amp;$I954)</f>
        <v/>
      </c>
      <c r="T954" s="3">
        <f>IF($E954="",0,SUMPRODUCT((AY_SONU!$O$7:$O$42="Evet")*(AY_SONU!$B$7:$B$42=DATE(YEAR($E954),MONTH($E954),1))))</f>
        <v/>
      </c>
    </row>
    <row r="955">
      <c r="A955" s="6" t="n"/>
      <c r="B955" s="113">
        <f>IF($D955="","","T"&amp;TEXT(ROW()-6,"00000"))</f>
        <v/>
      </c>
      <c r="C955" s="113">
        <f>IF($D955="","",IFERROR(INDEX(MUSTERILER!$B$7:$B$106,MATCH($R955,MUSTERILER!$T$7:$T$106,0)),IFERROR(INDEX(MUSTERILER!$B$7:$B$106,MATCH($D955,MUSTERILER!$B$7:$B$106,0)),IFERROR(INDEX(MUSTERILER!$B$7:$B$106,MATCH($R955&amp;"*",MUSTERILER!$T$7:$T$106,0)),"TANIMSIZ MÜŞTERİ"))))</f>
        <v/>
      </c>
      <c r="D955" s="109" t="n"/>
      <c r="E955" s="220" t="n"/>
      <c r="F955" s="221" t="n"/>
      <c r="G955" s="108" t="n"/>
      <c r="H955" s="108" t="n"/>
      <c r="I955" s="109" t="n"/>
      <c r="J955" s="109" t="n"/>
      <c r="K955" s="109" t="n"/>
      <c r="L955" s="226">
        <f>IF($E955="","",DATE(YEAR($E955),MONTH($E955),1))</f>
        <v/>
      </c>
      <c r="M955" s="113">
        <f>IF($D955="","",IF($C955="TANIMSIZ MÜŞTERİ","HATA",IF(OR($E955="",$F955&lt;=0,$G955=""),"EKSİK",IF($E955&gt;TODAY(),"İLERİ TARİH",IF(COUNTIF($S$7:$S$1506,$S955)&gt;1,"MÜKERRER?",IF($T955&gt;0,"KAPALI DÖNEM","UYGUN"))))))</f>
        <v/>
      </c>
      <c r="N955" s="121">
        <f>IF($C955="","",IF($C955="TANIMSIZ MÜŞTERİ","—",INDEX(MUSTERILER!$C$7:$C$106,MATCH($C955,MUSTERILER!$B$7:$B$106,0))))</f>
        <v/>
      </c>
      <c r="O955" s="6" t="n"/>
      <c r="P955" s="6" t="n"/>
      <c r="Q955" s="3">
        <f>IF($D955="","",$C955&amp;"|"&amp;COUNTIFS($C$7:$C955,$C955))</f>
        <v/>
      </c>
      <c r="R955" s="3">
        <f>IF($D955="","",UPPER(SUBSTITUTE(SUBSTITUTE(SUBSTITUTE(SUBSTITUTE(SUBSTITUTE(SUBSTITUTE(SUBSTITUTE(SUBSTITUTE(SUBSTITUTE(SUBSTITUTE(SUBSTITUTE(SUBSTITUTE(SUBSTITUTE(SUBSTITUTE(SUBSTITUTE(SUBSTITUTE(SUBSTITUTE(SUBSTITUTE(TRIM($D955),"'",""),"İ","I"),"ı","I"),"i","I"),"Ş","S"),"ş","S"),"Ğ","G"),"ğ","G"),"Ü","U"),"ü","U"),"Ö","O"),"ö","O"),"Ç","C"),"ç","C"),".",""),",","")," ",""),"-","")))</f>
        <v/>
      </c>
      <c r="S955" s="3">
        <f>IF($D955="","",$C955&amp;"|"&amp;TEXT($E955,"0")&amp;"|"&amp;TEXT($F955,"0")&amp;"|"&amp;$I955)</f>
        <v/>
      </c>
      <c r="T955" s="3">
        <f>IF($E955="",0,SUMPRODUCT((AY_SONU!$O$7:$O$42="Evet")*(AY_SONU!$B$7:$B$42=DATE(YEAR($E955),MONTH($E955),1))))</f>
        <v/>
      </c>
    </row>
    <row r="956">
      <c r="A956" s="6" t="n"/>
      <c r="B956" s="113">
        <f>IF($D956="","","T"&amp;TEXT(ROW()-6,"00000"))</f>
        <v/>
      </c>
      <c r="C956" s="113">
        <f>IF($D956="","",IFERROR(INDEX(MUSTERILER!$B$7:$B$106,MATCH($R956,MUSTERILER!$T$7:$T$106,0)),IFERROR(INDEX(MUSTERILER!$B$7:$B$106,MATCH($D956,MUSTERILER!$B$7:$B$106,0)),IFERROR(INDEX(MUSTERILER!$B$7:$B$106,MATCH($R956&amp;"*",MUSTERILER!$T$7:$T$106,0)),"TANIMSIZ MÜŞTERİ"))))</f>
        <v/>
      </c>
      <c r="D956" s="109" t="n"/>
      <c r="E956" s="220" t="n"/>
      <c r="F956" s="221" t="n"/>
      <c r="G956" s="108" t="n"/>
      <c r="H956" s="108" t="n"/>
      <c r="I956" s="109" t="n"/>
      <c r="J956" s="109" t="n"/>
      <c r="K956" s="109" t="n"/>
      <c r="L956" s="226">
        <f>IF($E956="","",DATE(YEAR($E956),MONTH($E956),1))</f>
        <v/>
      </c>
      <c r="M956" s="113">
        <f>IF($D956="","",IF($C956="TANIMSIZ MÜŞTERİ","HATA",IF(OR($E956="",$F956&lt;=0,$G956=""),"EKSİK",IF($E956&gt;TODAY(),"İLERİ TARİH",IF(COUNTIF($S$7:$S$1506,$S956)&gt;1,"MÜKERRER?",IF($T956&gt;0,"KAPALI DÖNEM","UYGUN"))))))</f>
        <v/>
      </c>
      <c r="N956" s="121">
        <f>IF($C956="","",IF($C956="TANIMSIZ MÜŞTERİ","—",INDEX(MUSTERILER!$C$7:$C$106,MATCH($C956,MUSTERILER!$B$7:$B$106,0))))</f>
        <v/>
      </c>
      <c r="O956" s="6" t="n"/>
      <c r="P956" s="6" t="n"/>
      <c r="Q956" s="3">
        <f>IF($D956="","",$C956&amp;"|"&amp;COUNTIFS($C$7:$C956,$C956))</f>
        <v/>
      </c>
      <c r="R956" s="3">
        <f>IF($D956="","",UPPER(SUBSTITUTE(SUBSTITUTE(SUBSTITUTE(SUBSTITUTE(SUBSTITUTE(SUBSTITUTE(SUBSTITUTE(SUBSTITUTE(SUBSTITUTE(SUBSTITUTE(SUBSTITUTE(SUBSTITUTE(SUBSTITUTE(SUBSTITUTE(SUBSTITUTE(SUBSTITUTE(SUBSTITUTE(SUBSTITUTE(TRIM($D956),"'",""),"İ","I"),"ı","I"),"i","I"),"Ş","S"),"ş","S"),"Ğ","G"),"ğ","G"),"Ü","U"),"ü","U"),"Ö","O"),"ö","O"),"Ç","C"),"ç","C"),".",""),",","")," ",""),"-","")))</f>
        <v/>
      </c>
      <c r="S956" s="3">
        <f>IF($D956="","",$C956&amp;"|"&amp;TEXT($E956,"0")&amp;"|"&amp;TEXT($F956,"0")&amp;"|"&amp;$I956)</f>
        <v/>
      </c>
      <c r="T956" s="3">
        <f>IF($E956="",0,SUMPRODUCT((AY_SONU!$O$7:$O$42="Evet")*(AY_SONU!$B$7:$B$42=DATE(YEAR($E956),MONTH($E956),1))))</f>
        <v/>
      </c>
    </row>
    <row r="957">
      <c r="A957" s="6" t="n"/>
      <c r="B957" s="113">
        <f>IF($D957="","","T"&amp;TEXT(ROW()-6,"00000"))</f>
        <v/>
      </c>
      <c r="C957" s="113">
        <f>IF($D957="","",IFERROR(INDEX(MUSTERILER!$B$7:$B$106,MATCH($R957,MUSTERILER!$T$7:$T$106,0)),IFERROR(INDEX(MUSTERILER!$B$7:$B$106,MATCH($D957,MUSTERILER!$B$7:$B$106,0)),IFERROR(INDEX(MUSTERILER!$B$7:$B$106,MATCH($R957&amp;"*",MUSTERILER!$T$7:$T$106,0)),"TANIMSIZ MÜŞTERİ"))))</f>
        <v/>
      </c>
      <c r="D957" s="109" t="n"/>
      <c r="E957" s="220" t="n"/>
      <c r="F957" s="221" t="n"/>
      <c r="G957" s="108" t="n"/>
      <c r="H957" s="108" t="n"/>
      <c r="I957" s="109" t="n"/>
      <c r="J957" s="109" t="n"/>
      <c r="K957" s="109" t="n"/>
      <c r="L957" s="226">
        <f>IF($E957="","",DATE(YEAR($E957),MONTH($E957),1))</f>
        <v/>
      </c>
      <c r="M957" s="113">
        <f>IF($D957="","",IF($C957="TANIMSIZ MÜŞTERİ","HATA",IF(OR($E957="",$F957&lt;=0,$G957=""),"EKSİK",IF($E957&gt;TODAY(),"İLERİ TARİH",IF(COUNTIF($S$7:$S$1506,$S957)&gt;1,"MÜKERRER?",IF($T957&gt;0,"KAPALI DÖNEM","UYGUN"))))))</f>
        <v/>
      </c>
      <c r="N957" s="121">
        <f>IF($C957="","",IF($C957="TANIMSIZ MÜŞTERİ","—",INDEX(MUSTERILER!$C$7:$C$106,MATCH($C957,MUSTERILER!$B$7:$B$106,0))))</f>
        <v/>
      </c>
      <c r="O957" s="6" t="n"/>
      <c r="P957" s="6" t="n"/>
      <c r="Q957" s="3">
        <f>IF($D957="","",$C957&amp;"|"&amp;COUNTIFS($C$7:$C957,$C957))</f>
        <v/>
      </c>
      <c r="R957" s="3">
        <f>IF($D957="","",UPPER(SUBSTITUTE(SUBSTITUTE(SUBSTITUTE(SUBSTITUTE(SUBSTITUTE(SUBSTITUTE(SUBSTITUTE(SUBSTITUTE(SUBSTITUTE(SUBSTITUTE(SUBSTITUTE(SUBSTITUTE(SUBSTITUTE(SUBSTITUTE(SUBSTITUTE(SUBSTITUTE(SUBSTITUTE(SUBSTITUTE(TRIM($D957),"'",""),"İ","I"),"ı","I"),"i","I"),"Ş","S"),"ş","S"),"Ğ","G"),"ğ","G"),"Ü","U"),"ü","U"),"Ö","O"),"ö","O"),"Ç","C"),"ç","C"),".",""),",","")," ",""),"-","")))</f>
        <v/>
      </c>
      <c r="S957" s="3">
        <f>IF($D957="","",$C957&amp;"|"&amp;TEXT($E957,"0")&amp;"|"&amp;TEXT($F957,"0")&amp;"|"&amp;$I957)</f>
        <v/>
      </c>
      <c r="T957" s="3">
        <f>IF($E957="",0,SUMPRODUCT((AY_SONU!$O$7:$O$42="Evet")*(AY_SONU!$B$7:$B$42=DATE(YEAR($E957),MONTH($E957),1))))</f>
        <v/>
      </c>
    </row>
    <row r="958">
      <c r="A958" s="6" t="n"/>
      <c r="B958" s="113">
        <f>IF($D958="","","T"&amp;TEXT(ROW()-6,"00000"))</f>
        <v/>
      </c>
      <c r="C958" s="113">
        <f>IF($D958="","",IFERROR(INDEX(MUSTERILER!$B$7:$B$106,MATCH($R958,MUSTERILER!$T$7:$T$106,0)),IFERROR(INDEX(MUSTERILER!$B$7:$B$106,MATCH($D958,MUSTERILER!$B$7:$B$106,0)),IFERROR(INDEX(MUSTERILER!$B$7:$B$106,MATCH($R958&amp;"*",MUSTERILER!$T$7:$T$106,0)),"TANIMSIZ MÜŞTERİ"))))</f>
        <v/>
      </c>
      <c r="D958" s="109" t="n"/>
      <c r="E958" s="220" t="n"/>
      <c r="F958" s="221" t="n"/>
      <c r="G958" s="108" t="n"/>
      <c r="H958" s="108" t="n"/>
      <c r="I958" s="109" t="n"/>
      <c r="J958" s="109" t="n"/>
      <c r="K958" s="109" t="n"/>
      <c r="L958" s="226">
        <f>IF($E958="","",DATE(YEAR($E958),MONTH($E958),1))</f>
        <v/>
      </c>
      <c r="M958" s="113">
        <f>IF($D958="","",IF($C958="TANIMSIZ MÜŞTERİ","HATA",IF(OR($E958="",$F958&lt;=0,$G958=""),"EKSİK",IF($E958&gt;TODAY(),"İLERİ TARİH",IF(COUNTIF($S$7:$S$1506,$S958)&gt;1,"MÜKERRER?",IF($T958&gt;0,"KAPALI DÖNEM","UYGUN"))))))</f>
        <v/>
      </c>
      <c r="N958" s="121">
        <f>IF($C958="","",IF($C958="TANIMSIZ MÜŞTERİ","—",INDEX(MUSTERILER!$C$7:$C$106,MATCH($C958,MUSTERILER!$B$7:$B$106,0))))</f>
        <v/>
      </c>
      <c r="O958" s="6" t="n"/>
      <c r="P958" s="6" t="n"/>
      <c r="Q958" s="3">
        <f>IF($D958="","",$C958&amp;"|"&amp;COUNTIFS($C$7:$C958,$C958))</f>
        <v/>
      </c>
      <c r="R958" s="3">
        <f>IF($D958="","",UPPER(SUBSTITUTE(SUBSTITUTE(SUBSTITUTE(SUBSTITUTE(SUBSTITUTE(SUBSTITUTE(SUBSTITUTE(SUBSTITUTE(SUBSTITUTE(SUBSTITUTE(SUBSTITUTE(SUBSTITUTE(SUBSTITUTE(SUBSTITUTE(SUBSTITUTE(SUBSTITUTE(SUBSTITUTE(SUBSTITUTE(TRIM($D958),"'",""),"İ","I"),"ı","I"),"i","I"),"Ş","S"),"ş","S"),"Ğ","G"),"ğ","G"),"Ü","U"),"ü","U"),"Ö","O"),"ö","O"),"Ç","C"),"ç","C"),".",""),",","")," ",""),"-","")))</f>
        <v/>
      </c>
      <c r="S958" s="3">
        <f>IF($D958="","",$C958&amp;"|"&amp;TEXT($E958,"0")&amp;"|"&amp;TEXT($F958,"0")&amp;"|"&amp;$I958)</f>
        <v/>
      </c>
      <c r="T958" s="3">
        <f>IF($E958="",0,SUMPRODUCT((AY_SONU!$O$7:$O$42="Evet")*(AY_SONU!$B$7:$B$42=DATE(YEAR($E958),MONTH($E958),1))))</f>
        <v/>
      </c>
    </row>
    <row r="959">
      <c r="A959" s="6" t="n"/>
      <c r="B959" s="113">
        <f>IF($D959="","","T"&amp;TEXT(ROW()-6,"00000"))</f>
        <v/>
      </c>
      <c r="C959" s="113">
        <f>IF($D959="","",IFERROR(INDEX(MUSTERILER!$B$7:$B$106,MATCH($R959,MUSTERILER!$T$7:$T$106,0)),IFERROR(INDEX(MUSTERILER!$B$7:$B$106,MATCH($D959,MUSTERILER!$B$7:$B$106,0)),IFERROR(INDEX(MUSTERILER!$B$7:$B$106,MATCH($R959&amp;"*",MUSTERILER!$T$7:$T$106,0)),"TANIMSIZ MÜŞTERİ"))))</f>
        <v/>
      </c>
      <c r="D959" s="109" t="n"/>
      <c r="E959" s="220" t="n"/>
      <c r="F959" s="221" t="n"/>
      <c r="G959" s="108" t="n"/>
      <c r="H959" s="108" t="n"/>
      <c r="I959" s="109" t="n"/>
      <c r="J959" s="109" t="n"/>
      <c r="K959" s="109" t="n"/>
      <c r="L959" s="226">
        <f>IF($E959="","",DATE(YEAR($E959),MONTH($E959),1))</f>
        <v/>
      </c>
      <c r="M959" s="113">
        <f>IF($D959="","",IF($C959="TANIMSIZ MÜŞTERİ","HATA",IF(OR($E959="",$F959&lt;=0,$G959=""),"EKSİK",IF($E959&gt;TODAY(),"İLERİ TARİH",IF(COUNTIF($S$7:$S$1506,$S959)&gt;1,"MÜKERRER?",IF($T959&gt;0,"KAPALI DÖNEM","UYGUN"))))))</f>
        <v/>
      </c>
      <c r="N959" s="121">
        <f>IF($C959="","",IF($C959="TANIMSIZ MÜŞTERİ","—",INDEX(MUSTERILER!$C$7:$C$106,MATCH($C959,MUSTERILER!$B$7:$B$106,0))))</f>
        <v/>
      </c>
      <c r="O959" s="6" t="n"/>
      <c r="P959" s="6" t="n"/>
      <c r="Q959" s="3">
        <f>IF($D959="","",$C959&amp;"|"&amp;COUNTIFS($C$7:$C959,$C959))</f>
        <v/>
      </c>
      <c r="R959" s="3">
        <f>IF($D959="","",UPPER(SUBSTITUTE(SUBSTITUTE(SUBSTITUTE(SUBSTITUTE(SUBSTITUTE(SUBSTITUTE(SUBSTITUTE(SUBSTITUTE(SUBSTITUTE(SUBSTITUTE(SUBSTITUTE(SUBSTITUTE(SUBSTITUTE(SUBSTITUTE(SUBSTITUTE(SUBSTITUTE(SUBSTITUTE(SUBSTITUTE(TRIM($D959),"'",""),"İ","I"),"ı","I"),"i","I"),"Ş","S"),"ş","S"),"Ğ","G"),"ğ","G"),"Ü","U"),"ü","U"),"Ö","O"),"ö","O"),"Ç","C"),"ç","C"),".",""),",","")," ",""),"-","")))</f>
        <v/>
      </c>
      <c r="S959" s="3">
        <f>IF($D959="","",$C959&amp;"|"&amp;TEXT($E959,"0")&amp;"|"&amp;TEXT($F959,"0")&amp;"|"&amp;$I959)</f>
        <v/>
      </c>
      <c r="T959" s="3">
        <f>IF($E959="",0,SUMPRODUCT((AY_SONU!$O$7:$O$42="Evet")*(AY_SONU!$B$7:$B$42=DATE(YEAR($E959),MONTH($E959),1))))</f>
        <v/>
      </c>
    </row>
    <row r="960">
      <c r="A960" s="6" t="n"/>
      <c r="B960" s="113">
        <f>IF($D960="","","T"&amp;TEXT(ROW()-6,"00000"))</f>
        <v/>
      </c>
      <c r="C960" s="113">
        <f>IF($D960="","",IFERROR(INDEX(MUSTERILER!$B$7:$B$106,MATCH($R960,MUSTERILER!$T$7:$T$106,0)),IFERROR(INDEX(MUSTERILER!$B$7:$B$106,MATCH($D960,MUSTERILER!$B$7:$B$106,0)),IFERROR(INDEX(MUSTERILER!$B$7:$B$106,MATCH($R960&amp;"*",MUSTERILER!$T$7:$T$106,0)),"TANIMSIZ MÜŞTERİ"))))</f>
        <v/>
      </c>
      <c r="D960" s="109" t="n"/>
      <c r="E960" s="220" t="n"/>
      <c r="F960" s="221" t="n"/>
      <c r="G960" s="108" t="n"/>
      <c r="H960" s="108" t="n"/>
      <c r="I960" s="109" t="n"/>
      <c r="J960" s="109" t="n"/>
      <c r="K960" s="109" t="n"/>
      <c r="L960" s="226">
        <f>IF($E960="","",DATE(YEAR($E960),MONTH($E960),1))</f>
        <v/>
      </c>
      <c r="M960" s="113">
        <f>IF($D960="","",IF($C960="TANIMSIZ MÜŞTERİ","HATA",IF(OR($E960="",$F960&lt;=0,$G960=""),"EKSİK",IF($E960&gt;TODAY(),"İLERİ TARİH",IF(COUNTIF($S$7:$S$1506,$S960)&gt;1,"MÜKERRER?",IF($T960&gt;0,"KAPALI DÖNEM","UYGUN"))))))</f>
        <v/>
      </c>
      <c r="N960" s="121">
        <f>IF($C960="","",IF($C960="TANIMSIZ MÜŞTERİ","—",INDEX(MUSTERILER!$C$7:$C$106,MATCH($C960,MUSTERILER!$B$7:$B$106,0))))</f>
        <v/>
      </c>
      <c r="O960" s="6" t="n"/>
      <c r="P960" s="6" t="n"/>
      <c r="Q960" s="3">
        <f>IF($D960="","",$C960&amp;"|"&amp;COUNTIFS($C$7:$C960,$C960))</f>
        <v/>
      </c>
      <c r="R960" s="3">
        <f>IF($D960="","",UPPER(SUBSTITUTE(SUBSTITUTE(SUBSTITUTE(SUBSTITUTE(SUBSTITUTE(SUBSTITUTE(SUBSTITUTE(SUBSTITUTE(SUBSTITUTE(SUBSTITUTE(SUBSTITUTE(SUBSTITUTE(SUBSTITUTE(SUBSTITUTE(SUBSTITUTE(SUBSTITUTE(SUBSTITUTE(SUBSTITUTE(TRIM($D960),"'",""),"İ","I"),"ı","I"),"i","I"),"Ş","S"),"ş","S"),"Ğ","G"),"ğ","G"),"Ü","U"),"ü","U"),"Ö","O"),"ö","O"),"Ç","C"),"ç","C"),".",""),",","")," ",""),"-","")))</f>
        <v/>
      </c>
      <c r="S960" s="3">
        <f>IF($D960="","",$C960&amp;"|"&amp;TEXT($E960,"0")&amp;"|"&amp;TEXT($F960,"0")&amp;"|"&amp;$I960)</f>
        <v/>
      </c>
      <c r="T960" s="3">
        <f>IF($E960="",0,SUMPRODUCT((AY_SONU!$O$7:$O$42="Evet")*(AY_SONU!$B$7:$B$42=DATE(YEAR($E960),MONTH($E960),1))))</f>
        <v/>
      </c>
    </row>
    <row r="961">
      <c r="A961" s="6" t="n"/>
      <c r="B961" s="113">
        <f>IF($D961="","","T"&amp;TEXT(ROW()-6,"00000"))</f>
        <v/>
      </c>
      <c r="C961" s="113">
        <f>IF($D961="","",IFERROR(INDEX(MUSTERILER!$B$7:$B$106,MATCH($R961,MUSTERILER!$T$7:$T$106,0)),IFERROR(INDEX(MUSTERILER!$B$7:$B$106,MATCH($D961,MUSTERILER!$B$7:$B$106,0)),IFERROR(INDEX(MUSTERILER!$B$7:$B$106,MATCH($R961&amp;"*",MUSTERILER!$T$7:$T$106,0)),"TANIMSIZ MÜŞTERİ"))))</f>
        <v/>
      </c>
      <c r="D961" s="109" t="n"/>
      <c r="E961" s="220" t="n"/>
      <c r="F961" s="221" t="n"/>
      <c r="G961" s="108" t="n"/>
      <c r="H961" s="108" t="n"/>
      <c r="I961" s="109" t="n"/>
      <c r="J961" s="109" t="n"/>
      <c r="K961" s="109" t="n"/>
      <c r="L961" s="226">
        <f>IF($E961="","",DATE(YEAR($E961),MONTH($E961),1))</f>
        <v/>
      </c>
      <c r="M961" s="113">
        <f>IF($D961="","",IF($C961="TANIMSIZ MÜŞTERİ","HATA",IF(OR($E961="",$F961&lt;=0,$G961=""),"EKSİK",IF($E961&gt;TODAY(),"İLERİ TARİH",IF(COUNTIF($S$7:$S$1506,$S961)&gt;1,"MÜKERRER?",IF($T961&gt;0,"KAPALI DÖNEM","UYGUN"))))))</f>
        <v/>
      </c>
      <c r="N961" s="121">
        <f>IF($C961="","",IF($C961="TANIMSIZ MÜŞTERİ","—",INDEX(MUSTERILER!$C$7:$C$106,MATCH($C961,MUSTERILER!$B$7:$B$106,0))))</f>
        <v/>
      </c>
      <c r="O961" s="6" t="n"/>
      <c r="P961" s="6" t="n"/>
      <c r="Q961" s="3">
        <f>IF($D961="","",$C961&amp;"|"&amp;COUNTIFS($C$7:$C961,$C961))</f>
        <v/>
      </c>
      <c r="R961" s="3">
        <f>IF($D961="","",UPPER(SUBSTITUTE(SUBSTITUTE(SUBSTITUTE(SUBSTITUTE(SUBSTITUTE(SUBSTITUTE(SUBSTITUTE(SUBSTITUTE(SUBSTITUTE(SUBSTITUTE(SUBSTITUTE(SUBSTITUTE(SUBSTITUTE(SUBSTITUTE(SUBSTITUTE(SUBSTITUTE(SUBSTITUTE(SUBSTITUTE(TRIM($D961),"'",""),"İ","I"),"ı","I"),"i","I"),"Ş","S"),"ş","S"),"Ğ","G"),"ğ","G"),"Ü","U"),"ü","U"),"Ö","O"),"ö","O"),"Ç","C"),"ç","C"),".",""),",","")," ",""),"-","")))</f>
        <v/>
      </c>
      <c r="S961" s="3">
        <f>IF($D961="","",$C961&amp;"|"&amp;TEXT($E961,"0")&amp;"|"&amp;TEXT($F961,"0")&amp;"|"&amp;$I961)</f>
        <v/>
      </c>
      <c r="T961" s="3">
        <f>IF($E961="",0,SUMPRODUCT((AY_SONU!$O$7:$O$42="Evet")*(AY_SONU!$B$7:$B$42=DATE(YEAR($E961),MONTH($E961),1))))</f>
        <v/>
      </c>
    </row>
    <row r="962">
      <c r="A962" s="6" t="n"/>
      <c r="B962" s="113">
        <f>IF($D962="","","T"&amp;TEXT(ROW()-6,"00000"))</f>
        <v/>
      </c>
      <c r="C962" s="113">
        <f>IF($D962="","",IFERROR(INDEX(MUSTERILER!$B$7:$B$106,MATCH($R962,MUSTERILER!$T$7:$T$106,0)),IFERROR(INDEX(MUSTERILER!$B$7:$B$106,MATCH($D962,MUSTERILER!$B$7:$B$106,0)),IFERROR(INDEX(MUSTERILER!$B$7:$B$106,MATCH($R962&amp;"*",MUSTERILER!$T$7:$T$106,0)),"TANIMSIZ MÜŞTERİ"))))</f>
        <v/>
      </c>
      <c r="D962" s="109" t="n"/>
      <c r="E962" s="220" t="n"/>
      <c r="F962" s="221" t="n"/>
      <c r="G962" s="108" t="n"/>
      <c r="H962" s="108" t="n"/>
      <c r="I962" s="109" t="n"/>
      <c r="J962" s="109" t="n"/>
      <c r="K962" s="109" t="n"/>
      <c r="L962" s="226">
        <f>IF($E962="","",DATE(YEAR($E962),MONTH($E962),1))</f>
        <v/>
      </c>
      <c r="M962" s="113">
        <f>IF($D962="","",IF($C962="TANIMSIZ MÜŞTERİ","HATA",IF(OR($E962="",$F962&lt;=0,$G962=""),"EKSİK",IF($E962&gt;TODAY(),"İLERİ TARİH",IF(COUNTIF($S$7:$S$1506,$S962)&gt;1,"MÜKERRER?",IF($T962&gt;0,"KAPALI DÖNEM","UYGUN"))))))</f>
        <v/>
      </c>
      <c r="N962" s="121">
        <f>IF($C962="","",IF($C962="TANIMSIZ MÜŞTERİ","—",INDEX(MUSTERILER!$C$7:$C$106,MATCH($C962,MUSTERILER!$B$7:$B$106,0))))</f>
        <v/>
      </c>
      <c r="O962" s="6" t="n"/>
      <c r="P962" s="6" t="n"/>
      <c r="Q962" s="3">
        <f>IF($D962="","",$C962&amp;"|"&amp;COUNTIFS($C$7:$C962,$C962))</f>
        <v/>
      </c>
      <c r="R962" s="3">
        <f>IF($D962="","",UPPER(SUBSTITUTE(SUBSTITUTE(SUBSTITUTE(SUBSTITUTE(SUBSTITUTE(SUBSTITUTE(SUBSTITUTE(SUBSTITUTE(SUBSTITUTE(SUBSTITUTE(SUBSTITUTE(SUBSTITUTE(SUBSTITUTE(SUBSTITUTE(SUBSTITUTE(SUBSTITUTE(SUBSTITUTE(SUBSTITUTE(TRIM($D962),"'",""),"İ","I"),"ı","I"),"i","I"),"Ş","S"),"ş","S"),"Ğ","G"),"ğ","G"),"Ü","U"),"ü","U"),"Ö","O"),"ö","O"),"Ç","C"),"ç","C"),".",""),",","")," ",""),"-","")))</f>
        <v/>
      </c>
      <c r="S962" s="3">
        <f>IF($D962="","",$C962&amp;"|"&amp;TEXT($E962,"0")&amp;"|"&amp;TEXT($F962,"0")&amp;"|"&amp;$I962)</f>
        <v/>
      </c>
      <c r="T962" s="3">
        <f>IF($E962="",0,SUMPRODUCT((AY_SONU!$O$7:$O$42="Evet")*(AY_SONU!$B$7:$B$42=DATE(YEAR($E962),MONTH($E962),1))))</f>
        <v/>
      </c>
    </row>
    <row r="963">
      <c r="A963" s="6" t="n"/>
      <c r="B963" s="113">
        <f>IF($D963="","","T"&amp;TEXT(ROW()-6,"00000"))</f>
        <v/>
      </c>
      <c r="C963" s="113">
        <f>IF($D963="","",IFERROR(INDEX(MUSTERILER!$B$7:$B$106,MATCH($R963,MUSTERILER!$T$7:$T$106,0)),IFERROR(INDEX(MUSTERILER!$B$7:$B$106,MATCH($D963,MUSTERILER!$B$7:$B$106,0)),IFERROR(INDEX(MUSTERILER!$B$7:$B$106,MATCH($R963&amp;"*",MUSTERILER!$T$7:$T$106,0)),"TANIMSIZ MÜŞTERİ"))))</f>
        <v/>
      </c>
      <c r="D963" s="109" t="n"/>
      <c r="E963" s="220" t="n"/>
      <c r="F963" s="221" t="n"/>
      <c r="G963" s="108" t="n"/>
      <c r="H963" s="108" t="n"/>
      <c r="I963" s="109" t="n"/>
      <c r="J963" s="109" t="n"/>
      <c r="K963" s="109" t="n"/>
      <c r="L963" s="226">
        <f>IF($E963="","",DATE(YEAR($E963),MONTH($E963),1))</f>
        <v/>
      </c>
      <c r="M963" s="113">
        <f>IF($D963="","",IF($C963="TANIMSIZ MÜŞTERİ","HATA",IF(OR($E963="",$F963&lt;=0,$G963=""),"EKSİK",IF($E963&gt;TODAY(),"İLERİ TARİH",IF(COUNTIF($S$7:$S$1506,$S963)&gt;1,"MÜKERRER?",IF($T963&gt;0,"KAPALI DÖNEM","UYGUN"))))))</f>
        <v/>
      </c>
      <c r="N963" s="121">
        <f>IF($C963="","",IF($C963="TANIMSIZ MÜŞTERİ","—",INDEX(MUSTERILER!$C$7:$C$106,MATCH($C963,MUSTERILER!$B$7:$B$106,0))))</f>
        <v/>
      </c>
      <c r="O963" s="6" t="n"/>
      <c r="P963" s="6" t="n"/>
      <c r="Q963" s="3">
        <f>IF($D963="","",$C963&amp;"|"&amp;COUNTIFS($C$7:$C963,$C963))</f>
        <v/>
      </c>
      <c r="R963" s="3">
        <f>IF($D963="","",UPPER(SUBSTITUTE(SUBSTITUTE(SUBSTITUTE(SUBSTITUTE(SUBSTITUTE(SUBSTITUTE(SUBSTITUTE(SUBSTITUTE(SUBSTITUTE(SUBSTITUTE(SUBSTITUTE(SUBSTITUTE(SUBSTITUTE(SUBSTITUTE(SUBSTITUTE(SUBSTITUTE(SUBSTITUTE(SUBSTITUTE(TRIM($D963),"'",""),"İ","I"),"ı","I"),"i","I"),"Ş","S"),"ş","S"),"Ğ","G"),"ğ","G"),"Ü","U"),"ü","U"),"Ö","O"),"ö","O"),"Ç","C"),"ç","C"),".",""),",","")," ",""),"-","")))</f>
        <v/>
      </c>
      <c r="S963" s="3">
        <f>IF($D963="","",$C963&amp;"|"&amp;TEXT($E963,"0")&amp;"|"&amp;TEXT($F963,"0")&amp;"|"&amp;$I963)</f>
        <v/>
      </c>
      <c r="T963" s="3">
        <f>IF($E963="",0,SUMPRODUCT((AY_SONU!$O$7:$O$42="Evet")*(AY_SONU!$B$7:$B$42=DATE(YEAR($E963),MONTH($E963),1))))</f>
        <v/>
      </c>
    </row>
    <row r="964">
      <c r="A964" s="6" t="n"/>
      <c r="B964" s="113">
        <f>IF($D964="","","T"&amp;TEXT(ROW()-6,"00000"))</f>
        <v/>
      </c>
      <c r="C964" s="113">
        <f>IF($D964="","",IFERROR(INDEX(MUSTERILER!$B$7:$B$106,MATCH($R964,MUSTERILER!$T$7:$T$106,0)),IFERROR(INDEX(MUSTERILER!$B$7:$B$106,MATCH($D964,MUSTERILER!$B$7:$B$106,0)),IFERROR(INDEX(MUSTERILER!$B$7:$B$106,MATCH($R964&amp;"*",MUSTERILER!$T$7:$T$106,0)),"TANIMSIZ MÜŞTERİ"))))</f>
        <v/>
      </c>
      <c r="D964" s="109" t="n"/>
      <c r="E964" s="220" t="n"/>
      <c r="F964" s="221" t="n"/>
      <c r="G964" s="108" t="n"/>
      <c r="H964" s="108" t="n"/>
      <c r="I964" s="109" t="n"/>
      <c r="J964" s="109" t="n"/>
      <c r="K964" s="109" t="n"/>
      <c r="L964" s="226">
        <f>IF($E964="","",DATE(YEAR($E964),MONTH($E964),1))</f>
        <v/>
      </c>
      <c r="M964" s="113">
        <f>IF($D964="","",IF($C964="TANIMSIZ MÜŞTERİ","HATA",IF(OR($E964="",$F964&lt;=0,$G964=""),"EKSİK",IF($E964&gt;TODAY(),"İLERİ TARİH",IF(COUNTIF($S$7:$S$1506,$S964)&gt;1,"MÜKERRER?",IF($T964&gt;0,"KAPALI DÖNEM","UYGUN"))))))</f>
        <v/>
      </c>
      <c r="N964" s="121">
        <f>IF($C964="","",IF($C964="TANIMSIZ MÜŞTERİ","—",INDEX(MUSTERILER!$C$7:$C$106,MATCH($C964,MUSTERILER!$B$7:$B$106,0))))</f>
        <v/>
      </c>
      <c r="O964" s="6" t="n"/>
      <c r="P964" s="6" t="n"/>
      <c r="Q964" s="3">
        <f>IF($D964="","",$C964&amp;"|"&amp;COUNTIFS($C$7:$C964,$C964))</f>
        <v/>
      </c>
      <c r="R964" s="3">
        <f>IF($D964="","",UPPER(SUBSTITUTE(SUBSTITUTE(SUBSTITUTE(SUBSTITUTE(SUBSTITUTE(SUBSTITUTE(SUBSTITUTE(SUBSTITUTE(SUBSTITUTE(SUBSTITUTE(SUBSTITUTE(SUBSTITUTE(SUBSTITUTE(SUBSTITUTE(SUBSTITUTE(SUBSTITUTE(SUBSTITUTE(SUBSTITUTE(TRIM($D964),"'",""),"İ","I"),"ı","I"),"i","I"),"Ş","S"),"ş","S"),"Ğ","G"),"ğ","G"),"Ü","U"),"ü","U"),"Ö","O"),"ö","O"),"Ç","C"),"ç","C"),".",""),",","")," ",""),"-","")))</f>
        <v/>
      </c>
      <c r="S964" s="3">
        <f>IF($D964="","",$C964&amp;"|"&amp;TEXT($E964,"0")&amp;"|"&amp;TEXT($F964,"0")&amp;"|"&amp;$I964)</f>
        <v/>
      </c>
      <c r="T964" s="3">
        <f>IF($E964="",0,SUMPRODUCT((AY_SONU!$O$7:$O$42="Evet")*(AY_SONU!$B$7:$B$42=DATE(YEAR($E964),MONTH($E964),1))))</f>
        <v/>
      </c>
    </row>
    <row r="965">
      <c r="A965" s="6" t="n"/>
      <c r="B965" s="113">
        <f>IF($D965="","","T"&amp;TEXT(ROW()-6,"00000"))</f>
        <v/>
      </c>
      <c r="C965" s="113">
        <f>IF($D965="","",IFERROR(INDEX(MUSTERILER!$B$7:$B$106,MATCH($R965,MUSTERILER!$T$7:$T$106,0)),IFERROR(INDEX(MUSTERILER!$B$7:$B$106,MATCH($D965,MUSTERILER!$B$7:$B$106,0)),IFERROR(INDEX(MUSTERILER!$B$7:$B$106,MATCH($R965&amp;"*",MUSTERILER!$T$7:$T$106,0)),"TANIMSIZ MÜŞTERİ"))))</f>
        <v/>
      </c>
      <c r="D965" s="109" t="n"/>
      <c r="E965" s="220" t="n"/>
      <c r="F965" s="221" t="n"/>
      <c r="G965" s="108" t="n"/>
      <c r="H965" s="108" t="n"/>
      <c r="I965" s="109" t="n"/>
      <c r="J965" s="109" t="n"/>
      <c r="K965" s="109" t="n"/>
      <c r="L965" s="226">
        <f>IF($E965="","",DATE(YEAR($E965),MONTH($E965),1))</f>
        <v/>
      </c>
      <c r="M965" s="113">
        <f>IF($D965="","",IF($C965="TANIMSIZ MÜŞTERİ","HATA",IF(OR($E965="",$F965&lt;=0,$G965=""),"EKSİK",IF($E965&gt;TODAY(),"İLERİ TARİH",IF(COUNTIF($S$7:$S$1506,$S965)&gt;1,"MÜKERRER?",IF($T965&gt;0,"KAPALI DÖNEM","UYGUN"))))))</f>
        <v/>
      </c>
      <c r="N965" s="121">
        <f>IF($C965="","",IF($C965="TANIMSIZ MÜŞTERİ","—",INDEX(MUSTERILER!$C$7:$C$106,MATCH($C965,MUSTERILER!$B$7:$B$106,0))))</f>
        <v/>
      </c>
      <c r="O965" s="6" t="n"/>
      <c r="P965" s="6" t="n"/>
      <c r="Q965" s="3">
        <f>IF($D965="","",$C965&amp;"|"&amp;COUNTIFS($C$7:$C965,$C965))</f>
        <v/>
      </c>
      <c r="R965" s="3">
        <f>IF($D965="","",UPPER(SUBSTITUTE(SUBSTITUTE(SUBSTITUTE(SUBSTITUTE(SUBSTITUTE(SUBSTITUTE(SUBSTITUTE(SUBSTITUTE(SUBSTITUTE(SUBSTITUTE(SUBSTITUTE(SUBSTITUTE(SUBSTITUTE(SUBSTITUTE(SUBSTITUTE(SUBSTITUTE(SUBSTITUTE(SUBSTITUTE(TRIM($D965),"'",""),"İ","I"),"ı","I"),"i","I"),"Ş","S"),"ş","S"),"Ğ","G"),"ğ","G"),"Ü","U"),"ü","U"),"Ö","O"),"ö","O"),"Ç","C"),"ç","C"),".",""),",","")," ",""),"-","")))</f>
        <v/>
      </c>
      <c r="S965" s="3">
        <f>IF($D965="","",$C965&amp;"|"&amp;TEXT($E965,"0")&amp;"|"&amp;TEXT($F965,"0")&amp;"|"&amp;$I965)</f>
        <v/>
      </c>
      <c r="T965" s="3">
        <f>IF($E965="",0,SUMPRODUCT((AY_SONU!$O$7:$O$42="Evet")*(AY_SONU!$B$7:$B$42=DATE(YEAR($E965),MONTH($E965),1))))</f>
        <v/>
      </c>
    </row>
    <row r="966">
      <c r="A966" s="6" t="n"/>
      <c r="B966" s="113">
        <f>IF($D966="","","T"&amp;TEXT(ROW()-6,"00000"))</f>
        <v/>
      </c>
      <c r="C966" s="113">
        <f>IF($D966="","",IFERROR(INDEX(MUSTERILER!$B$7:$B$106,MATCH($R966,MUSTERILER!$T$7:$T$106,0)),IFERROR(INDEX(MUSTERILER!$B$7:$B$106,MATCH($D966,MUSTERILER!$B$7:$B$106,0)),IFERROR(INDEX(MUSTERILER!$B$7:$B$106,MATCH($R966&amp;"*",MUSTERILER!$T$7:$T$106,0)),"TANIMSIZ MÜŞTERİ"))))</f>
        <v/>
      </c>
      <c r="D966" s="109" t="n"/>
      <c r="E966" s="220" t="n"/>
      <c r="F966" s="221" t="n"/>
      <c r="G966" s="108" t="n"/>
      <c r="H966" s="108" t="n"/>
      <c r="I966" s="109" t="n"/>
      <c r="J966" s="109" t="n"/>
      <c r="K966" s="109" t="n"/>
      <c r="L966" s="226">
        <f>IF($E966="","",DATE(YEAR($E966),MONTH($E966),1))</f>
        <v/>
      </c>
      <c r="M966" s="113">
        <f>IF($D966="","",IF($C966="TANIMSIZ MÜŞTERİ","HATA",IF(OR($E966="",$F966&lt;=0,$G966=""),"EKSİK",IF($E966&gt;TODAY(),"İLERİ TARİH",IF(COUNTIF($S$7:$S$1506,$S966)&gt;1,"MÜKERRER?",IF($T966&gt;0,"KAPALI DÖNEM","UYGUN"))))))</f>
        <v/>
      </c>
      <c r="N966" s="121">
        <f>IF($C966="","",IF($C966="TANIMSIZ MÜŞTERİ","—",INDEX(MUSTERILER!$C$7:$C$106,MATCH($C966,MUSTERILER!$B$7:$B$106,0))))</f>
        <v/>
      </c>
      <c r="O966" s="6" t="n"/>
      <c r="P966" s="6" t="n"/>
      <c r="Q966" s="3">
        <f>IF($D966="","",$C966&amp;"|"&amp;COUNTIFS($C$7:$C966,$C966))</f>
        <v/>
      </c>
      <c r="R966" s="3">
        <f>IF($D966="","",UPPER(SUBSTITUTE(SUBSTITUTE(SUBSTITUTE(SUBSTITUTE(SUBSTITUTE(SUBSTITUTE(SUBSTITUTE(SUBSTITUTE(SUBSTITUTE(SUBSTITUTE(SUBSTITUTE(SUBSTITUTE(SUBSTITUTE(SUBSTITUTE(SUBSTITUTE(SUBSTITUTE(SUBSTITUTE(SUBSTITUTE(TRIM($D966),"'",""),"İ","I"),"ı","I"),"i","I"),"Ş","S"),"ş","S"),"Ğ","G"),"ğ","G"),"Ü","U"),"ü","U"),"Ö","O"),"ö","O"),"Ç","C"),"ç","C"),".",""),",","")," ",""),"-","")))</f>
        <v/>
      </c>
      <c r="S966" s="3">
        <f>IF($D966="","",$C966&amp;"|"&amp;TEXT($E966,"0")&amp;"|"&amp;TEXT($F966,"0")&amp;"|"&amp;$I966)</f>
        <v/>
      </c>
      <c r="T966" s="3">
        <f>IF($E966="",0,SUMPRODUCT((AY_SONU!$O$7:$O$42="Evet")*(AY_SONU!$B$7:$B$42=DATE(YEAR($E966),MONTH($E966),1))))</f>
        <v/>
      </c>
    </row>
    <row r="967">
      <c r="A967" s="6" t="n"/>
      <c r="B967" s="113">
        <f>IF($D967="","","T"&amp;TEXT(ROW()-6,"00000"))</f>
        <v/>
      </c>
      <c r="C967" s="113">
        <f>IF($D967="","",IFERROR(INDEX(MUSTERILER!$B$7:$B$106,MATCH($R967,MUSTERILER!$T$7:$T$106,0)),IFERROR(INDEX(MUSTERILER!$B$7:$B$106,MATCH($D967,MUSTERILER!$B$7:$B$106,0)),IFERROR(INDEX(MUSTERILER!$B$7:$B$106,MATCH($R967&amp;"*",MUSTERILER!$T$7:$T$106,0)),"TANIMSIZ MÜŞTERİ"))))</f>
        <v/>
      </c>
      <c r="D967" s="109" t="n"/>
      <c r="E967" s="220" t="n"/>
      <c r="F967" s="221" t="n"/>
      <c r="G967" s="108" t="n"/>
      <c r="H967" s="108" t="n"/>
      <c r="I967" s="109" t="n"/>
      <c r="J967" s="109" t="n"/>
      <c r="K967" s="109" t="n"/>
      <c r="L967" s="226">
        <f>IF($E967="","",DATE(YEAR($E967),MONTH($E967),1))</f>
        <v/>
      </c>
      <c r="M967" s="113">
        <f>IF($D967="","",IF($C967="TANIMSIZ MÜŞTERİ","HATA",IF(OR($E967="",$F967&lt;=0,$G967=""),"EKSİK",IF($E967&gt;TODAY(),"İLERİ TARİH",IF(COUNTIF($S$7:$S$1506,$S967)&gt;1,"MÜKERRER?",IF($T967&gt;0,"KAPALI DÖNEM","UYGUN"))))))</f>
        <v/>
      </c>
      <c r="N967" s="121">
        <f>IF($C967="","",IF($C967="TANIMSIZ MÜŞTERİ","—",INDEX(MUSTERILER!$C$7:$C$106,MATCH($C967,MUSTERILER!$B$7:$B$106,0))))</f>
        <v/>
      </c>
      <c r="O967" s="6" t="n"/>
      <c r="P967" s="6" t="n"/>
      <c r="Q967" s="3">
        <f>IF($D967="","",$C967&amp;"|"&amp;COUNTIFS($C$7:$C967,$C967))</f>
        <v/>
      </c>
      <c r="R967" s="3">
        <f>IF($D967="","",UPPER(SUBSTITUTE(SUBSTITUTE(SUBSTITUTE(SUBSTITUTE(SUBSTITUTE(SUBSTITUTE(SUBSTITUTE(SUBSTITUTE(SUBSTITUTE(SUBSTITUTE(SUBSTITUTE(SUBSTITUTE(SUBSTITUTE(SUBSTITUTE(SUBSTITUTE(SUBSTITUTE(SUBSTITUTE(SUBSTITUTE(TRIM($D967),"'",""),"İ","I"),"ı","I"),"i","I"),"Ş","S"),"ş","S"),"Ğ","G"),"ğ","G"),"Ü","U"),"ü","U"),"Ö","O"),"ö","O"),"Ç","C"),"ç","C"),".",""),",","")," ",""),"-","")))</f>
        <v/>
      </c>
      <c r="S967" s="3">
        <f>IF($D967="","",$C967&amp;"|"&amp;TEXT($E967,"0")&amp;"|"&amp;TEXT($F967,"0")&amp;"|"&amp;$I967)</f>
        <v/>
      </c>
      <c r="T967" s="3">
        <f>IF($E967="",0,SUMPRODUCT((AY_SONU!$O$7:$O$42="Evet")*(AY_SONU!$B$7:$B$42=DATE(YEAR($E967),MONTH($E967),1))))</f>
        <v/>
      </c>
    </row>
    <row r="968">
      <c r="A968" s="6" t="n"/>
      <c r="B968" s="113">
        <f>IF($D968="","","T"&amp;TEXT(ROW()-6,"00000"))</f>
        <v/>
      </c>
      <c r="C968" s="113">
        <f>IF($D968="","",IFERROR(INDEX(MUSTERILER!$B$7:$B$106,MATCH($R968,MUSTERILER!$T$7:$T$106,0)),IFERROR(INDEX(MUSTERILER!$B$7:$B$106,MATCH($D968,MUSTERILER!$B$7:$B$106,0)),IFERROR(INDEX(MUSTERILER!$B$7:$B$106,MATCH($R968&amp;"*",MUSTERILER!$T$7:$T$106,0)),"TANIMSIZ MÜŞTERİ"))))</f>
        <v/>
      </c>
      <c r="D968" s="109" t="n"/>
      <c r="E968" s="220" t="n"/>
      <c r="F968" s="221" t="n"/>
      <c r="G968" s="108" t="n"/>
      <c r="H968" s="108" t="n"/>
      <c r="I968" s="109" t="n"/>
      <c r="J968" s="109" t="n"/>
      <c r="K968" s="109" t="n"/>
      <c r="L968" s="226">
        <f>IF($E968="","",DATE(YEAR($E968),MONTH($E968),1))</f>
        <v/>
      </c>
      <c r="M968" s="113">
        <f>IF($D968="","",IF($C968="TANIMSIZ MÜŞTERİ","HATA",IF(OR($E968="",$F968&lt;=0,$G968=""),"EKSİK",IF($E968&gt;TODAY(),"İLERİ TARİH",IF(COUNTIF($S$7:$S$1506,$S968)&gt;1,"MÜKERRER?",IF($T968&gt;0,"KAPALI DÖNEM","UYGUN"))))))</f>
        <v/>
      </c>
      <c r="N968" s="121">
        <f>IF($C968="","",IF($C968="TANIMSIZ MÜŞTERİ","—",INDEX(MUSTERILER!$C$7:$C$106,MATCH($C968,MUSTERILER!$B$7:$B$106,0))))</f>
        <v/>
      </c>
      <c r="O968" s="6" t="n"/>
      <c r="P968" s="6" t="n"/>
      <c r="Q968" s="3">
        <f>IF($D968="","",$C968&amp;"|"&amp;COUNTIFS($C$7:$C968,$C968))</f>
        <v/>
      </c>
      <c r="R968" s="3">
        <f>IF($D968="","",UPPER(SUBSTITUTE(SUBSTITUTE(SUBSTITUTE(SUBSTITUTE(SUBSTITUTE(SUBSTITUTE(SUBSTITUTE(SUBSTITUTE(SUBSTITUTE(SUBSTITUTE(SUBSTITUTE(SUBSTITUTE(SUBSTITUTE(SUBSTITUTE(SUBSTITUTE(SUBSTITUTE(SUBSTITUTE(SUBSTITUTE(TRIM($D968),"'",""),"İ","I"),"ı","I"),"i","I"),"Ş","S"),"ş","S"),"Ğ","G"),"ğ","G"),"Ü","U"),"ü","U"),"Ö","O"),"ö","O"),"Ç","C"),"ç","C"),".",""),",","")," ",""),"-","")))</f>
        <v/>
      </c>
      <c r="S968" s="3">
        <f>IF($D968="","",$C968&amp;"|"&amp;TEXT($E968,"0")&amp;"|"&amp;TEXT($F968,"0")&amp;"|"&amp;$I968)</f>
        <v/>
      </c>
      <c r="T968" s="3">
        <f>IF($E968="",0,SUMPRODUCT((AY_SONU!$O$7:$O$42="Evet")*(AY_SONU!$B$7:$B$42=DATE(YEAR($E968),MONTH($E968),1))))</f>
        <v/>
      </c>
    </row>
    <row r="969">
      <c r="A969" s="6" t="n"/>
      <c r="B969" s="113">
        <f>IF($D969="","","T"&amp;TEXT(ROW()-6,"00000"))</f>
        <v/>
      </c>
      <c r="C969" s="113">
        <f>IF($D969="","",IFERROR(INDEX(MUSTERILER!$B$7:$B$106,MATCH($R969,MUSTERILER!$T$7:$T$106,0)),IFERROR(INDEX(MUSTERILER!$B$7:$B$106,MATCH($D969,MUSTERILER!$B$7:$B$106,0)),IFERROR(INDEX(MUSTERILER!$B$7:$B$106,MATCH($R969&amp;"*",MUSTERILER!$T$7:$T$106,0)),"TANIMSIZ MÜŞTERİ"))))</f>
        <v/>
      </c>
      <c r="D969" s="109" t="n"/>
      <c r="E969" s="220" t="n"/>
      <c r="F969" s="221" t="n"/>
      <c r="G969" s="108" t="n"/>
      <c r="H969" s="108" t="n"/>
      <c r="I969" s="109" t="n"/>
      <c r="J969" s="109" t="n"/>
      <c r="K969" s="109" t="n"/>
      <c r="L969" s="226">
        <f>IF($E969="","",DATE(YEAR($E969),MONTH($E969),1))</f>
        <v/>
      </c>
      <c r="M969" s="113">
        <f>IF($D969="","",IF($C969="TANIMSIZ MÜŞTERİ","HATA",IF(OR($E969="",$F969&lt;=0,$G969=""),"EKSİK",IF($E969&gt;TODAY(),"İLERİ TARİH",IF(COUNTIF($S$7:$S$1506,$S969)&gt;1,"MÜKERRER?",IF($T969&gt;0,"KAPALI DÖNEM","UYGUN"))))))</f>
        <v/>
      </c>
      <c r="N969" s="121">
        <f>IF($C969="","",IF($C969="TANIMSIZ MÜŞTERİ","—",INDEX(MUSTERILER!$C$7:$C$106,MATCH($C969,MUSTERILER!$B$7:$B$106,0))))</f>
        <v/>
      </c>
      <c r="O969" s="6" t="n"/>
      <c r="P969" s="6" t="n"/>
      <c r="Q969" s="3">
        <f>IF($D969="","",$C969&amp;"|"&amp;COUNTIFS($C$7:$C969,$C969))</f>
        <v/>
      </c>
      <c r="R969" s="3">
        <f>IF($D969="","",UPPER(SUBSTITUTE(SUBSTITUTE(SUBSTITUTE(SUBSTITUTE(SUBSTITUTE(SUBSTITUTE(SUBSTITUTE(SUBSTITUTE(SUBSTITUTE(SUBSTITUTE(SUBSTITUTE(SUBSTITUTE(SUBSTITUTE(SUBSTITUTE(SUBSTITUTE(SUBSTITUTE(SUBSTITUTE(SUBSTITUTE(TRIM($D969),"'",""),"İ","I"),"ı","I"),"i","I"),"Ş","S"),"ş","S"),"Ğ","G"),"ğ","G"),"Ü","U"),"ü","U"),"Ö","O"),"ö","O"),"Ç","C"),"ç","C"),".",""),",","")," ",""),"-","")))</f>
        <v/>
      </c>
      <c r="S969" s="3">
        <f>IF($D969="","",$C969&amp;"|"&amp;TEXT($E969,"0")&amp;"|"&amp;TEXT($F969,"0")&amp;"|"&amp;$I969)</f>
        <v/>
      </c>
      <c r="T969" s="3">
        <f>IF($E969="",0,SUMPRODUCT((AY_SONU!$O$7:$O$42="Evet")*(AY_SONU!$B$7:$B$42=DATE(YEAR($E969),MONTH($E969),1))))</f>
        <v/>
      </c>
    </row>
    <row r="970">
      <c r="A970" s="6" t="n"/>
      <c r="B970" s="113">
        <f>IF($D970="","","T"&amp;TEXT(ROW()-6,"00000"))</f>
        <v/>
      </c>
      <c r="C970" s="113">
        <f>IF($D970="","",IFERROR(INDEX(MUSTERILER!$B$7:$B$106,MATCH($R970,MUSTERILER!$T$7:$T$106,0)),IFERROR(INDEX(MUSTERILER!$B$7:$B$106,MATCH($D970,MUSTERILER!$B$7:$B$106,0)),IFERROR(INDEX(MUSTERILER!$B$7:$B$106,MATCH($R970&amp;"*",MUSTERILER!$T$7:$T$106,0)),"TANIMSIZ MÜŞTERİ"))))</f>
        <v/>
      </c>
      <c r="D970" s="109" t="n"/>
      <c r="E970" s="220" t="n"/>
      <c r="F970" s="221" t="n"/>
      <c r="G970" s="108" t="n"/>
      <c r="H970" s="108" t="n"/>
      <c r="I970" s="109" t="n"/>
      <c r="J970" s="109" t="n"/>
      <c r="K970" s="109" t="n"/>
      <c r="L970" s="226">
        <f>IF($E970="","",DATE(YEAR($E970),MONTH($E970),1))</f>
        <v/>
      </c>
      <c r="M970" s="113">
        <f>IF($D970="","",IF($C970="TANIMSIZ MÜŞTERİ","HATA",IF(OR($E970="",$F970&lt;=0,$G970=""),"EKSİK",IF($E970&gt;TODAY(),"İLERİ TARİH",IF(COUNTIF($S$7:$S$1506,$S970)&gt;1,"MÜKERRER?",IF($T970&gt;0,"KAPALI DÖNEM","UYGUN"))))))</f>
        <v/>
      </c>
      <c r="N970" s="121">
        <f>IF($C970="","",IF($C970="TANIMSIZ MÜŞTERİ","—",INDEX(MUSTERILER!$C$7:$C$106,MATCH($C970,MUSTERILER!$B$7:$B$106,0))))</f>
        <v/>
      </c>
      <c r="O970" s="6" t="n"/>
      <c r="P970" s="6" t="n"/>
      <c r="Q970" s="3">
        <f>IF($D970="","",$C970&amp;"|"&amp;COUNTIFS($C$7:$C970,$C970))</f>
        <v/>
      </c>
      <c r="R970" s="3">
        <f>IF($D970="","",UPPER(SUBSTITUTE(SUBSTITUTE(SUBSTITUTE(SUBSTITUTE(SUBSTITUTE(SUBSTITUTE(SUBSTITUTE(SUBSTITUTE(SUBSTITUTE(SUBSTITUTE(SUBSTITUTE(SUBSTITUTE(SUBSTITUTE(SUBSTITUTE(SUBSTITUTE(SUBSTITUTE(SUBSTITUTE(SUBSTITUTE(TRIM($D970),"'",""),"İ","I"),"ı","I"),"i","I"),"Ş","S"),"ş","S"),"Ğ","G"),"ğ","G"),"Ü","U"),"ü","U"),"Ö","O"),"ö","O"),"Ç","C"),"ç","C"),".",""),",","")," ",""),"-","")))</f>
        <v/>
      </c>
      <c r="S970" s="3">
        <f>IF($D970="","",$C970&amp;"|"&amp;TEXT($E970,"0")&amp;"|"&amp;TEXT($F970,"0")&amp;"|"&amp;$I970)</f>
        <v/>
      </c>
      <c r="T970" s="3">
        <f>IF($E970="",0,SUMPRODUCT((AY_SONU!$O$7:$O$42="Evet")*(AY_SONU!$B$7:$B$42=DATE(YEAR($E970),MONTH($E970),1))))</f>
        <v/>
      </c>
    </row>
    <row r="971">
      <c r="A971" s="6" t="n"/>
      <c r="B971" s="113">
        <f>IF($D971="","","T"&amp;TEXT(ROW()-6,"00000"))</f>
        <v/>
      </c>
      <c r="C971" s="113">
        <f>IF($D971="","",IFERROR(INDEX(MUSTERILER!$B$7:$B$106,MATCH($R971,MUSTERILER!$T$7:$T$106,0)),IFERROR(INDEX(MUSTERILER!$B$7:$B$106,MATCH($D971,MUSTERILER!$B$7:$B$106,0)),IFERROR(INDEX(MUSTERILER!$B$7:$B$106,MATCH($R971&amp;"*",MUSTERILER!$T$7:$T$106,0)),"TANIMSIZ MÜŞTERİ"))))</f>
        <v/>
      </c>
      <c r="D971" s="109" t="n"/>
      <c r="E971" s="220" t="n"/>
      <c r="F971" s="221" t="n"/>
      <c r="G971" s="108" t="n"/>
      <c r="H971" s="108" t="n"/>
      <c r="I971" s="109" t="n"/>
      <c r="J971" s="109" t="n"/>
      <c r="K971" s="109" t="n"/>
      <c r="L971" s="226">
        <f>IF($E971="","",DATE(YEAR($E971),MONTH($E971),1))</f>
        <v/>
      </c>
      <c r="M971" s="113">
        <f>IF($D971="","",IF($C971="TANIMSIZ MÜŞTERİ","HATA",IF(OR($E971="",$F971&lt;=0,$G971=""),"EKSİK",IF($E971&gt;TODAY(),"İLERİ TARİH",IF(COUNTIF($S$7:$S$1506,$S971)&gt;1,"MÜKERRER?",IF($T971&gt;0,"KAPALI DÖNEM","UYGUN"))))))</f>
        <v/>
      </c>
      <c r="N971" s="121">
        <f>IF($C971="","",IF($C971="TANIMSIZ MÜŞTERİ","—",INDEX(MUSTERILER!$C$7:$C$106,MATCH($C971,MUSTERILER!$B$7:$B$106,0))))</f>
        <v/>
      </c>
      <c r="O971" s="6" t="n"/>
      <c r="P971" s="6" t="n"/>
      <c r="Q971" s="3">
        <f>IF($D971="","",$C971&amp;"|"&amp;COUNTIFS($C$7:$C971,$C971))</f>
        <v/>
      </c>
      <c r="R971" s="3">
        <f>IF($D971="","",UPPER(SUBSTITUTE(SUBSTITUTE(SUBSTITUTE(SUBSTITUTE(SUBSTITUTE(SUBSTITUTE(SUBSTITUTE(SUBSTITUTE(SUBSTITUTE(SUBSTITUTE(SUBSTITUTE(SUBSTITUTE(SUBSTITUTE(SUBSTITUTE(SUBSTITUTE(SUBSTITUTE(SUBSTITUTE(SUBSTITUTE(TRIM($D971),"'",""),"İ","I"),"ı","I"),"i","I"),"Ş","S"),"ş","S"),"Ğ","G"),"ğ","G"),"Ü","U"),"ü","U"),"Ö","O"),"ö","O"),"Ç","C"),"ç","C"),".",""),",","")," ",""),"-","")))</f>
        <v/>
      </c>
      <c r="S971" s="3">
        <f>IF($D971="","",$C971&amp;"|"&amp;TEXT($E971,"0")&amp;"|"&amp;TEXT($F971,"0")&amp;"|"&amp;$I971)</f>
        <v/>
      </c>
      <c r="T971" s="3">
        <f>IF($E971="",0,SUMPRODUCT((AY_SONU!$O$7:$O$42="Evet")*(AY_SONU!$B$7:$B$42=DATE(YEAR($E971),MONTH($E971),1))))</f>
        <v/>
      </c>
    </row>
    <row r="972">
      <c r="A972" s="6" t="n"/>
      <c r="B972" s="113">
        <f>IF($D972="","","T"&amp;TEXT(ROW()-6,"00000"))</f>
        <v/>
      </c>
      <c r="C972" s="113">
        <f>IF($D972="","",IFERROR(INDEX(MUSTERILER!$B$7:$B$106,MATCH($R972,MUSTERILER!$T$7:$T$106,0)),IFERROR(INDEX(MUSTERILER!$B$7:$B$106,MATCH($D972,MUSTERILER!$B$7:$B$106,0)),IFERROR(INDEX(MUSTERILER!$B$7:$B$106,MATCH($R972&amp;"*",MUSTERILER!$T$7:$T$106,0)),"TANIMSIZ MÜŞTERİ"))))</f>
        <v/>
      </c>
      <c r="D972" s="109" t="n"/>
      <c r="E972" s="220" t="n"/>
      <c r="F972" s="221" t="n"/>
      <c r="G972" s="108" t="n"/>
      <c r="H972" s="108" t="n"/>
      <c r="I972" s="109" t="n"/>
      <c r="J972" s="109" t="n"/>
      <c r="K972" s="109" t="n"/>
      <c r="L972" s="226">
        <f>IF($E972="","",DATE(YEAR($E972),MONTH($E972),1))</f>
        <v/>
      </c>
      <c r="M972" s="113">
        <f>IF($D972="","",IF($C972="TANIMSIZ MÜŞTERİ","HATA",IF(OR($E972="",$F972&lt;=0,$G972=""),"EKSİK",IF($E972&gt;TODAY(),"İLERİ TARİH",IF(COUNTIF($S$7:$S$1506,$S972)&gt;1,"MÜKERRER?",IF($T972&gt;0,"KAPALI DÖNEM","UYGUN"))))))</f>
        <v/>
      </c>
      <c r="N972" s="121">
        <f>IF($C972="","",IF($C972="TANIMSIZ MÜŞTERİ","—",INDEX(MUSTERILER!$C$7:$C$106,MATCH($C972,MUSTERILER!$B$7:$B$106,0))))</f>
        <v/>
      </c>
      <c r="O972" s="6" t="n"/>
      <c r="P972" s="6" t="n"/>
      <c r="Q972" s="3">
        <f>IF($D972="","",$C972&amp;"|"&amp;COUNTIFS($C$7:$C972,$C972))</f>
        <v/>
      </c>
      <c r="R972" s="3">
        <f>IF($D972="","",UPPER(SUBSTITUTE(SUBSTITUTE(SUBSTITUTE(SUBSTITUTE(SUBSTITUTE(SUBSTITUTE(SUBSTITUTE(SUBSTITUTE(SUBSTITUTE(SUBSTITUTE(SUBSTITUTE(SUBSTITUTE(SUBSTITUTE(SUBSTITUTE(SUBSTITUTE(SUBSTITUTE(SUBSTITUTE(SUBSTITUTE(TRIM($D972),"'",""),"İ","I"),"ı","I"),"i","I"),"Ş","S"),"ş","S"),"Ğ","G"),"ğ","G"),"Ü","U"),"ü","U"),"Ö","O"),"ö","O"),"Ç","C"),"ç","C"),".",""),",","")," ",""),"-","")))</f>
        <v/>
      </c>
      <c r="S972" s="3">
        <f>IF($D972="","",$C972&amp;"|"&amp;TEXT($E972,"0")&amp;"|"&amp;TEXT($F972,"0")&amp;"|"&amp;$I972)</f>
        <v/>
      </c>
      <c r="T972" s="3">
        <f>IF($E972="",0,SUMPRODUCT((AY_SONU!$O$7:$O$42="Evet")*(AY_SONU!$B$7:$B$42=DATE(YEAR($E972),MONTH($E972),1))))</f>
        <v/>
      </c>
    </row>
    <row r="973">
      <c r="A973" s="6" t="n"/>
      <c r="B973" s="113">
        <f>IF($D973="","","T"&amp;TEXT(ROW()-6,"00000"))</f>
        <v/>
      </c>
      <c r="C973" s="113">
        <f>IF($D973="","",IFERROR(INDEX(MUSTERILER!$B$7:$B$106,MATCH($R973,MUSTERILER!$T$7:$T$106,0)),IFERROR(INDEX(MUSTERILER!$B$7:$B$106,MATCH($D973,MUSTERILER!$B$7:$B$106,0)),IFERROR(INDEX(MUSTERILER!$B$7:$B$106,MATCH($R973&amp;"*",MUSTERILER!$T$7:$T$106,0)),"TANIMSIZ MÜŞTERİ"))))</f>
        <v/>
      </c>
      <c r="D973" s="109" t="n"/>
      <c r="E973" s="220" t="n"/>
      <c r="F973" s="221" t="n"/>
      <c r="G973" s="108" t="n"/>
      <c r="H973" s="108" t="n"/>
      <c r="I973" s="109" t="n"/>
      <c r="J973" s="109" t="n"/>
      <c r="K973" s="109" t="n"/>
      <c r="L973" s="226">
        <f>IF($E973="","",DATE(YEAR($E973),MONTH($E973),1))</f>
        <v/>
      </c>
      <c r="M973" s="113">
        <f>IF($D973="","",IF($C973="TANIMSIZ MÜŞTERİ","HATA",IF(OR($E973="",$F973&lt;=0,$G973=""),"EKSİK",IF($E973&gt;TODAY(),"İLERİ TARİH",IF(COUNTIF($S$7:$S$1506,$S973)&gt;1,"MÜKERRER?",IF($T973&gt;0,"KAPALI DÖNEM","UYGUN"))))))</f>
        <v/>
      </c>
      <c r="N973" s="121">
        <f>IF($C973="","",IF($C973="TANIMSIZ MÜŞTERİ","—",INDEX(MUSTERILER!$C$7:$C$106,MATCH($C973,MUSTERILER!$B$7:$B$106,0))))</f>
        <v/>
      </c>
      <c r="O973" s="6" t="n"/>
      <c r="P973" s="6" t="n"/>
      <c r="Q973" s="3">
        <f>IF($D973="","",$C973&amp;"|"&amp;COUNTIFS($C$7:$C973,$C973))</f>
        <v/>
      </c>
      <c r="R973" s="3">
        <f>IF($D973="","",UPPER(SUBSTITUTE(SUBSTITUTE(SUBSTITUTE(SUBSTITUTE(SUBSTITUTE(SUBSTITUTE(SUBSTITUTE(SUBSTITUTE(SUBSTITUTE(SUBSTITUTE(SUBSTITUTE(SUBSTITUTE(SUBSTITUTE(SUBSTITUTE(SUBSTITUTE(SUBSTITUTE(SUBSTITUTE(SUBSTITUTE(TRIM($D973),"'",""),"İ","I"),"ı","I"),"i","I"),"Ş","S"),"ş","S"),"Ğ","G"),"ğ","G"),"Ü","U"),"ü","U"),"Ö","O"),"ö","O"),"Ç","C"),"ç","C"),".",""),",","")," ",""),"-","")))</f>
        <v/>
      </c>
      <c r="S973" s="3">
        <f>IF($D973="","",$C973&amp;"|"&amp;TEXT($E973,"0")&amp;"|"&amp;TEXT($F973,"0")&amp;"|"&amp;$I973)</f>
        <v/>
      </c>
      <c r="T973" s="3">
        <f>IF($E973="",0,SUMPRODUCT((AY_SONU!$O$7:$O$42="Evet")*(AY_SONU!$B$7:$B$42=DATE(YEAR($E973),MONTH($E973),1))))</f>
        <v/>
      </c>
    </row>
    <row r="974">
      <c r="A974" s="6" t="n"/>
      <c r="B974" s="113">
        <f>IF($D974="","","T"&amp;TEXT(ROW()-6,"00000"))</f>
        <v/>
      </c>
      <c r="C974" s="113">
        <f>IF($D974="","",IFERROR(INDEX(MUSTERILER!$B$7:$B$106,MATCH($R974,MUSTERILER!$T$7:$T$106,0)),IFERROR(INDEX(MUSTERILER!$B$7:$B$106,MATCH($D974,MUSTERILER!$B$7:$B$106,0)),IFERROR(INDEX(MUSTERILER!$B$7:$B$106,MATCH($R974&amp;"*",MUSTERILER!$T$7:$T$106,0)),"TANIMSIZ MÜŞTERİ"))))</f>
        <v/>
      </c>
      <c r="D974" s="109" t="n"/>
      <c r="E974" s="220" t="n"/>
      <c r="F974" s="221" t="n"/>
      <c r="G974" s="108" t="n"/>
      <c r="H974" s="108" t="n"/>
      <c r="I974" s="109" t="n"/>
      <c r="J974" s="109" t="n"/>
      <c r="K974" s="109" t="n"/>
      <c r="L974" s="226">
        <f>IF($E974="","",DATE(YEAR($E974),MONTH($E974),1))</f>
        <v/>
      </c>
      <c r="M974" s="113">
        <f>IF($D974="","",IF($C974="TANIMSIZ MÜŞTERİ","HATA",IF(OR($E974="",$F974&lt;=0,$G974=""),"EKSİK",IF($E974&gt;TODAY(),"İLERİ TARİH",IF(COUNTIF($S$7:$S$1506,$S974)&gt;1,"MÜKERRER?",IF($T974&gt;0,"KAPALI DÖNEM","UYGUN"))))))</f>
        <v/>
      </c>
      <c r="N974" s="121">
        <f>IF($C974="","",IF($C974="TANIMSIZ MÜŞTERİ","—",INDEX(MUSTERILER!$C$7:$C$106,MATCH($C974,MUSTERILER!$B$7:$B$106,0))))</f>
        <v/>
      </c>
      <c r="O974" s="6" t="n"/>
      <c r="P974" s="6" t="n"/>
      <c r="Q974" s="3">
        <f>IF($D974="","",$C974&amp;"|"&amp;COUNTIFS($C$7:$C974,$C974))</f>
        <v/>
      </c>
      <c r="R974" s="3">
        <f>IF($D974="","",UPPER(SUBSTITUTE(SUBSTITUTE(SUBSTITUTE(SUBSTITUTE(SUBSTITUTE(SUBSTITUTE(SUBSTITUTE(SUBSTITUTE(SUBSTITUTE(SUBSTITUTE(SUBSTITUTE(SUBSTITUTE(SUBSTITUTE(SUBSTITUTE(SUBSTITUTE(SUBSTITUTE(SUBSTITUTE(SUBSTITUTE(TRIM($D974),"'",""),"İ","I"),"ı","I"),"i","I"),"Ş","S"),"ş","S"),"Ğ","G"),"ğ","G"),"Ü","U"),"ü","U"),"Ö","O"),"ö","O"),"Ç","C"),"ç","C"),".",""),",","")," ",""),"-","")))</f>
        <v/>
      </c>
      <c r="S974" s="3">
        <f>IF($D974="","",$C974&amp;"|"&amp;TEXT($E974,"0")&amp;"|"&amp;TEXT($F974,"0")&amp;"|"&amp;$I974)</f>
        <v/>
      </c>
      <c r="T974" s="3">
        <f>IF($E974="",0,SUMPRODUCT((AY_SONU!$O$7:$O$42="Evet")*(AY_SONU!$B$7:$B$42=DATE(YEAR($E974),MONTH($E974),1))))</f>
        <v/>
      </c>
    </row>
    <row r="975">
      <c r="A975" s="6" t="n"/>
      <c r="B975" s="113">
        <f>IF($D975="","","T"&amp;TEXT(ROW()-6,"00000"))</f>
        <v/>
      </c>
      <c r="C975" s="113">
        <f>IF($D975="","",IFERROR(INDEX(MUSTERILER!$B$7:$B$106,MATCH($R975,MUSTERILER!$T$7:$T$106,0)),IFERROR(INDEX(MUSTERILER!$B$7:$B$106,MATCH($D975,MUSTERILER!$B$7:$B$106,0)),IFERROR(INDEX(MUSTERILER!$B$7:$B$106,MATCH($R975&amp;"*",MUSTERILER!$T$7:$T$106,0)),"TANIMSIZ MÜŞTERİ"))))</f>
        <v/>
      </c>
      <c r="D975" s="109" t="n"/>
      <c r="E975" s="220" t="n"/>
      <c r="F975" s="221" t="n"/>
      <c r="G975" s="108" t="n"/>
      <c r="H975" s="108" t="n"/>
      <c r="I975" s="109" t="n"/>
      <c r="J975" s="109" t="n"/>
      <c r="K975" s="109" t="n"/>
      <c r="L975" s="226">
        <f>IF($E975="","",DATE(YEAR($E975),MONTH($E975),1))</f>
        <v/>
      </c>
      <c r="M975" s="113">
        <f>IF($D975="","",IF($C975="TANIMSIZ MÜŞTERİ","HATA",IF(OR($E975="",$F975&lt;=0,$G975=""),"EKSİK",IF($E975&gt;TODAY(),"İLERİ TARİH",IF(COUNTIF($S$7:$S$1506,$S975)&gt;1,"MÜKERRER?",IF($T975&gt;0,"KAPALI DÖNEM","UYGUN"))))))</f>
        <v/>
      </c>
      <c r="N975" s="121">
        <f>IF($C975="","",IF($C975="TANIMSIZ MÜŞTERİ","—",INDEX(MUSTERILER!$C$7:$C$106,MATCH($C975,MUSTERILER!$B$7:$B$106,0))))</f>
        <v/>
      </c>
      <c r="O975" s="6" t="n"/>
      <c r="P975" s="6" t="n"/>
      <c r="Q975" s="3">
        <f>IF($D975="","",$C975&amp;"|"&amp;COUNTIFS($C$7:$C975,$C975))</f>
        <v/>
      </c>
      <c r="R975" s="3">
        <f>IF($D975="","",UPPER(SUBSTITUTE(SUBSTITUTE(SUBSTITUTE(SUBSTITUTE(SUBSTITUTE(SUBSTITUTE(SUBSTITUTE(SUBSTITUTE(SUBSTITUTE(SUBSTITUTE(SUBSTITUTE(SUBSTITUTE(SUBSTITUTE(SUBSTITUTE(SUBSTITUTE(SUBSTITUTE(SUBSTITUTE(SUBSTITUTE(TRIM($D975),"'",""),"İ","I"),"ı","I"),"i","I"),"Ş","S"),"ş","S"),"Ğ","G"),"ğ","G"),"Ü","U"),"ü","U"),"Ö","O"),"ö","O"),"Ç","C"),"ç","C"),".",""),",","")," ",""),"-","")))</f>
        <v/>
      </c>
      <c r="S975" s="3">
        <f>IF($D975="","",$C975&amp;"|"&amp;TEXT($E975,"0")&amp;"|"&amp;TEXT($F975,"0")&amp;"|"&amp;$I975)</f>
        <v/>
      </c>
      <c r="T975" s="3">
        <f>IF($E975="",0,SUMPRODUCT((AY_SONU!$O$7:$O$42="Evet")*(AY_SONU!$B$7:$B$42=DATE(YEAR($E975),MONTH($E975),1))))</f>
        <v/>
      </c>
    </row>
    <row r="976">
      <c r="A976" s="6" t="n"/>
      <c r="B976" s="113">
        <f>IF($D976="","","T"&amp;TEXT(ROW()-6,"00000"))</f>
        <v/>
      </c>
      <c r="C976" s="113">
        <f>IF($D976="","",IFERROR(INDEX(MUSTERILER!$B$7:$B$106,MATCH($R976,MUSTERILER!$T$7:$T$106,0)),IFERROR(INDEX(MUSTERILER!$B$7:$B$106,MATCH($D976,MUSTERILER!$B$7:$B$106,0)),IFERROR(INDEX(MUSTERILER!$B$7:$B$106,MATCH($R976&amp;"*",MUSTERILER!$T$7:$T$106,0)),"TANIMSIZ MÜŞTERİ"))))</f>
        <v/>
      </c>
      <c r="D976" s="109" t="n"/>
      <c r="E976" s="220" t="n"/>
      <c r="F976" s="221" t="n"/>
      <c r="G976" s="108" t="n"/>
      <c r="H976" s="108" t="n"/>
      <c r="I976" s="109" t="n"/>
      <c r="J976" s="109" t="n"/>
      <c r="K976" s="109" t="n"/>
      <c r="L976" s="226">
        <f>IF($E976="","",DATE(YEAR($E976),MONTH($E976),1))</f>
        <v/>
      </c>
      <c r="M976" s="113">
        <f>IF($D976="","",IF($C976="TANIMSIZ MÜŞTERİ","HATA",IF(OR($E976="",$F976&lt;=0,$G976=""),"EKSİK",IF($E976&gt;TODAY(),"İLERİ TARİH",IF(COUNTIF($S$7:$S$1506,$S976)&gt;1,"MÜKERRER?",IF($T976&gt;0,"KAPALI DÖNEM","UYGUN"))))))</f>
        <v/>
      </c>
      <c r="N976" s="121">
        <f>IF($C976="","",IF($C976="TANIMSIZ MÜŞTERİ","—",INDEX(MUSTERILER!$C$7:$C$106,MATCH($C976,MUSTERILER!$B$7:$B$106,0))))</f>
        <v/>
      </c>
      <c r="O976" s="6" t="n"/>
      <c r="P976" s="6" t="n"/>
      <c r="Q976" s="3">
        <f>IF($D976="","",$C976&amp;"|"&amp;COUNTIFS($C$7:$C976,$C976))</f>
        <v/>
      </c>
      <c r="R976" s="3">
        <f>IF($D976="","",UPPER(SUBSTITUTE(SUBSTITUTE(SUBSTITUTE(SUBSTITUTE(SUBSTITUTE(SUBSTITUTE(SUBSTITUTE(SUBSTITUTE(SUBSTITUTE(SUBSTITUTE(SUBSTITUTE(SUBSTITUTE(SUBSTITUTE(SUBSTITUTE(SUBSTITUTE(SUBSTITUTE(SUBSTITUTE(SUBSTITUTE(TRIM($D976),"'",""),"İ","I"),"ı","I"),"i","I"),"Ş","S"),"ş","S"),"Ğ","G"),"ğ","G"),"Ü","U"),"ü","U"),"Ö","O"),"ö","O"),"Ç","C"),"ç","C"),".",""),",","")," ",""),"-","")))</f>
        <v/>
      </c>
      <c r="S976" s="3">
        <f>IF($D976="","",$C976&amp;"|"&amp;TEXT($E976,"0")&amp;"|"&amp;TEXT($F976,"0")&amp;"|"&amp;$I976)</f>
        <v/>
      </c>
      <c r="T976" s="3">
        <f>IF($E976="",0,SUMPRODUCT((AY_SONU!$O$7:$O$42="Evet")*(AY_SONU!$B$7:$B$42=DATE(YEAR($E976),MONTH($E976),1))))</f>
        <v/>
      </c>
    </row>
    <row r="977">
      <c r="A977" s="6" t="n"/>
      <c r="B977" s="113">
        <f>IF($D977="","","T"&amp;TEXT(ROW()-6,"00000"))</f>
        <v/>
      </c>
      <c r="C977" s="113">
        <f>IF($D977="","",IFERROR(INDEX(MUSTERILER!$B$7:$B$106,MATCH($R977,MUSTERILER!$T$7:$T$106,0)),IFERROR(INDEX(MUSTERILER!$B$7:$B$106,MATCH($D977,MUSTERILER!$B$7:$B$106,0)),IFERROR(INDEX(MUSTERILER!$B$7:$B$106,MATCH($R977&amp;"*",MUSTERILER!$T$7:$T$106,0)),"TANIMSIZ MÜŞTERİ"))))</f>
        <v/>
      </c>
      <c r="D977" s="109" t="n"/>
      <c r="E977" s="220" t="n"/>
      <c r="F977" s="221" t="n"/>
      <c r="G977" s="108" t="n"/>
      <c r="H977" s="108" t="n"/>
      <c r="I977" s="109" t="n"/>
      <c r="J977" s="109" t="n"/>
      <c r="K977" s="109" t="n"/>
      <c r="L977" s="226">
        <f>IF($E977="","",DATE(YEAR($E977),MONTH($E977),1))</f>
        <v/>
      </c>
      <c r="M977" s="113">
        <f>IF($D977="","",IF($C977="TANIMSIZ MÜŞTERİ","HATA",IF(OR($E977="",$F977&lt;=0,$G977=""),"EKSİK",IF($E977&gt;TODAY(),"İLERİ TARİH",IF(COUNTIF($S$7:$S$1506,$S977)&gt;1,"MÜKERRER?",IF($T977&gt;0,"KAPALI DÖNEM","UYGUN"))))))</f>
        <v/>
      </c>
      <c r="N977" s="121">
        <f>IF($C977="","",IF($C977="TANIMSIZ MÜŞTERİ","—",INDEX(MUSTERILER!$C$7:$C$106,MATCH($C977,MUSTERILER!$B$7:$B$106,0))))</f>
        <v/>
      </c>
      <c r="O977" s="6" t="n"/>
      <c r="P977" s="6" t="n"/>
      <c r="Q977" s="3">
        <f>IF($D977="","",$C977&amp;"|"&amp;COUNTIFS($C$7:$C977,$C977))</f>
        <v/>
      </c>
      <c r="R977" s="3">
        <f>IF($D977="","",UPPER(SUBSTITUTE(SUBSTITUTE(SUBSTITUTE(SUBSTITUTE(SUBSTITUTE(SUBSTITUTE(SUBSTITUTE(SUBSTITUTE(SUBSTITUTE(SUBSTITUTE(SUBSTITUTE(SUBSTITUTE(SUBSTITUTE(SUBSTITUTE(SUBSTITUTE(SUBSTITUTE(SUBSTITUTE(SUBSTITUTE(TRIM($D977),"'",""),"İ","I"),"ı","I"),"i","I"),"Ş","S"),"ş","S"),"Ğ","G"),"ğ","G"),"Ü","U"),"ü","U"),"Ö","O"),"ö","O"),"Ç","C"),"ç","C"),".",""),",","")," ",""),"-","")))</f>
        <v/>
      </c>
      <c r="S977" s="3">
        <f>IF($D977="","",$C977&amp;"|"&amp;TEXT($E977,"0")&amp;"|"&amp;TEXT($F977,"0")&amp;"|"&amp;$I977)</f>
        <v/>
      </c>
      <c r="T977" s="3">
        <f>IF($E977="",0,SUMPRODUCT((AY_SONU!$O$7:$O$42="Evet")*(AY_SONU!$B$7:$B$42=DATE(YEAR($E977),MONTH($E977),1))))</f>
        <v/>
      </c>
    </row>
    <row r="978">
      <c r="A978" s="6" t="n"/>
      <c r="B978" s="113">
        <f>IF($D978="","","T"&amp;TEXT(ROW()-6,"00000"))</f>
        <v/>
      </c>
      <c r="C978" s="113">
        <f>IF($D978="","",IFERROR(INDEX(MUSTERILER!$B$7:$B$106,MATCH($R978,MUSTERILER!$T$7:$T$106,0)),IFERROR(INDEX(MUSTERILER!$B$7:$B$106,MATCH($D978,MUSTERILER!$B$7:$B$106,0)),IFERROR(INDEX(MUSTERILER!$B$7:$B$106,MATCH($R978&amp;"*",MUSTERILER!$T$7:$T$106,0)),"TANIMSIZ MÜŞTERİ"))))</f>
        <v/>
      </c>
      <c r="D978" s="109" t="n"/>
      <c r="E978" s="220" t="n"/>
      <c r="F978" s="221" t="n"/>
      <c r="G978" s="108" t="n"/>
      <c r="H978" s="108" t="n"/>
      <c r="I978" s="109" t="n"/>
      <c r="J978" s="109" t="n"/>
      <c r="K978" s="109" t="n"/>
      <c r="L978" s="226">
        <f>IF($E978="","",DATE(YEAR($E978),MONTH($E978),1))</f>
        <v/>
      </c>
      <c r="M978" s="113">
        <f>IF($D978="","",IF($C978="TANIMSIZ MÜŞTERİ","HATA",IF(OR($E978="",$F978&lt;=0,$G978=""),"EKSİK",IF($E978&gt;TODAY(),"İLERİ TARİH",IF(COUNTIF($S$7:$S$1506,$S978)&gt;1,"MÜKERRER?",IF($T978&gt;0,"KAPALI DÖNEM","UYGUN"))))))</f>
        <v/>
      </c>
      <c r="N978" s="121">
        <f>IF($C978="","",IF($C978="TANIMSIZ MÜŞTERİ","—",INDEX(MUSTERILER!$C$7:$C$106,MATCH($C978,MUSTERILER!$B$7:$B$106,0))))</f>
        <v/>
      </c>
      <c r="O978" s="6" t="n"/>
      <c r="P978" s="6" t="n"/>
      <c r="Q978" s="3">
        <f>IF($D978="","",$C978&amp;"|"&amp;COUNTIFS($C$7:$C978,$C978))</f>
        <v/>
      </c>
      <c r="R978" s="3">
        <f>IF($D978="","",UPPER(SUBSTITUTE(SUBSTITUTE(SUBSTITUTE(SUBSTITUTE(SUBSTITUTE(SUBSTITUTE(SUBSTITUTE(SUBSTITUTE(SUBSTITUTE(SUBSTITUTE(SUBSTITUTE(SUBSTITUTE(SUBSTITUTE(SUBSTITUTE(SUBSTITUTE(SUBSTITUTE(SUBSTITUTE(SUBSTITUTE(TRIM($D978),"'",""),"İ","I"),"ı","I"),"i","I"),"Ş","S"),"ş","S"),"Ğ","G"),"ğ","G"),"Ü","U"),"ü","U"),"Ö","O"),"ö","O"),"Ç","C"),"ç","C"),".",""),",","")," ",""),"-","")))</f>
        <v/>
      </c>
      <c r="S978" s="3">
        <f>IF($D978="","",$C978&amp;"|"&amp;TEXT($E978,"0")&amp;"|"&amp;TEXT($F978,"0")&amp;"|"&amp;$I978)</f>
        <v/>
      </c>
      <c r="T978" s="3">
        <f>IF($E978="",0,SUMPRODUCT((AY_SONU!$O$7:$O$42="Evet")*(AY_SONU!$B$7:$B$42=DATE(YEAR($E978),MONTH($E978),1))))</f>
        <v/>
      </c>
    </row>
    <row r="979">
      <c r="A979" s="6" t="n"/>
      <c r="B979" s="113">
        <f>IF($D979="","","T"&amp;TEXT(ROW()-6,"00000"))</f>
        <v/>
      </c>
      <c r="C979" s="113">
        <f>IF($D979="","",IFERROR(INDEX(MUSTERILER!$B$7:$B$106,MATCH($R979,MUSTERILER!$T$7:$T$106,0)),IFERROR(INDEX(MUSTERILER!$B$7:$B$106,MATCH($D979,MUSTERILER!$B$7:$B$106,0)),IFERROR(INDEX(MUSTERILER!$B$7:$B$106,MATCH($R979&amp;"*",MUSTERILER!$T$7:$T$106,0)),"TANIMSIZ MÜŞTERİ"))))</f>
        <v/>
      </c>
      <c r="D979" s="109" t="n"/>
      <c r="E979" s="220" t="n"/>
      <c r="F979" s="221" t="n"/>
      <c r="G979" s="108" t="n"/>
      <c r="H979" s="108" t="n"/>
      <c r="I979" s="109" t="n"/>
      <c r="J979" s="109" t="n"/>
      <c r="K979" s="109" t="n"/>
      <c r="L979" s="226">
        <f>IF($E979="","",DATE(YEAR($E979),MONTH($E979),1))</f>
        <v/>
      </c>
      <c r="M979" s="113">
        <f>IF($D979="","",IF($C979="TANIMSIZ MÜŞTERİ","HATA",IF(OR($E979="",$F979&lt;=0,$G979=""),"EKSİK",IF($E979&gt;TODAY(),"İLERİ TARİH",IF(COUNTIF($S$7:$S$1506,$S979)&gt;1,"MÜKERRER?",IF($T979&gt;0,"KAPALI DÖNEM","UYGUN"))))))</f>
        <v/>
      </c>
      <c r="N979" s="121">
        <f>IF($C979="","",IF($C979="TANIMSIZ MÜŞTERİ","—",INDEX(MUSTERILER!$C$7:$C$106,MATCH($C979,MUSTERILER!$B$7:$B$106,0))))</f>
        <v/>
      </c>
      <c r="O979" s="6" t="n"/>
      <c r="P979" s="6" t="n"/>
      <c r="Q979" s="3">
        <f>IF($D979="","",$C979&amp;"|"&amp;COUNTIFS($C$7:$C979,$C979))</f>
        <v/>
      </c>
      <c r="R979" s="3">
        <f>IF($D979="","",UPPER(SUBSTITUTE(SUBSTITUTE(SUBSTITUTE(SUBSTITUTE(SUBSTITUTE(SUBSTITUTE(SUBSTITUTE(SUBSTITUTE(SUBSTITUTE(SUBSTITUTE(SUBSTITUTE(SUBSTITUTE(SUBSTITUTE(SUBSTITUTE(SUBSTITUTE(SUBSTITUTE(SUBSTITUTE(SUBSTITUTE(TRIM($D979),"'",""),"İ","I"),"ı","I"),"i","I"),"Ş","S"),"ş","S"),"Ğ","G"),"ğ","G"),"Ü","U"),"ü","U"),"Ö","O"),"ö","O"),"Ç","C"),"ç","C"),".",""),",","")," ",""),"-","")))</f>
        <v/>
      </c>
      <c r="S979" s="3">
        <f>IF($D979="","",$C979&amp;"|"&amp;TEXT($E979,"0")&amp;"|"&amp;TEXT($F979,"0")&amp;"|"&amp;$I979)</f>
        <v/>
      </c>
      <c r="T979" s="3">
        <f>IF($E979="",0,SUMPRODUCT((AY_SONU!$O$7:$O$42="Evet")*(AY_SONU!$B$7:$B$42=DATE(YEAR($E979),MONTH($E979),1))))</f>
        <v/>
      </c>
    </row>
    <row r="980">
      <c r="A980" s="6" t="n"/>
      <c r="B980" s="113">
        <f>IF($D980="","","T"&amp;TEXT(ROW()-6,"00000"))</f>
        <v/>
      </c>
      <c r="C980" s="113">
        <f>IF($D980="","",IFERROR(INDEX(MUSTERILER!$B$7:$B$106,MATCH($R980,MUSTERILER!$T$7:$T$106,0)),IFERROR(INDEX(MUSTERILER!$B$7:$B$106,MATCH($D980,MUSTERILER!$B$7:$B$106,0)),IFERROR(INDEX(MUSTERILER!$B$7:$B$106,MATCH($R980&amp;"*",MUSTERILER!$T$7:$T$106,0)),"TANIMSIZ MÜŞTERİ"))))</f>
        <v/>
      </c>
      <c r="D980" s="109" t="n"/>
      <c r="E980" s="220" t="n"/>
      <c r="F980" s="221" t="n"/>
      <c r="G980" s="108" t="n"/>
      <c r="H980" s="108" t="n"/>
      <c r="I980" s="109" t="n"/>
      <c r="J980" s="109" t="n"/>
      <c r="K980" s="109" t="n"/>
      <c r="L980" s="226">
        <f>IF($E980="","",DATE(YEAR($E980),MONTH($E980),1))</f>
        <v/>
      </c>
      <c r="M980" s="113">
        <f>IF($D980="","",IF($C980="TANIMSIZ MÜŞTERİ","HATA",IF(OR($E980="",$F980&lt;=0,$G980=""),"EKSİK",IF($E980&gt;TODAY(),"İLERİ TARİH",IF(COUNTIF($S$7:$S$1506,$S980)&gt;1,"MÜKERRER?",IF($T980&gt;0,"KAPALI DÖNEM","UYGUN"))))))</f>
        <v/>
      </c>
      <c r="N980" s="121">
        <f>IF($C980="","",IF($C980="TANIMSIZ MÜŞTERİ","—",INDEX(MUSTERILER!$C$7:$C$106,MATCH($C980,MUSTERILER!$B$7:$B$106,0))))</f>
        <v/>
      </c>
      <c r="O980" s="6" t="n"/>
      <c r="P980" s="6" t="n"/>
      <c r="Q980" s="3">
        <f>IF($D980="","",$C980&amp;"|"&amp;COUNTIFS($C$7:$C980,$C980))</f>
        <v/>
      </c>
      <c r="R980" s="3">
        <f>IF($D980="","",UPPER(SUBSTITUTE(SUBSTITUTE(SUBSTITUTE(SUBSTITUTE(SUBSTITUTE(SUBSTITUTE(SUBSTITUTE(SUBSTITUTE(SUBSTITUTE(SUBSTITUTE(SUBSTITUTE(SUBSTITUTE(SUBSTITUTE(SUBSTITUTE(SUBSTITUTE(SUBSTITUTE(SUBSTITUTE(SUBSTITUTE(TRIM($D980),"'",""),"İ","I"),"ı","I"),"i","I"),"Ş","S"),"ş","S"),"Ğ","G"),"ğ","G"),"Ü","U"),"ü","U"),"Ö","O"),"ö","O"),"Ç","C"),"ç","C"),".",""),",","")," ",""),"-","")))</f>
        <v/>
      </c>
      <c r="S980" s="3">
        <f>IF($D980="","",$C980&amp;"|"&amp;TEXT($E980,"0")&amp;"|"&amp;TEXT($F980,"0")&amp;"|"&amp;$I980)</f>
        <v/>
      </c>
      <c r="T980" s="3">
        <f>IF($E980="",0,SUMPRODUCT((AY_SONU!$O$7:$O$42="Evet")*(AY_SONU!$B$7:$B$42=DATE(YEAR($E980),MONTH($E980),1))))</f>
        <v/>
      </c>
    </row>
    <row r="981">
      <c r="A981" s="6" t="n"/>
      <c r="B981" s="113">
        <f>IF($D981="","","T"&amp;TEXT(ROW()-6,"00000"))</f>
        <v/>
      </c>
      <c r="C981" s="113">
        <f>IF($D981="","",IFERROR(INDEX(MUSTERILER!$B$7:$B$106,MATCH($R981,MUSTERILER!$T$7:$T$106,0)),IFERROR(INDEX(MUSTERILER!$B$7:$B$106,MATCH($D981,MUSTERILER!$B$7:$B$106,0)),IFERROR(INDEX(MUSTERILER!$B$7:$B$106,MATCH($R981&amp;"*",MUSTERILER!$T$7:$T$106,0)),"TANIMSIZ MÜŞTERİ"))))</f>
        <v/>
      </c>
      <c r="D981" s="109" t="n"/>
      <c r="E981" s="220" t="n"/>
      <c r="F981" s="221" t="n"/>
      <c r="G981" s="108" t="n"/>
      <c r="H981" s="108" t="n"/>
      <c r="I981" s="109" t="n"/>
      <c r="J981" s="109" t="n"/>
      <c r="K981" s="109" t="n"/>
      <c r="L981" s="226">
        <f>IF($E981="","",DATE(YEAR($E981),MONTH($E981),1))</f>
        <v/>
      </c>
      <c r="M981" s="113">
        <f>IF($D981="","",IF($C981="TANIMSIZ MÜŞTERİ","HATA",IF(OR($E981="",$F981&lt;=0,$G981=""),"EKSİK",IF($E981&gt;TODAY(),"İLERİ TARİH",IF(COUNTIF($S$7:$S$1506,$S981)&gt;1,"MÜKERRER?",IF($T981&gt;0,"KAPALI DÖNEM","UYGUN"))))))</f>
        <v/>
      </c>
      <c r="N981" s="121">
        <f>IF($C981="","",IF($C981="TANIMSIZ MÜŞTERİ","—",INDEX(MUSTERILER!$C$7:$C$106,MATCH($C981,MUSTERILER!$B$7:$B$106,0))))</f>
        <v/>
      </c>
      <c r="O981" s="6" t="n"/>
      <c r="P981" s="6" t="n"/>
      <c r="Q981" s="3">
        <f>IF($D981="","",$C981&amp;"|"&amp;COUNTIFS($C$7:$C981,$C981))</f>
        <v/>
      </c>
      <c r="R981" s="3">
        <f>IF($D981="","",UPPER(SUBSTITUTE(SUBSTITUTE(SUBSTITUTE(SUBSTITUTE(SUBSTITUTE(SUBSTITUTE(SUBSTITUTE(SUBSTITUTE(SUBSTITUTE(SUBSTITUTE(SUBSTITUTE(SUBSTITUTE(SUBSTITUTE(SUBSTITUTE(SUBSTITUTE(SUBSTITUTE(SUBSTITUTE(SUBSTITUTE(TRIM($D981),"'",""),"İ","I"),"ı","I"),"i","I"),"Ş","S"),"ş","S"),"Ğ","G"),"ğ","G"),"Ü","U"),"ü","U"),"Ö","O"),"ö","O"),"Ç","C"),"ç","C"),".",""),",","")," ",""),"-","")))</f>
        <v/>
      </c>
      <c r="S981" s="3">
        <f>IF($D981="","",$C981&amp;"|"&amp;TEXT($E981,"0")&amp;"|"&amp;TEXT($F981,"0")&amp;"|"&amp;$I981)</f>
        <v/>
      </c>
      <c r="T981" s="3">
        <f>IF($E981="",0,SUMPRODUCT((AY_SONU!$O$7:$O$42="Evet")*(AY_SONU!$B$7:$B$42=DATE(YEAR($E981),MONTH($E981),1))))</f>
        <v/>
      </c>
    </row>
    <row r="982">
      <c r="A982" s="6" t="n"/>
      <c r="B982" s="113">
        <f>IF($D982="","","T"&amp;TEXT(ROW()-6,"00000"))</f>
        <v/>
      </c>
      <c r="C982" s="113">
        <f>IF($D982="","",IFERROR(INDEX(MUSTERILER!$B$7:$B$106,MATCH($R982,MUSTERILER!$T$7:$T$106,0)),IFERROR(INDEX(MUSTERILER!$B$7:$B$106,MATCH($D982,MUSTERILER!$B$7:$B$106,0)),IFERROR(INDEX(MUSTERILER!$B$7:$B$106,MATCH($R982&amp;"*",MUSTERILER!$T$7:$T$106,0)),"TANIMSIZ MÜŞTERİ"))))</f>
        <v/>
      </c>
      <c r="D982" s="109" t="n"/>
      <c r="E982" s="220" t="n"/>
      <c r="F982" s="221" t="n"/>
      <c r="G982" s="108" t="n"/>
      <c r="H982" s="108" t="n"/>
      <c r="I982" s="109" t="n"/>
      <c r="J982" s="109" t="n"/>
      <c r="K982" s="109" t="n"/>
      <c r="L982" s="226">
        <f>IF($E982="","",DATE(YEAR($E982),MONTH($E982),1))</f>
        <v/>
      </c>
      <c r="M982" s="113">
        <f>IF($D982="","",IF($C982="TANIMSIZ MÜŞTERİ","HATA",IF(OR($E982="",$F982&lt;=0,$G982=""),"EKSİK",IF($E982&gt;TODAY(),"İLERİ TARİH",IF(COUNTIF($S$7:$S$1506,$S982)&gt;1,"MÜKERRER?",IF($T982&gt;0,"KAPALI DÖNEM","UYGUN"))))))</f>
        <v/>
      </c>
      <c r="N982" s="121">
        <f>IF($C982="","",IF($C982="TANIMSIZ MÜŞTERİ","—",INDEX(MUSTERILER!$C$7:$C$106,MATCH($C982,MUSTERILER!$B$7:$B$106,0))))</f>
        <v/>
      </c>
      <c r="O982" s="6" t="n"/>
      <c r="P982" s="6" t="n"/>
      <c r="Q982" s="3">
        <f>IF($D982="","",$C982&amp;"|"&amp;COUNTIFS($C$7:$C982,$C982))</f>
        <v/>
      </c>
      <c r="R982" s="3">
        <f>IF($D982="","",UPPER(SUBSTITUTE(SUBSTITUTE(SUBSTITUTE(SUBSTITUTE(SUBSTITUTE(SUBSTITUTE(SUBSTITUTE(SUBSTITUTE(SUBSTITUTE(SUBSTITUTE(SUBSTITUTE(SUBSTITUTE(SUBSTITUTE(SUBSTITUTE(SUBSTITUTE(SUBSTITUTE(SUBSTITUTE(SUBSTITUTE(TRIM($D982),"'",""),"İ","I"),"ı","I"),"i","I"),"Ş","S"),"ş","S"),"Ğ","G"),"ğ","G"),"Ü","U"),"ü","U"),"Ö","O"),"ö","O"),"Ç","C"),"ç","C"),".",""),",","")," ",""),"-","")))</f>
        <v/>
      </c>
      <c r="S982" s="3">
        <f>IF($D982="","",$C982&amp;"|"&amp;TEXT($E982,"0")&amp;"|"&amp;TEXT($F982,"0")&amp;"|"&amp;$I982)</f>
        <v/>
      </c>
      <c r="T982" s="3">
        <f>IF($E982="",0,SUMPRODUCT((AY_SONU!$O$7:$O$42="Evet")*(AY_SONU!$B$7:$B$42=DATE(YEAR($E982),MONTH($E982),1))))</f>
        <v/>
      </c>
    </row>
    <row r="983">
      <c r="A983" s="6" t="n"/>
      <c r="B983" s="113">
        <f>IF($D983="","","T"&amp;TEXT(ROW()-6,"00000"))</f>
        <v/>
      </c>
      <c r="C983" s="113">
        <f>IF($D983="","",IFERROR(INDEX(MUSTERILER!$B$7:$B$106,MATCH($R983,MUSTERILER!$T$7:$T$106,0)),IFERROR(INDEX(MUSTERILER!$B$7:$B$106,MATCH($D983,MUSTERILER!$B$7:$B$106,0)),IFERROR(INDEX(MUSTERILER!$B$7:$B$106,MATCH($R983&amp;"*",MUSTERILER!$T$7:$T$106,0)),"TANIMSIZ MÜŞTERİ"))))</f>
        <v/>
      </c>
      <c r="D983" s="109" t="n"/>
      <c r="E983" s="220" t="n"/>
      <c r="F983" s="221" t="n"/>
      <c r="G983" s="108" t="n"/>
      <c r="H983" s="108" t="n"/>
      <c r="I983" s="109" t="n"/>
      <c r="J983" s="109" t="n"/>
      <c r="K983" s="109" t="n"/>
      <c r="L983" s="226">
        <f>IF($E983="","",DATE(YEAR($E983),MONTH($E983),1))</f>
        <v/>
      </c>
      <c r="M983" s="113">
        <f>IF($D983="","",IF($C983="TANIMSIZ MÜŞTERİ","HATA",IF(OR($E983="",$F983&lt;=0,$G983=""),"EKSİK",IF($E983&gt;TODAY(),"İLERİ TARİH",IF(COUNTIF($S$7:$S$1506,$S983)&gt;1,"MÜKERRER?",IF($T983&gt;0,"KAPALI DÖNEM","UYGUN"))))))</f>
        <v/>
      </c>
      <c r="N983" s="121">
        <f>IF($C983="","",IF($C983="TANIMSIZ MÜŞTERİ","—",INDEX(MUSTERILER!$C$7:$C$106,MATCH($C983,MUSTERILER!$B$7:$B$106,0))))</f>
        <v/>
      </c>
      <c r="O983" s="6" t="n"/>
      <c r="P983" s="6" t="n"/>
      <c r="Q983" s="3">
        <f>IF($D983="","",$C983&amp;"|"&amp;COUNTIFS($C$7:$C983,$C983))</f>
        <v/>
      </c>
      <c r="R983" s="3">
        <f>IF($D983="","",UPPER(SUBSTITUTE(SUBSTITUTE(SUBSTITUTE(SUBSTITUTE(SUBSTITUTE(SUBSTITUTE(SUBSTITUTE(SUBSTITUTE(SUBSTITUTE(SUBSTITUTE(SUBSTITUTE(SUBSTITUTE(SUBSTITUTE(SUBSTITUTE(SUBSTITUTE(SUBSTITUTE(SUBSTITUTE(SUBSTITUTE(TRIM($D983),"'",""),"İ","I"),"ı","I"),"i","I"),"Ş","S"),"ş","S"),"Ğ","G"),"ğ","G"),"Ü","U"),"ü","U"),"Ö","O"),"ö","O"),"Ç","C"),"ç","C"),".",""),",","")," ",""),"-","")))</f>
        <v/>
      </c>
      <c r="S983" s="3">
        <f>IF($D983="","",$C983&amp;"|"&amp;TEXT($E983,"0")&amp;"|"&amp;TEXT($F983,"0")&amp;"|"&amp;$I983)</f>
        <v/>
      </c>
      <c r="T983" s="3">
        <f>IF($E983="",0,SUMPRODUCT((AY_SONU!$O$7:$O$42="Evet")*(AY_SONU!$B$7:$B$42=DATE(YEAR($E983),MONTH($E983),1))))</f>
        <v/>
      </c>
    </row>
    <row r="984">
      <c r="A984" s="6" t="n"/>
      <c r="B984" s="113">
        <f>IF($D984="","","T"&amp;TEXT(ROW()-6,"00000"))</f>
        <v/>
      </c>
      <c r="C984" s="113">
        <f>IF($D984="","",IFERROR(INDEX(MUSTERILER!$B$7:$B$106,MATCH($R984,MUSTERILER!$T$7:$T$106,0)),IFERROR(INDEX(MUSTERILER!$B$7:$B$106,MATCH($D984,MUSTERILER!$B$7:$B$106,0)),IFERROR(INDEX(MUSTERILER!$B$7:$B$106,MATCH($R984&amp;"*",MUSTERILER!$T$7:$T$106,0)),"TANIMSIZ MÜŞTERİ"))))</f>
        <v/>
      </c>
      <c r="D984" s="109" t="n"/>
      <c r="E984" s="220" t="n"/>
      <c r="F984" s="221" t="n"/>
      <c r="G984" s="108" t="n"/>
      <c r="H984" s="108" t="n"/>
      <c r="I984" s="109" t="n"/>
      <c r="J984" s="109" t="n"/>
      <c r="K984" s="109" t="n"/>
      <c r="L984" s="226">
        <f>IF($E984="","",DATE(YEAR($E984),MONTH($E984),1))</f>
        <v/>
      </c>
      <c r="M984" s="113">
        <f>IF($D984="","",IF($C984="TANIMSIZ MÜŞTERİ","HATA",IF(OR($E984="",$F984&lt;=0,$G984=""),"EKSİK",IF($E984&gt;TODAY(),"İLERİ TARİH",IF(COUNTIF($S$7:$S$1506,$S984)&gt;1,"MÜKERRER?",IF($T984&gt;0,"KAPALI DÖNEM","UYGUN"))))))</f>
        <v/>
      </c>
      <c r="N984" s="121">
        <f>IF($C984="","",IF($C984="TANIMSIZ MÜŞTERİ","—",INDEX(MUSTERILER!$C$7:$C$106,MATCH($C984,MUSTERILER!$B$7:$B$106,0))))</f>
        <v/>
      </c>
      <c r="O984" s="6" t="n"/>
      <c r="P984" s="6" t="n"/>
      <c r="Q984" s="3">
        <f>IF($D984="","",$C984&amp;"|"&amp;COUNTIFS($C$7:$C984,$C984))</f>
        <v/>
      </c>
      <c r="R984" s="3">
        <f>IF($D984="","",UPPER(SUBSTITUTE(SUBSTITUTE(SUBSTITUTE(SUBSTITUTE(SUBSTITUTE(SUBSTITUTE(SUBSTITUTE(SUBSTITUTE(SUBSTITUTE(SUBSTITUTE(SUBSTITUTE(SUBSTITUTE(SUBSTITUTE(SUBSTITUTE(SUBSTITUTE(SUBSTITUTE(SUBSTITUTE(SUBSTITUTE(TRIM($D984),"'",""),"İ","I"),"ı","I"),"i","I"),"Ş","S"),"ş","S"),"Ğ","G"),"ğ","G"),"Ü","U"),"ü","U"),"Ö","O"),"ö","O"),"Ç","C"),"ç","C"),".",""),",","")," ",""),"-","")))</f>
        <v/>
      </c>
      <c r="S984" s="3">
        <f>IF($D984="","",$C984&amp;"|"&amp;TEXT($E984,"0")&amp;"|"&amp;TEXT($F984,"0")&amp;"|"&amp;$I984)</f>
        <v/>
      </c>
      <c r="T984" s="3">
        <f>IF($E984="",0,SUMPRODUCT((AY_SONU!$O$7:$O$42="Evet")*(AY_SONU!$B$7:$B$42=DATE(YEAR($E984),MONTH($E984),1))))</f>
        <v/>
      </c>
    </row>
    <row r="985">
      <c r="A985" s="6" t="n"/>
      <c r="B985" s="113">
        <f>IF($D985="","","T"&amp;TEXT(ROW()-6,"00000"))</f>
        <v/>
      </c>
      <c r="C985" s="113">
        <f>IF($D985="","",IFERROR(INDEX(MUSTERILER!$B$7:$B$106,MATCH($R985,MUSTERILER!$T$7:$T$106,0)),IFERROR(INDEX(MUSTERILER!$B$7:$B$106,MATCH($D985,MUSTERILER!$B$7:$B$106,0)),IFERROR(INDEX(MUSTERILER!$B$7:$B$106,MATCH($R985&amp;"*",MUSTERILER!$T$7:$T$106,0)),"TANIMSIZ MÜŞTERİ"))))</f>
        <v/>
      </c>
      <c r="D985" s="109" t="n"/>
      <c r="E985" s="220" t="n"/>
      <c r="F985" s="221" t="n"/>
      <c r="G985" s="108" t="n"/>
      <c r="H985" s="108" t="n"/>
      <c r="I985" s="109" t="n"/>
      <c r="J985" s="109" t="n"/>
      <c r="K985" s="109" t="n"/>
      <c r="L985" s="226">
        <f>IF($E985="","",DATE(YEAR($E985),MONTH($E985),1))</f>
        <v/>
      </c>
      <c r="M985" s="113">
        <f>IF($D985="","",IF($C985="TANIMSIZ MÜŞTERİ","HATA",IF(OR($E985="",$F985&lt;=0,$G985=""),"EKSİK",IF($E985&gt;TODAY(),"İLERİ TARİH",IF(COUNTIF($S$7:$S$1506,$S985)&gt;1,"MÜKERRER?",IF($T985&gt;0,"KAPALI DÖNEM","UYGUN"))))))</f>
        <v/>
      </c>
      <c r="N985" s="121">
        <f>IF($C985="","",IF($C985="TANIMSIZ MÜŞTERİ","—",INDEX(MUSTERILER!$C$7:$C$106,MATCH($C985,MUSTERILER!$B$7:$B$106,0))))</f>
        <v/>
      </c>
      <c r="O985" s="6" t="n"/>
      <c r="P985" s="6" t="n"/>
      <c r="Q985" s="3">
        <f>IF($D985="","",$C985&amp;"|"&amp;COUNTIFS($C$7:$C985,$C985))</f>
        <v/>
      </c>
      <c r="R985" s="3">
        <f>IF($D985="","",UPPER(SUBSTITUTE(SUBSTITUTE(SUBSTITUTE(SUBSTITUTE(SUBSTITUTE(SUBSTITUTE(SUBSTITUTE(SUBSTITUTE(SUBSTITUTE(SUBSTITUTE(SUBSTITUTE(SUBSTITUTE(SUBSTITUTE(SUBSTITUTE(SUBSTITUTE(SUBSTITUTE(SUBSTITUTE(SUBSTITUTE(TRIM($D985),"'",""),"İ","I"),"ı","I"),"i","I"),"Ş","S"),"ş","S"),"Ğ","G"),"ğ","G"),"Ü","U"),"ü","U"),"Ö","O"),"ö","O"),"Ç","C"),"ç","C"),".",""),",","")," ",""),"-","")))</f>
        <v/>
      </c>
      <c r="S985" s="3">
        <f>IF($D985="","",$C985&amp;"|"&amp;TEXT($E985,"0")&amp;"|"&amp;TEXT($F985,"0")&amp;"|"&amp;$I985)</f>
        <v/>
      </c>
      <c r="T985" s="3">
        <f>IF($E985="",0,SUMPRODUCT((AY_SONU!$O$7:$O$42="Evet")*(AY_SONU!$B$7:$B$42=DATE(YEAR($E985),MONTH($E985),1))))</f>
        <v/>
      </c>
    </row>
    <row r="986">
      <c r="A986" s="6" t="n"/>
      <c r="B986" s="113">
        <f>IF($D986="","","T"&amp;TEXT(ROW()-6,"00000"))</f>
        <v/>
      </c>
      <c r="C986" s="113">
        <f>IF($D986="","",IFERROR(INDEX(MUSTERILER!$B$7:$B$106,MATCH($R986,MUSTERILER!$T$7:$T$106,0)),IFERROR(INDEX(MUSTERILER!$B$7:$B$106,MATCH($D986,MUSTERILER!$B$7:$B$106,0)),IFERROR(INDEX(MUSTERILER!$B$7:$B$106,MATCH($R986&amp;"*",MUSTERILER!$T$7:$T$106,0)),"TANIMSIZ MÜŞTERİ"))))</f>
        <v/>
      </c>
      <c r="D986" s="109" t="n"/>
      <c r="E986" s="220" t="n"/>
      <c r="F986" s="221" t="n"/>
      <c r="G986" s="108" t="n"/>
      <c r="H986" s="108" t="n"/>
      <c r="I986" s="109" t="n"/>
      <c r="J986" s="109" t="n"/>
      <c r="K986" s="109" t="n"/>
      <c r="L986" s="226">
        <f>IF($E986="","",DATE(YEAR($E986),MONTH($E986),1))</f>
        <v/>
      </c>
      <c r="M986" s="113">
        <f>IF($D986="","",IF($C986="TANIMSIZ MÜŞTERİ","HATA",IF(OR($E986="",$F986&lt;=0,$G986=""),"EKSİK",IF($E986&gt;TODAY(),"İLERİ TARİH",IF(COUNTIF($S$7:$S$1506,$S986)&gt;1,"MÜKERRER?",IF($T986&gt;0,"KAPALI DÖNEM","UYGUN"))))))</f>
        <v/>
      </c>
      <c r="N986" s="121">
        <f>IF($C986="","",IF($C986="TANIMSIZ MÜŞTERİ","—",INDEX(MUSTERILER!$C$7:$C$106,MATCH($C986,MUSTERILER!$B$7:$B$106,0))))</f>
        <v/>
      </c>
      <c r="O986" s="6" t="n"/>
      <c r="P986" s="6" t="n"/>
      <c r="Q986" s="3">
        <f>IF($D986="","",$C986&amp;"|"&amp;COUNTIFS($C$7:$C986,$C986))</f>
        <v/>
      </c>
      <c r="R986" s="3">
        <f>IF($D986="","",UPPER(SUBSTITUTE(SUBSTITUTE(SUBSTITUTE(SUBSTITUTE(SUBSTITUTE(SUBSTITUTE(SUBSTITUTE(SUBSTITUTE(SUBSTITUTE(SUBSTITUTE(SUBSTITUTE(SUBSTITUTE(SUBSTITUTE(SUBSTITUTE(SUBSTITUTE(SUBSTITUTE(SUBSTITUTE(SUBSTITUTE(TRIM($D986),"'",""),"İ","I"),"ı","I"),"i","I"),"Ş","S"),"ş","S"),"Ğ","G"),"ğ","G"),"Ü","U"),"ü","U"),"Ö","O"),"ö","O"),"Ç","C"),"ç","C"),".",""),",","")," ",""),"-","")))</f>
        <v/>
      </c>
      <c r="S986" s="3">
        <f>IF($D986="","",$C986&amp;"|"&amp;TEXT($E986,"0")&amp;"|"&amp;TEXT($F986,"0")&amp;"|"&amp;$I986)</f>
        <v/>
      </c>
      <c r="T986" s="3">
        <f>IF($E986="",0,SUMPRODUCT((AY_SONU!$O$7:$O$42="Evet")*(AY_SONU!$B$7:$B$42=DATE(YEAR($E986),MONTH($E986),1))))</f>
        <v/>
      </c>
    </row>
    <row r="987">
      <c r="A987" s="6" t="n"/>
      <c r="B987" s="113">
        <f>IF($D987="","","T"&amp;TEXT(ROW()-6,"00000"))</f>
        <v/>
      </c>
      <c r="C987" s="113">
        <f>IF($D987="","",IFERROR(INDEX(MUSTERILER!$B$7:$B$106,MATCH($R987,MUSTERILER!$T$7:$T$106,0)),IFERROR(INDEX(MUSTERILER!$B$7:$B$106,MATCH($D987,MUSTERILER!$B$7:$B$106,0)),IFERROR(INDEX(MUSTERILER!$B$7:$B$106,MATCH($R987&amp;"*",MUSTERILER!$T$7:$T$106,0)),"TANIMSIZ MÜŞTERİ"))))</f>
        <v/>
      </c>
      <c r="D987" s="109" t="n"/>
      <c r="E987" s="220" t="n"/>
      <c r="F987" s="221" t="n"/>
      <c r="G987" s="108" t="n"/>
      <c r="H987" s="108" t="n"/>
      <c r="I987" s="109" t="n"/>
      <c r="J987" s="109" t="n"/>
      <c r="K987" s="109" t="n"/>
      <c r="L987" s="226">
        <f>IF($E987="","",DATE(YEAR($E987),MONTH($E987),1))</f>
        <v/>
      </c>
      <c r="M987" s="113">
        <f>IF($D987="","",IF($C987="TANIMSIZ MÜŞTERİ","HATA",IF(OR($E987="",$F987&lt;=0,$G987=""),"EKSİK",IF($E987&gt;TODAY(),"İLERİ TARİH",IF(COUNTIF($S$7:$S$1506,$S987)&gt;1,"MÜKERRER?",IF($T987&gt;0,"KAPALI DÖNEM","UYGUN"))))))</f>
        <v/>
      </c>
      <c r="N987" s="121">
        <f>IF($C987="","",IF($C987="TANIMSIZ MÜŞTERİ","—",INDEX(MUSTERILER!$C$7:$C$106,MATCH($C987,MUSTERILER!$B$7:$B$106,0))))</f>
        <v/>
      </c>
      <c r="O987" s="6" t="n"/>
      <c r="P987" s="6" t="n"/>
      <c r="Q987" s="3">
        <f>IF($D987="","",$C987&amp;"|"&amp;COUNTIFS($C$7:$C987,$C987))</f>
        <v/>
      </c>
      <c r="R987" s="3">
        <f>IF($D987="","",UPPER(SUBSTITUTE(SUBSTITUTE(SUBSTITUTE(SUBSTITUTE(SUBSTITUTE(SUBSTITUTE(SUBSTITUTE(SUBSTITUTE(SUBSTITUTE(SUBSTITUTE(SUBSTITUTE(SUBSTITUTE(SUBSTITUTE(SUBSTITUTE(SUBSTITUTE(SUBSTITUTE(SUBSTITUTE(SUBSTITUTE(TRIM($D987),"'",""),"İ","I"),"ı","I"),"i","I"),"Ş","S"),"ş","S"),"Ğ","G"),"ğ","G"),"Ü","U"),"ü","U"),"Ö","O"),"ö","O"),"Ç","C"),"ç","C"),".",""),",","")," ",""),"-","")))</f>
        <v/>
      </c>
      <c r="S987" s="3">
        <f>IF($D987="","",$C987&amp;"|"&amp;TEXT($E987,"0")&amp;"|"&amp;TEXT($F987,"0")&amp;"|"&amp;$I987)</f>
        <v/>
      </c>
      <c r="T987" s="3">
        <f>IF($E987="",0,SUMPRODUCT((AY_SONU!$O$7:$O$42="Evet")*(AY_SONU!$B$7:$B$42=DATE(YEAR($E987),MONTH($E987),1))))</f>
        <v/>
      </c>
    </row>
    <row r="988">
      <c r="A988" s="6" t="n"/>
      <c r="B988" s="113">
        <f>IF($D988="","","T"&amp;TEXT(ROW()-6,"00000"))</f>
        <v/>
      </c>
      <c r="C988" s="113">
        <f>IF($D988="","",IFERROR(INDEX(MUSTERILER!$B$7:$B$106,MATCH($R988,MUSTERILER!$T$7:$T$106,0)),IFERROR(INDEX(MUSTERILER!$B$7:$B$106,MATCH($D988,MUSTERILER!$B$7:$B$106,0)),IFERROR(INDEX(MUSTERILER!$B$7:$B$106,MATCH($R988&amp;"*",MUSTERILER!$T$7:$T$106,0)),"TANIMSIZ MÜŞTERİ"))))</f>
        <v/>
      </c>
      <c r="D988" s="109" t="n"/>
      <c r="E988" s="220" t="n"/>
      <c r="F988" s="221" t="n"/>
      <c r="G988" s="108" t="n"/>
      <c r="H988" s="108" t="n"/>
      <c r="I988" s="109" t="n"/>
      <c r="J988" s="109" t="n"/>
      <c r="K988" s="109" t="n"/>
      <c r="L988" s="226">
        <f>IF($E988="","",DATE(YEAR($E988),MONTH($E988),1))</f>
        <v/>
      </c>
      <c r="M988" s="113">
        <f>IF($D988="","",IF($C988="TANIMSIZ MÜŞTERİ","HATA",IF(OR($E988="",$F988&lt;=0,$G988=""),"EKSİK",IF($E988&gt;TODAY(),"İLERİ TARİH",IF(COUNTIF($S$7:$S$1506,$S988)&gt;1,"MÜKERRER?",IF($T988&gt;0,"KAPALI DÖNEM","UYGUN"))))))</f>
        <v/>
      </c>
      <c r="N988" s="121">
        <f>IF($C988="","",IF($C988="TANIMSIZ MÜŞTERİ","—",INDEX(MUSTERILER!$C$7:$C$106,MATCH($C988,MUSTERILER!$B$7:$B$106,0))))</f>
        <v/>
      </c>
      <c r="O988" s="6" t="n"/>
      <c r="P988" s="6" t="n"/>
      <c r="Q988" s="3">
        <f>IF($D988="","",$C988&amp;"|"&amp;COUNTIFS($C$7:$C988,$C988))</f>
        <v/>
      </c>
      <c r="R988" s="3">
        <f>IF($D988="","",UPPER(SUBSTITUTE(SUBSTITUTE(SUBSTITUTE(SUBSTITUTE(SUBSTITUTE(SUBSTITUTE(SUBSTITUTE(SUBSTITUTE(SUBSTITUTE(SUBSTITUTE(SUBSTITUTE(SUBSTITUTE(SUBSTITUTE(SUBSTITUTE(SUBSTITUTE(SUBSTITUTE(SUBSTITUTE(SUBSTITUTE(TRIM($D988),"'",""),"İ","I"),"ı","I"),"i","I"),"Ş","S"),"ş","S"),"Ğ","G"),"ğ","G"),"Ü","U"),"ü","U"),"Ö","O"),"ö","O"),"Ç","C"),"ç","C"),".",""),",","")," ",""),"-","")))</f>
        <v/>
      </c>
      <c r="S988" s="3">
        <f>IF($D988="","",$C988&amp;"|"&amp;TEXT($E988,"0")&amp;"|"&amp;TEXT($F988,"0")&amp;"|"&amp;$I988)</f>
        <v/>
      </c>
      <c r="T988" s="3">
        <f>IF($E988="",0,SUMPRODUCT((AY_SONU!$O$7:$O$42="Evet")*(AY_SONU!$B$7:$B$42=DATE(YEAR($E988),MONTH($E988),1))))</f>
        <v/>
      </c>
    </row>
    <row r="989">
      <c r="A989" s="6" t="n"/>
      <c r="B989" s="113">
        <f>IF($D989="","","T"&amp;TEXT(ROW()-6,"00000"))</f>
        <v/>
      </c>
      <c r="C989" s="113">
        <f>IF($D989="","",IFERROR(INDEX(MUSTERILER!$B$7:$B$106,MATCH($R989,MUSTERILER!$T$7:$T$106,0)),IFERROR(INDEX(MUSTERILER!$B$7:$B$106,MATCH($D989,MUSTERILER!$B$7:$B$106,0)),IFERROR(INDEX(MUSTERILER!$B$7:$B$106,MATCH($R989&amp;"*",MUSTERILER!$T$7:$T$106,0)),"TANIMSIZ MÜŞTERİ"))))</f>
        <v/>
      </c>
      <c r="D989" s="109" t="n"/>
      <c r="E989" s="220" t="n"/>
      <c r="F989" s="221" t="n"/>
      <c r="G989" s="108" t="n"/>
      <c r="H989" s="108" t="n"/>
      <c r="I989" s="109" t="n"/>
      <c r="J989" s="109" t="n"/>
      <c r="K989" s="109" t="n"/>
      <c r="L989" s="226">
        <f>IF($E989="","",DATE(YEAR($E989),MONTH($E989),1))</f>
        <v/>
      </c>
      <c r="M989" s="113">
        <f>IF($D989="","",IF($C989="TANIMSIZ MÜŞTERİ","HATA",IF(OR($E989="",$F989&lt;=0,$G989=""),"EKSİK",IF($E989&gt;TODAY(),"İLERİ TARİH",IF(COUNTIF($S$7:$S$1506,$S989)&gt;1,"MÜKERRER?",IF($T989&gt;0,"KAPALI DÖNEM","UYGUN"))))))</f>
        <v/>
      </c>
      <c r="N989" s="121">
        <f>IF($C989="","",IF($C989="TANIMSIZ MÜŞTERİ","—",INDEX(MUSTERILER!$C$7:$C$106,MATCH($C989,MUSTERILER!$B$7:$B$106,0))))</f>
        <v/>
      </c>
      <c r="O989" s="6" t="n"/>
      <c r="P989" s="6" t="n"/>
      <c r="Q989" s="3">
        <f>IF($D989="","",$C989&amp;"|"&amp;COUNTIFS($C$7:$C989,$C989))</f>
        <v/>
      </c>
      <c r="R989" s="3">
        <f>IF($D989="","",UPPER(SUBSTITUTE(SUBSTITUTE(SUBSTITUTE(SUBSTITUTE(SUBSTITUTE(SUBSTITUTE(SUBSTITUTE(SUBSTITUTE(SUBSTITUTE(SUBSTITUTE(SUBSTITUTE(SUBSTITUTE(SUBSTITUTE(SUBSTITUTE(SUBSTITUTE(SUBSTITUTE(SUBSTITUTE(SUBSTITUTE(TRIM($D989),"'",""),"İ","I"),"ı","I"),"i","I"),"Ş","S"),"ş","S"),"Ğ","G"),"ğ","G"),"Ü","U"),"ü","U"),"Ö","O"),"ö","O"),"Ç","C"),"ç","C"),".",""),",","")," ",""),"-","")))</f>
        <v/>
      </c>
      <c r="S989" s="3">
        <f>IF($D989="","",$C989&amp;"|"&amp;TEXT($E989,"0")&amp;"|"&amp;TEXT($F989,"0")&amp;"|"&amp;$I989)</f>
        <v/>
      </c>
      <c r="T989" s="3">
        <f>IF($E989="",0,SUMPRODUCT((AY_SONU!$O$7:$O$42="Evet")*(AY_SONU!$B$7:$B$42=DATE(YEAR($E989),MONTH($E989),1))))</f>
        <v/>
      </c>
    </row>
    <row r="990">
      <c r="A990" s="6" t="n"/>
      <c r="B990" s="113">
        <f>IF($D990="","","T"&amp;TEXT(ROW()-6,"00000"))</f>
        <v/>
      </c>
      <c r="C990" s="113">
        <f>IF($D990="","",IFERROR(INDEX(MUSTERILER!$B$7:$B$106,MATCH($R990,MUSTERILER!$T$7:$T$106,0)),IFERROR(INDEX(MUSTERILER!$B$7:$B$106,MATCH($D990,MUSTERILER!$B$7:$B$106,0)),IFERROR(INDEX(MUSTERILER!$B$7:$B$106,MATCH($R990&amp;"*",MUSTERILER!$T$7:$T$106,0)),"TANIMSIZ MÜŞTERİ"))))</f>
        <v/>
      </c>
      <c r="D990" s="109" t="n"/>
      <c r="E990" s="220" t="n"/>
      <c r="F990" s="221" t="n"/>
      <c r="G990" s="108" t="n"/>
      <c r="H990" s="108" t="n"/>
      <c r="I990" s="109" t="n"/>
      <c r="J990" s="109" t="n"/>
      <c r="K990" s="109" t="n"/>
      <c r="L990" s="226">
        <f>IF($E990="","",DATE(YEAR($E990),MONTH($E990),1))</f>
        <v/>
      </c>
      <c r="M990" s="113">
        <f>IF($D990="","",IF($C990="TANIMSIZ MÜŞTERİ","HATA",IF(OR($E990="",$F990&lt;=0,$G990=""),"EKSİK",IF($E990&gt;TODAY(),"İLERİ TARİH",IF(COUNTIF($S$7:$S$1506,$S990)&gt;1,"MÜKERRER?",IF($T990&gt;0,"KAPALI DÖNEM","UYGUN"))))))</f>
        <v/>
      </c>
      <c r="N990" s="121">
        <f>IF($C990="","",IF($C990="TANIMSIZ MÜŞTERİ","—",INDEX(MUSTERILER!$C$7:$C$106,MATCH($C990,MUSTERILER!$B$7:$B$106,0))))</f>
        <v/>
      </c>
      <c r="O990" s="6" t="n"/>
      <c r="P990" s="6" t="n"/>
      <c r="Q990" s="3">
        <f>IF($D990="","",$C990&amp;"|"&amp;COUNTIFS($C$7:$C990,$C990))</f>
        <v/>
      </c>
      <c r="R990" s="3">
        <f>IF($D990="","",UPPER(SUBSTITUTE(SUBSTITUTE(SUBSTITUTE(SUBSTITUTE(SUBSTITUTE(SUBSTITUTE(SUBSTITUTE(SUBSTITUTE(SUBSTITUTE(SUBSTITUTE(SUBSTITUTE(SUBSTITUTE(SUBSTITUTE(SUBSTITUTE(SUBSTITUTE(SUBSTITUTE(SUBSTITUTE(SUBSTITUTE(TRIM($D990),"'",""),"İ","I"),"ı","I"),"i","I"),"Ş","S"),"ş","S"),"Ğ","G"),"ğ","G"),"Ü","U"),"ü","U"),"Ö","O"),"ö","O"),"Ç","C"),"ç","C"),".",""),",","")," ",""),"-","")))</f>
        <v/>
      </c>
      <c r="S990" s="3">
        <f>IF($D990="","",$C990&amp;"|"&amp;TEXT($E990,"0")&amp;"|"&amp;TEXT($F990,"0")&amp;"|"&amp;$I990)</f>
        <v/>
      </c>
      <c r="T990" s="3">
        <f>IF($E990="",0,SUMPRODUCT((AY_SONU!$O$7:$O$42="Evet")*(AY_SONU!$B$7:$B$42=DATE(YEAR($E990),MONTH($E990),1))))</f>
        <v/>
      </c>
    </row>
    <row r="991">
      <c r="A991" s="6" t="n"/>
      <c r="B991" s="113">
        <f>IF($D991="","","T"&amp;TEXT(ROW()-6,"00000"))</f>
        <v/>
      </c>
      <c r="C991" s="113">
        <f>IF($D991="","",IFERROR(INDEX(MUSTERILER!$B$7:$B$106,MATCH($R991,MUSTERILER!$T$7:$T$106,0)),IFERROR(INDEX(MUSTERILER!$B$7:$B$106,MATCH($D991,MUSTERILER!$B$7:$B$106,0)),IFERROR(INDEX(MUSTERILER!$B$7:$B$106,MATCH($R991&amp;"*",MUSTERILER!$T$7:$T$106,0)),"TANIMSIZ MÜŞTERİ"))))</f>
        <v/>
      </c>
      <c r="D991" s="109" t="n"/>
      <c r="E991" s="220" t="n"/>
      <c r="F991" s="221" t="n"/>
      <c r="G991" s="108" t="n"/>
      <c r="H991" s="108" t="n"/>
      <c r="I991" s="109" t="n"/>
      <c r="J991" s="109" t="n"/>
      <c r="K991" s="109" t="n"/>
      <c r="L991" s="226">
        <f>IF($E991="","",DATE(YEAR($E991),MONTH($E991),1))</f>
        <v/>
      </c>
      <c r="M991" s="113">
        <f>IF($D991="","",IF($C991="TANIMSIZ MÜŞTERİ","HATA",IF(OR($E991="",$F991&lt;=0,$G991=""),"EKSİK",IF($E991&gt;TODAY(),"İLERİ TARİH",IF(COUNTIF($S$7:$S$1506,$S991)&gt;1,"MÜKERRER?",IF($T991&gt;0,"KAPALI DÖNEM","UYGUN"))))))</f>
        <v/>
      </c>
      <c r="N991" s="121">
        <f>IF($C991="","",IF($C991="TANIMSIZ MÜŞTERİ","—",INDEX(MUSTERILER!$C$7:$C$106,MATCH($C991,MUSTERILER!$B$7:$B$106,0))))</f>
        <v/>
      </c>
      <c r="O991" s="6" t="n"/>
      <c r="P991" s="6" t="n"/>
      <c r="Q991" s="3">
        <f>IF($D991="","",$C991&amp;"|"&amp;COUNTIFS($C$7:$C991,$C991))</f>
        <v/>
      </c>
      <c r="R991" s="3">
        <f>IF($D991="","",UPPER(SUBSTITUTE(SUBSTITUTE(SUBSTITUTE(SUBSTITUTE(SUBSTITUTE(SUBSTITUTE(SUBSTITUTE(SUBSTITUTE(SUBSTITUTE(SUBSTITUTE(SUBSTITUTE(SUBSTITUTE(SUBSTITUTE(SUBSTITUTE(SUBSTITUTE(SUBSTITUTE(SUBSTITUTE(SUBSTITUTE(TRIM($D991),"'",""),"İ","I"),"ı","I"),"i","I"),"Ş","S"),"ş","S"),"Ğ","G"),"ğ","G"),"Ü","U"),"ü","U"),"Ö","O"),"ö","O"),"Ç","C"),"ç","C"),".",""),",","")," ",""),"-","")))</f>
        <v/>
      </c>
      <c r="S991" s="3">
        <f>IF($D991="","",$C991&amp;"|"&amp;TEXT($E991,"0")&amp;"|"&amp;TEXT($F991,"0")&amp;"|"&amp;$I991)</f>
        <v/>
      </c>
      <c r="T991" s="3">
        <f>IF($E991="",0,SUMPRODUCT((AY_SONU!$O$7:$O$42="Evet")*(AY_SONU!$B$7:$B$42=DATE(YEAR($E991),MONTH($E991),1))))</f>
        <v/>
      </c>
    </row>
    <row r="992">
      <c r="A992" s="6" t="n"/>
      <c r="B992" s="113">
        <f>IF($D992="","","T"&amp;TEXT(ROW()-6,"00000"))</f>
        <v/>
      </c>
      <c r="C992" s="113">
        <f>IF($D992="","",IFERROR(INDEX(MUSTERILER!$B$7:$B$106,MATCH($R992,MUSTERILER!$T$7:$T$106,0)),IFERROR(INDEX(MUSTERILER!$B$7:$B$106,MATCH($D992,MUSTERILER!$B$7:$B$106,0)),IFERROR(INDEX(MUSTERILER!$B$7:$B$106,MATCH($R992&amp;"*",MUSTERILER!$T$7:$T$106,0)),"TANIMSIZ MÜŞTERİ"))))</f>
        <v/>
      </c>
      <c r="D992" s="109" t="n"/>
      <c r="E992" s="220" t="n"/>
      <c r="F992" s="221" t="n"/>
      <c r="G992" s="108" t="n"/>
      <c r="H992" s="108" t="n"/>
      <c r="I992" s="109" t="n"/>
      <c r="J992" s="109" t="n"/>
      <c r="K992" s="109" t="n"/>
      <c r="L992" s="226">
        <f>IF($E992="","",DATE(YEAR($E992),MONTH($E992),1))</f>
        <v/>
      </c>
      <c r="M992" s="113">
        <f>IF($D992="","",IF($C992="TANIMSIZ MÜŞTERİ","HATA",IF(OR($E992="",$F992&lt;=0,$G992=""),"EKSİK",IF($E992&gt;TODAY(),"İLERİ TARİH",IF(COUNTIF($S$7:$S$1506,$S992)&gt;1,"MÜKERRER?",IF($T992&gt;0,"KAPALI DÖNEM","UYGUN"))))))</f>
        <v/>
      </c>
      <c r="N992" s="121">
        <f>IF($C992="","",IF($C992="TANIMSIZ MÜŞTERİ","—",INDEX(MUSTERILER!$C$7:$C$106,MATCH($C992,MUSTERILER!$B$7:$B$106,0))))</f>
        <v/>
      </c>
      <c r="O992" s="6" t="n"/>
      <c r="P992" s="6" t="n"/>
      <c r="Q992" s="3">
        <f>IF($D992="","",$C992&amp;"|"&amp;COUNTIFS($C$7:$C992,$C992))</f>
        <v/>
      </c>
      <c r="R992" s="3">
        <f>IF($D992="","",UPPER(SUBSTITUTE(SUBSTITUTE(SUBSTITUTE(SUBSTITUTE(SUBSTITUTE(SUBSTITUTE(SUBSTITUTE(SUBSTITUTE(SUBSTITUTE(SUBSTITUTE(SUBSTITUTE(SUBSTITUTE(SUBSTITUTE(SUBSTITUTE(SUBSTITUTE(SUBSTITUTE(SUBSTITUTE(SUBSTITUTE(TRIM($D992),"'",""),"İ","I"),"ı","I"),"i","I"),"Ş","S"),"ş","S"),"Ğ","G"),"ğ","G"),"Ü","U"),"ü","U"),"Ö","O"),"ö","O"),"Ç","C"),"ç","C"),".",""),",","")," ",""),"-","")))</f>
        <v/>
      </c>
      <c r="S992" s="3">
        <f>IF($D992="","",$C992&amp;"|"&amp;TEXT($E992,"0")&amp;"|"&amp;TEXT($F992,"0")&amp;"|"&amp;$I992)</f>
        <v/>
      </c>
      <c r="T992" s="3">
        <f>IF($E992="",0,SUMPRODUCT((AY_SONU!$O$7:$O$42="Evet")*(AY_SONU!$B$7:$B$42=DATE(YEAR($E992),MONTH($E992),1))))</f>
        <v/>
      </c>
    </row>
    <row r="993">
      <c r="A993" s="6" t="n"/>
      <c r="B993" s="113">
        <f>IF($D993="","","T"&amp;TEXT(ROW()-6,"00000"))</f>
        <v/>
      </c>
      <c r="C993" s="113">
        <f>IF($D993="","",IFERROR(INDEX(MUSTERILER!$B$7:$B$106,MATCH($R993,MUSTERILER!$T$7:$T$106,0)),IFERROR(INDEX(MUSTERILER!$B$7:$B$106,MATCH($D993,MUSTERILER!$B$7:$B$106,0)),IFERROR(INDEX(MUSTERILER!$B$7:$B$106,MATCH($R993&amp;"*",MUSTERILER!$T$7:$T$106,0)),"TANIMSIZ MÜŞTERİ"))))</f>
        <v/>
      </c>
      <c r="D993" s="109" t="n"/>
      <c r="E993" s="220" t="n"/>
      <c r="F993" s="221" t="n"/>
      <c r="G993" s="108" t="n"/>
      <c r="H993" s="108" t="n"/>
      <c r="I993" s="109" t="n"/>
      <c r="J993" s="109" t="n"/>
      <c r="K993" s="109" t="n"/>
      <c r="L993" s="226">
        <f>IF($E993="","",DATE(YEAR($E993),MONTH($E993),1))</f>
        <v/>
      </c>
      <c r="M993" s="113">
        <f>IF($D993="","",IF($C993="TANIMSIZ MÜŞTERİ","HATA",IF(OR($E993="",$F993&lt;=0,$G993=""),"EKSİK",IF($E993&gt;TODAY(),"İLERİ TARİH",IF(COUNTIF($S$7:$S$1506,$S993)&gt;1,"MÜKERRER?",IF($T993&gt;0,"KAPALI DÖNEM","UYGUN"))))))</f>
        <v/>
      </c>
      <c r="N993" s="121">
        <f>IF($C993="","",IF($C993="TANIMSIZ MÜŞTERİ","—",INDEX(MUSTERILER!$C$7:$C$106,MATCH($C993,MUSTERILER!$B$7:$B$106,0))))</f>
        <v/>
      </c>
      <c r="O993" s="6" t="n"/>
      <c r="P993" s="6" t="n"/>
      <c r="Q993" s="3">
        <f>IF($D993="","",$C993&amp;"|"&amp;COUNTIFS($C$7:$C993,$C993))</f>
        <v/>
      </c>
      <c r="R993" s="3">
        <f>IF($D993="","",UPPER(SUBSTITUTE(SUBSTITUTE(SUBSTITUTE(SUBSTITUTE(SUBSTITUTE(SUBSTITUTE(SUBSTITUTE(SUBSTITUTE(SUBSTITUTE(SUBSTITUTE(SUBSTITUTE(SUBSTITUTE(SUBSTITUTE(SUBSTITUTE(SUBSTITUTE(SUBSTITUTE(SUBSTITUTE(SUBSTITUTE(TRIM($D993),"'",""),"İ","I"),"ı","I"),"i","I"),"Ş","S"),"ş","S"),"Ğ","G"),"ğ","G"),"Ü","U"),"ü","U"),"Ö","O"),"ö","O"),"Ç","C"),"ç","C"),".",""),",","")," ",""),"-","")))</f>
        <v/>
      </c>
      <c r="S993" s="3">
        <f>IF($D993="","",$C993&amp;"|"&amp;TEXT($E993,"0")&amp;"|"&amp;TEXT($F993,"0")&amp;"|"&amp;$I993)</f>
        <v/>
      </c>
      <c r="T993" s="3">
        <f>IF($E993="",0,SUMPRODUCT((AY_SONU!$O$7:$O$42="Evet")*(AY_SONU!$B$7:$B$42=DATE(YEAR($E993),MONTH($E993),1))))</f>
        <v/>
      </c>
    </row>
    <row r="994">
      <c r="A994" s="6" t="n"/>
      <c r="B994" s="113">
        <f>IF($D994="","","T"&amp;TEXT(ROW()-6,"00000"))</f>
        <v/>
      </c>
      <c r="C994" s="113">
        <f>IF($D994="","",IFERROR(INDEX(MUSTERILER!$B$7:$B$106,MATCH($R994,MUSTERILER!$T$7:$T$106,0)),IFERROR(INDEX(MUSTERILER!$B$7:$B$106,MATCH($D994,MUSTERILER!$B$7:$B$106,0)),IFERROR(INDEX(MUSTERILER!$B$7:$B$106,MATCH($R994&amp;"*",MUSTERILER!$T$7:$T$106,0)),"TANIMSIZ MÜŞTERİ"))))</f>
        <v/>
      </c>
      <c r="D994" s="109" t="n"/>
      <c r="E994" s="220" t="n"/>
      <c r="F994" s="221" t="n"/>
      <c r="G994" s="108" t="n"/>
      <c r="H994" s="108" t="n"/>
      <c r="I994" s="109" t="n"/>
      <c r="J994" s="109" t="n"/>
      <c r="K994" s="109" t="n"/>
      <c r="L994" s="226">
        <f>IF($E994="","",DATE(YEAR($E994),MONTH($E994),1))</f>
        <v/>
      </c>
      <c r="M994" s="113">
        <f>IF($D994="","",IF($C994="TANIMSIZ MÜŞTERİ","HATA",IF(OR($E994="",$F994&lt;=0,$G994=""),"EKSİK",IF($E994&gt;TODAY(),"İLERİ TARİH",IF(COUNTIF($S$7:$S$1506,$S994)&gt;1,"MÜKERRER?",IF($T994&gt;0,"KAPALI DÖNEM","UYGUN"))))))</f>
        <v/>
      </c>
      <c r="N994" s="121">
        <f>IF($C994="","",IF($C994="TANIMSIZ MÜŞTERİ","—",INDEX(MUSTERILER!$C$7:$C$106,MATCH($C994,MUSTERILER!$B$7:$B$106,0))))</f>
        <v/>
      </c>
      <c r="O994" s="6" t="n"/>
      <c r="P994" s="6" t="n"/>
      <c r="Q994" s="3">
        <f>IF($D994="","",$C994&amp;"|"&amp;COUNTIFS($C$7:$C994,$C994))</f>
        <v/>
      </c>
      <c r="R994" s="3">
        <f>IF($D994="","",UPPER(SUBSTITUTE(SUBSTITUTE(SUBSTITUTE(SUBSTITUTE(SUBSTITUTE(SUBSTITUTE(SUBSTITUTE(SUBSTITUTE(SUBSTITUTE(SUBSTITUTE(SUBSTITUTE(SUBSTITUTE(SUBSTITUTE(SUBSTITUTE(SUBSTITUTE(SUBSTITUTE(SUBSTITUTE(SUBSTITUTE(TRIM($D994),"'",""),"İ","I"),"ı","I"),"i","I"),"Ş","S"),"ş","S"),"Ğ","G"),"ğ","G"),"Ü","U"),"ü","U"),"Ö","O"),"ö","O"),"Ç","C"),"ç","C"),".",""),",","")," ",""),"-","")))</f>
        <v/>
      </c>
      <c r="S994" s="3">
        <f>IF($D994="","",$C994&amp;"|"&amp;TEXT($E994,"0")&amp;"|"&amp;TEXT($F994,"0")&amp;"|"&amp;$I994)</f>
        <v/>
      </c>
      <c r="T994" s="3">
        <f>IF($E994="",0,SUMPRODUCT((AY_SONU!$O$7:$O$42="Evet")*(AY_SONU!$B$7:$B$42=DATE(YEAR($E994),MONTH($E994),1))))</f>
        <v/>
      </c>
    </row>
    <row r="995">
      <c r="A995" s="6" t="n"/>
      <c r="B995" s="113">
        <f>IF($D995="","","T"&amp;TEXT(ROW()-6,"00000"))</f>
        <v/>
      </c>
      <c r="C995" s="113">
        <f>IF($D995="","",IFERROR(INDEX(MUSTERILER!$B$7:$B$106,MATCH($R995,MUSTERILER!$T$7:$T$106,0)),IFERROR(INDEX(MUSTERILER!$B$7:$B$106,MATCH($D995,MUSTERILER!$B$7:$B$106,0)),IFERROR(INDEX(MUSTERILER!$B$7:$B$106,MATCH($R995&amp;"*",MUSTERILER!$T$7:$T$106,0)),"TANIMSIZ MÜŞTERİ"))))</f>
        <v/>
      </c>
      <c r="D995" s="109" t="n"/>
      <c r="E995" s="220" t="n"/>
      <c r="F995" s="221" t="n"/>
      <c r="G995" s="108" t="n"/>
      <c r="H995" s="108" t="n"/>
      <c r="I995" s="109" t="n"/>
      <c r="J995" s="109" t="n"/>
      <c r="K995" s="109" t="n"/>
      <c r="L995" s="226">
        <f>IF($E995="","",DATE(YEAR($E995),MONTH($E995),1))</f>
        <v/>
      </c>
      <c r="M995" s="113">
        <f>IF($D995="","",IF($C995="TANIMSIZ MÜŞTERİ","HATA",IF(OR($E995="",$F995&lt;=0,$G995=""),"EKSİK",IF($E995&gt;TODAY(),"İLERİ TARİH",IF(COUNTIF($S$7:$S$1506,$S995)&gt;1,"MÜKERRER?",IF($T995&gt;0,"KAPALI DÖNEM","UYGUN"))))))</f>
        <v/>
      </c>
      <c r="N995" s="121">
        <f>IF($C995="","",IF($C995="TANIMSIZ MÜŞTERİ","—",INDEX(MUSTERILER!$C$7:$C$106,MATCH($C995,MUSTERILER!$B$7:$B$106,0))))</f>
        <v/>
      </c>
      <c r="O995" s="6" t="n"/>
      <c r="P995" s="6" t="n"/>
      <c r="Q995" s="3">
        <f>IF($D995="","",$C995&amp;"|"&amp;COUNTIFS($C$7:$C995,$C995))</f>
        <v/>
      </c>
      <c r="R995" s="3">
        <f>IF($D995="","",UPPER(SUBSTITUTE(SUBSTITUTE(SUBSTITUTE(SUBSTITUTE(SUBSTITUTE(SUBSTITUTE(SUBSTITUTE(SUBSTITUTE(SUBSTITUTE(SUBSTITUTE(SUBSTITUTE(SUBSTITUTE(SUBSTITUTE(SUBSTITUTE(SUBSTITUTE(SUBSTITUTE(SUBSTITUTE(SUBSTITUTE(TRIM($D995),"'",""),"İ","I"),"ı","I"),"i","I"),"Ş","S"),"ş","S"),"Ğ","G"),"ğ","G"),"Ü","U"),"ü","U"),"Ö","O"),"ö","O"),"Ç","C"),"ç","C"),".",""),",","")," ",""),"-","")))</f>
        <v/>
      </c>
      <c r="S995" s="3">
        <f>IF($D995="","",$C995&amp;"|"&amp;TEXT($E995,"0")&amp;"|"&amp;TEXT($F995,"0")&amp;"|"&amp;$I995)</f>
        <v/>
      </c>
      <c r="T995" s="3">
        <f>IF($E995="",0,SUMPRODUCT((AY_SONU!$O$7:$O$42="Evet")*(AY_SONU!$B$7:$B$42=DATE(YEAR($E995),MONTH($E995),1))))</f>
        <v/>
      </c>
    </row>
    <row r="996">
      <c r="A996" s="6" t="n"/>
      <c r="B996" s="113">
        <f>IF($D996="","","T"&amp;TEXT(ROW()-6,"00000"))</f>
        <v/>
      </c>
      <c r="C996" s="113">
        <f>IF($D996="","",IFERROR(INDEX(MUSTERILER!$B$7:$B$106,MATCH($R996,MUSTERILER!$T$7:$T$106,0)),IFERROR(INDEX(MUSTERILER!$B$7:$B$106,MATCH($D996,MUSTERILER!$B$7:$B$106,0)),IFERROR(INDEX(MUSTERILER!$B$7:$B$106,MATCH($R996&amp;"*",MUSTERILER!$T$7:$T$106,0)),"TANIMSIZ MÜŞTERİ"))))</f>
        <v/>
      </c>
      <c r="D996" s="109" t="n"/>
      <c r="E996" s="220" t="n"/>
      <c r="F996" s="221" t="n"/>
      <c r="G996" s="108" t="n"/>
      <c r="H996" s="108" t="n"/>
      <c r="I996" s="109" t="n"/>
      <c r="J996" s="109" t="n"/>
      <c r="K996" s="109" t="n"/>
      <c r="L996" s="226">
        <f>IF($E996="","",DATE(YEAR($E996),MONTH($E996),1))</f>
        <v/>
      </c>
      <c r="M996" s="113">
        <f>IF($D996="","",IF($C996="TANIMSIZ MÜŞTERİ","HATA",IF(OR($E996="",$F996&lt;=0,$G996=""),"EKSİK",IF($E996&gt;TODAY(),"İLERİ TARİH",IF(COUNTIF($S$7:$S$1506,$S996)&gt;1,"MÜKERRER?",IF($T996&gt;0,"KAPALI DÖNEM","UYGUN"))))))</f>
        <v/>
      </c>
      <c r="N996" s="121">
        <f>IF($C996="","",IF($C996="TANIMSIZ MÜŞTERİ","—",INDEX(MUSTERILER!$C$7:$C$106,MATCH($C996,MUSTERILER!$B$7:$B$106,0))))</f>
        <v/>
      </c>
      <c r="O996" s="6" t="n"/>
      <c r="P996" s="6" t="n"/>
      <c r="Q996" s="3">
        <f>IF($D996="","",$C996&amp;"|"&amp;COUNTIFS($C$7:$C996,$C996))</f>
        <v/>
      </c>
      <c r="R996" s="3">
        <f>IF($D996="","",UPPER(SUBSTITUTE(SUBSTITUTE(SUBSTITUTE(SUBSTITUTE(SUBSTITUTE(SUBSTITUTE(SUBSTITUTE(SUBSTITUTE(SUBSTITUTE(SUBSTITUTE(SUBSTITUTE(SUBSTITUTE(SUBSTITUTE(SUBSTITUTE(SUBSTITUTE(SUBSTITUTE(SUBSTITUTE(SUBSTITUTE(TRIM($D996),"'",""),"İ","I"),"ı","I"),"i","I"),"Ş","S"),"ş","S"),"Ğ","G"),"ğ","G"),"Ü","U"),"ü","U"),"Ö","O"),"ö","O"),"Ç","C"),"ç","C"),".",""),",","")," ",""),"-","")))</f>
        <v/>
      </c>
      <c r="S996" s="3">
        <f>IF($D996="","",$C996&amp;"|"&amp;TEXT($E996,"0")&amp;"|"&amp;TEXT($F996,"0")&amp;"|"&amp;$I996)</f>
        <v/>
      </c>
      <c r="T996" s="3">
        <f>IF($E996="",0,SUMPRODUCT((AY_SONU!$O$7:$O$42="Evet")*(AY_SONU!$B$7:$B$42=DATE(YEAR($E996),MONTH($E996),1))))</f>
        <v/>
      </c>
    </row>
    <row r="997">
      <c r="A997" s="6" t="n"/>
      <c r="B997" s="113">
        <f>IF($D997="","","T"&amp;TEXT(ROW()-6,"00000"))</f>
        <v/>
      </c>
      <c r="C997" s="113">
        <f>IF($D997="","",IFERROR(INDEX(MUSTERILER!$B$7:$B$106,MATCH($R997,MUSTERILER!$T$7:$T$106,0)),IFERROR(INDEX(MUSTERILER!$B$7:$B$106,MATCH($D997,MUSTERILER!$B$7:$B$106,0)),IFERROR(INDEX(MUSTERILER!$B$7:$B$106,MATCH($R997&amp;"*",MUSTERILER!$T$7:$T$106,0)),"TANIMSIZ MÜŞTERİ"))))</f>
        <v/>
      </c>
      <c r="D997" s="109" t="n"/>
      <c r="E997" s="220" t="n"/>
      <c r="F997" s="221" t="n"/>
      <c r="G997" s="108" t="n"/>
      <c r="H997" s="108" t="n"/>
      <c r="I997" s="109" t="n"/>
      <c r="J997" s="109" t="n"/>
      <c r="K997" s="109" t="n"/>
      <c r="L997" s="226">
        <f>IF($E997="","",DATE(YEAR($E997),MONTH($E997),1))</f>
        <v/>
      </c>
      <c r="M997" s="113">
        <f>IF($D997="","",IF($C997="TANIMSIZ MÜŞTERİ","HATA",IF(OR($E997="",$F997&lt;=0,$G997=""),"EKSİK",IF($E997&gt;TODAY(),"İLERİ TARİH",IF(COUNTIF($S$7:$S$1506,$S997)&gt;1,"MÜKERRER?",IF($T997&gt;0,"KAPALI DÖNEM","UYGUN"))))))</f>
        <v/>
      </c>
      <c r="N997" s="121">
        <f>IF($C997="","",IF($C997="TANIMSIZ MÜŞTERİ","—",INDEX(MUSTERILER!$C$7:$C$106,MATCH($C997,MUSTERILER!$B$7:$B$106,0))))</f>
        <v/>
      </c>
      <c r="O997" s="6" t="n"/>
      <c r="P997" s="6" t="n"/>
      <c r="Q997" s="3">
        <f>IF($D997="","",$C997&amp;"|"&amp;COUNTIFS($C$7:$C997,$C997))</f>
        <v/>
      </c>
      <c r="R997" s="3">
        <f>IF($D997="","",UPPER(SUBSTITUTE(SUBSTITUTE(SUBSTITUTE(SUBSTITUTE(SUBSTITUTE(SUBSTITUTE(SUBSTITUTE(SUBSTITUTE(SUBSTITUTE(SUBSTITUTE(SUBSTITUTE(SUBSTITUTE(SUBSTITUTE(SUBSTITUTE(SUBSTITUTE(SUBSTITUTE(SUBSTITUTE(SUBSTITUTE(TRIM($D997),"'",""),"İ","I"),"ı","I"),"i","I"),"Ş","S"),"ş","S"),"Ğ","G"),"ğ","G"),"Ü","U"),"ü","U"),"Ö","O"),"ö","O"),"Ç","C"),"ç","C"),".",""),",","")," ",""),"-","")))</f>
        <v/>
      </c>
      <c r="S997" s="3">
        <f>IF($D997="","",$C997&amp;"|"&amp;TEXT($E997,"0")&amp;"|"&amp;TEXT($F997,"0")&amp;"|"&amp;$I997)</f>
        <v/>
      </c>
      <c r="T997" s="3">
        <f>IF($E997="",0,SUMPRODUCT((AY_SONU!$O$7:$O$42="Evet")*(AY_SONU!$B$7:$B$42=DATE(YEAR($E997),MONTH($E997),1))))</f>
        <v/>
      </c>
    </row>
    <row r="998">
      <c r="A998" s="6" t="n"/>
      <c r="B998" s="113">
        <f>IF($D998="","","T"&amp;TEXT(ROW()-6,"00000"))</f>
        <v/>
      </c>
      <c r="C998" s="113">
        <f>IF($D998="","",IFERROR(INDEX(MUSTERILER!$B$7:$B$106,MATCH($R998,MUSTERILER!$T$7:$T$106,0)),IFERROR(INDEX(MUSTERILER!$B$7:$B$106,MATCH($D998,MUSTERILER!$B$7:$B$106,0)),IFERROR(INDEX(MUSTERILER!$B$7:$B$106,MATCH($R998&amp;"*",MUSTERILER!$T$7:$T$106,0)),"TANIMSIZ MÜŞTERİ"))))</f>
        <v/>
      </c>
      <c r="D998" s="109" t="n"/>
      <c r="E998" s="220" t="n"/>
      <c r="F998" s="221" t="n"/>
      <c r="G998" s="108" t="n"/>
      <c r="H998" s="108" t="n"/>
      <c r="I998" s="109" t="n"/>
      <c r="J998" s="109" t="n"/>
      <c r="K998" s="109" t="n"/>
      <c r="L998" s="226">
        <f>IF($E998="","",DATE(YEAR($E998),MONTH($E998),1))</f>
        <v/>
      </c>
      <c r="M998" s="113">
        <f>IF($D998="","",IF($C998="TANIMSIZ MÜŞTERİ","HATA",IF(OR($E998="",$F998&lt;=0,$G998=""),"EKSİK",IF($E998&gt;TODAY(),"İLERİ TARİH",IF(COUNTIF($S$7:$S$1506,$S998)&gt;1,"MÜKERRER?",IF($T998&gt;0,"KAPALI DÖNEM","UYGUN"))))))</f>
        <v/>
      </c>
      <c r="N998" s="121">
        <f>IF($C998="","",IF($C998="TANIMSIZ MÜŞTERİ","—",INDEX(MUSTERILER!$C$7:$C$106,MATCH($C998,MUSTERILER!$B$7:$B$106,0))))</f>
        <v/>
      </c>
      <c r="O998" s="6" t="n"/>
      <c r="P998" s="6" t="n"/>
      <c r="Q998" s="3">
        <f>IF($D998="","",$C998&amp;"|"&amp;COUNTIFS($C$7:$C998,$C998))</f>
        <v/>
      </c>
      <c r="R998" s="3">
        <f>IF($D998="","",UPPER(SUBSTITUTE(SUBSTITUTE(SUBSTITUTE(SUBSTITUTE(SUBSTITUTE(SUBSTITUTE(SUBSTITUTE(SUBSTITUTE(SUBSTITUTE(SUBSTITUTE(SUBSTITUTE(SUBSTITUTE(SUBSTITUTE(SUBSTITUTE(SUBSTITUTE(SUBSTITUTE(SUBSTITUTE(SUBSTITUTE(TRIM($D998),"'",""),"İ","I"),"ı","I"),"i","I"),"Ş","S"),"ş","S"),"Ğ","G"),"ğ","G"),"Ü","U"),"ü","U"),"Ö","O"),"ö","O"),"Ç","C"),"ç","C"),".",""),",","")," ",""),"-","")))</f>
        <v/>
      </c>
      <c r="S998" s="3">
        <f>IF($D998="","",$C998&amp;"|"&amp;TEXT($E998,"0")&amp;"|"&amp;TEXT($F998,"0")&amp;"|"&amp;$I998)</f>
        <v/>
      </c>
      <c r="T998" s="3">
        <f>IF($E998="",0,SUMPRODUCT((AY_SONU!$O$7:$O$42="Evet")*(AY_SONU!$B$7:$B$42=DATE(YEAR($E998),MONTH($E998),1))))</f>
        <v/>
      </c>
    </row>
    <row r="999">
      <c r="A999" s="6" t="n"/>
      <c r="B999" s="113">
        <f>IF($D999="","","T"&amp;TEXT(ROW()-6,"00000"))</f>
        <v/>
      </c>
      <c r="C999" s="113">
        <f>IF($D999="","",IFERROR(INDEX(MUSTERILER!$B$7:$B$106,MATCH($R999,MUSTERILER!$T$7:$T$106,0)),IFERROR(INDEX(MUSTERILER!$B$7:$B$106,MATCH($D999,MUSTERILER!$B$7:$B$106,0)),IFERROR(INDEX(MUSTERILER!$B$7:$B$106,MATCH($R999&amp;"*",MUSTERILER!$T$7:$T$106,0)),"TANIMSIZ MÜŞTERİ"))))</f>
        <v/>
      </c>
      <c r="D999" s="109" t="n"/>
      <c r="E999" s="220" t="n"/>
      <c r="F999" s="221" t="n"/>
      <c r="G999" s="108" t="n"/>
      <c r="H999" s="108" t="n"/>
      <c r="I999" s="109" t="n"/>
      <c r="J999" s="109" t="n"/>
      <c r="K999" s="109" t="n"/>
      <c r="L999" s="226">
        <f>IF($E999="","",DATE(YEAR($E999),MONTH($E999),1))</f>
        <v/>
      </c>
      <c r="M999" s="113">
        <f>IF($D999="","",IF($C999="TANIMSIZ MÜŞTERİ","HATA",IF(OR($E999="",$F999&lt;=0,$G999=""),"EKSİK",IF($E999&gt;TODAY(),"İLERİ TARİH",IF(COUNTIF($S$7:$S$1506,$S999)&gt;1,"MÜKERRER?",IF($T999&gt;0,"KAPALI DÖNEM","UYGUN"))))))</f>
        <v/>
      </c>
      <c r="N999" s="121">
        <f>IF($C999="","",IF($C999="TANIMSIZ MÜŞTERİ","—",INDEX(MUSTERILER!$C$7:$C$106,MATCH($C999,MUSTERILER!$B$7:$B$106,0))))</f>
        <v/>
      </c>
      <c r="O999" s="6" t="n"/>
      <c r="P999" s="6" t="n"/>
      <c r="Q999" s="3">
        <f>IF($D999="","",$C999&amp;"|"&amp;COUNTIFS($C$7:$C999,$C999))</f>
        <v/>
      </c>
      <c r="R999" s="3">
        <f>IF($D999="","",UPPER(SUBSTITUTE(SUBSTITUTE(SUBSTITUTE(SUBSTITUTE(SUBSTITUTE(SUBSTITUTE(SUBSTITUTE(SUBSTITUTE(SUBSTITUTE(SUBSTITUTE(SUBSTITUTE(SUBSTITUTE(SUBSTITUTE(SUBSTITUTE(SUBSTITUTE(SUBSTITUTE(SUBSTITUTE(SUBSTITUTE(TRIM($D999),"'",""),"İ","I"),"ı","I"),"i","I"),"Ş","S"),"ş","S"),"Ğ","G"),"ğ","G"),"Ü","U"),"ü","U"),"Ö","O"),"ö","O"),"Ç","C"),"ç","C"),".",""),",","")," ",""),"-","")))</f>
        <v/>
      </c>
      <c r="S999" s="3">
        <f>IF($D999="","",$C999&amp;"|"&amp;TEXT($E999,"0")&amp;"|"&amp;TEXT($F999,"0")&amp;"|"&amp;$I999)</f>
        <v/>
      </c>
      <c r="T999" s="3">
        <f>IF($E999="",0,SUMPRODUCT((AY_SONU!$O$7:$O$42="Evet")*(AY_SONU!$B$7:$B$42=DATE(YEAR($E999),MONTH($E999),1))))</f>
        <v/>
      </c>
    </row>
    <row r="1000">
      <c r="A1000" s="6" t="n"/>
      <c r="B1000" s="113">
        <f>IF($D1000="","","T"&amp;TEXT(ROW()-6,"00000"))</f>
        <v/>
      </c>
      <c r="C1000" s="113">
        <f>IF($D1000="","",IFERROR(INDEX(MUSTERILER!$B$7:$B$106,MATCH($R1000,MUSTERILER!$T$7:$T$106,0)),IFERROR(INDEX(MUSTERILER!$B$7:$B$106,MATCH($D1000,MUSTERILER!$B$7:$B$106,0)),IFERROR(INDEX(MUSTERILER!$B$7:$B$106,MATCH($R1000&amp;"*",MUSTERILER!$T$7:$T$106,0)),"TANIMSIZ MÜŞTERİ"))))</f>
        <v/>
      </c>
      <c r="D1000" s="109" t="n"/>
      <c r="E1000" s="220" t="n"/>
      <c r="F1000" s="221" t="n"/>
      <c r="G1000" s="108" t="n"/>
      <c r="H1000" s="108" t="n"/>
      <c r="I1000" s="109" t="n"/>
      <c r="J1000" s="109" t="n"/>
      <c r="K1000" s="109" t="n"/>
      <c r="L1000" s="226">
        <f>IF($E1000="","",DATE(YEAR($E1000),MONTH($E1000),1))</f>
        <v/>
      </c>
      <c r="M1000" s="113">
        <f>IF($D1000="","",IF($C1000="TANIMSIZ MÜŞTERİ","HATA",IF(OR($E1000="",$F1000&lt;=0,$G1000=""),"EKSİK",IF($E1000&gt;TODAY(),"İLERİ TARİH",IF(COUNTIF($S$7:$S$1506,$S1000)&gt;1,"MÜKERRER?",IF($T1000&gt;0,"KAPALI DÖNEM","UYGUN"))))))</f>
        <v/>
      </c>
      <c r="N1000" s="121">
        <f>IF($C1000="","",IF($C1000="TANIMSIZ MÜŞTERİ","—",INDEX(MUSTERILER!$C$7:$C$106,MATCH($C1000,MUSTERILER!$B$7:$B$106,0))))</f>
        <v/>
      </c>
      <c r="O1000" s="6" t="n"/>
      <c r="P1000" s="6" t="n"/>
      <c r="Q1000" s="3">
        <f>IF($D1000="","",$C1000&amp;"|"&amp;COUNTIFS($C$7:$C1000,$C1000))</f>
        <v/>
      </c>
      <c r="R1000" s="3">
        <f>IF($D1000="","",UPPER(SUBSTITUTE(SUBSTITUTE(SUBSTITUTE(SUBSTITUTE(SUBSTITUTE(SUBSTITUTE(SUBSTITUTE(SUBSTITUTE(SUBSTITUTE(SUBSTITUTE(SUBSTITUTE(SUBSTITUTE(SUBSTITUTE(SUBSTITUTE(SUBSTITUTE(SUBSTITUTE(SUBSTITUTE(SUBSTITUTE(TRIM($D1000),"'",""),"İ","I"),"ı","I"),"i","I"),"Ş","S"),"ş","S"),"Ğ","G"),"ğ","G"),"Ü","U"),"ü","U"),"Ö","O"),"ö","O"),"Ç","C"),"ç","C"),".",""),",","")," ",""),"-","")))</f>
        <v/>
      </c>
      <c r="S1000" s="3">
        <f>IF($D1000="","",$C1000&amp;"|"&amp;TEXT($E1000,"0")&amp;"|"&amp;TEXT($F1000,"0")&amp;"|"&amp;$I1000)</f>
        <v/>
      </c>
      <c r="T1000" s="3">
        <f>IF($E1000="",0,SUMPRODUCT((AY_SONU!$O$7:$O$42="Evet")*(AY_SONU!$B$7:$B$42=DATE(YEAR($E1000),MONTH($E1000),1))))</f>
        <v/>
      </c>
    </row>
    <row r="1001">
      <c r="A1001" s="6" t="n"/>
      <c r="B1001" s="113">
        <f>IF($D1001="","","T"&amp;TEXT(ROW()-6,"00000"))</f>
        <v/>
      </c>
      <c r="C1001" s="113">
        <f>IF($D1001="","",IFERROR(INDEX(MUSTERILER!$B$7:$B$106,MATCH($R1001,MUSTERILER!$T$7:$T$106,0)),IFERROR(INDEX(MUSTERILER!$B$7:$B$106,MATCH($D1001,MUSTERILER!$B$7:$B$106,0)),IFERROR(INDEX(MUSTERILER!$B$7:$B$106,MATCH($R1001&amp;"*",MUSTERILER!$T$7:$T$106,0)),"TANIMSIZ MÜŞTERİ"))))</f>
        <v/>
      </c>
      <c r="D1001" s="109" t="n"/>
      <c r="E1001" s="220" t="n"/>
      <c r="F1001" s="221" t="n"/>
      <c r="G1001" s="108" t="n"/>
      <c r="H1001" s="108" t="n"/>
      <c r="I1001" s="109" t="n"/>
      <c r="J1001" s="109" t="n"/>
      <c r="K1001" s="109" t="n"/>
      <c r="L1001" s="226">
        <f>IF($E1001="","",DATE(YEAR($E1001),MONTH($E1001),1))</f>
        <v/>
      </c>
      <c r="M1001" s="113">
        <f>IF($D1001="","",IF($C1001="TANIMSIZ MÜŞTERİ","HATA",IF(OR($E1001="",$F1001&lt;=0,$G1001=""),"EKSİK",IF($E1001&gt;TODAY(),"İLERİ TARİH",IF(COUNTIF($S$7:$S$1506,$S1001)&gt;1,"MÜKERRER?",IF($T1001&gt;0,"KAPALI DÖNEM","UYGUN"))))))</f>
        <v/>
      </c>
      <c r="N1001" s="121">
        <f>IF($C1001="","",IF($C1001="TANIMSIZ MÜŞTERİ","—",INDEX(MUSTERILER!$C$7:$C$106,MATCH($C1001,MUSTERILER!$B$7:$B$106,0))))</f>
        <v/>
      </c>
      <c r="O1001" s="6" t="n"/>
      <c r="P1001" s="6" t="n"/>
      <c r="Q1001" s="3">
        <f>IF($D1001="","",$C1001&amp;"|"&amp;COUNTIFS($C$7:$C1001,$C1001))</f>
        <v/>
      </c>
      <c r="R1001" s="3">
        <f>IF($D1001="","",UPPER(SUBSTITUTE(SUBSTITUTE(SUBSTITUTE(SUBSTITUTE(SUBSTITUTE(SUBSTITUTE(SUBSTITUTE(SUBSTITUTE(SUBSTITUTE(SUBSTITUTE(SUBSTITUTE(SUBSTITUTE(SUBSTITUTE(SUBSTITUTE(SUBSTITUTE(SUBSTITUTE(SUBSTITUTE(SUBSTITUTE(TRIM($D1001),"'",""),"İ","I"),"ı","I"),"i","I"),"Ş","S"),"ş","S"),"Ğ","G"),"ğ","G"),"Ü","U"),"ü","U"),"Ö","O"),"ö","O"),"Ç","C"),"ç","C"),".",""),",","")," ",""),"-","")))</f>
        <v/>
      </c>
      <c r="S1001" s="3">
        <f>IF($D1001="","",$C1001&amp;"|"&amp;TEXT($E1001,"0")&amp;"|"&amp;TEXT($F1001,"0")&amp;"|"&amp;$I1001)</f>
        <v/>
      </c>
      <c r="T1001" s="3">
        <f>IF($E1001="",0,SUMPRODUCT((AY_SONU!$O$7:$O$42="Evet")*(AY_SONU!$B$7:$B$42=DATE(YEAR($E1001),MONTH($E1001),1))))</f>
        <v/>
      </c>
    </row>
    <row r="1002">
      <c r="A1002" s="6" t="n"/>
      <c r="B1002" s="113">
        <f>IF($D1002="","","T"&amp;TEXT(ROW()-6,"00000"))</f>
        <v/>
      </c>
      <c r="C1002" s="113">
        <f>IF($D1002="","",IFERROR(INDEX(MUSTERILER!$B$7:$B$106,MATCH($R1002,MUSTERILER!$T$7:$T$106,0)),IFERROR(INDEX(MUSTERILER!$B$7:$B$106,MATCH($D1002,MUSTERILER!$B$7:$B$106,0)),IFERROR(INDEX(MUSTERILER!$B$7:$B$106,MATCH($R1002&amp;"*",MUSTERILER!$T$7:$T$106,0)),"TANIMSIZ MÜŞTERİ"))))</f>
        <v/>
      </c>
      <c r="D1002" s="109" t="n"/>
      <c r="E1002" s="220" t="n"/>
      <c r="F1002" s="221" t="n"/>
      <c r="G1002" s="108" t="n"/>
      <c r="H1002" s="108" t="n"/>
      <c r="I1002" s="109" t="n"/>
      <c r="J1002" s="109" t="n"/>
      <c r="K1002" s="109" t="n"/>
      <c r="L1002" s="226">
        <f>IF($E1002="","",DATE(YEAR($E1002),MONTH($E1002),1))</f>
        <v/>
      </c>
      <c r="M1002" s="113">
        <f>IF($D1002="","",IF($C1002="TANIMSIZ MÜŞTERİ","HATA",IF(OR($E1002="",$F1002&lt;=0,$G1002=""),"EKSİK",IF($E1002&gt;TODAY(),"İLERİ TARİH",IF(COUNTIF($S$7:$S$1506,$S1002)&gt;1,"MÜKERRER?",IF($T1002&gt;0,"KAPALI DÖNEM","UYGUN"))))))</f>
        <v/>
      </c>
      <c r="N1002" s="121">
        <f>IF($C1002="","",IF($C1002="TANIMSIZ MÜŞTERİ","—",INDEX(MUSTERILER!$C$7:$C$106,MATCH($C1002,MUSTERILER!$B$7:$B$106,0))))</f>
        <v/>
      </c>
      <c r="O1002" s="6" t="n"/>
      <c r="P1002" s="6" t="n"/>
      <c r="Q1002" s="3">
        <f>IF($D1002="","",$C1002&amp;"|"&amp;COUNTIFS($C$7:$C1002,$C1002))</f>
        <v/>
      </c>
      <c r="R1002" s="3">
        <f>IF($D1002="","",UPPER(SUBSTITUTE(SUBSTITUTE(SUBSTITUTE(SUBSTITUTE(SUBSTITUTE(SUBSTITUTE(SUBSTITUTE(SUBSTITUTE(SUBSTITUTE(SUBSTITUTE(SUBSTITUTE(SUBSTITUTE(SUBSTITUTE(SUBSTITUTE(SUBSTITUTE(SUBSTITUTE(SUBSTITUTE(SUBSTITUTE(TRIM($D1002),"'",""),"İ","I"),"ı","I"),"i","I"),"Ş","S"),"ş","S"),"Ğ","G"),"ğ","G"),"Ü","U"),"ü","U"),"Ö","O"),"ö","O"),"Ç","C"),"ç","C"),".",""),",","")," ",""),"-","")))</f>
        <v/>
      </c>
      <c r="S1002" s="3">
        <f>IF($D1002="","",$C1002&amp;"|"&amp;TEXT($E1002,"0")&amp;"|"&amp;TEXT($F1002,"0")&amp;"|"&amp;$I1002)</f>
        <v/>
      </c>
      <c r="T1002" s="3">
        <f>IF($E1002="",0,SUMPRODUCT((AY_SONU!$O$7:$O$42="Evet")*(AY_SONU!$B$7:$B$42=DATE(YEAR($E1002),MONTH($E1002),1))))</f>
        <v/>
      </c>
    </row>
    <row r="1003">
      <c r="A1003" s="6" t="n"/>
      <c r="B1003" s="113">
        <f>IF($D1003="","","T"&amp;TEXT(ROW()-6,"00000"))</f>
        <v/>
      </c>
      <c r="C1003" s="113">
        <f>IF($D1003="","",IFERROR(INDEX(MUSTERILER!$B$7:$B$106,MATCH($R1003,MUSTERILER!$T$7:$T$106,0)),IFERROR(INDEX(MUSTERILER!$B$7:$B$106,MATCH($D1003,MUSTERILER!$B$7:$B$106,0)),IFERROR(INDEX(MUSTERILER!$B$7:$B$106,MATCH($R1003&amp;"*",MUSTERILER!$T$7:$T$106,0)),"TANIMSIZ MÜŞTERİ"))))</f>
        <v/>
      </c>
      <c r="D1003" s="109" t="n"/>
      <c r="E1003" s="220" t="n"/>
      <c r="F1003" s="221" t="n"/>
      <c r="G1003" s="108" t="n"/>
      <c r="H1003" s="108" t="n"/>
      <c r="I1003" s="109" t="n"/>
      <c r="J1003" s="109" t="n"/>
      <c r="K1003" s="109" t="n"/>
      <c r="L1003" s="226">
        <f>IF($E1003="","",DATE(YEAR($E1003),MONTH($E1003),1))</f>
        <v/>
      </c>
      <c r="M1003" s="113">
        <f>IF($D1003="","",IF($C1003="TANIMSIZ MÜŞTERİ","HATA",IF(OR($E1003="",$F1003&lt;=0,$G1003=""),"EKSİK",IF($E1003&gt;TODAY(),"İLERİ TARİH",IF(COUNTIF($S$7:$S$1506,$S1003)&gt;1,"MÜKERRER?",IF($T1003&gt;0,"KAPALI DÖNEM","UYGUN"))))))</f>
        <v/>
      </c>
      <c r="N1003" s="121">
        <f>IF($C1003="","",IF($C1003="TANIMSIZ MÜŞTERİ","—",INDEX(MUSTERILER!$C$7:$C$106,MATCH($C1003,MUSTERILER!$B$7:$B$106,0))))</f>
        <v/>
      </c>
      <c r="O1003" s="6" t="n"/>
      <c r="P1003" s="6" t="n"/>
      <c r="Q1003" s="3">
        <f>IF($D1003="","",$C1003&amp;"|"&amp;COUNTIFS($C$7:$C1003,$C1003))</f>
        <v/>
      </c>
      <c r="R1003" s="3">
        <f>IF($D1003="","",UPPER(SUBSTITUTE(SUBSTITUTE(SUBSTITUTE(SUBSTITUTE(SUBSTITUTE(SUBSTITUTE(SUBSTITUTE(SUBSTITUTE(SUBSTITUTE(SUBSTITUTE(SUBSTITUTE(SUBSTITUTE(SUBSTITUTE(SUBSTITUTE(SUBSTITUTE(SUBSTITUTE(SUBSTITUTE(SUBSTITUTE(TRIM($D1003),"'",""),"İ","I"),"ı","I"),"i","I"),"Ş","S"),"ş","S"),"Ğ","G"),"ğ","G"),"Ü","U"),"ü","U"),"Ö","O"),"ö","O"),"Ç","C"),"ç","C"),".",""),",","")," ",""),"-","")))</f>
        <v/>
      </c>
      <c r="S1003" s="3">
        <f>IF($D1003="","",$C1003&amp;"|"&amp;TEXT($E1003,"0")&amp;"|"&amp;TEXT($F1003,"0")&amp;"|"&amp;$I1003)</f>
        <v/>
      </c>
      <c r="T1003" s="3">
        <f>IF($E1003="",0,SUMPRODUCT((AY_SONU!$O$7:$O$42="Evet")*(AY_SONU!$B$7:$B$42=DATE(YEAR($E1003),MONTH($E1003),1))))</f>
        <v/>
      </c>
    </row>
    <row r="1004">
      <c r="A1004" s="6" t="n"/>
      <c r="B1004" s="113">
        <f>IF($D1004="","","T"&amp;TEXT(ROW()-6,"00000"))</f>
        <v/>
      </c>
      <c r="C1004" s="113">
        <f>IF($D1004="","",IFERROR(INDEX(MUSTERILER!$B$7:$B$106,MATCH($R1004,MUSTERILER!$T$7:$T$106,0)),IFERROR(INDEX(MUSTERILER!$B$7:$B$106,MATCH($D1004,MUSTERILER!$B$7:$B$106,0)),IFERROR(INDEX(MUSTERILER!$B$7:$B$106,MATCH($R1004&amp;"*",MUSTERILER!$T$7:$T$106,0)),"TANIMSIZ MÜŞTERİ"))))</f>
        <v/>
      </c>
      <c r="D1004" s="109" t="n"/>
      <c r="E1004" s="220" t="n"/>
      <c r="F1004" s="221" t="n"/>
      <c r="G1004" s="108" t="n"/>
      <c r="H1004" s="108" t="n"/>
      <c r="I1004" s="109" t="n"/>
      <c r="J1004" s="109" t="n"/>
      <c r="K1004" s="109" t="n"/>
      <c r="L1004" s="226">
        <f>IF($E1004="","",DATE(YEAR($E1004),MONTH($E1004),1))</f>
        <v/>
      </c>
      <c r="M1004" s="113">
        <f>IF($D1004="","",IF($C1004="TANIMSIZ MÜŞTERİ","HATA",IF(OR($E1004="",$F1004&lt;=0,$G1004=""),"EKSİK",IF($E1004&gt;TODAY(),"İLERİ TARİH",IF(COUNTIF($S$7:$S$1506,$S1004)&gt;1,"MÜKERRER?",IF($T1004&gt;0,"KAPALI DÖNEM","UYGUN"))))))</f>
        <v/>
      </c>
      <c r="N1004" s="121">
        <f>IF($C1004="","",IF($C1004="TANIMSIZ MÜŞTERİ","—",INDEX(MUSTERILER!$C$7:$C$106,MATCH($C1004,MUSTERILER!$B$7:$B$106,0))))</f>
        <v/>
      </c>
      <c r="O1004" s="6" t="n"/>
      <c r="P1004" s="6" t="n"/>
      <c r="Q1004" s="3">
        <f>IF($D1004="","",$C1004&amp;"|"&amp;COUNTIFS($C$7:$C1004,$C1004))</f>
        <v/>
      </c>
      <c r="R1004" s="3">
        <f>IF($D1004="","",UPPER(SUBSTITUTE(SUBSTITUTE(SUBSTITUTE(SUBSTITUTE(SUBSTITUTE(SUBSTITUTE(SUBSTITUTE(SUBSTITUTE(SUBSTITUTE(SUBSTITUTE(SUBSTITUTE(SUBSTITUTE(SUBSTITUTE(SUBSTITUTE(SUBSTITUTE(SUBSTITUTE(SUBSTITUTE(SUBSTITUTE(TRIM($D1004),"'",""),"İ","I"),"ı","I"),"i","I"),"Ş","S"),"ş","S"),"Ğ","G"),"ğ","G"),"Ü","U"),"ü","U"),"Ö","O"),"ö","O"),"Ç","C"),"ç","C"),".",""),",","")," ",""),"-","")))</f>
        <v/>
      </c>
      <c r="S1004" s="3">
        <f>IF($D1004="","",$C1004&amp;"|"&amp;TEXT($E1004,"0")&amp;"|"&amp;TEXT($F1004,"0")&amp;"|"&amp;$I1004)</f>
        <v/>
      </c>
      <c r="T1004" s="3">
        <f>IF($E1004="",0,SUMPRODUCT((AY_SONU!$O$7:$O$42="Evet")*(AY_SONU!$B$7:$B$42=DATE(YEAR($E1004),MONTH($E1004),1))))</f>
        <v/>
      </c>
    </row>
    <row r="1005">
      <c r="A1005" s="6" t="n"/>
      <c r="B1005" s="113">
        <f>IF($D1005="","","T"&amp;TEXT(ROW()-6,"00000"))</f>
        <v/>
      </c>
      <c r="C1005" s="113">
        <f>IF($D1005="","",IFERROR(INDEX(MUSTERILER!$B$7:$B$106,MATCH($R1005,MUSTERILER!$T$7:$T$106,0)),IFERROR(INDEX(MUSTERILER!$B$7:$B$106,MATCH($D1005,MUSTERILER!$B$7:$B$106,0)),IFERROR(INDEX(MUSTERILER!$B$7:$B$106,MATCH($R1005&amp;"*",MUSTERILER!$T$7:$T$106,0)),"TANIMSIZ MÜŞTERİ"))))</f>
        <v/>
      </c>
      <c r="D1005" s="109" t="n"/>
      <c r="E1005" s="220" t="n"/>
      <c r="F1005" s="221" t="n"/>
      <c r="G1005" s="108" t="n"/>
      <c r="H1005" s="108" t="n"/>
      <c r="I1005" s="109" t="n"/>
      <c r="J1005" s="109" t="n"/>
      <c r="K1005" s="109" t="n"/>
      <c r="L1005" s="226">
        <f>IF($E1005="","",DATE(YEAR($E1005),MONTH($E1005),1))</f>
        <v/>
      </c>
      <c r="M1005" s="113">
        <f>IF($D1005="","",IF($C1005="TANIMSIZ MÜŞTERİ","HATA",IF(OR($E1005="",$F1005&lt;=0,$G1005=""),"EKSİK",IF($E1005&gt;TODAY(),"İLERİ TARİH",IF(COUNTIF($S$7:$S$1506,$S1005)&gt;1,"MÜKERRER?",IF($T1005&gt;0,"KAPALI DÖNEM","UYGUN"))))))</f>
        <v/>
      </c>
      <c r="N1005" s="121">
        <f>IF($C1005="","",IF($C1005="TANIMSIZ MÜŞTERİ","—",INDEX(MUSTERILER!$C$7:$C$106,MATCH($C1005,MUSTERILER!$B$7:$B$106,0))))</f>
        <v/>
      </c>
      <c r="O1005" s="6" t="n"/>
      <c r="P1005" s="6" t="n"/>
      <c r="Q1005" s="3">
        <f>IF($D1005="","",$C1005&amp;"|"&amp;COUNTIFS($C$7:$C1005,$C1005))</f>
        <v/>
      </c>
      <c r="R1005" s="3">
        <f>IF($D1005="","",UPPER(SUBSTITUTE(SUBSTITUTE(SUBSTITUTE(SUBSTITUTE(SUBSTITUTE(SUBSTITUTE(SUBSTITUTE(SUBSTITUTE(SUBSTITUTE(SUBSTITUTE(SUBSTITUTE(SUBSTITUTE(SUBSTITUTE(SUBSTITUTE(SUBSTITUTE(SUBSTITUTE(SUBSTITUTE(SUBSTITUTE(TRIM($D1005),"'",""),"İ","I"),"ı","I"),"i","I"),"Ş","S"),"ş","S"),"Ğ","G"),"ğ","G"),"Ü","U"),"ü","U"),"Ö","O"),"ö","O"),"Ç","C"),"ç","C"),".",""),",","")," ",""),"-","")))</f>
        <v/>
      </c>
      <c r="S1005" s="3">
        <f>IF($D1005="","",$C1005&amp;"|"&amp;TEXT($E1005,"0")&amp;"|"&amp;TEXT($F1005,"0")&amp;"|"&amp;$I1005)</f>
        <v/>
      </c>
      <c r="T1005" s="3">
        <f>IF($E1005="",0,SUMPRODUCT((AY_SONU!$O$7:$O$42="Evet")*(AY_SONU!$B$7:$B$42=DATE(YEAR($E1005),MONTH($E1005),1))))</f>
        <v/>
      </c>
    </row>
    <row r="1006">
      <c r="A1006" s="6" t="n"/>
      <c r="B1006" s="113">
        <f>IF($D1006="","","T"&amp;TEXT(ROW()-6,"00000"))</f>
        <v/>
      </c>
      <c r="C1006" s="113">
        <f>IF($D1006="","",IFERROR(INDEX(MUSTERILER!$B$7:$B$106,MATCH($R1006,MUSTERILER!$T$7:$T$106,0)),IFERROR(INDEX(MUSTERILER!$B$7:$B$106,MATCH($D1006,MUSTERILER!$B$7:$B$106,0)),IFERROR(INDEX(MUSTERILER!$B$7:$B$106,MATCH($R1006&amp;"*",MUSTERILER!$T$7:$T$106,0)),"TANIMSIZ MÜŞTERİ"))))</f>
        <v/>
      </c>
      <c r="D1006" s="109" t="n"/>
      <c r="E1006" s="220" t="n"/>
      <c r="F1006" s="221" t="n"/>
      <c r="G1006" s="108" t="n"/>
      <c r="H1006" s="108" t="n"/>
      <c r="I1006" s="109" t="n"/>
      <c r="J1006" s="109" t="n"/>
      <c r="K1006" s="109" t="n"/>
      <c r="L1006" s="226">
        <f>IF($E1006="","",DATE(YEAR($E1006),MONTH($E1006),1))</f>
        <v/>
      </c>
      <c r="M1006" s="113">
        <f>IF($D1006="","",IF($C1006="TANIMSIZ MÜŞTERİ","HATA",IF(OR($E1006="",$F1006&lt;=0,$G1006=""),"EKSİK",IF($E1006&gt;TODAY(),"İLERİ TARİH",IF(COUNTIF($S$7:$S$1506,$S1006)&gt;1,"MÜKERRER?",IF($T1006&gt;0,"KAPALI DÖNEM","UYGUN"))))))</f>
        <v/>
      </c>
      <c r="N1006" s="121">
        <f>IF($C1006="","",IF($C1006="TANIMSIZ MÜŞTERİ","—",INDEX(MUSTERILER!$C$7:$C$106,MATCH($C1006,MUSTERILER!$B$7:$B$106,0))))</f>
        <v/>
      </c>
      <c r="O1006" s="6" t="n"/>
      <c r="P1006" s="6" t="n"/>
      <c r="Q1006" s="3">
        <f>IF($D1006="","",$C1006&amp;"|"&amp;COUNTIFS($C$7:$C1006,$C1006))</f>
        <v/>
      </c>
      <c r="R1006" s="3">
        <f>IF($D1006="","",UPPER(SUBSTITUTE(SUBSTITUTE(SUBSTITUTE(SUBSTITUTE(SUBSTITUTE(SUBSTITUTE(SUBSTITUTE(SUBSTITUTE(SUBSTITUTE(SUBSTITUTE(SUBSTITUTE(SUBSTITUTE(SUBSTITUTE(SUBSTITUTE(SUBSTITUTE(SUBSTITUTE(SUBSTITUTE(SUBSTITUTE(TRIM($D1006),"'",""),"İ","I"),"ı","I"),"i","I"),"Ş","S"),"ş","S"),"Ğ","G"),"ğ","G"),"Ü","U"),"ü","U"),"Ö","O"),"ö","O"),"Ç","C"),"ç","C"),".",""),",","")," ",""),"-","")))</f>
        <v/>
      </c>
      <c r="S1006" s="3">
        <f>IF($D1006="","",$C1006&amp;"|"&amp;TEXT($E1006,"0")&amp;"|"&amp;TEXT($F1006,"0")&amp;"|"&amp;$I1006)</f>
        <v/>
      </c>
      <c r="T1006" s="3">
        <f>IF($E1006="",0,SUMPRODUCT((AY_SONU!$O$7:$O$42="Evet")*(AY_SONU!$B$7:$B$42=DATE(YEAR($E1006),MONTH($E1006),1))))</f>
        <v/>
      </c>
    </row>
    <row r="1007">
      <c r="A1007" s="6" t="n"/>
      <c r="B1007" s="113">
        <f>IF($D1007="","","T"&amp;TEXT(ROW()-6,"00000"))</f>
        <v/>
      </c>
      <c r="C1007" s="113">
        <f>IF($D1007="","",IFERROR(INDEX(MUSTERILER!$B$7:$B$106,MATCH($R1007,MUSTERILER!$T$7:$T$106,0)),IFERROR(INDEX(MUSTERILER!$B$7:$B$106,MATCH($D1007,MUSTERILER!$B$7:$B$106,0)),IFERROR(INDEX(MUSTERILER!$B$7:$B$106,MATCH($R1007&amp;"*",MUSTERILER!$T$7:$T$106,0)),"TANIMSIZ MÜŞTERİ"))))</f>
        <v/>
      </c>
      <c r="D1007" s="109" t="n"/>
      <c r="E1007" s="220" t="n"/>
      <c r="F1007" s="221" t="n"/>
      <c r="G1007" s="108" t="n"/>
      <c r="H1007" s="108" t="n"/>
      <c r="I1007" s="109" t="n"/>
      <c r="J1007" s="109" t="n"/>
      <c r="K1007" s="109" t="n"/>
      <c r="L1007" s="226">
        <f>IF($E1007="","",DATE(YEAR($E1007),MONTH($E1007),1))</f>
        <v/>
      </c>
      <c r="M1007" s="113">
        <f>IF($D1007="","",IF($C1007="TANIMSIZ MÜŞTERİ","HATA",IF(OR($E1007="",$F1007&lt;=0,$G1007=""),"EKSİK",IF($E1007&gt;TODAY(),"İLERİ TARİH",IF(COUNTIF($S$7:$S$1506,$S1007)&gt;1,"MÜKERRER?",IF($T1007&gt;0,"KAPALI DÖNEM","UYGUN"))))))</f>
        <v/>
      </c>
      <c r="N1007" s="121">
        <f>IF($C1007="","",IF($C1007="TANIMSIZ MÜŞTERİ","—",INDEX(MUSTERILER!$C$7:$C$106,MATCH($C1007,MUSTERILER!$B$7:$B$106,0))))</f>
        <v/>
      </c>
      <c r="O1007" s="6" t="n"/>
      <c r="P1007" s="6" t="n"/>
      <c r="Q1007" s="3">
        <f>IF($D1007="","",$C1007&amp;"|"&amp;COUNTIFS($C$7:$C1007,$C1007))</f>
        <v/>
      </c>
      <c r="R1007" s="3">
        <f>IF($D1007="","",UPPER(SUBSTITUTE(SUBSTITUTE(SUBSTITUTE(SUBSTITUTE(SUBSTITUTE(SUBSTITUTE(SUBSTITUTE(SUBSTITUTE(SUBSTITUTE(SUBSTITUTE(SUBSTITUTE(SUBSTITUTE(SUBSTITUTE(SUBSTITUTE(SUBSTITUTE(SUBSTITUTE(SUBSTITUTE(SUBSTITUTE(TRIM($D1007),"'",""),"İ","I"),"ı","I"),"i","I"),"Ş","S"),"ş","S"),"Ğ","G"),"ğ","G"),"Ü","U"),"ü","U"),"Ö","O"),"ö","O"),"Ç","C"),"ç","C"),".",""),",","")," ",""),"-","")))</f>
        <v/>
      </c>
      <c r="S1007" s="3">
        <f>IF($D1007="","",$C1007&amp;"|"&amp;TEXT($E1007,"0")&amp;"|"&amp;TEXT($F1007,"0")&amp;"|"&amp;$I1007)</f>
        <v/>
      </c>
      <c r="T1007" s="3">
        <f>IF($E1007="",0,SUMPRODUCT((AY_SONU!$O$7:$O$42="Evet")*(AY_SONU!$B$7:$B$42=DATE(YEAR($E1007),MONTH($E1007),1))))</f>
        <v/>
      </c>
    </row>
    <row r="1008">
      <c r="A1008" s="6" t="n"/>
      <c r="B1008" s="113">
        <f>IF($D1008="","","T"&amp;TEXT(ROW()-6,"00000"))</f>
        <v/>
      </c>
      <c r="C1008" s="113">
        <f>IF($D1008="","",IFERROR(INDEX(MUSTERILER!$B$7:$B$106,MATCH($R1008,MUSTERILER!$T$7:$T$106,0)),IFERROR(INDEX(MUSTERILER!$B$7:$B$106,MATCH($D1008,MUSTERILER!$B$7:$B$106,0)),IFERROR(INDEX(MUSTERILER!$B$7:$B$106,MATCH($R1008&amp;"*",MUSTERILER!$T$7:$T$106,0)),"TANIMSIZ MÜŞTERİ"))))</f>
        <v/>
      </c>
      <c r="D1008" s="109" t="n"/>
      <c r="E1008" s="220" t="n"/>
      <c r="F1008" s="221" t="n"/>
      <c r="G1008" s="108" t="n"/>
      <c r="H1008" s="108" t="n"/>
      <c r="I1008" s="109" t="n"/>
      <c r="J1008" s="109" t="n"/>
      <c r="K1008" s="109" t="n"/>
      <c r="L1008" s="226">
        <f>IF($E1008="","",DATE(YEAR($E1008),MONTH($E1008),1))</f>
        <v/>
      </c>
      <c r="M1008" s="113">
        <f>IF($D1008="","",IF($C1008="TANIMSIZ MÜŞTERİ","HATA",IF(OR($E1008="",$F1008&lt;=0,$G1008=""),"EKSİK",IF($E1008&gt;TODAY(),"İLERİ TARİH",IF(COUNTIF($S$7:$S$1506,$S1008)&gt;1,"MÜKERRER?",IF($T1008&gt;0,"KAPALI DÖNEM","UYGUN"))))))</f>
        <v/>
      </c>
      <c r="N1008" s="121">
        <f>IF($C1008="","",IF($C1008="TANIMSIZ MÜŞTERİ","—",INDEX(MUSTERILER!$C$7:$C$106,MATCH($C1008,MUSTERILER!$B$7:$B$106,0))))</f>
        <v/>
      </c>
      <c r="O1008" s="6" t="n"/>
      <c r="P1008" s="6" t="n"/>
      <c r="Q1008" s="3">
        <f>IF($D1008="","",$C1008&amp;"|"&amp;COUNTIFS($C$7:$C1008,$C1008))</f>
        <v/>
      </c>
      <c r="R1008" s="3">
        <f>IF($D1008="","",UPPER(SUBSTITUTE(SUBSTITUTE(SUBSTITUTE(SUBSTITUTE(SUBSTITUTE(SUBSTITUTE(SUBSTITUTE(SUBSTITUTE(SUBSTITUTE(SUBSTITUTE(SUBSTITUTE(SUBSTITUTE(SUBSTITUTE(SUBSTITUTE(SUBSTITUTE(SUBSTITUTE(SUBSTITUTE(SUBSTITUTE(TRIM($D1008),"'",""),"İ","I"),"ı","I"),"i","I"),"Ş","S"),"ş","S"),"Ğ","G"),"ğ","G"),"Ü","U"),"ü","U"),"Ö","O"),"ö","O"),"Ç","C"),"ç","C"),".",""),",","")," ",""),"-","")))</f>
        <v/>
      </c>
      <c r="S1008" s="3">
        <f>IF($D1008="","",$C1008&amp;"|"&amp;TEXT($E1008,"0")&amp;"|"&amp;TEXT($F1008,"0")&amp;"|"&amp;$I1008)</f>
        <v/>
      </c>
      <c r="T1008" s="3">
        <f>IF($E1008="",0,SUMPRODUCT((AY_SONU!$O$7:$O$42="Evet")*(AY_SONU!$B$7:$B$42=DATE(YEAR($E1008),MONTH($E1008),1))))</f>
        <v/>
      </c>
    </row>
    <row r="1009">
      <c r="A1009" s="6" t="n"/>
      <c r="B1009" s="113">
        <f>IF($D1009="","","T"&amp;TEXT(ROW()-6,"00000"))</f>
        <v/>
      </c>
      <c r="C1009" s="113">
        <f>IF($D1009="","",IFERROR(INDEX(MUSTERILER!$B$7:$B$106,MATCH($R1009,MUSTERILER!$T$7:$T$106,0)),IFERROR(INDEX(MUSTERILER!$B$7:$B$106,MATCH($D1009,MUSTERILER!$B$7:$B$106,0)),IFERROR(INDEX(MUSTERILER!$B$7:$B$106,MATCH($R1009&amp;"*",MUSTERILER!$T$7:$T$106,0)),"TANIMSIZ MÜŞTERİ"))))</f>
        <v/>
      </c>
      <c r="D1009" s="109" t="n"/>
      <c r="E1009" s="220" t="n"/>
      <c r="F1009" s="221" t="n"/>
      <c r="G1009" s="108" t="n"/>
      <c r="H1009" s="108" t="n"/>
      <c r="I1009" s="109" t="n"/>
      <c r="J1009" s="109" t="n"/>
      <c r="K1009" s="109" t="n"/>
      <c r="L1009" s="226">
        <f>IF($E1009="","",DATE(YEAR($E1009),MONTH($E1009),1))</f>
        <v/>
      </c>
      <c r="M1009" s="113">
        <f>IF($D1009="","",IF($C1009="TANIMSIZ MÜŞTERİ","HATA",IF(OR($E1009="",$F1009&lt;=0,$G1009=""),"EKSİK",IF($E1009&gt;TODAY(),"İLERİ TARİH",IF(COUNTIF($S$7:$S$1506,$S1009)&gt;1,"MÜKERRER?",IF($T1009&gt;0,"KAPALI DÖNEM","UYGUN"))))))</f>
        <v/>
      </c>
      <c r="N1009" s="121">
        <f>IF($C1009="","",IF($C1009="TANIMSIZ MÜŞTERİ","—",INDEX(MUSTERILER!$C$7:$C$106,MATCH($C1009,MUSTERILER!$B$7:$B$106,0))))</f>
        <v/>
      </c>
      <c r="O1009" s="6" t="n"/>
      <c r="P1009" s="6" t="n"/>
      <c r="Q1009" s="3">
        <f>IF($D1009="","",$C1009&amp;"|"&amp;COUNTIFS($C$7:$C1009,$C1009))</f>
        <v/>
      </c>
      <c r="R1009" s="3">
        <f>IF($D1009="","",UPPER(SUBSTITUTE(SUBSTITUTE(SUBSTITUTE(SUBSTITUTE(SUBSTITUTE(SUBSTITUTE(SUBSTITUTE(SUBSTITUTE(SUBSTITUTE(SUBSTITUTE(SUBSTITUTE(SUBSTITUTE(SUBSTITUTE(SUBSTITUTE(SUBSTITUTE(SUBSTITUTE(SUBSTITUTE(SUBSTITUTE(TRIM($D1009),"'",""),"İ","I"),"ı","I"),"i","I"),"Ş","S"),"ş","S"),"Ğ","G"),"ğ","G"),"Ü","U"),"ü","U"),"Ö","O"),"ö","O"),"Ç","C"),"ç","C"),".",""),",","")," ",""),"-","")))</f>
        <v/>
      </c>
      <c r="S1009" s="3">
        <f>IF($D1009="","",$C1009&amp;"|"&amp;TEXT($E1009,"0")&amp;"|"&amp;TEXT($F1009,"0")&amp;"|"&amp;$I1009)</f>
        <v/>
      </c>
      <c r="T1009" s="3">
        <f>IF($E1009="",0,SUMPRODUCT((AY_SONU!$O$7:$O$42="Evet")*(AY_SONU!$B$7:$B$42=DATE(YEAR($E1009),MONTH($E1009),1))))</f>
        <v/>
      </c>
    </row>
    <row r="1010">
      <c r="A1010" s="6" t="n"/>
      <c r="B1010" s="113">
        <f>IF($D1010="","","T"&amp;TEXT(ROW()-6,"00000"))</f>
        <v/>
      </c>
      <c r="C1010" s="113">
        <f>IF($D1010="","",IFERROR(INDEX(MUSTERILER!$B$7:$B$106,MATCH($R1010,MUSTERILER!$T$7:$T$106,0)),IFERROR(INDEX(MUSTERILER!$B$7:$B$106,MATCH($D1010,MUSTERILER!$B$7:$B$106,0)),IFERROR(INDEX(MUSTERILER!$B$7:$B$106,MATCH($R1010&amp;"*",MUSTERILER!$T$7:$T$106,0)),"TANIMSIZ MÜŞTERİ"))))</f>
        <v/>
      </c>
      <c r="D1010" s="109" t="n"/>
      <c r="E1010" s="220" t="n"/>
      <c r="F1010" s="221" t="n"/>
      <c r="G1010" s="108" t="n"/>
      <c r="H1010" s="108" t="n"/>
      <c r="I1010" s="109" t="n"/>
      <c r="J1010" s="109" t="n"/>
      <c r="K1010" s="109" t="n"/>
      <c r="L1010" s="226">
        <f>IF($E1010="","",DATE(YEAR($E1010),MONTH($E1010),1))</f>
        <v/>
      </c>
      <c r="M1010" s="113">
        <f>IF($D1010="","",IF($C1010="TANIMSIZ MÜŞTERİ","HATA",IF(OR($E1010="",$F1010&lt;=0,$G1010=""),"EKSİK",IF($E1010&gt;TODAY(),"İLERİ TARİH",IF(COUNTIF($S$7:$S$1506,$S1010)&gt;1,"MÜKERRER?",IF($T1010&gt;0,"KAPALI DÖNEM","UYGUN"))))))</f>
        <v/>
      </c>
      <c r="N1010" s="121">
        <f>IF($C1010="","",IF($C1010="TANIMSIZ MÜŞTERİ","—",INDEX(MUSTERILER!$C$7:$C$106,MATCH($C1010,MUSTERILER!$B$7:$B$106,0))))</f>
        <v/>
      </c>
      <c r="O1010" s="6" t="n"/>
      <c r="P1010" s="6" t="n"/>
      <c r="Q1010" s="3">
        <f>IF($D1010="","",$C1010&amp;"|"&amp;COUNTIFS($C$7:$C1010,$C1010))</f>
        <v/>
      </c>
      <c r="R1010" s="3">
        <f>IF($D1010="","",UPPER(SUBSTITUTE(SUBSTITUTE(SUBSTITUTE(SUBSTITUTE(SUBSTITUTE(SUBSTITUTE(SUBSTITUTE(SUBSTITUTE(SUBSTITUTE(SUBSTITUTE(SUBSTITUTE(SUBSTITUTE(SUBSTITUTE(SUBSTITUTE(SUBSTITUTE(SUBSTITUTE(SUBSTITUTE(SUBSTITUTE(TRIM($D1010),"'",""),"İ","I"),"ı","I"),"i","I"),"Ş","S"),"ş","S"),"Ğ","G"),"ğ","G"),"Ü","U"),"ü","U"),"Ö","O"),"ö","O"),"Ç","C"),"ç","C"),".",""),",","")," ",""),"-","")))</f>
        <v/>
      </c>
      <c r="S1010" s="3">
        <f>IF($D1010="","",$C1010&amp;"|"&amp;TEXT($E1010,"0")&amp;"|"&amp;TEXT($F1010,"0")&amp;"|"&amp;$I1010)</f>
        <v/>
      </c>
      <c r="T1010" s="3">
        <f>IF($E1010="",0,SUMPRODUCT((AY_SONU!$O$7:$O$42="Evet")*(AY_SONU!$B$7:$B$42=DATE(YEAR($E1010),MONTH($E1010),1))))</f>
        <v/>
      </c>
    </row>
    <row r="1011">
      <c r="A1011" s="6" t="n"/>
      <c r="B1011" s="113">
        <f>IF($D1011="","","T"&amp;TEXT(ROW()-6,"00000"))</f>
        <v/>
      </c>
      <c r="C1011" s="113">
        <f>IF($D1011="","",IFERROR(INDEX(MUSTERILER!$B$7:$B$106,MATCH($R1011,MUSTERILER!$T$7:$T$106,0)),IFERROR(INDEX(MUSTERILER!$B$7:$B$106,MATCH($D1011,MUSTERILER!$B$7:$B$106,0)),IFERROR(INDEX(MUSTERILER!$B$7:$B$106,MATCH($R1011&amp;"*",MUSTERILER!$T$7:$T$106,0)),"TANIMSIZ MÜŞTERİ"))))</f>
        <v/>
      </c>
      <c r="D1011" s="109" t="n"/>
      <c r="E1011" s="220" t="n"/>
      <c r="F1011" s="221" t="n"/>
      <c r="G1011" s="108" t="n"/>
      <c r="H1011" s="108" t="n"/>
      <c r="I1011" s="109" t="n"/>
      <c r="J1011" s="109" t="n"/>
      <c r="K1011" s="109" t="n"/>
      <c r="L1011" s="226">
        <f>IF($E1011="","",DATE(YEAR($E1011),MONTH($E1011),1))</f>
        <v/>
      </c>
      <c r="M1011" s="113">
        <f>IF($D1011="","",IF($C1011="TANIMSIZ MÜŞTERİ","HATA",IF(OR($E1011="",$F1011&lt;=0,$G1011=""),"EKSİK",IF($E1011&gt;TODAY(),"İLERİ TARİH",IF(COUNTIF($S$7:$S$1506,$S1011)&gt;1,"MÜKERRER?",IF($T1011&gt;0,"KAPALI DÖNEM","UYGUN"))))))</f>
        <v/>
      </c>
      <c r="N1011" s="121">
        <f>IF($C1011="","",IF($C1011="TANIMSIZ MÜŞTERİ","—",INDEX(MUSTERILER!$C$7:$C$106,MATCH($C1011,MUSTERILER!$B$7:$B$106,0))))</f>
        <v/>
      </c>
      <c r="O1011" s="6" t="n"/>
      <c r="P1011" s="6" t="n"/>
      <c r="Q1011" s="3">
        <f>IF($D1011="","",$C1011&amp;"|"&amp;COUNTIFS($C$7:$C1011,$C1011))</f>
        <v/>
      </c>
      <c r="R1011" s="3">
        <f>IF($D1011="","",UPPER(SUBSTITUTE(SUBSTITUTE(SUBSTITUTE(SUBSTITUTE(SUBSTITUTE(SUBSTITUTE(SUBSTITUTE(SUBSTITUTE(SUBSTITUTE(SUBSTITUTE(SUBSTITUTE(SUBSTITUTE(SUBSTITUTE(SUBSTITUTE(SUBSTITUTE(SUBSTITUTE(SUBSTITUTE(SUBSTITUTE(TRIM($D1011),"'",""),"İ","I"),"ı","I"),"i","I"),"Ş","S"),"ş","S"),"Ğ","G"),"ğ","G"),"Ü","U"),"ü","U"),"Ö","O"),"ö","O"),"Ç","C"),"ç","C"),".",""),",","")," ",""),"-","")))</f>
        <v/>
      </c>
      <c r="S1011" s="3">
        <f>IF($D1011="","",$C1011&amp;"|"&amp;TEXT($E1011,"0")&amp;"|"&amp;TEXT($F1011,"0")&amp;"|"&amp;$I1011)</f>
        <v/>
      </c>
      <c r="T1011" s="3">
        <f>IF($E1011="",0,SUMPRODUCT((AY_SONU!$O$7:$O$42="Evet")*(AY_SONU!$B$7:$B$42=DATE(YEAR($E1011),MONTH($E1011),1))))</f>
        <v/>
      </c>
    </row>
    <row r="1012">
      <c r="A1012" s="6" t="n"/>
      <c r="B1012" s="113">
        <f>IF($D1012="","","T"&amp;TEXT(ROW()-6,"00000"))</f>
        <v/>
      </c>
      <c r="C1012" s="113">
        <f>IF($D1012="","",IFERROR(INDEX(MUSTERILER!$B$7:$B$106,MATCH($R1012,MUSTERILER!$T$7:$T$106,0)),IFERROR(INDEX(MUSTERILER!$B$7:$B$106,MATCH($D1012,MUSTERILER!$B$7:$B$106,0)),IFERROR(INDEX(MUSTERILER!$B$7:$B$106,MATCH($R1012&amp;"*",MUSTERILER!$T$7:$T$106,0)),"TANIMSIZ MÜŞTERİ"))))</f>
        <v/>
      </c>
      <c r="D1012" s="109" t="n"/>
      <c r="E1012" s="220" t="n"/>
      <c r="F1012" s="221" t="n"/>
      <c r="G1012" s="108" t="n"/>
      <c r="H1012" s="108" t="n"/>
      <c r="I1012" s="109" t="n"/>
      <c r="J1012" s="109" t="n"/>
      <c r="K1012" s="109" t="n"/>
      <c r="L1012" s="226">
        <f>IF($E1012="","",DATE(YEAR($E1012),MONTH($E1012),1))</f>
        <v/>
      </c>
      <c r="M1012" s="113">
        <f>IF($D1012="","",IF($C1012="TANIMSIZ MÜŞTERİ","HATA",IF(OR($E1012="",$F1012&lt;=0,$G1012=""),"EKSİK",IF($E1012&gt;TODAY(),"İLERİ TARİH",IF(COUNTIF($S$7:$S$1506,$S1012)&gt;1,"MÜKERRER?",IF($T1012&gt;0,"KAPALI DÖNEM","UYGUN"))))))</f>
        <v/>
      </c>
      <c r="N1012" s="121">
        <f>IF($C1012="","",IF($C1012="TANIMSIZ MÜŞTERİ","—",INDEX(MUSTERILER!$C$7:$C$106,MATCH($C1012,MUSTERILER!$B$7:$B$106,0))))</f>
        <v/>
      </c>
      <c r="O1012" s="6" t="n"/>
      <c r="P1012" s="6" t="n"/>
      <c r="Q1012" s="3">
        <f>IF($D1012="","",$C1012&amp;"|"&amp;COUNTIFS($C$7:$C1012,$C1012))</f>
        <v/>
      </c>
      <c r="R1012" s="3">
        <f>IF($D1012="","",UPPER(SUBSTITUTE(SUBSTITUTE(SUBSTITUTE(SUBSTITUTE(SUBSTITUTE(SUBSTITUTE(SUBSTITUTE(SUBSTITUTE(SUBSTITUTE(SUBSTITUTE(SUBSTITUTE(SUBSTITUTE(SUBSTITUTE(SUBSTITUTE(SUBSTITUTE(SUBSTITUTE(SUBSTITUTE(SUBSTITUTE(TRIM($D1012),"'",""),"İ","I"),"ı","I"),"i","I"),"Ş","S"),"ş","S"),"Ğ","G"),"ğ","G"),"Ü","U"),"ü","U"),"Ö","O"),"ö","O"),"Ç","C"),"ç","C"),".",""),",","")," ",""),"-","")))</f>
        <v/>
      </c>
      <c r="S1012" s="3">
        <f>IF($D1012="","",$C1012&amp;"|"&amp;TEXT($E1012,"0")&amp;"|"&amp;TEXT($F1012,"0")&amp;"|"&amp;$I1012)</f>
        <v/>
      </c>
      <c r="T1012" s="3">
        <f>IF($E1012="",0,SUMPRODUCT((AY_SONU!$O$7:$O$42="Evet")*(AY_SONU!$B$7:$B$42=DATE(YEAR($E1012),MONTH($E1012),1))))</f>
        <v/>
      </c>
    </row>
    <row r="1013">
      <c r="A1013" s="6" t="n"/>
      <c r="B1013" s="113">
        <f>IF($D1013="","","T"&amp;TEXT(ROW()-6,"00000"))</f>
        <v/>
      </c>
      <c r="C1013" s="113">
        <f>IF($D1013="","",IFERROR(INDEX(MUSTERILER!$B$7:$B$106,MATCH($R1013,MUSTERILER!$T$7:$T$106,0)),IFERROR(INDEX(MUSTERILER!$B$7:$B$106,MATCH($D1013,MUSTERILER!$B$7:$B$106,0)),IFERROR(INDEX(MUSTERILER!$B$7:$B$106,MATCH($R1013&amp;"*",MUSTERILER!$T$7:$T$106,0)),"TANIMSIZ MÜŞTERİ"))))</f>
        <v/>
      </c>
      <c r="D1013" s="109" t="n"/>
      <c r="E1013" s="220" t="n"/>
      <c r="F1013" s="221" t="n"/>
      <c r="G1013" s="108" t="n"/>
      <c r="H1013" s="108" t="n"/>
      <c r="I1013" s="109" t="n"/>
      <c r="J1013" s="109" t="n"/>
      <c r="K1013" s="109" t="n"/>
      <c r="L1013" s="226">
        <f>IF($E1013="","",DATE(YEAR($E1013),MONTH($E1013),1))</f>
        <v/>
      </c>
      <c r="M1013" s="113">
        <f>IF($D1013="","",IF($C1013="TANIMSIZ MÜŞTERİ","HATA",IF(OR($E1013="",$F1013&lt;=0,$G1013=""),"EKSİK",IF($E1013&gt;TODAY(),"İLERİ TARİH",IF(COUNTIF($S$7:$S$1506,$S1013)&gt;1,"MÜKERRER?",IF($T1013&gt;0,"KAPALI DÖNEM","UYGUN"))))))</f>
        <v/>
      </c>
      <c r="N1013" s="121">
        <f>IF($C1013="","",IF($C1013="TANIMSIZ MÜŞTERİ","—",INDEX(MUSTERILER!$C$7:$C$106,MATCH($C1013,MUSTERILER!$B$7:$B$106,0))))</f>
        <v/>
      </c>
      <c r="O1013" s="6" t="n"/>
      <c r="P1013" s="6" t="n"/>
      <c r="Q1013" s="3">
        <f>IF($D1013="","",$C1013&amp;"|"&amp;COUNTIFS($C$7:$C1013,$C1013))</f>
        <v/>
      </c>
      <c r="R1013" s="3">
        <f>IF($D1013="","",UPPER(SUBSTITUTE(SUBSTITUTE(SUBSTITUTE(SUBSTITUTE(SUBSTITUTE(SUBSTITUTE(SUBSTITUTE(SUBSTITUTE(SUBSTITUTE(SUBSTITUTE(SUBSTITUTE(SUBSTITUTE(SUBSTITUTE(SUBSTITUTE(SUBSTITUTE(SUBSTITUTE(SUBSTITUTE(SUBSTITUTE(TRIM($D1013),"'",""),"İ","I"),"ı","I"),"i","I"),"Ş","S"),"ş","S"),"Ğ","G"),"ğ","G"),"Ü","U"),"ü","U"),"Ö","O"),"ö","O"),"Ç","C"),"ç","C"),".",""),",","")," ",""),"-","")))</f>
        <v/>
      </c>
      <c r="S1013" s="3">
        <f>IF($D1013="","",$C1013&amp;"|"&amp;TEXT($E1013,"0")&amp;"|"&amp;TEXT($F1013,"0")&amp;"|"&amp;$I1013)</f>
        <v/>
      </c>
      <c r="T1013" s="3">
        <f>IF($E1013="",0,SUMPRODUCT((AY_SONU!$O$7:$O$42="Evet")*(AY_SONU!$B$7:$B$42=DATE(YEAR($E1013),MONTH($E1013),1))))</f>
        <v/>
      </c>
    </row>
    <row r="1014">
      <c r="A1014" s="6" t="n"/>
      <c r="B1014" s="113">
        <f>IF($D1014="","","T"&amp;TEXT(ROW()-6,"00000"))</f>
        <v/>
      </c>
      <c r="C1014" s="113">
        <f>IF($D1014="","",IFERROR(INDEX(MUSTERILER!$B$7:$B$106,MATCH($R1014,MUSTERILER!$T$7:$T$106,0)),IFERROR(INDEX(MUSTERILER!$B$7:$B$106,MATCH($D1014,MUSTERILER!$B$7:$B$106,0)),IFERROR(INDEX(MUSTERILER!$B$7:$B$106,MATCH($R1014&amp;"*",MUSTERILER!$T$7:$T$106,0)),"TANIMSIZ MÜŞTERİ"))))</f>
        <v/>
      </c>
      <c r="D1014" s="109" t="n"/>
      <c r="E1014" s="220" t="n"/>
      <c r="F1014" s="221" t="n"/>
      <c r="G1014" s="108" t="n"/>
      <c r="H1014" s="108" t="n"/>
      <c r="I1014" s="109" t="n"/>
      <c r="J1014" s="109" t="n"/>
      <c r="K1014" s="109" t="n"/>
      <c r="L1014" s="226">
        <f>IF($E1014="","",DATE(YEAR($E1014),MONTH($E1014),1))</f>
        <v/>
      </c>
      <c r="M1014" s="113">
        <f>IF($D1014="","",IF($C1014="TANIMSIZ MÜŞTERİ","HATA",IF(OR($E1014="",$F1014&lt;=0,$G1014=""),"EKSİK",IF($E1014&gt;TODAY(),"İLERİ TARİH",IF(COUNTIF($S$7:$S$1506,$S1014)&gt;1,"MÜKERRER?",IF($T1014&gt;0,"KAPALI DÖNEM","UYGUN"))))))</f>
        <v/>
      </c>
      <c r="N1014" s="121">
        <f>IF($C1014="","",IF($C1014="TANIMSIZ MÜŞTERİ","—",INDEX(MUSTERILER!$C$7:$C$106,MATCH($C1014,MUSTERILER!$B$7:$B$106,0))))</f>
        <v/>
      </c>
      <c r="O1014" s="6" t="n"/>
      <c r="P1014" s="6" t="n"/>
      <c r="Q1014" s="3">
        <f>IF($D1014="","",$C1014&amp;"|"&amp;COUNTIFS($C$7:$C1014,$C1014))</f>
        <v/>
      </c>
      <c r="R1014" s="3">
        <f>IF($D1014="","",UPPER(SUBSTITUTE(SUBSTITUTE(SUBSTITUTE(SUBSTITUTE(SUBSTITUTE(SUBSTITUTE(SUBSTITUTE(SUBSTITUTE(SUBSTITUTE(SUBSTITUTE(SUBSTITUTE(SUBSTITUTE(SUBSTITUTE(SUBSTITUTE(SUBSTITUTE(SUBSTITUTE(SUBSTITUTE(SUBSTITUTE(TRIM($D1014),"'",""),"İ","I"),"ı","I"),"i","I"),"Ş","S"),"ş","S"),"Ğ","G"),"ğ","G"),"Ü","U"),"ü","U"),"Ö","O"),"ö","O"),"Ç","C"),"ç","C"),".",""),",","")," ",""),"-","")))</f>
        <v/>
      </c>
      <c r="S1014" s="3">
        <f>IF($D1014="","",$C1014&amp;"|"&amp;TEXT($E1014,"0")&amp;"|"&amp;TEXT($F1014,"0")&amp;"|"&amp;$I1014)</f>
        <v/>
      </c>
      <c r="T1014" s="3">
        <f>IF($E1014="",0,SUMPRODUCT((AY_SONU!$O$7:$O$42="Evet")*(AY_SONU!$B$7:$B$42=DATE(YEAR($E1014),MONTH($E1014),1))))</f>
        <v/>
      </c>
    </row>
    <row r="1015">
      <c r="A1015" s="6" t="n"/>
      <c r="B1015" s="113">
        <f>IF($D1015="","","T"&amp;TEXT(ROW()-6,"00000"))</f>
        <v/>
      </c>
      <c r="C1015" s="113">
        <f>IF($D1015="","",IFERROR(INDEX(MUSTERILER!$B$7:$B$106,MATCH($R1015,MUSTERILER!$T$7:$T$106,0)),IFERROR(INDEX(MUSTERILER!$B$7:$B$106,MATCH($D1015,MUSTERILER!$B$7:$B$106,0)),IFERROR(INDEX(MUSTERILER!$B$7:$B$106,MATCH($R1015&amp;"*",MUSTERILER!$T$7:$T$106,0)),"TANIMSIZ MÜŞTERİ"))))</f>
        <v/>
      </c>
      <c r="D1015" s="109" t="n"/>
      <c r="E1015" s="220" t="n"/>
      <c r="F1015" s="221" t="n"/>
      <c r="G1015" s="108" t="n"/>
      <c r="H1015" s="108" t="n"/>
      <c r="I1015" s="109" t="n"/>
      <c r="J1015" s="109" t="n"/>
      <c r="K1015" s="109" t="n"/>
      <c r="L1015" s="226">
        <f>IF($E1015="","",DATE(YEAR($E1015),MONTH($E1015),1))</f>
        <v/>
      </c>
      <c r="M1015" s="113">
        <f>IF($D1015="","",IF($C1015="TANIMSIZ MÜŞTERİ","HATA",IF(OR($E1015="",$F1015&lt;=0,$G1015=""),"EKSİK",IF($E1015&gt;TODAY(),"İLERİ TARİH",IF(COUNTIF($S$7:$S$1506,$S1015)&gt;1,"MÜKERRER?",IF($T1015&gt;0,"KAPALI DÖNEM","UYGUN"))))))</f>
        <v/>
      </c>
      <c r="N1015" s="121">
        <f>IF($C1015="","",IF($C1015="TANIMSIZ MÜŞTERİ","—",INDEX(MUSTERILER!$C$7:$C$106,MATCH($C1015,MUSTERILER!$B$7:$B$106,0))))</f>
        <v/>
      </c>
      <c r="O1015" s="6" t="n"/>
      <c r="P1015" s="6" t="n"/>
      <c r="Q1015" s="3">
        <f>IF($D1015="","",$C1015&amp;"|"&amp;COUNTIFS($C$7:$C1015,$C1015))</f>
        <v/>
      </c>
      <c r="R1015" s="3">
        <f>IF($D1015="","",UPPER(SUBSTITUTE(SUBSTITUTE(SUBSTITUTE(SUBSTITUTE(SUBSTITUTE(SUBSTITUTE(SUBSTITUTE(SUBSTITUTE(SUBSTITUTE(SUBSTITUTE(SUBSTITUTE(SUBSTITUTE(SUBSTITUTE(SUBSTITUTE(SUBSTITUTE(SUBSTITUTE(SUBSTITUTE(SUBSTITUTE(TRIM($D1015),"'",""),"İ","I"),"ı","I"),"i","I"),"Ş","S"),"ş","S"),"Ğ","G"),"ğ","G"),"Ü","U"),"ü","U"),"Ö","O"),"ö","O"),"Ç","C"),"ç","C"),".",""),",","")," ",""),"-","")))</f>
        <v/>
      </c>
      <c r="S1015" s="3">
        <f>IF($D1015="","",$C1015&amp;"|"&amp;TEXT($E1015,"0")&amp;"|"&amp;TEXT($F1015,"0")&amp;"|"&amp;$I1015)</f>
        <v/>
      </c>
      <c r="T1015" s="3">
        <f>IF($E1015="",0,SUMPRODUCT((AY_SONU!$O$7:$O$42="Evet")*(AY_SONU!$B$7:$B$42=DATE(YEAR($E1015),MONTH($E1015),1))))</f>
        <v/>
      </c>
    </row>
    <row r="1016">
      <c r="A1016" s="6" t="n"/>
      <c r="B1016" s="113">
        <f>IF($D1016="","","T"&amp;TEXT(ROW()-6,"00000"))</f>
        <v/>
      </c>
      <c r="C1016" s="113">
        <f>IF($D1016="","",IFERROR(INDEX(MUSTERILER!$B$7:$B$106,MATCH($R1016,MUSTERILER!$T$7:$T$106,0)),IFERROR(INDEX(MUSTERILER!$B$7:$B$106,MATCH($D1016,MUSTERILER!$B$7:$B$106,0)),IFERROR(INDEX(MUSTERILER!$B$7:$B$106,MATCH($R1016&amp;"*",MUSTERILER!$T$7:$T$106,0)),"TANIMSIZ MÜŞTERİ"))))</f>
        <v/>
      </c>
      <c r="D1016" s="109" t="n"/>
      <c r="E1016" s="220" t="n"/>
      <c r="F1016" s="221" t="n"/>
      <c r="G1016" s="108" t="n"/>
      <c r="H1016" s="108" t="n"/>
      <c r="I1016" s="109" t="n"/>
      <c r="J1016" s="109" t="n"/>
      <c r="K1016" s="109" t="n"/>
      <c r="L1016" s="226">
        <f>IF($E1016="","",DATE(YEAR($E1016),MONTH($E1016),1))</f>
        <v/>
      </c>
      <c r="M1016" s="113">
        <f>IF($D1016="","",IF($C1016="TANIMSIZ MÜŞTERİ","HATA",IF(OR($E1016="",$F1016&lt;=0,$G1016=""),"EKSİK",IF($E1016&gt;TODAY(),"İLERİ TARİH",IF(COUNTIF($S$7:$S$1506,$S1016)&gt;1,"MÜKERRER?",IF($T1016&gt;0,"KAPALI DÖNEM","UYGUN"))))))</f>
        <v/>
      </c>
      <c r="N1016" s="121">
        <f>IF($C1016="","",IF($C1016="TANIMSIZ MÜŞTERİ","—",INDEX(MUSTERILER!$C$7:$C$106,MATCH($C1016,MUSTERILER!$B$7:$B$106,0))))</f>
        <v/>
      </c>
      <c r="O1016" s="6" t="n"/>
      <c r="P1016" s="6" t="n"/>
      <c r="Q1016" s="3">
        <f>IF($D1016="","",$C1016&amp;"|"&amp;COUNTIFS($C$7:$C1016,$C1016))</f>
        <v/>
      </c>
      <c r="R1016" s="3">
        <f>IF($D1016="","",UPPER(SUBSTITUTE(SUBSTITUTE(SUBSTITUTE(SUBSTITUTE(SUBSTITUTE(SUBSTITUTE(SUBSTITUTE(SUBSTITUTE(SUBSTITUTE(SUBSTITUTE(SUBSTITUTE(SUBSTITUTE(SUBSTITUTE(SUBSTITUTE(SUBSTITUTE(SUBSTITUTE(SUBSTITUTE(SUBSTITUTE(TRIM($D1016),"'",""),"İ","I"),"ı","I"),"i","I"),"Ş","S"),"ş","S"),"Ğ","G"),"ğ","G"),"Ü","U"),"ü","U"),"Ö","O"),"ö","O"),"Ç","C"),"ç","C"),".",""),",","")," ",""),"-","")))</f>
        <v/>
      </c>
      <c r="S1016" s="3">
        <f>IF($D1016="","",$C1016&amp;"|"&amp;TEXT($E1016,"0")&amp;"|"&amp;TEXT($F1016,"0")&amp;"|"&amp;$I1016)</f>
        <v/>
      </c>
      <c r="T1016" s="3">
        <f>IF($E1016="",0,SUMPRODUCT((AY_SONU!$O$7:$O$42="Evet")*(AY_SONU!$B$7:$B$42=DATE(YEAR($E1016),MONTH($E1016),1))))</f>
        <v/>
      </c>
    </row>
    <row r="1017">
      <c r="A1017" s="6" t="n"/>
      <c r="B1017" s="113">
        <f>IF($D1017="","","T"&amp;TEXT(ROW()-6,"00000"))</f>
        <v/>
      </c>
      <c r="C1017" s="113">
        <f>IF($D1017="","",IFERROR(INDEX(MUSTERILER!$B$7:$B$106,MATCH($R1017,MUSTERILER!$T$7:$T$106,0)),IFERROR(INDEX(MUSTERILER!$B$7:$B$106,MATCH($D1017,MUSTERILER!$B$7:$B$106,0)),IFERROR(INDEX(MUSTERILER!$B$7:$B$106,MATCH($R1017&amp;"*",MUSTERILER!$T$7:$T$106,0)),"TANIMSIZ MÜŞTERİ"))))</f>
        <v/>
      </c>
      <c r="D1017" s="109" t="n"/>
      <c r="E1017" s="220" t="n"/>
      <c r="F1017" s="221" t="n"/>
      <c r="G1017" s="108" t="n"/>
      <c r="H1017" s="108" t="n"/>
      <c r="I1017" s="109" t="n"/>
      <c r="J1017" s="109" t="n"/>
      <c r="K1017" s="109" t="n"/>
      <c r="L1017" s="226">
        <f>IF($E1017="","",DATE(YEAR($E1017),MONTH($E1017),1))</f>
        <v/>
      </c>
      <c r="M1017" s="113">
        <f>IF($D1017="","",IF($C1017="TANIMSIZ MÜŞTERİ","HATA",IF(OR($E1017="",$F1017&lt;=0,$G1017=""),"EKSİK",IF($E1017&gt;TODAY(),"İLERİ TARİH",IF(COUNTIF($S$7:$S$1506,$S1017)&gt;1,"MÜKERRER?",IF($T1017&gt;0,"KAPALI DÖNEM","UYGUN"))))))</f>
        <v/>
      </c>
      <c r="N1017" s="121">
        <f>IF($C1017="","",IF($C1017="TANIMSIZ MÜŞTERİ","—",INDEX(MUSTERILER!$C$7:$C$106,MATCH($C1017,MUSTERILER!$B$7:$B$106,0))))</f>
        <v/>
      </c>
      <c r="O1017" s="6" t="n"/>
      <c r="P1017" s="6" t="n"/>
      <c r="Q1017" s="3">
        <f>IF($D1017="","",$C1017&amp;"|"&amp;COUNTIFS($C$7:$C1017,$C1017))</f>
        <v/>
      </c>
      <c r="R1017" s="3">
        <f>IF($D1017="","",UPPER(SUBSTITUTE(SUBSTITUTE(SUBSTITUTE(SUBSTITUTE(SUBSTITUTE(SUBSTITUTE(SUBSTITUTE(SUBSTITUTE(SUBSTITUTE(SUBSTITUTE(SUBSTITUTE(SUBSTITUTE(SUBSTITUTE(SUBSTITUTE(SUBSTITUTE(SUBSTITUTE(SUBSTITUTE(SUBSTITUTE(TRIM($D1017),"'",""),"İ","I"),"ı","I"),"i","I"),"Ş","S"),"ş","S"),"Ğ","G"),"ğ","G"),"Ü","U"),"ü","U"),"Ö","O"),"ö","O"),"Ç","C"),"ç","C"),".",""),",","")," ",""),"-","")))</f>
        <v/>
      </c>
      <c r="S1017" s="3">
        <f>IF($D1017="","",$C1017&amp;"|"&amp;TEXT($E1017,"0")&amp;"|"&amp;TEXT($F1017,"0")&amp;"|"&amp;$I1017)</f>
        <v/>
      </c>
      <c r="T1017" s="3">
        <f>IF($E1017="",0,SUMPRODUCT((AY_SONU!$O$7:$O$42="Evet")*(AY_SONU!$B$7:$B$42=DATE(YEAR($E1017),MONTH($E1017),1))))</f>
        <v/>
      </c>
    </row>
    <row r="1018">
      <c r="A1018" s="6" t="n"/>
      <c r="B1018" s="113">
        <f>IF($D1018="","","T"&amp;TEXT(ROW()-6,"00000"))</f>
        <v/>
      </c>
      <c r="C1018" s="113">
        <f>IF($D1018="","",IFERROR(INDEX(MUSTERILER!$B$7:$B$106,MATCH($R1018,MUSTERILER!$T$7:$T$106,0)),IFERROR(INDEX(MUSTERILER!$B$7:$B$106,MATCH($D1018,MUSTERILER!$B$7:$B$106,0)),IFERROR(INDEX(MUSTERILER!$B$7:$B$106,MATCH($R1018&amp;"*",MUSTERILER!$T$7:$T$106,0)),"TANIMSIZ MÜŞTERİ"))))</f>
        <v/>
      </c>
      <c r="D1018" s="109" t="n"/>
      <c r="E1018" s="220" t="n"/>
      <c r="F1018" s="221" t="n"/>
      <c r="G1018" s="108" t="n"/>
      <c r="H1018" s="108" t="n"/>
      <c r="I1018" s="109" t="n"/>
      <c r="J1018" s="109" t="n"/>
      <c r="K1018" s="109" t="n"/>
      <c r="L1018" s="226">
        <f>IF($E1018="","",DATE(YEAR($E1018),MONTH($E1018),1))</f>
        <v/>
      </c>
      <c r="M1018" s="113">
        <f>IF($D1018="","",IF($C1018="TANIMSIZ MÜŞTERİ","HATA",IF(OR($E1018="",$F1018&lt;=0,$G1018=""),"EKSİK",IF($E1018&gt;TODAY(),"İLERİ TARİH",IF(COUNTIF($S$7:$S$1506,$S1018)&gt;1,"MÜKERRER?",IF($T1018&gt;0,"KAPALI DÖNEM","UYGUN"))))))</f>
        <v/>
      </c>
      <c r="N1018" s="121">
        <f>IF($C1018="","",IF($C1018="TANIMSIZ MÜŞTERİ","—",INDEX(MUSTERILER!$C$7:$C$106,MATCH($C1018,MUSTERILER!$B$7:$B$106,0))))</f>
        <v/>
      </c>
      <c r="O1018" s="6" t="n"/>
      <c r="P1018" s="6" t="n"/>
      <c r="Q1018" s="3">
        <f>IF($D1018="","",$C1018&amp;"|"&amp;COUNTIFS($C$7:$C1018,$C1018))</f>
        <v/>
      </c>
      <c r="R1018" s="3">
        <f>IF($D1018="","",UPPER(SUBSTITUTE(SUBSTITUTE(SUBSTITUTE(SUBSTITUTE(SUBSTITUTE(SUBSTITUTE(SUBSTITUTE(SUBSTITUTE(SUBSTITUTE(SUBSTITUTE(SUBSTITUTE(SUBSTITUTE(SUBSTITUTE(SUBSTITUTE(SUBSTITUTE(SUBSTITUTE(SUBSTITUTE(SUBSTITUTE(TRIM($D1018),"'",""),"İ","I"),"ı","I"),"i","I"),"Ş","S"),"ş","S"),"Ğ","G"),"ğ","G"),"Ü","U"),"ü","U"),"Ö","O"),"ö","O"),"Ç","C"),"ç","C"),".",""),",","")," ",""),"-","")))</f>
        <v/>
      </c>
      <c r="S1018" s="3">
        <f>IF($D1018="","",$C1018&amp;"|"&amp;TEXT($E1018,"0")&amp;"|"&amp;TEXT($F1018,"0")&amp;"|"&amp;$I1018)</f>
        <v/>
      </c>
      <c r="T1018" s="3">
        <f>IF($E1018="",0,SUMPRODUCT((AY_SONU!$O$7:$O$42="Evet")*(AY_SONU!$B$7:$B$42=DATE(YEAR($E1018),MONTH($E1018),1))))</f>
        <v/>
      </c>
    </row>
    <row r="1019">
      <c r="A1019" s="6" t="n"/>
      <c r="B1019" s="113">
        <f>IF($D1019="","","T"&amp;TEXT(ROW()-6,"00000"))</f>
        <v/>
      </c>
      <c r="C1019" s="113">
        <f>IF($D1019="","",IFERROR(INDEX(MUSTERILER!$B$7:$B$106,MATCH($R1019,MUSTERILER!$T$7:$T$106,0)),IFERROR(INDEX(MUSTERILER!$B$7:$B$106,MATCH($D1019,MUSTERILER!$B$7:$B$106,0)),IFERROR(INDEX(MUSTERILER!$B$7:$B$106,MATCH($R1019&amp;"*",MUSTERILER!$T$7:$T$106,0)),"TANIMSIZ MÜŞTERİ"))))</f>
        <v/>
      </c>
      <c r="D1019" s="109" t="n"/>
      <c r="E1019" s="220" t="n"/>
      <c r="F1019" s="221" t="n"/>
      <c r="G1019" s="108" t="n"/>
      <c r="H1019" s="108" t="n"/>
      <c r="I1019" s="109" t="n"/>
      <c r="J1019" s="109" t="n"/>
      <c r="K1019" s="109" t="n"/>
      <c r="L1019" s="226">
        <f>IF($E1019="","",DATE(YEAR($E1019),MONTH($E1019),1))</f>
        <v/>
      </c>
      <c r="M1019" s="113">
        <f>IF($D1019="","",IF($C1019="TANIMSIZ MÜŞTERİ","HATA",IF(OR($E1019="",$F1019&lt;=0,$G1019=""),"EKSİK",IF($E1019&gt;TODAY(),"İLERİ TARİH",IF(COUNTIF($S$7:$S$1506,$S1019)&gt;1,"MÜKERRER?",IF($T1019&gt;0,"KAPALI DÖNEM","UYGUN"))))))</f>
        <v/>
      </c>
      <c r="N1019" s="121">
        <f>IF($C1019="","",IF($C1019="TANIMSIZ MÜŞTERİ","—",INDEX(MUSTERILER!$C$7:$C$106,MATCH($C1019,MUSTERILER!$B$7:$B$106,0))))</f>
        <v/>
      </c>
      <c r="O1019" s="6" t="n"/>
      <c r="P1019" s="6" t="n"/>
      <c r="Q1019" s="3">
        <f>IF($D1019="","",$C1019&amp;"|"&amp;COUNTIFS($C$7:$C1019,$C1019))</f>
        <v/>
      </c>
      <c r="R1019" s="3">
        <f>IF($D1019="","",UPPER(SUBSTITUTE(SUBSTITUTE(SUBSTITUTE(SUBSTITUTE(SUBSTITUTE(SUBSTITUTE(SUBSTITUTE(SUBSTITUTE(SUBSTITUTE(SUBSTITUTE(SUBSTITUTE(SUBSTITUTE(SUBSTITUTE(SUBSTITUTE(SUBSTITUTE(SUBSTITUTE(SUBSTITUTE(SUBSTITUTE(TRIM($D1019),"'",""),"İ","I"),"ı","I"),"i","I"),"Ş","S"),"ş","S"),"Ğ","G"),"ğ","G"),"Ü","U"),"ü","U"),"Ö","O"),"ö","O"),"Ç","C"),"ç","C"),".",""),",","")," ",""),"-","")))</f>
        <v/>
      </c>
      <c r="S1019" s="3">
        <f>IF($D1019="","",$C1019&amp;"|"&amp;TEXT($E1019,"0")&amp;"|"&amp;TEXT($F1019,"0")&amp;"|"&amp;$I1019)</f>
        <v/>
      </c>
      <c r="T1019" s="3">
        <f>IF($E1019="",0,SUMPRODUCT((AY_SONU!$O$7:$O$42="Evet")*(AY_SONU!$B$7:$B$42=DATE(YEAR($E1019),MONTH($E1019),1))))</f>
        <v/>
      </c>
    </row>
    <row r="1020">
      <c r="A1020" s="6" t="n"/>
      <c r="B1020" s="113">
        <f>IF($D1020="","","T"&amp;TEXT(ROW()-6,"00000"))</f>
        <v/>
      </c>
      <c r="C1020" s="113">
        <f>IF($D1020="","",IFERROR(INDEX(MUSTERILER!$B$7:$B$106,MATCH($R1020,MUSTERILER!$T$7:$T$106,0)),IFERROR(INDEX(MUSTERILER!$B$7:$B$106,MATCH($D1020,MUSTERILER!$B$7:$B$106,0)),IFERROR(INDEX(MUSTERILER!$B$7:$B$106,MATCH($R1020&amp;"*",MUSTERILER!$T$7:$T$106,0)),"TANIMSIZ MÜŞTERİ"))))</f>
        <v/>
      </c>
      <c r="D1020" s="109" t="n"/>
      <c r="E1020" s="220" t="n"/>
      <c r="F1020" s="221" t="n"/>
      <c r="G1020" s="108" t="n"/>
      <c r="H1020" s="108" t="n"/>
      <c r="I1020" s="109" t="n"/>
      <c r="J1020" s="109" t="n"/>
      <c r="K1020" s="109" t="n"/>
      <c r="L1020" s="226">
        <f>IF($E1020="","",DATE(YEAR($E1020),MONTH($E1020),1))</f>
        <v/>
      </c>
      <c r="M1020" s="113">
        <f>IF($D1020="","",IF($C1020="TANIMSIZ MÜŞTERİ","HATA",IF(OR($E1020="",$F1020&lt;=0,$G1020=""),"EKSİK",IF($E1020&gt;TODAY(),"İLERİ TARİH",IF(COUNTIF($S$7:$S$1506,$S1020)&gt;1,"MÜKERRER?",IF($T1020&gt;0,"KAPALI DÖNEM","UYGUN"))))))</f>
        <v/>
      </c>
      <c r="N1020" s="121">
        <f>IF($C1020="","",IF($C1020="TANIMSIZ MÜŞTERİ","—",INDEX(MUSTERILER!$C$7:$C$106,MATCH($C1020,MUSTERILER!$B$7:$B$106,0))))</f>
        <v/>
      </c>
      <c r="O1020" s="6" t="n"/>
      <c r="P1020" s="6" t="n"/>
      <c r="Q1020" s="3">
        <f>IF($D1020="","",$C1020&amp;"|"&amp;COUNTIFS($C$7:$C1020,$C1020))</f>
        <v/>
      </c>
      <c r="R1020" s="3">
        <f>IF($D1020="","",UPPER(SUBSTITUTE(SUBSTITUTE(SUBSTITUTE(SUBSTITUTE(SUBSTITUTE(SUBSTITUTE(SUBSTITUTE(SUBSTITUTE(SUBSTITUTE(SUBSTITUTE(SUBSTITUTE(SUBSTITUTE(SUBSTITUTE(SUBSTITUTE(SUBSTITUTE(SUBSTITUTE(SUBSTITUTE(SUBSTITUTE(TRIM($D1020),"'",""),"İ","I"),"ı","I"),"i","I"),"Ş","S"),"ş","S"),"Ğ","G"),"ğ","G"),"Ü","U"),"ü","U"),"Ö","O"),"ö","O"),"Ç","C"),"ç","C"),".",""),",","")," ",""),"-","")))</f>
        <v/>
      </c>
      <c r="S1020" s="3">
        <f>IF($D1020="","",$C1020&amp;"|"&amp;TEXT($E1020,"0")&amp;"|"&amp;TEXT($F1020,"0")&amp;"|"&amp;$I1020)</f>
        <v/>
      </c>
      <c r="T1020" s="3">
        <f>IF($E1020="",0,SUMPRODUCT((AY_SONU!$O$7:$O$42="Evet")*(AY_SONU!$B$7:$B$42=DATE(YEAR($E1020),MONTH($E1020),1))))</f>
        <v/>
      </c>
    </row>
    <row r="1021">
      <c r="A1021" s="6" t="n"/>
      <c r="B1021" s="113">
        <f>IF($D1021="","","T"&amp;TEXT(ROW()-6,"00000"))</f>
        <v/>
      </c>
      <c r="C1021" s="113">
        <f>IF($D1021="","",IFERROR(INDEX(MUSTERILER!$B$7:$B$106,MATCH($R1021,MUSTERILER!$T$7:$T$106,0)),IFERROR(INDEX(MUSTERILER!$B$7:$B$106,MATCH($D1021,MUSTERILER!$B$7:$B$106,0)),IFERROR(INDEX(MUSTERILER!$B$7:$B$106,MATCH($R1021&amp;"*",MUSTERILER!$T$7:$T$106,0)),"TANIMSIZ MÜŞTERİ"))))</f>
        <v/>
      </c>
      <c r="D1021" s="109" t="n"/>
      <c r="E1021" s="220" t="n"/>
      <c r="F1021" s="221" t="n"/>
      <c r="G1021" s="108" t="n"/>
      <c r="H1021" s="108" t="n"/>
      <c r="I1021" s="109" t="n"/>
      <c r="J1021" s="109" t="n"/>
      <c r="K1021" s="109" t="n"/>
      <c r="L1021" s="226">
        <f>IF($E1021="","",DATE(YEAR($E1021),MONTH($E1021),1))</f>
        <v/>
      </c>
      <c r="M1021" s="113">
        <f>IF($D1021="","",IF($C1021="TANIMSIZ MÜŞTERİ","HATA",IF(OR($E1021="",$F1021&lt;=0,$G1021=""),"EKSİK",IF($E1021&gt;TODAY(),"İLERİ TARİH",IF(COUNTIF($S$7:$S$1506,$S1021)&gt;1,"MÜKERRER?",IF($T1021&gt;0,"KAPALI DÖNEM","UYGUN"))))))</f>
        <v/>
      </c>
      <c r="N1021" s="121">
        <f>IF($C1021="","",IF($C1021="TANIMSIZ MÜŞTERİ","—",INDEX(MUSTERILER!$C$7:$C$106,MATCH($C1021,MUSTERILER!$B$7:$B$106,0))))</f>
        <v/>
      </c>
      <c r="O1021" s="6" t="n"/>
      <c r="P1021" s="6" t="n"/>
      <c r="Q1021" s="3">
        <f>IF($D1021="","",$C1021&amp;"|"&amp;COUNTIFS($C$7:$C1021,$C1021))</f>
        <v/>
      </c>
      <c r="R1021" s="3">
        <f>IF($D1021="","",UPPER(SUBSTITUTE(SUBSTITUTE(SUBSTITUTE(SUBSTITUTE(SUBSTITUTE(SUBSTITUTE(SUBSTITUTE(SUBSTITUTE(SUBSTITUTE(SUBSTITUTE(SUBSTITUTE(SUBSTITUTE(SUBSTITUTE(SUBSTITUTE(SUBSTITUTE(SUBSTITUTE(SUBSTITUTE(SUBSTITUTE(TRIM($D1021),"'",""),"İ","I"),"ı","I"),"i","I"),"Ş","S"),"ş","S"),"Ğ","G"),"ğ","G"),"Ü","U"),"ü","U"),"Ö","O"),"ö","O"),"Ç","C"),"ç","C"),".",""),",","")," ",""),"-","")))</f>
        <v/>
      </c>
      <c r="S1021" s="3">
        <f>IF($D1021="","",$C1021&amp;"|"&amp;TEXT($E1021,"0")&amp;"|"&amp;TEXT($F1021,"0")&amp;"|"&amp;$I1021)</f>
        <v/>
      </c>
      <c r="T1021" s="3">
        <f>IF($E1021="",0,SUMPRODUCT((AY_SONU!$O$7:$O$42="Evet")*(AY_SONU!$B$7:$B$42=DATE(YEAR($E1021),MONTH($E1021),1))))</f>
        <v/>
      </c>
    </row>
    <row r="1022">
      <c r="A1022" s="6" t="n"/>
      <c r="B1022" s="113">
        <f>IF($D1022="","","T"&amp;TEXT(ROW()-6,"00000"))</f>
        <v/>
      </c>
      <c r="C1022" s="113">
        <f>IF($D1022="","",IFERROR(INDEX(MUSTERILER!$B$7:$B$106,MATCH($R1022,MUSTERILER!$T$7:$T$106,0)),IFERROR(INDEX(MUSTERILER!$B$7:$B$106,MATCH($D1022,MUSTERILER!$B$7:$B$106,0)),IFERROR(INDEX(MUSTERILER!$B$7:$B$106,MATCH($R1022&amp;"*",MUSTERILER!$T$7:$T$106,0)),"TANIMSIZ MÜŞTERİ"))))</f>
        <v/>
      </c>
      <c r="D1022" s="109" t="n"/>
      <c r="E1022" s="220" t="n"/>
      <c r="F1022" s="221" t="n"/>
      <c r="G1022" s="108" t="n"/>
      <c r="H1022" s="108" t="n"/>
      <c r="I1022" s="109" t="n"/>
      <c r="J1022" s="109" t="n"/>
      <c r="K1022" s="109" t="n"/>
      <c r="L1022" s="226">
        <f>IF($E1022="","",DATE(YEAR($E1022),MONTH($E1022),1))</f>
        <v/>
      </c>
      <c r="M1022" s="113">
        <f>IF($D1022="","",IF($C1022="TANIMSIZ MÜŞTERİ","HATA",IF(OR($E1022="",$F1022&lt;=0,$G1022=""),"EKSİK",IF($E1022&gt;TODAY(),"İLERİ TARİH",IF(COUNTIF($S$7:$S$1506,$S1022)&gt;1,"MÜKERRER?",IF($T1022&gt;0,"KAPALI DÖNEM","UYGUN"))))))</f>
        <v/>
      </c>
      <c r="N1022" s="121">
        <f>IF($C1022="","",IF($C1022="TANIMSIZ MÜŞTERİ","—",INDEX(MUSTERILER!$C$7:$C$106,MATCH($C1022,MUSTERILER!$B$7:$B$106,0))))</f>
        <v/>
      </c>
      <c r="O1022" s="6" t="n"/>
      <c r="P1022" s="6" t="n"/>
      <c r="Q1022" s="3">
        <f>IF($D1022="","",$C1022&amp;"|"&amp;COUNTIFS($C$7:$C1022,$C1022))</f>
        <v/>
      </c>
      <c r="R1022" s="3">
        <f>IF($D1022="","",UPPER(SUBSTITUTE(SUBSTITUTE(SUBSTITUTE(SUBSTITUTE(SUBSTITUTE(SUBSTITUTE(SUBSTITUTE(SUBSTITUTE(SUBSTITUTE(SUBSTITUTE(SUBSTITUTE(SUBSTITUTE(SUBSTITUTE(SUBSTITUTE(SUBSTITUTE(SUBSTITUTE(SUBSTITUTE(SUBSTITUTE(TRIM($D1022),"'",""),"İ","I"),"ı","I"),"i","I"),"Ş","S"),"ş","S"),"Ğ","G"),"ğ","G"),"Ü","U"),"ü","U"),"Ö","O"),"ö","O"),"Ç","C"),"ç","C"),".",""),",","")," ",""),"-","")))</f>
        <v/>
      </c>
      <c r="S1022" s="3">
        <f>IF($D1022="","",$C1022&amp;"|"&amp;TEXT($E1022,"0")&amp;"|"&amp;TEXT($F1022,"0")&amp;"|"&amp;$I1022)</f>
        <v/>
      </c>
      <c r="T1022" s="3">
        <f>IF($E1022="",0,SUMPRODUCT((AY_SONU!$O$7:$O$42="Evet")*(AY_SONU!$B$7:$B$42=DATE(YEAR($E1022),MONTH($E1022),1))))</f>
        <v/>
      </c>
    </row>
    <row r="1023">
      <c r="A1023" s="6" t="n"/>
      <c r="B1023" s="113">
        <f>IF($D1023="","","T"&amp;TEXT(ROW()-6,"00000"))</f>
        <v/>
      </c>
      <c r="C1023" s="113">
        <f>IF($D1023="","",IFERROR(INDEX(MUSTERILER!$B$7:$B$106,MATCH($R1023,MUSTERILER!$T$7:$T$106,0)),IFERROR(INDEX(MUSTERILER!$B$7:$B$106,MATCH($D1023,MUSTERILER!$B$7:$B$106,0)),IFERROR(INDEX(MUSTERILER!$B$7:$B$106,MATCH($R1023&amp;"*",MUSTERILER!$T$7:$T$106,0)),"TANIMSIZ MÜŞTERİ"))))</f>
        <v/>
      </c>
      <c r="D1023" s="109" t="n"/>
      <c r="E1023" s="220" t="n"/>
      <c r="F1023" s="221" t="n"/>
      <c r="G1023" s="108" t="n"/>
      <c r="H1023" s="108" t="n"/>
      <c r="I1023" s="109" t="n"/>
      <c r="J1023" s="109" t="n"/>
      <c r="K1023" s="109" t="n"/>
      <c r="L1023" s="226">
        <f>IF($E1023="","",DATE(YEAR($E1023),MONTH($E1023),1))</f>
        <v/>
      </c>
      <c r="M1023" s="113">
        <f>IF($D1023="","",IF($C1023="TANIMSIZ MÜŞTERİ","HATA",IF(OR($E1023="",$F1023&lt;=0,$G1023=""),"EKSİK",IF($E1023&gt;TODAY(),"İLERİ TARİH",IF(COUNTIF($S$7:$S$1506,$S1023)&gt;1,"MÜKERRER?",IF($T1023&gt;0,"KAPALI DÖNEM","UYGUN"))))))</f>
        <v/>
      </c>
      <c r="N1023" s="121">
        <f>IF($C1023="","",IF($C1023="TANIMSIZ MÜŞTERİ","—",INDEX(MUSTERILER!$C$7:$C$106,MATCH($C1023,MUSTERILER!$B$7:$B$106,0))))</f>
        <v/>
      </c>
      <c r="O1023" s="6" t="n"/>
      <c r="P1023" s="6" t="n"/>
      <c r="Q1023" s="3">
        <f>IF($D1023="","",$C1023&amp;"|"&amp;COUNTIFS($C$7:$C1023,$C1023))</f>
        <v/>
      </c>
      <c r="R1023" s="3">
        <f>IF($D1023="","",UPPER(SUBSTITUTE(SUBSTITUTE(SUBSTITUTE(SUBSTITUTE(SUBSTITUTE(SUBSTITUTE(SUBSTITUTE(SUBSTITUTE(SUBSTITUTE(SUBSTITUTE(SUBSTITUTE(SUBSTITUTE(SUBSTITUTE(SUBSTITUTE(SUBSTITUTE(SUBSTITUTE(SUBSTITUTE(SUBSTITUTE(TRIM($D1023),"'",""),"İ","I"),"ı","I"),"i","I"),"Ş","S"),"ş","S"),"Ğ","G"),"ğ","G"),"Ü","U"),"ü","U"),"Ö","O"),"ö","O"),"Ç","C"),"ç","C"),".",""),",","")," ",""),"-","")))</f>
        <v/>
      </c>
      <c r="S1023" s="3">
        <f>IF($D1023="","",$C1023&amp;"|"&amp;TEXT($E1023,"0")&amp;"|"&amp;TEXT($F1023,"0")&amp;"|"&amp;$I1023)</f>
        <v/>
      </c>
      <c r="T1023" s="3">
        <f>IF($E1023="",0,SUMPRODUCT((AY_SONU!$O$7:$O$42="Evet")*(AY_SONU!$B$7:$B$42=DATE(YEAR($E1023),MONTH($E1023),1))))</f>
        <v/>
      </c>
    </row>
    <row r="1024">
      <c r="A1024" s="6" t="n"/>
      <c r="B1024" s="113">
        <f>IF($D1024="","","T"&amp;TEXT(ROW()-6,"00000"))</f>
        <v/>
      </c>
      <c r="C1024" s="113">
        <f>IF($D1024="","",IFERROR(INDEX(MUSTERILER!$B$7:$B$106,MATCH($R1024,MUSTERILER!$T$7:$T$106,0)),IFERROR(INDEX(MUSTERILER!$B$7:$B$106,MATCH($D1024,MUSTERILER!$B$7:$B$106,0)),IFERROR(INDEX(MUSTERILER!$B$7:$B$106,MATCH($R1024&amp;"*",MUSTERILER!$T$7:$T$106,0)),"TANIMSIZ MÜŞTERİ"))))</f>
        <v/>
      </c>
      <c r="D1024" s="109" t="n"/>
      <c r="E1024" s="220" t="n"/>
      <c r="F1024" s="221" t="n"/>
      <c r="G1024" s="108" t="n"/>
      <c r="H1024" s="108" t="n"/>
      <c r="I1024" s="109" t="n"/>
      <c r="J1024" s="109" t="n"/>
      <c r="K1024" s="109" t="n"/>
      <c r="L1024" s="226">
        <f>IF($E1024="","",DATE(YEAR($E1024),MONTH($E1024),1))</f>
        <v/>
      </c>
      <c r="M1024" s="113">
        <f>IF($D1024="","",IF($C1024="TANIMSIZ MÜŞTERİ","HATA",IF(OR($E1024="",$F1024&lt;=0,$G1024=""),"EKSİK",IF($E1024&gt;TODAY(),"İLERİ TARİH",IF(COUNTIF($S$7:$S$1506,$S1024)&gt;1,"MÜKERRER?",IF($T1024&gt;0,"KAPALI DÖNEM","UYGUN"))))))</f>
        <v/>
      </c>
      <c r="N1024" s="121">
        <f>IF($C1024="","",IF($C1024="TANIMSIZ MÜŞTERİ","—",INDEX(MUSTERILER!$C$7:$C$106,MATCH($C1024,MUSTERILER!$B$7:$B$106,0))))</f>
        <v/>
      </c>
      <c r="O1024" s="6" t="n"/>
      <c r="P1024" s="6" t="n"/>
      <c r="Q1024" s="3">
        <f>IF($D1024="","",$C1024&amp;"|"&amp;COUNTIFS($C$7:$C1024,$C1024))</f>
        <v/>
      </c>
      <c r="R1024" s="3">
        <f>IF($D1024="","",UPPER(SUBSTITUTE(SUBSTITUTE(SUBSTITUTE(SUBSTITUTE(SUBSTITUTE(SUBSTITUTE(SUBSTITUTE(SUBSTITUTE(SUBSTITUTE(SUBSTITUTE(SUBSTITUTE(SUBSTITUTE(SUBSTITUTE(SUBSTITUTE(SUBSTITUTE(SUBSTITUTE(SUBSTITUTE(SUBSTITUTE(TRIM($D1024),"'",""),"İ","I"),"ı","I"),"i","I"),"Ş","S"),"ş","S"),"Ğ","G"),"ğ","G"),"Ü","U"),"ü","U"),"Ö","O"),"ö","O"),"Ç","C"),"ç","C"),".",""),",","")," ",""),"-","")))</f>
        <v/>
      </c>
      <c r="S1024" s="3">
        <f>IF($D1024="","",$C1024&amp;"|"&amp;TEXT($E1024,"0")&amp;"|"&amp;TEXT($F1024,"0")&amp;"|"&amp;$I1024)</f>
        <v/>
      </c>
      <c r="T1024" s="3">
        <f>IF($E1024="",0,SUMPRODUCT((AY_SONU!$O$7:$O$42="Evet")*(AY_SONU!$B$7:$B$42=DATE(YEAR($E1024),MONTH($E1024),1))))</f>
        <v/>
      </c>
    </row>
    <row r="1025">
      <c r="A1025" s="6" t="n"/>
      <c r="B1025" s="113">
        <f>IF($D1025="","","T"&amp;TEXT(ROW()-6,"00000"))</f>
        <v/>
      </c>
      <c r="C1025" s="113">
        <f>IF($D1025="","",IFERROR(INDEX(MUSTERILER!$B$7:$B$106,MATCH($R1025,MUSTERILER!$T$7:$T$106,0)),IFERROR(INDEX(MUSTERILER!$B$7:$B$106,MATCH($D1025,MUSTERILER!$B$7:$B$106,0)),IFERROR(INDEX(MUSTERILER!$B$7:$B$106,MATCH($R1025&amp;"*",MUSTERILER!$T$7:$T$106,0)),"TANIMSIZ MÜŞTERİ"))))</f>
        <v/>
      </c>
      <c r="D1025" s="109" t="n"/>
      <c r="E1025" s="220" t="n"/>
      <c r="F1025" s="221" t="n"/>
      <c r="G1025" s="108" t="n"/>
      <c r="H1025" s="108" t="n"/>
      <c r="I1025" s="109" t="n"/>
      <c r="J1025" s="109" t="n"/>
      <c r="K1025" s="109" t="n"/>
      <c r="L1025" s="226">
        <f>IF($E1025="","",DATE(YEAR($E1025),MONTH($E1025),1))</f>
        <v/>
      </c>
      <c r="M1025" s="113">
        <f>IF($D1025="","",IF($C1025="TANIMSIZ MÜŞTERİ","HATA",IF(OR($E1025="",$F1025&lt;=0,$G1025=""),"EKSİK",IF($E1025&gt;TODAY(),"İLERİ TARİH",IF(COUNTIF($S$7:$S$1506,$S1025)&gt;1,"MÜKERRER?",IF($T1025&gt;0,"KAPALI DÖNEM","UYGUN"))))))</f>
        <v/>
      </c>
      <c r="N1025" s="121">
        <f>IF($C1025="","",IF($C1025="TANIMSIZ MÜŞTERİ","—",INDEX(MUSTERILER!$C$7:$C$106,MATCH($C1025,MUSTERILER!$B$7:$B$106,0))))</f>
        <v/>
      </c>
      <c r="O1025" s="6" t="n"/>
      <c r="P1025" s="6" t="n"/>
      <c r="Q1025" s="3">
        <f>IF($D1025="","",$C1025&amp;"|"&amp;COUNTIFS($C$7:$C1025,$C1025))</f>
        <v/>
      </c>
      <c r="R1025" s="3">
        <f>IF($D1025="","",UPPER(SUBSTITUTE(SUBSTITUTE(SUBSTITUTE(SUBSTITUTE(SUBSTITUTE(SUBSTITUTE(SUBSTITUTE(SUBSTITUTE(SUBSTITUTE(SUBSTITUTE(SUBSTITUTE(SUBSTITUTE(SUBSTITUTE(SUBSTITUTE(SUBSTITUTE(SUBSTITUTE(SUBSTITUTE(SUBSTITUTE(TRIM($D1025),"'",""),"İ","I"),"ı","I"),"i","I"),"Ş","S"),"ş","S"),"Ğ","G"),"ğ","G"),"Ü","U"),"ü","U"),"Ö","O"),"ö","O"),"Ç","C"),"ç","C"),".",""),",","")," ",""),"-","")))</f>
        <v/>
      </c>
      <c r="S1025" s="3">
        <f>IF($D1025="","",$C1025&amp;"|"&amp;TEXT($E1025,"0")&amp;"|"&amp;TEXT($F1025,"0")&amp;"|"&amp;$I1025)</f>
        <v/>
      </c>
      <c r="T1025" s="3">
        <f>IF($E1025="",0,SUMPRODUCT((AY_SONU!$O$7:$O$42="Evet")*(AY_SONU!$B$7:$B$42=DATE(YEAR($E1025),MONTH($E1025),1))))</f>
        <v/>
      </c>
    </row>
    <row r="1026">
      <c r="A1026" s="6" t="n"/>
      <c r="B1026" s="113">
        <f>IF($D1026="","","T"&amp;TEXT(ROW()-6,"00000"))</f>
        <v/>
      </c>
      <c r="C1026" s="113">
        <f>IF($D1026="","",IFERROR(INDEX(MUSTERILER!$B$7:$B$106,MATCH($R1026,MUSTERILER!$T$7:$T$106,0)),IFERROR(INDEX(MUSTERILER!$B$7:$B$106,MATCH($D1026,MUSTERILER!$B$7:$B$106,0)),IFERROR(INDEX(MUSTERILER!$B$7:$B$106,MATCH($R1026&amp;"*",MUSTERILER!$T$7:$T$106,0)),"TANIMSIZ MÜŞTERİ"))))</f>
        <v/>
      </c>
      <c r="D1026" s="109" t="n"/>
      <c r="E1026" s="220" t="n"/>
      <c r="F1026" s="221" t="n"/>
      <c r="G1026" s="108" t="n"/>
      <c r="H1026" s="108" t="n"/>
      <c r="I1026" s="109" t="n"/>
      <c r="J1026" s="109" t="n"/>
      <c r="K1026" s="109" t="n"/>
      <c r="L1026" s="226">
        <f>IF($E1026="","",DATE(YEAR($E1026),MONTH($E1026),1))</f>
        <v/>
      </c>
      <c r="M1026" s="113">
        <f>IF($D1026="","",IF($C1026="TANIMSIZ MÜŞTERİ","HATA",IF(OR($E1026="",$F1026&lt;=0,$G1026=""),"EKSİK",IF($E1026&gt;TODAY(),"İLERİ TARİH",IF(COUNTIF($S$7:$S$1506,$S1026)&gt;1,"MÜKERRER?",IF($T1026&gt;0,"KAPALI DÖNEM","UYGUN"))))))</f>
        <v/>
      </c>
      <c r="N1026" s="121">
        <f>IF($C1026="","",IF($C1026="TANIMSIZ MÜŞTERİ","—",INDEX(MUSTERILER!$C$7:$C$106,MATCH($C1026,MUSTERILER!$B$7:$B$106,0))))</f>
        <v/>
      </c>
      <c r="O1026" s="6" t="n"/>
      <c r="P1026" s="6" t="n"/>
      <c r="Q1026" s="3">
        <f>IF($D1026="","",$C1026&amp;"|"&amp;COUNTIFS($C$7:$C1026,$C1026))</f>
        <v/>
      </c>
      <c r="R1026" s="3">
        <f>IF($D1026="","",UPPER(SUBSTITUTE(SUBSTITUTE(SUBSTITUTE(SUBSTITUTE(SUBSTITUTE(SUBSTITUTE(SUBSTITUTE(SUBSTITUTE(SUBSTITUTE(SUBSTITUTE(SUBSTITUTE(SUBSTITUTE(SUBSTITUTE(SUBSTITUTE(SUBSTITUTE(SUBSTITUTE(SUBSTITUTE(SUBSTITUTE(TRIM($D1026),"'",""),"İ","I"),"ı","I"),"i","I"),"Ş","S"),"ş","S"),"Ğ","G"),"ğ","G"),"Ü","U"),"ü","U"),"Ö","O"),"ö","O"),"Ç","C"),"ç","C"),".",""),",","")," ",""),"-","")))</f>
        <v/>
      </c>
      <c r="S1026" s="3">
        <f>IF($D1026="","",$C1026&amp;"|"&amp;TEXT($E1026,"0")&amp;"|"&amp;TEXT($F1026,"0")&amp;"|"&amp;$I1026)</f>
        <v/>
      </c>
      <c r="T1026" s="3">
        <f>IF($E1026="",0,SUMPRODUCT((AY_SONU!$O$7:$O$42="Evet")*(AY_SONU!$B$7:$B$42=DATE(YEAR($E1026),MONTH($E1026),1))))</f>
        <v/>
      </c>
    </row>
    <row r="1027">
      <c r="A1027" s="6" t="n"/>
      <c r="B1027" s="113">
        <f>IF($D1027="","","T"&amp;TEXT(ROW()-6,"00000"))</f>
        <v/>
      </c>
      <c r="C1027" s="113">
        <f>IF($D1027="","",IFERROR(INDEX(MUSTERILER!$B$7:$B$106,MATCH($R1027,MUSTERILER!$T$7:$T$106,0)),IFERROR(INDEX(MUSTERILER!$B$7:$B$106,MATCH($D1027,MUSTERILER!$B$7:$B$106,0)),IFERROR(INDEX(MUSTERILER!$B$7:$B$106,MATCH($R1027&amp;"*",MUSTERILER!$T$7:$T$106,0)),"TANIMSIZ MÜŞTERİ"))))</f>
        <v/>
      </c>
      <c r="D1027" s="109" t="n"/>
      <c r="E1027" s="220" t="n"/>
      <c r="F1027" s="221" t="n"/>
      <c r="G1027" s="108" t="n"/>
      <c r="H1027" s="108" t="n"/>
      <c r="I1027" s="109" t="n"/>
      <c r="J1027" s="109" t="n"/>
      <c r="K1027" s="109" t="n"/>
      <c r="L1027" s="226">
        <f>IF($E1027="","",DATE(YEAR($E1027),MONTH($E1027),1))</f>
        <v/>
      </c>
      <c r="M1027" s="113">
        <f>IF($D1027="","",IF($C1027="TANIMSIZ MÜŞTERİ","HATA",IF(OR($E1027="",$F1027&lt;=0,$G1027=""),"EKSİK",IF($E1027&gt;TODAY(),"İLERİ TARİH",IF(COUNTIF($S$7:$S$1506,$S1027)&gt;1,"MÜKERRER?",IF($T1027&gt;0,"KAPALI DÖNEM","UYGUN"))))))</f>
        <v/>
      </c>
      <c r="N1027" s="121">
        <f>IF($C1027="","",IF($C1027="TANIMSIZ MÜŞTERİ","—",INDEX(MUSTERILER!$C$7:$C$106,MATCH($C1027,MUSTERILER!$B$7:$B$106,0))))</f>
        <v/>
      </c>
      <c r="O1027" s="6" t="n"/>
      <c r="P1027" s="6" t="n"/>
      <c r="Q1027" s="3">
        <f>IF($D1027="","",$C1027&amp;"|"&amp;COUNTIFS($C$7:$C1027,$C1027))</f>
        <v/>
      </c>
      <c r="R1027" s="3">
        <f>IF($D1027="","",UPPER(SUBSTITUTE(SUBSTITUTE(SUBSTITUTE(SUBSTITUTE(SUBSTITUTE(SUBSTITUTE(SUBSTITUTE(SUBSTITUTE(SUBSTITUTE(SUBSTITUTE(SUBSTITUTE(SUBSTITUTE(SUBSTITUTE(SUBSTITUTE(SUBSTITUTE(SUBSTITUTE(SUBSTITUTE(SUBSTITUTE(TRIM($D1027),"'",""),"İ","I"),"ı","I"),"i","I"),"Ş","S"),"ş","S"),"Ğ","G"),"ğ","G"),"Ü","U"),"ü","U"),"Ö","O"),"ö","O"),"Ç","C"),"ç","C"),".",""),",","")," ",""),"-","")))</f>
        <v/>
      </c>
      <c r="S1027" s="3">
        <f>IF($D1027="","",$C1027&amp;"|"&amp;TEXT($E1027,"0")&amp;"|"&amp;TEXT($F1027,"0")&amp;"|"&amp;$I1027)</f>
        <v/>
      </c>
      <c r="T1027" s="3">
        <f>IF($E1027="",0,SUMPRODUCT((AY_SONU!$O$7:$O$42="Evet")*(AY_SONU!$B$7:$B$42=DATE(YEAR($E1027),MONTH($E1027),1))))</f>
        <v/>
      </c>
    </row>
    <row r="1028">
      <c r="A1028" s="6" t="n"/>
      <c r="B1028" s="113">
        <f>IF($D1028="","","T"&amp;TEXT(ROW()-6,"00000"))</f>
        <v/>
      </c>
      <c r="C1028" s="113">
        <f>IF($D1028="","",IFERROR(INDEX(MUSTERILER!$B$7:$B$106,MATCH($R1028,MUSTERILER!$T$7:$T$106,0)),IFERROR(INDEX(MUSTERILER!$B$7:$B$106,MATCH($D1028,MUSTERILER!$B$7:$B$106,0)),IFERROR(INDEX(MUSTERILER!$B$7:$B$106,MATCH($R1028&amp;"*",MUSTERILER!$T$7:$T$106,0)),"TANIMSIZ MÜŞTERİ"))))</f>
        <v/>
      </c>
      <c r="D1028" s="109" t="n"/>
      <c r="E1028" s="220" t="n"/>
      <c r="F1028" s="221" t="n"/>
      <c r="G1028" s="108" t="n"/>
      <c r="H1028" s="108" t="n"/>
      <c r="I1028" s="109" t="n"/>
      <c r="J1028" s="109" t="n"/>
      <c r="K1028" s="109" t="n"/>
      <c r="L1028" s="226">
        <f>IF($E1028="","",DATE(YEAR($E1028),MONTH($E1028),1))</f>
        <v/>
      </c>
      <c r="M1028" s="113">
        <f>IF($D1028="","",IF($C1028="TANIMSIZ MÜŞTERİ","HATA",IF(OR($E1028="",$F1028&lt;=0,$G1028=""),"EKSİK",IF($E1028&gt;TODAY(),"İLERİ TARİH",IF(COUNTIF($S$7:$S$1506,$S1028)&gt;1,"MÜKERRER?",IF($T1028&gt;0,"KAPALI DÖNEM","UYGUN"))))))</f>
        <v/>
      </c>
      <c r="N1028" s="121">
        <f>IF($C1028="","",IF($C1028="TANIMSIZ MÜŞTERİ","—",INDEX(MUSTERILER!$C$7:$C$106,MATCH($C1028,MUSTERILER!$B$7:$B$106,0))))</f>
        <v/>
      </c>
      <c r="O1028" s="6" t="n"/>
      <c r="P1028" s="6" t="n"/>
      <c r="Q1028" s="3">
        <f>IF($D1028="","",$C1028&amp;"|"&amp;COUNTIFS($C$7:$C1028,$C1028))</f>
        <v/>
      </c>
      <c r="R1028" s="3">
        <f>IF($D1028="","",UPPER(SUBSTITUTE(SUBSTITUTE(SUBSTITUTE(SUBSTITUTE(SUBSTITUTE(SUBSTITUTE(SUBSTITUTE(SUBSTITUTE(SUBSTITUTE(SUBSTITUTE(SUBSTITUTE(SUBSTITUTE(SUBSTITUTE(SUBSTITUTE(SUBSTITUTE(SUBSTITUTE(SUBSTITUTE(SUBSTITUTE(TRIM($D1028),"'",""),"İ","I"),"ı","I"),"i","I"),"Ş","S"),"ş","S"),"Ğ","G"),"ğ","G"),"Ü","U"),"ü","U"),"Ö","O"),"ö","O"),"Ç","C"),"ç","C"),".",""),",","")," ",""),"-","")))</f>
        <v/>
      </c>
      <c r="S1028" s="3">
        <f>IF($D1028="","",$C1028&amp;"|"&amp;TEXT($E1028,"0")&amp;"|"&amp;TEXT($F1028,"0")&amp;"|"&amp;$I1028)</f>
        <v/>
      </c>
      <c r="T1028" s="3">
        <f>IF($E1028="",0,SUMPRODUCT((AY_SONU!$O$7:$O$42="Evet")*(AY_SONU!$B$7:$B$42=DATE(YEAR($E1028),MONTH($E1028),1))))</f>
        <v/>
      </c>
    </row>
    <row r="1029">
      <c r="A1029" s="6" t="n"/>
      <c r="B1029" s="113">
        <f>IF($D1029="","","T"&amp;TEXT(ROW()-6,"00000"))</f>
        <v/>
      </c>
      <c r="C1029" s="113">
        <f>IF($D1029="","",IFERROR(INDEX(MUSTERILER!$B$7:$B$106,MATCH($R1029,MUSTERILER!$T$7:$T$106,0)),IFERROR(INDEX(MUSTERILER!$B$7:$B$106,MATCH($D1029,MUSTERILER!$B$7:$B$106,0)),IFERROR(INDEX(MUSTERILER!$B$7:$B$106,MATCH($R1029&amp;"*",MUSTERILER!$T$7:$T$106,0)),"TANIMSIZ MÜŞTERİ"))))</f>
        <v/>
      </c>
      <c r="D1029" s="109" t="n"/>
      <c r="E1029" s="220" t="n"/>
      <c r="F1029" s="221" t="n"/>
      <c r="G1029" s="108" t="n"/>
      <c r="H1029" s="108" t="n"/>
      <c r="I1029" s="109" t="n"/>
      <c r="J1029" s="109" t="n"/>
      <c r="K1029" s="109" t="n"/>
      <c r="L1029" s="226">
        <f>IF($E1029="","",DATE(YEAR($E1029),MONTH($E1029),1))</f>
        <v/>
      </c>
      <c r="M1029" s="113">
        <f>IF($D1029="","",IF($C1029="TANIMSIZ MÜŞTERİ","HATA",IF(OR($E1029="",$F1029&lt;=0,$G1029=""),"EKSİK",IF($E1029&gt;TODAY(),"İLERİ TARİH",IF(COUNTIF($S$7:$S$1506,$S1029)&gt;1,"MÜKERRER?",IF($T1029&gt;0,"KAPALI DÖNEM","UYGUN"))))))</f>
        <v/>
      </c>
      <c r="N1029" s="121">
        <f>IF($C1029="","",IF($C1029="TANIMSIZ MÜŞTERİ","—",INDEX(MUSTERILER!$C$7:$C$106,MATCH($C1029,MUSTERILER!$B$7:$B$106,0))))</f>
        <v/>
      </c>
      <c r="O1029" s="6" t="n"/>
      <c r="P1029" s="6" t="n"/>
      <c r="Q1029" s="3">
        <f>IF($D1029="","",$C1029&amp;"|"&amp;COUNTIFS($C$7:$C1029,$C1029))</f>
        <v/>
      </c>
      <c r="R1029" s="3">
        <f>IF($D1029="","",UPPER(SUBSTITUTE(SUBSTITUTE(SUBSTITUTE(SUBSTITUTE(SUBSTITUTE(SUBSTITUTE(SUBSTITUTE(SUBSTITUTE(SUBSTITUTE(SUBSTITUTE(SUBSTITUTE(SUBSTITUTE(SUBSTITUTE(SUBSTITUTE(SUBSTITUTE(SUBSTITUTE(SUBSTITUTE(SUBSTITUTE(TRIM($D1029),"'",""),"İ","I"),"ı","I"),"i","I"),"Ş","S"),"ş","S"),"Ğ","G"),"ğ","G"),"Ü","U"),"ü","U"),"Ö","O"),"ö","O"),"Ç","C"),"ç","C"),".",""),",","")," ",""),"-","")))</f>
        <v/>
      </c>
      <c r="S1029" s="3">
        <f>IF($D1029="","",$C1029&amp;"|"&amp;TEXT($E1029,"0")&amp;"|"&amp;TEXT($F1029,"0")&amp;"|"&amp;$I1029)</f>
        <v/>
      </c>
      <c r="T1029" s="3">
        <f>IF($E1029="",0,SUMPRODUCT((AY_SONU!$O$7:$O$42="Evet")*(AY_SONU!$B$7:$B$42=DATE(YEAR($E1029),MONTH($E1029),1))))</f>
        <v/>
      </c>
    </row>
    <row r="1030">
      <c r="A1030" s="6" t="n"/>
      <c r="B1030" s="113">
        <f>IF($D1030="","","T"&amp;TEXT(ROW()-6,"00000"))</f>
        <v/>
      </c>
      <c r="C1030" s="113">
        <f>IF($D1030="","",IFERROR(INDEX(MUSTERILER!$B$7:$B$106,MATCH($R1030,MUSTERILER!$T$7:$T$106,0)),IFERROR(INDEX(MUSTERILER!$B$7:$B$106,MATCH($D1030,MUSTERILER!$B$7:$B$106,0)),IFERROR(INDEX(MUSTERILER!$B$7:$B$106,MATCH($R1030&amp;"*",MUSTERILER!$T$7:$T$106,0)),"TANIMSIZ MÜŞTERİ"))))</f>
        <v/>
      </c>
      <c r="D1030" s="109" t="n"/>
      <c r="E1030" s="220" t="n"/>
      <c r="F1030" s="221" t="n"/>
      <c r="G1030" s="108" t="n"/>
      <c r="H1030" s="108" t="n"/>
      <c r="I1030" s="109" t="n"/>
      <c r="J1030" s="109" t="n"/>
      <c r="K1030" s="109" t="n"/>
      <c r="L1030" s="226">
        <f>IF($E1030="","",DATE(YEAR($E1030),MONTH($E1030),1))</f>
        <v/>
      </c>
      <c r="M1030" s="113">
        <f>IF($D1030="","",IF($C1030="TANIMSIZ MÜŞTERİ","HATA",IF(OR($E1030="",$F1030&lt;=0,$G1030=""),"EKSİK",IF($E1030&gt;TODAY(),"İLERİ TARİH",IF(COUNTIF($S$7:$S$1506,$S1030)&gt;1,"MÜKERRER?",IF($T1030&gt;0,"KAPALI DÖNEM","UYGUN"))))))</f>
        <v/>
      </c>
      <c r="N1030" s="121">
        <f>IF($C1030="","",IF($C1030="TANIMSIZ MÜŞTERİ","—",INDEX(MUSTERILER!$C$7:$C$106,MATCH($C1030,MUSTERILER!$B$7:$B$106,0))))</f>
        <v/>
      </c>
      <c r="O1030" s="6" t="n"/>
      <c r="P1030" s="6" t="n"/>
      <c r="Q1030" s="3">
        <f>IF($D1030="","",$C1030&amp;"|"&amp;COUNTIFS($C$7:$C1030,$C1030))</f>
        <v/>
      </c>
      <c r="R1030" s="3">
        <f>IF($D1030="","",UPPER(SUBSTITUTE(SUBSTITUTE(SUBSTITUTE(SUBSTITUTE(SUBSTITUTE(SUBSTITUTE(SUBSTITUTE(SUBSTITUTE(SUBSTITUTE(SUBSTITUTE(SUBSTITUTE(SUBSTITUTE(SUBSTITUTE(SUBSTITUTE(SUBSTITUTE(SUBSTITUTE(SUBSTITUTE(SUBSTITUTE(TRIM($D1030),"'",""),"İ","I"),"ı","I"),"i","I"),"Ş","S"),"ş","S"),"Ğ","G"),"ğ","G"),"Ü","U"),"ü","U"),"Ö","O"),"ö","O"),"Ç","C"),"ç","C"),".",""),",","")," ",""),"-","")))</f>
        <v/>
      </c>
      <c r="S1030" s="3">
        <f>IF($D1030="","",$C1030&amp;"|"&amp;TEXT($E1030,"0")&amp;"|"&amp;TEXT($F1030,"0")&amp;"|"&amp;$I1030)</f>
        <v/>
      </c>
      <c r="T1030" s="3">
        <f>IF($E1030="",0,SUMPRODUCT((AY_SONU!$O$7:$O$42="Evet")*(AY_SONU!$B$7:$B$42=DATE(YEAR($E1030),MONTH($E1030),1))))</f>
        <v/>
      </c>
    </row>
    <row r="1031">
      <c r="A1031" s="6" t="n"/>
      <c r="B1031" s="113">
        <f>IF($D1031="","","T"&amp;TEXT(ROW()-6,"00000"))</f>
        <v/>
      </c>
      <c r="C1031" s="113">
        <f>IF($D1031="","",IFERROR(INDEX(MUSTERILER!$B$7:$B$106,MATCH($R1031,MUSTERILER!$T$7:$T$106,0)),IFERROR(INDEX(MUSTERILER!$B$7:$B$106,MATCH($D1031,MUSTERILER!$B$7:$B$106,0)),IFERROR(INDEX(MUSTERILER!$B$7:$B$106,MATCH($R1031&amp;"*",MUSTERILER!$T$7:$T$106,0)),"TANIMSIZ MÜŞTERİ"))))</f>
        <v/>
      </c>
      <c r="D1031" s="109" t="n"/>
      <c r="E1031" s="220" t="n"/>
      <c r="F1031" s="221" t="n"/>
      <c r="G1031" s="108" t="n"/>
      <c r="H1031" s="108" t="n"/>
      <c r="I1031" s="109" t="n"/>
      <c r="J1031" s="109" t="n"/>
      <c r="K1031" s="109" t="n"/>
      <c r="L1031" s="226">
        <f>IF($E1031="","",DATE(YEAR($E1031),MONTH($E1031),1))</f>
        <v/>
      </c>
      <c r="M1031" s="113">
        <f>IF($D1031="","",IF($C1031="TANIMSIZ MÜŞTERİ","HATA",IF(OR($E1031="",$F1031&lt;=0,$G1031=""),"EKSİK",IF($E1031&gt;TODAY(),"İLERİ TARİH",IF(COUNTIF($S$7:$S$1506,$S1031)&gt;1,"MÜKERRER?",IF($T1031&gt;0,"KAPALI DÖNEM","UYGUN"))))))</f>
        <v/>
      </c>
      <c r="N1031" s="121">
        <f>IF($C1031="","",IF($C1031="TANIMSIZ MÜŞTERİ","—",INDEX(MUSTERILER!$C$7:$C$106,MATCH($C1031,MUSTERILER!$B$7:$B$106,0))))</f>
        <v/>
      </c>
      <c r="O1031" s="6" t="n"/>
      <c r="P1031" s="6" t="n"/>
      <c r="Q1031" s="3">
        <f>IF($D1031="","",$C1031&amp;"|"&amp;COUNTIFS($C$7:$C1031,$C1031))</f>
        <v/>
      </c>
      <c r="R1031" s="3">
        <f>IF($D1031="","",UPPER(SUBSTITUTE(SUBSTITUTE(SUBSTITUTE(SUBSTITUTE(SUBSTITUTE(SUBSTITUTE(SUBSTITUTE(SUBSTITUTE(SUBSTITUTE(SUBSTITUTE(SUBSTITUTE(SUBSTITUTE(SUBSTITUTE(SUBSTITUTE(SUBSTITUTE(SUBSTITUTE(SUBSTITUTE(SUBSTITUTE(TRIM($D1031),"'",""),"İ","I"),"ı","I"),"i","I"),"Ş","S"),"ş","S"),"Ğ","G"),"ğ","G"),"Ü","U"),"ü","U"),"Ö","O"),"ö","O"),"Ç","C"),"ç","C"),".",""),",","")," ",""),"-","")))</f>
        <v/>
      </c>
      <c r="S1031" s="3">
        <f>IF($D1031="","",$C1031&amp;"|"&amp;TEXT($E1031,"0")&amp;"|"&amp;TEXT($F1031,"0")&amp;"|"&amp;$I1031)</f>
        <v/>
      </c>
      <c r="T1031" s="3">
        <f>IF($E1031="",0,SUMPRODUCT((AY_SONU!$O$7:$O$42="Evet")*(AY_SONU!$B$7:$B$42=DATE(YEAR($E1031),MONTH($E1031),1))))</f>
        <v/>
      </c>
    </row>
    <row r="1032">
      <c r="A1032" s="6" t="n"/>
      <c r="B1032" s="113">
        <f>IF($D1032="","","T"&amp;TEXT(ROW()-6,"00000"))</f>
        <v/>
      </c>
      <c r="C1032" s="113">
        <f>IF($D1032="","",IFERROR(INDEX(MUSTERILER!$B$7:$B$106,MATCH($R1032,MUSTERILER!$T$7:$T$106,0)),IFERROR(INDEX(MUSTERILER!$B$7:$B$106,MATCH($D1032,MUSTERILER!$B$7:$B$106,0)),IFERROR(INDEX(MUSTERILER!$B$7:$B$106,MATCH($R1032&amp;"*",MUSTERILER!$T$7:$T$106,0)),"TANIMSIZ MÜŞTERİ"))))</f>
        <v/>
      </c>
      <c r="D1032" s="109" t="n"/>
      <c r="E1032" s="220" t="n"/>
      <c r="F1032" s="221" t="n"/>
      <c r="G1032" s="108" t="n"/>
      <c r="H1032" s="108" t="n"/>
      <c r="I1032" s="109" t="n"/>
      <c r="J1032" s="109" t="n"/>
      <c r="K1032" s="109" t="n"/>
      <c r="L1032" s="226">
        <f>IF($E1032="","",DATE(YEAR($E1032),MONTH($E1032),1))</f>
        <v/>
      </c>
      <c r="M1032" s="113">
        <f>IF($D1032="","",IF($C1032="TANIMSIZ MÜŞTERİ","HATA",IF(OR($E1032="",$F1032&lt;=0,$G1032=""),"EKSİK",IF($E1032&gt;TODAY(),"İLERİ TARİH",IF(COUNTIF($S$7:$S$1506,$S1032)&gt;1,"MÜKERRER?",IF($T1032&gt;0,"KAPALI DÖNEM","UYGUN"))))))</f>
        <v/>
      </c>
      <c r="N1032" s="121">
        <f>IF($C1032="","",IF($C1032="TANIMSIZ MÜŞTERİ","—",INDEX(MUSTERILER!$C$7:$C$106,MATCH($C1032,MUSTERILER!$B$7:$B$106,0))))</f>
        <v/>
      </c>
      <c r="O1032" s="6" t="n"/>
      <c r="P1032" s="6" t="n"/>
      <c r="Q1032" s="3">
        <f>IF($D1032="","",$C1032&amp;"|"&amp;COUNTIFS($C$7:$C1032,$C1032))</f>
        <v/>
      </c>
      <c r="R1032" s="3">
        <f>IF($D1032="","",UPPER(SUBSTITUTE(SUBSTITUTE(SUBSTITUTE(SUBSTITUTE(SUBSTITUTE(SUBSTITUTE(SUBSTITUTE(SUBSTITUTE(SUBSTITUTE(SUBSTITUTE(SUBSTITUTE(SUBSTITUTE(SUBSTITUTE(SUBSTITUTE(SUBSTITUTE(SUBSTITUTE(SUBSTITUTE(SUBSTITUTE(TRIM($D1032),"'",""),"İ","I"),"ı","I"),"i","I"),"Ş","S"),"ş","S"),"Ğ","G"),"ğ","G"),"Ü","U"),"ü","U"),"Ö","O"),"ö","O"),"Ç","C"),"ç","C"),".",""),",","")," ",""),"-","")))</f>
        <v/>
      </c>
      <c r="S1032" s="3">
        <f>IF($D1032="","",$C1032&amp;"|"&amp;TEXT($E1032,"0")&amp;"|"&amp;TEXT($F1032,"0")&amp;"|"&amp;$I1032)</f>
        <v/>
      </c>
      <c r="T1032" s="3">
        <f>IF($E1032="",0,SUMPRODUCT((AY_SONU!$O$7:$O$42="Evet")*(AY_SONU!$B$7:$B$42=DATE(YEAR($E1032),MONTH($E1032),1))))</f>
        <v/>
      </c>
    </row>
    <row r="1033">
      <c r="A1033" s="6" t="n"/>
      <c r="B1033" s="113">
        <f>IF($D1033="","","T"&amp;TEXT(ROW()-6,"00000"))</f>
        <v/>
      </c>
      <c r="C1033" s="113">
        <f>IF($D1033="","",IFERROR(INDEX(MUSTERILER!$B$7:$B$106,MATCH($R1033,MUSTERILER!$T$7:$T$106,0)),IFERROR(INDEX(MUSTERILER!$B$7:$B$106,MATCH($D1033,MUSTERILER!$B$7:$B$106,0)),IFERROR(INDEX(MUSTERILER!$B$7:$B$106,MATCH($R1033&amp;"*",MUSTERILER!$T$7:$T$106,0)),"TANIMSIZ MÜŞTERİ"))))</f>
        <v/>
      </c>
      <c r="D1033" s="109" t="n"/>
      <c r="E1033" s="220" t="n"/>
      <c r="F1033" s="221" t="n"/>
      <c r="G1033" s="108" t="n"/>
      <c r="H1033" s="108" t="n"/>
      <c r="I1033" s="109" t="n"/>
      <c r="J1033" s="109" t="n"/>
      <c r="K1033" s="109" t="n"/>
      <c r="L1033" s="226">
        <f>IF($E1033="","",DATE(YEAR($E1033),MONTH($E1033),1))</f>
        <v/>
      </c>
      <c r="M1033" s="113">
        <f>IF($D1033="","",IF($C1033="TANIMSIZ MÜŞTERİ","HATA",IF(OR($E1033="",$F1033&lt;=0,$G1033=""),"EKSİK",IF($E1033&gt;TODAY(),"İLERİ TARİH",IF(COUNTIF($S$7:$S$1506,$S1033)&gt;1,"MÜKERRER?",IF($T1033&gt;0,"KAPALI DÖNEM","UYGUN"))))))</f>
        <v/>
      </c>
      <c r="N1033" s="121">
        <f>IF($C1033="","",IF($C1033="TANIMSIZ MÜŞTERİ","—",INDEX(MUSTERILER!$C$7:$C$106,MATCH($C1033,MUSTERILER!$B$7:$B$106,0))))</f>
        <v/>
      </c>
      <c r="O1033" s="6" t="n"/>
      <c r="P1033" s="6" t="n"/>
      <c r="Q1033" s="3">
        <f>IF($D1033="","",$C1033&amp;"|"&amp;COUNTIFS($C$7:$C1033,$C1033))</f>
        <v/>
      </c>
      <c r="R1033" s="3">
        <f>IF($D1033="","",UPPER(SUBSTITUTE(SUBSTITUTE(SUBSTITUTE(SUBSTITUTE(SUBSTITUTE(SUBSTITUTE(SUBSTITUTE(SUBSTITUTE(SUBSTITUTE(SUBSTITUTE(SUBSTITUTE(SUBSTITUTE(SUBSTITUTE(SUBSTITUTE(SUBSTITUTE(SUBSTITUTE(SUBSTITUTE(SUBSTITUTE(TRIM($D1033),"'",""),"İ","I"),"ı","I"),"i","I"),"Ş","S"),"ş","S"),"Ğ","G"),"ğ","G"),"Ü","U"),"ü","U"),"Ö","O"),"ö","O"),"Ç","C"),"ç","C"),".",""),",","")," ",""),"-","")))</f>
        <v/>
      </c>
      <c r="S1033" s="3">
        <f>IF($D1033="","",$C1033&amp;"|"&amp;TEXT($E1033,"0")&amp;"|"&amp;TEXT($F1033,"0")&amp;"|"&amp;$I1033)</f>
        <v/>
      </c>
      <c r="T1033" s="3">
        <f>IF($E1033="",0,SUMPRODUCT((AY_SONU!$O$7:$O$42="Evet")*(AY_SONU!$B$7:$B$42=DATE(YEAR($E1033),MONTH($E1033),1))))</f>
        <v/>
      </c>
    </row>
    <row r="1034">
      <c r="A1034" s="6" t="n"/>
      <c r="B1034" s="113">
        <f>IF($D1034="","","T"&amp;TEXT(ROW()-6,"00000"))</f>
        <v/>
      </c>
      <c r="C1034" s="113">
        <f>IF($D1034="","",IFERROR(INDEX(MUSTERILER!$B$7:$B$106,MATCH($R1034,MUSTERILER!$T$7:$T$106,0)),IFERROR(INDEX(MUSTERILER!$B$7:$B$106,MATCH($D1034,MUSTERILER!$B$7:$B$106,0)),IFERROR(INDEX(MUSTERILER!$B$7:$B$106,MATCH($R1034&amp;"*",MUSTERILER!$T$7:$T$106,0)),"TANIMSIZ MÜŞTERİ"))))</f>
        <v/>
      </c>
      <c r="D1034" s="109" t="n"/>
      <c r="E1034" s="220" t="n"/>
      <c r="F1034" s="221" t="n"/>
      <c r="G1034" s="108" t="n"/>
      <c r="H1034" s="108" t="n"/>
      <c r="I1034" s="109" t="n"/>
      <c r="J1034" s="109" t="n"/>
      <c r="K1034" s="109" t="n"/>
      <c r="L1034" s="226">
        <f>IF($E1034="","",DATE(YEAR($E1034),MONTH($E1034),1))</f>
        <v/>
      </c>
      <c r="M1034" s="113">
        <f>IF($D1034="","",IF($C1034="TANIMSIZ MÜŞTERİ","HATA",IF(OR($E1034="",$F1034&lt;=0,$G1034=""),"EKSİK",IF($E1034&gt;TODAY(),"İLERİ TARİH",IF(COUNTIF($S$7:$S$1506,$S1034)&gt;1,"MÜKERRER?",IF($T1034&gt;0,"KAPALI DÖNEM","UYGUN"))))))</f>
        <v/>
      </c>
      <c r="N1034" s="121">
        <f>IF($C1034="","",IF($C1034="TANIMSIZ MÜŞTERİ","—",INDEX(MUSTERILER!$C$7:$C$106,MATCH($C1034,MUSTERILER!$B$7:$B$106,0))))</f>
        <v/>
      </c>
      <c r="O1034" s="6" t="n"/>
      <c r="P1034" s="6" t="n"/>
      <c r="Q1034" s="3">
        <f>IF($D1034="","",$C1034&amp;"|"&amp;COUNTIFS($C$7:$C1034,$C1034))</f>
        <v/>
      </c>
      <c r="R1034" s="3">
        <f>IF($D1034="","",UPPER(SUBSTITUTE(SUBSTITUTE(SUBSTITUTE(SUBSTITUTE(SUBSTITUTE(SUBSTITUTE(SUBSTITUTE(SUBSTITUTE(SUBSTITUTE(SUBSTITUTE(SUBSTITUTE(SUBSTITUTE(SUBSTITUTE(SUBSTITUTE(SUBSTITUTE(SUBSTITUTE(SUBSTITUTE(SUBSTITUTE(TRIM($D1034),"'",""),"İ","I"),"ı","I"),"i","I"),"Ş","S"),"ş","S"),"Ğ","G"),"ğ","G"),"Ü","U"),"ü","U"),"Ö","O"),"ö","O"),"Ç","C"),"ç","C"),".",""),",","")," ",""),"-","")))</f>
        <v/>
      </c>
      <c r="S1034" s="3">
        <f>IF($D1034="","",$C1034&amp;"|"&amp;TEXT($E1034,"0")&amp;"|"&amp;TEXT($F1034,"0")&amp;"|"&amp;$I1034)</f>
        <v/>
      </c>
      <c r="T1034" s="3">
        <f>IF($E1034="",0,SUMPRODUCT((AY_SONU!$O$7:$O$42="Evet")*(AY_SONU!$B$7:$B$42=DATE(YEAR($E1034),MONTH($E1034),1))))</f>
        <v/>
      </c>
    </row>
    <row r="1035">
      <c r="A1035" s="6" t="n"/>
      <c r="B1035" s="113">
        <f>IF($D1035="","","T"&amp;TEXT(ROW()-6,"00000"))</f>
        <v/>
      </c>
      <c r="C1035" s="113">
        <f>IF($D1035="","",IFERROR(INDEX(MUSTERILER!$B$7:$B$106,MATCH($R1035,MUSTERILER!$T$7:$T$106,0)),IFERROR(INDEX(MUSTERILER!$B$7:$B$106,MATCH($D1035,MUSTERILER!$B$7:$B$106,0)),IFERROR(INDEX(MUSTERILER!$B$7:$B$106,MATCH($R1035&amp;"*",MUSTERILER!$T$7:$T$106,0)),"TANIMSIZ MÜŞTERİ"))))</f>
        <v/>
      </c>
      <c r="D1035" s="109" t="n"/>
      <c r="E1035" s="220" t="n"/>
      <c r="F1035" s="221" t="n"/>
      <c r="G1035" s="108" t="n"/>
      <c r="H1035" s="108" t="n"/>
      <c r="I1035" s="109" t="n"/>
      <c r="J1035" s="109" t="n"/>
      <c r="K1035" s="109" t="n"/>
      <c r="L1035" s="226">
        <f>IF($E1035="","",DATE(YEAR($E1035),MONTH($E1035),1))</f>
        <v/>
      </c>
      <c r="M1035" s="113">
        <f>IF($D1035="","",IF($C1035="TANIMSIZ MÜŞTERİ","HATA",IF(OR($E1035="",$F1035&lt;=0,$G1035=""),"EKSİK",IF($E1035&gt;TODAY(),"İLERİ TARİH",IF(COUNTIF($S$7:$S$1506,$S1035)&gt;1,"MÜKERRER?",IF($T1035&gt;0,"KAPALI DÖNEM","UYGUN"))))))</f>
        <v/>
      </c>
      <c r="N1035" s="121">
        <f>IF($C1035="","",IF($C1035="TANIMSIZ MÜŞTERİ","—",INDEX(MUSTERILER!$C$7:$C$106,MATCH($C1035,MUSTERILER!$B$7:$B$106,0))))</f>
        <v/>
      </c>
      <c r="O1035" s="6" t="n"/>
      <c r="P1035" s="6" t="n"/>
      <c r="Q1035" s="3">
        <f>IF($D1035="","",$C1035&amp;"|"&amp;COUNTIFS($C$7:$C1035,$C1035))</f>
        <v/>
      </c>
      <c r="R1035" s="3">
        <f>IF($D1035="","",UPPER(SUBSTITUTE(SUBSTITUTE(SUBSTITUTE(SUBSTITUTE(SUBSTITUTE(SUBSTITUTE(SUBSTITUTE(SUBSTITUTE(SUBSTITUTE(SUBSTITUTE(SUBSTITUTE(SUBSTITUTE(SUBSTITUTE(SUBSTITUTE(SUBSTITUTE(SUBSTITUTE(SUBSTITUTE(SUBSTITUTE(TRIM($D1035),"'",""),"İ","I"),"ı","I"),"i","I"),"Ş","S"),"ş","S"),"Ğ","G"),"ğ","G"),"Ü","U"),"ü","U"),"Ö","O"),"ö","O"),"Ç","C"),"ç","C"),".",""),",","")," ",""),"-","")))</f>
        <v/>
      </c>
      <c r="S1035" s="3">
        <f>IF($D1035="","",$C1035&amp;"|"&amp;TEXT($E1035,"0")&amp;"|"&amp;TEXT($F1035,"0")&amp;"|"&amp;$I1035)</f>
        <v/>
      </c>
      <c r="T1035" s="3">
        <f>IF($E1035="",0,SUMPRODUCT((AY_SONU!$O$7:$O$42="Evet")*(AY_SONU!$B$7:$B$42=DATE(YEAR($E1035),MONTH($E1035),1))))</f>
        <v/>
      </c>
    </row>
    <row r="1036">
      <c r="A1036" s="6" t="n"/>
      <c r="B1036" s="113">
        <f>IF($D1036="","","T"&amp;TEXT(ROW()-6,"00000"))</f>
        <v/>
      </c>
      <c r="C1036" s="113">
        <f>IF($D1036="","",IFERROR(INDEX(MUSTERILER!$B$7:$B$106,MATCH($R1036,MUSTERILER!$T$7:$T$106,0)),IFERROR(INDEX(MUSTERILER!$B$7:$B$106,MATCH($D1036,MUSTERILER!$B$7:$B$106,0)),IFERROR(INDEX(MUSTERILER!$B$7:$B$106,MATCH($R1036&amp;"*",MUSTERILER!$T$7:$T$106,0)),"TANIMSIZ MÜŞTERİ"))))</f>
        <v/>
      </c>
      <c r="D1036" s="109" t="n"/>
      <c r="E1036" s="220" t="n"/>
      <c r="F1036" s="221" t="n"/>
      <c r="G1036" s="108" t="n"/>
      <c r="H1036" s="108" t="n"/>
      <c r="I1036" s="109" t="n"/>
      <c r="J1036" s="109" t="n"/>
      <c r="K1036" s="109" t="n"/>
      <c r="L1036" s="226">
        <f>IF($E1036="","",DATE(YEAR($E1036),MONTH($E1036),1))</f>
        <v/>
      </c>
      <c r="M1036" s="113">
        <f>IF($D1036="","",IF($C1036="TANIMSIZ MÜŞTERİ","HATA",IF(OR($E1036="",$F1036&lt;=0,$G1036=""),"EKSİK",IF($E1036&gt;TODAY(),"İLERİ TARİH",IF(COUNTIF($S$7:$S$1506,$S1036)&gt;1,"MÜKERRER?",IF($T1036&gt;0,"KAPALI DÖNEM","UYGUN"))))))</f>
        <v/>
      </c>
      <c r="N1036" s="121">
        <f>IF($C1036="","",IF($C1036="TANIMSIZ MÜŞTERİ","—",INDEX(MUSTERILER!$C$7:$C$106,MATCH($C1036,MUSTERILER!$B$7:$B$106,0))))</f>
        <v/>
      </c>
      <c r="O1036" s="6" t="n"/>
      <c r="P1036" s="6" t="n"/>
      <c r="Q1036" s="3">
        <f>IF($D1036="","",$C1036&amp;"|"&amp;COUNTIFS($C$7:$C1036,$C1036))</f>
        <v/>
      </c>
      <c r="R1036" s="3">
        <f>IF($D1036="","",UPPER(SUBSTITUTE(SUBSTITUTE(SUBSTITUTE(SUBSTITUTE(SUBSTITUTE(SUBSTITUTE(SUBSTITUTE(SUBSTITUTE(SUBSTITUTE(SUBSTITUTE(SUBSTITUTE(SUBSTITUTE(SUBSTITUTE(SUBSTITUTE(SUBSTITUTE(SUBSTITUTE(SUBSTITUTE(SUBSTITUTE(TRIM($D1036),"'",""),"İ","I"),"ı","I"),"i","I"),"Ş","S"),"ş","S"),"Ğ","G"),"ğ","G"),"Ü","U"),"ü","U"),"Ö","O"),"ö","O"),"Ç","C"),"ç","C"),".",""),",","")," ",""),"-","")))</f>
        <v/>
      </c>
      <c r="S1036" s="3">
        <f>IF($D1036="","",$C1036&amp;"|"&amp;TEXT($E1036,"0")&amp;"|"&amp;TEXT($F1036,"0")&amp;"|"&amp;$I1036)</f>
        <v/>
      </c>
      <c r="T1036" s="3">
        <f>IF($E1036="",0,SUMPRODUCT((AY_SONU!$O$7:$O$42="Evet")*(AY_SONU!$B$7:$B$42=DATE(YEAR($E1036),MONTH($E1036),1))))</f>
        <v/>
      </c>
    </row>
    <row r="1037">
      <c r="A1037" s="6" t="n"/>
      <c r="B1037" s="113">
        <f>IF($D1037="","","T"&amp;TEXT(ROW()-6,"00000"))</f>
        <v/>
      </c>
      <c r="C1037" s="113">
        <f>IF($D1037="","",IFERROR(INDEX(MUSTERILER!$B$7:$B$106,MATCH($R1037,MUSTERILER!$T$7:$T$106,0)),IFERROR(INDEX(MUSTERILER!$B$7:$B$106,MATCH($D1037,MUSTERILER!$B$7:$B$106,0)),IFERROR(INDEX(MUSTERILER!$B$7:$B$106,MATCH($R1037&amp;"*",MUSTERILER!$T$7:$T$106,0)),"TANIMSIZ MÜŞTERİ"))))</f>
        <v/>
      </c>
      <c r="D1037" s="109" t="n"/>
      <c r="E1037" s="220" t="n"/>
      <c r="F1037" s="221" t="n"/>
      <c r="G1037" s="108" t="n"/>
      <c r="H1037" s="108" t="n"/>
      <c r="I1037" s="109" t="n"/>
      <c r="J1037" s="109" t="n"/>
      <c r="K1037" s="109" t="n"/>
      <c r="L1037" s="226">
        <f>IF($E1037="","",DATE(YEAR($E1037),MONTH($E1037),1))</f>
        <v/>
      </c>
      <c r="M1037" s="113">
        <f>IF($D1037="","",IF($C1037="TANIMSIZ MÜŞTERİ","HATA",IF(OR($E1037="",$F1037&lt;=0,$G1037=""),"EKSİK",IF($E1037&gt;TODAY(),"İLERİ TARİH",IF(COUNTIF($S$7:$S$1506,$S1037)&gt;1,"MÜKERRER?",IF($T1037&gt;0,"KAPALI DÖNEM","UYGUN"))))))</f>
        <v/>
      </c>
      <c r="N1037" s="121">
        <f>IF($C1037="","",IF($C1037="TANIMSIZ MÜŞTERİ","—",INDEX(MUSTERILER!$C$7:$C$106,MATCH($C1037,MUSTERILER!$B$7:$B$106,0))))</f>
        <v/>
      </c>
      <c r="O1037" s="6" t="n"/>
      <c r="P1037" s="6" t="n"/>
      <c r="Q1037" s="3">
        <f>IF($D1037="","",$C1037&amp;"|"&amp;COUNTIFS($C$7:$C1037,$C1037))</f>
        <v/>
      </c>
      <c r="R1037" s="3">
        <f>IF($D1037="","",UPPER(SUBSTITUTE(SUBSTITUTE(SUBSTITUTE(SUBSTITUTE(SUBSTITUTE(SUBSTITUTE(SUBSTITUTE(SUBSTITUTE(SUBSTITUTE(SUBSTITUTE(SUBSTITUTE(SUBSTITUTE(SUBSTITUTE(SUBSTITUTE(SUBSTITUTE(SUBSTITUTE(SUBSTITUTE(SUBSTITUTE(TRIM($D1037),"'",""),"İ","I"),"ı","I"),"i","I"),"Ş","S"),"ş","S"),"Ğ","G"),"ğ","G"),"Ü","U"),"ü","U"),"Ö","O"),"ö","O"),"Ç","C"),"ç","C"),".",""),",","")," ",""),"-","")))</f>
        <v/>
      </c>
      <c r="S1037" s="3">
        <f>IF($D1037="","",$C1037&amp;"|"&amp;TEXT($E1037,"0")&amp;"|"&amp;TEXT($F1037,"0")&amp;"|"&amp;$I1037)</f>
        <v/>
      </c>
      <c r="T1037" s="3">
        <f>IF($E1037="",0,SUMPRODUCT((AY_SONU!$O$7:$O$42="Evet")*(AY_SONU!$B$7:$B$42=DATE(YEAR($E1037),MONTH($E1037),1))))</f>
        <v/>
      </c>
    </row>
    <row r="1038">
      <c r="A1038" s="6" t="n"/>
      <c r="B1038" s="113">
        <f>IF($D1038="","","T"&amp;TEXT(ROW()-6,"00000"))</f>
        <v/>
      </c>
      <c r="C1038" s="113">
        <f>IF($D1038="","",IFERROR(INDEX(MUSTERILER!$B$7:$B$106,MATCH($R1038,MUSTERILER!$T$7:$T$106,0)),IFERROR(INDEX(MUSTERILER!$B$7:$B$106,MATCH($D1038,MUSTERILER!$B$7:$B$106,0)),IFERROR(INDEX(MUSTERILER!$B$7:$B$106,MATCH($R1038&amp;"*",MUSTERILER!$T$7:$T$106,0)),"TANIMSIZ MÜŞTERİ"))))</f>
        <v/>
      </c>
      <c r="D1038" s="109" t="n"/>
      <c r="E1038" s="220" t="n"/>
      <c r="F1038" s="221" t="n"/>
      <c r="G1038" s="108" t="n"/>
      <c r="H1038" s="108" t="n"/>
      <c r="I1038" s="109" t="n"/>
      <c r="J1038" s="109" t="n"/>
      <c r="K1038" s="109" t="n"/>
      <c r="L1038" s="226">
        <f>IF($E1038="","",DATE(YEAR($E1038),MONTH($E1038),1))</f>
        <v/>
      </c>
      <c r="M1038" s="113">
        <f>IF($D1038="","",IF($C1038="TANIMSIZ MÜŞTERİ","HATA",IF(OR($E1038="",$F1038&lt;=0,$G1038=""),"EKSİK",IF($E1038&gt;TODAY(),"İLERİ TARİH",IF(COUNTIF($S$7:$S$1506,$S1038)&gt;1,"MÜKERRER?",IF($T1038&gt;0,"KAPALI DÖNEM","UYGUN"))))))</f>
        <v/>
      </c>
      <c r="N1038" s="121">
        <f>IF($C1038="","",IF($C1038="TANIMSIZ MÜŞTERİ","—",INDEX(MUSTERILER!$C$7:$C$106,MATCH($C1038,MUSTERILER!$B$7:$B$106,0))))</f>
        <v/>
      </c>
      <c r="O1038" s="6" t="n"/>
      <c r="P1038" s="6" t="n"/>
      <c r="Q1038" s="3">
        <f>IF($D1038="","",$C1038&amp;"|"&amp;COUNTIFS($C$7:$C1038,$C1038))</f>
        <v/>
      </c>
      <c r="R1038" s="3">
        <f>IF($D1038="","",UPPER(SUBSTITUTE(SUBSTITUTE(SUBSTITUTE(SUBSTITUTE(SUBSTITUTE(SUBSTITUTE(SUBSTITUTE(SUBSTITUTE(SUBSTITUTE(SUBSTITUTE(SUBSTITUTE(SUBSTITUTE(SUBSTITUTE(SUBSTITUTE(SUBSTITUTE(SUBSTITUTE(SUBSTITUTE(SUBSTITUTE(TRIM($D1038),"'",""),"İ","I"),"ı","I"),"i","I"),"Ş","S"),"ş","S"),"Ğ","G"),"ğ","G"),"Ü","U"),"ü","U"),"Ö","O"),"ö","O"),"Ç","C"),"ç","C"),".",""),",","")," ",""),"-","")))</f>
        <v/>
      </c>
      <c r="S1038" s="3">
        <f>IF($D1038="","",$C1038&amp;"|"&amp;TEXT($E1038,"0")&amp;"|"&amp;TEXT($F1038,"0")&amp;"|"&amp;$I1038)</f>
        <v/>
      </c>
      <c r="T1038" s="3">
        <f>IF($E1038="",0,SUMPRODUCT((AY_SONU!$O$7:$O$42="Evet")*(AY_SONU!$B$7:$B$42=DATE(YEAR($E1038),MONTH($E1038),1))))</f>
        <v/>
      </c>
    </row>
    <row r="1039">
      <c r="A1039" s="6" t="n"/>
      <c r="B1039" s="113">
        <f>IF($D1039="","","T"&amp;TEXT(ROW()-6,"00000"))</f>
        <v/>
      </c>
      <c r="C1039" s="113">
        <f>IF($D1039="","",IFERROR(INDEX(MUSTERILER!$B$7:$B$106,MATCH($R1039,MUSTERILER!$T$7:$T$106,0)),IFERROR(INDEX(MUSTERILER!$B$7:$B$106,MATCH($D1039,MUSTERILER!$B$7:$B$106,0)),IFERROR(INDEX(MUSTERILER!$B$7:$B$106,MATCH($R1039&amp;"*",MUSTERILER!$T$7:$T$106,0)),"TANIMSIZ MÜŞTERİ"))))</f>
        <v/>
      </c>
      <c r="D1039" s="109" t="n"/>
      <c r="E1039" s="220" t="n"/>
      <c r="F1039" s="221" t="n"/>
      <c r="G1039" s="108" t="n"/>
      <c r="H1039" s="108" t="n"/>
      <c r="I1039" s="109" t="n"/>
      <c r="J1039" s="109" t="n"/>
      <c r="K1039" s="109" t="n"/>
      <c r="L1039" s="226">
        <f>IF($E1039="","",DATE(YEAR($E1039),MONTH($E1039),1))</f>
        <v/>
      </c>
      <c r="M1039" s="113">
        <f>IF($D1039="","",IF($C1039="TANIMSIZ MÜŞTERİ","HATA",IF(OR($E1039="",$F1039&lt;=0,$G1039=""),"EKSİK",IF($E1039&gt;TODAY(),"İLERİ TARİH",IF(COUNTIF($S$7:$S$1506,$S1039)&gt;1,"MÜKERRER?",IF($T1039&gt;0,"KAPALI DÖNEM","UYGUN"))))))</f>
        <v/>
      </c>
      <c r="N1039" s="121">
        <f>IF($C1039="","",IF($C1039="TANIMSIZ MÜŞTERİ","—",INDEX(MUSTERILER!$C$7:$C$106,MATCH($C1039,MUSTERILER!$B$7:$B$106,0))))</f>
        <v/>
      </c>
      <c r="O1039" s="6" t="n"/>
      <c r="P1039" s="6" t="n"/>
      <c r="Q1039" s="3">
        <f>IF($D1039="","",$C1039&amp;"|"&amp;COUNTIFS($C$7:$C1039,$C1039))</f>
        <v/>
      </c>
      <c r="R1039" s="3">
        <f>IF($D1039="","",UPPER(SUBSTITUTE(SUBSTITUTE(SUBSTITUTE(SUBSTITUTE(SUBSTITUTE(SUBSTITUTE(SUBSTITUTE(SUBSTITUTE(SUBSTITUTE(SUBSTITUTE(SUBSTITUTE(SUBSTITUTE(SUBSTITUTE(SUBSTITUTE(SUBSTITUTE(SUBSTITUTE(SUBSTITUTE(SUBSTITUTE(TRIM($D1039),"'",""),"İ","I"),"ı","I"),"i","I"),"Ş","S"),"ş","S"),"Ğ","G"),"ğ","G"),"Ü","U"),"ü","U"),"Ö","O"),"ö","O"),"Ç","C"),"ç","C"),".",""),",","")," ",""),"-","")))</f>
        <v/>
      </c>
      <c r="S1039" s="3">
        <f>IF($D1039="","",$C1039&amp;"|"&amp;TEXT($E1039,"0")&amp;"|"&amp;TEXT($F1039,"0")&amp;"|"&amp;$I1039)</f>
        <v/>
      </c>
      <c r="T1039" s="3">
        <f>IF($E1039="",0,SUMPRODUCT((AY_SONU!$O$7:$O$42="Evet")*(AY_SONU!$B$7:$B$42=DATE(YEAR($E1039),MONTH($E1039),1))))</f>
        <v/>
      </c>
    </row>
    <row r="1040">
      <c r="A1040" s="6" t="n"/>
      <c r="B1040" s="113">
        <f>IF($D1040="","","T"&amp;TEXT(ROW()-6,"00000"))</f>
        <v/>
      </c>
      <c r="C1040" s="113">
        <f>IF($D1040="","",IFERROR(INDEX(MUSTERILER!$B$7:$B$106,MATCH($R1040,MUSTERILER!$T$7:$T$106,0)),IFERROR(INDEX(MUSTERILER!$B$7:$B$106,MATCH($D1040,MUSTERILER!$B$7:$B$106,0)),IFERROR(INDEX(MUSTERILER!$B$7:$B$106,MATCH($R1040&amp;"*",MUSTERILER!$T$7:$T$106,0)),"TANIMSIZ MÜŞTERİ"))))</f>
        <v/>
      </c>
      <c r="D1040" s="109" t="n"/>
      <c r="E1040" s="220" t="n"/>
      <c r="F1040" s="221" t="n"/>
      <c r="G1040" s="108" t="n"/>
      <c r="H1040" s="108" t="n"/>
      <c r="I1040" s="109" t="n"/>
      <c r="J1040" s="109" t="n"/>
      <c r="K1040" s="109" t="n"/>
      <c r="L1040" s="226">
        <f>IF($E1040="","",DATE(YEAR($E1040),MONTH($E1040),1))</f>
        <v/>
      </c>
      <c r="M1040" s="113">
        <f>IF($D1040="","",IF($C1040="TANIMSIZ MÜŞTERİ","HATA",IF(OR($E1040="",$F1040&lt;=0,$G1040=""),"EKSİK",IF($E1040&gt;TODAY(),"İLERİ TARİH",IF(COUNTIF($S$7:$S$1506,$S1040)&gt;1,"MÜKERRER?",IF($T1040&gt;0,"KAPALI DÖNEM","UYGUN"))))))</f>
        <v/>
      </c>
      <c r="N1040" s="121">
        <f>IF($C1040="","",IF($C1040="TANIMSIZ MÜŞTERİ","—",INDEX(MUSTERILER!$C$7:$C$106,MATCH($C1040,MUSTERILER!$B$7:$B$106,0))))</f>
        <v/>
      </c>
      <c r="O1040" s="6" t="n"/>
      <c r="P1040" s="6" t="n"/>
      <c r="Q1040" s="3">
        <f>IF($D1040="","",$C1040&amp;"|"&amp;COUNTIFS($C$7:$C1040,$C1040))</f>
        <v/>
      </c>
      <c r="R1040" s="3">
        <f>IF($D1040="","",UPPER(SUBSTITUTE(SUBSTITUTE(SUBSTITUTE(SUBSTITUTE(SUBSTITUTE(SUBSTITUTE(SUBSTITUTE(SUBSTITUTE(SUBSTITUTE(SUBSTITUTE(SUBSTITUTE(SUBSTITUTE(SUBSTITUTE(SUBSTITUTE(SUBSTITUTE(SUBSTITUTE(SUBSTITUTE(SUBSTITUTE(TRIM($D1040),"'",""),"İ","I"),"ı","I"),"i","I"),"Ş","S"),"ş","S"),"Ğ","G"),"ğ","G"),"Ü","U"),"ü","U"),"Ö","O"),"ö","O"),"Ç","C"),"ç","C"),".",""),",","")," ",""),"-","")))</f>
        <v/>
      </c>
      <c r="S1040" s="3">
        <f>IF($D1040="","",$C1040&amp;"|"&amp;TEXT($E1040,"0")&amp;"|"&amp;TEXT($F1040,"0")&amp;"|"&amp;$I1040)</f>
        <v/>
      </c>
      <c r="T1040" s="3">
        <f>IF($E1040="",0,SUMPRODUCT((AY_SONU!$O$7:$O$42="Evet")*(AY_SONU!$B$7:$B$42=DATE(YEAR($E1040),MONTH($E1040),1))))</f>
        <v/>
      </c>
    </row>
    <row r="1041">
      <c r="A1041" s="6" t="n"/>
      <c r="B1041" s="113">
        <f>IF($D1041="","","T"&amp;TEXT(ROW()-6,"00000"))</f>
        <v/>
      </c>
      <c r="C1041" s="113">
        <f>IF($D1041="","",IFERROR(INDEX(MUSTERILER!$B$7:$B$106,MATCH($R1041,MUSTERILER!$T$7:$T$106,0)),IFERROR(INDEX(MUSTERILER!$B$7:$B$106,MATCH($D1041,MUSTERILER!$B$7:$B$106,0)),IFERROR(INDEX(MUSTERILER!$B$7:$B$106,MATCH($R1041&amp;"*",MUSTERILER!$T$7:$T$106,0)),"TANIMSIZ MÜŞTERİ"))))</f>
        <v/>
      </c>
      <c r="D1041" s="109" t="n"/>
      <c r="E1041" s="220" t="n"/>
      <c r="F1041" s="221" t="n"/>
      <c r="G1041" s="108" t="n"/>
      <c r="H1041" s="108" t="n"/>
      <c r="I1041" s="109" t="n"/>
      <c r="J1041" s="109" t="n"/>
      <c r="K1041" s="109" t="n"/>
      <c r="L1041" s="226">
        <f>IF($E1041="","",DATE(YEAR($E1041),MONTH($E1041),1))</f>
        <v/>
      </c>
      <c r="M1041" s="113">
        <f>IF($D1041="","",IF($C1041="TANIMSIZ MÜŞTERİ","HATA",IF(OR($E1041="",$F1041&lt;=0,$G1041=""),"EKSİK",IF($E1041&gt;TODAY(),"İLERİ TARİH",IF(COUNTIF($S$7:$S$1506,$S1041)&gt;1,"MÜKERRER?",IF($T1041&gt;0,"KAPALI DÖNEM","UYGUN"))))))</f>
        <v/>
      </c>
      <c r="N1041" s="121">
        <f>IF($C1041="","",IF($C1041="TANIMSIZ MÜŞTERİ","—",INDEX(MUSTERILER!$C$7:$C$106,MATCH($C1041,MUSTERILER!$B$7:$B$106,0))))</f>
        <v/>
      </c>
      <c r="O1041" s="6" t="n"/>
      <c r="P1041" s="6" t="n"/>
      <c r="Q1041" s="3">
        <f>IF($D1041="","",$C1041&amp;"|"&amp;COUNTIFS($C$7:$C1041,$C1041))</f>
        <v/>
      </c>
      <c r="R1041" s="3">
        <f>IF($D1041="","",UPPER(SUBSTITUTE(SUBSTITUTE(SUBSTITUTE(SUBSTITUTE(SUBSTITUTE(SUBSTITUTE(SUBSTITUTE(SUBSTITUTE(SUBSTITUTE(SUBSTITUTE(SUBSTITUTE(SUBSTITUTE(SUBSTITUTE(SUBSTITUTE(SUBSTITUTE(SUBSTITUTE(SUBSTITUTE(SUBSTITUTE(TRIM($D1041),"'",""),"İ","I"),"ı","I"),"i","I"),"Ş","S"),"ş","S"),"Ğ","G"),"ğ","G"),"Ü","U"),"ü","U"),"Ö","O"),"ö","O"),"Ç","C"),"ç","C"),".",""),",","")," ",""),"-","")))</f>
        <v/>
      </c>
      <c r="S1041" s="3">
        <f>IF($D1041="","",$C1041&amp;"|"&amp;TEXT($E1041,"0")&amp;"|"&amp;TEXT($F1041,"0")&amp;"|"&amp;$I1041)</f>
        <v/>
      </c>
      <c r="T1041" s="3">
        <f>IF($E1041="",0,SUMPRODUCT((AY_SONU!$O$7:$O$42="Evet")*(AY_SONU!$B$7:$B$42=DATE(YEAR($E1041),MONTH($E1041),1))))</f>
        <v/>
      </c>
    </row>
    <row r="1042">
      <c r="A1042" s="6" t="n"/>
      <c r="B1042" s="113">
        <f>IF($D1042="","","T"&amp;TEXT(ROW()-6,"00000"))</f>
        <v/>
      </c>
      <c r="C1042" s="113">
        <f>IF($D1042="","",IFERROR(INDEX(MUSTERILER!$B$7:$B$106,MATCH($R1042,MUSTERILER!$T$7:$T$106,0)),IFERROR(INDEX(MUSTERILER!$B$7:$B$106,MATCH($D1042,MUSTERILER!$B$7:$B$106,0)),IFERROR(INDEX(MUSTERILER!$B$7:$B$106,MATCH($R1042&amp;"*",MUSTERILER!$T$7:$T$106,0)),"TANIMSIZ MÜŞTERİ"))))</f>
        <v/>
      </c>
      <c r="D1042" s="109" t="n"/>
      <c r="E1042" s="220" t="n"/>
      <c r="F1042" s="221" t="n"/>
      <c r="G1042" s="108" t="n"/>
      <c r="H1042" s="108" t="n"/>
      <c r="I1042" s="109" t="n"/>
      <c r="J1042" s="109" t="n"/>
      <c r="K1042" s="109" t="n"/>
      <c r="L1042" s="226">
        <f>IF($E1042="","",DATE(YEAR($E1042),MONTH($E1042),1))</f>
        <v/>
      </c>
      <c r="M1042" s="113">
        <f>IF($D1042="","",IF($C1042="TANIMSIZ MÜŞTERİ","HATA",IF(OR($E1042="",$F1042&lt;=0,$G1042=""),"EKSİK",IF($E1042&gt;TODAY(),"İLERİ TARİH",IF(COUNTIF($S$7:$S$1506,$S1042)&gt;1,"MÜKERRER?",IF($T1042&gt;0,"KAPALI DÖNEM","UYGUN"))))))</f>
        <v/>
      </c>
      <c r="N1042" s="121">
        <f>IF($C1042="","",IF($C1042="TANIMSIZ MÜŞTERİ","—",INDEX(MUSTERILER!$C$7:$C$106,MATCH($C1042,MUSTERILER!$B$7:$B$106,0))))</f>
        <v/>
      </c>
      <c r="O1042" s="6" t="n"/>
      <c r="P1042" s="6" t="n"/>
      <c r="Q1042" s="3">
        <f>IF($D1042="","",$C1042&amp;"|"&amp;COUNTIFS($C$7:$C1042,$C1042))</f>
        <v/>
      </c>
      <c r="R1042" s="3">
        <f>IF($D1042="","",UPPER(SUBSTITUTE(SUBSTITUTE(SUBSTITUTE(SUBSTITUTE(SUBSTITUTE(SUBSTITUTE(SUBSTITUTE(SUBSTITUTE(SUBSTITUTE(SUBSTITUTE(SUBSTITUTE(SUBSTITUTE(SUBSTITUTE(SUBSTITUTE(SUBSTITUTE(SUBSTITUTE(SUBSTITUTE(SUBSTITUTE(TRIM($D1042),"'",""),"İ","I"),"ı","I"),"i","I"),"Ş","S"),"ş","S"),"Ğ","G"),"ğ","G"),"Ü","U"),"ü","U"),"Ö","O"),"ö","O"),"Ç","C"),"ç","C"),".",""),",","")," ",""),"-","")))</f>
        <v/>
      </c>
      <c r="S1042" s="3">
        <f>IF($D1042="","",$C1042&amp;"|"&amp;TEXT($E1042,"0")&amp;"|"&amp;TEXT($F1042,"0")&amp;"|"&amp;$I1042)</f>
        <v/>
      </c>
      <c r="T1042" s="3">
        <f>IF($E1042="",0,SUMPRODUCT((AY_SONU!$O$7:$O$42="Evet")*(AY_SONU!$B$7:$B$42=DATE(YEAR($E1042),MONTH($E1042),1))))</f>
        <v/>
      </c>
    </row>
    <row r="1043">
      <c r="A1043" s="6" t="n"/>
      <c r="B1043" s="113">
        <f>IF($D1043="","","T"&amp;TEXT(ROW()-6,"00000"))</f>
        <v/>
      </c>
      <c r="C1043" s="113">
        <f>IF($D1043="","",IFERROR(INDEX(MUSTERILER!$B$7:$B$106,MATCH($R1043,MUSTERILER!$T$7:$T$106,0)),IFERROR(INDEX(MUSTERILER!$B$7:$B$106,MATCH($D1043,MUSTERILER!$B$7:$B$106,0)),IFERROR(INDEX(MUSTERILER!$B$7:$B$106,MATCH($R1043&amp;"*",MUSTERILER!$T$7:$T$106,0)),"TANIMSIZ MÜŞTERİ"))))</f>
        <v/>
      </c>
      <c r="D1043" s="109" t="n"/>
      <c r="E1043" s="220" t="n"/>
      <c r="F1043" s="221" t="n"/>
      <c r="G1043" s="108" t="n"/>
      <c r="H1043" s="108" t="n"/>
      <c r="I1043" s="109" t="n"/>
      <c r="J1043" s="109" t="n"/>
      <c r="K1043" s="109" t="n"/>
      <c r="L1043" s="226">
        <f>IF($E1043="","",DATE(YEAR($E1043),MONTH($E1043),1))</f>
        <v/>
      </c>
      <c r="M1043" s="113">
        <f>IF($D1043="","",IF($C1043="TANIMSIZ MÜŞTERİ","HATA",IF(OR($E1043="",$F1043&lt;=0,$G1043=""),"EKSİK",IF($E1043&gt;TODAY(),"İLERİ TARİH",IF(COUNTIF($S$7:$S$1506,$S1043)&gt;1,"MÜKERRER?",IF($T1043&gt;0,"KAPALI DÖNEM","UYGUN"))))))</f>
        <v/>
      </c>
      <c r="N1043" s="121">
        <f>IF($C1043="","",IF($C1043="TANIMSIZ MÜŞTERİ","—",INDEX(MUSTERILER!$C$7:$C$106,MATCH($C1043,MUSTERILER!$B$7:$B$106,0))))</f>
        <v/>
      </c>
      <c r="O1043" s="6" t="n"/>
      <c r="P1043" s="6" t="n"/>
      <c r="Q1043" s="3">
        <f>IF($D1043="","",$C1043&amp;"|"&amp;COUNTIFS($C$7:$C1043,$C1043))</f>
        <v/>
      </c>
      <c r="R1043" s="3">
        <f>IF($D1043="","",UPPER(SUBSTITUTE(SUBSTITUTE(SUBSTITUTE(SUBSTITUTE(SUBSTITUTE(SUBSTITUTE(SUBSTITUTE(SUBSTITUTE(SUBSTITUTE(SUBSTITUTE(SUBSTITUTE(SUBSTITUTE(SUBSTITUTE(SUBSTITUTE(SUBSTITUTE(SUBSTITUTE(SUBSTITUTE(SUBSTITUTE(TRIM($D1043),"'",""),"İ","I"),"ı","I"),"i","I"),"Ş","S"),"ş","S"),"Ğ","G"),"ğ","G"),"Ü","U"),"ü","U"),"Ö","O"),"ö","O"),"Ç","C"),"ç","C"),".",""),",","")," ",""),"-","")))</f>
        <v/>
      </c>
      <c r="S1043" s="3">
        <f>IF($D1043="","",$C1043&amp;"|"&amp;TEXT($E1043,"0")&amp;"|"&amp;TEXT($F1043,"0")&amp;"|"&amp;$I1043)</f>
        <v/>
      </c>
      <c r="T1043" s="3">
        <f>IF($E1043="",0,SUMPRODUCT((AY_SONU!$O$7:$O$42="Evet")*(AY_SONU!$B$7:$B$42=DATE(YEAR($E1043),MONTH($E1043),1))))</f>
        <v/>
      </c>
    </row>
    <row r="1044">
      <c r="A1044" s="6" t="n"/>
      <c r="B1044" s="113">
        <f>IF($D1044="","","T"&amp;TEXT(ROW()-6,"00000"))</f>
        <v/>
      </c>
      <c r="C1044" s="113">
        <f>IF($D1044="","",IFERROR(INDEX(MUSTERILER!$B$7:$B$106,MATCH($R1044,MUSTERILER!$T$7:$T$106,0)),IFERROR(INDEX(MUSTERILER!$B$7:$B$106,MATCH($D1044,MUSTERILER!$B$7:$B$106,0)),IFERROR(INDEX(MUSTERILER!$B$7:$B$106,MATCH($R1044&amp;"*",MUSTERILER!$T$7:$T$106,0)),"TANIMSIZ MÜŞTERİ"))))</f>
        <v/>
      </c>
      <c r="D1044" s="109" t="n"/>
      <c r="E1044" s="220" t="n"/>
      <c r="F1044" s="221" t="n"/>
      <c r="G1044" s="108" t="n"/>
      <c r="H1044" s="108" t="n"/>
      <c r="I1044" s="109" t="n"/>
      <c r="J1044" s="109" t="n"/>
      <c r="K1044" s="109" t="n"/>
      <c r="L1044" s="226">
        <f>IF($E1044="","",DATE(YEAR($E1044),MONTH($E1044),1))</f>
        <v/>
      </c>
      <c r="M1044" s="113">
        <f>IF($D1044="","",IF($C1044="TANIMSIZ MÜŞTERİ","HATA",IF(OR($E1044="",$F1044&lt;=0,$G1044=""),"EKSİK",IF($E1044&gt;TODAY(),"İLERİ TARİH",IF(COUNTIF($S$7:$S$1506,$S1044)&gt;1,"MÜKERRER?",IF($T1044&gt;0,"KAPALI DÖNEM","UYGUN"))))))</f>
        <v/>
      </c>
      <c r="N1044" s="121">
        <f>IF($C1044="","",IF($C1044="TANIMSIZ MÜŞTERİ","—",INDEX(MUSTERILER!$C$7:$C$106,MATCH($C1044,MUSTERILER!$B$7:$B$106,0))))</f>
        <v/>
      </c>
      <c r="O1044" s="6" t="n"/>
      <c r="P1044" s="6" t="n"/>
      <c r="Q1044" s="3">
        <f>IF($D1044="","",$C1044&amp;"|"&amp;COUNTIFS($C$7:$C1044,$C1044))</f>
        <v/>
      </c>
      <c r="R1044" s="3">
        <f>IF($D1044="","",UPPER(SUBSTITUTE(SUBSTITUTE(SUBSTITUTE(SUBSTITUTE(SUBSTITUTE(SUBSTITUTE(SUBSTITUTE(SUBSTITUTE(SUBSTITUTE(SUBSTITUTE(SUBSTITUTE(SUBSTITUTE(SUBSTITUTE(SUBSTITUTE(SUBSTITUTE(SUBSTITUTE(SUBSTITUTE(SUBSTITUTE(TRIM($D1044),"'",""),"İ","I"),"ı","I"),"i","I"),"Ş","S"),"ş","S"),"Ğ","G"),"ğ","G"),"Ü","U"),"ü","U"),"Ö","O"),"ö","O"),"Ç","C"),"ç","C"),".",""),",","")," ",""),"-","")))</f>
        <v/>
      </c>
      <c r="S1044" s="3">
        <f>IF($D1044="","",$C1044&amp;"|"&amp;TEXT($E1044,"0")&amp;"|"&amp;TEXT($F1044,"0")&amp;"|"&amp;$I1044)</f>
        <v/>
      </c>
      <c r="T1044" s="3">
        <f>IF($E1044="",0,SUMPRODUCT((AY_SONU!$O$7:$O$42="Evet")*(AY_SONU!$B$7:$B$42=DATE(YEAR($E1044),MONTH($E1044),1))))</f>
        <v/>
      </c>
    </row>
    <row r="1045">
      <c r="A1045" s="6" t="n"/>
      <c r="B1045" s="113">
        <f>IF($D1045="","","T"&amp;TEXT(ROW()-6,"00000"))</f>
        <v/>
      </c>
      <c r="C1045" s="113">
        <f>IF($D1045="","",IFERROR(INDEX(MUSTERILER!$B$7:$B$106,MATCH($R1045,MUSTERILER!$T$7:$T$106,0)),IFERROR(INDEX(MUSTERILER!$B$7:$B$106,MATCH($D1045,MUSTERILER!$B$7:$B$106,0)),IFERROR(INDEX(MUSTERILER!$B$7:$B$106,MATCH($R1045&amp;"*",MUSTERILER!$T$7:$T$106,0)),"TANIMSIZ MÜŞTERİ"))))</f>
        <v/>
      </c>
      <c r="D1045" s="109" t="n"/>
      <c r="E1045" s="220" t="n"/>
      <c r="F1045" s="221" t="n"/>
      <c r="G1045" s="108" t="n"/>
      <c r="H1045" s="108" t="n"/>
      <c r="I1045" s="109" t="n"/>
      <c r="J1045" s="109" t="n"/>
      <c r="K1045" s="109" t="n"/>
      <c r="L1045" s="226">
        <f>IF($E1045="","",DATE(YEAR($E1045),MONTH($E1045),1))</f>
        <v/>
      </c>
      <c r="M1045" s="113">
        <f>IF($D1045="","",IF($C1045="TANIMSIZ MÜŞTERİ","HATA",IF(OR($E1045="",$F1045&lt;=0,$G1045=""),"EKSİK",IF($E1045&gt;TODAY(),"İLERİ TARİH",IF(COUNTIF($S$7:$S$1506,$S1045)&gt;1,"MÜKERRER?",IF($T1045&gt;0,"KAPALI DÖNEM","UYGUN"))))))</f>
        <v/>
      </c>
      <c r="N1045" s="121">
        <f>IF($C1045="","",IF($C1045="TANIMSIZ MÜŞTERİ","—",INDEX(MUSTERILER!$C$7:$C$106,MATCH($C1045,MUSTERILER!$B$7:$B$106,0))))</f>
        <v/>
      </c>
      <c r="O1045" s="6" t="n"/>
      <c r="P1045" s="6" t="n"/>
      <c r="Q1045" s="3">
        <f>IF($D1045="","",$C1045&amp;"|"&amp;COUNTIFS($C$7:$C1045,$C1045))</f>
        <v/>
      </c>
      <c r="R1045" s="3">
        <f>IF($D1045="","",UPPER(SUBSTITUTE(SUBSTITUTE(SUBSTITUTE(SUBSTITUTE(SUBSTITUTE(SUBSTITUTE(SUBSTITUTE(SUBSTITUTE(SUBSTITUTE(SUBSTITUTE(SUBSTITUTE(SUBSTITUTE(SUBSTITUTE(SUBSTITUTE(SUBSTITUTE(SUBSTITUTE(SUBSTITUTE(SUBSTITUTE(TRIM($D1045),"'",""),"İ","I"),"ı","I"),"i","I"),"Ş","S"),"ş","S"),"Ğ","G"),"ğ","G"),"Ü","U"),"ü","U"),"Ö","O"),"ö","O"),"Ç","C"),"ç","C"),".",""),",","")," ",""),"-","")))</f>
        <v/>
      </c>
      <c r="S1045" s="3">
        <f>IF($D1045="","",$C1045&amp;"|"&amp;TEXT($E1045,"0")&amp;"|"&amp;TEXT($F1045,"0")&amp;"|"&amp;$I1045)</f>
        <v/>
      </c>
      <c r="T1045" s="3">
        <f>IF($E1045="",0,SUMPRODUCT((AY_SONU!$O$7:$O$42="Evet")*(AY_SONU!$B$7:$B$42=DATE(YEAR($E1045),MONTH($E1045),1))))</f>
        <v/>
      </c>
    </row>
    <row r="1046">
      <c r="A1046" s="6" t="n"/>
      <c r="B1046" s="113">
        <f>IF($D1046="","","T"&amp;TEXT(ROW()-6,"00000"))</f>
        <v/>
      </c>
      <c r="C1046" s="113">
        <f>IF($D1046="","",IFERROR(INDEX(MUSTERILER!$B$7:$B$106,MATCH($R1046,MUSTERILER!$T$7:$T$106,0)),IFERROR(INDEX(MUSTERILER!$B$7:$B$106,MATCH($D1046,MUSTERILER!$B$7:$B$106,0)),IFERROR(INDEX(MUSTERILER!$B$7:$B$106,MATCH($R1046&amp;"*",MUSTERILER!$T$7:$T$106,0)),"TANIMSIZ MÜŞTERİ"))))</f>
        <v/>
      </c>
      <c r="D1046" s="109" t="n"/>
      <c r="E1046" s="220" t="n"/>
      <c r="F1046" s="221" t="n"/>
      <c r="G1046" s="108" t="n"/>
      <c r="H1046" s="108" t="n"/>
      <c r="I1046" s="109" t="n"/>
      <c r="J1046" s="109" t="n"/>
      <c r="K1046" s="109" t="n"/>
      <c r="L1046" s="226">
        <f>IF($E1046="","",DATE(YEAR($E1046),MONTH($E1046),1))</f>
        <v/>
      </c>
      <c r="M1046" s="113">
        <f>IF($D1046="","",IF($C1046="TANIMSIZ MÜŞTERİ","HATA",IF(OR($E1046="",$F1046&lt;=0,$G1046=""),"EKSİK",IF($E1046&gt;TODAY(),"İLERİ TARİH",IF(COUNTIF($S$7:$S$1506,$S1046)&gt;1,"MÜKERRER?",IF($T1046&gt;0,"KAPALI DÖNEM","UYGUN"))))))</f>
        <v/>
      </c>
      <c r="N1046" s="121">
        <f>IF($C1046="","",IF($C1046="TANIMSIZ MÜŞTERİ","—",INDEX(MUSTERILER!$C$7:$C$106,MATCH($C1046,MUSTERILER!$B$7:$B$106,0))))</f>
        <v/>
      </c>
      <c r="O1046" s="6" t="n"/>
      <c r="P1046" s="6" t="n"/>
      <c r="Q1046" s="3">
        <f>IF($D1046="","",$C1046&amp;"|"&amp;COUNTIFS($C$7:$C1046,$C1046))</f>
        <v/>
      </c>
      <c r="R1046" s="3">
        <f>IF($D1046="","",UPPER(SUBSTITUTE(SUBSTITUTE(SUBSTITUTE(SUBSTITUTE(SUBSTITUTE(SUBSTITUTE(SUBSTITUTE(SUBSTITUTE(SUBSTITUTE(SUBSTITUTE(SUBSTITUTE(SUBSTITUTE(SUBSTITUTE(SUBSTITUTE(SUBSTITUTE(SUBSTITUTE(SUBSTITUTE(SUBSTITUTE(TRIM($D1046),"'",""),"İ","I"),"ı","I"),"i","I"),"Ş","S"),"ş","S"),"Ğ","G"),"ğ","G"),"Ü","U"),"ü","U"),"Ö","O"),"ö","O"),"Ç","C"),"ç","C"),".",""),",","")," ",""),"-","")))</f>
        <v/>
      </c>
      <c r="S1046" s="3">
        <f>IF($D1046="","",$C1046&amp;"|"&amp;TEXT($E1046,"0")&amp;"|"&amp;TEXT($F1046,"0")&amp;"|"&amp;$I1046)</f>
        <v/>
      </c>
      <c r="T1046" s="3">
        <f>IF($E1046="",0,SUMPRODUCT((AY_SONU!$O$7:$O$42="Evet")*(AY_SONU!$B$7:$B$42=DATE(YEAR($E1046),MONTH($E1046),1))))</f>
        <v/>
      </c>
    </row>
    <row r="1047">
      <c r="A1047" s="6" t="n"/>
      <c r="B1047" s="113">
        <f>IF($D1047="","","T"&amp;TEXT(ROW()-6,"00000"))</f>
        <v/>
      </c>
      <c r="C1047" s="113">
        <f>IF($D1047="","",IFERROR(INDEX(MUSTERILER!$B$7:$B$106,MATCH($R1047,MUSTERILER!$T$7:$T$106,0)),IFERROR(INDEX(MUSTERILER!$B$7:$B$106,MATCH($D1047,MUSTERILER!$B$7:$B$106,0)),IFERROR(INDEX(MUSTERILER!$B$7:$B$106,MATCH($R1047&amp;"*",MUSTERILER!$T$7:$T$106,0)),"TANIMSIZ MÜŞTERİ"))))</f>
        <v/>
      </c>
      <c r="D1047" s="109" t="n"/>
      <c r="E1047" s="220" t="n"/>
      <c r="F1047" s="221" t="n"/>
      <c r="G1047" s="108" t="n"/>
      <c r="H1047" s="108" t="n"/>
      <c r="I1047" s="109" t="n"/>
      <c r="J1047" s="109" t="n"/>
      <c r="K1047" s="109" t="n"/>
      <c r="L1047" s="226">
        <f>IF($E1047="","",DATE(YEAR($E1047),MONTH($E1047),1))</f>
        <v/>
      </c>
      <c r="M1047" s="113">
        <f>IF($D1047="","",IF($C1047="TANIMSIZ MÜŞTERİ","HATA",IF(OR($E1047="",$F1047&lt;=0,$G1047=""),"EKSİK",IF($E1047&gt;TODAY(),"İLERİ TARİH",IF(COUNTIF($S$7:$S$1506,$S1047)&gt;1,"MÜKERRER?",IF($T1047&gt;0,"KAPALI DÖNEM","UYGUN"))))))</f>
        <v/>
      </c>
      <c r="N1047" s="121">
        <f>IF($C1047="","",IF($C1047="TANIMSIZ MÜŞTERİ","—",INDEX(MUSTERILER!$C$7:$C$106,MATCH($C1047,MUSTERILER!$B$7:$B$106,0))))</f>
        <v/>
      </c>
      <c r="O1047" s="6" t="n"/>
      <c r="P1047" s="6" t="n"/>
      <c r="Q1047" s="3">
        <f>IF($D1047="","",$C1047&amp;"|"&amp;COUNTIFS($C$7:$C1047,$C1047))</f>
        <v/>
      </c>
      <c r="R1047" s="3">
        <f>IF($D1047="","",UPPER(SUBSTITUTE(SUBSTITUTE(SUBSTITUTE(SUBSTITUTE(SUBSTITUTE(SUBSTITUTE(SUBSTITUTE(SUBSTITUTE(SUBSTITUTE(SUBSTITUTE(SUBSTITUTE(SUBSTITUTE(SUBSTITUTE(SUBSTITUTE(SUBSTITUTE(SUBSTITUTE(SUBSTITUTE(SUBSTITUTE(TRIM($D1047),"'",""),"İ","I"),"ı","I"),"i","I"),"Ş","S"),"ş","S"),"Ğ","G"),"ğ","G"),"Ü","U"),"ü","U"),"Ö","O"),"ö","O"),"Ç","C"),"ç","C"),".",""),",","")," ",""),"-","")))</f>
        <v/>
      </c>
      <c r="S1047" s="3">
        <f>IF($D1047="","",$C1047&amp;"|"&amp;TEXT($E1047,"0")&amp;"|"&amp;TEXT($F1047,"0")&amp;"|"&amp;$I1047)</f>
        <v/>
      </c>
      <c r="T1047" s="3">
        <f>IF($E1047="",0,SUMPRODUCT((AY_SONU!$O$7:$O$42="Evet")*(AY_SONU!$B$7:$B$42=DATE(YEAR($E1047),MONTH($E1047),1))))</f>
        <v/>
      </c>
    </row>
    <row r="1048">
      <c r="A1048" s="6" t="n"/>
      <c r="B1048" s="113">
        <f>IF($D1048="","","T"&amp;TEXT(ROW()-6,"00000"))</f>
        <v/>
      </c>
      <c r="C1048" s="113">
        <f>IF($D1048="","",IFERROR(INDEX(MUSTERILER!$B$7:$B$106,MATCH($R1048,MUSTERILER!$T$7:$T$106,0)),IFERROR(INDEX(MUSTERILER!$B$7:$B$106,MATCH($D1048,MUSTERILER!$B$7:$B$106,0)),IFERROR(INDEX(MUSTERILER!$B$7:$B$106,MATCH($R1048&amp;"*",MUSTERILER!$T$7:$T$106,0)),"TANIMSIZ MÜŞTERİ"))))</f>
        <v/>
      </c>
      <c r="D1048" s="109" t="n"/>
      <c r="E1048" s="220" t="n"/>
      <c r="F1048" s="221" t="n"/>
      <c r="G1048" s="108" t="n"/>
      <c r="H1048" s="108" t="n"/>
      <c r="I1048" s="109" t="n"/>
      <c r="J1048" s="109" t="n"/>
      <c r="K1048" s="109" t="n"/>
      <c r="L1048" s="226">
        <f>IF($E1048="","",DATE(YEAR($E1048),MONTH($E1048),1))</f>
        <v/>
      </c>
      <c r="M1048" s="113">
        <f>IF($D1048="","",IF($C1048="TANIMSIZ MÜŞTERİ","HATA",IF(OR($E1048="",$F1048&lt;=0,$G1048=""),"EKSİK",IF($E1048&gt;TODAY(),"İLERİ TARİH",IF(COUNTIF($S$7:$S$1506,$S1048)&gt;1,"MÜKERRER?",IF($T1048&gt;0,"KAPALI DÖNEM","UYGUN"))))))</f>
        <v/>
      </c>
      <c r="N1048" s="121">
        <f>IF($C1048="","",IF($C1048="TANIMSIZ MÜŞTERİ","—",INDEX(MUSTERILER!$C$7:$C$106,MATCH($C1048,MUSTERILER!$B$7:$B$106,0))))</f>
        <v/>
      </c>
      <c r="O1048" s="6" t="n"/>
      <c r="P1048" s="6" t="n"/>
      <c r="Q1048" s="3">
        <f>IF($D1048="","",$C1048&amp;"|"&amp;COUNTIFS($C$7:$C1048,$C1048))</f>
        <v/>
      </c>
      <c r="R1048" s="3">
        <f>IF($D1048="","",UPPER(SUBSTITUTE(SUBSTITUTE(SUBSTITUTE(SUBSTITUTE(SUBSTITUTE(SUBSTITUTE(SUBSTITUTE(SUBSTITUTE(SUBSTITUTE(SUBSTITUTE(SUBSTITUTE(SUBSTITUTE(SUBSTITUTE(SUBSTITUTE(SUBSTITUTE(SUBSTITUTE(SUBSTITUTE(SUBSTITUTE(TRIM($D1048),"'",""),"İ","I"),"ı","I"),"i","I"),"Ş","S"),"ş","S"),"Ğ","G"),"ğ","G"),"Ü","U"),"ü","U"),"Ö","O"),"ö","O"),"Ç","C"),"ç","C"),".",""),",","")," ",""),"-","")))</f>
        <v/>
      </c>
      <c r="S1048" s="3">
        <f>IF($D1048="","",$C1048&amp;"|"&amp;TEXT($E1048,"0")&amp;"|"&amp;TEXT($F1048,"0")&amp;"|"&amp;$I1048)</f>
        <v/>
      </c>
      <c r="T1048" s="3">
        <f>IF($E1048="",0,SUMPRODUCT((AY_SONU!$O$7:$O$42="Evet")*(AY_SONU!$B$7:$B$42=DATE(YEAR($E1048),MONTH($E1048),1))))</f>
        <v/>
      </c>
    </row>
    <row r="1049">
      <c r="A1049" s="6" t="n"/>
      <c r="B1049" s="113">
        <f>IF($D1049="","","T"&amp;TEXT(ROW()-6,"00000"))</f>
        <v/>
      </c>
      <c r="C1049" s="113">
        <f>IF($D1049="","",IFERROR(INDEX(MUSTERILER!$B$7:$B$106,MATCH($R1049,MUSTERILER!$T$7:$T$106,0)),IFERROR(INDEX(MUSTERILER!$B$7:$B$106,MATCH($D1049,MUSTERILER!$B$7:$B$106,0)),IFERROR(INDEX(MUSTERILER!$B$7:$B$106,MATCH($R1049&amp;"*",MUSTERILER!$T$7:$T$106,0)),"TANIMSIZ MÜŞTERİ"))))</f>
        <v/>
      </c>
      <c r="D1049" s="109" t="n"/>
      <c r="E1049" s="220" t="n"/>
      <c r="F1049" s="221" t="n"/>
      <c r="G1049" s="108" t="n"/>
      <c r="H1049" s="108" t="n"/>
      <c r="I1049" s="109" t="n"/>
      <c r="J1049" s="109" t="n"/>
      <c r="K1049" s="109" t="n"/>
      <c r="L1049" s="226">
        <f>IF($E1049="","",DATE(YEAR($E1049),MONTH($E1049),1))</f>
        <v/>
      </c>
      <c r="M1049" s="113">
        <f>IF($D1049="","",IF($C1049="TANIMSIZ MÜŞTERİ","HATA",IF(OR($E1049="",$F1049&lt;=0,$G1049=""),"EKSİK",IF($E1049&gt;TODAY(),"İLERİ TARİH",IF(COUNTIF($S$7:$S$1506,$S1049)&gt;1,"MÜKERRER?",IF($T1049&gt;0,"KAPALI DÖNEM","UYGUN"))))))</f>
        <v/>
      </c>
      <c r="N1049" s="121">
        <f>IF($C1049="","",IF($C1049="TANIMSIZ MÜŞTERİ","—",INDEX(MUSTERILER!$C$7:$C$106,MATCH($C1049,MUSTERILER!$B$7:$B$106,0))))</f>
        <v/>
      </c>
      <c r="O1049" s="6" t="n"/>
      <c r="P1049" s="6" t="n"/>
      <c r="Q1049" s="3">
        <f>IF($D1049="","",$C1049&amp;"|"&amp;COUNTIFS($C$7:$C1049,$C1049))</f>
        <v/>
      </c>
      <c r="R1049" s="3">
        <f>IF($D1049="","",UPPER(SUBSTITUTE(SUBSTITUTE(SUBSTITUTE(SUBSTITUTE(SUBSTITUTE(SUBSTITUTE(SUBSTITUTE(SUBSTITUTE(SUBSTITUTE(SUBSTITUTE(SUBSTITUTE(SUBSTITUTE(SUBSTITUTE(SUBSTITUTE(SUBSTITUTE(SUBSTITUTE(SUBSTITUTE(SUBSTITUTE(TRIM($D1049),"'",""),"İ","I"),"ı","I"),"i","I"),"Ş","S"),"ş","S"),"Ğ","G"),"ğ","G"),"Ü","U"),"ü","U"),"Ö","O"),"ö","O"),"Ç","C"),"ç","C"),".",""),",","")," ",""),"-","")))</f>
        <v/>
      </c>
      <c r="S1049" s="3">
        <f>IF($D1049="","",$C1049&amp;"|"&amp;TEXT($E1049,"0")&amp;"|"&amp;TEXT($F1049,"0")&amp;"|"&amp;$I1049)</f>
        <v/>
      </c>
      <c r="T1049" s="3">
        <f>IF($E1049="",0,SUMPRODUCT((AY_SONU!$O$7:$O$42="Evet")*(AY_SONU!$B$7:$B$42=DATE(YEAR($E1049),MONTH($E1049),1))))</f>
        <v/>
      </c>
    </row>
    <row r="1050">
      <c r="A1050" s="6" t="n"/>
      <c r="B1050" s="113">
        <f>IF($D1050="","","T"&amp;TEXT(ROW()-6,"00000"))</f>
        <v/>
      </c>
      <c r="C1050" s="113">
        <f>IF($D1050="","",IFERROR(INDEX(MUSTERILER!$B$7:$B$106,MATCH($R1050,MUSTERILER!$T$7:$T$106,0)),IFERROR(INDEX(MUSTERILER!$B$7:$B$106,MATCH($D1050,MUSTERILER!$B$7:$B$106,0)),IFERROR(INDEX(MUSTERILER!$B$7:$B$106,MATCH($R1050&amp;"*",MUSTERILER!$T$7:$T$106,0)),"TANIMSIZ MÜŞTERİ"))))</f>
        <v/>
      </c>
      <c r="D1050" s="109" t="n"/>
      <c r="E1050" s="220" t="n"/>
      <c r="F1050" s="221" t="n"/>
      <c r="G1050" s="108" t="n"/>
      <c r="H1050" s="108" t="n"/>
      <c r="I1050" s="109" t="n"/>
      <c r="J1050" s="109" t="n"/>
      <c r="K1050" s="109" t="n"/>
      <c r="L1050" s="226">
        <f>IF($E1050="","",DATE(YEAR($E1050),MONTH($E1050),1))</f>
        <v/>
      </c>
      <c r="M1050" s="113">
        <f>IF($D1050="","",IF($C1050="TANIMSIZ MÜŞTERİ","HATA",IF(OR($E1050="",$F1050&lt;=0,$G1050=""),"EKSİK",IF($E1050&gt;TODAY(),"İLERİ TARİH",IF(COUNTIF($S$7:$S$1506,$S1050)&gt;1,"MÜKERRER?",IF($T1050&gt;0,"KAPALI DÖNEM","UYGUN"))))))</f>
        <v/>
      </c>
      <c r="N1050" s="121">
        <f>IF($C1050="","",IF($C1050="TANIMSIZ MÜŞTERİ","—",INDEX(MUSTERILER!$C$7:$C$106,MATCH($C1050,MUSTERILER!$B$7:$B$106,0))))</f>
        <v/>
      </c>
      <c r="O1050" s="6" t="n"/>
      <c r="P1050" s="6" t="n"/>
      <c r="Q1050" s="3">
        <f>IF($D1050="","",$C1050&amp;"|"&amp;COUNTIFS($C$7:$C1050,$C1050))</f>
        <v/>
      </c>
      <c r="R1050" s="3">
        <f>IF($D1050="","",UPPER(SUBSTITUTE(SUBSTITUTE(SUBSTITUTE(SUBSTITUTE(SUBSTITUTE(SUBSTITUTE(SUBSTITUTE(SUBSTITUTE(SUBSTITUTE(SUBSTITUTE(SUBSTITUTE(SUBSTITUTE(SUBSTITUTE(SUBSTITUTE(SUBSTITUTE(SUBSTITUTE(SUBSTITUTE(SUBSTITUTE(TRIM($D1050),"'",""),"İ","I"),"ı","I"),"i","I"),"Ş","S"),"ş","S"),"Ğ","G"),"ğ","G"),"Ü","U"),"ü","U"),"Ö","O"),"ö","O"),"Ç","C"),"ç","C"),".",""),",","")," ",""),"-","")))</f>
        <v/>
      </c>
      <c r="S1050" s="3">
        <f>IF($D1050="","",$C1050&amp;"|"&amp;TEXT($E1050,"0")&amp;"|"&amp;TEXT($F1050,"0")&amp;"|"&amp;$I1050)</f>
        <v/>
      </c>
      <c r="T1050" s="3">
        <f>IF($E1050="",0,SUMPRODUCT((AY_SONU!$O$7:$O$42="Evet")*(AY_SONU!$B$7:$B$42=DATE(YEAR($E1050),MONTH($E1050),1))))</f>
        <v/>
      </c>
    </row>
    <row r="1051">
      <c r="A1051" s="6" t="n"/>
      <c r="B1051" s="113">
        <f>IF($D1051="","","T"&amp;TEXT(ROW()-6,"00000"))</f>
        <v/>
      </c>
      <c r="C1051" s="113">
        <f>IF($D1051="","",IFERROR(INDEX(MUSTERILER!$B$7:$B$106,MATCH($R1051,MUSTERILER!$T$7:$T$106,0)),IFERROR(INDEX(MUSTERILER!$B$7:$B$106,MATCH($D1051,MUSTERILER!$B$7:$B$106,0)),IFERROR(INDEX(MUSTERILER!$B$7:$B$106,MATCH($R1051&amp;"*",MUSTERILER!$T$7:$T$106,0)),"TANIMSIZ MÜŞTERİ"))))</f>
        <v/>
      </c>
      <c r="D1051" s="109" t="n"/>
      <c r="E1051" s="220" t="n"/>
      <c r="F1051" s="221" t="n"/>
      <c r="G1051" s="108" t="n"/>
      <c r="H1051" s="108" t="n"/>
      <c r="I1051" s="109" t="n"/>
      <c r="J1051" s="109" t="n"/>
      <c r="K1051" s="109" t="n"/>
      <c r="L1051" s="226">
        <f>IF($E1051="","",DATE(YEAR($E1051),MONTH($E1051),1))</f>
        <v/>
      </c>
      <c r="M1051" s="113">
        <f>IF($D1051="","",IF($C1051="TANIMSIZ MÜŞTERİ","HATA",IF(OR($E1051="",$F1051&lt;=0,$G1051=""),"EKSİK",IF($E1051&gt;TODAY(),"İLERİ TARİH",IF(COUNTIF($S$7:$S$1506,$S1051)&gt;1,"MÜKERRER?",IF($T1051&gt;0,"KAPALI DÖNEM","UYGUN"))))))</f>
        <v/>
      </c>
      <c r="N1051" s="121">
        <f>IF($C1051="","",IF($C1051="TANIMSIZ MÜŞTERİ","—",INDEX(MUSTERILER!$C$7:$C$106,MATCH($C1051,MUSTERILER!$B$7:$B$106,0))))</f>
        <v/>
      </c>
      <c r="O1051" s="6" t="n"/>
      <c r="P1051" s="6" t="n"/>
      <c r="Q1051" s="3">
        <f>IF($D1051="","",$C1051&amp;"|"&amp;COUNTIFS($C$7:$C1051,$C1051))</f>
        <v/>
      </c>
      <c r="R1051" s="3">
        <f>IF($D1051="","",UPPER(SUBSTITUTE(SUBSTITUTE(SUBSTITUTE(SUBSTITUTE(SUBSTITUTE(SUBSTITUTE(SUBSTITUTE(SUBSTITUTE(SUBSTITUTE(SUBSTITUTE(SUBSTITUTE(SUBSTITUTE(SUBSTITUTE(SUBSTITUTE(SUBSTITUTE(SUBSTITUTE(SUBSTITUTE(SUBSTITUTE(TRIM($D1051),"'",""),"İ","I"),"ı","I"),"i","I"),"Ş","S"),"ş","S"),"Ğ","G"),"ğ","G"),"Ü","U"),"ü","U"),"Ö","O"),"ö","O"),"Ç","C"),"ç","C"),".",""),",","")," ",""),"-","")))</f>
        <v/>
      </c>
      <c r="S1051" s="3">
        <f>IF($D1051="","",$C1051&amp;"|"&amp;TEXT($E1051,"0")&amp;"|"&amp;TEXT($F1051,"0")&amp;"|"&amp;$I1051)</f>
        <v/>
      </c>
      <c r="T1051" s="3">
        <f>IF($E1051="",0,SUMPRODUCT((AY_SONU!$O$7:$O$42="Evet")*(AY_SONU!$B$7:$B$42=DATE(YEAR($E1051),MONTH($E1051),1))))</f>
        <v/>
      </c>
    </row>
    <row r="1052">
      <c r="A1052" s="6" t="n"/>
      <c r="B1052" s="113">
        <f>IF($D1052="","","T"&amp;TEXT(ROW()-6,"00000"))</f>
        <v/>
      </c>
      <c r="C1052" s="113">
        <f>IF($D1052="","",IFERROR(INDEX(MUSTERILER!$B$7:$B$106,MATCH($R1052,MUSTERILER!$T$7:$T$106,0)),IFERROR(INDEX(MUSTERILER!$B$7:$B$106,MATCH($D1052,MUSTERILER!$B$7:$B$106,0)),IFERROR(INDEX(MUSTERILER!$B$7:$B$106,MATCH($R1052&amp;"*",MUSTERILER!$T$7:$T$106,0)),"TANIMSIZ MÜŞTERİ"))))</f>
        <v/>
      </c>
      <c r="D1052" s="109" t="n"/>
      <c r="E1052" s="220" t="n"/>
      <c r="F1052" s="221" t="n"/>
      <c r="G1052" s="108" t="n"/>
      <c r="H1052" s="108" t="n"/>
      <c r="I1052" s="109" t="n"/>
      <c r="J1052" s="109" t="n"/>
      <c r="K1052" s="109" t="n"/>
      <c r="L1052" s="226">
        <f>IF($E1052="","",DATE(YEAR($E1052),MONTH($E1052),1))</f>
        <v/>
      </c>
      <c r="M1052" s="113">
        <f>IF($D1052="","",IF($C1052="TANIMSIZ MÜŞTERİ","HATA",IF(OR($E1052="",$F1052&lt;=0,$G1052=""),"EKSİK",IF($E1052&gt;TODAY(),"İLERİ TARİH",IF(COUNTIF($S$7:$S$1506,$S1052)&gt;1,"MÜKERRER?",IF($T1052&gt;0,"KAPALI DÖNEM","UYGUN"))))))</f>
        <v/>
      </c>
      <c r="N1052" s="121">
        <f>IF($C1052="","",IF($C1052="TANIMSIZ MÜŞTERİ","—",INDEX(MUSTERILER!$C$7:$C$106,MATCH($C1052,MUSTERILER!$B$7:$B$106,0))))</f>
        <v/>
      </c>
      <c r="O1052" s="6" t="n"/>
      <c r="P1052" s="6" t="n"/>
      <c r="Q1052" s="3">
        <f>IF($D1052="","",$C1052&amp;"|"&amp;COUNTIFS($C$7:$C1052,$C1052))</f>
        <v/>
      </c>
      <c r="R1052" s="3">
        <f>IF($D1052="","",UPPER(SUBSTITUTE(SUBSTITUTE(SUBSTITUTE(SUBSTITUTE(SUBSTITUTE(SUBSTITUTE(SUBSTITUTE(SUBSTITUTE(SUBSTITUTE(SUBSTITUTE(SUBSTITUTE(SUBSTITUTE(SUBSTITUTE(SUBSTITUTE(SUBSTITUTE(SUBSTITUTE(SUBSTITUTE(SUBSTITUTE(TRIM($D1052),"'",""),"İ","I"),"ı","I"),"i","I"),"Ş","S"),"ş","S"),"Ğ","G"),"ğ","G"),"Ü","U"),"ü","U"),"Ö","O"),"ö","O"),"Ç","C"),"ç","C"),".",""),",","")," ",""),"-","")))</f>
        <v/>
      </c>
      <c r="S1052" s="3">
        <f>IF($D1052="","",$C1052&amp;"|"&amp;TEXT($E1052,"0")&amp;"|"&amp;TEXT($F1052,"0")&amp;"|"&amp;$I1052)</f>
        <v/>
      </c>
      <c r="T1052" s="3">
        <f>IF($E1052="",0,SUMPRODUCT((AY_SONU!$O$7:$O$42="Evet")*(AY_SONU!$B$7:$B$42=DATE(YEAR($E1052),MONTH($E1052),1))))</f>
        <v/>
      </c>
    </row>
    <row r="1053">
      <c r="A1053" s="6" t="n"/>
      <c r="B1053" s="113">
        <f>IF($D1053="","","T"&amp;TEXT(ROW()-6,"00000"))</f>
        <v/>
      </c>
      <c r="C1053" s="113">
        <f>IF($D1053="","",IFERROR(INDEX(MUSTERILER!$B$7:$B$106,MATCH($R1053,MUSTERILER!$T$7:$T$106,0)),IFERROR(INDEX(MUSTERILER!$B$7:$B$106,MATCH($D1053,MUSTERILER!$B$7:$B$106,0)),IFERROR(INDEX(MUSTERILER!$B$7:$B$106,MATCH($R1053&amp;"*",MUSTERILER!$T$7:$T$106,0)),"TANIMSIZ MÜŞTERİ"))))</f>
        <v/>
      </c>
      <c r="D1053" s="109" t="n"/>
      <c r="E1053" s="220" t="n"/>
      <c r="F1053" s="221" t="n"/>
      <c r="G1053" s="108" t="n"/>
      <c r="H1053" s="108" t="n"/>
      <c r="I1053" s="109" t="n"/>
      <c r="J1053" s="109" t="n"/>
      <c r="K1053" s="109" t="n"/>
      <c r="L1053" s="226">
        <f>IF($E1053="","",DATE(YEAR($E1053),MONTH($E1053),1))</f>
        <v/>
      </c>
      <c r="M1053" s="113">
        <f>IF($D1053="","",IF($C1053="TANIMSIZ MÜŞTERİ","HATA",IF(OR($E1053="",$F1053&lt;=0,$G1053=""),"EKSİK",IF($E1053&gt;TODAY(),"İLERİ TARİH",IF(COUNTIF($S$7:$S$1506,$S1053)&gt;1,"MÜKERRER?",IF($T1053&gt;0,"KAPALI DÖNEM","UYGUN"))))))</f>
        <v/>
      </c>
      <c r="N1053" s="121">
        <f>IF($C1053="","",IF($C1053="TANIMSIZ MÜŞTERİ","—",INDEX(MUSTERILER!$C$7:$C$106,MATCH($C1053,MUSTERILER!$B$7:$B$106,0))))</f>
        <v/>
      </c>
      <c r="O1053" s="6" t="n"/>
      <c r="P1053" s="6" t="n"/>
      <c r="Q1053" s="3">
        <f>IF($D1053="","",$C1053&amp;"|"&amp;COUNTIFS($C$7:$C1053,$C1053))</f>
        <v/>
      </c>
      <c r="R1053" s="3">
        <f>IF($D1053="","",UPPER(SUBSTITUTE(SUBSTITUTE(SUBSTITUTE(SUBSTITUTE(SUBSTITUTE(SUBSTITUTE(SUBSTITUTE(SUBSTITUTE(SUBSTITUTE(SUBSTITUTE(SUBSTITUTE(SUBSTITUTE(SUBSTITUTE(SUBSTITUTE(SUBSTITUTE(SUBSTITUTE(SUBSTITUTE(SUBSTITUTE(TRIM($D1053),"'",""),"İ","I"),"ı","I"),"i","I"),"Ş","S"),"ş","S"),"Ğ","G"),"ğ","G"),"Ü","U"),"ü","U"),"Ö","O"),"ö","O"),"Ç","C"),"ç","C"),".",""),",","")," ",""),"-","")))</f>
        <v/>
      </c>
      <c r="S1053" s="3">
        <f>IF($D1053="","",$C1053&amp;"|"&amp;TEXT($E1053,"0")&amp;"|"&amp;TEXT($F1053,"0")&amp;"|"&amp;$I1053)</f>
        <v/>
      </c>
      <c r="T1053" s="3">
        <f>IF($E1053="",0,SUMPRODUCT((AY_SONU!$O$7:$O$42="Evet")*(AY_SONU!$B$7:$B$42=DATE(YEAR($E1053),MONTH($E1053),1))))</f>
        <v/>
      </c>
    </row>
    <row r="1054">
      <c r="A1054" s="6" t="n"/>
      <c r="B1054" s="113">
        <f>IF($D1054="","","T"&amp;TEXT(ROW()-6,"00000"))</f>
        <v/>
      </c>
      <c r="C1054" s="113">
        <f>IF($D1054="","",IFERROR(INDEX(MUSTERILER!$B$7:$B$106,MATCH($R1054,MUSTERILER!$T$7:$T$106,0)),IFERROR(INDEX(MUSTERILER!$B$7:$B$106,MATCH($D1054,MUSTERILER!$B$7:$B$106,0)),IFERROR(INDEX(MUSTERILER!$B$7:$B$106,MATCH($R1054&amp;"*",MUSTERILER!$T$7:$T$106,0)),"TANIMSIZ MÜŞTERİ"))))</f>
        <v/>
      </c>
      <c r="D1054" s="109" t="n"/>
      <c r="E1054" s="220" t="n"/>
      <c r="F1054" s="221" t="n"/>
      <c r="G1054" s="108" t="n"/>
      <c r="H1054" s="108" t="n"/>
      <c r="I1054" s="109" t="n"/>
      <c r="J1054" s="109" t="n"/>
      <c r="K1054" s="109" t="n"/>
      <c r="L1054" s="226">
        <f>IF($E1054="","",DATE(YEAR($E1054),MONTH($E1054),1))</f>
        <v/>
      </c>
      <c r="M1054" s="113">
        <f>IF($D1054="","",IF($C1054="TANIMSIZ MÜŞTERİ","HATA",IF(OR($E1054="",$F1054&lt;=0,$G1054=""),"EKSİK",IF($E1054&gt;TODAY(),"İLERİ TARİH",IF(COUNTIF($S$7:$S$1506,$S1054)&gt;1,"MÜKERRER?",IF($T1054&gt;0,"KAPALI DÖNEM","UYGUN"))))))</f>
        <v/>
      </c>
      <c r="N1054" s="121">
        <f>IF($C1054="","",IF($C1054="TANIMSIZ MÜŞTERİ","—",INDEX(MUSTERILER!$C$7:$C$106,MATCH($C1054,MUSTERILER!$B$7:$B$106,0))))</f>
        <v/>
      </c>
      <c r="O1054" s="6" t="n"/>
      <c r="P1054" s="6" t="n"/>
      <c r="Q1054" s="3">
        <f>IF($D1054="","",$C1054&amp;"|"&amp;COUNTIFS($C$7:$C1054,$C1054))</f>
        <v/>
      </c>
      <c r="R1054" s="3">
        <f>IF($D1054="","",UPPER(SUBSTITUTE(SUBSTITUTE(SUBSTITUTE(SUBSTITUTE(SUBSTITUTE(SUBSTITUTE(SUBSTITUTE(SUBSTITUTE(SUBSTITUTE(SUBSTITUTE(SUBSTITUTE(SUBSTITUTE(SUBSTITUTE(SUBSTITUTE(SUBSTITUTE(SUBSTITUTE(SUBSTITUTE(SUBSTITUTE(TRIM($D1054),"'",""),"İ","I"),"ı","I"),"i","I"),"Ş","S"),"ş","S"),"Ğ","G"),"ğ","G"),"Ü","U"),"ü","U"),"Ö","O"),"ö","O"),"Ç","C"),"ç","C"),".",""),",","")," ",""),"-","")))</f>
        <v/>
      </c>
      <c r="S1054" s="3">
        <f>IF($D1054="","",$C1054&amp;"|"&amp;TEXT($E1054,"0")&amp;"|"&amp;TEXT($F1054,"0")&amp;"|"&amp;$I1054)</f>
        <v/>
      </c>
      <c r="T1054" s="3">
        <f>IF($E1054="",0,SUMPRODUCT((AY_SONU!$O$7:$O$42="Evet")*(AY_SONU!$B$7:$B$42=DATE(YEAR($E1054),MONTH($E1054),1))))</f>
        <v/>
      </c>
    </row>
    <row r="1055">
      <c r="A1055" s="6" t="n"/>
      <c r="B1055" s="113">
        <f>IF($D1055="","","T"&amp;TEXT(ROW()-6,"00000"))</f>
        <v/>
      </c>
      <c r="C1055" s="113">
        <f>IF($D1055="","",IFERROR(INDEX(MUSTERILER!$B$7:$B$106,MATCH($R1055,MUSTERILER!$T$7:$T$106,0)),IFERROR(INDEX(MUSTERILER!$B$7:$B$106,MATCH($D1055,MUSTERILER!$B$7:$B$106,0)),IFERROR(INDEX(MUSTERILER!$B$7:$B$106,MATCH($R1055&amp;"*",MUSTERILER!$T$7:$T$106,0)),"TANIMSIZ MÜŞTERİ"))))</f>
        <v/>
      </c>
      <c r="D1055" s="109" t="n"/>
      <c r="E1055" s="220" t="n"/>
      <c r="F1055" s="221" t="n"/>
      <c r="G1055" s="108" t="n"/>
      <c r="H1055" s="108" t="n"/>
      <c r="I1055" s="109" t="n"/>
      <c r="J1055" s="109" t="n"/>
      <c r="K1055" s="109" t="n"/>
      <c r="L1055" s="226">
        <f>IF($E1055="","",DATE(YEAR($E1055),MONTH($E1055),1))</f>
        <v/>
      </c>
      <c r="M1055" s="113">
        <f>IF($D1055="","",IF($C1055="TANIMSIZ MÜŞTERİ","HATA",IF(OR($E1055="",$F1055&lt;=0,$G1055=""),"EKSİK",IF($E1055&gt;TODAY(),"İLERİ TARİH",IF(COUNTIF($S$7:$S$1506,$S1055)&gt;1,"MÜKERRER?",IF($T1055&gt;0,"KAPALI DÖNEM","UYGUN"))))))</f>
        <v/>
      </c>
      <c r="N1055" s="121">
        <f>IF($C1055="","",IF($C1055="TANIMSIZ MÜŞTERİ","—",INDEX(MUSTERILER!$C$7:$C$106,MATCH($C1055,MUSTERILER!$B$7:$B$106,0))))</f>
        <v/>
      </c>
      <c r="O1055" s="6" t="n"/>
      <c r="P1055" s="6" t="n"/>
      <c r="Q1055" s="3">
        <f>IF($D1055="","",$C1055&amp;"|"&amp;COUNTIFS($C$7:$C1055,$C1055))</f>
        <v/>
      </c>
      <c r="R1055" s="3">
        <f>IF($D1055="","",UPPER(SUBSTITUTE(SUBSTITUTE(SUBSTITUTE(SUBSTITUTE(SUBSTITUTE(SUBSTITUTE(SUBSTITUTE(SUBSTITUTE(SUBSTITUTE(SUBSTITUTE(SUBSTITUTE(SUBSTITUTE(SUBSTITUTE(SUBSTITUTE(SUBSTITUTE(SUBSTITUTE(SUBSTITUTE(SUBSTITUTE(TRIM($D1055),"'",""),"İ","I"),"ı","I"),"i","I"),"Ş","S"),"ş","S"),"Ğ","G"),"ğ","G"),"Ü","U"),"ü","U"),"Ö","O"),"ö","O"),"Ç","C"),"ç","C"),".",""),",","")," ",""),"-","")))</f>
        <v/>
      </c>
      <c r="S1055" s="3">
        <f>IF($D1055="","",$C1055&amp;"|"&amp;TEXT($E1055,"0")&amp;"|"&amp;TEXT($F1055,"0")&amp;"|"&amp;$I1055)</f>
        <v/>
      </c>
      <c r="T1055" s="3">
        <f>IF($E1055="",0,SUMPRODUCT((AY_SONU!$O$7:$O$42="Evet")*(AY_SONU!$B$7:$B$42=DATE(YEAR($E1055),MONTH($E1055),1))))</f>
        <v/>
      </c>
    </row>
    <row r="1056">
      <c r="A1056" s="6" t="n"/>
      <c r="B1056" s="113">
        <f>IF($D1056="","","T"&amp;TEXT(ROW()-6,"00000"))</f>
        <v/>
      </c>
      <c r="C1056" s="113">
        <f>IF($D1056="","",IFERROR(INDEX(MUSTERILER!$B$7:$B$106,MATCH($R1056,MUSTERILER!$T$7:$T$106,0)),IFERROR(INDEX(MUSTERILER!$B$7:$B$106,MATCH($D1056,MUSTERILER!$B$7:$B$106,0)),IFERROR(INDEX(MUSTERILER!$B$7:$B$106,MATCH($R1056&amp;"*",MUSTERILER!$T$7:$T$106,0)),"TANIMSIZ MÜŞTERİ"))))</f>
        <v/>
      </c>
      <c r="D1056" s="109" t="n"/>
      <c r="E1056" s="220" t="n"/>
      <c r="F1056" s="221" t="n"/>
      <c r="G1056" s="108" t="n"/>
      <c r="H1056" s="108" t="n"/>
      <c r="I1056" s="109" t="n"/>
      <c r="J1056" s="109" t="n"/>
      <c r="K1056" s="109" t="n"/>
      <c r="L1056" s="226">
        <f>IF($E1056="","",DATE(YEAR($E1056),MONTH($E1056),1))</f>
        <v/>
      </c>
      <c r="M1056" s="113">
        <f>IF($D1056="","",IF($C1056="TANIMSIZ MÜŞTERİ","HATA",IF(OR($E1056="",$F1056&lt;=0,$G1056=""),"EKSİK",IF($E1056&gt;TODAY(),"İLERİ TARİH",IF(COUNTIF($S$7:$S$1506,$S1056)&gt;1,"MÜKERRER?",IF($T1056&gt;0,"KAPALI DÖNEM","UYGUN"))))))</f>
        <v/>
      </c>
      <c r="N1056" s="121">
        <f>IF($C1056="","",IF($C1056="TANIMSIZ MÜŞTERİ","—",INDEX(MUSTERILER!$C$7:$C$106,MATCH($C1056,MUSTERILER!$B$7:$B$106,0))))</f>
        <v/>
      </c>
      <c r="O1056" s="6" t="n"/>
      <c r="P1056" s="6" t="n"/>
      <c r="Q1056" s="3">
        <f>IF($D1056="","",$C1056&amp;"|"&amp;COUNTIFS($C$7:$C1056,$C1056))</f>
        <v/>
      </c>
      <c r="R1056" s="3">
        <f>IF($D1056="","",UPPER(SUBSTITUTE(SUBSTITUTE(SUBSTITUTE(SUBSTITUTE(SUBSTITUTE(SUBSTITUTE(SUBSTITUTE(SUBSTITUTE(SUBSTITUTE(SUBSTITUTE(SUBSTITUTE(SUBSTITUTE(SUBSTITUTE(SUBSTITUTE(SUBSTITUTE(SUBSTITUTE(SUBSTITUTE(SUBSTITUTE(TRIM($D1056),"'",""),"İ","I"),"ı","I"),"i","I"),"Ş","S"),"ş","S"),"Ğ","G"),"ğ","G"),"Ü","U"),"ü","U"),"Ö","O"),"ö","O"),"Ç","C"),"ç","C"),".",""),",","")," ",""),"-","")))</f>
        <v/>
      </c>
      <c r="S1056" s="3">
        <f>IF($D1056="","",$C1056&amp;"|"&amp;TEXT($E1056,"0")&amp;"|"&amp;TEXT($F1056,"0")&amp;"|"&amp;$I1056)</f>
        <v/>
      </c>
      <c r="T1056" s="3">
        <f>IF($E1056="",0,SUMPRODUCT((AY_SONU!$O$7:$O$42="Evet")*(AY_SONU!$B$7:$B$42=DATE(YEAR($E1056),MONTH($E1056),1))))</f>
        <v/>
      </c>
    </row>
    <row r="1057">
      <c r="A1057" s="6" t="n"/>
      <c r="B1057" s="113">
        <f>IF($D1057="","","T"&amp;TEXT(ROW()-6,"00000"))</f>
        <v/>
      </c>
      <c r="C1057" s="113">
        <f>IF($D1057="","",IFERROR(INDEX(MUSTERILER!$B$7:$B$106,MATCH($R1057,MUSTERILER!$T$7:$T$106,0)),IFERROR(INDEX(MUSTERILER!$B$7:$B$106,MATCH($D1057,MUSTERILER!$B$7:$B$106,0)),IFERROR(INDEX(MUSTERILER!$B$7:$B$106,MATCH($R1057&amp;"*",MUSTERILER!$T$7:$T$106,0)),"TANIMSIZ MÜŞTERİ"))))</f>
        <v/>
      </c>
      <c r="D1057" s="109" t="n"/>
      <c r="E1057" s="220" t="n"/>
      <c r="F1057" s="221" t="n"/>
      <c r="G1057" s="108" t="n"/>
      <c r="H1057" s="108" t="n"/>
      <c r="I1057" s="109" t="n"/>
      <c r="J1057" s="109" t="n"/>
      <c r="K1057" s="109" t="n"/>
      <c r="L1057" s="226">
        <f>IF($E1057="","",DATE(YEAR($E1057),MONTH($E1057),1))</f>
        <v/>
      </c>
      <c r="M1057" s="113">
        <f>IF($D1057="","",IF($C1057="TANIMSIZ MÜŞTERİ","HATA",IF(OR($E1057="",$F1057&lt;=0,$G1057=""),"EKSİK",IF($E1057&gt;TODAY(),"İLERİ TARİH",IF(COUNTIF($S$7:$S$1506,$S1057)&gt;1,"MÜKERRER?",IF($T1057&gt;0,"KAPALI DÖNEM","UYGUN"))))))</f>
        <v/>
      </c>
      <c r="N1057" s="121">
        <f>IF($C1057="","",IF($C1057="TANIMSIZ MÜŞTERİ","—",INDEX(MUSTERILER!$C$7:$C$106,MATCH($C1057,MUSTERILER!$B$7:$B$106,0))))</f>
        <v/>
      </c>
      <c r="O1057" s="6" t="n"/>
      <c r="P1057" s="6" t="n"/>
      <c r="Q1057" s="3">
        <f>IF($D1057="","",$C1057&amp;"|"&amp;COUNTIFS($C$7:$C1057,$C1057))</f>
        <v/>
      </c>
      <c r="R1057" s="3">
        <f>IF($D1057="","",UPPER(SUBSTITUTE(SUBSTITUTE(SUBSTITUTE(SUBSTITUTE(SUBSTITUTE(SUBSTITUTE(SUBSTITUTE(SUBSTITUTE(SUBSTITUTE(SUBSTITUTE(SUBSTITUTE(SUBSTITUTE(SUBSTITUTE(SUBSTITUTE(SUBSTITUTE(SUBSTITUTE(SUBSTITUTE(SUBSTITUTE(TRIM($D1057),"'",""),"İ","I"),"ı","I"),"i","I"),"Ş","S"),"ş","S"),"Ğ","G"),"ğ","G"),"Ü","U"),"ü","U"),"Ö","O"),"ö","O"),"Ç","C"),"ç","C"),".",""),",","")," ",""),"-","")))</f>
        <v/>
      </c>
      <c r="S1057" s="3">
        <f>IF($D1057="","",$C1057&amp;"|"&amp;TEXT($E1057,"0")&amp;"|"&amp;TEXT($F1057,"0")&amp;"|"&amp;$I1057)</f>
        <v/>
      </c>
      <c r="T1057" s="3">
        <f>IF($E1057="",0,SUMPRODUCT((AY_SONU!$O$7:$O$42="Evet")*(AY_SONU!$B$7:$B$42=DATE(YEAR($E1057),MONTH($E1057),1))))</f>
        <v/>
      </c>
    </row>
    <row r="1058">
      <c r="A1058" s="6" t="n"/>
      <c r="B1058" s="113">
        <f>IF($D1058="","","T"&amp;TEXT(ROW()-6,"00000"))</f>
        <v/>
      </c>
      <c r="C1058" s="113">
        <f>IF($D1058="","",IFERROR(INDEX(MUSTERILER!$B$7:$B$106,MATCH($R1058,MUSTERILER!$T$7:$T$106,0)),IFERROR(INDEX(MUSTERILER!$B$7:$B$106,MATCH($D1058,MUSTERILER!$B$7:$B$106,0)),IFERROR(INDEX(MUSTERILER!$B$7:$B$106,MATCH($R1058&amp;"*",MUSTERILER!$T$7:$T$106,0)),"TANIMSIZ MÜŞTERİ"))))</f>
        <v/>
      </c>
      <c r="D1058" s="109" t="n"/>
      <c r="E1058" s="220" t="n"/>
      <c r="F1058" s="221" t="n"/>
      <c r="G1058" s="108" t="n"/>
      <c r="H1058" s="108" t="n"/>
      <c r="I1058" s="109" t="n"/>
      <c r="J1058" s="109" t="n"/>
      <c r="K1058" s="109" t="n"/>
      <c r="L1058" s="226">
        <f>IF($E1058="","",DATE(YEAR($E1058),MONTH($E1058),1))</f>
        <v/>
      </c>
      <c r="M1058" s="113">
        <f>IF($D1058="","",IF($C1058="TANIMSIZ MÜŞTERİ","HATA",IF(OR($E1058="",$F1058&lt;=0,$G1058=""),"EKSİK",IF($E1058&gt;TODAY(),"İLERİ TARİH",IF(COUNTIF($S$7:$S$1506,$S1058)&gt;1,"MÜKERRER?",IF($T1058&gt;0,"KAPALI DÖNEM","UYGUN"))))))</f>
        <v/>
      </c>
      <c r="N1058" s="121">
        <f>IF($C1058="","",IF($C1058="TANIMSIZ MÜŞTERİ","—",INDEX(MUSTERILER!$C$7:$C$106,MATCH($C1058,MUSTERILER!$B$7:$B$106,0))))</f>
        <v/>
      </c>
      <c r="O1058" s="6" t="n"/>
      <c r="P1058" s="6" t="n"/>
      <c r="Q1058" s="3">
        <f>IF($D1058="","",$C1058&amp;"|"&amp;COUNTIFS($C$7:$C1058,$C1058))</f>
        <v/>
      </c>
      <c r="R1058" s="3">
        <f>IF($D1058="","",UPPER(SUBSTITUTE(SUBSTITUTE(SUBSTITUTE(SUBSTITUTE(SUBSTITUTE(SUBSTITUTE(SUBSTITUTE(SUBSTITUTE(SUBSTITUTE(SUBSTITUTE(SUBSTITUTE(SUBSTITUTE(SUBSTITUTE(SUBSTITUTE(SUBSTITUTE(SUBSTITUTE(SUBSTITUTE(SUBSTITUTE(TRIM($D1058),"'",""),"İ","I"),"ı","I"),"i","I"),"Ş","S"),"ş","S"),"Ğ","G"),"ğ","G"),"Ü","U"),"ü","U"),"Ö","O"),"ö","O"),"Ç","C"),"ç","C"),".",""),",","")," ",""),"-","")))</f>
        <v/>
      </c>
      <c r="S1058" s="3">
        <f>IF($D1058="","",$C1058&amp;"|"&amp;TEXT($E1058,"0")&amp;"|"&amp;TEXT($F1058,"0")&amp;"|"&amp;$I1058)</f>
        <v/>
      </c>
      <c r="T1058" s="3">
        <f>IF($E1058="",0,SUMPRODUCT((AY_SONU!$O$7:$O$42="Evet")*(AY_SONU!$B$7:$B$42=DATE(YEAR($E1058),MONTH($E1058),1))))</f>
        <v/>
      </c>
    </row>
    <row r="1059">
      <c r="A1059" s="6" t="n"/>
      <c r="B1059" s="113">
        <f>IF($D1059="","","T"&amp;TEXT(ROW()-6,"00000"))</f>
        <v/>
      </c>
      <c r="C1059" s="113">
        <f>IF($D1059="","",IFERROR(INDEX(MUSTERILER!$B$7:$B$106,MATCH($R1059,MUSTERILER!$T$7:$T$106,0)),IFERROR(INDEX(MUSTERILER!$B$7:$B$106,MATCH($D1059,MUSTERILER!$B$7:$B$106,0)),IFERROR(INDEX(MUSTERILER!$B$7:$B$106,MATCH($R1059&amp;"*",MUSTERILER!$T$7:$T$106,0)),"TANIMSIZ MÜŞTERİ"))))</f>
        <v/>
      </c>
      <c r="D1059" s="109" t="n"/>
      <c r="E1059" s="220" t="n"/>
      <c r="F1059" s="221" t="n"/>
      <c r="G1059" s="108" t="n"/>
      <c r="H1059" s="108" t="n"/>
      <c r="I1059" s="109" t="n"/>
      <c r="J1059" s="109" t="n"/>
      <c r="K1059" s="109" t="n"/>
      <c r="L1059" s="226">
        <f>IF($E1059="","",DATE(YEAR($E1059),MONTH($E1059),1))</f>
        <v/>
      </c>
      <c r="M1059" s="113">
        <f>IF($D1059="","",IF($C1059="TANIMSIZ MÜŞTERİ","HATA",IF(OR($E1059="",$F1059&lt;=0,$G1059=""),"EKSİK",IF($E1059&gt;TODAY(),"İLERİ TARİH",IF(COUNTIF($S$7:$S$1506,$S1059)&gt;1,"MÜKERRER?",IF($T1059&gt;0,"KAPALI DÖNEM","UYGUN"))))))</f>
        <v/>
      </c>
      <c r="N1059" s="121">
        <f>IF($C1059="","",IF($C1059="TANIMSIZ MÜŞTERİ","—",INDEX(MUSTERILER!$C$7:$C$106,MATCH($C1059,MUSTERILER!$B$7:$B$106,0))))</f>
        <v/>
      </c>
      <c r="O1059" s="6" t="n"/>
      <c r="P1059" s="6" t="n"/>
      <c r="Q1059" s="3">
        <f>IF($D1059="","",$C1059&amp;"|"&amp;COUNTIFS($C$7:$C1059,$C1059))</f>
        <v/>
      </c>
      <c r="R1059" s="3">
        <f>IF($D1059="","",UPPER(SUBSTITUTE(SUBSTITUTE(SUBSTITUTE(SUBSTITUTE(SUBSTITUTE(SUBSTITUTE(SUBSTITUTE(SUBSTITUTE(SUBSTITUTE(SUBSTITUTE(SUBSTITUTE(SUBSTITUTE(SUBSTITUTE(SUBSTITUTE(SUBSTITUTE(SUBSTITUTE(SUBSTITUTE(SUBSTITUTE(TRIM($D1059),"'",""),"İ","I"),"ı","I"),"i","I"),"Ş","S"),"ş","S"),"Ğ","G"),"ğ","G"),"Ü","U"),"ü","U"),"Ö","O"),"ö","O"),"Ç","C"),"ç","C"),".",""),",","")," ",""),"-","")))</f>
        <v/>
      </c>
      <c r="S1059" s="3">
        <f>IF($D1059="","",$C1059&amp;"|"&amp;TEXT($E1059,"0")&amp;"|"&amp;TEXT($F1059,"0")&amp;"|"&amp;$I1059)</f>
        <v/>
      </c>
      <c r="T1059" s="3">
        <f>IF($E1059="",0,SUMPRODUCT((AY_SONU!$O$7:$O$42="Evet")*(AY_SONU!$B$7:$B$42=DATE(YEAR($E1059),MONTH($E1059),1))))</f>
        <v/>
      </c>
    </row>
    <row r="1060">
      <c r="A1060" s="6" t="n"/>
      <c r="B1060" s="113">
        <f>IF($D1060="","","T"&amp;TEXT(ROW()-6,"00000"))</f>
        <v/>
      </c>
      <c r="C1060" s="113">
        <f>IF($D1060="","",IFERROR(INDEX(MUSTERILER!$B$7:$B$106,MATCH($R1060,MUSTERILER!$T$7:$T$106,0)),IFERROR(INDEX(MUSTERILER!$B$7:$B$106,MATCH($D1060,MUSTERILER!$B$7:$B$106,0)),IFERROR(INDEX(MUSTERILER!$B$7:$B$106,MATCH($R1060&amp;"*",MUSTERILER!$T$7:$T$106,0)),"TANIMSIZ MÜŞTERİ"))))</f>
        <v/>
      </c>
      <c r="D1060" s="109" t="n"/>
      <c r="E1060" s="220" t="n"/>
      <c r="F1060" s="221" t="n"/>
      <c r="G1060" s="108" t="n"/>
      <c r="H1060" s="108" t="n"/>
      <c r="I1060" s="109" t="n"/>
      <c r="J1060" s="109" t="n"/>
      <c r="K1060" s="109" t="n"/>
      <c r="L1060" s="226">
        <f>IF($E1060="","",DATE(YEAR($E1060),MONTH($E1060),1))</f>
        <v/>
      </c>
      <c r="M1060" s="113">
        <f>IF($D1060="","",IF($C1060="TANIMSIZ MÜŞTERİ","HATA",IF(OR($E1060="",$F1060&lt;=0,$G1060=""),"EKSİK",IF($E1060&gt;TODAY(),"İLERİ TARİH",IF(COUNTIF($S$7:$S$1506,$S1060)&gt;1,"MÜKERRER?",IF($T1060&gt;0,"KAPALI DÖNEM","UYGUN"))))))</f>
        <v/>
      </c>
      <c r="N1060" s="121">
        <f>IF($C1060="","",IF($C1060="TANIMSIZ MÜŞTERİ","—",INDEX(MUSTERILER!$C$7:$C$106,MATCH($C1060,MUSTERILER!$B$7:$B$106,0))))</f>
        <v/>
      </c>
      <c r="O1060" s="6" t="n"/>
      <c r="P1060" s="6" t="n"/>
      <c r="Q1060" s="3">
        <f>IF($D1060="","",$C1060&amp;"|"&amp;COUNTIFS($C$7:$C1060,$C1060))</f>
        <v/>
      </c>
      <c r="R1060" s="3">
        <f>IF($D1060="","",UPPER(SUBSTITUTE(SUBSTITUTE(SUBSTITUTE(SUBSTITUTE(SUBSTITUTE(SUBSTITUTE(SUBSTITUTE(SUBSTITUTE(SUBSTITUTE(SUBSTITUTE(SUBSTITUTE(SUBSTITUTE(SUBSTITUTE(SUBSTITUTE(SUBSTITUTE(SUBSTITUTE(SUBSTITUTE(SUBSTITUTE(TRIM($D1060),"'",""),"İ","I"),"ı","I"),"i","I"),"Ş","S"),"ş","S"),"Ğ","G"),"ğ","G"),"Ü","U"),"ü","U"),"Ö","O"),"ö","O"),"Ç","C"),"ç","C"),".",""),",","")," ",""),"-","")))</f>
        <v/>
      </c>
      <c r="S1060" s="3">
        <f>IF($D1060="","",$C1060&amp;"|"&amp;TEXT($E1060,"0")&amp;"|"&amp;TEXT($F1060,"0")&amp;"|"&amp;$I1060)</f>
        <v/>
      </c>
      <c r="T1060" s="3">
        <f>IF($E1060="",0,SUMPRODUCT((AY_SONU!$O$7:$O$42="Evet")*(AY_SONU!$B$7:$B$42=DATE(YEAR($E1060),MONTH($E1060),1))))</f>
        <v/>
      </c>
    </row>
    <row r="1061">
      <c r="A1061" s="6" t="n"/>
      <c r="B1061" s="113">
        <f>IF($D1061="","","T"&amp;TEXT(ROW()-6,"00000"))</f>
        <v/>
      </c>
      <c r="C1061" s="113">
        <f>IF($D1061="","",IFERROR(INDEX(MUSTERILER!$B$7:$B$106,MATCH($R1061,MUSTERILER!$T$7:$T$106,0)),IFERROR(INDEX(MUSTERILER!$B$7:$B$106,MATCH($D1061,MUSTERILER!$B$7:$B$106,0)),IFERROR(INDEX(MUSTERILER!$B$7:$B$106,MATCH($R1061&amp;"*",MUSTERILER!$T$7:$T$106,0)),"TANIMSIZ MÜŞTERİ"))))</f>
        <v/>
      </c>
      <c r="D1061" s="109" t="n"/>
      <c r="E1061" s="220" t="n"/>
      <c r="F1061" s="221" t="n"/>
      <c r="G1061" s="108" t="n"/>
      <c r="H1061" s="108" t="n"/>
      <c r="I1061" s="109" t="n"/>
      <c r="J1061" s="109" t="n"/>
      <c r="K1061" s="109" t="n"/>
      <c r="L1061" s="226">
        <f>IF($E1061="","",DATE(YEAR($E1061),MONTH($E1061),1))</f>
        <v/>
      </c>
      <c r="M1061" s="113">
        <f>IF($D1061="","",IF($C1061="TANIMSIZ MÜŞTERİ","HATA",IF(OR($E1061="",$F1061&lt;=0,$G1061=""),"EKSİK",IF($E1061&gt;TODAY(),"İLERİ TARİH",IF(COUNTIF($S$7:$S$1506,$S1061)&gt;1,"MÜKERRER?",IF($T1061&gt;0,"KAPALI DÖNEM","UYGUN"))))))</f>
        <v/>
      </c>
      <c r="N1061" s="121">
        <f>IF($C1061="","",IF($C1061="TANIMSIZ MÜŞTERİ","—",INDEX(MUSTERILER!$C$7:$C$106,MATCH($C1061,MUSTERILER!$B$7:$B$106,0))))</f>
        <v/>
      </c>
      <c r="O1061" s="6" t="n"/>
      <c r="P1061" s="6" t="n"/>
      <c r="Q1061" s="3">
        <f>IF($D1061="","",$C1061&amp;"|"&amp;COUNTIFS($C$7:$C1061,$C1061))</f>
        <v/>
      </c>
      <c r="R1061" s="3">
        <f>IF($D1061="","",UPPER(SUBSTITUTE(SUBSTITUTE(SUBSTITUTE(SUBSTITUTE(SUBSTITUTE(SUBSTITUTE(SUBSTITUTE(SUBSTITUTE(SUBSTITUTE(SUBSTITUTE(SUBSTITUTE(SUBSTITUTE(SUBSTITUTE(SUBSTITUTE(SUBSTITUTE(SUBSTITUTE(SUBSTITUTE(SUBSTITUTE(TRIM($D1061),"'",""),"İ","I"),"ı","I"),"i","I"),"Ş","S"),"ş","S"),"Ğ","G"),"ğ","G"),"Ü","U"),"ü","U"),"Ö","O"),"ö","O"),"Ç","C"),"ç","C"),".",""),",","")," ",""),"-","")))</f>
        <v/>
      </c>
      <c r="S1061" s="3">
        <f>IF($D1061="","",$C1061&amp;"|"&amp;TEXT($E1061,"0")&amp;"|"&amp;TEXT($F1061,"0")&amp;"|"&amp;$I1061)</f>
        <v/>
      </c>
      <c r="T1061" s="3">
        <f>IF($E1061="",0,SUMPRODUCT((AY_SONU!$O$7:$O$42="Evet")*(AY_SONU!$B$7:$B$42=DATE(YEAR($E1061),MONTH($E1061),1))))</f>
        <v/>
      </c>
    </row>
    <row r="1062">
      <c r="A1062" s="6" t="n"/>
      <c r="B1062" s="113">
        <f>IF($D1062="","","T"&amp;TEXT(ROW()-6,"00000"))</f>
        <v/>
      </c>
      <c r="C1062" s="113">
        <f>IF($D1062="","",IFERROR(INDEX(MUSTERILER!$B$7:$B$106,MATCH($R1062,MUSTERILER!$T$7:$T$106,0)),IFERROR(INDEX(MUSTERILER!$B$7:$B$106,MATCH($D1062,MUSTERILER!$B$7:$B$106,0)),IFERROR(INDEX(MUSTERILER!$B$7:$B$106,MATCH($R1062&amp;"*",MUSTERILER!$T$7:$T$106,0)),"TANIMSIZ MÜŞTERİ"))))</f>
        <v/>
      </c>
      <c r="D1062" s="109" t="n"/>
      <c r="E1062" s="220" t="n"/>
      <c r="F1062" s="221" t="n"/>
      <c r="G1062" s="108" t="n"/>
      <c r="H1062" s="108" t="n"/>
      <c r="I1062" s="109" t="n"/>
      <c r="J1062" s="109" t="n"/>
      <c r="K1062" s="109" t="n"/>
      <c r="L1062" s="226">
        <f>IF($E1062="","",DATE(YEAR($E1062),MONTH($E1062),1))</f>
        <v/>
      </c>
      <c r="M1062" s="113">
        <f>IF($D1062="","",IF($C1062="TANIMSIZ MÜŞTERİ","HATA",IF(OR($E1062="",$F1062&lt;=0,$G1062=""),"EKSİK",IF($E1062&gt;TODAY(),"İLERİ TARİH",IF(COUNTIF($S$7:$S$1506,$S1062)&gt;1,"MÜKERRER?",IF($T1062&gt;0,"KAPALI DÖNEM","UYGUN"))))))</f>
        <v/>
      </c>
      <c r="N1062" s="121">
        <f>IF($C1062="","",IF($C1062="TANIMSIZ MÜŞTERİ","—",INDEX(MUSTERILER!$C$7:$C$106,MATCH($C1062,MUSTERILER!$B$7:$B$106,0))))</f>
        <v/>
      </c>
      <c r="O1062" s="6" t="n"/>
      <c r="P1062" s="6" t="n"/>
      <c r="Q1062" s="3">
        <f>IF($D1062="","",$C1062&amp;"|"&amp;COUNTIFS($C$7:$C1062,$C1062))</f>
        <v/>
      </c>
      <c r="R1062" s="3">
        <f>IF($D1062="","",UPPER(SUBSTITUTE(SUBSTITUTE(SUBSTITUTE(SUBSTITUTE(SUBSTITUTE(SUBSTITUTE(SUBSTITUTE(SUBSTITUTE(SUBSTITUTE(SUBSTITUTE(SUBSTITUTE(SUBSTITUTE(SUBSTITUTE(SUBSTITUTE(SUBSTITUTE(SUBSTITUTE(SUBSTITUTE(SUBSTITUTE(TRIM($D1062),"'",""),"İ","I"),"ı","I"),"i","I"),"Ş","S"),"ş","S"),"Ğ","G"),"ğ","G"),"Ü","U"),"ü","U"),"Ö","O"),"ö","O"),"Ç","C"),"ç","C"),".",""),",","")," ",""),"-","")))</f>
        <v/>
      </c>
      <c r="S1062" s="3">
        <f>IF($D1062="","",$C1062&amp;"|"&amp;TEXT($E1062,"0")&amp;"|"&amp;TEXT($F1062,"0")&amp;"|"&amp;$I1062)</f>
        <v/>
      </c>
      <c r="T1062" s="3">
        <f>IF($E1062="",0,SUMPRODUCT((AY_SONU!$O$7:$O$42="Evet")*(AY_SONU!$B$7:$B$42=DATE(YEAR($E1062),MONTH($E1062),1))))</f>
        <v/>
      </c>
    </row>
    <row r="1063">
      <c r="A1063" s="6" t="n"/>
      <c r="B1063" s="113">
        <f>IF($D1063="","","T"&amp;TEXT(ROW()-6,"00000"))</f>
        <v/>
      </c>
      <c r="C1063" s="113">
        <f>IF($D1063="","",IFERROR(INDEX(MUSTERILER!$B$7:$B$106,MATCH($R1063,MUSTERILER!$T$7:$T$106,0)),IFERROR(INDEX(MUSTERILER!$B$7:$B$106,MATCH($D1063,MUSTERILER!$B$7:$B$106,0)),IFERROR(INDEX(MUSTERILER!$B$7:$B$106,MATCH($R1063&amp;"*",MUSTERILER!$T$7:$T$106,0)),"TANIMSIZ MÜŞTERİ"))))</f>
        <v/>
      </c>
      <c r="D1063" s="109" t="n"/>
      <c r="E1063" s="220" t="n"/>
      <c r="F1063" s="221" t="n"/>
      <c r="G1063" s="108" t="n"/>
      <c r="H1063" s="108" t="n"/>
      <c r="I1063" s="109" t="n"/>
      <c r="J1063" s="109" t="n"/>
      <c r="K1063" s="109" t="n"/>
      <c r="L1063" s="226">
        <f>IF($E1063="","",DATE(YEAR($E1063),MONTH($E1063),1))</f>
        <v/>
      </c>
      <c r="M1063" s="113">
        <f>IF($D1063="","",IF($C1063="TANIMSIZ MÜŞTERİ","HATA",IF(OR($E1063="",$F1063&lt;=0,$G1063=""),"EKSİK",IF($E1063&gt;TODAY(),"İLERİ TARİH",IF(COUNTIF($S$7:$S$1506,$S1063)&gt;1,"MÜKERRER?",IF($T1063&gt;0,"KAPALI DÖNEM","UYGUN"))))))</f>
        <v/>
      </c>
      <c r="N1063" s="121">
        <f>IF($C1063="","",IF($C1063="TANIMSIZ MÜŞTERİ","—",INDEX(MUSTERILER!$C$7:$C$106,MATCH($C1063,MUSTERILER!$B$7:$B$106,0))))</f>
        <v/>
      </c>
      <c r="O1063" s="6" t="n"/>
      <c r="P1063" s="6" t="n"/>
      <c r="Q1063" s="3">
        <f>IF($D1063="","",$C1063&amp;"|"&amp;COUNTIFS($C$7:$C1063,$C1063))</f>
        <v/>
      </c>
      <c r="R1063" s="3">
        <f>IF($D1063="","",UPPER(SUBSTITUTE(SUBSTITUTE(SUBSTITUTE(SUBSTITUTE(SUBSTITUTE(SUBSTITUTE(SUBSTITUTE(SUBSTITUTE(SUBSTITUTE(SUBSTITUTE(SUBSTITUTE(SUBSTITUTE(SUBSTITUTE(SUBSTITUTE(SUBSTITUTE(SUBSTITUTE(SUBSTITUTE(SUBSTITUTE(TRIM($D1063),"'",""),"İ","I"),"ı","I"),"i","I"),"Ş","S"),"ş","S"),"Ğ","G"),"ğ","G"),"Ü","U"),"ü","U"),"Ö","O"),"ö","O"),"Ç","C"),"ç","C"),".",""),",","")," ",""),"-","")))</f>
        <v/>
      </c>
      <c r="S1063" s="3">
        <f>IF($D1063="","",$C1063&amp;"|"&amp;TEXT($E1063,"0")&amp;"|"&amp;TEXT($F1063,"0")&amp;"|"&amp;$I1063)</f>
        <v/>
      </c>
      <c r="T1063" s="3">
        <f>IF($E1063="",0,SUMPRODUCT((AY_SONU!$O$7:$O$42="Evet")*(AY_SONU!$B$7:$B$42=DATE(YEAR($E1063),MONTH($E1063),1))))</f>
        <v/>
      </c>
    </row>
    <row r="1064">
      <c r="A1064" s="6" t="n"/>
      <c r="B1064" s="113">
        <f>IF($D1064="","","T"&amp;TEXT(ROW()-6,"00000"))</f>
        <v/>
      </c>
      <c r="C1064" s="113">
        <f>IF($D1064="","",IFERROR(INDEX(MUSTERILER!$B$7:$B$106,MATCH($R1064,MUSTERILER!$T$7:$T$106,0)),IFERROR(INDEX(MUSTERILER!$B$7:$B$106,MATCH($D1064,MUSTERILER!$B$7:$B$106,0)),IFERROR(INDEX(MUSTERILER!$B$7:$B$106,MATCH($R1064&amp;"*",MUSTERILER!$T$7:$T$106,0)),"TANIMSIZ MÜŞTERİ"))))</f>
        <v/>
      </c>
      <c r="D1064" s="109" t="n"/>
      <c r="E1064" s="220" t="n"/>
      <c r="F1064" s="221" t="n"/>
      <c r="G1064" s="108" t="n"/>
      <c r="H1064" s="108" t="n"/>
      <c r="I1064" s="109" t="n"/>
      <c r="J1064" s="109" t="n"/>
      <c r="K1064" s="109" t="n"/>
      <c r="L1064" s="226">
        <f>IF($E1064="","",DATE(YEAR($E1064),MONTH($E1064),1))</f>
        <v/>
      </c>
      <c r="M1064" s="113">
        <f>IF($D1064="","",IF($C1064="TANIMSIZ MÜŞTERİ","HATA",IF(OR($E1064="",$F1064&lt;=0,$G1064=""),"EKSİK",IF($E1064&gt;TODAY(),"İLERİ TARİH",IF(COUNTIF($S$7:$S$1506,$S1064)&gt;1,"MÜKERRER?",IF($T1064&gt;0,"KAPALI DÖNEM","UYGUN"))))))</f>
        <v/>
      </c>
      <c r="N1064" s="121">
        <f>IF($C1064="","",IF($C1064="TANIMSIZ MÜŞTERİ","—",INDEX(MUSTERILER!$C$7:$C$106,MATCH($C1064,MUSTERILER!$B$7:$B$106,0))))</f>
        <v/>
      </c>
      <c r="O1064" s="6" t="n"/>
      <c r="P1064" s="6" t="n"/>
      <c r="Q1064" s="3">
        <f>IF($D1064="","",$C1064&amp;"|"&amp;COUNTIFS($C$7:$C1064,$C1064))</f>
        <v/>
      </c>
      <c r="R1064" s="3">
        <f>IF($D1064="","",UPPER(SUBSTITUTE(SUBSTITUTE(SUBSTITUTE(SUBSTITUTE(SUBSTITUTE(SUBSTITUTE(SUBSTITUTE(SUBSTITUTE(SUBSTITUTE(SUBSTITUTE(SUBSTITUTE(SUBSTITUTE(SUBSTITUTE(SUBSTITUTE(SUBSTITUTE(SUBSTITUTE(SUBSTITUTE(SUBSTITUTE(TRIM($D1064),"'",""),"İ","I"),"ı","I"),"i","I"),"Ş","S"),"ş","S"),"Ğ","G"),"ğ","G"),"Ü","U"),"ü","U"),"Ö","O"),"ö","O"),"Ç","C"),"ç","C"),".",""),",","")," ",""),"-","")))</f>
        <v/>
      </c>
      <c r="S1064" s="3">
        <f>IF($D1064="","",$C1064&amp;"|"&amp;TEXT($E1064,"0")&amp;"|"&amp;TEXT($F1064,"0")&amp;"|"&amp;$I1064)</f>
        <v/>
      </c>
      <c r="T1064" s="3">
        <f>IF($E1064="",0,SUMPRODUCT((AY_SONU!$O$7:$O$42="Evet")*(AY_SONU!$B$7:$B$42=DATE(YEAR($E1064),MONTH($E1064),1))))</f>
        <v/>
      </c>
    </row>
    <row r="1065">
      <c r="A1065" s="6" t="n"/>
      <c r="B1065" s="113">
        <f>IF($D1065="","","T"&amp;TEXT(ROW()-6,"00000"))</f>
        <v/>
      </c>
      <c r="C1065" s="113">
        <f>IF($D1065="","",IFERROR(INDEX(MUSTERILER!$B$7:$B$106,MATCH($R1065,MUSTERILER!$T$7:$T$106,0)),IFERROR(INDEX(MUSTERILER!$B$7:$B$106,MATCH($D1065,MUSTERILER!$B$7:$B$106,0)),IFERROR(INDEX(MUSTERILER!$B$7:$B$106,MATCH($R1065&amp;"*",MUSTERILER!$T$7:$T$106,0)),"TANIMSIZ MÜŞTERİ"))))</f>
        <v/>
      </c>
      <c r="D1065" s="109" t="n"/>
      <c r="E1065" s="220" t="n"/>
      <c r="F1065" s="221" t="n"/>
      <c r="G1065" s="108" t="n"/>
      <c r="H1065" s="108" t="n"/>
      <c r="I1065" s="109" t="n"/>
      <c r="J1065" s="109" t="n"/>
      <c r="K1065" s="109" t="n"/>
      <c r="L1065" s="226">
        <f>IF($E1065="","",DATE(YEAR($E1065),MONTH($E1065),1))</f>
        <v/>
      </c>
      <c r="M1065" s="113">
        <f>IF($D1065="","",IF($C1065="TANIMSIZ MÜŞTERİ","HATA",IF(OR($E1065="",$F1065&lt;=0,$G1065=""),"EKSİK",IF($E1065&gt;TODAY(),"İLERİ TARİH",IF(COUNTIF($S$7:$S$1506,$S1065)&gt;1,"MÜKERRER?",IF($T1065&gt;0,"KAPALI DÖNEM","UYGUN"))))))</f>
        <v/>
      </c>
      <c r="N1065" s="121">
        <f>IF($C1065="","",IF($C1065="TANIMSIZ MÜŞTERİ","—",INDEX(MUSTERILER!$C$7:$C$106,MATCH($C1065,MUSTERILER!$B$7:$B$106,0))))</f>
        <v/>
      </c>
      <c r="O1065" s="6" t="n"/>
      <c r="P1065" s="6" t="n"/>
      <c r="Q1065" s="3">
        <f>IF($D1065="","",$C1065&amp;"|"&amp;COUNTIFS($C$7:$C1065,$C1065))</f>
        <v/>
      </c>
      <c r="R1065" s="3">
        <f>IF($D1065="","",UPPER(SUBSTITUTE(SUBSTITUTE(SUBSTITUTE(SUBSTITUTE(SUBSTITUTE(SUBSTITUTE(SUBSTITUTE(SUBSTITUTE(SUBSTITUTE(SUBSTITUTE(SUBSTITUTE(SUBSTITUTE(SUBSTITUTE(SUBSTITUTE(SUBSTITUTE(SUBSTITUTE(SUBSTITUTE(SUBSTITUTE(TRIM($D1065),"'",""),"İ","I"),"ı","I"),"i","I"),"Ş","S"),"ş","S"),"Ğ","G"),"ğ","G"),"Ü","U"),"ü","U"),"Ö","O"),"ö","O"),"Ç","C"),"ç","C"),".",""),",","")," ",""),"-","")))</f>
        <v/>
      </c>
      <c r="S1065" s="3">
        <f>IF($D1065="","",$C1065&amp;"|"&amp;TEXT($E1065,"0")&amp;"|"&amp;TEXT($F1065,"0")&amp;"|"&amp;$I1065)</f>
        <v/>
      </c>
      <c r="T1065" s="3">
        <f>IF($E1065="",0,SUMPRODUCT((AY_SONU!$O$7:$O$42="Evet")*(AY_SONU!$B$7:$B$42=DATE(YEAR($E1065),MONTH($E1065),1))))</f>
        <v/>
      </c>
    </row>
    <row r="1066">
      <c r="A1066" s="6" t="n"/>
      <c r="B1066" s="113">
        <f>IF($D1066="","","T"&amp;TEXT(ROW()-6,"00000"))</f>
        <v/>
      </c>
      <c r="C1066" s="113">
        <f>IF($D1066="","",IFERROR(INDEX(MUSTERILER!$B$7:$B$106,MATCH($R1066,MUSTERILER!$T$7:$T$106,0)),IFERROR(INDEX(MUSTERILER!$B$7:$B$106,MATCH($D1066,MUSTERILER!$B$7:$B$106,0)),IFERROR(INDEX(MUSTERILER!$B$7:$B$106,MATCH($R1066&amp;"*",MUSTERILER!$T$7:$T$106,0)),"TANIMSIZ MÜŞTERİ"))))</f>
        <v/>
      </c>
      <c r="D1066" s="109" t="n"/>
      <c r="E1066" s="220" t="n"/>
      <c r="F1066" s="221" t="n"/>
      <c r="G1066" s="108" t="n"/>
      <c r="H1066" s="108" t="n"/>
      <c r="I1066" s="109" t="n"/>
      <c r="J1066" s="109" t="n"/>
      <c r="K1066" s="109" t="n"/>
      <c r="L1066" s="226">
        <f>IF($E1066="","",DATE(YEAR($E1066),MONTH($E1066),1))</f>
        <v/>
      </c>
      <c r="M1066" s="113">
        <f>IF($D1066="","",IF($C1066="TANIMSIZ MÜŞTERİ","HATA",IF(OR($E1066="",$F1066&lt;=0,$G1066=""),"EKSİK",IF($E1066&gt;TODAY(),"İLERİ TARİH",IF(COUNTIF($S$7:$S$1506,$S1066)&gt;1,"MÜKERRER?",IF($T1066&gt;0,"KAPALI DÖNEM","UYGUN"))))))</f>
        <v/>
      </c>
      <c r="N1066" s="121">
        <f>IF($C1066="","",IF($C1066="TANIMSIZ MÜŞTERİ","—",INDEX(MUSTERILER!$C$7:$C$106,MATCH($C1066,MUSTERILER!$B$7:$B$106,0))))</f>
        <v/>
      </c>
      <c r="O1066" s="6" t="n"/>
      <c r="P1066" s="6" t="n"/>
      <c r="Q1066" s="3">
        <f>IF($D1066="","",$C1066&amp;"|"&amp;COUNTIFS($C$7:$C1066,$C1066))</f>
        <v/>
      </c>
      <c r="R1066" s="3">
        <f>IF($D1066="","",UPPER(SUBSTITUTE(SUBSTITUTE(SUBSTITUTE(SUBSTITUTE(SUBSTITUTE(SUBSTITUTE(SUBSTITUTE(SUBSTITUTE(SUBSTITUTE(SUBSTITUTE(SUBSTITUTE(SUBSTITUTE(SUBSTITUTE(SUBSTITUTE(SUBSTITUTE(SUBSTITUTE(SUBSTITUTE(SUBSTITUTE(TRIM($D1066),"'",""),"İ","I"),"ı","I"),"i","I"),"Ş","S"),"ş","S"),"Ğ","G"),"ğ","G"),"Ü","U"),"ü","U"),"Ö","O"),"ö","O"),"Ç","C"),"ç","C"),".",""),",","")," ",""),"-","")))</f>
        <v/>
      </c>
      <c r="S1066" s="3">
        <f>IF($D1066="","",$C1066&amp;"|"&amp;TEXT($E1066,"0")&amp;"|"&amp;TEXT($F1066,"0")&amp;"|"&amp;$I1066)</f>
        <v/>
      </c>
      <c r="T1066" s="3">
        <f>IF($E1066="",0,SUMPRODUCT((AY_SONU!$O$7:$O$42="Evet")*(AY_SONU!$B$7:$B$42=DATE(YEAR($E1066),MONTH($E1066),1))))</f>
        <v/>
      </c>
    </row>
    <row r="1067">
      <c r="A1067" s="6" t="n"/>
      <c r="B1067" s="113">
        <f>IF($D1067="","","T"&amp;TEXT(ROW()-6,"00000"))</f>
        <v/>
      </c>
      <c r="C1067" s="113">
        <f>IF($D1067="","",IFERROR(INDEX(MUSTERILER!$B$7:$B$106,MATCH($R1067,MUSTERILER!$T$7:$T$106,0)),IFERROR(INDEX(MUSTERILER!$B$7:$B$106,MATCH($D1067,MUSTERILER!$B$7:$B$106,0)),IFERROR(INDEX(MUSTERILER!$B$7:$B$106,MATCH($R1067&amp;"*",MUSTERILER!$T$7:$T$106,0)),"TANIMSIZ MÜŞTERİ"))))</f>
        <v/>
      </c>
      <c r="D1067" s="109" t="n"/>
      <c r="E1067" s="220" t="n"/>
      <c r="F1067" s="221" t="n"/>
      <c r="G1067" s="108" t="n"/>
      <c r="H1067" s="108" t="n"/>
      <c r="I1067" s="109" t="n"/>
      <c r="J1067" s="109" t="n"/>
      <c r="K1067" s="109" t="n"/>
      <c r="L1067" s="226">
        <f>IF($E1067="","",DATE(YEAR($E1067),MONTH($E1067),1))</f>
        <v/>
      </c>
      <c r="M1067" s="113">
        <f>IF($D1067="","",IF($C1067="TANIMSIZ MÜŞTERİ","HATA",IF(OR($E1067="",$F1067&lt;=0,$G1067=""),"EKSİK",IF($E1067&gt;TODAY(),"İLERİ TARİH",IF(COUNTIF($S$7:$S$1506,$S1067)&gt;1,"MÜKERRER?",IF($T1067&gt;0,"KAPALI DÖNEM","UYGUN"))))))</f>
        <v/>
      </c>
      <c r="N1067" s="121">
        <f>IF($C1067="","",IF($C1067="TANIMSIZ MÜŞTERİ","—",INDEX(MUSTERILER!$C$7:$C$106,MATCH($C1067,MUSTERILER!$B$7:$B$106,0))))</f>
        <v/>
      </c>
      <c r="O1067" s="6" t="n"/>
      <c r="P1067" s="6" t="n"/>
      <c r="Q1067" s="3">
        <f>IF($D1067="","",$C1067&amp;"|"&amp;COUNTIFS($C$7:$C1067,$C1067))</f>
        <v/>
      </c>
      <c r="R1067" s="3">
        <f>IF($D1067="","",UPPER(SUBSTITUTE(SUBSTITUTE(SUBSTITUTE(SUBSTITUTE(SUBSTITUTE(SUBSTITUTE(SUBSTITUTE(SUBSTITUTE(SUBSTITUTE(SUBSTITUTE(SUBSTITUTE(SUBSTITUTE(SUBSTITUTE(SUBSTITUTE(SUBSTITUTE(SUBSTITUTE(SUBSTITUTE(SUBSTITUTE(TRIM($D1067),"'",""),"İ","I"),"ı","I"),"i","I"),"Ş","S"),"ş","S"),"Ğ","G"),"ğ","G"),"Ü","U"),"ü","U"),"Ö","O"),"ö","O"),"Ç","C"),"ç","C"),".",""),",","")," ",""),"-","")))</f>
        <v/>
      </c>
      <c r="S1067" s="3">
        <f>IF($D1067="","",$C1067&amp;"|"&amp;TEXT($E1067,"0")&amp;"|"&amp;TEXT($F1067,"0")&amp;"|"&amp;$I1067)</f>
        <v/>
      </c>
      <c r="T1067" s="3">
        <f>IF($E1067="",0,SUMPRODUCT((AY_SONU!$O$7:$O$42="Evet")*(AY_SONU!$B$7:$B$42=DATE(YEAR($E1067),MONTH($E1067),1))))</f>
        <v/>
      </c>
    </row>
    <row r="1068">
      <c r="A1068" s="6" t="n"/>
      <c r="B1068" s="113">
        <f>IF($D1068="","","T"&amp;TEXT(ROW()-6,"00000"))</f>
        <v/>
      </c>
      <c r="C1068" s="113">
        <f>IF($D1068="","",IFERROR(INDEX(MUSTERILER!$B$7:$B$106,MATCH($R1068,MUSTERILER!$T$7:$T$106,0)),IFERROR(INDEX(MUSTERILER!$B$7:$B$106,MATCH($D1068,MUSTERILER!$B$7:$B$106,0)),IFERROR(INDEX(MUSTERILER!$B$7:$B$106,MATCH($R1068&amp;"*",MUSTERILER!$T$7:$T$106,0)),"TANIMSIZ MÜŞTERİ"))))</f>
        <v/>
      </c>
      <c r="D1068" s="109" t="n"/>
      <c r="E1068" s="220" t="n"/>
      <c r="F1068" s="221" t="n"/>
      <c r="G1068" s="108" t="n"/>
      <c r="H1068" s="108" t="n"/>
      <c r="I1068" s="109" t="n"/>
      <c r="J1068" s="109" t="n"/>
      <c r="K1068" s="109" t="n"/>
      <c r="L1068" s="226">
        <f>IF($E1068="","",DATE(YEAR($E1068),MONTH($E1068),1))</f>
        <v/>
      </c>
      <c r="M1068" s="113">
        <f>IF($D1068="","",IF($C1068="TANIMSIZ MÜŞTERİ","HATA",IF(OR($E1068="",$F1068&lt;=0,$G1068=""),"EKSİK",IF($E1068&gt;TODAY(),"İLERİ TARİH",IF(COUNTIF($S$7:$S$1506,$S1068)&gt;1,"MÜKERRER?",IF($T1068&gt;0,"KAPALI DÖNEM","UYGUN"))))))</f>
        <v/>
      </c>
      <c r="N1068" s="121">
        <f>IF($C1068="","",IF($C1068="TANIMSIZ MÜŞTERİ","—",INDEX(MUSTERILER!$C$7:$C$106,MATCH($C1068,MUSTERILER!$B$7:$B$106,0))))</f>
        <v/>
      </c>
      <c r="O1068" s="6" t="n"/>
      <c r="P1068" s="6" t="n"/>
      <c r="Q1068" s="3">
        <f>IF($D1068="","",$C1068&amp;"|"&amp;COUNTIFS($C$7:$C1068,$C1068))</f>
        <v/>
      </c>
      <c r="R1068" s="3">
        <f>IF($D1068="","",UPPER(SUBSTITUTE(SUBSTITUTE(SUBSTITUTE(SUBSTITUTE(SUBSTITUTE(SUBSTITUTE(SUBSTITUTE(SUBSTITUTE(SUBSTITUTE(SUBSTITUTE(SUBSTITUTE(SUBSTITUTE(SUBSTITUTE(SUBSTITUTE(SUBSTITUTE(SUBSTITUTE(SUBSTITUTE(SUBSTITUTE(TRIM($D1068),"'",""),"İ","I"),"ı","I"),"i","I"),"Ş","S"),"ş","S"),"Ğ","G"),"ğ","G"),"Ü","U"),"ü","U"),"Ö","O"),"ö","O"),"Ç","C"),"ç","C"),".",""),",","")," ",""),"-","")))</f>
        <v/>
      </c>
      <c r="S1068" s="3">
        <f>IF($D1068="","",$C1068&amp;"|"&amp;TEXT($E1068,"0")&amp;"|"&amp;TEXT($F1068,"0")&amp;"|"&amp;$I1068)</f>
        <v/>
      </c>
      <c r="T1068" s="3">
        <f>IF($E1068="",0,SUMPRODUCT((AY_SONU!$O$7:$O$42="Evet")*(AY_SONU!$B$7:$B$42=DATE(YEAR($E1068),MONTH($E1068),1))))</f>
        <v/>
      </c>
    </row>
    <row r="1069">
      <c r="A1069" s="6" t="n"/>
      <c r="B1069" s="113">
        <f>IF($D1069="","","T"&amp;TEXT(ROW()-6,"00000"))</f>
        <v/>
      </c>
      <c r="C1069" s="113">
        <f>IF($D1069="","",IFERROR(INDEX(MUSTERILER!$B$7:$B$106,MATCH($R1069,MUSTERILER!$T$7:$T$106,0)),IFERROR(INDEX(MUSTERILER!$B$7:$B$106,MATCH($D1069,MUSTERILER!$B$7:$B$106,0)),IFERROR(INDEX(MUSTERILER!$B$7:$B$106,MATCH($R1069&amp;"*",MUSTERILER!$T$7:$T$106,0)),"TANIMSIZ MÜŞTERİ"))))</f>
        <v/>
      </c>
      <c r="D1069" s="109" t="n"/>
      <c r="E1069" s="220" t="n"/>
      <c r="F1069" s="221" t="n"/>
      <c r="G1069" s="108" t="n"/>
      <c r="H1069" s="108" t="n"/>
      <c r="I1069" s="109" t="n"/>
      <c r="J1069" s="109" t="n"/>
      <c r="K1069" s="109" t="n"/>
      <c r="L1069" s="226">
        <f>IF($E1069="","",DATE(YEAR($E1069),MONTH($E1069),1))</f>
        <v/>
      </c>
      <c r="M1069" s="113">
        <f>IF($D1069="","",IF($C1069="TANIMSIZ MÜŞTERİ","HATA",IF(OR($E1069="",$F1069&lt;=0,$G1069=""),"EKSİK",IF($E1069&gt;TODAY(),"İLERİ TARİH",IF(COUNTIF($S$7:$S$1506,$S1069)&gt;1,"MÜKERRER?",IF($T1069&gt;0,"KAPALI DÖNEM","UYGUN"))))))</f>
        <v/>
      </c>
      <c r="N1069" s="121">
        <f>IF($C1069="","",IF($C1069="TANIMSIZ MÜŞTERİ","—",INDEX(MUSTERILER!$C$7:$C$106,MATCH($C1069,MUSTERILER!$B$7:$B$106,0))))</f>
        <v/>
      </c>
      <c r="O1069" s="6" t="n"/>
      <c r="P1069" s="6" t="n"/>
      <c r="Q1069" s="3">
        <f>IF($D1069="","",$C1069&amp;"|"&amp;COUNTIFS($C$7:$C1069,$C1069))</f>
        <v/>
      </c>
      <c r="R1069" s="3">
        <f>IF($D1069="","",UPPER(SUBSTITUTE(SUBSTITUTE(SUBSTITUTE(SUBSTITUTE(SUBSTITUTE(SUBSTITUTE(SUBSTITUTE(SUBSTITUTE(SUBSTITUTE(SUBSTITUTE(SUBSTITUTE(SUBSTITUTE(SUBSTITUTE(SUBSTITUTE(SUBSTITUTE(SUBSTITUTE(SUBSTITUTE(SUBSTITUTE(TRIM($D1069),"'",""),"İ","I"),"ı","I"),"i","I"),"Ş","S"),"ş","S"),"Ğ","G"),"ğ","G"),"Ü","U"),"ü","U"),"Ö","O"),"ö","O"),"Ç","C"),"ç","C"),".",""),",","")," ",""),"-","")))</f>
        <v/>
      </c>
      <c r="S1069" s="3">
        <f>IF($D1069="","",$C1069&amp;"|"&amp;TEXT($E1069,"0")&amp;"|"&amp;TEXT($F1069,"0")&amp;"|"&amp;$I1069)</f>
        <v/>
      </c>
      <c r="T1069" s="3">
        <f>IF($E1069="",0,SUMPRODUCT((AY_SONU!$O$7:$O$42="Evet")*(AY_SONU!$B$7:$B$42=DATE(YEAR($E1069),MONTH($E1069),1))))</f>
        <v/>
      </c>
    </row>
    <row r="1070">
      <c r="A1070" s="6" t="n"/>
      <c r="B1070" s="113">
        <f>IF($D1070="","","T"&amp;TEXT(ROW()-6,"00000"))</f>
        <v/>
      </c>
      <c r="C1070" s="113">
        <f>IF($D1070="","",IFERROR(INDEX(MUSTERILER!$B$7:$B$106,MATCH($R1070,MUSTERILER!$T$7:$T$106,0)),IFERROR(INDEX(MUSTERILER!$B$7:$B$106,MATCH($D1070,MUSTERILER!$B$7:$B$106,0)),IFERROR(INDEX(MUSTERILER!$B$7:$B$106,MATCH($R1070&amp;"*",MUSTERILER!$T$7:$T$106,0)),"TANIMSIZ MÜŞTERİ"))))</f>
        <v/>
      </c>
      <c r="D1070" s="109" t="n"/>
      <c r="E1070" s="220" t="n"/>
      <c r="F1070" s="221" t="n"/>
      <c r="G1070" s="108" t="n"/>
      <c r="H1070" s="108" t="n"/>
      <c r="I1070" s="109" t="n"/>
      <c r="J1070" s="109" t="n"/>
      <c r="K1070" s="109" t="n"/>
      <c r="L1070" s="226">
        <f>IF($E1070="","",DATE(YEAR($E1070),MONTH($E1070),1))</f>
        <v/>
      </c>
      <c r="M1070" s="113">
        <f>IF($D1070="","",IF($C1070="TANIMSIZ MÜŞTERİ","HATA",IF(OR($E1070="",$F1070&lt;=0,$G1070=""),"EKSİK",IF($E1070&gt;TODAY(),"İLERİ TARİH",IF(COUNTIF($S$7:$S$1506,$S1070)&gt;1,"MÜKERRER?",IF($T1070&gt;0,"KAPALI DÖNEM","UYGUN"))))))</f>
        <v/>
      </c>
      <c r="N1070" s="121">
        <f>IF($C1070="","",IF($C1070="TANIMSIZ MÜŞTERİ","—",INDEX(MUSTERILER!$C$7:$C$106,MATCH($C1070,MUSTERILER!$B$7:$B$106,0))))</f>
        <v/>
      </c>
      <c r="O1070" s="6" t="n"/>
      <c r="P1070" s="6" t="n"/>
      <c r="Q1070" s="3">
        <f>IF($D1070="","",$C1070&amp;"|"&amp;COUNTIFS($C$7:$C1070,$C1070))</f>
        <v/>
      </c>
      <c r="R1070" s="3">
        <f>IF($D1070="","",UPPER(SUBSTITUTE(SUBSTITUTE(SUBSTITUTE(SUBSTITUTE(SUBSTITUTE(SUBSTITUTE(SUBSTITUTE(SUBSTITUTE(SUBSTITUTE(SUBSTITUTE(SUBSTITUTE(SUBSTITUTE(SUBSTITUTE(SUBSTITUTE(SUBSTITUTE(SUBSTITUTE(SUBSTITUTE(SUBSTITUTE(TRIM($D1070),"'",""),"İ","I"),"ı","I"),"i","I"),"Ş","S"),"ş","S"),"Ğ","G"),"ğ","G"),"Ü","U"),"ü","U"),"Ö","O"),"ö","O"),"Ç","C"),"ç","C"),".",""),",","")," ",""),"-","")))</f>
        <v/>
      </c>
      <c r="S1070" s="3">
        <f>IF($D1070="","",$C1070&amp;"|"&amp;TEXT($E1070,"0")&amp;"|"&amp;TEXT($F1070,"0")&amp;"|"&amp;$I1070)</f>
        <v/>
      </c>
      <c r="T1070" s="3">
        <f>IF($E1070="",0,SUMPRODUCT((AY_SONU!$O$7:$O$42="Evet")*(AY_SONU!$B$7:$B$42=DATE(YEAR($E1070),MONTH($E1070),1))))</f>
        <v/>
      </c>
    </row>
    <row r="1071">
      <c r="A1071" s="6" t="n"/>
      <c r="B1071" s="113">
        <f>IF($D1071="","","T"&amp;TEXT(ROW()-6,"00000"))</f>
        <v/>
      </c>
      <c r="C1071" s="113">
        <f>IF($D1071="","",IFERROR(INDEX(MUSTERILER!$B$7:$B$106,MATCH($R1071,MUSTERILER!$T$7:$T$106,0)),IFERROR(INDEX(MUSTERILER!$B$7:$B$106,MATCH($D1071,MUSTERILER!$B$7:$B$106,0)),IFERROR(INDEX(MUSTERILER!$B$7:$B$106,MATCH($R1071&amp;"*",MUSTERILER!$T$7:$T$106,0)),"TANIMSIZ MÜŞTERİ"))))</f>
        <v/>
      </c>
      <c r="D1071" s="109" t="n"/>
      <c r="E1071" s="220" t="n"/>
      <c r="F1071" s="221" t="n"/>
      <c r="G1071" s="108" t="n"/>
      <c r="H1071" s="108" t="n"/>
      <c r="I1071" s="109" t="n"/>
      <c r="J1071" s="109" t="n"/>
      <c r="K1071" s="109" t="n"/>
      <c r="L1071" s="226">
        <f>IF($E1071="","",DATE(YEAR($E1071),MONTH($E1071),1))</f>
        <v/>
      </c>
      <c r="M1071" s="113">
        <f>IF($D1071="","",IF($C1071="TANIMSIZ MÜŞTERİ","HATA",IF(OR($E1071="",$F1071&lt;=0,$G1071=""),"EKSİK",IF($E1071&gt;TODAY(),"İLERİ TARİH",IF(COUNTIF($S$7:$S$1506,$S1071)&gt;1,"MÜKERRER?",IF($T1071&gt;0,"KAPALI DÖNEM","UYGUN"))))))</f>
        <v/>
      </c>
      <c r="N1071" s="121">
        <f>IF($C1071="","",IF($C1071="TANIMSIZ MÜŞTERİ","—",INDEX(MUSTERILER!$C$7:$C$106,MATCH($C1071,MUSTERILER!$B$7:$B$106,0))))</f>
        <v/>
      </c>
      <c r="O1071" s="6" t="n"/>
      <c r="P1071" s="6" t="n"/>
      <c r="Q1071" s="3">
        <f>IF($D1071="","",$C1071&amp;"|"&amp;COUNTIFS($C$7:$C1071,$C1071))</f>
        <v/>
      </c>
      <c r="R1071" s="3">
        <f>IF($D1071="","",UPPER(SUBSTITUTE(SUBSTITUTE(SUBSTITUTE(SUBSTITUTE(SUBSTITUTE(SUBSTITUTE(SUBSTITUTE(SUBSTITUTE(SUBSTITUTE(SUBSTITUTE(SUBSTITUTE(SUBSTITUTE(SUBSTITUTE(SUBSTITUTE(SUBSTITUTE(SUBSTITUTE(SUBSTITUTE(SUBSTITUTE(TRIM($D1071),"'",""),"İ","I"),"ı","I"),"i","I"),"Ş","S"),"ş","S"),"Ğ","G"),"ğ","G"),"Ü","U"),"ü","U"),"Ö","O"),"ö","O"),"Ç","C"),"ç","C"),".",""),",","")," ",""),"-","")))</f>
        <v/>
      </c>
      <c r="S1071" s="3">
        <f>IF($D1071="","",$C1071&amp;"|"&amp;TEXT($E1071,"0")&amp;"|"&amp;TEXT($F1071,"0")&amp;"|"&amp;$I1071)</f>
        <v/>
      </c>
      <c r="T1071" s="3">
        <f>IF($E1071="",0,SUMPRODUCT((AY_SONU!$O$7:$O$42="Evet")*(AY_SONU!$B$7:$B$42=DATE(YEAR($E1071),MONTH($E1071),1))))</f>
        <v/>
      </c>
    </row>
    <row r="1072">
      <c r="A1072" s="6" t="n"/>
      <c r="B1072" s="113">
        <f>IF($D1072="","","T"&amp;TEXT(ROW()-6,"00000"))</f>
        <v/>
      </c>
      <c r="C1072" s="113">
        <f>IF($D1072="","",IFERROR(INDEX(MUSTERILER!$B$7:$B$106,MATCH($R1072,MUSTERILER!$T$7:$T$106,0)),IFERROR(INDEX(MUSTERILER!$B$7:$B$106,MATCH($D1072,MUSTERILER!$B$7:$B$106,0)),IFERROR(INDEX(MUSTERILER!$B$7:$B$106,MATCH($R1072&amp;"*",MUSTERILER!$T$7:$T$106,0)),"TANIMSIZ MÜŞTERİ"))))</f>
        <v/>
      </c>
      <c r="D1072" s="109" t="n"/>
      <c r="E1072" s="220" t="n"/>
      <c r="F1072" s="221" t="n"/>
      <c r="G1072" s="108" t="n"/>
      <c r="H1072" s="108" t="n"/>
      <c r="I1072" s="109" t="n"/>
      <c r="J1072" s="109" t="n"/>
      <c r="K1072" s="109" t="n"/>
      <c r="L1072" s="226">
        <f>IF($E1072="","",DATE(YEAR($E1072),MONTH($E1072),1))</f>
        <v/>
      </c>
      <c r="M1072" s="113">
        <f>IF($D1072="","",IF($C1072="TANIMSIZ MÜŞTERİ","HATA",IF(OR($E1072="",$F1072&lt;=0,$G1072=""),"EKSİK",IF($E1072&gt;TODAY(),"İLERİ TARİH",IF(COUNTIF($S$7:$S$1506,$S1072)&gt;1,"MÜKERRER?",IF($T1072&gt;0,"KAPALI DÖNEM","UYGUN"))))))</f>
        <v/>
      </c>
      <c r="N1072" s="121">
        <f>IF($C1072="","",IF($C1072="TANIMSIZ MÜŞTERİ","—",INDEX(MUSTERILER!$C$7:$C$106,MATCH($C1072,MUSTERILER!$B$7:$B$106,0))))</f>
        <v/>
      </c>
      <c r="O1072" s="6" t="n"/>
      <c r="P1072" s="6" t="n"/>
      <c r="Q1072" s="3">
        <f>IF($D1072="","",$C1072&amp;"|"&amp;COUNTIFS($C$7:$C1072,$C1072))</f>
        <v/>
      </c>
      <c r="R1072" s="3">
        <f>IF($D1072="","",UPPER(SUBSTITUTE(SUBSTITUTE(SUBSTITUTE(SUBSTITUTE(SUBSTITUTE(SUBSTITUTE(SUBSTITUTE(SUBSTITUTE(SUBSTITUTE(SUBSTITUTE(SUBSTITUTE(SUBSTITUTE(SUBSTITUTE(SUBSTITUTE(SUBSTITUTE(SUBSTITUTE(SUBSTITUTE(SUBSTITUTE(TRIM($D1072),"'",""),"İ","I"),"ı","I"),"i","I"),"Ş","S"),"ş","S"),"Ğ","G"),"ğ","G"),"Ü","U"),"ü","U"),"Ö","O"),"ö","O"),"Ç","C"),"ç","C"),".",""),",","")," ",""),"-","")))</f>
        <v/>
      </c>
      <c r="S1072" s="3">
        <f>IF($D1072="","",$C1072&amp;"|"&amp;TEXT($E1072,"0")&amp;"|"&amp;TEXT($F1072,"0")&amp;"|"&amp;$I1072)</f>
        <v/>
      </c>
      <c r="T1072" s="3">
        <f>IF($E1072="",0,SUMPRODUCT((AY_SONU!$O$7:$O$42="Evet")*(AY_SONU!$B$7:$B$42=DATE(YEAR($E1072),MONTH($E1072),1))))</f>
        <v/>
      </c>
    </row>
    <row r="1073">
      <c r="A1073" s="6" t="n"/>
      <c r="B1073" s="113">
        <f>IF($D1073="","","T"&amp;TEXT(ROW()-6,"00000"))</f>
        <v/>
      </c>
      <c r="C1073" s="113">
        <f>IF($D1073="","",IFERROR(INDEX(MUSTERILER!$B$7:$B$106,MATCH($R1073,MUSTERILER!$T$7:$T$106,0)),IFERROR(INDEX(MUSTERILER!$B$7:$B$106,MATCH($D1073,MUSTERILER!$B$7:$B$106,0)),IFERROR(INDEX(MUSTERILER!$B$7:$B$106,MATCH($R1073&amp;"*",MUSTERILER!$T$7:$T$106,0)),"TANIMSIZ MÜŞTERİ"))))</f>
        <v/>
      </c>
      <c r="D1073" s="109" t="n"/>
      <c r="E1073" s="220" t="n"/>
      <c r="F1073" s="221" t="n"/>
      <c r="G1073" s="108" t="n"/>
      <c r="H1073" s="108" t="n"/>
      <c r="I1073" s="109" t="n"/>
      <c r="J1073" s="109" t="n"/>
      <c r="K1073" s="109" t="n"/>
      <c r="L1073" s="226">
        <f>IF($E1073="","",DATE(YEAR($E1073),MONTH($E1073),1))</f>
        <v/>
      </c>
      <c r="M1073" s="113">
        <f>IF($D1073="","",IF($C1073="TANIMSIZ MÜŞTERİ","HATA",IF(OR($E1073="",$F1073&lt;=0,$G1073=""),"EKSİK",IF($E1073&gt;TODAY(),"İLERİ TARİH",IF(COUNTIF($S$7:$S$1506,$S1073)&gt;1,"MÜKERRER?",IF($T1073&gt;0,"KAPALI DÖNEM","UYGUN"))))))</f>
        <v/>
      </c>
      <c r="N1073" s="121">
        <f>IF($C1073="","",IF($C1073="TANIMSIZ MÜŞTERİ","—",INDEX(MUSTERILER!$C$7:$C$106,MATCH($C1073,MUSTERILER!$B$7:$B$106,0))))</f>
        <v/>
      </c>
      <c r="O1073" s="6" t="n"/>
      <c r="P1073" s="6" t="n"/>
      <c r="Q1073" s="3">
        <f>IF($D1073="","",$C1073&amp;"|"&amp;COUNTIFS($C$7:$C1073,$C1073))</f>
        <v/>
      </c>
      <c r="R1073" s="3">
        <f>IF($D1073="","",UPPER(SUBSTITUTE(SUBSTITUTE(SUBSTITUTE(SUBSTITUTE(SUBSTITUTE(SUBSTITUTE(SUBSTITUTE(SUBSTITUTE(SUBSTITUTE(SUBSTITUTE(SUBSTITUTE(SUBSTITUTE(SUBSTITUTE(SUBSTITUTE(SUBSTITUTE(SUBSTITUTE(SUBSTITUTE(SUBSTITUTE(TRIM($D1073),"'",""),"İ","I"),"ı","I"),"i","I"),"Ş","S"),"ş","S"),"Ğ","G"),"ğ","G"),"Ü","U"),"ü","U"),"Ö","O"),"ö","O"),"Ç","C"),"ç","C"),".",""),",","")," ",""),"-","")))</f>
        <v/>
      </c>
      <c r="S1073" s="3">
        <f>IF($D1073="","",$C1073&amp;"|"&amp;TEXT($E1073,"0")&amp;"|"&amp;TEXT($F1073,"0")&amp;"|"&amp;$I1073)</f>
        <v/>
      </c>
      <c r="T1073" s="3">
        <f>IF($E1073="",0,SUMPRODUCT((AY_SONU!$O$7:$O$42="Evet")*(AY_SONU!$B$7:$B$42=DATE(YEAR($E1073),MONTH($E1073),1))))</f>
        <v/>
      </c>
    </row>
    <row r="1074">
      <c r="A1074" s="6" t="n"/>
      <c r="B1074" s="113">
        <f>IF($D1074="","","T"&amp;TEXT(ROW()-6,"00000"))</f>
        <v/>
      </c>
      <c r="C1074" s="113">
        <f>IF($D1074="","",IFERROR(INDEX(MUSTERILER!$B$7:$B$106,MATCH($R1074,MUSTERILER!$T$7:$T$106,0)),IFERROR(INDEX(MUSTERILER!$B$7:$B$106,MATCH($D1074,MUSTERILER!$B$7:$B$106,0)),IFERROR(INDEX(MUSTERILER!$B$7:$B$106,MATCH($R1074&amp;"*",MUSTERILER!$T$7:$T$106,0)),"TANIMSIZ MÜŞTERİ"))))</f>
        <v/>
      </c>
      <c r="D1074" s="109" t="n"/>
      <c r="E1074" s="220" t="n"/>
      <c r="F1074" s="221" t="n"/>
      <c r="G1074" s="108" t="n"/>
      <c r="H1074" s="108" t="n"/>
      <c r="I1074" s="109" t="n"/>
      <c r="J1074" s="109" t="n"/>
      <c r="K1074" s="109" t="n"/>
      <c r="L1074" s="226">
        <f>IF($E1074="","",DATE(YEAR($E1074),MONTH($E1074),1))</f>
        <v/>
      </c>
      <c r="M1074" s="113">
        <f>IF($D1074="","",IF($C1074="TANIMSIZ MÜŞTERİ","HATA",IF(OR($E1074="",$F1074&lt;=0,$G1074=""),"EKSİK",IF($E1074&gt;TODAY(),"İLERİ TARİH",IF(COUNTIF($S$7:$S$1506,$S1074)&gt;1,"MÜKERRER?",IF($T1074&gt;0,"KAPALI DÖNEM","UYGUN"))))))</f>
        <v/>
      </c>
      <c r="N1074" s="121">
        <f>IF($C1074="","",IF($C1074="TANIMSIZ MÜŞTERİ","—",INDEX(MUSTERILER!$C$7:$C$106,MATCH($C1074,MUSTERILER!$B$7:$B$106,0))))</f>
        <v/>
      </c>
      <c r="O1074" s="6" t="n"/>
      <c r="P1074" s="6" t="n"/>
      <c r="Q1074" s="3">
        <f>IF($D1074="","",$C1074&amp;"|"&amp;COUNTIFS($C$7:$C1074,$C1074))</f>
        <v/>
      </c>
      <c r="R1074" s="3">
        <f>IF($D1074="","",UPPER(SUBSTITUTE(SUBSTITUTE(SUBSTITUTE(SUBSTITUTE(SUBSTITUTE(SUBSTITUTE(SUBSTITUTE(SUBSTITUTE(SUBSTITUTE(SUBSTITUTE(SUBSTITUTE(SUBSTITUTE(SUBSTITUTE(SUBSTITUTE(SUBSTITUTE(SUBSTITUTE(SUBSTITUTE(SUBSTITUTE(TRIM($D1074),"'",""),"İ","I"),"ı","I"),"i","I"),"Ş","S"),"ş","S"),"Ğ","G"),"ğ","G"),"Ü","U"),"ü","U"),"Ö","O"),"ö","O"),"Ç","C"),"ç","C"),".",""),",","")," ",""),"-","")))</f>
        <v/>
      </c>
      <c r="S1074" s="3">
        <f>IF($D1074="","",$C1074&amp;"|"&amp;TEXT($E1074,"0")&amp;"|"&amp;TEXT($F1074,"0")&amp;"|"&amp;$I1074)</f>
        <v/>
      </c>
      <c r="T1074" s="3">
        <f>IF($E1074="",0,SUMPRODUCT((AY_SONU!$O$7:$O$42="Evet")*(AY_SONU!$B$7:$B$42=DATE(YEAR($E1074),MONTH($E1074),1))))</f>
        <v/>
      </c>
    </row>
    <row r="1075">
      <c r="A1075" s="6" t="n"/>
      <c r="B1075" s="113">
        <f>IF($D1075="","","T"&amp;TEXT(ROW()-6,"00000"))</f>
        <v/>
      </c>
      <c r="C1075" s="113">
        <f>IF($D1075="","",IFERROR(INDEX(MUSTERILER!$B$7:$B$106,MATCH($R1075,MUSTERILER!$T$7:$T$106,0)),IFERROR(INDEX(MUSTERILER!$B$7:$B$106,MATCH($D1075,MUSTERILER!$B$7:$B$106,0)),IFERROR(INDEX(MUSTERILER!$B$7:$B$106,MATCH($R1075&amp;"*",MUSTERILER!$T$7:$T$106,0)),"TANIMSIZ MÜŞTERİ"))))</f>
        <v/>
      </c>
      <c r="D1075" s="109" t="n"/>
      <c r="E1075" s="220" t="n"/>
      <c r="F1075" s="221" t="n"/>
      <c r="G1075" s="108" t="n"/>
      <c r="H1075" s="108" t="n"/>
      <c r="I1075" s="109" t="n"/>
      <c r="J1075" s="109" t="n"/>
      <c r="K1075" s="109" t="n"/>
      <c r="L1075" s="226">
        <f>IF($E1075="","",DATE(YEAR($E1075),MONTH($E1075),1))</f>
        <v/>
      </c>
      <c r="M1075" s="113">
        <f>IF($D1075="","",IF($C1075="TANIMSIZ MÜŞTERİ","HATA",IF(OR($E1075="",$F1075&lt;=0,$G1075=""),"EKSİK",IF($E1075&gt;TODAY(),"İLERİ TARİH",IF(COUNTIF($S$7:$S$1506,$S1075)&gt;1,"MÜKERRER?",IF($T1075&gt;0,"KAPALI DÖNEM","UYGUN"))))))</f>
        <v/>
      </c>
      <c r="N1075" s="121">
        <f>IF($C1075="","",IF($C1075="TANIMSIZ MÜŞTERİ","—",INDEX(MUSTERILER!$C$7:$C$106,MATCH($C1075,MUSTERILER!$B$7:$B$106,0))))</f>
        <v/>
      </c>
      <c r="O1075" s="6" t="n"/>
      <c r="P1075" s="6" t="n"/>
      <c r="Q1075" s="3">
        <f>IF($D1075="","",$C1075&amp;"|"&amp;COUNTIFS($C$7:$C1075,$C1075))</f>
        <v/>
      </c>
      <c r="R1075" s="3">
        <f>IF($D1075="","",UPPER(SUBSTITUTE(SUBSTITUTE(SUBSTITUTE(SUBSTITUTE(SUBSTITUTE(SUBSTITUTE(SUBSTITUTE(SUBSTITUTE(SUBSTITUTE(SUBSTITUTE(SUBSTITUTE(SUBSTITUTE(SUBSTITUTE(SUBSTITUTE(SUBSTITUTE(SUBSTITUTE(SUBSTITUTE(SUBSTITUTE(TRIM($D1075),"'",""),"İ","I"),"ı","I"),"i","I"),"Ş","S"),"ş","S"),"Ğ","G"),"ğ","G"),"Ü","U"),"ü","U"),"Ö","O"),"ö","O"),"Ç","C"),"ç","C"),".",""),",","")," ",""),"-","")))</f>
        <v/>
      </c>
      <c r="S1075" s="3">
        <f>IF($D1075="","",$C1075&amp;"|"&amp;TEXT($E1075,"0")&amp;"|"&amp;TEXT($F1075,"0")&amp;"|"&amp;$I1075)</f>
        <v/>
      </c>
      <c r="T1075" s="3">
        <f>IF($E1075="",0,SUMPRODUCT((AY_SONU!$O$7:$O$42="Evet")*(AY_SONU!$B$7:$B$42=DATE(YEAR($E1075),MONTH($E1075),1))))</f>
        <v/>
      </c>
    </row>
    <row r="1076">
      <c r="A1076" s="6" t="n"/>
      <c r="B1076" s="113">
        <f>IF($D1076="","","T"&amp;TEXT(ROW()-6,"00000"))</f>
        <v/>
      </c>
      <c r="C1076" s="113">
        <f>IF($D1076="","",IFERROR(INDEX(MUSTERILER!$B$7:$B$106,MATCH($R1076,MUSTERILER!$T$7:$T$106,0)),IFERROR(INDEX(MUSTERILER!$B$7:$B$106,MATCH($D1076,MUSTERILER!$B$7:$B$106,0)),IFERROR(INDEX(MUSTERILER!$B$7:$B$106,MATCH($R1076&amp;"*",MUSTERILER!$T$7:$T$106,0)),"TANIMSIZ MÜŞTERİ"))))</f>
        <v/>
      </c>
      <c r="D1076" s="109" t="n"/>
      <c r="E1076" s="220" t="n"/>
      <c r="F1076" s="221" t="n"/>
      <c r="G1076" s="108" t="n"/>
      <c r="H1076" s="108" t="n"/>
      <c r="I1076" s="109" t="n"/>
      <c r="J1076" s="109" t="n"/>
      <c r="K1076" s="109" t="n"/>
      <c r="L1076" s="226">
        <f>IF($E1076="","",DATE(YEAR($E1076),MONTH($E1076),1))</f>
        <v/>
      </c>
      <c r="M1076" s="113">
        <f>IF($D1076="","",IF($C1076="TANIMSIZ MÜŞTERİ","HATA",IF(OR($E1076="",$F1076&lt;=0,$G1076=""),"EKSİK",IF($E1076&gt;TODAY(),"İLERİ TARİH",IF(COUNTIF($S$7:$S$1506,$S1076)&gt;1,"MÜKERRER?",IF($T1076&gt;0,"KAPALI DÖNEM","UYGUN"))))))</f>
        <v/>
      </c>
      <c r="N1076" s="121">
        <f>IF($C1076="","",IF($C1076="TANIMSIZ MÜŞTERİ","—",INDEX(MUSTERILER!$C$7:$C$106,MATCH($C1076,MUSTERILER!$B$7:$B$106,0))))</f>
        <v/>
      </c>
      <c r="O1076" s="6" t="n"/>
      <c r="P1076" s="6" t="n"/>
      <c r="Q1076" s="3">
        <f>IF($D1076="","",$C1076&amp;"|"&amp;COUNTIFS($C$7:$C1076,$C1076))</f>
        <v/>
      </c>
      <c r="R1076" s="3">
        <f>IF($D1076="","",UPPER(SUBSTITUTE(SUBSTITUTE(SUBSTITUTE(SUBSTITUTE(SUBSTITUTE(SUBSTITUTE(SUBSTITUTE(SUBSTITUTE(SUBSTITUTE(SUBSTITUTE(SUBSTITUTE(SUBSTITUTE(SUBSTITUTE(SUBSTITUTE(SUBSTITUTE(SUBSTITUTE(SUBSTITUTE(SUBSTITUTE(TRIM($D1076),"'",""),"İ","I"),"ı","I"),"i","I"),"Ş","S"),"ş","S"),"Ğ","G"),"ğ","G"),"Ü","U"),"ü","U"),"Ö","O"),"ö","O"),"Ç","C"),"ç","C"),".",""),",","")," ",""),"-","")))</f>
        <v/>
      </c>
      <c r="S1076" s="3">
        <f>IF($D1076="","",$C1076&amp;"|"&amp;TEXT($E1076,"0")&amp;"|"&amp;TEXT($F1076,"0")&amp;"|"&amp;$I1076)</f>
        <v/>
      </c>
      <c r="T1076" s="3">
        <f>IF($E1076="",0,SUMPRODUCT((AY_SONU!$O$7:$O$42="Evet")*(AY_SONU!$B$7:$B$42=DATE(YEAR($E1076),MONTH($E1076),1))))</f>
        <v/>
      </c>
    </row>
    <row r="1077">
      <c r="A1077" s="6" t="n"/>
      <c r="B1077" s="113">
        <f>IF($D1077="","","T"&amp;TEXT(ROW()-6,"00000"))</f>
        <v/>
      </c>
      <c r="C1077" s="113">
        <f>IF($D1077="","",IFERROR(INDEX(MUSTERILER!$B$7:$B$106,MATCH($R1077,MUSTERILER!$T$7:$T$106,0)),IFERROR(INDEX(MUSTERILER!$B$7:$B$106,MATCH($D1077,MUSTERILER!$B$7:$B$106,0)),IFERROR(INDEX(MUSTERILER!$B$7:$B$106,MATCH($R1077&amp;"*",MUSTERILER!$T$7:$T$106,0)),"TANIMSIZ MÜŞTERİ"))))</f>
        <v/>
      </c>
      <c r="D1077" s="109" t="n"/>
      <c r="E1077" s="220" t="n"/>
      <c r="F1077" s="221" t="n"/>
      <c r="G1077" s="108" t="n"/>
      <c r="H1077" s="108" t="n"/>
      <c r="I1077" s="109" t="n"/>
      <c r="J1077" s="109" t="n"/>
      <c r="K1077" s="109" t="n"/>
      <c r="L1077" s="226">
        <f>IF($E1077="","",DATE(YEAR($E1077),MONTH($E1077),1))</f>
        <v/>
      </c>
      <c r="M1077" s="113">
        <f>IF($D1077="","",IF($C1077="TANIMSIZ MÜŞTERİ","HATA",IF(OR($E1077="",$F1077&lt;=0,$G1077=""),"EKSİK",IF($E1077&gt;TODAY(),"İLERİ TARİH",IF(COUNTIF($S$7:$S$1506,$S1077)&gt;1,"MÜKERRER?",IF($T1077&gt;0,"KAPALI DÖNEM","UYGUN"))))))</f>
        <v/>
      </c>
      <c r="N1077" s="121">
        <f>IF($C1077="","",IF($C1077="TANIMSIZ MÜŞTERİ","—",INDEX(MUSTERILER!$C$7:$C$106,MATCH($C1077,MUSTERILER!$B$7:$B$106,0))))</f>
        <v/>
      </c>
      <c r="O1077" s="6" t="n"/>
      <c r="P1077" s="6" t="n"/>
      <c r="Q1077" s="3">
        <f>IF($D1077="","",$C1077&amp;"|"&amp;COUNTIFS($C$7:$C1077,$C1077))</f>
        <v/>
      </c>
      <c r="R1077" s="3">
        <f>IF($D1077="","",UPPER(SUBSTITUTE(SUBSTITUTE(SUBSTITUTE(SUBSTITUTE(SUBSTITUTE(SUBSTITUTE(SUBSTITUTE(SUBSTITUTE(SUBSTITUTE(SUBSTITUTE(SUBSTITUTE(SUBSTITUTE(SUBSTITUTE(SUBSTITUTE(SUBSTITUTE(SUBSTITUTE(SUBSTITUTE(SUBSTITUTE(TRIM($D1077),"'",""),"İ","I"),"ı","I"),"i","I"),"Ş","S"),"ş","S"),"Ğ","G"),"ğ","G"),"Ü","U"),"ü","U"),"Ö","O"),"ö","O"),"Ç","C"),"ç","C"),".",""),",","")," ",""),"-","")))</f>
        <v/>
      </c>
      <c r="S1077" s="3">
        <f>IF($D1077="","",$C1077&amp;"|"&amp;TEXT($E1077,"0")&amp;"|"&amp;TEXT($F1077,"0")&amp;"|"&amp;$I1077)</f>
        <v/>
      </c>
      <c r="T1077" s="3">
        <f>IF($E1077="",0,SUMPRODUCT((AY_SONU!$O$7:$O$42="Evet")*(AY_SONU!$B$7:$B$42=DATE(YEAR($E1077),MONTH($E1077),1))))</f>
        <v/>
      </c>
    </row>
    <row r="1078">
      <c r="A1078" s="6" t="n"/>
      <c r="B1078" s="113">
        <f>IF($D1078="","","T"&amp;TEXT(ROW()-6,"00000"))</f>
        <v/>
      </c>
      <c r="C1078" s="113">
        <f>IF($D1078="","",IFERROR(INDEX(MUSTERILER!$B$7:$B$106,MATCH($R1078,MUSTERILER!$T$7:$T$106,0)),IFERROR(INDEX(MUSTERILER!$B$7:$B$106,MATCH($D1078,MUSTERILER!$B$7:$B$106,0)),IFERROR(INDEX(MUSTERILER!$B$7:$B$106,MATCH($R1078&amp;"*",MUSTERILER!$T$7:$T$106,0)),"TANIMSIZ MÜŞTERİ"))))</f>
        <v/>
      </c>
      <c r="D1078" s="109" t="n"/>
      <c r="E1078" s="220" t="n"/>
      <c r="F1078" s="221" t="n"/>
      <c r="G1078" s="108" t="n"/>
      <c r="H1078" s="108" t="n"/>
      <c r="I1078" s="109" t="n"/>
      <c r="J1078" s="109" t="n"/>
      <c r="K1078" s="109" t="n"/>
      <c r="L1078" s="226">
        <f>IF($E1078="","",DATE(YEAR($E1078),MONTH($E1078),1))</f>
        <v/>
      </c>
      <c r="M1078" s="113">
        <f>IF($D1078="","",IF($C1078="TANIMSIZ MÜŞTERİ","HATA",IF(OR($E1078="",$F1078&lt;=0,$G1078=""),"EKSİK",IF($E1078&gt;TODAY(),"İLERİ TARİH",IF(COUNTIF($S$7:$S$1506,$S1078)&gt;1,"MÜKERRER?",IF($T1078&gt;0,"KAPALI DÖNEM","UYGUN"))))))</f>
        <v/>
      </c>
      <c r="N1078" s="121">
        <f>IF($C1078="","",IF($C1078="TANIMSIZ MÜŞTERİ","—",INDEX(MUSTERILER!$C$7:$C$106,MATCH($C1078,MUSTERILER!$B$7:$B$106,0))))</f>
        <v/>
      </c>
      <c r="O1078" s="6" t="n"/>
      <c r="P1078" s="6" t="n"/>
      <c r="Q1078" s="3">
        <f>IF($D1078="","",$C1078&amp;"|"&amp;COUNTIFS($C$7:$C1078,$C1078))</f>
        <v/>
      </c>
      <c r="R1078" s="3">
        <f>IF($D1078="","",UPPER(SUBSTITUTE(SUBSTITUTE(SUBSTITUTE(SUBSTITUTE(SUBSTITUTE(SUBSTITUTE(SUBSTITUTE(SUBSTITUTE(SUBSTITUTE(SUBSTITUTE(SUBSTITUTE(SUBSTITUTE(SUBSTITUTE(SUBSTITUTE(SUBSTITUTE(SUBSTITUTE(SUBSTITUTE(SUBSTITUTE(TRIM($D1078),"'",""),"İ","I"),"ı","I"),"i","I"),"Ş","S"),"ş","S"),"Ğ","G"),"ğ","G"),"Ü","U"),"ü","U"),"Ö","O"),"ö","O"),"Ç","C"),"ç","C"),".",""),",","")," ",""),"-","")))</f>
        <v/>
      </c>
      <c r="S1078" s="3">
        <f>IF($D1078="","",$C1078&amp;"|"&amp;TEXT($E1078,"0")&amp;"|"&amp;TEXT($F1078,"0")&amp;"|"&amp;$I1078)</f>
        <v/>
      </c>
      <c r="T1078" s="3">
        <f>IF($E1078="",0,SUMPRODUCT((AY_SONU!$O$7:$O$42="Evet")*(AY_SONU!$B$7:$B$42=DATE(YEAR($E1078),MONTH($E1078),1))))</f>
        <v/>
      </c>
    </row>
    <row r="1079">
      <c r="A1079" s="6" t="n"/>
      <c r="B1079" s="113">
        <f>IF($D1079="","","T"&amp;TEXT(ROW()-6,"00000"))</f>
        <v/>
      </c>
      <c r="C1079" s="113">
        <f>IF($D1079="","",IFERROR(INDEX(MUSTERILER!$B$7:$B$106,MATCH($R1079,MUSTERILER!$T$7:$T$106,0)),IFERROR(INDEX(MUSTERILER!$B$7:$B$106,MATCH($D1079,MUSTERILER!$B$7:$B$106,0)),IFERROR(INDEX(MUSTERILER!$B$7:$B$106,MATCH($R1079&amp;"*",MUSTERILER!$T$7:$T$106,0)),"TANIMSIZ MÜŞTERİ"))))</f>
        <v/>
      </c>
      <c r="D1079" s="109" t="n"/>
      <c r="E1079" s="220" t="n"/>
      <c r="F1079" s="221" t="n"/>
      <c r="G1079" s="108" t="n"/>
      <c r="H1079" s="108" t="n"/>
      <c r="I1079" s="109" t="n"/>
      <c r="J1079" s="109" t="n"/>
      <c r="K1079" s="109" t="n"/>
      <c r="L1079" s="226">
        <f>IF($E1079="","",DATE(YEAR($E1079),MONTH($E1079),1))</f>
        <v/>
      </c>
      <c r="M1079" s="113">
        <f>IF($D1079="","",IF($C1079="TANIMSIZ MÜŞTERİ","HATA",IF(OR($E1079="",$F1079&lt;=0,$G1079=""),"EKSİK",IF($E1079&gt;TODAY(),"İLERİ TARİH",IF(COUNTIF($S$7:$S$1506,$S1079)&gt;1,"MÜKERRER?",IF($T1079&gt;0,"KAPALI DÖNEM","UYGUN"))))))</f>
        <v/>
      </c>
      <c r="N1079" s="121">
        <f>IF($C1079="","",IF($C1079="TANIMSIZ MÜŞTERİ","—",INDEX(MUSTERILER!$C$7:$C$106,MATCH($C1079,MUSTERILER!$B$7:$B$106,0))))</f>
        <v/>
      </c>
      <c r="O1079" s="6" t="n"/>
      <c r="P1079" s="6" t="n"/>
      <c r="Q1079" s="3">
        <f>IF($D1079="","",$C1079&amp;"|"&amp;COUNTIFS($C$7:$C1079,$C1079))</f>
        <v/>
      </c>
      <c r="R1079" s="3">
        <f>IF($D1079="","",UPPER(SUBSTITUTE(SUBSTITUTE(SUBSTITUTE(SUBSTITUTE(SUBSTITUTE(SUBSTITUTE(SUBSTITUTE(SUBSTITUTE(SUBSTITUTE(SUBSTITUTE(SUBSTITUTE(SUBSTITUTE(SUBSTITUTE(SUBSTITUTE(SUBSTITUTE(SUBSTITUTE(SUBSTITUTE(SUBSTITUTE(TRIM($D1079),"'",""),"İ","I"),"ı","I"),"i","I"),"Ş","S"),"ş","S"),"Ğ","G"),"ğ","G"),"Ü","U"),"ü","U"),"Ö","O"),"ö","O"),"Ç","C"),"ç","C"),".",""),",","")," ",""),"-","")))</f>
        <v/>
      </c>
      <c r="S1079" s="3">
        <f>IF($D1079="","",$C1079&amp;"|"&amp;TEXT($E1079,"0")&amp;"|"&amp;TEXT($F1079,"0")&amp;"|"&amp;$I1079)</f>
        <v/>
      </c>
      <c r="T1079" s="3">
        <f>IF($E1079="",0,SUMPRODUCT((AY_SONU!$O$7:$O$42="Evet")*(AY_SONU!$B$7:$B$42=DATE(YEAR($E1079),MONTH($E1079),1))))</f>
        <v/>
      </c>
    </row>
    <row r="1080">
      <c r="A1080" s="6" t="n"/>
      <c r="B1080" s="113">
        <f>IF($D1080="","","T"&amp;TEXT(ROW()-6,"00000"))</f>
        <v/>
      </c>
      <c r="C1080" s="113">
        <f>IF($D1080="","",IFERROR(INDEX(MUSTERILER!$B$7:$B$106,MATCH($R1080,MUSTERILER!$T$7:$T$106,0)),IFERROR(INDEX(MUSTERILER!$B$7:$B$106,MATCH($D1080,MUSTERILER!$B$7:$B$106,0)),IFERROR(INDEX(MUSTERILER!$B$7:$B$106,MATCH($R1080&amp;"*",MUSTERILER!$T$7:$T$106,0)),"TANIMSIZ MÜŞTERİ"))))</f>
        <v/>
      </c>
      <c r="D1080" s="109" t="n"/>
      <c r="E1080" s="220" t="n"/>
      <c r="F1080" s="221" t="n"/>
      <c r="G1080" s="108" t="n"/>
      <c r="H1080" s="108" t="n"/>
      <c r="I1080" s="109" t="n"/>
      <c r="J1080" s="109" t="n"/>
      <c r="K1080" s="109" t="n"/>
      <c r="L1080" s="226">
        <f>IF($E1080="","",DATE(YEAR($E1080),MONTH($E1080),1))</f>
        <v/>
      </c>
      <c r="M1080" s="113">
        <f>IF($D1080="","",IF($C1080="TANIMSIZ MÜŞTERİ","HATA",IF(OR($E1080="",$F1080&lt;=0,$G1080=""),"EKSİK",IF($E1080&gt;TODAY(),"İLERİ TARİH",IF(COUNTIF($S$7:$S$1506,$S1080)&gt;1,"MÜKERRER?",IF($T1080&gt;0,"KAPALI DÖNEM","UYGUN"))))))</f>
        <v/>
      </c>
      <c r="N1080" s="121">
        <f>IF($C1080="","",IF($C1080="TANIMSIZ MÜŞTERİ","—",INDEX(MUSTERILER!$C$7:$C$106,MATCH($C1080,MUSTERILER!$B$7:$B$106,0))))</f>
        <v/>
      </c>
      <c r="O1080" s="6" t="n"/>
      <c r="P1080" s="6" t="n"/>
      <c r="Q1080" s="3">
        <f>IF($D1080="","",$C1080&amp;"|"&amp;COUNTIFS($C$7:$C1080,$C1080))</f>
        <v/>
      </c>
      <c r="R1080" s="3">
        <f>IF($D1080="","",UPPER(SUBSTITUTE(SUBSTITUTE(SUBSTITUTE(SUBSTITUTE(SUBSTITUTE(SUBSTITUTE(SUBSTITUTE(SUBSTITUTE(SUBSTITUTE(SUBSTITUTE(SUBSTITUTE(SUBSTITUTE(SUBSTITUTE(SUBSTITUTE(SUBSTITUTE(SUBSTITUTE(SUBSTITUTE(SUBSTITUTE(TRIM($D1080),"'",""),"İ","I"),"ı","I"),"i","I"),"Ş","S"),"ş","S"),"Ğ","G"),"ğ","G"),"Ü","U"),"ü","U"),"Ö","O"),"ö","O"),"Ç","C"),"ç","C"),".",""),",","")," ",""),"-","")))</f>
        <v/>
      </c>
      <c r="S1080" s="3">
        <f>IF($D1080="","",$C1080&amp;"|"&amp;TEXT($E1080,"0")&amp;"|"&amp;TEXT($F1080,"0")&amp;"|"&amp;$I1080)</f>
        <v/>
      </c>
      <c r="T1080" s="3">
        <f>IF($E1080="",0,SUMPRODUCT((AY_SONU!$O$7:$O$42="Evet")*(AY_SONU!$B$7:$B$42=DATE(YEAR($E1080),MONTH($E1080),1))))</f>
        <v/>
      </c>
    </row>
    <row r="1081">
      <c r="A1081" s="6" t="n"/>
      <c r="B1081" s="113">
        <f>IF($D1081="","","T"&amp;TEXT(ROW()-6,"00000"))</f>
        <v/>
      </c>
      <c r="C1081" s="113">
        <f>IF($D1081="","",IFERROR(INDEX(MUSTERILER!$B$7:$B$106,MATCH($R1081,MUSTERILER!$T$7:$T$106,0)),IFERROR(INDEX(MUSTERILER!$B$7:$B$106,MATCH($D1081,MUSTERILER!$B$7:$B$106,0)),IFERROR(INDEX(MUSTERILER!$B$7:$B$106,MATCH($R1081&amp;"*",MUSTERILER!$T$7:$T$106,0)),"TANIMSIZ MÜŞTERİ"))))</f>
        <v/>
      </c>
      <c r="D1081" s="109" t="n"/>
      <c r="E1081" s="220" t="n"/>
      <c r="F1081" s="221" t="n"/>
      <c r="G1081" s="108" t="n"/>
      <c r="H1081" s="108" t="n"/>
      <c r="I1081" s="109" t="n"/>
      <c r="J1081" s="109" t="n"/>
      <c r="K1081" s="109" t="n"/>
      <c r="L1081" s="226">
        <f>IF($E1081="","",DATE(YEAR($E1081),MONTH($E1081),1))</f>
        <v/>
      </c>
      <c r="M1081" s="113">
        <f>IF($D1081="","",IF($C1081="TANIMSIZ MÜŞTERİ","HATA",IF(OR($E1081="",$F1081&lt;=0,$G1081=""),"EKSİK",IF($E1081&gt;TODAY(),"İLERİ TARİH",IF(COUNTIF($S$7:$S$1506,$S1081)&gt;1,"MÜKERRER?",IF($T1081&gt;0,"KAPALI DÖNEM","UYGUN"))))))</f>
        <v/>
      </c>
      <c r="N1081" s="121">
        <f>IF($C1081="","",IF($C1081="TANIMSIZ MÜŞTERİ","—",INDEX(MUSTERILER!$C$7:$C$106,MATCH($C1081,MUSTERILER!$B$7:$B$106,0))))</f>
        <v/>
      </c>
      <c r="O1081" s="6" t="n"/>
      <c r="P1081" s="6" t="n"/>
      <c r="Q1081" s="3">
        <f>IF($D1081="","",$C1081&amp;"|"&amp;COUNTIFS($C$7:$C1081,$C1081))</f>
        <v/>
      </c>
      <c r="R1081" s="3">
        <f>IF($D1081="","",UPPER(SUBSTITUTE(SUBSTITUTE(SUBSTITUTE(SUBSTITUTE(SUBSTITUTE(SUBSTITUTE(SUBSTITUTE(SUBSTITUTE(SUBSTITUTE(SUBSTITUTE(SUBSTITUTE(SUBSTITUTE(SUBSTITUTE(SUBSTITUTE(SUBSTITUTE(SUBSTITUTE(SUBSTITUTE(SUBSTITUTE(TRIM($D1081),"'",""),"İ","I"),"ı","I"),"i","I"),"Ş","S"),"ş","S"),"Ğ","G"),"ğ","G"),"Ü","U"),"ü","U"),"Ö","O"),"ö","O"),"Ç","C"),"ç","C"),".",""),",","")," ",""),"-","")))</f>
        <v/>
      </c>
      <c r="S1081" s="3">
        <f>IF($D1081="","",$C1081&amp;"|"&amp;TEXT($E1081,"0")&amp;"|"&amp;TEXT($F1081,"0")&amp;"|"&amp;$I1081)</f>
        <v/>
      </c>
      <c r="T1081" s="3">
        <f>IF($E1081="",0,SUMPRODUCT((AY_SONU!$O$7:$O$42="Evet")*(AY_SONU!$B$7:$B$42=DATE(YEAR($E1081),MONTH($E1081),1))))</f>
        <v/>
      </c>
    </row>
    <row r="1082">
      <c r="A1082" s="6" t="n"/>
      <c r="B1082" s="113">
        <f>IF($D1082="","","T"&amp;TEXT(ROW()-6,"00000"))</f>
        <v/>
      </c>
      <c r="C1082" s="113">
        <f>IF($D1082="","",IFERROR(INDEX(MUSTERILER!$B$7:$B$106,MATCH($R1082,MUSTERILER!$T$7:$T$106,0)),IFERROR(INDEX(MUSTERILER!$B$7:$B$106,MATCH($D1082,MUSTERILER!$B$7:$B$106,0)),IFERROR(INDEX(MUSTERILER!$B$7:$B$106,MATCH($R1082&amp;"*",MUSTERILER!$T$7:$T$106,0)),"TANIMSIZ MÜŞTERİ"))))</f>
        <v/>
      </c>
      <c r="D1082" s="109" t="n"/>
      <c r="E1082" s="220" t="n"/>
      <c r="F1082" s="221" t="n"/>
      <c r="G1082" s="108" t="n"/>
      <c r="H1082" s="108" t="n"/>
      <c r="I1082" s="109" t="n"/>
      <c r="J1082" s="109" t="n"/>
      <c r="K1082" s="109" t="n"/>
      <c r="L1082" s="226">
        <f>IF($E1082="","",DATE(YEAR($E1082),MONTH($E1082),1))</f>
        <v/>
      </c>
      <c r="M1082" s="113">
        <f>IF($D1082="","",IF($C1082="TANIMSIZ MÜŞTERİ","HATA",IF(OR($E1082="",$F1082&lt;=0,$G1082=""),"EKSİK",IF($E1082&gt;TODAY(),"İLERİ TARİH",IF(COUNTIF($S$7:$S$1506,$S1082)&gt;1,"MÜKERRER?",IF($T1082&gt;0,"KAPALI DÖNEM","UYGUN"))))))</f>
        <v/>
      </c>
      <c r="N1082" s="121">
        <f>IF($C1082="","",IF($C1082="TANIMSIZ MÜŞTERİ","—",INDEX(MUSTERILER!$C$7:$C$106,MATCH($C1082,MUSTERILER!$B$7:$B$106,0))))</f>
        <v/>
      </c>
      <c r="O1082" s="6" t="n"/>
      <c r="P1082" s="6" t="n"/>
      <c r="Q1082" s="3">
        <f>IF($D1082="","",$C1082&amp;"|"&amp;COUNTIFS($C$7:$C1082,$C1082))</f>
        <v/>
      </c>
      <c r="R1082" s="3">
        <f>IF($D1082="","",UPPER(SUBSTITUTE(SUBSTITUTE(SUBSTITUTE(SUBSTITUTE(SUBSTITUTE(SUBSTITUTE(SUBSTITUTE(SUBSTITUTE(SUBSTITUTE(SUBSTITUTE(SUBSTITUTE(SUBSTITUTE(SUBSTITUTE(SUBSTITUTE(SUBSTITUTE(SUBSTITUTE(SUBSTITUTE(SUBSTITUTE(TRIM($D1082),"'",""),"İ","I"),"ı","I"),"i","I"),"Ş","S"),"ş","S"),"Ğ","G"),"ğ","G"),"Ü","U"),"ü","U"),"Ö","O"),"ö","O"),"Ç","C"),"ç","C"),".",""),",","")," ",""),"-","")))</f>
        <v/>
      </c>
      <c r="S1082" s="3">
        <f>IF($D1082="","",$C1082&amp;"|"&amp;TEXT($E1082,"0")&amp;"|"&amp;TEXT($F1082,"0")&amp;"|"&amp;$I1082)</f>
        <v/>
      </c>
      <c r="T1082" s="3">
        <f>IF($E1082="",0,SUMPRODUCT((AY_SONU!$O$7:$O$42="Evet")*(AY_SONU!$B$7:$B$42=DATE(YEAR($E1082),MONTH($E1082),1))))</f>
        <v/>
      </c>
    </row>
    <row r="1083">
      <c r="A1083" s="6" t="n"/>
      <c r="B1083" s="113">
        <f>IF($D1083="","","T"&amp;TEXT(ROW()-6,"00000"))</f>
        <v/>
      </c>
      <c r="C1083" s="113">
        <f>IF($D1083="","",IFERROR(INDEX(MUSTERILER!$B$7:$B$106,MATCH($R1083,MUSTERILER!$T$7:$T$106,0)),IFERROR(INDEX(MUSTERILER!$B$7:$B$106,MATCH($D1083,MUSTERILER!$B$7:$B$106,0)),IFERROR(INDEX(MUSTERILER!$B$7:$B$106,MATCH($R1083&amp;"*",MUSTERILER!$T$7:$T$106,0)),"TANIMSIZ MÜŞTERİ"))))</f>
        <v/>
      </c>
      <c r="D1083" s="109" t="n"/>
      <c r="E1083" s="220" t="n"/>
      <c r="F1083" s="221" t="n"/>
      <c r="G1083" s="108" t="n"/>
      <c r="H1083" s="108" t="n"/>
      <c r="I1083" s="109" t="n"/>
      <c r="J1083" s="109" t="n"/>
      <c r="K1083" s="109" t="n"/>
      <c r="L1083" s="226">
        <f>IF($E1083="","",DATE(YEAR($E1083),MONTH($E1083),1))</f>
        <v/>
      </c>
      <c r="M1083" s="113">
        <f>IF($D1083="","",IF($C1083="TANIMSIZ MÜŞTERİ","HATA",IF(OR($E1083="",$F1083&lt;=0,$G1083=""),"EKSİK",IF($E1083&gt;TODAY(),"İLERİ TARİH",IF(COUNTIF($S$7:$S$1506,$S1083)&gt;1,"MÜKERRER?",IF($T1083&gt;0,"KAPALI DÖNEM","UYGUN"))))))</f>
        <v/>
      </c>
      <c r="N1083" s="121">
        <f>IF($C1083="","",IF($C1083="TANIMSIZ MÜŞTERİ","—",INDEX(MUSTERILER!$C$7:$C$106,MATCH($C1083,MUSTERILER!$B$7:$B$106,0))))</f>
        <v/>
      </c>
      <c r="O1083" s="6" t="n"/>
      <c r="P1083" s="6" t="n"/>
      <c r="Q1083" s="3">
        <f>IF($D1083="","",$C1083&amp;"|"&amp;COUNTIFS($C$7:$C1083,$C1083))</f>
        <v/>
      </c>
      <c r="R1083" s="3">
        <f>IF($D1083="","",UPPER(SUBSTITUTE(SUBSTITUTE(SUBSTITUTE(SUBSTITUTE(SUBSTITUTE(SUBSTITUTE(SUBSTITUTE(SUBSTITUTE(SUBSTITUTE(SUBSTITUTE(SUBSTITUTE(SUBSTITUTE(SUBSTITUTE(SUBSTITUTE(SUBSTITUTE(SUBSTITUTE(SUBSTITUTE(SUBSTITUTE(TRIM($D1083),"'",""),"İ","I"),"ı","I"),"i","I"),"Ş","S"),"ş","S"),"Ğ","G"),"ğ","G"),"Ü","U"),"ü","U"),"Ö","O"),"ö","O"),"Ç","C"),"ç","C"),".",""),",","")," ",""),"-","")))</f>
        <v/>
      </c>
      <c r="S1083" s="3">
        <f>IF($D1083="","",$C1083&amp;"|"&amp;TEXT($E1083,"0")&amp;"|"&amp;TEXT($F1083,"0")&amp;"|"&amp;$I1083)</f>
        <v/>
      </c>
      <c r="T1083" s="3">
        <f>IF($E1083="",0,SUMPRODUCT((AY_SONU!$O$7:$O$42="Evet")*(AY_SONU!$B$7:$B$42=DATE(YEAR($E1083),MONTH($E1083),1))))</f>
        <v/>
      </c>
    </row>
    <row r="1084">
      <c r="A1084" s="6" t="n"/>
      <c r="B1084" s="113">
        <f>IF($D1084="","","T"&amp;TEXT(ROW()-6,"00000"))</f>
        <v/>
      </c>
      <c r="C1084" s="113">
        <f>IF($D1084="","",IFERROR(INDEX(MUSTERILER!$B$7:$B$106,MATCH($R1084,MUSTERILER!$T$7:$T$106,0)),IFERROR(INDEX(MUSTERILER!$B$7:$B$106,MATCH($D1084,MUSTERILER!$B$7:$B$106,0)),IFERROR(INDEX(MUSTERILER!$B$7:$B$106,MATCH($R1084&amp;"*",MUSTERILER!$T$7:$T$106,0)),"TANIMSIZ MÜŞTERİ"))))</f>
        <v/>
      </c>
      <c r="D1084" s="109" t="n"/>
      <c r="E1084" s="220" t="n"/>
      <c r="F1084" s="221" t="n"/>
      <c r="G1084" s="108" t="n"/>
      <c r="H1084" s="108" t="n"/>
      <c r="I1084" s="109" t="n"/>
      <c r="J1084" s="109" t="n"/>
      <c r="K1084" s="109" t="n"/>
      <c r="L1084" s="226">
        <f>IF($E1084="","",DATE(YEAR($E1084),MONTH($E1084),1))</f>
        <v/>
      </c>
      <c r="M1084" s="113">
        <f>IF($D1084="","",IF($C1084="TANIMSIZ MÜŞTERİ","HATA",IF(OR($E1084="",$F1084&lt;=0,$G1084=""),"EKSİK",IF($E1084&gt;TODAY(),"İLERİ TARİH",IF(COUNTIF($S$7:$S$1506,$S1084)&gt;1,"MÜKERRER?",IF($T1084&gt;0,"KAPALI DÖNEM","UYGUN"))))))</f>
        <v/>
      </c>
      <c r="N1084" s="121">
        <f>IF($C1084="","",IF($C1084="TANIMSIZ MÜŞTERİ","—",INDEX(MUSTERILER!$C$7:$C$106,MATCH($C1084,MUSTERILER!$B$7:$B$106,0))))</f>
        <v/>
      </c>
      <c r="O1084" s="6" t="n"/>
      <c r="P1084" s="6" t="n"/>
      <c r="Q1084" s="3">
        <f>IF($D1084="","",$C1084&amp;"|"&amp;COUNTIFS($C$7:$C1084,$C1084))</f>
        <v/>
      </c>
      <c r="R1084" s="3">
        <f>IF($D1084="","",UPPER(SUBSTITUTE(SUBSTITUTE(SUBSTITUTE(SUBSTITUTE(SUBSTITUTE(SUBSTITUTE(SUBSTITUTE(SUBSTITUTE(SUBSTITUTE(SUBSTITUTE(SUBSTITUTE(SUBSTITUTE(SUBSTITUTE(SUBSTITUTE(SUBSTITUTE(SUBSTITUTE(SUBSTITUTE(SUBSTITUTE(TRIM($D1084),"'",""),"İ","I"),"ı","I"),"i","I"),"Ş","S"),"ş","S"),"Ğ","G"),"ğ","G"),"Ü","U"),"ü","U"),"Ö","O"),"ö","O"),"Ç","C"),"ç","C"),".",""),",","")," ",""),"-","")))</f>
        <v/>
      </c>
      <c r="S1084" s="3">
        <f>IF($D1084="","",$C1084&amp;"|"&amp;TEXT($E1084,"0")&amp;"|"&amp;TEXT($F1084,"0")&amp;"|"&amp;$I1084)</f>
        <v/>
      </c>
      <c r="T1084" s="3">
        <f>IF($E1084="",0,SUMPRODUCT((AY_SONU!$O$7:$O$42="Evet")*(AY_SONU!$B$7:$B$42=DATE(YEAR($E1084),MONTH($E1084),1))))</f>
        <v/>
      </c>
    </row>
    <row r="1085">
      <c r="A1085" s="6" t="n"/>
      <c r="B1085" s="113">
        <f>IF($D1085="","","T"&amp;TEXT(ROW()-6,"00000"))</f>
        <v/>
      </c>
      <c r="C1085" s="113">
        <f>IF($D1085="","",IFERROR(INDEX(MUSTERILER!$B$7:$B$106,MATCH($R1085,MUSTERILER!$T$7:$T$106,0)),IFERROR(INDEX(MUSTERILER!$B$7:$B$106,MATCH($D1085,MUSTERILER!$B$7:$B$106,0)),IFERROR(INDEX(MUSTERILER!$B$7:$B$106,MATCH($R1085&amp;"*",MUSTERILER!$T$7:$T$106,0)),"TANIMSIZ MÜŞTERİ"))))</f>
        <v/>
      </c>
      <c r="D1085" s="109" t="n"/>
      <c r="E1085" s="220" t="n"/>
      <c r="F1085" s="221" t="n"/>
      <c r="G1085" s="108" t="n"/>
      <c r="H1085" s="108" t="n"/>
      <c r="I1085" s="109" t="n"/>
      <c r="J1085" s="109" t="n"/>
      <c r="K1085" s="109" t="n"/>
      <c r="L1085" s="226">
        <f>IF($E1085="","",DATE(YEAR($E1085),MONTH($E1085),1))</f>
        <v/>
      </c>
      <c r="M1085" s="113">
        <f>IF($D1085="","",IF($C1085="TANIMSIZ MÜŞTERİ","HATA",IF(OR($E1085="",$F1085&lt;=0,$G1085=""),"EKSİK",IF($E1085&gt;TODAY(),"İLERİ TARİH",IF(COUNTIF($S$7:$S$1506,$S1085)&gt;1,"MÜKERRER?",IF($T1085&gt;0,"KAPALI DÖNEM","UYGUN"))))))</f>
        <v/>
      </c>
      <c r="N1085" s="121">
        <f>IF($C1085="","",IF($C1085="TANIMSIZ MÜŞTERİ","—",INDEX(MUSTERILER!$C$7:$C$106,MATCH($C1085,MUSTERILER!$B$7:$B$106,0))))</f>
        <v/>
      </c>
      <c r="O1085" s="6" t="n"/>
      <c r="P1085" s="6" t="n"/>
      <c r="Q1085" s="3">
        <f>IF($D1085="","",$C1085&amp;"|"&amp;COUNTIFS($C$7:$C1085,$C1085))</f>
        <v/>
      </c>
      <c r="R1085" s="3">
        <f>IF($D1085="","",UPPER(SUBSTITUTE(SUBSTITUTE(SUBSTITUTE(SUBSTITUTE(SUBSTITUTE(SUBSTITUTE(SUBSTITUTE(SUBSTITUTE(SUBSTITUTE(SUBSTITUTE(SUBSTITUTE(SUBSTITUTE(SUBSTITUTE(SUBSTITUTE(SUBSTITUTE(SUBSTITUTE(SUBSTITUTE(SUBSTITUTE(TRIM($D1085),"'",""),"İ","I"),"ı","I"),"i","I"),"Ş","S"),"ş","S"),"Ğ","G"),"ğ","G"),"Ü","U"),"ü","U"),"Ö","O"),"ö","O"),"Ç","C"),"ç","C"),".",""),",","")," ",""),"-","")))</f>
        <v/>
      </c>
      <c r="S1085" s="3">
        <f>IF($D1085="","",$C1085&amp;"|"&amp;TEXT($E1085,"0")&amp;"|"&amp;TEXT($F1085,"0")&amp;"|"&amp;$I1085)</f>
        <v/>
      </c>
      <c r="T1085" s="3">
        <f>IF($E1085="",0,SUMPRODUCT((AY_SONU!$O$7:$O$42="Evet")*(AY_SONU!$B$7:$B$42=DATE(YEAR($E1085),MONTH($E1085),1))))</f>
        <v/>
      </c>
    </row>
    <row r="1086">
      <c r="A1086" s="6" t="n"/>
      <c r="B1086" s="113">
        <f>IF($D1086="","","T"&amp;TEXT(ROW()-6,"00000"))</f>
        <v/>
      </c>
      <c r="C1086" s="113">
        <f>IF($D1086="","",IFERROR(INDEX(MUSTERILER!$B$7:$B$106,MATCH($R1086,MUSTERILER!$T$7:$T$106,0)),IFERROR(INDEX(MUSTERILER!$B$7:$B$106,MATCH($D1086,MUSTERILER!$B$7:$B$106,0)),IFERROR(INDEX(MUSTERILER!$B$7:$B$106,MATCH($R1086&amp;"*",MUSTERILER!$T$7:$T$106,0)),"TANIMSIZ MÜŞTERİ"))))</f>
        <v/>
      </c>
      <c r="D1086" s="109" t="n"/>
      <c r="E1086" s="220" t="n"/>
      <c r="F1086" s="221" t="n"/>
      <c r="G1086" s="108" t="n"/>
      <c r="H1086" s="108" t="n"/>
      <c r="I1086" s="109" t="n"/>
      <c r="J1086" s="109" t="n"/>
      <c r="K1086" s="109" t="n"/>
      <c r="L1086" s="226">
        <f>IF($E1086="","",DATE(YEAR($E1086),MONTH($E1086),1))</f>
        <v/>
      </c>
      <c r="M1086" s="113">
        <f>IF($D1086="","",IF($C1086="TANIMSIZ MÜŞTERİ","HATA",IF(OR($E1086="",$F1086&lt;=0,$G1086=""),"EKSİK",IF($E1086&gt;TODAY(),"İLERİ TARİH",IF(COUNTIF($S$7:$S$1506,$S1086)&gt;1,"MÜKERRER?",IF($T1086&gt;0,"KAPALI DÖNEM","UYGUN"))))))</f>
        <v/>
      </c>
      <c r="N1086" s="121">
        <f>IF($C1086="","",IF($C1086="TANIMSIZ MÜŞTERİ","—",INDEX(MUSTERILER!$C$7:$C$106,MATCH($C1086,MUSTERILER!$B$7:$B$106,0))))</f>
        <v/>
      </c>
      <c r="O1086" s="6" t="n"/>
      <c r="P1086" s="6" t="n"/>
      <c r="Q1086" s="3">
        <f>IF($D1086="","",$C1086&amp;"|"&amp;COUNTIFS($C$7:$C1086,$C1086))</f>
        <v/>
      </c>
      <c r="R1086" s="3">
        <f>IF($D1086="","",UPPER(SUBSTITUTE(SUBSTITUTE(SUBSTITUTE(SUBSTITUTE(SUBSTITUTE(SUBSTITUTE(SUBSTITUTE(SUBSTITUTE(SUBSTITUTE(SUBSTITUTE(SUBSTITUTE(SUBSTITUTE(SUBSTITUTE(SUBSTITUTE(SUBSTITUTE(SUBSTITUTE(SUBSTITUTE(SUBSTITUTE(TRIM($D1086),"'",""),"İ","I"),"ı","I"),"i","I"),"Ş","S"),"ş","S"),"Ğ","G"),"ğ","G"),"Ü","U"),"ü","U"),"Ö","O"),"ö","O"),"Ç","C"),"ç","C"),".",""),",","")," ",""),"-","")))</f>
        <v/>
      </c>
      <c r="S1086" s="3">
        <f>IF($D1086="","",$C1086&amp;"|"&amp;TEXT($E1086,"0")&amp;"|"&amp;TEXT($F1086,"0")&amp;"|"&amp;$I1086)</f>
        <v/>
      </c>
      <c r="T1086" s="3">
        <f>IF($E1086="",0,SUMPRODUCT((AY_SONU!$O$7:$O$42="Evet")*(AY_SONU!$B$7:$B$42=DATE(YEAR($E1086),MONTH($E1086),1))))</f>
        <v/>
      </c>
    </row>
    <row r="1087">
      <c r="A1087" s="6" t="n"/>
      <c r="B1087" s="113">
        <f>IF($D1087="","","T"&amp;TEXT(ROW()-6,"00000"))</f>
        <v/>
      </c>
      <c r="C1087" s="113">
        <f>IF($D1087="","",IFERROR(INDEX(MUSTERILER!$B$7:$B$106,MATCH($R1087,MUSTERILER!$T$7:$T$106,0)),IFERROR(INDEX(MUSTERILER!$B$7:$B$106,MATCH($D1087,MUSTERILER!$B$7:$B$106,0)),IFERROR(INDEX(MUSTERILER!$B$7:$B$106,MATCH($R1087&amp;"*",MUSTERILER!$T$7:$T$106,0)),"TANIMSIZ MÜŞTERİ"))))</f>
        <v/>
      </c>
      <c r="D1087" s="109" t="n"/>
      <c r="E1087" s="220" t="n"/>
      <c r="F1087" s="221" t="n"/>
      <c r="G1087" s="108" t="n"/>
      <c r="H1087" s="108" t="n"/>
      <c r="I1087" s="109" t="n"/>
      <c r="J1087" s="109" t="n"/>
      <c r="K1087" s="109" t="n"/>
      <c r="L1087" s="226">
        <f>IF($E1087="","",DATE(YEAR($E1087),MONTH($E1087),1))</f>
        <v/>
      </c>
      <c r="M1087" s="113">
        <f>IF($D1087="","",IF($C1087="TANIMSIZ MÜŞTERİ","HATA",IF(OR($E1087="",$F1087&lt;=0,$G1087=""),"EKSİK",IF($E1087&gt;TODAY(),"İLERİ TARİH",IF(COUNTIF($S$7:$S$1506,$S1087)&gt;1,"MÜKERRER?",IF($T1087&gt;0,"KAPALI DÖNEM","UYGUN"))))))</f>
        <v/>
      </c>
      <c r="N1087" s="121">
        <f>IF($C1087="","",IF($C1087="TANIMSIZ MÜŞTERİ","—",INDEX(MUSTERILER!$C$7:$C$106,MATCH($C1087,MUSTERILER!$B$7:$B$106,0))))</f>
        <v/>
      </c>
      <c r="O1087" s="6" t="n"/>
      <c r="P1087" s="6" t="n"/>
      <c r="Q1087" s="3">
        <f>IF($D1087="","",$C1087&amp;"|"&amp;COUNTIFS($C$7:$C1087,$C1087))</f>
        <v/>
      </c>
      <c r="R1087" s="3">
        <f>IF($D1087="","",UPPER(SUBSTITUTE(SUBSTITUTE(SUBSTITUTE(SUBSTITUTE(SUBSTITUTE(SUBSTITUTE(SUBSTITUTE(SUBSTITUTE(SUBSTITUTE(SUBSTITUTE(SUBSTITUTE(SUBSTITUTE(SUBSTITUTE(SUBSTITUTE(SUBSTITUTE(SUBSTITUTE(SUBSTITUTE(SUBSTITUTE(TRIM($D1087),"'",""),"İ","I"),"ı","I"),"i","I"),"Ş","S"),"ş","S"),"Ğ","G"),"ğ","G"),"Ü","U"),"ü","U"),"Ö","O"),"ö","O"),"Ç","C"),"ç","C"),".",""),",","")," ",""),"-","")))</f>
        <v/>
      </c>
      <c r="S1087" s="3">
        <f>IF($D1087="","",$C1087&amp;"|"&amp;TEXT($E1087,"0")&amp;"|"&amp;TEXT($F1087,"0")&amp;"|"&amp;$I1087)</f>
        <v/>
      </c>
      <c r="T1087" s="3">
        <f>IF($E1087="",0,SUMPRODUCT((AY_SONU!$O$7:$O$42="Evet")*(AY_SONU!$B$7:$B$42=DATE(YEAR($E1087),MONTH($E1087),1))))</f>
        <v/>
      </c>
    </row>
    <row r="1088">
      <c r="A1088" s="6" t="n"/>
      <c r="B1088" s="113">
        <f>IF($D1088="","","T"&amp;TEXT(ROW()-6,"00000"))</f>
        <v/>
      </c>
      <c r="C1088" s="113">
        <f>IF($D1088="","",IFERROR(INDEX(MUSTERILER!$B$7:$B$106,MATCH($R1088,MUSTERILER!$T$7:$T$106,0)),IFERROR(INDEX(MUSTERILER!$B$7:$B$106,MATCH($D1088,MUSTERILER!$B$7:$B$106,0)),IFERROR(INDEX(MUSTERILER!$B$7:$B$106,MATCH($R1088&amp;"*",MUSTERILER!$T$7:$T$106,0)),"TANIMSIZ MÜŞTERİ"))))</f>
        <v/>
      </c>
      <c r="D1088" s="109" t="n"/>
      <c r="E1088" s="220" t="n"/>
      <c r="F1088" s="221" t="n"/>
      <c r="G1088" s="108" t="n"/>
      <c r="H1088" s="108" t="n"/>
      <c r="I1088" s="109" t="n"/>
      <c r="J1088" s="109" t="n"/>
      <c r="K1088" s="109" t="n"/>
      <c r="L1088" s="226">
        <f>IF($E1088="","",DATE(YEAR($E1088),MONTH($E1088),1))</f>
        <v/>
      </c>
      <c r="M1088" s="113">
        <f>IF($D1088="","",IF($C1088="TANIMSIZ MÜŞTERİ","HATA",IF(OR($E1088="",$F1088&lt;=0,$G1088=""),"EKSİK",IF($E1088&gt;TODAY(),"İLERİ TARİH",IF(COUNTIF($S$7:$S$1506,$S1088)&gt;1,"MÜKERRER?",IF($T1088&gt;0,"KAPALI DÖNEM","UYGUN"))))))</f>
        <v/>
      </c>
      <c r="N1088" s="121">
        <f>IF($C1088="","",IF($C1088="TANIMSIZ MÜŞTERİ","—",INDEX(MUSTERILER!$C$7:$C$106,MATCH($C1088,MUSTERILER!$B$7:$B$106,0))))</f>
        <v/>
      </c>
      <c r="O1088" s="6" t="n"/>
      <c r="P1088" s="6" t="n"/>
      <c r="Q1088" s="3">
        <f>IF($D1088="","",$C1088&amp;"|"&amp;COUNTIFS($C$7:$C1088,$C1088))</f>
        <v/>
      </c>
      <c r="R1088" s="3">
        <f>IF($D1088="","",UPPER(SUBSTITUTE(SUBSTITUTE(SUBSTITUTE(SUBSTITUTE(SUBSTITUTE(SUBSTITUTE(SUBSTITUTE(SUBSTITUTE(SUBSTITUTE(SUBSTITUTE(SUBSTITUTE(SUBSTITUTE(SUBSTITUTE(SUBSTITUTE(SUBSTITUTE(SUBSTITUTE(SUBSTITUTE(SUBSTITUTE(TRIM($D1088),"'",""),"İ","I"),"ı","I"),"i","I"),"Ş","S"),"ş","S"),"Ğ","G"),"ğ","G"),"Ü","U"),"ü","U"),"Ö","O"),"ö","O"),"Ç","C"),"ç","C"),".",""),",","")," ",""),"-","")))</f>
        <v/>
      </c>
      <c r="S1088" s="3">
        <f>IF($D1088="","",$C1088&amp;"|"&amp;TEXT($E1088,"0")&amp;"|"&amp;TEXT($F1088,"0")&amp;"|"&amp;$I1088)</f>
        <v/>
      </c>
      <c r="T1088" s="3">
        <f>IF($E1088="",0,SUMPRODUCT((AY_SONU!$O$7:$O$42="Evet")*(AY_SONU!$B$7:$B$42=DATE(YEAR($E1088),MONTH($E1088),1))))</f>
        <v/>
      </c>
    </row>
    <row r="1089">
      <c r="A1089" s="6" t="n"/>
      <c r="B1089" s="113">
        <f>IF($D1089="","","T"&amp;TEXT(ROW()-6,"00000"))</f>
        <v/>
      </c>
      <c r="C1089" s="113">
        <f>IF($D1089="","",IFERROR(INDEX(MUSTERILER!$B$7:$B$106,MATCH($R1089,MUSTERILER!$T$7:$T$106,0)),IFERROR(INDEX(MUSTERILER!$B$7:$B$106,MATCH($D1089,MUSTERILER!$B$7:$B$106,0)),IFERROR(INDEX(MUSTERILER!$B$7:$B$106,MATCH($R1089&amp;"*",MUSTERILER!$T$7:$T$106,0)),"TANIMSIZ MÜŞTERİ"))))</f>
        <v/>
      </c>
      <c r="D1089" s="109" t="n"/>
      <c r="E1089" s="220" t="n"/>
      <c r="F1089" s="221" t="n"/>
      <c r="G1089" s="108" t="n"/>
      <c r="H1089" s="108" t="n"/>
      <c r="I1089" s="109" t="n"/>
      <c r="J1089" s="109" t="n"/>
      <c r="K1089" s="109" t="n"/>
      <c r="L1089" s="226">
        <f>IF($E1089="","",DATE(YEAR($E1089),MONTH($E1089),1))</f>
        <v/>
      </c>
      <c r="M1089" s="113">
        <f>IF($D1089="","",IF($C1089="TANIMSIZ MÜŞTERİ","HATA",IF(OR($E1089="",$F1089&lt;=0,$G1089=""),"EKSİK",IF($E1089&gt;TODAY(),"İLERİ TARİH",IF(COUNTIF($S$7:$S$1506,$S1089)&gt;1,"MÜKERRER?",IF($T1089&gt;0,"KAPALI DÖNEM","UYGUN"))))))</f>
        <v/>
      </c>
      <c r="N1089" s="121">
        <f>IF($C1089="","",IF($C1089="TANIMSIZ MÜŞTERİ","—",INDEX(MUSTERILER!$C$7:$C$106,MATCH($C1089,MUSTERILER!$B$7:$B$106,0))))</f>
        <v/>
      </c>
      <c r="O1089" s="6" t="n"/>
      <c r="P1089" s="6" t="n"/>
      <c r="Q1089" s="3">
        <f>IF($D1089="","",$C1089&amp;"|"&amp;COUNTIFS($C$7:$C1089,$C1089))</f>
        <v/>
      </c>
      <c r="R1089" s="3">
        <f>IF($D1089="","",UPPER(SUBSTITUTE(SUBSTITUTE(SUBSTITUTE(SUBSTITUTE(SUBSTITUTE(SUBSTITUTE(SUBSTITUTE(SUBSTITUTE(SUBSTITUTE(SUBSTITUTE(SUBSTITUTE(SUBSTITUTE(SUBSTITUTE(SUBSTITUTE(SUBSTITUTE(SUBSTITUTE(SUBSTITUTE(SUBSTITUTE(TRIM($D1089),"'",""),"İ","I"),"ı","I"),"i","I"),"Ş","S"),"ş","S"),"Ğ","G"),"ğ","G"),"Ü","U"),"ü","U"),"Ö","O"),"ö","O"),"Ç","C"),"ç","C"),".",""),",","")," ",""),"-","")))</f>
        <v/>
      </c>
      <c r="S1089" s="3">
        <f>IF($D1089="","",$C1089&amp;"|"&amp;TEXT($E1089,"0")&amp;"|"&amp;TEXT($F1089,"0")&amp;"|"&amp;$I1089)</f>
        <v/>
      </c>
      <c r="T1089" s="3">
        <f>IF($E1089="",0,SUMPRODUCT((AY_SONU!$O$7:$O$42="Evet")*(AY_SONU!$B$7:$B$42=DATE(YEAR($E1089),MONTH($E1089),1))))</f>
        <v/>
      </c>
    </row>
    <row r="1090">
      <c r="A1090" s="6" t="n"/>
      <c r="B1090" s="113">
        <f>IF($D1090="","","T"&amp;TEXT(ROW()-6,"00000"))</f>
        <v/>
      </c>
      <c r="C1090" s="113">
        <f>IF($D1090="","",IFERROR(INDEX(MUSTERILER!$B$7:$B$106,MATCH($R1090,MUSTERILER!$T$7:$T$106,0)),IFERROR(INDEX(MUSTERILER!$B$7:$B$106,MATCH($D1090,MUSTERILER!$B$7:$B$106,0)),IFERROR(INDEX(MUSTERILER!$B$7:$B$106,MATCH($R1090&amp;"*",MUSTERILER!$T$7:$T$106,0)),"TANIMSIZ MÜŞTERİ"))))</f>
        <v/>
      </c>
      <c r="D1090" s="109" t="n"/>
      <c r="E1090" s="220" t="n"/>
      <c r="F1090" s="221" t="n"/>
      <c r="G1090" s="108" t="n"/>
      <c r="H1090" s="108" t="n"/>
      <c r="I1090" s="109" t="n"/>
      <c r="J1090" s="109" t="n"/>
      <c r="K1090" s="109" t="n"/>
      <c r="L1090" s="226">
        <f>IF($E1090="","",DATE(YEAR($E1090),MONTH($E1090),1))</f>
        <v/>
      </c>
      <c r="M1090" s="113">
        <f>IF($D1090="","",IF($C1090="TANIMSIZ MÜŞTERİ","HATA",IF(OR($E1090="",$F1090&lt;=0,$G1090=""),"EKSİK",IF($E1090&gt;TODAY(),"İLERİ TARİH",IF(COUNTIF($S$7:$S$1506,$S1090)&gt;1,"MÜKERRER?",IF($T1090&gt;0,"KAPALI DÖNEM","UYGUN"))))))</f>
        <v/>
      </c>
      <c r="N1090" s="121">
        <f>IF($C1090="","",IF($C1090="TANIMSIZ MÜŞTERİ","—",INDEX(MUSTERILER!$C$7:$C$106,MATCH($C1090,MUSTERILER!$B$7:$B$106,0))))</f>
        <v/>
      </c>
      <c r="O1090" s="6" t="n"/>
      <c r="P1090" s="6" t="n"/>
      <c r="Q1090" s="3">
        <f>IF($D1090="","",$C1090&amp;"|"&amp;COUNTIFS($C$7:$C1090,$C1090))</f>
        <v/>
      </c>
      <c r="R1090" s="3">
        <f>IF($D1090="","",UPPER(SUBSTITUTE(SUBSTITUTE(SUBSTITUTE(SUBSTITUTE(SUBSTITUTE(SUBSTITUTE(SUBSTITUTE(SUBSTITUTE(SUBSTITUTE(SUBSTITUTE(SUBSTITUTE(SUBSTITUTE(SUBSTITUTE(SUBSTITUTE(SUBSTITUTE(SUBSTITUTE(SUBSTITUTE(SUBSTITUTE(TRIM($D1090),"'",""),"İ","I"),"ı","I"),"i","I"),"Ş","S"),"ş","S"),"Ğ","G"),"ğ","G"),"Ü","U"),"ü","U"),"Ö","O"),"ö","O"),"Ç","C"),"ç","C"),".",""),",","")," ",""),"-","")))</f>
        <v/>
      </c>
      <c r="S1090" s="3">
        <f>IF($D1090="","",$C1090&amp;"|"&amp;TEXT($E1090,"0")&amp;"|"&amp;TEXT($F1090,"0")&amp;"|"&amp;$I1090)</f>
        <v/>
      </c>
      <c r="T1090" s="3">
        <f>IF($E1090="",0,SUMPRODUCT((AY_SONU!$O$7:$O$42="Evet")*(AY_SONU!$B$7:$B$42=DATE(YEAR($E1090),MONTH($E1090),1))))</f>
        <v/>
      </c>
    </row>
    <row r="1091">
      <c r="A1091" s="6" t="n"/>
      <c r="B1091" s="113">
        <f>IF($D1091="","","T"&amp;TEXT(ROW()-6,"00000"))</f>
        <v/>
      </c>
      <c r="C1091" s="113">
        <f>IF($D1091="","",IFERROR(INDEX(MUSTERILER!$B$7:$B$106,MATCH($R1091,MUSTERILER!$T$7:$T$106,0)),IFERROR(INDEX(MUSTERILER!$B$7:$B$106,MATCH($D1091,MUSTERILER!$B$7:$B$106,0)),IFERROR(INDEX(MUSTERILER!$B$7:$B$106,MATCH($R1091&amp;"*",MUSTERILER!$T$7:$T$106,0)),"TANIMSIZ MÜŞTERİ"))))</f>
        <v/>
      </c>
      <c r="D1091" s="109" t="n"/>
      <c r="E1091" s="220" t="n"/>
      <c r="F1091" s="221" t="n"/>
      <c r="G1091" s="108" t="n"/>
      <c r="H1091" s="108" t="n"/>
      <c r="I1091" s="109" t="n"/>
      <c r="J1091" s="109" t="n"/>
      <c r="K1091" s="109" t="n"/>
      <c r="L1091" s="226">
        <f>IF($E1091="","",DATE(YEAR($E1091),MONTH($E1091),1))</f>
        <v/>
      </c>
      <c r="M1091" s="113">
        <f>IF($D1091="","",IF($C1091="TANIMSIZ MÜŞTERİ","HATA",IF(OR($E1091="",$F1091&lt;=0,$G1091=""),"EKSİK",IF($E1091&gt;TODAY(),"İLERİ TARİH",IF(COUNTIF($S$7:$S$1506,$S1091)&gt;1,"MÜKERRER?",IF($T1091&gt;0,"KAPALI DÖNEM","UYGUN"))))))</f>
        <v/>
      </c>
      <c r="N1091" s="121">
        <f>IF($C1091="","",IF($C1091="TANIMSIZ MÜŞTERİ","—",INDEX(MUSTERILER!$C$7:$C$106,MATCH($C1091,MUSTERILER!$B$7:$B$106,0))))</f>
        <v/>
      </c>
      <c r="O1091" s="6" t="n"/>
      <c r="P1091" s="6" t="n"/>
      <c r="Q1091" s="3">
        <f>IF($D1091="","",$C1091&amp;"|"&amp;COUNTIFS($C$7:$C1091,$C1091))</f>
        <v/>
      </c>
      <c r="R1091" s="3">
        <f>IF($D1091="","",UPPER(SUBSTITUTE(SUBSTITUTE(SUBSTITUTE(SUBSTITUTE(SUBSTITUTE(SUBSTITUTE(SUBSTITUTE(SUBSTITUTE(SUBSTITUTE(SUBSTITUTE(SUBSTITUTE(SUBSTITUTE(SUBSTITUTE(SUBSTITUTE(SUBSTITUTE(SUBSTITUTE(SUBSTITUTE(SUBSTITUTE(TRIM($D1091),"'",""),"İ","I"),"ı","I"),"i","I"),"Ş","S"),"ş","S"),"Ğ","G"),"ğ","G"),"Ü","U"),"ü","U"),"Ö","O"),"ö","O"),"Ç","C"),"ç","C"),".",""),",","")," ",""),"-","")))</f>
        <v/>
      </c>
      <c r="S1091" s="3">
        <f>IF($D1091="","",$C1091&amp;"|"&amp;TEXT($E1091,"0")&amp;"|"&amp;TEXT($F1091,"0")&amp;"|"&amp;$I1091)</f>
        <v/>
      </c>
      <c r="T1091" s="3">
        <f>IF($E1091="",0,SUMPRODUCT((AY_SONU!$O$7:$O$42="Evet")*(AY_SONU!$B$7:$B$42=DATE(YEAR($E1091),MONTH($E1091),1))))</f>
        <v/>
      </c>
    </row>
    <row r="1092">
      <c r="A1092" s="6" t="n"/>
      <c r="B1092" s="113">
        <f>IF($D1092="","","T"&amp;TEXT(ROW()-6,"00000"))</f>
        <v/>
      </c>
      <c r="C1092" s="113">
        <f>IF($D1092="","",IFERROR(INDEX(MUSTERILER!$B$7:$B$106,MATCH($R1092,MUSTERILER!$T$7:$T$106,0)),IFERROR(INDEX(MUSTERILER!$B$7:$B$106,MATCH($D1092,MUSTERILER!$B$7:$B$106,0)),IFERROR(INDEX(MUSTERILER!$B$7:$B$106,MATCH($R1092&amp;"*",MUSTERILER!$T$7:$T$106,0)),"TANIMSIZ MÜŞTERİ"))))</f>
        <v/>
      </c>
      <c r="D1092" s="109" t="n"/>
      <c r="E1092" s="220" t="n"/>
      <c r="F1092" s="221" t="n"/>
      <c r="G1092" s="108" t="n"/>
      <c r="H1092" s="108" t="n"/>
      <c r="I1092" s="109" t="n"/>
      <c r="J1092" s="109" t="n"/>
      <c r="K1092" s="109" t="n"/>
      <c r="L1092" s="226">
        <f>IF($E1092="","",DATE(YEAR($E1092),MONTH($E1092),1))</f>
        <v/>
      </c>
      <c r="M1092" s="113">
        <f>IF($D1092="","",IF($C1092="TANIMSIZ MÜŞTERİ","HATA",IF(OR($E1092="",$F1092&lt;=0,$G1092=""),"EKSİK",IF($E1092&gt;TODAY(),"İLERİ TARİH",IF(COUNTIF($S$7:$S$1506,$S1092)&gt;1,"MÜKERRER?",IF($T1092&gt;0,"KAPALI DÖNEM","UYGUN"))))))</f>
        <v/>
      </c>
      <c r="N1092" s="121">
        <f>IF($C1092="","",IF($C1092="TANIMSIZ MÜŞTERİ","—",INDEX(MUSTERILER!$C$7:$C$106,MATCH($C1092,MUSTERILER!$B$7:$B$106,0))))</f>
        <v/>
      </c>
      <c r="O1092" s="6" t="n"/>
      <c r="P1092" s="6" t="n"/>
      <c r="Q1092" s="3">
        <f>IF($D1092="","",$C1092&amp;"|"&amp;COUNTIFS($C$7:$C1092,$C1092))</f>
        <v/>
      </c>
      <c r="R1092" s="3">
        <f>IF($D1092="","",UPPER(SUBSTITUTE(SUBSTITUTE(SUBSTITUTE(SUBSTITUTE(SUBSTITUTE(SUBSTITUTE(SUBSTITUTE(SUBSTITUTE(SUBSTITUTE(SUBSTITUTE(SUBSTITUTE(SUBSTITUTE(SUBSTITUTE(SUBSTITUTE(SUBSTITUTE(SUBSTITUTE(SUBSTITUTE(SUBSTITUTE(TRIM($D1092),"'",""),"İ","I"),"ı","I"),"i","I"),"Ş","S"),"ş","S"),"Ğ","G"),"ğ","G"),"Ü","U"),"ü","U"),"Ö","O"),"ö","O"),"Ç","C"),"ç","C"),".",""),",","")," ",""),"-","")))</f>
        <v/>
      </c>
      <c r="S1092" s="3">
        <f>IF($D1092="","",$C1092&amp;"|"&amp;TEXT($E1092,"0")&amp;"|"&amp;TEXT($F1092,"0")&amp;"|"&amp;$I1092)</f>
        <v/>
      </c>
      <c r="T1092" s="3">
        <f>IF($E1092="",0,SUMPRODUCT((AY_SONU!$O$7:$O$42="Evet")*(AY_SONU!$B$7:$B$42=DATE(YEAR($E1092),MONTH($E1092),1))))</f>
        <v/>
      </c>
    </row>
    <row r="1093">
      <c r="A1093" s="6" t="n"/>
      <c r="B1093" s="113">
        <f>IF($D1093="","","T"&amp;TEXT(ROW()-6,"00000"))</f>
        <v/>
      </c>
      <c r="C1093" s="113">
        <f>IF($D1093="","",IFERROR(INDEX(MUSTERILER!$B$7:$B$106,MATCH($R1093,MUSTERILER!$T$7:$T$106,0)),IFERROR(INDEX(MUSTERILER!$B$7:$B$106,MATCH($D1093,MUSTERILER!$B$7:$B$106,0)),IFERROR(INDEX(MUSTERILER!$B$7:$B$106,MATCH($R1093&amp;"*",MUSTERILER!$T$7:$T$106,0)),"TANIMSIZ MÜŞTERİ"))))</f>
        <v/>
      </c>
      <c r="D1093" s="109" t="n"/>
      <c r="E1093" s="220" t="n"/>
      <c r="F1093" s="221" t="n"/>
      <c r="G1093" s="108" t="n"/>
      <c r="H1093" s="108" t="n"/>
      <c r="I1093" s="109" t="n"/>
      <c r="J1093" s="109" t="n"/>
      <c r="K1093" s="109" t="n"/>
      <c r="L1093" s="226">
        <f>IF($E1093="","",DATE(YEAR($E1093),MONTH($E1093),1))</f>
        <v/>
      </c>
      <c r="M1093" s="113">
        <f>IF($D1093="","",IF($C1093="TANIMSIZ MÜŞTERİ","HATA",IF(OR($E1093="",$F1093&lt;=0,$G1093=""),"EKSİK",IF($E1093&gt;TODAY(),"İLERİ TARİH",IF(COUNTIF($S$7:$S$1506,$S1093)&gt;1,"MÜKERRER?",IF($T1093&gt;0,"KAPALI DÖNEM","UYGUN"))))))</f>
        <v/>
      </c>
      <c r="N1093" s="121">
        <f>IF($C1093="","",IF($C1093="TANIMSIZ MÜŞTERİ","—",INDEX(MUSTERILER!$C$7:$C$106,MATCH($C1093,MUSTERILER!$B$7:$B$106,0))))</f>
        <v/>
      </c>
      <c r="O1093" s="6" t="n"/>
      <c r="P1093" s="6" t="n"/>
      <c r="Q1093" s="3">
        <f>IF($D1093="","",$C1093&amp;"|"&amp;COUNTIFS($C$7:$C1093,$C1093))</f>
        <v/>
      </c>
      <c r="R1093" s="3">
        <f>IF($D1093="","",UPPER(SUBSTITUTE(SUBSTITUTE(SUBSTITUTE(SUBSTITUTE(SUBSTITUTE(SUBSTITUTE(SUBSTITUTE(SUBSTITUTE(SUBSTITUTE(SUBSTITUTE(SUBSTITUTE(SUBSTITUTE(SUBSTITUTE(SUBSTITUTE(SUBSTITUTE(SUBSTITUTE(SUBSTITUTE(SUBSTITUTE(TRIM($D1093),"'",""),"İ","I"),"ı","I"),"i","I"),"Ş","S"),"ş","S"),"Ğ","G"),"ğ","G"),"Ü","U"),"ü","U"),"Ö","O"),"ö","O"),"Ç","C"),"ç","C"),".",""),",","")," ",""),"-","")))</f>
        <v/>
      </c>
      <c r="S1093" s="3">
        <f>IF($D1093="","",$C1093&amp;"|"&amp;TEXT($E1093,"0")&amp;"|"&amp;TEXT($F1093,"0")&amp;"|"&amp;$I1093)</f>
        <v/>
      </c>
      <c r="T1093" s="3">
        <f>IF($E1093="",0,SUMPRODUCT((AY_SONU!$O$7:$O$42="Evet")*(AY_SONU!$B$7:$B$42=DATE(YEAR($E1093),MONTH($E1093),1))))</f>
        <v/>
      </c>
    </row>
    <row r="1094">
      <c r="A1094" s="6" t="n"/>
      <c r="B1094" s="113">
        <f>IF($D1094="","","T"&amp;TEXT(ROW()-6,"00000"))</f>
        <v/>
      </c>
      <c r="C1094" s="113">
        <f>IF($D1094="","",IFERROR(INDEX(MUSTERILER!$B$7:$B$106,MATCH($R1094,MUSTERILER!$T$7:$T$106,0)),IFERROR(INDEX(MUSTERILER!$B$7:$B$106,MATCH($D1094,MUSTERILER!$B$7:$B$106,0)),IFERROR(INDEX(MUSTERILER!$B$7:$B$106,MATCH($R1094&amp;"*",MUSTERILER!$T$7:$T$106,0)),"TANIMSIZ MÜŞTERİ"))))</f>
        <v/>
      </c>
      <c r="D1094" s="109" t="n"/>
      <c r="E1094" s="220" t="n"/>
      <c r="F1094" s="221" t="n"/>
      <c r="G1094" s="108" t="n"/>
      <c r="H1094" s="108" t="n"/>
      <c r="I1094" s="109" t="n"/>
      <c r="J1094" s="109" t="n"/>
      <c r="K1094" s="109" t="n"/>
      <c r="L1094" s="226">
        <f>IF($E1094="","",DATE(YEAR($E1094),MONTH($E1094),1))</f>
        <v/>
      </c>
      <c r="M1094" s="113">
        <f>IF($D1094="","",IF($C1094="TANIMSIZ MÜŞTERİ","HATA",IF(OR($E1094="",$F1094&lt;=0,$G1094=""),"EKSİK",IF($E1094&gt;TODAY(),"İLERİ TARİH",IF(COUNTIF($S$7:$S$1506,$S1094)&gt;1,"MÜKERRER?",IF($T1094&gt;0,"KAPALI DÖNEM","UYGUN"))))))</f>
        <v/>
      </c>
      <c r="N1094" s="121">
        <f>IF($C1094="","",IF($C1094="TANIMSIZ MÜŞTERİ","—",INDEX(MUSTERILER!$C$7:$C$106,MATCH($C1094,MUSTERILER!$B$7:$B$106,0))))</f>
        <v/>
      </c>
      <c r="O1094" s="6" t="n"/>
      <c r="P1094" s="6" t="n"/>
      <c r="Q1094" s="3">
        <f>IF($D1094="","",$C1094&amp;"|"&amp;COUNTIFS($C$7:$C1094,$C1094))</f>
        <v/>
      </c>
      <c r="R1094" s="3">
        <f>IF($D1094="","",UPPER(SUBSTITUTE(SUBSTITUTE(SUBSTITUTE(SUBSTITUTE(SUBSTITUTE(SUBSTITUTE(SUBSTITUTE(SUBSTITUTE(SUBSTITUTE(SUBSTITUTE(SUBSTITUTE(SUBSTITUTE(SUBSTITUTE(SUBSTITUTE(SUBSTITUTE(SUBSTITUTE(SUBSTITUTE(SUBSTITUTE(TRIM($D1094),"'",""),"İ","I"),"ı","I"),"i","I"),"Ş","S"),"ş","S"),"Ğ","G"),"ğ","G"),"Ü","U"),"ü","U"),"Ö","O"),"ö","O"),"Ç","C"),"ç","C"),".",""),",","")," ",""),"-","")))</f>
        <v/>
      </c>
      <c r="S1094" s="3">
        <f>IF($D1094="","",$C1094&amp;"|"&amp;TEXT($E1094,"0")&amp;"|"&amp;TEXT($F1094,"0")&amp;"|"&amp;$I1094)</f>
        <v/>
      </c>
      <c r="T1094" s="3">
        <f>IF($E1094="",0,SUMPRODUCT((AY_SONU!$O$7:$O$42="Evet")*(AY_SONU!$B$7:$B$42=DATE(YEAR($E1094),MONTH($E1094),1))))</f>
        <v/>
      </c>
    </row>
    <row r="1095">
      <c r="A1095" s="6" t="n"/>
      <c r="B1095" s="113">
        <f>IF($D1095="","","T"&amp;TEXT(ROW()-6,"00000"))</f>
        <v/>
      </c>
      <c r="C1095" s="113">
        <f>IF($D1095="","",IFERROR(INDEX(MUSTERILER!$B$7:$B$106,MATCH($R1095,MUSTERILER!$T$7:$T$106,0)),IFERROR(INDEX(MUSTERILER!$B$7:$B$106,MATCH($D1095,MUSTERILER!$B$7:$B$106,0)),IFERROR(INDEX(MUSTERILER!$B$7:$B$106,MATCH($R1095&amp;"*",MUSTERILER!$T$7:$T$106,0)),"TANIMSIZ MÜŞTERİ"))))</f>
        <v/>
      </c>
      <c r="D1095" s="109" t="n"/>
      <c r="E1095" s="220" t="n"/>
      <c r="F1095" s="221" t="n"/>
      <c r="G1095" s="108" t="n"/>
      <c r="H1095" s="108" t="n"/>
      <c r="I1095" s="109" t="n"/>
      <c r="J1095" s="109" t="n"/>
      <c r="K1095" s="109" t="n"/>
      <c r="L1095" s="226">
        <f>IF($E1095="","",DATE(YEAR($E1095),MONTH($E1095),1))</f>
        <v/>
      </c>
      <c r="M1095" s="113">
        <f>IF($D1095="","",IF($C1095="TANIMSIZ MÜŞTERİ","HATA",IF(OR($E1095="",$F1095&lt;=0,$G1095=""),"EKSİK",IF($E1095&gt;TODAY(),"İLERİ TARİH",IF(COUNTIF($S$7:$S$1506,$S1095)&gt;1,"MÜKERRER?",IF($T1095&gt;0,"KAPALI DÖNEM","UYGUN"))))))</f>
        <v/>
      </c>
      <c r="N1095" s="121">
        <f>IF($C1095="","",IF($C1095="TANIMSIZ MÜŞTERİ","—",INDEX(MUSTERILER!$C$7:$C$106,MATCH($C1095,MUSTERILER!$B$7:$B$106,0))))</f>
        <v/>
      </c>
      <c r="O1095" s="6" t="n"/>
      <c r="P1095" s="6" t="n"/>
      <c r="Q1095" s="3">
        <f>IF($D1095="","",$C1095&amp;"|"&amp;COUNTIFS($C$7:$C1095,$C1095))</f>
        <v/>
      </c>
      <c r="R1095" s="3">
        <f>IF($D1095="","",UPPER(SUBSTITUTE(SUBSTITUTE(SUBSTITUTE(SUBSTITUTE(SUBSTITUTE(SUBSTITUTE(SUBSTITUTE(SUBSTITUTE(SUBSTITUTE(SUBSTITUTE(SUBSTITUTE(SUBSTITUTE(SUBSTITUTE(SUBSTITUTE(SUBSTITUTE(SUBSTITUTE(SUBSTITUTE(SUBSTITUTE(TRIM($D1095),"'",""),"İ","I"),"ı","I"),"i","I"),"Ş","S"),"ş","S"),"Ğ","G"),"ğ","G"),"Ü","U"),"ü","U"),"Ö","O"),"ö","O"),"Ç","C"),"ç","C"),".",""),",","")," ",""),"-","")))</f>
        <v/>
      </c>
      <c r="S1095" s="3">
        <f>IF($D1095="","",$C1095&amp;"|"&amp;TEXT($E1095,"0")&amp;"|"&amp;TEXT($F1095,"0")&amp;"|"&amp;$I1095)</f>
        <v/>
      </c>
      <c r="T1095" s="3">
        <f>IF($E1095="",0,SUMPRODUCT((AY_SONU!$O$7:$O$42="Evet")*(AY_SONU!$B$7:$B$42=DATE(YEAR($E1095),MONTH($E1095),1))))</f>
        <v/>
      </c>
    </row>
    <row r="1096">
      <c r="A1096" s="6" t="n"/>
      <c r="B1096" s="113">
        <f>IF($D1096="","","T"&amp;TEXT(ROW()-6,"00000"))</f>
        <v/>
      </c>
      <c r="C1096" s="113">
        <f>IF($D1096="","",IFERROR(INDEX(MUSTERILER!$B$7:$B$106,MATCH($R1096,MUSTERILER!$T$7:$T$106,0)),IFERROR(INDEX(MUSTERILER!$B$7:$B$106,MATCH($D1096,MUSTERILER!$B$7:$B$106,0)),IFERROR(INDEX(MUSTERILER!$B$7:$B$106,MATCH($R1096&amp;"*",MUSTERILER!$T$7:$T$106,0)),"TANIMSIZ MÜŞTERİ"))))</f>
        <v/>
      </c>
      <c r="D1096" s="109" t="n"/>
      <c r="E1096" s="220" t="n"/>
      <c r="F1096" s="221" t="n"/>
      <c r="G1096" s="108" t="n"/>
      <c r="H1096" s="108" t="n"/>
      <c r="I1096" s="109" t="n"/>
      <c r="J1096" s="109" t="n"/>
      <c r="K1096" s="109" t="n"/>
      <c r="L1096" s="226">
        <f>IF($E1096="","",DATE(YEAR($E1096),MONTH($E1096),1))</f>
        <v/>
      </c>
      <c r="M1096" s="113">
        <f>IF($D1096="","",IF($C1096="TANIMSIZ MÜŞTERİ","HATA",IF(OR($E1096="",$F1096&lt;=0,$G1096=""),"EKSİK",IF($E1096&gt;TODAY(),"İLERİ TARİH",IF(COUNTIF($S$7:$S$1506,$S1096)&gt;1,"MÜKERRER?",IF($T1096&gt;0,"KAPALI DÖNEM","UYGUN"))))))</f>
        <v/>
      </c>
      <c r="N1096" s="121">
        <f>IF($C1096="","",IF($C1096="TANIMSIZ MÜŞTERİ","—",INDEX(MUSTERILER!$C$7:$C$106,MATCH($C1096,MUSTERILER!$B$7:$B$106,0))))</f>
        <v/>
      </c>
      <c r="O1096" s="6" t="n"/>
      <c r="P1096" s="6" t="n"/>
      <c r="Q1096" s="3">
        <f>IF($D1096="","",$C1096&amp;"|"&amp;COUNTIFS($C$7:$C1096,$C1096))</f>
        <v/>
      </c>
      <c r="R1096" s="3">
        <f>IF($D1096="","",UPPER(SUBSTITUTE(SUBSTITUTE(SUBSTITUTE(SUBSTITUTE(SUBSTITUTE(SUBSTITUTE(SUBSTITUTE(SUBSTITUTE(SUBSTITUTE(SUBSTITUTE(SUBSTITUTE(SUBSTITUTE(SUBSTITUTE(SUBSTITUTE(SUBSTITUTE(SUBSTITUTE(SUBSTITUTE(SUBSTITUTE(TRIM($D1096),"'",""),"İ","I"),"ı","I"),"i","I"),"Ş","S"),"ş","S"),"Ğ","G"),"ğ","G"),"Ü","U"),"ü","U"),"Ö","O"),"ö","O"),"Ç","C"),"ç","C"),".",""),",","")," ",""),"-","")))</f>
        <v/>
      </c>
      <c r="S1096" s="3">
        <f>IF($D1096="","",$C1096&amp;"|"&amp;TEXT($E1096,"0")&amp;"|"&amp;TEXT($F1096,"0")&amp;"|"&amp;$I1096)</f>
        <v/>
      </c>
      <c r="T1096" s="3">
        <f>IF($E1096="",0,SUMPRODUCT((AY_SONU!$O$7:$O$42="Evet")*(AY_SONU!$B$7:$B$42=DATE(YEAR($E1096),MONTH($E1096),1))))</f>
        <v/>
      </c>
    </row>
    <row r="1097">
      <c r="A1097" s="6" t="n"/>
      <c r="B1097" s="113">
        <f>IF($D1097="","","T"&amp;TEXT(ROW()-6,"00000"))</f>
        <v/>
      </c>
      <c r="C1097" s="113">
        <f>IF($D1097="","",IFERROR(INDEX(MUSTERILER!$B$7:$B$106,MATCH($R1097,MUSTERILER!$T$7:$T$106,0)),IFERROR(INDEX(MUSTERILER!$B$7:$B$106,MATCH($D1097,MUSTERILER!$B$7:$B$106,0)),IFERROR(INDEX(MUSTERILER!$B$7:$B$106,MATCH($R1097&amp;"*",MUSTERILER!$T$7:$T$106,0)),"TANIMSIZ MÜŞTERİ"))))</f>
        <v/>
      </c>
      <c r="D1097" s="109" t="n"/>
      <c r="E1097" s="220" t="n"/>
      <c r="F1097" s="221" t="n"/>
      <c r="G1097" s="108" t="n"/>
      <c r="H1097" s="108" t="n"/>
      <c r="I1097" s="109" t="n"/>
      <c r="J1097" s="109" t="n"/>
      <c r="K1097" s="109" t="n"/>
      <c r="L1097" s="226">
        <f>IF($E1097="","",DATE(YEAR($E1097),MONTH($E1097),1))</f>
        <v/>
      </c>
      <c r="M1097" s="113">
        <f>IF($D1097="","",IF($C1097="TANIMSIZ MÜŞTERİ","HATA",IF(OR($E1097="",$F1097&lt;=0,$G1097=""),"EKSİK",IF($E1097&gt;TODAY(),"İLERİ TARİH",IF(COUNTIF($S$7:$S$1506,$S1097)&gt;1,"MÜKERRER?",IF($T1097&gt;0,"KAPALI DÖNEM","UYGUN"))))))</f>
        <v/>
      </c>
      <c r="N1097" s="121">
        <f>IF($C1097="","",IF($C1097="TANIMSIZ MÜŞTERİ","—",INDEX(MUSTERILER!$C$7:$C$106,MATCH($C1097,MUSTERILER!$B$7:$B$106,0))))</f>
        <v/>
      </c>
      <c r="O1097" s="6" t="n"/>
      <c r="P1097" s="6" t="n"/>
      <c r="Q1097" s="3">
        <f>IF($D1097="","",$C1097&amp;"|"&amp;COUNTIFS($C$7:$C1097,$C1097))</f>
        <v/>
      </c>
      <c r="R1097" s="3">
        <f>IF($D1097="","",UPPER(SUBSTITUTE(SUBSTITUTE(SUBSTITUTE(SUBSTITUTE(SUBSTITUTE(SUBSTITUTE(SUBSTITUTE(SUBSTITUTE(SUBSTITUTE(SUBSTITUTE(SUBSTITUTE(SUBSTITUTE(SUBSTITUTE(SUBSTITUTE(SUBSTITUTE(SUBSTITUTE(SUBSTITUTE(SUBSTITUTE(TRIM($D1097),"'",""),"İ","I"),"ı","I"),"i","I"),"Ş","S"),"ş","S"),"Ğ","G"),"ğ","G"),"Ü","U"),"ü","U"),"Ö","O"),"ö","O"),"Ç","C"),"ç","C"),".",""),",","")," ",""),"-","")))</f>
        <v/>
      </c>
      <c r="S1097" s="3">
        <f>IF($D1097="","",$C1097&amp;"|"&amp;TEXT($E1097,"0")&amp;"|"&amp;TEXT($F1097,"0")&amp;"|"&amp;$I1097)</f>
        <v/>
      </c>
      <c r="T1097" s="3">
        <f>IF($E1097="",0,SUMPRODUCT((AY_SONU!$O$7:$O$42="Evet")*(AY_SONU!$B$7:$B$42=DATE(YEAR($E1097),MONTH($E1097),1))))</f>
        <v/>
      </c>
    </row>
    <row r="1098">
      <c r="A1098" s="6" t="n"/>
      <c r="B1098" s="113">
        <f>IF($D1098="","","T"&amp;TEXT(ROW()-6,"00000"))</f>
        <v/>
      </c>
      <c r="C1098" s="113">
        <f>IF($D1098="","",IFERROR(INDEX(MUSTERILER!$B$7:$B$106,MATCH($R1098,MUSTERILER!$T$7:$T$106,0)),IFERROR(INDEX(MUSTERILER!$B$7:$B$106,MATCH($D1098,MUSTERILER!$B$7:$B$106,0)),IFERROR(INDEX(MUSTERILER!$B$7:$B$106,MATCH($R1098&amp;"*",MUSTERILER!$T$7:$T$106,0)),"TANIMSIZ MÜŞTERİ"))))</f>
        <v/>
      </c>
      <c r="D1098" s="109" t="n"/>
      <c r="E1098" s="220" t="n"/>
      <c r="F1098" s="221" t="n"/>
      <c r="G1098" s="108" t="n"/>
      <c r="H1098" s="108" t="n"/>
      <c r="I1098" s="109" t="n"/>
      <c r="J1098" s="109" t="n"/>
      <c r="K1098" s="109" t="n"/>
      <c r="L1098" s="226">
        <f>IF($E1098="","",DATE(YEAR($E1098),MONTH($E1098),1))</f>
        <v/>
      </c>
      <c r="M1098" s="113">
        <f>IF($D1098="","",IF($C1098="TANIMSIZ MÜŞTERİ","HATA",IF(OR($E1098="",$F1098&lt;=0,$G1098=""),"EKSİK",IF($E1098&gt;TODAY(),"İLERİ TARİH",IF(COUNTIF($S$7:$S$1506,$S1098)&gt;1,"MÜKERRER?",IF($T1098&gt;0,"KAPALI DÖNEM","UYGUN"))))))</f>
        <v/>
      </c>
      <c r="N1098" s="121">
        <f>IF($C1098="","",IF($C1098="TANIMSIZ MÜŞTERİ","—",INDEX(MUSTERILER!$C$7:$C$106,MATCH($C1098,MUSTERILER!$B$7:$B$106,0))))</f>
        <v/>
      </c>
      <c r="O1098" s="6" t="n"/>
      <c r="P1098" s="6" t="n"/>
      <c r="Q1098" s="3">
        <f>IF($D1098="","",$C1098&amp;"|"&amp;COUNTIFS($C$7:$C1098,$C1098))</f>
        <v/>
      </c>
      <c r="R1098" s="3">
        <f>IF($D1098="","",UPPER(SUBSTITUTE(SUBSTITUTE(SUBSTITUTE(SUBSTITUTE(SUBSTITUTE(SUBSTITUTE(SUBSTITUTE(SUBSTITUTE(SUBSTITUTE(SUBSTITUTE(SUBSTITUTE(SUBSTITUTE(SUBSTITUTE(SUBSTITUTE(SUBSTITUTE(SUBSTITUTE(SUBSTITUTE(SUBSTITUTE(TRIM($D1098),"'",""),"İ","I"),"ı","I"),"i","I"),"Ş","S"),"ş","S"),"Ğ","G"),"ğ","G"),"Ü","U"),"ü","U"),"Ö","O"),"ö","O"),"Ç","C"),"ç","C"),".",""),",","")," ",""),"-","")))</f>
        <v/>
      </c>
      <c r="S1098" s="3">
        <f>IF($D1098="","",$C1098&amp;"|"&amp;TEXT($E1098,"0")&amp;"|"&amp;TEXT($F1098,"0")&amp;"|"&amp;$I1098)</f>
        <v/>
      </c>
      <c r="T1098" s="3">
        <f>IF($E1098="",0,SUMPRODUCT((AY_SONU!$O$7:$O$42="Evet")*(AY_SONU!$B$7:$B$42=DATE(YEAR($E1098),MONTH($E1098),1))))</f>
        <v/>
      </c>
    </row>
    <row r="1099">
      <c r="A1099" s="6" t="n"/>
      <c r="B1099" s="113">
        <f>IF($D1099="","","T"&amp;TEXT(ROW()-6,"00000"))</f>
        <v/>
      </c>
      <c r="C1099" s="113">
        <f>IF($D1099="","",IFERROR(INDEX(MUSTERILER!$B$7:$B$106,MATCH($R1099,MUSTERILER!$T$7:$T$106,0)),IFERROR(INDEX(MUSTERILER!$B$7:$B$106,MATCH($D1099,MUSTERILER!$B$7:$B$106,0)),IFERROR(INDEX(MUSTERILER!$B$7:$B$106,MATCH($R1099&amp;"*",MUSTERILER!$T$7:$T$106,0)),"TANIMSIZ MÜŞTERİ"))))</f>
        <v/>
      </c>
      <c r="D1099" s="109" t="n"/>
      <c r="E1099" s="220" t="n"/>
      <c r="F1099" s="221" t="n"/>
      <c r="G1099" s="108" t="n"/>
      <c r="H1099" s="108" t="n"/>
      <c r="I1099" s="109" t="n"/>
      <c r="J1099" s="109" t="n"/>
      <c r="K1099" s="109" t="n"/>
      <c r="L1099" s="226">
        <f>IF($E1099="","",DATE(YEAR($E1099),MONTH($E1099),1))</f>
        <v/>
      </c>
      <c r="M1099" s="113">
        <f>IF($D1099="","",IF($C1099="TANIMSIZ MÜŞTERİ","HATA",IF(OR($E1099="",$F1099&lt;=0,$G1099=""),"EKSİK",IF($E1099&gt;TODAY(),"İLERİ TARİH",IF(COUNTIF($S$7:$S$1506,$S1099)&gt;1,"MÜKERRER?",IF($T1099&gt;0,"KAPALI DÖNEM","UYGUN"))))))</f>
        <v/>
      </c>
      <c r="N1099" s="121">
        <f>IF($C1099="","",IF($C1099="TANIMSIZ MÜŞTERİ","—",INDEX(MUSTERILER!$C$7:$C$106,MATCH($C1099,MUSTERILER!$B$7:$B$106,0))))</f>
        <v/>
      </c>
      <c r="O1099" s="6" t="n"/>
      <c r="P1099" s="6" t="n"/>
      <c r="Q1099" s="3">
        <f>IF($D1099="","",$C1099&amp;"|"&amp;COUNTIFS($C$7:$C1099,$C1099))</f>
        <v/>
      </c>
      <c r="R1099" s="3">
        <f>IF($D1099="","",UPPER(SUBSTITUTE(SUBSTITUTE(SUBSTITUTE(SUBSTITUTE(SUBSTITUTE(SUBSTITUTE(SUBSTITUTE(SUBSTITUTE(SUBSTITUTE(SUBSTITUTE(SUBSTITUTE(SUBSTITUTE(SUBSTITUTE(SUBSTITUTE(SUBSTITUTE(SUBSTITUTE(SUBSTITUTE(SUBSTITUTE(TRIM($D1099),"'",""),"İ","I"),"ı","I"),"i","I"),"Ş","S"),"ş","S"),"Ğ","G"),"ğ","G"),"Ü","U"),"ü","U"),"Ö","O"),"ö","O"),"Ç","C"),"ç","C"),".",""),",","")," ",""),"-","")))</f>
        <v/>
      </c>
      <c r="S1099" s="3">
        <f>IF($D1099="","",$C1099&amp;"|"&amp;TEXT($E1099,"0")&amp;"|"&amp;TEXT($F1099,"0")&amp;"|"&amp;$I1099)</f>
        <v/>
      </c>
      <c r="T1099" s="3">
        <f>IF($E1099="",0,SUMPRODUCT((AY_SONU!$O$7:$O$42="Evet")*(AY_SONU!$B$7:$B$42=DATE(YEAR($E1099),MONTH($E1099),1))))</f>
        <v/>
      </c>
    </row>
    <row r="1100">
      <c r="A1100" s="6" t="n"/>
      <c r="B1100" s="113">
        <f>IF($D1100="","","T"&amp;TEXT(ROW()-6,"00000"))</f>
        <v/>
      </c>
      <c r="C1100" s="113">
        <f>IF($D1100="","",IFERROR(INDEX(MUSTERILER!$B$7:$B$106,MATCH($R1100,MUSTERILER!$T$7:$T$106,0)),IFERROR(INDEX(MUSTERILER!$B$7:$B$106,MATCH($D1100,MUSTERILER!$B$7:$B$106,0)),IFERROR(INDEX(MUSTERILER!$B$7:$B$106,MATCH($R1100&amp;"*",MUSTERILER!$T$7:$T$106,0)),"TANIMSIZ MÜŞTERİ"))))</f>
        <v/>
      </c>
      <c r="D1100" s="109" t="n"/>
      <c r="E1100" s="220" t="n"/>
      <c r="F1100" s="221" t="n"/>
      <c r="G1100" s="108" t="n"/>
      <c r="H1100" s="108" t="n"/>
      <c r="I1100" s="109" t="n"/>
      <c r="J1100" s="109" t="n"/>
      <c r="K1100" s="109" t="n"/>
      <c r="L1100" s="226">
        <f>IF($E1100="","",DATE(YEAR($E1100),MONTH($E1100),1))</f>
        <v/>
      </c>
      <c r="M1100" s="113">
        <f>IF($D1100="","",IF($C1100="TANIMSIZ MÜŞTERİ","HATA",IF(OR($E1100="",$F1100&lt;=0,$G1100=""),"EKSİK",IF($E1100&gt;TODAY(),"İLERİ TARİH",IF(COUNTIF($S$7:$S$1506,$S1100)&gt;1,"MÜKERRER?",IF($T1100&gt;0,"KAPALI DÖNEM","UYGUN"))))))</f>
        <v/>
      </c>
      <c r="N1100" s="121">
        <f>IF($C1100="","",IF($C1100="TANIMSIZ MÜŞTERİ","—",INDEX(MUSTERILER!$C$7:$C$106,MATCH($C1100,MUSTERILER!$B$7:$B$106,0))))</f>
        <v/>
      </c>
      <c r="O1100" s="6" t="n"/>
      <c r="P1100" s="6" t="n"/>
      <c r="Q1100" s="3">
        <f>IF($D1100="","",$C1100&amp;"|"&amp;COUNTIFS($C$7:$C1100,$C1100))</f>
        <v/>
      </c>
      <c r="R1100" s="3">
        <f>IF($D1100="","",UPPER(SUBSTITUTE(SUBSTITUTE(SUBSTITUTE(SUBSTITUTE(SUBSTITUTE(SUBSTITUTE(SUBSTITUTE(SUBSTITUTE(SUBSTITUTE(SUBSTITUTE(SUBSTITUTE(SUBSTITUTE(SUBSTITUTE(SUBSTITUTE(SUBSTITUTE(SUBSTITUTE(SUBSTITUTE(SUBSTITUTE(TRIM($D1100),"'",""),"İ","I"),"ı","I"),"i","I"),"Ş","S"),"ş","S"),"Ğ","G"),"ğ","G"),"Ü","U"),"ü","U"),"Ö","O"),"ö","O"),"Ç","C"),"ç","C"),".",""),",","")," ",""),"-","")))</f>
        <v/>
      </c>
      <c r="S1100" s="3">
        <f>IF($D1100="","",$C1100&amp;"|"&amp;TEXT($E1100,"0")&amp;"|"&amp;TEXT($F1100,"0")&amp;"|"&amp;$I1100)</f>
        <v/>
      </c>
      <c r="T1100" s="3">
        <f>IF($E1100="",0,SUMPRODUCT((AY_SONU!$O$7:$O$42="Evet")*(AY_SONU!$B$7:$B$42=DATE(YEAR($E1100),MONTH($E1100),1))))</f>
        <v/>
      </c>
    </row>
    <row r="1101">
      <c r="A1101" s="6" t="n"/>
      <c r="B1101" s="113">
        <f>IF($D1101="","","T"&amp;TEXT(ROW()-6,"00000"))</f>
        <v/>
      </c>
      <c r="C1101" s="113">
        <f>IF($D1101="","",IFERROR(INDEX(MUSTERILER!$B$7:$B$106,MATCH($R1101,MUSTERILER!$T$7:$T$106,0)),IFERROR(INDEX(MUSTERILER!$B$7:$B$106,MATCH($D1101,MUSTERILER!$B$7:$B$106,0)),IFERROR(INDEX(MUSTERILER!$B$7:$B$106,MATCH($R1101&amp;"*",MUSTERILER!$T$7:$T$106,0)),"TANIMSIZ MÜŞTERİ"))))</f>
        <v/>
      </c>
      <c r="D1101" s="109" t="n"/>
      <c r="E1101" s="220" t="n"/>
      <c r="F1101" s="221" t="n"/>
      <c r="G1101" s="108" t="n"/>
      <c r="H1101" s="108" t="n"/>
      <c r="I1101" s="109" t="n"/>
      <c r="J1101" s="109" t="n"/>
      <c r="K1101" s="109" t="n"/>
      <c r="L1101" s="226">
        <f>IF($E1101="","",DATE(YEAR($E1101),MONTH($E1101),1))</f>
        <v/>
      </c>
      <c r="M1101" s="113">
        <f>IF($D1101="","",IF($C1101="TANIMSIZ MÜŞTERİ","HATA",IF(OR($E1101="",$F1101&lt;=0,$G1101=""),"EKSİK",IF($E1101&gt;TODAY(),"İLERİ TARİH",IF(COUNTIF($S$7:$S$1506,$S1101)&gt;1,"MÜKERRER?",IF($T1101&gt;0,"KAPALI DÖNEM","UYGUN"))))))</f>
        <v/>
      </c>
      <c r="N1101" s="121">
        <f>IF($C1101="","",IF($C1101="TANIMSIZ MÜŞTERİ","—",INDEX(MUSTERILER!$C$7:$C$106,MATCH($C1101,MUSTERILER!$B$7:$B$106,0))))</f>
        <v/>
      </c>
      <c r="O1101" s="6" t="n"/>
      <c r="P1101" s="6" t="n"/>
      <c r="Q1101" s="3">
        <f>IF($D1101="","",$C1101&amp;"|"&amp;COUNTIFS($C$7:$C1101,$C1101))</f>
        <v/>
      </c>
      <c r="R1101" s="3">
        <f>IF($D1101="","",UPPER(SUBSTITUTE(SUBSTITUTE(SUBSTITUTE(SUBSTITUTE(SUBSTITUTE(SUBSTITUTE(SUBSTITUTE(SUBSTITUTE(SUBSTITUTE(SUBSTITUTE(SUBSTITUTE(SUBSTITUTE(SUBSTITUTE(SUBSTITUTE(SUBSTITUTE(SUBSTITUTE(SUBSTITUTE(SUBSTITUTE(TRIM($D1101),"'",""),"İ","I"),"ı","I"),"i","I"),"Ş","S"),"ş","S"),"Ğ","G"),"ğ","G"),"Ü","U"),"ü","U"),"Ö","O"),"ö","O"),"Ç","C"),"ç","C"),".",""),",","")," ",""),"-","")))</f>
        <v/>
      </c>
      <c r="S1101" s="3">
        <f>IF($D1101="","",$C1101&amp;"|"&amp;TEXT($E1101,"0")&amp;"|"&amp;TEXT($F1101,"0")&amp;"|"&amp;$I1101)</f>
        <v/>
      </c>
      <c r="T1101" s="3">
        <f>IF($E1101="",0,SUMPRODUCT((AY_SONU!$O$7:$O$42="Evet")*(AY_SONU!$B$7:$B$42=DATE(YEAR($E1101),MONTH($E1101),1))))</f>
        <v/>
      </c>
    </row>
    <row r="1102">
      <c r="A1102" s="6" t="n"/>
      <c r="B1102" s="113">
        <f>IF($D1102="","","T"&amp;TEXT(ROW()-6,"00000"))</f>
        <v/>
      </c>
      <c r="C1102" s="113">
        <f>IF($D1102="","",IFERROR(INDEX(MUSTERILER!$B$7:$B$106,MATCH($R1102,MUSTERILER!$T$7:$T$106,0)),IFERROR(INDEX(MUSTERILER!$B$7:$B$106,MATCH($D1102,MUSTERILER!$B$7:$B$106,0)),IFERROR(INDEX(MUSTERILER!$B$7:$B$106,MATCH($R1102&amp;"*",MUSTERILER!$T$7:$T$106,0)),"TANIMSIZ MÜŞTERİ"))))</f>
        <v/>
      </c>
      <c r="D1102" s="109" t="n"/>
      <c r="E1102" s="220" t="n"/>
      <c r="F1102" s="221" t="n"/>
      <c r="G1102" s="108" t="n"/>
      <c r="H1102" s="108" t="n"/>
      <c r="I1102" s="109" t="n"/>
      <c r="J1102" s="109" t="n"/>
      <c r="K1102" s="109" t="n"/>
      <c r="L1102" s="226">
        <f>IF($E1102="","",DATE(YEAR($E1102),MONTH($E1102),1))</f>
        <v/>
      </c>
      <c r="M1102" s="113">
        <f>IF($D1102="","",IF($C1102="TANIMSIZ MÜŞTERİ","HATA",IF(OR($E1102="",$F1102&lt;=0,$G1102=""),"EKSİK",IF($E1102&gt;TODAY(),"İLERİ TARİH",IF(COUNTIF($S$7:$S$1506,$S1102)&gt;1,"MÜKERRER?",IF($T1102&gt;0,"KAPALI DÖNEM","UYGUN"))))))</f>
        <v/>
      </c>
      <c r="N1102" s="121">
        <f>IF($C1102="","",IF($C1102="TANIMSIZ MÜŞTERİ","—",INDEX(MUSTERILER!$C$7:$C$106,MATCH($C1102,MUSTERILER!$B$7:$B$106,0))))</f>
        <v/>
      </c>
      <c r="O1102" s="6" t="n"/>
      <c r="P1102" s="6" t="n"/>
      <c r="Q1102" s="3">
        <f>IF($D1102="","",$C1102&amp;"|"&amp;COUNTIFS($C$7:$C1102,$C1102))</f>
        <v/>
      </c>
      <c r="R1102" s="3">
        <f>IF($D1102="","",UPPER(SUBSTITUTE(SUBSTITUTE(SUBSTITUTE(SUBSTITUTE(SUBSTITUTE(SUBSTITUTE(SUBSTITUTE(SUBSTITUTE(SUBSTITUTE(SUBSTITUTE(SUBSTITUTE(SUBSTITUTE(SUBSTITUTE(SUBSTITUTE(SUBSTITUTE(SUBSTITUTE(SUBSTITUTE(SUBSTITUTE(TRIM($D1102),"'",""),"İ","I"),"ı","I"),"i","I"),"Ş","S"),"ş","S"),"Ğ","G"),"ğ","G"),"Ü","U"),"ü","U"),"Ö","O"),"ö","O"),"Ç","C"),"ç","C"),".",""),",","")," ",""),"-","")))</f>
        <v/>
      </c>
      <c r="S1102" s="3">
        <f>IF($D1102="","",$C1102&amp;"|"&amp;TEXT($E1102,"0")&amp;"|"&amp;TEXT($F1102,"0")&amp;"|"&amp;$I1102)</f>
        <v/>
      </c>
      <c r="T1102" s="3">
        <f>IF($E1102="",0,SUMPRODUCT((AY_SONU!$O$7:$O$42="Evet")*(AY_SONU!$B$7:$B$42=DATE(YEAR($E1102),MONTH($E1102),1))))</f>
        <v/>
      </c>
    </row>
    <row r="1103">
      <c r="A1103" s="6" t="n"/>
      <c r="B1103" s="113">
        <f>IF($D1103="","","T"&amp;TEXT(ROW()-6,"00000"))</f>
        <v/>
      </c>
      <c r="C1103" s="113">
        <f>IF($D1103="","",IFERROR(INDEX(MUSTERILER!$B$7:$B$106,MATCH($R1103,MUSTERILER!$T$7:$T$106,0)),IFERROR(INDEX(MUSTERILER!$B$7:$B$106,MATCH($D1103,MUSTERILER!$B$7:$B$106,0)),IFERROR(INDEX(MUSTERILER!$B$7:$B$106,MATCH($R1103&amp;"*",MUSTERILER!$T$7:$T$106,0)),"TANIMSIZ MÜŞTERİ"))))</f>
        <v/>
      </c>
      <c r="D1103" s="109" t="n"/>
      <c r="E1103" s="220" t="n"/>
      <c r="F1103" s="221" t="n"/>
      <c r="G1103" s="108" t="n"/>
      <c r="H1103" s="108" t="n"/>
      <c r="I1103" s="109" t="n"/>
      <c r="J1103" s="109" t="n"/>
      <c r="K1103" s="109" t="n"/>
      <c r="L1103" s="226">
        <f>IF($E1103="","",DATE(YEAR($E1103),MONTH($E1103),1))</f>
        <v/>
      </c>
      <c r="M1103" s="113">
        <f>IF($D1103="","",IF($C1103="TANIMSIZ MÜŞTERİ","HATA",IF(OR($E1103="",$F1103&lt;=0,$G1103=""),"EKSİK",IF($E1103&gt;TODAY(),"İLERİ TARİH",IF(COUNTIF($S$7:$S$1506,$S1103)&gt;1,"MÜKERRER?",IF($T1103&gt;0,"KAPALI DÖNEM","UYGUN"))))))</f>
        <v/>
      </c>
      <c r="N1103" s="121">
        <f>IF($C1103="","",IF($C1103="TANIMSIZ MÜŞTERİ","—",INDEX(MUSTERILER!$C$7:$C$106,MATCH($C1103,MUSTERILER!$B$7:$B$106,0))))</f>
        <v/>
      </c>
      <c r="O1103" s="6" t="n"/>
      <c r="P1103" s="6" t="n"/>
      <c r="Q1103" s="3">
        <f>IF($D1103="","",$C1103&amp;"|"&amp;COUNTIFS($C$7:$C1103,$C1103))</f>
        <v/>
      </c>
      <c r="R1103" s="3">
        <f>IF($D1103="","",UPPER(SUBSTITUTE(SUBSTITUTE(SUBSTITUTE(SUBSTITUTE(SUBSTITUTE(SUBSTITUTE(SUBSTITUTE(SUBSTITUTE(SUBSTITUTE(SUBSTITUTE(SUBSTITUTE(SUBSTITUTE(SUBSTITUTE(SUBSTITUTE(SUBSTITUTE(SUBSTITUTE(SUBSTITUTE(SUBSTITUTE(TRIM($D1103),"'",""),"İ","I"),"ı","I"),"i","I"),"Ş","S"),"ş","S"),"Ğ","G"),"ğ","G"),"Ü","U"),"ü","U"),"Ö","O"),"ö","O"),"Ç","C"),"ç","C"),".",""),",","")," ",""),"-","")))</f>
        <v/>
      </c>
      <c r="S1103" s="3">
        <f>IF($D1103="","",$C1103&amp;"|"&amp;TEXT($E1103,"0")&amp;"|"&amp;TEXT($F1103,"0")&amp;"|"&amp;$I1103)</f>
        <v/>
      </c>
      <c r="T1103" s="3">
        <f>IF($E1103="",0,SUMPRODUCT((AY_SONU!$O$7:$O$42="Evet")*(AY_SONU!$B$7:$B$42=DATE(YEAR($E1103),MONTH($E1103),1))))</f>
        <v/>
      </c>
    </row>
    <row r="1104">
      <c r="A1104" s="6" t="n"/>
      <c r="B1104" s="113">
        <f>IF($D1104="","","T"&amp;TEXT(ROW()-6,"00000"))</f>
        <v/>
      </c>
      <c r="C1104" s="113">
        <f>IF($D1104="","",IFERROR(INDEX(MUSTERILER!$B$7:$B$106,MATCH($R1104,MUSTERILER!$T$7:$T$106,0)),IFERROR(INDEX(MUSTERILER!$B$7:$B$106,MATCH($D1104,MUSTERILER!$B$7:$B$106,0)),IFERROR(INDEX(MUSTERILER!$B$7:$B$106,MATCH($R1104&amp;"*",MUSTERILER!$T$7:$T$106,0)),"TANIMSIZ MÜŞTERİ"))))</f>
        <v/>
      </c>
      <c r="D1104" s="109" t="n"/>
      <c r="E1104" s="220" t="n"/>
      <c r="F1104" s="221" t="n"/>
      <c r="G1104" s="108" t="n"/>
      <c r="H1104" s="108" t="n"/>
      <c r="I1104" s="109" t="n"/>
      <c r="J1104" s="109" t="n"/>
      <c r="K1104" s="109" t="n"/>
      <c r="L1104" s="226">
        <f>IF($E1104="","",DATE(YEAR($E1104),MONTH($E1104),1))</f>
        <v/>
      </c>
      <c r="M1104" s="113">
        <f>IF($D1104="","",IF($C1104="TANIMSIZ MÜŞTERİ","HATA",IF(OR($E1104="",$F1104&lt;=0,$G1104=""),"EKSİK",IF($E1104&gt;TODAY(),"İLERİ TARİH",IF(COUNTIF($S$7:$S$1506,$S1104)&gt;1,"MÜKERRER?",IF($T1104&gt;0,"KAPALI DÖNEM","UYGUN"))))))</f>
        <v/>
      </c>
      <c r="N1104" s="121">
        <f>IF($C1104="","",IF($C1104="TANIMSIZ MÜŞTERİ","—",INDEX(MUSTERILER!$C$7:$C$106,MATCH($C1104,MUSTERILER!$B$7:$B$106,0))))</f>
        <v/>
      </c>
      <c r="O1104" s="6" t="n"/>
      <c r="P1104" s="6" t="n"/>
      <c r="Q1104" s="3">
        <f>IF($D1104="","",$C1104&amp;"|"&amp;COUNTIFS($C$7:$C1104,$C1104))</f>
        <v/>
      </c>
      <c r="R1104" s="3">
        <f>IF($D1104="","",UPPER(SUBSTITUTE(SUBSTITUTE(SUBSTITUTE(SUBSTITUTE(SUBSTITUTE(SUBSTITUTE(SUBSTITUTE(SUBSTITUTE(SUBSTITUTE(SUBSTITUTE(SUBSTITUTE(SUBSTITUTE(SUBSTITUTE(SUBSTITUTE(SUBSTITUTE(SUBSTITUTE(SUBSTITUTE(SUBSTITUTE(TRIM($D1104),"'",""),"İ","I"),"ı","I"),"i","I"),"Ş","S"),"ş","S"),"Ğ","G"),"ğ","G"),"Ü","U"),"ü","U"),"Ö","O"),"ö","O"),"Ç","C"),"ç","C"),".",""),",","")," ",""),"-","")))</f>
        <v/>
      </c>
      <c r="S1104" s="3">
        <f>IF($D1104="","",$C1104&amp;"|"&amp;TEXT($E1104,"0")&amp;"|"&amp;TEXT($F1104,"0")&amp;"|"&amp;$I1104)</f>
        <v/>
      </c>
      <c r="T1104" s="3">
        <f>IF($E1104="",0,SUMPRODUCT((AY_SONU!$O$7:$O$42="Evet")*(AY_SONU!$B$7:$B$42=DATE(YEAR($E1104),MONTH($E1104),1))))</f>
        <v/>
      </c>
    </row>
    <row r="1105">
      <c r="A1105" s="6" t="n"/>
      <c r="B1105" s="113">
        <f>IF($D1105="","","T"&amp;TEXT(ROW()-6,"00000"))</f>
        <v/>
      </c>
      <c r="C1105" s="113">
        <f>IF($D1105="","",IFERROR(INDEX(MUSTERILER!$B$7:$B$106,MATCH($R1105,MUSTERILER!$T$7:$T$106,0)),IFERROR(INDEX(MUSTERILER!$B$7:$B$106,MATCH($D1105,MUSTERILER!$B$7:$B$106,0)),IFERROR(INDEX(MUSTERILER!$B$7:$B$106,MATCH($R1105&amp;"*",MUSTERILER!$T$7:$T$106,0)),"TANIMSIZ MÜŞTERİ"))))</f>
        <v/>
      </c>
      <c r="D1105" s="109" t="n"/>
      <c r="E1105" s="220" t="n"/>
      <c r="F1105" s="221" t="n"/>
      <c r="G1105" s="108" t="n"/>
      <c r="H1105" s="108" t="n"/>
      <c r="I1105" s="109" t="n"/>
      <c r="J1105" s="109" t="n"/>
      <c r="K1105" s="109" t="n"/>
      <c r="L1105" s="226">
        <f>IF($E1105="","",DATE(YEAR($E1105),MONTH($E1105),1))</f>
        <v/>
      </c>
      <c r="M1105" s="113">
        <f>IF($D1105="","",IF($C1105="TANIMSIZ MÜŞTERİ","HATA",IF(OR($E1105="",$F1105&lt;=0,$G1105=""),"EKSİK",IF($E1105&gt;TODAY(),"İLERİ TARİH",IF(COUNTIF($S$7:$S$1506,$S1105)&gt;1,"MÜKERRER?",IF($T1105&gt;0,"KAPALI DÖNEM","UYGUN"))))))</f>
        <v/>
      </c>
      <c r="N1105" s="121">
        <f>IF($C1105="","",IF($C1105="TANIMSIZ MÜŞTERİ","—",INDEX(MUSTERILER!$C$7:$C$106,MATCH($C1105,MUSTERILER!$B$7:$B$106,0))))</f>
        <v/>
      </c>
      <c r="O1105" s="6" t="n"/>
      <c r="P1105" s="6" t="n"/>
      <c r="Q1105" s="3">
        <f>IF($D1105="","",$C1105&amp;"|"&amp;COUNTIFS($C$7:$C1105,$C1105))</f>
        <v/>
      </c>
      <c r="R1105" s="3">
        <f>IF($D1105="","",UPPER(SUBSTITUTE(SUBSTITUTE(SUBSTITUTE(SUBSTITUTE(SUBSTITUTE(SUBSTITUTE(SUBSTITUTE(SUBSTITUTE(SUBSTITUTE(SUBSTITUTE(SUBSTITUTE(SUBSTITUTE(SUBSTITUTE(SUBSTITUTE(SUBSTITUTE(SUBSTITUTE(SUBSTITUTE(SUBSTITUTE(TRIM($D1105),"'",""),"İ","I"),"ı","I"),"i","I"),"Ş","S"),"ş","S"),"Ğ","G"),"ğ","G"),"Ü","U"),"ü","U"),"Ö","O"),"ö","O"),"Ç","C"),"ç","C"),".",""),",","")," ",""),"-","")))</f>
        <v/>
      </c>
      <c r="S1105" s="3">
        <f>IF($D1105="","",$C1105&amp;"|"&amp;TEXT($E1105,"0")&amp;"|"&amp;TEXT($F1105,"0")&amp;"|"&amp;$I1105)</f>
        <v/>
      </c>
      <c r="T1105" s="3">
        <f>IF($E1105="",0,SUMPRODUCT((AY_SONU!$O$7:$O$42="Evet")*(AY_SONU!$B$7:$B$42=DATE(YEAR($E1105),MONTH($E1105),1))))</f>
        <v/>
      </c>
    </row>
    <row r="1106">
      <c r="A1106" s="6" t="n"/>
      <c r="B1106" s="113">
        <f>IF($D1106="","","T"&amp;TEXT(ROW()-6,"00000"))</f>
        <v/>
      </c>
      <c r="C1106" s="113">
        <f>IF($D1106="","",IFERROR(INDEX(MUSTERILER!$B$7:$B$106,MATCH($R1106,MUSTERILER!$T$7:$T$106,0)),IFERROR(INDEX(MUSTERILER!$B$7:$B$106,MATCH($D1106,MUSTERILER!$B$7:$B$106,0)),IFERROR(INDEX(MUSTERILER!$B$7:$B$106,MATCH($R1106&amp;"*",MUSTERILER!$T$7:$T$106,0)),"TANIMSIZ MÜŞTERİ"))))</f>
        <v/>
      </c>
      <c r="D1106" s="109" t="n"/>
      <c r="E1106" s="220" t="n"/>
      <c r="F1106" s="221" t="n"/>
      <c r="G1106" s="108" t="n"/>
      <c r="H1106" s="108" t="n"/>
      <c r="I1106" s="109" t="n"/>
      <c r="J1106" s="109" t="n"/>
      <c r="K1106" s="109" t="n"/>
      <c r="L1106" s="226">
        <f>IF($E1106="","",DATE(YEAR($E1106),MONTH($E1106),1))</f>
        <v/>
      </c>
      <c r="M1106" s="113">
        <f>IF($D1106="","",IF($C1106="TANIMSIZ MÜŞTERİ","HATA",IF(OR($E1106="",$F1106&lt;=0,$G1106=""),"EKSİK",IF($E1106&gt;TODAY(),"İLERİ TARİH",IF(COUNTIF($S$7:$S$1506,$S1106)&gt;1,"MÜKERRER?",IF($T1106&gt;0,"KAPALI DÖNEM","UYGUN"))))))</f>
        <v/>
      </c>
      <c r="N1106" s="121">
        <f>IF($C1106="","",IF($C1106="TANIMSIZ MÜŞTERİ","—",INDEX(MUSTERILER!$C$7:$C$106,MATCH($C1106,MUSTERILER!$B$7:$B$106,0))))</f>
        <v/>
      </c>
      <c r="O1106" s="6" t="n"/>
      <c r="P1106" s="6" t="n"/>
      <c r="Q1106" s="3">
        <f>IF($D1106="","",$C1106&amp;"|"&amp;COUNTIFS($C$7:$C1106,$C1106))</f>
        <v/>
      </c>
      <c r="R1106" s="3">
        <f>IF($D1106="","",UPPER(SUBSTITUTE(SUBSTITUTE(SUBSTITUTE(SUBSTITUTE(SUBSTITUTE(SUBSTITUTE(SUBSTITUTE(SUBSTITUTE(SUBSTITUTE(SUBSTITUTE(SUBSTITUTE(SUBSTITUTE(SUBSTITUTE(SUBSTITUTE(SUBSTITUTE(SUBSTITUTE(SUBSTITUTE(SUBSTITUTE(TRIM($D1106),"'",""),"İ","I"),"ı","I"),"i","I"),"Ş","S"),"ş","S"),"Ğ","G"),"ğ","G"),"Ü","U"),"ü","U"),"Ö","O"),"ö","O"),"Ç","C"),"ç","C"),".",""),",","")," ",""),"-","")))</f>
        <v/>
      </c>
      <c r="S1106" s="3">
        <f>IF($D1106="","",$C1106&amp;"|"&amp;TEXT($E1106,"0")&amp;"|"&amp;TEXT($F1106,"0")&amp;"|"&amp;$I1106)</f>
        <v/>
      </c>
      <c r="T1106" s="3">
        <f>IF($E1106="",0,SUMPRODUCT((AY_SONU!$O$7:$O$42="Evet")*(AY_SONU!$B$7:$B$42=DATE(YEAR($E1106),MONTH($E1106),1))))</f>
        <v/>
      </c>
    </row>
    <row r="1107">
      <c r="A1107" s="6" t="n"/>
      <c r="B1107" s="113">
        <f>IF($D1107="","","T"&amp;TEXT(ROW()-6,"00000"))</f>
        <v/>
      </c>
      <c r="C1107" s="113">
        <f>IF($D1107="","",IFERROR(INDEX(MUSTERILER!$B$7:$B$106,MATCH($R1107,MUSTERILER!$T$7:$T$106,0)),IFERROR(INDEX(MUSTERILER!$B$7:$B$106,MATCH($D1107,MUSTERILER!$B$7:$B$106,0)),IFERROR(INDEX(MUSTERILER!$B$7:$B$106,MATCH($R1107&amp;"*",MUSTERILER!$T$7:$T$106,0)),"TANIMSIZ MÜŞTERİ"))))</f>
        <v/>
      </c>
      <c r="D1107" s="109" t="n"/>
      <c r="E1107" s="220" t="n"/>
      <c r="F1107" s="221" t="n"/>
      <c r="G1107" s="108" t="n"/>
      <c r="H1107" s="108" t="n"/>
      <c r="I1107" s="109" t="n"/>
      <c r="J1107" s="109" t="n"/>
      <c r="K1107" s="109" t="n"/>
      <c r="L1107" s="226">
        <f>IF($E1107="","",DATE(YEAR($E1107),MONTH($E1107),1))</f>
        <v/>
      </c>
      <c r="M1107" s="113">
        <f>IF($D1107="","",IF($C1107="TANIMSIZ MÜŞTERİ","HATA",IF(OR($E1107="",$F1107&lt;=0,$G1107=""),"EKSİK",IF($E1107&gt;TODAY(),"İLERİ TARİH",IF(COUNTIF($S$7:$S$1506,$S1107)&gt;1,"MÜKERRER?",IF($T1107&gt;0,"KAPALI DÖNEM","UYGUN"))))))</f>
        <v/>
      </c>
      <c r="N1107" s="121">
        <f>IF($C1107="","",IF($C1107="TANIMSIZ MÜŞTERİ","—",INDEX(MUSTERILER!$C$7:$C$106,MATCH($C1107,MUSTERILER!$B$7:$B$106,0))))</f>
        <v/>
      </c>
      <c r="O1107" s="6" t="n"/>
      <c r="P1107" s="6" t="n"/>
      <c r="Q1107" s="3">
        <f>IF($D1107="","",$C1107&amp;"|"&amp;COUNTIFS($C$7:$C1107,$C1107))</f>
        <v/>
      </c>
      <c r="R1107" s="3">
        <f>IF($D1107="","",UPPER(SUBSTITUTE(SUBSTITUTE(SUBSTITUTE(SUBSTITUTE(SUBSTITUTE(SUBSTITUTE(SUBSTITUTE(SUBSTITUTE(SUBSTITUTE(SUBSTITUTE(SUBSTITUTE(SUBSTITUTE(SUBSTITUTE(SUBSTITUTE(SUBSTITUTE(SUBSTITUTE(SUBSTITUTE(SUBSTITUTE(TRIM($D1107),"'",""),"İ","I"),"ı","I"),"i","I"),"Ş","S"),"ş","S"),"Ğ","G"),"ğ","G"),"Ü","U"),"ü","U"),"Ö","O"),"ö","O"),"Ç","C"),"ç","C"),".",""),",","")," ",""),"-","")))</f>
        <v/>
      </c>
      <c r="S1107" s="3">
        <f>IF($D1107="","",$C1107&amp;"|"&amp;TEXT($E1107,"0")&amp;"|"&amp;TEXT($F1107,"0")&amp;"|"&amp;$I1107)</f>
        <v/>
      </c>
      <c r="T1107" s="3">
        <f>IF($E1107="",0,SUMPRODUCT((AY_SONU!$O$7:$O$42="Evet")*(AY_SONU!$B$7:$B$42=DATE(YEAR($E1107),MONTH($E1107),1))))</f>
        <v/>
      </c>
    </row>
    <row r="1108">
      <c r="A1108" s="6" t="n"/>
      <c r="B1108" s="113">
        <f>IF($D1108="","","T"&amp;TEXT(ROW()-6,"00000"))</f>
        <v/>
      </c>
      <c r="C1108" s="113">
        <f>IF($D1108="","",IFERROR(INDEX(MUSTERILER!$B$7:$B$106,MATCH($R1108,MUSTERILER!$T$7:$T$106,0)),IFERROR(INDEX(MUSTERILER!$B$7:$B$106,MATCH($D1108,MUSTERILER!$B$7:$B$106,0)),IFERROR(INDEX(MUSTERILER!$B$7:$B$106,MATCH($R1108&amp;"*",MUSTERILER!$T$7:$T$106,0)),"TANIMSIZ MÜŞTERİ"))))</f>
        <v/>
      </c>
      <c r="D1108" s="109" t="n"/>
      <c r="E1108" s="220" t="n"/>
      <c r="F1108" s="221" t="n"/>
      <c r="G1108" s="108" t="n"/>
      <c r="H1108" s="108" t="n"/>
      <c r="I1108" s="109" t="n"/>
      <c r="J1108" s="109" t="n"/>
      <c r="K1108" s="109" t="n"/>
      <c r="L1108" s="226">
        <f>IF($E1108="","",DATE(YEAR($E1108),MONTH($E1108),1))</f>
        <v/>
      </c>
      <c r="M1108" s="113">
        <f>IF($D1108="","",IF($C1108="TANIMSIZ MÜŞTERİ","HATA",IF(OR($E1108="",$F1108&lt;=0,$G1108=""),"EKSİK",IF($E1108&gt;TODAY(),"İLERİ TARİH",IF(COUNTIF($S$7:$S$1506,$S1108)&gt;1,"MÜKERRER?",IF($T1108&gt;0,"KAPALI DÖNEM","UYGUN"))))))</f>
        <v/>
      </c>
      <c r="N1108" s="121">
        <f>IF($C1108="","",IF($C1108="TANIMSIZ MÜŞTERİ","—",INDEX(MUSTERILER!$C$7:$C$106,MATCH($C1108,MUSTERILER!$B$7:$B$106,0))))</f>
        <v/>
      </c>
      <c r="O1108" s="6" t="n"/>
      <c r="P1108" s="6" t="n"/>
      <c r="Q1108" s="3">
        <f>IF($D1108="","",$C1108&amp;"|"&amp;COUNTIFS($C$7:$C1108,$C1108))</f>
        <v/>
      </c>
      <c r="R1108" s="3">
        <f>IF($D1108="","",UPPER(SUBSTITUTE(SUBSTITUTE(SUBSTITUTE(SUBSTITUTE(SUBSTITUTE(SUBSTITUTE(SUBSTITUTE(SUBSTITUTE(SUBSTITUTE(SUBSTITUTE(SUBSTITUTE(SUBSTITUTE(SUBSTITUTE(SUBSTITUTE(SUBSTITUTE(SUBSTITUTE(SUBSTITUTE(SUBSTITUTE(TRIM($D1108),"'",""),"İ","I"),"ı","I"),"i","I"),"Ş","S"),"ş","S"),"Ğ","G"),"ğ","G"),"Ü","U"),"ü","U"),"Ö","O"),"ö","O"),"Ç","C"),"ç","C"),".",""),",","")," ",""),"-","")))</f>
        <v/>
      </c>
      <c r="S1108" s="3">
        <f>IF($D1108="","",$C1108&amp;"|"&amp;TEXT($E1108,"0")&amp;"|"&amp;TEXT($F1108,"0")&amp;"|"&amp;$I1108)</f>
        <v/>
      </c>
      <c r="T1108" s="3">
        <f>IF($E1108="",0,SUMPRODUCT((AY_SONU!$O$7:$O$42="Evet")*(AY_SONU!$B$7:$B$42=DATE(YEAR($E1108),MONTH($E1108),1))))</f>
        <v/>
      </c>
    </row>
    <row r="1109">
      <c r="A1109" s="6" t="n"/>
      <c r="B1109" s="113">
        <f>IF($D1109="","","T"&amp;TEXT(ROW()-6,"00000"))</f>
        <v/>
      </c>
      <c r="C1109" s="113">
        <f>IF($D1109="","",IFERROR(INDEX(MUSTERILER!$B$7:$B$106,MATCH($R1109,MUSTERILER!$T$7:$T$106,0)),IFERROR(INDEX(MUSTERILER!$B$7:$B$106,MATCH($D1109,MUSTERILER!$B$7:$B$106,0)),IFERROR(INDEX(MUSTERILER!$B$7:$B$106,MATCH($R1109&amp;"*",MUSTERILER!$T$7:$T$106,0)),"TANIMSIZ MÜŞTERİ"))))</f>
        <v/>
      </c>
      <c r="D1109" s="109" t="n"/>
      <c r="E1109" s="220" t="n"/>
      <c r="F1109" s="221" t="n"/>
      <c r="G1109" s="108" t="n"/>
      <c r="H1109" s="108" t="n"/>
      <c r="I1109" s="109" t="n"/>
      <c r="J1109" s="109" t="n"/>
      <c r="K1109" s="109" t="n"/>
      <c r="L1109" s="226">
        <f>IF($E1109="","",DATE(YEAR($E1109),MONTH($E1109),1))</f>
        <v/>
      </c>
      <c r="M1109" s="113">
        <f>IF($D1109="","",IF($C1109="TANIMSIZ MÜŞTERİ","HATA",IF(OR($E1109="",$F1109&lt;=0,$G1109=""),"EKSİK",IF($E1109&gt;TODAY(),"İLERİ TARİH",IF(COUNTIF($S$7:$S$1506,$S1109)&gt;1,"MÜKERRER?",IF($T1109&gt;0,"KAPALI DÖNEM","UYGUN"))))))</f>
        <v/>
      </c>
      <c r="N1109" s="121">
        <f>IF($C1109="","",IF($C1109="TANIMSIZ MÜŞTERİ","—",INDEX(MUSTERILER!$C$7:$C$106,MATCH($C1109,MUSTERILER!$B$7:$B$106,0))))</f>
        <v/>
      </c>
      <c r="O1109" s="6" t="n"/>
      <c r="P1109" s="6" t="n"/>
      <c r="Q1109" s="3">
        <f>IF($D1109="","",$C1109&amp;"|"&amp;COUNTIFS($C$7:$C1109,$C1109))</f>
        <v/>
      </c>
      <c r="R1109" s="3">
        <f>IF($D1109="","",UPPER(SUBSTITUTE(SUBSTITUTE(SUBSTITUTE(SUBSTITUTE(SUBSTITUTE(SUBSTITUTE(SUBSTITUTE(SUBSTITUTE(SUBSTITUTE(SUBSTITUTE(SUBSTITUTE(SUBSTITUTE(SUBSTITUTE(SUBSTITUTE(SUBSTITUTE(SUBSTITUTE(SUBSTITUTE(SUBSTITUTE(TRIM($D1109),"'",""),"İ","I"),"ı","I"),"i","I"),"Ş","S"),"ş","S"),"Ğ","G"),"ğ","G"),"Ü","U"),"ü","U"),"Ö","O"),"ö","O"),"Ç","C"),"ç","C"),".",""),",","")," ",""),"-","")))</f>
        <v/>
      </c>
      <c r="S1109" s="3">
        <f>IF($D1109="","",$C1109&amp;"|"&amp;TEXT($E1109,"0")&amp;"|"&amp;TEXT($F1109,"0")&amp;"|"&amp;$I1109)</f>
        <v/>
      </c>
      <c r="T1109" s="3">
        <f>IF($E1109="",0,SUMPRODUCT((AY_SONU!$O$7:$O$42="Evet")*(AY_SONU!$B$7:$B$42=DATE(YEAR($E1109),MONTH($E1109),1))))</f>
        <v/>
      </c>
    </row>
    <row r="1110">
      <c r="A1110" s="6" t="n"/>
      <c r="B1110" s="113">
        <f>IF($D1110="","","T"&amp;TEXT(ROW()-6,"00000"))</f>
        <v/>
      </c>
      <c r="C1110" s="113">
        <f>IF($D1110="","",IFERROR(INDEX(MUSTERILER!$B$7:$B$106,MATCH($R1110,MUSTERILER!$T$7:$T$106,0)),IFERROR(INDEX(MUSTERILER!$B$7:$B$106,MATCH($D1110,MUSTERILER!$B$7:$B$106,0)),IFERROR(INDEX(MUSTERILER!$B$7:$B$106,MATCH($R1110&amp;"*",MUSTERILER!$T$7:$T$106,0)),"TANIMSIZ MÜŞTERİ"))))</f>
        <v/>
      </c>
      <c r="D1110" s="109" t="n"/>
      <c r="E1110" s="220" t="n"/>
      <c r="F1110" s="221" t="n"/>
      <c r="G1110" s="108" t="n"/>
      <c r="H1110" s="108" t="n"/>
      <c r="I1110" s="109" t="n"/>
      <c r="J1110" s="109" t="n"/>
      <c r="K1110" s="109" t="n"/>
      <c r="L1110" s="226">
        <f>IF($E1110="","",DATE(YEAR($E1110),MONTH($E1110),1))</f>
        <v/>
      </c>
      <c r="M1110" s="113">
        <f>IF($D1110="","",IF($C1110="TANIMSIZ MÜŞTERİ","HATA",IF(OR($E1110="",$F1110&lt;=0,$G1110=""),"EKSİK",IF($E1110&gt;TODAY(),"İLERİ TARİH",IF(COUNTIF($S$7:$S$1506,$S1110)&gt;1,"MÜKERRER?",IF($T1110&gt;0,"KAPALI DÖNEM","UYGUN"))))))</f>
        <v/>
      </c>
      <c r="N1110" s="121">
        <f>IF($C1110="","",IF($C1110="TANIMSIZ MÜŞTERİ","—",INDEX(MUSTERILER!$C$7:$C$106,MATCH($C1110,MUSTERILER!$B$7:$B$106,0))))</f>
        <v/>
      </c>
      <c r="O1110" s="6" t="n"/>
      <c r="P1110" s="6" t="n"/>
      <c r="Q1110" s="3">
        <f>IF($D1110="","",$C1110&amp;"|"&amp;COUNTIFS($C$7:$C1110,$C1110))</f>
        <v/>
      </c>
      <c r="R1110" s="3">
        <f>IF($D1110="","",UPPER(SUBSTITUTE(SUBSTITUTE(SUBSTITUTE(SUBSTITUTE(SUBSTITUTE(SUBSTITUTE(SUBSTITUTE(SUBSTITUTE(SUBSTITUTE(SUBSTITUTE(SUBSTITUTE(SUBSTITUTE(SUBSTITUTE(SUBSTITUTE(SUBSTITUTE(SUBSTITUTE(SUBSTITUTE(SUBSTITUTE(TRIM($D1110),"'",""),"İ","I"),"ı","I"),"i","I"),"Ş","S"),"ş","S"),"Ğ","G"),"ğ","G"),"Ü","U"),"ü","U"),"Ö","O"),"ö","O"),"Ç","C"),"ç","C"),".",""),",","")," ",""),"-","")))</f>
        <v/>
      </c>
      <c r="S1110" s="3">
        <f>IF($D1110="","",$C1110&amp;"|"&amp;TEXT($E1110,"0")&amp;"|"&amp;TEXT($F1110,"0")&amp;"|"&amp;$I1110)</f>
        <v/>
      </c>
      <c r="T1110" s="3">
        <f>IF($E1110="",0,SUMPRODUCT((AY_SONU!$O$7:$O$42="Evet")*(AY_SONU!$B$7:$B$42=DATE(YEAR($E1110),MONTH($E1110),1))))</f>
        <v/>
      </c>
    </row>
    <row r="1111">
      <c r="A1111" s="6" t="n"/>
      <c r="B1111" s="113">
        <f>IF($D1111="","","T"&amp;TEXT(ROW()-6,"00000"))</f>
        <v/>
      </c>
      <c r="C1111" s="113">
        <f>IF($D1111="","",IFERROR(INDEX(MUSTERILER!$B$7:$B$106,MATCH($R1111,MUSTERILER!$T$7:$T$106,0)),IFERROR(INDEX(MUSTERILER!$B$7:$B$106,MATCH($D1111,MUSTERILER!$B$7:$B$106,0)),IFERROR(INDEX(MUSTERILER!$B$7:$B$106,MATCH($R1111&amp;"*",MUSTERILER!$T$7:$T$106,0)),"TANIMSIZ MÜŞTERİ"))))</f>
        <v/>
      </c>
      <c r="D1111" s="109" t="n"/>
      <c r="E1111" s="220" t="n"/>
      <c r="F1111" s="221" t="n"/>
      <c r="G1111" s="108" t="n"/>
      <c r="H1111" s="108" t="n"/>
      <c r="I1111" s="109" t="n"/>
      <c r="J1111" s="109" t="n"/>
      <c r="K1111" s="109" t="n"/>
      <c r="L1111" s="226">
        <f>IF($E1111="","",DATE(YEAR($E1111),MONTH($E1111),1))</f>
        <v/>
      </c>
      <c r="M1111" s="113">
        <f>IF($D1111="","",IF($C1111="TANIMSIZ MÜŞTERİ","HATA",IF(OR($E1111="",$F1111&lt;=0,$G1111=""),"EKSİK",IF($E1111&gt;TODAY(),"İLERİ TARİH",IF(COUNTIF($S$7:$S$1506,$S1111)&gt;1,"MÜKERRER?",IF($T1111&gt;0,"KAPALI DÖNEM","UYGUN"))))))</f>
        <v/>
      </c>
      <c r="N1111" s="121">
        <f>IF($C1111="","",IF($C1111="TANIMSIZ MÜŞTERİ","—",INDEX(MUSTERILER!$C$7:$C$106,MATCH($C1111,MUSTERILER!$B$7:$B$106,0))))</f>
        <v/>
      </c>
      <c r="O1111" s="6" t="n"/>
      <c r="P1111" s="6" t="n"/>
      <c r="Q1111" s="3">
        <f>IF($D1111="","",$C1111&amp;"|"&amp;COUNTIFS($C$7:$C1111,$C1111))</f>
        <v/>
      </c>
      <c r="R1111" s="3">
        <f>IF($D1111="","",UPPER(SUBSTITUTE(SUBSTITUTE(SUBSTITUTE(SUBSTITUTE(SUBSTITUTE(SUBSTITUTE(SUBSTITUTE(SUBSTITUTE(SUBSTITUTE(SUBSTITUTE(SUBSTITUTE(SUBSTITUTE(SUBSTITUTE(SUBSTITUTE(SUBSTITUTE(SUBSTITUTE(SUBSTITUTE(SUBSTITUTE(TRIM($D1111),"'",""),"İ","I"),"ı","I"),"i","I"),"Ş","S"),"ş","S"),"Ğ","G"),"ğ","G"),"Ü","U"),"ü","U"),"Ö","O"),"ö","O"),"Ç","C"),"ç","C"),".",""),",","")," ",""),"-","")))</f>
        <v/>
      </c>
      <c r="S1111" s="3">
        <f>IF($D1111="","",$C1111&amp;"|"&amp;TEXT($E1111,"0")&amp;"|"&amp;TEXT($F1111,"0")&amp;"|"&amp;$I1111)</f>
        <v/>
      </c>
      <c r="T1111" s="3">
        <f>IF($E1111="",0,SUMPRODUCT((AY_SONU!$O$7:$O$42="Evet")*(AY_SONU!$B$7:$B$42=DATE(YEAR($E1111),MONTH($E1111),1))))</f>
        <v/>
      </c>
    </row>
    <row r="1112">
      <c r="A1112" s="6" t="n"/>
      <c r="B1112" s="113">
        <f>IF($D1112="","","T"&amp;TEXT(ROW()-6,"00000"))</f>
        <v/>
      </c>
      <c r="C1112" s="113">
        <f>IF($D1112="","",IFERROR(INDEX(MUSTERILER!$B$7:$B$106,MATCH($R1112,MUSTERILER!$T$7:$T$106,0)),IFERROR(INDEX(MUSTERILER!$B$7:$B$106,MATCH($D1112,MUSTERILER!$B$7:$B$106,0)),IFERROR(INDEX(MUSTERILER!$B$7:$B$106,MATCH($R1112&amp;"*",MUSTERILER!$T$7:$T$106,0)),"TANIMSIZ MÜŞTERİ"))))</f>
        <v/>
      </c>
      <c r="D1112" s="109" t="n"/>
      <c r="E1112" s="220" t="n"/>
      <c r="F1112" s="221" t="n"/>
      <c r="G1112" s="108" t="n"/>
      <c r="H1112" s="108" t="n"/>
      <c r="I1112" s="109" t="n"/>
      <c r="J1112" s="109" t="n"/>
      <c r="K1112" s="109" t="n"/>
      <c r="L1112" s="226">
        <f>IF($E1112="","",DATE(YEAR($E1112),MONTH($E1112),1))</f>
        <v/>
      </c>
      <c r="M1112" s="113">
        <f>IF($D1112="","",IF($C1112="TANIMSIZ MÜŞTERİ","HATA",IF(OR($E1112="",$F1112&lt;=0,$G1112=""),"EKSİK",IF($E1112&gt;TODAY(),"İLERİ TARİH",IF(COUNTIF($S$7:$S$1506,$S1112)&gt;1,"MÜKERRER?",IF($T1112&gt;0,"KAPALI DÖNEM","UYGUN"))))))</f>
        <v/>
      </c>
      <c r="N1112" s="121">
        <f>IF($C1112="","",IF($C1112="TANIMSIZ MÜŞTERİ","—",INDEX(MUSTERILER!$C$7:$C$106,MATCH($C1112,MUSTERILER!$B$7:$B$106,0))))</f>
        <v/>
      </c>
      <c r="O1112" s="6" t="n"/>
      <c r="P1112" s="6" t="n"/>
      <c r="Q1112" s="3">
        <f>IF($D1112="","",$C1112&amp;"|"&amp;COUNTIFS($C$7:$C1112,$C1112))</f>
        <v/>
      </c>
      <c r="R1112" s="3">
        <f>IF($D1112="","",UPPER(SUBSTITUTE(SUBSTITUTE(SUBSTITUTE(SUBSTITUTE(SUBSTITUTE(SUBSTITUTE(SUBSTITUTE(SUBSTITUTE(SUBSTITUTE(SUBSTITUTE(SUBSTITUTE(SUBSTITUTE(SUBSTITUTE(SUBSTITUTE(SUBSTITUTE(SUBSTITUTE(SUBSTITUTE(SUBSTITUTE(TRIM($D1112),"'",""),"İ","I"),"ı","I"),"i","I"),"Ş","S"),"ş","S"),"Ğ","G"),"ğ","G"),"Ü","U"),"ü","U"),"Ö","O"),"ö","O"),"Ç","C"),"ç","C"),".",""),",","")," ",""),"-","")))</f>
        <v/>
      </c>
      <c r="S1112" s="3">
        <f>IF($D1112="","",$C1112&amp;"|"&amp;TEXT($E1112,"0")&amp;"|"&amp;TEXT($F1112,"0")&amp;"|"&amp;$I1112)</f>
        <v/>
      </c>
      <c r="T1112" s="3">
        <f>IF($E1112="",0,SUMPRODUCT((AY_SONU!$O$7:$O$42="Evet")*(AY_SONU!$B$7:$B$42=DATE(YEAR($E1112),MONTH($E1112),1))))</f>
        <v/>
      </c>
    </row>
    <row r="1113">
      <c r="A1113" s="6" t="n"/>
      <c r="B1113" s="113">
        <f>IF($D1113="","","T"&amp;TEXT(ROW()-6,"00000"))</f>
        <v/>
      </c>
      <c r="C1113" s="113">
        <f>IF($D1113="","",IFERROR(INDEX(MUSTERILER!$B$7:$B$106,MATCH($R1113,MUSTERILER!$T$7:$T$106,0)),IFERROR(INDEX(MUSTERILER!$B$7:$B$106,MATCH($D1113,MUSTERILER!$B$7:$B$106,0)),IFERROR(INDEX(MUSTERILER!$B$7:$B$106,MATCH($R1113&amp;"*",MUSTERILER!$T$7:$T$106,0)),"TANIMSIZ MÜŞTERİ"))))</f>
        <v/>
      </c>
      <c r="D1113" s="109" t="n"/>
      <c r="E1113" s="220" t="n"/>
      <c r="F1113" s="221" t="n"/>
      <c r="G1113" s="108" t="n"/>
      <c r="H1113" s="108" t="n"/>
      <c r="I1113" s="109" t="n"/>
      <c r="J1113" s="109" t="n"/>
      <c r="K1113" s="109" t="n"/>
      <c r="L1113" s="226">
        <f>IF($E1113="","",DATE(YEAR($E1113),MONTH($E1113),1))</f>
        <v/>
      </c>
      <c r="M1113" s="113">
        <f>IF($D1113="","",IF($C1113="TANIMSIZ MÜŞTERİ","HATA",IF(OR($E1113="",$F1113&lt;=0,$G1113=""),"EKSİK",IF($E1113&gt;TODAY(),"İLERİ TARİH",IF(COUNTIF($S$7:$S$1506,$S1113)&gt;1,"MÜKERRER?",IF($T1113&gt;0,"KAPALI DÖNEM","UYGUN"))))))</f>
        <v/>
      </c>
      <c r="N1113" s="121">
        <f>IF($C1113="","",IF($C1113="TANIMSIZ MÜŞTERİ","—",INDEX(MUSTERILER!$C$7:$C$106,MATCH($C1113,MUSTERILER!$B$7:$B$106,0))))</f>
        <v/>
      </c>
      <c r="O1113" s="6" t="n"/>
      <c r="P1113" s="6" t="n"/>
      <c r="Q1113" s="3">
        <f>IF($D1113="","",$C1113&amp;"|"&amp;COUNTIFS($C$7:$C1113,$C1113))</f>
        <v/>
      </c>
      <c r="R1113" s="3">
        <f>IF($D1113="","",UPPER(SUBSTITUTE(SUBSTITUTE(SUBSTITUTE(SUBSTITUTE(SUBSTITUTE(SUBSTITUTE(SUBSTITUTE(SUBSTITUTE(SUBSTITUTE(SUBSTITUTE(SUBSTITUTE(SUBSTITUTE(SUBSTITUTE(SUBSTITUTE(SUBSTITUTE(SUBSTITUTE(SUBSTITUTE(SUBSTITUTE(TRIM($D1113),"'",""),"İ","I"),"ı","I"),"i","I"),"Ş","S"),"ş","S"),"Ğ","G"),"ğ","G"),"Ü","U"),"ü","U"),"Ö","O"),"ö","O"),"Ç","C"),"ç","C"),".",""),",","")," ",""),"-","")))</f>
        <v/>
      </c>
      <c r="S1113" s="3">
        <f>IF($D1113="","",$C1113&amp;"|"&amp;TEXT($E1113,"0")&amp;"|"&amp;TEXT($F1113,"0")&amp;"|"&amp;$I1113)</f>
        <v/>
      </c>
      <c r="T1113" s="3">
        <f>IF($E1113="",0,SUMPRODUCT((AY_SONU!$O$7:$O$42="Evet")*(AY_SONU!$B$7:$B$42=DATE(YEAR($E1113),MONTH($E1113),1))))</f>
        <v/>
      </c>
    </row>
    <row r="1114">
      <c r="A1114" s="6" t="n"/>
      <c r="B1114" s="113">
        <f>IF($D1114="","","T"&amp;TEXT(ROW()-6,"00000"))</f>
        <v/>
      </c>
      <c r="C1114" s="113">
        <f>IF($D1114="","",IFERROR(INDEX(MUSTERILER!$B$7:$B$106,MATCH($R1114,MUSTERILER!$T$7:$T$106,0)),IFERROR(INDEX(MUSTERILER!$B$7:$B$106,MATCH($D1114,MUSTERILER!$B$7:$B$106,0)),IFERROR(INDEX(MUSTERILER!$B$7:$B$106,MATCH($R1114&amp;"*",MUSTERILER!$T$7:$T$106,0)),"TANIMSIZ MÜŞTERİ"))))</f>
        <v/>
      </c>
      <c r="D1114" s="109" t="n"/>
      <c r="E1114" s="220" t="n"/>
      <c r="F1114" s="221" t="n"/>
      <c r="G1114" s="108" t="n"/>
      <c r="H1114" s="108" t="n"/>
      <c r="I1114" s="109" t="n"/>
      <c r="J1114" s="109" t="n"/>
      <c r="K1114" s="109" t="n"/>
      <c r="L1114" s="226">
        <f>IF($E1114="","",DATE(YEAR($E1114),MONTH($E1114),1))</f>
        <v/>
      </c>
      <c r="M1114" s="113">
        <f>IF($D1114="","",IF($C1114="TANIMSIZ MÜŞTERİ","HATA",IF(OR($E1114="",$F1114&lt;=0,$G1114=""),"EKSİK",IF($E1114&gt;TODAY(),"İLERİ TARİH",IF(COUNTIF($S$7:$S$1506,$S1114)&gt;1,"MÜKERRER?",IF($T1114&gt;0,"KAPALI DÖNEM","UYGUN"))))))</f>
        <v/>
      </c>
      <c r="N1114" s="121">
        <f>IF($C1114="","",IF($C1114="TANIMSIZ MÜŞTERİ","—",INDEX(MUSTERILER!$C$7:$C$106,MATCH($C1114,MUSTERILER!$B$7:$B$106,0))))</f>
        <v/>
      </c>
      <c r="O1114" s="6" t="n"/>
      <c r="P1114" s="6" t="n"/>
      <c r="Q1114" s="3">
        <f>IF($D1114="","",$C1114&amp;"|"&amp;COUNTIFS($C$7:$C1114,$C1114))</f>
        <v/>
      </c>
      <c r="R1114" s="3">
        <f>IF($D1114="","",UPPER(SUBSTITUTE(SUBSTITUTE(SUBSTITUTE(SUBSTITUTE(SUBSTITUTE(SUBSTITUTE(SUBSTITUTE(SUBSTITUTE(SUBSTITUTE(SUBSTITUTE(SUBSTITUTE(SUBSTITUTE(SUBSTITUTE(SUBSTITUTE(SUBSTITUTE(SUBSTITUTE(SUBSTITUTE(SUBSTITUTE(TRIM($D1114),"'",""),"İ","I"),"ı","I"),"i","I"),"Ş","S"),"ş","S"),"Ğ","G"),"ğ","G"),"Ü","U"),"ü","U"),"Ö","O"),"ö","O"),"Ç","C"),"ç","C"),".",""),",","")," ",""),"-","")))</f>
        <v/>
      </c>
      <c r="S1114" s="3">
        <f>IF($D1114="","",$C1114&amp;"|"&amp;TEXT($E1114,"0")&amp;"|"&amp;TEXT($F1114,"0")&amp;"|"&amp;$I1114)</f>
        <v/>
      </c>
      <c r="T1114" s="3">
        <f>IF($E1114="",0,SUMPRODUCT((AY_SONU!$O$7:$O$42="Evet")*(AY_SONU!$B$7:$B$42=DATE(YEAR($E1114),MONTH($E1114),1))))</f>
        <v/>
      </c>
    </row>
    <row r="1115">
      <c r="A1115" s="6" t="n"/>
      <c r="B1115" s="113">
        <f>IF($D1115="","","T"&amp;TEXT(ROW()-6,"00000"))</f>
        <v/>
      </c>
      <c r="C1115" s="113">
        <f>IF($D1115="","",IFERROR(INDEX(MUSTERILER!$B$7:$B$106,MATCH($R1115,MUSTERILER!$T$7:$T$106,0)),IFERROR(INDEX(MUSTERILER!$B$7:$B$106,MATCH($D1115,MUSTERILER!$B$7:$B$106,0)),IFERROR(INDEX(MUSTERILER!$B$7:$B$106,MATCH($R1115&amp;"*",MUSTERILER!$T$7:$T$106,0)),"TANIMSIZ MÜŞTERİ"))))</f>
        <v/>
      </c>
      <c r="D1115" s="109" t="n"/>
      <c r="E1115" s="220" t="n"/>
      <c r="F1115" s="221" t="n"/>
      <c r="G1115" s="108" t="n"/>
      <c r="H1115" s="108" t="n"/>
      <c r="I1115" s="109" t="n"/>
      <c r="J1115" s="109" t="n"/>
      <c r="K1115" s="109" t="n"/>
      <c r="L1115" s="226">
        <f>IF($E1115="","",DATE(YEAR($E1115),MONTH($E1115),1))</f>
        <v/>
      </c>
      <c r="M1115" s="113">
        <f>IF($D1115="","",IF($C1115="TANIMSIZ MÜŞTERİ","HATA",IF(OR($E1115="",$F1115&lt;=0,$G1115=""),"EKSİK",IF($E1115&gt;TODAY(),"İLERİ TARİH",IF(COUNTIF($S$7:$S$1506,$S1115)&gt;1,"MÜKERRER?",IF($T1115&gt;0,"KAPALI DÖNEM","UYGUN"))))))</f>
        <v/>
      </c>
      <c r="N1115" s="121">
        <f>IF($C1115="","",IF($C1115="TANIMSIZ MÜŞTERİ","—",INDEX(MUSTERILER!$C$7:$C$106,MATCH($C1115,MUSTERILER!$B$7:$B$106,0))))</f>
        <v/>
      </c>
      <c r="O1115" s="6" t="n"/>
      <c r="P1115" s="6" t="n"/>
      <c r="Q1115" s="3">
        <f>IF($D1115="","",$C1115&amp;"|"&amp;COUNTIFS($C$7:$C1115,$C1115))</f>
        <v/>
      </c>
      <c r="R1115" s="3">
        <f>IF($D1115="","",UPPER(SUBSTITUTE(SUBSTITUTE(SUBSTITUTE(SUBSTITUTE(SUBSTITUTE(SUBSTITUTE(SUBSTITUTE(SUBSTITUTE(SUBSTITUTE(SUBSTITUTE(SUBSTITUTE(SUBSTITUTE(SUBSTITUTE(SUBSTITUTE(SUBSTITUTE(SUBSTITUTE(SUBSTITUTE(SUBSTITUTE(TRIM($D1115),"'",""),"İ","I"),"ı","I"),"i","I"),"Ş","S"),"ş","S"),"Ğ","G"),"ğ","G"),"Ü","U"),"ü","U"),"Ö","O"),"ö","O"),"Ç","C"),"ç","C"),".",""),",","")," ",""),"-","")))</f>
        <v/>
      </c>
      <c r="S1115" s="3">
        <f>IF($D1115="","",$C1115&amp;"|"&amp;TEXT($E1115,"0")&amp;"|"&amp;TEXT($F1115,"0")&amp;"|"&amp;$I1115)</f>
        <v/>
      </c>
      <c r="T1115" s="3">
        <f>IF($E1115="",0,SUMPRODUCT((AY_SONU!$O$7:$O$42="Evet")*(AY_SONU!$B$7:$B$42=DATE(YEAR($E1115),MONTH($E1115),1))))</f>
        <v/>
      </c>
    </row>
    <row r="1116">
      <c r="A1116" s="6" t="n"/>
      <c r="B1116" s="113">
        <f>IF($D1116="","","T"&amp;TEXT(ROW()-6,"00000"))</f>
        <v/>
      </c>
      <c r="C1116" s="113">
        <f>IF($D1116="","",IFERROR(INDEX(MUSTERILER!$B$7:$B$106,MATCH($R1116,MUSTERILER!$T$7:$T$106,0)),IFERROR(INDEX(MUSTERILER!$B$7:$B$106,MATCH($D1116,MUSTERILER!$B$7:$B$106,0)),IFERROR(INDEX(MUSTERILER!$B$7:$B$106,MATCH($R1116&amp;"*",MUSTERILER!$T$7:$T$106,0)),"TANIMSIZ MÜŞTERİ"))))</f>
        <v/>
      </c>
      <c r="D1116" s="109" t="n"/>
      <c r="E1116" s="220" t="n"/>
      <c r="F1116" s="221" t="n"/>
      <c r="G1116" s="108" t="n"/>
      <c r="H1116" s="108" t="n"/>
      <c r="I1116" s="109" t="n"/>
      <c r="J1116" s="109" t="n"/>
      <c r="K1116" s="109" t="n"/>
      <c r="L1116" s="226">
        <f>IF($E1116="","",DATE(YEAR($E1116),MONTH($E1116),1))</f>
        <v/>
      </c>
      <c r="M1116" s="113">
        <f>IF($D1116="","",IF($C1116="TANIMSIZ MÜŞTERİ","HATA",IF(OR($E1116="",$F1116&lt;=0,$G1116=""),"EKSİK",IF($E1116&gt;TODAY(),"İLERİ TARİH",IF(COUNTIF($S$7:$S$1506,$S1116)&gt;1,"MÜKERRER?",IF($T1116&gt;0,"KAPALI DÖNEM","UYGUN"))))))</f>
        <v/>
      </c>
      <c r="N1116" s="121">
        <f>IF($C1116="","",IF($C1116="TANIMSIZ MÜŞTERİ","—",INDEX(MUSTERILER!$C$7:$C$106,MATCH($C1116,MUSTERILER!$B$7:$B$106,0))))</f>
        <v/>
      </c>
      <c r="O1116" s="6" t="n"/>
      <c r="P1116" s="6" t="n"/>
      <c r="Q1116" s="3">
        <f>IF($D1116="","",$C1116&amp;"|"&amp;COUNTIFS($C$7:$C1116,$C1116))</f>
        <v/>
      </c>
      <c r="R1116" s="3">
        <f>IF($D1116="","",UPPER(SUBSTITUTE(SUBSTITUTE(SUBSTITUTE(SUBSTITUTE(SUBSTITUTE(SUBSTITUTE(SUBSTITUTE(SUBSTITUTE(SUBSTITUTE(SUBSTITUTE(SUBSTITUTE(SUBSTITUTE(SUBSTITUTE(SUBSTITUTE(SUBSTITUTE(SUBSTITUTE(SUBSTITUTE(SUBSTITUTE(TRIM($D1116),"'",""),"İ","I"),"ı","I"),"i","I"),"Ş","S"),"ş","S"),"Ğ","G"),"ğ","G"),"Ü","U"),"ü","U"),"Ö","O"),"ö","O"),"Ç","C"),"ç","C"),".",""),",","")," ",""),"-","")))</f>
        <v/>
      </c>
      <c r="S1116" s="3">
        <f>IF($D1116="","",$C1116&amp;"|"&amp;TEXT($E1116,"0")&amp;"|"&amp;TEXT($F1116,"0")&amp;"|"&amp;$I1116)</f>
        <v/>
      </c>
      <c r="T1116" s="3">
        <f>IF($E1116="",0,SUMPRODUCT((AY_SONU!$O$7:$O$42="Evet")*(AY_SONU!$B$7:$B$42=DATE(YEAR($E1116),MONTH($E1116),1))))</f>
        <v/>
      </c>
    </row>
    <row r="1117">
      <c r="A1117" s="6" t="n"/>
      <c r="B1117" s="113">
        <f>IF($D1117="","","T"&amp;TEXT(ROW()-6,"00000"))</f>
        <v/>
      </c>
      <c r="C1117" s="113">
        <f>IF($D1117="","",IFERROR(INDEX(MUSTERILER!$B$7:$B$106,MATCH($R1117,MUSTERILER!$T$7:$T$106,0)),IFERROR(INDEX(MUSTERILER!$B$7:$B$106,MATCH($D1117,MUSTERILER!$B$7:$B$106,0)),IFERROR(INDEX(MUSTERILER!$B$7:$B$106,MATCH($R1117&amp;"*",MUSTERILER!$T$7:$T$106,0)),"TANIMSIZ MÜŞTERİ"))))</f>
        <v/>
      </c>
      <c r="D1117" s="109" t="n"/>
      <c r="E1117" s="220" t="n"/>
      <c r="F1117" s="221" t="n"/>
      <c r="G1117" s="108" t="n"/>
      <c r="H1117" s="108" t="n"/>
      <c r="I1117" s="109" t="n"/>
      <c r="J1117" s="109" t="n"/>
      <c r="K1117" s="109" t="n"/>
      <c r="L1117" s="226">
        <f>IF($E1117="","",DATE(YEAR($E1117),MONTH($E1117),1))</f>
        <v/>
      </c>
      <c r="M1117" s="113">
        <f>IF($D1117="","",IF($C1117="TANIMSIZ MÜŞTERİ","HATA",IF(OR($E1117="",$F1117&lt;=0,$G1117=""),"EKSİK",IF($E1117&gt;TODAY(),"İLERİ TARİH",IF(COUNTIF($S$7:$S$1506,$S1117)&gt;1,"MÜKERRER?",IF($T1117&gt;0,"KAPALI DÖNEM","UYGUN"))))))</f>
        <v/>
      </c>
      <c r="N1117" s="121">
        <f>IF($C1117="","",IF($C1117="TANIMSIZ MÜŞTERİ","—",INDEX(MUSTERILER!$C$7:$C$106,MATCH($C1117,MUSTERILER!$B$7:$B$106,0))))</f>
        <v/>
      </c>
      <c r="O1117" s="6" t="n"/>
      <c r="P1117" s="6" t="n"/>
      <c r="Q1117" s="3">
        <f>IF($D1117="","",$C1117&amp;"|"&amp;COUNTIFS($C$7:$C1117,$C1117))</f>
        <v/>
      </c>
      <c r="R1117" s="3">
        <f>IF($D1117="","",UPPER(SUBSTITUTE(SUBSTITUTE(SUBSTITUTE(SUBSTITUTE(SUBSTITUTE(SUBSTITUTE(SUBSTITUTE(SUBSTITUTE(SUBSTITUTE(SUBSTITUTE(SUBSTITUTE(SUBSTITUTE(SUBSTITUTE(SUBSTITUTE(SUBSTITUTE(SUBSTITUTE(SUBSTITUTE(SUBSTITUTE(TRIM($D1117),"'",""),"İ","I"),"ı","I"),"i","I"),"Ş","S"),"ş","S"),"Ğ","G"),"ğ","G"),"Ü","U"),"ü","U"),"Ö","O"),"ö","O"),"Ç","C"),"ç","C"),".",""),",","")," ",""),"-","")))</f>
        <v/>
      </c>
      <c r="S1117" s="3">
        <f>IF($D1117="","",$C1117&amp;"|"&amp;TEXT($E1117,"0")&amp;"|"&amp;TEXT($F1117,"0")&amp;"|"&amp;$I1117)</f>
        <v/>
      </c>
      <c r="T1117" s="3">
        <f>IF($E1117="",0,SUMPRODUCT((AY_SONU!$O$7:$O$42="Evet")*(AY_SONU!$B$7:$B$42=DATE(YEAR($E1117),MONTH($E1117),1))))</f>
        <v/>
      </c>
    </row>
    <row r="1118">
      <c r="A1118" s="6" t="n"/>
      <c r="B1118" s="113">
        <f>IF($D1118="","","T"&amp;TEXT(ROW()-6,"00000"))</f>
        <v/>
      </c>
      <c r="C1118" s="113">
        <f>IF($D1118="","",IFERROR(INDEX(MUSTERILER!$B$7:$B$106,MATCH($R1118,MUSTERILER!$T$7:$T$106,0)),IFERROR(INDEX(MUSTERILER!$B$7:$B$106,MATCH($D1118,MUSTERILER!$B$7:$B$106,0)),IFERROR(INDEX(MUSTERILER!$B$7:$B$106,MATCH($R1118&amp;"*",MUSTERILER!$T$7:$T$106,0)),"TANIMSIZ MÜŞTERİ"))))</f>
        <v/>
      </c>
      <c r="D1118" s="109" t="n"/>
      <c r="E1118" s="220" t="n"/>
      <c r="F1118" s="221" t="n"/>
      <c r="G1118" s="108" t="n"/>
      <c r="H1118" s="108" t="n"/>
      <c r="I1118" s="109" t="n"/>
      <c r="J1118" s="109" t="n"/>
      <c r="K1118" s="109" t="n"/>
      <c r="L1118" s="226">
        <f>IF($E1118="","",DATE(YEAR($E1118),MONTH($E1118),1))</f>
        <v/>
      </c>
      <c r="M1118" s="113">
        <f>IF($D1118="","",IF($C1118="TANIMSIZ MÜŞTERİ","HATA",IF(OR($E1118="",$F1118&lt;=0,$G1118=""),"EKSİK",IF($E1118&gt;TODAY(),"İLERİ TARİH",IF(COUNTIF($S$7:$S$1506,$S1118)&gt;1,"MÜKERRER?",IF($T1118&gt;0,"KAPALI DÖNEM","UYGUN"))))))</f>
        <v/>
      </c>
      <c r="N1118" s="121">
        <f>IF($C1118="","",IF($C1118="TANIMSIZ MÜŞTERİ","—",INDEX(MUSTERILER!$C$7:$C$106,MATCH($C1118,MUSTERILER!$B$7:$B$106,0))))</f>
        <v/>
      </c>
      <c r="O1118" s="6" t="n"/>
      <c r="P1118" s="6" t="n"/>
      <c r="Q1118" s="3">
        <f>IF($D1118="","",$C1118&amp;"|"&amp;COUNTIFS($C$7:$C1118,$C1118))</f>
        <v/>
      </c>
      <c r="R1118" s="3">
        <f>IF($D1118="","",UPPER(SUBSTITUTE(SUBSTITUTE(SUBSTITUTE(SUBSTITUTE(SUBSTITUTE(SUBSTITUTE(SUBSTITUTE(SUBSTITUTE(SUBSTITUTE(SUBSTITUTE(SUBSTITUTE(SUBSTITUTE(SUBSTITUTE(SUBSTITUTE(SUBSTITUTE(SUBSTITUTE(SUBSTITUTE(SUBSTITUTE(TRIM($D1118),"'",""),"İ","I"),"ı","I"),"i","I"),"Ş","S"),"ş","S"),"Ğ","G"),"ğ","G"),"Ü","U"),"ü","U"),"Ö","O"),"ö","O"),"Ç","C"),"ç","C"),".",""),",","")," ",""),"-","")))</f>
        <v/>
      </c>
      <c r="S1118" s="3">
        <f>IF($D1118="","",$C1118&amp;"|"&amp;TEXT($E1118,"0")&amp;"|"&amp;TEXT($F1118,"0")&amp;"|"&amp;$I1118)</f>
        <v/>
      </c>
      <c r="T1118" s="3">
        <f>IF($E1118="",0,SUMPRODUCT((AY_SONU!$O$7:$O$42="Evet")*(AY_SONU!$B$7:$B$42=DATE(YEAR($E1118),MONTH($E1118),1))))</f>
        <v/>
      </c>
    </row>
    <row r="1119">
      <c r="A1119" s="6" t="n"/>
      <c r="B1119" s="113">
        <f>IF($D1119="","","T"&amp;TEXT(ROW()-6,"00000"))</f>
        <v/>
      </c>
      <c r="C1119" s="113">
        <f>IF($D1119="","",IFERROR(INDEX(MUSTERILER!$B$7:$B$106,MATCH($R1119,MUSTERILER!$T$7:$T$106,0)),IFERROR(INDEX(MUSTERILER!$B$7:$B$106,MATCH($D1119,MUSTERILER!$B$7:$B$106,0)),IFERROR(INDEX(MUSTERILER!$B$7:$B$106,MATCH($R1119&amp;"*",MUSTERILER!$T$7:$T$106,0)),"TANIMSIZ MÜŞTERİ"))))</f>
        <v/>
      </c>
      <c r="D1119" s="109" t="n"/>
      <c r="E1119" s="220" t="n"/>
      <c r="F1119" s="221" t="n"/>
      <c r="G1119" s="108" t="n"/>
      <c r="H1119" s="108" t="n"/>
      <c r="I1119" s="109" t="n"/>
      <c r="J1119" s="109" t="n"/>
      <c r="K1119" s="109" t="n"/>
      <c r="L1119" s="226">
        <f>IF($E1119="","",DATE(YEAR($E1119),MONTH($E1119),1))</f>
        <v/>
      </c>
      <c r="M1119" s="113">
        <f>IF($D1119="","",IF($C1119="TANIMSIZ MÜŞTERİ","HATA",IF(OR($E1119="",$F1119&lt;=0,$G1119=""),"EKSİK",IF($E1119&gt;TODAY(),"İLERİ TARİH",IF(COUNTIF($S$7:$S$1506,$S1119)&gt;1,"MÜKERRER?",IF($T1119&gt;0,"KAPALI DÖNEM","UYGUN"))))))</f>
        <v/>
      </c>
      <c r="N1119" s="121">
        <f>IF($C1119="","",IF($C1119="TANIMSIZ MÜŞTERİ","—",INDEX(MUSTERILER!$C$7:$C$106,MATCH($C1119,MUSTERILER!$B$7:$B$106,0))))</f>
        <v/>
      </c>
      <c r="O1119" s="6" t="n"/>
      <c r="P1119" s="6" t="n"/>
      <c r="Q1119" s="3">
        <f>IF($D1119="","",$C1119&amp;"|"&amp;COUNTIFS($C$7:$C1119,$C1119))</f>
        <v/>
      </c>
      <c r="R1119" s="3">
        <f>IF($D1119="","",UPPER(SUBSTITUTE(SUBSTITUTE(SUBSTITUTE(SUBSTITUTE(SUBSTITUTE(SUBSTITUTE(SUBSTITUTE(SUBSTITUTE(SUBSTITUTE(SUBSTITUTE(SUBSTITUTE(SUBSTITUTE(SUBSTITUTE(SUBSTITUTE(SUBSTITUTE(SUBSTITUTE(SUBSTITUTE(SUBSTITUTE(TRIM($D1119),"'",""),"İ","I"),"ı","I"),"i","I"),"Ş","S"),"ş","S"),"Ğ","G"),"ğ","G"),"Ü","U"),"ü","U"),"Ö","O"),"ö","O"),"Ç","C"),"ç","C"),".",""),",","")," ",""),"-","")))</f>
        <v/>
      </c>
      <c r="S1119" s="3">
        <f>IF($D1119="","",$C1119&amp;"|"&amp;TEXT($E1119,"0")&amp;"|"&amp;TEXT($F1119,"0")&amp;"|"&amp;$I1119)</f>
        <v/>
      </c>
      <c r="T1119" s="3">
        <f>IF($E1119="",0,SUMPRODUCT((AY_SONU!$O$7:$O$42="Evet")*(AY_SONU!$B$7:$B$42=DATE(YEAR($E1119),MONTH($E1119),1))))</f>
        <v/>
      </c>
    </row>
    <row r="1120">
      <c r="A1120" s="6" t="n"/>
      <c r="B1120" s="113">
        <f>IF($D1120="","","T"&amp;TEXT(ROW()-6,"00000"))</f>
        <v/>
      </c>
      <c r="C1120" s="113">
        <f>IF($D1120="","",IFERROR(INDEX(MUSTERILER!$B$7:$B$106,MATCH($R1120,MUSTERILER!$T$7:$T$106,0)),IFERROR(INDEX(MUSTERILER!$B$7:$B$106,MATCH($D1120,MUSTERILER!$B$7:$B$106,0)),IFERROR(INDEX(MUSTERILER!$B$7:$B$106,MATCH($R1120&amp;"*",MUSTERILER!$T$7:$T$106,0)),"TANIMSIZ MÜŞTERİ"))))</f>
        <v/>
      </c>
      <c r="D1120" s="109" t="n"/>
      <c r="E1120" s="220" t="n"/>
      <c r="F1120" s="221" t="n"/>
      <c r="G1120" s="108" t="n"/>
      <c r="H1120" s="108" t="n"/>
      <c r="I1120" s="109" t="n"/>
      <c r="J1120" s="109" t="n"/>
      <c r="K1120" s="109" t="n"/>
      <c r="L1120" s="226">
        <f>IF($E1120="","",DATE(YEAR($E1120),MONTH($E1120),1))</f>
        <v/>
      </c>
      <c r="M1120" s="113">
        <f>IF($D1120="","",IF($C1120="TANIMSIZ MÜŞTERİ","HATA",IF(OR($E1120="",$F1120&lt;=0,$G1120=""),"EKSİK",IF($E1120&gt;TODAY(),"İLERİ TARİH",IF(COUNTIF($S$7:$S$1506,$S1120)&gt;1,"MÜKERRER?",IF($T1120&gt;0,"KAPALI DÖNEM","UYGUN"))))))</f>
        <v/>
      </c>
      <c r="N1120" s="121">
        <f>IF($C1120="","",IF($C1120="TANIMSIZ MÜŞTERİ","—",INDEX(MUSTERILER!$C$7:$C$106,MATCH($C1120,MUSTERILER!$B$7:$B$106,0))))</f>
        <v/>
      </c>
      <c r="O1120" s="6" t="n"/>
      <c r="P1120" s="6" t="n"/>
      <c r="Q1120" s="3">
        <f>IF($D1120="","",$C1120&amp;"|"&amp;COUNTIFS($C$7:$C1120,$C1120))</f>
        <v/>
      </c>
      <c r="R1120" s="3">
        <f>IF($D1120="","",UPPER(SUBSTITUTE(SUBSTITUTE(SUBSTITUTE(SUBSTITUTE(SUBSTITUTE(SUBSTITUTE(SUBSTITUTE(SUBSTITUTE(SUBSTITUTE(SUBSTITUTE(SUBSTITUTE(SUBSTITUTE(SUBSTITUTE(SUBSTITUTE(SUBSTITUTE(SUBSTITUTE(SUBSTITUTE(SUBSTITUTE(TRIM($D1120),"'",""),"İ","I"),"ı","I"),"i","I"),"Ş","S"),"ş","S"),"Ğ","G"),"ğ","G"),"Ü","U"),"ü","U"),"Ö","O"),"ö","O"),"Ç","C"),"ç","C"),".",""),",","")," ",""),"-","")))</f>
        <v/>
      </c>
      <c r="S1120" s="3">
        <f>IF($D1120="","",$C1120&amp;"|"&amp;TEXT($E1120,"0")&amp;"|"&amp;TEXT($F1120,"0")&amp;"|"&amp;$I1120)</f>
        <v/>
      </c>
      <c r="T1120" s="3">
        <f>IF($E1120="",0,SUMPRODUCT((AY_SONU!$O$7:$O$42="Evet")*(AY_SONU!$B$7:$B$42=DATE(YEAR($E1120),MONTH($E1120),1))))</f>
        <v/>
      </c>
    </row>
    <row r="1121">
      <c r="A1121" s="6" t="n"/>
      <c r="B1121" s="113">
        <f>IF($D1121="","","T"&amp;TEXT(ROW()-6,"00000"))</f>
        <v/>
      </c>
      <c r="C1121" s="113">
        <f>IF($D1121="","",IFERROR(INDEX(MUSTERILER!$B$7:$B$106,MATCH($R1121,MUSTERILER!$T$7:$T$106,0)),IFERROR(INDEX(MUSTERILER!$B$7:$B$106,MATCH($D1121,MUSTERILER!$B$7:$B$106,0)),IFERROR(INDEX(MUSTERILER!$B$7:$B$106,MATCH($R1121&amp;"*",MUSTERILER!$T$7:$T$106,0)),"TANIMSIZ MÜŞTERİ"))))</f>
        <v/>
      </c>
      <c r="D1121" s="109" t="n"/>
      <c r="E1121" s="220" t="n"/>
      <c r="F1121" s="221" t="n"/>
      <c r="G1121" s="108" t="n"/>
      <c r="H1121" s="108" t="n"/>
      <c r="I1121" s="109" t="n"/>
      <c r="J1121" s="109" t="n"/>
      <c r="K1121" s="109" t="n"/>
      <c r="L1121" s="226">
        <f>IF($E1121="","",DATE(YEAR($E1121),MONTH($E1121),1))</f>
        <v/>
      </c>
      <c r="M1121" s="113">
        <f>IF($D1121="","",IF($C1121="TANIMSIZ MÜŞTERİ","HATA",IF(OR($E1121="",$F1121&lt;=0,$G1121=""),"EKSİK",IF($E1121&gt;TODAY(),"İLERİ TARİH",IF(COUNTIF($S$7:$S$1506,$S1121)&gt;1,"MÜKERRER?",IF($T1121&gt;0,"KAPALI DÖNEM","UYGUN"))))))</f>
        <v/>
      </c>
      <c r="N1121" s="121">
        <f>IF($C1121="","",IF($C1121="TANIMSIZ MÜŞTERİ","—",INDEX(MUSTERILER!$C$7:$C$106,MATCH($C1121,MUSTERILER!$B$7:$B$106,0))))</f>
        <v/>
      </c>
      <c r="O1121" s="6" t="n"/>
      <c r="P1121" s="6" t="n"/>
      <c r="Q1121" s="3">
        <f>IF($D1121="","",$C1121&amp;"|"&amp;COUNTIFS($C$7:$C1121,$C1121))</f>
        <v/>
      </c>
      <c r="R1121" s="3">
        <f>IF($D1121="","",UPPER(SUBSTITUTE(SUBSTITUTE(SUBSTITUTE(SUBSTITUTE(SUBSTITUTE(SUBSTITUTE(SUBSTITUTE(SUBSTITUTE(SUBSTITUTE(SUBSTITUTE(SUBSTITUTE(SUBSTITUTE(SUBSTITUTE(SUBSTITUTE(SUBSTITUTE(SUBSTITUTE(SUBSTITUTE(SUBSTITUTE(TRIM($D1121),"'",""),"İ","I"),"ı","I"),"i","I"),"Ş","S"),"ş","S"),"Ğ","G"),"ğ","G"),"Ü","U"),"ü","U"),"Ö","O"),"ö","O"),"Ç","C"),"ç","C"),".",""),",","")," ",""),"-","")))</f>
        <v/>
      </c>
      <c r="S1121" s="3">
        <f>IF($D1121="","",$C1121&amp;"|"&amp;TEXT($E1121,"0")&amp;"|"&amp;TEXT($F1121,"0")&amp;"|"&amp;$I1121)</f>
        <v/>
      </c>
      <c r="T1121" s="3">
        <f>IF($E1121="",0,SUMPRODUCT((AY_SONU!$O$7:$O$42="Evet")*(AY_SONU!$B$7:$B$42=DATE(YEAR($E1121),MONTH($E1121),1))))</f>
        <v/>
      </c>
    </row>
    <row r="1122">
      <c r="A1122" s="6" t="n"/>
      <c r="B1122" s="113">
        <f>IF($D1122="","","T"&amp;TEXT(ROW()-6,"00000"))</f>
        <v/>
      </c>
      <c r="C1122" s="113">
        <f>IF($D1122="","",IFERROR(INDEX(MUSTERILER!$B$7:$B$106,MATCH($R1122,MUSTERILER!$T$7:$T$106,0)),IFERROR(INDEX(MUSTERILER!$B$7:$B$106,MATCH($D1122,MUSTERILER!$B$7:$B$106,0)),IFERROR(INDEX(MUSTERILER!$B$7:$B$106,MATCH($R1122&amp;"*",MUSTERILER!$T$7:$T$106,0)),"TANIMSIZ MÜŞTERİ"))))</f>
        <v/>
      </c>
      <c r="D1122" s="109" t="n"/>
      <c r="E1122" s="220" t="n"/>
      <c r="F1122" s="221" t="n"/>
      <c r="G1122" s="108" t="n"/>
      <c r="H1122" s="108" t="n"/>
      <c r="I1122" s="109" t="n"/>
      <c r="J1122" s="109" t="n"/>
      <c r="K1122" s="109" t="n"/>
      <c r="L1122" s="226">
        <f>IF($E1122="","",DATE(YEAR($E1122),MONTH($E1122),1))</f>
        <v/>
      </c>
      <c r="M1122" s="113">
        <f>IF($D1122="","",IF($C1122="TANIMSIZ MÜŞTERİ","HATA",IF(OR($E1122="",$F1122&lt;=0,$G1122=""),"EKSİK",IF($E1122&gt;TODAY(),"İLERİ TARİH",IF(COUNTIF($S$7:$S$1506,$S1122)&gt;1,"MÜKERRER?",IF($T1122&gt;0,"KAPALI DÖNEM","UYGUN"))))))</f>
        <v/>
      </c>
      <c r="N1122" s="121">
        <f>IF($C1122="","",IF($C1122="TANIMSIZ MÜŞTERİ","—",INDEX(MUSTERILER!$C$7:$C$106,MATCH($C1122,MUSTERILER!$B$7:$B$106,0))))</f>
        <v/>
      </c>
      <c r="O1122" s="6" t="n"/>
      <c r="P1122" s="6" t="n"/>
      <c r="Q1122" s="3">
        <f>IF($D1122="","",$C1122&amp;"|"&amp;COUNTIFS($C$7:$C1122,$C1122))</f>
        <v/>
      </c>
      <c r="R1122" s="3">
        <f>IF($D1122="","",UPPER(SUBSTITUTE(SUBSTITUTE(SUBSTITUTE(SUBSTITUTE(SUBSTITUTE(SUBSTITUTE(SUBSTITUTE(SUBSTITUTE(SUBSTITUTE(SUBSTITUTE(SUBSTITUTE(SUBSTITUTE(SUBSTITUTE(SUBSTITUTE(SUBSTITUTE(SUBSTITUTE(SUBSTITUTE(SUBSTITUTE(TRIM($D1122),"'",""),"İ","I"),"ı","I"),"i","I"),"Ş","S"),"ş","S"),"Ğ","G"),"ğ","G"),"Ü","U"),"ü","U"),"Ö","O"),"ö","O"),"Ç","C"),"ç","C"),".",""),",","")," ",""),"-","")))</f>
        <v/>
      </c>
      <c r="S1122" s="3">
        <f>IF($D1122="","",$C1122&amp;"|"&amp;TEXT($E1122,"0")&amp;"|"&amp;TEXT($F1122,"0")&amp;"|"&amp;$I1122)</f>
        <v/>
      </c>
      <c r="T1122" s="3">
        <f>IF($E1122="",0,SUMPRODUCT((AY_SONU!$O$7:$O$42="Evet")*(AY_SONU!$B$7:$B$42=DATE(YEAR($E1122),MONTH($E1122),1))))</f>
        <v/>
      </c>
    </row>
    <row r="1123">
      <c r="A1123" s="6" t="n"/>
      <c r="B1123" s="113">
        <f>IF($D1123="","","T"&amp;TEXT(ROW()-6,"00000"))</f>
        <v/>
      </c>
      <c r="C1123" s="113">
        <f>IF($D1123="","",IFERROR(INDEX(MUSTERILER!$B$7:$B$106,MATCH($R1123,MUSTERILER!$T$7:$T$106,0)),IFERROR(INDEX(MUSTERILER!$B$7:$B$106,MATCH($D1123,MUSTERILER!$B$7:$B$106,0)),IFERROR(INDEX(MUSTERILER!$B$7:$B$106,MATCH($R1123&amp;"*",MUSTERILER!$T$7:$T$106,0)),"TANIMSIZ MÜŞTERİ"))))</f>
        <v/>
      </c>
      <c r="D1123" s="109" t="n"/>
      <c r="E1123" s="220" t="n"/>
      <c r="F1123" s="221" t="n"/>
      <c r="G1123" s="108" t="n"/>
      <c r="H1123" s="108" t="n"/>
      <c r="I1123" s="109" t="n"/>
      <c r="J1123" s="109" t="n"/>
      <c r="K1123" s="109" t="n"/>
      <c r="L1123" s="226">
        <f>IF($E1123="","",DATE(YEAR($E1123),MONTH($E1123),1))</f>
        <v/>
      </c>
      <c r="M1123" s="113">
        <f>IF($D1123="","",IF($C1123="TANIMSIZ MÜŞTERİ","HATA",IF(OR($E1123="",$F1123&lt;=0,$G1123=""),"EKSİK",IF($E1123&gt;TODAY(),"İLERİ TARİH",IF(COUNTIF($S$7:$S$1506,$S1123)&gt;1,"MÜKERRER?",IF($T1123&gt;0,"KAPALI DÖNEM","UYGUN"))))))</f>
        <v/>
      </c>
      <c r="N1123" s="121">
        <f>IF($C1123="","",IF($C1123="TANIMSIZ MÜŞTERİ","—",INDEX(MUSTERILER!$C$7:$C$106,MATCH($C1123,MUSTERILER!$B$7:$B$106,0))))</f>
        <v/>
      </c>
      <c r="O1123" s="6" t="n"/>
      <c r="P1123" s="6" t="n"/>
      <c r="Q1123" s="3">
        <f>IF($D1123="","",$C1123&amp;"|"&amp;COUNTIFS($C$7:$C1123,$C1123))</f>
        <v/>
      </c>
      <c r="R1123" s="3">
        <f>IF($D1123="","",UPPER(SUBSTITUTE(SUBSTITUTE(SUBSTITUTE(SUBSTITUTE(SUBSTITUTE(SUBSTITUTE(SUBSTITUTE(SUBSTITUTE(SUBSTITUTE(SUBSTITUTE(SUBSTITUTE(SUBSTITUTE(SUBSTITUTE(SUBSTITUTE(SUBSTITUTE(SUBSTITUTE(SUBSTITUTE(SUBSTITUTE(TRIM($D1123),"'",""),"İ","I"),"ı","I"),"i","I"),"Ş","S"),"ş","S"),"Ğ","G"),"ğ","G"),"Ü","U"),"ü","U"),"Ö","O"),"ö","O"),"Ç","C"),"ç","C"),".",""),",","")," ",""),"-","")))</f>
        <v/>
      </c>
      <c r="S1123" s="3">
        <f>IF($D1123="","",$C1123&amp;"|"&amp;TEXT($E1123,"0")&amp;"|"&amp;TEXT($F1123,"0")&amp;"|"&amp;$I1123)</f>
        <v/>
      </c>
      <c r="T1123" s="3">
        <f>IF($E1123="",0,SUMPRODUCT((AY_SONU!$O$7:$O$42="Evet")*(AY_SONU!$B$7:$B$42=DATE(YEAR($E1123),MONTH($E1123),1))))</f>
        <v/>
      </c>
    </row>
    <row r="1124">
      <c r="A1124" s="6" t="n"/>
      <c r="B1124" s="113">
        <f>IF($D1124="","","T"&amp;TEXT(ROW()-6,"00000"))</f>
        <v/>
      </c>
      <c r="C1124" s="113">
        <f>IF($D1124="","",IFERROR(INDEX(MUSTERILER!$B$7:$B$106,MATCH($R1124,MUSTERILER!$T$7:$T$106,0)),IFERROR(INDEX(MUSTERILER!$B$7:$B$106,MATCH($D1124,MUSTERILER!$B$7:$B$106,0)),IFERROR(INDEX(MUSTERILER!$B$7:$B$106,MATCH($R1124&amp;"*",MUSTERILER!$T$7:$T$106,0)),"TANIMSIZ MÜŞTERİ"))))</f>
        <v/>
      </c>
      <c r="D1124" s="109" t="n"/>
      <c r="E1124" s="220" t="n"/>
      <c r="F1124" s="221" t="n"/>
      <c r="G1124" s="108" t="n"/>
      <c r="H1124" s="108" t="n"/>
      <c r="I1124" s="109" t="n"/>
      <c r="J1124" s="109" t="n"/>
      <c r="K1124" s="109" t="n"/>
      <c r="L1124" s="226">
        <f>IF($E1124="","",DATE(YEAR($E1124),MONTH($E1124),1))</f>
        <v/>
      </c>
      <c r="M1124" s="113">
        <f>IF($D1124="","",IF($C1124="TANIMSIZ MÜŞTERİ","HATA",IF(OR($E1124="",$F1124&lt;=0,$G1124=""),"EKSİK",IF($E1124&gt;TODAY(),"İLERİ TARİH",IF(COUNTIF($S$7:$S$1506,$S1124)&gt;1,"MÜKERRER?",IF($T1124&gt;0,"KAPALI DÖNEM","UYGUN"))))))</f>
        <v/>
      </c>
      <c r="N1124" s="121">
        <f>IF($C1124="","",IF($C1124="TANIMSIZ MÜŞTERİ","—",INDEX(MUSTERILER!$C$7:$C$106,MATCH($C1124,MUSTERILER!$B$7:$B$106,0))))</f>
        <v/>
      </c>
      <c r="O1124" s="6" t="n"/>
      <c r="P1124" s="6" t="n"/>
      <c r="Q1124" s="3">
        <f>IF($D1124="","",$C1124&amp;"|"&amp;COUNTIFS($C$7:$C1124,$C1124))</f>
        <v/>
      </c>
      <c r="R1124" s="3">
        <f>IF($D1124="","",UPPER(SUBSTITUTE(SUBSTITUTE(SUBSTITUTE(SUBSTITUTE(SUBSTITUTE(SUBSTITUTE(SUBSTITUTE(SUBSTITUTE(SUBSTITUTE(SUBSTITUTE(SUBSTITUTE(SUBSTITUTE(SUBSTITUTE(SUBSTITUTE(SUBSTITUTE(SUBSTITUTE(SUBSTITUTE(SUBSTITUTE(TRIM($D1124),"'",""),"İ","I"),"ı","I"),"i","I"),"Ş","S"),"ş","S"),"Ğ","G"),"ğ","G"),"Ü","U"),"ü","U"),"Ö","O"),"ö","O"),"Ç","C"),"ç","C"),".",""),",","")," ",""),"-","")))</f>
        <v/>
      </c>
      <c r="S1124" s="3">
        <f>IF($D1124="","",$C1124&amp;"|"&amp;TEXT($E1124,"0")&amp;"|"&amp;TEXT($F1124,"0")&amp;"|"&amp;$I1124)</f>
        <v/>
      </c>
      <c r="T1124" s="3">
        <f>IF($E1124="",0,SUMPRODUCT((AY_SONU!$O$7:$O$42="Evet")*(AY_SONU!$B$7:$B$42=DATE(YEAR($E1124),MONTH($E1124),1))))</f>
        <v/>
      </c>
    </row>
    <row r="1125">
      <c r="A1125" s="6" t="n"/>
      <c r="B1125" s="113">
        <f>IF($D1125="","","T"&amp;TEXT(ROW()-6,"00000"))</f>
        <v/>
      </c>
      <c r="C1125" s="113">
        <f>IF($D1125="","",IFERROR(INDEX(MUSTERILER!$B$7:$B$106,MATCH($R1125,MUSTERILER!$T$7:$T$106,0)),IFERROR(INDEX(MUSTERILER!$B$7:$B$106,MATCH($D1125,MUSTERILER!$B$7:$B$106,0)),IFERROR(INDEX(MUSTERILER!$B$7:$B$106,MATCH($R1125&amp;"*",MUSTERILER!$T$7:$T$106,0)),"TANIMSIZ MÜŞTERİ"))))</f>
        <v/>
      </c>
      <c r="D1125" s="109" t="n"/>
      <c r="E1125" s="220" t="n"/>
      <c r="F1125" s="221" t="n"/>
      <c r="G1125" s="108" t="n"/>
      <c r="H1125" s="108" t="n"/>
      <c r="I1125" s="109" t="n"/>
      <c r="J1125" s="109" t="n"/>
      <c r="K1125" s="109" t="n"/>
      <c r="L1125" s="226">
        <f>IF($E1125="","",DATE(YEAR($E1125),MONTH($E1125),1))</f>
        <v/>
      </c>
      <c r="M1125" s="113">
        <f>IF($D1125="","",IF($C1125="TANIMSIZ MÜŞTERİ","HATA",IF(OR($E1125="",$F1125&lt;=0,$G1125=""),"EKSİK",IF($E1125&gt;TODAY(),"İLERİ TARİH",IF(COUNTIF($S$7:$S$1506,$S1125)&gt;1,"MÜKERRER?",IF($T1125&gt;0,"KAPALI DÖNEM","UYGUN"))))))</f>
        <v/>
      </c>
      <c r="N1125" s="121">
        <f>IF($C1125="","",IF($C1125="TANIMSIZ MÜŞTERİ","—",INDEX(MUSTERILER!$C$7:$C$106,MATCH($C1125,MUSTERILER!$B$7:$B$106,0))))</f>
        <v/>
      </c>
      <c r="O1125" s="6" t="n"/>
      <c r="P1125" s="6" t="n"/>
      <c r="Q1125" s="3">
        <f>IF($D1125="","",$C1125&amp;"|"&amp;COUNTIFS($C$7:$C1125,$C1125))</f>
        <v/>
      </c>
      <c r="R1125" s="3">
        <f>IF($D1125="","",UPPER(SUBSTITUTE(SUBSTITUTE(SUBSTITUTE(SUBSTITUTE(SUBSTITUTE(SUBSTITUTE(SUBSTITUTE(SUBSTITUTE(SUBSTITUTE(SUBSTITUTE(SUBSTITUTE(SUBSTITUTE(SUBSTITUTE(SUBSTITUTE(SUBSTITUTE(SUBSTITUTE(SUBSTITUTE(SUBSTITUTE(TRIM($D1125),"'",""),"İ","I"),"ı","I"),"i","I"),"Ş","S"),"ş","S"),"Ğ","G"),"ğ","G"),"Ü","U"),"ü","U"),"Ö","O"),"ö","O"),"Ç","C"),"ç","C"),".",""),",","")," ",""),"-","")))</f>
        <v/>
      </c>
      <c r="S1125" s="3">
        <f>IF($D1125="","",$C1125&amp;"|"&amp;TEXT($E1125,"0")&amp;"|"&amp;TEXT($F1125,"0")&amp;"|"&amp;$I1125)</f>
        <v/>
      </c>
      <c r="T1125" s="3">
        <f>IF($E1125="",0,SUMPRODUCT((AY_SONU!$O$7:$O$42="Evet")*(AY_SONU!$B$7:$B$42=DATE(YEAR($E1125),MONTH($E1125),1))))</f>
        <v/>
      </c>
    </row>
    <row r="1126">
      <c r="A1126" s="6" t="n"/>
      <c r="B1126" s="113">
        <f>IF($D1126="","","T"&amp;TEXT(ROW()-6,"00000"))</f>
        <v/>
      </c>
      <c r="C1126" s="113">
        <f>IF($D1126="","",IFERROR(INDEX(MUSTERILER!$B$7:$B$106,MATCH($R1126,MUSTERILER!$T$7:$T$106,0)),IFERROR(INDEX(MUSTERILER!$B$7:$B$106,MATCH($D1126,MUSTERILER!$B$7:$B$106,0)),IFERROR(INDEX(MUSTERILER!$B$7:$B$106,MATCH($R1126&amp;"*",MUSTERILER!$T$7:$T$106,0)),"TANIMSIZ MÜŞTERİ"))))</f>
        <v/>
      </c>
      <c r="D1126" s="109" t="n"/>
      <c r="E1126" s="220" t="n"/>
      <c r="F1126" s="221" t="n"/>
      <c r="G1126" s="108" t="n"/>
      <c r="H1126" s="108" t="n"/>
      <c r="I1126" s="109" t="n"/>
      <c r="J1126" s="109" t="n"/>
      <c r="K1126" s="109" t="n"/>
      <c r="L1126" s="226">
        <f>IF($E1126="","",DATE(YEAR($E1126),MONTH($E1126),1))</f>
        <v/>
      </c>
      <c r="M1126" s="113">
        <f>IF($D1126="","",IF($C1126="TANIMSIZ MÜŞTERİ","HATA",IF(OR($E1126="",$F1126&lt;=0,$G1126=""),"EKSİK",IF($E1126&gt;TODAY(),"İLERİ TARİH",IF(COUNTIF($S$7:$S$1506,$S1126)&gt;1,"MÜKERRER?",IF($T1126&gt;0,"KAPALI DÖNEM","UYGUN"))))))</f>
        <v/>
      </c>
      <c r="N1126" s="121">
        <f>IF($C1126="","",IF($C1126="TANIMSIZ MÜŞTERİ","—",INDEX(MUSTERILER!$C$7:$C$106,MATCH($C1126,MUSTERILER!$B$7:$B$106,0))))</f>
        <v/>
      </c>
      <c r="O1126" s="6" t="n"/>
      <c r="P1126" s="6" t="n"/>
      <c r="Q1126" s="3">
        <f>IF($D1126="","",$C1126&amp;"|"&amp;COUNTIFS($C$7:$C1126,$C1126))</f>
        <v/>
      </c>
      <c r="R1126" s="3">
        <f>IF($D1126="","",UPPER(SUBSTITUTE(SUBSTITUTE(SUBSTITUTE(SUBSTITUTE(SUBSTITUTE(SUBSTITUTE(SUBSTITUTE(SUBSTITUTE(SUBSTITUTE(SUBSTITUTE(SUBSTITUTE(SUBSTITUTE(SUBSTITUTE(SUBSTITUTE(SUBSTITUTE(SUBSTITUTE(SUBSTITUTE(SUBSTITUTE(TRIM($D1126),"'",""),"İ","I"),"ı","I"),"i","I"),"Ş","S"),"ş","S"),"Ğ","G"),"ğ","G"),"Ü","U"),"ü","U"),"Ö","O"),"ö","O"),"Ç","C"),"ç","C"),".",""),",","")," ",""),"-","")))</f>
        <v/>
      </c>
      <c r="S1126" s="3">
        <f>IF($D1126="","",$C1126&amp;"|"&amp;TEXT($E1126,"0")&amp;"|"&amp;TEXT($F1126,"0")&amp;"|"&amp;$I1126)</f>
        <v/>
      </c>
      <c r="T1126" s="3">
        <f>IF($E1126="",0,SUMPRODUCT((AY_SONU!$O$7:$O$42="Evet")*(AY_SONU!$B$7:$B$42=DATE(YEAR($E1126),MONTH($E1126),1))))</f>
        <v/>
      </c>
    </row>
    <row r="1127">
      <c r="A1127" s="6" t="n"/>
      <c r="B1127" s="113">
        <f>IF($D1127="","","T"&amp;TEXT(ROW()-6,"00000"))</f>
        <v/>
      </c>
      <c r="C1127" s="113">
        <f>IF($D1127="","",IFERROR(INDEX(MUSTERILER!$B$7:$B$106,MATCH($R1127,MUSTERILER!$T$7:$T$106,0)),IFERROR(INDEX(MUSTERILER!$B$7:$B$106,MATCH($D1127,MUSTERILER!$B$7:$B$106,0)),IFERROR(INDEX(MUSTERILER!$B$7:$B$106,MATCH($R1127&amp;"*",MUSTERILER!$T$7:$T$106,0)),"TANIMSIZ MÜŞTERİ"))))</f>
        <v/>
      </c>
      <c r="D1127" s="109" t="n"/>
      <c r="E1127" s="220" t="n"/>
      <c r="F1127" s="221" t="n"/>
      <c r="G1127" s="108" t="n"/>
      <c r="H1127" s="108" t="n"/>
      <c r="I1127" s="109" t="n"/>
      <c r="J1127" s="109" t="n"/>
      <c r="K1127" s="109" t="n"/>
      <c r="L1127" s="226">
        <f>IF($E1127="","",DATE(YEAR($E1127),MONTH($E1127),1))</f>
        <v/>
      </c>
      <c r="M1127" s="113">
        <f>IF($D1127="","",IF($C1127="TANIMSIZ MÜŞTERİ","HATA",IF(OR($E1127="",$F1127&lt;=0,$G1127=""),"EKSİK",IF($E1127&gt;TODAY(),"İLERİ TARİH",IF(COUNTIF($S$7:$S$1506,$S1127)&gt;1,"MÜKERRER?",IF($T1127&gt;0,"KAPALI DÖNEM","UYGUN"))))))</f>
        <v/>
      </c>
      <c r="N1127" s="121">
        <f>IF($C1127="","",IF($C1127="TANIMSIZ MÜŞTERİ","—",INDEX(MUSTERILER!$C$7:$C$106,MATCH($C1127,MUSTERILER!$B$7:$B$106,0))))</f>
        <v/>
      </c>
      <c r="O1127" s="6" t="n"/>
      <c r="P1127" s="6" t="n"/>
      <c r="Q1127" s="3">
        <f>IF($D1127="","",$C1127&amp;"|"&amp;COUNTIFS($C$7:$C1127,$C1127))</f>
        <v/>
      </c>
      <c r="R1127" s="3">
        <f>IF($D1127="","",UPPER(SUBSTITUTE(SUBSTITUTE(SUBSTITUTE(SUBSTITUTE(SUBSTITUTE(SUBSTITUTE(SUBSTITUTE(SUBSTITUTE(SUBSTITUTE(SUBSTITUTE(SUBSTITUTE(SUBSTITUTE(SUBSTITUTE(SUBSTITUTE(SUBSTITUTE(SUBSTITUTE(SUBSTITUTE(SUBSTITUTE(TRIM($D1127),"'",""),"İ","I"),"ı","I"),"i","I"),"Ş","S"),"ş","S"),"Ğ","G"),"ğ","G"),"Ü","U"),"ü","U"),"Ö","O"),"ö","O"),"Ç","C"),"ç","C"),".",""),",","")," ",""),"-","")))</f>
        <v/>
      </c>
      <c r="S1127" s="3">
        <f>IF($D1127="","",$C1127&amp;"|"&amp;TEXT($E1127,"0")&amp;"|"&amp;TEXT($F1127,"0")&amp;"|"&amp;$I1127)</f>
        <v/>
      </c>
      <c r="T1127" s="3">
        <f>IF($E1127="",0,SUMPRODUCT((AY_SONU!$O$7:$O$42="Evet")*(AY_SONU!$B$7:$B$42=DATE(YEAR($E1127),MONTH($E1127),1))))</f>
        <v/>
      </c>
    </row>
    <row r="1128">
      <c r="A1128" s="6" t="n"/>
      <c r="B1128" s="113">
        <f>IF($D1128="","","T"&amp;TEXT(ROW()-6,"00000"))</f>
        <v/>
      </c>
      <c r="C1128" s="113">
        <f>IF($D1128="","",IFERROR(INDEX(MUSTERILER!$B$7:$B$106,MATCH($R1128,MUSTERILER!$T$7:$T$106,0)),IFERROR(INDEX(MUSTERILER!$B$7:$B$106,MATCH($D1128,MUSTERILER!$B$7:$B$106,0)),IFERROR(INDEX(MUSTERILER!$B$7:$B$106,MATCH($R1128&amp;"*",MUSTERILER!$T$7:$T$106,0)),"TANIMSIZ MÜŞTERİ"))))</f>
        <v/>
      </c>
      <c r="D1128" s="109" t="n"/>
      <c r="E1128" s="220" t="n"/>
      <c r="F1128" s="221" t="n"/>
      <c r="G1128" s="108" t="n"/>
      <c r="H1128" s="108" t="n"/>
      <c r="I1128" s="109" t="n"/>
      <c r="J1128" s="109" t="n"/>
      <c r="K1128" s="109" t="n"/>
      <c r="L1128" s="226">
        <f>IF($E1128="","",DATE(YEAR($E1128),MONTH($E1128),1))</f>
        <v/>
      </c>
      <c r="M1128" s="113">
        <f>IF($D1128="","",IF($C1128="TANIMSIZ MÜŞTERİ","HATA",IF(OR($E1128="",$F1128&lt;=0,$G1128=""),"EKSİK",IF($E1128&gt;TODAY(),"İLERİ TARİH",IF(COUNTIF($S$7:$S$1506,$S1128)&gt;1,"MÜKERRER?",IF($T1128&gt;0,"KAPALI DÖNEM","UYGUN"))))))</f>
        <v/>
      </c>
      <c r="N1128" s="121">
        <f>IF($C1128="","",IF($C1128="TANIMSIZ MÜŞTERİ","—",INDEX(MUSTERILER!$C$7:$C$106,MATCH($C1128,MUSTERILER!$B$7:$B$106,0))))</f>
        <v/>
      </c>
      <c r="O1128" s="6" t="n"/>
      <c r="P1128" s="6" t="n"/>
      <c r="Q1128" s="3">
        <f>IF($D1128="","",$C1128&amp;"|"&amp;COUNTIFS($C$7:$C1128,$C1128))</f>
        <v/>
      </c>
      <c r="R1128" s="3">
        <f>IF($D1128="","",UPPER(SUBSTITUTE(SUBSTITUTE(SUBSTITUTE(SUBSTITUTE(SUBSTITUTE(SUBSTITUTE(SUBSTITUTE(SUBSTITUTE(SUBSTITUTE(SUBSTITUTE(SUBSTITUTE(SUBSTITUTE(SUBSTITUTE(SUBSTITUTE(SUBSTITUTE(SUBSTITUTE(SUBSTITUTE(SUBSTITUTE(TRIM($D1128),"'",""),"İ","I"),"ı","I"),"i","I"),"Ş","S"),"ş","S"),"Ğ","G"),"ğ","G"),"Ü","U"),"ü","U"),"Ö","O"),"ö","O"),"Ç","C"),"ç","C"),".",""),",","")," ",""),"-","")))</f>
        <v/>
      </c>
      <c r="S1128" s="3">
        <f>IF($D1128="","",$C1128&amp;"|"&amp;TEXT($E1128,"0")&amp;"|"&amp;TEXT($F1128,"0")&amp;"|"&amp;$I1128)</f>
        <v/>
      </c>
      <c r="T1128" s="3">
        <f>IF($E1128="",0,SUMPRODUCT((AY_SONU!$O$7:$O$42="Evet")*(AY_SONU!$B$7:$B$42=DATE(YEAR($E1128),MONTH($E1128),1))))</f>
        <v/>
      </c>
    </row>
    <row r="1129">
      <c r="A1129" s="6" t="n"/>
      <c r="B1129" s="113">
        <f>IF($D1129="","","T"&amp;TEXT(ROW()-6,"00000"))</f>
        <v/>
      </c>
      <c r="C1129" s="113">
        <f>IF($D1129="","",IFERROR(INDEX(MUSTERILER!$B$7:$B$106,MATCH($R1129,MUSTERILER!$T$7:$T$106,0)),IFERROR(INDEX(MUSTERILER!$B$7:$B$106,MATCH($D1129,MUSTERILER!$B$7:$B$106,0)),IFERROR(INDEX(MUSTERILER!$B$7:$B$106,MATCH($R1129&amp;"*",MUSTERILER!$T$7:$T$106,0)),"TANIMSIZ MÜŞTERİ"))))</f>
        <v/>
      </c>
      <c r="D1129" s="109" t="n"/>
      <c r="E1129" s="220" t="n"/>
      <c r="F1129" s="221" t="n"/>
      <c r="G1129" s="108" t="n"/>
      <c r="H1129" s="108" t="n"/>
      <c r="I1129" s="109" t="n"/>
      <c r="J1129" s="109" t="n"/>
      <c r="K1129" s="109" t="n"/>
      <c r="L1129" s="226">
        <f>IF($E1129="","",DATE(YEAR($E1129),MONTH($E1129),1))</f>
        <v/>
      </c>
      <c r="M1129" s="113">
        <f>IF($D1129="","",IF($C1129="TANIMSIZ MÜŞTERİ","HATA",IF(OR($E1129="",$F1129&lt;=0,$G1129=""),"EKSİK",IF($E1129&gt;TODAY(),"İLERİ TARİH",IF(COUNTIF($S$7:$S$1506,$S1129)&gt;1,"MÜKERRER?",IF($T1129&gt;0,"KAPALI DÖNEM","UYGUN"))))))</f>
        <v/>
      </c>
      <c r="N1129" s="121">
        <f>IF($C1129="","",IF($C1129="TANIMSIZ MÜŞTERİ","—",INDEX(MUSTERILER!$C$7:$C$106,MATCH($C1129,MUSTERILER!$B$7:$B$106,0))))</f>
        <v/>
      </c>
      <c r="O1129" s="6" t="n"/>
      <c r="P1129" s="6" t="n"/>
      <c r="Q1129" s="3">
        <f>IF($D1129="","",$C1129&amp;"|"&amp;COUNTIFS($C$7:$C1129,$C1129))</f>
        <v/>
      </c>
      <c r="R1129" s="3">
        <f>IF($D1129="","",UPPER(SUBSTITUTE(SUBSTITUTE(SUBSTITUTE(SUBSTITUTE(SUBSTITUTE(SUBSTITUTE(SUBSTITUTE(SUBSTITUTE(SUBSTITUTE(SUBSTITUTE(SUBSTITUTE(SUBSTITUTE(SUBSTITUTE(SUBSTITUTE(SUBSTITUTE(SUBSTITUTE(SUBSTITUTE(SUBSTITUTE(TRIM($D1129),"'",""),"İ","I"),"ı","I"),"i","I"),"Ş","S"),"ş","S"),"Ğ","G"),"ğ","G"),"Ü","U"),"ü","U"),"Ö","O"),"ö","O"),"Ç","C"),"ç","C"),".",""),",","")," ",""),"-","")))</f>
        <v/>
      </c>
      <c r="S1129" s="3">
        <f>IF($D1129="","",$C1129&amp;"|"&amp;TEXT($E1129,"0")&amp;"|"&amp;TEXT($F1129,"0")&amp;"|"&amp;$I1129)</f>
        <v/>
      </c>
      <c r="T1129" s="3">
        <f>IF($E1129="",0,SUMPRODUCT((AY_SONU!$O$7:$O$42="Evet")*(AY_SONU!$B$7:$B$42=DATE(YEAR($E1129),MONTH($E1129),1))))</f>
        <v/>
      </c>
    </row>
    <row r="1130">
      <c r="A1130" s="6" t="n"/>
      <c r="B1130" s="113">
        <f>IF($D1130="","","T"&amp;TEXT(ROW()-6,"00000"))</f>
        <v/>
      </c>
      <c r="C1130" s="113">
        <f>IF($D1130="","",IFERROR(INDEX(MUSTERILER!$B$7:$B$106,MATCH($R1130,MUSTERILER!$T$7:$T$106,0)),IFERROR(INDEX(MUSTERILER!$B$7:$B$106,MATCH($D1130,MUSTERILER!$B$7:$B$106,0)),IFERROR(INDEX(MUSTERILER!$B$7:$B$106,MATCH($R1130&amp;"*",MUSTERILER!$T$7:$T$106,0)),"TANIMSIZ MÜŞTERİ"))))</f>
        <v/>
      </c>
      <c r="D1130" s="109" t="n"/>
      <c r="E1130" s="220" t="n"/>
      <c r="F1130" s="221" t="n"/>
      <c r="G1130" s="108" t="n"/>
      <c r="H1130" s="108" t="n"/>
      <c r="I1130" s="109" t="n"/>
      <c r="J1130" s="109" t="n"/>
      <c r="K1130" s="109" t="n"/>
      <c r="L1130" s="226">
        <f>IF($E1130="","",DATE(YEAR($E1130),MONTH($E1130),1))</f>
        <v/>
      </c>
      <c r="M1130" s="113">
        <f>IF($D1130="","",IF($C1130="TANIMSIZ MÜŞTERİ","HATA",IF(OR($E1130="",$F1130&lt;=0,$G1130=""),"EKSİK",IF($E1130&gt;TODAY(),"İLERİ TARİH",IF(COUNTIF($S$7:$S$1506,$S1130)&gt;1,"MÜKERRER?",IF($T1130&gt;0,"KAPALI DÖNEM","UYGUN"))))))</f>
        <v/>
      </c>
      <c r="N1130" s="121">
        <f>IF($C1130="","",IF($C1130="TANIMSIZ MÜŞTERİ","—",INDEX(MUSTERILER!$C$7:$C$106,MATCH($C1130,MUSTERILER!$B$7:$B$106,0))))</f>
        <v/>
      </c>
      <c r="O1130" s="6" t="n"/>
      <c r="P1130" s="6" t="n"/>
      <c r="Q1130" s="3">
        <f>IF($D1130="","",$C1130&amp;"|"&amp;COUNTIFS($C$7:$C1130,$C1130))</f>
        <v/>
      </c>
      <c r="R1130" s="3">
        <f>IF($D1130="","",UPPER(SUBSTITUTE(SUBSTITUTE(SUBSTITUTE(SUBSTITUTE(SUBSTITUTE(SUBSTITUTE(SUBSTITUTE(SUBSTITUTE(SUBSTITUTE(SUBSTITUTE(SUBSTITUTE(SUBSTITUTE(SUBSTITUTE(SUBSTITUTE(SUBSTITUTE(SUBSTITUTE(SUBSTITUTE(SUBSTITUTE(TRIM($D1130),"'",""),"İ","I"),"ı","I"),"i","I"),"Ş","S"),"ş","S"),"Ğ","G"),"ğ","G"),"Ü","U"),"ü","U"),"Ö","O"),"ö","O"),"Ç","C"),"ç","C"),".",""),",","")," ",""),"-","")))</f>
        <v/>
      </c>
      <c r="S1130" s="3">
        <f>IF($D1130="","",$C1130&amp;"|"&amp;TEXT($E1130,"0")&amp;"|"&amp;TEXT($F1130,"0")&amp;"|"&amp;$I1130)</f>
        <v/>
      </c>
      <c r="T1130" s="3">
        <f>IF($E1130="",0,SUMPRODUCT((AY_SONU!$O$7:$O$42="Evet")*(AY_SONU!$B$7:$B$42=DATE(YEAR($E1130),MONTH($E1130),1))))</f>
        <v/>
      </c>
    </row>
    <row r="1131">
      <c r="A1131" s="6" t="n"/>
      <c r="B1131" s="113">
        <f>IF($D1131="","","T"&amp;TEXT(ROW()-6,"00000"))</f>
        <v/>
      </c>
      <c r="C1131" s="113">
        <f>IF($D1131="","",IFERROR(INDEX(MUSTERILER!$B$7:$B$106,MATCH($R1131,MUSTERILER!$T$7:$T$106,0)),IFERROR(INDEX(MUSTERILER!$B$7:$B$106,MATCH($D1131,MUSTERILER!$B$7:$B$106,0)),IFERROR(INDEX(MUSTERILER!$B$7:$B$106,MATCH($R1131&amp;"*",MUSTERILER!$T$7:$T$106,0)),"TANIMSIZ MÜŞTERİ"))))</f>
        <v/>
      </c>
      <c r="D1131" s="109" t="n"/>
      <c r="E1131" s="220" t="n"/>
      <c r="F1131" s="221" t="n"/>
      <c r="G1131" s="108" t="n"/>
      <c r="H1131" s="108" t="n"/>
      <c r="I1131" s="109" t="n"/>
      <c r="J1131" s="109" t="n"/>
      <c r="K1131" s="109" t="n"/>
      <c r="L1131" s="226">
        <f>IF($E1131="","",DATE(YEAR($E1131),MONTH($E1131),1))</f>
        <v/>
      </c>
      <c r="M1131" s="113">
        <f>IF($D1131="","",IF($C1131="TANIMSIZ MÜŞTERİ","HATA",IF(OR($E1131="",$F1131&lt;=0,$G1131=""),"EKSİK",IF($E1131&gt;TODAY(),"İLERİ TARİH",IF(COUNTIF($S$7:$S$1506,$S1131)&gt;1,"MÜKERRER?",IF($T1131&gt;0,"KAPALI DÖNEM","UYGUN"))))))</f>
        <v/>
      </c>
      <c r="N1131" s="121">
        <f>IF($C1131="","",IF($C1131="TANIMSIZ MÜŞTERİ","—",INDEX(MUSTERILER!$C$7:$C$106,MATCH($C1131,MUSTERILER!$B$7:$B$106,0))))</f>
        <v/>
      </c>
      <c r="O1131" s="6" t="n"/>
      <c r="P1131" s="6" t="n"/>
      <c r="Q1131" s="3">
        <f>IF($D1131="","",$C1131&amp;"|"&amp;COUNTIFS($C$7:$C1131,$C1131))</f>
        <v/>
      </c>
      <c r="R1131" s="3">
        <f>IF($D1131="","",UPPER(SUBSTITUTE(SUBSTITUTE(SUBSTITUTE(SUBSTITUTE(SUBSTITUTE(SUBSTITUTE(SUBSTITUTE(SUBSTITUTE(SUBSTITUTE(SUBSTITUTE(SUBSTITUTE(SUBSTITUTE(SUBSTITUTE(SUBSTITUTE(SUBSTITUTE(SUBSTITUTE(SUBSTITUTE(SUBSTITUTE(TRIM($D1131),"'",""),"İ","I"),"ı","I"),"i","I"),"Ş","S"),"ş","S"),"Ğ","G"),"ğ","G"),"Ü","U"),"ü","U"),"Ö","O"),"ö","O"),"Ç","C"),"ç","C"),".",""),",","")," ",""),"-","")))</f>
        <v/>
      </c>
      <c r="S1131" s="3">
        <f>IF($D1131="","",$C1131&amp;"|"&amp;TEXT($E1131,"0")&amp;"|"&amp;TEXT($F1131,"0")&amp;"|"&amp;$I1131)</f>
        <v/>
      </c>
      <c r="T1131" s="3">
        <f>IF($E1131="",0,SUMPRODUCT((AY_SONU!$O$7:$O$42="Evet")*(AY_SONU!$B$7:$B$42=DATE(YEAR($E1131),MONTH($E1131),1))))</f>
        <v/>
      </c>
    </row>
    <row r="1132">
      <c r="A1132" s="6" t="n"/>
      <c r="B1132" s="113">
        <f>IF($D1132="","","T"&amp;TEXT(ROW()-6,"00000"))</f>
        <v/>
      </c>
      <c r="C1132" s="113">
        <f>IF($D1132="","",IFERROR(INDEX(MUSTERILER!$B$7:$B$106,MATCH($R1132,MUSTERILER!$T$7:$T$106,0)),IFERROR(INDEX(MUSTERILER!$B$7:$B$106,MATCH($D1132,MUSTERILER!$B$7:$B$106,0)),IFERROR(INDEX(MUSTERILER!$B$7:$B$106,MATCH($R1132&amp;"*",MUSTERILER!$T$7:$T$106,0)),"TANIMSIZ MÜŞTERİ"))))</f>
        <v/>
      </c>
      <c r="D1132" s="109" t="n"/>
      <c r="E1132" s="220" t="n"/>
      <c r="F1132" s="221" t="n"/>
      <c r="G1132" s="108" t="n"/>
      <c r="H1132" s="108" t="n"/>
      <c r="I1132" s="109" t="n"/>
      <c r="J1132" s="109" t="n"/>
      <c r="K1132" s="109" t="n"/>
      <c r="L1132" s="226">
        <f>IF($E1132="","",DATE(YEAR($E1132),MONTH($E1132),1))</f>
        <v/>
      </c>
      <c r="M1132" s="113">
        <f>IF($D1132="","",IF($C1132="TANIMSIZ MÜŞTERİ","HATA",IF(OR($E1132="",$F1132&lt;=0,$G1132=""),"EKSİK",IF($E1132&gt;TODAY(),"İLERİ TARİH",IF(COUNTIF($S$7:$S$1506,$S1132)&gt;1,"MÜKERRER?",IF($T1132&gt;0,"KAPALI DÖNEM","UYGUN"))))))</f>
        <v/>
      </c>
      <c r="N1132" s="121">
        <f>IF($C1132="","",IF($C1132="TANIMSIZ MÜŞTERİ","—",INDEX(MUSTERILER!$C$7:$C$106,MATCH($C1132,MUSTERILER!$B$7:$B$106,0))))</f>
        <v/>
      </c>
      <c r="O1132" s="6" t="n"/>
      <c r="P1132" s="6" t="n"/>
      <c r="Q1132" s="3">
        <f>IF($D1132="","",$C1132&amp;"|"&amp;COUNTIFS($C$7:$C1132,$C1132))</f>
        <v/>
      </c>
      <c r="R1132" s="3">
        <f>IF($D1132="","",UPPER(SUBSTITUTE(SUBSTITUTE(SUBSTITUTE(SUBSTITUTE(SUBSTITUTE(SUBSTITUTE(SUBSTITUTE(SUBSTITUTE(SUBSTITUTE(SUBSTITUTE(SUBSTITUTE(SUBSTITUTE(SUBSTITUTE(SUBSTITUTE(SUBSTITUTE(SUBSTITUTE(SUBSTITUTE(SUBSTITUTE(TRIM($D1132),"'",""),"İ","I"),"ı","I"),"i","I"),"Ş","S"),"ş","S"),"Ğ","G"),"ğ","G"),"Ü","U"),"ü","U"),"Ö","O"),"ö","O"),"Ç","C"),"ç","C"),".",""),",","")," ",""),"-","")))</f>
        <v/>
      </c>
      <c r="S1132" s="3">
        <f>IF($D1132="","",$C1132&amp;"|"&amp;TEXT($E1132,"0")&amp;"|"&amp;TEXT($F1132,"0")&amp;"|"&amp;$I1132)</f>
        <v/>
      </c>
      <c r="T1132" s="3">
        <f>IF($E1132="",0,SUMPRODUCT((AY_SONU!$O$7:$O$42="Evet")*(AY_SONU!$B$7:$B$42=DATE(YEAR($E1132),MONTH($E1132),1))))</f>
        <v/>
      </c>
    </row>
    <row r="1133">
      <c r="A1133" s="6" t="n"/>
      <c r="B1133" s="113">
        <f>IF($D1133="","","T"&amp;TEXT(ROW()-6,"00000"))</f>
        <v/>
      </c>
      <c r="C1133" s="113">
        <f>IF($D1133="","",IFERROR(INDEX(MUSTERILER!$B$7:$B$106,MATCH($R1133,MUSTERILER!$T$7:$T$106,0)),IFERROR(INDEX(MUSTERILER!$B$7:$B$106,MATCH($D1133,MUSTERILER!$B$7:$B$106,0)),IFERROR(INDEX(MUSTERILER!$B$7:$B$106,MATCH($R1133&amp;"*",MUSTERILER!$T$7:$T$106,0)),"TANIMSIZ MÜŞTERİ"))))</f>
        <v/>
      </c>
      <c r="D1133" s="109" t="n"/>
      <c r="E1133" s="220" t="n"/>
      <c r="F1133" s="221" t="n"/>
      <c r="G1133" s="108" t="n"/>
      <c r="H1133" s="108" t="n"/>
      <c r="I1133" s="109" t="n"/>
      <c r="J1133" s="109" t="n"/>
      <c r="K1133" s="109" t="n"/>
      <c r="L1133" s="226">
        <f>IF($E1133="","",DATE(YEAR($E1133),MONTH($E1133),1))</f>
        <v/>
      </c>
      <c r="M1133" s="113">
        <f>IF($D1133="","",IF($C1133="TANIMSIZ MÜŞTERİ","HATA",IF(OR($E1133="",$F1133&lt;=0,$G1133=""),"EKSİK",IF($E1133&gt;TODAY(),"İLERİ TARİH",IF(COUNTIF($S$7:$S$1506,$S1133)&gt;1,"MÜKERRER?",IF($T1133&gt;0,"KAPALI DÖNEM","UYGUN"))))))</f>
        <v/>
      </c>
      <c r="N1133" s="121">
        <f>IF($C1133="","",IF($C1133="TANIMSIZ MÜŞTERİ","—",INDEX(MUSTERILER!$C$7:$C$106,MATCH($C1133,MUSTERILER!$B$7:$B$106,0))))</f>
        <v/>
      </c>
      <c r="O1133" s="6" t="n"/>
      <c r="P1133" s="6" t="n"/>
      <c r="Q1133" s="3">
        <f>IF($D1133="","",$C1133&amp;"|"&amp;COUNTIFS($C$7:$C1133,$C1133))</f>
        <v/>
      </c>
      <c r="R1133" s="3">
        <f>IF($D1133="","",UPPER(SUBSTITUTE(SUBSTITUTE(SUBSTITUTE(SUBSTITUTE(SUBSTITUTE(SUBSTITUTE(SUBSTITUTE(SUBSTITUTE(SUBSTITUTE(SUBSTITUTE(SUBSTITUTE(SUBSTITUTE(SUBSTITUTE(SUBSTITUTE(SUBSTITUTE(SUBSTITUTE(SUBSTITUTE(SUBSTITUTE(TRIM($D1133),"'",""),"İ","I"),"ı","I"),"i","I"),"Ş","S"),"ş","S"),"Ğ","G"),"ğ","G"),"Ü","U"),"ü","U"),"Ö","O"),"ö","O"),"Ç","C"),"ç","C"),".",""),",","")," ",""),"-","")))</f>
        <v/>
      </c>
      <c r="S1133" s="3">
        <f>IF($D1133="","",$C1133&amp;"|"&amp;TEXT($E1133,"0")&amp;"|"&amp;TEXT($F1133,"0")&amp;"|"&amp;$I1133)</f>
        <v/>
      </c>
      <c r="T1133" s="3">
        <f>IF($E1133="",0,SUMPRODUCT((AY_SONU!$O$7:$O$42="Evet")*(AY_SONU!$B$7:$B$42=DATE(YEAR($E1133),MONTH($E1133),1))))</f>
        <v/>
      </c>
    </row>
    <row r="1134">
      <c r="A1134" s="6" t="n"/>
      <c r="B1134" s="113">
        <f>IF($D1134="","","T"&amp;TEXT(ROW()-6,"00000"))</f>
        <v/>
      </c>
      <c r="C1134" s="113">
        <f>IF($D1134="","",IFERROR(INDEX(MUSTERILER!$B$7:$B$106,MATCH($R1134,MUSTERILER!$T$7:$T$106,0)),IFERROR(INDEX(MUSTERILER!$B$7:$B$106,MATCH($D1134,MUSTERILER!$B$7:$B$106,0)),IFERROR(INDEX(MUSTERILER!$B$7:$B$106,MATCH($R1134&amp;"*",MUSTERILER!$T$7:$T$106,0)),"TANIMSIZ MÜŞTERİ"))))</f>
        <v/>
      </c>
      <c r="D1134" s="109" t="n"/>
      <c r="E1134" s="220" t="n"/>
      <c r="F1134" s="221" t="n"/>
      <c r="G1134" s="108" t="n"/>
      <c r="H1134" s="108" t="n"/>
      <c r="I1134" s="109" t="n"/>
      <c r="J1134" s="109" t="n"/>
      <c r="K1134" s="109" t="n"/>
      <c r="L1134" s="226">
        <f>IF($E1134="","",DATE(YEAR($E1134),MONTH($E1134),1))</f>
        <v/>
      </c>
      <c r="M1134" s="113">
        <f>IF($D1134="","",IF($C1134="TANIMSIZ MÜŞTERİ","HATA",IF(OR($E1134="",$F1134&lt;=0,$G1134=""),"EKSİK",IF($E1134&gt;TODAY(),"İLERİ TARİH",IF(COUNTIF($S$7:$S$1506,$S1134)&gt;1,"MÜKERRER?",IF($T1134&gt;0,"KAPALI DÖNEM","UYGUN"))))))</f>
        <v/>
      </c>
      <c r="N1134" s="121">
        <f>IF($C1134="","",IF($C1134="TANIMSIZ MÜŞTERİ","—",INDEX(MUSTERILER!$C$7:$C$106,MATCH($C1134,MUSTERILER!$B$7:$B$106,0))))</f>
        <v/>
      </c>
      <c r="O1134" s="6" t="n"/>
      <c r="P1134" s="6" t="n"/>
      <c r="Q1134" s="3">
        <f>IF($D1134="","",$C1134&amp;"|"&amp;COUNTIFS($C$7:$C1134,$C1134))</f>
        <v/>
      </c>
      <c r="R1134" s="3">
        <f>IF($D1134="","",UPPER(SUBSTITUTE(SUBSTITUTE(SUBSTITUTE(SUBSTITUTE(SUBSTITUTE(SUBSTITUTE(SUBSTITUTE(SUBSTITUTE(SUBSTITUTE(SUBSTITUTE(SUBSTITUTE(SUBSTITUTE(SUBSTITUTE(SUBSTITUTE(SUBSTITUTE(SUBSTITUTE(SUBSTITUTE(SUBSTITUTE(TRIM($D1134),"'",""),"İ","I"),"ı","I"),"i","I"),"Ş","S"),"ş","S"),"Ğ","G"),"ğ","G"),"Ü","U"),"ü","U"),"Ö","O"),"ö","O"),"Ç","C"),"ç","C"),".",""),",","")," ",""),"-","")))</f>
        <v/>
      </c>
      <c r="S1134" s="3">
        <f>IF($D1134="","",$C1134&amp;"|"&amp;TEXT($E1134,"0")&amp;"|"&amp;TEXT($F1134,"0")&amp;"|"&amp;$I1134)</f>
        <v/>
      </c>
      <c r="T1134" s="3">
        <f>IF($E1134="",0,SUMPRODUCT((AY_SONU!$O$7:$O$42="Evet")*(AY_SONU!$B$7:$B$42=DATE(YEAR($E1134),MONTH($E1134),1))))</f>
        <v/>
      </c>
    </row>
    <row r="1135">
      <c r="A1135" s="6" t="n"/>
      <c r="B1135" s="113">
        <f>IF($D1135="","","T"&amp;TEXT(ROW()-6,"00000"))</f>
        <v/>
      </c>
      <c r="C1135" s="113">
        <f>IF($D1135="","",IFERROR(INDEX(MUSTERILER!$B$7:$B$106,MATCH($R1135,MUSTERILER!$T$7:$T$106,0)),IFERROR(INDEX(MUSTERILER!$B$7:$B$106,MATCH($D1135,MUSTERILER!$B$7:$B$106,0)),IFERROR(INDEX(MUSTERILER!$B$7:$B$106,MATCH($R1135&amp;"*",MUSTERILER!$T$7:$T$106,0)),"TANIMSIZ MÜŞTERİ"))))</f>
        <v/>
      </c>
      <c r="D1135" s="109" t="n"/>
      <c r="E1135" s="220" t="n"/>
      <c r="F1135" s="221" t="n"/>
      <c r="G1135" s="108" t="n"/>
      <c r="H1135" s="108" t="n"/>
      <c r="I1135" s="109" t="n"/>
      <c r="J1135" s="109" t="n"/>
      <c r="K1135" s="109" t="n"/>
      <c r="L1135" s="226">
        <f>IF($E1135="","",DATE(YEAR($E1135),MONTH($E1135),1))</f>
        <v/>
      </c>
      <c r="M1135" s="113">
        <f>IF($D1135="","",IF($C1135="TANIMSIZ MÜŞTERİ","HATA",IF(OR($E1135="",$F1135&lt;=0,$G1135=""),"EKSİK",IF($E1135&gt;TODAY(),"İLERİ TARİH",IF(COUNTIF($S$7:$S$1506,$S1135)&gt;1,"MÜKERRER?",IF($T1135&gt;0,"KAPALI DÖNEM","UYGUN"))))))</f>
        <v/>
      </c>
      <c r="N1135" s="121">
        <f>IF($C1135="","",IF($C1135="TANIMSIZ MÜŞTERİ","—",INDEX(MUSTERILER!$C$7:$C$106,MATCH($C1135,MUSTERILER!$B$7:$B$106,0))))</f>
        <v/>
      </c>
      <c r="O1135" s="6" t="n"/>
      <c r="P1135" s="6" t="n"/>
      <c r="Q1135" s="3">
        <f>IF($D1135="","",$C1135&amp;"|"&amp;COUNTIFS($C$7:$C1135,$C1135))</f>
        <v/>
      </c>
      <c r="R1135" s="3">
        <f>IF($D1135="","",UPPER(SUBSTITUTE(SUBSTITUTE(SUBSTITUTE(SUBSTITUTE(SUBSTITUTE(SUBSTITUTE(SUBSTITUTE(SUBSTITUTE(SUBSTITUTE(SUBSTITUTE(SUBSTITUTE(SUBSTITUTE(SUBSTITUTE(SUBSTITUTE(SUBSTITUTE(SUBSTITUTE(SUBSTITUTE(SUBSTITUTE(TRIM($D1135),"'",""),"İ","I"),"ı","I"),"i","I"),"Ş","S"),"ş","S"),"Ğ","G"),"ğ","G"),"Ü","U"),"ü","U"),"Ö","O"),"ö","O"),"Ç","C"),"ç","C"),".",""),",","")," ",""),"-","")))</f>
        <v/>
      </c>
      <c r="S1135" s="3">
        <f>IF($D1135="","",$C1135&amp;"|"&amp;TEXT($E1135,"0")&amp;"|"&amp;TEXT($F1135,"0")&amp;"|"&amp;$I1135)</f>
        <v/>
      </c>
      <c r="T1135" s="3">
        <f>IF($E1135="",0,SUMPRODUCT((AY_SONU!$O$7:$O$42="Evet")*(AY_SONU!$B$7:$B$42=DATE(YEAR($E1135),MONTH($E1135),1))))</f>
        <v/>
      </c>
    </row>
    <row r="1136">
      <c r="A1136" s="6" t="n"/>
      <c r="B1136" s="113">
        <f>IF($D1136="","","T"&amp;TEXT(ROW()-6,"00000"))</f>
        <v/>
      </c>
      <c r="C1136" s="113">
        <f>IF($D1136="","",IFERROR(INDEX(MUSTERILER!$B$7:$B$106,MATCH($R1136,MUSTERILER!$T$7:$T$106,0)),IFERROR(INDEX(MUSTERILER!$B$7:$B$106,MATCH($D1136,MUSTERILER!$B$7:$B$106,0)),IFERROR(INDEX(MUSTERILER!$B$7:$B$106,MATCH($R1136&amp;"*",MUSTERILER!$T$7:$T$106,0)),"TANIMSIZ MÜŞTERİ"))))</f>
        <v/>
      </c>
      <c r="D1136" s="109" t="n"/>
      <c r="E1136" s="220" t="n"/>
      <c r="F1136" s="221" t="n"/>
      <c r="G1136" s="108" t="n"/>
      <c r="H1136" s="108" t="n"/>
      <c r="I1136" s="109" t="n"/>
      <c r="J1136" s="109" t="n"/>
      <c r="K1136" s="109" t="n"/>
      <c r="L1136" s="226">
        <f>IF($E1136="","",DATE(YEAR($E1136),MONTH($E1136),1))</f>
        <v/>
      </c>
      <c r="M1136" s="113">
        <f>IF($D1136="","",IF($C1136="TANIMSIZ MÜŞTERİ","HATA",IF(OR($E1136="",$F1136&lt;=0,$G1136=""),"EKSİK",IF($E1136&gt;TODAY(),"İLERİ TARİH",IF(COUNTIF($S$7:$S$1506,$S1136)&gt;1,"MÜKERRER?",IF($T1136&gt;0,"KAPALI DÖNEM","UYGUN"))))))</f>
        <v/>
      </c>
      <c r="N1136" s="121">
        <f>IF($C1136="","",IF($C1136="TANIMSIZ MÜŞTERİ","—",INDEX(MUSTERILER!$C$7:$C$106,MATCH($C1136,MUSTERILER!$B$7:$B$106,0))))</f>
        <v/>
      </c>
      <c r="O1136" s="6" t="n"/>
      <c r="P1136" s="6" t="n"/>
      <c r="Q1136" s="3">
        <f>IF($D1136="","",$C1136&amp;"|"&amp;COUNTIFS($C$7:$C1136,$C1136))</f>
        <v/>
      </c>
      <c r="R1136" s="3">
        <f>IF($D1136="","",UPPER(SUBSTITUTE(SUBSTITUTE(SUBSTITUTE(SUBSTITUTE(SUBSTITUTE(SUBSTITUTE(SUBSTITUTE(SUBSTITUTE(SUBSTITUTE(SUBSTITUTE(SUBSTITUTE(SUBSTITUTE(SUBSTITUTE(SUBSTITUTE(SUBSTITUTE(SUBSTITUTE(SUBSTITUTE(SUBSTITUTE(TRIM($D1136),"'",""),"İ","I"),"ı","I"),"i","I"),"Ş","S"),"ş","S"),"Ğ","G"),"ğ","G"),"Ü","U"),"ü","U"),"Ö","O"),"ö","O"),"Ç","C"),"ç","C"),".",""),",","")," ",""),"-","")))</f>
        <v/>
      </c>
      <c r="S1136" s="3">
        <f>IF($D1136="","",$C1136&amp;"|"&amp;TEXT($E1136,"0")&amp;"|"&amp;TEXT($F1136,"0")&amp;"|"&amp;$I1136)</f>
        <v/>
      </c>
      <c r="T1136" s="3">
        <f>IF($E1136="",0,SUMPRODUCT((AY_SONU!$O$7:$O$42="Evet")*(AY_SONU!$B$7:$B$42=DATE(YEAR($E1136),MONTH($E1136),1))))</f>
        <v/>
      </c>
    </row>
    <row r="1137">
      <c r="A1137" s="6" t="n"/>
      <c r="B1137" s="113">
        <f>IF($D1137="","","T"&amp;TEXT(ROW()-6,"00000"))</f>
        <v/>
      </c>
      <c r="C1137" s="113">
        <f>IF($D1137="","",IFERROR(INDEX(MUSTERILER!$B$7:$B$106,MATCH($R1137,MUSTERILER!$T$7:$T$106,0)),IFERROR(INDEX(MUSTERILER!$B$7:$B$106,MATCH($D1137,MUSTERILER!$B$7:$B$106,0)),IFERROR(INDEX(MUSTERILER!$B$7:$B$106,MATCH($R1137&amp;"*",MUSTERILER!$T$7:$T$106,0)),"TANIMSIZ MÜŞTERİ"))))</f>
        <v/>
      </c>
      <c r="D1137" s="109" t="n"/>
      <c r="E1137" s="220" t="n"/>
      <c r="F1137" s="221" t="n"/>
      <c r="G1137" s="108" t="n"/>
      <c r="H1137" s="108" t="n"/>
      <c r="I1137" s="109" t="n"/>
      <c r="J1137" s="109" t="n"/>
      <c r="K1137" s="109" t="n"/>
      <c r="L1137" s="226">
        <f>IF($E1137="","",DATE(YEAR($E1137),MONTH($E1137),1))</f>
        <v/>
      </c>
      <c r="M1137" s="113">
        <f>IF($D1137="","",IF($C1137="TANIMSIZ MÜŞTERİ","HATA",IF(OR($E1137="",$F1137&lt;=0,$G1137=""),"EKSİK",IF($E1137&gt;TODAY(),"İLERİ TARİH",IF(COUNTIF($S$7:$S$1506,$S1137)&gt;1,"MÜKERRER?",IF($T1137&gt;0,"KAPALI DÖNEM","UYGUN"))))))</f>
        <v/>
      </c>
      <c r="N1137" s="121">
        <f>IF($C1137="","",IF($C1137="TANIMSIZ MÜŞTERİ","—",INDEX(MUSTERILER!$C$7:$C$106,MATCH($C1137,MUSTERILER!$B$7:$B$106,0))))</f>
        <v/>
      </c>
      <c r="O1137" s="6" t="n"/>
      <c r="P1137" s="6" t="n"/>
      <c r="Q1137" s="3">
        <f>IF($D1137="","",$C1137&amp;"|"&amp;COUNTIFS($C$7:$C1137,$C1137))</f>
        <v/>
      </c>
      <c r="R1137" s="3">
        <f>IF($D1137="","",UPPER(SUBSTITUTE(SUBSTITUTE(SUBSTITUTE(SUBSTITUTE(SUBSTITUTE(SUBSTITUTE(SUBSTITUTE(SUBSTITUTE(SUBSTITUTE(SUBSTITUTE(SUBSTITUTE(SUBSTITUTE(SUBSTITUTE(SUBSTITUTE(SUBSTITUTE(SUBSTITUTE(SUBSTITUTE(SUBSTITUTE(TRIM($D1137),"'",""),"İ","I"),"ı","I"),"i","I"),"Ş","S"),"ş","S"),"Ğ","G"),"ğ","G"),"Ü","U"),"ü","U"),"Ö","O"),"ö","O"),"Ç","C"),"ç","C"),".",""),",","")," ",""),"-","")))</f>
        <v/>
      </c>
      <c r="S1137" s="3">
        <f>IF($D1137="","",$C1137&amp;"|"&amp;TEXT($E1137,"0")&amp;"|"&amp;TEXT($F1137,"0")&amp;"|"&amp;$I1137)</f>
        <v/>
      </c>
      <c r="T1137" s="3">
        <f>IF($E1137="",0,SUMPRODUCT((AY_SONU!$O$7:$O$42="Evet")*(AY_SONU!$B$7:$B$42=DATE(YEAR($E1137),MONTH($E1137),1))))</f>
        <v/>
      </c>
    </row>
    <row r="1138">
      <c r="A1138" s="6" t="n"/>
      <c r="B1138" s="113">
        <f>IF($D1138="","","T"&amp;TEXT(ROW()-6,"00000"))</f>
        <v/>
      </c>
      <c r="C1138" s="113">
        <f>IF($D1138="","",IFERROR(INDEX(MUSTERILER!$B$7:$B$106,MATCH($R1138,MUSTERILER!$T$7:$T$106,0)),IFERROR(INDEX(MUSTERILER!$B$7:$B$106,MATCH($D1138,MUSTERILER!$B$7:$B$106,0)),IFERROR(INDEX(MUSTERILER!$B$7:$B$106,MATCH($R1138&amp;"*",MUSTERILER!$T$7:$T$106,0)),"TANIMSIZ MÜŞTERİ"))))</f>
        <v/>
      </c>
      <c r="D1138" s="109" t="n"/>
      <c r="E1138" s="220" t="n"/>
      <c r="F1138" s="221" t="n"/>
      <c r="G1138" s="108" t="n"/>
      <c r="H1138" s="108" t="n"/>
      <c r="I1138" s="109" t="n"/>
      <c r="J1138" s="109" t="n"/>
      <c r="K1138" s="109" t="n"/>
      <c r="L1138" s="226">
        <f>IF($E1138="","",DATE(YEAR($E1138),MONTH($E1138),1))</f>
        <v/>
      </c>
      <c r="M1138" s="113">
        <f>IF($D1138="","",IF($C1138="TANIMSIZ MÜŞTERİ","HATA",IF(OR($E1138="",$F1138&lt;=0,$G1138=""),"EKSİK",IF($E1138&gt;TODAY(),"İLERİ TARİH",IF(COUNTIF($S$7:$S$1506,$S1138)&gt;1,"MÜKERRER?",IF($T1138&gt;0,"KAPALI DÖNEM","UYGUN"))))))</f>
        <v/>
      </c>
      <c r="N1138" s="121">
        <f>IF($C1138="","",IF($C1138="TANIMSIZ MÜŞTERİ","—",INDEX(MUSTERILER!$C$7:$C$106,MATCH($C1138,MUSTERILER!$B$7:$B$106,0))))</f>
        <v/>
      </c>
      <c r="O1138" s="6" t="n"/>
      <c r="P1138" s="6" t="n"/>
      <c r="Q1138" s="3">
        <f>IF($D1138="","",$C1138&amp;"|"&amp;COUNTIFS($C$7:$C1138,$C1138))</f>
        <v/>
      </c>
      <c r="R1138" s="3">
        <f>IF($D1138="","",UPPER(SUBSTITUTE(SUBSTITUTE(SUBSTITUTE(SUBSTITUTE(SUBSTITUTE(SUBSTITUTE(SUBSTITUTE(SUBSTITUTE(SUBSTITUTE(SUBSTITUTE(SUBSTITUTE(SUBSTITUTE(SUBSTITUTE(SUBSTITUTE(SUBSTITUTE(SUBSTITUTE(SUBSTITUTE(SUBSTITUTE(TRIM($D1138),"'",""),"İ","I"),"ı","I"),"i","I"),"Ş","S"),"ş","S"),"Ğ","G"),"ğ","G"),"Ü","U"),"ü","U"),"Ö","O"),"ö","O"),"Ç","C"),"ç","C"),".",""),",","")," ",""),"-","")))</f>
        <v/>
      </c>
      <c r="S1138" s="3">
        <f>IF($D1138="","",$C1138&amp;"|"&amp;TEXT($E1138,"0")&amp;"|"&amp;TEXT($F1138,"0")&amp;"|"&amp;$I1138)</f>
        <v/>
      </c>
      <c r="T1138" s="3">
        <f>IF($E1138="",0,SUMPRODUCT((AY_SONU!$O$7:$O$42="Evet")*(AY_SONU!$B$7:$B$42=DATE(YEAR($E1138),MONTH($E1138),1))))</f>
        <v/>
      </c>
    </row>
    <row r="1139">
      <c r="A1139" s="6" t="n"/>
      <c r="B1139" s="113">
        <f>IF($D1139="","","T"&amp;TEXT(ROW()-6,"00000"))</f>
        <v/>
      </c>
      <c r="C1139" s="113">
        <f>IF($D1139="","",IFERROR(INDEX(MUSTERILER!$B$7:$B$106,MATCH($R1139,MUSTERILER!$T$7:$T$106,0)),IFERROR(INDEX(MUSTERILER!$B$7:$B$106,MATCH($D1139,MUSTERILER!$B$7:$B$106,0)),IFERROR(INDEX(MUSTERILER!$B$7:$B$106,MATCH($R1139&amp;"*",MUSTERILER!$T$7:$T$106,0)),"TANIMSIZ MÜŞTERİ"))))</f>
        <v/>
      </c>
      <c r="D1139" s="109" t="n"/>
      <c r="E1139" s="220" t="n"/>
      <c r="F1139" s="221" t="n"/>
      <c r="G1139" s="108" t="n"/>
      <c r="H1139" s="108" t="n"/>
      <c r="I1139" s="109" t="n"/>
      <c r="J1139" s="109" t="n"/>
      <c r="K1139" s="109" t="n"/>
      <c r="L1139" s="226">
        <f>IF($E1139="","",DATE(YEAR($E1139),MONTH($E1139),1))</f>
        <v/>
      </c>
      <c r="M1139" s="113">
        <f>IF($D1139="","",IF($C1139="TANIMSIZ MÜŞTERİ","HATA",IF(OR($E1139="",$F1139&lt;=0,$G1139=""),"EKSİK",IF($E1139&gt;TODAY(),"İLERİ TARİH",IF(COUNTIF($S$7:$S$1506,$S1139)&gt;1,"MÜKERRER?",IF($T1139&gt;0,"KAPALI DÖNEM","UYGUN"))))))</f>
        <v/>
      </c>
      <c r="N1139" s="121">
        <f>IF($C1139="","",IF($C1139="TANIMSIZ MÜŞTERİ","—",INDEX(MUSTERILER!$C$7:$C$106,MATCH($C1139,MUSTERILER!$B$7:$B$106,0))))</f>
        <v/>
      </c>
      <c r="O1139" s="6" t="n"/>
      <c r="P1139" s="6" t="n"/>
      <c r="Q1139" s="3">
        <f>IF($D1139="","",$C1139&amp;"|"&amp;COUNTIFS($C$7:$C1139,$C1139))</f>
        <v/>
      </c>
      <c r="R1139" s="3">
        <f>IF($D1139="","",UPPER(SUBSTITUTE(SUBSTITUTE(SUBSTITUTE(SUBSTITUTE(SUBSTITUTE(SUBSTITUTE(SUBSTITUTE(SUBSTITUTE(SUBSTITUTE(SUBSTITUTE(SUBSTITUTE(SUBSTITUTE(SUBSTITUTE(SUBSTITUTE(SUBSTITUTE(SUBSTITUTE(SUBSTITUTE(SUBSTITUTE(TRIM($D1139),"'",""),"İ","I"),"ı","I"),"i","I"),"Ş","S"),"ş","S"),"Ğ","G"),"ğ","G"),"Ü","U"),"ü","U"),"Ö","O"),"ö","O"),"Ç","C"),"ç","C"),".",""),",","")," ",""),"-","")))</f>
        <v/>
      </c>
      <c r="S1139" s="3">
        <f>IF($D1139="","",$C1139&amp;"|"&amp;TEXT($E1139,"0")&amp;"|"&amp;TEXT($F1139,"0")&amp;"|"&amp;$I1139)</f>
        <v/>
      </c>
      <c r="T1139" s="3">
        <f>IF($E1139="",0,SUMPRODUCT((AY_SONU!$O$7:$O$42="Evet")*(AY_SONU!$B$7:$B$42=DATE(YEAR($E1139),MONTH($E1139),1))))</f>
        <v/>
      </c>
    </row>
    <row r="1140">
      <c r="A1140" s="6" t="n"/>
      <c r="B1140" s="113">
        <f>IF($D1140="","","T"&amp;TEXT(ROW()-6,"00000"))</f>
        <v/>
      </c>
      <c r="C1140" s="113">
        <f>IF($D1140="","",IFERROR(INDEX(MUSTERILER!$B$7:$B$106,MATCH($R1140,MUSTERILER!$T$7:$T$106,0)),IFERROR(INDEX(MUSTERILER!$B$7:$B$106,MATCH($D1140,MUSTERILER!$B$7:$B$106,0)),IFERROR(INDEX(MUSTERILER!$B$7:$B$106,MATCH($R1140&amp;"*",MUSTERILER!$T$7:$T$106,0)),"TANIMSIZ MÜŞTERİ"))))</f>
        <v/>
      </c>
      <c r="D1140" s="109" t="n"/>
      <c r="E1140" s="220" t="n"/>
      <c r="F1140" s="221" t="n"/>
      <c r="G1140" s="108" t="n"/>
      <c r="H1140" s="108" t="n"/>
      <c r="I1140" s="109" t="n"/>
      <c r="J1140" s="109" t="n"/>
      <c r="K1140" s="109" t="n"/>
      <c r="L1140" s="226">
        <f>IF($E1140="","",DATE(YEAR($E1140),MONTH($E1140),1))</f>
        <v/>
      </c>
      <c r="M1140" s="113">
        <f>IF($D1140="","",IF($C1140="TANIMSIZ MÜŞTERİ","HATA",IF(OR($E1140="",$F1140&lt;=0,$G1140=""),"EKSİK",IF($E1140&gt;TODAY(),"İLERİ TARİH",IF(COUNTIF($S$7:$S$1506,$S1140)&gt;1,"MÜKERRER?",IF($T1140&gt;0,"KAPALI DÖNEM","UYGUN"))))))</f>
        <v/>
      </c>
      <c r="N1140" s="121">
        <f>IF($C1140="","",IF($C1140="TANIMSIZ MÜŞTERİ","—",INDEX(MUSTERILER!$C$7:$C$106,MATCH($C1140,MUSTERILER!$B$7:$B$106,0))))</f>
        <v/>
      </c>
      <c r="O1140" s="6" t="n"/>
      <c r="P1140" s="6" t="n"/>
      <c r="Q1140" s="3">
        <f>IF($D1140="","",$C1140&amp;"|"&amp;COUNTIFS($C$7:$C1140,$C1140))</f>
        <v/>
      </c>
      <c r="R1140" s="3">
        <f>IF($D1140="","",UPPER(SUBSTITUTE(SUBSTITUTE(SUBSTITUTE(SUBSTITUTE(SUBSTITUTE(SUBSTITUTE(SUBSTITUTE(SUBSTITUTE(SUBSTITUTE(SUBSTITUTE(SUBSTITUTE(SUBSTITUTE(SUBSTITUTE(SUBSTITUTE(SUBSTITUTE(SUBSTITUTE(SUBSTITUTE(SUBSTITUTE(TRIM($D1140),"'",""),"İ","I"),"ı","I"),"i","I"),"Ş","S"),"ş","S"),"Ğ","G"),"ğ","G"),"Ü","U"),"ü","U"),"Ö","O"),"ö","O"),"Ç","C"),"ç","C"),".",""),",","")," ",""),"-","")))</f>
        <v/>
      </c>
      <c r="S1140" s="3">
        <f>IF($D1140="","",$C1140&amp;"|"&amp;TEXT($E1140,"0")&amp;"|"&amp;TEXT($F1140,"0")&amp;"|"&amp;$I1140)</f>
        <v/>
      </c>
      <c r="T1140" s="3">
        <f>IF($E1140="",0,SUMPRODUCT((AY_SONU!$O$7:$O$42="Evet")*(AY_SONU!$B$7:$B$42=DATE(YEAR($E1140),MONTH($E1140),1))))</f>
        <v/>
      </c>
    </row>
    <row r="1141">
      <c r="A1141" s="6" t="n"/>
      <c r="B1141" s="113">
        <f>IF($D1141="","","T"&amp;TEXT(ROW()-6,"00000"))</f>
        <v/>
      </c>
      <c r="C1141" s="113">
        <f>IF($D1141="","",IFERROR(INDEX(MUSTERILER!$B$7:$B$106,MATCH($R1141,MUSTERILER!$T$7:$T$106,0)),IFERROR(INDEX(MUSTERILER!$B$7:$B$106,MATCH($D1141,MUSTERILER!$B$7:$B$106,0)),IFERROR(INDEX(MUSTERILER!$B$7:$B$106,MATCH($R1141&amp;"*",MUSTERILER!$T$7:$T$106,0)),"TANIMSIZ MÜŞTERİ"))))</f>
        <v/>
      </c>
      <c r="D1141" s="109" t="n"/>
      <c r="E1141" s="220" t="n"/>
      <c r="F1141" s="221" t="n"/>
      <c r="G1141" s="108" t="n"/>
      <c r="H1141" s="108" t="n"/>
      <c r="I1141" s="109" t="n"/>
      <c r="J1141" s="109" t="n"/>
      <c r="K1141" s="109" t="n"/>
      <c r="L1141" s="226">
        <f>IF($E1141="","",DATE(YEAR($E1141),MONTH($E1141),1))</f>
        <v/>
      </c>
      <c r="M1141" s="113">
        <f>IF($D1141="","",IF($C1141="TANIMSIZ MÜŞTERİ","HATA",IF(OR($E1141="",$F1141&lt;=0,$G1141=""),"EKSİK",IF($E1141&gt;TODAY(),"İLERİ TARİH",IF(COUNTIF($S$7:$S$1506,$S1141)&gt;1,"MÜKERRER?",IF($T1141&gt;0,"KAPALI DÖNEM","UYGUN"))))))</f>
        <v/>
      </c>
      <c r="N1141" s="121">
        <f>IF($C1141="","",IF($C1141="TANIMSIZ MÜŞTERİ","—",INDEX(MUSTERILER!$C$7:$C$106,MATCH($C1141,MUSTERILER!$B$7:$B$106,0))))</f>
        <v/>
      </c>
      <c r="O1141" s="6" t="n"/>
      <c r="P1141" s="6" t="n"/>
      <c r="Q1141" s="3">
        <f>IF($D1141="","",$C1141&amp;"|"&amp;COUNTIFS($C$7:$C1141,$C1141))</f>
        <v/>
      </c>
      <c r="R1141" s="3">
        <f>IF($D1141="","",UPPER(SUBSTITUTE(SUBSTITUTE(SUBSTITUTE(SUBSTITUTE(SUBSTITUTE(SUBSTITUTE(SUBSTITUTE(SUBSTITUTE(SUBSTITUTE(SUBSTITUTE(SUBSTITUTE(SUBSTITUTE(SUBSTITUTE(SUBSTITUTE(SUBSTITUTE(SUBSTITUTE(SUBSTITUTE(SUBSTITUTE(TRIM($D1141),"'",""),"İ","I"),"ı","I"),"i","I"),"Ş","S"),"ş","S"),"Ğ","G"),"ğ","G"),"Ü","U"),"ü","U"),"Ö","O"),"ö","O"),"Ç","C"),"ç","C"),".",""),",","")," ",""),"-","")))</f>
        <v/>
      </c>
      <c r="S1141" s="3">
        <f>IF($D1141="","",$C1141&amp;"|"&amp;TEXT($E1141,"0")&amp;"|"&amp;TEXT($F1141,"0")&amp;"|"&amp;$I1141)</f>
        <v/>
      </c>
      <c r="T1141" s="3">
        <f>IF($E1141="",0,SUMPRODUCT((AY_SONU!$O$7:$O$42="Evet")*(AY_SONU!$B$7:$B$42=DATE(YEAR($E1141),MONTH($E1141),1))))</f>
        <v/>
      </c>
    </row>
    <row r="1142">
      <c r="A1142" s="6" t="n"/>
      <c r="B1142" s="113">
        <f>IF($D1142="","","T"&amp;TEXT(ROW()-6,"00000"))</f>
        <v/>
      </c>
      <c r="C1142" s="113">
        <f>IF($D1142="","",IFERROR(INDEX(MUSTERILER!$B$7:$B$106,MATCH($R1142,MUSTERILER!$T$7:$T$106,0)),IFERROR(INDEX(MUSTERILER!$B$7:$B$106,MATCH($D1142,MUSTERILER!$B$7:$B$106,0)),IFERROR(INDEX(MUSTERILER!$B$7:$B$106,MATCH($R1142&amp;"*",MUSTERILER!$T$7:$T$106,0)),"TANIMSIZ MÜŞTERİ"))))</f>
        <v/>
      </c>
      <c r="D1142" s="109" t="n"/>
      <c r="E1142" s="220" t="n"/>
      <c r="F1142" s="221" t="n"/>
      <c r="G1142" s="108" t="n"/>
      <c r="H1142" s="108" t="n"/>
      <c r="I1142" s="109" t="n"/>
      <c r="J1142" s="109" t="n"/>
      <c r="K1142" s="109" t="n"/>
      <c r="L1142" s="226">
        <f>IF($E1142="","",DATE(YEAR($E1142),MONTH($E1142),1))</f>
        <v/>
      </c>
      <c r="M1142" s="113">
        <f>IF($D1142="","",IF($C1142="TANIMSIZ MÜŞTERİ","HATA",IF(OR($E1142="",$F1142&lt;=0,$G1142=""),"EKSİK",IF($E1142&gt;TODAY(),"İLERİ TARİH",IF(COUNTIF($S$7:$S$1506,$S1142)&gt;1,"MÜKERRER?",IF($T1142&gt;0,"KAPALI DÖNEM","UYGUN"))))))</f>
        <v/>
      </c>
      <c r="N1142" s="121">
        <f>IF($C1142="","",IF($C1142="TANIMSIZ MÜŞTERİ","—",INDEX(MUSTERILER!$C$7:$C$106,MATCH($C1142,MUSTERILER!$B$7:$B$106,0))))</f>
        <v/>
      </c>
      <c r="O1142" s="6" t="n"/>
      <c r="P1142" s="6" t="n"/>
      <c r="Q1142" s="3">
        <f>IF($D1142="","",$C1142&amp;"|"&amp;COUNTIFS($C$7:$C1142,$C1142))</f>
        <v/>
      </c>
      <c r="R1142" s="3">
        <f>IF($D1142="","",UPPER(SUBSTITUTE(SUBSTITUTE(SUBSTITUTE(SUBSTITUTE(SUBSTITUTE(SUBSTITUTE(SUBSTITUTE(SUBSTITUTE(SUBSTITUTE(SUBSTITUTE(SUBSTITUTE(SUBSTITUTE(SUBSTITUTE(SUBSTITUTE(SUBSTITUTE(SUBSTITUTE(SUBSTITUTE(SUBSTITUTE(TRIM($D1142),"'",""),"İ","I"),"ı","I"),"i","I"),"Ş","S"),"ş","S"),"Ğ","G"),"ğ","G"),"Ü","U"),"ü","U"),"Ö","O"),"ö","O"),"Ç","C"),"ç","C"),".",""),",","")," ",""),"-","")))</f>
        <v/>
      </c>
      <c r="S1142" s="3">
        <f>IF($D1142="","",$C1142&amp;"|"&amp;TEXT($E1142,"0")&amp;"|"&amp;TEXT($F1142,"0")&amp;"|"&amp;$I1142)</f>
        <v/>
      </c>
      <c r="T1142" s="3">
        <f>IF($E1142="",0,SUMPRODUCT((AY_SONU!$O$7:$O$42="Evet")*(AY_SONU!$B$7:$B$42=DATE(YEAR($E1142),MONTH($E1142),1))))</f>
        <v/>
      </c>
    </row>
    <row r="1143">
      <c r="A1143" s="6" t="n"/>
      <c r="B1143" s="113">
        <f>IF($D1143="","","T"&amp;TEXT(ROW()-6,"00000"))</f>
        <v/>
      </c>
      <c r="C1143" s="113">
        <f>IF($D1143="","",IFERROR(INDEX(MUSTERILER!$B$7:$B$106,MATCH($R1143,MUSTERILER!$T$7:$T$106,0)),IFERROR(INDEX(MUSTERILER!$B$7:$B$106,MATCH($D1143,MUSTERILER!$B$7:$B$106,0)),IFERROR(INDEX(MUSTERILER!$B$7:$B$106,MATCH($R1143&amp;"*",MUSTERILER!$T$7:$T$106,0)),"TANIMSIZ MÜŞTERİ"))))</f>
        <v/>
      </c>
      <c r="D1143" s="109" t="n"/>
      <c r="E1143" s="220" t="n"/>
      <c r="F1143" s="221" t="n"/>
      <c r="G1143" s="108" t="n"/>
      <c r="H1143" s="108" t="n"/>
      <c r="I1143" s="109" t="n"/>
      <c r="J1143" s="109" t="n"/>
      <c r="K1143" s="109" t="n"/>
      <c r="L1143" s="226">
        <f>IF($E1143="","",DATE(YEAR($E1143),MONTH($E1143),1))</f>
        <v/>
      </c>
      <c r="M1143" s="113">
        <f>IF($D1143="","",IF($C1143="TANIMSIZ MÜŞTERİ","HATA",IF(OR($E1143="",$F1143&lt;=0,$G1143=""),"EKSİK",IF($E1143&gt;TODAY(),"İLERİ TARİH",IF(COUNTIF($S$7:$S$1506,$S1143)&gt;1,"MÜKERRER?",IF($T1143&gt;0,"KAPALI DÖNEM","UYGUN"))))))</f>
        <v/>
      </c>
      <c r="N1143" s="121">
        <f>IF($C1143="","",IF($C1143="TANIMSIZ MÜŞTERİ","—",INDEX(MUSTERILER!$C$7:$C$106,MATCH($C1143,MUSTERILER!$B$7:$B$106,0))))</f>
        <v/>
      </c>
      <c r="O1143" s="6" t="n"/>
      <c r="P1143" s="6" t="n"/>
      <c r="Q1143" s="3">
        <f>IF($D1143="","",$C1143&amp;"|"&amp;COUNTIFS($C$7:$C1143,$C1143))</f>
        <v/>
      </c>
      <c r="R1143" s="3">
        <f>IF($D1143="","",UPPER(SUBSTITUTE(SUBSTITUTE(SUBSTITUTE(SUBSTITUTE(SUBSTITUTE(SUBSTITUTE(SUBSTITUTE(SUBSTITUTE(SUBSTITUTE(SUBSTITUTE(SUBSTITUTE(SUBSTITUTE(SUBSTITUTE(SUBSTITUTE(SUBSTITUTE(SUBSTITUTE(SUBSTITUTE(SUBSTITUTE(TRIM($D1143),"'",""),"İ","I"),"ı","I"),"i","I"),"Ş","S"),"ş","S"),"Ğ","G"),"ğ","G"),"Ü","U"),"ü","U"),"Ö","O"),"ö","O"),"Ç","C"),"ç","C"),".",""),",","")," ",""),"-","")))</f>
        <v/>
      </c>
      <c r="S1143" s="3">
        <f>IF($D1143="","",$C1143&amp;"|"&amp;TEXT($E1143,"0")&amp;"|"&amp;TEXT($F1143,"0")&amp;"|"&amp;$I1143)</f>
        <v/>
      </c>
      <c r="T1143" s="3">
        <f>IF($E1143="",0,SUMPRODUCT((AY_SONU!$O$7:$O$42="Evet")*(AY_SONU!$B$7:$B$42=DATE(YEAR($E1143),MONTH($E1143),1))))</f>
        <v/>
      </c>
    </row>
    <row r="1144">
      <c r="A1144" s="6" t="n"/>
      <c r="B1144" s="113">
        <f>IF($D1144="","","T"&amp;TEXT(ROW()-6,"00000"))</f>
        <v/>
      </c>
      <c r="C1144" s="113">
        <f>IF($D1144="","",IFERROR(INDEX(MUSTERILER!$B$7:$B$106,MATCH($R1144,MUSTERILER!$T$7:$T$106,0)),IFERROR(INDEX(MUSTERILER!$B$7:$B$106,MATCH($D1144,MUSTERILER!$B$7:$B$106,0)),IFERROR(INDEX(MUSTERILER!$B$7:$B$106,MATCH($R1144&amp;"*",MUSTERILER!$T$7:$T$106,0)),"TANIMSIZ MÜŞTERİ"))))</f>
        <v/>
      </c>
      <c r="D1144" s="109" t="n"/>
      <c r="E1144" s="220" t="n"/>
      <c r="F1144" s="221" t="n"/>
      <c r="G1144" s="108" t="n"/>
      <c r="H1144" s="108" t="n"/>
      <c r="I1144" s="109" t="n"/>
      <c r="J1144" s="109" t="n"/>
      <c r="K1144" s="109" t="n"/>
      <c r="L1144" s="226">
        <f>IF($E1144="","",DATE(YEAR($E1144),MONTH($E1144),1))</f>
        <v/>
      </c>
      <c r="M1144" s="113">
        <f>IF($D1144="","",IF($C1144="TANIMSIZ MÜŞTERİ","HATA",IF(OR($E1144="",$F1144&lt;=0,$G1144=""),"EKSİK",IF($E1144&gt;TODAY(),"İLERİ TARİH",IF(COUNTIF($S$7:$S$1506,$S1144)&gt;1,"MÜKERRER?",IF($T1144&gt;0,"KAPALI DÖNEM","UYGUN"))))))</f>
        <v/>
      </c>
      <c r="N1144" s="121">
        <f>IF($C1144="","",IF($C1144="TANIMSIZ MÜŞTERİ","—",INDEX(MUSTERILER!$C$7:$C$106,MATCH($C1144,MUSTERILER!$B$7:$B$106,0))))</f>
        <v/>
      </c>
      <c r="O1144" s="6" t="n"/>
      <c r="P1144" s="6" t="n"/>
      <c r="Q1144" s="3">
        <f>IF($D1144="","",$C1144&amp;"|"&amp;COUNTIFS($C$7:$C1144,$C1144))</f>
        <v/>
      </c>
      <c r="R1144" s="3">
        <f>IF($D1144="","",UPPER(SUBSTITUTE(SUBSTITUTE(SUBSTITUTE(SUBSTITUTE(SUBSTITUTE(SUBSTITUTE(SUBSTITUTE(SUBSTITUTE(SUBSTITUTE(SUBSTITUTE(SUBSTITUTE(SUBSTITUTE(SUBSTITUTE(SUBSTITUTE(SUBSTITUTE(SUBSTITUTE(SUBSTITUTE(SUBSTITUTE(TRIM($D1144),"'",""),"İ","I"),"ı","I"),"i","I"),"Ş","S"),"ş","S"),"Ğ","G"),"ğ","G"),"Ü","U"),"ü","U"),"Ö","O"),"ö","O"),"Ç","C"),"ç","C"),".",""),",","")," ",""),"-","")))</f>
        <v/>
      </c>
      <c r="S1144" s="3">
        <f>IF($D1144="","",$C1144&amp;"|"&amp;TEXT($E1144,"0")&amp;"|"&amp;TEXT($F1144,"0")&amp;"|"&amp;$I1144)</f>
        <v/>
      </c>
      <c r="T1144" s="3">
        <f>IF($E1144="",0,SUMPRODUCT((AY_SONU!$O$7:$O$42="Evet")*(AY_SONU!$B$7:$B$42=DATE(YEAR($E1144),MONTH($E1144),1))))</f>
        <v/>
      </c>
    </row>
    <row r="1145">
      <c r="A1145" s="6" t="n"/>
      <c r="B1145" s="113">
        <f>IF($D1145="","","T"&amp;TEXT(ROW()-6,"00000"))</f>
        <v/>
      </c>
      <c r="C1145" s="113">
        <f>IF($D1145="","",IFERROR(INDEX(MUSTERILER!$B$7:$B$106,MATCH($R1145,MUSTERILER!$T$7:$T$106,0)),IFERROR(INDEX(MUSTERILER!$B$7:$B$106,MATCH($D1145,MUSTERILER!$B$7:$B$106,0)),IFERROR(INDEX(MUSTERILER!$B$7:$B$106,MATCH($R1145&amp;"*",MUSTERILER!$T$7:$T$106,0)),"TANIMSIZ MÜŞTERİ"))))</f>
        <v/>
      </c>
      <c r="D1145" s="109" t="n"/>
      <c r="E1145" s="220" t="n"/>
      <c r="F1145" s="221" t="n"/>
      <c r="G1145" s="108" t="n"/>
      <c r="H1145" s="108" t="n"/>
      <c r="I1145" s="109" t="n"/>
      <c r="J1145" s="109" t="n"/>
      <c r="K1145" s="109" t="n"/>
      <c r="L1145" s="226">
        <f>IF($E1145="","",DATE(YEAR($E1145),MONTH($E1145),1))</f>
        <v/>
      </c>
      <c r="M1145" s="113">
        <f>IF($D1145="","",IF($C1145="TANIMSIZ MÜŞTERİ","HATA",IF(OR($E1145="",$F1145&lt;=0,$G1145=""),"EKSİK",IF($E1145&gt;TODAY(),"İLERİ TARİH",IF(COUNTIF($S$7:$S$1506,$S1145)&gt;1,"MÜKERRER?",IF($T1145&gt;0,"KAPALI DÖNEM","UYGUN"))))))</f>
        <v/>
      </c>
      <c r="N1145" s="121">
        <f>IF($C1145="","",IF($C1145="TANIMSIZ MÜŞTERİ","—",INDEX(MUSTERILER!$C$7:$C$106,MATCH($C1145,MUSTERILER!$B$7:$B$106,0))))</f>
        <v/>
      </c>
      <c r="O1145" s="6" t="n"/>
      <c r="P1145" s="6" t="n"/>
      <c r="Q1145" s="3">
        <f>IF($D1145="","",$C1145&amp;"|"&amp;COUNTIFS($C$7:$C1145,$C1145))</f>
        <v/>
      </c>
      <c r="R1145" s="3">
        <f>IF($D1145="","",UPPER(SUBSTITUTE(SUBSTITUTE(SUBSTITUTE(SUBSTITUTE(SUBSTITUTE(SUBSTITUTE(SUBSTITUTE(SUBSTITUTE(SUBSTITUTE(SUBSTITUTE(SUBSTITUTE(SUBSTITUTE(SUBSTITUTE(SUBSTITUTE(SUBSTITUTE(SUBSTITUTE(SUBSTITUTE(SUBSTITUTE(TRIM($D1145),"'",""),"İ","I"),"ı","I"),"i","I"),"Ş","S"),"ş","S"),"Ğ","G"),"ğ","G"),"Ü","U"),"ü","U"),"Ö","O"),"ö","O"),"Ç","C"),"ç","C"),".",""),",","")," ",""),"-","")))</f>
        <v/>
      </c>
      <c r="S1145" s="3">
        <f>IF($D1145="","",$C1145&amp;"|"&amp;TEXT($E1145,"0")&amp;"|"&amp;TEXT($F1145,"0")&amp;"|"&amp;$I1145)</f>
        <v/>
      </c>
      <c r="T1145" s="3">
        <f>IF($E1145="",0,SUMPRODUCT((AY_SONU!$O$7:$O$42="Evet")*(AY_SONU!$B$7:$B$42=DATE(YEAR($E1145),MONTH($E1145),1))))</f>
        <v/>
      </c>
    </row>
    <row r="1146">
      <c r="A1146" s="6" t="n"/>
      <c r="B1146" s="113">
        <f>IF($D1146="","","T"&amp;TEXT(ROW()-6,"00000"))</f>
        <v/>
      </c>
      <c r="C1146" s="113">
        <f>IF($D1146="","",IFERROR(INDEX(MUSTERILER!$B$7:$B$106,MATCH($R1146,MUSTERILER!$T$7:$T$106,0)),IFERROR(INDEX(MUSTERILER!$B$7:$B$106,MATCH($D1146,MUSTERILER!$B$7:$B$106,0)),IFERROR(INDEX(MUSTERILER!$B$7:$B$106,MATCH($R1146&amp;"*",MUSTERILER!$T$7:$T$106,0)),"TANIMSIZ MÜŞTERİ"))))</f>
        <v/>
      </c>
      <c r="D1146" s="109" t="n"/>
      <c r="E1146" s="220" t="n"/>
      <c r="F1146" s="221" t="n"/>
      <c r="G1146" s="108" t="n"/>
      <c r="H1146" s="108" t="n"/>
      <c r="I1146" s="109" t="n"/>
      <c r="J1146" s="109" t="n"/>
      <c r="K1146" s="109" t="n"/>
      <c r="L1146" s="226">
        <f>IF($E1146="","",DATE(YEAR($E1146),MONTH($E1146),1))</f>
        <v/>
      </c>
      <c r="M1146" s="113">
        <f>IF($D1146="","",IF($C1146="TANIMSIZ MÜŞTERİ","HATA",IF(OR($E1146="",$F1146&lt;=0,$G1146=""),"EKSİK",IF($E1146&gt;TODAY(),"İLERİ TARİH",IF(COUNTIF($S$7:$S$1506,$S1146)&gt;1,"MÜKERRER?",IF($T1146&gt;0,"KAPALI DÖNEM","UYGUN"))))))</f>
        <v/>
      </c>
      <c r="N1146" s="121">
        <f>IF($C1146="","",IF($C1146="TANIMSIZ MÜŞTERİ","—",INDEX(MUSTERILER!$C$7:$C$106,MATCH($C1146,MUSTERILER!$B$7:$B$106,0))))</f>
        <v/>
      </c>
      <c r="O1146" s="6" t="n"/>
      <c r="P1146" s="6" t="n"/>
      <c r="Q1146" s="3">
        <f>IF($D1146="","",$C1146&amp;"|"&amp;COUNTIFS($C$7:$C1146,$C1146))</f>
        <v/>
      </c>
      <c r="R1146" s="3">
        <f>IF($D1146="","",UPPER(SUBSTITUTE(SUBSTITUTE(SUBSTITUTE(SUBSTITUTE(SUBSTITUTE(SUBSTITUTE(SUBSTITUTE(SUBSTITUTE(SUBSTITUTE(SUBSTITUTE(SUBSTITUTE(SUBSTITUTE(SUBSTITUTE(SUBSTITUTE(SUBSTITUTE(SUBSTITUTE(SUBSTITUTE(SUBSTITUTE(TRIM($D1146),"'",""),"İ","I"),"ı","I"),"i","I"),"Ş","S"),"ş","S"),"Ğ","G"),"ğ","G"),"Ü","U"),"ü","U"),"Ö","O"),"ö","O"),"Ç","C"),"ç","C"),".",""),",","")," ",""),"-","")))</f>
        <v/>
      </c>
      <c r="S1146" s="3">
        <f>IF($D1146="","",$C1146&amp;"|"&amp;TEXT($E1146,"0")&amp;"|"&amp;TEXT($F1146,"0")&amp;"|"&amp;$I1146)</f>
        <v/>
      </c>
      <c r="T1146" s="3">
        <f>IF($E1146="",0,SUMPRODUCT((AY_SONU!$O$7:$O$42="Evet")*(AY_SONU!$B$7:$B$42=DATE(YEAR($E1146),MONTH($E1146),1))))</f>
        <v/>
      </c>
    </row>
    <row r="1147">
      <c r="A1147" s="6" t="n"/>
      <c r="B1147" s="113">
        <f>IF($D1147="","","T"&amp;TEXT(ROW()-6,"00000"))</f>
        <v/>
      </c>
      <c r="C1147" s="113">
        <f>IF($D1147="","",IFERROR(INDEX(MUSTERILER!$B$7:$B$106,MATCH($R1147,MUSTERILER!$T$7:$T$106,0)),IFERROR(INDEX(MUSTERILER!$B$7:$B$106,MATCH($D1147,MUSTERILER!$B$7:$B$106,0)),IFERROR(INDEX(MUSTERILER!$B$7:$B$106,MATCH($R1147&amp;"*",MUSTERILER!$T$7:$T$106,0)),"TANIMSIZ MÜŞTERİ"))))</f>
        <v/>
      </c>
      <c r="D1147" s="109" t="n"/>
      <c r="E1147" s="220" t="n"/>
      <c r="F1147" s="221" t="n"/>
      <c r="G1147" s="108" t="n"/>
      <c r="H1147" s="108" t="n"/>
      <c r="I1147" s="109" t="n"/>
      <c r="J1147" s="109" t="n"/>
      <c r="K1147" s="109" t="n"/>
      <c r="L1147" s="226">
        <f>IF($E1147="","",DATE(YEAR($E1147),MONTH($E1147),1))</f>
        <v/>
      </c>
      <c r="M1147" s="113">
        <f>IF($D1147="","",IF($C1147="TANIMSIZ MÜŞTERİ","HATA",IF(OR($E1147="",$F1147&lt;=0,$G1147=""),"EKSİK",IF($E1147&gt;TODAY(),"İLERİ TARİH",IF(COUNTIF($S$7:$S$1506,$S1147)&gt;1,"MÜKERRER?",IF($T1147&gt;0,"KAPALI DÖNEM","UYGUN"))))))</f>
        <v/>
      </c>
      <c r="N1147" s="121">
        <f>IF($C1147="","",IF($C1147="TANIMSIZ MÜŞTERİ","—",INDEX(MUSTERILER!$C$7:$C$106,MATCH($C1147,MUSTERILER!$B$7:$B$106,0))))</f>
        <v/>
      </c>
      <c r="O1147" s="6" t="n"/>
      <c r="P1147" s="6" t="n"/>
      <c r="Q1147" s="3">
        <f>IF($D1147="","",$C1147&amp;"|"&amp;COUNTIFS($C$7:$C1147,$C1147))</f>
        <v/>
      </c>
      <c r="R1147" s="3">
        <f>IF($D1147="","",UPPER(SUBSTITUTE(SUBSTITUTE(SUBSTITUTE(SUBSTITUTE(SUBSTITUTE(SUBSTITUTE(SUBSTITUTE(SUBSTITUTE(SUBSTITUTE(SUBSTITUTE(SUBSTITUTE(SUBSTITUTE(SUBSTITUTE(SUBSTITUTE(SUBSTITUTE(SUBSTITUTE(SUBSTITUTE(SUBSTITUTE(TRIM($D1147),"'",""),"İ","I"),"ı","I"),"i","I"),"Ş","S"),"ş","S"),"Ğ","G"),"ğ","G"),"Ü","U"),"ü","U"),"Ö","O"),"ö","O"),"Ç","C"),"ç","C"),".",""),",","")," ",""),"-","")))</f>
        <v/>
      </c>
      <c r="S1147" s="3">
        <f>IF($D1147="","",$C1147&amp;"|"&amp;TEXT($E1147,"0")&amp;"|"&amp;TEXT($F1147,"0")&amp;"|"&amp;$I1147)</f>
        <v/>
      </c>
      <c r="T1147" s="3">
        <f>IF($E1147="",0,SUMPRODUCT((AY_SONU!$O$7:$O$42="Evet")*(AY_SONU!$B$7:$B$42=DATE(YEAR($E1147),MONTH($E1147),1))))</f>
        <v/>
      </c>
    </row>
    <row r="1148">
      <c r="A1148" s="6" t="n"/>
      <c r="B1148" s="113">
        <f>IF($D1148="","","T"&amp;TEXT(ROW()-6,"00000"))</f>
        <v/>
      </c>
      <c r="C1148" s="113">
        <f>IF($D1148="","",IFERROR(INDEX(MUSTERILER!$B$7:$B$106,MATCH($R1148,MUSTERILER!$T$7:$T$106,0)),IFERROR(INDEX(MUSTERILER!$B$7:$B$106,MATCH($D1148,MUSTERILER!$B$7:$B$106,0)),IFERROR(INDEX(MUSTERILER!$B$7:$B$106,MATCH($R1148&amp;"*",MUSTERILER!$T$7:$T$106,0)),"TANIMSIZ MÜŞTERİ"))))</f>
        <v/>
      </c>
      <c r="D1148" s="109" t="n"/>
      <c r="E1148" s="220" t="n"/>
      <c r="F1148" s="221" t="n"/>
      <c r="G1148" s="108" t="n"/>
      <c r="H1148" s="108" t="n"/>
      <c r="I1148" s="109" t="n"/>
      <c r="J1148" s="109" t="n"/>
      <c r="K1148" s="109" t="n"/>
      <c r="L1148" s="226">
        <f>IF($E1148="","",DATE(YEAR($E1148),MONTH($E1148),1))</f>
        <v/>
      </c>
      <c r="M1148" s="113">
        <f>IF($D1148="","",IF($C1148="TANIMSIZ MÜŞTERİ","HATA",IF(OR($E1148="",$F1148&lt;=0,$G1148=""),"EKSİK",IF($E1148&gt;TODAY(),"İLERİ TARİH",IF(COUNTIF($S$7:$S$1506,$S1148)&gt;1,"MÜKERRER?",IF($T1148&gt;0,"KAPALI DÖNEM","UYGUN"))))))</f>
        <v/>
      </c>
      <c r="N1148" s="121">
        <f>IF($C1148="","",IF($C1148="TANIMSIZ MÜŞTERİ","—",INDEX(MUSTERILER!$C$7:$C$106,MATCH($C1148,MUSTERILER!$B$7:$B$106,0))))</f>
        <v/>
      </c>
      <c r="O1148" s="6" t="n"/>
      <c r="P1148" s="6" t="n"/>
      <c r="Q1148" s="3">
        <f>IF($D1148="","",$C1148&amp;"|"&amp;COUNTIFS($C$7:$C1148,$C1148))</f>
        <v/>
      </c>
      <c r="R1148" s="3">
        <f>IF($D1148="","",UPPER(SUBSTITUTE(SUBSTITUTE(SUBSTITUTE(SUBSTITUTE(SUBSTITUTE(SUBSTITUTE(SUBSTITUTE(SUBSTITUTE(SUBSTITUTE(SUBSTITUTE(SUBSTITUTE(SUBSTITUTE(SUBSTITUTE(SUBSTITUTE(SUBSTITUTE(SUBSTITUTE(SUBSTITUTE(SUBSTITUTE(TRIM($D1148),"'",""),"İ","I"),"ı","I"),"i","I"),"Ş","S"),"ş","S"),"Ğ","G"),"ğ","G"),"Ü","U"),"ü","U"),"Ö","O"),"ö","O"),"Ç","C"),"ç","C"),".",""),",","")," ",""),"-","")))</f>
        <v/>
      </c>
      <c r="S1148" s="3">
        <f>IF($D1148="","",$C1148&amp;"|"&amp;TEXT($E1148,"0")&amp;"|"&amp;TEXT($F1148,"0")&amp;"|"&amp;$I1148)</f>
        <v/>
      </c>
      <c r="T1148" s="3">
        <f>IF($E1148="",0,SUMPRODUCT((AY_SONU!$O$7:$O$42="Evet")*(AY_SONU!$B$7:$B$42=DATE(YEAR($E1148),MONTH($E1148),1))))</f>
        <v/>
      </c>
    </row>
    <row r="1149">
      <c r="A1149" s="6" t="n"/>
      <c r="B1149" s="113">
        <f>IF($D1149="","","T"&amp;TEXT(ROW()-6,"00000"))</f>
        <v/>
      </c>
      <c r="C1149" s="113">
        <f>IF($D1149="","",IFERROR(INDEX(MUSTERILER!$B$7:$B$106,MATCH($R1149,MUSTERILER!$T$7:$T$106,0)),IFERROR(INDEX(MUSTERILER!$B$7:$B$106,MATCH($D1149,MUSTERILER!$B$7:$B$106,0)),IFERROR(INDEX(MUSTERILER!$B$7:$B$106,MATCH($R1149&amp;"*",MUSTERILER!$T$7:$T$106,0)),"TANIMSIZ MÜŞTERİ"))))</f>
        <v/>
      </c>
      <c r="D1149" s="109" t="n"/>
      <c r="E1149" s="220" t="n"/>
      <c r="F1149" s="221" t="n"/>
      <c r="G1149" s="108" t="n"/>
      <c r="H1149" s="108" t="n"/>
      <c r="I1149" s="109" t="n"/>
      <c r="J1149" s="109" t="n"/>
      <c r="K1149" s="109" t="n"/>
      <c r="L1149" s="226">
        <f>IF($E1149="","",DATE(YEAR($E1149),MONTH($E1149),1))</f>
        <v/>
      </c>
      <c r="M1149" s="113">
        <f>IF($D1149="","",IF($C1149="TANIMSIZ MÜŞTERİ","HATA",IF(OR($E1149="",$F1149&lt;=0,$G1149=""),"EKSİK",IF($E1149&gt;TODAY(),"İLERİ TARİH",IF(COUNTIF($S$7:$S$1506,$S1149)&gt;1,"MÜKERRER?",IF($T1149&gt;0,"KAPALI DÖNEM","UYGUN"))))))</f>
        <v/>
      </c>
      <c r="N1149" s="121">
        <f>IF($C1149="","",IF($C1149="TANIMSIZ MÜŞTERİ","—",INDEX(MUSTERILER!$C$7:$C$106,MATCH($C1149,MUSTERILER!$B$7:$B$106,0))))</f>
        <v/>
      </c>
      <c r="O1149" s="6" t="n"/>
      <c r="P1149" s="6" t="n"/>
      <c r="Q1149" s="3">
        <f>IF($D1149="","",$C1149&amp;"|"&amp;COUNTIFS($C$7:$C1149,$C1149))</f>
        <v/>
      </c>
      <c r="R1149" s="3">
        <f>IF($D1149="","",UPPER(SUBSTITUTE(SUBSTITUTE(SUBSTITUTE(SUBSTITUTE(SUBSTITUTE(SUBSTITUTE(SUBSTITUTE(SUBSTITUTE(SUBSTITUTE(SUBSTITUTE(SUBSTITUTE(SUBSTITUTE(SUBSTITUTE(SUBSTITUTE(SUBSTITUTE(SUBSTITUTE(SUBSTITUTE(SUBSTITUTE(TRIM($D1149),"'",""),"İ","I"),"ı","I"),"i","I"),"Ş","S"),"ş","S"),"Ğ","G"),"ğ","G"),"Ü","U"),"ü","U"),"Ö","O"),"ö","O"),"Ç","C"),"ç","C"),".",""),",","")," ",""),"-","")))</f>
        <v/>
      </c>
      <c r="S1149" s="3">
        <f>IF($D1149="","",$C1149&amp;"|"&amp;TEXT($E1149,"0")&amp;"|"&amp;TEXT($F1149,"0")&amp;"|"&amp;$I1149)</f>
        <v/>
      </c>
      <c r="T1149" s="3">
        <f>IF($E1149="",0,SUMPRODUCT((AY_SONU!$O$7:$O$42="Evet")*(AY_SONU!$B$7:$B$42=DATE(YEAR($E1149),MONTH($E1149),1))))</f>
        <v/>
      </c>
    </row>
    <row r="1150">
      <c r="A1150" s="6" t="n"/>
      <c r="B1150" s="113">
        <f>IF($D1150="","","T"&amp;TEXT(ROW()-6,"00000"))</f>
        <v/>
      </c>
      <c r="C1150" s="113">
        <f>IF($D1150="","",IFERROR(INDEX(MUSTERILER!$B$7:$B$106,MATCH($R1150,MUSTERILER!$T$7:$T$106,0)),IFERROR(INDEX(MUSTERILER!$B$7:$B$106,MATCH($D1150,MUSTERILER!$B$7:$B$106,0)),IFERROR(INDEX(MUSTERILER!$B$7:$B$106,MATCH($R1150&amp;"*",MUSTERILER!$T$7:$T$106,0)),"TANIMSIZ MÜŞTERİ"))))</f>
        <v/>
      </c>
      <c r="D1150" s="109" t="n"/>
      <c r="E1150" s="220" t="n"/>
      <c r="F1150" s="221" t="n"/>
      <c r="G1150" s="108" t="n"/>
      <c r="H1150" s="108" t="n"/>
      <c r="I1150" s="109" t="n"/>
      <c r="J1150" s="109" t="n"/>
      <c r="K1150" s="109" t="n"/>
      <c r="L1150" s="226">
        <f>IF($E1150="","",DATE(YEAR($E1150),MONTH($E1150),1))</f>
        <v/>
      </c>
      <c r="M1150" s="113">
        <f>IF($D1150="","",IF($C1150="TANIMSIZ MÜŞTERİ","HATA",IF(OR($E1150="",$F1150&lt;=0,$G1150=""),"EKSİK",IF($E1150&gt;TODAY(),"İLERİ TARİH",IF(COUNTIF($S$7:$S$1506,$S1150)&gt;1,"MÜKERRER?",IF($T1150&gt;0,"KAPALI DÖNEM","UYGUN"))))))</f>
        <v/>
      </c>
      <c r="N1150" s="121">
        <f>IF($C1150="","",IF($C1150="TANIMSIZ MÜŞTERİ","—",INDEX(MUSTERILER!$C$7:$C$106,MATCH($C1150,MUSTERILER!$B$7:$B$106,0))))</f>
        <v/>
      </c>
      <c r="O1150" s="6" t="n"/>
      <c r="P1150" s="6" t="n"/>
      <c r="Q1150" s="3">
        <f>IF($D1150="","",$C1150&amp;"|"&amp;COUNTIFS($C$7:$C1150,$C1150))</f>
        <v/>
      </c>
      <c r="R1150" s="3">
        <f>IF($D1150="","",UPPER(SUBSTITUTE(SUBSTITUTE(SUBSTITUTE(SUBSTITUTE(SUBSTITUTE(SUBSTITUTE(SUBSTITUTE(SUBSTITUTE(SUBSTITUTE(SUBSTITUTE(SUBSTITUTE(SUBSTITUTE(SUBSTITUTE(SUBSTITUTE(SUBSTITUTE(SUBSTITUTE(SUBSTITUTE(SUBSTITUTE(TRIM($D1150),"'",""),"İ","I"),"ı","I"),"i","I"),"Ş","S"),"ş","S"),"Ğ","G"),"ğ","G"),"Ü","U"),"ü","U"),"Ö","O"),"ö","O"),"Ç","C"),"ç","C"),".",""),",","")," ",""),"-","")))</f>
        <v/>
      </c>
      <c r="S1150" s="3">
        <f>IF($D1150="","",$C1150&amp;"|"&amp;TEXT($E1150,"0")&amp;"|"&amp;TEXT($F1150,"0")&amp;"|"&amp;$I1150)</f>
        <v/>
      </c>
      <c r="T1150" s="3">
        <f>IF($E1150="",0,SUMPRODUCT((AY_SONU!$O$7:$O$42="Evet")*(AY_SONU!$B$7:$B$42=DATE(YEAR($E1150),MONTH($E1150),1))))</f>
        <v/>
      </c>
    </row>
    <row r="1151">
      <c r="A1151" s="6" t="n"/>
      <c r="B1151" s="113">
        <f>IF($D1151="","","T"&amp;TEXT(ROW()-6,"00000"))</f>
        <v/>
      </c>
      <c r="C1151" s="113">
        <f>IF($D1151="","",IFERROR(INDEX(MUSTERILER!$B$7:$B$106,MATCH($R1151,MUSTERILER!$T$7:$T$106,0)),IFERROR(INDEX(MUSTERILER!$B$7:$B$106,MATCH($D1151,MUSTERILER!$B$7:$B$106,0)),IFERROR(INDEX(MUSTERILER!$B$7:$B$106,MATCH($R1151&amp;"*",MUSTERILER!$T$7:$T$106,0)),"TANIMSIZ MÜŞTERİ"))))</f>
        <v/>
      </c>
      <c r="D1151" s="109" t="n"/>
      <c r="E1151" s="220" t="n"/>
      <c r="F1151" s="221" t="n"/>
      <c r="G1151" s="108" t="n"/>
      <c r="H1151" s="108" t="n"/>
      <c r="I1151" s="109" t="n"/>
      <c r="J1151" s="109" t="n"/>
      <c r="K1151" s="109" t="n"/>
      <c r="L1151" s="226">
        <f>IF($E1151="","",DATE(YEAR($E1151),MONTH($E1151),1))</f>
        <v/>
      </c>
      <c r="M1151" s="113">
        <f>IF($D1151="","",IF($C1151="TANIMSIZ MÜŞTERİ","HATA",IF(OR($E1151="",$F1151&lt;=0,$G1151=""),"EKSİK",IF($E1151&gt;TODAY(),"İLERİ TARİH",IF(COUNTIF($S$7:$S$1506,$S1151)&gt;1,"MÜKERRER?",IF($T1151&gt;0,"KAPALI DÖNEM","UYGUN"))))))</f>
        <v/>
      </c>
      <c r="N1151" s="121">
        <f>IF($C1151="","",IF($C1151="TANIMSIZ MÜŞTERİ","—",INDEX(MUSTERILER!$C$7:$C$106,MATCH($C1151,MUSTERILER!$B$7:$B$106,0))))</f>
        <v/>
      </c>
      <c r="O1151" s="6" t="n"/>
      <c r="P1151" s="6" t="n"/>
      <c r="Q1151" s="3">
        <f>IF($D1151="","",$C1151&amp;"|"&amp;COUNTIFS($C$7:$C1151,$C1151))</f>
        <v/>
      </c>
      <c r="R1151" s="3">
        <f>IF($D1151="","",UPPER(SUBSTITUTE(SUBSTITUTE(SUBSTITUTE(SUBSTITUTE(SUBSTITUTE(SUBSTITUTE(SUBSTITUTE(SUBSTITUTE(SUBSTITUTE(SUBSTITUTE(SUBSTITUTE(SUBSTITUTE(SUBSTITUTE(SUBSTITUTE(SUBSTITUTE(SUBSTITUTE(SUBSTITUTE(SUBSTITUTE(TRIM($D1151),"'",""),"İ","I"),"ı","I"),"i","I"),"Ş","S"),"ş","S"),"Ğ","G"),"ğ","G"),"Ü","U"),"ü","U"),"Ö","O"),"ö","O"),"Ç","C"),"ç","C"),".",""),",","")," ",""),"-","")))</f>
        <v/>
      </c>
      <c r="S1151" s="3">
        <f>IF($D1151="","",$C1151&amp;"|"&amp;TEXT($E1151,"0")&amp;"|"&amp;TEXT($F1151,"0")&amp;"|"&amp;$I1151)</f>
        <v/>
      </c>
      <c r="T1151" s="3">
        <f>IF($E1151="",0,SUMPRODUCT((AY_SONU!$O$7:$O$42="Evet")*(AY_SONU!$B$7:$B$42=DATE(YEAR($E1151),MONTH($E1151),1))))</f>
        <v/>
      </c>
    </row>
    <row r="1152">
      <c r="A1152" s="6" t="n"/>
      <c r="B1152" s="113">
        <f>IF($D1152="","","T"&amp;TEXT(ROW()-6,"00000"))</f>
        <v/>
      </c>
      <c r="C1152" s="113">
        <f>IF($D1152="","",IFERROR(INDEX(MUSTERILER!$B$7:$B$106,MATCH($R1152,MUSTERILER!$T$7:$T$106,0)),IFERROR(INDEX(MUSTERILER!$B$7:$B$106,MATCH($D1152,MUSTERILER!$B$7:$B$106,0)),IFERROR(INDEX(MUSTERILER!$B$7:$B$106,MATCH($R1152&amp;"*",MUSTERILER!$T$7:$T$106,0)),"TANIMSIZ MÜŞTERİ"))))</f>
        <v/>
      </c>
      <c r="D1152" s="109" t="n"/>
      <c r="E1152" s="220" t="n"/>
      <c r="F1152" s="221" t="n"/>
      <c r="G1152" s="108" t="n"/>
      <c r="H1152" s="108" t="n"/>
      <c r="I1152" s="109" t="n"/>
      <c r="J1152" s="109" t="n"/>
      <c r="K1152" s="109" t="n"/>
      <c r="L1152" s="226">
        <f>IF($E1152="","",DATE(YEAR($E1152),MONTH($E1152),1))</f>
        <v/>
      </c>
      <c r="M1152" s="113">
        <f>IF($D1152="","",IF($C1152="TANIMSIZ MÜŞTERİ","HATA",IF(OR($E1152="",$F1152&lt;=0,$G1152=""),"EKSİK",IF($E1152&gt;TODAY(),"İLERİ TARİH",IF(COUNTIF($S$7:$S$1506,$S1152)&gt;1,"MÜKERRER?",IF($T1152&gt;0,"KAPALI DÖNEM","UYGUN"))))))</f>
        <v/>
      </c>
      <c r="N1152" s="121">
        <f>IF($C1152="","",IF($C1152="TANIMSIZ MÜŞTERİ","—",INDEX(MUSTERILER!$C$7:$C$106,MATCH($C1152,MUSTERILER!$B$7:$B$106,0))))</f>
        <v/>
      </c>
      <c r="O1152" s="6" t="n"/>
      <c r="P1152" s="6" t="n"/>
      <c r="Q1152" s="3">
        <f>IF($D1152="","",$C1152&amp;"|"&amp;COUNTIFS($C$7:$C1152,$C1152))</f>
        <v/>
      </c>
      <c r="R1152" s="3">
        <f>IF($D1152="","",UPPER(SUBSTITUTE(SUBSTITUTE(SUBSTITUTE(SUBSTITUTE(SUBSTITUTE(SUBSTITUTE(SUBSTITUTE(SUBSTITUTE(SUBSTITUTE(SUBSTITUTE(SUBSTITUTE(SUBSTITUTE(SUBSTITUTE(SUBSTITUTE(SUBSTITUTE(SUBSTITUTE(SUBSTITUTE(SUBSTITUTE(TRIM($D1152),"'",""),"İ","I"),"ı","I"),"i","I"),"Ş","S"),"ş","S"),"Ğ","G"),"ğ","G"),"Ü","U"),"ü","U"),"Ö","O"),"ö","O"),"Ç","C"),"ç","C"),".",""),",","")," ",""),"-","")))</f>
        <v/>
      </c>
      <c r="S1152" s="3">
        <f>IF($D1152="","",$C1152&amp;"|"&amp;TEXT($E1152,"0")&amp;"|"&amp;TEXT($F1152,"0")&amp;"|"&amp;$I1152)</f>
        <v/>
      </c>
      <c r="T1152" s="3">
        <f>IF($E1152="",0,SUMPRODUCT((AY_SONU!$O$7:$O$42="Evet")*(AY_SONU!$B$7:$B$42=DATE(YEAR($E1152),MONTH($E1152),1))))</f>
        <v/>
      </c>
    </row>
    <row r="1153">
      <c r="A1153" s="6" t="n"/>
      <c r="B1153" s="113">
        <f>IF($D1153="","","T"&amp;TEXT(ROW()-6,"00000"))</f>
        <v/>
      </c>
      <c r="C1153" s="113">
        <f>IF($D1153="","",IFERROR(INDEX(MUSTERILER!$B$7:$B$106,MATCH($R1153,MUSTERILER!$T$7:$T$106,0)),IFERROR(INDEX(MUSTERILER!$B$7:$B$106,MATCH($D1153,MUSTERILER!$B$7:$B$106,0)),IFERROR(INDEX(MUSTERILER!$B$7:$B$106,MATCH($R1153&amp;"*",MUSTERILER!$T$7:$T$106,0)),"TANIMSIZ MÜŞTERİ"))))</f>
        <v/>
      </c>
      <c r="D1153" s="109" t="n"/>
      <c r="E1153" s="220" t="n"/>
      <c r="F1153" s="221" t="n"/>
      <c r="G1153" s="108" t="n"/>
      <c r="H1153" s="108" t="n"/>
      <c r="I1153" s="109" t="n"/>
      <c r="J1153" s="109" t="n"/>
      <c r="K1153" s="109" t="n"/>
      <c r="L1153" s="226">
        <f>IF($E1153="","",DATE(YEAR($E1153),MONTH($E1153),1))</f>
        <v/>
      </c>
      <c r="M1153" s="113">
        <f>IF($D1153="","",IF($C1153="TANIMSIZ MÜŞTERİ","HATA",IF(OR($E1153="",$F1153&lt;=0,$G1153=""),"EKSİK",IF($E1153&gt;TODAY(),"İLERİ TARİH",IF(COUNTIF($S$7:$S$1506,$S1153)&gt;1,"MÜKERRER?",IF($T1153&gt;0,"KAPALI DÖNEM","UYGUN"))))))</f>
        <v/>
      </c>
      <c r="N1153" s="121">
        <f>IF($C1153="","",IF($C1153="TANIMSIZ MÜŞTERİ","—",INDEX(MUSTERILER!$C$7:$C$106,MATCH($C1153,MUSTERILER!$B$7:$B$106,0))))</f>
        <v/>
      </c>
      <c r="O1153" s="6" t="n"/>
      <c r="P1153" s="6" t="n"/>
      <c r="Q1153" s="3">
        <f>IF($D1153="","",$C1153&amp;"|"&amp;COUNTIFS($C$7:$C1153,$C1153))</f>
        <v/>
      </c>
      <c r="R1153" s="3">
        <f>IF($D1153="","",UPPER(SUBSTITUTE(SUBSTITUTE(SUBSTITUTE(SUBSTITUTE(SUBSTITUTE(SUBSTITUTE(SUBSTITUTE(SUBSTITUTE(SUBSTITUTE(SUBSTITUTE(SUBSTITUTE(SUBSTITUTE(SUBSTITUTE(SUBSTITUTE(SUBSTITUTE(SUBSTITUTE(SUBSTITUTE(SUBSTITUTE(TRIM($D1153),"'",""),"İ","I"),"ı","I"),"i","I"),"Ş","S"),"ş","S"),"Ğ","G"),"ğ","G"),"Ü","U"),"ü","U"),"Ö","O"),"ö","O"),"Ç","C"),"ç","C"),".",""),",","")," ",""),"-","")))</f>
        <v/>
      </c>
      <c r="S1153" s="3">
        <f>IF($D1153="","",$C1153&amp;"|"&amp;TEXT($E1153,"0")&amp;"|"&amp;TEXT($F1153,"0")&amp;"|"&amp;$I1153)</f>
        <v/>
      </c>
      <c r="T1153" s="3">
        <f>IF($E1153="",0,SUMPRODUCT((AY_SONU!$O$7:$O$42="Evet")*(AY_SONU!$B$7:$B$42=DATE(YEAR($E1153),MONTH($E1153),1))))</f>
        <v/>
      </c>
    </row>
    <row r="1154">
      <c r="A1154" s="6" t="n"/>
      <c r="B1154" s="113">
        <f>IF($D1154="","","T"&amp;TEXT(ROW()-6,"00000"))</f>
        <v/>
      </c>
      <c r="C1154" s="113">
        <f>IF($D1154="","",IFERROR(INDEX(MUSTERILER!$B$7:$B$106,MATCH($R1154,MUSTERILER!$T$7:$T$106,0)),IFERROR(INDEX(MUSTERILER!$B$7:$B$106,MATCH($D1154,MUSTERILER!$B$7:$B$106,0)),IFERROR(INDEX(MUSTERILER!$B$7:$B$106,MATCH($R1154&amp;"*",MUSTERILER!$T$7:$T$106,0)),"TANIMSIZ MÜŞTERİ"))))</f>
        <v/>
      </c>
      <c r="D1154" s="109" t="n"/>
      <c r="E1154" s="220" t="n"/>
      <c r="F1154" s="221" t="n"/>
      <c r="G1154" s="108" t="n"/>
      <c r="H1154" s="108" t="n"/>
      <c r="I1154" s="109" t="n"/>
      <c r="J1154" s="109" t="n"/>
      <c r="K1154" s="109" t="n"/>
      <c r="L1154" s="226">
        <f>IF($E1154="","",DATE(YEAR($E1154),MONTH($E1154),1))</f>
        <v/>
      </c>
      <c r="M1154" s="113">
        <f>IF($D1154="","",IF($C1154="TANIMSIZ MÜŞTERİ","HATA",IF(OR($E1154="",$F1154&lt;=0,$G1154=""),"EKSİK",IF($E1154&gt;TODAY(),"İLERİ TARİH",IF(COUNTIF($S$7:$S$1506,$S1154)&gt;1,"MÜKERRER?",IF($T1154&gt;0,"KAPALI DÖNEM","UYGUN"))))))</f>
        <v/>
      </c>
      <c r="N1154" s="121">
        <f>IF($C1154="","",IF($C1154="TANIMSIZ MÜŞTERİ","—",INDEX(MUSTERILER!$C$7:$C$106,MATCH($C1154,MUSTERILER!$B$7:$B$106,0))))</f>
        <v/>
      </c>
      <c r="O1154" s="6" t="n"/>
      <c r="P1154" s="6" t="n"/>
      <c r="Q1154" s="3">
        <f>IF($D1154="","",$C1154&amp;"|"&amp;COUNTIFS($C$7:$C1154,$C1154))</f>
        <v/>
      </c>
      <c r="R1154" s="3">
        <f>IF($D1154="","",UPPER(SUBSTITUTE(SUBSTITUTE(SUBSTITUTE(SUBSTITUTE(SUBSTITUTE(SUBSTITUTE(SUBSTITUTE(SUBSTITUTE(SUBSTITUTE(SUBSTITUTE(SUBSTITUTE(SUBSTITUTE(SUBSTITUTE(SUBSTITUTE(SUBSTITUTE(SUBSTITUTE(SUBSTITUTE(SUBSTITUTE(TRIM($D1154),"'",""),"İ","I"),"ı","I"),"i","I"),"Ş","S"),"ş","S"),"Ğ","G"),"ğ","G"),"Ü","U"),"ü","U"),"Ö","O"),"ö","O"),"Ç","C"),"ç","C"),".",""),",","")," ",""),"-","")))</f>
        <v/>
      </c>
      <c r="S1154" s="3">
        <f>IF($D1154="","",$C1154&amp;"|"&amp;TEXT($E1154,"0")&amp;"|"&amp;TEXT($F1154,"0")&amp;"|"&amp;$I1154)</f>
        <v/>
      </c>
      <c r="T1154" s="3">
        <f>IF($E1154="",0,SUMPRODUCT((AY_SONU!$O$7:$O$42="Evet")*(AY_SONU!$B$7:$B$42=DATE(YEAR($E1154),MONTH($E1154),1))))</f>
        <v/>
      </c>
    </row>
    <row r="1155">
      <c r="A1155" s="6" t="n"/>
      <c r="B1155" s="113">
        <f>IF($D1155="","","T"&amp;TEXT(ROW()-6,"00000"))</f>
        <v/>
      </c>
      <c r="C1155" s="113">
        <f>IF($D1155="","",IFERROR(INDEX(MUSTERILER!$B$7:$B$106,MATCH($R1155,MUSTERILER!$T$7:$T$106,0)),IFERROR(INDEX(MUSTERILER!$B$7:$B$106,MATCH($D1155,MUSTERILER!$B$7:$B$106,0)),IFERROR(INDEX(MUSTERILER!$B$7:$B$106,MATCH($R1155&amp;"*",MUSTERILER!$T$7:$T$106,0)),"TANIMSIZ MÜŞTERİ"))))</f>
        <v/>
      </c>
      <c r="D1155" s="109" t="n"/>
      <c r="E1155" s="220" t="n"/>
      <c r="F1155" s="221" t="n"/>
      <c r="G1155" s="108" t="n"/>
      <c r="H1155" s="108" t="n"/>
      <c r="I1155" s="109" t="n"/>
      <c r="J1155" s="109" t="n"/>
      <c r="K1155" s="109" t="n"/>
      <c r="L1155" s="226">
        <f>IF($E1155="","",DATE(YEAR($E1155),MONTH($E1155),1))</f>
        <v/>
      </c>
      <c r="M1155" s="113">
        <f>IF($D1155="","",IF($C1155="TANIMSIZ MÜŞTERİ","HATA",IF(OR($E1155="",$F1155&lt;=0,$G1155=""),"EKSİK",IF($E1155&gt;TODAY(),"İLERİ TARİH",IF(COUNTIF($S$7:$S$1506,$S1155)&gt;1,"MÜKERRER?",IF($T1155&gt;0,"KAPALI DÖNEM","UYGUN"))))))</f>
        <v/>
      </c>
      <c r="N1155" s="121">
        <f>IF($C1155="","",IF($C1155="TANIMSIZ MÜŞTERİ","—",INDEX(MUSTERILER!$C$7:$C$106,MATCH($C1155,MUSTERILER!$B$7:$B$106,0))))</f>
        <v/>
      </c>
      <c r="O1155" s="6" t="n"/>
      <c r="P1155" s="6" t="n"/>
      <c r="Q1155" s="3">
        <f>IF($D1155="","",$C1155&amp;"|"&amp;COUNTIFS($C$7:$C1155,$C1155))</f>
        <v/>
      </c>
      <c r="R1155" s="3">
        <f>IF($D1155="","",UPPER(SUBSTITUTE(SUBSTITUTE(SUBSTITUTE(SUBSTITUTE(SUBSTITUTE(SUBSTITUTE(SUBSTITUTE(SUBSTITUTE(SUBSTITUTE(SUBSTITUTE(SUBSTITUTE(SUBSTITUTE(SUBSTITUTE(SUBSTITUTE(SUBSTITUTE(SUBSTITUTE(SUBSTITUTE(SUBSTITUTE(TRIM($D1155),"'",""),"İ","I"),"ı","I"),"i","I"),"Ş","S"),"ş","S"),"Ğ","G"),"ğ","G"),"Ü","U"),"ü","U"),"Ö","O"),"ö","O"),"Ç","C"),"ç","C"),".",""),",","")," ",""),"-","")))</f>
        <v/>
      </c>
      <c r="S1155" s="3">
        <f>IF($D1155="","",$C1155&amp;"|"&amp;TEXT($E1155,"0")&amp;"|"&amp;TEXT($F1155,"0")&amp;"|"&amp;$I1155)</f>
        <v/>
      </c>
      <c r="T1155" s="3">
        <f>IF($E1155="",0,SUMPRODUCT((AY_SONU!$O$7:$O$42="Evet")*(AY_SONU!$B$7:$B$42=DATE(YEAR($E1155),MONTH($E1155),1))))</f>
        <v/>
      </c>
    </row>
    <row r="1156">
      <c r="A1156" s="6" t="n"/>
      <c r="B1156" s="113">
        <f>IF($D1156="","","T"&amp;TEXT(ROW()-6,"00000"))</f>
        <v/>
      </c>
      <c r="C1156" s="113">
        <f>IF($D1156="","",IFERROR(INDEX(MUSTERILER!$B$7:$B$106,MATCH($R1156,MUSTERILER!$T$7:$T$106,0)),IFERROR(INDEX(MUSTERILER!$B$7:$B$106,MATCH($D1156,MUSTERILER!$B$7:$B$106,0)),IFERROR(INDEX(MUSTERILER!$B$7:$B$106,MATCH($R1156&amp;"*",MUSTERILER!$T$7:$T$106,0)),"TANIMSIZ MÜŞTERİ"))))</f>
        <v/>
      </c>
      <c r="D1156" s="109" t="n"/>
      <c r="E1156" s="220" t="n"/>
      <c r="F1156" s="221" t="n"/>
      <c r="G1156" s="108" t="n"/>
      <c r="H1156" s="108" t="n"/>
      <c r="I1156" s="109" t="n"/>
      <c r="J1156" s="109" t="n"/>
      <c r="K1156" s="109" t="n"/>
      <c r="L1156" s="226">
        <f>IF($E1156="","",DATE(YEAR($E1156),MONTH($E1156),1))</f>
        <v/>
      </c>
      <c r="M1156" s="113">
        <f>IF($D1156="","",IF($C1156="TANIMSIZ MÜŞTERİ","HATA",IF(OR($E1156="",$F1156&lt;=0,$G1156=""),"EKSİK",IF($E1156&gt;TODAY(),"İLERİ TARİH",IF(COUNTIF($S$7:$S$1506,$S1156)&gt;1,"MÜKERRER?",IF($T1156&gt;0,"KAPALI DÖNEM","UYGUN"))))))</f>
        <v/>
      </c>
      <c r="N1156" s="121">
        <f>IF($C1156="","",IF($C1156="TANIMSIZ MÜŞTERİ","—",INDEX(MUSTERILER!$C$7:$C$106,MATCH($C1156,MUSTERILER!$B$7:$B$106,0))))</f>
        <v/>
      </c>
      <c r="O1156" s="6" t="n"/>
      <c r="P1156" s="6" t="n"/>
      <c r="Q1156" s="3">
        <f>IF($D1156="","",$C1156&amp;"|"&amp;COUNTIFS($C$7:$C1156,$C1156))</f>
        <v/>
      </c>
      <c r="R1156" s="3">
        <f>IF($D1156="","",UPPER(SUBSTITUTE(SUBSTITUTE(SUBSTITUTE(SUBSTITUTE(SUBSTITUTE(SUBSTITUTE(SUBSTITUTE(SUBSTITUTE(SUBSTITUTE(SUBSTITUTE(SUBSTITUTE(SUBSTITUTE(SUBSTITUTE(SUBSTITUTE(SUBSTITUTE(SUBSTITUTE(SUBSTITUTE(SUBSTITUTE(TRIM($D1156),"'",""),"İ","I"),"ı","I"),"i","I"),"Ş","S"),"ş","S"),"Ğ","G"),"ğ","G"),"Ü","U"),"ü","U"),"Ö","O"),"ö","O"),"Ç","C"),"ç","C"),".",""),",","")," ",""),"-","")))</f>
        <v/>
      </c>
      <c r="S1156" s="3">
        <f>IF($D1156="","",$C1156&amp;"|"&amp;TEXT($E1156,"0")&amp;"|"&amp;TEXT($F1156,"0")&amp;"|"&amp;$I1156)</f>
        <v/>
      </c>
      <c r="T1156" s="3">
        <f>IF($E1156="",0,SUMPRODUCT((AY_SONU!$O$7:$O$42="Evet")*(AY_SONU!$B$7:$B$42=DATE(YEAR($E1156),MONTH($E1156),1))))</f>
        <v/>
      </c>
    </row>
    <row r="1157">
      <c r="A1157" s="6" t="n"/>
      <c r="B1157" s="113">
        <f>IF($D1157="","","T"&amp;TEXT(ROW()-6,"00000"))</f>
        <v/>
      </c>
      <c r="C1157" s="113">
        <f>IF($D1157="","",IFERROR(INDEX(MUSTERILER!$B$7:$B$106,MATCH($R1157,MUSTERILER!$T$7:$T$106,0)),IFERROR(INDEX(MUSTERILER!$B$7:$B$106,MATCH($D1157,MUSTERILER!$B$7:$B$106,0)),IFERROR(INDEX(MUSTERILER!$B$7:$B$106,MATCH($R1157&amp;"*",MUSTERILER!$T$7:$T$106,0)),"TANIMSIZ MÜŞTERİ"))))</f>
        <v/>
      </c>
      <c r="D1157" s="109" t="n"/>
      <c r="E1157" s="220" t="n"/>
      <c r="F1157" s="221" t="n"/>
      <c r="G1157" s="108" t="n"/>
      <c r="H1157" s="108" t="n"/>
      <c r="I1157" s="109" t="n"/>
      <c r="J1157" s="109" t="n"/>
      <c r="K1157" s="109" t="n"/>
      <c r="L1157" s="226">
        <f>IF($E1157="","",DATE(YEAR($E1157),MONTH($E1157),1))</f>
        <v/>
      </c>
      <c r="M1157" s="113">
        <f>IF($D1157="","",IF($C1157="TANIMSIZ MÜŞTERİ","HATA",IF(OR($E1157="",$F1157&lt;=0,$G1157=""),"EKSİK",IF($E1157&gt;TODAY(),"İLERİ TARİH",IF(COUNTIF($S$7:$S$1506,$S1157)&gt;1,"MÜKERRER?",IF($T1157&gt;0,"KAPALI DÖNEM","UYGUN"))))))</f>
        <v/>
      </c>
      <c r="N1157" s="121">
        <f>IF($C1157="","",IF($C1157="TANIMSIZ MÜŞTERİ","—",INDEX(MUSTERILER!$C$7:$C$106,MATCH($C1157,MUSTERILER!$B$7:$B$106,0))))</f>
        <v/>
      </c>
      <c r="O1157" s="6" t="n"/>
      <c r="P1157" s="6" t="n"/>
      <c r="Q1157" s="3">
        <f>IF($D1157="","",$C1157&amp;"|"&amp;COUNTIFS($C$7:$C1157,$C1157))</f>
        <v/>
      </c>
      <c r="R1157" s="3">
        <f>IF($D1157="","",UPPER(SUBSTITUTE(SUBSTITUTE(SUBSTITUTE(SUBSTITUTE(SUBSTITUTE(SUBSTITUTE(SUBSTITUTE(SUBSTITUTE(SUBSTITUTE(SUBSTITUTE(SUBSTITUTE(SUBSTITUTE(SUBSTITUTE(SUBSTITUTE(SUBSTITUTE(SUBSTITUTE(SUBSTITUTE(SUBSTITUTE(TRIM($D1157),"'",""),"İ","I"),"ı","I"),"i","I"),"Ş","S"),"ş","S"),"Ğ","G"),"ğ","G"),"Ü","U"),"ü","U"),"Ö","O"),"ö","O"),"Ç","C"),"ç","C"),".",""),",","")," ",""),"-","")))</f>
        <v/>
      </c>
      <c r="S1157" s="3">
        <f>IF($D1157="","",$C1157&amp;"|"&amp;TEXT($E1157,"0")&amp;"|"&amp;TEXT($F1157,"0")&amp;"|"&amp;$I1157)</f>
        <v/>
      </c>
      <c r="T1157" s="3">
        <f>IF($E1157="",0,SUMPRODUCT((AY_SONU!$O$7:$O$42="Evet")*(AY_SONU!$B$7:$B$42=DATE(YEAR($E1157),MONTH($E1157),1))))</f>
        <v/>
      </c>
    </row>
    <row r="1158">
      <c r="A1158" s="6" t="n"/>
      <c r="B1158" s="113">
        <f>IF($D1158="","","T"&amp;TEXT(ROW()-6,"00000"))</f>
        <v/>
      </c>
      <c r="C1158" s="113">
        <f>IF($D1158="","",IFERROR(INDEX(MUSTERILER!$B$7:$B$106,MATCH($R1158,MUSTERILER!$T$7:$T$106,0)),IFERROR(INDEX(MUSTERILER!$B$7:$B$106,MATCH($D1158,MUSTERILER!$B$7:$B$106,0)),IFERROR(INDEX(MUSTERILER!$B$7:$B$106,MATCH($R1158&amp;"*",MUSTERILER!$T$7:$T$106,0)),"TANIMSIZ MÜŞTERİ"))))</f>
        <v/>
      </c>
      <c r="D1158" s="109" t="n"/>
      <c r="E1158" s="220" t="n"/>
      <c r="F1158" s="221" t="n"/>
      <c r="G1158" s="108" t="n"/>
      <c r="H1158" s="108" t="n"/>
      <c r="I1158" s="109" t="n"/>
      <c r="J1158" s="109" t="n"/>
      <c r="K1158" s="109" t="n"/>
      <c r="L1158" s="226">
        <f>IF($E1158="","",DATE(YEAR($E1158),MONTH($E1158),1))</f>
        <v/>
      </c>
      <c r="M1158" s="113">
        <f>IF($D1158="","",IF($C1158="TANIMSIZ MÜŞTERİ","HATA",IF(OR($E1158="",$F1158&lt;=0,$G1158=""),"EKSİK",IF($E1158&gt;TODAY(),"İLERİ TARİH",IF(COUNTIF($S$7:$S$1506,$S1158)&gt;1,"MÜKERRER?",IF($T1158&gt;0,"KAPALI DÖNEM","UYGUN"))))))</f>
        <v/>
      </c>
      <c r="N1158" s="121">
        <f>IF($C1158="","",IF($C1158="TANIMSIZ MÜŞTERİ","—",INDEX(MUSTERILER!$C$7:$C$106,MATCH($C1158,MUSTERILER!$B$7:$B$106,0))))</f>
        <v/>
      </c>
      <c r="O1158" s="6" t="n"/>
      <c r="P1158" s="6" t="n"/>
      <c r="Q1158" s="3">
        <f>IF($D1158="","",$C1158&amp;"|"&amp;COUNTIFS($C$7:$C1158,$C1158))</f>
        <v/>
      </c>
      <c r="R1158" s="3">
        <f>IF($D1158="","",UPPER(SUBSTITUTE(SUBSTITUTE(SUBSTITUTE(SUBSTITUTE(SUBSTITUTE(SUBSTITUTE(SUBSTITUTE(SUBSTITUTE(SUBSTITUTE(SUBSTITUTE(SUBSTITUTE(SUBSTITUTE(SUBSTITUTE(SUBSTITUTE(SUBSTITUTE(SUBSTITUTE(SUBSTITUTE(SUBSTITUTE(TRIM($D1158),"'",""),"İ","I"),"ı","I"),"i","I"),"Ş","S"),"ş","S"),"Ğ","G"),"ğ","G"),"Ü","U"),"ü","U"),"Ö","O"),"ö","O"),"Ç","C"),"ç","C"),".",""),",","")," ",""),"-","")))</f>
        <v/>
      </c>
      <c r="S1158" s="3">
        <f>IF($D1158="","",$C1158&amp;"|"&amp;TEXT($E1158,"0")&amp;"|"&amp;TEXT($F1158,"0")&amp;"|"&amp;$I1158)</f>
        <v/>
      </c>
      <c r="T1158" s="3">
        <f>IF($E1158="",0,SUMPRODUCT((AY_SONU!$O$7:$O$42="Evet")*(AY_SONU!$B$7:$B$42=DATE(YEAR($E1158),MONTH($E1158),1))))</f>
        <v/>
      </c>
    </row>
    <row r="1159">
      <c r="A1159" s="6" t="n"/>
      <c r="B1159" s="113">
        <f>IF($D1159="","","T"&amp;TEXT(ROW()-6,"00000"))</f>
        <v/>
      </c>
      <c r="C1159" s="113">
        <f>IF($D1159="","",IFERROR(INDEX(MUSTERILER!$B$7:$B$106,MATCH($R1159,MUSTERILER!$T$7:$T$106,0)),IFERROR(INDEX(MUSTERILER!$B$7:$B$106,MATCH($D1159,MUSTERILER!$B$7:$B$106,0)),IFERROR(INDEX(MUSTERILER!$B$7:$B$106,MATCH($R1159&amp;"*",MUSTERILER!$T$7:$T$106,0)),"TANIMSIZ MÜŞTERİ"))))</f>
        <v/>
      </c>
      <c r="D1159" s="109" t="n"/>
      <c r="E1159" s="220" t="n"/>
      <c r="F1159" s="221" t="n"/>
      <c r="G1159" s="108" t="n"/>
      <c r="H1159" s="108" t="n"/>
      <c r="I1159" s="109" t="n"/>
      <c r="J1159" s="109" t="n"/>
      <c r="K1159" s="109" t="n"/>
      <c r="L1159" s="226">
        <f>IF($E1159="","",DATE(YEAR($E1159),MONTH($E1159),1))</f>
        <v/>
      </c>
      <c r="M1159" s="113">
        <f>IF($D1159="","",IF($C1159="TANIMSIZ MÜŞTERİ","HATA",IF(OR($E1159="",$F1159&lt;=0,$G1159=""),"EKSİK",IF($E1159&gt;TODAY(),"İLERİ TARİH",IF(COUNTIF($S$7:$S$1506,$S1159)&gt;1,"MÜKERRER?",IF($T1159&gt;0,"KAPALI DÖNEM","UYGUN"))))))</f>
        <v/>
      </c>
      <c r="N1159" s="121">
        <f>IF($C1159="","",IF($C1159="TANIMSIZ MÜŞTERİ","—",INDEX(MUSTERILER!$C$7:$C$106,MATCH($C1159,MUSTERILER!$B$7:$B$106,0))))</f>
        <v/>
      </c>
      <c r="O1159" s="6" t="n"/>
      <c r="P1159" s="6" t="n"/>
      <c r="Q1159" s="3">
        <f>IF($D1159="","",$C1159&amp;"|"&amp;COUNTIFS($C$7:$C1159,$C1159))</f>
        <v/>
      </c>
      <c r="R1159" s="3">
        <f>IF($D1159="","",UPPER(SUBSTITUTE(SUBSTITUTE(SUBSTITUTE(SUBSTITUTE(SUBSTITUTE(SUBSTITUTE(SUBSTITUTE(SUBSTITUTE(SUBSTITUTE(SUBSTITUTE(SUBSTITUTE(SUBSTITUTE(SUBSTITUTE(SUBSTITUTE(SUBSTITUTE(SUBSTITUTE(SUBSTITUTE(SUBSTITUTE(TRIM($D1159),"'",""),"İ","I"),"ı","I"),"i","I"),"Ş","S"),"ş","S"),"Ğ","G"),"ğ","G"),"Ü","U"),"ü","U"),"Ö","O"),"ö","O"),"Ç","C"),"ç","C"),".",""),",","")," ",""),"-","")))</f>
        <v/>
      </c>
      <c r="S1159" s="3">
        <f>IF($D1159="","",$C1159&amp;"|"&amp;TEXT($E1159,"0")&amp;"|"&amp;TEXT($F1159,"0")&amp;"|"&amp;$I1159)</f>
        <v/>
      </c>
      <c r="T1159" s="3">
        <f>IF($E1159="",0,SUMPRODUCT((AY_SONU!$O$7:$O$42="Evet")*(AY_SONU!$B$7:$B$42=DATE(YEAR($E1159),MONTH($E1159),1))))</f>
        <v/>
      </c>
    </row>
    <row r="1160">
      <c r="A1160" s="6" t="n"/>
      <c r="B1160" s="113">
        <f>IF($D1160="","","T"&amp;TEXT(ROW()-6,"00000"))</f>
        <v/>
      </c>
      <c r="C1160" s="113">
        <f>IF($D1160="","",IFERROR(INDEX(MUSTERILER!$B$7:$B$106,MATCH($R1160,MUSTERILER!$T$7:$T$106,0)),IFERROR(INDEX(MUSTERILER!$B$7:$B$106,MATCH($D1160,MUSTERILER!$B$7:$B$106,0)),IFERROR(INDEX(MUSTERILER!$B$7:$B$106,MATCH($R1160&amp;"*",MUSTERILER!$T$7:$T$106,0)),"TANIMSIZ MÜŞTERİ"))))</f>
        <v/>
      </c>
      <c r="D1160" s="109" t="n"/>
      <c r="E1160" s="220" t="n"/>
      <c r="F1160" s="221" t="n"/>
      <c r="G1160" s="108" t="n"/>
      <c r="H1160" s="108" t="n"/>
      <c r="I1160" s="109" t="n"/>
      <c r="J1160" s="109" t="n"/>
      <c r="K1160" s="109" t="n"/>
      <c r="L1160" s="226">
        <f>IF($E1160="","",DATE(YEAR($E1160),MONTH($E1160),1))</f>
        <v/>
      </c>
      <c r="M1160" s="113">
        <f>IF($D1160="","",IF($C1160="TANIMSIZ MÜŞTERİ","HATA",IF(OR($E1160="",$F1160&lt;=0,$G1160=""),"EKSİK",IF($E1160&gt;TODAY(),"İLERİ TARİH",IF(COUNTIF($S$7:$S$1506,$S1160)&gt;1,"MÜKERRER?",IF($T1160&gt;0,"KAPALI DÖNEM","UYGUN"))))))</f>
        <v/>
      </c>
      <c r="N1160" s="121">
        <f>IF($C1160="","",IF($C1160="TANIMSIZ MÜŞTERİ","—",INDEX(MUSTERILER!$C$7:$C$106,MATCH($C1160,MUSTERILER!$B$7:$B$106,0))))</f>
        <v/>
      </c>
      <c r="O1160" s="6" t="n"/>
      <c r="P1160" s="6" t="n"/>
      <c r="Q1160" s="3">
        <f>IF($D1160="","",$C1160&amp;"|"&amp;COUNTIFS($C$7:$C1160,$C1160))</f>
        <v/>
      </c>
      <c r="R1160" s="3">
        <f>IF($D1160="","",UPPER(SUBSTITUTE(SUBSTITUTE(SUBSTITUTE(SUBSTITUTE(SUBSTITUTE(SUBSTITUTE(SUBSTITUTE(SUBSTITUTE(SUBSTITUTE(SUBSTITUTE(SUBSTITUTE(SUBSTITUTE(SUBSTITUTE(SUBSTITUTE(SUBSTITUTE(SUBSTITUTE(SUBSTITUTE(SUBSTITUTE(TRIM($D1160),"'",""),"İ","I"),"ı","I"),"i","I"),"Ş","S"),"ş","S"),"Ğ","G"),"ğ","G"),"Ü","U"),"ü","U"),"Ö","O"),"ö","O"),"Ç","C"),"ç","C"),".",""),",","")," ",""),"-","")))</f>
        <v/>
      </c>
      <c r="S1160" s="3">
        <f>IF($D1160="","",$C1160&amp;"|"&amp;TEXT($E1160,"0")&amp;"|"&amp;TEXT($F1160,"0")&amp;"|"&amp;$I1160)</f>
        <v/>
      </c>
      <c r="T1160" s="3">
        <f>IF($E1160="",0,SUMPRODUCT((AY_SONU!$O$7:$O$42="Evet")*(AY_SONU!$B$7:$B$42=DATE(YEAR($E1160),MONTH($E1160),1))))</f>
        <v/>
      </c>
    </row>
    <row r="1161">
      <c r="A1161" s="6" t="n"/>
      <c r="B1161" s="113">
        <f>IF($D1161="","","T"&amp;TEXT(ROW()-6,"00000"))</f>
        <v/>
      </c>
      <c r="C1161" s="113">
        <f>IF($D1161="","",IFERROR(INDEX(MUSTERILER!$B$7:$B$106,MATCH($R1161,MUSTERILER!$T$7:$T$106,0)),IFERROR(INDEX(MUSTERILER!$B$7:$B$106,MATCH($D1161,MUSTERILER!$B$7:$B$106,0)),IFERROR(INDEX(MUSTERILER!$B$7:$B$106,MATCH($R1161&amp;"*",MUSTERILER!$T$7:$T$106,0)),"TANIMSIZ MÜŞTERİ"))))</f>
        <v/>
      </c>
      <c r="D1161" s="109" t="n"/>
      <c r="E1161" s="220" t="n"/>
      <c r="F1161" s="221" t="n"/>
      <c r="G1161" s="108" t="n"/>
      <c r="H1161" s="108" t="n"/>
      <c r="I1161" s="109" t="n"/>
      <c r="J1161" s="109" t="n"/>
      <c r="K1161" s="109" t="n"/>
      <c r="L1161" s="226">
        <f>IF($E1161="","",DATE(YEAR($E1161),MONTH($E1161),1))</f>
        <v/>
      </c>
      <c r="M1161" s="113">
        <f>IF($D1161="","",IF($C1161="TANIMSIZ MÜŞTERİ","HATA",IF(OR($E1161="",$F1161&lt;=0,$G1161=""),"EKSİK",IF($E1161&gt;TODAY(),"İLERİ TARİH",IF(COUNTIF($S$7:$S$1506,$S1161)&gt;1,"MÜKERRER?",IF($T1161&gt;0,"KAPALI DÖNEM","UYGUN"))))))</f>
        <v/>
      </c>
      <c r="N1161" s="121">
        <f>IF($C1161="","",IF($C1161="TANIMSIZ MÜŞTERİ","—",INDEX(MUSTERILER!$C$7:$C$106,MATCH($C1161,MUSTERILER!$B$7:$B$106,0))))</f>
        <v/>
      </c>
      <c r="O1161" s="6" t="n"/>
      <c r="P1161" s="6" t="n"/>
      <c r="Q1161" s="3">
        <f>IF($D1161="","",$C1161&amp;"|"&amp;COUNTIFS($C$7:$C1161,$C1161))</f>
        <v/>
      </c>
      <c r="R1161" s="3">
        <f>IF($D1161="","",UPPER(SUBSTITUTE(SUBSTITUTE(SUBSTITUTE(SUBSTITUTE(SUBSTITUTE(SUBSTITUTE(SUBSTITUTE(SUBSTITUTE(SUBSTITUTE(SUBSTITUTE(SUBSTITUTE(SUBSTITUTE(SUBSTITUTE(SUBSTITUTE(SUBSTITUTE(SUBSTITUTE(SUBSTITUTE(SUBSTITUTE(TRIM($D1161),"'",""),"İ","I"),"ı","I"),"i","I"),"Ş","S"),"ş","S"),"Ğ","G"),"ğ","G"),"Ü","U"),"ü","U"),"Ö","O"),"ö","O"),"Ç","C"),"ç","C"),".",""),",","")," ",""),"-","")))</f>
        <v/>
      </c>
      <c r="S1161" s="3">
        <f>IF($D1161="","",$C1161&amp;"|"&amp;TEXT($E1161,"0")&amp;"|"&amp;TEXT($F1161,"0")&amp;"|"&amp;$I1161)</f>
        <v/>
      </c>
      <c r="T1161" s="3">
        <f>IF($E1161="",0,SUMPRODUCT((AY_SONU!$O$7:$O$42="Evet")*(AY_SONU!$B$7:$B$42=DATE(YEAR($E1161),MONTH($E1161),1))))</f>
        <v/>
      </c>
    </row>
    <row r="1162">
      <c r="A1162" s="6" t="n"/>
      <c r="B1162" s="113">
        <f>IF($D1162="","","T"&amp;TEXT(ROW()-6,"00000"))</f>
        <v/>
      </c>
      <c r="C1162" s="113">
        <f>IF($D1162="","",IFERROR(INDEX(MUSTERILER!$B$7:$B$106,MATCH($R1162,MUSTERILER!$T$7:$T$106,0)),IFERROR(INDEX(MUSTERILER!$B$7:$B$106,MATCH($D1162,MUSTERILER!$B$7:$B$106,0)),IFERROR(INDEX(MUSTERILER!$B$7:$B$106,MATCH($R1162&amp;"*",MUSTERILER!$T$7:$T$106,0)),"TANIMSIZ MÜŞTERİ"))))</f>
        <v/>
      </c>
      <c r="D1162" s="109" t="n"/>
      <c r="E1162" s="220" t="n"/>
      <c r="F1162" s="221" t="n"/>
      <c r="G1162" s="108" t="n"/>
      <c r="H1162" s="108" t="n"/>
      <c r="I1162" s="109" t="n"/>
      <c r="J1162" s="109" t="n"/>
      <c r="K1162" s="109" t="n"/>
      <c r="L1162" s="226">
        <f>IF($E1162="","",DATE(YEAR($E1162),MONTH($E1162),1))</f>
        <v/>
      </c>
      <c r="M1162" s="113">
        <f>IF($D1162="","",IF($C1162="TANIMSIZ MÜŞTERİ","HATA",IF(OR($E1162="",$F1162&lt;=0,$G1162=""),"EKSİK",IF($E1162&gt;TODAY(),"İLERİ TARİH",IF(COUNTIF($S$7:$S$1506,$S1162)&gt;1,"MÜKERRER?",IF($T1162&gt;0,"KAPALI DÖNEM","UYGUN"))))))</f>
        <v/>
      </c>
      <c r="N1162" s="121">
        <f>IF($C1162="","",IF($C1162="TANIMSIZ MÜŞTERİ","—",INDEX(MUSTERILER!$C$7:$C$106,MATCH($C1162,MUSTERILER!$B$7:$B$106,0))))</f>
        <v/>
      </c>
      <c r="O1162" s="6" t="n"/>
      <c r="P1162" s="6" t="n"/>
      <c r="Q1162" s="3">
        <f>IF($D1162="","",$C1162&amp;"|"&amp;COUNTIFS($C$7:$C1162,$C1162))</f>
        <v/>
      </c>
      <c r="R1162" s="3">
        <f>IF($D1162="","",UPPER(SUBSTITUTE(SUBSTITUTE(SUBSTITUTE(SUBSTITUTE(SUBSTITUTE(SUBSTITUTE(SUBSTITUTE(SUBSTITUTE(SUBSTITUTE(SUBSTITUTE(SUBSTITUTE(SUBSTITUTE(SUBSTITUTE(SUBSTITUTE(SUBSTITUTE(SUBSTITUTE(SUBSTITUTE(SUBSTITUTE(TRIM($D1162),"'",""),"İ","I"),"ı","I"),"i","I"),"Ş","S"),"ş","S"),"Ğ","G"),"ğ","G"),"Ü","U"),"ü","U"),"Ö","O"),"ö","O"),"Ç","C"),"ç","C"),".",""),",","")," ",""),"-","")))</f>
        <v/>
      </c>
      <c r="S1162" s="3">
        <f>IF($D1162="","",$C1162&amp;"|"&amp;TEXT($E1162,"0")&amp;"|"&amp;TEXT($F1162,"0")&amp;"|"&amp;$I1162)</f>
        <v/>
      </c>
      <c r="T1162" s="3">
        <f>IF($E1162="",0,SUMPRODUCT((AY_SONU!$O$7:$O$42="Evet")*(AY_SONU!$B$7:$B$42=DATE(YEAR($E1162),MONTH($E1162),1))))</f>
        <v/>
      </c>
    </row>
    <row r="1163">
      <c r="A1163" s="6" t="n"/>
      <c r="B1163" s="113">
        <f>IF($D1163="","","T"&amp;TEXT(ROW()-6,"00000"))</f>
        <v/>
      </c>
      <c r="C1163" s="113">
        <f>IF($D1163="","",IFERROR(INDEX(MUSTERILER!$B$7:$B$106,MATCH($R1163,MUSTERILER!$T$7:$T$106,0)),IFERROR(INDEX(MUSTERILER!$B$7:$B$106,MATCH($D1163,MUSTERILER!$B$7:$B$106,0)),IFERROR(INDEX(MUSTERILER!$B$7:$B$106,MATCH($R1163&amp;"*",MUSTERILER!$T$7:$T$106,0)),"TANIMSIZ MÜŞTERİ"))))</f>
        <v/>
      </c>
      <c r="D1163" s="109" t="n"/>
      <c r="E1163" s="220" t="n"/>
      <c r="F1163" s="221" t="n"/>
      <c r="G1163" s="108" t="n"/>
      <c r="H1163" s="108" t="n"/>
      <c r="I1163" s="109" t="n"/>
      <c r="J1163" s="109" t="n"/>
      <c r="K1163" s="109" t="n"/>
      <c r="L1163" s="226">
        <f>IF($E1163="","",DATE(YEAR($E1163),MONTH($E1163),1))</f>
        <v/>
      </c>
      <c r="M1163" s="113">
        <f>IF($D1163="","",IF($C1163="TANIMSIZ MÜŞTERİ","HATA",IF(OR($E1163="",$F1163&lt;=0,$G1163=""),"EKSİK",IF($E1163&gt;TODAY(),"İLERİ TARİH",IF(COUNTIF($S$7:$S$1506,$S1163)&gt;1,"MÜKERRER?",IF($T1163&gt;0,"KAPALI DÖNEM","UYGUN"))))))</f>
        <v/>
      </c>
      <c r="N1163" s="121">
        <f>IF($C1163="","",IF($C1163="TANIMSIZ MÜŞTERİ","—",INDEX(MUSTERILER!$C$7:$C$106,MATCH($C1163,MUSTERILER!$B$7:$B$106,0))))</f>
        <v/>
      </c>
      <c r="O1163" s="6" t="n"/>
      <c r="P1163" s="6" t="n"/>
      <c r="Q1163" s="3">
        <f>IF($D1163="","",$C1163&amp;"|"&amp;COUNTIFS($C$7:$C1163,$C1163))</f>
        <v/>
      </c>
      <c r="R1163" s="3">
        <f>IF($D1163="","",UPPER(SUBSTITUTE(SUBSTITUTE(SUBSTITUTE(SUBSTITUTE(SUBSTITUTE(SUBSTITUTE(SUBSTITUTE(SUBSTITUTE(SUBSTITUTE(SUBSTITUTE(SUBSTITUTE(SUBSTITUTE(SUBSTITUTE(SUBSTITUTE(SUBSTITUTE(SUBSTITUTE(SUBSTITUTE(SUBSTITUTE(TRIM($D1163),"'",""),"İ","I"),"ı","I"),"i","I"),"Ş","S"),"ş","S"),"Ğ","G"),"ğ","G"),"Ü","U"),"ü","U"),"Ö","O"),"ö","O"),"Ç","C"),"ç","C"),".",""),",","")," ",""),"-","")))</f>
        <v/>
      </c>
      <c r="S1163" s="3">
        <f>IF($D1163="","",$C1163&amp;"|"&amp;TEXT($E1163,"0")&amp;"|"&amp;TEXT($F1163,"0")&amp;"|"&amp;$I1163)</f>
        <v/>
      </c>
      <c r="T1163" s="3">
        <f>IF($E1163="",0,SUMPRODUCT((AY_SONU!$O$7:$O$42="Evet")*(AY_SONU!$B$7:$B$42=DATE(YEAR($E1163),MONTH($E1163),1))))</f>
        <v/>
      </c>
    </row>
    <row r="1164">
      <c r="A1164" s="6" t="n"/>
      <c r="B1164" s="113">
        <f>IF($D1164="","","T"&amp;TEXT(ROW()-6,"00000"))</f>
        <v/>
      </c>
      <c r="C1164" s="113">
        <f>IF($D1164="","",IFERROR(INDEX(MUSTERILER!$B$7:$B$106,MATCH($R1164,MUSTERILER!$T$7:$T$106,0)),IFERROR(INDEX(MUSTERILER!$B$7:$B$106,MATCH($D1164,MUSTERILER!$B$7:$B$106,0)),IFERROR(INDEX(MUSTERILER!$B$7:$B$106,MATCH($R1164&amp;"*",MUSTERILER!$T$7:$T$106,0)),"TANIMSIZ MÜŞTERİ"))))</f>
        <v/>
      </c>
      <c r="D1164" s="109" t="n"/>
      <c r="E1164" s="220" t="n"/>
      <c r="F1164" s="221" t="n"/>
      <c r="G1164" s="108" t="n"/>
      <c r="H1164" s="108" t="n"/>
      <c r="I1164" s="109" t="n"/>
      <c r="J1164" s="109" t="n"/>
      <c r="K1164" s="109" t="n"/>
      <c r="L1164" s="226">
        <f>IF($E1164="","",DATE(YEAR($E1164),MONTH($E1164),1))</f>
        <v/>
      </c>
      <c r="M1164" s="113">
        <f>IF($D1164="","",IF($C1164="TANIMSIZ MÜŞTERİ","HATA",IF(OR($E1164="",$F1164&lt;=0,$G1164=""),"EKSİK",IF($E1164&gt;TODAY(),"İLERİ TARİH",IF(COUNTIF($S$7:$S$1506,$S1164)&gt;1,"MÜKERRER?",IF($T1164&gt;0,"KAPALI DÖNEM","UYGUN"))))))</f>
        <v/>
      </c>
      <c r="N1164" s="121">
        <f>IF($C1164="","",IF($C1164="TANIMSIZ MÜŞTERİ","—",INDEX(MUSTERILER!$C$7:$C$106,MATCH($C1164,MUSTERILER!$B$7:$B$106,0))))</f>
        <v/>
      </c>
      <c r="O1164" s="6" t="n"/>
      <c r="P1164" s="6" t="n"/>
      <c r="Q1164" s="3">
        <f>IF($D1164="","",$C1164&amp;"|"&amp;COUNTIFS($C$7:$C1164,$C1164))</f>
        <v/>
      </c>
      <c r="R1164" s="3">
        <f>IF($D1164="","",UPPER(SUBSTITUTE(SUBSTITUTE(SUBSTITUTE(SUBSTITUTE(SUBSTITUTE(SUBSTITUTE(SUBSTITUTE(SUBSTITUTE(SUBSTITUTE(SUBSTITUTE(SUBSTITUTE(SUBSTITUTE(SUBSTITUTE(SUBSTITUTE(SUBSTITUTE(SUBSTITUTE(SUBSTITUTE(SUBSTITUTE(TRIM($D1164),"'",""),"İ","I"),"ı","I"),"i","I"),"Ş","S"),"ş","S"),"Ğ","G"),"ğ","G"),"Ü","U"),"ü","U"),"Ö","O"),"ö","O"),"Ç","C"),"ç","C"),".",""),",","")," ",""),"-","")))</f>
        <v/>
      </c>
      <c r="S1164" s="3">
        <f>IF($D1164="","",$C1164&amp;"|"&amp;TEXT($E1164,"0")&amp;"|"&amp;TEXT($F1164,"0")&amp;"|"&amp;$I1164)</f>
        <v/>
      </c>
      <c r="T1164" s="3">
        <f>IF($E1164="",0,SUMPRODUCT((AY_SONU!$O$7:$O$42="Evet")*(AY_SONU!$B$7:$B$42=DATE(YEAR($E1164),MONTH($E1164),1))))</f>
        <v/>
      </c>
    </row>
    <row r="1165">
      <c r="A1165" s="6" t="n"/>
      <c r="B1165" s="113">
        <f>IF($D1165="","","T"&amp;TEXT(ROW()-6,"00000"))</f>
        <v/>
      </c>
      <c r="C1165" s="113">
        <f>IF($D1165="","",IFERROR(INDEX(MUSTERILER!$B$7:$B$106,MATCH($R1165,MUSTERILER!$T$7:$T$106,0)),IFERROR(INDEX(MUSTERILER!$B$7:$B$106,MATCH($D1165,MUSTERILER!$B$7:$B$106,0)),IFERROR(INDEX(MUSTERILER!$B$7:$B$106,MATCH($R1165&amp;"*",MUSTERILER!$T$7:$T$106,0)),"TANIMSIZ MÜŞTERİ"))))</f>
        <v/>
      </c>
      <c r="D1165" s="109" t="n"/>
      <c r="E1165" s="220" t="n"/>
      <c r="F1165" s="221" t="n"/>
      <c r="G1165" s="108" t="n"/>
      <c r="H1165" s="108" t="n"/>
      <c r="I1165" s="109" t="n"/>
      <c r="J1165" s="109" t="n"/>
      <c r="K1165" s="109" t="n"/>
      <c r="L1165" s="226">
        <f>IF($E1165="","",DATE(YEAR($E1165),MONTH($E1165),1))</f>
        <v/>
      </c>
      <c r="M1165" s="113">
        <f>IF($D1165="","",IF($C1165="TANIMSIZ MÜŞTERİ","HATA",IF(OR($E1165="",$F1165&lt;=0,$G1165=""),"EKSİK",IF($E1165&gt;TODAY(),"İLERİ TARİH",IF(COUNTIF($S$7:$S$1506,$S1165)&gt;1,"MÜKERRER?",IF($T1165&gt;0,"KAPALI DÖNEM","UYGUN"))))))</f>
        <v/>
      </c>
      <c r="N1165" s="121">
        <f>IF($C1165="","",IF($C1165="TANIMSIZ MÜŞTERİ","—",INDEX(MUSTERILER!$C$7:$C$106,MATCH($C1165,MUSTERILER!$B$7:$B$106,0))))</f>
        <v/>
      </c>
      <c r="O1165" s="6" t="n"/>
      <c r="P1165" s="6" t="n"/>
      <c r="Q1165" s="3">
        <f>IF($D1165="","",$C1165&amp;"|"&amp;COUNTIFS($C$7:$C1165,$C1165))</f>
        <v/>
      </c>
      <c r="R1165" s="3">
        <f>IF($D1165="","",UPPER(SUBSTITUTE(SUBSTITUTE(SUBSTITUTE(SUBSTITUTE(SUBSTITUTE(SUBSTITUTE(SUBSTITUTE(SUBSTITUTE(SUBSTITUTE(SUBSTITUTE(SUBSTITUTE(SUBSTITUTE(SUBSTITUTE(SUBSTITUTE(SUBSTITUTE(SUBSTITUTE(SUBSTITUTE(SUBSTITUTE(TRIM($D1165),"'",""),"İ","I"),"ı","I"),"i","I"),"Ş","S"),"ş","S"),"Ğ","G"),"ğ","G"),"Ü","U"),"ü","U"),"Ö","O"),"ö","O"),"Ç","C"),"ç","C"),".",""),",","")," ",""),"-","")))</f>
        <v/>
      </c>
      <c r="S1165" s="3">
        <f>IF($D1165="","",$C1165&amp;"|"&amp;TEXT($E1165,"0")&amp;"|"&amp;TEXT($F1165,"0")&amp;"|"&amp;$I1165)</f>
        <v/>
      </c>
      <c r="T1165" s="3">
        <f>IF($E1165="",0,SUMPRODUCT((AY_SONU!$O$7:$O$42="Evet")*(AY_SONU!$B$7:$B$42=DATE(YEAR($E1165),MONTH($E1165),1))))</f>
        <v/>
      </c>
    </row>
    <row r="1166">
      <c r="A1166" s="6" t="n"/>
      <c r="B1166" s="113">
        <f>IF($D1166="","","T"&amp;TEXT(ROW()-6,"00000"))</f>
        <v/>
      </c>
      <c r="C1166" s="113">
        <f>IF($D1166="","",IFERROR(INDEX(MUSTERILER!$B$7:$B$106,MATCH($R1166,MUSTERILER!$T$7:$T$106,0)),IFERROR(INDEX(MUSTERILER!$B$7:$B$106,MATCH($D1166,MUSTERILER!$B$7:$B$106,0)),IFERROR(INDEX(MUSTERILER!$B$7:$B$106,MATCH($R1166&amp;"*",MUSTERILER!$T$7:$T$106,0)),"TANIMSIZ MÜŞTERİ"))))</f>
        <v/>
      </c>
      <c r="D1166" s="109" t="n"/>
      <c r="E1166" s="220" t="n"/>
      <c r="F1166" s="221" t="n"/>
      <c r="G1166" s="108" t="n"/>
      <c r="H1166" s="108" t="n"/>
      <c r="I1166" s="109" t="n"/>
      <c r="J1166" s="109" t="n"/>
      <c r="K1166" s="109" t="n"/>
      <c r="L1166" s="226">
        <f>IF($E1166="","",DATE(YEAR($E1166),MONTH($E1166),1))</f>
        <v/>
      </c>
      <c r="M1166" s="113">
        <f>IF($D1166="","",IF($C1166="TANIMSIZ MÜŞTERİ","HATA",IF(OR($E1166="",$F1166&lt;=0,$G1166=""),"EKSİK",IF($E1166&gt;TODAY(),"İLERİ TARİH",IF(COUNTIF($S$7:$S$1506,$S1166)&gt;1,"MÜKERRER?",IF($T1166&gt;0,"KAPALI DÖNEM","UYGUN"))))))</f>
        <v/>
      </c>
      <c r="N1166" s="121">
        <f>IF($C1166="","",IF($C1166="TANIMSIZ MÜŞTERİ","—",INDEX(MUSTERILER!$C$7:$C$106,MATCH($C1166,MUSTERILER!$B$7:$B$106,0))))</f>
        <v/>
      </c>
      <c r="O1166" s="6" t="n"/>
      <c r="P1166" s="6" t="n"/>
      <c r="Q1166" s="3">
        <f>IF($D1166="","",$C1166&amp;"|"&amp;COUNTIFS($C$7:$C1166,$C1166))</f>
        <v/>
      </c>
      <c r="R1166" s="3">
        <f>IF($D1166="","",UPPER(SUBSTITUTE(SUBSTITUTE(SUBSTITUTE(SUBSTITUTE(SUBSTITUTE(SUBSTITUTE(SUBSTITUTE(SUBSTITUTE(SUBSTITUTE(SUBSTITUTE(SUBSTITUTE(SUBSTITUTE(SUBSTITUTE(SUBSTITUTE(SUBSTITUTE(SUBSTITUTE(SUBSTITUTE(SUBSTITUTE(TRIM($D1166),"'",""),"İ","I"),"ı","I"),"i","I"),"Ş","S"),"ş","S"),"Ğ","G"),"ğ","G"),"Ü","U"),"ü","U"),"Ö","O"),"ö","O"),"Ç","C"),"ç","C"),".",""),",","")," ",""),"-","")))</f>
        <v/>
      </c>
      <c r="S1166" s="3">
        <f>IF($D1166="","",$C1166&amp;"|"&amp;TEXT($E1166,"0")&amp;"|"&amp;TEXT($F1166,"0")&amp;"|"&amp;$I1166)</f>
        <v/>
      </c>
      <c r="T1166" s="3">
        <f>IF($E1166="",0,SUMPRODUCT((AY_SONU!$O$7:$O$42="Evet")*(AY_SONU!$B$7:$B$42=DATE(YEAR($E1166),MONTH($E1166),1))))</f>
        <v/>
      </c>
    </row>
    <row r="1167">
      <c r="A1167" s="6" t="n"/>
      <c r="B1167" s="113">
        <f>IF($D1167="","","T"&amp;TEXT(ROW()-6,"00000"))</f>
        <v/>
      </c>
      <c r="C1167" s="113">
        <f>IF($D1167="","",IFERROR(INDEX(MUSTERILER!$B$7:$B$106,MATCH($R1167,MUSTERILER!$T$7:$T$106,0)),IFERROR(INDEX(MUSTERILER!$B$7:$B$106,MATCH($D1167,MUSTERILER!$B$7:$B$106,0)),IFERROR(INDEX(MUSTERILER!$B$7:$B$106,MATCH($R1167&amp;"*",MUSTERILER!$T$7:$T$106,0)),"TANIMSIZ MÜŞTERİ"))))</f>
        <v/>
      </c>
      <c r="D1167" s="109" t="n"/>
      <c r="E1167" s="220" t="n"/>
      <c r="F1167" s="221" t="n"/>
      <c r="G1167" s="108" t="n"/>
      <c r="H1167" s="108" t="n"/>
      <c r="I1167" s="109" t="n"/>
      <c r="J1167" s="109" t="n"/>
      <c r="K1167" s="109" t="n"/>
      <c r="L1167" s="226">
        <f>IF($E1167="","",DATE(YEAR($E1167),MONTH($E1167),1))</f>
        <v/>
      </c>
      <c r="M1167" s="113">
        <f>IF($D1167="","",IF($C1167="TANIMSIZ MÜŞTERİ","HATA",IF(OR($E1167="",$F1167&lt;=0,$G1167=""),"EKSİK",IF($E1167&gt;TODAY(),"İLERİ TARİH",IF(COUNTIF($S$7:$S$1506,$S1167)&gt;1,"MÜKERRER?",IF($T1167&gt;0,"KAPALI DÖNEM","UYGUN"))))))</f>
        <v/>
      </c>
      <c r="N1167" s="121">
        <f>IF($C1167="","",IF($C1167="TANIMSIZ MÜŞTERİ","—",INDEX(MUSTERILER!$C$7:$C$106,MATCH($C1167,MUSTERILER!$B$7:$B$106,0))))</f>
        <v/>
      </c>
      <c r="O1167" s="6" t="n"/>
      <c r="P1167" s="6" t="n"/>
      <c r="Q1167" s="3">
        <f>IF($D1167="","",$C1167&amp;"|"&amp;COUNTIFS($C$7:$C1167,$C1167))</f>
        <v/>
      </c>
      <c r="R1167" s="3">
        <f>IF($D1167="","",UPPER(SUBSTITUTE(SUBSTITUTE(SUBSTITUTE(SUBSTITUTE(SUBSTITUTE(SUBSTITUTE(SUBSTITUTE(SUBSTITUTE(SUBSTITUTE(SUBSTITUTE(SUBSTITUTE(SUBSTITUTE(SUBSTITUTE(SUBSTITUTE(SUBSTITUTE(SUBSTITUTE(SUBSTITUTE(SUBSTITUTE(TRIM($D1167),"'",""),"İ","I"),"ı","I"),"i","I"),"Ş","S"),"ş","S"),"Ğ","G"),"ğ","G"),"Ü","U"),"ü","U"),"Ö","O"),"ö","O"),"Ç","C"),"ç","C"),".",""),",","")," ",""),"-","")))</f>
        <v/>
      </c>
      <c r="S1167" s="3">
        <f>IF($D1167="","",$C1167&amp;"|"&amp;TEXT($E1167,"0")&amp;"|"&amp;TEXT($F1167,"0")&amp;"|"&amp;$I1167)</f>
        <v/>
      </c>
      <c r="T1167" s="3">
        <f>IF($E1167="",0,SUMPRODUCT((AY_SONU!$O$7:$O$42="Evet")*(AY_SONU!$B$7:$B$42=DATE(YEAR($E1167),MONTH($E1167),1))))</f>
        <v/>
      </c>
    </row>
    <row r="1168">
      <c r="A1168" s="6" t="n"/>
      <c r="B1168" s="113">
        <f>IF($D1168="","","T"&amp;TEXT(ROW()-6,"00000"))</f>
        <v/>
      </c>
      <c r="C1168" s="113">
        <f>IF($D1168="","",IFERROR(INDEX(MUSTERILER!$B$7:$B$106,MATCH($R1168,MUSTERILER!$T$7:$T$106,0)),IFERROR(INDEX(MUSTERILER!$B$7:$B$106,MATCH($D1168,MUSTERILER!$B$7:$B$106,0)),IFERROR(INDEX(MUSTERILER!$B$7:$B$106,MATCH($R1168&amp;"*",MUSTERILER!$T$7:$T$106,0)),"TANIMSIZ MÜŞTERİ"))))</f>
        <v/>
      </c>
      <c r="D1168" s="109" t="n"/>
      <c r="E1168" s="220" t="n"/>
      <c r="F1168" s="221" t="n"/>
      <c r="G1168" s="108" t="n"/>
      <c r="H1168" s="108" t="n"/>
      <c r="I1168" s="109" t="n"/>
      <c r="J1168" s="109" t="n"/>
      <c r="K1168" s="109" t="n"/>
      <c r="L1168" s="226">
        <f>IF($E1168="","",DATE(YEAR($E1168),MONTH($E1168),1))</f>
        <v/>
      </c>
      <c r="M1168" s="113">
        <f>IF($D1168="","",IF($C1168="TANIMSIZ MÜŞTERİ","HATA",IF(OR($E1168="",$F1168&lt;=0,$G1168=""),"EKSİK",IF($E1168&gt;TODAY(),"İLERİ TARİH",IF(COUNTIF($S$7:$S$1506,$S1168)&gt;1,"MÜKERRER?",IF($T1168&gt;0,"KAPALI DÖNEM","UYGUN"))))))</f>
        <v/>
      </c>
      <c r="N1168" s="121">
        <f>IF($C1168="","",IF($C1168="TANIMSIZ MÜŞTERİ","—",INDEX(MUSTERILER!$C$7:$C$106,MATCH($C1168,MUSTERILER!$B$7:$B$106,0))))</f>
        <v/>
      </c>
      <c r="O1168" s="6" t="n"/>
      <c r="P1168" s="6" t="n"/>
      <c r="Q1168" s="3">
        <f>IF($D1168="","",$C1168&amp;"|"&amp;COUNTIFS($C$7:$C1168,$C1168))</f>
        <v/>
      </c>
      <c r="R1168" s="3">
        <f>IF($D1168="","",UPPER(SUBSTITUTE(SUBSTITUTE(SUBSTITUTE(SUBSTITUTE(SUBSTITUTE(SUBSTITUTE(SUBSTITUTE(SUBSTITUTE(SUBSTITUTE(SUBSTITUTE(SUBSTITUTE(SUBSTITUTE(SUBSTITUTE(SUBSTITUTE(SUBSTITUTE(SUBSTITUTE(SUBSTITUTE(SUBSTITUTE(TRIM($D1168),"'",""),"İ","I"),"ı","I"),"i","I"),"Ş","S"),"ş","S"),"Ğ","G"),"ğ","G"),"Ü","U"),"ü","U"),"Ö","O"),"ö","O"),"Ç","C"),"ç","C"),".",""),",","")," ",""),"-","")))</f>
        <v/>
      </c>
      <c r="S1168" s="3">
        <f>IF($D1168="","",$C1168&amp;"|"&amp;TEXT($E1168,"0")&amp;"|"&amp;TEXT($F1168,"0")&amp;"|"&amp;$I1168)</f>
        <v/>
      </c>
      <c r="T1168" s="3">
        <f>IF($E1168="",0,SUMPRODUCT((AY_SONU!$O$7:$O$42="Evet")*(AY_SONU!$B$7:$B$42=DATE(YEAR($E1168),MONTH($E1168),1))))</f>
        <v/>
      </c>
    </row>
    <row r="1169">
      <c r="A1169" s="6" t="n"/>
      <c r="B1169" s="113">
        <f>IF($D1169="","","T"&amp;TEXT(ROW()-6,"00000"))</f>
        <v/>
      </c>
      <c r="C1169" s="113">
        <f>IF($D1169="","",IFERROR(INDEX(MUSTERILER!$B$7:$B$106,MATCH($R1169,MUSTERILER!$T$7:$T$106,0)),IFERROR(INDEX(MUSTERILER!$B$7:$B$106,MATCH($D1169,MUSTERILER!$B$7:$B$106,0)),IFERROR(INDEX(MUSTERILER!$B$7:$B$106,MATCH($R1169&amp;"*",MUSTERILER!$T$7:$T$106,0)),"TANIMSIZ MÜŞTERİ"))))</f>
        <v/>
      </c>
      <c r="D1169" s="109" t="n"/>
      <c r="E1169" s="220" t="n"/>
      <c r="F1169" s="221" t="n"/>
      <c r="G1169" s="108" t="n"/>
      <c r="H1169" s="108" t="n"/>
      <c r="I1169" s="109" t="n"/>
      <c r="J1169" s="109" t="n"/>
      <c r="K1169" s="109" t="n"/>
      <c r="L1169" s="226">
        <f>IF($E1169="","",DATE(YEAR($E1169),MONTH($E1169),1))</f>
        <v/>
      </c>
      <c r="M1169" s="113">
        <f>IF($D1169="","",IF($C1169="TANIMSIZ MÜŞTERİ","HATA",IF(OR($E1169="",$F1169&lt;=0,$G1169=""),"EKSİK",IF($E1169&gt;TODAY(),"İLERİ TARİH",IF(COUNTIF($S$7:$S$1506,$S1169)&gt;1,"MÜKERRER?",IF($T1169&gt;0,"KAPALI DÖNEM","UYGUN"))))))</f>
        <v/>
      </c>
      <c r="N1169" s="121">
        <f>IF($C1169="","",IF($C1169="TANIMSIZ MÜŞTERİ","—",INDEX(MUSTERILER!$C$7:$C$106,MATCH($C1169,MUSTERILER!$B$7:$B$106,0))))</f>
        <v/>
      </c>
      <c r="O1169" s="6" t="n"/>
      <c r="P1169" s="6" t="n"/>
      <c r="Q1169" s="3">
        <f>IF($D1169="","",$C1169&amp;"|"&amp;COUNTIFS($C$7:$C1169,$C1169))</f>
        <v/>
      </c>
      <c r="R1169" s="3">
        <f>IF($D1169="","",UPPER(SUBSTITUTE(SUBSTITUTE(SUBSTITUTE(SUBSTITUTE(SUBSTITUTE(SUBSTITUTE(SUBSTITUTE(SUBSTITUTE(SUBSTITUTE(SUBSTITUTE(SUBSTITUTE(SUBSTITUTE(SUBSTITUTE(SUBSTITUTE(SUBSTITUTE(SUBSTITUTE(SUBSTITUTE(SUBSTITUTE(TRIM($D1169),"'",""),"İ","I"),"ı","I"),"i","I"),"Ş","S"),"ş","S"),"Ğ","G"),"ğ","G"),"Ü","U"),"ü","U"),"Ö","O"),"ö","O"),"Ç","C"),"ç","C"),".",""),",","")," ",""),"-","")))</f>
        <v/>
      </c>
      <c r="S1169" s="3">
        <f>IF($D1169="","",$C1169&amp;"|"&amp;TEXT($E1169,"0")&amp;"|"&amp;TEXT($F1169,"0")&amp;"|"&amp;$I1169)</f>
        <v/>
      </c>
      <c r="T1169" s="3">
        <f>IF($E1169="",0,SUMPRODUCT((AY_SONU!$O$7:$O$42="Evet")*(AY_SONU!$B$7:$B$42=DATE(YEAR($E1169),MONTH($E1169),1))))</f>
        <v/>
      </c>
    </row>
    <row r="1170">
      <c r="A1170" s="6" t="n"/>
      <c r="B1170" s="113">
        <f>IF($D1170="","","T"&amp;TEXT(ROW()-6,"00000"))</f>
        <v/>
      </c>
      <c r="C1170" s="113">
        <f>IF($D1170="","",IFERROR(INDEX(MUSTERILER!$B$7:$B$106,MATCH($R1170,MUSTERILER!$T$7:$T$106,0)),IFERROR(INDEX(MUSTERILER!$B$7:$B$106,MATCH($D1170,MUSTERILER!$B$7:$B$106,0)),IFERROR(INDEX(MUSTERILER!$B$7:$B$106,MATCH($R1170&amp;"*",MUSTERILER!$T$7:$T$106,0)),"TANIMSIZ MÜŞTERİ"))))</f>
        <v/>
      </c>
      <c r="D1170" s="109" t="n"/>
      <c r="E1170" s="220" t="n"/>
      <c r="F1170" s="221" t="n"/>
      <c r="G1170" s="108" t="n"/>
      <c r="H1170" s="108" t="n"/>
      <c r="I1170" s="109" t="n"/>
      <c r="J1170" s="109" t="n"/>
      <c r="K1170" s="109" t="n"/>
      <c r="L1170" s="226">
        <f>IF($E1170="","",DATE(YEAR($E1170),MONTH($E1170),1))</f>
        <v/>
      </c>
      <c r="M1170" s="113">
        <f>IF($D1170="","",IF($C1170="TANIMSIZ MÜŞTERİ","HATA",IF(OR($E1170="",$F1170&lt;=0,$G1170=""),"EKSİK",IF($E1170&gt;TODAY(),"İLERİ TARİH",IF(COUNTIF($S$7:$S$1506,$S1170)&gt;1,"MÜKERRER?",IF($T1170&gt;0,"KAPALI DÖNEM","UYGUN"))))))</f>
        <v/>
      </c>
      <c r="N1170" s="121">
        <f>IF($C1170="","",IF($C1170="TANIMSIZ MÜŞTERİ","—",INDEX(MUSTERILER!$C$7:$C$106,MATCH($C1170,MUSTERILER!$B$7:$B$106,0))))</f>
        <v/>
      </c>
      <c r="O1170" s="6" t="n"/>
      <c r="P1170" s="6" t="n"/>
      <c r="Q1170" s="3">
        <f>IF($D1170="","",$C1170&amp;"|"&amp;COUNTIFS($C$7:$C1170,$C1170))</f>
        <v/>
      </c>
      <c r="R1170" s="3">
        <f>IF($D1170="","",UPPER(SUBSTITUTE(SUBSTITUTE(SUBSTITUTE(SUBSTITUTE(SUBSTITUTE(SUBSTITUTE(SUBSTITUTE(SUBSTITUTE(SUBSTITUTE(SUBSTITUTE(SUBSTITUTE(SUBSTITUTE(SUBSTITUTE(SUBSTITUTE(SUBSTITUTE(SUBSTITUTE(SUBSTITUTE(SUBSTITUTE(TRIM($D1170),"'",""),"İ","I"),"ı","I"),"i","I"),"Ş","S"),"ş","S"),"Ğ","G"),"ğ","G"),"Ü","U"),"ü","U"),"Ö","O"),"ö","O"),"Ç","C"),"ç","C"),".",""),",","")," ",""),"-","")))</f>
        <v/>
      </c>
      <c r="S1170" s="3">
        <f>IF($D1170="","",$C1170&amp;"|"&amp;TEXT($E1170,"0")&amp;"|"&amp;TEXT($F1170,"0")&amp;"|"&amp;$I1170)</f>
        <v/>
      </c>
      <c r="T1170" s="3">
        <f>IF($E1170="",0,SUMPRODUCT((AY_SONU!$O$7:$O$42="Evet")*(AY_SONU!$B$7:$B$42=DATE(YEAR($E1170),MONTH($E1170),1))))</f>
        <v/>
      </c>
    </row>
    <row r="1171">
      <c r="A1171" s="6" t="n"/>
      <c r="B1171" s="113">
        <f>IF($D1171="","","T"&amp;TEXT(ROW()-6,"00000"))</f>
        <v/>
      </c>
      <c r="C1171" s="113">
        <f>IF($D1171="","",IFERROR(INDEX(MUSTERILER!$B$7:$B$106,MATCH($R1171,MUSTERILER!$T$7:$T$106,0)),IFERROR(INDEX(MUSTERILER!$B$7:$B$106,MATCH($D1171,MUSTERILER!$B$7:$B$106,0)),IFERROR(INDEX(MUSTERILER!$B$7:$B$106,MATCH($R1171&amp;"*",MUSTERILER!$T$7:$T$106,0)),"TANIMSIZ MÜŞTERİ"))))</f>
        <v/>
      </c>
      <c r="D1171" s="109" t="n"/>
      <c r="E1171" s="220" t="n"/>
      <c r="F1171" s="221" t="n"/>
      <c r="G1171" s="108" t="n"/>
      <c r="H1171" s="108" t="n"/>
      <c r="I1171" s="109" t="n"/>
      <c r="J1171" s="109" t="n"/>
      <c r="K1171" s="109" t="n"/>
      <c r="L1171" s="226">
        <f>IF($E1171="","",DATE(YEAR($E1171),MONTH($E1171),1))</f>
        <v/>
      </c>
      <c r="M1171" s="113">
        <f>IF($D1171="","",IF($C1171="TANIMSIZ MÜŞTERİ","HATA",IF(OR($E1171="",$F1171&lt;=0,$G1171=""),"EKSİK",IF($E1171&gt;TODAY(),"İLERİ TARİH",IF(COUNTIF($S$7:$S$1506,$S1171)&gt;1,"MÜKERRER?",IF($T1171&gt;0,"KAPALI DÖNEM","UYGUN"))))))</f>
        <v/>
      </c>
      <c r="N1171" s="121">
        <f>IF($C1171="","",IF($C1171="TANIMSIZ MÜŞTERİ","—",INDEX(MUSTERILER!$C$7:$C$106,MATCH($C1171,MUSTERILER!$B$7:$B$106,0))))</f>
        <v/>
      </c>
      <c r="O1171" s="6" t="n"/>
      <c r="P1171" s="6" t="n"/>
      <c r="Q1171" s="3">
        <f>IF($D1171="","",$C1171&amp;"|"&amp;COUNTIFS($C$7:$C1171,$C1171))</f>
        <v/>
      </c>
      <c r="R1171" s="3">
        <f>IF($D1171="","",UPPER(SUBSTITUTE(SUBSTITUTE(SUBSTITUTE(SUBSTITUTE(SUBSTITUTE(SUBSTITUTE(SUBSTITUTE(SUBSTITUTE(SUBSTITUTE(SUBSTITUTE(SUBSTITUTE(SUBSTITUTE(SUBSTITUTE(SUBSTITUTE(SUBSTITUTE(SUBSTITUTE(SUBSTITUTE(SUBSTITUTE(TRIM($D1171),"'",""),"İ","I"),"ı","I"),"i","I"),"Ş","S"),"ş","S"),"Ğ","G"),"ğ","G"),"Ü","U"),"ü","U"),"Ö","O"),"ö","O"),"Ç","C"),"ç","C"),".",""),",","")," ",""),"-","")))</f>
        <v/>
      </c>
      <c r="S1171" s="3">
        <f>IF($D1171="","",$C1171&amp;"|"&amp;TEXT($E1171,"0")&amp;"|"&amp;TEXT($F1171,"0")&amp;"|"&amp;$I1171)</f>
        <v/>
      </c>
      <c r="T1171" s="3">
        <f>IF($E1171="",0,SUMPRODUCT((AY_SONU!$O$7:$O$42="Evet")*(AY_SONU!$B$7:$B$42=DATE(YEAR($E1171),MONTH($E1171),1))))</f>
        <v/>
      </c>
    </row>
    <row r="1172">
      <c r="A1172" s="6" t="n"/>
      <c r="B1172" s="113">
        <f>IF($D1172="","","T"&amp;TEXT(ROW()-6,"00000"))</f>
        <v/>
      </c>
      <c r="C1172" s="113">
        <f>IF($D1172="","",IFERROR(INDEX(MUSTERILER!$B$7:$B$106,MATCH($R1172,MUSTERILER!$T$7:$T$106,0)),IFERROR(INDEX(MUSTERILER!$B$7:$B$106,MATCH($D1172,MUSTERILER!$B$7:$B$106,0)),IFERROR(INDEX(MUSTERILER!$B$7:$B$106,MATCH($R1172&amp;"*",MUSTERILER!$T$7:$T$106,0)),"TANIMSIZ MÜŞTERİ"))))</f>
        <v/>
      </c>
      <c r="D1172" s="109" t="n"/>
      <c r="E1172" s="220" t="n"/>
      <c r="F1172" s="221" t="n"/>
      <c r="G1172" s="108" t="n"/>
      <c r="H1172" s="108" t="n"/>
      <c r="I1172" s="109" t="n"/>
      <c r="J1172" s="109" t="n"/>
      <c r="K1172" s="109" t="n"/>
      <c r="L1172" s="226">
        <f>IF($E1172="","",DATE(YEAR($E1172),MONTH($E1172),1))</f>
        <v/>
      </c>
      <c r="M1172" s="113">
        <f>IF($D1172="","",IF($C1172="TANIMSIZ MÜŞTERİ","HATA",IF(OR($E1172="",$F1172&lt;=0,$G1172=""),"EKSİK",IF($E1172&gt;TODAY(),"İLERİ TARİH",IF(COUNTIF($S$7:$S$1506,$S1172)&gt;1,"MÜKERRER?",IF($T1172&gt;0,"KAPALI DÖNEM","UYGUN"))))))</f>
        <v/>
      </c>
      <c r="N1172" s="121">
        <f>IF($C1172="","",IF($C1172="TANIMSIZ MÜŞTERİ","—",INDEX(MUSTERILER!$C$7:$C$106,MATCH($C1172,MUSTERILER!$B$7:$B$106,0))))</f>
        <v/>
      </c>
      <c r="O1172" s="6" t="n"/>
      <c r="P1172" s="6" t="n"/>
      <c r="Q1172" s="3">
        <f>IF($D1172="","",$C1172&amp;"|"&amp;COUNTIFS($C$7:$C1172,$C1172))</f>
        <v/>
      </c>
      <c r="R1172" s="3">
        <f>IF($D1172="","",UPPER(SUBSTITUTE(SUBSTITUTE(SUBSTITUTE(SUBSTITUTE(SUBSTITUTE(SUBSTITUTE(SUBSTITUTE(SUBSTITUTE(SUBSTITUTE(SUBSTITUTE(SUBSTITUTE(SUBSTITUTE(SUBSTITUTE(SUBSTITUTE(SUBSTITUTE(SUBSTITUTE(SUBSTITUTE(SUBSTITUTE(TRIM($D1172),"'",""),"İ","I"),"ı","I"),"i","I"),"Ş","S"),"ş","S"),"Ğ","G"),"ğ","G"),"Ü","U"),"ü","U"),"Ö","O"),"ö","O"),"Ç","C"),"ç","C"),".",""),",","")," ",""),"-","")))</f>
        <v/>
      </c>
      <c r="S1172" s="3">
        <f>IF($D1172="","",$C1172&amp;"|"&amp;TEXT($E1172,"0")&amp;"|"&amp;TEXT($F1172,"0")&amp;"|"&amp;$I1172)</f>
        <v/>
      </c>
      <c r="T1172" s="3">
        <f>IF($E1172="",0,SUMPRODUCT((AY_SONU!$O$7:$O$42="Evet")*(AY_SONU!$B$7:$B$42=DATE(YEAR($E1172),MONTH($E1172),1))))</f>
        <v/>
      </c>
    </row>
    <row r="1173">
      <c r="A1173" s="6" t="n"/>
      <c r="B1173" s="113">
        <f>IF($D1173="","","T"&amp;TEXT(ROW()-6,"00000"))</f>
        <v/>
      </c>
      <c r="C1173" s="113">
        <f>IF($D1173="","",IFERROR(INDEX(MUSTERILER!$B$7:$B$106,MATCH($R1173,MUSTERILER!$T$7:$T$106,0)),IFERROR(INDEX(MUSTERILER!$B$7:$B$106,MATCH($D1173,MUSTERILER!$B$7:$B$106,0)),IFERROR(INDEX(MUSTERILER!$B$7:$B$106,MATCH($R1173&amp;"*",MUSTERILER!$T$7:$T$106,0)),"TANIMSIZ MÜŞTERİ"))))</f>
        <v/>
      </c>
      <c r="D1173" s="109" t="n"/>
      <c r="E1173" s="220" t="n"/>
      <c r="F1173" s="221" t="n"/>
      <c r="G1173" s="108" t="n"/>
      <c r="H1173" s="108" t="n"/>
      <c r="I1173" s="109" t="n"/>
      <c r="J1173" s="109" t="n"/>
      <c r="K1173" s="109" t="n"/>
      <c r="L1173" s="226">
        <f>IF($E1173="","",DATE(YEAR($E1173),MONTH($E1173),1))</f>
        <v/>
      </c>
      <c r="M1173" s="113">
        <f>IF($D1173="","",IF($C1173="TANIMSIZ MÜŞTERİ","HATA",IF(OR($E1173="",$F1173&lt;=0,$G1173=""),"EKSİK",IF($E1173&gt;TODAY(),"İLERİ TARİH",IF(COUNTIF($S$7:$S$1506,$S1173)&gt;1,"MÜKERRER?",IF($T1173&gt;0,"KAPALI DÖNEM","UYGUN"))))))</f>
        <v/>
      </c>
      <c r="N1173" s="121">
        <f>IF($C1173="","",IF($C1173="TANIMSIZ MÜŞTERİ","—",INDEX(MUSTERILER!$C$7:$C$106,MATCH($C1173,MUSTERILER!$B$7:$B$106,0))))</f>
        <v/>
      </c>
      <c r="O1173" s="6" t="n"/>
      <c r="P1173" s="6" t="n"/>
      <c r="Q1173" s="3">
        <f>IF($D1173="","",$C1173&amp;"|"&amp;COUNTIFS($C$7:$C1173,$C1173))</f>
        <v/>
      </c>
      <c r="R1173" s="3">
        <f>IF($D1173="","",UPPER(SUBSTITUTE(SUBSTITUTE(SUBSTITUTE(SUBSTITUTE(SUBSTITUTE(SUBSTITUTE(SUBSTITUTE(SUBSTITUTE(SUBSTITUTE(SUBSTITUTE(SUBSTITUTE(SUBSTITUTE(SUBSTITUTE(SUBSTITUTE(SUBSTITUTE(SUBSTITUTE(SUBSTITUTE(SUBSTITUTE(TRIM($D1173),"'",""),"İ","I"),"ı","I"),"i","I"),"Ş","S"),"ş","S"),"Ğ","G"),"ğ","G"),"Ü","U"),"ü","U"),"Ö","O"),"ö","O"),"Ç","C"),"ç","C"),".",""),",","")," ",""),"-","")))</f>
        <v/>
      </c>
      <c r="S1173" s="3">
        <f>IF($D1173="","",$C1173&amp;"|"&amp;TEXT($E1173,"0")&amp;"|"&amp;TEXT($F1173,"0")&amp;"|"&amp;$I1173)</f>
        <v/>
      </c>
      <c r="T1173" s="3">
        <f>IF($E1173="",0,SUMPRODUCT((AY_SONU!$O$7:$O$42="Evet")*(AY_SONU!$B$7:$B$42=DATE(YEAR($E1173),MONTH($E1173),1))))</f>
        <v/>
      </c>
    </row>
    <row r="1174">
      <c r="A1174" s="6" t="n"/>
      <c r="B1174" s="113">
        <f>IF($D1174="","","T"&amp;TEXT(ROW()-6,"00000"))</f>
        <v/>
      </c>
      <c r="C1174" s="113">
        <f>IF($D1174="","",IFERROR(INDEX(MUSTERILER!$B$7:$B$106,MATCH($R1174,MUSTERILER!$T$7:$T$106,0)),IFERROR(INDEX(MUSTERILER!$B$7:$B$106,MATCH($D1174,MUSTERILER!$B$7:$B$106,0)),IFERROR(INDEX(MUSTERILER!$B$7:$B$106,MATCH($R1174&amp;"*",MUSTERILER!$T$7:$T$106,0)),"TANIMSIZ MÜŞTERİ"))))</f>
        <v/>
      </c>
      <c r="D1174" s="109" t="n"/>
      <c r="E1174" s="220" t="n"/>
      <c r="F1174" s="221" t="n"/>
      <c r="G1174" s="108" t="n"/>
      <c r="H1174" s="108" t="n"/>
      <c r="I1174" s="109" t="n"/>
      <c r="J1174" s="109" t="n"/>
      <c r="K1174" s="109" t="n"/>
      <c r="L1174" s="226">
        <f>IF($E1174="","",DATE(YEAR($E1174),MONTH($E1174),1))</f>
        <v/>
      </c>
      <c r="M1174" s="113">
        <f>IF($D1174="","",IF($C1174="TANIMSIZ MÜŞTERİ","HATA",IF(OR($E1174="",$F1174&lt;=0,$G1174=""),"EKSİK",IF($E1174&gt;TODAY(),"İLERİ TARİH",IF(COUNTIF($S$7:$S$1506,$S1174)&gt;1,"MÜKERRER?",IF($T1174&gt;0,"KAPALI DÖNEM","UYGUN"))))))</f>
        <v/>
      </c>
      <c r="N1174" s="121">
        <f>IF($C1174="","",IF($C1174="TANIMSIZ MÜŞTERİ","—",INDEX(MUSTERILER!$C$7:$C$106,MATCH($C1174,MUSTERILER!$B$7:$B$106,0))))</f>
        <v/>
      </c>
      <c r="O1174" s="6" t="n"/>
      <c r="P1174" s="6" t="n"/>
      <c r="Q1174" s="3">
        <f>IF($D1174="","",$C1174&amp;"|"&amp;COUNTIFS($C$7:$C1174,$C1174))</f>
        <v/>
      </c>
      <c r="R1174" s="3">
        <f>IF($D1174="","",UPPER(SUBSTITUTE(SUBSTITUTE(SUBSTITUTE(SUBSTITUTE(SUBSTITUTE(SUBSTITUTE(SUBSTITUTE(SUBSTITUTE(SUBSTITUTE(SUBSTITUTE(SUBSTITUTE(SUBSTITUTE(SUBSTITUTE(SUBSTITUTE(SUBSTITUTE(SUBSTITUTE(SUBSTITUTE(SUBSTITUTE(TRIM($D1174),"'",""),"İ","I"),"ı","I"),"i","I"),"Ş","S"),"ş","S"),"Ğ","G"),"ğ","G"),"Ü","U"),"ü","U"),"Ö","O"),"ö","O"),"Ç","C"),"ç","C"),".",""),",","")," ",""),"-","")))</f>
        <v/>
      </c>
      <c r="S1174" s="3">
        <f>IF($D1174="","",$C1174&amp;"|"&amp;TEXT($E1174,"0")&amp;"|"&amp;TEXT($F1174,"0")&amp;"|"&amp;$I1174)</f>
        <v/>
      </c>
      <c r="T1174" s="3">
        <f>IF($E1174="",0,SUMPRODUCT((AY_SONU!$O$7:$O$42="Evet")*(AY_SONU!$B$7:$B$42=DATE(YEAR($E1174),MONTH($E1174),1))))</f>
        <v/>
      </c>
    </row>
    <row r="1175">
      <c r="A1175" s="6" t="n"/>
      <c r="B1175" s="113">
        <f>IF($D1175="","","T"&amp;TEXT(ROW()-6,"00000"))</f>
        <v/>
      </c>
      <c r="C1175" s="113">
        <f>IF($D1175="","",IFERROR(INDEX(MUSTERILER!$B$7:$B$106,MATCH($R1175,MUSTERILER!$T$7:$T$106,0)),IFERROR(INDEX(MUSTERILER!$B$7:$B$106,MATCH($D1175,MUSTERILER!$B$7:$B$106,0)),IFERROR(INDEX(MUSTERILER!$B$7:$B$106,MATCH($R1175&amp;"*",MUSTERILER!$T$7:$T$106,0)),"TANIMSIZ MÜŞTERİ"))))</f>
        <v/>
      </c>
      <c r="D1175" s="109" t="n"/>
      <c r="E1175" s="220" t="n"/>
      <c r="F1175" s="221" t="n"/>
      <c r="G1175" s="108" t="n"/>
      <c r="H1175" s="108" t="n"/>
      <c r="I1175" s="109" t="n"/>
      <c r="J1175" s="109" t="n"/>
      <c r="K1175" s="109" t="n"/>
      <c r="L1175" s="226">
        <f>IF($E1175="","",DATE(YEAR($E1175),MONTH($E1175),1))</f>
        <v/>
      </c>
      <c r="M1175" s="113">
        <f>IF($D1175="","",IF($C1175="TANIMSIZ MÜŞTERİ","HATA",IF(OR($E1175="",$F1175&lt;=0,$G1175=""),"EKSİK",IF($E1175&gt;TODAY(),"İLERİ TARİH",IF(COUNTIF($S$7:$S$1506,$S1175)&gt;1,"MÜKERRER?",IF($T1175&gt;0,"KAPALI DÖNEM","UYGUN"))))))</f>
        <v/>
      </c>
      <c r="N1175" s="121">
        <f>IF($C1175="","",IF($C1175="TANIMSIZ MÜŞTERİ","—",INDEX(MUSTERILER!$C$7:$C$106,MATCH($C1175,MUSTERILER!$B$7:$B$106,0))))</f>
        <v/>
      </c>
      <c r="O1175" s="6" t="n"/>
      <c r="P1175" s="6" t="n"/>
      <c r="Q1175" s="3">
        <f>IF($D1175="","",$C1175&amp;"|"&amp;COUNTIFS($C$7:$C1175,$C1175))</f>
        <v/>
      </c>
      <c r="R1175" s="3">
        <f>IF($D1175="","",UPPER(SUBSTITUTE(SUBSTITUTE(SUBSTITUTE(SUBSTITUTE(SUBSTITUTE(SUBSTITUTE(SUBSTITUTE(SUBSTITUTE(SUBSTITUTE(SUBSTITUTE(SUBSTITUTE(SUBSTITUTE(SUBSTITUTE(SUBSTITUTE(SUBSTITUTE(SUBSTITUTE(SUBSTITUTE(SUBSTITUTE(TRIM($D1175),"'",""),"İ","I"),"ı","I"),"i","I"),"Ş","S"),"ş","S"),"Ğ","G"),"ğ","G"),"Ü","U"),"ü","U"),"Ö","O"),"ö","O"),"Ç","C"),"ç","C"),".",""),",","")," ",""),"-","")))</f>
        <v/>
      </c>
      <c r="S1175" s="3">
        <f>IF($D1175="","",$C1175&amp;"|"&amp;TEXT($E1175,"0")&amp;"|"&amp;TEXT($F1175,"0")&amp;"|"&amp;$I1175)</f>
        <v/>
      </c>
      <c r="T1175" s="3">
        <f>IF($E1175="",0,SUMPRODUCT((AY_SONU!$O$7:$O$42="Evet")*(AY_SONU!$B$7:$B$42=DATE(YEAR($E1175),MONTH($E1175),1))))</f>
        <v/>
      </c>
    </row>
    <row r="1176">
      <c r="A1176" s="6" t="n"/>
      <c r="B1176" s="113">
        <f>IF($D1176="","","T"&amp;TEXT(ROW()-6,"00000"))</f>
        <v/>
      </c>
      <c r="C1176" s="113">
        <f>IF($D1176="","",IFERROR(INDEX(MUSTERILER!$B$7:$B$106,MATCH($R1176,MUSTERILER!$T$7:$T$106,0)),IFERROR(INDEX(MUSTERILER!$B$7:$B$106,MATCH($D1176,MUSTERILER!$B$7:$B$106,0)),IFERROR(INDEX(MUSTERILER!$B$7:$B$106,MATCH($R1176&amp;"*",MUSTERILER!$T$7:$T$106,0)),"TANIMSIZ MÜŞTERİ"))))</f>
        <v/>
      </c>
      <c r="D1176" s="109" t="n"/>
      <c r="E1176" s="220" t="n"/>
      <c r="F1176" s="221" t="n"/>
      <c r="G1176" s="108" t="n"/>
      <c r="H1176" s="108" t="n"/>
      <c r="I1176" s="109" t="n"/>
      <c r="J1176" s="109" t="n"/>
      <c r="K1176" s="109" t="n"/>
      <c r="L1176" s="226">
        <f>IF($E1176="","",DATE(YEAR($E1176),MONTH($E1176),1))</f>
        <v/>
      </c>
      <c r="M1176" s="113">
        <f>IF($D1176="","",IF($C1176="TANIMSIZ MÜŞTERİ","HATA",IF(OR($E1176="",$F1176&lt;=0,$G1176=""),"EKSİK",IF($E1176&gt;TODAY(),"İLERİ TARİH",IF(COUNTIF($S$7:$S$1506,$S1176)&gt;1,"MÜKERRER?",IF($T1176&gt;0,"KAPALI DÖNEM","UYGUN"))))))</f>
        <v/>
      </c>
      <c r="N1176" s="121">
        <f>IF($C1176="","",IF($C1176="TANIMSIZ MÜŞTERİ","—",INDEX(MUSTERILER!$C$7:$C$106,MATCH($C1176,MUSTERILER!$B$7:$B$106,0))))</f>
        <v/>
      </c>
      <c r="O1176" s="6" t="n"/>
      <c r="P1176" s="6" t="n"/>
      <c r="Q1176" s="3">
        <f>IF($D1176="","",$C1176&amp;"|"&amp;COUNTIFS($C$7:$C1176,$C1176))</f>
        <v/>
      </c>
      <c r="R1176" s="3">
        <f>IF($D1176="","",UPPER(SUBSTITUTE(SUBSTITUTE(SUBSTITUTE(SUBSTITUTE(SUBSTITUTE(SUBSTITUTE(SUBSTITUTE(SUBSTITUTE(SUBSTITUTE(SUBSTITUTE(SUBSTITUTE(SUBSTITUTE(SUBSTITUTE(SUBSTITUTE(SUBSTITUTE(SUBSTITUTE(SUBSTITUTE(SUBSTITUTE(TRIM($D1176),"'",""),"İ","I"),"ı","I"),"i","I"),"Ş","S"),"ş","S"),"Ğ","G"),"ğ","G"),"Ü","U"),"ü","U"),"Ö","O"),"ö","O"),"Ç","C"),"ç","C"),".",""),",","")," ",""),"-","")))</f>
        <v/>
      </c>
      <c r="S1176" s="3">
        <f>IF($D1176="","",$C1176&amp;"|"&amp;TEXT($E1176,"0")&amp;"|"&amp;TEXT($F1176,"0")&amp;"|"&amp;$I1176)</f>
        <v/>
      </c>
      <c r="T1176" s="3">
        <f>IF($E1176="",0,SUMPRODUCT((AY_SONU!$O$7:$O$42="Evet")*(AY_SONU!$B$7:$B$42=DATE(YEAR($E1176),MONTH($E1176),1))))</f>
        <v/>
      </c>
    </row>
    <row r="1177">
      <c r="A1177" s="6" t="n"/>
      <c r="B1177" s="113">
        <f>IF($D1177="","","T"&amp;TEXT(ROW()-6,"00000"))</f>
        <v/>
      </c>
      <c r="C1177" s="113">
        <f>IF($D1177="","",IFERROR(INDEX(MUSTERILER!$B$7:$B$106,MATCH($R1177,MUSTERILER!$T$7:$T$106,0)),IFERROR(INDEX(MUSTERILER!$B$7:$B$106,MATCH($D1177,MUSTERILER!$B$7:$B$106,0)),IFERROR(INDEX(MUSTERILER!$B$7:$B$106,MATCH($R1177&amp;"*",MUSTERILER!$T$7:$T$106,0)),"TANIMSIZ MÜŞTERİ"))))</f>
        <v/>
      </c>
      <c r="D1177" s="109" t="n"/>
      <c r="E1177" s="220" t="n"/>
      <c r="F1177" s="221" t="n"/>
      <c r="G1177" s="108" t="n"/>
      <c r="H1177" s="108" t="n"/>
      <c r="I1177" s="109" t="n"/>
      <c r="J1177" s="109" t="n"/>
      <c r="K1177" s="109" t="n"/>
      <c r="L1177" s="226">
        <f>IF($E1177="","",DATE(YEAR($E1177),MONTH($E1177),1))</f>
        <v/>
      </c>
      <c r="M1177" s="113">
        <f>IF($D1177="","",IF($C1177="TANIMSIZ MÜŞTERİ","HATA",IF(OR($E1177="",$F1177&lt;=0,$G1177=""),"EKSİK",IF($E1177&gt;TODAY(),"İLERİ TARİH",IF(COUNTIF($S$7:$S$1506,$S1177)&gt;1,"MÜKERRER?",IF($T1177&gt;0,"KAPALI DÖNEM","UYGUN"))))))</f>
        <v/>
      </c>
      <c r="N1177" s="121">
        <f>IF($C1177="","",IF($C1177="TANIMSIZ MÜŞTERİ","—",INDEX(MUSTERILER!$C$7:$C$106,MATCH($C1177,MUSTERILER!$B$7:$B$106,0))))</f>
        <v/>
      </c>
      <c r="O1177" s="6" t="n"/>
      <c r="P1177" s="6" t="n"/>
      <c r="Q1177" s="3">
        <f>IF($D1177="","",$C1177&amp;"|"&amp;COUNTIFS($C$7:$C1177,$C1177))</f>
        <v/>
      </c>
      <c r="R1177" s="3">
        <f>IF($D1177="","",UPPER(SUBSTITUTE(SUBSTITUTE(SUBSTITUTE(SUBSTITUTE(SUBSTITUTE(SUBSTITUTE(SUBSTITUTE(SUBSTITUTE(SUBSTITUTE(SUBSTITUTE(SUBSTITUTE(SUBSTITUTE(SUBSTITUTE(SUBSTITUTE(SUBSTITUTE(SUBSTITUTE(SUBSTITUTE(SUBSTITUTE(TRIM($D1177),"'",""),"İ","I"),"ı","I"),"i","I"),"Ş","S"),"ş","S"),"Ğ","G"),"ğ","G"),"Ü","U"),"ü","U"),"Ö","O"),"ö","O"),"Ç","C"),"ç","C"),".",""),",","")," ",""),"-","")))</f>
        <v/>
      </c>
      <c r="S1177" s="3">
        <f>IF($D1177="","",$C1177&amp;"|"&amp;TEXT($E1177,"0")&amp;"|"&amp;TEXT($F1177,"0")&amp;"|"&amp;$I1177)</f>
        <v/>
      </c>
      <c r="T1177" s="3">
        <f>IF($E1177="",0,SUMPRODUCT((AY_SONU!$O$7:$O$42="Evet")*(AY_SONU!$B$7:$B$42=DATE(YEAR($E1177),MONTH($E1177),1))))</f>
        <v/>
      </c>
    </row>
    <row r="1178">
      <c r="A1178" s="6" t="n"/>
      <c r="B1178" s="113">
        <f>IF($D1178="","","T"&amp;TEXT(ROW()-6,"00000"))</f>
        <v/>
      </c>
      <c r="C1178" s="113">
        <f>IF($D1178="","",IFERROR(INDEX(MUSTERILER!$B$7:$B$106,MATCH($R1178,MUSTERILER!$T$7:$T$106,0)),IFERROR(INDEX(MUSTERILER!$B$7:$B$106,MATCH($D1178,MUSTERILER!$B$7:$B$106,0)),IFERROR(INDEX(MUSTERILER!$B$7:$B$106,MATCH($R1178&amp;"*",MUSTERILER!$T$7:$T$106,0)),"TANIMSIZ MÜŞTERİ"))))</f>
        <v/>
      </c>
      <c r="D1178" s="109" t="n"/>
      <c r="E1178" s="220" t="n"/>
      <c r="F1178" s="221" t="n"/>
      <c r="G1178" s="108" t="n"/>
      <c r="H1178" s="108" t="n"/>
      <c r="I1178" s="109" t="n"/>
      <c r="J1178" s="109" t="n"/>
      <c r="K1178" s="109" t="n"/>
      <c r="L1178" s="226">
        <f>IF($E1178="","",DATE(YEAR($E1178),MONTH($E1178),1))</f>
        <v/>
      </c>
      <c r="M1178" s="113">
        <f>IF($D1178="","",IF($C1178="TANIMSIZ MÜŞTERİ","HATA",IF(OR($E1178="",$F1178&lt;=0,$G1178=""),"EKSİK",IF($E1178&gt;TODAY(),"İLERİ TARİH",IF(COUNTIF($S$7:$S$1506,$S1178)&gt;1,"MÜKERRER?",IF($T1178&gt;0,"KAPALI DÖNEM","UYGUN"))))))</f>
        <v/>
      </c>
      <c r="N1178" s="121">
        <f>IF($C1178="","",IF($C1178="TANIMSIZ MÜŞTERİ","—",INDEX(MUSTERILER!$C$7:$C$106,MATCH($C1178,MUSTERILER!$B$7:$B$106,0))))</f>
        <v/>
      </c>
      <c r="O1178" s="6" t="n"/>
      <c r="P1178" s="6" t="n"/>
      <c r="Q1178" s="3">
        <f>IF($D1178="","",$C1178&amp;"|"&amp;COUNTIFS($C$7:$C1178,$C1178))</f>
        <v/>
      </c>
      <c r="R1178" s="3">
        <f>IF($D1178="","",UPPER(SUBSTITUTE(SUBSTITUTE(SUBSTITUTE(SUBSTITUTE(SUBSTITUTE(SUBSTITUTE(SUBSTITUTE(SUBSTITUTE(SUBSTITUTE(SUBSTITUTE(SUBSTITUTE(SUBSTITUTE(SUBSTITUTE(SUBSTITUTE(SUBSTITUTE(SUBSTITUTE(SUBSTITUTE(SUBSTITUTE(TRIM($D1178),"'",""),"İ","I"),"ı","I"),"i","I"),"Ş","S"),"ş","S"),"Ğ","G"),"ğ","G"),"Ü","U"),"ü","U"),"Ö","O"),"ö","O"),"Ç","C"),"ç","C"),".",""),",","")," ",""),"-","")))</f>
        <v/>
      </c>
      <c r="S1178" s="3">
        <f>IF($D1178="","",$C1178&amp;"|"&amp;TEXT($E1178,"0")&amp;"|"&amp;TEXT($F1178,"0")&amp;"|"&amp;$I1178)</f>
        <v/>
      </c>
      <c r="T1178" s="3">
        <f>IF($E1178="",0,SUMPRODUCT((AY_SONU!$O$7:$O$42="Evet")*(AY_SONU!$B$7:$B$42=DATE(YEAR($E1178),MONTH($E1178),1))))</f>
        <v/>
      </c>
    </row>
    <row r="1179">
      <c r="A1179" s="6" t="n"/>
      <c r="B1179" s="113">
        <f>IF($D1179="","","T"&amp;TEXT(ROW()-6,"00000"))</f>
        <v/>
      </c>
      <c r="C1179" s="113">
        <f>IF($D1179="","",IFERROR(INDEX(MUSTERILER!$B$7:$B$106,MATCH($R1179,MUSTERILER!$T$7:$T$106,0)),IFERROR(INDEX(MUSTERILER!$B$7:$B$106,MATCH($D1179,MUSTERILER!$B$7:$B$106,0)),IFERROR(INDEX(MUSTERILER!$B$7:$B$106,MATCH($R1179&amp;"*",MUSTERILER!$T$7:$T$106,0)),"TANIMSIZ MÜŞTERİ"))))</f>
        <v/>
      </c>
      <c r="D1179" s="109" t="n"/>
      <c r="E1179" s="220" t="n"/>
      <c r="F1179" s="221" t="n"/>
      <c r="G1179" s="108" t="n"/>
      <c r="H1179" s="108" t="n"/>
      <c r="I1179" s="109" t="n"/>
      <c r="J1179" s="109" t="n"/>
      <c r="K1179" s="109" t="n"/>
      <c r="L1179" s="226">
        <f>IF($E1179="","",DATE(YEAR($E1179),MONTH($E1179),1))</f>
        <v/>
      </c>
      <c r="M1179" s="113">
        <f>IF($D1179="","",IF($C1179="TANIMSIZ MÜŞTERİ","HATA",IF(OR($E1179="",$F1179&lt;=0,$G1179=""),"EKSİK",IF($E1179&gt;TODAY(),"İLERİ TARİH",IF(COUNTIF($S$7:$S$1506,$S1179)&gt;1,"MÜKERRER?",IF($T1179&gt;0,"KAPALI DÖNEM","UYGUN"))))))</f>
        <v/>
      </c>
      <c r="N1179" s="121">
        <f>IF($C1179="","",IF($C1179="TANIMSIZ MÜŞTERİ","—",INDEX(MUSTERILER!$C$7:$C$106,MATCH($C1179,MUSTERILER!$B$7:$B$106,0))))</f>
        <v/>
      </c>
      <c r="O1179" s="6" t="n"/>
      <c r="P1179" s="6" t="n"/>
      <c r="Q1179" s="3">
        <f>IF($D1179="","",$C1179&amp;"|"&amp;COUNTIFS($C$7:$C1179,$C1179))</f>
        <v/>
      </c>
      <c r="R1179" s="3">
        <f>IF($D1179="","",UPPER(SUBSTITUTE(SUBSTITUTE(SUBSTITUTE(SUBSTITUTE(SUBSTITUTE(SUBSTITUTE(SUBSTITUTE(SUBSTITUTE(SUBSTITUTE(SUBSTITUTE(SUBSTITUTE(SUBSTITUTE(SUBSTITUTE(SUBSTITUTE(SUBSTITUTE(SUBSTITUTE(SUBSTITUTE(SUBSTITUTE(TRIM($D1179),"'",""),"İ","I"),"ı","I"),"i","I"),"Ş","S"),"ş","S"),"Ğ","G"),"ğ","G"),"Ü","U"),"ü","U"),"Ö","O"),"ö","O"),"Ç","C"),"ç","C"),".",""),",","")," ",""),"-","")))</f>
        <v/>
      </c>
      <c r="S1179" s="3">
        <f>IF($D1179="","",$C1179&amp;"|"&amp;TEXT($E1179,"0")&amp;"|"&amp;TEXT($F1179,"0")&amp;"|"&amp;$I1179)</f>
        <v/>
      </c>
      <c r="T1179" s="3">
        <f>IF($E1179="",0,SUMPRODUCT((AY_SONU!$O$7:$O$42="Evet")*(AY_SONU!$B$7:$B$42=DATE(YEAR($E1179),MONTH($E1179),1))))</f>
        <v/>
      </c>
    </row>
    <row r="1180">
      <c r="A1180" s="6" t="n"/>
      <c r="B1180" s="113">
        <f>IF($D1180="","","T"&amp;TEXT(ROW()-6,"00000"))</f>
        <v/>
      </c>
      <c r="C1180" s="113">
        <f>IF($D1180="","",IFERROR(INDEX(MUSTERILER!$B$7:$B$106,MATCH($R1180,MUSTERILER!$T$7:$T$106,0)),IFERROR(INDEX(MUSTERILER!$B$7:$B$106,MATCH($D1180,MUSTERILER!$B$7:$B$106,0)),IFERROR(INDEX(MUSTERILER!$B$7:$B$106,MATCH($R1180&amp;"*",MUSTERILER!$T$7:$T$106,0)),"TANIMSIZ MÜŞTERİ"))))</f>
        <v/>
      </c>
      <c r="D1180" s="109" t="n"/>
      <c r="E1180" s="220" t="n"/>
      <c r="F1180" s="221" t="n"/>
      <c r="G1180" s="108" t="n"/>
      <c r="H1180" s="108" t="n"/>
      <c r="I1180" s="109" t="n"/>
      <c r="J1180" s="109" t="n"/>
      <c r="K1180" s="109" t="n"/>
      <c r="L1180" s="226">
        <f>IF($E1180="","",DATE(YEAR($E1180),MONTH($E1180),1))</f>
        <v/>
      </c>
      <c r="M1180" s="113">
        <f>IF($D1180="","",IF($C1180="TANIMSIZ MÜŞTERİ","HATA",IF(OR($E1180="",$F1180&lt;=0,$G1180=""),"EKSİK",IF($E1180&gt;TODAY(),"İLERİ TARİH",IF(COUNTIF($S$7:$S$1506,$S1180)&gt;1,"MÜKERRER?",IF($T1180&gt;0,"KAPALI DÖNEM","UYGUN"))))))</f>
        <v/>
      </c>
      <c r="N1180" s="121">
        <f>IF($C1180="","",IF($C1180="TANIMSIZ MÜŞTERİ","—",INDEX(MUSTERILER!$C$7:$C$106,MATCH($C1180,MUSTERILER!$B$7:$B$106,0))))</f>
        <v/>
      </c>
      <c r="O1180" s="6" t="n"/>
      <c r="P1180" s="6" t="n"/>
      <c r="Q1180" s="3">
        <f>IF($D1180="","",$C1180&amp;"|"&amp;COUNTIFS($C$7:$C1180,$C1180))</f>
        <v/>
      </c>
      <c r="R1180" s="3">
        <f>IF($D1180="","",UPPER(SUBSTITUTE(SUBSTITUTE(SUBSTITUTE(SUBSTITUTE(SUBSTITUTE(SUBSTITUTE(SUBSTITUTE(SUBSTITUTE(SUBSTITUTE(SUBSTITUTE(SUBSTITUTE(SUBSTITUTE(SUBSTITUTE(SUBSTITUTE(SUBSTITUTE(SUBSTITUTE(SUBSTITUTE(SUBSTITUTE(TRIM($D1180),"'",""),"İ","I"),"ı","I"),"i","I"),"Ş","S"),"ş","S"),"Ğ","G"),"ğ","G"),"Ü","U"),"ü","U"),"Ö","O"),"ö","O"),"Ç","C"),"ç","C"),".",""),",","")," ",""),"-","")))</f>
        <v/>
      </c>
      <c r="S1180" s="3">
        <f>IF($D1180="","",$C1180&amp;"|"&amp;TEXT($E1180,"0")&amp;"|"&amp;TEXT($F1180,"0")&amp;"|"&amp;$I1180)</f>
        <v/>
      </c>
      <c r="T1180" s="3">
        <f>IF($E1180="",0,SUMPRODUCT((AY_SONU!$O$7:$O$42="Evet")*(AY_SONU!$B$7:$B$42=DATE(YEAR($E1180),MONTH($E1180),1))))</f>
        <v/>
      </c>
    </row>
    <row r="1181">
      <c r="A1181" s="6" t="n"/>
      <c r="B1181" s="113">
        <f>IF($D1181="","","T"&amp;TEXT(ROW()-6,"00000"))</f>
        <v/>
      </c>
      <c r="C1181" s="113">
        <f>IF($D1181="","",IFERROR(INDEX(MUSTERILER!$B$7:$B$106,MATCH($R1181,MUSTERILER!$T$7:$T$106,0)),IFERROR(INDEX(MUSTERILER!$B$7:$B$106,MATCH($D1181,MUSTERILER!$B$7:$B$106,0)),IFERROR(INDEX(MUSTERILER!$B$7:$B$106,MATCH($R1181&amp;"*",MUSTERILER!$T$7:$T$106,0)),"TANIMSIZ MÜŞTERİ"))))</f>
        <v/>
      </c>
      <c r="D1181" s="109" t="n"/>
      <c r="E1181" s="220" t="n"/>
      <c r="F1181" s="221" t="n"/>
      <c r="G1181" s="108" t="n"/>
      <c r="H1181" s="108" t="n"/>
      <c r="I1181" s="109" t="n"/>
      <c r="J1181" s="109" t="n"/>
      <c r="K1181" s="109" t="n"/>
      <c r="L1181" s="226">
        <f>IF($E1181="","",DATE(YEAR($E1181),MONTH($E1181),1))</f>
        <v/>
      </c>
      <c r="M1181" s="113">
        <f>IF($D1181="","",IF($C1181="TANIMSIZ MÜŞTERİ","HATA",IF(OR($E1181="",$F1181&lt;=0,$G1181=""),"EKSİK",IF($E1181&gt;TODAY(),"İLERİ TARİH",IF(COUNTIF($S$7:$S$1506,$S1181)&gt;1,"MÜKERRER?",IF($T1181&gt;0,"KAPALI DÖNEM","UYGUN"))))))</f>
        <v/>
      </c>
      <c r="N1181" s="121">
        <f>IF($C1181="","",IF($C1181="TANIMSIZ MÜŞTERİ","—",INDEX(MUSTERILER!$C$7:$C$106,MATCH($C1181,MUSTERILER!$B$7:$B$106,0))))</f>
        <v/>
      </c>
      <c r="O1181" s="6" t="n"/>
      <c r="P1181" s="6" t="n"/>
      <c r="Q1181" s="3">
        <f>IF($D1181="","",$C1181&amp;"|"&amp;COUNTIFS($C$7:$C1181,$C1181))</f>
        <v/>
      </c>
      <c r="R1181" s="3">
        <f>IF($D1181="","",UPPER(SUBSTITUTE(SUBSTITUTE(SUBSTITUTE(SUBSTITUTE(SUBSTITUTE(SUBSTITUTE(SUBSTITUTE(SUBSTITUTE(SUBSTITUTE(SUBSTITUTE(SUBSTITUTE(SUBSTITUTE(SUBSTITUTE(SUBSTITUTE(SUBSTITUTE(SUBSTITUTE(SUBSTITUTE(SUBSTITUTE(TRIM($D1181),"'",""),"İ","I"),"ı","I"),"i","I"),"Ş","S"),"ş","S"),"Ğ","G"),"ğ","G"),"Ü","U"),"ü","U"),"Ö","O"),"ö","O"),"Ç","C"),"ç","C"),".",""),",","")," ",""),"-","")))</f>
        <v/>
      </c>
      <c r="S1181" s="3">
        <f>IF($D1181="","",$C1181&amp;"|"&amp;TEXT($E1181,"0")&amp;"|"&amp;TEXT($F1181,"0")&amp;"|"&amp;$I1181)</f>
        <v/>
      </c>
      <c r="T1181" s="3">
        <f>IF($E1181="",0,SUMPRODUCT((AY_SONU!$O$7:$O$42="Evet")*(AY_SONU!$B$7:$B$42=DATE(YEAR($E1181),MONTH($E1181),1))))</f>
        <v/>
      </c>
    </row>
    <row r="1182">
      <c r="A1182" s="6" t="n"/>
      <c r="B1182" s="113">
        <f>IF($D1182="","","T"&amp;TEXT(ROW()-6,"00000"))</f>
        <v/>
      </c>
      <c r="C1182" s="113">
        <f>IF($D1182="","",IFERROR(INDEX(MUSTERILER!$B$7:$B$106,MATCH($R1182,MUSTERILER!$T$7:$T$106,0)),IFERROR(INDEX(MUSTERILER!$B$7:$B$106,MATCH($D1182,MUSTERILER!$B$7:$B$106,0)),IFERROR(INDEX(MUSTERILER!$B$7:$B$106,MATCH($R1182&amp;"*",MUSTERILER!$T$7:$T$106,0)),"TANIMSIZ MÜŞTERİ"))))</f>
        <v/>
      </c>
      <c r="D1182" s="109" t="n"/>
      <c r="E1182" s="220" t="n"/>
      <c r="F1182" s="221" t="n"/>
      <c r="G1182" s="108" t="n"/>
      <c r="H1182" s="108" t="n"/>
      <c r="I1182" s="109" t="n"/>
      <c r="J1182" s="109" t="n"/>
      <c r="K1182" s="109" t="n"/>
      <c r="L1182" s="226">
        <f>IF($E1182="","",DATE(YEAR($E1182),MONTH($E1182),1))</f>
        <v/>
      </c>
      <c r="M1182" s="113">
        <f>IF($D1182="","",IF($C1182="TANIMSIZ MÜŞTERİ","HATA",IF(OR($E1182="",$F1182&lt;=0,$G1182=""),"EKSİK",IF($E1182&gt;TODAY(),"İLERİ TARİH",IF(COUNTIF($S$7:$S$1506,$S1182)&gt;1,"MÜKERRER?",IF($T1182&gt;0,"KAPALI DÖNEM","UYGUN"))))))</f>
        <v/>
      </c>
      <c r="N1182" s="121">
        <f>IF($C1182="","",IF($C1182="TANIMSIZ MÜŞTERİ","—",INDEX(MUSTERILER!$C$7:$C$106,MATCH($C1182,MUSTERILER!$B$7:$B$106,0))))</f>
        <v/>
      </c>
      <c r="O1182" s="6" t="n"/>
      <c r="P1182" s="6" t="n"/>
      <c r="Q1182" s="3">
        <f>IF($D1182="","",$C1182&amp;"|"&amp;COUNTIFS($C$7:$C1182,$C1182))</f>
        <v/>
      </c>
      <c r="R1182" s="3">
        <f>IF($D1182="","",UPPER(SUBSTITUTE(SUBSTITUTE(SUBSTITUTE(SUBSTITUTE(SUBSTITUTE(SUBSTITUTE(SUBSTITUTE(SUBSTITUTE(SUBSTITUTE(SUBSTITUTE(SUBSTITUTE(SUBSTITUTE(SUBSTITUTE(SUBSTITUTE(SUBSTITUTE(SUBSTITUTE(SUBSTITUTE(SUBSTITUTE(TRIM($D1182),"'",""),"İ","I"),"ı","I"),"i","I"),"Ş","S"),"ş","S"),"Ğ","G"),"ğ","G"),"Ü","U"),"ü","U"),"Ö","O"),"ö","O"),"Ç","C"),"ç","C"),".",""),",","")," ",""),"-","")))</f>
        <v/>
      </c>
      <c r="S1182" s="3">
        <f>IF($D1182="","",$C1182&amp;"|"&amp;TEXT($E1182,"0")&amp;"|"&amp;TEXT($F1182,"0")&amp;"|"&amp;$I1182)</f>
        <v/>
      </c>
      <c r="T1182" s="3">
        <f>IF($E1182="",0,SUMPRODUCT((AY_SONU!$O$7:$O$42="Evet")*(AY_SONU!$B$7:$B$42=DATE(YEAR($E1182),MONTH($E1182),1))))</f>
        <v/>
      </c>
    </row>
    <row r="1183">
      <c r="A1183" s="6" t="n"/>
      <c r="B1183" s="113">
        <f>IF($D1183="","","T"&amp;TEXT(ROW()-6,"00000"))</f>
        <v/>
      </c>
      <c r="C1183" s="113">
        <f>IF($D1183="","",IFERROR(INDEX(MUSTERILER!$B$7:$B$106,MATCH($R1183,MUSTERILER!$T$7:$T$106,0)),IFERROR(INDEX(MUSTERILER!$B$7:$B$106,MATCH($D1183,MUSTERILER!$B$7:$B$106,0)),IFERROR(INDEX(MUSTERILER!$B$7:$B$106,MATCH($R1183&amp;"*",MUSTERILER!$T$7:$T$106,0)),"TANIMSIZ MÜŞTERİ"))))</f>
        <v/>
      </c>
      <c r="D1183" s="109" t="n"/>
      <c r="E1183" s="220" t="n"/>
      <c r="F1183" s="221" t="n"/>
      <c r="G1183" s="108" t="n"/>
      <c r="H1183" s="108" t="n"/>
      <c r="I1183" s="109" t="n"/>
      <c r="J1183" s="109" t="n"/>
      <c r="K1183" s="109" t="n"/>
      <c r="L1183" s="226">
        <f>IF($E1183="","",DATE(YEAR($E1183),MONTH($E1183),1))</f>
        <v/>
      </c>
      <c r="M1183" s="113">
        <f>IF($D1183="","",IF($C1183="TANIMSIZ MÜŞTERİ","HATA",IF(OR($E1183="",$F1183&lt;=0,$G1183=""),"EKSİK",IF($E1183&gt;TODAY(),"İLERİ TARİH",IF(COUNTIF($S$7:$S$1506,$S1183)&gt;1,"MÜKERRER?",IF($T1183&gt;0,"KAPALI DÖNEM","UYGUN"))))))</f>
        <v/>
      </c>
      <c r="N1183" s="121">
        <f>IF($C1183="","",IF($C1183="TANIMSIZ MÜŞTERİ","—",INDEX(MUSTERILER!$C$7:$C$106,MATCH($C1183,MUSTERILER!$B$7:$B$106,0))))</f>
        <v/>
      </c>
      <c r="O1183" s="6" t="n"/>
      <c r="P1183" s="6" t="n"/>
      <c r="Q1183" s="3">
        <f>IF($D1183="","",$C1183&amp;"|"&amp;COUNTIFS($C$7:$C1183,$C1183))</f>
        <v/>
      </c>
      <c r="R1183" s="3">
        <f>IF($D1183="","",UPPER(SUBSTITUTE(SUBSTITUTE(SUBSTITUTE(SUBSTITUTE(SUBSTITUTE(SUBSTITUTE(SUBSTITUTE(SUBSTITUTE(SUBSTITUTE(SUBSTITUTE(SUBSTITUTE(SUBSTITUTE(SUBSTITUTE(SUBSTITUTE(SUBSTITUTE(SUBSTITUTE(SUBSTITUTE(SUBSTITUTE(TRIM($D1183),"'",""),"İ","I"),"ı","I"),"i","I"),"Ş","S"),"ş","S"),"Ğ","G"),"ğ","G"),"Ü","U"),"ü","U"),"Ö","O"),"ö","O"),"Ç","C"),"ç","C"),".",""),",","")," ",""),"-","")))</f>
        <v/>
      </c>
      <c r="S1183" s="3">
        <f>IF($D1183="","",$C1183&amp;"|"&amp;TEXT($E1183,"0")&amp;"|"&amp;TEXT($F1183,"0")&amp;"|"&amp;$I1183)</f>
        <v/>
      </c>
      <c r="T1183" s="3">
        <f>IF($E1183="",0,SUMPRODUCT((AY_SONU!$O$7:$O$42="Evet")*(AY_SONU!$B$7:$B$42=DATE(YEAR($E1183),MONTH($E1183),1))))</f>
        <v/>
      </c>
    </row>
    <row r="1184">
      <c r="A1184" s="6" t="n"/>
      <c r="B1184" s="113">
        <f>IF($D1184="","","T"&amp;TEXT(ROW()-6,"00000"))</f>
        <v/>
      </c>
      <c r="C1184" s="113">
        <f>IF($D1184="","",IFERROR(INDEX(MUSTERILER!$B$7:$B$106,MATCH($R1184,MUSTERILER!$T$7:$T$106,0)),IFERROR(INDEX(MUSTERILER!$B$7:$B$106,MATCH($D1184,MUSTERILER!$B$7:$B$106,0)),IFERROR(INDEX(MUSTERILER!$B$7:$B$106,MATCH($R1184&amp;"*",MUSTERILER!$T$7:$T$106,0)),"TANIMSIZ MÜŞTERİ"))))</f>
        <v/>
      </c>
      <c r="D1184" s="109" t="n"/>
      <c r="E1184" s="220" t="n"/>
      <c r="F1184" s="221" t="n"/>
      <c r="G1184" s="108" t="n"/>
      <c r="H1184" s="108" t="n"/>
      <c r="I1184" s="109" t="n"/>
      <c r="J1184" s="109" t="n"/>
      <c r="K1184" s="109" t="n"/>
      <c r="L1184" s="226">
        <f>IF($E1184="","",DATE(YEAR($E1184),MONTH($E1184),1))</f>
        <v/>
      </c>
      <c r="M1184" s="113">
        <f>IF($D1184="","",IF($C1184="TANIMSIZ MÜŞTERİ","HATA",IF(OR($E1184="",$F1184&lt;=0,$G1184=""),"EKSİK",IF($E1184&gt;TODAY(),"İLERİ TARİH",IF(COUNTIF($S$7:$S$1506,$S1184)&gt;1,"MÜKERRER?",IF($T1184&gt;0,"KAPALI DÖNEM","UYGUN"))))))</f>
        <v/>
      </c>
      <c r="N1184" s="121">
        <f>IF($C1184="","",IF($C1184="TANIMSIZ MÜŞTERİ","—",INDEX(MUSTERILER!$C$7:$C$106,MATCH($C1184,MUSTERILER!$B$7:$B$106,0))))</f>
        <v/>
      </c>
      <c r="O1184" s="6" t="n"/>
      <c r="P1184" s="6" t="n"/>
      <c r="Q1184" s="3">
        <f>IF($D1184="","",$C1184&amp;"|"&amp;COUNTIFS($C$7:$C1184,$C1184))</f>
        <v/>
      </c>
      <c r="R1184" s="3">
        <f>IF($D1184="","",UPPER(SUBSTITUTE(SUBSTITUTE(SUBSTITUTE(SUBSTITUTE(SUBSTITUTE(SUBSTITUTE(SUBSTITUTE(SUBSTITUTE(SUBSTITUTE(SUBSTITUTE(SUBSTITUTE(SUBSTITUTE(SUBSTITUTE(SUBSTITUTE(SUBSTITUTE(SUBSTITUTE(SUBSTITUTE(SUBSTITUTE(TRIM($D1184),"'",""),"İ","I"),"ı","I"),"i","I"),"Ş","S"),"ş","S"),"Ğ","G"),"ğ","G"),"Ü","U"),"ü","U"),"Ö","O"),"ö","O"),"Ç","C"),"ç","C"),".",""),",","")," ",""),"-","")))</f>
        <v/>
      </c>
      <c r="S1184" s="3">
        <f>IF($D1184="","",$C1184&amp;"|"&amp;TEXT($E1184,"0")&amp;"|"&amp;TEXT($F1184,"0")&amp;"|"&amp;$I1184)</f>
        <v/>
      </c>
      <c r="T1184" s="3">
        <f>IF($E1184="",0,SUMPRODUCT((AY_SONU!$O$7:$O$42="Evet")*(AY_SONU!$B$7:$B$42=DATE(YEAR($E1184),MONTH($E1184),1))))</f>
        <v/>
      </c>
    </row>
    <row r="1185">
      <c r="A1185" s="6" t="n"/>
      <c r="B1185" s="113">
        <f>IF($D1185="","","T"&amp;TEXT(ROW()-6,"00000"))</f>
        <v/>
      </c>
      <c r="C1185" s="113">
        <f>IF($D1185="","",IFERROR(INDEX(MUSTERILER!$B$7:$B$106,MATCH($R1185,MUSTERILER!$T$7:$T$106,0)),IFERROR(INDEX(MUSTERILER!$B$7:$B$106,MATCH($D1185,MUSTERILER!$B$7:$B$106,0)),IFERROR(INDEX(MUSTERILER!$B$7:$B$106,MATCH($R1185&amp;"*",MUSTERILER!$T$7:$T$106,0)),"TANIMSIZ MÜŞTERİ"))))</f>
        <v/>
      </c>
      <c r="D1185" s="109" t="n"/>
      <c r="E1185" s="220" t="n"/>
      <c r="F1185" s="221" t="n"/>
      <c r="G1185" s="108" t="n"/>
      <c r="H1185" s="108" t="n"/>
      <c r="I1185" s="109" t="n"/>
      <c r="J1185" s="109" t="n"/>
      <c r="K1185" s="109" t="n"/>
      <c r="L1185" s="226">
        <f>IF($E1185="","",DATE(YEAR($E1185),MONTH($E1185),1))</f>
        <v/>
      </c>
      <c r="M1185" s="113">
        <f>IF($D1185="","",IF($C1185="TANIMSIZ MÜŞTERİ","HATA",IF(OR($E1185="",$F1185&lt;=0,$G1185=""),"EKSİK",IF($E1185&gt;TODAY(),"İLERİ TARİH",IF(COUNTIF($S$7:$S$1506,$S1185)&gt;1,"MÜKERRER?",IF($T1185&gt;0,"KAPALI DÖNEM","UYGUN"))))))</f>
        <v/>
      </c>
      <c r="N1185" s="121">
        <f>IF($C1185="","",IF($C1185="TANIMSIZ MÜŞTERİ","—",INDEX(MUSTERILER!$C$7:$C$106,MATCH($C1185,MUSTERILER!$B$7:$B$106,0))))</f>
        <v/>
      </c>
      <c r="O1185" s="6" t="n"/>
      <c r="P1185" s="6" t="n"/>
      <c r="Q1185" s="3">
        <f>IF($D1185="","",$C1185&amp;"|"&amp;COUNTIFS($C$7:$C1185,$C1185))</f>
        <v/>
      </c>
      <c r="R1185" s="3">
        <f>IF($D1185="","",UPPER(SUBSTITUTE(SUBSTITUTE(SUBSTITUTE(SUBSTITUTE(SUBSTITUTE(SUBSTITUTE(SUBSTITUTE(SUBSTITUTE(SUBSTITUTE(SUBSTITUTE(SUBSTITUTE(SUBSTITUTE(SUBSTITUTE(SUBSTITUTE(SUBSTITUTE(SUBSTITUTE(SUBSTITUTE(SUBSTITUTE(TRIM($D1185),"'",""),"İ","I"),"ı","I"),"i","I"),"Ş","S"),"ş","S"),"Ğ","G"),"ğ","G"),"Ü","U"),"ü","U"),"Ö","O"),"ö","O"),"Ç","C"),"ç","C"),".",""),",","")," ",""),"-","")))</f>
        <v/>
      </c>
      <c r="S1185" s="3">
        <f>IF($D1185="","",$C1185&amp;"|"&amp;TEXT($E1185,"0")&amp;"|"&amp;TEXT($F1185,"0")&amp;"|"&amp;$I1185)</f>
        <v/>
      </c>
      <c r="T1185" s="3">
        <f>IF($E1185="",0,SUMPRODUCT((AY_SONU!$O$7:$O$42="Evet")*(AY_SONU!$B$7:$B$42=DATE(YEAR($E1185),MONTH($E1185),1))))</f>
        <v/>
      </c>
    </row>
    <row r="1186">
      <c r="A1186" s="6" t="n"/>
      <c r="B1186" s="113">
        <f>IF($D1186="","","T"&amp;TEXT(ROW()-6,"00000"))</f>
        <v/>
      </c>
      <c r="C1186" s="113">
        <f>IF($D1186="","",IFERROR(INDEX(MUSTERILER!$B$7:$B$106,MATCH($R1186,MUSTERILER!$T$7:$T$106,0)),IFERROR(INDEX(MUSTERILER!$B$7:$B$106,MATCH($D1186,MUSTERILER!$B$7:$B$106,0)),IFERROR(INDEX(MUSTERILER!$B$7:$B$106,MATCH($R1186&amp;"*",MUSTERILER!$T$7:$T$106,0)),"TANIMSIZ MÜŞTERİ"))))</f>
        <v/>
      </c>
      <c r="D1186" s="109" t="n"/>
      <c r="E1186" s="220" t="n"/>
      <c r="F1186" s="221" t="n"/>
      <c r="G1186" s="108" t="n"/>
      <c r="H1186" s="108" t="n"/>
      <c r="I1186" s="109" t="n"/>
      <c r="J1186" s="109" t="n"/>
      <c r="K1186" s="109" t="n"/>
      <c r="L1186" s="226">
        <f>IF($E1186="","",DATE(YEAR($E1186),MONTH($E1186),1))</f>
        <v/>
      </c>
      <c r="M1186" s="113">
        <f>IF($D1186="","",IF($C1186="TANIMSIZ MÜŞTERİ","HATA",IF(OR($E1186="",$F1186&lt;=0,$G1186=""),"EKSİK",IF($E1186&gt;TODAY(),"İLERİ TARİH",IF(COUNTIF($S$7:$S$1506,$S1186)&gt;1,"MÜKERRER?",IF($T1186&gt;0,"KAPALI DÖNEM","UYGUN"))))))</f>
        <v/>
      </c>
      <c r="N1186" s="121">
        <f>IF($C1186="","",IF($C1186="TANIMSIZ MÜŞTERİ","—",INDEX(MUSTERILER!$C$7:$C$106,MATCH($C1186,MUSTERILER!$B$7:$B$106,0))))</f>
        <v/>
      </c>
      <c r="O1186" s="6" t="n"/>
      <c r="P1186" s="6" t="n"/>
      <c r="Q1186" s="3">
        <f>IF($D1186="","",$C1186&amp;"|"&amp;COUNTIFS($C$7:$C1186,$C1186))</f>
        <v/>
      </c>
      <c r="R1186" s="3">
        <f>IF($D1186="","",UPPER(SUBSTITUTE(SUBSTITUTE(SUBSTITUTE(SUBSTITUTE(SUBSTITUTE(SUBSTITUTE(SUBSTITUTE(SUBSTITUTE(SUBSTITUTE(SUBSTITUTE(SUBSTITUTE(SUBSTITUTE(SUBSTITUTE(SUBSTITUTE(SUBSTITUTE(SUBSTITUTE(SUBSTITUTE(SUBSTITUTE(TRIM($D1186),"'",""),"İ","I"),"ı","I"),"i","I"),"Ş","S"),"ş","S"),"Ğ","G"),"ğ","G"),"Ü","U"),"ü","U"),"Ö","O"),"ö","O"),"Ç","C"),"ç","C"),".",""),",","")," ",""),"-","")))</f>
        <v/>
      </c>
      <c r="S1186" s="3">
        <f>IF($D1186="","",$C1186&amp;"|"&amp;TEXT($E1186,"0")&amp;"|"&amp;TEXT($F1186,"0")&amp;"|"&amp;$I1186)</f>
        <v/>
      </c>
      <c r="T1186" s="3">
        <f>IF($E1186="",0,SUMPRODUCT((AY_SONU!$O$7:$O$42="Evet")*(AY_SONU!$B$7:$B$42=DATE(YEAR($E1186),MONTH($E1186),1))))</f>
        <v/>
      </c>
    </row>
    <row r="1187">
      <c r="A1187" s="6" t="n"/>
      <c r="B1187" s="113">
        <f>IF($D1187="","","T"&amp;TEXT(ROW()-6,"00000"))</f>
        <v/>
      </c>
      <c r="C1187" s="113">
        <f>IF($D1187="","",IFERROR(INDEX(MUSTERILER!$B$7:$B$106,MATCH($R1187,MUSTERILER!$T$7:$T$106,0)),IFERROR(INDEX(MUSTERILER!$B$7:$B$106,MATCH($D1187,MUSTERILER!$B$7:$B$106,0)),IFERROR(INDEX(MUSTERILER!$B$7:$B$106,MATCH($R1187&amp;"*",MUSTERILER!$T$7:$T$106,0)),"TANIMSIZ MÜŞTERİ"))))</f>
        <v/>
      </c>
      <c r="D1187" s="109" t="n"/>
      <c r="E1187" s="220" t="n"/>
      <c r="F1187" s="221" t="n"/>
      <c r="G1187" s="108" t="n"/>
      <c r="H1187" s="108" t="n"/>
      <c r="I1187" s="109" t="n"/>
      <c r="J1187" s="109" t="n"/>
      <c r="K1187" s="109" t="n"/>
      <c r="L1187" s="226">
        <f>IF($E1187="","",DATE(YEAR($E1187),MONTH($E1187),1))</f>
        <v/>
      </c>
      <c r="M1187" s="113">
        <f>IF($D1187="","",IF($C1187="TANIMSIZ MÜŞTERİ","HATA",IF(OR($E1187="",$F1187&lt;=0,$G1187=""),"EKSİK",IF($E1187&gt;TODAY(),"İLERİ TARİH",IF(COUNTIF($S$7:$S$1506,$S1187)&gt;1,"MÜKERRER?",IF($T1187&gt;0,"KAPALI DÖNEM","UYGUN"))))))</f>
        <v/>
      </c>
      <c r="N1187" s="121">
        <f>IF($C1187="","",IF($C1187="TANIMSIZ MÜŞTERİ","—",INDEX(MUSTERILER!$C$7:$C$106,MATCH($C1187,MUSTERILER!$B$7:$B$106,0))))</f>
        <v/>
      </c>
      <c r="O1187" s="6" t="n"/>
      <c r="P1187" s="6" t="n"/>
      <c r="Q1187" s="3">
        <f>IF($D1187="","",$C1187&amp;"|"&amp;COUNTIFS($C$7:$C1187,$C1187))</f>
        <v/>
      </c>
      <c r="R1187" s="3">
        <f>IF($D1187="","",UPPER(SUBSTITUTE(SUBSTITUTE(SUBSTITUTE(SUBSTITUTE(SUBSTITUTE(SUBSTITUTE(SUBSTITUTE(SUBSTITUTE(SUBSTITUTE(SUBSTITUTE(SUBSTITUTE(SUBSTITUTE(SUBSTITUTE(SUBSTITUTE(SUBSTITUTE(SUBSTITUTE(SUBSTITUTE(SUBSTITUTE(TRIM($D1187),"'",""),"İ","I"),"ı","I"),"i","I"),"Ş","S"),"ş","S"),"Ğ","G"),"ğ","G"),"Ü","U"),"ü","U"),"Ö","O"),"ö","O"),"Ç","C"),"ç","C"),".",""),",","")," ",""),"-","")))</f>
        <v/>
      </c>
      <c r="S1187" s="3">
        <f>IF($D1187="","",$C1187&amp;"|"&amp;TEXT($E1187,"0")&amp;"|"&amp;TEXT($F1187,"0")&amp;"|"&amp;$I1187)</f>
        <v/>
      </c>
      <c r="T1187" s="3">
        <f>IF($E1187="",0,SUMPRODUCT((AY_SONU!$O$7:$O$42="Evet")*(AY_SONU!$B$7:$B$42=DATE(YEAR($E1187),MONTH($E1187),1))))</f>
        <v/>
      </c>
    </row>
    <row r="1188">
      <c r="A1188" s="6" t="n"/>
      <c r="B1188" s="113">
        <f>IF($D1188="","","T"&amp;TEXT(ROW()-6,"00000"))</f>
        <v/>
      </c>
      <c r="C1188" s="113">
        <f>IF($D1188="","",IFERROR(INDEX(MUSTERILER!$B$7:$B$106,MATCH($R1188,MUSTERILER!$T$7:$T$106,0)),IFERROR(INDEX(MUSTERILER!$B$7:$B$106,MATCH($D1188,MUSTERILER!$B$7:$B$106,0)),IFERROR(INDEX(MUSTERILER!$B$7:$B$106,MATCH($R1188&amp;"*",MUSTERILER!$T$7:$T$106,0)),"TANIMSIZ MÜŞTERİ"))))</f>
        <v/>
      </c>
      <c r="D1188" s="109" t="n"/>
      <c r="E1188" s="220" t="n"/>
      <c r="F1188" s="221" t="n"/>
      <c r="G1188" s="108" t="n"/>
      <c r="H1188" s="108" t="n"/>
      <c r="I1188" s="109" t="n"/>
      <c r="J1188" s="109" t="n"/>
      <c r="K1188" s="109" t="n"/>
      <c r="L1188" s="226">
        <f>IF($E1188="","",DATE(YEAR($E1188),MONTH($E1188),1))</f>
        <v/>
      </c>
      <c r="M1188" s="113">
        <f>IF($D1188="","",IF($C1188="TANIMSIZ MÜŞTERİ","HATA",IF(OR($E1188="",$F1188&lt;=0,$G1188=""),"EKSİK",IF($E1188&gt;TODAY(),"İLERİ TARİH",IF(COUNTIF($S$7:$S$1506,$S1188)&gt;1,"MÜKERRER?",IF($T1188&gt;0,"KAPALI DÖNEM","UYGUN"))))))</f>
        <v/>
      </c>
      <c r="N1188" s="121">
        <f>IF($C1188="","",IF($C1188="TANIMSIZ MÜŞTERİ","—",INDEX(MUSTERILER!$C$7:$C$106,MATCH($C1188,MUSTERILER!$B$7:$B$106,0))))</f>
        <v/>
      </c>
      <c r="O1188" s="6" t="n"/>
      <c r="P1188" s="6" t="n"/>
      <c r="Q1188" s="3">
        <f>IF($D1188="","",$C1188&amp;"|"&amp;COUNTIFS($C$7:$C1188,$C1188))</f>
        <v/>
      </c>
      <c r="R1188" s="3">
        <f>IF($D1188="","",UPPER(SUBSTITUTE(SUBSTITUTE(SUBSTITUTE(SUBSTITUTE(SUBSTITUTE(SUBSTITUTE(SUBSTITUTE(SUBSTITUTE(SUBSTITUTE(SUBSTITUTE(SUBSTITUTE(SUBSTITUTE(SUBSTITUTE(SUBSTITUTE(SUBSTITUTE(SUBSTITUTE(SUBSTITUTE(SUBSTITUTE(TRIM($D1188),"'",""),"İ","I"),"ı","I"),"i","I"),"Ş","S"),"ş","S"),"Ğ","G"),"ğ","G"),"Ü","U"),"ü","U"),"Ö","O"),"ö","O"),"Ç","C"),"ç","C"),".",""),",","")," ",""),"-","")))</f>
        <v/>
      </c>
      <c r="S1188" s="3">
        <f>IF($D1188="","",$C1188&amp;"|"&amp;TEXT($E1188,"0")&amp;"|"&amp;TEXT($F1188,"0")&amp;"|"&amp;$I1188)</f>
        <v/>
      </c>
      <c r="T1188" s="3">
        <f>IF($E1188="",0,SUMPRODUCT((AY_SONU!$O$7:$O$42="Evet")*(AY_SONU!$B$7:$B$42=DATE(YEAR($E1188),MONTH($E1188),1))))</f>
        <v/>
      </c>
    </row>
    <row r="1189">
      <c r="A1189" s="6" t="n"/>
      <c r="B1189" s="113">
        <f>IF($D1189="","","T"&amp;TEXT(ROW()-6,"00000"))</f>
        <v/>
      </c>
      <c r="C1189" s="113">
        <f>IF($D1189="","",IFERROR(INDEX(MUSTERILER!$B$7:$B$106,MATCH($R1189,MUSTERILER!$T$7:$T$106,0)),IFERROR(INDEX(MUSTERILER!$B$7:$B$106,MATCH($D1189,MUSTERILER!$B$7:$B$106,0)),IFERROR(INDEX(MUSTERILER!$B$7:$B$106,MATCH($R1189&amp;"*",MUSTERILER!$T$7:$T$106,0)),"TANIMSIZ MÜŞTERİ"))))</f>
        <v/>
      </c>
      <c r="D1189" s="109" t="n"/>
      <c r="E1189" s="220" t="n"/>
      <c r="F1189" s="221" t="n"/>
      <c r="G1189" s="108" t="n"/>
      <c r="H1189" s="108" t="n"/>
      <c r="I1189" s="109" t="n"/>
      <c r="J1189" s="109" t="n"/>
      <c r="K1189" s="109" t="n"/>
      <c r="L1189" s="226">
        <f>IF($E1189="","",DATE(YEAR($E1189),MONTH($E1189),1))</f>
        <v/>
      </c>
      <c r="M1189" s="113">
        <f>IF($D1189="","",IF($C1189="TANIMSIZ MÜŞTERİ","HATA",IF(OR($E1189="",$F1189&lt;=0,$G1189=""),"EKSİK",IF($E1189&gt;TODAY(),"İLERİ TARİH",IF(COUNTIF($S$7:$S$1506,$S1189)&gt;1,"MÜKERRER?",IF($T1189&gt;0,"KAPALI DÖNEM","UYGUN"))))))</f>
        <v/>
      </c>
      <c r="N1189" s="121">
        <f>IF($C1189="","",IF($C1189="TANIMSIZ MÜŞTERİ","—",INDEX(MUSTERILER!$C$7:$C$106,MATCH($C1189,MUSTERILER!$B$7:$B$106,0))))</f>
        <v/>
      </c>
      <c r="O1189" s="6" t="n"/>
      <c r="P1189" s="6" t="n"/>
      <c r="Q1189" s="3">
        <f>IF($D1189="","",$C1189&amp;"|"&amp;COUNTIFS($C$7:$C1189,$C1189))</f>
        <v/>
      </c>
      <c r="R1189" s="3">
        <f>IF($D1189="","",UPPER(SUBSTITUTE(SUBSTITUTE(SUBSTITUTE(SUBSTITUTE(SUBSTITUTE(SUBSTITUTE(SUBSTITUTE(SUBSTITUTE(SUBSTITUTE(SUBSTITUTE(SUBSTITUTE(SUBSTITUTE(SUBSTITUTE(SUBSTITUTE(SUBSTITUTE(SUBSTITUTE(SUBSTITUTE(SUBSTITUTE(TRIM($D1189),"'",""),"İ","I"),"ı","I"),"i","I"),"Ş","S"),"ş","S"),"Ğ","G"),"ğ","G"),"Ü","U"),"ü","U"),"Ö","O"),"ö","O"),"Ç","C"),"ç","C"),".",""),",","")," ",""),"-","")))</f>
        <v/>
      </c>
      <c r="S1189" s="3">
        <f>IF($D1189="","",$C1189&amp;"|"&amp;TEXT($E1189,"0")&amp;"|"&amp;TEXT($F1189,"0")&amp;"|"&amp;$I1189)</f>
        <v/>
      </c>
      <c r="T1189" s="3">
        <f>IF($E1189="",0,SUMPRODUCT((AY_SONU!$O$7:$O$42="Evet")*(AY_SONU!$B$7:$B$42=DATE(YEAR($E1189),MONTH($E1189),1))))</f>
        <v/>
      </c>
    </row>
    <row r="1190">
      <c r="A1190" s="6" t="n"/>
      <c r="B1190" s="113">
        <f>IF($D1190="","","T"&amp;TEXT(ROW()-6,"00000"))</f>
        <v/>
      </c>
      <c r="C1190" s="113">
        <f>IF($D1190="","",IFERROR(INDEX(MUSTERILER!$B$7:$B$106,MATCH($R1190,MUSTERILER!$T$7:$T$106,0)),IFERROR(INDEX(MUSTERILER!$B$7:$B$106,MATCH($D1190,MUSTERILER!$B$7:$B$106,0)),IFERROR(INDEX(MUSTERILER!$B$7:$B$106,MATCH($R1190&amp;"*",MUSTERILER!$T$7:$T$106,0)),"TANIMSIZ MÜŞTERİ"))))</f>
        <v/>
      </c>
      <c r="D1190" s="109" t="n"/>
      <c r="E1190" s="220" t="n"/>
      <c r="F1190" s="221" t="n"/>
      <c r="G1190" s="108" t="n"/>
      <c r="H1190" s="108" t="n"/>
      <c r="I1190" s="109" t="n"/>
      <c r="J1190" s="109" t="n"/>
      <c r="K1190" s="109" t="n"/>
      <c r="L1190" s="226">
        <f>IF($E1190="","",DATE(YEAR($E1190),MONTH($E1190),1))</f>
        <v/>
      </c>
      <c r="M1190" s="113">
        <f>IF($D1190="","",IF($C1190="TANIMSIZ MÜŞTERİ","HATA",IF(OR($E1190="",$F1190&lt;=0,$G1190=""),"EKSİK",IF($E1190&gt;TODAY(),"İLERİ TARİH",IF(COUNTIF($S$7:$S$1506,$S1190)&gt;1,"MÜKERRER?",IF($T1190&gt;0,"KAPALI DÖNEM","UYGUN"))))))</f>
        <v/>
      </c>
      <c r="N1190" s="121">
        <f>IF($C1190="","",IF($C1190="TANIMSIZ MÜŞTERİ","—",INDEX(MUSTERILER!$C$7:$C$106,MATCH($C1190,MUSTERILER!$B$7:$B$106,0))))</f>
        <v/>
      </c>
      <c r="O1190" s="6" t="n"/>
      <c r="P1190" s="6" t="n"/>
      <c r="Q1190" s="3">
        <f>IF($D1190="","",$C1190&amp;"|"&amp;COUNTIFS($C$7:$C1190,$C1190))</f>
        <v/>
      </c>
      <c r="R1190" s="3">
        <f>IF($D1190="","",UPPER(SUBSTITUTE(SUBSTITUTE(SUBSTITUTE(SUBSTITUTE(SUBSTITUTE(SUBSTITUTE(SUBSTITUTE(SUBSTITUTE(SUBSTITUTE(SUBSTITUTE(SUBSTITUTE(SUBSTITUTE(SUBSTITUTE(SUBSTITUTE(SUBSTITUTE(SUBSTITUTE(SUBSTITUTE(SUBSTITUTE(TRIM($D1190),"'",""),"İ","I"),"ı","I"),"i","I"),"Ş","S"),"ş","S"),"Ğ","G"),"ğ","G"),"Ü","U"),"ü","U"),"Ö","O"),"ö","O"),"Ç","C"),"ç","C"),".",""),",","")," ",""),"-","")))</f>
        <v/>
      </c>
      <c r="S1190" s="3">
        <f>IF($D1190="","",$C1190&amp;"|"&amp;TEXT($E1190,"0")&amp;"|"&amp;TEXT($F1190,"0")&amp;"|"&amp;$I1190)</f>
        <v/>
      </c>
      <c r="T1190" s="3">
        <f>IF($E1190="",0,SUMPRODUCT((AY_SONU!$O$7:$O$42="Evet")*(AY_SONU!$B$7:$B$42=DATE(YEAR($E1190),MONTH($E1190),1))))</f>
        <v/>
      </c>
    </row>
    <row r="1191">
      <c r="A1191" s="6" t="n"/>
      <c r="B1191" s="113">
        <f>IF($D1191="","","T"&amp;TEXT(ROW()-6,"00000"))</f>
        <v/>
      </c>
      <c r="C1191" s="113">
        <f>IF($D1191="","",IFERROR(INDEX(MUSTERILER!$B$7:$B$106,MATCH($R1191,MUSTERILER!$T$7:$T$106,0)),IFERROR(INDEX(MUSTERILER!$B$7:$B$106,MATCH($D1191,MUSTERILER!$B$7:$B$106,0)),IFERROR(INDEX(MUSTERILER!$B$7:$B$106,MATCH($R1191&amp;"*",MUSTERILER!$T$7:$T$106,0)),"TANIMSIZ MÜŞTERİ"))))</f>
        <v/>
      </c>
      <c r="D1191" s="109" t="n"/>
      <c r="E1191" s="220" t="n"/>
      <c r="F1191" s="221" t="n"/>
      <c r="G1191" s="108" t="n"/>
      <c r="H1191" s="108" t="n"/>
      <c r="I1191" s="109" t="n"/>
      <c r="J1191" s="109" t="n"/>
      <c r="K1191" s="109" t="n"/>
      <c r="L1191" s="226">
        <f>IF($E1191="","",DATE(YEAR($E1191),MONTH($E1191),1))</f>
        <v/>
      </c>
      <c r="M1191" s="113">
        <f>IF($D1191="","",IF($C1191="TANIMSIZ MÜŞTERİ","HATA",IF(OR($E1191="",$F1191&lt;=0,$G1191=""),"EKSİK",IF($E1191&gt;TODAY(),"İLERİ TARİH",IF(COUNTIF($S$7:$S$1506,$S1191)&gt;1,"MÜKERRER?",IF($T1191&gt;0,"KAPALI DÖNEM","UYGUN"))))))</f>
        <v/>
      </c>
      <c r="N1191" s="121">
        <f>IF($C1191="","",IF($C1191="TANIMSIZ MÜŞTERİ","—",INDEX(MUSTERILER!$C$7:$C$106,MATCH($C1191,MUSTERILER!$B$7:$B$106,0))))</f>
        <v/>
      </c>
      <c r="O1191" s="6" t="n"/>
      <c r="P1191" s="6" t="n"/>
      <c r="Q1191" s="3">
        <f>IF($D1191="","",$C1191&amp;"|"&amp;COUNTIFS($C$7:$C1191,$C1191))</f>
        <v/>
      </c>
      <c r="R1191" s="3">
        <f>IF($D1191="","",UPPER(SUBSTITUTE(SUBSTITUTE(SUBSTITUTE(SUBSTITUTE(SUBSTITUTE(SUBSTITUTE(SUBSTITUTE(SUBSTITUTE(SUBSTITUTE(SUBSTITUTE(SUBSTITUTE(SUBSTITUTE(SUBSTITUTE(SUBSTITUTE(SUBSTITUTE(SUBSTITUTE(SUBSTITUTE(SUBSTITUTE(TRIM($D1191),"'",""),"İ","I"),"ı","I"),"i","I"),"Ş","S"),"ş","S"),"Ğ","G"),"ğ","G"),"Ü","U"),"ü","U"),"Ö","O"),"ö","O"),"Ç","C"),"ç","C"),".",""),",","")," ",""),"-","")))</f>
        <v/>
      </c>
      <c r="S1191" s="3">
        <f>IF($D1191="","",$C1191&amp;"|"&amp;TEXT($E1191,"0")&amp;"|"&amp;TEXT($F1191,"0")&amp;"|"&amp;$I1191)</f>
        <v/>
      </c>
      <c r="T1191" s="3">
        <f>IF($E1191="",0,SUMPRODUCT((AY_SONU!$O$7:$O$42="Evet")*(AY_SONU!$B$7:$B$42=DATE(YEAR($E1191),MONTH($E1191),1))))</f>
        <v/>
      </c>
    </row>
    <row r="1192">
      <c r="A1192" s="6" t="n"/>
      <c r="B1192" s="113">
        <f>IF($D1192="","","T"&amp;TEXT(ROW()-6,"00000"))</f>
        <v/>
      </c>
      <c r="C1192" s="113">
        <f>IF($D1192="","",IFERROR(INDEX(MUSTERILER!$B$7:$B$106,MATCH($R1192,MUSTERILER!$T$7:$T$106,0)),IFERROR(INDEX(MUSTERILER!$B$7:$B$106,MATCH($D1192,MUSTERILER!$B$7:$B$106,0)),IFERROR(INDEX(MUSTERILER!$B$7:$B$106,MATCH($R1192&amp;"*",MUSTERILER!$T$7:$T$106,0)),"TANIMSIZ MÜŞTERİ"))))</f>
        <v/>
      </c>
      <c r="D1192" s="109" t="n"/>
      <c r="E1192" s="220" t="n"/>
      <c r="F1192" s="221" t="n"/>
      <c r="G1192" s="108" t="n"/>
      <c r="H1192" s="108" t="n"/>
      <c r="I1192" s="109" t="n"/>
      <c r="J1192" s="109" t="n"/>
      <c r="K1192" s="109" t="n"/>
      <c r="L1192" s="226">
        <f>IF($E1192="","",DATE(YEAR($E1192),MONTH($E1192),1))</f>
        <v/>
      </c>
      <c r="M1192" s="113">
        <f>IF($D1192="","",IF($C1192="TANIMSIZ MÜŞTERİ","HATA",IF(OR($E1192="",$F1192&lt;=0,$G1192=""),"EKSİK",IF($E1192&gt;TODAY(),"İLERİ TARİH",IF(COUNTIF($S$7:$S$1506,$S1192)&gt;1,"MÜKERRER?",IF($T1192&gt;0,"KAPALI DÖNEM","UYGUN"))))))</f>
        <v/>
      </c>
      <c r="N1192" s="121">
        <f>IF($C1192="","",IF($C1192="TANIMSIZ MÜŞTERİ","—",INDEX(MUSTERILER!$C$7:$C$106,MATCH($C1192,MUSTERILER!$B$7:$B$106,0))))</f>
        <v/>
      </c>
      <c r="O1192" s="6" t="n"/>
      <c r="P1192" s="6" t="n"/>
      <c r="Q1192" s="3">
        <f>IF($D1192="","",$C1192&amp;"|"&amp;COUNTIFS($C$7:$C1192,$C1192))</f>
        <v/>
      </c>
      <c r="R1192" s="3">
        <f>IF($D1192="","",UPPER(SUBSTITUTE(SUBSTITUTE(SUBSTITUTE(SUBSTITUTE(SUBSTITUTE(SUBSTITUTE(SUBSTITUTE(SUBSTITUTE(SUBSTITUTE(SUBSTITUTE(SUBSTITUTE(SUBSTITUTE(SUBSTITUTE(SUBSTITUTE(SUBSTITUTE(SUBSTITUTE(SUBSTITUTE(SUBSTITUTE(TRIM($D1192),"'",""),"İ","I"),"ı","I"),"i","I"),"Ş","S"),"ş","S"),"Ğ","G"),"ğ","G"),"Ü","U"),"ü","U"),"Ö","O"),"ö","O"),"Ç","C"),"ç","C"),".",""),",","")," ",""),"-","")))</f>
        <v/>
      </c>
      <c r="S1192" s="3">
        <f>IF($D1192="","",$C1192&amp;"|"&amp;TEXT($E1192,"0")&amp;"|"&amp;TEXT($F1192,"0")&amp;"|"&amp;$I1192)</f>
        <v/>
      </c>
      <c r="T1192" s="3">
        <f>IF($E1192="",0,SUMPRODUCT((AY_SONU!$O$7:$O$42="Evet")*(AY_SONU!$B$7:$B$42=DATE(YEAR($E1192),MONTH($E1192),1))))</f>
        <v/>
      </c>
    </row>
    <row r="1193">
      <c r="A1193" s="6" t="n"/>
      <c r="B1193" s="113">
        <f>IF($D1193="","","T"&amp;TEXT(ROW()-6,"00000"))</f>
        <v/>
      </c>
      <c r="C1193" s="113">
        <f>IF($D1193="","",IFERROR(INDEX(MUSTERILER!$B$7:$B$106,MATCH($R1193,MUSTERILER!$T$7:$T$106,0)),IFERROR(INDEX(MUSTERILER!$B$7:$B$106,MATCH($D1193,MUSTERILER!$B$7:$B$106,0)),IFERROR(INDEX(MUSTERILER!$B$7:$B$106,MATCH($R1193&amp;"*",MUSTERILER!$T$7:$T$106,0)),"TANIMSIZ MÜŞTERİ"))))</f>
        <v/>
      </c>
      <c r="D1193" s="109" t="n"/>
      <c r="E1193" s="220" t="n"/>
      <c r="F1193" s="221" t="n"/>
      <c r="G1193" s="108" t="n"/>
      <c r="H1193" s="108" t="n"/>
      <c r="I1193" s="109" t="n"/>
      <c r="J1193" s="109" t="n"/>
      <c r="K1193" s="109" t="n"/>
      <c r="L1193" s="226">
        <f>IF($E1193="","",DATE(YEAR($E1193),MONTH($E1193),1))</f>
        <v/>
      </c>
      <c r="M1193" s="113">
        <f>IF($D1193="","",IF($C1193="TANIMSIZ MÜŞTERİ","HATA",IF(OR($E1193="",$F1193&lt;=0,$G1193=""),"EKSİK",IF($E1193&gt;TODAY(),"İLERİ TARİH",IF(COUNTIF($S$7:$S$1506,$S1193)&gt;1,"MÜKERRER?",IF($T1193&gt;0,"KAPALI DÖNEM","UYGUN"))))))</f>
        <v/>
      </c>
      <c r="N1193" s="121">
        <f>IF($C1193="","",IF($C1193="TANIMSIZ MÜŞTERİ","—",INDEX(MUSTERILER!$C$7:$C$106,MATCH($C1193,MUSTERILER!$B$7:$B$106,0))))</f>
        <v/>
      </c>
      <c r="O1193" s="6" t="n"/>
      <c r="P1193" s="6" t="n"/>
      <c r="Q1193" s="3">
        <f>IF($D1193="","",$C1193&amp;"|"&amp;COUNTIFS($C$7:$C1193,$C1193))</f>
        <v/>
      </c>
      <c r="R1193" s="3">
        <f>IF($D1193="","",UPPER(SUBSTITUTE(SUBSTITUTE(SUBSTITUTE(SUBSTITUTE(SUBSTITUTE(SUBSTITUTE(SUBSTITUTE(SUBSTITUTE(SUBSTITUTE(SUBSTITUTE(SUBSTITUTE(SUBSTITUTE(SUBSTITUTE(SUBSTITUTE(SUBSTITUTE(SUBSTITUTE(SUBSTITUTE(SUBSTITUTE(TRIM($D1193),"'",""),"İ","I"),"ı","I"),"i","I"),"Ş","S"),"ş","S"),"Ğ","G"),"ğ","G"),"Ü","U"),"ü","U"),"Ö","O"),"ö","O"),"Ç","C"),"ç","C"),".",""),",","")," ",""),"-","")))</f>
        <v/>
      </c>
      <c r="S1193" s="3">
        <f>IF($D1193="","",$C1193&amp;"|"&amp;TEXT($E1193,"0")&amp;"|"&amp;TEXT($F1193,"0")&amp;"|"&amp;$I1193)</f>
        <v/>
      </c>
      <c r="T1193" s="3">
        <f>IF($E1193="",0,SUMPRODUCT((AY_SONU!$O$7:$O$42="Evet")*(AY_SONU!$B$7:$B$42=DATE(YEAR($E1193),MONTH($E1193),1))))</f>
        <v/>
      </c>
    </row>
    <row r="1194">
      <c r="A1194" s="6" t="n"/>
      <c r="B1194" s="113">
        <f>IF($D1194="","","T"&amp;TEXT(ROW()-6,"00000"))</f>
        <v/>
      </c>
      <c r="C1194" s="113">
        <f>IF($D1194="","",IFERROR(INDEX(MUSTERILER!$B$7:$B$106,MATCH($R1194,MUSTERILER!$T$7:$T$106,0)),IFERROR(INDEX(MUSTERILER!$B$7:$B$106,MATCH($D1194,MUSTERILER!$B$7:$B$106,0)),IFERROR(INDEX(MUSTERILER!$B$7:$B$106,MATCH($R1194&amp;"*",MUSTERILER!$T$7:$T$106,0)),"TANIMSIZ MÜŞTERİ"))))</f>
        <v/>
      </c>
      <c r="D1194" s="109" t="n"/>
      <c r="E1194" s="220" t="n"/>
      <c r="F1194" s="221" t="n"/>
      <c r="G1194" s="108" t="n"/>
      <c r="H1194" s="108" t="n"/>
      <c r="I1194" s="109" t="n"/>
      <c r="J1194" s="109" t="n"/>
      <c r="K1194" s="109" t="n"/>
      <c r="L1194" s="226">
        <f>IF($E1194="","",DATE(YEAR($E1194),MONTH($E1194),1))</f>
        <v/>
      </c>
      <c r="M1194" s="113">
        <f>IF($D1194="","",IF($C1194="TANIMSIZ MÜŞTERİ","HATA",IF(OR($E1194="",$F1194&lt;=0,$G1194=""),"EKSİK",IF($E1194&gt;TODAY(),"İLERİ TARİH",IF(COUNTIF($S$7:$S$1506,$S1194)&gt;1,"MÜKERRER?",IF($T1194&gt;0,"KAPALI DÖNEM","UYGUN"))))))</f>
        <v/>
      </c>
      <c r="N1194" s="121">
        <f>IF($C1194="","",IF($C1194="TANIMSIZ MÜŞTERİ","—",INDEX(MUSTERILER!$C$7:$C$106,MATCH($C1194,MUSTERILER!$B$7:$B$106,0))))</f>
        <v/>
      </c>
      <c r="O1194" s="6" t="n"/>
      <c r="P1194" s="6" t="n"/>
      <c r="Q1194" s="3">
        <f>IF($D1194="","",$C1194&amp;"|"&amp;COUNTIFS($C$7:$C1194,$C1194))</f>
        <v/>
      </c>
      <c r="R1194" s="3">
        <f>IF($D1194="","",UPPER(SUBSTITUTE(SUBSTITUTE(SUBSTITUTE(SUBSTITUTE(SUBSTITUTE(SUBSTITUTE(SUBSTITUTE(SUBSTITUTE(SUBSTITUTE(SUBSTITUTE(SUBSTITUTE(SUBSTITUTE(SUBSTITUTE(SUBSTITUTE(SUBSTITUTE(SUBSTITUTE(SUBSTITUTE(SUBSTITUTE(TRIM($D1194),"'",""),"İ","I"),"ı","I"),"i","I"),"Ş","S"),"ş","S"),"Ğ","G"),"ğ","G"),"Ü","U"),"ü","U"),"Ö","O"),"ö","O"),"Ç","C"),"ç","C"),".",""),",","")," ",""),"-","")))</f>
        <v/>
      </c>
      <c r="S1194" s="3">
        <f>IF($D1194="","",$C1194&amp;"|"&amp;TEXT($E1194,"0")&amp;"|"&amp;TEXT($F1194,"0")&amp;"|"&amp;$I1194)</f>
        <v/>
      </c>
      <c r="T1194" s="3">
        <f>IF($E1194="",0,SUMPRODUCT((AY_SONU!$O$7:$O$42="Evet")*(AY_SONU!$B$7:$B$42=DATE(YEAR($E1194),MONTH($E1194),1))))</f>
        <v/>
      </c>
    </row>
    <row r="1195">
      <c r="A1195" s="6" t="n"/>
      <c r="B1195" s="113">
        <f>IF($D1195="","","T"&amp;TEXT(ROW()-6,"00000"))</f>
        <v/>
      </c>
      <c r="C1195" s="113">
        <f>IF($D1195="","",IFERROR(INDEX(MUSTERILER!$B$7:$B$106,MATCH($R1195,MUSTERILER!$T$7:$T$106,0)),IFERROR(INDEX(MUSTERILER!$B$7:$B$106,MATCH($D1195,MUSTERILER!$B$7:$B$106,0)),IFERROR(INDEX(MUSTERILER!$B$7:$B$106,MATCH($R1195&amp;"*",MUSTERILER!$T$7:$T$106,0)),"TANIMSIZ MÜŞTERİ"))))</f>
        <v/>
      </c>
      <c r="D1195" s="109" t="n"/>
      <c r="E1195" s="220" t="n"/>
      <c r="F1195" s="221" t="n"/>
      <c r="G1195" s="108" t="n"/>
      <c r="H1195" s="108" t="n"/>
      <c r="I1195" s="109" t="n"/>
      <c r="J1195" s="109" t="n"/>
      <c r="K1195" s="109" t="n"/>
      <c r="L1195" s="226">
        <f>IF($E1195="","",DATE(YEAR($E1195),MONTH($E1195),1))</f>
        <v/>
      </c>
      <c r="M1195" s="113">
        <f>IF($D1195="","",IF($C1195="TANIMSIZ MÜŞTERİ","HATA",IF(OR($E1195="",$F1195&lt;=0,$G1195=""),"EKSİK",IF($E1195&gt;TODAY(),"İLERİ TARİH",IF(COUNTIF($S$7:$S$1506,$S1195)&gt;1,"MÜKERRER?",IF($T1195&gt;0,"KAPALI DÖNEM","UYGUN"))))))</f>
        <v/>
      </c>
      <c r="N1195" s="121">
        <f>IF($C1195="","",IF($C1195="TANIMSIZ MÜŞTERİ","—",INDEX(MUSTERILER!$C$7:$C$106,MATCH($C1195,MUSTERILER!$B$7:$B$106,0))))</f>
        <v/>
      </c>
      <c r="O1195" s="6" t="n"/>
      <c r="P1195" s="6" t="n"/>
      <c r="Q1195" s="3">
        <f>IF($D1195="","",$C1195&amp;"|"&amp;COUNTIFS($C$7:$C1195,$C1195))</f>
        <v/>
      </c>
      <c r="R1195" s="3">
        <f>IF($D1195="","",UPPER(SUBSTITUTE(SUBSTITUTE(SUBSTITUTE(SUBSTITUTE(SUBSTITUTE(SUBSTITUTE(SUBSTITUTE(SUBSTITUTE(SUBSTITUTE(SUBSTITUTE(SUBSTITUTE(SUBSTITUTE(SUBSTITUTE(SUBSTITUTE(SUBSTITUTE(SUBSTITUTE(SUBSTITUTE(SUBSTITUTE(TRIM($D1195),"'",""),"İ","I"),"ı","I"),"i","I"),"Ş","S"),"ş","S"),"Ğ","G"),"ğ","G"),"Ü","U"),"ü","U"),"Ö","O"),"ö","O"),"Ç","C"),"ç","C"),".",""),",","")," ",""),"-","")))</f>
        <v/>
      </c>
      <c r="S1195" s="3">
        <f>IF($D1195="","",$C1195&amp;"|"&amp;TEXT($E1195,"0")&amp;"|"&amp;TEXT($F1195,"0")&amp;"|"&amp;$I1195)</f>
        <v/>
      </c>
      <c r="T1195" s="3">
        <f>IF($E1195="",0,SUMPRODUCT((AY_SONU!$O$7:$O$42="Evet")*(AY_SONU!$B$7:$B$42=DATE(YEAR($E1195),MONTH($E1195),1))))</f>
        <v/>
      </c>
    </row>
    <row r="1196">
      <c r="A1196" s="6" t="n"/>
      <c r="B1196" s="113">
        <f>IF($D1196="","","T"&amp;TEXT(ROW()-6,"00000"))</f>
        <v/>
      </c>
      <c r="C1196" s="113">
        <f>IF($D1196="","",IFERROR(INDEX(MUSTERILER!$B$7:$B$106,MATCH($R1196,MUSTERILER!$T$7:$T$106,0)),IFERROR(INDEX(MUSTERILER!$B$7:$B$106,MATCH($D1196,MUSTERILER!$B$7:$B$106,0)),IFERROR(INDEX(MUSTERILER!$B$7:$B$106,MATCH($R1196&amp;"*",MUSTERILER!$T$7:$T$106,0)),"TANIMSIZ MÜŞTERİ"))))</f>
        <v/>
      </c>
      <c r="D1196" s="109" t="n"/>
      <c r="E1196" s="220" t="n"/>
      <c r="F1196" s="221" t="n"/>
      <c r="G1196" s="108" t="n"/>
      <c r="H1196" s="108" t="n"/>
      <c r="I1196" s="109" t="n"/>
      <c r="J1196" s="109" t="n"/>
      <c r="K1196" s="109" t="n"/>
      <c r="L1196" s="226">
        <f>IF($E1196="","",DATE(YEAR($E1196),MONTH($E1196),1))</f>
        <v/>
      </c>
      <c r="M1196" s="113">
        <f>IF($D1196="","",IF($C1196="TANIMSIZ MÜŞTERİ","HATA",IF(OR($E1196="",$F1196&lt;=0,$G1196=""),"EKSİK",IF($E1196&gt;TODAY(),"İLERİ TARİH",IF(COUNTIF($S$7:$S$1506,$S1196)&gt;1,"MÜKERRER?",IF($T1196&gt;0,"KAPALI DÖNEM","UYGUN"))))))</f>
        <v/>
      </c>
      <c r="N1196" s="121">
        <f>IF($C1196="","",IF($C1196="TANIMSIZ MÜŞTERİ","—",INDEX(MUSTERILER!$C$7:$C$106,MATCH($C1196,MUSTERILER!$B$7:$B$106,0))))</f>
        <v/>
      </c>
      <c r="O1196" s="6" t="n"/>
      <c r="P1196" s="6" t="n"/>
      <c r="Q1196" s="3">
        <f>IF($D1196="","",$C1196&amp;"|"&amp;COUNTIFS($C$7:$C1196,$C1196))</f>
        <v/>
      </c>
      <c r="R1196" s="3">
        <f>IF($D1196="","",UPPER(SUBSTITUTE(SUBSTITUTE(SUBSTITUTE(SUBSTITUTE(SUBSTITUTE(SUBSTITUTE(SUBSTITUTE(SUBSTITUTE(SUBSTITUTE(SUBSTITUTE(SUBSTITUTE(SUBSTITUTE(SUBSTITUTE(SUBSTITUTE(SUBSTITUTE(SUBSTITUTE(SUBSTITUTE(SUBSTITUTE(TRIM($D1196),"'",""),"İ","I"),"ı","I"),"i","I"),"Ş","S"),"ş","S"),"Ğ","G"),"ğ","G"),"Ü","U"),"ü","U"),"Ö","O"),"ö","O"),"Ç","C"),"ç","C"),".",""),",","")," ",""),"-","")))</f>
        <v/>
      </c>
      <c r="S1196" s="3">
        <f>IF($D1196="","",$C1196&amp;"|"&amp;TEXT($E1196,"0")&amp;"|"&amp;TEXT($F1196,"0")&amp;"|"&amp;$I1196)</f>
        <v/>
      </c>
      <c r="T1196" s="3">
        <f>IF($E1196="",0,SUMPRODUCT((AY_SONU!$O$7:$O$42="Evet")*(AY_SONU!$B$7:$B$42=DATE(YEAR($E1196),MONTH($E1196),1))))</f>
        <v/>
      </c>
    </row>
    <row r="1197">
      <c r="A1197" s="6" t="n"/>
      <c r="B1197" s="113">
        <f>IF($D1197="","","T"&amp;TEXT(ROW()-6,"00000"))</f>
        <v/>
      </c>
      <c r="C1197" s="113">
        <f>IF($D1197="","",IFERROR(INDEX(MUSTERILER!$B$7:$B$106,MATCH($R1197,MUSTERILER!$T$7:$T$106,0)),IFERROR(INDEX(MUSTERILER!$B$7:$B$106,MATCH($D1197,MUSTERILER!$B$7:$B$106,0)),IFERROR(INDEX(MUSTERILER!$B$7:$B$106,MATCH($R1197&amp;"*",MUSTERILER!$T$7:$T$106,0)),"TANIMSIZ MÜŞTERİ"))))</f>
        <v/>
      </c>
      <c r="D1197" s="109" t="n"/>
      <c r="E1197" s="220" t="n"/>
      <c r="F1197" s="221" t="n"/>
      <c r="G1197" s="108" t="n"/>
      <c r="H1197" s="108" t="n"/>
      <c r="I1197" s="109" t="n"/>
      <c r="J1197" s="109" t="n"/>
      <c r="K1197" s="109" t="n"/>
      <c r="L1197" s="226">
        <f>IF($E1197="","",DATE(YEAR($E1197),MONTH($E1197),1))</f>
        <v/>
      </c>
      <c r="M1197" s="113">
        <f>IF($D1197="","",IF($C1197="TANIMSIZ MÜŞTERİ","HATA",IF(OR($E1197="",$F1197&lt;=0,$G1197=""),"EKSİK",IF($E1197&gt;TODAY(),"İLERİ TARİH",IF(COUNTIF($S$7:$S$1506,$S1197)&gt;1,"MÜKERRER?",IF($T1197&gt;0,"KAPALI DÖNEM","UYGUN"))))))</f>
        <v/>
      </c>
      <c r="N1197" s="121">
        <f>IF($C1197="","",IF($C1197="TANIMSIZ MÜŞTERİ","—",INDEX(MUSTERILER!$C$7:$C$106,MATCH($C1197,MUSTERILER!$B$7:$B$106,0))))</f>
        <v/>
      </c>
      <c r="O1197" s="6" t="n"/>
      <c r="P1197" s="6" t="n"/>
      <c r="Q1197" s="3">
        <f>IF($D1197="","",$C1197&amp;"|"&amp;COUNTIFS($C$7:$C1197,$C1197))</f>
        <v/>
      </c>
      <c r="R1197" s="3">
        <f>IF($D1197="","",UPPER(SUBSTITUTE(SUBSTITUTE(SUBSTITUTE(SUBSTITUTE(SUBSTITUTE(SUBSTITUTE(SUBSTITUTE(SUBSTITUTE(SUBSTITUTE(SUBSTITUTE(SUBSTITUTE(SUBSTITUTE(SUBSTITUTE(SUBSTITUTE(SUBSTITUTE(SUBSTITUTE(SUBSTITUTE(SUBSTITUTE(TRIM($D1197),"'",""),"İ","I"),"ı","I"),"i","I"),"Ş","S"),"ş","S"),"Ğ","G"),"ğ","G"),"Ü","U"),"ü","U"),"Ö","O"),"ö","O"),"Ç","C"),"ç","C"),".",""),",","")," ",""),"-","")))</f>
        <v/>
      </c>
      <c r="S1197" s="3">
        <f>IF($D1197="","",$C1197&amp;"|"&amp;TEXT($E1197,"0")&amp;"|"&amp;TEXT($F1197,"0")&amp;"|"&amp;$I1197)</f>
        <v/>
      </c>
      <c r="T1197" s="3">
        <f>IF($E1197="",0,SUMPRODUCT((AY_SONU!$O$7:$O$42="Evet")*(AY_SONU!$B$7:$B$42=DATE(YEAR($E1197),MONTH($E1197),1))))</f>
        <v/>
      </c>
    </row>
    <row r="1198">
      <c r="A1198" s="6" t="n"/>
      <c r="B1198" s="113">
        <f>IF($D1198="","","T"&amp;TEXT(ROW()-6,"00000"))</f>
        <v/>
      </c>
      <c r="C1198" s="113">
        <f>IF($D1198="","",IFERROR(INDEX(MUSTERILER!$B$7:$B$106,MATCH($R1198,MUSTERILER!$T$7:$T$106,0)),IFERROR(INDEX(MUSTERILER!$B$7:$B$106,MATCH($D1198,MUSTERILER!$B$7:$B$106,0)),IFERROR(INDEX(MUSTERILER!$B$7:$B$106,MATCH($R1198&amp;"*",MUSTERILER!$T$7:$T$106,0)),"TANIMSIZ MÜŞTERİ"))))</f>
        <v/>
      </c>
      <c r="D1198" s="109" t="n"/>
      <c r="E1198" s="220" t="n"/>
      <c r="F1198" s="221" t="n"/>
      <c r="G1198" s="108" t="n"/>
      <c r="H1198" s="108" t="n"/>
      <c r="I1198" s="109" t="n"/>
      <c r="J1198" s="109" t="n"/>
      <c r="K1198" s="109" t="n"/>
      <c r="L1198" s="226">
        <f>IF($E1198="","",DATE(YEAR($E1198),MONTH($E1198),1))</f>
        <v/>
      </c>
      <c r="M1198" s="113">
        <f>IF($D1198="","",IF($C1198="TANIMSIZ MÜŞTERİ","HATA",IF(OR($E1198="",$F1198&lt;=0,$G1198=""),"EKSİK",IF($E1198&gt;TODAY(),"İLERİ TARİH",IF(COUNTIF($S$7:$S$1506,$S1198)&gt;1,"MÜKERRER?",IF($T1198&gt;0,"KAPALI DÖNEM","UYGUN"))))))</f>
        <v/>
      </c>
      <c r="N1198" s="121">
        <f>IF($C1198="","",IF($C1198="TANIMSIZ MÜŞTERİ","—",INDEX(MUSTERILER!$C$7:$C$106,MATCH($C1198,MUSTERILER!$B$7:$B$106,0))))</f>
        <v/>
      </c>
      <c r="O1198" s="6" t="n"/>
      <c r="P1198" s="6" t="n"/>
      <c r="Q1198" s="3">
        <f>IF($D1198="","",$C1198&amp;"|"&amp;COUNTIFS($C$7:$C1198,$C1198))</f>
        <v/>
      </c>
      <c r="R1198" s="3">
        <f>IF($D1198="","",UPPER(SUBSTITUTE(SUBSTITUTE(SUBSTITUTE(SUBSTITUTE(SUBSTITUTE(SUBSTITUTE(SUBSTITUTE(SUBSTITUTE(SUBSTITUTE(SUBSTITUTE(SUBSTITUTE(SUBSTITUTE(SUBSTITUTE(SUBSTITUTE(SUBSTITUTE(SUBSTITUTE(SUBSTITUTE(SUBSTITUTE(TRIM($D1198),"'",""),"İ","I"),"ı","I"),"i","I"),"Ş","S"),"ş","S"),"Ğ","G"),"ğ","G"),"Ü","U"),"ü","U"),"Ö","O"),"ö","O"),"Ç","C"),"ç","C"),".",""),",","")," ",""),"-","")))</f>
        <v/>
      </c>
      <c r="S1198" s="3">
        <f>IF($D1198="","",$C1198&amp;"|"&amp;TEXT($E1198,"0")&amp;"|"&amp;TEXT($F1198,"0")&amp;"|"&amp;$I1198)</f>
        <v/>
      </c>
      <c r="T1198" s="3">
        <f>IF($E1198="",0,SUMPRODUCT((AY_SONU!$O$7:$O$42="Evet")*(AY_SONU!$B$7:$B$42=DATE(YEAR($E1198),MONTH($E1198),1))))</f>
        <v/>
      </c>
    </row>
    <row r="1199">
      <c r="A1199" s="6" t="n"/>
      <c r="B1199" s="113">
        <f>IF($D1199="","","T"&amp;TEXT(ROW()-6,"00000"))</f>
        <v/>
      </c>
      <c r="C1199" s="113">
        <f>IF($D1199="","",IFERROR(INDEX(MUSTERILER!$B$7:$B$106,MATCH($R1199,MUSTERILER!$T$7:$T$106,0)),IFERROR(INDEX(MUSTERILER!$B$7:$B$106,MATCH($D1199,MUSTERILER!$B$7:$B$106,0)),IFERROR(INDEX(MUSTERILER!$B$7:$B$106,MATCH($R1199&amp;"*",MUSTERILER!$T$7:$T$106,0)),"TANIMSIZ MÜŞTERİ"))))</f>
        <v/>
      </c>
      <c r="D1199" s="109" t="n"/>
      <c r="E1199" s="220" t="n"/>
      <c r="F1199" s="221" t="n"/>
      <c r="G1199" s="108" t="n"/>
      <c r="H1199" s="108" t="n"/>
      <c r="I1199" s="109" t="n"/>
      <c r="J1199" s="109" t="n"/>
      <c r="K1199" s="109" t="n"/>
      <c r="L1199" s="226">
        <f>IF($E1199="","",DATE(YEAR($E1199),MONTH($E1199),1))</f>
        <v/>
      </c>
      <c r="M1199" s="113">
        <f>IF($D1199="","",IF($C1199="TANIMSIZ MÜŞTERİ","HATA",IF(OR($E1199="",$F1199&lt;=0,$G1199=""),"EKSİK",IF($E1199&gt;TODAY(),"İLERİ TARİH",IF(COUNTIF($S$7:$S$1506,$S1199)&gt;1,"MÜKERRER?",IF($T1199&gt;0,"KAPALI DÖNEM","UYGUN"))))))</f>
        <v/>
      </c>
      <c r="N1199" s="121">
        <f>IF($C1199="","",IF($C1199="TANIMSIZ MÜŞTERİ","—",INDEX(MUSTERILER!$C$7:$C$106,MATCH($C1199,MUSTERILER!$B$7:$B$106,0))))</f>
        <v/>
      </c>
      <c r="O1199" s="6" t="n"/>
      <c r="P1199" s="6" t="n"/>
      <c r="Q1199" s="3">
        <f>IF($D1199="","",$C1199&amp;"|"&amp;COUNTIFS($C$7:$C1199,$C1199))</f>
        <v/>
      </c>
      <c r="R1199" s="3">
        <f>IF($D1199="","",UPPER(SUBSTITUTE(SUBSTITUTE(SUBSTITUTE(SUBSTITUTE(SUBSTITUTE(SUBSTITUTE(SUBSTITUTE(SUBSTITUTE(SUBSTITUTE(SUBSTITUTE(SUBSTITUTE(SUBSTITUTE(SUBSTITUTE(SUBSTITUTE(SUBSTITUTE(SUBSTITUTE(SUBSTITUTE(SUBSTITUTE(TRIM($D1199),"'",""),"İ","I"),"ı","I"),"i","I"),"Ş","S"),"ş","S"),"Ğ","G"),"ğ","G"),"Ü","U"),"ü","U"),"Ö","O"),"ö","O"),"Ç","C"),"ç","C"),".",""),",","")," ",""),"-","")))</f>
        <v/>
      </c>
      <c r="S1199" s="3">
        <f>IF($D1199="","",$C1199&amp;"|"&amp;TEXT($E1199,"0")&amp;"|"&amp;TEXT($F1199,"0")&amp;"|"&amp;$I1199)</f>
        <v/>
      </c>
      <c r="T1199" s="3">
        <f>IF($E1199="",0,SUMPRODUCT((AY_SONU!$O$7:$O$42="Evet")*(AY_SONU!$B$7:$B$42=DATE(YEAR($E1199),MONTH($E1199),1))))</f>
        <v/>
      </c>
    </row>
    <row r="1200">
      <c r="A1200" s="6" t="n"/>
      <c r="B1200" s="113">
        <f>IF($D1200="","","T"&amp;TEXT(ROW()-6,"00000"))</f>
        <v/>
      </c>
      <c r="C1200" s="113">
        <f>IF($D1200="","",IFERROR(INDEX(MUSTERILER!$B$7:$B$106,MATCH($R1200,MUSTERILER!$T$7:$T$106,0)),IFERROR(INDEX(MUSTERILER!$B$7:$B$106,MATCH($D1200,MUSTERILER!$B$7:$B$106,0)),IFERROR(INDEX(MUSTERILER!$B$7:$B$106,MATCH($R1200&amp;"*",MUSTERILER!$T$7:$T$106,0)),"TANIMSIZ MÜŞTERİ"))))</f>
        <v/>
      </c>
      <c r="D1200" s="109" t="n"/>
      <c r="E1200" s="220" t="n"/>
      <c r="F1200" s="221" t="n"/>
      <c r="G1200" s="108" t="n"/>
      <c r="H1200" s="108" t="n"/>
      <c r="I1200" s="109" t="n"/>
      <c r="J1200" s="109" t="n"/>
      <c r="K1200" s="109" t="n"/>
      <c r="L1200" s="226">
        <f>IF($E1200="","",DATE(YEAR($E1200),MONTH($E1200),1))</f>
        <v/>
      </c>
      <c r="M1200" s="113">
        <f>IF($D1200="","",IF($C1200="TANIMSIZ MÜŞTERİ","HATA",IF(OR($E1200="",$F1200&lt;=0,$G1200=""),"EKSİK",IF($E1200&gt;TODAY(),"İLERİ TARİH",IF(COUNTIF($S$7:$S$1506,$S1200)&gt;1,"MÜKERRER?",IF($T1200&gt;0,"KAPALI DÖNEM","UYGUN"))))))</f>
        <v/>
      </c>
      <c r="N1200" s="121">
        <f>IF($C1200="","",IF($C1200="TANIMSIZ MÜŞTERİ","—",INDEX(MUSTERILER!$C$7:$C$106,MATCH($C1200,MUSTERILER!$B$7:$B$106,0))))</f>
        <v/>
      </c>
      <c r="O1200" s="6" t="n"/>
      <c r="P1200" s="6" t="n"/>
      <c r="Q1200" s="3">
        <f>IF($D1200="","",$C1200&amp;"|"&amp;COUNTIFS($C$7:$C1200,$C1200))</f>
        <v/>
      </c>
      <c r="R1200" s="3">
        <f>IF($D1200="","",UPPER(SUBSTITUTE(SUBSTITUTE(SUBSTITUTE(SUBSTITUTE(SUBSTITUTE(SUBSTITUTE(SUBSTITUTE(SUBSTITUTE(SUBSTITUTE(SUBSTITUTE(SUBSTITUTE(SUBSTITUTE(SUBSTITUTE(SUBSTITUTE(SUBSTITUTE(SUBSTITUTE(SUBSTITUTE(SUBSTITUTE(TRIM($D1200),"'",""),"İ","I"),"ı","I"),"i","I"),"Ş","S"),"ş","S"),"Ğ","G"),"ğ","G"),"Ü","U"),"ü","U"),"Ö","O"),"ö","O"),"Ç","C"),"ç","C"),".",""),",","")," ",""),"-","")))</f>
        <v/>
      </c>
      <c r="S1200" s="3">
        <f>IF($D1200="","",$C1200&amp;"|"&amp;TEXT($E1200,"0")&amp;"|"&amp;TEXT($F1200,"0")&amp;"|"&amp;$I1200)</f>
        <v/>
      </c>
      <c r="T1200" s="3">
        <f>IF($E1200="",0,SUMPRODUCT((AY_SONU!$O$7:$O$42="Evet")*(AY_SONU!$B$7:$B$42=DATE(YEAR($E1200),MONTH($E1200),1))))</f>
        <v/>
      </c>
    </row>
    <row r="1201">
      <c r="A1201" s="6" t="n"/>
      <c r="B1201" s="113">
        <f>IF($D1201="","","T"&amp;TEXT(ROW()-6,"00000"))</f>
        <v/>
      </c>
      <c r="C1201" s="113">
        <f>IF($D1201="","",IFERROR(INDEX(MUSTERILER!$B$7:$B$106,MATCH($R1201,MUSTERILER!$T$7:$T$106,0)),IFERROR(INDEX(MUSTERILER!$B$7:$B$106,MATCH($D1201,MUSTERILER!$B$7:$B$106,0)),IFERROR(INDEX(MUSTERILER!$B$7:$B$106,MATCH($R1201&amp;"*",MUSTERILER!$T$7:$T$106,0)),"TANIMSIZ MÜŞTERİ"))))</f>
        <v/>
      </c>
      <c r="D1201" s="109" t="n"/>
      <c r="E1201" s="220" t="n"/>
      <c r="F1201" s="221" t="n"/>
      <c r="G1201" s="108" t="n"/>
      <c r="H1201" s="108" t="n"/>
      <c r="I1201" s="109" t="n"/>
      <c r="J1201" s="109" t="n"/>
      <c r="K1201" s="109" t="n"/>
      <c r="L1201" s="226">
        <f>IF($E1201="","",DATE(YEAR($E1201),MONTH($E1201),1))</f>
        <v/>
      </c>
      <c r="M1201" s="113">
        <f>IF($D1201="","",IF($C1201="TANIMSIZ MÜŞTERİ","HATA",IF(OR($E1201="",$F1201&lt;=0,$G1201=""),"EKSİK",IF($E1201&gt;TODAY(),"İLERİ TARİH",IF(COUNTIF($S$7:$S$1506,$S1201)&gt;1,"MÜKERRER?",IF($T1201&gt;0,"KAPALI DÖNEM","UYGUN"))))))</f>
        <v/>
      </c>
      <c r="N1201" s="121">
        <f>IF($C1201="","",IF($C1201="TANIMSIZ MÜŞTERİ","—",INDEX(MUSTERILER!$C$7:$C$106,MATCH($C1201,MUSTERILER!$B$7:$B$106,0))))</f>
        <v/>
      </c>
      <c r="O1201" s="6" t="n"/>
      <c r="P1201" s="6" t="n"/>
      <c r="Q1201" s="3">
        <f>IF($D1201="","",$C1201&amp;"|"&amp;COUNTIFS($C$7:$C1201,$C1201))</f>
        <v/>
      </c>
      <c r="R1201" s="3">
        <f>IF($D1201="","",UPPER(SUBSTITUTE(SUBSTITUTE(SUBSTITUTE(SUBSTITUTE(SUBSTITUTE(SUBSTITUTE(SUBSTITUTE(SUBSTITUTE(SUBSTITUTE(SUBSTITUTE(SUBSTITUTE(SUBSTITUTE(SUBSTITUTE(SUBSTITUTE(SUBSTITUTE(SUBSTITUTE(SUBSTITUTE(SUBSTITUTE(TRIM($D1201),"'",""),"İ","I"),"ı","I"),"i","I"),"Ş","S"),"ş","S"),"Ğ","G"),"ğ","G"),"Ü","U"),"ü","U"),"Ö","O"),"ö","O"),"Ç","C"),"ç","C"),".",""),",","")," ",""),"-","")))</f>
        <v/>
      </c>
      <c r="S1201" s="3">
        <f>IF($D1201="","",$C1201&amp;"|"&amp;TEXT($E1201,"0")&amp;"|"&amp;TEXT($F1201,"0")&amp;"|"&amp;$I1201)</f>
        <v/>
      </c>
      <c r="T1201" s="3">
        <f>IF($E1201="",0,SUMPRODUCT((AY_SONU!$O$7:$O$42="Evet")*(AY_SONU!$B$7:$B$42=DATE(YEAR($E1201),MONTH($E1201),1))))</f>
        <v/>
      </c>
    </row>
    <row r="1202">
      <c r="A1202" s="6" t="n"/>
      <c r="B1202" s="113">
        <f>IF($D1202="","","T"&amp;TEXT(ROW()-6,"00000"))</f>
        <v/>
      </c>
      <c r="C1202" s="113">
        <f>IF($D1202="","",IFERROR(INDEX(MUSTERILER!$B$7:$B$106,MATCH($R1202,MUSTERILER!$T$7:$T$106,0)),IFERROR(INDEX(MUSTERILER!$B$7:$B$106,MATCH($D1202,MUSTERILER!$B$7:$B$106,0)),IFERROR(INDEX(MUSTERILER!$B$7:$B$106,MATCH($R1202&amp;"*",MUSTERILER!$T$7:$T$106,0)),"TANIMSIZ MÜŞTERİ"))))</f>
        <v/>
      </c>
      <c r="D1202" s="109" t="n"/>
      <c r="E1202" s="220" t="n"/>
      <c r="F1202" s="221" t="n"/>
      <c r="G1202" s="108" t="n"/>
      <c r="H1202" s="108" t="n"/>
      <c r="I1202" s="109" t="n"/>
      <c r="J1202" s="109" t="n"/>
      <c r="K1202" s="109" t="n"/>
      <c r="L1202" s="226">
        <f>IF($E1202="","",DATE(YEAR($E1202),MONTH($E1202),1))</f>
        <v/>
      </c>
      <c r="M1202" s="113">
        <f>IF($D1202="","",IF($C1202="TANIMSIZ MÜŞTERİ","HATA",IF(OR($E1202="",$F1202&lt;=0,$G1202=""),"EKSİK",IF($E1202&gt;TODAY(),"İLERİ TARİH",IF(COUNTIF($S$7:$S$1506,$S1202)&gt;1,"MÜKERRER?",IF($T1202&gt;0,"KAPALI DÖNEM","UYGUN"))))))</f>
        <v/>
      </c>
      <c r="N1202" s="121">
        <f>IF($C1202="","",IF($C1202="TANIMSIZ MÜŞTERİ","—",INDEX(MUSTERILER!$C$7:$C$106,MATCH($C1202,MUSTERILER!$B$7:$B$106,0))))</f>
        <v/>
      </c>
      <c r="O1202" s="6" t="n"/>
      <c r="P1202" s="6" t="n"/>
      <c r="Q1202" s="3">
        <f>IF($D1202="","",$C1202&amp;"|"&amp;COUNTIFS($C$7:$C1202,$C1202))</f>
        <v/>
      </c>
      <c r="R1202" s="3">
        <f>IF($D1202="","",UPPER(SUBSTITUTE(SUBSTITUTE(SUBSTITUTE(SUBSTITUTE(SUBSTITUTE(SUBSTITUTE(SUBSTITUTE(SUBSTITUTE(SUBSTITUTE(SUBSTITUTE(SUBSTITUTE(SUBSTITUTE(SUBSTITUTE(SUBSTITUTE(SUBSTITUTE(SUBSTITUTE(SUBSTITUTE(SUBSTITUTE(TRIM($D1202),"'",""),"İ","I"),"ı","I"),"i","I"),"Ş","S"),"ş","S"),"Ğ","G"),"ğ","G"),"Ü","U"),"ü","U"),"Ö","O"),"ö","O"),"Ç","C"),"ç","C"),".",""),",","")," ",""),"-","")))</f>
        <v/>
      </c>
      <c r="S1202" s="3">
        <f>IF($D1202="","",$C1202&amp;"|"&amp;TEXT($E1202,"0")&amp;"|"&amp;TEXT($F1202,"0")&amp;"|"&amp;$I1202)</f>
        <v/>
      </c>
      <c r="T1202" s="3">
        <f>IF($E1202="",0,SUMPRODUCT((AY_SONU!$O$7:$O$42="Evet")*(AY_SONU!$B$7:$B$42=DATE(YEAR($E1202),MONTH($E1202),1))))</f>
        <v/>
      </c>
    </row>
    <row r="1203">
      <c r="A1203" s="6" t="n"/>
      <c r="B1203" s="113">
        <f>IF($D1203="","","T"&amp;TEXT(ROW()-6,"00000"))</f>
        <v/>
      </c>
      <c r="C1203" s="113">
        <f>IF($D1203="","",IFERROR(INDEX(MUSTERILER!$B$7:$B$106,MATCH($R1203,MUSTERILER!$T$7:$T$106,0)),IFERROR(INDEX(MUSTERILER!$B$7:$B$106,MATCH($D1203,MUSTERILER!$B$7:$B$106,0)),IFERROR(INDEX(MUSTERILER!$B$7:$B$106,MATCH($R1203&amp;"*",MUSTERILER!$T$7:$T$106,0)),"TANIMSIZ MÜŞTERİ"))))</f>
        <v/>
      </c>
      <c r="D1203" s="109" t="n"/>
      <c r="E1203" s="220" t="n"/>
      <c r="F1203" s="221" t="n"/>
      <c r="G1203" s="108" t="n"/>
      <c r="H1203" s="108" t="n"/>
      <c r="I1203" s="109" t="n"/>
      <c r="J1203" s="109" t="n"/>
      <c r="K1203" s="109" t="n"/>
      <c r="L1203" s="226">
        <f>IF($E1203="","",DATE(YEAR($E1203),MONTH($E1203),1))</f>
        <v/>
      </c>
      <c r="M1203" s="113">
        <f>IF($D1203="","",IF($C1203="TANIMSIZ MÜŞTERİ","HATA",IF(OR($E1203="",$F1203&lt;=0,$G1203=""),"EKSİK",IF($E1203&gt;TODAY(),"İLERİ TARİH",IF(COUNTIF($S$7:$S$1506,$S1203)&gt;1,"MÜKERRER?",IF($T1203&gt;0,"KAPALI DÖNEM","UYGUN"))))))</f>
        <v/>
      </c>
      <c r="N1203" s="121">
        <f>IF($C1203="","",IF($C1203="TANIMSIZ MÜŞTERİ","—",INDEX(MUSTERILER!$C$7:$C$106,MATCH($C1203,MUSTERILER!$B$7:$B$106,0))))</f>
        <v/>
      </c>
      <c r="O1203" s="6" t="n"/>
      <c r="P1203" s="6" t="n"/>
      <c r="Q1203" s="3">
        <f>IF($D1203="","",$C1203&amp;"|"&amp;COUNTIFS($C$7:$C1203,$C1203))</f>
        <v/>
      </c>
      <c r="R1203" s="3">
        <f>IF($D1203="","",UPPER(SUBSTITUTE(SUBSTITUTE(SUBSTITUTE(SUBSTITUTE(SUBSTITUTE(SUBSTITUTE(SUBSTITUTE(SUBSTITUTE(SUBSTITUTE(SUBSTITUTE(SUBSTITUTE(SUBSTITUTE(SUBSTITUTE(SUBSTITUTE(SUBSTITUTE(SUBSTITUTE(SUBSTITUTE(SUBSTITUTE(TRIM($D1203),"'",""),"İ","I"),"ı","I"),"i","I"),"Ş","S"),"ş","S"),"Ğ","G"),"ğ","G"),"Ü","U"),"ü","U"),"Ö","O"),"ö","O"),"Ç","C"),"ç","C"),".",""),",","")," ",""),"-","")))</f>
        <v/>
      </c>
      <c r="S1203" s="3">
        <f>IF($D1203="","",$C1203&amp;"|"&amp;TEXT($E1203,"0")&amp;"|"&amp;TEXT($F1203,"0")&amp;"|"&amp;$I1203)</f>
        <v/>
      </c>
      <c r="T1203" s="3">
        <f>IF($E1203="",0,SUMPRODUCT((AY_SONU!$O$7:$O$42="Evet")*(AY_SONU!$B$7:$B$42=DATE(YEAR($E1203),MONTH($E1203),1))))</f>
        <v/>
      </c>
    </row>
    <row r="1204">
      <c r="A1204" s="6" t="n"/>
      <c r="B1204" s="113">
        <f>IF($D1204="","","T"&amp;TEXT(ROW()-6,"00000"))</f>
        <v/>
      </c>
      <c r="C1204" s="113">
        <f>IF($D1204="","",IFERROR(INDEX(MUSTERILER!$B$7:$B$106,MATCH($R1204,MUSTERILER!$T$7:$T$106,0)),IFERROR(INDEX(MUSTERILER!$B$7:$B$106,MATCH($D1204,MUSTERILER!$B$7:$B$106,0)),IFERROR(INDEX(MUSTERILER!$B$7:$B$106,MATCH($R1204&amp;"*",MUSTERILER!$T$7:$T$106,0)),"TANIMSIZ MÜŞTERİ"))))</f>
        <v/>
      </c>
      <c r="D1204" s="109" t="n"/>
      <c r="E1204" s="220" t="n"/>
      <c r="F1204" s="221" t="n"/>
      <c r="G1204" s="108" t="n"/>
      <c r="H1204" s="108" t="n"/>
      <c r="I1204" s="109" t="n"/>
      <c r="J1204" s="109" t="n"/>
      <c r="K1204" s="109" t="n"/>
      <c r="L1204" s="226">
        <f>IF($E1204="","",DATE(YEAR($E1204),MONTH($E1204),1))</f>
        <v/>
      </c>
      <c r="M1204" s="113">
        <f>IF($D1204="","",IF($C1204="TANIMSIZ MÜŞTERİ","HATA",IF(OR($E1204="",$F1204&lt;=0,$G1204=""),"EKSİK",IF($E1204&gt;TODAY(),"İLERİ TARİH",IF(COUNTIF($S$7:$S$1506,$S1204)&gt;1,"MÜKERRER?",IF($T1204&gt;0,"KAPALI DÖNEM","UYGUN"))))))</f>
        <v/>
      </c>
      <c r="N1204" s="121">
        <f>IF($C1204="","",IF($C1204="TANIMSIZ MÜŞTERİ","—",INDEX(MUSTERILER!$C$7:$C$106,MATCH($C1204,MUSTERILER!$B$7:$B$106,0))))</f>
        <v/>
      </c>
      <c r="O1204" s="6" t="n"/>
      <c r="P1204" s="6" t="n"/>
      <c r="Q1204" s="3">
        <f>IF($D1204="","",$C1204&amp;"|"&amp;COUNTIFS($C$7:$C1204,$C1204))</f>
        <v/>
      </c>
      <c r="R1204" s="3">
        <f>IF($D1204="","",UPPER(SUBSTITUTE(SUBSTITUTE(SUBSTITUTE(SUBSTITUTE(SUBSTITUTE(SUBSTITUTE(SUBSTITUTE(SUBSTITUTE(SUBSTITUTE(SUBSTITUTE(SUBSTITUTE(SUBSTITUTE(SUBSTITUTE(SUBSTITUTE(SUBSTITUTE(SUBSTITUTE(SUBSTITUTE(SUBSTITUTE(TRIM($D1204),"'",""),"İ","I"),"ı","I"),"i","I"),"Ş","S"),"ş","S"),"Ğ","G"),"ğ","G"),"Ü","U"),"ü","U"),"Ö","O"),"ö","O"),"Ç","C"),"ç","C"),".",""),",","")," ",""),"-","")))</f>
        <v/>
      </c>
      <c r="S1204" s="3">
        <f>IF($D1204="","",$C1204&amp;"|"&amp;TEXT($E1204,"0")&amp;"|"&amp;TEXT($F1204,"0")&amp;"|"&amp;$I1204)</f>
        <v/>
      </c>
      <c r="T1204" s="3">
        <f>IF($E1204="",0,SUMPRODUCT((AY_SONU!$O$7:$O$42="Evet")*(AY_SONU!$B$7:$B$42=DATE(YEAR($E1204),MONTH($E1204),1))))</f>
        <v/>
      </c>
    </row>
    <row r="1205">
      <c r="A1205" s="6" t="n"/>
      <c r="B1205" s="113">
        <f>IF($D1205="","","T"&amp;TEXT(ROW()-6,"00000"))</f>
        <v/>
      </c>
      <c r="C1205" s="113">
        <f>IF($D1205="","",IFERROR(INDEX(MUSTERILER!$B$7:$B$106,MATCH($R1205,MUSTERILER!$T$7:$T$106,0)),IFERROR(INDEX(MUSTERILER!$B$7:$B$106,MATCH($D1205,MUSTERILER!$B$7:$B$106,0)),IFERROR(INDEX(MUSTERILER!$B$7:$B$106,MATCH($R1205&amp;"*",MUSTERILER!$T$7:$T$106,0)),"TANIMSIZ MÜŞTERİ"))))</f>
        <v/>
      </c>
      <c r="D1205" s="109" t="n"/>
      <c r="E1205" s="220" t="n"/>
      <c r="F1205" s="221" t="n"/>
      <c r="G1205" s="108" t="n"/>
      <c r="H1205" s="108" t="n"/>
      <c r="I1205" s="109" t="n"/>
      <c r="J1205" s="109" t="n"/>
      <c r="K1205" s="109" t="n"/>
      <c r="L1205" s="226">
        <f>IF($E1205="","",DATE(YEAR($E1205),MONTH($E1205),1))</f>
        <v/>
      </c>
      <c r="M1205" s="113">
        <f>IF($D1205="","",IF($C1205="TANIMSIZ MÜŞTERİ","HATA",IF(OR($E1205="",$F1205&lt;=0,$G1205=""),"EKSİK",IF($E1205&gt;TODAY(),"İLERİ TARİH",IF(COUNTIF($S$7:$S$1506,$S1205)&gt;1,"MÜKERRER?",IF($T1205&gt;0,"KAPALI DÖNEM","UYGUN"))))))</f>
        <v/>
      </c>
      <c r="N1205" s="121">
        <f>IF($C1205="","",IF($C1205="TANIMSIZ MÜŞTERİ","—",INDEX(MUSTERILER!$C$7:$C$106,MATCH($C1205,MUSTERILER!$B$7:$B$106,0))))</f>
        <v/>
      </c>
      <c r="O1205" s="6" t="n"/>
      <c r="P1205" s="6" t="n"/>
      <c r="Q1205" s="3">
        <f>IF($D1205="","",$C1205&amp;"|"&amp;COUNTIFS($C$7:$C1205,$C1205))</f>
        <v/>
      </c>
      <c r="R1205" s="3">
        <f>IF($D1205="","",UPPER(SUBSTITUTE(SUBSTITUTE(SUBSTITUTE(SUBSTITUTE(SUBSTITUTE(SUBSTITUTE(SUBSTITUTE(SUBSTITUTE(SUBSTITUTE(SUBSTITUTE(SUBSTITUTE(SUBSTITUTE(SUBSTITUTE(SUBSTITUTE(SUBSTITUTE(SUBSTITUTE(SUBSTITUTE(SUBSTITUTE(TRIM($D1205),"'",""),"İ","I"),"ı","I"),"i","I"),"Ş","S"),"ş","S"),"Ğ","G"),"ğ","G"),"Ü","U"),"ü","U"),"Ö","O"),"ö","O"),"Ç","C"),"ç","C"),".",""),",","")," ",""),"-","")))</f>
        <v/>
      </c>
      <c r="S1205" s="3">
        <f>IF($D1205="","",$C1205&amp;"|"&amp;TEXT($E1205,"0")&amp;"|"&amp;TEXT($F1205,"0")&amp;"|"&amp;$I1205)</f>
        <v/>
      </c>
      <c r="T1205" s="3">
        <f>IF($E1205="",0,SUMPRODUCT((AY_SONU!$O$7:$O$42="Evet")*(AY_SONU!$B$7:$B$42=DATE(YEAR($E1205),MONTH($E1205),1))))</f>
        <v/>
      </c>
    </row>
    <row r="1206">
      <c r="A1206" s="6" t="n"/>
      <c r="B1206" s="113">
        <f>IF($D1206="","","T"&amp;TEXT(ROW()-6,"00000"))</f>
        <v/>
      </c>
      <c r="C1206" s="113">
        <f>IF($D1206="","",IFERROR(INDEX(MUSTERILER!$B$7:$B$106,MATCH($R1206,MUSTERILER!$T$7:$T$106,0)),IFERROR(INDEX(MUSTERILER!$B$7:$B$106,MATCH($D1206,MUSTERILER!$B$7:$B$106,0)),IFERROR(INDEX(MUSTERILER!$B$7:$B$106,MATCH($R1206&amp;"*",MUSTERILER!$T$7:$T$106,0)),"TANIMSIZ MÜŞTERİ"))))</f>
        <v/>
      </c>
      <c r="D1206" s="109" t="n"/>
      <c r="E1206" s="220" t="n"/>
      <c r="F1206" s="221" t="n"/>
      <c r="G1206" s="108" t="n"/>
      <c r="H1206" s="108" t="n"/>
      <c r="I1206" s="109" t="n"/>
      <c r="J1206" s="109" t="n"/>
      <c r="K1206" s="109" t="n"/>
      <c r="L1206" s="226">
        <f>IF($E1206="","",DATE(YEAR($E1206),MONTH($E1206),1))</f>
        <v/>
      </c>
      <c r="M1206" s="113">
        <f>IF($D1206="","",IF($C1206="TANIMSIZ MÜŞTERİ","HATA",IF(OR($E1206="",$F1206&lt;=0,$G1206=""),"EKSİK",IF($E1206&gt;TODAY(),"İLERİ TARİH",IF(COUNTIF($S$7:$S$1506,$S1206)&gt;1,"MÜKERRER?",IF($T1206&gt;0,"KAPALI DÖNEM","UYGUN"))))))</f>
        <v/>
      </c>
      <c r="N1206" s="121">
        <f>IF($C1206="","",IF($C1206="TANIMSIZ MÜŞTERİ","—",INDEX(MUSTERILER!$C$7:$C$106,MATCH($C1206,MUSTERILER!$B$7:$B$106,0))))</f>
        <v/>
      </c>
      <c r="O1206" s="6" t="n"/>
      <c r="P1206" s="6" t="n"/>
      <c r="Q1206" s="3">
        <f>IF($D1206="","",$C1206&amp;"|"&amp;COUNTIFS($C$7:$C1206,$C1206))</f>
        <v/>
      </c>
      <c r="R1206" s="3">
        <f>IF($D1206="","",UPPER(SUBSTITUTE(SUBSTITUTE(SUBSTITUTE(SUBSTITUTE(SUBSTITUTE(SUBSTITUTE(SUBSTITUTE(SUBSTITUTE(SUBSTITUTE(SUBSTITUTE(SUBSTITUTE(SUBSTITUTE(SUBSTITUTE(SUBSTITUTE(SUBSTITUTE(SUBSTITUTE(SUBSTITUTE(SUBSTITUTE(TRIM($D1206),"'",""),"İ","I"),"ı","I"),"i","I"),"Ş","S"),"ş","S"),"Ğ","G"),"ğ","G"),"Ü","U"),"ü","U"),"Ö","O"),"ö","O"),"Ç","C"),"ç","C"),".",""),",","")," ",""),"-","")))</f>
        <v/>
      </c>
      <c r="S1206" s="3">
        <f>IF($D1206="","",$C1206&amp;"|"&amp;TEXT($E1206,"0")&amp;"|"&amp;TEXT($F1206,"0")&amp;"|"&amp;$I1206)</f>
        <v/>
      </c>
      <c r="T1206" s="3">
        <f>IF($E1206="",0,SUMPRODUCT((AY_SONU!$O$7:$O$42="Evet")*(AY_SONU!$B$7:$B$42=DATE(YEAR($E1206),MONTH($E1206),1))))</f>
        <v/>
      </c>
    </row>
    <row r="1207">
      <c r="A1207" s="6" t="n"/>
      <c r="B1207" s="113">
        <f>IF($D1207="","","T"&amp;TEXT(ROW()-6,"00000"))</f>
        <v/>
      </c>
      <c r="C1207" s="113">
        <f>IF($D1207="","",IFERROR(INDEX(MUSTERILER!$B$7:$B$106,MATCH($R1207,MUSTERILER!$T$7:$T$106,0)),IFERROR(INDEX(MUSTERILER!$B$7:$B$106,MATCH($D1207,MUSTERILER!$B$7:$B$106,0)),IFERROR(INDEX(MUSTERILER!$B$7:$B$106,MATCH($R1207&amp;"*",MUSTERILER!$T$7:$T$106,0)),"TANIMSIZ MÜŞTERİ"))))</f>
        <v/>
      </c>
      <c r="D1207" s="109" t="n"/>
      <c r="E1207" s="220" t="n"/>
      <c r="F1207" s="221" t="n"/>
      <c r="G1207" s="108" t="n"/>
      <c r="H1207" s="108" t="n"/>
      <c r="I1207" s="109" t="n"/>
      <c r="J1207" s="109" t="n"/>
      <c r="K1207" s="109" t="n"/>
      <c r="L1207" s="226">
        <f>IF($E1207="","",DATE(YEAR($E1207),MONTH($E1207),1))</f>
        <v/>
      </c>
      <c r="M1207" s="113">
        <f>IF($D1207="","",IF($C1207="TANIMSIZ MÜŞTERİ","HATA",IF(OR($E1207="",$F1207&lt;=0,$G1207=""),"EKSİK",IF($E1207&gt;TODAY(),"İLERİ TARİH",IF(COUNTIF($S$7:$S$1506,$S1207)&gt;1,"MÜKERRER?",IF($T1207&gt;0,"KAPALI DÖNEM","UYGUN"))))))</f>
        <v/>
      </c>
      <c r="N1207" s="121">
        <f>IF($C1207="","",IF($C1207="TANIMSIZ MÜŞTERİ","—",INDEX(MUSTERILER!$C$7:$C$106,MATCH($C1207,MUSTERILER!$B$7:$B$106,0))))</f>
        <v/>
      </c>
      <c r="O1207" s="6" t="n"/>
      <c r="P1207" s="6" t="n"/>
      <c r="Q1207" s="3">
        <f>IF($D1207="","",$C1207&amp;"|"&amp;COUNTIFS($C$7:$C1207,$C1207))</f>
        <v/>
      </c>
      <c r="R1207" s="3">
        <f>IF($D1207="","",UPPER(SUBSTITUTE(SUBSTITUTE(SUBSTITUTE(SUBSTITUTE(SUBSTITUTE(SUBSTITUTE(SUBSTITUTE(SUBSTITUTE(SUBSTITUTE(SUBSTITUTE(SUBSTITUTE(SUBSTITUTE(SUBSTITUTE(SUBSTITUTE(SUBSTITUTE(SUBSTITUTE(SUBSTITUTE(SUBSTITUTE(TRIM($D1207),"'",""),"İ","I"),"ı","I"),"i","I"),"Ş","S"),"ş","S"),"Ğ","G"),"ğ","G"),"Ü","U"),"ü","U"),"Ö","O"),"ö","O"),"Ç","C"),"ç","C"),".",""),",","")," ",""),"-","")))</f>
        <v/>
      </c>
      <c r="S1207" s="3">
        <f>IF($D1207="","",$C1207&amp;"|"&amp;TEXT($E1207,"0")&amp;"|"&amp;TEXT($F1207,"0")&amp;"|"&amp;$I1207)</f>
        <v/>
      </c>
      <c r="T1207" s="3">
        <f>IF($E1207="",0,SUMPRODUCT((AY_SONU!$O$7:$O$42="Evet")*(AY_SONU!$B$7:$B$42=DATE(YEAR($E1207),MONTH($E1207),1))))</f>
        <v/>
      </c>
    </row>
    <row r="1208">
      <c r="A1208" s="6" t="n"/>
      <c r="B1208" s="113">
        <f>IF($D1208="","","T"&amp;TEXT(ROW()-6,"00000"))</f>
        <v/>
      </c>
      <c r="C1208" s="113">
        <f>IF($D1208="","",IFERROR(INDEX(MUSTERILER!$B$7:$B$106,MATCH($R1208,MUSTERILER!$T$7:$T$106,0)),IFERROR(INDEX(MUSTERILER!$B$7:$B$106,MATCH($D1208,MUSTERILER!$B$7:$B$106,0)),IFERROR(INDEX(MUSTERILER!$B$7:$B$106,MATCH($R1208&amp;"*",MUSTERILER!$T$7:$T$106,0)),"TANIMSIZ MÜŞTERİ"))))</f>
        <v/>
      </c>
      <c r="D1208" s="109" t="n"/>
      <c r="E1208" s="220" t="n"/>
      <c r="F1208" s="221" t="n"/>
      <c r="G1208" s="108" t="n"/>
      <c r="H1208" s="108" t="n"/>
      <c r="I1208" s="109" t="n"/>
      <c r="J1208" s="109" t="n"/>
      <c r="K1208" s="109" t="n"/>
      <c r="L1208" s="226">
        <f>IF($E1208="","",DATE(YEAR($E1208),MONTH($E1208),1))</f>
        <v/>
      </c>
      <c r="M1208" s="113">
        <f>IF($D1208="","",IF($C1208="TANIMSIZ MÜŞTERİ","HATA",IF(OR($E1208="",$F1208&lt;=0,$G1208=""),"EKSİK",IF($E1208&gt;TODAY(),"İLERİ TARİH",IF(COUNTIF($S$7:$S$1506,$S1208)&gt;1,"MÜKERRER?",IF($T1208&gt;0,"KAPALI DÖNEM","UYGUN"))))))</f>
        <v/>
      </c>
      <c r="N1208" s="121">
        <f>IF($C1208="","",IF($C1208="TANIMSIZ MÜŞTERİ","—",INDEX(MUSTERILER!$C$7:$C$106,MATCH($C1208,MUSTERILER!$B$7:$B$106,0))))</f>
        <v/>
      </c>
      <c r="O1208" s="6" t="n"/>
      <c r="P1208" s="6" t="n"/>
      <c r="Q1208" s="3">
        <f>IF($D1208="","",$C1208&amp;"|"&amp;COUNTIFS($C$7:$C1208,$C1208))</f>
        <v/>
      </c>
      <c r="R1208" s="3">
        <f>IF($D1208="","",UPPER(SUBSTITUTE(SUBSTITUTE(SUBSTITUTE(SUBSTITUTE(SUBSTITUTE(SUBSTITUTE(SUBSTITUTE(SUBSTITUTE(SUBSTITUTE(SUBSTITUTE(SUBSTITUTE(SUBSTITUTE(SUBSTITUTE(SUBSTITUTE(SUBSTITUTE(SUBSTITUTE(SUBSTITUTE(SUBSTITUTE(TRIM($D1208),"'",""),"İ","I"),"ı","I"),"i","I"),"Ş","S"),"ş","S"),"Ğ","G"),"ğ","G"),"Ü","U"),"ü","U"),"Ö","O"),"ö","O"),"Ç","C"),"ç","C"),".",""),",","")," ",""),"-","")))</f>
        <v/>
      </c>
      <c r="S1208" s="3">
        <f>IF($D1208="","",$C1208&amp;"|"&amp;TEXT($E1208,"0")&amp;"|"&amp;TEXT($F1208,"0")&amp;"|"&amp;$I1208)</f>
        <v/>
      </c>
      <c r="T1208" s="3">
        <f>IF($E1208="",0,SUMPRODUCT((AY_SONU!$O$7:$O$42="Evet")*(AY_SONU!$B$7:$B$42=DATE(YEAR($E1208),MONTH($E1208),1))))</f>
        <v/>
      </c>
    </row>
    <row r="1209">
      <c r="A1209" s="6" t="n"/>
      <c r="B1209" s="113">
        <f>IF($D1209="","","T"&amp;TEXT(ROW()-6,"00000"))</f>
        <v/>
      </c>
      <c r="C1209" s="113">
        <f>IF($D1209="","",IFERROR(INDEX(MUSTERILER!$B$7:$B$106,MATCH($R1209,MUSTERILER!$T$7:$T$106,0)),IFERROR(INDEX(MUSTERILER!$B$7:$B$106,MATCH($D1209,MUSTERILER!$B$7:$B$106,0)),IFERROR(INDEX(MUSTERILER!$B$7:$B$106,MATCH($R1209&amp;"*",MUSTERILER!$T$7:$T$106,0)),"TANIMSIZ MÜŞTERİ"))))</f>
        <v/>
      </c>
      <c r="D1209" s="109" t="n"/>
      <c r="E1209" s="220" t="n"/>
      <c r="F1209" s="221" t="n"/>
      <c r="G1209" s="108" t="n"/>
      <c r="H1209" s="108" t="n"/>
      <c r="I1209" s="109" t="n"/>
      <c r="J1209" s="109" t="n"/>
      <c r="K1209" s="109" t="n"/>
      <c r="L1209" s="226">
        <f>IF($E1209="","",DATE(YEAR($E1209),MONTH($E1209),1))</f>
        <v/>
      </c>
      <c r="M1209" s="113">
        <f>IF($D1209="","",IF($C1209="TANIMSIZ MÜŞTERİ","HATA",IF(OR($E1209="",$F1209&lt;=0,$G1209=""),"EKSİK",IF($E1209&gt;TODAY(),"İLERİ TARİH",IF(COUNTIF($S$7:$S$1506,$S1209)&gt;1,"MÜKERRER?",IF($T1209&gt;0,"KAPALI DÖNEM","UYGUN"))))))</f>
        <v/>
      </c>
      <c r="N1209" s="121">
        <f>IF($C1209="","",IF($C1209="TANIMSIZ MÜŞTERİ","—",INDEX(MUSTERILER!$C$7:$C$106,MATCH($C1209,MUSTERILER!$B$7:$B$106,0))))</f>
        <v/>
      </c>
      <c r="O1209" s="6" t="n"/>
      <c r="P1209" s="6" t="n"/>
      <c r="Q1209" s="3">
        <f>IF($D1209="","",$C1209&amp;"|"&amp;COUNTIFS($C$7:$C1209,$C1209))</f>
        <v/>
      </c>
      <c r="R1209" s="3">
        <f>IF($D1209="","",UPPER(SUBSTITUTE(SUBSTITUTE(SUBSTITUTE(SUBSTITUTE(SUBSTITUTE(SUBSTITUTE(SUBSTITUTE(SUBSTITUTE(SUBSTITUTE(SUBSTITUTE(SUBSTITUTE(SUBSTITUTE(SUBSTITUTE(SUBSTITUTE(SUBSTITUTE(SUBSTITUTE(SUBSTITUTE(SUBSTITUTE(TRIM($D1209),"'",""),"İ","I"),"ı","I"),"i","I"),"Ş","S"),"ş","S"),"Ğ","G"),"ğ","G"),"Ü","U"),"ü","U"),"Ö","O"),"ö","O"),"Ç","C"),"ç","C"),".",""),",","")," ",""),"-","")))</f>
        <v/>
      </c>
      <c r="S1209" s="3">
        <f>IF($D1209="","",$C1209&amp;"|"&amp;TEXT($E1209,"0")&amp;"|"&amp;TEXT($F1209,"0")&amp;"|"&amp;$I1209)</f>
        <v/>
      </c>
      <c r="T1209" s="3">
        <f>IF($E1209="",0,SUMPRODUCT((AY_SONU!$O$7:$O$42="Evet")*(AY_SONU!$B$7:$B$42=DATE(YEAR($E1209),MONTH($E1209),1))))</f>
        <v/>
      </c>
    </row>
    <row r="1210">
      <c r="A1210" s="6" t="n"/>
      <c r="B1210" s="113">
        <f>IF($D1210="","","T"&amp;TEXT(ROW()-6,"00000"))</f>
        <v/>
      </c>
      <c r="C1210" s="113">
        <f>IF($D1210="","",IFERROR(INDEX(MUSTERILER!$B$7:$B$106,MATCH($R1210,MUSTERILER!$T$7:$T$106,0)),IFERROR(INDEX(MUSTERILER!$B$7:$B$106,MATCH($D1210,MUSTERILER!$B$7:$B$106,0)),IFERROR(INDEX(MUSTERILER!$B$7:$B$106,MATCH($R1210&amp;"*",MUSTERILER!$T$7:$T$106,0)),"TANIMSIZ MÜŞTERİ"))))</f>
        <v/>
      </c>
      <c r="D1210" s="109" t="n"/>
      <c r="E1210" s="220" t="n"/>
      <c r="F1210" s="221" t="n"/>
      <c r="G1210" s="108" t="n"/>
      <c r="H1210" s="108" t="n"/>
      <c r="I1210" s="109" t="n"/>
      <c r="J1210" s="109" t="n"/>
      <c r="K1210" s="109" t="n"/>
      <c r="L1210" s="226">
        <f>IF($E1210="","",DATE(YEAR($E1210),MONTH($E1210),1))</f>
        <v/>
      </c>
      <c r="M1210" s="113">
        <f>IF($D1210="","",IF($C1210="TANIMSIZ MÜŞTERİ","HATA",IF(OR($E1210="",$F1210&lt;=0,$G1210=""),"EKSİK",IF($E1210&gt;TODAY(),"İLERİ TARİH",IF(COUNTIF($S$7:$S$1506,$S1210)&gt;1,"MÜKERRER?",IF($T1210&gt;0,"KAPALI DÖNEM","UYGUN"))))))</f>
        <v/>
      </c>
      <c r="N1210" s="121">
        <f>IF($C1210="","",IF($C1210="TANIMSIZ MÜŞTERİ","—",INDEX(MUSTERILER!$C$7:$C$106,MATCH($C1210,MUSTERILER!$B$7:$B$106,0))))</f>
        <v/>
      </c>
      <c r="O1210" s="6" t="n"/>
      <c r="P1210" s="6" t="n"/>
      <c r="Q1210" s="3">
        <f>IF($D1210="","",$C1210&amp;"|"&amp;COUNTIFS($C$7:$C1210,$C1210))</f>
        <v/>
      </c>
      <c r="R1210" s="3">
        <f>IF($D1210="","",UPPER(SUBSTITUTE(SUBSTITUTE(SUBSTITUTE(SUBSTITUTE(SUBSTITUTE(SUBSTITUTE(SUBSTITUTE(SUBSTITUTE(SUBSTITUTE(SUBSTITUTE(SUBSTITUTE(SUBSTITUTE(SUBSTITUTE(SUBSTITUTE(SUBSTITUTE(SUBSTITUTE(SUBSTITUTE(SUBSTITUTE(TRIM($D1210),"'",""),"İ","I"),"ı","I"),"i","I"),"Ş","S"),"ş","S"),"Ğ","G"),"ğ","G"),"Ü","U"),"ü","U"),"Ö","O"),"ö","O"),"Ç","C"),"ç","C"),".",""),",","")," ",""),"-","")))</f>
        <v/>
      </c>
      <c r="S1210" s="3">
        <f>IF($D1210="","",$C1210&amp;"|"&amp;TEXT($E1210,"0")&amp;"|"&amp;TEXT($F1210,"0")&amp;"|"&amp;$I1210)</f>
        <v/>
      </c>
      <c r="T1210" s="3">
        <f>IF($E1210="",0,SUMPRODUCT((AY_SONU!$O$7:$O$42="Evet")*(AY_SONU!$B$7:$B$42=DATE(YEAR($E1210),MONTH($E1210),1))))</f>
        <v/>
      </c>
    </row>
    <row r="1211">
      <c r="A1211" s="6" t="n"/>
      <c r="B1211" s="113">
        <f>IF($D1211="","","T"&amp;TEXT(ROW()-6,"00000"))</f>
        <v/>
      </c>
      <c r="C1211" s="113">
        <f>IF($D1211="","",IFERROR(INDEX(MUSTERILER!$B$7:$B$106,MATCH($R1211,MUSTERILER!$T$7:$T$106,0)),IFERROR(INDEX(MUSTERILER!$B$7:$B$106,MATCH($D1211,MUSTERILER!$B$7:$B$106,0)),IFERROR(INDEX(MUSTERILER!$B$7:$B$106,MATCH($R1211&amp;"*",MUSTERILER!$T$7:$T$106,0)),"TANIMSIZ MÜŞTERİ"))))</f>
        <v/>
      </c>
      <c r="D1211" s="109" t="n"/>
      <c r="E1211" s="220" t="n"/>
      <c r="F1211" s="221" t="n"/>
      <c r="G1211" s="108" t="n"/>
      <c r="H1211" s="108" t="n"/>
      <c r="I1211" s="109" t="n"/>
      <c r="J1211" s="109" t="n"/>
      <c r="K1211" s="109" t="n"/>
      <c r="L1211" s="226">
        <f>IF($E1211="","",DATE(YEAR($E1211),MONTH($E1211),1))</f>
        <v/>
      </c>
      <c r="M1211" s="113">
        <f>IF($D1211="","",IF($C1211="TANIMSIZ MÜŞTERİ","HATA",IF(OR($E1211="",$F1211&lt;=0,$G1211=""),"EKSİK",IF($E1211&gt;TODAY(),"İLERİ TARİH",IF(COUNTIF($S$7:$S$1506,$S1211)&gt;1,"MÜKERRER?",IF($T1211&gt;0,"KAPALI DÖNEM","UYGUN"))))))</f>
        <v/>
      </c>
      <c r="N1211" s="121">
        <f>IF($C1211="","",IF($C1211="TANIMSIZ MÜŞTERİ","—",INDEX(MUSTERILER!$C$7:$C$106,MATCH($C1211,MUSTERILER!$B$7:$B$106,0))))</f>
        <v/>
      </c>
      <c r="O1211" s="6" t="n"/>
      <c r="P1211" s="6" t="n"/>
      <c r="Q1211" s="3">
        <f>IF($D1211="","",$C1211&amp;"|"&amp;COUNTIFS($C$7:$C1211,$C1211))</f>
        <v/>
      </c>
      <c r="R1211" s="3">
        <f>IF($D1211="","",UPPER(SUBSTITUTE(SUBSTITUTE(SUBSTITUTE(SUBSTITUTE(SUBSTITUTE(SUBSTITUTE(SUBSTITUTE(SUBSTITUTE(SUBSTITUTE(SUBSTITUTE(SUBSTITUTE(SUBSTITUTE(SUBSTITUTE(SUBSTITUTE(SUBSTITUTE(SUBSTITUTE(SUBSTITUTE(SUBSTITUTE(TRIM($D1211),"'",""),"İ","I"),"ı","I"),"i","I"),"Ş","S"),"ş","S"),"Ğ","G"),"ğ","G"),"Ü","U"),"ü","U"),"Ö","O"),"ö","O"),"Ç","C"),"ç","C"),".",""),",","")," ",""),"-","")))</f>
        <v/>
      </c>
      <c r="S1211" s="3">
        <f>IF($D1211="","",$C1211&amp;"|"&amp;TEXT($E1211,"0")&amp;"|"&amp;TEXT($F1211,"0")&amp;"|"&amp;$I1211)</f>
        <v/>
      </c>
      <c r="T1211" s="3">
        <f>IF($E1211="",0,SUMPRODUCT((AY_SONU!$O$7:$O$42="Evet")*(AY_SONU!$B$7:$B$42=DATE(YEAR($E1211),MONTH($E1211),1))))</f>
        <v/>
      </c>
    </row>
    <row r="1212">
      <c r="A1212" s="6" t="n"/>
      <c r="B1212" s="113">
        <f>IF($D1212="","","T"&amp;TEXT(ROW()-6,"00000"))</f>
        <v/>
      </c>
      <c r="C1212" s="113">
        <f>IF($D1212="","",IFERROR(INDEX(MUSTERILER!$B$7:$B$106,MATCH($R1212,MUSTERILER!$T$7:$T$106,0)),IFERROR(INDEX(MUSTERILER!$B$7:$B$106,MATCH($D1212,MUSTERILER!$B$7:$B$106,0)),IFERROR(INDEX(MUSTERILER!$B$7:$B$106,MATCH($R1212&amp;"*",MUSTERILER!$T$7:$T$106,0)),"TANIMSIZ MÜŞTERİ"))))</f>
        <v/>
      </c>
      <c r="D1212" s="109" t="n"/>
      <c r="E1212" s="220" t="n"/>
      <c r="F1212" s="221" t="n"/>
      <c r="G1212" s="108" t="n"/>
      <c r="H1212" s="108" t="n"/>
      <c r="I1212" s="109" t="n"/>
      <c r="J1212" s="109" t="n"/>
      <c r="K1212" s="109" t="n"/>
      <c r="L1212" s="226">
        <f>IF($E1212="","",DATE(YEAR($E1212),MONTH($E1212),1))</f>
        <v/>
      </c>
      <c r="M1212" s="113">
        <f>IF($D1212="","",IF($C1212="TANIMSIZ MÜŞTERİ","HATA",IF(OR($E1212="",$F1212&lt;=0,$G1212=""),"EKSİK",IF($E1212&gt;TODAY(),"İLERİ TARİH",IF(COUNTIF($S$7:$S$1506,$S1212)&gt;1,"MÜKERRER?",IF($T1212&gt;0,"KAPALI DÖNEM","UYGUN"))))))</f>
        <v/>
      </c>
      <c r="N1212" s="121">
        <f>IF($C1212="","",IF($C1212="TANIMSIZ MÜŞTERİ","—",INDEX(MUSTERILER!$C$7:$C$106,MATCH($C1212,MUSTERILER!$B$7:$B$106,0))))</f>
        <v/>
      </c>
      <c r="O1212" s="6" t="n"/>
      <c r="P1212" s="6" t="n"/>
      <c r="Q1212" s="3">
        <f>IF($D1212="","",$C1212&amp;"|"&amp;COUNTIFS($C$7:$C1212,$C1212))</f>
        <v/>
      </c>
      <c r="R1212" s="3">
        <f>IF($D1212="","",UPPER(SUBSTITUTE(SUBSTITUTE(SUBSTITUTE(SUBSTITUTE(SUBSTITUTE(SUBSTITUTE(SUBSTITUTE(SUBSTITUTE(SUBSTITUTE(SUBSTITUTE(SUBSTITUTE(SUBSTITUTE(SUBSTITUTE(SUBSTITUTE(SUBSTITUTE(SUBSTITUTE(SUBSTITUTE(SUBSTITUTE(TRIM($D1212),"'",""),"İ","I"),"ı","I"),"i","I"),"Ş","S"),"ş","S"),"Ğ","G"),"ğ","G"),"Ü","U"),"ü","U"),"Ö","O"),"ö","O"),"Ç","C"),"ç","C"),".",""),",","")," ",""),"-","")))</f>
        <v/>
      </c>
      <c r="S1212" s="3">
        <f>IF($D1212="","",$C1212&amp;"|"&amp;TEXT($E1212,"0")&amp;"|"&amp;TEXT($F1212,"0")&amp;"|"&amp;$I1212)</f>
        <v/>
      </c>
      <c r="T1212" s="3">
        <f>IF($E1212="",0,SUMPRODUCT((AY_SONU!$O$7:$O$42="Evet")*(AY_SONU!$B$7:$B$42=DATE(YEAR($E1212),MONTH($E1212),1))))</f>
        <v/>
      </c>
    </row>
    <row r="1213">
      <c r="A1213" s="6" t="n"/>
      <c r="B1213" s="113">
        <f>IF($D1213="","","T"&amp;TEXT(ROW()-6,"00000"))</f>
        <v/>
      </c>
      <c r="C1213" s="113">
        <f>IF($D1213="","",IFERROR(INDEX(MUSTERILER!$B$7:$B$106,MATCH($R1213,MUSTERILER!$T$7:$T$106,0)),IFERROR(INDEX(MUSTERILER!$B$7:$B$106,MATCH($D1213,MUSTERILER!$B$7:$B$106,0)),IFERROR(INDEX(MUSTERILER!$B$7:$B$106,MATCH($R1213&amp;"*",MUSTERILER!$T$7:$T$106,0)),"TANIMSIZ MÜŞTERİ"))))</f>
        <v/>
      </c>
      <c r="D1213" s="109" t="n"/>
      <c r="E1213" s="220" t="n"/>
      <c r="F1213" s="221" t="n"/>
      <c r="G1213" s="108" t="n"/>
      <c r="H1213" s="108" t="n"/>
      <c r="I1213" s="109" t="n"/>
      <c r="J1213" s="109" t="n"/>
      <c r="K1213" s="109" t="n"/>
      <c r="L1213" s="226">
        <f>IF($E1213="","",DATE(YEAR($E1213),MONTH($E1213),1))</f>
        <v/>
      </c>
      <c r="M1213" s="113">
        <f>IF($D1213="","",IF($C1213="TANIMSIZ MÜŞTERİ","HATA",IF(OR($E1213="",$F1213&lt;=0,$G1213=""),"EKSİK",IF($E1213&gt;TODAY(),"İLERİ TARİH",IF(COUNTIF($S$7:$S$1506,$S1213)&gt;1,"MÜKERRER?",IF($T1213&gt;0,"KAPALI DÖNEM","UYGUN"))))))</f>
        <v/>
      </c>
      <c r="N1213" s="121">
        <f>IF($C1213="","",IF($C1213="TANIMSIZ MÜŞTERİ","—",INDEX(MUSTERILER!$C$7:$C$106,MATCH($C1213,MUSTERILER!$B$7:$B$106,0))))</f>
        <v/>
      </c>
      <c r="O1213" s="6" t="n"/>
      <c r="P1213" s="6" t="n"/>
      <c r="Q1213" s="3">
        <f>IF($D1213="","",$C1213&amp;"|"&amp;COUNTIFS($C$7:$C1213,$C1213))</f>
        <v/>
      </c>
      <c r="R1213" s="3">
        <f>IF($D1213="","",UPPER(SUBSTITUTE(SUBSTITUTE(SUBSTITUTE(SUBSTITUTE(SUBSTITUTE(SUBSTITUTE(SUBSTITUTE(SUBSTITUTE(SUBSTITUTE(SUBSTITUTE(SUBSTITUTE(SUBSTITUTE(SUBSTITUTE(SUBSTITUTE(SUBSTITUTE(SUBSTITUTE(SUBSTITUTE(SUBSTITUTE(TRIM($D1213),"'",""),"İ","I"),"ı","I"),"i","I"),"Ş","S"),"ş","S"),"Ğ","G"),"ğ","G"),"Ü","U"),"ü","U"),"Ö","O"),"ö","O"),"Ç","C"),"ç","C"),".",""),",","")," ",""),"-","")))</f>
        <v/>
      </c>
      <c r="S1213" s="3">
        <f>IF($D1213="","",$C1213&amp;"|"&amp;TEXT($E1213,"0")&amp;"|"&amp;TEXT($F1213,"0")&amp;"|"&amp;$I1213)</f>
        <v/>
      </c>
      <c r="T1213" s="3">
        <f>IF($E1213="",0,SUMPRODUCT((AY_SONU!$O$7:$O$42="Evet")*(AY_SONU!$B$7:$B$42=DATE(YEAR($E1213),MONTH($E1213),1))))</f>
        <v/>
      </c>
    </row>
    <row r="1214">
      <c r="A1214" s="6" t="n"/>
      <c r="B1214" s="113">
        <f>IF($D1214="","","T"&amp;TEXT(ROW()-6,"00000"))</f>
        <v/>
      </c>
      <c r="C1214" s="113">
        <f>IF($D1214="","",IFERROR(INDEX(MUSTERILER!$B$7:$B$106,MATCH($R1214,MUSTERILER!$T$7:$T$106,0)),IFERROR(INDEX(MUSTERILER!$B$7:$B$106,MATCH($D1214,MUSTERILER!$B$7:$B$106,0)),IFERROR(INDEX(MUSTERILER!$B$7:$B$106,MATCH($R1214&amp;"*",MUSTERILER!$T$7:$T$106,0)),"TANIMSIZ MÜŞTERİ"))))</f>
        <v/>
      </c>
      <c r="D1214" s="109" t="n"/>
      <c r="E1214" s="220" t="n"/>
      <c r="F1214" s="221" t="n"/>
      <c r="G1214" s="108" t="n"/>
      <c r="H1214" s="108" t="n"/>
      <c r="I1214" s="109" t="n"/>
      <c r="J1214" s="109" t="n"/>
      <c r="K1214" s="109" t="n"/>
      <c r="L1214" s="226">
        <f>IF($E1214="","",DATE(YEAR($E1214),MONTH($E1214),1))</f>
        <v/>
      </c>
      <c r="M1214" s="113">
        <f>IF($D1214="","",IF($C1214="TANIMSIZ MÜŞTERİ","HATA",IF(OR($E1214="",$F1214&lt;=0,$G1214=""),"EKSİK",IF($E1214&gt;TODAY(),"İLERİ TARİH",IF(COUNTIF($S$7:$S$1506,$S1214)&gt;1,"MÜKERRER?",IF($T1214&gt;0,"KAPALI DÖNEM","UYGUN"))))))</f>
        <v/>
      </c>
      <c r="N1214" s="121">
        <f>IF($C1214="","",IF($C1214="TANIMSIZ MÜŞTERİ","—",INDEX(MUSTERILER!$C$7:$C$106,MATCH($C1214,MUSTERILER!$B$7:$B$106,0))))</f>
        <v/>
      </c>
      <c r="O1214" s="6" t="n"/>
      <c r="P1214" s="6" t="n"/>
      <c r="Q1214" s="3">
        <f>IF($D1214="","",$C1214&amp;"|"&amp;COUNTIFS($C$7:$C1214,$C1214))</f>
        <v/>
      </c>
      <c r="R1214" s="3">
        <f>IF($D1214="","",UPPER(SUBSTITUTE(SUBSTITUTE(SUBSTITUTE(SUBSTITUTE(SUBSTITUTE(SUBSTITUTE(SUBSTITUTE(SUBSTITUTE(SUBSTITUTE(SUBSTITUTE(SUBSTITUTE(SUBSTITUTE(SUBSTITUTE(SUBSTITUTE(SUBSTITUTE(SUBSTITUTE(SUBSTITUTE(SUBSTITUTE(TRIM($D1214),"'",""),"İ","I"),"ı","I"),"i","I"),"Ş","S"),"ş","S"),"Ğ","G"),"ğ","G"),"Ü","U"),"ü","U"),"Ö","O"),"ö","O"),"Ç","C"),"ç","C"),".",""),",","")," ",""),"-","")))</f>
        <v/>
      </c>
      <c r="S1214" s="3">
        <f>IF($D1214="","",$C1214&amp;"|"&amp;TEXT($E1214,"0")&amp;"|"&amp;TEXT($F1214,"0")&amp;"|"&amp;$I1214)</f>
        <v/>
      </c>
      <c r="T1214" s="3">
        <f>IF($E1214="",0,SUMPRODUCT((AY_SONU!$O$7:$O$42="Evet")*(AY_SONU!$B$7:$B$42=DATE(YEAR($E1214),MONTH($E1214),1))))</f>
        <v/>
      </c>
    </row>
    <row r="1215">
      <c r="A1215" s="6" t="n"/>
      <c r="B1215" s="113">
        <f>IF($D1215="","","T"&amp;TEXT(ROW()-6,"00000"))</f>
        <v/>
      </c>
      <c r="C1215" s="113">
        <f>IF($D1215="","",IFERROR(INDEX(MUSTERILER!$B$7:$B$106,MATCH($R1215,MUSTERILER!$T$7:$T$106,0)),IFERROR(INDEX(MUSTERILER!$B$7:$B$106,MATCH($D1215,MUSTERILER!$B$7:$B$106,0)),IFERROR(INDEX(MUSTERILER!$B$7:$B$106,MATCH($R1215&amp;"*",MUSTERILER!$T$7:$T$106,0)),"TANIMSIZ MÜŞTERİ"))))</f>
        <v/>
      </c>
      <c r="D1215" s="109" t="n"/>
      <c r="E1215" s="220" t="n"/>
      <c r="F1215" s="221" t="n"/>
      <c r="G1215" s="108" t="n"/>
      <c r="H1215" s="108" t="n"/>
      <c r="I1215" s="109" t="n"/>
      <c r="J1215" s="109" t="n"/>
      <c r="K1215" s="109" t="n"/>
      <c r="L1215" s="226">
        <f>IF($E1215="","",DATE(YEAR($E1215),MONTH($E1215),1))</f>
        <v/>
      </c>
      <c r="M1215" s="113">
        <f>IF($D1215="","",IF($C1215="TANIMSIZ MÜŞTERİ","HATA",IF(OR($E1215="",$F1215&lt;=0,$G1215=""),"EKSİK",IF($E1215&gt;TODAY(),"İLERİ TARİH",IF(COUNTIF($S$7:$S$1506,$S1215)&gt;1,"MÜKERRER?",IF($T1215&gt;0,"KAPALI DÖNEM","UYGUN"))))))</f>
        <v/>
      </c>
      <c r="N1215" s="121">
        <f>IF($C1215="","",IF($C1215="TANIMSIZ MÜŞTERİ","—",INDEX(MUSTERILER!$C$7:$C$106,MATCH($C1215,MUSTERILER!$B$7:$B$106,0))))</f>
        <v/>
      </c>
      <c r="O1215" s="6" t="n"/>
      <c r="P1215" s="6" t="n"/>
      <c r="Q1215" s="3">
        <f>IF($D1215="","",$C1215&amp;"|"&amp;COUNTIFS($C$7:$C1215,$C1215))</f>
        <v/>
      </c>
      <c r="R1215" s="3">
        <f>IF($D1215="","",UPPER(SUBSTITUTE(SUBSTITUTE(SUBSTITUTE(SUBSTITUTE(SUBSTITUTE(SUBSTITUTE(SUBSTITUTE(SUBSTITUTE(SUBSTITUTE(SUBSTITUTE(SUBSTITUTE(SUBSTITUTE(SUBSTITUTE(SUBSTITUTE(SUBSTITUTE(SUBSTITUTE(SUBSTITUTE(SUBSTITUTE(TRIM($D1215),"'",""),"İ","I"),"ı","I"),"i","I"),"Ş","S"),"ş","S"),"Ğ","G"),"ğ","G"),"Ü","U"),"ü","U"),"Ö","O"),"ö","O"),"Ç","C"),"ç","C"),".",""),",","")," ",""),"-","")))</f>
        <v/>
      </c>
      <c r="S1215" s="3">
        <f>IF($D1215="","",$C1215&amp;"|"&amp;TEXT($E1215,"0")&amp;"|"&amp;TEXT($F1215,"0")&amp;"|"&amp;$I1215)</f>
        <v/>
      </c>
      <c r="T1215" s="3">
        <f>IF($E1215="",0,SUMPRODUCT((AY_SONU!$O$7:$O$42="Evet")*(AY_SONU!$B$7:$B$42=DATE(YEAR($E1215),MONTH($E1215),1))))</f>
        <v/>
      </c>
    </row>
    <row r="1216">
      <c r="A1216" s="6" t="n"/>
      <c r="B1216" s="113">
        <f>IF($D1216="","","T"&amp;TEXT(ROW()-6,"00000"))</f>
        <v/>
      </c>
      <c r="C1216" s="113">
        <f>IF($D1216="","",IFERROR(INDEX(MUSTERILER!$B$7:$B$106,MATCH($R1216,MUSTERILER!$T$7:$T$106,0)),IFERROR(INDEX(MUSTERILER!$B$7:$B$106,MATCH($D1216,MUSTERILER!$B$7:$B$106,0)),IFERROR(INDEX(MUSTERILER!$B$7:$B$106,MATCH($R1216&amp;"*",MUSTERILER!$T$7:$T$106,0)),"TANIMSIZ MÜŞTERİ"))))</f>
        <v/>
      </c>
      <c r="D1216" s="109" t="n"/>
      <c r="E1216" s="220" t="n"/>
      <c r="F1216" s="221" t="n"/>
      <c r="G1216" s="108" t="n"/>
      <c r="H1216" s="108" t="n"/>
      <c r="I1216" s="109" t="n"/>
      <c r="J1216" s="109" t="n"/>
      <c r="K1216" s="109" t="n"/>
      <c r="L1216" s="226">
        <f>IF($E1216="","",DATE(YEAR($E1216),MONTH($E1216),1))</f>
        <v/>
      </c>
      <c r="M1216" s="113">
        <f>IF($D1216="","",IF($C1216="TANIMSIZ MÜŞTERİ","HATA",IF(OR($E1216="",$F1216&lt;=0,$G1216=""),"EKSİK",IF($E1216&gt;TODAY(),"İLERİ TARİH",IF(COUNTIF($S$7:$S$1506,$S1216)&gt;1,"MÜKERRER?",IF($T1216&gt;0,"KAPALI DÖNEM","UYGUN"))))))</f>
        <v/>
      </c>
      <c r="N1216" s="121">
        <f>IF($C1216="","",IF($C1216="TANIMSIZ MÜŞTERİ","—",INDEX(MUSTERILER!$C$7:$C$106,MATCH($C1216,MUSTERILER!$B$7:$B$106,0))))</f>
        <v/>
      </c>
      <c r="O1216" s="6" t="n"/>
      <c r="P1216" s="6" t="n"/>
      <c r="Q1216" s="3">
        <f>IF($D1216="","",$C1216&amp;"|"&amp;COUNTIFS($C$7:$C1216,$C1216))</f>
        <v/>
      </c>
      <c r="R1216" s="3">
        <f>IF($D1216="","",UPPER(SUBSTITUTE(SUBSTITUTE(SUBSTITUTE(SUBSTITUTE(SUBSTITUTE(SUBSTITUTE(SUBSTITUTE(SUBSTITUTE(SUBSTITUTE(SUBSTITUTE(SUBSTITUTE(SUBSTITUTE(SUBSTITUTE(SUBSTITUTE(SUBSTITUTE(SUBSTITUTE(SUBSTITUTE(SUBSTITUTE(TRIM($D1216),"'",""),"İ","I"),"ı","I"),"i","I"),"Ş","S"),"ş","S"),"Ğ","G"),"ğ","G"),"Ü","U"),"ü","U"),"Ö","O"),"ö","O"),"Ç","C"),"ç","C"),".",""),",","")," ",""),"-","")))</f>
        <v/>
      </c>
      <c r="S1216" s="3">
        <f>IF($D1216="","",$C1216&amp;"|"&amp;TEXT($E1216,"0")&amp;"|"&amp;TEXT($F1216,"0")&amp;"|"&amp;$I1216)</f>
        <v/>
      </c>
      <c r="T1216" s="3">
        <f>IF($E1216="",0,SUMPRODUCT((AY_SONU!$O$7:$O$42="Evet")*(AY_SONU!$B$7:$B$42=DATE(YEAR($E1216),MONTH($E1216),1))))</f>
        <v/>
      </c>
    </row>
    <row r="1217">
      <c r="A1217" s="6" t="n"/>
      <c r="B1217" s="113">
        <f>IF($D1217="","","T"&amp;TEXT(ROW()-6,"00000"))</f>
        <v/>
      </c>
      <c r="C1217" s="113">
        <f>IF($D1217="","",IFERROR(INDEX(MUSTERILER!$B$7:$B$106,MATCH($R1217,MUSTERILER!$T$7:$T$106,0)),IFERROR(INDEX(MUSTERILER!$B$7:$B$106,MATCH($D1217,MUSTERILER!$B$7:$B$106,0)),IFERROR(INDEX(MUSTERILER!$B$7:$B$106,MATCH($R1217&amp;"*",MUSTERILER!$T$7:$T$106,0)),"TANIMSIZ MÜŞTERİ"))))</f>
        <v/>
      </c>
      <c r="D1217" s="109" t="n"/>
      <c r="E1217" s="220" t="n"/>
      <c r="F1217" s="221" t="n"/>
      <c r="G1217" s="108" t="n"/>
      <c r="H1217" s="108" t="n"/>
      <c r="I1217" s="109" t="n"/>
      <c r="J1217" s="109" t="n"/>
      <c r="K1217" s="109" t="n"/>
      <c r="L1217" s="226">
        <f>IF($E1217="","",DATE(YEAR($E1217),MONTH($E1217),1))</f>
        <v/>
      </c>
      <c r="M1217" s="113">
        <f>IF($D1217="","",IF($C1217="TANIMSIZ MÜŞTERİ","HATA",IF(OR($E1217="",$F1217&lt;=0,$G1217=""),"EKSİK",IF($E1217&gt;TODAY(),"İLERİ TARİH",IF(COUNTIF($S$7:$S$1506,$S1217)&gt;1,"MÜKERRER?",IF($T1217&gt;0,"KAPALI DÖNEM","UYGUN"))))))</f>
        <v/>
      </c>
      <c r="N1217" s="121">
        <f>IF($C1217="","",IF($C1217="TANIMSIZ MÜŞTERİ","—",INDEX(MUSTERILER!$C$7:$C$106,MATCH($C1217,MUSTERILER!$B$7:$B$106,0))))</f>
        <v/>
      </c>
      <c r="O1217" s="6" t="n"/>
      <c r="P1217" s="6" t="n"/>
      <c r="Q1217" s="3">
        <f>IF($D1217="","",$C1217&amp;"|"&amp;COUNTIFS($C$7:$C1217,$C1217))</f>
        <v/>
      </c>
      <c r="R1217" s="3">
        <f>IF($D1217="","",UPPER(SUBSTITUTE(SUBSTITUTE(SUBSTITUTE(SUBSTITUTE(SUBSTITUTE(SUBSTITUTE(SUBSTITUTE(SUBSTITUTE(SUBSTITUTE(SUBSTITUTE(SUBSTITUTE(SUBSTITUTE(SUBSTITUTE(SUBSTITUTE(SUBSTITUTE(SUBSTITUTE(SUBSTITUTE(SUBSTITUTE(TRIM($D1217),"'",""),"İ","I"),"ı","I"),"i","I"),"Ş","S"),"ş","S"),"Ğ","G"),"ğ","G"),"Ü","U"),"ü","U"),"Ö","O"),"ö","O"),"Ç","C"),"ç","C"),".",""),",","")," ",""),"-","")))</f>
        <v/>
      </c>
      <c r="S1217" s="3">
        <f>IF($D1217="","",$C1217&amp;"|"&amp;TEXT($E1217,"0")&amp;"|"&amp;TEXT($F1217,"0")&amp;"|"&amp;$I1217)</f>
        <v/>
      </c>
      <c r="T1217" s="3">
        <f>IF($E1217="",0,SUMPRODUCT((AY_SONU!$O$7:$O$42="Evet")*(AY_SONU!$B$7:$B$42=DATE(YEAR($E1217),MONTH($E1217),1))))</f>
        <v/>
      </c>
    </row>
    <row r="1218">
      <c r="A1218" s="6" t="n"/>
      <c r="B1218" s="113">
        <f>IF($D1218="","","T"&amp;TEXT(ROW()-6,"00000"))</f>
        <v/>
      </c>
      <c r="C1218" s="113">
        <f>IF($D1218="","",IFERROR(INDEX(MUSTERILER!$B$7:$B$106,MATCH($R1218,MUSTERILER!$T$7:$T$106,0)),IFERROR(INDEX(MUSTERILER!$B$7:$B$106,MATCH($D1218,MUSTERILER!$B$7:$B$106,0)),IFERROR(INDEX(MUSTERILER!$B$7:$B$106,MATCH($R1218&amp;"*",MUSTERILER!$T$7:$T$106,0)),"TANIMSIZ MÜŞTERİ"))))</f>
        <v/>
      </c>
      <c r="D1218" s="109" t="n"/>
      <c r="E1218" s="220" t="n"/>
      <c r="F1218" s="221" t="n"/>
      <c r="G1218" s="108" t="n"/>
      <c r="H1218" s="108" t="n"/>
      <c r="I1218" s="109" t="n"/>
      <c r="J1218" s="109" t="n"/>
      <c r="K1218" s="109" t="n"/>
      <c r="L1218" s="226">
        <f>IF($E1218="","",DATE(YEAR($E1218),MONTH($E1218),1))</f>
        <v/>
      </c>
      <c r="M1218" s="113">
        <f>IF($D1218="","",IF($C1218="TANIMSIZ MÜŞTERİ","HATA",IF(OR($E1218="",$F1218&lt;=0,$G1218=""),"EKSİK",IF($E1218&gt;TODAY(),"İLERİ TARİH",IF(COUNTIF($S$7:$S$1506,$S1218)&gt;1,"MÜKERRER?",IF($T1218&gt;0,"KAPALI DÖNEM","UYGUN"))))))</f>
        <v/>
      </c>
      <c r="N1218" s="121">
        <f>IF($C1218="","",IF($C1218="TANIMSIZ MÜŞTERİ","—",INDEX(MUSTERILER!$C$7:$C$106,MATCH($C1218,MUSTERILER!$B$7:$B$106,0))))</f>
        <v/>
      </c>
      <c r="O1218" s="6" t="n"/>
      <c r="P1218" s="6" t="n"/>
      <c r="Q1218" s="3">
        <f>IF($D1218="","",$C1218&amp;"|"&amp;COUNTIFS($C$7:$C1218,$C1218))</f>
        <v/>
      </c>
      <c r="R1218" s="3">
        <f>IF($D1218="","",UPPER(SUBSTITUTE(SUBSTITUTE(SUBSTITUTE(SUBSTITUTE(SUBSTITUTE(SUBSTITUTE(SUBSTITUTE(SUBSTITUTE(SUBSTITUTE(SUBSTITUTE(SUBSTITUTE(SUBSTITUTE(SUBSTITUTE(SUBSTITUTE(SUBSTITUTE(SUBSTITUTE(SUBSTITUTE(SUBSTITUTE(TRIM($D1218),"'",""),"İ","I"),"ı","I"),"i","I"),"Ş","S"),"ş","S"),"Ğ","G"),"ğ","G"),"Ü","U"),"ü","U"),"Ö","O"),"ö","O"),"Ç","C"),"ç","C"),".",""),",","")," ",""),"-","")))</f>
        <v/>
      </c>
      <c r="S1218" s="3">
        <f>IF($D1218="","",$C1218&amp;"|"&amp;TEXT($E1218,"0")&amp;"|"&amp;TEXT($F1218,"0")&amp;"|"&amp;$I1218)</f>
        <v/>
      </c>
      <c r="T1218" s="3">
        <f>IF($E1218="",0,SUMPRODUCT((AY_SONU!$O$7:$O$42="Evet")*(AY_SONU!$B$7:$B$42=DATE(YEAR($E1218),MONTH($E1218),1))))</f>
        <v/>
      </c>
    </row>
    <row r="1219">
      <c r="A1219" s="6" t="n"/>
      <c r="B1219" s="113">
        <f>IF($D1219="","","T"&amp;TEXT(ROW()-6,"00000"))</f>
        <v/>
      </c>
      <c r="C1219" s="113">
        <f>IF($D1219="","",IFERROR(INDEX(MUSTERILER!$B$7:$B$106,MATCH($R1219,MUSTERILER!$T$7:$T$106,0)),IFERROR(INDEX(MUSTERILER!$B$7:$B$106,MATCH($D1219,MUSTERILER!$B$7:$B$106,0)),IFERROR(INDEX(MUSTERILER!$B$7:$B$106,MATCH($R1219&amp;"*",MUSTERILER!$T$7:$T$106,0)),"TANIMSIZ MÜŞTERİ"))))</f>
        <v/>
      </c>
      <c r="D1219" s="109" t="n"/>
      <c r="E1219" s="220" t="n"/>
      <c r="F1219" s="221" t="n"/>
      <c r="G1219" s="108" t="n"/>
      <c r="H1219" s="108" t="n"/>
      <c r="I1219" s="109" t="n"/>
      <c r="J1219" s="109" t="n"/>
      <c r="K1219" s="109" t="n"/>
      <c r="L1219" s="226">
        <f>IF($E1219="","",DATE(YEAR($E1219),MONTH($E1219),1))</f>
        <v/>
      </c>
      <c r="M1219" s="113">
        <f>IF($D1219="","",IF($C1219="TANIMSIZ MÜŞTERİ","HATA",IF(OR($E1219="",$F1219&lt;=0,$G1219=""),"EKSİK",IF($E1219&gt;TODAY(),"İLERİ TARİH",IF(COUNTIF($S$7:$S$1506,$S1219)&gt;1,"MÜKERRER?",IF($T1219&gt;0,"KAPALI DÖNEM","UYGUN"))))))</f>
        <v/>
      </c>
      <c r="N1219" s="121">
        <f>IF($C1219="","",IF($C1219="TANIMSIZ MÜŞTERİ","—",INDEX(MUSTERILER!$C$7:$C$106,MATCH($C1219,MUSTERILER!$B$7:$B$106,0))))</f>
        <v/>
      </c>
      <c r="O1219" s="6" t="n"/>
      <c r="P1219" s="6" t="n"/>
      <c r="Q1219" s="3">
        <f>IF($D1219="","",$C1219&amp;"|"&amp;COUNTIFS($C$7:$C1219,$C1219))</f>
        <v/>
      </c>
      <c r="R1219" s="3">
        <f>IF($D1219="","",UPPER(SUBSTITUTE(SUBSTITUTE(SUBSTITUTE(SUBSTITUTE(SUBSTITUTE(SUBSTITUTE(SUBSTITUTE(SUBSTITUTE(SUBSTITUTE(SUBSTITUTE(SUBSTITUTE(SUBSTITUTE(SUBSTITUTE(SUBSTITUTE(SUBSTITUTE(SUBSTITUTE(SUBSTITUTE(SUBSTITUTE(TRIM($D1219),"'",""),"İ","I"),"ı","I"),"i","I"),"Ş","S"),"ş","S"),"Ğ","G"),"ğ","G"),"Ü","U"),"ü","U"),"Ö","O"),"ö","O"),"Ç","C"),"ç","C"),".",""),",","")," ",""),"-","")))</f>
        <v/>
      </c>
      <c r="S1219" s="3">
        <f>IF($D1219="","",$C1219&amp;"|"&amp;TEXT($E1219,"0")&amp;"|"&amp;TEXT($F1219,"0")&amp;"|"&amp;$I1219)</f>
        <v/>
      </c>
      <c r="T1219" s="3">
        <f>IF($E1219="",0,SUMPRODUCT((AY_SONU!$O$7:$O$42="Evet")*(AY_SONU!$B$7:$B$42=DATE(YEAR($E1219),MONTH($E1219),1))))</f>
        <v/>
      </c>
    </row>
    <row r="1220">
      <c r="A1220" s="6" t="n"/>
      <c r="B1220" s="113">
        <f>IF($D1220="","","T"&amp;TEXT(ROW()-6,"00000"))</f>
        <v/>
      </c>
      <c r="C1220" s="113">
        <f>IF($D1220="","",IFERROR(INDEX(MUSTERILER!$B$7:$B$106,MATCH($R1220,MUSTERILER!$T$7:$T$106,0)),IFERROR(INDEX(MUSTERILER!$B$7:$B$106,MATCH($D1220,MUSTERILER!$B$7:$B$106,0)),IFERROR(INDEX(MUSTERILER!$B$7:$B$106,MATCH($R1220&amp;"*",MUSTERILER!$T$7:$T$106,0)),"TANIMSIZ MÜŞTERİ"))))</f>
        <v/>
      </c>
      <c r="D1220" s="109" t="n"/>
      <c r="E1220" s="220" t="n"/>
      <c r="F1220" s="221" t="n"/>
      <c r="G1220" s="108" t="n"/>
      <c r="H1220" s="108" t="n"/>
      <c r="I1220" s="109" t="n"/>
      <c r="J1220" s="109" t="n"/>
      <c r="K1220" s="109" t="n"/>
      <c r="L1220" s="226">
        <f>IF($E1220="","",DATE(YEAR($E1220),MONTH($E1220),1))</f>
        <v/>
      </c>
      <c r="M1220" s="113">
        <f>IF($D1220="","",IF($C1220="TANIMSIZ MÜŞTERİ","HATA",IF(OR($E1220="",$F1220&lt;=0,$G1220=""),"EKSİK",IF($E1220&gt;TODAY(),"İLERİ TARİH",IF(COUNTIF($S$7:$S$1506,$S1220)&gt;1,"MÜKERRER?",IF($T1220&gt;0,"KAPALI DÖNEM","UYGUN"))))))</f>
        <v/>
      </c>
      <c r="N1220" s="121">
        <f>IF($C1220="","",IF($C1220="TANIMSIZ MÜŞTERİ","—",INDEX(MUSTERILER!$C$7:$C$106,MATCH($C1220,MUSTERILER!$B$7:$B$106,0))))</f>
        <v/>
      </c>
      <c r="O1220" s="6" t="n"/>
      <c r="P1220" s="6" t="n"/>
      <c r="Q1220" s="3">
        <f>IF($D1220="","",$C1220&amp;"|"&amp;COUNTIFS($C$7:$C1220,$C1220))</f>
        <v/>
      </c>
      <c r="R1220" s="3">
        <f>IF($D1220="","",UPPER(SUBSTITUTE(SUBSTITUTE(SUBSTITUTE(SUBSTITUTE(SUBSTITUTE(SUBSTITUTE(SUBSTITUTE(SUBSTITUTE(SUBSTITUTE(SUBSTITUTE(SUBSTITUTE(SUBSTITUTE(SUBSTITUTE(SUBSTITUTE(SUBSTITUTE(SUBSTITUTE(SUBSTITUTE(SUBSTITUTE(TRIM($D1220),"'",""),"İ","I"),"ı","I"),"i","I"),"Ş","S"),"ş","S"),"Ğ","G"),"ğ","G"),"Ü","U"),"ü","U"),"Ö","O"),"ö","O"),"Ç","C"),"ç","C"),".",""),",","")," ",""),"-","")))</f>
        <v/>
      </c>
      <c r="S1220" s="3">
        <f>IF($D1220="","",$C1220&amp;"|"&amp;TEXT($E1220,"0")&amp;"|"&amp;TEXT($F1220,"0")&amp;"|"&amp;$I1220)</f>
        <v/>
      </c>
      <c r="T1220" s="3">
        <f>IF($E1220="",0,SUMPRODUCT((AY_SONU!$O$7:$O$42="Evet")*(AY_SONU!$B$7:$B$42=DATE(YEAR($E1220),MONTH($E1220),1))))</f>
        <v/>
      </c>
    </row>
    <row r="1221">
      <c r="A1221" s="6" t="n"/>
      <c r="B1221" s="113">
        <f>IF($D1221="","","T"&amp;TEXT(ROW()-6,"00000"))</f>
        <v/>
      </c>
      <c r="C1221" s="113">
        <f>IF($D1221="","",IFERROR(INDEX(MUSTERILER!$B$7:$B$106,MATCH($R1221,MUSTERILER!$T$7:$T$106,0)),IFERROR(INDEX(MUSTERILER!$B$7:$B$106,MATCH($D1221,MUSTERILER!$B$7:$B$106,0)),IFERROR(INDEX(MUSTERILER!$B$7:$B$106,MATCH($R1221&amp;"*",MUSTERILER!$T$7:$T$106,0)),"TANIMSIZ MÜŞTERİ"))))</f>
        <v/>
      </c>
      <c r="D1221" s="109" t="n"/>
      <c r="E1221" s="220" t="n"/>
      <c r="F1221" s="221" t="n"/>
      <c r="G1221" s="108" t="n"/>
      <c r="H1221" s="108" t="n"/>
      <c r="I1221" s="109" t="n"/>
      <c r="J1221" s="109" t="n"/>
      <c r="K1221" s="109" t="n"/>
      <c r="L1221" s="226">
        <f>IF($E1221="","",DATE(YEAR($E1221),MONTH($E1221),1))</f>
        <v/>
      </c>
      <c r="M1221" s="113">
        <f>IF($D1221="","",IF($C1221="TANIMSIZ MÜŞTERİ","HATA",IF(OR($E1221="",$F1221&lt;=0,$G1221=""),"EKSİK",IF($E1221&gt;TODAY(),"İLERİ TARİH",IF(COUNTIF($S$7:$S$1506,$S1221)&gt;1,"MÜKERRER?",IF($T1221&gt;0,"KAPALI DÖNEM","UYGUN"))))))</f>
        <v/>
      </c>
      <c r="N1221" s="121">
        <f>IF($C1221="","",IF($C1221="TANIMSIZ MÜŞTERİ","—",INDEX(MUSTERILER!$C$7:$C$106,MATCH($C1221,MUSTERILER!$B$7:$B$106,0))))</f>
        <v/>
      </c>
      <c r="O1221" s="6" t="n"/>
      <c r="P1221" s="6" t="n"/>
      <c r="Q1221" s="3">
        <f>IF($D1221="","",$C1221&amp;"|"&amp;COUNTIFS($C$7:$C1221,$C1221))</f>
        <v/>
      </c>
      <c r="R1221" s="3">
        <f>IF($D1221="","",UPPER(SUBSTITUTE(SUBSTITUTE(SUBSTITUTE(SUBSTITUTE(SUBSTITUTE(SUBSTITUTE(SUBSTITUTE(SUBSTITUTE(SUBSTITUTE(SUBSTITUTE(SUBSTITUTE(SUBSTITUTE(SUBSTITUTE(SUBSTITUTE(SUBSTITUTE(SUBSTITUTE(SUBSTITUTE(SUBSTITUTE(TRIM($D1221),"'",""),"İ","I"),"ı","I"),"i","I"),"Ş","S"),"ş","S"),"Ğ","G"),"ğ","G"),"Ü","U"),"ü","U"),"Ö","O"),"ö","O"),"Ç","C"),"ç","C"),".",""),",","")," ",""),"-","")))</f>
        <v/>
      </c>
      <c r="S1221" s="3">
        <f>IF($D1221="","",$C1221&amp;"|"&amp;TEXT($E1221,"0")&amp;"|"&amp;TEXT($F1221,"0")&amp;"|"&amp;$I1221)</f>
        <v/>
      </c>
      <c r="T1221" s="3">
        <f>IF($E1221="",0,SUMPRODUCT((AY_SONU!$O$7:$O$42="Evet")*(AY_SONU!$B$7:$B$42=DATE(YEAR($E1221),MONTH($E1221),1))))</f>
        <v/>
      </c>
    </row>
    <row r="1222">
      <c r="A1222" s="6" t="n"/>
      <c r="B1222" s="113">
        <f>IF($D1222="","","T"&amp;TEXT(ROW()-6,"00000"))</f>
        <v/>
      </c>
      <c r="C1222" s="113">
        <f>IF($D1222="","",IFERROR(INDEX(MUSTERILER!$B$7:$B$106,MATCH($R1222,MUSTERILER!$T$7:$T$106,0)),IFERROR(INDEX(MUSTERILER!$B$7:$B$106,MATCH($D1222,MUSTERILER!$B$7:$B$106,0)),IFERROR(INDEX(MUSTERILER!$B$7:$B$106,MATCH($R1222&amp;"*",MUSTERILER!$T$7:$T$106,0)),"TANIMSIZ MÜŞTERİ"))))</f>
        <v/>
      </c>
      <c r="D1222" s="109" t="n"/>
      <c r="E1222" s="220" t="n"/>
      <c r="F1222" s="221" t="n"/>
      <c r="G1222" s="108" t="n"/>
      <c r="H1222" s="108" t="n"/>
      <c r="I1222" s="109" t="n"/>
      <c r="J1222" s="109" t="n"/>
      <c r="K1222" s="109" t="n"/>
      <c r="L1222" s="226">
        <f>IF($E1222="","",DATE(YEAR($E1222),MONTH($E1222),1))</f>
        <v/>
      </c>
      <c r="M1222" s="113">
        <f>IF($D1222="","",IF($C1222="TANIMSIZ MÜŞTERİ","HATA",IF(OR($E1222="",$F1222&lt;=0,$G1222=""),"EKSİK",IF($E1222&gt;TODAY(),"İLERİ TARİH",IF(COUNTIF($S$7:$S$1506,$S1222)&gt;1,"MÜKERRER?",IF($T1222&gt;0,"KAPALI DÖNEM","UYGUN"))))))</f>
        <v/>
      </c>
      <c r="N1222" s="121">
        <f>IF($C1222="","",IF($C1222="TANIMSIZ MÜŞTERİ","—",INDEX(MUSTERILER!$C$7:$C$106,MATCH($C1222,MUSTERILER!$B$7:$B$106,0))))</f>
        <v/>
      </c>
      <c r="O1222" s="6" t="n"/>
      <c r="P1222" s="6" t="n"/>
      <c r="Q1222" s="3">
        <f>IF($D1222="","",$C1222&amp;"|"&amp;COUNTIFS($C$7:$C1222,$C1222))</f>
        <v/>
      </c>
      <c r="R1222" s="3">
        <f>IF($D1222="","",UPPER(SUBSTITUTE(SUBSTITUTE(SUBSTITUTE(SUBSTITUTE(SUBSTITUTE(SUBSTITUTE(SUBSTITUTE(SUBSTITUTE(SUBSTITUTE(SUBSTITUTE(SUBSTITUTE(SUBSTITUTE(SUBSTITUTE(SUBSTITUTE(SUBSTITUTE(SUBSTITUTE(SUBSTITUTE(SUBSTITUTE(TRIM($D1222),"'",""),"İ","I"),"ı","I"),"i","I"),"Ş","S"),"ş","S"),"Ğ","G"),"ğ","G"),"Ü","U"),"ü","U"),"Ö","O"),"ö","O"),"Ç","C"),"ç","C"),".",""),",","")," ",""),"-","")))</f>
        <v/>
      </c>
      <c r="S1222" s="3">
        <f>IF($D1222="","",$C1222&amp;"|"&amp;TEXT($E1222,"0")&amp;"|"&amp;TEXT($F1222,"0")&amp;"|"&amp;$I1222)</f>
        <v/>
      </c>
      <c r="T1222" s="3">
        <f>IF($E1222="",0,SUMPRODUCT((AY_SONU!$O$7:$O$42="Evet")*(AY_SONU!$B$7:$B$42=DATE(YEAR($E1222),MONTH($E1222),1))))</f>
        <v/>
      </c>
    </row>
    <row r="1223">
      <c r="A1223" s="6" t="n"/>
      <c r="B1223" s="113">
        <f>IF($D1223="","","T"&amp;TEXT(ROW()-6,"00000"))</f>
        <v/>
      </c>
      <c r="C1223" s="113">
        <f>IF($D1223="","",IFERROR(INDEX(MUSTERILER!$B$7:$B$106,MATCH($R1223,MUSTERILER!$T$7:$T$106,0)),IFERROR(INDEX(MUSTERILER!$B$7:$B$106,MATCH($D1223,MUSTERILER!$B$7:$B$106,0)),IFERROR(INDEX(MUSTERILER!$B$7:$B$106,MATCH($R1223&amp;"*",MUSTERILER!$T$7:$T$106,0)),"TANIMSIZ MÜŞTERİ"))))</f>
        <v/>
      </c>
      <c r="D1223" s="109" t="n"/>
      <c r="E1223" s="220" t="n"/>
      <c r="F1223" s="221" t="n"/>
      <c r="G1223" s="108" t="n"/>
      <c r="H1223" s="108" t="n"/>
      <c r="I1223" s="109" t="n"/>
      <c r="J1223" s="109" t="n"/>
      <c r="K1223" s="109" t="n"/>
      <c r="L1223" s="226">
        <f>IF($E1223="","",DATE(YEAR($E1223),MONTH($E1223),1))</f>
        <v/>
      </c>
      <c r="M1223" s="113">
        <f>IF($D1223="","",IF($C1223="TANIMSIZ MÜŞTERİ","HATA",IF(OR($E1223="",$F1223&lt;=0,$G1223=""),"EKSİK",IF($E1223&gt;TODAY(),"İLERİ TARİH",IF(COUNTIF($S$7:$S$1506,$S1223)&gt;1,"MÜKERRER?",IF($T1223&gt;0,"KAPALI DÖNEM","UYGUN"))))))</f>
        <v/>
      </c>
      <c r="N1223" s="121">
        <f>IF($C1223="","",IF($C1223="TANIMSIZ MÜŞTERİ","—",INDEX(MUSTERILER!$C$7:$C$106,MATCH($C1223,MUSTERILER!$B$7:$B$106,0))))</f>
        <v/>
      </c>
      <c r="O1223" s="6" t="n"/>
      <c r="P1223" s="6" t="n"/>
      <c r="Q1223" s="3">
        <f>IF($D1223="","",$C1223&amp;"|"&amp;COUNTIFS($C$7:$C1223,$C1223))</f>
        <v/>
      </c>
      <c r="R1223" s="3">
        <f>IF($D1223="","",UPPER(SUBSTITUTE(SUBSTITUTE(SUBSTITUTE(SUBSTITUTE(SUBSTITUTE(SUBSTITUTE(SUBSTITUTE(SUBSTITUTE(SUBSTITUTE(SUBSTITUTE(SUBSTITUTE(SUBSTITUTE(SUBSTITUTE(SUBSTITUTE(SUBSTITUTE(SUBSTITUTE(SUBSTITUTE(SUBSTITUTE(TRIM($D1223),"'",""),"İ","I"),"ı","I"),"i","I"),"Ş","S"),"ş","S"),"Ğ","G"),"ğ","G"),"Ü","U"),"ü","U"),"Ö","O"),"ö","O"),"Ç","C"),"ç","C"),".",""),",","")," ",""),"-","")))</f>
        <v/>
      </c>
      <c r="S1223" s="3">
        <f>IF($D1223="","",$C1223&amp;"|"&amp;TEXT($E1223,"0")&amp;"|"&amp;TEXT($F1223,"0")&amp;"|"&amp;$I1223)</f>
        <v/>
      </c>
      <c r="T1223" s="3">
        <f>IF($E1223="",0,SUMPRODUCT((AY_SONU!$O$7:$O$42="Evet")*(AY_SONU!$B$7:$B$42=DATE(YEAR($E1223),MONTH($E1223),1))))</f>
        <v/>
      </c>
    </row>
    <row r="1224">
      <c r="A1224" s="6" t="n"/>
      <c r="B1224" s="113">
        <f>IF($D1224="","","T"&amp;TEXT(ROW()-6,"00000"))</f>
        <v/>
      </c>
      <c r="C1224" s="113">
        <f>IF($D1224="","",IFERROR(INDEX(MUSTERILER!$B$7:$B$106,MATCH($R1224,MUSTERILER!$T$7:$T$106,0)),IFERROR(INDEX(MUSTERILER!$B$7:$B$106,MATCH($D1224,MUSTERILER!$B$7:$B$106,0)),IFERROR(INDEX(MUSTERILER!$B$7:$B$106,MATCH($R1224&amp;"*",MUSTERILER!$T$7:$T$106,0)),"TANIMSIZ MÜŞTERİ"))))</f>
        <v/>
      </c>
      <c r="D1224" s="109" t="n"/>
      <c r="E1224" s="220" t="n"/>
      <c r="F1224" s="221" t="n"/>
      <c r="G1224" s="108" t="n"/>
      <c r="H1224" s="108" t="n"/>
      <c r="I1224" s="109" t="n"/>
      <c r="J1224" s="109" t="n"/>
      <c r="K1224" s="109" t="n"/>
      <c r="L1224" s="226">
        <f>IF($E1224="","",DATE(YEAR($E1224),MONTH($E1224),1))</f>
        <v/>
      </c>
      <c r="M1224" s="113">
        <f>IF($D1224="","",IF($C1224="TANIMSIZ MÜŞTERİ","HATA",IF(OR($E1224="",$F1224&lt;=0,$G1224=""),"EKSİK",IF($E1224&gt;TODAY(),"İLERİ TARİH",IF(COUNTIF($S$7:$S$1506,$S1224)&gt;1,"MÜKERRER?",IF($T1224&gt;0,"KAPALI DÖNEM","UYGUN"))))))</f>
        <v/>
      </c>
      <c r="N1224" s="121">
        <f>IF($C1224="","",IF($C1224="TANIMSIZ MÜŞTERİ","—",INDEX(MUSTERILER!$C$7:$C$106,MATCH($C1224,MUSTERILER!$B$7:$B$106,0))))</f>
        <v/>
      </c>
      <c r="O1224" s="6" t="n"/>
      <c r="P1224" s="6" t="n"/>
      <c r="Q1224" s="3">
        <f>IF($D1224="","",$C1224&amp;"|"&amp;COUNTIFS($C$7:$C1224,$C1224))</f>
        <v/>
      </c>
      <c r="R1224" s="3">
        <f>IF($D1224="","",UPPER(SUBSTITUTE(SUBSTITUTE(SUBSTITUTE(SUBSTITUTE(SUBSTITUTE(SUBSTITUTE(SUBSTITUTE(SUBSTITUTE(SUBSTITUTE(SUBSTITUTE(SUBSTITUTE(SUBSTITUTE(SUBSTITUTE(SUBSTITUTE(SUBSTITUTE(SUBSTITUTE(SUBSTITUTE(SUBSTITUTE(TRIM($D1224),"'",""),"İ","I"),"ı","I"),"i","I"),"Ş","S"),"ş","S"),"Ğ","G"),"ğ","G"),"Ü","U"),"ü","U"),"Ö","O"),"ö","O"),"Ç","C"),"ç","C"),".",""),",","")," ",""),"-","")))</f>
        <v/>
      </c>
      <c r="S1224" s="3">
        <f>IF($D1224="","",$C1224&amp;"|"&amp;TEXT($E1224,"0")&amp;"|"&amp;TEXT($F1224,"0")&amp;"|"&amp;$I1224)</f>
        <v/>
      </c>
      <c r="T1224" s="3">
        <f>IF($E1224="",0,SUMPRODUCT((AY_SONU!$O$7:$O$42="Evet")*(AY_SONU!$B$7:$B$42=DATE(YEAR($E1224),MONTH($E1224),1))))</f>
        <v/>
      </c>
    </row>
    <row r="1225">
      <c r="A1225" s="6" t="n"/>
      <c r="B1225" s="113">
        <f>IF($D1225="","","T"&amp;TEXT(ROW()-6,"00000"))</f>
        <v/>
      </c>
      <c r="C1225" s="113">
        <f>IF($D1225="","",IFERROR(INDEX(MUSTERILER!$B$7:$B$106,MATCH($R1225,MUSTERILER!$T$7:$T$106,0)),IFERROR(INDEX(MUSTERILER!$B$7:$B$106,MATCH($D1225,MUSTERILER!$B$7:$B$106,0)),IFERROR(INDEX(MUSTERILER!$B$7:$B$106,MATCH($R1225&amp;"*",MUSTERILER!$T$7:$T$106,0)),"TANIMSIZ MÜŞTERİ"))))</f>
        <v/>
      </c>
      <c r="D1225" s="109" t="n"/>
      <c r="E1225" s="220" t="n"/>
      <c r="F1225" s="221" t="n"/>
      <c r="G1225" s="108" t="n"/>
      <c r="H1225" s="108" t="n"/>
      <c r="I1225" s="109" t="n"/>
      <c r="J1225" s="109" t="n"/>
      <c r="K1225" s="109" t="n"/>
      <c r="L1225" s="226">
        <f>IF($E1225="","",DATE(YEAR($E1225),MONTH($E1225),1))</f>
        <v/>
      </c>
      <c r="M1225" s="113">
        <f>IF($D1225="","",IF($C1225="TANIMSIZ MÜŞTERİ","HATA",IF(OR($E1225="",$F1225&lt;=0,$G1225=""),"EKSİK",IF($E1225&gt;TODAY(),"İLERİ TARİH",IF(COUNTIF($S$7:$S$1506,$S1225)&gt;1,"MÜKERRER?",IF($T1225&gt;0,"KAPALI DÖNEM","UYGUN"))))))</f>
        <v/>
      </c>
      <c r="N1225" s="121">
        <f>IF($C1225="","",IF($C1225="TANIMSIZ MÜŞTERİ","—",INDEX(MUSTERILER!$C$7:$C$106,MATCH($C1225,MUSTERILER!$B$7:$B$106,0))))</f>
        <v/>
      </c>
      <c r="O1225" s="6" t="n"/>
      <c r="P1225" s="6" t="n"/>
      <c r="Q1225" s="3">
        <f>IF($D1225="","",$C1225&amp;"|"&amp;COUNTIFS($C$7:$C1225,$C1225))</f>
        <v/>
      </c>
      <c r="R1225" s="3">
        <f>IF($D1225="","",UPPER(SUBSTITUTE(SUBSTITUTE(SUBSTITUTE(SUBSTITUTE(SUBSTITUTE(SUBSTITUTE(SUBSTITUTE(SUBSTITUTE(SUBSTITUTE(SUBSTITUTE(SUBSTITUTE(SUBSTITUTE(SUBSTITUTE(SUBSTITUTE(SUBSTITUTE(SUBSTITUTE(SUBSTITUTE(SUBSTITUTE(TRIM($D1225),"'",""),"İ","I"),"ı","I"),"i","I"),"Ş","S"),"ş","S"),"Ğ","G"),"ğ","G"),"Ü","U"),"ü","U"),"Ö","O"),"ö","O"),"Ç","C"),"ç","C"),".",""),",","")," ",""),"-","")))</f>
        <v/>
      </c>
      <c r="S1225" s="3">
        <f>IF($D1225="","",$C1225&amp;"|"&amp;TEXT($E1225,"0")&amp;"|"&amp;TEXT($F1225,"0")&amp;"|"&amp;$I1225)</f>
        <v/>
      </c>
      <c r="T1225" s="3">
        <f>IF($E1225="",0,SUMPRODUCT((AY_SONU!$O$7:$O$42="Evet")*(AY_SONU!$B$7:$B$42=DATE(YEAR($E1225),MONTH($E1225),1))))</f>
        <v/>
      </c>
    </row>
    <row r="1226">
      <c r="A1226" s="6" t="n"/>
      <c r="B1226" s="113">
        <f>IF($D1226="","","T"&amp;TEXT(ROW()-6,"00000"))</f>
        <v/>
      </c>
      <c r="C1226" s="113">
        <f>IF($D1226="","",IFERROR(INDEX(MUSTERILER!$B$7:$B$106,MATCH($R1226,MUSTERILER!$T$7:$T$106,0)),IFERROR(INDEX(MUSTERILER!$B$7:$B$106,MATCH($D1226,MUSTERILER!$B$7:$B$106,0)),IFERROR(INDEX(MUSTERILER!$B$7:$B$106,MATCH($R1226&amp;"*",MUSTERILER!$T$7:$T$106,0)),"TANIMSIZ MÜŞTERİ"))))</f>
        <v/>
      </c>
      <c r="D1226" s="109" t="n"/>
      <c r="E1226" s="220" t="n"/>
      <c r="F1226" s="221" t="n"/>
      <c r="G1226" s="108" t="n"/>
      <c r="H1226" s="108" t="n"/>
      <c r="I1226" s="109" t="n"/>
      <c r="J1226" s="109" t="n"/>
      <c r="K1226" s="109" t="n"/>
      <c r="L1226" s="226">
        <f>IF($E1226="","",DATE(YEAR($E1226),MONTH($E1226),1))</f>
        <v/>
      </c>
      <c r="M1226" s="113">
        <f>IF($D1226="","",IF($C1226="TANIMSIZ MÜŞTERİ","HATA",IF(OR($E1226="",$F1226&lt;=0,$G1226=""),"EKSİK",IF($E1226&gt;TODAY(),"İLERİ TARİH",IF(COUNTIF($S$7:$S$1506,$S1226)&gt;1,"MÜKERRER?",IF($T1226&gt;0,"KAPALI DÖNEM","UYGUN"))))))</f>
        <v/>
      </c>
      <c r="N1226" s="121">
        <f>IF($C1226="","",IF($C1226="TANIMSIZ MÜŞTERİ","—",INDEX(MUSTERILER!$C$7:$C$106,MATCH($C1226,MUSTERILER!$B$7:$B$106,0))))</f>
        <v/>
      </c>
      <c r="O1226" s="6" t="n"/>
      <c r="P1226" s="6" t="n"/>
      <c r="Q1226" s="3">
        <f>IF($D1226="","",$C1226&amp;"|"&amp;COUNTIFS($C$7:$C1226,$C1226))</f>
        <v/>
      </c>
      <c r="R1226" s="3">
        <f>IF($D1226="","",UPPER(SUBSTITUTE(SUBSTITUTE(SUBSTITUTE(SUBSTITUTE(SUBSTITUTE(SUBSTITUTE(SUBSTITUTE(SUBSTITUTE(SUBSTITUTE(SUBSTITUTE(SUBSTITUTE(SUBSTITUTE(SUBSTITUTE(SUBSTITUTE(SUBSTITUTE(SUBSTITUTE(SUBSTITUTE(SUBSTITUTE(TRIM($D1226),"'",""),"İ","I"),"ı","I"),"i","I"),"Ş","S"),"ş","S"),"Ğ","G"),"ğ","G"),"Ü","U"),"ü","U"),"Ö","O"),"ö","O"),"Ç","C"),"ç","C"),".",""),",","")," ",""),"-","")))</f>
        <v/>
      </c>
      <c r="S1226" s="3">
        <f>IF($D1226="","",$C1226&amp;"|"&amp;TEXT($E1226,"0")&amp;"|"&amp;TEXT($F1226,"0")&amp;"|"&amp;$I1226)</f>
        <v/>
      </c>
      <c r="T1226" s="3">
        <f>IF($E1226="",0,SUMPRODUCT((AY_SONU!$O$7:$O$42="Evet")*(AY_SONU!$B$7:$B$42=DATE(YEAR($E1226),MONTH($E1226),1))))</f>
        <v/>
      </c>
    </row>
    <row r="1227">
      <c r="A1227" s="6" t="n"/>
      <c r="B1227" s="113">
        <f>IF($D1227="","","T"&amp;TEXT(ROW()-6,"00000"))</f>
        <v/>
      </c>
      <c r="C1227" s="113">
        <f>IF($D1227="","",IFERROR(INDEX(MUSTERILER!$B$7:$B$106,MATCH($R1227,MUSTERILER!$T$7:$T$106,0)),IFERROR(INDEX(MUSTERILER!$B$7:$B$106,MATCH($D1227,MUSTERILER!$B$7:$B$106,0)),IFERROR(INDEX(MUSTERILER!$B$7:$B$106,MATCH($R1227&amp;"*",MUSTERILER!$T$7:$T$106,0)),"TANIMSIZ MÜŞTERİ"))))</f>
        <v/>
      </c>
      <c r="D1227" s="109" t="n"/>
      <c r="E1227" s="220" t="n"/>
      <c r="F1227" s="221" t="n"/>
      <c r="G1227" s="108" t="n"/>
      <c r="H1227" s="108" t="n"/>
      <c r="I1227" s="109" t="n"/>
      <c r="J1227" s="109" t="n"/>
      <c r="K1227" s="109" t="n"/>
      <c r="L1227" s="226">
        <f>IF($E1227="","",DATE(YEAR($E1227),MONTH($E1227),1))</f>
        <v/>
      </c>
      <c r="M1227" s="113">
        <f>IF($D1227="","",IF($C1227="TANIMSIZ MÜŞTERİ","HATA",IF(OR($E1227="",$F1227&lt;=0,$G1227=""),"EKSİK",IF($E1227&gt;TODAY(),"İLERİ TARİH",IF(COUNTIF($S$7:$S$1506,$S1227)&gt;1,"MÜKERRER?",IF($T1227&gt;0,"KAPALI DÖNEM","UYGUN"))))))</f>
        <v/>
      </c>
      <c r="N1227" s="121">
        <f>IF($C1227="","",IF($C1227="TANIMSIZ MÜŞTERİ","—",INDEX(MUSTERILER!$C$7:$C$106,MATCH($C1227,MUSTERILER!$B$7:$B$106,0))))</f>
        <v/>
      </c>
      <c r="O1227" s="6" t="n"/>
      <c r="P1227" s="6" t="n"/>
      <c r="Q1227" s="3">
        <f>IF($D1227="","",$C1227&amp;"|"&amp;COUNTIFS($C$7:$C1227,$C1227))</f>
        <v/>
      </c>
      <c r="R1227" s="3">
        <f>IF($D1227="","",UPPER(SUBSTITUTE(SUBSTITUTE(SUBSTITUTE(SUBSTITUTE(SUBSTITUTE(SUBSTITUTE(SUBSTITUTE(SUBSTITUTE(SUBSTITUTE(SUBSTITUTE(SUBSTITUTE(SUBSTITUTE(SUBSTITUTE(SUBSTITUTE(SUBSTITUTE(SUBSTITUTE(SUBSTITUTE(SUBSTITUTE(TRIM($D1227),"'",""),"İ","I"),"ı","I"),"i","I"),"Ş","S"),"ş","S"),"Ğ","G"),"ğ","G"),"Ü","U"),"ü","U"),"Ö","O"),"ö","O"),"Ç","C"),"ç","C"),".",""),",","")," ",""),"-","")))</f>
        <v/>
      </c>
      <c r="S1227" s="3">
        <f>IF($D1227="","",$C1227&amp;"|"&amp;TEXT($E1227,"0")&amp;"|"&amp;TEXT($F1227,"0")&amp;"|"&amp;$I1227)</f>
        <v/>
      </c>
      <c r="T1227" s="3">
        <f>IF($E1227="",0,SUMPRODUCT((AY_SONU!$O$7:$O$42="Evet")*(AY_SONU!$B$7:$B$42=DATE(YEAR($E1227),MONTH($E1227),1))))</f>
        <v/>
      </c>
    </row>
    <row r="1228">
      <c r="A1228" s="6" t="n"/>
      <c r="B1228" s="113">
        <f>IF($D1228="","","T"&amp;TEXT(ROW()-6,"00000"))</f>
        <v/>
      </c>
      <c r="C1228" s="113">
        <f>IF($D1228="","",IFERROR(INDEX(MUSTERILER!$B$7:$B$106,MATCH($R1228,MUSTERILER!$T$7:$T$106,0)),IFERROR(INDEX(MUSTERILER!$B$7:$B$106,MATCH($D1228,MUSTERILER!$B$7:$B$106,0)),IFERROR(INDEX(MUSTERILER!$B$7:$B$106,MATCH($R1228&amp;"*",MUSTERILER!$T$7:$T$106,0)),"TANIMSIZ MÜŞTERİ"))))</f>
        <v/>
      </c>
      <c r="D1228" s="109" t="n"/>
      <c r="E1228" s="220" t="n"/>
      <c r="F1228" s="221" t="n"/>
      <c r="G1228" s="108" t="n"/>
      <c r="H1228" s="108" t="n"/>
      <c r="I1228" s="109" t="n"/>
      <c r="J1228" s="109" t="n"/>
      <c r="K1228" s="109" t="n"/>
      <c r="L1228" s="226">
        <f>IF($E1228="","",DATE(YEAR($E1228),MONTH($E1228),1))</f>
        <v/>
      </c>
      <c r="M1228" s="113">
        <f>IF($D1228="","",IF($C1228="TANIMSIZ MÜŞTERİ","HATA",IF(OR($E1228="",$F1228&lt;=0,$G1228=""),"EKSİK",IF($E1228&gt;TODAY(),"İLERİ TARİH",IF(COUNTIF($S$7:$S$1506,$S1228)&gt;1,"MÜKERRER?",IF($T1228&gt;0,"KAPALI DÖNEM","UYGUN"))))))</f>
        <v/>
      </c>
      <c r="N1228" s="121">
        <f>IF($C1228="","",IF($C1228="TANIMSIZ MÜŞTERİ","—",INDEX(MUSTERILER!$C$7:$C$106,MATCH($C1228,MUSTERILER!$B$7:$B$106,0))))</f>
        <v/>
      </c>
      <c r="O1228" s="6" t="n"/>
      <c r="P1228" s="6" t="n"/>
      <c r="Q1228" s="3">
        <f>IF($D1228="","",$C1228&amp;"|"&amp;COUNTIFS($C$7:$C1228,$C1228))</f>
        <v/>
      </c>
      <c r="R1228" s="3">
        <f>IF($D1228="","",UPPER(SUBSTITUTE(SUBSTITUTE(SUBSTITUTE(SUBSTITUTE(SUBSTITUTE(SUBSTITUTE(SUBSTITUTE(SUBSTITUTE(SUBSTITUTE(SUBSTITUTE(SUBSTITUTE(SUBSTITUTE(SUBSTITUTE(SUBSTITUTE(SUBSTITUTE(SUBSTITUTE(SUBSTITUTE(SUBSTITUTE(TRIM($D1228),"'",""),"İ","I"),"ı","I"),"i","I"),"Ş","S"),"ş","S"),"Ğ","G"),"ğ","G"),"Ü","U"),"ü","U"),"Ö","O"),"ö","O"),"Ç","C"),"ç","C"),".",""),",","")," ",""),"-","")))</f>
        <v/>
      </c>
      <c r="S1228" s="3">
        <f>IF($D1228="","",$C1228&amp;"|"&amp;TEXT($E1228,"0")&amp;"|"&amp;TEXT($F1228,"0")&amp;"|"&amp;$I1228)</f>
        <v/>
      </c>
      <c r="T1228" s="3">
        <f>IF($E1228="",0,SUMPRODUCT((AY_SONU!$O$7:$O$42="Evet")*(AY_SONU!$B$7:$B$42=DATE(YEAR($E1228),MONTH($E1228),1))))</f>
        <v/>
      </c>
    </row>
    <row r="1229">
      <c r="A1229" s="6" t="n"/>
      <c r="B1229" s="113">
        <f>IF($D1229="","","T"&amp;TEXT(ROW()-6,"00000"))</f>
        <v/>
      </c>
      <c r="C1229" s="113">
        <f>IF($D1229="","",IFERROR(INDEX(MUSTERILER!$B$7:$B$106,MATCH($R1229,MUSTERILER!$T$7:$T$106,0)),IFERROR(INDEX(MUSTERILER!$B$7:$B$106,MATCH($D1229,MUSTERILER!$B$7:$B$106,0)),IFERROR(INDEX(MUSTERILER!$B$7:$B$106,MATCH($R1229&amp;"*",MUSTERILER!$T$7:$T$106,0)),"TANIMSIZ MÜŞTERİ"))))</f>
        <v/>
      </c>
      <c r="D1229" s="109" t="n"/>
      <c r="E1229" s="220" t="n"/>
      <c r="F1229" s="221" t="n"/>
      <c r="G1229" s="108" t="n"/>
      <c r="H1229" s="108" t="n"/>
      <c r="I1229" s="109" t="n"/>
      <c r="J1229" s="109" t="n"/>
      <c r="K1229" s="109" t="n"/>
      <c r="L1229" s="226">
        <f>IF($E1229="","",DATE(YEAR($E1229),MONTH($E1229),1))</f>
        <v/>
      </c>
      <c r="M1229" s="113">
        <f>IF($D1229="","",IF($C1229="TANIMSIZ MÜŞTERİ","HATA",IF(OR($E1229="",$F1229&lt;=0,$G1229=""),"EKSİK",IF($E1229&gt;TODAY(),"İLERİ TARİH",IF(COUNTIF($S$7:$S$1506,$S1229)&gt;1,"MÜKERRER?",IF($T1229&gt;0,"KAPALI DÖNEM","UYGUN"))))))</f>
        <v/>
      </c>
      <c r="N1229" s="121">
        <f>IF($C1229="","",IF($C1229="TANIMSIZ MÜŞTERİ","—",INDEX(MUSTERILER!$C$7:$C$106,MATCH($C1229,MUSTERILER!$B$7:$B$106,0))))</f>
        <v/>
      </c>
      <c r="O1229" s="6" t="n"/>
      <c r="P1229" s="6" t="n"/>
      <c r="Q1229" s="3">
        <f>IF($D1229="","",$C1229&amp;"|"&amp;COUNTIFS($C$7:$C1229,$C1229))</f>
        <v/>
      </c>
      <c r="R1229" s="3">
        <f>IF($D1229="","",UPPER(SUBSTITUTE(SUBSTITUTE(SUBSTITUTE(SUBSTITUTE(SUBSTITUTE(SUBSTITUTE(SUBSTITUTE(SUBSTITUTE(SUBSTITUTE(SUBSTITUTE(SUBSTITUTE(SUBSTITUTE(SUBSTITUTE(SUBSTITUTE(SUBSTITUTE(SUBSTITUTE(SUBSTITUTE(SUBSTITUTE(TRIM($D1229),"'",""),"İ","I"),"ı","I"),"i","I"),"Ş","S"),"ş","S"),"Ğ","G"),"ğ","G"),"Ü","U"),"ü","U"),"Ö","O"),"ö","O"),"Ç","C"),"ç","C"),".",""),",","")," ",""),"-","")))</f>
        <v/>
      </c>
      <c r="S1229" s="3">
        <f>IF($D1229="","",$C1229&amp;"|"&amp;TEXT($E1229,"0")&amp;"|"&amp;TEXT($F1229,"0")&amp;"|"&amp;$I1229)</f>
        <v/>
      </c>
      <c r="T1229" s="3">
        <f>IF($E1229="",0,SUMPRODUCT((AY_SONU!$O$7:$O$42="Evet")*(AY_SONU!$B$7:$B$42=DATE(YEAR($E1229),MONTH($E1229),1))))</f>
        <v/>
      </c>
    </row>
    <row r="1230">
      <c r="A1230" s="6" t="n"/>
      <c r="B1230" s="113">
        <f>IF($D1230="","","T"&amp;TEXT(ROW()-6,"00000"))</f>
        <v/>
      </c>
      <c r="C1230" s="113">
        <f>IF($D1230="","",IFERROR(INDEX(MUSTERILER!$B$7:$B$106,MATCH($R1230,MUSTERILER!$T$7:$T$106,0)),IFERROR(INDEX(MUSTERILER!$B$7:$B$106,MATCH($D1230,MUSTERILER!$B$7:$B$106,0)),IFERROR(INDEX(MUSTERILER!$B$7:$B$106,MATCH($R1230&amp;"*",MUSTERILER!$T$7:$T$106,0)),"TANIMSIZ MÜŞTERİ"))))</f>
        <v/>
      </c>
      <c r="D1230" s="109" t="n"/>
      <c r="E1230" s="220" t="n"/>
      <c r="F1230" s="221" t="n"/>
      <c r="G1230" s="108" t="n"/>
      <c r="H1230" s="108" t="n"/>
      <c r="I1230" s="109" t="n"/>
      <c r="J1230" s="109" t="n"/>
      <c r="K1230" s="109" t="n"/>
      <c r="L1230" s="226">
        <f>IF($E1230="","",DATE(YEAR($E1230),MONTH($E1230),1))</f>
        <v/>
      </c>
      <c r="M1230" s="113">
        <f>IF($D1230="","",IF($C1230="TANIMSIZ MÜŞTERİ","HATA",IF(OR($E1230="",$F1230&lt;=0,$G1230=""),"EKSİK",IF($E1230&gt;TODAY(),"İLERİ TARİH",IF(COUNTIF($S$7:$S$1506,$S1230)&gt;1,"MÜKERRER?",IF($T1230&gt;0,"KAPALI DÖNEM","UYGUN"))))))</f>
        <v/>
      </c>
      <c r="N1230" s="121">
        <f>IF($C1230="","",IF($C1230="TANIMSIZ MÜŞTERİ","—",INDEX(MUSTERILER!$C$7:$C$106,MATCH($C1230,MUSTERILER!$B$7:$B$106,0))))</f>
        <v/>
      </c>
      <c r="O1230" s="6" t="n"/>
      <c r="P1230" s="6" t="n"/>
      <c r="Q1230" s="3">
        <f>IF($D1230="","",$C1230&amp;"|"&amp;COUNTIFS($C$7:$C1230,$C1230))</f>
        <v/>
      </c>
      <c r="R1230" s="3">
        <f>IF($D1230="","",UPPER(SUBSTITUTE(SUBSTITUTE(SUBSTITUTE(SUBSTITUTE(SUBSTITUTE(SUBSTITUTE(SUBSTITUTE(SUBSTITUTE(SUBSTITUTE(SUBSTITUTE(SUBSTITUTE(SUBSTITUTE(SUBSTITUTE(SUBSTITUTE(SUBSTITUTE(SUBSTITUTE(SUBSTITUTE(SUBSTITUTE(TRIM($D1230),"'",""),"İ","I"),"ı","I"),"i","I"),"Ş","S"),"ş","S"),"Ğ","G"),"ğ","G"),"Ü","U"),"ü","U"),"Ö","O"),"ö","O"),"Ç","C"),"ç","C"),".",""),",","")," ",""),"-","")))</f>
        <v/>
      </c>
      <c r="S1230" s="3">
        <f>IF($D1230="","",$C1230&amp;"|"&amp;TEXT($E1230,"0")&amp;"|"&amp;TEXT($F1230,"0")&amp;"|"&amp;$I1230)</f>
        <v/>
      </c>
      <c r="T1230" s="3">
        <f>IF($E1230="",0,SUMPRODUCT((AY_SONU!$O$7:$O$42="Evet")*(AY_SONU!$B$7:$B$42=DATE(YEAR($E1230),MONTH($E1230),1))))</f>
        <v/>
      </c>
    </row>
    <row r="1231">
      <c r="A1231" s="6" t="n"/>
      <c r="B1231" s="113">
        <f>IF($D1231="","","T"&amp;TEXT(ROW()-6,"00000"))</f>
        <v/>
      </c>
      <c r="C1231" s="113">
        <f>IF($D1231="","",IFERROR(INDEX(MUSTERILER!$B$7:$B$106,MATCH($R1231,MUSTERILER!$T$7:$T$106,0)),IFERROR(INDEX(MUSTERILER!$B$7:$B$106,MATCH($D1231,MUSTERILER!$B$7:$B$106,0)),IFERROR(INDEX(MUSTERILER!$B$7:$B$106,MATCH($R1231&amp;"*",MUSTERILER!$T$7:$T$106,0)),"TANIMSIZ MÜŞTERİ"))))</f>
        <v/>
      </c>
      <c r="D1231" s="109" t="n"/>
      <c r="E1231" s="220" t="n"/>
      <c r="F1231" s="221" t="n"/>
      <c r="G1231" s="108" t="n"/>
      <c r="H1231" s="108" t="n"/>
      <c r="I1231" s="109" t="n"/>
      <c r="J1231" s="109" t="n"/>
      <c r="K1231" s="109" t="n"/>
      <c r="L1231" s="226">
        <f>IF($E1231="","",DATE(YEAR($E1231),MONTH($E1231),1))</f>
        <v/>
      </c>
      <c r="M1231" s="113">
        <f>IF($D1231="","",IF($C1231="TANIMSIZ MÜŞTERİ","HATA",IF(OR($E1231="",$F1231&lt;=0,$G1231=""),"EKSİK",IF($E1231&gt;TODAY(),"İLERİ TARİH",IF(COUNTIF($S$7:$S$1506,$S1231)&gt;1,"MÜKERRER?",IF($T1231&gt;0,"KAPALI DÖNEM","UYGUN"))))))</f>
        <v/>
      </c>
      <c r="N1231" s="121">
        <f>IF($C1231="","",IF($C1231="TANIMSIZ MÜŞTERİ","—",INDEX(MUSTERILER!$C$7:$C$106,MATCH($C1231,MUSTERILER!$B$7:$B$106,0))))</f>
        <v/>
      </c>
      <c r="O1231" s="6" t="n"/>
      <c r="P1231" s="6" t="n"/>
      <c r="Q1231" s="3">
        <f>IF($D1231="","",$C1231&amp;"|"&amp;COUNTIFS($C$7:$C1231,$C1231))</f>
        <v/>
      </c>
      <c r="R1231" s="3">
        <f>IF($D1231="","",UPPER(SUBSTITUTE(SUBSTITUTE(SUBSTITUTE(SUBSTITUTE(SUBSTITUTE(SUBSTITUTE(SUBSTITUTE(SUBSTITUTE(SUBSTITUTE(SUBSTITUTE(SUBSTITUTE(SUBSTITUTE(SUBSTITUTE(SUBSTITUTE(SUBSTITUTE(SUBSTITUTE(SUBSTITUTE(SUBSTITUTE(TRIM($D1231),"'",""),"İ","I"),"ı","I"),"i","I"),"Ş","S"),"ş","S"),"Ğ","G"),"ğ","G"),"Ü","U"),"ü","U"),"Ö","O"),"ö","O"),"Ç","C"),"ç","C"),".",""),",","")," ",""),"-","")))</f>
        <v/>
      </c>
      <c r="S1231" s="3">
        <f>IF($D1231="","",$C1231&amp;"|"&amp;TEXT($E1231,"0")&amp;"|"&amp;TEXT($F1231,"0")&amp;"|"&amp;$I1231)</f>
        <v/>
      </c>
      <c r="T1231" s="3">
        <f>IF($E1231="",0,SUMPRODUCT((AY_SONU!$O$7:$O$42="Evet")*(AY_SONU!$B$7:$B$42=DATE(YEAR($E1231),MONTH($E1231),1))))</f>
        <v/>
      </c>
    </row>
    <row r="1232">
      <c r="A1232" s="6" t="n"/>
      <c r="B1232" s="113">
        <f>IF($D1232="","","T"&amp;TEXT(ROW()-6,"00000"))</f>
        <v/>
      </c>
      <c r="C1232" s="113">
        <f>IF($D1232="","",IFERROR(INDEX(MUSTERILER!$B$7:$B$106,MATCH($R1232,MUSTERILER!$T$7:$T$106,0)),IFERROR(INDEX(MUSTERILER!$B$7:$B$106,MATCH($D1232,MUSTERILER!$B$7:$B$106,0)),IFERROR(INDEX(MUSTERILER!$B$7:$B$106,MATCH($R1232&amp;"*",MUSTERILER!$T$7:$T$106,0)),"TANIMSIZ MÜŞTERİ"))))</f>
        <v/>
      </c>
      <c r="D1232" s="109" t="n"/>
      <c r="E1232" s="220" t="n"/>
      <c r="F1232" s="221" t="n"/>
      <c r="G1232" s="108" t="n"/>
      <c r="H1232" s="108" t="n"/>
      <c r="I1232" s="109" t="n"/>
      <c r="J1232" s="109" t="n"/>
      <c r="K1232" s="109" t="n"/>
      <c r="L1232" s="226">
        <f>IF($E1232="","",DATE(YEAR($E1232),MONTH($E1232),1))</f>
        <v/>
      </c>
      <c r="M1232" s="113">
        <f>IF($D1232="","",IF($C1232="TANIMSIZ MÜŞTERİ","HATA",IF(OR($E1232="",$F1232&lt;=0,$G1232=""),"EKSİK",IF($E1232&gt;TODAY(),"İLERİ TARİH",IF(COUNTIF($S$7:$S$1506,$S1232)&gt;1,"MÜKERRER?",IF($T1232&gt;0,"KAPALI DÖNEM","UYGUN"))))))</f>
        <v/>
      </c>
      <c r="N1232" s="121">
        <f>IF($C1232="","",IF($C1232="TANIMSIZ MÜŞTERİ","—",INDEX(MUSTERILER!$C$7:$C$106,MATCH($C1232,MUSTERILER!$B$7:$B$106,0))))</f>
        <v/>
      </c>
      <c r="O1232" s="6" t="n"/>
      <c r="P1232" s="6" t="n"/>
      <c r="Q1232" s="3">
        <f>IF($D1232="","",$C1232&amp;"|"&amp;COUNTIFS($C$7:$C1232,$C1232))</f>
        <v/>
      </c>
      <c r="R1232" s="3">
        <f>IF($D1232="","",UPPER(SUBSTITUTE(SUBSTITUTE(SUBSTITUTE(SUBSTITUTE(SUBSTITUTE(SUBSTITUTE(SUBSTITUTE(SUBSTITUTE(SUBSTITUTE(SUBSTITUTE(SUBSTITUTE(SUBSTITUTE(SUBSTITUTE(SUBSTITUTE(SUBSTITUTE(SUBSTITUTE(SUBSTITUTE(SUBSTITUTE(TRIM($D1232),"'",""),"İ","I"),"ı","I"),"i","I"),"Ş","S"),"ş","S"),"Ğ","G"),"ğ","G"),"Ü","U"),"ü","U"),"Ö","O"),"ö","O"),"Ç","C"),"ç","C"),".",""),",","")," ",""),"-","")))</f>
        <v/>
      </c>
      <c r="S1232" s="3">
        <f>IF($D1232="","",$C1232&amp;"|"&amp;TEXT($E1232,"0")&amp;"|"&amp;TEXT($F1232,"0")&amp;"|"&amp;$I1232)</f>
        <v/>
      </c>
      <c r="T1232" s="3">
        <f>IF($E1232="",0,SUMPRODUCT((AY_SONU!$O$7:$O$42="Evet")*(AY_SONU!$B$7:$B$42=DATE(YEAR($E1232),MONTH($E1232),1))))</f>
        <v/>
      </c>
    </row>
    <row r="1233">
      <c r="A1233" s="6" t="n"/>
      <c r="B1233" s="113">
        <f>IF($D1233="","","T"&amp;TEXT(ROW()-6,"00000"))</f>
        <v/>
      </c>
      <c r="C1233" s="113">
        <f>IF($D1233="","",IFERROR(INDEX(MUSTERILER!$B$7:$B$106,MATCH($R1233,MUSTERILER!$T$7:$T$106,0)),IFERROR(INDEX(MUSTERILER!$B$7:$B$106,MATCH($D1233,MUSTERILER!$B$7:$B$106,0)),IFERROR(INDEX(MUSTERILER!$B$7:$B$106,MATCH($R1233&amp;"*",MUSTERILER!$T$7:$T$106,0)),"TANIMSIZ MÜŞTERİ"))))</f>
        <v/>
      </c>
      <c r="D1233" s="109" t="n"/>
      <c r="E1233" s="220" t="n"/>
      <c r="F1233" s="221" t="n"/>
      <c r="G1233" s="108" t="n"/>
      <c r="H1233" s="108" t="n"/>
      <c r="I1233" s="109" t="n"/>
      <c r="J1233" s="109" t="n"/>
      <c r="K1233" s="109" t="n"/>
      <c r="L1233" s="226">
        <f>IF($E1233="","",DATE(YEAR($E1233),MONTH($E1233),1))</f>
        <v/>
      </c>
      <c r="M1233" s="113">
        <f>IF($D1233="","",IF($C1233="TANIMSIZ MÜŞTERİ","HATA",IF(OR($E1233="",$F1233&lt;=0,$G1233=""),"EKSİK",IF($E1233&gt;TODAY(),"İLERİ TARİH",IF(COUNTIF($S$7:$S$1506,$S1233)&gt;1,"MÜKERRER?",IF($T1233&gt;0,"KAPALI DÖNEM","UYGUN"))))))</f>
        <v/>
      </c>
      <c r="N1233" s="121">
        <f>IF($C1233="","",IF($C1233="TANIMSIZ MÜŞTERİ","—",INDEX(MUSTERILER!$C$7:$C$106,MATCH($C1233,MUSTERILER!$B$7:$B$106,0))))</f>
        <v/>
      </c>
      <c r="O1233" s="6" t="n"/>
      <c r="P1233" s="6" t="n"/>
      <c r="Q1233" s="3">
        <f>IF($D1233="","",$C1233&amp;"|"&amp;COUNTIFS($C$7:$C1233,$C1233))</f>
        <v/>
      </c>
      <c r="R1233" s="3">
        <f>IF($D1233="","",UPPER(SUBSTITUTE(SUBSTITUTE(SUBSTITUTE(SUBSTITUTE(SUBSTITUTE(SUBSTITUTE(SUBSTITUTE(SUBSTITUTE(SUBSTITUTE(SUBSTITUTE(SUBSTITUTE(SUBSTITUTE(SUBSTITUTE(SUBSTITUTE(SUBSTITUTE(SUBSTITUTE(SUBSTITUTE(SUBSTITUTE(TRIM($D1233),"'",""),"İ","I"),"ı","I"),"i","I"),"Ş","S"),"ş","S"),"Ğ","G"),"ğ","G"),"Ü","U"),"ü","U"),"Ö","O"),"ö","O"),"Ç","C"),"ç","C"),".",""),",","")," ",""),"-","")))</f>
        <v/>
      </c>
      <c r="S1233" s="3">
        <f>IF($D1233="","",$C1233&amp;"|"&amp;TEXT($E1233,"0")&amp;"|"&amp;TEXT($F1233,"0")&amp;"|"&amp;$I1233)</f>
        <v/>
      </c>
      <c r="T1233" s="3">
        <f>IF($E1233="",0,SUMPRODUCT((AY_SONU!$O$7:$O$42="Evet")*(AY_SONU!$B$7:$B$42=DATE(YEAR($E1233),MONTH($E1233),1))))</f>
        <v/>
      </c>
    </row>
    <row r="1234">
      <c r="A1234" s="6" t="n"/>
      <c r="B1234" s="113">
        <f>IF($D1234="","","T"&amp;TEXT(ROW()-6,"00000"))</f>
        <v/>
      </c>
      <c r="C1234" s="113">
        <f>IF($D1234="","",IFERROR(INDEX(MUSTERILER!$B$7:$B$106,MATCH($R1234,MUSTERILER!$T$7:$T$106,0)),IFERROR(INDEX(MUSTERILER!$B$7:$B$106,MATCH($D1234,MUSTERILER!$B$7:$B$106,0)),IFERROR(INDEX(MUSTERILER!$B$7:$B$106,MATCH($R1234&amp;"*",MUSTERILER!$T$7:$T$106,0)),"TANIMSIZ MÜŞTERİ"))))</f>
        <v/>
      </c>
      <c r="D1234" s="109" t="n"/>
      <c r="E1234" s="220" t="n"/>
      <c r="F1234" s="221" t="n"/>
      <c r="G1234" s="108" t="n"/>
      <c r="H1234" s="108" t="n"/>
      <c r="I1234" s="109" t="n"/>
      <c r="J1234" s="109" t="n"/>
      <c r="K1234" s="109" t="n"/>
      <c r="L1234" s="226">
        <f>IF($E1234="","",DATE(YEAR($E1234),MONTH($E1234),1))</f>
        <v/>
      </c>
      <c r="M1234" s="113">
        <f>IF($D1234="","",IF($C1234="TANIMSIZ MÜŞTERİ","HATA",IF(OR($E1234="",$F1234&lt;=0,$G1234=""),"EKSİK",IF($E1234&gt;TODAY(),"İLERİ TARİH",IF(COUNTIF($S$7:$S$1506,$S1234)&gt;1,"MÜKERRER?",IF($T1234&gt;0,"KAPALI DÖNEM","UYGUN"))))))</f>
        <v/>
      </c>
      <c r="N1234" s="121">
        <f>IF($C1234="","",IF($C1234="TANIMSIZ MÜŞTERİ","—",INDEX(MUSTERILER!$C$7:$C$106,MATCH($C1234,MUSTERILER!$B$7:$B$106,0))))</f>
        <v/>
      </c>
      <c r="O1234" s="6" t="n"/>
      <c r="P1234" s="6" t="n"/>
      <c r="Q1234" s="3">
        <f>IF($D1234="","",$C1234&amp;"|"&amp;COUNTIFS($C$7:$C1234,$C1234))</f>
        <v/>
      </c>
      <c r="R1234" s="3">
        <f>IF($D1234="","",UPPER(SUBSTITUTE(SUBSTITUTE(SUBSTITUTE(SUBSTITUTE(SUBSTITUTE(SUBSTITUTE(SUBSTITUTE(SUBSTITUTE(SUBSTITUTE(SUBSTITUTE(SUBSTITUTE(SUBSTITUTE(SUBSTITUTE(SUBSTITUTE(SUBSTITUTE(SUBSTITUTE(SUBSTITUTE(SUBSTITUTE(TRIM($D1234),"'",""),"İ","I"),"ı","I"),"i","I"),"Ş","S"),"ş","S"),"Ğ","G"),"ğ","G"),"Ü","U"),"ü","U"),"Ö","O"),"ö","O"),"Ç","C"),"ç","C"),".",""),",","")," ",""),"-","")))</f>
        <v/>
      </c>
      <c r="S1234" s="3">
        <f>IF($D1234="","",$C1234&amp;"|"&amp;TEXT($E1234,"0")&amp;"|"&amp;TEXT($F1234,"0")&amp;"|"&amp;$I1234)</f>
        <v/>
      </c>
      <c r="T1234" s="3">
        <f>IF($E1234="",0,SUMPRODUCT((AY_SONU!$O$7:$O$42="Evet")*(AY_SONU!$B$7:$B$42=DATE(YEAR($E1234),MONTH($E1234),1))))</f>
        <v/>
      </c>
    </row>
    <row r="1235">
      <c r="A1235" s="6" t="n"/>
      <c r="B1235" s="113">
        <f>IF($D1235="","","T"&amp;TEXT(ROW()-6,"00000"))</f>
        <v/>
      </c>
      <c r="C1235" s="113">
        <f>IF($D1235="","",IFERROR(INDEX(MUSTERILER!$B$7:$B$106,MATCH($R1235,MUSTERILER!$T$7:$T$106,0)),IFERROR(INDEX(MUSTERILER!$B$7:$B$106,MATCH($D1235,MUSTERILER!$B$7:$B$106,0)),IFERROR(INDEX(MUSTERILER!$B$7:$B$106,MATCH($R1235&amp;"*",MUSTERILER!$T$7:$T$106,0)),"TANIMSIZ MÜŞTERİ"))))</f>
        <v/>
      </c>
      <c r="D1235" s="109" t="n"/>
      <c r="E1235" s="220" t="n"/>
      <c r="F1235" s="221" t="n"/>
      <c r="G1235" s="108" t="n"/>
      <c r="H1235" s="108" t="n"/>
      <c r="I1235" s="109" t="n"/>
      <c r="J1235" s="109" t="n"/>
      <c r="K1235" s="109" t="n"/>
      <c r="L1235" s="226">
        <f>IF($E1235="","",DATE(YEAR($E1235),MONTH($E1235),1))</f>
        <v/>
      </c>
      <c r="M1235" s="113">
        <f>IF($D1235="","",IF($C1235="TANIMSIZ MÜŞTERİ","HATA",IF(OR($E1235="",$F1235&lt;=0,$G1235=""),"EKSİK",IF($E1235&gt;TODAY(),"İLERİ TARİH",IF(COUNTIF($S$7:$S$1506,$S1235)&gt;1,"MÜKERRER?",IF($T1235&gt;0,"KAPALI DÖNEM","UYGUN"))))))</f>
        <v/>
      </c>
      <c r="N1235" s="121">
        <f>IF($C1235="","",IF($C1235="TANIMSIZ MÜŞTERİ","—",INDEX(MUSTERILER!$C$7:$C$106,MATCH($C1235,MUSTERILER!$B$7:$B$106,0))))</f>
        <v/>
      </c>
      <c r="O1235" s="6" t="n"/>
      <c r="P1235" s="6" t="n"/>
      <c r="Q1235" s="3">
        <f>IF($D1235="","",$C1235&amp;"|"&amp;COUNTIFS($C$7:$C1235,$C1235))</f>
        <v/>
      </c>
      <c r="R1235" s="3">
        <f>IF($D1235="","",UPPER(SUBSTITUTE(SUBSTITUTE(SUBSTITUTE(SUBSTITUTE(SUBSTITUTE(SUBSTITUTE(SUBSTITUTE(SUBSTITUTE(SUBSTITUTE(SUBSTITUTE(SUBSTITUTE(SUBSTITUTE(SUBSTITUTE(SUBSTITUTE(SUBSTITUTE(SUBSTITUTE(SUBSTITUTE(SUBSTITUTE(TRIM($D1235),"'",""),"İ","I"),"ı","I"),"i","I"),"Ş","S"),"ş","S"),"Ğ","G"),"ğ","G"),"Ü","U"),"ü","U"),"Ö","O"),"ö","O"),"Ç","C"),"ç","C"),".",""),",","")," ",""),"-","")))</f>
        <v/>
      </c>
      <c r="S1235" s="3">
        <f>IF($D1235="","",$C1235&amp;"|"&amp;TEXT($E1235,"0")&amp;"|"&amp;TEXT($F1235,"0")&amp;"|"&amp;$I1235)</f>
        <v/>
      </c>
      <c r="T1235" s="3">
        <f>IF($E1235="",0,SUMPRODUCT((AY_SONU!$O$7:$O$42="Evet")*(AY_SONU!$B$7:$B$42=DATE(YEAR($E1235),MONTH($E1235),1))))</f>
        <v/>
      </c>
    </row>
    <row r="1236">
      <c r="A1236" s="6" t="n"/>
      <c r="B1236" s="113">
        <f>IF($D1236="","","T"&amp;TEXT(ROW()-6,"00000"))</f>
        <v/>
      </c>
      <c r="C1236" s="113">
        <f>IF($D1236="","",IFERROR(INDEX(MUSTERILER!$B$7:$B$106,MATCH($R1236,MUSTERILER!$T$7:$T$106,0)),IFERROR(INDEX(MUSTERILER!$B$7:$B$106,MATCH($D1236,MUSTERILER!$B$7:$B$106,0)),IFERROR(INDEX(MUSTERILER!$B$7:$B$106,MATCH($R1236&amp;"*",MUSTERILER!$T$7:$T$106,0)),"TANIMSIZ MÜŞTERİ"))))</f>
        <v/>
      </c>
      <c r="D1236" s="109" t="n"/>
      <c r="E1236" s="220" t="n"/>
      <c r="F1236" s="221" t="n"/>
      <c r="G1236" s="108" t="n"/>
      <c r="H1236" s="108" t="n"/>
      <c r="I1236" s="109" t="n"/>
      <c r="J1236" s="109" t="n"/>
      <c r="K1236" s="109" t="n"/>
      <c r="L1236" s="226">
        <f>IF($E1236="","",DATE(YEAR($E1236),MONTH($E1236),1))</f>
        <v/>
      </c>
      <c r="M1236" s="113">
        <f>IF($D1236="","",IF($C1236="TANIMSIZ MÜŞTERİ","HATA",IF(OR($E1236="",$F1236&lt;=0,$G1236=""),"EKSİK",IF($E1236&gt;TODAY(),"İLERİ TARİH",IF(COUNTIF($S$7:$S$1506,$S1236)&gt;1,"MÜKERRER?",IF($T1236&gt;0,"KAPALI DÖNEM","UYGUN"))))))</f>
        <v/>
      </c>
      <c r="N1236" s="121">
        <f>IF($C1236="","",IF($C1236="TANIMSIZ MÜŞTERİ","—",INDEX(MUSTERILER!$C$7:$C$106,MATCH($C1236,MUSTERILER!$B$7:$B$106,0))))</f>
        <v/>
      </c>
      <c r="O1236" s="6" t="n"/>
      <c r="P1236" s="6" t="n"/>
      <c r="Q1236" s="3">
        <f>IF($D1236="","",$C1236&amp;"|"&amp;COUNTIFS($C$7:$C1236,$C1236))</f>
        <v/>
      </c>
      <c r="R1236" s="3">
        <f>IF($D1236="","",UPPER(SUBSTITUTE(SUBSTITUTE(SUBSTITUTE(SUBSTITUTE(SUBSTITUTE(SUBSTITUTE(SUBSTITUTE(SUBSTITUTE(SUBSTITUTE(SUBSTITUTE(SUBSTITUTE(SUBSTITUTE(SUBSTITUTE(SUBSTITUTE(SUBSTITUTE(SUBSTITUTE(SUBSTITUTE(SUBSTITUTE(TRIM($D1236),"'",""),"İ","I"),"ı","I"),"i","I"),"Ş","S"),"ş","S"),"Ğ","G"),"ğ","G"),"Ü","U"),"ü","U"),"Ö","O"),"ö","O"),"Ç","C"),"ç","C"),".",""),",","")," ",""),"-","")))</f>
        <v/>
      </c>
      <c r="S1236" s="3">
        <f>IF($D1236="","",$C1236&amp;"|"&amp;TEXT($E1236,"0")&amp;"|"&amp;TEXT($F1236,"0")&amp;"|"&amp;$I1236)</f>
        <v/>
      </c>
      <c r="T1236" s="3">
        <f>IF($E1236="",0,SUMPRODUCT((AY_SONU!$O$7:$O$42="Evet")*(AY_SONU!$B$7:$B$42=DATE(YEAR($E1236),MONTH($E1236),1))))</f>
        <v/>
      </c>
    </row>
    <row r="1237">
      <c r="A1237" s="6" t="n"/>
      <c r="B1237" s="113">
        <f>IF($D1237="","","T"&amp;TEXT(ROW()-6,"00000"))</f>
        <v/>
      </c>
      <c r="C1237" s="113">
        <f>IF($D1237="","",IFERROR(INDEX(MUSTERILER!$B$7:$B$106,MATCH($R1237,MUSTERILER!$T$7:$T$106,0)),IFERROR(INDEX(MUSTERILER!$B$7:$B$106,MATCH($D1237,MUSTERILER!$B$7:$B$106,0)),IFERROR(INDEX(MUSTERILER!$B$7:$B$106,MATCH($R1237&amp;"*",MUSTERILER!$T$7:$T$106,0)),"TANIMSIZ MÜŞTERİ"))))</f>
        <v/>
      </c>
      <c r="D1237" s="109" t="n"/>
      <c r="E1237" s="220" t="n"/>
      <c r="F1237" s="221" t="n"/>
      <c r="G1237" s="108" t="n"/>
      <c r="H1237" s="108" t="n"/>
      <c r="I1237" s="109" t="n"/>
      <c r="J1237" s="109" t="n"/>
      <c r="K1237" s="109" t="n"/>
      <c r="L1237" s="226">
        <f>IF($E1237="","",DATE(YEAR($E1237),MONTH($E1237),1))</f>
        <v/>
      </c>
      <c r="M1237" s="113">
        <f>IF($D1237="","",IF($C1237="TANIMSIZ MÜŞTERİ","HATA",IF(OR($E1237="",$F1237&lt;=0,$G1237=""),"EKSİK",IF($E1237&gt;TODAY(),"İLERİ TARİH",IF(COUNTIF($S$7:$S$1506,$S1237)&gt;1,"MÜKERRER?",IF($T1237&gt;0,"KAPALI DÖNEM","UYGUN"))))))</f>
        <v/>
      </c>
      <c r="N1237" s="121">
        <f>IF($C1237="","",IF($C1237="TANIMSIZ MÜŞTERİ","—",INDEX(MUSTERILER!$C$7:$C$106,MATCH($C1237,MUSTERILER!$B$7:$B$106,0))))</f>
        <v/>
      </c>
      <c r="O1237" s="6" t="n"/>
      <c r="P1237" s="6" t="n"/>
      <c r="Q1237" s="3">
        <f>IF($D1237="","",$C1237&amp;"|"&amp;COUNTIFS($C$7:$C1237,$C1237))</f>
        <v/>
      </c>
      <c r="R1237" s="3">
        <f>IF($D1237="","",UPPER(SUBSTITUTE(SUBSTITUTE(SUBSTITUTE(SUBSTITUTE(SUBSTITUTE(SUBSTITUTE(SUBSTITUTE(SUBSTITUTE(SUBSTITUTE(SUBSTITUTE(SUBSTITUTE(SUBSTITUTE(SUBSTITUTE(SUBSTITUTE(SUBSTITUTE(SUBSTITUTE(SUBSTITUTE(SUBSTITUTE(TRIM($D1237),"'",""),"İ","I"),"ı","I"),"i","I"),"Ş","S"),"ş","S"),"Ğ","G"),"ğ","G"),"Ü","U"),"ü","U"),"Ö","O"),"ö","O"),"Ç","C"),"ç","C"),".",""),",","")," ",""),"-","")))</f>
        <v/>
      </c>
      <c r="S1237" s="3">
        <f>IF($D1237="","",$C1237&amp;"|"&amp;TEXT($E1237,"0")&amp;"|"&amp;TEXT($F1237,"0")&amp;"|"&amp;$I1237)</f>
        <v/>
      </c>
      <c r="T1237" s="3">
        <f>IF($E1237="",0,SUMPRODUCT((AY_SONU!$O$7:$O$42="Evet")*(AY_SONU!$B$7:$B$42=DATE(YEAR($E1237),MONTH($E1237),1))))</f>
        <v/>
      </c>
    </row>
    <row r="1238">
      <c r="A1238" s="6" t="n"/>
      <c r="B1238" s="113">
        <f>IF($D1238="","","T"&amp;TEXT(ROW()-6,"00000"))</f>
        <v/>
      </c>
      <c r="C1238" s="113">
        <f>IF($D1238="","",IFERROR(INDEX(MUSTERILER!$B$7:$B$106,MATCH($R1238,MUSTERILER!$T$7:$T$106,0)),IFERROR(INDEX(MUSTERILER!$B$7:$B$106,MATCH($D1238,MUSTERILER!$B$7:$B$106,0)),IFERROR(INDEX(MUSTERILER!$B$7:$B$106,MATCH($R1238&amp;"*",MUSTERILER!$T$7:$T$106,0)),"TANIMSIZ MÜŞTERİ"))))</f>
        <v/>
      </c>
      <c r="D1238" s="109" t="n"/>
      <c r="E1238" s="220" t="n"/>
      <c r="F1238" s="221" t="n"/>
      <c r="G1238" s="108" t="n"/>
      <c r="H1238" s="108" t="n"/>
      <c r="I1238" s="109" t="n"/>
      <c r="J1238" s="109" t="n"/>
      <c r="K1238" s="109" t="n"/>
      <c r="L1238" s="226">
        <f>IF($E1238="","",DATE(YEAR($E1238),MONTH($E1238),1))</f>
        <v/>
      </c>
      <c r="M1238" s="113">
        <f>IF($D1238="","",IF($C1238="TANIMSIZ MÜŞTERİ","HATA",IF(OR($E1238="",$F1238&lt;=0,$G1238=""),"EKSİK",IF($E1238&gt;TODAY(),"İLERİ TARİH",IF(COUNTIF($S$7:$S$1506,$S1238)&gt;1,"MÜKERRER?",IF($T1238&gt;0,"KAPALI DÖNEM","UYGUN"))))))</f>
        <v/>
      </c>
      <c r="N1238" s="121">
        <f>IF($C1238="","",IF($C1238="TANIMSIZ MÜŞTERİ","—",INDEX(MUSTERILER!$C$7:$C$106,MATCH($C1238,MUSTERILER!$B$7:$B$106,0))))</f>
        <v/>
      </c>
      <c r="O1238" s="6" t="n"/>
      <c r="P1238" s="6" t="n"/>
      <c r="Q1238" s="3">
        <f>IF($D1238="","",$C1238&amp;"|"&amp;COUNTIFS($C$7:$C1238,$C1238))</f>
        <v/>
      </c>
      <c r="R1238" s="3">
        <f>IF($D1238="","",UPPER(SUBSTITUTE(SUBSTITUTE(SUBSTITUTE(SUBSTITUTE(SUBSTITUTE(SUBSTITUTE(SUBSTITUTE(SUBSTITUTE(SUBSTITUTE(SUBSTITUTE(SUBSTITUTE(SUBSTITUTE(SUBSTITUTE(SUBSTITUTE(SUBSTITUTE(SUBSTITUTE(SUBSTITUTE(SUBSTITUTE(TRIM($D1238),"'",""),"İ","I"),"ı","I"),"i","I"),"Ş","S"),"ş","S"),"Ğ","G"),"ğ","G"),"Ü","U"),"ü","U"),"Ö","O"),"ö","O"),"Ç","C"),"ç","C"),".",""),",","")," ",""),"-","")))</f>
        <v/>
      </c>
      <c r="S1238" s="3">
        <f>IF($D1238="","",$C1238&amp;"|"&amp;TEXT($E1238,"0")&amp;"|"&amp;TEXT($F1238,"0")&amp;"|"&amp;$I1238)</f>
        <v/>
      </c>
      <c r="T1238" s="3">
        <f>IF($E1238="",0,SUMPRODUCT((AY_SONU!$O$7:$O$42="Evet")*(AY_SONU!$B$7:$B$42=DATE(YEAR($E1238),MONTH($E1238),1))))</f>
        <v/>
      </c>
    </row>
    <row r="1239">
      <c r="A1239" s="6" t="n"/>
      <c r="B1239" s="113">
        <f>IF($D1239="","","T"&amp;TEXT(ROW()-6,"00000"))</f>
        <v/>
      </c>
      <c r="C1239" s="113">
        <f>IF($D1239="","",IFERROR(INDEX(MUSTERILER!$B$7:$B$106,MATCH($R1239,MUSTERILER!$T$7:$T$106,0)),IFERROR(INDEX(MUSTERILER!$B$7:$B$106,MATCH($D1239,MUSTERILER!$B$7:$B$106,0)),IFERROR(INDEX(MUSTERILER!$B$7:$B$106,MATCH($R1239&amp;"*",MUSTERILER!$T$7:$T$106,0)),"TANIMSIZ MÜŞTERİ"))))</f>
        <v/>
      </c>
      <c r="D1239" s="109" t="n"/>
      <c r="E1239" s="220" t="n"/>
      <c r="F1239" s="221" t="n"/>
      <c r="G1239" s="108" t="n"/>
      <c r="H1239" s="108" t="n"/>
      <c r="I1239" s="109" t="n"/>
      <c r="J1239" s="109" t="n"/>
      <c r="K1239" s="109" t="n"/>
      <c r="L1239" s="226">
        <f>IF($E1239="","",DATE(YEAR($E1239),MONTH($E1239),1))</f>
        <v/>
      </c>
      <c r="M1239" s="113">
        <f>IF($D1239="","",IF($C1239="TANIMSIZ MÜŞTERİ","HATA",IF(OR($E1239="",$F1239&lt;=0,$G1239=""),"EKSİK",IF($E1239&gt;TODAY(),"İLERİ TARİH",IF(COUNTIF($S$7:$S$1506,$S1239)&gt;1,"MÜKERRER?",IF($T1239&gt;0,"KAPALI DÖNEM","UYGUN"))))))</f>
        <v/>
      </c>
      <c r="N1239" s="121">
        <f>IF($C1239="","",IF($C1239="TANIMSIZ MÜŞTERİ","—",INDEX(MUSTERILER!$C$7:$C$106,MATCH($C1239,MUSTERILER!$B$7:$B$106,0))))</f>
        <v/>
      </c>
      <c r="O1239" s="6" t="n"/>
      <c r="P1239" s="6" t="n"/>
      <c r="Q1239" s="3">
        <f>IF($D1239="","",$C1239&amp;"|"&amp;COUNTIFS($C$7:$C1239,$C1239))</f>
        <v/>
      </c>
      <c r="R1239" s="3">
        <f>IF($D1239="","",UPPER(SUBSTITUTE(SUBSTITUTE(SUBSTITUTE(SUBSTITUTE(SUBSTITUTE(SUBSTITUTE(SUBSTITUTE(SUBSTITUTE(SUBSTITUTE(SUBSTITUTE(SUBSTITUTE(SUBSTITUTE(SUBSTITUTE(SUBSTITUTE(SUBSTITUTE(SUBSTITUTE(SUBSTITUTE(SUBSTITUTE(TRIM($D1239),"'",""),"İ","I"),"ı","I"),"i","I"),"Ş","S"),"ş","S"),"Ğ","G"),"ğ","G"),"Ü","U"),"ü","U"),"Ö","O"),"ö","O"),"Ç","C"),"ç","C"),".",""),",","")," ",""),"-","")))</f>
        <v/>
      </c>
      <c r="S1239" s="3">
        <f>IF($D1239="","",$C1239&amp;"|"&amp;TEXT($E1239,"0")&amp;"|"&amp;TEXT($F1239,"0")&amp;"|"&amp;$I1239)</f>
        <v/>
      </c>
      <c r="T1239" s="3">
        <f>IF($E1239="",0,SUMPRODUCT((AY_SONU!$O$7:$O$42="Evet")*(AY_SONU!$B$7:$B$42=DATE(YEAR($E1239),MONTH($E1239),1))))</f>
        <v/>
      </c>
    </row>
    <row r="1240">
      <c r="A1240" s="6" t="n"/>
      <c r="B1240" s="113">
        <f>IF($D1240="","","T"&amp;TEXT(ROW()-6,"00000"))</f>
        <v/>
      </c>
      <c r="C1240" s="113">
        <f>IF($D1240="","",IFERROR(INDEX(MUSTERILER!$B$7:$B$106,MATCH($R1240,MUSTERILER!$T$7:$T$106,0)),IFERROR(INDEX(MUSTERILER!$B$7:$B$106,MATCH($D1240,MUSTERILER!$B$7:$B$106,0)),IFERROR(INDEX(MUSTERILER!$B$7:$B$106,MATCH($R1240&amp;"*",MUSTERILER!$T$7:$T$106,0)),"TANIMSIZ MÜŞTERİ"))))</f>
        <v/>
      </c>
      <c r="D1240" s="109" t="n"/>
      <c r="E1240" s="220" t="n"/>
      <c r="F1240" s="221" t="n"/>
      <c r="G1240" s="108" t="n"/>
      <c r="H1240" s="108" t="n"/>
      <c r="I1240" s="109" t="n"/>
      <c r="J1240" s="109" t="n"/>
      <c r="K1240" s="109" t="n"/>
      <c r="L1240" s="226">
        <f>IF($E1240="","",DATE(YEAR($E1240),MONTH($E1240),1))</f>
        <v/>
      </c>
      <c r="M1240" s="113">
        <f>IF($D1240="","",IF($C1240="TANIMSIZ MÜŞTERİ","HATA",IF(OR($E1240="",$F1240&lt;=0,$G1240=""),"EKSİK",IF($E1240&gt;TODAY(),"İLERİ TARİH",IF(COUNTIF($S$7:$S$1506,$S1240)&gt;1,"MÜKERRER?",IF($T1240&gt;0,"KAPALI DÖNEM","UYGUN"))))))</f>
        <v/>
      </c>
      <c r="N1240" s="121">
        <f>IF($C1240="","",IF($C1240="TANIMSIZ MÜŞTERİ","—",INDEX(MUSTERILER!$C$7:$C$106,MATCH($C1240,MUSTERILER!$B$7:$B$106,0))))</f>
        <v/>
      </c>
      <c r="O1240" s="6" t="n"/>
      <c r="P1240" s="6" t="n"/>
      <c r="Q1240" s="3">
        <f>IF($D1240="","",$C1240&amp;"|"&amp;COUNTIFS($C$7:$C1240,$C1240))</f>
        <v/>
      </c>
      <c r="R1240" s="3">
        <f>IF($D1240="","",UPPER(SUBSTITUTE(SUBSTITUTE(SUBSTITUTE(SUBSTITUTE(SUBSTITUTE(SUBSTITUTE(SUBSTITUTE(SUBSTITUTE(SUBSTITUTE(SUBSTITUTE(SUBSTITUTE(SUBSTITUTE(SUBSTITUTE(SUBSTITUTE(SUBSTITUTE(SUBSTITUTE(SUBSTITUTE(SUBSTITUTE(TRIM($D1240),"'",""),"İ","I"),"ı","I"),"i","I"),"Ş","S"),"ş","S"),"Ğ","G"),"ğ","G"),"Ü","U"),"ü","U"),"Ö","O"),"ö","O"),"Ç","C"),"ç","C"),".",""),",","")," ",""),"-","")))</f>
        <v/>
      </c>
      <c r="S1240" s="3">
        <f>IF($D1240="","",$C1240&amp;"|"&amp;TEXT($E1240,"0")&amp;"|"&amp;TEXT($F1240,"0")&amp;"|"&amp;$I1240)</f>
        <v/>
      </c>
      <c r="T1240" s="3">
        <f>IF($E1240="",0,SUMPRODUCT((AY_SONU!$O$7:$O$42="Evet")*(AY_SONU!$B$7:$B$42=DATE(YEAR($E1240),MONTH($E1240),1))))</f>
        <v/>
      </c>
    </row>
    <row r="1241">
      <c r="A1241" s="6" t="n"/>
      <c r="B1241" s="113">
        <f>IF($D1241="","","T"&amp;TEXT(ROW()-6,"00000"))</f>
        <v/>
      </c>
      <c r="C1241" s="113">
        <f>IF($D1241="","",IFERROR(INDEX(MUSTERILER!$B$7:$B$106,MATCH($R1241,MUSTERILER!$T$7:$T$106,0)),IFERROR(INDEX(MUSTERILER!$B$7:$B$106,MATCH($D1241,MUSTERILER!$B$7:$B$106,0)),IFERROR(INDEX(MUSTERILER!$B$7:$B$106,MATCH($R1241&amp;"*",MUSTERILER!$T$7:$T$106,0)),"TANIMSIZ MÜŞTERİ"))))</f>
        <v/>
      </c>
      <c r="D1241" s="109" t="n"/>
      <c r="E1241" s="220" t="n"/>
      <c r="F1241" s="221" t="n"/>
      <c r="G1241" s="108" t="n"/>
      <c r="H1241" s="108" t="n"/>
      <c r="I1241" s="109" t="n"/>
      <c r="J1241" s="109" t="n"/>
      <c r="K1241" s="109" t="n"/>
      <c r="L1241" s="226">
        <f>IF($E1241="","",DATE(YEAR($E1241),MONTH($E1241),1))</f>
        <v/>
      </c>
      <c r="M1241" s="113">
        <f>IF($D1241="","",IF($C1241="TANIMSIZ MÜŞTERİ","HATA",IF(OR($E1241="",$F1241&lt;=0,$G1241=""),"EKSİK",IF($E1241&gt;TODAY(),"İLERİ TARİH",IF(COUNTIF($S$7:$S$1506,$S1241)&gt;1,"MÜKERRER?",IF($T1241&gt;0,"KAPALI DÖNEM","UYGUN"))))))</f>
        <v/>
      </c>
      <c r="N1241" s="121">
        <f>IF($C1241="","",IF($C1241="TANIMSIZ MÜŞTERİ","—",INDEX(MUSTERILER!$C$7:$C$106,MATCH($C1241,MUSTERILER!$B$7:$B$106,0))))</f>
        <v/>
      </c>
      <c r="O1241" s="6" t="n"/>
      <c r="P1241" s="6" t="n"/>
      <c r="Q1241" s="3">
        <f>IF($D1241="","",$C1241&amp;"|"&amp;COUNTIFS($C$7:$C1241,$C1241))</f>
        <v/>
      </c>
      <c r="R1241" s="3">
        <f>IF($D1241="","",UPPER(SUBSTITUTE(SUBSTITUTE(SUBSTITUTE(SUBSTITUTE(SUBSTITUTE(SUBSTITUTE(SUBSTITUTE(SUBSTITUTE(SUBSTITUTE(SUBSTITUTE(SUBSTITUTE(SUBSTITUTE(SUBSTITUTE(SUBSTITUTE(SUBSTITUTE(SUBSTITUTE(SUBSTITUTE(SUBSTITUTE(TRIM($D1241),"'",""),"İ","I"),"ı","I"),"i","I"),"Ş","S"),"ş","S"),"Ğ","G"),"ğ","G"),"Ü","U"),"ü","U"),"Ö","O"),"ö","O"),"Ç","C"),"ç","C"),".",""),",","")," ",""),"-","")))</f>
        <v/>
      </c>
      <c r="S1241" s="3">
        <f>IF($D1241="","",$C1241&amp;"|"&amp;TEXT($E1241,"0")&amp;"|"&amp;TEXT($F1241,"0")&amp;"|"&amp;$I1241)</f>
        <v/>
      </c>
      <c r="T1241" s="3">
        <f>IF($E1241="",0,SUMPRODUCT((AY_SONU!$O$7:$O$42="Evet")*(AY_SONU!$B$7:$B$42=DATE(YEAR($E1241),MONTH($E1241),1))))</f>
        <v/>
      </c>
    </row>
    <row r="1242">
      <c r="A1242" s="6" t="n"/>
      <c r="B1242" s="113">
        <f>IF($D1242="","","T"&amp;TEXT(ROW()-6,"00000"))</f>
        <v/>
      </c>
      <c r="C1242" s="113">
        <f>IF($D1242="","",IFERROR(INDEX(MUSTERILER!$B$7:$B$106,MATCH($R1242,MUSTERILER!$T$7:$T$106,0)),IFERROR(INDEX(MUSTERILER!$B$7:$B$106,MATCH($D1242,MUSTERILER!$B$7:$B$106,0)),IFERROR(INDEX(MUSTERILER!$B$7:$B$106,MATCH($R1242&amp;"*",MUSTERILER!$T$7:$T$106,0)),"TANIMSIZ MÜŞTERİ"))))</f>
        <v/>
      </c>
      <c r="D1242" s="109" t="n"/>
      <c r="E1242" s="220" t="n"/>
      <c r="F1242" s="221" t="n"/>
      <c r="G1242" s="108" t="n"/>
      <c r="H1242" s="108" t="n"/>
      <c r="I1242" s="109" t="n"/>
      <c r="J1242" s="109" t="n"/>
      <c r="K1242" s="109" t="n"/>
      <c r="L1242" s="226">
        <f>IF($E1242="","",DATE(YEAR($E1242),MONTH($E1242),1))</f>
        <v/>
      </c>
      <c r="M1242" s="113">
        <f>IF($D1242="","",IF($C1242="TANIMSIZ MÜŞTERİ","HATA",IF(OR($E1242="",$F1242&lt;=0,$G1242=""),"EKSİK",IF($E1242&gt;TODAY(),"İLERİ TARİH",IF(COUNTIF($S$7:$S$1506,$S1242)&gt;1,"MÜKERRER?",IF($T1242&gt;0,"KAPALI DÖNEM","UYGUN"))))))</f>
        <v/>
      </c>
      <c r="N1242" s="121">
        <f>IF($C1242="","",IF($C1242="TANIMSIZ MÜŞTERİ","—",INDEX(MUSTERILER!$C$7:$C$106,MATCH($C1242,MUSTERILER!$B$7:$B$106,0))))</f>
        <v/>
      </c>
      <c r="O1242" s="6" t="n"/>
      <c r="P1242" s="6" t="n"/>
      <c r="Q1242" s="3">
        <f>IF($D1242="","",$C1242&amp;"|"&amp;COUNTIFS($C$7:$C1242,$C1242))</f>
        <v/>
      </c>
      <c r="R1242" s="3">
        <f>IF($D1242="","",UPPER(SUBSTITUTE(SUBSTITUTE(SUBSTITUTE(SUBSTITUTE(SUBSTITUTE(SUBSTITUTE(SUBSTITUTE(SUBSTITUTE(SUBSTITUTE(SUBSTITUTE(SUBSTITUTE(SUBSTITUTE(SUBSTITUTE(SUBSTITUTE(SUBSTITUTE(SUBSTITUTE(SUBSTITUTE(SUBSTITUTE(TRIM($D1242),"'",""),"İ","I"),"ı","I"),"i","I"),"Ş","S"),"ş","S"),"Ğ","G"),"ğ","G"),"Ü","U"),"ü","U"),"Ö","O"),"ö","O"),"Ç","C"),"ç","C"),".",""),",","")," ",""),"-","")))</f>
        <v/>
      </c>
      <c r="S1242" s="3">
        <f>IF($D1242="","",$C1242&amp;"|"&amp;TEXT($E1242,"0")&amp;"|"&amp;TEXT($F1242,"0")&amp;"|"&amp;$I1242)</f>
        <v/>
      </c>
      <c r="T1242" s="3">
        <f>IF($E1242="",0,SUMPRODUCT((AY_SONU!$O$7:$O$42="Evet")*(AY_SONU!$B$7:$B$42=DATE(YEAR($E1242),MONTH($E1242),1))))</f>
        <v/>
      </c>
    </row>
    <row r="1243">
      <c r="A1243" s="6" t="n"/>
      <c r="B1243" s="113">
        <f>IF($D1243="","","T"&amp;TEXT(ROW()-6,"00000"))</f>
        <v/>
      </c>
      <c r="C1243" s="113">
        <f>IF($D1243="","",IFERROR(INDEX(MUSTERILER!$B$7:$B$106,MATCH($R1243,MUSTERILER!$T$7:$T$106,0)),IFERROR(INDEX(MUSTERILER!$B$7:$B$106,MATCH($D1243,MUSTERILER!$B$7:$B$106,0)),IFERROR(INDEX(MUSTERILER!$B$7:$B$106,MATCH($R1243&amp;"*",MUSTERILER!$T$7:$T$106,0)),"TANIMSIZ MÜŞTERİ"))))</f>
        <v/>
      </c>
      <c r="D1243" s="109" t="n"/>
      <c r="E1243" s="220" t="n"/>
      <c r="F1243" s="221" t="n"/>
      <c r="G1243" s="108" t="n"/>
      <c r="H1243" s="108" t="n"/>
      <c r="I1243" s="109" t="n"/>
      <c r="J1243" s="109" t="n"/>
      <c r="K1243" s="109" t="n"/>
      <c r="L1243" s="226">
        <f>IF($E1243="","",DATE(YEAR($E1243),MONTH($E1243),1))</f>
        <v/>
      </c>
      <c r="M1243" s="113">
        <f>IF($D1243="","",IF($C1243="TANIMSIZ MÜŞTERİ","HATA",IF(OR($E1243="",$F1243&lt;=0,$G1243=""),"EKSİK",IF($E1243&gt;TODAY(),"İLERİ TARİH",IF(COUNTIF($S$7:$S$1506,$S1243)&gt;1,"MÜKERRER?",IF($T1243&gt;0,"KAPALI DÖNEM","UYGUN"))))))</f>
        <v/>
      </c>
      <c r="N1243" s="121">
        <f>IF($C1243="","",IF($C1243="TANIMSIZ MÜŞTERİ","—",INDEX(MUSTERILER!$C$7:$C$106,MATCH($C1243,MUSTERILER!$B$7:$B$106,0))))</f>
        <v/>
      </c>
      <c r="O1243" s="6" t="n"/>
      <c r="P1243" s="6" t="n"/>
      <c r="Q1243" s="3">
        <f>IF($D1243="","",$C1243&amp;"|"&amp;COUNTIFS($C$7:$C1243,$C1243))</f>
        <v/>
      </c>
      <c r="R1243" s="3">
        <f>IF($D1243="","",UPPER(SUBSTITUTE(SUBSTITUTE(SUBSTITUTE(SUBSTITUTE(SUBSTITUTE(SUBSTITUTE(SUBSTITUTE(SUBSTITUTE(SUBSTITUTE(SUBSTITUTE(SUBSTITUTE(SUBSTITUTE(SUBSTITUTE(SUBSTITUTE(SUBSTITUTE(SUBSTITUTE(SUBSTITUTE(SUBSTITUTE(TRIM($D1243),"'",""),"İ","I"),"ı","I"),"i","I"),"Ş","S"),"ş","S"),"Ğ","G"),"ğ","G"),"Ü","U"),"ü","U"),"Ö","O"),"ö","O"),"Ç","C"),"ç","C"),".",""),",","")," ",""),"-","")))</f>
        <v/>
      </c>
      <c r="S1243" s="3">
        <f>IF($D1243="","",$C1243&amp;"|"&amp;TEXT($E1243,"0")&amp;"|"&amp;TEXT($F1243,"0")&amp;"|"&amp;$I1243)</f>
        <v/>
      </c>
      <c r="T1243" s="3">
        <f>IF($E1243="",0,SUMPRODUCT((AY_SONU!$O$7:$O$42="Evet")*(AY_SONU!$B$7:$B$42=DATE(YEAR($E1243),MONTH($E1243),1))))</f>
        <v/>
      </c>
    </row>
    <row r="1244">
      <c r="A1244" s="6" t="n"/>
      <c r="B1244" s="113">
        <f>IF($D1244="","","T"&amp;TEXT(ROW()-6,"00000"))</f>
        <v/>
      </c>
      <c r="C1244" s="113">
        <f>IF($D1244="","",IFERROR(INDEX(MUSTERILER!$B$7:$B$106,MATCH($R1244,MUSTERILER!$T$7:$T$106,0)),IFERROR(INDEX(MUSTERILER!$B$7:$B$106,MATCH($D1244,MUSTERILER!$B$7:$B$106,0)),IFERROR(INDEX(MUSTERILER!$B$7:$B$106,MATCH($R1244&amp;"*",MUSTERILER!$T$7:$T$106,0)),"TANIMSIZ MÜŞTERİ"))))</f>
        <v/>
      </c>
      <c r="D1244" s="109" t="n"/>
      <c r="E1244" s="220" t="n"/>
      <c r="F1244" s="221" t="n"/>
      <c r="G1244" s="108" t="n"/>
      <c r="H1244" s="108" t="n"/>
      <c r="I1244" s="109" t="n"/>
      <c r="J1244" s="109" t="n"/>
      <c r="K1244" s="109" t="n"/>
      <c r="L1244" s="226">
        <f>IF($E1244="","",DATE(YEAR($E1244),MONTH($E1244),1))</f>
        <v/>
      </c>
      <c r="M1244" s="113">
        <f>IF($D1244="","",IF($C1244="TANIMSIZ MÜŞTERİ","HATA",IF(OR($E1244="",$F1244&lt;=0,$G1244=""),"EKSİK",IF($E1244&gt;TODAY(),"İLERİ TARİH",IF(COUNTIF($S$7:$S$1506,$S1244)&gt;1,"MÜKERRER?",IF($T1244&gt;0,"KAPALI DÖNEM","UYGUN"))))))</f>
        <v/>
      </c>
      <c r="N1244" s="121">
        <f>IF($C1244="","",IF($C1244="TANIMSIZ MÜŞTERİ","—",INDEX(MUSTERILER!$C$7:$C$106,MATCH($C1244,MUSTERILER!$B$7:$B$106,0))))</f>
        <v/>
      </c>
      <c r="O1244" s="6" t="n"/>
      <c r="P1244" s="6" t="n"/>
      <c r="Q1244" s="3">
        <f>IF($D1244="","",$C1244&amp;"|"&amp;COUNTIFS($C$7:$C1244,$C1244))</f>
        <v/>
      </c>
      <c r="R1244" s="3">
        <f>IF($D1244="","",UPPER(SUBSTITUTE(SUBSTITUTE(SUBSTITUTE(SUBSTITUTE(SUBSTITUTE(SUBSTITUTE(SUBSTITUTE(SUBSTITUTE(SUBSTITUTE(SUBSTITUTE(SUBSTITUTE(SUBSTITUTE(SUBSTITUTE(SUBSTITUTE(SUBSTITUTE(SUBSTITUTE(SUBSTITUTE(SUBSTITUTE(TRIM($D1244),"'",""),"İ","I"),"ı","I"),"i","I"),"Ş","S"),"ş","S"),"Ğ","G"),"ğ","G"),"Ü","U"),"ü","U"),"Ö","O"),"ö","O"),"Ç","C"),"ç","C"),".",""),",","")," ",""),"-","")))</f>
        <v/>
      </c>
      <c r="S1244" s="3">
        <f>IF($D1244="","",$C1244&amp;"|"&amp;TEXT($E1244,"0")&amp;"|"&amp;TEXT($F1244,"0")&amp;"|"&amp;$I1244)</f>
        <v/>
      </c>
      <c r="T1244" s="3">
        <f>IF($E1244="",0,SUMPRODUCT((AY_SONU!$O$7:$O$42="Evet")*(AY_SONU!$B$7:$B$42=DATE(YEAR($E1244),MONTH($E1244),1))))</f>
        <v/>
      </c>
    </row>
    <row r="1245">
      <c r="A1245" s="6" t="n"/>
      <c r="B1245" s="113">
        <f>IF($D1245="","","T"&amp;TEXT(ROW()-6,"00000"))</f>
        <v/>
      </c>
      <c r="C1245" s="113">
        <f>IF($D1245="","",IFERROR(INDEX(MUSTERILER!$B$7:$B$106,MATCH($R1245,MUSTERILER!$T$7:$T$106,0)),IFERROR(INDEX(MUSTERILER!$B$7:$B$106,MATCH($D1245,MUSTERILER!$B$7:$B$106,0)),IFERROR(INDEX(MUSTERILER!$B$7:$B$106,MATCH($R1245&amp;"*",MUSTERILER!$T$7:$T$106,0)),"TANIMSIZ MÜŞTERİ"))))</f>
        <v/>
      </c>
      <c r="D1245" s="109" t="n"/>
      <c r="E1245" s="220" t="n"/>
      <c r="F1245" s="221" t="n"/>
      <c r="G1245" s="108" t="n"/>
      <c r="H1245" s="108" t="n"/>
      <c r="I1245" s="109" t="n"/>
      <c r="J1245" s="109" t="n"/>
      <c r="K1245" s="109" t="n"/>
      <c r="L1245" s="226">
        <f>IF($E1245="","",DATE(YEAR($E1245),MONTH($E1245),1))</f>
        <v/>
      </c>
      <c r="M1245" s="113">
        <f>IF($D1245="","",IF($C1245="TANIMSIZ MÜŞTERİ","HATA",IF(OR($E1245="",$F1245&lt;=0,$G1245=""),"EKSİK",IF($E1245&gt;TODAY(),"İLERİ TARİH",IF(COUNTIF($S$7:$S$1506,$S1245)&gt;1,"MÜKERRER?",IF($T1245&gt;0,"KAPALI DÖNEM","UYGUN"))))))</f>
        <v/>
      </c>
      <c r="N1245" s="121">
        <f>IF($C1245="","",IF($C1245="TANIMSIZ MÜŞTERİ","—",INDEX(MUSTERILER!$C$7:$C$106,MATCH($C1245,MUSTERILER!$B$7:$B$106,0))))</f>
        <v/>
      </c>
      <c r="O1245" s="6" t="n"/>
      <c r="P1245" s="6" t="n"/>
      <c r="Q1245" s="3">
        <f>IF($D1245="","",$C1245&amp;"|"&amp;COUNTIFS($C$7:$C1245,$C1245))</f>
        <v/>
      </c>
      <c r="R1245" s="3">
        <f>IF($D1245="","",UPPER(SUBSTITUTE(SUBSTITUTE(SUBSTITUTE(SUBSTITUTE(SUBSTITUTE(SUBSTITUTE(SUBSTITUTE(SUBSTITUTE(SUBSTITUTE(SUBSTITUTE(SUBSTITUTE(SUBSTITUTE(SUBSTITUTE(SUBSTITUTE(SUBSTITUTE(SUBSTITUTE(SUBSTITUTE(SUBSTITUTE(TRIM($D1245),"'",""),"İ","I"),"ı","I"),"i","I"),"Ş","S"),"ş","S"),"Ğ","G"),"ğ","G"),"Ü","U"),"ü","U"),"Ö","O"),"ö","O"),"Ç","C"),"ç","C"),".",""),",","")," ",""),"-","")))</f>
        <v/>
      </c>
      <c r="S1245" s="3">
        <f>IF($D1245="","",$C1245&amp;"|"&amp;TEXT($E1245,"0")&amp;"|"&amp;TEXT($F1245,"0")&amp;"|"&amp;$I1245)</f>
        <v/>
      </c>
      <c r="T1245" s="3">
        <f>IF($E1245="",0,SUMPRODUCT((AY_SONU!$O$7:$O$42="Evet")*(AY_SONU!$B$7:$B$42=DATE(YEAR($E1245),MONTH($E1245),1))))</f>
        <v/>
      </c>
    </row>
    <row r="1246">
      <c r="A1246" s="6" t="n"/>
      <c r="B1246" s="113">
        <f>IF($D1246="","","T"&amp;TEXT(ROW()-6,"00000"))</f>
        <v/>
      </c>
      <c r="C1246" s="113">
        <f>IF($D1246="","",IFERROR(INDEX(MUSTERILER!$B$7:$B$106,MATCH($R1246,MUSTERILER!$T$7:$T$106,0)),IFERROR(INDEX(MUSTERILER!$B$7:$B$106,MATCH($D1246,MUSTERILER!$B$7:$B$106,0)),IFERROR(INDEX(MUSTERILER!$B$7:$B$106,MATCH($R1246&amp;"*",MUSTERILER!$T$7:$T$106,0)),"TANIMSIZ MÜŞTERİ"))))</f>
        <v/>
      </c>
      <c r="D1246" s="109" t="n"/>
      <c r="E1246" s="220" t="n"/>
      <c r="F1246" s="221" t="n"/>
      <c r="G1246" s="108" t="n"/>
      <c r="H1246" s="108" t="n"/>
      <c r="I1246" s="109" t="n"/>
      <c r="J1246" s="109" t="n"/>
      <c r="K1246" s="109" t="n"/>
      <c r="L1246" s="226">
        <f>IF($E1246="","",DATE(YEAR($E1246),MONTH($E1246),1))</f>
        <v/>
      </c>
      <c r="M1246" s="113">
        <f>IF($D1246="","",IF($C1246="TANIMSIZ MÜŞTERİ","HATA",IF(OR($E1246="",$F1246&lt;=0,$G1246=""),"EKSİK",IF($E1246&gt;TODAY(),"İLERİ TARİH",IF(COUNTIF($S$7:$S$1506,$S1246)&gt;1,"MÜKERRER?",IF($T1246&gt;0,"KAPALI DÖNEM","UYGUN"))))))</f>
        <v/>
      </c>
      <c r="N1246" s="121">
        <f>IF($C1246="","",IF($C1246="TANIMSIZ MÜŞTERİ","—",INDEX(MUSTERILER!$C$7:$C$106,MATCH($C1246,MUSTERILER!$B$7:$B$106,0))))</f>
        <v/>
      </c>
      <c r="O1246" s="6" t="n"/>
      <c r="P1246" s="6" t="n"/>
      <c r="Q1246" s="3">
        <f>IF($D1246="","",$C1246&amp;"|"&amp;COUNTIFS($C$7:$C1246,$C1246))</f>
        <v/>
      </c>
      <c r="R1246" s="3">
        <f>IF($D1246="","",UPPER(SUBSTITUTE(SUBSTITUTE(SUBSTITUTE(SUBSTITUTE(SUBSTITUTE(SUBSTITUTE(SUBSTITUTE(SUBSTITUTE(SUBSTITUTE(SUBSTITUTE(SUBSTITUTE(SUBSTITUTE(SUBSTITUTE(SUBSTITUTE(SUBSTITUTE(SUBSTITUTE(SUBSTITUTE(SUBSTITUTE(TRIM($D1246),"'",""),"İ","I"),"ı","I"),"i","I"),"Ş","S"),"ş","S"),"Ğ","G"),"ğ","G"),"Ü","U"),"ü","U"),"Ö","O"),"ö","O"),"Ç","C"),"ç","C"),".",""),",","")," ",""),"-","")))</f>
        <v/>
      </c>
      <c r="S1246" s="3">
        <f>IF($D1246="","",$C1246&amp;"|"&amp;TEXT($E1246,"0")&amp;"|"&amp;TEXT($F1246,"0")&amp;"|"&amp;$I1246)</f>
        <v/>
      </c>
      <c r="T1246" s="3">
        <f>IF($E1246="",0,SUMPRODUCT((AY_SONU!$O$7:$O$42="Evet")*(AY_SONU!$B$7:$B$42=DATE(YEAR($E1246),MONTH($E1246),1))))</f>
        <v/>
      </c>
    </row>
    <row r="1247">
      <c r="A1247" s="6" t="n"/>
      <c r="B1247" s="113">
        <f>IF($D1247="","","T"&amp;TEXT(ROW()-6,"00000"))</f>
        <v/>
      </c>
      <c r="C1247" s="113">
        <f>IF($D1247="","",IFERROR(INDEX(MUSTERILER!$B$7:$B$106,MATCH($R1247,MUSTERILER!$T$7:$T$106,0)),IFERROR(INDEX(MUSTERILER!$B$7:$B$106,MATCH($D1247,MUSTERILER!$B$7:$B$106,0)),IFERROR(INDEX(MUSTERILER!$B$7:$B$106,MATCH($R1247&amp;"*",MUSTERILER!$T$7:$T$106,0)),"TANIMSIZ MÜŞTERİ"))))</f>
        <v/>
      </c>
      <c r="D1247" s="109" t="n"/>
      <c r="E1247" s="220" t="n"/>
      <c r="F1247" s="221" t="n"/>
      <c r="G1247" s="108" t="n"/>
      <c r="H1247" s="108" t="n"/>
      <c r="I1247" s="109" t="n"/>
      <c r="J1247" s="109" t="n"/>
      <c r="K1247" s="109" t="n"/>
      <c r="L1247" s="226">
        <f>IF($E1247="","",DATE(YEAR($E1247),MONTH($E1247),1))</f>
        <v/>
      </c>
      <c r="M1247" s="113">
        <f>IF($D1247="","",IF($C1247="TANIMSIZ MÜŞTERİ","HATA",IF(OR($E1247="",$F1247&lt;=0,$G1247=""),"EKSİK",IF($E1247&gt;TODAY(),"İLERİ TARİH",IF(COUNTIF($S$7:$S$1506,$S1247)&gt;1,"MÜKERRER?",IF($T1247&gt;0,"KAPALI DÖNEM","UYGUN"))))))</f>
        <v/>
      </c>
      <c r="N1247" s="121">
        <f>IF($C1247="","",IF($C1247="TANIMSIZ MÜŞTERİ","—",INDEX(MUSTERILER!$C$7:$C$106,MATCH($C1247,MUSTERILER!$B$7:$B$106,0))))</f>
        <v/>
      </c>
      <c r="O1247" s="6" t="n"/>
      <c r="P1247" s="6" t="n"/>
      <c r="Q1247" s="3">
        <f>IF($D1247="","",$C1247&amp;"|"&amp;COUNTIFS($C$7:$C1247,$C1247))</f>
        <v/>
      </c>
      <c r="R1247" s="3">
        <f>IF($D1247="","",UPPER(SUBSTITUTE(SUBSTITUTE(SUBSTITUTE(SUBSTITUTE(SUBSTITUTE(SUBSTITUTE(SUBSTITUTE(SUBSTITUTE(SUBSTITUTE(SUBSTITUTE(SUBSTITUTE(SUBSTITUTE(SUBSTITUTE(SUBSTITUTE(SUBSTITUTE(SUBSTITUTE(SUBSTITUTE(SUBSTITUTE(TRIM($D1247),"'",""),"İ","I"),"ı","I"),"i","I"),"Ş","S"),"ş","S"),"Ğ","G"),"ğ","G"),"Ü","U"),"ü","U"),"Ö","O"),"ö","O"),"Ç","C"),"ç","C"),".",""),",","")," ",""),"-","")))</f>
        <v/>
      </c>
      <c r="S1247" s="3">
        <f>IF($D1247="","",$C1247&amp;"|"&amp;TEXT($E1247,"0")&amp;"|"&amp;TEXT($F1247,"0")&amp;"|"&amp;$I1247)</f>
        <v/>
      </c>
      <c r="T1247" s="3">
        <f>IF($E1247="",0,SUMPRODUCT((AY_SONU!$O$7:$O$42="Evet")*(AY_SONU!$B$7:$B$42=DATE(YEAR($E1247),MONTH($E1247),1))))</f>
        <v/>
      </c>
    </row>
    <row r="1248">
      <c r="A1248" s="6" t="n"/>
      <c r="B1248" s="113">
        <f>IF($D1248="","","T"&amp;TEXT(ROW()-6,"00000"))</f>
        <v/>
      </c>
      <c r="C1248" s="113">
        <f>IF($D1248="","",IFERROR(INDEX(MUSTERILER!$B$7:$B$106,MATCH($R1248,MUSTERILER!$T$7:$T$106,0)),IFERROR(INDEX(MUSTERILER!$B$7:$B$106,MATCH($D1248,MUSTERILER!$B$7:$B$106,0)),IFERROR(INDEX(MUSTERILER!$B$7:$B$106,MATCH($R1248&amp;"*",MUSTERILER!$T$7:$T$106,0)),"TANIMSIZ MÜŞTERİ"))))</f>
        <v/>
      </c>
      <c r="D1248" s="109" t="n"/>
      <c r="E1248" s="220" t="n"/>
      <c r="F1248" s="221" t="n"/>
      <c r="G1248" s="108" t="n"/>
      <c r="H1248" s="108" t="n"/>
      <c r="I1248" s="109" t="n"/>
      <c r="J1248" s="109" t="n"/>
      <c r="K1248" s="109" t="n"/>
      <c r="L1248" s="226">
        <f>IF($E1248="","",DATE(YEAR($E1248),MONTH($E1248),1))</f>
        <v/>
      </c>
      <c r="M1248" s="113">
        <f>IF($D1248="","",IF($C1248="TANIMSIZ MÜŞTERİ","HATA",IF(OR($E1248="",$F1248&lt;=0,$G1248=""),"EKSİK",IF($E1248&gt;TODAY(),"İLERİ TARİH",IF(COUNTIF($S$7:$S$1506,$S1248)&gt;1,"MÜKERRER?",IF($T1248&gt;0,"KAPALI DÖNEM","UYGUN"))))))</f>
        <v/>
      </c>
      <c r="N1248" s="121">
        <f>IF($C1248="","",IF($C1248="TANIMSIZ MÜŞTERİ","—",INDEX(MUSTERILER!$C$7:$C$106,MATCH($C1248,MUSTERILER!$B$7:$B$106,0))))</f>
        <v/>
      </c>
      <c r="O1248" s="6" t="n"/>
      <c r="P1248" s="6" t="n"/>
      <c r="Q1248" s="3">
        <f>IF($D1248="","",$C1248&amp;"|"&amp;COUNTIFS($C$7:$C1248,$C1248))</f>
        <v/>
      </c>
      <c r="R1248" s="3">
        <f>IF($D1248="","",UPPER(SUBSTITUTE(SUBSTITUTE(SUBSTITUTE(SUBSTITUTE(SUBSTITUTE(SUBSTITUTE(SUBSTITUTE(SUBSTITUTE(SUBSTITUTE(SUBSTITUTE(SUBSTITUTE(SUBSTITUTE(SUBSTITUTE(SUBSTITUTE(SUBSTITUTE(SUBSTITUTE(SUBSTITUTE(SUBSTITUTE(TRIM($D1248),"'",""),"İ","I"),"ı","I"),"i","I"),"Ş","S"),"ş","S"),"Ğ","G"),"ğ","G"),"Ü","U"),"ü","U"),"Ö","O"),"ö","O"),"Ç","C"),"ç","C"),".",""),",","")," ",""),"-","")))</f>
        <v/>
      </c>
      <c r="S1248" s="3">
        <f>IF($D1248="","",$C1248&amp;"|"&amp;TEXT($E1248,"0")&amp;"|"&amp;TEXT($F1248,"0")&amp;"|"&amp;$I1248)</f>
        <v/>
      </c>
      <c r="T1248" s="3">
        <f>IF($E1248="",0,SUMPRODUCT((AY_SONU!$O$7:$O$42="Evet")*(AY_SONU!$B$7:$B$42=DATE(YEAR($E1248),MONTH($E1248),1))))</f>
        <v/>
      </c>
    </row>
    <row r="1249">
      <c r="A1249" s="6" t="n"/>
      <c r="B1249" s="113">
        <f>IF($D1249="","","T"&amp;TEXT(ROW()-6,"00000"))</f>
        <v/>
      </c>
      <c r="C1249" s="113">
        <f>IF($D1249="","",IFERROR(INDEX(MUSTERILER!$B$7:$B$106,MATCH($R1249,MUSTERILER!$T$7:$T$106,0)),IFERROR(INDEX(MUSTERILER!$B$7:$B$106,MATCH($D1249,MUSTERILER!$B$7:$B$106,0)),IFERROR(INDEX(MUSTERILER!$B$7:$B$106,MATCH($R1249&amp;"*",MUSTERILER!$T$7:$T$106,0)),"TANIMSIZ MÜŞTERİ"))))</f>
        <v/>
      </c>
      <c r="D1249" s="109" t="n"/>
      <c r="E1249" s="220" t="n"/>
      <c r="F1249" s="221" t="n"/>
      <c r="G1249" s="108" t="n"/>
      <c r="H1249" s="108" t="n"/>
      <c r="I1249" s="109" t="n"/>
      <c r="J1249" s="109" t="n"/>
      <c r="K1249" s="109" t="n"/>
      <c r="L1249" s="226">
        <f>IF($E1249="","",DATE(YEAR($E1249),MONTH($E1249),1))</f>
        <v/>
      </c>
      <c r="M1249" s="113">
        <f>IF($D1249="","",IF($C1249="TANIMSIZ MÜŞTERİ","HATA",IF(OR($E1249="",$F1249&lt;=0,$G1249=""),"EKSİK",IF($E1249&gt;TODAY(),"İLERİ TARİH",IF(COUNTIF($S$7:$S$1506,$S1249)&gt;1,"MÜKERRER?",IF($T1249&gt;0,"KAPALI DÖNEM","UYGUN"))))))</f>
        <v/>
      </c>
      <c r="N1249" s="121">
        <f>IF($C1249="","",IF($C1249="TANIMSIZ MÜŞTERİ","—",INDEX(MUSTERILER!$C$7:$C$106,MATCH($C1249,MUSTERILER!$B$7:$B$106,0))))</f>
        <v/>
      </c>
      <c r="O1249" s="6" t="n"/>
      <c r="P1249" s="6" t="n"/>
      <c r="Q1249" s="3">
        <f>IF($D1249="","",$C1249&amp;"|"&amp;COUNTIFS($C$7:$C1249,$C1249))</f>
        <v/>
      </c>
      <c r="R1249" s="3">
        <f>IF($D1249="","",UPPER(SUBSTITUTE(SUBSTITUTE(SUBSTITUTE(SUBSTITUTE(SUBSTITUTE(SUBSTITUTE(SUBSTITUTE(SUBSTITUTE(SUBSTITUTE(SUBSTITUTE(SUBSTITUTE(SUBSTITUTE(SUBSTITUTE(SUBSTITUTE(SUBSTITUTE(SUBSTITUTE(SUBSTITUTE(SUBSTITUTE(TRIM($D1249),"'",""),"İ","I"),"ı","I"),"i","I"),"Ş","S"),"ş","S"),"Ğ","G"),"ğ","G"),"Ü","U"),"ü","U"),"Ö","O"),"ö","O"),"Ç","C"),"ç","C"),".",""),",","")," ",""),"-","")))</f>
        <v/>
      </c>
      <c r="S1249" s="3">
        <f>IF($D1249="","",$C1249&amp;"|"&amp;TEXT($E1249,"0")&amp;"|"&amp;TEXT($F1249,"0")&amp;"|"&amp;$I1249)</f>
        <v/>
      </c>
      <c r="T1249" s="3">
        <f>IF($E1249="",0,SUMPRODUCT((AY_SONU!$O$7:$O$42="Evet")*(AY_SONU!$B$7:$B$42=DATE(YEAR($E1249),MONTH($E1249),1))))</f>
        <v/>
      </c>
    </row>
    <row r="1250">
      <c r="A1250" s="6" t="n"/>
      <c r="B1250" s="113">
        <f>IF($D1250="","","T"&amp;TEXT(ROW()-6,"00000"))</f>
        <v/>
      </c>
      <c r="C1250" s="113">
        <f>IF($D1250="","",IFERROR(INDEX(MUSTERILER!$B$7:$B$106,MATCH($R1250,MUSTERILER!$T$7:$T$106,0)),IFERROR(INDEX(MUSTERILER!$B$7:$B$106,MATCH($D1250,MUSTERILER!$B$7:$B$106,0)),IFERROR(INDEX(MUSTERILER!$B$7:$B$106,MATCH($R1250&amp;"*",MUSTERILER!$T$7:$T$106,0)),"TANIMSIZ MÜŞTERİ"))))</f>
        <v/>
      </c>
      <c r="D1250" s="109" t="n"/>
      <c r="E1250" s="220" t="n"/>
      <c r="F1250" s="221" t="n"/>
      <c r="G1250" s="108" t="n"/>
      <c r="H1250" s="108" t="n"/>
      <c r="I1250" s="109" t="n"/>
      <c r="J1250" s="109" t="n"/>
      <c r="K1250" s="109" t="n"/>
      <c r="L1250" s="226">
        <f>IF($E1250="","",DATE(YEAR($E1250),MONTH($E1250),1))</f>
        <v/>
      </c>
      <c r="M1250" s="113">
        <f>IF($D1250="","",IF($C1250="TANIMSIZ MÜŞTERİ","HATA",IF(OR($E1250="",$F1250&lt;=0,$G1250=""),"EKSİK",IF($E1250&gt;TODAY(),"İLERİ TARİH",IF(COUNTIF($S$7:$S$1506,$S1250)&gt;1,"MÜKERRER?",IF($T1250&gt;0,"KAPALI DÖNEM","UYGUN"))))))</f>
        <v/>
      </c>
      <c r="N1250" s="121">
        <f>IF($C1250="","",IF($C1250="TANIMSIZ MÜŞTERİ","—",INDEX(MUSTERILER!$C$7:$C$106,MATCH($C1250,MUSTERILER!$B$7:$B$106,0))))</f>
        <v/>
      </c>
      <c r="O1250" s="6" t="n"/>
      <c r="P1250" s="6" t="n"/>
      <c r="Q1250" s="3">
        <f>IF($D1250="","",$C1250&amp;"|"&amp;COUNTIFS($C$7:$C1250,$C1250))</f>
        <v/>
      </c>
      <c r="R1250" s="3">
        <f>IF($D1250="","",UPPER(SUBSTITUTE(SUBSTITUTE(SUBSTITUTE(SUBSTITUTE(SUBSTITUTE(SUBSTITUTE(SUBSTITUTE(SUBSTITUTE(SUBSTITUTE(SUBSTITUTE(SUBSTITUTE(SUBSTITUTE(SUBSTITUTE(SUBSTITUTE(SUBSTITUTE(SUBSTITUTE(SUBSTITUTE(SUBSTITUTE(TRIM($D1250),"'",""),"İ","I"),"ı","I"),"i","I"),"Ş","S"),"ş","S"),"Ğ","G"),"ğ","G"),"Ü","U"),"ü","U"),"Ö","O"),"ö","O"),"Ç","C"),"ç","C"),".",""),",","")," ",""),"-","")))</f>
        <v/>
      </c>
      <c r="S1250" s="3">
        <f>IF($D1250="","",$C1250&amp;"|"&amp;TEXT($E1250,"0")&amp;"|"&amp;TEXT($F1250,"0")&amp;"|"&amp;$I1250)</f>
        <v/>
      </c>
      <c r="T1250" s="3">
        <f>IF($E1250="",0,SUMPRODUCT((AY_SONU!$O$7:$O$42="Evet")*(AY_SONU!$B$7:$B$42=DATE(YEAR($E1250),MONTH($E1250),1))))</f>
        <v/>
      </c>
    </row>
    <row r="1251">
      <c r="A1251" s="6" t="n"/>
      <c r="B1251" s="113">
        <f>IF($D1251="","","T"&amp;TEXT(ROW()-6,"00000"))</f>
        <v/>
      </c>
      <c r="C1251" s="113">
        <f>IF($D1251="","",IFERROR(INDEX(MUSTERILER!$B$7:$B$106,MATCH($R1251,MUSTERILER!$T$7:$T$106,0)),IFERROR(INDEX(MUSTERILER!$B$7:$B$106,MATCH($D1251,MUSTERILER!$B$7:$B$106,0)),IFERROR(INDEX(MUSTERILER!$B$7:$B$106,MATCH($R1251&amp;"*",MUSTERILER!$T$7:$T$106,0)),"TANIMSIZ MÜŞTERİ"))))</f>
        <v/>
      </c>
      <c r="D1251" s="109" t="n"/>
      <c r="E1251" s="220" t="n"/>
      <c r="F1251" s="221" t="n"/>
      <c r="G1251" s="108" t="n"/>
      <c r="H1251" s="108" t="n"/>
      <c r="I1251" s="109" t="n"/>
      <c r="J1251" s="109" t="n"/>
      <c r="K1251" s="109" t="n"/>
      <c r="L1251" s="226">
        <f>IF($E1251="","",DATE(YEAR($E1251),MONTH($E1251),1))</f>
        <v/>
      </c>
      <c r="M1251" s="113">
        <f>IF($D1251="","",IF($C1251="TANIMSIZ MÜŞTERİ","HATA",IF(OR($E1251="",$F1251&lt;=0,$G1251=""),"EKSİK",IF($E1251&gt;TODAY(),"İLERİ TARİH",IF(COUNTIF($S$7:$S$1506,$S1251)&gt;1,"MÜKERRER?",IF($T1251&gt;0,"KAPALI DÖNEM","UYGUN"))))))</f>
        <v/>
      </c>
      <c r="N1251" s="121">
        <f>IF($C1251="","",IF($C1251="TANIMSIZ MÜŞTERİ","—",INDEX(MUSTERILER!$C$7:$C$106,MATCH($C1251,MUSTERILER!$B$7:$B$106,0))))</f>
        <v/>
      </c>
      <c r="O1251" s="6" t="n"/>
      <c r="P1251" s="6" t="n"/>
      <c r="Q1251" s="3">
        <f>IF($D1251="","",$C1251&amp;"|"&amp;COUNTIFS($C$7:$C1251,$C1251))</f>
        <v/>
      </c>
      <c r="R1251" s="3">
        <f>IF($D1251="","",UPPER(SUBSTITUTE(SUBSTITUTE(SUBSTITUTE(SUBSTITUTE(SUBSTITUTE(SUBSTITUTE(SUBSTITUTE(SUBSTITUTE(SUBSTITUTE(SUBSTITUTE(SUBSTITUTE(SUBSTITUTE(SUBSTITUTE(SUBSTITUTE(SUBSTITUTE(SUBSTITUTE(SUBSTITUTE(SUBSTITUTE(TRIM($D1251),"'",""),"İ","I"),"ı","I"),"i","I"),"Ş","S"),"ş","S"),"Ğ","G"),"ğ","G"),"Ü","U"),"ü","U"),"Ö","O"),"ö","O"),"Ç","C"),"ç","C"),".",""),",","")," ",""),"-","")))</f>
        <v/>
      </c>
      <c r="S1251" s="3">
        <f>IF($D1251="","",$C1251&amp;"|"&amp;TEXT($E1251,"0")&amp;"|"&amp;TEXT($F1251,"0")&amp;"|"&amp;$I1251)</f>
        <v/>
      </c>
      <c r="T1251" s="3">
        <f>IF($E1251="",0,SUMPRODUCT((AY_SONU!$O$7:$O$42="Evet")*(AY_SONU!$B$7:$B$42=DATE(YEAR($E1251),MONTH($E1251),1))))</f>
        <v/>
      </c>
    </row>
    <row r="1252">
      <c r="A1252" s="6" t="n"/>
      <c r="B1252" s="113">
        <f>IF($D1252="","","T"&amp;TEXT(ROW()-6,"00000"))</f>
        <v/>
      </c>
      <c r="C1252" s="113">
        <f>IF($D1252="","",IFERROR(INDEX(MUSTERILER!$B$7:$B$106,MATCH($R1252,MUSTERILER!$T$7:$T$106,0)),IFERROR(INDEX(MUSTERILER!$B$7:$B$106,MATCH($D1252,MUSTERILER!$B$7:$B$106,0)),IFERROR(INDEX(MUSTERILER!$B$7:$B$106,MATCH($R1252&amp;"*",MUSTERILER!$T$7:$T$106,0)),"TANIMSIZ MÜŞTERİ"))))</f>
        <v/>
      </c>
      <c r="D1252" s="109" t="n"/>
      <c r="E1252" s="220" t="n"/>
      <c r="F1252" s="221" t="n"/>
      <c r="G1252" s="108" t="n"/>
      <c r="H1252" s="108" t="n"/>
      <c r="I1252" s="109" t="n"/>
      <c r="J1252" s="109" t="n"/>
      <c r="K1252" s="109" t="n"/>
      <c r="L1252" s="226">
        <f>IF($E1252="","",DATE(YEAR($E1252),MONTH($E1252),1))</f>
        <v/>
      </c>
      <c r="M1252" s="113">
        <f>IF($D1252="","",IF($C1252="TANIMSIZ MÜŞTERİ","HATA",IF(OR($E1252="",$F1252&lt;=0,$G1252=""),"EKSİK",IF($E1252&gt;TODAY(),"İLERİ TARİH",IF(COUNTIF($S$7:$S$1506,$S1252)&gt;1,"MÜKERRER?",IF($T1252&gt;0,"KAPALI DÖNEM","UYGUN"))))))</f>
        <v/>
      </c>
      <c r="N1252" s="121">
        <f>IF($C1252="","",IF($C1252="TANIMSIZ MÜŞTERİ","—",INDEX(MUSTERILER!$C$7:$C$106,MATCH($C1252,MUSTERILER!$B$7:$B$106,0))))</f>
        <v/>
      </c>
      <c r="O1252" s="6" t="n"/>
      <c r="P1252" s="6" t="n"/>
      <c r="Q1252" s="3">
        <f>IF($D1252="","",$C1252&amp;"|"&amp;COUNTIFS($C$7:$C1252,$C1252))</f>
        <v/>
      </c>
      <c r="R1252" s="3">
        <f>IF($D1252="","",UPPER(SUBSTITUTE(SUBSTITUTE(SUBSTITUTE(SUBSTITUTE(SUBSTITUTE(SUBSTITUTE(SUBSTITUTE(SUBSTITUTE(SUBSTITUTE(SUBSTITUTE(SUBSTITUTE(SUBSTITUTE(SUBSTITUTE(SUBSTITUTE(SUBSTITUTE(SUBSTITUTE(SUBSTITUTE(SUBSTITUTE(TRIM($D1252),"'",""),"İ","I"),"ı","I"),"i","I"),"Ş","S"),"ş","S"),"Ğ","G"),"ğ","G"),"Ü","U"),"ü","U"),"Ö","O"),"ö","O"),"Ç","C"),"ç","C"),".",""),",","")," ",""),"-","")))</f>
        <v/>
      </c>
      <c r="S1252" s="3">
        <f>IF($D1252="","",$C1252&amp;"|"&amp;TEXT($E1252,"0")&amp;"|"&amp;TEXT($F1252,"0")&amp;"|"&amp;$I1252)</f>
        <v/>
      </c>
      <c r="T1252" s="3">
        <f>IF($E1252="",0,SUMPRODUCT((AY_SONU!$O$7:$O$42="Evet")*(AY_SONU!$B$7:$B$42=DATE(YEAR($E1252),MONTH($E1252),1))))</f>
        <v/>
      </c>
    </row>
    <row r="1253">
      <c r="A1253" s="6" t="n"/>
      <c r="B1253" s="113">
        <f>IF($D1253="","","T"&amp;TEXT(ROW()-6,"00000"))</f>
        <v/>
      </c>
      <c r="C1253" s="113">
        <f>IF($D1253="","",IFERROR(INDEX(MUSTERILER!$B$7:$B$106,MATCH($R1253,MUSTERILER!$T$7:$T$106,0)),IFERROR(INDEX(MUSTERILER!$B$7:$B$106,MATCH($D1253,MUSTERILER!$B$7:$B$106,0)),IFERROR(INDEX(MUSTERILER!$B$7:$B$106,MATCH($R1253&amp;"*",MUSTERILER!$T$7:$T$106,0)),"TANIMSIZ MÜŞTERİ"))))</f>
        <v/>
      </c>
      <c r="D1253" s="109" t="n"/>
      <c r="E1253" s="220" t="n"/>
      <c r="F1253" s="221" t="n"/>
      <c r="G1253" s="108" t="n"/>
      <c r="H1253" s="108" t="n"/>
      <c r="I1253" s="109" t="n"/>
      <c r="J1253" s="109" t="n"/>
      <c r="K1253" s="109" t="n"/>
      <c r="L1253" s="226">
        <f>IF($E1253="","",DATE(YEAR($E1253),MONTH($E1253),1))</f>
        <v/>
      </c>
      <c r="M1253" s="113">
        <f>IF($D1253="","",IF($C1253="TANIMSIZ MÜŞTERİ","HATA",IF(OR($E1253="",$F1253&lt;=0,$G1253=""),"EKSİK",IF($E1253&gt;TODAY(),"İLERİ TARİH",IF(COUNTIF($S$7:$S$1506,$S1253)&gt;1,"MÜKERRER?",IF($T1253&gt;0,"KAPALI DÖNEM","UYGUN"))))))</f>
        <v/>
      </c>
      <c r="N1253" s="121">
        <f>IF($C1253="","",IF($C1253="TANIMSIZ MÜŞTERİ","—",INDEX(MUSTERILER!$C$7:$C$106,MATCH($C1253,MUSTERILER!$B$7:$B$106,0))))</f>
        <v/>
      </c>
      <c r="O1253" s="6" t="n"/>
      <c r="P1253" s="6" t="n"/>
      <c r="Q1253" s="3">
        <f>IF($D1253="","",$C1253&amp;"|"&amp;COUNTIFS($C$7:$C1253,$C1253))</f>
        <v/>
      </c>
      <c r="R1253" s="3">
        <f>IF($D1253="","",UPPER(SUBSTITUTE(SUBSTITUTE(SUBSTITUTE(SUBSTITUTE(SUBSTITUTE(SUBSTITUTE(SUBSTITUTE(SUBSTITUTE(SUBSTITUTE(SUBSTITUTE(SUBSTITUTE(SUBSTITUTE(SUBSTITUTE(SUBSTITUTE(SUBSTITUTE(SUBSTITUTE(SUBSTITUTE(SUBSTITUTE(TRIM($D1253),"'",""),"İ","I"),"ı","I"),"i","I"),"Ş","S"),"ş","S"),"Ğ","G"),"ğ","G"),"Ü","U"),"ü","U"),"Ö","O"),"ö","O"),"Ç","C"),"ç","C"),".",""),",","")," ",""),"-","")))</f>
        <v/>
      </c>
      <c r="S1253" s="3">
        <f>IF($D1253="","",$C1253&amp;"|"&amp;TEXT($E1253,"0")&amp;"|"&amp;TEXT($F1253,"0")&amp;"|"&amp;$I1253)</f>
        <v/>
      </c>
      <c r="T1253" s="3">
        <f>IF($E1253="",0,SUMPRODUCT((AY_SONU!$O$7:$O$42="Evet")*(AY_SONU!$B$7:$B$42=DATE(YEAR($E1253),MONTH($E1253),1))))</f>
        <v/>
      </c>
    </row>
    <row r="1254">
      <c r="A1254" s="6" t="n"/>
      <c r="B1254" s="113">
        <f>IF($D1254="","","T"&amp;TEXT(ROW()-6,"00000"))</f>
        <v/>
      </c>
      <c r="C1254" s="113">
        <f>IF($D1254="","",IFERROR(INDEX(MUSTERILER!$B$7:$B$106,MATCH($R1254,MUSTERILER!$T$7:$T$106,0)),IFERROR(INDEX(MUSTERILER!$B$7:$B$106,MATCH($D1254,MUSTERILER!$B$7:$B$106,0)),IFERROR(INDEX(MUSTERILER!$B$7:$B$106,MATCH($R1254&amp;"*",MUSTERILER!$T$7:$T$106,0)),"TANIMSIZ MÜŞTERİ"))))</f>
        <v/>
      </c>
      <c r="D1254" s="109" t="n"/>
      <c r="E1254" s="220" t="n"/>
      <c r="F1254" s="221" t="n"/>
      <c r="G1254" s="108" t="n"/>
      <c r="H1254" s="108" t="n"/>
      <c r="I1254" s="109" t="n"/>
      <c r="J1254" s="109" t="n"/>
      <c r="K1254" s="109" t="n"/>
      <c r="L1254" s="226">
        <f>IF($E1254="","",DATE(YEAR($E1254),MONTH($E1254),1))</f>
        <v/>
      </c>
      <c r="M1254" s="113">
        <f>IF($D1254="","",IF($C1254="TANIMSIZ MÜŞTERİ","HATA",IF(OR($E1254="",$F1254&lt;=0,$G1254=""),"EKSİK",IF($E1254&gt;TODAY(),"İLERİ TARİH",IF(COUNTIF($S$7:$S$1506,$S1254)&gt;1,"MÜKERRER?",IF($T1254&gt;0,"KAPALI DÖNEM","UYGUN"))))))</f>
        <v/>
      </c>
      <c r="N1254" s="121">
        <f>IF($C1254="","",IF($C1254="TANIMSIZ MÜŞTERİ","—",INDEX(MUSTERILER!$C$7:$C$106,MATCH($C1254,MUSTERILER!$B$7:$B$106,0))))</f>
        <v/>
      </c>
      <c r="O1254" s="6" t="n"/>
      <c r="P1254" s="6" t="n"/>
      <c r="Q1254" s="3">
        <f>IF($D1254="","",$C1254&amp;"|"&amp;COUNTIFS($C$7:$C1254,$C1254))</f>
        <v/>
      </c>
      <c r="R1254" s="3">
        <f>IF($D1254="","",UPPER(SUBSTITUTE(SUBSTITUTE(SUBSTITUTE(SUBSTITUTE(SUBSTITUTE(SUBSTITUTE(SUBSTITUTE(SUBSTITUTE(SUBSTITUTE(SUBSTITUTE(SUBSTITUTE(SUBSTITUTE(SUBSTITUTE(SUBSTITUTE(SUBSTITUTE(SUBSTITUTE(SUBSTITUTE(SUBSTITUTE(TRIM($D1254),"'",""),"İ","I"),"ı","I"),"i","I"),"Ş","S"),"ş","S"),"Ğ","G"),"ğ","G"),"Ü","U"),"ü","U"),"Ö","O"),"ö","O"),"Ç","C"),"ç","C"),".",""),",","")," ",""),"-","")))</f>
        <v/>
      </c>
      <c r="S1254" s="3">
        <f>IF($D1254="","",$C1254&amp;"|"&amp;TEXT($E1254,"0")&amp;"|"&amp;TEXT($F1254,"0")&amp;"|"&amp;$I1254)</f>
        <v/>
      </c>
      <c r="T1254" s="3">
        <f>IF($E1254="",0,SUMPRODUCT((AY_SONU!$O$7:$O$42="Evet")*(AY_SONU!$B$7:$B$42=DATE(YEAR($E1254),MONTH($E1254),1))))</f>
        <v/>
      </c>
    </row>
    <row r="1255">
      <c r="A1255" s="6" t="n"/>
      <c r="B1255" s="113">
        <f>IF($D1255="","","T"&amp;TEXT(ROW()-6,"00000"))</f>
        <v/>
      </c>
      <c r="C1255" s="113">
        <f>IF($D1255="","",IFERROR(INDEX(MUSTERILER!$B$7:$B$106,MATCH($R1255,MUSTERILER!$T$7:$T$106,0)),IFERROR(INDEX(MUSTERILER!$B$7:$B$106,MATCH($D1255,MUSTERILER!$B$7:$B$106,0)),IFERROR(INDEX(MUSTERILER!$B$7:$B$106,MATCH($R1255&amp;"*",MUSTERILER!$T$7:$T$106,0)),"TANIMSIZ MÜŞTERİ"))))</f>
        <v/>
      </c>
      <c r="D1255" s="109" t="n"/>
      <c r="E1255" s="220" t="n"/>
      <c r="F1255" s="221" t="n"/>
      <c r="G1255" s="108" t="n"/>
      <c r="H1255" s="108" t="n"/>
      <c r="I1255" s="109" t="n"/>
      <c r="J1255" s="109" t="n"/>
      <c r="K1255" s="109" t="n"/>
      <c r="L1255" s="226">
        <f>IF($E1255="","",DATE(YEAR($E1255),MONTH($E1255),1))</f>
        <v/>
      </c>
      <c r="M1255" s="113">
        <f>IF($D1255="","",IF($C1255="TANIMSIZ MÜŞTERİ","HATA",IF(OR($E1255="",$F1255&lt;=0,$G1255=""),"EKSİK",IF($E1255&gt;TODAY(),"İLERİ TARİH",IF(COUNTIF($S$7:$S$1506,$S1255)&gt;1,"MÜKERRER?",IF($T1255&gt;0,"KAPALI DÖNEM","UYGUN"))))))</f>
        <v/>
      </c>
      <c r="N1255" s="121">
        <f>IF($C1255="","",IF($C1255="TANIMSIZ MÜŞTERİ","—",INDEX(MUSTERILER!$C$7:$C$106,MATCH($C1255,MUSTERILER!$B$7:$B$106,0))))</f>
        <v/>
      </c>
      <c r="O1255" s="6" t="n"/>
      <c r="P1255" s="6" t="n"/>
      <c r="Q1255" s="3">
        <f>IF($D1255="","",$C1255&amp;"|"&amp;COUNTIFS($C$7:$C1255,$C1255))</f>
        <v/>
      </c>
      <c r="R1255" s="3">
        <f>IF($D1255="","",UPPER(SUBSTITUTE(SUBSTITUTE(SUBSTITUTE(SUBSTITUTE(SUBSTITUTE(SUBSTITUTE(SUBSTITUTE(SUBSTITUTE(SUBSTITUTE(SUBSTITUTE(SUBSTITUTE(SUBSTITUTE(SUBSTITUTE(SUBSTITUTE(SUBSTITUTE(SUBSTITUTE(SUBSTITUTE(SUBSTITUTE(TRIM($D1255),"'",""),"İ","I"),"ı","I"),"i","I"),"Ş","S"),"ş","S"),"Ğ","G"),"ğ","G"),"Ü","U"),"ü","U"),"Ö","O"),"ö","O"),"Ç","C"),"ç","C"),".",""),",","")," ",""),"-","")))</f>
        <v/>
      </c>
      <c r="S1255" s="3">
        <f>IF($D1255="","",$C1255&amp;"|"&amp;TEXT($E1255,"0")&amp;"|"&amp;TEXT($F1255,"0")&amp;"|"&amp;$I1255)</f>
        <v/>
      </c>
      <c r="T1255" s="3">
        <f>IF($E1255="",0,SUMPRODUCT((AY_SONU!$O$7:$O$42="Evet")*(AY_SONU!$B$7:$B$42=DATE(YEAR($E1255),MONTH($E1255),1))))</f>
        <v/>
      </c>
    </row>
    <row r="1256">
      <c r="A1256" s="6" t="n"/>
      <c r="B1256" s="113">
        <f>IF($D1256="","","T"&amp;TEXT(ROW()-6,"00000"))</f>
        <v/>
      </c>
      <c r="C1256" s="113">
        <f>IF($D1256="","",IFERROR(INDEX(MUSTERILER!$B$7:$B$106,MATCH($R1256,MUSTERILER!$T$7:$T$106,0)),IFERROR(INDEX(MUSTERILER!$B$7:$B$106,MATCH($D1256,MUSTERILER!$B$7:$B$106,0)),IFERROR(INDEX(MUSTERILER!$B$7:$B$106,MATCH($R1256&amp;"*",MUSTERILER!$T$7:$T$106,0)),"TANIMSIZ MÜŞTERİ"))))</f>
        <v/>
      </c>
      <c r="D1256" s="109" t="n"/>
      <c r="E1256" s="220" t="n"/>
      <c r="F1256" s="221" t="n"/>
      <c r="G1256" s="108" t="n"/>
      <c r="H1256" s="108" t="n"/>
      <c r="I1256" s="109" t="n"/>
      <c r="J1256" s="109" t="n"/>
      <c r="K1256" s="109" t="n"/>
      <c r="L1256" s="226">
        <f>IF($E1256="","",DATE(YEAR($E1256),MONTH($E1256),1))</f>
        <v/>
      </c>
      <c r="M1256" s="113">
        <f>IF($D1256="","",IF($C1256="TANIMSIZ MÜŞTERİ","HATA",IF(OR($E1256="",$F1256&lt;=0,$G1256=""),"EKSİK",IF($E1256&gt;TODAY(),"İLERİ TARİH",IF(COUNTIF($S$7:$S$1506,$S1256)&gt;1,"MÜKERRER?",IF($T1256&gt;0,"KAPALI DÖNEM","UYGUN"))))))</f>
        <v/>
      </c>
      <c r="N1256" s="121">
        <f>IF($C1256="","",IF($C1256="TANIMSIZ MÜŞTERİ","—",INDEX(MUSTERILER!$C$7:$C$106,MATCH($C1256,MUSTERILER!$B$7:$B$106,0))))</f>
        <v/>
      </c>
      <c r="O1256" s="6" t="n"/>
      <c r="P1256" s="6" t="n"/>
      <c r="Q1256" s="3">
        <f>IF($D1256="","",$C1256&amp;"|"&amp;COUNTIFS($C$7:$C1256,$C1256))</f>
        <v/>
      </c>
      <c r="R1256" s="3">
        <f>IF($D1256="","",UPPER(SUBSTITUTE(SUBSTITUTE(SUBSTITUTE(SUBSTITUTE(SUBSTITUTE(SUBSTITUTE(SUBSTITUTE(SUBSTITUTE(SUBSTITUTE(SUBSTITUTE(SUBSTITUTE(SUBSTITUTE(SUBSTITUTE(SUBSTITUTE(SUBSTITUTE(SUBSTITUTE(SUBSTITUTE(SUBSTITUTE(TRIM($D1256),"'",""),"İ","I"),"ı","I"),"i","I"),"Ş","S"),"ş","S"),"Ğ","G"),"ğ","G"),"Ü","U"),"ü","U"),"Ö","O"),"ö","O"),"Ç","C"),"ç","C"),".",""),",","")," ",""),"-","")))</f>
        <v/>
      </c>
      <c r="S1256" s="3">
        <f>IF($D1256="","",$C1256&amp;"|"&amp;TEXT($E1256,"0")&amp;"|"&amp;TEXT($F1256,"0")&amp;"|"&amp;$I1256)</f>
        <v/>
      </c>
      <c r="T1256" s="3">
        <f>IF($E1256="",0,SUMPRODUCT((AY_SONU!$O$7:$O$42="Evet")*(AY_SONU!$B$7:$B$42=DATE(YEAR($E1256),MONTH($E1256),1))))</f>
        <v/>
      </c>
    </row>
    <row r="1257">
      <c r="A1257" s="6" t="n"/>
      <c r="B1257" s="113">
        <f>IF($D1257="","","T"&amp;TEXT(ROW()-6,"00000"))</f>
        <v/>
      </c>
      <c r="C1257" s="113">
        <f>IF($D1257="","",IFERROR(INDEX(MUSTERILER!$B$7:$B$106,MATCH($R1257,MUSTERILER!$T$7:$T$106,0)),IFERROR(INDEX(MUSTERILER!$B$7:$B$106,MATCH($D1257,MUSTERILER!$B$7:$B$106,0)),IFERROR(INDEX(MUSTERILER!$B$7:$B$106,MATCH($R1257&amp;"*",MUSTERILER!$T$7:$T$106,0)),"TANIMSIZ MÜŞTERİ"))))</f>
        <v/>
      </c>
      <c r="D1257" s="109" t="n"/>
      <c r="E1257" s="220" t="n"/>
      <c r="F1257" s="221" t="n"/>
      <c r="G1257" s="108" t="n"/>
      <c r="H1257" s="108" t="n"/>
      <c r="I1257" s="109" t="n"/>
      <c r="J1257" s="109" t="n"/>
      <c r="K1257" s="109" t="n"/>
      <c r="L1257" s="226">
        <f>IF($E1257="","",DATE(YEAR($E1257),MONTH($E1257),1))</f>
        <v/>
      </c>
      <c r="M1257" s="113">
        <f>IF($D1257="","",IF($C1257="TANIMSIZ MÜŞTERİ","HATA",IF(OR($E1257="",$F1257&lt;=0,$G1257=""),"EKSİK",IF($E1257&gt;TODAY(),"İLERİ TARİH",IF(COUNTIF($S$7:$S$1506,$S1257)&gt;1,"MÜKERRER?",IF($T1257&gt;0,"KAPALI DÖNEM","UYGUN"))))))</f>
        <v/>
      </c>
      <c r="N1257" s="121">
        <f>IF($C1257="","",IF($C1257="TANIMSIZ MÜŞTERİ","—",INDEX(MUSTERILER!$C$7:$C$106,MATCH($C1257,MUSTERILER!$B$7:$B$106,0))))</f>
        <v/>
      </c>
      <c r="O1257" s="6" t="n"/>
      <c r="P1257" s="6" t="n"/>
      <c r="Q1257" s="3">
        <f>IF($D1257="","",$C1257&amp;"|"&amp;COUNTIFS($C$7:$C1257,$C1257))</f>
        <v/>
      </c>
      <c r="R1257" s="3">
        <f>IF($D1257="","",UPPER(SUBSTITUTE(SUBSTITUTE(SUBSTITUTE(SUBSTITUTE(SUBSTITUTE(SUBSTITUTE(SUBSTITUTE(SUBSTITUTE(SUBSTITUTE(SUBSTITUTE(SUBSTITUTE(SUBSTITUTE(SUBSTITUTE(SUBSTITUTE(SUBSTITUTE(SUBSTITUTE(SUBSTITUTE(SUBSTITUTE(TRIM($D1257),"'",""),"İ","I"),"ı","I"),"i","I"),"Ş","S"),"ş","S"),"Ğ","G"),"ğ","G"),"Ü","U"),"ü","U"),"Ö","O"),"ö","O"),"Ç","C"),"ç","C"),".",""),",","")," ",""),"-","")))</f>
        <v/>
      </c>
      <c r="S1257" s="3">
        <f>IF($D1257="","",$C1257&amp;"|"&amp;TEXT($E1257,"0")&amp;"|"&amp;TEXT($F1257,"0")&amp;"|"&amp;$I1257)</f>
        <v/>
      </c>
      <c r="T1257" s="3">
        <f>IF($E1257="",0,SUMPRODUCT((AY_SONU!$O$7:$O$42="Evet")*(AY_SONU!$B$7:$B$42=DATE(YEAR($E1257),MONTH($E1257),1))))</f>
        <v/>
      </c>
    </row>
    <row r="1258">
      <c r="A1258" s="6" t="n"/>
      <c r="B1258" s="113">
        <f>IF($D1258="","","T"&amp;TEXT(ROW()-6,"00000"))</f>
        <v/>
      </c>
      <c r="C1258" s="113">
        <f>IF($D1258="","",IFERROR(INDEX(MUSTERILER!$B$7:$B$106,MATCH($R1258,MUSTERILER!$T$7:$T$106,0)),IFERROR(INDEX(MUSTERILER!$B$7:$B$106,MATCH($D1258,MUSTERILER!$B$7:$B$106,0)),IFERROR(INDEX(MUSTERILER!$B$7:$B$106,MATCH($R1258&amp;"*",MUSTERILER!$T$7:$T$106,0)),"TANIMSIZ MÜŞTERİ"))))</f>
        <v/>
      </c>
      <c r="D1258" s="109" t="n"/>
      <c r="E1258" s="220" t="n"/>
      <c r="F1258" s="221" t="n"/>
      <c r="G1258" s="108" t="n"/>
      <c r="H1258" s="108" t="n"/>
      <c r="I1258" s="109" t="n"/>
      <c r="J1258" s="109" t="n"/>
      <c r="K1258" s="109" t="n"/>
      <c r="L1258" s="226">
        <f>IF($E1258="","",DATE(YEAR($E1258),MONTH($E1258),1))</f>
        <v/>
      </c>
      <c r="M1258" s="113">
        <f>IF($D1258="","",IF($C1258="TANIMSIZ MÜŞTERİ","HATA",IF(OR($E1258="",$F1258&lt;=0,$G1258=""),"EKSİK",IF($E1258&gt;TODAY(),"İLERİ TARİH",IF(COUNTIF($S$7:$S$1506,$S1258)&gt;1,"MÜKERRER?",IF($T1258&gt;0,"KAPALI DÖNEM","UYGUN"))))))</f>
        <v/>
      </c>
      <c r="N1258" s="121">
        <f>IF($C1258="","",IF($C1258="TANIMSIZ MÜŞTERİ","—",INDEX(MUSTERILER!$C$7:$C$106,MATCH($C1258,MUSTERILER!$B$7:$B$106,0))))</f>
        <v/>
      </c>
      <c r="O1258" s="6" t="n"/>
      <c r="P1258" s="6" t="n"/>
      <c r="Q1258" s="3">
        <f>IF($D1258="","",$C1258&amp;"|"&amp;COUNTIFS($C$7:$C1258,$C1258))</f>
        <v/>
      </c>
      <c r="R1258" s="3">
        <f>IF($D1258="","",UPPER(SUBSTITUTE(SUBSTITUTE(SUBSTITUTE(SUBSTITUTE(SUBSTITUTE(SUBSTITUTE(SUBSTITUTE(SUBSTITUTE(SUBSTITUTE(SUBSTITUTE(SUBSTITUTE(SUBSTITUTE(SUBSTITUTE(SUBSTITUTE(SUBSTITUTE(SUBSTITUTE(SUBSTITUTE(SUBSTITUTE(TRIM($D1258),"'",""),"İ","I"),"ı","I"),"i","I"),"Ş","S"),"ş","S"),"Ğ","G"),"ğ","G"),"Ü","U"),"ü","U"),"Ö","O"),"ö","O"),"Ç","C"),"ç","C"),".",""),",","")," ",""),"-","")))</f>
        <v/>
      </c>
      <c r="S1258" s="3">
        <f>IF($D1258="","",$C1258&amp;"|"&amp;TEXT($E1258,"0")&amp;"|"&amp;TEXT($F1258,"0")&amp;"|"&amp;$I1258)</f>
        <v/>
      </c>
      <c r="T1258" s="3">
        <f>IF($E1258="",0,SUMPRODUCT((AY_SONU!$O$7:$O$42="Evet")*(AY_SONU!$B$7:$B$42=DATE(YEAR($E1258),MONTH($E1258),1))))</f>
        <v/>
      </c>
    </row>
    <row r="1259">
      <c r="A1259" s="6" t="n"/>
      <c r="B1259" s="113">
        <f>IF($D1259="","","T"&amp;TEXT(ROW()-6,"00000"))</f>
        <v/>
      </c>
      <c r="C1259" s="113">
        <f>IF($D1259="","",IFERROR(INDEX(MUSTERILER!$B$7:$B$106,MATCH($R1259,MUSTERILER!$T$7:$T$106,0)),IFERROR(INDEX(MUSTERILER!$B$7:$B$106,MATCH($D1259,MUSTERILER!$B$7:$B$106,0)),IFERROR(INDEX(MUSTERILER!$B$7:$B$106,MATCH($R1259&amp;"*",MUSTERILER!$T$7:$T$106,0)),"TANIMSIZ MÜŞTERİ"))))</f>
        <v/>
      </c>
      <c r="D1259" s="109" t="n"/>
      <c r="E1259" s="220" t="n"/>
      <c r="F1259" s="221" t="n"/>
      <c r="G1259" s="108" t="n"/>
      <c r="H1259" s="108" t="n"/>
      <c r="I1259" s="109" t="n"/>
      <c r="J1259" s="109" t="n"/>
      <c r="K1259" s="109" t="n"/>
      <c r="L1259" s="226">
        <f>IF($E1259="","",DATE(YEAR($E1259),MONTH($E1259),1))</f>
        <v/>
      </c>
      <c r="M1259" s="113">
        <f>IF($D1259="","",IF($C1259="TANIMSIZ MÜŞTERİ","HATA",IF(OR($E1259="",$F1259&lt;=0,$G1259=""),"EKSİK",IF($E1259&gt;TODAY(),"İLERİ TARİH",IF(COUNTIF($S$7:$S$1506,$S1259)&gt;1,"MÜKERRER?",IF($T1259&gt;0,"KAPALI DÖNEM","UYGUN"))))))</f>
        <v/>
      </c>
      <c r="N1259" s="121">
        <f>IF($C1259="","",IF($C1259="TANIMSIZ MÜŞTERİ","—",INDEX(MUSTERILER!$C$7:$C$106,MATCH($C1259,MUSTERILER!$B$7:$B$106,0))))</f>
        <v/>
      </c>
      <c r="O1259" s="6" t="n"/>
      <c r="P1259" s="6" t="n"/>
      <c r="Q1259" s="3">
        <f>IF($D1259="","",$C1259&amp;"|"&amp;COUNTIFS($C$7:$C1259,$C1259))</f>
        <v/>
      </c>
      <c r="R1259" s="3">
        <f>IF($D1259="","",UPPER(SUBSTITUTE(SUBSTITUTE(SUBSTITUTE(SUBSTITUTE(SUBSTITUTE(SUBSTITUTE(SUBSTITUTE(SUBSTITUTE(SUBSTITUTE(SUBSTITUTE(SUBSTITUTE(SUBSTITUTE(SUBSTITUTE(SUBSTITUTE(SUBSTITUTE(SUBSTITUTE(SUBSTITUTE(SUBSTITUTE(TRIM($D1259),"'",""),"İ","I"),"ı","I"),"i","I"),"Ş","S"),"ş","S"),"Ğ","G"),"ğ","G"),"Ü","U"),"ü","U"),"Ö","O"),"ö","O"),"Ç","C"),"ç","C"),".",""),",","")," ",""),"-","")))</f>
        <v/>
      </c>
      <c r="S1259" s="3">
        <f>IF($D1259="","",$C1259&amp;"|"&amp;TEXT($E1259,"0")&amp;"|"&amp;TEXT($F1259,"0")&amp;"|"&amp;$I1259)</f>
        <v/>
      </c>
      <c r="T1259" s="3">
        <f>IF($E1259="",0,SUMPRODUCT((AY_SONU!$O$7:$O$42="Evet")*(AY_SONU!$B$7:$B$42=DATE(YEAR($E1259),MONTH($E1259),1))))</f>
        <v/>
      </c>
    </row>
    <row r="1260">
      <c r="A1260" s="6" t="n"/>
      <c r="B1260" s="113">
        <f>IF($D1260="","","T"&amp;TEXT(ROW()-6,"00000"))</f>
        <v/>
      </c>
      <c r="C1260" s="113">
        <f>IF($D1260="","",IFERROR(INDEX(MUSTERILER!$B$7:$B$106,MATCH($R1260,MUSTERILER!$T$7:$T$106,0)),IFERROR(INDEX(MUSTERILER!$B$7:$B$106,MATCH($D1260,MUSTERILER!$B$7:$B$106,0)),IFERROR(INDEX(MUSTERILER!$B$7:$B$106,MATCH($R1260&amp;"*",MUSTERILER!$T$7:$T$106,0)),"TANIMSIZ MÜŞTERİ"))))</f>
        <v/>
      </c>
      <c r="D1260" s="109" t="n"/>
      <c r="E1260" s="220" t="n"/>
      <c r="F1260" s="221" t="n"/>
      <c r="G1260" s="108" t="n"/>
      <c r="H1260" s="108" t="n"/>
      <c r="I1260" s="109" t="n"/>
      <c r="J1260" s="109" t="n"/>
      <c r="K1260" s="109" t="n"/>
      <c r="L1260" s="226">
        <f>IF($E1260="","",DATE(YEAR($E1260),MONTH($E1260),1))</f>
        <v/>
      </c>
      <c r="M1260" s="113">
        <f>IF($D1260="","",IF($C1260="TANIMSIZ MÜŞTERİ","HATA",IF(OR($E1260="",$F1260&lt;=0,$G1260=""),"EKSİK",IF($E1260&gt;TODAY(),"İLERİ TARİH",IF(COUNTIF($S$7:$S$1506,$S1260)&gt;1,"MÜKERRER?",IF($T1260&gt;0,"KAPALI DÖNEM","UYGUN"))))))</f>
        <v/>
      </c>
      <c r="N1260" s="121">
        <f>IF($C1260="","",IF($C1260="TANIMSIZ MÜŞTERİ","—",INDEX(MUSTERILER!$C$7:$C$106,MATCH($C1260,MUSTERILER!$B$7:$B$106,0))))</f>
        <v/>
      </c>
      <c r="O1260" s="6" t="n"/>
      <c r="P1260" s="6" t="n"/>
      <c r="Q1260" s="3">
        <f>IF($D1260="","",$C1260&amp;"|"&amp;COUNTIFS($C$7:$C1260,$C1260))</f>
        <v/>
      </c>
      <c r="R1260" s="3">
        <f>IF($D1260="","",UPPER(SUBSTITUTE(SUBSTITUTE(SUBSTITUTE(SUBSTITUTE(SUBSTITUTE(SUBSTITUTE(SUBSTITUTE(SUBSTITUTE(SUBSTITUTE(SUBSTITUTE(SUBSTITUTE(SUBSTITUTE(SUBSTITUTE(SUBSTITUTE(SUBSTITUTE(SUBSTITUTE(SUBSTITUTE(SUBSTITUTE(TRIM($D1260),"'",""),"İ","I"),"ı","I"),"i","I"),"Ş","S"),"ş","S"),"Ğ","G"),"ğ","G"),"Ü","U"),"ü","U"),"Ö","O"),"ö","O"),"Ç","C"),"ç","C"),".",""),",","")," ",""),"-","")))</f>
        <v/>
      </c>
      <c r="S1260" s="3">
        <f>IF($D1260="","",$C1260&amp;"|"&amp;TEXT($E1260,"0")&amp;"|"&amp;TEXT($F1260,"0")&amp;"|"&amp;$I1260)</f>
        <v/>
      </c>
      <c r="T1260" s="3">
        <f>IF($E1260="",0,SUMPRODUCT((AY_SONU!$O$7:$O$42="Evet")*(AY_SONU!$B$7:$B$42=DATE(YEAR($E1260),MONTH($E1260),1))))</f>
        <v/>
      </c>
    </row>
    <row r="1261">
      <c r="A1261" s="6" t="n"/>
      <c r="B1261" s="113">
        <f>IF($D1261="","","T"&amp;TEXT(ROW()-6,"00000"))</f>
        <v/>
      </c>
      <c r="C1261" s="113">
        <f>IF($D1261="","",IFERROR(INDEX(MUSTERILER!$B$7:$B$106,MATCH($R1261,MUSTERILER!$T$7:$T$106,0)),IFERROR(INDEX(MUSTERILER!$B$7:$B$106,MATCH($D1261,MUSTERILER!$B$7:$B$106,0)),IFERROR(INDEX(MUSTERILER!$B$7:$B$106,MATCH($R1261&amp;"*",MUSTERILER!$T$7:$T$106,0)),"TANIMSIZ MÜŞTERİ"))))</f>
        <v/>
      </c>
      <c r="D1261" s="109" t="n"/>
      <c r="E1261" s="220" t="n"/>
      <c r="F1261" s="221" t="n"/>
      <c r="G1261" s="108" t="n"/>
      <c r="H1261" s="108" t="n"/>
      <c r="I1261" s="109" t="n"/>
      <c r="J1261" s="109" t="n"/>
      <c r="K1261" s="109" t="n"/>
      <c r="L1261" s="226">
        <f>IF($E1261="","",DATE(YEAR($E1261),MONTH($E1261),1))</f>
        <v/>
      </c>
      <c r="M1261" s="113">
        <f>IF($D1261="","",IF($C1261="TANIMSIZ MÜŞTERİ","HATA",IF(OR($E1261="",$F1261&lt;=0,$G1261=""),"EKSİK",IF($E1261&gt;TODAY(),"İLERİ TARİH",IF(COUNTIF($S$7:$S$1506,$S1261)&gt;1,"MÜKERRER?",IF($T1261&gt;0,"KAPALI DÖNEM","UYGUN"))))))</f>
        <v/>
      </c>
      <c r="N1261" s="121">
        <f>IF($C1261="","",IF($C1261="TANIMSIZ MÜŞTERİ","—",INDEX(MUSTERILER!$C$7:$C$106,MATCH($C1261,MUSTERILER!$B$7:$B$106,0))))</f>
        <v/>
      </c>
      <c r="O1261" s="6" t="n"/>
      <c r="P1261" s="6" t="n"/>
      <c r="Q1261" s="3">
        <f>IF($D1261="","",$C1261&amp;"|"&amp;COUNTIFS($C$7:$C1261,$C1261))</f>
        <v/>
      </c>
      <c r="R1261" s="3">
        <f>IF($D1261="","",UPPER(SUBSTITUTE(SUBSTITUTE(SUBSTITUTE(SUBSTITUTE(SUBSTITUTE(SUBSTITUTE(SUBSTITUTE(SUBSTITUTE(SUBSTITUTE(SUBSTITUTE(SUBSTITUTE(SUBSTITUTE(SUBSTITUTE(SUBSTITUTE(SUBSTITUTE(SUBSTITUTE(SUBSTITUTE(SUBSTITUTE(TRIM($D1261),"'",""),"İ","I"),"ı","I"),"i","I"),"Ş","S"),"ş","S"),"Ğ","G"),"ğ","G"),"Ü","U"),"ü","U"),"Ö","O"),"ö","O"),"Ç","C"),"ç","C"),".",""),",","")," ",""),"-","")))</f>
        <v/>
      </c>
      <c r="S1261" s="3">
        <f>IF($D1261="","",$C1261&amp;"|"&amp;TEXT($E1261,"0")&amp;"|"&amp;TEXT($F1261,"0")&amp;"|"&amp;$I1261)</f>
        <v/>
      </c>
      <c r="T1261" s="3">
        <f>IF($E1261="",0,SUMPRODUCT((AY_SONU!$O$7:$O$42="Evet")*(AY_SONU!$B$7:$B$42=DATE(YEAR($E1261),MONTH($E1261),1))))</f>
        <v/>
      </c>
    </row>
    <row r="1262">
      <c r="A1262" s="6" t="n"/>
      <c r="B1262" s="113">
        <f>IF($D1262="","","T"&amp;TEXT(ROW()-6,"00000"))</f>
        <v/>
      </c>
      <c r="C1262" s="113">
        <f>IF($D1262="","",IFERROR(INDEX(MUSTERILER!$B$7:$B$106,MATCH($R1262,MUSTERILER!$T$7:$T$106,0)),IFERROR(INDEX(MUSTERILER!$B$7:$B$106,MATCH($D1262,MUSTERILER!$B$7:$B$106,0)),IFERROR(INDEX(MUSTERILER!$B$7:$B$106,MATCH($R1262&amp;"*",MUSTERILER!$T$7:$T$106,0)),"TANIMSIZ MÜŞTERİ"))))</f>
        <v/>
      </c>
      <c r="D1262" s="109" t="n"/>
      <c r="E1262" s="220" t="n"/>
      <c r="F1262" s="221" t="n"/>
      <c r="G1262" s="108" t="n"/>
      <c r="H1262" s="108" t="n"/>
      <c r="I1262" s="109" t="n"/>
      <c r="J1262" s="109" t="n"/>
      <c r="K1262" s="109" t="n"/>
      <c r="L1262" s="226">
        <f>IF($E1262="","",DATE(YEAR($E1262),MONTH($E1262),1))</f>
        <v/>
      </c>
      <c r="M1262" s="113">
        <f>IF($D1262="","",IF($C1262="TANIMSIZ MÜŞTERİ","HATA",IF(OR($E1262="",$F1262&lt;=0,$G1262=""),"EKSİK",IF($E1262&gt;TODAY(),"İLERİ TARİH",IF(COUNTIF($S$7:$S$1506,$S1262)&gt;1,"MÜKERRER?",IF($T1262&gt;0,"KAPALI DÖNEM","UYGUN"))))))</f>
        <v/>
      </c>
      <c r="N1262" s="121">
        <f>IF($C1262="","",IF($C1262="TANIMSIZ MÜŞTERİ","—",INDEX(MUSTERILER!$C$7:$C$106,MATCH($C1262,MUSTERILER!$B$7:$B$106,0))))</f>
        <v/>
      </c>
      <c r="O1262" s="6" t="n"/>
      <c r="P1262" s="6" t="n"/>
      <c r="Q1262" s="3">
        <f>IF($D1262="","",$C1262&amp;"|"&amp;COUNTIFS($C$7:$C1262,$C1262))</f>
        <v/>
      </c>
      <c r="R1262" s="3">
        <f>IF($D1262="","",UPPER(SUBSTITUTE(SUBSTITUTE(SUBSTITUTE(SUBSTITUTE(SUBSTITUTE(SUBSTITUTE(SUBSTITUTE(SUBSTITUTE(SUBSTITUTE(SUBSTITUTE(SUBSTITUTE(SUBSTITUTE(SUBSTITUTE(SUBSTITUTE(SUBSTITUTE(SUBSTITUTE(SUBSTITUTE(SUBSTITUTE(TRIM($D1262),"'",""),"İ","I"),"ı","I"),"i","I"),"Ş","S"),"ş","S"),"Ğ","G"),"ğ","G"),"Ü","U"),"ü","U"),"Ö","O"),"ö","O"),"Ç","C"),"ç","C"),".",""),",","")," ",""),"-","")))</f>
        <v/>
      </c>
      <c r="S1262" s="3">
        <f>IF($D1262="","",$C1262&amp;"|"&amp;TEXT($E1262,"0")&amp;"|"&amp;TEXT($F1262,"0")&amp;"|"&amp;$I1262)</f>
        <v/>
      </c>
      <c r="T1262" s="3">
        <f>IF($E1262="",0,SUMPRODUCT((AY_SONU!$O$7:$O$42="Evet")*(AY_SONU!$B$7:$B$42=DATE(YEAR($E1262),MONTH($E1262),1))))</f>
        <v/>
      </c>
    </row>
    <row r="1263">
      <c r="A1263" s="6" t="n"/>
      <c r="B1263" s="113">
        <f>IF($D1263="","","T"&amp;TEXT(ROW()-6,"00000"))</f>
        <v/>
      </c>
      <c r="C1263" s="113">
        <f>IF($D1263="","",IFERROR(INDEX(MUSTERILER!$B$7:$B$106,MATCH($R1263,MUSTERILER!$T$7:$T$106,0)),IFERROR(INDEX(MUSTERILER!$B$7:$B$106,MATCH($D1263,MUSTERILER!$B$7:$B$106,0)),IFERROR(INDEX(MUSTERILER!$B$7:$B$106,MATCH($R1263&amp;"*",MUSTERILER!$T$7:$T$106,0)),"TANIMSIZ MÜŞTERİ"))))</f>
        <v/>
      </c>
      <c r="D1263" s="109" t="n"/>
      <c r="E1263" s="220" t="n"/>
      <c r="F1263" s="221" t="n"/>
      <c r="G1263" s="108" t="n"/>
      <c r="H1263" s="108" t="n"/>
      <c r="I1263" s="109" t="n"/>
      <c r="J1263" s="109" t="n"/>
      <c r="K1263" s="109" t="n"/>
      <c r="L1263" s="226">
        <f>IF($E1263="","",DATE(YEAR($E1263),MONTH($E1263),1))</f>
        <v/>
      </c>
      <c r="M1263" s="113">
        <f>IF($D1263="","",IF($C1263="TANIMSIZ MÜŞTERİ","HATA",IF(OR($E1263="",$F1263&lt;=0,$G1263=""),"EKSİK",IF($E1263&gt;TODAY(),"İLERİ TARİH",IF(COUNTIF($S$7:$S$1506,$S1263)&gt;1,"MÜKERRER?",IF($T1263&gt;0,"KAPALI DÖNEM","UYGUN"))))))</f>
        <v/>
      </c>
      <c r="N1263" s="121">
        <f>IF($C1263="","",IF($C1263="TANIMSIZ MÜŞTERİ","—",INDEX(MUSTERILER!$C$7:$C$106,MATCH($C1263,MUSTERILER!$B$7:$B$106,0))))</f>
        <v/>
      </c>
      <c r="O1263" s="6" t="n"/>
      <c r="P1263" s="6" t="n"/>
      <c r="Q1263" s="3">
        <f>IF($D1263="","",$C1263&amp;"|"&amp;COUNTIFS($C$7:$C1263,$C1263))</f>
        <v/>
      </c>
      <c r="R1263" s="3">
        <f>IF($D1263="","",UPPER(SUBSTITUTE(SUBSTITUTE(SUBSTITUTE(SUBSTITUTE(SUBSTITUTE(SUBSTITUTE(SUBSTITUTE(SUBSTITUTE(SUBSTITUTE(SUBSTITUTE(SUBSTITUTE(SUBSTITUTE(SUBSTITUTE(SUBSTITUTE(SUBSTITUTE(SUBSTITUTE(SUBSTITUTE(SUBSTITUTE(TRIM($D1263),"'",""),"İ","I"),"ı","I"),"i","I"),"Ş","S"),"ş","S"),"Ğ","G"),"ğ","G"),"Ü","U"),"ü","U"),"Ö","O"),"ö","O"),"Ç","C"),"ç","C"),".",""),",","")," ",""),"-","")))</f>
        <v/>
      </c>
      <c r="S1263" s="3">
        <f>IF($D1263="","",$C1263&amp;"|"&amp;TEXT($E1263,"0")&amp;"|"&amp;TEXT($F1263,"0")&amp;"|"&amp;$I1263)</f>
        <v/>
      </c>
      <c r="T1263" s="3">
        <f>IF($E1263="",0,SUMPRODUCT((AY_SONU!$O$7:$O$42="Evet")*(AY_SONU!$B$7:$B$42=DATE(YEAR($E1263),MONTH($E1263),1))))</f>
        <v/>
      </c>
    </row>
    <row r="1264">
      <c r="A1264" s="6" t="n"/>
      <c r="B1264" s="113">
        <f>IF($D1264="","","T"&amp;TEXT(ROW()-6,"00000"))</f>
        <v/>
      </c>
      <c r="C1264" s="113">
        <f>IF($D1264="","",IFERROR(INDEX(MUSTERILER!$B$7:$B$106,MATCH($R1264,MUSTERILER!$T$7:$T$106,0)),IFERROR(INDEX(MUSTERILER!$B$7:$B$106,MATCH($D1264,MUSTERILER!$B$7:$B$106,0)),IFERROR(INDEX(MUSTERILER!$B$7:$B$106,MATCH($R1264&amp;"*",MUSTERILER!$T$7:$T$106,0)),"TANIMSIZ MÜŞTERİ"))))</f>
        <v/>
      </c>
      <c r="D1264" s="109" t="n"/>
      <c r="E1264" s="220" t="n"/>
      <c r="F1264" s="221" t="n"/>
      <c r="G1264" s="108" t="n"/>
      <c r="H1264" s="108" t="n"/>
      <c r="I1264" s="109" t="n"/>
      <c r="J1264" s="109" t="n"/>
      <c r="K1264" s="109" t="n"/>
      <c r="L1264" s="226">
        <f>IF($E1264="","",DATE(YEAR($E1264),MONTH($E1264),1))</f>
        <v/>
      </c>
      <c r="M1264" s="113">
        <f>IF($D1264="","",IF($C1264="TANIMSIZ MÜŞTERİ","HATA",IF(OR($E1264="",$F1264&lt;=0,$G1264=""),"EKSİK",IF($E1264&gt;TODAY(),"İLERİ TARİH",IF(COUNTIF($S$7:$S$1506,$S1264)&gt;1,"MÜKERRER?",IF($T1264&gt;0,"KAPALI DÖNEM","UYGUN"))))))</f>
        <v/>
      </c>
      <c r="N1264" s="121">
        <f>IF($C1264="","",IF($C1264="TANIMSIZ MÜŞTERİ","—",INDEX(MUSTERILER!$C$7:$C$106,MATCH($C1264,MUSTERILER!$B$7:$B$106,0))))</f>
        <v/>
      </c>
      <c r="O1264" s="6" t="n"/>
      <c r="P1264" s="6" t="n"/>
      <c r="Q1264" s="3">
        <f>IF($D1264="","",$C1264&amp;"|"&amp;COUNTIFS($C$7:$C1264,$C1264))</f>
        <v/>
      </c>
      <c r="R1264" s="3">
        <f>IF($D1264="","",UPPER(SUBSTITUTE(SUBSTITUTE(SUBSTITUTE(SUBSTITUTE(SUBSTITUTE(SUBSTITUTE(SUBSTITUTE(SUBSTITUTE(SUBSTITUTE(SUBSTITUTE(SUBSTITUTE(SUBSTITUTE(SUBSTITUTE(SUBSTITUTE(SUBSTITUTE(SUBSTITUTE(SUBSTITUTE(SUBSTITUTE(TRIM($D1264),"'",""),"İ","I"),"ı","I"),"i","I"),"Ş","S"),"ş","S"),"Ğ","G"),"ğ","G"),"Ü","U"),"ü","U"),"Ö","O"),"ö","O"),"Ç","C"),"ç","C"),".",""),",","")," ",""),"-","")))</f>
        <v/>
      </c>
      <c r="S1264" s="3">
        <f>IF($D1264="","",$C1264&amp;"|"&amp;TEXT($E1264,"0")&amp;"|"&amp;TEXT($F1264,"0")&amp;"|"&amp;$I1264)</f>
        <v/>
      </c>
      <c r="T1264" s="3">
        <f>IF($E1264="",0,SUMPRODUCT((AY_SONU!$O$7:$O$42="Evet")*(AY_SONU!$B$7:$B$42=DATE(YEAR($E1264),MONTH($E1264),1))))</f>
        <v/>
      </c>
    </row>
    <row r="1265">
      <c r="A1265" s="6" t="n"/>
      <c r="B1265" s="113">
        <f>IF($D1265="","","T"&amp;TEXT(ROW()-6,"00000"))</f>
        <v/>
      </c>
      <c r="C1265" s="113">
        <f>IF($D1265="","",IFERROR(INDEX(MUSTERILER!$B$7:$B$106,MATCH($R1265,MUSTERILER!$T$7:$T$106,0)),IFERROR(INDEX(MUSTERILER!$B$7:$B$106,MATCH($D1265,MUSTERILER!$B$7:$B$106,0)),IFERROR(INDEX(MUSTERILER!$B$7:$B$106,MATCH($R1265&amp;"*",MUSTERILER!$T$7:$T$106,0)),"TANIMSIZ MÜŞTERİ"))))</f>
        <v/>
      </c>
      <c r="D1265" s="109" t="n"/>
      <c r="E1265" s="220" t="n"/>
      <c r="F1265" s="221" t="n"/>
      <c r="G1265" s="108" t="n"/>
      <c r="H1265" s="108" t="n"/>
      <c r="I1265" s="109" t="n"/>
      <c r="J1265" s="109" t="n"/>
      <c r="K1265" s="109" t="n"/>
      <c r="L1265" s="226">
        <f>IF($E1265="","",DATE(YEAR($E1265),MONTH($E1265),1))</f>
        <v/>
      </c>
      <c r="M1265" s="113">
        <f>IF($D1265="","",IF($C1265="TANIMSIZ MÜŞTERİ","HATA",IF(OR($E1265="",$F1265&lt;=0,$G1265=""),"EKSİK",IF($E1265&gt;TODAY(),"İLERİ TARİH",IF(COUNTIF($S$7:$S$1506,$S1265)&gt;1,"MÜKERRER?",IF($T1265&gt;0,"KAPALI DÖNEM","UYGUN"))))))</f>
        <v/>
      </c>
      <c r="N1265" s="121">
        <f>IF($C1265="","",IF($C1265="TANIMSIZ MÜŞTERİ","—",INDEX(MUSTERILER!$C$7:$C$106,MATCH($C1265,MUSTERILER!$B$7:$B$106,0))))</f>
        <v/>
      </c>
      <c r="O1265" s="6" t="n"/>
      <c r="P1265" s="6" t="n"/>
      <c r="Q1265" s="3">
        <f>IF($D1265="","",$C1265&amp;"|"&amp;COUNTIFS($C$7:$C1265,$C1265))</f>
        <v/>
      </c>
      <c r="R1265" s="3">
        <f>IF($D1265="","",UPPER(SUBSTITUTE(SUBSTITUTE(SUBSTITUTE(SUBSTITUTE(SUBSTITUTE(SUBSTITUTE(SUBSTITUTE(SUBSTITUTE(SUBSTITUTE(SUBSTITUTE(SUBSTITUTE(SUBSTITUTE(SUBSTITUTE(SUBSTITUTE(SUBSTITUTE(SUBSTITUTE(SUBSTITUTE(SUBSTITUTE(TRIM($D1265),"'",""),"İ","I"),"ı","I"),"i","I"),"Ş","S"),"ş","S"),"Ğ","G"),"ğ","G"),"Ü","U"),"ü","U"),"Ö","O"),"ö","O"),"Ç","C"),"ç","C"),".",""),",","")," ",""),"-","")))</f>
        <v/>
      </c>
      <c r="S1265" s="3">
        <f>IF($D1265="","",$C1265&amp;"|"&amp;TEXT($E1265,"0")&amp;"|"&amp;TEXT($F1265,"0")&amp;"|"&amp;$I1265)</f>
        <v/>
      </c>
      <c r="T1265" s="3">
        <f>IF($E1265="",0,SUMPRODUCT((AY_SONU!$O$7:$O$42="Evet")*(AY_SONU!$B$7:$B$42=DATE(YEAR($E1265),MONTH($E1265),1))))</f>
        <v/>
      </c>
    </row>
    <row r="1266">
      <c r="A1266" s="6" t="n"/>
      <c r="B1266" s="113">
        <f>IF($D1266="","","T"&amp;TEXT(ROW()-6,"00000"))</f>
        <v/>
      </c>
      <c r="C1266" s="113">
        <f>IF($D1266="","",IFERROR(INDEX(MUSTERILER!$B$7:$B$106,MATCH($R1266,MUSTERILER!$T$7:$T$106,0)),IFERROR(INDEX(MUSTERILER!$B$7:$B$106,MATCH($D1266,MUSTERILER!$B$7:$B$106,0)),IFERROR(INDEX(MUSTERILER!$B$7:$B$106,MATCH($R1266&amp;"*",MUSTERILER!$T$7:$T$106,0)),"TANIMSIZ MÜŞTERİ"))))</f>
        <v/>
      </c>
      <c r="D1266" s="109" t="n"/>
      <c r="E1266" s="220" t="n"/>
      <c r="F1266" s="221" t="n"/>
      <c r="G1266" s="108" t="n"/>
      <c r="H1266" s="108" t="n"/>
      <c r="I1266" s="109" t="n"/>
      <c r="J1266" s="109" t="n"/>
      <c r="K1266" s="109" t="n"/>
      <c r="L1266" s="226">
        <f>IF($E1266="","",DATE(YEAR($E1266),MONTH($E1266),1))</f>
        <v/>
      </c>
      <c r="M1266" s="113">
        <f>IF($D1266="","",IF($C1266="TANIMSIZ MÜŞTERİ","HATA",IF(OR($E1266="",$F1266&lt;=0,$G1266=""),"EKSİK",IF($E1266&gt;TODAY(),"İLERİ TARİH",IF(COUNTIF($S$7:$S$1506,$S1266)&gt;1,"MÜKERRER?",IF($T1266&gt;0,"KAPALI DÖNEM","UYGUN"))))))</f>
        <v/>
      </c>
      <c r="N1266" s="121">
        <f>IF($C1266="","",IF($C1266="TANIMSIZ MÜŞTERİ","—",INDEX(MUSTERILER!$C$7:$C$106,MATCH($C1266,MUSTERILER!$B$7:$B$106,0))))</f>
        <v/>
      </c>
      <c r="O1266" s="6" t="n"/>
      <c r="P1266" s="6" t="n"/>
      <c r="Q1266" s="3">
        <f>IF($D1266="","",$C1266&amp;"|"&amp;COUNTIFS($C$7:$C1266,$C1266))</f>
        <v/>
      </c>
      <c r="R1266" s="3">
        <f>IF($D1266="","",UPPER(SUBSTITUTE(SUBSTITUTE(SUBSTITUTE(SUBSTITUTE(SUBSTITUTE(SUBSTITUTE(SUBSTITUTE(SUBSTITUTE(SUBSTITUTE(SUBSTITUTE(SUBSTITUTE(SUBSTITUTE(SUBSTITUTE(SUBSTITUTE(SUBSTITUTE(SUBSTITUTE(SUBSTITUTE(SUBSTITUTE(TRIM($D1266),"'",""),"İ","I"),"ı","I"),"i","I"),"Ş","S"),"ş","S"),"Ğ","G"),"ğ","G"),"Ü","U"),"ü","U"),"Ö","O"),"ö","O"),"Ç","C"),"ç","C"),".",""),",","")," ",""),"-","")))</f>
        <v/>
      </c>
      <c r="S1266" s="3">
        <f>IF($D1266="","",$C1266&amp;"|"&amp;TEXT($E1266,"0")&amp;"|"&amp;TEXT($F1266,"0")&amp;"|"&amp;$I1266)</f>
        <v/>
      </c>
      <c r="T1266" s="3">
        <f>IF($E1266="",0,SUMPRODUCT((AY_SONU!$O$7:$O$42="Evet")*(AY_SONU!$B$7:$B$42=DATE(YEAR($E1266),MONTH($E1266),1))))</f>
        <v/>
      </c>
    </row>
    <row r="1267">
      <c r="A1267" s="6" t="n"/>
      <c r="B1267" s="113">
        <f>IF($D1267="","","T"&amp;TEXT(ROW()-6,"00000"))</f>
        <v/>
      </c>
      <c r="C1267" s="113">
        <f>IF($D1267="","",IFERROR(INDEX(MUSTERILER!$B$7:$B$106,MATCH($R1267,MUSTERILER!$T$7:$T$106,0)),IFERROR(INDEX(MUSTERILER!$B$7:$B$106,MATCH($D1267,MUSTERILER!$B$7:$B$106,0)),IFERROR(INDEX(MUSTERILER!$B$7:$B$106,MATCH($R1267&amp;"*",MUSTERILER!$T$7:$T$106,0)),"TANIMSIZ MÜŞTERİ"))))</f>
        <v/>
      </c>
      <c r="D1267" s="109" t="n"/>
      <c r="E1267" s="220" t="n"/>
      <c r="F1267" s="221" t="n"/>
      <c r="G1267" s="108" t="n"/>
      <c r="H1267" s="108" t="n"/>
      <c r="I1267" s="109" t="n"/>
      <c r="J1267" s="109" t="n"/>
      <c r="K1267" s="109" t="n"/>
      <c r="L1267" s="226">
        <f>IF($E1267="","",DATE(YEAR($E1267),MONTH($E1267),1))</f>
        <v/>
      </c>
      <c r="M1267" s="113">
        <f>IF($D1267="","",IF($C1267="TANIMSIZ MÜŞTERİ","HATA",IF(OR($E1267="",$F1267&lt;=0,$G1267=""),"EKSİK",IF($E1267&gt;TODAY(),"İLERİ TARİH",IF(COUNTIF($S$7:$S$1506,$S1267)&gt;1,"MÜKERRER?",IF($T1267&gt;0,"KAPALI DÖNEM","UYGUN"))))))</f>
        <v/>
      </c>
      <c r="N1267" s="121">
        <f>IF($C1267="","",IF($C1267="TANIMSIZ MÜŞTERİ","—",INDEX(MUSTERILER!$C$7:$C$106,MATCH($C1267,MUSTERILER!$B$7:$B$106,0))))</f>
        <v/>
      </c>
      <c r="O1267" s="6" t="n"/>
      <c r="P1267" s="6" t="n"/>
      <c r="Q1267" s="3">
        <f>IF($D1267="","",$C1267&amp;"|"&amp;COUNTIFS($C$7:$C1267,$C1267))</f>
        <v/>
      </c>
      <c r="R1267" s="3">
        <f>IF($D1267="","",UPPER(SUBSTITUTE(SUBSTITUTE(SUBSTITUTE(SUBSTITUTE(SUBSTITUTE(SUBSTITUTE(SUBSTITUTE(SUBSTITUTE(SUBSTITUTE(SUBSTITUTE(SUBSTITUTE(SUBSTITUTE(SUBSTITUTE(SUBSTITUTE(SUBSTITUTE(SUBSTITUTE(SUBSTITUTE(SUBSTITUTE(TRIM($D1267),"'",""),"İ","I"),"ı","I"),"i","I"),"Ş","S"),"ş","S"),"Ğ","G"),"ğ","G"),"Ü","U"),"ü","U"),"Ö","O"),"ö","O"),"Ç","C"),"ç","C"),".",""),",","")," ",""),"-","")))</f>
        <v/>
      </c>
      <c r="S1267" s="3">
        <f>IF($D1267="","",$C1267&amp;"|"&amp;TEXT($E1267,"0")&amp;"|"&amp;TEXT($F1267,"0")&amp;"|"&amp;$I1267)</f>
        <v/>
      </c>
      <c r="T1267" s="3">
        <f>IF($E1267="",0,SUMPRODUCT((AY_SONU!$O$7:$O$42="Evet")*(AY_SONU!$B$7:$B$42=DATE(YEAR($E1267),MONTH($E1267),1))))</f>
        <v/>
      </c>
    </row>
    <row r="1268">
      <c r="A1268" s="6" t="n"/>
      <c r="B1268" s="113">
        <f>IF($D1268="","","T"&amp;TEXT(ROW()-6,"00000"))</f>
        <v/>
      </c>
      <c r="C1268" s="113">
        <f>IF($D1268="","",IFERROR(INDEX(MUSTERILER!$B$7:$B$106,MATCH($R1268,MUSTERILER!$T$7:$T$106,0)),IFERROR(INDEX(MUSTERILER!$B$7:$B$106,MATCH($D1268,MUSTERILER!$B$7:$B$106,0)),IFERROR(INDEX(MUSTERILER!$B$7:$B$106,MATCH($R1268&amp;"*",MUSTERILER!$T$7:$T$106,0)),"TANIMSIZ MÜŞTERİ"))))</f>
        <v/>
      </c>
      <c r="D1268" s="109" t="n"/>
      <c r="E1268" s="220" t="n"/>
      <c r="F1268" s="221" t="n"/>
      <c r="G1268" s="108" t="n"/>
      <c r="H1268" s="108" t="n"/>
      <c r="I1268" s="109" t="n"/>
      <c r="J1268" s="109" t="n"/>
      <c r="K1268" s="109" t="n"/>
      <c r="L1268" s="226">
        <f>IF($E1268="","",DATE(YEAR($E1268),MONTH($E1268),1))</f>
        <v/>
      </c>
      <c r="M1268" s="113">
        <f>IF($D1268="","",IF($C1268="TANIMSIZ MÜŞTERİ","HATA",IF(OR($E1268="",$F1268&lt;=0,$G1268=""),"EKSİK",IF($E1268&gt;TODAY(),"İLERİ TARİH",IF(COUNTIF($S$7:$S$1506,$S1268)&gt;1,"MÜKERRER?",IF($T1268&gt;0,"KAPALI DÖNEM","UYGUN"))))))</f>
        <v/>
      </c>
      <c r="N1268" s="121">
        <f>IF($C1268="","",IF($C1268="TANIMSIZ MÜŞTERİ","—",INDEX(MUSTERILER!$C$7:$C$106,MATCH($C1268,MUSTERILER!$B$7:$B$106,0))))</f>
        <v/>
      </c>
      <c r="O1268" s="6" t="n"/>
      <c r="P1268" s="6" t="n"/>
      <c r="Q1268" s="3">
        <f>IF($D1268="","",$C1268&amp;"|"&amp;COUNTIFS($C$7:$C1268,$C1268))</f>
        <v/>
      </c>
      <c r="R1268" s="3">
        <f>IF($D1268="","",UPPER(SUBSTITUTE(SUBSTITUTE(SUBSTITUTE(SUBSTITUTE(SUBSTITUTE(SUBSTITUTE(SUBSTITUTE(SUBSTITUTE(SUBSTITUTE(SUBSTITUTE(SUBSTITUTE(SUBSTITUTE(SUBSTITUTE(SUBSTITUTE(SUBSTITUTE(SUBSTITUTE(SUBSTITUTE(SUBSTITUTE(TRIM($D1268),"'",""),"İ","I"),"ı","I"),"i","I"),"Ş","S"),"ş","S"),"Ğ","G"),"ğ","G"),"Ü","U"),"ü","U"),"Ö","O"),"ö","O"),"Ç","C"),"ç","C"),".",""),",","")," ",""),"-","")))</f>
        <v/>
      </c>
      <c r="S1268" s="3">
        <f>IF($D1268="","",$C1268&amp;"|"&amp;TEXT($E1268,"0")&amp;"|"&amp;TEXT($F1268,"0")&amp;"|"&amp;$I1268)</f>
        <v/>
      </c>
      <c r="T1268" s="3">
        <f>IF($E1268="",0,SUMPRODUCT((AY_SONU!$O$7:$O$42="Evet")*(AY_SONU!$B$7:$B$42=DATE(YEAR($E1268),MONTH($E1268),1))))</f>
        <v/>
      </c>
    </row>
    <row r="1269">
      <c r="A1269" s="6" t="n"/>
      <c r="B1269" s="113">
        <f>IF($D1269="","","T"&amp;TEXT(ROW()-6,"00000"))</f>
        <v/>
      </c>
      <c r="C1269" s="113">
        <f>IF($D1269="","",IFERROR(INDEX(MUSTERILER!$B$7:$B$106,MATCH($R1269,MUSTERILER!$T$7:$T$106,0)),IFERROR(INDEX(MUSTERILER!$B$7:$B$106,MATCH($D1269,MUSTERILER!$B$7:$B$106,0)),IFERROR(INDEX(MUSTERILER!$B$7:$B$106,MATCH($R1269&amp;"*",MUSTERILER!$T$7:$T$106,0)),"TANIMSIZ MÜŞTERİ"))))</f>
        <v/>
      </c>
      <c r="D1269" s="109" t="n"/>
      <c r="E1269" s="220" t="n"/>
      <c r="F1269" s="221" t="n"/>
      <c r="G1269" s="108" t="n"/>
      <c r="H1269" s="108" t="n"/>
      <c r="I1269" s="109" t="n"/>
      <c r="J1269" s="109" t="n"/>
      <c r="K1269" s="109" t="n"/>
      <c r="L1269" s="226">
        <f>IF($E1269="","",DATE(YEAR($E1269),MONTH($E1269),1))</f>
        <v/>
      </c>
      <c r="M1269" s="113">
        <f>IF($D1269="","",IF($C1269="TANIMSIZ MÜŞTERİ","HATA",IF(OR($E1269="",$F1269&lt;=0,$G1269=""),"EKSİK",IF($E1269&gt;TODAY(),"İLERİ TARİH",IF(COUNTIF($S$7:$S$1506,$S1269)&gt;1,"MÜKERRER?",IF($T1269&gt;0,"KAPALI DÖNEM","UYGUN"))))))</f>
        <v/>
      </c>
      <c r="N1269" s="121">
        <f>IF($C1269="","",IF($C1269="TANIMSIZ MÜŞTERİ","—",INDEX(MUSTERILER!$C$7:$C$106,MATCH($C1269,MUSTERILER!$B$7:$B$106,0))))</f>
        <v/>
      </c>
      <c r="O1269" s="6" t="n"/>
      <c r="P1269" s="6" t="n"/>
      <c r="Q1269" s="3">
        <f>IF($D1269="","",$C1269&amp;"|"&amp;COUNTIFS($C$7:$C1269,$C1269))</f>
        <v/>
      </c>
      <c r="R1269" s="3">
        <f>IF($D1269="","",UPPER(SUBSTITUTE(SUBSTITUTE(SUBSTITUTE(SUBSTITUTE(SUBSTITUTE(SUBSTITUTE(SUBSTITUTE(SUBSTITUTE(SUBSTITUTE(SUBSTITUTE(SUBSTITUTE(SUBSTITUTE(SUBSTITUTE(SUBSTITUTE(SUBSTITUTE(SUBSTITUTE(SUBSTITUTE(SUBSTITUTE(TRIM($D1269),"'",""),"İ","I"),"ı","I"),"i","I"),"Ş","S"),"ş","S"),"Ğ","G"),"ğ","G"),"Ü","U"),"ü","U"),"Ö","O"),"ö","O"),"Ç","C"),"ç","C"),".",""),",","")," ",""),"-","")))</f>
        <v/>
      </c>
      <c r="S1269" s="3">
        <f>IF($D1269="","",$C1269&amp;"|"&amp;TEXT($E1269,"0")&amp;"|"&amp;TEXT($F1269,"0")&amp;"|"&amp;$I1269)</f>
        <v/>
      </c>
      <c r="T1269" s="3">
        <f>IF($E1269="",0,SUMPRODUCT((AY_SONU!$O$7:$O$42="Evet")*(AY_SONU!$B$7:$B$42=DATE(YEAR($E1269),MONTH($E1269),1))))</f>
        <v/>
      </c>
    </row>
    <row r="1270">
      <c r="A1270" s="6" t="n"/>
      <c r="B1270" s="113">
        <f>IF($D1270="","","T"&amp;TEXT(ROW()-6,"00000"))</f>
        <v/>
      </c>
      <c r="C1270" s="113">
        <f>IF($D1270="","",IFERROR(INDEX(MUSTERILER!$B$7:$B$106,MATCH($R1270,MUSTERILER!$T$7:$T$106,0)),IFERROR(INDEX(MUSTERILER!$B$7:$B$106,MATCH($D1270,MUSTERILER!$B$7:$B$106,0)),IFERROR(INDEX(MUSTERILER!$B$7:$B$106,MATCH($R1270&amp;"*",MUSTERILER!$T$7:$T$106,0)),"TANIMSIZ MÜŞTERİ"))))</f>
        <v/>
      </c>
      <c r="D1270" s="109" t="n"/>
      <c r="E1270" s="220" t="n"/>
      <c r="F1270" s="221" t="n"/>
      <c r="G1270" s="108" t="n"/>
      <c r="H1270" s="108" t="n"/>
      <c r="I1270" s="109" t="n"/>
      <c r="J1270" s="109" t="n"/>
      <c r="K1270" s="109" t="n"/>
      <c r="L1270" s="226">
        <f>IF($E1270="","",DATE(YEAR($E1270),MONTH($E1270),1))</f>
        <v/>
      </c>
      <c r="M1270" s="113">
        <f>IF($D1270="","",IF($C1270="TANIMSIZ MÜŞTERİ","HATA",IF(OR($E1270="",$F1270&lt;=0,$G1270=""),"EKSİK",IF($E1270&gt;TODAY(),"İLERİ TARİH",IF(COUNTIF($S$7:$S$1506,$S1270)&gt;1,"MÜKERRER?",IF($T1270&gt;0,"KAPALI DÖNEM","UYGUN"))))))</f>
        <v/>
      </c>
      <c r="N1270" s="121">
        <f>IF($C1270="","",IF($C1270="TANIMSIZ MÜŞTERİ","—",INDEX(MUSTERILER!$C$7:$C$106,MATCH($C1270,MUSTERILER!$B$7:$B$106,0))))</f>
        <v/>
      </c>
      <c r="O1270" s="6" t="n"/>
      <c r="P1270" s="6" t="n"/>
      <c r="Q1270" s="3">
        <f>IF($D1270="","",$C1270&amp;"|"&amp;COUNTIFS($C$7:$C1270,$C1270))</f>
        <v/>
      </c>
      <c r="R1270" s="3">
        <f>IF($D1270="","",UPPER(SUBSTITUTE(SUBSTITUTE(SUBSTITUTE(SUBSTITUTE(SUBSTITUTE(SUBSTITUTE(SUBSTITUTE(SUBSTITUTE(SUBSTITUTE(SUBSTITUTE(SUBSTITUTE(SUBSTITUTE(SUBSTITUTE(SUBSTITUTE(SUBSTITUTE(SUBSTITUTE(SUBSTITUTE(SUBSTITUTE(TRIM($D1270),"'",""),"İ","I"),"ı","I"),"i","I"),"Ş","S"),"ş","S"),"Ğ","G"),"ğ","G"),"Ü","U"),"ü","U"),"Ö","O"),"ö","O"),"Ç","C"),"ç","C"),".",""),",","")," ",""),"-","")))</f>
        <v/>
      </c>
      <c r="S1270" s="3">
        <f>IF($D1270="","",$C1270&amp;"|"&amp;TEXT($E1270,"0")&amp;"|"&amp;TEXT($F1270,"0")&amp;"|"&amp;$I1270)</f>
        <v/>
      </c>
      <c r="T1270" s="3">
        <f>IF($E1270="",0,SUMPRODUCT((AY_SONU!$O$7:$O$42="Evet")*(AY_SONU!$B$7:$B$42=DATE(YEAR($E1270),MONTH($E1270),1))))</f>
        <v/>
      </c>
    </row>
    <row r="1271">
      <c r="A1271" s="6" t="n"/>
      <c r="B1271" s="113">
        <f>IF($D1271="","","T"&amp;TEXT(ROW()-6,"00000"))</f>
        <v/>
      </c>
      <c r="C1271" s="113">
        <f>IF($D1271="","",IFERROR(INDEX(MUSTERILER!$B$7:$B$106,MATCH($R1271,MUSTERILER!$T$7:$T$106,0)),IFERROR(INDEX(MUSTERILER!$B$7:$B$106,MATCH($D1271,MUSTERILER!$B$7:$B$106,0)),IFERROR(INDEX(MUSTERILER!$B$7:$B$106,MATCH($R1271&amp;"*",MUSTERILER!$T$7:$T$106,0)),"TANIMSIZ MÜŞTERİ"))))</f>
        <v/>
      </c>
      <c r="D1271" s="109" t="n"/>
      <c r="E1271" s="220" t="n"/>
      <c r="F1271" s="221" t="n"/>
      <c r="G1271" s="108" t="n"/>
      <c r="H1271" s="108" t="n"/>
      <c r="I1271" s="109" t="n"/>
      <c r="J1271" s="109" t="n"/>
      <c r="K1271" s="109" t="n"/>
      <c r="L1271" s="226">
        <f>IF($E1271="","",DATE(YEAR($E1271),MONTH($E1271),1))</f>
        <v/>
      </c>
      <c r="M1271" s="113">
        <f>IF($D1271="","",IF($C1271="TANIMSIZ MÜŞTERİ","HATA",IF(OR($E1271="",$F1271&lt;=0,$G1271=""),"EKSİK",IF($E1271&gt;TODAY(),"İLERİ TARİH",IF(COUNTIF($S$7:$S$1506,$S1271)&gt;1,"MÜKERRER?",IF($T1271&gt;0,"KAPALI DÖNEM","UYGUN"))))))</f>
        <v/>
      </c>
      <c r="N1271" s="121">
        <f>IF($C1271="","",IF($C1271="TANIMSIZ MÜŞTERİ","—",INDEX(MUSTERILER!$C$7:$C$106,MATCH($C1271,MUSTERILER!$B$7:$B$106,0))))</f>
        <v/>
      </c>
      <c r="O1271" s="6" t="n"/>
      <c r="P1271" s="6" t="n"/>
      <c r="Q1271" s="3">
        <f>IF($D1271="","",$C1271&amp;"|"&amp;COUNTIFS($C$7:$C1271,$C1271))</f>
        <v/>
      </c>
      <c r="R1271" s="3">
        <f>IF($D1271="","",UPPER(SUBSTITUTE(SUBSTITUTE(SUBSTITUTE(SUBSTITUTE(SUBSTITUTE(SUBSTITUTE(SUBSTITUTE(SUBSTITUTE(SUBSTITUTE(SUBSTITUTE(SUBSTITUTE(SUBSTITUTE(SUBSTITUTE(SUBSTITUTE(SUBSTITUTE(SUBSTITUTE(SUBSTITUTE(SUBSTITUTE(TRIM($D1271),"'",""),"İ","I"),"ı","I"),"i","I"),"Ş","S"),"ş","S"),"Ğ","G"),"ğ","G"),"Ü","U"),"ü","U"),"Ö","O"),"ö","O"),"Ç","C"),"ç","C"),".",""),",","")," ",""),"-","")))</f>
        <v/>
      </c>
      <c r="S1271" s="3">
        <f>IF($D1271="","",$C1271&amp;"|"&amp;TEXT($E1271,"0")&amp;"|"&amp;TEXT($F1271,"0")&amp;"|"&amp;$I1271)</f>
        <v/>
      </c>
      <c r="T1271" s="3">
        <f>IF($E1271="",0,SUMPRODUCT((AY_SONU!$O$7:$O$42="Evet")*(AY_SONU!$B$7:$B$42=DATE(YEAR($E1271),MONTH($E1271),1))))</f>
        <v/>
      </c>
    </row>
    <row r="1272">
      <c r="A1272" s="6" t="n"/>
      <c r="B1272" s="113">
        <f>IF($D1272="","","T"&amp;TEXT(ROW()-6,"00000"))</f>
        <v/>
      </c>
      <c r="C1272" s="113">
        <f>IF($D1272="","",IFERROR(INDEX(MUSTERILER!$B$7:$B$106,MATCH($R1272,MUSTERILER!$T$7:$T$106,0)),IFERROR(INDEX(MUSTERILER!$B$7:$B$106,MATCH($D1272,MUSTERILER!$B$7:$B$106,0)),IFERROR(INDEX(MUSTERILER!$B$7:$B$106,MATCH($R1272&amp;"*",MUSTERILER!$T$7:$T$106,0)),"TANIMSIZ MÜŞTERİ"))))</f>
        <v/>
      </c>
      <c r="D1272" s="109" t="n"/>
      <c r="E1272" s="220" t="n"/>
      <c r="F1272" s="221" t="n"/>
      <c r="G1272" s="108" t="n"/>
      <c r="H1272" s="108" t="n"/>
      <c r="I1272" s="109" t="n"/>
      <c r="J1272" s="109" t="n"/>
      <c r="K1272" s="109" t="n"/>
      <c r="L1272" s="226">
        <f>IF($E1272="","",DATE(YEAR($E1272),MONTH($E1272),1))</f>
        <v/>
      </c>
      <c r="M1272" s="113">
        <f>IF($D1272="","",IF($C1272="TANIMSIZ MÜŞTERİ","HATA",IF(OR($E1272="",$F1272&lt;=0,$G1272=""),"EKSİK",IF($E1272&gt;TODAY(),"İLERİ TARİH",IF(COUNTIF($S$7:$S$1506,$S1272)&gt;1,"MÜKERRER?",IF($T1272&gt;0,"KAPALI DÖNEM","UYGUN"))))))</f>
        <v/>
      </c>
      <c r="N1272" s="121">
        <f>IF($C1272="","",IF($C1272="TANIMSIZ MÜŞTERİ","—",INDEX(MUSTERILER!$C$7:$C$106,MATCH($C1272,MUSTERILER!$B$7:$B$106,0))))</f>
        <v/>
      </c>
      <c r="O1272" s="6" t="n"/>
      <c r="P1272" s="6" t="n"/>
      <c r="Q1272" s="3">
        <f>IF($D1272="","",$C1272&amp;"|"&amp;COUNTIFS($C$7:$C1272,$C1272))</f>
        <v/>
      </c>
      <c r="R1272" s="3">
        <f>IF($D1272="","",UPPER(SUBSTITUTE(SUBSTITUTE(SUBSTITUTE(SUBSTITUTE(SUBSTITUTE(SUBSTITUTE(SUBSTITUTE(SUBSTITUTE(SUBSTITUTE(SUBSTITUTE(SUBSTITUTE(SUBSTITUTE(SUBSTITUTE(SUBSTITUTE(SUBSTITUTE(SUBSTITUTE(SUBSTITUTE(SUBSTITUTE(TRIM($D1272),"'",""),"İ","I"),"ı","I"),"i","I"),"Ş","S"),"ş","S"),"Ğ","G"),"ğ","G"),"Ü","U"),"ü","U"),"Ö","O"),"ö","O"),"Ç","C"),"ç","C"),".",""),",","")," ",""),"-","")))</f>
        <v/>
      </c>
      <c r="S1272" s="3">
        <f>IF($D1272="","",$C1272&amp;"|"&amp;TEXT($E1272,"0")&amp;"|"&amp;TEXT($F1272,"0")&amp;"|"&amp;$I1272)</f>
        <v/>
      </c>
      <c r="T1272" s="3">
        <f>IF($E1272="",0,SUMPRODUCT((AY_SONU!$O$7:$O$42="Evet")*(AY_SONU!$B$7:$B$42=DATE(YEAR($E1272),MONTH($E1272),1))))</f>
        <v/>
      </c>
    </row>
    <row r="1273">
      <c r="A1273" s="6" t="n"/>
      <c r="B1273" s="113">
        <f>IF($D1273="","","T"&amp;TEXT(ROW()-6,"00000"))</f>
        <v/>
      </c>
      <c r="C1273" s="113">
        <f>IF($D1273="","",IFERROR(INDEX(MUSTERILER!$B$7:$B$106,MATCH($R1273,MUSTERILER!$T$7:$T$106,0)),IFERROR(INDEX(MUSTERILER!$B$7:$B$106,MATCH($D1273,MUSTERILER!$B$7:$B$106,0)),IFERROR(INDEX(MUSTERILER!$B$7:$B$106,MATCH($R1273&amp;"*",MUSTERILER!$T$7:$T$106,0)),"TANIMSIZ MÜŞTERİ"))))</f>
        <v/>
      </c>
      <c r="D1273" s="109" t="n"/>
      <c r="E1273" s="220" t="n"/>
      <c r="F1273" s="221" t="n"/>
      <c r="G1273" s="108" t="n"/>
      <c r="H1273" s="108" t="n"/>
      <c r="I1273" s="109" t="n"/>
      <c r="J1273" s="109" t="n"/>
      <c r="K1273" s="109" t="n"/>
      <c r="L1273" s="226">
        <f>IF($E1273="","",DATE(YEAR($E1273),MONTH($E1273),1))</f>
        <v/>
      </c>
      <c r="M1273" s="113">
        <f>IF($D1273="","",IF($C1273="TANIMSIZ MÜŞTERİ","HATA",IF(OR($E1273="",$F1273&lt;=0,$G1273=""),"EKSİK",IF($E1273&gt;TODAY(),"İLERİ TARİH",IF(COUNTIF($S$7:$S$1506,$S1273)&gt;1,"MÜKERRER?",IF($T1273&gt;0,"KAPALI DÖNEM","UYGUN"))))))</f>
        <v/>
      </c>
      <c r="N1273" s="121">
        <f>IF($C1273="","",IF($C1273="TANIMSIZ MÜŞTERİ","—",INDEX(MUSTERILER!$C$7:$C$106,MATCH($C1273,MUSTERILER!$B$7:$B$106,0))))</f>
        <v/>
      </c>
      <c r="O1273" s="6" t="n"/>
      <c r="P1273" s="6" t="n"/>
      <c r="Q1273" s="3">
        <f>IF($D1273="","",$C1273&amp;"|"&amp;COUNTIFS($C$7:$C1273,$C1273))</f>
        <v/>
      </c>
      <c r="R1273" s="3">
        <f>IF($D1273="","",UPPER(SUBSTITUTE(SUBSTITUTE(SUBSTITUTE(SUBSTITUTE(SUBSTITUTE(SUBSTITUTE(SUBSTITUTE(SUBSTITUTE(SUBSTITUTE(SUBSTITUTE(SUBSTITUTE(SUBSTITUTE(SUBSTITUTE(SUBSTITUTE(SUBSTITUTE(SUBSTITUTE(SUBSTITUTE(SUBSTITUTE(TRIM($D1273),"'",""),"İ","I"),"ı","I"),"i","I"),"Ş","S"),"ş","S"),"Ğ","G"),"ğ","G"),"Ü","U"),"ü","U"),"Ö","O"),"ö","O"),"Ç","C"),"ç","C"),".",""),",","")," ",""),"-","")))</f>
        <v/>
      </c>
      <c r="S1273" s="3">
        <f>IF($D1273="","",$C1273&amp;"|"&amp;TEXT($E1273,"0")&amp;"|"&amp;TEXT($F1273,"0")&amp;"|"&amp;$I1273)</f>
        <v/>
      </c>
      <c r="T1273" s="3">
        <f>IF($E1273="",0,SUMPRODUCT((AY_SONU!$O$7:$O$42="Evet")*(AY_SONU!$B$7:$B$42=DATE(YEAR($E1273),MONTH($E1273),1))))</f>
        <v/>
      </c>
    </row>
    <row r="1274">
      <c r="A1274" s="6" t="n"/>
      <c r="B1274" s="113">
        <f>IF($D1274="","","T"&amp;TEXT(ROW()-6,"00000"))</f>
        <v/>
      </c>
      <c r="C1274" s="113">
        <f>IF($D1274="","",IFERROR(INDEX(MUSTERILER!$B$7:$B$106,MATCH($R1274,MUSTERILER!$T$7:$T$106,0)),IFERROR(INDEX(MUSTERILER!$B$7:$B$106,MATCH($D1274,MUSTERILER!$B$7:$B$106,0)),IFERROR(INDEX(MUSTERILER!$B$7:$B$106,MATCH($R1274&amp;"*",MUSTERILER!$T$7:$T$106,0)),"TANIMSIZ MÜŞTERİ"))))</f>
        <v/>
      </c>
      <c r="D1274" s="109" t="n"/>
      <c r="E1274" s="220" t="n"/>
      <c r="F1274" s="221" t="n"/>
      <c r="G1274" s="108" t="n"/>
      <c r="H1274" s="108" t="n"/>
      <c r="I1274" s="109" t="n"/>
      <c r="J1274" s="109" t="n"/>
      <c r="K1274" s="109" t="n"/>
      <c r="L1274" s="226">
        <f>IF($E1274="","",DATE(YEAR($E1274),MONTH($E1274),1))</f>
        <v/>
      </c>
      <c r="M1274" s="113">
        <f>IF($D1274="","",IF($C1274="TANIMSIZ MÜŞTERİ","HATA",IF(OR($E1274="",$F1274&lt;=0,$G1274=""),"EKSİK",IF($E1274&gt;TODAY(),"İLERİ TARİH",IF(COUNTIF($S$7:$S$1506,$S1274)&gt;1,"MÜKERRER?",IF($T1274&gt;0,"KAPALI DÖNEM","UYGUN"))))))</f>
        <v/>
      </c>
      <c r="N1274" s="121">
        <f>IF($C1274="","",IF($C1274="TANIMSIZ MÜŞTERİ","—",INDEX(MUSTERILER!$C$7:$C$106,MATCH($C1274,MUSTERILER!$B$7:$B$106,0))))</f>
        <v/>
      </c>
      <c r="O1274" s="6" t="n"/>
      <c r="P1274" s="6" t="n"/>
      <c r="Q1274" s="3">
        <f>IF($D1274="","",$C1274&amp;"|"&amp;COUNTIFS($C$7:$C1274,$C1274))</f>
        <v/>
      </c>
      <c r="R1274" s="3">
        <f>IF($D1274="","",UPPER(SUBSTITUTE(SUBSTITUTE(SUBSTITUTE(SUBSTITUTE(SUBSTITUTE(SUBSTITUTE(SUBSTITUTE(SUBSTITUTE(SUBSTITUTE(SUBSTITUTE(SUBSTITUTE(SUBSTITUTE(SUBSTITUTE(SUBSTITUTE(SUBSTITUTE(SUBSTITUTE(SUBSTITUTE(SUBSTITUTE(TRIM($D1274),"'",""),"İ","I"),"ı","I"),"i","I"),"Ş","S"),"ş","S"),"Ğ","G"),"ğ","G"),"Ü","U"),"ü","U"),"Ö","O"),"ö","O"),"Ç","C"),"ç","C"),".",""),",","")," ",""),"-","")))</f>
        <v/>
      </c>
      <c r="S1274" s="3">
        <f>IF($D1274="","",$C1274&amp;"|"&amp;TEXT($E1274,"0")&amp;"|"&amp;TEXT($F1274,"0")&amp;"|"&amp;$I1274)</f>
        <v/>
      </c>
      <c r="T1274" s="3">
        <f>IF($E1274="",0,SUMPRODUCT((AY_SONU!$O$7:$O$42="Evet")*(AY_SONU!$B$7:$B$42=DATE(YEAR($E1274),MONTH($E1274),1))))</f>
        <v/>
      </c>
    </row>
    <row r="1275">
      <c r="A1275" s="6" t="n"/>
      <c r="B1275" s="113">
        <f>IF($D1275="","","T"&amp;TEXT(ROW()-6,"00000"))</f>
        <v/>
      </c>
      <c r="C1275" s="113">
        <f>IF($D1275="","",IFERROR(INDEX(MUSTERILER!$B$7:$B$106,MATCH($R1275,MUSTERILER!$T$7:$T$106,0)),IFERROR(INDEX(MUSTERILER!$B$7:$B$106,MATCH($D1275,MUSTERILER!$B$7:$B$106,0)),IFERROR(INDEX(MUSTERILER!$B$7:$B$106,MATCH($R1275&amp;"*",MUSTERILER!$T$7:$T$106,0)),"TANIMSIZ MÜŞTERİ"))))</f>
        <v/>
      </c>
      <c r="D1275" s="109" t="n"/>
      <c r="E1275" s="220" t="n"/>
      <c r="F1275" s="221" t="n"/>
      <c r="G1275" s="108" t="n"/>
      <c r="H1275" s="108" t="n"/>
      <c r="I1275" s="109" t="n"/>
      <c r="J1275" s="109" t="n"/>
      <c r="K1275" s="109" t="n"/>
      <c r="L1275" s="226">
        <f>IF($E1275="","",DATE(YEAR($E1275),MONTH($E1275),1))</f>
        <v/>
      </c>
      <c r="M1275" s="113">
        <f>IF($D1275="","",IF($C1275="TANIMSIZ MÜŞTERİ","HATA",IF(OR($E1275="",$F1275&lt;=0,$G1275=""),"EKSİK",IF($E1275&gt;TODAY(),"İLERİ TARİH",IF(COUNTIF($S$7:$S$1506,$S1275)&gt;1,"MÜKERRER?",IF($T1275&gt;0,"KAPALI DÖNEM","UYGUN"))))))</f>
        <v/>
      </c>
      <c r="N1275" s="121">
        <f>IF($C1275="","",IF($C1275="TANIMSIZ MÜŞTERİ","—",INDEX(MUSTERILER!$C$7:$C$106,MATCH($C1275,MUSTERILER!$B$7:$B$106,0))))</f>
        <v/>
      </c>
      <c r="O1275" s="6" t="n"/>
      <c r="P1275" s="6" t="n"/>
      <c r="Q1275" s="3">
        <f>IF($D1275="","",$C1275&amp;"|"&amp;COUNTIFS($C$7:$C1275,$C1275))</f>
        <v/>
      </c>
      <c r="R1275" s="3">
        <f>IF($D1275="","",UPPER(SUBSTITUTE(SUBSTITUTE(SUBSTITUTE(SUBSTITUTE(SUBSTITUTE(SUBSTITUTE(SUBSTITUTE(SUBSTITUTE(SUBSTITUTE(SUBSTITUTE(SUBSTITUTE(SUBSTITUTE(SUBSTITUTE(SUBSTITUTE(SUBSTITUTE(SUBSTITUTE(SUBSTITUTE(SUBSTITUTE(TRIM($D1275),"'",""),"İ","I"),"ı","I"),"i","I"),"Ş","S"),"ş","S"),"Ğ","G"),"ğ","G"),"Ü","U"),"ü","U"),"Ö","O"),"ö","O"),"Ç","C"),"ç","C"),".",""),",","")," ",""),"-","")))</f>
        <v/>
      </c>
      <c r="S1275" s="3">
        <f>IF($D1275="","",$C1275&amp;"|"&amp;TEXT($E1275,"0")&amp;"|"&amp;TEXT($F1275,"0")&amp;"|"&amp;$I1275)</f>
        <v/>
      </c>
      <c r="T1275" s="3">
        <f>IF($E1275="",0,SUMPRODUCT((AY_SONU!$O$7:$O$42="Evet")*(AY_SONU!$B$7:$B$42=DATE(YEAR($E1275),MONTH($E1275),1))))</f>
        <v/>
      </c>
    </row>
    <row r="1276">
      <c r="A1276" s="6" t="n"/>
      <c r="B1276" s="113">
        <f>IF($D1276="","","T"&amp;TEXT(ROW()-6,"00000"))</f>
        <v/>
      </c>
      <c r="C1276" s="113">
        <f>IF($D1276="","",IFERROR(INDEX(MUSTERILER!$B$7:$B$106,MATCH($R1276,MUSTERILER!$T$7:$T$106,0)),IFERROR(INDEX(MUSTERILER!$B$7:$B$106,MATCH($D1276,MUSTERILER!$B$7:$B$106,0)),IFERROR(INDEX(MUSTERILER!$B$7:$B$106,MATCH($R1276&amp;"*",MUSTERILER!$T$7:$T$106,0)),"TANIMSIZ MÜŞTERİ"))))</f>
        <v/>
      </c>
      <c r="D1276" s="109" t="n"/>
      <c r="E1276" s="220" t="n"/>
      <c r="F1276" s="221" t="n"/>
      <c r="G1276" s="108" t="n"/>
      <c r="H1276" s="108" t="n"/>
      <c r="I1276" s="109" t="n"/>
      <c r="J1276" s="109" t="n"/>
      <c r="K1276" s="109" t="n"/>
      <c r="L1276" s="226">
        <f>IF($E1276="","",DATE(YEAR($E1276),MONTH($E1276),1))</f>
        <v/>
      </c>
      <c r="M1276" s="113">
        <f>IF($D1276="","",IF($C1276="TANIMSIZ MÜŞTERİ","HATA",IF(OR($E1276="",$F1276&lt;=0,$G1276=""),"EKSİK",IF($E1276&gt;TODAY(),"İLERİ TARİH",IF(COUNTIF($S$7:$S$1506,$S1276)&gt;1,"MÜKERRER?",IF($T1276&gt;0,"KAPALI DÖNEM","UYGUN"))))))</f>
        <v/>
      </c>
      <c r="N1276" s="121">
        <f>IF($C1276="","",IF($C1276="TANIMSIZ MÜŞTERİ","—",INDEX(MUSTERILER!$C$7:$C$106,MATCH($C1276,MUSTERILER!$B$7:$B$106,0))))</f>
        <v/>
      </c>
      <c r="O1276" s="6" t="n"/>
      <c r="P1276" s="6" t="n"/>
      <c r="Q1276" s="3">
        <f>IF($D1276="","",$C1276&amp;"|"&amp;COUNTIFS($C$7:$C1276,$C1276))</f>
        <v/>
      </c>
      <c r="R1276" s="3">
        <f>IF($D1276="","",UPPER(SUBSTITUTE(SUBSTITUTE(SUBSTITUTE(SUBSTITUTE(SUBSTITUTE(SUBSTITUTE(SUBSTITUTE(SUBSTITUTE(SUBSTITUTE(SUBSTITUTE(SUBSTITUTE(SUBSTITUTE(SUBSTITUTE(SUBSTITUTE(SUBSTITUTE(SUBSTITUTE(SUBSTITUTE(SUBSTITUTE(TRIM($D1276),"'",""),"İ","I"),"ı","I"),"i","I"),"Ş","S"),"ş","S"),"Ğ","G"),"ğ","G"),"Ü","U"),"ü","U"),"Ö","O"),"ö","O"),"Ç","C"),"ç","C"),".",""),",","")," ",""),"-","")))</f>
        <v/>
      </c>
      <c r="S1276" s="3">
        <f>IF($D1276="","",$C1276&amp;"|"&amp;TEXT($E1276,"0")&amp;"|"&amp;TEXT($F1276,"0")&amp;"|"&amp;$I1276)</f>
        <v/>
      </c>
      <c r="T1276" s="3">
        <f>IF($E1276="",0,SUMPRODUCT((AY_SONU!$O$7:$O$42="Evet")*(AY_SONU!$B$7:$B$42=DATE(YEAR($E1276),MONTH($E1276),1))))</f>
        <v/>
      </c>
    </row>
    <row r="1277">
      <c r="A1277" s="6" t="n"/>
      <c r="B1277" s="113">
        <f>IF($D1277="","","T"&amp;TEXT(ROW()-6,"00000"))</f>
        <v/>
      </c>
      <c r="C1277" s="113">
        <f>IF($D1277="","",IFERROR(INDEX(MUSTERILER!$B$7:$B$106,MATCH($R1277,MUSTERILER!$T$7:$T$106,0)),IFERROR(INDEX(MUSTERILER!$B$7:$B$106,MATCH($D1277,MUSTERILER!$B$7:$B$106,0)),IFERROR(INDEX(MUSTERILER!$B$7:$B$106,MATCH($R1277&amp;"*",MUSTERILER!$T$7:$T$106,0)),"TANIMSIZ MÜŞTERİ"))))</f>
        <v/>
      </c>
      <c r="D1277" s="109" t="n"/>
      <c r="E1277" s="220" t="n"/>
      <c r="F1277" s="221" t="n"/>
      <c r="G1277" s="108" t="n"/>
      <c r="H1277" s="108" t="n"/>
      <c r="I1277" s="109" t="n"/>
      <c r="J1277" s="109" t="n"/>
      <c r="K1277" s="109" t="n"/>
      <c r="L1277" s="226">
        <f>IF($E1277="","",DATE(YEAR($E1277),MONTH($E1277),1))</f>
        <v/>
      </c>
      <c r="M1277" s="113">
        <f>IF($D1277="","",IF($C1277="TANIMSIZ MÜŞTERİ","HATA",IF(OR($E1277="",$F1277&lt;=0,$G1277=""),"EKSİK",IF($E1277&gt;TODAY(),"İLERİ TARİH",IF(COUNTIF($S$7:$S$1506,$S1277)&gt;1,"MÜKERRER?",IF($T1277&gt;0,"KAPALI DÖNEM","UYGUN"))))))</f>
        <v/>
      </c>
      <c r="N1277" s="121">
        <f>IF($C1277="","",IF($C1277="TANIMSIZ MÜŞTERİ","—",INDEX(MUSTERILER!$C$7:$C$106,MATCH($C1277,MUSTERILER!$B$7:$B$106,0))))</f>
        <v/>
      </c>
      <c r="O1277" s="6" t="n"/>
      <c r="P1277" s="6" t="n"/>
      <c r="Q1277" s="3">
        <f>IF($D1277="","",$C1277&amp;"|"&amp;COUNTIFS($C$7:$C1277,$C1277))</f>
        <v/>
      </c>
      <c r="R1277" s="3">
        <f>IF($D1277="","",UPPER(SUBSTITUTE(SUBSTITUTE(SUBSTITUTE(SUBSTITUTE(SUBSTITUTE(SUBSTITUTE(SUBSTITUTE(SUBSTITUTE(SUBSTITUTE(SUBSTITUTE(SUBSTITUTE(SUBSTITUTE(SUBSTITUTE(SUBSTITUTE(SUBSTITUTE(SUBSTITUTE(SUBSTITUTE(SUBSTITUTE(TRIM($D1277),"'",""),"İ","I"),"ı","I"),"i","I"),"Ş","S"),"ş","S"),"Ğ","G"),"ğ","G"),"Ü","U"),"ü","U"),"Ö","O"),"ö","O"),"Ç","C"),"ç","C"),".",""),",","")," ",""),"-","")))</f>
        <v/>
      </c>
      <c r="S1277" s="3">
        <f>IF($D1277="","",$C1277&amp;"|"&amp;TEXT($E1277,"0")&amp;"|"&amp;TEXT($F1277,"0")&amp;"|"&amp;$I1277)</f>
        <v/>
      </c>
      <c r="T1277" s="3">
        <f>IF($E1277="",0,SUMPRODUCT((AY_SONU!$O$7:$O$42="Evet")*(AY_SONU!$B$7:$B$42=DATE(YEAR($E1277),MONTH($E1277),1))))</f>
        <v/>
      </c>
    </row>
    <row r="1278">
      <c r="A1278" s="6" t="n"/>
      <c r="B1278" s="113">
        <f>IF($D1278="","","T"&amp;TEXT(ROW()-6,"00000"))</f>
        <v/>
      </c>
      <c r="C1278" s="113">
        <f>IF($D1278="","",IFERROR(INDEX(MUSTERILER!$B$7:$B$106,MATCH($R1278,MUSTERILER!$T$7:$T$106,0)),IFERROR(INDEX(MUSTERILER!$B$7:$B$106,MATCH($D1278,MUSTERILER!$B$7:$B$106,0)),IFERROR(INDEX(MUSTERILER!$B$7:$B$106,MATCH($R1278&amp;"*",MUSTERILER!$T$7:$T$106,0)),"TANIMSIZ MÜŞTERİ"))))</f>
        <v/>
      </c>
      <c r="D1278" s="109" t="n"/>
      <c r="E1278" s="220" t="n"/>
      <c r="F1278" s="221" t="n"/>
      <c r="G1278" s="108" t="n"/>
      <c r="H1278" s="108" t="n"/>
      <c r="I1278" s="109" t="n"/>
      <c r="J1278" s="109" t="n"/>
      <c r="K1278" s="109" t="n"/>
      <c r="L1278" s="226">
        <f>IF($E1278="","",DATE(YEAR($E1278),MONTH($E1278),1))</f>
        <v/>
      </c>
      <c r="M1278" s="113">
        <f>IF($D1278="","",IF($C1278="TANIMSIZ MÜŞTERİ","HATA",IF(OR($E1278="",$F1278&lt;=0,$G1278=""),"EKSİK",IF($E1278&gt;TODAY(),"İLERİ TARİH",IF(COUNTIF($S$7:$S$1506,$S1278)&gt;1,"MÜKERRER?",IF($T1278&gt;0,"KAPALI DÖNEM","UYGUN"))))))</f>
        <v/>
      </c>
      <c r="N1278" s="121">
        <f>IF($C1278="","",IF($C1278="TANIMSIZ MÜŞTERİ","—",INDEX(MUSTERILER!$C$7:$C$106,MATCH($C1278,MUSTERILER!$B$7:$B$106,0))))</f>
        <v/>
      </c>
      <c r="O1278" s="6" t="n"/>
      <c r="P1278" s="6" t="n"/>
      <c r="Q1278" s="3">
        <f>IF($D1278="","",$C1278&amp;"|"&amp;COUNTIFS($C$7:$C1278,$C1278))</f>
        <v/>
      </c>
      <c r="R1278" s="3">
        <f>IF($D1278="","",UPPER(SUBSTITUTE(SUBSTITUTE(SUBSTITUTE(SUBSTITUTE(SUBSTITUTE(SUBSTITUTE(SUBSTITUTE(SUBSTITUTE(SUBSTITUTE(SUBSTITUTE(SUBSTITUTE(SUBSTITUTE(SUBSTITUTE(SUBSTITUTE(SUBSTITUTE(SUBSTITUTE(SUBSTITUTE(SUBSTITUTE(TRIM($D1278),"'",""),"İ","I"),"ı","I"),"i","I"),"Ş","S"),"ş","S"),"Ğ","G"),"ğ","G"),"Ü","U"),"ü","U"),"Ö","O"),"ö","O"),"Ç","C"),"ç","C"),".",""),",","")," ",""),"-","")))</f>
        <v/>
      </c>
      <c r="S1278" s="3">
        <f>IF($D1278="","",$C1278&amp;"|"&amp;TEXT($E1278,"0")&amp;"|"&amp;TEXT($F1278,"0")&amp;"|"&amp;$I1278)</f>
        <v/>
      </c>
      <c r="T1278" s="3">
        <f>IF($E1278="",0,SUMPRODUCT((AY_SONU!$O$7:$O$42="Evet")*(AY_SONU!$B$7:$B$42=DATE(YEAR($E1278),MONTH($E1278),1))))</f>
        <v/>
      </c>
    </row>
    <row r="1279">
      <c r="A1279" s="6" t="n"/>
      <c r="B1279" s="113">
        <f>IF($D1279="","","T"&amp;TEXT(ROW()-6,"00000"))</f>
        <v/>
      </c>
      <c r="C1279" s="113">
        <f>IF($D1279="","",IFERROR(INDEX(MUSTERILER!$B$7:$B$106,MATCH($R1279,MUSTERILER!$T$7:$T$106,0)),IFERROR(INDEX(MUSTERILER!$B$7:$B$106,MATCH($D1279,MUSTERILER!$B$7:$B$106,0)),IFERROR(INDEX(MUSTERILER!$B$7:$B$106,MATCH($R1279&amp;"*",MUSTERILER!$T$7:$T$106,0)),"TANIMSIZ MÜŞTERİ"))))</f>
        <v/>
      </c>
      <c r="D1279" s="109" t="n"/>
      <c r="E1279" s="220" t="n"/>
      <c r="F1279" s="221" t="n"/>
      <c r="G1279" s="108" t="n"/>
      <c r="H1279" s="108" t="n"/>
      <c r="I1279" s="109" t="n"/>
      <c r="J1279" s="109" t="n"/>
      <c r="K1279" s="109" t="n"/>
      <c r="L1279" s="226">
        <f>IF($E1279="","",DATE(YEAR($E1279),MONTH($E1279),1))</f>
        <v/>
      </c>
      <c r="M1279" s="113">
        <f>IF($D1279="","",IF($C1279="TANIMSIZ MÜŞTERİ","HATA",IF(OR($E1279="",$F1279&lt;=0,$G1279=""),"EKSİK",IF($E1279&gt;TODAY(),"İLERİ TARİH",IF(COUNTIF($S$7:$S$1506,$S1279)&gt;1,"MÜKERRER?",IF($T1279&gt;0,"KAPALI DÖNEM","UYGUN"))))))</f>
        <v/>
      </c>
      <c r="N1279" s="121">
        <f>IF($C1279="","",IF($C1279="TANIMSIZ MÜŞTERİ","—",INDEX(MUSTERILER!$C$7:$C$106,MATCH($C1279,MUSTERILER!$B$7:$B$106,0))))</f>
        <v/>
      </c>
      <c r="O1279" s="6" t="n"/>
      <c r="P1279" s="6" t="n"/>
      <c r="Q1279" s="3">
        <f>IF($D1279="","",$C1279&amp;"|"&amp;COUNTIFS($C$7:$C1279,$C1279))</f>
        <v/>
      </c>
      <c r="R1279" s="3">
        <f>IF($D1279="","",UPPER(SUBSTITUTE(SUBSTITUTE(SUBSTITUTE(SUBSTITUTE(SUBSTITUTE(SUBSTITUTE(SUBSTITUTE(SUBSTITUTE(SUBSTITUTE(SUBSTITUTE(SUBSTITUTE(SUBSTITUTE(SUBSTITUTE(SUBSTITUTE(SUBSTITUTE(SUBSTITUTE(SUBSTITUTE(SUBSTITUTE(TRIM($D1279),"'",""),"İ","I"),"ı","I"),"i","I"),"Ş","S"),"ş","S"),"Ğ","G"),"ğ","G"),"Ü","U"),"ü","U"),"Ö","O"),"ö","O"),"Ç","C"),"ç","C"),".",""),",","")," ",""),"-","")))</f>
        <v/>
      </c>
      <c r="S1279" s="3">
        <f>IF($D1279="","",$C1279&amp;"|"&amp;TEXT($E1279,"0")&amp;"|"&amp;TEXT($F1279,"0")&amp;"|"&amp;$I1279)</f>
        <v/>
      </c>
      <c r="T1279" s="3">
        <f>IF($E1279="",0,SUMPRODUCT((AY_SONU!$O$7:$O$42="Evet")*(AY_SONU!$B$7:$B$42=DATE(YEAR($E1279),MONTH($E1279),1))))</f>
        <v/>
      </c>
    </row>
    <row r="1280">
      <c r="A1280" s="6" t="n"/>
      <c r="B1280" s="113">
        <f>IF($D1280="","","T"&amp;TEXT(ROW()-6,"00000"))</f>
        <v/>
      </c>
      <c r="C1280" s="113">
        <f>IF($D1280="","",IFERROR(INDEX(MUSTERILER!$B$7:$B$106,MATCH($R1280,MUSTERILER!$T$7:$T$106,0)),IFERROR(INDEX(MUSTERILER!$B$7:$B$106,MATCH($D1280,MUSTERILER!$B$7:$B$106,0)),IFERROR(INDEX(MUSTERILER!$B$7:$B$106,MATCH($R1280&amp;"*",MUSTERILER!$T$7:$T$106,0)),"TANIMSIZ MÜŞTERİ"))))</f>
        <v/>
      </c>
      <c r="D1280" s="109" t="n"/>
      <c r="E1280" s="220" t="n"/>
      <c r="F1280" s="221" t="n"/>
      <c r="G1280" s="108" t="n"/>
      <c r="H1280" s="108" t="n"/>
      <c r="I1280" s="109" t="n"/>
      <c r="J1280" s="109" t="n"/>
      <c r="K1280" s="109" t="n"/>
      <c r="L1280" s="226">
        <f>IF($E1280="","",DATE(YEAR($E1280),MONTH($E1280),1))</f>
        <v/>
      </c>
      <c r="M1280" s="113">
        <f>IF($D1280="","",IF($C1280="TANIMSIZ MÜŞTERİ","HATA",IF(OR($E1280="",$F1280&lt;=0,$G1280=""),"EKSİK",IF($E1280&gt;TODAY(),"İLERİ TARİH",IF(COUNTIF($S$7:$S$1506,$S1280)&gt;1,"MÜKERRER?",IF($T1280&gt;0,"KAPALI DÖNEM","UYGUN"))))))</f>
        <v/>
      </c>
      <c r="N1280" s="121">
        <f>IF($C1280="","",IF($C1280="TANIMSIZ MÜŞTERİ","—",INDEX(MUSTERILER!$C$7:$C$106,MATCH($C1280,MUSTERILER!$B$7:$B$106,0))))</f>
        <v/>
      </c>
      <c r="O1280" s="6" t="n"/>
      <c r="P1280" s="6" t="n"/>
      <c r="Q1280" s="3">
        <f>IF($D1280="","",$C1280&amp;"|"&amp;COUNTIFS($C$7:$C1280,$C1280))</f>
        <v/>
      </c>
      <c r="R1280" s="3">
        <f>IF($D1280="","",UPPER(SUBSTITUTE(SUBSTITUTE(SUBSTITUTE(SUBSTITUTE(SUBSTITUTE(SUBSTITUTE(SUBSTITUTE(SUBSTITUTE(SUBSTITUTE(SUBSTITUTE(SUBSTITUTE(SUBSTITUTE(SUBSTITUTE(SUBSTITUTE(SUBSTITUTE(SUBSTITUTE(SUBSTITUTE(SUBSTITUTE(TRIM($D1280),"'",""),"İ","I"),"ı","I"),"i","I"),"Ş","S"),"ş","S"),"Ğ","G"),"ğ","G"),"Ü","U"),"ü","U"),"Ö","O"),"ö","O"),"Ç","C"),"ç","C"),".",""),",","")," ",""),"-","")))</f>
        <v/>
      </c>
      <c r="S1280" s="3">
        <f>IF($D1280="","",$C1280&amp;"|"&amp;TEXT($E1280,"0")&amp;"|"&amp;TEXT($F1280,"0")&amp;"|"&amp;$I1280)</f>
        <v/>
      </c>
      <c r="T1280" s="3">
        <f>IF($E1280="",0,SUMPRODUCT((AY_SONU!$O$7:$O$42="Evet")*(AY_SONU!$B$7:$B$42=DATE(YEAR($E1280),MONTH($E1280),1))))</f>
        <v/>
      </c>
    </row>
    <row r="1281">
      <c r="A1281" s="6" t="n"/>
      <c r="B1281" s="113">
        <f>IF($D1281="","","T"&amp;TEXT(ROW()-6,"00000"))</f>
        <v/>
      </c>
      <c r="C1281" s="113">
        <f>IF($D1281="","",IFERROR(INDEX(MUSTERILER!$B$7:$B$106,MATCH($R1281,MUSTERILER!$T$7:$T$106,0)),IFERROR(INDEX(MUSTERILER!$B$7:$B$106,MATCH($D1281,MUSTERILER!$B$7:$B$106,0)),IFERROR(INDEX(MUSTERILER!$B$7:$B$106,MATCH($R1281&amp;"*",MUSTERILER!$T$7:$T$106,0)),"TANIMSIZ MÜŞTERİ"))))</f>
        <v/>
      </c>
      <c r="D1281" s="109" t="n"/>
      <c r="E1281" s="220" t="n"/>
      <c r="F1281" s="221" t="n"/>
      <c r="G1281" s="108" t="n"/>
      <c r="H1281" s="108" t="n"/>
      <c r="I1281" s="109" t="n"/>
      <c r="J1281" s="109" t="n"/>
      <c r="K1281" s="109" t="n"/>
      <c r="L1281" s="226">
        <f>IF($E1281="","",DATE(YEAR($E1281),MONTH($E1281),1))</f>
        <v/>
      </c>
      <c r="M1281" s="113">
        <f>IF($D1281="","",IF($C1281="TANIMSIZ MÜŞTERİ","HATA",IF(OR($E1281="",$F1281&lt;=0,$G1281=""),"EKSİK",IF($E1281&gt;TODAY(),"İLERİ TARİH",IF(COUNTIF($S$7:$S$1506,$S1281)&gt;1,"MÜKERRER?",IF($T1281&gt;0,"KAPALI DÖNEM","UYGUN"))))))</f>
        <v/>
      </c>
      <c r="N1281" s="121">
        <f>IF($C1281="","",IF($C1281="TANIMSIZ MÜŞTERİ","—",INDEX(MUSTERILER!$C$7:$C$106,MATCH($C1281,MUSTERILER!$B$7:$B$106,0))))</f>
        <v/>
      </c>
      <c r="O1281" s="6" t="n"/>
      <c r="P1281" s="6" t="n"/>
      <c r="Q1281" s="3">
        <f>IF($D1281="","",$C1281&amp;"|"&amp;COUNTIFS($C$7:$C1281,$C1281))</f>
        <v/>
      </c>
      <c r="R1281" s="3">
        <f>IF($D1281="","",UPPER(SUBSTITUTE(SUBSTITUTE(SUBSTITUTE(SUBSTITUTE(SUBSTITUTE(SUBSTITUTE(SUBSTITUTE(SUBSTITUTE(SUBSTITUTE(SUBSTITUTE(SUBSTITUTE(SUBSTITUTE(SUBSTITUTE(SUBSTITUTE(SUBSTITUTE(SUBSTITUTE(SUBSTITUTE(SUBSTITUTE(TRIM($D1281),"'",""),"İ","I"),"ı","I"),"i","I"),"Ş","S"),"ş","S"),"Ğ","G"),"ğ","G"),"Ü","U"),"ü","U"),"Ö","O"),"ö","O"),"Ç","C"),"ç","C"),".",""),",","")," ",""),"-","")))</f>
        <v/>
      </c>
      <c r="S1281" s="3">
        <f>IF($D1281="","",$C1281&amp;"|"&amp;TEXT($E1281,"0")&amp;"|"&amp;TEXT($F1281,"0")&amp;"|"&amp;$I1281)</f>
        <v/>
      </c>
      <c r="T1281" s="3">
        <f>IF($E1281="",0,SUMPRODUCT((AY_SONU!$O$7:$O$42="Evet")*(AY_SONU!$B$7:$B$42=DATE(YEAR($E1281),MONTH($E1281),1))))</f>
        <v/>
      </c>
    </row>
    <row r="1282">
      <c r="A1282" s="6" t="n"/>
      <c r="B1282" s="113">
        <f>IF($D1282="","","T"&amp;TEXT(ROW()-6,"00000"))</f>
        <v/>
      </c>
      <c r="C1282" s="113">
        <f>IF($D1282="","",IFERROR(INDEX(MUSTERILER!$B$7:$B$106,MATCH($R1282,MUSTERILER!$T$7:$T$106,0)),IFERROR(INDEX(MUSTERILER!$B$7:$B$106,MATCH($D1282,MUSTERILER!$B$7:$B$106,0)),IFERROR(INDEX(MUSTERILER!$B$7:$B$106,MATCH($R1282&amp;"*",MUSTERILER!$T$7:$T$106,0)),"TANIMSIZ MÜŞTERİ"))))</f>
        <v/>
      </c>
      <c r="D1282" s="109" t="n"/>
      <c r="E1282" s="220" t="n"/>
      <c r="F1282" s="221" t="n"/>
      <c r="G1282" s="108" t="n"/>
      <c r="H1282" s="108" t="n"/>
      <c r="I1282" s="109" t="n"/>
      <c r="J1282" s="109" t="n"/>
      <c r="K1282" s="109" t="n"/>
      <c r="L1282" s="226">
        <f>IF($E1282="","",DATE(YEAR($E1282),MONTH($E1282),1))</f>
        <v/>
      </c>
      <c r="M1282" s="113">
        <f>IF($D1282="","",IF($C1282="TANIMSIZ MÜŞTERİ","HATA",IF(OR($E1282="",$F1282&lt;=0,$G1282=""),"EKSİK",IF($E1282&gt;TODAY(),"İLERİ TARİH",IF(COUNTIF($S$7:$S$1506,$S1282)&gt;1,"MÜKERRER?",IF($T1282&gt;0,"KAPALI DÖNEM","UYGUN"))))))</f>
        <v/>
      </c>
      <c r="N1282" s="121">
        <f>IF($C1282="","",IF($C1282="TANIMSIZ MÜŞTERİ","—",INDEX(MUSTERILER!$C$7:$C$106,MATCH($C1282,MUSTERILER!$B$7:$B$106,0))))</f>
        <v/>
      </c>
      <c r="O1282" s="6" t="n"/>
      <c r="P1282" s="6" t="n"/>
      <c r="Q1282" s="3">
        <f>IF($D1282="","",$C1282&amp;"|"&amp;COUNTIFS($C$7:$C1282,$C1282))</f>
        <v/>
      </c>
      <c r="R1282" s="3">
        <f>IF($D1282="","",UPPER(SUBSTITUTE(SUBSTITUTE(SUBSTITUTE(SUBSTITUTE(SUBSTITUTE(SUBSTITUTE(SUBSTITUTE(SUBSTITUTE(SUBSTITUTE(SUBSTITUTE(SUBSTITUTE(SUBSTITUTE(SUBSTITUTE(SUBSTITUTE(SUBSTITUTE(SUBSTITUTE(SUBSTITUTE(SUBSTITUTE(TRIM($D1282),"'",""),"İ","I"),"ı","I"),"i","I"),"Ş","S"),"ş","S"),"Ğ","G"),"ğ","G"),"Ü","U"),"ü","U"),"Ö","O"),"ö","O"),"Ç","C"),"ç","C"),".",""),",","")," ",""),"-","")))</f>
        <v/>
      </c>
      <c r="S1282" s="3">
        <f>IF($D1282="","",$C1282&amp;"|"&amp;TEXT($E1282,"0")&amp;"|"&amp;TEXT($F1282,"0")&amp;"|"&amp;$I1282)</f>
        <v/>
      </c>
      <c r="T1282" s="3">
        <f>IF($E1282="",0,SUMPRODUCT((AY_SONU!$O$7:$O$42="Evet")*(AY_SONU!$B$7:$B$42=DATE(YEAR($E1282),MONTH($E1282),1))))</f>
        <v/>
      </c>
    </row>
    <row r="1283">
      <c r="A1283" s="6" t="n"/>
      <c r="B1283" s="113">
        <f>IF($D1283="","","T"&amp;TEXT(ROW()-6,"00000"))</f>
        <v/>
      </c>
      <c r="C1283" s="113">
        <f>IF($D1283="","",IFERROR(INDEX(MUSTERILER!$B$7:$B$106,MATCH($R1283,MUSTERILER!$T$7:$T$106,0)),IFERROR(INDEX(MUSTERILER!$B$7:$B$106,MATCH($D1283,MUSTERILER!$B$7:$B$106,0)),IFERROR(INDEX(MUSTERILER!$B$7:$B$106,MATCH($R1283&amp;"*",MUSTERILER!$T$7:$T$106,0)),"TANIMSIZ MÜŞTERİ"))))</f>
        <v/>
      </c>
      <c r="D1283" s="109" t="n"/>
      <c r="E1283" s="220" t="n"/>
      <c r="F1283" s="221" t="n"/>
      <c r="G1283" s="108" t="n"/>
      <c r="H1283" s="108" t="n"/>
      <c r="I1283" s="109" t="n"/>
      <c r="J1283" s="109" t="n"/>
      <c r="K1283" s="109" t="n"/>
      <c r="L1283" s="226">
        <f>IF($E1283="","",DATE(YEAR($E1283),MONTH($E1283),1))</f>
        <v/>
      </c>
      <c r="M1283" s="113">
        <f>IF($D1283="","",IF($C1283="TANIMSIZ MÜŞTERİ","HATA",IF(OR($E1283="",$F1283&lt;=0,$G1283=""),"EKSİK",IF($E1283&gt;TODAY(),"İLERİ TARİH",IF(COUNTIF($S$7:$S$1506,$S1283)&gt;1,"MÜKERRER?",IF($T1283&gt;0,"KAPALI DÖNEM","UYGUN"))))))</f>
        <v/>
      </c>
      <c r="N1283" s="121">
        <f>IF($C1283="","",IF($C1283="TANIMSIZ MÜŞTERİ","—",INDEX(MUSTERILER!$C$7:$C$106,MATCH($C1283,MUSTERILER!$B$7:$B$106,0))))</f>
        <v/>
      </c>
      <c r="O1283" s="6" t="n"/>
      <c r="P1283" s="6" t="n"/>
      <c r="Q1283" s="3">
        <f>IF($D1283="","",$C1283&amp;"|"&amp;COUNTIFS($C$7:$C1283,$C1283))</f>
        <v/>
      </c>
      <c r="R1283" s="3">
        <f>IF($D1283="","",UPPER(SUBSTITUTE(SUBSTITUTE(SUBSTITUTE(SUBSTITUTE(SUBSTITUTE(SUBSTITUTE(SUBSTITUTE(SUBSTITUTE(SUBSTITUTE(SUBSTITUTE(SUBSTITUTE(SUBSTITUTE(SUBSTITUTE(SUBSTITUTE(SUBSTITUTE(SUBSTITUTE(SUBSTITUTE(SUBSTITUTE(TRIM($D1283),"'",""),"İ","I"),"ı","I"),"i","I"),"Ş","S"),"ş","S"),"Ğ","G"),"ğ","G"),"Ü","U"),"ü","U"),"Ö","O"),"ö","O"),"Ç","C"),"ç","C"),".",""),",","")," ",""),"-","")))</f>
        <v/>
      </c>
      <c r="S1283" s="3">
        <f>IF($D1283="","",$C1283&amp;"|"&amp;TEXT($E1283,"0")&amp;"|"&amp;TEXT($F1283,"0")&amp;"|"&amp;$I1283)</f>
        <v/>
      </c>
      <c r="T1283" s="3">
        <f>IF($E1283="",0,SUMPRODUCT((AY_SONU!$O$7:$O$42="Evet")*(AY_SONU!$B$7:$B$42=DATE(YEAR($E1283),MONTH($E1283),1))))</f>
        <v/>
      </c>
    </row>
    <row r="1284">
      <c r="A1284" s="6" t="n"/>
      <c r="B1284" s="113">
        <f>IF($D1284="","","T"&amp;TEXT(ROW()-6,"00000"))</f>
        <v/>
      </c>
      <c r="C1284" s="113">
        <f>IF($D1284="","",IFERROR(INDEX(MUSTERILER!$B$7:$B$106,MATCH($R1284,MUSTERILER!$T$7:$T$106,0)),IFERROR(INDEX(MUSTERILER!$B$7:$B$106,MATCH($D1284,MUSTERILER!$B$7:$B$106,0)),IFERROR(INDEX(MUSTERILER!$B$7:$B$106,MATCH($R1284&amp;"*",MUSTERILER!$T$7:$T$106,0)),"TANIMSIZ MÜŞTERİ"))))</f>
        <v/>
      </c>
      <c r="D1284" s="109" t="n"/>
      <c r="E1284" s="220" t="n"/>
      <c r="F1284" s="221" t="n"/>
      <c r="G1284" s="108" t="n"/>
      <c r="H1284" s="108" t="n"/>
      <c r="I1284" s="109" t="n"/>
      <c r="J1284" s="109" t="n"/>
      <c r="K1284" s="109" t="n"/>
      <c r="L1284" s="226">
        <f>IF($E1284="","",DATE(YEAR($E1284),MONTH($E1284),1))</f>
        <v/>
      </c>
      <c r="M1284" s="113">
        <f>IF($D1284="","",IF($C1284="TANIMSIZ MÜŞTERİ","HATA",IF(OR($E1284="",$F1284&lt;=0,$G1284=""),"EKSİK",IF($E1284&gt;TODAY(),"İLERİ TARİH",IF(COUNTIF($S$7:$S$1506,$S1284)&gt;1,"MÜKERRER?",IF($T1284&gt;0,"KAPALI DÖNEM","UYGUN"))))))</f>
        <v/>
      </c>
      <c r="N1284" s="121">
        <f>IF($C1284="","",IF($C1284="TANIMSIZ MÜŞTERİ","—",INDEX(MUSTERILER!$C$7:$C$106,MATCH($C1284,MUSTERILER!$B$7:$B$106,0))))</f>
        <v/>
      </c>
      <c r="O1284" s="6" t="n"/>
      <c r="P1284" s="6" t="n"/>
      <c r="Q1284" s="3">
        <f>IF($D1284="","",$C1284&amp;"|"&amp;COUNTIFS($C$7:$C1284,$C1284))</f>
        <v/>
      </c>
      <c r="R1284" s="3">
        <f>IF($D1284="","",UPPER(SUBSTITUTE(SUBSTITUTE(SUBSTITUTE(SUBSTITUTE(SUBSTITUTE(SUBSTITUTE(SUBSTITUTE(SUBSTITUTE(SUBSTITUTE(SUBSTITUTE(SUBSTITUTE(SUBSTITUTE(SUBSTITUTE(SUBSTITUTE(SUBSTITUTE(SUBSTITUTE(SUBSTITUTE(SUBSTITUTE(TRIM($D1284),"'",""),"İ","I"),"ı","I"),"i","I"),"Ş","S"),"ş","S"),"Ğ","G"),"ğ","G"),"Ü","U"),"ü","U"),"Ö","O"),"ö","O"),"Ç","C"),"ç","C"),".",""),",","")," ",""),"-","")))</f>
        <v/>
      </c>
      <c r="S1284" s="3">
        <f>IF($D1284="","",$C1284&amp;"|"&amp;TEXT($E1284,"0")&amp;"|"&amp;TEXT($F1284,"0")&amp;"|"&amp;$I1284)</f>
        <v/>
      </c>
      <c r="T1284" s="3">
        <f>IF($E1284="",0,SUMPRODUCT((AY_SONU!$O$7:$O$42="Evet")*(AY_SONU!$B$7:$B$42=DATE(YEAR($E1284),MONTH($E1284),1))))</f>
        <v/>
      </c>
    </row>
    <row r="1285">
      <c r="A1285" s="6" t="n"/>
      <c r="B1285" s="113">
        <f>IF($D1285="","","T"&amp;TEXT(ROW()-6,"00000"))</f>
        <v/>
      </c>
      <c r="C1285" s="113">
        <f>IF($D1285="","",IFERROR(INDEX(MUSTERILER!$B$7:$B$106,MATCH($R1285,MUSTERILER!$T$7:$T$106,0)),IFERROR(INDEX(MUSTERILER!$B$7:$B$106,MATCH($D1285,MUSTERILER!$B$7:$B$106,0)),IFERROR(INDEX(MUSTERILER!$B$7:$B$106,MATCH($R1285&amp;"*",MUSTERILER!$T$7:$T$106,0)),"TANIMSIZ MÜŞTERİ"))))</f>
        <v/>
      </c>
      <c r="D1285" s="109" t="n"/>
      <c r="E1285" s="220" t="n"/>
      <c r="F1285" s="221" t="n"/>
      <c r="G1285" s="108" t="n"/>
      <c r="H1285" s="108" t="n"/>
      <c r="I1285" s="109" t="n"/>
      <c r="J1285" s="109" t="n"/>
      <c r="K1285" s="109" t="n"/>
      <c r="L1285" s="226">
        <f>IF($E1285="","",DATE(YEAR($E1285),MONTH($E1285),1))</f>
        <v/>
      </c>
      <c r="M1285" s="113">
        <f>IF($D1285="","",IF($C1285="TANIMSIZ MÜŞTERİ","HATA",IF(OR($E1285="",$F1285&lt;=0,$G1285=""),"EKSİK",IF($E1285&gt;TODAY(),"İLERİ TARİH",IF(COUNTIF($S$7:$S$1506,$S1285)&gt;1,"MÜKERRER?",IF($T1285&gt;0,"KAPALI DÖNEM","UYGUN"))))))</f>
        <v/>
      </c>
      <c r="N1285" s="121">
        <f>IF($C1285="","",IF($C1285="TANIMSIZ MÜŞTERİ","—",INDEX(MUSTERILER!$C$7:$C$106,MATCH($C1285,MUSTERILER!$B$7:$B$106,0))))</f>
        <v/>
      </c>
      <c r="O1285" s="6" t="n"/>
      <c r="P1285" s="6" t="n"/>
      <c r="Q1285" s="3">
        <f>IF($D1285="","",$C1285&amp;"|"&amp;COUNTIFS($C$7:$C1285,$C1285))</f>
        <v/>
      </c>
      <c r="R1285" s="3">
        <f>IF($D1285="","",UPPER(SUBSTITUTE(SUBSTITUTE(SUBSTITUTE(SUBSTITUTE(SUBSTITUTE(SUBSTITUTE(SUBSTITUTE(SUBSTITUTE(SUBSTITUTE(SUBSTITUTE(SUBSTITUTE(SUBSTITUTE(SUBSTITUTE(SUBSTITUTE(SUBSTITUTE(SUBSTITUTE(SUBSTITUTE(SUBSTITUTE(TRIM($D1285),"'",""),"İ","I"),"ı","I"),"i","I"),"Ş","S"),"ş","S"),"Ğ","G"),"ğ","G"),"Ü","U"),"ü","U"),"Ö","O"),"ö","O"),"Ç","C"),"ç","C"),".",""),",","")," ",""),"-","")))</f>
        <v/>
      </c>
      <c r="S1285" s="3">
        <f>IF($D1285="","",$C1285&amp;"|"&amp;TEXT($E1285,"0")&amp;"|"&amp;TEXT($F1285,"0")&amp;"|"&amp;$I1285)</f>
        <v/>
      </c>
      <c r="T1285" s="3">
        <f>IF($E1285="",0,SUMPRODUCT((AY_SONU!$O$7:$O$42="Evet")*(AY_SONU!$B$7:$B$42=DATE(YEAR($E1285),MONTH($E1285),1))))</f>
        <v/>
      </c>
    </row>
    <row r="1286">
      <c r="A1286" s="6" t="n"/>
      <c r="B1286" s="113">
        <f>IF($D1286="","","T"&amp;TEXT(ROW()-6,"00000"))</f>
        <v/>
      </c>
      <c r="C1286" s="113">
        <f>IF($D1286="","",IFERROR(INDEX(MUSTERILER!$B$7:$B$106,MATCH($R1286,MUSTERILER!$T$7:$T$106,0)),IFERROR(INDEX(MUSTERILER!$B$7:$B$106,MATCH($D1286,MUSTERILER!$B$7:$B$106,0)),IFERROR(INDEX(MUSTERILER!$B$7:$B$106,MATCH($R1286&amp;"*",MUSTERILER!$T$7:$T$106,0)),"TANIMSIZ MÜŞTERİ"))))</f>
        <v/>
      </c>
      <c r="D1286" s="109" t="n"/>
      <c r="E1286" s="220" t="n"/>
      <c r="F1286" s="221" t="n"/>
      <c r="G1286" s="108" t="n"/>
      <c r="H1286" s="108" t="n"/>
      <c r="I1286" s="109" t="n"/>
      <c r="J1286" s="109" t="n"/>
      <c r="K1286" s="109" t="n"/>
      <c r="L1286" s="226">
        <f>IF($E1286="","",DATE(YEAR($E1286),MONTH($E1286),1))</f>
        <v/>
      </c>
      <c r="M1286" s="113">
        <f>IF($D1286="","",IF($C1286="TANIMSIZ MÜŞTERİ","HATA",IF(OR($E1286="",$F1286&lt;=0,$G1286=""),"EKSİK",IF($E1286&gt;TODAY(),"İLERİ TARİH",IF(COUNTIF($S$7:$S$1506,$S1286)&gt;1,"MÜKERRER?",IF($T1286&gt;0,"KAPALI DÖNEM","UYGUN"))))))</f>
        <v/>
      </c>
      <c r="N1286" s="121">
        <f>IF($C1286="","",IF($C1286="TANIMSIZ MÜŞTERİ","—",INDEX(MUSTERILER!$C$7:$C$106,MATCH($C1286,MUSTERILER!$B$7:$B$106,0))))</f>
        <v/>
      </c>
      <c r="O1286" s="6" t="n"/>
      <c r="P1286" s="6" t="n"/>
      <c r="Q1286" s="3">
        <f>IF($D1286="","",$C1286&amp;"|"&amp;COUNTIFS($C$7:$C1286,$C1286))</f>
        <v/>
      </c>
      <c r="R1286" s="3">
        <f>IF($D1286="","",UPPER(SUBSTITUTE(SUBSTITUTE(SUBSTITUTE(SUBSTITUTE(SUBSTITUTE(SUBSTITUTE(SUBSTITUTE(SUBSTITUTE(SUBSTITUTE(SUBSTITUTE(SUBSTITUTE(SUBSTITUTE(SUBSTITUTE(SUBSTITUTE(SUBSTITUTE(SUBSTITUTE(SUBSTITUTE(SUBSTITUTE(TRIM($D1286),"'",""),"İ","I"),"ı","I"),"i","I"),"Ş","S"),"ş","S"),"Ğ","G"),"ğ","G"),"Ü","U"),"ü","U"),"Ö","O"),"ö","O"),"Ç","C"),"ç","C"),".",""),",","")," ",""),"-","")))</f>
        <v/>
      </c>
      <c r="S1286" s="3">
        <f>IF($D1286="","",$C1286&amp;"|"&amp;TEXT($E1286,"0")&amp;"|"&amp;TEXT($F1286,"0")&amp;"|"&amp;$I1286)</f>
        <v/>
      </c>
      <c r="T1286" s="3">
        <f>IF($E1286="",0,SUMPRODUCT((AY_SONU!$O$7:$O$42="Evet")*(AY_SONU!$B$7:$B$42=DATE(YEAR($E1286),MONTH($E1286),1))))</f>
        <v/>
      </c>
    </row>
    <row r="1287">
      <c r="A1287" s="6" t="n"/>
      <c r="B1287" s="113">
        <f>IF($D1287="","","T"&amp;TEXT(ROW()-6,"00000"))</f>
        <v/>
      </c>
      <c r="C1287" s="113">
        <f>IF($D1287="","",IFERROR(INDEX(MUSTERILER!$B$7:$B$106,MATCH($R1287,MUSTERILER!$T$7:$T$106,0)),IFERROR(INDEX(MUSTERILER!$B$7:$B$106,MATCH($D1287,MUSTERILER!$B$7:$B$106,0)),IFERROR(INDEX(MUSTERILER!$B$7:$B$106,MATCH($R1287&amp;"*",MUSTERILER!$T$7:$T$106,0)),"TANIMSIZ MÜŞTERİ"))))</f>
        <v/>
      </c>
      <c r="D1287" s="109" t="n"/>
      <c r="E1287" s="220" t="n"/>
      <c r="F1287" s="221" t="n"/>
      <c r="G1287" s="108" t="n"/>
      <c r="H1287" s="108" t="n"/>
      <c r="I1287" s="109" t="n"/>
      <c r="J1287" s="109" t="n"/>
      <c r="K1287" s="109" t="n"/>
      <c r="L1287" s="226">
        <f>IF($E1287="","",DATE(YEAR($E1287),MONTH($E1287),1))</f>
        <v/>
      </c>
      <c r="M1287" s="113">
        <f>IF($D1287="","",IF($C1287="TANIMSIZ MÜŞTERİ","HATA",IF(OR($E1287="",$F1287&lt;=0,$G1287=""),"EKSİK",IF($E1287&gt;TODAY(),"İLERİ TARİH",IF(COUNTIF($S$7:$S$1506,$S1287)&gt;1,"MÜKERRER?",IF($T1287&gt;0,"KAPALI DÖNEM","UYGUN"))))))</f>
        <v/>
      </c>
      <c r="N1287" s="121">
        <f>IF($C1287="","",IF($C1287="TANIMSIZ MÜŞTERİ","—",INDEX(MUSTERILER!$C$7:$C$106,MATCH($C1287,MUSTERILER!$B$7:$B$106,0))))</f>
        <v/>
      </c>
      <c r="O1287" s="6" t="n"/>
      <c r="P1287" s="6" t="n"/>
      <c r="Q1287" s="3">
        <f>IF($D1287="","",$C1287&amp;"|"&amp;COUNTIFS($C$7:$C1287,$C1287))</f>
        <v/>
      </c>
      <c r="R1287" s="3">
        <f>IF($D1287="","",UPPER(SUBSTITUTE(SUBSTITUTE(SUBSTITUTE(SUBSTITUTE(SUBSTITUTE(SUBSTITUTE(SUBSTITUTE(SUBSTITUTE(SUBSTITUTE(SUBSTITUTE(SUBSTITUTE(SUBSTITUTE(SUBSTITUTE(SUBSTITUTE(SUBSTITUTE(SUBSTITUTE(SUBSTITUTE(SUBSTITUTE(TRIM($D1287),"'",""),"İ","I"),"ı","I"),"i","I"),"Ş","S"),"ş","S"),"Ğ","G"),"ğ","G"),"Ü","U"),"ü","U"),"Ö","O"),"ö","O"),"Ç","C"),"ç","C"),".",""),",","")," ",""),"-","")))</f>
        <v/>
      </c>
      <c r="S1287" s="3">
        <f>IF($D1287="","",$C1287&amp;"|"&amp;TEXT($E1287,"0")&amp;"|"&amp;TEXT($F1287,"0")&amp;"|"&amp;$I1287)</f>
        <v/>
      </c>
      <c r="T1287" s="3">
        <f>IF($E1287="",0,SUMPRODUCT((AY_SONU!$O$7:$O$42="Evet")*(AY_SONU!$B$7:$B$42=DATE(YEAR($E1287),MONTH($E1287),1))))</f>
        <v/>
      </c>
    </row>
    <row r="1288">
      <c r="A1288" s="6" t="n"/>
      <c r="B1288" s="113">
        <f>IF($D1288="","","T"&amp;TEXT(ROW()-6,"00000"))</f>
        <v/>
      </c>
      <c r="C1288" s="113">
        <f>IF($D1288="","",IFERROR(INDEX(MUSTERILER!$B$7:$B$106,MATCH($R1288,MUSTERILER!$T$7:$T$106,0)),IFERROR(INDEX(MUSTERILER!$B$7:$B$106,MATCH($D1288,MUSTERILER!$B$7:$B$106,0)),IFERROR(INDEX(MUSTERILER!$B$7:$B$106,MATCH($R1288&amp;"*",MUSTERILER!$T$7:$T$106,0)),"TANIMSIZ MÜŞTERİ"))))</f>
        <v/>
      </c>
      <c r="D1288" s="109" t="n"/>
      <c r="E1288" s="220" t="n"/>
      <c r="F1288" s="221" t="n"/>
      <c r="G1288" s="108" t="n"/>
      <c r="H1288" s="108" t="n"/>
      <c r="I1288" s="109" t="n"/>
      <c r="J1288" s="109" t="n"/>
      <c r="K1288" s="109" t="n"/>
      <c r="L1288" s="226">
        <f>IF($E1288="","",DATE(YEAR($E1288),MONTH($E1288),1))</f>
        <v/>
      </c>
      <c r="M1288" s="113">
        <f>IF($D1288="","",IF($C1288="TANIMSIZ MÜŞTERİ","HATA",IF(OR($E1288="",$F1288&lt;=0,$G1288=""),"EKSİK",IF($E1288&gt;TODAY(),"İLERİ TARİH",IF(COUNTIF($S$7:$S$1506,$S1288)&gt;1,"MÜKERRER?",IF($T1288&gt;0,"KAPALI DÖNEM","UYGUN"))))))</f>
        <v/>
      </c>
      <c r="N1288" s="121">
        <f>IF($C1288="","",IF($C1288="TANIMSIZ MÜŞTERİ","—",INDEX(MUSTERILER!$C$7:$C$106,MATCH($C1288,MUSTERILER!$B$7:$B$106,0))))</f>
        <v/>
      </c>
      <c r="O1288" s="6" t="n"/>
      <c r="P1288" s="6" t="n"/>
      <c r="Q1288" s="3">
        <f>IF($D1288="","",$C1288&amp;"|"&amp;COUNTIFS($C$7:$C1288,$C1288))</f>
        <v/>
      </c>
      <c r="R1288" s="3">
        <f>IF($D1288="","",UPPER(SUBSTITUTE(SUBSTITUTE(SUBSTITUTE(SUBSTITUTE(SUBSTITUTE(SUBSTITUTE(SUBSTITUTE(SUBSTITUTE(SUBSTITUTE(SUBSTITUTE(SUBSTITUTE(SUBSTITUTE(SUBSTITUTE(SUBSTITUTE(SUBSTITUTE(SUBSTITUTE(SUBSTITUTE(SUBSTITUTE(TRIM($D1288),"'",""),"İ","I"),"ı","I"),"i","I"),"Ş","S"),"ş","S"),"Ğ","G"),"ğ","G"),"Ü","U"),"ü","U"),"Ö","O"),"ö","O"),"Ç","C"),"ç","C"),".",""),",","")," ",""),"-","")))</f>
        <v/>
      </c>
      <c r="S1288" s="3">
        <f>IF($D1288="","",$C1288&amp;"|"&amp;TEXT($E1288,"0")&amp;"|"&amp;TEXT($F1288,"0")&amp;"|"&amp;$I1288)</f>
        <v/>
      </c>
      <c r="T1288" s="3">
        <f>IF($E1288="",0,SUMPRODUCT((AY_SONU!$O$7:$O$42="Evet")*(AY_SONU!$B$7:$B$42=DATE(YEAR($E1288),MONTH($E1288),1))))</f>
        <v/>
      </c>
    </row>
    <row r="1289">
      <c r="A1289" s="6" t="n"/>
      <c r="B1289" s="113">
        <f>IF($D1289="","","T"&amp;TEXT(ROW()-6,"00000"))</f>
        <v/>
      </c>
      <c r="C1289" s="113">
        <f>IF($D1289="","",IFERROR(INDEX(MUSTERILER!$B$7:$B$106,MATCH($R1289,MUSTERILER!$T$7:$T$106,0)),IFERROR(INDEX(MUSTERILER!$B$7:$B$106,MATCH($D1289,MUSTERILER!$B$7:$B$106,0)),IFERROR(INDEX(MUSTERILER!$B$7:$B$106,MATCH($R1289&amp;"*",MUSTERILER!$T$7:$T$106,0)),"TANIMSIZ MÜŞTERİ"))))</f>
        <v/>
      </c>
      <c r="D1289" s="109" t="n"/>
      <c r="E1289" s="220" t="n"/>
      <c r="F1289" s="221" t="n"/>
      <c r="G1289" s="108" t="n"/>
      <c r="H1289" s="108" t="n"/>
      <c r="I1289" s="109" t="n"/>
      <c r="J1289" s="109" t="n"/>
      <c r="K1289" s="109" t="n"/>
      <c r="L1289" s="226">
        <f>IF($E1289="","",DATE(YEAR($E1289),MONTH($E1289),1))</f>
        <v/>
      </c>
      <c r="M1289" s="113">
        <f>IF($D1289="","",IF($C1289="TANIMSIZ MÜŞTERİ","HATA",IF(OR($E1289="",$F1289&lt;=0,$G1289=""),"EKSİK",IF($E1289&gt;TODAY(),"İLERİ TARİH",IF(COUNTIF($S$7:$S$1506,$S1289)&gt;1,"MÜKERRER?",IF($T1289&gt;0,"KAPALI DÖNEM","UYGUN"))))))</f>
        <v/>
      </c>
      <c r="N1289" s="121">
        <f>IF($C1289="","",IF($C1289="TANIMSIZ MÜŞTERİ","—",INDEX(MUSTERILER!$C$7:$C$106,MATCH($C1289,MUSTERILER!$B$7:$B$106,0))))</f>
        <v/>
      </c>
      <c r="O1289" s="6" t="n"/>
      <c r="P1289" s="6" t="n"/>
      <c r="Q1289" s="3">
        <f>IF($D1289="","",$C1289&amp;"|"&amp;COUNTIFS($C$7:$C1289,$C1289))</f>
        <v/>
      </c>
      <c r="R1289" s="3">
        <f>IF($D1289="","",UPPER(SUBSTITUTE(SUBSTITUTE(SUBSTITUTE(SUBSTITUTE(SUBSTITUTE(SUBSTITUTE(SUBSTITUTE(SUBSTITUTE(SUBSTITUTE(SUBSTITUTE(SUBSTITUTE(SUBSTITUTE(SUBSTITUTE(SUBSTITUTE(SUBSTITUTE(SUBSTITUTE(SUBSTITUTE(SUBSTITUTE(TRIM($D1289),"'",""),"İ","I"),"ı","I"),"i","I"),"Ş","S"),"ş","S"),"Ğ","G"),"ğ","G"),"Ü","U"),"ü","U"),"Ö","O"),"ö","O"),"Ç","C"),"ç","C"),".",""),",","")," ",""),"-","")))</f>
        <v/>
      </c>
      <c r="S1289" s="3">
        <f>IF($D1289="","",$C1289&amp;"|"&amp;TEXT($E1289,"0")&amp;"|"&amp;TEXT($F1289,"0")&amp;"|"&amp;$I1289)</f>
        <v/>
      </c>
      <c r="T1289" s="3">
        <f>IF($E1289="",0,SUMPRODUCT((AY_SONU!$O$7:$O$42="Evet")*(AY_SONU!$B$7:$B$42=DATE(YEAR($E1289),MONTH($E1289),1))))</f>
        <v/>
      </c>
    </row>
    <row r="1290">
      <c r="A1290" s="6" t="n"/>
      <c r="B1290" s="113">
        <f>IF($D1290="","","T"&amp;TEXT(ROW()-6,"00000"))</f>
        <v/>
      </c>
      <c r="C1290" s="113">
        <f>IF($D1290="","",IFERROR(INDEX(MUSTERILER!$B$7:$B$106,MATCH($R1290,MUSTERILER!$T$7:$T$106,0)),IFERROR(INDEX(MUSTERILER!$B$7:$B$106,MATCH($D1290,MUSTERILER!$B$7:$B$106,0)),IFERROR(INDEX(MUSTERILER!$B$7:$B$106,MATCH($R1290&amp;"*",MUSTERILER!$T$7:$T$106,0)),"TANIMSIZ MÜŞTERİ"))))</f>
        <v/>
      </c>
      <c r="D1290" s="109" t="n"/>
      <c r="E1290" s="220" t="n"/>
      <c r="F1290" s="221" t="n"/>
      <c r="G1290" s="108" t="n"/>
      <c r="H1290" s="108" t="n"/>
      <c r="I1290" s="109" t="n"/>
      <c r="J1290" s="109" t="n"/>
      <c r="K1290" s="109" t="n"/>
      <c r="L1290" s="226">
        <f>IF($E1290="","",DATE(YEAR($E1290),MONTH($E1290),1))</f>
        <v/>
      </c>
      <c r="M1290" s="113">
        <f>IF($D1290="","",IF($C1290="TANIMSIZ MÜŞTERİ","HATA",IF(OR($E1290="",$F1290&lt;=0,$G1290=""),"EKSİK",IF($E1290&gt;TODAY(),"İLERİ TARİH",IF(COUNTIF($S$7:$S$1506,$S1290)&gt;1,"MÜKERRER?",IF($T1290&gt;0,"KAPALI DÖNEM","UYGUN"))))))</f>
        <v/>
      </c>
      <c r="N1290" s="121">
        <f>IF($C1290="","",IF($C1290="TANIMSIZ MÜŞTERİ","—",INDEX(MUSTERILER!$C$7:$C$106,MATCH($C1290,MUSTERILER!$B$7:$B$106,0))))</f>
        <v/>
      </c>
      <c r="O1290" s="6" t="n"/>
      <c r="P1290" s="6" t="n"/>
      <c r="Q1290" s="3">
        <f>IF($D1290="","",$C1290&amp;"|"&amp;COUNTIFS($C$7:$C1290,$C1290))</f>
        <v/>
      </c>
      <c r="R1290" s="3">
        <f>IF($D1290="","",UPPER(SUBSTITUTE(SUBSTITUTE(SUBSTITUTE(SUBSTITUTE(SUBSTITUTE(SUBSTITUTE(SUBSTITUTE(SUBSTITUTE(SUBSTITUTE(SUBSTITUTE(SUBSTITUTE(SUBSTITUTE(SUBSTITUTE(SUBSTITUTE(SUBSTITUTE(SUBSTITUTE(SUBSTITUTE(SUBSTITUTE(TRIM($D1290),"'",""),"İ","I"),"ı","I"),"i","I"),"Ş","S"),"ş","S"),"Ğ","G"),"ğ","G"),"Ü","U"),"ü","U"),"Ö","O"),"ö","O"),"Ç","C"),"ç","C"),".",""),",","")," ",""),"-","")))</f>
        <v/>
      </c>
      <c r="S1290" s="3">
        <f>IF($D1290="","",$C1290&amp;"|"&amp;TEXT($E1290,"0")&amp;"|"&amp;TEXT($F1290,"0")&amp;"|"&amp;$I1290)</f>
        <v/>
      </c>
      <c r="T1290" s="3">
        <f>IF($E1290="",0,SUMPRODUCT((AY_SONU!$O$7:$O$42="Evet")*(AY_SONU!$B$7:$B$42=DATE(YEAR($E1290),MONTH($E1290),1))))</f>
        <v/>
      </c>
    </row>
    <row r="1291">
      <c r="A1291" s="6" t="n"/>
      <c r="B1291" s="113">
        <f>IF($D1291="","","T"&amp;TEXT(ROW()-6,"00000"))</f>
        <v/>
      </c>
      <c r="C1291" s="113">
        <f>IF($D1291="","",IFERROR(INDEX(MUSTERILER!$B$7:$B$106,MATCH($R1291,MUSTERILER!$T$7:$T$106,0)),IFERROR(INDEX(MUSTERILER!$B$7:$B$106,MATCH($D1291,MUSTERILER!$B$7:$B$106,0)),IFERROR(INDEX(MUSTERILER!$B$7:$B$106,MATCH($R1291&amp;"*",MUSTERILER!$T$7:$T$106,0)),"TANIMSIZ MÜŞTERİ"))))</f>
        <v/>
      </c>
      <c r="D1291" s="109" t="n"/>
      <c r="E1291" s="220" t="n"/>
      <c r="F1291" s="221" t="n"/>
      <c r="G1291" s="108" t="n"/>
      <c r="H1291" s="108" t="n"/>
      <c r="I1291" s="109" t="n"/>
      <c r="J1291" s="109" t="n"/>
      <c r="K1291" s="109" t="n"/>
      <c r="L1291" s="226">
        <f>IF($E1291="","",DATE(YEAR($E1291),MONTH($E1291),1))</f>
        <v/>
      </c>
      <c r="M1291" s="113">
        <f>IF($D1291="","",IF($C1291="TANIMSIZ MÜŞTERİ","HATA",IF(OR($E1291="",$F1291&lt;=0,$G1291=""),"EKSİK",IF($E1291&gt;TODAY(),"İLERİ TARİH",IF(COUNTIF($S$7:$S$1506,$S1291)&gt;1,"MÜKERRER?",IF($T1291&gt;0,"KAPALI DÖNEM","UYGUN"))))))</f>
        <v/>
      </c>
      <c r="N1291" s="121">
        <f>IF($C1291="","",IF($C1291="TANIMSIZ MÜŞTERİ","—",INDEX(MUSTERILER!$C$7:$C$106,MATCH($C1291,MUSTERILER!$B$7:$B$106,0))))</f>
        <v/>
      </c>
      <c r="O1291" s="6" t="n"/>
      <c r="P1291" s="6" t="n"/>
      <c r="Q1291" s="3">
        <f>IF($D1291="","",$C1291&amp;"|"&amp;COUNTIFS($C$7:$C1291,$C1291))</f>
        <v/>
      </c>
      <c r="R1291" s="3">
        <f>IF($D1291="","",UPPER(SUBSTITUTE(SUBSTITUTE(SUBSTITUTE(SUBSTITUTE(SUBSTITUTE(SUBSTITUTE(SUBSTITUTE(SUBSTITUTE(SUBSTITUTE(SUBSTITUTE(SUBSTITUTE(SUBSTITUTE(SUBSTITUTE(SUBSTITUTE(SUBSTITUTE(SUBSTITUTE(SUBSTITUTE(SUBSTITUTE(TRIM($D1291),"'",""),"İ","I"),"ı","I"),"i","I"),"Ş","S"),"ş","S"),"Ğ","G"),"ğ","G"),"Ü","U"),"ü","U"),"Ö","O"),"ö","O"),"Ç","C"),"ç","C"),".",""),",","")," ",""),"-","")))</f>
        <v/>
      </c>
      <c r="S1291" s="3">
        <f>IF($D1291="","",$C1291&amp;"|"&amp;TEXT($E1291,"0")&amp;"|"&amp;TEXT($F1291,"0")&amp;"|"&amp;$I1291)</f>
        <v/>
      </c>
      <c r="T1291" s="3">
        <f>IF($E1291="",0,SUMPRODUCT((AY_SONU!$O$7:$O$42="Evet")*(AY_SONU!$B$7:$B$42=DATE(YEAR($E1291),MONTH($E1291),1))))</f>
        <v/>
      </c>
    </row>
    <row r="1292">
      <c r="A1292" s="6" t="n"/>
      <c r="B1292" s="113">
        <f>IF($D1292="","","T"&amp;TEXT(ROW()-6,"00000"))</f>
        <v/>
      </c>
      <c r="C1292" s="113">
        <f>IF($D1292="","",IFERROR(INDEX(MUSTERILER!$B$7:$B$106,MATCH($R1292,MUSTERILER!$T$7:$T$106,0)),IFERROR(INDEX(MUSTERILER!$B$7:$B$106,MATCH($D1292,MUSTERILER!$B$7:$B$106,0)),IFERROR(INDEX(MUSTERILER!$B$7:$B$106,MATCH($R1292&amp;"*",MUSTERILER!$T$7:$T$106,0)),"TANIMSIZ MÜŞTERİ"))))</f>
        <v/>
      </c>
      <c r="D1292" s="109" t="n"/>
      <c r="E1292" s="220" t="n"/>
      <c r="F1292" s="221" t="n"/>
      <c r="G1292" s="108" t="n"/>
      <c r="H1292" s="108" t="n"/>
      <c r="I1292" s="109" t="n"/>
      <c r="J1292" s="109" t="n"/>
      <c r="K1292" s="109" t="n"/>
      <c r="L1292" s="226">
        <f>IF($E1292="","",DATE(YEAR($E1292),MONTH($E1292),1))</f>
        <v/>
      </c>
      <c r="M1292" s="113">
        <f>IF($D1292="","",IF($C1292="TANIMSIZ MÜŞTERİ","HATA",IF(OR($E1292="",$F1292&lt;=0,$G1292=""),"EKSİK",IF($E1292&gt;TODAY(),"İLERİ TARİH",IF(COUNTIF($S$7:$S$1506,$S1292)&gt;1,"MÜKERRER?",IF($T1292&gt;0,"KAPALI DÖNEM","UYGUN"))))))</f>
        <v/>
      </c>
      <c r="N1292" s="121">
        <f>IF($C1292="","",IF($C1292="TANIMSIZ MÜŞTERİ","—",INDEX(MUSTERILER!$C$7:$C$106,MATCH($C1292,MUSTERILER!$B$7:$B$106,0))))</f>
        <v/>
      </c>
      <c r="O1292" s="6" t="n"/>
      <c r="P1292" s="6" t="n"/>
      <c r="Q1292" s="3">
        <f>IF($D1292="","",$C1292&amp;"|"&amp;COUNTIFS($C$7:$C1292,$C1292))</f>
        <v/>
      </c>
      <c r="R1292" s="3">
        <f>IF($D1292="","",UPPER(SUBSTITUTE(SUBSTITUTE(SUBSTITUTE(SUBSTITUTE(SUBSTITUTE(SUBSTITUTE(SUBSTITUTE(SUBSTITUTE(SUBSTITUTE(SUBSTITUTE(SUBSTITUTE(SUBSTITUTE(SUBSTITUTE(SUBSTITUTE(SUBSTITUTE(SUBSTITUTE(SUBSTITUTE(SUBSTITUTE(TRIM($D1292),"'",""),"İ","I"),"ı","I"),"i","I"),"Ş","S"),"ş","S"),"Ğ","G"),"ğ","G"),"Ü","U"),"ü","U"),"Ö","O"),"ö","O"),"Ç","C"),"ç","C"),".",""),",","")," ",""),"-","")))</f>
        <v/>
      </c>
      <c r="S1292" s="3">
        <f>IF($D1292="","",$C1292&amp;"|"&amp;TEXT($E1292,"0")&amp;"|"&amp;TEXT($F1292,"0")&amp;"|"&amp;$I1292)</f>
        <v/>
      </c>
      <c r="T1292" s="3">
        <f>IF($E1292="",0,SUMPRODUCT((AY_SONU!$O$7:$O$42="Evet")*(AY_SONU!$B$7:$B$42=DATE(YEAR($E1292),MONTH($E1292),1))))</f>
        <v/>
      </c>
    </row>
    <row r="1293">
      <c r="A1293" s="6" t="n"/>
      <c r="B1293" s="113">
        <f>IF($D1293="","","T"&amp;TEXT(ROW()-6,"00000"))</f>
        <v/>
      </c>
      <c r="C1293" s="113">
        <f>IF($D1293="","",IFERROR(INDEX(MUSTERILER!$B$7:$B$106,MATCH($R1293,MUSTERILER!$T$7:$T$106,0)),IFERROR(INDEX(MUSTERILER!$B$7:$B$106,MATCH($D1293,MUSTERILER!$B$7:$B$106,0)),IFERROR(INDEX(MUSTERILER!$B$7:$B$106,MATCH($R1293&amp;"*",MUSTERILER!$T$7:$T$106,0)),"TANIMSIZ MÜŞTERİ"))))</f>
        <v/>
      </c>
      <c r="D1293" s="109" t="n"/>
      <c r="E1293" s="220" t="n"/>
      <c r="F1293" s="221" t="n"/>
      <c r="G1293" s="108" t="n"/>
      <c r="H1293" s="108" t="n"/>
      <c r="I1293" s="109" t="n"/>
      <c r="J1293" s="109" t="n"/>
      <c r="K1293" s="109" t="n"/>
      <c r="L1293" s="226">
        <f>IF($E1293="","",DATE(YEAR($E1293),MONTH($E1293),1))</f>
        <v/>
      </c>
      <c r="M1293" s="113">
        <f>IF($D1293="","",IF($C1293="TANIMSIZ MÜŞTERİ","HATA",IF(OR($E1293="",$F1293&lt;=0,$G1293=""),"EKSİK",IF($E1293&gt;TODAY(),"İLERİ TARİH",IF(COUNTIF($S$7:$S$1506,$S1293)&gt;1,"MÜKERRER?",IF($T1293&gt;0,"KAPALI DÖNEM","UYGUN"))))))</f>
        <v/>
      </c>
      <c r="N1293" s="121">
        <f>IF($C1293="","",IF($C1293="TANIMSIZ MÜŞTERİ","—",INDEX(MUSTERILER!$C$7:$C$106,MATCH($C1293,MUSTERILER!$B$7:$B$106,0))))</f>
        <v/>
      </c>
      <c r="O1293" s="6" t="n"/>
      <c r="P1293" s="6" t="n"/>
      <c r="Q1293" s="3">
        <f>IF($D1293="","",$C1293&amp;"|"&amp;COUNTIFS($C$7:$C1293,$C1293))</f>
        <v/>
      </c>
      <c r="R1293" s="3">
        <f>IF($D1293="","",UPPER(SUBSTITUTE(SUBSTITUTE(SUBSTITUTE(SUBSTITUTE(SUBSTITUTE(SUBSTITUTE(SUBSTITUTE(SUBSTITUTE(SUBSTITUTE(SUBSTITUTE(SUBSTITUTE(SUBSTITUTE(SUBSTITUTE(SUBSTITUTE(SUBSTITUTE(SUBSTITUTE(SUBSTITUTE(SUBSTITUTE(TRIM($D1293),"'",""),"İ","I"),"ı","I"),"i","I"),"Ş","S"),"ş","S"),"Ğ","G"),"ğ","G"),"Ü","U"),"ü","U"),"Ö","O"),"ö","O"),"Ç","C"),"ç","C"),".",""),",","")," ",""),"-","")))</f>
        <v/>
      </c>
      <c r="S1293" s="3">
        <f>IF($D1293="","",$C1293&amp;"|"&amp;TEXT($E1293,"0")&amp;"|"&amp;TEXT($F1293,"0")&amp;"|"&amp;$I1293)</f>
        <v/>
      </c>
      <c r="T1293" s="3">
        <f>IF($E1293="",0,SUMPRODUCT((AY_SONU!$O$7:$O$42="Evet")*(AY_SONU!$B$7:$B$42=DATE(YEAR($E1293),MONTH($E1293),1))))</f>
        <v/>
      </c>
    </row>
    <row r="1294">
      <c r="A1294" s="6" t="n"/>
      <c r="B1294" s="113">
        <f>IF($D1294="","","T"&amp;TEXT(ROW()-6,"00000"))</f>
        <v/>
      </c>
      <c r="C1294" s="113">
        <f>IF($D1294="","",IFERROR(INDEX(MUSTERILER!$B$7:$B$106,MATCH($R1294,MUSTERILER!$T$7:$T$106,0)),IFERROR(INDEX(MUSTERILER!$B$7:$B$106,MATCH($D1294,MUSTERILER!$B$7:$B$106,0)),IFERROR(INDEX(MUSTERILER!$B$7:$B$106,MATCH($R1294&amp;"*",MUSTERILER!$T$7:$T$106,0)),"TANIMSIZ MÜŞTERİ"))))</f>
        <v/>
      </c>
      <c r="D1294" s="109" t="n"/>
      <c r="E1294" s="220" t="n"/>
      <c r="F1294" s="221" t="n"/>
      <c r="G1294" s="108" t="n"/>
      <c r="H1294" s="108" t="n"/>
      <c r="I1294" s="109" t="n"/>
      <c r="J1294" s="109" t="n"/>
      <c r="K1294" s="109" t="n"/>
      <c r="L1294" s="226">
        <f>IF($E1294="","",DATE(YEAR($E1294),MONTH($E1294),1))</f>
        <v/>
      </c>
      <c r="M1294" s="113">
        <f>IF($D1294="","",IF($C1294="TANIMSIZ MÜŞTERİ","HATA",IF(OR($E1294="",$F1294&lt;=0,$G1294=""),"EKSİK",IF($E1294&gt;TODAY(),"İLERİ TARİH",IF(COUNTIF($S$7:$S$1506,$S1294)&gt;1,"MÜKERRER?",IF($T1294&gt;0,"KAPALI DÖNEM","UYGUN"))))))</f>
        <v/>
      </c>
      <c r="N1294" s="121">
        <f>IF($C1294="","",IF($C1294="TANIMSIZ MÜŞTERİ","—",INDEX(MUSTERILER!$C$7:$C$106,MATCH($C1294,MUSTERILER!$B$7:$B$106,0))))</f>
        <v/>
      </c>
      <c r="O1294" s="6" t="n"/>
      <c r="P1294" s="6" t="n"/>
      <c r="Q1294" s="3">
        <f>IF($D1294="","",$C1294&amp;"|"&amp;COUNTIFS($C$7:$C1294,$C1294))</f>
        <v/>
      </c>
      <c r="R1294" s="3">
        <f>IF($D1294="","",UPPER(SUBSTITUTE(SUBSTITUTE(SUBSTITUTE(SUBSTITUTE(SUBSTITUTE(SUBSTITUTE(SUBSTITUTE(SUBSTITUTE(SUBSTITUTE(SUBSTITUTE(SUBSTITUTE(SUBSTITUTE(SUBSTITUTE(SUBSTITUTE(SUBSTITUTE(SUBSTITUTE(SUBSTITUTE(SUBSTITUTE(TRIM($D1294),"'",""),"İ","I"),"ı","I"),"i","I"),"Ş","S"),"ş","S"),"Ğ","G"),"ğ","G"),"Ü","U"),"ü","U"),"Ö","O"),"ö","O"),"Ç","C"),"ç","C"),".",""),",","")," ",""),"-","")))</f>
        <v/>
      </c>
      <c r="S1294" s="3">
        <f>IF($D1294="","",$C1294&amp;"|"&amp;TEXT($E1294,"0")&amp;"|"&amp;TEXT($F1294,"0")&amp;"|"&amp;$I1294)</f>
        <v/>
      </c>
      <c r="T1294" s="3">
        <f>IF($E1294="",0,SUMPRODUCT((AY_SONU!$O$7:$O$42="Evet")*(AY_SONU!$B$7:$B$42=DATE(YEAR($E1294),MONTH($E1294),1))))</f>
        <v/>
      </c>
    </row>
    <row r="1295">
      <c r="A1295" s="6" t="n"/>
      <c r="B1295" s="113">
        <f>IF($D1295="","","T"&amp;TEXT(ROW()-6,"00000"))</f>
        <v/>
      </c>
      <c r="C1295" s="113">
        <f>IF($D1295="","",IFERROR(INDEX(MUSTERILER!$B$7:$B$106,MATCH($R1295,MUSTERILER!$T$7:$T$106,0)),IFERROR(INDEX(MUSTERILER!$B$7:$B$106,MATCH($D1295,MUSTERILER!$B$7:$B$106,0)),IFERROR(INDEX(MUSTERILER!$B$7:$B$106,MATCH($R1295&amp;"*",MUSTERILER!$T$7:$T$106,0)),"TANIMSIZ MÜŞTERİ"))))</f>
        <v/>
      </c>
      <c r="D1295" s="109" t="n"/>
      <c r="E1295" s="220" t="n"/>
      <c r="F1295" s="221" t="n"/>
      <c r="G1295" s="108" t="n"/>
      <c r="H1295" s="108" t="n"/>
      <c r="I1295" s="109" t="n"/>
      <c r="J1295" s="109" t="n"/>
      <c r="K1295" s="109" t="n"/>
      <c r="L1295" s="226">
        <f>IF($E1295="","",DATE(YEAR($E1295),MONTH($E1295),1))</f>
        <v/>
      </c>
      <c r="M1295" s="113">
        <f>IF($D1295="","",IF($C1295="TANIMSIZ MÜŞTERİ","HATA",IF(OR($E1295="",$F1295&lt;=0,$G1295=""),"EKSİK",IF($E1295&gt;TODAY(),"İLERİ TARİH",IF(COUNTIF($S$7:$S$1506,$S1295)&gt;1,"MÜKERRER?",IF($T1295&gt;0,"KAPALI DÖNEM","UYGUN"))))))</f>
        <v/>
      </c>
      <c r="N1295" s="121">
        <f>IF($C1295="","",IF($C1295="TANIMSIZ MÜŞTERİ","—",INDEX(MUSTERILER!$C$7:$C$106,MATCH($C1295,MUSTERILER!$B$7:$B$106,0))))</f>
        <v/>
      </c>
      <c r="O1295" s="6" t="n"/>
      <c r="P1295" s="6" t="n"/>
      <c r="Q1295" s="3">
        <f>IF($D1295="","",$C1295&amp;"|"&amp;COUNTIFS($C$7:$C1295,$C1295))</f>
        <v/>
      </c>
      <c r="R1295" s="3">
        <f>IF($D1295="","",UPPER(SUBSTITUTE(SUBSTITUTE(SUBSTITUTE(SUBSTITUTE(SUBSTITUTE(SUBSTITUTE(SUBSTITUTE(SUBSTITUTE(SUBSTITUTE(SUBSTITUTE(SUBSTITUTE(SUBSTITUTE(SUBSTITUTE(SUBSTITUTE(SUBSTITUTE(SUBSTITUTE(SUBSTITUTE(SUBSTITUTE(TRIM($D1295),"'",""),"İ","I"),"ı","I"),"i","I"),"Ş","S"),"ş","S"),"Ğ","G"),"ğ","G"),"Ü","U"),"ü","U"),"Ö","O"),"ö","O"),"Ç","C"),"ç","C"),".",""),",","")," ",""),"-","")))</f>
        <v/>
      </c>
      <c r="S1295" s="3">
        <f>IF($D1295="","",$C1295&amp;"|"&amp;TEXT($E1295,"0")&amp;"|"&amp;TEXT($F1295,"0")&amp;"|"&amp;$I1295)</f>
        <v/>
      </c>
      <c r="T1295" s="3">
        <f>IF($E1295="",0,SUMPRODUCT((AY_SONU!$O$7:$O$42="Evet")*(AY_SONU!$B$7:$B$42=DATE(YEAR($E1295),MONTH($E1295),1))))</f>
        <v/>
      </c>
    </row>
    <row r="1296">
      <c r="A1296" s="6" t="n"/>
      <c r="B1296" s="113">
        <f>IF($D1296="","","T"&amp;TEXT(ROW()-6,"00000"))</f>
        <v/>
      </c>
      <c r="C1296" s="113">
        <f>IF($D1296="","",IFERROR(INDEX(MUSTERILER!$B$7:$B$106,MATCH($R1296,MUSTERILER!$T$7:$T$106,0)),IFERROR(INDEX(MUSTERILER!$B$7:$B$106,MATCH($D1296,MUSTERILER!$B$7:$B$106,0)),IFERROR(INDEX(MUSTERILER!$B$7:$B$106,MATCH($R1296&amp;"*",MUSTERILER!$T$7:$T$106,0)),"TANIMSIZ MÜŞTERİ"))))</f>
        <v/>
      </c>
      <c r="D1296" s="109" t="n"/>
      <c r="E1296" s="220" t="n"/>
      <c r="F1296" s="221" t="n"/>
      <c r="G1296" s="108" t="n"/>
      <c r="H1296" s="108" t="n"/>
      <c r="I1296" s="109" t="n"/>
      <c r="J1296" s="109" t="n"/>
      <c r="K1296" s="109" t="n"/>
      <c r="L1296" s="226">
        <f>IF($E1296="","",DATE(YEAR($E1296),MONTH($E1296),1))</f>
        <v/>
      </c>
      <c r="M1296" s="113">
        <f>IF($D1296="","",IF($C1296="TANIMSIZ MÜŞTERİ","HATA",IF(OR($E1296="",$F1296&lt;=0,$G1296=""),"EKSİK",IF($E1296&gt;TODAY(),"İLERİ TARİH",IF(COUNTIF($S$7:$S$1506,$S1296)&gt;1,"MÜKERRER?",IF($T1296&gt;0,"KAPALI DÖNEM","UYGUN"))))))</f>
        <v/>
      </c>
      <c r="N1296" s="121">
        <f>IF($C1296="","",IF($C1296="TANIMSIZ MÜŞTERİ","—",INDEX(MUSTERILER!$C$7:$C$106,MATCH($C1296,MUSTERILER!$B$7:$B$106,0))))</f>
        <v/>
      </c>
      <c r="O1296" s="6" t="n"/>
      <c r="P1296" s="6" t="n"/>
      <c r="Q1296" s="3">
        <f>IF($D1296="","",$C1296&amp;"|"&amp;COUNTIFS($C$7:$C1296,$C1296))</f>
        <v/>
      </c>
      <c r="R1296" s="3">
        <f>IF($D1296="","",UPPER(SUBSTITUTE(SUBSTITUTE(SUBSTITUTE(SUBSTITUTE(SUBSTITUTE(SUBSTITUTE(SUBSTITUTE(SUBSTITUTE(SUBSTITUTE(SUBSTITUTE(SUBSTITUTE(SUBSTITUTE(SUBSTITUTE(SUBSTITUTE(SUBSTITUTE(SUBSTITUTE(SUBSTITUTE(SUBSTITUTE(TRIM($D1296),"'",""),"İ","I"),"ı","I"),"i","I"),"Ş","S"),"ş","S"),"Ğ","G"),"ğ","G"),"Ü","U"),"ü","U"),"Ö","O"),"ö","O"),"Ç","C"),"ç","C"),".",""),",","")," ",""),"-","")))</f>
        <v/>
      </c>
      <c r="S1296" s="3">
        <f>IF($D1296="","",$C1296&amp;"|"&amp;TEXT($E1296,"0")&amp;"|"&amp;TEXT($F1296,"0")&amp;"|"&amp;$I1296)</f>
        <v/>
      </c>
      <c r="T1296" s="3">
        <f>IF($E1296="",0,SUMPRODUCT((AY_SONU!$O$7:$O$42="Evet")*(AY_SONU!$B$7:$B$42=DATE(YEAR($E1296),MONTH($E1296),1))))</f>
        <v/>
      </c>
    </row>
    <row r="1297">
      <c r="A1297" s="6" t="n"/>
      <c r="B1297" s="113">
        <f>IF($D1297="","","T"&amp;TEXT(ROW()-6,"00000"))</f>
        <v/>
      </c>
      <c r="C1297" s="113">
        <f>IF($D1297="","",IFERROR(INDEX(MUSTERILER!$B$7:$B$106,MATCH($R1297,MUSTERILER!$T$7:$T$106,0)),IFERROR(INDEX(MUSTERILER!$B$7:$B$106,MATCH($D1297,MUSTERILER!$B$7:$B$106,0)),IFERROR(INDEX(MUSTERILER!$B$7:$B$106,MATCH($R1297&amp;"*",MUSTERILER!$T$7:$T$106,0)),"TANIMSIZ MÜŞTERİ"))))</f>
        <v/>
      </c>
      <c r="D1297" s="109" t="n"/>
      <c r="E1297" s="220" t="n"/>
      <c r="F1297" s="221" t="n"/>
      <c r="G1297" s="108" t="n"/>
      <c r="H1297" s="108" t="n"/>
      <c r="I1297" s="109" t="n"/>
      <c r="J1297" s="109" t="n"/>
      <c r="K1297" s="109" t="n"/>
      <c r="L1297" s="226">
        <f>IF($E1297="","",DATE(YEAR($E1297),MONTH($E1297),1))</f>
        <v/>
      </c>
      <c r="M1297" s="113">
        <f>IF($D1297="","",IF($C1297="TANIMSIZ MÜŞTERİ","HATA",IF(OR($E1297="",$F1297&lt;=0,$G1297=""),"EKSİK",IF($E1297&gt;TODAY(),"İLERİ TARİH",IF(COUNTIF($S$7:$S$1506,$S1297)&gt;1,"MÜKERRER?",IF($T1297&gt;0,"KAPALI DÖNEM","UYGUN"))))))</f>
        <v/>
      </c>
      <c r="N1297" s="121">
        <f>IF($C1297="","",IF($C1297="TANIMSIZ MÜŞTERİ","—",INDEX(MUSTERILER!$C$7:$C$106,MATCH($C1297,MUSTERILER!$B$7:$B$106,0))))</f>
        <v/>
      </c>
      <c r="O1297" s="6" t="n"/>
      <c r="P1297" s="6" t="n"/>
      <c r="Q1297" s="3">
        <f>IF($D1297="","",$C1297&amp;"|"&amp;COUNTIFS($C$7:$C1297,$C1297))</f>
        <v/>
      </c>
      <c r="R1297" s="3">
        <f>IF($D1297="","",UPPER(SUBSTITUTE(SUBSTITUTE(SUBSTITUTE(SUBSTITUTE(SUBSTITUTE(SUBSTITUTE(SUBSTITUTE(SUBSTITUTE(SUBSTITUTE(SUBSTITUTE(SUBSTITUTE(SUBSTITUTE(SUBSTITUTE(SUBSTITUTE(SUBSTITUTE(SUBSTITUTE(SUBSTITUTE(SUBSTITUTE(TRIM($D1297),"'",""),"İ","I"),"ı","I"),"i","I"),"Ş","S"),"ş","S"),"Ğ","G"),"ğ","G"),"Ü","U"),"ü","U"),"Ö","O"),"ö","O"),"Ç","C"),"ç","C"),".",""),",","")," ",""),"-","")))</f>
        <v/>
      </c>
      <c r="S1297" s="3">
        <f>IF($D1297="","",$C1297&amp;"|"&amp;TEXT($E1297,"0")&amp;"|"&amp;TEXT($F1297,"0")&amp;"|"&amp;$I1297)</f>
        <v/>
      </c>
      <c r="T1297" s="3">
        <f>IF($E1297="",0,SUMPRODUCT((AY_SONU!$O$7:$O$42="Evet")*(AY_SONU!$B$7:$B$42=DATE(YEAR($E1297),MONTH($E1297),1))))</f>
        <v/>
      </c>
    </row>
    <row r="1298">
      <c r="A1298" s="6" t="n"/>
      <c r="B1298" s="113">
        <f>IF($D1298="","","T"&amp;TEXT(ROW()-6,"00000"))</f>
        <v/>
      </c>
      <c r="C1298" s="113">
        <f>IF($D1298="","",IFERROR(INDEX(MUSTERILER!$B$7:$B$106,MATCH($R1298,MUSTERILER!$T$7:$T$106,0)),IFERROR(INDEX(MUSTERILER!$B$7:$B$106,MATCH($D1298,MUSTERILER!$B$7:$B$106,0)),IFERROR(INDEX(MUSTERILER!$B$7:$B$106,MATCH($R1298&amp;"*",MUSTERILER!$T$7:$T$106,0)),"TANIMSIZ MÜŞTERİ"))))</f>
        <v/>
      </c>
      <c r="D1298" s="109" t="n"/>
      <c r="E1298" s="220" t="n"/>
      <c r="F1298" s="221" t="n"/>
      <c r="G1298" s="108" t="n"/>
      <c r="H1298" s="108" t="n"/>
      <c r="I1298" s="109" t="n"/>
      <c r="J1298" s="109" t="n"/>
      <c r="K1298" s="109" t="n"/>
      <c r="L1298" s="226">
        <f>IF($E1298="","",DATE(YEAR($E1298),MONTH($E1298),1))</f>
        <v/>
      </c>
      <c r="M1298" s="113">
        <f>IF($D1298="","",IF($C1298="TANIMSIZ MÜŞTERİ","HATA",IF(OR($E1298="",$F1298&lt;=0,$G1298=""),"EKSİK",IF($E1298&gt;TODAY(),"İLERİ TARİH",IF(COUNTIF($S$7:$S$1506,$S1298)&gt;1,"MÜKERRER?",IF($T1298&gt;0,"KAPALI DÖNEM","UYGUN"))))))</f>
        <v/>
      </c>
      <c r="N1298" s="121">
        <f>IF($C1298="","",IF($C1298="TANIMSIZ MÜŞTERİ","—",INDEX(MUSTERILER!$C$7:$C$106,MATCH($C1298,MUSTERILER!$B$7:$B$106,0))))</f>
        <v/>
      </c>
      <c r="O1298" s="6" t="n"/>
      <c r="P1298" s="6" t="n"/>
      <c r="Q1298" s="3">
        <f>IF($D1298="","",$C1298&amp;"|"&amp;COUNTIFS($C$7:$C1298,$C1298))</f>
        <v/>
      </c>
      <c r="R1298" s="3">
        <f>IF($D1298="","",UPPER(SUBSTITUTE(SUBSTITUTE(SUBSTITUTE(SUBSTITUTE(SUBSTITUTE(SUBSTITUTE(SUBSTITUTE(SUBSTITUTE(SUBSTITUTE(SUBSTITUTE(SUBSTITUTE(SUBSTITUTE(SUBSTITUTE(SUBSTITUTE(SUBSTITUTE(SUBSTITUTE(SUBSTITUTE(SUBSTITUTE(TRIM($D1298),"'",""),"İ","I"),"ı","I"),"i","I"),"Ş","S"),"ş","S"),"Ğ","G"),"ğ","G"),"Ü","U"),"ü","U"),"Ö","O"),"ö","O"),"Ç","C"),"ç","C"),".",""),",","")," ",""),"-","")))</f>
        <v/>
      </c>
      <c r="S1298" s="3">
        <f>IF($D1298="","",$C1298&amp;"|"&amp;TEXT($E1298,"0")&amp;"|"&amp;TEXT($F1298,"0")&amp;"|"&amp;$I1298)</f>
        <v/>
      </c>
      <c r="T1298" s="3">
        <f>IF($E1298="",0,SUMPRODUCT((AY_SONU!$O$7:$O$42="Evet")*(AY_SONU!$B$7:$B$42=DATE(YEAR($E1298),MONTH($E1298),1))))</f>
        <v/>
      </c>
    </row>
    <row r="1299">
      <c r="A1299" s="6" t="n"/>
      <c r="B1299" s="113">
        <f>IF($D1299="","","T"&amp;TEXT(ROW()-6,"00000"))</f>
        <v/>
      </c>
      <c r="C1299" s="113">
        <f>IF($D1299="","",IFERROR(INDEX(MUSTERILER!$B$7:$B$106,MATCH($R1299,MUSTERILER!$T$7:$T$106,0)),IFERROR(INDEX(MUSTERILER!$B$7:$B$106,MATCH($D1299,MUSTERILER!$B$7:$B$106,0)),IFERROR(INDEX(MUSTERILER!$B$7:$B$106,MATCH($R1299&amp;"*",MUSTERILER!$T$7:$T$106,0)),"TANIMSIZ MÜŞTERİ"))))</f>
        <v/>
      </c>
      <c r="D1299" s="109" t="n"/>
      <c r="E1299" s="220" t="n"/>
      <c r="F1299" s="221" t="n"/>
      <c r="G1299" s="108" t="n"/>
      <c r="H1299" s="108" t="n"/>
      <c r="I1299" s="109" t="n"/>
      <c r="J1299" s="109" t="n"/>
      <c r="K1299" s="109" t="n"/>
      <c r="L1299" s="226">
        <f>IF($E1299="","",DATE(YEAR($E1299),MONTH($E1299),1))</f>
        <v/>
      </c>
      <c r="M1299" s="113">
        <f>IF($D1299="","",IF($C1299="TANIMSIZ MÜŞTERİ","HATA",IF(OR($E1299="",$F1299&lt;=0,$G1299=""),"EKSİK",IF($E1299&gt;TODAY(),"İLERİ TARİH",IF(COUNTIF($S$7:$S$1506,$S1299)&gt;1,"MÜKERRER?",IF($T1299&gt;0,"KAPALI DÖNEM","UYGUN"))))))</f>
        <v/>
      </c>
      <c r="N1299" s="121">
        <f>IF($C1299="","",IF($C1299="TANIMSIZ MÜŞTERİ","—",INDEX(MUSTERILER!$C$7:$C$106,MATCH($C1299,MUSTERILER!$B$7:$B$106,0))))</f>
        <v/>
      </c>
      <c r="O1299" s="6" t="n"/>
      <c r="P1299" s="6" t="n"/>
      <c r="Q1299" s="3">
        <f>IF($D1299="","",$C1299&amp;"|"&amp;COUNTIFS($C$7:$C1299,$C1299))</f>
        <v/>
      </c>
      <c r="R1299" s="3">
        <f>IF($D1299="","",UPPER(SUBSTITUTE(SUBSTITUTE(SUBSTITUTE(SUBSTITUTE(SUBSTITUTE(SUBSTITUTE(SUBSTITUTE(SUBSTITUTE(SUBSTITUTE(SUBSTITUTE(SUBSTITUTE(SUBSTITUTE(SUBSTITUTE(SUBSTITUTE(SUBSTITUTE(SUBSTITUTE(SUBSTITUTE(SUBSTITUTE(TRIM($D1299),"'",""),"İ","I"),"ı","I"),"i","I"),"Ş","S"),"ş","S"),"Ğ","G"),"ğ","G"),"Ü","U"),"ü","U"),"Ö","O"),"ö","O"),"Ç","C"),"ç","C"),".",""),",","")," ",""),"-","")))</f>
        <v/>
      </c>
      <c r="S1299" s="3">
        <f>IF($D1299="","",$C1299&amp;"|"&amp;TEXT($E1299,"0")&amp;"|"&amp;TEXT($F1299,"0")&amp;"|"&amp;$I1299)</f>
        <v/>
      </c>
      <c r="T1299" s="3">
        <f>IF($E1299="",0,SUMPRODUCT((AY_SONU!$O$7:$O$42="Evet")*(AY_SONU!$B$7:$B$42=DATE(YEAR($E1299),MONTH($E1299),1))))</f>
        <v/>
      </c>
    </row>
    <row r="1300">
      <c r="A1300" s="6" t="n"/>
      <c r="B1300" s="113">
        <f>IF($D1300="","","T"&amp;TEXT(ROW()-6,"00000"))</f>
        <v/>
      </c>
      <c r="C1300" s="113">
        <f>IF($D1300="","",IFERROR(INDEX(MUSTERILER!$B$7:$B$106,MATCH($R1300,MUSTERILER!$T$7:$T$106,0)),IFERROR(INDEX(MUSTERILER!$B$7:$B$106,MATCH($D1300,MUSTERILER!$B$7:$B$106,0)),IFERROR(INDEX(MUSTERILER!$B$7:$B$106,MATCH($R1300&amp;"*",MUSTERILER!$T$7:$T$106,0)),"TANIMSIZ MÜŞTERİ"))))</f>
        <v/>
      </c>
      <c r="D1300" s="109" t="n"/>
      <c r="E1300" s="220" t="n"/>
      <c r="F1300" s="221" t="n"/>
      <c r="G1300" s="108" t="n"/>
      <c r="H1300" s="108" t="n"/>
      <c r="I1300" s="109" t="n"/>
      <c r="J1300" s="109" t="n"/>
      <c r="K1300" s="109" t="n"/>
      <c r="L1300" s="226">
        <f>IF($E1300="","",DATE(YEAR($E1300),MONTH($E1300),1))</f>
        <v/>
      </c>
      <c r="M1300" s="113">
        <f>IF($D1300="","",IF($C1300="TANIMSIZ MÜŞTERİ","HATA",IF(OR($E1300="",$F1300&lt;=0,$G1300=""),"EKSİK",IF($E1300&gt;TODAY(),"İLERİ TARİH",IF(COUNTIF($S$7:$S$1506,$S1300)&gt;1,"MÜKERRER?",IF($T1300&gt;0,"KAPALI DÖNEM","UYGUN"))))))</f>
        <v/>
      </c>
      <c r="N1300" s="121">
        <f>IF($C1300="","",IF($C1300="TANIMSIZ MÜŞTERİ","—",INDEX(MUSTERILER!$C$7:$C$106,MATCH($C1300,MUSTERILER!$B$7:$B$106,0))))</f>
        <v/>
      </c>
      <c r="O1300" s="6" t="n"/>
      <c r="P1300" s="6" t="n"/>
      <c r="Q1300" s="3">
        <f>IF($D1300="","",$C1300&amp;"|"&amp;COUNTIFS($C$7:$C1300,$C1300))</f>
        <v/>
      </c>
      <c r="R1300" s="3">
        <f>IF($D1300="","",UPPER(SUBSTITUTE(SUBSTITUTE(SUBSTITUTE(SUBSTITUTE(SUBSTITUTE(SUBSTITUTE(SUBSTITUTE(SUBSTITUTE(SUBSTITUTE(SUBSTITUTE(SUBSTITUTE(SUBSTITUTE(SUBSTITUTE(SUBSTITUTE(SUBSTITUTE(SUBSTITUTE(SUBSTITUTE(SUBSTITUTE(TRIM($D1300),"'",""),"İ","I"),"ı","I"),"i","I"),"Ş","S"),"ş","S"),"Ğ","G"),"ğ","G"),"Ü","U"),"ü","U"),"Ö","O"),"ö","O"),"Ç","C"),"ç","C"),".",""),",","")," ",""),"-","")))</f>
        <v/>
      </c>
      <c r="S1300" s="3">
        <f>IF($D1300="","",$C1300&amp;"|"&amp;TEXT($E1300,"0")&amp;"|"&amp;TEXT($F1300,"0")&amp;"|"&amp;$I1300)</f>
        <v/>
      </c>
      <c r="T1300" s="3">
        <f>IF($E1300="",0,SUMPRODUCT((AY_SONU!$O$7:$O$42="Evet")*(AY_SONU!$B$7:$B$42=DATE(YEAR($E1300),MONTH($E1300),1))))</f>
        <v/>
      </c>
    </row>
    <row r="1301">
      <c r="A1301" s="6" t="n"/>
      <c r="B1301" s="113">
        <f>IF($D1301="","","T"&amp;TEXT(ROW()-6,"00000"))</f>
        <v/>
      </c>
      <c r="C1301" s="113">
        <f>IF($D1301="","",IFERROR(INDEX(MUSTERILER!$B$7:$B$106,MATCH($R1301,MUSTERILER!$T$7:$T$106,0)),IFERROR(INDEX(MUSTERILER!$B$7:$B$106,MATCH($D1301,MUSTERILER!$B$7:$B$106,0)),IFERROR(INDEX(MUSTERILER!$B$7:$B$106,MATCH($R1301&amp;"*",MUSTERILER!$T$7:$T$106,0)),"TANIMSIZ MÜŞTERİ"))))</f>
        <v/>
      </c>
      <c r="D1301" s="109" t="n"/>
      <c r="E1301" s="220" t="n"/>
      <c r="F1301" s="221" t="n"/>
      <c r="G1301" s="108" t="n"/>
      <c r="H1301" s="108" t="n"/>
      <c r="I1301" s="109" t="n"/>
      <c r="J1301" s="109" t="n"/>
      <c r="K1301" s="109" t="n"/>
      <c r="L1301" s="226">
        <f>IF($E1301="","",DATE(YEAR($E1301),MONTH($E1301),1))</f>
        <v/>
      </c>
      <c r="M1301" s="113">
        <f>IF($D1301="","",IF($C1301="TANIMSIZ MÜŞTERİ","HATA",IF(OR($E1301="",$F1301&lt;=0,$G1301=""),"EKSİK",IF($E1301&gt;TODAY(),"İLERİ TARİH",IF(COUNTIF($S$7:$S$1506,$S1301)&gt;1,"MÜKERRER?",IF($T1301&gt;0,"KAPALI DÖNEM","UYGUN"))))))</f>
        <v/>
      </c>
      <c r="N1301" s="121">
        <f>IF($C1301="","",IF($C1301="TANIMSIZ MÜŞTERİ","—",INDEX(MUSTERILER!$C$7:$C$106,MATCH($C1301,MUSTERILER!$B$7:$B$106,0))))</f>
        <v/>
      </c>
      <c r="O1301" s="6" t="n"/>
      <c r="P1301" s="6" t="n"/>
      <c r="Q1301" s="3">
        <f>IF($D1301="","",$C1301&amp;"|"&amp;COUNTIFS($C$7:$C1301,$C1301))</f>
        <v/>
      </c>
      <c r="R1301" s="3">
        <f>IF($D1301="","",UPPER(SUBSTITUTE(SUBSTITUTE(SUBSTITUTE(SUBSTITUTE(SUBSTITUTE(SUBSTITUTE(SUBSTITUTE(SUBSTITUTE(SUBSTITUTE(SUBSTITUTE(SUBSTITUTE(SUBSTITUTE(SUBSTITUTE(SUBSTITUTE(SUBSTITUTE(SUBSTITUTE(SUBSTITUTE(SUBSTITUTE(TRIM($D1301),"'",""),"İ","I"),"ı","I"),"i","I"),"Ş","S"),"ş","S"),"Ğ","G"),"ğ","G"),"Ü","U"),"ü","U"),"Ö","O"),"ö","O"),"Ç","C"),"ç","C"),".",""),",","")," ",""),"-","")))</f>
        <v/>
      </c>
      <c r="S1301" s="3">
        <f>IF($D1301="","",$C1301&amp;"|"&amp;TEXT($E1301,"0")&amp;"|"&amp;TEXT($F1301,"0")&amp;"|"&amp;$I1301)</f>
        <v/>
      </c>
      <c r="T1301" s="3">
        <f>IF($E1301="",0,SUMPRODUCT((AY_SONU!$O$7:$O$42="Evet")*(AY_SONU!$B$7:$B$42=DATE(YEAR($E1301),MONTH($E1301),1))))</f>
        <v/>
      </c>
    </row>
    <row r="1302">
      <c r="A1302" s="6" t="n"/>
      <c r="B1302" s="113">
        <f>IF($D1302="","","T"&amp;TEXT(ROW()-6,"00000"))</f>
        <v/>
      </c>
      <c r="C1302" s="113">
        <f>IF($D1302="","",IFERROR(INDEX(MUSTERILER!$B$7:$B$106,MATCH($R1302,MUSTERILER!$T$7:$T$106,0)),IFERROR(INDEX(MUSTERILER!$B$7:$B$106,MATCH($D1302,MUSTERILER!$B$7:$B$106,0)),IFERROR(INDEX(MUSTERILER!$B$7:$B$106,MATCH($R1302&amp;"*",MUSTERILER!$T$7:$T$106,0)),"TANIMSIZ MÜŞTERİ"))))</f>
        <v/>
      </c>
      <c r="D1302" s="109" t="n"/>
      <c r="E1302" s="220" t="n"/>
      <c r="F1302" s="221" t="n"/>
      <c r="G1302" s="108" t="n"/>
      <c r="H1302" s="108" t="n"/>
      <c r="I1302" s="109" t="n"/>
      <c r="J1302" s="109" t="n"/>
      <c r="K1302" s="109" t="n"/>
      <c r="L1302" s="226">
        <f>IF($E1302="","",DATE(YEAR($E1302),MONTH($E1302),1))</f>
        <v/>
      </c>
      <c r="M1302" s="113">
        <f>IF($D1302="","",IF($C1302="TANIMSIZ MÜŞTERİ","HATA",IF(OR($E1302="",$F1302&lt;=0,$G1302=""),"EKSİK",IF($E1302&gt;TODAY(),"İLERİ TARİH",IF(COUNTIF($S$7:$S$1506,$S1302)&gt;1,"MÜKERRER?",IF($T1302&gt;0,"KAPALI DÖNEM","UYGUN"))))))</f>
        <v/>
      </c>
      <c r="N1302" s="121">
        <f>IF($C1302="","",IF($C1302="TANIMSIZ MÜŞTERİ","—",INDEX(MUSTERILER!$C$7:$C$106,MATCH($C1302,MUSTERILER!$B$7:$B$106,0))))</f>
        <v/>
      </c>
      <c r="O1302" s="6" t="n"/>
      <c r="P1302" s="6" t="n"/>
      <c r="Q1302" s="3">
        <f>IF($D1302="","",$C1302&amp;"|"&amp;COUNTIFS($C$7:$C1302,$C1302))</f>
        <v/>
      </c>
      <c r="R1302" s="3">
        <f>IF($D1302="","",UPPER(SUBSTITUTE(SUBSTITUTE(SUBSTITUTE(SUBSTITUTE(SUBSTITUTE(SUBSTITUTE(SUBSTITUTE(SUBSTITUTE(SUBSTITUTE(SUBSTITUTE(SUBSTITUTE(SUBSTITUTE(SUBSTITUTE(SUBSTITUTE(SUBSTITUTE(SUBSTITUTE(SUBSTITUTE(SUBSTITUTE(TRIM($D1302),"'",""),"İ","I"),"ı","I"),"i","I"),"Ş","S"),"ş","S"),"Ğ","G"),"ğ","G"),"Ü","U"),"ü","U"),"Ö","O"),"ö","O"),"Ç","C"),"ç","C"),".",""),",","")," ",""),"-","")))</f>
        <v/>
      </c>
      <c r="S1302" s="3">
        <f>IF($D1302="","",$C1302&amp;"|"&amp;TEXT($E1302,"0")&amp;"|"&amp;TEXT($F1302,"0")&amp;"|"&amp;$I1302)</f>
        <v/>
      </c>
      <c r="T1302" s="3">
        <f>IF($E1302="",0,SUMPRODUCT((AY_SONU!$O$7:$O$42="Evet")*(AY_SONU!$B$7:$B$42=DATE(YEAR($E1302),MONTH($E1302),1))))</f>
        <v/>
      </c>
    </row>
    <row r="1303">
      <c r="A1303" s="6" t="n"/>
      <c r="B1303" s="113">
        <f>IF($D1303="","","T"&amp;TEXT(ROW()-6,"00000"))</f>
        <v/>
      </c>
      <c r="C1303" s="113">
        <f>IF($D1303="","",IFERROR(INDEX(MUSTERILER!$B$7:$B$106,MATCH($R1303,MUSTERILER!$T$7:$T$106,0)),IFERROR(INDEX(MUSTERILER!$B$7:$B$106,MATCH($D1303,MUSTERILER!$B$7:$B$106,0)),IFERROR(INDEX(MUSTERILER!$B$7:$B$106,MATCH($R1303&amp;"*",MUSTERILER!$T$7:$T$106,0)),"TANIMSIZ MÜŞTERİ"))))</f>
        <v/>
      </c>
      <c r="D1303" s="109" t="n"/>
      <c r="E1303" s="220" t="n"/>
      <c r="F1303" s="221" t="n"/>
      <c r="G1303" s="108" t="n"/>
      <c r="H1303" s="108" t="n"/>
      <c r="I1303" s="109" t="n"/>
      <c r="J1303" s="109" t="n"/>
      <c r="K1303" s="109" t="n"/>
      <c r="L1303" s="226">
        <f>IF($E1303="","",DATE(YEAR($E1303),MONTH($E1303),1))</f>
        <v/>
      </c>
      <c r="M1303" s="113">
        <f>IF($D1303="","",IF($C1303="TANIMSIZ MÜŞTERİ","HATA",IF(OR($E1303="",$F1303&lt;=0,$G1303=""),"EKSİK",IF($E1303&gt;TODAY(),"İLERİ TARİH",IF(COUNTIF($S$7:$S$1506,$S1303)&gt;1,"MÜKERRER?",IF($T1303&gt;0,"KAPALI DÖNEM","UYGUN"))))))</f>
        <v/>
      </c>
      <c r="N1303" s="121">
        <f>IF($C1303="","",IF($C1303="TANIMSIZ MÜŞTERİ","—",INDEX(MUSTERILER!$C$7:$C$106,MATCH($C1303,MUSTERILER!$B$7:$B$106,0))))</f>
        <v/>
      </c>
      <c r="O1303" s="6" t="n"/>
      <c r="P1303" s="6" t="n"/>
      <c r="Q1303" s="3">
        <f>IF($D1303="","",$C1303&amp;"|"&amp;COUNTIFS($C$7:$C1303,$C1303))</f>
        <v/>
      </c>
      <c r="R1303" s="3">
        <f>IF($D1303="","",UPPER(SUBSTITUTE(SUBSTITUTE(SUBSTITUTE(SUBSTITUTE(SUBSTITUTE(SUBSTITUTE(SUBSTITUTE(SUBSTITUTE(SUBSTITUTE(SUBSTITUTE(SUBSTITUTE(SUBSTITUTE(SUBSTITUTE(SUBSTITUTE(SUBSTITUTE(SUBSTITUTE(SUBSTITUTE(SUBSTITUTE(TRIM($D1303),"'",""),"İ","I"),"ı","I"),"i","I"),"Ş","S"),"ş","S"),"Ğ","G"),"ğ","G"),"Ü","U"),"ü","U"),"Ö","O"),"ö","O"),"Ç","C"),"ç","C"),".",""),",","")," ",""),"-","")))</f>
        <v/>
      </c>
      <c r="S1303" s="3">
        <f>IF($D1303="","",$C1303&amp;"|"&amp;TEXT($E1303,"0")&amp;"|"&amp;TEXT($F1303,"0")&amp;"|"&amp;$I1303)</f>
        <v/>
      </c>
      <c r="T1303" s="3">
        <f>IF($E1303="",0,SUMPRODUCT((AY_SONU!$O$7:$O$42="Evet")*(AY_SONU!$B$7:$B$42=DATE(YEAR($E1303),MONTH($E1303),1))))</f>
        <v/>
      </c>
    </row>
    <row r="1304">
      <c r="A1304" s="6" t="n"/>
      <c r="B1304" s="113">
        <f>IF($D1304="","","T"&amp;TEXT(ROW()-6,"00000"))</f>
        <v/>
      </c>
      <c r="C1304" s="113">
        <f>IF($D1304="","",IFERROR(INDEX(MUSTERILER!$B$7:$B$106,MATCH($R1304,MUSTERILER!$T$7:$T$106,0)),IFERROR(INDEX(MUSTERILER!$B$7:$B$106,MATCH($D1304,MUSTERILER!$B$7:$B$106,0)),IFERROR(INDEX(MUSTERILER!$B$7:$B$106,MATCH($R1304&amp;"*",MUSTERILER!$T$7:$T$106,0)),"TANIMSIZ MÜŞTERİ"))))</f>
        <v/>
      </c>
      <c r="D1304" s="109" t="n"/>
      <c r="E1304" s="220" t="n"/>
      <c r="F1304" s="221" t="n"/>
      <c r="G1304" s="108" t="n"/>
      <c r="H1304" s="108" t="n"/>
      <c r="I1304" s="109" t="n"/>
      <c r="J1304" s="109" t="n"/>
      <c r="K1304" s="109" t="n"/>
      <c r="L1304" s="226">
        <f>IF($E1304="","",DATE(YEAR($E1304),MONTH($E1304),1))</f>
        <v/>
      </c>
      <c r="M1304" s="113">
        <f>IF($D1304="","",IF($C1304="TANIMSIZ MÜŞTERİ","HATA",IF(OR($E1304="",$F1304&lt;=0,$G1304=""),"EKSİK",IF($E1304&gt;TODAY(),"İLERİ TARİH",IF(COUNTIF($S$7:$S$1506,$S1304)&gt;1,"MÜKERRER?",IF($T1304&gt;0,"KAPALI DÖNEM","UYGUN"))))))</f>
        <v/>
      </c>
      <c r="N1304" s="121">
        <f>IF($C1304="","",IF($C1304="TANIMSIZ MÜŞTERİ","—",INDEX(MUSTERILER!$C$7:$C$106,MATCH($C1304,MUSTERILER!$B$7:$B$106,0))))</f>
        <v/>
      </c>
      <c r="O1304" s="6" t="n"/>
      <c r="P1304" s="6" t="n"/>
      <c r="Q1304" s="3">
        <f>IF($D1304="","",$C1304&amp;"|"&amp;COUNTIFS($C$7:$C1304,$C1304))</f>
        <v/>
      </c>
      <c r="R1304" s="3">
        <f>IF($D1304="","",UPPER(SUBSTITUTE(SUBSTITUTE(SUBSTITUTE(SUBSTITUTE(SUBSTITUTE(SUBSTITUTE(SUBSTITUTE(SUBSTITUTE(SUBSTITUTE(SUBSTITUTE(SUBSTITUTE(SUBSTITUTE(SUBSTITUTE(SUBSTITUTE(SUBSTITUTE(SUBSTITUTE(SUBSTITUTE(SUBSTITUTE(TRIM($D1304),"'",""),"İ","I"),"ı","I"),"i","I"),"Ş","S"),"ş","S"),"Ğ","G"),"ğ","G"),"Ü","U"),"ü","U"),"Ö","O"),"ö","O"),"Ç","C"),"ç","C"),".",""),",","")," ",""),"-","")))</f>
        <v/>
      </c>
      <c r="S1304" s="3">
        <f>IF($D1304="","",$C1304&amp;"|"&amp;TEXT($E1304,"0")&amp;"|"&amp;TEXT($F1304,"0")&amp;"|"&amp;$I1304)</f>
        <v/>
      </c>
      <c r="T1304" s="3">
        <f>IF($E1304="",0,SUMPRODUCT((AY_SONU!$O$7:$O$42="Evet")*(AY_SONU!$B$7:$B$42=DATE(YEAR($E1304),MONTH($E1304),1))))</f>
        <v/>
      </c>
    </row>
    <row r="1305">
      <c r="A1305" s="6" t="n"/>
      <c r="B1305" s="113">
        <f>IF($D1305="","","T"&amp;TEXT(ROW()-6,"00000"))</f>
        <v/>
      </c>
      <c r="C1305" s="113">
        <f>IF($D1305="","",IFERROR(INDEX(MUSTERILER!$B$7:$B$106,MATCH($R1305,MUSTERILER!$T$7:$T$106,0)),IFERROR(INDEX(MUSTERILER!$B$7:$B$106,MATCH($D1305,MUSTERILER!$B$7:$B$106,0)),IFERROR(INDEX(MUSTERILER!$B$7:$B$106,MATCH($R1305&amp;"*",MUSTERILER!$T$7:$T$106,0)),"TANIMSIZ MÜŞTERİ"))))</f>
        <v/>
      </c>
      <c r="D1305" s="109" t="n"/>
      <c r="E1305" s="220" t="n"/>
      <c r="F1305" s="221" t="n"/>
      <c r="G1305" s="108" t="n"/>
      <c r="H1305" s="108" t="n"/>
      <c r="I1305" s="109" t="n"/>
      <c r="J1305" s="109" t="n"/>
      <c r="K1305" s="109" t="n"/>
      <c r="L1305" s="226">
        <f>IF($E1305="","",DATE(YEAR($E1305),MONTH($E1305),1))</f>
        <v/>
      </c>
      <c r="M1305" s="113">
        <f>IF($D1305="","",IF($C1305="TANIMSIZ MÜŞTERİ","HATA",IF(OR($E1305="",$F1305&lt;=0,$G1305=""),"EKSİK",IF($E1305&gt;TODAY(),"İLERİ TARİH",IF(COUNTIF($S$7:$S$1506,$S1305)&gt;1,"MÜKERRER?",IF($T1305&gt;0,"KAPALI DÖNEM","UYGUN"))))))</f>
        <v/>
      </c>
      <c r="N1305" s="121">
        <f>IF($C1305="","",IF($C1305="TANIMSIZ MÜŞTERİ","—",INDEX(MUSTERILER!$C$7:$C$106,MATCH($C1305,MUSTERILER!$B$7:$B$106,0))))</f>
        <v/>
      </c>
      <c r="O1305" s="6" t="n"/>
      <c r="P1305" s="6" t="n"/>
      <c r="Q1305" s="3">
        <f>IF($D1305="","",$C1305&amp;"|"&amp;COUNTIFS($C$7:$C1305,$C1305))</f>
        <v/>
      </c>
      <c r="R1305" s="3">
        <f>IF($D1305="","",UPPER(SUBSTITUTE(SUBSTITUTE(SUBSTITUTE(SUBSTITUTE(SUBSTITUTE(SUBSTITUTE(SUBSTITUTE(SUBSTITUTE(SUBSTITUTE(SUBSTITUTE(SUBSTITUTE(SUBSTITUTE(SUBSTITUTE(SUBSTITUTE(SUBSTITUTE(SUBSTITUTE(SUBSTITUTE(SUBSTITUTE(TRIM($D1305),"'",""),"İ","I"),"ı","I"),"i","I"),"Ş","S"),"ş","S"),"Ğ","G"),"ğ","G"),"Ü","U"),"ü","U"),"Ö","O"),"ö","O"),"Ç","C"),"ç","C"),".",""),",","")," ",""),"-","")))</f>
        <v/>
      </c>
      <c r="S1305" s="3">
        <f>IF($D1305="","",$C1305&amp;"|"&amp;TEXT($E1305,"0")&amp;"|"&amp;TEXT($F1305,"0")&amp;"|"&amp;$I1305)</f>
        <v/>
      </c>
      <c r="T1305" s="3">
        <f>IF($E1305="",0,SUMPRODUCT((AY_SONU!$O$7:$O$42="Evet")*(AY_SONU!$B$7:$B$42=DATE(YEAR($E1305),MONTH($E1305),1))))</f>
        <v/>
      </c>
    </row>
    <row r="1306">
      <c r="A1306" s="6" t="n"/>
      <c r="B1306" s="113">
        <f>IF($D1306="","","T"&amp;TEXT(ROW()-6,"00000"))</f>
        <v/>
      </c>
      <c r="C1306" s="113">
        <f>IF($D1306="","",IFERROR(INDEX(MUSTERILER!$B$7:$B$106,MATCH($R1306,MUSTERILER!$T$7:$T$106,0)),IFERROR(INDEX(MUSTERILER!$B$7:$B$106,MATCH($D1306,MUSTERILER!$B$7:$B$106,0)),IFERROR(INDEX(MUSTERILER!$B$7:$B$106,MATCH($R1306&amp;"*",MUSTERILER!$T$7:$T$106,0)),"TANIMSIZ MÜŞTERİ"))))</f>
        <v/>
      </c>
      <c r="D1306" s="109" t="n"/>
      <c r="E1306" s="220" t="n"/>
      <c r="F1306" s="221" t="n"/>
      <c r="G1306" s="108" t="n"/>
      <c r="H1306" s="108" t="n"/>
      <c r="I1306" s="109" t="n"/>
      <c r="J1306" s="109" t="n"/>
      <c r="K1306" s="109" t="n"/>
      <c r="L1306" s="226">
        <f>IF($E1306="","",DATE(YEAR($E1306),MONTH($E1306),1))</f>
        <v/>
      </c>
      <c r="M1306" s="113">
        <f>IF($D1306="","",IF($C1306="TANIMSIZ MÜŞTERİ","HATA",IF(OR($E1306="",$F1306&lt;=0,$G1306=""),"EKSİK",IF($E1306&gt;TODAY(),"İLERİ TARİH",IF(COUNTIF($S$7:$S$1506,$S1306)&gt;1,"MÜKERRER?",IF($T1306&gt;0,"KAPALI DÖNEM","UYGUN"))))))</f>
        <v/>
      </c>
      <c r="N1306" s="121">
        <f>IF($C1306="","",IF($C1306="TANIMSIZ MÜŞTERİ","—",INDEX(MUSTERILER!$C$7:$C$106,MATCH($C1306,MUSTERILER!$B$7:$B$106,0))))</f>
        <v/>
      </c>
      <c r="O1306" s="6" t="n"/>
      <c r="P1306" s="6" t="n"/>
      <c r="Q1306" s="3">
        <f>IF($D1306="","",$C1306&amp;"|"&amp;COUNTIFS($C$7:$C1306,$C1306))</f>
        <v/>
      </c>
      <c r="R1306" s="3">
        <f>IF($D1306="","",UPPER(SUBSTITUTE(SUBSTITUTE(SUBSTITUTE(SUBSTITUTE(SUBSTITUTE(SUBSTITUTE(SUBSTITUTE(SUBSTITUTE(SUBSTITUTE(SUBSTITUTE(SUBSTITUTE(SUBSTITUTE(SUBSTITUTE(SUBSTITUTE(SUBSTITUTE(SUBSTITUTE(SUBSTITUTE(SUBSTITUTE(TRIM($D1306),"'",""),"İ","I"),"ı","I"),"i","I"),"Ş","S"),"ş","S"),"Ğ","G"),"ğ","G"),"Ü","U"),"ü","U"),"Ö","O"),"ö","O"),"Ç","C"),"ç","C"),".",""),",","")," ",""),"-","")))</f>
        <v/>
      </c>
      <c r="S1306" s="3">
        <f>IF($D1306="","",$C1306&amp;"|"&amp;TEXT($E1306,"0")&amp;"|"&amp;TEXT($F1306,"0")&amp;"|"&amp;$I1306)</f>
        <v/>
      </c>
      <c r="T1306" s="3">
        <f>IF($E1306="",0,SUMPRODUCT((AY_SONU!$O$7:$O$42="Evet")*(AY_SONU!$B$7:$B$42=DATE(YEAR($E1306),MONTH($E1306),1))))</f>
        <v/>
      </c>
    </row>
    <row r="1307">
      <c r="A1307" s="6" t="n"/>
      <c r="B1307" s="113">
        <f>IF($D1307="","","T"&amp;TEXT(ROW()-6,"00000"))</f>
        <v/>
      </c>
      <c r="C1307" s="113">
        <f>IF($D1307="","",IFERROR(INDEX(MUSTERILER!$B$7:$B$106,MATCH($R1307,MUSTERILER!$T$7:$T$106,0)),IFERROR(INDEX(MUSTERILER!$B$7:$B$106,MATCH($D1307,MUSTERILER!$B$7:$B$106,0)),IFERROR(INDEX(MUSTERILER!$B$7:$B$106,MATCH($R1307&amp;"*",MUSTERILER!$T$7:$T$106,0)),"TANIMSIZ MÜŞTERİ"))))</f>
        <v/>
      </c>
      <c r="D1307" s="109" t="n"/>
      <c r="E1307" s="220" t="n"/>
      <c r="F1307" s="221" t="n"/>
      <c r="G1307" s="108" t="n"/>
      <c r="H1307" s="108" t="n"/>
      <c r="I1307" s="109" t="n"/>
      <c r="J1307" s="109" t="n"/>
      <c r="K1307" s="109" t="n"/>
      <c r="L1307" s="226">
        <f>IF($E1307="","",DATE(YEAR($E1307),MONTH($E1307),1))</f>
        <v/>
      </c>
      <c r="M1307" s="113">
        <f>IF($D1307="","",IF($C1307="TANIMSIZ MÜŞTERİ","HATA",IF(OR($E1307="",$F1307&lt;=0,$G1307=""),"EKSİK",IF($E1307&gt;TODAY(),"İLERİ TARİH",IF(COUNTIF($S$7:$S$1506,$S1307)&gt;1,"MÜKERRER?",IF($T1307&gt;0,"KAPALI DÖNEM","UYGUN"))))))</f>
        <v/>
      </c>
      <c r="N1307" s="121">
        <f>IF($C1307="","",IF($C1307="TANIMSIZ MÜŞTERİ","—",INDEX(MUSTERILER!$C$7:$C$106,MATCH($C1307,MUSTERILER!$B$7:$B$106,0))))</f>
        <v/>
      </c>
      <c r="O1307" s="6" t="n"/>
      <c r="P1307" s="6" t="n"/>
      <c r="Q1307" s="3">
        <f>IF($D1307="","",$C1307&amp;"|"&amp;COUNTIFS($C$7:$C1307,$C1307))</f>
        <v/>
      </c>
      <c r="R1307" s="3">
        <f>IF($D1307="","",UPPER(SUBSTITUTE(SUBSTITUTE(SUBSTITUTE(SUBSTITUTE(SUBSTITUTE(SUBSTITUTE(SUBSTITUTE(SUBSTITUTE(SUBSTITUTE(SUBSTITUTE(SUBSTITUTE(SUBSTITUTE(SUBSTITUTE(SUBSTITUTE(SUBSTITUTE(SUBSTITUTE(SUBSTITUTE(SUBSTITUTE(TRIM($D1307),"'",""),"İ","I"),"ı","I"),"i","I"),"Ş","S"),"ş","S"),"Ğ","G"),"ğ","G"),"Ü","U"),"ü","U"),"Ö","O"),"ö","O"),"Ç","C"),"ç","C"),".",""),",","")," ",""),"-","")))</f>
        <v/>
      </c>
      <c r="S1307" s="3">
        <f>IF($D1307="","",$C1307&amp;"|"&amp;TEXT($E1307,"0")&amp;"|"&amp;TEXT($F1307,"0")&amp;"|"&amp;$I1307)</f>
        <v/>
      </c>
      <c r="T1307" s="3">
        <f>IF($E1307="",0,SUMPRODUCT((AY_SONU!$O$7:$O$42="Evet")*(AY_SONU!$B$7:$B$42=DATE(YEAR($E1307),MONTH($E1307),1))))</f>
        <v/>
      </c>
    </row>
    <row r="1308">
      <c r="A1308" s="6" t="n"/>
      <c r="B1308" s="113">
        <f>IF($D1308="","","T"&amp;TEXT(ROW()-6,"00000"))</f>
        <v/>
      </c>
      <c r="C1308" s="113">
        <f>IF($D1308="","",IFERROR(INDEX(MUSTERILER!$B$7:$B$106,MATCH($R1308,MUSTERILER!$T$7:$T$106,0)),IFERROR(INDEX(MUSTERILER!$B$7:$B$106,MATCH($D1308,MUSTERILER!$B$7:$B$106,0)),IFERROR(INDEX(MUSTERILER!$B$7:$B$106,MATCH($R1308&amp;"*",MUSTERILER!$T$7:$T$106,0)),"TANIMSIZ MÜŞTERİ"))))</f>
        <v/>
      </c>
      <c r="D1308" s="109" t="n"/>
      <c r="E1308" s="220" t="n"/>
      <c r="F1308" s="221" t="n"/>
      <c r="G1308" s="108" t="n"/>
      <c r="H1308" s="108" t="n"/>
      <c r="I1308" s="109" t="n"/>
      <c r="J1308" s="109" t="n"/>
      <c r="K1308" s="109" t="n"/>
      <c r="L1308" s="226">
        <f>IF($E1308="","",DATE(YEAR($E1308),MONTH($E1308),1))</f>
        <v/>
      </c>
      <c r="M1308" s="113">
        <f>IF($D1308="","",IF($C1308="TANIMSIZ MÜŞTERİ","HATA",IF(OR($E1308="",$F1308&lt;=0,$G1308=""),"EKSİK",IF($E1308&gt;TODAY(),"İLERİ TARİH",IF(COUNTIF($S$7:$S$1506,$S1308)&gt;1,"MÜKERRER?",IF($T1308&gt;0,"KAPALI DÖNEM","UYGUN"))))))</f>
        <v/>
      </c>
      <c r="N1308" s="121">
        <f>IF($C1308="","",IF($C1308="TANIMSIZ MÜŞTERİ","—",INDEX(MUSTERILER!$C$7:$C$106,MATCH($C1308,MUSTERILER!$B$7:$B$106,0))))</f>
        <v/>
      </c>
      <c r="O1308" s="6" t="n"/>
      <c r="P1308" s="6" t="n"/>
      <c r="Q1308" s="3">
        <f>IF($D1308="","",$C1308&amp;"|"&amp;COUNTIFS($C$7:$C1308,$C1308))</f>
        <v/>
      </c>
      <c r="R1308" s="3">
        <f>IF($D1308="","",UPPER(SUBSTITUTE(SUBSTITUTE(SUBSTITUTE(SUBSTITUTE(SUBSTITUTE(SUBSTITUTE(SUBSTITUTE(SUBSTITUTE(SUBSTITUTE(SUBSTITUTE(SUBSTITUTE(SUBSTITUTE(SUBSTITUTE(SUBSTITUTE(SUBSTITUTE(SUBSTITUTE(SUBSTITUTE(SUBSTITUTE(TRIM($D1308),"'",""),"İ","I"),"ı","I"),"i","I"),"Ş","S"),"ş","S"),"Ğ","G"),"ğ","G"),"Ü","U"),"ü","U"),"Ö","O"),"ö","O"),"Ç","C"),"ç","C"),".",""),",","")," ",""),"-","")))</f>
        <v/>
      </c>
      <c r="S1308" s="3">
        <f>IF($D1308="","",$C1308&amp;"|"&amp;TEXT($E1308,"0")&amp;"|"&amp;TEXT($F1308,"0")&amp;"|"&amp;$I1308)</f>
        <v/>
      </c>
      <c r="T1308" s="3">
        <f>IF($E1308="",0,SUMPRODUCT((AY_SONU!$O$7:$O$42="Evet")*(AY_SONU!$B$7:$B$42=DATE(YEAR($E1308),MONTH($E1308),1))))</f>
        <v/>
      </c>
    </row>
    <row r="1309">
      <c r="A1309" s="6" t="n"/>
      <c r="B1309" s="113">
        <f>IF($D1309="","","T"&amp;TEXT(ROW()-6,"00000"))</f>
        <v/>
      </c>
      <c r="C1309" s="113">
        <f>IF($D1309="","",IFERROR(INDEX(MUSTERILER!$B$7:$B$106,MATCH($R1309,MUSTERILER!$T$7:$T$106,0)),IFERROR(INDEX(MUSTERILER!$B$7:$B$106,MATCH($D1309,MUSTERILER!$B$7:$B$106,0)),IFERROR(INDEX(MUSTERILER!$B$7:$B$106,MATCH($R1309&amp;"*",MUSTERILER!$T$7:$T$106,0)),"TANIMSIZ MÜŞTERİ"))))</f>
        <v/>
      </c>
      <c r="D1309" s="109" t="n"/>
      <c r="E1309" s="220" t="n"/>
      <c r="F1309" s="221" t="n"/>
      <c r="G1309" s="108" t="n"/>
      <c r="H1309" s="108" t="n"/>
      <c r="I1309" s="109" t="n"/>
      <c r="J1309" s="109" t="n"/>
      <c r="K1309" s="109" t="n"/>
      <c r="L1309" s="226">
        <f>IF($E1309="","",DATE(YEAR($E1309),MONTH($E1309),1))</f>
        <v/>
      </c>
      <c r="M1309" s="113">
        <f>IF($D1309="","",IF($C1309="TANIMSIZ MÜŞTERİ","HATA",IF(OR($E1309="",$F1309&lt;=0,$G1309=""),"EKSİK",IF($E1309&gt;TODAY(),"İLERİ TARİH",IF(COUNTIF($S$7:$S$1506,$S1309)&gt;1,"MÜKERRER?",IF($T1309&gt;0,"KAPALI DÖNEM","UYGUN"))))))</f>
        <v/>
      </c>
      <c r="N1309" s="121">
        <f>IF($C1309="","",IF($C1309="TANIMSIZ MÜŞTERİ","—",INDEX(MUSTERILER!$C$7:$C$106,MATCH($C1309,MUSTERILER!$B$7:$B$106,0))))</f>
        <v/>
      </c>
      <c r="O1309" s="6" t="n"/>
      <c r="P1309" s="6" t="n"/>
      <c r="Q1309" s="3">
        <f>IF($D1309="","",$C1309&amp;"|"&amp;COUNTIFS($C$7:$C1309,$C1309))</f>
        <v/>
      </c>
      <c r="R1309" s="3">
        <f>IF($D1309="","",UPPER(SUBSTITUTE(SUBSTITUTE(SUBSTITUTE(SUBSTITUTE(SUBSTITUTE(SUBSTITUTE(SUBSTITUTE(SUBSTITUTE(SUBSTITUTE(SUBSTITUTE(SUBSTITUTE(SUBSTITUTE(SUBSTITUTE(SUBSTITUTE(SUBSTITUTE(SUBSTITUTE(SUBSTITUTE(SUBSTITUTE(TRIM($D1309),"'",""),"İ","I"),"ı","I"),"i","I"),"Ş","S"),"ş","S"),"Ğ","G"),"ğ","G"),"Ü","U"),"ü","U"),"Ö","O"),"ö","O"),"Ç","C"),"ç","C"),".",""),",","")," ",""),"-","")))</f>
        <v/>
      </c>
      <c r="S1309" s="3">
        <f>IF($D1309="","",$C1309&amp;"|"&amp;TEXT($E1309,"0")&amp;"|"&amp;TEXT($F1309,"0")&amp;"|"&amp;$I1309)</f>
        <v/>
      </c>
      <c r="T1309" s="3">
        <f>IF($E1309="",0,SUMPRODUCT((AY_SONU!$O$7:$O$42="Evet")*(AY_SONU!$B$7:$B$42=DATE(YEAR($E1309),MONTH($E1309),1))))</f>
        <v/>
      </c>
    </row>
    <row r="1310">
      <c r="A1310" s="6" t="n"/>
      <c r="B1310" s="113">
        <f>IF($D1310="","","T"&amp;TEXT(ROW()-6,"00000"))</f>
        <v/>
      </c>
      <c r="C1310" s="113">
        <f>IF($D1310="","",IFERROR(INDEX(MUSTERILER!$B$7:$B$106,MATCH($R1310,MUSTERILER!$T$7:$T$106,0)),IFERROR(INDEX(MUSTERILER!$B$7:$B$106,MATCH($D1310,MUSTERILER!$B$7:$B$106,0)),IFERROR(INDEX(MUSTERILER!$B$7:$B$106,MATCH($R1310&amp;"*",MUSTERILER!$T$7:$T$106,0)),"TANIMSIZ MÜŞTERİ"))))</f>
        <v/>
      </c>
      <c r="D1310" s="109" t="n"/>
      <c r="E1310" s="220" t="n"/>
      <c r="F1310" s="221" t="n"/>
      <c r="G1310" s="108" t="n"/>
      <c r="H1310" s="108" t="n"/>
      <c r="I1310" s="109" t="n"/>
      <c r="J1310" s="109" t="n"/>
      <c r="K1310" s="109" t="n"/>
      <c r="L1310" s="226">
        <f>IF($E1310="","",DATE(YEAR($E1310),MONTH($E1310),1))</f>
        <v/>
      </c>
      <c r="M1310" s="113">
        <f>IF($D1310="","",IF($C1310="TANIMSIZ MÜŞTERİ","HATA",IF(OR($E1310="",$F1310&lt;=0,$G1310=""),"EKSİK",IF($E1310&gt;TODAY(),"İLERİ TARİH",IF(COUNTIF($S$7:$S$1506,$S1310)&gt;1,"MÜKERRER?",IF($T1310&gt;0,"KAPALI DÖNEM","UYGUN"))))))</f>
        <v/>
      </c>
      <c r="N1310" s="121">
        <f>IF($C1310="","",IF($C1310="TANIMSIZ MÜŞTERİ","—",INDEX(MUSTERILER!$C$7:$C$106,MATCH($C1310,MUSTERILER!$B$7:$B$106,0))))</f>
        <v/>
      </c>
      <c r="O1310" s="6" t="n"/>
      <c r="P1310" s="6" t="n"/>
      <c r="Q1310" s="3">
        <f>IF($D1310="","",$C1310&amp;"|"&amp;COUNTIFS($C$7:$C1310,$C1310))</f>
        <v/>
      </c>
      <c r="R1310" s="3">
        <f>IF($D1310="","",UPPER(SUBSTITUTE(SUBSTITUTE(SUBSTITUTE(SUBSTITUTE(SUBSTITUTE(SUBSTITUTE(SUBSTITUTE(SUBSTITUTE(SUBSTITUTE(SUBSTITUTE(SUBSTITUTE(SUBSTITUTE(SUBSTITUTE(SUBSTITUTE(SUBSTITUTE(SUBSTITUTE(SUBSTITUTE(SUBSTITUTE(TRIM($D1310),"'",""),"İ","I"),"ı","I"),"i","I"),"Ş","S"),"ş","S"),"Ğ","G"),"ğ","G"),"Ü","U"),"ü","U"),"Ö","O"),"ö","O"),"Ç","C"),"ç","C"),".",""),",","")," ",""),"-","")))</f>
        <v/>
      </c>
      <c r="S1310" s="3">
        <f>IF($D1310="","",$C1310&amp;"|"&amp;TEXT($E1310,"0")&amp;"|"&amp;TEXT($F1310,"0")&amp;"|"&amp;$I1310)</f>
        <v/>
      </c>
      <c r="T1310" s="3">
        <f>IF($E1310="",0,SUMPRODUCT((AY_SONU!$O$7:$O$42="Evet")*(AY_SONU!$B$7:$B$42=DATE(YEAR($E1310),MONTH($E1310),1))))</f>
        <v/>
      </c>
    </row>
    <row r="1311">
      <c r="A1311" s="6" t="n"/>
      <c r="B1311" s="113">
        <f>IF($D1311="","","T"&amp;TEXT(ROW()-6,"00000"))</f>
        <v/>
      </c>
      <c r="C1311" s="113">
        <f>IF($D1311="","",IFERROR(INDEX(MUSTERILER!$B$7:$B$106,MATCH($R1311,MUSTERILER!$T$7:$T$106,0)),IFERROR(INDEX(MUSTERILER!$B$7:$B$106,MATCH($D1311,MUSTERILER!$B$7:$B$106,0)),IFERROR(INDEX(MUSTERILER!$B$7:$B$106,MATCH($R1311&amp;"*",MUSTERILER!$T$7:$T$106,0)),"TANIMSIZ MÜŞTERİ"))))</f>
        <v/>
      </c>
      <c r="D1311" s="109" t="n"/>
      <c r="E1311" s="220" t="n"/>
      <c r="F1311" s="221" t="n"/>
      <c r="G1311" s="108" t="n"/>
      <c r="H1311" s="108" t="n"/>
      <c r="I1311" s="109" t="n"/>
      <c r="J1311" s="109" t="n"/>
      <c r="K1311" s="109" t="n"/>
      <c r="L1311" s="226">
        <f>IF($E1311="","",DATE(YEAR($E1311),MONTH($E1311),1))</f>
        <v/>
      </c>
      <c r="M1311" s="113">
        <f>IF($D1311="","",IF($C1311="TANIMSIZ MÜŞTERİ","HATA",IF(OR($E1311="",$F1311&lt;=0,$G1311=""),"EKSİK",IF($E1311&gt;TODAY(),"İLERİ TARİH",IF(COUNTIF($S$7:$S$1506,$S1311)&gt;1,"MÜKERRER?",IF($T1311&gt;0,"KAPALI DÖNEM","UYGUN"))))))</f>
        <v/>
      </c>
      <c r="N1311" s="121">
        <f>IF($C1311="","",IF($C1311="TANIMSIZ MÜŞTERİ","—",INDEX(MUSTERILER!$C$7:$C$106,MATCH($C1311,MUSTERILER!$B$7:$B$106,0))))</f>
        <v/>
      </c>
      <c r="O1311" s="6" t="n"/>
      <c r="P1311" s="6" t="n"/>
      <c r="Q1311" s="3">
        <f>IF($D1311="","",$C1311&amp;"|"&amp;COUNTIFS($C$7:$C1311,$C1311))</f>
        <v/>
      </c>
      <c r="R1311" s="3">
        <f>IF($D1311="","",UPPER(SUBSTITUTE(SUBSTITUTE(SUBSTITUTE(SUBSTITUTE(SUBSTITUTE(SUBSTITUTE(SUBSTITUTE(SUBSTITUTE(SUBSTITUTE(SUBSTITUTE(SUBSTITUTE(SUBSTITUTE(SUBSTITUTE(SUBSTITUTE(SUBSTITUTE(SUBSTITUTE(SUBSTITUTE(SUBSTITUTE(TRIM($D1311),"'",""),"İ","I"),"ı","I"),"i","I"),"Ş","S"),"ş","S"),"Ğ","G"),"ğ","G"),"Ü","U"),"ü","U"),"Ö","O"),"ö","O"),"Ç","C"),"ç","C"),".",""),",","")," ",""),"-","")))</f>
        <v/>
      </c>
      <c r="S1311" s="3">
        <f>IF($D1311="","",$C1311&amp;"|"&amp;TEXT($E1311,"0")&amp;"|"&amp;TEXT($F1311,"0")&amp;"|"&amp;$I1311)</f>
        <v/>
      </c>
      <c r="T1311" s="3">
        <f>IF($E1311="",0,SUMPRODUCT((AY_SONU!$O$7:$O$42="Evet")*(AY_SONU!$B$7:$B$42=DATE(YEAR($E1311),MONTH($E1311),1))))</f>
        <v/>
      </c>
    </row>
    <row r="1312">
      <c r="A1312" s="6" t="n"/>
      <c r="B1312" s="113">
        <f>IF($D1312="","","T"&amp;TEXT(ROW()-6,"00000"))</f>
        <v/>
      </c>
      <c r="C1312" s="113">
        <f>IF($D1312="","",IFERROR(INDEX(MUSTERILER!$B$7:$B$106,MATCH($R1312,MUSTERILER!$T$7:$T$106,0)),IFERROR(INDEX(MUSTERILER!$B$7:$B$106,MATCH($D1312,MUSTERILER!$B$7:$B$106,0)),IFERROR(INDEX(MUSTERILER!$B$7:$B$106,MATCH($R1312&amp;"*",MUSTERILER!$T$7:$T$106,0)),"TANIMSIZ MÜŞTERİ"))))</f>
        <v/>
      </c>
      <c r="D1312" s="109" t="n"/>
      <c r="E1312" s="220" t="n"/>
      <c r="F1312" s="221" t="n"/>
      <c r="G1312" s="108" t="n"/>
      <c r="H1312" s="108" t="n"/>
      <c r="I1312" s="109" t="n"/>
      <c r="J1312" s="109" t="n"/>
      <c r="K1312" s="109" t="n"/>
      <c r="L1312" s="226">
        <f>IF($E1312="","",DATE(YEAR($E1312),MONTH($E1312),1))</f>
        <v/>
      </c>
      <c r="M1312" s="113">
        <f>IF($D1312="","",IF($C1312="TANIMSIZ MÜŞTERİ","HATA",IF(OR($E1312="",$F1312&lt;=0,$G1312=""),"EKSİK",IF($E1312&gt;TODAY(),"İLERİ TARİH",IF(COUNTIF($S$7:$S$1506,$S1312)&gt;1,"MÜKERRER?",IF($T1312&gt;0,"KAPALI DÖNEM","UYGUN"))))))</f>
        <v/>
      </c>
      <c r="N1312" s="121">
        <f>IF($C1312="","",IF($C1312="TANIMSIZ MÜŞTERİ","—",INDEX(MUSTERILER!$C$7:$C$106,MATCH($C1312,MUSTERILER!$B$7:$B$106,0))))</f>
        <v/>
      </c>
      <c r="O1312" s="6" t="n"/>
      <c r="P1312" s="6" t="n"/>
      <c r="Q1312" s="3">
        <f>IF($D1312="","",$C1312&amp;"|"&amp;COUNTIFS($C$7:$C1312,$C1312))</f>
        <v/>
      </c>
      <c r="R1312" s="3">
        <f>IF($D1312="","",UPPER(SUBSTITUTE(SUBSTITUTE(SUBSTITUTE(SUBSTITUTE(SUBSTITUTE(SUBSTITUTE(SUBSTITUTE(SUBSTITUTE(SUBSTITUTE(SUBSTITUTE(SUBSTITUTE(SUBSTITUTE(SUBSTITUTE(SUBSTITUTE(SUBSTITUTE(SUBSTITUTE(SUBSTITUTE(SUBSTITUTE(TRIM($D1312),"'",""),"İ","I"),"ı","I"),"i","I"),"Ş","S"),"ş","S"),"Ğ","G"),"ğ","G"),"Ü","U"),"ü","U"),"Ö","O"),"ö","O"),"Ç","C"),"ç","C"),".",""),",","")," ",""),"-","")))</f>
        <v/>
      </c>
      <c r="S1312" s="3">
        <f>IF($D1312="","",$C1312&amp;"|"&amp;TEXT($E1312,"0")&amp;"|"&amp;TEXT($F1312,"0")&amp;"|"&amp;$I1312)</f>
        <v/>
      </c>
      <c r="T1312" s="3">
        <f>IF($E1312="",0,SUMPRODUCT((AY_SONU!$O$7:$O$42="Evet")*(AY_SONU!$B$7:$B$42=DATE(YEAR($E1312),MONTH($E1312),1))))</f>
        <v/>
      </c>
    </row>
    <row r="1313">
      <c r="A1313" s="6" t="n"/>
      <c r="B1313" s="113">
        <f>IF($D1313="","","T"&amp;TEXT(ROW()-6,"00000"))</f>
        <v/>
      </c>
      <c r="C1313" s="113">
        <f>IF($D1313="","",IFERROR(INDEX(MUSTERILER!$B$7:$B$106,MATCH($R1313,MUSTERILER!$T$7:$T$106,0)),IFERROR(INDEX(MUSTERILER!$B$7:$B$106,MATCH($D1313,MUSTERILER!$B$7:$B$106,0)),IFERROR(INDEX(MUSTERILER!$B$7:$B$106,MATCH($R1313&amp;"*",MUSTERILER!$T$7:$T$106,0)),"TANIMSIZ MÜŞTERİ"))))</f>
        <v/>
      </c>
      <c r="D1313" s="109" t="n"/>
      <c r="E1313" s="220" t="n"/>
      <c r="F1313" s="221" t="n"/>
      <c r="G1313" s="108" t="n"/>
      <c r="H1313" s="108" t="n"/>
      <c r="I1313" s="109" t="n"/>
      <c r="J1313" s="109" t="n"/>
      <c r="K1313" s="109" t="n"/>
      <c r="L1313" s="226">
        <f>IF($E1313="","",DATE(YEAR($E1313),MONTH($E1313),1))</f>
        <v/>
      </c>
      <c r="M1313" s="113">
        <f>IF($D1313="","",IF($C1313="TANIMSIZ MÜŞTERİ","HATA",IF(OR($E1313="",$F1313&lt;=0,$G1313=""),"EKSİK",IF($E1313&gt;TODAY(),"İLERİ TARİH",IF(COUNTIF($S$7:$S$1506,$S1313)&gt;1,"MÜKERRER?",IF($T1313&gt;0,"KAPALI DÖNEM","UYGUN"))))))</f>
        <v/>
      </c>
      <c r="N1313" s="121">
        <f>IF($C1313="","",IF($C1313="TANIMSIZ MÜŞTERİ","—",INDEX(MUSTERILER!$C$7:$C$106,MATCH($C1313,MUSTERILER!$B$7:$B$106,0))))</f>
        <v/>
      </c>
      <c r="O1313" s="6" t="n"/>
      <c r="P1313" s="6" t="n"/>
      <c r="Q1313" s="3">
        <f>IF($D1313="","",$C1313&amp;"|"&amp;COUNTIFS($C$7:$C1313,$C1313))</f>
        <v/>
      </c>
      <c r="R1313" s="3">
        <f>IF($D1313="","",UPPER(SUBSTITUTE(SUBSTITUTE(SUBSTITUTE(SUBSTITUTE(SUBSTITUTE(SUBSTITUTE(SUBSTITUTE(SUBSTITUTE(SUBSTITUTE(SUBSTITUTE(SUBSTITUTE(SUBSTITUTE(SUBSTITUTE(SUBSTITUTE(SUBSTITUTE(SUBSTITUTE(SUBSTITUTE(SUBSTITUTE(TRIM($D1313),"'",""),"İ","I"),"ı","I"),"i","I"),"Ş","S"),"ş","S"),"Ğ","G"),"ğ","G"),"Ü","U"),"ü","U"),"Ö","O"),"ö","O"),"Ç","C"),"ç","C"),".",""),",","")," ",""),"-","")))</f>
        <v/>
      </c>
      <c r="S1313" s="3">
        <f>IF($D1313="","",$C1313&amp;"|"&amp;TEXT($E1313,"0")&amp;"|"&amp;TEXT($F1313,"0")&amp;"|"&amp;$I1313)</f>
        <v/>
      </c>
      <c r="T1313" s="3">
        <f>IF($E1313="",0,SUMPRODUCT((AY_SONU!$O$7:$O$42="Evet")*(AY_SONU!$B$7:$B$42=DATE(YEAR($E1313),MONTH($E1313),1))))</f>
        <v/>
      </c>
    </row>
    <row r="1314">
      <c r="A1314" s="6" t="n"/>
      <c r="B1314" s="113">
        <f>IF($D1314="","","T"&amp;TEXT(ROW()-6,"00000"))</f>
        <v/>
      </c>
      <c r="C1314" s="113">
        <f>IF($D1314="","",IFERROR(INDEX(MUSTERILER!$B$7:$B$106,MATCH($R1314,MUSTERILER!$T$7:$T$106,0)),IFERROR(INDEX(MUSTERILER!$B$7:$B$106,MATCH($D1314,MUSTERILER!$B$7:$B$106,0)),IFERROR(INDEX(MUSTERILER!$B$7:$B$106,MATCH($R1314&amp;"*",MUSTERILER!$T$7:$T$106,0)),"TANIMSIZ MÜŞTERİ"))))</f>
        <v/>
      </c>
      <c r="D1314" s="109" t="n"/>
      <c r="E1314" s="220" t="n"/>
      <c r="F1314" s="221" t="n"/>
      <c r="G1314" s="108" t="n"/>
      <c r="H1314" s="108" t="n"/>
      <c r="I1314" s="109" t="n"/>
      <c r="J1314" s="109" t="n"/>
      <c r="K1314" s="109" t="n"/>
      <c r="L1314" s="226">
        <f>IF($E1314="","",DATE(YEAR($E1314),MONTH($E1314),1))</f>
        <v/>
      </c>
      <c r="M1314" s="113">
        <f>IF($D1314="","",IF($C1314="TANIMSIZ MÜŞTERİ","HATA",IF(OR($E1314="",$F1314&lt;=0,$G1314=""),"EKSİK",IF($E1314&gt;TODAY(),"İLERİ TARİH",IF(COUNTIF($S$7:$S$1506,$S1314)&gt;1,"MÜKERRER?",IF($T1314&gt;0,"KAPALI DÖNEM","UYGUN"))))))</f>
        <v/>
      </c>
      <c r="N1314" s="121">
        <f>IF($C1314="","",IF($C1314="TANIMSIZ MÜŞTERİ","—",INDEX(MUSTERILER!$C$7:$C$106,MATCH($C1314,MUSTERILER!$B$7:$B$106,0))))</f>
        <v/>
      </c>
      <c r="O1314" s="6" t="n"/>
      <c r="P1314" s="6" t="n"/>
      <c r="Q1314" s="3">
        <f>IF($D1314="","",$C1314&amp;"|"&amp;COUNTIFS($C$7:$C1314,$C1314))</f>
        <v/>
      </c>
      <c r="R1314" s="3">
        <f>IF($D1314="","",UPPER(SUBSTITUTE(SUBSTITUTE(SUBSTITUTE(SUBSTITUTE(SUBSTITUTE(SUBSTITUTE(SUBSTITUTE(SUBSTITUTE(SUBSTITUTE(SUBSTITUTE(SUBSTITUTE(SUBSTITUTE(SUBSTITUTE(SUBSTITUTE(SUBSTITUTE(SUBSTITUTE(SUBSTITUTE(SUBSTITUTE(TRIM($D1314),"'",""),"İ","I"),"ı","I"),"i","I"),"Ş","S"),"ş","S"),"Ğ","G"),"ğ","G"),"Ü","U"),"ü","U"),"Ö","O"),"ö","O"),"Ç","C"),"ç","C"),".",""),",","")," ",""),"-","")))</f>
        <v/>
      </c>
      <c r="S1314" s="3">
        <f>IF($D1314="","",$C1314&amp;"|"&amp;TEXT($E1314,"0")&amp;"|"&amp;TEXT($F1314,"0")&amp;"|"&amp;$I1314)</f>
        <v/>
      </c>
      <c r="T1314" s="3">
        <f>IF($E1314="",0,SUMPRODUCT((AY_SONU!$O$7:$O$42="Evet")*(AY_SONU!$B$7:$B$42=DATE(YEAR($E1314),MONTH($E1314),1))))</f>
        <v/>
      </c>
    </row>
    <row r="1315">
      <c r="A1315" s="6" t="n"/>
      <c r="B1315" s="113">
        <f>IF($D1315="","","T"&amp;TEXT(ROW()-6,"00000"))</f>
        <v/>
      </c>
      <c r="C1315" s="113">
        <f>IF($D1315="","",IFERROR(INDEX(MUSTERILER!$B$7:$B$106,MATCH($R1315,MUSTERILER!$T$7:$T$106,0)),IFERROR(INDEX(MUSTERILER!$B$7:$B$106,MATCH($D1315,MUSTERILER!$B$7:$B$106,0)),IFERROR(INDEX(MUSTERILER!$B$7:$B$106,MATCH($R1315&amp;"*",MUSTERILER!$T$7:$T$106,0)),"TANIMSIZ MÜŞTERİ"))))</f>
        <v/>
      </c>
      <c r="D1315" s="109" t="n"/>
      <c r="E1315" s="220" t="n"/>
      <c r="F1315" s="221" t="n"/>
      <c r="G1315" s="108" t="n"/>
      <c r="H1315" s="108" t="n"/>
      <c r="I1315" s="109" t="n"/>
      <c r="J1315" s="109" t="n"/>
      <c r="K1315" s="109" t="n"/>
      <c r="L1315" s="226">
        <f>IF($E1315="","",DATE(YEAR($E1315),MONTH($E1315),1))</f>
        <v/>
      </c>
      <c r="M1315" s="113">
        <f>IF($D1315="","",IF($C1315="TANIMSIZ MÜŞTERİ","HATA",IF(OR($E1315="",$F1315&lt;=0,$G1315=""),"EKSİK",IF($E1315&gt;TODAY(),"İLERİ TARİH",IF(COUNTIF($S$7:$S$1506,$S1315)&gt;1,"MÜKERRER?",IF($T1315&gt;0,"KAPALI DÖNEM","UYGUN"))))))</f>
        <v/>
      </c>
      <c r="N1315" s="121">
        <f>IF($C1315="","",IF($C1315="TANIMSIZ MÜŞTERİ","—",INDEX(MUSTERILER!$C$7:$C$106,MATCH($C1315,MUSTERILER!$B$7:$B$106,0))))</f>
        <v/>
      </c>
      <c r="O1315" s="6" t="n"/>
      <c r="P1315" s="6" t="n"/>
      <c r="Q1315" s="3">
        <f>IF($D1315="","",$C1315&amp;"|"&amp;COUNTIFS($C$7:$C1315,$C1315))</f>
        <v/>
      </c>
      <c r="R1315" s="3">
        <f>IF($D1315="","",UPPER(SUBSTITUTE(SUBSTITUTE(SUBSTITUTE(SUBSTITUTE(SUBSTITUTE(SUBSTITUTE(SUBSTITUTE(SUBSTITUTE(SUBSTITUTE(SUBSTITUTE(SUBSTITUTE(SUBSTITUTE(SUBSTITUTE(SUBSTITUTE(SUBSTITUTE(SUBSTITUTE(SUBSTITUTE(SUBSTITUTE(TRIM($D1315),"'",""),"İ","I"),"ı","I"),"i","I"),"Ş","S"),"ş","S"),"Ğ","G"),"ğ","G"),"Ü","U"),"ü","U"),"Ö","O"),"ö","O"),"Ç","C"),"ç","C"),".",""),",","")," ",""),"-","")))</f>
        <v/>
      </c>
      <c r="S1315" s="3">
        <f>IF($D1315="","",$C1315&amp;"|"&amp;TEXT($E1315,"0")&amp;"|"&amp;TEXT($F1315,"0")&amp;"|"&amp;$I1315)</f>
        <v/>
      </c>
      <c r="T1315" s="3">
        <f>IF($E1315="",0,SUMPRODUCT((AY_SONU!$O$7:$O$42="Evet")*(AY_SONU!$B$7:$B$42=DATE(YEAR($E1315),MONTH($E1315),1))))</f>
        <v/>
      </c>
    </row>
    <row r="1316">
      <c r="A1316" s="6" t="n"/>
      <c r="B1316" s="113">
        <f>IF($D1316="","","T"&amp;TEXT(ROW()-6,"00000"))</f>
        <v/>
      </c>
      <c r="C1316" s="113">
        <f>IF($D1316="","",IFERROR(INDEX(MUSTERILER!$B$7:$B$106,MATCH($R1316,MUSTERILER!$T$7:$T$106,0)),IFERROR(INDEX(MUSTERILER!$B$7:$B$106,MATCH($D1316,MUSTERILER!$B$7:$B$106,0)),IFERROR(INDEX(MUSTERILER!$B$7:$B$106,MATCH($R1316&amp;"*",MUSTERILER!$T$7:$T$106,0)),"TANIMSIZ MÜŞTERİ"))))</f>
        <v/>
      </c>
      <c r="D1316" s="109" t="n"/>
      <c r="E1316" s="220" t="n"/>
      <c r="F1316" s="221" t="n"/>
      <c r="G1316" s="108" t="n"/>
      <c r="H1316" s="108" t="n"/>
      <c r="I1316" s="109" t="n"/>
      <c r="J1316" s="109" t="n"/>
      <c r="K1316" s="109" t="n"/>
      <c r="L1316" s="226">
        <f>IF($E1316="","",DATE(YEAR($E1316),MONTH($E1316),1))</f>
        <v/>
      </c>
      <c r="M1316" s="113">
        <f>IF($D1316="","",IF($C1316="TANIMSIZ MÜŞTERİ","HATA",IF(OR($E1316="",$F1316&lt;=0,$G1316=""),"EKSİK",IF($E1316&gt;TODAY(),"İLERİ TARİH",IF(COUNTIF($S$7:$S$1506,$S1316)&gt;1,"MÜKERRER?",IF($T1316&gt;0,"KAPALI DÖNEM","UYGUN"))))))</f>
        <v/>
      </c>
      <c r="N1316" s="121">
        <f>IF($C1316="","",IF($C1316="TANIMSIZ MÜŞTERİ","—",INDEX(MUSTERILER!$C$7:$C$106,MATCH($C1316,MUSTERILER!$B$7:$B$106,0))))</f>
        <v/>
      </c>
      <c r="O1316" s="6" t="n"/>
      <c r="P1316" s="6" t="n"/>
      <c r="Q1316" s="3">
        <f>IF($D1316="","",$C1316&amp;"|"&amp;COUNTIFS($C$7:$C1316,$C1316))</f>
        <v/>
      </c>
      <c r="R1316" s="3">
        <f>IF($D1316="","",UPPER(SUBSTITUTE(SUBSTITUTE(SUBSTITUTE(SUBSTITUTE(SUBSTITUTE(SUBSTITUTE(SUBSTITUTE(SUBSTITUTE(SUBSTITUTE(SUBSTITUTE(SUBSTITUTE(SUBSTITUTE(SUBSTITUTE(SUBSTITUTE(SUBSTITUTE(SUBSTITUTE(SUBSTITUTE(SUBSTITUTE(TRIM($D1316),"'",""),"İ","I"),"ı","I"),"i","I"),"Ş","S"),"ş","S"),"Ğ","G"),"ğ","G"),"Ü","U"),"ü","U"),"Ö","O"),"ö","O"),"Ç","C"),"ç","C"),".",""),",","")," ",""),"-","")))</f>
        <v/>
      </c>
      <c r="S1316" s="3">
        <f>IF($D1316="","",$C1316&amp;"|"&amp;TEXT($E1316,"0")&amp;"|"&amp;TEXT($F1316,"0")&amp;"|"&amp;$I1316)</f>
        <v/>
      </c>
      <c r="T1316" s="3">
        <f>IF($E1316="",0,SUMPRODUCT((AY_SONU!$O$7:$O$42="Evet")*(AY_SONU!$B$7:$B$42=DATE(YEAR($E1316),MONTH($E1316),1))))</f>
        <v/>
      </c>
    </row>
    <row r="1317">
      <c r="A1317" s="6" t="n"/>
      <c r="B1317" s="113">
        <f>IF($D1317="","","T"&amp;TEXT(ROW()-6,"00000"))</f>
        <v/>
      </c>
      <c r="C1317" s="113">
        <f>IF($D1317="","",IFERROR(INDEX(MUSTERILER!$B$7:$B$106,MATCH($R1317,MUSTERILER!$T$7:$T$106,0)),IFERROR(INDEX(MUSTERILER!$B$7:$B$106,MATCH($D1317,MUSTERILER!$B$7:$B$106,0)),IFERROR(INDEX(MUSTERILER!$B$7:$B$106,MATCH($R1317&amp;"*",MUSTERILER!$T$7:$T$106,0)),"TANIMSIZ MÜŞTERİ"))))</f>
        <v/>
      </c>
      <c r="D1317" s="109" t="n"/>
      <c r="E1317" s="220" t="n"/>
      <c r="F1317" s="221" t="n"/>
      <c r="G1317" s="108" t="n"/>
      <c r="H1317" s="108" t="n"/>
      <c r="I1317" s="109" t="n"/>
      <c r="J1317" s="109" t="n"/>
      <c r="K1317" s="109" t="n"/>
      <c r="L1317" s="226">
        <f>IF($E1317="","",DATE(YEAR($E1317),MONTH($E1317),1))</f>
        <v/>
      </c>
      <c r="M1317" s="113">
        <f>IF($D1317="","",IF($C1317="TANIMSIZ MÜŞTERİ","HATA",IF(OR($E1317="",$F1317&lt;=0,$G1317=""),"EKSİK",IF($E1317&gt;TODAY(),"İLERİ TARİH",IF(COUNTIF($S$7:$S$1506,$S1317)&gt;1,"MÜKERRER?",IF($T1317&gt;0,"KAPALI DÖNEM","UYGUN"))))))</f>
        <v/>
      </c>
      <c r="N1317" s="121">
        <f>IF($C1317="","",IF($C1317="TANIMSIZ MÜŞTERİ","—",INDEX(MUSTERILER!$C$7:$C$106,MATCH($C1317,MUSTERILER!$B$7:$B$106,0))))</f>
        <v/>
      </c>
      <c r="O1317" s="6" t="n"/>
      <c r="P1317" s="6" t="n"/>
      <c r="Q1317" s="3">
        <f>IF($D1317="","",$C1317&amp;"|"&amp;COUNTIFS($C$7:$C1317,$C1317))</f>
        <v/>
      </c>
      <c r="R1317" s="3">
        <f>IF($D1317="","",UPPER(SUBSTITUTE(SUBSTITUTE(SUBSTITUTE(SUBSTITUTE(SUBSTITUTE(SUBSTITUTE(SUBSTITUTE(SUBSTITUTE(SUBSTITUTE(SUBSTITUTE(SUBSTITUTE(SUBSTITUTE(SUBSTITUTE(SUBSTITUTE(SUBSTITUTE(SUBSTITUTE(SUBSTITUTE(SUBSTITUTE(TRIM($D1317),"'",""),"İ","I"),"ı","I"),"i","I"),"Ş","S"),"ş","S"),"Ğ","G"),"ğ","G"),"Ü","U"),"ü","U"),"Ö","O"),"ö","O"),"Ç","C"),"ç","C"),".",""),",","")," ",""),"-","")))</f>
        <v/>
      </c>
      <c r="S1317" s="3">
        <f>IF($D1317="","",$C1317&amp;"|"&amp;TEXT($E1317,"0")&amp;"|"&amp;TEXT($F1317,"0")&amp;"|"&amp;$I1317)</f>
        <v/>
      </c>
      <c r="T1317" s="3">
        <f>IF($E1317="",0,SUMPRODUCT((AY_SONU!$O$7:$O$42="Evet")*(AY_SONU!$B$7:$B$42=DATE(YEAR($E1317),MONTH($E1317),1))))</f>
        <v/>
      </c>
    </row>
    <row r="1318">
      <c r="A1318" s="6" t="n"/>
      <c r="B1318" s="113">
        <f>IF($D1318="","","T"&amp;TEXT(ROW()-6,"00000"))</f>
        <v/>
      </c>
      <c r="C1318" s="113">
        <f>IF($D1318="","",IFERROR(INDEX(MUSTERILER!$B$7:$B$106,MATCH($R1318,MUSTERILER!$T$7:$T$106,0)),IFERROR(INDEX(MUSTERILER!$B$7:$B$106,MATCH($D1318,MUSTERILER!$B$7:$B$106,0)),IFERROR(INDEX(MUSTERILER!$B$7:$B$106,MATCH($R1318&amp;"*",MUSTERILER!$T$7:$T$106,0)),"TANIMSIZ MÜŞTERİ"))))</f>
        <v/>
      </c>
      <c r="D1318" s="109" t="n"/>
      <c r="E1318" s="220" t="n"/>
      <c r="F1318" s="221" t="n"/>
      <c r="G1318" s="108" t="n"/>
      <c r="H1318" s="108" t="n"/>
      <c r="I1318" s="109" t="n"/>
      <c r="J1318" s="109" t="n"/>
      <c r="K1318" s="109" t="n"/>
      <c r="L1318" s="226">
        <f>IF($E1318="","",DATE(YEAR($E1318),MONTH($E1318),1))</f>
        <v/>
      </c>
      <c r="M1318" s="113">
        <f>IF($D1318="","",IF($C1318="TANIMSIZ MÜŞTERİ","HATA",IF(OR($E1318="",$F1318&lt;=0,$G1318=""),"EKSİK",IF($E1318&gt;TODAY(),"İLERİ TARİH",IF(COUNTIF($S$7:$S$1506,$S1318)&gt;1,"MÜKERRER?",IF($T1318&gt;0,"KAPALI DÖNEM","UYGUN"))))))</f>
        <v/>
      </c>
      <c r="N1318" s="121">
        <f>IF($C1318="","",IF($C1318="TANIMSIZ MÜŞTERİ","—",INDEX(MUSTERILER!$C$7:$C$106,MATCH($C1318,MUSTERILER!$B$7:$B$106,0))))</f>
        <v/>
      </c>
      <c r="O1318" s="6" t="n"/>
      <c r="P1318" s="6" t="n"/>
      <c r="Q1318" s="3">
        <f>IF($D1318="","",$C1318&amp;"|"&amp;COUNTIFS($C$7:$C1318,$C1318))</f>
        <v/>
      </c>
      <c r="R1318" s="3">
        <f>IF($D1318="","",UPPER(SUBSTITUTE(SUBSTITUTE(SUBSTITUTE(SUBSTITUTE(SUBSTITUTE(SUBSTITUTE(SUBSTITUTE(SUBSTITUTE(SUBSTITUTE(SUBSTITUTE(SUBSTITUTE(SUBSTITUTE(SUBSTITUTE(SUBSTITUTE(SUBSTITUTE(SUBSTITUTE(SUBSTITUTE(SUBSTITUTE(TRIM($D1318),"'",""),"İ","I"),"ı","I"),"i","I"),"Ş","S"),"ş","S"),"Ğ","G"),"ğ","G"),"Ü","U"),"ü","U"),"Ö","O"),"ö","O"),"Ç","C"),"ç","C"),".",""),",","")," ",""),"-","")))</f>
        <v/>
      </c>
      <c r="S1318" s="3">
        <f>IF($D1318="","",$C1318&amp;"|"&amp;TEXT($E1318,"0")&amp;"|"&amp;TEXT($F1318,"0")&amp;"|"&amp;$I1318)</f>
        <v/>
      </c>
      <c r="T1318" s="3">
        <f>IF($E1318="",0,SUMPRODUCT((AY_SONU!$O$7:$O$42="Evet")*(AY_SONU!$B$7:$B$42=DATE(YEAR($E1318),MONTH($E1318),1))))</f>
        <v/>
      </c>
    </row>
    <row r="1319">
      <c r="A1319" s="6" t="n"/>
      <c r="B1319" s="113">
        <f>IF($D1319="","","T"&amp;TEXT(ROW()-6,"00000"))</f>
        <v/>
      </c>
      <c r="C1319" s="113">
        <f>IF($D1319="","",IFERROR(INDEX(MUSTERILER!$B$7:$B$106,MATCH($R1319,MUSTERILER!$T$7:$T$106,0)),IFERROR(INDEX(MUSTERILER!$B$7:$B$106,MATCH($D1319,MUSTERILER!$B$7:$B$106,0)),IFERROR(INDEX(MUSTERILER!$B$7:$B$106,MATCH($R1319&amp;"*",MUSTERILER!$T$7:$T$106,0)),"TANIMSIZ MÜŞTERİ"))))</f>
        <v/>
      </c>
      <c r="D1319" s="109" t="n"/>
      <c r="E1319" s="220" t="n"/>
      <c r="F1319" s="221" t="n"/>
      <c r="G1319" s="108" t="n"/>
      <c r="H1319" s="108" t="n"/>
      <c r="I1319" s="109" t="n"/>
      <c r="J1319" s="109" t="n"/>
      <c r="K1319" s="109" t="n"/>
      <c r="L1319" s="226">
        <f>IF($E1319="","",DATE(YEAR($E1319),MONTH($E1319),1))</f>
        <v/>
      </c>
      <c r="M1319" s="113">
        <f>IF($D1319="","",IF($C1319="TANIMSIZ MÜŞTERİ","HATA",IF(OR($E1319="",$F1319&lt;=0,$G1319=""),"EKSİK",IF($E1319&gt;TODAY(),"İLERİ TARİH",IF(COUNTIF($S$7:$S$1506,$S1319)&gt;1,"MÜKERRER?",IF($T1319&gt;0,"KAPALI DÖNEM","UYGUN"))))))</f>
        <v/>
      </c>
      <c r="N1319" s="121">
        <f>IF($C1319="","",IF($C1319="TANIMSIZ MÜŞTERİ","—",INDEX(MUSTERILER!$C$7:$C$106,MATCH($C1319,MUSTERILER!$B$7:$B$106,0))))</f>
        <v/>
      </c>
      <c r="O1319" s="6" t="n"/>
      <c r="P1319" s="6" t="n"/>
      <c r="Q1319" s="3">
        <f>IF($D1319="","",$C1319&amp;"|"&amp;COUNTIFS($C$7:$C1319,$C1319))</f>
        <v/>
      </c>
      <c r="R1319" s="3">
        <f>IF($D1319="","",UPPER(SUBSTITUTE(SUBSTITUTE(SUBSTITUTE(SUBSTITUTE(SUBSTITUTE(SUBSTITUTE(SUBSTITUTE(SUBSTITUTE(SUBSTITUTE(SUBSTITUTE(SUBSTITUTE(SUBSTITUTE(SUBSTITUTE(SUBSTITUTE(SUBSTITUTE(SUBSTITUTE(SUBSTITUTE(SUBSTITUTE(TRIM($D1319),"'",""),"İ","I"),"ı","I"),"i","I"),"Ş","S"),"ş","S"),"Ğ","G"),"ğ","G"),"Ü","U"),"ü","U"),"Ö","O"),"ö","O"),"Ç","C"),"ç","C"),".",""),",","")," ",""),"-","")))</f>
        <v/>
      </c>
      <c r="S1319" s="3">
        <f>IF($D1319="","",$C1319&amp;"|"&amp;TEXT($E1319,"0")&amp;"|"&amp;TEXT($F1319,"0")&amp;"|"&amp;$I1319)</f>
        <v/>
      </c>
      <c r="T1319" s="3">
        <f>IF($E1319="",0,SUMPRODUCT((AY_SONU!$O$7:$O$42="Evet")*(AY_SONU!$B$7:$B$42=DATE(YEAR($E1319),MONTH($E1319),1))))</f>
        <v/>
      </c>
    </row>
    <row r="1320">
      <c r="A1320" s="6" t="n"/>
      <c r="B1320" s="113">
        <f>IF($D1320="","","T"&amp;TEXT(ROW()-6,"00000"))</f>
        <v/>
      </c>
      <c r="C1320" s="113">
        <f>IF($D1320="","",IFERROR(INDEX(MUSTERILER!$B$7:$B$106,MATCH($R1320,MUSTERILER!$T$7:$T$106,0)),IFERROR(INDEX(MUSTERILER!$B$7:$B$106,MATCH($D1320,MUSTERILER!$B$7:$B$106,0)),IFERROR(INDEX(MUSTERILER!$B$7:$B$106,MATCH($R1320&amp;"*",MUSTERILER!$T$7:$T$106,0)),"TANIMSIZ MÜŞTERİ"))))</f>
        <v/>
      </c>
      <c r="D1320" s="109" t="n"/>
      <c r="E1320" s="220" t="n"/>
      <c r="F1320" s="221" t="n"/>
      <c r="G1320" s="108" t="n"/>
      <c r="H1320" s="108" t="n"/>
      <c r="I1320" s="109" t="n"/>
      <c r="J1320" s="109" t="n"/>
      <c r="K1320" s="109" t="n"/>
      <c r="L1320" s="226">
        <f>IF($E1320="","",DATE(YEAR($E1320),MONTH($E1320),1))</f>
        <v/>
      </c>
      <c r="M1320" s="113">
        <f>IF($D1320="","",IF($C1320="TANIMSIZ MÜŞTERİ","HATA",IF(OR($E1320="",$F1320&lt;=0,$G1320=""),"EKSİK",IF($E1320&gt;TODAY(),"İLERİ TARİH",IF(COUNTIF($S$7:$S$1506,$S1320)&gt;1,"MÜKERRER?",IF($T1320&gt;0,"KAPALI DÖNEM","UYGUN"))))))</f>
        <v/>
      </c>
      <c r="N1320" s="121">
        <f>IF($C1320="","",IF($C1320="TANIMSIZ MÜŞTERİ","—",INDEX(MUSTERILER!$C$7:$C$106,MATCH($C1320,MUSTERILER!$B$7:$B$106,0))))</f>
        <v/>
      </c>
      <c r="O1320" s="6" t="n"/>
      <c r="P1320" s="6" t="n"/>
      <c r="Q1320" s="3">
        <f>IF($D1320="","",$C1320&amp;"|"&amp;COUNTIFS($C$7:$C1320,$C1320))</f>
        <v/>
      </c>
      <c r="R1320" s="3">
        <f>IF($D1320="","",UPPER(SUBSTITUTE(SUBSTITUTE(SUBSTITUTE(SUBSTITUTE(SUBSTITUTE(SUBSTITUTE(SUBSTITUTE(SUBSTITUTE(SUBSTITUTE(SUBSTITUTE(SUBSTITUTE(SUBSTITUTE(SUBSTITUTE(SUBSTITUTE(SUBSTITUTE(SUBSTITUTE(SUBSTITUTE(SUBSTITUTE(TRIM($D1320),"'",""),"İ","I"),"ı","I"),"i","I"),"Ş","S"),"ş","S"),"Ğ","G"),"ğ","G"),"Ü","U"),"ü","U"),"Ö","O"),"ö","O"),"Ç","C"),"ç","C"),".",""),",","")," ",""),"-","")))</f>
        <v/>
      </c>
      <c r="S1320" s="3">
        <f>IF($D1320="","",$C1320&amp;"|"&amp;TEXT($E1320,"0")&amp;"|"&amp;TEXT($F1320,"0")&amp;"|"&amp;$I1320)</f>
        <v/>
      </c>
      <c r="T1320" s="3">
        <f>IF($E1320="",0,SUMPRODUCT((AY_SONU!$O$7:$O$42="Evet")*(AY_SONU!$B$7:$B$42=DATE(YEAR($E1320),MONTH($E1320),1))))</f>
        <v/>
      </c>
    </row>
    <row r="1321">
      <c r="A1321" s="6" t="n"/>
      <c r="B1321" s="113">
        <f>IF($D1321="","","T"&amp;TEXT(ROW()-6,"00000"))</f>
        <v/>
      </c>
      <c r="C1321" s="113">
        <f>IF($D1321="","",IFERROR(INDEX(MUSTERILER!$B$7:$B$106,MATCH($R1321,MUSTERILER!$T$7:$T$106,0)),IFERROR(INDEX(MUSTERILER!$B$7:$B$106,MATCH($D1321,MUSTERILER!$B$7:$B$106,0)),IFERROR(INDEX(MUSTERILER!$B$7:$B$106,MATCH($R1321&amp;"*",MUSTERILER!$T$7:$T$106,0)),"TANIMSIZ MÜŞTERİ"))))</f>
        <v/>
      </c>
      <c r="D1321" s="109" t="n"/>
      <c r="E1321" s="220" t="n"/>
      <c r="F1321" s="221" t="n"/>
      <c r="G1321" s="108" t="n"/>
      <c r="H1321" s="108" t="n"/>
      <c r="I1321" s="109" t="n"/>
      <c r="J1321" s="109" t="n"/>
      <c r="K1321" s="109" t="n"/>
      <c r="L1321" s="226">
        <f>IF($E1321="","",DATE(YEAR($E1321),MONTH($E1321),1))</f>
        <v/>
      </c>
      <c r="M1321" s="113">
        <f>IF($D1321="","",IF($C1321="TANIMSIZ MÜŞTERİ","HATA",IF(OR($E1321="",$F1321&lt;=0,$G1321=""),"EKSİK",IF($E1321&gt;TODAY(),"İLERİ TARİH",IF(COUNTIF($S$7:$S$1506,$S1321)&gt;1,"MÜKERRER?",IF($T1321&gt;0,"KAPALI DÖNEM","UYGUN"))))))</f>
        <v/>
      </c>
      <c r="N1321" s="121">
        <f>IF($C1321="","",IF($C1321="TANIMSIZ MÜŞTERİ","—",INDEX(MUSTERILER!$C$7:$C$106,MATCH($C1321,MUSTERILER!$B$7:$B$106,0))))</f>
        <v/>
      </c>
      <c r="O1321" s="6" t="n"/>
      <c r="P1321" s="6" t="n"/>
      <c r="Q1321" s="3">
        <f>IF($D1321="","",$C1321&amp;"|"&amp;COUNTIFS($C$7:$C1321,$C1321))</f>
        <v/>
      </c>
      <c r="R1321" s="3">
        <f>IF($D1321="","",UPPER(SUBSTITUTE(SUBSTITUTE(SUBSTITUTE(SUBSTITUTE(SUBSTITUTE(SUBSTITUTE(SUBSTITUTE(SUBSTITUTE(SUBSTITUTE(SUBSTITUTE(SUBSTITUTE(SUBSTITUTE(SUBSTITUTE(SUBSTITUTE(SUBSTITUTE(SUBSTITUTE(SUBSTITUTE(SUBSTITUTE(TRIM($D1321),"'",""),"İ","I"),"ı","I"),"i","I"),"Ş","S"),"ş","S"),"Ğ","G"),"ğ","G"),"Ü","U"),"ü","U"),"Ö","O"),"ö","O"),"Ç","C"),"ç","C"),".",""),",","")," ",""),"-","")))</f>
        <v/>
      </c>
      <c r="S1321" s="3">
        <f>IF($D1321="","",$C1321&amp;"|"&amp;TEXT($E1321,"0")&amp;"|"&amp;TEXT($F1321,"0")&amp;"|"&amp;$I1321)</f>
        <v/>
      </c>
      <c r="T1321" s="3">
        <f>IF($E1321="",0,SUMPRODUCT((AY_SONU!$O$7:$O$42="Evet")*(AY_SONU!$B$7:$B$42=DATE(YEAR($E1321),MONTH($E1321),1))))</f>
        <v/>
      </c>
    </row>
    <row r="1322">
      <c r="A1322" s="6" t="n"/>
      <c r="B1322" s="113">
        <f>IF($D1322="","","T"&amp;TEXT(ROW()-6,"00000"))</f>
        <v/>
      </c>
      <c r="C1322" s="113">
        <f>IF($D1322="","",IFERROR(INDEX(MUSTERILER!$B$7:$B$106,MATCH($R1322,MUSTERILER!$T$7:$T$106,0)),IFERROR(INDEX(MUSTERILER!$B$7:$B$106,MATCH($D1322,MUSTERILER!$B$7:$B$106,0)),IFERROR(INDEX(MUSTERILER!$B$7:$B$106,MATCH($R1322&amp;"*",MUSTERILER!$T$7:$T$106,0)),"TANIMSIZ MÜŞTERİ"))))</f>
        <v/>
      </c>
      <c r="D1322" s="109" t="n"/>
      <c r="E1322" s="220" t="n"/>
      <c r="F1322" s="221" t="n"/>
      <c r="G1322" s="108" t="n"/>
      <c r="H1322" s="108" t="n"/>
      <c r="I1322" s="109" t="n"/>
      <c r="J1322" s="109" t="n"/>
      <c r="K1322" s="109" t="n"/>
      <c r="L1322" s="226">
        <f>IF($E1322="","",DATE(YEAR($E1322),MONTH($E1322),1))</f>
        <v/>
      </c>
      <c r="M1322" s="113">
        <f>IF($D1322="","",IF($C1322="TANIMSIZ MÜŞTERİ","HATA",IF(OR($E1322="",$F1322&lt;=0,$G1322=""),"EKSİK",IF($E1322&gt;TODAY(),"İLERİ TARİH",IF(COUNTIF($S$7:$S$1506,$S1322)&gt;1,"MÜKERRER?",IF($T1322&gt;0,"KAPALI DÖNEM","UYGUN"))))))</f>
        <v/>
      </c>
      <c r="N1322" s="121">
        <f>IF($C1322="","",IF($C1322="TANIMSIZ MÜŞTERİ","—",INDEX(MUSTERILER!$C$7:$C$106,MATCH($C1322,MUSTERILER!$B$7:$B$106,0))))</f>
        <v/>
      </c>
      <c r="O1322" s="6" t="n"/>
      <c r="P1322" s="6" t="n"/>
      <c r="Q1322" s="3">
        <f>IF($D1322="","",$C1322&amp;"|"&amp;COUNTIFS($C$7:$C1322,$C1322))</f>
        <v/>
      </c>
      <c r="R1322" s="3">
        <f>IF($D1322="","",UPPER(SUBSTITUTE(SUBSTITUTE(SUBSTITUTE(SUBSTITUTE(SUBSTITUTE(SUBSTITUTE(SUBSTITUTE(SUBSTITUTE(SUBSTITUTE(SUBSTITUTE(SUBSTITUTE(SUBSTITUTE(SUBSTITUTE(SUBSTITUTE(SUBSTITUTE(SUBSTITUTE(SUBSTITUTE(SUBSTITUTE(TRIM($D1322),"'",""),"İ","I"),"ı","I"),"i","I"),"Ş","S"),"ş","S"),"Ğ","G"),"ğ","G"),"Ü","U"),"ü","U"),"Ö","O"),"ö","O"),"Ç","C"),"ç","C"),".",""),",","")," ",""),"-","")))</f>
        <v/>
      </c>
      <c r="S1322" s="3">
        <f>IF($D1322="","",$C1322&amp;"|"&amp;TEXT($E1322,"0")&amp;"|"&amp;TEXT($F1322,"0")&amp;"|"&amp;$I1322)</f>
        <v/>
      </c>
      <c r="T1322" s="3">
        <f>IF($E1322="",0,SUMPRODUCT((AY_SONU!$O$7:$O$42="Evet")*(AY_SONU!$B$7:$B$42=DATE(YEAR($E1322),MONTH($E1322),1))))</f>
        <v/>
      </c>
    </row>
    <row r="1323">
      <c r="A1323" s="6" t="n"/>
      <c r="B1323" s="113">
        <f>IF($D1323="","","T"&amp;TEXT(ROW()-6,"00000"))</f>
        <v/>
      </c>
      <c r="C1323" s="113">
        <f>IF($D1323="","",IFERROR(INDEX(MUSTERILER!$B$7:$B$106,MATCH($R1323,MUSTERILER!$T$7:$T$106,0)),IFERROR(INDEX(MUSTERILER!$B$7:$B$106,MATCH($D1323,MUSTERILER!$B$7:$B$106,0)),IFERROR(INDEX(MUSTERILER!$B$7:$B$106,MATCH($R1323&amp;"*",MUSTERILER!$T$7:$T$106,0)),"TANIMSIZ MÜŞTERİ"))))</f>
        <v/>
      </c>
      <c r="D1323" s="109" t="n"/>
      <c r="E1323" s="220" t="n"/>
      <c r="F1323" s="221" t="n"/>
      <c r="G1323" s="108" t="n"/>
      <c r="H1323" s="108" t="n"/>
      <c r="I1323" s="109" t="n"/>
      <c r="J1323" s="109" t="n"/>
      <c r="K1323" s="109" t="n"/>
      <c r="L1323" s="226">
        <f>IF($E1323="","",DATE(YEAR($E1323),MONTH($E1323),1))</f>
        <v/>
      </c>
      <c r="M1323" s="113">
        <f>IF($D1323="","",IF($C1323="TANIMSIZ MÜŞTERİ","HATA",IF(OR($E1323="",$F1323&lt;=0,$G1323=""),"EKSİK",IF($E1323&gt;TODAY(),"İLERİ TARİH",IF(COUNTIF($S$7:$S$1506,$S1323)&gt;1,"MÜKERRER?",IF($T1323&gt;0,"KAPALI DÖNEM","UYGUN"))))))</f>
        <v/>
      </c>
      <c r="N1323" s="121">
        <f>IF($C1323="","",IF($C1323="TANIMSIZ MÜŞTERİ","—",INDEX(MUSTERILER!$C$7:$C$106,MATCH($C1323,MUSTERILER!$B$7:$B$106,0))))</f>
        <v/>
      </c>
      <c r="O1323" s="6" t="n"/>
      <c r="P1323" s="6" t="n"/>
      <c r="Q1323" s="3">
        <f>IF($D1323="","",$C1323&amp;"|"&amp;COUNTIFS($C$7:$C1323,$C1323))</f>
        <v/>
      </c>
      <c r="R1323" s="3">
        <f>IF($D1323="","",UPPER(SUBSTITUTE(SUBSTITUTE(SUBSTITUTE(SUBSTITUTE(SUBSTITUTE(SUBSTITUTE(SUBSTITUTE(SUBSTITUTE(SUBSTITUTE(SUBSTITUTE(SUBSTITUTE(SUBSTITUTE(SUBSTITUTE(SUBSTITUTE(SUBSTITUTE(SUBSTITUTE(SUBSTITUTE(SUBSTITUTE(TRIM($D1323),"'",""),"İ","I"),"ı","I"),"i","I"),"Ş","S"),"ş","S"),"Ğ","G"),"ğ","G"),"Ü","U"),"ü","U"),"Ö","O"),"ö","O"),"Ç","C"),"ç","C"),".",""),",","")," ",""),"-","")))</f>
        <v/>
      </c>
      <c r="S1323" s="3">
        <f>IF($D1323="","",$C1323&amp;"|"&amp;TEXT($E1323,"0")&amp;"|"&amp;TEXT($F1323,"0")&amp;"|"&amp;$I1323)</f>
        <v/>
      </c>
      <c r="T1323" s="3">
        <f>IF($E1323="",0,SUMPRODUCT((AY_SONU!$O$7:$O$42="Evet")*(AY_SONU!$B$7:$B$42=DATE(YEAR($E1323),MONTH($E1323),1))))</f>
        <v/>
      </c>
    </row>
    <row r="1324">
      <c r="A1324" s="6" t="n"/>
      <c r="B1324" s="113">
        <f>IF($D1324="","","T"&amp;TEXT(ROW()-6,"00000"))</f>
        <v/>
      </c>
      <c r="C1324" s="113">
        <f>IF($D1324="","",IFERROR(INDEX(MUSTERILER!$B$7:$B$106,MATCH($R1324,MUSTERILER!$T$7:$T$106,0)),IFERROR(INDEX(MUSTERILER!$B$7:$B$106,MATCH($D1324,MUSTERILER!$B$7:$B$106,0)),IFERROR(INDEX(MUSTERILER!$B$7:$B$106,MATCH($R1324&amp;"*",MUSTERILER!$T$7:$T$106,0)),"TANIMSIZ MÜŞTERİ"))))</f>
        <v/>
      </c>
      <c r="D1324" s="109" t="n"/>
      <c r="E1324" s="220" t="n"/>
      <c r="F1324" s="221" t="n"/>
      <c r="G1324" s="108" t="n"/>
      <c r="H1324" s="108" t="n"/>
      <c r="I1324" s="109" t="n"/>
      <c r="J1324" s="109" t="n"/>
      <c r="K1324" s="109" t="n"/>
      <c r="L1324" s="226">
        <f>IF($E1324="","",DATE(YEAR($E1324),MONTH($E1324),1))</f>
        <v/>
      </c>
      <c r="M1324" s="113">
        <f>IF($D1324="","",IF($C1324="TANIMSIZ MÜŞTERİ","HATA",IF(OR($E1324="",$F1324&lt;=0,$G1324=""),"EKSİK",IF($E1324&gt;TODAY(),"İLERİ TARİH",IF(COUNTIF($S$7:$S$1506,$S1324)&gt;1,"MÜKERRER?",IF($T1324&gt;0,"KAPALI DÖNEM","UYGUN"))))))</f>
        <v/>
      </c>
      <c r="N1324" s="121">
        <f>IF($C1324="","",IF($C1324="TANIMSIZ MÜŞTERİ","—",INDEX(MUSTERILER!$C$7:$C$106,MATCH($C1324,MUSTERILER!$B$7:$B$106,0))))</f>
        <v/>
      </c>
      <c r="O1324" s="6" t="n"/>
      <c r="P1324" s="6" t="n"/>
      <c r="Q1324" s="3">
        <f>IF($D1324="","",$C1324&amp;"|"&amp;COUNTIFS($C$7:$C1324,$C1324))</f>
        <v/>
      </c>
      <c r="R1324" s="3">
        <f>IF($D1324="","",UPPER(SUBSTITUTE(SUBSTITUTE(SUBSTITUTE(SUBSTITUTE(SUBSTITUTE(SUBSTITUTE(SUBSTITUTE(SUBSTITUTE(SUBSTITUTE(SUBSTITUTE(SUBSTITUTE(SUBSTITUTE(SUBSTITUTE(SUBSTITUTE(SUBSTITUTE(SUBSTITUTE(SUBSTITUTE(SUBSTITUTE(TRIM($D1324),"'",""),"İ","I"),"ı","I"),"i","I"),"Ş","S"),"ş","S"),"Ğ","G"),"ğ","G"),"Ü","U"),"ü","U"),"Ö","O"),"ö","O"),"Ç","C"),"ç","C"),".",""),",","")," ",""),"-","")))</f>
        <v/>
      </c>
      <c r="S1324" s="3">
        <f>IF($D1324="","",$C1324&amp;"|"&amp;TEXT($E1324,"0")&amp;"|"&amp;TEXT($F1324,"0")&amp;"|"&amp;$I1324)</f>
        <v/>
      </c>
      <c r="T1324" s="3">
        <f>IF($E1324="",0,SUMPRODUCT((AY_SONU!$O$7:$O$42="Evet")*(AY_SONU!$B$7:$B$42=DATE(YEAR($E1324),MONTH($E1324),1))))</f>
        <v/>
      </c>
    </row>
    <row r="1325">
      <c r="A1325" s="6" t="n"/>
      <c r="B1325" s="113">
        <f>IF($D1325="","","T"&amp;TEXT(ROW()-6,"00000"))</f>
        <v/>
      </c>
      <c r="C1325" s="113">
        <f>IF($D1325="","",IFERROR(INDEX(MUSTERILER!$B$7:$B$106,MATCH($R1325,MUSTERILER!$T$7:$T$106,0)),IFERROR(INDEX(MUSTERILER!$B$7:$B$106,MATCH($D1325,MUSTERILER!$B$7:$B$106,0)),IFERROR(INDEX(MUSTERILER!$B$7:$B$106,MATCH($R1325&amp;"*",MUSTERILER!$T$7:$T$106,0)),"TANIMSIZ MÜŞTERİ"))))</f>
        <v/>
      </c>
      <c r="D1325" s="109" t="n"/>
      <c r="E1325" s="220" t="n"/>
      <c r="F1325" s="221" t="n"/>
      <c r="G1325" s="108" t="n"/>
      <c r="H1325" s="108" t="n"/>
      <c r="I1325" s="109" t="n"/>
      <c r="J1325" s="109" t="n"/>
      <c r="K1325" s="109" t="n"/>
      <c r="L1325" s="226">
        <f>IF($E1325="","",DATE(YEAR($E1325),MONTH($E1325),1))</f>
        <v/>
      </c>
      <c r="M1325" s="113">
        <f>IF($D1325="","",IF($C1325="TANIMSIZ MÜŞTERİ","HATA",IF(OR($E1325="",$F1325&lt;=0,$G1325=""),"EKSİK",IF($E1325&gt;TODAY(),"İLERİ TARİH",IF(COUNTIF($S$7:$S$1506,$S1325)&gt;1,"MÜKERRER?",IF($T1325&gt;0,"KAPALI DÖNEM","UYGUN"))))))</f>
        <v/>
      </c>
      <c r="N1325" s="121">
        <f>IF($C1325="","",IF($C1325="TANIMSIZ MÜŞTERİ","—",INDEX(MUSTERILER!$C$7:$C$106,MATCH($C1325,MUSTERILER!$B$7:$B$106,0))))</f>
        <v/>
      </c>
      <c r="O1325" s="6" t="n"/>
      <c r="P1325" s="6" t="n"/>
      <c r="Q1325" s="3">
        <f>IF($D1325="","",$C1325&amp;"|"&amp;COUNTIFS($C$7:$C1325,$C1325))</f>
        <v/>
      </c>
      <c r="R1325" s="3">
        <f>IF($D1325="","",UPPER(SUBSTITUTE(SUBSTITUTE(SUBSTITUTE(SUBSTITUTE(SUBSTITUTE(SUBSTITUTE(SUBSTITUTE(SUBSTITUTE(SUBSTITUTE(SUBSTITUTE(SUBSTITUTE(SUBSTITUTE(SUBSTITUTE(SUBSTITUTE(SUBSTITUTE(SUBSTITUTE(SUBSTITUTE(SUBSTITUTE(TRIM($D1325),"'",""),"İ","I"),"ı","I"),"i","I"),"Ş","S"),"ş","S"),"Ğ","G"),"ğ","G"),"Ü","U"),"ü","U"),"Ö","O"),"ö","O"),"Ç","C"),"ç","C"),".",""),",","")," ",""),"-","")))</f>
        <v/>
      </c>
      <c r="S1325" s="3">
        <f>IF($D1325="","",$C1325&amp;"|"&amp;TEXT($E1325,"0")&amp;"|"&amp;TEXT($F1325,"0")&amp;"|"&amp;$I1325)</f>
        <v/>
      </c>
      <c r="T1325" s="3">
        <f>IF($E1325="",0,SUMPRODUCT((AY_SONU!$O$7:$O$42="Evet")*(AY_SONU!$B$7:$B$42=DATE(YEAR($E1325),MONTH($E1325),1))))</f>
        <v/>
      </c>
    </row>
    <row r="1326">
      <c r="A1326" s="6" t="n"/>
      <c r="B1326" s="113">
        <f>IF($D1326="","","T"&amp;TEXT(ROW()-6,"00000"))</f>
        <v/>
      </c>
      <c r="C1326" s="113">
        <f>IF($D1326="","",IFERROR(INDEX(MUSTERILER!$B$7:$B$106,MATCH($R1326,MUSTERILER!$T$7:$T$106,0)),IFERROR(INDEX(MUSTERILER!$B$7:$B$106,MATCH($D1326,MUSTERILER!$B$7:$B$106,0)),IFERROR(INDEX(MUSTERILER!$B$7:$B$106,MATCH($R1326&amp;"*",MUSTERILER!$T$7:$T$106,0)),"TANIMSIZ MÜŞTERİ"))))</f>
        <v/>
      </c>
      <c r="D1326" s="109" t="n"/>
      <c r="E1326" s="220" t="n"/>
      <c r="F1326" s="221" t="n"/>
      <c r="G1326" s="108" t="n"/>
      <c r="H1326" s="108" t="n"/>
      <c r="I1326" s="109" t="n"/>
      <c r="J1326" s="109" t="n"/>
      <c r="K1326" s="109" t="n"/>
      <c r="L1326" s="226">
        <f>IF($E1326="","",DATE(YEAR($E1326),MONTH($E1326),1))</f>
        <v/>
      </c>
      <c r="M1326" s="113">
        <f>IF($D1326="","",IF($C1326="TANIMSIZ MÜŞTERİ","HATA",IF(OR($E1326="",$F1326&lt;=0,$G1326=""),"EKSİK",IF($E1326&gt;TODAY(),"İLERİ TARİH",IF(COUNTIF($S$7:$S$1506,$S1326)&gt;1,"MÜKERRER?",IF($T1326&gt;0,"KAPALI DÖNEM","UYGUN"))))))</f>
        <v/>
      </c>
      <c r="N1326" s="121">
        <f>IF($C1326="","",IF($C1326="TANIMSIZ MÜŞTERİ","—",INDEX(MUSTERILER!$C$7:$C$106,MATCH($C1326,MUSTERILER!$B$7:$B$106,0))))</f>
        <v/>
      </c>
      <c r="O1326" s="6" t="n"/>
      <c r="P1326" s="6" t="n"/>
      <c r="Q1326" s="3">
        <f>IF($D1326="","",$C1326&amp;"|"&amp;COUNTIFS($C$7:$C1326,$C1326))</f>
        <v/>
      </c>
      <c r="R1326" s="3">
        <f>IF($D1326="","",UPPER(SUBSTITUTE(SUBSTITUTE(SUBSTITUTE(SUBSTITUTE(SUBSTITUTE(SUBSTITUTE(SUBSTITUTE(SUBSTITUTE(SUBSTITUTE(SUBSTITUTE(SUBSTITUTE(SUBSTITUTE(SUBSTITUTE(SUBSTITUTE(SUBSTITUTE(SUBSTITUTE(SUBSTITUTE(SUBSTITUTE(TRIM($D1326),"'",""),"İ","I"),"ı","I"),"i","I"),"Ş","S"),"ş","S"),"Ğ","G"),"ğ","G"),"Ü","U"),"ü","U"),"Ö","O"),"ö","O"),"Ç","C"),"ç","C"),".",""),",","")," ",""),"-","")))</f>
        <v/>
      </c>
      <c r="S1326" s="3">
        <f>IF($D1326="","",$C1326&amp;"|"&amp;TEXT($E1326,"0")&amp;"|"&amp;TEXT($F1326,"0")&amp;"|"&amp;$I1326)</f>
        <v/>
      </c>
      <c r="T1326" s="3">
        <f>IF($E1326="",0,SUMPRODUCT((AY_SONU!$O$7:$O$42="Evet")*(AY_SONU!$B$7:$B$42=DATE(YEAR($E1326),MONTH($E1326),1))))</f>
        <v/>
      </c>
    </row>
    <row r="1327">
      <c r="A1327" s="6" t="n"/>
      <c r="B1327" s="113">
        <f>IF($D1327="","","T"&amp;TEXT(ROW()-6,"00000"))</f>
        <v/>
      </c>
      <c r="C1327" s="113">
        <f>IF($D1327="","",IFERROR(INDEX(MUSTERILER!$B$7:$B$106,MATCH($R1327,MUSTERILER!$T$7:$T$106,0)),IFERROR(INDEX(MUSTERILER!$B$7:$B$106,MATCH($D1327,MUSTERILER!$B$7:$B$106,0)),IFERROR(INDEX(MUSTERILER!$B$7:$B$106,MATCH($R1327&amp;"*",MUSTERILER!$T$7:$T$106,0)),"TANIMSIZ MÜŞTERİ"))))</f>
        <v/>
      </c>
      <c r="D1327" s="109" t="n"/>
      <c r="E1327" s="220" t="n"/>
      <c r="F1327" s="221" t="n"/>
      <c r="G1327" s="108" t="n"/>
      <c r="H1327" s="108" t="n"/>
      <c r="I1327" s="109" t="n"/>
      <c r="J1327" s="109" t="n"/>
      <c r="K1327" s="109" t="n"/>
      <c r="L1327" s="226">
        <f>IF($E1327="","",DATE(YEAR($E1327),MONTH($E1327),1))</f>
        <v/>
      </c>
      <c r="M1327" s="113">
        <f>IF($D1327="","",IF($C1327="TANIMSIZ MÜŞTERİ","HATA",IF(OR($E1327="",$F1327&lt;=0,$G1327=""),"EKSİK",IF($E1327&gt;TODAY(),"İLERİ TARİH",IF(COUNTIF($S$7:$S$1506,$S1327)&gt;1,"MÜKERRER?",IF($T1327&gt;0,"KAPALI DÖNEM","UYGUN"))))))</f>
        <v/>
      </c>
      <c r="N1327" s="121">
        <f>IF($C1327="","",IF($C1327="TANIMSIZ MÜŞTERİ","—",INDEX(MUSTERILER!$C$7:$C$106,MATCH($C1327,MUSTERILER!$B$7:$B$106,0))))</f>
        <v/>
      </c>
      <c r="O1327" s="6" t="n"/>
      <c r="P1327" s="6" t="n"/>
      <c r="Q1327" s="3">
        <f>IF($D1327="","",$C1327&amp;"|"&amp;COUNTIFS($C$7:$C1327,$C1327))</f>
        <v/>
      </c>
      <c r="R1327" s="3">
        <f>IF($D1327="","",UPPER(SUBSTITUTE(SUBSTITUTE(SUBSTITUTE(SUBSTITUTE(SUBSTITUTE(SUBSTITUTE(SUBSTITUTE(SUBSTITUTE(SUBSTITUTE(SUBSTITUTE(SUBSTITUTE(SUBSTITUTE(SUBSTITUTE(SUBSTITUTE(SUBSTITUTE(SUBSTITUTE(SUBSTITUTE(SUBSTITUTE(TRIM($D1327),"'",""),"İ","I"),"ı","I"),"i","I"),"Ş","S"),"ş","S"),"Ğ","G"),"ğ","G"),"Ü","U"),"ü","U"),"Ö","O"),"ö","O"),"Ç","C"),"ç","C"),".",""),",","")," ",""),"-","")))</f>
        <v/>
      </c>
      <c r="S1327" s="3">
        <f>IF($D1327="","",$C1327&amp;"|"&amp;TEXT($E1327,"0")&amp;"|"&amp;TEXT($F1327,"0")&amp;"|"&amp;$I1327)</f>
        <v/>
      </c>
      <c r="T1327" s="3">
        <f>IF($E1327="",0,SUMPRODUCT((AY_SONU!$O$7:$O$42="Evet")*(AY_SONU!$B$7:$B$42=DATE(YEAR($E1327),MONTH($E1327),1))))</f>
        <v/>
      </c>
    </row>
    <row r="1328">
      <c r="A1328" s="6" t="n"/>
      <c r="B1328" s="113">
        <f>IF($D1328="","","T"&amp;TEXT(ROW()-6,"00000"))</f>
        <v/>
      </c>
      <c r="C1328" s="113">
        <f>IF($D1328="","",IFERROR(INDEX(MUSTERILER!$B$7:$B$106,MATCH($R1328,MUSTERILER!$T$7:$T$106,0)),IFERROR(INDEX(MUSTERILER!$B$7:$B$106,MATCH($D1328,MUSTERILER!$B$7:$B$106,0)),IFERROR(INDEX(MUSTERILER!$B$7:$B$106,MATCH($R1328&amp;"*",MUSTERILER!$T$7:$T$106,0)),"TANIMSIZ MÜŞTERİ"))))</f>
        <v/>
      </c>
      <c r="D1328" s="109" t="n"/>
      <c r="E1328" s="220" t="n"/>
      <c r="F1328" s="221" t="n"/>
      <c r="G1328" s="108" t="n"/>
      <c r="H1328" s="108" t="n"/>
      <c r="I1328" s="109" t="n"/>
      <c r="J1328" s="109" t="n"/>
      <c r="K1328" s="109" t="n"/>
      <c r="L1328" s="226">
        <f>IF($E1328="","",DATE(YEAR($E1328),MONTH($E1328),1))</f>
        <v/>
      </c>
      <c r="M1328" s="113">
        <f>IF($D1328="","",IF($C1328="TANIMSIZ MÜŞTERİ","HATA",IF(OR($E1328="",$F1328&lt;=0,$G1328=""),"EKSİK",IF($E1328&gt;TODAY(),"İLERİ TARİH",IF(COUNTIF($S$7:$S$1506,$S1328)&gt;1,"MÜKERRER?",IF($T1328&gt;0,"KAPALI DÖNEM","UYGUN"))))))</f>
        <v/>
      </c>
      <c r="N1328" s="121">
        <f>IF($C1328="","",IF($C1328="TANIMSIZ MÜŞTERİ","—",INDEX(MUSTERILER!$C$7:$C$106,MATCH($C1328,MUSTERILER!$B$7:$B$106,0))))</f>
        <v/>
      </c>
      <c r="O1328" s="6" t="n"/>
      <c r="P1328" s="6" t="n"/>
      <c r="Q1328" s="3">
        <f>IF($D1328="","",$C1328&amp;"|"&amp;COUNTIFS($C$7:$C1328,$C1328))</f>
        <v/>
      </c>
      <c r="R1328" s="3">
        <f>IF($D1328="","",UPPER(SUBSTITUTE(SUBSTITUTE(SUBSTITUTE(SUBSTITUTE(SUBSTITUTE(SUBSTITUTE(SUBSTITUTE(SUBSTITUTE(SUBSTITUTE(SUBSTITUTE(SUBSTITUTE(SUBSTITUTE(SUBSTITUTE(SUBSTITUTE(SUBSTITUTE(SUBSTITUTE(SUBSTITUTE(SUBSTITUTE(TRIM($D1328),"'",""),"İ","I"),"ı","I"),"i","I"),"Ş","S"),"ş","S"),"Ğ","G"),"ğ","G"),"Ü","U"),"ü","U"),"Ö","O"),"ö","O"),"Ç","C"),"ç","C"),".",""),",","")," ",""),"-","")))</f>
        <v/>
      </c>
      <c r="S1328" s="3">
        <f>IF($D1328="","",$C1328&amp;"|"&amp;TEXT($E1328,"0")&amp;"|"&amp;TEXT($F1328,"0")&amp;"|"&amp;$I1328)</f>
        <v/>
      </c>
      <c r="T1328" s="3">
        <f>IF($E1328="",0,SUMPRODUCT((AY_SONU!$O$7:$O$42="Evet")*(AY_SONU!$B$7:$B$42=DATE(YEAR($E1328),MONTH($E1328),1))))</f>
        <v/>
      </c>
    </row>
    <row r="1329">
      <c r="A1329" s="6" t="n"/>
      <c r="B1329" s="113">
        <f>IF($D1329="","","T"&amp;TEXT(ROW()-6,"00000"))</f>
        <v/>
      </c>
      <c r="C1329" s="113">
        <f>IF($D1329="","",IFERROR(INDEX(MUSTERILER!$B$7:$B$106,MATCH($R1329,MUSTERILER!$T$7:$T$106,0)),IFERROR(INDEX(MUSTERILER!$B$7:$B$106,MATCH($D1329,MUSTERILER!$B$7:$B$106,0)),IFERROR(INDEX(MUSTERILER!$B$7:$B$106,MATCH($R1329&amp;"*",MUSTERILER!$T$7:$T$106,0)),"TANIMSIZ MÜŞTERİ"))))</f>
        <v/>
      </c>
      <c r="D1329" s="109" t="n"/>
      <c r="E1329" s="220" t="n"/>
      <c r="F1329" s="221" t="n"/>
      <c r="G1329" s="108" t="n"/>
      <c r="H1329" s="108" t="n"/>
      <c r="I1329" s="109" t="n"/>
      <c r="J1329" s="109" t="n"/>
      <c r="K1329" s="109" t="n"/>
      <c r="L1329" s="226">
        <f>IF($E1329="","",DATE(YEAR($E1329),MONTH($E1329),1))</f>
        <v/>
      </c>
      <c r="M1329" s="113">
        <f>IF($D1329="","",IF($C1329="TANIMSIZ MÜŞTERİ","HATA",IF(OR($E1329="",$F1329&lt;=0,$G1329=""),"EKSİK",IF($E1329&gt;TODAY(),"İLERİ TARİH",IF(COUNTIF($S$7:$S$1506,$S1329)&gt;1,"MÜKERRER?",IF($T1329&gt;0,"KAPALI DÖNEM","UYGUN"))))))</f>
        <v/>
      </c>
      <c r="N1329" s="121">
        <f>IF($C1329="","",IF($C1329="TANIMSIZ MÜŞTERİ","—",INDEX(MUSTERILER!$C$7:$C$106,MATCH($C1329,MUSTERILER!$B$7:$B$106,0))))</f>
        <v/>
      </c>
      <c r="O1329" s="6" t="n"/>
      <c r="P1329" s="6" t="n"/>
      <c r="Q1329" s="3">
        <f>IF($D1329="","",$C1329&amp;"|"&amp;COUNTIFS($C$7:$C1329,$C1329))</f>
        <v/>
      </c>
      <c r="R1329" s="3">
        <f>IF($D1329="","",UPPER(SUBSTITUTE(SUBSTITUTE(SUBSTITUTE(SUBSTITUTE(SUBSTITUTE(SUBSTITUTE(SUBSTITUTE(SUBSTITUTE(SUBSTITUTE(SUBSTITUTE(SUBSTITUTE(SUBSTITUTE(SUBSTITUTE(SUBSTITUTE(SUBSTITUTE(SUBSTITUTE(SUBSTITUTE(SUBSTITUTE(TRIM($D1329),"'",""),"İ","I"),"ı","I"),"i","I"),"Ş","S"),"ş","S"),"Ğ","G"),"ğ","G"),"Ü","U"),"ü","U"),"Ö","O"),"ö","O"),"Ç","C"),"ç","C"),".",""),",","")," ",""),"-","")))</f>
        <v/>
      </c>
      <c r="S1329" s="3">
        <f>IF($D1329="","",$C1329&amp;"|"&amp;TEXT($E1329,"0")&amp;"|"&amp;TEXT($F1329,"0")&amp;"|"&amp;$I1329)</f>
        <v/>
      </c>
      <c r="T1329" s="3">
        <f>IF($E1329="",0,SUMPRODUCT((AY_SONU!$O$7:$O$42="Evet")*(AY_SONU!$B$7:$B$42=DATE(YEAR($E1329),MONTH($E1329),1))))</f>
        <v/>
      </c>
    </row>
    <row r="1330">
      <c r="A1330" s="6" t="n"/>
      <c r="B1330" s="113">
        <f>IF($D1330="","","T"&amp;TEXT(ROW()-6,"00000"))</f>
        <v/>
      </c>
      <c r="C1330" s="113">
        <f>IF($D1330="","",IFERROR(INDEX(MUSTERILER!$B$7:$B$106,MATCH($R1330,MUSTERILER!$T$7:$T$106,0)),IFERROR(INDEX(MUSTERILER!$B$7:$B$106,MATCH($D1330,MUSTERILER!$B$7:$B$106,0)),IFERROR(INDEX(MUSTERILER!$B$7:$B$106,MATCH($R1330&amp;"*",MUSTERILER!$T$7:$T$106,0)),"TANIMSIZ MÜŞTERİ"))))</f>
        <v/>
      </c>
      <c r="D1330" s="109" t="n"/>
      <c r="E1330" s="220" t="n"/>
      <c r="F1330" s="221" t="n"/>
      <c r="G1330" s="108" t="n"/>
      <c r="H1330" s="108" t="n"/>
      <c r="I1330" s="109" t="n"/>
      <c r="J1330" s="109" t="n"/>
      <c r="K1330" s="109" t="n"/>
      <c r="L1330" s="226">
        <f>IF($E1330="","",DATE(YEAR($E1330),MONTH($E1330),1))</f>
        <v/>
      </c>
      <c r="M1330" s="113">
        <f>IF($D1330="","",IF($C1330="TANIMSIZ MÜŞTERİ","HATA",IF(OR($E1330="",$F1330&lt;=0,$G1330=""),"EKSİK",IF($E1330&gt;TODAY(),"İLERİ TARİH",IF(COUNTIF($S$7:$S$1506,$S1330)&gt;1,"MÜKERRER?",IF($T1330&gt;0,"KAPALI DÖNEM","UYGUN"))))))</f>
        <v/>
      </c>
      <c r="N1330" s="121">
        <f>IF($C1330="","",IF($C1330="TANIMSIZ MÜŞTERİ","—",INDEX(MUSTERILER!$C$7:$C$106,MATCH($C1330,MUSTERILER!$B$7:$B$106,0))))</f>
        <v/>
      </c>
      <c r="O1330" s="6" t="n"/>
      <c r="P1330" s="6" t="n"/>
      <c r="Q1330" s="3">
        <f>IF($D1330="","",$C1330&amp;"|"&amp;COUNTIFS($C$7:$C1330,$C1330))</f>
        <v/>
      </c>
      <c r="R1330" s="3">
        <f>IF($D1330="","",UPPER(SUBSTITUTE(SUBSTITUTE(SUBSTITUTE(SUBSTITUTE(SUBSTITUTE(SUBSTITUTE(SUBSTITUTE(SUBSTITUTE(SUBSTITUTE(SUBSTITUTE(SUBSTITUTE(SUBSTITUTE(SUBSTITUTE(SUBSTITUTE(SUBSTITUTE(SUBSTITUTE(SUBSTITUTE(SUBSTITUTE(TRIM($D1330),"'",""),"İ","I"),"ı","I"),"i","I"),"Ş","S"),"ş","S"),"Ğ","G"),"ğ","G"),"Ü","U"),"ü","U"),"Ö","O"),"ö","O"),"Ç","C"),"ç","C"),".",""),",","")," ",""),"-","")))</f>
        <v/>
      </c>
      <c r="S1330" s="3">
        <f>IF($D1330="","",$C1330&amp;"|"&amp;TEXT($E1330,"0")&amp;"|"&amp;TEXT($F1330,"0")&amp;"|"&amp;$I1330)</f>
        <v/>
      </c>
      <c r="T1330" s="3">
        <f>IF($E1330="",0,SUMPRODUCT((AY_SONU!$O$7:$O$42="Evet")*(AY_SONU!$B$7:$B$42=DATE(YEAR($E1330),MONTH($E1330),1))))</f>
        <v/>
      </c>
    </row>
    <row r="1331">
      <c r="A1331" s="6" t="n"/>
      <c r="B1331" s="113">
        <f>IF($D1331="","","T"&amp;TEXT(ROW()-6,"00000"))</f>
        <v/>
      </c>
      <c r="C1331" s="113">
        <f>IF($D1331="","",IFERROR(INDEX(MUSTERILER!$B$7:$B$106,MATCH($R1331,MUSTERILER!$T$7:$T$106,0)),IFERROR(INDEX(MUSTERILER!$B$7:$B$106,MATCH($D1331,MUSTERILER!$B$7:$B$106,0)),IFERROR(INDEX(MUSTERILER!$B$7:$B$106,MATCH($R1331&amp;"*",MUSTERILER!$T$7:$T$106,0)),"TANIMSIZ MÜŞTERİ"))))</f>
        <v/>
      </c>
      <c r="D1331" s="109" t="n"/>
      <c r="E1331" s="220" t="n"/>
      <c r="F1331" s="221" t="n"/>
      <c r="G1331" s="108" t="n"/>
      <c r="H1331" s="108" t="n"/>
      <c r="I1331" s="109" t="n"/>
      <c r="J1331" s="109" t="n"/>
      <c r="K1331" s="109" t="n"/>
      <c r="L1331" s="226">
        <f>IF($E1331="","",DATE(YEAR($E1331),MONTH($E1331),1))</f>
        <v/>
      </c>
      <c r="M1331" s="113">
        <f>IF($D1331="","",IF($C1331="TANIMSIZ MÜŞTERİ","HATA",IF(OR($E1331="",$F1331&lt;=0,$G1331=""),"EKSİK",IF($E1331&gt;TODAY(),"İLERİ TARİH",IF(COUNTIF($S$7:$S$1506,$S1331)&gt;1,"MÜKERRER?",IF($T1331&gt;0,"KAPALI DÖNEM","UYGUN"))))))</f>
        <v/>
      </c>
      <c r="N1331" s="121">
        <f>IF($C1331="","",IF($C1331="TANIMSIZ MÜŞTERİ","—",INDEX(MUSTERILER!$C$7:$C$106,MATCH($C1331,MUSTERILER!$B$7:$B$106,0))))</f>
        <v/>
      </c>
      <c r="O1331" s="6" t="n"/>
      <c r="P1331" s="6" t="n"/>
      <c r="Q1331" s="3">
        <f>IF($D1331="","",$C1331&amp;"|"&amp;COUNTIFS($C$7:$C1331,$C1331))</f>
        <v/>
      </c>
      <c r="R1331" s="3">
        <f>IF($D1331="","",UPPER(SUBSTITUTE(SUBSTITUTE(SUBSTITUTE(SUBSTITUTE(SUBSTITUTE(SUBSTITUTE(SUBSTITUTE(SUBSTITUTE(SUBSTITUTE(SUBSTITUTE(SUBSTITUTE(SUBSTITUTE(SUBSTITUTE(SUBSTITUTE(SUBSTITUTE(SUBSTITUTE(SUBSTITUTE(SUBSTITUTE(TRIM($D1331),"'",""),"İ","I"),"ı","I"),"i","I"),"Ş","S"),"ş","S"),"Ğ","G"),"ğ","G"),"Ü","U"),"ü","U"),"Ö","O"),"ö","O"),"Ç","C"),"ç","C"),".",""),",","")," ",""),"-","")))</f>
        <v/>
      </c>
      <c r="S1331" s="3">
        <f>IF($D1331="","",$C1331&amp;"|"&amp;TEXT($E1331,"0")&amp;"|"&amp;TEXT($F1331,"0")&amp;"|"&amp;$I1331)</f>
        <v/>
      </c>
      <c r="T1331" s="3">
        <f>IF($E1331="",0,SUMPRODUCT((AY_SONU!$O$7:$O$42="Evet")*(AY_SONU!$B$7:$B$42=DATE(YEAR($E1331),MONTH($E1331),1))))</f>
        <v/>
      </c>
    </row>
    <row r="1332">
      <c r="A1332" s="6" t="n"/>
      <c r="B1332" s="113">
        <f>IF($D1332="","","T"&amp;TEXT(ROW()-6,"00000"))</f>
        <v/>
      </c>
      <c r="C1332" s="113">
        <f>IF($D1332="","",IFERROR(INDEX(MUSTERILER!$B$7:$B$106,MATCH($R1332,MUSTERILER!$T$7:$T$106,0)),IFERROR(INDEX(MUSTERILER!$B$7:$B$106,MATCH($D1332,MUSTERILER!$B$7:$B$106,0)),IFERROR(INDEX(MUSTERILER!$B$7:$B$106,MATCH($R1332&amp;"*",MUSTERILER!$T$7:$T$106,0)),"TANIMSIZ MÜŞTERİ"))))</f>
        <v/>
      </c>
      <c r="D1332" s="109" t="n"/>
      <c r="E1332" s="220" t="n"/>
      <c r="F1332" s="221" t="n"/>
      <c r="G1332" s="108" t="n"/>
      <c r="H1332" s="108" t="n"/>
      <c r="I1332" s="109" t="n"/>
      <c r="J1332" s="109" t="n"/>
      <c r="K1332" s="109" t="n"/>
      <c r="L1332" s="226">
        <f>IF($E1332="","",DATE(YEAR($E1332),MONTH($E1332),1))</f>
        <v/>
      </c>
      <c r="M1332" s="113">
        <f>IF($D1332="","",IF($C1332="TANIMSIZ MÜŞTERİ","HATA",IF(OR($E1332="",$F1332&lt;=0,$G1332=""),"EKSİK",IF($E1332&gt;TODAY(),"İLERİ TARİH",IF(COUNTIF($S$7:$S$1506,$S1332)&gt;1,"MÜKERRER?",IF($T1332&gt;0,"KAPALI DÖNEM","UYGUN"))))))</f>
        <v/>
      </c>
      <c r="N1332" s="121">
        <f>IF($C1332="","",IF($C1332="TANIMSIZ MÜŞTERİ","—",INDEX(MUSTERILER!$C$7:$C$106,MATCH($C1332,MUSTERILER!$B$7:$B$106,0))))</f>
        <v/>
      </c>
      <c r="O1332" s="6" t="n"/>
      <c r="P1332" s="6" t="n"/>
      <c r="Q1332" s="3">
        <f>IF($D1332="","",$C1332&amp;"|"&amp;COUNTIFS($C$7:$C1332,$C1332))</f>
        <v/>
      </c>
      <c r="R1332" s="3">
        <f>IF($D1332="","",UPPER(SUBSTITUTE(SUBSTITUTE(SUBSTITUTE(SUBSTITUTE(SUBSTITUTE(SUBSTITUTE(SUBSTITUTE(SUBSTITUTE(SUBSTITUTE(SUBSTITUTE(SUBSTITUTE(SUBSTITUTE(SUBSTITUTE(SUBSTITUTE(SUBSTITUTE(SUBSTITUTE(SUBSTITUTE(SUBSTITUTE(TRIM($D1332),"'",""),"İ","I"),"ı","I"),"i","I"),"Ş","S"),"ş","S"),"Ğ","G"),"ğ","G"),"Ü","U"),"ü","U"),"Ö","O"),"ö","O"),"Ç","C"),"ç","C"),".",""),",","")," ",""),"-","")))</f>
        <v/>
      </c>
      <c r="S1332" s="3">
        <f>IF($D1332="","",$C1332&amp;"|"&amp;TEXT($E1332,"0")&amp;"|"&amp;TEXT($F1332,"0")&amp;"|"&amp;$I1332)</f>
        <v/>
      </c>
      <c r="T1332" s="3">
        <f>IF($E1332="",0,SUMPRODUCT((AY_SONU!$O$7:$O$42="Evet")*(AY_SONU!$B$7:$B$42=DATE(YEAR($E1332),MONTH($E1332),1))))</f>
        <v/>
      </c>
    </row>
    <row r="1333">
      <c r="A1333" s="6" t="n"/>
      <c r="B1333" s="113">
        <f>IF($D1333="","","T"&amp;TEXT(ROW()-6,"00000"))</f>
        <v/>
      </c>
      <c r="C1333" s="113">
        <f>IF($D1333="","",IFERROR(INDEX(MUSTERILER!$B$7:$B$106,MATCH($R1333,MUSTERILER!$T$7:$T$106,0)),IFERROR(INDEX(MUSTERILER!$B$7:$B$106,MATCH($D1333,MUSTERILER!$B$7:$B$106,0)),IFERROR(INDEX(MUSTERILER!$B$7:$B$106,MATCH($R1333&amp;"*",MUSTERILER!$T$7:$T$106,0)),"TANIMSIZ MÜŞTERİ"))))</f>
        <v/>
      </c>
      <c r="D1333" s="109" t="n"/>
      <c r="E1333" s="220" t="n"/>
      <c r="F1333" s="221" t="n"/>
      <c r="G1333" s="108" t="n"/>
      <c r="H1333" s="108" t="n"/>
      <c r="I1333" s="109" t="n"/>
      <c r="J1333" s="109" t="n"/>
      <c r="K1333" s="109" t="n"/>
      <c r="L1333" s="226">
        <f>IF($E1333="","",DATE(YEAR($E1333),MONTH($E1333),1))</f>
        <v/>
      </c>
      <c r="M1333" s="113">
        <f>IF($D1333="","",IF($C1333="TANIMSIZ MÜŞTERİ","HATA",IF(OR($E1333="",$F1333&lt;=0,$G1333=""),"EKSİK",IF($E1333&gt;TODAY(),"İLERİ TARİH",IF(COUNTIF($S$7:$S$1506,$S1333)&gt;1,"MÜKERRER?",IF($T1333&gt;0,"KAPALI DÖNEM","UYGUN"))))))</f>
        <v/>
      </c>
      <c r="N1333" s="121">
        <f>IF($C1333="","",IF($C1333="TANIMSIZ MÜŞTERİ","—",INDEX(MUSTERILER!$C$7:$C$106,MATCH($C1333,MUSTERILER!$B$7:$B$106,0))))</f>
        <v/>
      </c>
      <c r="O1333" s="6" t="n"/>
      <c r="P1333" s="6" t="n"/>
      <c r="Q1333" s="3">
        <f>IF($D1333="","",$C1333&amp;"|"&amp;COUNTIFS($C$7:$C1333,$C1333))</f>
        <v/>
      </c>
      <c r="R1333" s="3">
        <f>IF($D1333="","",UPPER(SUBSTITUTE(SUBSTITUTE(SUBSTITUTE(SUBSTITUTE(SUBSTITUTE(SUBSTITUTE(SUBSTITUTE(SUBSTITUTE(SUBSTITUTE(SUBSTITUTE(SUBSTITUTE(SUBSTITUTE(SUBSTITUTE(SUBSTITUTE(SUBSTITUTE(SUBSTITUTE(SUBSTITUTE(SUBSTITUTE(TRIM($D1333),"'",""),"İ","I"),"ı","I"),"i","I"),"Ş","S"),"ş","S"),"Ğ","G"),"ğ","G"),"Ü","U"),"ü","U"),"Ö","O"),"ö","O"),"Ç","C"),"ç","C"),".",""),",","")," ",""),"-","")))</f>
        <v/>
      </c>
      <c r="S1333" s="3">
        <f>IF($D1333="","",$C1333&amp;"|"&amp;TEXT($E1333,"0")&amp;"|"&amp;TEXT($F1333,"0")&amp;"|"&amp;$I1333)</f>
        <v/>
      </c>
      <c r="T1333" s="3">
        <f>IF($E1333="",0,SUMPRODUCT((AY_SONU!$O$7:$O$42="Evet")*(AY_SONU!$B$7:$B$42=DATE(YEAR($E1333),MONTH($E1333),1))))</f>
        <v/>
      </c>
    </row>
    <row r="1334">
      <c r="A1334" s="6" t="n"/>
      <c r="B1334" s="113">
        <f>IF($D1334="","","T"&amp;TEXT(ROW()-6,"00000"))</f>
        <v/>
      </c>
      <c r="C1334" s="113">
        <f>IF($D1334="","",IFERROR(INDEX(MUSTERILER!$B$7:$B$106,MATCH($R1334,MUSTERILER!$T$7:$T$106,0)),IFERROR(INDEX(MUSTERILER!$B$7:$B$106,MATCH($D1334,MUSTERILER!$B$7:$B$106,0)),IFERROR(INDEX(MUSTERILER!$B$7:$B$106,MATCH($R1334&amp;"*",MUSTERILER!$T$7:$T$106,0)),"TANIMSIZ MÜŞTERİ"))))</f>
        <v/>
      </c>
      <c r="D1334" s="109" t="n"/>
      <c r="E1334" s="220" t="n"/>
      <c r="F1334" s="221" t="n"/>
      <c r="G1334" s="108" t="n"/>
      <c r="H1334" s="108" t="n"/>
      <c r="I1334" s="109" t="n"/>
      <c r="J1334" s="109" t="n"/>
      <c r="K1334" s="109" t="n"/>
      <c r="L1334" s="226">
        <f>IF($E1334="","",DATE(YEAR($E1334),MONTH($E1334),1))</f>
        <v/>
      </c>
      <c r="M1334" s="113">
        <f>IF($D1334="","",IF($C1334="TANIMSIZ MÜŞTERİ","HATA",IF(OR($E1334="",$F1334&lt;=0,$G1334=""),"EKSİK",IF($E1334&gt;TODAY(),"İLERİ TARİH",IF(COUNTIF($S$7:$S$1506,$S1334)&gt;1,"MÜKERRER?",IF($T1334&gt;0,"KAPALI DÖNEM","UYGUN"))))))</f>
        <v/>
      </c>
      <c r="N1334" s="121">
        <f>IF($C1334="","",IF($C1334="TANIMSIZ MÜŞTERİ","—",INDEX(MUSTERILER!$C$7:$C$106,MATCH($C1334,MUSTERILER!$B$7:$B$106,0))))</f>
        <v/>
      </c>
      <c r="O1334" s="6" t="n"/>
      <c r="P1334" s="6" t="n"/>
      <c r="Q1334" s="3">
        <f>IF($D1334="","",$C1334&amp;"|"&amp;COUNTIFS($C$7:$C1334,$C1334))</f>
        <v/>
      </c>
      <c r="R1334" s="3">
        <f>IF($D1334="","",UPPER(SUBSTITUTE(SUBSTITUTE(SUBSTITUTE(SUBSTITUTE(SUBSTITUTE(SUBSTITUTE(SUBSTITUTE(SUBSTITUTE(SUBSTITUTE(SUBSTITUTE(SUBSTITUTE(SUBSTITUTE(SUBSTITUTE(SUBSTITUTE(SUBSTITUTE(SUBSTITUTE(SUBSTITUTE(SUBSTITUTE(TRIM($D1334),"'",""),"İ","I"),"ı","I"),"i","I"),"Ş","S"),"ş","S"),"Ğ","G"),"ğ","G"),"Ü","U"),"ü","U"),"Ö","O"),"ö","O"),"Ç","C"),"ç","C"),".",""),",","")," ",""),"-","")))</f>
        <v/>
      </c>
      <c r="S1334" s="3">
        <f>IF($D1334="","",$C1334&amp;"|"&amp;TEXT($E1334,"0")&amp;"|"&amp;TEXT($F1334,"0")&amp;"|"&amp;$I1334)</f>
        <v/>
      </c>
      <c r="T1334" s="3">
        <f>IF($E1334="",0,SUMPRODUCT((AY_SONU!$O$7:$O$42="Evet")*(AY_SONU!$B$7:$B$42=DATE(YEAR($E1334),MONTH($E1334),1))))</f>
        <v/>
      </c>
    </row>
    <row r="1335">
      <c r="A1335" s="6" t="n"/>
      <c r="B1335" s="113">
        <f>IF($D1335="","","T"&amp;TEXT(ROW()-6,"00000"))</f>
        <v/>
      </c>
      <c r="C1335" s="113">
        <f>IF($D1335="","",IFERROR(INDEX(MUSTERILER!$B$7:$B$106,MATCH($R1335,MUSTERILER!$T$7:$T$106,0)),IFERROR(INDEX(MUSTERILER!$B$7:$B$106,MATCH($D1335,MUSTERILER!$B$7:$B$106,0)),IFERROR(INDEX(MUSTERILER!$B$7:$B$106,MATCH($R1335&amp;"*",MUSTERILER!$T$7:$T$106,0)),"TANIMSIZ MÜŞTERİ"))))</f>
        <v/>
      </c>
      <c r="D1335" s="109" t="n"/>
      <c r="E1335" s="220" t="n"/>
      <c r="F1335" s="221" t="n"/>
      <c r="G1335" s="108" t="n"/>
      <c r="H1335" s="108" t="n"/>
      <c r="I1335" s="109" t="n"/>
      <c r="J1335" s="109" t="n"/>
      <c r="K1335" s="109" t="n"/>
      <c r="L1335" s="226">
        <f>IF($E1335="","",DATE(YEAR($E1335),MONTH($E1335),1))</f>
        <v/>
      </c>
      <c r="M1335" s="113">
        <f>IF($D1335="","",IF($C1335="TANIMSIZ MÜŞTERİ","HATA",IF(OR($E1335="",$F1335&lt;=0,$G1335=""),"EKSİK",IF($E1335&gt;TODAY(),"İLERİ TARİH",IF(COUNTIF($S$7:$S$1506,$S1335)&gt;1,"MÜKERRER?",IF($T1335&gt;0,"KAPALI DÖNEM","UYGUN"))))))</f>
        <v/>
      </c>
      <c r="N1335" s="121">
        <f>IF($C1335="","",IF($C1335="TANIMSIZ MÜŞTERİ","—",INDEX(MUSTERILER!$C$7:$C$106,MATCH($C1335,MUSTERILER!$B$7:$B$106,0))))</f>
        <v/>
      </c>
      <c r="O1335" s="6" t="n"/>
      <c r="P1335" s="6" t="n"/>
      <c r="Q1335" s="3">
        <f>IF($D1335="","",$C1335&amp;"|"&amp;COUNTIFS($C$7:$C1335,$C1335))</f>
        <v/>
      </c>
      <c r="R1335" s="3">
        <f>IF($D1335="","",UPPER(SUBSTITUTE(SUBSTITUTE(SUBSTITUTE(SUBSTITUTE(SUBSTITUTE(SUBSTITUTE(SUBSTITUTE(SUBSTITUTE(SUBSTITUTE(SUBSTITUTE(SUBSTITUTE(SUBSTITUTE(SUBSTITUTE(SUBSTITUTE(SUBSTITUTE(SUBSTITUTE(SUBSTITUTE(SUBSTITUTE(TRIM($D1335),"'",""),"İ","I"),"ı","I"),"i","I"),"Ş","S"),"ş","S"),"Ğ","G"),"ğ","G"),"Ü","U"),"ü","U"),"Ö","O"),"ö","O"),"Ç","C"),"ç","C"),".",""),",","")," ",""),"-","")))</f>
        <v/>
      </c>
      <c r="S1335" s="3">
        <f>IF($D1335="","",$C1335&amp;"|"&amp;TEXT($E1335,"0")&amp;"|"&amp;TEXT($F1335,"0")&amp;"|"&amp;$I1335)</f>
        <v/>
      </c>
      <c r="T1335" s="3">
        <f>IF($E1335="",0,SUMPRODUCT((AY_SONU!$O$7:$O$42="Evet")*(AY_SONU!$B$7:$B$42=DATE(YEAR($E1335),MONTH($E1335),1))))</f>
        <v/>
      </c>
    </row>
    <row r="1336">
      <c r="A1336" s="6" t="n"/>
      <c r="B1336" s="113">
        <f>IF($D1336="","","T"&amp;TEXT(ROW()-6,"00000"))</f>
        <v/>
      </c>
      <c r="C1336" s="113">
        <f>IF($D1336="","",IFERROR(INDEX(MUSTERILER!$B$7:$B$106,MATCH($R1336,MUSTERILER!$T$7:$T$106,0)),IFERROR(INDEX(MUSTERILER!$B$7:$B$106,MATCH($D1336,MUSTERILER!$B$7:$B$106,0)),IFERROR(INDEX(MUSTERILER!$B$7:$B$106,MATCH($R1336&amp;"*",MUSTERILER!$T$7:$T$106,0)),"TANIMSIZ MÜŞTERİ"))))</f>
        <v/>
      </c>
      <c r="D1336" s="109" t="n"/>
      <c r="E1336" s="220" t="n"/>
      <c r="F1336" s="221" t="n"/>
      <c r="G1336" s="108" t="n"/>
      <c r="H1336" s="108" t="n"/>
      <c r="I1336" s="109" t="n"/>
      <c r="J1336" s="109" t="n"/>
      <c r="K1336" s="109" t="n"/>
      <c r="L1336" s="226">
        <f>IF($E1336="","",DATE(YEAR($E1336),MONTH($E1336),1))</f>
        <v/>
      </c>
      <c r="M1336" s="113">
        <f>IF($D1336="","",IF($C1336="TANIMSIZ MÜŞTERİ","HATA",IF(OR($E1336="",$F1336&lt;=0,$G1336=""),"EKSİK",IF($E1336&gt;TODAY(),"İLERİ TARİH",IF(COUNTIF($S$7:$S$1506,$S1336)&gt;1,"MÜKERRER?",IF($T1336&gt;0,"KAPALI DÖNEM","UYGUN"))))))</f>
        <v/>
      </c>
      <c r="N1336" s="121">
        <f>IF($C1336="","",IF($C1336="TANIMSIZ MÜŞTERİ","—",INDEX(MUSTERILER!$C$7:$C$106,MATCH($C1336,MUSTERILER!$B$7:$B$106,0))))</f>
        <v/>
      </c>
      <c r="O1336" s="6" t="n"/>
      <c r="P1336" s="6" t="n"/>
      <c r="Q1336" s="3">
        <f>IF($D1336="","",$C1336&amp;"|"&amp;COUNTIFS($C$7:$C1336,$C1336))</f>
        <v/>
      </c>
      <c r="R1336" s="3">
        <f>IF($D1336="","",UPPER(SUBSTITUTE(SUBSTITUTE(SUBSTITUTE(SUBSTITUTE(SUBSTITUTE(SUBSTITUTE(SUBSTITUTE(SUBSTITUTE(SUBSTITUTE(SUBSTITUTE(SUBSTITUTE(SUBSTITUTE(SUBSTITUTE(SUBSTITUTE(SUBSTITUTE(SUBSTITUTE(SUBSTITUTE(SUBSTITUTE(TRIM($D1336),"'",""),"İ","I"),"ı","I"),"i","I"),"Ş","S"),"ş","S"),"Ğ","G"),"ğ","G"),"Ü","U"),"ü","U"),"Ö","O"),"ö","O"),"Ç","C"),"ç","C"),".",""),",","")," ",""),"-","")))</f>
        <v/>
      </c>
      <c r="S1336" s="3">
        <f>IF($D1336="","",$C1336&amp;"|"&amp;TEXT($E1336,"0")&amp;"|"&amp;TEXT($F1336,"0")&amp;"|"&amp;$I1336)</f>
        <v/>
      </c>
      <c r="T1336" s="3">
        <f>IF($E1336="",0,SUMPRODUCT((AY_SONU!$O$7:$O$42="Evet")*(AY_SONU!$B$7:$B$42=DATE(YEAR($E1336),MONTH($E1336),1))))</f>
        <v/>
      </c>
    </row>
    <row r="1337">
      <c r="A1337" s="6" t="n"/>
      <c r="B1337" s="113">
        <f>IF($D1337="","","T"&amp;TEXT(ROW()-6,"00000"))</f>
        <v/>
      </c>
      <c r="C1337" s="113">
        <f>IF($D1337="","",IFERROR(INDEX(MUSTERILER!$B$7:$B$106,MATCH($R1337,MUSTERILER!$T$7:$T$106,0)),IFERROR(INDEX(MUSTERILER!$B$7:$B$106,MATCH($D1337,MUSTERILER!$B$7:$B$106,0)),IFERROR(INDEX(MUSTERILER!$B$7:$B$106,MATCH($R1337&amp;"*",MUSTERILER!$T$7:$T$106,0)),"TANIMSIZ MÜŞTERİ"))))</f>
        <v/>
      </c>
      <c r="D1337" s="109" t="n"/>
      <c r="E1337" s="220" t="n"/>
      <c r="F1337" s="221" t="n"/>
      <c r="G1337" s="108" t="n"/>
      <c r="H1337" s="108" t="n"/>
      <c r="I1337" s="109" t="n"/>
      <c r="J1337" s="109" t="n"/>
      <c r="K1337" s="109" t="n"/>
      <c r="L1337" s="226">
        <f>IF($E1337="","",DATE(YEAR($E1337),MONTH($E1337),1))</f>
        <v/>
      </c>
      <c r="M1337" s="113">
        <f>IF($D1337="","",IF($C1337="TANIMSIZ MÜŞTERİ","HATA",IF(OR($E1337="",$F1337&lt;=0,$G1337=""),"EKSİK",IF($E1337&gt;TODAY(),"İLERİ TARİH",IF(COUNTIF($S$7:$S$1506,$S1337)&gt;1,"MÜKERRER?",IF($T1337&gt;0,"KAPALI DÖNEM","UYGUN"))))))</f>
        <v/>
      </c>
      <c r="N1337" s="121">
        <f>IF($C1337="","",IF($C1337="TANIMSIZ MÜŞTERİ","—",INDEX(MUSTERILER!$C$7:$C$106,MATCH($C1337,MUSTERILER!$B$7:$B$106,0))))</f>
        <v/>
      </c>
      <c r="O1337" s="6" t="n"/>
      <c r="P1337" s="6" t="n"/>
      <c r="Q1337" s="3">
        <f>IF($D1337="","",$C1337&amp;"|"&amp;COUNTIFS($C$7:$C1337,$C1337))</f>
        <v/>
      </c>
      <c r="R1337" s="3">
        <f>IF($D1337="","",UPPER(SUBSTITUTE(SUBSTITUTE(SUBSTITUTE(SUBSTITUTE(SUBSTITUTE(SUBSTITUTE(SUBSTITUTE(SUBSTITUTE(SUBSTITUTE(SUBSTITUTE(SUBSTITUTE(SUBSTITUTE(SUBSTITUTE(SUBSTITUTE(SUBSTITUTE(SUBSTITUTE(SUBSTITUTE(SUBSTITUTE(TRIM($D1337),"'",""),"İ","I"),"ı","I"),"i","I"),"Ş","S"),"ş","S"),"Ğ","G"),"ğ","G"),"Ü","U"),"ü","U"),"Ö","O"),"ö","O"),"Ç","C"),"ç","C"),".",""),",","")," ",""),"-","")))</f>
        <v/>
      </c>
      <c r="S1337" s="3">
        <f>IF($D1337="","",$C1337&amp;"|"&amp;TEXT($E1337,"0")&amp;"|"&amp;TEXT($F1337,"0")&amp;"|"&amp;$I1337)</f>
        <v/>
      </c>
      <c r="T1337" s="3">
        <f>IF($E1337="",0,SUMPRODUCT((AY_SONU!$O$7:$O$42="Evet")*(AY_SONU!$B$7:$B$42=DATE(YEAR($E1337),MONTH($E1337),1))))</f>
        <v/>
      </c>
    </row>
    <row r="1338">
      <c r="A1338" s="6" t="n"/>
      <c r="B1338" s="113">
        <f>IF($D1338="","","T"&amp;TEXT(ROW()-6,"00000"))</f>
        <v/>
      </c>
      <c r="C1338" s="113">
        <f>IF($D1338="","",IFERROR(INDEX(MUSTERILER!$B$7:$B$106,MATCH($R1338,MUSTERILER!$T$7:$T$106,0)),IFERROR(INDEX(MUSTERILER!$B$7:$B$106,MATCH($D1338,MUSTERILER!$B$7:$B$106,0)),IFERROR(INDEX(MUSTERILER!$B$7:$B$106,MATCH($R1338&amp;"*",MUSTERILER!$T$7:$T$106,0)),"TANIMSIZ MÜŞTERİ"))))</f>
        <v/>
      </c>
      <c r="D1338" s="109" t="n"/>
      <c r="E1338" s="220" t="n"/>
      <c r="F1338" s="221" t="n"/>
      <c r="G1338" s="108" t="n"/>
      <c r="H1338" s="108" t="n"/>
      <c r="I1338" s="109" t="n"/>
      <c r="J1338" s="109" t="n"/>
      <c r="K1338" s="109" t="n"/>
      <c r="L1338" s="226">
        <f>IF($E1338="","",DATE(YEAR($E1338),MONTH($E1338),1))</f>
        <v/>
      </c>
      <c r="M1338" s="113">
        <f>IF($D1338="","",IF($C1338="TANIMSIZ MÜŞTERİ","HATA",IF(OR($E1338="",$F1338&lt;=0,$G1338=""),"EKSİK",IF($E1338&gt;TODAY(),"İLERİ TARİH",IF(COUNTIF($S$7:$S$1506,$S1338)&gt;1,"MÜKERRER?",IF($T1338&gt;0,"KAPALI DÖNEM","UYGUN"))))))</f>
        <v/>
      </c>
      <c r="N1338" s="121">
        <f>IF($C1338="","",IF($C1338="TANIMSIZ MÜŞTERİ","—",INDEX(MUSTERILER!$C$7:$C$106,MATCH($C1338,MUSTERILER!$B$7:$B$106,0))))</f>
        <v/>
      </c>
      <c r="O1338" s="6" t="n"/>
      <c r="P1338" s="6" t="n"/>
      <c r="Q1338" s="3">
        <f>IF($D1338="","",$C1338&amp;"|"&amp;COUNTIFS($C$7:$C1338,$C1338))</f>
        <v/>
      </c>
      <c r="R1338" s="3">
        <f>IF($D1338="","",UPPER(SUBSTITUTE(SUBSTITUTE(SUBSTITUTE(SUBSTITUTE(SUBSTITUTE(SUBSTITUTE(SUBSTITUTE(SUBSTITUTE(SUBSTITUTE(SUBSTITUTE(SUBSTITUTE(SUBSTITUTE(SUBSTITUTE(SUBSTITUTE(SUBSTITUTE(SUBSTITUTE(SUBSTITUTE(SUBSTITUTE(TRIM($D1338),"'",""),"İ","I"),"ı","I"),"i","I"),"Ş","S"),"ş","S"),"Ğ","G"),"ğ","G"),"Ü","U"),"ü","U"),"Ö","O"),"ö","O"),"Ç","C"),"ç","C"),".",""),",","")," ",""),"-","")))</f>
        <v/>
      </c>
      <c r="S1338" s="3">
        <f>IF($D1338="","",$C1338&amp;"|"&amp;TEXT($E1338,"0")&amp;"|"&amp;TEXT($F1338,"0")&amp;"|"&amp;$I1338)</f>
        <v/>
      </c>
      <c r="T1338" s="3">
        <f>IF($E1338="",0,SUMPRODUCT((AY_SONU!$O$7:$O$42="Evet")*(AY_SONU!$B$7:$B$42=DATE(YEAR($E1338),MONTH($E1338),1))))</f>
        <v/>
      </c>
    </row>
    <row r="1339">
      <c r="A1339" s="6" t="n"/>
      <c r="B1339" s="113">
        <f>IF($D1339="","","T"&amp;TEXT(ROW()-6,"00000"))</f>
        <v/>
      </c>
      <c r="C1339" s="113">
        <f>IF($D1339="","",IFERROR(INDEX(MUSTERILER!$B$7:$B$106,MATCH($R1339,MUSTERILER!$T$7:$T$106,0)),IFERROR(INDEX(MUSTERILER!$B$7:$B$106,MATCH($D1339,MUSTERILER!$B$7:$B$106,0)),IFERROR(INDEX(MUSTERILER!$B$7:$B$106,MATCH($R1339&amp;"*",MUSTERILER!$T$7:$T$106,0)),"TANIMSIZ MÜŞTERİ"))))</f>
        <v/>
      </c>
      <c r="D1339" s="109" t="n"/>
      <c r="E1339" s="220" t="n"/>
      <c r="F1339" s="221" t="n"/>
      <c r="G1339" s="108" t="n"/>
      <c r="H1339" s="108" t="n"/>
      <c r="I1339" s="109" t="n"/>
      <c r="J1339" s="109" t="n"/>
      <c r="K1339" s="109" t="n"/>
      <c r="L1339" s="226">
        <f>IF($E1339="","",DATE(YEAR($E1339),MONTH($E1339),1))</f>
        <v/>
      </c>
      <c r="M1339" s="113">
        <f>IF($D1339="","",IF($C1339="TANIMSIZ MÜŞTERİ","HATA",IF(OR($E1339="",$F1339&lt;=0,$G1339=""),"EKSİK",IF($E1339&gt;TODAY(),"İLERİ TARİH",IF(COUNTIF($S$7:$S$1506,$S1339)&gt;1,"MÜKERRER?",IF($T1339&gt;0,"KAPALI DÖNEM","UYGUN"))))))</f>
        <v/>
      </c>
      <c r="N1339" s="121">
        <f>IF($C1339="","",IF($C1339="TANIMSIZ MÜŞTERİ","—",INDEX(MUSTERILER!$C$7:$C$106,MATCH($C1339,MUSTERILER!$B$7:$B$106,0))))</f>
        <v/>
      </c>
      <c r="O1339" s="6" t="n"/>
      <c r="P1339" s="6" t="n"/>
      <c r="Q1339" s="3">
        <f>IF($D1339="","",$C1339&amp;"|"&amp;COUNTIFS($C$7:$C1339,$C1339))</f>
        <v/>
      </c>
      <c r="R1339" s="3">
        <f>IF($D1339="","",UPPER(SUBSTITUTE(SUBSTITUTE(SUBSTITUTE(SUBSTITUTE(SUBSTITUTE(SUBSTITUTE(SUBSTITUTE(SUBSTITUTE(SUBSTITUTE(SUBSTITUTE(SUBSTITUTE(SUBSTITUTE(SUBSTITUTE(SUBSTITUTE(SUBSTITUTE(SUBSTITUTE(SUBSTITUTE(SUBSTITUTE(TRIM($D1339),"'",""),"İ","I"),"ı","I"),"i","I"),"Ş","S"),"ş","S"),"Ğ","G"),"ğ","G"),"Ü","U"),"ü","U"),"Ö","O"),"ö","O"),"Ç","C"),"ç","C"),".",""),",","")," ",""),"-","")))</f>
        <v/>
      </c>
      <c r="S1339" s="3">
        <f>IF($D1339="","",$C1339&amp;"|"&amp;TEXT($E1339,"0")&amp;"|"&amp;TEXT($F1339,"0")&amp;"|"&amp;$I1339)</f>
        <v/>
      </c>
      <c r="T1339" s="3">
        <f>IF($E1339="",0,SUMPRODUCT((AY_SONU!$O$7:$O$42="Evet")*(AY_SONU!$B$7:$B$42=DATE(YEAR($E1339),MONTH($E1339),1))))</f>
        <v/>
      </c>
    </row>
    <row r="1340">
      <c r="A1340" s="6" t="n"/>
      <c r="B1340" s="113">
        <f>IF($D1340="","","T"&amp;TEXT(ROW()-6,"00000"))</f>
        <v/>
      </c>
      <c r="C1340" s="113">
        <f>IF($D1340="","",IFERROR(INDEX(MUSTERILER!$B$7:$B$106,MATCH($R1340,MUSTERILER!$T$7:$T$106,0)),IFERROR(INDEX(MUSTERILER!$B$7:$B$106,MATCH($D1340,MUSTERILER!$B$7:$B$106,0)),IFERROR(INDEX(MUSTERILER!$B$7:$B$106,MATCH($R1340&amp;"*",MUSTERILER!$T$7:$T$106,0)),"TANIMSIZ MÜŞTERİ"))))</f>
        <v/>
      </c>
      <c r="D1340" s="109" t="n"/>
      <c r="E1340" s="220" t="n"/>
      <c r="F1340" s="221" t="n"/>
      <c r="G1340" s="108" t="n"/>
      <c r="H1340" s="108" t="n"/>
      <c r="I1340" s="109" t="n"/>
      <c r="J1340" s="109" t="n"/>
      <c r="K1340" s="109" t="n"/>
      <c r="L1340" s="226">
        <f>IF($E1340="","",DATE(YEAR($E1340),MONTH($E1340),1))</f>
        <v/>
      </c>
      <c r="M1340" s="113">
        <f>IF($D1340="","",IF($C1340="TANIMSIZ MÜŞTERİ","HATA",IF(OR($E1340="",$F1340&lt;=0,$G1340=""),"EKSİK",IF($E1340&gt;TODAY(),"İLERİ TARİH",IF(COUNTIF($S$7:$S$1506,$S1340)&gt;1,"MÜKERRER?",IF($T1340&gt;0,"KAPALI DÖNEM","UYGUN"))))))</f>
        <v/>
      </c>
      <c r="N1340" s="121">
        <f>IF($C1340="","",IF($C1340="TANIMSIZ MÜŞTERİ","—",INDEX(MUSTERILER!$C$7:$C$106,MATCH($C1340,MUSTERILER!$B$7:$B$106,0))))</f>
        <v/>
      </c>
      <c r="O1340" s="6" t="n"/>
      <c r="P1340" s="6" t="n"/>
      <c r="Q1340" s="3">
        <f>IF($D1340="","",$C1340&amp;"|"&amp;COUNTIFS($C$7:$C1340,$C1340))</f>
        <v/>
      </c>
      <c r="R1340" s="3">
        <f>IF($D1340="","",UPPER(SUBSTITUTE(SUBSTITUTE(SUBSTITUTE(SUBSTITUTE(SUBSTITUTE(SUBSTITUTE(SUBSTITUTE(SUBSTITUTE(SUBSTITUTE(SUBSTITUTE(SUBSTITUTE(SUBSTITUTE(SUBSTITUTE(SUBSTITUTE(SUBSTITUTE(SUBSTITUTE(SUBSTITUTE(SUBSTITUTE(TRIM($D1340),"'",""),"İ","I"),"ı","I"),"i","I"),"Ş","S"),"ş","S"),"Ğ","G"),"ğ","G"),"Ü","U"),"ü","U"),"Ö","O"),"ö","O"),"Ç","C"),"ç","C"),".",""),",","")," ",""),"-","")))</f>
        <v/>
      </c>
      <c r="S1340" s="3">
        <f>IF($D1340="","",$C1340&amp;"|"&amp;TEXT($E1340,"0")&amp;"|"&amp;TEXT($F1340,"0")&amp;"|"&amp;$I1340)</f>
        <v/>
      </c>
      <c r="T1340" s="3">
        <f>IF($E1340="",0,SUMPRODUCT((AY_SONU!$O$7:$O$42="Evet")*(AY_SONU!$B$7:$B$42=DATE(YEAR($E1340),MONTH($E1340),1))))</f>
        <v/>
      </c>
    </row>
    <row r="1341">
      <c r="A1341" s="6" t="n"/>
      <c r="B1341" s="113">
        <f>IF($D1341="","","T"&amp;TEXT(ROW()-6,"00000"))</f>
        <v/>
      </c>
      <c r="C1341" s="113">
        <f>IF($D1341="","",IFERROR(INDEX(MUSTERILER!$B$7:$B$106,MATCH($R1341,MUSTERILER!$T$7:$T$106,0)),IFERROR(INDEX(MUSTERILER!$B$7:$B$106,MATCH($D1341,MUSTERILER!$B$7:$B$106,0)),IFERROR(INDEX(MUSTERILER!$B$7:$B$106,MATCH($R1341&amp;"*",MUSTERILER!$T$7:$T$106,0)),"TANIMSIZ MÜŞTERİ"))))</f>
        <v/>
      </c>
      <c r="D1341" s="109" t="n"/>
      <c r="E1341" s="220" t="n"/>
      <c r="F1341" s="221" t="n"/>
      <c r="G1341" s="108" t="n"/>
      <c r="H1341" s="108" t="n"/>
      <c r="I1341" s="109" t="n"/>
      <c r="J1341" s="109" t="n"/>
      <c r="K1341" s="109" t="n"/>
      <c r="L1341" s="226">
        <f>IF($E1341="","",DATE(YEAR($E1341),MONTH($E1341),1))</f>
        <v/>
      </c>
      <c r="M1341" s="113">
        <f>IF($D1341="","",IF($C1341="TANIMSIZ MÜŞTERİ","HATA",IF(OR($E1341="",$F1341&lt;=0,$G1341=""),"EKSİK",IF($E1341&gt;TODAY(),"İLERİ TARİH",IF(COUNTIF($S$7:$S$1506,$S1341)&gt;1,"MÜKERRER?",IF($T1341&gt;0,"KAPALI DÖNEM","UYGUN"))))))</f>
        <v/>
      </c>
      <c r="N1341" s="121">
        <f>IF($C1341="","",IF($C1341="TANIMSIZ MÜŞTERİ","—",INDEX(MUSTERILER!$C$7:$C$106,MATCH($C1341,MUSTERILER!$B$7:$B$106,0))))</f>
        <v/>
      </c>
      <c r="O1341" s="6" t="n"/>
      <c r="P1341" s="6" t="n"/>
      <c r="Q1341" s="3">
        <f>IF($D1341="","",$C1341&amp;"|"&amp;COUNTIFS($C$7:$C1341,$C1341))</f>
        <v/>
      </c>
      <c r="R1341" s="3">
        <f>IF($D1341="","",UPPER(SUBSTITUTE(SUBSTITUTE(SUBSTITUTE(SUBSTITUTE(SUBSTITUTE(SUBSTITUTE(SUBSTITUTE(SUBSTITUTE(SUBSTITUTE(SUBSTITUTE(SUBSTITUTE(SUBSTITUTE(SUBSTITUTE(SUBSTITUTE(SUBSTITUTE(SUBSTITUTE(SUBSTITUTE(SUBSTITUTE(TRIM($D1341),"'",""),"İ","I"),"ı","I"),"i","I"),"Ş","S"),"ş","S"),"Ğ","G"),"ğ","G"),"Ü","U"),"ü","U"),"Ö","O"),"ö","O"),"Ç","C"),"ç","C"),".",""),",","")," ",""),"-","")))</f>
        <v/>
      </c>
      <c r="S1341" s="3">
        <f>IF($D1341="","",$C1341&amp;"|"&amp;TEXT($E1341,"0")&amp;"|"&amp;TEXT($F1341,"0")&amp;"|"&amp;$I1341)</f>
        <v/>
      </c>
      <c r="T1341" s="3">
        <f>IF($E1341="",0,SUMPRODUCT((AY_SONU!$O$7:$O$42="Evet")*(AY_SONU!$B$7:$B$42=DATE(YEAR($E1341),MONTH($E1341),1))))</f>
        <v/>
      </c>
    </row>
    <row r="1342">
      <c r="A1342" s="6" t="n"/>
      <c r="B1342" s="113">
        <f>IF($D1342="","","T"&amp;TEXT(ROW()-6,"00000"))</f>
        <v/>
      </c>
      <c r="C1342" s="113">
        <f>IF($D1342="","",IFERROR(INDEX(MUSTERILER!$B$7:$B$106,MATCH($R1342,MUSTERILER!$T$7:$T$106,0)),IFERROR(INDEX(MUSTERILER!$B$7:$B$106,MATCH($D1342,MUSTERILER!$B$7:$B$106,0)),IFERROR(INDEX(MUSTERILER!$B$7:$B$106,MATCH($R1342&amp;"*",MUSTERILER!$T$7:$T$106,0)),"TANIMSIZ MÜŞTERİ"))))</f>
        <v/>
      </c>
      <c r="D1342" s="109" t="n"/>
      <c r="E1342" s="220" t="n"/>
      <c r="F1342" s="221" t="n"/>
      <c r="G1342" s="108" t="n"/>
      <c r="H1342" s="108" t="n"/>
      <c r="I1342" s="109" t="n"/>
      <c r="J1342" s="109" t="n"/>
      <c r="K1342" s="109" t="n"/>
      <c r="L1342" s="226">
        <f>IF($E1342="","",DATE(YEAR($E1342),MONTH($E1342),1))</f>
        <v/>
      </c>
      <c r="M1342" s="113">
        <f>IF($D1342="","",IF($C1342="TANIMSIZ MÜŞTERİ","HATA",IF(OR($E1342="",$F1342&lt;=0,$G1342=""),"EKSİK",IF($E1342&gt;TODAY(),"İLERİ TARİH",IF(COUNTIF($S$7:$S$1506,$S1342)&gt;1,"MÜKERRER?",IF($T1342&gt;0,"KAPALI DÖNEM","UYGUN"))))))</f>
        <v/>
      </c>
      <c r="N1342" s="121">
        <f>IF($C1342="","",IF($C1342="TANIMSIZ MÜŞTERİ","—",INDEX(MUSTERILER!$C$7:$C$106,MATCH($C1342,MUSTERILER!$B$7:$B$106,0))))</f>
        <v/>
      </c>
      <c r="O1342" s="6" t="n"/>
      <c r="P1342" s="6" t="n"/>
      <c r="Q1342" s="3">
        <f>IF($D1342="","",$C1342&amp;"|"&amp;COUNTIFS($C$7:$C1342,$C1342))</f>
        <v/>
      </c>
      <c r="R1342" s="3">
        <f>IF($D1342="","",UPPER(SUBSTITUTE(SUBSTITUTE(SUBSTITUTE(SUBSTITUTE(SUBSTITUTE(SUBSTITUTE(SUBSTITUTE(SUBSTITUTE(SUBSTITUTE(SUBSTITUTE(SUBSTITUTE(SUBSTITUTE(SUBSTITUTE(SUBSTITUTE(SUBSTITUTE(SUBSTITUTE(SUBSTITUTE(SUBSTITUTE(TRIM($D1342),"'",""),"İ","I"),"ı","I"),"i","I"),"Ş","S"),"ş","S"),"Ğ","G"),"ğ","G"),"Ü","U"),"ü","U"),"Ö","O"),"ö","O"),"Ç","C"),"ç","C"),".",""),",","")," ",""),"-","")))</f>
        <v/>
      </c>
      <c r="S1342" s="3">
        <f>IF($D1342="","",$C1342&amp;"|"&amp;TEXT($E1342,"0")&amp;"|"&amp;TEXT($F1342,"0")&amp;"|"&amp;$I1342)</f>
        <v/>
      </c>
      <c r="T1342" s="3">
        <f>IF($E1342="",0,SUMPRODUCT((AY_SONU!$O$7:$O$42="Evet")*(AY_SONU!$B$7:$B$42=DATE(YEAR($E1342),MONTH($E1342),1))))</f>
        <v/>
      </c>
    </row>
    <row r="1343">
      <c r="A1343" s="6" t="n"/>
      <c r="B1343" s="113">
        <f>IF($D1343="","","T"&amp;TEXT(ROW()-6,"00000"))</f>
        <v/>
      </c>
      <c r="C1343" s="113">
        <f>IF($D1343="","",IFERROR(INDEX(MUSTERILER!$B$7:$B$106,MATCH($R1343,MUSTERILER!$T$7:$T$106,0)),IFERROR(INDEX(MUSTERILER!$B$7:$B$106,MATCH($D1343,MUSTERILER!$B$7:$B$106,0)),IFERROR(INDEX(MUSTERILER!$B$7:$B$106,MATCH($R1343&amp;"*",MUSTERILER!$T$7:$T$106,0)),"TANIMSIZ MÜŞTERİ"))))</f>
        <v/>
      </c>
      <c r="D1343" s="109" t="n"/>
      <c r="E1343" s="220" t="n"/>
      <c r="F1343" s="221" t="n"/>
      <c r="G1343" s="108" t="n"/>
      <c r="H1343" s="108" t="n"/>
      <c r="I1343" s="109" t="n"/>
      <c r="J1343" s="109" t="n"/>
      <c r="K1343" s="109" t="n"/>
      <c r="L1343" s="226">
        <f>IF($E1343="","",DATE(YEAR($E1343),MONTH($E1343),1))</f>
        <v/>
      </c>
      <c r="M1343" s="113">
        <f>IF($D1343="","",IF($C1343="TANIMSIZ MÜŞTERİ","HATA",IF(OR($E1343="",$F1343&lt;=0,$G1343=""),"EKSİK",IF($E1343&gt;TODAY(),"İLERİ TARİH",IF(COUNTIF($S$7:$S$1506,$S1343)&gt;1,"MÜKERRER?",IF($T1343&gt;0,"KAPALI DÖNEM","UYGUN"))))))</f>
        <v/>
      </c>
      <c r="N1343" s="121">
        <f>IF($C1343="","",IF($C1343="TANIMSIZ MÜŞTERİ","—",INDEX(MUSTERILER!$C$7:$C$106,MATCH($C1343,MUSTERILER!$B$7:$B$106,0))))</f>
        <v/>
      </c>
      <c r="O1343" s="6" t="n"/>
      <c r="P1343" s="6" t="n"/>
      <c r="Q1343" s="3">
        <f>IF($D1343="","",$C1343&amp;"|"&amp;COUNTIFS($C$7:$C1343,$C1343))</f>
        <v/>
      </c>
      <c r="R1343" s="3">
        <f>IF($D1343="","",UPPER(SUBSTITUTE(SUBSTITUTE(SUBSTITUTE(SUBSTITUTE(SUBSTITUTE(SUBSTITUTE(SUBSTITUTE(SUBSTITUTE(SUBSTITUTE(SUBSTITUTE(SUBSTITUTE(SUBSTITUTE(SUBSTITUTE(SUBSTITUTE(SUBSTITUTE(SUBSTITUTE(SUBSTITUTE(SUBSTITUTE(TRIM($D1343),"'",""),"İ","I"),"ı","I"),"i","I"),"Ş","S"),"ş","S"),"Ğ","G"),"ğ","G"),"Ü","U"),"ü","U"),"Ö","O"),"ö","O"),"Ç","C"),"ç","C"),".",""),",","")," ",""),"-","")))</f>
        <v/>
      </c>
      <c r="S1343" s="3">
        <f>IF($D1343="","",$C1343&amp;"|"&amp;TEXT($E1343,"0")&amp;"|"&amp;TEXT($F1343,"0")&amp;"|"&amp;$I1343)</f>
        <v/>
      </c>
      <c r="T1343" s="3">
        <f>IF($E1343="",0,SUMPRODUCT((AY_SONU!$O$7:$O$42="Evet")*(AY_SONU!$B$7:$B$42=DATE(YEAR($E1343),MONTH($E1343),1))))</f>
        <v/>
      </c>
    </row>
    <row r="1344">
      <c r="A1344" s="6" t="n"/>
      <c r="B1344" s="113">
        <f>IF($D1344="","","T"&amp;TEXT(ROW()-6,"00000"))</f>
        <v/>
      </c>
      <c r="C1344" s="113">
        <f>IF($D1344="","",IFERROR(INDEX(MUSTERILER!$B$7:$B$106,MATCH($R1344,MUSTERILER!$T$7:$T$106,0)),IFERROR(INDEX(MUSTERILER!$B$7:$B$106,MATCH($D1344,MUSTERILER!$B$7:$B$106,0)),IFERROR(INDEX(MUSTERILER!$B$7:$B$106,MATCH($R1344&amp;"*",MUSTERILER!$T$7:$T$106,0)),"TANIMSIZ MÜŞTERİ"))))</f>
        <v/>
      </c>
      <c r="D1344" s="109" t="n"/>
      <c r="E1344" s="220" t="n"/>
      <c r="F1344" s="221" t="n"/>
      <c r="G1344" s="108" t="n"/>
      <c r="H1344" s="108" t="n"/>
      <c r="I1344" s="109" t="n"/>
      <c r="J1344" s="109" t="n"/>
      <c r="K1344" s="109" t="n"/>
      <c r="L1344" s="226">
        <f>IF($E1344="","",DATE(YEAR($E1344),MONTH($E1344),1))</f>
        <v/>
      </c>
      <c r="M1344" s="113">
        <f>IF($D1344="","",IF($C1344="TANIMSIZ MÜŞTERİ","HATA",IF(OR($E1344="",$F1344&lt;=0,$G1344=""),"EKSİK",IF($E1344&gt;TODAY(),"İLERİ TARİH",IF(COUNTIF($S$7:$S$1506,$S1344)&gt;1,"MÜKERRER?",IF($T1344&gt;0,"KAPALI DÖNEM","UYGUN"))))))</f>
        <v/>
      </c>
      <c r="N1344" s="121">
        <f>IF($C1344="","",IF($C1344="TANIMSIZ MÜŞTERİ","—",INDEX(MUSTERILER!$C$7:$C$106,MATCH($C1344,MUSTERILER!$B$7:$B$106,0))))</f>
        <v/>
      </c>
      <c r="O1344" s="6" t="n"/>
      <c r="P1344" s="6" t="n"/>
      <c r="Q1344" s="3">
        <f>IF($D1344="","",$C1344&amp;"|"&amp;COUNTIFS($C$7:$C1344,$C1344))</f>
        <v/>
      </c>
      <c r="R1344" s="3">
        <f>IF($D1344="","",UPPER(SUBSTITUTE(SUBSTITUTE(SUBSTITUTE(SUBSTITUTE(SUBSTITUTE(SUBSTITUTE(SUBSTITUTE(SUBSTITUTE(SUBSTITUTE(SUBSTITUTE(SUBSTITUTE(SUBSTITUTE(SUBSTITUTE(SUBSTITUTE(SUBSTITUTE(SUBSTITUTE(SUBSTITUTE(SUBSTITUTE(TRIM($D1344),"'",""),"İ","I"),"ı","I"),"i","I"),"Ş","S"),"ş","S"),"Ğ","G"),"ğ","G"),"Ü","U"),"ü","U"),"Ö","O"),"ö","O"),"Ç","C"),"ç","C"),".",""),",","")," ",""),"-","")))</f>
        <v/>
      </c>
      <c r="S1344" s="3">
        <f>IF($D1344="","",$C1344&amp;"|"&amp;TEXT($E1344,"0")&amp;"|"&amp;TEXT($F1344,"0")&amp;"|"&amp;$I1344)</f>
        <v/>
      </c>
      <c r="T1344" s="3">
        <f>IF($E1344="",0,SUMPRODUCT((AY_SONU!$O$7:$O$42="Evet")*(AY_SONU!$B$7:$B$42=DATE(YEAR($E1344),MONTH($E1344),1))))</f>
        <v/>
      </c>
    </row>
    <row r="1345">
      <c r="A1345" s="6" t="n"/>
      <c r="B1345" s="113">
        <f>IF($D1345="","","T"&amp;TEXT(ROW()-6,"00000"))</f>
        <v/>
      </c>
      <c r="C1345" s="113">
        <f>IF($D1345="","",IFERROR(INDEX(MUSTERILER!$B$7:$B$106,MATCH($R1345,MUSTERILER!$T$7:$T$106,0)),IFERROR(INDEX(MUSTERILER!$B$7:$B$106,MATCH($D1345,MUSTERILER!$B$7:$B$106,0)),IFERROR(INDEX(MUSTERILER!$B$7:$B$106,MATCH($R1345&amp;"*",MUSTERILER!$T$7:$T$106,0)),"TANIMSIZ MÜŞTERİ"))))</f>
        <v/>
      </c>
      <c r="D1345" s="109" t="n"/>
      <c r="E1345" s="220" t="n"/>
      <c r="F1345" s="221" t="n"/>
      <c r="G1345" s="108" t="n"/>
      <c r="H1345" s="108" t="n"/>
      <c r="I1345" s="109" t="n"/>
      <c r="J1345" s="109" t="n"/>
      <c r="K1345" s="109" t="n"/>
      <c r="L1345" s="226">
        <f>IF($E1345="","",DATE(YEAR($E1345),MONTH($E1345),1))</f>
        <v/>
      </c>
      <c r="M1345" s="113">
        <f>IF($D1345="","",IF($C1345="TANIMSIZ MÜŞTERİ","HATA",IF(OR($E1345="",$F1345&lt;=0,$G1345=""),"EKSİK",IF($E1345&gt;TODAY(),"İLERİ TARİH",IF(COUNTIF($S$7:$S$1506,$S1345)&gt;1,"MÜKERRER?",IF($T1345&gt;0,"KAPALI DÖNEM","UYGUN"))))))</f>
        <v/>
      </c>
      <c r="N1345" s="121">
        <f>IF($C1345="","",IF($C1345="TANIMSIZ MÜŞTERİ","—",INDEX(MUSTERILER!$C$7:$C$106,MATCH($C1345,MUSTERILER!$B$7:$B$106,0))))</f>
        <v/>
      </c>
      <c r="O1345" s="6" t="n"/>
      <c r="P1345" s="6" t="n"/>
      <c r="Q1345" s="3">
        <f>IF($D1345="","",$C1345&amp;"|"&amp;COUNTIFS($C$7:$C1345,$C1345))</f>
        <v/>
      </c>
      <c r="R1345" s="3">
        <f>IF($D1345="","",UPPER(SUBSTITUTE(SUBSTITUTE(SUBSTITUTE(SUBSTITUTE(SUBSTITUTE(SUBSTITUTE(SUBSTITUTE(SUBSTITUTE(SUBSTITUTE(SUBSTITUTE(SUBSTITUTE(SUBSTITUTE(SUBSTITUTE(SUBSTITUTE(SUBSTITUTE(SUBSTITUTE(SUBSTITUTE(SUBSTITUTE(TRIM($D1345),"'",""),"İ","I"),"ı","I"),"i","I"),"Ş","S"),"ş","S"),"Ğ","G"),"ğ","G"),"Ü","U"),"ü","U"),"Ö","O"),"ö","O"),"Ç","C"),"ç","C"),".",""),",","")," ",""),"-","")))</f>
        <v/>
      </c>
      <c r="S1345" s="3">
        <f>IF($D1345="","",$C1345&amp;"|"&amp;TEXT($E1345,"0")&amp;"|"&amp;TEXT($F1345,"0")&amp;"|"&amp;$I1345)</f>
        <v/>
      </c>
      <c r="T1345" s="3">
        <f>IF($E1345="",0,SUMPRODUCT((AY_SONU!$O$7:$O$42="Evet")*(AY_SONU!$B$7:$B$42=DATE(YEAR($E1345),MONTH($E1345),1))))</f>
        <v/>
      </c>
    </row>
    <row r="1346">
      <c r="A1346" s="6" t="n"/>
      <c r="B1346" s="113">
        <f>IF($D1346="","","T"&amp;TEXT(ROW()-6,"00000"))</f>
        <v/>
      </c>
      <c r="C1346" s="113">
        <f>IF($D1346="","",IFERROR(INDEX(MUSTERILER!$B$7:$B$106,MATCH($R1346,MUSTERILER!$T$7:$T$106,0)),IFERROR(INDEX(MUSTERILER!$B$7:$B$106,MATCH($D1346,MUSTERILER!$B$7:$B$106,0)),IFERROR(INDEX(MUSTERILER!$B$7:$B$106,MATCH($R1346&amp;"*",MUSTERILER!$T$7:$T$106,0)),"TANIMSIZ MÜŞTERİ"))))</f>
        <v/>
      </c>
      <c r="D1346" s="109" t="n"/>
      <c r="E1346" s="220" t="n"/>
      <c r="F1346" s="221" t="n"/>
      <c r="G1346" s="108" t="n"/>
      <c r="H1346" s="108" t="n"/>
      <c r="I1346" s="109" t="n"/>
      <c r="J1346" s="109" t="n"/>
      <c r="K1346" s="109" t="n"/>
      <c r="L1346" s="226">
        <f>IF($E1346="","",DATE(YEAR($E1346),MONTH($E1346),1))</f>
        <v/>
      </c>
      <c r="M1346" s="113">
        <f>IF($D1346="","",IF($C1346="TANIMSIZ MÜŞTERİ","HATA",IF(OR($E1346="",$F1346&lt;=0,$G1346=""),"EKSİK",IF($E1346&gt;TODAY(),"İLERİ TARİH",IF(COUNTIF($S$7:$S$1506,$S1346)&gt;1,"MÜKERRER?",IF($T1346&gt;0,"KAPALI DÖNEM","UYGUN"))))))</f>
        <v/>
      </c>
      <c r="N1346" s="121">
        <f>IF($C1346="","",IF($C1346="TANIMSIZ MÜŞTERİ","—",INDEX(MUSTERILER!$C$7:$C$106,MATCH($C1346,MUSTERILER!$B$7:$B$106,0))))</f>
        <v/>
      </c>
      <c r="O1346" s="6" t="n"/>
      <c r="P1346" s="6" t="n"/>
      <c r="Q1346" s="3">
        <f>IF($D1346="","",$C1346&amp;"|"&amp;COUNTIFS($C$7:$C1346,$C1346))</f>
        <v/>
      </c>
      <c r="R1346" s="3">
        <f>IF($D1346="","",UPPER(SUBSTITUTE(SUBSTITUTE(SUBSTITUTE(SUBSTITUTE(SUBSTITUTE(SUBSTITUTE(SUBSTITUTE(SUBSTITUTE(SUBSTITUTE(SUBSTITUTE(SUBSTITUTE(SUBSTITUTE(SUBSTITUTE(SUBSTITUTE(SUBSTITUTE(SUBSTITUTE(SUBSTITUTE(SUBSTITUTE(TRIM($D1346),"'",""),"İ","I"),"ı","I"),"i","I"),"Ş","S"),"ş","S"),"Ğ","G"),"ğ","G"),"Ü","U"),"ü","U"),"Ö","O"),"ö","O"),"Ç","C"),"ç","C"),".",""),",","")," ",""),"-","")))</f>
        <v/>
      </c>
      <c r="S1346" s="3">
        <f>IF($D1346="","",$C1346&amp;"|"&amp;TEXT($E1346,"0")&amp;"|"&amp;TEXT($F1346,"0")&amp;"|"&amp;$I1346)</f>
        <v/>
      </c>
      <c r="T1346" s="3">
        <f>IF($E1346="",0,SUMPRODUCT((AY_SONU!$O$7:$O$42="Evet")*(AY_SONU!$B$7:$B$42=DATE(YEAR($E1346),MONTH($E1346),1))))</f>
        <v/>
      </c>
    </row>
    <row r="1347">
      <c r="A1347" s="6" t="n"/>
      <c r="B1347" s="113">
        <f>IF($D1347="","","T"&amp;TEXT(ROW()-6,"00000"))</f>
        <v/>
      </c>
      <c r="C1347" s="113">
        <f>IF($D1347="","",IFERROR(INDEX(MUSTERILER!$B$7:$B$106,MATCH($R1347,MUSTERILER!$T$7:$T$106,0)),IFERROR(INDEX(MUSTERILER!$B$7:$B$106,MATCH($D1347,MUSTERILER!$B$7:$B$106,0)),IFERROR(INDEX(MUSTERILER!$B$7:$B$106,MATCH($R1347&amp;"*",MUSTERILER!$T$7:$T$106,0)),"TANIMSIZ MÜŞTERİ"))))</f>
        <v/>
      </c>
      <c r="D1347" s="109" t="n"/>
      <c r="E1347" s="220" t="n"/>
      <c r="F1347" s="221" t="n"/>
      <c r="G1347" s="108" t="n"/>
      <c r="H1347" s="108" t="n"/>
      <c r="I1347" s="109" t="n"/>
      <c r="J1347" s="109" t="n"/>
      <c r="K1347" s="109" t="n"/>
      <c r="L1347" s="226">
        <f>IF($E1347="","",DATE(YEAR($E1347),MONTH($E1347),1))</f>
        <v/>
      </c>
      <c r="M1347" s="113">
        <f>IF($D1347="","",IF($C1347="TANIMSIZ MÜŞTERİ","HATA",IF(OR($E1347="",$F1347&lt;=0,$G1347=""),"EKSİK",IF($E1347&gt;TODAY(),"İLERİ TARİH",IF(COUNTIF($S$7:$S$1506,$S1347)&gt;1,"MÜKERRER?",IF($T1347&gt;0,"KAPALI DÖNEM","UYGUN"))))))</f>
        <v/>
      </c>
      <c r="N1347" s="121">
        <f>IF($C1347="","",IF($C1347="TANIMSIZ MÜŞTERİ","—",INDEX(MUSTERILER!$C$7:$C$106,MATCH($C1347,MUSTERILER!$B$7:$B$106,0))))</f>
        <v/>
      </c>
      <c r="O1347" s="6" t="n"/>
      <c r="P1347" s="6" t="n"/>
      <c r="Q1347" s="3">
        <f>IF($D1347="","",$C1347&amp;"|"&amp;COUNTIFS($C$7:$C1347,$C1347))</f>
        <v/>
      </c>
      <c r="R1347" s="3">
        <f>IF($D1347="","",UPPER(SUBSTITUTE(SUBSTITUTE(SUBSTITUTE(SUBSTITUTE(SUBSTITUTE(SUBSTITUTE(SUBSTITUTE(SUBSTITUTE(SUBSTITUTE(SUBSTITUTE(SUBSTITUTE(SUBSTITUTE(SUBSTITUTE(SUBSTITUTE(SUBSTITUTE(SUBSTITUTE(SUBSTITUTE(SUBSTITUTE(TRIM($D1347),"'",""),"İ","I"),"ı","I"),"i","I"),"Ş","S"),"ş","S"),"Ğ","G"),"ğ","G"),"Ü","U"),"ü","U"),"Ö","O"),"ö","O"),"Ç","C"),"ç","C"),".",""),",","")," ",""),"-","")))</f>
        <v/>
      </c>
      <c r="S1347" s="3">
        <f>IF($D1347="","",$C1347&amp;"|"&amp;TEXT($E1347,"0")&amp;"|"&amp;TEXT($F1347,"0")&amp;"|"&amp;$I1347)</f>
        <v/>
      </c>
      <c r="T1347" s="3">
        <f>IF($E1347="",0,SUMPRODUCT((AY_SONU!$O$7:$O$42="Evet")*(AY_SONU!$B$7:$B$42=DATE(YEAR($E1347),MONTH($E1347),1))))</f>
        <v/>
      </c>
    </row>
    <row r="1348">
      <c r="A1348" s="6" t="n"/>
      <c r="B1348" s="113">
        <f>IF($D1348="","","T"&amp;TEXT(ROW()-6,"00000"))</f>
        <v/>
      </c>
      <c r="C1348" s="113">
        <f>IF($D1348="","",IFERROR(INDEX(MUSTERILER!$B$7:$B$106,MATCH($R1348,MUSTERILER!$T$7:$T$106,0)),IFERROR(INDEX(MUSTERILER!$B$7:$B$106,MATCH($D1348,MUSTERILER!$B$7:$B$106,0)),IFERROR(INDEX(MUSTERILER!$B$7:$B$106,MATCH($R1348&amp;"*",MUSTERILER!$T$7:$T$106,0)),"TANIMSIZ MÜŞTERİ"))))</f>
        <v/>
      </c>
      <c r="D1348" s="109" t="n"/>
      <c r="E1348" s="220" t="n"/>
      <c r="F1348" s="221" t="n"/>
      <c r="G1348" s="108" t="n"/>
      <c r="H1348" s="108" t="n"/>
      <c r="I1348" s="109" t="n"/>
      <c r="J1348" s="109" t="n"/>
      <c r="K1348" s="109" t="n"/>
      <c r="L1348" s="226">
        <f>IF($E1348="","",DATE(YEAR($E1348),MONTH($E1348),1))</f>
        <v/>
      </c>
      <c r="M1348" s="113">
        <f>IF($D1348="","",IF($C1348="TANIMSIZ MÜŞTERİ","HATA",IF(OR($E1348="",$F1348&lt;=0,$G1348=""),"EKSİK",IF($E1348&gt;TODAY(),"İLERİ TARİH",IF(COUNTIF($S$7:$S$1506,$S1348)&gt;1,"MÜKERRER?",IF($T1348&gt;0,"KAPALI DÖNEM","UYGUN"))))))</f>
        <v/>
      </c>
      <c r="N1348" s="121">
        <f>IF($C1348="","",IF($C1348="TANIMSIZ MÜŞTERİ","—",INDEX(MUSTERILER!$C$7:$C$106,MATCH($C1348,MUSTERILER!$B$7:$B$106,0))))</f>
        <v/>
      </c>
      <c r="O1348" s="6" t="n"/>
      <c r="P1348" s="6" t="n"/>
      <c r="Q1348" s="3">
        <f>IF($D1348="","",$C1348&amp;"|"&amp;COUNTIFS($C$7:$C1348,$C1348))</f>
        <v/>
      </c>
      <c r="R1348" s="3">
        <f>IF($D1348="","",UPPER(SUBSTITUTE(SUBSTITUTE(SUBSTITUTE(SUBSTITUTE(SUBSTITUTE(SUBSTITUTE(SUBSTITUTE(SUBSTITUTE(SUBSTITUTE(SUBSTITUTE(SUBSTITUTE(SUBSTITUTE(SUBSTITUTE(SUBSTITUTE(SUBSTITUTE(SUBSTITUTE(SUBSTITUTE(SUBSTITUTE(TRIM($D1348),"'",""),"İ","I"),"ı","I"),"i","I"),"Ş","S"),"ş","S"),"Ğ","G"),"ğ","G"),"Ü","U"),"ü","U"),"Ö","O"),"ö","O"),"Ç","C"),"ç","C"),".",""),",","")," ",""),"-","")))</f>
        <v/>
      </c>
      <c r="S1348" s="3">
        <f>IF($D1348="","",$C1348&amp;"|"&amp;TEXT($E1348,"0")&amp;"|"&amp;TEXT($F1348,"0")&amp;"|"&amp;$I1348)</f>
        <v/>
      </c>
      <c r="T1348" s="3">
        <f>IF($E1348="",0,SUMPRODUCT((AY_SONU!$O$7:$O$42="Evet")*(AY_SONU!$B$7:$B$42=DATE(YEAR($E1348),MONTH($E1348),1))))</f>
        <v/>
      </c>
    </row>
    <row r="1349">
      <c r="A1349" s="6" t="n"/>
      <c r="B1349" s="113">
        <f>IF($D1349="","","T"&amp;TEXT(ROW()-6,"00000"))</f>
        <v/>
      </c>
      <c r="C1349" s="113">
        <f>IF($D1349="","",IFERROR(INDEX(MUSTERILER!$B$7:$B$106,MATCH($R1349,MUSTERILER!$T$7:$T$106,0)),IFERROR(INDEX(MUSTERILER!$B$7:$B$106,MATCH($D1349,MUSTERILER!$B$7:$B$106,0)),IFERROR(INDEX(MUSTERILER!$B$7:$B$106,MATCH($R1349&amp;"*",MUSTERILER!$T$7:$T$106,0)),"TANIMSIZ MÜŞTERİ"))))</f>
        <v/>
      </c>
      <c r="D1349" s="109" t="n"/>
      <c r="E1349" s="220" t="n"/>
      <c r="F1349" s="221" t="n"/>
      <c r="G1349" s="108" t="n"/>
      <c r="H1349" s="108" t="n"/>
      <c r="I1349" s="109" t="n"/>
      <c r="J1349" s="109" t="n"/>
      <c r="K1349" s="109" t="n"/>
      <c r="L1349" s="226">
        <f>IF($E1349="","",DATE(YEAR($E1349),MONTH($E1349),1))</f>
        <v/>
      </c>
      <c r="M1349" s="113">
        <f>IF($D1349="","",IF($C1349="TANIMSIZ MÜŞTERİ","HATA",IF(OR($E1349="",$F1349&lt;=0,$G1349=""),"EKSİK",IF($E1349&gt;TODAY(),"İLERİ TARİH",IF(COUNTIF($S$7:$S$1506,$S1349)&gt;1,"MÜKERRER?",IF($T1349&gt;0,"KAPALI DÖNEM","UYGUN"))))))</f>
        <v/>
      </c>
      <c r="N1349" s="121">
        <f>IF($C1349="","",IF($C1349="TANIMSIZ MÜŞTERİ","—",INDEX(MUSTERILER!$C$7:$C$106,MATCH($C1349,MUSTERILER!$B$7:$B$106,0))))</f>
        <v/>
      </c>
      <c r="O1349" s="6" t="n"/>
      <c r="P1349" s="6" t="n"/>
      <c r="Q1349" s="3">
        <f>IF($D1349="","",$C1349&amp;"|"&amp;COUNTIFS($C$7:$C1349,$C1349))</f>
        <v/>
      </c>
      <c r="R1349" s="3">
        <f>IF($D1349="","",UPPER(SUBSTITUTE(SUBSTITUTE(SUBSTITUTE(SUBSTITUTE(SUBSTITUTE(SUBSTITUTE(SUBSTITUTE(SUBSTITUTE(SUBSTITUTE(SUBSTITUTE(SUBSTITUTE(SUBSTITUTE(SUBSTITUTE(SUBSTITUTE(SUBSTITUTE(SUBSTITUTE(SUBSTITUTE(SUBSTITUTE(TRIM($D1349),"'",""),"İ","I"),"ı","I"),"i","I"),"Ş","S"),"ş","S"),"Ğ","G"),"ğ","G"),"Ü","U"),"ü","U"),"Ö","O"),"ö","O"),"Ç","C"),"ç","C"),".",""),",","")," ",""),"-","")))</f>
        <v/>
      </c>
      <c r="S1349" s="3">
        <f>IF($D1349="","",$C1349&amp;"|"&amp;TEXT($E1349,"0")&amp;"|"&amp;TEXT($F1349,"0")&amp;"|"&amp;$I1349)</f>
        <v/>
      </c>
      <c r="T1349" s="3">
        <f>IF($E1349="",0,SUMPRODUCT((AY_SONU!$O$7:$O$42="Evet")*(AY_SONU!$B$7:$B$42=DATE(YEAR($E1349),MONTH($E1349),1))))</f>
        <v/>
      </c>
    </row>
    <row r="1350">
      <c r="A1350" s="6" t="n"/>
      <c r="B1350" s="113">
        <f>IF($D1350="","","T"&amp;TEXT(ROW()-6,"00000"))</f>
        <v/>
      </c>
      <c r="C1350" s="113">
        <f>IF($D1350="","",IFERROR(INDEX(MUSTERILER!$B$7:$B$106,MATCH($R1350,MUSTERILER!$T$7:$T$106,0)),IFERROR(INDEX(MUSTERILER!$B$7:$B$106,MATCH($D1350,MUSTERILER!$B$7:$B$106,0)),IFERROR(INDEX(MUSTERILER!$B$7:$B$106,MATCH($R1350&amp;"*",MUSTERILER!$T$7:$T$106,0)),"TANIMSIZ MÜŞTERİ"))))</f>
        <v/>
      </c>
      <c r="D1350" s="109" t="n"/>
      <c r="E1350" s="220" t="n"/>
      <c r="F1350" s="221" t="n"/>
      <c r="G1350" s="108" t="n"/>
      <c r="H1350" s="108" t="n"/>
      <c r="I1350" s="109" t="n"/>
      <c r="J1350" s="109" t="n"/>
      <c r="K1350" s="109" t="n"/>
      <c r="L1350" s="226">
        <f>IF($E1350="","",DATE(YEAR($E1350),MONTH($E1350),1))</f>
        <v/>
      </c>
      <c r="M1350" s="113">
        <f>IF($D1350="","",IF($C1350="TANIMSIZ MÜŞTERİ","HATA",IF(OR($E1350="",$F1350&lt;=0,$G1350=""),"EKSİK",IF($E1350&gt;TODAY(),"İLERİ TARİH",IF(COUNTIF($S$7:$S$1506,$S1350)&gt;1,"MÜKERRER?",IF($T1350&gt;0,"KAPALI DÖNEM","UYGUN"))))))</f>
        <v/>
      </c>
      <c r="N1350" s="121">
        <f>IF($C1350="","",IF($C1350="TANIMSIZ MÜŞTERİ","—",INDEX(MUSTERILER!$C$7:$C$106,MATCH($C1350,MUSTERILER!$B$7:$B$106,0))))</f>
        <v/>
      </c>
      <c r="O1350" s="6" t="n"/>
      <c r="P1350" s="6" t="n"/>
      <c r="Q1350" s="3">
        <f>IF($D1350="","",$C1350&amp;"|"&amp;COUNTIFS($C$7:$C1350,$C1350))</f>
        <v/>
      </c>
      <c r="R1350" s="3">
        <f>IF($D1350="","",UPPER(SUBSTITUTE(SUBSTITUTE(SUBSTITUTE(SUBSTITUTE(SUBSTITUTE(SUBSTITUTE(SUBSTITUTE(SUBSTITUTE(SUBSTITUTE(SUBSTITUTE(SUBSTITUTE(SUBSTITUTE(SUBSTITUTE(SUBSTITUTE(SUBSTITUTE(SUBSTITUTE(SUBSTITUTE(SUBSTITUTE(TRIM($D1350),"'",""),"İ","I"),"ı","I"),"i","I"),"Ş","S"),"ş","S"),"Ğ","G"),"ğ","G"),"Ü","U"),"ü","U"),"Ö","O"),"ö","O"),"Ç","C"),"ç","C"),".",""),",","")," ",""),"-","")))</f>
        <v/>
      </c>
      <c r="S1350" s="3">
        <f>IF($D1350="","",$C1350&amp;"|"&amp;TEXT($E1350,"0")&amp;"|"&amp;TEXT($F1350,"0")&amp;"|"&amp;$I1350)</f>
        <v/>
      </c>
      <c r="T1350" s="3">
        <f>IF($E1350="",0,SUMPRODUCT((AY_SONU!$O$7:$O$42="Evet")*(AY_SONU!$B$7:$B$42=DATE(YEAR($E1350),MONTH($E1350),1))))</f>
        <v/>
      </c>
    </row>
    <row r="1351">
      <c r="A1351" s="6" t="n"/>
      <c r="B1351" s="113">
        <f>IF($D1351="","","T"&amp;TEXT(ROW()-6,"00000"))</f>
        <v/>
      </c>
      <c r="C1351" s="113">
        <f>IF($D1351="","",IFERROR(INDEX(MUSTERILER!$B$7:$B$106,MATCH($R1351,MUSTERILER!$T$7:$T$106,0)),IFERROR(INDEX(MUSTERILER!$B$7:$B$106,MATCH($D1351,MUSTERILER!$B$7:$B$106,0)),IFERROR(INDEX(MUSTERILER!$B$7:$B$106,MATCH($R1351&amp;"*",MUSTERILER!$T$7:$T$106,0)),"TANIMSIZ MÜŞTERİ"))))</f>
        <v/>
      </c>
      <c r="D1351" s="109" t="n"/>
      <c r="E1351" s="220" t="n"/>
      <c r="F1351" s="221" t="n"/>
      <c r="G1351" s="108" t="n"/>
      <c r="H1351" s="108" t="n"/>
      <c r="I1351" s="109" t="n"/>
      <c r="J1351" s="109" t="n"/>
      <c r="K1351" s="109" t="n"/>
      <c r="L1351" s="226">
        <f>IF($E1351="","",DATE(YEAR($E1351),MONTH($E1351),1))</f>
        <v/>
      </c>
      <c r="M1351" s="113">
        <f>IF($D1351="","",IF($C1351="TANIMSIZ MÜŞTERİ","HATA",IF(OR($E1351="",$F1351&lt;=0,$G1351=""),"EKSİK",IF($E1351&gt;TODAY(),"İLERİ TARİH",IF(COUNTIF($S$7:$S$1506,$S1351)&gt;1,"MÜKERRER?",IF($T1351&gt;0,"KAPALI DÖNEM","UYGUN"))))))</f>
        <v/>
      </c>
      <c r="N1351" s="121">
        <f>IF($C1351="","",IF($C1351="TANIMSIZ MÜŞTERİ","—",INDEX(MUSTERILER!$C$7:$C$106,MATCH($C1351,MUSTERILER!$B$7:$B$106,0))))</f>
        <v/>
      </c>
      <c r="O1351" s="6" t="n"/>
      <c r="P1351" s="6" t="n"/>
      <c r="Q1351" s="3">
        <f>IF($D1351="","",$C1351&amp;"|"&amp;COUNTIFS($C$7:$C1351,$C1351))</f>
        <v/>
      </c>
      <c r="R1351" s="3">
        <f>IF($D1351="","",UPPER(SUBSTITUTE(SUBSTITUTE(SUBSTITUTE(SUBSTITUTE(SUBSTITUTE(SUBSTITUTE(SUBSTITUTE(SUBSTITUTE(SUBSTITUTE(SUBSTITUTE(SUBSTITUTE(SUBSTITUTE(SUBSTITUTE(SUBSTITUTE(SUBSTITUTE(SUBSTITUTE(SUBSTITUTE(SUBSTITUTE(TRIM($D1351),"'",""),"İ","I"),"ı","I"),"i","I"),"Ş","S"),"ş","S"),"Ğ","G"),"ğ","G"),"Ü","U"),"ü","U"),"Ö","O"),"ö","O"),"Ç","C"),"ç","C"),".",""),",","")," ",""),"-","")))</f>
        <v/>
      </c>
      <c r="S1351" s="3">
        <f>IF($D1351="","",$C1351&amp;"|"&amp;TEXT($E1351,"0")&amp;"|"&amp;TEXT($F1351,"0")&amp;"|"&amp;$I1351)</f>
        <v/>
      </c>
      <c r="T1351" s="3">
        <f>IF($E1351="",0,SUMPRODUCT((AY_SONU!$O$7:$O$42="Evet")*(AY_SONU!$B$7:$B$42=DATE(YEAR($E1351),MONTH($E1351),1))))</f>
        <v/>
      </c>
    </row>
    <row r="1352">
      <c r="A1352" s="6" t="n"/>
      <c r="B1352" s="113">
        <f>IF($D1352="","","T"&amp;TEXT(ROW()-6,"00000"))</f>
        <v/>
      </c>
      <c r="C1352" s="113">
        <f>IF($D1352="","",IFERROR(INDEX(MUSTERILER!$B$7:$B$106,MATCH($R1352,MUSTERILER!$T$7:$T$106,0)),IFERROR(INDEX(MUSTERILER!$B$7:$B$106,MATCH($D1352,MUSTERILER!$B$7:$B$106,0)),IFERROR(INDEX(MUSTERILER!$B$7:$B$106,MATCH($R1352&amp;"*",MUSTERILER!$T$7:$T$106,0)),"TANIMSIZ MÜŞTERİ"))))</f>
        <v/>
      </c>
      <c r="D1352" s="109" t="n"/>
      <c r="E1352" s="220" t="n"/>
      <c r="F1352" s="221" t="n"/>
      <c r="G1352" s="108" t="n"/>
      <c r="H1352" s="108" t="n"/>
      <c r="I1352" s="109" t="n"/>
      <c r="J1352" s="109" t="n"/>
      <c r="K1352" s="109" t="n"/>
      <c r="L1352" s="226">
        <f>IF($E1352="","",DATE(YEAR($E1352),MONTH($E1352),1))</f>
        <v/>
      </c>
      <c r="M1352" s="113">
        <f>IF($D1352="","",IF($C1352="TANIMSIZ MÜŞTERİ","HATA",IF(OR($E1352="",$F1352&lt;=0,$G1352=""),"EKSİK",IF($E1352&gt;TODAY(),"İLERİ TARİH",IF(COUNTIF($S$7:$S$1506,$S1352)&gt;1,"MÜKERRER?",IF($T1352&gt;0,"KAPALI DÖNEM","UYGUN"))))))</f>
        <v/>
      </c>
      <c r="N1352" s="121">
        <f>IF($C1352="","",IF($C1352="TANIMSIZ MÜŞTERİ","—",INDEX(MUSTERILER!$C$7:$C$106,MATCH($C1352,MUSTERILER!$B$7:$B$106,0))))</f>
        <v/>
      </c>
      <c r="O1352" s="6" t="n"/>
      <c r="P1352" s="6" t="n"/>
      <c r="Q1352" s="3">
        <f>IF($D1352="","",$C1352&amp;"|"&amp;COUNTIFS($C$7:$C1352,$C1352))</f>
        <v/>
      </c>
      <c r="R1352" s="3">
        <f>IF($D1352="","",UPPER(SUBSTITUTE(SUBSTITUTE(SUBSTITUTE(SUBSTITUTE(SUBSTITUTE(SUBSTITUTE(SUBSTITUTE(SUBSTITUTE(SUBSTITUTE(SUBSTITUTE(SUBSTITUTE(SUBSTITUTE(SUBSTITUTE(SUBSTITUTE(SUBSTITUTE(SUBSTITUTE(SUBSTITUTE(SUBSTITUTE(TRIM($D1352),"'",""),"İ","I"),"ı","I"),"i","I"),"Ş","S"),"ş","S"),"Ğ","G"),"ğ","G"),"Ü","U"),"ü","U"),"Ö","O"),"ö","O"),"Ç","C"),"ç","C"),".",""),",","")," ",""),"-","")))</f>
        <v/>
      </c>
      <c r="S1352" s="3">
        <f>IF($D1352="","",$C1352&amp;"|"&amp;TEXT($E1352,"0")&amp;"|"&amp;TEXT($F1352,"0")&amp;"|"&amp;$I1352)</f>
        <v/>
      </c>
      <c r="T1352" s="3">
        <f>IF($E1352="",0,SUMPRODUCT((AY_SONU!$O$7:$O$42="Evet")*(AY_SONU!$B$7:$B$42=DATE(YEAR($E1352),MONTH($E1352),1))))</f>
        <v/>
      </c>
    </row>
    <row r="1353">
      <c r="A1353" s="6" t="n"/>
      <c r="B1353" s="113">
        <f>IF($D1353="","","T"&amp;TEXT(ROW()-6,"00000"))</f>
        <v/>
      </c>
      <c r="C1353" s="113">
        <f>IF($D1353="","",IFERROR(INDEX(MUSTERILER!$B$7:$B$106,MATCH($R1353,MUSTERILER!$T$7:$T$106,0)),IFERROR(INDEX(MUSTERILER!$B$7:$B$106,MATCH($D1353,MUSTERILER!$B$7:$B$106,0)),IFERROR(INDEX(MUSTERILER!$B$7:$B$106,MATCH($R1353&amp;"*",MUSTERILER!$T$7:$T$106,0)),"TANIMSIZ MÜŞTERİ"))))</f>
        <v/>
      </c>
      <c r="D1353" s="109" t="n"/>
      <c r="E1353" s="220" t="n"/>
      <c r="F1353" s="221" t="n"/>
      <c r="G1353" s="108" t="n"/>
      <c r="H1353" s="108" t="n"/>
      <c r="I1353" s="109" t="n"/>
      <c r="J1353" s="109" t="n"/>
      <c r="K1353" s="109" t="n"/>
      <c r="L1353" s="226">
        <f>IF($E1353="","",DATE(YEAR($E1353),MONTH($E1353),1))</f>
        <v/>
      </c>
      <c r="M1353" s="113">
        <f>IF($D1353="","",IF($C1353="TANIMSIZ MÜŞTERİ","HATA",IF(OR($E1353="",$F1353&lt;=0,$G1353=""),"EKSİK",IF($E1353&gt;TODAY(),"İLERİ TARİH",IF(COUNTIF($S$7:$S$1506,$S1353)&gt;1,"MÜKERRER?",IF($T1353&gt;0,"KAPALI DÖNEM","UYGUN"))))))</f>
        <v/>
      </c>
      <c r="N1353" s="121">
        <f>IF($C1353="","",IF($C1353="TANIMSIZ MÜŞTERİ","—",INDEX(MUSTERILER!$C$7:$C$106,MATCH($C1353,MUSTERILER!$B$7:$B$106,0))))</f>
        <v/>
      </c>
      <c r="O1353" s="6" t="n"/>
      <c r="P1353" s="6" t="n"/>
      <c r="Q1353" s="3">
        <f>IF($D1353="","",$C1353&amp;"|"&amp;COUNTIFS($C$7:$C1353,$C1353))</f>
        <v/>
      </c>
      <c r="R1353" s="3">
        <f>IF($D1353="","",UPPER(SUBSTITUTE(SUBSTITUTE(SUBSTITUTE(SUBSTITUTE(SUBSTITUTE(SUBSTITUTE(SUBSTITUTE(SUBSTITUTE(SUBSTITUTE(SUBSTITUTE(SUBSTITUTE(SUBSTITUTE(SUBSTITUTE(SUBSTITUTE(SUBSTITUTE(SUBSTITUTE(SUBSTITUTE(SUBSTITUTE(TRIM($D1353),"'",""),"İ","I"),"ı","I"),"i","I"),"Ş","S"),"ş","S"),"Ğ","G"),"ğ","G"),"Ü","U"),"ü","U"),"Ö","O"),"ö","O"),"Ç","C"),"ç","C"),".",""),",","")," ",""),"-","")))</f>
        <v/>
      </c>
      <c r="S1353" s="3">
        <f>IF($D1353="","",$C1353&amp;"|"&amp;TEXT($E1353,"0")&amp;"|"&amp;TEXT($F1353,"0")&amp;"|"&amp;$I1353)</f>
        <v/>
      </c>
      <c r="T1353" s="3">
        <f>IF($E1353="",0,SUMPRODUCT((AY_SONU!$O$7:$O$42="Evet")*(AY_SONU!$B$7:$B$42=DATE(YEAR($E1353),MONTH($E1353),1))))</f>
        <v/>
      </c>
    </row>
    <row r="1354">
      <c r="A1354" s="6" t="n"/>
      <c r="B1354" s="113">
        <f>IF($D1354="","","T"&amp;TEXT(ROW()-6,"00000"))</f>
        <v/>
      </c>
      <c r="C1354" s="113">
        <f>IF($D1354="","",IFERROR(INDEX(MUSTERILER!$B$7:$B$106,MATCH($R1354,MUSTERILER!$T$7:$T$106,0)),IFERROR(INDEX(MUSTERILER!$B$7:$B$106,MATCH($D1354,MUSTERILER!$B$7:$B$106,0)),IFERROR(INDEX(MUSTERILER!$B$7:$B$106,MATCH($R1354&amp;"*",MUSTERILER!$T$7:$T$106,0)),"TANIMSIZ MÜŞTERİ"))))</f>
        <v/>
      </c>
      <c r="D1354" s="109" t="n"/>
      <c r="E1354" s="220" t="n"/>
      <c r="F1354" s="221" t="n"/>
      <c r="G1354" s="108" t="n"/>
      <c r="H1354" s="108" t="n"/>
      <c r="I1354" s="109" t="n"/>
      <c r="J1354" s="109" t="n"/>
      <c r="K1354" s="109" t="n"/>
      <c r="L1354" s="226">
        <f>IF($E1354="","",DATE(YEAR($E1354),MONTH($E1354),1))</f>
        <v/>
      </c>
      <c r="M1354" s="113">
        <f>IF($D1354="","",IF($C1354="TANIMSIZ MÜŞTERİ","HATA",IF(OR($E1354="",$F1354&lt;=0,$G1354=""),"EKSİK",IF($E1354&gt;TODAY(),"İLERİ TARİH",IF(COUNTIF($S$7:$S$1506,$S1354)&gt;1,"MÜKERRER?",IF($T1354&gt;0,"KAPALI DÖNEM","UYGUN"))))))</f>
        <v/>
      </c>
      <c r="N1354" s="121">
        <f>IF($C1354="","",IF($C1354="TANIMSIZ MÜŞTERİ","—",INDEX(MUSTERILER!$C$7:$C$106,MATCH($C1354,MUSTERILER!$B$7:$B$106,0))))</f>
        <v/>
      </c>
      <c r="O1354" s="6" t="n"/>
      <c r="P1354" s="6" t="n"/>
      <c r="Q1354" s="3">
        <f>IF($D1354="","",$C1354&amp;"|"&amp;COUNTIFS($C$7:$C1354,$C1354))</f>
        <v/>
      </c>
      <c r="R1354" s="3">
        <f>IF($D1354="","",UPPER(SUBSTITUTE(SUBSTITUTE(SUBSTITUTE(SUBSTITUTE(SUBSTITUTE(SUBSTITUTE(SUBSTITUTE(SUBSTITUTE(SUBSTITUTE(SUBSTITUTE(SUBSTITUTE(SUBSTITUTE(SUBSTITUTE(SUBSTITUTE(SUBSTITUTE(SUBSTITUTE(SUBSTITUTE(SUBSTITUTE(TRIM($D1354),"'",""),"İ","I"),"ı","I"),"i","I"),"Ş","S"),"ş","S"),"Ğ","G"),"ğ","G"),"Ü","U"),"ü","U"),"Ö","O"),"ö","O"),"Ç","C"),"ç","C"),".",""),",","")," ",""),"-","")))</f>
        <v/>
      </c>
      <c r="S1354" s="3">
        <f>IF($D1354="","",$C1354&amp;"|"&amp;TEXT($E1354,"0")&amp;"|"&amp;TEXT($F1354,"0")&amp;"|"&amp;$I1354)</f>
        <v/>
      </c>
      <c r="T1354" s="3">
        <f>IF($E1354="",0,SUMPRODUCT((AY_SONU!$O$7:$O$42="Evet")*(AY_SONU!$B$7:$B$42=DATE(YEAR($E1354),MONTH($E1354),1))))</f>
        <v/>
      </c>
    </row>
    <row r="1355">
      <c r="A1355" s="6" t="n"/>
      <c r="B1355" s="113">
        <f>IF($D1355="","","T"&amp;TEXT(ROW()-6,"00000"))</f>
        <v/>
      </c>
      <c r="C1355" s="113">
        <f>IF($D1355="","",IFERROR(INDEX(MUSTERILER!$B$7:$B$106,MATCH($R1355,MUSTERILER!$T$7:$T$106,0)),IFERROR(INDEX(MUSTERILER!$B$7:$B$106,MATCH($D1355,MUSTERILER!$B$7:$B$106,0)),IFERROR(INDEX(MUSTERILER!$B$7:$B$106,MATCH($R1355&amp;"*",MUSTERILER!$T$7:$T$106,0)),"TANIMSIZ MÜŞTERİ"))))</f>
        <v/>
      </c>
      <c r="D1355" s="109" t="n"/>
      <c r="E1355" s="220" t="n"/>
      <c r="F1355" s="221" t="n"/>
      <c r="G1355" s="108" t="n"/>
      <c r="H1355" s="108" t="n"/>
      <c r="I1355" s="109" t="n"/>
      <c r="J1355" s="109" t="n"/>
      <c r="K1355" s="109" t="n"/>
      <c r="L1355" s="226">
        <f>IF($E1355="","",DATE(YEAR($E1355),MONTH($E1355),1))</f>
        <v/>
      </c>
      <c r="M1355" s="113">
        <f>IF($D1355="","",IF($C1355="TANIMSIZ MÜŞTERİ","HATA",IF(OR($E1355="",$F1355&lt;=0,$G1355=""),"EKSİK",IF($E1355&gt;TODAY(),"İLERİ TARİH",IF(COUNTIF($S$7:$S$1506,$S1355)&gt;1,"MÜKERRER?",IF($T1355&gt;0,"KAPALI DÖNEM","UYGUN"))))))</f>
        <v/>
      </c>
      <c r="N1355" s="121">
        <f>IF($C1355="","",IF($C1355="TANIMSIZ MÜŞTERİ","—",INDEX(MUSTERILER!$C$7:$C$106,MATCH($C1355,MUSTERILER!$B$7:$B$106,0))))</f>
        <v/>
      </c>
      <c r="O1355" s="6" t="n"/>
      <c r="P1355" s="6" t="n"/>
      <c r="Q1355" s="3">
        <f>IF($D1355="","",$C1355&amp;"|"&amp;COUNTIFS($C$7:$C1355,$C1355))</f>
        <v/>
      </c>
      <c r="R1355" s="3">
        <f>IF($D1355="","",UPPER(SUBSTITUTE(SUBSTITUTE(SUBSTITUTE(SUBSTITUTE(SUBSTITUTE(SUBSTITUTE(SUBSTITUTE(SUBSTITUTE(SUBSTITUTE(SUBSTITUTE(SUBSTITUTE(SUBSTITUTE(SUBSTITUTE(SUBSTITUTE(SUBSTITUTE(SUBSTITUTE(SUBSTITUTE(SUBSTITUTE(TRIM($D1355),"'",""),"İ","I"),"ı","I"),"i","I"),"Ş","S"),"ş","S"),"Ğ","G"),"ğ","G"),"Ü","U"),"ü","U"),"Ö","O"),"ö","O"),"Ç","C"),"ç","C"),".",""),",","")," ",""),"-","")))</f>
        <v/>
      </c>
      <c r="S1355" s="3">
        <f>IF($D1355="","",$C1355&amp;"|"&amp;TEXT($E1355,"0")&amp;"|"&amp;TEXT($F1355,"0")&amp;"|"&amp;$I1355)</f>
        <v/>
      </c>
      <c r="T1355" s="3">
        <f>IF($E1355="",0,SUMPRODUCT((AY_SONU!$O$7:$O$42="Evet")*(AY_SONU!$B$7:$B$42=DATE(YEAR($E1355),MONTH($E1355),1))))</f>
        <v/>
      </c>
    </row>
    <row r="1356">
      <c r="A1356" s="6" t="n"/>
      <c r="B1356" s="113">
        <f>IF($D1356="","","T"&amp;TEXT(ROW()-6,"00000"))</f>
        <v/>
      </c>
      <c r="C1356" s="113">
        <f>IF($D1356="","",IFERROR(INDEX(MUSTERILER!$B$7:$B$106,MATCH($R1356,MUSTERILER!$T$7:$T$106,0)),IFERROR(INDEX(MUSTERILER!$B$7:$B$106,MATCH($D1356,MUSTERILER!$B$7:$B$106,0)),IFERROR(INDEX(MUSTERILER!$B$7:$B$106,MATCH($R1356&amp;"*",MUSTERILER!$T$7:$T$106,0)),"TANIMSIZ MÜŞTERİ"))))</f>
        <v/>
      </c>
      <c r="D1356" s="109" t="n"/>
      <c r="E1356" s="220" t="n"/>
      <c r="F1356" s="221" t="n"/>
      <c r="G1356" s="108" t="n"/>
      <c r="H1356" s="108" t="n"/>
      <c r="I1356" s="109" t="n"/>
      <c r="J1356" s="109" t="n"/>
      <c r="K1356" s="109" t="n"/>
      <c r="L1356" s="226">
        <f>IF($E1356="","",DATE(YEAR($E1356),MONTH($E1356),1))</f>
        <v/>
      </c>
      <c r="M1356" s="113">
        <f>IF($D1356="","",IF($C1356="TANIMSIZ MÜŞTERİ","HATA",IF(OR($E1356="",$F1356&lt;=0,$G1356=""),"EKSİK",IF($E1356&gt;TODAY(),"İLERİ TARİH",IF(COUNTIF($S$7:$S$1506,$S1356)&gt;1,"MÜKERRER?",IF($T1356&gt;0,"KAPALI DÖNEM","UYGUN"))))))</f>
        <v/>
      </c>
      <c r="N1356" s="121">
        <f>IF($C1356="","",IF($C1356="TANIMSIZ MÜŞTERİ","—",INDEX(MUSTERILER!$C$7:$C$106,MATCH($C1356,MUSTERILER!$B$7:$B$106,0))))</f>
        <v/>
      </c>
      <c r="O1356" s="6" t="n"/>
      <c r="P1356" s="6" t="n"/>
      <c r="Q1356" s="3">
        <f>IF($D1356="","",$C1356&amp;"|"&amp;COUNTIFS($C$7:$C1356,$C1356))</f>
        <v/>
      </c>
      <c r="R1356" s="3">
        <f>IF($D1356="","",UPPER(SUBSTITUTE(SUBSTITUTE(SUBSTITUTE(SUBSTITUTE(SUBSTITUTE(SUBSTITUTE(SUBSTITUTE(SUBSTITUTE(SUBSTITUTE(SUBSTITUTE(SUBSTITUTE(SUBSTITUTE(SUBSTITUTE(SUBSTITUTE(SUBSTITUTE(SUBSTITUTE(SUBSTITUTE(SUBSTITUTE(TRIM($D1356),"'",""),"İ","I"),"ı","I"),"i","I"),"Ş","S"),"ş","S"),"Ğ","G"),"ğ","G"),"Ü","U"),"ü","U"),"Ö","O"),"ö","O"),"Ç","C"),"ç","C"),".",""),",","")," ",""),"-","")))</f>
        <v/>
      </c>
      <c r="S1356" s="3">
        <f>IF($D1356="","",$C1356&amp;"|"&amp;TEXT($E1356,"0")&amp;"|"&amp;TEXT($F1356,"0")&amp;"|"&amp;$I1356)</f>
        <v/>
      </c>
      <c r="T1356" s="3">
        <f>IF($E1356="",0,SUMPRODUCT((AY_SONU!$O$7:$O$42="Evet")*(AY_SONU!$B$7:$B$42=DATE(YEAR($E1356),MONTH($E1356),1))))</f>
        <v/>
      </c>
    </row>
    <row r="1357">
      <c r="A1357" s="6" t="n"/>
      <c r="B1357" s="113">
        <f>IF($D1357="","","T"&amp;TEXT(ROW()-6,"00000"))</f>
        <v/>
      </c>
      <c r="C1357" s="113">
        <f>IF($D1357="","",IFERROR(INDEX(MUSTERILER!$B$7:$B$106,MATCH($R1357,MUSTERILER!$T$7:$T$106,0)),IFERROR(INDEX(MUSTERILER!$B$7:$B$106,MATCH($D1357,MUSTERILER!$B$7:$B$106,0)),IFERROR(INDEX(MUSTERILER!$B$7:$B$106,MATCH($R1357&amp;"*",MUSTERILER!$T$7:$T$106,0)),"TANIMSIZ MÜŞTERİ"))))</f>
        <v/>
      </c>
      <c r="D1357" s="109" t="n"/>
      <c r="E1357" s="220" t="n"/>
      <c r="F1357" s="221" t="n"/>
      <c r="G1357" s="108" t="n"/>
      <c r="H1357" s="108" t="n"/>
      <c r="I1357" s="109" t="n"/>
      <c r="J1357" s="109" t="n"/>
      <c r="K1357" s="109" t="n"/>
      <c r="L1357" s="226">
        <f>IF($E1357="","",DATE(YEAR($E1357),MONTH($E1357),1))</f>
        <v/>
      </c>
      <c r="M1357" s="113">
        <f>IF($D1357="","",IF($C1357="TANIMSIZ MÜŞTERİ","HATA",IF(OR($E1357="",$F1357&lt;=0,$G1357=""),"EKSİK",IF($E1357&gt;TODAY(),"İLERİ TARİH",IF(COUNTIF($S$7:$S$1506,$S1357)&gt;1,"MÜKERRER?",IF($T1357&gt;0,"KAPALI DÖNEM","UYGUN"))))))</f>
        <v/>
      </c>
      <c r="N1357" s="121">
        <f>IF($C1357="","",IF($C1357="TANIMSIZ MÜŞTERİ","—",INDEX(MUSTERILER!$C$7:$C$106,MATCH($C1357,MUSTERILER!$B$7:$B$106,0))))</f>
        <v/>
      </c>
      <c r="O1357" s="6" t="n"/>
      <c r="P1357" s="6" t="n"/>
      <c r="Q1357" s="3">
        <f>IF($D1357="","",$C1357&amp;"|"&amp;COUNTIFS($C$7:$C1357,$C1357))</f>
        <v/>
      </c>
      <c r="R1357" s="3">
        <f>IF($D1357="","",UPPER(SUBSTITUTE(SUBSTITUTE(SUBSTITUTE(SUBSTITUTE(SUBSTITUTE(SUBSTITUTE(SUBSTITUTE(SUBSTITUTE(SUBSTITUTE(SUBSTITUTE(SUBSTITUTE(SUBSTITUTE(SUBSTITUTE(SUBSTITUTE(SUBSTITUTE(SUBSTITUTE(SUBSTITUTE(SUBSTITUTE(TRIM($D1357),"'",""),"İ","I"),"ı","I"),"i","I"),"Ş","S"),"ş","S"),"Ğ","G"),"ğ","G"),"Ü","U"),"ü","U"),"Ö","O"),"ö","O"),"Ç","C"),"ç","C"),".",""),",","")," ",""),"-","")))</f>
        <v/>
      </c>
      <c r="S1357" s="3">
        <f>IF($D1357="","",$C1357&amp;"|"&amp;TEXT($E1357,"0")&amp;"|"&amp;TEXT($F1357,"0")&amp;"|"&amp;$I1357)</f>
        <v/>
      </c>
      <c r="T1357" s="3">
        <f>IF($E1357="",0,SUMPRODUCT((AY_SONU!$O$7:$O$42="Evet")*(AY_SONU!$B$7:$B$42=DATE(YEAR($E1357),MONTH($E1357),1))))</f>
        <v/>
      </c>
    </row>
    <row r="1358">
      <c r="A1358" s="6" t="n"/>
      <c r="B1358" s="113">
        <f>IF($D1358="","","T"&amp;TEXT(ROW()-6,"00000"))</f>
        <v/>
      </c>
      <c r="C1358" s="113">
        <f>IF($D1358="","",IFERROR(INDEX(MUSTERILER!$B$7:$B$106,MATCH($R1358,MUSTERILER!$T$7:$T$106,0)),IFERROR(INDEX(MUSTERILER!$B$7:$B$106,MATCH($D1358,MUSTERILER!$B$7:$B$106,0)),IFERROR(INDEX(MUSTERILER!$B$7:$B$106,MATCH($R1358&amp;"*",MUSTERILER!$T$7:$T$106,0)),"TANIMSIZ MÜŞTERİ"))))</f>
        <v/>
      </c>
      <c r="D1358" s="109" t="n"/>
      <c r="E1358" s="220" t="n"/>
      <c r="F1358" s="221" t="n"/>
      <c r="G1358" s="108" t="n"/>
      <c r="H1358" s="108" t="n"/>
      <c r="I1358" s="109" t="n"/>
      <c r="J1358" s="109" t="n"/>
      <c r="K1358" s="109" t="n"/>
      <c r="L1358" s="226">
        <f>IF($E1358="","",DATE(YEAR($E1358),MONTH($E1358),1))</f>
        <v/>
      </c>
      <c r="M1358" s="113">
        <f>IF($D1358="","",IF($C1358="TANIMSIZ MÜŞTERİ","HATA",IF(OR($E1358="",$F1358&lt;=0,$G1358=""),"EKSİK",IF($E1358&gt;TODAY(),"İLERİ TARİH",IF(COUNTIF($S$7:$S$1506,$S1358)&gt;1,"MÜKERRER?",IF($T1358&gt;0,"KAPALI DÖNEM","UYGUN"))))))</f>
        <v/>
      </c>
      <c r="N1358" s="121">
        <f>IF($C1358="","",IF($C1358="TANIMSIZ MÜŞTERİ","—",INDEX(MUSTERILER!$C$7:$C$106,MATCH($C1358,MUSTERILER!$B$7:$B$106,0))))</f>
        <v/>
      </c>
      <c r="O1358" s="6" t="n"/>
      <c r="P1358" s="6" t="n"/>
      <c r="Q1358" s="3">
        <f>IF($D1358="","",$C1358&amp;"|"&amp;COUNTIFS($C$7:$C1358,$C1358))</f>
        <v/>
      </c>
      <c r="R1358" s="3">
        <f>IF($D1358="","",UPPER(SUBSTITUTE(SUBSTITUTE(SUBSTITUTE(SUBSTITUTE(SUBSTITUTE(SUBSTITUTE(SUBSTITUTE(SUBSTITUTE(SUBSTITUTE(SUBSTITUTE(SUBSTITUTE(SUBSTITUTE(SUBSTITUTE(SUBSTITUTE(SUBSTITUTE(SUBSTITUTE(SUBSTITUTE(SUBSTITUTE(TRIM($D1358),"'",""),"İ","I"),"ı","I"),"i","I"),"Ş","S"),"ş","S"),"Ğ","G"),"ğ","G"),"Ü","U"),"ü","U"),"Ö","O"),"ö","O"),"Ç","C"),"ç","C"),".",""),",","")," ",""),"-","")))</f>
        <v/>
      </c>
      <c r="S1358" s="3">
        <f>IF($D1358="","",$C1358&amp;"|"&amp;TEXT($E1358,"0")&amp;"|"&amp;TEXT($F1358,"0")&amp;"|"&amp;$I1358)</f>
        <v/>
      </c>
      <c r="T1358" s="3">
        <f>IF($E1358="",0,SUMPRODUCT((AY_SONU!$O$7:$O$42="Evet")*(AY_SONU!$B$7:$B$42=DATE(YEAR($E1358),MONTH($E1358),1))))</f>
        <v/>
      </c>
    </row>
    <row r="1359">
      <c r="A1359" s="6" t="n"/>
      <c r="B1359" s="113">
        <f>IF($D1359="","","T"&amp;TEXT(ROW()-6,"00000"))</f>
        <v/>
      </c>
      <c r="C1359" s="113">
        <f>IF($D1359="","",IFERROR(INDEX(MUSTERILER!$B$7:$B$106,MATCH($R1359,MUSTERILER!$T$7:$T$106,0)),IFERROR(INDEX(MUSTERILER!$B$7:$B$106,MATCH($D1359,MUSTERILER!$B$7:$B$106,0)),IFERROR(INDEX(MUSTERILER!$B$7:$B$106,MATCH($R1359&amp;"*",MUSTERILER!$T$7:$T$106,0)),"TANIMSIZ MÜŞTERİ"))))</f>
        <v/>
      </c>
      <c r="D1359" s="109" t="n"/>
      <c r="E1359" s="220" t="n"/>
      <c r="F1359" s="221" t="n"/>
      <c r="G1359" s="108" t="n"/>
      <c r="H1359" s="108" t="n"/>
      <c r="I1359" s="109" t="n"/>
      <c r="J1359" s="109" t="n"/>
      <c r="K1359" s="109" t="n"/>
      <c r="L1359" s="226">
        <f>IF($E1359="","",DATE(YEAR($E1359),MONTH($E1359),1))</f>
        <v/>
      </c>
      <c r="M1359" s="113">
        <f>IF($D1359="","",IF($C1359="TANIMSIZ MÜŞTERİ","HATA",IF(OR($E1359="",$F1359&lt;=0,$G1359=""),"EKSİK",IF($E1359&gt;TODAY(),"İLERİ TARİH",IF(COUNTIF($S$7:$S$1506,$S1359)&gt;1,"MÜKERRER?",IF($T1359&gt;0,"KAPALI DÖNEM","UYGUN"))))))</f>
        <v/>
      </c>
      <c r="N1359" s="121">
        <f>IF($C1359="","",IF($C1359="TANIMSIZ MÜŞTERİ","—",INDEX(MUSTERILER!$C$7:$C$106,MATCH($C1359,MUSTERILER!$B$7:$B$106,0))))</f>
        <v/>
      </c>
      <c r="O1359" s="6" t="n"/>
      <c r="P1359" s="6" t="n"/>
      <c r="Q1359" s="3">
        <f>IF($D1359="","",$C1359&amp;"|"&amp;COUNTIFS($C$7:$C1359,$C1359))</f>
        <v/>
      </c>
      <c r="R1359" s="3">
        <f>IF($D1359="","",UPPER(SUBSTITUTE(SUBSTITUTE(SUBSTITUTE(SUBSTITUTE(SUBSTITUTE(SUBSTITUTE(SUBSTITUTE(SUBSTITUTE(SUBSTITUTE(SUBSTITUTE(SUBSTITUTE(SUBSTITUTE(SUBSTITUTE(SUBSTITUTE(SUBSTITUTE(SUBSTITUTE(SUBSTITUTE(SUBSTITUTE(TRIM($D1359),"'",""),"İ","I"),"ı","I"),"i","I"),"Ş","S"),"ş","S"),"Ğ","G"),"ğ","G"),"Ü","U"),"ü","U"),"Ö","O"),"ö","O"),"Ç","C"),"ç","C"),".",""),",","")," ",""),"-","")))</f>
        <v/>
      </c>
      <c r="S1359" s="3">
        <f>IF($D1359="","",$C1359&amp;"|"&amp;TEXT($E1359,"0")&amp;"|"&amp;TEXT($F1359,"0")&amp;"|"&amp;$I1359)</f>
        <v/>
      </c>
      <c r="T1359" s="3">
        <f>IF($E1359="",0,SUMPRODUCT((AY_SONU!$O$7:$O$42="Evet")*(AY_SONU!$B$7:$B$42=DATE(YEAR($E1359),MONTH($E1359),1))))</f>
        <v/>
      </c>
    </row>
    <row r="1360">
      <c r="A1360" s="6" t="n"/>
      <c r="B1360" s="113">
        <f>IF($D1360="","","T"&amp;TEXT(ROW()-6,"00000"))</f>
        <v/>
      </c>
      <c r="C1360" s="113">
        <f>IF($D1360="","",IFERROR(INDEX(MUSTERILER!$B$7:$B$106,MATCH($R1360,MUSTERILER!$T$7:$T$106,0)),IFERROR(INDEX(MUSTERILER!$B$7:$B$106,MATCH($D1360,MUSTERILER!$B$7:$B$106,0)),IFERROR(INDEX(MUSTERILER!$B$7:$B$106,MATCH($R1360&amp;"*",MUSTERILER!$T$7:$T$106,0)),"TANIMSIZ MÜŞTERİ"))))</f>
        <v/>
      </c>
      <c r="D1360" s="109" t="n"/>
      <c r="E1360" s="220" t="n"/>
      <c r="F1360" s="221" t="n"/>
      <c r="G1360" s="108" t="n"/>
      <c r="H1360" s="108" t="n"/>
      <c r="I1360" s="109" t="n"/>
      <c r="J1360" s="109" t="n"/>
      <c r="K1360" s="109" t="n"/>
      <c r="L1360" s="226">
        <f>IF($E1360="","",DATE(YEAR($E1360),MONTH($E1360),1))</f>
        <v/>
      </c>
      <c r="M1360" s="113">
        <f>IF($D1360="","",IF($C1360="TANIMSIZ MÜŞTERİ","HATA",IF(OR($E1360="",$F1360&lt;=0,$G1360=""),"EKSİK",IF($E1360&gt;TODAY(),"İLERİ TARİH",IF(COUNTIF($S$7:$S$1506,$S1360)&gt;1,"MÜKERRER?",IF($T1360&gt;0,"KAPALI DÖNEM","UYGUN"))))))</f>
        <v/>
      </c>
      <c r="N1360" s="121">
        <f>IF($C1360="","",IF($C1360="TANIMSIZ MÜŞTERİ","—",INDEX(MUSTERILER!$C$7:$C$106,MATCH($C1360,MUSTERILER!$B$7:$B$106,0))))</f>
        <v/>
      </c>
      <c r="O1360" s="6" t="n"/>
      <c r="P1360" s="6" t="n"/>
      <c r="Q1360" s="3">
        <f>IF($D1360="","",$C1360&amp;"|"&amp;COUNTIFS($C$7:$C1360,$C1360))</f>
        <v/>
      </c>
      <c r="R1360" s="3">
        <f>IF($D1360="","",UPPER(SUBSTITUTE(SUBSTITUTE(SUBSTITUTE(SUBSTITUTE(SUBSTITUTE(SUBSTITUTE(SUBSTITUTE(SUBSTITUTE(SUBSTITUTE(SUBSTITUTE(SUBSTITUTE(SUBSTITUTE(SUBSTITUTE(SUBSTITUTE(SUBSTITUTE(SUBSTITUTE(SUBSTITUTE(SUBSTITUTE(TRIM($D1360),"'",""),"İ","I"),"ı","I"),"i","I"),"Ş","S"),"ş","S"),"Ğ","G"),"ğ","G"),"Ü","U"),"ü","U"),"Ö","O"),"ö","O"),"Ç","C"),"ç","C"),".",""),",","")," ",""),"-","")))</f>
        <v/>
      </c>
      <c r="S1360" s="3">
        <f>IF($D1360="","",$C1360&amp;"|"&amp;TEXT($E1360,"0")&amp;"|"&amp;TEXT($F1360,"0")&amp;"|"&amp;$I1360)</f>
        <v/>
      </c>
      <c r="T1360" s="3">
        <f>IF($E1360="",0,SUMPRODUCT((AY_SONU!$O$7:$O$42="Evet")*(AY_SONU!$B$7:$B$42=DATE(YEAR($E1360),MONTH($E1360),1))))</f>
        <v/>
      </c>
    </row>
    <row r="1361">
      <c r="A1361" s="6" t="n"/>
      <c r="B1361" s="113">
        <f>IF($D1361="","","T"&amp;TEXT(ROW()-6,"00000"))</f>
        <v/>
      </c>
      <c r="C1361" s="113">
        <f>IF($D1361="","",IFERROR(INDEX(MUSTERILER!$B$7:$B$106,MATCH($R1361,MUSTERILER!$T$7:$T$106,0)),IFERROR(INDEX(MUSTERILER!$B$7:$B$106,MATCH($D1361,MUSTERILER!$B$7:$B$106,0)),IFERROR(INDEX(MUSTERILER!$B$7:$B$106,MATCH($R1361&amp;"*",MUSTERILER!$T$7:$T$106,0)),"TANIMSIZ MÜŞTERİ"))))</f>
        <v/>
      </c>
      <c r="D1361" s="109" t="n"/>
      <c r="E1361" s="220" t="n"/>
      <c r="F1361" s="221" t="n"/>
      <c r="G1361" s="108" t="n"/>
      <c r="H1361" s="108" t="n"/>
      <c r="I1361" s="109" t="n"/>
      <c r="J1361" s="109" t="n"/>
      <c r="K1361" s="109" t="n"/>
      <c r="L1361" s="226">
        <f>IF($E1361="","",DATE(YEAR($E1361),MONTH($E1361),1))</f>
        <v/>
      </c>
      <c r="M1361" s="113">
        <f>IF($D1361="","",IF($C1361="TANIMSIZ MÜŞTERİ","HATA",IF(OR($E1361="",$F1361&lt;=0,$G1361=""),"EKSİK",IF($E1361&gt;TODAY(),"İLERİ TARİH",IF(COUNTIF($S$7:$S$1506,$S1361)&gt;1,"MÜKERRER?",IF($T1361&gt;0,"KAPALI DÖNEM","UYGUN"))))))</f>
        <v/>
      </c>
      <c r="N1361" s="121">
        <f>IF($C1361="","",IF($C1361="TANIMSIZ MÜŞTERİ","—",INDEX(MUSTERILER!$C$7:$C$106,MATCH($C1361,MUSTERILER!$B$7:$B$106,0))))</f>
        <v/>
      </c>
      <c r="O1361" s="6" t="n"/>
      <c r="P1361" s="6" t="n"/>
      <c r="Q1361" s="3">
        <f>IF($D1361="","",$C1361&amp;"|"&amp;COUNTIFS($C$7:$C1361,$C1361))</f>
        <v/>
      </c>
      <c r="R1361" s="3">
        <f>IF($D1361="","",UPPER(SUBSTITUTE(SUBSTITUTE(SUBSTITUTE(SUBSTITUTE(SUBSTITUTE(SUBSTITUTE(SUBSTITUTE(SUBSTITUTE(SUBSTITUTE(SUBSTITUTE(SUBSTITUTE(SUBSTITUTE(SUBSTITUTE(SUBSTITUTE(SUBSTITUTE(SUBSTITUTE(SUBSTITUTE(SUBSTITUTE(TRIM($D1361),"'",""),"İ","I"),"ı","I"),"i","I"),"Ş","S"),"ş","S"),"Ğ","G"),"ğ","G"),"Ü","U"),"ü","U"),"Ö","O"),"ö","O"),"Ç","C"),"ç","C"),".",""),",","")," ",""),"-","")))</f>
        <v/>
      </c>
      <c r="S1361" s="3">
        <f>IF($D1361="","",$C1361&amp;"|"&amp;TEXT($E1361,"0")&amp;"|"&amp;TEXT($F1361,"0")&amp;"|"&amp;$I1361)</f>
        <v/>
      </c>
      <c r="T1361" s="3">
        <f>IF($E1361="",0,SUMPRODUCT((AY_SONU!$O$7:$O$42="Evet")*(AY_SONU!$B$7:$B$42=DATE(YEAR($E1361),MONTH($E1361),1))))</f>
        <v/>
      </c>
    </row>
    <row r="1362">
      <c r="A1362" s="6" t="n"/>
      <c r="B1362" s="113">
        <f>IF($D1362="","","T"&amp;TEXT(ROW()-6,"00000"))</f>
        <v/>
      </c>
      <c r="C1362" s="113">
        <f>IF($D1362="","",IFERROR(INDEX(MUSTERILER!$B$7:$B$106,MATCH($R1362,MUSTERILER!$T$7:$T$106,0)),IFERROR(INDEX(MUSTERILER!$B$7:$B$106,MATCH($D1362,MUSTERILER!$B$7:$B$106,0)),IFERROR(INDEX(MUSTERILER!$B$7:$B$106,MATCH($R1362&amp;"*",MUSTERILER!$T$7:$T$106,0)),"TANIMSIZ MÜŞTERİ"))))</f>
        <v/>
      </c>
      <c r="D1362" s="109" t="n"/>
      <c r="E1362" s="220" t="n"/>
      <c r="F1362" s="221" t="n"/>
      <c r="G1362" s="108" t="n"/>
      <c r="H1362" s="108" t="n"/>
      <c r="I1362" s="109" t="n"/>
      <c r="J1362" s="109" t="n"/>
      <c r="K1362" s="109" t="n"/>
      <c r="L1362" s="226">
        <f>IF($E1362="","",DATE(YEAR($E1362),MONTH($E1362),1))</f>
        <v/>
      </c>
      <c r="M1362" s="113">
        <f>IF($D1362="","",IF($C1362="TANIMSIZ MÜŞTERİ","HATA",IF(OR($E1362="",$F1362&lt;=0,$G1362=""),"EKSİK",IF($E1362&gt;TODAY(),"İLERİ TARİH",IF(COUNTIF($S$7:$S$1506,$S1362)&gt;1,"MÜKERRER?",IF($T1362&gt;0,"KAPALI DÖNEM","UYGUN"))))))</f>
        <v/>
      </c>
      <c r="N1362" s="121">
        <f>IF($C1362="","",IF($C1362="TANIMSIZ MÜŞTERİ","—",INDEX(MUSTERILER!$C$7:$C$106,MATCH($C1362,MUSTERILER!$B$7:$B$106,0))))</f>
        <v/>
      </c>
      <c r="O1362" s="6" t="n"/>
      <c r="P1362" s="6" t="n"/>
      <c r="Q1362" s="3">
        <f>IF($D1362="","",$C1362&amp;"|"&amp;COUNTIFS($C$7:$C1362,$C1362))</f>
        <v/>
      </c>
      <c r="R1362" s="3">
        <f>IF($D1362="","",UPPER(SUBSTITUTE(SUBSTITUTE(SUBSTITUTE(SUBSTITUTE(SUBSTITUTE(SUBSTITUTE(SUBSTITUTE(SUBSTITUTE(SUBSTITUTE(SUBSTITUTE(SUBSTITUTE(SUBSTITUTE(SUBSTITUTE(SUBSTITUTE(SUBSTITUTE(SUBSTITUTE(SUBSTITUTE(SUBSTITUTE(TRIM($D1362),"'",""),"İ","I"),"ı","I"),"i","I"),"Ş","S"),"ş","S"),"Ğ","G"),"ğ","G"),"Ü","U"),"ü","U"),"Ö","O"),"ö","O"),"Ç","C"),"ç","C"),".",""),",","")," ",""),"-","")))</f>
        <v/>
      </c>
      <c r="S1362" s="3">
        <f>IF($D1362="","",$C1362&amp;"|"&amp;TEXT($E1362,"0")&amp;"|"&amp;TEXT($F1362,"0")&amp;"|"&amp;$I1362)</f>
        <v/>
      </c>
      <c r="T1362" s="3">
        <f>IF($E1362="",0,SUMPRODUCT((AY_SONU!$O$7:$O$42="Evet")*(AY_SONU!$B$7:$B$42=DATE(YEAR($E1362),MONTH($E1362),1))))</f>
        <v/>
      </c>
    </row>
    <row r="1363">
      <c r="A1363" s="6" t="n"/>
      <c r="B1363" s="113">
        <f>IF($D1363="","","T"&amp;TEXT(ROW()-6,"00000"))</f>
        <v/>
      </c>
      <c r="C1363" s="113">
        <f>IF($D1363="","",IFERROR(INDEX(MUSTERILER!$B$7:$B$106,MATCH($R1363,MUSTERILER!$T$7:$T$106,0)),IFERROR(INDEX(MUSTERILER!$B$7:$B$106,MATCH($D1363,MUSTERILER!$B$7:$B$106,0)),IFERROR(INDEX(MUSTERILER!$B$7:$B$106,MATCH($R1363&amp;"*",MUSTERILER!$T$7:$T$106,0)),"TANIMSIZ MÜŞTERİ"))))</f>
        <v/>
      </c>
      <c r="D1363" s="109" t="n"/>
      <c r="E1363" s="220" t="n"/>
      <c r="F1363" s="221" t="n"/>
      <c r="G1363" s="108" t="n"/>
      <c r="H1363" s="108" t="n"/>
      <c r="I1363" s="109" t="n"/>
      <c r="J1363" s="109" t="n"/>
      <c r="K1363" s="109" t="n"/>
      <c r="L1363" s="226">
        <f>IF($E1363="","",DATE(YEAR($E1363),MONTH($E1363),1))</f>
        <v/>
      </c>
      <c r="M1363" s="113">
        <f>IF($D1363="","",IF($C1363="TANIMSIZ MÜŞTERİ","HATA",IF(OR($E1363="",$F1363&lt;=0,$G1363=""),"EKSİK",IF($E1363&gt;TODAY(),"İLERİ TARİH",IF(COUNTIF($S$7:$S$1506,$S1363)&gt;1,"MÜKERRER?",IF($T1363&gt;0,"KAPALI DÖNEM","UYGUN"))))))</f>
        <v/>
      </c>
      <c r="N1363" s="121">
        <f>IF($C1363="","",IF($C1363="TANIMSIZ MÜŞTERİ","—",INDEX(MUSTERILER!$C$7:$C$106,MATCH($C1363,MUSTERILER!$B$7:$B$106,0))))</f>
        <v/>
      </c>
      <c r="O1363" s="6" t="n"/>
      <c r="P1363" s="6" t="n"/>
      <c r="Q1363" s="3">
        <f>IF($D1363="","",$C1363&amp;"|"&amp;COUNTIFS($C$7:$C1363,$C1363))</f>
        <v/>
      </c>
      <c r="R1363" s="3">
        <f>IF($D1363="","",UPPER(SUBSTITUTE(SUBSTITUTE(SUBSTITUTE(SUBSTITUTE(SUBSTITUTE(SUBSTITUTE(SUBSTITUTE(SUBSTITUTE(SUBSTITUTE(SUBSTITUTE(SUBSTITUTE(SUBSTITUTE(SUBSTITUTE(SUBSTITUTE(SUBSTITUTE(SUBSTITUTE(SUBSTITUTE(SUBSTITUTE(TRIM($D1363),"'",""),"İ","I"),"ı","I"),"i","I"),"Ş","S"),"ş","S"),"Ğ","G"),"ğ","G"),"Ü","U"),"ü","U"),"Ö","O"),"ö","O"),"Ç","C"),"ç","C"),".",""),",","")," ",""),"-","")))</f>
        <v/>
      </c>
      <c r="S1363" s="3">
        <f>IF($D1363="","",$C1363&amp;"|"&amp;TEXT($E1363,"0")&amp;"|"&amp;TEXT($F1363,"0")&amp;"|"&amp;$I1363)</f>
        <v/>
      </c>
      <c r="T1363" s="3">
        <f>IF($E1363="",0,SUMPRODUCT((AY_SONU!$O$7:$O$42="Evet")*(AY_SONU!$B$7:$B$42=DATE(YEAR($E1363),MONTH($E1363),1))))</f>
        <v/>
      </c>
    </row>
    <row r="1364">
      <c r="A1364" s="6" t="n"/>
      <c r="B1364" s="113">
        <f>IF($D1364="","","T"&amp;TEXT(ROW()-6,"00000"))</f>
        <v/>
      </c>
      <c r="C1364" s="113">
        <f>IF($D1364="","",IFERROR(INDEX(MUSTERILER!$B$7:$B$106,MATCH($R1364,MUSTERILER!$T$7:$T$106,0)),IFERROR(INDEX(MUSTERILER!$B$7:$B$106,MATCH($D1364,MUSTERILER!$B$7:$B$106,0)),IFERROR(INDEX(MUSTERILER!$B$7:$B$106,MATCH($R1364&amp;"*",MUSTERILER!$T$7:$T$106,0)),"TANIMSIZ MÜŞTERİ"))))</f>
        <v/>
      </c>
      <c r="D1364" s="109" t="n"/>
      <c r="E1364" s="220" t="n"/>
      <c r="F1364" s="221" t="n"/>
      <c r="G1364" s="108" t="n"/>
      <c r="H1364" s="108" t="n"/>
      <c r="I1364" s="109" t="n"/>
      <c r="J1364" s="109" t="n"/>
      <c r="K1364" s="109" t="n"/>
      <c r="L1364" s="226">
        <f>IF($E1364="","",DATE(YEAR($E1364),MONTH($E1364),1))</f>
        <v/>
      </c>
      <c r="M1364" s="113">
        <f>IF($D1364="","",IF($C1364="TANIMSIZ MÜŞTERİ","HATA",IF(OR($E1364="",$F1364&lt;=0,$G1364=""),"EKSİK",IF($E1364&gt;TODAY(),"İLERİ TARİH",IF(COUNTIF($S$7:$S$1506,$S1364)&gt;1,"MÜKERRER?",IF($T1364&gt;0,"KAPALI DÖNEM","UYGUN"))))))</f>
        <v/>
      </c>
      <c r="N1364" s="121">
        <f>IF($C1364="","",IF($C1364="TANIMSIZ MÜŞTERİ","—",INDEX(MUSTERILER!$C$7:$C$106,MATCH($C1364,MUSTERILER!$B$7:$B$106,0))))</f>
        <v/>
      </c>
      <c r="O1364" s="6" t="n"/>
      <c r="P1364" s="6" t="n"/>
      <c r="Q1364" s="3">
        <f>IF($D1364="","",$C1364&amp;"|"&amp;COUNTIFS($C$7:$C1364,$C1364))</f>
        <v/>
      </c>
      <c r="R1364" s="3">
        <f>IF($D1364="","",UPPER(SUBSTITUTE(SUBSTITUTE(SUBSTITUTE(SUBSTITUTE(SUBSTITUTE(SUBSTITUTE(SUBSTITUTE(SUBSTITUTE(SUBSTITUTE(SUBSTITUTE(SUBSTITUTE(SUBSTITUTE(SUBSTITUTE(SUBSTITUTE(SUBSTITUTE(SUBSTITUTE(SUBSTITUTE(SUBSTITUTE(TRIM($D1364),"'",""),"İ","I"),"ı","I"),"i","I"),"Ş","S"),"ş","S"),"Ğ","G"),"ğ","G"),"Ü","U"),"ü","U"),"Ö","O"),"ö","O"),"Ç","C"),"ç","C"),".",""),",","")," ",""),"-","")))</f>
        <v/>
      </c>
      <c r="S1364" s="3">
        <f>IF($D1364="","",$C1364&amp;"|"&amp;TEXT($E1364,"0")&amp;"|"&amp;TEXT($F1364,"0")&amp;"|"&amp;$I1364)</f>
        <v/>
      </c>
      <c r="T1364" s="3">
        <f>IF($E1364="",0,SUMPRODUCT((AY_SONU!$O$7:$O$42="Evet")*(AY_SONU!$B$7:$B$42=DATE(YEAR($E1364),MONTH($E1364),1))))</f>
        <v/>
      </c>
    </row>
    <row r="1365">
      <c r="A1365" s="6" t="n"/>
      <c r="B1365" s="113">
        <f>IF($D1365="","","T"&amp;TEXT(ROW()-6,"00000"))</f>
        <v/>
      </c>
      <c r="C1365" s="113">
        <f>IF($D1365="","",IFERROR(INDEX(MUSTERILER!$B$7:$B$106,MATCH($R1365,MUSTERILER!$T$7:$T$106,0)),IFERROR(INDEX(MUSTERILER!$B$7:$B$106,MATCH($D1365,MUSTERILER!$B$7:$B$106,0)),IFERROR(INDEX(MUSTERILER!$B$7:$B$106,MATCH($R1365&amp;"*",MUSTERILER!$T$7:$T$106,0)),"TANIMSIZ MÜŞTERİ"))))</f>
        <v/>
      </c>
      <c r="D1365" s="109" t="n"/>
      <c r="E1365" s="220" t="n"/>
      <c r="F1365" s="221" t="n"/>
      <c r="G1365" s="108" t="n"/>
      <c r="H1365" s="108" t="n"/>
      <c r="I1365" s="109" t="n"/>
      <c r="J1365" s="109" t="n"/>
      <c r="K1365" s="109" t="n"/>
      <c r="L1365" s="226">
        <f>IF($E1365="","",DATE(YEAR($E1365),MONTH($E1365),1))</f>
        <v/>
      </c>
      <c r="M1365" s="113">
        <f>IF($D1365="","",IF($C1365="TANIMSIZ MÜŞTERİ","HATA",IF(OR($E1365="",$F1365&lt;=0,$G1365=""),"EKSİK",IF($E1365&gt;TODAY(),"İLERİ TARİH",IF(COUNTIF($S$7:$S$1506,$S1365)&gt;1,"MÜKERRER?",IF($T1365&gt;0,"KAPALI DÖNEM","UYGUN"))))))</f>
        <v/>
      </c>
      <c r="N1365" s="121">
        <f>IF($C1365="","",IF($C1365="TANIMSIZ MÜŞTERİ","—",INDEX(MUSTERILER!$C$7:$C$106,MATCH($C1365,MUSTERILER!$B$7:$B$106,0))))</f>
        <v/>
      </c>
      <c r="O1365" s="6" t="n"/>
      <c r="P1365" s="6" t="n"/>
      <c r="Q1365" s="3">
        <f>IF($D1365="","",$C1365&amp;"|"&amp;COUNTIFS($C$7:$C1365,$C1365))</f>
        <v/>
      </c>
      <c r="R1365" s="3">
        <f>IF($D1365="","",UPPER(SUBSTITUTE(SUBSTITUTE(SUBSTITUTE(SUBSTITUTE(SUBSTITUTE(SUBSTITUTE(SUBSTITUTE(SUBSTITUTE(SUBSTITUTE(SUBSTITUTE(SUBSTITUTE(SUBSTITUTE(SUBSTITUTE(SUBSTITUTE(SUBSTITUTE(SUBSTITUTE(SUBSTITUTE(SUBSTITUTE(TRIM($D1365),"'",""),"İ","I"),"ı","I"),"i","I"),"Ş","S"),"ş","S"),"Ğ","G"),"ğ","G"),"Ü","U"),"ü","U"),"Ö","O"),"ö","O"),"Ç","C"),"ç","C"),".",""),",","")," ",""),"-","")))</f>
        <v/>
      </c>
      <c r="S1365" s="3">
        <f>IF($D1365="","",$C1365&amp;"|"&amp;TEXT($E1365,"0")&amp;"|"&amp;TEXT($F1365,"0")&amp;"|"&amp;$I1365)</f>
        <v/>
      </c>
      <c r="T1365" s="3">
        <f>IF($E1365="",0,SUMPRODUCT((AY_SONU!$O$7:$O$42="Evet")*(AY_SONU!$B$7:$B$42=DATE(YEAR($E1365),MONTH($E1365),1))))</f>
        <v/>
      </c>
    </row>
    <row r="1366">
      <c r="A1366" s="6" t="n"/>
      <c r="B1366" s="113">
        <f>IF($D1366="","","T"&amp;TEXT(ROW()-6,"00000"))</f>
        <v/>
      </c>
      <c r="C1366" s="113">
        <f>IF($D1366="","",IFERROR(INDEX(MUSTERILER!$B$7:$B$106,MATCH($R1366,MUSTERILER!$T$7:$T$106,0)),IFERROR(INDEX(MUSTERILER!$B$7:$B$106,MATCH($D1366,MUSTERILER!$B$7:$B$106,0)),IFERROR(INDEX(MUSTERILER!$B$7:$B$106,MATCH($R1366&amp;"*",MUSTERILER!$T$7:$T$106,0)),"TANIMSIZ MÜŞTERİ"))))</f>
        <v/>
      </c>
      <c r="D1366" s="109" t="n"/>
      <c r="E1366" s="220" t="n"/>
      <c r="F1366" s="221" t="n"/>
      <c r="G1366" s="108" t="n"/>
      <c r="H1366" s="108" t="n"/>
      <c r="I1366" s="109" t="n"/>
      <c r="J1366" s="109" t="n"/>
      <c r="K1366" s="109" t="n"/>
      <c r="L1366" s="226">
        <f>IF($E1366="","",DATE(YEAR($E1366),MONTH($E1366),1))</f>
        <v/>
      </c>
      <c r="M1366" s="113">
        <f>IF($D1366="","",IF($C1366="TANIMSIZ MÜŞTERİ","HATA",IF(OR($E1366="",$F1366&lt;=0,$G1366=""),"EKSİK",IF($E1366&gt;TODAY(),"İLERİ TARİH",IF(COUNTIF($S$7:$S$1506,$S1366)&gt;1,"MÜKERRER?",IF($T1366&gt;0,"KAPALI DÖNEM","UYGUN"))))))</f>
        <v/>
      </c>
      <c r="N1366" s="121">
        <f>IF($C1366="","",IF($C1366="TANIMSIZ MÜŞTERİ","—",INDEX(MUSTERILER!$C$7:$C$106,MATCH($C1366,MUSTERILER!$B$7:$B$106,0))))</f>
        <v/>
      </c>
      <c r="O1366" s="6" t="n"/>
      <c r="P1366" s="6" t="n"/>
      <c r="Q1366" s="3">
        <f>IF($D1366="","",$C1366&amp;"|"&amp;COUNTIFS($C$7:$C1366,$C1366))</f>
        <v/>
      </c>
      <c r="R1366" s="3">
        <f>IF($D1366="","",UPPER(SUBSTITUTE(SUBSTITUTE(SUBSTITUTE(SUBSTITUTE(SUBSTITUTE(SUBSTITUTE(SUBSTITUTE(SUBSTITUTE(SUBSTITUTE(SUBSTITUTE(SUBSTITUTE(SUBSTITUTE(SUBSTITUTE(SUBSTITUTE(SUBSTITUTE(SUBSTITUTE(SUBSTITUTE(SUBSTITUTE(TRIM($D1366),"'",""),"İ","I"),"ı","I"),"i","I"),"Ş","S"),"ş","S"),"Ğ","G"),"ğ","G"),"Ü","U"),"ü","U"),"Ö","O"),"ö","O"),"Ç","C"),"ç","C"),".",""),",","")," ",""),"-","")))</f>
        <v/>
      </c>
      <c r="S1366" s="3">
        <f>IF($D1366="","",$C1366&amp;"|"&amp;TEXT($E1366,"0")&amp;"|"&amp;TEXT($F1366,"0")&amp;"|"&amp;$I1366)</f>
        <v/>
      </c>
      <c r="T1366" s="3">
        <f>IF($E1366="",0,SUMPRODUCT((AY_SONU!$O$7:$O$42="Evet")*(AY_SONU!$B$7:$B$42=DATE(YEAR($E1366),MONTH($E1366),1))))</f>
        <v/>
      </c>
    </row>
    <row r="1367">
      <c r="A1367" s="6" t="n"/>
      <c r="B1367" s="113">
        <f>IF($D1367="","","T"&amp;TEXT(ROW()-6,"00000"))</f>
        <v/>
      </c>
      <c r="C1367" s="113">
        <f>IF($D1367="","",IFERROR(INDEX(MUSTERILER!$B$7:$B$106,MATCH($R1367,MUSTERILER!$T$7:$T$106,0)),IFERROR(INDEX(MUSTERILER!$B$7:$B$106,MATCH($D1367,MUSTERILER!$B$7:$B$106,0)),IFERROR(INDEX(MUSTERILER!$B$7:$B$106,MATCH($R1367&amp;"*",MUSTERILER!$T$7:$T$106,0)),"TANIMSIZ MÜŞTERİ"))))</f>
        <v/>
      </c>
      <c r="D1367" s="109" t="n"/>
      <c r="E1367" s="220" t="n"/>
      <c r="F1367" s="221" t="n"/>
      <c r="G1367" s="108" t="n"/>
      <c r="H1367" s="108" t="n"/>
      <c r="I1367" s="109" t="n"/>
      <c r="J1367" s="109" t="n"/>
      <c r="K1367" s="109" t="n"/>
      <c r="L1367" s="226">
        <f>IF($E1367="","",DATE(YEAR($E1367),MONTH($E1367),1))</f>
        <v/>
      </c>
      <c r="M1367" s="113">
        <f>IF($D1367="","",IF($C1367="TANIMSIZ MÜŞTERİ","HATA",IF(OR($E1367="",$F1367&lt;=0,$G1367=""),"EKSİK",IF($E1367&gt;TODAY(),"İLERİ TARİH",IF(COUNTIF($S$7:$S$1506,$S1367)&gt;1,"MÜKERRER?",IF($T1367&gt;0,"KAPALI DÖNEM","UYGUN"))))))</f>
        <v/>
      </c>
      <c r="N1367" s="121">
        <f>IF($C1367="","",IF($C1367="TANIMSIZ MÜŞTERİ","—",INDEX(MUSTERILER!$C$7:$C$106,MATCH($C1367,MUSTERILER!$B$7:$B$106,0))))</f>
        <v/>
      </c>
      <c r="O1367" s="6" t="n"/>
      <c r="P1367" s="6" t="n"/>
      <c r="Q1367" s="3">
        <f>IF($D1367="","",$C1367&amp;"|"&amp;COUNTIFS($C$7:$C1367,$C1367))</f>
        <v/>
      </c>
      <c r="R1367" s="3">
        <f>IF($D1367="","",UPPER(SUBSTITUTE(SUBSTITUTE(SUBSTITUTE(SUBSTITUTE(SUBSTITUTE(SUBSTITUTE(SUBSTITUTE(SUBSTITUTE(SUBSTITUTE(SUBSTITUTE(SUBSTITUTE(SUBSTITUTE(SUBSTITUTE(SUBSTITUTE(SUBSTITUTE(SUBSTITUTE(SUBSTITUTE(SUBSTITUTE(TRIM($D1367),"'",""),"İ","I"),"ı","I"),"i","I"),"Ş","S"),"ş","S"),"Ğ","G"),"ğ","G"),"Ü","U"),"ü","U"),"Ö","O"),"ö","O"),"Ç","C"),"ç","C"),".",""),",","")," ",""),"-","")))</f>
        <v/>
      </c>
      <c r="S1367" s="3">
        <f>IF($D1367="","",$C1367&amp;"|"&amp;TEXT($E1367,"0")&amp;"|"&amp;TEXT($F1367,"0")&amp;"|"&amp;$I1367)</f>
        <v/>
      </c>
      <c r="T1367" s="3">
        <f>IF($E1367="",0,SUMPRODUCT((AY_SONU!$O$7:$O$42="Evet")*(AY_SONU!$B$7:$B$42=DATE(YEAR($E1367),MONTH($E1367),1))))</f>
        <v/>
      </c>
    </row>
    <row r="1368">
      <c r="A1368" s="6" t="n"/>
      <c r="B1368" s="113">
        <f>IF($D1368="","","T"&amp;TEXT(ROW()-6,"00000"))</f>
        <v/>
      </c>
      <c r="C1368" s="113">
        <f>IF($D1368="","",IFERROR(INDEX(MUSTERILER!$B$7:$B$106,MATCH($R1368,MUSTERILER!$T$7:$T$106,0)),IFERROR(INDEX(MUSTERILER!$B$7:$B$106,MATCH($D1368,MUSTERILER!$B$7:$B$106,0)),IFERROR(INDEX(MUSTERILER!$B$7:$B$106,MATCH($R1368&amp;"*",MUSTERILER!$T$7:$T$106,0)),"TANIMSIZ MÜŞTERİ"))))</f>
        <v/>
      </c>
      <c r="D1368" s="109" t="n"/>
      <c r="E1368" s="220" t="n"/>
      <c r="F1368" s="221" t="n"/>
      <c r="G1368" s="108" t="n"/>
      <c r="H1368" s="108" t="n"/>
      <c r="I1368" s="109" t="n"/>
      <c r="J1368" s="109" t="n"/>
      <c r="K1368" s="109" t="n"/>
      <c r="L1368" s="226">
        <f>IF($E1368="","",DATE(YEAR($E1368),MONTH($E1368),1))</f>
        <v/>
      </c>
      <c r="M1368" s="113">
        <f>IF($D1368="","",IF($C1368="TANIMSIZ MÜŞTERİ","HATA",IF(OR($E1368="",$F1368&lt;=0,$G1368=""),"EKSİK",IF($E1368&gt;TODAY(),"İLERİ TARİH",IF(COUNTIF($S$7:$S$1506,$S1368)&gt;1,"MÜKERRER?",IF($T1368&gt;0,"KAPALI DÖNEM","UYGUN"))))))</f>
        <v/>
      </c>
      <c r="N1368" s="121">
        <f>IF($C1368="","",IF($C1368="TANIMSIZ MÜŞTERİ","—",INDEX(MUSTERILER!$C$7:$C$106,MATCH($C1368,MUSTERILER!$B$7:$B$106,0))))</f>
        <v/>
      </c>
      <c r="O1368" s="6" t="n"/>
      <c r="P1368" s="6" t="n"/>
      <c r="Q1368" s="3">
        <f>IF($D1368="","",$C1368&amp;"|"&amp;COUNTIFS($C$7:$C1368,$C1368))</f>
        <v/>
      </c>
      <c r="R1368" s="3">
        <f>IF($D1368="","",UPPER(SUBSTITUTE(SUBSTITUTE(SUBSTITUTE(SUBSTITUTE(SUBSTITUTE(SUBSTITUTE(SUBSTITUTE(SUBSTITUTE(SUBSTITUTE(SUBSTITUTE(SUBSTITUTE(SUBSTITUTE(SUBSTITUTE(SUBSTITUTE(SUBSTITUTE(SUBSTITUTE(SUBSTITUTE(SUBSTITUTE(TRIM($D1368),"'",""),"İ","I"),"ı","I"),"i","I"),"Ş","S"),"ş","S"),"Ğ","G"),"ğ","G"),"Ü","U"),"ü","U"),"Ö","O"),"ö","O"),"Ç","C"),"ç","C"),".",""),",","")," ",""),"-","")))</f>
        <v/>
      </c>
      <c r="S1368" s="3">
        <f>IF($D1368="","",$C1368&amp;"|"&amp;TEXT($E1368,"0")&amp;"|"&amp;TEXT($F1368,"0")&amp;"|"&amp;$I1368)</f>
        <v/>
      </c>
      <c r="T1368" s="3">
        <f>IF($E1368="",0,SUMPRODUCT((AY_SONU!$O$7:$O$42="Evet")*(AY_SONU!$B$7:$B$42=DATE(YEAR($E1368),MONTH($E1368),1))))</f>
        <v/>
      </c>
    </row>
    <row r="1369">
      <c r="A1369" s="6" t="n"/>
      <c r="B1369" s="113">
        <f>IF($D1369="","","T"&amp;TEXT(ROW()-6,"00000"))</f>
        <v/>
      </c>
      <c r="C1369" s="113">
        <f>IF($D1369="","",IFERROR(INDEX(MUSTERILER!$B$7:$B$106,MATCH($R1369,MUSTERILER!$T$7:$T$106,0)),IFERROR(INDEX(MUSTERILER!$B$7:$B$106,MATCH($D1369,MUSTERILER!$B$7:$B$106,0)),IFERROR(INDEX(MUSTERILER!$B$7:$B$106,MATCH($R1369&amp;"*",MUSTERILER!$T$7:$T$106,0)),"TANIMSIZ MÜŞTERİ"))))</f>
        <v/>
      </c>
      <c r="D1369" s="109" t="n"/>
      <c r="E1369" s="220" t="n"/>
      <c r="F1369" s="221" t="n"/>
      <c r="G1369" s="108" t="n"/>
      <c r="H1369" s="108" t="n"/>
      <c r="I1369" s="109" t="n"/>
      <c r="J1369" s="109" t="n"/>
      <c r="K1369" s="109" t="n"/>
      <c r="L1369" s="226">
        <f>IF($E1369="","",DATE(YEAR($E1369),MONTH($E1369),1))</f>
        <v/>
      </c>
      <c r="M1369" s="113">
        <f>IF($D1369="","",IF($C1369="TANIMSIZ MÜŞTERİ","HATA",IF(OR($E1369="",$F1369&lt;=0,$G1369=""),"EKSİK",IF($E1369&gt;TODAY(),"İLERİ TARİH",IF(COUNTIF($S$7:$S$1506,$S1369)&gt;1,"MÜKERRER?",IF($T1369&gt;0,"KAPALI DÖNEM","UYGUN"))))))</f>
        <v/>
      </c>
      <c r="N1369" s="121">
        <f>IF($C1369="","",IF($C1369="TANIMSIZ MÜŞTERİ","—",INDEX(MUSTERILER!$C$7:$C$106,MATCH($C1369,MUSTERILER!$B$7:$B$106,0))))</f>
        <v/>
      </c>
      <c r="O1369" s="6" t="n"/>
      <c r="P1369" s="6" t="n"/>
      <c r="Q1369" s="3">
        <f>IF($D1369="","",$C1369&amp;"|"&amp;COUNTIFS($C$7:$C1369,$C1369))</f>
        <v/>
      </c>
      <c r="R1369" s="3">
        <f>IF($D1369="","",UPPER(SUBSTITUTE(SUBSTITUTE(SUBSTITUTE(SUBSTITUTE(SUBSTITUTE(SUBSTITUTE(SUBSTITUTE(SUBSTITUTE(SUBSTITUTE(SUBSTITUTE(SUBSTITUTE(SUBSTITUTE(SUBSTITUTE(SUBSTITUTE(SUBSTITUTE(SUBSTITUTE(SUBSTITUTE(SUBSTITUTE(TRIM($D1369),"'",""),"İ","I"),"ı","I"),"i","I"),"Ş","S"),"ş","S"),"Ğ","G"),"ğ","G"),"Ü","U"),"ü","U"),"Ö","O"),"ö","O"),"Ç","C"),"ç","C"),".",""),",","")," ",""),"-","")))</f>
        <v/>
      </c>
      <c r="S1369" s="3">
        <f>IF($D1369="","",$C1369&amp;"|"&amp;TEXT($E1369,"0")&amp;"|"&amp;TEXT($F1369,"0")&amp;"|"&amp;$I1369)</f>
        <v/>
      </c>
      <c r="T1369" s="3">
        <f>IF($E1369="",0,SUMPRODUCT((AY_SONU!$O$7:$O$42="Evet")*(AY_SONU!$B$7:$B$42=DATE(YEAR($E1369),MONTH($E1369),1))))</f>
        <v/>
      </c>
    </row>
    <row r="1370">
      <c r="A1370" s="6" t="n"/>
      <c r="B1370" s="113">
        <f>IF($D1370="","","T"&amp;TEXT(ROW()-6,"00000"))</f>
        <v/>
      </c>
      <c r="C1370" s="113">
        <f>IF($D1370="","",IFERROR(INDEX(MUSTERILER!$B$7:$B$106,MATCH($R1370,MUSTERILER!$T$7:$T$106,0)),IFERROR(INDEX(MUSTERILER!$B$7:$B$106,MATCH($D1370,MUSTERILER!$B$7:$B$106,0)),IFERROR(INDEX(MUSTERILER!$B$7:$B$106,MATCH($R1370&amp;"*",MUSTERILER!$T$7:$T$106,0)),"TANIMSIZ MÜŞTERİ"))))</f>
        <v/>
      </c>
      <c r="D1370" s="109" t="n"/>
      <c r="E1370" s="220" t="n"/>
      <c r="F1370" s="221" t="n"/>
      <c r="G1370" s="108" t="n"/>
      <c r="H1370" s="108" t="n"/>
      <c r="I1370" s="109" t="n"/>
      <c r="J1370" s="109" t="n"/>
      <c r="K1370" s="109" t="n"/>
      <c r="L1370" s="226">
        <f>IF($E1370="","",DATE(YEAR($E1370),MONTH($E1370),1))</f>
        <v/>
      </c>
      <c r="M1370" s="113">
        <f>IF($D1370="","",IF($C1370="TANIMSIZ MÜŞTERİ","HATA",IF(OR($E1370="",$F1370&lt;=0,$G1370=""),"EKSİK",IF($E1370&gt;TODAY(),"İLERİ TARİH",IF(COUNTIF($S$7:$S$1506,$S1370)&gt;1,"MÜKERRER?",IF($T1370&gt;0,"KAPALI DÖNEM","UYGUN"))))))</f>
        <v/>
      </c>
      <c r="N1370" s="121">
        <f>IF($C1370="","",IF($C1370="TANIMSIZ MÜŞTERİ","—",INDEX(MUSTERILER!$C$7:$C$106,MATCH($C1370,MUSTERILER!$B$7:$B$106,0))))</f>
        <v/>
      </c>
      <c r="O1370" s="6" t="n"/>
      <c r="P1370" s="6" t="n"/>
      <c r="Q1370" s="3">
        <f>IF($D1370="","",$C1370&amp;"|"&amp;COUNTIFS($C$7:$C1370,$C1370))</f>
        <v/>
      </c>
      <c r="R1370" s="3">
        <f>IF($D1370="","",UPPER(SUBSTITUTE(SUBSTITUTE(SUBSTITUTE(SUBSTITUTE(SUBSTITUTE(SUBSTITUTE(SUBSTITUTE(SUBSTITUTE(SUBSTITUTE(SUBSTITUTE(SUBSTITUTE(SUBSTITUTE(SUBSTITUTE(SUBSTITUTE(SUBSTITUTE(SUBSTITUTE(SUBSTITUTE(SUBSTITUTE(TRIM($D1370),"'",""),"İ","I"),"ı","I"),"i","I"),"Ş","S"),"ş","S"),"Ğ","G"),"ğ","G"),"Ü","U"),"ü","U"),"Ö","O"),"ö","O"),"Ç","C"),"ç","C"),".",""),",","")," ",""),"-","")))</f>
        <v/>
      </c>
      <c r="S1370" s="3">
        <f>IF($D1370="","",$C1370&amp;"|"&amp;TEXT($E1370,"0")&amp;"|"&amp;TEXT($F1370,"0")&amp;"|"&amp;$I1370)</f>
        <v/>
      </c>
      <c r="T1370" s="3">
        <f>IF($E1370="",0,SUMPRODUCT((AY_SONU!$O$7:$O$42="Evet")*(AY_SONU!$B$7:$B$42=DATE(YEAR($E1370),MONTH($E1370),1))))</f>
        <v/>
      </c>
    </row>
    <row r="1371">
      <c r="A1371" s="6" t="n"/>
      <c r="B1371" s="113">
        <f>IF($D1371="","","T"&amp;TEXT(ROW()-6,"00000"))</f>
        <v/>
      </c>
      <c r="C1371" s="113">
        <f>IF($D1371="","",IFERROR(INDEX(MUSTERILER!$B$7:$B$106,MATCH($R1371,MUSTERILER!$T$7:$T$106,0)),IFERROR(INDEX(MUSTERILER!$B$7:$B$106,MATCH($D1371,MUSTERILER!$B$7:$B$106,0)),IFERROR(INDEX(MUSTERILER!$B$7:$B$106,MATCH($R1371&amp;"*",MUSTERILER!$T$7:$T$106,0)),"TANIMSIZ MÜŞTERİ"))))</f>
        <v/>
      </c>
      <c r="D1371" s="109" t="n"/>
      <c r="E1371" s="220" t="n"/>
      <c r="F1371" s="221" t="n"/>
      <c r="G1371" s="108" t="n"/>
      <c r="H1371" s="108" t="n"/>
      <c r="I1371" s="109" t="n"/>
      <c r="J1371" s="109" t="n"/>
      <c r="K1371" s="109" t="n"/>
      <c r="L1371" s="226">
        <f>IF($E1371="","",DATE(YEAR($E1371),MONTH($E1371),1))</f>
        <v/>
      </c>
      <c r="M1371" s="113">
        <f>IF($D1371="","",IF($C1371="TANIMSIZ MÜŞTERİ","HATA",IF(OR($E1371="",$F1371&lt;=0,$G1371=""),"EKSİK",IF($E1371&gt;TODAY(),"İLERİ TARİH",IF(COUNTIF($S$7:$S$1506,$S1371)&gt;1,"MÜKERRER?",IF($T1371&gt;0,"KAPALI DÖNEM","UYGUN"))))))</f>
        <v/>
      </c>
      <c r="N1371" s="121">
        <f>IF($C1371="","",IF($C1371="TANIMSIZ MÜŞTERİ","—",INDEX(MUSTERILER!$C$7:$C$106,MATCH($C1371,MUSTERILER!$B$7:$B$106,0))))</f>
        <v/>
      </c>
      <c r="O1371" s="6" t="n"/>
      <c r="P1371" s="6" t="n"/>
      <c r="Q1371" s="3">
        <f>IF($D1371="","",$C1371&amp;"|"&amp;COUNTIFS($C$7:$C1371,$C1371))</f>
        <v/>
      </c>
      <c r="R1371" s="3">
        <f>IF($D1371="","",UPPER(SUBSTITUTE(SUBSTITUTE(SUBSTITUTE(SUBSTITUTE(SUBSTITUTE(SUBSTITUTE(SUBSTITUTE(SUBSTITUTE(SUBSTITUTE(SUBSTITUTE(SUBSTITUTE(SUBSTITUTE(SUBSTITUTE(SUBSTITUTE(SUBSTITUTE(SUBSTITUTE(SUBSTITUTE(SUBSTITUTE(TRIM($D1371),"'",""),"İ","I"),"ı","I"),"i","I"),"Ş","S"),"ş","S"),"Ğ","G"),"ğ","G"),"Ü","U"),"ü","U"),"Ö","O"),"ö","O"),"Ç","C"),"ç","C"),".",""),",","")," ",""),"-","")))</f>
        <v/>
      </c>
      <c r="S1371" s="3">
        <f>IF($D1371="","",$C1371&amp;"|"&amp;TEXT($E1371,"0")&amp;"|"&amp;TEXT($F1371,"0")&amp;"|"&amp;$I1371)</f>
        <v/>
      </c>
      <c r="T1371" s="3">
        <f>IF($E1371="",0,SUMPRODUCT((AY_SONU!$O$7:$O$42="Evet")*(AY_SONU!$B$7:$B$42=DATE(YEAR($E1371),MONTH($E1371),1))))</f>
        <v/>
      </c>
    </row>
    <row r="1372">
      <c r="A1372" s="6" t="n"/>
      <c r="B1372" s="113">
        <f>IF($D1372="","","T"&amp;TEXT(ROW()-6,"00000"))</f>
        <v/>
      </c>
      <c r="C1372" s="113">
        <f>IF($D1372="","",IFERROR(INDEX(MUSTERILER!$B$7:$B$106,MATCH($R1372,MUSTERILER!$T$7:$T$106,0)),IFERROR(INDEX(MUSTERILER!$B$7:$B$106,MATCH($D1372,MUSTERILER!$B$7:$B$106,0)),IFERROR(INDEX(MUSTERILER!$B$7:$B$106,MATCH($R1372&amp;"*",MUSTERILER!$T$7:$T$106,0)),"TANIMSIZ MÜŞTERİ"))))</f>
        <v/>
      </c>
      <c r="D1372" s="109" t="n"/>
      <c r="E1372" s="220" t="n"/>
      <c r="F1372" s="221" t="n"/>
      <c r="G1372" s="108" t="n"/>
      <c r="H1372" s="108" t="n"/>
      <c r="I1372" s="109" t="n"/>
      <c r="J1372" s="109" t="n"/>
      <c r="K1372" s="109" t="n"/>
      <c r="L1372" s="226">
        <f>IF($E1372="","",DATE(YEAR($E1372),MONTH($E1372),1))</f>
        <v/>
      </c>
      <c r="M1372" s="113">
        <f>IF($D1372="","",IF($C1372="TANIMSIZ MÜŞTERİ","HATA",IF(OR($E1372="",$F1372&lt;=0,$G1372=""),"EKSİK",IF($E1372&gt;TODAY(),"İLERİ TARİH",IF(COUNTIF($S$7:$S$1506,$S1372)&gt;1,"MÜKERRER?",IF($T1372&gt;0,"KAPALI DÖNEM","UYGUN"))))))</f>
        <v/>
      </c>
      <c r="N1372" s="121">
        <f>IF($C1372="","",IF($C1372="TANIMSIZ MÜŞTERİ","—",INDEX(MUSTERILER!$C$7:$C$106,MATCH($C1372,MUSTERILER!$B$7:$B$106,0))))</f>
        <v/>
      </c>
      <c r="O1372" s="6" t="n"/>
      <c r="P1372" s="6" t="n"/>
      <c r="Q1372" s="3">
        <f>IF($D1372="","",$C1372&amp;"|"&amp;COUNTIFS($C$7:$C1372,$C1372))</f>
        <v/>
      </c>
      <c r="R1372" s="3">
        <f>IF($D1372="","",UPPER(SUBSTITUTE(SUBSTITUTE(SUBSTITUTE(SUBSTITUTE(SUBSTITUTE(SUBSTITUTE(SUBSTITUTE(SUBSTITUTE(SUBSTITUTE(SUBSTITUTE(SUBSTITUTE(SUBSTITUTE(SUBSTITUTE(SUBSTITUTE(SUBSTITUTE(SUBSTITUTE(SUBSTITUTE(SUBSTITUTE(TRIM($D1372),"'",""),"İ","I"),"ı","I"),"i","I"),"Ş","S"),"ş","S"),"Ğ","G"),"ğ","G"),"Ü","U"),"ü","U"),"Ö","O"),"ö","O"),"Ç","C"),"ç","C"),".",""),",","")," ",""),"-","")))</f>
        <v/>
      </c>
      <c r="S1372" s="3">
        <f>IF($D1372="","",$C1372&amp;"|"&amp;TEXT($E1372,"0")&amp;"|"&amp;TEXT($F1372,"0")&amp;"|"&amp;$I1372)</f>
        <v/>
      </c>
      <c r="T1372" s="3">
        <f>IF($E1372="",0,SUMPRODUCT((AY_SONU!$O$7:$O$42="Evet")*(AY_SONU!$B$7:$B$42=DATE(YEAR($E1372),MONTH($E1372),1))))</f>
        <v/>
      </c>
    </row>
    <row r="1373">
      <c r="A1373" s="6" t="n"/>
      <c r="B1373" s="113">
        <f>IF($D1373="","","T"&amp;TEXT(ROW()-6,"00000"))</f>
        <v/>
      </c>
      <c r="C1373" s="113">
        <f>IF($D1373="","",IFERROR(INDEX(MUSTERILER!$B$7:$B$106,MATCH($R1373,MUSTERILER!$T$7:$T$106,0)),IFERROR(INDEX(MUSTERILER!$B$7:$B$106,MATCH($D1373,MUSTERILER!$B$7:$B$106,0)),IFERROR(INDEX(MUSTERILER!$B$7:$B$106,MATCH($R1373&amp;"*",MUSTERILER!$T$7:$T$106,0)),"TANIMSIZ MÜŞTERİ"))))</f>
        <v/>
      </c>
      <c r="D1373" s="109" t="n"/>
      <c r="E1373" s="220" t="n"/>
      <c r="F1373" s="221" t="n"/>
      <c r="G1373" s="108" t="n"/>
      <c r="H1373" s="108" t="n"/>
      <c r="I1373" s="109" t="n"/>
      <c r="J1373" s="109" t="n"/>
      <c r="K1373" s="109" t="n"/>
      <c r="L1373" s="226">
        <f>IF($E1373="","",DATE(YEAR($E1373),MONTH($E1373),1))</f>
        <v/>
      </c>
      <c r="M1373" s="113">
        <f>IF($D1373="","",IF($C1373="TANIMSIZ MÜŞTERİ","HATA",IF(OR($E1373="",$F1373&lt;=0,$G1373=""),"EKSİK",IF($E1373&gt;TODAY(),"İLERİ TARİH",IF(COUNTIF($S$7:$S$1506,$S1373)&gt;1,"MÜKERRER?",IF($T1373&gt;0,"KAPALI DÖNEM","UYGUN"))))))</f>
        <v/>
      </c>
      <c r="N1373" s="121">
        <f>IF($C1373="","",IF($C1373="TANIMSIZ MÜŞTERİ","—",INDEX(MUSTERILER!$C$7:$C$106,MATCH($C1373,MUSTERILER!$B$7:$B$106,0))))</f>
        <v/>
      </c>
      <c r="O1373" s="6" t="n"/>
      <c r="P1373" s="6" t="n"/>
      <c r="Q1373" s="3">
        <f>IF($D1373="","",$C1373&amp;"|"&amp;COUNTIFS($C$7:$C1373,$C1373))</f>
        <v/>
      </c>
      <c r="R1373" s="3">
        <f>IF($D1373="","",UPPER(SUBSTITUTE(SUBSTITUTE(SUBSTITUTE(SUBSTITUTE(SUBSTITUTE(SUBSTITUTE(SUBSTITUTE(SUBSTITUTE(SUBSTITUTE(SUBSTITUTE(SUBSTITUTE(SUBSTITUTE(SUBSTITUTE(SUBSTITUTE(SUBSTITUTE(SUBSTITUTE(SUBSTITUTE(SUBSTITUTE(TRIM($D1373),"'",""),"İ","I"),"ı","I"),"i","I"),"Ş","S"),"ş","S"),"Ğ","G"),"ğ","G"),"Ü","U"),"ü","U"),"Ö","O"),"ö","O"),"Ç","C"),"ç","C"),".",""),",","")," ",""),"-","")))</f>
        <v/>
      </c>
      <c r="S1373" s="3">
        <f>IF($D1373="","",$C1373&amp;"|"&amp;TEXT($E1373,"0")&amp;"|"&amp;TEXT($F1373,"0")&amp;"|"&amp;$I1373)</f>
        <v/>
      </c>
      <c r="T1373" s="3">
        <f>IF($E1373="",0,SUMPRODUCT((AY_SONU!$O$7:$O$42="Evet")*(AY_SONU!$B$7:$B$42=DATE(YEAR($E1373),MONTH($E1373),1))))</f>
        <v/>
      </c>
    </row>
    <row r="1374">
      <c r="A1374" s="6" t="n"/>
      <c r="B1374" s="113">
        <f>IF($D1374="","","T"&amp;TEXT(ROW()-6,"00000"))</f>
        <v/>
      </c>
      <c r="C1374" s="113">
        <f>IF($D1374="","",IFERROR(INDEX(MUSTERILER!$B$7:$B$106,MATCH($R1374,MUSTERILER!$T$7:$T$106,0)),IFERROR(INDEX(MUSTERILER!$B$7:$B$106,MATCH($D1374,MUSTERILER!$B$7:$B$106,0)),IFERROR(INDEX(MUSTERILER!$B$7:$B$106,MATCH($R1374&amp;"*",MUSTERILER!$T$7:$T$106,0)),"TANIMSIZ MÜŞTERİ"))))</f>
        <v/>
      </c>
      <c r="D1374" s="109" t="n"/>
      <c r="E1374" s="220" t="n"/>
      <c r="F1374" s="221" t="n"/>
      <c r="G1374" s="108" t="n"/>
      <c r="H1374" s="108" t="n"/>
      <c r="I1374" s="109" t="n"/>
      <c r="J1374" s="109" t="n"/>
      <c r="K1374" s="109" t="n"/>
      <c r="L1374" s="226">
        <f>IF($E1374="","",DATE(YEAR($E1374),MONTH($E1374),1))</f>
        <v/>
      </c>
      <c r="M1374" s="113">
        <f>IF($D1374="","",IF($C1374="TANIMSIZ MÜŞTERİ","HATA",IF(OR($E1374="",$F1374&lt;=0,$G1374=""),"EKSİK",IF($E1374&gt;TODAY(),"İLERİ TARİH",IF(COUNTIF($S$7:$S$1506,$S1374)&gt;1,"MÜKERRER?",IF($T1374&gt;0,"KAPALI DÖNEM","UYGUN"))))))</f>
        <v/>
      </c>
      <c r="N1374" s="121">
        <f>IF($C1374="","",IF($C1374="TANIMSIZ MÜŞTERİ","—",INDEX(MUSTERILER!$C$7:$C$106,MATCH($C1374,MUSTERILER!$B$7:$B$106,0))))</f>
        <v/>
      </c>
      <c r="O1374" s="6" t="n"/>
      <c r="P1374" s="6" t="n"/>
      <c r="Q1374" s="3">
        <f>IF($D1374="","",$C1374&amp;"|"&amp;COUNTIFS($C$7:$C1374,$C1374))</f>
        <v/>
      </c>
      <c r="R1374" s="3">
        <f>IF($D1374="","",UPPER(SUBSTITUTE(SUBSTITUTE(SUBSTITUTE(SUBSTITUTE(SUBSTITUTE(SUBSTITUTE(SUBSTITUTE(SUBSTITUTE(SUBSTITUTE(SUBSTITUTE(SUBSTITUTE(SUBSTITUTE(SUBSTITUTE(SUBSTITUTE(SUBSTITUTE(SUBSTITUTE(SUBSTITUTE(SUBSTITUTE(TRIM($D1374),"'",""),"İ","I"),"ı","I"),"i","I"),"Ş","S"),"ş","S"),"Ğ","G"),"ğ","G"),"Ü","U"),"ü","U"),"Ö","O"),"ö","O"),"Ç","C"),"ç","C"),".",""),",","")," ",""),"-","")))</f>
        <v/>
      </c>
      <c r="S1374" s="3">
        <f>IF($D1374="","",$C1374&amp;"|"&amp;TEXT($E1374,"0")&amp;"|"&amp;TEXT($F1374,"0")&amp;"|"&amp;$I1374)</f>
        <v/>
      </c>
      <c r="T1374" s="3">
        <f>IF($E1374="",0,SUMPRODUCT((AY_SONU!$O$7:$O$42="Evet")*(AY_SONU!$B$7:$B$42=DATE(YEAR($E1374),MONTH($E1374),1))))</f>
        <v/>
      </c>
    </row>
    <row r="1375">
      <c r="A1375" s="6" t="n"/>
      <c r="B1375" s="113">
        <f>IF($D1375="","","T"&amp;TEXT(ROW()-6,"00000"))</f>
        <v/>
      </c>
      <c r="C1375" s="113">
        <f>IF($D1375="","",IFERROR(INDEX(MUSTERILER!$B$7:$B$106,MATCH($R1375,MUSTERILER!$T$7:$T$106,0)),IFERROR(INDEX(MUSTERILER!$B$7:$B$106,MATCH($D1375,MUSTERILER!$B$7:$B$106,0)),IFERROR(INDEX(MUSTERILER!$B$7:$B$106,MATCH($R1375&amp;"*",MUSTERILER!$T$7:$T$106,0)),"TANIMSIZ MÜŞTERİ"))))</f>
        <v/>
      </c>
      <c r="D1375" s="109" t="n"/>
      <c r="E1375" s="220" t="n"/>
      <c r="F1375" s="221" t="n"/>
      <c r="G1375" s="108" t="n"/>
      <c r="H1375" s="108" t="n"/>
      <c r="I1375" s="109" t="n"/>
      <c r="J1375" s="109" t="n"/>
      <c r="K1375" s="109" t="n"/>
      <c r="L1375" s="226">
        <f>IF($E1375="","",DATE(YEAR($E1375),MONTH($E1375),1))</f>
        <v/>
      </c>
      <c r="M1375" s="113">
        <f>IF($D1375="","",IF($C1375="TANIMSIZ MÜŞTERİ","HATA",IF(OR($E1375="",$F1375&lt;=0,$G1375=""),"EKSİK",IF($E1375&gt;TODAY(),"İLERİ TARİH",IF(COUNTIF($S$7:$S$1506,$S1375)&gt;1,"MÜKERRER?",IF($T1375&gt;0,"KAPALI DÖNEM","UYGUN"))))))</f>
        <v/>
      </c>
      <c r="N1375" s="121">
        <f>IF($C1375="","",IF($C1375="TANIMSIZ MÜŞTERİ","—",INDEX(MUSTERILER!$C$7:$C$106,MATCH($C1375,MUSTERILER!$B$7:$B$106,0))))</f>
        <v/>
      </c>
      <c r="O1375" s="6" t="n"/>
      <c r="P1375" s="6" t="n"/>
      <c r="Q1375" s="3">
        <f>IF($D1375="","",$C1375&amp;"|"&amp;COUNTIFS($C$7:$C1375,$C1375))</f>
        <v/>
      </c>
      <c r="R1375" s="3">
        <f>IF($D1375="","",UPPER(SUBSTITUTE(SUBSTITUTE(SUBSTITUTE(SUBSTITUTE(SUBSTITUTE(SUBSTITUTE(SUBSTITUTE(SUBSTITUTE(SUBSTITUTE(SUBSTITUTE(SUBSTITUTE(SUBSTITUTE(SUBSTITUTE(SUBSTITUTE(SUBSTITUTE(SUBSTITUTE(SUBSTITUTE(SUBSTITUTE(TRIM($D1375),"'",""),"İ","I"),"ı","I"),"i","I"),"Ş","S"),"ş","S"),"Ğ","G"),"ğ","G"),"Ü","U"),"ü","U"),"Ö","O"),"ö","O"),"Ç","C"),"ç","C"),".",""),",","")," ",""),"-","")))</f>
        <v/>
      </c>
      <c r="S1375" s="3">
        <f>IF($D1375="","",$C1375&amp;"|"&amp;TEXT($E1375,"0")&amp;"|"&amp;TEXT($F1375,"0")&amp;"|"&amp;$I1375)</f>
        <v/>
      </c>
      <c r="T1375" s="3">
        <f>IF($E1375="",0,SUMPRODUCT((AY_SONU!$O$7:$O$42="Evet")*(AY_SONU!$B$7:$B$42=DATE(YEAR($E1375),MONTH($E1375),1))))</f>
        <v/>
      </c>
    </row>
    <row r="1376">
      <c r="A1376" s="6" t="n"/>
      <c r="B1376" s="113">
        <f>IF($D1376="","","T"&amp;TEXT(ROW()-6,"00000"))</f>
        <v/>
      </c>
      <c r="C1376" s="113">
        <f>IF($D1376="","",IFERROR(INDEX(MUSTERILER!$B$7:$B$106,MATCH($R1376,MUSTERILER!$T$7:$T$106,0)),IFERROR(INDEX(MUSTERILER!$B$7:$B$106,MATCH($D1376,MUSTERILER!$B$7:$B$106,0)),IFERROR(INDEX(MUSTERILER!$B$7:$B$106,MATCH($R1376&amp;"*",MUSTERILER!$T$7:$T$106,0)),"TANIMSIZ MÜŞTERİ"))))</f>
        <v/>
      </c>
      <c r="D1376" s="109" t="n"/>
      <c r="E1376" s="220" t="n"/>
      <c r="F1376" s="221" t="n"/>
      <c r="G1376" s="108" t="n"/>
      <c r="H1376" s="108" t="n"/>
      <c r="I1376" s="109" t="n"/>
      <c r="J1376" s="109" t="n"/>
      <c r="K1376" s="109" t="n"/>
      <c r="L1376" s="226">
        <f>IF($E1376="","",DATE(YEAR($E1376),MONTH($E1376),1))</f>
        <v/>
      </c>
      <c r="M1376" s="113">
        <f>IF($D1376="","",IF($C1376="TANIMSIZ MÜŞTERİ","HATA",IF(OR($E1376="",$F1376&lt;=0,$G1376=""),"EKSİK",IF($E1376&gt;TODAY(),"İLERİ TARİH",IF(COUNTIF($S$7:$S$1506,$S1376)&gt;1,"MÜKERRER?",IF($T1376&gt;0,"KAPALI DÖNEM","UYGUN"))))))</f>
        <v/>
      </c>
      <c r="N1376" s="121">
        <f>IF($C1376="","",IF($C1376="TANIMSIZ MÜŞTERİ","—",INDEX(MUSTERILER!$C$7:$C$106,MATCH($C1376,MUSTERILER!$B$7:$B$106,0))))</f>
        <v/>
      </c>
      <c r="O1376" s="6" t="n"/>
      <c r="P1376" s="6" t="n"/>
      <c r="Q1376" s="3">
        <f>IF($D1376="","",$C1376&amp;"|"&amp;COUNTIFS($C$7:$C1376,$C1376))</f>
        <v/>
      </c>
      <c r="R1376" s="3">
        <f>IF($D1376="","",UPPER(SUBSTITUTE(SUBSTITUTE(SUBSTITUTE(SUBSTITUTE(SUBSTITUTE(SUBSTITUTE(SUBSTITUTE(SUBSTITUTE(SUBSTITUTE(SUBSTITUTE(SUBSTITUTE(SUBSTITUTE(SUBSTITUTE(SUBSTITUTE(SUBSTITUTE(SUBSTITUTE(SUBSTITUTE(SUBSTITUTE(TRIM($D1376),"'",""),"İ","I"),"ı","I"),"i","I"),"Ş","S"),"ş","S"),"Ğ","G"),"ğ","G"),"Ü","U"),"ü","U"),"Ö","O"),"ö","O"),"Ç","C"),"ç","C"),".",""),",","")," ",""),"-","")))</f>
        <v/>
      </c>
      <c r="S1376" s="3">
        <f>IF($D1376="","",$C1376&amp;"|"&amp;TEXT($E1376,"0")&amp;"|"&amp;TEXT($F1376,"0")&amp;"|"&amp;$I1376)</f>
        <v/>
      </c>
      <c r="T1376" s="3">
        <f>IF($E1376="",0,SUMPRODUCT((AY_SONU!$O$7:$O$42="Evet")*(AY_SONU!$B$7:$B$42=DATE(YEAR($E1376),MONTH($E1376),1))))</f>
        <v/>
      </c>
    </row>
    <row r="1377">
      <c r="A1377" s="6" t="n"/>
      <c r="B1377" s="113">
        <f>IF($D1377="","","T"&amp;TEXT(ROW()-6,"00000"))</f>
        <v/>
      </c>
      <c r="C1377" s="113">
        <f>IF($D1377="","",IFERROR(INDEX(MUSTERILER!$B$7:$B$106,MATCH($R1377,MUSTERILER!$T$7:$T$106,0)),IFERROR(INDEX(MUSTERILER!$B$7:$B$106,MATCH($D1377,MUSTERILER!$B$7:$B$106,0)),IFERROR(INDEX(MUSTERILER!$B$7:$B$106,MATCH($R1377&amp;"*",MUSTERILER!$T$7:$T$106,0)),"TANIMSIZ MÜŞTERİ"))))</f>
        <v/>
      </c>
      <c r="D1377" s="109" t="n"/>
      <c r="E1377" s="220" t="n"/>
      <c r="F1377" s="221" t="n"/>
      <c r="G1377" s="108" t="n"/>
      <c r="H1377" s="108" t="n"/>
      <c r="I1377" s="109" t="n"/>
      <c r="J1377" s="109" t="n"/>
      <c r="K1377" s="109" t="n"/>
      <c r="L1377" s="226">
        <f>IF($E1377="","",DATE(YEAR($E1377),MONTH($E1377),1))</f>
        <v/>
      </c>
      <c r="M1377" s="113">
        <f>IF($D1377="","",IF($C1377="TANIMSIZ MÜŞTERİ","HATA",IF(OR($E1377="",$F1377&lt;=0,$G1377=""),"EKSİK",IF($E1377&gt;TODAY(),"İLERİ TARİH",IF(COUNTIF($S$7:$S$1506,$S1377)&gt;1,"MÜKERRER?",IF($T1377&gt;0,"KAPALI DÖNEM","UYGUN"))))))</f>
        <v/>
      </c>
      <c r="N1377" s="121">
        <f>IF($C1377="","",IF($C1377="TANIMSIZ MÜŞTERİ","—",INDEX(MUSTERILER!$C$7:$C$106,MATCH($C1377,MUSTERILER!$B$7:$B$106,0))))</f>
        <v/>
      </c>
      <c r="O1377" s="6" t="n"/>
      <c r="P1377" s="6" t="n"/>
      <c r="Q1377" s="3">
        <f>IF($D1377="","",$C1377&amp;"|"&amp;COUNTIFS($C$7:$C1377,$C1377))</f>
        <v/>
      </c>
      <c r="R1377" s="3">
        <f>IF($D1377="","",UPPER(SUBSTITUTE(SUBSTITUTE(SUBSTITUTE(SUBSTITUTE(SUBSTITUTE(SUBSTITUTE(SUBSTITUTE(SUBSTITUTE(SUBSTITUTE(SUBSTITUTE(SUBSTITUTE(SUBSTITUTE(SUBSTITUTE(SUBSTITUTE(SUBSTITUTE(SUBSTITUTE(SUBSTITUTE(SUBSTITUTE(TRIM($D1377),"'",""),"İ","I"),"ı","I"),"i","I"),"Ş","S"),"ş","S"),"Ğ","G"),"ğ","G"),"Ü","U"),"ü","U"),"Ö","O"),"ö","O"),"Ç","C"),"ç","C"),".",""),",","")," ",""),"-","")))</f>
        <v/>
      </c>
      <c r="S1377" s="3">
        <f>IF($D1377="","",$C1377&amp;"|"&amp;TEXT($E1377,"0")&amp;"|"&amp;TEXT($F1377,"0")&amp;"|"&amp;$I1377)</f>
        <v/>
      </c>
      <c r="T1377" s="3">
        <f>IF($E1377="",0,SUMPRODUCT((AY_SONU!$O$7:$O$42="Evet")*(AY_SONU!$B$7:$B$42=DATE(YEAR($E1377),MONTH($E1377),1))))</f>
        <v/>
      </c>
    </row>
    <row r="1378">
      <c r="A1378" s="6" t="n"/>
      <c r="B1378" s="113">
        <f>IF($D1378="","","T"&amp;TEXT(ROW()-6,"00000"))</f>
        <v/>
      </c>
      <c r="C1378" s="113">
        <f>IF($D1378="","",IFERROR(INDEX(MUSTERILER!$B$7:$B$106,MATCH($R1378,MUSTERILER!$T$7:$T$106,0)),IFERROR(INDEX(MUSTERILER!$B$7:$B$106,MATCH($D1378,MUSTERILER!$B$7:$B$106,0)),IFERROR(INDEX(MUSTERILER!$B$7:$B$106,MATCH($R1378&amp;"*",MUSTERILER!$T$7:$T$106,0)),"TANIMSIZ MÜŞTERİ"))))</f>
        <v/>
      </c>
      <c r="D1378" s="109" t="n"/>
      <c r="E1378" s="220" t="n"/>
      <c r="F1378" s="221" t="n"/>
      <c r="G1378" s="108" t="n"/>
      <c r="H1378" s="108" t="n"/>
      <c r="I1378" s="109" t="n"/>
      <c r="J1378" s="109" t="n"/>
      <c r="K1378" s="109" t="n"/>
      <c r="L1378" s="226">
        <f>IF($E1378="","",DATE(YEAR($E1378),MONTH($E1378),1))</f>
        <v/>
      </c>
      <c r="M1378" s="113">
        <f>IF($D1378="","",IF($C1378="TANIMSIZ MÜŞTERİ","HATA",IF(OR($E1378="",$F1378&lt;=0,$G1378=""),"EKSİK",IF($E1378&gt;TODAY(),"İLERİ TARİH",IF(COUNTIF($S$7:$S$1506,$S1378)&gt;1,"MÜKERRER?",IF($T1378&gt;0,"KAPALI DÖNEM","UYGUN"))))))</f>
        <v/>
      </c>
      <c r="N1378" s="121">
        <f>IF($C1378="","",IF($C1378="TANIMSIZ MÜŞTERİ","—",INDEX(MUSTERILER!$C$7:$C$106,MATCH($C1378,MUSTERILER!$B$7:$B$106,0))))</f>
        <v/>
      </c>
      <c r="O1378" s="6" t="n"/>
      <c r="P1378" s="6" t="n"/>
      <c r="Q1378" s="3">
        <f>IF($D1378="","",$C1378&amp;"|"&amp;COUNTIFS($C$7:$C1378,$C1378))</f>
        <v/>
      </c>
      <c r="R1378" s="3">
        <f>IF($D1378="","",UPPER(SUBSTITUTE(SUBSTITUTE(SUBSTITUTE(SUBSTITUTE(SUBSTITUTE(SUBSTITUTE(SUBSTITUTE(SUBSTITUTE(SUBSTITUTE(SUBSTITUTE(SUBSTITUTE(SUBSTITUTE(SUBSTITUTE(SUBSTITUTE(SUBSTITUTE(SUBSTITUTE(SUBSTITUTE(SUBSTITUTE(TRIM($D1378),"'",""),"İ","I"),"ı","I"),"i","I"),"Ş","S"),"ş","S"),"Ğ","G"),"ğ","G"),"Ü","U"),"ü","U"),"Ö","O"),"ö","O"),"Ç","C"),"ç","C"),".",""),",","")," ",""),"-","")))</f>
        <v/>
      </c>
      <c r="S1378" s="3">
        <f>IF($D1378="","",$C1378&amp;"|"&amp;TEXT($E1378,"0")&amp;"|"&amp;TEXT($F1378,"0")&amp;"|"&amp;$I1378)</f>
        <v/>
      </c>
      <c r="T1378" s="3">
        <f>IF($E1378="",0,SUMPRODUCT((AY_SONU!$O$7:$O$42="Evet")*(AY_SONU!$B$7:$B$42=DATE(YEAR($E1378),MONTH($E1378),1))))</f>
        <v/>
      </c>
    </row>
    <row r="1379">
      <c r="A1379" s="6" t="n"/>
      <c r="B1379" s="113">
        <f>IF($D1379="","","T"&amp;TEXT(ROW()-6,"00000"))</f>
        <v/>
      </c>
      <c r="C1379" s="113">
        <f>IF($D1379="","",IFERROR(INDEX(MUSTERILER!$B$7:$B$106,MATCH($R1379,MUSTERILER!$T$7:$T$106,0)),IFERROR(INDEX(MUSTERILER!$B$7:$B$106,MATCH($D1379,MUSTERILER!$B$7:$B$106,0)),IFERROR(INDEX(MUSTERILER!$B$7:$B$106,MATCH($R1379&amp;"*",MUSTERILER!$T$7:$T$106,0)),"TANIMSIZ MÜŞTERİ"))))</f>
        <v/>
      </c>
      <c r="D1379" s="109" t="n"/>
      <c r="E1379" s="220" t="n"/>
      <c r="F1379" s="221" t="n"/>
      <c r="G1379" s="108" t="n"/>
      <c r="H1379" s="108" t="n"/>
      <c r="I1379" s="109" t="n"/>
      <c r="J1379" s="109" t="n"/>
      <c r="K1379" s="109" t="n"/>
      <c r="L1379" s="226">
        <f>IF($E1379="","",DATE(YEAR($E1379),MONTH($E1379),1))</f>
        <v/>
      </c>
      <c r="M1379" s="113">
        <f>IF($D1379="","",IF($C1379="TANIMSIZ MÜŞTERİ","HATA",IF(OR($E1379="",$F1379&lt;=0,$G1379=""),"EKSİK",IF($E1379&gt;TODAY(),"İLERİ TARİH",IF(COUNTIF($S$7:$S$1506,$S1379)&gt;1,"MÜKERRER?",IF($T1379&gt;0,"KAPALI DÖNEM","UYGUN"))))))</f>
        <v/>
      </c>
      <c r="N1379" s="121">
        <f>IF($C1379="","",IF($C1379="TANIMSIZ MÜŞTERİ","—",INDEX(MUSTERILER!$C$7:$C$106,MATCH($C1379,MUSTERILER!$B$7:$B$106,0))))</f>
        <v/>
      </c>
      <c r="O1379" s="6" t="n"/>
      <c r="P1379" s="6" t="n"/>
      <c r="Q1379" s="3">
        <f>IF($D1379="","",$C1379&amp;"|"&amp;COUNTIFS($C$7:$C1379,$C1379))</f>
        <v/>
      </c>
      <c r="R1379" s="3">
        <f>IF($D1379="","",UPPER(SUBSTITUTE(SUBSTITUTE(SUBSTITUTE(SUBSTITUTE(SUBSTITUTE(SUBSTITUTE(SUBSTITUTE(SUBSTITUTE(SUBSTITUTE(SUBSTITUTE(SUBSTITUTE(SUBSTITUTE(SUBSTITUTE(SUBSTITUTE(SUBSTITUTE(SUBSTITUTE(SUBSTITUTE(SUBSTITUTE(TRIM($D1379),"'",""),"İ","I"),"ı","I"),"i","I"),"Ş","S"),"ş","S"),"Ğ","G"),"ğ","G"),"Ü","U"),"ü","U"),"Ö","O"),"ö","O"),"Ç","C"),"ç","C"),".",""),",","")," ",""),"-","")))</f>
        <v/>
      </c>
      <c r="S1379" s="3">
        <f>IF($D1379="","",$C1379&amp;"|"&amp;TEXT($E1379,"0")&amp;"|"&amp;TEXT($F1379,"0")&amp;"|"&amp;$I1379)</f>
        <v/>
      </c>
      <c r="T1379" s="3">
        <f>IF($E1379="",0,SUMPRODUCT((AY_SONU!$O$7:$O$42="Evet")*(AY_SONU!$B$7:$B$42=DATE(YEAR($E1379),MONTH($E1379),1))))</f>
        <v/>
      </c>
    </row>
    <row r="1380">
      <c r="A1380" s="6" t="n"/>
      <c r="B1380" s="113">
        <f>IF($D1380="","","T"&amp;TEXT(ROW()-6,"00000"))</f>
        <v/>
      </c>
      <c r="C1380" s="113">
        <f>IF($D1380="","",IFERROR(INDEX(MUSTERILER!$B$7:$B$106,MATCH($R1380,MUSTERILER!$T$7:$T$106,0)),IFERROR(INDEX(MUSTERILER!$B$7:$B$106,MATCH($D1380,MUSTERILER!$B$7:$B$106,0)),IFERROR(INDEX(MUSTERILER!$B$7:$B$106,MATCH($R1380&amp;"*",MUSTERILER!$T$7:$T$106,0)),"TANIMSIZ MÜŞTERİ"))))</f>
        <v/>
      </c>
      <c r="D1380" s="109" t="n"/>
      <c r="E1380" s="220" t="n"/>
      <c r="F1380" s="221" t="n"/>
      <c r="G1380" s="108" t="n"/>
      <c r="H1380" s="108" t="n"/>
      <c r="I1380" s="109" t="n"/>
      <c r="J1380" s="109" t="n"/>
      <c r="K1380" s="109" t="n"/>
      <c r="L1380" s="226">
        <f>IF($E1380="","",DATE(YEAR($E1380),MONTH($E1380),1))</f>
        <v/>
      </c>
      <c r="M1380" s="113">
        <f>IF($D1380="","",IF($C1380="TANIMSIZ MÜŞTERİ","HATA",IF(OR($E1380="",$F1380&lt;=0,$G1380=""),"EKSİK",IF($E1380&gt;TODAY(),"İLERİ TARİH",IF(COUNTIF($S$7:$S$1506,$S1380)&gt;1,"MÜKERRER?",IF($T1380&gt;0,"KAPALI DÖNEM","UYGUN"))))))</f>
        <v/>
      </c>
      <c r="N1380" s="121">
        <f>IF($C1380="","",IF($C1380="TANIMSIZ MÜŞTERİ","—",INDEX(MUSTERILER!$C$7:$C$106,MATCH($C1380,MUSTERILER!$B$7:$B$106,0))))</f>
        <v/>
      </c>
      <c r="O1380" s="6" t="n"/>
      <c r="P1380" s="6" t="n"/>
      <c r="Q1380" s="3">
        <f>IF($D1380="","",$C1380&amp;"|"&amp;COUNTIFS($C$7:$C1380,$C1380))</f>
        <v/>
      </c>
      <c r="R1380" s="3">
        <f>IF($D1380="","",UPPER(SUBSTITUTE(SUBSTITUTE(SUBSTITUTE(SUBSTITUTE(SUBSTITUTE(SUBSTITUTE(SUBSTITUTE(SUBSTITUTE(SUBSTITUTE(SUBSTITUTE(SUBSTITUTE(SUBSTITUTE(SUBSTITUTE(SUBSTITUTE(SUBSTITUTE(SUBSTITUTE(SUBSTITUTE(SUBSTITUTE(TRIM($D1380),"'",""),"İ","I"),"ı","I"),"i","I"),"Ş","S"),"ş","S"),"Ğ","G"),"ğ","G"),"Ü","U"),"ü","U"),"Ö","O"),"ö","O"),"Ç","C"),"ç","C"),".",""),",","")," ",""),"-","")))</f>
        <v/>
      </c>
      <c r="S1380" s="3">
        <f>IF($D1380="","",$C1380&amp;"|"&amp;TEXT($E1380,"0")&amp;"|"&amp;TEXT($F1380,"0")&amp;"|"&amp;$I1380)</f>
        <v/>
      </c>
      <c r="T1380" s="3">
        <f>IF($E1380="",0,SUMPRODUCT((AY_SONU!$O$7:$O$42="Evet")*(AY_SONU!$B$7:$B$42=DATE(YEAR($E1380),MONTH($E1380),1))))</f>
        <v/>
      </c>
    </row>
    <row r="1381">
      <c r="A1381" s="6" t="n"/>
      <c r="B1381" s="113">
        <f>IF($D1381="","","T"&amp;TEXT(ROW()-6,"00000"))</f>
        <v/>
      </c>
      <c r="C1381" s="113">
        <f>IF($D1381="","",IFERROR(INDEX(MUSTERILER!$B$7:$B$106,MATCH($R1381,MUSTERILER!$T$7:$T$106,0)),IFERROR(INDEX(MUSTERILER!$B$7:$B$106,MATCH($D1381,MUSTERILER!$B$7:$B$106,0)),IFERROR(INDEX(MUSTERILER!$B$7:$B$106,MATCH($R1381&amp;"*",MUSTERILER!$T$7:$T$106,0)),"TANIMSIZ MÜŞTERİ"))))</f>
        <v/>
      </c>
      <c r="D1381" s="109" t="n"/>
      <c r="E1381" s="220" t="n"/>
      <c r="F1381" s="221" t="n"/>
      <c r="G1381" s="108" t="n"/>
      <c r="H1381" s="108" t="n"/>
      <c r="I1381" s="109" t="n"/>
      <c r="J1381" s="109" t="n"/>
      <c r="K1381" s="109" t="n"/>
      <c r="L1381" s="226">
        <f>IF($E1381="","",DATE(YEAR($E1381),MONTH($E1381),1))</f>
        <v/>
      </c>
      <c r="M1381" s="113">
        <f>IF($D1381="","",IF($C1381="TANIMSIZ MÜŞTERİ","HATA",IF(OR($E1381="",$F1381&lt;=0,$G1381=""),"EKSİK",IF($E1381&gt;TODAY(),"İLERİ TARİH",IF(COUNTIF($S$7:$S$1506,$S1381)&gt;1,"MÜKERRER?",IF($T1381&gt;0,"KAPALI DÖNEM","UYGUN"))))))</f>
        <v/>
      </c>
      <c r="N1381" s="121">
        <f>IF($C1381="","",IF($C1381="TANIMSIZ MÜŞTERİ","—",INDEX(MUSTERILER!$C$7:$C$106,MATCH($C1381,MUSTERILER!$B$7:$B$106,0))))</f>
        <v/>
      </c>
      <c r="O1381" s="6" t="n"/>
      <c r="P1381" s="6" t="n"/>
      <c r="Q1381" s="3">
        <f>IF($D1381="","",$C1381&amp;"|"&amp;COUNTIFS($C$7:$C1381,$C1381))</f>
        <v/>
      </c>
      <c r="R1381" s="3">
        <f>IF($D1381="","",UPPER(SUBSTITUTE(SUBSTITUTE(SUBSTITUTE(SUBSTITUTE(SUBSTITUTE(SUBSTITUTE(SUBSTITUTE(SUBSTITUTE(SUBSTITUTE(SUBSTITUTE(SUBSTITUTE(SUBSTITUTE(SUBSTITUTE(SUBSTITUTE(SUBSTITUTE(SUBSTITUTE(SUBSTITUTE(SUBSTITUTE(TRIM($D1381),"'",""),"İ","I"),"ı","I"),"i","I"),"Ş","S"),"ş","S"),"Ğ","G"),"ğ","G"),"Ü","U"),"ü","U"),"Ö","O"),"ö","O"),"Ç","C"),"ç","C"),".",""),",","")," ",""),"-","")))</f>
        <v/>
      </c>
      <c r="S1381" s="3">
        <f>IF($D1381="","",$C1381&amp;"|"&amp;TEXT($E1381,"0")&amp;"|"&amp;TEXT($F1381,"0")&amp;"|"&amp;$I1381)</f>
        <v/>
      </c>
      <c r="T1381" s="3">
        <f>IF($E1381="",0,SUMPRODUCT((AY_SONU!$O$7:$O$42="Evet")*(AY_SONU!$B$7:$B$42=DATE(YEAR($E1381),MONTH($E1381),1))))</f>
        <v/>
      </c>
    </row>
    <row r="1382">
      <c r="A1382" s="6" t="n"/>
      <c r="B1382" s="113">
        <f>IF($D1382="","","T"&amp;TEXT(ROW()-6,"00000"))</f>
        <v/>
      </c>
      <c r="C1382" s="113">
        <f>IF($D1382="","",IFERROR(INDEX(MUSTERILER!$B$7:$B$106,MATCH($R1382,MUSTERILER!$T$7:$T$106,0)),IFERROR(INDEX(MUSTERILER!$B$7:$B$106,MATCH($D1382,MUSTERILER!$B$7:$B$106,0)),IFERROR(INDEX(MUSTERILER!$B$7:$B$106,MATCH($R1382&amp;"*",MUSTERILER!$T$7:$T$106,0)),"TANIMSIZ MÜŞTERİ"))))</f>
        <v/>
      </c>
      <c r="D1382" s="109" t="n"/>
      <c r="E1382" s="220" t="n"/>
      <c r="F1382" s="221" t="n"/>
      <c r="G1382" s="108" t="n"/>
      <c r="H1382" s="108" t="n"/>
      <c r="I1382" s="109" t="n"/>
      <c r="J1382" s="109" t="n"/>
      <c r="K1382" s="109" t="n"/>
      <c r="L1382" s="226">
        <f>IF($E1382="","",DATE(YEAR($E1382),MONTH($E1382),1))</f>
        <v/>
      </c>
      <c r="M1382" s="113">
        <f>IF($D1382="","",IF($C1382="TANIMSIZ MÜŞTERİ","HATA",IF(OR($E1382="",$F1382&lt;=0,$G1382=""),"EKSİK",IF($E1382&gt;TODAY(),"İLERİ TARİH",IF(COUNTIF($S$7:$S$1506,$S1382)&gt;1,"MÜKERRER?",IF($T1382&gt;0,"KAPALI DÖNEM","UYGUN"))))))</f>
        <v/>
      </c>
      <c r="N1382" s="121">
        <f>IF($C1382="","",IF($C1382="TANIMSIZ MÜŞTERİ","—",INDEX(MUSTERILER!$C$7:$C$106,MATCH($C1382,MUSTERILER!$B$7:$B$106,0))))</f>
        <v/>
      </c>
      <c r="O1382" s="6" t="n"/>
      <c r="P1382" s="6" t="n"/>
      <c r="Q1382" s="3">
        <f>IF($D1382="","",$C1382&amp;"|"&amp;COUNTIFS($C$7:$C1382,$C1382))</f>
        <v/>
      </c>
      <c r="R1382" s="3">
        <f>IF($D1382="","",UPPER(SUBSTITUTE(SUBSTITUTE(SUBSTITUTE(SUBSTITUTE(SUBSTITUTE(SUBSTITUTE(SUBSTITUTE(SUBSTITUTE(SUBSTITUTE(SUBSTITUTE(SUBSTITUTE(SUBSTITUTE(SUBSTITUTE(SUBSTITUTE(SUBSTITUTE(SUBSTITUTE(SUBSTITUTE(SUBSTITUTE(TRIM($D1382),"'",""),"İ","I"),"ı","I"),"i","I"),"Ş","S"),"ş","S"),"Ğ","G"),"ğ","G"),"Ü","U"),"ü","U"),"Ö","O"),"ö","O"),"Ç","C"),"ç","C"),".",""),",","")," ",""),"-","")))</f>
        <v/>
      </c>
      <c r="S1382" s="3">
        <f>IF($D1382="","",$C1382&amp;"|"&amp;TEXT($E1382,"0")&amp;"|"&amp;TEXT($F1382,"0")&amp;"|"&amp;$I1382)</f>
        <v/>
      </c>
      <c r="T1382" s="3">
        <f>IF($E1382="",0,SUMPRODUCT((AY_SONU!$O$7:$O$42="Evet")*(AY_SONU!$B$7:$B$42=DATE(YEAR($E1382),MONTH($E1382),1))))</f>
        <v/>
      </c>
    </row>
    <row r="1383">
      <c r="A1383" s="6" t="n"/>
      <c r="B1383" s="113">
        <f>IF($D1383="","","T"&amp;TEXT(ROW()-6,"00000"))</f>
        <v/>
      </c>
      <c r="C1383" s="113">
        <f>IF($D1383="","",IFERROR(INDEX(MUSTERILER!$B$7:$B$106,MATCH($R1383,MUSTERILER!$T$7:$T$106,0)),IFERROR(INDEX(MUSTERILER!$B$7:$B$106,MATCH($D1383,MUSTERILER!$B$7:$B$106,0)),IFERROR(INDEX(MUSTERILER!$B$7:$B$106,MATCH($R1383&amp;"*",MUSTERILER!$T$7:$T$106,0)),"TANIMSIZ MÜŞTERİ"))))</f>
        <v/>
      </c>
      <c r="D1383" s="109" t="n"/>
      <c r="E1383" s="220" t="n"/>
      <c r="F1383" s="221" t="n"/>
      <c r="G1383" s="108" t="n"/>
      <c r="H1383" s="108" t="n"/>
      <c r="I1383" s="109" t="n"/>
      <c r="J1383" s="109" t="n"/>
      <c r="K1383" s="109" t="n"/>
      <c r="L1383" s="226">
        <f>IF($E1383="","",DATE(YEAR($E1383),MONTH($E1383),1))</f>
        <v/>
      </c>
      <c r="M1383" s="113">
        <f>IF($D1383="","",IF($C1383="TANIMSIZ MÜŞTERİ","HATA",IF(OR($E1383="",$F1383&lt;=0,$G1383=""),"EKSİK",IF($E1383&gt;TODAY(),"İLERİ TARİH",IF(COUNTIF($S$7:$S$1506,$S1383)&gt;1,"MÜKERRER?",IF($T1383&gt;0,"KAPALI DÖNEM","UYGUN"))))))</f>
        <v/>
      </c>
      <c r="N1383" s="121">
        <f>IF($C1383="","",IF($C1383="TANIMSIZ MÜŞTERİ","—",INDEX(MUSTERILER!$C$7:$C$106,MATCH($C1383,MUSTERILER!$B$7:$B$106,0))))</f>
        <v/>
      </c>
      <c r="O1383" s="6" t="n"/>
      <c r="P1383" s="6" t="n"/>
      <c r="Q1383" s="3">
        <f>IF($D1383="","",$C1383&amp;"|"&amp;COUNTIFS($C$7:$C1383,$C1383))</f>
        <v/>
      </c>
      <c r="R1383" s="3">
        <f>IF($D1383="","",UPPER(SUBSTITUTE(SUBSTITUTE(SUBSTITUTE(SUBSTITUTE(SUBSTITUTE(SUBSTITUTE(SUBSTITUTE(SUBSTITUTE(SUBSTITUTE(SUBSTITUTE(SUBSTITUTE(SUBSTITUTE(SUBSTITUTE(SUBSTITUTE(SUBSTITUTE(SUBSTITUTE(SUBSTITUTE(SUBSTITUTE(TRIM($D1383),"'",""),"İ","I"),"ı","I"),"i","I"),"Ş","S"),"ş","S"),"Ğ","G"),"ğ","G"),"Ü","U"),"ü","U"),"Ö","O"),"ö","O"),"Ç","C"),"ç","C"),".",""),",","")," ",""),"-","")))</f>
        <v/>
      </c>
      <c r="S1383" s="3">
        <f>IF($D1383="","",$C1383&amp;"|"&amp;TEXT($E1383,"0")&amp;"|"&amp;TEXT($F1383,"0")&amp;"|"&amp;$I1383)</f>
        <v/>
      </c>
      <c r="T1383" s="3">
        <f>IF($E1383="",0,SUMPRODUCT((AY_SONU!$O$7:$O$42="Evet")*(AY_SONU!$B$7:$B$42=DATE(YEAR($E1383),MONTH($E1383),1))))</f>
        <v/>
      </c>
    </row>
    <row r="1384">
      <c r="A1384" s="6" t="n"/>
      <c r="B1384" s="113">
        <f>IF($D1384="","","T"&amp;TEXT(ROW()-6,"00000"))</f>
        <v/>
      </c>
      <c r="C1384" s="113">
        <f>IF($D1384="","",IFERROR(INDEX(MUSTERILER!$B$7:$B$106,MATCH($R1384,MUSTERILER!$T$7:$T$106,0)),IFERROR(INDEX(MUSTERILER!$B$7:$B$106,MATCH($D1384,MUSTERILER!$B$7:$B$106,0)),IFERROR(INDEX(MUSTERILER!$B$7:$B$106,MATCH($R1384&amp;"*",MUSTERILER!$T$7:$T$106,0)),"TANIMSIZ MÜŞTERİ"))))</f>
        <v/>
      </c>
      <c r="D1384" s="109" t="n"/>
      <c r="E1384" s="220" t="n"/>
      <c r="F1384" s="221" t="n"/>
      <c r="G1384" s="108" t="n"/>
      <c r="H1384" s="108" t="n"/>
      <c r="I1384" s="109" t="n"/>
      <c r="J1384" s="109" t="n"/>
      <c r="K1384" s="109" t="n"/>
      <c r="L1384" s="226">
        <f>IF($E1384="","",DATE(YEAR($E1384),MONTH($E1384),1))</f>
        <v/>
      </c>
      <c r="M1384" s="113">
        <f>IF($D1384="","",IF($C1384="TANIMSIZ MÜŞTERİ","HATA",IF(OR($E1384="",$F1384&lt;=0,$G1384=""),"EKSİK",IF($E1384&gt;TODAY(),"İLERİ TARİH",IF(COUNTIF($S$7:$S$1506,$S1384)&gt;1,"MÜKERRER?",IF($T1384&gt;0,"KAPALI DÖNEM","UYGUN"))))))</f>
        <v/>
      </c>
      <c r="N1384" s="121">
        <f>IF($C1384="","",IF($C1384="TANIMSIZ MÜŞTERİ","—",INDEX(MUSTERILER!$C$7:$C$106,MATCH($C1384,MUSTERILER!$B$7:$B$106,0))))</f>
        <v/>
      </c>
      <c r="O1384" s="6" t="n"/>
      <c r="P1384" s="6" t="n"/>
      <c r="Q1384" s="3">
        <f>IF($D1384="","",$C1384&amp;"|"&amp;COUNTIFS($C$7:$C1384,$C1384))</f>
        <v/>
      </c>
      <c r="R1384" s="3">
        <f>IF($D1384="","",UPPER(SUBSTITUTE(SUBSTITUTE(SUBSTITUTE(SUBSTITUTE(SUBSTITUTE(SUBSTITUTE(SUBSTITUTE(SUBSTITUTE(SUBSTITUTE(SUBSTITUTE(SUBSTITUTE(SUBSTITUTE(SUBSTITUTE(SUBSTITUTE(SUBSTITUTE(SUBSTITUTE(SUBSTITUTE(SUBSTITUTE(TRIM($D1384),"'",""),"İ","I"),"ı","I"),"i","I"),"Ş","S"),"ş","S"),"Ğ","G"),"ğ","G"),"Ü","U"),"ü","U"),"Ö","O"),"ö","O"),"Ç","C"),"ç","C"),".",""),",","")," ",""),"-","")))</f>
        <v/>
      </c>
      <c r="S1384" s="3">
        <f>IF($D1384="","",$C1384&amp;"|"&amp;TEXT($E1384,"0")&amp;"|"&amp;TEXT($F1384,"0")&amp;"|"&amp;$I1384)</f>
        <v/>
      </c>
      <c r="T1384" s="3">
        <f>IF($E1384="",0,SUMPRODUCT((AY_SONU!$O$7:$O$42="Evet")*(AY_SONU!$B$7:$B$42=DATE(YEAR($E1384),MONTH($E1384),1))))</f>
        <v/>
      </c>
    </row>
    <row r="1385">
      <c r="A1385" s="6" t="n"/>
      <c r="B1385" s="113">
        <f>IF($D1385="","","T"&amp;TEXT(ROW()-6,"00000"))</f>
        <v/>
      </c>
      <c r="C1385" s="113">
        <f>IF($D1385="","",IFERROR(INDEX(MUSTERILER!$B$7:$B$106,MATCH($R1385,MUSTERILER!$T$7:$T$106,0)),IFERROR(INDEX(MUSTERILER!$B$7:$B$106,MATCH($D1385,MUSTERILER!$B$7:$B$106,0)),IFERROR(INDEX(MUSTERILER!$B$7:$B$106,MATCH($R1385&amp;"*",MUSTERILER!$T$7:$T$106,0)),"TANIMSIZ MÜŞTERİ"))))</f>
        <v/>
      </c>
      <c r="D1385" s="109" t="n"/>
      <c r="E1385" s="220" t="n"/>
      <c r="F1385" s="221" t="n"/>
      <c r="G1385" s="108" t="n"/>
      <c r="H1385" s="108" t="n"/>
      <c r="I1385" s="109" t="n"/>
      <c r="J1385" s="109" t="n"/>
      <c r="K1385" s="109" t="n"/>
      <c r="L1385" s="226">
        <f>IF($E1385="","",DATE(YEAR($E1385),MONTH($E1385),1))</f>
        <v/>
      </c>
      <c r="M1385" s="113">
        <f>IF($D1385="","",IF($C1385="TANIMSIZ MÜŞTERİ","HATA",IF(OR($E1385="",$F1385&lt;=0,$G1385=""),"EKSİK",IF($E1385&gt;TODAY(),"İLERİ TARİH",IF(COUNTIF($S$7:$S$1506,$S1385)&gt;1,"MÜKERRER?",IF($T1385&gt;0,"KAPALI DÖNEM","UYGUN"))))))</f>
        <v/>
      </c>
      <c r="N1385" s="121">
        <f>IF($C1385="","",IF($C1385="TANIMSIZ MÜŞTERİ","—",INDEX(MUSTERILER!$C$7:$C$106,MATCH($C1385,MUSTERILER!$B$7:$B$106,0))))</f>
        <v/>
      </c>
      <c r="O1385" s="6" t="n"/>
      <c r="P1385" s="6" t="n"/>
      <c r="Q1385" s="3">
        <f>IF($D1385="","",$C1385&amp;"|"&amp;COUNTIFS($C$7:$C1385,$C1385))</f>
        <v/>
      </c>
      <c r="R1385" s="3">
        <f>IF($D1385="","",UPPER(SUBSTITUTE(SUBSTITUTE(SUBSTITUTE(SUBSTITUTE(SUBSTITUTE(SUBSTITUTE(SUBSTITUTE(SUBSTITUTE(SUBSTITUTE(SUBSTITUTE(SUBSTITUTE(SUBSTITUTE(SUBSTITUTE(SUBSTITUTE(SUBSTITUTE(SUBSTITUTE(SUBSTITUTE(SUBSTITUTE(TRIM($D1385),"'",""),"İ","I"),"ı","I"),"i","I"),"Ş","S"),"ş","S"),"Ğ","G"),"ğ","G"),"Ü","U"),"ü","U"),"Ö","O"),"ö","O"),"Ç","C"),"ç","C"),".",""),",","")," ",""),"-","")))</f>
        <v/>
      </c>
      <c r="S1385" s="3">
        <f>IF($D1385="","",$C1385&amp;"|"&amp;TEXT($E1385,"0")&amp;"|"&amp;TEXT($F1385,"0")&amp;"|"&amp;$I1385)</f>
        <v/>
      </c>
      <c r="T1385" s="3">
        <f>IF($E1385="",0,SUMPRODUCT((AY_SONU!$O$7:$O$42="Evet")*(AY_SONU!$B$7:$B$42=DATE(YEAR($E1385),MONTH($E1385),1))))</f>
        <v/>
      </c>
    </row>
    <row r="1386">
      <c r="A1386" s="6" t="n"/>
      <c r="B1386" s="113">
        <f>IF($D1386="","","T"&amp;TEXT(ROW()-6,"00000"))</f>
        <v/>
      </c>
      <c r="C1386" s="113">
        <f>IF($D1386="","",IFERROR(INDEX(MUSTERILER!$B$7:$B$106,MATCH($R1386,MUSTERILER!$T$7:$T$106,0)),IFERROR(INDEX(MUSTERILER!$B$7:$B$106,MATCH($D1386,MUSTERILER!$B$7:$B$106,0)),IFERROR(INDEX(MUSTERILER!$B$7:$B$106,MATCH($R1386&amp;"*",MUSTERILER!$T$7:$T$106,0)),"TANIMSIZ MÜŞTERİ"))))</f>
        <v/>
      </c>
      <c r="D1386" s="109" t="n"/>
      <c r="E1386" s="220" t="n"/>
      <c r="F1386" s="221" t="n"/>
      <c r="G1386" s="108" t="n"/>
      <c r="H1386" s="108" t="n"/>
      <c r="I1386" s="109" t="n"/>
      <c r="J1386" s="109" t="n"/>
      <c r="K1386" s="109" t="n"/>
      <c r="L1386" s="226">
        <f>IF($E1386="","",DATE(YEAR($E1386),MONTH($E1386),1))</f>
        <v/>
      </c>
      <c r="M1386" s="113">
        <f>IF($D1386="","",IF($C1386="TANIMSIZ MÜŞTERİ","HATA",IF(OR($E1386="",$F1386&lt;=0,$G1386=""),"EKSİK",IF($E1386&gt;TODAY(),"İLERİ TARİH",IF(COUNTIF($S$7:$S$1506,$S1386)&gt;1,"MÜKERRER?",IF($T1386&gt;0,"KAPALI DÖNEM","UYGUN"))))))</f>
        <v/>
      </c>
      <c r="N1386" s="121">
        <f>IF($C1386="","",IF($C1386="TANIMSIZ MÜŞTERİ","—",INDEX(MUSTERILER!$C$7:$C$106,MATCH($C1386,MUSTERILER!$B$7:$B$106,0))))</f>
        <v/>
      </c>
      <c r="O1386" s="6" t="n"/>
      <c r="P1386" s="6" t="n"/>
      <c r="Q1386" s="3">
        <f>IF($D1386="","",$C1386&amp;"|"&amp;COUNTIFS($C$7:$C1386,$C1386))</f>
        <v/>
      </c>
      <c r="R1386" s="3">
        <f>IF($D1386="","",UPPER(SUBSTITUTE(SUBSTITUTE(SUBSTITUTE(SUBSTITUTE(SUBSTITUTE(SUBSTITUTE(SUBSTITUTE(SUBSTITUTE(SUBSTITUTE(SUBSTITUTE(SUBSTITUTE(SUBSTITUTE(SUBSTITUTE(SUBSTITUTE(SUBSTITUTE(SUBSTITUTE(SUBSTITUTE(SUBSTITUTE(TRIM($D1386),"'",""),"İ","I"),"ı","I"),"i","I"),"Ş","S"),"ş","S"),"Ğ","G"),"ğ","G"),"Ü","U"),"ü","U"),"Ö","O"),"ö","O"),"Ç","C"),"ç","C"),".",""),",","")," ",""),"-","")))</f>
        <v/>
      </c>
      <c r="S1386" s="3">
        <f>IF($D1386="","",$C1386&amp;"|"&amp;TEXT($E1386,"0")&amp;"|"&amp;TEXT($F1386,"0")&amp;"|"&amp;$I1386)</f>
        <v/>
      </c>
      <c r="T1386" s="3">
        <f>IF($E1386="",0,SUMPRODUCT((AY_SONU!$O$7:$O$42="Evet")*(AY_SONU!$B$7:$B$42=DATE(YEAR($E1386),MONTH($E1386),1))))</f>
        <v/>
      </c>
    </row>
    <row r="1387">
      <c r="A1387" s="6" t="n"/>
      <c r="B1387" s="113">
        <f>IF($D1387="","","T"&amp;TEXT(ROW()-6,"00000"))</f>
        <v/>
      </c>
      <c r="C1387" s="113">
        <f>IF($D1387="","",IFERROR(INDEX(MUSTERILER!$B$7:$B$106,MATCH($R1387,MUSTERILER!$T$7:$T$106,0)),IFERROR(INDEX(MUSTERILER!$B$7:$B$106,MATCH($D1387,MUSTERILER!$B$7:$B$106,0)),IFERROR(INDEX(MUSTERILER!$B$7:$B$106,MATCH($R1387&amp;"*",MUSTERILER!$T$7:$T$106,0)),"TANIMSIZ MÜŞTERİ"))))</f>
        <v/>
      </c>
      <c r="D1387" s="109" t="n"/>
      <c r="E1387" s="220" t="n"/>
      <c r="F1387" s="221" t="n"/>
      <c r="G1387" s="108" t="n"/>
      <c r="H1387" s="108" t="n"/>
      <c r="I1387" s="109" t="n"/>
      <c r="J1387" s="109" t="n"/>
      <c r="K1387" s="109" t="n"/>
      <c r="L1387" s="226">
        <f>IF($E1387="","",DATE(YEAR($E1387),MONTH($E1387),1))</f>
        <v/>
      </c>
      <c r="M1387" s="113">
        <f>IF($D1387="","",IF($C1387="TANIMSIZ MÜŞTERİ","HATA",IF(OR($E1387="",$F1387&lt;=0,$G1387=""),"EKSİK",IF($E1387&gt;TODAY(),"İLERİ TARİH",IF(COUNTIF($S$7:$S$1506,$S1387)&gt;1,"MÜKERRER?",IF($T1387&gt;0,"KAPALI DÖNEM","UYGUN"))))))</f>
        <v/>
      </c>
      <c r="N1387" s="121">
        <f>IF($C1387="","",IF($C1387="TANIMSIZ MÜŞTERİ","—",INDEX(MUSTERILER!$C$7:$C$106,MATCH($C1387,MUSTERILER!$B$7:$B$106,0))))</f>
        <v/>
      </c>
      <c r="O1387" s="6" t="n"/>
      <c r="P1387" s="6" t="n"/>
      <c r="Q1387" s="3">
        <f>IF($D1387="","",$C1387&amp;"|"&amp;COUNTIFS($C$7:$C1387,$C1387))</f>
        <v/>
      </c>
      <c r="R1387" s="3">
        <f>IF($D1387="","",UPPER(SUBSTITUTE(SUBSTITUTE(SUBSTITUTE(SUBSTITUTE(SUBSTITUTE(SUBSTITUTE(SUBSTITUTE(SUBSTITUTE(SUBSTITUTE(SUBSTITUTE(SUBSTITUTE(SUBSTITUTE(SUBSTITUTE(SUBSTITUTE(SUBSTITUTE(SUBSTITUTE(SUBSTITUTE(SUBSTITUTE(TRIM($D1387),"'",""),"İ","I"),"ı","I"),"i","I"),"Ş","S"),"ş","S"),"Ğ","G"),"ğ","G"),"Ü","U"),"ü","U"),"Ö","O"),"ö","O"),"Ç","C"),"ç","C"),".",""),",","")," ",""),"-","")))</f>
        <v/>
      </c>
      <c r="S1387" s="3">
        <f>IF($D1387="","",$C1387&amp;"|"&amp;TEXT($E1387,"0")&amp;"|"&amp;TEXT($F1387,"0")&amp;"|"&amp;$I1387)</f>
        <v/>
      </c>
      <c r="T1387" s="3">
        <f>IF($E1387="",0,SUMPRODUCT((AY_SONU!$O$7:$O$42="Evet")*(AY_SONU!$B$7:$B$42=DATE(YEAR($E1387),MONTH($E1387),1))))</f>
        <v/>
      </c>
    </row>
    <row r="1388">
      <c r="A1388" s="6" t="n"/>
      <c r="B1388" s="113">
        <f>IF($D1388="","","T"&amp;TEXT(ROW()-6,"00000"))</f>
        <v/>
      </c>
      <c r="C1388" s="113">
        <f>IF($D1388="","",IFERROR(INDEX(MUSTERILER!$B$7:$B$106,MATCH($R1388,MUSTERILER!$T$7:$T$106,0)),IFERROR(INDEX(MUSTERILER!$B$7:$B$106,MATCH($D1388,MUSTERILER!$B$7:$B$106,0)),IFERROR(INDEX(MUSTERILER!$B$7:$B$106,MATCH($R1388&amp;"*",MUSTERILER!$T$7:$T$106,0)),"TANIMSIZ MÜŞTERİ"))))</f>
        <v/>
      </c>
      <c r="D1388" s="109" t="n"/>
      <c r="E1388" s="220" t="n"/>
      <c r="F1388" s="221" t="n"/>
      <c r="G1388" s="108" t="n"/>
      <c r="H1388" s="108" t="n"/>
      <c r="I1388" s="109" t="n"/>
      <c r="J1388" s="109" t="n"/>
      <c r="K1388" s="109" t="n"/>
      <c r="L1388" s="226">
        <f>IF($E1388="","",DATE(YEAR($E1388),MONTH($E1388),1))</f>
        <v/>
      </c>
      <c r="M1388" s="113">
        <f>IF($D1388="","",IF($C1388="TANIMSIZ MÜŞTERİ","HATA",IF(OR($E1388="",$F1388&lt;=0,$G1388=""),"EKSİK",IF($E1388&gt;TODAY(),"İLERİ TARİH",IF(COUNTIF($S$7:$S$1506,$S1388)&gt;1,"MÜKERRER?",IF($T1388&gt;0,"KAPALI DÖNEM","UYGUN"))))))</f>
        <v/>
      </c>
      <c r="N1388" s="121">
        <f>IF($C1388="","",IF($C1388="TANIMSIZ MÜŞTERİ","—",INDEX(MUSTERILER!$C$7:$C$106,MATCH($C1388,MUSTERILER!$B$7:$B$106,0))))</f>
        <v/>
      </c>
      <c r="O1388" s="6" t="n"/>
      <c r="P1388" s="6" t="n"/>
      <c r="Q1388" s="3">
        <f>IF($D1388="","",$C1388&amp;"|"&amp;COUNTIFS($C$7:$C1388,$C1388))</f>
        <v/>
      </c>
      <c r="R1388" s="3">
        <f>IF($D1388="","",UPPER(SUBSTITUTE(SUBSTITUTE(SUBSTITUTE(SUBSTITUTE(SUBSTITUTE(SUBSTITUTE(SUBSTITUTE(SUBSTITUTE(SUBSTITUTE(SUBSTITUTE(SUBSTITUTE(SUBSTITUTE(SUBSTITUTE(SUBSTITUTE(SUBSTITUTE(SUBSTITUTE(SUBSTITUTE(SUBSTITUTE(TRIM($D1388),"'",""),"İ","I"),"ı","I"),"i","I"),"Ş","S"),"ş","S"),"Ğ","G"),"ğ","G"),"Ü","U"),"ü","U"),"Ö","O"),"ö","O"),"Ç","C"),"ç","C"),".",""),",","")," ",""),"-","")))</f>
        <v/>
      </c>
      <c r="S1388" s="3">
        <f>IF($D1388="","",$C1388&amp;"|"&amp;TEXT($E1388,"0")&amp;"|"&amp;TEXT($F1388,"0")&amp;"|"&amp;$I1388)</f>
        <v/>
      </c>
      <c r="T1388" s="3">
        <f>IF($E1388="",0,SUMPRODUCT((AY_SONU!$O$7:$O$42="Evet")*(AY_SONU!$B$7:$B$42=DATE(YEAR($E1388),MONTH($E1388),1))))</f>
        <v/>
      </c>
    </row>
    <row r="1389">
      <c r="A1389" s="6" t="n"/>
      <c r="B1389" s="113">
        <f>IF($D1389="","","T"&amp;TEXT(ROW()-6,"00000"))</f>
        <v/>
      </c>
      <c r="C1389" s="113">
        <f>IF($D1389="","",IFERROR(INDEX(MUSTERILER!$B$7:$B$106,MATCH($R1389,MUSTERILER!$T$7:$T$106,0)),IFERROR(INDEX(MUSTERILER!$B$7:$B$106,MATCH($D1389,MUSTERILER!$B$7:$B$106,0)),IFERROR(INDEX(MUSTERILER!$B$7:$B$106,MATCH($R1389&amp;"*",MUSTERILER!$T$7:$T$106,0)),"TANIMSIZ MÜŞTERİ"))))</f>
        <v/>
      </c>
      <c r="D1389" s="109" t="n"/>
      <c r="E1389" s="220" t="n"/>
      <c r="F1389" s="221" t="n"/>
      <c r="G1389" s="108" t="n"/>
      <c r="H1389" s="108" t="n"/>
      <c r="I1389" s="109" t="n"/>
      <c r="J1389" s="109" t="n"/>
      <c r="K1389" s="109" t="n"/>
      <c r="L1389" s="226">
        <f>IF($E1389="","",DATE(YEAR($E1389),MONTH($E1389),1))</f>
        <v/>
      </c>
      <c r="M1389" s="113">
        <f>IF($D1389="","",IF($C1389="TANIMSIZ MÜŞTERİ","HATA",IF(OR($E1389="",$F1389&lt;=0,$G1389=""),"EKSİK",IF($E1389&gt;TODAY(),"İLERİ TARİH",IF(COUNTIF($S$7:$S$1506,$S1389)&gt;1,"MÜKERRER?",IF($T1389&gt;0,"KAPALI DÖNEM","UYGUN"))))))</f>
        <v/>
      </c>
      <c r="N1389" s="121">
        <f>IF($C1389="","",IF($C1389="TANIMSIZ MÜŞTERİ","—",INDEX(MUSTERILER!$C$7:$C$106,MATCH($C1389,MUSTERILER!$B$7:$B$106,0))))</f>
        <v/>
      </c>
      <c r="O1389" s="6" t="n"/>
      <c r="P1389" s="6" t="n"/>
      <c r="Q1389" s="3">
        <f>IF($D1389="","",$C1389&amp;"|"&amp;COUNTIFS($C$7:$C1389,$C1389))</f>
        <v/>
      </c>
      <c r="R1389" s="3">
        <f>IF($D1389="","",UPPER(SUBSTITUTE(SUBSTITUTE(SUBSTITUTE(SUBSTITUTE(SUBSTITUTE(SUBSTITUTE(SUBSTITUTE(SUBSTITUTE(SUBSTITUTE(SUBSTITUTE(SUBSTITUTE(SUBSTITUTE(SUBSTITUTE(SUBSTITUTE(SUBSTITUTE(SUBSTITUTE(SUBSTITUTE(SUBSTITUTE(TRIM($D1389),"'",""),"İ","I"),"ı","I"),"i","I"),"Ş","S"),"ş","S"),"Ğ","G"),"ğ","G"),"Ü","U"),"ü","U"),"Ö","O"),"ö","O"),"Ç","C"),"ç","C"),".",""),",","")," ",""),"-","")))</f>
        <v/>
      </c>
      <c r="S1389" s="3">
        <f>IF($D1389="","",$C1389&amp;"|"&amp;TEXT($E1389,"0")&amp;"|"&amp;TEXT($F1389,"0")&amp;"|"&amp;$I1389)</f>
        <v/>
      </c>
      <c r="T1389" s="3">
        <f>IF($E1389="",0,SUMPRODUCT((AY_SONU!$O$7:$O$42="Evet")*(AY_SONU!$B$7:$B$42=DATE(YEAR($E1389),MONTH($E1389),1))))</f>
        <v/>
      </c>
    </row>
    <row r="1390">
      <c r="A1390" s="6" t="n"/>
      <c r="B1390" s="113">
        <f>IF($D1390="","","T"&amp;TEXT(ROW()-6,"00000"))</f>
        <v/>
      </c>
      <c r="C1390" s="113">
        <f>IF($D1390="","",IFERROR(INDEX(MUSTERILER!$B$7:$B$106,MATCH($R1390,MUSTERILER!$T$7:$T$106,0)),IFERROR(INDEX(MUSTERILER!$B$7:$B$106,MATCH($D1390,MUSTERILER!$B$7:$B$106,0)),IFERROR(INDEX(MUSTERILER!$B$7:$B$106,MATCH($R1390&amp;"*",MUSTERILER!$T$7:$T$106,0)),"TANIMSIZ MÜŞTERİ"))))</f>
        <v/>
      </c>
      <c r="D1390" s="109" t="n"/>
      <c r="E1390" s="220" t="n"/>
      <c r="F1390" s="221" t="n"/>
      <c r="G1390" s="108" t="n"/>
      <c r="H1390" s="108" t="n"/>
      <c r="I1390" s="109" t="n"/>
      <c r="J1390" s="109" t="n"/>
      <c r="K1390" s="109" t="n"/>
      <c r="L1390" s="226">
        <f>IF($E1390="","",DATE(YEAR($E1390),MONTH($E1390),1))</f>
        <v/>
      </c>
      <c r="M1390" s="113">
        <f>IF($D1390="","",IF($C1390="TANIMSIZ MÜŞTERİ","HATA",IF(OR($E1390="",$F1390&lt;=0,$G1390=""),"EKSİK",IF($E1390&gt;TODAY(),"İLERİ TARİH",IF(COUNTIF($S$7:$S$1506,$S1390)&gt;1,"MÜKERRER?",IF($T1390&gt;0,"KAPALI DÖNEM","UYGUN"))))))</f>
        <v/>
      </c>
      <c r="N1390" s="121">
        <f>IF($C1390="","",IF($C1390="TANIMSIZ MÜŞTERİ","—",INDEX(MUSTERILER!$C$7:$C$106,MATCH($C1390,MUSTERILER!$B$7:$B$106,0))))</f>
        <v/>
      </c>
      <c r="O1390" s="6" t="n"/>
      <c r="P1390" s="6" t="n"/>
      <c r="Q1390" s="3">
        <f>IF($D1390="","",$C1390&amp;"|"&amp;COUNTIFS($C$7:$C1390,$C1390))</f>
        <v/>
      </c>
      <c r="R1390" s="3">
        <f>IF($D1390="","",UPPER(SUBSTITUTE(SUBSTITUTE(SUBSTITUTE(SUBSTITUTE(SUBSTITUTE(SUBSTITUTE(SUBSTITUTE(SUBSTITUTE(SUBSTITUTE(SUBSTITUTE(SUBSTITUTE(SUBSTITUTE(SUBSTITUTE(SUBSTITUTE(SUBSTITUTE(SUBSTITUTE(SUBSTITUTE(SUBSTITUTE(TRIM($D1390),"'",""),"İ","I"),"ı","I"),"i","I"),"Ş","S"),"ş","S"),"Ğ","G"),"ğ","G"),"Ü","U"),"ü","U"),"Ö","O"),"ö","O"),"Ç","C"),"ç","C"),".",""),",","")," ",""),"-","")))</f>
        <v/>
      </c>
      <c r="S1390" s="3">
        <f>IF($D1390="","",$C1390&amp;"|"&amp;TEXT($E1390,"0")&amp;"|"&amp;TEXT($F1390,"0")&amp;"|"&amp;$I1390)</f>
        <v/>
      </c>
      <c r="T1390" s="3">
        <f>IF($E1390="",0,SUMPRODUCT((AY_SONU!$O$7:$O$42="Evet")*(AY_SONU!$B$7:$B$42=DATE(YEAR($E1390),MONTH($E1390),1))))</f>
        <v/>
      </c>
    </row>
    <row r="1391">
      <c r="A1391" s="6" t="n"/>
      <c r="B1391" s="113">
        <f>IF($D1391="","","T"&amp;TEXT(ROW()-6,"00000"))</f>
        <v/>
      </c>
      <c r="C1391" s="113">
        <f>IF($D1391="","",IFERROR(INDEX(MUSTERILER!$B$7:$B$106,MATCH($R1391,MUSTERILER!$T$7:$T$106,0)),IFERROR(INDEX(MUSTERILER!$B$7:$B$106,MATCH($D1391,MUSTERILER!$B$7:$B$106,0)),IFERROR(INDEX(MUSTERILER!$B$7:$B$106,MATCH($R1391&amp;"*",MUSTERILER!$T$7:$T$106,0)),"TANIMSIZ MÜŞTERİ"))))</f>
        <v/>
      </c>
      <c r="D1391" s="109" t="n"/>
      <c r="E1391" s="220" t="n"/>
      <c r="F1391" s="221" t="n"/>
      <c r="G1391" s="108" t="n"/>
      <c r="H1391" s="108" t="n"/>
      <c r="I1391" s="109" t="n"/>
      <c r="J1391" s="109" t="n"/>
      <c r="K1391" s="109" t="n"/>
      <c r="L1391" s="226">
        <f>IF($E1391="","",DATE(YEAR($E1391),MONTH($E1391),1))</f>
        <v/>
      </c>
      <c r="M1391" s="113">
        <f>IF($D1391="","",IF($C1391="TANIMSIZ MÜŞTERİ","HATA",IF(OR($E1391="",$F1391&lt;=0,$G1391=""),"EKSİK",IF($E1391&gt;TODAY(),"İLERİ TARİH",IF(COUNTIF($S$7:$S$1506,$S1391)&gt;1,"MÜKERRER?",IF($T1391&gt;0,"KAPALI DÖNEM","UYGUN"))))))</f>
        <v/>
      </c>
      <c r="N1391" s="121">
        <f>IF($C1391="","",IF($C1391="TANIMSIZ MÜŞTERİ","—",INDEX(MUSTERILER!$C$7:$C$106,MATCH($C1391,MUSTERILER!$B$7:$B$106,0))))</f>
        <v/>
      </c>
      <c r="O1391" s="6" t="n"/>
      <c r="P1391" s="6" t="n"/>
      <c r="Q1391" s="3">
        <f>IF($D1391="","",$C1391&amp;"|"&amp;COUNTIFS($C$7:$C1391,$C1391))</f>
        <v/>
      </c>
      <c r="R1391" s="3">
        <f>IF($D1391="","",UPPER(SUBSTITUTE(SUBSTITUTE(SUBSTITUTE(SUBSTITUTE(SUBSTITUTE(SUBSTITUTE(SUBSTITUTE(SUBSTITUTE(SUBSTITUTE(SUBSTITUTE(SUBSTITUTE(SUBSTITUTE(SUBSTITUTE(SUBSTITUTE(SUBSTITUTE(SUBSTITUTE(SUBSTITUTE(SUBSTITUTE(TRIM($D1391),"'",""),"İ","I"),"ı","I"),"i","I"),"Ş","S"),"ş","S"),"Ğ","G"),"ğ","G"),"Ü","U"),"ü","U"),"Ö","O"),"ö","O"),"Ç","C"),"ç","C"),".",""),",","")," ",""),"-","")))</f>
        <v/>
      </c>
      <c r="S1391" s="3">
        <f>IF($D1391="","",$C1391&amp;"|"&amp;TEXT($E1391,"0")&amp;"|"&amp;TEXT($F1391,"0")&amp;"|"&amp;$I1391)</f>
        <v/>
      </c>
      <c r="T1391" s="3">
        <f>IF($E1391="",0,SUMPRODUCT((AY_SONU!$O$7:$O$42="Evet")*(AY_SONU!$B$7:$B$42=DATE(YEAR($E1391),MONTH($E1391),1))))</f>
        <v/>
      </c>
    </row>
    <row r="1392">
      <c r="A1392" s="6" t="n"/>
      <c r="B1392" s="113">
        <f>IF($D1392="","","T"&amp;TEXT(ROW()-6,"00000"))</f>
        <v/>
      </c>
      <c r="C1392" s="113">
        <f>IF($D1392="","",IFERROR(INDEX(MUSTERILER!$B$7:$B$106,MATCH($R1392,MUSTERILER!$T$7:$T$106,0)),IFERROR(INDEX(MUSTERILER!$B$7:$B$106,MATCH($D1392,MUSTERILER!$B$7:$B$106,0)),IFERROR(INDEX(MUSTERILER!$B$7:$B$106,MATCH($R1392&amp;"*",MUSTERILER!$T$7:$T$106,0)),"TANIMSIZ MÜŞTERİ"))))</f>
        <v/>
      </c>
      <c r="D1392" s="109" t="n"/>
      <c r="E1392" s="220" t="n"/>
      <c r="F1392" s="221" t="n"/>
      <c r="G1392" s="108" t="n"/>
      <c r="H1392" s="108" t="n"/>
      <c r="I1392" s="109" t="n"/>
      <c r="J1392" s="109" t="n"/>
      <c r="K1392" s="109" t="n"/>
      <c r="L1392" s="226">
        <f>IF($E1392="","",DATE(YEAR($E1392),MONTH($E1392),1))</f>
        <v/>
      </c>
      <c r="M1392" s="113">
        <f>IF($D1392="","",IF($C1392="TANIMSIZ MÜŞTERİ","HATA",IF(OR($E1392="",$F1392&lt;=0,$G1392=""),"EKSİK",IF($E1392&gt;TODAY(),"İLERİ TARİH",IF(COUNTIF($S$7:$S$1506,$S1392)&gt;1,"MÜKERRER?",IF($T1392&gt;0,"KAPALI DÖNEM","UYGUN"))))))</f>
        <v/>
      </c>
      <c r="N1392" s="121">
        <f>IF($C1392="","",IF($C1392="TANIMSIZ MÜŞTERİ","—",INDEX(MUSTERILER!$C$7:$C$106,MATCH($C1392,MUSTERILER!$B$7:$B$106,0))))</f>
        <v/>
      </c>
      <c r="O1392" s="6" t="n"/>
      <c r="P1392" s="6" t="n"/>
      <c r="Q1392" s="3">
        <f>IF($D1392="","",$C1392&amp;"|"&amp;COUNTIFS($C$7:$C1392,$C1392))</f>
        <v/>
      </c>
      <c r="R1392" s="3">
        <f>IF($D1392="","",UPPER(SUBSTITUTE(SUBSTITUTE(SUBSTITUTE(SUBSTITUTE(SUBSTITUTE(SUBSTITUTE(SUBSTITUTE(SUBSTITUTE(SUBSTITUTE(SUBSTITUTE(SUBSTITUTE(SUBSTITUTE(SUBSTITUTE(SUBSTITUTE(SUBSTITUTE(SUBSTITUTE(SUBSTITUTE(SUBSTITUTE(TRIM($D1392),"'",""),"İ","I"),"ı","I"),"i","I"),"Ş","S"),"ş","S"),"Ğ","G"),"ğ","G"),"Ü","U"),"ü","U"),"Ö","O"),"ö","O"),"Ç","C"),"ç","C"),".",""),",","")," ",""),"-","")))</f>
        <v/>
      </c>
      <c r="S1392" s="3">
        <f>IF($D1392="","",$C1392&amp;"|"&amp;TEXT($E1392,"0")&amp;"|"&amp;TEXT($F1392,"0")&amp;"|"&amp;$I1392)</f>
        <v/>
      </c>
      <c r="T1392" s="3">
        <f>IF($E1392="",0,SUMPRODUCT((AY_SONU!$O$7:$O$42="Evet")*(AY_SONU!$B$7:$B$42=DATE(YEAR($E1392),MONTH($E1392),1))))</f>
        <v/>
      </c>
    </row>
    <row r="1393">
      <c r="A1393" s="6" t="n"/>
      <c r="B1393" s="113">
        <f>IF($D1393="","","T"&amp;TEXT(ROW()-6,"00000"))</f>
        <v/>
      </c>
      <c r="C1393" s="113">
        <f>IF($D1393="","",IFERROR(INDEX(MUSTERILER!$B$7:$B$106,MATCH($R1393,MUSTERILER!$T$7:$T$106,0)),IFERROR(INDEX(MUSTERILER!$B$7:$B$106,MATCH($D1393,MUSTERILER!$B$7:$B$106,0)),IFERROR(INDEX(MUSTERILER!$B$7:$B$106,MATCH($R1393&amp;"*",MUSTERILER!$T$7:$T$106,0)),"TANIMSIZ MÜŞTERİ"))))</f>
        <v/>
      </c>
      <c r="D1393" s="109" t="n"/>
      <c r="E1393" s="220" t="n"/>
      <c r="F1393" s="221" t="n"/>
      <c r="G1393" s="108" t="n"/>
      <c r="H1393" s="108" t="n"/>
      <c r="I1393" s="109" t="n"/>
      <c r="J1393" s="109" t="n"/>
      <c r="K1393" s="109" t="n"/>
      <c r="L1393" s="226">
        <f>IF($E1393="","",DATE(YEAR($E1393),MONTH($E1393),1))</f>
        <v/>
      </c>
      <c r="M1393" s="113">
        <f>IF($D1393="","",IF($C1393="TANIMSIZ MÜŞTERİ","HATA",IF(OR($E1393="",$F1393&lt;=0,$G1393=""),"EKSİK",IF($E1393&gt;TODAY(),"İLERİ TARİH",IF(COUNTIF($S$7:$S$1506,$S1393)&gt;1,"MÜKERRER?",IF($T1393&gt;0,"KAPALI DÖNEM","UYGUN"))))))</f>
        <v/>
      </c>
      <c r="N1393" s="121">
        <f>IF($C1393="","",IF($C1393="TANIMSIZ MÜŞTERİ","—",INDEX(MUSTERILER!$C$7:$C$106,MATCH($C1393,MUSTERILER!$B$7:$B$106,0))))</f>
        <v/>
      </c>
      <c r="O1393" s="6" t="n"/>
      <c r="P1393" s="6" t="n"/>
      <c r="Q1393" s="3">
        <f>IF($D1393="","",$C1393&amp;"|"&amp;COUNTIFS($C$7:$C1393,$C1393))</f>
        <v/>
      </c>
      <c r="R1393" s="3">
        <f>IF($D1393="","",UPPER(SUBSTITUTE(SUBSTITUTE(SUBSTITUTE(SUBSTITUTE(SUBSTITUTE(SUBSTITUTE(SUBSTITUTE(SUBSTITUTE(SUBSTITUTE(SUBSTITUTE(SUBSTITUTE(SUBSTITUTE(SUBSTITUTE(SUBSTITUTE(SUBSTITUTE(SUBSTITUTE(SUBSTITUTE(SUBSTITUTE(TRIM($D1393),"'",""),"İ","I"),"ı","I"),"i","I"),"Ş","S"),"ş","S"),"Ğ","G"),"ğ","G"),"Ü","U"),"ü","U"),"Ö","O"),"ö","O"),"Ç","C"),"ç","C"),".",""),",","")," ",""),"-","")))</f>
        <v/>
      </c>
      <c r="S1393" s="3">
        <f>IF($D1393="","",$C1393&amp;"|"&amp;TEXT($E1393,"0")&amp;"|"&amp;TEXT($F1393,"0")&amp;"|"&amp;$I1393)</f>
        <v/>
      </c>
      <c r="T1393" s="3">
        <f>IF($E1393="",0,SUMPRODUCT((AY_SONU!$O$7:$O$42="Evet")*(AY_SONU!$B$7:$B$42=DATE(YEAR($E1393),MONTH($E1393),1))))</f>
        <v/>
      </c>
    </row>
    <row r="1394">
      <c r="A1394" s="6" t="n"/>
      <c r="B1394" s="113">
        <f>IF($D1394="","","T"&amp;TEXT(ROW()-6,"00000"))</f>
        <v/>
      </c>
      <c r="C1394" s="113">
        <f>IF($D1394="","",IFERROR(INDEX(MUSTERILER!$B$7:$B$106,MATCH($R1394,MUSTERILER!$T$7:$T$106,0)),IFERROR(INDEX(MUSTERILER!$B$7:$B$106,MATCH($D1394,MUSTERILER!$B$7:$B$106,0)),IFERROR(INDEX(MUSTERILER!$B$7:$B$106,MATCH($R1394&amp;"*",MUSTERILER!$T$7:$T$106,0)),"TANIMSIZ MÜŞTERİ"))))</f>
        <v/>
      </c>
      <c r="D1394" s="109" t="n"/>
      <c r="E1394" s="220" t="n"/>
      <c r="F1394" s="221" t="n"/>
      <c r="G1394" s="108" t="n"/>
      <c r="H1394" s="108" t="n"/>
      <c r="I1394" s="109" t="n"/>
      <c r="J1394" s="109" t="n"/>
      <c r="K1394" s="109" t="n"/>
      <c r="L1394" s="226">
        <f>IF($E1394="","",DATE(YEAR($E1394),MONTH($E1394),1))</f>
        <v/>
      </c>
      <c r="M1394" s="113">
        <f>IF($D1394="","",IF($C1394="TANIMSIZ MÜŞTERİ","HATA",IF(OR($E1394="",$F1394&lt;=0,$G1394=""),"EKSİK",IF($E1394&gt;TODAY(),"İLERİ TARİH",IF(COUNTIF($S$7:$S$1506,$S1394)&gt;1,"MÜKERRER?",IF($T1394&gt;0,"KAPALI DÖNEM","UYGUN"))))))</f>
        <v/>
      </c>
      <c r="N1394" s="121">
        <f>IF($C1394="","",IF($C1394="TANIMSIZ MÜŞTERİ","—",INDEX(MUSTERILER!$C$7:$C$106,MATCH($C1394,MUSTERILER!$B$7:$B$106,0))))</f>
        <v/>
      </c>
      <c r="O1394" s="6" t="n"/>
      <c r="P1394" s="6" t="n"/>
      <c r="Q1394" s="3">
        <f>IF($D1394="","",$C1394&amp;"|"&amp;COUNTIFS($C$7:$C1394,$C1394))</f>
        <v/>
      </c>
      <c r="R1394" s="3">
        <f>IF($D1394="","",UPPER(SUBSTITUTE(SUBSTITUTE(SUBSTITUTE(SUBSTITUTE(SUBSTITUTE(SUBSTITUTE(SUBSTITUTE(SUBSTITUTE(SUBSTITUTE(SUBSTITUTE(SUBSTITUTE(SUBSTITUTE(SUBSTITUTE(SUBSTITUTE(SUBSTITUTE(SUBSTITUTE(SUBSTITUTE(SUBSTITUTE(TRIM($D1394),"'",""),"İ","I"),"ı","I"),"i","I"),"Ş","S"),"ş","S"),"Ğ","G"),"ğ","G"),"Ü","U"),"ü","U"),"Ö","O"),"ö","O"),"Ç","C"),"ç","C"),".",""),",","")," ",""),"-","")))</f>
        <v/>
      </c>
      <c r="S1394" s="3">
        <f>IF($D1394="","",$C1394&amp;"|"&amp;TEXT($E1394,"0")&amp;"|"&amp;TEXT($F1394,"0")&amp;"|"&amp;$I1394)</f>
        <v/>
      </c>
      <c r="T1394" s="3">
        <f>IF($E1394="",0,SUMPRODUCT((AY_SONU!$O$7:$O$42="Evet")*(AY_SONU!$B$7:$B$42=DATE(YEAR($E1394),MONTH($E1394),1))))</f>
        <v/>
      </c>
    </row>
    <row r="1395">
      <c r="A1395" s="6" t="n"/>
      <c r="B1395" s="113">
        <f>IF($D1395="","","T"&amp;TEXT(ROW()-6,"00000"))</f>
        <v/>
      </c>
      <c r="C1395" s="113">
        <f>IF($D1395="","",IFERROR(INDEX(MUSTERILER!$B$7:$B$106,MATCH($R1395,MUSTERILER!$T$7:$T$106,0)),IFERROR(INDEX(MUSTERILER!$B$7:$B$106,MATCH($D1395,MUSTERILER!$B$7:$B$106,0)),IFERROR(INDEX(MUSTERILER!$B$7:$B$106,MATCH($R1395&amp;"*",MUSTERILER!$T$7:$T$106,0)),"TANIMSIZ MÜŞTERİ"))))</f>
        <v/>
      </c>
      <c r="D1395" s="109" t="n"/>
      <c r="E1395" s="220" t="n"/>
      <c r="F1395" s="221" t="n"/>
      <c r="G1395" s="108" t="n"/>
      <c r="H1395" s="108" t="n"/>
      <c r="I1395" s="109" t="n"/>
      <c r="J1395" s="109" t="n"/>
      <c r="K1395" s="109" t="n"/>
      <c r="L1395" s="226">
        <f>IF($E1395="","",DATE(YEAR($E1395),MONTH($E1395),1))</f>
        <v/>
      </c>
      <c r="M1395" s="113">
        <f>IF($D1395="","",IF($C1395="TANIMSIZ MÜŞTERİ","HATA",IF(OR($E1395="",$F1395&lt;=0,$G1395=""),"EKSİK",IF($E1395&gt;TODAY(),"İLERİ TARİH",IF(COUNTIF($S$7:$S$1506,$S1395)&gt;1,"MÜKERRER?",IF($T1395&gt;0,"KAPALI DÖNEM","UYGUN"))))))</f>
        <v/>
      </c>
      <c r="N1395" s="121">
        <f>IF($C1395="","",IF($C1395="TANIMSIZ MÜŞTERİ","—",INDEX(MUSTERILER!$C$7:$C$106,MATCH($C1395,MUSTERILER!$B$7:$B$106,0))))</f>
        <v/>
      </c>
      <c r="O1395" s="6" t="n"/>
      <c r="P1395" s="6" t="n"/>
      <c r="Q1395" s="3">
        <f>IF($D1395="","",$C1395&amp;"|"&amp;COUNTIFS($C$7:$C1395,$C1395))</f>
        <v/>
      </c>
      <c r="R1395" s="3">
        <f>IF($D1395="","",UPPER(SUBSTITUTE(SUBSTITUTE(SUBSTITUTE(SUBSTITUTE(SUBSTITUTE(SUBSTITUTE(SUBSTITUTE(SUBSTITUTE(SUBSTITUTE(SUBSTITUTE(SUBSTITUTE(SUBSTITUTE(SUBSTITUTE(SUBSTITUTE(SUBSTITUTE(SUBSTITUTE(SUBSTITUTE(SUBSTITUTE(TRIM($D1395),"'",""),"İ","I"),"ı","I"),"i","I"),"Ş","S"),"ş","S"),"Ğ","G"),"ğ","G"),"Ü","U"),"ü","U"),"Ö","O"),"ö","O"),"Ç","C"),"ç","C"),".",""),",","")," ",""),"-","")))</f>
        <v/>
      </c>
      <c r="S1395" s="3">
        <f>IF($D1395="","",$C1395&amp;"|"&amp;TEXT($E1395,"0")&amp;"|"&amp;TEXT($F1395,"0")&amp;"|"&amp;$I1395)</f>
        <v/>
      </c>
      <c r="T1395" s="3">
        <f>IF($E1395="",0,SUMPRODUCT((AY_SONU!$O$7:$O$42="Evet")*(AY_SONU!$B$7:$B$42=DATE(YEAR($E1395),MONTH($E1395),1))))</f>
        <v/>
      </c>
    </row>
    <row r="1396">
      <c r="A1396" s="6" t="n"/>
      <c r="B1396" s="113">
        <f>IF($D1396="","","T"&amp;TEXT(ROW()-6,"00000"))</f>
        <v/>
      </c>
      <c r="C1396" s="113">
        <f>IF($D1396="","",IFERROR(INDEX(MUSTERILER!$B$7:$B$106,MATCH($R1396,MUSTERILER!$T$7:$T$106,0)),IFERROR(INDEX(MUSTERILER!$B$7:$B$106,MATCH($D1396,MUSTERILER!$B$7:$B$106,0)),IFERROR(INDEX(MUSTERILER!$B$7:$B$106,MATCH($R1396&amp;"*",MUSTERILER!$T$7:$T$106,0)),"TANIMSIZ MÜŞTERİ"))))</f>
        <v/>
      </c>
      <c r="D1396" s="109" t="n"/>
      <c r="E1396" s="220" t="n"/>
      <c r="F1396" s="221" t="n"/>
      <c r="G1396" s="108" t="n"/>
      <c r="H1396" s="108" t="n"/>
      <c r="I1396" s="109" t="n"/>
      <c r="J1396" s="109" t="n"/>
      <c r="K1396" s="109" t="n"/>
      <c r="L1396" s="226">
        <f>IF($E1396="","",DATE(YEAR($E1396),MONTH($E1396),1))</f>
        <v/>
      </c>
      <c r="M1396" s="113">
        <f>IF($D1396="","",IF($C1396="TANIMSIZ MÜŞTERİ","HATA",IF(OR($E1396="",$F1396&lt;=0,$G1396=""),"EKSİK",IF($E1396&gt;TODAY(),"İLERİ TARİH",IF(COUNTIF($S$7:$S$1506,$S1396)&gt;1,"MÜKERRER?",IF($T1396&gt;0,"KAPALI DÖNEM","UYGUN"))))))</f>
        <v/>
      </c>
      <c r="N1396" s="121">
        <f>IF($C1396="","",IF($C1396="TANIMSIZ MÜŞTERİ","—",INDEX(MUSTERILER!$C$7:$C$106,MATCH($C1396,MUSTERILER!$B$7:$B$106,0))))</f>
        <v/>
      </c>
      <c r="O1396" s="6" t="n"/>
      <c r="P1396" s="6" t="n"/>
      <c r="Q1396" s="3">
        <f>IF($D1396="","",$C1396&amp;"|"&amp;COUNTIFS($C$7:$C1396,$C1396))</f>
        <v/>
      </c>
      <c r="R1396" s="3">
        <f>IF($D1396="","",UPPER(SUBSTITUTE(SUBSTITUTE(SUBSTITUTE(SUBSTITUTE(SUBSTITUTE(SUBSTITUTE(SUBSTITUTE(SUBSTITUTE(SUBSTITUTE(SUBSTITUTE(SUBSTITUTE(SUBSTITUTE(SUBSTITUTE(SUBSTITUTE(SUBSTITUTE(SUBSTITUTE(SUBSTITUTE(SUBSTITUTE(TRIM($D1396),"'",""),"İ","I"),"ı","I"),"i","I"),"Ş","S"),"ş","S"),"Ğ","G"),"ğ","G"),"Ü","U"),"ü","U"),"Ö","O"),"ö","O"),"Ç","C"),"ç","C"),".",""),",","")," ",""),"-","")))</f>
        <v/>
      </c>
      <c r="S1396" s="3">
        <f>IF($D1396="","",$C1396&amp;"|"&amp;TEXT($E1396,"0")&amp;"|"&amp;TEXT($F1396,"0")&amp;"|"&amp;$I1396)</f>
        <v/>
      </c>
      <c r="T1396" s="3">
        <f>IF($E1396="",0,SUMPRODUCT((AY_SONU!$O$7:$O$42="Evet")*(AY_SONU!$B$7:$B$42=DATE(YEAR($E1396),MONTH($E1396),1))))</f>
        <v/>
      </c>
    </row>
    <row r="1397">
      <c r="A1397" s="6" t="n"/>
      <c r="B1397" s="113">
        <f>IF($D1397="","","T"&amp;TEXT(ROW()-6,"00000"))</f>
        <v/>
      </c>
      <c r="C1397" s="113">
        <f>IF($D1397="","",IFERROR(INDEX(MUSTERILER!$B$7:$B$106,MATCH($R1397,MUSTERILER!$T$7:$T$106,0)),IFERROR(INDEX(MUSTERILER!$B$7:$B$106,MATCH($D1397,MUSTERILER!$B$7:$B$106,0)),IFERROR(INDEX(MUSTERILER!$B$7:$B$106,MATCH($R1397&amp;"*",MUSTERILER!$T$7:$T$106,0)),"TANIMSIZ MÜŞTERİ"))))</f>
        <v/>
      </c>
      <c r="D1397" s="109" t="n"/>
      <c r="E1397" s="220" t="n"/>
      <c r="F1397" s="221" t="n"/>
      <c r="G1397" s="108" t="n"/>
      <c r="H1397" s="108" t="n"/>
      <c r="I1397" s="109" t="n"/>
      <c r="J1397" s="109" t="n"/>
      <c r="K1397" s="109" t="n"/>
      <c r="L1397" s="226">
        <f>IF($E1397="","",DATE(YEAR($E1397),MONTH($E1397),1))</f>
        <v/>
      </c>
      <c r="M1397" s="113">
        <f>IF($D1397="","",IF($C1397="TANIMSIZ MÜŞTERİ","HATA",IF(OR($E1397="",$F1397&lt;=0,$G1397=""),"EKSİK",IF($E1397&gt;TODAY(),"İLERİ TARİH",IF(COUNTIF($S$7:$S$1506,$S1397)&gt;1,"MÜKERRER?",IF($T1397&gt;0,"KAPALI DÖNEM","UYGUN"))))))</f>
        <v/>
      </c>
      <c r="N1397" s="121">
        <f>IF($C1397="","",IF($C1397="TANIMSIZ MÜŞTERİ","—",INDEX(MUSTERILER!$C$7:$C$106,MATCH($C1397,MUSTERILER!$B$7:$B$106,0))))</f>
        <v/>
      </c>
      <c r="O1397" s="6" t="n"/>
      <c r="P1397" s="6" t="n"/>
      <c r="Q1397" s="3">
        <f>IF($D1397="","",$C1397&amp;"|"&amp;COUNTIFS($C$7:$C1397,$C1397))</f>
        <v/>
      </c>
      <c r="R1397" s="3">
        <f>IF($D1397="","",UPPER(SUBSTITUTE(SUBSTITUTE(SUBSTITUTE(SUBSTITUTE(SUBSTITUTE(SUBSTITUTE(SUBSTITUTE(SUBSTITUTE(SUBSTITUTE(SUBSTITUTE(SUBSTITUTE(SUBSTITUTE(SUBSTITUTE(SUBSTITUTE(SUBSTITUTE(SUBSTITUTE(SUBSTITUTE(SUBSTITUTE(TRIM($D1397),"'",""),"İ","I"),"ı","I"),"i","I"),"Ş","S"),"ş","S"),"Ğ","G"),"ğ","G"),"Ü","U"),"ü","U"),"Ö","O"),"ö","O"),"Ç","C"),"ç","C"),".",""),",","")," ",""),"-","")))</f>
        <v/>
      </c>
      <c r="S1397" s="3">
        <f>IF($D1397="","",$C1397&amp;"|"&amp;TEXT($E1397,"0")&amp;"|"&amp;TEXT($F1397,"0")&amp;"|"&amp;$I1397)</f>
        <v/>
      </c>
      <c r="T1397" s="3">
        <f>IF($E1397="",0,SUMPRODUCT((AY_SONU!$O$7:$O$42="Evet")*(AY_SONU!$B$7:$B$42=DATE(YEAR($E1397),MONTH($E1397),1))))</f>
        <v/>
      </c>
    </row>
    <row r="1398">
      <c r="A1398" s="6" t="n"/>
      <c r="B1398" s="113">
        <f>IF($D1398="","","T"&amp;TEXT(ROW()-6,"00000"))</f>
        <v/>
      </c>
      <c r="C1398" s="113">
        <f>IF($D1398="","",IFERROR(INDEX(MUSTERILER!$B$7:$B$106,MATCH($R1398,MUSTERILER!$T$7:$T$106,0)),IFERROR(INDEX(MUSTERILER!$B$7:$B$106,MATCH($D1398,MUSTERILER!$B$7:$B$106,0)),IFERROR(INDEX(MUSTERILER!$B$7:$B$106,MATCH($R1398&amp;"*",MUSTERILER!$T$7:$T$106,0)),"TANIMSIZ MÜŞTERİ"))))</f>
        <v/>
      </c>
      <c r="D1398" s="109" t="n"/>
      <c r="E1398" s="220" t="n"/>
      <c r="F1398" s="221" t="n"/>
      <c r="G1398" s="108" t="n"/>
      <c r="H1398" s="108" t="n"/>
      <c r="I1398" s="109" t="n"/>
      <c r="J1398" s="109" t="n"/>
      <c r="K1398" s="109" t="n"/>
      <c r="L1398" s="226">
        <f>IF($E1398="","",DATE(YEAR($E1398),MONTH($E1398),1))</f>
        <v/>
      </c>
      <c r="M1398" s="113">
        <f>IF($D1398="","",IF($C1398="TANIMSIZ MÜŞTERİ","HATA",IF(OR($E1398="",$F1398&lt;=0,$G1398=""),"EKSİK",IF($E1398&gt;TODAY(),"İLERİ TARİH",IF(COUNTIF($S$7:$S$1506,$S1398)&gt;1,"MÜKERRER?",IF($T1398&gt;0,"KAPALI DÖNEM","UYGUN"))))))</f>
        <v/>
      </c>
      <c r="N1398" s="121">
        <f>IF($C1398="","",IF($C1398="TANIMSIZ MÜŞTERİ","—",INDEX(MUSTERILER!$C$7:$C$106,MATCH($C1398,MUSTERILER!$B$7:$B$106,0))))</f>
        <v/>
      </c>
      <c r="O1398" s="6" t="n"/>
      <c r="P1398" s="6" t="n"/>
      <c r="Q1398" s="3">
        <f>IF($D1398="","",$C1398&amp;"|"&amp;COUNTIFS($C$7:$C1398,$C1398))</f>
        <v/>
      </c>
      <c r="R1398" s="3">
        <f>IF($D1398="","",UPPER(SUBSTITUTE(SUBSTITUTE(SUBSTITUTE(SUBSTITUTE(SUBSTITUTE(SUBSTITUTE(SUBSTITUTE(SUBSTITUTE(SUBSTITUTE(SUBSTITUTE(SUBSTITUTE(SUBSTITUTE(SUBSTITUTE(SUBSTITUTE(SUBSTITUTE(SUBSTITUTE(SUBSTITUTE(SUBSTITUTE(TRIM($D1398),"'",""),"İ","I"),"ı","I"),"i","I"),"Ş","S"),"ş","S"),"Ğ","G"),"ğ","G"),"Ü","U"),"ü","U"),"Ö","O"),"ö","O"),"Ç","C"),"ç","C"),".",""),",","")," ",""),"-","")))</f>
        <v/>
      </c>
      <c r="S1398" s="3">
        <f>IF($D1398="","",$C1398&amp;"|"&amp;TEXT($E1398,"0")&amp;"|"&amp;TEXT($F1398,"0")&amp;"|"&amp;$I1398)</f>
        <v/>
      </c>
      <c r="T1398" s="3">
        <f>IF($E1398="",0,SUMPRODUCT((AY_SONU!$O$7:$O$42="Evet")*(AY_SONU!$B$7:$B$42=DATE(YEAR($E1398),MONTH($E1398),1))))</f>
        <v/>
      </c>
    </row>
    <row r="1399">
      <c r="A1399" s="6" t="n"/>
      <c r="B1399" s="113">
        <f>IF($D1399="","","T"&amp;TEXT(ROW()-6,"00000"))</f>
        <v/>
      </c>
      <c r="C1399" s="113">
        <f>IF($D1399="","",IFERROR(INDEX(MUSTERILER!$B$7:$B$106,MATCH($R1399,MUSTERILER!$T$7:$T$106,0)),IFERROR(INDEX(MUSTERILER!$B$7:$B$106,MATCH($D1399,MUSTERILER!$B$7:$B$106,0)),IFERROR(INDEX(MUSTERILER!$B$7:$B$106,MATCH($R1399&amp;"*",MUSTERILER!$T$7:$T$106,0)),"TANIMSIZ MÜŞTERİ"))))</f>
        <v/>
      </c>
      <c r="D1399" s="109" t="n"/>
      <c r="E1399" s="220" t="n"/>
      <c r="F1399" s="221" t="n"/>
      <c r="G1399" s="108" t="n"/>
      <c r="H1399" s="108" t="n"/>
      <c r="I1399" s="109" t="n"/>
      <c r="J1399" s="109" t="n"/>
      <c r="K1399" s="109" t="n"/>
      <c r="L1399" s="226">
        <f>IF($E1399="","",DATE(YEAR($E1399),MONTH($E1399),1))</f>
        <v/>
      </c>
      <c r="M1399" s="113">
        <f>IF($D1399="","",IF($C1399="TANIMSIZ MÜŞTERİ","HATA",IF(OR($E1399="",$F1399&lt;=0,$G1399=""),"EKSİK",IF($E1399&gt;TODAY(),"İLERİ TARİH",IF(COUNTIF($S$7:$S$1506,$S1399)&gt;1,"MÜKERRER?",IF($T1399&gt;0,"KAPALI DÖNEM","UYGUN"))))))</f>
        <v/>
      </c>
      <c r="N1399" s="121">
        <f>IF($C1399="","",IF($C1399="TANIMSIZ MÜŞTERİ","—",INDEX(MUSTERILER!$C$7:$C$106,MATCH($C1399,MUSTERILER!$B$7:$B$106,0))))</f>
        <v/>
      </c>
      <c r="O1399" s="6" t="n"/>
      <c r="P1399" s="6" t="n"/>
      <c r="Q1399" s="3">
        <f>IF($D1399="","",$C1399&amp;"|"&amp;COUNTIFS($C$7:$C1399,$C1399))</f>
        <v/>
      </c>
      <c r="R1399" s="3">
        <f>IF($D1399="","",UPPER(SUBSTITUTE(SUBSTITUTE(SUBSTITUTE(SUBSTITUTE(SUBSTITUTE(SUBSTITUTE(SUBSTITUTE(SUBSTITUTE(SUBSTITUTE(SUBSTITUTE(SUBSTITUTE(SUBSTITUTE(SUBSTITUTE(SUBSTITUTE(SUBSTITUTE(SUBSTITUTE(SUBSTITUTE(SUBSTITUTE(TRIM($D1399),"'",""),"İ","I"),"ı","I"),"i","I"),"Ş","S"),"ş","S"),"Ğ","G"),"ğ","G"),"Ü","U"),"ü","U"),"Ö","O"),"ö","O"),"Ç","C"),"ç","C"),".",""),",","")," ",""),"-","")))</f>
        <v/>
      </c>
      <c r="S1399" s="3">
        <f>IF($D1399="","",$C1399&amp;"|"&amp;TEXT($E1399,"0")&amp;"|"&amp;TEXT($F1399,"0")&amp;"|"&amp;$I1399)</f>
        <v/>
      </c>
      <c r="T1399" s="3">
        <f>IF($E1399="",0,SUMPRODUCT((AY_SONU!$O$7:$O$42="Evet")*(AY_SONU!$B$7:$B$42=DATE(YEAR($E1399),MONTH($E1399),1))))</f>
        <v/>
      </c>
    </row>
    <row r="1400">
      <c r="A1400" s="6" t="n"/>
      <c r="B1400" s="113">
        <f>IF($D1400="","","T"&amp;TEXT(ROW()-6,"00000"))</f>
        <v/>
      </c>
      <c r="C1400" s="113">
        <f>IF($D1400="","",IFERROR(INDEX(MUSTERILER!$B$7:$B$106,MATCH($R1400,MUSTERILER!$T$7:$T$106,0)),IFERROR(INDEX(MUSTERILER!$B$7:$B$106,MATCH($D1400,MUSTERILER!$B$7:$B$106,0)),IFERROR(INDEX(MUSTERILER!$B$7:$B$106,MATCH($R1400&amp;"*",MUSTERILER!$T$7:$T$106,0)),"TANIMSIZ MÜŞTERİ"))))</f>
        <v/>
      </c>
      <c r="D1400" s="109" t="n"/>
      <c r="E1400" s="220" t="n"/>
      <c r="F1400" s="221" t="n"/>
      <c r="G1400" s="108" t="n"/>
      <c r="H1400" s="108" t="n"/>
      <c r="I1400" s="109" t="n"/>
      <c r="J1400" s="109" t="n"/>
      <c r="K1400" s="109" t="n"/>
      <c r="L1400" s="226">
        <f>IF($E1400="","",DATE(YEAR($E1400),MONTH($E1400),1))</f>
        <v/>
      </c>
      <c r="M1400" s="113">
        <f>IF($D1400="","",IF($C1400="TANIMSIZ MÜŞTERİ","HATA",IF(OR($E1400="",$F1400&lt;=0,$G1400=""),"EKSİK",IF($E1400&gt;TODAY(),"İLERİ TARİH",IF(COUNTIF($S$7:$S$1506,$S1400)&gt;1,"MÜKERRER?",IF($T1400&gt;0,"KAPALI DÖNEM","UYGUN"))))))</f>
        <v/>
      </c>
      <c r="N1400" s="121">
        <f>IF($C1400="","",IF($C1400="TANIMSIZ MÜŞTERİ","—",INDEX(MUSTERILER!$C$7:$C$106,MATCH($C1400,MUSTERILER!$B$7:$B$106,0))))</f>
        <v/>
      </c>
      <c r="O1400" s="6" t="n"/>
      <c r="P1400" s="6" t="n"/>
      <c r="Q1400" s="3">
        <f>IF($D1400="","",$C1400&amp;"|"&amp;COUNTIFS($C$7:$C1400,$C1400))</f>
        <v/>
      </c>
      <c r="R1400" s="3">
        <f>IF($D1400="","",UPPER(SUBSTITUTE(SUBSTITUTE(SUBSTITUTE(SUBSTITUTE(SUBSTITUTE(SUBSTITUTE(SUBSTITUTE(SUBSTITUTE(SUBSTITUTE(SUBSTITUTE(SUBSTITUTE(SUBSTITUTE(SUBSTITUTE(SUBSTITUTE(SUBSTITUTE(SUBSTITUTE(SUBSTITUTE(SUBSTITUTE(TRIM($D1400),"'",""),"İ","I"),"ı","I"),"i","I"),"Ş","S"),"ş","S"),"Ğ","G"),"ğ","G"),"Ü","U"),"ü","U"),"Ö","O"),"ö","O"),"Ç","C"),"ç","C"),".",""),",","")," ",""),"-","")))</f>
        <v/>
      </c>
      <c r="S1400" s="3">
        <f>IF($D1400="","",$C1400&amp;"|"&amp;TEXT($E1400,"0")&amp;"|"&amp;TEXT($F1400,"0")&amp;"|"&amp;$I1400)</f>
        <v/>
      </c>
      <c r="T1400" s="3">
        <f>IF($E1400="",0,SUMPRODUCT((AY_SONU!$O$7:$O$42="Evet")*(AY_SONU!$B$7:$B$42=DATE(YEAR($E1400),MONTH($E1400),1))))</f>
        <v/>
      </c>
    </row>
    <row r="1401">
      <c r="A1401" s="6" t="n"/>
      <c r="B1401" s="113">
        <f>IF($D1401="","","T"&amp;TEXT(ROW()-6,"00000"))</f>
        <v/>
      </c>
      <c r="C1401" s="113">
        <f>IF($D1401="","",IFERROR(INDEX(MUSTERILER!$B$7:$B$106,MATCH($R1401,MUSTERILER!$T$7:$T$106,0)),IFERROR(INDEX(MUSTERILER!$B$7:$B$106,MATCH($D1401,MUSTERILER!$B$7:$B$106,0)),IFERROR(INDEX(MUSTERILER!$B$7:$B$106,MATCH($R1401&amp;"*",MUSTERILER!$T$7:$T$106,0)),"TANIMSIZ MÜŞTERİ"))))</f>
        <v/>
      </c>
      <c r="D1401" s="109" t="n"/>
      <c r="E1401" s="220" t="n"/>
      <c r="F1401" s="221" t="n"/>
      <c r="G1401" s="108" t="n"/>
      <c r="H1401" s="108" t="n"/>
      <c r="I1401" s="109" t="n"/>
      <c r="J1401" s="109" t="n"/>
      <c r="K1401" s="109" t="n"/>
      <c r="L1401" s="226">
        <f>IF($E1401="","",DATE(YEAR($E1401),MONTH($E1401),1))</f>
        <v/>
      </c>
      <c r="M1401" s="113">
        <f>IF($D1401="","",IF($C1401="TANIMSIZ MÜŞTERİ","HATA",IF(OR($E1401="",$F1401&lt;=0,$G1401=""),"EKSİK",IF($E1401&gt;TODAY(),"İLERİ TARİH",IF(COUNTIF($S$7:$S$1506,$S1401)&gt;1,"MÜKERRER?",IF($T1401&gt;0,"KAPALI DÖNEM","UYGUN"))))))</f>
        <v/>
      </c>
      <c r="N1401" s="121">
        <f>IF($C1401="","",IF($C1401="TANIMSIZ MÜŞTERİ","—",INDEX(MUSTERILER!$C$7:$C$106,MATCH($C1401,MUSTERILER!$B$7:$B$106,0))))</f>
        <v/>
      </c>
      <c r="O1401" s="6" t="n"/>
      <c r="P1401" s="6" t="n"/>
      <c r="Q1401" s="3">
        <f>IF($D1401="","",$C1401&amp;"|"&amp;COUNTIFS($C$7:$C1401,$C1401))</f>
        <v/>
      </c>
      <c r="R1401" s="3">
        <f>IF($D1401="","",UPPER(SUBSTITUTE(SUBSTITUTE(SUBSTITUTE(SUBSTITUTE(SUBSTITUTE(SUBSTITUTE(SUBSTITUTE(SUBSTITUTE(SUBSTITUTE(SUBSTITUTE(SUBSTITUTE(SUBSTITUTE(SUBSTITUTE(SUBSTITUTE(SUBSTITUTE(SUBSTITUTE(SUBSTITUTE(SUBSTITUTE(TRIM($D1401),"'",""),"İ","I"),"ı","I"),"i","I"),"Ş","S"),"ş","S"),"Ğ","G"),"ğ","G"),"Ü","U"),"ü","U"),"Ö","O"),"ö","O"),"Ç","C"),"ç","C"),".",""),",","")," ",""),"-","")))</f>
        <v/>
      </c>
      <c r="S1401" s="3">
        <f>IF($D1401="","",$C1401&amp;"|"&amp;TEXT($E1401,"0")&amp;"|"&amp;TEXT($F1401,"0")&amp;"|"&amp;$I1401)</f>
        <v/>
      </c>
      <c r="T1401" s="3">
        <f>IF($E1401="",0,SUMPRODUCT((AY_SONU!$O$7:$O$42="Evet")*(AY_SONU!$B$7:$B$42=DATE(YEAR($E1401),MONTH($E1401),1))))</f>
        <v/>
      </c>
    </row>
    <row r="1402">
      <c r="A1402" s="6" t="n"/>
      <c r="B1402" s="113">
        <f>IF($D1402="","","T"&amp;TEXT(ROW()-6,"00000"))</f>
        <v/>
      </c>
      <c r="C1402" s="113">
        <f>IF($D1402="","",IFERROR(INDEX(MUSTERILER!$B$7:$B$106,MATCH($R1402,MUSTERILER!$T$7:$T$106,0)),IFERROR(INDEX(MUSTERILER!$B$7:$B$106,MATCH($D1402,MUSTERILER!$B$7:$B$106,0)),IFERROR(INDEX(MUSTERILER!$B$7:$B$106,MATCH($R1402&amp;"*",MUSTERILER!$T$7:$T$106,0)),"TANIMSIZ MÜŞTERİ"))))</f>
        <v/>
      </c>
      <c r="D1402" s="109" t="n"/>
      <c r="E1402" s="220" t="n"/>
      <c r="F1402" s="221" t="n"/>
      <c r="G1402" s="108" t="n"/>
      <c r="H1402" s="108" t="n"/>
      <c r="I1402" s="109" t="n"/>
      <c r="J1402" s="109" t="n"/>
      <c r="K1402" s="109" t="n"/>
      <c r="L1402" s="226">
        <f>IF($E1402="","",DATE(YEAR($E1402),MONTH($E1402),1))</f>
        <v/>
      </c>
      <c r="M1402" s="113">
        <f>IF($D1402="","",IF($C1402="TANIMSIZ MÜŞTERİ","HATA",IF(OR($E1402="",$F1402&lt;=0,$G1402=""),"EKSİK",IF($E1402&gt;TODAY(),"İLERİ TARİH",IF(COUNTIF($S$7:$S$1506,$S1402)&gt;1,"MÜKERRER?",IF($T1402&gt;0,"KAPALI DÖNEM","UYGUN"))))))</f>
        <v/>
      </c>
      <c r="N1402" s="121">
        <f>IF($C1402="","",IF($C1402="TANIMSIZ MÜŞTERİ","—",INDEX(MUSTERILER!$C$7:$C$106,MATCH($C1402,MUSTERILER!$B$7:$B$106,0))))</f>
        <v/>
      </c>
      <c r="O1402" s="6" t="n"/>
      <c r="P1402" s="6" t="n"/>
      <c r="Q1402" s="3">
        <f>IF($D1402="","",$C1402&amp;"|"&amp;COUNTIFS($C$7:$C1402,$C1402))</f>
        <v/>
      </c>
      <c r="R1402" s="3">
        <f>IF($D1402="","",UPPER(SUBSTITUTE(SUBSTITUTE(SUBSTITUTE(SUBSTITUTE(SUBSTITUTE(SUBSTITUTE(SUBSTITUTE(SUBSTITUTE(SUBSTITUTE(SUBSTITUTE(SUBSTITUTE(SUBSTITUTE(SUBSTITUTE(SUBSTITUTE(SUBSTITUTE(SUBSTITUTE(SUBSTITUTE(SUBSTITUTE(TRIM($D1402),"'",""),"İ","I"),"ı","I"),"i","I"),"Ş","S"),"ş","S"),"Ğ","G"),"ğ","G"),"Ü","U"),"ü","U"),"Ö","O"),"ö","O"),"Ç","C"),"ç","C"),".",""),",","")," ",""),"-","")))</f>
        <v/>
      </c>
      <c r="S1402" s="3">
        <f>IF($D1402="","",$C1402&amp;"|"&amp;TEXT($E1402,"0")&amp;"|"&amp;TEXT($F1402,"0")&amp;"|"&amp;$I1402)</f>
        <v/>
      </c>
      <c r="T1402" s="3">
        <f>IF($E1402="",0,SUMPRODUCT((AY_SONU!$O$7:$O$42="Evet")*(AY_SONU!$B$7:$B$42=DATE(YEAR($E1402),MONTH($E1402),1))))</f>
        <v/>
      </c>
    </row>
    <row r="1403">
      <c r="A1403" s="6" t="n"/>
      <c r="B1403" s="113">
        <f>IF($D1403="","","T"&amp;TEXT(ROW()-6,"00000"))</f>
        <v/>
      </c>
      <c r="C1403" s="113">
        <f>IF($D1403="","",IFERROR(INDEX(MUSTERILER!$B$7:$B$106,MATCH($R1403,MUSTERILER!$T$7:$T$106,0)),IFERROR(INDEX(MUSTERILER!$B$7:$B$106,MATCH($D1403,MUSTERILER!$B$7:$B$106,0)),IFERROR(INDEX(MUSTERILER!$B$7:$B$106,MATCH($R1403&amp;"*",MUSTERILER!$T$7:$T$106,0)),"TANIMSIZ MÜŞTERİ"))))</f>
        <v/>
      </c>
      <c r="D1403" s="109" t="n"/>
      <c r="E1403" s="220" t="n"/>
      <c r="F1403" s="221" t="n"/>
      <c r="G1403" s="108" t="n"/>
      <c r="H1403" s="108" t="n"/>
      <c r="I1403" s="109" t="n"/>
      <c r="J1403" s="109" t="n"/>
      <c r="K1403" s="109" t="n"/>
      <c r="L1403" s="226">
        <f>IF($E1403="","",DATE(YEAR($E1403),MONTH($E1403),1))</f>
        <v/>
      </c>
      <c r="M1403" s="113">
        <f>IF($D1403="","",IF($C1403="TANIMSIZ MÜŞTERİ","HATA",IF(OR($E1403="",$F1403&lt;=0,$G1403=""),"EKSİK",IF($E1403&gt;TODAY(),"İLERİ TARİH",IF(COUNTIF($S$7:$S$1506,$S1403)&gt;1,"MÜKERRER?",IF($T1403&gt;0,"KAPALI DÖNEM","UYGUN"))))))</f>
        <v/>
      </c>
      <c r="N1403" s="121">
        <f>IF($C1403="","",IF($C1403="TANIMSIZ MÜŞTERİ","—",INDEX(MUSTERILER!$C$7:$C$106,MATCH($C1403,MUSTERILER!$B$7:$B$106,0))))</f>
        <v/>
      </c>
      <c r="O1403" s="6" t="n"/>
      <c r="P1403" s="6" t="n"/>
      <c r="Q1403" s="3">
        <f>IF($D1403="","",$C1403&amp;"|"&amp;COUNTIFS($C$7:$C1403,$C1403))</f>
        <v/>
      </c>
      <c r="R1403" s="3">
        <f>IF($D1403="","",UPPER(SUBSTITUTE(SUBSTITUTE(SUBSTITUTE(SUBSTITUTE(SUBSTITUTE(SUBSTITUTE(SUBSTITUTE(SUBSTITUTE(SUBSTITUTE(SUBSTITUTE(SUBSTITUTE(SUBSTITUTE(SUBSTITUTE(SUBSTITUTE(SUBSTITUTE(SUBSTITUTE(SUBSTITUTE(SUBSTITUTE(TRIM($D1403),"'",""),"İ","I"),"ı","I"),"i","I"),"Ş","S"),"ş","S"),"Ğ","G"),"ğ","G"),"Ü","U"),"ü","U"),"Ö","O"),"ö","O"),"Ç","C"),"ç","C"),".",""),",","")," ",""),"-","")))</f>
        <v/>
      </c>
      <c r="S1403" s="3">
        <f>IF($D1403="","",$C1403&amp;"|"&amp;TEXT($E1403,"0")&amp;"|"&amp;TEXT($F1403,"0")&amp;"|"&amp;$I1403)</f>
        <v/>
      </c>
      <c r="T1403" s="3">
        <f>IF($E1403="",0,SUMPRODUCT((AY_SONU!$O$7:$O$42="Evet")*(AY_SONU!$B$7:$B$42=DATE(YEAR($E1403),MONTH($E1403),1))))</f>
        <v/>
      </c>
    </row>
    <row r="1404">
      <c r="A1404" s="6" t="n"/>
      <c r="B1404" s="113">
        <f>IF($D1404="","","T"&amp;TEXT(ROW()-6,"00000"))</f>
        <v/>
      </c>
      <c r="C1404" s="113">
        <f>IF($D1404="","",IFERROR(INDEX(MUSTERILER!$B$7:$B$106,MATCH($R1404,MUSTERILER!$T$7:$T$106,0)),IFERROR(INDEX(MUSTERILER!$B$7:$B$106,MATCH($D1404,MUSTERILER!$B$7:$B$106,0)),IFERROR(INDEX(MUSTERILER!$B$7:$B$106,MATCH($R1404&amp;"*",MUSTERILER!$T$7:$T$106,0)),"TANIMSIZ MÜŞTERİ"))))</f>
        <v/>
      </c>
      <c r="D1404" s="109" t="n"/>
      <c r="E1404" s="220" t="n"/>
      <c r="F1404" s="221" t="n"/>
      <c r="G1404" s="108" t="n"/>
      <c r="H1404" s="108" t="n"/>
      <c r="I1404" s="109" t="n"/>
      <c r="J1404" s="109" t="n"/>
      <c r="K1404" s="109" t="n"/>
      <c r="L1404" s="226">
        <f>IF($E1404="","",DATE(YEAR($E1404),MONTH($E1404),1))</f>
        <v/>
      </c>
      <c r="M1404" s="113">
        <f>IF($D1404="","",IF($C1404="TANIMSIZ MÜŞTERİ","HATA",IF(OR($E1404="",$F1404&lt;=0,$G1404=""),"EKSİK",IF($E1404&gt;TODAY(),"İLERİ TARİH",IF(COUNTIF($S$7:$S$1506,$S1404)&gt;1,"MÜKERRER?",IF($T1404&gt;0,"KAPALI DÖNEM","UYGUN"))))))</f>
        <v/>
      </c>
      <c r="N1404" s="121">
        <f>IF($C1404="","",IF($C1404="TANIMSIZ MÜŞTERİ","—",INDEX(MUSTERILER!$C$7:$C$106,MATCH($C1404,MUSTERILER!$B$7:$B$106,0))))</f>
        <v/>
      </c>
      <c r="O1404" s="6" t="n"/>
      <c r="P1404" s="6" t="n"/>
      <c r="Q1404" s="3">
        <f>IF($D1404="","",$C1404&amp;"|"&amp;COUNTIFS($C$7:$C1404,$C1404))</f>
        <v/>
      </c>
      <c r="R1404" s="3">
        <f>IF($D1404="","",UPPER(SUBSTITUTE(SUBSTITUTE(SUBSTITUTE(SUBSTITUTE(SUBSTITUTE(SUBSTITUTE(SUBSTITUTE(SUBSTITUTE(SUBSTITUTE(SUBSTITUTE(SUBSTITUTE(SUBSTITUTE(SUBSTITUTE(SUBSTITUTE(SUBSTITUTE(SUBSTITUTE(SUBSTITUTE(SUBSTITUTE(TRIM($D1404),"'",""),"İ","I"),"ı","I"),"i","I"),"Ş","S"),"ş","S"),"Ğ","G"),"ğ","G"),"Ü","U"),"ü","U"),"Ö","O"),"ö","O"),"Ç","C"),"ç","C"),".",""),",","")," ",""),"-","")))</f>
        <v/>
      </c>
      <c r="S1404" s="3">
        <f>IF($D1404="","",$C1404&amp;"|"&amp;TEXT($E1404,"0")&amp;"|"&amp;TEXT($F1404,"0")&amp;"|"&amp;$I1404)</f>
        <v/>
      </c>
      <c r="T1404" s="3">
        <f>IF($E1404="",0,SUMPRODUCT((AY_SONU!$O$7:$O$42="Evet")*(AY_SONU!$B$7:$B$42=DATE(YEAR($E1404),MONTH($E1404),1))))</f>
        <v/>
      </c>
    </row>
    <row r="1405">
      <c r="A1405" s="6" t="n"/>
      <c r="B1405" s="113">
        <f>IF($D1405="","","T"&amp;TEXT(ROW()-6,"00000"))</f>
        <v/>
      </c>
      <c r="C1405" s="113">
        <f>IF($D1405="","",IFERROR(INDEX(MUSTERILER!$B$7:$B$106,MATCH($R1405,MUSTERILER!$T$7:$T$106,0)),IFERROR(INDEX(MUSTERILER!$B$7:$B$106,MATCH($D1405,MUSTERILER!$B$7:$B$106,0)),IFERROR(INDEX(MUSTERILER!$B$7:$B$106,MATCH($R1405&amp;"*",MUSTERILER!$T$7:$T$106,0)),"TANIMSIZ MÜŞTERİ"))))</f>
        <v/>
      </c>
      <c r="D1405" s="109" t="n"/>
      <c r="E1405" s="220" t="n"/>
      <c r="F1405" s="221" t="n"/>
      <c r="G1405" s="108" t="n"/>
      <c r="H1405" s="108" t="n"/>
      <c r="I1405" s="109" t="n"/>
      <c r="J1405" s="109" t="n"/>
      <c r="K1405" s="109" t="n"/>
      <c r="L1405" s="226">
        <f>IF($E1405="","",DATE(YEAR($E1405),MONTH($E1405),1))</f>
        <v/>
      </c>
      <c r="M1405" s="113">
        <f>IF($D1405="","",IF($C1405="TANIMSIZ MÜŞTERİ","HATA",IF(OR($E1405="",$F1405&lt;=0,$G1405=""),"EKSİK",IF($E1405&gt;TODAY(),"İLERİ TARİH",IF(COUNTIF($S$7:$S$1506,$S1405)&gt;1,"MÜKERRER?",IF($T1405&gt;0,"KAPALI DÖNEM","UYGUN"))))))</f>
        <v/>
      </c>
      <c r="N1405" s="121">
        <f>IF($C1405="","",IF($C1405="TANIMSIZ MÜŞTERİ","—",INDEX(MUSTERILER!$C$7:$C$106,MATCH($C1405,MUSTERILER!$B$7:$B$106,0))))</f>
        <v/>
      </c>
      <c r="O1405" s="6" t="n"/>
      <c r="P1405" s="6" t="n"/>
      <c r="Q1405" s="3">
        <f>IF($D1405="","",$C1405&amp;"|"&amp;COUNTIFS($C$7:$C1405,$C1405))</f>
        <v/>
      </c>
      <c r="R1405" s="3">
        <f>IF($D1405="","",UPPER(SUBSTITUTE(SUBSTITUTE(SUBSTITUTE(SUBSTITUTE(SUBSTITUTE(SUBSTITUTE(SUBSTITUTE(SUBSTITUTE(SUBSTITUTE(SUBSTITUTE(SUBSTITUTE(SUBSTITUTE(SUBSTITUTE(SUBSTITUTE(SUBSTITUTE(SUBSTITUTE(SUBSTITUTE(SUBSTITUTE(TRIM($D1405),"'",""),"İ","I"),"ı","I"),"i","I"),"Ş","S"),"ş","S"),"Ğ","G"),"ğ","G"),"Ü","U"),"ü","U"),"Ö","O"),"ö","O"),"Ç","C"),"ç","C"),".",""),",","")," ",""),"-","")))</f>
        <v/>
      </c>
      <c r="S1405" s="3">
        <f>IF($D1405="","",$C1405&amp;"|"&amp;TEXT($E1405,"0")&amp;"|"&amp;TEXT($F1405,"0")&amp;"|"&amp;$I1405)</f>
        <v/>
      </c>
      <c r="T1405" s="3">
        <f>IF($E1405="",0,SUMPRODUCT((AY_SONU!$O$7:$O$42="Evet")*(AY_SONU!$B$7:$B$42=DATE(YEAR($E1405),MONTH($E1405),1))))</f>
        <v/>
      </c>
    </row>
    <row r="1406">
      <c r="A1406" s="6" t="n"/>
      <c r="B1406" s="113">
        <f>IF($D1406="","","T"&amp;TEXT(ROW()-6,"00000"))</f>
        <v/>
      </c>
      <c r="C1406" s="113">
        <f>IF($D1406="","",IFERROR(INDEX(MUSTERILER!$B$7:$B$106,MATCH($R1406,MUSTERILER!$T$7:$T$106,0)),IFERROR(INDEX(MUSTERILER!$B$7:$B$106,MATCH($D1406,MUSTERILER!$B$7:$B$106,0)),IFERROR(INDEX(MUSTERILER!$B$7:$B$106,MATCH($R1406&amp;"*",MUSTERILER!$T$7:$T$106,0)),"TANIMSIZ MÜŞTERİ"))))</f>
        <v/>
      </c>
      <c r="D1406" s="109" t="n"/>
      <c r="E1406" s="220" t="n"/>
      <c r="F1406" s="221" t="n"/>
      <c r="G1406" s="108" t="n"/>
      <c r="H1406" s="108" t="n"/>
      <c r="I1406" s="109" t="n"/>
      <c r="J1406" s="109" t="n"/>
      <c r="K1406" s="109" t="n"/>
      <c r="L1406" s="226">
        <f>IF($E1406="","",DATE(YEAR($E1406),MONTH($E1406),1))</f>
        <v/>
      </c>
      <c r="M1406" s="113">
        <f>IF($D1406="","",IF($C1406="TANIMSIZ MÜŞTERİ","HATA",IF(OR($E1406="",$F1406&lt;=0,$G1406=""),"EKSİK",IF($E1406&gt;TODAY(),"İLERİ TARİH",IF(COUNTIF($S$7:$S$1506,$S1406)&gt;1,"MÜKERRER?",IF($T1406&gt;0,"KAPALI DÖNEM","UYGUN"))))))</f>
        <v/>
      </c>
      <c r="N1406" s="121">
        <f>IF($C1406="","",IF($C1406="TANIMSIZ MÜŞTERİ","—",INDEX(MUSTERILER!$C$7:$C$106,MATCH($C1406,MUSTERILER!$B$7:$B$106,0))))</f>
        <v/>
      </c>
      <c r="O1406" s="6" t="n"/>
      <c r="P1406" s="6" t="n"/>
      <c r="Q1406" s="3">
        <f>IF($D1406="","",$C1406&amp;"|"&amp;COUNTIFS($C$7:$C1406,$C1406))</f>
        <v/>
      </c>
      <c r="R1406" s="3">
        <f>IF($D1406="","",UPPER(SUBSTITUTE(SUBSTITUTE(SUBSTITUTE(SUBSTITUTE(SUBSTITUTE(SUBSTITUTE(SUBSTITUTE(SUBSTITUTE(SUBSTITUTE(SUBSTITUTE(SUBSTITUTE(SUBSTITUTE(SUBSTITUTE(SUBSTITUTE(SUBSTITUTE(SUBSTITUTE(SUBSTITUTE(SUBSTITUTE(TRIM($D1406),"'",""),"İ","I"),"ı","I"),"i","I"),"Ş","S"),"ş","S"),"Ğ","G"),"ğ","G"),"Ü","U"),"ü","U"),"Ö","O"),"ö","O"),"Ç","C"),"ç","C"),".",""),",","")," ",""),"-","")))</f>
        <v/>
      </c>
      <c r="S1406" s="3">
        <f>IF($D1406="","",$C1406&amp;"|"&amp;TEXT($E1406,"0")&amp;"|"&amp;TEXT($F1406,"0")&amp;"|"&amp;$I1406)</f>
        <v/>
      </c>
      <c r="T1406" s="3">
        <f>IF($E1406="",0,SUMPRODUCT((AY_SONU!$O$7:$O$42="Evet")*(AY_SONU!$B$7:$B$42=DATE(YEAR($E1406),MONTH($E1406),1))))</f>
        <v/>
      </c>
    </row>
    <row r="1407">
      <c r="A1407" s="6" t="n"/>
      <c r="B1407" s="113">
        <f>IF($D1407="","","T"&amp;TEXT(ROW()-6,"00000"))</f>
        <v/>
      </c>
      <c r="C1407" s="113">
        <f>IF($D1407="","",IFERROR(INDEX(MUSTERILER!$B$7:$B$106,MATCH($R1407,MUSTERILER!$T$7:$T$106,0)),IFERROR(INDEX(MUSTERILER!$B$7:$B$106,MATCH($D1407,MUSTERILER!$B$7:$B$106,0)),IFERROR(INDEX(MUSTERILER!$B$7:$B$106,MATCH($R1407&amp;"*",MUSTERILER!$T$7:$T$106,0)),"TANIMSIZ MÜŞTERİ"))))</f>
        <v/>
      </c>
      <c r="D1407" s="109" t="n"/>
      <c r="E1407" s="220" t="n"/>
      <c r="F1407" s="221" t="n"/>
      <c r="G1407" s="108" t="n"/>
      <c r="H1407" s="108" t="n"/>
      <c r="I1407" s="109" t="n"/>
      <c r="J1407" s="109" t="n"/>
      <c r="K1407" s="109" t="n"/>
      <c r="L1407" s="226">
        <f>IF($E1407="","",DATE(YEAR($E1407),MONTH($E1407),1))</f>
        <v/>
      </c>
      <c r="M1407" s="113">
        <f>IF($D1407="","",IF($C1407="TANIMSIZ MÜŞTERİ","HATA",IF(OR($E1407="",$F1407&lt;=0,$G1407=""),"EKSİK",IF($E1407&gt;TODAY(),"İLERİ TARİH",IF(COUNTIF($S$7:$S$1506,$S1407)&gt;1,"MÜKERRER?",IF($T1407&gt;0,"KAPALI DÖNEM","UYGUN"))))))</f>
        <v/>
      </c>
      <c r="N1407" s="121">
        <f>IF($C1407="","",IF($C1407="TANIMSIZ MÜŞTERİ","—",INDEX(MUSTERILER!$C$7:$C$106,MATCH($C1407,MUSTERILER!$B$7:$B$106,0))))</f>
        <v/>
      </c>
      <c r="O1407" s="6" t="n"/>
      <c r="P1407" s="6" t="n"/>
      <c r="Q1407" s="3">
        <f>IF($D1407="","",$C1407&amp;"|"&amp;COUNTIFS($C$7:$C1407,$C1407))</f>
        <v/>
      </c>
      <c r="R1407" s="3">
        <f>IF($D1407="","",UPPER(SUBSTITUTE(SUBSTITUTE(SUBSTITUTE(SUBSTITUTE(SUBSTITUTE(SUBSTITUTE(SUBSTITUTE(SUBSTITUTE(SUBSTITUTE(SUBSTITUTE(SUBSTITUTE(SUBSTITUTE(SUBSTITUTE(SUBSTITUTE(SUBSTITUTE(SUBSTITUTE(SUBSTITUTE(SUBSTITUTE(TRIM($D1407),"'",""),"İ","I"),"ı","I"),"i","I"),"Ş","S"),"ş","S"),"Ğ","G"),"ğ","G"),"Ü","U"),"ü","U"),"Ö","O"),"ö","O"),"Ç","C"),"ç","C"),".",""),",","")," ",""),"-","")))</f>
        <v/>
      </c>
      <c r="S1407" s="3">
        <f>IF($D1407="","",$C1407&amp;"|"&amp;TEXT($E1407,"0")&amp;"|"&amp;TEXT($F1407,"0")&amp;"|"&amp;$I1407)</f>
        <v/>
      </c>
      <c r="T1407" s="3">
        <f>IF($E1407="",0,SUMPRODUCT((AY_SONU!$O$7:$O$42="Evet")*(AY_SONU!$B$7:$B$42=DATE(YEAR($E1407),MONTH($E1407),1))))</f>
        <v/>
      </c>
    </row>
    <row r="1408">
      <c r="A1408" s="6" t="n"/>
      <c r="B1408" s="113">
        <f>IF($D1408="","","T"&amp;TEXT(ROW()-6,"00000"))</f>
        <v/>
      </c>
      <c r="C1408" s="113">
        <f>IF($D1408="","",IFERROR(INDEX(MUSTERILER!$B$7:$B$106,MATCH($R1408,MUSTERILER!$T$7:$T$106,0)),IFERROR(INDEX(MUSTERILER!$B$7:$B$106,MATCH($D1408,MUSTERILER!$B$7:$B$106,0)),IFERROR(INDEX(MUSTERILER!$B$7:$B$106,MATCH($R1408&amp;"*",MUSTERILER!$T$7:$T$106,0)),"TANIMSIZ MÜŞTERİ"))))</f>
        <v/>
      </c>
      <c r="D1408" s="109" t="n"/>
      <c r="E1408" s="220" t="n"/>
      <c r="F1408" s="221" t="n"/>
      <c r="G1408" s="108" t="n"/>
      <c r="H1408" s="108" t="n"/>
      <c r="I1408" s="109" t="n"/>
      <c r="J1408" s="109" t="n"/>
      <c r="K1408" s="109" t="n"/>
      <c r="L1408" s="226">
        <f>IF($E1408="","",DATE(YEAR($E1408),MONTH($E1408),1))</f>
        <v/>
      </c>
      <c r="M1408" s="113">
        <f>IF($D1408="","",IF($C1408="TANIMSIZ MÜŞTERİ","HATA",IF(OR($E1408="",$F1408&lt;=0,$G1408=""),"EKSİK",IF($E1408&gt;TODAY(),"İLERİ TARİH",IF(COUNTIF($S$7:$S$1506,$S1408)&gt;1,"MÜKERRER?",IF($T1408&gt;0,"KAPALI DÖNEM","UYGUN"))))))</f>
        <v/>
      </c>
      <c r="N1408" s="121">
        <f>IF($C1408="","",IF($C1408="TANIMSIZ MÜŞTERİ","—",INDEX(MUSTERILER!$C$7:$C$106,MATCH($C1408,MUSTERILER!$B$7:$B$106,0))))</f>
        <v/>
      </c>
      <c r="O1408" s="6" t="n"/>
      <c r="P1408" s="6" t="n"/>
      <c r="Q1408" s="3">
        <f>IF($D1408="","",$C1408&amp;"|"&amp;COUNTIFS($C$7:$C1408,$C1408))</f>
        <v/>
      </c>
      <c r="R1408" s="3">
        <f>IF($D1408="","",UPPER(SUBSTITUTE(SUBSTITUTE(SUBSTITUTE(SUBSTITUTE(SUBSTITUTE(SUBSTITUTE(SUBSTITUTE(SUBSTITUTE(SUBSTITUTE(SUBSTITUTE(SUBSTITUTE(SUBSTITUTE(SUBSTITUTE(SUBSTITUTE(SUBSTITUTE(SUBSTITUTE(SUBSTITUTE(SUBSTITUTE(TRIM($D1408),"'",""),"İ","I"),"ı","I"),"i","I"),"Ş","S"),"ş","S"),"Ğ","G"),"ğ","G"),"Ü","U"),"ü","U"),"Ö","O"),"ö","O"),"Ç","C"),"ç","C"),".",""),",","")," ",""),"-","")))</f>
        <v/>
      </c>
      <c r="S1408" s="3">
        <f>IF($D1408="","",$C1408&amp;"|"&amp;TEXT($E1408,"0")&amp;"|"&amp;TEXT($F1408,"0")&amp;"|"&amp;$I1408)</f>
        <v/>
      </c>
      <c r="T1408" s="3">
        <f>IF($E1408="",0,SUMPRODUCT((AY_SONU!$O$7:$O$42="Evet")*(AY_SONU!$B$7:$B$42=DATE(YEAR($E1408),MONTH($E1408),1))))</f>
        <v/>
      </c>
    </row>
    <row r="1409">
      <c r="A1409" s="6" t="n"/>
      <c r="B1409" s="113">
        <f>IF($D1409="","","T"&amp;TEXT(ROW()-6,"00000"))</f>
        <v/>
      </c>
      <c r="C1409" s="113">
        <f>IF($D1409="","",IFERROR(INDEX(MUSTERILER!$B$7:$B$106,MATCH($R1409,MUSTERILER!$T$7:$T$106,0)),IFERROR(INDEX(MUSTERILER!$B$7:$B$106,MATCH($D1409,MUSTERILER!$B$7:$B$106,0)),IFERROR(INDEX(MUSTERILER!$B$7:$B$106,MATCH($R1409&amp;"*",MUSTERILER!$T$7:$T$106,0)),"TANIMSIZ MÜŞTERİ"))))</f>
        <v/>
      </c>
      <c r="D1409" s="109" t="n"/>
      <c r="E1409" s="220" t="n"/>
      <c r="F1409" s="221" t="n"/>
      <c r="G1409" s="108" t="n"/>
      <c r="H1409" s="108" t="n"/>
      <c r="I1409" s="109" t="n"/>
      <c r="J1409" s="109" t="n"/>
      <c r="K1409" s="109" t="n"/>
      <c r="L1409" s="226">
        <f>IF($E1409="","",DATE(YEAR($E1409),MONTH($E1409),1))</f>
        <v/>
      </c>
      <c r="M1409" s="113">
        <f>IF($D1409="","",IF($C1409="TANIMSIZ MÜŞTERİ","HATA",IF(OR($E1409="",$F1409&lt;=0,$G1409=""),"EKSİK",IF($E1409&gt;TODAY(),"İLERİ TARİH",IF(COUNTIF($S$7:$S$1506,$S1409)&gt;1,"MÜKERRER?",IF($T1409&gt;0,"KAPALI DÖNEM","UYGUN"))))))</f>
        <v/>
      </c>
      <c r="N1409" s="121">
        <f>IF($C1409="","",IF($C1409="TANIMSIZ MÜŞTERİ","—",INDEX(MUSTERILER!$C$7:$C$106,MATCH($C1409,MUSTERILER!$B$7:$B$106,0))))</f>
        <v/>
      </c>
      <c r="O1409" s="6" t="n"/>
      <c r="P1409" s="6" t="n"/>
      <c r="Q1409" s="3">
        <f>IF($D1409="","",$C1409&amp;"|"&amp;COUNTIFS($C$7:$C1409,$C1409))</f>
        <v/>
      </c>
      <c r="R1409" s="3">
        <f>IF($D1409="","",UPPER(SUBSTITUTE(SUBSTITUTE(SUBSTITUTE(SUBSTITUTE(SUBSTITUTE(SUBSTITUTE(SUBSTITUTE(SUBSTITUTE(SUBSTITUTE(SUBSTITUTE(SUBSTITUTE(SUBSTITUTE(SUBSTITUTE(SUBSTITUTE(SUBSTITUTE(SUBSTITUTE(SUBSTITUTE(SUBSTITUTE(TRIM($D1409),"'",""),"İ","I"),"ı","I"),"i","I"),"Ş","S"),"ş","S"),"Ğ","G"),"ğ","G"),"Ü","U"),"ü","U"),"Ö","O"),"ö","O"),"Ç","C"),"ç","C"),".",""),",","")," ",""),"-","")))</f>
        <v/>
      </c>
      <c r="S1409" s="3">
        <f>IF($D1409="","",$C1409&amp;"|"&amp;TEXT($E1409,"0")&amp;"|"&amp;TEXT($F1409,"0")&amp;"|"&amp;$I1409)</f>
        <v/>
      </c>
      <c r="T1409" s="3">
        <f>IF($E1409="",0,SUMPRODUCT((AY_SONU!$O$7:$O$42="Evet")*(AY_SONU!$B$7:$B$42=DATE(YEAR($E1409),MONTH($E1409),1))))</f>
        <v/>
      </c>
    </row>
    <row r="1410">
      <c r="A1410" s="6" t="n"/>
      <c r="B1410" s="113">
        <f>IF($D1410="","","T"&amp;TEXT(ROW()-6,"00000"))</f>
        <v/>
      </c>
      <c r="C1410" s="113">
        <f>IF($D1410="","",IFERROR(INDEX(MUSTERILER!$B$7:$B$106,MATCH($R1410,MUSTERILER!$T$7:$T$106,0)),IFERROR(INDEX(MUSTERILER!$B$7:$B$106,MATCH($D1410,MUSTERILER!$B$7:$B$106,0)),IFERROR(INDEX(MUSTERILER!$B$7:$B$106,MATCH($R1410&amp;"*",MUSTERILER!$T$7:$T$106,0)),"TANIMSIZ MÜŞTERİ"))))</f>
        <v/>
      </c>
      <c r="D1410" s="109" t="n"/>
      <c r="E1410" s="220" t="n"/>
      <c r="F1410" s="221" t="n"/>
      <c r="G1410" s="108" t="n"/>
      <c r="H1410" s="108" t="n"/>
      <c r="I1410" s="109" t="n"/>
      <c r="J1410" s="109" t="n"/>
      <c r="K1410" s="109" t="n"/>
      <c r="L1410" s="226">
        <f>IF($E1410="","",DATE(YEAR($E1410),MONTH($E1410),1))</f>
        <v/>
      </c>
      <c r="M1410" s="113">
        <f>IF($D1410="","",IF($C1410="TANIMSIZ MÜŞTERİ","HATA",IF(OR($E1410="",$F1410&lt;=0,$G1410=""),"EKSİK",IF($E1410&gt;TODAY(),"İLERİ TARİH",IF(COUNTIF($S$7:$S$1506,$S1410)&gt;1,"MÜKERRER?",IF($T1410&gt;0,"KAPALI DÖNEM","UYGUN"))))))</f>
        <v/>
      </c>
      <c r="N1410" s="121">
        <f>IF($C1410="","",IF($C1410="TANIMSIZ MÜŞTERİ","—",INDEX(MUSTERILER!$C$7:$C$106,MATCH($C1410,MUSTERILER!$B$7:$B$106,0))))</f>
        <v/>
      </c>
      <c r="O1410" s="6" t="n"/>
      <c r="P1410" s="6" t="n"/>
      <c r="Q1410" s="3">
        <f>IF($D1410="","",$C1410&amp;"|"&amp;COUNTIFS($C$7:$C1410,$C1410))</f>
        <v/>
      </c>
      <c r="R1410" s="3">
        <f>IF($D1410="","",UPPER(SUBSTITUTE(SUBSTITUTE(SUBSTITUTE(SUBSTITUTE(SUBSTITUTE(SUBSTITUTE(SUBSTITUTE(SUBSTITUTE(SUBSTITUTE(SUBSTITUTE(SUBSTITUTE(SUBSTITUTE(SUBSTITUTE(SUBSTITUTE(SUBSTITUTE(SUBSTITUTE(SUBSTITUTE(SUBSTITUTE(TRIM($D1410),"'",""),"İ","I"),"ı","I"),"i","I"),"Ş","S"),"ş","S"),"Ğ","G"),"ğ","G"),"Ü","U"),"ü","U"),"Ö","O"),"ö","O"),"Ç","C"),"ç","C"),".",""),",","")," ",""),"-","")))</f>
        <v/>
      </c>
      <c r="S1410" s="3">
        <f>IF($D1410="","",$C1410&amp;"|"&amp;TEXT($E1410,"0")&amp;"|"&amp;TEXT($F1410,"0")&amp;"|"&amp;$I1410)</f>
        <v/>
      </c>
      <c r="T1410" s="3">
        <f>IF($E1410="",0,SUMPRODUCT((AY_SONU!$O$7:$O$42="Evet")*(AY_SONU!$B$7:$B$42=DATE(YEAR($E1410),MONTH($E1410),1))))</f>
        <v/>
      </c>
    </row>
    <row r="1411">
      <c r="A1411" s="6" t="n"/>
      <c r="B1411" s="113">
        <f>IF($D1411="","","T"&amp;TEXT(ROW()-6,"00000"))</f>
        <v/>
      </c>
      <c r="C1411" s="113">
        <f>IF($D1411="","",IFERROR(INDEX(MUSTERILER!$B$7:$B$106,MATCH($R1411,MUSTERILER!$T$7:$T$106,0)),IFERROR(INDEX(MUSTERILER!$B$7:$B$106,MATCH($D1411,MUSTERILER!$B$7:$B$106,0)),IFERROR(INDEX(MUSTERILER!$B$7:$B$106,MATCH($R1411&amp;"*",MUSTERILER!$T$7:$T$106,0)),"TANIMSIZ MÜŞTERİ"))))</f>
        <v/>
      </c>
      <c r="D1411" s="109" t="n"/>
      <c r="E1411" s="220" t="n"/>
      <c r="F1411" s="221" t="n"/>
      <c r="G1411" s="108" t="n"/>
      <c r="H1411" s="108" t="n"/>
      <c r="I1411" s="109" t="n"/>
      <c r="J1411" s="109" t="n"/>
      <c r="K1411" s="109" t="n"/>
      <c r="L1411" s="226">
        <f>IF($E1411="","",DATE(YEAR($E1411),MONTH($E1411),1))</f>
        <v/>
      </c>
      <c r="M1411" s="113">
        <f>IF($D1411="","",IF($C1411="TANIMSIZ MÜŞTERİ","HATA",IF(OR($E1411="",$F1411&lt;=0,$G1411=""),"EKSİK",IF($E1411&gt;TODAY(),"İLERİ TARİH",IF(COUNTIF($S$7:$S$1506,$S1411)&gt;1,"MÜKERRER?",IF($T1411&gt;0,"KAPALI DÖNEM","UYGUN"))))))</f>
        <v/>
      </c>
      <c r="N1411" s="121">
        <f>IF($C1411="","",IF($C1411="TANIMSIZ MÜŞTERİ","—",INDEX(MUSTERILER!$C$7:$C$106,MATCH($C1411,MUSTERILER!$B$7:$B$106,0))))</f>
        <v/>
      </c>
      <c r="O1411" s="6" t="n"/>
      <c r="P1411" s="6" t="n"/>
      <c r="Q1411" s="3">
        <f>IF($D1411="","",$C1411&amp;"|"&amp;COUNTIFS($C$7:$C1411,$C1411))</f>
        <v/>
      </c>
      <c r="R1411" s="3">
        <f>IF($D1411="","",UPPER(SUBSTITUTE(SUBSTITUTE(SUBSTITUTE(SUBSTITUTE(SUBSTITUTE(SUBSTITUTE(SUBSTITUTE(SUBSTITUTE(SUBSTITUTE(SUBSTITUTE(SUBSTITUTE(SUBSTITUTE(SUBSTITUTE(SUBSTITUTE(SUBSTITUTE(SUBSTITUTE(SUBSTITUTE(SUBSTITUTE(TRIM($D1411),"'",""),"İ","I"),"ı","I"),"i","I"),"Ş","S"),"ş","S"),"Ğ","G"),"ğ","G"),"Ü","U"),"ü","U"),"Ö","O"),"ö","O"),"Ç","C"),"ç","C"),".",""),",","")," ",""),"-","")))</f>
        <v/>
      </c>
      <c r="S1411" s="3">
        <f>IF($D1411="","",$C1411&amp;"|"&amp;TEXT($E1411,"0")&amp;"|"&amp;TEXT($F1411,"0")&amp;"|"&amp;$I1411)</f>
        <v/>
      </c>
      <c r="T1411" s="3">
        <f>IF($E1411="",0,SUMPRODUCT((AY_SONU!$O$7:$O$42="Evet")*(AY_SONU!$B$7:$B$42=DATE(YEAR($E1411),MONTH($E1411),1))))</f>
        <v/>
      </c>
    </row>
    <row r="1412">
      <c r="A1412" s="6" t="n"/>
      <c r="B1412" s="113">
        <f>IF($D1412="","","T"&amp;TEXT(ROW()-6,"00000"))</f>
        <v/>
      </c>
      <c r="C1412" s="113">
        <f>IF($D1412="","",IFERROR(INDEX(MUSTERILER!$B$7:$B$106,MATCH($R1412,MUSTERILER!$T$7:$T$106,0)),IFERROR(INDEX(MUSTERILER!$B$7:$B$106,MATCH($D1412,MUSTERILER!$B$7:$B$106,0)),IFERROR(INDEX(MUSTERILER!$B$7:$B$106,MATCH($R1412&amp;"*",MUSTERILER!$T$7:$T$106,0)),"TANIMSIZ MÜŞTERİ"))))</f>
        <v/>
      </c>
      <c r="D1412" s="109" t="n"/>
      <c r="E1412" s="220" t="n"/>
      <c r="F1412" s="221" t="n"/>
      <c r="G1412" s="108" t="n"/>
      <c r="H1412" s="108" t="n"/>
      <c r="I1412" s="109" t="n"/>
      <c r="J1412" s="109" t="n"/>
      <c r="K1412" s="109" t="n"/>
      <c r="L1412" s="226">
        <f>IF($E1412="","",DATE(YEAR($E1412),MONTH($E1412),1))</f>
        <v/>
      </c>
      <c r="M1412" s="113">
        <f>IF($D1412="","",IF($C1412="TANIMSIZ MÜŞTERİ","HATA",IF(OR($E1412="",$F1412&lt;=0,$G1412=""),"EKSİK",IF($E1412&gt;TODAY(),"İLERİ TARİH",IF(COUNTIF($S$7:$S$1506,$S1412)&gt;1,"MÜKERRER?",IF($T1412&gt;0,"KAPALI DÖNEM","UYGUN"))))))</f>
        <v/>
      </c>
      <c r="N1412" s="121">
        <f>IF($C1412="","",IF($C1412="TANIMSIZ MÜŞTERİ","—",INDEX(MUSTERILER!$C$7:$C$106,MATCH($C1412,MUSTERILER!$B$7:$B$106,0))))</f>
        <v/>
      </c>
      <c r="O1412" s="6" t="n"/>
      <c r="P1412" s="6" t="n"/>
      <c r="Q1412" s="3">
        <f>IF($D1412="","",$C1412&amp;"|"&amp;COUNTIFS($C$7:$C1412,$C1412))</f>
        <v/>
      </c>
      <c r="R1412" s="3">
        <f>IF($D1412="","",UPPER(SUBSTITUTE(SUBSTITUTE(SUBSTITUTE(SUBSTITUTE(SUBSTITUTE(SUBSTITUTE(SUBSTITUTE(SUBSTITUTE(SUBSTITUTE(SUBSTITUTE(SUBSTITUTE(SUBSTITUTE(SUBSTITUTE(SUBSTITUTE(SUBSTITUTE(SUBSTITUTE(SUBSTITUTE(SUBSTITUTE(TRIM($D1412),"'",""),"İ","I"),"ı","I"),"i","I"),"Ş","S"),"ş","S"),"Ğ","G"),"ğ","G"),"Ü","U"),"ü","U"),"Ö","O"),"ö","O"),"Ç","C"),"ç","C"),".",""),",","")," ",""),"-","")))</f>
        <v/>
      </c>
      <c r="S1412" s="3">
        <f>IF($D1412="","",$C1412&amp;"|"&amp;TEXT($E1412,"0")&amp;"|"&amp;TEXT($F1412,"0")&amp;"|"&amp;$I1412)</f>
        <v/>
      </c>
      <c r="T1412" s="3">
        <f>IF($E1412="",0,SUMPRODUCT((AY_SONU!$O$7:$O$42="Evet")*(AY_SONU!$B$7:$B$42=DATE(YEAR($E1412),MONTH($E1412),1))))</f>
        <v/>
      </c>
    </row>
    <row r="1413">
      <c r="A1413" s="6" t="n"/>
      <c r="B1413" s="113">
        <f>IF($D1413="","","T"&amp;TEXT(ROW()-6,"00000"))</f>
        <v/>
      </c>
      <c r="C1413" s="113">
        <f>IF($D1413="","",IFERROR(INDEX(MUSTERILER!$B$7:$B$106,MATCH($R1413,MUSTERILER!$T$7:$T$106,0)),IFERROR(INDEX(MUSTERILER!$B$7:$B$106,MATCH($D1413,MUSTERILER!$B$7:$B$106,0)),IFERROR(INDEX(MUSTERILER!$B$7:$B$106,MATCH($R1413&amp;"*",MUSTERILER!$T$7:$T$106,0)),"TANIMSIZ MÜŞTERİ"))))</f>
        <v/>
      </c>
      <c r="D1413" s="109" t="n"/>
      <c r="E1413" s="220" t="n"/>
      <c r="F1413" s="221" t="n"/>
      <c r="G1413" s="108" t="n"/>
      <c r="H1413" s="108" t="n"/>
      <c r="I1413" s="109" t="n"/>
      <c r="J1413" s="109" t="n"/>
      <c r="K1413" s="109" t="n"/>
      <c r="L1413" s="226">
        <f>IF($E1413="","",DATE(YEAR($E1413),MONTH($E1413),1))</f>
        <v/>
      </c>
      <c r="M1413" s="113">
        <f>IF($D1413="","",IF($C1413="TANIMSIZ MÜŞTERİ","HATA",IF(OR($E1413="",$F1413&lt;=0,$G1413=""),"EKSİK",IF($E1413&gt;TODAY(),"İLERİ TARİH",IF(COUNTIF($S$7:$S$1506,$S1413)&gt;1,"MÜKERRER?",IF($T1413&gt;0,"KAPALI DÖNEM","UYGUN"))))))</f>
        <v/>
      </c>
      <c r="N1413" s="121">
        <f>IF($C1413="","",IF($C1413="TANIMSIZ MÜŞTERİ","—",INDEX(MUSTERILER!$C$7:$C$106,MATCH($C1413,MUSTERILER!$B$7:$B$106,0))))</f>
        <v/>
      </c>
      <c r="O1413" s="6" t="n"/>
      <c r="P1413" s="6" t="n"/>
      <c r="Q1413" s="3">
        <f>IF($D1413="","",$C1413&amp;"|"&amp;COUNTIFS($C$7:$C1413,$C1413))</f>
        <v/>
      </c>
      <c r="R1413" s="3">
        <f>IF($D1413="","",UPPER(SUBSTITUTE(SUBSTITUTE(SUBSTITUTE(SUBSTITUTE(SUBSTITUTE(SUBSTITUTE(SUBSTITUTE(SUBSTITUTE(SUBSTITUTE(SUBSTITUTE(SUBSTITUTE(SUBSTITUTE(SUBSTITUTE(SUBSTITUTE(SUBSTITUTE(SUBSTITUTE(SUBSTITUTE(SUBSTITUTE(TRIM($D1413),"'",""),"İ","I"),"ı","I"),"i","I"),"Ş","S"),"ş","S"),"Ğ","G"),"ğ","G"),"Ü","U"),"ü","U"),"Ö","O"),"ö","O"),"Ç","C"),"ç","C"),".",""),",","")," ",""),"-","")))</f>
        <v/>
      </c>
      <c r="S1413" s="3">
        <f>IF($D1413="","",$C1413&amp;"|"&amp;TEXT($E1413,"0")&amp;"|"&amp;TEXT($F1413,"0")&amp;"|"&amp;$I1413)</f>
        <v/>
      </c>
      <c r="T1413" s="3">
        <f>IF($E1413="",0,SUMPRODUCT((AY_SONU!$O$7:$O$42="Evet")*(AY_SONU!$B$7:$B$42=DATE(YEAR($E1413),MONTH($E1413),1))))</f>
        <v/>
      </c>
    </row>
    <row r="1414">
      <c r="A1414" s="6" t="n"/>
      <c r="B1414" s="113">
        <f>IF($D1414="","","T"&amp;TEXT(ROW()-6,"00000"))</f>
        <v/>
      </c>
      <c r="C1414" s="113">
        <f>IF($D1414="","",IFERROR(INDEX(MUSTERILER!$B$7:$B$106,MATCH($R1414,MUSTERILER!$T$7:$T$106,0)),IFERROR(INDEX(MUSTERILER!$B$7:$B$106,MATCH($D1414,MUSTERILER!$B$7:$B$106,0)),IFERROR(INDEX(MUSTERILER!$B$7:$B$106,MATCH($R1414&amp;"*",MUSTERILER!$T$7:$T$106,0)),"TANIMSIZ MÜŞTERİ"))))</f>
        <v/>
      </c>
      <c r="D1414" s="109" t="n"/>
      <c r="E1414" s="220" t="n"/>
      <c r="F1414" s="221" t="n"/>
      <c r="G1414" s="108" t="n"/>
      <c r="H1414" s="108" t="n"/>
      <c r="I1414" s="109" t="n"/>
      <c r="J1414" s="109" t="n"/>
      <c r="K1414" s="109" t="n"/>
      <c r="L1414" s="226">
        <f>IF($E1414="","",DATE(YEAR($E1414),MONTH($E1414),1))</f>
        <v/>
      </c>
      <c r="M1414" s="113">
        <f>IF($D1414="","",IF($C1414="TANIMSIZ MÜŞTERİ","HATA",IF(OR($E1414="",$F1414&lt;=0,$G1414=""),"EKSİK",IF($E1414&gt;TODAY(),"İLERİ TARİH",IF(COUNTIF($S$7:$S$1506,$S1414)&gt;1,"MÜKERRER?",IF($T1414&gt;0,"KAPALI DÖNEM","UYGUN"))))))</f>
        <v/>
      </c>
      <c r="N1414" s="121">
        <f>IF($C1414="","",IF($C1414="TANIMSIZ MÜŞTERİ","—",INDEX(MUSTERILER!$C$7:$C$106,MATCH($C1414,MUSTERILER!$B$7:$B$106,0))))</f>
        <v/>
      </c>
      <c r="O1414" s="6" t="n"/>
      <c r="P1414" s="6" t="n"/>
      <c r="Q1414" s="3">
        <f>IF($D1414="","",$C1414&amp;"|"&amp;COUNTIFS($C$7:$C1414,$C1414))</f>
        <v/>
      </c>
      <c r="R1414" s="3">
        <f>IF($D1414="","",UPPER(SUBSTITUTE(SUBSTITUTE(SUBSTITUTE(SUBSTITUTE(SUBSTITUTE(SUBSTITUTE(SUBSTITUTE(SUBSTITUTE(SUBSTITUTE(SUBSTITUTE(SUBSTITUTE(SUBSTITUTE(SUBSTITUTE(SUBSTITUTE(SUBSTITUTE(SUBSTITUTE(SUBSTITUTE(SUBSTITUTE(TRIM($D1414),"'",""),"İ","I"),"ı","I"),"i","I"),"Ş","S"),"ş","S"),"Ğ","G"),"ğ","G"),"Ü","U"),"ü","U"),"Ö","O"),"ö","O"),"Ç","C"),"ç","C"),".",""),",","")," ",""),"-","")))</f>
        <v/>
      </c>
      <c r="S1414" s="3">
        <f>IF($D1414="","",$C1414&amp;"|"&amp;TEXT($E1414,"0")&amp;"|"&amp;TEXT($F1414,"0")&amp;"|"&amp;$I1414)</f>
        <v/>
      </c>
      <c r="T1414" s="3">
        <f>IF($E1414="",0,SUMPRODUCT((AY_SONU!$O$7:$O$42="Evet")*(AY_SONU!$B$7:$B$42=DATE(YEAR($E1414),MONTH($E1414),1))))</f>
        <v/>
      </c>
    </row>
    <row r="1415">
      <c r="A1415" s="6" t="n"/>
      <c r="B1415" s="113">
        <f>IF($D1415="","","T"&amp;TEXT(ROW()-6,"00000"))</f>
        <v/>
      </c>
      <c r="C1415" s="113">
        <f>IF($D1415="","",IFERROR(INDEX(MUSTERILER!$B$7:$B$106,MATCH($R1415,MUSTERILER!$T$7:$T$106,0)),IFERROR(INDEX(MUSTERILER!$B$7:$B$106,MATCH($D1415,MUSTERILER!$B$7:$B$106,0)),IFERROR(INDEX(MUSTERILER!$B$7:$B$106,MATCH($R1415&amp;"*",MUSTERILER!$T$7:$T$106,0)),"TANIMSIZ MÜŞTERİ"))))</f>
        <v/>
      </c>
      <c r="D1415" s="109" t="n"/>
      <c r="E1415" s="220" t="n"/>
      <c r="F1415" s="221" t="n"/>
      <c r="G1415" s="108" t="n"/>
      <c r="H1415" s="108" t="n"/>
      <c r="I1415" s="109" t="n"/>
      <c r="J1415" s="109" t="n"/>
      <c r="K1415" s="109" t="n"/>
      <c r="L1415" s="226">
        <f>IF($E1415="","",DATE(YEAR($E1415),MONTH($E1415),1))</f>
        <v/>
      </c>
      <c r="M1415" s="113">
        <f>IF($D1415="","",IF($C1415="TANIMSIZ MÜŞTERİ","HATA",IF(OR($E1415="",$F1415&lt;=0,$G1415=""),"EKSİK",IF($E1415&gt;TODAY(),"İLERİ TARİH",IF(COUNTIF($S$7:$S$1506,$S1415)&gt;1,"MÜKERRER?",IF($T1415&gt;0,"KAPALI DÖNEM","UYGUN"))))))</f>
        <v/>
      </c>
      <c r="N1415" s="121">
        <f>IF($C1415="","",IF($C1415="TANIMSIZ MÜŞTERİ","—",INDEX(MUSTERILER!$C$7:$C$106,MATCH($C1415,MUSTERILER!$B$7:$B$106,0))))</f>
        <v/>
      </c>
      <c r="O1415" s="6" t="n"/>
      <c r="P1415" s="6" t="n"/>
      <c r="Q1415" s="3">
        <f>IF($D1415="","",$C1415&amp;"|"&amp;COUNTIFS($C$7:$C1415,$C1415))</f>
        <v/>
      </c>
      <c r="R1415" s="3">
        <f>IF($D1415="","",UPPER(SUBSTITUTE(SUBSTITUTE(SUBSTITUTE(SUBSTITUTE(SUBSTITUTE(SUBSTITUTE(SUBSTITUTE(SUBSTITUTE(SUBSTITUTE(SUBSTITUTE(SUBSTITUTE(SUBSTITUTE(SUBSTITUTE(SUBSTITUTE(SUBSTITUTE(SUBSTITUTE(SUBSTITUTE(SUBSTITUTE(TRIM($D1415),"'",""),"İ","I"),"ı","I"),"i","I"),"Ş","S"),"ş","S"),"Ğ","G"),"ğ","G"),"Ü","U"),"ü","U"),"Ö","O"),"ö","O"),"Ç","C"),"ç","C"),".",""),",","")," ",""),"-","")))</f>
        <v/>
      </c>
      <c r="S1415" s="3">
        <f>IF($D1415="","",$C1415&amp;"|"&amp;TEXT($E1415,"0")&amp;"|"&amp;TEXT($F1415,"0")&amp;"|"&amp;$I1415)</f>
        <v/>
      </c>
      <c r="T1415" s="3">
        <f>IF($E1415="",0,SUMPRODUCT((AY_SONU!$O$7:$O$42="Evet")*(AY_SONU!$B$7:$B$42=DATE(YEAR($E1415),MONTH($E1415),1))))</f>
        <v/>
      </c>
    </row>
    <row r="1416">
      <c r="A1416" s="6" t="n"/>
      <c r="B1416" s="113">
        <f>IF($D1416="","","T"&amp;TEXT(ROW()-6,"00000"))</f>
        <v/>
      </c>
      <c r="C1416" s="113">
        <f>IF($D1416="","",IFERROR(INDEX(MUSTERILER!$B$7:$B$106,MATCH($R1416,MUSTERILER!$T$7:$T$106,0)),IFERROR(INDEX(MUSTERILER!$B$7:$B$106,MATCH($D1416,MUSTERILER!$B$7:$B$106,0)),IFERROR(INDEX(MUSTERILER!$B$7:$B$106,MATCH($R1416&amp;"*",MUSTERILER!$T$7:$T$106,0)),"TANIMSIZ MÜŞTERİ"))))</f>
        <v/>
      </c>
      <c r="D1416" s="109" t="n"/>
      <c r="E1416" s="220" t="n"/>
      <c r="F1416" s="221" t="n"/>
      <c r="G1416" s="108" t="n"/>
      <c r="H1416" s="108" t="n"/>
      <c r="I1416" s="109" t="n"/>
      <c r="J1416" s="109" t="n"/>
      <c r="K1416" s="109" t="n"/>
      <c r="L1416" s="226">
        <f>IF($E1416="","",DATE(YEAR($E1416),MONTH($E1416),1))</f>
        <v/>
      </c>
      <c r="M1416" s="113">
        <f>IF($D1416="","",IF($C1416="TANIMSIZ MÜŞTERİ","HATA",IF(OR($E1416="",$F1416&lt;=0,$G1416=""),"EKSİK",IF($E1416&gt;TODAY(),"İLERİ TARİH",IF(COUNTIF($S$7:$S$1506,$S1416)&gt;1,"MÜKERRER?",IF($T1416&gt;0,"KAPALI DÖNEM","UYGUN"))))))</f>
        <v/>
      </c>
      <c r="N1416" s="121">
        <f>IF($C1416="","",IF($C1416="TANIMSIZ MÜŞTERİ","—",INDEX(MUSTERILER!$C$7:$C$106,MATCH($C1416,MUSTERILER!$B$7:$B$106,0))))</f>
        <v/>
      </c>
      <c r="O1416" s="6" t="n"/>
      <c r="P1416" s="6" t="n"/>
      <c r="Q1416" s="3">
        <f>IF($D1416="","",$C1416&amp;"|"&amp;COUNTIFS($C$7:$C1416,$C1416))</f>
        <v/>
      </c>
      <c r="R1416" s="3">
        <f>IF($D1416="","",UPPER(SUBSTITUTE(SUBSTITUTE(SUBSTITUTE(SUBSTITUTE(SUBSTITUTE(SUBSTITUTE(SUBSTITUTE(SUBSTITUTE(SUBSTITUTE(SUBSTITUTE(SUBSTITUTE(SUBSTITUTE(SUBSTITUTE(SUBSTITUTE(SUBSTITUTE(SUBSTITUTE(SUBSTITUTE(SUBSTITUTE(TRIM($D1416),"'",""),"İ","I"),"ı","I"),"i","I"),"Ş","S"),"ş","S"),"Ğ","G"),"ğ","G"),"Ü","U"),"ü","U"),"Ö","O"),"ö","O"),"Ç","C"),"ç","C"),".",""),",","")," ",""),"-","")))</f>
        <v/>
      </c>
      <c r="S1416" s="3">
        <f>IF($D1416="","",$C1416&amp;"|"&amp;TEXT($E1416,"0")&amp;"|"&amp;TEXT($F1416,"0")&amp;"|"&amp;$I1416)</f>
        <v/>
      </c>
      <c r="T1416" s="3">
        <f>IF($E1416="",0,SUMPRODUCT((AY_SONU!$O$7:$O$42="Evet")*(AY_SONU!$B$7:$B$42=DATE(YEAR($E1416),MONTH($E1416),1))))</f>
        <v/>
      </c>
    </row>
    <row r="1417">
      <c r="A1417" s="6" t="n"/>
      <c r="B1417" s="113">
        <f>IF($D1417="","","T"&amp;TEXT(ROW()-6,"00000"))</f>
        <v/>
      </c>
      <c r="C1417" s="113">
        <f>IF($D1417="","",IFERROR(INDEX(MUSTERILER!$B$7:$B$106,MATCH($R1417,MUSTERILER!$T$7:$T$106,0)),IFERROR(INDEX(MUSTERILER!$B$7:$B$106,MATCH($D1417,MUSTERILER!$B$7:$B$106,0)),IFERROR(INDEX(MUSTERILER!$B$7:$B$106,MATCH($R1417&amp;"*",MUSTERILER!$T$7:$T$106,0)),"TANIMSIZ MÜŞTERİ"))))</f>
        <v/>
      </c>
      <c r="D1417" s="109" t="n"/>
      <c r="E1417" s="220" t="n"/>
      <c r="F1417" s="221" t="n"/>
      <c r="G1417" s="108" t="n"/>
      <c r="H1417" s="108" t="n"/>
      <c r="I1417" s="109" t="n"/>
      <c r="J1417" s="109" t="n"/>
      <c r="K1417" s="109" t="n"/>
      <c r="L1417" s="226">
        <f>IF($E1417="","",DATE(YEAR($E1417),MONTH($E1417),1))</f>
        <v/>
      </c>
      <c r="M1417" s="113">
        <f>IF($D1417="","",IF($C1417="TANIMSIZ MÜŞTERİ","HATA",IF(OR($E1417="",$F1417&lt;=0,$G1417=""),"EKSİK",IF($E1417&gt;TODAY(),"İLERİ TARİH",IF(COUNTIF($S$7:$S$1506,$S1417)&gt;1,"MÜKERRER?",IF($T1417&gt;0,"KAPALI DÖNEM","UYGUN"))))))</f>
        <v/>
      </c>
      <c r="N1417" s="121">
        <f>IF($C1417="","",IF($C1417="TANIMSIZ MÜŞTERİ","—",INDEX(MUSTERILER!$C$7:$C$106,MATCH($C1417,MUSTERILER!$B$7:$B$106,0))))</f>
        <v/>
      </c>
      <c r="O1417" s="6" t="n"/>
      <c r="P1417" s="6" t="n"/>
      <c r="Q1417" s="3">
        <f>IF($D1417="","",$C1417&amp;"|"&amp;COUNTIFS($C$7:$C1417,$C1417))</f>
        <v/>
      </c>
      <c r="R1417" s="3">
        <f>IF($D1417="","",UPPER(SUBSTITUTE(SUBSTITUTE(SUBSTITUTE(SUBSTITUTE(SUBSTITUTE(SUBSTITUTE(SUBSTITUTE(SUBSTITUTE(SUBSTITUTE(SUBSTITUTE(SUBSTITUTE(SUBSTITUTE(SUBSTITUTE(SUBSTITUTE(SUBSTITUTE(SUBSTITUTE(SUBSTITUTE(SUBSTITUTE(TRIM($D1417),"'",""),"İ","I"),"ı","I"),"i","I"),"Ş","S"),"ş","S"),"Ğ","G"),"ğ","G"),"Ü","U"),"ü","U"),"Ö","O"),"ö","O"),"Ç","C"),"ç","C"),".",""),",","")," ",""),"-","")))</f>
        <v/>
      </c>
      <c r="S1417" s="3">
        <f>IF($D1417="","",$C1417&amp;"|"&amp;TEXT($E1417,"0")&amp;"|"&amp;TEXT($F1417,"0")&amp;"|"&amp;$I1417)</f>
        <v/>
      </c>
      <c r="T1417" s="3">
        <f>IF($E1417="",0,SUMPRODUCT((AY_SONU!$O$7:$O$42="Evet")*(AY_SONU!$B$7:$B$42=DATE(YEAR($E1417),MONTH($E1417),1))))</f>
        <v/>
      </c>
    </row>
    <row r="1418">
      <c r="A1418" s="6" t="n"/>
      <c r="B1418" s="113">
        <f>IF($D1418="","","T"&amp;TEXT(ROW()-6,"00000"))</f>
        <v/>
      </c>
      <c r="C1418" s="113">
        <f>IF($D1418="","",IFERROR(INDEX(MUSTERILER!$B$7:$B$106,MATCH($R1418,MUSTERILER!$T$7:$T$106,0)),IFERROR(INDEX(MUSTERILER!$B$7:$B$106,MATCH($D1418,MUSTERILER!$B$7:$B$106,0)),IFERROR(INDEX(MUSTERILER!$B$7:$B$106,MATCH($R1418&amp;"*",MUSTERILER!$T$7:$T$106,0)),"TANIMSIZ MÜŞTERİ"))))</f>
        <v/>
      </c>
      <c r="D1418" s="109" t="n"/>
      <c r="E1418" s="220" t="n"/>
      <c r="F1418" s="221" t="n"/>
      <c r="G1418" s="108" t="n"/>
      <c r="H1418" s="108" t="n"/>
      <c r="I1418" s="109" t="n"/>
      <c r="J1418" s="109" t="n"/>
      <c r="K1418" s="109" t="n"/>
      <c r="L1418" s="226">
        <f>IF($E1418="","",DATE(YEAR($E1418),MONTH($E1418),1))</f>
        <v/>
      </c>
      <c r="M1418" s="113">
        <f>IF($D1418="","",IF($C1418="TANIMSIZ MÜŞTERİ","HATA",IF(OR($E1418="",$F1418&lt;=0,$G1418=""),"EKSİK",IF($E1418&gt;TODAY(),"İLERİ TARİH",IF(COUNTIF($S$7:$S$1506,$S1418)&gt;1,"MÜKERRER?",IF($T1418&gt;0,"KAPALI DÖNEM","UYGUN"))))))</f>
        <v/>
      </c>
      <c r="N1418" s="121">
        <f>IF($C1418="","",IF($C1418="TANIMSIZ MÜŞTERİ","—",INDEX(MUSTERILER!$C$7:$C$106,MATCH($C1418,MUSTERILER!$B$7:$B$106,0))))</f>
        <v/>
      </c>
      <c r="O1418" s="6" t="n"/>
      <c r="P1418" s="6" t="n"/>
      <c r="Q1418" s="3">
        <f>IF($D1418="","",$C1418&amp;"|"&amp;COUNTIFS($C$7:$C1418,$C1418))</f>
        <v/>
      </c>
      <c r="R1418" s="3">
        <f>IF($D1418="","",UPPER(SUBSTITUTE(SUBSTITUTE(SUBSTITUTE(SUBSTITUTE(SUBSTITUTE(SUBSTITUTE(SUBSTITUTE(SUBSTITUTE(SUBSTITUTE(SUBSTITUTE(SUBSTITUTE(SUBSTITUTE(SUBSTITUTE(SUBSTITUTE(SUBSTITUTE(SUBSTITUTE(SUBSTITUTE(SUBSTITUTE(TRIM($D1418),"'",""),"İ","I"),"ı","I"),"i","I"),"Ş","S"),"ş","S"),"Ğ","G"),"ğ","G"),"Ü","U"),"ü","U"),"Ö","O"),"ö","O"),"Ç","C"),"ç","C"),".",""),",","")," ",""),"-","")))</f>
        <v/>
      </c>
      <c r="S1418" s="3">
        <f>IF($D1418="","",$C1418&amp;"|"&amp;TEXT($E1418,"0")&amp;"|"&amp;TEXT($F1418,"0")&amp;"|"&amp;$I1418)</f>
        <v/>
      </c>
      <c r="T1418" s="3">
        <f>IF($E1418="",0,SUMPRODUCT((AY_SONU!$O$7:$O$42="Evet")*(AY_SONU!$B$7:$B$42=DATE(YEAR($E1418),MONTH($E1418),1))))</f>
        <v/>
      </c>
    </row>
    <row r="1419">
      <c r="A1419" s="6" t="n"/>
      <c r="B1419" s="113">
        <f>IF($D1419="","","T"&amp;TEXT(ROW()-6,"00000"))</f>
        <v/>
      </c>
      <c r="C1419" s="113">
        <f>IF($D1419="","",IFERROR(INDEX(MUSTERILER!$B$7:$B$106,MATCH($R1419,MUSTERILER!$T$7:$T$106,0)),IFERROR(INDEX(MUSTERILER!$B$7:$B$106,MATCH($D1419,MUSTERILER!$B$7:$B$106,0)),IFERROR(INDEX(MUSTERILER!$B$7:$B$106,MATCH($R1419&amp;"*",MUSTERILER!$T$7:$T$106,0)),"TANIMSIZ MÜŞTERİ"))))</f>
        <v/>
      </c>
      <c r="D1419" s="109" t="n"/>
      <c r="E1419" s="220" t="n"/>
      <c r="F1419" s="221" t="n"/>
      <c r="G1419" s="108" t="n"/>
      <c r="H1419" s="108" t="n"/>
      <c r="I1419" s="109" t="n"/>
      <c r="J1419" s="109" t="n"/>
      <c r="K1419" s="109" t="n"/>
      <c r="L1419" s="226">
        <f>IF($E1419="","",DATE(YEAR($E1419),MONTH($E1419),1))</f>
        <v/>
      </c>
      <c r="M1419" s="113">
        <f>IF($D1419="","",IF($C1419="TANIMSIZ MÜŞTERİ","HATA",IF(OR($E1419="",$F1419&lt;=0,$G1419=""),"EKSİK",IF($E1419&gt;TODAY(),"İLERİ TARİH",IF(COUNTIF($S$7:$S$1506,$S1419)&gt;1,"MÜKERRER?",IF($T1419&gt;0,"KAPALI DÖNEM","UYGUN"))))))</f>
        <v/>
      </c>
      <c r="N1419" s="121">
        <f>IF($C1419="","",IF($C1419="TANIMSIZ MÜŞTERİ","—",INDEX(MUSTERILER!$C$7:$C$106,MATCH($C1419,MUSTERILER!$B$7:$B$106,0))))</f>
        <v/>
      </c>
      <c r="O1419" s="6" t="n"/>
      <c r="P1419" s="6" t="n"/>
      <c r="Q1419" s="3">
        <f>IF($D1419="","",$C1419&amp;"|"&amp;COUNTIFS($C$7:$C1419,$C1419))</f>
        <v/>
      </c>
      <c r="R1419" s="3">
        <f>IF($D1419="","",UPPER(SUBSTITUTE(SUBSTITUTE(SUBSTITUTE(SUBSTITUTE(SUBSTITUTE(SUBSTITUTE(SUBSTITUTE(SUBSTITUTE(SUBSTITUTE(SUBSTITUTE(SUBSTITUTE(SUBSTITUTE(SUBSTITUTE(SUBSTITUTE(SUBSTITUTE(SUBSTITUTE(SUBSTITUTE(SUBSTITUTE(TRIM($D1419),"'",""),"İ","I"),"ı","I"),"i","I"),"Ş","S"),"ş","S"),"Ğ","G"),"ğ","G"),"Ü","U"),"ü","U"),"Ö","O"),"ö","O"),"Ç","C"),"ç","C"),".",""),",","")," ",""),"-","")))</f>
        <v/>
      </c>
      <c r="S1419" s="3">
        <f>IF($D1419="","",$C1419&amp;"|"&amp;TEXT($E1419,"0")&amp;"|"&amp;TEXT($F1419,"0")&amp;"|"&amp;$I1419)</f>
        <v/>
      </c>
      <c r="T1419" s="3">
        <f>IF($E1419="",0,SUMPRODUCT((AY_SONU!$O$7:$O$42="Evet")*(AY_SONU!$B$7:$B$42=DATE(YEAR($E1419),MONTH($E1419),1))))</f>
        <v/>
      </c>
    </row>
    <row r="1420">
      <c r="A1420" s="6" t="n"/>
      <c r="B1420" s="113">
        <f>IF($D1420="","","T"&amp;TEXT(ROW()-6,"00000"))</f>
        <v/>
      </c>
      <c r="C1420" s="113">
        <f>IF($D1420="","",IFERROR(INDEX(MUSTERILER!$B$7:$B$106,MATCH($R1420,MUSTERILER!$T$7:$T$106,0)),IFERROR(INDEX(MUSTERILER!$B$7:$B$106,MATCH($D1420,MUSTERILER!$B$7:$B$106,0)),IFERROR(INDEX(MUSTERILER!$B$7:$B$106,MATCH($R1420&amp;"*",MUSTERILER!$T$7:$T$106,0)),"TANIMSIZ MÜŞTERİ"))))</f>
        <v/>
      </c>
      <c r="D1420" s="109" t="n"/>
      <c r="E1420" s="220" t="n"/>
      <c r="F1420" s="221" t="n"/>
      <c r="G1420" s="108" t="n"/>
      <c r="H1420" s="108" t="n"/>
      <c r="I1420" s="109" t="n"/>
      <c r="J1420" s="109" t="n"/>
      <c r="K1420" s="109" t="n"/>
      <c r="L1420" s="226">
        <f>IF($E1420="","",DATE(YEAR($E1420),MONTH($E1420),1))</f>
        <v/>
      </c>
      <c r="M1420" s="113">
        <f>IF($D1420="","",IF($C1420="TANIMSIZ MÜŞTERİ","HATA",IF(OR($E1420="",$F1420&lt;=0,$G1420=""),"EKSİK",IF($E1420&gt;TODAY(),"İLERİ TARİH",IF(COUNTIF($S$7:$S$1506,$S1420)&gt;1,"MÜKERRER?",IF($T1420&gt;0,"KAPALI DÖNEM","UYGUN"))))))</f>
        <v/>
      </c>
      <c r="N1420" s="121">
        <f>IF($C1420="","",IF($C1420="TANIMSIZ MÜŞTERİ","—",INDEX(MUSTERILER!$C$7:$C$106,MATCH($C1420,MUSTERILER!$B$7:$B$106,0))))</f>
        <v/>
      </c>
      <c r="O1420" s="6" t="n"/>
      <c r="P1420" s="6" t="n"/>
      <c r="Q1420" s="3">
        <f>IF($D1420="","",$C1420&amp;"|"&amp;COUNTIFS($C$7:$C1420,$C1420))</f>
        <v/>
      </c>
      <c r="R1420" s="3">
        <f>IF($D1420="","",UPPER(SUBSTITUTE(SUBSTITUTE(SUBSTITUTE(SUBSTITUTE(SUBSTITUTE(SUBSTITUTE(SUBSTITUTE(SUBSTITUTE(SUBSTITUTE(SUBSTITUTE(SUBSTITUTE(SUBSTITUTE(SUBSTITUTE(SUBSTITUTE(SUBSTITUTE(SUBSTITUTE(SUBSTITUTE(SUBSTITUTE(TRIM($D1420),"'",""),"İ","I"),"ı","I"),"i","I"),"Ş","S"),"ş","S"),"Ğ","G"),"ğ","G"),"Ü","U"),"ü","U"),"Ö","O"),"ö","O"),"Ç","C"),"ç","C"),".",""),",","")," ",""),"-","")))</f>
        <v/>
      </c>
      <c r="S1420" s="3">
        <f>IF($D1420="","",$C1420&amp;"|"&amp;TEXT($E1420,"0")&amp;"|"&amp;TEXT($F1420,"0")&amp;"|"&amp;$I1420)</f>
        <v/>
      </c>
      <c r="T1420" s="3">
        <f>IF($E1420="",0,SUMPRODUCT((AY_SONU!$O$7:$O$42="Evet")*(AY_SONU!$B$7:$B$42=DATE(YEAR($E1420),MONTH($E1420),1))))</f>
        <v/>
      </c>
    </row>
    <row r="1421">
      <c r="A1421" s="6" t="n"/>
      <c r="B1421" s="113">
        <f>IF($D1421="","","T"&amp;TEXT(ROW()-6,"00000"))</f>
        <v/>
      </c>
      <c r="C1421" s="113">
        <f>IF($D1421="","",IFERROR(INDEX(MUSTERILER!$B$7:$B$106,MATCH($R1421,MUSTERILER!$T$7:$T$106,0)),IFERROR(INDEX(MUSTERILER!$B$7:$B$106,MATCH($D1421,MUSTERILER!$B$7:$B$106,0)),IFERROR(INDEX(MUSTERILER!$B$7:$B$106,MATCH($R1421&amp;"*",MUSTERILER!$T$7:$T$106,0)),"TANIMSIZ MÜŞTERİ"))))</f>
        <v/>
      </c>
      <c r="D1421" s="109" t="n"/>
      <c r="E1421" s="220" t="n"/>
      <c r="F1421" s="221" t="n"/>
      <c r="G1421" s="108" t="n"/>
      <c r="H1421" s="108" t="n"/>
      <c r="I1421" s="109" t="n"/>
      <c r="J1421" s="109" t="n"/>
      <c r="K1421" s="109" t="n"/>
      <c r="L1421" s="226">
        <f>IF($E1421="","",DATE(YEAR($E1421),MONTH($E1421),1))</f>
        <v/>
      </c>
      <c r="M1421" s="113">
        <f>IF($D1421="","",IF($C1421="TANIMSIZ MÜŞTERİ","HATA",IF(OR($E1421="",$F1421&lt;=0,$G1421=""),"EKSİK",IF($E1421&gt;TODAY(),"İLERİ TARİH",IF(COUNTIF($S$7:$S$1506,$S1421)&gt;1,"MÜKERRER?",IF($T1421&gt;0,"KAPALI DÖNEM","UYGUN"))))))</f>
        <v/>
      </c>
      <c r="N1421" s="121">
        <f>IF($C1421="","",IF($C1421="TANIMSIZ MÜŞTERİ","—",INDEX(MUSTERILER!$C$7:$C$106,MATCH($C1421,MUSTERILER!$B$7:$B$106,0))))</f>
        <v/>
      </c>
      <c r="O1421" s="6" t="n"/>
      <c r="P1421" s="6" t="n"/>
      <c r="Q1421" s="3">
        <f>IF($D1421="","",$C1421&amp;"|"&amp;COUNTIFS($C$7:$C1421,$C1421))</f>
        <v/>
      </c>
      <c r="R1421" s="3">
        <f>IF($D1421="","",UPPER(SUBSTITUTE(SUBSTITUTE(SUBSTITUTE(SUBSTITUTE(SUBSTITUTE(SUBSTITUTE(SUBSTITUTE(SUBSTITUTE(SUBSTITUTE(SUBSTITUTE(SUBSTITUTE(SUBSTITUTE(SUBSTITUTE(SUBSTITUTE(SUBSTITUTE(SUBSTITUTE(SUBSTITUTE(SUBSTITUTE(TRIM($D1421),"'",""),"İ","I"),"ı","I"),"i","I"),"Ş","S"),"ş","S"),"Ğ","G"),"ğ","G"),"Ü","U"),"ü","U"),"Ö","O"),"ö","O"),"Ç","C"),"ç","C"),".",""),",","")," ",""),"-","")))</f>
        <v/>
      </c>
      <c r="S1421" s="3">
        <f>IF($D1421="","",$C1421&amp;"|"&amp;TEXT($E1421,"0")&amp;"|"&amp;TEXT($F1421,"0")&amp;"|"&amp;$I1421)</f>
        <v/>
      </c>
      <c r="T1421" s="3">
        <f>IF($E1421="",0,SUMPRODUCT((AY_SONU!$O$7:$O$42="Evet")*(AY_SONU!$B$7:$B$42=DATE(YEAR($E1421),MONTH($E1421),1))))</f>
        <v/>
      </c>
    </row>
    <row r="1422">
      <c r="A1422" s="6" t="n"/>
      <c r="B1422" s="113">
        <f>IF($D1422="","","T"&amp;TEXT(ROW()-6,"00000"))</f>
        <v/>
      </c>
      <c r="C1422" s="113">
        <f>IF($D1422="","",IFERROR(INDEX(MUSTERILER!$B$7:$B$106,MATCH($R1422,MUSTERILER!$T$7:$T$106,0)),IFERROR(INDEX(MUSTERILER!$B$7:$B$106,MATCH($D1422,MUSTERILER!$B$7:$B$106,0)),IFERROR(INDEX(MUSTERILER!$B$7:$B$106,MATCH($R1422&amp;"*",MUSTERILER!$T$7:$T$106,0)),"TANIMSIZ MÜŞTERİ"))))</f>
        <v/>
      </c>
      <c r="D1422" s="109" t="n"/>
      <c r="E1422" s="220" t="n"/>
      <c r="F1422" s="221" t="n"/>
      <c r="G1422" s="108" t="n"/>
      <c r="H1422" s="108" t="n"/>
      <c r="I1422" s="109" t="n"/>
      <c r="J1422" s="109" t="n"/>
      <c r="K1422" s="109" t="n"/>
      <c r="L1422" s="226">
        <f>IF($E1422="","",DATE(YEAR($E1422),MONTH($E1422),1))</f>
        <v/>
      </c>
      <c r="M1422" s="113">
        <f>IF($D1422="","",IF($C1422="TANIMSIZ MÜŞTERİ","HATA",IF(OR($E1422="",$F1422&lt;=0,$G1422=""),"EKSİK",IF($E1422&gt;TODAY(),"İLERİ TARİH",IF(COUNTIF($S$7:$S$1506,$S1422)&gt;1,"MÜKERRER?",IF($T1422&gt;0,"KAPALI DÖNEM","UYGUN"))))))</f>
        <v/>
      </c>
      <c r="N1422" s="121">
        <f>IF($C1422="","",IF($C1422="TANIMSIZ MÜŞTERİ","—",INDEX(MUSTERILER!$C$7:$C$106,MATCH($C1422,MUSTERILER!$B$7:$B$106,0))))</f>
        <v/>
      </c>
      <c r="O1422" s="6" t="n"/>
      <c r="P1422" s="6" t="n"/>
      <c r="Q1422" s="3">
        <f>IF($D1422="","",$C1422&amp;"|"&amp;COUNTIFS($C$7:$C1422,$C1422))</f>
        <v/>
      </c>
      <c r="R1422" s="3">
        <f>IF($D1422="","",UPPER(SUBSTITUTE(SUBSTITUTE(SUBSTITUTE(SUBSTITUTE(SUBSTITUTE(SUBSTITUTE(SUBSTITUTE(SUBSTITUTE(SUBSTITUTE(SUBSTITUTE(SUBSTITUTE(SUBSTITUTE(SUBSTITUTE(SUBSTITUTE(SUBSTITUTE(SUBSTITUTE(SUBSTITUTE(SUBSTITUTE(TRIM($D1422),"'",""),"İ","I"),"ı","I"),"i","I"),"Ş","S"),"ş","S"),"Ğ","G"),"ğ","G"),"Ü","U"),"ü","U"),"Ö","O"),"ö","O"),"Ç","C"),"ç","C"),".",""),",","")," ",""),"-","")))</f>
        <v/>
      </c>
      <c r="S1422" s="3">
        <f>IF($D1422="","",$C1422&amp;"|"&amp;TEXT($E1422,"0")&amp;"|"&amp;TEXT($F1422,"0")&amp;"|"&amp;$I1422)</f>
        <v/>
      </c>
      <c r="T1422" s="3">
        <f>IF($E1422="",0,SUMPRODUCT((AY_SONU!$O$7:$O$42="Evet")*(AY_SONU!$B$7:$B$42=DATE(YEAR($E1422),MONTH($E1422),1))))</f>
        <v/>
      </c>
    </row>
    <row r="1423">
      <c r="A1423" s="6" t="n"/>
      <c r="B1423" s="113">
        <f>IF($D1423="","","T"&amp;TEXT(ROW()-6,"00000"))</f>
        <v/>
      </c>
      <c r="C1423" s="113">
        <f>IF($D1423="","",IFERROR(INDEX(MUSTERILER!$B$7:$B$106,MATCH($R1423,MUSTERILER!$T$7:$T$106,0)),IFERROR(INDEX(MUSTERILER!$B$7:$B$106,MATCH($D1423,MUSTERILER!$B$7:$B$106,0)),IFERROR(INDEX(MUSTERILER!$B$7:$B$106,MATCH($R1423&amp;"*",MUSTERILER!$T$7:$T$106,0)),"TANIMSIZ MÜŞTERİ"))))</f>
        <v/>
      </c>
      <c r="D1423" s="109" t="n"/>
      <c r="E1423" s="220" t="n"/>
      <c r="F1423" s="221" t="n"/>
      <c r="G1423" s="108" t="n"/>
      <c r="H1423" s="108" t="n"/>
      <c r="I1423" s="109" t="n"/>
      <c r="J1423" s="109" t="n"/>
      <c r="K1423" s="109" t="n"/>
      <c r="L1423" s="226">
        <f>IF($E1423="","",DATE(YEAR($E1423),MONTH($E1423),1))</f>
        <v/>
      </c>
      <c r="M1423" s="113">
        <f>IF($D1423="","",IF($C1423="TANIMSIZ MÜŞTERİ","HATA",IF(OR($E1423="",$F1423&lt;=0,$G1423=""),"EKSİK",IF($E1423&gt;TODAY(),"İLERİ TARİH",IF(COUNTIF($S$7:$S$1506,$S1423)&gt;1,"MÜKERRER?",IF($T1423&gt;0,"KAPALI DÖNEM","UYGUN"))))))</f>
        <v/>
      </c>
      <c r="N1423" s="121">
        <f>IF($C1423="","",IF($C1423="TANIMSIZ MÜŞTERİ","—",INDEX(MUSTERILER!$C$7:$C$106,MATCH($C1423,MUSTERILER!$B$7:$B$106,0))))</f>
        <v/>
      </c>
      <c r="O1423" s="6" t="n"/>
      <c r="P1423" s="6" t="n"/>
      <c r="Q1423" s="3">
        <f>IF($D1423="","",$C1423&amp;"|"&amp;COUNTIFS($C$7:$C1423,$C1423))</f>
        <v/>
      </c>
      <c r="R1423" s="3">
        <f>IF($D1423="","",UPPER(SUBSTITUTE(SUBSTITUTE(SUBSTITUTE(SUBSTITUTE(SUBSTITUTE(SUBSTITUTE(SUBSTITUTE(SUBSTITUTE(SUBSTITUTE(SUBSTITUTE(SUBSTITUTE(SUBSTITUTE(SUBSTITUTE(SUBSTITUTE(SUBSTITUTE(SUBSTITUTE(SUBSTITUTE(SUBSTITUTE(TRIM($D1423),"'",""),"İ","I"),"ı","I"),"i","I"),"Ş","S"),"ş","S"),"Ğ","G"),"ğ","G"),"Ü","U"),"ü","U"),"Ö","O"),"ö","O"),"Ç","C"),"ç","C"),".",""),",","")," ",""),"-","")))</f>
        <v/>
      </c>
      <c r="S1423" s="3">
        <f>IF($D1423="","",$C1423&amp;"|"&amp;TEXT($E1423,"0")&amp;"|"&amp;TEXT($F1423,"0")&amp;"|"&amp;$I1423)</f>
        <v/>
      </c>
      <c r="T1423" s="3">
        <f>IF($E1423="",0,SUMPRODUCT((AY_SONU!$O$7:$O$42="Evet")*(AY_SONU!$B$7:$B$42=DATE(YEAR($E1423),MONTH($E1423),1))))</f>
        <v/>
      </c>
    </row>
    <row r="1424">
      <c r="A1424" s="6" t="n"/>
      <c r="B1424" s="113">
        <f>IF($D1424="","","T"&amp;TEXT(ROW()-6,"00000"))</f>
        <v/>
      </c>
      <c r="C1424" s="113">
        <f>IF($D1424="","",IFERROR(INDEX(MUSTERILER!$B$7:$B$106,MATCH($R1424,MUSTERILER!$T$7:$T$106,0)),IFERROR(INDEX(MUSTERILER!$B$7:$B$106,MATCH($D1424,MUSTERILER!$B$7:$B$106,0)),IFERROR(INDEX(MUSTERILER!$B$7:$B$106,MATCH($R1424&amp;"*",MUSTERILER!$T$7:$T$106,0)),"TANIMSIZ MÜŞTERİ"))))</f>
        <v/>
      </c>
      <c r="D1424" s="109" t="n"/>
      <c r="E1424" s="220" t="n"/>
      <c r="F1424" s="221" t="n"/>
      <c r="G1424" s="108" t="n"/>
      <c r="H1424" s="108" t="n"/>
      <c r="I1424" s="109" t="n"/>
      <c r="J1424" s="109" t="n"/>
      <c r="K1424" s="109" t="n"/>
      <c r="L1424" s="226">
        <f>IF($E1424="","",DATE(YEAR($E1424),MONTH($E1424),1))</f>
        <v/>
      </c>
      <c r="M1424" s="113">
        <f>IF($D1424="","",IF($C1424="TANIMSIZ MÜŞTERİ","HATA",IF(OR($E1424="",$F1424&lt;=0,$G1424=""),"EKSİK",IF($E1424&gt;TODAY(),"İLERİ TARİH",IF(COUNTIF($S$7:$S$1506,$S1424)&gt;1,"MÜKERRER?",IF($T1424&gt;0,"KAPALI DÖNEM","UYGUN"))))))</f>
        <v/>
      </c>
      <c r="N1424" s="121">
        <f>IF($C1424="","",IF($C1424="TANIMSIZ MÜŞTERİ","—",INDEX(MUSTERILER!$C$7:$C$106,MATCH($C1424,MUSTERILER!$B$7:$B$106,0))))</f>
        <v/>
      </c>
      <c r="O1424" s="6" t="n"/>
      <c r="P1424" s="6" t="n"/>
      <c r="Q1424" s="3">
        <f>IF($D1424="","",$C1424&amp;"|"&amp;COUNTIFS($C$7:$C1424,$C1424))</f>
        <v/>
      </c>
      <c r="R1424" s="3">
        <f>IF($D1424="","",UPPER(SUBSTITUTE(SUBSTITUTE(SUBSTITUTE(SUBSTITUTE(SUBSTITUTE(SUBSTITUTE(SUBSTITUTE(SUBSTITUTE(SUBSTITUTE(SUBSTITUTE(SUBSTITUTE(SUBSTITUTE(SUBSTITUTE(SUBSTITUTE(SUBSTITUTE(SUBSTITUTE(SUBSTITUTE(SUBSTITUTE(TRIM($D1424),"'",""),"İ","I"),"ı","I"),"i","I"),"Ş","S"),"ş","S"),"Ğ","G"),"ğ","G"),"Ü","U"),"ü","U"),"Ö","O"),"ö","O"),"Ç","C"),"ç","C"),".",""),",","")," ",""),"-","")))</f>
        <v/>
      </c>
      <c r="S1424" s="3">
        <f>IF($D1424="","",$C1424&amp;"|"&amp;TEXT($E1424,"0")&amp;"|"&amp;TEXT($F1424,"0")&amp;"|"&amp;$I1424)</f>
        <v/>
      </c>
      <c r="T1424" s="3">
        <f>IF($E1424="",0,SUMPRODUCT((AY_SONU!$O$7:$O$42="Evet")*(AY_SONU!$B$7:$B$42=DATE(YEAR($E1424),MONTH($E1424),1))))</f>
        <v/>
      </c>
    </row>
    <row r="1425">
      <c r="A1425" s="6" t="n"/>
      <c r="B1425" s="113">
        <f>IF($D1425="","","T"&amp;TEXT(ROW()-6,"00000"))</f>
        <v/>
      </c>
      <c r="C1425" s="113">
        <f>IF($D1425="","",IFERROR(INDEX(MUSTERILER!$B$7:$B$106,MATCH($R1425,MUSTERILER!$T$7:$T$106,0)),IFERROR(INDEX(MUSTERILER!$B$7:$B$106,MATCH($D1425,MUSTERILER!$B$7:$B$106,0)),IFERROR(INDEX(MUSTERILER!$B$7:$B$106,MATCH($R1425&amp;"*",MUSTERILER!$T$7:$T$106,0)),"TANIMSIZ MÜŞTERİ"))))</f>
        <v/>
      </c>
      <c r="D1425" s="109" t="n"/>
      <c r="E1425" s="220" t="n"/>
      <c r="F1425" s="221" t="n"/>
      <c r="G1425" s="108" t="n"/>
      <c r="H1425" s="108" t="n"/>
      <c r="I1425" s="109" t="n"/>
      <c r="J1425" s="109" t="n"/>
      <c r="K1425" s="109" t="n"/>
      <c r="L1425" s="226">
        <f>IF($E1425="","",DATE(YEAR($E1425),MONTH($E1425),1))</f>
        <v/>
      </c>
      <c r="M1425" s="113">
        <f>IF($D1425="","",IF($C1425="TANIMSIZ MÜŞTERİ","HATA",IF(OR($E1425="",$F1425&lt;=0,$G1425=""),"EKSİK",IF($E1425&gt;TODAY(),"İLERİ TARİH",IF(COUNTIF($S$7:$S$1506,$S1425)&gt;1,"MÜKERRER?",IF($T1425&gt;0,"KAPALI DÖNEM","UYGUN"))))))</f>
        <v/>
      </c>
      <c r="N1425" s="121">
        <f>IF($C1425="","",IF($C1425="TANIMSIZ MÜŞTERİ","—",INDEX(MUSTERILER!$C$7:$C$106,MATCH($C1425,MUSTERILER!$B$7:$B$106,0))))</f>
        <v/>
      </c>
      <c r="O1425" s="6" t="n"/>
      <c r="P1425" s="6" t="n"/>
      <c r="Q1425" s="3">
        <f>IF($D1425="","",$C1425&amp;"|"&amp;COUNTIFS($C$7:$C1425,$C1425))</f>
        <v/>
      </c>
      <c r="R1425" s="3">
        <f>IF($D1425="","",UPPER(SUBSTITUTE(SUBSTITUTE(SUBSTITUTE(SUBSTITUTE(SUBSTITUTE(SUBSTITUTE(SUBSTITUTE(SUBSTITUTE(SUBSTITUTE(SUBSTITUTE(SUBSTITUTE(SUBSTITUTE(SUBSTITUTE(SUBSTITUTE(SUBSTITUTE(SUBSTITUTE(SUBSTITUTE(SUBSTITUTE(TRIM($D1425),"'",""),"İ","I"),"ı","I"),"i","I"),"Ş","S"),"ş","S"),"Ğ","G"),"ğ","G"),"Ü","U"),"ü","U"),"Ö","O"),"ö","O"),"Ç","C"),"ç","C"),".",""),",","")," ",""),"-","")))</f>
        <v/>
      </c>
      <c r="S1425" s="3">
        <f>IF($D1425="","",$C1425&amp;"|"&amp;TEXT($E1425,"0")&amp;"|"&amp;TEXT($F1425,"0")&amp;"|"&amp;$I1425)</f>
        <v/>
      </c>
      <c r="T1425" s="3">
        <f>IF($E1425="",0,SUMPRODUCT((AY_SONU!$O$7:$O$42="Evet")*(AY_SONU!$B$7:$B$42=DATE(YEAR($E1425),MONTH($E1425),1))))</f>
        <v/>
      </c>
    </row>
    <row r="1426">
      <c r="A1426" s="6" t="n"/>
      <c r="B1426" s="113">
        <f>IF($D1426="","","T"&amp;TEXT(ROW()-6,"00000"))</f>
        <v/>
      </c>
      <c r="C1426" s="113">
        <f>IF($D1426="","",IFERROR(INDEX(MUSTERILER!$B$7:$B$106,MATCH($R1426,MUSTERILER!$T$7:$T$106,0)),IFERROR(INDEX(MUSTERILER!$B$7:$B$106,MATCH($D1426,MUSTERILER!$B$7:$B$106,0)),IFERROR(INDEX(MUSTERILER!$B$7:$B$106,MATCH($R1426&amp;"*",MUSTERILER!$T$7:$T$106,0)),"TANIMSIZ MÜŞTERİ"))))</f>
        <v/>
      </c>
      <c r="D1426" s="109" t="n"/>
      <c r="E1426" s="220" t="n"/>
      <c r="F1426" s="221" t="n"/>
      <c r="G1426" s="108" t="n"/>
      <c r="H1426" s="108" t="n"/>
      <c r="I1426" s="109" t="n"/>
      <c r="J1426" s="109" t="n"/>
      <c r="K1426" s="109" t="n"/>
      <c r="L1426" s="226">
        <f>IF($E1426="","",DATE(YEAR($E1426),MONTH($E1426),1))</f>
        <v/>
      </c>
      <c r="M1426" s="113">
        <f>IF($D1426="","",IF($C1426="TANIMSIZ MÜŞTERİ","HATA",IF(OR($E1426="",$F1426&lt;=0,$G1426=""),"EKSİK",IF($E1426&gt;TODAY(),"İLERİ TARİH",IF(COUNTIF($S$7:$S$1506,$S1426)&gt;1,"MÜKERRER?",IF($T1426&gt;0,"KAPALI DÖNEM","UYGUN"))))))</f>
        <v/>
      </c>
      <c r="N1426" s="121">
        <f>IF($C1426="","",IF($C1426="TANIMSIZ MÜŞTERİ","—",INDEX(MUSTERILER!$C$7:$C$106,MATCH($C1426,MUSTERILER!$B$7:$B$106,0))))</f>
        <v/>
      </c>
      <c r="O1426" s="6" t="n"/>
      <c r="P1426" s="6" t="n"/>
      <c r="Q1426" s="3">
        <f>IF($D1426="","",$C1426&amp;"|"&amp;COUNTIFS($C$7:$C1426,$C1426))</f>
        <v/>
      </c>
      <c r="R1426" s="3">
        <f>IF($D1426="","",UPPER(SUBSTITUTE(SUBSTITUTE(SUBSTITUTE(SUBSTITUTE(SUBSTITUTE(SUBSTITUTE(SUBSTITUTE(SUBSTITUTE(SUBSTITUTE(SUBSTITUTE(SUBSTITUTE(SUBSTITUTE(SUBSTITUTE(SUBSTITUTE(SUBSTITUTE(SUBSTITUTE(SUBSTITUTE(SUBSTITUTE(TRIM($D1426),"'",""),"İ","I"),"ı","I"),"i","I"),"Ş","S"),"ş","S"),"Ğ","G"),"ğ","G"),"Ü","U"),"ü","U"),"Ö","O"),"ö","O"),"Ç","C"),"ç","C"),".",""),",","")," ",""),"-","")))</f>
        <v/>
      </c>
      <c r="S1426" s="3">
        <f>IF($D1426="","",$C1426&amp;"|"&amp;TEXT($E1426,"0")&amp;"|"&amp;TEXT($F1426,"0")&amp;"|"&amp;$I1426)</f>
        <v/>
      </c>
      <c r="T1426" s="3">
        <f>IF($E1426="",0,SUMPRODUCT((AY_SONU!$O$7:$O$42="Evet")*(AY_SONU!$B$7:$B$42=DATE(YEAR($E1426),MONTH($E1426),1))))</f>
        <v/>
      </c>
    </row>
    <row r="1427">
      <c r="A1427" s="6" t="n"/>
      <c r="B1427" s="113">
        <f>IF($D1427="","","T"&amp;TEXT(ROW()-6,"00000"))</f>
        <v/>
      </c>
      <c r="C1427" s="113">
        <f>IF($D1427="","",IFERROR(INDEX(MUSTERILER!$B$7:$B$106,MATCH($R1427,MUSTERILER!$T$7:$T$106,0)),IFERROR(INDEX(MUSTERILER!$B$7:$B$106,MATCH($D1427,MUSTERILER!$B$7:$B$106,0)),IFERROR(INDEX(MUSTERILER!$B$7:$B$106,MATCH($R1427&amp;"*",MUSTERILER!$T$7:$T$106,0)),"TANIMSIZ MÜŞTERİ"))))</f>
        <v/>
      </c>
      <c r="D1427" s="109" t="n"/>
      <c r="E1427" s="220" t="n"/>
      <c r="F1427" s="221" t="n"/>
      <c r="G1427" s="108" t="n"/>
      <c r="H1427" s="108" t="n"/>
      <c r="I1427" s="109" t="n"/>
      <c r="J1427" s="109" t="n"/>
      <c r="K1427" s="109" t="n"/>
      <c r="L1427" s="226">
        <f>IF($E1427="","",DATE(YEAR($E1427),MONTH($E1427),1))</f>
        <v/>
      </c>
      <c r="M1427" s="113">
        <f>IF($D1427="","",IF($C1427="TANIMSIZ MÜŞTERİ","HATA",IF(OR($E1427="",$F1427&lt;=0,$G1427=""),"EKSİK",IF($E1427&gt;TODAY(),"İLERİ TARİH",IF(COUNTIF($S$7:$S$1506,$S1427)&gt;1,"MÜKERRER?",IF($T1427&gt;0,"KAPALI DÖNEM","UYGUN"))))))</f>
        <v/>
      </c>
      <c r="N1427" s="121">
        <f>IF($C1427="","",IF($C1427="TANIMSIZ MÜŞTERİ","—",INDEX(MUSTERILER!$C$7:$C$106,MATCH($C1427,MUSTERILER!$B$7:$B$106,0))))</f>
        <v/>
      </c>
      <c r="O1427" s="6" t="n"/>
      <c r="P1427" s="6" t="n"/>
      <c r="Q1427" s="3">
        <f>IF($D1427="","",$C1427&amp;"|"&amp;COUNTIFS($C$7:$C1427,$C1427))</f>
        <v/>
      </c>
      <c r="R1427" s="3">
        <f>IF($D1427="","",UPPER(SUBSTITUTE(SUBSTITUTE(SUBSTITUTE(SUBSTITUTE(SUBSTITUTE(SUBSTITUTE(SUBSTITUTE(SUBSTITUTE(SUBSTITUTE(SUBSTITUTE(SUBSTITUTE(SUBSTITUTE(SUBSTITUTE(SUBSTITUTE(SUBSTITUTE(SUBSTITUTE(SUBSTITUTE(SUBSTITUTE(TRIM($D1427),"'",""),"İ","I"),"ı","I"),"i","I"),"Ş","S"),"ş","S"),"Ğ","G"),"ğ","G"),"Ü","U"),"ü","U"),"Ö","O"),"ö","O"),"Ç","C"),"ç","C"),".",""),",","")," ",""),"-","")))</f>
        <v/>
      </c>
      <c r="S1427" s="3">
        <f>IF($D1427="","",$C1427&amp;"|"&amp;TEXT($E1427,"0")&amp;"|"&amp;TEXT($F1427,"0")&amp;"|"&amp;$I1427)</f>
        <v/>
      </c>
      <c r="T1427" s="3">
        <f>IF($E1427="",0,SUMPRODUCT((AY_SONU!$O$7:$O$42="Evet")*(AY_SONU!$B$7:$B$42=DATE(YEAR($E1427),MONTH($E1427),1))))</f>
        <v/>
      </c>
    </row>
    <row r="1428">
      <c r="A1428" s="6" t="n"/>
      <c r="B1428" s="113">
        <f>IF($D1428="","","T"&amp;TEXT(ROW()-6,"00000"))</f>
        <v/>
      </c>
      <c r="C1428" s="113">
        <f>IF($D1428="","",IFERROR(INDEX(MUSTERILER!$B$7:$B$106,MATCH($R1428,MUSTERILER!$T$7:$T$106,0)),IFERROR(INDEX(MUSTERILER!$B$7:$B$106,MATCH($D1428,MUSTERILER!$B$7:$B$106,0)),IFERROR(INDEX(MUSTERILER!$B$7:$B$106,MATCH($R1428&amp;"*",MUSTERILER!$T$7:$T$106,0)),"TANIMSIZ MÜŞTERİ"))))</f>
        <v/>
      </c>
      <c r="D1428" s="109" t="n"/>
      <c r="E1428" s="220" t="n"/>
      <c r="F1428" s="221" t="n"/>
      <c r="G1428" s="108" t="n"/>
      <c r="H1428" s="108" t="n"/>
      <c r="I1428" s="109" t="n"/>
      <c r="J1428" s="109" t="n"/>
      <c r="K1428" s="109" t="n"/>
      <c r="L1428" s="226">
        <f>IF($E1428="","",DATE(YEAR($E1428),MONTH($E1428),1))</f>
        <v/>
      </c>
      <c r="M1428" s="113">
        <f>IF($D1428="","",IF($C1428="TANIMSIZ MÜŞTERİ","HATA",IF(OR($E1428="",$F1428&lt;=0,$G1428=""),"EKSİK",IF($E1428&gt;TODAY(),"İLERİ TARİH",IF(COUNTIF($S$7:$S$1506,$S1428)&gt;1,"MÜKERRER?",IF($T1428&gt;0,"KAPALI DÖNEM","UYGUN"))))))</f>
        <v/>
      </c>
      <c r="N1428" s="121">
        <f>IF($C1428="","",IF($C1428="TANIMSIZ MÜŞTERİ","—",INDEX(MUSTERILER!$C$7:$C$106,MATCH($C1428,MUSTERILER!$B$7:$B$106,0))))</f>
        <v/>
      </c>
      <c r="O1428" s="6" t="n"/>
      <c r="P1428" s="6" t="n"/>
      <c r="Q1428" s="3">
        <f>IF($D1428="","",$C1428&amp;"|"&amp;COUNTIFS($C$7:$C1428,$C1428))</f>
        <v/>
      </c>
      <c r="R1428" s="3">
        <f>IF($D1428="","",UPPER(SUBSTITUTE(SUBSTITUTE(SUBSTITUTE(SUBSTITUTE(SUBSTITUTE(SUBSTITUTE(SUBSTITUTE(SUBSTITUTE(SUBSTITUTE(SUBSTITUTE(SUBSTITUTE(SUBSTITUTE(SUBSTITUTE(SUBSTITUTE(SUBSTITUTE(SUBSTITUTE(SUBSTITUTE(SUBSTITUTE(TRIM($D1428),"'",""),"İ","I"),"ı","I"),"i","I"),"Ş","S"),"ş","S"),"Ğ","G"),"ğ","G"),"Ü","U"),"ü","U"),"Ö","O"),"ö","O"),"Ç","C"),"ç","C"),".",""),",","")," ",""),"-","")))</f>
        <v/>
      </c>
      <c r="S1428" s="3">
        <f>IF($D1428="","",$C1428&amp;"|"&amp;TEXT($E1428,"0")&amp;"|"&amp;TEXT($F1428,"0")&amp;"|"&amp;$I1428)</f>
        <v/>
      </c>
      <c r="T1428" s="3">
        <f>IF($E1428="",0,SUMPRODUCT((AY_SONU!$O$7:$O$42="Evet")*(AY_SONU!$B$7:$B$42=DATE(YEAR($E1428),MONTH($E1428),1))))</f>
        <v/>
      </c>
    </row>
    <row r="1429">
      <c r="A1429" s="6" t="n"/>
      <c r="B1429" s="113">
        <f>IF($D1429="","","T"&amp;TEXT(ROW()-6,"00000"))</f>
        <v/>
      </c>
      <c r="C1429" s="113">
        <f>IF($D1429="","",IFERROR(INDEX(MUSTERILER!$B$7:$B$106,MATCH($R1429,MUSTERILER!$T$7:$T$106,0)),IFERROR(INDEX(MUSTERILER!$B$7:$B$106,MATCH($D1429,MUSTERILER!$B$7:$B$106,0)),IFERROR(INDEX(MUSTERILER!$B$7:$B$106,MATCH($R1429&amp;"*",MUSTERILER!$T$7:$T$106,0)),"TANIMSIZ MÜŞTERİ"))))</f>
        <v/>
      </c>
      <c r="D1429" s="109" t="n"/>
      <c r="E1429" s="220" t="n"/>
      <c r="F1429" s="221" t="n"/>
      <c r="G1429" s="108" t="n"/>
      <c r="H1429" s="108" t="n"/>
      <c r="I1429" s="109" t="n"/>
      <c r="J1429" s="109" t="n"/>
      <c r="K1429" s="109" t="n"/>
      <c r="L1429" s="226">
        <f>IF($E1429="","",DATE(YEAR($E1429),MONTH($E1429),1))</f>
        <v/>
      </c>
      <c r="M1429" s="113">
        <f>IF($D1429="","",IF($C1429="TANIMSIZ MÜŞTERİ","HATA",IF(OR($E1429="",$F1429&lt;=0,$G1429=""),"EKSİK",IF($E1429&gt;TODAY(),"İLERİ TARİH",IF(COUNTIF($S$7:$S$1506,$S1429)&gt;1,"MÜKERRER?",IF($T1429&gt;0,"KAPALI DÖNEM","UYGUN"))))))</f>
        <v/>
      </c>
      <c r="N1429" s="121">
        <f>IF($C1429="","",IF($C1429="TANIMSIZ MÜŞTERİ","—",INDEX(MUSTERILER!$C$7:$C$106,MATCH($C1429,MUSTERILER!$B$7:$B$106,0))))</f>
        <v/>
      </c>
      <c r="O1429" s="6" t="n"/>
      <c r="P1429" s="6" t="n"/>
      <c r="Q1429" s="3">
        <f>IF($D1429="","",$C1429&amp;"|"&amp;COUNTIFS($C$7:$C1429,$C1429))</f>
        <v/>
      </c>
      <c r="R1429" s="3">
        <f>IF($D1429="","",UPPER(SUBSTITUTE(SUBSTITUTE(SUBSTITUTE(SUBSTITUTE(SUBSTITUTE(SUBSTITUTE(SUBSTITUTE(SUBSTITUTE(SUBSTITUTE(SUBSTITUTE(SUBSTITUTE(SUBSTITUTE(SUBSTITUTE(SUBSTITUTE(SUBSTITUTE(SUBSTITUTE(SUBSTITUTE(SUBSTITUTE(TRIM($D1429),"'",""),"İ","I"),"ı","I"),"i","I"),"Ş","S"),"ş","S"),"Ğ","G"),"ğ","G"),"Ü","U"),"ü","U"),"Ö","O"),"ö","O"),"Ç","C"),"ç","C"),".",""),",","")," ",""),"-","")))</f>
        <v/>
      </c>
      <c r="S1429" s="3">
        <f>IF($D1429="","",$C1429&amp;"|"&amp;TEXT($E1429,"0")&amp;"|"&amp;TEXT($F1429,"0")&amp;"|"&amp;$I1429)</f>
        <v/>
      </c>
      <c r="T1429" s="3">
        <f>IF($E1429="",0,SUMPRODUCT((AY_SONU!$O$7:$O$42="Evet")*(AY_SONU!$B$7:$B$42=DATE(YEAR($E1429),MONTH($E1429),1))))</f>
        <v/>
      </c>
    </row>
    <row r="1430">
      <c r="A1430" s="6" t="n"/>
      <c r="B1430" s="113">
        <f>IF($D1430="","","T"&amp;TEXT(ROW()-6,"00000"))</f>
        <v/>
      </c>
      <c r="C1430" s="113">
        <f>IF($D1430="","",IFERROR(INDEX(MUSTERILER!$B$7:$B$106,MATCH($R1430,MUSTERILER!$T$7:$T$106,0)),IFERROR(INDEX(MUSTERILER!$B$7:$B$106,MATCH($D1430,MUSTERILER!$B$7:$B$106,0)),IFERROR(INDEX(MUSTERILER!$B$7:$B$106,MATCH($R1430&amp;"*",MUSTERILER!$T$7:$T$106,0)),"TANIMSIZ MÜŞTERİ"))))</f>
        <v/>
      </c>
      <c r="D1430" s="109" t="n"/>
      <c r="E1430" s="220" t="n"/>
      <c r="F1430" s="221" t="n"/>
      <c r="G1430" s="108" t="n"/>
      <c r="H1430" s="108" t="n"/>
      <c r="I1430" s="109" t="n"/>
      <c r="J1430" s="109" t="n"/>
      <c r="K1430" s="109" t="n"/>
      <c r="L1430" s="226">
        <f>IF($E1430="","",DATE(YEAR($E1430),MONTH($E1430),1))</f>
        <v/>
      </c>
      <c r="M1430" s="113">
        <f>IF($D1430="","",IF($C1430="TANIMSIZ MÜŞTERİ","HATA",IF(OR($E1430="",$F1430&lt;=0,$G1430=""),"EKSİK",IF($E1430&gt;TODAY(),"İLERİ TARİH",IF(COUNTIF($S$7:$S$1506,$S1430)&gt;1,"MÜKERRER?",IF($T1430&gt;0,"KAPALI DÖNEM","UYGUN"))))))</f>
        <v/>
      </c>
      <c r="N1430" s="121">
        <f>IF($C1430="","",IF($C1430="TANIMSIZ MÜŞTERİ","—",INDEX(MUSTERILER!$C$7:$C$106,MATCH($C1430,MUSTERILER!$B$7:$B$106,0))))</f>
        <v/>
      </c>
      <c r="O1430" s="6" t="n"/>
      <c r="P1430" s="6" t="n"/>
      <c r="Q1430" s="3">
        <f>IF($D1430="","",$C1430&amp;"|"&amp;COUNTIFS($C$7:$C1430,$C1430))</f>
        <v/>
      </c>
      <c r="R1430" s="3">
        <f>IF($D1430="","",UPPER(SUBSTITUTE(SUBSTITUTE(SUBSTITUTE(SUBSTITUTE(SUBSTITUTE(SUBSTITUTE(SUBSTITUTE(SUBSTITUTE(SUBSTITUTE(SUBSTITUTE(SUBSTITUTE(SUBSTITUTE(SUBSTITUTE(SUBSTITUTE(SUBSTITUTE(SUBSTITUTE(SUBSTITUTE(SUBSTITUTE(TRIM($D1430),"'",""),"İ","I"),"ı","I"),"i","I"),"Ş","S"),"ş","S"),"Ğ","G"),"ğ","G"),"Ü","U"),"ü","U"),"Ö","O"),"ö","O"),"Ç","C"),"ç","C"),".",""),",","")," ",""),"-","")))</f>
        <v/>
      </c>
      <c r="S1430" s="3">
        <f>IF($D1430="","",$C1430&amp;"|"&amp;TEXT($E1430,"0")&amp;"|"&amp;TEXT($F1430,"0")&amp;"|"&amp;$I1430)</f>
        <v/>
      </c>
      <c r="T1430" s="3">
        <f>IF($E1430="",0,SUMPRODUCT((AY_SONU!$O$7:$O$42="Evet")*(AY_SONU!$B$7:$B$42=DATE(YEAR($E1430),MONTH($E1430),1))))</f>
        <v/>
      </c>
    </row>
    <row r="1431">
      <c r="A1431" s="6" t="n"/>
      <c r="B1431" s="113">
        <f>IF($D1431="","","T"&amp;TEXT(ROW()-6,"00000"))</f>
        <v/>
      </c>
      <c r="C1431" s="113">
        <f>IF($D1431="","",IFERROR(INDEX(MUSTERILER!$B$7:$B$106,MATCH($R1431,MUSTERILER!$T$7:$T$106,0)),IFERROR(INDEX(MUSTERILER!$B$7:$B$106,MATCH($D1431,MUSTERILER!$B$7:$B$106,0)),IFERROR(INDEX(MUSTERILER!$B$7:$B$106,MATCH($R1431&amp;"*",MUSTERILER!$T$7:$T$106,0)),"TANIMSIZ MÜŞTERİ"))))</f>
        <v/>
      </c>
      <c r="D1431" s="109" t="n"/>
      <c r="E1431" s="220" t="n"/>
      <c r="F1431" s="221" t="n"/>
      <c r="G1431" s="108" t="n"/>
      <c r="H1431" s="108" t="n"/>
      <c r="I1431" s="109" t="n"/>
      <c r="J1431" s="109" t="n"/>
      <c r="K1431" s="109" t="n"/>
      <c r="L1431" s="226">
        <f>IF($E1431="","",DATE(YEAR($E1431),MONTH($E1431),1))</f>
        <v/>
      </c>
      <c r="M1431" s="113">
        <f>IF($D1431="","",IF($C1431="TANIMSIZ MÜŞTERİ","HATA",IF(OR($E1431="",$F1431&lt;=0,$G1431=""),"EKSİK",IF($E1431&gt;TODAY(),"İLERİ TARİH",IF(COUNTIF($S$7:$S$1506,$S1431)&gt;1,"MÜKERRER?",IF($T1431&gt;0,"KAPALI DÖNEM","UYGUN"))))))</f>
        <v/>
      </c>
      <c r="N1431" s="121">
        <f>IF($C1431="","",IF($C1431="TANIMSIZ MÜŞTERİ","—",INDEX(MUSTERILER!$C$7:$C$106,MATCH($C1431,MUSTERILER!$B$7:$B$106,0))))</f>
        <v/>
      </c>
      <c r="O1431" s="6" t="n"/>
      <c r="P1431" s="6" t="n"/>
      <c r="Q1431" s="3">
        <f>IF($D1431="","",$C1431&amp;"|"&amp;COUNTIFS($C$7:$C1431,$C1431))</f>
        <v/>
      </c>
      <c r="R1431" s="3">
        <f>IF($D1431="","",UPPER(SUBSTITUTE(SUBSTITUTE(SUBSTITUTE(SUBSTITUTE(SUBSTITUTE(SUBSTITUTE(SUBSTITUTE(SUBSTITUTE(SUBSTITUTE(SUBSTITUTE(SUBSTITUTE(SUBSTITUTE(SUBSTITUTE(SUBSTITUTE(SUBSTITUTE(SUBSTITUTE(SUBSTITUTE(SUBSTITUTE(TRIM($D1431),"'",""),"İ","I"),"ı","I"),"i","I"),"Ş","S"),"ş","S"),"Ğ","G"),"ğ","G"),"Ü","U"),"ü","U"),"Ö","O"),"ö","O"),"Ç","C"),"ç","C"),".",""),",","")," ",""),"-","")))</f>
        <v/>
      </c>
      <c r="S1431" s="3">
        <f>IF($D1431="","",$C1431&amp;"|"&amp;TEXT($E1431,"0")&amp;"|"&amp;TEXT($F1431,"0")&amp;"|"&amp;$I1431)</f>
        <v/>
      </c>
      <c r="T1431" s="3">
        <f>IF($E1431="",0,SUMPRODUCT((AY_SONU!$O$7:$O$42="Evet")*(AY_SONU!$B$7:$B$42=DATE(YEAR($E1431),MONTH($E1431),1))))</f>
        <v/>
      </c>
    </row>
    <row r="1432">
      <c r="A1432" s="6" t="n"/>
      <c r="B1432" s="113">
        <f>IF($D1432="","","T"&amp;TEXT(ROW()-6,"00000"))</f>
        <v/>
      </c>
      <c r="C1432" s="113">
        <f>IF($D1432="","",IFERROR(INDEX(MUSTERILER!$B$7:$B$106,MATCH($R1432,MUSTERILER!$T$7:$T$106,0)),IFERROR(INDEX(MUSTERILER!$B$7:$B$106,MATCH($D1432,MUSTERILER!$B$7:$B$106,0)),IFERROR(INDEX(MUSTERILER!$B$7:$B$106,MATCH($R1432&amp;"*",MUSTERILER!$T$7:$T$106,0)),"TANIMSIZ MÜŞTERİ"))))</f>
        <v/>
      </c>
      <c r="D1432" s="109" t="n"/>
      <c r="E1432" s="220" t="n"/>
      <c r="F1432" s="221" t="n"/>
      <c r="G1432" s="108" t="n"/>
      <c r="H1432" s="108" t="n"/>
      <c r="I1432" s="109" t="n"/>
      <c r="J1432" s="109" t="n"/>
      <c r="K1432" s="109" t="n"/>
      <c r="L1432" s="226">
        <f>IF($E1432="","",DATE(YEAR($E1432),MONTH($E1432),1))</f>
        <v/>
      </c>
      <c r="M1432" s="113">
        <f>IF($D1432="","",IF($C1432="TANIMSIZ MÜŞTERİ","HATA",IF(OR($E1432="",$F1432&lt;=0,$G1432=""),"EKSİK",IF($E1432&gt;TODAY(),"İLERİ TARİH",IF(COUNTIF($S$7:$S$1506,$S1432)&gt;1,"MÜKERRER?",IF($T1432&gt;0,"KAPALI DÖNEM","UYGUN"))))))</f>
        <v/>
      </c>
      <c r="N1432" s="121">
        <f>IF($C1432="","",IF($C1432="TANIMSIZ MÜŞTERİ","—",INDEX(MUSTERILER!$C$7:$C$106,MATCH($C1432,MUSTERILER!$B$7:$B$106,0))))</f>
        <v/>
      </c>
      <c r="O1432" s="6" t="n"/>
      <c r="P1432" s="6" t="n"/>
      <c r="Q1432" s="3">
        <f>IF($D1432="","",$C1432&amp;"|"&amp;COUNTIFS($C$7:$C1432,$C1432))</f>
        <v/>
      </c>
      <c r="R1432" s="3">
        <f>IF($D1432="","",UPPER(SUBSTITUTE(SUBSTITUTE(SUBSTITUTE(SUBSTITUTE(SUBSTITUTE(SUBSTITUTE(SUBSTITUTE(SUBSTITUTE(SUBSTITUTE(SUBSTITUTE(SUBSTITUTE(SUBSTITUTE(SUBSTITUTE(SUBSTITUTE(SUBSTITUTE(SUBSTITUTE(SUBSTITUTE(SUBSTITUTE(TRIM($D1432),"'",""),"İ","I"),"ı","I"),"i","I"),"Ş","S"),"ş","S"),"Ğ","G"),"ğ","G"),"Ü","U"),"ü","U"),"Ö","O"),"ö","O"),"Ç","C"),"ç","C"),".",""),",","")," ",""),"-","")))</f>
        <v/>
      </c>
      <c r="S1432" s="3">
        <f>IF($D1432="","",$C1432&amp;"|"&amp;TEXT($E1432,"0")&amp;"|"&amp;TEXT($F1432,"0")&amp;"|"&amp;$I1432)</f>
        <v/>
      </c>
      <c r="T1432" s="3">
        <f>IF($E1432="",0,SUMPRODUCT((AY_SONU!$O$7:$O$42="Evet")*(AY_SONU!$B$7:$B$42=DATE(YEAR($E1432),MONTH($E1432),1))))</f>
        <v/>
      </c>
    </row>
    <row r="1433">
      <c r="A1433" s="6" t="n"/>
      <c r="B1433" s="113">
        <f>IF($D1433="","","T"&amp;TEXT(ROW()-6,"00000"))</f>
        <v/>
      </c>
      <c r="C1433" s="113">
        <f>IF($D1433="","",IFERROR(INDEX(MUSTERILER!$B$7:$B$106,MATCH($R1433,MUSTERILER!$T$7:$T$106,0)),IFERROR(INDEX(MUSTERILER!$B$7:$B$106,MATCH($D1433,MUSTERILER!$B$7:$B$106,0)),IFERROR(INDEX(MUSTERILER!$B$7:$B$106,MATCH($R1433&amp;"*",MUSTERILER!$T$7:$T$106,0)),"TANIMSIZ MÜŞTERİ"))))</f>
        <v/>
      </c>
      <c r="D1433" s="109" t="n"/>
      <c r="E1433" s="220" t="n"/>
      <c r="F1433" s="221" t="n"/>
      <c r="G1433" s="108" t="n"/>
      <c r="H1433" s="108" t="n"/>
      <c r="I1433" s="109" t="n"/>
      <c r="J1433" s="109" t="n"/>
      <c r="K1433" s="109" t="n"/>
      <c r="L1433" s="226">
        <f>IF($E1433="","",DATE(YEAR($E1433),MONTH($E1433),1))</f>
        <v/>
      </c>
      <c r="M1433" s="113">
        <f>IF($D1433="","",IF($C1433="TANIMSIZ MÜŞTERİ","HATA",IF(OR($E1433="",$F1433&lt;=0,$G1433=""),"EKSİK",IF($E1433&gt;TODAY(),"İLERİ TARİH",IF(COUNTIF($S$7:$S$1506,$S1433)&gt;1,"MÜKERRER?",IF($T1433&gt;0,"KAPALI DÖNEM","UYGUN"))))))</f>
        <v/>
      </c>
      <c r="N1433" s="121">
        <f>IF($C1433="","",IF($C1433="TANIMSIZ MÜŞTERİ","—",INDEX(MUSTERILER!$C$7:$C$106,MATCH($C1433,MUSTERILER!$B$7:$B$106,0))))</f>
        <v/>
      </c>
      <c r="O1433" s="6" t="n"/>
      <c r="P1433" s="6" t="n"/>
      <c r="Q1433" s="3">
        <f>IF($D1433="","",$C1433&amp;"|"&amp;COUNTIFS($C$7:$C1433,$C1433))</f>
        <v/>
      </c>
      <c r="R1433" s="3">
        <f>IF($D1433="","",UPPER(SUBSTITUTE(SUBSTITUTE(SUBSTITUTE(SUBSTITUTE(SUBSTITUTE(SUBSTITUTE(SUBSTITUTE(SUBSTITUTE(SUBSTITUTE(SUBSTITUTE(SUBSTITUTE(SUBSTITUTE(SUBSTITUTE(SUBSTITUTE(SUBSTITUTE(SUBSTITUTE(SUBSTITUTE(SUBSTITUTE(TRIM($D1433),"'",""),"İ","I"),"ı","I"),"i","I"),"Ş","S"),"ş","S"),"Ğ","G"),"ğ","G"),"Ü","U"),"ü","U"),"Ö","O"),"ö","O"),"Ç","C"),"ç","C"),".",""),",","")," ",""),"-","")))</f>
        <v/>
      </c>
      <c r="S1433" s="3">
        <f>IF($D1433="","",$C1433&amp;"|"&amp;TEXT($E1433,"0")&amp;"|"&amp;TEXT($F1433,"0")&amp;"|"&amp;$I1433)</f>
        <v/>
      </c>
      <c r="T1433" s="3">
        <f>IF($E1433="",0,SUMPRODUCT((AY_SONU!$O$7:$O$42="Evet")*(AY_SONU!$B$7:$B$42=DATE(YEAR($E1433),MONTH($E1433),1))))</f>
        <v/>
      </c>
    </row>
    <row r="1434">
      <c r="A1434" s="6" t="n"/>
      <c r="B1434" s="113">
        <f>IF($D1434="","","T"&amp;TEXT(ROW()-6,"00000"))</f>
        <v/>
      </c>
      <c r="C1434" s="113">
        <f>IF($D1434="","",IFERROR(INDEX(MUSTERILER!$B$7:$B$106,MATCH($R1434,MUSTERILER!$T$7:$T$106,0)),IFERROR(INDEX(MUSTERILER!$B$7:$B$106,MATCH($D1434,MUSTERILER!$B$7:$B$106,0)),IFERROR(INDEX(MUSTERILER!$B$7:$B$106,MATCH($R1434&amp;"*",MUSTERILER!$T$7:$T$106,0)),"TANIMSIZ MÜŞTERİ"))))</f>
        <v/>
      </c>
      <c r="D1434" s="109" t="n"/>
      <c r="E1434" s="220" t="n"/>
      <c r="F1434" s="221" t="n"/>
      <c r="G1434" s="108" t="n"/>
      <c r="H1434" s="108" t="n"/>
      <c r="I1434" s="109" t="n"/>
      <c r="J1434" s="109" t="n"/>
      <c r="K1434" s="109" t="n"/>
      <c r="L1434" s="226">
        <f>IF($E1434="","",DATE(YEAR($E1434),MONTH($E1434),1))</f>
        <v/>
      </c>
      <c r="M1434" s="113">
        <f>IF($D1434="","",IF($C1434="TANIMSIZ MÜŞTERİ","HATA",IF(OR($E1434="",$F1434&lt;=0,$G1434=""),"EKSİK",IF($E1434&gt;TODAY(),"İLERİ TARİH",IF(COUNTIF($S$7:$S$1506,$S1434)&gt;1,"MÜKERRER?",IF($T1434&gt;0,"KAPALI DÖNEM","UYGUN"))))))</f>
        <v/>
      </c>
      <c r="N1434" s="121">
        <f>IF($C1434="","",IF($C1434="TANIMSIZ MÜŞTERİ","—",INDEX(MUSTERILER!$C$7:$C$106,MATCH($C1434,MUSTERILER!$B$7:$B$106,0))))</f>
        <v/>
      </c>
      <c r="O1434" s="6" t="n"/>
      <c r="P1434" s="6" t="n"/>
      <c r="Q1434" s="3">
        <f>IF($D1434="","",$C1434&amp;"|"&amp;COUNTIFS($C$7:$C1434,$C1434))</f>
        <v/>
      </c>
      <c r="R1434" s="3">
        <f>IF($D1434="","",UPPER(SUBSTITUTE(SUBSTITUTE(SUBSTITUTE(SUBSTITUTE(SUBSTITUTE(SUBSTITUTE(SUBSTITUTE(SUBSTITUTE(SUBSTITUTE(SUBSTITUTE(SUBSTITUTE(SUBSTITUTE(SUBSTITUTE(SUBSTITUTE(SUBSTITUTE(SUBSTITUTE(SUBSTITUTE(SUBSTITUTE(TRIM($D1434),"'",""),"İ","I"),"ı","I"),"i","I"),"Ş","S"),"ş","S"),"Ğ","G"),"ğ","G"),"Ü","U"),"ü","U"),"Ö","O"),"ö","O"),"Ç","C"),"ç","C"),".",""),",","")," ",""),"-","")))</f>
        <v/>
      </c>
      <c r="S1434" s="3">
        <f>IF($D1434="","",$C1434&amp;"|"&amp;TEXT($E1434,"0")&amp;"|"&amp;TEXT($F1434,"0")&amp;"|"&amp;$I1434)</f>
        <v/>
      </c>
      <c r="T1434" s="3">
        <f>IF($E1434="",0,SUMPRODUCT((AY_SONU!$O$7:$O$42="Evet")*(AY_SONU!$B$7:$B$42=DATE(YEAR($E1434),MONTH($E1434),1))))</f>
        <v/>
      </c>
    </row>
    <row r="1435">
      <c r="A1435" s="6" t="n"/>
      <c r="B1435" s="113">
        <f>IF($D1435="","","T"&amp;TEXT(ROW()-6,"00000"))</f>
        <v/>
      </c>
      <c r="C1435" s="113">
        <f>IF($D1435="","",IFERROR(INDEX(MUSTERILER!$B$7:$B$106,MATCH($R1435,MUSTERILER!$T$7:$T$106,0)),IFERROR(INDEX(MUSTERILER!$B$7:$B$106,MATCH($D1435,MUSTERILER!$B$7:$B$106,0)),IFERROR(INDEX(MUSTERILER!$B$7:$B$106,MATCH($R1435&amp;"*",MUSTERILER!$T$7:$T$106,0)),"TANIMSIZ MÜŞTERİ"))))</f>
        <v/>
      </c>
      <c r="D1435" s="109" t="n"/>
      <c r="E1435" s="220" t="n"/>
      <c r="F1435" s="221" t="n"/>
      <c r="G1435" s="108" t="n"/>
      <c r="H1435" s="108" t="n"/>
      <c r="I1435" s="109" t="n"/>
      <c r="J1435" s="109" t="n"/>
      <c r="K1435" s="109" t="n"/>
      <c r="L1435" s="226">
        <f>IF($E1435="","",DATE(YEAR($E1435),MONTH($E1435),1))</f>
        <v/>
      </c>
      <c r="M1435" s="113">
        <f>IF($D1435="","",IF($C1435="TANIMSIZ MÜŞTERİ","HATA",IF(OR($E1435="",$F1435&lt;=0,$G1435=""),"EKSİK",IF($E1435&gt;TODAY(),"İLERİ TARİH",IF(COUNTIF($S$7:$S$1506,$S1435)&gt;1,"MÜKERRER?",IF($T1435&gt;0,"KAPALI DÖNEM","UYGUN"))))))</f>
        <v/>
      </c>
      <c r="N1435" s="121">
        <f>IF($C1435="","",IF($C1435="TANIMSIZ MÜŞTERİ","—",INDEX(MUSTERILER!$C$7:$C$106,MATCH($C1435,MUSTERILER!$B$7:$B$106,0))))</f>
        <v/>
      </c>
      <c r="O1435" s="6" t="n"/>
      <c r="P1435" s="6" t="n"/>
      <c r="Q1435" s="3">
        <f>IF($D1435="","",$C1435&amp;"|"&amp;COUNTIFS($C$7:$C1435,$C1435))</f>
        <v/>
      </c>
      <c r="R1435" s="3">
        <f>IF($D1435="","",UPPER(SUBSTITUTE(SUBSTITUTE(SUBSTITUTE(SUBSTITUTE(SUBSTITUTE(SUBSTITUTE(SUBSTITUTE(SUBSTITUTE(SUBSTITUTE(SUBSTITUTE(SUBSTITUTE(SUBSTITUTE(SUBSTITUTE(SUBSTITUTE(SUBSTITUTE(SUBSTITUTE(SUBSTITUTE(SUBSTITUTE(TRIM($D1435),"'",""),"İ","I"),"ı","I"),"i","I"),"Ş","S"),"ş","S"),"Ğ","G"),"ğ","G"),"Ü","U"),"ü","U"),"Ö","O"),"ö","O"),"Ç","C"),"ç","C"),".",""),",","")," ",""),"-","")))</f>
        <v/>
      </c>
      <c r="S1435" s="3">
        <f>IF($D1435="","",$C1435&amp;"|"&amp;TEXT($E1435,"0")&amp;"|"&amp;TEXT($F1435,"0")&amp;"|"&amp;$I1435)</f>
        <v/>
      </c>
      <c r="T1435" s="3">
        <f>IF($E1435="",0,SUMPRODUCT((AY_SONU!$O$7:$O$42="Evet")*(AY_SONU!$B$7:$B$42=DATE(YEAR($E1435),MONTH($E1435),1))))</f>
        <v/>
      </c>
    </row>
    <row r="1436">
      <c r="A1436" s="6" t="n"/>
      <c r="B1436" s="113">
        <f>IF($D1436="","","T"&amp;TEXT(ROW()-6,"00000"))</f>
        <v/>
      </c>
      <c r="C1436" s="113">
        <f>IF($D1436="","",IFERROR(INDEX(MUSTERILER!$B$7:$B$106,MATCH($R1436,MUSTERILER!$T$7:$T$106,0)),IFERROR(INDEX(MUSTERILER!$B$7:$B$106,MATCH($D1436,MUSTERILER!$B$7:$B$106,0)),IFERROR(INDEX(MUSTERILER!$B$7:$B$106,MATCH($R1436&amp;"*",MUSTERILER!$T$7:$T$106,0)),"TANIMSIZ MÜŞTERİ"))))</f>
        <v/>
      </c>
      <c r="D1436" s="109" t="n"/>
      <c r="E1436" s="220" t="n"/>
      <c r="F1436" s="221" t="n"/>
      <c r="G1436" s="108" t="n"/>
      <c r="H1436" s="108" t="n"/>
      <c r="I1436" s="109" t="n"/>
      <c r="J1436" s="109" t="n"/>
      <c r="K1436" s="109" t="n"/>
      <c r="L1436" s="226">
        <f>IF($E1436="","",DATE(YEAR($E1436),MONTH($E1436),1))</f>
        <v/>
      </c>
      <c r="M1436" s="113">
        <f>IF($D1436="","",IF($C1436="TANIMSIZ MÜŞTERİ","HATA",IF(OR($E1436="",$F1436&lt;=0,$G1436=""),"EKSİK",IF($E1436&gt;TODAY(),"İLERİ TARİH",IF(COUNTIF($S$7:$S$1506,$S1436)&gt;1,"MÜKERRER?",IF($T1436&gt;0,"KAPALI DÖNEM","UYGUN"))))))</f>
        <v/>
      </c>
      <c r="N1436" s="121">
        <f>IF($C1436="","",IF($C1436="TANIMSIZ MÜŞTERİ","—",INDEX(MUSTERILER!$C$7:$C$106,MATCH($C1436,MUSTERILER!$B$7:$B$106,0))))</f>
        <v/>
      </c>
      <c r="O1436" s="6" t="n"/>
      <c r="P1436" s="6" t="n"/>
      <c r="Q1436" s="3">
        <f>IF($D1436="","",$C1436&amp;"|"&amp;COUNTIFS($C$7:$C1436,$C1436))</f>
        <v/>
      </c>
      <c r="R1436" s="3">
        <f>IF($D1436="","",UPPER(SUBSTITUTE(SUBSTITUTE(SUBSTITUTE(SUBSTITUTE(SUBSTITUTE(SUBSTITUTE(SUBSTITUTE(SUBSTITUTE(SUBSTITUTE(SUBSTITUTE(SUBSTITUTE(SUBSTITUTE(SUBSTITUTE(SUBSTITUTE(SUBSTITUTE(SUBSTITUTE(SUBSTITUTE(SUBSTITUTE(TRIM($D1436),"'",""),"İ","I"),"ı","I"),"i","I"),"Ş","S"),"ş","S"),"Ğ","G"),"ğ","G"),"Ü","U"),"ü","U"),"Ö","O"),"ö","O"),"Ç","C"),"ç","C"),".",""),",","")," ",""),"-","")))</f>
        <v/>
      </c>
      <c r="S1436" s="3">
        <f>IF($D1436="","",$C1436&amp;"|"&amp;TEXT($E1436,"0")&amp;"|"&amp;TEXT($F1436,"0")&amp;"|"&amp;$I1436)</f>
        <v/>
      </c>
      <c r="T1436" s="3">
        <f>IF($E1436="",0,SUMPRODUCT((AY_SONU!$O$7:$O$42="Evet")*(AY_SONU!$B$7:$B$42=DATE(YEAR($E1436),MONTH($E1436),1))))</f>
        <v/>
      </c>
    </row>
    <row r="1437">
      <c r="A1437" s="6" t="n"/>
      <c r="B1437" s="113">
        <f>IF($D1437="","","T"&amp;TEXT(ROW()-6,"00000"))</f>
        <v/>
      </c>
      <c r="C1437" s="113">
        <f>IF($D1437="","",IFERROR(INDEX(MUSTERILER!$B$7:$B$106,MATCH($R1437,MUSTERILER!$T$7:$T$106,0)),IFERROR(INDEX(MUSTERILER!$B$7:$B$106,MATCH($D1437,MUSTERILER!$B$7:$B$106,0)),IFERROR(INDEX(MUSTERILER!$B$7:$B$106,MATCH($R1437&amp;"*",MUSTERILER!$T$7:$T$106,0)),"TANIMSIZ MÜŞTERİ"))))</f>
        <v/>
      </c>
      <c r="D1437" s="109" t="n"/>
      <c r="E1437" s="220" t="n"/>
      <c r="F1437" s="221" t="n"/>
      <c r="G1437" s="108" t="n"/>
      <c r="H1437" s="108" t="n"/>
      <c r="I1437" s="109" t="n"/>
      <c r="J1437" s="109" t="n"/>
      <c r="K1437" s="109" t="n"/>
      <c r="L1437" s="226">
        <f>IF($E1437="","",DATE(YEAR($E1437),MONTH($E1437),1))</f>
        <v/>
      </c>
      <c r="M1437" s="113">
        <f>IF($D1437="","",IF($C1437="TANIMSIZ MÜŞTERİ","HATA",IF(OR($E1437="",$F1437&lt;=0,$G1437=""),"EKSİK",IF($E1437&gt;TODAY(),"İLERİ TARİH",IF(COUNTIF($S$7:$S$1506,$S1437)&gt;1,"MÜKERRER?",IF($T1437&gt;0,"KAPALI DÖNEM","UYGUN"))))))</f>
        <v/>
      </c>
      <c r="N1437" s="121">
        <f>IF($C1437="","",IF($C1437="TANIMSIZ MÜŞTERİ","—",INDEX(MUSTERILER!$C$7:$C$106,MATCH($C1437,MUSTERILER!$B$7:$B$106,0))))</f>
        <v/>
      </c>
      <c r="O1437" s="6" t="n"/>
      <c r="P1437" s="6" t="n"/>
      <c r="Q1437" s="3">
        <f>IF($D1437="","",$C1437&amp;"|"&amp;COUNTIFS($C$7:$C1437,$C1437))</f>
        <v/>
      </c>
      <c r="R1437" s="3">
        <f>IF($D1437="","",UPPER(SUBSTITUTE(SUBSTITUTE(SUBSTITUTE(SUBSTITUTE(SUBSTITUTE(SUBSTITUTE(SUBSTITUTE(SUBSTITUTE(SUBSTITUTE(SUBSTITUTE(SUBSTITUTE(SUBSTITUTE(SUBSTITUTE(SUBSTITUTE(SUBSTITUTE(SUBSTITUTE(SUBSTITUTE(SUBSTITUTE(TRIM($D1437),"'",""),"İ","I"),"ı","I"),"i","I"),"Ş","S"),"ş","S"),"Ğ","G"),"ğ","G"),"Ü","U"),"ü","U"),"Ö","O"),"ö","O"),"Ç","C"),"ç","C"),".",""),",","")," ",""),"-","")))</f>
        <v/>
      </c>
      <c r="S1437" s="3">
        <f>IF($D1437="","",$C1437&amp;"|"&amp;TEXT($E1437,"0")&amp;"|"&amp;TEXT($F1437,"0")&amp;"|"&amp;$I1437)</f>
        <v/>
      </c>
      <c r="T1437" s="3">
        <f>IF($E1437="",0,SUMPRODUCT((AY_SONU!$O$7:$O$42="Evet")*(AY_SONU!$B$7:$B$42=DATE(YEAR($E1437),MONTH($E1437),1))))</f>
        <v/>
      </c>
    </row>
    <row r="1438">
      <c r="A1438" s="6" t="n"/>
      <c r="B1438" s="113">
        <f>IF($D1438="","","T"&amp;TEXT(ROW()-6,"00000"))</f>
        <v/>
      </c>
      <c r="C1438" s="113">
        <f>IF($D1438="","",IFERROR(INDEX(MUSTERILER!$B$7:$B$106,MATCH($R1438,MUSTERILER!$T$7:$T$106,0)),IFERROR(INDEX(MUSTERILER!$B$7:$B$106,MATCH($D1438,MUSTERILER!$B$7:$B$106,0)),IFERROR(INDEX(MUSTERILER!$B$7:$B$106,MATCH($R1438&amp;"*",MUSTERILER!$T$7:$T$106,0)),"TANIMSIZ MÜŞTERİ"))))</f>
        <v/>
      </c>
      <c r="D1438" s="109" t="n"/>
      <c r="E1438" s="220" t="n"/>
      <c r="F1438" s="221" t="n"/>
      <c r="G1438" s="108" t="n"/>
      <c r="H1438" s="108" t="n"/>
      <c r="I1438" s="109" t="n"/>
      <c r="J1438" s="109" t="n"/>
      <c r="K1438" s="109" t="n"/>
      <c r="L1438" s="226">
        <f>IF($E1438="","",DATE(YEAR($E1438),MONTH($E1438),1))</f>
        <v/>
      </c>
      <c r="M1438" s="113">
        <f>IF($D1438="","",IF($C1438="TANIMSIZ MÜŞTERİ","HATA",IF(OR($E1438="",$F1438&lt;=0,$G1438=""),"EKSİK",IF($E1438&gt;TODAY(),"İLERİ TARİH",IF(COUNTIF($S$7:$S$1506,$S1438)&gt;1,"MÜKERRER?",IF($T1438&gt;0,"KAPALI DÖNEM","UYGUN"))))))</f>
        <v/>
      </c>
      <c r="N1438" s="121">
        <f>IF($C1438="","",IF($C1438="TANIMSIZ MÜŞTERİ","—",INDEX(MUSTERILER!$C$7:$C$106,MATCH($C1438,MUSTERILER!$B$7:$B$106,0))))</f>
        <v/>
      </c>
      <c r="O1438" s="6" t="n"/>
      <c r="P1438" s="6" t="n"/>
      <c r="Q1438" s="3">
        <f>IF($D1438="","",$C1438&amp;"|"&amp;COUNTIFS($C$7:$C1438,$C1438))</f>
        <v/>
      </c>
      <c r="R1438" s="3">
        <f>IF($D1438="","",UPPER(SUBSTITUTE(SUBSTITUTE(SUBSTITUTE(SUBSTITUTE(SUBSTITUTE(SUBSTITUTE(SUBSTITUTE(SUBSTITUTE(SUBSTITUTE(SUBSTITUTE(SUBSTITUTE(SUBSTITUTE(SUBSTITUTE(SUBSTITUTE(SUBSTITUTE(SUBSTITUTE(SUBSTITUTE(SUBSTITUTE(TRIM($D1438),"'",""),"İ","I"),"ı","I"),"i","I"),"Ş","S"),"ş","S"),"Ğ","G"),"ğ","G"),"Ü","U"),"ü","U"),"Ö","O"),"ö","O"),"Ç","C"),"ç","C"),".",""),",","")," ",""),"-","")))</f>
        <v/>
      </c>
      <c r="S1438" s="3">
        <f>IF($D1438="","",$C1438&amp;"|"&amp;TEXT($E1438,"0")&amp;"|"&amp;TEXT($F1438,"0")&amp;"|"&amp;$I1438)</f>
        <v/>
      </c>
      <c r="T1438" s="3">
        <f>IF($E1438="",0,SUMPRODUCT((AY_SONU!$O$7:$O$42="Evet")*(AY_SONU!$B$7:$B$42=DATE(YEAR($E1438),MONTH($E1438),1))))</f>
        <v/>
      </c>
    </row>
    <row r="1439">
      <c r="A1439" s="6" t="n"/>
      <c r="B1439" s="113">
        <f>IF($D1439="","","T"&amp;TEXT(ROW()-6,"00000"))</f>
        <v/>
      </c>
      <c r="C1439" s="113">
        <f>IF($D1439="","",IFERROR(INDEX(MUSTERILER!$B$7:$B$106,MATCH($R1439,MUSTERILER!$T$7:$T$106,0)),IFERROR(INDEX(MUSTERILER!$B$7:$B$106,MATCH($D1439,MUSTERILER!$B$7:$B$106,0)),IFERROR(INDEX(MUSTERILER!$B$7:$B$106,MATCH($R1439&amp;"*",MUSTERILER!$T$7:$T$106,0)),"TANIMSIZ MÜŞTERİ"))))</f>
        <v/>
      </c>
      <c r="D1439" s="109" t="n"/>
      <c r="E1439" s="220" t="n"/>
      <c r="F1439" s="221" t="n"/>
      <c r="G1439" s="108" t="n"/>
      <c r="H1439" s="108" t="n"/>
      <c r="I1439" s="109" t="n"/>
      <c r="J1439" s="109" t="n"/>
      <c r="K1439" s="109" t="n"/>
      <c r="L1439" s="226">
        <f>IF($E1439="","",DATE(YEAR($E1439),MONTH($E1439),1))</f>
        <v/>
      </c>
      <c r="M1439" s="113">
        <f>IF($D1439="","",IF($C1439="TANIMSIZ MÜŞTERİ","HATA",IF(OR($E1439="",$F1439&lt;=0,$G1439=""),"EKSİK",IF($E1439&gt;TODAY(),"İLERİ TARİH",IF(COUNTIF($S$7:$S$1506,$S1439)&gt;1,"MÜKERRER?",IF($T1439&gt;0,"KAPALI DÖNEM","UYGUN"))))))</f>
        <v/>
      </c>
      <c r="N1439" s="121">
        <f>IF($C1439="","",IF($C1439="TANIMSIZ MÜŞTERİ","—",INDEX(MUSTERILER!$C$7:$C$106,MATCH($C1439,MUSTERILER!$B$7:$B$106,0))))</f>
        <v/>
      </c>
      <c r="O1439" s="6" t="n"/>
      <c r="P1439" s="6" t="n"/>
      <c r="Q1439" s="3">
        <f>IF($D1439="","",$C1439&amp;"|"&amp;COUNTIFS($C$7:$C1439,$C1439))</f>
        <v/>
      </c>
      <c r="R1439" s="3">
        <f>IF($D1439="","",UPPER(SUBSTITUTE(SUBSTITUTE(SUBSTITUTE(SUBSTITUTE(SUBSTITUTE(SUBSTITUTE(SUBSTITUTE(SUBSTITUTE(SUBSTITUTE(SUBSTITUTE(SUBSTITUTE(SUBSTITUTE(SUBSTITUTE(SUBSTITUTE(SUBSTITUTE(SUBSTITUTE(SUBSTITUTE(SUBSTITUTE(TRIM($D1439),"'",""),"İ","I"),"ı","I"),"i","I"),"Ş","S"),"ş","S"),"Ğ","G"),"ğ","G"),"Ü","U"),"ü","U"),"Ö","O"),"ö","O"),"Ç","C"),"ç","C"),".",""),",","")," ",""),"-","")))</f>
        <v/>
      </c>
      <c r="S1439" s="3">
        <f>IF($D1439="","",$C1439&amp;"|"&amp;TEXT($E1439,"0")&amp;"|"&amp;TEXT($F1439,"0")&amp;"|"&amp;$I1439)</f>
        <v/>
      </c>
      <c r="T1439" s="3">
        <f>IF($E1439="",0,SUMPRODUCT((AY_SONU!$O$7:$O$42="Evet")*(AY_SONU!$B$7:$B$42=DATE(YEAR($E1439),MONTH($E1439),1))))</f>
        <v/>
      </c>
    </row>
    <row r="1440">
      <c r="A1440" s="6" t="n"/>
      <c r="B1440" s="113">
        <f>IF($D1440="","","T"&amp;TEXT(ROW()-6,"00000"))</f>
        <v/>
      </c>
      <c r="C1440" s="113">
        <f>IF($D1440="","",IFERROR(INDEX(MUSTERILER!$B$7:$B$106,MATCH($R1440,MUSTERILER!$T$7:$T$106,0)),IFERROR(INDEX(MUSTERILER!$B$7:$B$106,MATCH($D1440,MUSTERILER!$B$7:$B$106,0)),IFERROR(INDEX(MUSTERILER!$B$7:$B$106,MATCH($R1440&amp;"*",MUSTERILER!$T$7:$T$106,0)),"TANIMSIZ MÜŞTERİ"))))</f>
        <v/>
      </c>
      <c r="D1440" s="109" t="n"/>
      <c r="E1440" s="220" t="n"/>
      <c r="F1440" s="221" t="n"/>
      <c r="G1440" s="108" t="n"/>
      <c r="H1440" s="108" t="n"/>
      <c r="I1440" s="109" t="n"/>
      <c r="J1440" s="109" t="n"/>
      <c r="K1440" s="109" t="n"/>
      <c r="L1440" s="226">
        <f>IF($E1440="","",DATE(YEAR($E1440),MONTH($E1440),1))</f>
        <v/>
      </c>
      <c r="M1440" s="113">
        <f>IF($D1440="","",IF($C1440="TANIMSIZ MÜŞTERİ","HATA",IF(OR($E1440="",$F1440&lt;=0,$G1440=""),"EKSİK",IF($E1440&gt;TODAY(),"İLERİ TARİH",IF(COUNTIF($S$7:$S$1506,$S1440)&gt;1,"MÜKERRER?",IF($T1440&gt;0,"KAPALI DÖNEM","UYGUN"))))))</f>
        <v/>
      </c>
      <c r="N1440" s="121">
        <f>IF($C1440="","",IF($C1440="TANIMSIZ MÜŞTERİ","—",INDEX(MUSTERILER!$C$7:$C$106,MATCH($C1440,MUSTERILER!$B$7:$B$106,0))))</f>
        <v/>
      </c>
      <c r="O1440" s="6" t="n"/>
      <c r="P1440" s="6" t="n"/>
      <c r="Q1440" s="3">
        <f>IF($D1440="","",$C1440&amp;"|"&amp;COUNTIFS($C$7:$C1440,$C1440))</f>
        <v/>
      </c>
      <c r="R1440" s="3">
        <f>IF($D1440="","",UPPER(SUBSTITUTE(SUBSTITUTE(SUBSTITUTE(SUBSTITUTE(SUBSTITUTE(SUBSTITUTE(SUBSTITUTE(SUBSTITUTE(SUBSTITUTE(SUBSTITUTE(SUBSTITUTE(SUBSTITUTE(SUBSTITUTE(SUBSTITUTE(SUBSTITUTE(SUBSTITUTE(SUBSTITUTE(SUBSTITUTE(TRIM($D1440),"'",""),"İ","I"),"ı","I"),"i","I"),"Ş","S"),"ş","S"),"Ğ","G"),"ğ","G"),"Ü","U"),"ü","U"),"Ö","O"),"ö","O"),"Ç","C"),"ç","C"),".",""),",","")," ",""),"-","")))</f>
        <v/>
      </c>
      <c r="S1440" s="3">
        <f>IF($D1440="","",$C1440&amp;"|"&amp;TEXT($E1440,"0")&amp;"|"&amp;TEXT($F1440,"0")&amp;"|"&amp;$I1440)</f>
        <v/>
      </c>
      <c r="T1440" s="3">
        <f>IF($E1440="",0,SUMPRODUCT((AY_SONU!$O$7:$O$42="Evet")*(AY_SONU!$B$7:$B$42=DATE(YEAR($E1440),MONTH($E1440),1))))</f>
        <v/>
      </c>
    </row>
    <row r="1441">
      <c r="A1441" s="6" t="n"/>
      <c r="B1441" s="113">
        <f>IF($D1441="","","T"&amp;TEXT(ROW()-6,"00000"))</f>
        <v/>
      </c>
      <c r="C1441" s="113">
        <f>IF($D1441="","",IFERROR(INDEX(MUSTERILER!$B$7:$B$106,MATCH($R1441,MUSTERILER!$T$7:$T$106,0)),IFERROR(INDEX(MUSTERILER!$B$7:$B$106,MATCH($D1441,MUSTERILER!$B$7:$B$106,0)),IFERROR(INDEX(MUSTERILER!$B$7:$B$106,MATCH($R1441&amp;"*",MUSTERILER!$T$7:$T$106,0)),"TANIMSIZ MÜŞTERİ"))))</f>
        <v/>
      </c>
      <c r="D1441" s="109" t="n"/>
      <c r="E1441" s="220" t="n"/>
      <c r="F1441" s="221" t="n"/>
      <c r="G1441" s="108" t="n"/>
      <c r="H1441" s="108" t="n"/>
      <c r="I1441" s="109" t="n"/>
      <c r="J1441" s="109" t="n"/>
      <c r="K1441" s="109" t="n"/>
      <c r="L1441" s="226">
        <f>IF($E1441="","",DATE(YEAR($E1441),MONTH($E1441),1))</f>
        <v/>
      </c>
      <c r="M1441" s="113">
        <f>IF($D1441="","",IF($C1441="TANIMSIZ MÜŞTERİ","HATA",IF(OR($E1441="",$F1441&lt;=0,$G1441=""),"EKSİK",IF($E1441&gt;TODAY(),"İLERİ TARİH",IF(COUNTIF($S$7:$S$1506,$S1441)&gt;1,"MÜKERRER?",IF($T1441&gt;0,"KAPALI DÖNEM","UYGUN"))))))</f>
        <v/>
      </c>
      <c r="N1441" s="121">
        <f>IF($C1441="","",IF($C1441="TANIMSIZ MÜŞTERİ","—",INDEX(MUSTERILER!$C$7:$C$106,MATCH($C1441,MUSTERILER!$B$7:$B$106,0))))</f>
        <v/>
      </c>
      <c r="O1441" s="6" t="n"/>
      <c r="P1441" s="6" t="n"/>
      <c r="Q1441" s="3">
        <f>IF($D1441="","",$C1441&amp;"|"&amp;COUNTIFS($C$7:$C1441,$C1441))</f>
        <v/>
      </c>
      <c r="R1441" s="3">
        <f>IF($D1441="","",UPPER(SUBSTITUTE(SUBSTITUTE(SUBSTITUTE(SUBSTITUTE(SUBSTITUTE(SUBSTITUTE(SUBSTITUTE(SUBSTITUTE(SUBSTITUTE(SUBSTITUTE(SUBSTITUTE(SUBSTITUTE(SUBSTITUTE(SUBSTITUTE(SUBSTITUTE(SUBSTITUTE(SUBSTITUTE(SUBSTITUTE(TRIM($D1441),"'",""),"İ","I"),"ı","I"),"i","I"),"Ş","S"),"ş","S"),"Ğ","G"),"ğ","G"),"Ü","U"),"ü","U"),"Ö","O"),"ö","O"),"Ç","C"),"ç","C"),".",""),",","")," ",""),"-","")))</f>
        <v/>
      </c>
      <c r="S1441" s="3">
        <f>IF($D1441="","",$C1441&amp;"|"&amp;TEXT($E1441,"0")&amp;"|"&amp;TEXT($F1441,"0")&amp;"|"&amp;$I1441)</f>
        <v/>
      </c>
      <c r="T1441" s="3">
        <f>IF($E1441="",0,SUMPRODUCT((AY_SONU!$O$7:$O$42="Evet")*(AY_SONU!$B$7:$B$42=DATE(YEAR($E1441),MONTH($E1441),1))))</f>
        <v/>
      </c>
    </row>
    <row r="1442">
      <c r="A1442" s="6" t="n"/>
      <c r="B1442" s="113">
        <f>IF($D1442="","","T"&amp;TEXT(ROW()-6,"00000"))</f>
        <v/>
      </c>
      <c r="C1442" s="113">
        <f>IF($D1442="","",IFERROR(INDEX(MUSTERILER!$B$7:$B$106,MATCH($R1442,MUSTERILER!$T$7:$T$106,0)),IFERROR(INDEX(MUSTERILER!$B$7:$B$106,MATCH($D1442,MUSTERILER!$B$7:$B$106,0)),IFERROR(INDEX(MUSTERILER!$B$7:$B$106,MATCH($R1442&amp;"*",MUSTERILER!$T$7:$T$106,0)),"TANIMSIZ MÜŞTERİ"))))</f>
        <v/>
      </c>
      <c r="D1442" s="109" t="n"/>
      <c r="E1442" s="220" t="n"/>
      <c r="F1442" s="221" t="n"/>
      <c r="G1442" s="108" t="n"/>
      <c r="H1442" s="108" t="n"/>
      <c r="I1442" s="109" t="n"/>
      <c r="J1442" s="109" t="n"/>
      <c r="K1442" s="109" t="n"/>
      <c r="L1442" s="226">
        <f>IF($E1442="","",DATE(YEAR($E1442),MONTH($E1442),1))</f>
        <v/>
      </c>
      <c r="M1442" s="113">
        <f>IF($D1442="","",IF($C1442="TANIMSIZ MÜŞTERİ","HATA",IF(OR($E1442="",$F1442&lt;=0,$G1442=""),"EKSİK",IF($E1442&gt;TODAY(),"İLERİ TARİH",IF(COUNTIF($S$7:$S$1506,$S1442)&gt;1,"MÜKERRER?",IF($T1442&gt;0,"KAPALI DÖNEM","UYGUN"))))))</f>
        <v/>
      </c>
      <c r="N1442" s="121">
        <f>IF($C1442="","",IF($C1442="TANIMSIZ MÜŞTERİ","—",INDEX(MUSTERILER!$C$7:$C$106,MATCH($C1442,MUSTERILER!$B$7:$B$106,0))))</f>
        <v/>
      </c>
      <c r="O1442" s="6" t="n"/>
      <c r="P1442" s="6" t="n"/>
      <c r="Q1442" s="3">
        <f>IF($D1442="","",$C1442&amp;"|"&amp;COUNTIFS($C$7:$C1442,$C1442))</f>
        <v/>
      </c>
      <c r="R1442" s="3">
        <f>IF($D1442="","",UPPER(SUBSTITUTE(SUBSTITUTE(SUBSTITUTE(SUBSTITUTE(SUBSTITUTE(SUBSTITUTE(SUBSTITUTE(SUBSTITUTE(SUBSTITUTE(SUBSTITUTE(SUBSTITUTE(SUBSTITUTE(SUBSTITUTE(SUBSTITUTE(SUBSTITUTE(SUBSTITUTE(SUBSTITUTE(SUBSTITUTE(TRIM($D1442),"'",""),"İ","I"),"ı","I"),"i","I"),"Ş","S"),"ş","S"),"Ğ","G"),"ğ","G"),"Ü","U"),"ü","U"),"Ö","O"),"ö","O"),"Ç","C"),"ç","C"),".",""),",","")," ",""),"-","")))</f>
        <v/>
      </c>
      <c r="S1442" s="3">
        <f>IF($D1442="","",$C1442&amp;"|"&amp;TEXT($E1442,"0")&amp;"|"&amp;TEXT($F1442,"0")&amp;"|"&amp;$I1442)</f>
        <v/>
      </c>
      <c r="T1442" s="3">
        <f>IF($E1442="",0,SUMPRODUCT((AY_SONU!$O$7:$O$42="Evet")*(AY_SONU!$B$7:$B$42=DATE(YEAR($E1442),MONTH($E1442),1))))</f>
        <v/>
      </c>
    </row>
    <row r="1443">
      <c r="A1443" s="6" t="n"/>
      <c r="B1443" s="113">
        <f>IF($D1443="","","T"&amp;TEXT(ROW()-6,"00000"))</f>
        <v/>
      </c>
      <c r="C1443" s="113">
        <f>IF($D1443="","",IFERROR(INDEX(MUSTERILER!$B$7:$B$106,MATCH($R1443,MUSTERILER!$T$7:$T$106,0)),IFERROR(INDEX(MUSTERILER!$B$7:$B$106,MATCH($D1443,MUSTERILER!$B$7:$B$106,0)),IFERROR(INDEX(MUSTERILER!$B$7:$B$106,MATCH($R1443&amp;"*",MUSTERILER!$T$7:$T$106,0)),"TANIMSIZ MÜŞTERİ"))))</f>
        <v/>
      </c>
      <c r="D1443" s="109" t="n"/>
      <c r="E1443" s="220" t="n"/>
      <c r="F1443" s="221" t="n"/>
      <c r="G1443" s="108" t="n"/>
      <c r="H1443" s="108" t="n"/>
      <c r="I1443" s="109" t="n"/>
      <c r="J1443" s="109" t="n"/>
      <c r="K1443" s="109" t="n"/>
      <c r="L1443" s="226">
        <f>IF($E1443="","",DATE(YEAR($E1443),MONTH($E1443),1))</f>
        <v/>
      </c>
      <c r="M1443" s="113">
        <f>IF($D1443="","",IF($C1443="TANIMSIZ MÜŞTERİ","HATA",IF(OR($E1443="",$F1443&lt;=0,$G1443=""),"EKSİK",IF($E1443&gt;TODAY(),"İLERİ TARİH",IF(COUNTIF($S$7:$S$1506,$S1443)&gt;1,"MÜKERRER?",IF($T1443&gt;0,"KAPALI DÖNEM","UYGUN"))))))</f>
        <v/>
      </c>
      <c r="N1443" s="121">
        <f>IF($C1443="","",IF($C1443="TANIMSIZ MÜŞTERİ","—",INDEX(MUSTERILER!$C$7:$C$106,MATCH($C1443,MUSTERILER!$B$7:$B$106,0))))</f>
        <v/>
      </c>
      <c r="O1443" s="6" t="n"/>
      <c r="P1443" s="6" t="n"/>
      <c r="Q1443" s="3">
        <f>IF($D1443="","",$C1443&amp;"|"&amp;COUNTIFS($C$7:$C1443,$C1443))</f>
        <v/>
      </c>
      <c r="R1443" s="3">
        <f>IF($D1443="","",UPPER(SUBSTITUTE(SUBSTITUTE(SUBSTITUTE(SUBSTITUTE(SUBSTITUTE(SUBSTITUTE(SUBSTITUTE(SUBSTITUTE(SUBSTITUTE(SUBSTITUTE(SUBSTITUTE(SUBSTITUTE(SUBSTITUTE(SUBSTITUTE(SUBSTITUTE(SUBSTITUTE(SUBSTITUTE(SUBSTITUTE(TRIM($D1443),"'",""),"İ","I"),"ı","I"),"i","I"),"Ş","S"),"ş","S"),"Ğ","G"),"ğ","G"),"Ü","U"),"ü","U"),"Ö","O"),"ö","O"),"Ç","C"),"ç","C"),".",""),",","")," ",""),"-","")))</f>
        <v/>
      </c>
      <c r="S1443" s="3">
        <f>IF($D1443="","",$C1443&amp;"|"&amp;TEXT($E1443,"0")&amp;"|"&amp;TEXT($F1443,"0")&amp;"|"&amp;$I1443)</f>
        <v/>
      </c>
      <c r="T1443" s="3">
        <f>IF($E1443="",0,SUMPRODUCT((AY_SONU!$O$7:$O$42="Evet")*(AY_SONU!$B$7:$B$42=DATE(YEAR($E1443),MONTH($E1443),1))))</f>
        <v/>
      </c>
    </row>
    <row r="1444">
      <c r="A1444" s="6" t="n"/>
      <c r="B1444" s="113">
        <f>IF($D1444="","","T"&amp;TEXT(ROW()-6,"00000"))</f>
        <v/>
      </c>
      <c r="C1444" s="113">
        <f>IF($D1444="","",IFERROR(INDEX(MUSTERILER!$B$7:$B$106,MATCH($R1444,MUSTERILER!$T$7:$T$106,0)),IFERROR(INDEX(MUSTERILER!$B$7:$B$106,MATCH($D1444,MUSTERILER!$B$7:$B$106,0)),IFERROR(INDEX(MUSTERILER!$B$7:$B$106,MATCH($R1444&amp;"*",MUSTERILER!$T$7:$T$106,0)),"TANIMSIZ MÜŞTERİ"))))</f>
        <v/>
      </c>
      <c r="D1444" s="109" t="n"/>
      <c r="E1444" s="220" t="n"/>
      <c r="F1444" s="221" t="n"/>
      <c r="G1444" s="108" t="n"/>
      <c r="H1444" s="108" t="n"/>
      <c r="I1444" s="109" t="n"/>
      <c r="J1444" s="109" t="n"/>
      <c r="K1444" s="109" t="n"/>
      <c r="L1444" s="226">
        <f>IF($E1444="","",DATE(YEAR($E1444),MONTH($E1444),1))</f>
        <v/>
      </c>
      <c r="M1444" s="113">
        <f>IF($D1444="","",IF($C1444="TANIMSIZ MÜŞTERİ","HATA",IF(OR($E1444="",$F1444&lt;=0,$G1444=""),"EKSİK",IF($E1444&gt;TODAY(),"İLERİ TARİH",IF(COUNTIF($S$7:$S$1506,$S1444)&gt;1,"MÜKERRER?",IF($T1444&gt;0,"KAPALI DÖNEM","UYGUN"))))))</f>
        <v/>
      </c>
      <c r="N1444" s="121">
        <f>IF($C1444="","",IF($C1444="TANIMSIZ MÜŞTERİ","—",INDEX(MUSTERILER!$C$7:$C$106,MATCH($C1444,MUSTERILER!$B$7:$B$106,0))))</f>
        <v/>
      </c>
      <c r="O1444" s="6" t="n"/>
      <c r="P1444" s="6" t="n"/>
      <c r="Q1444" s="3">
        <f>IF($D1444="","",$C1444&amp;"|"&amp;COUNTIFS($C$7:$C1444,$C1444))</f>
        <v/>
      </c>
      <c r="R1444" s="3">
        <f>IF($D1444="","",UPPER(SUBSTITUTE(SUBSTITUTE(SUBSTITUTE(SUBSTITUTE(SUBSTITUTE(SUBSTITUTE(SUBSTITUTE(SUBSTITUTE(SUBSTITUTE(SUBSTITUTE(SUBSTITUTE(SUBSTITUTE(SUBSTITUTE(SUBSTITUTE(SUBSTITUTE(SUBSTITUTE(SUBSTITUTE(SUBSTITUTE(TRIM($D1444),"'",""),"İ","I"),"ı","I"),"i","I"),"Ş","S"),"ş","S"),"Ğ","G"),"ğ","G"),"Ü","U"),"ü","U"),"Ö","O"),"ö","O"),"Ç","C"),"ç","C"),".",""),",","")," ",""),"-","")))</f>
        <v/>
      </c>
      <c r="S1444" s="3">
        <f>IF($D1444="","",$C1444&amp;"|"&amp;TEXT($E1444,"0")&amp;"|"&amp;TEXT($F1444,"0")&amp;"|"&amp;$I1444)</f>
        <v/>
      </c>
      <c r="T1444" s="3">
        <f>IF($E1444="",0,SUMPRODUCT((AY_SONU!$O$7:$O$42="Evet")*(AY_SONU!$B$7:$B$42=DATE(YEAR($E1444),MONTH($E1444),1))))</f>
        <v/>
      </c>
    </row>
    <row r="1445">
      <c r="A1445" s="6" t="n"/>
      <c r="B1445" s="113">
        <f>IF($D1445="","","T"&amp;TEXT(ROW()-6,"00000"))</f>
        <v/>
      </c>
      <c r="C1445" s="113">
        <f>IF($D1445="","",IFERROR(INDEX(MUSTERILER!$B$7:$B$106,MATCH($R1445,MUSTERILER!$T$7:$T$106,0)),IFERROR(INDEX(MUSTERILER!$B$7:$B$106,MATCH($D1445,MUSTERILER!$B$7:$B$106,0)),IFERROR(INDEX(MUSTERILER!$B$7:$B$106,MATCH($R1445&amp;"*",MUSTERILER!$T$7:$T$106,0)),"TANIMSIZ MÜŞTERİ"))))</f>
        <v/>
      </c>
      <c r="D1445" s="109" t="n"/>
      <c r="E1445" s="220" t="n"/>
      <c r="F1445" s="221" t="n"/>
      <c r="G1445" s="108" t="n"/>
      <c r="H1445" s="108" t="n"/>
      <c r="I1445" s="109" t="n"/>
      <c r="J1445" s="109" t="n"/>
      <c r="K1445" s="109" t="n"/>
      <c r="L1445" s="226">
        <f>IF($E1445="","",DATE(YEAR($E1445),MONTH($E1445),1))</f>
        <v/>
      </c>
      <c r="M1445" s="113">
        <f>IF($D1445="","",IF($C1445="TANIMSIZ MÜŞTERİ","HATA",IF(OR($E1445="",$F1445&lt;=0,$G1445=""),"EKSİK",IF($E1445&gt;TODAY(),"İLERİ TARİH",IF(COUNTIF($S$7:$S$1506,$S1445)&gt;1,"MÜKERRER?",IF($T1445&gt;0,"KAPALI DÖNEM","UYGUN"))))))</f>
        <v/>
      </c>
      <c r="N1445" s="121">
        <f>IF($C1445="","",IF($C1445="TANIMSIZ MÜŞTERİ","—",INDEX(MUSTERILER!$C$7:$C$106,MATCH($C1445,MUSTERILER!$B$7:$B$106,0))))</f>
        <v/>
      </c>
      <c r="O1445" s="6" t="n"/>
      <c r="P1445" s="6" t="n"/>
      <c r="Q1445" s="3">
        <f>IF($D1445="","",$C1445&amp;"|"&amp;COUNTIFS($C$7:$C1445,$C1445))</f>
        <v/>
      </c>
      <c r="R1445" s="3">
        <f>IF($D1445="","",UPPER(SUBSTITUTE(SUBSTITUTE(SUBSTITUTE(SUBSTITUTE(SUBSTITUTE(SUBSTITUTE(SUBSTITUTE(SUBSTITUTE(SUBSTITUTE(SUBSTITUTE(SUBSTITUTE(SUBSTITUTE(SUBSTITUTE(SUBSTITUTE(SUBSTITUTE(SUBSTITUTE(SUBSTITUTE(SUBSTITUTE(TRIM($D1445),"'",""),"İ","I"),"ı","I"),"i","I"),"Ş","S"),"ş","S"),"Ğ","G"),"ğ","G"),"Ü","U"),"ü","U"),"Ö","O"),"ö","O"),"Ç","C"),"ç","C"),".",""),",","")," ",""),"-","")))</f>
        <v/>
      </c>
      <c r="S1445" s="3">
        <f>IF($D1445="","",$C1445&amp;"|"&amp;TEXT($E1445,"0")&amp;"|"&amp;TEXT($F1445,"0")&amp;"|"&amp;$I1445)</f>
        <v/>
      </c>
      <c r="T1445" s="3">
        <f>IF($E1445="",0,SUMPRODUCT((AY_SONU!$O$7:$O$42="Evet")*(AY_SONU!$B$7:$B$42=DATE(YEAR($E1445),MONTH($E1445),1))))</f>
        <v/>
      </c>
    </row>
    <row r="1446">
      <c r="A1446" s="6" t="n"/>
      <c r="B1446" s="113">
        <f>IF($D1446="","","T"&amp;TEXT(ROW()-6,"00000"))</f>
        <v/>
      </c>
      <c r="C1446" s="113">
        <f>IF($D1446="","",IFERROR(INDEX(MUSTERILER!$B$7:$B$106,MATCH($R1446,MUSTERILER!$T$7:$T$106,0)),IFERROR(INDEX(MUSTERILER!$B$7:$B$106,MATCH($D1446,MUSTERILER!$B$7:$B$106,0)),IFERROR(INDEX(MUSTERILER!$B$7:$B$106,MATCH($R1446&amp;"*",MUSTERILER!$T$7:$T$106,0)),"TANIMSIZ MÜŞTERİ"))))</f>
        <v/>
      </c>
      <c r="D1446" s="109" t="n"/>
      <c r="E1446" s="220" t="n"/>
      <c r="F1446" s="221" t="n"/>
      <c r="G1446" s="108" t="n"/>
      <c r="H1446" s="108" t="n"/>
      <c r="I1446" s="109" t="n"/>
      <c r="J1446" s="109" t="n"/>
      <c r="K1446" s="109" t="n"/>
      <c r="L1446" s="226">
        <f>IF($E1446="","",DATE(YEAR($E1446),MONTH($E1446),1))</f>
        <v/>
      </c>
      <c r="M1446" s="113">
        <f>IF($D1446="","",IF($C1446="TANIMSIZ MÜŞTERİ","HATA",IF(OR($E1446="",$F1446&lt;=0,$G1446=""),"EKSİK",IF($E1446&gt;TODAY(),"İLERİ TARİH",IF(COUNTIF($S$7:$S$1506,$S1446)&gt;1,"MÜKERRER?",IF($T1446&gt;0,"KAPALI DÖNEM","UYGUN"))))))</f>
        <v/>
      </c>
      <c r="N1446" s="121">
        <f>IF($C1446="","",IF($C1446="TANIMSIZ MÜŞTERİ","—",INDEX(MUSTERILER!$C$7:$C$106,MATCH($C1446,MUSTERILER!$B$7:$B$106,0))))</f>
        <v/>
      </c>
      <c r="O1446" s="6" t="n"/>
      <c r="P1446" s="6" t="n"/>
      <c r="Q1446" s="3">
        <f>IF($D1446="","",$C1446&amp;"|"&amp;COUNTIFS($C$7:$C1446,$C1446))</f>
        <v/>
      </c>
      <c r="R1446" s="3">
        <f>IF($D1446="","",UPPER(SUBSTITUTE(SUBSTITUTE(SUBSTITUTE(SUBSTITUTE(SUBSTITUTE(SUBSTITUTE(SUBSTITUTE(SUBSTITUTE(SUBSTITUTE(SUBSTITUTE(SUBSTITUTE(SUBSTITUTE(SUBSTITUTE(SUBSTITUTE(SUBSTITUTE(SUBSTITUTE(SUBSTITUTE(SUBSTITUTE(TRIM($D1446),"'",""),"İ","I"),"ı","I"),"i","I"),"Ş","S"),"ş","S"),"Ğ","G"),"ğ","G"),"Ü","U"),"ü","U"),"Ö","O"),"ö","O"),"Ç","C"),"ç","C"),".",""),",","")," ",""),"-","")))</f>
        <v/>
      </c>
      <c r="S1446" s="3">
        <f>IF($D1446="","",$C1446&amp;"|"&amp;TEXT($E1446,"0")&amp;"|"&amp;TEXT($F1446,"0")&amp;"|"&amp;$I1446)</f>
        <v/>
      </c>
      <c r="T1446" s="3">
        <f>IF($E1446="",0,SUMPRODUCT((AY_SONU!$O$7:$O$42="Evet")*(AY_SONU!$B$7:$B$42=DATE(YEAR($E1446),MONTH($E1446),1))))</f>
        <v/>
      </c>
    </row>
    <row r="1447">
      <c r="A1447" s="6" t="n"/>
      <c r="B1447" s="113">
        <f>IF($D1447="","","T"&amp;TEXT(ROW()-6,"00000"))</f>
        <v/>
      </c>
      <c r="C1447" s="113">
        <f>IF($D1447="","",IFERROR(INDEX(MUSTERILER!$B$7:$B$106,MATCH($R1447,MUSTERILER!$T$7:$T$106,0)),IFERROR(INDEX(MUSTERILER!$B$7:$B$106,MATCH($D1447,MUSTERILER!$B$7:$B$106,0)),IFERROR(INDEX(MUSTERILER!$B$7:$B$106,MATCH($R1447&amp;"*",MUSTERILER!$T$7:$T$106,0)),"TANIMSIZ MÜŞTERİ"))))</f>
        <v/>
      </c>
      <c r="D1447" s="109" t="n"/>
      <c r="E1447" s="220" t="n"/>
      <c r="F1447" s="221" t="n"/>
      <c r="G1447" s="108" t="n"/>
      <c r="H1447" s="108" t="n"/>
      <c r="I1447" s="109" t="n"/>
      <c r="J1447" s="109" t="n"/>
      <c r="K1447" s="109" t="n"/>
      <c r="L1447" s="226">
        <f>IF($E1447="","",DATE(YEAR($E1447),MONTH($E1447),1))</f>
        <v/>
      </c>
      <c r="M1447" s="113">
        <f>IF($D1447="","",IF($C1447="TANIMSIZ MÜŞTERİ","HATA",IF(OR($E1447="",$F1447&lt;=0,$G1447=""),"EKSİK",IF($E1447&gt;TODAY(),"İLERİ TARİH",IF(COUNTIF($S$7:$S$1506,$S1447)&gt;1,"MÜKERRER?",IF($T1447&gt;0,"KAPALI DÖNEM","UYGUN"))))))</f>
        <v/>
      </c>
      <c r="N1447" s="121">
        <f>IF($C1447="","",IF($C1447="TANIMSIZ MÜŞTERİ","—",INDEX(MUSTERILER!$C$7:$C$106,MATCH($C1447,MUSTERILER!$B$7:$B$106,0))))</f>
        <v/>
      </c>
      <c r="O1447" s="6" t="n"/>
      <c r="P1447" s="6" t="n"/>
      <c r="Q1447" s="3">
        <f>IF($D1447="","",$C1447&amp;"|"&amp;COUNTIFS($C$7:$C1447,$C1447))</f>
        <v/>
      </c>
      <c r="R1447" s="3">
        <f>IF($D1447="","",UPPER(SUBSTITUTE(SUBSTITUTE(SUBSTITUTE(SUBSTITUTE(SUBSTITUTE(SUBSTITUTE(SUBSTITUTE(SUBSTITUTE(SUBSTITUTE(SUBSTITUTE(SUBSTITUTE(SUBSTITUTE(SUBSTITUTE(SUBSTITUTE(SUBSTITUTE(SUBSTITUTE(SUBSTITUTE(SUBSTITUTE(TRIM($D1447),"'",""),"İ","I"),"ı","I"),"i","I"),"Ş","S"),"ş","S"),"Ğ","G"),"ğ","G"),"Ü","U"),"ü","U"),"Ö","O"),"ö","O"),"Ç","C"),"ç","C"),".",""),",","")," ",""),"-","")))</f>
        <v/>
      </c>
      <c r="S1447" s="3">
        <f>IF($D1447="","",$C1447&amp;"|"&amp;TEXT($E1447,"0")&amp;"|"&amp;TEXT($F1447,"0")&amp;"|"&amp;$I1447)</f>
        <v/>
      </c>
      <c r="T1447" s="3">
        <f>IF($E1447="",0,SUMPRODUCT((AY_SONU!$O$7:$O$42="Evet")*(AY_SONU!$B$7:$B$42=DATE(YEAR($E1447),MONTH($E1447),1))))</f>
        <v/>
      </c>
    </row>
    <row r="1448">
      <c r="A1448" s="6" t="n"/>
      <c r="B1448" s="113">
        <f>IF($D1448="","","T"&amp;TEXT(ROW()-6,"00000"))</f>
        <v/>
      </c>
      <c r="C1448" s="113">
        <f>IF($D1448="","",IFERROR(INDEX(MUSTERILER!$B$7:$B$106,MATCH($R1448,MUSTERILER!$T$7:$T$106,0)),IFERROR(INDEX(MUSTERILER!$B$7:$B$106,MATCH($D1448,MUSTERILER!$B$7:$B$106,0)),IFERROR(INDEX(MUSTERILER!$B$7:$B$106,MATCH($R1448&amp;"*",MUSTERILER!$T$7:$T$106,0)),"TANIMSIZ MÜŞTERİ"))))</f>
        <v/>
      </c>
      <c r="D1448" s="109" t="n"/>
      <c r="E1448" s="220" t="n"/>
      <c r="F1448" s="221" t="n"/>
      <c r="G1448" s="108" t="n"/>
      <c r="H1448" s="108" t="n"/>
      <c r="I1448" s="109" t="n"/>
      <c r="J1448" s="109" t="n"/>
      <c r="K1448" s="109" t="n"/>
      <c r="L1448" s="226">
        <f>IF($E1448="","",DATE(YEAR($E1448),MONTH($E1448),1))</f>
        <v/>
      </c>
      <c r="M1448" s="113">
        <f>IF($D1448="","",IF($C1448="TANIMSIZ MÜŞTERİ","HATA",IF(OR($E1448="",$F1448&lt;=0,$G1448=""),"EKSİK",IF($E1448&gt;TODAY(),"İLERİ TARİH",IF(COUNTIF($S$7:$S$1506,$S1448)&gt;1,"MÜKERRER?",IF($T1448&gt;0,"KAPALI DÖNEM","UYGUN"))))))</f>
        <v/>
      </c>
      <c r="N1448" s="121">
        <f>IF($C1448="","",IF($C1448="TANIMSIZ MÜŞTERİ","—",INDEX(MUSTERILER!$C$7:$C$106,MATCH($C1448,MUSTERILER!$B$7:$B$106,0))))</f>
        <v/>
      </c>
      <c r="O1448" s="6" t="n"/>
      <c r="P1448" s="6" t="n"/>
      <c r="Q1448" s="3">
        <f>IF($D1448="","",$C1448&amp;"|"&amp;COUNTIFS($C$7:$C1448,$C1448))</f>
        <v/>
      </c>
      <c r="R1448" s="3">
        <f>IF($D1448="","",UPPER(SUBSTITUTE(SUBSTITUTE(SUBSTITUTE(SUBSTITUTE(SUBSTITUTE(SUBSTITUTE(SUBSTITUTE(SUBSTITUTE(SUBSTITUTE(SUBSTITUTE(SUBSTITUTE(SUBSTITUTE(SUBSTITUTE(SUBSTITUTE(SUBSTITUTE(SUBSTITUTE(SUBSTITUTE(SUBSTITUTE(TRIM($D1448),"'",""),"İ","I"),"ı","I"),"i","I"),"Ş","S"),"ş","S"),"Ğ","G"),"ğ","G"),"Ü","U"),"ü","U"),"Ö","O"),"ö","O"),"Ç","C"),"ç","C"),".",""),",","")," ",""),"-","")))</f>
        <v/>
      </c>
      <c r="S1448" s="3">
        <f>IF($D1448="","",$C1448&amp;"|"&amp;TEXT($E1448,"0")&amp;"|"&amp;TEXT($F1448,"0")&amp;"|"&amp;$I1448)</f>
        <v/>
      </c>
      <c r="T1448" s="3">
        <f>IF($E1448="",0,SUMPRODUCT((AY_SONU!$O$7:$O$42="Evet")*(AY_SONU!$B$7:$B$42=DATE(YEAR($E1448),MONTH($E1448),1))))</f>
        <v/>
      </c>
    </row>
    <row r="1449">
      <c r="A1449" s="6" t="n"/>
      <c r="B1449" s="113">
        <f>IF($D1449="","","T"&amp;TEXT(ROW()-6,"00000"))</f>
        <v/>
      </c>
      <c r="C1449" s="113">
        <f>IF($D1449="","",IFERROR(INDEX(MUSTERILER!$B$7:$B$106,MATCH($R1449,MUSTERILER!$T$7:$T$106,0)),IFERROR(INDEX(MUSTERILER!$B$7:$B$106,MATCH($D1449,MUSTERILER!$B$7:$B$106,0)),IFERROR(INDEX(MUSTERILER!$B$7:$B$106,MATCH($R1449&amp;"*",MUSTERILER!$T$7:$T$106,0)),"TANIMSIZ MÜŞTERİ"))))</f>
        <v/>
      </c>
      <c r="D1449" s="109" t="n"/>
      <c r="E1449" s="220" t="n"/>
      <c r="F1449" s="221" t="n"/>
      <c r="G1449" s="108" t="n"/>
      <c r="H1449" s="108" t="n"/>
      <c r="I1449" s="109" t="n"/>
      <c r="J1449" s="109" t="n"/>
      <c r="K1449" s="109" t="n"/>
      <c r="L1449" s="226">
        <f>IF($E1449="","",DATE(YEAR($E1449),MONTH($E1449),1))</f>
        <v/>
      </c>
      <c r="M1449" s="113">
        <f>IF($D1449="","",IF($C1449="TANIMSIZ MÜŞTERİ","HATA",IF(OR($E1449="",$F1449&lt;=0,$G1449=""),"EKSİK",IF($E1449&gt;TODAY(),"İLERİ TARİH",IF(COUNTIF($S$7:$S$1506,$S1449)&gt;1,"MÜKERRER?",IF($T1449&gt;0,"KAPALI DÖNEM","UYGUN"))))))</f>
        <v/>
      </c>
      <c r="N1449" s="121">
        <f>IF($C1449="","",IF($C1449="TANIMSIZ MÜŞTERİ","—",INDEX(MUSTERILER!$C$7:$C$106,MATCH($C1449,MUSTERILER!$B$7:$B$106,0))))</f>
        <v/>
      </c>
      <c r="O1449" s="6" t="n"/>
      <c r="P1449" s="6" t="n"/>
      <c r="Q1449" s="3">
        <f>IF($D1449="","",$C1449&amp;"|"&amp;COUNTIFS($C$7:$C1449,$C1449))</f>
        <v/>
      </c>
      <c r="R1449" s="3">
        <f>IF($D1449="","",UPPER(SUBSTITUTE(SUBSTITUTE(SUBSTITUTE(SUBSTITUTE(SUBSTITUTE(SUBSTITUTE(SUBSTITUTE(SUBSTITUTE(SUBSTITUTE(SUBSTITUTE(SUBSTITUTE(SUBSTITUTE(SUBSTITUTE(SUBSTITUTE(SUBSTITUTE(SUBSTITUTE(SUBSTITUTE(SUBSTITUTE(TRIM($D1449),"'",""),"İ","I"),"ı","I"),"i","I"),"Ş","S"),"ş","S"),"Ğ","G"),"ğ","G"),"Ü","U"),"ü","U"),"Ö","O"),"ö","O"),"Ç","C"),"ç","C"),".",""),",","")," ",""),"-","")))</f>
        <v/>
      </c>
      <c r="S1449" s="3">
        <f>IF($D1449="","",$C1449&amp;"|"&amp;TEXT($E1449,"0")&amp;"|"&amp;TEXT($F1449,"0")&amp;"|"&amp;$I1449)</f>
        <v/>
      </c>
      <c r="T1449" s="3">
        <f>IF($E1449="",0,SUMPRODUCT((AY_SONU!$O$7:$O$42="Evet")*(AY_SONU!$B$7:$B$42=DATE(YEAR($E1449),MONTH($E1449),1))))</f>
        <v/>
      </c>
    </row>
    <row r="1450">
      <c r="A1450" s="6" t="n"/>
      <c r="B1450" s="113">
        <f>IF($D1450="","","T"&amp;TEXT(ROW()-6,"00000"))</f>
        <v/>
      </c>
      <c r="C1450" s="113">
        <f>IF($D1450="","",IFERROR(INDEX(MUSTERILER!$B$7:$B$106,MATCH($R1450,MUSTERILER!$T$7:$T$106,0)),IFERROR(INDEX(MUSTERILER!$B$7:$B$106,MATCH($D1450,MUSTERILER!$B$7:$B$106,0)),IFERROR(INDEX(MUSTERILER!$B$7:$B$106,MATCH($R1450&amp;"*",MUSTERILER!$T$7:$T$106,0)),"TANIMSIZ MÜŞTERİ"))))</f>
        <v/>
      </c>
      <c r="D1450" s="109" t="n"/>
      <c r="E1450" s="220" t="n"/>
      <c r="F1450" s="221" t="n"/>
      <c r="G1450" s="108" t="n"/>
      <c r="H1450" s="108" t="n"/>
      <c r="I1450" s="109" t="n"/>
      <c r="J1450" s="109" t="n"/>
      <c r="K1450" s="109" t="n"/>
      <c r="L1450" s="226">
        <f>IF($E1450="","",DATE(YEAR($E1450),MONTH($E1450),1))</f>
        <v/>
      </c>
      <c r="M1450" s="113">
        <f>IF($D1450="","",IF($C1450="TANIMSIZ MÜŞTERİ","HATA",IF(OR($E1450="",$F1450&lt;=0,$G1450=""),"EKSİK",IF($E1450&gt;TODAY(),"İLERİ TARİH",IF(COUNTIF($S$7:$S$1506,$S1450)&gt;1,"MÜKERRER?",IF($T1450&gt;0,"KAPALI DÖNEM","UYGUN"))))))</f>
        <v/>
      </c>
      <c r="N1450" s="121">
        <f>IF($C1450="","",IF($C1450="TANIMSIZ MÜŞTERİ","—",INDEX(MUSTERILER!$C$7:$C$106,MATCH($C1450,MUSTERILER!$B$7:$B$106,0))))</f>
        <v/>
      </c>
      <c r="O1450" s="6" t="n"/>
      <c r="P1450" s="6" t="n"/>
      <c r="Q1450" s="3">
        <f>IF($D1450="","",$C1450&amp;"|"&amp;COUNTIFS($C$7:$C1450,$C1450))</f>
        <v/>
      </c>
      <c r="R1450" s="3">
        <f>IF($D1450="","",UPPER(SUBSTITUTE(SUBSTITUTE(SUBSTITUTE(SUBSTITUTE(SUBSTITUTE(SUBSTITUTE(SUBSTITUTE(SUBSTITUTE(SUBSTITUTE(SUBSTITUTE(SUBSTITUTE(SUBSTITUTE(SUBSTITUTE(SUBSTITUTE(SUBSTITUTE(SUBSTITUTE(SUBSTITUTE(SUBSTITUTE(TRIM($D1450),"'",""),"İ","I"),"ı","I"),"i","I"),"Ş","S"),"ş","S"),"Ğ","G"),"ğ","G"),"Ü","U"),"ü","U"),"Ö","O"),"ö","O"),"Ç","C"),"ç","C"),".",""),",","")," ",""),"-","")))</f>
        <v/>
      </c>
      <c r="S1450" s="3">
        <f>IF($D1450="","",$C1450&amp;"|"&amp;TEXT($E1450,"0")&amp;"|"&amp;TEXT($F1450,"0")&amp;"|"&amp;$I1450)</f>
        <v/>
      </c>
      <c r="T1450" s="3">
        <f>IF($E1450="",0,SUMPRODUCT((AY_SONU!$O$7:$O$42="Evet")*(AY_SONU!$B$7:$B$42=DATE(YEAR($E1450),MONTH($E1450),1))))</f>
        <v/>
      </c>
    </row>
    <row r="1451">
      <c r="A1451" s="6" t="n"/>
      <c r="B1451" s="113">
        <f>IF($D1451="","","T"&amp;TEXT(ROW()-6,"00000"))</f>
        <v/>
      </c>
      <c r="C1451" s="113">
        <f>IF($D1451="","",IFERROR(INDEX(MUSTERILER!$B$7:$B$106,MATCH($R1451,MUSTERILER!$T$7:$T$106,0)),IFERROR(INDEX(MUSTERILER!$B$7:$B$106,MATCH($D1451,MUSTERILER!$B$7:$B$106,0)),IFERROR(INDEX(MUSTERILER!$B$7:$B$106,MATCH($R1451&amp;"*",MUSTERILER!$T$7:$T$106,0)),"TANIMSIZ MÜŞTERİ"))))</f>
        <v/>
      </c>
      <c r="D1451" s="109" t="n"/>
      <c r="E1451" s="220" t="n"/>
      <c r="F1451" s="221" t="n"/>
      <c r="G1451" s="108" t="n"/>
      <c r="H1451" s="108" t="n"/>
      <c r="I1451" s="109" t="n"/>
      <c r="J1451" s="109" t="n"/>
      <c r="K1451" s="109" t="n"/>
      <c r="L1451" s="226">
        <f>IF($E1451="","",DATE(YEAR($E1451),MONTH($E1451),1))</f>
        <v/>
      </c>
      <c r="M1451" s="113">
        <f>IF($D1451="","",IF($C1451="TANIMSIZ MÜŞTERİ","HATA",IF(OR($E1451="",$F1451&lt;=0,$G1451=""),"EKSİK",IF($E1451&gt;TODAY(),"İLERİ TARİH",IF(COUNTIF($S$7:$S$1506,$S1451)&gt;1,"MÜKERRER?",IF($T1451&gt;0,"KAPALI DÖNEM","UYGUN"))))))</f>
        <v/>
      </c>
      <c r="N1451" s="121">
        <f>IF($C1451="","",IF($C1451="TANIMSIZ MÜŞTERİ","—",INDEX(MUSTERILER!$C$7:$C$106,MATCH($C1451,MUSTERILER!$B$7:$B$106,0))))</f>
        <v/>
      </c>
      <c r="O1451" s="6" t="n"/>
      <c r="P1451" s="6" t="n"/>
      <c r="Q1451" s="3">
        <f>IF($D1451="","",$C1451&amp;"|"&amp;COUNTIFS($C$7:$C1451,$C1451))</f>
        <v/>
      </c>
      <c r="R1451" s="3">
        <f>IF($D1451="","",UPPER(SUBSTITUTE(SUBSTITUTE(SUBSTITUTE(SUBSTITUTE(SUBSTITUTE(SUBSTITUTE(SUBSTITUTE(SUBSTITUTE(SUBSTITUTE(SUBSTITUTE(SUBSTITUTE(SUBSTITUTE(SUBSTITUTE(SUBSTITUTE(SUBSTITUTE(SUBSTITUTE(SUBSTITUTE(SUBSTITUTE(TRIM($D1451),"'",""),"İ","I"),"ı","I"),"i","I"),"Ş","S"),"ş","S"),"Ğ","G"),"ğ","G"),"Ü","U"),"ü","U"),"Ö","O"),"ö","O"),"Ç","C"),"ç","C"),".",""),",","")," ",""),"-","")))</f>
        <v/>
      </c>
      <c r="S1451" s="3">
        <f>IF($D1451="","",$C1451&amp;"|"&amp;TEXT($E1451,"0")&amp;"|"&amp;TEXT($F1451,"0")&amp;"|"&amp;$I1451)</f>
        <v/>
      </c>
      <c r="T1451" s="3">
        <f>IF($E1451="",0,SUMPRODUCT((AY_SONU!$O$7:$O$42="Evet")*(AY_SONU!$B$7:$B$42=DATE(YEAR($E1451),MONTH($E1451),1))))</f>
        <v/>
      </c>
    </row>
    <row r="1452">
      <c r="A1452" s="6" t="n"/>
      <c r="B1452" s="113">
        <f>IF($D1452="","","T"&amp;TEXT(ROW()-6,"00000"))</f>
        <v/>
      </c>
      <c r="C1452" s="113">
        <f>IF($D1452="","",IFERROR(INDEX(MUSTERILER!$B$7:$B$106,MATCH($R1452,MUSTERILER!$T$7:$T$106,0)),IFERROR(INDEX(MUSTERILER!$B$7:$B$106,MATCH($D1452,MUSTERILER!$B$7:$B$106,0)),IFERROR(INDEX(MUSTERILER!$B$7:$B$106,MATCH($R1452&amp;"*",MUSTERILER!$T$7:$T$106,0)),"TANIMSIZ MÜŞTERİ"))))</f>
        <v/>
      </c>
      <c r="D1452" s="109" t="n"/>
      <c r="E1452" s="220" t="n"/>
      <c r="F1452" s="221" t="n"/>
      <c r="G1452" s="108" t="n"/>
      <c r="H1452" s="108" t="n"/>
      <c r="I1452" s="109" t="n"/>
      <c r="J1452" s="109" t="n"/>
      <c r="K1452" s="109" t="n"/>
      <c r="L1452" s="226">
        <f>IF($E1452="","",DATE(YEAR($E1452),MONTH($E1452),1))</f>
        <v/>
      </c>
      <c r="M1452" s="113">
        <f>IF($D1452="","",IF($C1452="TANIMSIZ MÜŞTERİ","HATA",IF(OR($E1452="",$F1452&lt;=0,$G1452=""),"EKSİK",IF($E1452&gt;TODAY(),"İLERİ TARİH",IF(COUNTIF($S$7:$S$1506,$S1452)&gt;1,"MÜKERRER?",IF($T1452&gt;0,"KAPALI DÖNEM","UYGUN"))))))</f>
        <v/>
      </c>
      <c r="N1452" s="121">
        <f>IF($C1452="","",IF($C1452="TANIMSIZ MÜŞTERİ","—",INDEX(MUSTERILER!$C$7:$C$106,MATCH($C1452,MUSTERILER!$B$7:$B$106,0))))</f>
        <v/>
      </c>
      <c r="O1452" s="6" t="n"/>
      <c r="P1452" s="6" t="n"/>
      <c r="Q1452" s="3">
        <f>IF($D1452="","",$C1452&amp;"|"&amp;COUNTIFS($C$7:$C1452,$C1452))</f>
        <v/>
      </c>
      <c r="R1452" s="3">
        <f>IF($D1452="","",UPPER(SUBSTITUTE(SUBSTITUTE(SUBSTITUTE(SUBSTITUTE(SUBSTITUTE(SUBSTITUTE(SUBSTITUTE(SUBSTITUTE(SUBSTITUTE(SUBSTITUTE(SUBSTITUTE(SUBSTITUTE(SUBSTITUTE(SUBSTITUTE(SUBSTITUTE(SUBSTITUTE(SUBSTITUTE(SUBSTITUTE(TRIM($D1452),"'",""),"İ","I"),"ı","I"),"i","I"),"Ş","S"),"ş","S"),"Ğ","G"),"ğ","G"),"Ü","U"),"ü","U"),"Ö","O"),"ö","O"),"Ç","C"),"ç","C"),".",""),",","")," ",""),"-","")))</f>
        <v/>
      </c>
      <c r="S1452" s="3">
        <f>IF($D1452="","",$C1452&amp;"|"&amp;TEXT($E1452,"0")&amp;"|"&amp;TEXT($F1452,"0")&amp;"|"&amp;$I1452)</f>
        <v/>
      </c>
      <c r="T1452" s="3">
        <f>IF($E1452="",0,SUMPRODUCT((AY_SONU!$O$7:$O$42="Evet")*(AY_SONU!$B$7:$B$42=DATE(YEAR($E1452),MONTH($E1452),1))))</f>
        <v/>
      </c>
    </row>
    <row r="1453">
      <c r="A1453" s="6" t="n"/>
      <c r="B1453" s="113">
        <f>IF($D1453="","","T"&amp;TEXT(ROW()-6,"00000"))</f>
        <v/>
      </c>
      <c r="C1453" s="113">
        <f>IF($D1453="","",IFERROR(INDEX(MUSTERILER!$B$7:$B$106,MATCH($R1453,MUSTERILER!$T$7:$T$106,0)),IFERROR(INDEX(MUSTERILER!$B$7:$B$106,MATCH($D1453,MUSTERILER!$B$7:$B$106,0)),IFERROR(INDEX(MUSTERILER!$B$7:$B$106,MATCH($R1453&amp;"*",MUSTERILER!$T$7:$T$106,0)),"TANIMSIZ MÜŞTERİ"))))</f>
        <v/>
      </c>
      <c r="D1453" s="109" t="n"/>
      <c r="E1453" s="220" t="n"/>
      <c r="F1453" s="221" t="n"/>
      <c r="G1453" s="108" t="n"/>
      <c r="H1453" s="108" t="n"/>
      <c r="I1453" s="109" t="n"/>
      <c r="J1453" s="109" t="n"/>
      <c r="K1453" s="109" t="n"/>
      <c r="L1453" s="226">
        <f>IF($E1453="","",DATE(YEAR($E1453),MONTH($E1453),1))</f>
        <v/>
      </c>
      <c r="M1453" s="113">
        <f>IF($D1453="","",IF($C1453="TANIMSIZ MÜŞTERİ","HATA",IF(OR($E1453="",$F1453&lt;=0,$G1453=""),"EKSİK",IF($E1453&gt;TODAY(),"İLERİ TARİH",IF(COUNTIF($S$7:$S$1506,$S1453)&gt;1,"MÜKERRER?",IF($T1453&gt;0,"KAPALI DÖNEM","UYGUN"))))))</f>
        <v/>
      </c>
      <c r="N1453" s="121">
        <f>IF($C1453="","",IF($C1453="TANIMSIZ MÜŞTERİ","—",INDEX(MUSTERILER!$C$7:$C$106,MATCH($C1453,MUSTERILER!$B$7:$B$106,0))))</f>
        <v/>
      </c>
      <c r="O1453" s="6" t="n"/>
      <c r="P1453" s="6" t="n"/>
      <c r="Q1453" s="3">
        <f>IF($D1453="","",$C1453&amp;"|"&amp;COUNTIFS($C$7:$C1453,$C1453))</f>
        <v/>
      </c>
      <c r="R1453" s="3">
        <f>IF($D1453="","",UPPER(SUBSTITUTE(SUBSTITUTE(SUBSTITUTE(SUBSTITUTE(SUBSTITUTE(SUBSTITUTE(SUBSTITUTE(SUBSTITUTE(SUBSTITUTE(SUBSTITUTE(SUBSTITUTE(SUBSTITUTE(SUBSTITUTE(SUBSTITUTE(SUBSTITUTE(SUBSTITUTE(SUBSTITUTE(SUBSTITUTE(TRIM($D1453),"'",""),"İ","I"),"ı","I"),"i","I"),"Ş","S"),"ş","S"),"Ğ","G"),"ğ","G"),"Ü","U"),"ü","U"),"Ö","O"),"ö","O"),"Ç","C"),"ç","C"),".",""),",","")," ",""),"-","")))</f>
        <v/>
      </c>
      <c r="S1453" s="3">
        <f>IF($D1453="","",$C1453&amp;"|"&amp;TEXT($E1453,"0")&amp;"|"&amp;TEXT($F1453,"0")&amp;"|"&amp;$I1453)</f>
        <v/>
      </c>
      <c r="T1453" s="3">
        <f>IF($E1453="",0,SUMPRODUCT((AY_SONU!$O$7:$O$42="Evet")*(AY_SONU!$B$7:$B$42=DATE(YEAR($E1453),MONTH($E1453),1))))</f>
        <v/>
      </c>
    </row>
    <row r="1454">
      <c r="A1454" s="6" t="n"/>
      <c r="B1454" s="113">
        <f>IF($D1454="","","T"&amp;TEXT(ROW()-6,"00000"))</f>
        <v/>
      </c>
      <c r="C1454" s="113">
        <f>IF($D1454="","",IFERROR(INDEX(MUSTERILER!$B$7:$B$106,MATCH($R1454,MUSTERILER!$T$7:$T$106,0)),IFERROR(INDEX(MUSTERILER!$B$7:$B$106,MATCH($D1454,MUSTERILER!$B$7:$B$106,0)),IFERROR(INDEX(MUSTERILER!$B$7:$B$106,MATCH($R1454&amp;"*",MUSTERILER!$T$7:$T$106,0)),"TANIMSIZ MÜŞTERİ"))))</f>
        <v/>
      </c>
      <c r="D1454" s="109" t="n"/>
      <c r="E1454" s="220" t="n"/>
      <c r="F1454" s="221" t="n"/>
      <c r="G1454" s="108" t="n"/>
      <c r="H1454" s="108" t="n"/>
      <c r="I1454" s="109" t="n"/>
      <c r="J1454" s="109" t="n"/>
      <c r="K1454" s="109" t="n"/>
      <c r="L1454" s="226">
        <f>IF($E1454="","",DATE(YEAR($E1454),MONTH($E1454),1))</f>
        <v/>
      </c>
      <c r="M1454" s="113">
        <f>IF($D1454="","",IF($C1454="TANIMSIZ MÜŞTERİ","HATA",IF(OR($E1454="",$F1454&lt;=0,$G1454=""),"EKSİK",IF($E1454&gt;TODAY(),"İLERİ TARİH",IF(COUNTIF($S$7:$S$1506,$S1454)&gt;1,"MÜKERRER?",IF($T1454&gt;0,"KAPALI DÖNEM","UYGUN"))))))</f>
        <v/>
      </c>
      <c r="N1454" s="121">
        <f>IF($C1454="","",IF($C1454="TANIMSIZ MÜŞTERİ","—",INDEX(MUSTERILER!$C$7:$C$106,MATCH($C1454,MUSTERILER!$B$7:$B$106,0))))</f>
        <v/>
      </c>
      <c r="O1454" s="6" t="n"/>
      <c r="P1454" s="6" t="n"/>
      <c r="Q1454" s="3">
        <f>IF($D1454="","",$C1454&amp;"|"&amp;COUNTIFS($C$7:$C1454,$C1454))</f>
        <v/>
      </c>
      <c r="R1454" s="3">
        <f>IF($D1454="","",UPPER(SUBSTITUTE(SUBSTITUTE(SUBSTITUTE(SUBSTITUTE(SUBSTITUTE(SUBSTITUTE(SUBSTITUTE(SUBSTITUTE(SUBSTITUTE(SUBSTITUTE(SUBSTITUTE(SUBSTITUTE(SUBSTITUTE(SUBSTITUTE(SUBSTITUTE(SUBSTITUTE(SUBSTITUTE(SUBSTITUTE(TRIM($D1454),"'",""),"İ","I"),"ı","I"),"i","I"),"Ş","S"),"ş","S"),"Ğ","G"),"ğ","G"),"Ü","U"),"ü","U"),"Ö","O"),"ö","O"),"Ç","C"),"ç","C"),".",""),",","")," ",""),"-","")))</f>
        <v/>
      </c>
      <c r="S1454" s="3">
        <f>IF($D1454="","",$C1454&amp;"|"&amp;TEXT($E1454,"0")&amp;"|"&amp;TEXT($F1454,"0")&amp;"|"&amp;$I1454)</f>
        <v/>
      </c>
      <c r="T1454" s="3">
        <f>IF($E1454="",0,SUMPRODUCT((AY_SONU!$O$7:$O$42="Evet")*(AY_SONU!$B$7:$B$42=DATE(YEAR($E1454),MONTH($E1454),1))))</f>
        <v/>
      </c>
    </row>
    <row r="1455">
      <c r="A1455" s="6" t="n"/>
      <c r="B1455" s="113">
        <f>IF($D1455="","","T"&amp;TEXT(ROW()-6,"00000"))</f>
        <v/>
      </c>
      <c r="C1455" s="113">
        <f>IF($D1455="","",IFERROR(INDEX(MUSTERILER!$B$7:$B$106,MATCH($R1455,MUSTERILER!$T$7:$T$106,0)),IFERROR(INDEX(MUSTERILER!$B$7:$B$106,MATCH($D1455,MUSTERILER!$B$7:$B$106,0)),IFERROR(INDEX(MUSTERILER!$B$7:$B$106,MATCH($R1455&amp;"*",MUSTERILER!$T$7:$T$106,0)),"TANIMSIZ MÜŞTERİ"))))</f>
        <v/>
      </c>
      <c r="D1455" s="109" t="n"/>
      <c r="E1455" s="220" t="n"/>
      <c r="F1455" s="221" t="n"/>
      <c r="G1455" s="108" t="n"/>
      <c r="H1455" s="108" t="n"/>
      <c r="I1455" s="109" t="n"/>
      <c r="J1455" s="109" t="n"/>
      <c r="K1455" s="109" t="n"/>
      <c r="L1455" s="226">
        <f>IF($E1455="","",DATE(YEAR($E1455),MONTH($E1455),1))</f>
        <v/>
      </c>
      <c r="M1455" s="113">
        <f>IF($D1455="","",IF($C1455="TANIMSIZ MÜŞTERİ","HATA",IF(OR($E1455="",$F1455&lt;=0,$G1455=""),"EKSİK",IF($E1455&gt;TODAY(),"İLERİ TARİH",IF(COUNTIF($S$7:$S$1506,$S1455)&gt;1,"MÜKERRER?",IF($T1455&gt;0,"KAPALI DÖNEM","UYGUN"))))))</f>
        <v/>
      </c>
      <c r="N1455" s="121">
        <f>IF($C1455="","",IF($C1455="TANIMSIZ MÜŞTERİ","—",INDEX(MUSTERILER!$C$7:$C$106,MATCH($C1455,MUSTERILER!$B$7:$B$106,0))))</f>
        <v/>
      </c>
      <c r="O1455" s="6" t="n"/>
      <c r="P1455" s="6" t="n"/>
      <c r="Q1455" s="3">
        <f>IF($D1455="","",$C1455&amp;"|"&amp;COUNTIFS($C$7:$C1455,$C1455))</f>
        <v/>
      </c>
      <c r="R1455" s="3">
        <f>IF($D1455="","",UPPER(SUBSTITUTE(SUBSTITUTE(SUBSTITUTE(SUBSTITUTE(SUBSTITUTE(SUBSTITUTE(SUBSTITUTE(SUBSTITUTE(SUBSTITUTE(SUBSTITUTE(SUBSTITUTE(SUBSTITUTE(SUBSTITUTE(SUBSTITUTE(SUBSTITUTE(SUBSTITUTE(SUBSTITUTE(SUBSTITUTE(TRIM($D1455),"'",""),"İ","I"),"ı","I"),"i","I"),"Ş","S"),"ş","S"),"Ğ","G"),"ğ","G"),"Ü","U"),"ü","U"),"Ö","O"),"ö","O"),"Ç","C"),"ç","C"),".",""),",","")," ",""),"-","")))</f>
        <v/>
      </c>
      <c r="S1455" s="3">
        <f>IF($D1455="","",$C1455&amp;"|"&amp;TEXT($E1455,"0")&amp;"|"&amp;TEXT($F1455,"0")&amp;"|"&amp;$I1455)</f>
        <v/>
      </c>
      <c r="T1455" s="3">
        <f>IF($E1455="",0,SUMPRODUCT((AY_SONU!$O$7:$O$42="Evet")*(AY_SONU!$B$7:$B$42=DATE(YEAR($E1455),MONTH($E1455),1))))</f>
        <v/>
      </c>
    </row>
    <row r="1456">
      <c r="A1456" s="6" t="n"/>
      <c r="B1456" s="113">
        <f>IF($D1456="","","T"&amp;TEXT(ROW()-6,"00000"))</f>
        <v/>
      </c>
      <c r="C1456" s="113">
        <f>IF($D1456="","",IFERROR(INDEX(MUSTERILER!$B$7:$B$106,MATCH($R1456,MUSTERILER!$T$7:$T$106,0)),IFERROR(INDEX(MUSTERILER!$B$7:$B$106,MATCH($D1456,MUSTERILER!$B$7:$B$106,0)),IFERROR(INDEX(MUSTERILER!$B$7:$B$106,MATCH($R1456&amp;"*",MUSTERILER!$T$7:$T$106,0)),"TANIMSIZ MÜŞTERİ"))))</f>
        <v/>
      </c>
      <c r="D1456" s="109" t="n"/>
      <c r="E1456" s="220" t="n"/>
      <c r="F1456" s="221" t="n"/>
      <c r="G1456" s="108" t="n"/>
      <c r="H1456" s="108" t="n"/>
      <c r="I1456" s="109" t="n"/>
      <c r="J1456" s="109" t="n"/>
      <c r="K1456" s="109" t="n"/>
      <c r="L1456" s="226">
        <f>IF($E1456="","",DATE(YEAR($E1456),MONTH($E1456),1))</f>
        <v/>
      </c>
      <c r="M1456" s="113">
        <f>IF($D1456="","",IF($C1456="TANIMSIZ MÜŞTERİ","HATA",IF(OR($E1456="",$F1456&lt;=0,$G1456=""),"EKSİK",IF($E1456&gt;TODAY(),"İLERİ TARİH",IF(COUNTIF($S$7:$S$1506,$S1456)&gt;1,"MÜKERRER?",IF($T1456&gt;0,"KAPALI DÖNEM","UYGUN"))))))</f>
        <v/>
      </c>
      <c r="N1456" s="121">
        <f>IF($C1456="","",IF($C1456="TANIMSIZ MÜŞTERİ","—",INDEX(MUSTERILER!$C$7:$C$106,MATCH($C1456,MUSTERILER!$B$7:$B$106,0))))</f>
        <v/>
      </c>
      <c r="O1456" s="6" t="n"/>
      <c r="P1456" s="6" t="n"/>
      <c r="Q1456" s="3">
        <f>IF($D1456="","",$C1456&amp;"|"&amp;COUNTIFS($C$7:$C1456,$C1456))</f>
        <v/>
      </c>
      <c r="R1456" s="3">
        <f>IF($D1456="","",UPPER(SUBSTITUTE(SUBSTITUTE(SUBSTITUTE(SUBSTITUTE(SUBSTITUTE(SUBSTITUTE(SUBSTITUTE(SUBSTITUTE(SUBSTITUTE(SUBSTITUTE(SUBSTITUTE(SUBSTITUTE(SUBSTITUTE(SUBSTITUTE(SUBSTITUTE(SUBSTITUTE(SUBSTITUTE(SUBSTITUTE(TRIM($D1456),"'",""),"İ","I"),"ı","I"),"i","I"),"Ş","S"),"ş","S"),"Ğ","G"),"ğ","G"),"Ü","U"),"ü","U"),"Ö","O"),"ö","O"),"Ç","C"),"ç","C"),".",""),",","")," ",""),"-","")))</f>
        <v/>
      </c>
      <c r="S1456" s="3">
        <f>IF($D1456="","",$C1456&amp;"|"&amp;TEXT($E1456,"0")&amp;"|"&amp;TEXT($F1456,"0")&amp;"|"&amp;$I1456)</f>
        <v/>
      </c>
      <c r="T1456" s="3">
        <f>IF($E1456="",0,SUMPRODUCT((AY_SONU!$O$7:$O$42="Evet")*(AY_SONU!$B$7:$B$42=DATE(YEAR($E1456),MONTH($E1456),1))))</f>
        <v/>
      </c>
    </row>
    <row r="1457">
      <c r="A1457" s="6" t="n"/>
      <c r="B1457" s="113">
        <f>IF($D1457="","","T"&amp;TEXT(ROW()-6,"00000"))</f>
        <v/>
      </c>
      <c r="C1457" s="113">
        <f>IF($D1457="","",IFERROR(INDEX(MUSTERILER!$B$7:$B$106,MATCH($R1457,MUSTERILER!$T$7:$T$106,0)),IFERROR(INDEX(MUSTERILER!$B$7:$B$106,MATCH($D1457,MUSTERILER!$B$7:$B$106,0)),IFERROR(INDEX(MUSTERILER!$B$7:$B$106,MATCH($R1457&amp;"*",MUSTERILER!$T$7:$T$106,0)),"TANIMSIZ MÜŞTERİ"))))</f>
        <v/>
      </c>
      <c r="D1457" s="109" t="n"/>
      <c r="E1457" s="220" t="n"/>
      <c r="F1457" s="221" t="n"/>
      <c r="G1457" s="108" t="n"/>
      <c r="H1457" s="108" t="n"/>
      <c r="I1457" s="109" t="n"/>
      <c r="J1457" s="109" t="n"/>
      <c r="K1457" s="109" t="n"/>
      <c r="L1457" s="226">
        <f>IF($E1457="","",DATE(YEAR($E1457),MONTH($E1457),1))</f>
        <v/>
      </c>
      <c r="M1457" s="113">
        <f>IF($D1457="","",IF($C1457="TANIMSIZ MÜŞTERİ","HATA",IF(OR($E1457="",$F1457&lt;=0,$G1457=""),"EKSİK",IF($E1457&gt;TODAY(),"İLERİ TARİH",IF(COUNTIF($S$7:$S$1506,$S1457)&gt;1,"MÜKERRER?",IF($T1457&gt;0,"KAPALI DÖNEM","UYGUN"))))))</f>
        <v/>
      </c>
      <c r="N1457" s="121">
        <f>IF($C1457="","",IF($C1457="TANIMSIZ MÜŞTERİ","—",INDEX(MUSTERILER!$C$7:$C$106,MATCH($C1457,MUSTERILER!$B$7:$B$106,0))))</f>
        <v/>
      </c>
      <c r="O1457" s="6" t="n"/>
      <c r="P1457" s="6" t="n"/>
      <c r="Q1457" s="3">
        <f>IF($D1457="","",$C1457&amp;"|"&amp;COUNTIFS($C$7:$C1457,$C1457))</f>
        <v/>
      </c>
      <c r="R1457" s="3">
        <f>IF($D1457="","",UPPER(SUBSTITUTE(SUBSTITUTE(SUBSTITUTE(SUBSTITUTE(SUBSTITUTE(SUBSTITUTE(SUBSTITUTE(SUBSTITUTE(SUBSTITUTE(SUBSTITUTE(SUBSTITUTE(SUBSTITUTE(SUBSTITUTE(SUBSTITUTE(SUBSTITUTE(SUBSTITUTE(SUBSTITUTE(SUBSTITUTE(TRIM($D1457),"'",""),"İ","I"),"ı","I"),"i","I"),"Ş","S"),"ş","S"),"Ğ","G"),"ğ","G"),"Ü","U"),"ü","U"),"Ö","O"),"ö","O"),"Ç","C"),"ç","C"),".",""),",","")," ",""),"-","")))</f>
        <v/>
      </c>
      <c r="S1457" s="3">
        <f>IF($D1457="","",$C1457&amp;"|"&amp;TEXT($E1457,"0")&amp;"|"&amp;TEXT($F1457,"0")&amp;"|"&amp;$I1457)</f>
        <v/>
      </c>
      <c r="T1457" s="3">
        <f>IF($E1457="",0,SUMPRODUCT((AY_SONU!$O$7:$O$42="Evet")*(AY_SONU!$B$7:$B$42=DATE(YEAR($E1457),MONTH($E1457),1))))</f>
        <v/>
      </c>
    </row>
    <row r="1458">
      <c r="A1458" s="6" t="n"/>
      <c r="B1458" s="113">
        <f>IF($D1458="","","T"&amp;TEXT(ROW()-6,"00000"))</f>
        <v/>
      </c>
      <c r="C1458" s="113">
        <f>IF($D1458="","",IFERROR(INDEX(MUSTERILER!$B$7:$B$106,MATCH($R1458,MUSTERILER!$T$7:$T$106,0)),IFERROR(INDEX(MUSTERILER!$B$7:$B$106,MATCH($D1458,MUSTERILER!$B$7:$B$106,0)),IFERROR(INDEX(MUSTERILER!$B$7:$B$106,MATCH($R1458&amp;"*",MUSTERILER!$T$7:$T$106,0)),"TANIMSIZ MÜŞTERİ"))))</f>
        <v/>
      </c>
      <c r="D1458" s="109" t="n"/>
      <c r="E1458" s="220" t="n"/>
      <c r="F1458" s="221" t="n"/>
      <c r="G1458" s="108" t="n"/>
      <c r="H1458" s="108" t="n"/>
      <c r="I1458" s="109" t="n"/>
      <c r="J1458" s="109" t="n"/>
      <c r="K1458" s="109" t="n"/>
      <c r="L1458" s="226">
        <f>IF($E1458="","",DATE(YEAR($E1458),MONTH($E1458),1))</f>
        <v/>
      </c>
      <c r="M1458" s="113">
        <f>IF($D1458="","",IF($C1458="TANIMSIZ MÜŞTERİ","HATA",IF(OR($E1458="",$F1458&lt;=0,$G1458=""),"EKSİK",IF($E1458&gt;TODAY(),"İLERİ TARİH",IF(COUNTIF($S$7:$S$1506,$S1458)&gt;1,"MÜKERRER?",IF($T1458&gt;0,"KAPALI DÖNEM","UYGUN"))))))</f>
        <v/>
      </c>
      <c r="N1458" s="121">
        <f>IF($C1458="","",IF($C1458="TANIMSIZ MÜŞTERİ","—",INDEX(MUSTERILER!$C$7:$C$106,MATCH($C1458,MUSTERILER!$B$7:$B$106,0))))</f>
        <v/>
      </c>
      <c r="O1458" s="6" t="n"/>
      <c r="P1458" s="6" t="n"/>
      <c r="Q1458" s="3">
        <f>IF($D1458="","",$C1458&amp;"|"&amp;COUNTIFS($C$7:$C1458,$C1458))</f>
        <v/>
      </c>
      <c r="R1458" s="3">
        <f>IF($D1458="","",UPPER(SUBSTITUTE(SUBSTITUTE(SUBSTITUTE(SUBSTITUTE(SUBSTITUTE(SUBSTITUTE(SUBSTITUTE(SUBSTITUTE(SUBSTITUTE(SUBSTITUTE(SUBSTITUTE(SUBSTITUTE(SUBSTITUTE(SUBSTITUTE(SUBSTITUTE(SUBSTITUTE(SUBSTITUTE(SUBSTITUTE(TRIM($D1458),"'",""),"İ","I"),"ı","I"),"i","I"),"Ş","S"),"ş","S"),"Ğ","G"),"ğ","G"),"Ü","U"),"ü","U"),"Ö","O"),"ö","O"),"Ç","C"),"ç","C"),".",""),",","")," ",""),"-","")))</f>
        <v/>
      </c>
      <c r="S1458" s="3">
        <f>IF($D1458="","",$C1458&amp;"|"&amp;TEXT($E1458,"0")&amp;"|"&amp;TEXT($F1458,"0")&amp;"|"&amp;$I1458)</f>
        <v/>
      </c>
      <c r="T1458" s="3">
        <f>IF($E1458="",0,SUMPRODUCT((AY_SONU!$O$7:$O$42="Evet")*(AY_SONU!$B$7:$B$42=DATE(YEAR($E1458),MONTH($E1458),1))))</f>
        <v/>
      </c>
    </row>
    <row r="1459">
      <c r="A1459" s="6" t="n"/>
      <c r="B1459" s="113">
        <f>IF($D1459="","","T"&amp;TEXT(ROW()-6,"00000"))</f>
        <v/>
      </c>
      <c r="C1459" s="113">
        <f>IF($D1459="","",IFERROR(INDEX(MUSTERILER!$B$7:$B$106,MATCH($R1459,MUSTERILER!$T$7:$T$106,0)),IFERROR(INDEX(MUSTERILER!$B$7:$B$106,MATCH($D1459,MUSTERILER!$B$7:$B$106,0)),IFERROR(INDEX(MUSTERILER!$B$7:$B$106,MATCH($R1459&amp;"*",MUSTERILER!$T$7:$T$106,0)),"TANIMSIZ MÜŞTERİ"))))</f>
        <v/>
      </c>
      <c r="D1459" s="109" t="n"/>
      <c r="E1459" s="220" t="n"/>
      <c r="F1459" s="221" t="n"/>
      <c r="G1459" s="108" t="n"/>
      <c r="H1459" s="108" t="n"/>
      <c r="I1459" s="109" t="n"/>
      <c r="J1459" s="109" t="n"/>
      <c r="K1459" s="109" t="n"/>
      <c r="L1459" s="226">
        <f>IF($E1459="","",DATE(YEAR($E1459),MONTH($E1459),1))</f>
        <v/>
      </c>
      <c r="M1459" s="113">
        <f>IF($D1459="","",IF($C1459="TANIMSIZ MÜŞTERİ","HATA",IF(OR($E1459="",$F1459&lt;=0,$G1459=""),"EKSİK",IF($E1459&gt;TODAY(),"İLERİ TARİH",IF(COUNTIF($S$7:$S$1506,$S1459)&gt;1,"MÜKERRER?",IF($T1459&gt;0,"KAPALI DÖNEM","UYGUN"))))))</f>
        <v/>
      </c>
      <c r="N1459" s="121">
        <f>IF($C1459="","",IF($C1459="TANIMSIZ MÜŞTERİ","—",INDEX(MUSTERILER!$C$7:$C$106,MATCH($C1459,MUSTERILER!$B$7:$B$106,0))))</f>
        <v/>
      </c>
      <c r="O1459" s="6" t="n"/>
      <c r="P1459" s="6" t="n"/>
      <c r="Q1459" s="3">
        <f>IF($D1459="","",$C1459&amp;"|"&amp;COUNTIFS($C$7:$C1459,$C1459))</f>
        <v/>
      </c>
      <c r="R1459" s="3">
        <f>IF($D1459="","",UPPER(SUBSTITUTE(SUBSTITUTE(SUBSTITUTE(SUBSTITUTE(SUBSTITUTE(SUBSTITUTE(SUBSTITUTE(SUBSTITUTE(SUBSTITUTE(SUBSTITUTE(SUBSTITUTE(SUBSTITUTE(SUBSTITUTE(SUBSTITUTE(SUBSTITUTE(SUBSTITUTE(SUBSTITUTE(SUBSTITUTE(TRIM($D1459),"'",""),"İ","I"),"ı","I"),"i","I"),"Ş","S"),"ş","S"),"Ğ","G"),"ğ","G"),"Ü","U"),"ü","U"),"Ö","O"),"ö","O"),"Ç","C"),"ç","C"),".",""),",","")," ",""),"-","")))</f>
        <v/>
      </c>
      <c r="S1459" s="3">
        <f>IF($D1459="","",$C1459&amp;"|"&amp;TEXT($E1459,"0")&amp;"|"&amp;TEXT($F1459,"0")&amp;"|"&amp;$I1459)</f>
        <v/>
      </c>
      <c r="T1459" s="3">
        <f>IF($E1459="",0,SUMPRODUCT((AY_SONU!$O$7:$O$42="Evet")*(AY_SONU!$B$7:$B$42=DATE(YEAR($E1459),MONTH($E1459),1))))</f>
        <v/>
      </c>
    </row>
    <row r="1460">
      <c r="A1460" s="6" t="n"/>
      <c r="B1460" s="113">
        <f>IF($D1460="","","T"&amp;TEXT(ROW()-6,"00000"))</f>
        <v/>
      </c>
      <c r="C1460" s="113">
        <f>IF($D1460="","",IFERROR(INDEX(MUSTERILER!$B$7:$B$106,MATCH($R1460,MUSTERILER!$T$7:$T$106,0)),IFERROR(INDEX(MUSTERILER!$B$7:$B$106,MATCH($D1460,MUSTERILER!$B$7:$B$106,0)),IFERROR(INDEX(MUSTERILER!$B$7:$B$106,MATCH($R1460&amp;"*",MUSTERILER!$T$7:$T$106,0)),"TANIMSIZ MÜŞTERİ"))))</f>
        <v/>
      </c>
      <c r="D1460" s="109" t="n"/>
      <c r="E1460" s="220" t="n"/>
      <c r="F1460" s="221" t="n"/>
      <c r="G1460" s="108" t="n"/>
      <c r="H1460" s="108" t="n"/>
      <c r="I1460" s="109" t="n"/>
      <c r="J1460" s="109" t="n"/>
      <c r="K1460" s="109" t="n"/>
      <c r="L1460" s="226">
        <f>IF($E1460="","",DATE(YEAR($E1460),MONTH($E1460),1))</f>
        <v/>
      </c>
      <c r="M1460" s="113">
        <f>IF($D1460="","",IF($C1460="TANIMSIZ MÜŞTERİ","HATA",IF(OR($E1460="",$F1460&lt;=0,$G1460=""),"EKSİK",IF($E1460&gt;TODAY(),"İLERİ TARİH",IF(COUNTIF($S$7:$S$1506,$S1460)&gt;1,"MÜKERRER?",IF($T1460&gt;0,"KAPALI DÖNEM","UYGUN"))))))</f>
        <v/>
      </c>
      <c r="N1460" s="121">
        <f>IF($C1460="","",IF($C1460="TANIMSIZ MÜŞTERİ","—",INDEX(MUSTERILER!$C$7:$C$106,MATCH($C1460,MUSTERILER!$B$7:$B$106,0))))</f>
        <v/>
      </c>
      <c r="O1460" s="6" t="n"/>
      <c r="P1460" s="6" t="n"/>
      <c r="Q1460" s="3">
        <f>IF($D1460="","",$C1460&amp;"|"&amp;COUNTIFS($C$7:$C1460,$C1460))</f>
        <v/>
      </c>
      <c r="R1460" s="3">
        <f>IF($D1460="","",UPPER(SUBSTITUTE(SUBSTITUTE(SUBSTITUTE(SUBSTITUTE(SUBSTITUTE(SUBSTITUTE(SUBSTITUTE(SUBSTITUTE(SUBSTITUTE(SUBSTITUTE(SUBSTITUTE(SUBSTITUTE(SUBSTITUTE(SUBSTITUTE(SUBSTITUTE(SUBSTITUTE(SUBSTITUTE(SUBSTITUTE(TRIM($D1460),"'",""),"İ","I"),"ı","I"),"i","I"),"Ş","S"),"ş","S"),"Ğ","G"),"ğ","G"),"Ü","U"),"ü","U"),"Ö","O"),"ö","O"),"Ç","C"),"ç","C"),".",""),",","")," ",""),"-","")))</f>
        <v/>
      </c>
      <c r="S1460" s="3">
        <f>IF($D1460="","",$C1460&amp;"|"&amp;TEXT($E1460,"0")&amp;"|"&amp;TEXT($F1460,"0")&amp;"|"&amp;$I1460)</f>
        <v/>
      </c>
      <c r="T1460" s="3">
        <f>IF($E1460="",0,SUMPRODUCT((AY_SONU!$O$7:$O$42="Evet")*(AY_SONU!$B$7:$B$42=DATE(YEAR($E1460),MONTH($E1460),1))))</f>
        <v/>
      </c>
    </row>
    <row r="1461">
      <c r="A1461" s="6" t="n"/>
      <c r="B1461" s="113">
        <f>IF($D1461="","","T"&amp;TEXT(ROW()-6,"00000"))</f>
        <v/>
      </c>
      <c r="C1461" s="113">
        <f>IF($D1461="","",IFERROR(INDEX(MUSTERILER!$B$7:$B$106,MATCH($R1461,MUSTERILER!$T$7:$T$106,0)),IFERROR(INDEX(MUSTERILER!$B$7:$B$106,MATCH($D1461,MUSTERILER!$B$7:$B$106,0)),IFERROR(INDEX(MUSTERILER!$B$7:$B$106,MATCH($R1461&amp;"*",MUSTERILER!$T$7:$T$106,0)),"TANIMSIZ MÜŞTERİ"))))</f>
        <v/>
      </c>
      <c r="D1461" s="109" t="n"/>
      <c r="E1461" s="220" t="n"/>
      <c r="F1461" s="221" t="n"/>
      <c r="G1461" s="108" t="n"/>
      <c r="H1461" s="108" t="n"/>
      <c r="I1461" s="109" t="n"/>
      <c r="J1461" s="109" t="n"/>
      <c r="K1461" s="109" t="n"/>
      <c r="L1461" s="226">
        <f>IF($E1461="","",DATE(YEAR($E1461),MONTH($E1461),1))</f>
        <v/>
      </c>
      <c r="M1461" s="113">
        <f>IF($D1461="","",IF($C1461="TANIMSIZ MÜŞTERİ","HATA",IF(OR($E1461="",$F1461&lt;=0,$G1461=""),"EKSİK",IF($E1461&gt;TODAY(),"İLERİ TARİH",IF(COUNTIF($S$7:$S$1506,$S1461)&gt;1,"MÜKERRER?",IF($T1461&gt;0,"KAPALI DÖNEM","UYGUN"))))))</f>
        <v/>
      </c>
      <c r="N1461" s="121">
        <f>IF($C1461="","",IF($C1461="TANIMSIZ MÜŞTERİ","—",INDEX(MUSTERILER!$C$7:$C$106,MATCH($C1461,MUSTERILER!$B$7:$B$106,0))))</f>
        <v/>
      </c>
      <c r="O1461" s="6" t="n"/>
      <c r="P1461" s="6" t="n"/>
      <c r="Q1461" s="3">
        <f>IF($D1461="","",$C1461&amp;"|"&amp;COUNTIFS($C$7:$C1461,$C1461))</f>
        <v/>
      </c>
      <c r="R1461" s="3">
        <f>IF($D1461="","",UPPER(SUBSTITUTE(SUBSTITUTE(SUBSTITUTE(SUBSTITUTE(SUBSTITUTE(SUBSTITUTE(SUBSTITUTE(SUBSTITUTE(SUBSTITUTE(SUBSTITUTE(SUBSTITUTE(SUBSTITUTE(SUBSTITUTE(SUBSTITUTE(SUBSTITUTE(SUBSTITUTE(SUBSTITUTE(SUBSTITUTE(TRIM($D1461),"'",""),"İ","I"),"ı","I"),"i","I"),"Ş","S"),"ş","S"),"Ğ","G"),"ğ","G"),"Ü","U"),"ü","U"),"Ö","O"),"ö","O"),"Ç","C"),"ç","C"),".",""),",","")," ",""),"-","")))</f>
        <v/>
      </c>
      <c r="S1461" s="3">
        <f>IF($D1461="","",$C1461&amp;"|"&amp;TEXT($E1461,"0")&amp;"|"&amp;TEXT($F1461,"0")&amp;"|"&amp;$I1461)</f>
        <v/>
      </c>
      <c r="T1461" s="3">
        <f>IF($E1461="",0,SUMPRODUCT((AY_SONU!$O$7:$O$42="Evet")*(AY_SONU!$B$7:$B$42=DATE(YEAR($E1461),MONTH($E1461),1))))</f>
        <v/>
      </c>
    </row>
    <row r="1462">
      <c r="A1462" s="6" t="n"/>
      <c r="B1462" s="113">
        <f>IF($D1462="","","T"&amp;TEXT(ROW()-6,"00000"))</f>
        <v/>
      </c>
      <c r="C1462" s="113">
        <f>IF($D1462="","",IFERROR(INDEX(MUSTERILER!$B$7:$B$106,MATCH($R1462,MUSTERILER!$T$7:$T$106,0)),IFERROR(INDEX(MUSTERILER!$B$7:$B$106,MATCH($D1462,MUSTERILER!$B$7:$B$106,0)),IFERROR(INDEX(MUSTERILER!$B$7:$B$106,MATCH($R1462&amp;"*",MUSTERILER!$T$7:$T$106,0)),"TANIMSIZ MÜŞTERİ"))))</f>
        <v/>
      </c>
      <c r="D1462" s="109" t="n"/>
      <c r="E1462" s="220" t="n"/>
      <c r="F1462" s="221" t="n"/>
      <c r="G1462" s="108" t="n"/>
      <c r="H1462" s="108" t="n"/>
      <c r="I1462" s="109" t="n"/>
      <c r="J1462" s="109" t="n"/>
      <c r="K1462" s="109" t="n"/>
      <c r="L1462" s="226">
        <f>IF($E1462="","",DATE(YEAR($E1462),MONTH($E1462),1))</f>
        <v/>
      </c>
      <c r="M1462" s="113">
        <f>IF($D1462="","",IF($C1462="TANIMSIZ MÜŞTERİ","HATA",IF(OR($E1462="",$F1462&lt;=0,$G1462=""),"EKSİK",IF($E1462&gt;TODAY(),"İLERİ TARİH",IF(COUNTIF($S$7:$S$1506,$S1462)&gt;1,"MÜKERRER?",IF($T1462&gt;0,"KAPALI DÖNEM","UYGUN"))))))</f>
        <v/>
      </c>
      <c r="N1462" s="121">
        <f>IF($C1462="","",IF($C1462="TANIMSIZ MÜŞTERİ","—",INDEX(MUSTERILER!$C$7:$C$106,MATCH($C1462,MUSTERILER!$B$7:$B$106,0))))</f>
        <v/>
      </c>
      <c r="O1462" s="6" t="n"/>
      <c r="P1462" s="6" t="n"/>
      <c r="Q1462" s="3">
        <f>IF($D1462="","",$C1462&amp;"|"&amp;COUNTIFS($C$7:$C1462,$C1462))</f>
        <v/>
      </c>
      <c r="R1462" s="3">
        <f>IF($D1462="","",UPPER(SUBSTITUTE(SUBSTITUTE(SUBSTITUTE(SUBSTITUTE(SUBSTITUTE(SUBSTITUTE(SUBSTITUTE(SUBSTITUTE(SUBSTITUTE(SUBSTITUTE(SUBSTITUTE(SUBSTITUTE(SUBSTITUTE(SUBSTITUTE(SUBSTITUTE(SUBSTITUTE(SUBSTITUTE(SUBSTITUTE(TRIM($D1462),"'",""),"İ","I"),"ı","I"),"i","I"),"Ş","S"),"ş","S"),"Ğ","G"),"ğ","G"),"Ü","U"),"ü","U"),"Ö","O"),"ö","O"),"Ç","C"),"ç","C"),".",""),",","")," ",""),"-","")))</f>
        <v/>
      </c>
      <c r="S1462" s="3">
        <f>IF($D1462="","",$C1462&amp;"|"&amp;TEXT($E1462,"0")&amp;"|"&amp;TEXT($F1462,"0")&amp;"|"&amp;$I1462)</f>
        <v/>
      </c>
      <c r="T1462" s="3">
        <f>IF($E1462="",0,SUMPRODUCT((AY_SONU!$O$7:$O$42="Evet")*(AY_SONU!$B$7:$B$42=DATE(YEAR($E1462),MONTH($E1462),1))))</f>
        <v/>
      </c>
    </row>
    <row r="1463">
      <c r="A1463" s="6" t="n"/>
      <c r="B1463" s="113">
        <f>IF($D1463="","","T"&amp;TEXT(ROW()-6,"00000"))</f>
        <v/>
      </c>
      <c r="C1463" s="113">
        <f>IF($D1463="","",IFERROR(INDEX(MUSTERILER!$B$7:$B$106,MATCH($R1463,MUSTERILER!$T$7:$T$106,0)),IFERROR(INDEX(MUSTERILER!$B$7:$B$106,MATCH($D1463,MUSTERILER!$B$7:$B$106,0)),IFERROR(INDEX(MUSTERILER!$B$7:$B$106,MATCH($R1463&amp;"*",MUSTERILER!$T$7:$T$106,0)),"TANIMSIZ MÜŞTERİ"))))</f>
        <v/>
      </c>
      <c r="D1463" s="109" t="n"/>
      <c r="E1463" s="220" t="n"/>
      <c r="F1463" s="221" t="n"/>
      <c r="G1463" s="108" t="n"/>
      <c r="H1463" s="108" t="n"/>
      <c r="I1463" s="109" t="n"/>
      <c r="J1463" s="109" t="n"/>
      <c r="K1463" s="109" t="n"/>
      <c r="L1463" s="226">
        <f>IF($E1463="","",DATE(YEAR($E1463),MONTH($E1463),1))</f>
        <v/>
      </c>
      <c r="M1463" s="113">
        <f>IF($D1463="","",IF($C1463="TANIMSIZ MÜŞTERİ","HATA",IF(OR($E1463="",$F1463&lt;=0,$G1463=""),"EKSİK",IF($E1463&gt;TODAY(),"İLERİ TARİH",IF(COUNTIF($S$7:$S$1506,$S1463)&gt;1,"MÜKERRER?",IF($T1463&gt;0,"KAPALI DÖNEM","UYGUN"))))))</f>
        <v/>
      </c>
      <c r="N1463" s="121">
        <f>IF($C1463="","",IF($C1463="TANIMSIZ MÜŞTERİ","—",INDEX(MUSTERILER!$C$7:$C$106,MATCH($C1463,MUSTERILER!$B$7:$B$106,0))))</f>
        <v/>
      </c>
      <c r="O1463" s="6" t="n"/>
      <c r="P1463" s="6" t="n"/>
      <c r="Q1463" s="3">
        <f>IF($D1463="","",$C1463&amp;"|"&amp;COUNTIFS($C$7:$C1463,$C1463))</f>
        <v/>
      </c>
      <c r="R1463" s="3">
        <f>IF($D1463="","",UPPER(SUBSTITUTE(SUBSTITUTE(SUBSTITUTE(SUBSTITUTE(SUBSTITUTE(SUBSTITUTE(SUBSTITUTE(SUBSTITUTE(SUBSTITUTE(SUBSTITUTE(SUBSTITUTE(SUBSTITUTE(SUBSTITUTE(SUBSTITUTE(SUBSTITUTE(SUBSTITUTE(SUBSTITUTE(SUBSTITUTE(TRIM($D1463),"'",""),"İ","I"),"ı","I"),"i","I"),"Ş","S"),"ş","S"),"Ğ","G"),"ğ","G"),"Ü","U"),"ü","U"),"Ö","O"),"ö","O"),"Ç","C"),"ç","C"),".",""),",","")," ",""),"-","")))</f>
        <v/>
      </c>
      <c r="S1463" s="3">
        <f>IF($D1463="","",$C1463&amp;"|"&amp;TEXT($E1463,"0")&amp;"|"&amp;TEXT($F1463,"0")&amp;"|"&amp;$I1463)</f>
        <v/>
      </c>
      <c r="T1463" s="3">
        <f>IF($E1463="",0,SUMPRODUCT((AY_SONU!$O$7:$O$42="Evet")*(AY_SONU!$B$7:$B$42=DATE(YEAR($E1463),MONTH($E1463),1))))</f>
        <v/>
      </c>
    </row>
    <row r="1464">
      <c r="A1464" s="6" t="n"/>
      <c r="B1464" s="113">
        <f>IF($D1464="","","T"&amp;TEXT(ROW()-6,"00000"))</f>
        <v/>
      </c>
      <c r="C1464" s="113">
        <f>IF($D1464="","",IFERROR(INDEX(MUSTERILER!$B$7:$B$106,MATCH($R1464,MUSTERILER!$T$7:$T$106,0)),IFERROR(INDEX(MUSTERILER!$B$7:$B$106,MATCH($D1464,MUSTERILER!$B$7:$B$106,0)),IFERROR(INDEX(MUSTERILER!$B$7:$B$106,MATCH($R1464&amp;"*",MUSTERILER!$T$7:$T$106,0)),"TANIMSIZ MÜŞTERİ"))))</f>
        <v/>
      </c>
      <c r="D1464" s="109" t="n"/>
      <c r="E1464" s="220" t="n"/>
      <c r="F1464" s="221" t="n"/>
      <c r="G1464" s="108" t="n"/>
      <c r="H1464" s="108" t="n"/>
      <c r="I1464" s="109" t="n"/>
      <c r="J1464" s="109" t="n"/>
      <c r="K1464" s="109" t="n"/>
      <c r="L1464" s="226">
        <f>IF($E1464="","",DATE(YEAR($E1464),MONTH($E1464),1))</f>
        <v/>
      </c>
      <c r="M1464" s="113">
        <f>IF($D1464="","",IF($C1464="TANIMSIZ MÜŞTERİ","HATA",IF(OR($E1464="",$F1464&lt;=0,$G1464=""),"EKSİK",IF($E1464&gt;TODAY(),"İLERİ TARİH",IF(COUNTIF($S$7:$S$1506,$S1464)&gt;1,"MÜKERRER?",IF($T1464&gt;0,"KAPALI DÖNEM","UYGUN"))))))</f>
        <v/>
      </c>
      <c r="N1464" s="121">
        <f>IF($C1464="","",IF($C1464="TANIMSIZ MÜŞTERİ","—",INDEX(MUSTERILER!$C$7:$C$106,MATCH($C1464,MUSTERILER!$B$7:$B$106,0))))</f>
        <v/>
      </c>
      <c r="O1464" s="6" t="n"/>
      <c r="P1464" s="6" t="n"/>
      <c r="Q1464" s="3">
        <f>IF($D1464="","",$C1464&amp;"|"&amp;COUNTIFS($C$7:$C1464,$C1464))</f>
        <v/>
      </c>
      <c r="R1464" s="3">
        <f>IF($D1464="","",UPPER(SUBSTITUTE(SUBSTITUTE(SUBSTITUTE(SUBSTITUTE(SUBSTITUTE(SUBSTITUTE(SUBSTITUTE(SUBSTITUTE(SUBSTITUTE(SUBSTITUTE(SUBSTITUTE(SUBSTITUTE(SUBSTITUTE(SUBSTITUTE(SUBSTITUTE(SUBSTITUTE(SUBSTITUTE(SUBSTITUTE(TRIM($D1464),"'",""),"İ","I"),"ı","I"),"i","I"),"Ş","S"),"ş","S"),"Ğ","G"),"ğ","G"),"Ü","U"),"ü","U"),"Ö","O"),"ö","O"),"Ç","C"),"ç","C"),".",""),",","")," ",""),"-","")))</f>
        <v/>
      </c>
      <c r="S1464" s="3">
        <f>IF($D1464="","",$C1464&amp;"|"&amp;TEXT($E1464,"0")&amp;"|"&amp;TEXT($F1464,"0")&amp;"|"&amp;$I1464)</f>
        <v/>
      </c>
      <c r="T1464" s="3">
        <f>IF($E1464="",0,SUMPRODUCT((AY_SONU!$O$7:$O$42="Evet")*(AY_SONU!$B$7:$B$42=DATE(YEAR($E1464),MONTH($E1464),1))))</f>
        <v/>
      </c>
    </row>
    <row r="1465">
      <c r="A1465" s="6" t="n"/>
      <c r="B1465" s="113">
        <f>IF($D1465="","","T"&amp;TEXT(ROW()-6,"00000"))</f>
        <v/>
      </c>
      <c r="C1465" s="113">
        <f>IF($D1465="","",IFERROR(INDEX(MUSTERILER!$B$7:$B$106,MATCH($R1465,MUSTERILER!$T$7:$T$106,0)),IFERROR(INDEX(MUSTERILER!$B$7:$B$106,MATCH($D1465,MUSTERILER!$B$7:$B$106,0)),IFERROR(INDEX(MUSTERILER!$B$7:$B$106,MATCH($R1465&amp;"*",MUSTERILER!$T$7:$T$106,0)),"TANIMSIZ MÜŞTERİ"))))</f>
        <v/>
      </c>
      <c r="D1465" s="109" t="n"/>
      <c r="E1465" s="220" t="n"/>
      <c r="F1465" s="221" t="n"/>
      <c r="G1465" s="108" t="n"/>
      <c r="H1465" s="108" t="n"/>
      <c r="I1465" s="109" t="n"/>
      <c r="J1465" s="109" t="n"/>
      <c r="K1465" s="109" t="n"/>
      <c r="L1465" s="226">
        <f>IF($E1465="","",DATE(YEAR($E1465),MONTH($E1465),1))</f>
        <v/>
      </c>
      <c r="M1465" s="113">
        <f>IF($D1465="","",IF($C1465="TANIMSIZ MÜŞTERİ","HATA",IF(OR($E1465="",$F1465&lt;=0,$G1465=""),"EKSİK",IF($E1465&gt;TODAY(),"İLERİ TARİH",IF(COUNTIF($S$7:$S$1506,$S1465)&gt;1,"MÜKERRER?",IF($T1465&gt;0,"KAPALI DÖNEM","UYGUN"))))))</f>
        <v/>
      </c>
      <c r="N1465" s="121">
        <f>IF($C1465="","",IF($C1465="TANIMSIZ MÜŞTERİ","—",INDEX(MUSTERILER!$C$7:$C$106,MATCH($C1465,MUSTERILER!$B$7:$B$106,0))))</f>
        <v/>
      </c>
      <c r="O1465" s="6" t="n"/>
      <c r="P1465" s="6" t="n"/>
      <c r="Q1465" s="3">
        <f>IF($D1465="","",$C1465&amp;"|"&amp;COUNTIFS($C$7:$C1465,$C1465))</f>
        <v/>
      </c>
      <c r="R1465" s="3">
        <f>IF($D1465="","",UPPER(SUBSTITUTE(SUBSTITUTE(SUBSTITUTE(SUBSTITUTE(SUBSTITUTE(SUBSTITUTE(SUBSTITUTE(SUBSTITUTE(SUBSTITUTE(SUBSTITUTE(SUBSTITUTE(SUBSTITUTE(SUBSTITUTE(SUBSTITUTE(SUBSTITUTE(SUBSTITUTE(SUBSTITUTE(SUBSTITUTE(TRIM($D1465),"'",""),"İ","I"),"ı","I"),"i","I"),"Ş","S"),"ş","S"),"Ğ","G"),"ğ","G"),"Ü","U"),"ü","U"),"Ö","O"),"ö","O"),"Ç","C"),"ç","C"),".",""),",","")," ",""),"-","")))</f>
        <v/>
      </c>
      <c r="S1465" s="3">
        <f>IF($D1465="","",$C1465&amp;"|"&amp;TEXT($E1465,"0")&amp;"|"&amp;TEXT($F1465,"0")&amp;"|"&amp;$I1465)</f>
        <v/>
      </c>
      <c r="T1465" s="3">
        <f>IF($E1465="",0,SUMPRODUCT((AY_SONU!$O$7:$O$42="Evet")*(AY_SONU!$B$7:$B$42=DATE(YEAR($E1465),MONTH($E1465),1))))</f>
        <v/>
      </c>
    </row>
    <row r="1466">
      <c r="A1466" s="6" t="n"/>
      <c r="B1466" s="113">
        <f>IF($D1466="","","T"&amp;TEXT(ROW()-6,"00000"))</f>
        <v/>
      </c>
      <c r="C1466" s="113">
        <f>IF($D1466="","",IFERROR(INDEX(MUSTERILER!$B$7:$B$106,MATCH($R1466,MUSTERILER!$T$7:$T$106,0)),IFERROR(INDEX(MUSTERILER!$B$7:$B$106,MATCH($D1466,MUSTERILER!$B$7:$B$106,0)),IFERROR(INDEX(MUSTERILER!$B$7:$B$106,MATCH($R1466&amp;"*",MUSTERILER!$T$7:$T$106,0)),"TANIMSIZ MÜŞTERİ"))))</f>
        <v/>
      </c>
      <c r="D1466" s="109" t="n"/>
      <c r="E1466" s="220" t="n"/>
      <c r="F1466" s="221" t="n"/>
      <c r="G1466" s="108" t="n"/>
      <c r="H1466" s="108" t="n"/>
      <c r="I1466" s="109" t="n"/>
      <c r="J1466" s="109" t="n"/>
      <c r="K1466" s="109" t="n"/>
      <c r="L1466" s="226">
        <f>IF($E1466="","",DATE(YEAR($E1466),MONTH($E1466),1))</f>
        <v/>
      </c>
      <c r="M1466" s="113">
        <f>IF($D1466="","",IF($C1466="TANIMSIZ MÜŞTERİ","HATA",IF(OR($E1466="",$F1466&lt;=0,$G1466=""),"EKSİK",IF($E1466&gt;TODAY(),"İLERİ TARİH",IF(COUNTIF($S$7:$S$1506,$S1466)&gt;1,"MÜKERRER?",IF($T1466&gt;0,"KAPALI DÖNEM","UYGUN"))))))</f>
        <v/>
      </c>
      <c r="N1466" s="121">
        <f>IF($C1466="","",IF($C1466="TANIMSIZ MÜŞTERİ","—",INDEX(MUSTERILER!$C$7:$C$106,MATCH($C1466,MUSTERILER!$B$7:$B$106,0))))</f>
        <v/>
      </c>
      <c r="O1466" s="6" t="n"/>
      <c r="P1466" s="6" t="n"/>
      <c r="Q1466" s="3">
        <f>IF($D1466="","",$C1466&amp;"|"&amp;COUNTIFS($C$7:$C1466,$C1466))</f>
        <v/>
      </c>
      <c r="R1466" s="3">
        <f>IF($D1466="","",UPPER(SUBSTITUTE(SUBSTITUTE(SUBSTITUTE(SUBSTITUTE(SUBSTITUTE(SUBSTITUTE(SUBSTITUTE(SUBSTITUTE(SUBSTITUTE(SUBSTITUTE(SUBSTITUTE(SUBSTITUTE(SUBSTITUTE(SUBSTITUTE(SUBSTITUTE(SUBSTITUTE(SUBSTITUTE(SUBSTITUTE(TRIM($D1466),"'",""),"İ","I"),"ı","I"),"i","I"),"Ş","S"),"ş","S"),"Ğ","G"),"ğ","G"),"Ü","U"),"ü","U"),"Ö","O"),"ö","O"),"Ç","C"),"ç","C"),".",""),",","")," ",""),"-","")))</f>
        <v/>
      </c>
      <c r="S1466" s="3">
        <f>IF($D1466="","",$C1466&amp;"|"&amp;TEXT($E1466,"0")&amp;"|"&amp;TEXT($F1466,"0")&amp;"|"&amp;$I1466)</f>
        <v/>
      </c>
      <c r="T1466" s="3">
        <f>IF($E1466="",0,SUMPRODUCT((AY_SONU!$O$7:$O$42="Evet")*(AY_SONU!$B$7:$B$42=DATE(YEAR($E1466),MONTH($E1466),1))))</f>
        <v/>
      </c>
    </row>
    <row r="1467">
      <c r="A1467" s="6" t="n"/>
      <c r="B1467" s="113">
        <f>IF($D1467="","","T"&amp;TEXT(ROW()-6,"00000"))</f>
        <v/>
      </c>
      <c r="C1467" s="113">
        <f>IF($D1467="","",IFERROR(INDEX(MUSTERILER!$B$7:$B$106,MATCH($R1467,MUSTERILER!$T$7:$T$106,0)),IFERROR(INDEX(MUSTERILER!$B$7:$B$106,MATCH($D1467,MUSTERILER!$B$7:$B$106,0)),IFERROR(INDEX(MUSTERILER!$B$7:$B$106,MATCH($R1467&amp;"*",MUSTERILER!$T$7:$T$106,0)),"TANIMSIZ MÜŞTERİ"))))</f>
        <v/>
      </c>
      <c r="D1467" s="109" t="n"/>
      <c r="E1467" s="220" t="n"/>
      <c r="F1467" s="221" t="n"/>
      <c r="G1467" s="108" t="n"/>
      <c r="H1467" s="108" t="n"/>
      <c r="I1467" s="109" t="n"/>
      <c r="J1467" s="109" t="n"/>
      <c r="K1467" s="109" t="n"/>
      <c r="L1467" s="226">
        <f>IF($E1467="","",DATE(YEAR($E1467),MONTH($E1467),1))</f>
        <v/>
      </c>
      <c r="M1467" s="113">
        <f>IF($D1467="","",IF($C1467="TANIMSIZ MÜŞTERİ","HATA",IF(OR($E1467="",$F1467&lt;=0,$G1467=""),"EKSİK",IF($E1467&gt;TODAY(),"İLERİ TARİH",IF(COUNTIF($S$7:$S$1506,$S1467)&gt;1,"MÜKERRER?",IF($T1467&gt;0,"KAPALI DÖNEM","UYGUN"))))))</f>
        <v/>
      </c>
      <c r="N1467" s="121">
        <f>IF($C1467="","",IF($C1467="TANIMSIZ MÜŞTERİ","—",INDEX(MUSTERILER!$C$7:$C$106,MATCH($C1467,MUSTERILER!$B$7:$B$106,0))))</f>
        <v/>
      </c>
      <c r="O1467" s="6" t="n"/>
      <c r="P1467" s="6" t="n"/>
      <c r="Q1467" s="3">
        <f>IF($D1467="","",$C1467&amp;"|"&amp;COUNTIFS($C$7:$C1467,$C1467))</f>
        <v/>
      </c>
      <c r="R1467" s="3">
        <f>IF($D1467="","",UPPER(SUBSTITUTE(SUBSTITUTE(SUBSTITUTE(SUBSTITUTE(SUBSTITUTE(SUBSTITUTE(SUBSTITUTE(SUBSTITUTE(SUBSTITUTE(SUBSTITUTE(SUBSTITUTE(SUBSTITUTE(SUBSTITUTE(SUBSTITUTE(SUBSTITUTE(SUBSTITUTE(SUBSTITUTE(SUBSTITUTE(TRIM($D1467),"'",""),"İ","I"),"ı","I"),"i","I"),"Ş","S"),"ş","S"),"Ğ","G"),"ğ","G"),"Ü","U"),"ü","U"),"Ö","O"),"ö","O"),"Ç","C"),"ç","C"),".",""),",","")," ",""),"-","")))</f>
        <v/>
      </c>
      <c r="S1467" s="3">
        <f>IF($D1467="","",$C1467&amp;"|"&amp;TEXT($E1467,"0")&amp;"|"&amp;TEXT($F1467,"0")&amp;"|"&amp;$I1467)</f>
        <v/>
      </c>
      <c r="T1467" s="3">
        <f>IF($E1467="",0,SUMPRODUCT((AY_SONU!$O$7:$O$42="Evet")*(AY_SONU!$B$7:$B$42=DATE(YEAR($E1467),MONTH($E1467),1))))</f>
        <v/>
      </c>
    </row>
    <row r="1468">
      <c r="A1468" s="6" t="n"/>
      <c r="B1468" s="113">
        <f>IF($D1468="","","T"&amp;TEXT(ROW()-6,"00000"))</f>
        <v/>
      </c>
      <c r="C1468" s="113">
        <f>IF($D1468="","",IFERROR(INDEX(MUSTERILER!$B$7:$B$106,MATCH($R1468,MUSTERILER!$T$7:$T$106,0)),IFERROR(INDEX(MUSTERILER!$B$7:$B$106,MATCH($D1468,MUSTERILER!$B$7:$B$106,0)),IFERROR(INDEX(MUSTERILER!$B$7:$B$106,MATCH($R1468&amp;"*",MUSTERILER!$T$7:$T$106,0)),"TANIMSIZ MÜŞTERİ"))))</f>
        <v/>
      </c>
      <c r="D1468" s="109" t="n"/>
      <c r="E1468" s="220" t="n"/>
      <c r="F1468" s="221" t="n"/>
      <c r="G1468" s="108" t="n"/>
      <c r="H1468" s="108" t="n"/>
      <c r="I1468" s="109" t="n"/>
      <c r="J1468" s="109" t="n"/>
      <c r="K1468" s="109" t="n"/>
      <c r="L1468" s="226">
        <f>IF($E1468="","",DATE(YEAR($E1468),MONTH($E1468),1))</f>
        <v/>
      </c>
      <c r="M1468" s="113">
        <f>IF($D1468="","",IF($C1468="TANIMSIZ MÜŞTERİ","HATA",IF(OR($E1468="",$F1468&lt;=0,$G1468=""),"EKSİK",IF($E1468&gt;TODAY(),"İLERİ TARİH",IF(COUNTIF($S$7:$S$1506,$S1468)&gt;1,"MÜKERRER?",IF($T1468&gt;0,"KAPALI DÖNEM","UYGUN"))))))</f>
        <v/>
      </c>
      <c r="N1468" s="121">
        <f>IF($C1468="","",IF($C1468="TANIMSIZ MÜŞTERİ","—",INDEX(MUSTERILER!$C$7:$C$106,MATCH($C1468,MUSTERILER!$B$7:$B$106,0))))</f>
        <v/>
      </c>
      <c r="O1468" s="6" t="n"/>
      <c r="P1468" s="6" t="n"/>
      <c r="Q1468" s="3">
        <f>IF($D1468="","",$C1468&amp;"|"&amp;COUNTIFS($C$7:$C1468,$C1468))</f>
        <v/>
      </c>
      <c r="R1468" s="3">
        <f>IF($D1468="","",UPPER(SUBSTITUTE(SUBSTITUTE(SUBSTITUTE(SUBSTITUTE(SUBSTITUTE(SUBSTITUTE(SUBSTITUTE(SUBSTITUTE(SUBSTITUTE(SUBSTITUTE(SUBSTITUTE(SUBSTITUTE(SUBSTITUTE(SUBSTITUTE(SUBSTITUTE(SUBSTITUTE(SUBSTITUTE(SUBSTITUTE(TRIM($D1468),"'",""),"İ","I"),"ı","I"),"i","I"),"Ş","S"),"ş","S"),"Ğ","G"),"ğ","G"),"Ü","U"),"ü","U"),"Ö","O"),"ö","O"),"Ç","C"),"ç","C"),".",""),",","")," ",""),"-","")))</f>
        <v/>
      </c>
      <c r="S1468" s="3">
        <f>IF($D1468="","",$C1468&amp;"|"&amp;TEXT($E1468,"0")&amp;"|"&amp;TEXT($F1468,"0")&amp;"|"&amp;$I1468)</f>
        <v/>
      </c>
      <c r="T1468" s="3">
        <f>IF($E1468="",0,SUMPRODUCT((AY_SONU!$O$7:$O$42="Evet")*(AY_SONU!$B$7:$B$42=DATE(YEAR($E1468),MONTH($E1468),1))))</f>
        <v/>
      </c>
    </row>
    <row r="1469">
      <c r="A1469" s="6" t="n"/>
      <c r="B1469" s="113">
        <f>IF($D1469="","","T"&amp;TEXT(ROW()-6,"00000"))</f>
        <v/>
      </c>
      <c r="C1469" s="113">
        <f>IF($D1469="","",IFERROR(INDEX(MUSTERILER!$B$7:$B$106,MATCH($R1469,MUSTERILER!$T$7:$T$106,0)),IFERROR(INDEX(MUSTERILER!$B$7:$B$106,MATCH($D1469,MUSTERILER!$B$7:$B$106,0)),IFERROR(INDEX(MUSTERILER!$B$7:$B$106,MATCH($R1469&amp;"*",MUSTERILER!$T$7:$T$106,0)),"TANIMSIZ MÜŞTERİ"))))</f>
        <v/>
      </c>
      <c r="D1469" s="109" t="n"/>
      <c r="E1469" s="220" t="n"/>
      <c r="F1469" s="221" t="n"/>
      <c r="G1469" s="108" t="n"/>
      <c r="H1469" s="108" t="n"/>
      <c r="I1469" s="109" t="n"/>
      <c r="J1469" s="109" t="n"/>
      <c r="K1469" s="109" t="n"/>
      <c r="L1469" s="226">
        <f>IF($E1469="","",DATE(YEAR($E1469),MONTH($E1469),1))</f>
        <v/>
      </c>
      <c r="M1469" s="113">
        <f>IF($D1469="","",IF($C1469="TANIMSIZ MÜŞTERİ","HATA",IF(OR($E1469="",$F1469&lt;=0,$G1469=""),"EKSİK",IF($E1469&gt;TODAY(),"İLERİ TARİH",IF(COUNTIF($S$7:$S$1506,$S1469)&gt;1,"MÜKERRER?",IF($T1469&gt;0,"KAPALI DÖNEM","UYGUN"))))))</f>
        <v/>
      </c>
      <c r="N1469" s="121">
        <f>IF($C1469="","",IF($C1469="TANIMSIZ MÜŞTERİ","—",INDEX(MUSTERILER!$C$7:$C$106,MATCH($C1469,MUSTERILER!$B$7:$B$106,0))))</f>
        <v/>
      </c>
      <c r="O1469" s="6" t="n"/>
      <c r="P1469" s="6" t="n"/>
      <c r="Q1469" s="3">
        <f>IF($D1469="","",$C1469&amp;"|"&amp;COUNTIFS($C$7:$C1469,$C1469))</f>
        <v/>
      </c>
      <c r="R1469" s="3">
        <f>IF($D1469="","",UPPER(SUBSTITUTE(SUBSTITUTE(SUBSTITUTE(SUBSTITUTE(SUBSTITUTE(SUBSTITUTE(SUBSTITUTE(SUBSTITUTE(SUBSTITUTE(SUBSTITUTE(SUBSTITUTE(SUBSTITUTE(SUBSTITUTE(SUBSTITUTE(SUBSTITUTE(SUBSTITUTE(SUBSTITUTE(SUBSTITUTE(TRIM($D1469),"'",""),"İ","I"),"ı","I"),"i","I"),"Ş","S"),"ş","S"),"Ğ","G"),"ğ","G"),"Ü","U"),"ü","U"),"Ö","O"),"ö","O"),"Ç","C"),"ç","C"),".",""),",","")," ",""),"-","")))</f>
        <v/>
      </c>
      <c r="S1469" s="3">
        <f>IF($D1469="","",$C1469&amp;"|"&amp;TEXT($E1469,"0")&amp;"|"&amp;TEXT($F1469,"0")&amp;"|"&amp;$I1469)</f>
        <v/>
      </c>
      <c r="T1469" s="3">
        <f>IF($E1469="",0,SUMPRODUCT((AY_SONU!$O$7:$O$42="Evet")*(AY_SONU!$B$7:$B$42=DATE(YEAR($E1469),MONTH($E1469),1))))</f>
        <v/>
      </c>
    </row>
    <row r="1470">
      <c r="A1470" s="6" t="n"/>
      <c r="B1470" s="113">
        <f>IF($D1470="","","T"&amp;TEXT(ROW()-6,"00000"))</f>
        <v/>
      </c>
      <c r="C1470" s="113">
        <f>IF($D1470="","",IFERROR(INDEX(MUSTERILER!$B$7:$B$106,MATCH($R1470,MUSTERILER!$T$7:$T$106,0)),IFERROR(INDEX(MUSTERILER!$B$7:$B$106,MATCH($D1470,MUSTERILER!$B$7:$B$106,0)),IFERROR(INDEX(MUSTERILER!$B$7:$B$106,MATCH($R1470&amp;"*",MUSTERILER!$T$7:$T$106,0)),"TANIMSIZ MÜŞTERİ"))))</f>
        <v/>
      </c>
      <c r="D1470" s="109" t="n"/>
      <c r="E1470" s="220" t="n"/>
      <c r="F1470" s="221" t="n"/>
      <c r="G1470" s="108" t="n"/>
      <c r="H1470" s="108" t="n"/>
      <c r="I1470" s="109" t="n"/>
      <c r="J1470" s="109" t="n"/>
      <c r="K1470" s="109" t="n"/>
      <c r="L1470" s="226">
        <f>IF($E1470="","",DATE(YEAR($E1470),MONTH($E1470),1))</f>
        <v/>
      </c>
      <c r="M1470" s="113">
        <f>IF($D1470="","",IF($C1470="TANIMSIZ MÜŞTERİ","HATA",IF(OR($E1470="",$F1470&lt;=0,$G1470=""),"EKSİK",IF($E1470&gt;TODAY(),"İLERİ TARİH",IF(COUNTIF($S$7:$S$1506,$S1470)&gt;1,"MÜKERRER?",IF($T1470&gt;0,"KAPALI DÖNEM","UYGUN"))))))</f>
        <v/>
      </c>
      <c r="N1470" s="121">
        <f>IF($C1470="","",IF($C1470="TANIMSIZ MÜŞTERİ","—",INDEX(MUSTERILER!$C$7:$C$106,MATCH($C1470,MUSTERILER!$B$7:$B$106,0))))</f>
        <v/>
      </c>
      <c r="O1470" s="6" t="n"/>
      <c r="P1470" s="6" t="n"/>
      <c r="Q1470" s="3">
        <f>IF($D1470="","",$C1470&amp;"|"&amp;COUNTIFS($C$7:$C1470,$C1470))</f>
        <v/>
      </c>
      <c r="R1470" s="3">
        <f>IF($D1470="","",UPPER(SUBSTITUTE(SUBSTITUTE(SUBSTITUTE(SUBSTITUTE(SUBSTITUTE(SUBSTITUTE(SUBSTITUTE(SUBSTITUTE(SUBSTITUTE(SUBSTITUTE(SUBSTITUTE(SUBSTITUTE(SUBSTITUTE(SUBSTITUTE(SUBSTITUTE(SUBSTITUTE(SUBSTITUTE(SUBSTITUTE(TRIM($D1470),"'",""),"İ","I"),"ı","I"),"i","I"),"Ş","S"),"ş","S"),"Ğ","G"),"ğ","G"),"Ü","U"),"ü","U"),"Ö","O"),"ö","O"),"Ç","C"),"ç","C"),".",""),",","")," ",""),"-","")))</f>
        <v/>
      </c>
      <c r="S1470" s="3">
        <f>IF($D1470="","",$C1470&amp;"|"&amp;TEXT($E1470,"0")&amp;"|"&amp;TEXT($F1470,"0")&amp;"|"&amp;$I1470)</f>
        <v/>
      </c>
      <c r="T1470" s="3">
        <f>IF($E1470="",0,SUMPRODUCT((AY_SONU!$O$7:$O$42="Evet")*(AY_SONU!$B$7:$B$42=DATE(YEAR($E1470),MONTH($E1470),1))))</f>
        <v/>
      </c>
    </row>
    <row r="1471">
      <c r="A1471" s="6" t="n"/>
      <c r="B1471" s="113">
        <f>IF($D1471="","","T"&amp;TEXT(ROW()-6,"00000"))</f>
        <v/>
      </c>
      <c r="C1471" s="113">
        <f>IF($D1471="","",IFERROR(INDEX(MUSTERILER!$B$7:$B$106,MATCH($R1471,MUSTERILER!$T$7:$T$106,0)),IFERROR(INDEX(MUSTERILER!$B$7:$B$106,MATCH($D1471,MUSTERILER!$B$7:$B$106,0)),IFERROR(INDEX(MUSTERILER!$B$7:$B$106,MATCH($R1471&amp;"*",MUSTERILER!$T$7:$T$106,0)),"TANIMSIZ MÜŞTERİ"))))</f>
        <v/>
      </c>
      <c r="D1471" s="109" t="n"/>
      <c r="E1471" s="220" t="n"/>
      <c r="F1471" s="221" t="n"/>
      <c r="G1471" s="108" t="n"/>
      <c r="H1471" s="108" t="n"/>
      <c r="I1471" s="109" t="n"/>
      <c r="J1471" s="109" t="n"/>
      <c r="K1471" s="109" t="n"/>
      <c r="L1471" s="226">
        <f>IF($E1471="","",DATE(YEAR($E1471),MONTH($E1471),1))</f>
        <v/>
      </c>
      <c r="M1471" s="113">
        <f>IF($D1471="","",IF($C1471="TANIMSIZ MÜŞTERİ","HATA",IF(OR($E1471="",$F1471&lt;=0,$G1471=""),"EKSİK",IF($E1471&gt;TODAY(),"İLERİ TARİH",IF(COUNTIF($S$7:$S$1506,$S1471)&gt;1,"MÜKERRER?",IF($T1471&gt;0,"KAPALI DÖNEM","UYGUN"))))))</f>
        <v/>
      </c>
      <c r="N1471" s="121">
        <f>IF($C1471="","",IF($C1471="TANIMSIZ MÜŞTERİ","—",INDEX(MUSTERILER!$C$7:$C$106,MATCH($C1471,MUSTERILER!$B$7:$B$106,0))))</f>
        <v/>
      </c>
      <c r="O1471" s="6" t="n"/>
      <c r="P1471" s="6" t="n"/>
      <c r="Q1471" s="3">
        <f>IF($D1471="","",$C1471&amp;"|"&amp;COUNTIFS($C$7:$C1471,$C1471))</f>
        <v/>
      </c>
      <c r="R1471" s="3">
        <f>IF($D1471="","",UPPER(SUBSTITUTE(SUBSTITUTE(SUBSTITUTE(SUBSTITUTE(SUBSTITUTE(SUBSTITUTE(SUBSTITUTE(SUBSTITUTE(SUBSTITUTE(SUBSTITUTE(SUBSTITUTE(SUBSTITUTE(SUBSTITUTE(SUBSTITUTE(SUBSTITUTE(SUBSTITUTE(SUBSTITUTE(SUBSTITUTE(TRIM($D1471),"'",""),"İ","I"),"ı","I"),"i","I"),"Ş","S"),"ş","S"),"Ğ","G"),"ğ","G"),"Ü","U"),"ü","U"),"Ö","O"),"ö","O"),"Ç","C"),"ç","C"),".",""),",","")," ",""),"-","")))</f>
        <v/>
      </c>
      <c r="S1471" s="3">
        <f>IF($D1471="","",$C1471&amp;"|"&amp;TEXT($E1471,"0")&amp;"|"&amp;TEXT($F1471,"0")&amp;"|"&amp;$I1471)</f>
        <v/>
      </c>
      <c r="T1471" s="3">
        <f>IF($E1471="",0,SUMPRODUCT((AY_SONU!$O$7:$O$42="Evet")*(AY_SONU!$B$7:$B$42=DATE(YEAR($E1471),MONTH($E1471),1))))</f>
        <v/>
      </c>
    </row>
    <row r="1472">
      <c r="A1472" s="6" t="n"/>
      <c r="B1472" s="113">
        <f>IF($D1472="","","T"&amp;TEXT(ROW()-6,"00000"))</f>
        <v/>
      </c>
      <c r="C1472" s="113">
        <f>IF($D1472="","",IFERROR(INDEX(MUSTERILER!$B$7:$B$106,MATCH($R1472,MUSTERILER!$T$7:$T$106,0)),IFERROR(INDEX(MUSTERILER!$B$7:$B$106,MATCH($D1472,MUSTERILER!$B$7:$B$106,0)),IFERROR(INDEX(MUSTERILER!$B$7:$B$106,MATCH($R1472&amp;"*",MUSTERILER!$T$7:$T$106,0)),"TANIMSIZ MÜŞTERİ"))))</f>
        <v/>
      </c>
      <c r="D1472" s="109" t="n"/>
      <c r="E1472" s="220" t="n"/>
      <c r="F1472" s="221" t="n"/>
      <c r="G1472" s="108" t="n"/>
      <c r="H1472" s="108" t="n"/>
      <c r="I1472" s="109" t="n"/>
      <c r="J1472" s="109" t="n"/>
      <c r="K1472" s="109" t="n"/>
      <c r="L1472" s="226">
        <f>IF($E1472="","",DATE(YEAR($E1472),MONTH($E1472),1))</f>
        <v/>
      </c>
      <c r="M1472" s="113">
        <f>IF($D1472="","",IF($C1472="TANIMSIZ MÜŞTERİ","HATA",IF(OR($E1472="",$F1472&lt;=0,$G1472=""),"EKSİK",IF($E1472&gt;TODAY(),"İLERİ TARİH",IF(COUNTIF($S$7:$S$1506,$S1472)&gt;1,"MÜKERRER?",IF($T1472&gt;0,"KAPALI DÖNEM","UYGUN"))))))</f>
        <v/>
      </c>
      <c r="N1472" s="121">
        <f>IF($C1472="","",IF($C1472="TANIMSIZ MÜŞTERİ","—",INDEX(MUSTERILER!$C$7:$C$106,MATCH($C1472,MUSTERILER!$B$7:$B$106,0))))</f>
        <v/>
      </c>
      <c r="O1472" s="6" t="n"/>
      <c r="P1472" s="6" t="n"/>
      <c r="Q1472" s="3">
        <f>IF($D1472="","",$C1472&amp;"|"&amp;COUNTIFS($C$7:$C1472,$C1472))</f>
        <v/>
      </c>
      <c r="R1472" s="3">
        <f>IF($D1472="","",UPPER(SUBSTITUTE(SUBSTITUTE(SUBSTITUTE(SUBSTITUTE(SUBSTITUTE(SUBSTITUTE(SUBSTITUTE(SUBSTITUTE(SUBSTITUTE(SUBSTITUTE(SUBSTITUTE(SUBSTITUTE(SUBSTITUTE(SUBSTITUTE(SUBSTITUTE(SUBSTITUTE(SUBSTITUTE(SUBSTITUTE(TRIM($D1472),"'",""),"İ","I"),"ı","I"),"i","I"),"Ş","S"),"ş","S"),"Ğ","G"),"ğ","G"),"Ü","U"),"ü","U"),"Ö","O"),"ö","O"),"Ç","C"),"ç","C"),".",""),",","")," ",""),"-","")))</f>
        <v/>
      </c>
      <c r="S1472" s="3">
        <f>IF($D1472="","",$C1472&amp;"|"&amp;TEXT($E1472,"0")&amp;"|"&amp;TEXT($F1472,"0")&amp;"|"&amp;$I1472)</f>
        <v/>
      </c>
      <c r="T1472" s="3">
        <f>IF($E1472="",0,SUMPRODUCT((AY_SONU!$O$7:$O$42="Evet")*(AY_SONU!$B$7:$B$42=DATE(YEAR($E1472),MONTH($E1472),1))))</f>
        <v/>
      </c>
    </row>
    <row r="1473">
      <c r="A1473" s="6" t="n"/>
      <c r="B1473" s="113">
        <f>IF($D1473="","","T"&amp;TEXT(ROW()-6,"00000"))</f>
        <v/>
      </c>
      <c r="C1473" s="113">
        <f>IF($D1473="","",IFERROR(INDEX(MUSTERILER!$B$7:$B$106,MATCH($R1473,MUSTERILER!$T$7:$T$106,0)),IFERROR(INDEX(MUSTERILER!$B$7:$B$106,MATCH($D1473,MUSTERILER!$B$7:$B$106,0)),IFERROR(INDEX(MUSTERILER!$B$7:$B$106,MATCH($R1473&amp;"*",MUSTERILER!$T$7:$T$106,0)),"TANIMSIZ MÜŞTERİ"))))</f>
        <v/>
      </c>
      <c r="D1473" s="109" t="n"/>
      <c r="E1473" s="220" t="n"/>
      <c r="F1473" s="221" t="n"/>
      <c r="G1473" s="108" t="n"/>
      <c r="H1473" s="108" t="n"/>
      <c r="I1473" s="109" t="n"/>
      <c r="J1473" s="109" t="n"/>
      <c r="K1473" s="109" t="n"/>
      <c r="L1473" s="226">
        <f>IF($E1473="","",DATE(YEAR($E1473),MONTH($E1473),1))</f>
        <v/>
      </c>
      <c r="M1473" s="113">
        <f>IF($D1473="","",IF($C1473="TANIMSIZ MÜŞTERİ","HATA",IF(OR($E1473="",$F1473&lt;=0,$G1473=""),"EKSİK",IF($E1473&gt;TODAY(),"İLERİ TARİH",IF(COUNTIF($S$7:$S$1506,$S1473)&gt;1,"MÜKERRER?",IF($T1473&gt;0,"KAPALI DÖNEM","UYGUN"))))))</f>
        <v/>
      </c>
      <c r="N1473" s="121">
        <f>IF($C1473="","",IF($C1473="TANIMSIZ MÜŞTERİ","—",INDEX(MUSTERILER!$C$7:$C$106,MATCH($C1473,MUSTERILER!$B$7:$B$106,0))))</f>
        <v/>
      </c>
      <c r="O1473" s="6" t="n"/>
      <c r="P1473" s="6" t="n"/>
      <c r="Q1473" s="3">
        <f>IF($D1473="","",$C1473&amp;"|"&amp;COUNTIFS($C$7:$C1473,$C1473))</f>
        <v/>
      </c>
      <c r="R1473" s="3">
        <f>IF($D1473="","",UPPER(SUBSTITUTE(SUBSTITUTE(SUBSTITUTE(SUBSTITUTE(SUBSTITUTE(SUBSTITUTE(SUBSTITUTE(SUBSTITUTE(SUBSTITUTE(SUBSTITUTE(SUBSTITUTE(SUBSTITUTE(SUBSTITUTE(SUBSTITUTE(SUBSTITUTE(SUBSTITUTE(SUBSTITUTE(SUBSTITUTE(TRIM($D1473),"'",""),"İ","I"),"ı","I"),"i","I"),"Ş","S"),"ş","S"),"Ğ","G"),"ğ","G"),"Ü","U"),"ü","U"),"Ö","O"),"ö","O"),"Ç","C"),"ç","C"),".",""),",","")," ",""),"-","")))</f>
        <v/>
      </c>
      <c r="S1473" s="3">
        <f>IF($D1473="","",$C1473&amp;"|"&amp;TEXT($E1473,"0")&amp;"|"&amp;TEXT($F1473,"0")&amp;"|"&amp;$I1473)</f>
        <v/>
      </c>
      <c r="T1473" s="3">
        <f>IF($E1473="",0,SUMPRODUCT((AY_SONU!$O$7:$O$42="Evet")*(AY_SONU!$B$7:$B$42=DATE(YEAR($E1473),MONTH($E1473),1))))</f>
        <v/>
      </c>
    </row>
    <row r="1474">
      <c r="A1474" s="6" t="n"/>
      <c r="B1474" s="113">
        <f>IF($D1474="","","T"&amp;TEXT(ROW()-6,"00000"))</f>
        <v/>
      </c>
      <c r="C1474" s="113">
        <f>IF($D1474="","",IFERROR(INDEX(MUSTERILER!$B$7:$B$106,MATCH($R1474,MUSTERILER!$T$7:$T$106,0)),IFERROR(INDEX(MUSTERILER!$B$7:$B$106,MATCH($D1474,MUSTERILER!$B$7:$B$106,0)),IFERROR(INDEX(MUSTERILER!$B$7:$B$106,MATCH($R1474&amp;"*",MUSTERILER!$T$7:$T$106,0)),"TANIMSIZ MÜŞTERİ"))))</f>
        <v/>
      </c>
      <c r="D1474" s="109" t="n"/>
      <c r="E1474" s="220" t="n"/>
      <c r="F1474" s="221" t="n"/>
      <c r="G1474" s="108" t="n"/>
      <c r="H1474" s="108" t="n"/>
      <c r="I1474" s="109" t="n"/>
      <c r="J1474" s="109" t="n"/>
      <c r="K1474" s="109" t="n"/>
      <c r="L1474" s="226">
        <f>IF($E1474="","",DATE(YEAR($E1474),MONTH($E1474),1))</f>
        <v/>
      </c>
      <c r="M1474" s="113">
        <f>IF($D1474="","",IF($C1474="TANIMSIZ MÜŞTERİ","HATA",IF(OR($E1474="",$F1474&lt;=0,$G1474=""),"EKSİK",IF($E1474&gt;TODAY(),"İLERİ TARİH",IF(COUNTIF($S$7:$S$1506,$S1474)&gt;1,"MÜKERRER?",IF($T1474&gt;0,"KAPALI DÖNEM","UYGUN"))))))</f>
        <v/>
      </c>
      <c r="N1474" s="121">
        <f>IF($C1474="","",IF($C1474="TANIMSIZ MÜŞTERİ","—",INDEX(MUSTERILER!$C$7:$C$106,MATCH($C1474,MUSTERILER!$B$7:$B$106,0))))</f>
        <v/>
      </c>
      <c r="O1474" s="6" t="n"/>
      <c r="P1474" s="6" t="n"/>
      <c r="Q1474" s="3">
        <f>IF($D1474="","",$C1474&amp;"|"&amp;COUNTIFS($C$7:$C1474,$C1474))</f>
        <v/>
      </c>
      <c r="R1474" s="3">
        <f>IF($D1474="","",UPPER(SUBSTITUTE(SUBSTITUTE(SUBSTITUTE(SUBSTITUTE(SUBSTITUTE(SUBSTITUTE(SUBSTITUTE(SUBSTITUTE(SUBSTITUTE(SUBSTITUTE(SUBSTITUTE(SUBSTITUTE(SUBSTITUTE(SUBSTITUTE(SUBSTITUTE(SUBSTITUTE(SUBSTITUTE(SUBSTITUTE(TRIM($D1474),"'",""),"İ","I"),"ı","I"),"i","I"),"Ş","S"),"ş","S"),"Ğ","G"),"ğ","G"),"Ü","U"),"ü","U"),"Ö","O"),"ö","O"),"Ç","C"),"ç","C"),".",""),",","")," ",""),"-","")))</f>
        <v/>
      </c>
      <c r="S1474" s="3">
        <f>IF($D1474="","",$C1474&amp;"|"&amp;TEXT($E1474,"0")&amp;"|"&amp;TEXT($F1474,"0")&amp;"|"&amp;$I1474)</f>
        <v/>
      </c>
      <c r="T1474" s="3">
        <f>IF($E1474="",0,SUMPRODUCT((AY_SONU!$O$7:$O$42="Evet")*(AY_SONU!$B$7:$B$42=DATE(YEAR($E1474),MONTH($E1474),1))))</f>
        <v/>
      </c>
    </row>
    <row r="1475">
      <c r="A1475" s="6" t="n"/>
      <c r="B1475" s="113">
        <f>IF($D1475="","","T"&amp;TEXT(ROW()-6,"00000"))</f>
        <v/>
      </c>
      <c r="C1475" s="113">
        <f>IF($D1475="","",IFERROR(INDEX(MUSTERILER!$B$7:$B$106,MATCH($R1475,MUSTERILER!$T$7:$T$106,0)),IFERROR(INDEX(MUSTERILER!$B$7:$B$106,MATCH($D1475,MUSTERILER!$B$7:$B$106,0)),IFERROR(INDEX(MUSTERILER!$B$7:$B$106,MATCH($R1475&amp;"*",MUSTERILER!$T$7:$T$106,0)),"TANIMSIZ MÜŞTERİ"))))</f>
        <v/>
      </c>
      <c r="D1475" s="109" t="n"/>
      <c r="E1475" s="220" t="n"/>
      <c r="F1475" s="221" t="n"/>
      <c r="G1475" s="108" t="n"/>
      <c r="H1475" s="108" t="n"/>
      <c r="I1475" s="109" t="n"/>
      <c r="J1475" s="109" t="n"/>
      <c r="K1475" s="109" t="n"/>
      <c r="L1475" s="226">
        <f>IF($E1475="","",DATE(YEAR($E1475),MONTH($E1475),1))</f>
        <v/>
      </c>
      <c r="M1475" s="113">
        <f>IF($D1475="","",IF($C1475="TANIMSIZ MÜŞTERİ","HATA",IF(OR($E1475="",$F1475&lt;=0,$G1475=""),"EKSİK",IF($E1475&gt;TODAY(),"İLERİ TARİH",IF(COUNTIF($S$7:$S$1506,$S1475)&gt;1,"MÜKERRER?",IF($T1475&gt;0,"KAPALI DÖNEM","UYGUN"))))))</f>
        <v/>
      </c>
      <c r="N1475" s="121">
        <f>IF($C1475="","",IF($C1475="TANIMSIZ MÜŞTERİ","—",INDEX(MUSTERILER!$C$7:$C$106,MATCH($C1475,MUSTERILER!$B$7:$B$106,0))))</f>
        <v/>
      </c>
      <c r="O1475" s="6" t="n"/>
      <c r="P1475" s="6" t="n"/>
      <c r="Q1475" s="3">
        <f>IF($D1475="","",$C1475&amp;"|"&amp;COUNTIFS($C$7:$C1475,$C1475))</f>
        <v/>
      </c>
      <c r="R1475" s="3">
        <f>IF($D1475="","",UPPER(SUBSTITUTE(SUBSTITUTE(SUBSTITUTE(SUBSTITUTE(SUBSTITUTE(SUBSTITUTE(SUBSTITUTE(SUBSTITUTE(SUBSTITUTE(SUBSTITUTE(SUBSTITUTE(SUBSTITUTE(SUBSTITUTE(SUBSTITUTE(SUBSTITUTE(SUBSTITUTE(SUBSTITUTE(SUBSTITUTE(TRIM($D1475),"'",""),"İ","I"),"ı","I"),"i","I"),"Ş","S"),"ş","S"),"Ğ","G"),"ğ","G"),"Ü","U"),"ü","U"),"Ö","O"),"ö","O"),"Ç","C"),"ç","C"),".",""),",","")," ",""),"-","")))</f>
        <v/>
      </c>
      <c r="S1475" s="3">
        <f>IF($D1475="","",$C1475&amp;"|"&amp;TEXT($E1475,"0")&amp;"|"&amp;TEXT($F1475,"0")&amp;"|"&amp;$I1475)</f>
        <v/>
      </c>
      <c r="T1475" s="3">
        <f>IF($E1475="",0,SUMPRODUCT((AY_SONU!$O$7:$O$42="Evet")*(AY_SONU!$B$7:$B$42=DATE(YEAR($E1475),MONTH($E1475),1))))</f>
        <v/>
      </c>
    </row>
    <row r="1476">
      <c r="A1476" s="6" t="n"/>
      <c r="B1476" s="113">
        <f>IF($D1476="","","T"&amp;TEXT(ROW()-6,"00000"))</f>
        <v/>
      </c>
      <c r="C1476" s="113">
        <f>IF($D1476="","",IFERROR(INDEX(MUSTERILER!$B$7:$B$106,MATCH($R1476,MUSTERILER!$T$7:$T$106,0)),IFERROR(INDEX(MUSTERILER!$B$7:$B$106,MATCH($D1476,MUSTERILER!$B$7:$B$106,0)),IFERROR(INDEX(MUSTERILER!$B$7:$B$106,MATCH($R1476&amp;"*",MUSTERILER!$T$7:$T$106,0)),"TANIMSIZ MÜŞTERİ"))))</f>
        <v/>
      </c>
      <c r="D1476" s="109" t="n"/>
      <c r="E1476" s="220" t="n"/>
      <c r="F1476" s="221" t="n"/>
      <c r="G1476" s="108" t="n"/>
      <c r="H1476" s="108" t="n"/>
      <c r="I1476" s="109" t="n"/>
      <c r="J1476" s="109" t="n"/>
      <c r="K1476" s="109" t="n"/>
      <c r="L1476" s="226">
        <f>IF($E1476="","",DATE(YEAR($E1476),MONTH($E1476),1))</f>
        <v/>
      </c>
      <c r="M1476" s="113">
        <f>IF($D1476="","",IF($C1476="TANIMSIZ MÜŞTERİ","HATA",IF(OR($E1476="",$F1476&lt;=0,$G1476=""),"EKSİK",IF($E1476&gt;TODAY(),"İLERİ TARİH",IF(COUNTIF($S$7:$S$1506,$S1476)&gt;1,"MÜKERRER?",IF($T1476&gt;0,"KAPALI DÖNEM","UYGUN"))))))</f>
        <v/>
      </c>
      <c r="N1476" s="121">
        <f>IF($C1476="","",IF($C1476="TANIMSIZ MÜŞTERİ","—",INDEX(MUSTERILER!$C$7:$C$106,MATCH($C1476,MUSTERILER!$B$7:$B$106,0))))</f>
        <v/>
      </c>
      <c r="O1476" s="6" t="n"/>
      <c r="P1476" s="6" t="n"/>
      <c r="Q1476" s="3">
        <f>IF($D1476="","",$C1476&amp;"|"&amp;COUNTIFS($C$7:$C1476,$C1476))</f>
        <v/>
      </c>
      <c r="R1476" s="3">
        <f>IF($D1476="","",UPPER(SUBSTITUTE(SUBSTITUTE(SUBSTITUTE(SUBSTITUTE(SUBSTITUTE(SUBSTITUTE(SUBSTITUTE(SUBSTITUTE(SUBSTITUTE(SUBSTITUTE(SUBSTITUTE(SUBSTITUTE(SUBSTITUTE(SUBSTITUTE(SUBSTITUTE(SUBSTITUTE(SUBSTITUTE(SUBSTITUTE(TRIM($D1476),"'",""),"İ","I"),"ı","I"),"i","I"),"Ş","S"),"ş","S"),"Ğ","G"),"ğ","G"),"Ü","U"),"ü","U"),"Ö","O"),"ö","O"),"Ç","C"),"ç","C"),".",""),",","")," ",""),"-","")))</f>
        <v/>
      </c>
      <c r="S1476" s="3">
        <f>IF($D1476="","",$C1476&amp;"|"&amp;TEXT($E1476,"0")&amp;"|"&amp;TEXT($F1476,"0")&amp;"|"&amp;$I1476)</f>
        <v/>
      </c>
      <c r="T1476" s="3">
        <f>IF($E1476="",0,SUMPRODUCT((AY_SONU!$O$7:$O$42="Evet")*(AY_SONU!$B$7:$B$42=DATE(YEAR($E1476),MONTH($E1476),1))))</f>
        <v/>
      </c>
    </row>
    <row r="1477">
      <c r="A1477" s="6" t="n"/>
      <c r="B1477" s="113">
        <f>IF($D1477="","","T"&amp;TEXT(ROW()-6,"00000"))</f>
        <v/>
      </c>
      <c r="C1477" s="113">
        <f>IF($D1477="","",IFERROR(INDEX(MUSTERILER!$B$7:$B$106,MATCH($R1477,MUSTERILER!$T$7:$T$106,0)),IFERROR(INDEX(MUSTERILER!$B$7:$B$106,MATCH($D1477,MUSTERILER!$B$7:$B$106,0)),IFERROR(INDEX(MUSTERILER!$B$7:$B$106,MATCH($R1477&amp;"*",MUSTERILER!$T$7:$T$106,0)),"TANIMSIZ MÜŞTERİ"))))</f>
        <v/>
      </c>
      <c r="D1477" s="109" t="n"/>
      <c r="E1477" s="220" t="n"/>
      <c r="F1477" s="221" t="n"/>
      <c r="G1477" s="108" t="n"/>
      <c r="H1477" s="108" t="n"/>
      <c r="I1477" s="109" t="n"/>
      <c r="J1477" s="109" t="n"/>
      <c r="K1477" s="109" t="n"/>
      <c r="L1477" s="226">
        <f>IF($E1477="","",DATE(YEAR($E1477),MONTH($E1477),1))</f>
        <v/>
      </c>
      <c r="M1477" s="113">
        <f>IF($D1477="","",IF($C1477="TANIMSIZ MÜŞTERİ","HATA",IF(OR($E1477="",$F1477&lt;=0,$G1477=""),"EKSİK",IF($E1477&gt;TODAY(),"İLERİ TARİH",IF(COUNTIF($S$7:$S$1506,$S1477)&gt;1,"MÜKERRER?",IF($T1477&gt;0,"KAPALI DÖNEM","UYGUN"))))))</f>
        <v/>
      </c>
      <c r="N1477" s="121">
        <f>IF($C1477="","",IF($C1477="TANIMSIZ MÜŞTERİ","—",INDEX(MUSTERILER!$C$7:$C$106,MATCH($C1477,MUSTERILER!$B$7:$B$106,0))))</f>
        <v/>
      </c>
      <c r="O1477" s="6" t="n"/>
      <c r="P1477" s="6" t="n"/>
      <c r="Q1477" s="3">
        <f>IF($D1477="","",$C1477&amp;"|"&amp;COUNTIFS($C$7:$C1477,$C1477))</f>
        <v/>
      </c>
      <c r="R1477" s="3">
        <f>IF($D1477="","",UPPER(SUBSTITUTE(SUBSTITUTE(SUBSTITUTE(SUBSTITUTE(SUBSTITUTE(SUBSTITUTE(SUBSTITUTE(SUBSTITUTE(SUBSTITUTE(SUBSTITUTE(SUBSTITUTE(SUBSTITUTE(SUBSTITUTE(SUBSTITUTE(SUBSTITUTE(SUBSTITUTE(SUBSTITUTE(SUBSTITUTE(TRIM($D1477),"'",""),"İ","I"),"ı","I"),"i","I"),"Ş","S"),"ş","S"),"Ğ","G"),"ğ","G"),"Ü","U"),"ü","U"),"Ö","O"),"ö","O"),"Ç","C"),"ç","C"),".",""),",","")," ",""),"-","")))</f>
        <v/>
      </c>
      <c r="S1477" s="3">
        <f>IF($D1477="","",$C1477&amp;"|"&amp;TEXT($E1477,"0")&amp;"|"&amp;TEXT($F1477,"0")&amp;"|"&amp;$I1477)</f>
        <v/>
      </c>
      <c r="T1477" s="3">
        <f>IF($E1477="",0,SUMPRODUCT((AY_SONU!$O$7:$O$42="Evet")*(AY_SONU!$B$7:$B$42=DATE(YEAR($E1477),MONTH($E1477),1))))</f>
        <v/>
      </c>
    </row>
    <row r="1478">
      <c r="A1478" s="6" t="n"/>
      <c r="B1478" s="113">
        <f>IF($D1478="","","T"&amp;TEXT(ROW()-6,"00000"))</f>
        <v/>
      </c>
      <c r="C1478" s="113">
        <f>IF($D1478="","",IFERROR(INDEX(MUSTERILER!$B$7:$B$106,MATCH($R1478,MUSTERILER!$T$7:$T$106,0)),IFERROR(INDEX(MUSTERILER!$B$7:$B$106,MATCH($D1478,MUSTERILER!$B$7:$B$106,0)),IFERROR(INDEX(MUSTERILER!$B$7:$B$106,MATCH($R1478&amp;"*",MUSTERILER!$T$7:$T$106,0)),"TANIMSIZ MÜŞTERİ"))))</f>
        <v/>
      </c>
      <c r="D1478" s="109" t="n"/>
      <c r="E1478" s="220" t="n"/>
      <c r="F1478" s="221" t="n"/>
      <c r="G1478" s="108" t="n"/>
      <c r="H1478" s="108" t="n"/>
      <c r="I1478" s="109" t="n"/>
      <c r="J1478" s="109" t="n"/>
      <c r="K1478" s="109" t="n"/>
      <c r="L1478" s="226">
        <f>IF($E1478="","",DATE(YEAR($E1478),MONTH($E1478),1))</f>
        <v/>
      </c>
      <c r="M1478" s="113">
        <f>IF($D1478="","",IF($C1478="TANIMSIZ MÜŞTERİ","HATA",IF(OR($E1478="",$F1478&lt;=0,$G1478=""),"EKSİK",IF($E1478&gt;TODAY(),"İLERİ TARİH",IF(COUNTIF($S$7:$S$1506,$S1478)&gt;1,"MÜKERRER?",IF($T1478&gt;0,"KAPALI DÖNEM","UYGUN"))))))</f>
        <v/>
      </c>
      <c r="N1478" s="121">
        <f>IF($C1478="","",IF($C1478="TANIMSIZ MÜŞTERİ","—",INDEX(MUSTERILER!$C$7:$C$106,MATCH($C1478,MUSTERILER!$B$7:$B$106,0))))</f>
        <v/>
      </c>
      <c r="O1478" s="6" t="n"/>
      <c r="P1478" s="6" t="n"/>
      <c r="Q1478" s="3">
        <f>IF($D1478="","",$C1478&amp;"|"&amp;COUNTIFS($C$7:$C1478,$C1478))</f>
        <v/>
      </c>
      <c r="R1478" s="3">
        <f>IF($D1478="","",UPPER(SUBSTITUTE(SUBSTITUTE(SUBSTITUTE(SUBSTITUTE(SUBSTITUTE(SUBSTITUTE(SUBSTITUTE(SUBSTITUTE(SUBSTITUTE(SUBSTITUTE(SUBSTITUTE(SUBSTITUTE(SUBSTITUTE(SUBSTITUTE(SUBSTITUTE(SUBSTITUTE(SUBSTITUTE(SUBSTITUTE(TRIM($D1478),"'",""),"İ","I"),"ı","I"),"i","I"),"Ş","S"),"ş","S"),"Ğ","G"),"ğ","G"),"Ü","U"),"ü","U"),"Ö","O"),"ö","O"),"Ç","C"),"ç","C"),".",""),",","")," ",""),"-","")))</f>
        <v/>
      </c>
      <c r="S1478" s="3">
        <f>IF($D1478="","",$C1478&amp;"|"&amp;TEXT($E1478,"0")&amp;"|"&amp;TEXT($F1478,"0")&amp;"|"&amp;$I1478)</f>
        <v/>
      </c>
      <c r="T1478" s="3">
        <f>IF($E1478="",0,SUMPRODUCT((AY_SONU!$O$7:$O$42="Evet")*(AY_SONU!$B$7:$B$42=DATE(YEAR($E1478),MONTH($E1478),1))))</f>
        <v/>
      </c>
    </row>
    <row r="1479">
      <c r="A1479" s="6" t="n"/>
      <c r="B1479" s="113">
        <f>IF($D1479="","","T"&amp;TEXT(ROW()-6,"00000"))</f>
        <v/>
      </c>
      <c r="C1479" s="113">
        <f>IF($D1479="","",IFERROR(INDEX(MUSTERILER!$B$7:$B$106,MATCH($R1479,MUSTERILER!$T$7:$T$106,0)),IFERROR(INDEX(MUSTERILER!$B$7:$B$106,MATCH($D1479,MUSTERILER!$B$7:$B$106,0)),IFERROR(INDEX(MUSTERILER!$B$7:$B$106,MATCH($R1479&amp;"*",MUSTERILER!$T$7:$T$106,0)),"TANIMSIZ MÜŞTERİ"))))</f>
        <v/>
      </c>
      <c r="D1479" s="109" t="n"/>
      <c r="E1479" s="220" t="n"/>
      <c r="F1479" s="221" t="n"/>
      <c r="G1479" s="108" t="n"/>
      <c r="H1479" s="108" t="n"/>
      <c r="I1479" s="109" t="n"/>
      <c r="J1479" s="109" t="n"/>
      <c r="K1479" s="109" t="n"/>
      <c r="L1479" s="226">
        <f>IF($E1479="","",DATE(YEAR($E1479),MONTH($E1479),1))</f>
        <v/>
      </c>
      <c r="M1479" s="113">
        <f>IF($D1479="","",IF($C1479="TANIMSIZ MÜŞTERİ","HATA",IF(OR($E1479="",$F1479&lt;=0,$G1479=""),"EKSİK",IF($E1479&gt;TODAY(),"İLERİ TARİH",IF(COUNTIF($S$7:$S$1506,$S1479)&gt;1,"MÜKERRER?",IF($T1479&gt;0,"KAPALI DÖNEM","UYGUN"))))))</f>
        <v/>
      </c>
      <c r="N1479" s="121">
        <f>IF($C1479="","",IF($C1479="TANIMSIZ MÜŞTERİ","—",INDEX(MUSTERILER!$C$7:$C$106,MATCH($C1479,MUSTERILER!$B$7:$B$106,0))))</f>
        <v/>
      </c>
      <c r="O1479" s="6" t="n"/>
      <c r="P1479" s="6" t="n"/>
      <c r="Q1479" s="3">
        <f>IF($D1479="","",$C1479&amp;"|"&amp;COUNTIFS($C$7:$C1479,$C1479))</f>
        <v/>
      </c>
      <c r="R1479" s="3">
        <f>IF($D1479="","",UPPER(SUBSTITUTE(SUBSTITUTE(SUBSTITUTE(SUBSTITUTE(SUBSTITUTE(SUBSTITUTE(SUBSTITUTE(SUBSTITUTE(SUBSTITUTE(SUBSTITUTE(SUBSTITUTE(SUBSTITUTE(SUBSTITUTE(SUBSTITUTE(SUBSTITUTE(SUBSTITUTE(SUBSTITUTE(SUBSTITUTE(TRIM($D1479),"'",""),"İ","I"),"ı","I"),"i","I"),"Ş","S"),"ş","S"),"Ğ","G"),"ğ","G"),"Ü","U"),"ü","U"),"Ö","O"),"ö","O"),"Ç","C"),"ç","C"),".",""),",","")," ",""),"-","")))</f>
        <v/>
      </c>
      <c r="S1479" s="3">
        <f>IF($D1479="","",$C1479&amp;"|"&amp;TEXT($E1479,"0")&amp;"|"&amp;TEXT($F1479,"0")&amp;"|"&amp;$I1479)</f>
        <v/>
      </c>
      <c r="T1479" s="3">
        <f>IF($E1479="",0,SUMPRODUCT((AY_SONU!$O$7:$O$42="Evet")*(AY_SONU!$B$7:$B$42=DATE(YEAR($E1479),MONTH($E1479),1))))</f>
        <v/>
      </c>
    </row>
    <row r="1480">
      <c r="A1480" s="6" t="n"/>
      <c r="B1480" s="113">
        <f>IF($D1480="","","T"&amp;TEXT(ROW()-6,"00000"))</f>
        <v/>
      </c>
      <c r="C1480" s="113">
        <f>IF($D1480="","",IFERROR(INDEX(MUSTERILER!$B$7:$B$106,MATCH($R1480,MUSTERILER!$T$7:$T$106,0)),IFERROR(INDEX(MUSTERILER!$B$7:$B$106,MATCH($D1480,MUSTERILER!$B$7:$B$106,0)),IFERROR(INDEX(MUSTERILER!$B$7:$B$106,MATCH($R1480&amp;"*",MUSTERILER!$T$7:$T$106,0)),"TANIMSIZ MÜŞTERİ"))))</f>
        <v/>
      </c>
      <c r="D1480" s="109" t="n"/>
      <c r="E1480" s="220" t="n"/>
      <c r="F1480" s="221" t="n"/>
      <c r="G1480" s="108" t="n"/>
      <c r="H1480" s="108" t="n"/>
      <c r="I1480" s="109" t="n"/>
      <c r="J1480" s="109" t="n"/>
      <c r="K1480" s="109" t="n"/>
      <c r="L1480" s="226">
        <f>IF($E1480="","",DATE(YEAR($E1480),MONTH($E1480),1))</f>
        <v/>
      </c>
      <c r="M1480" s="113">
        <f>IF($D1480="","",IF($C1480="TANIMSIZ MÜŞTERİ","HATA",IF(OR($E1480="",$F1480&lt;=0,$G1480=""),"EKSİK",IF($E1480&gt;TODAY(),"İLERİ TARİH",IF(COUNTIF($S$7:$S$1506,$S1480)&gt;1,"MÜKERRER?",IF($T1480&gt;0,"KAPALI DÖNEM","UYGUN"))))))</f>
        <v/>
      </c>
      <c r="N1480" s="121">
        <f>IF($C1480="","",IF($C1480="TANIMSIZ MÜŞTERİ","—",INDEX(MUSTERILER!$C$7:$C$106,MATCH($C1480,MUSTERILER!$B$7:$B$106,0))))</f>
        <v/>
      </c>
      <c r="O1480" s="6" t="n"/>
      <c r="P1480" s="6" t="n"/>
      <c r="Q1480" s="3">
        <f>IF($D1480="","",$C1480&amp;"|"&amp;COUNTIFS($C$7:$C1480,$C1480))</f>
        <v/>
      </c>
      <c r="R1480" s="3">
        <f>IF($D1480="","",UPPER(SUBSTITUTE(SUBSTITUTE(SUBSTITUTE(SUBSTITUTE(SUBSTITUTE(SUBSTITUTE(SUBSTITUTE(SUBSTITUTE(SUBSTITUTE(SUBSTITUTE(SUBSTITUTE(SUBSTITUTE(SUBSTITUTE(SUBSTITUTE(SUBSTITUTE(SUBSTITUTE(SUBSTITUTE(SUBSTITUTE(TRIM($D1480),"'",""),"İ","I"),"ı","I"),"i","I"),"Ş","S"),"ş","S"),"Ğ","G"),"ğ","G"),"Ü","U"),"ü","U"),"Ö","O"),"ö","O"),"Ç","C"),"ç","C"),".",""),",","")," ",""),"-","")))</f>
        <v/>
      </c>
      <c r="S1480" s="3">
        <f>IF($D1480="","",$C1480&amp;"|"&amp;TEXT($E1480,"0")&amp;"|"&amp;TEXT($F1480,"0")&amp;"|"&amp;$I1480)</f>
        <v/>
      </c>
      <c r="T1480" s="3">
        <f>IF($E1480="",0,SUMPRODUCT((AY_SONU!$O$7:$O$42="Evet")*(AY_SONU!$B$7:$B$42=DATE(YEAR($E1480),MONTH($E1480),1))))</f>
        <v/>
      </c>
    </row>
    <row r="1481">
      <c r="A1481" s="6" t="n"/>
      <c r="B1481" s="113">
        <f>IF($D1481="","","T"&amp;TEXT(ROW()-6,"00000"))</f>
        <v/>
      </c>
      <c r="C1481" s="113">
        <f>IF($D1481="","",IFERROR(INDEX(MUSTERILER!$B$7:$B$106,MATCH($R1481,MUSTERILER!$T$7:$T$106,0)),IFERROR(INDEX(MUSTERILER!$B$7:$B$106,MATCH($D1481,MUSTERILER!$B$7:$B$106,0)),IFERROR(INDEX(MUSTERILER!$B$7:$B$106,MATCH($R1481&amp;"*",MUSTERILER!$T$7:$T$106,0)),"TANIMSIZ MÜŞTERİ"))))</f>
        <v/>
      </c>
      <c r="D1481" s="109" t="n"/>
      <c r="E1481" s="220" t="n"/>
      <c r="F1481" s="221" t="n"/>
      <c r="G1481" s="108" t="n"/>
      <c r="H1481" s="108" t="n"/>
      <c r="I1481" s="109" t="n"/>
      <c r="J1481" s="109" t="n"/>
      <c r="K1481" s="109" t="n"/>
      <c r="L1481" s="226">
        <f>IF($E1481="","",DATE(YEAR($E1481),MONTH($E1481),1))</f>
        <v/>
      </c>
      <c r="M1481" s="113">
        <f>IF($D1481="","",IF($C1481="TANIMSIZ MÜŞTERİ","HATA",IF(OR($E1481="",$F1481&lt;=0,$G1481=""),"EKSİK",IF($E1481&gt;TODAY(),"İLERİ TARİH",IF(COUNTIF($S$7:$S$1506,$S1481)&gt;1,"MÜKERRER?",IF($T1481&gt;0,"KAPALI DÖNEM","UYGUN"))))))</f>
        <v/>
      </c>
      <c r="N1481" s="121">
        <f>IF($C1481="","",IF($C1481="TANIMSIZ MÜŞTERİ","—",INDEX(MUSTERILER!$C$7:$C$106,MATCH($C1481,MUSTERILER!$B$7:$B$106,0))))</f>
        <v/>
      </c>
      <c r="O1481" s="6" t="n"/>
      <c r="P1481" s="6" t="n"/>
      <c r="Q1481" s="3">
        <f>IF($D1481="","",$C1481&amp;"|"&amp;COUNTIFS($C$7:$C1481,$C1481))</f>
        <v/>
      </c>
      <c r="R1481" s="3">
        <f>IF($D1481="","",UPPER(SUBSTITUTE(SUBSTITUTE(SUBSTITUTE(SUBSTITUTE(SUBSTITUTE(SUBSTITUTE(SUBSTITUTE(SUBSTITUTE(SUBSTITUTE(SUBSTITUTE(SUBSTITUTE(SUBSTITUTE(SUBSTITUTE(SUBSTITUTE(SUBSTITUTE(SUBSTITUTE(SUBSTITUTE(SUBSTITUTE(TRIM($D1481),"'",""),"İ","I"),"ı","I"),"i","I"),"Ş","S"),"ş","S"),"Ğ","G"),"ğ","G"),"Ü","U"),"ü","U"),"Ö","O"),"ö","O"),"Ç","C"),"ç","C"),".",""),",","")," ",""),"-","")))</f>
        <v/>
      </c>
      <c r="S1481" s="3">
        <f>IF($D1481="","",$C1481&amp;"|"&amp;TEXT($E1481,"0")&amp;"|"&amp;TEXT($F1481,"0")&amp;"|"&amp;$I1481)</f>
        <v/>
      </c>
      <c r="T1481" s="3">
        <f>IF($E1481="",0,SUMPRODUCT((AY_SONU!$O$7:$O$42="Evet")*(AY_SONU!$B$7:$B$42=DATE(YEAR($E1481),MONTH($E1481),1))))</f>
        <v/>
      </c>
    </row>
    <row r="1482">
      <c r="A1482" s="6" t="n"/>
      <c r="B1482" s="113">
        <f>IF($D1482="","","T"&amp;TEXT(ROW()-6,"00000"))</f>
        <v/>
      </c>
      <c r="C1482" s="113">
        <f>IF($D1482="","",IFERROR(INDEX(MUSTERILER!$B$7:$B$106,MATCH($R1482,MUSTERILER!$T$7:$T$106,0)),IFERROR(INDEX(MUSTERILER!$B$7:$B$106,MATCH($D1482,MUSTERILER!$B$7:$B$106,0)),IFERROR(INDEX(MUSTERILER!$B$7:$B$106,MATCH($R1482&amp;"*",MUSTERILER!$T$7:$T$106,0)),"TANIMSIZ MÜŞTERİ"))))</f>
        <v/>
      </c>
      <c r="D1482" s="109" t="n"/>
      <c r="E1482" s="220" t="n"/>
      <c r="F1482" s="221" t="n"/>
      <c r="G1482" s="108" t="n"/>
      <c r="H1482" s="108" t="n"/>
      <c r="I1482" s="109" t="n"/>
      <c r="J1482" s="109" t="n"/>
      <c r="K1482" s="109" t="n"/>
      <c r="L1482" s="226">
        <f>IF($E1482="","",DATE(YEAR($E1482),MONTH($E1482),1))</f>
        <v/>
      </c>
      <c r="M1482" s="113">
        <f>IF($D1482="","",IF($C1482="TANIMSIZ MÜŞTERİ","HATA",IF(OR($E1482="",$F1482&lt;=0,$G1482=""),"EKSİK",IF($E1482&gt;TODAY(),"İLERİ TARİH",IF(COUNTIF($S$7:$S$1506,$S1482)&gt;1,"MÜKERRER?",IF($T1482&gt;0,"KAPALI DÖNEM","UYGUN"))))))</f>
        <v/>
      </c>
      <c r="N1482" s="121">
        <f>IF($C1482="","",IF($C1482="TANIMSIZ MÜŞTERİ","—",INDEX(MUSTERILER!$C$7:$C$106,MATCH($C1482,MUSTERILER!$B$7:$B$106,0))))</f>
        <v/>
      </c>
      <c r="O1482" s="6" t="n"/>
      <c r="P1482" s="6" t="n"/>
      <c r="Q1482" s="3">
        <f>IF($D1482="","",$C1482&amp;"|"&amp;COUNTIFS($C$7:$C1482,$C1482))</f>
        <v/>
      </c>
      <c r="R1482" s="3">
        <f>IF($D1482="","",UPPER(SUBSTITUTE(SUBSTITUTE(SUBSTITUTE(SUBSTITUTE(SUBSTITUTE(SUBSTITUTE(SUBSTITUTE(SUBSTITUTE(SUBSTITUTE(SUBSTITUTE(SUBSTITUTE(SUBSTITUTE(SUBSTITUTE(SUBSTITUTE(SUBSTITUTE(SUBSTITUTE(SUBSTITUTE(SUBSTITUTE(TRIM($D1482),"'",""),"İ","I"),"ı","I"),"i","I"),"Ş","S"),"ş","S"),"Ğ","G"),"ğ","G"),"Ü","U"),"ü","U"),"Ö","O"),"ö","O"),"Ç","C"),"ç","C"),".",""),",","")," ",""),"-","")))</f>
        <v/>
      </c>
      <c r="S1482" s="3">
        <f>IF($D1482="","",$C1482&amp;"|"&amp;TEXT($E1482,"0")&amp;"|"&amp;TEXT($F1482,"0")&amp;"|"&amp;$I1482)</f>
        <v/>
      </c>
      <c r="T1482" s="3">
        <f>IF($E1482="",0,SUMPRODUCT((AY_SONU!$O$7:$O$42="Evet")*(AY_SONU!$B$7:$B$42=DATE(YEAR($E1482),MONTH($E1482),1))))</f>
        <v/>
      </c>
    </row>
    <row r="1483">
      <c r="A1483" s="6" t="n"/>
      <c r="B1483" s="113">
        <f>IF($D1483="","","T"&amp;TEXT(ROW()-6,"00000"))</f>
        <v/>
      </c>
      <c r="C1483" s="113">
        <f>IF($D1483="","",IFERROR(INDEX(MUSTERILER!$B$7:$B$106,MATCH($R1483,MUSTERILER!$T$7:$T$106,0)),IFERROR(INDEX(MUSTERILER!$B$7:$B$106,MATCH($D1483,MUSTERILER!$B$7:$B$106,0)),IFERROR(INDEX(MUSTERILER!$B$7:$B$106,MATCH($R1483&amp;"*",MUSTERILER!$T$7:$T$106,0)),"TANIMSIZ MÜŞTERİ"))))</f>
        <v/>
      </c>
      <c r="D1483" s="109" t="n"/>
      <c r="E1483" s="220" t="n"/>
      <c r="F1483" s="221" t="n"/>
      <c r="G1483" s="108" t="n"/>
      <c r="H1483" s="108" t="n"/>
      <c r="I1483" s="109" t="n"/>
      <c r="J1483" s="109" t="n"/>
      <c r="K1483" s="109" t="n"/>
      <c r="L1483" s="226">
        <f>IF($E1483="","",DATE(YEAR($E1483),MONTH($E1483),1))</f>
        <v/>
      </c>
      <c r="M1483" s="113">
        <f>IF($D1483="","",IF($C1483="TANIMSIZ MÜŞTERİ","HATA",IF(OR($E1483="",$F1483&lt;=0,$G1483=""),"EKSİK",IF($E1483&gt;TODAY(),"İLERİ TARİH",IF(COUNTIF($S$7:$S$1506,$S1483)&gt;1,"MÜKERRER?",IF($T1483&gt;0,"KAPALI DÖNEM","UYGUN"))))))</f>
        <v/>
      </c>
      <c r="N1483" s="121">
        <f>IF($C1483="","",IF($C1483="TANIMSIZ MÜŞTERİ","—",INDEX(MUSTERILER!$C$7:$C$106,MATCH($C1483,MUSTERILER!$B$7:$B$106,0))))</f>
        <v/>
      </c>
      <c r="O1483" s="6" t="n"/>
      <c r="P1483" s="6" t="n"/>
      <c r="Q1483" s="3">
        <f>IF($D1483="","",$C1483&amp;"|"&amp;COUNTIFS($C$7:$C1483,$C1483))</f>
        <v/>
      </c>
      <c r="R1483" s="3">
        <f>IF($D1483="","",UPPER(SUBSTITUTE(SUBSTITUTE(SUBSTITUTE(SUBSTITUTE(SUBSTITUTE(SUBSTITUTE(SUBSTITUTE(SUBSTITUTE(SUBSTITUTE(SUBSTITUTE(SUBSTITUTE(SUBSTITUTE(SUBSTITUTE(SUBSTITUTE(SUBSTITUTE(SUBSTITUTE(SUBSTITUTE(SUBSTITUTE(TRIM($D1483),"'",""),"İ","I"),"ı","I"),"i","I"),"Ş","S"),"ş","S"),"Ğ","G"),"ğ","G"),"Ü","U"),"ü","U"),"Ö","O"),"ö","O"),"Ç","C"),"ç","C"),".",""),",","")," ",""),"-","")))</f>
        <v/>
      </c>
      <c r="S1483" s="3">
        <f>IF($D1483="","",$C1483&amp;"|"&amp;TEXT($E1483,"0")&amp;"|"&amp;TEXT($F1483,"0")&amp;"|"&amp;$I1483)</f>
        <v/>
      </c>
      <c r="T1483" s="3">
        <f>IF($E1483="",0,SUMPRODUCT((AY_SONU!$O$7:$O$42="Evet")*(AY_SONU!$B$7:$B$42=DATE(YEAR($E1483),MONTH($E1483),1))))</f>
        <v/>
      </c>
    </row>
    <row r="1484">
      <c r="A1484" s="6" t="n"/>
      <c r="B1484" s="113">
        <f>IF($D1484="","","T"&amp;TEXT(ROW()-6,"00000"))</f>
        <v/>
      </c>
      <c r="C1484" s="113">
        <f>IF($D1484="","",IFERROR(INDEX(MUSTERILER!$B$7:$B$106,MATCH($R1484,MUSTERILER!$T$7:$T$106,0)),IFERROR(INDEX(MUSTERILER!$B$7:$B$106,MATCH($D1484,MUSTERILER!$B$7:$B$106,0)),IFERROR(INDEX(MUSTERILER!$B$7:$B$106,MATCH($R1484&amp;"*",MUSTERILER!$T$7:$T$106,0)),"TANIMSIZ MÜŞTERİ"))))</f>
        <v/>
      </c>
      <c r="D1484" s="109" t="n"/>
      <c r="E1484" s="220" t="n"/>
      <c r="F1484" s="221" t="n"/>
      <c r="G1484" s="108" t="n"/>
      <c r="H1484" s="108" t="n"/>
      <c r="I1484" s="109" t="n"/>
      <c r="J1484" s="109" t="n"/>
      <c r="K1484" s="109" t="n"/>
      <c r="L1484" s="226">
        <f>IF($E1484="","",DATE(YEAR($E1484),MONTH($E1484),1))</f>
        <v/>
      </c>
      <c r="M1484" s="113">
        <f>IF($D1484="","",IF($C1484="TANIMSIZ MÜŞTERİ","HATA",IF(OR($E1484="",$F1484&lt;=0,$G1484=""),"EKSİK",IF($E1484&gt;TODAY(),"İLERİ TARİH",IF(COUNTIF($S$7:$S$1506,$S1484)&gt;1,"MÜKERRER?",IF($T1484&gt;0,"KAPALI DÖNEM","UYGUN"))))))</f>
        <v/>
      </c>
      <c r="N1484" s="121">
        <f>IF($C1484="","",IF($C1484="TANIMSIZ MÜŞTERİ","—",INDEX(MUSTERILER!$C$7:$C$106,MATCH($C1484,MUSTERILER!$B$7:$B$106,0))))</f>
        <v/>
      </c>
      <c r="O1484" s="6" t="n"/>
      <c r="P1484" s="6" t="n"/>
      <c r="Q1484" s="3">
        <f>IF($D1484="","",$C1484&amp;"|"&amp;COUNTIFS($C$7:$C1484,$C1484))</f>
        <v/>
      </c>
      <c r="R1484" s="3">
        <f>IF($D1484="","",UPPER(SUBSTITUTE(SUBSTITUTE(SUBSTITUTE(SUBSTITUTE(SUBSTITUTE(SUBSTITUTE(SUBSTITUTE(SUBSTITUTE(SUBSTITUTE(SUBSTITUTE(SUBSTITUTE(SUBSTITUTE(SUBSTITUTE(SUBSTITUTE(SUBSTITUTE(SUBSTITUTE(SUBSTITUTE(SUBSTITUTE(TRIM($D1484),"'",""),"İ","I"),"ı","I"),"i","I"),"Ş","S"),"ş","S"),"Ğ","G"),"ğ","G"),"Ü","U"),"ü","U"),"Ö","O"),"ö","O"),"Ç","C"),"ç","C"),".",""),",","")," ",""),"-","")))</f>
        <v/>
      </c>
      <c r="S1484" s="3">
        <f>IF($D1484="","",$C1484&amp;"|"&amp;TEXT($E1484,"0")&amp;"|"&amp;TEXT($F1484,"0")&amp;"|"&amp;$I1484)</f>
        <v/>
      </c>
      <c r="T1484" s="3">
        <f>IF($E1484="",0,SUMPRODUCT((AY_SONU!$O$7:$O$42="Evet")*(AY_SONU!$B$7:$B$42=DATE(YEAR($E1484),MONTH($E1484),1))))</f>
        <v/>
      </c>
    </row>
    <row r="1485">
      <c r="A1485" s="6" t="n"/>
      <c r="B1485" s="113">
        <f>IF($D1485="","","T"&amp;TEXT(ROW()-6,"00000"))</f>
        <v/>
      </c>
      <c r="C1485" s="113">
        <f>IF($D1485="","",IFERROR(INDEX(MUSTERILER!$B$7:$B$106,MATCH($R1485,MUSTERILER!$T$7:$T$106,0)),IFERROR(INDEX(MUSTERILER!$B$7:$B$106,MATCH($D1485,MUSTERILER!$B$7:$B$106,0)),IFERROR(INDEX(MUSTERILER!$B$7:$B$106,MATCH($R1485&amp;"*",MUSTERILER!$T$7:$T$106,0)),"TANIMSIZ MÜŞTERİ"))))</f>
        <v/>
      </c>
      <c r="D1485" s="109" t="n"/>
      <c r="E1485" s="220" t="n"/>
      <c r="F1485" s="221" t="n"/>
      <c r="G1485" s="108" t="n"/>
      <c r="H1485" s="108" t="n"/>
      <c r="I1485" s="109" t="n"/>
      <c r="J1485" s="109" t="n"/>
      <c r="K1485" s="109" t="n"/>
      <c r="L1485" s="226">
        <f>IF($E1485="","",DATE(YEAR($E1485),MONTH($E1485),1))</f>
        <v/>
      </c>
      <c r="M1485" s="113">
        <f>IF($D1485="","",IF($C1485="TANIMSIZ MÜŞTERİ","HATA",IF(OR($E1485="",$F1485&lt;=0,$G1485=""),"EKSİK",IF($E1485&gt;TODAY(),"İLERİ TARİH",IF(COUNTIF($S$7:$S$1506,$S1485)&gt;1,"MÜKERRER?",IF($T1485&gt;0,"KAPALI DÖNEM","UYGUN"))))))</f>
        <v/>
      </c>
      <c r="N1485" s="121">
        <f>IF($C1485="","",IF($C1485="TANIMSIZ MÜŞTERİ","—",INDEX(MUSTERILER!$C$7:$C$106,MATCH($C1485,MUSTERILER!$B$7:$B$106,0))))</f>
        <v/>
      </c>
      <c r="O1485" s="6" t="n"/>
      <c r="P1485" s="6" t="n"/>
      <c r="Q1485" s="3">
        <f>IF($D1485="","",$C1485&amp;"|"&amp;COUNTIFS($C$7:$C1485,$C1485))</f>
        <v/>
      </c>
      <c r="R1485" s="3">
        <f>IF($D1485="","",UPPER(SUBSTITUTE(SUBSTITUTE(SUBSTITUTE(SUBSTITUTE(SUBSTITUTE(SUBSTITUTE(SUBSTITUTE(SUBSTITUTE(SUBSTITUTE(SUBSTITUTE(SUBSTITUTE(SUBSTITUTE(SUBSTITUTE(SUBSTITUTE(SUBSTITUTE(SUBSTITUTE(SUBSTITUTE(SUBSTITUTE(TRIM($D1485),"'",""),"İ","I"),"ı","I"),"i","I"),"Ş","S"),"ş","S"),"Ğ","G"),"ğ","G"),"Ü","U"),"ü","U"),"Ö","O"),"ö","O"),"Ç","C"),"ç","C"),".",""),",","")," ",""),"-","")))</f>
        <v/>
      </c>
      <c r="S1485" s="3">
        <f>IF($D1485="","",$C1485&amp;"|"&amp;TEXT($E1485,"0")&amp;"|"&amp;TEXT($F1485,"0")&amp;"|"&amp;$I1485)</f>
        <v/>
      </c>
      <c r="T1485" s="3">
        <f>IF($E1485="",0,SUMPRODUCT((AY_SONU!$O$7:$O$42="Evet")*(AY_SONU!$B$7:$B$42=DATE(YEAR($E1485),MONTH($E1485),1))))</f>
        <v/>
      </c>
    </row>
    <row r="1486">
      <c r="A1486" s="6" t="n"/>
      <c r="B1486" s="113">
        <f>IF($D1486="","","T"&amp;TEXT(ROW()-6,"00000"))</f>
        <v/>
      </c>
      <c r="C1486" s="113">
        <f>IF($D1486="","",IFERROR(INDEX(MUSTERILER!$B$7:$B$106,MATCH($R1486,MUSTERILER!$T$7:$T$106,0)),IFERROR(INDEX(MUSTERILER!$B$7:$B$106,MATCH($D1486,MUSTERILER!$B$7:$B$106,0)),IFERROR(INDEX(MUSTERILER!$B$7:$B$106,MATCH($R1486&amp;"*",MUSTERILER!$T$7:$T$106,0)),"TANIMSIZ MÜŞTERİ"))))</f>
        <v/>
      </c>
      <c r="D1486" s="109" t="n"/>
      <c r="E1486" s="220" t="n"/>
      <c r="F1486" s="221" t="n"/>
      <c r="G1486" s="108" t="n"/>
      <c r="H1486" s="108" t="n"/>
      <c r="I1486" s="109" t="n"/>
      <c r="J1486" s="109" t="n"/>
      <c r="K1486" s="109" t="n"/>
      <c r="L1486" s="226">
        <f>IF($E1486="","",DATE(YEAR($E1486),MONTH($E1486),1))</f>
        <v/>
      </c>
      <c r="M1486" s="113">
        <f>IF($D1486="","",IF($C1486="TANIMSIZ MÜŞTERİ","HATA",IF(OR($E1486="",$F1486&lt;=0,$G1486=""),"EKSİK",IF($E1486&gt;TODAY(),"İLERİ TARİH",IF(COUNTIF($S$7:$S$1506,$S1486)&gt;1,"MÜKERRER?",IF($T1486&gt;0,"KAPALI DÖNEM","UYGUN"))))))</f>
        <v/>
      </c>
      <c r="N1486" s="121">
        <f>IF($C1486="","",IF($C1486="TANIMSIZ MÜŞTERİ","—",INDEX(MUSTERILER!$C$7:$C$106,MATCH($C1486,MUSTERILER!$B$7:$B$106,0))))</f>
        <v/>
      </c>
      <c r="O1486" s="6" t="n"/>
      <c r="P1486" s="6" t="n"/>
      <c r="Q1486" s="3">
        <f>IF($D1486="","",$C1486&amp;"|"&amp;COUNTIFS($C$7:$C1486,$C1486))</f>
        <v/>
      </c>
      <c r="R1486" s="3">
        <f>IF($D1486="","",UPPER(SUBSTITUTE(SUBSTITUTE(SUBSTITUTE(SUBSTITUTE(SUBSTITUTE(SUBSTITUTE(SUBSTITUTE(SUBSTITUTE(SUBSTITUTE(SUBSTITUTE(SUBSTITUTE(SUBSTITUTE(SUBSTITUTE(SUBSTITUTE(SUBSTITUTE(SUBSTITUTE(SUBSTITUTE(SUBSTITUTE(TRIM($D1486),"'",""),"İ","I"),"ı","I"),"i","I"),"Ş","S"),"ş","S"),"Ğ","G"),"ğ","G"),"Ü","U"),"ü","U"),"Ö","O"),"ö","O"),"Ç","C"),"ç","C"),".",""),",","")," ",""),"-","")))</f>
        <v/>
      </c>
      <c r="S1486" s="3">
        <f>IF($D1486="","",$C1486&amp;"|"&amp;TEXT($E1486,"0")&amp;"|"&amp;TEXT($F1486,"0")&amp;"|"&amp;$I1486)</f>
        <v/>
      </c>
      <c r="T1486" s="3">
        <f>IF($E1486="",0,SUMPRODUCT((AY_SONU!$O$7:$O$42="Evet")*(AY_SONU!$B$7:$B$42=DATE(YEAR($E1486),MONTH($E1486),1))))</f>
        <v/>
      </c>
    </row>
    <row r="1487">
      <c r="A1487" s="6" t="n"/>
      <c r="B1487" s="113">
        <f>IF($D1487="","","T"&amp;TEXT(ROW()-6,"00000"))</f>
        <v/>
      </c>
      <c r="C1487" s="113">
        <f>IF($D1487="","",IFERROR(INDEX(MUSTERILER!$B$7:$B$106,MATCH($R1487,MUSTERILER!$T$7:$T$106,0)),IFERROR(INDEX(MUSTERILER!$B$7:$B$106,MATCH($D1487,MUSTERILER!$B$7:$B$106,0)),IFERROR(INDEX(MUSTERILER!$B$7:$B$106,MATCH($R1487&amp;"*",MUSTERILER!$T$7:$T$106,0)),"TANIMSIZ MÜŞTERİ"))))</f>
        <v/>
      </c>
      <c r="D1487" s="109" t="n"/>
      <c r="E1487" s="220" t="n"/>
      <c r="F1487" s="221" t="n"/>
      <c r="G1487" s="108" t="n"/>
      <c r="H1487" s="108" t="n"/>
      <c r="I1487" s="109" t="n"/>
      <c r="J1487" s="109" t="n"/>
      <c r="K1487" s="109" t="n"/>
      <c r="L1487" s="226">
        <f>IF($E1487="","",DATE(YEAR($E1487),MONTH($E1487),1))</f>
        <v/>
      </c>
      <c r="M1487" s="113">
        <f>IF($D1487="","",IF($C1487="TANIMSIZ MÜŞTERİ","HATA",IF(OR($E1487="",$F1487&lt;=0,$G1487=""),"EKSİK",IF($E1487&gt;TODAY(),"İLERİ TARİH",IF(COUNTIF($S$7:$S$1506,$S1487)&gt;1,"MÜKERRER?",IF($T1487&gt;0,"KAPALI DÖNEM","UYGUN"))))))</f>
        <v/>
      </c>
      <c r="N1487" s="121">
        <f>IF($C1487="","",IF($C1487="TANIMSIZ MÜŞTERİ","—",INDEX(MUSTERILER!$C$7:$C$106,MATCH($C1487,MUSTERILER!$B$7:$B$106,0))))</f>
        <v/>
      </c>
      <c r="O1487" s="6" t="n"/>
      <c r="P1487" s="6" t="n"/>
      <c r="Q1487" s="3">
        <f>IF($D1487="","",$C1487&amp;"|"&amp;COUNTIFS($C$7:$C1487,$C1487))</f>
        <v/>
      </c>
      <c r="R1487" s="3">
        <f>IF($D1487="","",UPPER(SUBSTITUTE(SUBSTITUTE(SUBSTITUTE(SUBSTITUTE(SUBSTITUTE(SUBSTITUTE(SUBSTITUTE(SUBSTITUTE(SUBSTITUTE(SUBSTITUTE(SUBSTITUTE(SUBSTITUTE(SUBSTITUTE(SUBSTITUTE(SUBSTITUTE(SUBSTITUTE(SUBSTITUTE(SUBSTITUTE(TRIM($D1487),"'",""),"İ","I"),"ı","I"),"i","I"),"Ş","S"),"ş","S"),"Ğ","G"),"ğ","G"),"Ü","U"),"ü","U"),"Ö","O"),"ö","O"),"Ç","C"),"ç","C"),".",""),",","")," ",""),"-","")))</f>
        <v/>
      </c>
      <c r="S1487" s="3">
        <f>IF($D1487="","",$C1487&amp;"|"&amp;TEXT($E1487,"0")&amp;"|"&amp;TEXT($F1487,"0")&amp;"|"&amp;$I1487)</f>
        <v/>
      </c>
      <c r="T1487" s="3">
        <f>IF($E1487="",0,SUMPRODUCT((AY_SONU!$O$7:$O$42="Evet")*(AY_SONU!$B$7:$B$42=DATE(YEAR($E1487),MONTH($E1487),1))))</f>
        <v/>
      </c>
    </row>
    <row r="1488">
      <c r="A1488" s="6" t="n"/>
      <c r="B1488" s="113">
        <f>IF($D1488="","","T"&amp;TEXT(ROW()-6,"00000"))</f>
        <v/>
      </c>
      <c r="C1488" s="113">
        <f>IF($D1488="","",IFERROR(INDEX(MUSTERILER!$B$7:$B$106,MATCH($R1488,MUSTERILER!$T$7:$T$106,0)),IFERROR(INDEX(MUSTERILER!$B$7:$B$106,MATCH($D1488,MUSTERILER!$B$7:$B$106,0)),IFERROR(INDEX(MUSTERILER!$B$7:$B$106,MATCH($R1488&amp;"*",MUSTERILER!$T$7:$T$106,0)),"TANIMSIZ MÜŞTERİ"))))</f>
        <v/>
      </c>
      <c r="D1488" s="109" t="n"/>
      <c r="E1488" s="220" t="n"/>
      <c r="F1488" s="221" t="n"/>
      <c r="G1488" s="108" t="n"/>
      <c r="H1488" s="108" t="n"/>
      <c r="I1488" s="109" t="n"/>
      <c r="J1488" s="109" t="n"/>
      <c r="K1488" s="109" t="n"/>
      <c r="L1488" s="226">
        <f>IF($E1488="","",DATE(YEAR($E1488),MONTH($E1488),1))</f>
        <v/>
      </c>
      <c r="M1488" s="113">
        <f>IF($D1488="","",IF($C1488="TANIMSIZ MÜŞTERİ","HATA",IF(OR($E1488="",$F1488&lt;=0,$G1488=""),"EKSİK",IF($E1488&gt;TODAY(),"İLERİ TARİH",IF(COUNTIF($S$7:$S$1506,$S1488)&gt;1,"MÜKERRER?",IF($T1488&gt;0,"KAPALI DÖNEM","UYGUN"))))))</f>
        <v/>
      </c>
      <c r="N1488" s="121">
        <f>IF($C1488="","",IF($C1488="TANIMSIZ MÜŞTERİ","—",INDEX(MUSTERILER!$C$7:$C$106,MATCH($C1488,MUSTERILER!$B$7:$B$106,0))))</f>
        <v/>
      </c>
      <c r="O1488" s="6" t="n"/>
      <c r="P1488" s="6" t="n"/>
      <c r="Q1488" s="3">
        <f>IF($D1488="","",$C1488&amp;"|"&amp;COUNTIFS($C$7:$C1488,$C1488))</f>
        <v/>
      </c>
      <c r="R1488" s="3">
        <f>IF($D1488="","",UPPER(SUBSTITUTE(SUBSTITUTE(SUBSTITUTE(SUBSTITUTE(SUBSTITUTE(SUBSTITUTE(SUBSTITUTE(SUBSTITUTE(SUBSTITUTE(SUBSTITUTE(SUBSTITUTE(SUBSTITUTE(SUBSTITUTE(SUBSTITUTE(SUBSTITUTE(SUBSTITUTE(SUBSTITUTE(SUBSTITUTE(TRIM($D1488),"'",""),"İ","I"),"ı","I"),"i","I"),"Ş","S"),"ş","S"),"Ğ","G"),"ğ","G"),"Ü","U"),"ü","U"),"Ö","O"),"ö","O"),"Ç","C"),"ç","C"),".",""),",","")," ",""),"-","")))</f>
        <v/>
      </c>
      <c r="S1488" s="3">
        <f>IF($D1488="","",$C1488&amp;"|"&amp;TEXT($E1488,"0")&amp;"|"&amp;TEXT($F1488,"0")&amp;"|"&amp;$I1488)</f>
        <v/>
      </c>
      <c r="T1488" s="3">
        <f>IF($E1488="",0,SUMPRODUCT((AY_SONU!$O$7:$O$42="Evet")*(AY_SONU!$B$7:$B$42=DATE(YEAR($E1488),MONTH($E1488),1))))</f>
        <v/>
      </c>
    </row>
    <row r="1489">
      <c r="A1489" s="6" t="n"/>
      <c r="B1489" s="113">
        <f>IF($D1489="","","T"&amp;TEXT(ROW()-6,"00000"))</f>
        <v/>
      </c>
      <c r="C1489" s="113">
        <f>IF($D1489="","",IFERROR(INDEX(MUSTERILER!$B$7:$B$106,MATCH($R1489,MUSTERILER!$T$7:$T$106,0)),IFERROR(INDEX(MUSTERILER!$B$7:$B$106,MATCH($D1489,MUSTERILER!$B$7:$B$106,0)),IFERROR(INDEX(MUSTERILER!$B$7:$B$106,MATCH($R1489&amp;"*",MUSTERILER!$T$7:$T$106,0)),"TANIMSIZ MÜŞTERİ"))))</f>
        <v/>
      </c>
      <c r="D1489" s="109" t="n"/>
      <c r="E1489" s="220" t="n"/>
      <c r="F1489" s="221" t="n"/>
      <c r="G1489" s="108" t="n"/>
      <c r="H1489" s="108" t="n"/>
      <c r="I1489" s="109" t="n"/>
      <c r="J1489" s="109" t="n"/>
      <c r="K1489" s="109" t="n"/>
      <c r="L1489" s="226">
        <f>IF($E1489="","",DATE(YEAR($E1489),MONTH($E1489),1))</f>
        <v/>
      </c>
      <c r="M1489" s="113">
        <f>IF($D1489="","",IF($C1489="TANIMSIZ MÜŞTERİ","HATA",IF(OR($E1489="",$F1489&lt;=0,$G1489=""),"EKSİK",IF($E1489&gt;TODAY(),"İLERİ TARİH",IF(COUNTIF($S$7:$S$1506,$S1489)&gt;1,"MÜKERRER?",IF($T1489&gt;0,"KAPALI DÖNEM","UYGUN"))))))</f>
        <v/>
      </c>
      <c r="N1489" s="121">
        <f>IF($C1489="","",IF($C1489="TANIMSIZ MÜŞTERİ","—",INDEX(MUSTERILER!$C$7:$C$106,MATCH($C1489,MUSTERILER!$B$7:$B$106,0))))</f>
        <v/>
      </c>
      <c r="O1489" s="6" t="n"/>
      <c r="P1489" s="6" t="n"/>
      <c r="Q1489" s="3">
        <f>IF($D1489="","",$C1489&amp;"|"&amp;COUNTIFS($C$7:$C1489,$C1489))</f>
        <v/>
      </c>
      <c r="R1489" s="3">
        <f>IF($D1489="","",UPPER(SUBSTITUTE(SUBSTITUTE(SUBSTITUTE(SUBSTITUTE(SUBSTITUTE(SUBSTITUTE(SUBSTITUTE(SUBSTITUTE(SUBSTITUTE(SUBSTITUTE(SUBSTITUTE(SUBSTITUTE(SUBSTITUTE(SUBSTITUTE(SUBSTITUTE(SUBSTITUTE(SUBSTITUTE(SUBSTITUTE(TRIM($D1489),"'",""),"İ","I"),"ı","I"),"i","I"),"Ş","S"),"ş","S"),"Ğ","G"),"ğ","G"),"Ü","U"),"ü","U"),"Ö","O"),"ö","O"),"Ç","C"),"ç","C"),".",""),",","")," ",""),"-","")))</f>
        <v/>
      </c>
      <c r="S1489" s="3">
        <f>IF($D1489="","",$C1489&amp;"|"&amp;TEXT($E1489,"0")&amp;"|"&amp;TEXT($F1489,"0")&amp;"|"&amp;$I1489)</f>
        <v/>
      </c>
      <c r="T1489" s="3">
        <f>IF($E1489="",0,SUMPRODUCT((AY_SONU!$O$7:$O$42="Evet")*(AY_SONU!$B$7:$B$42=DATE(YEAR($E1489),MONTH($E1489),1))))</f>
        <v/>
      </c>
    </row>
    <row r="1490">
      <c r="A1490" s="6" t="n"/>
      <c r="B1490" s="113">
        <f>IF($D1490="","","T"&amp;TEXT(ROW()-6,"00000"))</f>
        <v/>
      </c>
      <c r="C1490" s="113">
        <f>IF($D1490="","",IFERROR(INDEX(MUSTERILER!$B$7:$B$106,MATCH($R1490,MUSTERILER!$T$7:$T$106,0)),IFERROR(INDEX(MUSTERILER!$B$7:$B$106,MATCH($D1490,MUSTERILER!$B$7:$B$106,0)),IFERROR(INDEX(MUSTERILER!$B$7:$B$106,MATCH($R1490&amp;"*",MUSTERILER!$T$7:$T$106,0)),"TANIMSIZ MÜŞTERİ"))))</f>
        <v/>
      </c>
      <c r="D1490" s="109" t="n"/>
      <c r="E1490" s="220" t="n"/>
      <c r="F1490" s="221" t="n"/>
      <c r="G1490" s="108" t="n"/>
      <c r="H1490" s="108" t="n"/>
      <c r="I1490" s="109" t="n"/>
      <c r="J1490" s="109" t="n"/>
      <c r="K1490" s="109" t="n"/>
      <c r="L1490" s="226">
        <f>IF($E1490="","",DATE(YEAR($E1490),MONTH($E1490),1))</f>
        <v/>
      </c>
      <c r="M1490" s="113">
        <f>IF($D1490="","",IF($C1490="TANIMSIZ MÜŞTERİ","HATA",IF(OR($E1490="",$F1490&lt;=0,$G1490=""),"EKSİK",IF($E1490&gt;TODAY(),"İLERİ TARİH",IF(COUNTIF($S$7:$S$1506,$S1490)&gt;1,"MÜKERRER?",IF($T1490&gt;0,"KAPALI DÖNEM","UYGUN"))))))</f>
        <v/>
      </c>
      <c r="N1490" s="121">
        <f>IF($C1490="","",IF($C1490="TANIMSIZ MÜŞTERİ","—",INDEX(MUSTERILER!$C$7:$C$106,MATCH($C1490,MUSTERILER!$B$7:$B$106,0))))</f>
        <v/>
      </c>
      <c r="O1490" s="6" t="n"/>
      <c r="P1490" s="6" t="n"/>
      <c r="Q1490" s="3">
        <f>IF($D1490="","",$C1490&amp;"|"&amp;COUNTIFS($C$7:$C1490,$C1490))</f>
        <v/>
      </c>
      <c r="R1490" s="3">
        <f>IF($D1490="","",UPPER(SUBSTITUTE(SUBSTITUTE(SUBSTITUTE(SUBSTITUTE(SUBSTITUTE(SUBSTITUTE(SUBSTITUTE(SUBSTITUTE(SUBSTITUTE(SUBSTITUTE(SUBSTITUTE(SUBSTITUTE(SUBSTITUTE(SUBSTITUTE(SUBSTITUTE(SUBSTITUTE(SUBSTITUTE(SUBSTITUTE(TRIM($D1490),"'",""),"İ","I"),"ı","I"),"i","I"),"Ş","S"),"ş","S"),"Ğ","G"),"ğ","G"),"Ü","U"),"ü","U"),"Ö","O"),"ö","O"),"Ç","C"),"ç","C"),".",""),",","")," ",""),"-","")))</f>
        <v/>
      </c>
      <c r="S1490" s="3">
        <f>IF($D1490="","",$C1490&amp;"|"&amp;TEXT($E1490,"0")&amp;"|"&amp;TEXT($F1490,"0")&amp;"|"&amp;$I1490)</f>
        <v/>
      </c>
      <c r="T1490" s="3">
        <f>IF($E1490="",0,SUMPRODUCT((AY_SONU!$O$7:$O$42="Evet")*(AY_SONU!$B$7:$B$42=DATE(YEAR($E1490),MONTH($E1490),1))))</f>
        <v/>
      </c>
    </row>
    <row r="1491">
      <c r="A1491" s="6" t="n"/>
      <c r="B1491" s="113">
        <f>IF($D1491="","","T"&amp;TEXT(ROW()-6,"00000"))</f>
        <v/>
      </c>
      <c r="C1491" s="113">
        <f>IF($D1491="","",IFERROR(INDEX(MUSTERILER!$B$7:$B$106,MATCH($R1491,MUSTERILER!$T$7:$T$106,0)),IFERROR(INDEX(MUSTERILER!$B$7:$B$106,MATCH($D1491,MUSTERILER!$B$7:$B$106,0)),IFERROR(INDEX(MUSTERILER!$B$7:$B$106,MATCH($R1491&amp;"*",MUSTERILER!$T$7:$T$106,0)),"TANIMSIZ MÜŞTERİ"))))</f>
        <v/>
      </c>
      <c r="D1491" s="109" t="n"/>
      <c r="E1491" s="220" t="n"/>
      <c r="F1491" s="221" t="n"/>
      <c r="G1491" s="108" t="n"/>
      <c r="H1491" s="108" t="n"/>
      <c r="I1491" s="109" t="n"/>
      <c r="J1491" s="109" t="n"/>
      <c r="K1491" s="109" t="n"/>
      <c r="L1491" s="226">
        <f>IF($E1491="","",DATE(YEAR($E1491),MONTH($E1491),1))</f>
        <v/>
      </c>
      <c r="M1491" s="113">
        <f>IF($D1491="","",IF($C1491="TANIMSIZ MÜŞTERİ","HATA",IF(OR($E1491="",$F1491&lt;=0,$G1491=""),"EKSİK",IF($E1491&gt;TODAY(),"İLERİ TARİH",IF(COUNTIF($S$7:$S$1506,$S1491)&gt;1,"MÜKERRER?",IF($T1491&gt;0,"KAPALI DÖNEM","UYGUN"))))))</f>
        <v/>
      </c>
      <c r="N1491" s="121">
        <f>IF($C1491="","",IF($C1491="TANIMSIZ MÜŞTERİ","—",INDEX(MUSTERILER!$C$7:$C$106,MATCH($C1491,MUSTERILER!$B$7:$B$106,0))))</f>
        <v/>
      </c>
      <c r="O1491" s="6" t="n"/>
      <c r="P1491" s="6" t="n"/>
      <c r="Q1491" s="3">
        <f>IF($D1491="","",$C1491&amp;"|"&amp;COUNTIFS($C$7:$C1491,$C1491))</f>
        <v/>
      </c>
      <c r="R1491" s="3">
        <f>IF($D1491="","",UPPER(SUBSTITUTE(SUBSTITUTE(SUBSTITUTE(SUBSTITUTE(SUBSTITUTE(SUBSTITUTE(SUBSTITUTE(SUBSTITUTE(SUBSTITUTE(SUBSTITUTE(SUBSTITUTE(SUBSTITUTE(SUBSTITUTE(SUBSTITUTE(SUBSTITUTE(SUBSTITUTE(SUBSTITUTE(SUBSTITUTE(TRIM($D1491),"'",""),"İ","I"),"ı","I"),"i","I"),"Ş","S"),"ş","S"),"Ğ","G"),"ğ","G"),"Ü","U"),"ü","U"),"Ö","O"),"ö","O"),"Ç","C"),"ç","C"),".",""),",","")," ",""),"-","")))</f>
        <v/>
      </c>
      <c r="S1491" s="3">
        <f>IF($D1491="","",$C1491&amp;"|"&amp;TEXT($E1491,"0")&amp;"|"&amp;TEXT($F1491,"0")&amp;"|"&amp;$I1491)</f>
        <v/>
      </c>
      <c r="T1491" s="3">
        <f>IF($E1491="",0,SUMPRODUCT((AY_SONU!$O$7:$O$42="Evet")*(AY_SONU!$B$7:$B$42=DATE(YEAR($E1491),MONTH($E1491),1))))</f>
        <v/>
      </c>
    </row>
    <row r="1492">
      <c r="A1492" s="6" t="n"/>
      <c r="B1492" s="113">
        <f>IF($D1492="","","T"&amp;TEXT(ROW()-6,"00000"))</f>
        <v/>
      </c>
      <c r="C1492" s="113">
        <f>IF($D1492="","",IFERROR(INDEX(MUSTERILER!$B$7:$B$106,MATCH($R1492,MUSTERILER!$T$7:$T$106,0)),IFERROR(INDEX(MUSTERILER!$B$7:$B$106,MATCH($D1492,MUSTERILER!$B$7:$B$106,0)),IFERROR(INDEX(MUSTERILER!$B$7:$B$106,MATCH($R1492&amp;"*",MUSTERILER!$T$7:$T$106,0)),"TANIMSIZ MÜŞTERİ"))))</f>
        <v/>
      </c>
      <c r="D1492" s="109" t="n"/>
      <c r="E1492" s="220" t="n"/>
      <c r="F1492" s="221" t="n"/>
      <c r="G1492" s="108" t="n"/>
      <c r="H1492" s="108" t="n"/>
      <c r="I1492" s="109" t="n"/>
      <c r="J1492" s="109" t="n"/>
      <c r="K1492" s="109" t="n"/>
      <c r="L1492" s="226">
        <f>IF($E1492="","",DATE(YEAR($E1492),MONTH($E1492),1))</f>
        <v/>
      </c>
      <c r="M1492" s="113">
        <f>IF($D1492="","",IF($C1492="TANIMSIZ MÜŞTERİ","HATA",IF(OR($E1492="",$F1492&lt;=0,$G1492=""),"EKSİK",IF($E1492&gt;TODAY(),"İLERİ TARİH",IF(COUNTIF($S$7:$S$1506,$S1492)&gt;1,"MÜKERRER?",IF($T1492&gt;0,"KAPALI DÖNEM","UYGUN"))))))</f>
        <v/>
      </c>
      <c r="N1492" s="121">
        <f>IF($C1492="","",IF($C1492="TANIMSIZ MÜŞTERİ","—",INDEX(MUSTERILER!$C$7:$C$106,MATCH($C1492,MUSTERILER!$B$7:$B$106,0))))</f>
        <v/>
      </c>
      <c r="O1492" s="6" t="n"/>
      <c r="P1492" s="6" t="n"/>
      <c r="Q1492" s="3">
        <f>IF($D1492="","",$C1492&amp;"|"&amp;COUNTIFS($C$7:$C1492,$C1492))</f>
        <v/>
      </c>
      <c r="R1492" s="3">
        <f>IF($D1492="","",UPPER(SUBSTITUTE(SUBSTITUTE(SUBSTITUTE(SUBSTITUTE(SUBSTITUTE(SUBSTITUTE(SUBSTITUTE(SUBSTITUTE(SUBSTITUTE(SUBSTITUTE(SUBSTITUTE(SUBSTITUTE(SUBSTITUTE(SUBSTITUTE(SUBSTITUTE(SUBSTITUTE(SUBSTITUTE(SUBSTITUTE(TRIM($D1492),"'",""),"İ","I"),"ı","I"),"i","I"),"Ş","S"),"ş","S"),"Ğ","G"),"ğ","G"),"Ü","U"),"ü","U"),"Ö","O"),"ö","O"),"Ç","C"),"ç","C"),".",""),",","")," ",""),"-","")))</f>
        <v/>
      </c>
      <c r="S1492" s="3">
        <f>IF($D1492="","",$C1492&amp;"|"&amp;TEXT($E1492,"0")&amp;"|"&amp;TEXT($F1492,"0")&amp;"|"&amp;$I1492)</f>
        <v/>
      </c>
      <c r="T1492" s="3">
        <f>IF($E1492="",0,SUMPRODUCT((AY_SONU!$O$7:$O$42="Evet")*(AY_SONU!$B$7:$B$42=DATE(YEAR($E1492),MONTH($E1492),1))))</f>
        <v/>
      </c>
    </row>
    <row r="1493">
      <c r="A1493" s="6" t="n"/>
      <c r="B1493" s="113">
        <f>IF($D1493="","","T"&amp;TEXT(ROW()-6,"00000"))</f>
        <v/>
      </c>
      <c r="C1493" s="113">
        <f>IF($D1493="","",IFERROR(INDEX(MUSTERILER!$B$7:$B$106,MATCH($R1493,MUSTERILER!$T$7:$T$106,0)),IFERROR(INDEX(MUSTERILER!$B$7:$B$106,MATCH($D1493,MUSTERILER!$B$7:$B$106,0)),IFERROR(INDEX(MUSTERILER!$B$7:$B$106,MATCH($R1493&amp;"*",MUSTERILER!$T$7:$T$106,0)),"TANIMSIZ MÜŞTERİ"))))</f>
        <v/>
      </c>
      <c r="D1493" s="109" t="n"/>
      <c r="E1493" s="220" t="n"/>
      <c r="F1493" s="221" t="n"/>
      <c r="G1493" s="108" t="n"/>
      <c r="H1493" s="108" t="n"/>
      <c r="I1493" s="109" t="n"/>
      <c r="J1493" s="109" t="n"/>
      <c r="K1493" s="109" t="n"/>
      <c r="L1493" s="226">
        <f>IF($E1493="","",DATE(YEAR($E1493),MONTH($E1493),1))</f>
        <v/>
      </c>
      <c r="M1493" s="113">
        <f>IF($D1493="","",IF($C1493="TANIMSIZ MÜŞTERİ","HATA",IF(OR($E1493="",$F1493&lt;=0,$G1493=""),"EKSİK",IF($E1493&gt;TODAY(),"İLERİ TARİH",IF(COUNTIF($S$7:$S$1506,$S1493)&gt;1,"MÜKERRER?",IF($T1493&gt;0,"KAPALI DÖNEM","UYGUN"))))))</f>
        <v/>
      </c>
      <c r="N1493" s="121">
        <f>IF($C1493="","",IF($C1493="TANIMSIZ MÜŞTERİ","—",INDEX(MUSTERILER!$C$7:$C$106,MATCH($C1493,MUSTERILER!$B$7:$B$106,0))))</f>
        <v/>
      </c>
      <c r="O1493" s="6" t="n"/>
      <c r="P1493" s="6" t="n"/>
      <c r="Q1493" s="3">
        <f>IF($D1493="","",$C1493&amp;"|"&amp;COUNTIFS($C$7:$C1493,$C1493))</f>
        <v/>
      </c>
      <c r="R1493" s="3">
        <f>IF($D1493="","",UPPER(SUBSTITUTE(SUBSTITUTE(SUBSTITUTE(SUBSTITUTE(SUBSTITUTE(SUBSTITUTE(SUBSTITUTE(SUBSTITUTE(SUBSTITUTE(SUBSTITUTE(SUBSTITUTE(SUBSTITUTE(SUBSTITUTE(SUBSTITUTE(SUBSTITUTE(SUBSTITUTE(SUBSTITUTE(SUBSTITUTE(TRIM($D1493),"'",""),"İ","I"),"ı","I"),"i","I"),"Ş","S"),"ş","S"),"Ğ","G"),"ğ","G"),"Ü","U"),"ü","U"),"Ö","O"),"ö","O"),"Ç","C"),"ç","C"),".",""),",","")," ",""),"-","")))</f>
        <v/>
      </c>
      <c r="S1493" s="3">
        <f>IF($D1493="","",$C1493&amp;"|"&amp;TEXT($E1493,"0")&amp;"|"&amp;TEXT($F1493,"0")&amp;"|"&amp;$I1493)</f>
        <v/>
      </c>
      <c r="T1493" s="3">
        <f>IF($E1493="",0,SUMPRODUCT((AY_SONU!$O$7:$O$42="Evet")*(AY_SONU!$B$7:$B$42=DATE(YEAR($E1493),MONTH($E1493),1))))</f>
        <v/>
      </c>
    </row>
    <row r="1494">
      <c r="A1494" s="6" t="n"/>
      <c r="B1494" s="113">
        <f>IF($D1494="","","T"&amp;TEXT(ROW()-6,"00000"))</f>
        <v/>
      </c>
      <c r="C1494" s="113">
        <f>IF($D1494="","",IFERROR(INDEX(MUSTERILER!$B$7:$B$106,MATCH($R1494,MUSTERILER!$T$7:$T$106,0)),IFERROR(INDEX(MUSTERILER!$B$7:$B$106,MATCH($D1494,MUSTERILER!$B$7:$B$106,0)),IFERROR(INDEX(MUSTERILER!$B$7:$B$106,MATCH($R1494&amp;"*",MUSTERILER!$T$7:$T$106,0)),"TANIMSIZ MÜŞTERİ"))))</f>
        <v/>
      </c>
      <c r="D1494" s="109" t="n"/>
      <c r="E1494" s="220" t="n"/>
      <c r="F1494" s="221" t="n"/>
      <c r="G1494" s="108" t="n"/>
      <c r="H1494" s="108" t="n"/>
      <c r="I1494" s="109" t="n"/>
      <c r="J1494" s="109" t="n"/>
      <c r="K1494" s="109" t="n"/>
      <c r="L1494" s="226">
        <f>IF($E1494="","",DATE(YEAR($E1494),MONTH($E1494),1))</f>
        <v/>
      </c>
      <c r="M1494" s="113">
        <f>IF($D1494="","",IF($C1494="TANIMSIZ MÜŞTERİ","HATA",IF(OR($E1494="",$F1494&lt;=0,$G1494=""),"EKSİK",IF($E1494&gt;TODAY(),"İLERİ TARİH",IF(COUNTIF($S$7:$S$1506,$S1494)&gt;1,"MÜKERRER?",IF($T1494&gt;0,"KAPALI DÖNEM","UYGUN"))))))</f>
        <v/>
      </c>
      <c r="N1494" s="121">
        <f>IF($C1494="","",IF($C1494="TANIMSIZ MÜŞTERİ","—",INDEX(MUSTERILER!$C$7:$C$106,MATCH($C1494,MUSTERILER!$B$7:$B$106,0))))</f>
        <v/>
      </c>
      <c r="O1494" s="6" t="n"/>
      <c r="P1494" s="6" t="n"/>
      <c r="Q1494" s="3">
        <f>IF($D1494="","",$C1494&amp;"|"&amp;COUNTIFS($C$7:$C1494,$C1494))</f>
        <v/>
      </c>
      <c r="R1494" s="3">
        <f>IF($D1494="","",UPPER(SUBSTITUTE(SUBSTITUTE(SUBSTITUTE(SUBSTITUTE(SUBSTITUTE(SUBSTITUTE(SUBSTITUTE(SUBSTITUTE(SUBSTITUTE(SUBSTITUTE(SUBSTITUTE(SUBSTITUTE(SUBSTITUTE(SUBSTITUTE(SUBSTITUTE(SUBSTITUTE(SUBSTITUTE(SUBSTITUTE(TRIM($D1494),"'",""),"İ","I"),"ı","I"),"i","I"),"Ş","S"),"ş","S"),"Ğ","G"),"ğ","G"),"Ü","U"),"ü","U"),"Ö","O"),"ö","O"),"Ç","C"),"ç","C"),".",""),",","")," ",""),"-","")))</f>
        <v/>
      </c>
      <c r="S1494" s="3">
        <f>IF($D1494="","",$C1494&amp;"|"&amp;TEXT($E1494,"0")&amp;"|"&amp;TEXT($F1494,"0")&amp;"|"&amp;$I1494)</f>
        <v/>
      </c>
      <c r="T1494" s="3">
        <f>IF($E1494="",0,SUMPRODUCT((AY_SONU!$O$7:$O$42="Evet")*(AY_SONU!$B$7:$B$42=DATE(YEAR($E1494),MONTH($E1494),1))))</f>
        <v/>
      </c>
    </row>
    <row r="1495">
      <c r="A1495" s="6" t="n"/>
      <c r="B1495" s="113">
        <f>IF($D1495="","","T"&amp;TEXT(ROW()-6,"00000"))</f>
        <v/>
      </c>
      <c r="C1495" s="113">
        <f>IF($D1495="","",IFERROR(INDEX(MUSTERILER!$B$7:$B$106,MATCH($R1495,MUSTERILER!$T$7:$T$106,0)),IFERROR(INDEX(MUSTERILER!$B$7:$B$106,MATCH($D1495,MUSTERILER!$B$7:$B$106,0)),IFERROR(INDEX(MUSTERILER!$B$7:$B$106,MATCH($R1495&amp;"*",MUSTERILER!$T$7:$T$106,0)),"TANIMSIZ MÜŞTERİ"))))</f>
        <v/>
      </c>
      <c r="D1495" s="109" t="n"/>
      <c r="E1495" s="220" t="n"/>
      <c r="F1495" s="221" t="n"/>
      <c r="G1495" s="108" t="n"/>
      <c r="H1495" s="108" t="n"/>
      <c r="I1495" s="109" t="n"/>
      <c r="J1495" s="109" t="n"/>
      <c r="K1495" s="109" t="n"/>
      <c r="L1495" s="226">
        <f>IF($E1495="","",DATE(YEAR($E1495),MONTH($E1495),1))</f>
        <v/>
      </c>
      <c r="M1495" s="113">
        <f>IF($D1495="","",IF($C1495="TANIMSIZ MÜŞTERİ","HATA",IF(OR($E1495="",$F1495&lt;=0,$G1495=""),"EKSİK",IF($E1495&gt;TODAY(),"İLERİ TARİH",IF(COUNTIF($S$7:$S$1506,$S1495)&gt;1,"MÜKERRER?",IF($T1495&gt;0,"KAPALI DÖNEM","UYGUN"))))))</f>
        <v/>
      </c>
      <c r="N1495" s="121">
        <f>IF($C1495="","",IF($C1495="TANIMSIZ MÜŞTERİ","—",INDEX(MUSTERILER!$C$7:$C$106,MATCH($C1495,MUSTERILER!$B$7:$B$106,0))))</f>
        <v/>
      </c>
      <c r="O1495" s="6" t="n"/>
      <c r="P1495" s="6" t="n"/>
      <c r="Q1495" s="3">
        <f>IF($D1495="","",$C1495&amp;"|"&amp;COUNTIFS($C$7:$C1495,$C1495))</f>
        <v/>
      </c>
      <c r="R1495" s="3">
        <f>IF($D1495="","",UPPER(SUBSTITUTE(SUBSTITUTE(SUBSTITUTE(SUBSTITUTE(SUBSTITUTE(SUBSTITUTE(SUBSTITUTE(SUBSTITUTE(SUBSTITUTE(SUBSTITUTE(SUBSTITUTE(SUBSTITUTE(SUBSTITUTE(SUBSTITUTE(SUBSTITUTE(SUBSTITUTE(SUBSTITUTE(SUBSTITUTE(TRIM($D1495),"'",""),"İ","I"),"ı","I"),"i","I"),"Ş","S"),"ş","S"),"Ğ","G"),"ğ","G"),"Ü","U"),"ü","U"),"Ö","O"),"ö","O"),"Ç","C"),"ç","C"),".",""),",","")," ",""),"-","")))</f>
        <v/>
      </c>
      <c r="S1495" s="3">
        <f>IF($D1495="","",$C1495&amp;"|"&amp;TEXT($E1495,"0")&amp;"|"&amp;TEXT($F1495,"0")&amp;"|"&amp;$I1495)</f>
        <v/>
      </c>
      <c r="T1495" s="3">
        <f>IF($E1495="",0,SUMPRODUCT((AY_SONU!$O$7:$O$42="Evet")*(AY_SONU!$B$7:$B$42=DATE(YEAR($E1495),MONTH($E1495),1))))</f>
        <v/>
      </c>
    </row>
    <row r="1496">
      <c r="A1496" s="6" t="n"/>
      <c r="B1496" s="113">
        <f>IF($D1496="","","T"&amp;TEXT(ROW()-6,"00000"))</f>
        <v/>
      </c>
      <c r="C1496" s="113">
        <f>IF($D1496="","",IFERROR(INDEX(MUSTERILER!$B$7:$B$106,MATCH($R1496,MUSTERILER!$T$7:$T$106,0)),IFERROR(INDEX(MUSTERILER!$B$7:$B$106,MATCH($D1496,MUSTERILER!$B$7:$B$106,0)),IFERROR(INDEX(MUSTERILER!$B$7:$B$106,MATCH($R1496&amp;"*",MUSTERILER!$T$7:$T$106,0)),"TANIMSIZ MÜŞTERİ"))))</f>
        <v/>
      </c>
      <c r="D1496" s="109" t="n"/>
      <c r="E1496" s="220" t="n"/>
      <c r="F1496" s="221" t="n"/>
      <c r="G1496" s="108" t="n"/>
      <c r="H1496" s="108" t="n"/>
      <c r="I1496" s="109" t="n"/>
      <c r="J1496" s="109" t="n"/>
      <c r="K1496" s="109" t="n"/>
      <c r="L1496" s="226">
        <f>IF($E1496="","",DATE(YEAR($E1496),MONTH($E1496),1))</f>
        <v/>
      </c>
      <c r="M1496" s="113">
        <f>IF($D1496="","",IF($C1496="TANIMSIZ MÜŞTERİ","HATA",IF(OR($E1496="",$F1496&lt;=0,$G1496=""),"EKSİK",IF($E1496&gt;TODAY(),"İLERİ TARİH",IF(COUNTIF($S$7:$S$1506,$S1496)&gt;1,"MÜKERRER?",IF($T1496&gt;0,"KAPALI DÖNEM","UYGUN"))))))</f>
        <v/>
      </c>
      <c r="N1496" s="121">
        <f>IF($C1496="","",IF($C1496="TANIMSIZ MÜŞTERİ","—",INDEX(MUSTERILER!$C$7:$C$106,MATCH($C1496,MUSTERILER!$B$7:$B$106,0))))</f>
        <v/>
      </c>
      <c r="O1496" s="6" t="n"/>
      <c r="P1496" s="6" t="n"/>
      <c r="Q1496" s="3">
        <f>IF($D1496="","",$C1496&amp;"|"&amp;COUNTIFS($C$7:$C1496,$C1496))</f>
        <v/>
      </c>
      <c r="R1496" s="3">
        <f>IF($D1496="","",UPPER(SUBSTITUTE(SUBSTITUTE(SUBSTITUTE(SUBSTITUTE(SUBSTITUTE(SUBSTITUTE(SUBSTITUTE(SUBSTITUTE(SUBSTITUTE(SUBSTITUTE(SUBSTITUTE(SUBSTITUTE(SUBSTITUTE(SUBSTITUTE(SUBSTITUTE(SUBSTITUTE(SUBSTITUTE(SUBSTITUTE(TRIM($D1496),"'",""),"İ","I"),"ı","I"),"i","I"),"Ş","S"),"ş","S"),"Ğ","G"),"ğ","G"),"Ü","U"),"ü","U"),"Ö","O"),"ö","O"),"Ç","C"),"ç","C"),".",""),",","")," ",""),"-","")))</f>
        <v/>
      </c>
      <c r="S1496" s="3">
        <f>IF($D1496="","",$C1496&amp;"|"&amp;TEXT($E1496,"0")&amp;"|"&amp;TEXT($F1496,"0")&amp;"|"&amp;$I1496)</f>
        <v/>
      </c>
      <c r="T1496" s="3">
        <f>IF($E1496="",0,SUMPRODUCT((AY_SONU!$O$7:$O$42="Evet")*(AY_SONU!$B$7:$B$42=DATE(YEAR($E1496),MONTH($E1496),1))))</f>
        <v/>
      </c>
    </row>
    <row r="1497">
      <c r="A1497" s="6" t="n"/>
      <c r="B1497" s="113">
        <f>IF($D1497="","","T"&amp;TEXT(ROW()-6,"00000"))</f>
        <v/>
      </c>
      <c r="C1497" s="113">
        <f>IF($D1497="","",IFERROR(INDEX(MUSTERILER!$B$7:$B$106,MATCH($R1497,MUSTERILER!$T$7:$T$106,0)),IFERROR(INDEX(MUSTERILER!$B$7:$B$106,MATCH($D1497,MUSTERILER!$B$7:$B$106,0)),IFERROR(INDEX(MUSTERILER!$B$7:$B$106,MATCH($R1497&amp;"*",MUSTERILER!$T$7:$T$106,0)),"TANIMSIZ MÜŞTERİ"))))</f>
        <v/>
      </c>
      <c r="D1497" s="109" t="n"/>
      <c r="E1497" s="220" t="n"/>
      <c r="F1497" s="221" t="n"/>
      <c r="G1497" s="108" t="n"/>
      <c r="H1497" s="108" t="n"/>
      <c r="I1497" s="109" t="n"/>
      <c r="J1497" s="109" t="n"/>
      <c r="K1497" s="109" t="n"/>
      <c r="L1497" s="226">
        <f>IF($E1497="","",DATE(YEAR($E1497),MONTH($E1497),1))</f>
        <v/>
      </c>
      <c r="M1497" s="113">
        <f>IF($D1497="","",IF($C1497="TANIMSIZ MÜŞTERİ","HATA",IF(OR($E1497="",$F1497&lt;=0,$G1497=""),"EKSİK",IF($E1497&gt;TODAY(),"İLERİ TARİH",IF(COUNTIF($S$7:$S$1506,$S1497)&gt;1,"MÜKERRER?",IF($T1497&gt;0,"KAPALI DÖNEM","UYGUN"))))))</f>
        <v/>
      </c>
      <c r="N1497" s="121">
        <f>IF($C1497="","",IF($C1497="TANIMSIZ MÜŞTERİ","—",INDEX(MUSTERILER!$C$7:$C$106,MATCH($C1497,MUSTERILER!$B$7:$B$106,0))))</f>
        <v/>
      </c>
      <c r="O1497" s="6" t="n"/>
      <c r="P1497" s="6" t="n"/>
      <c r="Q1497" s="3">
        <f>IF($D1497="","",$C1497&amp;"|"&amp;COUNTIFS($C$7:$C1497,$C1497))</f>
        <v/>
      </c>
      <c r="R1497" s="3">
        <f>IF($D1497="","",UPPER(SUBSTITUTE(SUBSTITUTE(SUBSTITUTE(SUBSTITUTE(SUBSTITUTE(SUBSTITUTE(SUBSTITUTE(SUBSTITUTE(SUBSTITUTE(SUBSTITUTE(SUBSTITUTE(SUBSTITUTE(SUBSTITUTE(SUBSTITUTE(SUBSTITUTE(SUBSTITUTE(SUBSTITUTE(SUBSTITUTE(TRIM($D1497),"'",""),"İ","I"),"ı","I"),"i","I"),"Ş","S"),"ş","S"),"Ğ","G"),"ğ","G"),"Ü","U"),"ü","U"),"Ö","O"),"ö","O"),"Ç","C"),"ç","C"),".",""),",","")," ",""),"-","")))</f>
        <v/>
      </c>
      <c r="S1497" s="3">
        <f>IF($D1497="","",$C1497&amp;"|"&amp;TEXT($E1497,"0")&amp;"|"&amp;TEXT($F1497,"0")&amp;"|"&amp;$I1497)</f>
        <v/>
      </c>
      <c r="T1497" s="3">
        <f>IF($E1497="",0,SUMPRODUCT((AY_SONU!$O$7:$O$42="Evet")*(AY_SONU!$B$7:$B$42=DATE(YEAR($E1497),MONTH($E1497),1))))</f>
        <v/>
      </c>
    </row>
    <row r="1498">
      <c r="A1498" s="6" t="n"/>
      <c r="B1498" s="113">
        <f>IF($D1498="","","T"&amp;TEXT(ROW()-6,"00000"))</f>
        <v/>
      </c>
      <c r="C1498" s="113">
        <f>IF($D1498="","",IFERROR(INDEX(MUSTERILER!$B$7:$B$106,MATCH($R1498,MUSTERILER!$T$7:$T$106,0)),IFERROR(INDEX(MUSTERILER!$B$7:$B$106,MATCH($D1498,MUSTERILER!$B$7:$B$106,0)),IFERROR(INDEX(MUSTERILER!$B$7:$B$106,MATCH($R1498&amp;"*",MUSTERILER!$T$7:$T$106,0)),"TANIMSIZ MÜŞTERİ"))))</f>
        <v/>
      </c>
      <c r="D1498" s="109" t="n"/>
      <c r="E1498" s="220" t="n"/>
      <c r="F1498" s="221" t="n"/>
      <c r="G1498" s="108" t="n"/>
      <c r="H1498" s="108" t="n"/>
      <c r="I1498" s="109" t="n"/>
      <c r="J1498" s="109" t="n"/>
      <c r="K1498" s="109" t="n"/>
      <c r="L1498" s="226">
        <f>IF($E1498="","",DATE(YEAR($E1498),MONTH($E1498),1))</f>
        <v/>
      </c>
      <c r="M1498" s="113">
        <f>IF($D1498="","",IF($C1498="TANIMSIZ MÜŞTERİ","HATA",IF(OR($E1498="",$F1498&lt;=0,$G1498=""),"EKSİK",IF($E1498&gt;TODAY(),"İLERİ TARİH",IF(COUNTIF($S$7:$S$1506,$S1498)&gt;1,"MÜKERRER?",IF($T1498&gt;0,"KAPALI DÖNEM","UYGUN"))))))</f>
        <v/>
      </c>
      <c r="N1498" s="121">
        <f>IF($C1498="","",IF($C1498="TANIMSIZ MÜŞTERİ","—",INDEX(MUSTERILER!$C$7:$C$106,MATCH($C1498,MUSTERILER!$B$7:$B$106,0))))</f>
        <v/>
      </c>
      <c r="O1498" s="6" t="n"/>
      <c r="P1498" s="6" t="n"/>
      <c r="Q1498" s="3">
        <f>IF($D1498="","",$C1498&amp;"|"&amp;COUNTIFS($C$7:$C1498,$C1498))</f>
        <v/>
      </c>
      <c r="R1498" s="3">
        <f>IF($D1498="","",UPPER(SUBSTITUTE(SUBSTITUTE(SUBSTITUTE(SUBSTITUTE(SUBSTITUTE(SUBSTITUTE(SUBSTITUTE(SUBSTITUTE(SUBSTITUTE(SUBSTITUTE(SUBSTITUTE(SUBSTITUTE(SUBSTITUTE(SUBSTITUTE(SUBSTITUTE(SUBSTITUTE(SUBSTITUTE(SUBSTITUTE(TRIM($D1498),"'",""),"İ","I"),"ı","I"),"i","I"),"Ş","S"),"ş","S"),"Ğ","G"),"ğ","G"),"Ü","U"),"ü","U"),"Ö","O"),"ö","O"),"Ç","C"),"ç","C"),".",""),",","")," ",""),"-","")))</f>
        <v/>
      </c>
      <c r="S1498" s="3">
        <f>IF($D1498="","",$C1498&amp;"|"&amp;TEXT($E1498,"0")&amp;"|"&amp;TEXT($F1498,"0")&amp;"|"&amp;$I1498)</f>
        <v/>
      </c>
      <c r="T1498" s="3">
        <f>IF($E1498="",0,SUMPRODUCT((AY_SONU!$O$7:$O$42="Evet")*(AY_SONU!$B$7:$B$42=DATE(YEAR($E1498),MONTH($E1498),1))))</f>
        <v/>
      </c>
    </row>
    <row r="1499">
      <c r="A1499" s="6" t="n"/>
      <c r="B1499" s="113">
        <f>IF($D1499="","","T"&amp;TEXT(ROW()-6,"00000"))</f>
        <v/>
      </c>
      <c r="C1499" s="113">
        <f>IF($D1499="","",IFERROR(INDEX(MUSTERILER!$B$7:$B$106,MATCH($R1499,MUSTERILER!$T$7:$T$106,0)),IFERROR(INDEX(MUSTERILER!$B$7:$B$106,MATCH($D1499,MUSTERILER!$B$7:$B$106,0)),IFERROR(INDEX(MUSTERILER!$B$7:$B$106,MATCH($R1499&amp;"*",MUSTERILER!$T$7:$T$106,0)),"TANIMSIZ MÜŞTERİ"))))</f>
        <v/>
      </c>
      <c r="D1499" s="109" t="n"/>
      <c r="E1499" s="220" t="n"/>
      <c r="F1499" s="221" t="n"/>
      <c r="G1499" s="108" t="n"/>
      <c r="H1499" s="108" t="n"/>
      <c r="I1499" s="109" t="n"/>
      <c r="J1499" s="109" t="n"/>
      <c r="K1499" s="109" t="n"/>
      <c r="L1499" s="226">
        <f>IF($E1499="","",DATE(YEAR($E1499),MONTH($E1499),1))</f>
        <v/>
      </c>
      <c r="M1499" s="113">
        <f>IF($D1499="","",IF($C1499="TANIMSIZ MÜŞTERİ","HATA",IF(OR($E1499="",$F1499&lt;=0,$G1499=""),"EKSİK",IF($E1499&gt;TODAY(),"İLERİ TARİH",IF(COUNTIF($S$7:$S$1506,$S1499)&gt;1,"MÜKERRER?",IF($T1499&gt;0,"KAPALI DÖNEM","UYGUN"))))))</f>
        <v/>
      </c>
      <c r="N1499" s="121">
        <f>IF($C1499="","",IF($C1499="TANIMSIZ MÜŞTERİ","—",INDEX(MUSTERILER!$C$7:$C$106,MATCH($C1499,MUSTERILER!$B$7:$B$106,0))))</f>
        <v/>
      </c>
      <c r="O1499" s="6" t="n"/>
      <c r="P1499" s="6" t="n"/>
      <c r="Q1499" s="3">
        <f>IF($D1499="","",$C1499&amp;"|"&amp;COUNTIFS($C$7:$C1499,$C1499))</f>
        <v/>
      </c>
      <c r="R1499" s="3">
        <f>IF($D1499="","",UPPER(SUBSTITUTE(SUBSTITUTE(SUBSTITUTE(SUBSTITUTE(SUBSTITUTE(SUBSTITUTE(SUBSTITUTE(SUBSTITUTE(SUBSTITUTE(SUBSTITUTE(SUBSTITUTE(SUBSTITUTE(SUBSTITUTE(SUBSTITUTE(SUBSTITUTE(SUBSTITUTE(SUBSTITUTE(SUBSTITUTE(TRIM($D1499),"'",""),"İ","I"),"ı","I"),"i","I"),"Ş","S"),"ş","S"),"Ğ","G"),"ğ","G"),"Ü","U"),"ü","U"),"Ö","O"),"ö","O"),"Ç","C"),"ç","C"),".",""),",","")," ",""),"-","")))</f>
        <v/>
      </c>
      <c r="S1499" s="3">
        <f>IF($D1499="","",$C1499&amp;"|"&amp;TEXT($E1499,"0")&amp;"|"&amp;TEXT($F1499,"0")&amp;"|"&amp;$I1499)</f>
        <v/>
      </c>
      <c r="T1499" s="3">
        <f>IF($E1499="",0,SUMPRODUCT((AY_SONU!$O$7:$O$42="Evet")*(AY_SONU!$B$7:$B$42=DATE(YEAR($E1499),MONTH($E1499),1))))</f>
        <v/>
      </c>
    </row>
    <row r="1500">
      <c r="A1500" s="6" t="n"/>
      <c r="B1500" s="113">
        <f>IF($D1500="","","T"&amp;TEXT(ROW()-6,"00000"))</f>
        <v/>
      </c>
      <c r="C1500" s="113">
        <f>IF($D1500="","",IFERROR(INDEX(MUSTERILER!$B$7:$B$106,MATCH($R1500,MUSTERILER!$T$7:$T$106,0)),IFERROR(INDEX(MUSTERILER!$B$7:$B$106,MATCH($D1500,MUSTERILER!$B$7:$B$106,0)),IFERROR(INDEX(MUSTERILER!$B$7:$B$106,MATCH($R1500&amp;"*",MUSTERILER!$T$7:$T$106,0)),"TANIMSIZ MÜŞTERİ"))))</f>
        <v/>
      </c>
      <c r="D1500" s="109" t="n"/>
      <c r="E1500" s="220" t="n"/>
      <c r="F1500" s="221" t="n"/>
      <c r="G1500" s="108" t="n"/>
      <c r="H1500" s="108" t="n"/>
      <c r="I1500" s="109" t="n"/>
      <c r="J1500" s="109" t="n"/>
      <c r="K1500" s="109" t="n"/>
      <c r="L1500" s="226">
        <f>IF($E1500="","",DATE(YEAR($E1500),MONTH($E1500),1))</f>
        <v/>
      </c>
      <c r="M1500" s="113">
        <f>IF($D1500="","",IF($C1500="TANIMSIZ MÜŞTERİ","HATA",IF(OR($E1500="",$F1500&lt;=0,$G1500=""),"EKSİK",IF($E1500&gt;TODAY(),"İLERİ TARİH",IF(COUNTIF($S$7:$S$1506,$S1500)&gt;1,"MÜKERRER?",IF($T1500&gt;0,"KAPALI DÖNEM","UYGUN"))))))</f>
        <v/>
      </c>
      <c r="N1500" s="121">
        <f>IF($C1500="","",IF($C1500="TANIMSIZ MÜŞTERİ","—",INDEX(MUSTERILER!$C$7:$C$106,MATCH($C1500,MUSTERILER!$B$7:$B$106,0))))</f>
        <v/>
      </c>
      <c r="O1500" s="6" t="n"/>
      <c r="P1500" s="6" t="n"/>
      <c r="Q1500" s="3">
        <f>IF($D1500="","",$C1500&amp;"|"&amp;COUNTIFS($C$7:$C1500,$C1500))</f>
        <v/>
      </c>
      <c r="R1500" s="3">
        <f>IF($D1500="","",UPPER(SUBSTITUTE(SUBSTITUTE(SUBSTITUTE(SUBSTITUTE(SUBSTITUTE(SUBSTITUTE(SUBSTITUTE(SUBSTITUTE(SUBSTITUTE(SUBSTITUTE(SUBSTITUTE(SUBSTITUTE(SUBSTITUTE(SUBSTITUTE(SUBSTITUTE(SUBSTITUTE(SUBSTITUTE(SUBSTITUTE(TRIM($D1500),"'",""),"İ","I"),"ı","I"),"i","I"),"Ş","S"),"ş","S"),"Ğ","G"),"ğ","G"),"Ü","U"),"ü","U"),"Ö","O"),"ö","O"),"Ç","C"),"ç","C"),".",""),",","")," ",""),"-","")))</f>
        <v/>
      </c>
      <c r="S1500" s="3">
        <f>IF($D1500="","",$C1500&amp;"|"&amp;TEXT($E1500,"0")&amp;"|"&amp;TEXT($F1500,"0")&amp;"|"&amp;$I1500)</f>
        <v/>
      </c>
      <c r="T1500" s="3">
        <f>IF($E1500="",0,SUMPRODUCT((AY_SONU!$O$7:$O$42="Evet")*(AY_SONU!$B$7:$B$42=DATE(YEAR($E1500),MONTH($E1500),1))))</f>
        <v/>
      </c>
    </row>
    <row r="1501">
      <c r="A1501" s="6" t="n"/>
      <c r="B1501" s="113">
        <f>IF($D1501="","","T"&amp;TEXT(ROW()-6,"00000"))</f>
        <v/>
      </c>
      <c r="C1501" s="113">
        <f>IF($D1501="","",IFERROR(INDEX(MUSTERILER!$B$7:$B$106,MATCH($R1501,MUSTERILER!$T$7:$T$106,0)),IFERROR(INDEX(MUSTERILER!$B$7:$B$106,MATCH($D1501,MUSTERILER!$B$7:$B$106,0)),IFERROR(INDEX(MUSTERILER!$B$7:$B$106,MATCH($R1501&amp;"*",MUSTERILER!$T$7:$T$106,0)),"TANIMSIZ MÜŞTERİ"))))</f>
        <v/>
      </c>
      <c r="D1501" s="109" t="n"/>
      <c r="E1501" s="220" t="n"/>
      <c r="F1501" s="221" t="n"/>
      <c r="G1501" s="108" t="n"/>
      <c r="H1501" s="108" t="n"/>
      <c r="I1501" s="109" t="n"/>
      <c r="J1501" s="109" t="n"/>
      <c r="K1501" s="109" t="n"/>
      <c r="L1501" s="226">
        <f>IF($E1501="","",DATE(YEAR($E1501),MONTH($E1501),1))</f>
        <v/>
      </c>
      <c r="M1501" s="113">
        <f>IF($D1501="","",IF($C1501="TANIMSIZ MÜŞTERİ","HATA",IF(OR($E1501="",$F1501&lt;=0,$G1501=""),"EKSİK",IF($E1501&gt;TODAY(),"İLERİ TARİH",IF(COUNTIF($S$7:$S$1506,$S1501)&gt;1,"MÜKERRER?",IF($T1501&gt;0,"KAPALI DÖNEM","UYGUN"))))))</f>
        <v/>
      </c>
      <c r="N1501" s="121">
        <f>IF($C1501="","",IF($C1501="TANIMSIZ MÜŞTERİ","—",INDEX(MUSTERILER!$C$7:$C$106,MATCH($C1501,MUSTERILER!$B$7:$B$106,0))))</f>
        <v/>
      </c>
      <c r="O1501" s="6" t="n"/>
      <c r="P1501" s="6" t="n"/>
      <c r="Q1501" s="3">
        <f>IF($D1501="","",$C1501&amp;"|"&amp;COUNTIFS($C$7:$C1501,$C1501))</f>
        <v/>
      </c>
      <c r="R1501" s="3">
        <f>IF($D1501="","",UPPER(SUBSTITUTE(SUBSTITUTE(SUBSTITUTE(SUBSTITUTE(SUBSTITUTE(SUBSTITUTE(SUBSTITUTE(SUBSTITUTE(SUBSTITUTE(SUBSTITUTE(SUBSTITUTE(SUBSTITUTE(SUBSTITUTE(SUBSTITUTE(SUBSTITUTE(SUBSTITUTE(SUBSTITUTE(SUBSTITUTE(TRIM($D1501),"'",""),"İ","I"),"ı","I"),"i","I"),"Ş","S"),"ş","S"),"Ğ","G"),"ğ","G"),"Ü","U"),"ü","U"),"Ö","O"),"ö","O"),"Ç","C"),"ç","C"),".",""),",","")," ",""),"-","")))</f>
        <v/>
      </c>
      <c r="S1501" s="3">
        <f>IF($D1501="","",$C1501&amp;"|"&amp;TEXT($E1501,"0")&amp;"|"&amp;TEXT($F1501,"0")&amp;"|"&amp;$I1501)</f>
        <v/>
      </c>
      <c r="T1501" s="3">
        <f>IF($E1501="",0,SUMPRODUCT((AY_SONU!$O$7:$O$42="Evet")*(AY_SONU!$B$7:$B$42=DATE(YEAR($E1501),MONTH($E1501),1))))</f>
        <v/>
      </c>
    </row>
    <row r="1502">
      <c r="A1502" s="6" t="n"/>
      <c r="B1502" s="113">
        <f>IF($D1502="","","T"&amp;TEXT(ROW()-6,"00000"))</f>
        <v/>
      </c>
      <c r="C1502" s="113">
        <f>IF($D1502="","",IFERROR(INDEX(MUSTERILER!$B$7:$B$106,MATCH($R1502,MUSTERILER!$T$7:$T$106,0)),IFERROR(INDEX(MUSTERILER!$B$7:$B$106,MATCH($D1502,MUSTERILER!$B$7:$B$106,0)),IFERROR(INDEX(MUSTERILER!$B$7:$B$106,MATCH($R1502&amp;"*",MUSTERILER!$T$7:$T$106,0)),"TANIMSIZ MÜŞTERİ"))))</f>
        <v/>
      </c>
      <c r="D1502" s="109" t="n"/>
      <c r="E1502" s="220" t="n"/>
      <c r="F1502" s="221" t="n"/>
      <c r="G1502" s="108" t="n"/>
      <c r="H1502" s="108" t="n"/>
      <c r="I1502" s="109" t="n"/>
      <c r="J1502" s="109" t="n"/>
      <c r="K1502" s="109" t="n"/>
      <c r="L1502" s="226">
        <f>IF($E1502="","",DATE(YEAR($E1502),MONTH($E1502),1))</f>
        <v/>
      </c>
      <c r="M1502" s="113">
        <f>IF($D1502="","",IF($C1502="TANIMSIZ MÜŞTERİ","HATA",IF(OR($E1502="",$F1502&lt;=0,$G1502=""),"EKSİK",IF($E1502&gt;TODAY(),"İLERİ TARİH",IF(COUNTIF($S$7:$S$1506,$S1502)&gt;1,"MÜKERRER?",IF($T1502&gt;0,"KAPALI DÖNEM","UYGUN"))))))</f>
        <v/>
      </c>
      <c r="N1502" s="121">
        <f>IF($C1502="","",IF($C1502="TANIMSIZ MÜŞTERİ","—",INDEX(MUSTERILER!$C$7:$C$106,MATCH($C1502,MUSTERILER!$B$7:$B$106,0))))</f>
        <v/>
      </c>
      <c r="O1502" s="6" t="n"/>
      <c r="P1502" s="6" t="n"/>
      <c r="Q1502" s="3">
        <f>IF($D1502="","",$C1502&amp;"|"&amp;COUNTIFS($C$7:$C1502,$C1502))</f>
        <v/>
      </c>
      <c r="R1502" s="3">
        <f>IF($D1502="","",UPPER(SUBSTITUTE(SUBSTITUTE(SUBSTITUTE(SUBSTITUTE(SUBSTITUTE(SUBSTITUTE(SUBSTITUTE(SUBSTITUTE(SUBSTITUTE(SUBSTITUTE(SUBSTITUTE(SUBSTITUTE(SUBSTITUTE(SUBSTITUTE(SUBSTITUTE(SUBSTITUTE(SUBSTITUTE(SUBSTITUTE(TRIM($D1502),"'",""),"İ","I"),"ı","I"),"i","I"),"Ş","S"),"ş","S"),"Ğ","G"),"ğ","G"),"Ü","U"),"ü","U"),"Ö","O"),"ö","O"),"Ç","C"),"ç","C"),".",""),",","")," ",""),"-","")))</f>
        <v/>
      </c>
      <c r="S1502" s="3">
        <f>IF($D1502="","",$C1502&amp;"|"&amp;TEXT($E1502,"0")&amp;"|"&amp;TEXT($F1502,"0")&amp;"|"&amp;$I1502)</f>
        <v/>
      </c>
      <c r="T1502" s="3">
        <f>IF($E1502="",0,SUMPRODUCT((AY_SONU!$O$7:$O$42="Evet")*(AY_SONU!$B$7:$B$42=DATE(YEAR($E1502),MONTH($E1502),1))))</f>
        <v/>
      </c>
    </row>
    <row r="1503">
      <c r="A1503" s="6" t="n"/>
      <c r="B1503" s="113">
        <f>IF($D1503="","","T"&amp;TEXT(ROW()-6,"00000"))</f>
        <v/>
      </c>
      <c r="C1503" s="113">
        <f>IF($D1503="","",IFERROR(INDEX(MUSTERILER!$B$7:$B$106,MATCH($R1503,MUSTERILER!$T$7:$T$106,0)),IFERROR(INDEX(MUSTERILER!$B$7:$B$106,MATCH($D1503,MUSTERILER!$B$7:$B$106,0)),IFERROR(INDEX(MUSTERILER!$B$7:$B$106,MATCH($R1503&amp;"*",MUSTERILER!$T$7:$T$106,0)),"TANIMSIZ MÜŞTERİ"))))</f>
        <v/>
      </c>
      <c r="D1503" s="109" t="n"/>
      <c r="E1503" s="220" t="n"/>
      <c r="F1503" s="221" t="n"/>
      <c r="G1503" s="108" t="n"/>
      <c r="H1503" s="108" t="n"/>
      <c r="I1503" s="109" t="n"/>
      <c r="J1503" s="109" t="n"/>
      <c r="K1503" s="109" t="n"/>
      <c r="L1503" s="226">
        <f>IF($E1503="","",DATE(YEAR($E1503),MONTH($E1503),1))</f>
        <v/>
      </c>
      <c r="M1503" s="113">
        <f>IF($D1503="","",IF($C1503="TANIMSIZ MÜŞTERİ","HATA",IF(OR($E1503="",$F1503&lt;=0,$G1503=""),"EKSİK",IF($E1503&gt;TODAY(),"İLERİ TARİH",IF(COUNTIF($S$7:$S$1506,$S1503)&gt;1,"MÜKERRER?",IF($T1503&gt;0,"KAPALI DÖNEM","UYGUN"))))))</f>
        <v/>
      </c>
      <c r="N1503" s="121">
        <f>IF($C1503="","",IF($C1503="TANIMSIZ MÜŞTERİ","—",INDEX(MUSTERILER!$C$7:$C$106,MATCH($C1503,MUSTERILER!$B$7:$B$106,0))))</f>
        <v/>
      </c>
      <c r="O1503" s="6" t="n"/>
      <c r="P1503" s="6" t="n"/>
      <c r="Q1503" s="3">
        <f>IF($D1503="","",$C1503&amp;"|"&amp;COUNTIFS($C$7:$C1503,$C1503))</f>
        <v/>
      </c>
      <c r="R1503" s="3">
        <f>IF($D1503="","",UPPER(SUBSTITUTE(SUBSTITUTE(SUBSTITUTE(SUBSTITUTE(SUBSTITUTE(SUBSTITUTE(SUBSTITUTE(SUBSTITUTE(SUBSTITUTE(SUBSTITUTE(SUBSTITUTE(SUBSTITUTE(SUBSTITUTE(SUBSTITUTE(SUBSTITUTE(SUBSTITUTE(SUBSTITUTE(SUBSTITUTE(TRIM($D1503),"'",""),"İ","I"),"ı","I"),"i","I"),"Ş","S"),"ş","S"),"Ğ","G"),"ğ","G"),"Ü","U"),"ü","U"),"Ö","O"),"ö","O"),"Ç","C"),"ç","C"),".",""),",","")," ",""),"-","")))</f>
        <v/>
      </c>
      <c r="S1503" s="3">
        <f>IF($D1503="","",$C1503&amp;"|"&amp;TEXT($E1503,"0")&amp;"|"&amp;TEXT($F1503,"0")&amp;"|"&amp;$I1503)</f>
        <v/>
      </c>
      <c r="T1503" s="3">
        <f>IF($E1503="",0,SUMPRODUCT((AY_SONU!$O$7:$O$42="Evet")*(AY_SONU!$B$7:$B$42=DATE(YEAR($E1503),MONTH($E1503),1))))</f>
        <v/>
      </c>
    </row>
    <row r="1504">
      <c r="A1504" s="6" t="n"/>
      <c r="B1504" s="113">
        <f>IF($D1504="","","T"&amp;TEXT(ROW()-6,"00000"))</f>
        <v/>
      </c>
      <c r="C1504" s="113">
        <f>IF($D1504="","",IFERROR(INDEX(MUSTERILER!$B$7:$B$106,MATCH($R1504,MUSTERILER!$T$7:$T$106,0)),IFERROR(INDEX(MUSTERILER!$B$7:$B$106,MATCH($D1504,MUSTERILER!$B$7:$B$106,0)),IFERROR(INDEX(MUSTERILER!$B$7:$B$106,MATCH($R1504&amp;"*",MUSTERILER!$T$7:$T$106,0)),"TANIMSIZ MÜŞTERİ"))))</f>
        <v/>
      </c>
      <c r="D1504" s="109" t="n"/>
      <c r="E1504" s="220" t="n"/>
      <c r="F1504" s="221" t="n"/>
      <c r="G1504" s="108" t="n"/>
      <c r="H1504" s="108" t="n"/>
      <c r="I1504" s="109" t="n"/>
      <c r="J1504" s="109" t="n"/>
      <c r="K1504" s="109" t="n"/>
      <c r="L1504" s="226">
        <f>IF($E1504="","",DATE(YEAR($E1504),MONTH($E1504),1))</f>
        <v/>
      </c>
      <c r="M1504" s="113">
        <f>IF($D1504="","",IF($C1504="TANIMSIZ MÜŞTERİ","HATA",IF(OR($E1504="",$F1504&lt;=0,$G1504=""),"EKSİK",IF($E1504&gt;TODAY(),"İLERİ TARİH",IF(COUNTIF($S$7:$S$1506,$S1504)&gt;1,"MÜKERRER?",IF($T1504&gt;0,"KAPALI DÖNEM","UYGUN"))))))</f>
        <v/>
      </c>
      <c r="N1504" s="121">
        <f>IF($C1504="","",IF($C1504="TANIMSIZ MÜŞTERİ","—",INDEX(MUSTERILER!$C$7:$C$106,MATCH($C1504,MUSTERILER!$B$7:$B$106,0))))</f>
        <v/>
      </c>
      <c r="O1504" s="6" t="n"/>
      <c r="P1504" s="6" t="n"/>
      <c r="Q1504" s="3">
        <f>IF($D1504="","",$C1504&amp;"|"&amp;COUNTIFS($C$7:$C1504,$C1504))</f>
        <v/>
      </c>
      <c r="R1504" s="3">
        <f>IF($D1504="","",UPPER(SUBSTITUTE(SUBSTITUTE(SUBSTITUTE(SUBSTITUTE(SUBSTITUTE(SUBSTITUTE(SUBSTITUTE(SUBSTITUTE(SUBSTITUTE(SUBSTITUTE(SUBSTITUTE(SUBSTITUTE(SUBSTITUTE(SUBSTITUTE(SUBSTITUTE(SUBSTITUTE(SUBSTITUTE(SUBSTITUTE(TRIM($D1504),"'",""),"İ","I"),"ı","I"),"i","I"),"Ş","S"),"ş","S"),"Ğ","G"),"ğ","G"),"Ü","U"),"ü","U"),"Ö","O"),"ö","O"),"Ç","C"),"ç","C"),".",""),",","")," ",""),"-","")))</f>
        <v/>
      </c>
      <c r="S1504" s="3">
        <f>IF($D1504="","",$C1504&amp;"|"&amp;TEXT($E1504,"0")&amp;"|"&amp;TEXT($F1504,"0")&amp;"|"&amp;$I1504)</f>
        <v/>
      </c>
      <c r="T1504" s="3">
        <f>IF($E1504="",0,SUMPRODUCT((AY_SONU!$O$7:$O$42="Evet")*(AY_SONU!$B$7:$B$42=DATE(YEAR($E1504),MONTH($E1504),1))))</f>
        <v/>
      </c>
    </row>
    <row r="1505">
      <c r="A1505" s="6" t="n"/>
      <c r="B1505" s="113">
        <f>IF($D1505="","","T"&amp;TEXT(ROW()-6,"00000"))</f>
        <v/>
      </c>
      <c r="C1505" s="113">
        <f>IF($D1505="","",IFERROR(INDEX(MUSTERILER!$B$7:$B$106,MATCH($R1505,MUSTERILER!$T$7:$T$106,0)),IFERROR(INDEX(MUSTERILER!$B$7:$B$106,MATCH($D1505,MUSTERILER!$B$7:$B$106,0)),IFERROR(INDEX(MUSTERILER!$B$7:$B$106,MATCH($R1505&amp;"*",MUSTERILER!$T$7:$T$106,0)),"TANIMSIZ MÜŞTERİ"))))</f>
        <v/>
      </c>
      <c r="D1505" s="109" t="n"/>
      <c r="E1505" s="220" t="n"/>
      <c r="F1505" s="221" t="n"/>
      <c r="G1505" s="108" t="n"/>
      <c r="H1505" s="108" t="n"/>
      <c r="I1505" s="109" t="n"/>
      <c r="J1505" s="109" t="n"/>
      <c r="K1505" s="109" t="n"/>
      <c r="L1505" s="226">
        <f>IF($E1505="","",DATE(YEAR($E1505),MONTH($E1505),1))</f>
        <v/>
      </c>
      <c r="M1505" s="113">
        <f>IF($D1505="","",IF($C1505="TANIMSIZ MÜŞTERİ","HATA",IF(OR($E1505="",$F1505&lt;=0,$G1505=""),"EKSİK",IF($E1505&gt;TODAY(),"İLERİ TARİH",IF(COUNTIF($S$7:$S$1506,$S1505)&gt;1,"MÜKERRER?",IF($T1505&gt;0,"KAPALI DÖNEM","UYGUN"))))))</f>
        <v/>
      </c>
      <c r="N1505" s="121">
        <f>IF($C1505="","",IF($C1505="TANIMSIZ MÜŞTERİ","—",INDEX(MUSTERILER!$C$7:$C$106,MATCH($C1505,MUSTERILER!$B$7:$B$106,0))))</f>
        <v/>
      </c>
      <c r="O1505" s="6" t="n"/>
      <c r="P1505" s="6" t="n"/>
      <c r="Q1505" s="3">
        <f>IF($D1505="","",$C1505&amp;"|"&amp;COUNTIFS($C$7:$C1505,$C1505))</f>
        <v/>
      </c>
      <c r="R1505" s="3">
        <f>IF($D1505="","",UPPER(SUBSTITUTE(SUBSTITUTE(SUBSTITUTE(SUBSTITUTE(SUBSTITUTE(SUBSTITUTE(SUBSTITUTE(SUBSTITUTE(SUBSTITUTE(SUBSTITUTE(SUBSTITUTE(SUBSTITUTE(SUBSTITUTE(SUBSTITUTE(SUBSTITUTE(SUBSTITUTE(SUBSTITUTE(SUBSTITUTE(TRIM($D1505),"'",""),"İ","I"),"ı","I"),"i","I"),"Ş","S"),"ş","S"),"Ğ","G"),"ğ","G"),"Ü","U"),"ü","U"),"Ö","O"),"ö","O"),"Ç","C"),"ç","C"),".",""),",","")," ",""),"-","")))</f>
        <v/>
      </c>
      <c r="S1505" s="3">
        <f>IF($D1505="","",$C1505&amp;"|"&amp;TEXT($E1505,"0")&amp;"|"&amp;TEXT($F1505,"0")&amp;"|"&amp;$I1505)</f>
        <v/>
      </c>
      <c r="T1505" s="3">
        <f>IF($E1505="",0,SUMPRODUCT((AY_SONU!$O$7:$O$42="Evet")*(AY_SONU!$B$7:$B$42=DATE(YEAR($E1505),MONTH($E1505),1))))</f>
        <v/>
      </c>
    </row>
    <row r="1506">
      <c r="A1506" s="6" t="n"/>
      <c r="B1506" s="113">
        <f>IF($D1506="","","T"&amp;TEXT(ROW()-6,"00000"))</f>
        <v/>
      </c>
      <c r="C1506" s="113">
        <f>IF($D1506="","",IFERROR(INDEX(MUSTERILER!$B$7:$B$106,MATCH($R1506,MUSTERILER!$T$7:$T$106,0)),IFERROR(INDEX(MUSTERILER!$B$7:$B$106,MATCH($D1506,MUSTERILER!$B$7:$B$106,0)),IFERROR(INDEX(MUSTERILER!$B$7:$B$106,MATCH($R1506&amp;"*",MUSTERILER!$T$7:$T$106,0)),"TANIMSIZ MÜŞTERİ"))))</f>
        <v/>
      </c>
      <c r="D1506" s="109" t="n"/>
      <c r="E1506" s="220" t="n"/>
      <c r="F1506" s="221" t="n"/>
      <c r="G1506" s="108" t="n"/>
      <c r="H1506" s="108" t="n"/>
      <c r="I1506" s="109" t="n"/>
      <c r="J1506" s="109" t="n"/>
      <c r="K1506" s="109" t="n"/>
      <c r="L1506" s="226">
        <f>IF($E1506="","",DATE(YEAR($E1506),MONTH($E1506),1))</f>
        <v/>
      </c>
      <c r="M1506" s="113">
        <f>IF($D1506="","",IF($C1506="TANIMSIZ MÜŞTERİ","HATA",IF(OR($E1506="",$F1506&lt;=0,$G1506=""),"EKSİK",IF($E1506&gt;TODAY(),"İLERİ TARİH",IF(COUNTIF($S$7:$S$1506,$S1506)&gt;1,"MÜKERRER?",IF($T1506&gt;0,"KAPALI DÖNEM","UYGUN"))))))</f>
        <v/>
      </c>
      <c r="N1506" s="121">
        <f>IF($C1506="","",IF($C1506="TANIMSIZ MÜŞTERİ","—",INDEX(MUSTERILER!$C$7:$C$106,MATCH($C1506,MUSTERILER!$B$7:$B$106,0))))</f>
        <v/>
      </c>
      <c r="O1506" s="6" t="n"/>
      <c r="P1506" s="6" t="n"/>
      <c r="Q1506" s="3">
        <f>IF($D1506="","",$C1506&amp;"|"&amp;COUNTIFS($C$7:$C1506,$C1506))</f>
        <v/>
      </c>
      <c r="R1506" s="3">
        <f>IF($D1506="","",UPPER(SUBSTITUTE(SUBSTITUTE(SUBSTITUTE(SUBSTITUTE(SUBSTITUTE(SUBSTITUTE(SUBSTITUTE(SUBSTITUTE(SUBSTITUTE(SUBSTITUTE(SUBSTITUTE(SUBSTITUTE(SUBSTITUTE(SUBSTITUTE(SUBSTITUTE(SUBSTITUTE(SUBSTITUTE(SUBSTITUTE(TRIM($D1506),"'",""),"İ","I"),"ı","I"),"i","I"),"Ş","S"),"ş","S"),"Ğ","G"),"ğ","G"),"Ü","U"),"ü","U"),"Ö","O"),"ö","O"),"Ç","C"),"ç","C"),".",""),",","")," ",""),"-","")))</f>
        <v/>
      </c>
      <c r="S1506" s="3">
        <f>IF($D1506="","",$C1506&amp;"|"&amp;TEXT($E1506,"0")&amp;"|"&amp;TEXT($F1506,"0")&amp;"|"&amp;$I1506)</f>
        <v/>
      </c>
      <c r="T1506" s="3">
        <f>IF($E1506="",0,SUMPRODUCT((AY_SONU!$O$7:$O$42="Evet")*(AY_SONU!$B$7:$B$42=DATE(YEAR($E1506),MONTH($E1506),1))))</f>
        <v/>
      </c>
    </row>
    <row r="1507">
      <c r="A1507" s="6" t="n"/>
      <c r="B1507" s="3" t="n"/>
      <c r="C1507" s="3" t="n"/>
      <c r="D1507" s="3" t="n"/>
      <c r="E1507" s="3" t="n"/>
      <c r="F1507" s="3" t="n"/>
      <c r="G1507" s="3" t="n"/>
      <c r="H1507" s="3" t="n"/>
      <c r="I1507" s="3" t="n"/>
      <c r="J1507" s="3" t="n"/>
      <c r="K1507" s="3" t="n"/>
      <c r="L1507" s="3" t="n"/>
      <c r="M1507" s="3" t="n"/>
      <c r="N1507" s="3" t="n"/>
      <c r="O1507" s="6" t="n"/>
      <c r="P1507" s="6" t="n"/>
      <c r="Q1507" s="3" t="n"/>
      <c r="R1507" s="3" t="n"/>
      <c r="S1507" s="3" t="n"/>
      <c r="T1507" s="3" t="n"/>
    </row>
    <row r="1508">
      <c r="A1508" s="6" t="n"/>
      <c r="B1508" s="3" t="n"/>
      <c r="C1508" s="3" t="n"/>
      <c r="D1508" s="3" t="n"/>
      <c r="E1508" s="3" t="n"/>
      <c r="F1508" s="3" t="n"/>
      <c r="G1508" s="3" t="n"/>
      <c r="H1508" s="3" t="n"/>
      <c r="I1508" s="3" t="n"/>
      <c r="J1508" s="3" t="n"/>
      <c r="K1508" s="3" t="n"/>
      <c r="L1508" s="3" t="n"/>
      <c r="M1508" s="3" t="n"/>
      <c r="N1508" s="3" t="n"/>
      <c r="O1508" s="6" t="n"/>
      <c r="P1508" s="6" t="n"/>
      <c r="Q1508" s="3" t="n"/>
      <c r="R1508" s="3" t="n"/>
      <c r="S1508" s="3" t="n"/>
      <c r="T15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N1506"/>
  <mergeCells count="2">
    <mergeCell ref="A1:O1"/>
    <mergeCell ref="A2:O2"/>
  </mergeCells>
  <conditionalFormatting sqref="M7:M1506">
    <cfRule type="expression" priority="1" dxfId="3" stopIfTrue="1">
      <formula>EXACT($M7,"UYGUN")</formula>
    </cfRule>
    <cfRule type="expression" priority="2" dxfId="4" stopIfTrue="1">
      <formula>EXACT($M7,"EKSİK")</formula>
    </cfRule>
    <cfRule type="expression" priority="3" dxfId="5" stopIfTrue="1">
      <formula>EXACT($M7,"HATA")</formula>
    </cfRule>
    <cfRule type="expression" priority="4" dxfId="5" stopIfTrue="1">
      <formula>EXACT($M7,"İLERİ TARİH")</formula>
    </cfRule>
    <cfRule type="expression" priority="5" dxfId="5" stopIfTrue="1">
      <formula>EXACT($M7,"MÜKERRER?")</formula>
    </cfRule>
    <cfRule type="expression" priority="6" dxfId="4" stopIfTrue="1">
      <formula>EXACT($M7,"KAPALI DÖNEM")</formula>
    </cfRule>
  </conditionalFormatting>
  <dataValidations count="3">
    <dataValidation sqref="D7:D15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G7:G15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H7:H1506" showDropDown="0" showInputMessage="0" showErrorMessage="1" allowBlank="1" errorTitle="Geçersiz ödeme türü" error="Listeden seçin." promptTitle="Geçersiz ödeme türü" prompt="Listeden seçin." type="list">
      <formula1>"Nakit,Havale/EFT,Kredi Kartı,Çek,Mahsup"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AD12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12" customWidth="1" min="4" max="4"/>
    <col width="30" customWidth="1" min="5" max="5"/>
    <col width="30" customWidth="1" min="6" max="6"/>
    <col width="16" customWidth="1" min="7" max="7"/>
    <col width="18" customWidth="1" min="8" max="8"/>
    <col width="13" customWidth="1" min="9" max="9"/>
    <col width="14" customWidth="1" min="10" max="10"/>
    <col width="15" customWidth="1" min="11" max="11"/>
    <col width="30" customWidth="1" min="12" max="12"/>
    <col width="26" customWidth="1" min="13" max="13"/>
    <col width="26" customWidth="1" min="14" max="14"/>
    <col width="14" customWidth="1" min="15" max="15"/>
    <col width="17" customWidth="1" min="16" max="16"/>
    <col width="2.4" customWidth="1" min="17" max="17"/>
    <col width="2.4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width="15" customWidth="1" min="24" max="24"/>
    <col width="26" customWidth="1" min="25" max="25"/>
    <col width="28" customWidth="1" min="26" max="26"/>
    <col width="16" customWidth="1" min="27" max="27"/>
    <col width="16" customWidth="1" min="28" max="28"/>
    <col width="17" customWidth="1" min="29" max="29"/>
    <col hidden="1" width="13" customWidth="1" min="30" max="30"/>
  </cols>
  <sheetData>
    <row r="1" ht="38" customHeight="1">
      <c r="A1" s="1" t="inlineStr">
        <is>
          <t>KILIÇ MUHASEBE   │   OFİS GELİR VE GİDERLERİ  │  MANUEL GELİR TAHAKKUKU DAHİL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45" t="n"/>
      <c r="R1" s="45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</row>
    <row r="2" ht="22" customHeight="1">
      <c r="A2" s="4" t="inlineStr">
        <is>
          <t>Gelir satırında Borçlu Taraf müşteri seçilirse cari borç doğar; kasa/banka seçilirse nakit gelir olur</t>
        </is>
      </c>
      <c r="Q2" s="46" t="n"/>
      <c r="R2" s="46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 ht="20" customHeight="1">
      <c r="A4" s="6" t="n"/>
      <c r="B4" s="47">
        <f>HYPERLINK("#PANO!A1","←  PANO")</f>
        <v/>
      </c>
      <c r="C4" s="6" t="n"/>
      <c r="D4" s="99">
        <f>HYPERLINK("#VIRMAN!A1","Virman")</f>
        <v/>
      </c>
      <c r="E4" s="6" t="n"/>
      <c r="F4" s="99">
        <f>HYPERLINK("#AY_SONU!A1","Ay Sonu")</f>
        <v/>
      </c>
      <c r="G4" s="6" t="n"/>
      <c r="H4" s="100" t="inlineStr">
        <is>
          <t>Sarı hücreler veri girişidir. Beyaz hücreler sistem tarafından hesaplanır ve kilitlidir. Sözleşmeli muhasebe ücreti buraya GİRİLMEZ. Ek hizmet gelirini müşteriye borç yazmak için Borçlu Taraf'ta müşteriyi seçin.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</row>
    <row r="5" ht="26" customHeight="1">
      <c r="A5" s="6" t="n"/>
      <c r="B5" s="101" t="n"/>
      <c r="C5" s="102" t="inlineStr">
        <is>
          <t>TOPLAM  │  Gerçekleşmiş gelir eksi gider  │  Manuel tahakkuk</t>
        </is>
      </c>
      <c r="D5" s="101" t="n"/>
      <c r="E5" s="101" t="n"/>
      <c r="F5" s="101" t="n"/>
      <c r="G5" s="216">
        <f>SUMIFS($G$7:$G$1206,$D$7:$D$1206,"Gelir",$I$7:$I$1206,"Evet")-SUMIFS($G$7:$G$1206,$D$7:$D$1206,"Gider",$I$7:$I$1206,"Evet")</f>
        <v/>
      </c>
      <c r="H5" s="101" t="n"/>
      <c r="I5" s="101" t="n"/>
      <c r="J5" s="101" t="n"/>
      <c r="K5" s="101" t="n"/>
      <c r="L5" s="216">
        <f>SUMIFS($G$7:$G$1206,$V$7:$V$1206,1)</f>
        <v/>
      </c>
      <c r="M5" s="101" t="n"/>
      <c r="N5" s="216">
        <f>SUMIFS($G$7:$G$1206,$D$7:$D$1206,"Gider",$I$7:$I$1206,"Hayır")</f>
        <v/>
      </c>
      <c r="O5" s="101" t="n"/>
      <c r="P5" s="101" t="n"/>
      <c r="Q5" s="6" t="n"/>
      <c r="R5" s="6" t="n"/>
      <c r="S5" s="3" t="n"/>
      <c r="T5" s="3" t="n"/>
      <c r="U5" s="3" t="n"/>
      <c r="V5" s="3" t="n"/>
      <c r="W5" s="3" t="n"/>
      <c r="X5" s="122" t="inlineStr">
        <is>
          <t>OTOMATİK TAHAKKUK GELİRİ  │  SÖZLEŞME ÜCRETİ  (elle girilmez)</t>
        </is>
      </c>
      <c r="AD5" s="3" t="n"/>
    </row>
    <row r="6" ht="40" customHeight="1">
      <c r="A6" s="6" t="n"/>
      <c r="B6" s="105" t="inlineStr">
        <is>
          <t>Kayıt No</t>
        </is>
      </c>
      <c r="C6" s="105" t="inlineStr">
        <is>
          <t>Tarih</t>
        </is>
      </c>
      <c r="D6" s="105" t="inlineStr">
        <is>
          <t>Tür</t>
        </is>
      </c>
      <c r="E6" s="106" t="inlineStr">
        <is>
          <t>Kategori</t>
        </is>
      </c>
      <c r="F6" s="106" t="inlineStr">
        <is>
          <t>Açıklama</t>
        </is>
      </c>
      <c r="G6" s="107" t="inlineStr">
        <is>
          <t>Tutar</t>
        </is>
      </c>
      <c r="H6" s="105" t="inlineStr">
        <is>
          <t>Kasa / Banka</t>
        </is>
      </c>
      <c r="I6" s="105" t="inlineStr">
        <is>
          <t>Gerçekleşti</t>
        </is>
      </c>
      <c r="J6" s="106" t="inlineStr">
        <is>
          <t>Belge No</t>
        </is>
      </c>
      <c r="K6" s="106" t="inlineStr">
        <is>
          <t>Sorumlu</t>
        </is>
      </c>
      <c r="L6" s="105" t="inlineStr">
        <is>
          <t>Borçlu Taraf  (müşteri = tahakkuk)</t>
        </is>
      </c>
      <c r="M6" s="106" t="inlineStr">
        <is>
          <t>Borçlu Hesap</t>
        </is>
      </c>
      <c r="N6" s="106" t="inlineStr">
        <is>
          <t>Alacaklı Hesap</t>
        </is>
      </c>
      <c r="O6" s="105" t="inlineStr">
        <is>
          <t>Ay</t>
        </is>
      </c>
      <c r="P6" s="105" t="inlineStr">
        <is>
          <t>Kayıt Kontrolü</t>
        </is>
      </c>
      <c r="Q6" s="6" t="n"/>
      <c r="R6" s="6" t="n"/>
      <c r="S6" s="3" t="n"/>
      <c r="T6" s="3" t="n"/>
      <c r="U6" s="3" t="n"/>
      <c r="V6" s="3" t="n"/>
      <c r="W6" s="3" t="n"/>
      <c r="X6" s="124" t="inlineStr">
        <is>
          <t>Ay</t>
        </is>
      </c>
      <c r="Y6" s="124" t="inlineStr">
        <is>
          <t>Borçlu Hesap</t>
        </is>
      </c>
      <c r="Z6" s="124" t="inlineStr">
        <is>
          <t>Alacaklı Hesap</t>
        </is>
      </c>
      <c r="AA6" s="124" t="inlineStr">
        <is>
          <t>Tahakkuk Eden</t>
        </is>
      </c>
      <c r="AB6" s="124" t="inlineStr">
        <is>
          <t>Tahsil Edilen</t>
        </is>
      </c>
      <c r="AC6" s="124" t="inlineStr">
        <is>
          <t>Açık Alacak Farkı</t>
        </is>
      </c>
      <c r="AD6" s="3" t="n"/>
    </row>
    <row r="7">
      <c r="A7" s="6" t="n"/>
      <c r="B7" s="113">
        <f>IF($C7="","","GG"&amp;TEXT(ROW()-6,"00000"))</f>
        <v/>
      </c>
      <c r="C7" s="220" t="n">
        <v>46023</v>
      </c>
      <c r="D7" s="108" t="inlineStr">
        <is>
          <t>Gider</t>
        </is>
      </c>
      <c r="E7" s="109" t="inlineStr">
        <is>
          <t>Diğer Gider</t>
        </is>
      </c>
      <c r="F7" s="109" t="inlineStr">
        <is>
          <t>Palaoğulları Kapalı Kaldığı Dönem Haftalık Zarar</t>
        </is>
      </c>
      <c r="G7" s="221" t="n">
        <v>27000</v>
      </c>
      <c r="H7" s="108" t="inlineStr">
        <is>
          <t>Merkez Kasa</t>
        </is>
      </c>
      <c r="I7" s="108" t="inlineStr">
        <is>
          <t>Evet</t>
        </is>
      </c>
      <c r="J7" s="109" t="n"/>
      <c r="K7" s="109" t="n"/>
      <c r="L7" s="108" t="n"/>
      <c r="M7" s="121">
        <f>IF($C7="","",IF($D7="Gider",$E7,IF($L7&lt;&gt;"",$L7,$H7)))</f>
        <v/>
      </c>
      <c r="N7" s="121">
        <f>IF($C7="","",IF($D7="Gider",$H7,$E7))</f>
        <v/>
      </c>
      <c r="O7" s="226">
        <f>IF($C7="","",DATE(YEAR($C7),MONTH($C7),1))</f>
        <v/>
      </c>
      <c r="P7" s="113">
        <f>IF($C7="","",IF(AND($D7="Gelir",$L7&lt;&gt;"",$T7=""),"TANIMSIZ BORÇLU",IF($T7&lt;&gt;"",IF(OR($E7="",$G7&lt;=0),"EKSİK",IF($I7="Evet","TAHAKKUK NAKİT OLAMAZ",IF($C7&gt;TODAY(),"İLERİ TARİH","TAHAKKUK"))),IF(AND($D7&lt;&gt;"",$E7&lt;&gt;"",$G7&gt;0,$H7&lt;&gt;"",$I7&lt;&gt;""),IF($C7&gt;TODAY(),"İLERİ TARİH",IF(COUNTIF($W$7:$W$1206,$W7)&gt;1,"MÜKERRER?",IF($AD7&gt;0,"KAPALI DÖNEM",IF($I7="Hayır","ÖDENECEK","UYGUN")))),"EKSİK"))))</f>
        <v/>
      </c>
      <c r="Q7" s="6" t="n"/>
      <c r="R7" s="6" t="n"/>
      <c r="S7" s="3">
        <f>IF($L7="","",UPPER(SUBSTITUTE(SUBSTITUTE(SUBSTITUTE(SUBSTITUTE(SUBSTITUTE(SUBSTITUTE(SUBSTITUTE(SUBSTITUTE(SUBSTITUTE(SUBSTITUTE(SUBSTITUTE(SUBSTITUTE(SUBSTITUTE(SUBSTITUTE(SUBSTITUTE(SUBSTITUTE(SUBSTITUTE(SUBSTITUTE(TRIM($L7),"'",""),"İ","I"),"ı","I"),"i","I"),"Ş","S"),"ş","S"),"Ğ","G"),"ğ","G"),"Ü","U"),"ü","U"),"Ö","O"),"ö","O"),"Ç","C"),"ç","C"),".",""),",","")," ",""),"-","")))</f>
        <v/>
      </c>
      <c r="T7" s="3">
        <f>IF(OR($C7="",$D7&lt;&gt;"Gelir",$L7=""),"",IFERROR(INDEX(MUSTERILER!$B$7:$B$106,MATCH($S7,MUSTERILER!$T$7:$T$106,0)),""))</f>
        <v/>
      </c>
      <c r="U7" s="3">
        <f>IF($T7="","",$T7&amp;"|"&amp;COUNTIFS($T$7:$T7,$T7))</f>
        <v/>
      </c>
      <c r="V7" s="3">
        <f>IF($T7="",0,1)</f>
        <v/>
      </c>
      <c r="W7" s="3">
        <f>IF($C7="","",$D7&amp;"|"&amp;$E7&amp;"|"&amp;TEXT($C7,"0")&amp;"|"&amp;TEXT($G7,"0")&amp;"|"&amp;$J7)</f>
        <v/>
      </c>
      <c r="X7" s="226">
        <f>AY_SONU!$B7</f>
        <v/>
      </c>
      <c r="Y7" s="121">
        <f>"Müşteri Carisi  (MÜŞTERİ 360)"</f>
        <v/>
      </c>
      <c r="Z7" s="121">
        <f>"600 Muhasebe Hizmet Geliri  (sözleşme)"</f>
        <v/>
      </c>
      <c r="AA7" s="222">
        <f>AY_SONU!$C7</f>
        <v/>
      </c>
      <c r="AB7" s="222">
        <f>AY_SONU!$D7</f>
        <v/>
      </c>
      <c r="AC7" s="222">
        <f>AY_SONU!$C7-AY_SONU!$D7</f>
        <v/>
      </c>
      <c r="AD7" s="3">
        <f>IF($C7="",0,SUMPRODUCT((AY_SONU!$O$7:$O$42="Evet")*(AY_SONU!$B$7:$B$42=DATE(YEAR($C7),MONTH($C7),1))))</f>
        <v/>
      </c>
    </row>
    <row r="8">
      <c r="A8" s="6" t="n"/>
      <c r="B8" s="113">
        <f>IF($C8="","","GG"&amp;TEXT(ROW()-6,"00000"))</f>
        <v/>
      </c>
      <c r="C8" s="220" t="n">
        <v>46023</v>
      </c>
      <c r="D8" s="108" t="inlineStr">
        <is>
          <t>Gider</t>
        </is>
      </c>
      <c r="E8" s="109" t="inlineStr">
        <is>
          <t>Diğer Gider</t>
        </is>
      </c>
      <c r="F8" s="109" t="inlineStr">
        <is>
          <t>Rix Şow Kapalı Dönemler Zararı</t>
        </is>
      </c>
      <c r="G8" s="221" t="n">
        <v>17200</v>
      </c>
      <c r="H8" s="108" t="inlineStr">
        <is>
          <t>Merkez Kasa</t>
        </is>
      </c>
      <c r="I8" s="108" t="inlineStr">
        <is>
          <t>Evet</t>
        </is>
      </c>
      <c r="J8" s="109" t="n"/>
      <c r="K8" s="109" t="n"/>
      <c r="L8" s="108" t="n"/>
      <c r="M8" s="121">
        <f>IF($C8="","",IF($D8="Gider",$E8,IF($L8&lt;&gt;"",$L8,$H8)))</f>
        <v/>
      </c>
      <c r="N8" s="121">
        <f>IF($C8="","",IF($D8="Gider",$H8,$E8))</f>
        <v/>
      </c>
      <c r="O8" s="226">
        <f>IF($C8="","",DATE(YEAR($C8),MONTH($C8),1))</f>
        <v/>
      </c>
      <c r="P8" s="113">
        <f>IF($C8="","",IF(AND($D8="Gelir",$L8&lt;&gt;"",$T8=""),"TANIMSIZ BORÇLU",IF($T8&lt;&gt;"",IF(OR($E8="",$G8&lt;=0),"EKSİK",IF($I8="Evet","TAHAKKUK NAKİT OLAMAZ",IF($C8&gt;TODAY(),"İLERİ TARİH","TAHAKKUK"))),IF(AND($D8&lt;&gt;"",$E8&lt;&gt;"",$G8&gt;0,$H8&lt;&gt;"",$I8&lt;&gt;""),IF($C8&gt;TODAY(),"İLERİ TARİH",IF(COUNTIF($W$7:$W$1206,$W8)&gt;1,"MÜKERRER?",IF($AD8&gt;0,"KAPALI DÖNEM",IF($I8="Hayır","ÖDENECEK","UYGUN")))),"EKSİK"))))</f>
        <v/>
      </c>
      <c r="Q8" s="6" t="n"/>
      <c r="R8" s="6" t="n"/>
      <c r="S8" s="3">
        <f>IF($L8="","",UPPER(SUBSTITUTE(SUBSTITUTE(SUBSTITUTE(SUBSTITUTE(SUBSTITUTE(SUBSTITUTE(SUBSTITUTE(SUBSTITUTE(SUBSTITUTE(SUBSTITUTE(SUBSTITUTE(SUBSTITUTE(SUBSTITUTE(SUBSTITUTE(SUBSTITUTE(SUBSTITUTE(SUBSTITUTE(SUBSTITUTE(TRIM($L8),"'",""),"İ","I"),"ı","I"),"i","I"),"Ş","S"),"ş","S"),"Ğ","G"),"ğ","G"),"Ü","U"),"ü","U"),"Ö","O"),"ö","O"),"Ç","C"),"ç","C"),".",""),",","")," ",""),"-","")))</f>
        <v/>
      </c>
      <c r="T8" s="3">
        <f>IF(OR($C8="",$D8&lt;&gt;"Gelir",$L8=""),"",IFERROR(INDEX(MUSTERILER!$B$7:$B$106,MATCH($S8,MUSTERILER!$T$7:$T$106,0)),""))</f>
        <v/>
      </c>
      <c r="U8" s="3">
        <f>IF($T8="","",$T8&amp;"|"&amp;COUNTIFS($T$7:$T8,$T8))</f>
        <v/>
      </c>
      <c r="V8" s="3">
        <f>IF($T8="",0,1)</f>
        <v/>
      </c>
      <c r="W8" s="3">
        <f>IF($C8="","",$D8&amp;"|"&amp;$E8&amp;"|"&amp;TEXT($C8,"0")&amp;"|"&amp;TEXT($G8,"0")&amp;"|"&amp;$J8)</f>
        <v/>
      </c>
      <c r="X8" s="226">
        <f>AY_SONU!$B8</f>
        <v/>
      </c>
      <c r="Y8" s="121">
        <f>"Müşteri Carisi  (MÜŞTERİ 360)"</f>
        <v/>
      </c>
      <c r="Z8" s="121">
        <f>"600 Muhasebe Hizmet Geliri  (sözleşme)"</f>
        <v/>
      </c>
      <c r="AA8" s="222">
        <f>AY_SONU!$C8</f>
        <v/>
      </c>
      <c r="AB8" s="222">
        <f>AY_SONU!$D8</f>
        <v/>
      </c>
      <c r="AC8" s="222">
        <f>AY_SONU!$C8-AY_SONU!$D8</f>
        <v/>
      </c>
      <c r="AD8" s="3">
        <f>IF($C8="",0,SUMPRODUCT((AY_SONU!$O$7:$O$42="Evet")*(AY_SONU!$B$7:$B$42=DATE(YEAR($C8),MONTH($C8),1))))</f>
        <v/>
      </c>
    </row>
    <row r="9">
      <c r="A9" s="6" t="n"/>
      <c r="B9" s="113">
        <f>IF($C9="","","GG"&amp;TEXT(ROW()-6,"00000"))</f>
        <v/>
      </c>
      <c r="C9" s="220" t="n">
        <v>46035</v>
      </c>
      <c r="D9" s="108" t="inlineStr">
        <is>
          <t>Gider</t>
        </is>
      </c>
      <c r="E9" s="109" t="inlineStr">
        <is>
          <t>Kırtasiye</t>
        </is>
      </c>
      <c r="F9" s="109" t="inlineStr">
        <is>
          <t xml:space="preserve">Merdiven İki Basamaklı </t>
        </is>
      </c>
      <c r="G9" s="221" t="n">
        <v>1060</v>
      </c>
      <c r="H9" s="108" t="inlineStr">
        <is>
          <t>Merkez Kasa</t>
        </is>
      </c>
      <c r="I9" s="108" t="inlineStr">
        <is>
          <t>Evet</t>
        </is>
      </c>
      <c r="J9" s="109" t="n"/>
      <c r="K9" s="109" t="n"/>
      <c r="L9" s="108" t="n"/>
      <c r="M9" s="121">
        <f>IF($C9="","",IF($D9="Gider",$E9,IF($L9&lt;&gt;"",$L9,$H9)))</f>
        <v/>
      </c>
      <c r="N9" s="121">
        <f>IF($C9="","",IF($D9="Gider",$H9,$E9))</f>
        <v/>
      </c>
      <c r="O9" s="226">
        <f>IF($C9="","",DATE(YEAR($C9),MONTH($C9),1))</f>
        <v/>
      </c>
      <c r="P9" s="113">
        <f>IF($C9="","",IF(AND($D9="Gelir",$L9&lt;&gt;"",$T9=""),"TANIMSIZ BORÇLU",IF($T9&lt;&gt;"",IF(OR($E9="",$G9&lt;=0),"EKSİK",IF($I9="Evet","TAHAKKUK NAKİT OLAMAZ",IF($C9&gt;TODAY(),"İLERİ TARİH","TAHAKKUK"))),IF(AND($D9&lt;&gt;"",$E9&lt;&gt;"",$G9&gt;0,$H9&lt;&gt;"",$I9&lt;&gt;""),IF($C9&gt;TODAY(),"İLERİ TARİH",IF(COUNTIF($W$7:$W$1206,$W9)&gt;1,"MÜKERRER?",IF($AD9&gt;0,"KAPALI DÖNEM",IF($I9="Hayır","ÖDENECEK","UYGUN")))),"EKSİK"))))</f>
        <v/>
      </c>
      <c r="Q9" s="6" t="n"/>
      <c r="R9" s="6" t="n"/>
      <c r="S9" s="3">
        <f>IF($L9="","",UPPER(SUBSTITUTE(SUBSTITUTE(SUBSTITUTE(SUBSTITUTE(SUBSTITUTE(SUBSTITUTE(SUBSTITUTE(SUBSTITUTE(SUBSTITUTE(SUBSTITUTE(SUBSTITUTE(SUBSTITUTE(SUBSTITUTE(SUBSTITUTE(SUBSTITUTE(SUBSTITUTE(SUBSTITUTE(SUBSTITUTE(TRIM($L9),"'",""),"İ","I"),"ı","I"),"i","I"),"Ş","S"),"ş","S"),"Ğ","G"),"ğ","G"),"Ü","U"),"ü","U"),"Ö","O"),"ö","O"),"Ç","C"),"ç","C"),".",""),",","")," ",""),"-","")))</f>
        <v/>
      </c>
      <c r="T9" s="3">
        <f>IF(OR($C9="",$D9&lt;&gt;"Gelir",$L9=""),"",IFERROR(INDEX(MUSTERILER!$B$7:$B$106,MATCH($S9,MUSTERILER!$T$7:$T$106,0)),""))</f>
        <v/>
      </c>
      <c r="U9" s="3">
        <f>IF($T9="","",$T9&amp;"|"&amp;COUNTIFS($T$7:$T9,$T9))</f>
        <v/>
      </c>
      <c r="V9" s="3">
        <f>IF($T9="",0,1)</f>
        <v/>
      </c>
      <c r="W9" s="3">
        <f>IF($C9="","",$D9&amp;"|"&amp;$E9&amp;"|"&amp;TEXT($C9,"0")&amp;"|"&amp;TEXT($G9,"0")&amp;"|"&amp;$J9)</f>
        <v/>
      </c>
      <c r="X9" s="226">
        <f>AY_SONU!$B9</f>
        <v/>
      </c>
      <c r="Y9" s="121">
        <f>"Müşteri Carisi  (MÜŞTERİ 360)"</f>
        <v/>
      </c>
      <c r="Z9" s="121">
        <f>"600 Muhasebe Hizmet Geliri  (sözleşme)"</f>
        <v/>
      </c>
      <c r="AA9" s="222">
        <f>AY_SONU!$C9</f>
        <v/>
      </c>
      <c r="AB9" s="222">
        <f>AY_SONU!$D9</f>
        <v/>
      </c>
      <c r="AC9" s="222">
        <f>AY_SONU!$C9-AY_SONU!$D9</f>
        <v/>
      </c>
      <c r="AD9" s="3">
        <f>IF($C9="",0,SUMPRODUCT((AY_SONU!$O$7:$O$42="Evet")*(AY_SONU!$B$7:$B$42=DATE(YEAR($C9),MONTH($C9),1))))</f>
        <v/>
      </c>
    </row>
    <row r="10">
      <c r="A10" s="6" t="n"/>
      <c r="B10" s="113">
        <f>IF($C10="","","GG"&amp;TEXT(ROW()-6,"00000"))</f>
        <v/>
      </c>
      <c r="C10" s="220" t="n">
        <v>46036</v>
      </c>
      <c r="D10" s="108" t="inlineStr">
        <is>
          <t>Gider</t>
        </is>
      </c>
      <c r="E10" s="109" t="inlineStr">
        <is>
          <t>Telefon / İnternet</t>
        </is>
      </c>
      <c r="F10" s="109" t="inlineStr">
        <is>
          <t xml:space="preserve">Ofis Whatsapp Hattı Ocak </t>
        </is>
      </c>
      <c r="G10" s="221" t="n">
        <v>800</v>
      </c>
      <c r="H10" s="108" t="inlineStr">
        <is>
          <t>Merkez Kasa</t>
        </is>
      </c>
      <c r="I10" s="108" t="inlineStr">
        <is>
          <t>Evet</t>
        </is>
      </c>
      <c r="J10" s="109" t="n"/>
      <c r="K10" s="109" t="n"/>
      <c r="L10" s="108" t="n"/>
      <c r="M10" s="121">
        <f>IF($C10="","",IF($D10="Gider",$E10,IF($L10&lt;&gt;"",$L10,$H10)))</f>
        <v/>
      </c>
      <c r="N10" s="121">
        <f>IF($C10="","",IF($D10="Gider",$H10,$E10))</f>
        <v/>
      </c>
      <c r="O10" s="226">
        <f>IF($C10="","",DATE(YEAR($C10),MONTH($C10),1))</f>
        <v/>
      </c>
      <c r="P10" s="113">
        <f>IF($C10="","",IF(AND($D10="Gelir",$L10&lt;&gt;"",$T10=""),"TANIMSIZ BORÇLU",IF($T10&lt;&gt;"",IF(OR($E10="",$G10&lt;=0),"EKSİK",IF($I10="Evet","TAHAKKUK NAKİT OLAMAZ",IF($C10&gt;TODAY(),"İLERİ TARİH","TAHAKKUK"))),IF(AND($D10&lt;&gt;"",$E10&lt;&gt;"",$G10&gt;0,$H10&lt;&gt;"",$I10&lt;&gt;""),IF($C10&gt;TODAY(),"İLERİ TARİH",IF(COUNTIF($W$7:$W$1206,$W10)&gt;1,"MÜKERRER?",IF($AD10&gt;0,"KAPALI DÖNEM",IF($I10="Hayır","ÖDENECEK","UYGUN")))),"EKSİK"))))</f>
        <v/>
      </c>
      <c r="Q10" s="6" t="n"/>
      <c r="R10" s="6" t="n"/>
      <c r="S10" s="3">
        <f>IF($L10="","",UPPER(SUBSTITUTE(SUBSTITUTE(SUBSTITUTE(SUBSTITUTE(SUBSTITUTE(SUBSTITUTE(SUBSTITUTE(SUBSTITUTE(SUBSTITUTE(SUBSTITUTE(SUBSTITUTE(SUBSTITUTE(SUBSTITUTE(SUBSTITUTE(SUBSTITUTE(SUBSTITUTE(SUBSTITUTE(SUBSTITUTE(TRIM($L10),"'",""),"İ","I"),"ı","I"),"i","I"),"Ş","S"),"ş","S"),"Ğ","G"),"ğ","G"),"Ü","U"),"ü","U"),"Ö","O"),"ö","O"),"Ç","C"),"ç","C"),".",""),",","")," ",""),"-","")))</f>
        <v/>
      </c>
      <c r="T10" s="3">
        <f>IF(OR($C10="",$D10&lt;&gt;"Gelir",$L10=""),"",IFERROR(INDEX(MUSTERILER!$B$7:$B$106,MATCH($S10,MUSTERILER!$T$7:$T$106,0)),""))</f>
        <v/>
      </c>
      <c r="U10" s="3">
        <f>IF($T10="","",$T10&amp;"|"&amp;COUNTIFS($T$7:$T10,$T10))</f>
        <v/>
      </c>
      <c r="V10" s="3">
        <f>IF($T10="",0,1)</f>
        <v/>
      </c>
      <c r="W10" s="3">
        <f>IF($C10="","",$D10&amp;"|"&amp;$E10&amp;"|"&amp;TEXT($C10,"0")&amp;"|"&amp;TEXT($G10,"0")&amp;"|"&amp;$J10)</f>
        <v/>
      </c>
      <c r="X10" s="226">
        <f>AY_SONU!$B10</f>
        <v/>
      </c>
      <c r="Y10" s="121">
        <f>"Müşteri Carisi  (MÜŞTERİ 360)"</f>
        <v/>
      </c>
      <c r="Z10" s="121">
        <f>"600 Muhasebe Hizmet Geliri  (sözleşme)"</f>
        <v/>
      </c>
      <c r="AA10" s="222">
        <f>AY_SONU!$C10</f>
        <v/>
      </c>
      <c r="AB10" s="222">
        <f>AY_SONU!$D10</f>
        <v/>
      </c>
      <c r="AC10" s="222">
        <f>AY_SONU!$C10-AY_SONU!$D10</f>
        <v/>
      </c>
      <c r="AD10" s="3">
        <f>IF($C10="",0,SUMPRODUCT((AY_SONU!$O$7:$O$42="Evet")*(AY_SONU!$B$7:$B$42=DATE(YEAR($C10),MONTH($C10),1))))</f>
        <v/>
      </c>
    </row>
    <row r="11">
      <c r="A11" s="6" t="n"/>
      <c r="B11" s="113">
        <f>IF($C11="","","GG"&amp;TEXT(ROW()-6,"00000"))</f>
        <v/>
      </c>
      <c r="C11" s="220" t="n">
        <v>46044</v>
      </c>
      <c r="D11" s="108" t="inlineStr">
        <is>
          <t>Gider</t>
        </is>
      </c>
      <c r="E11" s="109" t="inlineStr">
        <is>
          <t>Diğer Gider</t>
        </is>
      </c>
      <c r="F11" s="109" t="inlineStr">
        <is>
          <t>Ofis Lavabo Su Tesisatı Tamirat ve Malzeme</t>
        </is>
      </c>
      <c r="G11" s="221" t="n">
        <v>3000</v>
      </c>
      <c r="H11" s="108" t="inlineStr">
        <is>
          <t>Merkez Kasa</t>
        </is>
      </c>
      <c r="I11" s="108" t="inlineStr">
        <is>
          <t>Evet</t>
        </is>
      </c>
      <c r="J11" s="109" t="n"/>
      <c r="K11" s="109" t="n"/>
      <c r="L11" s="108" t="n"/>
      <c r="M11" s="121">
        <f>IF($C11="","",IF($D11="Gider",$E11,IF($L11&lt;&gt;"",$L11,$H11)))</f>
        <v/>
      </c>
      <c r="N11" s="121">
        <f>IF($C11="","",IF($D11="Gider",$H11,$E11))</f>
        <v/>
      </c>
      <c r="O11" s="226">
        <f>IF($C11="","",DATE(YEAR($C11),MONTH($C11),1))</f>
        <v/>
      </c>
      <c r="P11" s="113">
        <f>IF($C11="","",IF(AND($D11="Gelir",$L11&lt;&gt;"",$T11=""),"TANIMSIZ BORÇLU",IF($T11&lt;&gt;"",IF(OR($E11="",$G11&lt;=0),"EKSİK",IF($I11="Evet","TAHAKKUK NAKİT OLAMAZ",IF($C11&gt;TODAY(),"İLERİ TARİH","TAHAKKUK"))),IF(AND($D11&lt;&gt;"",$E11&lt;&gt;"",$G11&gt;0,$H11&lt;&gt;"",$I11&lt;&gt;""),IF($C11&gt;TODAY(),"İLERİ TARİH",IF(COUNTIF($W$7:$W$1206,$W11)&gt;1,"MÜKERRER?",IF($AD11&gt;0,"KAPALI DÖNEM",IF($I11="Hayır","ÖDENECEK","UYGUN")))),"EKSİK"))))</f>
        <v/>
      </c>
      <c r="Q11" s="6" t="n"/>
      <c r="R11" s="6" t="n"/>
      <c r="S11" s="3">
        <f>IF($L11="","",UPPER(SUBSTITUTE(SUBSTITUTE(SUBSTITUTE(SUBSTITUTE(SUBSTITUTE(SUBSTITUTE(SUBSTITUTE(SUBSTITUTE(SUBSTITUTE(SUBSTITUTE(SUBSTITUTE(SUBSTITUTE(SUBSTITUTE(SUBSTITUTE(SUBSTITUTE(SUBSTITUTE(SUBSTITUTE(SUBSTITUTE(TRIM($L11),"'",""),"İ","I"),"ı","I"),"i","I"),"Ş","S"),"ş","S"),"Ğ","G"),"ğ","G"),"Ü","U"),"ü","U"),"Ö","O"),"ö","O"),"Ç","C"),"ç","C"),".",""),",","")," ",""),"-","")))</f>
        <v/>
      </c>
      <c r="T11" s="3">
        <f>IF(OR($C11="",$D11&lt;&gt;"Gelir",$L11=""),"",IFERROR(INDEX(MUSTERILER!$B$7:$B$106,MATCH($S11,MUSTERILER!$T$7:$T$106,0)),""))</f>
        <v/>
      </c>
      <c r="U11" s="3">
        <f>IF($T11="","",$T11&amp;"|"&amp;COUNTIFS($T$7:$T11,$T11))</f>
        <v/>
      </c>
      <c r="V11" s="3">
        <f>IF($T11="",0,1)</f>
        <v/>
      </c>
      <c r="W11" s="3">
        <f>IF($C11="","",$D11&amp;"|"&amp;$E11&amp;"|"&amp;TEXT($C11,"0")&amp;"|"&amp;TEXT($G11,"0")&amp;"|"&amp;$J11)</f>
        <v/>
      </c>
      <c r="X11" s="226">
        <f>AY_SONU!$B11</f>
        <v/>
      </c>
      <c r="Y11" s="121">
        <f>"Müşteri Carisi  (MÜŞTERİ 360)"</f>
        <v/>
      </c>
      <c r="Z11" s="121">
        <f>"600 Muhasebe Hizmet Geliri  (sözleşme)"</f>
        <v/>
      </c>
      <c r="AA11" s="222">
        <f>AY_SONU!$C11</f>
        <v/>
      </c>
      <c r="AB11" s="222">
        <f>AY_SONU!$D11</f>
        <v/>
      </c>
      <c r="AC11" s="222">
        <f>AY_SONU!$C11-AY_SONU!$D11</f>
        <v/>
      </c>
      <c r="AD11" s="3">
        <f>IF($C11="",0,SUMPRODUCT((AY_SONU!$O$7:$O$42="Evet")*(AY_SONU!$B$7:$B$42=DATE(YEAR($C11),MONTH($C11),1))))</f>
        <v/>
      </c>
    </row>
    <row r="12">
      <c r="A12" s="6" t="n"/>
      <c r="B12" s="113">
        <f>IF($C12="","","GG"&amp;TEXT(ROW()-6,"00000"))</f>
        <v/>
      </c>
      <c r="C12" s="220" t="n">
        <v>46049</v>
      </c>
      <c r="D12" s="108" t="inlineStr">
        <is>
          <t>Gider</t>
        </is>
      </c>
      <c r="E12" s="109" t="inlineStr">
        <is>
          <t>Elektrik / Su / Doğalgaz</t>
        </is>
      </c>
      <c r="F12" s="109" t="inlineStr">
        <is>
          <t xml:space="preserve">Elektrik Ödemesi </t>
        </is>
      </c>
      <c r="G12" s="221" t="n">
        <v>1035</v>
      </c>
      <c r="H12" s="108" t="inlineStr">
        <is>
          <t>Merkez Kasa</t>
        </is>
      </c>
      <c r="I12" s="108" t="inlineStr">
        <is>
          <t>Evet</t>
        </is>
      </c>
      <c r="J12" s="109" t="n"/>
      <c r="K12" s="109" t="n"/>
      <c r="L12" s="108" t="n"/>
      <c r="M12" s="121">
        <f>IF($C12="","",IF($D12="Gider",$E12,IF($L12&lt;&gt;"",$L12,$H12)))</f>
        <v/>
      </c>
      <c r="N12" s="121">
        <f>IF($C12="","",IF($D12="Gider",$H12,$E12))</f>
        <v/>
      </c>
      <c r="O12" s="226">
        <f>IF($C12="","",DATE(YEAR($C12),MONTH($C12),1))</f>
        <v/>
      </c>
      <c r="P12" s="113">
        <f>IF($C12="","",IF(AND($D12="Gelir",$L12&lt;&gt;"",$T12=""),"TANIMSIZ BORÇLU",IF($T12&lt;&gt;"",IF(OR($E12="",$G12&lt;=0),"EKSİK",IF($I12="Evet","TAHAKKUK NAKİT OLAMAZ",IF($C12&gt;TODAY(),"İLERİ TARİH","TAHAKKUK"))),IF(AND($D12&lt;&gt;"",$E12&lt;&gt;"",$G12&gt;0,$H12&lt;&gt;"",$I12&lt;&gt;""),IF($C12&gt;TODAY(),"İLERİ TARİH",IF(COUNTIF($W$7:$W$1206,$W12)&gt;1,"MÜKERRER?",IF($AD12&gt;0,"KAPALI DÖNEM",IF($I12="Hayır","ÖDENECEK","UYGUN")))),"EKSİK"))))</f>
        <v/>
      </c>
      <c r="Q12" s="6" t="n"/>
      <c r="R12" s="6" t="n"/>
      <c r="S12" s="3">
        <f>IF($L12="","",UPPER(SUBSTITUTE(SUBSTITUTE(SUBSTITUTE(SUBSTITUTE(SUBSTITUTE(SUBSTITUTE(SUBSTITUTE(SUBSTITUTE(SUBSTITUTE(SUBSTITUTE(SUBSTITUTE(SUBSTITUTE(SUBSTITUTE(SUBSTITUTE(SUBSTITUTE(SUBSTITUTE(SUBSTITUTE(SUBSTITUTE(TRIM($L12),"'",""),"İ","I"),"ı","I"),"i","I"),"Ş","S"),"ş","S"),"Ğ","G"),"ğ","G"),"Ü","U"),"ü","U"),"Ö","O"),"ö","O"),"Ç","C"),"ç","C"),".",""),",","")," ",""),"-","")))</f>
        <v/>
      </c>
      <c r="T12" s="3">
        <f>IF(OR($C12="",$D12&lt;&gt;"Gelir",$L12=""),"",IFERROR(INDEX(MUSTERILER!$B$7:$B$106,MATCH($S12,MUSTERILER!$T$7:$T$106,0)),""))</f>
        <v/>
      </c>
      <c r="U12" s="3">
        <f>IF($T12="","",$T12&amp;"|"&amp;COUNTIFS($T$7:$T12,$T12))</f>
        <v/>
      </c>
      <c r="V12" s="3">
        <f>IF($T12="",0,1)</f>
        <v/>
      </c>
      <c r="W12" s="3">
        <f>IF($C12="","",$D12&amp;"|"&amp;$E12&amp;"|"&amp;TEXT($C12,"0")&amp;"|"&amp;TEXT($G12,"0")&amp;"|"&amp;$J12)</f>
        <v/>
      </c>
      <c r="X12" s="226">
        <f>AY_SONU!$B12</f>
        <v/>
      </c>
      <c r="Y12" s="121">
        <f>"Müşteri Carisi  (MÜŞTERİ 360)"</f>
        <v/>
      </c>
      <c r="Z12" s="121">
        <f>"600 Muhasebe Hizmet Geliri  (sözleşme)"</f>
        <v/>
      </c>
      <c r="AA12" s="222">
        <f>AY_SONU!$C12</f>
        <v/>
      </c>
      <c r="AB12" s="222">
        <f>AY_SONU!$D12</f>
        <v/>
      </c>
      <c r="AC12" s="222">
        <f>AY_SONU!$C12-AY_SONU!$D12</f>
        <v/>
      </c>
      <c r="AD12" s="3">
        <f>IF($C12="",0,SUMPRODUCT((AY_SONU!$O$7:$O$42="Evet")*(AY_SONU!$B$7:$B$42=DATE(YEAR($C12),MONTH($C12),1))))</f>
        <v/>
      </c>
    </row>
    <row r="13">
      <c r="A13" s="6" t="n"/>
      <c r="B13" s="113">
        <f>IF($C13="","","GG"&amp;TEXT(ROW()-6,"00000"))</f>
        <v/>
      </c>
      <c r="C13" s="220" t="n">
        <v>46049</v>
      </c>
      <c r="D13" s="108" t="inlineStr">
        <is>
          <t>Gider</t>
        </is>
      </c>
      <c r="E13" s="109" t="inlineStr">
        <is>
          <t>Elektrik / Su / Doğalgaz</t>
        </is>
      </c>
      <c r="F13" s="109" t="inlineStr">
        <is>
          <t xml:space="preserve">Elektrik Ödemesi </t>
        </is>
      </c>
      <c r="G13" s="221" t="n">
        <v>949.97</v>
      </c>
      <c r="H13" s="108" t="inlineStr">
        <is>
          <t>Merkez Kasa</t>
        </is>
      </c>
      <c r="I13" s="108" t="inlineStr">
        <is>
          <t>Evet</t>
        </is>
      </c>
      <c r="J13" s="109" t="n"/>
      <c r="K13" s="109" t="n"/>
      <c r="L13" s="108" t="n"/>
      <c r="M13" s="121">
        <f>IF($C13="","",IF($D13="Gider",$E13,IF($L13&lt;&gt;"",$L13,$H13)))</f>
        <v/>
      </c>
      <c r="N13" s="121">
        <f>IF($C13="","",IF($D13="Gider",$H13,$E13))</f>
        <v/>
      </c>
      <c r="O13" s="226">
        <f>IF($C13="","",DATE(YEAR($C13),MONTH($C13),1))</f>
        <v/>
      </c>
      <c r="P13" s="113">
        <f>IF($C13="","",IF(AND($D13="Gelir",$L13&lt;&gt;"",$T13=""),"TANIMSIZ BORÇLU",IF($T13&lt;&gt;"",IF(OR($E13="",$G13&lt;=0),"EKSİK",IF($I13="Evet","TAHAKKUK NAKİT OLAMAZ",IF($C13&gt;TODAY(),"İLERİ TARİH","TAHAKKUK"))),IF(AND($D13&lt;&gt;"",$E13&lt;&gt;"",$G13&gt;0,$H13&lt;&gt;"",$I13&lt;&gt;""),IF($C13&gt;TODAY(),"İLERİ TARİH",IF(COUNTIF($W$7:$W$1206,$W13)&gt;1,"MÜKERRER?",IF($AD13&gt;0,"KAPALI DÖNEM",IF($I13="Hayır","ÖDENECEK","UYGUN")))),"EKSİK"))))</f>
        <v/>
      </c>
      <c r="Q13" s="6" t="n"/>
      <c r="R13" s="6" t="n"/>
      <c r="S13" s="3">
        <f>IF($L13="","",UPPER(SUBSTITUTE(SUBSTITUTE(SUBSTITUTE(SUBSTITUTE(SUBSTITUTE(SUBSTITUTE(SUBSTITUTE(SUBSTITUTE(SUBSTITUTE(SUBSTITUTE(SUBSTITUTE(SUBSTITUTE(SUBSTITUTE(SUBSTITUTE(SUBSTITUTE(SUBSTITUTE(SUBSTITUTE(SUBSTITUTE(TRIM($L13),"'",""),"İ","I"),"ı","I"),"i","I"),"Ş","S"),"ş","S"),"Ğ","G"),"ğ","G"),"Ü","U"),"ü","U"),"Ö","O"),"ö","O"),"Ç","C"),"ç","C"),".",""),",","")," ",""),"-","")))</f>
        <v/>
      </c>
      <c r="T13" s="3">
        <f>IF(OR($C13="",$D13&lt;&gt;"Gelir",$L13=""),"",IFERROR(INDEX(MUSTERILER!$B$7:$B$106,MATCH($S13,MUSTERILER!$T$7:$T$106,0)),""))</f>
        <v/>
      </c>
      <c r="U13" s="3">
        <f>IF($T13="","",$T13&amp;"|"&amp;COUNTIFS($T$7:$T13,$T13))</f>
        <v/>
      </c>
      <c r="V13" s="3">
        <f>IF($T13="",0,1)</f>
        <v/>
      </c>
      <c r="W13" s="3">
        <f>IF($C13="","",$D13&amp;"|"&amp;$E13&amp;"|"&amp;TEXT($C13,"0")&amp;"|"&amp;TEXT($G13,"0")&amp;"|"&amp;$J13)</f>
        <v/>
      </c>
      <c r="X13" s="226">
        <f>AY_SONU!$B13</f>
        <v/>
      </c>
      <c r="Y13" s="121">
        <f>"Müşteri Carisi  (MÜŞTERİ 360)"</f>
        <v/>
      </c>
      <c r="Z13" s="121">
        <f>"600 Muhasebe Hizmet Geliri  (sözleşme)"</f>
        <v/>
      </c>
      <c r="AA13" s="222">
        <f>AY_SONU!$C13</f>
        <v/>
      </c>
      <c r="AB13" s="222">
        <f>AY_SONU!$D13</f>
        <v/>
      </c>
      <c r="AC13" s="222">
        <f>AY_SONU!$C13-AY_SONU!$D13</f>
        <v/>
      </c>
      <c r="AD13" s="3">
        <f>IF($C13="",0,SUMPRODUCT((AY_SONU!$O$7:$O$42="Evet")*(AY_SONU!$B$7:$B$42=DATE(YEAR($C13),MONTH($C13),1))))</f>
        <v/>
      </c>
    </row>
    <row r="14">
      <c r="A14" s="6" t="n"/>
      <c r="B14" s="113">
        <f>IF($C14="","","GG"&amp;TEXT(ROW()-6,"00000"))</f>
        <v/>
      </c>
      <c r="C14" s="220" t="n">
        <v>46049</v>
      </c>
      <c r="D14" s="108" t="inlineStr">
        <is>
          <t>Gider</t>
        </is>
      </c>
      <c r="E14" s="109" t="inlineStr">
        <is>
          <t>Elektrik / Su / Doğalgaz</t>
        </is>
      </c>
      <c r="F14" s="109" t="inlineStr">
        <is>
          <t>Su Ödemesi</t>
        </is>
      </c>
      <c r="G14" s="221" t="n">
        <v>469.9</v>
      </c>
      <c r="H14" s="108" t="inlineStr">
        <is>
          <t>Merkez Kasa</t>
        </is>
      </c>
      <c r="I14" s="108" t="inlineStr">
        <is>
          <t>Evet</t>
        </is>
      </c>
      <c r="J14" s="109" t="n"/>
      <c r="K14" s="109" t="n"/>
      <c r="L14" s="108" t="n"/>
      <c r="M14" s="121">
        <f>IF($C14="","",IF($D14="Gider",$E14,IF($L14&lt;&gt;"",$L14,$H14)))</f>
        <v/>
      </c>
      <c r="N14" s="121">
        <f>IF($C14="","",IF($D14="Gider",$H14,$E14))</f>
        <v/>
      </c>
      <c r="O14" s="226">
        <f>IF($C14="","",DATE(YEAR($C14),MONTH($C14),1))</f>
        <v/>
      </c>
      <c r="P14" s="113">
        <f>IF($C14="","",IF(AND($D14="Gelir",$L14&lt;&gt;"",$T14=""),"TANIMSIZ BORÇLU",IF($T14&lt;&gt;"",IF(OR($E14="",$G14&lt;=0),"EKSİK",IF($I14="Evet","TAHAKKUK NAKİT OLAMAZ",IF($C14&gt;TODAY(),"İLERİ TARİH","TAHAKKUK"))),IF(AND($D14&lt;&gt;"",$E14&lt;&gt;"",$G14&gt;0,$H14&lt;&gt;"",$I14&lt;&gt;""),IF($C14&gt;TODAY(),"İLERİ TARİH",IF(COUNTIF($W$7:$W$1206,$W14)&gt;1,"MÜKERRER?",IF($AD14&gt;0,"KAPALI DÖNEM",IF($I14="Hayır","ÖDENECEK","UYGUN")))),"EKSİK"))))</f>
        <v/>
      </c>
      <c r="Q14" s="6" t="n"/>
      <c r="R14" s="6" t="n"/>
      <c r="S14" s="3">
        <f>IF($L14="","",UPPER(SUBSTITUTE(SUBSTITUTE(SUBSTITUTE(SUBSTITUTE(SUBSTITUTE(SUBSTITUTE(SUBSTITUTE(SUBSTITUTE(SUBSTITUTE(SUBSTITUTE(SUBSTITUTE(SUBSTITUTE(SUBSTITUTE(SUBSTITUTE(SUBSTITUTE(SUBSTITUTE(SUBSTITUTE(SUBSTITUTE(TRIM($L14),"'",""),"İ","I"),"ı","I"),"i","I"),"Ş","S"),"ş","S"),"Ğ","G"),"ğ","G"),"Ü","U"),"ü","U"),"Ö","O"),"ö","O"),"Ç","C"),"ç","C"),".",""),",","")," ",""),"-","")))</f>
        <v/>
      </c>
      <c r="T14" s="3">
        <f>IF(OR($C14="",$D14&lt;&gt;"Gelir",$L14=""),"",IFERROR(INDEX(MUSTERILER!$B$7:$B$106,MATCH($S14,MUSTERILER!$T$7:$T$106,0)),""))</f>
        <v/>
      </c>
      <c r="U14" s="3">
        <f>IF($T14="","",$T14&amp;"|"&amp;COUNTIFS($T$7:$T14,$T14))</f>
        <v/>
      </c>
      <c r="V14" s="3">
        <f>IF($T14="",0,1)</f>
        <v/>
      </c>
      <c r="W14" s="3">
        <f>IF($C14="","",$D14&amp;"|"&amp;$E14&amp;"|"&amp;TEXT($C14,"0")&amp;"|"&amp;TEXT($G14,"0")&amp;"|"&amp;$J14)</f>
        <v/>
      </c>
      <c r="X14" s="226">
        <f>AY_SONU!$B14</f>
        <v/>
      </c>
      <c r="Y14" s="121">
        <f>"Müşteri Carisi  (MÜŞTERİ 360)"</f>
        <v/>
      </c>
      <c r="Z14" s="121">
        <f>"600 Muhasebe Hizmet Geliri  (sözleşme)"</f>
        <v/>
      </c>
      <c r="AA14" s="222">
        <f>AY_SONU!$C14</f>
        <v/>
      </c>
      <c r="AB14" s="222">
        <f>AY_SONU!$D14</f>
        <v/>
      </c>
      <c r="AC14" s="222">
        <f>AY_SONU!$C14-AY_SONU!$D14</f>
        <v/>
      </c>
      <c r="AD14" s="3">
        <f>IF($C14="",0,SUMPRODUCT((AY_SONU!$O$7:$O$42="Evet")*(AY_SONU!$B$7:$B$42=DATE(YEAR($C14),MONTH($C14),1))))</f>
        <v/>
      </c>
    </row>
    <row r="15">
      <c r="A15" s="6" t="n"/>
      <c r="B15" s="113">
        <f>IF($C15="","","GG"&amp;TEXT(ROW()-6,"00000"))</f>
        <v/>
      </c>
      <c r="C15" s="220" t="n">
        <v>46049</v>
      </c>
      <c r="D15" s="108" t="inlineStr">
        <is>
          <t>Gider</t>
        </is>
      </c>
      <c r="E15" s="109" t="inlineStr">
        <is>
          <t>Elektrik / Su / Doğalgaz</t>
        </is>
      </c>
      <c r="F15" s="109" t="inlineStr">
        <is>
          <t>Su Ödemesi</t>
        </is>
      </c>
      <c r="G15" s="221" t="n">
        <v>249.5</v>
      </c>
      <c r="H15" s="108" t="inlineStr">
        <is>
          <t>Merkez Kasa</t>
        </is>
      </c>
      <c r="I15" s="108" t="inlineStr">
        <is>
          <t>Evet</t>
        </is>
      </c>
      <c r="J15" s="109" t="n"/>
      <c r="K15" s="109" t="n"/>
      <c r="L15" s="108" t="n"/>
      <c r="M15" s="121">
        <f>IF($C15="","",IF($D15="Gider",$E15,IF($L15&lt;&gt;"",$L15,$H15)))</f>
        <v/>
      </c>
      <c r="N15" s="121">
        <f>IF($C15="","",IF($D15="Gider",$H15,$E15))</f>
        <v/>
      </c>
      <c r="O15" s="226">
        <f>IF($C15="","",DATE(YEAR($C15),MONTH($C15),1))</f>
        <v/>
      </c>
      <c r="P15" s="113">
        <f>IF($C15="","",IF(AND($D15="Gelir",$L15&lt;&gt;"",$T15=""),"TANIMSIZ BORÇLU",IF($T15&lt;&gt;"",IF(OR($E15="",$G15&lt;=0),"EKSİK",IF($I15="Evet","TAHAKKUK NAKİT OLAMAZ",IF($C15&gt;TODAY(),"İLERİ TARİH","TAHAKKUK"))),IF(AND($D15&lt;&gt;"",$E15&lt;&gt;"",$G15&gt;0,$H15&lt;&gt;"",$I15&lt;&gt;""),IF($C15&gt;TODAY(),"İLERİ TARİH",IF(COUNTIF($W$7:$W$1206,$W15)&gt;1,"MÜKERRER?",IF($AD15&gt;0,"KAPALI DÖNEM",IF($I15="Hayır","ÖDENECEK","UYGUN")))),"EKSİK"))))</f>
        <v/>
      </c>
      <c r="Q15" s="6" t="n"/>
      <c r="R15" s="6" t="n"/>
      <c r="S15" s="3">
        <f>IF($L15="","",UPPER(SUBSTITUTE(SUBSTITUTE(SUBSTITUTE(SUBSTITUTE(SUBSTITUTE(SUBSTITUTE(SUBSTITUTE(SUBSTITUTE(SUBSTITUTE(SUBSTITUTE(SUBSTITUTE(SUBSTITUTE(SUBSTITUTE(SUBSTITUTE(SUBSTITUTE(SUBSTITUTE(SUBSTITUTE(SUBSTITUTE(TRIM($L15),"'",""),"İ","I"),"ı","I"),"i","I"),"Ş","S"),"ş","S"),"Ğ","G"),"ğ","G"),"Ü","U"),"ü","U"),"Ö","O"),"ö","O"),"Ç","C"),"ç","C"),".",""),",","")," ",""),"-","")))</f>
        <v/>
      </c>
      <c r="T15" s="3">
        <f>IF(OR($C15="",$D15&lt;&gt;"Gelir",$L15=""),"",IFERROR(INDEX(MUSTERILER!$B$7:$B$106,MATCH($S15,MUSTERILER!$T$7:$T$106,0)),""))</f>
        <v/>
      </c>
      <c r="U15" s="3">
        <f>IF($T15="","",$T15&amp;"|"&amp;COUNTIFS($T$7:$T15,$T15))</f>
        <v/>
      </c>
      <c r="V15" s="3">
        <f>IF($T15="",0,1)</f>
        <v/>
      </c>
      <c r="W15" s="3">
        <f>IF($C15="","",$D15&amp;"|"&amp;$E15&amp;"|"&amp;TEXT($C15,"0")&amp;"|"&amp;TEXT($G15,"0")&amp;"|"&amp;$J15)</f>
        <v/>
      </c>
      <c r="X15" s="226">
        <f>AY_SONU!$B15</f>
        <v/>
      </c>
      <c r="Y15" s="121">
        <f>"Müşteri Carisi  (MÜŞTERİ 360)"</f>
        <v/>
      </c>
      <c r="Z15" s="121">
        <f>"600 Muhasebe Hizmet Geliri  (sözleşme)"</f>
        <v/>
      </c>
      <c r="AA15" s="222">
        <f>AY_SONU!$C15</f>
        <v/>
      </c>
      <c r="AB15" s="222">
        <f>AY_SONU!$D15</f>
        <v/>
      </c>
      <c r="AC15" s="222">
        <f>AY_SONU!$C15-AY_SONU!$D15</f>
        <v/>
      </c>
      <c r="AD15" s="3">
        <f>IF($C15="",0,SUMPRODUCT((AY_SONU!$O$7:$O$42="Evet")*(AY_SONU!$B$7:$B$42=DATE(YEAR($C15),MONTH($C15),1))))</f>
        <v/>
      </c>
    </row>
    <row r="16">
      <c r="A16" s="6" t="n"/>
      <c r="B16" s="113">
        <f>IF($C16="","","GG"&amp;TEXT(ROW()-6,"00000"))</f>
        <v/>
      </c>
      <c r="C16" s="220" t="n">
        <v>46049</v>
      </c>
      <c r="D16" s="108" t="inlineStr">
        <is>
          <t>Gider</t>
        </is>
      </c>
      <c r="E16" s="109" t="inlineStr">
        <is>
          <t>Elektrik / Su / Doğalgaz</t>
        </is>
      </c>
      <c r="F16" s="109" t="inlineStr">
        <is>
          <t>Su Ödemesi</t>
        </is>
      </c>
      <c r="G16" s="221" t="n">
        <v>167.45</v>
      </c>
      <c r="H16" s="108" t="inlineStr">
        <is>
          <t>Merkez Kasa</t>
        </is>
      </c>
      <c r="I16" s="108" t="inlineStr">
        <is>
          <t>Evet</t>
        </is>
      </c>
      <c r="J16" s="109" t="n"/>
      <c r="K16" s="109" t="n"/>
      <c r="L16" s="108" t="n"/>
      <c r="M16" s="121">
        <f>IF($C16="","",IF($D16="Gider",$E16,IF($L16&lt;&gt;"",$L16,$H16)))</f>
        <v/>
      </c>
      <c r="N16" s="121">
        <f>IF($C16="","",IF($D16="Gider",$H16,$E16))</f>
        <v/>
      </c>
      <c r="O16" s="226">
        <f>IF($C16="","",DATE(YEAR($C16),MONTH($C16),1))</f>
        <v/>
      </c>
      <c r="P16" s="113">
        <f>IF($C16="","",IF(AND($D16="Gelir",$L16&lt;&gt;"",$T16=""),"TANIMSIZ BORÇLU",IF($T16&lt;&gt;"",IF(OR($E16="",$G16&lt;=0),"EKSİK",IF($I16="Evet","TAHAKKUK NAKİT OLAMAZ",IF($C16&gt;TODAY(),"İLERİ TARİH","TAHAKKUK"))),IF(AND($D16&lt;&gt;"",$E16&lt;&gt;"",$G16&gt;0,$H16&lt;&gt;"",$I16&lt;&gt;""),IF($C16&gt;TODAY(),"İLERİ TARİH",IF(COUNTIF($W$7:$W$1206,$W16)&gt;1,"MÜKERRER?",IF($AD16&gt;0,"KAPALI DÖNEM",IF($I16="Hayır","ÖDENECEK","UYGUN")))),"EKSİK"))))</f>
        <v/>
      </c>
      <c r="Q16" s="6" t="n"/>
      <c r="R16" s="6" t="n"/>
      <c r="S16" s="3">
        <f>IF($L16="","",UPPER(SUBSTITUTE(SUBSTITUTE(SUBSTITUTE(SUBSTITUTE(SUBSTITUTE(SUBSTITUTE(SUBSTITUTE(SUBSTITUTE(SUBSTITUTE(SUBSTITUTE(SUBSTITUTE(SUBSTITUTE(SUBSTITUTE(SUBSTITUTE(SUBSTITUTE(SUBSTITUTE(SUBSTITUTE(SUBSTITUTE(TRIM($L16),"'",""),"İ","I"),"ı","I"),"i","I"),"Ş","S"),"ş","S"),"Ğ","G"),"ğ","G"),"Ü","U"),"ü","U"),"Ö","O"),"ö","O"),"Ç","C"),"ç","C"),".",""),",","")," ",""),"-","")))</f>
        <v/>
      </c>
      <c r="T16" s="3">
        <f>IF(OR($C16="",$D16&lt;&gt;"Gelir",$L16=""),"",IFERROR(INDEX(MUSTERILER!$B$7:$B$106,MATCH($S16,MUSTERILER!$T$7:$T$106,0)),""))</f>
        <v/>
      </c>
      <c r="U16" s="3">
        <f>IF($T16="","",$T16&amp;"|"&amp;COUNTIFS($T$7:$T16,$T16))</f>
        <v/>
      </c>
      <c r="V16" s="3">
        <f>IF($T16="",0,1)</f>
        <v/>
      </c>
      <c r="W16" s="3">
        <f>IF($C16="","",$D16&amp;"|"&amp;$E16&amp;"|"&amp;TEXT($C16,"0")&amp;"|"&amp;TEXT($G16,"0")&amp;"|"&amp;$J16)</f>
        <v/>
      </c>
      <c r="X16" s="226">
        <f>AY_SONU!$B16</f>
        <v/>
      </c>
      <c r="Y16" s="121">
        <f>"Müşteri Carisi  (MÜŞTERİ 360)"</f>
        <v/>
      </c>
      <c r="Z16" s="121">
        <f>"600 Muhasebe Hizmet Geliri  (sözleşme)"</f>
        <v/>
      </c>
      <c r="AA16" s="222">
        <f>AY_SONU!$C16</f>
        <v/>
      </c>
      <c r="AB16" s="222">
        <f>AY_SONU!$D16</f>
        <v/>
      </c>
      <c r="AC16" s="222">
        <f>AY_SONU!$C16-AY_SONU!$D16</f>
        <v/>
      </c>
      <c r="AD16" s="3">
        <f>IF($C16="",0,SUMPRODUCT((AY_SONU!$O$7:$O$42="Evet")*(AY_SONU!$B$7:$B$42=DATE(YEAR($C16),MONTH($C16),1))))</f>
        <v/>
      </c>
    </row>
    <row r="17">
      <c r="A17" s="6" t="n"/>
      <c r="B17" s="113">
        <f>IF($C17="","","GG"&amp;TEXT(ROW()-6,"00000"))</f>
        <v/>
      </c>
      <c r="C17" s="220" t="n">
        <v>46049</v>
      </c>
      <c r="D17" s="108" t="inlineStr">
        <is>
          <t>Gider</t>
        </is>
      </c>
      <c r="E17" s="109" t="inlineStr">
        <is>
          <t>Telefon / İnternet</t>
        </is>
      </c>
      <c r="F17" s="109" t="inlineStr">
        <is>
          <t>İnternet Ödemesi</t>
        </is>
      </c>
      <c r="G17" s="221" t="n">
        <v>602</v>
      </c>
      <c r="H17" s="108" t="inlineStr">
        <is>
          <t>Merkez Kasa</t>
        </is>
      </c>
      <c r="I17" s="108" t="inlineStr">
        <is>
          <t>Evet</t>
        </is>
      </c>
      <c r="J17" s="109" t="n"/>
      <c r="K17" s="109" t="n"/>
      <c r="L17" s="108" t="n"/>
      <c r="M17" s="121">
        <f>IF($C17="","",IF($D17="Gider",$E17,IF($L17&lt;&gt;"",$L17,$H17)))</f>
        <v/>
      </c>
      <c r="N17" s="121">
        <f>IF($C17="","",IF($D17="Gider",$H17,$E17))</f>
        <v/>
      </c>
      <c r="O17" s="226">
        <f>IF($C17="","",DATE(YEAR($C17),MONTH($C17),1))</f>
        <v/>
      </c>
      <c r="P17" s="113">
        <f>IF($C17="","",IF(AND($D17="Gelir",$L17&lt;&gt;"",$T17=""),"TANIMSIZ BORÇLU",IF($T17&lt;&gt;"",IF(OR($E17="",$G17&lt;=0),"EKSİK",IF($I17="Evet","TAHAKKUK NAKİT OLAMAZ",IF($C17&gt;TODAY(),"İLERİ TARİH","TAHAKKUK"))),IF(AND($D17&lt;&gt;"",$E17&lt;&gt;"",$G17&gt;0,$H17&lt;&gt;"",$I17&lt;&gt;""),IF($C17&gt;TODAY(),"İLERİ TARİH",IF(COUNTIF($W$7:$W$1206,$W17)&gt;1,"MÜKERRER?",IF($AD17&gt;0,"KAPALI DÖNEM",IF($I17="Hayır","ÖDENECEK","UYGUN")))),"EKSİK"))))</f>
        <v/>
      </c>
      <c r="Q17" s="6" t="n"/>
      <c r="R17" s="6" t="n"/>
      <c r="S17" s="3">
        <f>IF($L17="","",UPPER(SUBSTITUTE(SUBSTITUTE(SUBSTITUTE(SUBSTITUTE(SUBSTITUTE(SUBSTITUTE(SUBSTITUTE(SUBSTITUTE(SUBSTITUTE(SUBSTITUTE(SUBSTITUTE(SUBSTITUTE(SUBSTITUTE(SUBSTITUTE(SUBSTITUTE(SUBSTITUTE(SUBSTITUTE(SUBSTITUTE(TRIM($L17),"'",""),"İ","I"),"ı","I"),"i","I"),"Ş","S"),"ş","S"),"Ğ","G"),"ğ","G"),"Ü","U"),"ü","U"),"Ö","O"),"ö","O"),"Ç","C"),"ç","C"),".",""),",","")," ",""),"-","")))</f>
        <v/>
      </c>
      <c r="T17" s="3">
        <f>IF(OR($C17="",$D17&lt;&gt;"Gelir",$L17=""),"",IFERROR(INDEX(MUSTERILER!$B$7:$B$106,MATCH($S17,MUSTERILER!$T$7:$T$106,0)),""))</f>
        <v/>
      </c>
      <c r="U17" s="3">
        <f>IF($T17="","",$T17&amp;"|"&amp;COUNTIFS($T$7:$T17,$T17))</f>
        <v/>
      </c>
      <c r="V17" s="3">
        <f>IF($T17="",0,1)</f>
        <v/>
      </c>
      <c r="W17" s="3">
        <f>IF($C17="","",$D17&amp;"|"&amp;$E17&amp;"|"&amp;TEXT($C17,"0")&amp;"|"&amp;TEXT($G17,"0")&amp;"|"&amp;$J17)</f>
        <v/>
      </c>
      <c r="X17" s="226">
        <f>AY_SONU!$B17</f>
        <v/>
      </c>
      <c r="Y17" s="121">
        <f>"Müşteri Carisi  (MÜŞTERİ 360)"</f>
        <v/>
      </c>
      <c r="Z17" s="121">
        <f>"600 Muhasebe Hizmet Geliri  (sözleşme)"</f>
        <v/>
      </c>
      <c r="AA17" s="222">
        <f>AY_SONU!$C17</f>
        <v/>
      </c>
      <c r="AB17" s="222">
        <f>AY_SONU!$D17</f>
        <v/>
      </c>
      <c r="AC17" s="222">
        <f>AY_SONU!$C17-AY_SONU!$D17</f>
        <v/>
      </c>
      <c r="AD17" s="3">
        <f>IF($C17="",0,SUMPRODUCT((AY_SONU!$O$7:$O$42="Evet")*(AY_SONU!$B$7:$B$42=DATE(YEAR($C17),MONTH($C17),1))))</f>
        <v/>
      </c>
    </row>
    <row r="18">
      <c r="A18" s="6" t="n"/>
      <c r="B18" s="113">
        <f>IF($C18="","","GG"&amp;TEXT(ROW()-6,"00000"))</f>
        <v/>
      </c>
      <c r="C18" s="220" t="n">
        <v>46053</v>
      </c>
      <c r="D18" s="108" t="inlineStr">
        <is>
          <t>Gider</t>
        </is>
      </c>
      <c r="E18" s="109" t="inlineStr">
        <is>
          <t>Ulaşım</t>
        </is>
      </c>
      <c r="F18" s="109" t="inlineStr">
        <is>
          <t>Araç Yakıt Alımı</t>
        </is>
      </c>
      <c r="G18" s="221" t="n">
        <v>1750</v>
      </c>
      <c r="H18" s="108" t="inlineStr">
        <is>
          <t>Merkez Kasa</t>
        </is>
      </c>
      <c r="I18" s="108" t="inlineStr">
        <is>
          <t>Evet</t>
        </is>
      </c>
      <c r="J18" s="109" t="n"/>
      <c r="K18" s="109" t="n"/>
      <c r="L18" s="108" t="n"/>
      <c r="M18" s="121">
        <f>IF($C18="","",IF($D18="Gider",$E18,IF($L18&lt;&gt;"",$L18,$H18)))</f>
        <v/>
      </c>
      <c r="N18" s="121">
        <f>IF($C18="","",IF($D18="Gider",$H18,$E18))</f>
        <v/>
      </c>
      <c r="O18" s="226">
        <f>IF($C18="","",DATE(YEAR($C18),MONTH($C18),1))</f>
        <v/>
      </c>
      <c r="P18" s="113">
        <f>IF($C18="","",IF(AND($D18="Gelir",$L18&lt;&gt;"",$T18=""),"TANIMSIZ BORÇLU",IF($T18&lt;&gt;"",IF(OR($E18="",$G18&lt;=0),"EKSİK",IF($I18="Evet","TAHAKKUK NAKİT OLAMAZ",IF($C18&gt;TODAY(),"İLERİ TARİH","TAHAKKUK"))),IF(AND($D18&lt;&gt;"",$E18&lt;&gt;"",$G18&gt;0,$H18&lt;&gt;"",$I18&lt;&gt;""),IF($C18&gt;TODAY(),"İLERİ TARİH",IF(COUNTIF($W$7:$W$1206,$W18)&gt;1,"MÜKERRER?",IF($AD18&gt;0,"KAPALI DÖNEM",IF($I18="Hayır","ÖDENECEK","UYGUN")))),"EKSİK"))))</f>
        <v/>
      </c>
      <c r="Q18" s="6" t="n"/>
      <c r="R18" s="6" t="n"/>
      <c r="S18" s="3">
        <f>IF($L18="","",UPPER(SUBSTITUTE(SUBSTITUTE(SUBSTITUTE(SUBSTITUTE(SUBSTITUTE(SUBSTITUTE(SUBSTITUTE(SUBSTITUTE(SUBSTITUTE(SUBSTITUTE(SUBSTITUTE(SUBSTITUTE(SUBSTITUTE(SUBSTITUTE(SUBSTITUTE(SUBSTITUTE(SUBSTITUTE(SUBSTITUTE(TRIM($L18),"'",""),"İ","I"),"ı","I"),"i","I"),"Ş","S"),"ş","S"),"Ğ","G"),"ğ","G"),"Ü","U"),"ü","U"),"Ö","O"),"ö","O"),"Ç","C"),"ç","C"),".",""),",","")," ",""),"-","")))</f>
        <v/>
      </c>
      <c r="T18" s="3">
        <f>IF(OR($C18="",$D18&lt;&gt;"Gelir",$L18=""),"",IFERROR(INDEX(MUSTERILER!$B$7:$B$106,MATCH($S18,MUSTERILER!$T$7:$T$106,0)),""))</f>
        <v/>
      </c>
      <c r="U18" s="3">
        <f>IF($T18="","",$T18&amp;"|"&amp;COUNTIFS($T$7:$T18,$T18))</f>
        <v/>
      </c>
      <c r="V18" s="3">
        <f>IF($T18="",0,1)</f>
        <v/>
      </c>
      <c r="W18" s="3">
        <f>IF($C18="","",$D18&amp;"|"&amp;$E18&amp;"|"&amp;TEXT($C18,"0")&amp;"|"&amp;TEXT($G18,"0")&amp;"|"&amp;$J18)</f>
        <v/>
      </c>
      <c r="X18" s="226">
        <f>AY_SONU!$B18</f>
        <v/>
      </c>
      <c r="Y18" s="121">
        <f>"Müşteri Carisi  (MÜŞTERİ 360)"</f>
        <v/>
      </c>
      <c r="Z18" s="121">
        <f>"600 Muhasebe Hizmet Geliri  (sözleşme)"</f>
        <v/>
      </c>
      <c r="AA18" s="222">
        <f>AY_SONU!$C18</f>
        <v/>
      </c>
      <c r="AB18" s="222">
        <f>AY_SONU!$D18</f>
        <v/>
      </c>
      <c r="AC18" s="222">
        <f>AY_SONU!$C18-AY_SONU!$D18</f>
        <v/>
      </c>
      <c r="AD18" s="3">
        <f>IF($C18="",0,SUMPRODUCT((AY_SONU!$O$7:$O$42="Evet")*(AY_SONU!$B$7:$B$42=DATE(YEAR($C18),MONTH($C18),1))))</f>
        <v/>
      </c>
    </row>
    <row r="19">
      <c r="A19" s="6" t="n"/>
      <c r="B19" s="113">
        <f>IF($C19="","","GG"&amp;TEXT(ROW()-6,"00000"))</f>
        <v/>
      </c>
      <c r="C19" s="220" t="n">
        <v>46053</v>
      </c>
      <c r="D19" s="108" t="inlineStr">
        <is>
          <t>Gider</t>
        </is>
      </c>
      <c r="E19" s="109" t="inlineStr">
        <is>
          <t>Temsil / Ağırlama</t>
        </is>
      </c>
      <c r="F19" s="109" t="inlineStr">
        <is>
          <t>Ofis Çay Kahve ve Temizlik Alışverişi</t>
        </is>
      </c>
      <c r="G19" s="221" t="n">
        <v>2000</v>
      </c>
      <c r="H19" s="108" t="inlineStr">
        <is>
          <t>Merkez Kasa</t>
        </is>
      </c>
      <c r="I19" s="108" t="inlineStr">
        <is>
          <t>Evet</t>
        </is>
      </c>
      <c r="J19" s="109" t="n"/>
      <c r="K19" s="109" t="n"/>
      <c r="L19" s="108" t="n"/>
      <c r="M19" s="121">
        <f>IF($C19="","",IF($D19="Gider",$E19,IF($L19&lt;&gt;"",$L19,$H19)))</f>
        <v/>
      </c>
      <c r="N19" s="121">
        <f>IF($C19="","",IF($D19="Gider",$H19,$E19))</f>
        <v/>
      </c>
      <c r="O19" s="226">
        <f>IF($C19="","",DATE(YEAR($C19),MONTH($C19),1))</f>
        <v/>
      </c>
      <c r="P19" s="113">
        <f>IF($C19="","",IF(AND($D19="Gelir",$L19&lt;&gt;"",$T19=""),"TANIMSIZ BORÇLU",IF($T19&lt;&gt;"",IF(OR($E19="",$G19&lt;=0),"EKSİK",IF($I19="Evet","TAHAKKUK NAKİT OLAMAZ",IF($C19&gt;TODAY(),"İLERİ TARİH","TAHAKKUK"))),IF(AND($D19&lt;&gt;"",$E19&lt;&gt;"",$G19&gt;0,$H19&lt;&gt;"",$I19&lt;&gt;""),IF($C19&gt;TODAY(),"İLERİ TARİH",IF(COUNTIF($W$7:$W$1206,$W19)&gt;1,"MÜKERRER?",IF($AD19&gt;0,"KAPALI DÖNEM",IF($I19="Hayır","ÖDENECEK","UYGUN")))),"EKSİK"))))</f>
        <v/>
      </c>
      <c r="Q19" s="6" t="n"/>
      <c r="R19" s="6" t="n"/>
      <c r="S19" s="3">
        <f>IF($L19="","",UPPER(SUBSTITUTE(SUBSTITUTE(SUBSTITUTE(SUBSTITUTE(SUBSTITUTE(SUBSTITUTE(SUBSTITUTE(SUBSTITUTE(SUBSTITUTE(SUBSTITUTE(SUBSTITUTE(SUBSTITUTE(SUBSTITUTE(SUBSTITUTE(SUBSTITUTE(SUBSTITUTE(SUBSTITUTE(SUBSTITUTE(TRIM($L19),"'",""),"İ","I"),"ı","I"),"i","I"),"Ş","S"),"ş","S"),"Ğ","G"),"ğ","G"),"Ü","U"),"ü","U"),"Ö","O"),"ö","O"),"Ç","C"),"ç","C"),".",""),",","")," ",""),"-","")))</f>
        <v/>
      </c>
      <c r="T19" s="3">
        <f>IF(OR($C19="",$D19&lt;&gt;"Gelir",$L19=""),"",IFERROR(INDEX(MUSTERILER!$B$7:$B$106,MATCH($S19,MUSTERILER!$T$7:$T$106,0)),""))</f>
        <v/>
      </c>
      <c r="U19" s="3">
        <f>IF($T19="","",$T19&amp;"|"&amp;COUNTIFS($T$7:$T19,$T19))</f>
        <v/>
      </c>
      <c r="V19" s="3">
        <f>IF($T19="",0,1)</f>
        <v/>
      </c>
      <c r="W19" s="3">
        <f>IF($C19="","",$D19&amp;"|"&amp;$E19&amp;"|"&amp;TEXT($C19,"0")&amp;"|"&amp;TEXT($G19,"0")&amp;"|"&amp;$J19)</f>
        <v/>
      </c>
      <c r="X19" s="226">
        <f>AY_SONU!$B19</f>
        <v/>
      </c>
      <c r="Y19" s="121">
        <f>"Müşteri Carisi  (MÜŞTERİ 360)"</f>
        <v/>
      </c>
      <c r="Z19" s="121">
        <f>"600 Muhasebe Hizmet Geliri  (sözleşme)"</f>
        <v/>
      </c>
      <c r="AA19" s="222">
        <f>AY_SONU!$C19</f>
        <v/>
      </c>
      <c r="AB19" s="222">
        <f>AY_SONU!$D19</f>
        <v/>
      </c>
      <c r="AC19" s="222">
        <f>AY_SONU!$C19-AY_SONU!$D19</f>
        <v/>
      </c>
      <c r="AD19" s="3">
        <f>IF($C19="",0,SUMPRODUCT((AY_SONU!$O$7:$O$42="Evet")*(AY_SONU!$B$7:$B$42=DATE(YEAR($C19),MONTH($C19),1))))</f>
        <v/>
      </c>
    </row>
    <row r="20">
      <c r="A20" s="6" t="n"/>
      <c r="B20" s="113">
        <f>IF($C20="","","GG"&amp;TEXT(ROW()-6,"00000"))</f>
        <v/>
      </c>
      <c r="C20" s="220" t="n">
        <v>46053</v>
      </c>
      <c r="D20" s="108" t="inlineStr">
        <is>
          <t>Gider</t>
        </is>
      </c>
      <c r="E20" s="109" t="inlineStr">
        <is>
          <t>Diğer Gider</t>
        </is>
      </c>
      <c r="F20" s="109" t="inlineStr">
        <is>
          <t>Pakyıldız Cari Hesap Tashihi</t>
        </is>
      </c>
      <c r="G20" s="221" t="n">
        <v>31000</v>
      </c>
      <c r="H20" s="108" t="inlineStr">
        <is>
          <t>Merkez Kasa</t>
        </is>
      </c>
      <c r="I20" s="108" t="inlineStr">
        <is>
          <t>Evet</t>
        </is>
      </c>
      <c r="J20" s="109" t="n"/>
      <c r="K20" s="109" t="n"/>
      <c r="L20" s="108" t="n"/>
      <c r="M20" s="121">
        <f>IF($C20="","",IF($D20="Gider",$E20,IF($L20&lt;&gt;"",$L20,$H20)))</f>
        <v/>
      </c>
      <c r="N20" s="121">
        <f>IF($C20="","",IF($D20="Gider",$H20,$E20))</f>
        <v/>
      </c>
      <c r="O20" s="226">
        <f>IF($C20="","",DATE(YEAR($C20),MONTH($C20),1))</f>
        <v/>
      </c>
      <c r="P20" s="113">
        <f>IF($C20="","",IF(AND($D20="Gelir",$L20&lt;&gt;"",$T20=""),"TANIMSIZ BORÇLU",IF($T20&lt;&gt;"",IF(OR($E20="",$G20&lt;=0),"EKSİK",IF($I20="Evet","TAHAKKUK NAKİT OLAMAZ",IF($C20&gt;TODAY(),"İLERİ TARİH","TAHAKKUK"))),IF(AND($D20&lt;&gt;"",$E20&lt;&gt;"",$G20&gt;0,$H20&lt;&gt;"",$I20&lt;&gt;""),IF($C20&gt;TODAY(),"İLERİ TARİH",IF(COUNTIF($W$7:$W$1206,$W20)&gt;1,"MÜKERRER?",IF($AD20&gt;0,"KAPALI DÖNEM",IF($I20="Hayır","ÖDENECEK","UYGUN")))),"EKSİK"))))</f>
        <v/>
      </c>
      <c r="Q20" s="6" t="n"/>
      <c r="R20" s="6" t="n"/>
      <c r="S20" s="3">
        <f>IF($L20="","",UPPER(SUBSTITUTE(SUBSTITUTE(SUBSTITUTE(SUBSTITUTE(SUBSTITUTE(SUBSTITUTE(SUBSTITUTE(SUBSTITUTE(SUBSTITUTE(SUBSTITUTE(SUBSTITUTE(SUBSTITUTE(SUBSTITUTE(SUBSTITUTE(SUBSTITUTE(SUBSTITUTE(SUBSTITUTE(SUBSTITUTE(TRIM($L20),"'",""),"İ","I"),"ı","I"),"i","I"),"Ş","S"),"ş","S"),"Ğ","G"),"ğ","G"),"Ü","U"),"ü","U"),"Ö","O"),"ö","O"),"Ç","C"),"ç","C"),".",""),",","")," ",""),"-","")))</f>
        <v/>
      </c>
      <c r="T20" s="3">
        <f>IF(OR($C20="",$D20&lt;&gt;"Gelir",$L20=""),"",IFERROR(INDEX(MUSTERILER!$B$7:$B$106,MATCH($S20,MUSTERILER!$T$7:$T$106,0)),""))</f>
        <v/>
      </c>
      <c r="U20" s="3">
        <f>IF($T20="","",$T20&amp;"|"&amp;COUNTIFS($T$7:$T20,$T20))</f>
        <v/>
      </c>
      <c r="V20" s="3">
        <f>IF($T20="",0,1)</f>
        <v/>
      </c>
      <c r="W20" s="3">
        <f>IF($C20="","",$D20&amp;"|"&amp;$E20&amp;"|"&amp;TEXT($C20,"0")&amp;"|"&amp;TEXT($G20,"0")&amp;"|"&amp;$J20)</f>
        <v/>
      </c>
      <c r="X20" s="226">
        <f>AY_SONU!$B20</f>
        <v/>
      </c>
      <c r="Y20" s="121">
        <f>"Müşteri Carisi  (MÜŞTERİ 360)"</f>
        <v/>
      </c>
      <c r="Z20" s="121">
        <f>"600 Muhasebe Hizmet Geliri  (sözleşme)"</f>
        <v/>
      </c>
      <c r="AA20" s="222">
        <f>AY_SONU!$C20</f>
        <v/>
      </c>
      <c r="AB20" s="222">
        <f>AY_SONU!$D20</f>
        <v/>
      </c>
      <c r="AC20" s="222">
        <f>AY_SONU!$C20-AY_SONU!$D20</f>
        <v/>
      </c>
      <c r="AD20" s="3">
        <f>IF($C20="",0,SUMPRODUCT((AY_SONU!$O$7:$O$42="Evet")*(AY_SONU!$B$7:$B$42=DATE(YEAR($C20),MONTH($C20),1))))</f>
        <v/>
      </c>
    </row>
    <row r="21">
      <c r="A21" s="6" t="n"/>
      <c r="B21" s="113">
        <f>IF($C21="","","GG"&amp;TEXT(ROW()-6,"00000"))</f>
        <v/>
      </c>
      <c r="C21" s="220" t="n">
        <v>46053</v>
      </c>
      <c r="D21" s="108" t="inlineStr">
        <is>
          <t>Gider</t>
        </is>
      </c>
      <c r="E21" s="109" t="inlineStr">
        <is>
          <t>Mehmet Ali Kartal</t>
        </is>
      </c>
      <c r="F21" s="109" t="inlineStr">
        <is>
          <t>Volkan Açık Kahve 1 Haftalık Tahsilat</t>
        </is>
      </c>
      <c r="G21" s="221" t="n">
        <v>1000</v>
      </c>
      <c r="H21" s="108" t="inlineStr">
        <is>
          <t>Merkez Kasa</t>
        </is>
      </c>
      <c r="I21" s="108" t="inlineStr">
        <is>
          <t>Evet</t>
        </is>
      </c>
      <c r="J21" s="109" t="n"/>
      <c r="K21" s="109" t="n"/>
      <c r="L21" s="108" t="n"/>
      <c r="M21" s="121">
        <f>IF($C21="","",IF($D21="Gider",$E21,IF($L21&lt;&gt;"",$L21,$H21)))</f>
        <v/>
      </c>
      <c r="N21" s="121">
        <f>IF($C21="","",IF($D21="Gider",$H21,$E21))</f>
        <v/>
      </c>
      <c r="O21" s="226">
        <f>IF($C21="","",DATE(YEAR($C21),MONTH($C21),1))</f>
        <v/>
      </c>
      <c r="P21" s="113">
        <f>IF($C21="","",IF(AND($D21="Gelir",$L21&lt;&gt;"",$T21=""),"TANIMSIZ BORÇLU",IF($T21&lt;&gt;"",IF(OR($E21="",$G21&lt;=0),"EKSİK",IF($I21="Evet","TAHAKKUK NAKİT OLAMAZ",IF($C21&gt;TODAY(),"İLERİ TARİH","TAHAKKUK"))),IF(AND($D21&lt;&gt;"",$E21&lt;&gt;"",$G21&gt;0,$H21&lt;&gt;"",$I21&lt;&gt;""),IF($C21&gt;TODAY(),"İLERİ TARİH",IF(COUNTIF($W$7:$W$1206,$W21)&gt;1,"MÜKERRER?",IF($AD21&gt;0,"KAPALI DÖNEM",IF($I21="Hayır","ÖDENECEK","UYGUN")))),"EKSİK"))))</f>
        <v/>
      </c>
      <c r="Q21" s="6" t="n"/>
      <c r="R21" s="6" t="n"/>
      <c r="S21" s="3">
        <f>IF($L21="","",UPPER(SUBSTITUTE(SUBSTITUTE(SUBSTITUTE(SUBSTITUTE(SUBSTITUTE(SUBSTITUTE(SUBSTITUTE(SUBSTITUTE(SUBSTITUTE(SUBSTITUTE(SUBSTITUTE(SUBSTITUTE(SUBSTITUTE(SUBSTITUTE(SUBSTITUTE(SUBSTITUTE(SUBSTITUTE(SUBSTITUTE(TRIM($L21),"'",""),"İ","I"),"ı","I"),"i","I"),"Ş","S"),"ş","S"),"Ğ","G"),"ğ","G"),"Ü","U"),"ü","U"),"Ö","O"),"ö","O"),"Ç","C"),"ç","C"),".",""),",","")," ",""),"-","")))</f>
        <v/>
      </c>
      <c r="T21" s="3">
        <f>IF(OR($C21="",$D21&lt;&gt;"Gelir",$L21=""),"",IFERROR(INDEX(MUSTERILER!$B$7:$B$106,MATCH($S21,MUSTERILER!$T$7:$T$106,0)),""))</f>
        <v/>
      </c>
      <c r="U21" s="3">
        <f>IF($T21="","",$T21&amp;"|"&amp;COUNTIFS($T$7:$T21,$T21))</f>
        <v/>
      </c>
      <c r="V21" s="3">
        <f>IF($T21="",0,1)</f>
        <v/>
      </c>
      <c r="W21" s="3">
        <f>IF($C21="","",$D21&amp;"|"&amp;$E21&amp;"|"&amp;TEXT($C21,"0")&amp;"|"&amp;TEXT($G21,"0")&amp;"|"&amp;$J21)</f>
        <v/>
      </c>
      <c r="X21" s="226">
        <f>AY_SONU!$B21</f>
        <v/>
      </c>
      <c r="Y21" s="121">
        <f>"Müşteri Carisi  (MÜŞTERİ 360)"</f>
        <v/>
      </c>
      <c r="Z21" s="121">
        <f>"600 Muhasebe Hizmet Geliri  (sözleşme)"</f>
        <v/>
      </c>
      <c r="AA21" s="222">
        <f>AY_SONU!$C21</f>
        <v/>
      </c>
      <c r="AB21" s="222">
        <f>AY_SONU!$D21</f>
        <v/>
      </c>
      <c r="AC21" s="222">
        <f>AY_SONU!$C21-AY_SONU!$D21</f>
        <v/>
      </c>
      <c r="AD21" s="3">
        <f>IF($C21="",0,SUMPRODUCT((AY_SONU!$O$7:$O$42="Evet")*(AY_SONU!$B$7:$B$42=DATE(YEAR($C21),MONTH($C21),1))))</f>
        <v/>
      </c>
    </row>
    <row r="22">
      <c r="A22" s="6" t="n"/>
      <c r="B22" s="113">
        <f>IF($C22="","","GG"&amp;TEXT(ROW()-6,"00000"))</f>
        <v/>
      </c>
      <c r="C22" s="220" t="n">
        <v>46056</v>
      </c>
      <c r="D22" s="108" t="inlineStr">
        <is>
          <t>Gider</t>
        </is>
      </c>
      <c r="E22" s="109" t="inlineStr">
        <is>
          <t>Personel</t>
        </is>
      </c>
      <c r="F22" s="109" t="inlineStr">
        <is>
          <t>Zeynep Hanım Maaş</t>
        </is>
      </c>
      <c r="G22" s="221" t="n">
        <v>40000</v>
      </c>
      <c r="H22" s="108" t="inlineStr">
        <is>
          <t>Merkez Kasa</t>
        </is>
      </c>
      <c r="I22" s="108" t="inlineStr">
        <is>
          <t>Evet</t>
        </is>
      </c>
      <c r="J22" s="109" t="n"/>
      <c r="K22" s="109" t="n"/>
      <c r="L22" s="108" t="n"/>
      <c r="M22" s="121">
        <f>IF($C22="","",IF($D22="Gider",$E22,IF($L22&lt;&gt;"",$L22,$H22)))</f>
        <v/>
      </c>
      <c r="N22" s="121">
        <f>IF($C22="","",IF($D22="Gider",$H22,$E22))</f>
        <v/>
      </c>
      <c r="O22" s="226">
        <f>IF($C22="","",DATE(YEAR($C22),MONTH($C22),1))</f>
        <v/>
      </c>
      <c r="P22" s="113">
        <f>IF($C22="","",IF(AND($D22="Gelir",$L22&lt;&gt;"",$T22=""),"TANIMSIZ BORÇLU",IF($T22&lt;&gt;"",IF(OR($E22="",$G22&lt;=0),"EKSİK",IF($I22="Evet","TAHAKKUK NAKİT OLAMAZ",IF($C22&gt;TODAY(),"İLERİ TARİH","TAHAKKUK"))),IF(AND($D22&lt;&gt;"",$E22&lt;&gt;"",$G22&gt;0,$H22&lt;&gt;"",$I22&lt;&gt;""),IF($C22&gt;TODAY(),"İLERİ TARİH",IF(COUNTIF($W$7:$W$1206,$W22)&gt;1,"MÜKERRER?",IF($AD22&gt;0,"KAPALI DÖNEM",IF($I22="Hayır","ÖDENECEK","UYGUN")))),"EKSİK"))))</f>
        <v/>
      </c>
      <c r="Q22" s="6" t="n"/>
      <c r="R22" s="6" t="n"/>
      <c r="S22" s="3">
        <f>IF($L22="","",UPPER(SUBSTITUTE(SUBSTITUTE(SUBSTITUTE(SUBSTITUTE(SUBSTITUTE(SUBSTITUTE(SUBSTITUTE(SUBSTITUTE(SUBSTITUTE(SUBSTITUTE(SUBSTITUTE(SUBSTITUTE(SUBSTITUTE(SUBSTITUTE(SUBSTITUTE(SUBSTITUTE(SUBSTITUTE(SUBSTITUTE(TRIM($L22),"'",""),"İ","I"),"ı","I"),"i","I"),"Ş","S"),"ş","S"),"Ğ","G"),"ğ","G"),"Ü","U"),"ü","U"),"Ö","O"),"ö","O"),"Ç","C"),"ç","C"),".",""),",","")," ",""),"-","")))</f>
        <v/>
      </c>
      <c r="T22" s="3">
        <f>IF(OR($C22="",$D22&lt;&gt;"Gelir",$L22=""),"",IFERROR(INDEX(MUSTERILER!$B$7:$B$106,MATCH($S22,MUSTERILER!$T$7:$T$106,0)),""))</f>
        <v/>
      </c>
      <c r="U22" s="3">
        <f>IF($T22="","",$T22&amp;"|"&amp;COUNTIFS($T$7:$T22,$T22))</f>
        <v/>
      </c>
      <c r="V22" s="3">
        <f>IF($T22="",0,1)</f>
        <v/>
      </c>
      <c r="W22" s="3">
        <f>IF($C22="","",$D22&amp;"|"&amp;$E22&amp;"|"&amp;TEXT($C22,"0")&amp;"|"&amp;TEXT($G22,"0")&amp;"|"&amp;$J22)</f>
        <v/>
      </c>
      <c r="X22" s="226">
        <f>AY_SONU!$B22</f>
        <v/>
      </c>
      <c r="Y22" s="121">
        <f>"Müşteri Carisi  (MÜŞTERİ 360)"</f>
        <v/>
      </c>
      <c r="Z22" s="121">
        <f>"600 Muhasebe Hizmet Geliri  (sözleşme)"</f>
        <v/>
      </c>
      <c r="AA22" s="222">
        <f>AY_SONU!$C22</f>
        <v/>
      </c>
      <c r="AB22" s="222">
        <f>AY_SONU!$D22</f>
        <v/>
      </c>
      <c r="AC22" s="222">
        <f>AY_SONU!$C22-AY_SONU!$D22</f>
        <v/>
      </c>
      <c r="AD22" s="3">
        <f>IF($C22="",0,SUMPRODUCT((AY_SONU!$O$7:$O$42="Evet")*(AY_SONU!$B$7:$B$42=DATE(YEAR($C22),MONTH($C22),1))))</f>
        <v/>
      </c>
    </row>
    <row r="23">
      <c r="A23" s="6" t="n"/>
      <c r="B23" s="113">
        <f>IF($C23="","","GG"&amp;TEXT(ROW()-6,"00000"))</f>
        <v/>
      </c>
      <c r="C23" s="220" t="n">
        <v>46056</v>
      </c>
      <c r="D23" s="108" t="inlineStr">
        <is>
          <t>Gider</t>
        </is>
      </c>
      <c r="E23" s="109" t="inlineStr">
        <is>
          <t>Personel</t>
        </is>
      </c>
      <c r="F23" s="109" t="inlineStr">
        <is>
          <t>Zeynep Hanım Yemek</t>
        </is>
      </c>
      <c r="G23" s="221" t="n">
        <v>5000</v>
      </c>
      <c r="H23" s="108" t="inlineStr">
        <is>
          <t>Merkez Kasa</t>
        </is>
      </c>
      <c r="I23" s="108" t="inlineStr">
        <is>
          <t>Evet</t>
        </is>
      </c>
      <c r="J23" s="109" t="n"/>
      <c r="K23" s="109" t="n"/>
      <c r="L23" s="108" t="n"/>
      <c r="M23" s="121">
        <f>IF($C23="","",IF($D23="Gider",$E23,IF($L23&lt;&gt;"",$L23,$H23)))</f>
        <v/>
      </c>
      <c r="N23" s="121">
        <f>IF($C23="","",IF($D23="Gider",$H23,$E23))</f>
        <v/>
      </c>
      <c r="O23" s="226">
        <f>IF($C23="","",DATE(YEAR($C23),MONTH($C23),1))</f>
        <v/>
      </c>
      <c r="P23" s="113">
        <f>IF($C23="","",IF(AND($D23="Gelir",$L23&lt;&gt;"",$T23=""),"TANIMSIZ BORÇLU",IF($T23&lt;&gt;"",IF(OR($E23="",$G23&lt;=0),"EKSİK",IF($I23="Evet","TAHAKKUK NAKİT OLAMAZ",IF($C23&gt;TODAY(),"İLERİ TARİH","TAHAKKUK"))),IF(AND($D23&lt;&gt;"",$E23&lt;&gt;"",$G23&gt;0,$H23&lt;&gt;"",$I23&lt;&gt;""),IF($C23&gt;TODAY(),"İLERİ TARİH",IF(COUNTIF($W$7:$W$1206,$W23)&gt;1,"MÜKERRER?",IF($AD23&gt;0,"KAPALI DÖNEM",IF($I23="Hayır","ÖDENECEK","UYGUN")))),"EKSİK"))))</f>
        <v/>
      </c>
      <c r="Q23" s="6" t="n"/>
      <c r="R23" s="6" t="n"/>
      <c r="S23" s="3">
        <f>IF($L23="","",UPPER(SUBSTITUTE(SUBSTITUTE(SUBSTITUTE(SUBSTITUTE(SUBSTITUTE(SUBSTITUTE(SUBSTITUTE(SUBSTITUTE(SUBSTITUTE(SUBSTITUTE(SUBSTITUTE(SUBSTITUTE(SUBSTITUTE(SUBSTITUTE(SUBSTITUTE(SUBSTITUTE(SUBSTITUTE(SUBSTITUTE(TRIM($L23),"'",""),"İ","I"),"ı","I"),"i","I"),"Ş","S"),"ş","S"),"Ğ","G"),"ğ","G"),"Ü","U"),"ü","U"),"Ö","O"),"ö","O"),"Ç","C"),"ç","C"),".",""),",","")," ",""),"-","")))</f>
        <v/>
      </c>
      <c r="T23" s="3">
        <f>IF(OR($C23="",$D23&lt;&gt;"Gelir",$L23=""),"",IFERROR(INDEX(MUSTERILER!$B$7:$B$106,MATCH($S23,MUSTERILER!$T$7:$T$106,0)),""))</f>
        <v/>
      </c>
      <c r="U23" s="3">
        <f>IF($T23="","",$T23&amp;"|"&amp;COUNTIFS($T$7:$T23,$T23))</f>
        <v/>
      </c>
      <c r="V23" s="3">
        <f>IF($T23="",0,1)</f>
        <v/>
      </c>
      <c r="W23" s="3">
        <f>IF($C23="","",$D23&amp;"|"&amp;$E23&amp;"|"&amp;TEXT($C23,"0")&amp;"|"&amp;TEXT($G23,"0")&amp;"|"&amp;$J23)</f>
        <v/>
      </c>
      <c r="X23" s="226">
        <f>AY_SONU!$B23</f>
        <v/>
      </c>
      <c r="Y23" s="121">
        <f>"Müşteri Carisi  (MÜŞTERİ 360)"</f>
        <v/>
      </c>
      <c r="Z23" s="121">
        <f>"600 Muhasebe Hizmet Geliri  (sözleşme)"</f>
        <v/>
      </c>
      <c r="AA23" s="222">
        <f>AY_SONU!$C23</f>
        <v/>
      </c>
      <c r="AB23" s="222">
        <f>AY_SONU!$D23</f>
        <v/>
      </c>
      <c r="AC23" s="222">
        <f>AY_SONU!$C23-AY_SONU!$D23</f>
        <v/>
      </c>
      <c r="AD23" s="3">
        <f>IF($C23="",0,SUMPRODUCT((AY_SONU!$O$7:$O$42="Evet")*(AY_SONU!$B$7:$B$42=DATE(YEAR($C23),MONTH($C23),1))))</f>
        <v/>
      </c>
    </row>
    <row r="24">
      <c r="A24" s="6" t="n"/>
      <c r="B24" s="113">
        <f>IF($C24="","","GG"&amp;TEXT(ROW()-6,"00000"))</f>
        <v/>
      </c>
      <c r="C24" s="220" t="n">
        <v>46056</v>
      </c>
      <c r="D24" s="108" t="inlineStr">
        <is>
          <t>Gider</t>
        </is>
      </c>
      <c r="E24" s="109" t="inlineStr">
        <is>
          <t>Vergi / Harç</t>
        </is>
      </c>
      <c r="F24" s="109" t="inlineStr">
        <is>
          <t>Alı Aralık Bağkur</t>
        </is>
      </c>
      <c r="G24" s="221" t="n">
        <v>9000</v>
      </c>
      <c r="H24" s="108" t="inlineStr">
        <is>
          <t>Merkez Kasa</t>
        </is>
      </c>
      <c r="I24" s="108" t="inlineStr">
        <is>
          <t>Evet</t>
        </is>
      </c>
      <c r="J24" s="109" t="n"/>
      <c r="K24" s="109" t="n"/>
      <c r="L24" s="108" t="n"/>
      <c r="M24" s="121">
        <f>IF($C24="","",IF($D24="Gider",$E24,IF($L24&lt;&gt;"",$L24,$H24)))</f>
        <v/>
      </c>
      <c r="N24" s="121">
        <f>IF($C24="","",IF($D24="Gider",$H24,$E24))</f>
        <v/>
      </c>
      <c r="O24" s="226">
        <f>IF($C24="","",DATE(YEAR($C24),MONTH($C24),1))</f>
        <v/>
      </c>
      <c r="P24" s="113">
        <f>IF($C24="","",IF(AND($D24="Gelir",$L24&lt;&gt;"",$T24=""),"TANIMSIZ BORÇLU",IF($T24&lt;&gt;"",IF(OR($E24="",$G24&lt;=0),"EKSİK",IF($I24="Evet","TAHAKKUK NAKİT OLAMAZ",IF($C24&gt;TODAY(),"İLERİ TARİH","TAHAKKUK"))),IF(AND($D24&lt;&gt;"",$E24&lt;&gt;"",$G24&gt;0,$H24&lt;&gt;"",$I24&lt;&gt;""),IF($C24&gt;TODAY(),"İLERİ TARİH",IF(COUNTIF($W$7:$W$1206,$W24)&gt;1,"MÜKERRER?",IF($AD24&gt;0,"KAPALI DÖNEM",IF($I24="Hayır","ÖDENECEK","UYGUN")))),"EKSİK"))))</f>
        <v/>
      </c>
      <c r="Q24" s="6" t="n"/>
      <c r="R24" s="6" t="n"/>
      <c r="S24" s="3">
        <f>IF($L24="","",UPPER(SUBSTITUTE(SUBSTITUTE(SUBSTITUTE(SUBSTITUTE(SUBSTITUTE(SUBSTITUTE(SUBSTITUTE(SUBSTITUTE(SUBSTITUTE(SUBSTITUTE(SUBSTITUTE(SUBSTITUTE(SUBSTITUTE(SUBSTITUTE(SUBSTITUTE(SUBSTITUTE(SUBSTITUTE(SUBSTITUTE(TRIM($L24),"'",""),"İ","I"),"ı","I"),"i","I"),"Ş","S"),"ş","S"),"Ğ","G"),"ğ","G"),"Ü","U"),"ü","U"),"Ö","O"),"ö","O"),"Ç","C"),"ç","C"),".",""),",","")," ",""),"-","")))</f>
        <v/>
      </c>
      <c r="T24" s="3">
        <f>IF(OR($C24="",$D24&lt;&gt;"Gelir",$L24=""),"",IFERROR(INDEX(MUSTERILER!$B$7:$B$106,MATCH($S24,MUSTERILER!$T$7:$T$106,0)),""))</f>
        <v/>
      </c>
      <c r="U24" s="3">
        <f>IF($T24="","",$T24&amp;"|"&amp;COUNTIFS($T$7:$T24,$T24))</f>
        <v/>
      </c>
      <c r="V24" s="3">
        <f>IF($T24="",0,1)</f>
        <v/>
      </c>
      <c r="W24" s="3">
        <f>IF($C24="","",$D24&amp;"|"&amp;$E24&amp;"|"&amp;TEXT($C24,"0")&amp;"|"&amp;TEXT($G24,"0")&amp;"|"&amp;$J24)</f>
        <v/>
      </c>
      <c r="X24" s="226">
        <f>AY_SONU!$B24</f>
        <v/>
      </c>
      <c r="Y24" s="121">
        <f>"Müşteri Carisi  (MÜŞTERİ 360)"</f>
        <v/>
      </c>
      <c r="Z24" s="121">
        <f>"600 Muhasebe Hizmet Geliri  (sözleşme)"</f>
        <v/>
      </c>
      <c r="AA24" s="222">
        <f>AY_SONU!$C24</f>
        <v/>
      </c>
      <c r="AB24" s="222">
        <f>AY_SONU!$D24</f>
        <v/>
      </c>
      <c r="AC24" s="222">
        <f>AY_SONU!$C24-AY_SONU!$D24</f>
        <v/>
      </c>
      <c r="AD24" s="3">
        <f>IF($C24="",0,SUMPRODUCT((AY_SONU!$O$7:$O$42="Evet")*(AY_SONU!$B$7:$B$42=DATE(YEAR($C24),MONTH($C24),1))))</f>
        <v/>
      </c>
    </row>
    <row r="25">
      <c r="A25" s="6" t="n"/>
      <c r="B25" s="113">
        <f>IF($C25="","","GG"&amp;TEXT(ROW()-6,"00000"))</f>
        <v/>
      </c>
      <c r="C25" s="220" t="n">
        <v>46056</v>
      </c>
      <c r="D25" s="108" t="inlineStr">
        <is>
          <t>Gider</t>
        </is>
      </c>
      <c r="E25" s="109" t="inlineStr">
        <is>
          <t>Vergi / Harç</t>
        </is>
      </c>
      <c r="F25" s="109" t="inlineStr">
        <is>
          <t>Ali Ocak Bağkur</t>
        </is>
      </c>
      <c r="G25" s="221" t="n">
        <v>11810</v>
      </c>
      <c r="H25" s="108" t="inlineStr">
        <is>
          <t>Merkez Kasa</t>
        </is>
      </c>
      <c r="I25" s="108" t="inlineStr">
        <is>
          <t>Evet</t>
        </is>
      </c>
      <c r="J25" s="109" t="n"/>
      <c r="K25" s="109" t="n"/>
      <c r="L25" s="108" t="n"/>
      <c r="M25" s="121">
        <f>IF($C25="","",IF($D25="Gider",$E25,IF($L25&lt;&gt;"",$L25,$H25)))</f>
        <v/>
      </c>
      <c r="N25" s="121">
        <f>IF($C25="","",IF($D25="Gider",$H25,$E25))</f>
        <v/>
      </c>
      <c r="O25" s="226">
        <f>IF($C25="","",DATE(YEAR($C25),MONTH($C25),1))</f>
        <v/>
      </c>
      <c r="P25" s="113">
        <f>IF($C25="","",IF(AND($D25="Gelir",$L25&lt;&gt;"",$T25=""),"TANIMSIZ BORÇLU",IF($T25&lt;&gt;"",IF(OR($E25="",$G25&lt;=0),"EKSİK",IF($I25="Evet","TAHAKKUK NAKİT OLAMAZ",IF($C25&gt;TODAY(),"İLERİ TARİH","TAHAKKUK"))),IF(AND($D25&lt;&gt;"",$E25&lt;&gt;"",$G25&gt;0,$H25&lt;&gt;"",$I25&lt;&gt;""),IF($C25&gt;TODAY(),"İLERİ TARİH",IF(COUNTIF($W$7:$W$1206,$W25)&gt;1,"MÜKERRER?",IF($AD25&gt;0,"KAPALI DÖNEM",IF($I25="Hayır","ÖDENECEK","UYGUN")))),"EKSİK"))))</f>
        <v/>
      </c>
      <c r="Q25" s="6" t="n"/>
      <c r="R25" s="6" t="n"/>
      <c r="S25" s="3">
        <f>IF($L25="","",UPPER(SUBSTITUTE(SUBSTITUTE(SUBSTITUTE(SUBSTITUTE(SUBSTITUTE(SUBSTITUTE(SUBSTITUTE(SUBSTITUTE(SUBSTITUTE(SUBSTITUTE(SUBSTITUTE(SUBSTITUTE(SUBSTITUTE(SUBSTITUTE(SUBSTITUTE(SUBSTITUTE(SUBSTITUTE(SUBSTITUTE(TRIM($L25),"'",""),"İ","I"),"ı","I"),"i","I"),"Ş","S"),"ş","S"),"Ğ","G"),"ğ","G"),"Ü","U"),"ü","U"),"Ö","O"),"ö","O"),"Ç","C"),"ç","C"),".",""),",","")," ",""),"-","")))</f>
        <v/>
      </c>
      <c r="T25" s="3">
        <f>IF(OR($C25="",$D25&lt;&gt;"Gelir",$L25=""),"",IFERROR(INDEX(MUSTERILER!$B$7:$B$106,MATCH($S25,MUSTERILER!$T$7:$T$106,0)),""))</f>
        <v/>
      </c>
      <c r="U25" s="3">
        <f>IF($T25="","",$T25&amp;"|"&amp;COUNTIFS($T$7:$T25,$T25))</f>
        <v/>
      </c>
      <c r="V25" s="3">
        <f>IF($T25="",0,1)</f>
        <v/>
      </c>
      <c r="W25" s="3">
        <f>IF($C25="","",$D25&amp;"|"&amp;$E25&amp;"|"&amp;TEXT($C25,"0")&amp;"|"&amp;TEXT($G25,"0")&amp;"|"&amp;$J25)</f>
        <v/>
      </c>
      <c r="X25" s="226">
        <f>AY_SONU!$B25</f>
        <v/>
      </c>
      <c r="Y25" s="121">
        <f>"Müşteri Carisi  (MÜŞTERİ 360)"</f>
        <v/>
      </c>
      <c r="Z25" s="121">
        <f>"600 Muhasebe Hizmet Geliri  (sözleşme)"</f>
        <v/>
      </c>
      <c r="AA25" s="222">
        <f>AY_SONU!$C25</f>
        <v/>
      </c>
      <c r="AB25" s="222">
        <f>AY_SONU!$D25</f>
        <v/>
      </c>
      <c r="AC25" s="222">
        <f>AY_SONU!$C25-AY_SONU!$D25</f>
        <v/>
      </c>
      <c r="AD25" s="3">
        <f>IF($C25="",0,SUMPRODUCT((AY_SONU!$O$7:$O$42="Evet")*(AY_SONU!$B$7:$B$42=DATE(YEAR($C25),MONTH($C25),1))))</f>
        <v/>
      </c>
    </row>
    <row r="26">
      <c r="A26" s="6" t="n"/>
      <c r="B26" s="113">
        <f>IF($C26="","","GG"&amp;TEXT(ROW()-6,"00000"))</f>
        <v/>
      </c>
      <c r="C26" s="220" t="n">
        <v>46056</v>
      </c>
      <c r="D26" s="108" t="inlineStr">
        <is>
          <t>Gider</t>
        </is>
      </c>
      <c r="E26" s="109" t="inlineStr">
        <is>
          <t>Vergi / Harç</t>
        </is>
      </c>
      <c r="F26" s="109" t="inlineStr">
        <is>
          <t>ASMMO Aidat Ödemesi</t>
        </is>
      </c>
      <c r="G26" s="221" t="n">
        <v>6011</v>
      </c>
      <c r="H26" s="108" t="inlineStr">
        <is>
          <t>Merkez Kasa</t>
        </is>
      </c>
      <c r="I26" s="108" t="inlineStr">
        <is>
          <t>Evet</t>
        </is>
      </c>
      <c r="J26" s="109" t="n"/>
      <c r="K26" s="109" t="n"/>
      <c r="L26" s="108" t="n"/>
      <c r="M26" s="121">
        <f>IF($C26="","",IF($D26="Gider",$E26,IF($L26&lt;&gt;"",$L26,$H26)))</f>
        <v/>
      </c>
      <c r="N26" s="121">
        <f>IF($C26="","",IF($D26="Gider",$H26,$E26))</f>
        <v/>
      </c>
      <c r="O26" s="226">
        <f>IF($C26="","",DATE(YEAR($C26),MONTH($C26),1))</f>
        <v/>
      </c>
      <c r="P26" s="113">
        <f>IF($C26="","",IF(AND($D26="Gelir",$L26&lt;&gt;"",$T26=""),"TANIMSIZ BORÇLU",IF($T26&lt;&gt;"",IF(OR($E26="",$G26&lt;=0),"EKSİK",IF($I26="Evet","TAHAKKUK NAKİT OLAMAZ",IF($C26&gt;TODAY(),"İLERİ TARİH","TAHAKKUK"))),IF(AND($D26&lt;&gt;"",$E26&lt;&gt;"",$G26&gt;0,$H26&lt;&gt;"",$I26&lt;&gt;""),IF($C26&gt;TODAY(),"İLERİ TARİH",IF(COUNTIF($W$7:$W$1206,$W26)&gt;1,"MÜKERRER?",IF($AD26&gt;0,"KAPALI DÖNEM",IF($I26="Hayır","ÖDENECEK","UYGUN")))),"EKSİK"))))</f>
        <v/>
      </c>
      <c r="Q26" s="6" t="n"/>
      <c r="R26" s="6" t="n"/>
      <c r="S26" s="3">
        <f>IF($L26="","",UPPER(SUBSTITUTE(SUBSTITUTE(SUBSTITUTE(SUBSTITUTE(SUBSTITUTE(SUBSTITUTE(SUBSTITUTE(SUBSTITUTE(SUBSTITUTE(SUBSTITUTE(SUBSTITUTE(SUBSTITUTE(SUBSTITUTE(SUBSTITUTE(SUBSTITUTE(SUBSTITUTE(SUBSTITUTE(SUBSTITUTE(TRIM($L26),"'",""),"İ","I"),"ı","I"),"i","I"),"Ş","S"),"ş","S"),"Ğ","G"),"ğ","G"),"Ü","U"),"ü","U"),"Ö","O"),"ö","O"),"Ç","C"),"ç","C"),".",""),",","")," ",""),"-","")))</f>
        <v/>
      </c>
      <c r="T26" s="3">
        <f>IF(OR($C26="",$D26&lt;&gt;"Gelir",$L26=""),"",IFERROR(INDEX(MUSTERILER!$B$7:$B$106,MATCH($S26,MUSTERILER!$T$7:$T$106,0)),""))</f>
        <v/>
      </c>
      <c r="U26" s="3">
        <f>IF($T26="","",$T26&amp;"|"&amp;COUNTIFS($T$7:$T26,$T26))</f>
        <v/>
      </c>
      <c r="V26" s="3">
        <f>IF($T26="",0,1)</f>
        <v/>
      </c>
      <c r="W26" s="3">
        <f>IF($C26="","",$D26&amp;"|"&amp;$E26&amp;"|"&amp;TEXT($C26,"0")&amp;"|"&amp;TEXT($G26,"0")&amp;"|"&amp;$J26)</f>
        <v/>
      </c>
      <c r="X26" s="226">
        <f>AY_SONU!$B26</f>
        <v/>
      </c>
      <c r="Y26" s="121">
        <f>"Müşteri Carisi  (MÜŞTERİ 360)"</f>
        <v/>
      </c>
      <c r="Z26" s="121">
        <f>"600 Muhasebe Hizmet Geliri  (sözleşme)"</f>
        <v/>
      </c>
      <c r="AA26" s="222">
        <f>AY_SONU!$C26</f>
        <v/>
      </c>
      <c r="AB26" s="222">
        <f>AY_SONU!$D26</f>
        <v/>
      </c>
      <c r="AC26" s="222">
        <f>AY_SONU!$C26-AY_SONU!$D26</f>
        <v/>
      </c>
      <c r="AD26" s="3">
        <f>IF($C26="",0,SUMPRODUCT((AY_SONU!$O$7:$O$42="Evet")*(AY_SONU!$B$7:$B$42=DATE(YEAR($C26),MONTH($C26),1))))</f>
        <v/>
      </c>
    </row>
    <row r="27">
      <c r="A27" s="6" t="n"/>
      <c r="B27" s="113">
        <f>IF($C27="","","GG"&amp;TEXT(ROW()-6,"00000"))</f>
        <v/>
      </c>
      <c r="C27" s="220" t="n">
        <v>46056</v>
      </c>
      <c r="D27" s="108" t="inlineStr">
        <is>
          <t>Gider</t>
        </is>
      </c>
      <c r="E27" s="109" t="inlineStr">
        <is>
          <t>Ofis Kirası</t>
        </is>
      </c>
      <c r="F27" s="109" t="inlineStr">
        <is>
          <t>Ocak Ayı Ofis Kira Ödemesi</t>
        </is>
      </c>
      <c r="G27" s="221" t="n">
        <v>14000</v>
      </c>
      <c r="H27" s="108" t="inlineStr">
        <is>
          <t>Merkez Kasa</t>
        </is>
      </c>
      <c r="I27" s="108" t="inlineStr">
        <is>
          <t>Evet</t>
        </is>
      </c>
      <c r="J27" s="109" t="n"/>
      <c r="K27" s="109" t="n"/>
      <c r="L27" s="108" t="n"/>
      <c r="M27" s="121">
        <f>IF($C27="","",IF($D27="Gider",$E27,IF($L27&lt;&gt;"",$L27,$H27)))</f>
        <v/>
      </c>
      <c r="N27" s="121">
        <f>IF($C27="","",IF($D27="Gider",$H27,$E27))</f>
        <v/>
      </c>
      <c r="O27" s="226">
        <f>IF($C27="","",DATE(YEAR($C27),MONTH($C27),1))</f>
        <v/>
      </c>
      <c r="P27" s="113">
        <f>IF($C27="","",IF(AND($D27="Gelir",$L27&lt;&gt;"",$T27=""),"TANIMSIZ BORÇLU",IF($T27&lt;&gt;"",IF(OR($E27="",$G27&lt;=0),"EKSİK",IF($I27="Evet","TAHAKKUK NAKİT OLAMAZ",IF($C27&gt;TODAY(),"İLERİ TARİH","TAHAKKUK"))),IF(AND($D27&lt;&gt;"",$E27&lt;&gt;"",$G27&gt;0,$H27&lt;&gt;"",$I27&lt;&gt;""),IF($C27&gt;TODAY(),"İLERİ TARİH",IF(COUNTIF($W$7:$W$1206,$W27)&gt;1,"MÜKERRER?",IF($AD27&gt;0,"KAPALI DÖNEM",IF($I27="Hayır","ÖDENECEK","UYGUN")))),"EKSİK"))))</f>
        <v/>
      </c>
      <c r="Q27" s="6" t="n"/>
      <c r="R27" s="6" t="n"/>
      <c r="S27" s="3">
        <f>IF($L27="","",UPPER(SUBSTITUTE(SUBSTITUTE(SUBSTITUTE(SUBSTITUTE(SUBSTITUTE(SUBSTITUTE(SUBSTITUTE(SUBSTITUTE(SUBSTITUTE(SUBSTITUTE(SUBSTITUTE(SUBSTITUTE(SUBSTITUTE(SUBSTITUTE(SUBSTITUTE(SUBSTITUTE(SUBSTITUTE(SUBSTITUTE(TRIM($L27),"'",""),"İ","I"),"ı","I"),"i","I"),"Ş","S"),"ş","S"),"Ğ","G"),"ğ","G"),"Ü","U"),"ü","U"),"Ö","O"),"ö","O"),"Ç","C"),"ç","C"),".",""),",","")," ",""),"-","")))</f>
        <v/>
      </c>
      <c r="T27" s="3">
        <f>IF(OR($C27="",$D27&lt;&gt;"Gelir",$L27=""),"",IFERROR(INDEX(MUSTERILER!$B$7:$B$106,MATCH($S27,MUSTERILER!$T$7:$T$106,0)),""))</f>
        <v/>
      </c>
      <c r="U27" s="3">
        <f>IF($T27="","",$T27&amp;"|"&amp;COUNTIFS($T$7:$T27,$T27))</f>
        <v/>
      </c>
      <c r="V27" s="3">
        <f>IF($T27="",0,1)</f>
        <v/>
      </c>
      <c r="W27" s="3">
        <f>IF($C27="","",$D27&amp;"|"&amp;$E27&amp;"|"&amp;TEXT($C27,"0")&amp;"|"&amp;TEXT($G27,"0")&amp;"|"&amp;$J27)</f>
        <v/>
      </c>
      <c r="X27" s="226">
        <f>AY_SONU!$B27</f>
        <v/>
      </c>
      <c r="Y27" s="121">
        <f>"Müşteri Carisi  (MÜŞTERİ 360)"</f>
        <v/>
      </c>
      <c r="Z27" s="121">
        <f>"600 Muhasebe Hizmet Geliri  (sözleşme)"</f>
        <v/>
      </c>
      <c r="AA27" s="222">
        <f>AY_SONU!$C27</f>
        <v/>
      </c>
      <c r="AB27" s="222">
        <f>AY_SONU!$D27</f>
        <v/>
      </c>
      <c r="AC27" s="222">
        <f>AY_SONU!$C27-AY_SONU!$D27</f>
        <v/>
      </c>
      <c r="AD27" s="3">
        <f>IF($C27="",0,SUMPRODUCT((AY_SONU!$O$7:$O$42="Evet")*(AY_SONU!$B$7:$B$42=DATE(YEAR($C27),MONTH($C27),1))))</f>
        <v/>
      </c>
    </row>
    <row r="28">
      <c r="A28" s="6" t="n"/>
      <c r="B28" s="113">
        <f>IF($C28="","","GG"&amp;TEXT(ROW()-6,"00000"))</f>
        <v/>
      </c>
      <c r="C28" s="220" t="n">
        <v>46056</v>
      </c>
      <c r="D28" s="108" t="inlineStr">
        <is>
          <t>Gider</t>
        </is>
      </c>
      <c r="E28" s="109" t="inlineStr">
        <is>
          <t>Ofis Kirası</t>
        </is>
      </c>
      <c r="F28" s="109" t="inlineStr">
        <is>
          <t>Şubat Ayı Ofis Kira Ödemesi</t>
        </is>
      </c>
      <c r="G28" s="221" t="n">
        <v>14000</v>
      </c>
      <c r="H28" s="108" t="inlineStr">
        <is>
          <t>Merkez Kasa</t>
        </is>
      </c>
      <c r="I28" s="108" t="inlineStr">
        <is>
          <t>Evet</t>
        </is>
      </c>
      <c r="J28" s="109" t="n"/>
      <c r="K28" s="109" t="n"/>
      <c r="L28" s="108" t="n"/>
      <c r="M28" s="121">
        <f>IF($C28="","",IF($D28="Gider",$E28,IF($L28&lt;&gt;"",$L28,$H28)))</f>
        <v/>
      </c>
      <c r="N28" s="121">
        <f>IF($C28="","",IF($D28="Gider",$H28,$E28))</f>
        <v/>
      </c>
      <c r="O28" s="226">
        <f>IF($C28="","",DATE(YEAR($C28),MONTH($C28),1))</f>
        <v/>
      </c>
      <c r="P28" s="113">
        <f>IF($C28="","",IF(AND($D28="Gelir",$L28&lt;&gt;"",$T28=""),"TANIMSIZ BORÇLU",IF($T28&lt;&gt;"",IF(OR($E28="",$G28&lt;=0),"EKSİK",IF($I28="Evet","TAHAKKUK NAKİT OLAMAZ",IF($C28&gt;TODAY(),"İLERİ TARİH","TAHAKKUK"))),IF(AND($D28&lt;&gt;"",$E28&lt;&gt;"",$G28&gt;0,$H28&lt;&gt;"",$I28&lt;&gt;""),IF($C28&gt;TODAY(),"İLERİ TARİH",IF(COUNTIF($W$7:$W$1206,$W28)&gt;1,"MÜKERRER?",IF($AD28&gt;0,"KAPALI DÖNEM",IF($I28="Hayır","ÖDENECEK","UYGUN")))),"EKSİK"))))</f>
        <v/>
      </c>
      <c r="Q28" s="6" t="n"/>
      <c r="R28" s="6" t="n"/>
      <c r="S28" s="3">
        <f>IF($L28="","",UPPER(SUBSTITUTE(SUBSTITUTE(SUBSTITUTE(SUBSTITUTE(SUBSTITUTE(SUBSTITUTE(SUBSTITUTE(SUBSTITUTE(SUBSTITUTE(SUBSTITUTE(SUBSTITUTE(SUBSTITUTE(SUBSTITUTE(SUBSTITUTE(SUBSTITUTE(SUBSTITUTE(SUBSTITUTE(SUBSTITUTE(TRIM($L28),"'",""),"İ","I"),"ı","I"),"i","I"),"Ş","S"),"ş","S"),"Ğ","G"),"ğ","G"),"Ü","U"),"ü","U"),"Ö","O"),"ö","O"),"Ç","C"),"ç","C"),".",""),",","")," ",""),"-","")))</f>
        <v/>
      </c>
      <c r="T28" s="3">
        <f>IF(OR($C28="",$D28&lt;&gt;"Gelir",$L28=""),"",IFERROR(INDEX(MUSTERILER!$B$7:$B$106,MATCH($S28,MUSTERILER!$T$7:$T$106,0)),""))</f>
        <v/>
      </c>
      <c r="U28" s="3">
        <f>IF($T28="","",$T28&amp;"|"&amp;COUNTIFS($T$7:$T28,$T28))</f>
        <v/>
      </c>
      <c r="V28" s="3">
        <f>IF($T28="",0,1)</f>
        <v/>
      </c>
      <c r="W28" s="3">
        <f>IF($C28="","",$D28&amp;"|"&amp;$E28&amp;"|"&amp;TEXT($C28,"0")&amp;"|"&amp;TEXT($G28,"0")&amp;"|"&amp;$J28)</f>
        <v/>
      </c>
      <c r="X28" s="226">
        <f>AY_SONU!$B28</f>
        <v/>
      </c>
      <c r="Y28" s="121">
        <f>"Müşteri Carisi  (MÜŞTERİ 360)"</f>
        <v/>
      </c>
      <c r="Z28" s="121">
        <f>"600 Muhasebe Hizmet Geliri  (sözleşme)"</f>
        <v/>
      </c>
      <c r="AA28" s="222">
        <f>AY_SONU!$C28</f>
        <v/>
      </c>
      <c r="AB28" s="222">
        <f>AY_SONU!$D28</f>
        <v/>
      </c>
      <c r="AC28" s="222">
        <f>AY_SONU!$C28-AY_SONU!$D28</f>
        <v/>
      </c>
      <c r="AD28" s="3">
        <f>IF($C28="",0,SUMPRODUCT((AY_SONU!$O$7:$O$42="Evet")*(AY_SONU!$B$7:$B$42=DATE(YEAR($C28),MONTH($C28),1))))</f>
        <v/>
      </c>
    </row>
    <row r="29">
      <c r="A29" s="6" t="n"/>
      <c r="B29" s="113">
        <f>IF($C29="","","GG"&amp;TEXT(ROW()-6,"00000"))</f>
        <v/>
      </c>
      <c r="C29" s="220" t="n">
        <v>46056</v>
      </c>
      <c r="D29" s="108" t="inlineStr">
        <is>
          <t>Gider</t>
        </is>
      </c>
      <c r="E29" s="109" t="inlineStr">
        <is>
          <t>Vergi / Harç</t>
        </is>
      </c>
      <c r="F29" s="109" t="inlineStr">
        <is>
          <t>Ofis Vergi Ödemeleri</t>
        </is>
      </c>
      <c r="G29" s="221" t="n">
        <v>10260.16</v>
      </c>
      <c r="H29" s="108" t="inlineStr">
        <is>
          <t>Merkez Kasa</t>
        </is>
      </c>
      <c r="I29" s="108" t="inlineStr">
        <is>
          <t>Evet</t>
        </is>
      </c>
      <c r="J29" s="109" t="n"/>
      <c r="K29" s="109" t="n"/>
      <c r="L29" s="108" t="n"/>
      <c r="M29" s="121">
        <f>IF($C29="","",IF($D29="Gider",$E29,IF($L29&lt;&gt;"",$L29,$H29)))</f>
        <v/>
      </c>
      <c r="N29" s="121">
        <f>IF($C29="","",IF($D29="Gider",$H29,$E29))</f>
        <v/>
      </c>
      <c r="O29" s="226">
        <f>IF($C29="","",DATE(YEAR($C29),MONTH($C29),1))</f>
        <v/>
      </c>
      <c r="P29" s="113">
        <f>IF($C29="","",IF(AND($D29="Gelir",$L29&lt;&gt;"",$T29=""),"TANIMSIZ BORÇLU",IF($T29&lt;&gt;"",IF(OR($E29="",$G29&lt;=0),"EKSİK",IF($I29="Evet","TAHAKKUK NAKİT OLAMAZ",IF($C29&gt;TODAY(),"İLERİ TARİH","TAHAKKUK"))),IF(AND($D29&lt;&gt;"",$E29&lt;&gt;"",$G29&gt;0,$H29&lt;&gt;"",$I29&lt;&gt;""),IF($C29&gt;TODAY(),"İLERİ TARİH",IF(COUNTIF($W$7:$W$1206,$W29)&gt;1,"MÜKERRER?",IF($AD29&gt;0,"KAPALI DÖNEM",IF($I29="Hayır","ÖDENECEK","UYGUN")))),"EKSİK"))))</f>
        <v/>
      </c>
      <c r="Q29" s="6" t="n"/>
      <c r="R29" s="6" t="n"/>
      <c r="S29" s="3">
        <f>IF($L29="","",UPPER(SUBSTITUTE(SUBSTITUTE(SUBSTITUTE(SUBSTITUTE(SUBSTITUTE(SUBSTITUTE(SUBSTITUTE(SUBSTITUTE(SUBSTITUTE(SUBSTITUTE(SUBSTITUTE(SUBSTITUTE(SUBSTITUTE(SUBSTITUTE(SUBSTITUTE(SUBSTITUTE(SUBSTITUTE(SUBSTITUTE(TRIM($L29),"'",""),"İ","I"),"ı","I"),"i","I"),"Ş","S"),"ş","S"),"Ğ","G"),"ğ","G"),"Ü","U"),"ü","U"),"Ö","O"),"ö","O"),"Ç","C"),"ç","C"),".",""),",","")," ",""),"-","")))</f>
        <v/>
      </c>
      <c r="T29" s="3">
        <f>IF(OR($C29="",$D29&lt;&gt;"Gelir",$L29=""),"",IFERROR(INDEX(MUSTERILER!$B$7:$B$106,MATCH($S29,MUSTERILER!$T$7:$T$106,0)),""))</f>
        <v/>
      </c>
      <c r="U29" s="3">
        <f>IF($T29="","",$T29&amp;"|"&amp;COUNTIFS($T$7:$T29,$T29))</f>
        <v/>
      </c>
      <c r="V29" s="3">
        <f>IF($T29="",0,1)</f>
        <v/>
      </c>
      <c r="W29" s="3">
        <f>IF($C29="","",$D29&amp;"|"&amp;$E29&amp;"|"&amp;TEXT($C29,"0")&amp;"|"&amp;TEXT($G29,"0")&amp;"|"&amp;$J29)</f>
        <v/>
      </c>
      <c r="X29" s="226">
        <f>AY_SONU!$B29</f>
        <v/>
      </c>
      <c r="Y29" s="121">
        <f>"Müşteri Carisi  (MÜŞTERİ 360)"</f>
        <v/>
      </c>
      <c r="Z29" s="121">
        <f>"600 Muhasebe Hizmet Geliri  (sözleşme)"</f>
        <v/>
      </c>
      <c r="AA29" s="222">
        <f>AY_SONU!$C29</f>
        <v/>
      </c>
      <c r="AB29" s="222">
        <f>AY_SONU!$D29</f>
        <v/>
      </c>
      <c r="AC29" s="222">
        <f>AY_SONU!$C29-AY_SONU!$D29</f>
        <v/>
      </c>
      <c r="AD29" s="3">
        <f>IF($C29="",0,SUMPRODUCT((AY_SONU!$O$7:$O$42="Evet")*(AY_SONU!$B$7:$B$42=DATE(YEAR($C29),MONTH($C29),1))))</f>
        <v/>
      </c>
    </row>
    <row r="30">
      <c r="A30" s="6" t="n"/>
      <c r="B30" s="113">
        <f>IF($C30="","","GG"&amp;TEXT(ROW()-6,"00000"))</f>
        <v/>
      </c>
      <c r="C30" s="220" t="n">
        <v>46056</v>
      </c>
      <c r="D30" s="108" t="inlineStr">
        <is>
          <t>Gider</t>
        </is>
      </c>
      <c r="E30" s="109" t="inlineStr">
        <is>
          <t>Ofis Kirası</t>
        </is>
      </c>
      <c r="F30" s="109" t="inlineStr">
        <is>
          <t>Ocak Ayı Ofis Aidatı Ödemesi</t>
        </is>
      </c>
      <c r="G30" s="221" t="n">
        <v>2000</v>
      </c>
      <c r="H30" s="108" t="inlineStr">
        <is>
          <t>Merkez Kasa</t>
        </is>
      </c>
      <c r="I30" s="108" t="inlineStr">
        <is>
          <t>Evet</t>
        </is>
      </c>
      <c r="J30" s="109" t="n"/>
      <c r="K30" s="109" t="n"/>
      <c r="L30" s="108" t="n"/>
      <c r="M30" s="121">
        <f>IF($C30="","",IF($D30="Gider",$E30,IF($L30&lt;&gt;"",$L30,$H30)))</f>
        <v/>
      </c>
      <c r="N30" s="121">
        <f>IF($C30="","",IF($D30="Gider",$H30,$E30))</f>
        <v/>
      </c>
      <c r="O30" s="226">
        <f>IF($C30="","",DATE(YEAR($C30),MONTH($C30),1))</f>
        <v/>
      </c>
      <c r="P30" s="113">
        <f>IF($C30="","",IF(AND($D30="Gelir",$L30&lt;&gt;"",$T30=""),"TANIMSIZ BORÇLU",IF($T30&lt;&gt;"",IF(OR($E30="",$G30&lt;=0),"EKSİK",IF($I30="Evet","TAHAKKUK NAKİT OLAMAZ",IF($C30&gt;TODAY(),"İLERİ TARİH","TAHAKKUK"))),IF(AND($D30&lt;&gt;"",$E30&lt;&gt;"",$G30&gt;0,$H30&lt;&gt;"",$I30&lt;&gt;""),IF($C30&gt;TODAY(),"İLERİ TARİH",IF(COUNTIF($W$7:$W$1206,$W30)&gt;1,"MÜKERRER?",IF($AD30&gt;0,"KAPALI DÖNEM",IF($I30="Hayır","ÖDENECEK","UYGUN")))),"EKSİK"))))</f>
        <v/>
      </c>
      <c r="Q30" s="6" t="n"/>
      <c r="R30" s="6" t="n"/>
      <c r="S30" s="3">
        <f>IF($L30="","",UPPER(SUBSTITUTE(SUBSTITUTE(SUBSTITUTE(SUBSTITUTE(SUBSTITUTE(SUBSTITUTE(SUBSTITUTE(SUBSTITUTE(SUBSTITUTE(SUBSTITUTE(SUBSTITUTE(SUBSTITUTE(SUBSTITUTE(SUBSTITUTE(SUBSTITUTE(SUBSTITUTE(SUBSTITUTE(SUBSTITUTE(TRIM($L30),"'",""),"İ","I"),"ı","I"),"i","I"),"Ş","S"),"ş","S"),"Ğ","G"),"ğ","G"),"Ü","U"),"ü","U"),"Ö","O"),"ö","O"),"Ç","C"),"ç","C"),".",""),",","")," ",""),"-","")))</f>
        <v/>
      </c>
      <c r="T30" s="3">
        <f>IF(OR($C30="",$D30&lt;&gt;"Gelir",$L30=""),"",IFERROR(INDEX(MUSTERILER!$B$7:$B$106,MATCH($S30,MUSTERILER!$T$7:$T$106,0)),""))</f>
        <v/>
      </c>
      <c r="U30" s="3">
        <f>IF($T30="","",$T30&amp;"|"&amp;COUNTIFS($T$7:$T30,$T30))</f>
        <v/>
      </c>
      <c r="V30" s="3">
        <f>IF($T30="",0,1)</f>
        <v/>
      </c>
      <c r="W30" s="3">
        <f>IF($C30="","",$D30&amp;"|"&amp;$E30&amp;"|"&amp;TEXT($C30,"0")&amp;"|"&amp;TEXT($G30,"0")&amp;"|"&amp;$J30)</f>
        <v/>
      </c>
      <c r="X30" s="226">
        <f>AY_SONU!$B30</f>
        <v/>
      </c>
      <c r="Y30" s="121">
        <f>"Müşteri Carisi  (MÜŞTERİ 360)"</f>
        <v/>
      </c>
      <c r="Z30" s="121">
        <f>"600 Muhasebe Hizmet Geliri  (sözleşme)"</f>
        <v/>
      </c>
      <c r="AA30" s="222">
        <f>AY_SONU!$C30</f>
        <v/>
      </c>
      <c r="AB30" s="222">
        <f>AY_SONU!$D30</f>
        <v/>
      </c>
      <c r="AC30" s="222">
        <f>AY_SONU!$C30-AY_SONU!$D30</f>
        <v/>
      </c>
      <c r="AD30" s="3">
        <f>IF($C30="",0,SUMPRODUCT((AY_SONU!$O$7:$O$42="Evet")*(AY_SONU!$B$7:$B$42=DATE(YEAR($C30),MONTH($C30),1))))</f>
        <v/>
      </c>
    </row>
    <row r="31">
      <c r="A31" s="6" t="n"/>
      <c r="B31" s="113">
        <f>IF($C31="","","GG"&amp;TEXT(ROW()-6,"00000"))</f>
        <v/>
      </c>
      <c r="C31" s="220" t="n">
        <v>46056</v>
      </c>
      <c r="D31" s="108" t="inlineStr">
        <is>
          <t>Gider</t>
        </is>
      </c>
      <c r="E31" s="109" t="inlineStr">
        <is>
          <t>Ofis Kirası</t>
        </is>
      </c>
      <c r="F31" s="109" t="inlineStr">
        <is>
          <t>Şubat Ayı Ofis Aidatı Ödemesi</t>
        </is>
      </c>
      <c r="G31" s="221" t="n">
        <v>2000</v>
      </c>
      <c r="H31" s="108" t="inlineStr">
        <is>
          <t>Merkez Kasa</t>
        </is>
      </c>
      <c r="I31" s="108" t="inlineStr">
        <is>
          <t>Evet</t>
        </is>
      </c>
      <c r="J31" s="109" t="n"/>
      <c r="K31" s="109" t="n"/>
      <c r="L31" s="108" t="n"/>
      <c r="M31" s="121">
        <f>IF($C31="","",IF($D31="Gider",$E31,IF($L31&lt;&gt;"",$L31,$H31)))</f>
        <v/>
      </c>
      <c r="N31" s="121">
        <f>IF($C31="","",IF($D31="Gider",$H31,$E31))</f>
        <v/>
      </c>
      <c r="O31" s="226">
        <f>IF($C31="","",DATE(YEAR($C31),MONTH($C31),1))</f>
        <v/>
      </c>
      <c r="P31" s="113">
        <f>IF($C31="","",IF(AND($D31="Gelir",$L31&lt;&gt;"",$T31=""),"TANIMSIZ BORÇLU",IF($T31&lt;&gt;"",IF(OR($E31="",$G31&lt;=0),"EKSİK",IF($I31="Evet","TAHAKKUK NAKİT OLAMAZ",IF($C31&gt;TODAY(),"İLERİ TARİH","TAHAKKUK"))),IF(AND($D31&lt;&gt;"",$E31&lt;&gt;"",$G31&gt;0,$H31&lt;&gt;"",$I31&lt;&gt;""),IF($C31&gt;TODAY(),"İLERİ TARİH",IF(COUNTIF($W$7:$W$1206,$W31)&gt;1,"MÜKERRER?",IF($AD31&gt;0,"KAPALI DÖNEM",IF($I31="Hayır","ÖDENECEK","UYGUN")))),"EKSİK"))))</f>
        <v/>
      </c>
      <c r="Q31" s="6" t="n"/>
      <c r="R31" s="6" t="n"/>
      <c r="S31" s="3">
        <f>IF($L31="","",UPPER(SUBSTITUTE(SUBSTITUTE(SUBSTITUTE(SUBSTITUTE(SUBSTITUTE(SUBSTITUTE(SUBSTITUTE(SUBSTITUTE(SUBSTITUTE(SUBSTITUTE(SUBSTITUTE(SUBSTITUTE(SUBSTITUTE(SUBSTITUTE(SUBSTITUTE(SUBSTITUTE(SUBSTITUTE(SUBSTITUTE(TRIM($L31),"'",""),"İ","I"),"ı","I"),"i","I"),"Ş","S"),"ş","S"),"Ğ","G"),"ğ","G"),"Ü","U"),"ü","U"),"Ö","O"),"ö","O"),"Ç","C"),"ç","C"),".",""),",","")," ",""),"-","")))</f>
        <v/>
      </c>
      <c r="T31" s="3">
        <f>IF(OR($C31="",$D31&lt;&gt;"Gelir",$L31=""),"",IFERROR(INDEX(MUSTERILER!$B$7:$B$106,MATCH($S31,MUSTERILER!$T$7:$T$106,0)),""))</f>
        <v/>
      </c>
      <c r="U31" s="3">
        <f>IF($T31="","",$T31&amp;"|"&amp;COUNTIFS($T$7:$T31,$T31))</f>
        <v/>
      </c>
      <c r="V31" s="3">
        <f>IF($T31="",0,1)</f>
        <v/>
      </c>
      <c r="W31" s="3">
        <f>IF($C31="","",$D31&amp;"|"&amp;$E31&amp;"|"&amp;TEXT($C31,"0")&amp;"|"&amp;TEXT($G31,"0")&amp;"|"&amp;$J31)</f>
        <v/>
      </c>
      <c r="X31" s="226">
        <f>AY_SONU!$B31</f>
        <v/>
      </c>
      <c r="Y31" s="121">
        <f>"Müşteri Carisi  (MÜŞTERİ 360)"</f>
        <v/>
      </c>
      <c r="Z31" s="121">
        <f>"600 Muhasebe Hizmet Geliri  (sözleşme)"</f>
        <v/>
      </c>
      <c r="AA31" s="222">
        <f>AY_SONU!$C31</f>
        <v/>
      </c>
      <c r="AB31" s="222">
        <f>AY_SONU!$D31</f>
        <v/>
      </c>
      <c r="AC31" s="222">
        <f>AY_SONU!$C31-AY_SONU!$D31</f>
        <v/>
      </c>
      <c r="AD31" s="3">
        <f>IF($C31="",0,SUMPRODUCT((AY_SONU!$O$7:$O$42="Evet")*(AY_SONU!$B$7:$B$42=DATE(YEAR($C31),MONTH($C31),1))))</f>
        <v/>
      </c>
    </row>
    <row r="32">
      <c r="A32" s="6" t="n"/>
      <c r="B32" s="113">
        <f>IF($C32="","","GG"&amp;TEXT(ROW()-6,"00000"))</f>
        <v/>
      </c>
      <c r="C32" s="220" t="n">
        <v>46056</v>
      </c>
      <c r="D32" s="108" t="inlineStr">
        <is>
          <t>Gider</t>
        </is>
      </c>
      <c r="E32" s="109" t="inlineStr">
        <is>
          <t>Personel</t>
        </is>
      </c>
      <c r="F32" s="109" t="inlineStr">
        <is>
          <t>İsmail Harçlık</t>
        </is>
      </c>
      <c r="G32" s="221" t="n">
        <v>4000</v>
      </c>
      <c r="H32" s="108" t="inlineStr">
        <is>
          <t>Merkez Kasa</t>
        </is>
      </c>
      <c r="I32" s="108" t="inlineStr">
        <is>
          <t>Evet</t>
        </is>
      </c>
      <c r="J32" s="109" t="n"/>
      <c r="K32" s="109" t="n"/>
      <c r="L32" s="108" t="n"/>
      <c r="M32" s="121">
        <f>IF($C32="","",IF($D32="Gider",$E32,IF($L32&lt;&gt;"",$L32,$H32)))</f>
        <v/>
      </c>
      <c r="N32" s="121">
        <f>IF($C32="","",IF($D32="Gider",$H32,$E32))</f>
        <v/>
      </c>
      <c r="O32" s="226">
        <f>IF($C32="","",DATE(YEAR($C32),MONTH($C32),1))</f>
        <v/>
      </c>
      <c r="P32" s="113">
        <f>IF($C32="","",IF(AND($D32="Gelir",$L32&lt;&gt;"",$T32=""),"TANIMSIZ BORÇLU",IF($T32&lt;&gt;"",IF(OR($E32="",$G32&lt;=0),"EKSİK",IF($I32="Evet","TAHAKKUK NAKİT OLAMAZ",IF($C32&gt;TODAY(),"İLERİ TARİH","TAHAKKUK"))),IF(AND($D32&lt;&gt;"",$E32&lt;&gt;"",$G32&gt;0,$H32&lt;&gt;"",$I32&lt;&gt;""),IF($C32&gt;TODAY(),"İLERİ TARİH",IF(COUNTIF($W$7:$W$1206,$W32)&gt;1,"MÜKERRER?",IF($AD32&gt;0,"KAPALI DÖNEM",IF($I32="Hayır","ÖDENECEK","UYGUN")))),"EKSİK"))))</f>
        <v/>
      </c>
      <c r="Q32" s="6" t="n"/>
      <c r="R32" s="6" t="n"/>
      <c r="S32" s="3">
        <f>IF($L32="","",UPPER(SUBSTITUTE(SUBSTITUTE(SUBSTITUTE(SUBSTITUTE(SUBSTITUTE(SUBSTITUTE(SUBSTITUTE(SUBSTITUTE(SUBSTITUTE(SUBSTITUTE(SUBSTITUTE(SUBSTITUTE(SUBSTITUTE(SUBSTITUTE(SUBSTITUTE(SUBSTITUTE(SUBSTITUTE(SUBSTITUTE(TRIM($L32),"'",""),"İ","I"),"ı","I"),"i","I"),"Ş","S"),"ş","S"),"Ğ","G"),"ğ","G"),"Ü","U"),"ü","U"),"Ö","O"),"ö","O"),"Ç","C"),"ç","C"),".",""),",","")," ",""),"-","")))</f>
        <v/>
      </c>
      <c r="T32" s="3">
        <f>IF(OR($C32="",$D32&lt;&gt;"Gelir",$L32=""),"",IFERROR(INDEX(MUSTERILER!$B$7:$B$106,MATCH($S32,MUSTERILER!$T$7:$T$106,0)),""))</f>
        <v/>
      </c>
      <c r="U32" s="3">
        <f>IF($T32="","",$T32&amp;"|"&amp;COUNTIFS($T$7:$T32,$T32))</f>
        <v/>
      </c>
      <c r="V32" s="3">
        <f>IF($T32="",0,1)</f>
        <v/>
      </c>
      <c r="W32" s="3">
        <f>IF($C32="","",$D32&amp;"|"&amp;$E32&amp;"|"&amp;TEXT($C32,"0")&amp;"|"&amp;TEXT($G32,"0")&amp;"|"&amp;$J32)</f>
        <v/>
      </c>
      <c r="X32" s="226">
        <f>AY_SONU!$B32</f>
        <v/>
      </c>
      <c r="Y32" s="121">
        <f>"Müşteri Carisi  (MÜŞTERİ 360)"</f>
        <v/>
      </c>
      <c r="Z32" s="121">
        <f>"600 Muhasebe Hizmet Geliri  (sözleşme)"</f>
        <v/>
      </c>
      <c r="AA32" s="222">
        <f>AY_SONU!$C32</f>
        <v/>
      </c>
      <c r="AB32" s="222">
        <f>AY_SONU!$D32</f>
        <v/>
      </c>
      <c r="AC32" s="222">
        <f>AY_SONU!$C32-AY_SONU!$D32</f>
        <v/>
      </c>
      <c r="AD32" s="3">
        <f>IF($C32="",0,SUMPRODUCT((AY_SONU!$O$7:$O$42="Evet")*(AY_SONU!$B$7:$B$42=DATE(YEAR($C32),MONTH($C32),1))))</f>
        <v/>
      </c>
    </row>
    <row r="33">
      <c r="A33" s="6" t="n"/>
      <c r="B33" s="113">
        <f>IF($C33="","","GG"&amp;TEXT(ROW()-6,"00000"))</f>
        <v/>
      </c>
      <c r="C33" s="220" t="n">
        <v>46060</v>
      </c>
      <c r="D33" s="108" t="inlineStr">
        <is>
          <t>Gider</t>
        </is>
      </c>
      <c r="E33" s="109" t="inlineStr">
        <is>
          <t>Ulaşım</t>
        </is>
      </c>
      <c r="F33" s="109" t="inlineStr">
        <is>
          <t>Araç Yakıt Alımı</t>
        </is>
      </c>
      <c r="G33" s="221" t="n">
        <v>2400</v>
      </c>
      <c r="H33" s="108" t="inlineStr">
        <is>
          <t>Merkez Kasa</t>
        </is>
      </c>
      <c r="I33" s="108" t="inlineStr">
        <is>
          <t>Evet</t>
        </is>
      </c>
      <c r="J33" s="109" t="n"/>
      <c r="K33" s="109" t="n"/>
      <c r="L33" s="108" t="n"/>
      <c r="M33" s="121">
        <f>IF($C33="","",IF($D33="Gider",$E33,IF($L33&lt;&gt;"",$L33,$H33)))</f>
        <v/>
      </c>
      <c r="N33" s="121">
        <f>IF($C33="","",IF($D33="Gider",$H33,$E33))</f>
        <v/>
      </c>
      <c r="O33" s="226">
        <f>IF($C33="","",DATE(YEAR($C33),MONTH($C33),1))</f>
        <v/>
      </c>
      <c r="P33" s="113">
        <f>IF($C33="","",IF(AND($D33="Gelir",$L33&lt;&gt;"",$T33=""),"TANIMSIZ BORÇLU",IF($T33&lt;&gt;"",IF(OR($E33="",$G33&lt;=0),"EKSİK",IF($I33="Evet","TAHAKKUK NAKİT OLAMAZ",IF($C33&gt;TODAY(),"İLERİ TARİH","TAHAKKUK"))),IF(AND($D33&lt;&gt;"",$E33&lt;&gt;"",$G33&gt;0,$H33&lt;&gt;"",$I33&lt;&gt;""),IF($C33&gt;TODAY(),"İLERİ TARİH",IF(COUNTIF($W$7:$W$1206,$W33)&gt;1,"MÜKERRER?",IF($AD33&gt;0,"KAPALI DÖNEM",IF($I33="Hayır","ÖDENECEK","UYGUN")))),"EKSİK"))))</f>
        <v/>
      </c>
      <c r="Q33" s="6" t="n"/>
      <c r="R33" s="6" t="n"/>
      <c r="S33" s="3">
        <f>IF($L33="","",UPPER(SUBSTITUTE(SUBSTITUTE(SUBSTITUTE(SUBSTITUTE(SUBSTITUTE(SUBSTITUTE(SUBSTITUTE(SUBSTITUTE(SUBSTITUTE(SUBSTITUTE(SUBSTITUTE(SUBSTITUTE(SUBSTITUTE(SUBSTITUTE(SUBSTITUTE(SUBSTITUTE(SUBSTITUTE(SUBSTITUTE(TRIM($L33),"'",""),"İ","I"),"ı","I"),"i","I"),"Ş","S"),"ş","S"),"Ğ","G"),"ğ","G"),"Ü","U"),"ü","U"),"Ö","O"),"ö","O"),"Ç","C"),"ç","C"),".",""),",","")," ",""),"-","")))</f>
        <v/>
      </c>
      <c r="T33" s="3">
        <f>IF(OR($C33="",$D33&lt;&gt;"Gelir",$L33=""),"",IFERROR(INDEX(MUSTERILER!$B$7:$B$106,MATCH($S33,MUSTERILER!$T$7:$T$106,0)),""))</f>
        <v/>
      </c>
      <c r="U33" s="3">
        <f>IF($T33="","",$T33&amp;"|"&amp;COUNTIFS($T$7:$T33,$T33))</f>
        <v/>
      </c>
      <c r="V33" s="3">
        <f>IF($T33="",0,1)</f>
        <v/>
      </c>
      <c r="W33" s="3">
        <f>IF($C33="","",$D33&amp;"|"&amp;$E33&amp;"|"&amp;TEXT($C33,"0")&amp;"|"&amp;TEXT($G33,"0")&amp;"|"&amp;$J33)</f>
        <v/>
      </c>
      <c r="X33" s="226">
        <f>AY_SONU!$B33</f>
        <v/>
      </c>
      <c r="Y33" s="121">
        <f>"Müşteri Carisi  (MÜŞTERİ 360)"</f>
        <v/>
      </c>
      <c r="Z33" s="121">
        <f>"600 Muhasebe Hizmet Geliri  (sözleşme)"</f>
        <v/>
      </c>
      <c r="AA33" s="222">
        <f>AY_SONU!$C33</f>
        <v/>
      </c>
      <c r="AB33" s="222">
        <f>AY_SONU!$D33</f>
        <v/>
      </c>
      <c r="AC33" s="222">
        <f>AY_SONU!$C33-AY_SONU!$D33</f>
        <v/>
      </c>
      <c r="AD33" s="3">
        <f>IF($C33="",0,SUMPRODUCT((AY_SONU!$O$7:$O$42="Evet")*(AY_SONU!$B$7:$B$42=DATE(YEAR($C33),MONTH($C33),1))))</f>
        <v/>
      </c>
    </row>
    <row r="34">
      <c r="A34" s="6" t="n"/>
      <c r="B34" s="113">
        <f>IF($C34="","","GG"&amp;TEXT(ROW()-6,"00000"))</f>
        <v/>
      </c>
      <c r="C34" s="220" t="n">
        <v>46062</v>
      </c>
      <c r="D34" s="108" t="inlineStr">
        <is>
          <t>Gider</t>
        </is>
      </c>
      <c r="E34" s="109" t="inlineStr">
        <is>
          <t>Temsil / Ağırlama</t>
        </is>
      </c>
      <c r="F34" s="109" t="inlineStr">
        <is>
          <t>Ofis Temizlik Alışverişi</t>
        </is>
      </c>
      <c r="G34" s="221" t="n">
        <v>499.3</v>
      </c>
      <c r="H34" s="108" t="inlineStr">
        <is>
          <t>Merkez Kasa</t>
        </is>
      </c>
      <c r="I34" s="108" t="inlineStr">
        <is>
          <t>Evet</t>
        </is>
      </c>
      <c r="J34" s="109" t="n"/>
      <c r="K34" s="109" t="n"/>
      <c r="L34" s="108" t="n"/>
      <c r="M34" s="121">
        <f>IF($C34="","",IF($D34="Gider",$E34,IF($L34&lt;&gt;"",$L34,$H34)))</f>
        <v/>
      </c>
      <c r="N34" s="121">
        <f>IF($C34="","",IF($D34="Gider",$H34,$E34))</f>
        <v/>
      </c>
      <c r="O34" s="226">
        <f>IF($C34="","",DATE(YEAR($C34),MONTH($C34),1))</f>
        <v/>
      </c>
      <c r="P34" s="113">
        <f>IF($C34="","",IF(AND($D34="Gelir",$L34&lt;&gt;"",$T34=""),"TANIMSIZ BORÇLU",IF($T34&lt;&gt;"",IF(OR($E34="",$G34&lt;=0),"EKSİK",IF($I34="Evet","TAHAKKUK NAKİT OLAMAZ",IF($C34&gt;TODAY(),"İLERİ TARİH","TAHAKKUK"))),IF(AND($D34&lt;&gt;"",$E34&lt;&gt;"",$G34&gt;0,$H34&lt;&gt;"",$I34&lt;&gt;""),IF($C34&gt;TODAY(),"İLERİ TARİH",IF(COUNTIF($W$7:$W$1206,$W34)&gt;1,"MÜKERRER?",IF($AD34&gt;0,"KAPALI DÖNEM",IF($I34="Hayır","ÖDENECEK","UYGUN")))),"EKSİK"))))</f>
        <v/>
      </c>
      <c r="Q34" s="6" t="n"/>
      <c r="R34" s="6" t="n"/>
      <c r="S34" s="3">
        <f>IF($L34="","",UPPER(SUBSTITUTE(SUBSTITUTE(SUBSTITUTE(SUBSTITUTE(SUBSTITUTE(SUBSTITUTE(SUBSTITUTE(SUBSTITUTE(SUBSTITUTE(SUBSTITUTE(SUBSTITUTE(SUBSTITUTE(SUBSTITUTE(SUBSTITUTE(SUBSTITUTE(SUBSTITUTE(SUBSTITUTE(SUBSTITUTE(TRIM($L34),"'",""),"İ","I"),"ı","I"),"i","I"),"Ş","S"),"ş","S"),"Ğ","G"),"ğ","G"),"Ü","U"),"ü","U"),"Ö","O"),"ö","O"),"Ç","C"),"ç","C"),".",""),",","")," ",""),"-","")))</f>
        <v/>
      </c>
      <c r="T34" s="3">
        <f>IF(OR($C34="",$D34&lt;&gt;"Gelir",$L34=""),"",IFERROR(INDEX(MUSTERILER!$B$7:$B$106,MATCH($S34,MUSTERILER!$T$7:$T$106,0)),""))</f>
        <v/>
      </c>
      <c r="U34" s="3">
        <f>IF($T34="","",$T34&amp;"|"&amp;COUNTIFS($T$7:$T34,$T34))</f>
        <v/>
      </c>
      <c r="V34" s="3">
        <f>IF($T34="",0,1)</f>
        <v/>
      </c>
      <c r="W34" s="3">
        <f>IF($C34="","",$D34&amp;"|"&amp;$E34&amp;"|"&amp;TEXT($C34,"0")&amp;"|"&amp;TEXT($G34,"0")&amp;"|"&amp;$J34)</f>
        <v/>
      </c>
      <c r="X34" s="226">
        <f>AY_SONU!$B34</f>
        <v/>
      </c>
      <c r="Y34" s="121">
        <f>"Müşteri Carisi  (MÜŞTERİ 360)"</f>
        <v/>
      </c>
      <c r="Z34" s="121">
        <f>"600 Muhasebe Hizmet Geliri  (sözleşme)"</f>
        <v/>
      </c>
      <c r="AA34" s="222">
        <f>AY_SONU!$C34</f>
        <v/>
      </c>
      <c r="AB34" s="222">
        <f>AY_SONU!$D34</f>
        <v/>
      </c>
      <c r="AC34" s="222">
        <f>AY_SONU!$C34-AY_SONU!$D34</f>
        <v/>
      </c>
      <c r="AD34" s="3">
        <f>IF($C34="",0,SUMPRODUCT((AY_SONU!$O$7:$O$42="Evet")*(AY_SONU!$B$7:$B$42=DATE(YEAR($C34),MONTH($C34),1))))</f>
        <v/>
      </c>
    </row>
    <row r="35">
      <c r="A35" s="6" t="n"/>
      <c r="B35" s="113">
        <f>IF($C35="","","GG"&amp;TEXT(ROW()-6,"00000"))</f>
        <v/>
      </c>
      <c r="C35" s="220" t="n">
        <v>46064</v>
      </c>
      <c r="D35" s="108" t="inlineStr">
        <is>
          <t>Gider</t>
        </is>
      </c>
      <c r="E35" s="109" t="inlineStr">
        <is>
          <t>Temsil / Ağırlama</t>
        </is>
      </c>
      <c r="F35" s="109" t="inlineStr">
        <is>
          <t>İsmail Yemek</t>
        </is>
      </c>
      <c r="G35" s="221" t="n">
        <v>300</v>
      </c>
      <c r="H35" s="108" t="inlineStr">
        <is>
          <t>Merkez Kasa</t>
        </is>
      </c>
      <c r="I35" s="108" t="inlineStr">
        <is>
          <t>Evet</t>
        </is>
      </c>
      <c r="J35" s="109" t="n"/>
      <c r="K35" s="109" t="n"/>
      <c r="L35" s="108" t="n"/>
      <c r="M35" s="121">
        <f>IF($C35="","",IF($D35="Gider",$E35,IF($L35&lt;&gt;"",$L35,$H35)))</f>
        <v/>
      </c>
      <c r="N35" s="121">
        <f>IF($C35="","",IF($D35="Gider",$H35,$E35))</f>
        <v/>
      </c>
      <c r="O35" s="226">
        <f>IF($C35="","",DATE(YEAR($C35),MONTH($C35),1))</f>
        <v/>
      </c>
      <c r="P35" s="113">
        <f>IF($C35="","",IF(AND($D35="Gelir",$L35&lt;&gt;"",$T35=""),"TANIMSIZ BORÇLU",IF($T35&lt;&gt;"",IF(OR($E35="",$G35&lt;=0),"EKSİK",IF($I35="Evet","TAHAKKUK NAKİT OLAMAZ",IF($C35&gt;TODAY(),"İLERİ TARİH","TAHAKKUK"))),IF(AND($D35&lt;&gt;"",$E35&lt;&gt;"",$G35&gt;0,$H35&lt;&gt;"",$I35&lt;&gt;""),IF($C35&gt;TODAY(),"İLERİ TARİH",IF(COUNTIF($W$7:$W$1206,$W35)&gt;1,"MÜKERRER?",IF($AD35&gt;0,"KAPALI DÖNEM",IF($I35="Hayır","ÖDENECEK","UYGUN")))),"EKSİK"))))</f>
        <v/>
      </c>
      <c r="Q35" s="6" t="n"/>
      <c r="R35" s="6" t="n"/>
      <c r="S35" s="3">
        <f>IF($L35="","",UPPER(SUBSTITUTE(SUBSTITUTE(SUBSTITUTE(SUBSTITUTE(SUBSTITUTE(SUBSTITUTE(SUBSTITUTE(SUBSTITUTE(SUBSTITUTE(SUBSTITUTE(SUBSTITUTE(SUBSTITUTE(SUBSTITUTE(SUBSTITUTE(SUBSTITUTE(SUBSTITUTE(SUBSTITUTE(SUBSTITUTE(TRIM($L35),"'",""),"İ","I"),"ı","I"),"i","I"),"Ş","S"),"ş","S"),"Ğ","G"),"ğ","G"),"Ü","U"),"ü","U"),"Ö","O"),"ö","O"),"Ç","C"),"ç","C"),".",""),",","")," ",""),"-","")))</f>
        <v/>
      </c>
      <c r="T35" s="3">
        <f>IF(OR($C35="",$D35&lt;&gt;"Gelir",$L35=""),"",IFERROR(INDEX(MUSTERILER!$B$7:$B$106,MATCH($S35,MUSTERILER!$T$7:$T$106,0)),""))</f>
        <v/>
      </c>
      <c r="U35" s="3">
        <f>IF($T35="","",$T35&amp;"|"&amp;COUNTIFS($T$7:$T35,$T35))</f>
        <v/>
      </c>
      <c r="V35" s="3">
        <f>IF($T35="",0,1)</f>
        <v/>
      </c>
      <c r="W35" s="3">
        <f>IF($C35="","",$D35&amp;"|"&amp;$E35&amp;"|"&amp;TEXT($C35,"0")&amp;"|"&amp;TEXT($G35,"0")&amp;"|"&amp;$J35)</f>
        <v/>
      </c>
      <c r="X35" s="226">
        <f>AY_SONU!$B35</f>
        <v/>
      </c>
      <c r="Y35" s="121">
        <f>"Müşteri Carisi  (MÜŞTERİ 360)"</f>
        <v/>
      </c>
      <c r="Z35" s="121">
        <f>"600 Muhasebe Hizmet Geliri  (sözleşme)"</f>
        <v/>
      </c>
      <c r="AA35" s="222">
        <f>AY_SONU!$C35</f>
        <v/>
      </c>
      <c r="AB35" s="222">
        <f>AY_SONU!$D35</f>
        <v/>
      </c>
      <c r="AC35" s="222">
        <f>AY_SONU!$C35-AY_SONU!$D35</f>
        <v/>
      </c>
      <c r="AD35" s="3">
        <f>IF($C35="",0,SUMPRODUCT((AY_SONU!$O$7:$O$42="Evet")*(AY_SONU!$B$7:$B$42=DATE(YEAR($C35),MONTH($C35),1))))</f>
        <v/>
      </c>
    </row>
    <row r="36">
      <c r="A36" s="6" t="n"/>
      <c r="B36" s="113">
        <f>IF($C36="","","GG"&amp;TEXT(ROW()-6,"00000"))</f>
        <v/>
      </c>
      <c r="C36" s="220" t="n">
        <v>46064</v>
      </c>
      <c r="D36" s="108" t="inlineStr">
        <is>
          <t>Gider</t>
        </is>
      </c>
      <c r="E36" s="109" t="inlineStr">
        <is>
          <t>Temsil / Ağırlama</t>
        </is>
      </c>
      <c r="F36" s="109" t="inlineStr">
        <is>
          <t xml:space="preserve">Baklavacı Hacıbaba </t>
        </is>
      </c>
      <c r="G36" s="221" t="n">
        <v>1530</v>
      </c>
      <c r="H36" s="108" t="inlineStr">
        <is>
          <t>Merkez Kasa</t>
        </is>
      </c>
      <c r="I36" s="108" t="inlineStr">
        <is>
          <t>Evet</t>
        </is>
      </c>
      <c r="J36" s="109" t="n"/>
      <c r="K36" s="109" t="n"/>
      <c r="L36" s="108" t="n"/>
      <c r="M36" s="121">
        <f>IF($C36="","",IF($D36="Gider",$E36,IF($L36&lt;&gt;"",$L36,$H36)))</f>
        <v/>
      </c>
      <c r="N36" s="121">
        <f>IF($C36="","",IF($D36="Gider",$H36,$E36))</f>
        <v/>
      </c>
      <c r="O36" s="226">
        <f>IF($C36="","",DATE(YEAR($C36),MONTH($C36),1))</f>
        <v/>
      </c>
      <c r="P36" s="113">
        <f>IF($C36="","",IF(AND($D36="Gelir",$L36&lt;&gt;"",$T36=""),"TANIMSIZ BORÇLU",IF($T36&lt;&gt;"",IF(OR($E36="",$G36&lt;=0),"EKSİK",IF($I36="Evet","TAHAKKUK NAKİT OLAMAZ",IF($C36&gt;TODAY(),"İLERİ TARİH","TAHAKKUK"))),IF(AND($D36&lt;&gt;"",$E36&lt;&gt;"",$G36&gt;0,$H36&lt;&gt;"",$I36&lt;&gt;""),IF($C36&gt;TODAY(),"İLERİ TARİH",IF(COUNTIF($W$7:$W$1206,$W36)&gt;1,"MÜKERRER?",IF($AD36&gt;0,"KAPALI DÖNEM",IF($I36="Hayır","ÖDENECEK","UYGUN")))),"EKSİK"))))</f>
        <v/>
      </c>
      <c r="Q36" s="6" t="n"/>
      <c r="R36" s="6" t="n"/>
      <c r="S36" s="3">
        <f>IF($L36="","",UPPER(SUBSTITUTE(SUBSTITUTE(SUBSTITUTE(SUBSTITUTE(SUBSTITUTE(SUBSTITUTE(SUBSTITUTE(SUBSTITUTE(SUBSTITUTE(SUBSTITUTE(SUBSTITUTE(SUBSTITUTE(SUBSTITUTE(SUBSTITUTE(SUBSTITUTE(SUBSTITUTE(SUBSTITUTE(SUBSTITUTE(TRIM($L36),"'",""),"İ","I"),"ı","I"),"i","I"),"Ş","S"),"ş","S"),"Ğ","G"),"ğ","G"),"Ü","U"),"ü","U"),"Ö","O"),"ö","O"),"Ç","C"),"ç","C"),".",""),",","")," ",""),"-","")))</f>
        <v/>
      </c>
      <c r="T36" s="3">
        <f>IF(OR($C36="",$D36&lt;&gt;"Gelir",$L36=""),"",IFERROR(INDEX(MUSTERILER!$B$7:$B$106,MATCH($S36,MUSTERILER!$T$7:$T$106,0)),""))</f>
        <v/>
      </c>
      <c r="U36" s="3">
        <f>IF($T36="","",$T36&amp;"|"&amp;COUNTIFS($T$7:$T36,$T36))</f>
        <v/>
      </c>
      <c r="V36" s="3">
        <f>IF($T36="",0,1)</f>
        <v/>
      </c>
      <c r="W36" s="3">
        <f>IF($C36="","",$D36&amp;"|"&amp;$E36&amp;"|"&amp;TEXT($C36,"0")&amp;"|"&amp;TEXT($G36,"0")&amp;"|"&amp;$J36)</f>
        <v/>
      </c>
      <c r="X36" s="226">
        <f>AY_SONU!$B36</f>
        <v/>
      </c>
      <c r="Y36" s="121">
        <f>"Müşteri Carisi  (MÜŞTERİ 360)"</f>
        <v/>
      </c>
      <c r="Z36" s="121">
        <f>"600 Muhasebe Hizmet Geliri  (sözleşme)"</f>
        <v/>
      </c>
      <c r="AA36" s="222">
        <f>AY_SONU!$C36</f>
        <v/>
      </c>
      <c r="AB36" s="222">
        <f>AY_SONU!$D36</f>
        <v/>
      </c>
      <c r="AC36" s="222">
        <f>AY_SONU!$C36-AY_SONU!$D36</f>
        <v/>
      </c>
      <c r="AD36" s="3">
        <f>IF($C36="",0,SUMPRODUCT((AY_SONU!$O$7:$O$42="Evet")*(AY_SONU!$B$7:$B$42=DATE(YEAR($C36),MONTH($C36),1))))</f>
        <v/>
      </c>
    </row>
    <row r="37">
      <c r="A37" s="6" t="n"/>
      <c r="B37" s="113">
        <f>IF($C37="","","GG"&amp;TEXT(ROW()-6,"00000"))</f>
        <v/>
      </c>
      <c r="C37" s="220" t="n">
        <v>46067</v>
      </c>
      <c r="D37" s="108" t="inlineStr">
        <is>
          <t>Gider</t>
        </is>
      </c>
      <c r="E37" s="109" t="inlineStr">
        <is>
          <t>Temsil / Ağırlama</t>
        </is>
      </c>
      <c r="F37" s="109" t="inlineStr">
        <is>
          <t xml:space="preserve">Yemek Ömer Ali </t>
        </is>
      </c>
      <c r="G37" s="221" t="n">
        <v>930</v>
      </c>
      <c r="H37" s="108" t="inlineStr">
        <is>
          <t>Merkez Kasa</t>
        </is>
      </c>
      <c r="I37" s="108" t="inlineStr">
        <is>
          <t>Evet</t>
        </is>
      </c>
      <c r="J37" s="109" t="n"/>
      <c r="K37" s="109" t="n"/>
      <c r="L37" s="108" t="n"/>
      <c r="M37" s="121">
        <f>IF($C37="","",IF($D37="Gider",$E37,IF($L37&lt;&gt;"",$L37,$H37)))</f>
        <v/>
      </c>
      <c r="N37" s="121">
        <f>IF($C37="","",IF($D37="Gider",$H37,$E37))</f>
        <v/>
      </c>
      <c r="O37" s="226">
        <f>IF($C37="","",DATE(YEAR($C37),MONTH($C37),1))</f>
        <v/>
      </c>
      <c r="P37" s="113">
        <f>IF($C37="","",IF(AND($D37="Gelir",$L37&lt;&gt;"",$T37=""),"TANIMSIZ BORÇLU",IF($T37&lt;&gt;"",IF(OR($E37="",$G37&lt;=0),"EKSİK",IF($I37="Evet","TAHAKKUK NAKİT OLAMAZ",IF($C37&gt;TODAY(),"İLERİ TARİH","TAHAKKUK"))),IF(AND($D37&lt;&gt;"",$E37&lt;&gt;"",$G37&gt;0,$H37&lt;&gt;"",$I37&lt;&gt;""),IF($C37&gt;TODAY(),"İLERİ TARİH",IF(COUNTIF($W$7:$W$1206,$W37)&gt;1,"MÜKERRER?",IF($AD37&gt;0,"KAPALI DÖNEM",IF($I37="Hayır","ÖDENECEK","UYGUN")))),"EKSİK"))))</f>
        <v/>
      </c>
      <c r="Q37" s="6" t="n"/>
      <c r="R37" s="6" t="n"/>
      <c r="S37" s="3">
        <f>IF($L37="","",UPPER(SUBSTITUTE(SUBSTITUTE(SUBSTITUTE(SUBSTITUTE(SUBSTITUTE(SUBSTITUTE(SUBSTITUTE(SUBSTITUTE(SUBSTITUTE(SUBSTITUTE(SUBSTITUTE(SUBSTITUTE(SUBSTITUTE(SUBSTITUTE(SUBSTITUTE(SUBSTITUTE(SUBSTITUTE(SUBSTITUTE(TRIM($L37),"'",""),"İ","I"),"ı","I"),"i","I"),"Ş","S"),"ş","S"),"Ğ","G"),"ğ","G"),"Ü","U"),"ü","U"),"Ö","O"),"ö","O"),"Ç","C"),"ç","C"),".",""),",","")," ",""),"-","")))</f>
        <v/>
      </c>
      <c r="T37" s="3">
        <f>IF(OR($C37="",$D37&lt;&gt;"Gelir",$L37=""),"",IFERROR(INDEX(MUSTERILER!$B$7:$B$106,MATCH($S37,MUSTERILER!$T$7:$T$106,0)),""))</f>
        <v/>
      </c>
      <c r="U37" s="3">
        <f>IF($T37="","",$T37&amp;"|"&amp;COUNTIFS($T$7:$T37,$T37))</f>
        <v/>
      </c>
      <c r="V37" s="3">
        <f>IF($T37="",0,1)</f>
        <v/>
      </c>
      <c r="W37" s="3">
        <f>IF($C37="","",$D37&amp;"|"&amp;$E37&amp;"|"&amp;TEXT($C37,"0")&amp;"|"&amp;TEXT($G37,"0")&amp;"|"&amp;$J37)</f>
        <v/>
      </c>
      <c r="X37" s="226">
        <f>AY_SONU!$B37</f>
        <v/>
      </c>
      <c r="Y37" s="121">
        <f>"Müşteri Carisi  (MÜŞTERİ 360)"</f>
        <v/>
      </c>
      <c r="Z37" s="121">
        <f>"600 Muhasebe Hizmet Geliri  (sözleşme)"</f>
        <v/>
      </c>
      <c r="AA37" s="222">
        <f>AY_SONU!$C37</f>
        <v/>
      </c>
      <c r="AB37" s="222">
        <f>AY_SONU!$D37</f>
        <v/>
      </c>
      <c r="AC37" s="222">
        <f>AY_SONU!$C37-AY_SONU!$D37</f>
        <v/>
      </c>
      <c r="AD37" s="3">
        <f>IF($C37="",0,SUMPRODUCT((AY_SONU!$O$7:$O$42="Evet")*(AY_SONU!$B$7:$B$42=DATE(YEAR($C37),MONTH($C37),1))))</f>
        <v/>
      </c>
    </row>
    <row r="38">
      <c r="A38" s="6" t="n"/>
      <c r="B38" s="113">
        <f>IF($C38="","","GG"&amp;TEXT(ROW()-6,"00000"))</f>
        <v/>
      </c>
      <c r="C38" s="220" t="n">
        <v>46067</v>
      </c>
      <c r="D38" s="108" t="inlineStr">
        <is>
          <t>Gider</t>
        </is>
      </c>
      <c r="E38" s="109" t="inlineStr">
        <is>
          <t>Ulaşım</t>
        </is>
      </c>
      <c r="F38" s="109" t="inlineStr">
        <is>
          <t xml:space="preserve">Taksi </t>
        </is>
      </c>
      <c r="G38" s="221" t="n">
        <v>800</v>
      </c>
      <c r="H38" s="108" t="inlineStr">
        <is>
          <t>Merkez Kasa</t>
        </is>
      </c>
      <c r="I38" s="108" t="inlineStr">
        <is>
          <t>Evet</t>
        </is>
      </c>
      <c r="J38" s="109" t="n"/>
      <c r="K38" s="109" t="n"/>
      <c r="L38" s="108" t="n"/>
      <c r="M38" s="121">
        <f>IF($C38="","",IF($D38="Gider",$E38,IF($L38&lt;&gt;"",$L38,$H38)))</f>
        <v/>
      </c>
      <c r="N38" s="121">
        <f>IF($C38="","",IF($D38="Gider",$H38,$E38))</f>
        <v/>
      </c>
      <c r="O38" s="226">
        <f>IF($C38="","",DATE(YEAR($C38),MONTH($C38),1))</f>
        <v/>
      </c>
      <c r="P38" s="113">
        <f>IF($C38="","",IF(AND($D38="Gelir",$L38&lt;&gt;"",$T38=""),"TANIMSIZ BORÇLU",IF($T38&lt;&gt;"",IF(OR($E38="",$G38&lt;=0),"EKSİK",IF($I38="Evet","TAHAKKUK NAKİT OLAMAZ",IF($C38&gt;TODAY(),"İLERİ TARİH","TAHAKKUK"))),IF(AND($D38&lt;&gt;"",$E38&lt;&gt;"",$G38&gt;0,$H38&lt;&gt;"",$I38&lt;&gt;""),IF($C38&gt;TODAY(),"İLERİ TARİH",IF(COUNTIF($W$7:$W$1206,$W38)&gt;1,"MÜKERRER?",IF($AD38&gt;0,"KAPALI DÖNEM",IF($I38="Hayır","ÖDENECEK","UYGUN")))),"EKSİK"))))</f>
        <v/>
      </c>
      <c r="Q38" s="6" t="n"/>
      <c r="R38" s="6" t="n"/>
      <c r="S38" s="3">
        <f>IF($L38="","",UPPER(SUBSTITUTE(SUBSTITUTE(SUBSTITUTE(SUBSTITUTE(SUBSTITUTE(SUBSTITUTE(SUBSTITUTE(SUBSTITUTE(SUBSTITUTE(SUBSTITUTE(SUBSTITUTE(SUBSTITUTE(SUBSTITUTE(SUBSTITUTE(SUBSTITUTE(SUBSTITUTE(SUBSTITUTE(SUBSTITUTE(TRIM($L38),"'",""),"İ","I"),"ı","I"),"i","I"),"Ş","S"),"ş","S"),"Ğ","G"),"ğ","G"),"Ü","U"),"ü","U"),"Ö","O"),"ö","O"),"Ç","C"),"ç","C"),".",""),",","")," ",""),"-","")))</f>
        <v/>
      </c>
      <c r="T38" s="3">
        <f>IF(OR($C38="",$D38&lt;&gt;"Gelir",$L38=""),"",IFERROR(INDEX(MUSTERILER!$B$7:$B$106,MATCH($S38,MUSTERILER!$T$7:$T$106,0)),""))</f>
        <v/>
      </c>
      <c r="U38" s="3">
        <f>IF($T38="","",$T38&amp;"|"&amp;COUNTIFS($T$7:$T38,$T38))</f>
        <v/>
      </c>
      <c r="V38" s="3">
        <f>IF($T38="",0,1)</f>
        <v/>
      </c>
      <c r="W38" s="3">
        <f>IF($C38="","",$D38&amp;"|"&amp;$E38&amp;"|"&amp;TEXT($C38,"0")&amp;"|"&amp;TEXT($G38,"0")&amp;"|"&amp;$J38)</f>
        <v/>
      </c>
      <c r="X38" s="226">
        <f>AY_SONU!$B38</f>
        <v/>
      </c>
      <c r="Y38" s="121">
        <f>"Müşteri Carisi  (MÜŞTERİ 360)"</f>
        <v/>
      </c>
      <c r="Z38" s="121">
        <f>"600 Muhasebe Hizmet Geliri  (sözleşme)"</f>
        <v/>
      </c>
      <c r="AA38" s="222">
        <f>AY_SONU!$C38</f>
        <v/>
      </c>
      <c r="AB38" s="222">
        <f>AY_SONU!$D38</f>
        <v/>
      </c>
      <c r="AC38" s="222">
        <f>AY_SONU!$C38-AY_SONU!$D38</f>
        <v/>
      </c>
      <c r="AD38" s="3">
        <f>IF($C38="",0,SUMPRODUCT((AY_SONU!$O$7:$O$42="Evet")*(AY_SONU!$B$7:$B$42=DATE(YEAR($C38),MONTH($C38),1))))</f>
        <v/>
      </c>
    </row>
    <row r="39">
      <c r="A39" s="6" t="n"/>
      <c r="B39" s="113">
        <f>IF($C39="","","GG"&amp;TEXT(ROW()-6,"00000"))</f>
        <v/>
      </c>
      <c r="C39" s="220" t="n">
        <v>46069</v>
      </c>
      <c r="D39" s="108" t="inlineStr">
        <is>
          <t>Gider</t>
        </is>
      </c>
      <c r="E39" s="109" t="inlineStr">
        <is>
          <t>Telefon / İnternet</t>
        </is>
      </c>
      <c r="F39" s="109" t="inlineStr">
        <is>
          <t>Ofis Whatsapp Hattı Şubat</t>
        </is>
      </c>
      <c r="G39" s="221" t="n">
        <v>800</v>
      </c>
      <c r="H39" s="108" t="inlineStr">
        <is>
          <t>Merkez Kasa</t>
        </is>
      </c>
      <c r="I39" s="108" t="inlineStr">
        <is>
          <t>Evet</t>
        </is>
      </c>
      <c r="J39" s="109" t="n"/>
      <c r="K39" s="109" t="n"/>
      <c r="L39" s="108" t="n"/>
      <c r="M39" s="121">
        <f>IF($C39="","",IF($D39="Gider",$E39,IF($L39&lt;&gt;"",$L39,$H39)))</f>
        <v/>
      </c>
      <c r="N39" s="121">
        <f>IF($C39="","",IF($D39="Gider",$H39,$E39))</f>
        <v/>
      </c>
      <c r="O39" s="226">
        <f>IF($C39="","",DATE(YEAR($C39),MONTH($C39),1))</f>
        <v/>
      </c>
      <c r="P39" s="113">
        <f>IF($C39="","",IF(AND($D39="Gelir",$L39&lt;&gt;"",$T39=""),"TANIMSIZ BORÇLU",IF($T39&lt;&gt;"",IF(OR($E39="",$G39&lt;=0),"EKSİK",IF($I39="Evet","TAHAKKUK NAKİT OLAMAZ",IF($C39&gt;TODAY(),"İLERİ TARİH","TAHAKKUK"))),IF(AND($D39&lt;&gt;"",$E39&lt;&gt;"",$G39&gt;0,$H39&lt;&gt;"",$I39&lt;&gt;""),IF($C39&gt;TODAY(),"İLERİ TARİH",IF(COUNTIF($W$7:$W$1206,$W39)&gt;1,"MÜKERRER?",IF($AD39&gt;0,"KAPALI DÖNEM",IF($I39="Hayır","ÖDENECEK","UYGUN")))),"EKSİK"))))</f>
        <v/>
      </c>
      <c r="Q39" s="6" t="n"/>
      <c r="R39" s="6" t="n"/>
      <c r="S39" s="3">
        <f>IF($L39="","",UPPER(SUBSTITUTE(SUBSTITUTE(SUBSTITUTE(SUBSTITUTE(SUBSTITUTE(SUBSTITUTE(SUBSTITUTE(SUBSTITUTE(SUBSTITUTE(SUBSTITUTE(SUBSTITUTE(SUBSTITUTE(SUBSTITUTE(SUBSTITUTE(SUBSTITUTE(SUBSTITUTE(SUBSTITUTE(SUBSTITUTE(TRIM($L39),"'",""),"İ","I"),"ı","I"),"i","I"),"Ş","S"),"ş","S"),"Ğ","G"),"ğ","G"),"Ü","U"),"ü","U"),"Ö","O"),"ö","O"),"Ç","C"),"ç","C"),".",""),",","")," ",""),"-","")))</f>
        <v/>
      </c>
      <c r="T39" s="3">
        <f>IF(OR($C39="",$D39&lt;&gt;"Gelir",$L39=""),"",IFERROR(INDEX(MUSTERILER!$B$7:$B$106,MATCH($S39,MUSTERILER!$T$7:$T$106,0)),""))</f>
        <v/>
      </c>
      <c r="U39" s="3">
        <f>IF($T39="","",$T39&amp;"|"&amp;COUNTIFS($T$7:$T39,$T39))</f>
        <v/>
      </c>
      <c r="V39" s="3">
        <f>IF($T39="",0,1)</f>
        <v/>
      </c>
      <c r="W39" s="3">
        <f>IF($C39="","",$D39&amp;"|"&amp;$E39&amp;"|"&amp;TEXT($C39,"0")&amp;"|"&amp;TEXT($G39,"0")&amp;"|"&amp;$J39)</f>
        <v/>
      </c>
      <c r="X39" s="226">
        <f>AY_SONU!$B39</f>
        <v/>
      </c>
      <c r="Y39" s="121">
        <f>"Müşteri Carisi  (MÜŞTERİ 360)"</f>
        <v/>
      </c>
      <c r="Z39" s="121">
        <f>"600 Muhasebe Hizmet Geliri  (sözleşme)"</f>
        <v/>
      </c>
      <c r="AA39" s="222">
        <f>AY_SONU!$C39</f>
        <v/>
      </c>
      <c r="AB39" s="222">
        <f>AY_SONU!$D39</f>
        <v/>
      </c>
      <c r="AC39" s="222">
        <f>AY_SONU!$C39-AY_SONU!$D39</f>
        <v/>
      </c>
      <c r="AD39" s="3">
        <f>IF($C39="",0,SUMPRODUCT((AY_SONU!$O$7:$O$42="Evet")*(AY_SONU!$B$7:$B$42=DATE(YEAR($C39),MONTH($C39),1))))</f>
        <v/>
      </c>
    </row>
    <row r="40">
      <c r="A40" s="6" t="n"/>
      <c r="B40" s="113">
        <f>IF($C40="","","GG"&amp;TEXT(ROW()-6,"00000"))</f>
        <v/>
      </c>
      <c r="C40" s="220" t="n">
        <v>46070</v>
      </c>
      <c r="D40" s="108" t="inlineStr">
        <is>
          <t>Gider</t>
        </is>
      </c>
      <c r="E40" s="109" t="inlineStr">
        <is>
          <t>Temsil / Ağırlama</t>
        </is>
      </c>
      <c r="F40" s="109" t="inlineStr">
        <is>
          <t>2 Adet Mutfak Tüpü</t>
        </is>
      </c>
      <c r="G40" s="221" t="n">
        <v>2400</v>
      </c>
      <c r="H40" s="108" t="inlineStr">
        <is>
          <t>Merkez Kasa</t>
        </is>
      </c>
      <c r="I40" s="108" t="inlineStr">
        <is>
          <t>Evet</t>
        </is>
      </c>
      <c r="J40" s="109" t="n"/>
      <c r="K40" s="109" t="n"/>
      <c r="L40" s="108" t="n"/>
      <c r="M40" s="121">
        <f>IF($C40="","",IF($D40="Gider",$E40,IF($L40&lt;&gt;"",$L40,$H40)))</f>
        <v/>
      </c>
      <c r="N40" s="121">
        <f>IF($C40="","",IF($D40="Gider",$H40,$E40))</f>
        <v/>
      </c>
      <c r="O40" s="226">
        <f>IF($C40="","",DATE(YEAR($C40),MONTH($C40),1))</f>
        <v/>
      </c>
      <c r="P40" s="113">
        <f>IF($C40="","",IF(AND($D40="Gelir",$L40&lt;&gt;"",$T40=""),"TANIMSIZ BORÇLU",IF($T40&lt;&gt;"",IF(OR($E40="",$G40&lt;=0),"EKSİK",IF($I40="Evet","TAHAKKUK NAKİT OLAMAZ",IF($C40&gt;TODAY(),"İLERİ TARİH","TAHAKKUK"))),IF(AND($D40&lt;&gt;"",$E40&lt;&gt;"",$G40&gt;0,$H40&lt;&gt;"",$I40&lt;&gt;""),IF($C40&gt;TODAY(),"İLERİ TARİH",IF(COUNTIF($W$7:$W$1206,$W40)&gt;1,"MÜKERRER?",IF($AD40&gt;0,"KAPALI DÖNEM",IF($I40="Hayır","ÖDENECEK","UYGUN")))),"EKSİK"))))</f>
        <v/>
      </c>
      <c r="Q40" s="6" t="n"/>
      <c r="R40" s="6" t="n"/>
      <c r="S40" s="3">
        <f>IF($L40="","",UPPER(SUBSTITUTE(SUBSTITUTE(SUBSTITUTE(SUBSTITUTE(SUBSTITUTE(SUBSTITUTE(SUBSTITUTE(SUBSTITUTE(SUBSTITUTE(SUBSTITUTE(SUBSTITUTE(SUBSTITUTE(SUBSTITUTE(SUBSTITUTE(SUBSTITUTE(SUBSTITUTE(SUBSTITUTE(SUBSTITUTE(TRIM($L40),"'",""),"İ","I"),"ı","I"),"i","I"),"Ş","S"),"ş","S"),"Ğ","G"),"ğ","G"),"Ü","U"),"ü","U"),"Ö","O"),"ö","O"),"Ç","C"),"ç","C"),".",""),",","")," ",""),"-","")))</f>
        <v/>
      </c>
      <c r="T40" s="3">
        <f>IF(OR($C40="",$D40&lt;&gt;"Gelir",$L40=""),"",IFERROR(INDEX(MUSTERILER!$B$7:$B$106,MATCH($S40,MUSTERILER!$T$7:$T$106,0)),""))</f>
        <v/>
      </c>
      <c r="U40" s="3">
        <f>IF($T40="","",$T40&amp;"|"&amp;COUNTIFS($T$7:$T40,$T40))</f>
        <v/>
      </c>
      <c r="V40" s="3">
        <f>IF($T40="",0,1)</f>
        <v/>
      </c>
      <c r="W40" s="3">
        <f>IF($C40="","",$D40&amp;"|"&amp;$E40&amp;"|"&amp;TEXT($C40,"0")&amp;"|"&amp;TEXT($G40,"0")&amp;"|"&amp;$J40)</f>
        <v/>
      </c>
      <c r="X40" s="226">
        <f>AY_SONU!$B40</f>
        <v/>
      </c>
      <c r="Y40" s="121">
        <f>"Müşteri Carisi  (MÜŞTERİ 360)"</f>
        <v/>
      </c>
      <c r="Z40" s="121">
        <f>"600 Muhasebe Hizmet Geliri  (sözleşme)"</f>
        <v/>
      </c>
      <c r="AA40" s="222">
        <f>AY_SONU!$C40</f>
        <v/>
      </c>
      <c r="AB40" s="222">
        <f>AY_SONU!$D40</f>
        <v/>
      </c>
      <c r="AC40" s="222">
        <f>AY_SONU!$C40-AY_SONU!$D40</f>
        <v/>
      </c>
      <c r="AD40" s="3">
        <f>IF($C40="",0,SUMPRODUCT((AY_SONU!$O$7:$O$42="Evet")*(AY_SONU!$B$7:$B$42=DATE(YEAR($C40),MONTH($C40),1))))</f>
        <v/>
      </c>
    </row>
    <row r="41">
      <c r="A41" s="6" t="n"/>
      <c r="B41" s="113">
        <f>IF($C41="","","GG"&amp;TEXT(ROW()-6,"00000"))</f>
        <v/>
      </c>
      <c r="C41" s="220" t="n">
        <v>46071</v>
      </c>
      <c r="D41" s="108" t="inlineStr">
        <is>
          <t>Gider</t>
        </is>
      </c>
      <c r="E41" s="109" t="inlineStr">
        <is>
          <t>Personel</t>
        </is>
      </c>
      <c r="F41" s="109" t="inlineStr">
        <is>
          <t>Zeynep Hanım Ramazan Primi</t>
        </is>
      </c>
      <c r="G41" s="221" t="n">
        <v>5000</v>
      </c>
      <c r="H41" s="108" t="inlineStr">
        <is>
          <t>Merkez Kasa</t>
        </is>
      </c>
      <c r="I41" s="108" t="inlineStr">
        <is>
          <t>Evet</t>
        </is>
      </c>
      <c r="J41" s="109" t="n"/>
      <c r="K41" s="109" t="n"/>
      <c r="L41" s="108" t="n"/>
      <c r="M41" s="121">
        <f>IF($C41="","",IF($D41="Gider",$E41,IF($L41&lt;&gt;"",$L41,$H41)))</f>
        <v/>
      </c>
      <c r="N41" s="121">
        <f>IF($C41="","",IF($D41="Gider",$H41,$E41))</f>
        <v/>
      </c>
      <c r="O41" s="226">
        <f>IF($C41="","",DATE(YEAR($C41),MONTH($C41),1))</f>
        <v/>
      </c>
      <c r="P41" s="113">
        <f>IF($C41="","",IF(AND($D41="Gelir",$L41&lt;&gt;"",$T41=""),"TANIMSIZ BORÇLU",IF($T41&lt;&gt;"",IF(OR($E41="",$G41&lt;=0),"EKSİK",IF($I41="Evet","TAHAKKUK NAKİT OLAMAZ",IF($C41&gt;TODAY(),"İLERİ TARİH","TAHAKKUK"))),IF(AND($D41&lt;&gt;"",$E41&lt;&gt;"",$G41&gt;0,$H41&lt;&gt;"",$I41&lt;&gt;""),IF($C41&gt;TODAY(),"İLERİ TARİH",IF(COUNTIF($W$7:$W$1206,$W41)&gt;1,"MÜKERRER?",IF($AD41&gt;0,"KAPALI DÖNEM",IF($I41="Hayır","ÖDENECEK","UYGUN")))),"EKSİK"))))</f>
        <v/>
      </c>
      <c r="Q41" s="6" t="n"/>
      <c r="R41" s="6" t="n"/>
      <c r="S41" s="3">
        <f>IF($L41="","",UPPER(SUBSTITUTE(SUBSTITUTE(SUBSTITUTE(SUBSTITUTE(SUBSTITUTE(SUBSTITUTE(SUBSTITUTE(SUBSTITUTE(SUBSTITUTE(SUBSTITUTE(SUBSTITUTE(SUBSTITUTE(SUBSTITUTE(SUBSTITUTE(SUBSTITUTE(SUBSTITUTE(SUBSTITUTE(SUBSTITUTE(TRIM($L41),"'",""),"İ","I"),"ı","I"),"i","I"),"Ş","S"),"ş","S"),"Ğ","G"),"ğ","G"),"Ü","U"),"ü","U"),"Ö","O"),"ö","O"),"Ç","C"),"ç","C"),".",""),",","")," ",""),"-","")))</f>
        <v/>
      </c>
      <c r="T41" s="3">
        <f>IF(OR($C41="",$D41&lt;&gt;"Gelir",$L41=""),"",IFERROR(INDEX(MUSTERILER!$B$7:$B$106,MATCH($S41,MUSTERILER!$T$7:$T$106,0)),""))</f>
        <v/>
      </c>
      <c r="U41" s="3">
        <f>IF($T41="","",$T41&amp;"|"&amp;COUNTIFS($T$7:$T41,$T41))</f>
        <v/>
      </c>
      <c r="V41" s="3">
        <f>IF($T41="",0,1)</f>
        <v/>
      </c>
      <c r="W41" s="3">
        <f>IF($C41="","",$D41&amp;"|"&amp;$E41&amp;"|"&amp;TEXT($C41,"0")&amp;"|"&amp;TEXT($G41,"0")&amp;"|"&amp;$J41)</f>
        <v/>
      </c>
      <c r="X41" s="226">
        <f>AY_SONU!$B41</f>
        <v/>
      </c>
      <c r="Y41" s="121">
        <f>"Müşteri Carisi  (MÜŞTERİ 360)"</f>
        <v/>
      </c>
      <c r="Z41" s="121">
        <f>"600 Muhasebe Hizmet Geliri  (sözleşme)"</f>
        <v/>
      </c>
      <c r="AA41" s="222">
        <f>AY_SONU!$C41</f>
        <v/>
      </c>
      <c r="AB41" s="222">
        <f>AY_SONU!$D41</f>
        <v/>
      </c>
      <c r="AC41" s="222">
        <f>AY_SONU!$C41-AY_SONU!$D41</f>
        <v/>
      </c>
      <c r="AD41" s="3">
        <f>IF($C41="",0,SUMPRODUCT((AY_SONU!$O$7:$O$42="Evet")*(AY_SONU!$B$7:$B$42=DATE(YEAR($C41),MONTH($C41),1))))</f>
        <v/>
      </c>
    </row>
    <row r="42">
      <c r="A42" s="6" t="n"/>
      <c r="B42" s="113">
        <f>IF($C42="","","GG"&amp;TEXT(ROW()-6,"00000"))</f>
        <v/>
      </c>
      <c r="C42" s="220" t="n">
        <v>46072</v>
      </c>
      <c r="D42" s="108" t="inlineStr">
        <is>
          <t>Gider</t>
        </is>
      </c>
      <c r="E42" s="109" t="inlineStr">
        <is>
          <t>Vergi / Harç</t>
        </is>
      </c>
      <c r="F42" s="109" t="inlineStr">
        <is>
          <t>Aralık KDV Ödemesi</t>
        </is>
      </c>
      <c r="G42" s="221" t="n">
        <v>136439.58</v>
      </c>
      <c r="H42" s="108" t="inlineStr">
        <is>
          <t>Merkez Kasa</t>
        </is>
      </c>
      <c r="I42" s="108" t="inlineStr">
        <is>
          <t>Evet</t>
        </is>
      </c>
      <c r="J42" s="109" t="n"/>
      <c r="K42" s="109" t="n"/>
      <c r="L42" s="108" t="n"/>
      <c r="M42" s="121">
        <f>IF($C42="","",IF($D42="Gider",$E42,IF($L42&lt;&gt;"",$L42,$H42)))</f>
        <v/>
      </c>
      <c r="N42" s="121">
        <f>IF($C42="","",IF($D42="Gider",$H42,$E42))</f>
        <v/>
      </c>
      <c r="O42" s="226">
        <f>IF($C42="","",DATE(YEAR($C42),MONTH($C42),1))</f>
        <v/>
      </c>
      <c r="P42" s="113">
        <f>IF($C42="","",IF(AND($D42="Gelir",$L42&lt;&gt;"",$T42=""),"TANIMSIZ BORÇLU",IF($T42&lt;&gt;"",IF(OR($E42="",$G42&lt;=0),"EKSİK",IF($I42="Evet","TAHAKKUK NAKİT OLAMAZ",IF($C42&gt;TODAY(),"İLERİ TARİH","TAHAKKUK"))),IF(AND($D42&lt;&gt;"",$E42&lt;&gt;"",$G42&gt;0,$H42&lt;&gt;"",$I42&lt;&gt;""),IF($C42&gt;TODAY(),"İLERİ TARİH",IF(COUNTIF($W$7:$W$1206,$W42)&gt;1,"MÜKERRER?",IF($AD42&gt;0,"KAPALI DÖNEM",IF($I42="Hayır","ÖDENECEK","UYGUN")))),"EKSİK"))))</f>
        <v/>
      </c>
      <c r="Q42" s="6" t="n"/>
      <c r="R42" s="6" t="n"/>
      <c r="S42" s="3">
        <f>IF($L42="","",UPPER(SUBSTITUTE(SUBSTITUTE(SUBSTITUTE(SUBSTITUTE(SUBSTITUTE(SUBSTITUTE(SUBSTITUTE(SUBSTITUTE(SUBSTITUTE(SUBSTITUTE(SUBSTITUTE(SUBSTITUTE(SUBSTITUTE(SUBSTITUTE(SUBSTITUTE(SUBSTITUTE(SUBSTITUTE(SUBSTITUTE(TRIM($L42),"'",""),"İ","I"),"ı","I"),"i","I"),"Ş","S"),"ş","S"),"Ğ","G"),"ğ","G"),"Ü","U"),"ü","U"),"Ö","O"),"ö","O"),"Ç","C"),"ç","C"),".",""),",","")," ",""),"-","")))</f>
        <v/>
      </c>
      <c r="T42" s="3">
        <f>IF(OR($C42="",$D42&lt;&gt;"Gelir",$L42=""),"",IFERROR(INDEX(MUSTERILER!$B$7:$B$106,MATCH($S42,MUSTERILER!$T$7:$T$106,0)),""))</f>
        <v/>
      </c>
      <c r="U42" s="3">
        <f>IF($T42="","",$T42&amp;"|"&amp;COUNTIFS($T$7:$T42,$T42))</f>
        <v/>
      </c>
      <c r="V42" s="3">
        <f>IF($T42="",0,1)</f>
        <v/>
      </c>
      <c r="W42" s="3">
        <f>IF($C42="","",$D42&amp;"|"&amp;$E42&amp;"|"&amp;TEXT($C42,"0")&amp;"|"&amp;TEXT($G42,"0")&amp;"|"&amp;$J42)</f>
        <v/>
      </c>
      <c r="X42" s="226">
        <f>AY_SONU!$B42</f>
        <v/>
      </c>
      <c r="Y42" s="121">
        <f>"Müşteri Carisi  (MÜŞTERİ 360)"</f>
        <v/>
      </c>
      <c r="Z42" s="121">
        <f>"600 Muhasebe Hizmet Geliri  (sözleşme)"</f>
        <v/>
      </c>
      <c r="AA42" s="222">
        <f>AY_SONU!$C42</f>
        <v/>
      </c>
      <c r="AB42" s="222">
        <f>AY_SONU!$D42</f>
        <v/>
      </c>
      <c r="AC42" s="222">
        <f>AY_SONU!$C42-AY_SONU!$D42</f>
        <v/>
      </c>
      <c r="AD42" s="3">
        <f>IF($C42="",0,SUMPRODUCT((AY_SONU!$O$7:$O$42="Evet")*(AY_SONU!$B$7:$B$42=DATE(YEAR($C42),MONTH($C42),1))))</f>
        <v/>
      </c>
    </row>
    <row r="43">
      <c r="A43" s="6" t="n"/>
      <c r="B43" s="113">
        <f>IF($C43="","","GG"&amp;TEXT(ROW()-6,"00000"))</f>
        <v/>
      </c>
      <c r="C43" s="220" t="n">
        <v>46072</v>
      </c>
      <c r="D43" s="108" t="inlineStr">
        <is>
          <t>Gider</t>
        </is>
      </c>
      <c r="E43" s="109" t="inlineStr">
        <is>
          <t>Vergi / Harç</t>
        </is>
      </c>
      <c r="F43" s="109" t="inlineStr">
        <is>
          <t>Geçici Vergi Damga Ödeme</t>
        </is>
      </c>
      <c r="G43" s="221" t="n">
        <v>1088.15</v>
      </c>
      <c r="H43" s="108" t="inlineStr">
        <is>
          <t>Merkez Kasa</t>
        </is>
      </c>
      <c r="I43" s="108" t="inlineStr">
        <is>
          <t>Evet</t>
        </is>
      </c>
      <c r="J43" s="109" t="n"/>
      <c r="K43" s="109" t="n"/>
      <c r="L43" s="108" t="n"/>
      <c r="M43" s="121">
        <f>IF($C43="","",IF($D43="Gider",$E43,IF($L43&lt;&gt;"",$L43,$H43)))</f>
        <v/>
      </c>
      <c r="N43" s="121">
        <f>IF($C43="","",IF($D43="Gider",$H43,$E43))</f>
        <v/>
      </c>
      <c r="O43" s="226">
        <f>IF($C43="","",DATE(YEAR($C43),MONTH($C43),1))</f>
        <v/>
      </c>
      <c r="P43" s="113">
        <f>IF($C43="","",IF(AND($D43="Gelir",$L43&lt;&gt;"",$T43=""),"TANIMSIZ BORÇLU",IF($T43&lt;&gt;"",IF(OR($E43="",$G43&lt;=0),"EKSİK",IF($I43="Evet","TAHAKKUK NAKİT OLAMAZ",IF($C43&gt;TODAY(),"İLERİ TARİH","TAHAKKUK"))),IF(AND($D43&lt;&gt;"",$E43&lt;&gt;"",$G43&gt;0,$H43&lt;&gt;"",$I43&lt;&gt;""),IF($C43&gt;TODAY(),"İLERİ TARİH",IF(COUNTIF($W$7:$W$1206,$W43)&gt;1,"MÜKERRER?",IF($AD43&gt;0,"KAPALI DÖNEM",IF($I43="Hayır","ÖDENECEK","UYGUN")))),"EKSİK"))))</f>
        <v/>
      </c>
      <c r="Q43" s="6" t="n"/>
      <c r="R43" s="6" t="n"/>
      <c r="S43" s="3">
        <f>IF($L43="","",UPPER(SUBSTITUTE(SUBSTITUTE(SUBSTITUTE(SUBSTITUTE(SUBSTITUTE(SUBSTITUTE(SUBSTITUTE(SUBSTITUTE(SUBSTITUTE(SUBSTITUTE(SUBSTITUTE(SUBSTITUTE(SUBSTITUTE(SUBSTITUTE(SUBSTITUTE(SUBSTITUTE(SUBSTITUTE(SUBSTITUTE(TRIM($L43),"'",""),"İ","I"),"ı","I"),"i","I"),"Ş","S"),"ş","S"),"Ğ","G"),"ğ","G"),"Ü","U"),"ü","U"),"Ö","O"),"ö","O"),"Ç","C"),"ç","C"),".",""),",","")," ",""),"-","")))</f>
        <v/>
      </c>
      <c r="T43" s="3">
        <f>IF(OR($C43="",$D43&lt;&gt;"Gelir",$L43=""),"",IFERROR(INDEX(MUSTERILER!$B$7:$B$106,MATCH($S43,MUSTERILER!$T$7:$T$106,0)),""))</f>
        <v/>
      </c>
      <c r="U43" s="3">
        <f>IF($T43="","",$T43&amp;"|"&amp;COUNTIFS($T$7:$T43,$T43))</f>
        <v/>
      </c>
      <c r="V43" s="3">
        <f>IF($T43="",0,1)</f>
        <v/>
      </c>
      <c r="W43" s="3">
        <f>IF($C43="","",$D43&amp;"|"&amp;$E43&amp;"|"&amp;TEXT($C43,"0")&amp;"|"&amp;TEXT($G43,"0")&amp;"|"&amp;$J43)</f>
        <v/>
      </c>
      <c r="X43" s="3" t="n"/>
      <c r="Y43" s="3" t="n"/>
      <c r="Z43" s="3" t="n"/>
      <c r="AA43" s="3" t="n"/>
      <c r="AB43" s="3" t="n"/>
      <c r="AC43" s="3" t="n"/>
      <c r="AD43" s="3">
        <f>IF($C43="",0,SUMPRODUCT((AY_SONU!$O$7:$O$42="Evet")*(AY_SONU!$B$7:$B$42=DATE(YEAR($C43),MONTH($C43),1))))</f>
        <v/>
      </c>
    </row>
    <row r="44">
      <c r="A44" s="6" t="n"/>
      <c r="B44" s="113">
        <f>IF($C44="","","GG"&amp;TEXT(ROW()-6,"00000"))</f>
        <v/>
      </c>
      <c r="C44" s="220" t="n">
        <v>46081</v>
      </c>
      <c r="D44" s="108" t="inlineStr">
        <is>
          <t>Gider</t>
        </is>
      </c>
      <c r="E44" s="109" t="inlineStr">
        <is>
          <t>Vergi / Harç</t>
        </is>
      </c>
      <c r="F44" s="109" t="inlineStr">
        <is>
          <t>Şubat Bağkur Ödemesi</t>
        </is>
      </c>
      <c r="G44" s="221" t="n">
        <v>11810</v>
      </c>
      <c r="H44" s="108" t="inlineStr">
        <is>
          <t>Merkez Kasa</t>
        </is>
      </c>
      <c r="I44" s="108" t="inlineStr">
        <is>
          <t>Evet</t>
        </is>
      </c>
      <c r="J44" s="109" t="n"/>
      <c r="K44" s="109" t="n"/>
      <c r="L44" s="108" t="n"/>
      <c r="M44" s="121">
        <f>IF($C44="","",IF($D44="Gider",$E44,IF($L44&lt;&gt;"",$L44,$H44)))</f>
        <v/>
      </c>
      <c r="N44" s="121">
        <f>IF($C44="","",IF($D44="Gider",$H44,$E44))</f>
        <v/>
      </c>
      <c r="O44" s="226">
        <f>IF($C44="","",DATE(YEAR($C44),MONTH($C44),1))</f>
        <v/>
      </c>
      <c r="P44" s="113">
        <f>IF($C44="","",IF(AND($D44="Gelir",$L44&lt;&gt;"",$T44=""),"TANIMSIZ BORÇLU",IF($T44&lt;&gt;"",IF(OR($E44="",$G44&lt;=0),"EKSİK",IF($I44="Evet","TAHAKKUK NAKİT OLAMAZ",IF($C44&gt;TODAY(),"İLERİ TARİH","TAHAKKUK"))),IF(AND($D44&lt;&gt;"",$E44&lt;&gt;"",$G44&gt;0,$H44&lt;&gt;"",$I44&lt;&gt;""),IF($C44&gt;TODAY(),"İLERİ TARİH",IF(COUNTIF($W$7:$W$1206,$W44)&gt;1,"MÜKERRER?",IF($AD44&gt;0,"KAPALI DÖNEM",IF($I44="Hayır","ÖDENECEK","UYGUN")))),"EKSİK"))))</f>
        <v/>
      </c>
      <c r="Q44" s="6" t="n"/>
      <c r="R44" s="6" t="n"/>
      <c r="S44" s="3">
        <f>IF($L44="","",UPPER(SUBSTITUTE(SUBSTITUTE(SUBSTITUTE(SUBSTITUTE(SUBSTITUTE(SUBSTITUTE(SUBSTITUTE(SUBSTITUTE(SUBSTITUTE(SUBSTITUTE(SUBSTITUTE(SUBSTITUTE(SUBSTITUTE(SUBSTITUTE(SUBSTITUTE(SUBSTITUTE(SUBSTITUTE(SUBSTITUTE(TRIM($L44),"'",""),"İ","I"),"ı","I"),"i","I"),"Ş","S"),"ş","S"),"Ğ","G"),"ğ","G"),"Ü","U"),"ü","U"),"Ö","O"),"ö","O"),"Ç","C"),"ç","C"),".",""),",","")," ",""),"-","")))</f>
        <v/>
      </c>
      <c r="T44" s="3">
        <f>IF(OR($C44="",$D44&lt;&gt;"Gelir",$L44=""),"",IFERROR(INDEX(MUSTERILER!$B$7:$B$106,MATCH($S44,MUSTERILER!$T$7:$T$106,0)),""))</f>
        <v/>
      </c>
      <c r="U44" s="3">
        <f>IF($T44="","",$T44&amp;"|"&amp;COUNTIFS($T$7:$T44,$T44))</f>
        <v/>
      </c>
      <c r="V44" s="3">
        <f>IF($T44="",0,1)</f>
        <v/>
      </c>
      <c r="W44" s="3">
        <f>IF($C44="","",$D44&amp;"|"&amp;$E44&amp;"|"&amp;TEXT($C44,"0")&amp;"|"&amp;TEXT($G44,"0")&amp;"|"&amp;$J44)</f>
        <v/>
      </c>
      <c r="X44" s="3" t="n"/>
      <c r="Y44" s="3" t="n"/>
      <c r="Z44" s="3" t="n"/>
      <c r="AA44" s="3" t="n"/>
      <c r="AB44" s="3" t="n"/>
      <c r="AC44" s="3" t="n"/>
      <c r="AD44" s="3">
        <f>IF($C44="",0,SUMPRODUCT((AY_SONU!$O$7:$O$42="Evet")*(AY_SONU!$B$7:$B$42=DATE(YEAR($C44),MONTH($C44),1))))</f>
        <v/>
      </c>
    </row>
    <row r="45">
      <c r="A45" s="6" t="n"/>
      <c r="B45" s="113">
        <f>IF($C45="","","GG"&amp;TEXT(ROW()-6,"00000"))</f>
        <v/>
      </c>
      <c r="C45" s="220" t="n">
        <v>46083</v>
      </c>
      <c r="D45" s="108" t="inlineStr">
        <is>
          <t>Gider</t>
        </is>
      </c>
      <c r="E45" s="109" t="inlineStr">
        <is>
          <t>Personel</t>
        </is>
      </c>
      <c r="F45" s="109" t="inlineStr">
        <is>
          <t>Zeynep Hanım Maaş Mahsuben</t>
        </is>
      </c>
      <c r="G45" s="221" t="n">
        <v>10000</v>
      </c>
      <c r="H45" s="108" t="inlineStr">
        <is>
          <t>Merkez Kasa</t>
        </is>
      </c>
      <c r="I45" s="108" t="inlineStr">
        <is>
          <t>Evet</t>
        </is>
      </c>
      <c r="J45" s="109" t="n"/>
      <c r="K45" s="109" t="n"/>
      <c r="L45" s="108" t="n"/>
      <c r="M45" s="121">
        <f>IF($C45="","",IF($D45="Gider",$E45,IF($L45&lt;&gt;"",$L45,$H45)))</f>
        <v/>
      </c>
      <c r="N45" s="121">
        <f>IF($C45="","",IF($D45="Gider",$H45,$E45))</f>
        <v/>
      </c>
      <c r="O45" s="226">
        <f>IF($C45="","",DATE(YEAR($C45),MONTH($C45),1))</f>
        <v/>
      </c>
      <c r="P45" s="113">
        <f>IF($C45="","",IF(AND($D45="Gelir",$L45&lt;&gt;"",$T45=""),"TANIMSIZ BORÇLU",IF($T45&lt;&gt;"",IF(OR($E45="",$G45&lt;=0),"EKSİK",IF($I45="Evet","TAHAKKUK NAKİT OLAMAZ",IF($C45&gt;TODAY(),"İLERİ TARİH","TAHAKKUK"))),IF(AND($D45&lt;&gt;"",$E45&lt;&gt;"",$G45&gt;0,$H45&lt;&gt;"",$I45&lt;&gt;""),IF($C45&gt;TODAY(),"İLERİ TARİH",IF(COUNTIF($W$7:$W$1206,$W45)&gt;1,"MÜKERRER?",IF($AD45&gt;0,"KAPALI DÖNEM",IF($I45="Hayır","ÖDENECEK","UYGUN")))),"EKSİK"))))</f>
        <v/>
      </c>
      <c r="Q45" s="6" t="n"/>
      <c r="R45" s="6" t="n"/>
      <c r="S45" s="3">
        <f>IF($L45="","",UPPER(SUBSTITUTE(SUBSTITUTE(SUBSTITUTE(SUBSTITUTE(SUBSTITUTE(SUBSTITUTE(SUBSTITUTE(SUBSTITUTE(SUBSTITUTE(SUBSTITUTE(SUBSTITUTE(SUBSTITUTE(SUBSTITUTE(SUBSTITUTE(SUBSTITUTE(SUBSTITUTE(SUBSTITUTE(SUBSTITUTE(TRIM($L45),"'",""),"İ","I"),"ı","I"),"i","I"),"Ş","S"),"ş","S"),"Ğ","G"),"ğ","G"),"Ü","U"),"ü","U"),"Ö","O"),"ö","O"),"Ç","C"),"ç","C"),".",""),",","")," ",""),"-","")))</f>
        <v/>
      </c>
      <c r="T45" s="3">
        <f>IF(OR($C45="",$D45&lt;&gt;"Gelir",$L45=""),"",IFERROR(INDEX(MUSTERILER!$B$7:$B$106,MATCH($S45,MUSTERILER!$T$7:$T$106,0)),""))</f>
        <v/>
      </c>
      <c r="U45" s="3">
        <f>IF($T45="","",$T45&amp;"|"&amp;COUNTIFS($T$7:$T45,$T45))</f>
        <v/>
      </c>
      <c r="V45" s="3">
        <f>IF($T45="",0,1)</f>
        <v/>
      </c>
      <c r="W45" s="3">
        <f>IF($C45="","",$D45&amp;"|"&amp;$E45&amp;"|"&amp;TEXT($C45,"0")&amp;"|"&amp;TEXT($G45,"0")&amp;"|"&amp;$J45)</f>
        <v/>
      </c>
      <c r="X45" s="3" t="n"/>
      <c r="Y45" s="3" t="n"/>
      <c r="Z45" s="3" t="n"/>
      <c r="AA45" s="3" t="n"/>
      <c r="AB45" s="3" t="n"/>
      <c r="AC45" s="3" t="n"/>
      <c r="AD45" s="3">
        <f>IF($C45="",0,SUMPRODUCT((AY_SONU!$O$7:$O$42="Evet")*(AY_SONU!$B$7:$B$42=DATE(YEAR($C45),MONTH($C45),1))))</f>
        <v/>
      </c>
    </row>
    <row r="46">
      <c r="A46" s="6" t="n"/>
      <c r="B46" s="113">
        <f>IF($C46="","","GG"&amp;TEXT(ROW()-6,"00000"))</f>
        <v/>
      </c>
      <c r="C46" s="220" t="n">
        <v>46083</v>
      </c>
      <c r="D46" s="108" t="inlineStr">
        <is>
          <t>Gider</t>
        </is>
      </c>
      <c r="E46" s="109" t="inlineStr">
        <is>
          <t>Temsil / Ağırlama</t>
        </is>
      </c>
      <c r="F46" s="109" t="inlineStr">
        <is>
          <t>Mutfak Gereci</t>
        </is>
      </c>
      <c r="G46" s="221" t="n">
        <v>1500</v>
      </c>
      <c r="H46" s="108" t="inlineStr">
        <is>
          <t>Merkez Kasa</t>
        </is>
      </c>
      <c r="I46" s="108" t="inlineStr">
        <is>
          <t>Evet</t>
        </is>
      </c>
      <c r="J46" s="109" t="n"/>
      <c r="K46" s="109" t="n"/>
      <c r="L46" s="108" t="n"/>
      <c r="M46" s="121">
        <f>IF($C46="","",IF($D46="Gider",$E46,IF($L46&lt;&gt;"",$L46,$H46)))</f>
        <v/>
      </c>
      <c r="N46" s="121">
        <f>IF($C46="","",IF($D46="Gider",$H46,$E46))</f>
        <v/>
      </c>
      <c r="O46" s="226">
        <f>IF($C46="","",DATE(YEAR($C46),MONTH($C46),1))</f>
        <v/>
      </c>
      <c r="P46" s="113">
        <f>IF($C46="","",IF(AND($D46="Gelir",$L46&lt;&gt;"",$T46=""),"TANIMSIZ BORÇLU",IF($T46&lt;&gt;"",IF(OR($E46="",$G46&lt;=0),"EKSİK",IF($I46="Evet","TAHAKKUK NAKİT OLAMAZ",IF($C46&gt;TODAY(),"İLERİ TARİH","TAHAKKUK"))),IF(AND($D46&lt;&gt;"",$E46&lt;&gt;"",$G46&gt;0,$H46&lt;&gt;"",$I46&lt;&gt;""),IF($C46&gt;TODAY(),"İLERİ TARİH",IF(COUNTIF($W$7:$W$1206,$W46)&gt;1,"MÜKERRER?",IF($AD46&gt;0,"KAPALI DÖNEM",IF($I46="Hayır","ÖDENECEK","UYGUN")))),"EKSİK"))))</f>
        <v/>
      </c>
      <c r="Q46" s="6" t="n"/>
      <c r="R46" s="6" t="n"/>
      <c r="S46" s="3">
        <f>IF($L46="","",UPPER(SUBSTITUTE(SUBSTITUTE(SUBSTITUTE(SUBSTITUTE(SUBSTITUTE(SUBSTITUTE(SUBSTITUTE(SUBSTITUTE(SUBSTITUTE(SUBSTITUTE(SUBSTITUTE(SUBSTITUTE(SUBSTITUTE(SUBSTITUTE(SUBSTITUTE(SUBSTITUTE(SUBSTITUTE(SUBSTITUTE(TRIM($L46),"'",""),"İ","I"),"ı","I"),"i","I"),"Ş","S"),"ş","S"),"Ğ","G"),"ğ","G"),"Ü","U"),"ü","U"),"Ö","O"),"ö","O"),"Ç","C"),"ç","C"),".",""),",","")," ",""),"-","")))</f>
        <v/>
      </c>
      <c r="T46" s="3">
        <f>IF(OR($C46="",$D46&lt;&gt;"Gelir",$L46=""),"",IFERROR(INDEX(MUSTERILER!$B$7:$B$106,MATCH($S46,MUSTERILER!$T$7:$T$106,0)),""))</f>
        <v/>
      </c>
      <c r="U46" s="3">
        <f>IF($T46="","",$T46&amp;"|"&amp;COUNTIFS($T$7:$T46,$T46))</f>
        <v/>
      </c>
      <c r="V46" s="3">
        <f>IF($T46="",0,1)</f>
        <v/>
      </c>
      <c r="W46" s="3">
        <f>IF($C46="","",$D46&amp;"|"&amp;$E46&amp;"|"&amp;TEXT($C46,"0")&amp;"|"&amp;TEXT($G46,"0")&amp;"|"&amp;$J46)</f>
        <v/>
      </c>
      <c r="X46" s="3" t="n"/>
      <c r="Y46" s="3" t="n"/>
      <c r="Z46" s="3" t="n"/>
      <c r="AA46" s="3" t="n"/>
      <c r="AB46" s="3" t="n"/>
      <c r="AC46" s="3" t="n"/>
      <c r="AD46" s="3">
        <f>IF($C46="",0,SUMPRODUCT((AY_SONU!$O$7:$O$42="Evet")*(AY_SONU!$B$7:$B$42=DATE(YEAR($C46),MONTH($C46),1))))</f>
        <v/>
      </c>
    </row>
    <row r="47">
      <c r="A47" s="6" t="n"/>
      <c r="B47" s="113">
        <f>IF($C47="","","GG"&amp;TEXT(ROW()-6,"00000"))</f>
        <v/>
      </c>
      <c r="C47" s="220" t="n">
        <v>46083</v>
      </c>
      <c r="D47" s="108" t="inlineStr">
        <is>
          <t>Gider</t>
        </is>
      </c>
      <c r="E47" s="109" t="inlineStr">
        <is>
          <t>Kırtasiye</t>
        </is>
      </c>
      <c r="F47" s="109" t="inlineStr">
        <is>
          <t>Kırtasiye</t>
        </is>
      </c>
      <c r="G47" s="221" t="n">
        <v>100</v>
      </c>
      <c r="H47" s="108" t="inlineStr">
        <is>
          <t>Merkez Kasa</t>
        </is>
      </c>
      <c r="I47" s="108" t="inlineStr">
        <is>
          <t>Evet</t>
        </is>
      </c>
      <c r="J47" s="109" t="n"/>
      <c r="K47" s="109" t="n"/>
      <c r="L47" s="108" t="n"/>
      <c r="M47" s="121">
        <f>IF($C47="","",IF($D47="Gider",$E47,IF($L47&lt;&gt;"",$L47,$H47)))</f>
        <v/>
      </c>
      <c r="N47" s="121">
        <f>IF($C47="","",IF($D47="Gider",$H47,$E47))</f>
        <v/>
      </c>
      <c r="O47" s="226">
        <f>IF($C47="","",DATE(YEAR($C47),MONTH($C47),1))</f>
        <v/>
      </c>
      <c r="P47" s="113">
        <f>IF($C47="","",IF(AND($D47="Gelir",$L47&lt;&gt;"",$T47=""),"TANIMSIZ BORÇLU",IF($T47&lt;&gt;"",IF(OR($E47="",$G47&lt;=0),"EKSİK",IF($I47="Evet","TAHAKKUK NAKİT OLAMAZ",IF($C47&gt;TODAY(),"İLERİ TARİH","TAHAKKUK"))),IF(AND($D47&lt;&gt;"",$E47&lt;&gt;"",$G47&gt;0,$H47&lt;&gt;"",$I47&lt;&gt;""),IF($C47&gt;TODAY(),"İLERİ TARİH",IF(COUNTIF($W$7:$W$1206,$W47)&gt;1,"MÜKERRER?",IF($AD47&gt;0,"KAPALI DÖNEM",IF($I47="Hayır","ÖDENECEK","UYGUN")))),"EKSİK"))))</f>
        <v/>
      </c>
      <c r="Q47" s="6" t="n"/>
      <c r="R47" s="6" t="n"/>
      <c r="S47" s="3">
        <f>IF($L47="","",UPPER(SUBSTITUTE(SUBSTITUTE(SUBSTITUTE(SUBSTITUTE(SUBSTITUTE(SUBSTITUTE(SUBSTITUTE(SUBSTITUTE(SUBSTITUTE(SUBSTITUTE(SUBSTITUTE(SUBSTITUTE(SUBSTITUTE(SUBSTITUTE(SUBSTITUTE(SUBSTITUTE(SUBSTITUTE(SUBSTITUTE(TRIM($L47),"'",""),"İ","I"),"ı","I"),"i","I"),"Ş","S"),"ş","S"),"Ğ","G"),"ğ","G"),"Ü","U"),"ü","U"),"Ö","O"),"ö","O"),"Ç","C"),"ç","C"),".",""),",","")," ",""),"-","")))</f>
        <v/>
      </c>
      <c r="T47" s="3">
        <f>IF(OR($C47="",$D47&lt;&gt;"Gelir",$L47=""),"",IFERROR(INDEX(MUSTERILER!$B$7:$B$106,MATCH($S47,MUSTERILER!$T$7:$T$106,0)),""))</f>
        <v/>
      </c>
      <c r="U47" s="3">
        <f>IF($T47="","",$T47&amp;"|"&amp;COUNTIFS($T$7:$T47,$T47))</f>
        <v/>
      </c>
      <c r="V47" s="3">
        <f>IF($T47="",0,1)</f>
        <v/>
      </c>
      <c r="W47" s="3">
        <f>IF($C47="","",$D47&amp;"|"&amp;$E47&amp;"|"&amp;TEXT($C47,"0")&amp;"|"&amp;TEXT($G47,"0")&amp;"|"&amp;$J47)</f>
        <v/>
      </c>
      <c r="X47" s="3" t="n"/>
      <c r="Y47" s="3" t="n"/>
      <c r="Z47" s="3" t="n"/>
      <c r="AA47" s="3" t="n"/>
      <c r="AB47" s="3" t="n"/>
      <c r="AC47" s="3" t="n"/>
      <c r="AD47" s="3">
        <f>IF($C47="",0,SUMPRODUCT((AY_SONU!$O$7:$O$42="Evet")*(AY_SONU!$B$7:$B$42=DATE(YEAR($C47),MONTH($C47),1))))</f>
        <v/>
      </c>
    </row>
    <row r="48">
      <c r="A48" s="6" t="n"/>
      <c r="B48" s="113">
        <f>IF($C48="","","GG"&amp;TEXT(ROW()-6,"00000"))</f>
        <v/>
      </c>
      <c r="C48" s="220" t="n">
        <v>46083</v>
      </c>
      <c r="D48" s="108" t="inlineStr">
        <is>
          <t>Gider</t>
        </is>
      </c>
      <c r="E48" s="109" t="inlineStr">
        <is>
          <t>Temsil / Ağırlama</t>
        </is>
      </c>
      <c r="F48" s="109" t="inlineStr">
        <is>
          <t xml:space="preserve">Gıda Alışverişi </t>
        </is>
      </c>
      <c r="G48" s="221" t="n">
        <v>860</v>
      </c>
      <c r="H48" s="108" t="inlineStr">
        <is>
          <t>Merkez Kasa</t>
        </is>
      </c>
      <c r="I48" s="108" t="inlineStr">
        <is>
          <t>Evet</t>
        </is>
      </c>
      <c r="J48" s="109" t="n"/>
      <c r="K48" s="109" t="n"/>
      <c r="L48" s="108" t="n"/>
      <c r="M48" s="121">
        <f>IF($C48="","",IF($D48="Gider",$E48,IF($L48&lt;&gt;"",$L48,$H48)))</f>
        <v/>
      </c>
      <c r="N48" s="121">
        <f>IF($C48="","",IF($D48="Gider",$H48,$E48))</f>
        <v/>
      </c>
      <c r="O48" s="226">
        <f>IF($C48="","",DATE(YEAR($C48),MONTH($C48),1))</f>
        <v/>
      </c>
      <c r="P48" s="113">
        <f>IF($C48="","",IF(AND($D48="Gelir",$L48&lt;&gt;"",$T48=""),"TANIMSIZ BORÇLU",IF($T48&lt;&gt;"",IF(OR($E48="",$G48&lt;=0),"EKSİK",IF($I48="Evet","TAHAKKUK NAKİT OLAMAZ",IF($C48&gt;TODAY(),"İLERİ TARİH","TAHAKKUK"))),IF(AND($D48&lt;&gt;"",$E48&lt;&gt;"",$G48&gt;0,$H48&lt;&gt;"",$I48&lt;&gt;""),IF($C48&gt;TODAY(),"İLERİ TARİH",IF(COUNTIF($W$7:$W$1206,$W48)&gt;1,"MÜKERRER?",IF($AD48&gt;0,"KAPALI DÖNEM",IF($I48="Hayır","ÖDENECEK","UYGUN")))),"EKSİK"))))</f>
        <v/>
      </c>
      <c r="Q48" s="6" t="n"/>
      <c r="R48" s="6" t="n"/>
      <c r="S48" s="3">
        <f>IF($L48="","",UPPER(SUBSTITUTE(SUBSTITUTE(SUBSTITUTE(SUBSTITUTE(SUBSTITUTE(SUBSTITUTE(SUBSTITUTE(SUBSTITUTE(SUBSTITUTE(SUBSTITUTE(SUBSTITUTE(SUBSTITUTE(SUBSTITUTE(SUBSTITUTE(SUBSTITUTE(SUBSTITUTE(SUBSTITUTE(SUBSTITUTE(TRIM($L48),"'",""),"İ","I"),"ı","I"),"i","I"),"Ş","S"),"ş","S"),"Ğ","G"),"ğ","G"),"Ü","U"),"ü","U"),"Ö","O"),"ö","O"),"Ç","C"),"ç","C"),".",""),",","")," ",""),"-","")))</f>
        <v/>
      </c>
      <c r="T48" s="3">
        <f>IF(OR($C48="",$D48&lt;&gt;"Gelir",$L48=""),"",IFERROR(INDEX(MUSTERILER!$B$7:$B$106,MATCH($S48,MUSTERILER!$T$7:$T$106,0)),""))</f>
        <v/>
      </c>
      <c r="U48" s="3">
        <f>IF($T48="","",$T48&amp;"|"&amp;COUNTIFS($T$7:$T48,$T48))</f>
        <v/>
      </c>
      <c r="V48" s="3">
        <f>IF($T48="",0,1)</f>
        <v/>
      </c>
      <c r="W48" s="3">
        <f>IF($C48="","",$D48&amp;"|"&amp;$E48&amp;"|"&amp;TEXT($C48,"0")&amp;"|"&amp;TEXT($G48,"0")&amp;"|"&amp;$J48)</f>
        <v/>
      </c>
      <c r="X48" s="3" t="n"/>
      <c r="Y48" s="3" t="n"/>
      <c r="Z48" s="3" t="n"/>
      <c r="AA48" s="3" t="n"/>
      <c r="AB48" s="3" t="n"/>
      <c r="AC48" s="3" t="n"/>
      <c r="AD48" s="3">
        <f>IF($C48="",0,SUMPRODUCT((AY_SONU!$O$7:$O$42="Evet")*(AY_SONU!$B$7:$B$42=DATE(YEAR($C48),MONTH($C48),1))))</f>
        <v/>
      </c>
    </row>
    <row r="49">
      <c r="A49" s="6" t="n"/>
      <c r="B49" s="113">
        <f>IF($C49="","","GG"&amp;TEXT(ROW()-6,"00000"))</f>
        <v/>
      </c>
      <c r="C49" s="220" t="n">
        <v>46083</v>
      </c>
      <c r="D49" s="108" t="inlineStr">
        <is>
          <t>Gider</t>
        </is>
      </c>
      <c r="E49" s="109" t="inlineStr">
        <is>
          <t>Temsil / Ağırlama</t>
        </is>
      </c>
      <c r="F49" s="109" t="inlineStr">
        <is>
          <t>Çay</t>
        </is>
      </c>
      <c r="G49" s="221" t="n">
        <v>380</v>
      </c>
      <c r="H49" s="108" t="inlineStr">
        <is>
          <t>Merkez Kasa</t>
        </is>
      </c>
      <c r="I49" s="108" t="inlineStr">
        <is>
          <t>Evet</t>
        </is>
      </c>
      <c r="J49" s="109" t="n"/>
      <c r="K49" s="109" t="n"/>
      <c r="L49" s="108" t="n"/>
      <c r="M49" s="121">
        <f>IF($C49="","",IF($D49="Gider",$E49,IF($L49&lt;&gt;"",$L49,$H49)))</f>
        <v/>
      </c>
      <c r="N49" s="121">
        <f>IF($C49="","",IF($D49="Gider",$H49,$E49))</f>
        <v/>
      </c>
      <c r="O49" s="226">
        <f>IF($C49="","",DATE(YEAR($C49),MONTH($C49),1))</f>
        <v/>
      </c>
      <c r="P49" s="113">
        <f>IF($C49="","",IF(AND($D49="Gelir",$L49&lt;&gt;"",$T49=""),"TANIMSIZ BORÇLU",IF($T49&lt;&gt;"",IF(OR($E49="",$G49&lt;=0),"EKSİK",IF($I49="Evet","TAHAKKUK NAKİT OLAMAZ",IF($C49&gt;TODAY(),"İLERİ TARİH","TAHAKKUK"))),IF(AND($D49&lt;&gt;"",$E49&lt;&gt;"",$G49&gt;0,$H49&lt;&gt;"",$I49&lt;&gt;""),IF($C49&gt;TODAY(),"İLERİ TARİH",IF(COUNTIF($W$7:$W$1206,$W49)&gt;1,"MÜKERRER?",IF($AD49&gt;0,"KAPALI DÖNEM",IF($I49="Hayır","ÖDENECEK","UYGUN")))),"EKSİK"))))</f>
        <v/>
      </c>
      <c r="Q49" s="6" t="n"/>
      <c r="R49" s="6" t="n"/>
      <c r="S49" s="3">
        <f>IF($L49="","",UPPER(SUBSTITUTE(SUBSTITUTE(SUBSTITUTE(SUBSTITUTE(SUBSTITUTE(SUBSTITUTE(SUBSTITUTE(SUBSTITUTE(SUBSTITUTE(SUBSTITUTE(SUBSTITUTE(SUBSTITUTE(SUBSTITUTE(SUBSTITUTE(SUBSTITUTE(SUBSTITUTE(SUBSTITUTE(SUBSTITUTE(TRIM($L49),"'",""),"İ","I"),"ı","I"),"i","I"),"Ş","S"),"ş","S"),"Ğ","G"),"ğ","G"),"Ü","U"),"ü","U"),"Ö","O"),"ö","O"),"Ç","C"),"ç","C"),".",""),",","")," ",""),"-","")))</f>
        <v/>
      </c>
      <c r="T49" s="3">
        <f>IF(OR($C49="",$D49&lt;&gt;"Gelir",$L49=""),"",IFERROR(INDEX(MUSTERILER!$B$7:$B$106,MATCH($S49,MUSTERILER!$T$7:$T$106,0)),""))</f>
        <v/>
      </c>
      <c r="U49" s="3">
        <f>IF($T49="","",$T49&amp;"|"&amp;COUNTIFS($T$7:$T49,$T49))</f>
        <v/>
      </c>
      <c r="V49" s="3">
        <f>IF($T49="",0,1)</f>
        <v/>
      </c>
      <c r="W49" s="3">
        <f>IF($C49="","",$D49&amp;"|"&amp;$E49&amp;"|"&amp;TEXT($C49,"0")&amp;"|"&amp;TEXT($G49,"0")&amp;"|"&amp;$J49)</f>
        <v/>
      </c>
      <c r="X49" s="3" t="n"/>
      <c r="Y49" s="3" t="n"/>
      <c r="Z49" s="3" t="n"/>
      <c r="AA49" s="3" t="n"/>
      <c r="AB49" s="3" t="n"/>
      <c r="AC49" s="3" t="n"/>
      <c r="AD49" s="3">
        <f>IF($C49="",0,SUMPRODUCT((AY_SONU!$O$7:$O$42="Evet")*(AY_SONU!$B$7:$B$42=DATE(YEAR($C49),MONTH($C49),1))))</f>
        <v/>
      </c>
    </row>
    <row r="50">
      <c r="A50" s="6" t="n"/>
      <c r="B50" s="113">
        <f>IF($C50="","","GG"&amp;TEXT(ROW()-6,"00000"))</f>
        <v/>
      </c>
      <c r="C50" s="220" t="n">
        <v>46083</v>
      </c>
      <c r="D50" s="108" t="inlineStr">
        <is>
          <t>Gider</t>
        </is>
      </c>
      <c r="E50" s="109" t="inlineStr">
        <is>
          <t>Temsil / Ağırlama</t>
        </is>
      </c>
      <c r="F50" s="109" t="inlineStr">
        <is>
          <t xml:space="preserve">Market </t>
        </is>
      </c>
      <c r="G50" s="221" t="n">
        <v>250</v>
      </c>
      <c r="H50" s="108" t="inlineStr">
        <is>
          <t>Merkez Kasa</t>
        </is>
      </c>
      <c r="I50" s="108" t="inlineStr">
        <is>
          <t>Evet</t>
        </is>
      </c>
      <c r="J50" s="109" t="n"/>
      <c r="K50" s="109" t="n"/>
      <c r="L50" s="108" t="n"/>
      <c r="M50" s="121">
        <f>IF($C50="","",IF($D50="Gider",$E50,IF($L50&lt;&gt;"",$L50,$H50)))</f>
        <v/>
      </c>
      <c r="N50" s="121">
        <f>IF($C50="","",IF($D50="Gider",$H50,$E50))</f>
        <v/>
      </c>
      <c r="O50" s="226">
        <f>IF($C50="","",DATE(YEAR($C50),MONTH($C50),1))</f>
        <v/>
      </c>
      <c r="P50" s="113">
        <f>IF($C50="","",IF(AND($D50="Gelir",$L50&lt;&gt;"",$T50=""),"TANIMSIZ BORÇLU",IF($T50&lt;&gt;"",IF(OR($E50="",$G50&lt;=0),"EKSİK",IF($I50="Evet","TAHAKKUK NAKİT OLAMAZ",IF($C50&gt;TODAY(),"İLERİ TARİH","TAHAKKUK"))),IF(AND($D50&lt;&gt;"",$E50&lt;&gt;"",$G50&gt;0,$H50&lt;&gt;"",$I50&lt;&gt;""),IF($C50&gt;TODAY(),"İLERİ TARİH",IF(COUNTIF($W$7:$W$1206,$W50)&gt;1,"MÜKERRER?",IF($AD50&gt;0,"KAPALI DÖNEM",IF($I50="Hayır","ÖDENECEK","UYGUN")))),"EKSİK"))))</f>
        <v/>
      </c>
      <c r="Q50" s="6" t="n"/>
      <c r="R50" s="6" t="n"/>
      <c r="S50" s="3">
        <f>IF($L50="","",UPPER(SUBSTITUTE(SUBSTITUTE(SUBSTITUTE(SUBSTITUTE(SUBSTITUTE(SUBSTITUTE(SUBSTITUTE(SUBSTITUTE(SUBSTITUTE(SUBSTITUTE(SUBSTITUTE(SUBSTITUTE(SUBSTITUTE(SUBSTITUTE(SUBSTITUTE(SUBSTITUTE(SUBSTITUTE(SUBSTITUTE(TRIM($L50),"'",""),"İ","I"),"ı","I"),"i","I"),"Ş","S"),"ş","S"),"Ğ","G"),"ğ","G"),"Ü","U"),"ü","U"),"Ö","O"),"ö","O"),"Ç","C"),"ç","C"),".",""),",","")," ",""),"-","")))</f>
        <v/>
      </c>
      <c r="T50" s="3">
        <f>IF(OR($C50="",$D50&lt;&gt;"Gelir",$L50=""),"",IFERROR(INDEX(MUSTERILER!$B$7:$B$106,MATCH($S50,MUSTERILER!$T$7:$T$106,0)),""))</f>
        <v/>
      </c>
      <c r="U50" s="3">
        <f>IF($T50="","",$T50&amp;"|"&amp;COUNTIFS($T$7:$T50,$T50))</f>
        <v/>
      </c>
      <c r="V50" s="3">
        <f>IF($T50="",0,1)</f>
        <v/>
      </c>
      <c r="W50" s="3">
        <f>IF($C50="","",$D50&amp;"|"&amp;$E50&amp;"|"&amp;TEXT($C50,"0")&amp;"|"&amp;TEXT($G50,"0")&amp;"|"&amp;$J50)</f>
        <v/>
      </c>
      <c r="X50" s="3" t="n"/>
      <c r="Y50" s="3" t="n"/>
      <c r="Z50" s="3" t="n"/>
      <c r="AA50" s="3" t="n"/>
      <c r="AB50" s="3" t="n"/>
      <c r="AC50" s="3" t="n"/>
      <c r="AD50" s="3">
        <f>IF($C50="",0,SUMPRODUCT((AY_SONU!$O$7:$O$42="Evet")*(AY_SONU!$B$7:$B$42=DATE(YEAR($C50),MONTH($C50),1))))</f>
        <v/>
      </c>
    </row>
    <row r="51">
      <c r="A51" s="6" t="n"/>
      <c r="B51" s="113">
        <f>IF($C51="","","GG"&amp;TEXT(ROW()-6,"00000"))</f>
        <v/>
      </c>
      <c r="C51" s="220" t="n">
        <v>46083</v>
      </c>
      <c r="D51" s="108" t="inlineStr">
        <is>
          <t>Gider</t>
        </is>
      </c>
      <c r="E51" s="109" t="inlineStr">
        <is>
          <t>Telefon / İnternet</t>
        </is>
      </c>
      <c r="F51" s="109" t="inlineStr">
        <is>
          <t>Ofis İnternet</t>
        </is>
      </c>
      <c r="G51" s="221" t="n">
        <v>610</v>
      </c>
      <c r="H51" s="108" t="inlineStr">
        <is>
          <t>Merkez Kasa</t>
        </is>
      </c>
      <c r="I51" s="108" t="inlineStr">
        <is>
          <t>Evet</t>
        </is>
      </c>
      <c r="J51" s="109" t="n"/>
      <c r="K51" s="109" t="n"/>
      <c r="L51" s="108" t="n"/>
      <c r="M51" s="121">
        <f>IF($C51="","",IF($D51="Gider",$E51,IF($L51&lt;&gt;"",$L51,$H51)))</f>
        <v/>
      </c>
      <c r="N51" s="121">
        <f>IF($C51="","",IF($D51="Gider",$H51,$E51))</f>
        <v/>
      </c>
      <c r="O51" s="226">
        <f>IF($C51="","",DATE(YEAR($C51),MONTH($C51),1))</f>
        <v/>
      </c>
      <c r="P51" s="113">
        <f>IF($C51="","",IF(AND($D51="Gelir",$L51&lt;&gt;"",$T51=""),"TANIMSIZ BORÇLU",IF($T51&lt;&gt;"",IF(OR($E51="",$G51&lt;=0),"EKSİK",IF($I51="Evet","TAHAKKUK NAKİT OLAMAZ",IF($C51&gt;TODAY(),"İLERİ TARİH","TAHAKKUK"))),IF(AND($D51&lt;&gt;"",$E51&lt;&gt;"",$G51&gt;0,$H51&lt;&gt;"",$I51&lt;&gt;""),IF($C51&gt;TODAY(),"İLERİ TARİH",IF(COUNTIF($W$7:$W$1206,$W51)&gt;1,"MÜKERRER?",IF($AD51&gt;0,"KAPALI DÖNEM",IF($I51="Hayır","ÖDENECEK","UYGUN")))),"EKSİK"))))</f>
        <v/>
      </c>
      <c r="Q51" s="6" t="n"/>
      <c r="R51" s="6" t="n"/>
      <c r="S51" s="3">
        <f>IF($L51="","",UPPER(SUBSTITUTE(SUBSTITUTE(SUBSTITUTE(SUBSTITUTE(SUBSTITUTE(SUBSTITUTE(SUBSTITUTE(SUBSTITUTE(SUBSTITUTE(SUBSTITUTE(SUBSTITUTE(SUBSTITUTE(SUBSTITUTE(SUBSTITUTE(SUBSTITUTE(SUBSTITUTE(SUBSTITUTE(SUBSTITUTE(TRIM($L51),"'",""),"İ","I"),"ı","I"),"i","I"),"Ş","S"),"ş","S"),"Ğ","G"),"ğ","G"),"Ü","U"),"ü","U"),"Ö","O"),"ö","O"),"Ç","C"),"ç","C"),".",""),",","")," ",""),"-","")))</f>
        <v/>
      </c>
      <c r="T51" s="3">
        <f>IF(OR($C51="",$D51&lt;&gt;"Gelir",$L51=""),"",IFERROR(INDEX(MUSTERILER!$B$7:$B$106,MATCH($S51,MUSTERILER!$T$7:$T$106,0)),""))</f>
        <v/>
      </c>
      <c r="U51" s="3">
        <f>IF($T51="","",$T51&amp;"|"&amp;COUNTIFS($T$7:$T51,$T51))</f>
        <v/>
      </c>
      <c r="V51" s="3">
        <f>IF($T51="",0,1)</f>
        <v/>
      </c>
      <c r="W51" s="3">
        <f>IF($C51="","",$D51&amp;"|"&amp;$E51&amp;"|"&amp;TEXT($C51,"0")&amp;"|"&amp;TEXT($G51,"0")&amp;"|"&amp;$J51)</f>
        <v/>
      </c>
      <c r="X51" s="3" t="n"/>
      <c r="Y51" s="3" t="n"/>
      <c r="Z51" s="3" t="n"/>
      <c r="AA51" s="3" t="n"/>
      <c r="AB51" s="3" t="n"/>
      <c r="AC51" s="3" t="n"/>
      <c r="AD51" s="3">
        <f>IF($C51="",0,SUMPRODUCT((AY_SONU!$O$7:$O$42="Evet")*(AY_SONU!$B$7:$B$42=DATE(YEAR($C51),MONTH($C51),1))))</f>
        <v/>
      </c>
    </row>
    <row r="52">
      <c r="A52" s="6" t="n"/>
      <c r="B52" s="113">
        <f>IF($C52="","","GG"&amp;TEXT(ROW()-6,"00000"))</f>
        <v/>
      </c>
      <c r="C52" s="220" t="n">
        <v>46088</v>
      </c>
      <c r="D52" s="108" t="inlineStr">
        <is>
          <t>Gider</t>
        </is>
      </c>
      <c r="E52" s="109" t="inlineStr">
        <is>
          <t>Ulaşım</t>
        </is>
      </c>
      <c r="F52" s="109" t="inlineStr">
        <is>
          <t>Araç Yakıt Alımı</t>
        </is>
      </c>
      <c r="G52" s="221" t="n">
        <v>2000</v>
      </c>
      <c r="H52" s="108" t="inlineStr">
        <is>
          <t>Merkez Kasa</t>
        </is>
      </c>
      <c r="I52" s="108" t="inlineStr">
        <is>
          <t>Evet</t>
        </is>
      </c>
      <c r="J52" s="109" t="n"/>
      <c r="K52" s="109" t="n"/>
      <c r="L52" s="108" t="n"/>
      <c r="M52" s="121">
        <f>IF($C52="","",IF($D52="Gider",$E52,IF($L52&lt;&gt;"",$L52,$H52)))</f>
        <v/>
      </c>
      <c r="N52" s="121">
        <f>IF($C52="","",IF($D52="Gider",$H52,$E52))</f>
        <v/>
      </c>
      <c r="O52" s="226">
        <f>IF($C52="","",DATE(YEAR($C52),MONTH($C52),1))</f>
        <v/>
      </c>
      <c r="P52" s="113">
        <f>IF($C52="","",IF(AND($D52="Gelir",$L52&lt;&gt;"",$T52=""),"TANIMSIZ BORÇLU",IF($T52&lt;&gt;"",IF(OR($E52="",$G52&lt;=0),"EKSİK",IF($I52="Evet","TAHAKKUK NAKİT OLAMAZ",IF($C52&gt;TODAY(),"İLERİ TARİH","TAHAKKUK"))),IF(AND($D52&lt;&gt;"",$E52&lt;&gt;"",$G52&gt;0,$H52&lt;&gt;"",$I52&lt;&gt;""),IF($C52&gt;TODAY(),"İLERİ TARİH",IF(COUNTIF($W$7:$W$1206,$W52)&gt;1,"MÜKERRER?",IF($AD52&gt;0,"KAPALI DÖNEM",IF($I52="Hayır","ÖDENECEK","UYGUN")))),"EKSİK"))))</f>
        <v/>
      </c>
      <c r="Q52" s="6" t="n"/>
      <c r="R52" s="6" t="n"/>
      <c r="S52" s="3">
        <f>IF($L52="","",UPPER(SUBSTITUTE(SUBSTITUTE(SUBSTITUTE(SUBSTITUTE(SUBSTITUTE(SUBSTITUTE(SUBSTITUTE(SUBSTITUTE(SUBSTITUTE(SUBSTITUTE(SUBSTITUTE(SUBSTITUTE(SUBSTITUTE(SUBSTITUTE(SUBSTITUTE(SUBSTITUTE(SUBSTITUTE(SUBSTITUTE(TRIM($L52),"'",""),"İ","I"),"ı","I"),"i","I"),"Ş","S"),"ş","S"),"Ğ","G"),"ğ","G"),"Ü","U"),"ü","U"),"Ö","O"),"ö","O"),"Ç","C"),"ç","C"),".",""),",","")," ",""),"-","")))</f>
        <v/>
      </c>
      <c r="T52" s="3">
        <f>IF(OR($C52="",$D52&lt;&gt;"Gelir",$L52=""),"",IFERROR(INDEX(MUSTERILER!$B$7:$B$106,MATCH($S52,MUSTERILER!$T$7:$T$106,0)),""))</f>
        <v/>
      </c>
      <c r="U52" s="3">
        <f>IF($T52="","",$T52&amp;"|"&amp;COUNTIFS($T$7:$T52,$T52))</f>
        <v/>
      </c>
      <c r="V52" s="3">
        <f>IF($T52="",0,1)</f>
        <v/>
      </c>
      <c r="W52" s="3">
        <f>IF($C52="","",$D52&amp;"|"&amp;$E52&amp;"|"&amp;TEXT($C52,"0")&amp;"|"&amp;TEXT($G52,"0")&amp;"|"&amp;$J52)</f>
        <v/>
      </c>
      <c r="X52" s="3" t="n"/>
      <c r="Y52" s="3" t="n"/>
      <c r="Z52" s="3" t="n"/>
      <c r="AA52" s="3" t="n"/>
      <c r="AB52" s="3" t="n"/>
      <c r="AC52" s="3" t="n"/>
      <c r="AD52" s="3">
        <f>IF($C52="",0,SUMPRODUCT((AY_SONU!$O$7:$O$42="Evet")*(AY_SONU!$B$7:$B$42=DATE(YEAR($C52),MONTH($C52),1))))</f>
        <v/>
      </c>
    </row>
    <row r="53">
      <c r="A53" s="6" t="n"/>
      <c r="B53" s="113">
        <f>IF($C53="","","GG"&amp;TEXT(ROW()-6,"00000"))</f>
        <v/>
      </c>
      <c r="C53" s="220" t="n">
        <v>46090</v>
      </c>
      <c r="D53" s="108" t="inlineStr">
        <is>
          <t>Gider</t>
        </is>
      </c>
      <c r="E53" s="109" t="inlineStr">
        <is>
          <t>Personel</t>
        </is>
      </c>
      <c r="F53" s="109" t="inlineStr">
        <is>
          <t>Zeynep Hanım Maaş Bakiye</t>
        </is>
      </c>
      <c r="G53" s="221" t="n">
        <v>5000</v>
      </c>
      <c r="H53" s="108" t="inlineStr">
        <is>
          <t>Merkez Kasa</t>
        </is>
      </c>
      <c r="I53" s="108" t="inlineStr">
        <is>
          <t>Evet</t>
        </is>
      </c>
      <c r="J53" s="109" t="n"/>
      <c r="K53" s="109" t="n"/>
      <c r="L53" s="108" t="n"/>
      <c r="M53" s="121">
        <f>IF($C53="","",IF($D53="Gider",$E53,IF($L53&lt;&gt;"",$L53,$H53)))</f>
        <v/>
      </c>
      <c r="N53" s="121">
        <f>IF($C53="","",IF($D53="Gider",$H53,$E53))</f>
        <v/>
      </c>
      <c r="O53" s="226">
        <f>IF($C53="","",DATE(YEAR($C53),MONTH($C53),1))</f>
        <v/>
      </c>
      <c r="P53" s="113">
        <f>IF($C53="","",IF(AND($D53="Gelir",$L53&lt;&gt;"",$T53=""),"TANIMSIZ BORÇLU",IF($T53&lt;&gt;"",IF(OR($E53="",$G53&lt;=0),"EKSİK",IF($I53="Evet","TAHAKKUK NAKİT OLAMAZ",IF($C53&gt;TODAY(),"İLERİ TARİH","TAHAKKUK"))),IF(AND($D53&lt;&gt;"",$E53&lt;&gt;"",$G53&gt;0,$H53&lt;&gt;"",$I53&lt;&gt;""),IF($C53&gt;TODAY(),"İLERİ TARİH",IF(COUNTIF($W$7:$W$1206,$W53)&gt;1,"MÜKERRER?",IF($AD53&gt;0,"KAPALI DÖNEM",IF($I53="Hayır","ÖDENECEK","UYGUN")))),"EKSİK"))))</f>
        <v/>
      </c>
      <c r="Q53" s="6" t="n"/>
      <c r="R53" s="6" t="n"/>
      <c r="S53" s="3">
        <f>IF($L53="","",UPPER(SUBSTITUTE(SUBSTITUTE(SUBSTITUTE(SUBSTITUTE(SUBSTITUTE(SUBSTITUTE(SUBSTITUTE(SUBSTITUTE(SUBSTITUTE(SUBSTITUTE(SUBSTITUTE(SUBSTITUTE(SUBSTITUTE(SUBSTITUTE(SUBSTITUTE(SUBSTITUTE(SUBSTITUTE(SUBSTITUTE(TRIM($L53),"'",""),"İ","I"),"ı","I"),"i","I"),"Ş","S"),"ş","S"),"Ğ","G"),"ğ","G"),"Ü","U"),"ü","U"),"Ö","O"),"ö","O"),"Ç","C"),"ç","C"),".",""),",","")," ",""),"-","")))</f>
        <v/>
      </c>
      <c r="T53" s="3">
        <f>IF(OR($C53="",$D53&lt;&gt;"Gelir",$L53=""),"",IFERROR(INDEX(MUSTERILER!$B$7:$B$106,MATCH($S53,MUSTERILER!$T$7:$T$106,0)),""))</f>
        <v/>
      </c>
      <c r="U53" s="3">
        <f>IF($T53="","",$T53&amp;"|"&amp;COUNTIFS($T$7:$T53,$T53))</f>
        <v/>
      </c>
      <c r="V53" s="3">
        <f>IF($T53="",0,1)</f>
        <v/>
      </c>
      <c r="W53" s="3">
        <f>IF($C53="","",$D53&amp;"|"&amp;$E53&amp;"|"&amp;TEXT($C53,"0")&amp;"|"&amp;TEXT($G53,"0")&amp;"|"&amp;$J53)</f>
        <v/>
      </c>
      <c r="X53" s="3" t="n"/>
      <c r="Y53" s="3" t="n"/>
      <c r="Z53" s="3" t="n"/>
      <c r="AA53" s="3" t="n"/>
      <c r="AB53" s="3" t="n"/>
      <c r="AC53" s="3" t="n"/>
      <c r="AD53" s="3">
        <f>IF($C53="",0,SUMPRODUCT((AY_SONU!$O$7:$O$42="Evet")*(AY_SONU!$B$7:$B$42=DATE(YEAR($C53),MONTH($C53),1))))</f>
        <v/>
      </c>
    </row>
    <row r="54">
      <c r="A54" s="6" t="n"/>
      <c r="B54" s="113">
        <f>IF($C54="","","GG"&amp;TEXT(ROW()-6,"00000"))</f>
        <v/>
      </c>
      <c r="C54" s="220" t="n">
        <v>46090</v>
      </c>
      <c r="D54" s="108" t="inlineStr">
        <is>
          <t>Gider</t>
        </is>
      </c>
      <c r="E54" s="109" t="inlineStr">
        <is>
          <t>Ofis Kirası</t>
        </is>
      </c>
      <c r="F54" s="109" t="inlineStr">
        <is>
          <t>Mart Ayı Ofis Kirası</t>
        </is>
      </c>
      <c r="G54" s="221" t="n">
        <v>14000</v>
      </c>
      <c r="H54" s="108" t="inlineStr">
        <is>
          <t>Merkez Kasa</t>
        </is>
      </c>
      <c r="I54" s="108" t="inlineStr">
        <is>
          <t>Evet</t>
        </is>
      </c>
      <c r="J54" s="109" t="n"/>
      <c r="K54" s="109" t="n"/>
      <c r="L54" s="108" t="n"/>
      <c r="M54" s="121">
        <f>IF($C54="","",IF($D54="Gider",$E54,IF($L54&lt;&gt;"",$L54,$H54)))</f>
        <v/>
      </c>
      <c r="N54" s="121">
        <f>IF($C54="","",IF($D54="Gider",$H54,$E54))</f>
        <v/>
      </c>
      <c r="O54" s="226">
        <f>IF($C54="","",DATE(YEAR($C54),MONTH($C54),1))</f>
        <v/>
      </c>
      <c r="P54" s="113">
        <f>IF($C54="","",IF(AND($D54="Gelir",$L54&lt;&gt;"",$T54=""),"TANIMSIZ BORÇLU",IF($T54&lt;&gt;"",IF(OR($E54="",$G54&lt;=0),"EKSİK",IF($I54="Evet","TAHAKKUK NAKİT OLAMAZ",IF($C54&gt;TODAY(),"İLERİ TARİH","TAHAKKUK"))),IF(AND($D54&lt;&gt;"",$E54&lt;&gt;"",$G54&gt;0,$H54&lt;&gt;"",$I54&lt;&gt;""),IF($C54&gt;TODAY(),"İLERİ TARİH",IF(COUNTIF($W$7:$W$1206,$W54)&gt;1,"MÜKERRER?",IF($AD54&gt;0,"KAPALI DÖNEM",IF($I54="Hayır","ÖDENECEK","UYGUN")))),"EKSİK"))))</f>
        <v/>
      </c>
      <c r="Q54" s="6" t="n"/>
      <c r="R54" s="6" t="n"/>
      <c r="S54" s="3">
        <f>IF($L54="","",UPPER(SUBSTITUTE(SUBSTITUTE(SUBSTITUTE(SUBSTITUTE(SUBSTITUTE(SUBSTITUTE(SUBSTITUTE(SUBSTITUTE(SUBSTITUTE(SUBSTITUTE(SUBSTITUTE(SUBSTITUTE(SUBSTITUTE(SUBSTITUTE(SUBSTITUTE(SUBSTITUTE(SUBSTITUTE(SUBSTITUTE(TRIM($L54),"'",""),"İ","I"),"ı","I"),"i","I"),"Ş","S"),"ş","S"),"Ğ","G"),"ğ","G"),"Ü","U"),"ü","U"),"Ö","O"),"ö","O"),"Ç","C"),"ç","C"),".",""),",","")," ",""),"-","")))</f>
        <v/>
      </c>
      <c r="T54" s="3">
        <f>IF(OR($C54="",$D54&lt;&gt;"Gelir",$L54=""),"",IFERROR(INDEX(MUSTERILER!$B$7:$B$106,MATCH($S54,MUSTERILER!$T$7:$T$106,0)),""))</f>
        <v/>
      </c>
      <c r="U54" s="3">
        <f>IF($T54="","",$T54&amp;"|"&amp;COUNTIFS($T$7:$T54,$T54))</f>
        <v/>
      </c>
      <c r="V54" s="3">
        <f>IF($T54="",0,1)</f>
        <v/>
      </c>
      <c r="W54" s="3">
        <f>IF($C54="","",$D54&amp;"|"&amp;$E54&amp;"|"&amp;TEXT($C54,"0")&amp;"|"&amp;TEXT($G54,"0")&amp;"|"&amp;$J54)</f>
        <v/>
      </c>
      <c r="X54" s="3" t="n"/>
      <c r="Y54" s="3" t="n"/>
      <c r="Z54" s="3" t="n"/>
      <c r="AA54" s="3" t="n"/>
      <c r="AB54" s="3" t="n"/>
      <c r="AC54" s="3" t="n"/>
      <c r="AD54" s="3">
        <f>IF($C54="",0,SUMPRODUCT((AY_SONU!$O$7:$O$42="Evet")*(AY_SONU!$B$7:$B$42=DATE(YEAR($C54),MONTH($C54),1))))</f>
        <v/>
      </c>
    </row>
    <row r="55">
      <c r="A55" s="6" t="n"/>
      <c r="B55" s="113">
        <f>IF($C55="","","GG"&amp;TEXT(ROW()-6,"00000"))</f>
        <v/>
      </c>
      <c r="C55" s="220" t="n">
        <v>46090</v>
      </c>
      <c r="D55" s="108" t="inlineStr">
        <is>
          <t>Gider</t>
        </is>
      </c>
      <c r="E55" s="109" t="inlineStr">
        <is>
          <t>Ofis Kirası</t>
        </is>
      </c>
      <c r="F55" s="109" t="inlineStr">
        <is>
          <t>Mart Ayı Aidat</t>
        </is>
      </c>
      <c r="G55" s="221" t="n">
        <v>2000</v>
      </c>
      <c r="H55" s="108" t="inlineStr">
        <is>
          <t>Merkez Kasa</t>
        </is>
      </c>
      <c r="I55" s="108" t="inlineStr">
        <is>
          <t>Evet</t>
        </is>
      </c>
      <c r="J55" s="109" t="n"/>
      <c r="K55" s="109" t="n"/>
      <c r="L55" s="108" t="n"/>
      <c r="M55" s="121">
        <f>IF($C55="","",IF($D55="Gider",$E55,IF($L55&lt;&gt;"",$L55,$H55)))</f>
        <v/>
      </c>
      <c r="N55" s="121">
        <f>IF($C55="","",IF($D55="Gider",$H55,$E55))</f>
        <v/>
      </c>
      <c r="O55" s="226">
        <f>IF($C55="","",DATE(YEAR($C55),MONTH($C55),1))</f>
        <v/>
      </c>
      <c r="P55" s="113">
        <f>IF($C55="","",IF(AND($D55="Gelir",$L55&lt;&gt;"",$T55=""),"TANIMSIZ BORÇLU",IF($T55&lt;&gt;"",IF(OR($E55="",$G55&lt;=0),"EKSİK",IF($I55="Evet","TAHAKKUK NAKİT OLAMAZ",IF($C55&gt;TODAY(),"İLERİ TARİH","TAHAKKUK"))),IF(AND($D55&lt;&gt;"",$E55&lt;&gt;"",$G55&gt;0,$H55&lt;&gt;"",$I55&lt;&gt;""),IF($C55&gt;TODAY(),"İLERİ TARİH",IF(COUNTIF($W$7:$W$1206,$W55)&gt;1,"MÜKERRER?",IF($AD55&gt;0,"KAPALI DÖNEM",IF($I55="Hayır","ÖDENECEK","UYGUN")))),"EKSİK"))))</f>
        <v/>
      </c>
      <c r="Q55" s="6" t="n"/>
      <c r="R55" s="6" t="n"/>
      <c r="S55" s="3">
        <f>IF($L55="","",UPPER(SUBSTITUTE(SUBSTITUTE(SUBSTITUTE(SUBSTITUTE(SUBSTITUTE(SUBSTITUTE(SUBSTITUTE(SUBSTITUTE(SUBSTITUTE(SUBSTITUTE(SUBSTITUTE(SUBSTITUTE(SUBSTITUTE(SUBSTITUTE(SUBSTITUTE(SUBSTITUTE(SUBSTITUTE(SUBSTITUTE(TRIM($L55),"'",""),"İ","I"),"ı","I"),"i","I"),"Ş","S"),"ş","S"),"Ğ","G"),"ğ","G"),"Ü","U"),"ü","U"),"Ö","O"),"ö","O"),"Ç","C"),"ç","C"),".",""),",","")," ",""),"-","")))</f>
        <v/>
      </c>
      <c r="T55" s="3">
        <f>IF(OR($C55="",$D55&lt;&gt;"Gelir",$L55=""),"",IFERROR(INDEX(MUSTERILER!$B$7:$B$106,MATCH($S55,MUSTERILER!$T$7:$T$106,0)),""))</f>
        <v/>
      </c>
      <c r="U55" s="3">
        <f>IF($T55="","",$T55&amp;"|"&amp;COUNTIFS($T$7:$T55,$T55))</f>
        <v/>
      </c>
      <c r="V55" s="3">
        <f>IF($T55="",0,1)</f>
        <v/>
      </c>
      <c r="W55" s="3">
        <f>IF($C55="","",$D55&amp;"|"&amp;$E55&amp;"|"&amp;TEXT($C55,"0")&amp;"|"&amp;TEXT($G55,"0")&amp;"|"&amp;$J55)</f>
        <v/>
      </c>
      <c r="X55" s="3" t="n"/>
      <c r="Y55" s="3" t="n"/>
      <c r="Z55" s="3" t="n"/>
      <c r="AA55" s="3" t="n"/>
      <c r="AB55" s="3" t="n"/>
      <c r="AC55" s="3" t="n"/>
      <c r="AD55" s="3">
        <f>IF($C55="",0,SUMPRODUCT((AY_SONU!$O$7:$O$42="Evet")*(AY_SONU!$B$7:$B$42=DATE(YEAR($C55),MONTH($C55),1))))</f>
        <v/>
      </c>
    </row>
    <row r="56">
      <c r="A56" s="6" t="n"/>
      <c r="B56" s="113">
        <f>IF($C56="","","GG"&amp;TEXT(ROW()-6,"00000"))</f>
        <v/>
      </c>
      <c r="C56" s="220" t="n">
        <v>46090</v>
      </c>
      <c r="D56" s="108" t="inlineStr">
        <is>
          <t>Gider</t>
        </is>
      </c>
      <c r="E56" s="109" t="inlineStr">
        <is>
          <t>Telefon / İnternet</t>
        </is>
      </c>
      <c r="F56" s="109" t="inlineStr">
        <is>
          <t>Şubat Ayı Fatura</t>
        </is>
      </c>
      <c r="G56" s="221" t="n">
        <v>764</v>
      </c>
      <c r="H56" s="108" t="inlineStr">
        <is>
          <t>Merkez Kasa</t>
        </is>
      </c>
      <c r="I56" s="108" t="inlineStr">
        <is>
          <t>Evet</t>
        </is>
      </c>
      <c r="J56" s="109" t="n"/>
      <c r="K56" s="109" t="n"/>
      <c r="L56" s="108" t="n"/>
      <c r="M56" s="121">
        <f>IF($C56="","",IF($D56="Gider",$E56,IF($L56&lt;&gt;"",$L56,$H56)))</f>
        <v/>
      </c>
      <c r="N56" s="121">
        <f>IF($C56="","",IF($D56="Gider",$H56,$E56))</f>
        <v/>
      </c>
      <c r="O56" s="226">
        <f>IF($C56="","",DATE(YEAR($C56),MONTH($C56),1))</f>
        <v/>
      </c>
      <c r="P56" s="113">
        <f>IF($C56="","",IF(AND($D56="Gelir",$L56&lt;&gt;"",$T56=""),"TANIMSIZ BORÇLU",IF($T56&lt;&gt;"",IF(OR($E56="",$G56&lt;=0),"EKSİK",IF($I56="Evet","TAHAKKUK NAKİT OLAMAZ",IF($C56&gt;TODAY(),"İLERİ TARİH","TAHAKKUK"))),IF(AND($D56&lt;&gt;"",$E56&lt;&gt;"",$G56&gt;0,$H56&lt;&gt;"",$I56&lt;&gt;""),IF($C56&gt;TODAY(),"İLERİ TARİH",IF(COUNTIF($W$7:$W$1206,$W56)&gt;1,"MÜKERRER?",IF($AD56&gt;0,"KAPALI DÖNEM",IF($I56="Hayır","ÖDENECEK","UYGUN")))),"EKSİK"))))</f>
        <v/>
      </c>
      <c r="Q56" s="6" t="n"/>
      <c r="R56" s="6" t="n"/>
      <c r="S56" s="3">
        <f>IF($L56="","",UPPER(SUBSTITUTE(SUBSTITUTE(SUBSTITUTE(SUBSTITUTE(SUBSTITUTE(SUBSTITUTE(SUBSTITUTE(SUBSTITUTE(SUBSTITUTE(SUBSTITUTE(SUBSTITUTE(SUBSTITUTE(SUBSTITUTE(SUBSTITUTE(SUBSTITUTE(SUBSTITUTE(SUBSTITUTE(SUBSTITUTE(TRIM($L56),"'",""),"İ","I"),"ı","I"),"i","I"),"Ş","S"),"ş","S"),"Ğ","G"),"ğ","G"),"Ü","U"),"ü","U"),"Ö","O"),"ö","O"),"Ç","C"),"ç","C"),".",""),",","")," ",""),"-","")))</f>
        <v/>
      </c>
      <c r="T56" s="3">
        <f>IF(OR($C56="",$D56&lt;&gt;"Gelir",$L56=""),"",IFERROR(INDEX(MUSTERILER!$B$7:$B$106,MATCH($S56,MUSTERILER!$T$7:$T$106,0)),""))</f>
        <v/>
      </c>
      <c r="U56" s="3">
        <f>IF($T56="","",$T56&amp;"|"&amp;COUNTIFS($T$7:$T56,$T56))</f>
        <v/>
      </c>
      <c r="V56" s="3">
        <f>IF($T56="",0,1)</f>
        <v/>
      </c>
      <c r="W56" s="3">
        <f>IF($C56="","",$D56&amp;"|"&amp;$E56&amp;"|"&amp;TEXT($C56,"0")&amp;"|"&amp;TEXT($G56,"0")&amp;"|"&amp;$J56)</f>
        <v/>
      </c>
      <c r="X56" s="3" t="n"/>
      <c r="Y56" s="3" t="n"/>
      <c r="Z56" s="3" t="n"/>
      <c r="AA56" s="3" t="n"/>
      <c r="AB56" s="3" t="n"/>
      <c r="AC56" s="3" t="n"/>
      <c r="AD56" s="3">
        <f>IF($C56="",0,SUMPRODUCT((AY_SONU!$O$7:$O$42="Evet")*(AY_SONU!$B$7:$B$42=DATE(YEAR($C56),MONTH($C56),1))))</f>
        <v/>
      </c>
    </row>
    <row r="57">
      <c r="A57" s="6" t="n"/>
      <c r="B57" s="113">
        <f>IF($C57="","","GG"&amp;TEXT(ROW()-6,"00000"))</f>
        <v/>
      </c>
      <c r="C57" s="220" t="n">
        <v>46090</v>
      </c>
      <c r="D57" s="108" t="inlineStr">
        <is>
          <t>Gider</t>
        </is>
      </c>
      <c r="E57" s="109" t="inlineStr">
        <is>
          <t>Demirbaş</t>
        </is>
      </c>
      <c r="F57" s="109" t="inlineStr">
        <is>
          <t>Serkan Baş Zeynep Hanım Bilgisayar Takımı Komple</t>
        </is>
      </c>
      <c r="G57" s="221" t="n">
        <v>20000</v>
      </c>
      <c r="H57" s="108" t="inlineStr">
        <is>
          <t>Merkez Kasa</t>
        </is>
      </c>
      <c r="I57" s="108" t="inlineStr">
        <is>
          <t>Evet</t>
        </is>
      </c>
      <c r="J57" s="109" t="n"/>
      <c r="K57" s="109" t="n"/>
      <c r="L57" s="108" t="n"/>
      <c r="M57" s="121">
        <f>IF($C57="","",IF($D57="Gider",$E57,IF($L57&lt;&gt;"",$L57,$H57)))</f>
        <v/>
      </c>
      <c r="N57" s="121">
        <f>IF($C57="","",IF($D57="Gider",$H57,$E57))</f>
        <v/>
      </c>
      <c r="O57" s="226">
        <f>IF($C57="","",DATE(YEAR($C57),MONTH($C57),1))</f>
        <v/>
      </c>
      <c r="P57" s="113">
        <f>IF($C57="","",IF(AND($D57="Gelir",$L57&lt;&gt;"",$T57=""),"TANIMSIZ BORÇLU",IF($T57&lt;&gt;"",IF(OR($E57="",$G57&lt;=0),"EKSİK",IF($I57="Evet","TAHAKKUK NAKİT OLAMAZ",IF($C57&gt;TODAY(),"İLERİ TARİH","TAHAKKUK"))),IF(AND($D57&lt;&gt;"",$E57&lt;&gt;"",$G57&gt;0,$H57&lt;&gt;"",$I57&lt;&gt;""),IF($C57&gt;TODAY(),"İLERİ TARİH",IF(COUNTIF($W$7:$W$1206,$W57)&gt;1,"MÜKERRER?",IF($AD57&gt;0,"KAPALI DÖNEM",IF($I57="Hayır","ÖDENECEK","UYGUN")))),"EKSİK"))))</f>
        <v/>
      </c>
      <c r="Q57" s="6" t="n"/>
      <c r="R57" s="6" t="n"/>
      <c r="S57" s="3">
        <f>IF($L57="","",UPPER(SUBSTITUTE(SUBSTITUTE(SUBSTITUTE(SUBSTITUTE(SUBSTITUTE(SUBSTITUTE(SUBSTITUTE(SUBSTITUTE(SUBSTITUTE(SUBSTITUTE(SUBSTITUTE(SUBSTITUTE(SUBSTITUTE(SUBSTITUTE(SUBSTITUTE(SUBSTITUTE(SUBSTITUTE(SUBSTITUTE(TRIM($L57),"'",""),"İ","I"),"ı","I"),"i","I"),"Ş","S"),"ş","S"),"Ğ","G"),"ğ","G"),"Ü","U"),"ü","U"),"Ö","O"),"ö","O"),"Ç","C"),"ç","C"),".",""),",","")," ",""),"-","")))</f>
        <v/>
      </c>
      <c r="T57" s="3">
        <f>IF(OR($C57="",$D57&lt;&gt;"Gelir",$L57=""),"",IFERROR(INDEX(MUSTERILER!$B$7:$B$106,MATCH($S57,MUSTERILER!$T$7:$T$106,0)),""))</f>
        <v/>
      </c>
      <c r="U57" s="3">
        <f>IF($T57="","",$T57&amp;"|"&amp;COUNTIFS($T$7:$T57,$T57))</f>
        <v/>
      </c>
      <c r="V57" s="3">
        <f>IF($T57="",0,1)</f>
        <v/>
      </c>
      <c r="W57" s="3">
        <f>IF($C57="","",$D57&amp;"|"&amp;$E57&amp;"|"&amp;TEXT($C57,"0")&amp;"|"&amp;TEXT($G57,"0")&amp;"|"&amp;$J57)</f>
        <v/>
      </c>
      <c r="X57" s="3" t="n"/>
      <c r="Y57" s="3" t="n"/>
      <c r="Z57" s="3" t="n"/>
      <c r="AA57" s="3" t="n"/>
      <c r="AB57" s="3" t="n"/>
      <c r="AC57" s="3" t="n"/>
      <c r="AD57" s="3">
        <f>IF($C57="",0,SUMPRODUCT((AY_SONU!$O$7:$O$42="Evet")*(AY_SONU!$B$7:$B$42=DATE(YEAR($C57),MONTH($C57),1))))</f>
        <v/>
      </c>
    </row>
    <row r="58">
      <c r="A58" s="6" t="n"/>
      <c r="B58" s="113">
        <f>IF($C58="","","GG"&amp;TEXT(ROW()-6,"00000"))</f>
        <v/>
      </c>
      <c r="C58" s="220" t="n">
        <v>46090</v>
      </c>
      <c r="D58" s="108" t="inlineStr">
        <is>
          <t>Gider</t>
        </is>
      </c>
      <c r="E58" s="109" t="inlineStr">
        <is>
          <t>Personel</t>
        </is>
      </c>
      <c r="F58" s="109" t="inlineStr">
        <is>
          <t>Zeynep Yalıkent ve Yalı Gazino Prim</t>
        </is>
      </c>
      <c r="G58" s="221" t="n">
        <v>5000</v>
      </c>
      <c r="H58" s="108" t="inlineStr">
        <is>
          <t>Merkez Kasa</t>
        </is>
      </c>
      <c r="I58" s="108" t="inlineStr">
        <is>
          <t>Evet</t>
        </is>
      </c>
      <c r="J58" s="109" t="n"/>
      <c r="K58" s="109" t="n"/>
      <c r="L58" s="108" t="n"/>
      <c r="M58" s="121">
        <f>IF($C58="","",IF($D58="Gider",$E58,IF($L58&lt;&gt;"",$L58,$H58)))</f>
        <v/>
      </c>
      <c r="N58" s="121">
        <f>IF($C58="","",IF($D58="Gider",$H58,$E58))</f>
        <v/>
      </c>
      <c r="O58" s="226">
        <f>IF($C58="","",DATE(YEAR($C58),MONTH($C58),1))</f>
        <v/>
      </c>
      <c r="P58" s="113">
        <f>IF($C58="","",IF(AND($D58="Gelir",$L58&lt;&gt;"",$T58=""),"TANIMSIZ BORÇLU",IF($T58&lt;&gt;"",IF(OR($E58="",$G58&lt;=0),"EKSİK",IF($I58="Evet","TAHAKKUK NAKİT OLAMAZ",IF($C58&gt;TODAY(),"İLERİ TARİH","TAHAKKUK"))),IF(AND($D58&lt;&gt;"",$E58&lt;&gt;"",$G58&gt;0,$H58&lt;&gt;"",$I58&lt;&gt;""),IF($C58&gt;TODAY(),"İLERİ TARİH",IF(COUNTIF($W$7:$W$1206,$W58)&gt;1,"MÜKERRER?",IF($AD58&gt;0,"KAPALI DÖNEM",IF($I58="Hayır","ÖDENECEK","UYGUN")))),"EKSİK"))))</f>
        <v/>
      </c>
      <c r="Q58" s="6" t="n"/>
      <c r="R58" s="6" t="n"/>
      <c r="S58" s="3">
        <f>IF($L58="","",UPPER(SUBSTITUTE(SUBSTITUTE(SUBSTITUTE(SUBSTITUTE(SUBSTITUTE(SUBSTITUTE(SUBSTITUTE(SUBSTITUTE(SUBSTITUTE(SUBSTITUTE(SUBSTITUTE(SUBSTITUTE(SUBSTITUTE(SUBSTITUTE(SUBSTITUTE(SUBSTITUTE(SUBSTITUTE(SUBSTITUTE(TRIM($L58),"'",""),"İ","I"),"ı","I"),"i","I"),"Ş","S"),"ş","S"),"Ğ","G"),"ğ","G"),"Ü","U"),"ü","U"),"Ö","O"),"ö","O"),"Ç","C"),"ç","C"),".",""),",","")," ",""),"-","")))</f>
        <v/>
      </c>
      <c r="T58" s="3">
        <f>IF(OR($C58="",$D58&lt;&gt;"Gelir",$L58=""),"",IFERROR(INDEX(MUSTERILER!$B$7:$B$106,MATCH($S58,MUSTERILER!$T$7:$T$106,0)),""))</f>
        <v/>
      </c>
      <c r="U58" s="3">
        <f>IF($T58="","",$T58&amp;"|"&amp;COUNTIFS($T$7:$T58,$T58))</f>
        <v/>
      </c>
      <c r="V58" s="3">
        <f>IF($T58="",0,1)</f>
        <v/>
      </c>
      <c r="W58" s="3">
        <f>IF($C58="","",$D58&amp;"|"&amp;$E58&amp;"|"&amp;TEXT($C58,"0")&amp;"|"&amp;TEXT($G58,"0")&amp;"|"&amp;$J58)</f>
        <v/>
      </c>
      <c r="X58" s="3" t="n"/>
      <c r="Y58" s="3" t="n"/>
      <c r="Z58" s="3" t="n"/>
      <c r="AA58" s="3" t="n"/>
      <c r="AB58" s="3" t="n"/>
      <c r="AC58" s="3" t="n"/>
      <c r="AD58" s="3">
        <f>IF($C58="",0,SUMPRODUCT((AY_SONU!$O$7:$O$42="Evet")*(AY_SONU!$B$7:$B$42=DATE(YEAR($C58),MONTH($C58),1))))</f>
        <v/>
      </c>
    </row>
    <row r="59">
      <c r="A59" s="6" t="n"/>
      <c r="B59" s="113">
        <f>IF($C59="","","GG"&amp;TEXT(ROW()-6,"00000"))</f>
        <v/>
      </c>
      <c r="C59" s="220" t="n">
        <v>46096</v>
      </c>
      <c r="D59" s="108" t="inlineStr">
        <is>
          <t>Gider</t>
        </is>
      </c>
      <c r="E59" s="109" t="inlineStr">
        <is>
          <t>Ulaşım</t>
        </is>
      </c>
      <c r="F59" s="109" t="inlineStr">
        <is>
          <t>Benzin</t>
        </is>
      </c>
      <c r="G59" s="221" t="n">
        <v>4000</v>
      </c>
      <c r="H59" s="108" t="inlineStr">
        <is>
          <t>Merkez Kasa</t>
        </is>
      </c>
      <c r="I59" s="108" t="inlineStr">
        <is>
          <t>Evet</t>
        </is>
      </c>
      <c r="J59" s="109" t="n"/>
      <c r="K59" s="109" t="n"/>
      <c r="L59" s="108" t="n"/>
      <c r="M59" s="121">
        <f>IF($C59="","",IF($D59="Gider",$E59,IF($L59&lt;&gt;"",$L59,$H59)))</f>
        <v/>
      </c>
      <c r="N59" s="121">
        <f>IF($C59="","",IF($D59="Gider",$H59,$E59))</f>
        <v/>
      </c>
      <c r="O59" s="226">
        <f>IF($C59="","",DATE(YEAR($C59),MONTH($C59),1))</f>
        <v/>
      </c>
      <c r="P59" s="113">
        <f>IF($C59="","",IF(AND($D59="Gelir",$L59&lt;&gt;"",$T59=""),"TANIMSIZ BORÇLU",IF($T59&lt;&gt;"",IF(OR($E59="",$G59&lt;=0),"EKSİK",IF($I59="Evet","TAHAKKUK NAKİT OLAMAZ",IF($C59&gt;TODAY(),"İLERİ TARİH","TAHAKKUK"))),IF(AND($D59&lt;&gt;"",$E59&lt;&gt;"",$G59&gt;0,$H59&lt;&gt;"",$I59&lt;&gt;""),IF($C59&gt;TODAY(),"İLERİ TARİH",IF(COUNTIF($W$7:$W$1206,$W59)&gt;1,"MÜKERRER?",IF($AD59&gt;0,"KAPALI DÖNEM",IF($I59="Hayır","ÖDENECEK","UYGUN")))),"EKSİK"))))</f>
        <v/>
      </c>
      <c r="Q59" s="6" t="n"/>
      <c r="R59" s="6" t="n"/>
      <c r="S59" s="3">
        <f>IF($L59="","",UPPER(SUBSTITUTE(SUBSTITUTE(SUBSTITUTE(SUBSTITUTE(SUBSTITUTE(SUBSTITUTE(SUBSTITUTE(SUBSTITUTE(SUBSTITUTE(SUBSTITUTE(SUBSTITUTE(SUBSTITUTE(SUBSTITUTE(SUBSTITUTE(SUBSTITUTE(SUBSTITUTE(SUBSTITUTE(SUBSTITUTE(TRIM($L59),"'",""),"İ","I"),"ı","I"),"i","I"),"Ş","S"),"ş","S"),"Ğ","G"),"ğ","G"),"Ü","U"),"ü","U"),"Ö","O"),"ö","O"),"Ç","C"),"ç","C"),".",""),",","")," ",""),"-","")))</f>
        <v/>
      </c>
      <c r="T59" s="3">
        <f>IF(OR($C59="",$D59&lt;&gt;"Gelir",$L59=""),"",IFERROR(INDEX(MUSTERILER!$B$7:$B$106,MATCH($S59,MUSTERILER!$T$7:$T$106,0)),""))</f>
        <v/>
      </c>
      <c r="U59" s="3">
        <f>IF($T59="","",$T59&amp;"|"&amp;COUNTIFS($T$7:$T59,$T59))</f>
        <v/>
      </c>
      <c r="V59" s="3">
        <f>IF($T59="",0,1)</f>
        <v/>
      </c>
      <c r="W59" s="3">
        <f>IF($C59="","",$D59&amp;"|"&amp;$E59&amp;"|"&amp;TEXT($C59,"0")&amp;"|"&amp;TEXT($G59,"0")&amp;"|"&amp;$J59)</f>
        <v/>
      </c>
      <c r="X59" s="3" t="n"/>
      <c r="Y59" s="3" t="n"/>
      <c r="Z59" s="3" t="n"/>
      <c r="AA59" s="3" t="n"/>
      <c r="AB59" s="3" t="n"/>
      <c r="AC59" s="3" t="n"/>
      <c r="AD59" s="3">
        <f>IF($C59="",0,SUMPRODUCT((AY_SONU!$O$7:$O$42="Evet")*(AY_SONU!$B$7:$B$42=DATE(YEAR($C59),MONTH($C59),1))))</f>
        <v/>
      </c>
    </row>
    <row r="60">
      <c r="A60" s="6" t="n"/>
      <c r="B60" s="113">
        <f>IF($C60="","","GG"&amp;TEXT(ROW()-6,"00000"))</f>
        <v/>
      </c>
      <c r="C60" s="220" t="n">
        <v>46096</v>
      </c>
      <c r="D60" s="108" t="inlineStr">
        <is>
          <t>Gider</t>
        </is>
      </c>
      <c r="E60" s="109" t="inlineStr">
        <is>
          <t>Telefon / İnternet</t>
        </is>
      </c>
      <c r="F60" s="109" t="inlineStr">
        <is>
          <t>Ofis Whatsapp Hattı Mart</t>
        </is>
      </c>
      <c r="G60" s="221" t="n">
        <v>800</v>
      </c>
      <c r="H60" s="108" t="inlineStr">
        <is>
          <t>Merkez Kasa</t>
        </is>
      </c>
      <c r="I60" s="108" t="inlineStr">
        <is>
          <t>Evet</t>
        </is>
      </c>
      <c r="J60" s="109" t="n"/>
      <c r="K60" s="109" t="n"/>
      <c r="L60" s="108" t="n"/>
      <c r="M60" s="121">
        <f>IF($C60="","",IF($D60="Gider",$E60,IF($L60&lt;&gt;"",$L60,$H60)))</f>
        <v/>
      </c>
      <c r="N60" s="121">
        <f>IF($C60="","",IF($D60="Gider",$H60,$E60))</f>
        <v/>
      </c>
      <c r="O60" s="226">
        <f>IF($C60="","",DATE(YEAR($C60),MONTH($C60),1))</f>
        <v/>
      </c>
      <c r="P60" s="113">
        <f>IF($C60="","",IF(AND($D60="Gelir",$L60&lt;&gt;"",$T60=""),"TANIMSIZ BORÇLU",IF($T60&lt;&gt;"",IF(OR($E60="",$G60&lt;=0),"EKSİK",IF($I60="Evet","TAHAKKUK NAKİT OLAMAZ",IF($C60&gt;TODAY(),"İLERİ TARİH","TAHAKKUK"))),IF(AND($D60&lt;&gt;"",$E60&lt;&gt;"",$G60&gt;0,$H60&lt;&gt;"",$I60&lt;&gt;""),IF($C60&gt;TODAY(),"İLERİ TARİH",IF(COUNTIF($W$7:$W$1206,$W60)&gt;1,"MÜKERRER?",IF($AD60&gt;0,"KAPALI DÖNEM",IF($I60="Hayır","ÖDENECEK","UYGUN")))),"EKSİK"))))</f>
        <v/>
      </c>
      <c r="Q60" s="6" t="n"/>
      <c r="R60" s="6" t="n"/>
      <c r="S60" s="3">
        <f>IF($L60="","",UPPER(SUBSTITUTE(SUBSTITUTE(SUBSTITUTE(SUBSTITUTE(SUBSTITUTE(SUBSTITUTE(SUBSTITUTE(SUBSTITUTE(SUBSTITUTE(SUBSTITUTE(SUBSTITUTE(SUBSTITUTE(SUBSTITUTE(SUBSTITUTE(SUBSTITUTE(SUBSTITUTE(SUBSTITUTE(SUBSTITUTE(TRIM($L60),"'",""),"İ","I"),"ı","I"),"i","I"),"Ş","S"),"ş","S"),"Ğ","G"),"ğ","G"),"Ü","U"),"ü","U"),"Ö","O"),"ö","O"),"Ç","C"),"ç","C"),".",""),",","")," ",""),"-","")))</f>
        <v/>
      </c>
      <c r="T60" s="3">
        <f>IF(OR($C60="",$D60&lt;&gt;"Gelir",$L60=""),"",IFERROR(INDEX(MUSTERILER!$B$7:$B$106,MATCH($S60,MUSTERILER!$T$7:$T$106,0)),""))</f>
        <v/>
      </c>
      <c r="U60" s="3">
        <f>IF($T60="","",$T60&amp;"|"&amp;COUNTIFS($T$7:$T60,$T60))</f>
        <v/>
      </c>
      <c r="V60" s="3">
        <f>IF($T60="",0,1)</f>
        <v/>
      </c>
      <c r="W60" s="3">
        <f>IF($C60="","",$D60&amp;"|"&amp;$E60&amp;"|"&amp;TEXT($C60,"0")&amp;"|"&amp;TEXT($G60,"0")&amp;"|"&amp;$J60)</f>
        <v/>
      </c>
      <c r="X60" s="3" t="n"/>
      <c r="Y60" s="3" t="n"/>
      <c r="Z60" s="3" t="n"/>
      <c r="AA60" s="3" t="n"/>
      <c r="AB60" s="3" t="n"/>
      <c r="AC60" s="3" t="n"/>
      <c r="AD60" s="3">
        <f>IF($C60="",0,SUMPRODUCT((AY_SONU!$O$7:$O$42="Evet")*(AY_SONU!$B$7:$B$42=DATE(YEAR($C60),MONTH($C60),1))))</f>
        <v/>
      </c>
    </row>
    <row r="61">
      <c r="A61" s="6" t="n"/>
      <c r="B61" s="113">
        <f>IF($C61="","","GG"&amp;TEXT(ROW()-6,"00000"))</f>
        <v/>
      </c>
      <c r="C61" s="220" t="n">
        <v>46103</v>
      </c>
      <c r="D61" s="108" t="inlineStr">
        <is>
          <t>Gider</t>
        </is>
      </c>
      <c r="E61" s="109" t="inlineStr">
        <is>
          <t>Ulaşım</t>
        </is>
      </c>
      <c r="F61" s="109" t="inlineStr">
        <is>
          <t>Akaryakıt</t>
        </is>
      </c>
      <c r="G61" s="221" t="n">
        <v>4000</v>
      </c>
      <c r="H61" s="108" t="inlineStr">
        <is>
          <t>Merkez Kasa</t>
        </is>
      </c>
      <c r="I61" s="108" t="inlineStr">
        <is>
          <t>Evet</t>
        </is>
      </c>
      <c r="J61" s="109" t="n"/>
      <c r="K61" s="109" t="n"/>
      <c r="L61" s="108" t="n"/>
      <c r="M61" s="121">
        <f>IF($C61="","",IF($D61="Gider",$E61,IF($L61&lt;&gt;"",$L61,$H61)))</f>
        <v/>
      </c>
      <c r="N61" s="121">
        <f>IF($C61="","",IF($D61="Gider",$H61,$E61))</f>
        <v/>
      </c>
      <c r="O61" s="226">
        <f>IF($C61="","",DATE(YEAR($C61),MONTH($C61),1))</f>
        <v/>
      </c>
      <c r="P61" s="113">
        <f>IF($C61="","",IF(AND($D61="Gelir",$L61&lt;&gt;"",$T61=""),"TANIMSIZ BORÇLU",IF($T61&lt;&gt;"",IF(OR($E61="",$G61&lt;=0),"EKSİK",IF($I61="Evet","TAHAKKUK NAKİT OLAMAZ",IF($C61&gt;TODAY(),"İLERİ TARİH","TAHAKKUK"))),IF(AND($D61&lt;&gt;"",$E61&lt;&gt;"",$G61&gt;0,$H61&lt;&gt;"",$I61&lt;&gt;""),IF($C61&gt;TODAY(),"İLERİ TARİH",IF(COUNTIF($W$7:$W$1206,$W61)&gt;1,"MÜKERRER?",IF($AD61&gt;0,"KAPALI DÖNEM",IF($I61="Hayır","ÖDENECEK","UYGUN")))),"EKSİK"))))</f>
        <v/>
      </c>
      <c r="Q61" s="6" t="n"/>
      <c r="R61" s="6" t="n"/>
      <c r="S61" s="3">
        <f>IF($L61="","",UPPER(SUBSTITUTE(SUBSTITUTE(SUBSTITUTE(SUBSTITUTE(SUBSTITUTE(SUBSTITUTE(SUBSTITUTE(SUBSTITUTE(SUBSTITUTE(SUBSTITUTE(SUBSTITUTE(SUBSTITUTE(SUBSTITUTE(SUBSTITUTE(SUBSTITUTE(SUBSTITUTE(SUBSTITUTE(SUBSTITUTE(TRIM($L61),"'",""),"İ","I"),"ı","I"),"i","I"),"Ş","S"),"ş","S"),"Ğ","G"),"ğ","G"),"Ü","U"),"ü","U"),"Ö","O"),"ö","O"),"Ç","C"),"ç","C"),".",""),",","")," ",""),"-","")))</f>
        <v/>
      </c>
      <c r="T61" s="3">
        <f>IF(OR($C61="",$D61&lt;&gt;"Gelir",$L61=""),"",IFERROR(INDEX(MUSTERILER!$B$7:$B$106,MATCH($S61,MUSTERILER!$T$7:$T$106,0)),""))</f>
        <v/>
      </c>
      <c r="U61" s="3">
        <f>IF($T61="","",$T61&amp;"|"&amp;COUNTIFS($T$7:$T61,$T61))</f>
        <v/>
      </c>
      <c r="V61" s="3">
        <f>IF($T61="",0,1)</f>
        <v/>
      </c>
      <c r="W61" s="3">
        <f>IF($C61="","",$D61&amp;"|"&amp;$E61&amp;"|"&amp;TEXT($C61,"0")&amp;"|"&amp;TEXT($G61,"0")&amp;"|"&amp;$J61)</f>
        <v/>
      </c>
      <c r="X61" s="3" t="n"/>
      <c r="Y61" s="3" t="n"/>
      <c r="Z61" s="3" t="n"/>
      <c r="AA61" s="3" t="n"/>
      <c r="AB61" s="3" t="n"/>
      <c r="AC61" s="3" t="n"/>
      <c r="AD61" s="3">
        <f>IF($C61="",0,SUMPRODUCT((AY_SONU!$O$7:$O$42="Evet")*(AY_SONU!$B$7:$B$42=DATE(YEAR($C61),MONTH($C61),1))))</f>
        <v/>
      </c>
    </row>
    <row r="62">
      <c r="A62" s="6" t="n"/>
      <c r="B62" s="113">
        <f>IF($C62="","","GG"&amp;TEXT(ROW()-6,"00000"))</f>
        <v/>
      </c>
      <c r="C62" s="220" t="n">
        <v>46106</v>
      </c>
      <c r="D62" s="108" t="inlineStr">
        <is>
          <t>Gider</t>
        </is>
      </c>
      <c r="E62" s="109" t="inlineStr">
        <is>
          <t>Temsil / Ağırlama</t>
        </is>
      </c>
      <c r="F62" s="109" t="inlineStr">
        <is>
          <t>Kahve</t>
        </is>
      </c>
      <c r="G62" s="221" t="n">
        <v>420</v>
      </c>
      <c r="H62" s="108" t="inlineStr">
        <is>
          <t>Merkez Kasa</t>
        </is>
      </c>
      <c r="I62" s="108" t="inlineStr">
        <is>
          <t>Evet</t>
        </is>
      </c>
      <c r="J62" s="109" t="n"/>
      <c r="K62" s="109" t="n"/>
      <c r="L62" s="108" t="n"/>
      <c r="M62" s="121">
        <f>IF($C62="","",IF($D62="Gider",$E62,IF($L62&lt;&gt;"",$L62,$H62)))</f>
        <v/>
      </c>
      <c r="N62" s="121">
        <f>IF($C62="","",IF($D62="Gider",$H62,$E62))</f>
        <v/>
      </c>
      <c r="O62" s="226">
        <f>IF($C62="","",DATE(YEAR($C62),MONTH($C62),1))</f>
        <v/>
      </c>
      <c r="P62" s="113">
        <f>IF($C62="","",IF(AND($D62="Gelir",$L62&lt;&gt;"",$T62=""),"TANIMSIZ BORÇLU",IF($T62&lt;&gt;"",IF(OR($E62="",$G62&lt;=0),"EKSİK",IF($I62="Evet","TAHAKKUK NAKİT OLAMAZ",IF($C62&gt;TODAY(),"İLERİ TARİH","TAHAKKUK"))),IF(AND($D62&lt;&gt;"",$E62&lt;&gt;"",$G62&gt;0,$H62&lt;&gt;"",$I62&lt;&gt;""),IF($C62&gt;TODAY(),"İLERİ TARİH",IF(COUNTIF($W$7:$W$1206,$W62)&gt;1,"MÜKERRER?",IF($AD62&gt;0,"KAPALI DÖNEM",IF($I62="Hayır","ÖDENECEK","UYGUN")))),"EKSİK"))))</f>
        <v/>
      </c>
      <c r="Q62" s="6" t="n"/>
      <c r="R62" s="6" t="n"/>
      <c r="S62" s="3">
        <f>IF($L62="","",UPPER(SUBSTITUTE(SUBSTITUTE(SUBSTITUTE(SUBSTITUTE(SUBSTITUTE(SUBSTITUTE(SUBSTITUTE(SUBSTITUTE(SUBSTITUTE(SUBSTITUTE(SUBSTITUTE(SUBSTITUTE(SUBSTITUTE(SUBSTITUTE(SUBSTITUTE(SUBSTITUTE(SUBSTITUTE(SUBSTITUTE(TRIM($L62),"'",""),"İ","I"),"ı","I"),"i","I"),"Ş","S"),"ş","S"),"Ğ","G"),"ğ","G"),"Ü","U"),"ü","U"),"Ö","O"),"ö","O"),"Ç","C"),"ç","C"),".",""),",","")," ",""),"-","")))</f>
        <v/>
      </c>
      <c r="T62" s="3">
        <f>IF(OR($C62="",$D62&lt;&gt;"Gelir",$L62=""),"",IFERROR(INDEX(MUSTERILER!$B$7:$B$106,MATCH($S62,MUSTERILER!$T$7:$T$106,0)),""))</f>
        <v/>
      </c>
      <c r="U62" s="3">
        <f>IF($T62="","",$T62&amp;"|"&amp;COUNTIFS($T$7:$T62,$T62))</f>
        <v/>
      </c>
      <c r="V62" s="3">
        <f>IF($T62="",0,1)</f>
        <v/>
      </c>
      <c r="W62" s="3">
        <f>IF($C62="","",$D62&amp;"|"&amp;$E62&amp;"|"&amp;TEXT($C62,"0")&amp;"|"&amp;TEXT($G62,"0")&amp;"|"&amp;$J62)</f>
        <v/>
      </c>
      <c r="X62" s="3" t="n"/>
      <c r="Y62" s="3" t="n"/>
      <c r="Z62" s="3" t="n"/>
      <c r="AA62" s="3" t="n"/>
      <c r="AB62" s="3" t="n"/>
      <c r="AC62" s="3" t="n"/>
      <c r="AD62" s="3">
        <f>IF($C62="",0,SUMPRODUCT((AY_SONU!$O$7:$O$42="Evet")*(AY_SONU!$B$7:$B$42=DATE(YEAR($C62),MONTH($C62),1))))</f>
        <v/>
      </c>
    </row>
    <row r="63">
      <c r="A63" s="6" t="n"/>
      <c r="B63" s="113">
        <f>IF($C63="","","GG"&amp;TEXT(ROW()-6,"00000"))</f>
        <v/>
      </c>
      <c r="C63" s="220" t="n">
        <v>46107</v>
      </c>
      <c r="D63" s="108" t="inlineStr">
        <is>
          <t>Gider</t>
        </is>
      </c>
      <c r="E63" s="109" t="inlineStr">
        <is>
          <t>Temsil / Ağırlama</t>
        </is>
      </c>
      <c r="F63" s="109" t="inlineStr">
        <is>
          <t>İçme Suyu</t>
        </is>
      </c>
      <c r="G63" s="221" t="n">
        <v>450</v>
      </c>
      <c r="H63" s="108" t="inlineStr">
        <is>
          <t>Merkez Kasa</t>
        </is>
      </c>
      <c r="I63" s="108" t="inlineStr">
        <is>
          <t>Evet</t>
        </is>
      </c>
      <c r="J63" s="109" t="n"/>
      <c r="K63" s="109" t="n"/>
      <c r="L63" s="108" t="n"/>
      <c r="M63" s="121">
        <f>IF($C63="","",IF($D63="Gider",$E63,IF($L63&lt;&gt;"",$L63,$H63)))</f>
        <v/>
      </c>
      <c r="N63" s="121">
        <f>IF($C63="","",IF($D63="Gider",$H63,$E63))</f>
        <v/>
      </c>
      <c r="O63" s="226">
        <f>IF($C63="","",DATE(YEAR($C63),MONTH($C63),1))</f>
        <v/>
      </c>
      <c r="P63" s="113">
        <f>IF($C63="","",IF(AND($D63="Gelir",$L63&lt;&gt;"",$T63=""),"TANIMSIZ BORÇLU",IF($T63&lt;&gt;"",IF(OR($E63="",$G63&lt;=0),"EKSİK",IF($I63="Evet","TAHAKKUK NAKİT OLAMAZ",IF($C63&gt;TODAY(),"İLERİ TARİH","TAHAKKUK"))),IF(AND($D63&lt;&gt;"",$E63&lt;&gt;"",$G63&gt;0,$H63&lt;&gt;"",$I63&lt;&gt;""),IF($C63&gt;TODAY(),"İLERİ TARİH",IF(COUNTIF($W$7:$W$1206,$W63)&gt;1,"MÜKERRER?",IF($AD63&gt;0,"KAPALI DÖNEM",IF($I63="Hayır","ÖDENECEK","UYGUN")))),"EKSİK"))))</f>
        <v/>
      </c>
      <c r="Q63" s="6" t="n"/>
      <c r="R63" s="6" t="n"/>
      <c r="S63" s="3">
        <f>IF($L63="","",UPPER(SUBSTITUTE(SUBSTITUTE(SUBSTITUTE(SUBSTITUTE(SUBSTITUTE(SUBSTITUTE(SUBSTITUTE(SUBSTITUTE(SUBSTITUTE(SUBSTITUTE(SUBSTITUTE(SUBSTITUTE(SUBSTITUTE(SUBSTITUTE(SUBSTITUTE(SUBSTITUTE(SUBSTITUTE(SUBSTITUTE(TRIM($L63),"'",""),"İ","I"),"ı","I"),"i","I"),"Ş","S"),"ş","S"),"Ğ","G"),"ğ","G"),"Ü","U"),"ü","U"),"Ö","O"),"ö","O"),"Ç","C"),"ç","C"),".",""),",","")," ",""),"-","")))</f>
        <v/>
      </c>
      <c r="T63" s="3">
        <f>IF(OR($C63="",$D63&lt;&gt;"Gelir",$L63=""),"",IFERROR(INDEX(MUSTERILER!$B$7:$B$106,MATCH($S63,MUSTERILER!$T$7:$T$106,0)),""))</f>
        <v/>
      </c>
      <c r="U63" s="3">
        <f>IF($T63="","",$T63&amp;"|"&amp;COUNTIFS($T$7:$T63,$T63))</f>
        <v/>
      </c>
      <c r="V63" s="3">
        <f>IF($T63="",0,1)</f>
        <v/>
      </c>
      <c r="W63" s="3">
        <f>IF($C63="","",$D63&amp;"|"&amp;$E63&amp;"|"&amp;TEXT($C63,"0")&amp;"|"&amp;TEXT($G63,"0")&amp;"|"&amp;$J63)</f>
        <v/>
      </c>
      <c r="X63" s="3" t="n"/>
      <c r="Y63" s="3" t="n"/>
      <c r="Z63" s="3" t="n"/>
      <c r="AA63" s="3" t="n"/>
      <c r="AB63" s="3" t="n"/>
      <c r="AC63" s="3" t="n"/>
      <c r="AD63" s="3">
        <f>IF($C63="",0,SUMPRODUCT((AY_SONU!$O$7:$O$42="Evet")*(AY_SONU!$B$7:$B$42=DATE(YEAR($C63),MONTH($C63),1))))</f>
        <v/>
      </c>
    </row>
    <row r="64">
      <c r="A64" s="6" t="n"/>
      <c r="B64" s="113">
        <f>IF($C64="","","GG"&amp;TEXT(ROW()-6,"00000"))</f>
        <v/>
      </c>
      <c r="C64" s="220" t="n">
        <v>46111</v>
      </c>
      <c r="D64" s="108" t="inlineStr">
        <is>
          <t>Gider</t>
        </is>
      </c>
      <c r="E64" s="109" t="inlineStr">
        <is>
          <t>Personel</t>
        </is>
      </c>
      <c r="F64" s="109" t="inlineStr">
        <is>
          <t>Zeynep Mart Maaşı Ödemesi</t>
        </is>
      </c>
      <c r="G64" s="221" t="n">
        <v>45000</v>
      </c>
      <c r="H64" s="108" t="inlineStr">
        <is>
          <t>Merkez Kasa</t>
        </is>
      </c>
      <c r="I64" s="108" t="inlineStr">
        <is>
          <t>Evet</t>
        </is>
      </c>
      <c r="J64" s="109" t="n"/>
      <c r="K64" s="109" t="n"/>
      <c r="L64" s="108" t="n"/>
      <c r="M64" s="121">
        <f>IF($C64="","",IF($D64="Gider",$E64,IF($L64&lt;&gt;"",$L64,$H64)))</f>
        <v/>
      </c>
      <c r="N64" s="121">
        <f>IF($C64="","",IF($D64="Gider",$H64,$E64))</f>
        <v/>
      </c>
      <c r="O64" s="226">
        <f>IF($C64="","",DATE(YEAR($C64),MONTH($C64),1))</f>
        <v/>
      </c>
      <c r="P64" s="113">
        <f>IF($C64="","",IF(AND($D64="Gelir",$L64&lt;&gt;"",$T64=""),"TANIMSIZ BORÇLU",IF($T64&lt;&gt;"",IF(OR($E64="",$G64&lt;=0),"EKSİK",IF($I64="Evet","TAHAKKUK NAKİT OLAMAZ",IF($C64&gt;TODAY(),"İLERİ TARİH","TAHAKKUK"))),IF(AND($D64&lt;&gt;"",$E64&lt;&gt;"",$G64&gt;0,$H64&lt;&gt;"",$I64&lt;&gt;""),IF($C64&gt;TODAY(),"İLERİ TARİH",IF(COUNTIF($W$7:$W$1206,$W64)&gt;1,"MÜKERRER?",IF($AD64&gt;0,"KAPALI DÖNEM",IF($I64="Hayır","ÖDENECEK","UYGUN")))),"EKSİK"))))</f>
        <v/>
      </c>
      <c r="Q64" s="6" t="n"/>
      <c r="R64" s="6" t="n"/>
      <c r="S64" s="3">
        <f>IF($L64="","",UPPER(SUBSTITUTE(SUBSTITUTE(SUBSTITUTE(SUBSTITUTE(SUBSTITUTE(SUBSTITUTE(SUBSTITUTE(SUBSTITUTE(SUBSTITUTE(SUBSTITUTE(SUBSTITUTE(SUBSTITUTE(SUBSTITUTE(SUBSTITUTE(SUBSTITUTE(SUBSTITUTE(SUBSTITUTE(SUBSTITUTE(TRIM($L64),"'",""),"İ","I"),"ı","I"),"i","I"),"Ş","S"),"ş","S"),"Ğ","G"),"ğ","G"),"Ü","U"),"ü","U"),"Ö","O"),"ö","O"),"Ç","C"),"ç","C"),".",""),",","")," ",""),"-","")))</f>
        <v/>
      </c>
      <c r="T64" s="3">
        <f>IF(OR($C64="",$D64&lt;&gt;"Gelir",$L64=""),"",IFERROR(INDEX(MUSTERILER!$B$7:$B$106,MATCH($S64,MUSTERILER!$T$7:$T$106,0)),""))</f>
        <v/>
      </c>
      <c r="U64" s="3">
        <f>IF($T64="","",$T64&amp;"|"&amp;COUNTIFS($T$7:$T64,$T64))</f>
        <v/>
      </c>
      <c r="V64" s="3">
        <f>IF($T64="",0,1)</f>
        <v/>
      </c>
      <c r="W64" s="3">
        <f>IF($C64="","",$D64&amp;"|"&amp;$E64&amp;"|"&amp;TEXT($C64,"0")&amp;"|"&amp;TEXT($G64,"0")&amp;"|"&amp;$J64)</f>
        <v/>
      </c>
      <c r="X64" s="3" t="n"/>
      <c r="Y64" s="3" t="n"/>
      <c r="Z64" s="3" t="n"/>
      <c r="AA64" s="3" t="n"/>
      <c r="AB64" s="3" t="n"/>
      <c r="AC64" s="3" t="n"/>
      <c r="AD64" s="3">
        <f>IF($C64="",0,SUMPRODUCT((AY_SONU!$O$7:$O$42="Evet")*(AY_SONU!$B$7:$B$42=DATE(YEAR($C64),MONTH($C64),1))))</f>
        <v/>
      </c>
    </row>
    <row r="65">
      <c r="A65" s="6" t="n"/>
      <c r="B65" s="113">
        <f>IF($C65="","","GG"&amp;TEXT(ROW()-6,"00000"))</f>
        <v/>
      </c>
      <c r="C65" s="220" t="n">
        <v>46111</v>
      </c>
      <c r="D65" s="108" t="inlineStr">
        <is>
          <t>Gider</t>
        </is>
      </c>
      <c r="E65" s="109" t="inlineStr">
        <is>
          <t>Vergi / Harç</t>
        </is>
      </c>
      <c r="F65" s="109" t="inlineStr">
        <is>
          <t>Bağkur Ödemesi</t>
        </is>
      </c>
      <c r="G65" s="221" t="n">
        <v>11810</v>
      </c>
      <c r="H65" s="108" t="inlineStr">
        <is>
          <t>Merkez Kasa</t>
        </is>
      </c>
      <c r="I65" s="108" t="inlineStr">
        <is>
          <t>Evet</t>
        </is>
      </c>
      <c r="J65" s="109" t="n"/>
      <c r="K65" s="109" t="n"/>
      <c r="L65" s="108" t="n"/>
      <c r="M65" s="121">
        <f>IF($C65="","",IF($D65="Gider",$E65,IF($L65&lt;&gt;"",$L65,$H65)))</f>
        <v/>
      </c>
      <c r="N65" s="121">
        <f>IF($C65="","",IF($D65="Gider",$H65,$E65))</f>
        <v/>
      </c>
      <c r="O65" s="226">
        <f>IF($C65="","",DATE(YEAR($C65),MONTH($C65),1))</f>
        <v/>
      </c>
      <c r="P65" s="113">
        <f>IF($C65="","",IF(AND($D65="Gelir",$L65&lt;&gt;"",$T65=""),"TANIMSIZ BORÇLU",IF($T65&lt;&gt;"",IF(OR($E65="",$G65&lt;=0),"EKSİK",IF($I65="Evet","TAHAKKUK NAKİT OLAMAZ",IF($C65&gt;TODAY(),"İLERİ TARİH","TAHAKKUK"))),IF(AND($D65&lt;&gt;"",$E65&lt;&gt;"",$G65&gt;0,$H65&lt;&gt;"",$I65&lt;&gt;""),IF($C65&gt;TODAY(),"İLERİ TARİH",IF(COUNTIF($W$7:$W$1206,$W65)&gt;1,"MÜKERRER?",IF($AD65&gt;0,"KAPALI DÖNEM",IF($I65="Hayır","ÖDENECEK","UYGUN")))),"EKSİK"))))</f>
        <v/>
      </c>
      <c r="Q65" s="6" t="n"/>
      <c r="R65" s="6" t="n"/>
      <c r="S65" s="3">
        <f>IF($L65="","",UPPER(SUBSTITUTE(SUBSTITUTE(SUBSTITUTE(SUBSTITUTE(SUBSTITUTE(SUBSTITUTE(SUBSTITUTE(SUBSTITUTE(SUBSTITUTE(SUBSTITUTE(SUBSTITUTE(SUBSTITUTE(SUBSTITUTE(SUBSTITUTE(SUBSTITUTE(SUBSTITUTE(SUBSTITUTE(SUBSTITUTE(TRIM($L65),"'",""),"İ","I"),"ı","I"),"i","I"),"Ş","S"),"ş","S"),"Ğ","G"),"ğ","G"),"Ü","U"),"ü","U"),"Ö","O"),"ö","O"),"Ç","C"),"ç","C"),".",""),",","")," ",""),"-","")))</f>
        <v/>
      </c>
      <c r="T65" s="3">
        <f>IF(OR($C65="",$D65&lt;&gt;"Gelir",$L65=""),"",IFERROR(INDEX(MUSTERILER!$B$7:$B$106,MATCH($S65,MUSTERILER!$T$7:$T$106,0)),""))</f>
        <v/>
      </c>
      <c r="U65" s="3">
        <f>IF($T65="","",$T65&amp;"|"&amp;COUNTIFS($T$7:$T65,$T65))</f>
        <v/>
      </c>
      <c r="V65" s="3">
        <f>IF($T65="",0,1)</f>
        <v/>
      </c>
      <c r="W65" s="3">
        <f>IF($C65="","",$D65&amp;"|"&amp;$E65&amp;"|"&amp;TEXT($C65,"0")&amp;"|"&amp;TEXT($G65,"0")&amp;"|"&amp;$J65)</f>
        <v/>
      </c>
      <c r="X65" s="3" t="n"/>
      <c r="Y65" s="3" t="n"/>
      <c r="Z65" s="3" t="n"/>
      <c r="AA65" s="3" t="n"/>
      <c r="AB65" s="3" t="n"/>
      <c r="AC65" s="3" t="n"/>
      <c r="AD65" s="3">
        <f>IF($C65="",0,SUMPRODUCT((AY_SONU!$O$7:$O$42="Evet")*(AY_SONU!$B$7:$B$42=DATE(YEAR($C65),MONTH($C65),1))))</f>
        <v/>
      </c>
    </row>
    <row r="66">
      <c r="A66" s="6" t="n"/>
      <c r="B66" s="113">
        <f>IF($C66="","","GG"&amp;TEXT(ROW()-6,"00000"))</f>
        <v/>
      </c>
      <c r="C66" s="220" t="n">
        <v>46111</v>
      </c>
      <c r="D66" s="108" t="inlineStr">
        <is>
          <t>Gider</t>
        </is>
      </c>
      <c r="E66" s="109" t="inlineStr">
        <is>
          <t>Yazılım / Abonelik</t>
        </is>
      </c>
      <c r="F66" s="109" t="inlineStr">
        <is>
          <t>Luca Güncelleme Bedeli</t>
        </is>
      </c>
      <c r="G66" s="221" t="n">
        <v>11900</v>
      </c>
      <c r="H66" s="108" t="inlineStr">
        <is>
          <t>Merkez Kasa</t>
        </is>
      </c>
      <c r="I66" s="108" t="inlineStr">
        <is>
          <t>Evet</t>
        </is>
      </c>
      <c r="J66" s="109" t="n"/>
      <c r="K66" s="109" t="n"/>
      <c r="L66" s="108" t="n"/>
      <c r="M66" s="121">
        <f>IF($C66="","",IF($D66="Gider",$E66,IF($L66&lt;&gt;"",$L66,$H66)))</f>
        <v/>
      </c>
      <c r="N66" s="121">
        <f>IF($C66="","",IF($D66="Gider",$H66,$E66))</f>
        <v/>
      </c>
      <c r="O66" s="226">
        <f>IF($C66="","",DATE(YEAR($C66),MONTH($C66),1))</f>
        <v/>
      </c>
      <c r="P66" s="113">
        <f>IF($C66="","",IF(AND($D66="Gelir",$L66&lt;&gt;"",$T66=""),"TANIMSIZ BORÇLU",IF($T66&lt;&gt;"",IF(OR($E66="",$G66&lt;=0),"EKSİK",IF($I66="Evet","TAHAKKUK NAKİT OLAMAZ",IF($C66&gt;TODAY(),"İLERİ TARİH","TAHAKKUK"))),IF(AND($D66&lt;&gt;"",$E66&lt;&gt;"",$G66&gt;0,$H66&lt;&gt;"",$I66&lt;&gt;""),IF($C66&gt;TODAY(),"İLERİ TARİH",IF(COUNTIF($W$7:$W$1206,$W66)&gt;1,"MÜKERRER?",IF($AD66&gt;0,"KAPALI DÖNEM",IF($I66="Hayır","ÖDENECEK","UYGUN")))),"EKSİK"))))</f>
        <v/>
      </c>
      <c r="Q66" s="6" t="n"/>
      <c r="R66" s="6" t="n"/>
      <c r="S66" s="3">
        <f>IF($L66="","",UPPER(SUBSTITUTE(SUBSTITUTE(SUBSTITUTE(SUBSTITUTE(SUBSTITUTE(SUBSTITUTE(SUBSTITUTE(SUBSTITUTE(SUBSTITUTE(SUBSTITUTE(SUBSTITUTE(SUBSTITUTE(SUBSTITUTE(SUBSTITUTE(SUBSTITUTE(SUBSTITUTE(SUBSTITUTE(SUBSTITUTE(TRIM($L66),"'",""),"İ","I"),"ı","I"),"i","I"),"Ş","S"),"ş","S"),"Ğ","G"),"ğ","G"),"Ü","U"),"ü","U"),"Ö","O"),"ö","O"),"Ç","C"),"ç","C"),".",""),",","")," ",""),"-","")))</f>
        <v/>
      </c>
      <c r="T66" s="3">
        <f>IF(OR($C66="",$D66&lt;&gt;"Gelir",$L66=""),"",IFERROR(INDEX(MUSTERILER!$B$7:$B$106,MATCH($S66,MUSTERILER!$T$7:$T$106,0)),""))</f>
        <v/>
      </c>
      <c r="U66" s="3">
        <f>IF($T66="","",$T66&amp;"|"&amp;COUNTIFS($T$7:$T66,$T66))</f>
        <v/>
      </c>
      <c r="V66" s="3">
        <f>IF($T66="",0,1)</f>
        <v/>
      </c>
      <c r="W66" s="3">
        <f>IF($C66="","",$D66&amp;"|"&amp;$E66&amp;"|"&amp;TEXT($C66,"0")&amp;"|"&amp;TEXT($G66,"0")&amp;"|"&amp;$J66)</f>
        <v/>
      </c>
      <c r="X66" s="3" t="n"/>
      <c r="Y66" s="3" t="n"/>
      <c r="Z66" s="3" t="n"/>
      <c r="AA66" s="3" t="n"/>
      <c r="AB66" s="3" t="n"/>
      <c r="AC66" s="3" t="n"/>
      <c r="AD66" s="3">
        <f>IF($C66="",0,SUMPRODUCT((AY_SONU!$O$7:$O$42="Evet")*(AY_SONU!$B$7:$B$42=DATE(YEAR($C66),MONTH($C66),1))))</f>
        <v/>
      </c>
    </row>
    <row r="67">
      <c r="A67" s="6" t="n"/>
      <c r="B67" s="113">
        <f>IF($C67="","","GG"&amp;TEXT(ROW()-6,"00000"))</f>
        <v/>
      </c>
      <c r="C67" s="220" t="n">
        <v>46111</v>
      </c>
      <c r="D67" s="108" t="inlineStr">
        <is>
          <t>Gider</t>
        </is>
      </c>
      <c r="E67" s="109" t="inlineStr">
        <is>
          <t>Telefon / İnternet</t>
        </is>
      </c>
      <c r="F67" s="109" t="inlineStr">
        <is>
          <t>İnternet Ödemesi</t>
        </is>
      </c>
      <c r="G67" s="221" t="n">
        <v>610</v>
      </c>
      <c r="H67" s="108" t="inlineStr">
        <is>
          <t>Merkez Kasa</t>
        </is>
      </c>
      <c r="I67" s="108" t="inlineStr">
        <is>
          <t>Evet</t>
        </is>
      </c>
      <c r="J67" s="109" t="n"/>
      <c r="K67" s="109" t="n"/>
      <c r="L67" s="108" t="n"/>
      <c r="M67" s="121">
        <f>IF($C67="","",IF($D67="Gider",$E67,IF($L67&lt;&gt;"",$L67,$H67)))</f>
        <v/>
      </c>
      <c r="N67" s="121">
        <f>IF($C67="","",IF($D67="Gider",$H67,$E67))</f>
        <v/>
      </c>
      <c r="O67" s="226">
        <f>IF($C67="","",DATE(YEAR($C67),MONTH($C67),1))</f>
        <v/>
      </c>
      <c r="P67" s="113">
        <f>IF($C67="","",IF(AND($D67="Gelir",$L67&lt;&gt;"",$T67=""),"TANIMSIZ BORÇLU",IF($T67&lt;&gt;"",IF(OR($E67="",$G67&lt;=0),"EKSİK",IF($I67="Evet","TAHAKKUK NAKİT OLAMAZ",IF($C67&gt;TODAY(),"İLERİ TARİH","TAHAKKUK"))),IF(AND($D67&lt;&gt;"",$E67&lt;&gt;"",$G67&gt;0,$H67&lt;&gt;"",$I67&lt;&gt;""),IF($C67&gt;TODAY(),"İLERİ TARİH",IF(COUNTIF($W$7:$W$1206,$W67)&gt;1,"MÜKERRER?",IF($AD67&gt;0,"KAPALI DÖNEM",IF($I67="Hayır","ÖDENECEK","UYGUN")))),"EKSİK"))))</f>
        <v/>
      </c>
      <c r="Q67" s="6" t="n"/>
      <c r="R67" s="6" t="n"/>
      <c r="S67" s="3">
        <f>IF($L67="","",UPPER(SUBSTITUTE(SUBSTITUTE(SUBSTITUTE(SUBSTITUTE(SUBSTITUTE(SUBSTITUTE(SUBSTITUTE(SUBSTITUTE(SUBSTITUTE(SUBSTITUTE(SUBSTITUTE(SUBSTITUTE(SUBSTITUTE(SUBSTITUTE(SUBSTITUTE(SUBSTITUTE(SUBSTITUTE(SUBSTITUTE(TRIM($L67),"'",""),"İ","I"),"ı","I"),"i","I"),"Ş","S"),"ş","S"),"Ğ","G"),"ğ","G"),"Ü","U"),"ü","U"),"Ö","O"),"ö","O"),"Ç","C"),"ç","C"),".",""),",","")," ",""),"-","")))</f>
        <v/>
      </c>
      <c r="T67" s="3">
        <f>IF(OR($C67="",$D67&lt;&gt;"Gelir",$L67=""),"",IFERROR(INDEX(MUSTERILER!$B$7:$B$106,MATCH($S67,MUSTERILER!$T$7:$T$106,0)),""))</f>
        <v/>
      </c>
      <c r="U67" s="3">
        <f>IF($T67="","",$T67&amp;"|"&amp;COUNTIFS($T$7:$T67,$T67))</f>
        <v/>
      </c>
      <c r="V67" s="3">
        <f>IF($T67="",0,1)</f>
        <v/>
      </c>
      <c r="W67" s="3">
        <f>IF($C67="","",$D67&amp;"|"&amp;$E67&amp;"|"&amp;TEXT($C67,"0")&amp;"|"&amp;TEXT($G67,"0")&amp;"|"&amp;$J67)</f>
        <v/>
      </c>
      <c r="X67" s="3" t="n"/>
      <c r="Y67" s="3" t="n"/>
      <c r="Z67" s="3" t="n"/>
      <c r="AA67" s="3" t="n"/>
      <c r="AB67" s="3" t="n"/>
      <c r="AC67" s="3" t="n"/>
      <c r="AD67" s="3">
        <f>IF($C67="",0,SUMPRODUCT((AY_SONU!$O$7:$O$42="Evet")*(AY_SONU!$B$7:$B$42=DATE(YEAR($C67),MONTH($C67),1))))</f>
        <v/>
      </c>
    </row>
    <row r="68">
      <c r="A68" s="6" t="n"/>
      <c r="B68" s="113">
        <f>IF($C68="","","GG"&amp;TEXT(ROW()-6,"00000"))</f>
        <v/>
      </c>
      <c r="C68" s="220" t="n">
        <v>46111</v>
      </c>
      <c r="D68" s="108" t="inlineStr">
        <is>
          <t>Gider</t>
        </is>
      </c>
      <c r="E68" s="109" t="inlineStr">
        <is>
          <t>Ulaşım</t>
        </is>
      </c>
      <c r="F68" s="109" t="inlineStr">
        <is>
          <t xml:space="preserve">Benzin ( Ömer ) </t>
        </is>
      </c>
      <c r="G68" s="221" t="n">
        <v>4900</v>
      </c>
      <c r="H68" s="108" t="inlineStr">
        <is>
          <t>Merkez Kasa</t>
        </is>
      </c>
      <c r="I68" s="108" t="inlineStr">
        <is>
          <t>Evet</t>
        </is>
      </c>
      <c r="J68" s="109" t="n"/>
      <c r="K68" s="109" t="n"/>
      <c r="L68" s="108" t="n"/>
      <c r="M68" s="121">
        <f>IF($C68="","",IF($D68="Gider",$E68,IF($L68&lt;&gt;"",$L68,$H68)))</f>
        <v/>
      </c>
      <c r="N68" s="121">
        <f>IF($C68="","",IF($D68="Gider",$H68,$E68))</f>
        <v/>
      </c>
      <c r="O68" s="226">
        <f>IF($C68="","",DATE(YEAR($C68),MONTH($C68),1))</f>
        <v/>
      </c>
      <c r="P68" s="113">
        <f>IF($C68="","",IF(AND($D68="Gelir",$L68&lt;&gt;"",$T68=""),"TANIMSIZ BORÇLU",IF($T68&lt;&gt;"",IF(OR($E68="",$G68&lt;=0),"EKSİK",IF($I68="Evet","TAHAKKUK NAKİT OLAMAZ",IF($C68&gt;TODAY(),"İLERİ TARİH","TAHAKKUK"))),IF(AND($D68&lt;&gt;"",$E68&lt;&gt;"",$G68&gt;0,$H68&lt;&gt;"",$I68&lt;&gt;""),IF($C68&gt;TODAY(),"İLERİ TARİH",IF(COUNTIF($W$7:$W$1206,$W68)&gt;1,"MÜKERRER?",IF($AD68&gt;0,"KAPALI DÖNEM",IF($I68="Hayır","ÖDENECEK","UYGUN")))),"EKSİK"))))</f>
        <v/>
      </c>
      <c r="Q68" s="6" t="n"/>
      <c r="R68" s="6" t="n"/>
      <c r="S68" s="3">
        <f>IF($L68="","",UPPER(SUBSTITUTE(SUBSTITUTE(SUBSTITUTE(SUBSTITUTE(SUBSTITUTE(SUBSTITUTE(SUBSTITUTE(SUBSTITUTE(SUBSTITUTE(SUBSTITUTE(SUBSTITUTE(SUBSTITUTE(SUBSTITUTE(SUBSTITUTE(SUBSTITUTE(SUBSTITUTE(SUBSTITUTE(SUBSTITUTE(TRIM($L68),"'",""),"İ","I"),"ı","I"),"i","I"),"Ş","S"),"ş","S"),"Ğ","G"),"ğ","G"),"Ü","U"),"ü","U"),"Ö","O"),"ö","O"),"Ç","C"),"ç","C"),".",""),",","")," ",""),"-","")))</f>
        <v/>
      </c>
      <c r="T68" s="3">
        <f>IF(OR($C68="",$D68&lt;&gt;"Gelir",$L68=""),"",IFERROR(INDEX(MUSTERILER!$B$7:$B$106,MATCH($S68,MUSTERILER!$T$7:$T$106,0)),""))</f>
        <v/>
      </c>
      <c r="U68" s="3">
        <f>IF($T68="","",$T68&amp;"|"&amp;COUNTIFS($T$7:$T68,$T68))</f>
        <v/>
      </c>
      <c r="V68" s="3">
        <f>IF($T68="",0,1)</f>
        <v/>
      </c>
      <c r="W68" s="3">
        <f>IF($C68="","",$D68&amp;"|"&amp;$E68&amp;"|"&amp;TEXT($C68,"0")&amp;"|"&amp;TEXT($G68,"0")&amp;"|"&amp;$J68)</f>
        <v/>
      </c>
      <c r="X68" s="3" t="n"/>
      <c r="Y68" s="3" t="n"/>
      <c r="Z68" s="3" t="n"/>
      <c r="AA68" s="3" t="n"/>
      <c r="AB68" s="3" t="n"/>
      <c r="AC68" s="3" t="n"/>
      <c r="AD68" s="3">
        <f>IF($C68="",0,SUMPRODUCT((AY_SONU!$O$7:$O$42="Evet")*(AY_SONU!$B$7:$B$42=DATE(YEAR($C68),MONTH($C68),1))))</f>
        <v/>
      </c>
    </row>
    <row r="69">
      <c r="A69" s="6" t="n"/>
      <c r="B69" s="113">
        <f>IF($C69="","","GG"&amp;TEXT(ROW()-6,"00000"))</f>
        <v/>
      </c>
      <c r="C69" s="220" t="n">
        <v>46111</v>
      </c>
      <c r="D69" s="108" t="inlineStr">
        <is>
          <t>Gider</t>
        </is>
      </c>
      <c r="E69" s="109" t="inlineStr">
        <is>
          <t>Vergi / Harç</t>
        </is>
      </c>
      <c r="F69" s="109" t="inlineStr">
        <is>
          <t>M.Ali Kılıç Vergi Ödemesi</t>
        </is>
      </c>
      <c r="G69" s="221" t="n">
        <v>12303.97</v>
      </c>
      <c r="H69" s="108" t="inlineStr">
        <is>
          <t>Merkez Kasa</t>
        </is>
      </c>
      <c r="I69" s="108" t="inlineStr">
        <is>
          <t>Evet</t>
        </is>
      </c>
      <c r="J69" s="109" t="n"/>
      <c r="K69" s="109" t="n"/>
      <c r="L69" s="108" t="n"/>
      <c r="M69" s="121">
        <f>IF($C69="","",IF($D69="Gider",$E69,IF($L69&lt;&gt;"",$L69,$H69)))</f>
        <v/>
      </c>
      <c r="N69" s="121">
        <f>IF($C69="","",IF($D69="Gider",$H69,$E69))</f>
        <v/>
      </c>
      <c r="O69" s="226">
        <f>IF($C69="","",DATE(YEAR($C69),MONTH($C69),1))</f>
        <v/>
      </c>
      <c r="P69" s="113">
        <f>IF($C69="","",IF(AND($D69="Gelir",$L69&lt;&gt;"",$T69=""),"TANIMSIZ BORÇLU",IF($T69&lt;&gt;"",IF(OR($E69="",$G69&lt;=0),"EKSİK",IF($I69="Evet","TAHAKKUK NAKİT OLAMAZ",IF($C69&gt;TODAY(),"İLERİ TARİH","TAHAKKUK"))),IF(AND($D69&lt;&gt;"",$E69&lt;&gt;"",$G69&gt;0,$H69&lt;&gt;"",$I69&lt;&gt;""),IF($C69&gt;TODAY(),"İLERİ TARİH",IF(COUNTIF($W$7:$W$1206,$W69)&gt;1,"MÜKERRER?",IF($AD69&gt;0,"KAPALI DÖNEM",IF($I69="Hayır","ÖDENECEK","UYGUN")))),"EKSİK"))))</f>
        <v/>
      </c>
      <c r="Q69" s="6" t="n"/>
      <c r="R69" s="6" t="n"/>
      <c r="S69" s="3">
        <f>IF($L69="","",UPPER(SUBSTITUTE(SUBSTITUTE(SUBSTITUTE(SUBSTITUTE(SUBSTITUTE(SUBSTITUTE(SUBSTITUTE(SUBSTITUTE(SUBSTITUTE(SUBSTITUTE(SUBSTITUTE(SUBSTITUTE(SUBSTITUTE(SUBSTITUTE(SUBSTITUTE(SUBSTITUTE(SUBSTITUTE(SUBSTITUTE(TRIM($L69),"'",""),"İ","I"),"ı","I"),"i","I"),"Ş","S"),"ş","S"),"Ğ","G"),"ğ","G"),"Ü","U"),"ü","U"),"Ö","O"),"ö","O"),"Ç","C"),"ç","C"),".",""),",","")," ",""),"-","")))</f>
        <v/>
      </c>
      <c r="T69" s="3">
        <f>IF(OR($C69="",$D69&lt;&gt;"Gelir",$L69=""),"",IFERROR(INDEX(MUSTERILER!$B$7:$B$106,MATCH($S69,MUSTERILER!$T$7:$T$106,0)),""))</f>
        <v/>
      </c>
      <c r="U69" s="3">
        <f>IF($T69="","",$T69&amp;"|"&amp;COUNTIFS($T$7:$T69,$T69))</f>
        <v/>
      </c>
      <c r="V69" s="3">
        <f>IF($T69="",0,1)</f>
        <v/>
      </c>
      <c r="W69" s="3">
        <f>IF($C69="","",$D69&amp;"|"&amp;$E69&amp;"|"&amp;TEXT($C69,"0")&amp;"|"&amp;TEXT($G69,"0")&amp;"|"&amp;$J69)</f>
        <v/>
      </c>
      <c r="X69" s="3" t="n"/>
      <c r="Y69" s="3" t="n"/>
      <c r="Z69" s="3" t="n"/>
      <c r="AA69" s="3" t="n"/>
      <c r="AB69" s="3" t="n"/>
      <c r="AC69" s="3" t="n"/>
      <c r="AD69" s="3">
        <f>IF($C69="",0,SUMPRODUCT((AY_SONU!$O$7:$O$42="Evet")*(AY_SONU!$B$7:$B$42=DATE(YEAR($C69),MONTH($C69),1))))</f>
        <v/>
      </c>
    </row>
    <row r="70">
      <c r="A70" s="6" t="n"/>
      <c r="B70" s="113">
        <f>IF($C70="","","GG"&amp;TEXT(ROW()-6,"00000"))</f>
        <v/>
      </c>
      <c r="C70" s="220" t="n">
        <v>46118</v>
      </c>
      <c r="D70" s="108" t="inlineStr">
        <is>
          <t>Gider</t>
        </is>
      </c>
      <c r="E70" s="109" t="inlineStr">
        <is>
          <t>Ofis Kirası</t>
        </is>
      </c>
      <c r="F70" s="109" t="inlineStr">
        <is>
          <t>Nisan Ofis Aidat Ödemesi</t>
        </is>
      </c>
      <c r="G70" s="221" t="n">
        <v>2000</v>
      </c>
      <c r="H70" s="108" t="inlineStr">
        <is>
          <t>Merkez Kasa</t>
        </is>
      </c>
      <c r="I70" s="108" t="inlineStr">
        <is>
          <t>Evet</t>
        </is>
      </c>
      <c r="J70" s="109" t="n"/>
      <c r="K70" s="109" t="n"/>
      <c r="L70" s="108" t="n"/>
      <c r="M70" s="121">
        <f>IF($C70="","",IF($D70="Gider",$E70,IF($L70&lt;&gt;"",$L70,$H70)))</f>
        <v/>
      </c>
      <c r="N70" s="121">
        <f>IF($C70="","",IF($D70="Gider",$H70,$E70))</f>
        <v/>
      </c>
      <c r="O70" s="226">
        <f>IF($C70="","",DATE(YEAR($C70),MONTH($C70),1))</f>
        <v/>
      </c>
      <c r="P70" s="113">
        <f>IF($C70="","",IF(AND($D70="Gelir",$L70&lt;&gt;"",$T70=""),"TANIMSIZ BORÇLU",IF($T70&lt;&gt;"",IF(OR($E70="",$G70&lt;=0),"EKSİK",IF($I70="Evet","TAHAKKUK NAKİT OLAMAZ",IF($C70&gt;TODAY(),"İLERİ TARİH","TAHAKKUK"))),IF(AND($D70&lt;&gt;"",$E70&lt;&gt;"",$G70&gt;0,$H70&lt;&gt;"",$I70&lt;&gt;""),IF($C70&gt;TODAY(),"İLERİ TARİH",IF(COUNTIF($W$7:$W$1206,$W70)&gt;1,"MÜKERRER?",IF($AD70&gt;0,"KAPALI DÖNEM",IF($I70="Hayır","ÖDENECEK","UYGUN")))),"EKSİK"))))</f>
        <v/>
      </c>
      <c r="Q70" s="6" t="n"/>
      <c r="R70" s="6" t="n"/>
      <c r="S70" s="3">
        <f>IF($L70="","",UPPER(SUBSTITUTE(SUBSTITUTE(SUBSTITUTE(SUBSTITUTE(SUBSTITUTE(SUBSTITUTE(SUBSTITUTE(SUBSTITUTE(SUBSTITUTE(SUBSTITUTE(SUBSTITUTE(SUBSTITUTE(SUBSTITUTE(SUBSTITUTE(SUBSTITUTE(SUBSTITUTE(SUBSTITUTE(SUBSTITUTE(TRIM($L70),"'",""),"İ","I"),"ı","I"),"i","I"),"Ş","S"),"ş","S"),"Ğ","G"),"ğ","G"),"Ü","U"),"ü","U"),"Ö","O"),"ö","O"),"Ç","C"),"ç","C"),".",""),",","")," ",""),"-","")))</f>
        <v/>
      </c>
      <c r="T70" s="3">
        <f>IF(OR($C70="",$D70&lt;&gt;"Gelir",$L70=""),"",IFERROR(INDEX(MUSTERILER!$B$7:$B$106,MATCH($S70,MUSTERILER!$T$7:$T$106,0)),""))</f>
        <v/>
      </c>
      <c r="U70" s="3">
        <f>IF($T70="","",$T70&amp;"|"&amp;COUNTIFS($T$7:$T70,$T70))</f>
        <v/>
      </c>
      <c r="V70" s="3">
        <f>IF($T70="",0,1)</f>
        <v/>
      </c>
      <c r="W70" s="3">
        <f>IF($C70="","",$D70&amp;"|"&amp;$E70&amp;"|"&amp;TEXT($C70,"0")&amp;"|"&amp;TEXT($G70,"0")&amp;"|"&amp;$J70)</f>
        <v/>
      </c>
      <c r="X70" s="3" t="n"/>
      <c r="Y70" s="3" t="n"/>
      <c r="Z70" s="3" t="n"/>
      <c r="AA70" s="3" t="n"/>
      <c r="AB70" s="3" t="n"/>
      <c r="AC70" s="3" t="n"/>
      <c r="AD70" s="3">
        <f>IF($C70="",0,SUMPRODUCT((AY_SONU!$O$7:$O$42="Evet")*(AY_SONU!$B$7:$B$42=DATE(YEAR($C70),MONTH($C70),1))))</f>
        <v/>
      </c>
    </row>
    <row r="71">
      <c r="A71" s="6" t="n"/>
      <c r="B71" s="113">
        <f>IF($C71="","","GG"&amp;TEXT(ROW()-6,"00000"))</f>
        <v/>
      </c>
      <c r="C71" s="220" t="n">
        <v>46118</v>
      </c>
      <c r="D71" s="108" t="inlineStr">
        <is>
          <t>Gider</t>
        </is>
      </c>
      <c r="E71" s="109" t="inlineStr">
        <is>
          <t>Ulaşım</t>
        </is>
      </c>
      <c r="F71" s="109" t="inlineStr">
        <is>
          <t>Benzin</t>
        </is>
      </c>
      <c r="G71" s="221" t="n">
        <v>2000</v>
      </c>
      <c r="H71" s="108" t="inlineStr">
        <is>
          <t>Merkez Kasa</t>
        </is>
      </c>
      <c r="I71" s="108" t="inlineStr">
        <is>
          <t>Evet</t>
        </is>
      </c>
      <c r="J71" s="109" t="n"/>
      <c r="K71" s="109" t="n"/>
      <c r="L71" s="108" t="n"/>
      <c r="M71" s="121">
        <f>IF($C71="","",IF($D71="Gider",$E71,IF($L71&lt;&gt;"",$L71,$H71)))</f>
        <v/>
      </c>
      <c r="N71" s="121">
        <f>IF($C71="","",IF($D71="Gider",$H71,$E71))</f>
        <v/>
      </c>
      <c r="O71" s="226">
        <f>IF($C71="","",DATE(YEAR($C71),MONTH($C71),1))</f>
        <v/>
      </c>
      <c r="P71" s="113">
        <f>IF($C71="","",IF(AND($D71="Gelir",$L71&lt;&gt;"",$T71=""),"TANIMSIZ BORÇLU",IF($T71&lt;&gt;"",IF(OR($E71="",$G71&lt;=0),"EKSİK",IF($I71="Evet","TAHAKKUK NAKİT OLAMAZ",IF($C71&gt;TODAY(),"İLERİ TARİH","TAHAKKUK"))),IF(AND($D71&lt;&gt;"",$E71&lt;&gt;"",$G71&gt;0,$H71&lt;&gt;"",$I71&lt;&gt;""),IF($C71&gt;TODAY(),"İLERİ TARİH",IF(COUNTIF($W$7:$W$1206,$W71)&gt;1,"MÜKERRER?",IF($AD71&gt;0,"KAPALI DÖNEM",IF($I71="Hayır","ÖDENECEK","UYGUN")))),"EKSİK"))))</f>
        <v/>
      </c>
      <c r="Q71" s="6" t="n"/>
      <c r="R71" s="6" t="n"/>
      <c r="S71" s="3">
        <f>IF($L71="","",UPPER(SUBSTITUTE(SUBSTITUTE(SUBSTITUTE(SUBSTITUTE(SUBSTITUTE(SUBSTITUTE(SUBSTITUTE(SUBSTITUTE(SUBSTITUTE(SUBSTITUTE(SUBSTITUTE(SUBSTITUTE(SUBSTITUTE(SUBSTITUTE(SUBSTITUTE(SUBSTITUTE(SUBSTITUTE(SUBSTITUTE(TRIM($L71),"'",""),"İ","I"),"ı","I"),"i","I"),"Ş","S"),"ş","S"),"Ğ","G"),"ğ","G"),"Ü","U"),"ü","U"),"Ö","O"),"ö","O"),"Ç","C"),"ç","C"),".",""),",","")," ",""),"-","")))</f>
        <v/>
      </c>
      <c r="T71" s="3">
        <f>IF(OR($C71="",$D71&lt;&gt;"Gelir",$L71=""),"",IFERROR(INDEX(MUSTERILER!$B$7:$B$106,MATCH($S71,MUSTERILER!$T$7:$T$106,0)),""))</f>
        <v/>
      </c>
      <c r="U71" s="3">
        <f>IF($T71="","",$T71&amp;"|"&amp;COUNTIFS($T$7:$T71,$T71))</f>
        <v/>
      </c>
      <c r="V71" s="3">
        <f>IF($T71="",0,1)</f>
        <v/>
      </c>
      <c r="W71" s="3">
        <f>IF($C71="","",$D71&amp;"|"&amp;$E71&amp;"|"&amp;TEXT($C71,"0")&amp;"|"&amp;TEXT($G71,"0")&amp;"|"&amp;$J71)</f>
        <v/>
      </c>
      <c r="X71" s="3" t="n"/>
      <c r="Y71" s="3" t="n"/>
      <c r="Z71" s="3" t="n"/>
      <c r="AA71" s="3" t="n"/>
      <c r="AB71" s="3" t="n"/>
      <c r="AC71" s="3" t="n"/>
      <c r="AD71" s="3">
        <f>IF($C71="",0,SUMPRODUCT((AY_SONU!$O$7:$O$42="Evet")*(AY_SONU!$B$7:$B$42=DATE(YEAR($C71),MONTH($C71),1))))</f>
        <v/>
      </c>
    </row>
    <row r="72">
      <c r="A72" s="6" t="n"/>
      <c r="B72" s="113">
        <f>IF($C72="","","GG"&amp;TEXT(ROW()-6,"00000"))</f>
        <v/>
      </c>
      <c r="C72" s="220" t="n">
        <v>46118</v>
      </c>
      <c r="D72" s="108" t="inlineStr">
        <is>
          <t>Gider</t>
        </is>
      </c>
      <c r="E72" s="109" t="inlineStr">
        <is>
          <t>Ulaşım</t>
        </is>
      </c>
      <c r="F72" s="109" t="inlineStr">
        <is>
          <t>Benzin</t>
        </is>
      </c>
      <c r="G72" s="221" t="n">
        <v>1000</v>
      </c>
      <c r="H72" s="108" t="inlineStr">
        <is>
          <t>Merkez Kasa</t>
        </is>
      </c>
      <c r="I72" s="108" t="inlineStr">
        <is>
          <t>Evet</t>
        </is>
      </c>
      <c r="J72" s="109" t="n"/>
      <c r="K72" s="109" t="n"/>
      <c r="L72" s="108" t="n"/>
      <c r="M72" s="121">
        <f>IF($C72="","",IF($D72="Gider",$E72,IF($L72&lt;&gt;"",$L72,$H72)))</f>
        <v/>
      </c>
      <c r="N72" s="121">
        <f>IF($C72="","",IF($D72="Gider",$H72,$E72))</f>
        <v/>
      </c>
      <c r="O72" s="226">
        <f>IF($C72="","",DATE(YEAR($C72),MONTH($C72),1))</f>
        <v/>
      </c>
      <c r="P72" s="113">
        <f>IF($C72="","",IF(AND($D72="Gelir",$L72&lt;&gt;"",$T72=""),"TANIMSIZ BORÇLU",IF($T72&lt;&gt;"",IF(OR($E72="",$G72&lt;=0),"EKSİK",IF($I72="Evet","TAHAKKUK NAKİT OLAMAZ",IF($C72&gt;TODAY(),"İLERİ TARİH","TAHAKKUK"))),IF(AND($D72&lt;&gt;"",$E72&lt;&gt;"",$G72&gt;0,$H72&lt;&gt;"",$I72&lt;&gt;""),IF($C72&gt;TODAY(),"İLERİ TARİH",IF(COUNTIF($W$7:$W$1206,$W72)&gt;1,"MÜKERRER?",IF($AD72&gt;0,"KAPALI DÖNEM",IF($I72="Hayır","ÖDENECEK","UYGUN")))),"EKSİK"))))</f>
        <v/>
      </c>
      <c r="Q72" s="6" t="n"/>
      <c r="R72" s="6" t="n"/>
      <c r="S72" s="3">
        <f>IF($L72="","",UPPER(SUBSTITUTE(SUBSTITUTE(SUBSTITUTE(SUBSTITUTE(SUBSTITUTE(SUBSTITUTE(SUBSTITUTE(SUBSTITUTE(SUBSTITUTE(SUBSTITUTE(SUBSTITUTE(SUBSTITUTE(SUBSTITUTE(SUBSTITUTE(SUBSTITUTE(SUBSTITUTE(SUBSTITUTE(SUBSTITUTE(TRIM($L72),"'",""),"İ","I"),"ı","I"),"i","I"),"Ş","S"),"ş","S"),"Ğ","G"),"ğ","G"),"Ü","U"),"ü","U"),"Ö","O"),"ö","O"),"Ç","C"),"ç","C"),".",""),",","")," ",""),"-","")))</f>
        <v/>
      </c>
      <c r="T72" s="3">
        <f>IF(OR($C72="",$D72&lt;&gt;"Gelir",$L72=""),"",IFERROR(INDEX(MUSTERILER!$B$7:$B$106,MATCH($S72,MUSTERILER!$T$7:$T$106,0)),""))</f>
        <v/>
      </c>
      <c r="U72" s="3">
        <f>IF($T72="","",$T72&amp;"|"&amp;COUNTIFS($T$7:$T72,$T72))</f>
        <v/>
      </c>
      <c r="V72" s="3">
        <f>IF($T72="",0,1)</f>
        <v/>
      </c>
      <c r="W72" s="3">
        <f>IF($C72="","",$D72&amp;"|"&amp;$E72&amp;"|"&amp;TEXT($C72,"0")&amp;"|"&amp;TEXT($G72,"0")&amp;"|"&amp;$J72)</f>
        <v/>
      </c>
      <c r="X72" s="3" t="n"/>
      <c r="Y72" s="3" t="n"/>
      <c r="Z72" s="3" t="n"/>
      <c r="AA72" s="3" t="n"/>
      <c r="AB72" s="3" t="n"/>
      <c r="AC72" s="3" t="n"/>
      <c r="AD72" s="3">
        <f>IF($C72="",0,SUMPRODUCT((AY_SONU!$O$7:$O$42="Evet")*(AY_SONU!$B$7:$B$42=DATE(YEAR($C72),MONTH($C72),1))))</f>
        <v/>
      </c>
    </row>
    <row r="73">
      <c r="A73" s="6" t="n"/>
      <c r="B73" s="113">
        <f>IF($C73="","","GG"&amp;TEXT(ROW()-6,"00000"))</f>
        <v/>
      </c>
      <c r="C73" s="220" t="n">
        <v>46123</v>
      </c>
      <c r="D73" s="108" t="inlineStr">
        <is>
          <t>Gider</t>
        </is>
      </c>
      <c r="E73" s="109" t="inlineStr">
        <is>
          <t>Demirbaş</t>
        </is>
      </c>
      <c r="F73" s="109" t="inlineStr">
        <is>
          <t>Serkan Baş Irmak Ömer Bilgisayar Format ve Parça</t>
        </is>
      </c>
      <c r="G73" s="221" t="n">
        <v>9500</v>
      </c>
      <c r="H73" s="108" t="inlineStr">
        <is>
          <t>Merkez Kasa</t>
        </is>
      </c>
      <c r="I73" s="108" t="inlineStr">
        <is>
          <t>Evet</t>
        </is>
      </c>
      <c r="J73" s="109" t="n"/>
      <c r="K73" s="109" t="n"/>
      <c r="L73" s="108" t="n"/>
      <c r="M73" s="121">
        <f>IF($C73="","",IF($D73="Gider",$E73,IF($L73&lt;&gt;"",$L73,$H73)))</f>
        <v/>
      </c>
      <c r="N73" s="121">
        <f>IF($C73="","",IF($D73="Gider",$H73,$E73))</f>
        <v/>
      </c>
      <c r="O73" s="226">
        <f>IF($C73="","",DATE(YEAR($C73),MONTH($C73),1))</f>
        <v/>
      </c>
      <c r="P73" s="113">
        <f>IF($C73="","",IF(AND($D73="Gelir",$L73&lt;&gt;"",$T73=""),"TANIMSIZ BORÇLU",IF($T73&lt;&gt;"",IF(OR($E73="",$G73&lt;=0),"EKSİK",IF($I73="Evet","TAHAKKUK NAKİT OLAMAZ",IF($C73&gt;TODAY(),"İLERİ TARİH","TAHAKKUK"))),IF(AND($D73&lt;&gt;"",$E73&lt;&gt;"",$G73&gt;0,$H73&lt;&gt;"",$I73&lt;&gt;""),IF($C73&gt;TODAY(),"İLERİ TARİH",IF(COUNTIF($W$7:$W$1206,$W73)&gt;1,"MÜKERRER?",IF($AD73&gt;0,"KAPALI DÖNEM",IF($I73="Hayır","ÖDENECEK","UYGUN")))),"EKSİK"))))</f>
        <v/>
      </c>
      <c r="Q73" s="6" t="n"/>
      <c r="R73" s="6" t="n"/>
      <c r="S73" s="3">
        <f>IF($L73="","",UPPER(SUBSTITUTE(SUBSTITUTE(SUBSTITUTE(SUBSTITUTE(SUBSTITUTE(SUBSTITUTE(SUBSTITUTE(SUBSTITUTE(SUBSTITUTE(SUBSTITUTE(SUBSTITUTE(SUBSTITUTE(SUBSTITUTE(SUBSTITUTE(SUBSTITUTE(SUBSTITUTE(SUBSTITUTE(SUBSTITUTE(TRIM($L73),"'",""),"İ","I"),"ı","I"),"i","I"),"Ş","S"),"ş","S"),"Ğ","G"),"ğ","G"),"Ü","U"),"ü","U"),"Ö","O"),"ö","O"),"Ç","C"),"ç","C"),".",""),",","")," ",""),"-","")))</f>
        <v/>
      </c>
      <c r="T73" s="3">
        <f>IF(OR($C73="",$D73&lt;&gt;"Gelir",$L73=""),"",IFERROR(INDEX(MUSTERILER!$B$7:$B$106,MATCH($S73,MUSTERILER!$T$7:$T$106,0)),""))</f>
        <v/>
      </c>
      <c r="U73" s="3">
        <f>IF($T73="","",$T73&amp;"|"&amp;COUNTIFS($T$7:$T73,$T73))</f>
        <v/>
      </c>
      <c r="V73" s="3">
        <f>IF($T73="",0,1)</f>
        <v/>
      </c>
      <c r="W73" s="3">
        <f>IF($C73="","",$D73&amp;"|"&amp;$E73&amp;"|"&amp;TEXT($C73,"0")&amp;"|"&amp;TEXT($G73,"0")&amp;"|"&amp;$J73)</f>
        <v/>
      </c>
      <c r="X73" s="3" t="n"/>
      <c r="Y73" s="3" t="n"/>
      <c r="Z73" s="3" t="n"/>
      <c r="AA73" s="3" t="n"/>
      <c r="AB73" s="3" t="n"/>
      <c r="AC73" s="3" t="n"/>
      <c r="AD73" s="3">
        <f>IF($C73="",0,SUMPRODUCT((AY_SONU!$O$7:$O$42="Evet")*(AY_SONU!$B$7:$B$42=DATE(YEAR($C73),MONTH($C73),1))))</f>
        <v/>
      </c>
    </row>
    <row r="74">
      <c r="A74" s="6" t="n"/>
      <c r="B74" s="113">
        <f>IF($C74="","","GG"&amp;TEXT(ROW()-6,"00000"))</f>
        <v/>
      </c>
      <c r="C74" s="220" t="n">
        <v>46123</v>
      </c>
      <c r="D74" s="108" t="inlineStr">
        <is>
          <t>Gider</t>
        </is>
      </c>
      <c r="E74" s="109" t="inlineStr">
        <is>
          <t>Ofis Kirası</t>
        </is>
      </c>
      <c r="F74" s="109" t="inlineStr">
        <is>
          <t>Mayıs Ofis Kira Ödemesi</t>
        </is>
      </c>
      <c r="G74" s="221" t="n">
        <v>14000</v>
      </c>
      <c r="H74" s="108" t="inlineStr">
        <is>
          <t>Merkez Kasa</t>
        </is>
      </c>
      <c r="I74" s="108" t="inlineStr">
        <is>
          <t>Evet</t>
        </is>
      </c>
      <c r="J74" s="109" t="n"/>
      <c r="K74" s="109" t="n"/>
      <c r="L74" s="108" t="n"/>
      <c r="M74" s="121">
        <f>IF($C74="","",IF($D74="Gider",$E74,IF($L74&lt;&gt;"",$L74,$H74)))</f>
        <v/>
      </c>
      <c r="N74" s="121">
        <f>IF($C74="","",IF($D74="Gider",$H74,$E74))</f>
        <v/>
      </c>
      <c r="O74" s="226">
        <f>IF($C74="","",DATE(YEAR($C74),MONTH($C74),1))</f>
        <v/>
      </c>
      <c r="P74" s="113">
        <f>IF($C74="","",IF(AND($D74="Gelir",$L74&lt;&gt;"",$T74=""),"TANIMSIZ BORÇLU",IF($T74&lt;&gt;"",IF(OR($E74="",$G74&lt;=0),"EKSİK",IF($I74="Evet","TAHAKKUK NAKİT OLAMAZ",IF($C74&gt;TODAY(),"İLERİ TARİH","TAHAKKUK"))),IF(AND($D74&lt;&gt;"",$E74&lt;&gt;"",$G74&gt;0,$H74&lt;&gt;"",$I74&lt;&gt;""),IF($C74&gt;TODAY(),"İLERİ TARİH",IF(COUNTIF($W$7:$W$1206,$W74)&gt;1,"MÜKERRER?",IF($AD74&gt;0,"KAPALI DÖNEM",IF($I74="Hayır","ÖDENECEK","UYGUN")))),"EKSİK"))))</f>
        <v/>
      </c>
      <c r="Q74" s="6" t="n"/>
      <c r="R74" s="6" t="n"/>
      <c r="S74" s="3">
        <f>IF($L74="","",UPPER(SUBSTITUTE(SUBSTITUTE(SUBSTITUTE(SUBSTITUTE(SUBSTITUTE(SUBSTITUTE(SUBSTITUTE(SUBSTITUTE(SUBSTITUTE(SUBSTITUTE(SUBSTITUTE(SUBSTITUTE(SUBSTITUTE(SUBSTITUTE(SUBSTITUTE(SUBSTITUTE(SUBSTITUTE(SUBSTITUTE(TRIM($L74),"'",""),"İ","I"),"ı","I"),"i","I"),"Ş","S"),"ş","S"),"Ğ","G"),"ğ","G"),"Ü","U"),"ü","U"),"Ö","O"),"ö","O"),"Ç","C"),"ç","C"),".",""),",","")," ",""),"-","")))</f>
        <v/>
      </c>
      <c r="T74" s="3">
        <f>IF(OR($C74="",$D74&lt;&gt;"Gelir",$L74=""),"",IFERROR(INDEX(MUSTERILER!$B$7:$B$106,MATCH($S74,MUSTERILER!$T$7:$T$106,0)),""))</f>
        <v/>
      </c>
      <c r="U74" s="3">
        <f>IF($T74="","",$T74&amp;"|"&amp;COUNTIFS($T$7:$T74,$T74))</f>
        <v/>
      </c>
      <c r="V74" s="3">
        <f>IF($T74="",0,1)</f>
        <v/>
      </c>
      <c r="W74" s="3">
        <f>IF($C74="","",$D74&amp;"|"&amp;$E74&amp;"|"&amp;TEXT($C74,"0")&amp;"|"&amp;TEXT($G74,"0")&amp;"|"&amp;$J74)</f>
        <v/>
      </c>
      <c r="X74" s="3" t="n"/>
      <c r="Y74" s="3" t="n"/>
      <c r="Z74" s="3" t="n"/>
      <c r="AA74" s="3" t="n"/>
      <c r="AB74" s="3" t="n"/>
      <c r="AC74" s="3" t="n"/>
      <c r="AD74" s="3">
        <f>IF($C74="",0,SUMPRODUCT((AY_SONU!$O$7:$O$42="Evet")*(AY_SONU!$B$7:$B$42=DATE(YEAR($C74),MONTH($C74),1))))</f>
        <v/>
      </c>
    </row>
    <row r="75">
      <c r="A75" s="6" t="n"/>
      <c r="B75" s="113">
        <f>IF($C75="","","GG"&amp;TEXT(ROW()-6,"00000"))</f>
        <v/>
      </c>
      <c r="C75" s="220" t="n">
        <v>46123</v>
      </c>
      <c r="D75" s="108" t="inlineStr">
        <is>
          <t>Gider</t>
        </is>
      </c>
      <c r="E75" s="109" t="inlineStr">
        <is>
          <t>Ofis Kirası</t>
        </is>
      </c>
      <c r="F75" s="109" t="inlineStr">
        <is>
          <t>Mayıs Ofis Aidat Ödemesi</t>
        </is>
      </c>
      <c r="G75" s="221" t="n">
        <v>2000</v>
      </c>
      <c r="H75" s="108" t="inlineStr">
        <is>
          <t>Merkez Kasa</t>
        </is>
      </c>
      <c r="I75" s="108" t="inlineStr">
        <is>
          <t>Evet</t>
        </is>
      </c>
      <c r="J75" s="109" t="n"/>
      <c r="K75" s="109" t="n"/>
      <c r="L75" s="108" t="n"/>
      <c r="M75" s="121">
        <f>IF($C75="","",IF($D75="Gider",$E75,IF($L75&lt;&gt;"",$L75,$H75)))</f>
        <v/>
      </c>
      <c r="N75" s="121">
        <f>IF($C75="","",IF($D75="Gider",$H75,$E75))</f>
        <v/>
      </c>
      <c r="O75" s="226">
        <f>IF($C75="","",DATE(YEAR($C75),MONTH($C75),1))</f>
        <v/>
      </c>
      <c r="P75" s="113">
        <f>IF($C75="","",IF(AND($D75="Gelir",$L75&lt;&gt;"",$T75=""),"TANIMSIZ BORÇLU",IF($T75&lt;&gt;"",IF(OR($E75="",$G75&lt;=0),"EKSİK",IF($I75="Evet","TAHAKKUK NAKİT OLAMAZ",IF($C75&gt;TODAY(),"İLERİ TARİH","TAHAKKUK"))),IF(AND($D75&lt;&gt;"",$E75&lt;&gt;"",$G75&gt;0,$H75&lt;&gt;"",$I75&lt;&gt;""),IF($C75&gt;TODAY(),"İLERİ TARİH",IF(COUNTIF($W$7:$W$1206,$W75)&gt;1,"MÜKERRER?",IF($AD75&gt;0,"KAPALI DÖNEM",IF($I75="Hayır","ÖDENECEK","UYGUN")))),"EKSİK"))))</f>
        <v/>
      </c>
      <c r="Q75" s="6" t="n"/>
      <c r="R75" s="6" t="n"/>
      <c r="S75" s="3">
        <f>IF($L75="","",UPPER(SUBSTITUTE(SUBSTITUTE(SUBSTITUTE(SUBSTITUTE(SUBSTITUTE(SUBSTITUTE(SUBSTITUTE(SUBSTITUTE(SUBSTITUTE(SUBSTITUTE(SUBSTITUTE(SUBSTITUTE(SUBSTITUTE(SUBSTITUTE(SUBSTITUTE(SUBSTITUTE(SUBSTITUTE(SUBSTITUTE(TRIM($L75),"'",""),"İ","I"),"ı","I"),"i","I"),"Ş","S"),"ş","S"),"Ğ","G"),"ğ","G"),"Ü","U"),"ü","U"),"Ö","O"),"ö","O"),"Ç","C"),"ç","C"),".",""),",","")," ",""),"-","")))</f>
        <v/>
      </c>
      <c r="T75" s="3">
        <f>IF(OR($C75="",$D75&lt;&gt;"Gelir",$L75=""),"",IFERROR(INDEX(MUSTERILER!$B$7:$B$106,MATCH($S75,MUSTERILER!$T$7:$T$106,0)),""))</f>
        <v/>
      </c>
      <c r="U75" s="3">
        <f>IF($T75="","",$T75&amp;"|"&amp;COUNTIFS($T$7:$T75,$T75))</f>
        <v/>
      </c>
      <c r="V75" s="3">
        <f>IF($T75="",0,1)</f>
        <v/>
      </c>
      <c r="W75" s="3">
        <f>IF($C75="","",$D75&amp;"|"&amp;$E75&amp;"|"&amp;TEXT($C75,"0")&amp;"|"&amp;TEXT($G75,"0")&amp;"|"&amp;$J75)</f>
        <v/>
      </c>
      <c r="X75" s="3" t="n"/>
      <c r="Y75" s="3" t="n"/>
      <c r="Z75" s="3" t="n"/>
      <c r="AA75" s="3" t="n"/>
      <c r="AB75" s="3" t="n"/>
      <c r="AC75" s="3" t="n"/>
      <c r="AD75" s="3">
        <f>IF($C75="",0,SUMPRODUCT((AY_SONU!$O$7:$O$42="Evet")*(AY_SONU!$B$7:$B$42=DATE(YEAR($C75),MONTH($C75),1))))</f>
        <v/>
      </c>
    </row>
    <row r="76">
      <c r="A76" s="6" t="n"/>
      <c r="B76" s="113">
        <f>IF($C76="","","GG"&amp;TEXT(ROW()-6,"00000"))</f>
        <v/>
      </c>
      <c r="C76" s="220" t="n">
        <v>46123</v>
      </c>
      <c r="D76" s="108" t="inlineStr">
        <is>
          <t>Gider</t>
        </is>
      </c>
      <c r="E76" s="109" t="inlineStr">
        <is>
          <t>Personel</t>
        </is>
      </c>
      <c r="F76" s="109" t="inlineStr">
        <is>
          <t>Irmak Harçlık</t>
        </is>
      </c>
      <c r="G76" s="221" t="n">
        <v>1000</v>
      </c>
      <c r="H76" s="108" t="inlineStr">
        <is>
          <t>Merkez Kasa</t>
        </is>
      </c>
      <c r="I76" s="108" t="inlineStr">
        <is>
          <t>Evet</t>
        </is>
      </c>
      <c r="J76" s="109" t="n"/>
      <c r="K76" s="109" t="n"/>
      <c r="L76" s="108" t="n"/>
      <c r="M76" s="121">
        <f>IF($C76="","",IF($D76="Gider",$E76,IF($L76&lt;&gt;"",$L76,$H76)))</f>
        <v/>
      </c>
      <c r="N76" s="121">
        <f>IF($C76="","",IF($D76="Gider",$H76,$E76))</f>
        <v/>
      </c>
      <c r="O76" s="226">
        <f>IF($C76="","",DATE(YEAR($C76),MONTH($C76),1))</f>
        <v/>
      </c>
      <c r="P76" s="113">
        <f>IF($C76="","",IF(AND($D76="Gelir",$L76&lt;&gt;"",$T76=""),"TANIMSIZ BORÇLU",IF($T76&lt;&gt;"",IF(OR($E76="",$G76&lt;=0),"EKSİK",IF($I76="Evet","TAHAKKUK NAKİT OLAMAZ",IF($C76&gt;TODAY(),"İLERİ TARİH","TAHAKKUK"))),IF(AND($D76&lt;&gt;"",$E76&lt;&gt;"",$G76&gt;0,$H76&lt;&gt;"",$I76&lt;&gt;""),IF($C76&gt;TODAY(),"İLERİ TARİH",IF(COUNTIF($W$7:$W$1206,$W76)&gt;1,"MÜKERRER?",IF($AD76&gt;0,"KAPALI DÖNEM",IF($I76="Hayır","ÖDENECEK","UYGUN")))),"EKSİK"))))</f>
        <v/>
      </c>
      <c r="Q76" s="6" t="n"/>
      <c r="R76" s="6" t="n"/>
      <c r="S76" s="3">
        <f>IF($L76="","",UPPER(SUBSTITUTE(SUBSTITUTE(SUBSTITUTE(SUBSTITUTE(SUBSTITUTE(SUBSTITUTE(SUBSTITUTE(SUBSTITUTE(SUBSTITUTE(SUBSTITUTE(SUBSTITUTE(SUBSTITUTE(SUBSTITUTE(SUBSTITUTE(SUBSTITUTE(SUBSTITUTE(SUBSTITUTE(SUBSTITUTE(TRIM($L76),"'",""),"İ","I"),"ı","I"),"i","I"),"Ş","S"),"ş","S"),"Ğ","G"),"ğ","G"),"Ü","U"),"ü","U"),"Ö","O"),"ö","O"),"Ç","C"),"ç","C"),".",""),",","")," ",""),"-","")))</f>
        <v/>
      </c>
      <c r="T76" s="3">
        <f>IF(OR($C76="",$D76&lt;&gt;"Gelir",$L76=""),"",IFERROR(INDEX(MUSTERILER!$B$7:$B$106,MATCH($S76,MUSTERILER!$T$7:$T$106,0)),""))</f>
        <v/>
      </c>
      <c r="U76" s="3">
        <f>IF($T76="","",$T76&amp;"|"&amp;COUNTIFS($T$7:$T76,$T76))</f>
        <v/>
      </c>
      <c r="V76" s="3">
        <f>IF($T76="",0,1)</f>
        <v/>
      </c>
      <c r="W76" s="3">
        <f>IF($C76="","",$D76&amp;"|"&amp;$E76&amp;"|"&amp;TEXT($C76,"0")&amp;"|"&amp;TEXT($G76,"0")&amp;"|"&amp;$J76)</f>
        <v/>
      </c>
      <c r="X76" s="3" t="n"/>
      <c r="Y76" s="3" t="n"/>
      <c r="Z76" s="3" t="n"/>
      <c r="AA76" s="3" t="n"/>
      <c r="AB76" s="3" t="n"/>
      <c r="AC76" s="3" t="n"/>
      <c r="AD76" s="3">
        <f>IF($C76="",0,SUMPRODUCT((AY_SONU!$O$7:$O$42="Evet")*(AY_SONU!$B$7:$B$42=DATE(YEAR($C76),MONTH($C76),1))))</f>
        <v/>
      </c>
    </row>
    <row r="77">
      <c r="A77" s="6" t="n"/>
      <c r="B77" s="113">
        <f>IF($C77="","","GG"&amp;TEXT(ROW()-6,"00000"))</f>
        <v/>
      </c>
      <c r="C77" s="220" t="n">
        <v>46123</v>
      </c>
      <c r="D77" s="108" t="inlineStr">
        <is>
          <t>Gider</t>
        </is>
      </c>
      <c r="E77" s="109" t="inlineStr">
        <is>
          <t>Telefon / İnternet</t>
        </is>
      </c>
      <c r="F77" s="109" t="inlineStr">
        <is>
          <t>Ofis Whatsapp Hattı Nisan</t>
        </is>
      </c>
      <c r="G77" s="221" t="n">
        <v>800</v>
      </c>
      <c r="H77" s="108" t="inlineStr">
        <is>
          <t>Merkez Kasa</t>
        </is>
      </c>
      <c r="I77" s="108" t="inlineStr">
        <is>
          <t>Evet</t>
        </is>
      </c>
      <c r="J77" s="109" t="n"/>
      <c r="K77" s="109" t="n"/>
      <c r="L77" s="108" t="n"/>
      <c r="M77" s="121">
        <f>IF($C77="","",IF($D77="Gider",$E77,IF($L77&lt;&gt;"",$L77,$H77)))</f>
        <v/>
      </c>
      <c r="N77" s="121">
        <f>IF($C77="","",IF($D77="Gider",$H77,$E77))</f>
        <v/>
      </c>
      <c r="O77" s="226">
        <f>IF($C77="","",DATE(YEAR($C77),MONTH($C77),1))</f>
        <v/>
      </c>
      <c r="P77" s="113">
        <f>IF($C77="","",IF(AND($D77="Gelir",$L77&lt;&gt;"",$T77=""),"TANIMSIZ BORÇLU",IF($T77&lt;&gt;"",IF(OR($E77="",$G77&lt;=0),"EKSİK",IF($I77="Evet","TAHAKKUK NAKİT OLAMAZ",IF($C77&gt;TODAY(),"İLERİ TARİH","TAHAKKUK"))),IF(AND($D77&lt;&gt;"",$E77&lt;&gt;"",$G77&gt;0,$H77&lt;&gt;"",$I77&lt;&gt;""),IF($C77&gt;TODAY(),"İLERİ TARİH",IF(COUNTIF($W$7:$W$1206,$W77)&gt;1,"MÜKERRER?",IF($AD77&gt;0,"KAPALI DÖNEM",IF($I77="Hayır","ÖDENECEK","UYGUN")))),"EKSİK"))))</f>
        <v/>
      </c>
      <c r="Q77" s="6" t="n"/>
      <c r="R77" s="6" t="n"/>
      <c r="S77" s="3">
        <f>IF($L77="","",UPPER(SUBSTITUTE(SUBSTITUTE(SUBSTITUTE(SUBSTITUTE(SUBSTITUTE(SUBSTITUTE(SUBSTITUTE(SUBSTITUTE(SUBSTITUTE(SUBSTITUTE(SUBSTITUTE(SUBSTITUTE(SUBSTITUTE(SUBSTITUTE(SUBSTITUTE(SUBSTITUTE(SUBSTITUTE(SUBSTITUTE(TRIM($L77),"'",""),"İ","I"),"ı","I"),"i","I"),"Ş","S"),"ş","S"),"Ğ","G"),"ğ","G"),"Ü","U"),"ü","U"),"Ö","O"),"ö","O"),"Ç","C"),"ç","C"),".",""),",","")," ",""),"-","")))</f>
        <v/>
      </c>
      <c r="T77" s="3">
        <f>IF(OR($C77="",$D77&lt;&gt;"Gelir",$L77=""),"",IFERROR(INDEX(MUSTERILER!$B$7:$B$106,MATCH($S77,MUSTERILER!$T$7:$T$106,0)),""))</f>
        <v/>
      </c>
      <c r="U77" s="3">
        <f>IF($T77="","",$T77&amp;"|"&amp;COUNTIFS($T$7:$T77,$T77))</f>
        <v/>
      </c>
      <c r="V77" s="3">
        <f>IF($T77="",0,1)</f>
        <v/>
      </c>
      <c r="W77" s="3">
        <f>IF($C77="","",$D77&amp;"|"&amp;$E77&amp;"|"&amp;TEXT($C77,"0")&amp;"|"&amp;TEXT($G77,"0")&amp;"|"&amp;$J77)</f>
        <v/>
      </c>
      <c r="X77" s="3" t="n"/>
      <c r="Y77" s="3" t="n"/>
      <c r="Z77" s="3" t="n"/>
      <c r="AA77" s="3" t="n"/>
      <c r="AB77" s="3" t="n"/>
      <c r="AC77" s="3" t="n"/>
      <c r="AD77" s="3">
        <f>IF($C77="",0,SUMPRODUCT((AY_SONU!$O$7:$O$42="Evet")*(AY_SONU!$B$7:$B$42=DATE(YEAR($C77),MONTH($C77),1))))</f>
        <v/>
      </c>
    </row>
    <row r="78">
      <c r="A78" s="6" t="n"/>
      <c r="B78" s="113">
        <f>IF($C78="","","GG"&amp;TEXT(ROW()-6,"00000"))</f>
        <v/>
      </c>
      <c r="C78" s="220" t="n">
        <v>46127</v>
      </c>
      <c r="D78" s="108" t="inlineStr">
        <is>
          <t>Gider</t>
        </is>
      </c>
      <c r="E78" s="109" t="inlineStr">
        <is>
          <t>Ulaşım</t>
        </is>
      </c>
      <c r="F78" s="109" t="inlineStr">
        <is>
          <t>Araç Yakıt Alımı</t>
        </is>
      </c>
      <c r="G78" s="221" t="n">
        <v>2000</v>
      </c>
      <c r="H78" s="108" t="inlineStr">
        <is>
          <t>Merkez Kasa</t>
        </is>
      </c>
      <c r="I78" s="108" t="inlineStr">
        <is>
          <t>Evet</t>
        </is>
      </c>
      <c r="J78" s="109" t="n"/>
      <c r="K78" s="109" t="n"/>
      <c r="L78" s="108" t="n"/>
      <c r="M78" s="121">
        <f>IF($C78="","",IF($D78="Gider",$E78,IF($L78&lt;&gt;"",$L78,$H78)))</f>
        <v/>
      </c>
      <c r="N78" s="121">
        <f>IF($C78="","",IF($D78="Gider",$H78,$E78))</f>
        <v/>
      </c>
      <c r="O78" s="226">
        <f>IF($C78="","",DATE(YEAR($C78),MONTH($C78),1))</f>
        <v/>
      </c>
      <c r="P78" s="113">
        <f>IF($C78="","",IF(AND($D78="Gelir",$L78&lt;&gt;"",$T78=""),"TANIMSIZ BORÇLU",IF($T78&lt;&gt;"",IF(OR($E78="",$G78&lt;=0),"EKSİK",IF($I78="Evet","TAHAKKUK NAKİT OLAMAZ",IF($C78&gt;TODAY(),"İLERİ TARİH","TAHAKKUK"))),IF(AND($D78&lt;&gt;"",$E78&lt;&gt;"",$G78&gt;0,$H78&lt;&gt;"",$I78&lt;&gt;""),IF($C78&gt;TODAY(),"İLERİ TARİH",IF(COUNTIF($W$7:$W$1206,$W78)&gt;1,"MÜKERRER?",IF($AD78&gt;0,"KAPALI DÖNEM",IF($I78="Hayır","ÖDENECEK","UYGUN")))),"EKSİK"))))</f>
        <v/>
      </c>
      <c r="Q78" s="6" t="n"/>
      <c r="R78" s="6" t="n"/>
      <c r="S78" s="3">
        <f>IF($L78="","",UPPER(SUBSTITUTE(SUBSTITUTE(SUBSTITUTE(SUBSTITUTE(SUBSTITUTE(SUBSTITUTE(SUBSTITUTE(SUBSTITUTE(SUBSTITUTE(SUBSTITUTE(SUBSTITUTE(SUBSTITUTE(SUBSTITUTE(SUBSTITUTE(SUBSTITUTE(SUBSTITUTE(SUBSTITUTE(SUBSTITUTE(TRIM($L78),"'",""),"İ","I"),"ı","I"),"i","I"),"Ş","S"),"ş","S"),"Ğ","G"),"ğ","G"),"Ü","U"),"ü","U"),"Ö","O"),"ö","O"),"Ç","C"),"ç","C"),".",""),",","")," ",""),"-","")))</f>
        <v/>
      </c>
      <c r="T78" s="3">
        <f>IF(OR($C78="",$D78&lt;&gt;"Gelir",$L78=""),"",IFERROR(INDEX(MUSTERILER!$B$7:$B$106,MATCH($S78,MUSTERILER!$T$7:$T$106,0)),""))</f>
        <v/>
      </c>
      <c r="U78" s="3">
        <f>IF($T78="","",$T78&amp;"|"&amp;COUNTIFS($T$7:$T78,$T78))</f>
        <v/>
      </c>
      <c r="V78" s="3">
        <f>IF($T78="",0,1)</f>
        <v/>
      </c>
      <c r="W78" s="3">
        <f>IF($C78="","",$D78&amp;"|"&amp;$E78&amp;"|"&amp;TEXT($C78,"0")&amp;"|"&amp;TEXT($G78,"0")&amp;"|"&amp;$J78)</f>
        <v/>
      </c>
      <c r="X78" s="3" t="n"/>
      <c r="Y78" s="3" t="n"/>
      <c r="Z78" s="3" t="n"/>
      <c r="AA78" s="3" t="n"/>
      <c r="AB78" s="3" t="n"/>
      <c r="AC78" s="3" t="n"/>
      <c r="AD78" s="3">
        <f>IF($C78="",0,SUMPRODUCT((AY_SONU!$O$7:$O$42="Evet")*(AY_SONU!$B$7:$B$42=DATE(YEAR($C78),MONTH($C78),1))))</f>
        <v/>
      </c>
    </row>
    <row r="79">
      <c r="A79" s="6" t="n"/>
      <c r="B79" s="113">
        <f>IF($C79="","","GG"&amp;TEXT(ROW()-6,"00000"))</f>
        <v/>
      </c>
      <c r="C79" s="220" t="n">
        <v>46127</v>
      </c>
      <c r="D79" s="108" t="inlineStr">
        <is>
          <t>Gider</t>
        </is>
      </c>
      <c r="E79" s="109" t="inlineStr">
        <is>
          <t>Mehmet Ali Kartal</t>
        </is>
      </c>
      <c r="F79" s="109" t="inlineStr">
        <is>
          <t>Ceren Demirci Tahsilatı</t>
        </is>
      </c>
      <c r="G79" s="221" t="n">
        <v>7500</v>
      </c>
      <c r="H79" s="108" t="inlineStr">
        <is>
          <t>Merkez Kasa</t>
        </is>
      </c>
      <c r="I79" s="108" t="inlineStr">
        <is>
          <t>Evet</t>
        </is>
      </c>
      <c r="J79" s="109" t="n"/>
      <c r="K79" s="109" t="n"/>
      <c r="L79" s="108" t="n"/>
      <c r="M79" s="121">
        <f>IF($C79="","",IF($D79="Gider",$E79,IF($L79&lt;&gt;"",$L79,$H79)))</f>
        <v/>
      </c>
      <c r="N79" s="121">
        <f>IF($C79="","",IF($D79="Gider",$H79,$E79))</f>
        <v/>
      </c>
      <c r="O79" s="226">
        <f>IF($C79="","",DATE(YEAR($C79),MONTH($C79),1))</f>
        <v/>
      </c>
      <c r="P79" s="113">
        <f>IF($C79="","",IF(AND($D79="Gelir",$L79&lt;&gt;"",$T79=""),"TANIMSIZ BORÇLU",IF($T79&lt;&gt;"",IF(OR($E79="",$G79&lt;=0),"EKSİK",IF($I79="Evet","TAHAKKUK NAKİT OLAMAZ",IF($C79&gt;TODAY(),"İLERİ TARİH","TAHAKKUK"))),IF(AND($D79&lt;&gt;"",$E79&lt;&gt;"",$G79&gt;0,$H79&lt;&gt;"",$I79&lt;&gt;""),IF($C79&gt;TODAY(),"İLERİ TARİH",IF(COUNTIF($W$7:$W$1206,$W79)&gt;1,"MÜKERRER?",IF($AD79&gt;0,"KAPALI DÖNEM",IF($I79="Hayır","ÖDENECEK","UYGUN")))),"EKSİK"))))</f>
        <v/>
      </c>
      <c r="Q79" s="6" t="n"/>
      <c r="R79" s="6" t="n"/>
      <c r="S79" s="3">
        <f>IF($L79="","",UPPER(SUBSTITUTE(SUBSTITUTE(SUBSTITUTE(SUBSTITUTE(SUBSTITUTE(SUBSTITUTE(SUBSTITUTE(SUBSTITUTE(SUBSTITUTE(SUBSTITUTE(SUBSTITUTE(SUBSTITUTE(SUBSTITUTE(SUBSTITUTE(SUBSTITUTE(SUBSTITUTE(SUBSTITUTE(SUBSTITUTE(TRIM($L79),"'",""),"İ","I"),"ı","I"),"i","I"),"Ş","S"),"ş","S"),"Ğ","G"),"ğ","G"),"Ü","U"),"ü","U"),"Ö","O"),"ö","O"),"Ç","C"),"ç","C"),".",""),",","")," ",""),"-","")))</f>
        <v/>
      </c>
      <c r="T79" s="3">
        <f>IF(OR($C79="",$D79&lt;&gt;"Gelir",$L79=""),"",IFERROR(INDEX(MUSTERILER!$B$7:$B$106,MATCH($S79,MUSTERILER!$T$7:$T$106,0)),""))</f>
        <v/>
      </c>
      <c r="U79" s="3">
        <f>IF($T79="","",$T79&amp;"|"&amp;COUNTIFS($T$7:$T79,$T79))</f>
        <v/>
      </c>
      <c r="V79" s="3">
        <f>IF($T79="",0,1)</f>
        <v/>
      </c>
      <c r="W79" s="3">
        <f>IF($C79="","",$D79&amp;"|"&amp;$E79&amp;"|"&amp;TEXT($C79,"0")&amp;"|"&amp;TEXT($G79,"0")&amp;"|"&amp;$J79)</f>
        <v/>
      </c>
      <c r="X79" s="3" t="n"/>
      <c r="Y79" s="3" t="n"/>
      <c r="Z79" s="3" t="n"/>
      <c r="AA79" s="3" t="n"/>
      <c r="AB79" s="3" t="n"/>
      <c r="AC79" s="3" t="n"/>
      <c r="AD79" s="3">
        <f>IF($C79="",0,SUMPRODUCT((AY_SONU!$O$7:$O$42="Evet")*(AY_SONU!$B$7:$B$42=DATE(YEAR($C79),MONTH($C79),1))))</f>
        <v/>
      </c>
    </row>
    <row r="80">
      <c r="A80" s="6" t="n"/>
      <c r="B80" s="113">
        <f>IF($C80="","","GG"&amp;TEXT(ROW()-6,"00000"))</f>
        <v/>
      </c>
      <c r="C80" s="220" t="n">
        <v>46130</v>
      </c>
      <c r="D80" s="108" t="inlineStr">
        <is>
          <t>Gider</t>
        </is>
      </c>
      <c r="E80" s="109" t="inlineStr">
        <is>
          <t>Temsil / Ağırlama</t>
        </is>
      </c>
      <c r="F80" s="109" t="inlineStr">
        <is>
          <t>Ofis Gıda Alışverişi</t>
        </is>
      </c>
      <c r="G80" s="221" t="n">
        <v>784</v>
      </c>
      <c r="H80" s="108" t="inlineStr">
        <is>
          <t>Merkez Kasa</t>
        </is>
      </c>
      <c r="I80" s="108" t="inlineStr">
        <is>
          <t>Evet</t>
        </is>
      </c>
      <c r="J80" s="109" t="n"/>
      <c r="K80" s="109" t="n"/>
      <c r="L80" s="108" t="n"/>
      <c r="M80" s="121">
        <f>IF($C80="","",IF($D80="Gider",$E80,IF($L80&lt;&gt;"",$L80,$H80)))</f>
        <v/>
      </c>
      <c r="N80" s="121">
        <f>IF($C80="","",IF($D80="Gider",$H80,$E80))</f>
        <v/>
      </c>
      <c r="O80" s="226">
        <f>IF($C80="","",DATE(YEAR($C80),MONTH($C80),1))</f>
        <v/>
      </c>
      <c r="P80" s="113">
        <f>IF($C80="","",IF(AND($D80="Gelir",$L80&lt;&gt;"",$T80=""),"TANIMSIZ BORÇLU",IF($T80&lt;&gt;"",IF(OR($E80="",$G80&lt;=0),"EKSİK",IF($I80="Evet","TAHAKKUK NAKİT OLAMAZ",IF($C80&gt;TODAY(),"İLERİ TARİH","TAHAKKUK"))),IF(AND($D80&lt;&gt;"",$E80&lt;&gt;"",$G80&gt;0,$H80&lt;&gt;"",$I80&lt;&gt;""),IF($C80&gt;TODAY(),"İLERİ TARİH",IF(COUNTIF($W$7:$W$1206,$W80)&gt;1,"MÜKERRER?",IF($AD80&gt;0,"KAPALI DÖNEM",IF($I80="Hayır","ÖDENECEK","UYGUN")))),"EKSİK"))))</f>
        <v/>
      </c>
      <c r="Q80" s="6" t="n"/>
      <c r="R80" s="6" t="n"/>
      <c r="S80" s="3">
        <f>IF($L80="","",UPPER(SUBSTITUTE(SUBSTITUTE(SUBSTITUTE(SUBSTITUTE(SUBSTITUTE(SUBSTITUTE(SUBSTITUTE(SUBSTITUTE(SUBSTITUTE(SUBSTITUTE(SUBSTITUTE(SUBSTITUTE(SUBSTITUTE(SUBSTITUTE(SUBSTITUTE(SUBSTITUTE(SUBSTITUTE(SUBSTITUTE(TRIM($L80),"'",""),"İ","I"),"ı","I"),"i","I"),"Ş","S"),"ş","S"),"Ğ","G"),"ğ","G"),"Ü","U"),"ü","U"),"Ö","O"),"ö","O"),"Ç","C"),"ç","C"),".",""),",","")," ",""),"-","")))</f>
        <v/>
      </c>
      <c r="T80" s="3">
        <f>IF(OR($C80="",$D80&lt;&gt;"Gelir",$L80=""),"",IFERROR(INDEX(MUSTERILER!$B$7:$B$106,MATCH($S80,MUSTERILER!$T$7:$T$106,0)),""))</f>
        <v/>
      </c>
      <c r="U80" s="3">
        <f>IF($T80="","",$T80&amp;"|"&amp;COUNTIFS($T$7:$T80,$T80))</f>
        <v/>
      </c>
      <c r="V80" s="3">
        <f>IF($T80="",0,1)</f>
        <v/>
      </c>
      <c r="W80" s="3">
        <f>IF($C80="","",$D80&amp;"|"&amp;$E80&amp;"|"&amp;TEXT($C80,"0")&amp;"|"&amp;TEXT($G80,"0")&amp;"|"&amp;$J80)</f>
        <v/>
      </c>
      <c r="X80" s="3" t="n"/>
      <c r="Y80" s="3" t="n"/>
      <c r="Z80" s="3" t="n"/>
      <c r="AA80" s="3" t="n"/>
      <c r="AB80" s="3" t="n"/>
      <c r="AC80" s="3" t="n"/>
      <c r="AD80" s="3">
        <f>IF($C80="",0,SUMPRODUCT((AY_SONU!$O$7:$O$42="Evet")*(AY_SONU!$B$7:$B$42=DATE(YEAR($C80),MONTH($C80),1))))</f>
        <v/>
      </c>
    </row>
    <row r="81">
      <c r="A81" s="6" t="n"/>
      <c r="B81" s="113">
        <f>IF($C81="","","GG"&amp;TEXT(ROW()-6,"00000"))</f>
        <v/>
      </c>
      <c r="C81" s="220" t="n">
        <v>46132</v>
      </c>
      <c r="D81" s="108" t="inlineStr">
        <is>
          <t>Gider</t>
        </is>
      </c>
      <c r="E81" s="109" t="inlineStr">
        <is>
          <t>Demirbaş</t>
        </is>
      </c>
      <c r="F81" s="109" t="inlineStr">
        <is>
          <t>Notebook Adaptör 1 Mouse ve Mouseped Toner</t>
        </is>
      </c>
      <c r="G81" s="221" t="n">
        <v>4500</v>
      </c>
      <c r="H81" s="108" t="inlineStr">
        <is>
          <t>Merkez Kasa</t>
        </is>
      </c>
      <c r="I81" s="108" t="inlineStr">
        <is>
          <t>Evet</t>
        </is>
      </c>
      <c r="J81" s="109" t="n"/>
      <c r="K81" s="109" t="n"/>
      <c r="L81" s="108" t="n"/>
      <c r="M81" s="121">
        <f>IF($C81="","",IF($D81="Gider",$E81,IF($L81&lt;&gt;"",$L81,$H81)))</f>
        <v/>
      </c>
      <c r="N81" s="121">
        <f>IF($C81="","",IF($D81="Gider",$H81,$E81))</f>
        <v/>
      </c>
      <c r="O81" s="226">
        <f>IF($C81="","",DATE(YEAR($C81),MONTH($C81),1))</f>
        <v/>
      </c>
      <c r="P81" s="113">
        <f>IF($C81="","",IF(AND($D81="Gelir",$L81&lt;&gt;"",$T81=""),"TANIMSIZ BORÇLU",IF($T81&lt;&gt;"",IF(OR($E81="",$G81&lt;=0),"EKSİK",IF($I81="Evet","TAHAKKUK NAKİT OLAMAZ",IF($C81&gt;TODAY(),"İLERİ TARİH","TAHAKKUK"))),IF(AND($D81&lt;&gt;"",$E81&lt;&gt;"",$G81&gt;0,$H81&lt;&gt;"",$I81&lt;&gt;""),IF($C81&gt;TODAY(),"İLERİ TARİH",IF(COUNTIF($W$7:$W$1206,$W81)&gt;1,"MÜKERRER?",IF($AD81&gt;0,"KAPALI DÖNEM",IF($I81="Hayır","ÖDENECEK","UYGUN")))),"EKSİK"))))</f>
        <v/>
      </c>
      <c r="Q81" s="6" t="n"/>
      <c r="R81" s="6" t="n"/>
      <c r="S81" s="3">
        <f>IF($L81="","",UPPER(SUBSTITUTE(SUBSTITUTE(SUBSTITUTE(SUBSTITUTE(SUBSTITUTE(SUBSTITUTE(SUBSTITUTE(SUBSTITUTE(SUBSTITUTE(SUBSTITUTE(SUBSTITUTE(SUBSTITUTE(SUBSTITUTE(SUBSTITUTE(SUBSTITUTE(SUBSTITUTE(SUBSTITUTE(SUBSTITUTE(TRIM($L81),"'",""),"İ","I"),"ı","I"),"i","I"),"Ş","S"),"ş","S"),"Ğ","G"),"ğ","G"),"Ü","U"),"ü","U"),"Ö","O"),"ö","O"),"Ç","C"),"ç","C"),".",""),",","")," ",""),"-","")))</f>
        <v/>
      </c>
      <c r="T81" s="3">
        <f>IF(OR($C81="",$D81&lt;&gt;"Gelir",$L81=""),"",IFERROR(INDEX(MUSTERILER!$B$7:$B$106,MATCH($S81,MUSTERILER!$T$7:$T$106,0)),""))</f>
        <v/>
      </c>
      <c r="U81" s="3">
        <f>IF($T81="","",$T81&amp;"|"&amp;COUNTIFS($T$7:$T81,$T81))</f>
        <v/>
      </c>
      <c r="V81" s="3">
        <f>IF($T81="",0,1)</f>
        <v/>
      </c>
      <c r="W81" s="3">
        <f>IF($C81="","",$D81&amp;"|"&amp;$E81&amp;"|"&amp;TEXT($C81,"0")&amp;"|"&amp;TEXT($G81,"0")&amp;"|"&amp;$J81)</f>
        <v/>
      </c>
      <c r="X81" s="3" t="n"/>
      <c r="Y81" s="3" t="n"/>
      <c r="Z81" s="3" t="n"/>
      <c r="AA81" s="3" t="n"/>
      <c r="AB81" s="3" t="n"/>
      <c r="AC81" s="3" t="n"/>
      <c r="AD81" s="3">
        <f>IF($C81="",0,SUMPRODUCT((AY_SONU!$O$7:$O$42="Evet")*(AY_SONU!$B$7:$B$42=DATE(YEAR($C81),MONTH($C81),1))))</f>
        <v/>
      </c>
    </row>
    <row r="82">
      <c r="A82" s="6" t="n"/>
      <c r="B82" s="113">
        <f>IF($C82="","","GG"&amp;TEXT(ROW()-6,"00000"))</f>
        <v/>
      </c>
      <c r="C82" s="220" t="n">
        <v>46132</v>
      </c>
      <c r="D82" s="108" t="inlineStr">
        <is>
          <t>Gider</t>
        </is>
      </c>
      <c r="E82" s="109" t="inlineStr">
        <is>
          <t>Kırtasiye</t>
        </is>
      </c>
      <c r="F82" s="109" t="inlineStr">
        <is>
          <t>Şeffaf Dosya ve A4 Kağıt 1 Koli</t>
        </is>
      </c>
      <c r="G82" s="221" t="n">
        <v>5200</v>
      </c>
      <c r="H82" s="108" t="inlineStr">
        <is>
          <t>Merkez Kasa</t>
        </is>
      </c>
      <c r="I82" s="108" t="inlineStr">
        <is>
          <t>Evet</t>
        </is>
      </c>
      <c r="J82" s="109" t="n"/>
      <c r="K82" s="109" t="n"/>
      <c r="L82" s="108" t="n"/>
      <c r="M82" s="121">
        <f>IF($C82="","",IF($D82="Gider",$E82,IF($L82&lt;&gt;"",$L82,$H82)))</f>
        <v/>
      </c>
      <c r="N82" s="121">
        <f>IF($C82="","",IF($D82="Gider",$H82,$E82))</f>
        <v/>
      </c>
      <c r="O82" s="226">
        <f>IF($C82="","",DATE(YEAR($C82),MONTH($C82),1))</f>
        <v/>
      </c>
      <c r="P82" s="113">
        <f>IF($C82="","",IF(AND($D82="Gelir",$L82&lt;&gt;"",$T82=""),"TANIMSIZ BORÇLU",IF($T82&lt;&gt;"",IF(OR($E82="",$G82&lt;=0),"EKSİK",IF($I82="Evet","TAHAKKUK NAKİT OLAMAZ",IF($C82&gt;TODAY(),"İLERİ TARİH","TAHAKKUK"))),IF(AND($D82&lt;&gt;"",$E82&lt;&gt;"",$G82&gt;0,$H82&lt;&gt;"",$I82&lt;&gt;""),IF($C82&gt;TODAY(),"İLERİ TARİH",IF(COUNTIF($W$7:$W$1206,$W82)&gt;1,"MÜKERRER?",IF($AD82&gt;0,"KAPALI DÖNEM",IF($I82="Hayır","ÖDENECEK","UYGUN")))),"EKSİK"))))</f>
        <v/>
      </c>
      <c r="Q82" s="6" t="n"/>
      <c r="R82" s="6" t="n"/>
      <c r="S82" s="3">
        <f>IF($L82="","",UPPER(SUBSTITUTE(SUBSTITUTE(SUBSTITUTE(SUBSTITUTE(SUBSTITUTE(SUBSTITUTE(SUBSTITUTE(SUBSTITUTE(SUBSTITUTE(SUBSTITUTE(SUBSTITUTE(SUBSTITUTE(SUBSTITUTE(SUBSTITUTE(SUBSTITUTE(SUBSTITUTE(SUBSTITUTE(SUBSTITUTE(TRIM($L82),"'",""),"İ","I"),"ı","I"),"i","I"),"Ş","S"),"ş","S"),"Ğ","G"),"ğ","G"),"Ü","U"),"ü","U"),"Ö","O"),"ö","O"),"Ç","C"),"ç","C"),".",""),",","")," ",""),"-","")))</f>
        <v/>
      </c>
      <c r="T82" s="3">
        <f>IF(OR($C82="",$D82&lt;&gt;"Gelir",$L82=""),"",IFERROR(INDEX(MUSTERILER!$B$7:$B$106,MATCH($S82,MUSTERILER!$T$7:$T$106,0)),""))</f>
        <v/>
      </c>
      <c r="U82" s="3">
        <f>IF($T82="","",$T82&amp;"|"&amp;COUNTIFS($T$7:$T82,$T82))</f>
        <v/>
      </c>
      <c r="V82" s="3">
        <f>IF($T82="",0,1)</f>
        <v/>
      </c>
      <c r="W82" s="3">
        <f>IF($C82="","",$D82&amp;"|"&amp;$E82&amp;"|"&amp;TEXT($C82,"0")&amp;"|"&amp;TEXT($G82,"0")&amp;"|"&amp;$J82)</f>
        <v/>
      </c>
      <c r="X82" s="3" t="n"/>
      <c r="Y82" s="3" t="n"/>
      <c r="Z82" s="3" t="n"/>
      <c r="AA82" s="3" t="n"/>
      <c r="AB82" s="3" t="n"/>
      <c r="AC82" s="3" t="n"/>
      <c r="AD82" s="3">
        <f>IF($C82="",0,SUMPRODUCT((AY_SONU!$O$7:$O$42="Evet")*(AY_SONU!$B$7:$B$42=DATE(YEAR($C82),MONTH($C82),1))))</f>
        <v/>
      </c>
    </row>
    <row r="83">
      <c r="A83" s="6" t="n"/>
      <c r="B83" s="113">
        <f>IF($C83="","","GG"&amp;TEXT(ROW()-6,"00000"))</f>
        <v/>
      </c>
      <c r="C83" s="220" t="n">
        <v>46132</v>
      </c>
      <c r="D83" s="108" t="inlineStr">
        <is>
          <t>Gider</t>
        </is>
      </c>
      <c r="E83" s="109" t="inlineStr">
        <is>
          <t>Telefon / İnternet</t>
        </is>
      </c>
      <c r="F83" s="109" t="inlineStr">
        <is>
          <t xml:space="preserve">Ofis Whatsapp Hattı Taahhüt Yenileme ( Powerbank ) </t>
        </is>
      </c>
      <c r="G83" s="221" t="n">
        <v>2100</v>
      </c>
      <c r="H83" s="108" t="inlineStr">
        <is>
          <t>Merkez Kasa</t>
        </is>
      </c>
      <c r="I83" s="108" t="inlineStr">
        <is>
          <t>Evet</t>
        </is>
      </c>
      <c r="J83" s="109" t="n"/>
      <c r="K83" s="109" t="n"/>
      <c r="L83" s="108" t="n"/>
      <c r="M83" s="121">
        <f>IF($C83="","",IF($D83="Gider",$E83,IF($L83&lt;&gt;"",$L83,$H83)))</f>
        <v/>
      </c>
      <c r="N83" s="121">
        <f>IF($C83="","",IF($D83="Gider",$H83,$E83))</f>
        <v/>
      </c>
      <c r="O83" s="226">
        <f>IF($C83="","",DATE(YEAR($C83),MONTH($C83),1))</f>
        <v/>
      </c>
      <c r="P83" s="113">
        <f>IF($C83="","",IF(AND($D83="Gelir",$L83&lt;&gt;"",$T83=""),"TANIMSIZ BORÇLU",IF($T83&lt;&gt;"",IF(OR($E83="",$G83&lt;=0),"EKSİK",IF($I83="Evet","TAHAKKUK NAKİT OLAMAZ",IF($C83&gt;TODAY(),"İLERİ TARİH","TAHAKKUK"))),IF(AND($D83&lt;&gt;"",$E83&lt;&gt;"",$G83&gt;0,$H83&lt;&gt;"",$I83&lt;&gt;""),IF($C83&gt;TODAY(),"İLERİ TARİH",IF(COUNTIF($W$7:$W$1206,$W83)&gt;1,"MÜKERRER?",IF($AD83&gt;0,"KAPALI DÖNEM",IF($I83="Hayır","ÖDENECEK","UYGUN")))),"EKSİK"))))</f>
        <v/>
      </c>
      <c r="Q83" s="6" t="n"/>
      <c r="R83" s="6" t="n"/>
      <c r="S83" s="3">
        <f>IF($L83="","",UPPER(SUBSTITUTE(SUBSTITUTE(SUBSTITUTE(SUBSTITUTE(SUBSTITUTE(SUBSTITUTE(SUBSTITUTE(SUBSTITUTE(SUBSTITUTE(SUBSTITUTE(SUBSTITUTE(SUBSTITUTE(SUBSTITUTE(SUBSTITUTE(SUBSTITUTE(SUBSTITUTE(SUBSTITUTE(SUBSTITUTE(TRIM($L83),"'",""),"İ","I"),"ı","I"),"i","I"),"Ş","S"),"ş","S"),"Ğ","G"),"ğ","G"),"Ü","U"),"ü","U"),"Ö","O"),"ö","O"),"Ç","C"),"ç","C"),".",""),",","")," ",""),"-","")))</f>
        <v/>
      </c>
      <c r="T83" s="3">
        <f>IF(OR($C83="",$D83&lt;&gt;"Gelir",$L83=""),"",IFERROR(INDEX(MUSTERILER!$B$7:$B$106,MATCH($S83,MUSTERILER!$T$7:$T$106,0)),""))</f>
        <v/>
      </c>
      <c r="U83" s="3">
        <f>IF($T83="","",$T83&amp;"|"&amp;COUNTIFS($T$7:$T83,$T83))</f>
        <v/>
      </c>
      <c r="V83" s="3">
        <f>IF($T83="",0,1)</f>
        <v/>
      </c>
      <c r="W83" s="3">
        <f>IF($C83="","",$D83&amp;"|"&amp;$E83&amp;"|"&amp;TEXT($C83,"0")&amp;"|"&amp;TEXT($G83,"0")&amp;"|"&amp;$J83)</f>
        <v/>
      </c>
      <c r="X83" s="3" t="n"/>
      <c r="Y83" s="3" t="n"/>
      <c r="Z83" s="3" t="n"/>
      <c r="AA83" s="3" t="n"/>
      <c r="AB83" s="3" t="n"/>
      <c r="AC83" s="3" t="n"/>
      <c r="AD83" s="3">
        <f>IF($C83="",0,SUMPRODUCT((AY_SONU!$O$7:$O$42="Evet")*(AY_SONU!$B$7:$B$42=DATE(YEAR($C83),MONTH($C83),1))))</f>
        <v/>
      </c>
    </row>
    <row r="84">
      <c r="A84" s="6" t="n"/>
      <c r="B84" s="113">
        <f>IF($C84="","","GG"&amp;TEXT(ROW()-6,"00000"))</f>
        <v/>
      </c>
      <c r="C84" s="220" t="n">
        <v>46132</v>
      </c>
      <c r="D84" s="108" t="inlineStr">
        <is>
          <t>Gider</t>
        </is>
      </c>
      <c r="E84" s="109" t="inlineStr">
        <is>
          <t>Temsil / Ağırlama</t>
        </is>
      </c>
      <c r="F84" s="109" t="inlineStr">
        <is>
          <t>Ofis Tabak</t>
        </is>
      </c>
      <c r="G84" s="221" t="n">
        <v>2000</v>
      </c>
      <c r="H84" s="108" t="inlineStr">
        <is>
          <t>Merkez Kasa</t>
        </is>
      </c>
      <c r="I84" s="108" t="inlineStr">
        <is>
          <t>Evet</t>
        </is>
      </c>
      <c r="J84" s="109" t="n"/>
      <c r="K84" s="109" t="n"/>
      <c r="L84" s="108" t="n"/>
      <c r="M84" s="121">
        <f>IF($C84="","",IF($D84="Gider",$E84,IF($L84&lt;&gt;"",$L84,$H84)))</f>
        <v/>
      </c>
      <c r="N84" s="121">
        <f>IF($C84="","",IF($D84="Gider",$H84,$E84))</f>
        <v/>
      </c>
      <c r="O84" s="226">
        <f>IF($C84="","",DATE(YEAR($C84),MONTH($C84),1))</f>
        <v/>
      </c>
      <c r="P84" s="113">
        <f>IF($C84="","",IF(AND($D84="Gelir",$L84&lt;&gt;"",$T84=""),"TANIMSIZ BORÇLU",IF($T84&lt;&gt;"",IF(OR($E84="",$G84&lt;=0),"EKSİK",IF($I84="Evet","TAHAKKUK NAKİT OLAMAZ",IF($C84&gt;TODAY(),"İLERİ TARİH","TAHAKKUK"))),IF(AND($D84&lt;&gt;"",$E84&lt;&gt;"",$G84&gt;0,$H84&lt;&gt;"",$I84&lt;&gt;""),IF($C84&gt;TODAY(),"İLERİ TARİH",IF(COUNTIF($W$7:$W$1206,$W84)&gt;1,"MÜKERRER?",IF($AD84&gt;0,"KAPALI DÖNEM",IF($I84="Hayır","ÖDENECEK","UYGUN")))),"EKSİK"))))</f>
        <v/>
      </c>
      <c r="Q84" s="6" t="n"/>
      <c r="R84" s="6" t="n"/>
      <c r="S84" s="3">
        <f>IF($L84="","",UPPER(SUBSTITUTE(SUBSTITUTE(SUBSTITUTE(SUBSTITUTE(SUBSTITUTE(SUBSTITUTE(SUBSTITUTE(SUBSTITUTE(SUBSTITUTE(SUBSTITUTE(SUBSTITUTE(SUBSTITUTE(SUBSTITUTE(SUBSTITUTE(SUBSTITUTE(SUBSTITUTE(SUBSTITUTE(SUBSTITUTE(TRIM($L84),"'",""),"İ","I"),"ı","I"),"i","I"),"Ş","S"),"ş","S"),"Ğ","G"),"ğ","G"),"Ü","U"),"ü","U"),"Ö","O"),"ö","O"),"Ç","C"),"ç","C"),".",""),",","")," ",""),"-","")))</f>
        <v/>
      </c>
      <c r="T84" s="3">
        <f>IF(OR($C84="",$D84&lt;&gt;"Gelir",$L84=""),"",IFERROR(INDEX(MUSTERILER!$B$7:$B$106,MATCH($S84,MUSTERILER!$T$7:$T$106,0)),""))</f>
        <v/>
      </c>
      <c r="U84" s="3">
        <f>IF($T84="","",$T84&amp;"|"&amp;COUNTIFS($T$7:$T84,$T84))</f>
        <v/>
      </c>
      <c r="V84" s="3">
        <f>IF($T84="",0,1)</f>
        <v/>
      </c>
      <c r="W84" s="3">
        <f>IF($C84="","",$D84&amp;"|"&amp;$E84&amp;"|"&amp;TEXT($C84,"0")&amp;"|"&amp;TEXT($G84,"0")&amp;"|"&amp;$J84)</f>
        <v/>
      </c>
      <c r="X84" s="3" t="n"/>
      <c r="Y84" s="3" t="n"/>
      <c r="Z84" s="3" t="n"/>
      <c r="AA84" s="3" t="n"/>
      <c r="AB84" s="3" t="n"/>
      <c r="AC84" s="3" t="n"/>
      <c r="AD84" s="3">
        <f>IF($C84="",0,SUMPRODUCT((AY_SONU!$O$7:$O$42="Evet")*(AY_SONU!$B$7:$B$42=DATE(YEAR($C84),MONTH($C84),1))))</f>
        <v/>
      </c>
    </row>
    <row r="85">
      <c r="A85" s="6" t="n"/>
      <c r="B85" s="113">
        <f>IF($C85="","","GG"&amp;TEXT(ROW()-6,"00000"))</f>
        <v/>
      </c>
      <c r="C85" s="220" t="n">
        <v>46132</v>
      </c>
      <c r="D85" s="108" t="inlineStr">
        <is>
          <t>Gider</t>
        </is>
      </c>
      <c r="E85" s="109" t="inlineStr">
        <is>
          <t>Temsil / Ağırlama</t>
        </is>
      </c>
      <c r="F85" s="109" t="inlineStr">
        <is>
          <t>Damacana</t>
        </is>
      </c>
      <c r="G85" s="221" t="n">
        <v>600</v>
      </c>
      <c r="H85" s="108" t="inlineStr">
        <is>
          <t>Merkez Kasa</t>
        </is>
      </c>
      <c r="I85" s="108" t="inlineStr">
        <is>
          <t>Evet</t>
        </is>
      </c>
      <c r="J85" s="109" t="n"/>
      <c r="K85" s="109" t="n"/>
      <c r="L85" s="108" t="n"/>
      <c r="M85" s="121">
        <f>IF($C85="","",IF($D85="Gider",$E85,IF($L85&lt;&gt;"",$L85,$H85)))</f>
        <v/>
      </c>
      <c r="N85" s="121">
        <f>IF($C85="","",IF($D85="Gider",$H85,$E85))</f>
        <v/>
      </c>
      <c r="O85" s="226">
        <f>IF($C85="","",DATE(YEAR($C85),MONTH($C85),1))</f>
        <v/>
      </c>
      <c r="P85" s="113">
        <f>IF($C85="","",IF(AND($D85="Gelir",$L85&lt;&gt;"",$T85=""),"TANIMSIZ BORÇLU",IF($T85&lt;&gt;"",IF(OR($E85="",$G85&lt;=0),"EKSİK",IF($I85="Evet","TAHAKKUK NAKİT OLAMAZ",IF($C85&gt;TODAY(),"İLERİ TARİH","TAHAKKUK"))),IF(AND($D85&lt;&gt;"",$E85&lt;&gt;"",$G85&gt;0,$H85&lt;&gt;"",$I85&lt;&gt;""),IF($C85&gt;TODAY(),"İLERİ TARİH",IF(COUNTIF($W$7:$W$1206,$W85)&gt;1,"MÜKERRER?",IF($AD85&gt;0,"KAPALI DÖNEM",IF($I85="Hayır","ÖDENECEK","UYGUN")))),"EKSİK"))))</f>
        <v/>
      </c>
      <c r="Q85" s="6" t="n"/>
      <c r="R85" s="6" t="n"/>
      <c r="S85" s="3">
        <f>IF($L85="","",UPPER(SUBSTITUTE(SUBSTITUTE(SUBSTITUTE(SUBSTITUTE(SUBSTITUTE(SUBSTITUTE(SUBSTITUTE(SUBSTITUTE(SUBSTITUTE(SUBSTITUTE(SUBSTITUTE(SUBSTITUTE(SUBSTITUTE(SUBSTITUTE(SUBSTITUTE(SUBSTITUTE(SUBSTITUTE(SUBSTITUTE(TRIM($L85),"'",""),"İ","I"),"ı","I"),"i","I"),"Ş","S"),"ş","S"),"Ğ","G"),"ğ","G"),"Ü","U"),"ü","U"),"Ö","O"),"ö","O"),"Ç","C"),"ç","C"),".",""),",","")," ",""),"-","")))</f>
        <v/>
      </c>
      <c r="T85" s="3">
        <f>IF(OR($C85="",$D85&lt;&gt;"Gelir",$L85=""),"",IFERROR(INDEX(MUSTERILER!$B$7:$B$106,MATCH($S85,MUSTERILER!$T$7:$T$106,0)),""))</f>
        <v/>
      </c>
      <c r="U85" s="3">
        <f>IF($T85="","",$T85&amp;"|"&amp;COUNTIFS($T$7:$T85,$T85))</f>
        <v/>
      </c>
      <c r="V85" s="3">
        <f>IF($T85="",0,1)</f>
        <v/>
      </c>
      <c r="W85" s="3">
        <f>IF($C85="","",$D85&amp;"|"&amp;$E85&amp;"|"&amp;TEXT($C85,"0")&amp;"|"&amp;TEXT($G85,"0")&amp;"|"&amp;$J85)</f>
        <v/>
      </c>
      <c r="X85" s="3" t="n"/>
      <c r="Y85" s="3" t="n"/>
      <c r="Z85" s="3" t="n"/>
      <c r="AA85" s="3" t="n"/>
      <c r="AB85" s="3" t="n"/>
      <c r="AC85" s="3" t="n"/>
      <c r="AD85" s="3">
        <f>IF($C85="",0,SUMPRODUCT((AY_SONU!$O$7:$O$42="Evet")*(AY_SONU!$B$7:$B$42=DATE(YEAR($C85),MONTH($C85),1))))</f>
        <v/>
      </c>
    </row>
    <row r="86">
      <c r="A86" s="6" t="n"/>
      <c r="B86" s="113">
        <f>IF($C86="","","GG"&amp;TEXT(ROW()-6,"00000"))</f>
        <v/>
      </c>
      <c r="C86" s="220" t="n">
        <v>46132</v>
      </c>
      <c r="D86" s="108" t="inlineStr">
        <is>
          <t>Gider</t>
        </is>
      </c>
      <c r="E86" s="109" t="inlineStr">
        <is>
          <t>Temsil / Ağırlama</t>
        </is>
      </c>
      <c r="F86" s="109" t="inlineStr">
        <is>
          <t>Mutfak Gereci</t>
        </is>
      </c>
      <c r="G86" s="221" t="n">
        <v>400</v>
      </c>
      <c r="H86" s="108" t="inlineStr">
        <is>
          <t>Merkez Kasa</t>
        </is>
      </c>
      <c r="I86" s="108" t="inlineStr">
        <is>
          <t>Evet</t>
        </is>
      </c>
      <c r="J86" s="109" t="n"/>
      <c r="K86" s="109" t="n"/>
      <c r="L86" s="108" t="n"/>
      <c r="M86" s="121">
        <f>IF($C86="","",IF($D86="Gider",$E86,IF($L86&lt;&gt;"",$L86,$H86)))</f>
        <v/>
      </c>
      <c r="N86" s="121">
        <f>IF($C86="","",IF($D86="Gider",$H86,$E86))</f>
        <v/>
      </c>
      <c r="O86" s="226">
        <f>IF($C86="","",DATE(YEAR($C86),MONTH($C86),1))</f>
        <v/>
      </c>
      <c r="P86" s="113">
        <f>IF($C86="","",IF(AND($D86="Gelir",$L86&lt;&gt;"",$T86=""),"TANIMSIZ BORÇLU",IF($T86&lt;&gt;"",IF(OR($E86="",$G86&lt;=0),"EKSİK",IF($I86="Evet","TAHAKKUK NAKİT OLAMAZ",IF($C86&gt;TODAY(),"İLERİ TARİH","TAHAKKUK"))),IF(AND($D86&lt;&gt;"",$E86&lt;&gt;"",$G86&gt;0,$H86&lt;&gt;"",$I86&lt;&gt;""),IF($C86&gt;TODAY(),"İLERİ TARİH",IF(COUNTIF($W$7:$W$1206,$W86)&gt;1,"MÜKERRER?",IF($AD86&gt;0,"KAPALI DÖNEM",IF($I86="Hayır","ÖDENECEK","UYGUN")))),"EKSİK"))))</f>
        <v/>
      </c>
      <c r="Q86" s="6" t="n"/>
      <c r="R86" s="6" t="n"/>
      <c r="S86" s="3">
        <f>IF($L86="","",UPPER(SUBSTITUTE(SUBSTITUTE(SUBSTITUTE(SUBSTITUTE(SUBSTITUTE(SUBSTITUTE(SUBSTITUTE(SUBSTITUTE(SUBSTITUTE(SUBSTITUTE(SUBSTITUTE(SUBSTITUTE(SUBSTITUTE(SUBSTITUTE(SUBSTITUTE(SUBSTITUTE(SUBSTITUTE(SUBSTITUTE(TRIM($L86),"'",""),"İ","I"),"ı","I"),"i","I"),"Ş","S"),"ş","S"),"Ğ","G"),"ğ","G"),"Ü","U"),"ü","U"),"Ö","O"),"ö","O"),"Ç","C"),"ç","C"),".",""),",","")," ",""),"-","")))</f>
        <v/>
      </c>
      <c r="T86" s="3">
        <f>IF(OR($C86="",$D86&lt;&gt;"Gelir",$L86=""),"",IFERROR(INDEX(MUSTERILER!$B$7:$B$106,MATCH($S86,MUSTERILER!$T$7:$T$106,0)),""))</f>
        <v/>
      </c>
      <c r="U86" s="3">
        <f>IF($T86="","",$T86&amp;"|"&amp;COUNTIFS($T$7:$T86,$T86))</f>
        <v/>
      </c>
      <c r="V86" s="3">
        <f>IF($T86="",0,1)</f>
        <v/>
      </c>
      <c r="W86" s="3">
        <f>IF($C86="","",$D86&amp;"|"&amp;$E86&amp;"|"&amp;TEXT($C86,"0")&amp;"|"&amp;TEXT($G86,"0")&amp;"|"&amp;$J86)</f>
        <v/>
      </c>
      <c r="X86" s="3" t="n"/>
      <c r="Y86" s="3" t="n"/>
      <c r="Z86" s="3" t="n"/>
      <c r="AA86" s="3" t="n"/>
      <c r="AB86" s="3" t="n"/>
      <c r="AC86" s="3" t="n"/>
      <c r="AD86" s="3">
        <f>IF($C86="",0,SUMPRODUCT((AY_SONU!$O$7:$O$42="Evet")*(AY_SONU!$B$7:$B$42=DATE(YEAR($C86),MONTH($C86),1))))</f>
        <v/>
      </c>
    </row>
    <row r="87">
      <c r="A87" s="6" t="n"/>
      <c r="B87" s="113">
        <f>IF($C87="","","GG"&amp;TEXT(ROW()-6,"00000"))</f>
        <v/>
      </c>
      <c r="C87" s="220" t="n">
        <v>46132</v>
      </c>
      <c r="D87" s="108" t="inlineStr">
        <is>
          <t>Gider</t>
        </is>
      </c>
      <c r="E87" s="109" t="inlineStr">
        <is>
          <t>Telefon / İnternet</t>
        </is>
      </c>
      <c r="F87" s="109" t="inlineStr">
        <is>
          <t>İnternet Ödemesi</t>
        </is>
      </c>
      <c r="G87" s="221" t="n">
        <v>630</v>
      </c>
      <c r="H87" s="108" t="inlineStr">
        <is>
          <t>Merkez Kasa</t>
        </is>
      </c>
      <c r="I87" s="108" t="inlineStr">
        <is>
          <t>Evet</t>
        </is>
      </c>
      <c r="J87" s="109" t="n"/>
      <c r="K87" s="109" t="n"/>
      <c r="L87" s="108" t="n"/>
      <c r="M87" s="121">
        <f>IF($C87="","",IF($D87="Gider",$E87,IF($L87&lt;&gt;"",$L87,$H87)))</f>
        <v/>
      </c>
      <c r="N87" s="121">
        <f>IF($C87="","",IF($D87="Gider",$H87,$E87))</f>
        <v/>
      </c>
      <c r="O87" s="226">
        <f>IF($C87="","",DATE(YEAR($C87),MONTH($C87),1))</f>
        <v/>
      </c>
      <c r="P87" s="113">
        <f>IF($C87="","",IF(AND($D87="Gelir",$L87&lt;&gt;"",$T87=""),"TANIMSIZ BORÇLU",IF($T87&lt;&gt;"",IF(OR($E87="",$G87&lt;=0),"EKSİK",IF($I87="Evet","TAHAKKUK NAKİT OLAMAZ",IF($C87&gt;TODAY(),"İLERİ TARİH","TAHAKKUK"))),IF(AND($D87&lt;&gt;"",$E87&lt;&gt;"",$G87&gt;0,$H87&lt;&gt;"",$I87&lt;&gt;""),IF($C87&gt;TODAY(),"İLERİ TARİH",IF(COUNTIF($W$7:$W$1206,$W87)&gt;1,"MÜKERRER?",IF($AD87&gt;0,"KAPALI DÖNEM",IF($I87="Hayır","ÖDENECEK","UYGUN")))),"EKSİK"))))</f>
        <v/>
      </c>
      <c r="Q87" s="6" t="n"/>
      <c r="R87" s="6" t="n"/>
      <c r="S87" s="3">
        <f>IF($L87="","",UPPER(SUBSTITUTE(SUBSTITUTE(SUBSTITUTE(SUBSTITUTE(SUBSTITUTE(SUBSTITUTE(SUBSTITUTE(SUBSTITUTE(SUBSTITUTE(SUBSTITUTE(SUBSTITUTE(SUBSTITUTE(SUBSTITUTE(SUBSTITUTE(SUBSTITUTE(SUBSTITUTE(SUBSTITUTE(SUBSTITUTE(TRIM($L87),"'",""),"İ","I"),"ı","I"),"i","I"),"Ş","S"),"ş","S"),"Ğ","G"),"ğ","G"),"Ü","U"),"ü","U"),"Ö","O"),"ö","O"),"Ç","C"),"ç","C"),".",""),",","")," ",""),"-","")))</f>
        <v/>
      </c>
      <c r="T87" s="3">
        <f>IF(OR($C87="",$D87&lt;&gt;"Gelir",$L87=""),"",IFERROR(INDEX(MUSTERILER!$B$7:$B$106,MATCH($S87,MUSTERILER!$T$7:$T$106,0)),""))</f>
        <v/>
      </c>
      <c r="U87" s="3">
        <f>IF($T87="","",$T87&amp;"|"&amp;COUNTIFS($T$7:$T87,$T87))</f>
        <v/>
      </c>
      <c r="V87" s="3">
        <f>IF($T87="",0,1)</f>
        <v/>
      </c>
      <c r="W87" s="3">
        <f>IF($C87="","",$D87&amp;"|"&amp;$E87&amp;"|"&amp;TEXT($C87,"0")&amp;"|"&amp;TEXT($G87,"0")&amp;"|"&amp;$J87)</f>
        <v/>
      </c>
      <c r="X87" s="3" t="n"/>
      <c r="Y87" s="3" t="n"/>
      <c r="Z87" s="3" t="n"/>
      <c r="AA87" s="3" t="n"/>
      <c r="AB87" s="3" t="n"/>
      <c r="AC87" s="3" t="n"/>
      <c r="AD87" s="3">
        <f>IF($C87="",0,SUMPRODUCT((AY_SONU!$O$7:$O$42="Evet")*(AY_SONU!$B$7:$B$42=DATE(YEAR($C87),MONTH($C87),1))))</f>
        <v/>
      </c>
    </row>
    <row r="88">
      <c r="A88" s="6" t="n"/>
      <c r="B88" s="113">
        <f>IF($C88="","","GG"&amp;TEXT(ROW()-6,"00000"))</f>
        <v/>
      </c>
      <c r="C88" s="220" t="n">
        <v>46132</v>
      </c>
      <c r="D88" s="108" t="inlineStr">
        <is>
          <t>Gider</t>
        </is>
      </c>
      <c r="E88" s="109" t="inlineStr">
        <is>
          <t>Ulaşım</t>
        </is>
      </c>
      <c r="F88" s="109" t="inlineStr">
        <is>
          <t>Araç Yakıt Alımı</t>
        </is>
      </c>
      <c r="G88" s="221" t="n">
        <v>2000</v>
      </c>
      <c r="H88" s="108" t="inlineStr">
        <is>
          <t>Merkez Kasa</t>
        </is>
      </c>
      <c r="I88" s="108" t="inlineStr">
        <is>
          <t>Evet</t>
        </is>
      </c>
      <c r="J88" s="109" t="n"/>
      <c r="K88" s="109" t="n"/>
      <c r="L88" s="108" t="n"/>
      <c r="M88" s="121">
        <f>IF($C88="","",IF($D88="Gider",$E88,IF($L88&lt;&gt;"",$L88,$H88)))</f>
        <v/>
      </c>
      <c r="N88" s="121">
        <f>IF($C88="","",IF($D88="Gider",$H88,$E88))</f>
        <v/>
      </c>
      <c r="O88" s="226">
        <f>IF($C88="","",DATE(YEAR($C88),MONTH($C88),1))</f>
        <v/>
      </c>
      <c r="P88" s="113">
        <f>IF($C88="","",IF(AND($D88="Gelir",$L88&lt;&gt;"",$T88=""),"TANIMSIZ BORÇLU",IF($T88&lt;&gt;"",IF(OR($E88="",$G88&lt;=0),"EKSİK",IF($I88="Evet","TAHAKKUK NAKİT OLAMAZ",IF($C88&gt;TODAY(),"İLERİ TARİH","TAHAKKUK"))),IF(AND($D88&lt;&gt;"",$E88&lt;&gt;"",$G88&gt;0,$H88&lt;&gt;"",$I88&lt;&gt;""),IF($C88&gt;TODAY(),"İLERİ TARİH",IF(COUNTIF($W$7:$W$1206,$W88)&gt;1,"MÜKERRER?",IF($AD88&gt;0,"KAPALI DÖNEM",IF($I88="Hayır","ÖDENECEK","UYGUN")))),"EKSİK"))))</f>
        <v/>
      </c>
      <c r="Q88" s="6" t="n"/>
      <c r="R88" s="6" t="n"/>
      <c r="S88" s="3">
        <f>IF($L88="","",UPPER(SUBSTITUTE(SUBSTITUTE(SUBSTITUTE(SUBSTITUTE(SUBSTITUTE(SUBSTITUTE(SUBSTITUTE(SUBSTITUTE(SUBSTITUTE(SUBSTITUTE(SUBSTITUTE(SUBSTITUTE(SUBSTITUTE(SUBSTITUTE(SUBSTITUTE(SUBSTITUTE(SUBSTITUTE(SUBSTITUTE(TRIM($L88),"'",""),"İ","I"),"ı","I"),"i","I"),"Ş","S"),"ş","S"),"Ğ","G"),"ğ","G"),"Ü","U"),"ü","U"),"Ö","O"),"ö","O"),"Ç","C"),"ç","C"),".",""),",","")," ",""),"-","")))</f>
        <v/>
      </c>
      <c r="T88" s="3">
        <f>IF(OR($C88="",$D88&lt;&gt;"Gelir",$L88=""),"",IFERROR(INDEX(MUSTERILER!$B$7:$B$106,MATCH($S88,MUSTERILER!$T$7:$T$106,0)),""))</f>
        <v/>
      </c>
      <c r="U88" s="3">
        <f>IF($T88="","",$T88&amp;"|"&amp;COUNTIFS($T$7:$T88,$T88))</f>
        <v/>
      </c>
      <c r="V88" s="3">
        <f>IF($T88="",0,1)</f>
        <v/>
      </c>
      <c r="W88" s="3">
        <f>IF($C88="","",$D88&amp;"|"&amp;$E88&amp;"|"&amp;TEXT($C88,"0")&amp;"|"&amp;TEXT($G88,"0")&amp;"|"&amp;$J88)</f>
        <v/>
      </c>
      <c r="X88" s="3" t="n"/>
      <c r="Y88" s="3" t="n"/>
      <c r="Z88" s="3" t="n"/>
      <c r="AA88" s="3" t="n"/>
      <c r="AB88" s="3" t="n"/>
      <c r="AC88" s="3" t="n"/>
      <c r="AD88" s="3">
        <f>IF($C88="",0,SUMPRODUCT((AY_SONU!$O$7:$O$42="Evet")*(AY_SONU!$B$7:$B$42=DATE(YEAR($C88),MONTH($C88),1))))</f>
        <v/>
      </c>
    </row>
    <row r="89">
      <c r="A89" s="6" t="n"/>
      <c r="B89" s="113">
        <f>IF($C89="","","GG"&amp;TEXT(ROW()-6,"00000"))</f>
        <v/>
      </c>
      <c r="C89" s="220" t="n">
        <v>46137</v>
      </c>
      <c r="D89" s="108" t="inlineStr">
        <is>
          <t>Gider</t>
        </is>
      </c>
      <c r="E89" s="109" t="inlineStr">
        <is>
          <t>Temsil / Ağırlama</t>
        </is>
      </c>
      <c r="F89" s="109" t="inlineStr">
        <is>
          <t>Ofis Gıda Temizlik Alışverişi</t>
        </is>
      </c>
      <c r="G89" s="221" t="n">
        <v>270</v>
      </c>
      <c r="H89" s="108" t="inlineStr">
        <is>
          <t>Merkez Kasa</t>
        </is>
      </c>
      <c r="I89" s="108" t="inlineStr">
        <is>
          <t>Evet</t>
        </is>
      </c>
      <c r="J89" s="109" t="n"/>
      <c r="K89" s="109" t="n"/>
      <c r="L89" s="108" t="n"/>
      <c r="M89" s="121">
        <f>IF($C89="","",IF($D89="Gider",$E89,IF($L89&lt;&gt;"",$L89,$H89)))</f>
        <v/>
      </c>
      <c r="N89" s="121">
        <f>IF($C89="","",IF($D89="Gider",$H89,$E89))</f>
        <v/>
      </c>
      <c r="O89" s="226">
        <f>IF($C89="","",DATE(YEAR($C89),MONTH($C89),1))</f>
        <v/>
      </c>
      <c r="P89" s="113">
        <f>IF($C89="","",IF(AND($D89="Gelir",$L89&lt;&gt;"",$T89=""),"TANIMSIZ BORÇLU",IF($T89&lt;&gt;"",IF(OR($E89="",$G89&lt;=0),"EKSİK",IF($I89="Evet","TAHAKKUK NAKİT OLAMAZ",IF($C89&gt;TODAY(),"İLERİ TARİH","TAHAKKUK"))),IF(AND($D89&lt;&gt;"",$E89&lt;&gt;"",$G89&gt;0,$H89&lt;&gt;"",$I89&lt;&gt;""),IF($C89&gt;TODAY(),"İLERİ TARİH",IF(COUNTIF($W$7:$W$1206,$W89)&gt;1,"MÜKERRER?",IF($AD89&gt;0,"KAPALI DÖNEM",IF($I89="Hayır","ÖDENECEK","UYGUN")))),"EKSİK"))))</f>
        <v/>
      </c>
      <c r="Q89" s="6" t="n"/>
      <c r="R89" s="6" t="n"/>
      <c r="S89" s="3">
        <f>IF($L89="","",UPPER(SUBSTITUTE(SUBSTITUTE(SUBSTITUTE(SUBSTITUTE(SUBSTITUTE(SUBSTITUTE(SUBSTITUTE(SUBSTITUTE(SUBSTITUTE(SUBSTITUTE(SUBSTITUTE(SUBSTITUTE(SUBSTITUTE(SUBSTITUTE(SUBSTITUTE(SUBSTITUTE(SUBSTITUTE(SUBSTITUTE(TRIM($L89),"'",""),"İ","I"),"ı","I"),"i","I"),"Ş","S"),"ş","S"),"Ğ","G"),"ğ","G"),"Ü","U"),"ü","U"),"Ö","O"),"ö","O"),"Ç","C"),"ç","C"),".",""),",","")," ",""),"-","")))</f>
        <v/>
      </c>
      <c r="T89" s="3">
        <f>IF(OR($C89="",$D89&lt;&gt;"Gelir",$L89=""),"",IFERROR(INDEX(MUSTERILER!$B$7:$B$106,MATCH($S89,MUSTERILER!$T$7:$T$106,0)),""))</f>
        <v/>
      </c>
      <c r="U89" s="3">
        <f>IF($T89="","",$T89&amp;"|"&amp;COUNTIFS($T$7:$T89,$T89))</f>
        <v/>
      </c>
      <c r="V89" s="3">
        <f>IF($T89="",0,1)</f>
        <v/>
      </c>
      <c r="W89" s="3">
        <f>IF($C89="","",$D89&amp;"|"&amp;$E89&amp;"|"&amp;TEXT($C89,"0")&amp;"|"&amp;TEXT($G89,"0")&amp;"|"&amp;$J89)</f>
        <v/>
      </c>
      <c r="X89" s="3" t="n"/>
      <c r="Y89" s="3" t="n"/>
      <c r="Z89" s="3" t="n"/>
      <c r="AA89" s="3" t="n"/>
      <c r="AB89" s="3" t="n"/>
      <c r="AC89" s="3" t="n"/>
      <c r="AD89" s="3">
        <f>IF($C89="",0,SUMPRODUCT((AY_SONU!$O$7:$O$42="Evet")*(AY_SONU!$B$7:$B$42=DATE(YEAR($C89),MONTH($C89),1))))</f>
        <v/>
      </c>
    </row>
    <row r="90">
      <c r="A90" s="6" t="n"/>
      <c r="B90" s="113">
        <f>IF($C90="","","GG"&amp;TEXT(ROW()-6,"00000"))</f>
        <v/>
      </c>
      <c r="C90" s="220" t="n">
        <v>46139</v>
      </c>
      <c r="D90" s="108" t="inlineStr">
        <is>
          <t>Gider</t>
        </is>
      </c>
      <c r="E90" s="109" t="inlineStr">
        <is>
          <t>Personel</t>
        </is>
      </c>
      <c r="F90" s="109" t="inlineStr">
        <is>
          <t>Zeynep Hanım Avans</t>
        </is>
      </c>
      <c r="G90" s="221" t="n">
        <v>20000</v>
      </c>
      <c r="H90" s="108" t="inlineStr">
        <is>
          <t>Merkez Kasa</t>
        </is>
      </c>
      <c r="I90" s="108" t="inlineStr">
        <is>
          <t>Evet</t>
        </is>
      </c>
      <c r="J90" s="109" t="n"/>
      <c r="K90" s="109" t="n"/>
      <c r="L90" s="108" t="n"/>
      <c r="M90" s="121">
        <f>IF($C90="","",IF($D90="Gider",$E90,IF($L90&lt;&gt;"",$L90,$H90)))</f>
        <v/>
      </c>
      <c r="N90" s="121">
        <f>IF($C90="","",IF($D90="Gider",$H90,$E90))</f>
        <v/>
      </c>
      <c r="O90" s="226">
        <f>IF($C90="","",DATE(YEAR($C90),MONTH($C90),1))</f>
        <v/>
      </c>
      <c r="P90" s="113">
        <f>IF($C90="","",IF(AND($D90="Gelir",$L90&lt;&gt;"",$T90=""),"TANIMSIZ BORÇLU",IF($T90&lt;&gt;"",IF(OR($E90="",$G90&lt;=0),"EKSİK",IF($I90="Evet","TAHAKKUK NAKİT OLAMAZ",IF($C90&gt;TODAY(),"İLERİ TARİH","TAHAKKUK"))),IF(AND($D90&lt;&gt;"",$E90&lt;&gt;"",$G90&gt;0,$H90&lt;&gt;"",$I90&lt;&gt;""),IF($C90&gt;TODAY(),"İLERİ TARİH",IF(COUNTIF($W$7:$W$1206,$W90)&gt;1,"MÜKERRER?",IF($AD90&gt;0,"KAPALI DÖNEM",IF($I90="Hayır","ÖDENECEK","UYGUN")))),"EKSİK"))))</f>
        <v/>
      </c>
      <c r="Q90" s="6" t="n"/>
      <c r="R90" s="6" t="n"/>
      <c r="S90" s="3">
        <f>IF($L90="","",UPPER(SUBSTITUTE(SUBSTITUTE(SUBSTITUTE(SUBSTITUTE(SUBSTITUTE(SUBSTITUTE(SUBSTITUTE(SUBSTITUTE(SUBSTITUTE(SUBSTITUTE(SUBSTITUTE(SUBSTITUTE(SUBSTITUTE(SUBSTITUTE(SUBSTITUTE(SUBSTITUTE(SUBSTITUTE(SUBSTITUTE(TRIM($L90),"'",""),"İ","I"),"ı","I"),"i","I"),"Ş","S"),"ş","S"),"Ğ","G"),"ğ","G"),"Ü","U"),"ü","U"),"Ö","O"),"ö","O"),"Ç","C"),"ç","C"),".",""),",","")," ",""),"-","")))</f>
        <v/>
      </c>
      <c r="T90" s="3">
        <f>IF(OR($C90="",$D90&lt;&gt;"Gelir",$L90=""),"",IFERROR(INDEX(MUSTERILER!$B$7:$B$106,MATCH($S90,MUSTERILER!$T$7:$T$106,0)),""))</f>
        <v/>
      </c>
      <c r="U90" s="3">
        <f>IF($T90="","",$T90&amp;"|"&amp;COUNTIFS($T$7:$T90,$T90))</f>
        <v/>
      </c>
      <c r="V90" s="3">
        <f>IF($T90="",0,1)</f>
        <v/>
      </c>
      <c r="W90" s="3">
        <f>IF($C90="","",$D90&amp;"|"&amp;$E90&amp;"|"&amp;TEXT($C90,"0")&amp;"|"&amp;TEXT($G90,"0")&amp;"|"&amp;$J90)</f>
        <v/>
      </c>
      <c r="X90" s="3" t="n"/>
      <c r="Y90" s="3" t="n"/>
      <c r="Z90" s="3" t="n"/>
      <c r="AA90" s="3" t="n"/>
      <c r="AB90" s="3" t="n"/>
      <c r="AC90" s="3" t="n"/>
      <c r="AD90" s="3">
        <f>IF($C90="",0,SUMPRODUCT((AY_SONU!$O$7:$O$42="Evet")*(AY_SONU!$B$7:$B$42=DATE(YEAR($C90),MONTH($C90),1))))</f>
        <v/>
      </c>
    </row>
    <row r="91">
      <c r="A91" s="6" t="n"/>
      <c r="B91" s="113">
        <f>IF($C91="","","GG"&amp;TEXT(ROW()-6,"00000"))</f>
        <v/>
      </c>
      <c r="C91" s="220" t="n">
        <v>46139</v>
      </c>
      <c r="D91" s="108" t="inlineStr">
        <is>
          <t>Gider</t>
        </is>
      </c>
      <c r="E91" s="109" t="inlineStr">
        <is>
          <t>Vergi / Harç</t>
        </is>
      </c>
      <c r="F91" s="109" t="inlineStr">
        <is>
          <t>Bağkur Ödemesi</t>
        </is>
      </c>
      <c r="G91" s="221" t="n">
        <v>11810</v>
      </c>
      <c r="H91" s="108" t="inlineStr">
        <is>
          <t>Merkez Kasa</t>
        </is>
      </c>
      <c r="I91" s="108" t="inlineStr">
        <is>
          <t>Evet</t>
        </is>
      </c>
      <c r="J91" s="109" t="n"/>
      <c r="K91" s="109" t="n"/>
      <c r="L91" s="108" t="n"/>
      <c r="M91" s="121">
        <f>IF($C91="","",IF($D91="Gider",$E91,IF($L91&lt;&gt;"",$L91,$H91)))</f>
        <v/>
      </c>
      <c r="N91" s="121">
        <f>IF($C91="","",IF($D91="Gider",$H91,$E91))</f>
        <v/>
      </c>
      <c r="O91" s="226">
        <f>IF($C91="","",DATE(YEAR($C91),MONTH($C91),1))</f>
        <v/>
      </c>
      <c r="P91" s="113">
        <f>IF($C91="","",IF(AND($D91="Gelir",$L91&lt;&gt;"",$T91=""),"TANIMSIZ BORÇLU",IF($T91&lt;&gt;"",IF(OR($E91="",$G91&lt;=0),"EKSİK",IF($I91="Evet","TAHAKKUK NAKİT OLAMAZ",IF($C91&gt;TODAY(),"İLERİ TARİH","TAHAKKUK"))),IF(AND($D91&lt;&gt;"",$E91&lt;&gt;"",$G91&gt;0,$H91&lt;&gt;"",$I91&lt;&gt;""),IF($C91&gt;TODAY(),"İLERİ TARİH",IF(COUNTIF($W$7:$W$1206,$W91)&gt;1,"MÜKERRER?",IF($AD91&gt;0,"KAPALI DÖNEM",IF($I91="Hayır","ÖDENECEK","UYGUN")))),"EKSİK"))))</f>
        <v/>
      </c>
      <c r="Q91" s="6" t="n"/>
      <c r="R91" s="6" t="n"/>
      <c r="S91" s="3">
        <f>IF($L91="","",UPPER(SUBSTITUTE(SUBSTITUTE(SUBSTITUTE(SUBSTITUTE(SUBSTITUTE(SUBSTITUTE(SUBSTITUTE(SUBSTITUTE(SUBSTITUTE(SUBSTITUTE(SUBSTITUTE(SUBSTITUTE(SUBSTITUTE(SUBSTITUTE(SUBSTITUTE(SUBSTITUTE(SUBSTITUTE(SUBSTITUTE(TRIM($L91),"'",""),"İ","I"),"ı","I"),"i","I"),"Ş","S"),"ş","S"),"Ğ","G"),"ğ","G"),"Ü","U"),"ü","U"),"Ö","O"),"ö","O"),"Ç","C"),"ç","C"),".",""),",","")," ",""),"-","")))</f>
        <v/>
      </c>
      <c r="T91" s="3">
        <f>IF(OR($C91="",$D91&lt;&gt;"Gelir",$L91=""),"",IFERROR(INDEX(MUSTERILER!$B$7:$B$106,MATCH($S91,MUSTERILER!$T$7:$T$106,0)),""))</f>
        <v/>
      </c>
      <c r="U91" s="3">
        <f>IF($T91="","",$T91&amp;"|"&amp;COUNTIFS($T$7:$T91,$T91))</f>
        <v/>
      </c>
      <c r="V91" s="3">
        <f>IF($T91="",0,1)</f>
        <v/>
      </c>
      <c r="W91" s="3">
        <f>IF($C91="","",$D91&amp;"|"&amp;$E91&amp;"|"&amp;TEXT($C91,"0")&amp;"|"&amp;TEXT($G91,"0")&amp;"|"&amp;$J91)</f>
        <v/>
      </c>
      <c r="X91" s="3" t="n"/>
      <c r="Y91" s="3" t="n"/>
      <c r="Z91" s="3" t="n"/>
      <c r="AA91" s="3" t="n"/>
      <c r="AB91" s="3" t="n"/>
      <c r="AC91" s="3" t="n"/>
      <c r="AD91" s="3">
        <f>IF($C91="",0,SUMPRODUCT((AY_SONU!$O$7:$O$42="Evet")*(AY_SONU!$B$7:$B$42=DATE(YEAR($C91),MONTH($C91),1))))</f>
        <v/>
      </c>
    </row>
    <row r="92">
      <c r="A92" s="6" t="n"/>
      <c r="B92" s="113">
        <f>IF($C92="","","GG"&amp;TEXT(ROW()-6,"00000"))</f>
        <v/>
      </c>
      <c r="C92" s="220" t="n">
        <v>46142</v>
      </c>
      <c r="D92" s="108" t="inlineStr">
        <is>
          <t>Gider</t>
        </is>
      </c>
      <c r="E92" s="109" t="inlineStr">
        <is>
          <t>Personel</t>
        </is>
      </c>
      <c r="F92" s="109" t="inlineStr">
        <is>
          <t>Zeynep Hanim Nisan Maaşı</t>
        </is>
      </c>
      <c r="G92" s="221" t="n">
        <v>60000</v>
      </c>
      <c r="H92" s="108" t="inlineStr">
        <is>
          <t>Merkez Kasa</t>
        </is>
      </c>
      <c r="I92" s="108" t="inlineStr">
        <is>
          <t>Evet</t>
        </is>
      </c>
      <c r="J92" s="109" t="n"/>
      <c r="K92" s="109" t="n"/>
      <c r="L92" s="108" t="n"/>
      <c r="M92" s="121">
        <f>IF($C92="","",IF($D92="Gider",$E92,IF($L92&lt;&gt;"",$L92,$H92)))</f>
        <v/>
      </c>
      <c r="N92" s="121">
        <f>IF($C92="","",IF($D92="Gider",$H92,$E92))</f>
        <v/>
      </c>
      <c r="O92" s="226">
        <f>IF($C92="","",DATE(YEAR($C92),MONTH($C92),1))</f>
        <v/>
      </c>
      <c r="P92" s="113">
        <f>IF($C92="","",IF(AND($D92="Gelir",$L92&lt;&gt;"",$T92=""),"TANIMSIZ BORÇLU",IF($T92&lt;&gt;"",IF(OR($E92="",$G92&lt;=0),"EKSİK",IF($I92="Evet","TAHAKKUK NAKİT OLAMAZ",IF($C92&gt;TODAY(),"İLERİ TARİH","TAHAKKUK"))),IF(AND($D92&lt;&gt;"",$E92&lt;&gt;"",$G92&gt;0,$H92&lt;&gt;"",$I92&lt;&gt;""),IF($C92&gt;TODAY(),"İLERİ TARİH",IF(COUNTIF($W$7:$W$1206,$W92)&gt;1,"MÜKERRER?",IF($AD92&gt;0,"KAPALI DÖNEM",IF($I92="Hayır","ÖDENECEK","UYGUN")))),"EKSİK"))))</f>
        <v/>
      </c>
      <c r="Q92" s="6" t="n"/>
      <c r="R92" s="6" t="n"/>
      <c r="S92" s="3">
        <f>IF($L92="","",UPPER(SUBSTITUTE(SUBSTITUTE(SUBSTITUTE(SUBSTITUTE(SUBSTITUTE(SUBSTITUTE(SUBSTITUTE(SUBSTITUTE(SUBSTITUTE(SUBSTITUTE(SUBSTITUTE(SUBSTITUTE(SUBSTITUTE(SUBSTITUTE(SUBSTITUTE(SUBSTITUTE(SUBSTITUTE(SUBSTITUTE(TRIM($L92),"'",""),"İ","I"),"ı","I"),"i","I"),"Ş","S"),"ş","S"),"Ğ","G"),"ğ","G"),"Ü","U"),"ü","U"),"Ö","O"),"ö","O"),"Ç","C"),"ç","C"),".",""),",","")," ",""),"-","")))</f>
        <v/>
      </c>
      <c r="T92" s="3">
        <f>IF(OR($C92="",$D92&lt;&gt;"Gelir",$L92=""),"",IFERROR(INDEX(MUSTERILER!$B$7:$B$106,MATCH($S92,MUSTERILER!$T$7:$T$106,0)),""))</f>
        <v/>
      </c>
      <c r="U92" s="3">
        <f>IF($T92="","",$T92&amp;"|"&amp;COUNTIFS($T$7:$T92,$T92))</f>
        <v/>
      </c>
      <c r="V92" s="3">
        <f>IF($T92="",0,1)</f>
        <v/>
      </c>
      <c r="W92" s="3">
        <f>IF($C92="","",$D92&amp;"|"&amp;$E92&amp;"|"&amp;TEXT($C92,"0")&amp;"|"&amp;TEXT($G92,"0")&amp;"|"&amp;$J92)</f>
        <v/>
      </c>
      <c r="X92" s="3" t="n"/>
      <c r="Y92" s="3" t="n"/>
      <c r="Z92" s="3" t="n"/>
      <c r="AA92" s="3" t="n"/>
      <c r="AB92" s="3" t="n"/>
      <c r="AC92" s="3" t="n"/>
      <c r="AD92" s="3">
        <f>IF($C92="",0,SUMPRODUCT((AY_SONU!$O$7:$O$42="Evet")*(AY_SONU!$B$7:$B$42=DATE(YEAR($C92),MONTH($C92),1))))</f>
        <v/>
      </c>
    </row>
    <row r="93">
      <c r="A93" s="6" t="n"/>
      <c r="B93" s="113">
        <f>IF($C93="","","GG"&amp;TEXT(ROW()-6,"00000"))</f>
        <v/>
      </c>
      <c r="C93" s="220" t="n">
        <v>46142</v>
      </c>
      <c r="D93" s="108" t="inlineStr">
        <is>
          <t>Gider</t>
        </is>
      </c>
      <c r="E93" s="109" t="inlineStr">
        <is>
          <t>Ulaşım</t>
        </is>
      </c>
      <c r="F93" s="109" t="inlineStr">
        <is>
          <t>Araç Benzin</t>
        </is>
      </c>
      <c r="G93" s="221" t="n">
        <v>2000</v>
      </c>
      <c r="H93" s="108" t="inlineStr">
        <is>
          <t>Merkez Kasa</t>
        </is>
      </c>
      <c r="I93" s="108" t="inlineStr">
        <is>
          <t>Evet</t>
        </is>
      </c>
      <c r="J93" s="109" t="n"/>
      <c r="K93" s="109" t="n"/>
      <c r="L93" s="108" t="n"/>
      <c r="M93" s="121">
        <f>IF($C93="","",IF($D93="Gider",$E93,IF($L93&lt;&gt;"",$L93,$H93)))</f>
        <v/>
      </c>
      <c r="N93" s="121">
        <f>IF($C93="","",IF($D93="Gider",$H93,$E93))</f>
        <v/>
      </c>
      <c r="O93" s="226">
        <f>IF($C93="","",DATE(YEAR($C93),MONTH($C93),1))</f>
        <v/>
      </c>
      <c r="P93" s="113">
        <f>IF($C93="","",IF(AND($D93="Gelir",$L93&lt;&gt;"",$T93=""),"TANIMSIZ BORÇLU",IF($T93&lt;&gt;"",IF(OR($E93="",$G93&lt;=0),"EKSİK",IF($I93="Evet","TAHAKKUK NAKİT OLAMAZ",IF($C93&gt;TODAY(),"İLERİ TARİH","TAHAKKUK"))),IF(AND($D93&lt;&gt;"",$E93&lt;&gt;"",$G93&gt;0,$H93&lt;&gt;"",$I93&lt;&gt;""),IF($C93&gt;TODAY(),"İLERİ TARİH",IF(COUNTIF($W$7:$W$1206,$W93)&gt;1,"MÜKERRER?",IF($AD93&gt;0,"KAPALI DÖNEM",IF($I93="Hayır","ÖDENECEK","UYGUN")))),"EKSİK"))))</f>
        <v/>
      </c>
      <c r="Q93" s="6" t="n"/>
      <c r="R93" s="6" t="n"/>
      <c r="S93" s="3">
        <f>IF($L93="","",UPPER(SUBSTITUTE(SUBSTITUTE(SUBSTITUTE(SUBSTITUTE(SUBSTITUTE(SUBSTITUTE(SUBSTITUTE(SUBSTITUTE(SUBSTITUTE(SUBSTITUTE(SUBSTITUTE(SUBSTITUTE(SUBSTITUTE(SUBSTITUTE(SUBSTITUTE(SUBSTITUTE(SUBSTITUTE(SUBSTITUTE(TRIM($L93),"'",""),"İ","I"),"ı","I"),"i","I"),"Ş","S"),"ş","S"),"Ğ","G"),"ğ","G"),"Ü","U"),"ü","U"),"Ö","O"),"ö","O"),"Ç","C"),"ç","C"),".",""),",","")," ",""),"-","")))</f>
        <v/>
      </c>
      <c r="T93" s="3">
        <f>IF(OR($C93="",$D93&lt;&gt;"Gelir",$L93=""),"",IFERROR(INDEX(MUSTERILER!$B$7:$B$106,MATCH($S93,MUSTERILER!$T$7:$T$106,0)),""))</f>
        <v/>
      </c>
      <c r="U93" s="3">
        <f>IF($T93="","",$T93&amp;"|"&amp;COUNTIFS($T$7:$T93,$T93))</f>
        <v/>
      </c>
      <c r="V93" s="3">
        <f>IF($T93="",0,1)</f>
        <v/>
      </c>
      <c r="W93" s="3">
        <f>IF($C93="","",$D93&amp;"|"&amp;$E93&amp;"|"&amp;TEXT($C93,"0")&amp;"|"&amp;TEXT($G93,"0")&amp;"|"&amp;$J93)</f>
        <v/>
      </c>
      <c r="X93" s="3" t="n"/>
      <c r="Y93" s="3" t="n"/>
      <c r="Z93" s="3" t="n"/>
      <c r="AA93" s="3" t="n"/>
      <c r="AB93" s="3" t="n"/>
      <c r="AC93" s="3" t="n"/>
      <c r="AD93" s="3">
        <f>IF($C93="",0,SUMPRODUCT((AY_SONU!$O$7:$O$42="Evet")*(AY_SONU!$B$7:$B$42=DATE(YEAR($C93),MONTH($C93),1))))</f>
        <v/>
      </c>
    </row>
    <row r="94">
      <c r="A94" s="6" t="n"/>
      <c r="B94" s="113">
        <f>IF($C94="","","GG"&amp;TEXT(ROW()-6,"00000"))</f>
        <v/>
      </c>
      <c r="C94" s="220" t="n">
        <v>46144</v>
      </c>
      <c r="D94" s="108" t="inlineStr">
        <is>
          <t>Gider</t>
        </is>
      </c>
      <c r="E94" s="109" t="inlineStr">
        <is>
          <t>Ulaşım</t>
        </is>
      </c>
      <c r="F94" s="109" t="inlineStr">
        <is>
          <t>Ömer TAG</t>
        </is>
      </c>
      <c r="G94" s="221" t="n">
        <v>1000</v>
      </c>
      <c r="H94" s="108" t="inlineStr">
        <is>
          <t>Merkez Kasa</t>
        </is>
      </c>
      <c r="I94" s="108" t="inlineStr">
        <is>
          <t>Evet</t>
        </is>
      </c>
      <c r="J94" s="109" t="n"/>
      <c r="K94" s="109" t="n"/>
      <c r="L94" s="108" t="n"/>
      <c r="M94" s="121">
        <f>IF($C94="","",IF($D94="Gider",$E94,IF($L94&lt;&gt;"",$L94,$H94)))</f>
        <v/>
      </c>
      <c r="N94" s="121">
        <f>IF($C94="","",IF($D94="Gider",$H94,$E94))</f>
        <v/>
      </c>
      <c r="O94" s="226">
        <f>IF($C94="","",DATE(YEAR($C94),MONTH($C94),1))</f>
        <v/>
      </c>
      <c r="P94" s="113">
        <f>IF($C94="","",IF(AND($D94="Gelir",$L94&lt;&gt;"",$T94=""),"TANIMSIZ BORÇLU",IF($T94&lt;&gt;"",IF(OR($E94="",$G94&lt;=0),"EKSİK",IF($I94="Evet","TAHAKKUK NAKİT OLAMAZ",IF($C94&gt;TODAY(),"İLERİ TARİH","TAHAKKUK"))),IF(AND($D94&lt;&gt;"",$E94&lt;&gt;"",$G94&gt;0,$H94&lt;&gt;"",$I94&lt;&gt;""),IF($C94&gt;TODAY(),"İLERİ TARİH",IF(COUNTIF($W$7:$W$1206,$W94)&gt;1,"MÜKERRER?",IF($AD94&gt;0,"KAPALI DÖNEM",IF($I94="Hayır","ÖDENECEK","UYGUN")))),"EKSİK"))))</f>
        <v/>
      </c>
      <c r="Q94" s="6" t="n"/>
      <c r="R94" s="6" t="n"/>
      <c r="S94" s="3">
        <f>IF($L94="","",UPPER(SUBSTITUTE(SUBSTITUTE(SUBSTITUTE(SUBSTITUTE(SUBSTITUTE(SUBSTITUTE(SUBSTITUTE(SUBSTITUTE(SUBSTITUTE(SUBSTITUTE(SUBSTITUTE(SUBSTITUTE(SUBSTITUTE(SUBSTITUTE(SUBSTITUTE(SUBSTITUTE(SUBSTITUTE(SUBSTITUTE(TRIM($L94),"'",""),"İ","I"),"ı","I"),"i","I"),"Ş","S"),"ş","S"),"Ğ","G"),"ğ","G"),"Ü","U"),"ü","U"),"Ö","O"),"ö","O"),"Ç","C"),"ç","C"),".",""),",","")," ",""),"-","")))</f>
        <v/>
      </c>
      <c r="T94" s="3">
        <f>IF(OR($C94="",$D94&lt;&gt;"Gelir",$L94=""),"",IFERROR(INDEX(MUSTERILER!$B$7:$B$106,MATCH($S94,MUSTERILER!$T$7:$T$106,0)),""))</f>
        <v/>
      </c>
      <c r="U94" s="3">
        <f>IF($T94="","",$T94&amp;"|"&amp;COUNTIFS($T$7:$T94,$T94))</f>
        <v/>
      </c>
      <c r="V94" s="3">
        <f>IF($T94="",0,1)</f>
        <v/>
      </c>
      <c r="W94" s="3">
        <f>IF($C94="","",$D94&amp;"|"&amp;$E94&amp;"|"&amp;TEXT($C94,"0")&amp;"|"&amp;TEXT($G94,"0")&amp;"|"&amp;$J94)</f>
        <v/>
      </c>
      <c r="X94" s="3" t="n"/>
      <c r="Y94" s="3" t="n"/>
      <c r="Z94" s="3" t="n"/>
      <c r="AA94" s="3" t="n"/>
      <c r="AB94" s="3" t="n"/>
      <c r="AC94" s="3" t="n"/>
      <c r="AD94" s="3">
        <f>IF($C94="",0,SUMPRODUCT((AY_SONU!$O$7:$O$42="Evet")*(AY_SONU!$B$7:$B$42=DATE(YEAR($C94),MONTH($C94),1))))</f>
        <v/>
      </c>
    </row>
    <row r="95">
      <c r="A95" s="6" t="n"/>
      <c r="B95" s="113">
        <f>IF($C95="","","GG"&amp;TEXT(ROW()-6,"00000"))</f>
        <v/>
      </c>
      <c r="C95" s="220" t="n">
        <v>46144</v>
      </c>
      <c r="D95" s="108" t="inlineStr">
        <is>
          <t>Gider</t>
        </is>
      </c>
      <c r="E95" s="109" t="inlineStr">
        <is>
          <t>Ofis Kirası</t>
        </is>
      </c>
      <c r="F95" s="109" t="inlineStr">
        <is>
          <t>Haziran Ayı Ofis Kirası</t>
        </is>
      </c>
      <c r="G95" s="221" t="n">
        <v>14000</v>
      </c>
      <c r="H95" s="108" t="inlineStr">
        <is>
          <t>Merkez Kasa</t>
        </is>
      </c>
      <c r="I95" s="108" t="inlineStr">
        <is>
          <t>Evet</t>
        </is>
      </c>
      <c r="J95" s="109" t="n"/>
      <c r="K95" s="109" t="n"/>
      <c r="L95" s="108" t="n"/>
      <c r="M95" s="121">
        <f>IF($C95="","",IF($D95="Gider",$E95,IF($L95&lt;&gt;"",$L95,$H95)))</f>
        <v/>
      </c>
      <c r="N95" s="121">
        <f>IF($C95="","",IF($D95="Gider",$H95,$E95))</f>
        <v/>
      </c>
      <c r="O95" s="226">
        <f>IF($C95="","",DATE(YEAR($C95),MONTH($C95),1))</f>
        <v/>
      </c>
      <c r="P95" s="113">
        <f>IF($C95="","",IF(AND($D95="Gelir",$L95&lt;&gt;"",$T95=""),"TANIMSIZ BORÇLU",IF($T95&lt;&gt;"",IF(OR($E95="",$G95&lt;=0),"EKSİK",IF($I95="Evet","TAHAKKUK NAKİT OLAMAZ",IF($C95&gt;TODAY(),"İLERİ TARİH","TAHAKKUK"))),IF(AND($D95&lt;&gt;"",$E95&lt;&gt;"",$G95&gt;0,$H95&lt;&gt;"",$I95&lt;&gt;""),IF($C95&gt;TODAY(),"İLERİ TARİH",IF(COUNTIF($W$7:$W$1206,$W95)&gt;1,"MÜKERRER?",IF($AD95&gt;0,"KAPALI DÖNEM",IF($I95="Hayır","ÖDENECEK","UYGUN")))),"EKSİK"))))</f>
        <v/>
      </c>
      <c r="Q95" s="6" t="n"/>
      <c r="R95" s="6" t="n"/>
      <c r="S95" s="3">
        <f>IF($L95="","",UPPER(SUBSTITUTE(SUBSTITUTE(SUBSTITUTE(SUBSTITUTE(SUBSTITUTE(SUBSTITUTE(SUBSTITUTE(SUBSTITUTE(SUBSTITUTE(SUBSTITUTE(SUBSTITUTE(SUBSTITUTE(SUBSTITUTE(SUBSTITUTE(SUBSTITUTE(SUBSTITUTE(SUBSTITUTE(SUBSTITUTE(TRIM($L95),"'",""),"İ","I"),"ı","I"),"i","I"),"Ş","S"),"ş","S"),"Ğ","G"),"ğ","G"),"Ü","U"),"ü","U"),"Ö","O"),"ö","O"),"Ç","C"),"ç","C"),".",""),",","")," ",""),"-","")))</f>
        <v/>
      </c>
      <c r="T95" s="3">
        <f>IF(OR($C95="",$D95&lt;&gt;"Gelir",$L95=""),"",IFERROR(INDEX(MUSTERILER!$B$7:$B$106,MATCH($S95,MUSTERILER!$T$7:$T$106,0)),""))</f>
        <v/>
      </c>
      <c r="U95" s="3">
        <f>IF($T95="","",$T95&amp;"|"&amp;COUNTIFS($T$7:$T95,$T95))</f>
        <v/>
      </c>
      <c r="V95" s="3">
        <f>IF($T95="",0,1)</f>
        <v/>
      </c>
      <c r="W95" s="3">
        <f>IF($C95="","",$D95&amp;"|"&amp;$E95&amp;"|"&amp;TEXT($C95,"0")&amp;"|"&amp;TEXT($G95,"0")&amp;"|"&amp;$J95)</f>
        <v/>
      </c>
      <c r="X95" s="3" t="n"/>
      <c r="Y95" s="3" t="n"/>
      <c r="Z95" s="3" t="n"/>
      <c r="AA95" s="3" t="n"/>
      <c r="AB95" s="3" t="n"/>
      <c r="AC95" s="3" t="n"/>
      <c r="AD95" s="3">
        <f>IF($C95="",0,SUMPRODUCT((AY_SONU!$O$7:$O$42="Evet")*(AY_SONU!$B$7:$B$42=DATE(YEAR($C95),MONTH($C95),1))))</f>
        <v/>
      </c>
    </row>
    <row r="96">
      <c r="A96" s="6" t="n"/>
      <c r="B96" s="113">
        <f>IF($C96="","","GG"&amp;TEXT(ROW()-6,"00000"))</f>
        <v/>
      </c>
      <c r="C96" s="220" t="n">
        <v>46144</v>
      </c>
      <c r="D96" s="108" t="inlineStr">
        <is>
          <t>Gider</t>
        </is>
      </c>
      <c r="E96" s="109" t="inlineStr">
        <is>
          <t>Ofis Kirası</t>
        </is>
      </c>
      <c r="F96" s="109" t="inlineStr">
        <is>
          <t>Haziran Aidat Ödemesi</t>
        </is>
      </c>
      <c r="G96" s="221" t="n">
        <v>2000</v>
      </c>
      <c r="H96" s="108" t="inlineStr">
        <is>
          <t>Merkez Kasa</t>
        </is>
      </c>
      <c r="I96" s="108" t="inlineStr">
        <is>
          <t>Evet</t>
        </is>
      </c>
      <c r="J96" s="109" t="n"/>
      <c r="K96" s="109" t="n"/>
      <c r="L96" s="108" t="n"/>
      <c r="M96" s="121">
        <f>IF($C96="","",IF($D96="Gider",$E96,IF($L96&lt;&gt;"",$L96,$H96)))</f>
        <v/>
      </c>
      <c r="N96" s="121">
        <f>IF($C96="","",IF($D96="Gider",$H96,$E96))</f>
        <v/>
      </c>
      <c r="O96" s="226">
        <f>IF($C96="","",DATE(YEAR($C96),MONTH($C96),1))</f>
        <v/>
      </c>
      <c r="P96" s="113">
        <f>IF($C96="","",IF(AND($D96="Gelir",$L96&lt;&gt;"",$T96=""),"TANIMSIZ BORÇLU",IF($T96&lt;&gt;"",IF(OR($E96="",$G96&lt;=0),"EKSİK",IF($I96="Evet","TAHAKKUK NAKİT OLAMAZ",IF($C96&gt;TODAY(),"İLERİ TARİH","TAHAKKUK"))),IF(AND($D96&lt;&gt;"",$E96&lt;&gt;"",$G96&gt;0,$H96&lt;&gt;"",$I96&lt;&gt;""),IF($C96&gt;TODAY(),"İLERİ TARİH",IF(COUNTIF($W$7:$W$1206,$W96)&gt;1,"MÜKERRER?",IF($AD96&gt;0,"KAPALI DÖNEM",IF($I96="Hayır","ÖDENECEK","UYGUN")))),"EKSİK"))))</f>
        <v/>
      </c>
      <c r="Q96" s="6" t="n"/>
      <c r="R96" s="6" t="n"/>
      <c r="S96" s="3">
        <f>IF($L96="","",UPPER(SUBSTITUTE(SUBSTITUTE(SUBSTITUTE(SUBSTITUTE(SUBSTITUTE(SUBSTITUTE(SUBSTITUTE(SUBSTITUTE(SUBSTITUTE(SUBSTITUTE(SUBSTITUTE(SUBSTITUTE(SUBSTITUTE(SUBSTITUTE(SUBSTITUTE(SUBSTITUTE(SUBSTITUTE(SUBSTITUTE(TRIM($L96),"'",""),"İ","I"),"ı","I"),"i","I"),"Ş","S"),"ş","S"),"Ğ","G"),"ğ","G"),"Ü","U"),"ü","U"),"Ö","O"),"ö","O"),"Ç","C"),"ç","C"),".",""),",","")," ",""),"-","")))</f>
        <v/>
      </c>
      <c r="T96" s="3">
        <f>IF(OR($C96="",$D96&lt;&gt;"Gelir",$L96=""),"",IFERROR(INDEX(MUSTERILER!$B$7:$B$106,MATCH($S96,MUSTERILER!$T$7:$T$106,0)),""))</f>
        <v/>
      </c>
      <c r="U96" s="3">
        <f>IF($T96="","",$T96&amp;"|"&amp;COUNTIFS($T$7:$T96,$T96))</f>
        <v/>
      </c>
      <c r="V96" s="3">
        <f>IF($T96="",0,1)</f>
        <v/>
      </c>
      <c r="W96" s="3">
        <f>IF($C96="","",$D96&amp;"|"&amp;$E96&amp;"|"&amp;TEXT($C96,"0")&amp;"|"&amp;TEXT($G96,"0")&amp;"|"&amp;$J96)</f>
        <v/>
      </c>
      <c r="X96" s="3" t="n"/>
      <c r="Y96" s="3" t="n"/>
      <c r="Z96" s="3" t="n"/>
      <c r="AA96" s="3" t="n"/>
      <c r="AB96" s="3" t="n"/>
      <c r="AC96" s="3" t="n"/>
      <c r="AD96" s="3">
        <f>IF($C96="",0,SUMPRODUCT((AY_SONU!$O$7:$O$42="Evet")*(AY_SONU!$B$7:$B$42=DATE(YEAR($C96),MONTH($C96),1))))</f>
        <v/>
      </c>
    </row>
    <row r="97">
      <c r="A97" s="6" t="n"/>
      <c r="B97" s="113">
        <f>IF($C97="","","GG"&amp;TEXT(ROW()-6,"00000"))</f>
        <v/>
      </c>
      <c r="C97" s="220" t="n">
        <v>46144</v>
      </c>
      <c r="D97" s="108" t="inlineStr">
        <is>
          <t>Gider</t>
        </is>
      </c>
      <c r="E97" s="109" t="inlineStr">
        <is>
          <t>Ulaşım</t>
        </is>
      </c>
      <c r="F97" s="109" t="inlineStr">
        <is>
          <t>Araç Yakıt Alımı</t>
        </is>
      </c>
      <c r="G97" s="221" t="n">
        <v>2000</v>
      </c>
      <c r="H97" s="108" t="inlineStr">
        <is>
          <t>Merkez Kasa</t>
        </is>
      </c>
      <c r="I97" s="108" t="inlineStr">
        <is>
          <t>Evet</t>
        </is>
      </c>
      <c r="J97" s="109" t="n"/>
      <c r="K97" s="109" t="n"/>
      <c r="L97" s="108" t="n"/>
      <c r="M97" s="121">
        <f>IF($C97="","",IF($D97="Gider",$E97,IF($L97&lt;&gt;"",$L97,$H97)))</f>
        <v/>
      </c>
      <c r="N97" s="121">
        <f>IF($C97="","",IF($D97="Gider",$H97,$E97))</f>
        <v/>
      </c>
      <c r="O97" s="226">
        <f>IF($C97="","",DATE(YEAR($C97),MONTH($C97),1))</f>
        <v/>
      </c>
      <c r="P97" s="113">
        <f>IF($C97="","",IF(AND($D97="Gelir",$L97&lt;&gt;"",$T97=""),"TANIMSIZ BORÇLU",IF($T97&lt;&gt;"",IF(OR($E97="",$G97&lt;=0),"EKSİK",IF($I97="Evet","TAHAKKUK NAKİT OLAMAZ",IF($C97&gt;TODAY(),"İLERİ TARİH","TAHAKKUK"))),IF(AND($D97&lt;&gt;"",$E97&lt;&gt;"",$G97&gt;0,$H97&lt;&gt;"",$I97&lt;&gt;""),IF($C97&gt;TODAY(),"İLERİ TARİH",IF(COUNTIF($W$7:$W$1206,$W97)&gt;1,"MÜKERRER?",IF($AD97&gt;0,"KAPALI DÖNEM",IF($I97="Hayır","ÖDENECEK","UYGUN")))),"EKSİK"))))</f>
        <v/>
      </c>
      <c r="Q97" s="6" t="n"/>
      <c r="R97" s="6" t="n"/>
      <c r="S97" s="3">
        <f>IF($L97="","",UPPER(SUBSTITUTE(SUBSTITUTE(SUBSTITUTE(SUBSTITUTE(SUBSTITUTE(SUBSTITUTE(SUBSTITUTE(SUBSTITUTE(SUBSTITUTE(SUBSTITUTE(SUBSTITUTE(SUBSTITUTE(SUBSTITUTE(SUBSTITUTE(SUBSTITUTE(SUBSTITUTE(SUBSTITUTE(SUBSTITUTE(TRIM($L97),"'",""),"İ","I"),"ı","I"),"i","I"),"Ş","S"),"ş","S"),"Ğ","G"),"ğ","G"),"Ü","U"),"ü","U"),"Ö","O"),"ö","O"),"Ç","C"),"ç","C"),".",""),",","")," ",""),"-","")))</f>
        <v/>
      </c>
      <c r="T97" s="3">
        <f>IF(OR($C97="",$D97&lt;&gt;"Gelir",$L97=""),"",IFERROR(INDEX(MUSTERILER!$B$7:$B$106,MATCH($S97,MUSTERILER!$T$7:$T$106,0)),""))</f>
        <v/>
      </c>
      <c r="U97" s="3">
        <f>IF($T97="","",$T97&amp;"|"&amp;COUNTIFS($T$7:$T97,$T97))</f>
        <v/>
      </c>
      <c r="V97" s="3">
        <f>IF($T97="",0,1)</f>
        <v/>
      </c>
      <c r="W97" s="3">
        <f>IF($C97="","",$D97&amp;"|"&amp;$E97&amp;"|"&amp;TEXT($C97,"0")&amp;"|"&amp;TEXT($G97,"0")&amp;"|"&amp;$J97)</f>
        <v/>
      </c>
      <c r="X97" s="3" t="n"/>
      <c r="Y97" s="3" t="n"/>
      <c r="Z97" s="3" t="n"/>
      <c r="AA97" s="3" t="n"/>
      <c r="AB97" s="3" t="n"/>
      <c r="AC97" s="3" t="n"/>
      <c r="AD97" s="3">
        <f>IF($C97="",0,SUMPRODUCT((AY_SONU!$O$7:$O$42="Evet")*(AY_SONU!$B$7:$B$42=DATE(YEAR($C97),MONTH($C97),1))))</f>
        <v/>
      </c>
    </row>
    <row r="98">
      <c r="A98" s="6" t="n"/>
      <c r="B98" s="113">
        <f>IF($C98="","","GG"&amp;TEXT(ROW()-6,"00000"))</f>
        <v/>
      </c>
      <c r="C98" s="220" t="n">
        <v>46146</v>
      </c>
      <c r="D98" s="108" t="inlineStr">
        <is>
          <t>Gider</t>
        </is>
      </c>
      <c r="E98" s="109" t="inlineStr">
        <is>
          <t>Ulaşım</t>
        </is>
      </c>
      <c r="F98" s="109" t="inlineStr">
        <is>
          <t>Yıkama</t>
        </is>
      </c>
      <c r="G98" s="221" t="n">
        <v>600</v>
      </c>
      <c r="H98" s="108" t="inlineStr">
        <is>
          <t>Merkez Kasa</t>
        </is>
      </c>
      <c r="I98" s="108" t="inlineStr">
        <is>
          <t>Evet</t>
        </is>
      </c>
      <c r="J98" s="109" t="n"/>
      <c r="K98" s="109" t="n"/>
      <c r="L98" s="108" t="n"/>
      <c r="M98" s="121">
        <f>IF($C98="","",IF($D98="Gider",$E98,IF($L98&lt;&gt;"",$L98,$H98)))</f>
        <v/>
      </c>
      <c r="N98" s="121">
        <f>IF($C98="","",IF($D98="Gider",$H98,$E98))</f>
        <v/>
      </c>
      <c r="O98" s="226">
        <f>IF($C98="","",DATE(YEAR($C98),MONTH($C98),1))</f>
        <v/>
      </c>
      <c r="P98" s="113">
        <f>IF($C98="","",IF(AND($D98="Gelir",$L98&lt;&gt;"",$T98=""),"TANIMSIZ BORÇLU",IF($T98&lt;&gt;"",IF(OR($E98="",$G98&lt;=0),"EKSİK",IF($I98="Evet","TAHAKKUK NAKİT OLAMAZ",IF($C98&gt;TODAY(),"İLERİ TARİH","TAHAKKUK"))),IF(AND($D98&lt;&gt;"",$E98&lt;&gt;"",$G98&gt;0,$H98&lt;&gt;"",$I98&lt;&gt;""),IF($C98&gt;TODAY(),"İLERİ TARİH",IF(COUNTIF($W$7:$W$1206,$W98)&gt;1,"MÜKERRER?",IF($AD98&gt;0,"KAPALI DÖNEM",IF($I98="Hayır","ÖDENECEK","UYGUN")))),"EKSİK"))))</f>
        <v/>
      </c>
      <c r="Q98" s="6" t="n"/>
      <c r="R98" s="6" t="n"/>
      <c r="S98" s="3">
        <f>IF($L98="","",UPPER(SUBSTITUTE(SUBSTITUTE(SUBSTITUTE(SUBSTITUTE(SUBSTITUTE(SUBSTITUTE(SUBSTITUTE(SUBSTITUTE(SUBSTITUTE(SUBSTITUTE(SUBSTITUTE(SUBSTITUTE(SUBSTITUTE(SUBSTITUTE(SUBSTITUTE(SUBSTITUTE(SUBSTITUTE(SUBSTITUTE(TRIM($L98),"'",""),"İ","I"),"ı","I"),"i","I"),"Ş","S"),"ş","S"),"Ğ","G"),"ğ","G"),"Ü","U"),"ü","U"),"Ö","O"),"ö","O"),"Ç","C"),"ç","C"),".",""),",","")," ",""),"-","")))</f>
        <v/>
      </c>
      <c r="T98" s="3">
        <f>IF(OR($C98="",$D98&lt;&gt;"Gelir",$L98=""),"",IFERROR(INDEX(MUSTERILER!$B$7:$B$106,MATCH($S98,MUSTERILER!$T$7:$T$106,0)),""))</f>
        <v/>
      </c>
      <c r="U98" s="3">
        <f>IF($T98="","",$T98&amp;"|"&amp;COUNTIFS($T$7:$T98,$T98))</f>
        <v/>
      </c>
      <c r="V98" s="3">
        <f>IF($T98="",0,1)</f>
        <v/>
      </c>
      <c r="W98" s="3">
        <f>IF($C98="","",$D98&amp;"|"&amp;$E98&amp;"|"&amp;TEXT($C98,"0")&amp;"|"&amp;TEXT($G98,"0")&amp;"|"&amp;$J98)</f>
        <v/>
      </c>
      <c r="X98" s="3" t="n"/>
      <c r="Y98" s="3" t="n"/>
      <c r="Z98" s="3" t="n"/>
      <c r="AA98" s="3" t="n"/>
      <c r="AB98" s="3" t="n"/>
      <c r="AC98" s="3" t="n"/>
      <c r="AD98" s="3">
        <f>IF($C98="",0,SUMPRODUCT((AY_SONU!$O$7:$O$42="Evet")*(AY_SONU!$B$7:$B$42=DATE(YEAR($C98),MONTH($C98),1))))</f>
        <v/>
      </c>
    </row>
    <row r="99">
      <c r="A99" s="6" t="n"/>
      <c r="B99" s="113">
        <f>IF($C99="","","GG"&amp;TEXT(ROW()-6,"00000"))</f>
        <v/>
      </c>
      <c r="C99" s="220" t="n">
        <v>46147</v>
      </c>
      <c r="D99" s="108" t="inlineStr">
        <is>
          <t>Gider</t>
        </is>
      </c>
      <c r="E99" s="109" t="inlineStr">
        <is>
          <t>Personel</t>
        </is>
      </c>
      <c r="F99" s="109" t="inlineStr">
        <is>
          <t>Irmak Harçlık</t>
        </is>
      </c>
      <c r="G99" s="221" t="n">
        <v>10000</v>
      </c>
      <c r="H99" s="108" t="inlineStr">
        <is>
          <t>Merkez Kasa</t>
        </is>
      </c>
      <c r="I99" s="108" t="inlineStr">
        <is>
          <t>Evet</t>
        </is>
      </c>
      <c r="J99" s="109" t="n"/>
      <c r="K99" s="109" t="n"/>
      <c r="L99" s="108" t="n"/>
      <c r="M99" s="121">
        <f>IF($C99="","",IF($D99="Gider",$E99,IF($L99&lt;&gt;"",$L99,$H99)))</f>
        <v/>
      </c>
      <c r="N99" s="121">
        <f>IF($C99="","",IF($D99="Gider",$H99,$E99))</f>
        <v/>
      </c>
      <c r="O99" s="226">
        <f>IF($C99="","",DATE(YEAR($C99),MONTH($C99),1))</f>
        <v/>
      </c>
      <c r="P99" s="113">
        <f>IF($C99="","",IF(AND($D99="Gelir",$L99&lt;&gt;"",$T99=""),"TANIMSIZ BORÇLU",IF($T99&lt;&gt;"",IF(OR($E99="",$G99&lt;=0),"EKSİK",IF($I99="Evet","TAHAKKUK NAKİT OLAMAZ",IF($C99&gt;TODAY(),"İLERİ TARİH","TAHAKKUK"))),IF(AND($D99&lt;&gt;"",$E99&lt;&gt;"",$G99&gt;0,$H99&lt;&gt;"",$I99&lt;&gt;""),IF($C99&gt;TODAY(),"İLERİ TARİH",IF(COUNTIF($W$7:$W$1206,$W99)&gt;1,"MÜKERRER?",IF($AD99&gt;0,"KAPALI DÖNEM",IF($I99="Hayır","ÖDENECEK","UYGUN")))),"EKSİK"))))</f>
        <v/>
      </c>
      <c r="Q99" s="6" t="n"/>
      <c r="R99" s="6" t="n"/>
      <c r="S99" s="3">
        <f>IF($L99="","",UPPER(SUBSTITUTE(SUBSTITUTE(SUBSTITUTE(SUBSTITUTE(SUBSTITUTE(SUBSTITUTE(SUBSTITUTE(SUBSTITUTE(SUBSTITUTE(SUBSTITUTE(SUBSTITUTE(SUBSTITUTE(SUBSTITUTE(SUBSTITUTE(SUBSTITUTE(SUBSTITUTE(SUBSTITUTE(SUBSTITUTE(TRIM($L99),"'",""),"İ","I"),"ı","I"),"i","I"),"Ş","S"),"ş","S"),"Ğ","G"),"ğ","G"),"Ü","U"),"ü","U"),"Ö","O"),"ö","O"),"Ç","C"),"ç","C"),".",""),",","")," ",""),"-","")))</f>
        <v/>
      </c>
      <c r="T99" s="3">
        <f>IF(OR($C99="",$D99&lt;&gt;"Gelir",$L99=""),"",IFERROR(INDEX(MUSTERILER!$B$7:$B$106,MATCH($S99,MUSTERILER!$T$7:$T$106,0)),""))</f>
        <v/>
      </c>
      <c r="U99" s="3">
        <f>IF($T99="","",$T99&amp;"|"&amp;COUNTIFS($T$7:$T99,$T99))</f>
        <v/>
      </c>
      <c r="V99" s="3">
        <f>IF($T99="",0,1)</f>
        <v/>
      </c>
      <c r="W99" s="3">
        <f>IF($C99="","",$D99&amp;"|"&amp;$E99&amp;"|"&amp;TEXT($C99,"0")&amp;"|"&amp;TEXT($G99,"0")&amp;"|"&amp;$J99)</f>
        <v/>
      </c>
      <c r="X99" s="3" t="n"/>
      <c r="Y99" s="3" t="n"/>
      <c r="Z99" s="3" t="n"/>
      <c r="AA99" s="3" t="n"/>
      <c r="AB99" s="3" t="n"/>
      <c r="AC99" s="3" t="n"/>
      <c r="AD99" s="3">
        <f>IF($C99="",0,SUMPRODUCT((AY_SONU!$O$7:$O$42="Evet")*(AY_SONU!$B$7:$B$42=DATE(YEAR($C99),MONTH($C99),1))))</f>
        <v/>
      </c>
    </row>
    <row r="100">
      <c r="A100" s="6" t="n"/>
      <c r="B100" s="113">
        <f>IF($C100="","","GG"&amp;TEXT(ROW()-6,"00000"))</f>
        <v/>
      </c>
      <c r="C100" s="220" t="n">
        <v>46151</v>
      </c>
      <c r="D100" s="108" t="inlineStr">
        <is>
          <t>Gider</t>
        </is>
      </c>
      <c r="E100" s="109" t="inlineStr">
        <is>
          <t>Telefon / İnternet</t>
        </is>
      </c>
      <c r="F100" s="109" t="inlineStr">
        <is>
          <t>Telefon</t>
        </is>
      </c>
      <c r="G100" s="221" t="n">
        <v>964</v>
      </c>
      <c r="H100" s="108" t="inlineStr">
        <is>
          <t>Merkez Kasa</t>
        </is>
      </c>
      <c r="I100" s="108" t="inlineStr">
        <is>
          <t>Evet</t>
        </is>
      </c>
      <c r="J100" s="109" t="n"/>
      <c r="K100" s="109" t="n"/>
      <c r="L100" s="108" t="n"/>
      <c r="M100" s="121">
        <f>IF($C100="","",IF($D100="Gider",$E100,IF($L100&lt;&gt;"",$L100,$H100)))</f>
        <v/>
      </c>
      <c r="N100" s="121">
        <f>IF($C100="","",IF($D100="Gider",$H100,$E100))</f>
        <v/>
      </c>
      <c r="O100" s="226">
        <f>IF($C100="","",DATE(YEAR($C100),MONTH($C100),1))</f>
        <v/>
      </c>
      <c r="P100" s="113">
        <f>IF($C100="","",IF(AND($D100="Gelir",$L100&lt;&gt;"",$T100=""),"TANIMSIZ BORÇLU",IF($T100&lt;&gt;"",IF(OR($E100="",$G100&lt;=0),"EKSİK",IF($I100="Evet","TAHAKKUK NAKİT OLAMAZ",IF($C100&gt;TODAY(),"İLERİ TARİH","TAHAKKUK"))),IF(AND($D100&lt;&gt;"",$E100&lt;&gt;"",$G100&gt;0,$H100&lt;&gt;"",$I100&lt;&gt;""),IF($C100&gt;TODAY(),"İLERİ TARİH",IF(COUNTIF($W$7:$W$1206,$W100)&gt;1,"MÜKERRER?",IF($AD100&gt;0,"KAPALI DÖNEM",IF($I100="Hayır","ÖDENECEK","UYGUN")))),"EKSİK"))))</f>
        <v/>
      </c>
      <c r="Q100" s="6" t="n"/>
      <c r="R100" s="6" t="n"/>
      <c r="S100" s="3">
        <f>IF($L100="","",UPPER(SUBSTITUTE(SUBSTITUTE(SUBSTITUTE(SUBSTITUTE(SUBSTITUTE(SUBSTITUTE(SUBSTITUTE(SUBSTITUTE(SUBSTITUTE(SUBSTITUTE(SUBSTITUTE(SUBSTITUTE(SUBSTITUTE(SUBSTITUTE(SUBSTITUTE(SUBSTITUTE(SUBSTITUTE(SUBSTITUTE(TRIM($L100),"'",""),"İ","I"),"ı","I"),"i","I"),"Ş","S"),"ş","S"),"Ğ","G"),"ğ","G"),"Ü","U"),"ü","U"),"Ö","O"),"ö","O"),"Ç","C"),"ç","C"),".",""),",","")," ",""),"-","")))</f>
        <v/>
      </c>
      <c r="T100" s="3">
        <f>IF(OR($C100="",$D100&lt;&gt;"Gelir",$L100=""),"",IFERROR(INDEX(MUSTERILER!$B$7:$B$106,MATCH($S100,MUSTERILER!$T$7:$T$106,0)),""))</f>
        <v/>
      </c>
      <c r="U100" s="3">
        <f>IF($T100="","",$T100&amp;"|"&amp;COUNTIFS($T$7:$T100,$T100))</f>
        <v/>
      </c>
      <c r="V100" s="3">
        <f>IF($T100="",0,1)</f>
        <v/>
      </c>
      <c r="W100" s="3">
        <f>IF($C100="","",$D100&amp;"|"&amp;$E100&amp;"|"&amp;TEXT($C100,"0")&amp;"|"&amp;TEXT($G100,"0")&amp;"|"&amp;$J100)</f>
        <v/>
      </c>
      <c r="X100" s="3" t="n"/>
      <c r="Y100" s="3" t="n"/>
      <c r="Z100" s="3" t="n"/>
      <c r="AA100" s="3" t="n"/>
      <c r="AB100" s="3" t="n"/>
      <c r="AC100" s="3" t="n"/>
      <c r="AD100" s="3">
        <f>IF($C100="",0,SUMPRODUCT((AY_SONU!$O$7:$O$42="Evet")*(AY_SONU!$B$7:$B$42=DATE(YEAR($C100),MONTH($C100),1))))</f>
        <v/>
      </c>
    </row>
    <row r="101">
      <c r="A101" s="6" t="n"/>
      <c r="B101" s="113">
        <f>IF($C101="","","GG"&amp;TEXT(ROW()-6,"00000"))</f>
        <v/>
      </c>
      <c r="C101" s="220" t="n">
        <v>46151</v>
      </c>
      <c r="D101" s="108" t="inlineStr">
        <is>
          <t>Gider</t>
        </is>
      </c>
      <c r="E101" s="109" t="inlineStr">
        <is>
          <t>Telefon / İnternet</t>
        </is>
      </c>
      <c r="F101" s="109" t="inlineStr">
        <is>
          <t>Ofis Whatsapp Hattı Mayıs</t>
        </is>
      </c>
      <c r="G101" s="221" t="n">
        <v>800</v>
      </c>
      <c r="H101" s="108" t="inlineStr">
        <is>
          <t>Merkez Kasa</t>
        </is>
      </c>
      <c r="I101" s="108" t="inlineStr">
        <is>
          <t>Evet</t>
        </is>
      </c>
      <c r="J101" s="109" t="n"/>
      <c r="K101" s="109" t="n"/>
      <c r="L101" s="108" t="n"/>
      <c r="M101" s="121">
        <f>IF($C101="","",IF($D101="Gider",$E101,IF($L101&lt;&gt;"",$L101,$H101)))</f>
        <v/>
      </c>
      <c r="N101" s="121">
        <f>IF($C101="","",IF($D101="Gider",$H101,$E101))</f>
        <v/>
      </c>
      <c r="O101" s="226">
        <f>IF($C101="","",DATE(YEAR($C101),MONTH($C101),1))</f>
        <v/>
      </c>
      <c r="P101" s="113">
        <f>IF($C101="","",IF(AND($D101="Gelir",$L101&lt;&gt;"",$T101=""),"TANIMSIZ BORÇLU",IF($T101&lt;&gt;"",IF(OR($E101="",$G101&lt;=0),"EKSİK",IF($I101="Evet","TAHAKKUK NAKİT OLAMAZ",IF($C101&gt;TODAY(),"İLERİ TARİH","TAHAKKUK"))),IF(AND($D101&lt;&gt;"",$E101&lt;&gt;"",$G101&gt;0,$H101&lt;&gt;"",$I101&lt;&gt;""),IF($C101&gt;TODAY(),"İLERİ TARİH",IF(COUNTIF($W$7:$W$1206,$W101)&gt;1,"MÜKERRER?",IF($AD101&gt;0,"KAPALI DÖNEM",IF($I101="Hayır","ÖDENECEK","UYGUN")))),"EKSİK"))))</f>
        <v/>
      </c>
      <c r="Q101" s="6" t="n"/>
      <c r="R101" s="6" t="n"/>
      <c r="S101" s="3">
        <f>IF($L101="","",UPPER(SUBSTITUTE(SUBSTITUTE(SUBSTITUTE(SUBSTITUTE(SUBSTITUTE(SUBSTITUTE(SUBSTITUTE(SUBSTITUTE(SUBSTITUTE(SUBSTITUTE(SUBSTITUTE(SUBSTITUTE(SUBSTITUTE(SUBSTITUTE(SUBSTITUTE(SUBSTITUTE(SUBSTITUTE(SUBSTITUTE(TRIM($L101),"'",""),"İ","I"),"ı","I"),"i","I"),"Ş","S"),"ş","S"),"Ğ","G"),"ğ","G"),"Ü","U"),"ü","U"),"Ö","O"),"ö","O"),"Ç","C"),"ç","C"),".",""),",","")," ",""),"-","")))</f>
        <v/>
      </c>
      <c r="T101" s="3">
        <f>IF(OR($C101="",$D101&lt;&gt;"Gelir",$L101=""),"",IFERROR(INDEX(MUSTERILER!$B$7:$B$106,MATCH($S101,MUSTERILER!$T$7:$T$106,0)),""))</f>
        <v/>
      </c>
      <c r="U101" s="3">
        <f>IF($T101="","",$T101&amp;"|"&amp;COUNTIFS($T$7:$T101,$T101))</f>
        <v/>
      </c>
      <c r="V101" s="3">
        <f>IF($T101="",0,1)</f>
        <v/>
      </c>
      <c r="W101" s="3">
        <f>IF($C101="","",$D101&amp;"|"&amp;$E101&amp;"|"&amp;TEXT($C101,"0")&amp;"|"&amp;TEXT($G101,"0")&amp;"|"&amp;$J101)</f>
        <v/>
      </c>
      <c r="X101" s="3" t="n"/>
      <c r="Y101" s="3" t="n"/>
      <c r="Z101" s="3" t="n"/>
      <c r="AA101" s="3" t="n"/>
      <c r="AB101" s="3" t="n"/>
      <c r="AC101" s="3" t="n"/>
      <c r="AD101" s="3">
        <f>IF($C101="",0,SUMPRODUCT((AY_SONU!$O$7:$O$42="Evet")*(AY_SONU!$B$7:$B$42=DATE(YEAR($C101),MONTH($C101),1))))</f>
        <v/>
      </c>
    </row>
    <row r="102">
      <c r="A102" s="6" t="n"/>
      <c r="B102" s="113">
        <f>IF($C102="","","GG"&amp;TEXT(ROW()-6,"00000"))</f>
        <v/>
      </c>
      <c r="C102" s="220" t="n">
        <v>46151</v>
      </c>
      <c r="D102" s="108" t="inlineStr">
        <is>
          <t>Gider</t>
        </is>
      </c>
      <c r="E102" s="109" t="inlineStr">
        <is>
          <t>Mehmet Ali Kartal</t>
        </is>
      </c>
      <c r="F102" s="109" t="inlineStr">
        <is>
          <t>Mehmet Ali Kartal Nisan ve Mayıs Maaşı</t>
        </is>
      </c>
      <c r="G102" s="221" t="n">
        <v>51500</v>
      </c>
      <c r="H102" s="108" t="inlineStr">
        <is>
          <t>Merkez Kasa</t>
        </is>
      </c>
      <c r="I102" s="108" t="inlineStr">
        <is>
          <t>Evet</t>
        </is>
      </c>
      <c r="J102" s="109" t="n"/>
      <c r="K102" s="109" t="n"/>
      <c r="L102" s="108" t="n"/>
      <c r="M102" s="121">
        <f>IF($C102="","",IF($D102="Gider",$E102,IF($L102&lt;&gt;"",$L102,$H102)))</f>
        <v/>
      </c>
      <c r="N102" s="121">
        <f>IF($C102="","",IF($D102="Gider",$H102,$E102))</f>
        <v/>
      </c>
      <c r="O102" s="226">
        <f>IF($C102="","",DATE(YEAR($C102),MONTH($C102),1))</f>
        <v/>
      </c>
      <c r="P102" s="113">
        <f>IF($C102="","",IF(AND($D102="Gelir",$L102&lt;&gt;"",$T102=""),"TANIMSIZ BORÇLU",IF($T102&lt;&gt;"",IF(OR($E102="",$G102&lt;=0),"EKSİK",IF($I102="Evet","TAHAKKUK NAKİT OLAMAZ",IF($C102&gt;TODAY(),"İLERİ TARİH","TAHAKKUK"))),IF(AND($D102&lt;&gt;"",$E102&lt;&gt;"",$G102&gt;0,$H102&lt;&gt;"",$I102&lt;&gt;""),IF($C102&gt;TODAY(),"İLERİ TARİH",IF(COUNTIF($W$7:$W$1206,$W102)&gt;1,"MÜKERRER?",IF($AD102&gt;0,"KAPALI DÖNEM",IF($I102="Hayır","ÖDENECEK","UYGUN")))),"EKSİK"))))</f>
        <v/>
      </c>
      <c r="Q102" s="6" t="n"/>
      <c r="R102" s="6" t="n"/>
      <c r="S102" s="3">
        <f>IF($L102="","",UPPER(SUBSTITUTE(SUBSTITUTE(SUBSTITUTE(SUBSTITUTE(SUBSTITUTE(SUBSTITUTE(SUBSTITUTE(SUBSTITUTE(SUBSTITUTE(SUBSTITUTE(SUBSTITUTE(SUBSTITUTE(SUBSTITUTE(SUBSTITUTE(SUBSTITUTE(SUBSTITUTE(SUBSTITUTE(SUBSTITUTE(TRIM($L102),"'",""),"İ","I"),"ı","I"),"i","I"),"Ş","S"),"ş","S"),"Ğ","G"),"ğ","G"),"Ü","U"),"ü","U"),"Ö","O"),"ö","O"),"Ç","C"),"ç","C"),".",""),",","")," ",""),"-","")))</f>
        <v/>
      </c>
      <c r="T102" s="3">
        <f>IF(OR($C102="",$D102&lt;&gt;"Gelir",$L102=""),"",IFERROR(INDEX(MUSTERILER!$B$7:$B$106,MATCH($S102,MUSTERILER!$T$7:$T$106,0)),""))</f>
        <v/>
      </c>
      <c r="U102" s="3">
        <f>IF($T102="","",$T102&amp;"|"&amp;COUNTIFS($T$7:$T102,$T102))</f>
        <v/>
      </c>
      <c r="V102" s="3">
        <f>IF($T102="",0,1)</f>
        <v/>
      </c>
      <c r="W102" s="3">
        <f>IF($C102="","",$D102&amp;"|"&amp;$E102&amp;"|"&amp;TEXT($C102,"0")&amp;"|"&amp;TEXT($G102,"0")&amp;"|"&amp;$J102)</f>
        <v/>
      </c>
      <c r="X102" s="3" t="n"/>
      <c r="Y102" s="3" t="n"/>
      <c r="Z102" s="3" t="n"/>
      <c r="AA102" s="3" t="n"/>
      <c r="AB102" s="3" t="n"/>
      <c r="AC102" s="3" t="n"/>
      <c r="AD102" s="3">
        <f>IF($C102="",0,SUMPRODUCT((AY_SONU!$O$7:$O$42="Evet")*(AY_SONU!$B$7:$B$42=DATE(YEAR($C102),MONTH($C102),1))))</f>
        <v/>
      </c>
    </row>
    <row r="103">
      <c r="A103" s="6" t="n"/>
      <c r="B103" s="113">
        <f>IF($C103="","","GG"&amp;TEXT(ROW()-6,"00000"))</f>
        <v/>
      </c>
      <c r="C103" s="220" t="n">
        <v>46151</v>
      </c>
      <c r="D103" s="108" t="inlineStr">
        <is>
          <t>Gider</t>
        </is>
      </c>
      <c r="E103" s="109" t="inlineStr">
        <is>
          <t>Ulaşım</t>
        </is>
      </c>
      <c r="F103" s="109" t="inlineStr">
        <is>
          <t>Araç Yakıt Alımı</t>
        </is>
      </c>
      <c r="G103" s="221" t="n">
        <v>2000</v>
      </c>
      <c r="H103" s="108" t="inlineStr">
        <is>
          <t>Merkez Kasa</t>
        </is>
      </c>
      <c r="I103" s="108" t="inlineStr">
        <is>
          <t>Evet</t>
        </is>
      </c>
      <c r="J103" s="109" t="n"/>
      <c r="K103" s="109" t="n"/>
      <c r="L103" s="108" t="n"/>
      <c r="M103" s="121">
        <f>IF($C103="","",IF($D103="Gider",$E103,IF($L103&lt;&gt;"",$L103,$H103)))</f>
        <v/>
      </c>
      <c r="N103" s="121">
        <f>IF($C103="","",IF($D103="Gider",$H103,$E103))</f>
        <v/>
      </c>
      <c r="O103" s="226">
        <f>IF($C103="","",DATE(YEAR($C103),MONTH($C103),1))</f>
        <v/>
      </c>
      <c r="P103" s="113">
        <f>IF($C103="","",IF(AND($D103="Gelir",$L103&lt;&gt;"",$T103=""),"TANIMSIZ BORÇLU",IF($T103&lt;&gt;"",IF(OR($E103="",$G103&lt;=0),"EKSİK",IF($I103="Evet","TAHAKKUK NAKİT OLAMAZ",IF($C103&gt;TODAY(),"İLERİ TARİH","TAHAKKUK"))),IF(AND($D103&lt;&gt;"",$E103&lt;&gt;"",$G103&gt;0,$H103&lt;&gt;"",$I103&lt;&gt;""),IF($C103&gt;TODAY(),"İLERİ TARİH",IF(COUNTIF($W$7:$W$1206,$W103)&gt;1,"MÜKERRER?",IF($AD103&gt;0,"KAPALI DÖNEM",IF($I103="Hayır","ÖDENECEK","UYGUN")))),"EKSİK"))))</f>
        <v/>
      </c>
      <c r="Q103" s="6" t="n"/>
      <c r="R103" s="6" t="n"/>
      <c r="S103" s="3">
        <f>IF($L103="","",UPPER(SUBSTITUTE(SUBSTITUTE(SUBSTITUTE(SUBSTITUTE(SUBSTITUTE(SUBSTITUTE(SUBSTITUTE(SUBSTITUTE(SUBSTITUTE(SUBSTITUTE(SUBSTITUTE(SUBSTITUTE(SUBSTITUTE(SUBSTITUTE(SUBSTITUTE(SUBSTITUTE(SUBSTITUTE(SUBSTITUTE(TRIM($L103),"'",""),"İ","I"),"ı","I"),"i","I"),"Ş","S"),"ş","S"),"Ğ","G"),"ğ","G"),"Ü","U"),"ü","U"),"Ö","O"),"ö","O"),"Ç","C"),"ç","C"),".",""),",","")," ",""),"-","")))</f>
        <v/>
      </c>
      <c r="T103" s="3">
        <f>IF(OR($C103="",$D103&lt;&gt;"Gelir",$L103=""),"",IFERROR(INDEX(MUSTERILER!$B$7:$B$106,MATCH($S103,MUSTERILER!$T$7:$T$106,0)),""))</f>
        <v/>
      </c>
      <c r="U103" s="3">
        <f>IF($T103="","",$T103&amp;"|"&amp;COUNTIFS($T$7:$T103,$T103))</f>
        <v/>
      </c>
      <c r="V103" s="3">
        <f>IF($T103="",0,1)</f>
        <v/>
      </c>
      <c r="W103" s="3">
        <f>IF($C103="","",$D103&amp;"|"&amp;$E103&amp;"|"&amp;TEXT($C103,"0")&amp;"|"&amp;TEXT($G103,"0")&amp;"|"&amp;$J103)</f>
        <v/>
      </c>
      <c r="X103" s="3" t="n"/>
      <c r="Y103" s="3" t="n"/>
      <c r="Z103" s="3" t="n"/>
      <c r="AA103" s="3" t="n"/>
      <c r="AB103" s="3" t="n"/>
      <c r="AC103" s="3" t="n"/>
      <c r="AD103" s="3">
        <f>IF($C103="",0,SUMPRODUCT((AY_SONU!$O$7:$O$42="Evet")*(AY_SONU!$B$7:$B$42=DATE(YEAR($C103),MONTH($C103),1))))</f>
        <v/>
      </c>
    </row>
    <row r="104">
      <c r="A104" s="6" t="n"/>
      <c r="B104" s="113">
        <f>IF($C104="","","GG"&amp;TEXT(ROW()-6,"00000"))</f>
        <v/>
      </c>
      <c r="C104" s="220" t="n">
        <v>46157</v>
      </c>
      <c r="D104" s="108" t="inlineStr">
        <is>
          <t>Gider</t>
        </is>
      </c>
      <c r="E104" s="109" t="inlineStr">
        <is>
          <t>Kırtasiye</t>
        </is>
      </c>
      <c r="F104" s="109" t="inlineStr">
        <is>
          <t xml:space="preserve">Mail Depolama </t>
        </is>
      </c>
      <c r="G104" s="221" t="n">
        <v>80</v>
      </c>
      <c r="H104" s="108" t="inlineStr">
        <is>
          <t>Merkez Kasa</t>
        </is>
      </c>
      <c r="I104" s="108" t="inlineStr">
        <is>
          <t>Evet</t>
        </is>
      </c>
      <c r="J104" s="109" t="n"/>
      <c r="K104" s="109" t="n"/>
      <c r="L104" s="108" t="n"/>
      <c r="M104" s="121">
        <f>IF($C104="","",IF($D104="Gider",$E104,IF($L104&lt;&gt;"",$L104,$H104)))</f>
        <v/>
      </c>
      <c r="N104" s="121">
        <f>IF($C104="","",IF($D104="Gider",$H104,$E104))</f>
        <v/>
      </c>
      <c r="O104" s="226">
        <f>IF($C104="","",DATE(YEAR($C104),MONTH($C104),1))</f>
        <v/>
      </c>
      <c r="P104" s="113">
        <f>IF($C104="","",IF(AND($D104="Gelir",$L104&lt;&gt;"",$T104=""),"TANIMSIZ BORÇLU",IF($T104&lt;&gt;"",IF(OR($E104="",$G104&lt;=0),"EKSİK",IF($I104="Evet","TAHAKKUK NAKİT OLAMAZ",IF($C104&gt;TODAY(),"İLERİ TARİH","TAHAKKUK"))),IF(AND($D104&lt;&gt;"",$E104&lt;&gt;"",$G104&gt;0,$H104&lt;&gt;"",$I104&lt;&gt;""),IF($C104&gt;TODAY(),"İLERİ TARİH",IF(COUNTIF($W$7:$W$1206,$W104)&gt;1,"MÜKERRER?",IF($AD104&gt;0,"KAPALI DÖNEM",IF($I104="Hayır","ÖDENECEK","UYGUN")))),"EKSİK"))))</f>
        <v/>
      </c>
      <c r="Q104" s="6" t="n"/>
      <c r="R104" s="6" t="n"/>
      <c r="S104" s="3">
        <f>IF($L104="","",UPPER(SUBSTITUTE(SUBSTITUTE(SUBSTITUTE(SUBSTITUTE(SUBSTITUTE(SUBSTITUTE(SUBSTITUTE(SUBSTITUTE(SUBSTITUTE(SUBSTITUTE(SUBSTITUTE(SUBSTITUTE(SUBSTITUTE(SUBSTITUTE(SUBSTITUTE(SUBSTITUTE(SUBSTITUTE(SUBSTITUTE(TRIM($L104),"'",""),"İ","I"),"ı","I"),"i","I"),"Ş","S"),"ş","S"),"Ğ","G"),"ğ","G"),"Ü","U"),"ü","U"),"Ö","O"),"ö","O"),"Ç","C"),"ç","C"),".",""),",","")," ",""),"-","")))</f>
        <v/>
      </c>
      <c r="T104" s="3">
        <f>IF(OR($C104="",$D104&lt;&gt;"Gelir",$L104=""),"",IFERROR(INDEX(MUSTERILER!$B$7:$B$106,MATCH($S104,MUSTERILER!$T$7:$T$106,0)),""))</f>
        <v/>
      </c>
      <c r="U104" s="3">
        <f>IF($T104="","",$T104&amp;"|"&amp;COUNTIFS($T$7:$T104,$T104))</f>
        <v/>
      </c>
      <c r="V104" s="3">
        <f>IF($T104="",0,1)</f>
        <v/>
      </c>
      <c r="W104" s="3">
        <f>IF($C104="","",$D104&amp;"|"&amp;$E104&amp;"|"&amp;TEXT($C104,"0")&amp;"|"&amp;TEXT($G104,"0")&amp;"|"&amp;$J104)</f>
        <v/>
      </c>
      <c r="X104" s="3" t="n"/>
      <c r="Y104" s="3" t="n"/>
      <c r="Z104" s="3" t="n"/>
      <c r="AA104" s="3" t="n"/>
      <c r="AB104" s="3" t="n"/>
      <c r="AC104" s="3" t="n"/>
      <c r="AD104" s="3">
        <f>IF($C104="",0,SUMPRODUCT((AY_SONU!$O$7:$O$42="Evet")*(AY_SONU!$B$7:$B$42=DATE(YEAR($C104),MONTH($C104),1))))</f>
        <v/>
      </c>
    </row>
    <row r="105">
      <c r="A105" s="6" t="n"/>
      <c r="B105" s="113">
        <f>IF($C105="","","GG"&amp;TEXT(ROW()-6,"00000"))</f>
        <v/>
      </c>
      <c r="C105" s="220" t="n">
        <v>46158</v>
      </c>
      <c r="D105" s="108" t="inlineStr">
        <is>
          <t>Gider</t>
        </is>
      </c>
      <c r="E105" s="109" t="inlineStr">
        <is>
          <t>Ulaşım</t>
        </is>
      </c>
      <c r="F105" s="109" t="inlineStr">
        <is>
          <t xml:space="preserve">Taksi </t>
        </is>
      </c>
      <c r="G105" s="221" t="n">
        <v>600</v>
      </c>
      <c r="H105" s="108" t="inlineStr">
        <is>
          <t>Merkez Kasa</t>
        </is>
      </c>
      <c r="I105" s="108" t="inlineStr">
        <is>
          <t>Evet</t>
        </is>
      </c>
      <c r="J105" s="109" t="n"/>
      <c r="K105" s="109" t="n"/>
      <c r="L105" s="108" t="n"/>
      <c r="M105" s="121">
        <f>IF($C105="","",IF($D105="Gider",$E105,IF($L105&lt;&gt;"",$L105,$H105)))</f>
        <v/>
      </c>
      <c r="N105" s="121">
        <f>IF($C105="","",IF($D105="Gider",$H105,$E105))</f>
        <v/>
      </c>
      <c r="O105" s="226">
        <f>IF($C105="","",DATE(YEAR($C105),MONTH($C105),1))</f>
        <v/>
      </c>
      <c r="P105" s="113">
        <f>IF($C105="","",IF(AND($D105="Gelir",$L105&lt;&gt;"",$T105=""),"TANIMSIZ BORÇLU",IF($T105&lt;&gt;"",IF(OR($E105="",$G105&lt;=0),"EKSİK",IF($I105="Evet","TAHAKKUK NAKİT OLAMAZ",IF($C105&gt;TODAY(),"İLERİ TARİH","TAHAKKUK"))),IF(AND($D105&lt;&gt;"",$E105&lt;&gt;"",$G105&gt;0,$H105&lt;&gt;"",$I105&lt;&gt;""),IF($C105&gt;TODAY(),"İLERİ TARİH",IF(COUNTIF($W$7:$W$1206,$W105)&gt;1,"MÜKERRER?",IF($AD105&gt;0,"KAPALI DÖNEM",IF($I105="Hayır","ÖDENECEK","UYGUN")))),"EKSİK"))))</f>
        <v/>
      </c>
      <c r="Q105" s="6" t="n"/>
      <c r="R105" s="6" t="n"/>
      <c r="S105" s="3">
        <f>IF($L105="","",UPPER(SUBSTITUTE(SUBSTITUTE(SUBSTITUTE(SUBSTITUTE(SUBSTITUTE(SUBSTITUTE(SUBSTITUTE(SUBSTITUTE(SUBSTITUTE(SUBSTITUTE(SUBSTITUTE(SUBSTITUTE(SUBSTITUTE(SUBSTITUTE(SUBSTITUTE(SUBSTITUTE(SUBSTITUTE(SUBSTITUTE(TRIM($L105),"'",""),"İ","I"),"ı","I"),"i","I"),"Ş","S"),"ş","S"),"Ğ","G"),"ğ","G"),"Ü","U"),"ü","U"),"Ö","O"),"ö","O"),"Ç","C"),"ç","C"),".",""),",","")," ",""),"-","")))</f>
        <v/>
      </c>
      <c r="T105" s="3">
        <f>IF(OR($C105="",$D105&lt;&gt;"Gelir",$L105=""),"",IFERROR(INDEX(MUSTERILER!$B$7:$B$106,MATCH($S105,MUSTERILER!$T$7:$T$106,0)),""))</f>
        <v/>
      </c>
      <c r="U105" s="3">
        <f>IF($T105="","",$T105&amp;"|"&amp;COUNTIFS($T$7:$T105,$T105))</f>
        <v/>
      </c>
      <c r="V105" s="3">
        <f>IF($T105="",0,1)</f>
        <v/>
      </c>
      <c r="W105" s="3">
        <f>IF($C105="","",$D105&amp;"|"&amp;$E105&amp;"|"&amp;TEXT($C105,"0")&amp;"|"&amp;TEXT($G105,"0")&amp;"|"&amp;$J105)</f>
        <v/>
      </c>
      <c r="X105" s="3" t="n"/>
      <c r="Y105" s="3" t="n"/>
      <c r="Z105" s="3" t="n"/>
      <c r="AA105" s="3" t="n"/>
      <c r="AB105" s="3" t="n"/>
      <c r="AC105" s="3" t="n"/>
      <c r="AD105" s="3">
        <f>IF($C105="",0,SUMPRODUCT((AY_SONU!$O$7:$O$42="Evet")*(AY_SONU!$B$7:$B$42=DATE(YEAR($C105),MONTH($C105),1))))</f>
        <v/>
      </c>
    </row>
    <row r="106">
      <c r="A106" s="6" t="n"/>
      <c r="B106" s="113">
        <f>IF($C106="","","GG"&amp;TEXT(ROW()-6,"00000"))</f>
        <v/>
      </c>
      <c r="C106" s="220" t="n">
        <v>46158</v>
      </c>
      <c r="D106" s="108" t="inlineStr">
        <is>
          <t>Gider</t>
        </is>
      </c>
      <c r="E106" s="109" t="inlineStr">
        <is>
          <t>Personel</t>
        </is>
      </c>
      <c r="F106" s="109" t="inlineStr">
        <is>
          <t>Zeynep Nisan Maaşı Ödemesi</t>
        </is>
      </c>
      <c r="G106" s="221" t="n">
        <v>60000</v>
      </c>
      <c r="H106" s="108" t="inlineStr">
        <is>
          <t>Merkez Kasa</t>
        </is>
      </c>
      <c r="I106" s="108" t="inlineStr">
        <is>
          <t>Evet</t>
        </is>
      </c>
      <c r="J106" s="109" t="n"/>
      <c r="K106" s="109" t="n"/>
      <c r="L106" s="108" t="n"/>
      <c r="M106" s="121">
        <f>IF($C106="","",IF($D106="Gider",$E106,IF($L106&lt;&gt;"",$L106,$H106)))</f>
        <v/>
      </c>
      <c r="N106" s="121">
        <f>IF($C106="","",IF($D106="Gider",$H106,$E106))</f>
        <v/>
      </c>
      <c r="O106" s="226">
        <f>IF($C106="","",DATE(YEAR($C106),MONTH($C106),1))</f>
        <v/>
      </c>
      <c r="P106" s="113">
        <f>IF($C106="","",IF(AND($D106="Gelir",$L106&lt;&gt;"",$T106=""),"TANIMSIZ BORÇLU",IF($T106&lt;&gt;"",IF(OR($E106="",$G106&lt;=0),"EKSİK",IF($I106="Evet","TAHAKKUK NAKİT OLAMAZ",IF($C106&gt;TODAY(),"İLERİ TARİH","TAHAKKUK"))),IF(AND($D106&lt;&gt;"",$E106&lt;&gt;"",$G106&gt;0,$H106&lt;&gt;"",$I106&lt;&gt;""),IF($C106&gt;TODAY(),"İLERİ TARİH",IF(COUNTIF($W$7:$W$1206,$W106)&gt;1,"MÜKERRER?",IF($AD106&gt;0,"KAPALI DÖNEM",IF($I106="Hayır","ÖDENECEK","UYGUN")))),"EKSİK"))))</f>
        <v/>
      </c>
      <c r="Q106" s="6" t="n"/>
      <c r="R106" s="6" t="n"/>
      <c r="S106" s="3">
        <f>IF($L106="","",UPPER(SUBSTITUTE(SUBSTITUTE(SUBSTITUTE(SUBSTITUTE(SUBSTITUTE(SUBSTITUTE(SUBSTITUTE(SUBSTITUTE(SUBSTITUTE(SUBSTITUTE(SUBSTITUTE(SUBSTITUTE(SUBSTITUTE(SUBSTITUTE(SUBSTITUTE(SUBSTITUTE(SUBSTITUTE(SUBSTITUTE(TRIM($L106),"'",""),"İ","I"),"ı","I"),"i","I"),"Ş","S"),"ş","S"),"Ğ","G"),"ğ","G"),"Ü","U"),"ü","U"),"Ö","O"),"ö","O"),"Ç","C"),"ç","C"),".",""),",","")," ",""),"-","")))</f>
        <v/>
      </c>
      <c r="T106" s="3">
        <f>IF(OR($C106="",$D106&lt;&gt;"Gelir",$L106=""),"",IFERROR(INDEX(MUSTERILER!$B$7:$B$106,MATCH($S106,MUSTERILER!$T$7:$T$106,0)),""))</f>
        <v/>
      </c>
      <c r="U106" s="3">
        <f>IF($T106="","",$T106&amp;"|"&amp;COUNTIFS($T$7:$T106,$T106))</f>
        <v/>
      </c>
      <c r="V106" s="3">
        <f>IF($T106="",0,1)</f>
        <v/>
      </c>
      <c r="W106" s="3">
        <f>IF($C106="","",$D106&amp;"|"&amp;$E106&amp;"|"&amp;TEXT($C106,"0")&amp;"|"&amp;TEXT($G106,"0")&amp;"|"&amp;$J106)</f>
        <v/>
      </c>
      <c r="X106" s="3" t="n"/>
      <c r="Y106" s="3" t="n"/>
      <c r="Z106" s="3" t="n"/>
      <c r="AA106" s="3" t="n"/>
      <c r="AB106" s="3" t="n"/>
      <c r="AC106" s="3" t="n"/>
      <c r="AD106" s="3">
        <f>IF($C106="",0,SUMPRODUCT((AY_SONU!$O$7:$O$42="Evet")*(AY_SONU!$B$7:$B$42=DATE(YEAR($C106),MONTH($C106),1))))</f>
        <v/>
      </c>
    </row>
    <row r="107">
      <c r="A107" s="6" t="n"/>
      <c r="B107" s="113">
        <f>IF($C107="","","GG"&amp;TEXT(ROW()-6,"00000"))</f>
        <v/>
      </c>
      <c r="C107" s="220" t="n">
        <v>46165</v>
      </c>
      <c r="D107" s="108" t="inlineStr">
        <is>
          <t>Gider</t>
        </is>
      </c>
      <c r="E107" s="109" t="inlineStr">
        <is>
          <t>Ulaşım</t>
        </is>
      </c>
      <c r="F107" s="109" t="inlineStr">
        <is>
          <t xml:space="preserve">Araç Yakıt Alımı ( Ömer ) </t>
        </is>
      </c>
      <c r="G107" s="221" t="n">
        <v>2000</v>
      </c>
      <c r="H107" s="108" t="inlineStr">
        <is>
          <t>Merkez Kasa</t>
        </is>
      </c>
      <c r="I107" s="108" t="inlineStr">
        <is>
          <t>Evet</t>
        </is>
      </c>
      <c r="J107" s="109" t="n"/>
      <c r="K107" s="109" t="n"/>
      <c r="L107" s="108" t="n"/>
      <c r="M107" s="121">
        <f>IF($C107="","",IF($D107="Gider",$E107,IF($L107&lt;&gt;"",$L107,$H107)))</f>
        <v/>
      </c>
      <c r="N107" s="121">
        <f>IF($C107="","",IF($D107="Gider",$H107,$E107))</f>
        <v/>
      </c>
      <c r="O107" s="226">
        <f>IF($C107="","",DATE(YEAR($C107),MONTH($C107),1))</f>
        <v/>
      </c>
      <c r="P107" s="113">
        <f>IF($C107="","",IF(AND($D107="Gelir",$L107&lt;&gt;"",$T107=""),"TANIMSIZ BORÇLU",IF($T107&lt;&gt;"",IF(OR($E107="",$G107&lt;=0),"EKSİK",IF($I107="Evet","TAHAKKUK NAKİT OLAMAZ",IF($C107&gt;TODAY(),"İLERİ TARİH","TAHAKKUK"))),IF(AND($D107&lt;&gt;"",$E107&lt;&gt;"",$G107&gt;0,$H107&lt;&gt;"",$I107&lt;&gt;""),IF($C107&gt;TODAY(),"İLERİ TARİH",IF(COUNTIF($W$7:$W$1206,$W107)&gt;1,"MÜKERRER?",IF($AD107&gt;0,"KAPALI DÖNEM",IF($I107="Hayır","ÖDENECEK","UYGUN")))),"EKSİK"))))</f>
        <v/>
      </c>
      <c r="Q107" s="6" t="n"/>
      <c r="R107" s="6" t="n"/>
      <c r="S107" s="3">
        <f>IF($L107="","",UPPER(SUBSTITUTE(SUBSTITUTE(SUBSTITUTE(SUBSTITUTE(SUBSTITUTE(SUBSTITUTE(SUBSTITUTE(SUBSTITUTE(SUBSTITUTE(SUBSTITUTE(SUBSTITUTE(SUBSTITUTE(SUBSTITUTE(SUBSTITUTE(SUBSTITUTE(SUBSTITUTE(SUBSTITUTE(SUBSTITUTE(TRIM($L107),"'",""),"İ","I"),"ı","I"),"i","I"),"Ş","S"),"ş","S"),"Ğ","G"),"ğ","G"),"Ü","U"),"ü","U"),"Ö","O"),"ö","O"),"Ç","C"),"ç","C"),".",""),",","")," ",""),"-","")))</f>
        <v/>
      </c>
      <c r="T107" s="3">
        <f>IF(OR($C107="",$D107&lt;&gt;"Gelir",$L107=""),"",IFERROR(INDEX(MUSTERILER!$B$7:$B$106,MATCH($S107,MUSTERILER!$T$7:$T$106,0)),""))</f>
        <v/>
      </c>
      <c r="U107" s="3">
        <f>IF($T107="","",$T107&amp;"|"&amp;COUNTIFS($T$7:$T107,$T107))</f>
        <v/>
      </c>
      <c r="V107" s="3">
        <f>IF($T107="",0,1)</f>
        <v/>
      </c>
      <c r="W107" s="3">
        <f>IF($C107="","",$D107&amp;"|"&amp;$E107&amp;"|"&amp;TEXT($C107,"0")&amp;"|"&amp;TEXT($G107,"0")&amp;"|"&amp;$J107)</f>
        <v/>
      </c>
      <c r="X107" s="3" t="n"/>
      <c r="Y107" s="3" t="n"/>
      <c r="Z107" s="3" t="n"/>
      <c r="AA107" s="3" t="n"/>
      <c r="AB107" s="3" t="n"/>
      <c r="AC107" s="3" t="n"/>
      <c r="AD107" s="3">
        <f>IF($C107="",0,SUMPRODUCT((AY_SONU!$O$7:$O$42="Evet")*(AY_SONU!$B$7:$B$42=DATE(YEAR($C107),MONTH($C107),1))))</f>
        <v/>
      </c>
    </row>
    <row r="108">
      <c r="A108" s="6" t="n"/>
      <c r="B108" s="113">
        <f>IF($C108="","","GG"&amp;TEXT(ROW()-6,"00000"))</f>
        <v/>
      </c>
      <c r="C108" s="220" t="n">
        <v>46165</v>
      </c>
      <c r="D108" s="108" t="inlineStr">
        <is>
          <t>Gider</t>
        </is>
      </c>
      <c r="E108" s="109" t="inlineStr">
        <is>
          <t>Vergi / Harç</t>
        </is>
      </c>
      <c r="F108" s="109" t="inlineStr">
        <is>
          <t>Bağkur Ödemesi</t>
        </is>
      </c>
      <c r="G108" s="221" t="n">
        <v>11810</v>
      </c>
      <c r="H108" s="108" t="inlineStr">
        <is>
          <t>Merkez Kasa</t>
        </is>
      </c>
      <c r="I108" s="108" t="inlineStr">
        <is>
          <t>Evet</t>
        </is>
      </c>
      <c r="J108" s="109" t="n"/>
      <c r="K108" s="109" t="n"/>
      <c r="L108" s="108" t="n"/>
      <c r="M108" s="121">
        <f>IF($C108="","",IF($D108="Gider",$E108,IF($L108&lt;&gt;"",$L108,$H108)))</f>
        <v/>
      </c>
      <c r="N108" s="121">
        <f>IF($C108="","",IF($D108="Gider",$H108,$E108))</f>
        <v/>
      </c>
      <c r="O108" s="226">
        <f>IF($C108="","",DATE(YEAR($C108),MONTH($C108),1))</f>
        <v/>
      </c>
      <c r="P108" s="113">
        <f>IF($C108="","",IF(AND($D108="Gelir",$L108&lt;&gt;"",$T108=""),"TANIMSIZ BORÇLU",IF($T108&lt;&gt;"",IF(OR($E108="",$G108&lt;=0),"EKSİK",IF($I108="Evet","TAHAKKUK NAKİT OLAMAZ",IF($C108&gt;TODAY(),"İLERİ TARİH","TAHAKKUK"))),IF(AND($D108&lt;&gt;"",$E108&lt;&gt;"",$G108&gt;0,$H108&lt;&gt;"",$I108&lt;&gt;""),IF($C108&gt;TODAY(),"İLERİ TARİH",IF(COUNTIF($W$7:$W$1206,$W108)&gt;1,"MÜKERRER?",IF($AD108&gt;0,"KAPALI DÖNEM",IF($I108="Hayır","ÖDENECEK","UYGUN")))),"EKSİK"))))</f>
        <v/>
      </c>
      <c r="Q108" s="6" t="n"/>
      <c r="R108" s="6" t="n"/>
      <c r="S108" s="3">
        <f>IF($L108="","",UPPER(SUBSTITUTE(SUBSTITUTE(SUBSTITUTE(SUBSTITUTE(SUBSTITUTE(SUBSTITUTE(SUBSTITUTE(SUBSTITUTE(SUBSTITUTE(SUBSTITUTE(SUBSTITUTE(SUBSTITUTE(SUBSTITUTE(SUBSTITUTE(SUBSTITUTE(SUBSTITUTE(SUBSTITUTE(SUBSTITUTE(TRIM($L108),"'",""),"İ","I"),"ı","I"),"i","I"),"Ş","S"),"ş","S"),"Ğ","G"),"ğ","G"),"Ü","U"),"ü","U"),"Ö","O"),"ö","O"),"Ç","C"),"ç","C"),".",""),",","")," ",""),"-","")))</f>
        <v/>
      </c>
      <c r="T108" s="3">
        <f>IF(OR($C108="",$D108&lt;&gt;"Gelir",$L108=""),"",IFERROR(INDEX(MUSTERILER!$B$7:$B$106,MATCH($S108,MUSTERILER!$T$7:$T$106,0)),""))</f>
        <v/>
      </c>
      <c r="U108" s="3">
        <f>IF($T108="","",$T108&amp;"|"&amp;COUNTIFS($T$7:$T108,$T108))</f>
        <v/>
      </c>
      <c r="V108" s="3">
        <f>IF($T108="",0,1)</f>
        <v/>
      </c>
      <c r="W108" s="3">
        <f>IF($C108="","",$D108&amp;"|"&amp;$E108&amp;"|"&amp;TEXT($C108,"0")&amp;"|"&amp;TEXT($G108,"0")&amp;"|"&amp;$J108)</f>
        <v/>
      </c>
      <c r="X108" s="3" t="n"/>
      <c r="Y108" s="3" t="n"/>
      <c r="Z108" s="3" t="n"/>
      <c r="AA108" s="3" t="n"/>
      <c r="AB108" s="3" t="n"/>
      <c r="AC108" s="3" t="n"/>
      <c r="AD108" s="3">
        <f>IF($C108="",0,SUMPRODUCT((AY_SONU!$O$7:$O$42="Evet")*(AY_SONU!$B$7:$B$42=DATE(YEAR($C108),MONTH($C108),1))))</f>
        <v/>
      </c>
    </row>
    <row r="109">
      <c r="A109" s="6" t="n"/>
      <c r="B109" s="113">
        <f>IF($C109="","","GG"&amp;TEXT(ROW()-6,"00000"))</f>
        <v/>
      </c>
      <c r="C109" s="220" t="n">
        <v>46165</v>
      </c>
      <c r="D109" s="108" t="inlineStr">
        <is>
          <t>Gider</t>
        </is>
      </c>
      <c r="E109" s="109" t="inlineStr">
        <is>
          <t>Ulaşım</t>
        </is>
      </c>
      <c r="F109" s="109" t="inlineStr">
        <is>
          <t>Araç Yakıt Alımı</t>
        </is>
      </c>
      <c r="G109" s="221" t="n">
        <v>2000</v>
      </c>
      <c r="H109" s="108" t="inlineStr">
        <is>
          <t>Merkez Kasa</t>
        </is>
      </c>
      <c r="I109" s="108" t="inlineStr">
        <is>
          <t>Evet</t>
        </is>
      </c>
      <c r="J109" s="109" t="n"/>
      <c r="K109" s="109" t="n"/>
      <c r="L109" s="108" t="n"/>
      <c r="M109" s="121">
        <f>IF($C109="","",IF($D109="Gider",$E109,IF($L109&lt;&gt;"",$L109,$H109)))</f>
        <v/>
      </c>
      <c r="N109" s="121">
        <f>IF($C109="","",IF($D109="Gider",$H109,$E109))</f>
        <v/>
      </c>
      <c r="O109" s="226">
        <f>IF($C109="","",DATE(YEAR($C109),MONTH($C109),1))</f>
        <v/>
      </c>
      <c r="P109" s="113">
        <f>IF($C109="","",IF(AND($D109="Gelir",$L109&lt;&gt;"",$T109=""),"TANIMSIZ BORÇLU",IF($T109&lt;&gt;"",IF(OR($E109="",$G109&lt;=0),"EKSİK",IF($I109="Evet","TAHAKKUK NAKİT OLAMAZ",IF($C109&gt;TODAY(),"İLERİ TARİH","TAHAKKUK"))),IF(AND($D109&lt;&gt;"",$E109&lt;&gt;"",$G109&gt;0,$H109&lt;&gt;"",$I109&lt;&gt;""),IF($C109&gt;TODAY(),"İLERİ TARİH",IF(COUNTIF($W$7:$W$1206,$W109)&gt;1,"MÜKERRER?",IF($AD109&gt;0,"KAPALI DÖNEM",IF($I109="Hayır","ÖDENECEK","UYGUN")))),"EKSİK"))))</f>
        <v/>
      </c>
      <c r="Q109" s="6" t="n"/>
      <c r="R109" s="6" t="n"/>
      <c r="S109" s="3">
        <f>IF($L109="","",UPPER(SUBSTITUTE(SUBSTITUTE(SUBSTITUTE(SUBSTITUTE(SUBSTITUTE(SUBSTITUTE(SUBSTITUTE(SUBSTITUTE(SUBSTITUTE(SUBSTITUTE(SUBSTITUTE(SUBSTITUTE(SUBSTITUTE(SUBSTITUTE(SUBSTITUTE(SUBSTITUTE(SUBSTITUTE(SUBSTITUTE(TRIM($L109),"'",""),"İ","I"),"ı","I"),"i","I"),"Ş","S"),"ş","S"),"Ğ","G"),"ğ","G"),"Ü","U"),"ü","U"),"Ö","O"),"ö","O"),"Ç","C"),"ç","C"),".",""),",","")," ",""),"-","")))</f>
        <v/>
      </c>
      <c r="T109" s="3">
        <f>IF(OR($C109="",$D109&lt;&gt;"Gelir",$L109=""),"",IFERROR(INDEX(MUSTERILER!$B$7:$B$106,MATCH($S109,MUSTERILER!$T$7:$T$106,0)),""))</f>
        <v/>
      </c>
      <c r="U109" s="3">
        <f>IF($T109="","",$T109&amp;"|"&amp;COUNTIFS($T$7:$T109,$T109))</f>
        <v/>
      </c>
      <c r="V109" s="3">
        <f>IF($T109="",0,1)</f>
        <v/>
      </c>
      <c r="W109" s="3">
        <f>IF($C109="","",$D109&amp;"|"&amp;$E109&amp;"|"&amp;TEXT($C109,"0")&amp;"|"&amp;TEXT($G109,"0")&amp;"|"&amp;$J109)</f>
        <v/>
      </c>
      <c r="X109" s="3" t="n"/>
      <c r="Y109" s="3" t="n"/>
      <c r="Z109" s="3" t="n"/>
      <c r="AA109" s="3" t="n"/>
      <c r="AB109" s="3" t="n"/>
      <c r="AC109" s="3" t="n"/>
      <c r="AD109" s="3">
        <f>IF($C109="",0,SUMPRODUCT((AY_SONU!$O$7:$O$42="Evet")*(AY_SONU!$B$7:$B$42=DATE(YEAR($C109),MONTH($C109),1))))</f>
        <v/>
      </c>
    </row>
    <row r="110">
      <c r="A110" s="6" t="n"/>
      <c r="B110" s="113">
        <f>IF($C110="","","GG"&amp;TEXT(ROW()-6,"00000"))</f>
        <v/>
      </c>
      <c r="C110" s="220" t="n">
        <v>46169</v>
      </c>
      <c r="D110" s="108" t="inlineStr">
        <is>
          <t>Gider</t>
        </is>
      </c>
      <c r="E110" s="109" t="inlineStr">
        <is>
          <t>Mehmet Ali Kartal</t>
        </is>
      </c>
      <c r="F110" s="109" t="inlineStr">
        <is>
          <t>Mehmet Ali Kartal Haziran Maaşı</t>
        </is>
      </c>
      <c r="G110" s="221" t="n">
        <v>30000</v>
      </c>
      <c r="H110" s="108" t="inlineStr">
        <is>
          <t>Merkez Kasa</t>
        </is>
      </c>
      <c r="I110" s="108" t="inlineStr">
        <is>
          <t>Evet</t>
        </is>
      </c>
      <c r="J110" s="109" t="n"/>
      <c r="K110" s="109" t="n"/>
      <c r="L110" s="108" t="n"/>
      <c r="M110" s="121">
        <f>IF($C110="","",IF($D110="Gider",$E110,IF($L110&lt;&gt;"",$L110,$H110)))</f>
        <v/>
      </c>
      <c r="N110" s="121">
        <f>IF($C110="","",IF($D110="Gider",$H110,$E110))</f>
        <v/>
      </c>
      <c r="O110" s="226">
        <f>IF($C110="","",DATE(YEAR($C110),MONTH($C110),1))</f>
        <v/>
      </c>
      <c r="P110" s="113">
        <f>IF($C110="","",IF(AND($D110="Gelir",$L110&lt;&gt;"",$T110=""),"TANIMSIZ BORÇLU",IF($T110&lt;&gt;"",IF(OR($E110="",$G110&lt;=0),"EKSİK",IF($I110="Evet","TAHAKKUK NAKİT OLAMAZ",IF($C110&gt;TODAY(),"İLERİ TARİH","TAHAKKUK"))),IF(AND($D110&lt;&gt;"",$E110&lt;&gt;"",$G110&gt;0,$H110&lt;&gt;"",$I110&lt;&gt;""),IF($C110&gt;TODAY(),"İLERİ TARİH",IF(COUNTIF($W$7:$W$1206,$W110)&gt;1,"MÜKERRER?",IF($AD110&gt;0,"KAPALI DÖNEM",IF($I110="Hayır","ÖDENECEK","UYGUN")))),"EKSİK"))))</f>
        <v/>
      </c>
      <c r="Q110" s="6" t="n"/>
      <c r="R110" s="6" t="n"/>
      <c r="S110" s="3">
        <f>IF($L110="","",UPPER(SUBSTITUTE(SUBSTITUTE(SUBSTITUTE(SUBSTITUTE(SUBSTITUTE(SUBSTITUTE(SUBSTITUTE(SUBSTITUTE(SUBSTITUTE(SUBSTITUTE(SUBSTITUTE(SUBSTITUTE(SUBSTITUTE(SUBSTITUTE(SUBSTITUTE(SUBSTITUTE(SUBSTITUTE(SUBSTITUTE(TRIM($L110),"'",""),"İ","I"),"ı","I"),"i","I"),"Ş","S"),"ş","S"),"Ğ","G"),"ğ","G"),"Ü","U"),"ü","U"),"Ö","O"),"ö","O"),"Ç","C"),"ç","C"),".",""),",","")," ",""),"-","")))</f>
        <v/>
      </c>
      <c r="T110" s="3">
        <f>IF(OR($C110="",$D110&lt;&gt;"Gelir",$L110=""),"",IFERROR(INDEX(MUSTERILER!$B$7:$B$106,MATCH($S110,MUSTERILER!$T$7:$T$106,0)),""))</f>
        <v/>
      </c>
      <c r="U110" s="3">
        <f>IF($T110="","",$T110&amp;"|"&amp;COUNTIFS($T$7:$T110,$T110))</f>
        <v/>
      </c>
      <c r="V110" s="3">
        <f>IF($T110="",0,1)</f>
        <v/>
      </c>
      <c r="W110" s="3">
        <f>IF($C110="","",$D110&amp;"|"&amp;$E110&amp;"|"&amp;TEXT($C110,"0")&amp;"|"&amp;TEXT($G110,"0")&amp;"|"&amp;$J110)</f>
        <v/>
      </c>
      <c r="X110" s="3" t="n"/>
      <c r="Y110" s="3" t="n"/>
      <c r="Z110" s="3" t="n"/>
      <c r="AA110" s="3" t="n"/>
      <c r="AB110" s="3" t="n"/>
      <c r="AC110" s="3" t="n"/>
      <c r="AD110" s="3">
        <f>IF($C110="",0,SUMPRODUCT((AY_SONU!$O$7:$O$42="Evet")*(AY_SONU!$B$7:$B$42=DATE(YEAR($C110),MONTH($C110),1))))</f>
        <v/>
      </c>
    </row>
    <row r="111">
      <c r="A111" s="6" t="n"/>
      <c r="B111" s="113">
        <f>IF($C111="","","GG"&amp;TEXT(ROW()-6,"00000"))</f>
        <v/>
      </c>
      <c r="C111" s="220" t="n">
        <v>46173</v>
      </c>
      <c r="D111" s="108" t="inlineStr">
        <is>
          <t>Gider</t>
        </is>
      </c>
      <c r="E111" s="109" t="inlineStr">
        <is>
          <t>Ulaşım</t>
        </is>
      </c>
      <c r="F111" s="109" t="inlineStr">
        <is>
          <t>AraçYakıt</t>
        </is>
      </c>
      <c r="G111" s="221" t="n">
        <v>2000</v>
      </c>
      <c r="H111" s="108" t="inlineStr">
        <is>
          <t>Merkez Kasa</t>
        </is>
      </c>
      <c r="I111" s="108" t="inlineStr">
        <is>
          <t>Evet</t>
        </is>
      </c>
      <c r="J111" s="109" t="n"/>
      <c r="K111" s="109" t="n"/>
      <c r="L111" s="108" t="n"/>
      <c r="M111" s="121">
        <f>IF($C111="","",IF($D111="Gider",$E111,IF($L111&lt;&gt;"",$L111,$H111)))</f>
        <v/>
      </c>
      <c r="N111" s="121">
        <f>IF($C111="","",IF($D111="Gider",$H111,$E111))</f>
        <v/>
      </c>
      <c r="O111" s="226">
        <f>IF($C111="","",DATE(YEAR($C111),MONTH($C111),1))</f>
        <v/>
      </c>
      <c r="P111" s="113">
        <f>IF($C111="","",IF(AND($D111="Gelir",$L111&lt;&gt;"",$T111=""),"TANIMSIZ BORÇLU",IF($T111&lt;&gt;"",IF(OR($E111="",$G111&lt;=0),"EKSİK",IF($I111="Evet","TAHAKKUK NAKİT OLAMAZ",IF($C111&gt;TODAY(),"İLERİ TARİH","TAHAKKUK"))),IF(AND($D111&lt;&gt;"",$E111&lt;&gt;"",$G111&gt;0,$H111&lt;&gt;"",$I111&lt;&gt;""),IF($C111&gt;TODAY(),"İLERİ TARİH",IF(COUNTIF($W$7:$W$1206,$W111)&gt;1,"MÜKERRER?",IF($AD111&gt;0,"KAPALI DÖNEM",IF($I111="Hayır","ÖDENECEK","UYGUN")))),"EKSİK"))))</f>
        <v/>
      </c>
      <c r="Q111" s="6" t="n"/>
      <c r="R111" s="6" t="n"/>
      <c r="S111" s="3">
        <f>IF($L111="","",UPPER(SUBSTITUTE(SUBSTITUTE(SUBSTITUTE(SUBSTITUTE(SUBSTITUTE(SUBSTITUTE(SUBSTITUTE(SUBSTITUTE(SUBSTITUTE(SUBSTITUTE(SUBSTITUTE(SUBSTITUTE(SUBSTITUTE(SUBSTITUTE(SUBSTITUTE(SUBSTITUTE(SUBSTITUTE(SUBSTITUTE(TRIM($L111),"'",""),"İ","I"),"ı","I"),"i","I"),"Ş","S"),"ş","S"),"Ğ","G"),"ğ","G"),"Ü","U"),"ü","U"),"Ö","O"),"ö","O"),"Ç","C"),"ç","C"),".",""),",","")," ",""),"-","")))</f>
        <v/>
      </c>
      <c r="T111" s="3">
        <f>IF(OR($C111="",$D111&lt;&gt;"Gelir",$L111=""),"",IFERROR(INDEX(MUSTERILER!$B$7:$B$106,MATCH($S111,MUSTERILER!$T$7:$T$106,0)),""))</f>
        <v/>
      </c>
      <c r="U111" s="3">
        <f>IF($T111="","",$T111&amp;"|"&amp;COUNTIFS($T$7:$T111,$T111))</f>
        <v/>
      </c>
      <c r="V111" s="3">
        <f>IF($T111="",0,1)</f>
        <v/>
      </c>
      <c r="W111" s="3">
        <f>IF($C111="","",$D111&amp;"|"&amp;$E111&amp;"|"&amp;TEXT($C111,"0")&amp;"|"&amp;TEXT($G111,"0")&amp;"|"&amp;$J111)</f>
        <v/>
      </c>
      <c r="X111" s="3" t="n"/>
      <c r="Y111" s="3" t="n"/>
      <c r="Z111" s="3" t="n"/>
      <c r="AA111" s="3" t="n"/>
      <c r="AB111" s="3" t="n"/>
      <c r="AC111" s="3" t="n"/>
      <c r="AD111" s="3">
        <f>IF($C111="",0,SUMPRODUCT((AY_SONU!$O$7:$O$42="Evet")*(AY_SONU!$B$7:$B$42=DATE(YEAR($C111),MONTH($C111),1))))</f>
        <v/>
      </c>
    </row>
    <row r="112">
      <c r="A112" s="6" t="n"/>
      <c r="B112" s="113">
        <f>IF($C112="","","GG"&amp;TEXT(ROW()-6,"00000"))</f>
        <v/>
      </c>
      <c r="C112" s="220" t="n">
        <v>46173</v>
      </c>
      <c r="D112" s="108" t="inlineStr">
        <is>
          <t>Gider</t>
        </is>
      </c>
      <c r="E112" s="109" t="inlineStr">
        <is>
          <t>Ulaşım</t>
        </is>
      </c>
      <c r="F112" s="109" t="inlineStr">
        <is>
          <t>Araç Yakıt Alımı</t>
        </is>
      </c>
      <c r="G112" s="221" t="n">
        <v>2000</v>
      </c>
      <c r="H112" s="108" t="inlineStr">
        <is>
          <t>Merkez Kasa</t>
        </is>
      </c>
      <c r="I112" s="108" t="inlineStr">
        <is>
          <t>Evet</t>
        </is>
      </c>
      <c r="J112" s="109" t="n"/>
      <c r="K112" s="109" t="n"/>
      <c r="L112" s="108" t="n"/>
      <c r="M112" s="121">
        <f>IF($C112="","",IF($D112="Gider",$E112,IF($L112&lt;&gt;"",$L112,$H112)))</f>
        <v/>
      </c>
      <c r="N112" s="121">
        <f>IF($C112="","",IF($D112="Gider",$H112,$E112))</f>
        <v/>
      </c>
      <c r="O112" s="226">
        <f>IF($C112="","",DATE(YEAR($C112),MONTH($C112),1))</f>
        <v/>
      </c>
      <c r="P112" s="113">
        <f>IF($C112="","",IF(AND($D112="Gelir",$L112&lt;&gt;"",$T112=""),"TANIMSIZ BORÇLU",IF($T112&lt;&gt;"",IF(OR($E112="",$G112&lt;=0),"EKSİK",IF($I112="Evet","TAHAKKUK NAKİT OLAMAZ",IF($C112&gt;TODAY(),"İLERİ TARİH","TAHAKKUK"))),IF(AND($D112&lt;&gt;"",$E112&lt;&gt;"",$G112&gt;0,$H112&lt;&gt;"",$I112&lt;&gt;""),IF($C112&gt;TODAY(),"İLERİ TARİH",IF(COUNTIF($W$7:$W$1206,$W112)&gt;1,"MÜKERRER?",IF($AD112&gt;0,"KAPALI DÖNEM",IF($I112="Hayır","ÖDENECEK","UYGUN")))),"EKSİK"))))</f>
        <v/>
      </c>
      <c r="Q112" s="6" t="n"/>
      <c r="R112" s="6" t="n"/>
      <c r="S112" s="3">
        <f>IF($L112="","",UPPER(SUBSTITUTE(SUBSTITUTE(SUBSTITUTE(SUBSTITUTE(SUBSTITUTE(SUBSTITUTE(SUBSTITUTE(SUBSTITUTE(SUBSTITUTE(SUBSTITUTE(SUBSTITUTE(SUBSTITUTE(SUBSTITUTE(SUBSTITUTE(SUBSTITUTE(SUBSTITUTE(SUBSTITUTE(SUBSTITUTE(TRIM($L112),"'",""),"İ","I"),"ı","I"),"i","I"),"Ş","S"),"ş","S"),"Ğ","G"),"ğ","G"),"Ü","U"),"ü","U"),"Ö","O"),"ö","O"),"Ç","C"),"ç","C"),".",""),",","")," ",""),"-","")))</f>
        <v/>
      </c>
      <c r="T112" s="3">
        <f>IF(OR($C112="",$D112&lt;&gt;"Gelir",$L112=""),"",IFERROR(INDEX(MUSTERILER!$B$7:$B$106,MATCH($S112,MUSTERILER!$T$7:$T$106,0)),""))</f>
        <v/>
      </c>
      <c r="U112" s="3">
        <f>IF($T112="","",$T112&amp;"|"&amp;COUNTIFS($T$7:$T112,$T112))</f>
        <v/>
      </c>
      <c r="V112" s="3">
        <f>IF($T112="",0,1)</f>
        <v/>
      </c>
      <c r="W112" s="3">
        <f>IF($C112="","",$D112&amp;"|"&amp;$E112&amp;"|"&amp;TEXT($C112,"0")&amp;"|"&amp;TEXT($G112,"0")&amp;"|"&amp;$J112)</f>
        <v/>
      </c>
      <c r="X112" s="3" t="n"/>
      <c r="Y112" s="3" t="n"/>
      <c r="Z112" s="3" t="n"/>
      <c r="AA112" s="3" t="n"/>
      <c r="AB112" s="3" t="n"/>
      <c r="AC112" s="3" t="n"/>
      <c r="AD112" s="3">
        <f>IF($C112="",0,SUMPRODUCT((AY_SONU!$O$7:$O$42="Evet")*(AY_SONU!$B$7:$B$42=DATE(YEAR($C112),MONTH($C112),1))))</f>
        <v/>
      </c>
    </row>
    <row r="113">
      <c r="A113" s="6" t="n"/>
      <c r="B113" s="113">
        <f>IF($C113="","","GG"&amp;TEXT(ROW()-6,"00000"))</f>
        <v/>
      </c>
      <c r="C113" s="220" t="n">
        <v>46179</v>
      </c>
      <c r="D113" s="108" t="inlineStr">
        <is>
          <t>Gider</t>
        </is>
      </c>
      <c r="E113" s="109" t="inlineStr">
        <is>
          <t>Telefon / İnternet</t>
        </is>
      </c>
      <c r="F113" s="109" t="inlineStr">
        <is>
          <t>Ofis Whatsapp Hattı Haziran</t>
        </is>
      </c>
      <c r="G113" s="221" t="n">
        <v>800</v>
      </c>
      <c r="H113" s="108" t="inlineStr">
        <is>
          <t>Merkez Kasa</t>
        </is>
      </c>
      <c r="I113" s="108" t="inlineStr">
        <is>
          <t>Evet</t>
        </is>
      </c>
      <c r="J113" s="109" t="n"/>
      <c r="K113" s="109" t="n"/>
      <c r="L113" s="108" t="n"/>
      <c r="M113" s="121">
        <f>IF($C113="","",IF($D113="Gider",$E113,IF($L113&lt;&gt;"",$L113,$H113)))</f>
        <v/>
      </c>
      <c r="N113" s="121">
        <f>IF($C113="","",IF($D113="Gider",$H113,$E113))</f>
        <v/>
      </c>
      <c r="O113" s="226">
        <f>IF($C113="","",DATE(YEAR($C113),MONTH($C113),1))</f>
        <v/>
      </c>
      <c r="P113" s="113">
        <f>IF($C113="","",IF(AND($D113="Gelir",$L113&lt;&gt;"",$T113=""),"TANIMSIZ BORÇLU",IF($T113&lt;&gt;"",IF(OR($E113="",$G113&lt;=0),"EKSİK",IF($I113="Evet","TAHAKKUK NAKİT OLAMAZ",IF($C113&gt;TODAY(),"İLERİ TARİH","TAHAKKUK"))),IF(AND($D113&lt;&gt;"",$E113&lt;&gt;"",$G113&gt;0,$H113&lt;&gt;"",$I113&lt;&gt;""),IF($C113&gt;TODAY(),"İLERİ TARİH",IF(COUNTIF($W$7:$W$1206,$W113)&gt;1,"MÜKERRER?",IF($AD113&gt;0,"KAPALI DÖNEM",IF($I113="Hayır","ÖDENECEK","UYGUN")))),"EKSİK"))))</f>
        <v/>
      </c>
      <c r="Q113" s="6" t="n"/>
      <c r="R113" s="6" t="n"/>
      <c r="S113" s="3">
        <f>IF($L113="","",UPPER(SUBSTITUTE(SUBSTITUTE(SUBSTITUTE(SUBSTITUTE(SUBSTITUTE(SUBSTITUTE(SUBSTITUTE(SUBSTITUTE(SUBSTITUTE(SUBSTITUTE(SUBSTITUTE(SUBSTITUTE(SUBSTITUTE(SUBSTITUTE(SUBSTITUTE(SUBSTITUTE(SUBSTITUTE(SUBSTITUTE(TRIM($L113),"'",""),"İ","I"),"ı","I"),"i","I"),"Ş","S"),"ş","S"),"Ğ","G"),"ğ","G"),"Ü","U"),"ü","U"),"Ö","O"),"ö","O"),"Ç","C"),"ç","C"),".",""),",","")," ",""),"-","")))</f>
        <v/>
      </c>
      <c r="T113" s="3">
        <f>IF(OR($C113="",$D113&lt;&gt;"Gelir",$L113=""),"",IFERROR(INDEX(MUSTERILER!$B$7:$B$106,MATCH($S113,MUSTERILER!$T$7:$T$106,0)),""))</f>
        <v/>
      </c>
      <c r="U113" s="3">
        <f>IF($T113="","",$T113&amp;"|"&amp;COUNTIFS($T$7:$T113,$T113))</f>
        <v/>
      </c>
      <c r="V113" s="3">
        <f>IF($T113="",0,1)</f>
        <v/>
      </c>
      <c r="W113" s="3">
        <f>IF($C113="","",$D113&amp;"|"&amp;$E113&amp;"|"&amp;TEXT($C113,"0")&amp;"|"&amp;TEXT($G113,"0")&amp;"|"&amp;$J113)</f>
        <v/>
      </c>
      <c r="X113" s="3" t="n"/>
      <c r="Y113" s="3" t="n"/>
      <c r="Z113" s="3" t="n"/>
      <c r="AA113" s="3" t="n"/>
      <c r="AB113" s="3" t="n"/>
      <c r="AC113" s="3" t="n"/>
      <c r="AD113" s="3">
        <f>IF($C113="",0,SUMPRODUCT((AY_SONU!$O$7:$O$42="Evet")*(AY_SONU!$B$7:$B$42=DATE(YEAR($C113),MONTH($C113),1))))</f>
        <v/>
      </c>
    </row>
    <row r="114">
      <c r="A114" s="6" t="n"/>
      <c r="B114" s="113">
        <f>IF($C114="","","GG"&amp;TEXT(ROW()-6,"00000"))</f>
        <v/>
      </c>
      <c r="C114" s="220" t="n">
        <v>46179</v>
      </c>
      <c r="D114" s="108" t="inlineStr">
        <is>
          <t>Gider</t>
        </is>
      </c>
      <c r="E114" s="109" t="inlineStr">
        <is>
          <t>Ulaşım</t>
        </is>
      </c>
      <c r="F114" s="109" t="inlineStr">
        <is>
          <t>Araç Yakıt Alımı</t>
        </is>
      </c>
      <c r="G114" s="221" t="n">
        <v>2000</v>
      </c>
      <c r="H114" s="108" t="inlineStr">
        <is>
          <t>Merkez Kasa</t>
        </is>
      </c>
      <c r="I114" s="108" t="inlineStr">
        <is>
          <t>Evet</t>
        </is>
      </c>
      <c r="J114" s="109" t="n"/>
      <c r="K114" s="109" t="n"/>
      <c r="L114" s="108" t="n"/>
      <c r="M114" s="121">
        <f>IF($C114="","",IF($D114="Gider",$E114,IF($L114&lt;&gt;"",$L114,$H114)))</f>
        <v/>
      </c>
      <c r="N114" s="121">
        <f>IF($C114="","",IF($D114="Gider",$H114,$E114))</f>
        <v/>
      </c>
      <c r="O114" s="226">
        <f>IF($C114="","",DATE(YEAR($C114),MONTH($C114),1))</f>
        <v/>
      </c>
      <c r="P114" s="113">
        <f>IF($C114="","",IF(AND($D114="Gelir",$L114&lt;&gt;"",$T114=""),"TANIMSIZ BORÇLU",IF($T114&lt;&gt;"",IF(OR($E114="",$G114&lt;=0),"EKSİK",IF($I114="Evet","TAHAKKUK NAKİT OLAMAZ",IF($C114&gt;TODAY(),"İLERİ TARİH","TAHAKKUK"))),IF(AND($D114&lt;&gt;"",$E114&lt;&gt;"",$G114&gt;0,$H114&lt;&gt;"",$I114&lt;&gt;""),IF($C114&gt;TODAY(),"İLERİ TARİH",IF(COUNTIF($W$7:$W$1206,$W114)&gt;1,"MÜKERRER?",IF($AD114&gt;0,"KAPALI DÖNEM",IF($I114="Hayır","ÖDENECEK","UYGUN")))),"EKSİK"))))</f>
        <v/>
      </c>
      <c r="Q114" s="6" t="n"/>
      <c r="R114" s="6" t="n"/>
      <c r="S114" s="3">
        <f>IF($L114="","",UPPER(SUBSTITUTE(SUBSTITUTE(SUBSTITUTE(SUBSTITUTE(SUBSTITUTE(SUBSTITUTE(SUBSTITUTE(SUBSTITUTE(SUBSTITUTE(SUBSTITUTE(SUBSTITUTE(SUBSTITUTE(SUBSTITUTE(SUBSTITUTE(SUBSTITUTE(SUBSTITUTE(SUBSTITUTE(SUBSTITUTE(TRIM($L114),"'",""),"İ","I"),"ı","I"),"i","I"),"Ş","S"),"ş","S"),"Ğ","G"),"ğ","G"),"Ü","U"),"ü","U"),"Ö","O"),"ö","O"),"Ç","C"),"ç","C"),".",""),",","")," ",""),"-","")))</f>
        <v/>
      </c>
      <c r="T114" s="3">
        <f>IF(OR($C114="",$D114&lt;&gt;"Gelir",$L114=""),"",IFERROR(INDEX(MUSTERILER!$B$7:$B$106,MATCH($S114,MUSTERILER!$T$7:$T$106,0)),""))</f>
        <v/>
      </c>
      <c r="U114" s="3">
        <f>IF($T114="","",$T114&amp;"|"&amp;COUNTIFS($T$7:$T114,$T114))</f>
        <v/>
      </c>
      <c r="V114" s="3">
        <f>IF($T114="",0,1)</f>
        <v/>
      </c>
      <c r="W114" s="3">
        <f>IF($C114="","",$D114&amp;"|"&amp;$E114&amp;"|"&amp;TEXT($C114,"0")&amp;"|"&amp;TEXT($G114,"0")&amp;"|"&amp;$J114)</f>
        <v/>
      </c>
      <c r="X114" s="3" t="n"/>
      <c r="Y114" s="3" t="n"/>
      <c r="Z114" s="3" t="n"/>
      <c r="AA114" s="3" t="n"/>
      <c r="AB114" s="3" t="n"/>
      <c r="AC114" s="3" t="n"/>
      <c r="AD114" s="3">
        <f>IF($C114="",0,SUMPRODUCT((AY_SONU!$O$7:$O$42="Evet")*(AY_SONU!$B$7:$B$42=DATE(YEAR($C114),MONTH($C114),1))))</f>
        <v/>
      </c>
    </row>
    <row r="115">
      <c r="A115" s="6" t="n"/>
      <c r="B115" s="113">
        <f>IF($C115="","","GG"&amp;TEXT(ROW()-6,"00000"))</f>
        <v/>
      </c>
      <c r="C115" s="220" t="n">
        <v>46179</v>
      </c>
      <c r="D115" s="108" t="inlineStr">
        <is>
          <t>Gider</t>
        </is>
      </c>
      <c r="E115" s="109" t="inlineStr">
        <is>
          <t>Ulaşım</t>
        </is>
      </c>
      <c r="F115" s="109" t="inlineStr">
        <is>
          <t>Araç Lastik Değişimi Yıkama</t>
        </is>
      </c>
      <c r="G115" s="221" t="n">
        <v>2000</v>
      </c>
      <c r="H115" s="108" t="inlineStr">
        <is>
          <t>Merkez Kasa</t>
        </is>
      </c>
      <c r="I115" s="108" t="inlineStr">
        <is>
          <t>Evet</t>
        </is>
      </c>
      <c r="J115" s="109" t="n"/>
      <c r="K115" s="109" t="n"/>
      <c r="L115" s="108" t="n"/>
      <c r="M115" s="121">
        <f>IF($C115="","",IF($D115="Gider",$E115,IF($L115&lt;&gt;"",$L115,$H115)))</f>
        <v/>
      </c>
      <c r="N115" s="121">
        <f>IF($C115="","",IF($D115="Gider",$H115,$E115))</f>
        <v/>
      </c>
      <c r="O115" s="226">
        <f>IF($C115="","",DATE(YEAR($C115),MONTH($C115),1))</f>
        <v/>
      </c>
      <c r="P115" s="113">
        <f>IF($C115="","",IF(AND($D115="Gelir",$L115&lt;&gt;"",$T115=""),"TANIMSIZ BORÇLU",IF($T115&lt;&gt;"",IF(OR($E115="",$G115&lt;=0),"EKSİK",IF($I115="Evet","TAHAKKUK NAKİT OLAMAZ",IF($C115&gt;TODAY(),"İLERİ TARİH","TAHAKKUK"))),IF(AND($D115&lt;&gt;"",$E115&lt;&gt;"",$G115&gt;0,$H115&lt;&gt;"",$I115&lt;&gt;""),IF($C115&gt;TODAY(),"İLERİ TARİH",IF(COUNTIF($W$7:$W$1206,$W115)&gt;1,"MÜKERRER?",IF($AD115&gt;0,"KAPALI DÖNEM",IF($I115="Hayır","ÖDENECEK","UYGUN")))),"EKSİK"))))</f>
        <v/>
      </c>
      <c r="Q115" s="6" t="n"/>
      <c r="R115" s="6" t="n"/>
      <c r="S115" s="3">
        <f>IF($L115="","",UPPER(SUBSTITUTE(SUBSTITUTE(SUBSTITUTE(SUBSTITUTE(SUBSTITUTE(SUBSTITUTE(SUBSTITUTE(SUBSTITUTE(SUBSTITUTE(SUBSTITUTE(SUBSTITUTE(SUBSTITUTE(SUBSTITUTE(SUBSTITUTE(SUBSTITUTE(SUBSTITUTE(SUBSTITUTE(SUBSTITUTE(TRIM($L115),"'",""),"İ","I"),"ı","I"),"i","I"),"Ş","S"),"ş","S"),"Ğ","G"),"ğ","G"),"Ü","U"),"ü","U"),"Ö","O"),"ö","O"),"Ç","C"),"ç","C"),".",""),",","")," ",""),"-","")))</f>
        <v/>
      </c>
      <c r="T115" s="3">
        <f>IF(OR($C115="",$D115&lt;&gt;"Gelir",$L115=""),"",IFERROR(INDEX(MUSTERILER!$B$7:$B$106,MATCH($S115,MUSTERILER!$T$7:$T$106,0)),""))</f>
        <v/>
      </c>
      <c r="U115" s="3">
        <f>IF($T115="","",$T115&amp;"|"&amp;COUNTIFS($T$7:$T115,$T115))</f>
        <v/>
      </c>
      <c r="V115" s="3">
        <f>IF($T115="",0,1)</f>
        <v/>
      </c>
      <c r="W115" s="3">
        <f>IF($C115="","",$D115&amp;"|"&amp;$E115&amp;"|"&amp;TEXT($C115,"0")&amp;"|"&amp;TEXT($G115,"0")&amp;"|"&amp;$J115)</f>
        <v/>
      </c>
      <c r="X115" s="3" t="n"/>
      <c r="Y115" s="3" t="n"/>
      <c r="Z115" s="3" t="n"/>
      <c r="AA115" s="3" t="n"/>
      <c r="AB115" s="3" t="n"/>
      <c r="AC115" s="3" t="n"/>
      <c r="AD115" s="3">
        <f>IF($C115="",0,SUMPRODUCT((AY_SONU!$O$7:$O$42="Evet")*(AY_SONU!$B$7:$B$42=DATE(YEAR($C115),MONTH($C115),1))))</f>
        <v/>
      </c>
    </row>
    <row r="116">
      <c r="A116" s="6" t="n"/>
      <c r="B116" s="113">
        <f>IF($C116="","","GG"&amp;TEXT(ROW()-6,"00000"))</f>
        <v/>
      </c>
      <c r="C116" s="220" t="n">
        <v>46186</v>
      </c>
      <c r="D116" s="108" t="inlineStr">
        <is>
          <t>Gider</t>
        </is>
      </c>
      <c r="E116" s="109" t="inlineStr">
        <is>
          <t>Personel</t>
        </is>
      </c>
      <c r="F116" s="109" t="inlineStr">
        <is>
          <t>Irmak Harçlık</t>
        </is>
      </c>
      <c r="G116" s="221" t="n">
        <v>10000</v>
      </c>
      <c r="H116" s="108" t="inlineStr">
        <is>
          <t>Merkez Kasa</t>
        </is>
      </c>
      <c r="I116" s="108" t="inlineStr">
        <is>
          <t>Evet</t>
        </is>
      </c>
      <c r="J116" s="109" t="n"/>
      <c r="K116" s="109" t="n"/>
      <c r="L116" s="108" t="n"/>
      <c r="M116" s="121">
        <f>IF($C116="","",IF($D116="Gider",$E116,IF($L116&lt;&gt;"",$L116,$H116)))</f>
        <v/>
      </c>
      <c r="N116" s="121">
        <f>IF($C116="","",IF($D116="Gider",$H116,$E116))</f>
        <v/>
      </c>
      <c r="O116" s="226">
        <f>IF($C116="","",DATE(YEAR($C116),MONTH($C116),1))</f>
        <v/>
      </c>
      <c r="P116" s="113">
        <f>IF($C116="","",IF(AND($D116="Gelir",$L116&lt;&gt;"",$T116=""),"TANIMSIZ BORÇLU",IF($T116&lt;&gt;"",IF(OR($E116="",$G116&lt;=0),"EKSİK",IF($I116="Evet","TAHAKKUK NAKİT OLAMAZ",IF($C116&gt;TODAY(),"İLERİ TARİH","TAHAKKUK"))),IF(AND($D116&lt;&gt;"",$E116&lt;&gt;"",$G116&gt;0,$H116&lt;&gt;"",$I116&lt;&gt;""),IF($C116&gt;TODAY(),"İLERİ TARİH",IF(COUNTIF($W$7:$W$1206,$W116)&gt;1,"MÜKERRER?",IF($AD116&gt;0,"KAPALI DÖNEM",IF($I116="Hayır","ÖDENECEK","UYGUN")))),"EKSİK"))))</f>
        <v/>
      </c>
      <c r="Q116" s="6" t="n"/>
      <c r="R116" s="6" t="n"/>
      <c r="S116" s="3">
        <f>IF($L116="","",UPPER(SUBSTITUTE(SUBSTITUTE(SUBSTITUTE(SUBSTITUTE(SUBSTITUTE(SUBSTITUTE(SUBSTITUTE(SUBSTITUTE(SUBSTITUTE(SUBSTITUTE(SUBSTITUTE(SUBSTITUTE(SUBSTITUTE(SUBSTITUTE(SUBSTITUTE(SUBSTITUTE(SUBSTITUTE(SUBSTITUTE(TRIM($L116),"'",""),"İ","I"),"ı","I"),"i","I"),"Ş","S"),"ş","S"),"Ğ","G"),"ğ","G"),"Ü","U"),"ü","U"),"Ö","O"),"ö","O"),"Ç","C"),"ç","C"),".",""),",","")," ",""),"-","")))</f>
        <v/>
      </c>
      <c r="T116" s="3">
        <f>IF(OR($C116="",$D116&lt;&gt;"Gelir",$L116=""),"",IFERROR(INDEX(MUSTERILER!$B$7:$B$106,MATCH($S116,MUSTERILER!$T$7:$T$106,0)),""))</f>
        <v/>
      </c>
      <c r="U116" s="3">
        <f>IF($T116="","",$T116&amp;"|"&amp;COUNTIFS($T$7:$T116,$T116))</f>
        <v/>
      </c>
      <c r="V116" s="3">
        <f>IF($T116="",0,1)</f>
        <v/>
      </c>
      <c r="W116" s="3">
        <f>IF($C116="","",$D116&amp;"|"&amp;$E116&amp;"|"&amp;TEXT($C116,"0")&amp;"|"&amp;TEXT($G116,"0")&amp;"|"&amp;$J116)</f>
        <v/>
      </c>
      <c r="X116" s="3" t="n"/>
      <c r="Y116" s="3" t="n"/>
      <c r="Z116" s="3" t="n"/>
      <c r="AA116" s="3" t="n"/>
      <c r="AB116" s="3" t="n"/>
      <c r="AC116" s="3" t="n"/>
      <c r="AD116" s="3">
        <f>IF($C116="",0,SUMPRODUCT((AY_SONU!$O$7:$O$42="Evet")*(AY_SONU!$B$7:$B$42=DATE(YEAR($C116),MONTH($C116),1))))</f>
        <v/>
      </c>
    </row>
    <row r="117">
      <c r="A117" s="6" t="n"/>
      <c r="B117" s="113">
        <f>IF($C117="","","GG"&amp;TEXT(ROW()-6,"00000"))</f>
        <v/>
      </c>
      <c r="C117" s="220" t="n">
        <v>46188</v>
      </c>
      <c r="D117" s="108" t="inlineStr">
        <is>
          <t>Gider</t>
        </is>
      </c>
      <c r="E117" s="109" t="inlineStr">
        <is>
          <t>Personel</t>
        </is>
      </c>
      <c r="F117" s="109" t="inlineStr">
        <is>
          <t>Zeynep Hanım Avans</t>
        </is>
      </c>
      <c r="G117" s="221" t="n">
        <v>10000</v>
      </c>
      <c r="H117" s="108" t="inlineStr">
        <is>
          <t>Merkez Kasa</t>
        </is>
      </c>
      <c r="I117" s="108" t="inlineStr">
        <is>
          <t>Evet</t>
        </is>
      </c>
      <c r="J117" s="109" t="n"/>
      <c r="K117" s="109" t="n"/>
      <c r="L117" s="108" t="n"/>
      <c r="M117" s="121">
        <f>IF($C117="","",IF($D117="Gider",$E117,IF($L117&lt;&gt;"",$L117,$H117)))</f>
        <v/>
      </c>
      <c r="N117" s="121">
        <f>IF($C117="","",IF($D117="Gider",$H117,$E117))</f>
        <v/>
      </c>
      <c r="O117" s="226">
        <f>IF($C117="","",DATE(YEAR($C117),MONTH($C117),1))</f>
        <v/>
      </c>
      <c r="P117" s="113">
        <f>IF($C117="","",IF(AND($D117="Gelir",$L117&lt;&gt;"",$T117=""),"TANIMSIZ BORÇLU",IF($T117&lt;&gt;"",IF(OR($E117="",$G117&lt;=0),"EKSİK",IF($I117="Evet","TAHAKKUK NAKİT OLAMAZ",IF($C117&gt;TODAY(),"İLERİ TARİH","TAHAKKUK"))),IF(AND($D117&lt;&gt;"",$E117&lt;&gt;"",$G117&gt;0,$H117&lt;&gt;"",$I117&lt;&gt;""),IF($C117&gt;TODAY(),"İLERİ TARİH",IF(COUNTIF($W$7:$W$1206,$W117)&gt;1,"MÜKERRER?",IF($AD117&gt;0,"KAPALI DÖNEM",IF($I117="Hayır","ÖDENECEK","UYGUN")))),"EKSİK"))))</f>
        <v/>
      </c>
      <c r="Q117" s="6" t="n"/>
      <c r="R117" s="6" t="n"/>
      <c r="S117" s="3">
        <f>IF($L117="","",UPPER(SUBSTITUTE(SUBSTITUTE(SUBSTITUTE(SUBSTITUTE(SUBSTITUTE(SUBSTITUTE(SUBSTITUTE(SUBSTITUTE(SUBSTITUTE(SUBSTITUTE(SUBSTITUTE(SUBSTITUTE(SUBSTITUTE(SUBSTITUTE(SUBSTITUTE(SUBSTITUTE(SUBSTITUTE(SUBSTITUTE(TRIM($L117),"'",""),"İ","I"),"ı","I"),"i","I"),"Ş","S"),"ş","S"),"Ğ","G"),"ğ","G"),"Ü","U"),"ü","U"),"Ö","O"),"ö","O"),"Ç","C"),"ç","C"),".",""),",","")," ",""),"-","")))</f>
        <v/>
      </c>
      <c r="T117" s="3">
        <f>IF(OR($C117="",$D117&lt;&gt;"Gelir",$L117=""),"",IFERROR(INDEX(MUSTERILER!$B$7:$B$106,MATCH($S117,MUSTERILER!$T$7:$T$106,0)),""))</f>
        <v/>
      </c>
      <c r="U117" s="3">
        <f>IF($T117="","",$T117&amp;"|"&amp;COUNTIFS($T$7:$T117,$T117))</f>
        <v/>
      </c>
      <c r="V117" s="3">
        <f>IF($T117="",0,1)</f>
        <v/>
      </c>
      <c r="W117" s="3">
        <f>IF($C117="","",$D117&amp;"|"&amp;$E117&amp;"|"&amp;TEXT($C117,"0")&amp;"|"&amp;TEXT($G117,"0")&amp;"|"&amp;$J117)</f>
        <v/>
      </c>
      <c r="X117" s="3" t="n"/>
      <c r="Y117" s="3" t="n"/>
      <c r="Z117" s="3" t="n"/>
      <c r="AA117" s="3" t="n"/>
      <c r="AB117" s="3" t="n"/>
      <c r="AC117" s="3" t="n"/>
      <c r="AD117" s="3">
        <f>IF($C117="",0,SUMPRODUCT((AY_SONU!$O$7:$O$42="Evet")*(AY_SONU!$B$7:$B$42=DATE(YEAR($C117),MONTH($C117),1))))</f>
        <v/>
      </c>
    </row>
    <row r="118">
      <c r="A118" s="6" t="n"/>
      <c r="B118" s="113">
        <f>IF($C118="","","GG"&amp;TEXT(ROW()-6,"00000"))</f>
        <v/>
      </c>
      <c r="C118" s="220" t="n">
        <v>46194</v>
      </c>
      <c r="D118" s="108" t="inlineStr">
        <is>
          <t>Gider</t>
        </is>
      </c>
      <c r="E118" s="109" t="inlineStr">
        <is>
          <t>Vergi / Harç</t>
        </is>
      </c>
      <c r="F118" s="109" t="inlineStr">
        <is>
          <t>Bağkur Ödemesi</t>
        </is>
      </c>
      <c r="G118" s="221" t="n">
        <v>11810</v>
      </c>
      <c r="H118" s="108" t="inlineStr">
        <is>
          <t>Merkez Kasa</t>
        </is>
      </c>
      <c r="I118" s="108" t="inlineStr">
        <is>
          <t>Evet</t>
        </is>
      </c>
      <c r="J118" s="109" t="n"/>
      <c r="K118" s="109" t="n"/>
      <c r="L118" s="108" t="n"/>
      <c r="M118" s="121">
        <f>IF($C118="","",IF($D118="Gider",$E118,IF($L118&lt;&gt;"",$L118,$H118)))</f>
        <v/>
      </c>
      <c r="N118" s="121">
        <f>IF($C118="","",IF($D118="Gider",$H118,$E118))</f>
        <v/>
      </c>
      <c r="O118" s="226">
        <f>IF($C118="","",DATE(YEAR($C118),MONTH($C118),1))</f>
        <v/>
      </c>
      <c r="P118" s="113">
        <f>IF($C118="","",IF(AND($D118="Gelir",$L118&lt;&gt;"",$T118=""),"TANIMSIZ BORÇLU",IF($T118&lt;&gt;"",IF(OR($E118="",$G118&lt;=0),"EKSİK",IF($I118="Evet","TAHAKKUK NAKİT OLAMAZ",IF($C118&gt;TODAY(),"İLERİ TARİH","TAHAKKUK"))),IF(AND($D118&lt;&gt;"",$E118&lt;&gt;"",$G118&gt;0,$H118&lt;&gt;"",$I118&lt;&gt;""),IF($C118&gt;TODAY(),"İLERİ TARİH",IF(COUNTIF($W$7:$W$1206,$W118)&gt;1,"MÜKERRER?",IF($AD118&gt;0,"KAPALI DÖNEM",IF($I118="Hayır","ÖDENECEK","UYGUN")))),"EKSİK"))))</f>
        <v/>
      </c>
      <c r="Q118" s="6" t="n"/>
      <c r="R118" s="6" t="n"/>
      <c r="S118" s="3">
        <f>IF($L118="","",UPPER(SUBSTITUTE(SUBSTITUTE(SUBSTITUTE(SUBSTITUTE(SUBSTITUTE(SUBSTITUTE(SUBSTITUTE(SUBSTITUTE(SUBSTITUTE(SUBSTITUTE(SUBSTITUTE(SUBSTITUTE(SUBSTITUTE(SUBSTITUTE(SUBSTITUTE(SUBSTITUTE(SUBSTITUTE(SUBSTITUTE(TRIM($L118),"'",""),"İ","I"),"ı","I"),"i","I"),"Ş","S"),"ş","S"),"Ğ","G"),"ğ","G"),"Ü","U"),"ü","U"),"Ö","O"),"ö","O"),"Ç","C"),"ç","C"),".",""),",","")," ",""),"-","")))</f>
        <v/>
      </c>
      <c r="T118" s="3">
        <f>IF(OR($C118="",$D118&lt;&gt;"Gelir",$L118=""),"",IFERROR(INDEX(MUSTERILER!$B$7:$B$106,MATCH($S118,MUSTERILER!$T$7:$T$106,0)),""))</f>
        <v/>
      </c>
      <c r="U118" s="3">
        <f>IF($T118="","",$T118&amp;"|"&amp;COUNTIFS($T$7:$T118,$T118))</f>
        <v/>
      </c>
      <c r="V118" s="3">
        <f>IF($T118="",0,1)</f>
        <v/>
      </c>
      <c r="W118" s="3">
        <f>IF($C118="","",$D118&amp;"|"&amp;$E118&amp;"|"&amp;TEXT($C118,"0")&amp;"|"&amp;TEXT($G118,"0")&amp;"|"&amp;$J118)</f>
        <v/>
      </c>
      <c r="X118" s="3" t="n"/>
      <c r="Y118" s="3" t="n"/>
      <c r="Z118" s="3" t="n"/>
      <c r="AA118" s="3" t="n"/>
      <c r="AB118" s="3" t="n"/>
      <c r="AC118" s="3" t="n"/>
      <c r="AD118" s="3">
        <f>IF($C118="",0,SUMPRODUCT((AY_SONU!$O$7:$O$42="Evet")*(AY_SONU!$B$7:$B$42=DATE(YEAR($C118),MONTH($C118),1))))</f>
        <v/>
      </c>
    </row>
    <row r="119">
      <c r="A119" s="6" t="n"/>
      <c r="B119" s="113">
        <f>IF($C119="","","GG"&amp;TEXT(ROW()-6,"00000"))</f>
        <v/>
      </c>
      <c r="C119" s="220" t="n">
        <v>46194</v>
      </c>
      <c r="D119" s="108" t="inlineStr">
        <is>
          <t>Gider</t>
        </is>
      </c>
      <c r="E119" s="109" t="inlineStr">
        <is>
          <t>Personel</t>
        </is>
      </c>
      <c r="F119" s="109" t="inlineStr">
        <is>
          <t>Zeynep Hanım Avans</t>
        </is>
      </c>
      <c r="G119" s="221" t="n">
        <v>9700</v>
      </c>
      <c r="H119" s="108" t="inlineStr">
        <is>
          <t>Merkez Kasa</t>
        </is>
      </c>
      <c r="I119" s="108" t="inlineStr">
        <is>
          <t>Evet</t>
        </is>
      </c>
      <c r="J119" s="109" t="n"/>
      <c r="K119" s="109" t="n"/>
      <c r="L119" s="108" t="n"/>
      <c r="M119" s="121">
        <f>IF($C119="","",IF($D119="Gider",$E119,IF($L119&lt;&gt;"",$L119,$H119)))</f>
        <v/>
      </c>
      <c r="N119" s="121">
        <f>IF($C119="","",IF($D119="Gider",$H119,$E119))</f>
        <v/>
      </c>
      <c r="O119" s="226">
        <f>IF($C119="","",DATE(YEAR($C119),MONTH($C119),1))</f>
        <v/>
      </c>
      <c r="P119" s="113">
        <f>IF($C119="","",IF(AND($D119="Gelir",$L119&lt;&gt;"",$T119=""),"TANIMSIZ BORÇLU",IF($T119&lt;&gt;"",IF(OR($E119="",$G119&lt;=0),"EKSİK",IF($I119="Evet","TAHAKKUK NAKİT OLAMAZ",IF($C119&gt;TODAY(),"İLERİ TARİH","TAHAKKUK"))),IF(AND($D119&lt;&gt;"",$E119&lt;&gt;"",$G119&gt;0,$H119&lt;&gt;"",$I119&lt;&gt;""),IF($C119&gt;TODAY(),"İLERİ TARİH",IF(COUNTIF($W$7:$W$1206,$W119)&gt;1,"MÜKERRER?",IF($AD119&gt;0,"KAPALI DÖNEM",IF($I119="Hayır","ÖDENECEK","UYGUN")))),"EKSİK"))))</f>
        <v/>
      </c>
      <c r="Q119" s="6" t="n"/>
      <c r="R119" s="6" t="n"/>
      <c r="S119" s="3">
        <f>IF($L119="","",UPPER(SUBSTITUTE(SUBSTITUTE(SUBSTITUTE(SUBSTITUTE(SUBSTITUTE(SUBSTITUTE(SUBSTITUTE(SUBSTITUTE(SUBSTITUTE(SUBSTITUTE(SUBSTITUTE(SUBSTITUTE(SUBSTITUTE(SUBSTITUTE(SUBSTITUTE(SUBSTITUTE(SUBSTITUTE(SUBSTITUTE(TRIM($L119),"'",""),"İ","I"),"ı","I"),"i","I"),"Ş","S"),"ş","S"),"Ğ","G"),"ğ","G"),"Ü","U"),"ü","U"),"Ö","O"),"ö","O"),"Ç","C"),"ç","C"),".",""),",","")," ",""),"-","")))</f>
        <v/>
      </c>
      <c r="T119" s="3">
        <f>IF(OR($C119="",$D119&lt;&gt;"Gelir",$L119=""),"",IFERROR(INDEX(MUSTERILER!$B$7:$B$106,MATCH($S119,MUSTERILER!$T$7:$T$106,0)),""))</f>
        <v/>
      </c>
      <c r="U119" s="3">
        <f>IF($T119="","",$T119&amp;"|"&amp;COUNTIFS($T$7:$T119,$T119))</f>
        <v/>
      </c>
      <c r="V119" s="3">
        <f>IF($T119="",0,1)</f>
        <v/>
      </c>
      <c r="W119" s="3">
        <f>IF($C119="","",$D119&amp;"|"&amp;$E119&amp;"|"&amp;TEXT($C119,"0")&amp;"|"&amp;TEXT($G119,"0")&amp;"|"&amp;$J119)</f>
        <v/>
      </c>
      <c r="X119" s="3" t="n"/>
      <c r="Y119" s="3" t="n"/>
      <c r="Z119" s="3" t="n"/>
      <c r="AA119" s="3" t="n"/>
      <c r="AB119" s="3" t="n"/>
      <c r="AC119" s="3" t="n"/>
      <c r="AD119" s="3">
        <f>IF($C119="",0,SUMPRODUCT((AY_SONU!$O$7:$O$42="Evet")*(AY_SONU!$B$7:$B$42=DATE(YEAR($C119),MONTH($C119),1))))</f>
        <v/>
      </c>
    </row>
    <row r="120">
      <c r="A120" s="6" t="n"/>
      <c r="B120" s="113">
        <f>IF($C120="","","GG"&amp;TEXT(ROW()-6,"00000"))</f>
        <v/>
      </c>
      <c r="C120" s="220" t="n">
        <v>46195</v>
      </c>
      <c r="D120" s="108" t="inlineStr">
        <is>
          <t>Gider</t>
        </is>
      </c>
      <c r="E120" s="109" t="inlineStr">
        <is>
          <t>Telefon / İnternet</t>
        </is>
      </c>
      <c r="F120" s="109" t="inlineStr">
        <is>
          <t>Ofis Whatsapp Hattı Temmuz</t>
        </is>
      </c>
      <c r="G120" s="221" t="n">
        <v>800</v>
      </c>
      <c r="H120" s="108" t="inlineStr">
        <is>
          <t>Merkez Kasa</t>
        </is>
      </c>
      <c r="I120" s="108" t="inlineStr">
        <is>
          <t>Evet</t>
        </is>
      </c>
      <c r="J120" s="109" t="n"/>
      <c r="K120" s="109" t="n"/>
      <c r="L120" s="108" t="n"/>
      <c r="M120" s="121">
        <f>IF($C120="","",IF($D120="Gider",$E120,IF($L120&lt;&gt;"",$L120,$H120)))</f>
        <v/>
      </c>
      <c r="N120" s="121">
        <f>IF($C120="","",IF($D120="Gider",$H120,$E120))</f>
        <v/>
      </c>
      <c r="O120" s="226">
        <f>IF($C120="","",DATE(YEAR($C120),MONTH($C120),1))</f>
        <v/>
      </c>
      <c r="P120" s="113">
        <f>IF($C120="","",IF(AND($D120="Gelir",$L120&lt;&gt;"",$T120=""),"TANIMSIZ BORÇLU",IF($T120&lt;&gt;"",IF(OR($E120="",$G120&lt;=0),"EKSİK",IF($I120="Evet","TAHAKKUK NAKİT OLAMAZ",IF($C120&gt;TODAY(),"İLERİ TARİH","TAHAKKUK"))),IF(AND($D120&lt;&gt;"",$E120&lt;&gt;"",$G120&gt;0,$H120&lt;&gt;"",$I120&lt;&gt;""),IF($C120&gt;TODAY(),"İLERİ TARİH",IF(COUNTIF($W$7:$W$1206,$W120)&gt;1,"MÜKERRER?",IF($AD120&gt;0,"KAPALI DÖNEM",IF($I120="Hayır","ÖDENECEK","UYGUN")))),"EKSİK"))))</f>
        <v/>
      </c>
      <c r="Q120" s="6" t="n"/>
      <c r="R120" s="6" t="n"/>
      <c r="S120" s="3">
        <f>IF($L120="","",UPPER(SUBSTITUTE(SUBSTITUTE(SUBSTITUTE(SUBSTITUTE(SUBSTITUTE(SUBSTITUTE(SUBSTITUTE(SUBSTITUTE(SUBSTITUTE(SUBSTITUTE(SUBSTITUTE(SUBSTITUTE(SUBSTITUTE(SUBSTITUTE(SUBSTITUTE(SUBSTITUTE(SUBSTITUTE(SUBSTITUTE(TRIM($L120),"'",""),"İ","I"),"ı","I"),"i","I"),"Ş","S"),"ş","S"),"Ğ","G"),"ğ","G"),"Ü","U"),"ü","U"),"Ö","O"),"ö","O"),"Ç","C"),"ç","C"),".",""),",","")," ",""),"-","")))</f>
        <v/>
      </c>
      <c r="T120" s="3">
        <f>IF(OR($C120="",$D120&lt;&gt;"Gelir",$L120=""),"",IFERROR(INDEX(MUSTERILER!$B$7:$B$106,MATCH($S120,MUSTERILER!$T$7:$T$106,0)),""))</f>
        <v/>
      </c>
      <c r="U120" s="3">
        <f>IF($T120="","",$T120&amp;"|"&amp;COUNTIFS($T$7:$T120,$T120))</f>
        <v/>
      </c>
      <c r="V120" s="3">
        <f>IF($T120="",0,1)</f>
        <v/>
      </c>
      <c r="W120" s="3">
        <f>IF($C120="","",$D120&amp;"|"&amp;$E120&amp;"|"&amp;TEXT($C120,"0")&amp;"|"&amp;TEXT($G120,"0")&amp;"|"&amp;$J120)</f>
        <v/>
      </c>
      <c r="X120" s="3" t="n"/>
      <c r="Y120" s="3" t="n"/>
      <c r="Z120" s="3" t="n"/>
      <c r="AA120" s="3" t="n"/>
      <c r="AB120" s="3" t="n"/>
      <c r="AC120" s="3" t="n"/>
      <c r="AD120" s="3">
        <f>IF($C120="",0,SUMPRODUCT((AY_SONU!$O$7:$O$42="Evet")*(AY_SONU!$B$7:$B$42=DATE(YEAR($C120),MONTH($C120),1))))</f>
        <v/>
      </c>
    </row>
    <row r="121">
      <c r="A121" s="6" t="n"/>
      <c r="B121" s="113">
        <f>IF($C121="","","GG"&amp;TEXT(ROW()-6,"00000"))</f>
        <v/>
      </c>
      <c r="C121" s="220" t="n">
        <v>46203</v>
      </c>
      <c r="D121" s="108" t="inlineStr">
        <is>
          <t>Gider</t>
        </is>
      </c>
      <c r="E121" s="109" t="inlineStr">
        <is>
          <t>Personel</t>
        </is>
      </c>
      <c r="F121" s="109" t="inlineStr">
        <is>
          <t>Zeynep Hanım Haziran Maaş Bakiye Ödemesi</t>
        </is>
      </c>
      <c r="G121" s="221" t="n">
        <v>50000</v>
      </c>
      <c r="H121" s="108" t="inlineStr">
        <is>
          <t>Merkez Kasa</t>
        </is>
      </c>
      <c r="I121" s="108" t="inlineStr">
        <is>
          <t>Evet</t>
        </is>
      </c>
      <c r="J121" s="109" t="n"/>
      <c r="K121" s="109" t="n"/>
      <c r="L121" s="108" t="n"/>
      <c r="M121" s="121">
        <f>IF($C121="","",IF($D121="Gider",$E121,IF($L121&lt;&gt;"",$L121,$H121)))</f>
        <v/>
      </c>
      <c r="N121" s="121">
        <f>IF($C121="","",IF($D121="Gider",$H121,$E121))</f>
        <v/>
      </c>
      <c r="O121" s="226">
        <f>IF($C121="","",DATE(YEAR($C121),MONTH($C121),1))</f>
        <v/>
      </c>
      <c r="P121" s="113">
        <f>IF($C121="","",IF(AND($D121="Gelir",$L121&lt;&gt;"",$T121=""),"TANIMSIZ BORÇLU",IF($T121&lt;&gt;"",IF(OR($E121="",$G121&lt;=0),"EKSİK",IF($I121="Evet","TAHAKKUK NAKİT OLAMAZ",IF($C121&gt;TODAY(),"İLERİ TARİH","TAHAKKUK"))),IF(AND($D121&lt;&gt;"",$E121&lt;&gt;"",$G121&gt;0,$H121&lt;&gt;"",$I121&lt;&gt;""),IF($C121&gt;TODAY(),"İLERİ TARİH",IF(COUNTIF($W$7:$W$1206,$W121)&gt;1,"MÜKERRER?",IF($AD121&gt;0,"KAPALI DÖNEM",IF($I121="Hayır","ÖDENECEK","UYGUN")))),"EKSİK"))))</f>
        <v/>
      </c>
      <c r="Q121" s="6" t="n"/>
      <c r="R121" s="6" t="n"/>
      <c r="S121" s="3">
        <f>IF($L121="","",UPPER(SUBSTITUTE(SUBSTITUTE(SUBSTITUTE(SUBSTITUTE(SUBSTITUTE(SUBSTITUTE(SUBSTITUTE(SUBSTITUTE(SUBSTITUTE(SUBSTITUTE(SUBSTITUTE(SUBSTITUTE(SUBSTITUTE(SUBSTITUTE(SUBSTITUTE(SUBSTITUTE(SUBSTITUTE(SUBSTITUTE(TRIM($L121),"'",""),"İ","I"),"ı","I"),"i","I"),"Ş","S"),"ş","S"),"Ğ","G"),"ğ","G"),"Ü","U"),"ü","U"),"Ö","O"),"ö","O"),"Ç","C"),"ç","C"),".",""),",","")," ",""),"-","")))</f>
        <v/>
      </c>
      <c r="T121" s="3">
        <f>IF(OR($C121="",$D121&lt;&gt;"Gelir",$L121=""),"",IFERROR(INDEX(MUSTERILER!$B$7:$B$106,MATCH($S121,MUSTERILER!$T$7:$T$106,0)),""))</f>
        <v/>
      </c>
      <c r="U121" s="3">
        <f>IF($T121="","",$T121&amp;"|"&amp;COUNTIFS($T$7:$T121,$T121))</f>
        <v/>
      </c>
      <c r="V121" s="3">
        <f>IF($T121="",0,1)</f>
        <v/>
      </c>
      <c r="W121" s="3">
        <f>IF($C121="","",$D121&amp;"|"&amp;$E121&amp;"|"&amp;TEXT($C121,"0")&amp;"|"&amp;TEXT($G121,"0")&amp;"|"&amp;$J121)</f>
        <v/>
      </c>
      <c r="X121" s="3" t="n"/>
      <c r="Y121" s="3" t="n"/>
      <c r="Z121" s="3" t="n"/>
      <c r="AA121" s="3" t="n"/>
      <c r="AB121" s="3" t="n"/>
      <c r="AC121" s="3" t="n"/>
      <c r="AD121" s="3">
        <f>IF($C121="",0,SUMPRODUCT((AY_SONU!$O$7:$O$42="Evet")*(AY_SONU!$B$7:$B$42=DATE(YEAR($C121),MONTH($C121),1))))</f>
        <v/>
      </c>
    </row>
    <row r="122">
      <c r="A122" s="6" t="n"/>
      <c r="B122" s="113">
        <f>IF($C122="","","GG"&amp;TEXT(ROW()-6,"00000"))</f>
        <v/>
      </c>
      <c r="C122" s="220" t="n">
        <v>46203</v>
      </c>
      <c r="D122" s="108" t="inlineStr">
        <is>
          <t>Gider</t>
        </is>
      </c>
      <c r="E122" s="109" t="inlineStr">
        <is>
          <t>Ulaşım</t>
        </is>
      </c>
      <c r="F122" s="109" t="inlineStr">
        <is>
          <t>Araç Yakıt</t>
        </is>
      </c>
      <c r="G122" s="221" t="n">
        <v>2000</v>
      </c>
      <c r="H122" s="108" t="inlineStr">
        <is>
          <t>Merkez Kasa</t>
        </is>
      </c>
      <c r="I122" s="108" t="inlineStr">
        <is>
          <t>Evet</t>
        </is>
      </c>
      <c r="J122" s="109" t="n"/>
      <c r="K122" s="109" t="n"/>
      <c r="L122" s="108" t="n"/>
      <c r="M122" s="121">
        <f>IF($C122="","",IF($D122="Gider",$E122,IF($L122&lt;&gt;"",$L122,$H122)))</f>
        <v/>
      </c>
      <c r="N122" s="121">
        <f>IF($C122="","",IF($D122="Gider",$H122,$E122))</f>
        <v/>
      </c>
      <c r="O122" s="226">
        <f>IF($C122="","",DATE(YEAR($C122),MONTH($C122),1))</f>
        <v/>
      </c>
      <c r="P122" s="113">
        <f>IF($C122="","",IF(AND($D122="Gelir",$L122&lt;&gt;"",$T122=""),"TANIMSIZ BORÇLU",IF($T122&lt;&gt;"",IF(OR($E122="",$G122&lt;=0),"EKSİK",IF($I122="Evet","TAHAKKUK NAKİT OLAMAZ",IF($C122&gt;TODAY(),"İLERİ TARİH","TAHAKKUK"))),IF(AND($D122&lt;&gt;"",$E122&lt;&gt;"",$G122&gt;0,$H122&lt;&gt;"",$I122&lt;&gt;""),IF($C122&gt;TODAY(),"İLERİ TARİH",IF(COUNTIF($W$7:$W$1206,$W122)&gt;1,"MÜKERRER?",IF($AD122&gt;0,"KAPALI DÖNEM",IF($I122="Hayır","ÖDENECEK","UYGUN")))),"EKSİK"))))</f>
        <v/>
      </c>
      <c r="Q122" s="6" t="n"/>
      <c r="R122" s="6" t="n"/>
      <c r="S122" s="3">
        <f>IF($L122="","",UPPER(SUBSTITUTE(SUBSTITUTE(SUBSTITUTE(SUBSTITUTE(SUBSTITUTE(SUBSTITUTE(SUBSTITUTE(SUBSTITUTE(SUBSTITUTE(SUBSTITUTE(SUBSTITUTE(SUBSTITUTE(SUBSTITUTE(SUBSTITUTE(SUBSTITUTE(SUBSTITUTE(SUBSTITUTE(SUBSTITUTE(TRIM($L122),"'",""),"İ","I"),"ı","I"),"i","I"),"Ş","S"),"ş","S"),"Ğ","G"),"ğ","G"),"Ü","U"),"ü","U"),"Ö","O"),"ö","O"),"Ç","C"),"ç","C"),".",""),",","")," ",""),"-","")))</f>
        <v/>
      </c>
      <c r="T122" s="3">
        <f>IF(OR($C122="",$D122&lt;&gt;"Gelir",$L122=""),"",IFERROR(INDEX(MUSTERILER!$B$7:$B$106,MATCH($S122,MUSTERILER!$T$7:$T$106,0)),""))</f>
        <v/>
      </c>
      <c r="U122" s="3">
        <f>IF($T122="","",$T122&amp;"|"&amp;COUNTIFS($T$7:$T122,$T122))</f>
        <v/>
      </c>
      <c r="V122" s="3">
        <f>IF($T122="",0,1)</f>
        <v/>
      </c>
      <c r="W122" s="3">
        <f>IF($C122="","",$D122&amp;"|"&amp;$E122&amp;"|"&amp;TEXT($C122,"0")&amp;"|"&amp;TEXT($G122,"0")&amp;"|"&amp;$J122)</f>
        <v/>
      </c>
      <c r="X122" s="3" t="n"/>
      <c r="Y122" s="3" t="n"/>
      <c r="Z122" s="3" t="n"/>
      <c r="AA122" s="3" t="n"/>
      <c r="AB122" s="3" t="n"/>
      <c r="AC122" s="3" t="n"/>
      <c r="AD122" s="3">
        <f>IF($C122="",0,SUMPRODUCT((AY_SONU!$O$7:$O$42="Evet")*(AY_SONU!$B$7:$B$42=DATE(YEAR($C122),MONTH($C122),1))))</f>
        <v/>
      </c>
    </row>
    <row r="123">
      <c r="A123" s="6" t="n"/>
      <c r="B123" s="113">
        <f>IF($C123="","","GG"&amp;TEXT(ROW()-6,"00000"))</f>
        <v/>
      </c>
      <c r="C123" s="220" t="n">
        <v>46216</v>
      </c>
      <c r="D123" s="108" t="inlineStr">
        <is>
          <t>Gider</t>
        </is>
      </c>
      <c r="E123" s="109" t="inlineStr">
        <is>
          <t>Personel</t>
        </is>
      </c>
      <c r="F123" s="109" t="inlineStr">
        <is>
          <t>Irmak Maaş Ödemesi</t>
        </is>
      </c>
      <c r="G123" s="221" t="n">
        <v>10000</v>
      </c>
      <c r="H123" s="108" t="inlineStr">
        <is>
          <t>Merkez Kasa</t>
        </is>
      </c>
      <c r="I123" s="108" t="inlineStr">
        <is>
          <t>Evet</t>
        </is>
      </c>
      <c r="J123" s="109" t="n"/>
      <c r="K123" s="109" t="n"/>
      <c r="L123" s="108" t="n"/>
      <c r="M123" s="121">
        <f>IF($C123="","",IF($D123="Gider",$E123,IF($L123&lt;&gt;"",$L123,$H123)))</f>
        <v/>
      </c>
      <c r="N123" s="121">
        <f>IF($C123="","",IF($D123="Gider",$H123,$E123))</f>
        <v/>
      </c>
      <c r="O123" s="226">
        <f>IF($C123="","",DATE(YEAR($C123),MONTH($C123),1))</f>
        <v/>
      </c>
      <c r="P123" s="113">
        <f>IF($C123="","",IF(AND($D123="Gelir",$L123&lt;&gt;"",$T123=""),"TANIMSIZ BORÇLU",IF($T123&lt;&gt;"",IF(OR($E123="",$G123&lt;=0),"EKSİK",IF($I123="Evet","TAHAKKUK NAKİT OLAMAZ",IF($C123&gt;TODAY(),"İLERİ TARİH","TAHAKKUK"))),IF(AND($D123&lt;&gt;"",$E123&lt;&gt;"",$G123&gt;0,$H123&lt;&gt;"",$I123&lt;&gt;""),IF($C123&gt;TODAY(),"İLERİ TARİH",IF(COUNTIF($W$7:$W$1206,$W123)&gt;1,"MÜKERRER?",IF($AD123&gt;0,"KAPALI DÖNEM",IF($I123="Hayır","ÖDENECEK","UYGUN")))),"EKSİK"))))</f>
        <v/>
      </c>
      <c r="Q123" s="6" t="n"/>
      <c r="R123" s="6" t="n"/>
      <c r="S123" s="3">
        <f>IF($L123="","",UPPER(SUBSTITUTE(SUBSTITUTE(SUBSTITUTE(SUBSTITUTE(SUBSTITUTE(SUBSTITUTE(SUBSTITUTE(SUBSTITUTE(SUBSTITUTE(SUBSTITUTE(SUBSTITUTE(SUBSTITUTE(SUBSTITUTE(SUBSTITUTE(SUBSTITUTE(SUBSTITUTE(SUBSTITUTE(SUBSTITUTE(TRIM($L123),"'",""),"İ","I"),"ı","I"),"i","I"),"Ş","S"),"ş","S"),"Ğ","G"),"ğ","G"),"Ü","U"),"ü","U"),"Ö","O"),"ö","O"),"Ç","C"),"ç","C"),".",""),",","")," ",""),"-","")))</f>
        <v/>
      </c>
      <c r="T123" s="3">
        <f>IF(OR($C123="",$D123&lt;&gt;"Gelir",$L123=""),"",IFERROR(INDEX(MUSTERILER!$B$7:$B$106,MATCH($S123,MUSTERILER!$T$7:$T$106,0)),""))</f>
        <v/>
      </c>
      <c r="U123" s="3">
        <f>IF($T123="","",$T123&amp;"|"&amp;COUNTIFS($T$7:$T123,$T123))</f>
        <v/>
      </c>
      <c r="V123" s="3">
        <f>IF($T123="",0,1)</f>
        <v/>
      </c>
      <c r="W123" s="3">
        <f>IF($C123="","",$D123&amp;"|"&amp;$E123&amp;"|"&amp;TEXT($C123,"0")&amp;"|"&amp;TEXT($G123,"0")&amp;"|"&amp;$J123)</f>
        <v/>
      </c>
      <c r="X123" s="3" t="n"/>
      <c r="Y123" s="3" t="n"/>
      <c r="Z123" s="3" t="n"/>
      <c r="AA123" s="3" t="n"/>
      <c r="AB123" s="3" t="n"/>
      <c r="AC123" s="3" t="n"/>
      <c r="AD123" s="3">
        <f>IF($C123="",0,SUMPRODUCT((AY_SONU!$O$7:$O$42="Evet")*(AY_SONU!$B$7:$B$42=DATE(YEAR($C123),MONTH($C123),1))))</f>
        <v/>
      </c>
    </row>
    <row r="124">
      <c r="A124" s="6" t="n"/>
      <c r="B124" s="113">
        <f>IF($C124="","","GG"&amp;TEXT(ROW()-6,"00000"))</f>
        <v/>
      </c>
      <c r="C124" s="220" t="n">
        <v>46218</v>
      </c>
      <c r="D124" s="108" t="inlineStr">
        <is>
          <t>Gider</t>
        </is>
      </c>
      <c r="E124" s="109" t="inlineStr">
        <is>
          <t>Elektrik / Su / Doğalgaz</t>
        </is>
      </c>
      <c r="F124" s="109" t="inlineStr">
        <is>
          <t>Ofis Elektrik Fatura Ödemesi 3 Adet</t>
        </is>
      </c>
      <c r="G124" s="221" t="n">
        <v>2200</v>
      </c>
      <c r="H124" s="108" t="inlineStr">
        <is>
          <t>Merkez Kasa</t>
        </is>
      </c>
      <c r="I124" s="108" t="inlineStr">
        <is>
          <t>Evet</t>
        </is>
      </c>
      <c r="J124" s="109" t="n"/>
      <c r="K124" s="109" t="n"/>
      <c r="L124" s="108" t="n"/>
      <c r="M124" s="121">
        <f>IF($C124="","",IF($D124="Gider",$E124,IF($L124&lt;&gt;"",$L124,$H124)))</f>
        <v/>
      </c>
      <c r="N124" s="121">
        <f>IF($C124="","",IF($D124="Gider",$H124,$E124))</f>
        <v/>
      </c>
      <c r="O124" s="226">
        <f>IF($C124="","",DATE(YEAR($C124),MONTH($C124),1))</f>
        <v/>
      </c>
      <c r="P124" s="113">
        <f>IF($C124="","",IF(AND($D124="Gelir",$L124&lt;&gt;"",$T124=""),"TANIMSIZ BORÇLU",IF($T124&lt;&gt;"",IF(OR($E124="",$G124&lt;=0),"EKSİK",IF($I124="Evet","TAHAKKUK NAKİT OLAMAZ",IF($C124&gt;TODAY(),"İLERİ TARİH","TAHAKKUK"))),IF(AND($D124&lt;&gt;"",$E124&lt;&gt;"",$G124&gt;0,$H124&lt;&gt;"",$I124&lt;&gt;""),IF($C124&gt;TODAY(),"İLERİ TARİH",IF(COUNTIF($W$7:$W$1206,$W124)&gt;1,"MÜKERRER?",IF($AD124&gt;0,"KAPALI DÖNEM",IF($I124="Hayır","ÖDENECEK","UYGUN")))),"EKSİK"))))</f>
        <v/>
      </c>
      <c r="Q124" s="6" t="n"/>
      <c r="R124" s="6" t="n"/>
      <c r="S124" s="3">
        <f>IF($L124="","",UPPER(SUBSTITUTE(SUBSTITUTE(SUBSTITUTE(SUBSTITUTE(SUBSTITUTE(SUBSTITUTE(SUBSTITUTE(SUBSTITUTE(SUBSTITUTE(SUBSTITUTE(SUBSTITUTE(SUBSTITUTE(SUBSTITUTE(SUBSTITUTE(SUBSTITUTE(SUBSTITUTE(SUBSTITUTE(SUBSTITUTE(TRIM($L124),"'",""),"İ","I"),"ı","I"),"i","I"),"Ş","S"),"ş","S"),"Ğ","G"),"ğ","G"),"Ü","U"),"ü","U"),"Ö","O"),"ö","O"),"Ç","C"),"ç","C"),".",""),",","")," ",""),"-","")))</f>
        <v/>
      </c>
      <c r="T124" s="3">
        <f>IF(OR($C124="",$D124&lt;&gt;"Gelir",$L124=""),"",IFERROR(INDEX(MUSTERILER!$B$7:$B$106,MATCH($S124,MUSTERILER!$T$7:$T$106,0)),""))</f>
        <v/>
      </c>
      <c r="U124" s="3">
        <f>IF($T124="","",$T124&amp;"|"&amp;COUNTIFS($T$7:$T124,$T124))</f>
        <v/>
      </c>
      <c r="V124" s="3">
        <f>IF($T124="",0,1)</f>
        <v/>
      </c>
      <c r="W124" s="3">
        <f>IF($C124="","",$D124&amp;"|"&amp;$E124&amp;"|"&amp;TEXT($C124,"0")&amp;"|"&amp;TEXT($G124,"0")&amp;"|"&amp;$J124)</f>
        <v/>
      </c>
      <c r="X124" s="3" t="n"/>
      <c r="Y124" s="3" t="n"/>
      <c r="Z124" s="3" t="n"/>
      <c r="AA124" s="3" t="n"/>
      <c r="AB124" s="3" t="n"/>
      <c r="AC124" s="3" t="n"/>
      <c r="AD124" s="3">
        <f>IF($C124="",0,SUMPRODUCT((AY_SONU!$O$7:$O$42="Evet")*(AY_SONU!$B$7:$B$42=DATE(YEAR($C124),MONTH($C124),1))))</f>
        <v/>
      </c>
    </row>
    <row r="125">
      <c r="A125" s="6" t="n"/>
      <c r="B125" s="113">
        <f>IF($C125="","","GG"&amp;TEXT(ROW()-6,"00000"))</f>
        <v/>
      </c>
      <c r="C125" s="220" t="n">
        <v>46222</v>
      </c>
      <c r="D125" s="108" t="inlineStr">
        <is>
          <t>Gider</t>
        </is>
      </c>
      <c r="E125" s="109" t="inlineStr">
        <is>
          <t>Kırtasiye</t>
        </is>
      </c>
      <c r="F125" s="109" t="inlineStr">
        <is>
          <t>Serkan Baş Toner</t>
        </is>
      </c>
      <c r="G125" s="221" t="n">
        <v>3500</v>
      </c>
      <c r="H125" s="108" t="inlineStr">
        <is>
          <t>Merkez Kasa</t>
        </is>
      </c>
      <c r="I125" s="108" t="inlineStr">
        <is>
          <t>Evet</t>
        </is>
      </c>
      <c r="J125" s="109" t="n"/>
      <c r="K125" s="109" t="n"/>
      <c r="L125" s="108" t="n"/>
      <c r="M125" s="121">
        <f>IF($C125="","",IF($D125="Gider",$E125,IF($L125&lt;&gt;"",$L125,$H125)))</f>
        <v/>
      </c>
      <c r="N125" s="121">
        <f>IF($C125="","",IF($D125="Gider",$H125,$E125))</f>
        <v/>
      </c>
      <c r="O125" s="226">
        <f>IF($C125="","",DATE(YEAR($C125),MONTH($C125),1))</f>
        <v/>
      </c>
      <c r="P125" s="113">
        <f>IF($C125="","",IF(AND($D125="Gelir",$L125&lt;&gt;"",$T125=""),"TANIMSIZ BORÇLU",IF($T125&lt;&gt;"",IF(OR($E125="",$G125&lt;=0),"EKSİK",IF($I125="Evet","TAHAKKUK NAKİT OLAMAZ",IF($C125&gt;TODAY(),"İLERİ TARİH","TAHAKKUK"))),IF(AND($D125&lt;&gt;"",$E125&lt;&gt;"",$G125&gt;0,$H125&lt;&gt;"",$I125&lt;&gt;""),IF($C125&gt;TODAY(),"İLERİ TARİH",IF(COUNTIF($W$7:$W$1206,$W125)&gt;1,"MÜKERRER?",IF($AD125&gt;0,"KAPALI DÖNEM",IF($I125="Hayır","ÖDENECEK","UYGUN")))),"EKSİK"))))</f>
        <v/>
      </c>
      <c r="Q125" s="6" t="n"/>
      <c r="R125" s="6" t="n"/>
      <c r="S125" s="3">
        <f>IF($L125="","",UPPER(SUBSTITUTE(SUBSTITUTE(SUBSTITUTE(SUBSTITUTE(SUBSTITUTE(SUBSTITUTE(SUBSTITUTE(SUBSTITUTE(SUBSTITUTE(SUBSTITUTE(SUBSTITUTE(SUBSTITUTE(SUBSTITUTE(SUBSTITUTE(SUBSTITUTE(SUBSTITUTE(SUBSTITUTE(SUBSTITUTE(TRIM($L125),"'",""),"İ","I"),"ı","I"),"i","I"),"Ş","S"),"ş","S"),"Ğ","G"),"ğ","G"),"Ü","U"),"ü","U"),"Ö","O"),"ö","O"),"Ç","C"),"ç","C"),".",""),",","")," ",""),"-","")))</f>
        <v/>
      </c>
      <c r="T125" s="3">
        <f>IF(OR($C125="",$D125&lt;&gt;"Gelir",$L125=""),"",IFERROR(INDEX(MUSTERILER!$B$7:$B$106,MATCH($S125,MUSTERILER!$T$7:$T$106,0)),""))</f>
        <v/>
      </c>
      <c r="U125" s="3">
        <f>IF($T125="","",$T125&amp;"|"&amp;COUNTIFS($T$7:$T125,$T125))</f>
        <v/>
      </c>
      <c r="V125" s="3">
        <f>IF($T125="",0,1)</f>
        <v/>
      </c>
      <c r="W125" s="3">
        <f>IF($C125="","",$D125&amp;"|"&amp;$E125&amp;"|"&amp;TEXT($C125,"0")&amp;"|"&amp;TEXT($G125,"0")&amp;"|"&amp;$J125)</f>
        <v/>
      </c>
      <c r="X125" s="3" t="n"/>
      <c r="Y125" s="3" t="n"/>
      <c r="Z125" s="3" t="n"/>
      <c r="AA125" s="3" t="n"/>
      <c r="AB125" s="3" t="n"/>
      <c r="AC125" s="3" t="n"/>
      <c r="AD125" s="3">
        <f>IF($C125="",0,SUMPRODUCT((AY_SONU!$O$7:$O$42="Evet")*(AY_SONU!$B$7:$B$42=DATE(YEAR($C125),MONTH($C125),1))))</f>
        <v/>
      </c>
    </row>
    <row r="126">
      <c r="A126" s="6" t="n"/>
      <c r="B126" s="113">
        <f>IF($C126="","","GG"&amp;TEXT(ROW()-6,"00000"))</f>
        <v/>
      </c>
      <c r="C126" s="220" t="n">
        <v>46222</v>
      </c>
      <c r="D126" s="108" t="inlineStr">
        <is>
          <t>Gider</t>
        </is>
      </c>
      <c r="E126" s="109" t="inlineStr">
        <is>
          <t>Ulaşım</t>
        </is>
      </c>
      <c r="F126" s="109" t="inlineStr">
        <is>
          <t>Araç Yakıt</t>
        </is>
      </c>
      <c r="G126" s="221" t="n">
        <v>2000</v>
      </c>
      <c r="H126" s="108" t="inlineStr">
        <is>
          <t>Merkez Kasa</t>
        </is>
      </c>
      <c r="I126" s="108" t="inlineStr">
        <is>
          <t>Evet</t>
        </is>
      </c>
      <c r="J126" s="109" t="n"/>
      <c r="K126" s="109" t="n"/>
      <c r="L126" s="108" t="n"/>
      <c r="M126" s="121">
        <f>IF($C126="","",IF($D126="Gider",$E126,IF($L126&lt;&gt;"",$L126,$H126)))</f>
        <v/>
      </c>
      <c r="N126" s="121">
        <f>IF($C126="","",IF($D126="Gider",$H126,$E126))</f>
        <v/>
      </c>
      <c r="O126" s="226">
        <f>IF($C126="","",DATE(YEAR($C126),MONTH($C126),1))</f>
        <v/>
      </c>
      <c r="P126" s="113">
        <f>IF($C126="","",IF(AND($D126="Gelir",$L126&lt;&gt;"",$T126=""),"TANIMSIZ BORÇLU",IF($T126&lt;&gt;"",IF(OR($E126="",$G126&lt;=0),"EKSİK",IF($I126="Evet","TAHAKKUK NAKİT OLAMAZ",IF($C126&gt;TODAY(),"İLERİ TARİH","TAHAKKUK"))),IF(AND($D126&lt;&gt;"",$E126&lt;&gt;"",$G126&gt;0,$H126&lt;&gt;"",$I126&lt;&gt;""),IF($C126&gt;TODAY(),"İLERİ TARİH",IF(COUNTIF($W$7:$W$1206,$W126)&gt;1,"MÜKERRER?",IF($AD126&gt;0,"KAPALI DÖNEM",IF($I126="Hayır","ÖDENECEK","UYGUN")))),"EKSİK"))))</f>
        <v/>
      </c>
      <c r="Q126" s="6" t="n"/>
      <c r="R126" s="6" t="n"/>
      <c r="S126" s="3">
        <f>IF($L126="","",UPPER(SUBSTITUTE(SUBSTITUTE(SUBSTITUTE(SUBSTITUTE(SUBSTITUTE(SUBSTITUTE(SUBSTITUTE(SUBSTITUTE(SUBSTITUTE(SUBSTITUTE(SUBSTITUTE(SUBSTITUTE(SUBSTITUTE(SUBSTITUTE(SUBSTITUTE(SUBSTITUTE(SUBSTITUTE(SUBSTITUTE(TRIM($L126),"'",""),"İ","I"),"ı","I"),"i","I"),"Ş","S"),"ş","S"),"Ğ","G"),"ğ","G"),"Ü","U"),"ü","U"),"Ö","O"),"ö","O"),"Ç","C"),"ç","C"),".",""),",","")," ",""),"-","")))</f>
        <v/>
      </c>
      <c r="T126" s="3">
        <f>IF(OR($C126="",$D126&lt;&gt;"Gelir",$L126=""),"",IFERROR(INDEX(MUSTERILER!$B$7:$B$106,MATCH($S126,MUSTERILER!$T$7:$T$106,0)),""))</f>
        <v/>
      </c>
      <c r="U126" s="3">
        <f>IF($T126="","",$T126&amp;"|"&amp;COUNTIFS($T$7:$T126,$T126))</f>
        <v/>
      </c>
      <c r="V126" s="3">
        <f>IF($T126="",0,1)</f>
        <v/>
      </c>
      <c r="W126" s="3">
        <f>IF($C126="","",$D126&amp;"|"&amp;$E126&amp;"|"&amp;TEXT($C126,"0")&amp;"|"&amp;TEXT($G126,"0")&amp;"|"&amp;$J126)</f>
        <v/>
      </c>
      <c r="X126" s="3" t="n"/>
      <c r="Y126" s="3" t="n"/>
      <c r="Z126" s="3" t="n"/>
      <c r="AA126" s="3" t="n"/>
      <c r="AB126" s="3" t="n"/>
      <c r="AC126" s="3" t="n"/>
      <c r="AD126" s="3">
        <f>IF($C126="",0,SUMPRODUCT((AY_SONU!$O$7:$O$42="Evet")*(AY_SONU!$B$7:$B$42=DATE(YEAR($C126),MONTH($C126),1))))</f>
        <v/>
      </c>
    </row>
    <row r="127">
      <c r="A127" s="6" t="n"/>
      <c r="B127" s="113">
        <f>IF($C127="","","GG"&amp;TEXT(ROW()-6,"00000"))</f>
        <v/>
      </c>
      <c r="C127" s="220" t="n">
        <v>46224</v>
      </c>
      <c r="D127" s="108" t="inlineStr">
        <is>
          <t>Gider</t>
        </is>
      </c>
      <c r="E127" s="109" t="inlineStr">
        <is>
          <t>Vergi / Harç</t>
        </is>
      </c>
      <c r="F127" s="109" t="inlineStr">
        <is>
          <t>Bağkur Ödemesi</t>
        </is>
      </c>
      <c r="G127" s="221" t="n">
        <v>11810</v>
      </c>
      <c r="H127" s="108" t="inlineStr">
        <is>
          <t>Merkez Kasa</t>
        </is>
      </c>
      <c r="I127" s="108" t="inlineStr">
        <is>
          <t>Evet</t>
        </is>
      </c>
      <c r="J127" s="109" t="n"/>
      <c r="K127" s="109" t="n"/>
      <c r="L127" s="108" t="n"/>
      <c r="M127" s="121">
        <f>IF($C127="","",IF($D127="Gider",$E127,IF($L127&lt;&gt;"",$L127,$H127)))</f>
        <v/>
      </c>
      <c r="N127" s="121">
        <f>IF($C127="","",IF($D127="Gider",$H127,$E127))</f>
        <v/>
      </c>
      <c r="O127" s="226">
        <f>IF($C127="","",DATE(YEAR($C127),MONTH($C127),1))</f>
        <v/>
      </c>
      <c r="P127" s="113">
        <f>IF($C127="","",IF(AND($D127="Gelir",$L127&lt;&gt;"",$T127=""),"TANIMSIZ BORÇLU",IF($T127&lt;&gt;"",IF(OR($E127="",$G127&lt;=0),"EKSİK",IF($I127="Evet","TAHAKKUK NAKİT OLAMAZ",IF($C127&gt;TODAY(),"İLERİ TARİH","TAHAKKUK"))),IF(AND($D127&lt;&gt;"",$E127&lt;&gt;"",$G127&gt;0,$H127&lt;&gt;"",$I127&lt;&gt;""),IF($C127&gt;TODAY(),"İLERİ TARİH",IF(COUNTIF($W$7:$W$1206,$W127)&gt;1,"MÜKERRER?",IF($AD127&gt;0,"KAPALI DÖNEM",IF($I127="Hayır","ÖDENECEK","UYGUN")))),"EKSİK"))))</f>
        <v/>
      </c>
      <c r="Q127" s="6" t="n"/>
      <c r="R127" s="6" t="n"/>
      <c r="S127" s="3">
        <f>IF($L127="","",UPPER(SUBSTITUTE(SUBSTITUTE(SUBSTITUTE(SUBSTITUTE(SUBSTITUTE(SUBSTITUTE(SUBSTITUTE(SUBSTITUTE(SUBSTITUTE(SUBSTITUTE(SUBSTITUTE(SUBSTITUTE(SUBSTITUTE(SUBSTITUTE(SUBSTITUTE(SUBSTITUTE(SUBSTITUTE(SUBSTITUTE(TRIM($L127),"'",""),"İ","I"),"ı","I"),"i","I"),"Ş","S"),"ş","S"),"Ğ","G"),"ğ","G"),"Ü","U"),"ü","U"),"Ö","O"),"ö","O"),"Ç","C"),"ç","C"),".",""),",","")," ",""),"-","")))</f>
        <v/>
      </c>
      <c r="T127" s="3">
        <f>IF(OR($C127="",$D127&lt;&gt;"Gelir",$L127=""),"",IFERROR(INDEX(MUSTERILER!$B$7:$B$106,MATCH($S127,MUSTERILER!$T$7:$T$106,0)),""))</f>
        <v/>
      </c>
      <c r="U127" s="3">
        <f>IF($T127="","",$T127&amp;"|"&amp;COUNTIFS($T$7:$T127,$T127))</f>
        <v/>
      </c>
      <c r="V127" s="3">
        <f>IF($T127="",0,1)</f>
        <v/>
      </c>
      <c r="W127" s="3">
        <f>IF($C127="","",$D127&amp;"|"&amp;$E127&amp;"|"&amp;TEXT($C127,"0")&amp;"|"&amp;TEXT($G127,"0")&amp;"|"&amp;$J127)</f>
        <v/>
      </c>
      <c r="X127" s="3" t="n"/>
      <c r="Y127" s="3" t="n"/>
      <c r="Z127" s="3" t="n"/>
      <c r="AA127" s="3" t="n"/>
      <c r="AB127" s="3" t="n"/>
      <c r="AC127" s="3" t="n"/>
      <c r="AD127" s="3">
        <f>IF($C127="",0,SUMPRODUCT((AY_SONU!$O$7:$O$42="Evet")*(AY_SONU!$B$7:$B$42=DATE(YEAR($C127),MONTH($C127),1))))</f>
        <v/>
      </c>
    </row>
    <row r="128">
      <c r="A128" s="6" t="n"/>
      <c r="B128" s="113">
        <f>IF($C128="","","GG"&amp;TEXT(ROW()-6,"00000"))</f>
        <v/>
      </c>
      <c r="C128" s="220" t="n">
        <v>46226</v>
      </c>
      <c r="D128" s="108" t="inlineStr">
        <is>
          <t>Gider</t>
        </is>
      </c>
      <c r="E128" s="109" t="inlineStr">
        <is>
          <t>Ulaşım</t>
        </is>
      </c>
      <c r="F128" s="109" t="inlineStr">
        <is>
          <t>Araç Yakıt</t>
        </is>
      </c>
      <c r="G128" s="221" t="n">
        <v>2000</v>
      </c>
      <c r="H128" s="108" t="inlineStr">
        <is>
          <t>Merkez Kasa</t>
        </is>
      </c>
      <c r="I128" s="108" t="inlineStr">
        <is>
          <t>Evet</t>
        </is>
      </c>
      <c r="J128" s="109" t="n"/>
      <c r="K128" s="109" t="n"/>
      <c r="L128" s="108" t="n"/>
      <c r="M128" s="121">
        <f>IF($C128="","",IF($D128="Gider",$E128,IF($L128&lt;&gt;"",$L128,$H128)))</f>
        <v/>
      </c>
      <c r="N128" s="121">
        <f>IF($C128="","",IF($D128="Gider",$H128,$E128))</f>
        <v/>
      </c>
      <c r="O128" s="226">
        <f>IF($C128="","",DATE(YEAR($C128),MONTH($C128),1))</f>
        <v/>
      </c>
      <c r="P128" s="113">
        <f>IF($C128="","",IF(AND($D128="Gelir",$L128&lt;&gt;"",$T128=""),"TANIMSIZ BORÇLU",IF($T128&lt;&gt;"",IF(OR($E128="",$G128&lt;=0),"EKSİK",IF($I128="Evet","TAHAKKUK NAKİT OLAMAZ",IF($C128&gt;TODAY(),"İLERİ TARİH","TAHAKKUK"))),IF(AND($D128&lt;&gt;"",$E128&lt;&gt;"",$G128&gt;0,$H128&lt;&gt;"",$I128&lt;&gt;""),IF($C128&gt;TODAY(),"İLERİ TARİH",IF(COUNTIF($W$7:$W$1206,$W128)&gt;1,"MÜKERRER?",IF($AD128&gt;0,"KAPALI DÖNEM",IF($I128="Hayır","ÖDENECEK","UYGUN")))),"EKSİK"))))</f>
        <v/>
      </c>
      <c r="Q128" s="6" t="n"/>
      <c r="R128" s="6" t="n"/>
      <c r="S128" s="3">
        <f>IF($L128="","",UPPER(SUBSTITUTE(SUBSTITUTE(SUBSTITUTE(SUBSTITUTE(SUBSTITUTE(SUBSTITUTE(SUBSTITUTE(SUBSTITUTE(SUBSTITUTE(SUBSTITUTE(SUBSTITUTE(SUBSTITUTE(SUBSTITUTE(SUBSTITUTE(SUBSTITUTE(SUBSTITUTE(SUBSTITUTE(SUBSTITUTE(TRIM($L128),"'",""),"İ","I"),"ı","I"),"i","I"),"Ş","S"),"ş","S"),"Ğ","G"),"ğ","G"),"Ü","U"),"ü","U"),"Ö","O"),"ö","O"),"Ç","C"),"ç","C"),".",""),",","")," ",""),"-","")))</f>
        <v/>
      </c>
      <c r="T128" s="3">
        <f>IF(OR($C128="",$D128&lt;&gt;"Gelir",$L128=""),"",IFERROR(INDEX(MUSTERILER!$B$7:$B$106,MATCH($S128,MUSTERILER!$T$7:$T$106,0)),""))</f>
        <v/>
      </c>
      <c r="U128" s="3">
        <f>IF($T128="","",$T128&amp;"|"&amp;COUNTIFS($T$7:$T128,$T128))</f>
        <v/>
      </c>
      <c r="V128" s="3">
        <f>IF($T128="",0,1)</f>
        <v/>
      </c>
      <c r="W128" s="3">
        <f>IF($C128="","",$D128&amp;"|"&amp;$E128&amp;"|"&amp;TEXT($C128,"0")&amp;"|"&amp;TEXT($G128,"0")&amp;"|"&amp;$J128)</f>
        <v/>
      </c>
      <c r="X128" s="3" t="n"/>
      <c r="Y128" s="3" t="n"/>
      <c r="Z128" s="3" t="n"/>
      <c r="AA128" s="3" t="n"/>
      <c r="AB128" s="3" t="n"/>
      <c r="AC128" s="3" t="n"/>
      <c r="AD128" s="3">
        <f>IF($C128="",0,SUMPRODUCT((AY_SONU!$O$7:$O$42="Evet")*(AY_SONU!$B$7:$B$42=DATE(YEAR($C128),MONTH($C128),1))))</f>
        <v/>
      </c>
    </row>
    <row r="129">
      <c r="A129" s="6" t="n"/>
      <c r="B129" s="113">
        <f>IF($C129="","","GG"&amp;TEXT(ROW()-6,"00000"))</f>
        <v/>
      </c>
      <c r="C129" s="220" t="n">
        <v>46230</v>
      </c>
      <c r="D129" s="108" t="inlineStr">
        <is>
          <t>Gider</t>
        </is>
      </c>
      <c r="E129" s="109" t="inlineStr">
        <is>
          <t>Personel</t>
        </is>
      </c>
      <c r="F129" s="109" t="inlineStr">
        <is>
          <t>Zeynep Hanım Maaş</t>
        </is>
      </c>
      <c r="G129" s="221" t="n">
        <v>60000</v>
      </c>
      <c r="H129" s="108" t="inlineStr">
        <is>
          <t>Merkez Kasa</t>
        </is>
      </c>
      <c r="I129" s="108" t="inlineStr">
        <is>
          <t>Evet</t>
        </is>
      </c>
      <c r="J129" s="109" t="n"/>
      <c r="K129" s="109" t="n"/>
      <c r="L129" s="108" t="n"/>
      <c r="M129" s="121">
        <f>IF($C129="","",IF($D129="Gider",$E129,IF($L129&lt;&gt;"",$L129,$H129)))</f>
        <v/>
      </c>
      <c r="N129" s="121">
        <f>IF($C129="","",IF($D129="Gider",$H129,$E129))</f>
        <v/>
      </c>
      <c r="O129" s="226">
        <f>IF($C129="","",DATE(YEAR($C129),MONTH($C129),1))</f>
        <v/>
      </c>
      <c r="P129" s="113">
        <f>IF($C129="","",IF(AND($D129="Gelir",$L129&lt;&gt;"",$T129=""),"TANIMSIZ BORÇLU",IF($T129&lt;&gt;"",IF(OR($E129="",$G129&lt;=0),"EKSİK",IF($I129="Evet","TAHAKKUK NAKİT OLAMAZ",IF($C129&gt;TODAY(),"İLERİ TARİH","TAHAKKUK"))),IF(AND($D129&lt;&gt;"",$E129&lt;&gt;"",$G129&gt;0,$H129&lt;&gt;"",$I129&lt;&gt;""),IF($C129&gt;TODAY(),"İLERİ TARİH",IF(COUNTIF($W$7:$W$1206,$W129)&gt;1,"MÜKERRER?",IF($AD129&gt;0,"KAPALI DÖNEM",IF($I129="Hayır","ÖDENECEK","UYGUN")))),"EKSİK"))))</f>
        <v/>
      </c>
      <c r="Q129" s="6" t="n"/>
      <c r="R129" s="6" t="n"/>
      <c r="S129" s="3">
        <f>IF($L129="","",UPPER(SUBSTITUTE(SUBSTITUTE(SUBSTITUTE(SUBSTITUTE(SUBSTITUTE(SUBSTITUTE(SUBSTITUTE(SUBSTITUTE(SUBSTITUTE(SUBSTITUTE(SUBSTITUTE(SUBSTITUTE(SUBSTITUTE(SUBSTITUTE(SUBSTITUTE(SUBSTITUTE(SUBSTITUTE(SUBSTITUTE(TRIM($L129),"'",""),"İ","I"),"ı","I"),"i","I"),"Ş","S"),"ş","S"),"Ğ","G"),"ğ","G"),"Ü","U"),"ü","U"),"Ö","O"),"ö","O"),"Ç","C"),"ç","C"),".",""),",","")," ",""),"-","")))</f>
        <v/>
      </c>
      <c r="T129" s="3">
        <f>IF(OR($C129="",$D129&lt;&gt;"Gelir",$L129=""),"",IFERROR(INDEX(MUSTERILER!$B$7:$B$106,MATCH($S129,MUSTERILER!$T$7:$T$106,0)),""))</f>
        <v/>
      </c>
      <c r="U129" s="3">
        <f>IF($T129="","",$T129&amp;"|"&amp;COUNTIFS($T$7:$T129,$T129))</f>
        <v/>
      </c>
      <c r="V129" s="3">
        <f>IF($T129="",0,1)</f>
        <v/>
      </c>
      <c r="W129" s="3">
        <f>IF($C129="","",$D129&amp;"|"&amp;$E129&amp;"|"&amp;TEXT($C129,"0")&amp;"|"&amp;TEXT($G129,"0")&amp;"|"&amp;$J129)</f>
        <v/>
      </c>
      <c r="X129" s="3" t="n"/>
      <c r="Y129" s="3" t="n"/>
      <c r="Z129" s="3" t="n"/>
      <c r="AA129" s="3" t="n"/>
      <c r="AB129" s="3" t="n"/>
      <c r="AC129" s="3" t="n"/>
      <c r="AD129" s="3">
        <f>IF($C129="",0,SUMPRODUCT((AY_SONU!$O$7:$O$42="Evet")*(AY_SONU!$B$7:$B$42=DATE(YEAR($C129),MONTH($C129),1))))</f>
        <v/>
      </c>
    </row>
    <row r="130">
      <c r="A130" s="6" t="n"/>
      <c r="B130" s="113">
        <f>IF($C130="","","GG"&amp;TEXT(ROW()-6,"00000"))</f>
        <v/>
      </c>
      <c r="C130" s="220" t="n">
        <v>46230</v>
      </c>
      <c r="D130" s="108" t="inlineStr">
        <is>
          <t>Gider</t>
        </is>
      </c>
      <c r="E130" s="109" t="inlineStr">
        <is>
          <t>Ulaşım</t>
        </is>
      </c>
      <c r="F130" s="109" t="inlineStr">
        <is>
          <t>Araç Yakıt</t>
        </is>
      </c>
      <c r="G130" s="221" t="n">
        <v>2000</v>
      </c>
      <c r="H130" s="108" t="inlineStr">
        <is>
          <t>Merkez Kasa</t>
        </is>
      </c>
      <c r="I130" s="108" t="inlineStr">
        <is>
          <t>Evet</t>
        </is>
      </c>
      <c r="J130" s="109" t="n"/>
      <c r="K130" s="109" t="n"/>
      <c r="L130" s="108" t="n"/>
      <c r="M130" s="121">
        <f>IF($C130="","",IF($D130="Gider",$E130,IF($L130&lt;&gt;"",$L130,$H130)))</f>
        <v/>
      </c>
      <c r="N130" s="121">
        <f>IF($C130="","",IF($D130="Gider",$H130,$E130))</f>
        <v/>
      </c>
      <c r="O130" s="226">
        <f>IF($C130="","",DATE(YEAR($C130),MONTH($C130),1))</f>
        <v/>
      </c>
      <c r="P130" s="113">
        <f>IF($C130="","",IF(AND($D130="Gelir",$L130&lt;&gt;"",$T130=""),"TANIMSIZ BORÇLU",IF($T130&lt;&gt;"",IF(OR($E130="",$G130&lt;=0),"EKSİK",IF($I130="Evet","TAHAKKUK NAKİT OLAMAZ",IF($C130&gt;TODAY(),"İLERİ TARİH","TAHAKKUK"))),IF(AND($D130&lt;&gt;"",$E130&lt;&gt;"",$G130&gt;0,$H130&lt;&gt;"",$I130&lt;&gt;""),IF($C130&gt;TODAY(),"İLERİ TARİH",IF(COUNTIF($W$7:$W$1206,$W130)&gt;1,"MÜKERRER?",IF($AD130&gt;0,"KAPALI DÖNEM",IF($I130="Hayır","ÖDENECEK","UYGUN")))),"EKSİK"))))</f>
        <v/>
      </c>
      <c r="Q130" s="6" t="n"/>
      <c r="R130" s="6" t="n"/>
      <c r="S130" s="3">
        <f>IF($L130="","",UPPER(SUBSTITUTE(SUBSTITUTE(SUBSTITUTE(SUBSTITUTE(SUBSTITUTE(SUBSTITUTE(SUBSTITUTE(SUBSTITUTE(SUBSTITUTE(SUBSTITUTE(SUBSTITUTE(SUBSTITUTE(SUBSTITUTE(SUBSTITUTE(SUBSTITUTE(SUBSTITUTE(SUBSTITUTE(SUBSTITUTE(TRIM($L130),"'",""),"İ","I"),"ı","I"),"i","I"),"Ş","S"),"ş","S"),"Ğ","G"),"ğ","G"),"Ü","U"),"ü","U"),"Ö","O"),"ö","O"),"Ç","C"),"ç","C"),".",""),",","")," ",""),"-","")))</f>
        <v/>
      </c>
      <c r="T130" s="3">
        <f>IF(OR($C130="",$D130&lt;&gt;"Gelir",$L130=""),"",IFERROR(INDEX(MUSTERILER!$B$7:$B$106,MATCH($S130,MUSTERILER!$T$7:$T$106,0)),""))</f>
        <v/>
      </c>
      <c r="U130" s="3">
        <f>IF($T130="","",$T130&amp;"|"&amp;COUNTIFS($T$7:$T130,$T130))</f>
        <v/>
      </c>
      <c r="V130" s="3">
        <f>IF($T130="",0,1)</f>
        <v/>
      </c>
      <c r="W130" s="3">
        <f>IF($C130="","",$D130&amp;"|"&amp;$E130&amp;"|"&amp;TEXT($C130,"0")&amp;"|"&amp;TEXT($G130,"0")&amp;"|"&amp;$J130)</f>
        <v/>
      </c>
      <c r="X130" s="3" t="n"/>
      <c r="Y130" s="3" t="n"/>
      <c r="Z130" s="3" t="n"/>
      <c r="AA130" s="3" t="n"/>
      <c r="AB130" s="3" t="n"/>
      <c r="AC130" s="3" t="n"/>
      <c r="AD130" s="3">
        <f>IF($C130="",0,SUMPRODUCT((AY_SONU!$O$7:$O$42="Evet")*(AY_SONU!$B$7:$B$42=DATE(YEAR($C130),MONTH($C130),1))))</f>
        <v/>
      </c>
    </row>
    <row r="131">
      <c r="A131" s="6" t="n"/>
      <c r="B131" s="113">
        <f>IF($C131="","","GG"&amp;TEXT(ROW()-6,"00000"))</f>
        <v/>
      </c>
      <c r="C131" s="220" t="n">
        <v>46234</v>
      </c>
      <c r="D131" s="108" t="inlineStr">
        <is>
          <t>Gider</t>
        </is>
      </c>
      <c r="E131" s="109" t="inlineStr">
        <is>
          <t>Ofis Kirası</t>
        </is>
      </c>
      <c r="F131" s="109" t="inlineStr">
        <is>
          <t>Temmuz İşyeri Kira Ödemesi</t>
        </is>
      </c>
      <c r="G131" s="221" t="n">
        <v>14000</v>
      </c>
      <c r="H131" s="108" t="inlineStr">
        <is>
          <t>Merkez Kasa</t>
        </is>
      </c>
      <c r="I131" s="108" t="inlineStr">
        <is>
          <t>Evet</t>
        </is>
      </c>
      <c r="J131" s="109" t="n"/>
      <c r="K131" s="109" t="n"/>
      <c r="L131" s="108" t="n"/>
      <c r="M131" s="121">
        <f>IF($C131="","",IF($D131="Gider",$E131,IF($L131&lt;&gt;"",$L131,$H131)))</f>
        <v/>
      </c>
      <c r="N131" s="121">
        <f>IF($C131="","",IF($D131="Gider",$H131,$E131))</f>
        <v/>
      </c>
      <c r="O131" s="226">
        <f>IF($C131="","",DATE(YEAR($C131),MONTH($C131),1))</f>
        <v/>
      </c>
      <c r="P131" s="113">
        <f>IF($C131="","",IF(AND($D131="Gelir",$L131&lt;&gt;"",$T131=""),"TANIMSIZ BORÇLU",IF($T131&lt;&gt;"",IF(OR($E131="",$G131&lt;=0),"EKSİK",IF($I131="Evet","TAHAKKUK NAKİT OLAMAZ",IF($C131&gt;TODAY(),"İLERİ TARİH","TAHAKKUK"))),IF(AND($D131&lt;&gt;"",$E131&lt;&gt;"",$G131&gt;0,$H131&lt;&gt;"",$I131&lt;&gt;""),IF($C131&gt;TODAY(),"İLERİ TARİH",IF(COUNTIF($W$7:$W$1206,$W131)&gt;1,"MÜKERRER?",IF($AD131&gt;0,"KAPALI DÖNEM",IF($I131="Hayır","ÖDENECEK","UYGUN")))),"EKSİK"))))</f>
        <v/>
      </c>
      <c r="Q131" s="6" t="n"/>
      <c r="R131" s="6" t="n"/>
      <c r="S131" s="3">
        <f>IF($L131="","",UPPER(SUBSTITUTE(SUBSTITUTE(SUBSTITUTE(SUBSTITUTE(SUBSTITUTE(SUBSTITUTE(SUBSTITUTE(SUBSTITUTE(SUBSTITUTE(SUBSTITUTE(SUBSTITUTE(SUBSTITUTE(SUBSTITUTE(SUBSTITUTE(SUBSTITUTE(SUBSTITUTE(SUBSTITUTE(SUBSTITUTE(TRIM($L131),"'",""),"İ","I"),"ı","I"),"i","I"),"Ş","S"),"ş","S"),"Ğ","G"),"ğ","G"),"Ü","U"),"ü","U"),"Ö","O"),"ö","O"),"Ç","C"),"ç","C"),".",""),",","")," ",""),"-","")))</f>
        <v/>
      </c>
      <c r="T131" s="3">
        <f>IF(OR($C131="",$D131&lt;&gt;"Gelir",$L131=""),"",IFERROR(INDEX(MUSTERILER!$B$7:$B$106,MATCH($S131,MUSTERILER!$T$7:$T$106,0)),""))</f>
        <v/>
      </c>
      <c r="U131" s="3">
        <f>IF($T131="","",$T131&amp;"|"&amp;COUNTIFS($T$7:$T131,$T131))</f>
        <v/>
      </c>
      <c r="V131" s="3">
        <f>IF($T131="",0,1)</f>
        <v/>
      </c>
      <c r="W131" s="3">
        <f>IF($C131="","",$D131&amp;"|"&amp;$E131&amp;"|"&amp;TEXT($C131,"0")&amp;"|"&amp;TEXT($G131,"0")&amp;"|"&amp;$J131)</f>
        <v/>
      </c>
      <c r="X131" s="3" t="n"/>
      <c r="Y131" s="3" t="n"/>
      <c r="Z131" s="3" t="n"/>
      <c r="AA131" s="3" t="n"/>
      <c r="AB131" s="3" t="n"/>
      <c r="AC131" s="3" t="n"/>
      <c r="AD131" s="3">
        <f>IF($C131="",0,SUMPRODUCT((AY_SONU!$O$7:$O$42="Evet")*(AY_SONU!$B$7:$B$42=DATE(YEAR($C131),MONTH($C131),1))))</f>
        <v/>
      </c>
    </row>
    <row r="132">
      <c r="A132" s="6" t="n"/>
      <c r="B132" s="113">
        <f>IF($C132="","","GG"&amp;TEXT(ROW()-6,"00000"))</f>
        <v/>
      </c>
      <c r="C132" s="220" t="n">
        <v>46235</v>
      </c>
      <c r="D132" s="108" t="inlineStr">
        <is>
          <t>Gider</t>
        </is>
      </c>
      <c r="E132" s="109" t="inlineStr">
        <is>
          <t>Ofis Kirası</t>
        </is>
      </c>
      <c r="F132" s="109" t="inlineStr">
        <is>
          <t>Ağustos İşyeri Kira Ödemesi</t>
        </is>
      </c>
      <c r="G132" s="221" t="n">
        <v>14000</v>
      </c>
      <c r="H132" s="108" t="inlineStr">
        <is>
          <t>Merkez Kasa</t>
        </is>
      </c>
      <c r="I132" s="108" t="inlineStr">
        <is>
          <t>Evet</t>
        </is>
      </c>
      <c r="J132" s="109" t="n"/>
      <c r="K132" s="109" t="n"/>
      <c r="L132" s="108" t="n"/>
      <c r="M132" s="121">
        <f>IF($C132="","",IF($D132="Gider",$E132,IF($L132&lt;&gt;"",$L132,$H132)))</f>
        <v/>
      </c>
      <c r="N132" s="121">
        <f>IF($C132="","",IF($D132="Gider",$H132,$E132))</f>
        <v/>
      </c>
      <c r="O132" s="226">
        <f>IF($C132="","",DATE(YEAR($C132),MONTH($C132),1))</f>
        <v/>
      </c>
      <c r="P132" s="113">
        <f>IF($C132="","",IF(AND($D132="Gelir",$L132&lt;&gt;"",$T132=""),"TANIMSIZ BORÇLU",IF($T132&lt;&gt;"",IF(OR($E132="",$G132&lt;=0),"EKSİK",IF($I132="Evet","TAHAKKUK NAKİT OLAMAZ",IF($C132&gt;TODAY(),"İLERİ TARİH","TAHAKKUK"))),IF(AND($D132&lt;&gt;"",$E132&lt;&gt;"",$G132&gt;0,$H132&lt;&gt;"",$I132&lt;&gt;""),IF($C132&gt;TODAY(),"İLERİ TARİH",IF(COUNTIF($W$7:$W$1206,$W132)&gt;1,"MÜKERRER?",IF($AD132&gt;0,"KAPALI DÖNEM",IF($I132="Hayır","ÖDENECEK","UYGUN")))),"EKSİK"))))</f>
        <v/>
      </c>
      <c r="Q132" s="6" t="n"/>
      <c r="R132" s="6" t="n"/>
      <c r="S132" s="3">
        <f>IF($L132="","",UPPER(SUBSTITUTE(SUBSTITUTE(SUBSTITUTE(SUBSTITUTE(SUBSTITUTE(SUBSTITUTE(SUBSTITUTE(SUBSTITUTE(SUBSTITUTE(SUBSTITUTE(SUBSTITUTE(SUBSTITUTE(SUBSTITUTE(SUBSTITUTE(SUBSTITUTE(SUBSTITUTE(SUBSTITUTE(SUBSTITUTE(TRIM($L132),"'",""),"İ","I"),"ı","I"),"i","I"),"Ş","S"),"ş","S"),"Ğ","G"),"ğ","G"),"Ü","U"),"ü","U"),"Ö","O"),"ö","O"),"Ç","C"),"ç","C"),".",""),",","")," ",""),"-","")))</f>
        <v/>
      </c>
      <c r="T132" s="3">
        <f>IF(OR($C132="",$D132&lt;&gt;"Gelir",$L132=""),"",IFERROR(INDEX(MUSTERILER!$B$7:$B$106,MATCH($S132,MUSTERILER!$T$7:$T$106,0)),""))</f>
        <v/>
      </c>
      <c r="U132" s="3">
        <f>IF($T132="","",$T132&amp;"|"&amp;COUNTIFS($T$7:$T132,$T132))</f>
        <v/>
      </c>
      <c r="V132" s="3">
        <f>IF($T132="",0,1)</f>
        <v/>
      </c>
      <c r="W132" s="3">
        <f>IF($C132="","",$D132&amp;"|"&amp;$E132&amp;"|"&amp;TEXT($C132,"0")&amp;"|"&amp;TEXT($G132,"0")&amp;"|"&amp;$J132)</f>
        <v/>
      </c>
      <c r="X132" s="3" t="n"/>
      <c r="Y132" s="3" t="n"/>
      <c r="Z132" s="3" t="n"/>
      <c r="AA132" s="3" t="n"/>
      <c r="AB132" s="3" t="n"/>
      <c r="AC132" s="3" t="n"/>
      <c r="AD132" s="3">
        <f>IF($C132="",0,SUMPRODUCT((AY_SONU!$O$7:$O$42="Evet")*(AY_SONU!$B$7:$B$42=DATE(YEAR($C132),MONTH($C132),1))))</f>
        <v/>
      </c>
    </row>
    <row r="133">
      <c r="A133" s="6" t="n"/>
      <c r="B133" s="113">
        <f>IF($C133="","","GG"&amp;TEXT(ROW()-6,"00000"))</f>
        <v/>
      </c>
      <c r="C133" s="220" t="n">
        <v>46235</v>
      </c>
      <c r="D133" s="108" t="inlineStr">
        <is>
          <t>Gider</t>
        </is>
      </c>
      <c r="E133" s="109" t="inlineStr">
        <is>
          <t>Ofis Kirası</t>
        </is>
      </c>
      <c r="F133" s="109" t="inlineStr">
        <is>
          <t>Eylül İşyeri Kira Ödemesi</t>
        </is>
      </c>
      <c r="G133" s="221" t="n">
        <v>14000</v>
      </c>
      <c r="H133" s="108" t="inlineStr">
        <is>
          <t>Merkez Kasa</t>
        </is>
      </c>
      <c r="I133" s="108" t="inlineStr">
        <is>
          <t>Evet</t>
        </is>
      </c>
      <c r="J133" s="109" t="n"/>
      <c r="K133" s="109" t="n"/>
      <c r="L133" s="108" t="n"/>
      <c r="M133" s="121">
        <f>IF($C133="","",IF($D133="Gider",$E133,IF($L133&lt;&gt;"",$L133,$H133)))</f>
        <v/>
      </c>
      <c r="N133" s="121">
        <f>IF($C133="","",IF($D133="Gider",$H133,$E133))</f>
        <v/>
      </c>
      <c r="O133" s="226">
        <f>IF($C133="","",DATE(YEAR($C133),MONTH($C133),1))</f>
        <v/>
      </c>
      <c r="P133" s="113">
        <f>IF($C133="","",IF(AND($D133="Gelir",$L133&lt;&gt;"",$T133=""),"TANIMSIZ BORÇLU",IF($T133&lt;&gt;"",IF(OR($E133="",$G133&lt;=0),"EKSİK",IF($I133="Evet","TAHAKKUK NAKİT OLAMAZ",IF($C133&gt;TODAY(),"İLERİ TARİH","TAHAKKUK"))),IF(AND($D133&lt;&gt;"",$E133&lt;&gt;"",$G133&gt;0,$H133&lt;&gt;"",$I133&lt;&gt;""),IF($C133&gt;TODAY(),"İLERİ TARİH",IF(COUNTIF($W$7:$W$1206,$W133)&gt;1,"MÜKERRER?",IF($AD133&gt;0,"KAPALI DÖNEM",IF($I133="Hayır","ÖDENECEK","UYGUN")))),"EKSİK"))))</f>
        <v/>
      </c>
      <c r="Q133" s="6" t="n"/>
      <c r="R133" s="6" t="n"/>
      <c r="S133" s="3">
        <f>IF($L133="","",UPPER(SUBSTITUTE(SUBSTITUTE(SUBSTITUTE(SUBSTITUTE(SUBSTITUTE(SUBSTITUTE(SUBSTITUTE(SUBSTITUTE(SUBSTITUTE(SUBSTITUTE(SUBSTITUTE(SUBSTITUTE(SUBSTITUTE(SUBSTITUTE(SUBSTITUTE(SUBSTITUTE(SUBSTITUTE(SUBSTITUTE(TRIM($L133),"'",""),"İ","I"),"ı","I"),"i","I"),"Ş","S"),"ş","S"),"Ğ","G"),"ğ","G"),"Ü","U"),"ü","U"),"Ö","O"),"ö","O"),"Ç","C"),"ç","C"),".",""),",","")," ",""),"-","")))</f>
        <v/>
      </c>
      <c r="T133" s="3">
        <f>IF(OR($C133="",$D133&lt;&gt;"Gelir",$L133=""),"",IFERROR(INDEX(MUSTERILER!$B$7:$B$106,MATCH($S133,MUSTERILER!$T$7:$T$106,0)),""))</f>
        <v/>
      </c>
      <c r="U133" s="3">
        <f>IF($T133="","",$T133&amp;"|"&amp;COUNTIFS($T$7:$T133,$T133))</f>
        <v/>
      </c>
      <c r="V133" s="3">
        <f>IF($T133="",0,1)</f>
        <v/>
      </c>
      <c r="W133" s="3">
        <f>IF($C133="","",$D133&amp;"|"&amp;$E133&amp;"|"&amp;TEXT($C133,"0")&amp;"|"&amp;TEXT($G133,"0")&amp;"|"&amp;$J133)</f>
        <v/>
      </c>
      <c r="X133" s="3" t="n"/>
      <c r="Y133" s="3" t="n"/>
      <c r="Z133" s="3" t="n"/>
      <c r="AA133" s="3" t="n"/>
      <c r="AB133" s="3" t="n"/>
      <c r="AC133" s="3" t="n"/>
      <c r="AD133" s="3">
        <f>IF($C133="",0,SUMPRODUCT((AY_SONU!$O$7:$O$42="Evet")*(AY_SONU!$B$7:$B$42=DATE(YEAR($C133),MONTH($C133),1))))</f>
        <v/>
      </c>
    </row>
    <row r="134">
      <c r="A134" s="6" t="n"/>
      <c r="B134" s="113">
        <f>IF($C134="","","GG"&amp;TEXT(ROW()-6,"00000"))</f>
        <v/>
      </c>
      <c r="C134" s="220" t="n">
        <v>46243</v>
      </c>
      <c r="D134" s="108" t="inlineStr">
        <is>
          <t>Gider</t>
        </is>
      </c>
      <c r="E134" s="109" t="inlineStr">
        <is>
          <t>Ofis Kirası</t>
        </is>
      </c>
      <c r="F134" s="109" t="inlineStr">
        <is>
          <t>Temmuz Ağustos Eylül İşyeri Aidatı Ödemesi</t>
        </is>
      </c>
      <c r="G134" s="221" t="n">
        <v>6000</v>
      </c>
      <c r="H134" s="108" t="inlineStr">
        <is>
          <t>Merkez Kasa</t>
        </is>
      </c>
      <c r="I134" s="108" t="inlineStr">
        <is>
          <t>Evet</t>
        </is>
      </c>
      <c r="J134" s="109" t="n"/>
      <c r="K134" s="109" t="n"/>
      <c r="L134" s="108" t="n"/>
      <c r="M134" s="121">
        <f>IF($C134="","",IF($D134="Gider",$E134,IF($L134&lt;&gt;"",$L134,$H134)))</f>
        <v/>
      </c>
      <c r="N134" s="121">
        <f>IF($C134="","",IF($D134="Gider",$H134,$E134))</f>
        <v/>
      </c>
      <c r="O134" s="226">
        <f>IF($C134="","",DATE(YEAR($C134),MONTH($C134),1))</f>
        <v/>
      </c>
      <c r="P134" s="113">
        <f>IF($C134="","",IF(AND($D134="Gelir",$L134&lt;&gt;"",$T134=""),"TANIMSIZ BORÇLU",IF($T134&lt;&gt;"",IF(OR($E134="",$G134&lt;=0),"EKSİK",IF($I134="Evet","TAHAKKUK NAKİT OLAMAZ",IF($C134&gt;TODAY(),"İLERİ TARİH","TAHAKKUK"))),IF(AND($D134&lt;&gt;"",$E134&lt;&gt;"",$G134&gt;0,$H134&lt;&gt;"",$I134&lt;&gt;""),IF($C134&gt;TODAY(),"İLERİ TARİH",IF(COUNTIF($W$7:$W$1206,$W134)&gt;1,"MÜKERRER?",IF($AD134&gt;0,"KAPALI DÖNEM",IF($I134="Hayır","ÖDENECEK","UYGUN")))),"EKSİK"))))</f>
        <v/>
      </c>
      <c r="Q134" s="6" t="n"/>
      <c r="R134" s="6" t="n"/>
      <c r="S134" s="3">
        <f>IF($L134="","",UPPER(SUBSTITUTE(SUBSTITUTE(SUBSTITUTE(SUBSTITUTE(SUBSTITUTE(SUBSTITUTE(SUBSTITUTE(SUBSTITUTE(SUBSTITUTE(SUBSTITUTE(SUBSTITUTE(SUBSTITUTE(SUBSTITUTE(SUBSTITUTE(SUBSTITUTE(SUBSTITUTE(SUBSTITUTE(SUBSTITUTE(TRIM($L134),"'",""),"İ","I"),"ı","I"),"i","I"),"Ş","S"),"ş","S"),"Ğ","G"),"ğ","G"),"Ü","U"),"ü","U"),"Ö","O"),"ö","O"),"Ç","C"),"ç","C"),".",""),",","")," ",""),"-","")))</f>
        <v/>
      </c>
      <c r="T134" s="3">
        <f>IF(OR($C134="",$D134&lt;&gt;"Gelir",$L134=""),"",IFERROR(INDEX(MUSTERILER!$B$7:$B$106,MATCH($S134,MUSTERILER!$T$7:$T$106,0)),""))</f>
        <v/>
      </c>
      <c r="U134" s="3">
        <f>IF($T134="","",$T134&amp;"|"&amp;COUNTIFS($T$7:$T134,$T134))</f>
        <v/>
      </c>
      <c r="V134" s="3">
        <f>IF($T134="",0,1)</f>
        <v/>
      </c>
      <c r="W134" s="3">
        <f>IF($C134="","",$D134&amp;"|"&amp;$E134&amp;"|"&amp;TEXT($C134,"0")&amp;"|"&amp;TEXT($G134,"0")&amp;"|"&amp;$J134)</f>
        <v/>
      </c>
      <c r="X134" s="3" t="n"/>
      <c r="Y134" s="3" t="n"/>
      <c r="Z134" s="3" t="n"/>
      <c r="AA134" s="3" t="n"/>
      <c r="AB134" s="3" t="n"/>
      <c r="AC134" s="3" t="n"/>
      <c r="AD134" s="3">
        <f>IF($C134="",0,SUMPRODUCT((AY_SONU!$O$7:$O$42="Evet")*(AY_SONU!$B$7:$B$42=DATE(YEAR($C134),MONTH($C134),1))))</f>
        <v/>
      </c>
    </row>
    <row r="135">
      <c r="A135" s="6" t="n"/>
      <c r="B135" s="113">
        <f>IF($C135="","","GG"&amp;TEXT(ROW()-6,"00000"))</f>
        <v/>
      </c>
      <c r="C135" s="220" t="n">
        <v>46245</v>
      </c>
      <c r="D135" s="108" t="inlineStr">
        <is>
          <t>Gider</t>
        </is>
      </c>
      <c r="E135" s="109" t="inlineStr">
        <is>
          <t>Telefon / İnternet</t>
        </is>
      </c>
      <c r="F135" s="109" t="inlineStr">
        <is>
          <t>Ofis Whatsapp Hattı Ağustos</t>
        </is>
      </c>
      <c r="G135" s="221" t="n">
        <v>800</v>
      </c>
      <c r="H135" s="108" t="inlineStr">
        <is>
          <t>Merkez Kasa</t>
        </is>
      </c>
      <c r="I135" s="108" t="inlineStr">
        <is>
          <t>Evet</t>
        </is>
      </c>
      <c r="J135" s="109" t="n"/>
      <c r="K135" s="109" t="n"/>
      <c r="L135" s="108" t="n"/>
      <c r="M135" s="121">
        <f>IF($C135="","",IF($D135="Gider",$E135,IF($L135&lt;&gt;"",$L135,$H135)))</f>
        <v/>
      </c>
      <c r="N135" s="121">
        <f>IF($C135="","",IF($D135="Gider",$H135,$E135))</f>
        <v/>
      </c>
      <c r="O135" s="226">
        <f>IF($C135="","",DATE(YEAR($C135),MONTH($C135),1))</f>
        <v/>
      </c>
      <c r="P135" s="113">
        <f>IF($C135="","",IF(AND($D135="Gelir",$L135&lt;&gt;"",$T135=""),"TANIMSIZ BORÇLU",IF($T135&lt;&gt;"",IF(OR($E135="",$G135&lt;=0),"EKSİK",IF($I135="Evet","TAHAKKUK NAKİT OLAMAZ",IF($C135&gt;TODAY(),"İLERİ TARİH","TAHAKKUK"))),IF(AND($D135&lt;&gt;"",$E135&lt;&gt;"",$G135&gt;0,$H135&lt;&gt;"",$I135&lt;&gt;""),IF($C135&gt;TODAY(),"İLERİ TARİH",IF(COUNTIF($W$7:$W$1206,$W135)&gt;1,"MÜKERRER?",IF($AD135&gt;0,"KAPALI DÖNEM",IF($I135="Hayır","ÖDENECEK","UYGUN")))),"EKSİK"))))</f>
        <v/>
      </c>
      <c r="Q135" s="6" t="n"/>
      <c r="R135" s="6" t="n"/>
      <c r="S135" s="3">
        <f>IF($L135="","",UPPER(SUBSTITUTE(SUBSTITUTE(SUBSTITUTE(SUBSTITUTE(SUBSTITUTE(SUBSTITUTE(SUBSTITUTE(SUBSTITUTE(SUBSTITUTE(SUBSTITUTE(SUBSTITUTE(SUBSTITUTE(SUBSTITUTE(SUBSTITUTE(SUBSTITUTE(SUBSTITUTE(SUBSTITUTE(SUBSTITUTE(TRIM($L135),"'",""),"İ","I"),"ı","I"),"i","I"),"Ş","S"),"ş","S"),"Ğ","G"),"ğ","G"),"Ü","U"),"ü","U"),"Ö","O"),"ö","O"),"Ç","C"),"ç","C"),".",""),",","")," ",""),"-","")))</f>
        <v/>
      </c>
      <c r="T135" s="3">
        <f>IF(OR($C135="",$D135&lt;&gt;"Gelir",$L135=""),"",IFERROR(INDEX(MUSTERILER!$B$7:$B$106,MATCH($S135,MUSTERILER!$T$7:$T$106,0)),""))</f>
        <v/>
      </c>
      <c r="U135" s="3">
        <f>IF($T135="","",$T135&amp;"|"&amp;COUNTIFS($T$7:$T135,$T135))</f>
        <v/>
      </c>
      <c r="V135" s="3">
        <f>IF($T135="",0,1)</f>
        <v/>
      </c>
      <c r="W135" s="3">
        <f>IF($C135="","",$D135&amp;"|"&amp;$E135&amp;"|"&amp;TEXT($C135,"0")&amp;"|"&amp;TEXT($G135,"0")&amp;"|"&amp;$J135)</f>
        <v/>
      </c>
      <c r="X135" s="3" t="n"/>
      <c r="Y135" s="3" t="n"/>
      <c r="Z135" s="3" t="n"/>
      <c r="AA135" s="3" t="n"/>
      <c r="AB135" s="3" t="n"/>
      <c r="AC135" s="3" t="n"/>
      <c r="AD135" s="3">
        <f>IF($C135="",0,SUMPRODUCT((AY_SONU!$O$7:$O$42="Evet")*(AY_SONU!$B$7:$B$42=DATE(YEAR($C135),MONTH($C135),1))))</f>
        <v/>
      </c>
    </row>
    <row r="136">
      <c r="A136" s="6" t="n"/>
      <c r="B136" s="113">
        <f>IF($C136="","","GG"&amp;TEXT(ROW()-6,"00000"))</f>
        <v/>
      </c>
      <c r="C136" s="220" t="n">
        <v>46245</v>
      </c>
      <c r="D136" s="108" t="inlineStr">
        <is>
          <t>Gider</t>
        </is>
      </c>
      <c r="E136" s="109" t="inlineStr">
        <is>
          <t>Diğer Gider</t>
        </is>
      </c>
      <c r="F136" s="109" t="inlineStr">
        <is>
          <t>Arman Dik Vergi Telafisi</t>
        </is>
      </c>
      <c r="G136" s="221" t="n">
        <v>23000</v>
      </c>
      <c r="H136" s="108" t="inlineStr">
        <is>
          <t>Merkez Kasa</t>
        </is>
      </c>
      <c r="I136" s="108" t="inlineStr">
        <is>
          <t>Evet</t>
        </is>
      </c>
      <c r="J136" s="109" t="n"/>
      <c r="K136" s="109" t="n"/>
      <c r="L136" s="108" t="n"/>
      <c r="M136" s="121">
        <f>IF($C136="","",IF($D136="Gider",$E136,IF($L136&lt;&gt;"",$L136,$H136)))</f>
        <v/>
      </c>
      <c r="N136" s="121">
        <f>IF($C136="","",IF($D136="Gider",$H136,$E136))</f>
        <v/>
      </c>
      <c r="O136" s="226">
        <f>IF($C136="","",DATE(YEAR($C136),MONTH($C136),1))</f>
        <v/>
      </c>
      <c r="P136" s="113">
        <f>IF($C136="","",IF(AND($D136="Gelir",$L136&lt;&gt;"",$T136=""),"TANIMSIZ BORÇLU",IF($T136&lt;&gt;"",IF(OR($E136="",$G136&lt;=0),"EKSİK",IF($I136="Evet","TAHAKKUK NAKİT OLAMAZ",IF($C136&gt;TODAY(),"İLERİ TARİH","TAHAKKUK"))),IF(AND($D136&lt;&gt;"",$E136&lt;&gt;"",$G136&gt;0,$H136&lt;&gt;"",$I136&lt;&gt;""),IF($C136&gt;TODAY(),"İLERİ TARİH",IF(COUNTIF($W$7:$W$1206,$W136)&gt;1,"MÜKERRER?",IF($AD136&gt;0,"KAPALI DÖNEM",IF($I136="Hayır","ÖDENECEK","UYGUN")))),"EKSİK"))))</f>
        <v/>
      </c>
      <c r="Q136" s="6" t="n"/>
      <c r="R136" s="6" t="n"/>
      <c r="S136" s="3">
        <f>IF($L136="","",UPPER(SUBSTITUTE(SUBSTITUTE(SUBSTITUTE(SUBSTITUTE(SUBSTITUTE(SUBSTITUTE(SUBSTITUTE(SUBSTITUTE(SUBSTITUTE(SUBSTITUTE(SUBSTITUTE(SUBSTITUTE(SUBSTITUTE(SUBSTITUTE(SUBSTITUTE(SUBSTITUTE(SUBSTITUTE(SUBSTITUTE(TRIM($L136),"'",""),"İ","I"),"ı","I"),"i","I"),"Ş","S"),"ş","S"),"Ğ","G"),"ğ","G"),"Ü","U"),"ü","U"),"Ö","O"),"ö","O"),"Ç","C"),"ç","C"),".",""),",","")," ",""),"-","")))</f>
        <v/>
      </c>
      <c r="T136" s="3">
        <f>IF(OR($C136="",$D136&lt;&gt;"Gelir",$L136=""),"",IFERROR(INDEX(MUSTERILER!$B$7:$B$106,MATCH($S136,MUSTERILER!$T$7:$T$106,0)),""))</f>
        <v/>
      </c>
      <c r="U136" s="3">
        <f>IF($T136="","",$T136&amp;"|"&amp;COUNTIFS($T$7:$T136,$T136))</f>
        <v/>
      </c>
      <c r="V136" s="3">
        <f>IF($T136="",0,1)</f>
        <v/>
      </c>
      <c r="W136" s="3">
        <f>IF($C136="","",$D136&amp;"|"&amp;$E136&amp;"|"&amp;TEXT($C136,"0")&amp;"|"&amp;TEXT($G136,"0")&amp;"|"&amp;$J136)</f>
        <v/>
      </c>
      <c r="X136" s="3" t="n"/>
      <c r="Y136" s="3" t="n"/>
      <c r="Z136" s="3" t="n"/>
      <c r="AA136" s="3" t="n"/>
      <c r="AB136" s="3" t="n"/>
      <c r="AC136" s="3" t="n"/>
      <c r="AD136" s="3">
        <f>IF($C136="",0,SUMPRODUCT((AY_SONU!$O$7:$O$42="Evet")*(AY_SONU!$B$7:$B$42=DATE(YEAR($C136),MONTH($C136),1))))</f>
        <v/>
      </c>
    </row>
    <row r="137">
      <c r="A137" s="6" t="n"/>
      <c r="B137" s="113">
        <f>IF($C137="","","GG"&amp;TEXT(ROW()-6,"00000"))</f>
        <v/>
      </c>
      <c r="C137" s="220" t="n">
        <v>46249</v>
      </c>
      <c r="D137" s="108" t="inlineStr">
        <is>
          <t>Gider</t>
        </is>
      </c>
      <c r="E137" s="109" t="inlineStr">
        <is>
          <t>Ulaşım</t>
        </is>
      </c>
      <c r="F137" s="109" t="inlineStr">
        <is>
          <t>Araç Yakıt</t>
        </is>
      </c>
      <c r="G137" s="221" t="n">
        <v>2000</v>
      </c>
      <c r="H137" s="108" t="inlineStr">
        <is>
          <t>Merkez Kasa</t>
        </is>
      </c>
      <c r="I137" s="108" t="inlineStr">
        <is>
          <t>Evet</t>
        </is>
      </c>
      <c r="J137" s="109" t="n"/>
      <c r="K137" s="109" t="n"/>
      <c r="L137" s="108" t="n"/>
      <c r="M137" s="121">
        <f>IF($C137="","",IF($D137="Gider",$E137,IF($L137&lt;&gt;"",$L137,$H137)))</f>
        <v/>
      </c>
      <c r="N137" s="121">
        <f>IF($C137="","",IF($D137="Gider",$H137,$E137))</f>
        <v/>
      </c>
      <c r="O137" s="226">
        <f>IF($C137="","",DATE(YEAR($C137),MONTH($C137),1))</f>
        <v/>
      </c>
      <c r="P137" s="113">
        <f>IF($C137="","",IF(AND($D137="Gelir",$L137&lt;&gt;"",$T137=""),"TANIMSIZ BORÇLU",IF($T137&lt;&gt;"",IF(OR($E137="",$G137&lt;=0),"EKSİK",IF($I137="Evet","TAHAKKUK NAKİT OLAMAZ",IF($C137&gt;TODAY(),"İLERİ TARİH","TAHAKKUK"))),IF(AND($D137&lt;&gt;"",$E137&lt;&gt;"",$G137&gt;0,$H137&lt;&gt;"",$I137&lt;&gt;""),IF($C137&gt;TODAY(),"İLERİ TARİH",IF(COUNTIF($W$7:$W$1206,$W137)&gt;1,"MÜKERRER?",IF($AD137&gt;0,"KAPALI DÖNEM",IF($I137="Hayır","ÖDENECEK","UYGUN")))),"EKSİK"))))</f>
        <v/>
      </c>
      <c r="Q137" s="6" t="n"/>
      <c r="R137" s="6" t="n"/>
      <c r="S137" s="3">
        <f>IF($L137="","",UPPER(SUBSTITUTE(SUBSTITUTE(SUBSTITUTE(SUBSTITUTE(SUBSTITUTE(SUBSTITUTE(SUBSTITUTE(SUBSTITUTE(SUBSTITUTE(SUBSTITUTE(SUBSTITUTE(SUBSTITUTE(SUBSTITUTE(SUBSTITUTE(SUBSTITUTE(SUBSTITUTE(SUBSTITUTE(SUBSTITUTE(TRIM($L137),"'",""),"İ","I"),"ı","I"),"i","I"),"Ş","S"),"ş","S"),"Ğ","G"),"ğ","G"),"Ü","U"),"ü","U"),"Ö","O"),"ö","O"),"Ç","C"),"ç","C"),".",""),",","")," ",""),"-","")))</f>
        <v/>
      </c>
      <c r="T137" s="3">
        <f>IF(OR($C137="",$D137&lt;&gt;"Gelir",$L137=""),"",IFERROR(INDEX(MUSTERILER!$B$7:$B$106,MATCH($S137,MUSTERILER!$T$7:$T$106,0)),""))</f>
        <v/>
      </c>
      <c r="U137" s="3">
        <f>IF($T137="","",$T137&amp;"|"&amp;COUNTIFS($T$7:$T137,$T137))</f>
        <v/>
      </c>
      <c r="V137" s="3">
        <f>IF($T137="",0,1)</f>
        <v/>
      </c>
      <c r="W137" s="3">
        <f>IF($C137="","",$D137&amp;"|"&amp;$E137&amp;"|"&amp;TEXT($C137,"0")&amp;"|"&amp;TEXT($G137,"0")&amp;"|"&amp;$J137)</f>
        <v/>
      </c>
      <c r="X137" s="3" t="n"/>
      <c r="Y137" s="3" t="n"/>
      <c r="Z137" s="3" t="n"/>
      <c r="AA137" s="3" t="n"/>
      <c r="AB137" s="3" t="n"/>
      <c r="AC137" s="3" t="n"/>
      <c r="AD137" s="3">
        <f>IF($C137="",0,SUMPRODUCT((AY_SONU!$O$7:$O$42="Evet")*(AY_SONU!$B$7:$B$42=DATE(YEAR($C137),MONTH($C137),1))))</f>
        <v/>
      </c>
    </row>
    <row r="138">
      <c r="A138" s="6" t="n"/>
      <c r="B138" s="113">
        <f>IF($C138="","","GG"&amp;TEXT(ROW()-6,"00000"))</f>
        <v/>
      </c>
      <c r="C138" s="220" t="n"/>
      <c r="D138" s="108" t="n"/>
      <c r="E138" s="109" t="n"/>
      <c r="F138" s="109" t="n"/>
      <c r="G138" s="221" t="n"/>
      <c r="H138" s="108" t="n"/>
      <c r="I138" s="108" t="n"/>
      <c r="J138" s="109" t="n"/>
      <c r="K138" s="109" t="n"/>
      <c r="L138" s="108" t="n"/>
      <c r="M138" s="121">
        <f>IF($C138="","",IF($D138="Gider",$E138,IF($L138&lt;&gt;"",$L138,$H138)))</f>
        <v/>
      </c>
      <c r="N138" s="121">
        <f>IF($C138="","",IF($D138="Gider",$H138,$E138))</f>
        <v/>
      </c>
      <c r="O138" s="226">
        <f>IF($C138="","",DATE(YEAR($C138),MONTH($C138),1))</f>
        <v/>
      </c>
      <c r="P138" s="113">
        <f>IF($C138="","",IF(AND($D138="Gelir",$L138&lt;&gt;"",$T138=""),"TANIMSIZ BORÇLU",IF($T138&lt;&gt;"",IF(OR($E138="",$G138&lt;=0),"EKSİK",IF($I138="Evet","TAHAKKUK NAKİT OLAMAZ",IF($C138&gt;TODAY(),"İLERİ TARİH","TAHAKKUK"))),IF(AND($D138&lt;&gt;"",$E138&lt;&gt;"",$G138&gt;0,$H138&lt;&gt;"",$I138&lt;&gt;""),IF($C138&gt;TODAY(),"İLERİ TARİH",IF(COUNTIF($W$7:$W$1206,$W138)&gt;1,"MÜKERRER?",IF($AD138&gt;0,"KAPALI DÖNEM",IF($I138="Hayır","ÖDENECEK","UYGUN")))),"EKSİK"))))</f>
        <v/>
      </c>
      <c r="Q138" s="6" t="n"/>
      <c r="R138" s="6" t="n"/>
      <c r="S138" s="3">
        <f>IF($L138="","",UPPER(SUBSTITUTE(SUBSTITUTE(SUBSTITUTE(SUBSTITUTE(SUBSTITUTE(SUBSTITUTE(SUBSTITUTE(SUBSTITUTE(SUBSTITUTE(SUBSTITUTE(SUBSTITUTE(SUBSTITUTE(SUBSTITUTE(SUBSTITUTE(SUBSTITUTE(SUBSTITUTE(SUBSTITUTE(SUBSTITUTE(TRIM($L138),"'",""),"İ","I"),"ı","I"),"i","I"),"Ş","S"),"ş","S"),"Ğ","G"),"ğ","G"),"Ü","U"),"ü","U"),"Ö","O"),"ö","O"),"Ç","C"),"ç","C"),".",""),",","")," ",""),"-","")))</f>
        <v/>
      </c>
      <c r="T138" s="3">
        <f>IF(OR($C138="",$D138&lt;&gt;"Gelir",$L138=""),"",IFERROR(INDEX(MUSTERILER!$B$7:$B$106,MATCH($S138,MUSTERILER!$T$7:$T$106,0)),""))</f>
        <v/>
      </c>
      <c r="U138" s="3">
        <f>IF($T138="","",$T138&amp;"|"&amp;COUNTIFS($T$7:$T138,$T138))</f>
        <v/>
      </c>
      <c r="V138" s="3">
        <f>IF($T138="",0,1)</f>
        <v/>
      </c>
      <c r="W138" s="3">
        <f>IF($C138="","",$D138&amp;"|"&amp;$E138&amp;"|"&amp;TEXT($C138,"0")&amp;"|"&amp;TEXT($G138,"0")&amp;"|"&amp;$J138)</f>
        <v/>
      </c>
      <c r="X138" s="3" t="n"/>
      <c r="Y138" s="3" t="n"/>
      <c r="Z138" s="3" t="n"/>
      <c r="AA138" s="3" t="n"/>
      <c r="AB138" s="3" t="n"/>
      <c r="AC138" s="3" t="n"/>
      <c r="AD138" s="3">
        <f>IF($C138="",0,SUMPRODUCT((AY_SONU!$O$7:$O$42="Evet")*(AY_SONU!$B$7:$B$42=DATE(YEAR($C138),MONTH($C138),1))))</f>
        <v/>
      </c>
    </row>
    <row r="139">
      <c r="A139" s="6" t="n"/>
      <c r="B139" s="113">
        <f>IF($C139="","","GG"&amp;TEXT(ROW()-6,"00000"))</f>
        <v/>
      </c>
      <c r="C139" s="220" t="n"/>
      <c r="D139" s="108" t="n"/>
      <c r="E139" s="109" t="n"/>
      <c r="F139" s="109" t="n"/>
      <c r="G139" s="221" t="n"/>
      <c r="H139" s="108" t="n"/>
      <c r="I139" s="108" t="n"/>
      <c r="J139" s="109" t="n"/>
      <c r="K139" s="109" t="n"/>
      <c r="L139" s="108" t="n"/>
      <c r="M139" s="121">
        <f>IF($C139="","",IF($D139="Gider",$E139,IF($L139&lt;&gt;"",$L139,$H139)))</f>
        <v/>
      </c>
      <c r="N139" s="121">
        <f>IF($C139="","",IF($D139="Gider",$H139,$E139))</f>
        <v/>
      </c>
      <c r="O139" s="226">
        <f>IF($C139="","",DATE(YEAR($C139),MONTH($C139),1))</f>
        <v/>
      </c>
      <c r="P139" s="113">
        <f>IF($C139="","",IF(AND($D139="Gelir",$L139&lt;&gt;"",$T139=""),"TANIMSIZ BORÇLU",IF($T139&lt;&gt;"",IF(OR($E139="",$G139&lt;=0),"EKSİK",IF($I139="Evet","TAHAKKUK NAKİT OLAMAZ",IF($C139&gt;TODAY(),"İLERİ TARİH","TAHAKKUK"))),IF(AND($D139&lt;&gt;"",$E139&lt;&gt;"",$G139&gt;0,$H139&lt;&gt;"",$I139&lt;&gt;""),IF($C139&gt;TODAY(),"İLERİ TARİH",IF(COUNTIF($W$7:$W$1206,$W139)&gt;1,"MÜKERRER?",IF($AD139&gt;0,"KAPALI DÖNEM",IF($I139="Hayır","ÖDENECEK","UYGUN")))),"EKSİK"))))</f>
        <v/>
      </c>
      <c r="Q139" s="6" t="n"/>
      <c r="R139" s="6" t="n"/>
      <c r="S139" s="3">
        <f>IF($L139="","",UPPER(SUBSTITUTE(SUBSTITUTE(SUBSTITUTE(SUBSTITUTE(SUBSTITUTE(SUBSTITUTE(SUBSTITUTE(SUBSTITUTE(SUBSTITUTE(SUBSTITUTE(SUBSTITUTE(SUBSTITUTE(SUBSTITUTE(SUBSTITUTE(SUBSTITUTE(SUBSTITUTE(SUBSTITUTE(SUBSTITUTE(TRIM($L139),"'",""),"İ","I"),"ı","I"),"i","I"),"Ş","S"),"ş","S"),"Ğ","G"),"ğ","G"),"Ü","U"),"ü","U"),"Ö","O"),"ö","O"),"Ç","C"),"ç","C"),".",""),",","")," ",""),"-","")))</f>
        <v/>
      </c>
      <c r="T139" s="3">
        <f>IF(OR($C139="",$D139&lt;&gt;"Gelir",$L139=""),"",IFERROR(INDEX(MUSTERILER!$B$7:$B$106,MATCH($S139,MUSTERILER!$T$7:$T$106,0)),""))</f>
        <v/>
      </c>
      <c r="U139" s="3">
        <f>IF($T139="","",$T139&amp;"|"&amp;COUNTIFS($T$7:$T139,$T139))</f>
        <v/>
      </c>
      <c r="V139" s="3">
        <f>IF($T139="",0,1)</f>
        <v/>
      </c>
      <c r="W139" s="3">
        <f>IF($C139="","",$D139&amp;"|"&amp;$E139&amp;"|"&amp;TEXT($C139,"0")&amp;"|"&amp;TEXT($G139,"0")&amp;"|"&amp;$J139)</f>
        <v/>
      </c>
      <c r="X139" s="3" t="n"/>
      <c r="Y139" s="3" t="n"/>
      <c r="Z139" s="3" t="n"/>
      <c r="AA139" s="3" t="n"/>
      <c r="AB139" s="3" t="n"/>
      <c r="AC139" s="3" t="n"/>
      <c r="AD139" s="3">
        <f>IF($C139="",0,SUMPRODUCT((AY_SONU!$O$7:$O$42="Evet")*(AY_SONU!$B$7:$B$42=DATE(YEAR($C139),MONTH($C139),1))))</f>
        <v/>
      </c>
    </row>
    <row r="140">
      <c r="A140" s="6" t="n"/>
      <c r="B140" s="113">
        <f>IF($C140="","","GG"&amp;TEXT(ROW()-6,"00000"))</f>
        <v/>
      </c>
      <c r="C140" s="220" t="n"/>
      <c r="D140" s="108" t="n"/>
      <c r="E140" s="109" t="n"/>
      <c r="F140" s="109" t="n"/>
      <c r="G140" s="221" t="n"/>
      <c r="H140" s="108" t="n"/>
      <c r="I140" s="108" t="n"/>
      <c r="J140" s="109" t="n"/>
      <c r="K140" s="109" t="n"/>
      <c r="L140" s="108" t="n"/>
      <c r="M140" s="121">
        <f>IF($C140="","",IF($D140="Gider",$E140,IF($L140&lt;&gt;"",$L140,$H140)))</f>
        <v/>
      </c>
      <c r="N140" s="121">
        <f>IF($C140="","",IF($D140="Gider",$H140,$E140))</f>
        <v/>
      </c>
      <c r="O140" s="226">
        <f>IF($C140="","",DATE(YEAR($C140),MONTH($C140),1))</f>
        <v/>
      </c>
      <c r="P140" s="113">
        <f>IF($C140="","",IF(AND($D140="Gelir",$L140&lt;&gt;"",$T140=""),"TANIMSIZ BORÇLU",IF($T140&lt;&gt;"",IF(OR($E140="",$G140&lt;=0),"EKSİK",IF($I140="Evet","TAHAKKUK NAKİT OLAMAZ",IF($C140&gt;TODAY(),"İLERİ TARİH","TAHAKKUK"))),IF(AND($D140&lt;&gt;"",$E140&lt;&gt;"",$G140&gt;0,$H140&lt;&gt;"",$I140&lt;&gt;""),IF($C140&gt;TODAY(),"İLERİ TARİH",IF(COUNTIF($W$7:$W$1206,$W140)&gt;1,"MÜKERRER?",IF($AD140&gt;0,"KAPALI DÖNEM",IF($I140="Hayır","ÖDENECEK","UYGUN")))),"EKSİK"))))</f>
        <v/>
      </c>
      <c r="Q140" s="6" t="n"/>
      <c r="R140" s="6" t="n"/>
      <c r="S140" s="3">
        <f>IF($L140="","",UPPER(SUBSTITUTE(SUBSTITUTE(SUBSTITUTE(SUBSTITUTE(SUBSTITUTE(SUBSTITUTE(SUBSTITUTE(SUBSTITUTE(SUBSTITUTE(SUBSTITUTE(SUBSTITUTE(SUBSTITUTE(SUBSTITUTE(SUBSTITUTE(SUBSTITUTE(SUBSTITUTE(SUBSTITUTE(SUBSTITUTE(TRIM($L140),"'",""),"İ","I"),"ı","I"),"i","I"),"Ş","S"),"ş","S"),"Ğ","G"),"ğ","G"),"Ü","U"),"ü","U"),"Ö","O"),"ö","O"),"Ç","C"),"ç","C"),".",""),",","")," ",""),"-","")))</f>
        <v/>
      </c>
      <c r="T140" s="3">
        <f>IF(OR($C140="",$D140&lt;&gt;"Gelir",$L140=""),"",IFERROR(INDEX(MUSTERILER!$B$7:$B$106,MATCH($S140,MUSTERILER!$T$7:$T$106,0)),""))</f>
        <v/>
      </c>
      <c r="U140" s="3">
        <f>IF($T140="","",$T140&amp;"|"&amp;COUNTIFS($T$7:$T140,$T140))</f>
        <v/>
      </c>
      <c r="V140" s="3">
        <f>IF($T140="",0,1)</f>
        <v/>
      </c>
      <c r="W140" s="3">
        <f>IF($C140="","",$D140&amp;"|"&amp;$E140&amp;"|"&amp;TEXT($C140,"0")&amp;"|"&amp;TEXT($G140,"0")&amp;"|"&amp;$J140)</f>
        <v/>
      </c>
      <c r="X140" s="3" t="n"/>
      <c r="Y140" s="3" t="n"/>
      <c r="Z140" s="3" t="n"/>
      <c r="AA140" s="3" t="n"/>
      <c r="AB140" s="3" t="n"/>
      <c r="AC140" s="3" t="n"/>
      <c r="AD140" s="3">
        <f>IF($C140="",0,SUMPRODUCT((AY_SONU!$O$7:$O$42="Evet")*(AY_SONU!$B$7:$B$42=DATE(YEAR($C140),MONTH($C140),1))))</f>
        <v/>
      </c>
    </row>
    <row r="141">
      <c r="A141" s="6" t="n"/>
      <c r="B141" s="113">
        <f>IF($C141="","","GG"&amp;TEXT(ROW()-6,"00000"))</f>
        <v/>
      </c>
      <c r="C141" s="220" t="n"/>
      <c r="D141" s="108" t="n"/>
      <c r="E141" s="109" t="n"/>
      <c r="F141" s="109" t="n"/>
      <c r="G141" s="221" t="n"/>
      <c r="H141" s="108" t="n"/>
      <c r="I141" s="108" t="n"/>
      <c r="J141" s="109" t="n"/>
      <c r="K141" s="109" t="n"/>
      <c r="L141" s="108" t="n"/>
      <c r="M141" s="121">
        <f>IF($C141="","",IF($D141="Gider",$E141,IF($L141&lt;&gt;"",$L141,$H141)))</f>
        <v/>
      </c>
      <c r="N141" s="121">
        <f>IF($C141="","",IF($D141="Gider",$H141,$E141))</f>
        <v/>
      </c>
      <c r="O141" s="226">
        <f>IF($C141="","",DATE(YEAR($C141),MONTH($C141),1))</f>
        <v/>
      </c>
      <c r="P141" s="113">
        <f>IF($C141="","",IF(AND($D141="Gelir",$L141&lt;&gt;"",$T141=""),"TANIMSIZ BORÇLU",IF($T141&lt;&gt;"",IF(OR($E141="",$G141&lt;=0),"EKSİK",IF($I141="Evet","TAHAKKUK NAKİT OLAMAZ",IF($C141&gt;TODAY(),"İLERİ TARİH","TAHAKKUK"))),IF(AND($D141&lt;&gt;"",$E141&lt;&gt;"",$G141&gt;0,$H141&lt;&gt;"",$I141&lt;&gt;""),IF($C141&gt;TODAY(),"İLERİ TARİH",IF(COUNTIF($W$7:$W$1206,$W141)&gt;1,"MÜKERRER?",IF($AD141&gt;0,"KAPALI DÖNEM",IF($I141="Hayır","ÖDENECEK","UYGUN")))),"EKSİK"))))</f>
        <v/>
      </c>
      <c r="Q141" s="6" t="n"/>
      <c r="R141" s="6" t="n"/>
      <c r="S141" s="3">
        <f>IF($L141="","",UPPER(SUBSTITUTE(SUBSTITUTE(SUBSTITUTE(SUBSTITUTE(SUBSTITUTE(SUBSTITUTE(SUBSTITUTE(SUBSTITUTE(SUBSTITUTE(SUBSTITUTE(SUBSTITUTE(SUBSTITUTE(SUBSTITUTE(SUBSTITUTE(SUBSTITUTE(SUBSTITUTE(SUBSTITUTE(SUBSTITUTE(TRIM($L141),"'",""),"İ","I"),"ı","I"),"i","I"),"Ş","S"),"ş","S"),"Ğ","G"),"ğ","G"),"Ü","U"),"ü","U"),"Ö","O"),"ö","O"),"Ç","C"),"ç","C"),".",""),",","")," ",""),"-","")))</f>
        <v/>
      </c>
      <c r="T141" s="3">
        <f>IF(OR($C141="",$D141&lt;&gt;"Gelir",$L141=""),"",IFERROR(INDEX(MUSTERILER!$B$7:$B$106,MATCH($S141,MUSTERILER!$T$7:$T$106,0)),""))</f>
        <v/>
      </c>
      <c r="U141" s="3">
        <f>IF($T141="","",$T141&amp;"|"&amp;COUNTIFS($T$7:$T141,$T141))</f>
        <v/>
      </c>
      <c r="V141" s="3">
        <f>IF($T141="",0,1)</f>
        <v/>
      </c>
      <c r="W141" s="3">
        <f>IF($C141="","",$D141&amp;"|"&amp;$E141&amp;"|"&amp;TEXT($C141,"0")&amp;"|"&amp;TEXT($G141,"0")&amp;"|"&amp;$J141)</f>
        <v/>
      </c>
      <c r="X141" s="3" t="n"/>
      <c r="Y141" s="3" t="n"/>
      <c r="Z141" s="3" t="n"/>
      <c r="AA141" s="3" t="n"/>
      <c r="AB141" s="3" t="n"/>
      <c r="AC141" s="3" t="n"/>
      <c r="AD141" s="3">
        <f>IF($C141="",0,SUMPRODUCT((AY_SONU!$O$7:$O$42="Evet")*(AY_SONU!$B$7:$B$42=DATE(YEAR($C141),MONTH($C141),1))))</f>
        <v/>
      </c>
    </row>
    <row r="142">
      <c r="A142" s="6" t="n"/>
      <c r="B142" s="113">
        <f>IF($C142="","","GG"&amp;TEXT(ROW()-6,"00000"))</f>
        <v/>
      </c>
      <c r="C142" s="220" t="n"/>
      <c r="D142" s="108" t="n"/>
      <c r="E142" s="109" t="n"/>
      <c r="F142" s="109" t="n"/>
      <c r="G142" s="221" t="n"/>
      <c r="H142" s="108" t="n"/>
      <c r="I142" s="108" t="n"/>
      <c r="J142" s="109" t="n"/>
      <c r="K142" s="109" t="n"/>
      <c r="L142" s="108" t="n"/>
      <c r="M142" s="121">
        <f>IF($C142="","",IF($D142="Gider",$E142,IF($L142&lt;&gt;"",$L142,$H142)))</f>
        <v/>
      </c>
      <c r="N142" s="121">
        <f>IF($C142="","",IF($D142="Gider",$H142,$E142))</f>
        <v/>
      </c>
      <c r="O142" s="226">
        <f>IF($C142="","",DATE(YEAR($C142),MONTH($C142),1))</f>
        <v/>
      </c>
      <c r="P142" s="113">
        <f>IF($C142="","",IF(AND($D142="Gelir",$L142&lt;&gt;"",$T142=""),"TANIMSIZ BORÇLU",IF($T142&lt;&gt;"",IF(OR($E142="",$G142&lt;=0),"EKSİK",IF($I142="Evet","TAHAKKUK NAKİT OLAMAZ",IF($C142&gt;TODAY(),"İLERİ TARİH","TAHAKKUK"))),IF(AND($D142&lt;&gt;"",$E142&lt;&gt;"",$G142&gt;0,$H142&lt;&gt;"",$I142&lt;&gt;""),IF($C142&gt;TODAY(),"İLERİ TARİH",IF(COUNTIF($W$7:$W$1206,$W142)&gt;1,"MÜKERRER?",IF($AD142&gt;0,"KAPALI DÖNEM",IF($I142="Hayır","ÖDENECEK","UYGUN")))),"EKSİK"))))</f>
        <v/>
      </c>
      <c r="Q142" s="6" t="n"/>
      <c r="R142" s="6" t="n"/>
      <c r="S142" s="3">
        <f>IF($L142="","",UPPER(SUBSTITUTE(SUBSTITUTE(SUBSTITUTE(SUBSTITUTE(SUBSTITUTE(SUBSTITUTE(SUBSTITUTE(SUBSTITUTE(SUBSTITUTE(SUBSTITUTE(SUBSTITUTE(SUBSTITUTE(SUBSTITUTE(SUBSTITUTE(SUBSTITUTE(SUBSTITUTE(SUBSTITUTE(SUBSTITUTE(TRIM($L142),"'",""),"İ","I"),"ı","I"),"i","I"),"Ş","S"),"ş","S"),"Ğ","G"),"ğ","G"),"Ü","U"),"ü","U"),"Ö","O"),"ö","O"),"Ç","C"),"ç","C"),".",""),",","")," ",""),"-","")))</f>
        <v/>
      </c>
      <c r="T142" s="3">
        <f>IF(OR($C142="",$D142&lt;&gt;"Gelir",$L142=""),"",IFERROR(INDEX(MUSTERILER!$B$7:$B$106,MATCH($S142,MUSTERILER!$T$7:$T$106,0)),""))</f>
        <v/>
      </c>
      <c r="U142" s="3">
        <f>IF($T142="","",$T142&amp;"|"&amp;COUNTIFS($T$7:$T142,$T142))</f>
        <v/>
      </c>
      <c r="V142" s="3">
        <f>IF($T142="",0,1)</f>
        <v/>
      </c>
      <c r="W142" s="3">
        <f>IF($C142="","",$D142&amp;"|"&amp;$E142&amp;"|"&amp;TEXT($C142,"0")&amp;"|"&amp;TEXT($G142,"0")&amp;"|"&amp;$J142)</f>
        <v/>
      </c>
      <c r="X142" s="3" t="n"/>
      <c r="Y142" s="3" t="n"/>
      <c r="Z142" s="3" t="n"/>
      <c r="AA142" s="3" t="n"/>
      <c r="AB142" s="3" t="n"/>
      <c r="AC142" s="3" t="n"/>
      <c r="AD142" s="3">
        <f>IF($C142="",0,SUMPRODUCT((AY_SONU!$O$7:$O$42="Evet")*(AY_SONU!$B$7:$B$42=DATE(YEAR($C142),MONTH($C142),1))))</f>
        <v/>
      </c>
    </row>
    <row r="143">
      <c r="A143" s="6" t="n"/>
      <c r="B143" s="113">
        <f>IF($C143="","","GG"&amp;TEXT(ROW()-6,"00000"))</f>
        <v/>
      </c>
      <c r="C143" s="220" t="n"/>
      <c r="D143" s="108" t="n"/>
      <c r="E143" s="109" t="n"/>
      <c r="F143" s="109" t="n"/>
      <c r="G143" s="221" t="n"/>
      <c r="H143" s="108" t="n"/>
      <c r="I143" s="108" t="n"/>
      <c r="J143" s="109" t="n"/>
      <c r="K143" s="109" t="n"/>
      <c r="L143" s="108" t="n"/>
      <c r="M143" s="121">
        <f>IF($C143="","",IF($D143="Gider",$E143,IF($L143&lt;&gt;"",$L143,$H143)))</f>
        <v/>
      </c>
      <c r="N143" s="121">
        <f>IF($C143="","",IF($D143="Gider",$H143,$E143))</f>
        <v/>
      </c>
      <c r="O143" s="226">
        <f>IF($C143="","",DATE(YEAR($C143),MONTH($C143),1))</f>
        <v/>
      </c>
      <c r="P143" s="113">
        <f>IF($C143="","",IF(AND($D143="Gelir",$L143&lt;&gt;"",$T143=""),"TANIMSIZ BORÇLU",IF($T143&lt;&gt;"",IF(OR($E143="",$G143&lt;=0),"EKSİK",IF($I143="Evet","TAHAKKUK NAKİT OLAMAZ",IF($C143&gt;TODAY(),"İLERİ TARİH","TAHAKKUK"))),IF(AND($D143&lt;&gt;"",$E143&lt;&gt;"",$G143&gt;0,$H143&lt;&gt;"",$I143&lt;&gt;""),IF($C143&gt;TODAY(),"İLERİ TARİH",IF(COUNTIF($W$7:$W$1206,$W143)&gt;1,"MÜKERRER?",IF($AD143&gt;0,"KAPALI DÖNEM",IF($I143="Hayır","ÖDENECEK","UYGUN")))),"EKSİK"))))</f>
        <v/>
      </c>
      <c r="Q143" s="6" t="n"/>
      <c r="R143" s="6" t="n"/>
      <c r="S143" s="3">
        <f>IF($L143="","",UPPER(SUBSTITUTE(SUBSTITUTE(SUBSTITUTE(SUBSTITUTE(SUBSTITUTE(SUBSTITUTE(SUBSTITUTE(SUBSTITUTE(SUBSTITUTE(SUBSTITUTE(SUBSTITUTE(SUBSTITUTE(SUBSTITUTE(SUBSTITUTE(SUBSTITUTE(SUBSTITUTE(SUBSTITUTE(SUBSTITUTE(TRIM($L143),"'",""),"İ","I"),"ı","I"),"i","I"),"Ş","S"),"ş","S"),"Ğ","G"),"ğ","G"),"Ü","U"),"ü","U"),"Ö","O"),"ö","O"),"Ç","C"),"ç","C"),".",""),",","")," ",""),"-","")))</f>
        <v/>
      </c>
      <c r="T143" s="3">
        <f>IF(OR($C143="",$D143&lt;&gt;"Gelir",$L143=""),"",IFERROR(INDEX(MUSTERILER!$B$7:$B$106,MATCH($S143,MUSTERILER!$T$7:$T$106,0)),""))</f>
        <v/>
      </c>
      <c r="U143" s="3">
        <f>IF($T143="","",$T143&amp;"|"&amp;COUNTIFS($T$7:$T143,$T143))</f>
        <v/>
      </c>
      <c r="V143" s="3">
        <f>IF($T143="",0,1)</f>
        <v/>
      </c>
      <c r="W143" s="3">
        <f>IF($C143="","",$D143&amp;"|"&amp;$E143&amp;"|"&amp;TEXT($C143,"0")&amp;"|"&amp;TEXT($G143,"0")&amp;"|"&amp;$J143)</f>
        <v/>
      </c>
      <c r="X143" s="3" t="n"/>
      <c r="Y143" s="3" t="n"/>
      <c r="Z143" s="3" t="n"/>
      <c r="AA143" s="3" t="n"/>
      <c r="AB143" s="3" t="n"/>
      <c r="AC143" s="3" t="n"/>
      <c r="AD143" s="3">
        <f>IF($C143="",0,SUMPRODUCT((AY_SONU!$O$7:$O$42="Evet")*(AY_SONU!$B$7:$B$42=DATE(YEAR($C143),MONTH($C143),1))))</f>
        <v/>
      </c>
    </row>
    <row r="144">
      <c r="A144" s="6" t="n"/>
      <c r="B144" s="113">
        <f>IF($C144="","","GG"&amp;TEXT(ROW()-6,"00000"))</f>
        <v/>
      </c>
      <c r="C144" s="220" t="n"/>
      <c r="D144" s="108" t="n"/>
      <c r="E144" s="109" t="n"/>
      <c r="F144" s="109" t="n"/>
      <c r="G144" s="221" t="n"/>
      <c r="H144" s="108" t="n"/>
      <c r="I144" s="108" t="n"/>
      <c r="J144" s="109" t="n"/>
      <c r="K144" s="109" t="n"/>
      <c r="L144" s="108" t="n"/>
      <c r="M144" s="121">
        <f>IF($C144="","",IF($D144="Gider",$E144,IF($L144&lt;&gt;"",$L144,$H144)))</f>
        <v/>
      </c>
      <c r="N144" s="121">
        <f>IF($C144="","",IF($D144="Gider",$H144,$E144))</f>
        <v/>
      </c>
      <c r="O144" s="226">
        <f>IF($C144="","",DATE(YEAR($C144),MONTH($C144),1))</f>
        <v/>
      </c>
      <c r="P144" s="113">
        <f>IF($C144="","",IF(AND($D144="Gelir",$L144&lt;&gt;"",$T144=""),"TANIMSIZ BORÇLU",IF($T144&lt;&gt;"",IF(OR($E144="",$G144&lt;=0),"EKSİK",IF($I144="Evet","TAHAKKUK NAKİT OLAMAZ",IF($C144&gt;TODAY(),"İLERİ TARİH","TAHAKKUK"))),IF(AND($D144&lt;&gt;"",$E144&lt;&gt;"",$G144&gt;0,$H144&lt;&gt;"",$I144&lt;&gt;""),IF($C144&gt;TODAY(),"İLERİ TARİH",IF(COUNTIF($W$7:$W$1206,$W144)&gt;1,"MÜKERRER?",IF($AD144&gt;0,"KAPALI DÖNEM",IF($I144="Hayır","ÖDENECEK","UYGUN")))),"EKSİK"))))</f>
        <v/>
      </c>
      <c r="Q144" s="6" t="n"/>
      <c r="R144" s="6" t="n"/>
      <c r="S144" s="3">
        <f>IF($L144="","",UPPER(SUBSTITUTE(SUBSTITUTE(SUBSTITUTE(SUBSTITUTE(SUBSTITUTE(SUBSTITUTE(SUBSTITUTE(SUBSTITUTE(SUBSTITUTE(SUBSTITUTE(SUBSTITUTE(SUBSTITUTE(SUBSTITUTE(SUBSTITUTE(SUBSTITUTE(SUBSTITUTE(SUBSTITUTE(SUBSTITUTE(TRIM($L144),"'",""),"İ","I"),"ı","I"),"i","I"),"Ş","S"),"ş","S"),"Ğ","G"),"ğ","G"),"Ü","U"),"ü","U"),"Ö","O"),"ö","O"),"Ç","C"),"ç","C"),".",""),",","")," ",""),"-","")))</f>
        <v/>
      </c>
      <c r="T144" s="3">
        <f>IF(OR($C144="",$D144&lt;&gt;"Gelir",$L144=""),"",IFERROR(INDEX(MUSTERILER!$B$7:$B$106,MATCH($S144,MUSTERILER!$T$7:$T$106,0)),""))</f>
        <v/>
      </c>
      <c r="U144" s="3">
        <f>IF($T144="","",$T144&amp;"|"&amp;COUNTIFS($T$7:$T144,$T144))</f>
        <v/>
      </c>
      <c r="V144" s="3">
        <f>IF($T144="",0,1)</f>
        <v/>
      </c>
      <c r="W144" s="3">
        <f>IF($C144="","",$D144&amp;"|"&amp;$E144&amp;"|"&amp;TEXT($C144,"0")&amp;"|"&amp;TEXT($G144,"0")&amp;"|"&amp;$J144)</f>
        <v/>
      </c>
      <c r="X144" s="3" t="n"/>
      <c r="Y144" s="3" t="n"/>
      <c r="Z144" s="3" t="n"/>
      <c r="AA144" s="3" t="n"/>
      <c r="AB144" s="3" t="n"/>
      <c r="AC144" s="3" t="n"/>
      <c r="AD144" s="3">
        <f>IF($C144="",0,SUMPRODUCT((AY_SONU!$O$7:$O$42="Evet")*(AY_SONU!$B$7:$B$42=DATE(YEAR($C144),MONTH($C144),1))))</f>
        <v/>
      </c>
    </row>
    <row r="145">
      <c r="A145" s="6" t="n"/>
      <c r="B145" s="113">
        <f>IF($C145="","","GG"&amp;TEXT(ROW()-6,"00000"))</f>
        <v/>
      </c>
      <c r="C145" s="220" t="n"/>
      <c r="D145" s="108" t="n"/>
      <c r="E145" s="109" t="n"/>
      <c r="F145" s="109" t="n"/>
      <c r="G145" s="221" t="n"/>
      <c r="H145" s="108" t="n"/>
      <c r="I145" s="108" t="n"/>
      <c r="J145" s="109" t="n"/>
      <c r="K145" s="109" t="n"/>
      <c r="L145" s="108" t="n"/>
      <c r="M145" s="121">
        <f>IF($C145="","",IF($D145="Gider",$E145,IF($L145&lt;&gt;"",$L145,$H145)))</f>
        <v/>
      </c>
      <c r="N145" s="121">
        <f>IF($C145="","",IF($D145="Gider",$H145,$E145))</f>
        <v/>
      </c>
      <c r="O145" s="226">
        <f>IF($C145="","",DATE(YEAR($C145),MONTH($C145),1))</f>
        <v/>
      </c>
      <c r="P145" s="113">
        <f>IF($C145="","",IF(AND($D145="Gelir",$L145&lt;&gt;"",$T145=""),"TANIMSIZ BORÇLU",IF($T145&lt;&gt;"",IF(OR($E145="",$G145&lt;=0),"EKSİK",IF($I145="Evet","TAHAKKUK NAKİT OLAMAZ",IF($C145&gt;TODAY(),"İLERİ TARİH","TAHAKKUK"))),IF(AND($D145&lt;&gt;"",$E145&lt;&gt;"",$G145&gt;0,$H145&lt;&gt;"",$I145&lt;&gt;""),IF($C145&gt;TODAY(),"İLERİ TARİH",IF(COUNTIF($W$7:$W$1206,$W145)&gt;1,"MÜKERRER?",IF($AD145&gt;0,"KAPALI DÖNEM",IF($I145="Hayır","ÖDENECEK","UYGUN")))),"EKSİK"))))</f>
        <v/>
      </c>
      <c r="Q145" s="6" t="n"/>
      <c r="R145" s="6" t="n"/>
      <c r="S145" s="3">
        <f>IF($L145="","",UPPER(SUBSTITUTE(SUBSTITUTE(SUBSTITUTE(SUBSTITUTE(SUBSTITUTE(SUBSTITUTE(SUBSTITUTE(SUBSTITUTE(SUBSTITUTE(SUBSTITUTE(SUBSTITUTE(SUBSTITUTE(SUBSTITUTE(SUBSTITUTE(SUBSTITUTE(SUBSTITUTE(SUBSTITUTE(SUBSTITUTE(TRIM($L145),"'",""),"İ","I"),"ı","I"),"i","I"),"Ş","S"),"ş","S"),"Ğ","G"),"ğ","G"),"Ü","U"),"ü","U"),"Ö","O"),"ö","O"),"Ç","C"),"ç","C"),".",""),",","")," ",""),"-","")))</f>
        <v/>
      </c>
      <c r="T145" s="3">
        <f>IF(OR($C145="",$D145&lt;&gt;"Gelir",$L145=""),"",IFERROR(INDEX(MUSTERILER!$B$7:$B$106,MATCH($S145,MUSTERILER!$T$7:$T$106,0)),""))</f>
        <v/>
      </c>
      <c r="U145" s="3">
        <f>IF($T145="","",$T145&amp;"|"&amp;COUNTIFS($T$7:$T145,$T145))</f>
        <v/>
      </c>
      <c r="V145" s="3">
        <f>IF($T145="",0,1)</f>
        <v/>
      </c>
      <c r="W145" s="3">
        <f>IF($C145="","",$D145&amp;"|"&amp;$E145&amp;"|"&amp;TEXT($C145,"0")&amp;"|"&amp;TEXT($G145,"0")&amp;"|"&amp;$J145)</f>
        <v/>
      </c>
      <c r="X145" s="3" t="n"/>
      <c r="Y145" s="3" t="n"/>
      <c r="Z145" s="3" t="n"/>
      <c r="AA145" s="3" t="n"/>
      <c r="AB145" s="3" t="n"/>
      <c r="AC145" s="3" t="n"/>
      <c r="AD145" s="3">
        <f>IF($C145="",0,SUMPRODUCT((AY_SONU!$O$7:$O$42="Evet")*(AY_SONU!$B$7:$B$42=DATE(YEAR($C145),MONTH($C145),1))))</f>
        <v/>
      </c>
    </row>
    <row r="146">
      <c r="A146" s="6" t="n"/>
      <c r="B146" s="113">
        <f>IF($C146="","","GG"&amp;TEXT(ROW()-6,"00000"))</f>
        <v/>
      </c>
      <c r="C146" s="220" t="n"/>
      <c r="D146" s="108" t="n"/>
      <c r="E146" s="109" t="n"/>
      <c r="F146" s="109" t="n"/>
      <c r="G146" s="221" t="n"/>
      <c r="H146" s="108" t="n"/>
      <c r="I146" s="108" t="n"/>
      <c r="J146" s="109" t="n"/>
      <c r="K146" s="109" t="n"/>
      <c r="L146" s="108" t="n"/>
      <c r="M146" s="121">
        <f>IF($C146="","",IF($D146="Gider",$E146,IF($L146&lt;&gt;"",$L146,$H146)))</f>
        <v/>
      </c>
      <c r="N146" s="121">
        <f>IF($C146="","",IF($D146="Gider",$H146,$E146))</f>
        <v/>
      </c>
      <c r="O146" s="226">
        <f>IF($C146="","",DATE(YEAR($C146),MONTH($C146),1))</f>
        <v/>
      </c>
      <c r="P146" s="113">
        <f>IF($C146="","",IF(AND($D146="Gelir",$L146&lt;&gt;"",$T146=""),"TANIMSIZ BORÇLU",IF($T146&lt;&gt;"",IF(OR($E146="",$G146&lt;=0),"EKSİK",IF($I146="Evet","TAHAKKUK NAKİT OLAMAZ",IF($C146&gt;TODAY(),"İLERİ TARİH","TAHAKKUK"))),IF(AND($D146&lt;&gt;"",$E146&lt;&gt;"",$G146&gt;0,$H146&lt;&gt;"",$I146&lt;&gt;""),IF($C146&gt;TODAY(),"İLERİ TARİH",IF(COUNTIF($W$7:$W$1206,$W146)&gt;1,"MÜKERRER?",IF($AD146&gt;0,"KAPALI DÖNEM",IF($I146="Hayır","ÖDENECEK","UYGUN")))),"EKSİK"))))</f>
        <v/>
      </c>
      <c r="Q146" s="6" t="n"/>
      <c r="R146" s="6" t="n"/>
      <c r="S146" s="3">
        <f>IF($L146="","",UPPER(SUBSTITUTE(SUBSTITUTE(SUBSTITUTE(SUBSTITUTE(SUBSTITUTE(SUBSTITUTE(SUBSTITUTE(SUBSTITUTE(SUBSTITUTE(SUBSTITUTE(SUBSTITUTE(SUBSTITUTE(SUBSTITUTE(SUBSTITUTE(SUBSTITUTE(SUBSTITUTE(SUBSTITUTE(SUBSTITUTE(TRIM($L146),"'",""),"İ","I"),"ı","I"),"i","I"),"Ş","S"),"ş","S"),"Ğ","G"),"ğ","G"),"Ü","U"),"ü","U"),"Ö","O"),"ö","O"),"Ç","C"),"ç","C"),".",""),",","")," ",""),"-","")))</f>
        <v/>
      </c>
      <c r="T146" s="3">
        <f>IF(OR($C146="",$D146&lt;&gt;"Gelir",$L146=""),"",IFERROR(INDEX(MUSTERILER!$B$7:$B$106,MATCH($S146,MUSTERILER!$T$7:$T$106,0)),""))</f>
        <v/>
      </c>
      <c r="U146" s="3">
        <f>IF($T146="","",$T146&amp;"|"&amp;COUNTIFS($T$7:$T146,$T146))</f>
        <v/>
      </c>
      <c r="V146" s="3">
        <f>IF($T146="",0,1)</f>
        <v/>
      </c>
      <c r="W146" s="3">
        <f>IF($C146="","",$D146&amp;"|"&amp;$E146&amp;"|"&amp;TEXT($C146,"0")&amp;"|"&amp;TEXT($G146,"0")&amp;"|"&amp;$J146)</f>
        <v/>
      </c>
      <c r="X146" s="3" t="n"/>
      <c r="Y146" s="3" t="n"/>
      <c r="Z146" s="3" t="n"/>
      <c r="AA146" s="3" t="n"/>
      <c r="AB146" s="3" t="n"/>
      <c r="AC146" s="3" t="n"/>
      <c r="AD146" s="3">
        <f>IF($C146="",0,SUMPRODUCT((AY_SONU!$O$7:$O$42="Evet")*(AY_SONU!$B$7:$B$42=DATE(YEAR($C146),MONTH($C146),1))))</f>
        <v/>
      </c>
    </row>
    <row r="147">
      <c r="A147" s="6" t="n"/>
      <c r="B147" s="113">
        <f>IF($C147="","","GG"&amp;TEXT(ROW()-6,"00000"))</f>
        <v/>
      </c>
      <c r="C147" s="220" t="n"/>
      <c r="D147" s="108" t="n"/>
      <c r="E147" s="109" t="n"/>
      <c r="F147" s="109" t="n"/>
      <c r="G147" s="221" t="n"/>
      <c r="H147" s="108" t="n"/>
      <c r="I147" s="108" t="n"/>
      <c r="J147" s="109" t="n"/>
      <c r="K147" s="109" t="n"/>
      <c r="L147" s="108" t="n"/>
      <c r="M147" s="121">
        <f>IF($C147="","",IF($D147="Gider",$E147,IF($L147&lt;&gt;"",$L147,$H147)))</f>
        <v/>
      </c>
      <c r="N147" s="121">
        <f>IF($C147="","",IF($D147="Gider",$H147,$E147))</f>
        <v/>
      </c>
      <c r="O147" s="226">
        <f>IF($C147="","",DATE(YEAR($C147),MONTH($C147),1))</f>
        <v/>
      </c>
      <c r="P147" s="113">
        <f>IF($C147="","",IF(AND($D147="Gelir",$L147&lt;&gt;"",$T147=""),"TANIMSIZ BORÇLU",IF($T147&lt;&gt;"",IF(OR($E147="",$G147&lt;=0),"EKSİK",IF($I147="Evet","TAHAKKUK NAKİT OLAMAZ",IF($C147&gt;TODAY(),"İLERİ TARİH","TAHAKKUK"))),IF(AND($D147&lt;&gt;"",$E147&lt;&gt;"",$G147&gt;0,$H147&lt;&gt;"",$I147&lt;&gt;""),IF($C147&gt;TODAY(),"İLERİ TARİH",IF(COUNTIF($W$7:$W$1206,$W147)&gt;1,"MÜKERRER?",IF($AD147&gt;0,"KAPALI DÖNEM",IF($I147="Hayır","ÖDENECEK","UYGUN")))),"EKSİK"))))</f>
        <v/>
      </c>
      <c r="Q147" s="6" t="n"/>
      <c r="R147" s="6" t="n"/>
      <c r="S147" s="3">
        <f>IF($L147="","",UPPER(SUBSTITUTE(SUBSTITUTE(SUBSTITUTE(SUBSTITUTE(SUBSTITUTE(SUBSTITUTE(SUBSTITUTE(SUBSTITUTE(SUBSTITUTE(SUBSTITUTE(SUBSTITUTE(SUBSTITUTE(SUBSTITUTE(SUBSTITUTE(SUBSTITUTE(SUBSTITUTE(SUBSTITUTE(SUBSTITUTE(TRIM($L147),"'",""),"İ","I"),"ı","I"),"i","I"),"Ş","S"),"ş","S"),"Ğ","G"),"ğ","G"),"Ü","U"),"ü","U"),"Ö","O"),"ö","O"),"Ç","C"),"ç","C"),".",""),",","")," ",""),"-","")))</f>
        <v/>
      </c>
      <c r="T147" s="3">
        <f>IF(OR($C147="",$D147&lt;&gt;"Gelir",$L147=""),"",IFERROR(INDEX(MUSTERILER!$B$7:$B$106,MATCH($S147,MUSTERILER!$T$7:$T$106,0)),""))</f>
        <v/>
      </c>
      <c r="U147" s="3">
        <f>IF($T147="","",$T147&amp;"|"&amp;COUNTIFS($T$7:$T147,$T147))</f>
        <v/>
      </c>
      <c r="V147" s="3">
        <f>IF($T147="",0,1)</f>
        <v/>
      </c>
      <c r="W147" s="3">
        <f>IF($C147="","",$D147&amp;"|"&amp;$E147&amp;"|"&amp;TEXT($C147,"0")&amp;"|"&amp;TEXT($G147,"0")&amp;"|"&amp;$J147)</f>
        <v/>
      </c>
      <c r="X147" s="3" t="n"/>
      <c r="Y147" s="3" t="n"/>
      <c r="Z147" s="3" t="n"/>
      <c r="AA147" s="3" t="n"/>
      <c r="AB147" s="3" t="n"/>
      <c r="AC147" s="3" t="n"/>
      <c r="AD147" s="3">
        <f>IF($C147="",0,SUMPRODUCT((AY_SONU!$O$7:$O$42="Evet")*(AY_SONU!$B$7:$B$42=DATE(YEAR($C147),MONTH($C147),1))))</f>
        <v/>
      </c>
    </row>
    <row r="148">
      <c r="A148" s="6" t="n"/>
      <c r="B148" s="113">
        <f>IF($C148="","","GG"&amp;TEXT(ROW()-6,"00000"))</f>
        <v/>
      </c>
      <c r="C148" s="220" t="n"/>
      <c r="D148" s="108" t="n"/>
      <c r="E148" s="109" t="n"/>
      <c r="F148" s="109" t="n"/>
      <c r="G148" s="221" t="n"/>
      <c r="H148" s="108" t="n"/>
      <c r="I148" s="108" t="n"/>
      <c r="J148" s="109" t="n"/>
      <c r="K148" s="109" t="n"/>
      <c r="L148" s="108" t="n"/>
      <c r="M148" s="121">
        <f>IF($C148="","",IF($D148="Gider",$E148,IF($L148&lt;&gt;"",$L148,$H148)))</f>
        <v/>
      </c>
      <c r="N148" s="121">
        <f>IF($C148="","",IF($D148="Gider",$H148,$E148))</f>
        <v/>
      </c>
      <c r="O148" s="226">
        <f>IF($C148="","",DATE(YEAR($C148),MONTH($C148),1))</f>
        <v/>
      </c>
      <c r="P148" s="113">
        <f>IF($C148="","",IF(AND($D148="Gelir",$L148&lt;&gt;"",$T148=""),"TANIMSIZ BORÇLU",IF($T148&lt;&gt;"",IF(OR($E148="",$G148&lt;=0),"EKSİK",IF($I148="Evet","TAHAKKUK NAKİT OLAMAZ",IF($C148&gt;TODAY(),"İLERİ TARİH","TAHAKKUK"))),IF(AND($D148&lt;&gt;"",$E148&lt;&gt;"",$G148&gt;0,$H148&lt;&gt;"",$I148&lt;&gt;""),IF($C148&gt;TODAY(),"İLERİ TARİH",IF(COUNTIF($W$7:$W$1206,$W148)&gt;1,"MÜKERRER?",IF($AD148&gt;0,"KAPALI DÖNEM",IF($I148="Hayır","ÖDENECEK","UYGUN")))),"EKSİK"))))</f>
        <v/>
      </c>
      <c r="Q148" s="6" t="n"/>
      <c r="R148" s="6" t="n"/>
      <c r="S148" s="3">
        <f>IF($L148="","",UPPER(SUBSTITUTE(SUBSTITUTE(SUBSTITUTE(SUBSTITUTE(SUBSTITUTE(SUBSTITUTE(SUBSTITUTE(SUBSTITUTE(SUBSTITUTE(SUBSTITUTE(SUBSTITUTE(SUBSTITUTE(SUBSTITUTE(SUBSTITUTE(SUBSTITUTE(SUBSTITUTE(SUBSTITUTE(SUBSTITUTE(TRIM($L148),"'",""),"İ","I"),"ı","I"),"i","I"),"Ş","S"),"ş","S"),"Ğ","G"),"ğ","G"),"Ü","U"),"ü","U"),"Ö","O"),"ö","O"),"Ç","C"),"ç","C"),".",""),",","")," ",""),"-","")))</f>
        <v/>
      </c>
      <c r="T148" s="3">
        <f>IF(OR($C148="",$D148&lt;&gt;"Gelir",$L148=""),"",IFERROR(INDEX(MUSTERILER!$B$7:$B$106,MATCH($S148,MUSTERILER!$T$7:$T$106,0)),""))</f>
        <v/>
      </c>
      <c r="U148" s="3">
        <f>IF($T148="","",$T148&amp;"|"&amp;COUNTIFS($T$7:$T148,$T148))</f>
        <v/>
      </c>
      <c r="V148" s="3">
        <f>IF($T148="",0,1)</f>
        <v/>
      </c>
      <c r="W148" s="3">
        <f>IF($C148="","",$D148&amp;"|"&amp;$E148&amp;"|"&amp;TEXT($C148,"0")&amp;"|"&amp;TEXT($G148,"0")&amp;"|"&amp;$J148)</f>
        <v/>
      </c>
      <c r="X148" s="3" t="n"/>
      <c r="Y148" s="3" t="n"/>
      <c r="Z148" s="3" t="n"/>
      <c r="AA148" s="3" t="n"/>
      <c r="AB148" s="3" t="n"/>
      <c r="AC148" s="3" t="n"/>
      <c r="AD148" s="3">
        <f>IF($C148="",0,SUMPRODUCT((AY_SONU!$O$7:$O$42="Evet")*(AY_SONU!$B$7:$B$42=DATE(YEAR($C148),MONTH($C148),1))))</f>
        <v/>
      </c>
    </row>
    <row r="149">
      <c r="A149" s="6" t="n"/>
      <c r="B149" s="113">
        <f>IF($C149="","","GG"&amp;TEXT(ROW()-6,"00000"))</f>
        <v/>
      </c>
      <c r="C149" s="220" t="n"/>
      <c r="D149" s="108" t="n"/>
      <c r="E149" s="109" t="n"/>
      <c r="F149" s="109" t="n"/>
      <c r="G149" s="221" t="n"/>
      <c r="H149" s="108" t="n"/>
      <c r="I149" s="108" t="n"/>
      <c r="J149" s="109" t="n"/>
      <c r="K149" s="109" t="n"/>
      <c r="L149" s="108" t="n"/>
      <c r="M149" s="121">
        <f>IF($C149="","",IF($D149="Gider",$E149,IF($L149&lt;&gt;"",$L149,$H149)))</f>
        <v/>
      </c>
      <c r="N149" s="121">
        <f>IF($C149="","",IF($D149="Gider",$H149,$E149))</f>
        <v/>
      </c>
      <c r="O149" s="226">
        <f>IF($C149="","",DATE(YEAR($C149),MONTH($C149),1))</f>
        <v/>
      </c>
      <c r="P149" s="113">
        <f>IF($C149="","",IF(AND($D149="Gelir",$L149&lt;&gt;"",$T149=""),"TANIMSIZ BORÇLU",IF($T149&lt;&gt;"",IF(OR($E149="",$G149&lt;=0),"EKSİK",IF($I149="Evet","TAHAKKUK NAKİT OLAMAZ",IF($C149&gt;TODAY(),"İLERİ TARİH","TAHAKKUK"))),IF(AND($D149&lt;&gt;"",$E149&lt;&gt;"",$G149&gt;0,$H149&lt;&gt;"",$I149&lt;&gt;""),IF($C149&gt;TODAY(),"İLERİ TARİH",IF(COUNTIF($W$7:$W$1206,$W149)&gt;1,"MÜKERRER?",IF($AD149&gt;0,"KAPALI DÖNEM",IF($I149="Hayır","ÖDENECEK","UYGUN")))),"EKSİK"))))</f>
        <v/>
      </c>
      <c r="Q149" s="6" t="n"/>
      <c r="R149" s="6" t="n"/>
      <c r="S149" s="3">
        <f>IF($L149="","",UPPER(SUBSTITUTE(SUBSTITUTE(SUBSTITUTE(SUBSTITUTE(SUBSTITUTE(SUBSTITUTE(SUBSTITUTE(SUBSTITUTE(SUBSTITUTE(SUBSTITUTE(SUBSTITUTE(SUBSTITUTE(SUBSTITUTE(SUBSTITUTE(SUBSTITUTE(SUBSTITUTE(SUBSTITUTE(SUBSTITUTE(TRIM($L149),"'",""),"İ","I"),"ı","I"),"i","I"),"Ş","S"),"ş","S"),"Ğ","G"),"ğ","G"),"Ü","U"),"ü","U"),"Ö","O"),"ö","O"),"Ç","C"),"ç","C"),".",""),",","")," ",""),"-","")))</f>
        <v/>
      </c>
      <c r="T149" s="3">
        <f>IF(OR($C149="",$D149&lt;&gt;"Gelir",$L149=""),"",IFERROR(INDEX(MUSTERILER!$B$7:$B$106,MATCH($S149,MUSTERILER!$T$7:$T$106,0)),""))</f>
        <v/>
      </c>
      <c r="U149" s="3">
        <f>IF($T149="","",$T149&amp;"|"&amp;COUNTIFS($T$7:$T149,$T149))</f>
        <v/>
      </c>
      <c r="V149" s="3">
        <f>IF($T149="",0,1)</f>
        <v/>
      </c>
      <c r="W149" s="3">
        <f>IF($C149="","",$D149&amp;"|"&amp;$E149&amp;"|"&amp;TEXT($C149,"0")&amp;"|"&amp;TEXT($G149,"0")&amp;"|"&amp;$J149)</f>
        <v/>
      </c>
      <c r="X149" s="3" t="n"/>
      <c r="Y149" s="3" t="n"/>
      <c r="Z149" s="3" t="n"/>
      <c r="AA149" s="3" t="n"/>
      <c r="AB149" s="3" t="n"/>
      <c r="AC149" s="3" t="n"/>
      <c r="AD149" s="3">
        <f>IF($C149="",0,SUMPRODUCT((AY_SONU!$O$7:$O$42="Evet")*(AY_SONU!$B$7:$B$42=DATE(YEAR($C149),MONTH($C149),1))))</f>
        <v/>
      </c>
    </row>
    <row r="150">
      <c r="A150" s="6" t="n"/>
      <c r="B150" s="113">
        <f>IF($C150="","","GG"&amp;TEXT(ROW()-6,"00000"))</f>
        <v/>
      </c>
      <c r="C150" s="220" t="n"/>
      <c r="D150" s="108" t="n"/>
      <c r="E150" s="109" t="n"/>
      <c r="F150" s="109" t="n"/>
      <c r="G150" s="221" t="n"/>
      <c r="H150" s="108" t="n"/>
      <c r="I150" s="108" t="n"/>
      <c r="J150" s="109" t="n"/>
      <c r="K150" s="109" t="n"/>
      <c r="L150" s="108" t="n"/>
      <c r="M150" s="121">
        <f>IF($C150="","",IF($D150="Gider",$E150,IF($L150&lt;&gt;"",$L150,$H150)))</f>
        <v/>
      </c>
      <c r="N150" s="121">
        <f>IF($C150="","",IF($D150="Gider",$H150,$E150))</f>
        <v/>
      </c>
      <c r="O150" s="226">
        <f>IF($C150="","",DATE(YEAR($C150),MONTH($C150),1))</f>
        <v/>
      </c>
      <c r="P150" s="113">
        <f>IF($C150="","",IF(AND($D150="Gelir",$L150&lt;&gt;"",$T150=""),"TANIMSIZ BORÇLU",IF($T150&lt;&gt;"",IF(OR($E150="",$G150&lt;=0),"EKSİK",IF($I150="Evet","TAHAKKUK NAKİT OLAMAZ",IF($C150&gt;TODAY(),"İLERİ TARİH","TAHAKKUK"))),IF(AND($D150&lt;&gt;"",$E150&lt;&gt;"",$G150&gt;0,$H150&lt;&gt;"",$I150&lt;&gt;""),IF($C150&gt;TODAY(),"İLERİ TARİH",IF(COUNTIF($W$7:$W$1206,$W150)&gt;1,"MÜKERRER?",IF($AD150&gt;0,"KAPALI DÖNEM",IF($I150="Hayır","ÖDENECEK","UYGUN")))),"EKSİK"))))</f>
        <v/>
      </c>
      <c r="Q150" s="6" t="n"/>
      <c r="R150" s="6" t="n"/>
      <c r="S150" s="3">
        <f>IF($L150="","",UPPER(SUBSTITUTE(SUBSTITUTE(SUBSTITUTE(SUBSTITUTE(SUBSTITUTE(SUBSTITUTE(SUBSTITUTE(SUBSTITUTE(SUBSTITUTE(SUBSTITUTE(SUBSTITUTE(SUBSTITUTE(SUBSTITUTE(SUBSTITUTE(SUBSTITUTE(SUBSTITUTE(SUBSTITUTE(SUBSTITUTE(TRIM($L150),"'",""),"İ","I"),"ı","I"),"i","I"),"Ş","S"),"ş","S"),"Ğ","G"),"ğ","G"),"Ü","U"),"ü","U"),"Ö","O"),"ö","O"),"Ç","C"),"ç","C"),".",""),",","")," ",""),"-","")))</f>
        <v/>
      </c>
      <c r="T150" s="3">
        <f>IF(OR($C150="",$D150&lt;&gt;"Gelir",$L150=""),"",IFERROR(INDEX(MUSTERILER!$B$7:$B$106,MATCH($S150,MUSTERILER!$T$7:$T$106,0)),""))</f>
        <v/>
      </c>
      <c r="U150" s="3">
        <f>IF($T150="","",$T150&amp;"|"&amp;COUNTIFS($T$7:$T150,$T150))</f>
        <v/>
      </c>
      <c r="V150" s="3">
        <f>IF($T150="",0,1)</f>
        <v/>
      </c>
      <c r="W150" s="3">
        <f>IF($C150="","",$D150&amp;"|"&amp;$E150&amp;"|"&amp;TEXT($C150,"0")&amp;"|"&amp;TEXT($G150,"0")&amp;"|"&amp;$J150)</f>
        <v/>
      </c>
      <c r="X150" s="3" t="n"/>
      <c r="Y150" s="3" t="n"/>
      <c r="Z150" s="3" t="n"/>
      <c r="AA150" s="3" t="n"/>
      <c r="AB150" s="3" t="n"/>
      <c r="AC150" s="3" t="n"/>
      <c r="AD150" s="3">
        <f>IF($C150="",0,SUMPRODUCT((AY_SONU!$O$7:$O$42="Evet")*(AY_SONU!$B$7:$B$42=DATE(YEAR($C150),MONTH($C150),1))))</f>
        <v/>
      </c>
    </row>
    <row r="151">
      <c r="A151" s="6" t="n"/>
      <c r="B151" s="113">
        <f>IF($C151="","","GG"&amp;TEXT(ROW()-6,"00000"))</f>
        <v/>
      </c>
      <c r="C151" s="220" t="n"/>
      <c r="D151" s="108" t="n"/>
      <c r="E151" s="109" t="n"/>
      <c r="F151" s="109" t="n"/>
      <c r="G151" s="221" t="n"/>
      <c r="H151" s="108" t="n"/>
      <c r="I151" s="108" t="n"/>
      <c r="J151" s="109" t="n"/>
      <c r="K151" s="109" t="n"/>
      <c r="L151" s="108" t="n"/>
      <c r="M151" s="121">
        <f>IF($C151="","",IF($D151="Gider",$E151,IF($L151&lt;&gt;"",$L151,$H151)))</f>
        <v/>
      </c>
      <c r="N151" s="121">
        <f>IF($C151="","",IF($D151="Gider",$H151,$E151))</f>
        <v/>
      </c>
      <c r="O151" s="226">
        <f>IF($C151="","",DATE(YEAR($C151),MONTH($C151),1))</f>
        <v/>
      </c>
      <c r="P151" s="113">
        <f>IF($C151="","",IF(AND($D151="Gelir",$L151&lt;&gt;"",$T151=""),"TANIMSIZ BORÇLU",IF($T151&lt;&gt;"",IF(OR($E151="",$G151&lt;=0),"EKSİK",IF($I151="Evet","TAHAKKUK NAKİT OLAMAZ",IF($C151&gt;TODAY(),"İLERİ TARİH","TAHAKKUK"))),IF(AND($D151&lt;&gt;"",$E151&lt;&gt;"",$G151&gt;0,$H151&lt;&gt;"",$I151&lt;&gt;""),IF($C151&gt;TODAY(),"İLERİ TARİH",IF(COUNTIF($W$7:$W$1206,$W151)&gt;1,"MÜKERRER?",IF($AD151&gt;0,"KAPALI DÖNEM",IF($I151="Hayır","ÖDENECEK","UYGUN")))),"EKSİK"))))</f>
        <v/>
      </c>
      <c r="Q151" s="6" t="n"/>
      <c r="R151" s="6" t="n"/>
      <c r="S151" s="3">
        <f>IF($L151="","",UPPER(SUBSTITUTE(SUBSTITUTE(SUBSTITUTE(SUBSTITUTE(SUBSTITUTE(SUBSTITUTE(SUBSTITUTE(SUBSTITUTE(SUBSTITUTE(SUBSTITUTE(SUBSTITUTE(SUBSTITUTE(SUBSTITUTE(SUBSTITUTE(SUBSTITUTE(SUBSTITUTE(SUBSTITUTE(SUBSTITUTE(TRIM($L151),"'",""),"İ","I"),"ı","I"),"i","I"),"Ş","S"),"ş","S"),"Ğ","G"),"ğ","G"),"Ü","U"),"ü","U"),"Ö","O"),"ö","O"),"Ç","C"),"ç","C"),".",""),",","")," ",""),"-","")))</f>
        <v/>
      </c>
      <c r="T151" s="3">
        <f>IF(OR($C151="",$D151&lt;&gt;"Gelir",$L151=""),"",IFERROR(INDEX(MUSTERILER!$B$7:$B$106,MATCH($S151,MUSTERILER!$T$7:$T$106,0)),""))</f>
        <v/>
      </c>
      <c r="U151" s="3">
        <f>IF($T151="","",$T151&amp;"|"&amp;COUNTIFS($T$7:$T151,$T151))</f>
        <v/>
      </c>
      <c r="V151" s="3">
        <f>IF($T151="",0,1)</f>
        <v/>
      </c>
      <c r="W151" s="3">
        <f>IF($C151="","",$D151&amp;"|"&amp;$E151&amp;"|"&amp;TEXT($C151,"0")&amp;"|"&amp;TEXT($G151,"0")&amp;"|"&amp;$J151)</f>
        <v/>
      </c>
      <c r="X151" s="3" t="n"/>
      <c r="Y151" s="3" t="n"/>
      <c r="Z151" s="3" t="n"/>
      <c r="AA151" s="3" t="n"/>
      <c r="AB151" s="3" t="n"/>
      <c r="AC151" s="3" t="n"/>
      <c r="AD151" s="3">
        <f>IF($C151="",0,SUMPRODUCT((AY_SONU!$O$7:$O$42="Evet")*(AY_SONU!$B$7:$B$42=DATE(YEAR($C151),MONTH($C151),1))))</f>
        <v/>
      </c>
    </row>
    <row r="152">
      <c r="A152" s="6" t="n"/>
      <c r="B152" s="113">
        <f>IF($C152="","","GG"&amp;TEXT(ROW()-6,"00000"))</f>
        <v/>
      </c>
      <c r="C152" s="220" t="n"/>
      <c r="D152" s="108" t="n"/>
      <c r="E152" s="109" t="n"/>
      <c r="F152" s="109" t="n"/>
      <c r="G152" s="221" t="n"/>
      <c r="H152" s="108" t="n"/>
      <c r="I152" s="108" t="n"/>
      <c r="J152" s="109" t="n"/>
      <c r="K152" s="109" t="n"/>
      <c r="L152" s="108" t="n"/>
      <c r="M152" s="121">
        <f>IF($C152="","",IF($D152="Gider",$E152,IF($L152&lt;&gt;"",$L152,$H152)))</f>
        <v/>
      </c>
      <c r="N152" s="121">
        <f>IF($C152="","",IF($D152="Gider",$H152,$E152))</f>
        <v/>
      </c>
      <c r="O152" s="226">
        <f>IF($C152="","",DATE(YEAR($C152),MONTH($C152),1))</f>
        <v/>
      </c>
      <c r="P152" s="113">
        <f>IF($C152="","",IF(AND($D152="Gelir",$L152&lt;&gt;"",$T152=""),"TANIMSIZ BORÇLU",IF($T152&lt;&gt;"",IF(OR($E152="",$G152&lt;=0),"EKSİK",IF($I152="Evet","TAHAKKUK NAKİT OLAMAZ",IF($C152&gt;TODAY(),"İLERİ TARİH","TAHAKKUK"))),IF(AND($D152&lt;&gt;"",$E152&lt;&gt;"",$G152&gt;0,$H152&lt;&gt;"",$I152&lt;&gt;""),IF($C152&gt;TODAY(),"İLERİ TARİH",IF(COUNTIF($W$7:$W$1206,$W152)&gt;1,"MÜKERRER?",IF($AD152&gt;0,"KAPALI DÖNEM",IF($I152="Hayır","ÖDENECEK","UYGUN")))),"EKSİK"))))</f>
        <v/>
      </c>
      <c r="Q152" s="6" t="n"/>
      <c r="R152" s="6" t="n"/>
      <c r="S152" s="3">
        <f>IF($L152="","",UPPER(SUBSTITUTE(SUBSTITUTE(SUBSTITUTE(SUBSTITUTE(SUBSTITUTE(SUBSTITUTE(SUBSTITUTE(SUBSTITUTE(SUBSTITUTE(SUBSTITUTE(SUBSTITUTE(SUBSTITUTE(SUBSTITUTE(SUBSTITUTE(SUBSTITUTE(SUBSTITUTE(SUBSTITUTE(SUBSTITUTE(TRIM($L152),"'",""),"İ","I"),"ı","I"),"i","I"),"Ş","S"),"ş","S"),"Ğ","G"),"ğ","G"),"Ü","U"),"ü","U"),"Ö","O"),"ö","O"),"Ç","C"),"ç","C"),".",""),",","")," ",""),"-","")))</f>
        <v/>
      </c>
      <c r="T152" s="3">
        <f>IF(OR($C152="",$D152&lt;&gt;"Gelir",$L152=""),"",IFERROR(INDEX(MUSTERILER!$B$7:$B$106,MATCH($S152,MUSTERILER!$T$7:$T$106,0)),""))</f>
        <v/>
      </c>
      <c r="U152" s="3">
        <f>IF($T152="","",$T152&amp;"|"&amp;COUNTIFS($T$7:$T152,$T152))</f>
        <v/>
      </c>
      <c r="V152" s="3">
        <f>IF($T152="",0,1)</f>
        <v/>
      </c>
      <c r="W152" s="3">
        <f>IF($C152="","",$D152&amp;"|"&amp;$E152&amp;"|"&amp;TEXT($C152,"0")&amp;"|"&amp;TEXT($G152,"0")&amp;"|"&amp;$J152)</f>
        <v/>
      </c>
      <c r="X152" s="3" t="n"/>
      <c r="Y152" s="3" t="n"/>
      <c r="Z152" s="3" t="n"/>
      <c r="AA152" s="3" t="n"/>
      <c r="AB152" s="3" t="n"/>
      <c r="AC152" s="3" t="n"/>
      <c r="AD152" s="3">
        <f>IF($C152="",0,SUMPRODUCT((AY_SONU!$O$7:$O$42="Evet")*(AY_SONU!$B$7:$B$42=DATE(YEAR($C152),MONTH($C152),1))))</f>
        <v/>
      </c>
    </row>
    <row r="153">
      <c r="A153" s="6" t="n"/>
      <c r="B153" s="113">
        <f>IF($C153="","","GG"&amp;TEXT(ROW()-6,"00000"))</f>
        <v/>
      </c>
      <c r="C153" s="220" t="n"/>
      <c r="D153" s="108" t="n"/>
      <c r="E153" s="109" t="n"/>
      <c r="F153" s="109" t="n"/>
      <c r="G153" s="221" t="n"/>
      <c r="H153" s="108" t="n"/>
      <c r="I153" s="108" t="n"/>
      <c r="J153" s="109" t="n"/>
      <c r="K153" s="109" t="n"/>
      <c r="L153" s="108" t="n"/>
      <c r="M153" s="121">
        <f>IF($C153="","",IF($D153="Gider",$E153,IF($L153&lt;&gt;"",$L153,$H153)))</f>
        <v/>
      </c>
      <c r="N153" s="121">
        <f>IF($C153="","",IF($D153="Gider",$H153,$E153))</f>
        <v/>
      </c>
      <c r="O153" s="226">
        <f>IF($C153="","",DATE(YEAR($C153),MONTH($C153),1))</f>
        <v/>
      </c>
      <c r="P153" s="113">
        <f>IF($C153="","",IF(AND($D153="Gelir",$L153&lt;&gt;"",$T153=""),"TANIMSIZ BORÇLU",IF($T153&lt;&gt;"",IF(OR($E153="",$G153&lt;=0),"EKSİK",IF($I153="Evet","TAHAKKUK NAKİT OLAMAZ",IF($C153&gt;TODAY(),"İLERİ TARİH","TAHAKKUK"))),IF(AND($D153&lt;&gt;"",$E153&lt;&gt;"",$G153&gt;0,$H153&lt;&gt;"",$I153&lt;&gt;""),IF($C153&gt;TODAY(),"İLERİ TARİH",IF(COUNTIF($W$7:$W$1206,$W153)&gt;1,"MÜKERRER?",IF($AD153&gt;0,"KAPALI DÖNEM",IF($I153="Hayır","ÖDENECEK","UYGUN")))),"EKSİK"))))</f>
        <v/>
      </c>
      <c r="Q153" s="6" t="n"/>
      <c r="R153" s="6" t="n"/>
      <c r="S153" s="3">
        <f>IF($L153="","",UPPER(SUBSTITUTE(SUBSTITUTE(SUBSTITUTE(SUBSTITUTE(SUBSTITUTE(SUBSTITUTE(SUBSTITUTE(SUBSTITUTE(SUBSTITUTE(SUBSTITUTE(SUBSTITUTE(SUBSTITUTE(SUBSTITUTE(SUBSTITUTE(SUBSTITUTE(SUBSTITUTE(SUBSTITUTE(SUBSTITUTE(TRIM($L153),"'",""),"İ","I"),"ı","I"),"i","I"),"Ş","S"),"ş","S"),"Ğ","G"),"ğ","G"),"Ü","U"),"ü","U"),"Ö","O"),"ö","O"),"Ç","C"),"ç","C"),".",""),",","")," ",""),"-","")))</f>
        <v/>
      </c>
      <c r="T153" s="3">
        <f>IF(OR($C153="",$D153&lt;&gt;"Gelir",$L153=""),"",IFERROR(INDEX(MUSTERILER!$B$7:$B$106,MATCH($S153,MUSTERILER!$T$7:$T$106,0)),""))</f>
        <v/>
      </c>
      <c r="U153" s="3">
        <f>IF($T153="","",$T153&amp;"|"&amp;COUNTIFS($T$7:$T153,$T153))</f>
        <v/>
      </c>
      <c r="V153" s="3">
        <f>IF($T153="",0,1)</f>
        <v/>
      </c>
      <c r="W153" s="3">
        <f>IF($C153="","",$D153&amp;"|"&amp;$E153&amp;"|"&amp;TEXT($C153,"0")&amp;"|"&amp;TEXT($G153,"0")&amp;"|"&amp;$J153)</f>
        <v/>
      </c>
      <c r="X153" s="3" t="n"/>
      <c r="Y153" s="3" t="n"/>
      <c r="Z153" s="3" t="n"/>
      <c r="AA153" s="3" t="n"/>
      <c r="AB153" s="3" t="n"/>
      <c r="AC153" s="3" t="n"/>
      <c r="AD153" s="3">
        <f>IF($C153="",0,SUMPRODUCT((AY_SONU!$O$7:$O$42="Evet")*(AY_SONU!$B$7:$B$42=DATE(YEAR($C153),MONTH($C153),1))))</f>
        <v/>
      </c>
    </row>
    <row r="154">
      <c r="A154" s="6" t="n"/>
      <c r="B154" s="113">
        <f>IF($C154="","","GG"&amp;TEXT(ROW()-6,"00000"))</f>
        <v/>
      </c>
      <c r="C154" s="220" t="n"/>
      <c r="D154" s="108" t="n"/>
      <c r="E154" s="109" t="n"/>
      <c r="F154" s="109" t="n"/>
      <c r="G154" s="221" t="n"/>
      <c r="H154" s="108" t="n"/>
      <c r="I154" s="108" t="n"/>
      <c r="J154" s="109" t="n"/>
      <c r="K154" s="109" t="n"/>
      <c r="L154" s="108" t="n"/>
      <c r="M154" s="121">
        <f>IF($C154="","",IF($D154="Gider",$E154,IF($L154&lt;&gt;"",$L154,$H154)))</f>
        <v/>
      </c>
      <c r="N154" s="121">
        <f>IF($C154="","",IF($D154="Gider",$H154,$E154))</f>
        <v/>
      </c>
      <c r="O154" s="226">
        <f>IF($C154="","",DATE(YEAR($C154),MONTH($C154),1))</f>
        <v/>
      </c>
      <c r="P154" s="113">
        <f>IF($C154="","",IF(AND($D154="Gelir",$L154&lt;&gt;"",$T154=""),"TANIMSIZ BORÇLU",IF($T154&lt;&gt;"",IF(OR($E154="",$G154&lt;=0),"EKSİK",IF($I154="Evet","TAHAKKUK NAKİT OLAMAZ",IF($C154&gt;TODAY(),"İLERİ TARİH","TAHAKKUK"))),IF(AND($D154&lt;&gt;"",$E154&lt;&gt;"",$G154&gt;0,$H154&lt;&gt;"",$I154&lt;&gt;""),IF($C154&gt;TODAY(),"İLERİ TARİH",IF(COUNTIF($W$7:$W$1206,$W154)&gt;1,"MÜKERRER?",IF($AD154&gt;0,"KAPALI DÖNEM",IF($I154="Hayır","ÖDENECEK","UYGUN")))),"EKSİK"))))</f>
        <v/>
      </c>
      <c r="Q154" s="6" t="n"/>
      <c r="R154" s="6" t="n"/>
      <c r="S154" s="3">
        <f>IF($L154="","",UPPER(SUBSTITUTE(SUBSTITUTE(SUBSTITUTE(SUBSTITUTE(SUBSTITUTE(SUBSTITUTE(SUBSTITUTE(SUBSTITUTE(SUBSTITUTE(SUBSTITUTE(SUBSTITUTE(SUBSTITUTE(SUBSTITUTE(SUBSTITUTE(SUBSTITUTE(SUBSTITUTE(SUBSTITUTE(SUBSTITUTE(TRIM($L154),"'",""),"İ","I"),"ı","I"),"i","I"),"Ş","S"),"ş","S"),"Ğ","G"),"ğ","G"),"Ü","U"),"ü","U"),"Ö","O"),"ö","O"),"Ç","C"),"ç","C"),".",""),",","")," ",""),"-","")))</f>
        <v/>
      </c>
      <c r="T154" s="3">
        <f>IF(OR($C154="",$D154&lt;&gt;"Gelir",$L154=""),"",IFERROR(INDEX(MUSTERILER!$B$7:$B$106,MATCH($S154,MUSTERILER!$T$7:$T$106,0)),""))</f>
        <v/>
      </c>
      <c r="U154" s="3">
        <f>IF($T154="","",$T154&amp;"|"&amp;COUNTIFS($T$7:$T154,$T154))</f>
        <v/>
      </c>
      <c r="V154" s="3">
        <f>IF($T154="",0,1)</f>
        <v/>
      </c>
      <c r="W154" s="3">
        <f>IF($C154="","",$D154&amp;"|"&amp;$E154&amp;"|"&amp;TEXT($C154,"0")&amp;"|"&amp;TEXT($G154,"0")&amp;"|"&amp;$J154)</f>
        <v/>
      </c>
      <c r="X154" s="3" t="n"/>
      <c r="Y154" s="3" t="n"/>
      <c r="Z154" s="3" t="n"/>
      <c r="AA154" s="3" t="n"/>
      <c r="AB154" s="3" t="n"/>
      <c r="AC154" s="3" t="n"/>
      <c r="AD154" s="3">
        <f>IF($C154="",0,SUMPRODUCT((AY_SONU!$O$7:$O$42="Evet")*(AY_SONU!$B$7:$B$42=DATE(YEAR($C154),MONTH($C154),1))))</f>
        <v/>
      </c>
    </row>
    <row r="155">
      <c r="A155" s="6" t="n"/>
      <c r="B155" s="113">
        <f>IF($C155="","","GG"&amp;TEXT(ROW()-6,"00000"))</f>
        <v/>
      </c>
      <c r="C155" s="220" t="n"/>
      <c r="D155" s="108" t="n"/>
      <c r="E155" s="109" t="n"/>
      <c r="F155" s="109" t="n"/>
      <c r="G155" s="221" t="n"/>
      <c r="H155" s="108" t="n"/>
      <c r="I155" s="108" t="n"/>
      <c r="J155" s="109" t="n"/>
      <c r="K155" s="109" t="n"/>
      <c r="L155" s="108" t="n"/>
      <c r="M155" s="121">
        <f>IF($C155="","",IF($D155="Gider",$E155,IF($L155&lt;&gt;"",$L155,$H155)))</f>
        <v/>
      </c>
      <c r="N155" s="121">
        <f>IF($C155="","",IF($D155="Gider",$H155,$E155))</f>
        <v/>
      </c>
      <c r="O155" s="226">
        <f>IF($C155="","",DATE(YEAR($C155),MONTH($C155),1))</f>
        <v/>
      </c>
      <c r="P155" s="113">
        <f>IF($C155="","",IF(AND($D155="Gelir",$L155&lt;&gt;"",$T155=""),"TANIMSIZ BORÇLU",IF($T155&lt;&gt;"",IF(OR($E155="",$G155&lt;=0),"EKSİK",IF($I155="Evet","TAHAKKUK NAKİT OLAMAZ",IF($C155&gt;TODAY(),"İLERİ TARİH","TAHAKKUK"))),IF(AND($D155&lt;&gt;"",$E155&lt;&gt;"",$G155&gt;0,$H155&lt;&gt;"",$I155&lt;&gt;""),IF($C155&gt;TODAY(),"İLERİ TARİH",IF(COUNTIF($W$7:$W$1206,$W155)&gt;1,"MÜKERRER?",IF($AD155&gt;0,"KAPALI DÖNEM",IF($I155="Hayır","ÖDENECEK","UYGUN")))),"EKSİK"))))</f>
        <v/>
      </c>
      <c r="Q155" s="6" t="n"/>
      <c r="R155" s="6" t="n"/>
      <c r="S155" s="3">
        <f>IF($L155="","",UPPER(SUBSTITUTE(SUBSTITUTE(SUBSTITUTE(SUBSTITUTE(SUBSTITUTE(SUBSTITUTE(SUBSTITUTE(SUBSTITUTE(SUBSTITUTE(SUBSTITUTE(SUBSTITUTE(SUBSTITUTE(SUBSTITUTE(SUBSTITUTE(SUBSTITUTE(SUBSTITUTE(SUBSTITUTE(SUBSTITUTE(TRIM($L155),"'",""),"İ","I"),"ı","I"),"i","I"),"Ş","S"),"ş","S"),"Ğ","G"),"ğ","G"),"Ü","U"),"ü","U"),"Ö","O"),"ö","O"),"Ç","C"),"ç","C"),".",""),",","")," ",""),"-","")))</f>
        <v/>
      </c>
      <c r="T155" s="3">
        <f>IF(OR($C155="",$D155&lt;&gt;"Gelir",$L155=""),"",IFERROR(INDEX(MUSTERILER!$B$7:$B$106,MATCH($S155,MUSTERILER!$T$7:$T$106,0)),""))</f>
        <v/>
      </c>
      <c r="U155" s="3">
        <f>IF($T155="","",$T155&amp;"|"&amp;COUNTIFS($T$7:$T155,$T155))</f>
        <v/>
      </c>
      <c r="V155" s="3">
        <f>IF($T155="",0,1)</f>
        <v/>
      </c>
      <c r="W155" s="3">
        <f>IF($C155="","",$D155&amp;"|"&amp;$E155&amp;"|"&amp;TEXT($C155,"0")&amp;"|"&amp;TEXT($G155,"0")&amp;"|"&amp;$J155)</f>
        <v/>
      </c>
      <c r="X155" s="3" t="n"/>
      <c r="Y155" s="3" t="n"/>
      <c r="Z155" s="3" t="n"/>
      <c r="AA155" s="3" t="n"/>
      <c r="AB155" s="3" t="n"/>
      <c r="AC155" s="3" t="n"/>
      <c r="AD155" s="3">
        <f>IF($C155="",0,SUMPRODUCT((AY_SONU!$O$7:$O$42="Evet")*(AY_SONU!$B$7:$B$42=DATE(YEAR($C155),MONTH($C155),1))))</f>
        <v/>
      </c>
    </row>
    <row r="156">
      <c r="A156" s="6" t="n"/>
      <c r="B156" s="113">
        <f>IF($C156="","","GG"&amp;TEXT(ROW()-6,"00000"))</f>
        <v/>
      </c>
      <c r="C156" s="220" t="n"/>
      <c r="D156" s="108" t="n"/>
      <c r="E156" s="109" t="n"/>
      <c r="F156" s="109" t="n"/>
      <c r="G156" s="221" t="n"/>
      <c r="H156" s="108" t="n"/>
      <c r="I156" s="108" t="n"/>
      <c r="J156" s="109" t="n"/>
      <c r="K156" s="109" t="n"/>
      <c r="L156" s="108" t="n"/>
      <c r="M156" s="121">
        <f>IF($C156="","",IF($D156="Gider",$E156,IF($L156&lt;&gt;"",$L156,$H156)))</f>
        <v/>
      </c>
      <c r="N156" s="121">
        <f>IF($C156="","",IF($D156="Gider",$H156,$E156))</f>
        <v/>
      </c>
      <c r="O156" s="226">
        <f>IF($C156="","",DATE(YEAR($C156),MONTH($C156),1))</f>
        <v/>
      </c>
      <c r="P156" s="113">
        <f>IF($C156="","",IF(AND($D156="Gelir",$L156&lt;&gt;"",$T156=""),"TANIMSIZ BORÇLU",IF($T156&lt;&gt;"",IF(OR($E156="",$G156&lt;=0),"EKSİK",IF($I156="Evet","TAHAKKUK NAKİT OLAMAZ",IF($C156&gt;TODAY(),"İLERİ TARİH","TAHAKKUK"))),IF(AND($D156&lt;&gt;"",$E156&lt;&gt;"",$G156&gt;0,$H156&lt;&gt;"",$I156&lt;&gt;""),IF($C156&gt;TODAY(),"İLERİ TARİH",IF(COUNTIF($W$7:$W$1206,$W156)&gt;1,"MÜKERRER?",IF($AD156&gt;0,"KAPALI DÖNEM",IF($I156="Hayır","ÖDENECEK","UYGUN")))),"EKSİK"))))</f>
        <v/>
      </c>
      <c r="Q156" s="6" t="n"/>
      <c r="R156" s="6" t="n"/>
      <c r="S156" s="3">
        <f>IF($L156="","",UPPER(SUBSTITUTE(SUBSTITUTE(SUBSTITUTE(SUBSTITUTE(SUBSTITUTE(SUBSTITUTE(SUBSTITUTE(SUBSTITUTE(SUBSTITUTE(SUBSTITUTE(SUBSTITUTE(SUBSTITUTE(SUBSTITUTE(SUBSTITUTE(SUBSTITUTE(SUBSTITUTE(SUBSTITUTE(SUBSTITUTE(TRIM($L156),"'",""),"İ","I"),"ı","I"),"i","I"),"Ş","S"),"ş","S"),"Ğ","G"),"ğ","G"),"Ü","U"),"ü","U"),"Ö","O"),"ö","O"),"Ç","C"),"ç","C"),".",""),",","")," ",""),"-","")))</f>
        <v/>
      </c>
      <c r="T156" s="3">
        <f>IF(OR($C156="",$D156&lt;&gt;"Gelir",$L156=""),"",IFERROR(INDEX(MUSTERILER!$B$7:$B$106,MATCH($S156,MUSTERILER!$T$7:$T$106,0)),""))</f>
        <v/>
      </c>
      <c r="U156" s="3">
        <f>IF($T156="","",$T156&amp;"|"&amp;COUNTIFS($T$7:$T156,$T156))</f>
        <v/>
      </c>
      <c r="V156" s="3">
        <f>IF($T156="",0,1)</f>
        <v/>
      </c>
      <c r="W156" s="3">
        <f>IF($C156="","",$D156&amp;"|"&amp;$E156&amp;"|"&amp;TEXT($C156,"0")&amp;"|"&amp;TEXT($G156,"0")&amp;"|"&amp;$J156)</f>
        <v/>
      </c>
      <c r="X156" s="3" t="n"/>
      <c r="Y156" s="3" t="n"/>
      <c r="Z156" s="3" t="n"/>
      <c r="AA156" s="3" t="n"/>
      <c r="AB156" s="3" t="n"/>
      <c r="AC156" s="3" t="n"/>
      <c r="AD156" s="3">
        <f>IF($C156="",0,SUMPRODUCT((AY_SONU!$O$7:$O$42="Evet")*(AY_SONU!$B$7:$B$42=DATE(YEAR($C156),MONTH($C156),1))))</f>
        <v/>
      </c>
    </row>
    <row r="157">
      <c r="A157" s="6" t="n"/>
      <c r="B157" s="113">
        <f>IF($C157="","","GG"&amp;TEXT(ROW()-6,"00000"))</f>
        <v/>
      </c>
      <c r="C157" s="220" t="n"/>
      <c r="D157" s="108" t="n"/>
      <c r="E157" s="109" t="n"/>
      <c r="F157" s="109" t="n"/>
      <c r="G157" s="221" t="n"/>
      <c r="H157" s="108" t="n"/>
      <c r="I157" s="108" t="n"/>
      <c r="J157" s="109" t="n"/>
      <c r="K157" s="109" t="n"/>
      <c r="L157" s="108" t="n"/>
      <c r="M157" s="121">
        <f>IF($C157="","",IF($D157="Gider",$E157,IF($L157&lt;&gt;"",$L157,$H157)))</f>
        <v/>
      </c>
      <c r="N157" s="121">
        <f>IF($C157="","",IF($D157="Gider",$H157,$E157))</f>
        <v/>
      </c>
      <c r="O157" s="226">
        <f>IF($C157="","",DATE(YEAR($C157),MONTH($C157),1))</f>
        <v/>
      </c>
      <c r="P157" s="113">
        <f>IF($C157="","",IF(AND($D157="Gelir",$L157&lt;&gt;"",$T157=""),"TANIMSIZ BORÇLU",IF($T157&lt;&gt;"",IF(OR($E157="",$G157&lt;=0),"EKSİK",IF($I157="Evet","TAHAKKUK NAKİT OLAMAZ",IF($C157&gt;TODAY(),"İLERİ TARİH","TAHAKKUK"))),IF(AND($D157&lt;&gt;"",$E157&lt;&gt;"",$G157&gt;0,$H157&lt;&gt;"",$I157&lt;&gt;""),IF($C157&gt;TODAY(),"İLERİ TARİH",IF(COUNTIF($W$7:$W$1206,$W157)&gt;1,"MÜKERRER?",IF($AD157&gt;0,"KAPALI DÖNEM",IF($I157="Hayır","ÖDENECEK","UYGUN")))),"EKSİK"))))</f>
        <v/>
      </c>
      <c r="Q157" s="6" t="n"/>
      <c r="R157" s="6" t="n"/>
      <c r="S157" s="3">
        <f>IF($L157="","",UPPER(SUBSTITUTE(SUBSTITUTE(SUBSTITUTE(SUBSTITUTE(SUBSTITUTE(SUBSTITUTE(SUBSTITUTE(SUBSTITUTE(SUBSTITUTE(SUBSTITUTE(SUBSTITUTE(SUBSTITUTE(SUBSTITUTE(SUBSTITUTE(SUBSTITUTE(SUBSTITUTE(SUBSTITUTE(SUBSTITUTE(TRIM($L157),"'",""),"İ","I"),"ı","I"),"i","I"),"Ş","S"),"ş","S"),"Ğ","G"),"ğ","G"),"Ü","U"),"ü","U"),"Ö","O"),"ö","O"),"Ç","C"),"ç","C"),".",""),",","")," ",""),"-","")))</f>
        <v/>
      </c>
      <c r="T157" s="3">
        <f>IF(OR($C157="",$D157&lt;&gt;"Gelir",$L157=""),"",IFERROR(INDEX(MUSTERILER!$B$7:$B$106,MATCH($S157,MUSTERILER!$T$7:$T$106,0)),""))</f>
        <v/>
      </c>
      <c r="U157" s="3">
        <f>IF($T157="","",$T157&amp;"|"&amp;COUNTIFS($T$7:$T157,$T157))</f>
        <v/>
      </c>
      <c r="V157" s="3">
        <f>IF($T157="",0,1)</f>
        <v/>
      </c>
      <c r="W157" s="3">
        <f>IF($C157="","",$D157&amp;"|"&amp;$E157&amp;"|"&amp;TEXT($C157,"0")&amp;"|"&amp;TEXT($G157,"0")&amp;"|"&amp;$J157)</f>
        <v/>
      </c>
      <c r="X157" s="3" t="n"/>
      <c r="Y157" s="3" t="n"/>
      <c r="Z157" s="3" t="n"/>
      <c r="AA157" s="3" t="n"/>
      <c r="AB157" s="3" t="n"/>
      <c r="AC157" s="3" t="n"/>
      <c r="AD157" s="3">
        <f>IF($C157="",0,SUMPRODUCT((AY_SONU!$O$7:$O$42="Evet")*(AY_SONU!$B$7:$B$42=DATE(YEAR($C157),MONTH($C157),1))))</f>
        <v/>
      </c>
    </row>
    <row r="158">
      <c r="A158" s="6" t="n"/>
      <c r="B158" s="113">
        <f>IF($C158="","","GG"&amp;TEXT(ROW()-6,"00000"))</f>
        <v/>
      </c>
      <c r="C158" s="220" t="n"/>
      <c r="D158" s="108" t="n"/>
      <c r="E158" s="109" t="n"/>
      <c r="F158" s="109" t="n"/>
      <c r="G158" s="221" t="n"/>
      <c r="H158" s="108" t="n"/>
      <c r="I158" s="108" t="n"/>
      <c r="J158" s="109" t="n"/>
      <c r="K158" s="109" t="n"/>
      <c r="L158" s="108" t="n"/>
      <c r="M158" s="121">
        <f>IF($C158="","",IF($D158="Gider",$E158,IF($L158&lt;&gt;"",$L158,$H158)))</f>
        <v/>
      </c>
      <c r="N158" s="121">
        <f>IF($C158="","",IF($D158="Gider",$H158,$E158))</f>
        <v/>
      </c>
      <c r="O158" s="226">
        <f>IF($C158="","",DATE(YEAR($C158),MONTH($C158),1))</f>
        <v/>
      </c>
      <c r="P158" s="113">
        <f>IF($C158="","",IF(AND($D158="Gelir",$L158&lt;&gt;"",$T158=""),"TANIMSIZ BORÇLU",IF($T158&lt;&gt;"",IF(OR($E158="",$G158&lt;=0),"EKSİK",IF($I158="Evet","TAHAKKUK NAKİT OLAMAZ",IF($C158&gt;TODAY(),"İLERİ TARİH","TAHAKKUK"))),IF(AND($D158&lt;&gt;"",$E158&lt;&gt;"",$G158&gt;0,$H158&lt;&gt;"",$I158&lt;&gt;""),IF($C158&gt;TODAY(),"İLERİ TARİH",IF(COUNTIF($W$7:$W$1206,$W158)&gt;1,"MÜKERRER?",IF($AD158&gt;0,"KAPALI DÖNEM",IF($I158="Hayır","ÖDENECEK","UYGUN")))),"EKSİK"))))</f>
        <v/>
      </c>
      <c r="Q158" s="6" t="n"/>
      <c r="R158" s="6" t="n"/>
      <c r="S158" s="3">
        <f>IF($L158="","",UPPER(SUBSTITUTE(SUBSTITUTE(SUBSTITUTE(SUBSTITUTE(SUBSTITUTE(SUBSTITUTE(SUBSTITUTE(SUBSTITUTE(SUBSTITUTE(SUBSTITUTE(SUBSTITUTE(SUBSTITUTE(SUBSTITUTE(SUBSTITUTE(SUBSTITUTE(SUBSTITUTE(SUBSTITUTE(SUBSTITUTE(TRIM($L158),"'",""),"İ","I"),"ı","I"),"i","I"),"Ş","S"),"ş","S"),"Ğ","G"),"ğ","G"),"Ü","U"),"ü","U"),"Ö","O"),"ö","O"),"Ç","C"),"ç","C"),".",""),",","")," ",""),"-","")))</f>
        <v/>
      </c>
      <c r="T158" s="3">
        <f>IF(OR($C158="",$D158&lt;&gt;"Gelir",$L158=""),"",IFERROR(INDEX(MUSTERILER!$B$7:$B$106,MATCH($S158,MUSTERILER!$T$7:$T$106,0)),""))</f>
        <v/>
      </c>
      <c r="U158" s="3">
        <f>IF($T158="","",$T158&amp;"|"&amp;COUNTIFS($T$7:$T158,$T158))</f>
        <v/>
      </c>
      <c r="V158" s="3">
        <f>IF($T158="",0,1)</f>
        <v/>
      </c>
      <c r="W158" s="3">
        <f>IF($C158="","",$D158&amp;"|"&amp;$E158&amp;"|"&amp;TEXT($C158,"0")&amp;"|"&amp;TEXT($G158,"0")&amp;"|"&amp;$J158)</f>
        <v/>
      </c>
      <c r="X158" s="3" t="n"/>
      <c r="Y158" s="3" t="n"/>
      <c r="Z158" s="3" t="n"/>
      <c r="AA158" s="3" t="n"/>
      <c r="AB158" s="3" t="n"/>
      <c r="AC158" s="3" t="n"/>
      <c r="AD158" s="3">
        <f>IF($C158="",0,SUMPRODUCT((AY_SONU!$O$7:$O$42="Evet")*(AY_SONU!$B$7:$B$42=DATE(YEAR($C158),MONTH($C158),1))))</f>
        <v/>
      </c>
    </row>
    <row r="159">
      <c r="A159" s="6" t="n"/>
      <c r="B159" s="113">
        <f>IF($C159="","","GG"&amp;TEXT(ROW()-6,"00000"))</f>
        <v/>
      </c>
      <c r="C159" s="220" t="n"/>
      <c r="D159" s="108" t="n"/>
      <c r="E159" s="109" t="n"/>
      <c r="F159" s="109" t="n"/>
      <c r="G159" s="221" t="n"/>
      <c r="H159" s="108" t="n"/>
      <c r="I159" s="108" t="n"/>
      <c r="J159" s="109" t="n"/>
      <c r="K159" s="109" t="n"/>
      <c r="L159" s="108" t="n"/>
      <c r="M159" s="121">
        <f>IF($C159="","",IF($D159="Gider",$E159,IF($L159&lt;&gt;"",$L159,$H159)))</f>
        <v/>
      </c>
      <c r="N159" s="121">
        <f>IF($C159="","",IF($D159="Gider",$H159,$E159))</f>
        <v/>
      </c>
      <c r="O159" s="226">
        <f>IF($C159="","",DATE(YEAR($C159),MONTH($C159),1))</f>
        <v/>
      </c>
      <c r="P159" s="113">
        <f>IF($C159="","",IF(AND($D159="Gelir",$L159&lt;&gt;"",$T159=""),"TANIMSIZ BORÇLU",IF($T159&lt;&gt;"",IF(OR($E159="",$G159&lt;=0),"EKSİK",IF($I159="Evet","TAHAKKUK NAKİT OLAMAZ",IF($C159&gt;TODAY(),"İLERİ TARİH","TAHAKKUK"))),IF(AND($D159&lt;&gt;"",$E159&lt;&gt;"",$G159&gt;0,$H159&lt;&gt;"",$I159&lt;&gt;""),IF($C159&gt;TODAY(),"İLERİ TARİH",IF(COUNTIF($W$7:$W$1206,$W159)&gt;1,"MÜKERRER?",IF($AD159&gt;0,"KAPALI DÖNEM",IF($I159="Hayır","ÖDENECEK","UYGUN")))),"EKSİK"))))</f>
        <v/>
      </c>
      <c r="Q159" s="6" t="n"/>
      <c r="R159" s="6" t="n"/>
      <c r="S159" s="3">
        <f>IF($L159="","",UPPER(SUBSTITUTE(SUBSTITUTE(SUBSTITUTE(SUBSTITUTE(SUBSTITUTE(SUBSTITUTE(SUBSTITUTE(SUBSTITUTE(SUBSTITUTE(SUBSTITUTE(SUBSTITUTE(SUBSTITUTE(SUBSTITUTE(SUBSTITUTE(SUBSTITUTE(SUBSTITUTE(SUBSTITUTE(SUBSTITUTE(TRIM($L159),"'",""),"İ","I"),"ı","I"),"i","I"),"Ş","S"),"ş","S"),"Ğ","G"),"ğ","G"),"Ü","U"),"ü","U"),"Ö","O"),"ö","O"),"Ç","C"),"ç","C"),".",""),",","")," ",""),"-","")))</f>
        <v/>
      </c>
      <c r="T159" s="3">
        <f>IF(OR($C159="",$D159&lt;&gt;"Gelir",$L159=""),"",IFERROR(INDEX(MUSTERILER!$B$7:$B$106,MATCH($S159,MUSTERILER!$T$7:$T$106,0)),""))</f>
        <v/>
      </c>
      <c r="U159" s="3">
        <f>IF($T159="","",$T159&amp;"|"&amp;COUNTIFS($T$7:$T159,$T159))</f>
        <v/>
      </c>
      <c r="V159" s="3">
        <f>IF($T159="",0,1)</f>
        <v/>
      </c>
      <c r="W159" s="3">
        <f>IF($C159="","",$D159&amp;"|"&amp;$E159&amp;"|"&amp;TEXT($C159,"0")&amp;"|"&amp;TEXT($G159,"0")&amp;"|"&amp;$J159)</f>
        <v/>
      </c>
      <c r="X159" s="3" t="n"/>
      <c r="Y159" s="3" t="n"/>
      <c r="Z159" s="3" t="n"/>
      <c r="AA159" s="3" t="n"/>
      <c r="AB159" s="3" t="n"/>
      <c r="AC159" s="3" t="n"/>
      <c r="AD159" s="3">
        <f>IF($C159="",0,SUMPRODUCT((AY_SONU!$O$7:$O$42="Evet")*(AY_SONU!$B$7:$B$42=DATE(YEAR($C159),MONTH($C159),1))))</f>
        <v/>
      </c>
    </row>
    <row r="160">
      <c r="A160" s="6" t="n"/>
      <c r="B160" s="113">
        <f>IF($C160="","","GG"&amp;TEXT(ROW()-6,"00000"))</f>
        <v/>
      </c>
      <c r="C160" s="220" t="n"/>
      <c r="D160" s="108" t="n"/>
      <c r="E160" s="109" t="n"/>
      <c r="F160" s="109" t="n"/>
      <c r="G160" s="221" t="n"/>
      <c r="H160" s="108" t="n"/>
      <c r="I160" s="108" t="n"/>
      <c r="J160" s="109" t="n"/>
      <c r="K160" s="109" t="n"/>
      <c r="L160" s="108" t="n"/>
      <c r="M160" s="121">
        <f>IF($C160="","",IF($D160="Gider",$E160,IF($L160&lt;&gt;"",$L160,$H160)))</f>
        <v/>
      </c>
      <c r="N160" s="121">
        <f>IF($C160="","",IF($D160="Gider",$H160,$E160))</f>
        <v/>
      </c>
      <c r="O160" s="226">
        <f>IF($C160="","",DATE(YEAR($C160),MONTH($C160),1))</f>
        <v/>
      </c>
      <c r="P160" s="113">
        <f>IF($C160="","",IF(AND($D160="Gelir",$L160&lt;&gt;"",$T160=""),"TANIMSIZ BORÇLU",IF($T160&lt;&gt;"",IF(OR($E160="",$G160&lt;=0),"EKSİK",IF($I160="Evet","TAHAKKUK NAKİT OLAMAZ",IF($C160&gt;TODAY(),"İLERİ TARİH","TAHAKKUK"))),IF(AND($D160&lt;&gt;"",$E160&lt;&gt;"",$G160&gt;0,$H160&lt;&gt;"",$I160&lt;&gt;""),IF($C160&gt;TODAY(),"İLERİ TARİH",IF(COUNTIF($W$7:$W$1206,$W160)&gt;1,"MÜKERRER?",IF($AD160&gt;0,"KAPALI DÖNEM",IF($I160="Hayır","ÖDENECEK","UYGUN")))),"EKSİK"))))</f>
        <v/>
      </c>
      <c r="Q160" s="6" t="n"/>
      <c r="R160" s="6" t="n"/>
      <c r="S160" s="3">
        <f>IF($L160="","",UPPER(SUBSTITUTE(SUBSTITUTE(SUBSTITUTE(SUBSTITUTE(SUBSTITUTE(SUBSTITUTE(SUBSTITUTE(SUBSTITUTE(SUBSTITUTE(SUBSTITUTE(SUBSTITUTE(SUBSTITUTE(SUBSTITUTE(SUBSTITUTE(SUBSTITUTE(SUBSTITUTE(SUBSTITUTE(SUBSTITUTE(TRIM($L160),"'",""),"İ","I"),"ı","I"),"i","I"),"Ş","S"),"ş","S"),"Ğ","G"),"ğ","G"),"Ü","U"),"ü","U"),"Ö","O"),"ö","O"),"Ç","C"),"ç","C"),".",""),",","")," ",""),"-","")))</f>
        <v/>
      </c>
      <c r="T160" s="3">
        <f>IF(OR($C160="",$D160&lt;&gt;"Gelir",$L160=""),"",IFERROR(INDEX(MUSTERILER!$B$7:$B$106,MATCH($S160,MUSTERILER!$T$7:$T$106,0)),""))</f>
        <v/>
      </c>
      <c r="U160" s="3">
        <f>IF($T160="","",$T160&amp;"|"&amp;COUNTIFS($T$7:$T160,$T160))</f>
        <v/>
      </c>
      <c r="V160" s="3">
        <f>IF($T160="",0,1)</f>
        <v/>
      </c>
      <c r="W160" s="3">
        <f>IF($C160="","",$D160&amp;"|"&amp;$E160&amp;"|"&amp;TEXT($C160,"0")&amp;"|"&amp;TEXT($G160,"0")&amp;"|"&amp;$J160)</f>
        <v/>
      </c>
      <c r="X160" s="3" t="n"/>
      <c r="Y160" s="3" t="n"/>
      <c r="Z160" s="3" t="n"/>
      <c r="AA160" s="3" t="n"/>
      <c r="AB160" s="3" t="n"/>
      <c r="AC160" s="3" t="n"/>
      <c r="AD160" s="3">
        <f>IF($C160="",0,SUMPRODUCT((AY_SONU!$O$7:$O$42="Evet")*(AY_SONU!$B$7:$B$42=DATE(YEAR($C160),MONTH($C160),1))))</f>
        <v/>
      </c>
    </row>
    <row r="161">
      <c r="A161" s="6" t="n"/>
      <c r="B161" s="113">
        <f>IF($C161="","","GG"&amp;TEXT(ROW()-6,"00000"))</f>
        <v/>
      </c>
      <c r="C161" s="220" t="n"/>
      <c r="D161" s="108" t="n"/>
      <c r="E161" s="109" t="n"/>
      <c r="F161" s="109" t="n"/>
      <c r="G161" s="221" t="n"/>
      <c r="H161" s="108" t="n"/>
      <c r="I161" s="108" t="n"/>
      <c r="J161" s="109" t="n"/>
      <c r="K161" s="109" t="n"/>
      <c r="L161" s="108" t="n"/>
      <c r="M161" s="121">
        <f>IF($C161="","",IF($D161="Gider",$E161,IF($L161&lt;&gt;"",$L161,$H161)))</f>
        <v/>
      </c>
      <c r="N161" s="121">
        <f>IF($C161="","",IF($D161="Gider",$H161,$E161))</f>
        <v/>
      </c>
      <c r="O161" s="226">
        <f>IF($C161="","",DATE(YEAR($C161),MONTH($C161),1))</f>
        <v/>
      </c>
      <c r="P161" s="113">
        <f>IF($C161="","",IF(AND($D161="Gelir",$L161&lt;&gt;"",$T161=""),"TANIMSIZ BORÇLU",IF($T161&lt;&gt;"",IF(OR($E161="",$G161&lt;=0),"EKSİK",IF($I161="Evet","TAHAKKUK NAKİT OLAMAZ",IF($C161&gt;TODAY(),"İLERİ TARİH","TAHAKKUK"))),IF(AND($D161&lt;&gt;"",$E161&lt;&gt;"",$G161&gt;0,$H161&lt;&gt;"",$I161&lt;&gt;""),IF($C161&gt;TODAY(),"İLERİ TARİH",IF(COUNTIF($W$7:$W$1206,$W161)&gt;1,"MÜKERRER?",IF($AD161&gt;0,"KAPALI DÖNEM",IF($I161="Hayır","ÖDENECEK","UYGUN")))),"EKSİK"))))</f>
        <v/>
      </c>
      <c r="Q161" s="6" t="n"/>
      <c r="R161" s="6" t="n"/>
      <c r="S161" s="3">
        <f>IF($L161="","",UPPER(SUBSTITUTE(SUBSTITUTE(SUBSTITUTE(SUBSTITUTE(SUBSTITUTE(SUBSTITUTE(SUBSTITUTE(SUBSTITUTE(SUBSTITUTE(SUBSTITUTE(SUBSTITUTE(SUBSTITUTE(SUBSTITUTE(SUBSTITUTE(SUBSTITUTE(SUBSTITUTE(SUBSTITUTE(SUBSTITUTE(TRIM($L161),"'",""),"İ","I"),"ı","I"),"i","I"),"Ş","S"),"ş","S"),"Ğ","G"),"ğ","G"),"Ü","U"),"ü","U"),"Ö","O"),"ö","O"),"Ç","C"),"ç","C"),".",""),",","")," ",""),"-","")))</f>
        <v/>
      </c>
      <c r="T161" s="3">
        <f>IF(OR($C161="",$D161&lt;&gt;"Gelir",$L161=""),"",IFERROR(INDEX(MUSTERILER!$B$7:$B$106,MATCH($S161,MUSTERILER!$T$7:$T$106,0)),""))</f>
        <v/>
      </c>
      <c r="U161" s="3">
        <f>IF($T161="","",$T161&amp;"|"&amp;COUNTIFS($T$7:$T161,$T161))</f>
        <v/>
      </c>
      <c r="V161" s="3">
        <f>IF($T161="",0,1)</f>
        <v/>
      </c>
      <c r="W161" s="3">
        <f>IF($C161="","",$D161&amp;"|"&amp;$E161&amp;"|"&amp;TEXT($C161,"0")&amp;"|"&amp;TEXT($G161,"0")&amp;"|"&amp;$J161)</f>
        <v/>
      </c>
      <c r="X161" s="3" t="n"/>
      <c r="Y161" s="3" t="n"/>
      <c r="Z161" s="3" t="n"/>
      <c r="AA161" s="3" t="n"/>
      <c r="AB161" s="3" t="n"/>
      <c r="AC161" s="3" t="n"/>
      <c r="AD161" s="3">
        <f>IF($C161="",0,SUMPRODUCT((AY_SONU!$O$7:$O$42="Evet")*(AY_SONU!$B$7:$B$42=DATE(YEAR($C161),MONTH($C161),1))))</f>
        <v/>
      </c>
    </row>
    <row r="162">
      <c r="A162" s="6" t="n"/>
      <c r="B162" s="113">
        <f>IF($C162="","","GG"&amp;TEXT(ROW()-6,"00000"))</f>
        <v/>
      </c>
      <c r="C162" s="220" t="n"/>
      <c r="D162" s="108" t="n"/>
      <c r="E162" s="109" t="n"/>
      <c r="F162" s="109" t="n"/>
      <c r="G162" s="221" t="n"/>
      <c r="H162" s="108" t="n"/>
      <c r="I162" s="108" t="n"/>
      <c r="J162" s="109" t="n"/>
      <c r="K162" s="109" t="n"/>
      <c r="L162" s="108" t="n"/>
      <c r="M162" s="121">
        <f>IF($C162="","",IF($D162="Gider",$E162,IF($L162&lt;&gt;"",$L162,$H162)))</f>
        <v/>
      </c>
      <c r="N162" s="121">
        <f>IF($C162="","",IF($D162="Gider",$H162,$E162))</f>
        <v/>
      </c>
      <c r="O162" s="226">
        <f>IF($C162="","",DATE(YEAR($C162),MONTH($C162),1))</f>
        <v/>
      </c>
      <c r="P162" s="113">
        <f>IF($C162="","",IF(AND($D162="Gelir",$L162&lt;&gt;"",$T162=""),"TANIMSIZ BORÇLU",IF($T162&lt;&gt;"",IF(OR($E162="",$G162&lt;=0),"EKSİK",IF($I162="Evet","TAHAKKUK NAKİT OLAMAZ",IF($C162&gt;TODAY(),"İLERİ TARİH","TAHAKKUK"))),IF(AND($D162&lt;&gt;"",$E162&lt;&gt;"",$G162&gt;0,$H162&lt;&gt;"",$I162&lt;&gt;""),IF($C162&gt;TODAY(),"İLERİ TARİH",IF(COUNTIF($W$7:$W$1206,$W162)&gt;1,"MÜKERRER?",IF($AD162&gt;0,"KAPALI DÖNEM",IF($I162="Hayır","ÖDENECEK","UYGUN")))),"EKSİK"))))</f>
        <v/>
      </c>
      <c r="Q162" s="6" t="n"/>
      <c r="R162" s="6" t="n"/>
      <c r="S162" s="3">
        <f>IF($L162="","",UPPER(SUBSTITUTE(SUBSTITUTE(SUBSTITUTE(SUBSTITUTE(SUBSTITUTE(SUBSTITUTE(SUBSTITUTE(SUBSTITUTE(SUBSTITUTE(SUBSTITUTE(SUBSTITUTE(SUBSTITUTE(SUBSTITUTE(SUBSTITUTE(SUBSTITUTE(SUBSTITUTE(SUBSTITUTE(SUBSTITUTE(TRIM($L162),"'",""),"İ","I"),"ı","I"),"i","I"),"Ş","S"),"ş","S"),"Ğ","G"),"ğ","G"),"Ü","U"),"ü","U"),"Ö","O"),"ö","O"),"Ç","C"),"ç","C"),".",""),",","")," ",""),"-","")))</f>
        <v/>
      </c>
      <c r="T162" s="3">
        <f>IF(OR($C162="",$D162&lt;&gt;"Gelir",$L162=""),"",IFERROR(INDEX(MUSTERILER!$B$7:$B$106,MATCH($S162,MUSTERILER!$T$7:$T$106,0)),""))</f>
        <v/>
      </c>
      <c r="U162" s="3">
        <f>IF($T162="","",$T162&amp;"|"&amp;COUNTIFS($T$7:$T162,$T162))</f>
        <v/>
      </c>
      <c r="V162" s="3">
        <f>IF($T162="",0,1)</f>
        <v/>
      </c>
      <c r="W162" s="3">
        <f>IF($C162="","",$D162&amp;"|"&amp;$E162&amp;"|"&amp;TEXT($C162,"0")&amp;"|"&amp;TEXT($G162,"0")&amp;"|"&amp;$J162)</f>
        <v/>
      </c>
      <c r="X162" s="3" t="n"/>
      <c r="Y162" s="3" t="n"/>
      <c r="Z162" s="3" t="n"/>
      <c r="AA162" s="3" t="n"/>
      <c r="AB162" s="3" t="n"/>
      <c r="AC162" s="3" t="n"/>
      <c r="AD162" s="3">
        <f>IF($C162="",0,SUMPRODUCT((AY_SONU!$O$7:$O$42="Evet")*(AY_SONU!$B$7:$B$42=DATE(YEAR($C162),MONTH($C162),1))))</f>
        <v/>
      </c>
    </row>
    <row r="163">
      <c r="A163" s="6" t="n"/>
      <c r="B163" s="113">
        <f>IF($C163="","","GG"&amp;TEXT(ROW()-6,"00000"))</f>
        <v/>
      </c>
      <c r="C163" s="220" t="n"/>
      <c r="D163" s="108" t="n"/>
      <c r="E163" s="109" t="n"/>
      <c r="F163" s="109" t="n"/>
      <c r="G163" s="221" t="n"/>
      <c r="H163" s="108" t="n"/>
      <c r="I163" s="108" t="n"/>
      <c r="J163" s="109" t="n"/>
      <c r="K163" s="109" t="n"/>
      <c r="L163" s="108" t="n"/>
      <c r="M163" s="121">
        <f>IF($C163="","",IF($D163="Gider",$E163,IF($L163&lt;&gt;"",$L163,$H163)))</f>
        <v/>
      </c>
      <c r="N163" s="121">
        <f>IF($C163="","",IF($D163="Gider",$H163,$E163))</f>
        <v/>
      </c>
      <c r="O163" s="226">
        <f>IF($C163="","",DATE(YEAR($C163),MONTH($C163),1))</f>
        <v/>
      </c>
      <c r="P163" s="113">
        <f>IF($C163="","",IF(AND($D163="Gelir",$L163&lt;&gt;"",$T163=""),"TANIMSIZ BORÇLU",IF($T163&lt;&gt;"",IF(OR($E163="",$G163&lt;=0),"EKSİK",IF($I163="Evet","TAHAKKUK NAKİT OLAMAZ",IF($C163&gt;TODAY(),"İLERİ TARİH","TAHAKKUK"))),IF(AND($D163&lt;&gt;"",$E163&lt;&gt;"",$G163&gt;0,$H163&lt;&gt;"",$I163&lt;&gt;""),IF($C163&gt;TODAY(),"İLERİ TARİH",IF(COUNTIF($W$7:$W$1206,$W163)&gt;1,"MÜKERRER?",IF($AD163&gt;0,"KAPALI DÖNEM",IF($I163="Hayır","ÖDENECEK","UYGUN")))),"EKSİK"))))</f>
        <v/>
      </c>
      <c r="Q163" s="6" t="n"/>
      <c r="R163" s="6" t="n"/>
      <c r="S163" s="3">
        <f>IF($L163="","",UPPER(SUBSTITUTE(SUBSTITUTE(SUBSTITUTE(SUBSTITUTE(SUBSTITUTE(SUBSTITUTE(SUBSTITUTE(SUBSTITUTE(SUBSTITUTE(SUBSTITUTE(SUBSTITUTE(SUBSTITUTE(SUBSTITUTE(SUBSTITUTE(SUBSTITUTE(SUBSTITUTE(SUBSTITUTE(SUBSTITUTE(TRIM($L163),"'",""),"İ","I"),"ı","I"),"i","I"),"Ş","S"),"ş","S"),"Ğ","G"),"ğ","G"),"Ü","U"),"ü","U"),"Ö","O"),"ö","O"),"Ç","C"),"ç","C"),".",""),",","")," ",""),"-","")))</f>
        <v/>
      </c>
      <c r="T163" s="3">
        <f>IF(OR($C163="",$D163&lt;&gt;"Gelir",$L163=""),"",IFERROR(INDEX(MUSTERILER!$B$7:$B$106,MATCH($S163,MUSTERILER!$T$7:$T$106,0)),""))</f>
        <v/>
      </c>
      <c r="U163" s="3">
        <f>IF($T163="","",$T163&amp;"|"&amp;COUNTIFS($T$7:$T163,$T163))</f>
        <v/>
      </c>
      <c r="V163" s="3">
        <f>IF($T163="",0,1)</f>
        <v/>
      </c>
      <c r="W163" s="3">
        <f>IF($C163="","",$D163&amp;"|"&amp;$E163&amp;"|"&amp;TEXT($C163,"0")&amp;"|"&amp;TEXT($G163,"0")&amp;"|"&amp;$J163)</f>
        <v/>
      </c>
      <c r="X163" s="3" t="n"/>
      <c r="Y163" s="3" t="n"/>
      <c r="Z163" s="3" t="n"/>
      <c r="AA163" s="3" t="n"/>
      <c r="AB163" s="3" t="n"/>
      <c r="AC163" s="3" t="n"/>
      <c r="AD163" s="3">
        <f>IF($C163="",0,SUMPRODUCT((AY_SONU!$O$7:$O$42="Evet")*(AY_SONU!$B$7:$B$42=DATE(YEAR($C163),MONTH($C163),1))))</f>
        <v/>
      </c>
    </row>
    <row r="164">
      <c r="A164" s="6" t="n"/>
      <c r="B164" s="113">
        <f>IF($C164="","","GG"&amp;TEXT(ROW()-6,"00000"))</f>
        <v/>
      </c>
      <c r="C164" s="220" t="n"/>
      <c r="D164" s="108" t="n"/>
      <c r="E164" s="109" t="n"/>
      <c r="F164" s="109" t="n"/>
      <c r="G164" s="221" t="n"/>
      <c r="H164" s="108" t="n"/>
      <c r="I164" s="108" t="n"/>
      <c r="J164" s="109" t="n"/>
      <c r="K164" s="109" t="n"/>
      <c r="L164" s="108" t="n"/>
      <c r="M164" s="121">
        <f>IF($C164="","",IF($D164="Gider",$E164,IF($L164&lt;&gt;"",$L164,$H164)))</f>
        <v/>
      </c>
      <c r="N164" s="121">
        <f>IF($C164="","",IF($D164="Gider",$H164,$E164))</f>
        <v/>
      </c>
      <c r="O164" s="226">
        <f>IF($C164="","",DATE(YEAR($C164),MONTH($C164),1))</f>
        <v/>
      </c>
      <c r="P164" s="113">
        <f>IF($C164="","",IF(AND($D164="Gelir",$L164&lt;&gt;"",$T164=""),"TANIMSIZ BORÇLU",IF($T164&lt;&gt;"",IF(OR($E164="",$G164&lt;=0),"EKSİK",IF($I164="Evet","TAHAKKUK NAKİT OLAMAZ",IF($C164&gt;TODAY(),"İLERİ TARİH","TAHAKKUK"))),IF(AND($D164&lt;&gt;"",$E164&lt;&gt;"",$G164&gt;0,$H164&lt;&gt;"",$I164&lt;&gt;""),IF($C164&gt;TODAY(),"İLERİ TARİH",IF(COUNTIF($W$7:$W$1206,$W164)&gt;1,"MÜKERRER?",IF($AD164&gt;0,"KAPALI DÖNEM",IF($I164="Hayır","ÖDENECEK","UYGUN")))),"EKSİK"))))</f>
        <v/>
      </c>
      <c r="Q164" s="6" t="n"/>
      <c r="R164" s="6" t="n"/>
      <c r="S164" s="3">
        <f>IF($L164="","",UPPER(SUBSTITUTE(SUBSTITUTE(SUBSTITUTE(SUBSTITUTE(SUBSTITUTE(SUBSTITUTE(SUBSTITUTE(SUBSTITUTE(SUBSTITUTE(SUBSTITUTE(SUBSTITUTE(SUBSTITUTE(SUBSTITUTE(SUBSTITUTE(SUBSTITUTE(SUBSTITUTE(SUBSTITUTE(SUBSTITUTE(TRIM($L164),"'",""),"İ","I"),"ı","I"),"i","I"),"Ş","S"),"ş","S"),"Ğ","G"),"ğ","G"),"Ü","U"),"ü","U"),"Ö","O"),"ö","O"),"Ç","C"),"ç","C"),".",""),",","")," ",""),"-","")))</f>
        <v/>
      </c>
      <c r="T164" s="3">
        <f>IF(OR($C164="",$D164&lt;&gt;"Gelir",$L164=""),"",IFERROR(INDEX(MUSTERILER!$B$7:$B$106,MATCH($S164,MUSTERILER!$T$7:$T$106,0)),""))</f>
        <v/>
      </c>
      <c r="U164" s="3">
        <f>IF($T164="","",$T164&amp;"|"&amp;COUNTIFS($T$7:$T164,$T164))</f>
        <v/>
      </c>
      <c r="V164" s="3">
        <f>IF($T164="",0,1)</f>
        <v/>
      </c>
      <c r="W164" s="3">
        <f>IF($C164="","",$D164&amp;"|"&amp;$E164&amp;"|"&amp;TEXT($C164,"0")&amp;"|"&amp;TEXT($G164,"0")&amp;"|"&amp;$J164)</f>
        <v/>
      </c>
      <c r="X164" s="3" t="n"/>
      <c r="Y164" s="3" t="n"/>
      <c r="Z164" s="3" t="n"/>
      <c r="AA164" s="3" t="n"/>
      <c r="AB164" s="3" t="n"/>
      <c r="AC164" s="3" t="n"/>
      <c r="AD164" s="3">
        <f>IF($C164="",0,SUMPRODUCT((AY_SONU!$O$7:$O$42="Evet")*(AY_SONU!$B$7:$B$42=DATE(YEAR($C164),MONTH($C164),1))))</f>
        <v/>
      </c>
    </row>
    <row r="165">
      <c r="A165" s="6" t="n"/>
      <c r="B165" s="113">
        <f>IF($C165="","","GG"&amp;TEXT(ROW()-6,"00000"))</f>
        <v/>
      </c>
      <c r="C165" s="220" t="n"/>
      <c r="D165" s="108" t="n"/>
      <c r="E165" s="109" t="n"/>
      <c r="F165" s="109" t="n"/>
      <c r="G165" s="221" t="n"/>
      <c r="H165" s="108" t="n"/>
      <c r="I165" s="108" t="n"/>
      <c r="J165" s="109" t="n"/>
      <c r="K165" s="109" t="n"/>
      <c r="L165" s="108" t="n"/>
      <c r="M165" s="121">
        <f>IF($C165="","",IF($D165="Gider",$E165,IF($L165&lt;&gt;"",$L165,$H165)))</f>
        <v/>
      </c>
      <c r="N165" s="121">
        <f>IF($C165="","",IF($D165="Gider",$H165,$E165))</f>
        <v/>
      </c>
      <c r="O165" s="226">
        <f>IF($C165="","",DATE(YEAR($C165),MONTH($C165),1))</f>
        <v/>
      </c>
      <c r="P165" s="113">
        <f>IF($C165="","",IF(AND($D165="Gelir",$L165&lt;&gt;"",$T165=""),"TANIMSIZ BORÇLU",IF($T165&lt;&gt;"",IF(OR($E165="",$G165&lt;=0),"EKSİK",IF($I165="Evet","TAHAKKUK NAKİT OLAMAZ",IF($C165&gt;TODAY(),"İLERİ TARİH","TAHAKKUK"))),IF(AND($D165&lt;&gt;"",$E165&lt;&gt;"",$G165&gt;0,$H165&lt;&gt;"",$I165&lt;&gt;""),IF($C165&gt;TODAY(),"İLERİ TARİH",IF(COUNTIF($W$7:$W$1206,$W165)&gt;1,"MÜKERRER?",IF($AD165&gt;0,"KAPALI DÖNEM",IF($I165="Hayır","ÖDENECEK","UYGUN")))),"EKSİK"))))</f>
        <v/>
      </c>
      <c r="Q165" s="6" t="n"/>
      <c r="R165" s="6" t="n"/>
      <c r="S165" s="3">
        <f>IF($L165="","",UPPER(SUBSTITUTE(SUBSTITUTE(SUBSTITUTE(SUBSTITUTE(SUBSTITUTE(SUBSTITUTE(SUBSTITUTE(SUBSTITUTE(SUBSTITUTE(SUBSTITUTE(SUBSTITUTE(SUBSTITUTE(SUBSTITUTE(SUBSTITUTE(SUBSTITUTE(SUBSTITUTE(SUBSTITUTE(SUBSTITUTE(TRIM($L165),"'",""),"İ","I"),"ı","I"),"i","I"),"Ş","S"),"ş","S"),"Ğ","G"),"ğ","G"),"Ü","U"),"ü","U"),"Ö","O"),"ö","O"),"Ç","C"),"ç","C"),".",""),",","")," ",""),"-","")))</f>
        <v/>
      </c>
      <c r="T165" s="3">
        <f>IF(OR($C165="",$D165&lt;&gt;"Gelir",$L165=""),"",IFERROR(INDEX(MUSTERILER!$B$7:$B$106,MATCH($S165,MUSTERILER!$T$7:$T$106,0)),""))</f>
        <v/>
      </c>
      <c r="U165" s="3">
        <f>IF($T165="","",$T165&amp;"|"&amp;COUNTIFS($T$7:$T165,$T165))</f>
        <v/>
      </c>
      <c r="V165" s="3">
        <f>IF($T165="",0,1)</f>
        <v/>
      </c>
      <c r="W165" s="3">
        <f>IF($C165="","",$D165&amp;"|"&amp;$E165&amp;"|"&amp;TEXT($C165,"0")&amp;"|"&amp;TEXT($G165,"0")&amp;"|"&amp;$J165)</f>
        <v/>
      </c>
      <c r="X165" s="3" t="n"/>
      <c r="Y165" s="3" t="n"/>
      <c r="Z165" s="3" t="n"/>
      <c r="AA165" s="3" t="n"/>
      <c r="AB165" s="3" t="n"/>
      <c r="AC165" s="3" t="n"/>
      <c r="AD165" s="3">
        <f>IF($C165="",0,SUMPRODUCT((AY_SONU!$O$7:$O$42="Evet")*(AY_SONU!$B$7:$B$42=DATE(YEAR($C165),MONTH($C165),1))))</f>
        <v/>
      </c>
    </row>
    <row r="166">
      <c r="A166" s="6" t="n"/>
      <c r="B166" s="113">
        <f>IF($C166="","","GG"&amp;TEXT(ROW()-6,"00000"))</f>
        <v/>
      </c>
      <c r="C166" s="220" t="n"/>
      <c r="D166" s="108" t="n"/>
      <c r="E166" s="109" t="n"/>
      <c r="F166" s="109" t="n"/>
      <c r="G166" s="221" t="n"/>
      <c r="H166" s="108" t="n"/>
      <c r="I166" s="108" t="n"/>
      <c r="J166" s="109" t="n"/>
      <c r="K166" s="109" t="n"/>
      <c r="L166" s="108" t="n"/>
      <c r="M166" s="121">
        <f>IF($C166="","",IF($D166="Gider",$E166,IF($L166&lt;&gt;"",$L166,$H166)))</f>
        <v/>
      </c>
      <c r="N166" s="121">
        <f>IF($C166="","",IF($D166="Gider",$H166,$E166))</f>
        <v/>
      </c>
      <c r="O166" s="226">
        <f>IF($C166="","",DATE(YEAR($C166),MONTH($C166),1))</f>
        <v/>
      </c>
      <c r="P166" s="113">
        <f>IF($C166="","",IF(AND($D166="Gelir",$L166&lt;&gt;"",$T166=""),"TANIMSIZ BORÇLU",IF($T166&lt;&gt;"",IF(OR($E166="",$G166&lt;=0),"EKSİK",IF($I166="Evet","TAHAKKUK NAKİT OLAMAZ",IF($C166&gt;TODAY(),"İLERİ TARİH","TAHAKKUK"))),IF(AND($D166&lt;&gt;"",$E166&lt;&gt;"",$G166&gt;0,$H166&lt;&gt;"",$I166&lt;&gt;""),IF($C166&gt;TODAY(),"İLERİ TARİH",IF(COUNTIF($W$7:$W$1206,$W166)&gt;1,"MÜKERRER?",IF($AD166&gt;0,"KAPALI DÖNEM",IF($I166="Hayır","ÖDENECEK","UYGUN")))),"EKSİK"))))</f>
        <v/>
      </c>
      <c r="Q166" s="6" t="n"/>
      <c r="R166" s="6" t="n"/>
      <c r="S166" s="3">
        <f>IF($L166="","",UPPER(SUBSTITUTE(SUBSTITUTE(SUBSTITUTE(SUBSTITUTE(SUBSTITUTE(SUBSTITUTE(SUBSTITUTE(SUBSTITUTE(SUBSTITUTE(SUBSTITUTE(SUBSTITUTE(SUBSTITUTE(SUBSTITUTE(SUBSTITUTE(SUBSTITUTE(SUBSTITUTE(SUBSTITUTE(SUBSTITUTE(TRIM($L166),"'",""),"İ","I"),"ı","I"),"i","I"),"Ş","S"),"ş","S"),"Ğ","G"),"ğ","G"),"Ü","U"),"ü","U"),"Ö","O"),"ö","O"),"Ç","C"),"ç","C"),".",""),",","")," ",""),"-","")))</f>
        <v/>
      </c>
      <c r="T166" s="3">
        <f>IF(OR($C166="",$D166&lt;&gt;"Gelir",$L166=""),"",IFERROR(INDEX(MUSTERILER!$B$7:$B$106,MATCH($S166,MUSTERILER!$T$7:$T$106,0)),""))</f>
        <v/>
      </c>
      <c r="U166" s="3">
        <f>IF($T166="","",$T166&amp;"|"&amp;COUNTIFS($T$7:$T166,$T166))</f>
        <v/>
      </c>
      <c r="V166" s="3">
        <f>IF($T166="",0,1)</f>
        <v/>
      </c>
      <c r="W166" s="3">
        <f>IF($C166="","",$D166&amp;"|"&amp;$E166&amp;"|"&amp;TEXT($C166,"0")&amp;"|"&amp;TEXT($G166,"0")&amp;"|"&amp;$J166)</f>
        <v/>
      </c>
      <c r="X166" s="3" t="n"/>
      <c r="Y166" s="3" t="n"/>
      <c r="Z166" s="3" t="n"/>
      <c r="AA166" s="3" t="n"/>
      <c r="AB166" s="3" t="n"/>
      <c r="AC166" s="3" t="n"/>
      <c r="AD166" s="3">
        <f>IF($C166="",0,SUMPRODUCT((AY_SONU!$O$7:$O$42="Evet")*(AY_SONU!$B$7:$B$42=DATE(YEAR($C166),MONTH($C166),1))))</f>
        <v/>
      </c>
    </row>
    <row r="167">
      <c r="A167" s="6" t="n"/>
      <c r="B167" s="113">
        <f>IF($C167="","","GG"&amp;TEXT(ROW()-6,"00000"))</f>
        <v/>
      </c>
      <c r="C167" s="220" t="n"/>
      <c r="D167" s="108" t="n"/>
      <c r="E167" s="109" t="n"/>
      <c r="F167" s="109" t="n"/>
      <c r="G167" s="221" t="n"/>
      <c r="H167" s="108" t="n"/>
      <c r="I167" s="108" t="n"/>
      <c r="J167" s="109" t="n"/>
      <c r="K167" s="109" t="n"/>
      <c r="L167" s="108" t="n"/>
      <c r="M167" s="121">
        <f>IF($C167="","",IF($D167="Gider",$E167,IF($L167&lt;&gt;"",$L167,$H167)))</f>
        <v/>
      </c>
      <c r="N167" s="121">
        <f>IF($C167="","",IF($D167="Gider",$H167,$E167))</f>
        <v/>
      </c>
      <c r="O167" s="226">
        <f>IF($C167="","",DATE(YEAR($C167),MONTH($C167),1))</f>
        <v/>
      </c>
      <c r="P167" s="113">
        <f>IF($C167="","",IF(AND($D167="Gelir",$L167&lt;&gt;"",$T167=""),"TANIMSIZ BORÇLU",IF($T167&lt;&gt;"",IF(OR($E167="",$G167&lt;=0),"EKSİK",IF($I167="Evet","TAHAKKUK NAKİT OLAMAZ",IF($C167&gt;TODAY(),"İLERİ TARİH","TAHAKKUK"))),IF(AND($D167&lt;&gt;"",$E167&lt;&gt;"",$G167&gt;0,$H167&lt;&gt;"",$I167&lt;&gt;""),IF($C167&gt;TODAY(),"İLERİ TARİH",IF(COUNTIF($W$7:$W$1206,$W167)&gt;1,"MÜKERRER?",IF($AD167&gt;0,"KAPALI DÖNEM",IF($I167="Hayır","ÖDENECEK","UYGUN")))),"EKSİK"))))</f>
        <v/>
      </c>
      <c r="Q167" s="6" t="n"/>
      <c r="R167" s="6" t="n"/>
      <c r="S167" s="3">
        <f>IF($L167="","",UPPER(SUBSTITUTE(SUBSTITUTE(SUBSTITUTE(SUBSTITUTE(SUBSTITUTE(SUBSTITUTE(SUBSTITUTE(SUBSTITUTE(SUBSTITUTE(SUBSTITUTE(SUBSTITUTE(SUBSTITUTE(SUBSTITUTE(SUBSTITUTE(SUBSTITUTE(SUBSTITUTE(SUBSTITUTE(SUBSTITUTE(TRIM($L167),"'",""),"İ","I"),"ı","I"),"i","I"),"Ş","S"),"ş","S"),"Ğ","G"),"ğ","G"),"Ü","U"),"ü","U"),"Ö","O"),"ö","O"),"Ç","C"),"ç","C"),".",""),",","")," ",""),"-","")))</f>
        <v/>
      </c>
      <c r="T167" s="3">
        <f>IF(OR($C167="",$D167&lt;&gt;"Gelir",$L167=""),"",IFERROR(INDEX(MUSTERILER!$B$7:$B$106,MATCH($S167,MUSTERILER!$T$7:$T$106,0)),""))</f>
        <v/>
      </c>
      <c r="U167" s="3">
        <f>IF($T167="","",$T167&amp;"|"&amp;COUNTIFS($T$7:$T167,$T167))</f>
        <v/>
      </c>
      <c r="V167" s="3">
        <f>IF($T167="",0,1)</f>
        <v/>
      </c>
      <c r="W167" s="3">
        <f>IF($C167="","",$D167&amp;"|"&amp;$E167&amp;"|"&amp;TEXT($C167,"0")&amp;"|"&amp;TEXT($G167,"0")&amp;"|"&amp;$J167)</f>
        <v/>
      </c>
      <c r="X167" s="3" t="n"/>
      <c r="Y167" s="3" t="n"/>
      <c r="Z167" s="3" t="n"/>
      <c r="AA167" s="3" t="n"/>
      <c r="AB167" s="3" t="n"/>
      <c r="AC167" s="3" t="n"/>
      <c r="AD167" s="3">
        <f>IF($C167="",0,SUMPRODUCT((AY_SONU!$O$7:$O$42="Evet")*(AY_SONU!$B$7:$B$42=DATE(YEAR($C167),MONTH($C167),1))))</f>
        <v/>
      </c>
    </row>
    <row r="168">
      <c r="A168" s="6" t="n"/>
      <c r="B168" s="113">
        <f>IF($C168="","","GG"&amp;TEXT(ROW()-6,"00000"))</f>
        <v/>
      </c>
      <c r="C168" s="220" t="n"/>
      <c r="D168" s="108" t="n"/>
      <c r="E168" s="109" t="n"/>
      <c r="F168" s="109" t="n"/>
      <c r="G168" s="221" t="n"/>
      <c r="H168" s="108" t="n"/>
      <c r="I168" s="108" t="n"/>
      <c r="J168" s="109" t="n"/>
      <c r="K168" s="109" t="n"/>
      <c r="L168" s="108" t="n"/>
      <c r="M168" s="121">
        <f>IF($C168="","",IF($D168="Gider",$E168,IF($L168&lt;&gt;"",$L168,$H168)))</f>
        <v/>
      </c>
      <c r="N168" s="121">
        <f>IF($C168="","",IF($D168="Gider",$H168,$E168))</f>
        <v/>
      </c>
      <c r="O168" s="226">
        <f>IF($C168="","",DATE(YEAR($C168),MONTH($C168),1))</f>
        <v/>
      </c>
      <c r="P168" s="113">
        <f>IF($C168="","",IF(AND($D168="Gelir",$L168&lt;&gt;"",$T168=""),"TANIMSIZ BORÇLU",IF($T168&lt;&gt;"",IF(OR($E168="",$G168&lt;=0),"EKSİK",IF($I168="Evet","TAHAKKUK NAKİT OLAMAZ",IF($C168&gt;TODAY(),"İLERİ TARİH","TAHAKKUK"))),IF(AND($D168&lt;&gt;"",$E168&lt;&gt;"",$G168&gt;0,$H168&lt;&gt;"",$I168&lt;&gt;""),IF($C168&gt;TODAY(),"İLERİ TARİH",IF(COUNTIF($W$7:$W$1206,$W168)&gt;1,"MÜKERRER?",IF($AD168&gt;0,"KAPALI DÖNEM",IF($I168="Hayır","ÖDENECEK","UYGUN")))),"EKSİK"))))</f>
        <v/>
      </c>
      <c r="Q168" s="6" t="n"/>
      <c r="R168" s="6" t="n"/>
      <c r="S168" s="3">
        <f>IF($L168="","",UPPER(SUBSTITUTE(SUBSTITUTE(SUBSTITUTE(SUBSTITUTE(SUBSTITUTE(SUBSTITUTE(SUBSTITUTE(SUBSTITUTE(SUBSTITUTE(SUBSTITUTE(SUBSTITUTE(SUBSTITUTE(SUBSTITUTE(SUBSTITUTE(SUBSTITUTE(SUBSTITUTE(SUBSTITUTE(SUBSTITUTE(TRIM($L168),"'",""),"İ","I"),"ı","I"),"i","I"),"Ş","S"),"ş","S"),"Ğ","G"),"ğ","G"),"Ü","U"),"ü","U"),"Ö","O"),"ö","O"),"Ç","C"),"ç","C"),".",""),",","")," ",""),"-","")))</f>
        <v/>
      </c>
      <c r="T168" s="3">
        <f>IF(OR($C168="",$D168&lt;&gt;"Gelir",$L168=""),"",IFERROR(INDEX(MUSTERILER!$B$7:$B$106,MATCH($S168,MUSTERILER!$T$7:$T$106,0)),""))</f>
        <v/>
      </c>
      <c r="U168" s="3">
        <f>IF($T168="","",$T168&amp;"|"&amp;COUNTIFS($T$7:$T168,$T168))</f>
        <v/>
      </c>
      <c r="V168" s="3">
        <f>IF($T168="",0,1)</f>
        <v/>
      </c>
      <c r="W168" s="3">
        <f>IF($C168="","",$D168&amp;"|"&amp;$E168&amp;"|"&amp;TEXT($C168,"0")&amp;"|"&amp;TEXT($G168,"0")&amp;"|"&amp;$J168)</f>
        <v/>
      </c>
      <c r="X168" s="3" t="n"/>
      <c r="Y168" s="3" t="n"/>
      <c r="Z168" s="3" t="n"/>
      <c r="AA168" s="3" t="n"/>
      <c r="AB168" s="3" t="n"/>
      <c r="AC168" s="3" t="n"/>
      <c r="AD168" s="3">
        <f>IF($C168="",0,SUMPRODUCT((AY_SONU!$O$7:$O$42="Evet")*(AY_SONU!$B$7:$B$42=DATE(YEAR($C168),MONTH($C168),1))))</f>
        <v/>
      </c>
    </row>
    <row r="169">
      <c r="A169" s="6" t="n"/>
      <c r="B169" s="113">
        <f>IF($C169="","","GG"&amp;TEXT(ROW()-6,"00000"))</f>
        <v/>
      </c>
      <c r="C169" s="220" t="n"/>
      <c r="D169" s="108" t="n"/>
      <c r="E169" s="109" t="n"/>
      <c r="F169" s="109" t="n"/>
      <c r="G169" s="221" t="n"/>
      <c r="H169" s="108" t="n"/>
      <c r="I169" s="108" t="n"/>
      <c r="J169" s="109" t="n"/>
      <c r="K169" s="109" t="n"/>
      <c r="L169" s="108" t="n"/>
      <c r="M169" s="121">
        <f>IF($C169="","",IF($D169="Gider",$E169,IF($L169&lt;&gt;"",$L169,$H169)))</f>
        <v/>
      </c>
      <c r="N169" s="121">
        <f>IF($C169="","",IF($D169="Gider",$H169,$E169))</f>
        <v/>
      </c>
      <c r="O169" s="226">
        <f>IF($C169="","",DATE(YEAR($C169),MONTH($C169),1))</f>
        <v/>
      </c>
      <c r="P169" s="113">
        <f>IF($C169="","",IF(AND($D169="Gelir",$L169&lt;&gt;"",$T169=""),"TANIMSIZ BORÇLU",IF($T169&lt;&gt;"",IF(OR($E169="",$G169&lt;=0),"EKSİK",IF($I169="Evet","TAHAKKUK NAKİT OLAMAZ",IF($C169&gt;TODAY(),"İLERİ TARİH","TAHAKKUK"))),IF(AND($D169&lt;&gt;"",$E169&lt;&gt;"",$G169&gt;0,$H169&lt;&gt;"",$I169&lt;&gt;""),IF($C169&gt;TODAY(),"İLERİ TARİH",IF(COUNTIF($W$7:$W$1206,$W169)&gt;1,"MÜKERRER?",IF($AD169&gt;0,"KAPALI DÖNEM",IF($I169="Hayır","ÖDENECEK","UYGUN")))),"EKSİK"))))</f>
        <v/>
      </c>
      <c r="Q169" s="6" t="n"/>
      <c r="R169" s="6" t="n"/>
      <c r="S169" s="3">
        <f>IF($L169="","",UPPER(SUBSTITUTE(SUBSTITUTE(SUBSTITUTE(SUBSTITUTE(SUBSTITUTE(SUBSTITUTE(SUBSTITUTE(SUBSTITUTE(SUBSTITUTE(SUBSTITUTE(SUBSTITUTE(SUBSTITUTE(SUBSTITUTE(SUBSTITUTE(SUBSTITUTE(SUBSTITUTE(SUBSTITUTE(SUBSTITUTE(TRIM($L169),"'",""),"İ","I"),"ı","I"),"i","I"),"Ş","S"),"ş","S"),"Ğ","G"),"ğ","G"),"Ü","U"),"ü","U"),"Ö","O"),"ö","O"),"Ç","C"),"ç","C"),".",""),",","")," ",""),"-","")))</f>
        <v/>
      </c>
      <c r="T169" s="3">
        <f>IF(OR($C169="",$D169&lt;&gt;"Gelir",$L169=""),"",IFERROR(INDEX(MUSTERILER!$B$7:$B$106,MATCH($S169,MUSTERILER!$T$7:$T$106,0)),""))</f>
        <v/>
      </c>
      <c r="U169" s="3">
        <f>IF($T169="","",$T169&amp;"|"&amp;COUNTIFS($T$7:$T169,$T169))</f>
        <v/>
      </c>
      <c r="V169" s="3">
        <f>IF($T169="",0,1)</f>
        <v/>
      </c>
      <c r="W169" s="3">
        <f>IF($C169="","",$D169&amp;"|"&amp;$E169&amp;"|"&amp;TEXT($C169,"0")&amp;"|"&amp;TEXT($G169,"0")&amp;"|"&amp;$J169)</f>
        <v/>
      </c>
      <c r="X169" s="3" t="n"/>
      <c r="Y169" s="3" t="n"/>
      <c r="Z169" s="3" t="n"/>
      <c r="AA169" s="3" t="n"/>
      <c r="AB169" s="3" t="n"/>
      <c r="AC169" s="3" t="n"/>
      <c r="AD169" s="3">
        <f>IF($C169="",0,SUMPRODUCT((AY_SONU!$O$7:$O$42="Evet")*(AY_SONU!$B$7:$B$42=DATE(YEAR($C169),MONTH($C169),1))))</f>
        <v/>
      </c>
    </row>
    <row r="170">
      <c r="A170" s="6" t="n"/>
      <c r="B170" s="113">
        <f>IF($C170="","","GG"&amp;TEXT(ROW()-6,"00000"))</f>
        <v/>
      </c>
      <c r="C170" s="220" t="n"/>
      <c r="D170" s="108" t="n"/>
      <c r="E170" s="109" t="n"/>
      <c r="F170" s="109" t="n"/>
      <c r="G170" s="221" t="n"/>
      <c r="H170" s="108" t="n"/>
      <c r="I170" s="108" t="n"/>
      <c r="J170" s="109" t="n"/>
      <c r="K170" s="109" t="n"/>
      <c r="L170" s="108" t="n"/>
      <c r="M170" s="121">
        <f>IF($C170="","",IF($D170="Gider",$E170,IF($L170&lt;&gt;"",$L170,$H170)))</f>
        <v/>
      </c>
      <c r="N170" s="121">
        <f>IF($C170="","",IF($D170="Gider",$H170,$E170))</f>
        <v/>
      </c>
      <c r="O170" s="226">
        <f>IF($C170="","",DATE(YEAR($C170),MONTH($C170),1))</f>
        <v/>
      </c>
      <c r="P170" s="113">
        <f>IF($C170="","",IF(AND($D170="Gelir",$L170&lt;&gt;"",$T170=""),"TANIMSIZ BORÇLU",IF($T170&lt;&gt;"",IF(OR($E170="",$G170&lt;=0),"EKSİK",IF($I170="Evet","TAHAKKUK NAKİT OLAMAZ",IF($C170&gt;TODAY(),"İLERİ TARİH","TAHAKKUK"))),IF(AND($D170&lt;&gt;"",$E170&lt;&gt;"",$G170&gt;0,$H170&lt;&gt;"",$I170&lt;&gt;""),IF($C170&gt;TODAY(),"İLERİ TARİH",IF(COUNTIF($W$7:$W$1206,$W170)&gt;1,"MÜKERRER?",IF($AD170&gt;0,"KAPALI DÖNEM",IF($I170="Hayır","ÖDENECEK","UYGUN")))),"EKSİK"))))</f>
        <v/>
      </c>
      <c r="Q170" s="6" t="n"/>
      <c r="R170" s="6" t="n"/>
      <c r="S170" s="3">
        <f>IF($L170="","",UPPER(SUBSTITUTE(SUBSTITUTE(SUBSTITUTE(SUBSTITUTE(SUBSTITUTE(SUBSTITUTE(SUBSTITUTE(SUBSTITUTE(SUBSTITUTE(SUBSTITUTE(SUBSTITUTE(SUBSTITUTE(SUBSTITUTE(SUBSTITUTE(SUBSTITUTE(SUBSTITUTE(SUBSTITUTE(SUBSTITUTE(TRIM($L170),"'",""),"İ","I"),"ı","I"),"i","I"),"Ş","S"),"ş","S"),"Ğ","G"),"ğ","G"),"Ü","U"),"ü","U"),"Ö","O"),"ö","O"),"Ç","C"),"ç","C"),".",""),",","")," ",""),"-","")))</f>
        <v/>
      </c>
      <c r="T170" s="3">
        <f>IF(OR($C170="",$D170&lt;&gt;"Gelir",$L170=""),"",IFERROR(INDEX(MUSTERILER!$B$7:$B$106,MATCH($S170,MUSTERILER!$T$7:$T$106,0)),""))</f>
        <v/>
      </c>
      <c r="U170" s="3">
        <f>IF($T170="","",$T170&amp;"|"&amp;COUNTIFS($T$7:$T170,$T170))</f>
        <v/>
      </c>
      <c r="V170" s="3">
        <f>IF($T170="",0,1)</f>
        <v/>
      </c>
      <c r="W170" s="3">
        <f>IF($C170="","",$D170&amp;"|"&amp;$E170&amp;"|"&amp;TEXT($C170,"0")&amp;"|"&amp;TEXT($G170,"0")&amp;"|"&amp;$J170)</f>
        <v/>
      </c>
      <c r="X170" s="3" t="n"/>
      <c r="Y170" s="3" t="n"/>
      <c r="Z170" s="3" t="n"/>
      <c r="AA170" s="3" t="n"/>
      <c r="AB170" s="3" t="n"/>
      <c r="AC170" s="3" t="n"/>
      <c r="AD170" s="3">
        <f>IF($C170="",0,SUMPRODUCT((AY_SONU!$O$7:$O$42="Evet")*(AY_SONU!$B$7:$B$42=DATE(YEAR($C170),MONTH($C170),1))))</f>
        <v/>
      </c>
    </row>
    <row r="171">
      <c r="A171" s="6" t="n"/>
      <c r="B171" s="113">
        <f>IF($C171="","","GG"&amp;TEXT(ROW()-6,"00000"))</f>
        <v/>
      </c>
      <c r="C171" s="220" t="n"/>
      <c r="D171" s="108" t="n"/>
      <c r="E171" s="109" t="n"/>
      <c r="F171" s="109" t="n"/>
      <c r="G171" s="221" t="n"/>
      <c r="H171" s="108" t="n"/>
      <c r="I171" s="108" t="n"/>
      <c r="J171" s="109" t="n"/>
      <c r="K171" s="109" t="n"/>
      <c r="L171" s="108" t="n"/>
      <c r="M171" s="121">
        <f>IF($C171="","",IF($D171="Gider",$E171,IF($L171&lt;&gt;"",$L171,$H171)))</f>
        <v/>
      </c>
      <c r="N171" s="121">
        <f>IF($C171="","",IF($D171="Gider",$H171,$E171))</f>
        <v/>
      </c>
      <c r="O171" s="226">
        <f>IF($C171="","",DATE(YEAR($C171),MONTH($C171),1))</f>
        <v/>
      </c>
      <c r="P171" s="113">
        <f>IF($C171="","",IF(AND($D171="Gelir",$L171&lt;&gt;"",$T171=""),"TANIMSIZ BORÇLU",IF($T171&lt;&gt;"",IF(OR($E171="",$G171&lt;=0),"EKSİK",IF($I171="Evet","TAHAKKUK NAKİT OLAMAZ",IF($C171&gt;TODAY(),"İLERİ TARİH","TAHAKKUK"))),IF(AND($D171&lt;&gt;"",$E171&lt;&gt;"",$G171&gt;0,$H171&lt;&gt;"",$I171&lt;&gt;""),IF($C171&gt;TODAY(),"İLERİ TARİH",IF(COUNTIF($W$7:$W$1206,$W171)&gt;1,"MÜKERRER?",IF($AD171&gt;0,"KAPALI DÖNEM",IF($I171="Hayır","ÖDENECEK","UYGUN")))),"EKSİK"))))</f>
        <v/>
      </c>
      <c r="Q171" s="6" t="n"/>
      <c r="R171" s="6" t="n"/>
      <c r="S171" s="3">
        <f>IF($L171="","",UPPER(SUBSTITUTE(SUBSTITUTE(SUBSTITUTE(SUBSTITUTE(SUBSTITUTE(SUBSTITUTE(SUBSTITUTE(SUBSTITUTE(SUBSTITUTE(SUBSTITUTE(SUBSTITUTE(SUBSTITUTE(SUBSTITUTE(SUBSTITUTE(SUBSTITUTE(SUBSTITUTE(SUBSTITUTE(SUBSTITUTE(TRIM($L171),"'",""),"İ","I"),"ı","I"),"i","I"),"Ş","S"),"ş","S"),"Ğ","G"),"ğ","G"),"Ü","U"),"ü","U"),"Ö","O"),"ö","O"),"Ç","C"),"ç","C"),".",""),",","")," ",""),"-","")))</f>
        <v/>
      </c>
      <c r="T171" s="3">
        <f>IF(OR($C171="",$D171&lt;&gt;"Gelir",$L171=""),"",IFERROR(INDEX(MUSTERILER!$B$7:$B$106,MATCH($S171,MUSTERILER!$T$7:$T$106,0)),""))</f>
        <v/>
      </c>
      <c r="U171" s="3">
        <f>IF($T171="","",$T171&amp;"|"&amp;COUNTIFS($T$7:$T171,$T171))</f>
        <v/>
      </c>
      <c r="V171" s="3">
        <f>IF($T171="",0,1)</f>
        <v/>
      </c>
      <c r="W171" s="3">
        <f>IF($C171="","",$D171&amp;"|"&amp;$E171&amp;"|"&amp;TEXT($C171,"0")&amp;"|"&amp;TEXT($G171,"0")&amp;"|"&amp;$J171)</f>
        <v/>
      </c>
      <c r="X171" s="3" t="n"/>
      <c r="Y171" s="3" t="n"/>
      <c r="Z171" s="3" t="n"/>
      <c r="AA171" s="3" t="n"/>
      <c r="AB171" s="3" t="n"/>
      <c r="AC171" s="3" t="n"/>
      <c r="AD171" s="3">
        <f>IF($C171="",0,SUMPRODUCT((AY_SONU!$O$7:$O$42="Evet")*(AY_SONU!$B$7:$B$42=DATE(YEAR($C171),MONTH($C171),1))))</f>
        <v/>
      </c>
    </row>
    <row r="172">
      <c r="A172" s="6" t="n"/>
      <c r="B172" s="113">
        <f>IF($C172="","","GG"&amp;TEXT(ROW()-6,"00000"))</f>
        <v/>
      </c>
      <c r="C172" s="220" t="n"/>
      <c r="D172" s="108" t="n"/>
      <c r="E172" s="109" t="n"/>
      <c r="F172" s="109" t="n"/>
      <c r="G172" s="221" t="n"/>
      <c r="H172" s="108" t="n"/>
      <c r="I172" s="108" t="n"/>
      <c r="J172" s="109" t="n"/>
      <c r="K172" s="109" t="n"/>
      <c r="L172" s="108" t="n"/>
      <c r="M172" s="121">
        <f>IF($C172="","",IF($D172="Gider",$E172,IF($L172&lt;&gt;"",$L172,$H172)))</f>
        <v/>
      </c>
      <c r="N172" s="121">
        <f>IF($C172="","",IF($D172="Gider",$H172,$E172))</f>
        <v/>
      </c>
      <c r="O172" s="226">
        <f>IF($C172="","",DATE(YEAR($C172),MONTH($C172),1))</f>
        <v/>
      </c>
      <c r="P172" s="113">
        <f>IF($C172="","",IF(AND($D172="Gelir",$L172&lt;&gt;"",$T172=""),"TANIMSIZ BORÇLU",IF($T172&lt;&gt;"",IF(OR($E172="",$G172&lt;=0),"EKSİK",IF($I172="Evet","TAHAKKUK NAKİT OLAMAZ",IF($C172&gt;TODAY(),"İLERİ TARİH","TAHAKKUK"))),IF(AND($D172&lt;&gt;"",$E172&lt;&gt;"",$G172&gt;0,$H172&lt;&gt;"",$I172&lt;&gt;""),IF($C172&gt;TODAY(),"İLERİ TARİH",IF(COUNTIF($W$7:$W$1206,$W172)&gt;1,"MÜKERRER?",IF($AD172&gt;0,"KAPALI DÖNEM",IF($I172="Hayır","ÖDENECEK","UYGUN")))),"EKSİK"))))</f>
        <v/>
      </c>
      <c r="Q172" s="6" t="n"/>
      <c r="R172" s="6" t="n"/>
      <c r="S172" s="3">
        <f>IF($L172="","",UPPER(SUBSTITUTE(SUBSTITUTE(SUBSTITUTE(SUBSTITUTE(SUBSTITUTE(SUBSTITUTE(SUBSTITUTE(SUBSTITUTE(SUBSTITUTE(SUBSTITUTE(SUBSTITUTE(SUBSTITUTE(SUBSTITUTE(SUBSTITUTE(SUBSTITUTE(SUBSTITUTE(SUBSTITUTE(SUBSTITUTE(TRIM($L172),"'",""),"İ","I"),"ı","I"),"i","I"),"Ş","S"),"ş","S"),"Ğ","G"),"ğ","G"),"Ü","U"),"ü","U"),"Ö","O"),"ö","O"),"Ç","C"),"ç","C"),".",""),",","")," ",""),"-","")))</f>
        <v/>
      </c>
      <c r="T172" s="3">
        <f>IF(OR($C172="",$D172&lt;&gt;"Gelir",$L172=""),"",IFERROR(INDEX(MUSTERILER!$B$7:$B$106,MATCH($S172,MUSTERILER!$T$7:$T$106,0)),""))</f>
        <v/>
      </c>
      <c r="U172" s="3">
        <f>IF($T172="","",$T172&amp;"|"&amp;COUNTIFS($T$7:$T172,$T172))</f>
        <v/>
      </c>
      <c r="V172" s="3">
        <f>IF($T172="",0,1)</f>
        <v/>
      </c>
      <c r="W172" s="3">
        <f>IF($C172="","",$D172&amp;"|"&amp;$E172&amp;"|"&amp;TEXT($C172,"0")&amp;"|"&amp;TEXT($G172,"0")&amp;"|"&amp;$J172)</f>
        <v/>
      </c>
      <c r="X172" s="3" t="n"/>
      <c r="Y172" s="3" t="n"/>
      <c r="Z172" s="3" t="n"/>
      <c r="AA172" s="3" t="n"/>
      <c r="AB172" s="3" t="n"/>
      <c r="AC172" s="3" t="n"/>
      <c r="AD172" s="3">
        <f>IF($C172="",0,SUMPRODUCT((AY_SONU!$O$7:$O$42="Evet")*(AY_SONU!$B$7:$B$42=DATE(YEAR($C172),MONTH($C172),1))))</f>
        <v/>
      </c>
    </row>
    <row r="173">
      <c r="A173" s="6" t="n"/>
      <c r="B173" s="113">
        <f>IF($C173="","","GG"&amp;TEXT(ROW()-6,"00000"))</f>
        <v/>
      </c>
      <c r="C173" s="220" t="n"/>
      <c r="D173" s="108" t="n"/>
      <c r="E173" s="109" t="n"/>
      <c r="F173" s="109" t="n"/>
      <c r="G173" s="221" t="n"/>
      <c r="H173" s="108" t="n"/>
      <c r="I173" s="108" t="n"/>
      <c r="J173" s="109" t="n"/>
      <c r="K173" s="109" t="n"/>
      <c r="L173" s="108" t="n"/>
      <c r="M173" s="121">
        <f>IF($C173="","",IF($D173="Gider",$E173,IF($L173&lt;&gt;"",$L173,$H173)))</f>
        <v/>
      </c>
      <c r="N173" s="121">
        <f>IF($C173="","",IF($D173="Gider",$H173,$E173))</f>
        <v/>
      </c>
      <c r="O173" s="226">
        <f>IF($C173="","",DATE(YEAR($C173),MONTH($C173),1))</f>
        <v/>
      </c>
      <c r="P173" s="113">
        <f>IF($C173="","",IF(AND($D173="Gelir",$L173&lt;&gt;"",$T173=""),"TANIMSIZ BORÇLU",IF($T173&lt;&gt;"",IF(OR($E173="",$G173&lt;=0),"EKSİK",IF($I173="Evet","TAHAKKUK NAKİT OLAMAZ",IF($C173&gt;TODAY(),"İLERİ TARİH","TAHAKKUK"))),IF(AND($D173&lt;&gt;"",$E173&lt;&gt;"",$G173&gt;0,$H173&lt;&gt;"",$I173&lt;&gt;""),IF($C173&gt;TODAY(),"İLERİ TARİH",IF(COUNTIF($W$7:$W$1206,$W173)&gt;1,"MÜKERRER?",IF($AD173&gt;0,"KAPALI DÖNEM",IF($I173="Hayır","ÖDENECEK","UYGUN")))),"EKSİK"))))</f>
        <v/>
      </c>
      <c r="Q173" s="6" t="n"/>
      <c r="R173" s="6" t="n"/>
      <c r="S173" s="3">
        <f>IF($L173="","",UPPER(SUBSTITUTE(SUBSTITUTE(SUBSTITUTE(SUBSTITUTE(SUBSTITUTE(SUBSTITUTE(SUBSTITUTE(SUBSTITUTE(SUBSTITUTE(SUBSTITUTE(SUBSTITUTE(SUBSTITUTE(SUBSTITUTE(SUBSTITUTE(SUBSTITUTE(SUBSTITUTE(SUBSTITUTE(SUBSTITUTE(TRIM($L173),"'",""),"İ","I"),"ı","I"),"i","I"),"Ş","S"),"ş","S"),"Ğ","G"),"ğ","G"),"Ü","U"),"ü","U"),"Ö","O"),"ö","O"),"Ç","C"),"ç","C"),".",""),",","")," ",""),"-","")))</f>
        <v/>
      </c>
      <c r="T173" s="3">
        <f>IF(OR($C173="",$D173&lt;&gt;"Gelir",$L173=""),"",IFERROR(INDEX(MUSTERILER!$B$7:$B$106,MATCH($S173,MUSTERILER!$T$7:$T$106,0)),""))</f>
        <v/>
      </c>
      <c r="U173" s="3">
        <f>IF($T173="","",$T173&amp;"|"&amp;COUNTIFS($T$7:$T173,$T173))</f>
        <v/>
      </c>
      <c r="V173" s="3">
        <f>IF($T173="",0,1)</f>
        <v/>
      </c>
      <c r="W173" s="3">
        <f>IF($C173="","",$D173&amp;"|"&amp;$E173&amp;"|"&amp;TEXT($C173,"0")&amp;"|"&amp;TEXT($G173,"0")&amp;"|"&amp;$J173)</f>
        <v/>
      </c>
      <c r="X173" s="3" t="n"/>
      <c r="Y173" s="3" t="n"/>
      <c r="Z173" s="3" t="n"/>
      <c r="AA173" s="3" t="n"/>
      <c r="AB173" s="3" t="n"/>
      <c r="AC173" s="3" t="n"/>
      <c r="AD173" s="3">
        <f>IF($C173="",0,SUMPRODUCT((AY_SONU!$O$7:$O$42="Evet")*(AY_SONU!$B$7:$B$42=DATE(YEAR($C173),MONTH($C173),1))))</f>
        <v/>
      </c>
    </row>
    <row r="174">
      <c r="A174" s="6" t="n"/>
      <c r="B174" s="113">
        <f>IF($C174="","","GG"&amp;TEXT(ROW()-6,"00000"))</f>
        <v/>
      </c>
      <c r="C174" s="220" t="n"/>
      <c r="D174" s="108" t="n"/>
      <c r="E174" s="109" t="n"/>
      <c r="F174" s="109" t="n"/>
      <c r="G174" s="221" t="n"/>
      <c r="H174" s="108" t="n"/>
      <c r="I174" s="108" t="n"/>
      <c r="J174" s="109" t="n"/>
      <c r="K174" s="109" t="n"/>
      <c r="L174" s="108" t="n"/>
      <c r="M174" s="121">
        <f>IF($C174="","",IF($D174="Gider",$E174,IF($L174&lt;&gt;"",$L174,$H174)))</f>
        <v/>
      </c>
      <c r="N174" s="121">
        <f>IF($C174="","",IF($D174="Gider",$H174,$E174))</f>
        <v/>
      </c>
      <c r="O174" s="226">
        <f>IF($C174="","",DATE(YEAR($C174),MONTH($C174),1))</f>
        <v/>
      </c>
      <c r="P174" s="113">
        <f>IF($C174="","",IF(AND($D174="Gelir",$L174&lt;&gt;"",$T174=""),"TANIMSIZ BORÇLU",IF($T174&lt;&gt;"",IF(OR($E174="",$G174&lt;=0),"EKSİK",IF($I174="Evet","TAHAKKUK NAKİT OLAMAZ",IF($C174&gt;TODAY(),"İLERİ TARİH","TAHAKKUK"))),IF(AND($D174&lt;&gt;"",$E174&lt;&gt;"",$G174&gt;0,$H174&lt;&gt;"",$I174&lt;&gt;""),IF($C174&gt;TODAY(),"İLERİ TARİH",IF(COUNTIF($W$7:$W$1206,$W174)&gt;1,"MÜKERRER?",IF($AD174&gt;0,"KAPALI DÖNEM",IF($I174="Hayır","ÖDENECEK","UYGUN")))),"EKSİK"))))</f>
        <v/>
      </c>
      <c r="Q174" s="6" t="n"/>
      <c r="R174" s="6" t="n"/>
      <c r="S174" s="3">
        <f>IF($L174="","",UPPER(SUBSTITUTE(SUBSTITUTE(SUBSTITUTE(SUBSTITUTE(SUBSTITUTE(SUBSTITUTE(SUBSTITUTE(SUBSTITUTE(SUBSTITUTE(SUBSTITUTE(SUBSTITUTE(SUBSTITUTE(SUBSTITUTE(SUBSTITUTE(SUBSTITUTE(SUBSTITUTE(SUBSTITUTE(SUBSTITUTE(TRIM($L174),"'",""),"İ","I"),"ı","I"),"i","I"),"Ş","S"),"ş","S"),"Ğ","G"),"ğ","G"),"Ü","U"),"ü","U"),"Ö","O"),"ö","O"),"Ç","C"),"ç","C"),".",""),",","")," ",""),"-","")))</f>
        <v/>
      </c>
      <c r="T174" s="3">
        <f>IF(OR($C174="",$D174&lt;&gt;"Gelir",$L174=""),"",IFERROR(INDEX(MUSTERILER!$B$7:$B$106,MATCH($S174,MUSTERILER!$T$7:$T$106,0)),""))</f>
        <v/>
      </c>
      <c r="U174" s="3">
        <f>IF($T174="","",$T174&amp;"|"&amp;COUNTIFS($T$7:$T174,$T174))</f>
        <v/>
      </c>
      <c r="V174" s="3">
        <f>IF($T174="",0,1)</f>
        <v/>
      </c>
      <c r="W174" s="3">
        <f>IF($C174="","",$D174&amp;"|"&amp;$E174&amp;"|"&amp;TEXT($C174,"0")&amp;"|"&amp;TEXT($G174,"0")&amp;"|"&amp;$J174)</f>
        <v/>
      </c>
      <c r="X174" s="3" t="n"/>
      <c r="Y174" s="3" t="n"/>
      <c r="Z174" s="3" t="n"/>
      <c r="AA174" s="3" t="n"/>
      <c r="AB174" s="3" t="n"/>
      <c r="AC174" s="3" t="n"/>
      <c r="AD174" s="3">
        <f>IF($C174="",0,SUMPRODUCT((AY_SONU!$O$7:$O$42="Evet")*(AY_SONU!$B$7:$B$42=DATE(YEAR($C174),MONTH($C174),1))))</f>
        <v/>
      </c>
    </row>
    <row r="175">
      <c r="A175" s="6" t="n"/>
      <c r="B175" s="113">
        <f>IF($C175="","","GG"&amp;TEXT(ROW()-6,"00000"))</f>
        <v/>
      </c>
      <c r="C175" s="220" t="n"/>
      <c r="D175" s="108" t="n"/>
      <c r="E175" s="109" t="n"/>
      <c r="F175" s="109" t="n"/>
      <c r="G175" s="221" t="n"/>
      <c r="H175" s="108" t="n"/>
      <c r="I175" s="108" t="n"/>
      <c r="J175" s="109" t="n"/>
      <c r="K175" s="109" t="n"/>
      <c r="L175" s="108" t="n"/>
      <c r="M175" s="121">
        <f>IF($C175="","",IF($D175="Gider",$E175,IF($L175&lt;&gt;"",$L175,$H175)))</f>
        <v/>
      </c>
      <c r="N175" s="121">
        <f>IF($C175="","",IF($D175="Gider",$H175,$E175))</f>
        <v/>
      </c>
      <c r="O175" s="226">
        <f>IF($C175="","",DATE(YEAR($C175),MONTH($C175),1))</f>
        <v/>
      </c>
      <c r="P175" s="113">
        <f>IF($C175="","",IF(AND($D175="Gelir",$L175&lt;&gt;"",$T175=""),"TANIMSIZ BORÇLU",IF($T175&lt;&gt;"",IF(OR($E175="",$G175&lt;=0),"EKSİK",IF($I175="Evet","TAHAKKUK NAKİT OLAMAZ",IF($C175&gt;TODAY(),"İLERİ TARİH","TAHAKKUK"))),IF(AND($D175&lt;&gt;"",$E175&lt;&gt;"",$G175&gt;0,$H175&lt;&gt;"",$I175&lt;&gt;""),IF($C175&gt;TODAY(),"İLERİ TARİH",IF(COUNTIF($W$7:$W$1206,$W175)&gt;1,"MÜKERRER?",IF($AD175&gt;0,"KAPALI DÖNEM",IF($I175="Hayır","ÖDENECEK","UYGUN")))),"EKSİK"))))</f>
        <v/>
      </c>
      <c r="Q175" s="6" t="n"/>
      <c r="R175" s="6" t="n"/>
      <c r="S175" s="3">
        <f>IF($L175="","",UPPER(SUBSTITUTE(SUBSTITUTE(SUBSTITUTE(SUBSTITUTE(SUBSTITUTE(SUBSTITUTE(SUBSTITUTE(SUBSTITUTE(SUBSTITUTE(SUBSTITUTE(SUBSTITUTE(SUBSTITUTE(SUBSTITUTE(SUBSTITUTE(SUBSTITUTE(SUBSTITUTE(SUBSTITUTE(SUBSTITUTE(TRIM($L175),"'",""),"İ","I"),"ı","I"),"i","I"),"Ş","S"),"ş","S"),"Ğ","G"),"ğ","G"),"Ü","U"),"ü","U"),"Ö","O"),"ö","O"),"Ç","C"),"ç","C"),".",""),",","")," ",""),"-","")))</f>
        <v/>
      </c>
      <c r="T175" s="3">
        <f>IF(OR($C175="",$D175&lt;&gt;"Gelir",$L175=""),"",IFERROR(INDEX(MUSTERILER!$B$7:$B$106,MATCH($S175,MUSTERILER!$T$7:$T$106,0)),""))</f>
        <v/>
      </c>
      <c r="U175" s="3">
        <f>IF($T175="","",$T175&amp;"|"&amp;COUNTIFS($T$7:$T175,$T175))</f>
        <v/>
      </c>
      <c r="V175" s="3">
        <f>IF($T175="",0,1)</f>
        <v/>
      </c>
      <c r="W175" s="3">
        <f>IF($C175="","",$D175&amp;"|"&amp;$E175&amp;"|"&amp;TEXT($C175,"0")&amp;"|"&amp;TEXT($G175,"0")&amp;"|"&amp;$J175)</f>
        <v/>
      </c>
      <c r="X175" s="3" t="n"/>
      <c r="Y175" s="3" t="n"/>
      <c r="Z175" s="3" t="n"/>
      <c r="AA175" s="3" t="n"/>
      <c r="AB175" s="3" t="n"/>
      <c r="AC175" s="3" t="n"/>
      <c r="AD175" s="3">
        <f>IF($C175="",0,SUMPRODUCT((AY_SONU!$O$7:$O$42="Evet")*(AY_SONU!$B$7:$B$42=DATE(YEAR($C175),MONTH($C175),1))))</f>
        <v/>
      </c>
    </row>
    <row r="176">
      <c r="A176" s="6" t="n"/>
      <c r="B176" s="113">
        <f>IF($C176="","","GG"&amp;TEXT(ROW()-6,"00000"))</f>
        <v/>
      </c>
      <c r="C176" s="220" t="n"/>
      <c r="D176" s="108" t="n"/>
      <c r="E176" s="109" t="n"/>
      <c r="F176" s="109" t="n"/>
      <c r="G176" s="221" t="n"/>
      <c r="H176" s="108" t="n"/>
      <c r="I176" s="108" t="n"/>
      <c r="J176" s="109" t="n"/>
      <c r="K176" s="109" t="n"/>
      <c r="L176" s="108" t="n"/>
      <c r="M176" s="121">
        <f>IF($C176="","",IF($D176="Gider",$E176,IF($L176&lt;&gt;"",$L176,$H176)))</f>
        <v/>
      </c>
      <c r="N176" s="121">
        <f>IF($C176="","",IF($D176="Gider",$H176,$E176))</f>
        <v/>
      </c>
      <c r="O176" s="226">
        <f>IF($C176="","",DATE(YEAR($C176),MONTH($C176),1))</f>
        <v/>
      </c>
      <c r="P176" s="113">
        <f>IF($C176="","",IF(AND($D176="Gelir",$L176&lt;&gt;"",$T176=""),"TANIMSIZ BORÇLU",IF($T176&lt;&gt;"",IF(OR($E176="",$G176&lt;=0),"EKSİK",IF($I176="Evet","TAHAKKUK NAKİT OLAMAZ",IF($C176&gt;TODAY(),"İLERİ TARİH","TAHAKKUK"))),IF(AND($D176&lt;&gt;"",$E176&lt;&gt;"",$G176&gt;0,$H176&lt;&gt;"",$I176&lt;&gt;""),IF($C176&gt;TODAY(),"İLERİ TARİH",IF(COUNTIF($W$7:$W$1206,$W176)&gt;1,"MÜKERRER?",IF($AD176&gt;0,"KAPALI DÖNEM",IF($I176="Hayır","ÖDENECEK","UYGUN")))),"EKSİK"))))</f>
        <v/>
      </c>
      <c r="Q176" s="6" t="n"/>
      <c r="R176" s="6" t="n"/>
      <c r="S176" s="3">
        <f>IF($L176="","",UPPER(SUBSTITUTE(SUBSTITUTE(SUBSTITUTE(SUBSTITUTE(SUBSTITUTE(SUBSTITUTE(SUBSTITUTE(SUBSTITUTE(SUBSTITUTE(SUBSTITUTE(SUBSTITUTE(SUBSTITUTE(SUBSTITUTE(SUBSTITUTE(SUBSTITUTE(SUBSTITUTE(SUBSTITUTE(SUBSTITUTE(TRIM($L176),"'",""),"İ","I"),"ı","I"),"i","I"),"Ş","S"),"ş","S"),"Ğ","G"),"ğ","G"),"Ü","U"),"ü","U"),"Ö","O"),"ö","O"),"Ç","C"),"ç","C"),".",""),",","")," ",""),"-","")))</f>
        <v/>
      </c>
      <c r="T176" s="3">
        <f>IF(OR($C176="",$D176&lt;&gt;"Gelir",$L176=""),"",IFERROR(INDEX(MUSTERILER!$B$7:$B$106,MATCH($S176,MUSTERILER!$T$7:$T$106,0)),""))</f>
        <v/>
      </c>
      <c r="U176" s="3">
        <f>IF($T176="","",$T176&amp;"|"&amp;COUNTIFS($T$7:$T176,$T176))</f>
        <v/>
      </c>
      <c r="V176" s="3">
        <f>IF($T176="",0,1)</f>
        <v/>
      </c>
      <c r="W176" s="3">
        <f>IF($C176="","",$D176&amp;"|"&amp;$E176&amp;"|"&amp;TEXT($C176,"0")&amp;"|"&amp;TEXT($G176,"0")&amp;"|"&amp;$J176)</f>
        <v/>
      </c>
      <c r="X176" s="3" t="n"/>
      <c r="Y176" s="3" t="n"/>
      <c r="Z176" s="3" t="n"/>
      <c r="AA176" s="3" t="n"/>
      <c r="AB176" s="3" t="n"/>
      <c r="AC176" s="3" t="n"/>
      <c r="AD176" s="3">
        <f>IF($C176="",0,SUMPRODUCT((AY_SONU!$O$7:$O$42="Evet")*(AY_SONU!$B$7:$B$42=DATE(YEAR($C176),MONTH($C176),1))))</f>
        <v/>
      </c>
    </row>
    <row r="177">
      <c r="A177" s="6" t="n"/>
      <c r="B177" s="113">
        <f>IF($C177="","","GG"&amp;TEXT(ROW()-6,"00000"))</f>
        <v/>
      </c>
      <c r="C177" s="220" t="n"/>
      <c r="D177" s="108" t="n"/>
      <c r="E177" s="109" t="n"/>
      <c r="F177" s="109" t="n"/>
      <c r="G177" s="221" t="n"/>
      <c r="H177" s="108" t="n"/>
      <c r="I177" s="108" t="n"/>
      <c r="J177" s="109" t="n"/>
      <c r="K177" s="109" t="n"/>
      <c r="L177" s="108" t="n"/>
      <c r="M177" s="121">
        <f>IF($C177="","",IF($D177="Gider",$E177,IF($L177&lt;&gt;"",$L177,$H177)))</f>
        <v/>
      </c>
      <c r="N177" s="121">
        <f>IF($C177="","",IF($D177="Gider",$H177,$E177))</f>
        <v/>
      </c>
      <c r="O177" s="226">
        <f>IF($C177="","",DATE(YEAR($C177),MONTH($C177),1))</f>
        <v/>
      </c>
      <c r="P177" s="113">
        <f>IF($C177="","",IF(AND($D177="Gelir",$L177&lt;&gt;"",$T177=""),"TANIMSIZ BORÇLU",IF($T177&lt;&gt;"",IF(OR($E177="",$G177&lt;=0),"EKSİK",IF($I177="Evet","TAHAKKUK NAKİT OLAMAZ",IF($C177&gt;TODAY(),"İLERİ TARİH","TAHAKKUK"))),IF(AND($D177&lt;&gt;"",$E177&lt;&gt;"",$G177&gt;0,$H177&lt;&gt;"",$I177&lt;&gt;""),IF($C177&gt;TODAY(),"İLERİ TARİH",IF(COUNTIF($W$7:$W$1206,$W177)&gt;1,"MÜKERRER?",IF($AD177&gt;0,"KAPALI DÖNEM",IF($I177="Hayır","ÖDENECEK","UYGUN")))),"EKSİK"))))</f>
        <v/>
      </c>
      <c r="Q177" s="6" t="n"/>
      <c r="R177" s="6" t="n"/>
      <c r="S177" s="3">
        <f>IF($L177="","",UPPER(SUBSTITUTE(SUBSTITUTE(SUBSTITUTE(SUBSTITUTE(SUBSTITUTE(SUBSTITUTE(SUBSTITUTE(SUBSTITUTE(SUBSTITUTE(SUBSTITUTE(SUBSTITUTE(SUBSTITUTE(SUBSTITUTE(SUBSTITUTE(SUBSTITUTE(SUBSTITUTE(SUBSTITUTE(SUBSTITUTE(TRIM($L177),"'",""),"İ","I"),"ı","I"),"i","I"),"Ş","S"),"ş","S"),"Ğ","G"),"ğ","G"),"Ü","U"),"ü","U"),"Ö","O"),"ö","O"),"Ç","C"),"ç","C"),".",""),",","")," ",""),"-","")))</f>
        <v/>
      </c>
      <c r="T177" s="3">
        <f>IF(OR($C177="",$D177&lt;&gt;"Gelir",$L177=""),"",IFERROR(INDEX(MUSTERILER!$B$7:$B$106,MATCH($S177,MUSTERILER!$T$7:$T$106,0)),""))</f>
        <v/>
      </c>
      <c r="U177" s="3">
        <f>IF($T177="","",$T177&amp;"|"&amp;COUNTIFS($T$7:$T177,$T177))</f>
        <v/>
      </c>
      <c r="V177" s="3">
        <f>IF($T177="",0,1)</f>
        <v/>
      </c>
      <c r="W177" s="3">
        <f>IF($C177="","",$D177&amp;"|"&amp;$E177&amp;"|"&amp;TEXT($C177,"0")&amp;"|"&amp;TEXT($G177,"0")&amp;"|"&amp;$J177)</f>
        <v/>
      </c>
      <c r="X177" s="3" t="n"/>
      <c r="Y177" s="3" t="n"/>
      <c r="Z177" s="3" t="n"/>
      <c r="AA177" s="3" t="n"/>
      <c r="AB177" s="3" t="n"/>
      <c r="AC177" s="3" t="n"/>
      <c r="AD177" s="3">
        <f>IF($C177="",0,SUMPRODUCT((AY_SONU!$O$7:$O$42="Evet")*(AY_SONU!$B$7:$B$42=DATE(YEAR($C177),MONTH($C177),1))))</f>
        <v/>
      </c>
    </row>
    <row r="178">
      <c r="A178" s="6" t="n"/>
      <c r="B178" s="113">
        <f>IF($C178="","","GG"&amp;TEXT(ROW()-6,"00000"))</f>
        <v/>
      </c>
      <c r="C178" s="220" t="n"/>
      <c r="D178" s="108" t="n"/>
      <c r="E178" s="109" t="n"/>
      <c r="F178" s="109" t="n"/>
      <c r="G178" s="221" t="n"/>
      <c r="H178" s="108" t="n"/>
      <c r="I178" s="108" t="n"/>
      <c r="J178" s="109" t="n"/>
      <c r="K178" s="109" t="n"/>
      <c r="L178" s="108" t="n"/>
      <c r="M178" s="121">
        <f>IF($C178="","",IF($D178="Gider",$E178,IF($L178&lt;&gt;"",$L178,$H178)))</f>
        <v/>
      </c>
      <c r="N178" s="121">
        <f>IF($C178="","",IF($D178="Gider",$H178,$E178))</f>
        <v/>
      </c>
      <c r="O178" s="226">
        <f>IF($C178="","",DATE(YEAR($C178),MONTH($C178),1))</f>
        <v/>
      </c>
      <c r="P178" s="113">
        <f>IF($C178="","",IF(AND($D178="Gelir",$L178&lt;&gt;"",$T178=""),"TANIMSIZ BORÇLU",IF($T178&lt;&gt;"",IF(OR($E178="",$G178&lt;=0),"EKSİK",IF($I178="Evet","TAHAKKUK NAKİT OLAMAZ",IF($C178&gt;TODAY(),"İLERİ TARİH","TAHAKKUK"))),IF(AND($D178&lt;&gt;"",$E178&lt;&gt;"",$G178&gt;0,$H178&lt;&gt;"",$I178&lt;&gt;""),IF($C178&gt;TODAY(),"İLERİ TARİH",IF(COUNTIF($W$7:$W$1206,$W178)&gt;1,"MÜKERRER?",IF($AD178&gt;0,"KAPALI DÖNEM",IF($I178="Hayır","ÖDENECEK","UYGUN")))),"EKSİK"))))</f>
        <v/>
      </c>
      <c r="Q178" s="6" t="n"/>
      <c r="R178" s="6" t="n"/>
      <c r="S178" s="3">
        <f>IF($L178="","",UPPER(SUBSTITUTE(SUBSTITUTE(SUBSTITUTE(SUBSTITUTE(SUBSTITUTE(SUBSTITUTE(SUBSTITUTE(SUBSTITUTE(SUBSTITUTE(SUBSTITUTE(SUBSTITUTE(SUBSTITUTE(SUBSTITUTE(SUBSTITUTE(SUBSTITUTE(SUBSTITUTE(SUBSTITUTE(SUBSTITUTE(TRIM($L178),"'",""),"İ","I"),"ı","I"),"i","I"),"Ş","S"),"ş","S"),"Ğ","G"),"ğ","G"),"Ü","U"),"ü","U"),"Ö","O"),"ö","O"),"Ç","C"),"ç","C"),".",""),",","")," ",""),"-","")))</f>
        <v/>
      </c>
      <c r="T178" s="3">
        <f>IF(OR($C178="",$D178&lt;&gt;"Gelir",$L178=""),"",IFERROR(INDEX(MUSTERILER!$B$7:$B$106,MATCH($S178,MUSTERILER!$T$7:$T$106,0)),""))</f>
        <v/>
      </c>
      <c r="U178" s="3">
        <f>IF($T178="","",$T178&amp;"|"&amp;COUNTIFS($T$7:$T178,$T178))</f>
        <v/>
      </c>
      <c r="V178" s="3">
        <f>IF($T178="",0,1)</f>
        <v/>
      </c>
      <c r="W178" s="3">
        <f>IF($C178="","",$D178&amp;"|"&amp;$E178&amp;"|"&amp;TEXT($C178,"0")&amp;"|"&amp;TEXT($G178,"0")&amp;"|"&amp;$J178)</f>
        <v/>
      </c>
      <c r="X178" s="3" t="n"/>
      <c r="Y178" s="3" t="n"/>
      <c r="Z178" s="3" t="n"/>
      <c r="AA178" s="3" t="n"/>
      <c r="AB178" s="3" t="n"/>
      <c r="AC178" s="3" t="n"/>
      <c r="AD178" s="3">
        <f>IF($C178="",0,SUMPRODUCT((AY_SONU!$O$7:$O$42="Evet")*(AY_SONU!$B$7:$B$42=DATE(YEAR($C178),MONTH($C178),1))))</f>
        <v/>
      </c>
    </row>
    <row r="179">
      <c r="A179" s="6" t="n"/>
      <c r="B179" s="113">
        <f>IF($C179="","","GG"&amp;TEXT(ROW()-6,"00000"))</f>
        <v/>
      </c>
      <c r="C179" s="220" t="n"/>
      <c r="D179" s="108" t="n"/>
      <c r="E179" s="109" t="n"/>
      <c r="F179" s="109" t="n"/>
      <c r="G179" s="221" t="n"/>
      <c r="H179" s="108" t="n"/>
      <c r="I179" s="108" t="n"/>
      <c r="J179" s="109" t="n"/>
      <c r="K179" s="109" t="n"/>
      <c r="L179" s="108" t="n"/>
      <c r="M179" s="121">
        <f>IF($C179="","",IF($D179="Gider",$E179,IF($L179&lt;&gt;"",$L179,$H179)))</f>
        <v/>
      </c>
      <c r="N179" s="121">
        <f>IF($C179="","",IF($D179="Gider",$H179,$E179))</f>
        <v/>
      </c>
      <c r="O179" s="226">
        <f>IF($C179="","",DATE(YEAR($C179),MONTH($C179),1))</f>
        <v/>
      </c>
      <c r="P179" s="113">
        <f>IF($C179="","",IF(AND($D179="Gelir",$L179&lt;&gt;"",$T179=""),"TANIMSIZ BORÇLU",IF($T179&lt;&gt;"",IF(OR($E179="",$G179&lt;=0),"EKSİK",IF($I179="Evet","TAHAKKUK NAKİT OLAMAZ",IF($C179&gt;TODAY(),"İLERİ TARİH","TAHAKKUK"))),IF(AND($D179&lt;&gt;"",$E179&lt;&gt;"",$G179&gt;0,$H179&lt;&gt;"",$I179&lt;&gt;""),IF($C179&gt;TODAY(),"İLERİ TARİH",IF(COUNTIF($W$7:$W$1206,$W179)&gt;1,"MÜKERRER?",IF($AD179&gt;0,"KAPALI DÖNEM",IF($I179="Hayır","ÖDENECEK","UYGUN")))),"EKSİK"))))</f>
        <v/>
      </c>
      <c r="Q179" s="6" t="n"/>
      <c r="R179" s="6" t="n"/>
      <c r="S179" s="3">
        <f>IF($L179="","",UPPER(SUBSTITUTE(SUBSTITUTE(SUBSTITUTE(SUBSTITUTE(SUBSTITUTE(SUBSTITUTE(SUBSTITUTE(SUBSTITUTE(SUBSTITUTE(SUBSTITUTE(SUBSTITUTE(SUBSTITUTE(SUBSTITUTE(SUBSTITUTE(SUBSTITUTE(SUBSTITUTE(SUBSTITUTE(SUBSTITUTE(TRIM($L179),"'",""),"İ","I"),"ı","I"),"i","I"),"Ş","S"),"ş","S"),"Ğ","G"),"ğ","G"),"Ü","U"),"ü","U"),"Ö","O"),"ö","O"),"Ç","C"),"ç","C"),".",""),",","")," ",""),"-","")))</f>
        <v/>
      </c>
      <c r="T179" s="3">
        <f>IF(OR($C179="",$D179&lt;&gt;"Gelir",$L179=""),"",IFERROR(INDEX(MUSTERILER!$B$7:$B$106,MATCH($S179,MUSTERILER!$T$7:$T$106,0)),""))</f>
        <v/>
      </c>
      <c r="U179" s="3">
        <f>IF($T179="","",$T179&amp;"|"&amp;COUNTIFS($T$7:$T179,$T179))</f>
        <v/>
      </c>
      <c r="V179" s="3">
        <f>IF($T179="",0,1)</f>
        <v/>
      </c>
      <c r="W179" s="3">
        <f>IF($C179="","",$D179&amp;"|"&amp;$E179&amp;"|"&amp;TEXT($C179,"0")&amp;"|"&amp;TEXT($G179,"0")&amp;"|"&amp;$J179)</f>
        <v/>
      </c>
      <c r="X179" s="3" t="n"/>
      <c r="Y179" s="3" t="n"/>
      <c r="Z179" s="3" t="n"/>
      <c r="AA179" s="3" t="n"/>
      <c r="AB179" s="3" t="n"/>
      <c r="AC179" s="3" t="n"/>
      <c r="AD179" s="3">
        <f>IF($C179="",0,SUMPRODUCT((AY_SONU!$O$7:$O$42="Evet")*(AY_SONU!$B$7:$B$42=DATE(YEAR($C179),MONTH($C179),1))))</f>
        <v/>
      </c>
    </row>
    <row r="180">
      <c r="A180" s="6" t="n"/>
      <c r="B180" s="113">
        <f>IF($C180="","","GG"&amp;TEXT(ROW()-6,"00000"))</f>
        <v/>
      </c>
      <c r="C180" s="220" t="n"/>
      <c r="D180" s="108" t="n"/>
      <c r="E180" s="109" t="n"/>
      <c r="F180" s="109" t="n"/>
      <c r="G180" s="221" t="n"/>
      <c r="H180" s="108" t="n"/>
      <c r="I180" s="108" t="n"/>
      <c r="J180" s="109" t="n"/>
      <c r="K180" s="109" t="n"/>
      <c r="L180" s="108" t="n"/>
      <c r="M180" s="121">
        <f>IF($C180="","",IF($D180="Gider",$E180,IF($L180&lt;&gt;"",$L180,$H180)))</f>
        <v/>
      </c>
      <c r="N180" s="121">
        <f>IF($C180="","",IF($D180="Gider",$H180,$E180))</f>
        <v/>
      </c>
      <c r="O180" s="226">
        <f>IF($C180="","",DATE(YEAR($C180),MONTH($C180),1))</f>
        <v/>
      </c>
      <c r="P180" s="113">
        <f>IF($C180="","",IF(AND($D180="Gelir",$L180&lt;&gt;"",$T180=""),"TANIMSIZ BORÇLU",IF($T180&lt;&gt;"",IF(OR($E180="",$G180&lt;=0),"EKSİK",IF($I180="Evet","TAHAKKUK NAKİT OLAMAZ",IF($C180&gt;TODAY(),"İLERİ TARİH","TAHAKKUK"))),IF(AND($D180&lt;&gt;"",$E180&lt;&gt;"",$G180&gt;0,$H180&lt;&gt;"",$I180&lt;&gt;""),IF($C180&gt;TODAY(),"İLERİ TARİH",IF(COUNTIF($W$7:$W$1206,$W180)&gt;1,"MÜKERRER?",IF($AD180&gt;0,"KAPALI DÖNEM",IF($I180="Hayır","ÖDENECEK","UYGUN")))),"EKSİK"))))</f>
        <v/>
      </c>
      <c r="Q180" s="6" t="n"/>
      <c r="R180" s="6" t="n"/>
      <c r="S180" s="3">
        <f>IF($L180="","",UPPER(SUBSTITUTE(SUBSTITUTE(SUBSTITUTE(SUBSTITUTE(SUBSTITUTE(SUBSTITUTE(SUBSTITUTE(SUBSTITUTE(SUBSTITUTE(SUBSTITUTE(SUBSTITUTE(SUBSTITUTE(SUBSTITUTE(SUBSTITUTE(SUBSTITUTE(SUBSTITUTE(SUBSTITUTE(SUBSTITUTE(TRIM($L180),"'",""),"İ","I"),"ı","I"),"i","I"),"Ş","S"),"ş","S"),"Ğ","G"),"ğ","G"),"Ü","U"),"ü","U"),"Ö","O"),"ö","O"),"Ç","C"),"ç","C"),".",""),",","")," ",""),"-","")))</f>
        <v/>
      </c>
      <c r="T180" s="3">
        <f>IF(OR($C180="",$D180&lt;&gt;"Gelir",$L180=""),"",IFERROR(INDEX(MUSTERILER!$B$7:$B$106,MATCH($S180,MUSTERILER!$T$7:$T$106,0)),""))</f>
        <v/>
      </c>
      <c r="U180" s="3">
        <f>IF($T180="","",$T180&amp;"|"&amp;COUNTIFS($T$7:$T180,$T180))</f>
        <v/>
      </c>
      <c r="V180" s="3">
        <f>IF($T180="",0,1)</f>
        <v/>
      </c>
      <c r="W180" s="3">
        <f>IF($C180="","",$D180&amp;"|"&amp;$E180&amp;"|"&amp;TEXT($C180,"0")&amp;"|"&amp;TEXT($G180,"0")&amp;"|"&amp;$J180)</f>
        <v/>
      </c>
      <c r="X180" s="3" t="n"/>
      <c r="Y180" s="3" t="n"/>
      <c r="Z180" s="3" t="n"/>
      <c r="AA180" s="3" t="n"/>
      <c r="AB180" s="3" t="n"/>
      <c r="AC180" s="3" t="n"/>
      <c r="AD180" s="3">
        <f>IF($C180="",0,SUMPRODUCT((AY_SONU!$O$7:$O$42="Evet")*(AY_SONU!$B$7:$B$42=DATE(YEAR($C180),MONTH($C180),1))))</f>
        <v/>
      </c>
    </row>
    <row r="181">
      <c r="A181" s="6" t="n"/>
      <c r="B181" s="113">
        <f>IF($C181="","","GG"&amp;TEXT(ROW()-6,"00000"))</f>
        <v/>
      </c>
      <c r="C181" s="220" t="n"/>
      <c r="D181" s="108" t="n"/>
      <c r="E181" s="109" t="n"/>
      <c r="F181" s="109" t="n"/>
      <c r="G181" s="221" t="n"/>
      <c r="H181" s="108" t="n"/>
      <c r="I181" s="108" t="n"/>
      <c r="J181" s="109" t="n"/>
      <c r="K181" s="109" t="n"/>
      <c r="L181" s="108" t="n"/>
      <c r="M181" s="121">
        <f>IF($C181="","",IF($D181="Gider",$E181,IF($L181&lt;&gt;"",$L181,$H181)))</f>
        <v/>
      </c>
      <c r="N181" s="121">
        <f>IF($C181="","",IF($D181="Gider",$H181,$E181))</f>
        <v/>
      </c>
      <c r="O181" s="226">
        <f>IF($C181="","",DATE(YEAR($C181),MONTH($C181),1))</f>
        <v/>
      </c>
      <c r="P181" s="113">
        <f>IF($C181="","",IF(AND($D181="Gelir",$L181&lt;&gt;"",$T181=""),"TANIMSIZ BORÇLU",IF($T181&lt;&gt;"",IF(OR($E181="",$G181&lt;=0),"EKSİK",IF($I181="Evet","TAHAKKUK NAKİT OLAMAZ",IF($C181&gt;TODAY(),"İLERİ TARİH","TAHAKKUK"))),IF(AND($D181&lt;&gt;"",$E181&lt;&gt;"",$G181&gt;0,$H181&lt;&gt;"",$I181&lt;&gt;""),IF($C181&gt;TODAY(),"İLERİ TARİH",IF(COUNTIF($W$7:$W$1206,$W181)&gt;1,"MÜKERRER?",IF($AD181&gt;0,"KAPALI DÖNEM",IF($I181="Hayır","ÖDENECEK","UYGUN")))),"EKSİK"))))</f>
        <v/>
      </c>
      <c r="Q181" s="6" t="n"/>
      <c r="R181" s="6" t="n"/>
      <c r="S181" s="3">
        <f>IF($L181="","",UPPER(SUBSTITUTE(SUBSTITUTE(SUBSTITUTE(SUBSTITUTE(SUBSTITUTE(SUBSTITUTE(SUBSTITUTE(SUBSTITUTE(SUBSTITUTE(SUBSTITUTE(SUBSTITUTE(SUBSTITUTE(SUBSTITUTE(SUBSTITUTE(SUBSTITUTE(SUBSTITUTE(SUBSTITUTE(SUBSTITUTE(TRIM($L181),"'",""),"İ","I"),"ı","I"),"i","I"),"Ş","S"),"ş","S"),"Ğ","G"),"ğ","G"),"Ü","U"),"ü","U"),"Ö","O"),"ö","O"),"Ç","C"),"ç","C"),".",""),",","")," ",""),"-","")))</f>
        <v/>
      </c>
      <c r="T181" s="3">
        <f>IF(OR($C181="",$D181&lt;&gt;"Gelir",$L181=""),"",IFERROR(INDEX(MUSTERILER!$B$7:$B$106,MATCH($S181,MUSTERILER!$T$7:$T$106,0)),""))</f>
        <v/>
      </c>
      <c r="U181" s="3">
        <f>IF($T181="","",$T181&amp;"|"&amp;COUNTIFS($T$7:$T181,$T181))</f>
        <v/>
      </c>
      <c r="V181" s="3">
        <f>IF($T181="",0,1)</f>
        <v/>
      </c>
      <c r="W181" s="3">
        <f>IF($C181="","",$D181&amp;"|"&amp;$E181&amp;"|"&amp;TEXT($C181,"0")&amp;"|"&amp;TEXT($G181,"0")&amp;"|"&amp;$J181)</f>
        <v/>
      </c>
      <c r="X181" s="3" t="n"/>
      <c r="Y181" s="3" t="n"/>
      <c r="Z181" s="3" t="n"/>
      <c r="AA181" s="3" t="n"/>
      <c r="AB181" s="3" t="n"/>
      <c r="AC181" s="3" t="n"/>
      <c r="AD181" s="3">
        <f>IF($C181="",0,SUMPRODUCT((AY_SONU!$O$7:$O$42="Evet")*(AY_SONU!$B$7:$B$42=DATE(YEAR($C181),MONTH($C181),1))))</f>
        <v/>
      </c>
    </row>
    <row r="182">
      <c r="A182" s="6" t="n"/>
      <c r="B182" s="113">
        <f>IF($C182="","","GG"&amp;TEXT(ROW()-6,"00000"))</f>
        <v/>
      </c>
      <c r="C182" s="220" t="n"/>
      <c r="D182" s="108" t="n"/>
      <c r="E182" s="109" t="n"/>
      <c r="F182" s="109" t="n"/>
      <c r="G182" s="221" t="n"/>
      <c r="H182" s="108" t="n"/>
      <c r="I182" s="108" t="n"/>
      <c r="J182" s="109" t="n"/>
      <c r="K182" s="109" t="n"/>
      <c r="L182" s="108" t="n"/>
      <c r="M182" s="121">
        <f>IF($C182="","",IF($D182="Gider",$E182,IF($L182&lt;&gt;"",$L182,$H182)))</f>
        <v/>
      </c>
      <c r="N182" s="121">
        <f>IF($C182="","",IF($D182="Gider",$H182,$E182))</f>
        <v/>
      </c>
      <c r="O182" s="226">
        <f>IF($C182="","",DATE(YEAR($C182),MONTH($C182),1))</f>
        <v/>
      </c>
      <c r="P182" s="113">
        <f>IF($C182="","",IF(AND($D182="Gelir",$L182&lt;&gt;"",$T182=""),"TANIMSIZ BORÇLU",IF($T182&lt;&gt;"",IF(OR($E182="",$G182&lt;=0),"EKSİK",IF($I182="Evet","TAHAKKUK NAKİT OLAMAZ",IF($C182&gt;TODAY(),"İLERİ TARİH","TAHAKKUK"))),IF(AND($D182&lt;&gt;"",$E182&lt;&gt;"",$G182&gt;0,$H182&lt;&gt;"",$I182&lt;&gt;""),IF($C182&gt;TODAY(),"İLERİ TARİH",IF(COUNTIF($W$7:$W$1206,$W182)&gt;1,"MÜKERRER?",IF($AD182&gt;0,"KAPALI DÖNEM",IF($I182="Hayır","ÖDENECEK","UYGUN")))),"EKSİK"))))</f>
        <v/>
      </c>
      <c r="Q182" s="6" t="n"/>
      <c r="R182" s="6" t="n"/>
      <c r="S182" s="3">
        <f>IF($L182="","",UPPER(SUBSTITUTE(SUBSTITUTE(SUBSTITUTE(SUBSTITUTE(SUBSTITUTE(SUBSTITUTE(SUBSTITUTE(SUBSTITUTE(SUBSTITUTE(SUBSTITUTE(SUBSTITUTE(SUBSTITUTE(SUBSTITUTE(SUBSTITUTE(SUBSTITUTE(SUBSTITUTE(SUBSTITUTE(SUBSTITUTE(TRIM($L182),"'",""),"İ","I"),"ı","I"),"i","I"),"Ş","S"),"ş","S"),"Ğ","G"),"ğ","G"),"Ü","U"),"ü","U"),"Ö","O"),"ö","O"),"Ç","C"),"ç","C"),".",""),",","")," ",""),"-","")))</f>
        <v/>
      </c>
      <c r="T182" s="3">
        <f>IF(OR($C182="",$D182&lt;&gt;"Gelir",$L182=""),"",IFERROR(INDEX(MUSTERILER!$B$7:$B$106,MATCH($S182,MUSTERILER!$T$7:$T$106,0)),""))</f>
        <v/>
      </c>
      <c r="U182" s="3">
        <f>IF($T182="","",$T182&amp;"|"&amp;COUNTIFS($T$7:$T182,$T182))</f>
        <v/>
      </c>
      <c r="V182" s="3">
        <f>IF($T182="",0,1)</f>
        <v/>
      </c>
      <c r="W182" s="3">
        <f>IF($C182="","",$D182&amp;"|"&amp;$E182&amp;"|"&amp;TEXT($C182,"0")&amp;"|"&amp;TEXT($G182,"0")&amp;"|"&amp;$J182)</f>
        <v/>
      </c>
      <c r="X182" s="3" t="n"/>
      <c r="Y182" s="3" t="n"/>
      <c r="Z182" s="3" t="n"/>
      <c r="AA182" s="3" t="n"/>
      <c r="AB182" s="3" t="n"/>
      <c r="AC182" s="3" t="n"/>
      <c r="AD182" s="3">
        <f>IF($C182="",0,SUMPRODUCT((AY_SONU!$O$7:$O$42="Evet")*(AY_SONU!$B$7:$B$42=DATE(YEAR($C182),MONTH($C182),1))))</f>
        <v/>
      </c>
    </row>
    <row r="183">
      <c r="A183" s="6" t="n"/>
      <c r="B183" s="113">
        <f>IF($C183="","","GG"&amp;TEXT(ROW()-6,"00000"))</f>
        <v/>
      </c>
      <c r="C183" s="220" t="n"/>
      <c r="D183" s="108" t="n"/>
      <c r="E183" s="109" t="n"/>
      <c r="F183" s="109" t="n"/>
      <c r="G183" s="221" t="n"/>
      <c r="H183" s="108" t="n"/>
      <c r="I183" s="108" t="n"/>
      <c r="J183" s="109" t="n"/>
      <c r="K183" s="109" t="n"/>
      <c r="L183" s="108" t="n"/>
      <c r="M183" s="121">
        <f>IF($C183="","",IF($D183="Gider",$E183,IF($L183&lt;&gt;"",$L183,$H183)))</f>
        <v/>
      </c>
      <c r="N183" s="121">
        <f>IF($C183="","",IF($D183="Gider",$H183,$E183))</f>
        <v/>
      </c>
      <c r="O183" s="226">
        <f>IF($C183="","",DATE(YEAR($C183),MONTH($C183),1))</f>
        <v/>
      </c>
      <c r="P183" s="113">
        <f>IF($C183="","",IF(AND($D183="Gelir",$L183&lt;&gt;"",$T183=""),"TANIMSIZ BORÇLU",IF($T183&lt;&gt;"",IF(OR($E183="",$G183&lt;=0),"EKSİK",IF($I183="Evet","TAHAKKUK NAKİT OLAMAZ",IF($C183&gt;TODAY(),"İLERİ TARİH","TAHAKKUK"))),IF(AND($D183&lt;&gt;"",$E183&lt;&gt;"",$G183&gt;0,$H183&lt;&gt;"",$I183&lt;&gt;""),IF($C183&gt;TODAY(),"İLERİ TARİH",IF(COUNTIF($W$7:$W$1206,$W183)&gt;1,"MÜKERRER?",IF($AD183&gt;0,"KAPALI DÖNEM",IF($I183="Hayır","ÖDENECEK","UYGUN")))),"EKSİK"))))</f>
        <v/>
      </c>
      <c r="Q183" s="6" t="n"/>
      <c r="R183" s="6" t="n"/>
      <c r="S183" s="3">
        <f>IF($L183="","",UPPER(SUBSTITUTE(SUBSTITUTE(SUBSTITUTE(SUBSTITUTE(SUBSTITUTE(SUBSTITUTE(SUBSTITUTE(SUBSTITUTE(SUBSTITUTE(SUBSTITUTE(SUBSTITUTE(SUBSTITUTE(SUBSTITUTE(SUBSTITUTE(SUBSTITUTE(SUBSTITUTE(SUBSTITUTE(SUBSTITUTE(TRIM($L183),"'",""),"İ","I"),"ı","I"),"i","I"),"Ş","S"),"ş","S"),"Ğ","G"),"ğ","G"),"Ü","U"),"ü","U"),"Ö","O"),"ö","O"),"Ç","C"),"ç","C"),".",""),",","")," ",""),"-","")))</f>
        <v/>
      </c>
      <c r="T183" s="3">
        <f>IF(OR($C183="",$D183&lt;&gt;"Gelir",$L183=""),"",IFERROR(INDEX(MUSTERILER!$B$7:$B$106,MATCH($S183,MUSTERILER!$T$7:$T$106,0)),""))</f>
        <v/>
      </c>
      <c r="U183" s="3">
        <f>IF($T183="","",$T183&amp;"|"&amp;COUNTIFS($T$7:$T183,$T183))</f>
        <v/>
      </c>
      <c r="V183" s="3">
        <f>IF($T183="",0,1)</f>
        <v/>
      </c>
      <c r="W183" s="3">
        <f>IF($C183="","",$D183&amp;"|"&amp;$E183&amp;"|"&amp;TEXT($C183,"0")&amp;"|"&amp;TEXT($G183,"0")&amp;"|"&amp;$J183)</f>
        <v/>
      </c>
      <c r="X183" s="3" t="n"/>
      <c r="Y183" s="3" t="n"/>
      <c r="Z183" s="3" t="n"/>
      <c r="AA183" s="3" t="n"/>
      <c r="AB183" s="3" t="n"/>
      <c r="AC183" s="3" t="n"/>
      <c r="AD183" s="3">
        <f>IF($C183="",0,SUMPRODUCT((AY_SONU!$O$7:$O$42="Evet")*(AY_SONU!$B$7:$B$42=DATE(YEAR($C183),MONTH($C183),1))))</f>
        <v/>
      </c>
    </row>
    <row r="184">
      <c r="A184" s="6" t="n"/>
      <c r="B184" s="113">
        <f>IF($C184="","","GG"&amp;TEXT(ROW()-6,"00000"))</f>
        <v/>
      </c>
      <c r="C184" s="220" t="n"/>
      <c r="D184" s="108" t="n"/>
      <c r="E184" s="109" t="n"/>
      <c r="F184" s="109" t="n"/>
      <c r="G184" s="221" t="n"/>
      <c r="H184" s="108" t="n"/>
      <c r="I184" s="108" t="n"/>
      <c r="J184" s="109" t="n"/>
      <c r="K184" s="109" t="n"/>
      <c r="L184" s="108" t="n"/>
      <c r="M184" s="121">
        <f>IF($C184="","",IF($D184="Gider",$E184,IF($L184&lt;&gt;"",$L184,$H184)))</f>
        <v/>
      </c>
      <c r="N184" s="121">
        <f>IF($C184="","",IF($D184="Gider",$H184,$E184))</f>
        <v/>
      </c>
      <c r="O184" s="226">
        <f>IF($C184="","",DATE(YEAR($C184),MONTH($C184),1))</f>
        <v/>
      </c>
      <c r="P184" s="113">
        <f>IF($C184="","",IF(AND($D184="Gelir",$L184&lt;&gt;"",$T184=""),"TANIMSIZ BORÇLU",IF($T184&lt;&gt;"",IF(OR($E184="",$G184&lt;=0),"EKSİK",IF($I184="Evet","TAHAKKUK NAKİT OLAMAZ",IF($C184&gt;TODAY(),"İLERİ TARİH","TAHAKKUK"))),IF(AND($D184&lt;&gt;"",$E184&lt;&gt;"",$G184&gt;0,$H184&lt;&gt;"",$I184&lt;&gt;""),IF($C184&gt;TODAY(),"İLERİ TARİH",IF(COUNTIF($W$7:$W$1206,$W184)&gt;1,"MÜKERRER?",IF($AD184&gt;0,"KAPALI DÖNEM",IF($I184="Hayır","ÖDENECEK","UYGUN")))),"EKSİK"))))</f>
        <v/>
      </c>
      <c r="Q184" s="6" t="n"/>
      <c r="R184" s="6" t="n"/>
      <c r="S184" s="3">
        <f>IF($L184="","",UPPER(SUBSTITUTE(SUBSTITUTE(SUBSTITUTE(SUBSTITUTE(SUBSTITUTE(SUBSTITUTE(SUBSTITUTE(SUBSTITUTE(SUBSTITUTE(SUBSTITUTE(SUBSTITUTE(SUBSTITUTE(SUBSTITUTE(SUBSTITUTE(SUBSTITUTE(SUBSTITUTE(SUBSTITUTE(SUBSTITUTE(TRIM($L184),"'",""),"İ","I"),"ı","I"),"i","I"),"Ş","S"),"ş","S"),"Ğ","G"),"ğ","G"),"Ü","U"),"ü","U"),"Ö","O"),"ö","O"),"Ç","C"),"ç","C"),".",""),",","")," ",""),"-","")))</f>
        <v/>
      </c>
      <c r="T184" s="3">
        <f>IF(OR($C184="",$D184&lt;&gt;"Gelir",$L184=""),"",IFERROR(INDEX(MUSTERILER!$B$7:$B$106,MATCH($S184,MUSTERILER!$T$7:$T$106,0)),""))</f>
        <v/>
      </c>
      <c r="U184" s="3">
        <f>IF($T184="","",$T184&amp;"|"&amp;COUNTIFS($T$7:$T184,$T184))</f>
        <v/>
      </c>
      <c r="V184" s="3">
        <f>IF($T184="",0,1)</f>
        <v/>
      </c>
      <c r="W184" s="3">
        <f>IF($C184="","",$D184&amp;"|"&amp;$E184&amp;"|"&amp;TEXT($C184,"0")&amp;"|"&amp;TEXT($G184,"0")&amp;"|"&amp;$J184)</f>
        <v/>
      </c>
      <c r="X184" s="3" t="n"/>
      <c r="Y184" s="3" t="n"/>
      <c r="Z184" s="3" t="n"/>
      <c r="AA184" s="3" t="n"/>
      <c r="AB184" s="3" t="n"/>
      <c r="AC184" s="3" t="n"/>
      <c r="AD184" s="3">
        <f>IF($C184="",0,SUMPRODUCT((AY_SONU!$O$7:$O$42="Evet")*(AY_SONU!$B$7:$B$42=DATE(YEAR($C184),MONTH($C184),1))))</f>
        <v/>
      </c>
    </row>
    <row r="185">
      <c r="A185" s="6" t="n"/>
      <c r="B185" s="113">
        <f>IF($C185="","","GG"&amp;TEXT(ROW()-6,"00000"))</f>
        <v/>
      </c>
      <c r="C185" s="220" t="n"/>
      <c r="D185" s="108" t="n"/>
      <c r="E185" s="109" t="n"/>
      <c r="F185" s="109" t="n"/>
      <c r="G185" s="221" t="n"/>
      <c r="H185" s="108" t="n"/>
      <c r="I185" s="108" t="n"/>
      <c r="J185" s="109" t="n"/>
      <c r="K185" s="109" t="n"/>
      <c r="L185" s="108" t="n"/>
      <c r="M185" s="121">
        <f>IF($C185="","",IF($D185="Gider",$E185,IF($L185&lt;&gt;"",$L185,$H185)))</f>
        <v/>
      </c>
      <c r="N185" s="121">
        <f>IF($C185="","",IF($D185="Gider",$H185,$E185))</f>
        <v/>
      </c>
      <c r="O185" s="226">
        <f>IF($C185="","",DATE(YEAR($C185),MONTH($C185),1))</f>
        <v/>
      </c>
      <c r="P185" s="113">
        <f>IF($C185="","",IF(AND($D185="Gelir",$L185&lt;&gt;"",$T185=""),"TANIMSIZ BORÇLU",IF($T185&lt;&gt;"",IF(OR($E185="",$G185&lt;=0),"EKSİK",IF($I185="Evet","TAHAKKUK NAKİT OLAMAZ",IF($C185&gt;TODAY(),"İLERİ TARİH","TAHAKKUK"))),IF(AND($D185&lt;&gt;"",$E185&lt;&gt;"",$G185&gt;0,$H185&lt;&gt;"",$I185&lt;&gt;""),IF($C185&gt;TODAY(),"İLERİ TARİH",IF(COUNTIF($W$7:$W$1206,$W185)&gt;1,"MÜKERRER?",IF($AD185&gt;0,"KAPALI DÖNEM",IF($I185="Hayır","ÖDENECEK","UYGUN")))),"EKSİK"))))</f>
        <v/>
      </c>
      <c r="Q185" s="6" t="n"/>
      <c r="R185" s="6" t="n"/>
      <c r="S185" s="3">
        <f>IF($L185="","",UPPER(SUBSTITUTE(SUBSTITUTE(SUBSTITUTE(SUBSTITUTE(SUBSTITUTE(SUBSTITUTE(SUBSTITUTE(SUBSTITUTE(SUBSTITUTE(SUBSTITUTE(SUBSTITUTE(SUBSTITUTE(SUBSTITUTE(SUBSTITUTE(SUBSTITUTE(SUBSTITUTE(SUBSTITUTE(SUBSTITUTE(TRIM($L185),"'",""),"İ","I"),"ı","I"),"i","I"),"Ş","S"),"ş","S"),"Ğ","G"),"ğ","G"),"Ü","U"),"ü","U"),"Ö","O"),"ö","O"),"Ç","C"),"ç","C"),".",""),",","")," ",""),"-","")))</f>
        <v/>
      </c>
      <c r="T185" s="3">
        <f>IF(OR($C185="",$D185&lt;&gt;"Gelir",$L185=""),"",IFERROR(INDEX(MUSTERILER!$B$7:$B$106,MATCH($S185,MUSTERILER!$T$7:$T$106,0)),""))</f>
        <v/>
      </c>
      <c r="U185" s="3">
        <f>IF($T185="","",$T185&amp;"|"&amp;COUNTIFS($T$7:$T185,$T185))</f>
        <v/>
      </c>
      <c r="V185" s="3">
        <f>IF($T185="",0,1)</f>
        <v/>
      </c>
      <c r="W185" s="3">
        <f>IF($C185="","",$D185&amp;"|"&amp;$E185&amp;"|"&amp;TEXT($C185,"0")&amp;"|"&amp;TEXT($G185,"0")&amp;"|"&amp;$J185)</f>
        <v/>
      </c>
      <c r="X185" s="3" t="n"/>
      <c r="Y185" s="3" t="n"/>
      <c r="Z185" s="3" t="n"/>
      <c r="AA185" s="3" t="n"/>
      <c r="AB185" s="3" t="n"/>
      <c r="AC185" s="3" t="n"/>
      <c r="AD185" s="3">
        <f>IF($C185="",0,SUMPRODUCT((AY_SONU!$O$7:$O$42="Evet")*(AY_SONU!$B$7:$B$42=DATE(YEAR($C185),MONTH($C185),1))))</f>
        <v/>
      </c>
    </row>
    <row r="186">
      <c r="A186" s="6" t="n"/>
      <c r="B186" s="113">
        <f>IF($C186="","","GG"&amp;TEXT(ROW()-6,"00000"))</f>
        <v/>
      </c>
      <c r="C186" s="220" t="n"/>
      <c r="D186" s="108" t="n"/>
      <c r="E186" s="109" t="n"/>
      <c r="F186" s="109" t="n"/>
      <c r="G186" s="221" t="n"/>
      <c r="H186" s="108" t="n"/>
      <c r="I186" s="108" t="n"/>
      <c r="J186" s="109" t="n"/>
      <c r="K186" s="109" t="n"/>
      <c r="L186" s="108" t="n"/>
      <c r="M186" s="121">
        <f>IF($C186="","",IF($D186="Gider",$E186,IF($L186&lt;&gt;"",$L186,$H186)))</f>
        <v/>
      </c>
      <c r="N186" s="121">
        <f>IF($C186="","",IF($D186="Gider",$H186,$E186))</f>
        <v/>
      </c>
      <c r="O186" s="226">
        <f>IF($C186="","",DATE(YEAR($C186),MONTH($C186),1))</f>
        <v/>
      </c>
      <c r="P186" s="113">
        <f>IF($C186="","",IF(AND($D186="Gelir",$L186&lt;&gt;"",$T186=""),"TANIMSIZ BORÇLU",IF($T186&lt;&gt;"",IF(OR($E186="",$G186&lt;=0),"EKSİK",IF($I186="Evet","TAHAKKUK NAKİT OLAMAZ",IF($C186&gt;TODAY(),"İLERİ TARİH","TAHAKKUK"))),IF(AND($D186&lt;&gt;"",$E186&lt;&gt;"",$G186&gt;0,$H186&lt;&gt;"",$I186&lt;&gt;""),IF($C186&gt;TODAY(),"İLERİ TARİH",IF(COUNTIF($W$7:$W$1206,$W186)&gt;1,"MÜKERRER?",IF($AD186&gt;0,"KAPALI DÖNEM",IF($I186="Hayır","ÖDENECEK","UYGUN")))),"EKSİK"))))</f>
        <v/>
      </c>
      <c r="Q186" s="6" t="n"/>
      <c r="R186" s="6" t="n"/>
      <c r="S186" s="3">
        <f>IF($L186="","",UPPER(SUBSTITUTE(SUBSTITUTE(SUBSTITUTE(SUBSTITUTE(SUBSTITUTE(SUBSTITUTE(SUBSTITUTE(SUBSTITUTE(SUBSTITUTE(SUBSTITUTE(SUBSTITUTE(SUBSTITUTE(SUBSTITUTE(SUBSTITUTE(SUBSTITUTE(SUBSTITUTE(SUBSTITUTE(SUBSTITUTE(TRIM($L186),"'",""),"İ","I"),"ı","I"),"i","I"),"Ş","S"),"ş","S"),"Ğ","G"),"ğ","G"),"Ü","U"),"ü","U"),"Ö","O"),"ö","O"),"Ç","C"),"ç","C"),".",""),",","")," ",""),"-","")))</f>
        <v/>
      </c>
      <c r="T186" s="3">
        <f>IF(OR($C186="",$D186&lt;&gt;"Gelir",$L186=""),"",IFERROR(INDEX(MUSTERILER!$B$7:$B$106,MATCH($S186,MUSTERILER!$T$7:$T$106,0)),""))</f>
        <v/>
      </c>
      <c r="U186" s="3">
        <f>IF($T186="","",$T186&amp;"|"&amp;COUNTIFS($T$7:$T186,$T186))</f>
        <v/>
      </c>
      <c r="V186" s="3">
        <f>IF($T186="",0,1)</f>
        <v/>
      </c>
      <c r="W186" s="3">
        <f>IF($C186="","",$D186&amp;"|"&amp;$E186&amp;"|"&amp;TEXT($C186,"0")&amp;"|"&amp;TEXT($G186,"0")&amp;"|"&amp;$J186)</f>
        <v/>
      </c>
      <c r="X186" s="3" t="n"/>
      <c r="Y186" s="3" t="n"/>
      <c r="Z186" s="3" t="n"/>
      <c r="AA186" s="3" t="n"/>
      <c r="AB186" s="3" t="n"/>
      <c r="AC186" s="3" t="n"/>
      <c r="AD186" s="3">
        <f>IF($C186="",0,SUMPRODUCT((AY_SONU!$O$7:$O$42="Evet")*(AY_SONU!$B$7:$B$42=DATE(YEAR($C186),MONTH($C186),1))))</f>
        <v/>
      </c>
    </row>
    <row r="187">
      <c r="A187" s="6" t="n"/>
      <c r="B187" s="113">
        <f>IF($C187="","","GG"&amp;TEXT(ROW()-6,"00000"))</f>
        <v/>
      </c>
      <c r="C187" s="220" t="n"/>
      <c r="D187" s="108" t="n"/>
      <c r="E187" s="109" t="n"/>
      <c r="F187" s="109" t="n"/>
      <c r="G187" s="221" t="n"/>
      <c r="H187" s="108" t="n"/>
      <c r="I187" s="108" t="n"/>
      <c r="J187" s="109" t="n"/>
      <c r="K187" s="109" t="n"/>
      <c r="L187" s="108" t="n"/>
      <c r="M187" s="121">
        <f>IF($C187="","",IF($D187="Gider",$E187,IF($L187&lt;&gt;"",$L187,$H187)))</f>
        <v/>
      </c>
      <c r="N187" s="121">
        <f>IF($C187="","",IF($D187="Gider",$H187,$E187))</f>
        <v/>
      </c>
      <c r="O187" s="226">
        <f>IF($C187="","",DATE(YEAR($C187),MONTH($C187),1))</f>
        <v/>
      </c>
      <c r="P187" s="113">
        <f>IF($C187="","",IF(AND($D187="Gelir",$L187&lt;&gt;"",$T187=""),"TANIMSIZ BORÇLU",IF($T187&lt;&gt;"",IF(OR($E187="",$G187&lt;=0),"EKSİK",IF($I187="Evet","TAHAKKUK NAKİT OLAMAZ",IF($C187&gt;TODAY(),"İLERİ TARİH","TAHAKKUK"))),IF(AND($D187&lt;&gt;"",$E187&lt;&gt;"",$G187&gt;0,$H187&lt;&gt;"",$I187&lt;&gt;""),IF($C187&gt;TODAY(),"İLERİ TARİH",IF(COUNTIF($W$7:$W$1206,$W187)&gt;1,"MÜKERRER?",IF($AD187&gt;0,"KAPALI DÖNEM",IF($I187="Hayır","ÖDENECEK","UYGUN")))),"EKSİK"))))</f>
        <v/>
      </c>
      <c r="Q187" s="6" t="n"/>
      <c r="R187" s="6" t="n"/>
      <c r="S187" s="3">
        <f>IF($L187="","",UPPER(SUBSTITUTE(SUBSTITUTE(SUBSTITUTE(SUBSTITUTE(SUBSTITUTE(SUBSTITUTE(SUBSTITUTE(SUBSTITUTE(SUBSTITUTE(SUBSTITUTE(SUBSTITUTE(SUBSTITUTE(SUBSTITUTE(SUBSTITUTE(SUBSTITUTE(SUBSTITUTE(SUBSTITUTE(SUBSTITUTE(TRIM($L187),"'",""),"İ","I"),"ı","I"),"i","I"),"Ş","S"),"ş","S"),"Ğ","G"),"ğ","G"),"Ü","U"),"ü","U"),"Ö","O"),"ö","O"),"Ç","C"),"ç","C"),".",""),",","")," ",""),"-","")))</f>
        <v/>
      </c>
      <c r="T187" s="3">
        <f>IF(OR($C187="",$D187&lt;&gt;"Gelir",$L187=""),"",IFERROR(INDEX(MUSTERILER!$B$7:$B$106,MATCH($S187,MUSTERILER!$T$7:$T$106,0)),""))</f>
        <v/>
      </c>
      <c r="U187" s="3">
        <f>IF($T187="","",$T187&amp;"|"&amp;COUNTIFS($T$7:$T187,$T187))</f>
        <v/>
      </c>
      <c r="V187" s="3">
        <f>IF($T187="",0,1)</f>
        <v/>
      </c>
      <c r="W187" s="3">
        <f>IF($C187="","",$D187&amp;"|"&amp;$E187&amp;"|"&amp;TEXT($C187,"0")&amp;"|"&amp;TEXT($G187,"0")&amp;"|"&amp;$J187)</f>
        <v/>
      </c>
      <c r="X187" s="3" t="n"/>
      <c r="Y187" s="3" t="n"/>
      <c r="Z187" s="3" t="n"/>
      <c r="AA187" s="3" t="n"/>
      <c r="AB187" s="3" t="n"/>
      <c r="AC187" s="3" t="n"/>
      <c r="AD187" s="3">
        <f>IF($C187="",0,SUMPRODUCT((AY_SONU!$O$7:$O$42="Evet")*(AY_SONU!$B$7:$B$42=DATE(YEAR($C187),MONTH($C187),1))))</f>
        <v/>
      </c>
    </row>
    <row r="188">
      <c r="A188" s="6" t="n"/>
      <c r="B188" s="113">
        <f>IF($C188="","","GG"&amp;TEXT(ROW()-6,"00000"))</f>
        <v/>
      </c>
      <c r="C188" s="220" t="n"/>
      <c r="D188" s="108" t="n"/>
      <c r="E188" s="109" t="n"/>
      <c r="F188" s="109" t="n"/>
      <c r="G188" s="221" t="n"/>
      <c r="H188" s="108" t="n"/>
      <c r="I188" s="108" t="n"/>
      <c r="J188" s="109" t="n"/>
      <c r="K188" s="109" t="n"/>
      <c r="L188" s="108" t="n"/>
      <c r="M188" s="121">
        <f>IF($C188="","",IF($D188="Gider",$E188,IF($L188&lt;&gt;"",$L188,$H188)))</f>
        <v/>
      </c>
      <c r="N188" s="121">
        <f>IF($C188="","",IF($D188="Gider",$H188,$E188))</f>
        <v/>
      </c>
      <c r="O188" s="226">
        <f>IF($C188="","",DATE(YEAR($C188),MONTH($C188),1))</f>
        <v/>
      </c>
      <c r="P188" s="113">
        <f>IF($C188="","",IF(AND($D188="Gelir",$L188&lt;&gt;"",$T188=""),"TANIMSIZ BORÇLU",IF($T188&lt;&gt;"",IF(OR($E188="",$G188&lt;=0),"EKSİK",IF($I188="Evet","TAHAKKUK NAKİT OLAMAZ",IF($C188&gt;TODAY(),"İLERİ TARİH","TAHAKKUK"))),IF(AND($D188&lt;&gt;"",$E188&lt;&gt;"",$G188&gt;0,$H188&lt;&gt;"",$I188&lt;&gt;""),IF($C188&gt;TODAY(),"İLERİ TARİH",IF(COUNTIF($W$7:$W$1206,$W188)&gt;1,"MÜKERRER?",IF($AD188&gt;0,"KAPALI DÖNEM",IF($I188="Hayır","ÖDENECEK","UYGUN")))),"EKSİK"))))</f>
        <v/>
      </c>
      <c r="Q188" s="6" t="n"/>
      <c r="R188" s="6" t="n"/>
      <c r="S188" s="3">
        <f>IF($L188="","",UPPER(SUBSTITUTE(SUBSTITUTE(SUBSTITUTE(SUBSTITUTE(SUBSTITUTE(SUBSTITUTE(SUBSTITUTE(SUBSTITUTE(SUBSTITUTE(SUBSTITUTE(SUBSTITUTE(SUBSTITUTE(SUBSTITUTE(SUBSTITUTE(SUBSTITUTE(SUBSTITUTE(SUBSTITUTE(SUBSTITUTE(TRIM($L188),"'",""),"İ","I"),"ı","I"),"i","I"),"Ş","S"),"ş","S"),"Ğ","G"),"ğ","G"),"Ü","U"),"ü","U"),"Ö","O"),"ö","O"),"Ç","C"),"ç","C"),".",""),",","")," ",""),"-","")))</f>
        <v/>
      </c>
      <c r="T188" s="3">
        <f>IF(OR($C188="",$D188&lt;&gt;"Gelir",$L188=""),"",IFERROR(INDEX(MUSTERILER!$B$7:$B$106,MATCH($S188,MUSTERILER!$T$7:$T$106,0)),""))</f>
        <v/>
      </c>
      <c r="U188" s="3">
        <f>IF($T188="","",$T188&amp;"|"&amp;COUNTIFS($T$7:$T188,$T188))</f>
        <v/>
      </c>
      <c r="V188" s="3">
        <f>IF($T188="",0,1)</f>
        <v/>
      </c>
      <c r="W188" s="3">
        <f>IF($C188="","",$D188&amp;"|"&amp;$E188&amp;"|"&amp;TEXT($C188,"0")&amp;"|"&amp;TEXT($G188,"0")&amp;"|"&amp;$J188)</f>
        <v/>
      </c>
      <c r="X188" s="3" t="n"/>
      <c r="Y188" s="3" t="n"/>
      <c r="Z188" s="3" t="n"/>
      <c r="AA188" s="3" t="n"/>
      <c r="AB188" s="3" t="n"/>
      <c r="AC188" s="3" t="n"/>
      <c r="AD188" s="3">
        <f>IF($C188="",0,SUMPRODUCT((AY_SONU!$O$7:$O$42="Evet")*(AY_SONU!$B$7:$B$42=DATE(YEAR($C188),MONTH($C188),1))))</f>
        <v/>
      </c>
    </row>
    <row r="189">
      <c r="A189" s="6" t="n"/>
      <c r="B189" s="113">
        <f>IF($C189="","","GG"&amp;TEXT(ROW()-6,"00000"))</f>
        <v/>
      </c>
      <c r="C189" s="220" t="n"/>
      <c r="D189" s="108" t="n"/>
      <c r="E189" s="109" t="n"/>
      <c r="F189" s="109" t="n"/>
      <c r="G189" s="221" t="n"/>
      <c r="H189" s="108" t="n"/>
      <c r="I189" s="108" t="n"/>
      <c r="J189" s="109" t="n"/>
      <c r="K189" s="109" t="n"/>
      <c r="L189" s="108" t="n"/>
      <c r="M189" s="121">
        <f>IF($C189="","",IF($D189="Gider",$E189,IF($L189&lt;&gt;"",$L189,$H189)))</f>
        <v/>
      </c>
      <c r="N189" s="121">
        <f>IF($C189="","",IF($D189="Gider",$H189,$E189))</f>
        <v/>
      </c>
      <c r="O189" s="226">
        <f>IF($C189="","",DATE(YEAR($C189),MONTH($C189),1))</f>
        <v/>
      </c>
      <c r="P189" s="113">
        <f>IF($C189="","",IF(AND($D189="Gelir",$L189&lt;&gt;"",$T189=""),"TANIMSIZ BORÇLU",IF($T189&lt;&gt;"",IF(OR($E189="",$G189&lt;=0),"EKSİK",IF($I189="Evet","TAHAKKUK NAKİT OLAMAZ",IF($C189&gt;TODAY(),"İLERİ TARİH","TAHAKKUK"))),IF(AND($D189&lt;&gt;"",$E189&lt;&gt;"",$G189&gt;0,$H189&lt;&gt;"",$I189&lt;&gt;""),IF($C189&gt;TODAY(),"İLERİ TARİH",IF(COUNTIF($W$7:$W$1206,$W189)&gt;1,"MÜKERRER?",IF($AD189&gt;0,"KAPALI DÖNEM",IF($I189="Hayır","ÖDENECEK","UYGUN")))),"EKSİK"))))</f>
        <v/>
      </c>
      <c r="Q189" s="6" t="n"/>
      <c r="R189" s="6" t="n"/>
      <c r="S189" s="3">
        <f>IF($L189="","",UPPER(SUBSTITUTE(SUBSTITUTE(SUBSTITUTE(SUBSTITUTE(SUBSTITUTE(SUBSTITUTE(SUBSTITUTE(SUBSTITUTE(SUBSTITUTE(SUBSTITUTE(SUBSTITUTE(SUBSTITUTE(SUBSTITUTE(SUBSTITUTE(SUBSTITUTE(SUBSTITUTE(SUBSTITUTE(SUBSTITUTE(TRIM($L189),"'",""),"İ","I"),"ı","I"),"i","I"),"Ş","S"),"ş","S"),"Ğ","G"),"ğ","G"),"Ü","U"),"ü","U"),"Ö","O"),"ö","O"),"Ç","C"),"ç","C"),".",""),",","")," ",""),"-","")))</f>
        <v/>
      </c>
      <c r="T189" s="3">
        <f>IF(OR($C189="",$D189&lt;&gt;"Gelir",$L189=""),"",IFERROR(INDEX(MUSTERILER!$B$7:$B$106,MATCH($S189,MUSTERILER!$T$7:$T$106,0)),""))</f>
        <v/>
      </c>
      <c r="U189" s="3">
        <f>IF($T189="","",$T189&amp;"|"&amp;COUNTIFS($T$7:$T189,$T189))</f>
        <v/>
      </c>
      <c r="V189" s="3">
        <f>IF($T189="",0,1)</f>
        <v/>
      </c>
      <c r="W189" s="3">
        <f>IF($C189="","",$D189&amp;"|"&amp;$E189&amp;"|"&amp;TEXT($C189,"0")&amp;"|"&amp;TEXT($G189,"0")&amp;"|"&amp;$J189)</f>
        <v/>
      </c>
      <c r="X189" s="3" t="n"/>
      <c r="Y189" s="3" t="n"/>
      <c r="Z189" s="3" t="n"/>
      <c r="AA189" s="3" t="n"/>
      <c r="AB189" s="3" t="n"/>
      <c r="AC189" s="3" t="n"/>
      <c r="AD189" s="3">
        <f>IF($C189="",0,SUMPRODUCT((AY_SONU!$O$7:$O$42="Evet")*(AY_SONU!$B$7:$B$42=DATE(YEAR($C189),MONTH($C189),1))))</f>
        <v/>
      </c>
    </row>
    <row r="190">
      <c r="A190" s="6" t="n"/>
      <c r="B190" s="113">
        <f>IF($C190="","","GG"&amp;TEXT(ROW()-6,"00000"))</f>
        <v/>
      </c>
      <c r="C190" s="220" t="n"/>
      <c r="D190" s="108" t="n"/>
      <c r="E190" s="109" t="n"/>
      <c r="F190" s="109" t="n"/>
      <c r="G190" s="221" t="n"/>
      <c r="H190" s="108" t="n"/>
      <c r="I190" s="108" t="n"/>
      <c r="J190" s="109" t="n"/>
      <c r="K190" s="109" t="n"/>
      <c r="L190" s="108" t="n"/>
      <c r="M190" s="121">
        <f>IF($C190="","",IF($D190="Gider",$E190,IF($L190&lt;&gt;"",$L190,$H190)))</f>
        <v/>
      </c>
      <c r="N190" s="121">
        <f>IF($C190="","",IF($D190="Gider",$H190,$E190))</f>
        <v/>
      </c>
      <c r="O190" s="226">
        <f>IF($C190="","",DATE(YEAR($C190),MONTH($C190),1))</f>
        <v/>
      </c>
      <c r="P190" s="113">
        <f>IF($C190="","",IF(AND($D190="Gelir",$L190&lt;&gt;"",$T190=""),"TANIMSIZ BORÇLU",IF($T190&lt;&gt;"",IF(OR($E190="",$G190&lt;=0),"EKSİK",IF($I190="Evet","TAHAKKUK NAKİT OLAMAZ",IF($C190&gt;TODAY(),"İLERİ TARİH","TAHAKKUK"))),IF(AND($D190&lt;&gt;"",$E190&lt;&gt;"",$G190&gt;0,$H190&lt;&gt;"",$I190&lt;&gt;""),IF($C190&gt;TODAY(),"İLERİ TARİH",IF(COUNTIF($W$7:$W$1206,$W190)&gt;1,"MÜKERRER?",IF($AD190&gt;0,"KAPALI DÖNEM",IF($I190="Hayır","ÖDENECEK","UYGUN")))),"EKSİK"))))</f>
        <v/>
      </c>
      <c r="Q190" s="6" t="n"/>
      <c r="R190" s="6" t="n"/>
      <c r="S190" s="3">
        <f>IF($L190="","",UPPER(SUBSTITUTE(SUBSTITUTE(SUBSTITUTE(SUBSTITUTE(SUBSTITUTE(SUBSTITUTE(SUBSTITUTE(SUBSTITUTE(SUBSTITUTE(SUBSTITUTE(SUBSTITUTE(SUBSTITUTE(SUBSTITUTE(SUBSTITUTE(SUBSTITUTE(SUBSTITUTE(SUBSTITUTE(SUBSTITUTE(TRIM($L190),"'",""),"İ","I"),"ı","I"),"i","I"),"Ş","S"),"ş","S"),"Ğ","G"),"ğ","G"),"Ü","U"),"ü","U"),"Ö","O"),"ö","O"),"Ç","C"),"ç","C"),".",""),",","")," ",""),"-","")))</f>
        <v/>
      </c>
      <c r="T190" s="3">
        <f>IF(OR($C190="",$D190&lt;&gt;"Gelir",$L190=""),"",IFERROR(INDEX(MUSTERILER!$B$7:$B$106,MATCH($S190,MUSTERILER!$T$7:$T$106,0)),""))</f>
        <v/>
      </c>
      <c r="U190" s="3">
        <f>IF($T190="","",$T190&amp;"|"&amp;COUNTIFS($T$7:$T190,$T190))</f>
        <v/>
      </c>
      <c r="V190" s="3">
        <f>IF($T190="",0,1)</f>
        <v/>
      </c>
      <c r="W190" s="3">
        <f>IF($C190="","",$D190&amp;"|"&amp;$E190&amp;"|"&amp;TEXT($C190,"0")&amp;"|"&amp;TEXT($G190,"0")&amp;"|"&amp;$J190)</f>
        <v/>
      </c>
      <c r="X190" s="3" t="n"/>
      <c r="Y190" s="3" t="n"/>
      <c r="Z190" s="3" t="n"/>
      <c r="AA190" s="3" t="n"/>
      <c r="AB190" s="3" t="n"/>
      <c r="AC190" s="3" t="n"/>
      <c r="AD190" s="3">
        <f>IF($C190="",0,SUMPRODUCT((AY_SONU!$O$7:$O$42="Evet")*(AY_SONU!$B$7:$B$42=DATE(YEAR($C190),MONTH($C190),1))))</f>
        <v/>
      </c>
    </row>
    <row r="191">
      <c r="A191" s="6" t="n"/>
      <c r="B191" s="113">
        <f>IF($C191="","","GG"&amp;TEXT(ROW()-6,"00000"))</f>
        <v/>
      </c>
      <c r="C191" s="220" t="n"/>
      <c r="D191" s="108" t="n"/>
      <c r="E191" s="109" t="n"/>
      <c r="F191" s="109" t="n"/>
      <c r="G191" s="221" t="n"/>
      <c r="H191" s="108" t="n"/>
      <c r="I191" s="108" t="n"/>
      <c r="J191" s="109" t="n"/>
      <c r="K191" s="109" t="n"/>
      <c r="L191" s="108" t="n"/>
      <c r="M191" s="121">
        <f>IF($C191="","",IF($D191="Gider",$E191,IF($L191&lt;&gt;"",$L191,$H191)))</f>
        <v/>
      </c>
      <c r="N191" s="121">
        <f>IF($C191="","",IF($D191="Gider",$H191,$E191))</f>
        <v/>
      </c>
      <c r="O191" s="226">
        <f>IF($C191="","",DATE(YEAR($C191),MONTH($C191),1))</f>
        <v/>
      </c>
      <c r="P191" s="113">
        <f>IF($C191="","",IF(AND($D191="Gelir",$L191&lt;&gt;"",$T191=""),"TANIMSIZ BORÇLU",IF($T191&lt;&gt;"",IF(OR($E191="",$G191&lt;=0),"EKSİK",IF($I191="Evet","TAHAKKUK NAKİT OLAMAZ",IF($C191&gt;TODAY(),"İLERİ TARİH","TAHAKKUK"))),IF(AND($D191&lt;&gt;"",$E191&lt;&gt;"",$G191&gt;0,$H191&lt;&gt;"",$I191&lt;&gt;""),IF($C191&gt;TODAY(),"İLERİ TARİH",IF(COUNTIF($W$7:$W$1206,$W191)&gt;1,"MÜKERRER?",IF($AD191&gt;0,"KAPALI DÖNEM",IF($I191="Hayır","ÖDENECEK","UYGUN")))),"EKSİK"))))</f>
        <v/>
      </c>
      <c r="Q191" s="6" t="n"/>
      <c r="R191" s="6" t="n"/>
      <c r="S191" s="3">
        <f>IF($L191="","",UPPER(SUBSTITUTE(SUBSTITUTE(SUBSTITUTE(SUBSTITUTE(SUBSTITUTE(SUBSTITUTE(SUBSTITUTE(SUBSTITUTE(SUBSTITUTE(SUBSTITUTE(SUBSTITUTE(SUBSTITUTE(SUBSTITUTE(SUBSTITUTE(SUBSTITUTE(SUBSTITUTE(SUBSTITUTE(SUBSTITUTE(TRIM($L191),"'",""),"İ","I"),"ı","I"),"i","I"),"Ş","S"),"ş","S"),"Ğ","G"),"ğ","G"),"Ü","U"),"ü","U"),"Ö","O"),"ö","O"),"Ç","C"),"ç","C"),".",""),",","")," ",""),"-","")))</f>
        <v/>
      </c>
      <c r="T191" s="3">
        <f>IF(OR($C191="",$D191&lt;&gt;"Gelir",$L191=""),"",IFERROR(INDEX(MUSTERILER!$B$7:$B$106,MATCH($S191,MUSTERILER!$T$7:$T$106,0)),""))</f>
        <v/>
      </c>
      <c r="U191" s="3">
        <f>IF($T191="","",$T191&amp;"|"&amp;COUNTIFS($T$7:$T191,$T191))</f>
        <v/>
      </c>
      <c r="V191" s="3">
        <f>IF($T191="",0,1)</f>
        <v/>
      </c>
      <c r="W191" s="3">
        <f>IF($C191="","",$D191&amp;"|"&amp;$E191&amp;"|"&amp;TEXT($C191,"0")&amp;"|"&amp;TEXT($G191,"0")&amp;"|"&amp;$J191)</f>
        <v/>
      </c>
      <c r="X191" s="3" t="n"/>
      <c r="Y191" s="3" t="n"/>
      <c r="Z191" s="3" t="n"/>
      <c r="AA191" s="3" t="n"/>
      <c r="AB191" s="3" t="n"/>
      <c r="AC191" s="3" t="n"/>
      <c r="AD191" s="3">
        <f>IF($C191="",0,SUMPRODUCT((AY_SONU!$O$7:$O$42="Evet")*(AY_SONU!$B$7:$B$42=DATE(YEAR($C191),MONTH($C191),1))))</f>
        <v/>
      </c>
    </row>
    <row r="192">
      <c r="A192" s="6" t="n"/>
      <c r="B192" s="113">
        <f>IF($C192="","","GG"&amp;TEXT(ROW()-6,"00000"))</f>
        <v/>
      </c>
      <c r="C192" s="220" t="n"/>
      <c r="D192" s="108" t="n"/>
      <c r="E192" s="109" t="n"/>
      <c r="F192" s="109" t="n"/>
      <c r="G192" s="221" t="n"/>
      <c r="H192" s="108" t="n"/>
      <c r="I192" s="108" t="n"/>
      <c r="J192" s="109" t="n"/>
      <c r="K192" s="109" t="n"/>
      <c r="L192" s="108" t="n"/>
      <c r="M192" s="121">
        <f>IF($C192="","",IF($D192="Gider",$E192,IF($L192&lt;&gt;"",$L192,$H192)))</f>
        <v/>
      </c>
      <c r="N192" s="121">
        <f>IF($C192="","",IF($D192="Gider",$H192,$E192))</f>
        <v/>
      </c>
      <c r="O192" s="226">
        <f>IF($C192="","",DATE(YEAR($C192),MONTH($C192),1))</f>
        <v/>
      </c>
      <c r="P192" s="113">
        <f>IF($C192="","",IF(AND($D192="Gelir",$L192&lt;&gt;"",$T192=""),"TANIMSIZ BORÇLU",IF($T192&lt;&gt;"",IF(OR($E192="",$G192&lt;=0),"EKSİK",IF($I192="Evet","TAHAKKUK NAKİT OLAMAZ",IF($C192&gt;TODAY(),"İLERİ TARİH","TAHAKKUK"))),IF(AND($D192&lt;&gt;"",$E192&lt;&gt;"",$G192&gt;0,$H192&lt;&gt;"",$I192&lt;&gt;""),IF($C192&gt;TODAY(),"İLERİ TARİH",IF(COUNTIF($W$7:$W$1206,$W192)&gt;1,"MÜKERRER?",IF($AD192&gt;0,"KAPALI DÖNEM",IF($I192="Hayır","ÖDENECEK","UYGUN")))),"EKSİK"))))</f>
        <v/>
      </c>
      <c r="Q192" s="6" t="n"/>
      <c r="R192" s="6" t="n"/>
      <c r="S192" s="3">
        <f>IF($L192="","",UPPER(SUBSTITUTE(SUBSTITUTE(SUBSTITUTE(SUBSTITUTE(SUBSTITUTE(SUBSTITUTE(SUBSTITUTE(SUBSTITUTE(SUBSTITUTE(SUBSTITUTE(SUBSTITUTE(SUBSTITUTE(SUBSTITUTE(SUBSTITUTE(SUBSTITUTE(SUBSTITUTE(SUBSTITUTE(SUBSTITUTE(TRIM($L192),"'",""),"İ","I"),"ı","I"),"i","I"),"Ş","S"),"ş","S"),"Ğ","G"),"ğ","G"),"Ü","U"),"ü","U"),"Ö","O"),"ö","O"),"Ç","C"),"ç","C"),".",""),",","")," ",""),"-","")))</f>
        <v/>
      </c>
      <c r="T192" s="3">
        <f>IF(OR($C192="",$D192&lt;&gt;"Gelir",$L192=""),"",IFERROR(INDEX(MUSTERILER!$B$7:$B$106,MATCH($S192,MUSTERILER!$T$7:$T$106,0)),""))</f>
        <v/>
      </c>
      <c r="U192" s="3">
        <f>IF($T192="","",$T192&amp;"|"&amp;COUNTIFS($T$7:$T192,$T192))</f>
        <v/>
      </c>
      <c r="V192" s="3">
        <f>IF($T192="",0,1)</f>
        <v/>
      </c>
      <c r="W192" s="3">
        <f>IF($C192="","",$D192&amp;"|"&amp;$E192&amp;"|"&amp;TEXT($C192,"0")&amp;"|"&amp;TEXT($G192,"0")&amp;"|"&amp;$J192)</f>
        <v/>
      </c>
      <c r="X192" s="3" t="n"/>
      <c r="Y192" s="3" t="n"/>
      <c r="Z192" s="3" t="n"/>
      <c r="AA192" s="3" t="n"/>
      <c r="AB192" s="3" t="n"/>
      <c r="AC192" s="3" t="n"/>
      <c r="AD192" s="3">
        <f>IF($C192="",0,SUMPRODUCT((AY_SONU!$O$7:$O$42="Evet")*(AY_SONU!$B$7:$B$42=DATE(YEAR($C192),MONTH($C192),1))))</f>
        <v/>
      </c>
    </row>
    <row r="193">
      <c r="A193" s="6" t="n"/>
      <c r="B193" s="113">
        <f>IF($C193="","","GG"&amp;TEXT(ROW()-6,"00000"))</f>
        <v/>
      </c>
      <c r="C193" s="220" t="n"/>
      <c r="D193" s="108" t="n"/>
      <c r="E193" s="109" t="n"/>
      <c r="F193" s="109" t="n"/>
      <c r="G193" s="221" t="n"/>
      <c r="H193" s="108" t="n"/>
      <c r="I193" s="108" t="n"/>
      <c r="J193" s="109" t="n"/>
      <c r="K193" s="109" t="n"/>
      <c r="L193" s="108" t="n"/>
      <c r="M193" s="121">
        <f>IF($C193="","",IF($D193="Gider",$E193,IF($L193&lt;&gt;"",$L193,$H193)))</f>
        <v/>
      </c>
      <c r="N193" s="121">
        <f>IF($C193="","",IF($D193="Gider",$H193,$E193))</f>
        <v/>
      </c>
      <c r="O193" s="226">
        <f>IF($C193="","",DATE(YEAR($C193),MONTH($C193),1))</f>
        <v/>
      </c>
      <c r="P193" s="113">
        <f>IF($C193="","",IF(AND($D193="Gelir",$L193&lt;&gt;"",$T193=""),"TANIMSIZ BORÇLU",IF($T193&lt;&gt;"",IF(OR($E193="",$G193&lt;=0),"EKSİK",IF($I193="Evet","TAHAKKUK NAKİT OLAMAZ",IF($C193&gt;TODAY(),"İLERİ TARİH","TAHAKKUK"))),IF(AND($D193&lt;&gt;"",$E193&lt;&gt;"",$G193&gt;0,$H193&lt;&gt;"",$I193&lt;&gt;""),IF($C193&gt;TODAY(),"İLERİ TARİH",IF(COUNTIF($W$7:$W$1206,$W193)&gt;1,"MÜKERRER?",IF($AD193&gt;0,"KAPALI DÖNEM",IF($I193="Hayır","ÖDENECEK","UYGUN")))),"EKSİK"))))</f>
        <v/>
      </c>
      <c r="Q193" s="6" t="n"/>
      <c r="R193" s="6" t="n"/>
      <c r="S193" s="3">
        <f>IF($L193="","",UPPER(SUBSTITUTE(SUBSTITUTE(SUBSTITUTE(SUBSTITUTE(SUBSTITUTE(SUBSTITUTE(SUBSTITUTE(SUBSTITUTE(SUBSTITUTE(SUBSTITUTE(SUBSTITUTE(SUBSTITUTE(SUBSTITUTE(SUBSTITUTE(SUBSTITUTE(SUBSTITUTE(SUBSTITUTE(SUBSTITUTE(TRIM($L193),"'",""),"İ","I"),"ı","I"),"i","I"),"Ş","S"),"ş","S"),"Ğ","G"),"ğ","G"),"Ü","U"),"ü","U"),"Ö","O"),"ö","O"),"Ç","C"),"ç","C"),".",""),",","")," ",""),"-","")))</f>
        <v/>
      </c>
      <c r="T193" s="3">
        <f>IF(OR($C193="",$D193&lt;&gt;"Gelir",$L193=""),"",IFERROR(INDEX(MUSTERILER!$B$7:$B$106,MATCH($S193,MUSTERILER!$T$7:$T$106,0)),""))</f>
        <v/>
      </c>
      <c r="U193" s="3">
        <f>IF($T193="","",$T193&amp;"|"&amp;COUNTIFS($T$7:$T193,$T193))</f>
        <v/>
      </c>
      <c r="V193" s="3">
        <f>IF($T193="",0,1)</f>
        <v/>
      </c>
      <c r="W193" s="3">
        <f>IF($C193="","",$D193&amp;"|"&amp;$E193&amp;"|"&amp;TEXT($C193,"0")&amp;"|"&amp;TEXT($G193,"0")&amp;"|"&amp;$J193)</f>
        <v/>
      </c>
      <c r="X193" s="3" t="n"/>
      <c r="Y193" s="3" t="n"/>
      <c r="Z193" s="3" t="n"/>
      <c r="AA193" s="3" t="n"/>
      <c r="AB193" s="3" t="n"/>
      <c r="AC193" s="3" t="n"/>
      <c r="AD193" s="3">
        <f>IF($C193="",0,SUMPRODUCT((AY_SONU!$O$7:$O$42="Evet")*(AY_SONU!$B$7:$B$42=DATE(YEAR($C193),MONTH($C193),1))))</f>
        <v/>
      </c>
    </row>
    <row r="194">
      <c r="A194" s="6" t="n"/>
      <c r="B194" s="113">
        <f>IF($C194="","","GG"&amp;TEXT(ROW()-6,"00000"))</f>
        <v/>
      </c>
      <c r="C194" s="220" t="n"/>
      <c r="D194" s="108" t="n"/>
      <c r="E194" s="109" t="n"/>
      <c r="F194" s="109" t="n"/>
      <c r="G194" s="221" t="n"/>
      <c r="H194" s="108" t="n"/>
      <c r="I194" s="108" t="n"/>
      <c r="J194" s="109" t="n"/>
      <c r="K194" s="109" t="n"/>
      <c r="L194" s="108" t="n"/>
      <c r="M194" s="121">
        <f>IF($C194="","",IF($D194="Gider",$E194,IF($L194&lt;&gt;"",$L194,$H194)))</f>
        <v/>
      </c>
      <c r="N194" s="121">
        <f>IF($C194="","",IF($D194="Gider",$H194,$E194))</f>
        <v/>
      </c>
      <c r="O194" s="226">
        <f>IF($C194="","",DATE(YEAR($C194),MONTH($C194),1))</f>
        <v/>
      </c>
      <c r="P194" s="113">
        <f>IF($C194="","",IF(AND($D194="Gelir",$L194&lt;&gt;"",$T194=""),"TANIMSIZ BORÇLU",IF($T194&lt;&gt;"",IF(OR($E194="",$G194&lt;=0),"EKSİK",IF($I194="Evet","TAHAKKUK NAKİT OLAMAZ",IF($C194&gt;TODAY(),"İLERİ TARİH","TAHAKKUK"))),IF(AND($D194&lt;&gt;"",$E194&lt;&gt;"",$G194&gt;0,$H194&lt;&gt;"",$I194&lt;&gt;""),IF($C194&gt;TODAY(),"İLERİ TARİH",IF(COUNTIF($W$7:$W$1206,$W194)&gt;1,"MÜKERRER?",IF($AD194&gt;0,"KAPALI DÖNEM",IF($I194="Hayır","ÖDENECEK","UYGUN")))),"EKSİK"))))</f>
        <v/>
      </c>
      <c r="Q194" s="6" t="n"/>
      <c r="R194" s="6" t="n"/>
      <c r="S194" s="3">
        <f>IF($L194="","",UPPER(SUBSTITUTE(SUBSTITUTE(SUBSTITUTE(SUBSTITUTE(SUBSTITUTE(SUBSTITUTE(SUBSTITUTE(SUBSTITUTE(SUBSTITUTE(SUBSTITUTE(SUBSTITUTE(SUBSTITUTE(SUBSTITUTE(SUBSTITUTE(SUBSTITUTE(SUBSTITUTE(SUBSTITUTE(SUBSTITUTE(TRIM($L194),"'",""),"İ","I"),"ı","I"),"i","I"),"Ş","S"),"ş","S"),"Ğ","G"),"ğ","G"),"Ü","U"),"ü","U"),"Ö","O"),"ö","O"),"Ç","C"),"ç","C"),".",""),",","")," ",""),"-","")))</f>
        <v/>
      </c>
      <c r="T194" s="3">
        <f>IF(OR($C194="",$D194&lt;&gt;"Gelir",$L194=""),"",IFERROR(INDEX(MUSTERILER!$B$7:$B$106,MATCH($S194,MUSTERILER!$T$7:$T$106,0)),""))</f>
        <v/>
      </c>
      <c r="U194" s="3">
        <f>IF($T194="","",$T194&amp;"|"&amp;COUNTIFS($T$7:$T194,$T194))</f>
        <v/>
      </c>
      <c r="V194" s="3">
        <f>IF($T194="",0,1)</f>
        <v/>
      </c>
      <c r="W194" s="3">
        <f>IF($C194="","",$D194&amp;"|"&amp;$E194&amp;"|"&amp;TEXT($C194,"0")&amp;"|"&amp;TEXT($G194,"0")&amp;"|"&amp;$J194)</f>
        <v/>
      </c>
      <c r="X194" s="3" t="n"/>
      <c r="Y194" s="3" t="n"/>
      <c r="Z194" s="3" t="n"/>
      <c r="AA194" s="3" t="n"/>
      <c r="AB194" s="3" t="n"/>
      <c r="AC194" s="3" t="n"/>
      <c r="AD194" s="3">
        <f>IF($C194="",0,SUMPRODUCT((AY_SONU!$O$7:$O$42="Evet")*(AY_SONU!$B$7:$B$42=DATE(YEAR($C194),MONTH($C194),1))))</f>
        <v/>
      </c>
    </row>
    <row r="195">
      <c r="A195" s="6" t="n"/>
      <c r="B195" s="113">
        <f>IF($C195="","","GG"&amp;TEXT(ROW()-6,"00000"))</f>
        <v/>
      </c>
      <c r="C195" s="220" t="n"/>
      <c r="D195" s="108" t="n"/>
      <c r="E195" s="109" t="n"/>
      <c r="F195" s="109" t="n"/>
      <c r="G195" s="221" t="n"/>
      <c r="H195" s="108" t="n"/>
      <c r="I195" s="108" t="n"/>
      <c r="J195" s="109" t="n"/>
      <c r="K195" s="109" t="n"/>
      <c r="L195" s="108" t="n"/>
      <c r="M195" s="121">
        <f>IF($C195="","",IF($D195="Gider",$E195,IF($L195&lt;&gt;"",$L195,$H195)))</f>
        <v/>
      </c>
      <c r="N195" s="121">
        <f>IF($C195="","",IF($D195="Gider",$H195,$E195))</f>
        <v/>
      </c>
      <c r="O195" s="226">
        <f>IF($C195="","",DATE(YEAR($C195),MONTH($C195),1))</f>
        <v/>
      </c>
      <c r="P195" s="113">
        <f>IF($C195="","",IF(AND($D195="Gelir",$L195&lt;&gt;"",$T195=""),"TANIMSIZ BORÇLU",IF($T195&lt;&gt;"",IF(OR($E195="",$G195&lt;=0),"EKSİK",IF($I195="Evet","TAHAKKUK NAKİT OLAMAZ",IF($C195&gt;TODAY(),"İLERİ TARİH","TAHAKKUK"))),IF(AND($D195&lt;&gt;"",$E195&lt;&gt;"",$G195&gt;0,$H195&lt;&gt;"",$I195&lt;&gt;""),IF($C195&gt;TODAY(),"İLERİ TARİH",IF(COUNTIF($W$7:$W$1206,$W195)&gt;1,"MÜKERRER?",IF($AD195&gt;0,"KAPALI DÖNEM",IF($I195="Hayır","ÖDENECEK","UYGUN")))),"EKSİK"))))</f>
        <v/>
      </c>
      <c r="Q195" s="6" t="n"/>
      <c r="R195" s="6" t="n"/>
      <c r="S195" s="3">
        <f>IF($L195="","",UPPER(SUBSTITUTE(SUBSTITUTE(SUBSTITUTE(SUBSTITUTE(SUBSTITUTE(SUBSTITUTE(SUBSTITUTE(SUBSTITUTE(SUBSTITUTE(SUBSTITUTE(SUBSTITUTE(SUBSTITUTE(SUBSTITUTE(SUBSTITUTE(SUBSTITUTE(SUBSTITUTE(SUBSTITUTE(SUBSTITUTE(TRIM($L195),"'",""),"İ","I"),"ı","I"),"i","I"),"Ş","S"),"ş","S"),"Ğ","G"),"ğ","G"),"Ü","U"),"ü","U"),"Ö","O"),"ö","O"),"Ç","C"),"ç","C"),".",""),",","")," ",""),"-","")))</f>
        <v/>
      </c>
      <c r="T195" s="3">
        <f>IF(OR($C195="",$D195&lt;&gt;"Gelir",$L195=""),"",IFERROR(INDEX(MUSTERILER!$B$7:$B$106,MATCH($S195,MUSTERILER!$T$7:$T$106,0)),""))</f>
        <v/>
      </c>
      <c r="U195" s="3">
        <f>IF($T195="","",$T195&amp;"|"&amp;COUNTIFS($T$7:$T195,$T195))</f>
        <v/>
      </c>
      <c r="V195" s="3">
        <f>IF($T195="",0,1)</f>
        <v/>
      </c>
      <c r="W195" s="3">
        <f>IF($C195="","",$D195&amp;"|"&amp;$E195&amp;"|"&amp;TEXT($C195,"0")&amp;"|"&amp;TEXT($G195,"0")&amp;"|"&amp;$J195)</f>
        <v/>
      </c>
      <c r="X195" s="3" t="n"/>
      <c r="Y195" s="3" t="n"/>
      <c r="Z195" s="3" t="n"/>
      <c r="AA195" s="3" t="n"/>
      <c r="AB195" s="3" t="n"/>
      <c r="AC195" s="3" t="n"/>
      <c r="AD195" s="3">
        <f>IF($C195="",0,SUMPRODUCT((AY_SONU!$O$7:$O$42="Evet")*(AY_SONU!$B$7:$B$42=DATE(YEAR($C195),MONTH($C195),1))))</f>
        <v/>
      </c>
    </row>
    <row r="196">
      <c r="A196" s="6" t="n"/>
      <c r="B196" s="113">
        <f>IF($C196="","","GG"&amp;TEXT(ROW()-6,"00000"))</f>
        <v/>
      </c>
      <c r="C196" s="220" t="n"/>
      <c r="D196" s="108" t="n"/>
      <c r="E196" s="109" t="n"/>
      <c r="F196" s="109" t="n"/>
      <c r="G196" s="221" t="n"/>
      <c r="H196" s="108" t="n"/>
      <c r="I196" s="108" t="n"/>
      <c r="J196" s="109" t="n"/>
      <c r="K196" s="109" t="n"/>
      <c r="L196" s="108" t="n"/>
      <c r="M196" s="121">
        <f>IF($C196="","",IF($D196="Gider",$E196,IF($L196&lt;&gt;"",$L196,$H196)))</f>
        <v/>
      </c>
      <c r="N196" s="121">
        <f>IF($C196="","",IF($D196="Gider",$H196,$E196))</f>
        <v/>
      </c>
      <c r="O196" s="226">
        <f>IF($C196="","",DATE(YEAR($C196),MONTH($C196),1))</f>
        <v/>
      </c>
      <c r="P196" s="113">
        <f>IF($C196="","",IF(AND($D196="Gelir",$L196&lt;&gt;"",$T196=""),"TANIMSIZ BORÇLU",IF($T196&lt;&gt;"",IF(OR($E196="",$G196&lt;=0),"EKSİK",IF($I196="Evet","TAHAKKUK NAKİT OLAMAZ",IF($C196&gt;TODAY(),"İLERİ TARİH","TAHAKKUK"))),IF(AND($D196&lt;&gt;"",$E196&lt;&gt;"",$G196&gt;0,$H196&lt;&gt;"",$I196&lt;&gt;""),IF($C196&gt;TODAY(),"İLERİ TARİH",IF(COUNTIF($W$7:$W$1206,$W196)&gt;1,"MÜKERRER?",IF($AD196&gt;0,"KAPALI DÖNEM",IF($I196="Hayır","ÖDENECEK","UYGUN")))),"EKSİK"))))</f>
        <v/>
      </c>
      <c r="Q196" s="6" t="n"/>
      <c r="R196" s="6" t="n"/>
      <c r="S196" s="3">
        <f>IF($L196="","",UPPER(SUBSTITUTE(SUBSTITUTE(SUBSTITUTE(SUBSTITUTE(SUBSTITUTE(SUBSTITUTE(SUBSTITUTE(SUBSTITUTE(SUBSTITUTE(SUBSTITUTE(SUBSTITUTE(SUBSTITUTE(SUBSTITUTE(SUBSTITUTE(SUBSTITUTE(SUBSTITUTE(SUBSTITUTE(SUBSTITUTE(TRIM($L196),"'",""),"İ","I"),"ı","I"),"i","I"),"Ş","S"),"ş","S"),"Ğ","G"),"ğ","G"),"Ü","U"),"ü","U"),"Ö","O"),"ö","O"),"Ç","C"),"ç","C"),".",""),",","")," ",""),"-","")))</f>
        <v/>
      </c>
      <c r="T196" s="3">
        <f>IF(OR($C196="",$D196&lt;&gt;"Gelir",$L196=""),"",IFERROR(INDEX(MUSTERILER!$B$7:$B$106,MATCH($S196,MUSTERILER!$T$7:$T$106,0)),""))</f>
        <v/>
      </c>
      <c r="U196" s="3">
        <f>IF($T196="","",$T196&amp;"|"&amp;COUNTIFS($T$7:$T196,$T196))</f>
        <v/>
      </c>
      <c r="V196" s="3">
        <f>IF($T196="",0,1)</f>
        <v/>
      </c>
      <c r="W196" s="3">
        <f>IF($C196="","",$D196&amp;"|"&amp;$E196&amp;"|"&amp;TEXT($C196,"0")&amp;"|"&amp;TEXT($G196,"0")&amp;"|"&amp;$J196)</f>
        <v/>
      </c>
      <c r="X196" s="3" t="n"/>
      <c r="Y196" s="3" t="n"/>
      <c r="Z196" s="3" t="n"/>
      <c r="AA196" s="3" t="n"/>
      <c r="AB196" s="3" t="n"/>
      <c r="AC196" s="3" t="n"/>
      <c r="AD196" s="3">
        <f>IF($C196="",0,SUMPRODUCT((AY_SONU!$O$7:$O$42="Evet")*(AY_SONU!$B$7:$B$42=DATE(YEAR($C196),MONTH($C196),1))))</f>
        <v/>
      </c>
    </row>
    <row r="197">
      <c r="A197" s="6" t="n"/>
      <c r="B197" s="113">
        <f>IF($C197="","","GG"&amp;TEXT(ROW()-6,"00000"))</f>
        <v/>
      </c>
      <c r="C197" s="220" t="n"/>
      <c r="D197" s="108" t="n"/>
      <c r="E197" s="109" t="n"/>
      <c r="F197" s="109" t="n"/>
      <c r="G197" s="221" t="n"/>
      <c r="H197" s="108" t="n"/>
      <c r="I197" s="108" t="n"/>
      <c r="J197" s="109" t="n"/>
      <c r="K197" s="109" t="n"/>
      <c r="L197" s="108" t="n"/>
      <c r="M197" s="121">
        <f>IF($C197="","",IF($D197="Gider",$E197,IF($L197&lt;&gt;"",$L197,$H197)))</f>
        <v/>
      </c>
      <c r="N197" s="121">
        <f>IF($C197="","",IF($D197="Gider",$H197,$E197))</f>
        <v/>
      </c>
      <c r="O197" s="226">
        <f>IF($C197="","",DATE(YEAR($C197),MONTH($C197),1))</f>
        <v/>
      </c>
      <c r="P197" s="113">
        <f>IF($C197="","",IF(AND($D197="Gelir",$L197&lt;&gt;"",$T197=""),"TANIMSIZ BORÇLU",IF($T197&lt;&gt;"",IF(OR($E197="",$G197&lt;=0),"EKSİK",IF($I197="Evet","TAHAKKUK NAKİT OLAMAZ",IF($C197&gt;TODAY(),"İLERİ TARİH","TAHAKKUK"))),IF(AND($D197&lt;&gt;"",$E197&lt;&gt;"",$G197&gt;0,$H197&lt;&gt;"",$I197&lt;&gt;""),IF($C197&gt;TODAY(),"İLERİ TARİH",IF(COUNTIF($W$7:$W$1206,$W197)&gt;1,"MÜKERRER?",IF($AD197&gt;0,"KAPALI DÖNEM",IF($I197="Hayır","ÖDENECEK","UYGUN")))),"EKSİK"))))</f>
        <v/>
      </c>
      <c r="Q197" s="6" t="n"/>
      <c r="R197" s="6" t="n"/>
      <c r="S197" s="3">
        <f>IF($L197="","",UPPER(SUBSTITUTE(SUBSTITUTE(SUBSTITUTE(SUBSTITUTE(SUBSTITUTE(SUBSTITUTE(SUBSTITUTE(SUBSTITUTE(SUBSTITUTE(SUBSTITUTE(SUBSTITUTE(SUBSTITUTE(SUBSTITUTE(SUBSTITUTE(SUBSTITUTE(SUBSTITUTE(SUBSTITUTE(SUBSTITUTE(TRIM($L197),"'",""),"İ","I"),"ı","I"),"i","I"),"Ş","S"),"ş","S"),"Ğ","G"),"ğ","G"),"Ü","U"),"ü","U"),"Ö","O"),"ö","O"),"Ç","C"),"ç","C"),".",""),",","")," ",""),"-","")))</f>
        <v/>
      </c>
      <c r="T197" s="3">
        <f>IF(OR($C197="",$D197&lt;&gt;"Gelir",$L197=""),"",IFERROR(INDEX(MUSTERILER!$B$7:$B$106,MATCH($S197,MUSTERILER!$T$7:$T$106,0)),""))</f>
        <v/>
      </c>
      <c r="U197" s="3">
        <f>IF($T197="","",$T197&amp;"|"&amp;COUNTIFS($T$7:$T197,$T197))</f>
        <v/>
      </c>
      <c r="V197" s="3">
        <f>IF($T197="",0,1)</f>
        <v/>
      </c>
      <c r="W197" s="3">
        <f>IF($C197="","",$D197&amp;"|"&amp;$E197&amp;"|"&amp;TEXT($C197,"0")&amp;"|"&amp;TEXT($G197,"0")&amp;"|"&amp;$J197)</f>
        <v/>
      </c>
      <c r="X197" s="3" t="n"/>
      <c r="Y197" s="3" t="n"/>
      <c r="Z197" s="3" t="n"/>
      <c r="AA197" s="3" t="n"/>
      <c r="AB197" s="3" t="n"/>
      <c r="AC197" s="3" t="n"/>
      <c r="AD197" s="3">
        <f>IF($C197="",0,SUMPRODUCT((AY_SONU!$O$7:$O$42="Evet")*(AY_SONU!$B$7:$B$42=DATE(YEAR($C197),MONTH($C197),1))))</f>
        <v/>
      </c>
    </row>
    <row r="198">
      <c r="A198" s="6" t="n"/>
      <c r="B198" s="113">
        <f>IF($C198="","","GG"&amp;TEXT(ROW()-6,"00000"))</f>
        <v/>
      </c>
      <c r="C198" s="220" t="n"/>
      <c r="D198" s="108" t="n"/>
      <c r="E198" s="109" t="n"/>
      <c r="F198" s="109" t="n"/>
      <c r="G198" s="221" t="n"/>
      <c r="H198" s="108" t="n"/>
      <c r="I198" s="108" t="n"/>
      <c r="J198" s="109" t="n"/>
      <c r="K198" s="109" t="n"/>
      <c r="L198" s="108" t="n"/>
      <c r="M198" s="121">
        <f>IF($C198="","",IF($D198="Gider",$E198,IF($L198&lt;&gt;"",$L198,$H198)))</f>
        <v/>
      </c>
      <c r="N198" s="121">
        <f>IF($C198="","",IF($D198="Gider",$H198,$E198))</f>
        <v/>
      </c>
      <c r="O198" s="226">
        <f>IF($C198="","",DATE(YEAR($C198),MONTH($C198),1))</f>
        <v/>
      </c>
      <c r="P198" s="113">
        <f>IF($C198="","",IF(AND($D198="Gelir",$L198&lt;&gt;"",$T198=""),"TANIMSIZ BORÇLU",IF($T198&lt;&gt;"",IF(OR($E198="",$G198&lt;=0),"EKSİK",IF($I198="Evet","TAHAKKUK NAKİT OLAMAZ",IF($C198&gt;TODAY(),"İLERİ TARİH","TAHAKKUK"))),IF(AND($D198&lt;&gt;"",$E198&lt;&gt;"",$G198&gt;0,$H198&lt;&gt;"",$I198&lt;&gt;""),IF($C198&gt;TODAY(),"İLERİ TARİH",IF(COUNTIF($W$7:$W$1206,$W198)&gt;1,"MÜKERRER?",IF($AD198&gt;0,"KAPALI DÖNEM",IF($I198="Hayır","ÖDENECEK","UYGUN")))),"EKSİK"))))</f>
        <v/>
      </c>
      <c r="Q198" s="6" t="n"/>
      <c r="R198" s="6" t="n"/>
      <c r="S198" s="3">
        <f>IF($L198="","",UPPER(SUBSTITUTE(SUBSTITUTE(SUBSTITUTE(SUBSTITUTE(SUBSTITUTE(SUBSTITUTE(SUBSTITUTE(SUBSTITUTE(SUBSTITUTE(SUBSTITUTE(SUBSTITUTE(SUBSTITUTE(SUBSTITUTE(SUBSTITUTE(SUBSTITUTE(SUBSTITUTE(SUBSTITUTE(SUBSTITUTE(TRIM($L198),"'",""),"İ","I"),"ı","I"),"i","I"),"Ş","S"),"ş","S"),"Ğ","G"),"ğ","G"),"Ü","U"),"ü","U"),"Ö","O"),"ö","O"),"Ç","C"),"ç","C"),".",""),",","")," ",""),"-","")))</f>
        <v/>
      </c>
      <c r="T198" s="3">
        <f>IF(OR($C198="",$D198&lt;&gt;"Gelir",$L198=""),"",IFERROR(INDEX(MUSTERILER!$B$7:$B$106,MATCH($S198,MUSTERILER!$T$7:$T$106,0)),""))</f>
        <v/>
      </c>
      <c r="U198" s="3">
        <f>IF($T198="","",$T198&amp;"|"&amp;COUNTIFS($T$7:$T198,$T198))</f>
        <v/>
      </c>
      <c r="V198" s="3">
        <f>IF($T198="",0,1)</f>
        <v/>
      </c>
      <c r="W198" s="3">
        <f>IF($C198="","",$D198&amp;"|"&amp;$E198&amp;"|"&amp;TEXT($C198,"0")&amp;"|"&amp;TEXT($G198,"0")&amp;"|"&amp;$J198)</f>
        <v/>
      </c>
      <c r="X198" s="3" t="n"/>
      <c r="Y198" s="3" t="n"/>
      <c r="Z198" s="3" t="n"/>
      <c r="AA198" s="3" t="n"/>
      <c r="AB198" s="3" t="n"/>
      <c r="AC198" s="3" t="n"/>
      <c r="AD198" s="3">
        <f>IF($C198="",0,SUMPRODUCT((AY_SONU!$O$7:$O$42="Evet")*(AY_SONU!$B$7:$B$42=DATE(YEAR($C198),MONTH($C198),1))))</f>
        <v/>
      </c>
    </row>
    <row r="199">
      <c r="A199" s="6" t="n"/>
      <c r="B199" s="113">
        <f>IF($C199="","","GG"&amp;TEXT(ROW()-6,"00000"))</f>
        <v/>
      </c>
      <c r="C199" s="220" t="n"/>
      <c r="D199" s="108" t="n"/>
      <c r="E199" s="109" t="n"/>
      <c r="F199" s="109" t="n"/>
      <c r="G199" s="221" t="n"/>
      <c r="H199" s="108" t="n"/>
      <c r="I199" s="108" t="n"/>
      <c r="J199" s="109" t="n"/>
      <c r="K199" s="109" t="n"/>
      <c r="L199" s="108" t="n"/>
      <c r="M199" s="121">
        <f>IF($C199="","",IF($D199="Gider",$E199,IF($L199&lt;&gt;"",$L199,$H199)))</f>
        <v/>
      </c>
      <c r="N199" s="121">
        <f>IF($C199="","",IF($D199="Gider",$H199,$E199))</f>
        <v/>
      </c>
      <c r="O199" s="226">
        <f>IF($C199="","",DATE(YEAR($C199),MONTH($C199),1))</f>
        <v/>
      </c>
      <c r="P199" s="113">
        <f>IF($C199="","",IF(AND($D199="Gelir",$L199&lt;&gt;"",$T199=""),"TANIMSIZ BORÇLU",IF($T199&lt;&gt;"",IF(OR($E199="",$G199&lt;=0),"EKSİK",IF($I199="Evet","TAHAKKUK NAKİT OLAMAZ",IF($C199&gt;TODAY(),"İLERİ TARİH","TAHAKKUK"))),IF(AND($D199&lt;&gt;"",$E199&lt;&gt;"",$G199&gt;0,$H199&lt;&gt;"",$I199&lt;&gt;""),IF($C199&gt;TODAY(),"İLERİ TARİH",IF(COUNTIF($W$7:$W$1206,$W199)&gt;1,"MÜKERRER?",IF($AD199&gt;0,"KAPALI DÖNEM",IF($I199="Hayır","ÖDENECEK","UYGUN")))),"EKSİK"))))</f>
        <v/>
      </c>
      <c r="Q199" s="6" t="n"/>
      <c r="R199" s="6" t="n"/>
      <c r="S199" s="3">
        <f>IF($L199="","",UPPER(SUBSTITUTE(SUBSTITUTE(SUBSTITUTE(SUBSTITUTE(SUBSTITUTE(SUBSTITUTE(SUBSTITUTE(SUBSTITUTE(SUBSTITUTE(SUBSTITUTE(SUBSTITUTE(SUBSTITUTE(SUBSTITUTE(SUBSTITUTE(SUBSTITUTE(SUBSTITUTE(SUBSTITUTE(SUBSTITUTE(TRIM($L199),"'",""),"İ","I"),"ı","I"),"i","I"),"Ş","S"),"ş","S"),"Ğ","G"),"ğ","G"),"Ü","U"),"ü","U"),"Ö","O"),"ö","O"),"Ç","C"),"ç","C"),".",""),",","")," ",""),"-","")))</f>
        <v/>
      </c>
      <c r="T199" s="3">
        <f>IF(OR($C199="",$D199&lt;&gt;"Gelir",$L199=""),"",IFERROR(INDEX(MUSTERILER!$B$7:$B$106,MATCH($S199,MUSTERILER!$T$7:$T$106,0)),""))</f>
        <v/>
      </c>
      <c r="U199" s="3">
        <f>IF($T199="","",$T199&amp;"|"&amp;COUNTIFS($T$7:$T199,$T199))</f>
        <v/>
      </c>
      <c r="V199" s="3">
        <f>IF($T199="",0,1)</f>
        <v/>
      </c>
      <c r="W199" s="3">
        <f>IF($C199="","",$D199&amp;"|"&amp;$E199&amp;"|"&amp;TEXT($C199,"0")&amp;"|"&amp;TEXT($G199,"0")&amp;"|"&amp;$J199)</f>
        <v/>
      </c>
      <c r="X199" s="3" t="n"/>
      <c r="Y199" s="3" t="n"/>
      <c r="Z199" s="3" t="n"/>
      <c r="AA199" s="3" t="n"/>
      <c r="AB199" s="3" t="n"/>
      <c r="AC199" s="3" t="n"/>
      <c r="AD199" s="3">
        <f>IF($C199="",0,SUMPRODUCT((AY_SONU!$O$7:$O$42="Evet")*(AY_SONU!$B$7:$B$42=DATE(YEAR($C199),MONTH($C199),1))))</f>
        <v/>
      </c>
    </row>
    <row r="200">
      <c r="A200" s="6" t="n"/>
      <c r="B200" s="113">
        <f>IF($C200="","","GG"&amp;TEXT(ROW()-6,"00000"))</f>
        <v/>
      </c>
      <c r="C200" s="220" t="n"/>
      <c r="D200" s="108" t="n"/>
      <c r="E200" s="109" t="n"/>
      <c r="F200" s="109" t="n"/>
      <c r="G200" s="221" t="n"/>
      <c r="H200" s="108" t="n"/>
      <c r="I200" s="108" t="n"/>
      <c r="J200" s="109" t="n"/>
      <c r="K200" s="109" t="n"/>
      <c r="L200" s="108" t="n"/>
      <c r="M200" s="121">
        <f>IF($C200="","",IF($D200="Gider",$E200,IF($L200&lt;&gt;"",$L200,$H200)))</f>
        <v/>
      </c>
      <c r="N200" s="121">
        <f>IF($C200="","",IF($D200="Gider",$H200,$E200))</f>
        <v/>
      </c>
      <c r="O200" s="226">
        <f>IF($C200="","",DATE(YEAR($C200),MONTH($C200),1))</f>
        <v/>
      </c>
      <c r="P200" s="113">
        <f>IF($C200="","",IF(AND($D200="Gelir",$L200&lt;&gt;"",$T200=""),"TANIMSIZ BORÇLU",IF($T200&lt;&gt;"",IF(OR($E200="",$G200&lt;=0),"EKSİK",IF($I200="Evet","TAHAKKUK NAKİT OLAMAZ",IF($C200&gt;TODAY(),"İLERİ TARİH","TAHAKKUK"))),IF(AND($D200&lt;&gt;"",$E200&lt;&gt;"",$G200&gt;0,$H200&lt;&gt;"",$I200&lt;&gt;""),IF($C200&gt;TODAY(),"İLERİ TARİH",IF(COUNTIF($W$7:$W$1206,$W200)&gt;1,"MÜKERRER?",IF($AD200&gt;0,"KAPALI DÖNEM",IF($I200="Hayır","ÖDENECEK","UYGUN")))),"EKSİK"))))</f>
        <v/>
      </c>
      <c r="Q200" s="6" t="n"/>
      <c r="R200" s="6" t="n"/>
      <c r="S200" s="3">
        <f>IF($L200="","",UPPER(SUBSTITUTE(SUBSTITUTE(SUBSTITUTE(SUBSTITUTE(SUBSTITUTE(SUBSTITUTE(SUBSTITUTE(SUBSTITUTE(SUBSTITUTE(SUBSTITUTE(SUBSTITUTE(SUBSTITUTE(SUBSTITUTE(SUBSTITUTE(SUBSTITUTE(SUBSTITUTE(SUBSTITUTE(SUBSTITUTE(TRIM($L200),"'",""),"İ","I"),"ı","I"),"i","I"),"Ş","S"),"ş","S"),"Ğ","G"),"ğ","G"),"Ü","U"),"ü","U"),"Ö","O"),"ö","O"),"Ç","C"),"ç","C"),".",""),",","")," ",""),"-","")))</f>
        <v/>
      </c>
      <c r="T200" s="3">
        <f>IF(OR($C200="",$D200&lt;&gt;"Gelir",$L200=""),"",IFERROR(INDEX(MUSTERILER!$B$7:$B$106,MATCH($S200,MUSTERILER!$T$7:$T$106,0)),""))</f>
        <v/>
      </c>
      <c r="U200" s="3">
        <f>IF($T200="","",$T200&amp;"|"&amp;COUNTIFS($T$7:$T200,$T200))</f>
        <v/>
      </c>
      <c r="V200" s="3">
        <f>IF($T200="",0,1)</f>
        <v/>
      </c>
      <c r="W200" s="3">
        <f>IF($C200="","",$D200&amp;"|"&amp;$E200&amp;"|"&amp;TEXT($C200,"0")&amp;"|"&amp;TEXT($G200,"0")&amp;"|"&amp;$J200)</f>
        <v/>
      </c>
      <c r="X200" s="3" t="n"/>
      <c r="Y200" s="3" t="n"/>
      <c r="Z200" s="3" t="n"/>
      <c r="AA200" s="3" t="n"/>
      <c r="AB200" s="3" t="n"/>
      <c r="AC200" s="3" t="n"/>
      <c r="AD200" s="3">
        <f>IF($C200="",0,SUMPRODUCT((AY_SONU!$O$7:$O$42="Evet")*(AY_SONU!$B$7:$B$42=DATE(YEAR($C200),MONTH($C200),1))))</f>
        <v/>
      </c>
    </row>
    <row r="201">
      <c r="A201" s="6" t="n"/>
      <c r="B201" s="113">
        <f>IF($C201="","","GG"&amp;TEXT(ROW()-6,"00000"))</f>
        <v/>
      </c>
      <c r="C201" s="220" t="n"/>
      <c r="D201" s="108" t="n"/>
      <c r="E201" s="109" t="n"/>
      <c r="F201" s="109" t="n"/>
      <c r="G201" s="221" t="n"/>
      <c r="H201" s="108" t="n"/>
      <c r="I201" s="108" t="n"/>
      <c r="J201" s="109" t="n"/>
      <c r="K201" s="109" t="n"/>
      <c r="L201" s="108" t="n"/>
      <c r="M201" s="121">
        <f>IF($C201="","",IF($D201="Gider",$E201,IF($L201&lt;&gt;"",$L201,$H201)))</f>
        <v/>
      </c>
      <c r="N201" s="121">
        <f>IF($C201="","",IF($D201="Gider",$H201,$E201))</f>
        <v/>
      </c>
      <c r="O201" s="226">
        <f>IF($C201="","",DATE(YEAR($C201),MONTH($C201),1))</f>
        <v/>
      </c>
      <c r="P201" s="113">
        <f>IF($C201="","",IF(AND($D201="Gelir",$L201&lt;&gt;"",$T201=""),"TANIMSIZ BORÇLU",IF($T201&lt;&gt;"",IF(OR($E201="",$G201&lt;=0),"EKSİK",IF($I201="Evet","TAHAKKUK NAKİT OLAMAZ",IF($C201&gt;TODAY(),"İLERİ TARİH","TAHAKKUK"))),IF(AND($D201&lt;&gt;"",$E201&lt;&gt;"",$G201&gt;0,$H201&lt;&gt;"",$I201&lt;&gt;""),IF($C201&gt;TODAY(),"İLERİ TARİH",IF(COUNTIF($W$7:$W$1206,$W201)&gt;1,"MÜKERRER?",IF($AD201&gt;0,"KAPALI DÖNEM",IF($I201="Hayır","ÖDENECEK","UYGUN")))),"EKSİK"))))</f>
        <v/>
      </c>
      <c r="Q201" s="6" t="n"/>
      <c r="R201" s="6" t="n"/>
      <c r="S201" s="3">
        <f>IF($L201="","",UPPER(SUBSTITUTE(SUBSTITUTE(SUBSTITUTE(SUBSTITUTE(SUBSTITUTE(SUBSTITUTE(SUBSTITUTE(SUBSTITUTE(SUBSTITUTE(SUBSTITUTE(SUBSTITUTE(SUBSTITUTE(SUBSTITUTE(SUBSTITUTE(SUBSTITUTE(SUBSTITUTE(SUBSTITUTE(SUBSTITUTE(TRIM($L201),"'",""),"İ","I"),"ı","I"),"i","I"),"Ş","S"),"ş","S"),"Ğ","G"),"ğ","G"),"Ü","U"),"ü","U"),"Ö","O"),"ö","O"),"Ç","C"),"ç","C"),".",""),",","")," ",""),"-","")))</f>
        <v/>
      </c>
      <c r="T201" s="3">
        <f>IF(OR($C201="",$D201&lt;&gt;"Gelir",$L201=""),"",IFERROR(INDEX(MUSTERILER!$B$7:$B$106,MATCH($S201,MUSTERILER!$T$7:$T$106,0)),""))</f>
        <v/>
      </c>
      <c r="U201" s="3">
        <f>IF($T201="","",$T201&amp;"|"&amp;COUNTIFS($T$7:$T201,$T201))</f>
        <v/>
      </c>
      <c r="V201" s="3">
        <f>IF($T201="",0,1)</f>
        <v/>
      </c>
      <c r="W201" s="3">
        <f>IF($C201="","",$D201&amp;"|"&amp;$E201&amp;"|"&amp;TEXT($C201,"0")&amp;"|"&amp;TEXT($G201,"0")&amp;"|"&amp;$J201)</f>
        <v/>
      </c>
      <c r="X201" s="3" t="n"/>
      <c r="Y201" s="3" t="n"/>
      <c r="Z201" s="3" t="n"/>
      <c r="AA201" s="3" t="n"/>
      <c r="AB201" s="3" t="n"/>
      <c r="AC201" s="3" t="n"/>
      <c r="AD201" s="3">
        <f>IF($C201="",0,SUMPRODUCT((AY_SONU!$O$7:$O$42="Evet")*(AY_SONU!$B$7:$B$42=DATE(YEAR($C201),MONTH($C201),1))))</f>
        <v/>
      </c>
    </row>
    <row r="202">
      <c r="A202" s="6" t="n"/>
      <c r="B202" s="113">
        <f>IF($C202="","","GG"&amp;TEXT(ROW()-6,"00000"))</f>
        <v/>
      </c>
      <c r="C202" s="220" t="n"/>
      <c r="D202" s="108" t="n"/>
      <c r="E202" s="109" t="n"/>
      <c r="F202" s="109" t="n"/>
      <c r="G202" s="221" t="n"/>
      <c r="H202" s="108" t="n"/>
      <c r="I202" s="108" t="n"/>
      <c r="J202" s="109" t="n"/>
      <c r="K202" s="109" t="n"/>
      <c r="L202" s="108" t="n"/>
      <c r="M202" s="121">
        <f>IF($C202="","",IF($D202="Gider",$E202,IF($L202&lt;&gt;"",$L202,$H202)))</f>
        <v/>
      </c>
      <c r="N202" s="121">
        <f>IF($C202="","",IF($D202="Gider",$H202,$E202))</f>
        <v/>
      </c>
      <c r="O202" s="226">
        <f>IF($C202="","",DATE(YEAR($C202),MONTH($C202),1))</f>
        <v/>
      </c>
      <c r="P202" s="113">
        <f>IF($C202="","",IF(AND($D202="Gelir",$L202&lt;&gt;"",$T202=""),"TANIMSIZ BORÇLU",IF($T202&lt;&gt;"",IF(OR($E202="",$G202&lt;=0),"EKSİK",IF($I202="Evet","TAHAKKUK NAKİT OLAMAZ",IF($C202&gt;TODAY(),"İLERİ TARİH","TAHAKKUK"))),IF(AND($D202&lt;&gt;"",$E202&lt;&gt;"",$G202&gt;0,$H202&lt;&gt;"",$I202&lt;&gt;""),IF($C202&gt;TODAY(),"İLERİ TARİH",IF(COUNTIF($W$7:$W$1206,$W202)&gt;1,"MÜKERRER?",IF($AD202&gt;0,"KAPALI DÖNEM",IF($I202="Hayır","ÖDENECEK","UYGUN")))),"EKSİK"))))</f>
        <v/>
      </c>
      <c r="Q202" s="6" t="n"/>
      <c r="R202" s="6" t="n"/>
      <c r="S202" s="3">
        <f>IF($L202="","",UPPER(SUBSTITUTE(SUBSTITUTE(SUBSTITUTE(SUBSTITUTE(SUBSTITUTE(SUBSTITUTE(SUBSTITUTE(SUBSTITUTE(SUBSTITUTE(SUBSTITUTE(SUBSTITUTE(SUBSTITUTE(SUBSTITUTE(SUBSTITUTE(SUBSTITUTE(SUBSTITUTE(SUBSTITUTE(SUBSTITUTE(TRIM($L202),"'",""),"İ","I"),"ı","I"),"i","I"),"Ş","S"),"ş","S"),"Ğ","G"),"ğ","G"),"Ü","U"),"ü","U"),"Ö","O"),"ö","O"),"Ç","C"),"ç","C"),".",""),",","")," ",""),"-","")))</f>
        <v/>
      </c>
      <c r="T202" s="3">
        <f>IF(OR($C202="",$D202&lt;&gt;"Gelir",$L202=""),"",IFERROR(INDEX(MUSTERILER!$B$7:$B$106,MATCH($S202,MUSTERILER!$T$7:$T$106,0)),""))</f>
        <v/>
      </c>
      <c r="U202" s="3">
        <f>IF($T202="","",$T202&amp;"|"&amp;COUNTIFS($T$7:$T202,$T202))</f>
        <v/>
      </c>
      <c r="V202" s="3">
        <f>IF($T202="",0,1)</f>
        <v/>
      </c>
      <c r="W202" s="3">
        <f>IF($C202="","",$D202&amp;"|"&amp;$E202&amp;"|"&amp;TEXT($C202,"0")&amp;"|"&amp;TEXT($G202,"0")&amp;"|"&amp;$J202)</f>
        <v/>
      </c>
      <c r="X202" s="3" t="n"/>
      <c r="Y202" s="3" t="n"/>
      <c r="Z202" s="3" t="n"/>
      <c r="AA202" s="3" t="n"/>
      <c r="AB202" s="3" t="n"/>
      <c r="AC202" s="3" t="n"/>
      <c r="AD202" s="3">
        <f>IF($C202="",0,SUMPRODUCT((AY_SONU!$O$7:$O$42="Evet")*(AY_SONU!$B$7:$B$42=DATE(YEAR($C202),MONTH($C202),1))))</f>
        <v/>
      </c>
    </row>
    <row r="203">
      <c r="A203" s="6" t="n"/>
      <c r="B203" s="113">
        <f>IF($C203="","","GG"&amp;TEXT(ROW()-6,"00000"))</f>
        <v/>
      </c>
      <c r="C203" s="220" t="n"/>
      <c r="D203" s="108" t="n"/>
      <c r="E203" s="109" t="n"/>
      <c r="F203" s="109" t="n"/>
      <c r="G203" s="221" t="n"/>
      <c r="H203" s="108" t="n"/>
      <c r="I203" s="108" t="n"/>
      <c r="J203" s="109" t="n"/>
      <c r="K203" s="109" t="n"/>
      <c r="L203" s="108" t="n"/>
      <c r="M203" s="121">
        <f>IF($C203="","",IF($D203="Gider",$E203,IF($L203&lt;&gt;"",$L203,$H203)))</f>
        <v/>
      </c>
      <c r="N203" s="121">
        <f>IF($C203="","",IF($D203="Gider",$H203,$E203))</f>
        <v/>
      </c>
      <c r="O203" s="226">
        <f>IF($C203="","",DATE(YEAR($C203),MONTH($C203),1))</f>
        <v/>
      </c>
      <c r="P203" s="113">
        <f>IF($C203="","",IF(AND($D203="Gelir",$L203&lt;&gt;"",$T203=""),"TANIMSIZ BORÇLU",IF($T203&lt;&gt;"",IF(OR($E203="",$G203&lt;=0),"EKSİK",IF($I203="Evet","TAHAKKUK NAKİT OLAMAZ",IF($C203&gt;TODAY(),"İLERİ TARİH","TAHAKKUK"))),IF(AND($D203&lt;&gt;"",$E203&lt;&gt;"",$G203&gt;0,$H203&lt;&gt;"",$I203&lt;&gt;""),IF($C203&gt;TODAY(),"İLERİ TARİH",IF(COUNTIF($W$7:$W$1206,$W203)&gt;1,"MÜKERRER?",IF($AD203&gt;0,"KAPALI DÖNEM",IF($I203="Hayır","ÖDENECEK","UYGUN")))),"EKSİK"))))</f>
        <v/>
      </c>
      <c r="Q203" s="6" t="n"/>
      <c r="R203" s="6" t="n"/>
      <c r="S203" s="3">
        <f>IF($L203="","",UPPER(SUBSTITUTE(SUBSTITUTE(SUBSTITUTE(SUBSTITUTE(SUBSTITUTE(SUBSTITUTE(SUBSTITUTE(SUBSTITUTE(SUBSTITUTE(SUBSTITUTE(SUBSTITUTE(SUBSTITUTE(SUBSTITUTE(SUBSTITUTE(SUBSTITUTE(SUBSTITUTE(SUBSTITUTE(SUBSTITUTE(TRIM($L203),"'",""),"İ","I"),"ı","I"),"i","I"),"Ş","S"),"ş","S"),"Ğ","G"),"ğ","G"),"Ü","U"),"ü","U"),"Ö","O"),"ö","O"),"Ç","C"),"ç","C"),".",""),",","")," ",""),"-","")))</f>
        <v/>
      </c>
      <c r="T203" s="3">
        <f>IF(OR($C203="",$D203&lt;&gt;"Gelir",$L203=""),"",IFERROR(INDEX(MUSTERILER!$B$7:$B$106,MATCH($S203,MUSTERILER!$T$7:$T$106,0)),""))</f>
        <v/>
      </c>
      <c r="U203" s="3">
        <f>IF($T203="","",$T203&amp;"|"&amp;COUNTIFS($T$7:$T203,$T203))</f>
        <v/>
      </c>
      <c r="V203" s="3">
        <f>IF($T203="",0,1)</f>
        <v/>
      </c>
      <c r="W203" s="3">
        <f>IF($C203="","",$D203&amp;"|"&amp;$E203&amp;"|"&amp;TEXT($C203,"0")&amp;"|"&amp;TEXT($G203,"0")&amp;"|"&amp;$J203)</f>
        <v/>
      </c>
      <c r="X203" s="3" t="n"/>
      <c r="Y203" s="3" t="n"/>
      <c r="Z203" s="3" t="n"/>
      <c r="AA203" s="3" t="n"/>
      <c r="AB203" s="3" t="n"/>
      <c r="AC203" s="3" t="n"/>
      <c r="AD203" s="3">
        <f>IF($C203="",0,SUMPRODUCT((AY_SONU!$O$7:$O$42="Evet")*(AY_SONU!$B$7:$B$42=DATE(YEAR($C203),MONTH($C203),1))))</f>
        <v/>
      </c>
    </row>
    <row r="204">
      <c r="A204" s="6" t="n"/>
      <c r="B204" s="113">
        <f>IF($C204="","","GG"&amp;TEXT(ROW()-6,"00000"))</f>
        <v/>
      </c>
      <c r="C204" s="220" t="n"/>
      <c r="D204" s="108" t="n"/>
      <c r="E204" s="109" t="n"/>
      <c r="F204" s="109" t="n"/>
      <c r="G204" s="221" t="n"/>
      <c r="H204" s="108" t="n"/>
      <c r="I204" s="108" t="n"/>
      <c r="J204" s="109" t="n"/>
      <c r="K204" s="109" t="n"/>
      <c r="L204" s="108" t="n"/>
      <c r="M204" s="121">
        <f>IF($C204="","",IF($D204="Gider",$E204,IF($L204&lt;&gt;"",$L204,$H204)))</f>
        <v/>
      </c>
      <c r="N204" s="121">
        <f>IF($C204="","",IF($D204="Gider",$H204,$E204))</f>
        <v/>
      </c>
      <c r="O204" s="226">
        <f>IF($C204="","",DATE(YEAR($C204),MONTH($C204),1))</f>
        <v/>
      </c>
      <c r="P204" s="113">
        <f>IF($C204="","",IF(AND($D204="Gelir",$L204&lt;&gt;"",$T204=""),"TANIMSIZ BORÇLU",IF($T204&lt;&gt;"",IF(OR($E204="",$G204&lt;=0),"EKSİK",IF($I204="Evet","TAHAKKUK NAKİT OLAMAZ",IF($C204&gt;TODAY(),"İLERİ TARİH","TAHAKKUK"))),IF(AND($D204&lt;&gt;"",$E204&lt;&gt;"",$G204&gt;0,$H204&lt;&gt;"",$I204&lt;&gt;""),IF($C204&gt;TODAY(),"İLERİ TARİH",IF(COUNTIF($W$7:$W$1206,$W204)&gt;1,"MÜKERRER?",IF($AD204&gt;0,"KAPALI DÖNEM",IF($I204="Hayır","ÖDENECEK","UYGUN")))),"EKSİK"))))</f>
        <v/>
      </c>
      <c r="Q204" s="6" t="n"/>
      <c r="R204" s="6" t="n"/>
      <c r="S204" s="3">
        <f>IF($L204="","",UPPER(SUBSTITUTE(SUBSTITUTE(SUBSTITUTE(SUBSTITUTE(SUBSTITUTE(SUBSTITUTE(SUBSTITUTE(SUBSTITUTE(SUBSTITUTE(SUBSTITUTE(SUBSTITUTE(SUBSTITUTE(SUBSTITUTE(SUBSTITUTE(SUBSTITUTE(SUBSTITUTE(SUBSTITUTE(SUBSTITUTE(TRIM($L204),"'",""),"İ","I"),"ı","I"),"i","I"),"Ş","S"),"ş","S"),"Ğ","G"),"ğ","G"),"Ü","U"),"ü","U"),"Ö","O"),"ö","O"),"Ç","C"),"ç","C"),".",""),",","")," ",""),"-","")))</f>
        <v/>
      </c>
      <c r="T204" s="3">
        <f>IF(OR($C204="",$D204&lt;&gt;"Gelir",$L204=""),"",IFERROR(INDEX(MUSTERILER!$B$7:$B$106,MATCH($S204,MUSTERILER!$T$7:$T$106,0)),""))</f>
        <v/>
      </c>
      <c r="U204" s="3">
        <f>IF($T204="","",$T204&amp;"|"&amp;COUNTIFS($T$7:$T204,$T204))</f>
        <v/>
      </c>
      <c r="V204" s="3">
        <f>IF($T204="",0,1)</f>
        <v/>
      </c>
      <c r="W204" s="3">
        <f>IF($C204="","",$D204&amp;"|"&amp;$E204&amp;"|"&amp;TEXT($C204,"0")&amp;"|"&amp;TEXT($G204,"0")&amp;"|"&amp;$J204)</f>
        <v/>
      </c>
      <c r="X204" s="3" t="n"/>
      <c r="Y204" s="3" t="n"/>
      <c r="Z204" s="3" t="n"/>
      <c r="AA204" s="3" t="n"/>
      <c r="AB204" s="3" t="n"/>
      <c r="AC204" s="3" t="n"/>
      <c r="AD204" s="3">
        <f>IF($C204="",0,SUMPRODUCT((AY_SONU!$O$7:$O$42="Evet")*(AY_SONU!$B$7:$B$42=DATE(YEAR($C204),MONTH($C204),1))))</f>
        <v/>
      </c>
    </row>
    <row r="205">
      <c r="A205" s="6" t="n"/>
      <c r="B205" s="113">
        <f>IF($C205="","","GG"&amp;TEXT(ROW()-6,"00000"))</f>
        <v/>
      </c>
      <c r="C205" s="220" t="n"/>
      <c r="D205" s="108" t="n"/>
      <c r="E205" s="109" t="n"/>
      <c r="F205" s="109" t="n"/>
      <c r="G205" s="221" t="n"/>
      <c r="H205" s="108" t="n"/>
      <c r="I205" s="108" t="n"/>
      <c r="J205" s="109" t="n"/>
      <c r="K205" s="109" t="n"/>
      <c r="L205" s="108" t="n"/>
      <c r="M205" s="121">
        <f>IF($C205="","",IF($D205="Gider",$E205,IF($L205&lt;&gt;"",$L205,$H205)))</f>
        <v/>
      </c>
      <c r="N205" s="121">
        <f>IF($C205="","",IF($D205="Gider",$H205,$E205))</f>
        <v/>
      </c>
      <c r="O205" s="226">
        <f>IF($C205="","",DATE(YEAR($C205),MONTH($C205),1))</f>
        <v/>
      </c>
      <c r="P205" s="113">
        <f>IF($C205="","",IF(AND($D205="Gelir",$L205&lt;&gt;"",$T205=""),"TANIMSIZ BORÇLU",IF($T205&lt;&gt;"",IF(OR($E205="",$G205&lt;=0),"EKSİK",IF($I205="Evet","TAHAKKUK NAKİT OLAMAZ",IF($C205&gt;TODAY(),"İLERİ TARİH","TAHAKKUK"))),IF(AND($D205&lt;&gt;"",$E205&lt;&gt;"",$G205&gt;0,$H205&lt;&gt;"",$I205&lt;&gt;""),IF($C205&gt;TODAY(),"İLERİ TARİH",IF(COUNTIF($W$7:$W$1206,$W205)&gt;1,"MÜKERRER?",IF($AD205&gt;0,"KAPALI DÖNEM",IF($I205="Hayır","ÖDENECEK","UYGUN")))),"EKSİK"))))</f>
        <v/>
      </c>
      <c r="Q205" s="6" t="n"/>
      <c r="R205" s="6" t="n"/>
      <c r="S205" s="3">
        <f>IF($L205="","",UPPER(SUBSTITUTE(SUBSTITUTE(SUBSTITUTE(SUBSTITUTE(SUBSTITUTE(SUBSTITUTE(SUBSTITUTE(SUBSTITUTE(SUBSTITUTE(SUBSTITUTE(SUBSTITUTE(SUBSTITUTE(SUBSTITUTE(SUBSTITUTE(SUBSTITUTE(SUBSTITUTE(SUBSTITUTE(SUBSTITUTE(TRIM($L205),"'",""),"İ","I"),"ı","I"),"i","I"),"Ş","S"),"ş","S"),"Ğ","G"),"ğ","G"),"Ü","U"),"ü","U"),"Ö","O"),"ö","O"),"Ç","C"),"ç","C"),".",""),",","")," ",""),"-","")))</f>
        <v/>
      </c>
      <c r="T205" s="3">
        <f>IF(OR($C205="",$D205&lt;&gt;"Gelir",$L205=""),"",IFERROR(INDEX(MUSTERILER!$B$7:$B$106,MATCH($S205,MUSTERILER!$T$7:$T$106,0)),""))</f>
        <v/>
      </c>
      <c r="U205" s="3">
        <f>IF($T205="","",$T205&amp;"|"&amp;COUNTIFS($T$7:$T205,$T205))</f>
        <v/>
      </c>
      <c r="V205" s="3">
        <f>IF($T205="",0,1)</f>
        <v/>
      </c>
      <c r="W205" s="3">
        <f>IF($C205="","",$D205&amp;"|"&amp;$E205&amp;"|"&amp;TEXT($C205,"0")&amp;"|"&amp;TEXT($G205,"0")&amp;"|"&amp;$J205)</f>
        <v/>
      </c>
      <c r="X205" s="3" t="n"/>
      <c r="Y205" s="3" t="n"/>
      <c r="Z205" s="3" t="n"/>
      <c r="AA205" s="3" t="n"/>
      <c r="AB205" s="3" t="n"/>
      <c r="AC205" s="3" t="n"/>
      <c r="AD205" s="3">
        <f>IF($C205="",0,SUMPRODUCT((AY_SONU!$O$7:$O$42="Evet")*(AY_SONU!$B$7:$B$42=DATE(YEAR($C205),MONTH($C205),1))))</f>
        <v/>
      </c>
    </row>
    <row r="206">
      <c r="A206" s="6" t="n"/>
      <c r="B206" s="113">
        <f>IF($C206="","","GG"&amp;TEXT(ROW()-6,"00000"))</f>
        <v/>
      </c>
      <c r="C206" s="220" t="n"/>
      <c r="D206" s="108" t="n"/>
      <c r="E206" s="109" t="n"/>
      <c r="F206" s="109" t="n"/>
      <c r="G206" s="221" t="n"/>
      <c r="H206" s="108" t="n"/>
      <c r="I206" s="108" t="n"/>
      <c r="J206" s="109" t="n"/>
      <c r="K206" s="109" t="n"/>
      <c r="L206" s="108" t="n"/>
      <c r="M206" s="121">
        <f>IF($C206="","",IF($D206="Gider",$E206,IF($L206&lt;&gt;"",$L206,$H206)))</f>
        <v/>
      </c>
      <c r="N206" s="121">
        <f>IF($C206="","",IF($D206="Gider",$H206,$E206))</f>
        <v/>
      </c>
      <c r="O206" s="226">
        <f>IF($C206="","",DATE(YEAR($C206),MONTH($C206),1))</f>
        <v/>
      </c>
      <c r="P206" s="113">
        <f>IF($C206="","",IF(AND($D206="Gelir",$L206&lt;&gt;"",$T206=""),"TANIMSIZ BORÇLU",IF($T206&lt;&gt;"",IF(OR($E206="",$G206&lt;=0),"EKSİK",IF($I206="Evet","TAHAKKUK NAKİT OLAMAZ",IF($C206&gt;TODAY(),"İLERİ TARİH","TAHAKKUK"))),IF(AND($D206&lt;&gt;"",$E206&lt;&gt;"",$G206&gt;0,$H206&lt;&gt;"",$I206&lt;&gt;""),IF($C206&gt;TODAY(),"İLERİ TARİH",IF(COUNTIF($W$7:$W$1206,$W206)&gt;1,"MÜKERRER?",IF($AD206&gt;0,"KAPALI DÖNEM",IF($I206="Hayır","ÖDENECEK","UYGUN")))),"EKSİK"))))</f>
        <v/>
      </c>
      <c r="Q206" s="6" t="n"/>
      <c r="R206" s="6" t="n"/>
      <c r="S206" s="3">
        <f>IF($L206="","",UPPER(SUBSTITUTE(SUBSTITUTE(SUBSTITUTE(SUBSTITUTE(SUBSTITUTE(SUBSTITUTE(SUBSTITUTE(SUBSTITUTE(SUBSTITUTE(SUBSTITUTE(SUBSTITUTE(SUBSTITUTE(SUBSTITUTE(SUBSTITUTE(SUBSTITUTE(SUBSTITUTE(SUBSTITUTE(SUBSTITUTE(TRIM($L206),"'",""),"İ","I"),"ı","I"),"i","I"),"Ş","S"),"ş","S"),"Ğ","G"),"ğ","G"),"Ü","U"),"ü","U"),"Ö","O"),"ö","O"),"Ç","C"),"ç","C"),".",""),",","")," ",""),"-","")))</f>
        <v/>
      </c>
      <c r="T206" s="3">
        <f>IF(OR($C206="",$D206&lt;&gt;"Gelir",$L206=""),"",IFERROR(INDEX(MUSTERILER!$B$7:$B$106,MATCH($S206,MUSTERILER!$T$7:$T$106,0)),""))</f>
        <v/>
      </c>
      <c r="U206" s="3">
        <f>IF($T206="","",$T206&amp;"|"&amp;COUNTIFS($T$7:$T206,$T206))</f>
        <v/>
      </c>
      <c r="V206" s="3">
        <f>IF($T206="",0,1)</f>
        <v/>
      </c>
      <c r="W206" s="3">
        <f>IF($C206="","",$D206&amp;"|"&amp;$E206&amp;"|"&amp;TEXT($C206,"0")&amp;"|"&amp;TEXT($G206,"0")&amp;"|"&amp;$J206)</f>
        <v/>
      </c>
      <c r="X206" s="3" t="n"/>
      <c r="Y206" s="3" t="n"/>
      <c r="Z206" s="3" t="n"/>
      <c r="AA206" s="3" t="n"/>
      <c r="AB206" s="3" t="n"/>
      <c r="AC206" s="3" t="n"/>
      <c r="AD206" s="3">
        <f>IF($C206="",0,SUMPRODUCT((AY_SONU!$O$7:$O$42="Evet")*(AY_SONU!$B$7:$B$42=DATE(YEAR($C206),MONTH($C206),1))))</f>
        <v/>
      </c>
    </row>
    <row r="207">
      <c r="A207" s="6" t="n"/>
      <c r="B207" s="113">
        <f>IF($C207="","","GG"&amp;TEXT(ROW()-6,"00000"))</f>
        <v/>
      </c>
      <c r="C207" s="220" t="n"/>
      <c r="D207" s="108" t="n"/>
      <c r="E207" s="109" t="n"/>
      <c r="F207" s="109" t="n"/>
      <c r="G207" s="221" t="n"/>
      <c r="H207" s="108" t="n"/>
      <c r="I207" s="108" t="n"/>
      <c r="J207" s="109" t="n"/>
      <c r="K207" s="109" t="n"/>
      <c r="L207" s="108" t="n"/>
      <c r="M207" s="121">
        <f>IF($C207="","",IF($D207="Gider",$E207,IF($L207&lt;&gt;"",$L207,$H207)))</f>
        <v/>
      </c>
      <c r="N207" s="121">
        <f>IF($C207="","",IF($D207="Gider",$H207,$E207))</f>
        <v/>
      </c>
      <c r="O207" s="226">
        <f>IF($C207="","",DATE(YEAR($C207),MONTH($C207),1))</f>
        <v/>
      </c>
      <c r="P207" s="113">
        <f>IF($C207="","",IF(AND($D207="Gelir",$L207&lt;&gt;"",$T207=""),"TANIMSIZ BORÇLU",IF($T207&lt;&gt;"",IF(OR($E207="",$G207&lt;=0),"EKSİK",IF($I207="Evet","TAHAKKUK NAKİT OLAMAZ",IF($C207&gt;TODAY(),"İLERİ TARİH","TAHAKKUK"))),IF(AND($D207&lt;&gt;"",$E207&lt;&gt;"",$G207&gt;0,$H207&lt;&gt;"",$I207&lt;&gt;""),IF($C207&gt;TODAY(),"İLERİ TARİH",IF(COUNTIF($W$7:$W$1206,$W207)&gt;1,"MÜKERRER?",IF($AD207&gt;0,"KAPALI DÖNEM",IF($I207="Hayır","ÖDENECEK","UYGUN")))),"EKSİK"))))</f>
        <v/>
      </c>
      <c r="Q207" s="6" t="n"/>
      <c r="R207" s="6" t="n"/>
      <c r="S207" s="3">
        <f>IF($L207="","",UPPER(SUBSTITUTE(SUBSTITUTE(SUBSTITUTE(SUBSTITUTE(SUBSTITUTE(SUBSTITUTE(SUBSTITUTE(SUBSTITUTE(SUBSTITUTE(SUBSTITUTE(SUBSTITUTE(SUBSTITUTE(SUBSTITUTE(SUBSTITUTE(SUBSTITUTE(SUBSTITUTE(SUBSTITUTE(SUBSTITUTE(TRIM($L207),"'",""),"İ","I"),"ı","I"),"i","I"),"Ş","S"),"ş","S"),"Ğ","G"),"ğ","G"),"Ü","U"),"ü","U"),"Ö","O"),"ö","O"),"Ç","C"),"ç","C"),".",""),",","")," ",""),"-","")))</f>
        <v/>
      </c>
      <c r="T207" s="3">
        <f>IF(OR($C207="",$D207&lt;&gt;"Gelir",$L207=""),"",IFERROR(INDEX(MUSTERILER!$B$7:$B$106,MATCH($S207,MUSTERILER!$T$7:$T$106,0)),""))</f>
        <v/>
      </c>
      <c r="U207" s="3">
        <f>IF($T207="","",$T207&amp;"|"&amp;COUNTIFS($T$7:$T207,$T207))</f>
        <v/>
      </c>
      <c r="V207" s="3">
        <f>IF($T207="",0,1)</f>
        <v/>
      </c>
      <c r="W207" s="3">
        <f>IF($C207="","",$D207&amp;"|"&amp;$E207&amp;"|"&amp;TEXT($C207,"0")&amp;"|"&amp;TEXT($G207,"0")&amp;"|"&amp;$J207)</f>
        <v/>
      </c>
      <c r="X207" s="3" t="n"/>
      <c r="Y207" s="3" t="n"/>
      <c r="Z207" s="3" t="n"/>
      <c r="AA207" s="3" t="n"/>
      <c r="AB207" s="3" t="n"/>
      <c r="AC207" s="3" t="n"/>
      <c r="AD207" s="3">
        <f>IF($C207="",0,SUMPRODUCT((AY_SONU!$O$7:$O$42="Evet")*(AY_SONU!$B$7:$B$42=DATE(YEAR($C207),MONTH($C207),1))))</f>
        <v/>
      </c>
    </row>
    <row r="208">
      <c r="A208" s="6" t="n"/>
      <c r="B208" s="113">
        <f>IF($C208="","","GG"&amp;TEXT(ROW()-6,"00000"))</f>
        <v/>
      </c>
      <c r="C208" s="220" t="n"/>
      <c r="D208" s="108" t="n"/>
      <c r="E208" s="109" t="n"/>
      <c r="F208" s="109" t="n"/>
      <c r="G208" s="221" t="n"/>
      <c r="H208" s="108" t="n"/>
      <c r="I208" s="108" t="n"/>
      <c r="J208" s="109" t="n"/>
      <c r="K208" s="109" t="n"/>
      <c r="L208" s="108" t="n"/>
      <c r="M208" s="121">
        <f>IF($C208="","",IF($D208="Gider",$E208,IF($L208&lt;&gt;"",$L208,$H208)))</f>
        <v/>
      </c>
      <c r="N208" s="121">
        <f>IF($C208="","",IF($D208="Gider",$H208,$E208))</f>
        <v/>
      </c>
      <c r="O208" s="226">
        <f>IF($C208="","",DATE(YEAR($C208),MONTH($C208),1))</f>
        <v/>
      </c>
      <c r="P208" s="113">
        <f>IF($C208="","",IF(AND($D208="Gelir",$L208&lt;&gt;"",$T208=""),"TANIMSIZ BORÇLU",IF($T208&lt;&gt;"",IF(OR($E208="",$G208&lt;=0),"EKSİK",IF($I208="Evet","TAHAKKUK NAKİT OLAMAZ",IF($C208&gt;TODAY(),"İLERİ TARİH","TAHAKKUK"))),IF(AND($D208&lt;&gt;"",$E208&lt;&gt;"",$G208&gt;0,$H208&lt;&gt;"",$I208&lt;&gt;""),IF($C208&gt;TODAY(),"İLERİ TARİH",IF(COUNTIF($W$7:$W$1206,$W208)&gt;1,"MÜKERRER?",IF($AD208&gt;0,"KAPALI DÖNEM",IF($I208="Hayır","ÖDENECEK","UYGUN")))),"EKSİK"))))</f>
        <v/>
      </c>
      <c r="Q208" s="6" t="n"/>
      <c r="R208" s="6" t="n"/>
      <c r="S208" s="3">
        <f>IF($L208="","",UPPER(SUBSTITUTE(SUBSTITUTE(SUBSTITUTE(SUBSTITUTE(SUBSTITUTE(SUBSTITUTE(SUBSTITUTE(SUBSTITUTE(SUBSTITUTE(SUBSTITUTE(SUBSTITUTE(SUBSTITUTE(SUBSTITUTE(SUBSTITUTE(SUBSTITUTE(SUBSTITUTE(SUBSTITUTE(SUBSTITUTE(TRIM($L208),"'",""),"İ","I"),"ı","I"),"i","I"),"Ş","S"),"ş","S"),"Ğ","G"),"ğ","G"),"Ü","U"),"ü","U"),"Ö","O"),"ö","O"),"Ç","C"),"ç","C"),".",""),",","")," ",""),"-","")))</f>
        <v/>
      </c>
      <c r="T208" s="3">
        <f>IF(OR($C208="",$D208&lt;&gt;"Gelir",$L208=""),"",IFERROR(INDEX(MUSTERILER!$B$7:$B$106,MATCH($S208,MUSTERILER!$T$7:$T$106,0)),""))</f>
        <v/>
      </c>
      <c r="U208" s="3">
        <f>IF($T208="","",$T208&amp;"|"&amp;COUNTIFS($T$7:$T208,$T208))</f>
        <v/>
      </c>
      <c r="V208" s="3">
        <f>IF($T208="",0,1)</f>
        <v/>
      </c>
      <c r="W208" s="3">
        <f>IF($C208="","",$D208&amp;"|"&amp;$E208&amp;"|"&amp;TEXT($C208,"0")&amp;"|"&amp;TEXT($G208,"0")&amp;"|"&amp;$J208)</f>
        <v/>
      </c>
      <c r="X208" s="3" t="n"/>
      <c r="Y208" s="3" t="n"/>
      <c r="Z208" s="3" t="n"/>
      <c r="AA208" s="3" t="n"/>
      <c r="AB208" s="3" t="n"/>
      <c r="AC208" s="3" t="n"/>
      <c r="AD208" s="3">
        <f>IF($C208="",0,SUMPRODUCT((AY_SONU!$O$7:$O$42="Evet")*(AY_SONU!$B$7:$B$42=DATE(YEAR($C208),MONTH($C208),1))))</f>
        <v/>
      </c>
    </row>
    <row r="209">
      <c r="A209" s="6" t="n"/>
      <c r="B209" s="113">
        <f>IF($C209="","","GG"&amp;TEXT(ROW()-6,"00000"))</f>
        <v/>
      </c>
      <c r="C209" s="220" t="n"/>
      <c r="D209" s="108" t="n"/>
      <c r="E209" s="109" t="n"/>
      <c r="F209" s="109" t="n"/>
      <c r="G209" s="221" t="n"/>
      <c r="H209" s="108" t="n"/>
      <c r="I209" s="108" t="n"/>
      <c r="J209" s="109" t="n"/>
      <c r="K209" s="109" t="n"/>
      <c r="L209" s="108" t="n"/>
      <c r="M209" s="121">
        <f>IF($C209="","",IF($D209="Gider",$E209,IF($L209&lt;&gt;"",$L209,$H209)))</f>
        <v/>
      </c>
      <c r="N209" s="121">
        <f>IF($C209="","",IF($D209="Gider",$H209,$E209))</f>
        <v/>
      </c>
      <c r="O209" s="226">
        <f>IF($C209="","",DATE(YEAR($C209),MONTH($C209),1))</f>
        <v/>
      </c>
      <c r="P209" s="113">
        <f>IF($C209="","",IF(AND($D209="Gelir",$L209&lt;&gt;"",$T209=""),"TANIMSIZ BORÇLU",IF($T209&lt;&gt;"",IF(OR($E209="",$G209&lt;=0),"EKSİK",IF($I209="Evet","TAHAKKUK NAKİT OLAMAZ",IF($C209&gt;TODAY(),"İLERİ TARİH","TAHAKKUK"))),IF(AND($D209&lt;&gt;"",$E209&lt;&gt;"",$G209&gt;0,$H209&lt;&gt;"",$I209&lt;&gt;""),IF($C209&gt;TODAY(),"İLERİ TARİH",IF(COUNTIF($W$7:$W$1206,$W209)&gt;1,"MÜKERRER?",IF($AD209&gt;0,"KAPALI DÖNEM",IF($I209="Hayır","ÖDENECEK","UYGUN")))),"EKSİK"))))</f>
        <v/>
      </c>
      <c r="Q209" s="6" t="n"/>
      <c r="R209" s="6" t="n"/>
      <c r="S209" s="3">
        <f>IF($L209="","",UPPER(SUBSTITUTE(SUBSTITUTE(SUBSTITUTE(SUBSTITUTE(SUBSTITUTE(SUBSTITUTE(SUBSTITUTE(SUBSTITUTE(SUBSTITUTE(SUBSTITUTE(SUBSTITUTE(SUBSTITUTE(SUBSTITUTE(SUBSTITUTE(SUBSTITUTE(SUBSTITUTE(SUBSTITUTE(SUBSTITUTE(TRIM($L209),"'",""),"İ","I"),"ı","I"),"i","I"),"Ş","S"),"ş","S"),"Ğ","G"),"ğ","G"),"Ü","U"),"ü","U"),"Ö","O"),"ö","O"),"Ç","C"),"ç","C"),".",""),",","")," ",""),"-","")))</f>
        <v/>
      </c>
      <c r="T209" s="3">
        <f>IF(OR($C209="",$D209&lt;&gt;"Gelir",$L209=""),"",IFERROR(INDEX(MUSTERILER!$B$7:$B$106,MATCH($S209,MUSTERILER!$T$7:$T$106,0)),""))</f>
        <v/>
      </c>
      <c r="U209" s="3">
        <f>IF($T209="","",$T209&amp;"|"&amp;COUNTIFS($T$7:$T209,$T209))</f>
        <v/>
      </c>
      <c r="V209" s="3">
        <f>IF($T209="",0,1)</f>
        <v/>
      </c>
      <c r="W209" s="3">
        <f>IF($C209="","",$D209&amp;"|"&amp;$E209&amp;"|"&amp;TEXT($C209,"0")&amp;"|"&amp;TEXT($G209,"0")&amp;"|"&amp;$J209)</f>
        <v/>
      </c>
      <c r="X209" s="3" t="n"/>
      <c r="Y209" s="3" t="n"/>
      <c r="Z209" s="3" t="n"/>
      <c r="AA209" s="3" t="n"/>
      <c r="AB209" s="3" t="n"/>
      <c r="AC209" s="3" t="n"/>
      <c r="AD209" s="3">
        <f>IF($C209="",0,SUMPRODUCT((AY_SONU!$O$7:$O$42="Evet")*(AY_SONU!$B$7:$B$42=DATE(YEAR($C209),MONTH($C209),1))))</f>
        <v/>
      </c>
    </row>
    <row r="210">
      <c r="A210" s="6" t="n"/>
      <c r="B210" s="113">
        <f>IF($C210="","","GG"&amp;TEXT(ROW()-6,"00000"))</f>
        <v/>
      </c>
      <c r="C210" s="220" t="n"/>
      <c r="D210" s="108" t="n"/>
      <c r="E210" s="109" t="n"/>
      <c r="F210" s="109" t="n"/>
      <c r="G210" s="221" t="n"/>
      <c r="H210" s="108" t="n"/>
      <c r="I210" s="108" t="n"/>
      <c r="J210" s="109" t="n"/>
      <c r="K210" s="109" t="n"/>
      <c r="L210" s="108" t="n"/>
      <c r="M210" s="121">
        <f>IF($C210="","",IF($D210="Gider",$E210,IF($L210&lt;&gt;"",$L210,$H210)))</f>
        <v/>
      </c>
      <c r="N210" s="121">
        <f>IF($C210="","",IF($D210="Gider",$H210,$E210))</f>
        <v/>
      </c>
      <c r="O210" s="226">
        <f>IF($C210="","",DATE(YEAR($C210),MONTH($C210),1))</f>
        <v/>
      </c>
      <c r="P210" s="113">
        <f>IF($C210="","",IF(AND($D210="Gelir",$L210&lt;&gt;"",$T210=""),"TANIMSIZ BORÇLU",IF($T210&lt;&gt;"",IF(OR($E210="",$G210&lt;=0),"EKSİK",IF($I210="Evet","TAHAKKUK NAKİT OLAMAZ",IF($C210&gt;TODAY(),"İLERİ TARİH","TAHAKKUK"))),IF(AND($D210&lt;&gt;"",$E210&lt;&gt;"",$G210&gt;0,$H210&lt;&gt;"",$I210&lt;&gt;""),IF($C210&gt;TODAY(),"İLERİ TARİH",IF(COUNTIF($W$7:$W$1206,$W210)&gt;1,"MÜKERRER?",IF($AD210&gt;0,"KAPALI DÖNEM",IF($I210="Hayır","ÖDENECEK","UYGUN")))),"EKSİK"))))</f>
        <v/>
      </c>
      <c r="Q210" s="6" t="n"/>
      <c r="R210" s="6" t="n"/>
      <c r="S210" s="3">
        <f>IF($L210="","",UPPER(SUBSTITUTE(SUBSTITUTE(SUBSTITUTE(SUBSTITUTE(SUBSTITUTE(SUBSTITUTE(SUBSTITUTE(SUBSTITUTE(SUBSTITUTE(SUBSTITUTE(SUBSTITUTE(SUBSTITUTE(SUBSTITUTE(SUBSTITUTE(SUBSTITUTE(SUBSTITUTE(SUBSTITUTE(SUBSTITUTE(TRIM($L210),"'",""),"İ","I"),"ı","I"),"i","I"),"Ş","S"),"ş","S"),"Ğ","G"),"ğ","G"),"Ü","U"),"ü","U"),"Ö","O"),"ö","O"),"Ç","C"),"ç","C"),".",""),",","")," ",""),"-","")))</f>
        <v/>
      </c>
      <c r="T210" s="3">
        <f>IF(OR($C210="",$D210&lt;&gt;"Gelir",$L210=""),"",IFERROR(INDEX(MUSTERILER!$B$7:$B$106,MATCH($S210,MUSTERILER!$T$7:$T$106,0)),""))</f>
        <v/>
      </c>
      <c r="U210" s="3">
        <f>IF($T210="","",$T210&amp;"|"&amp;COUNTIFS($T$7:$T210,$T210))</f>
        <v/>
      </c>
      <c r="V210" s="3">
        <f>IF($T210="",0,1)</f>
        <v/>
      </c>
      <c r="W210" s="3">
        <f>IF($C210="","",$D210&amp;"|"&amp;$E210&amp;"|"&amp;TEXT($C210,"0")&amp;"|"&amp;TEXT($G210,"0")&amp;"|"&amp;$J210)</f>
        <v/>
      </c>
      <c r="X210" s="3" t="n"/>
      <c r="Y210" s="3" t="n"/>
      <c r="Z210" s="3" t="n"/>
      <c r="AA210" s="3" t="n"/>
      <c r="AB210" s="3" t="n"/>
      <c r="AC210" s="3" t="n"/>
      <c r="AD210" s="3">
        <f>IF($C210="",0,SUMPRODUCT((AY_SONU!$O$7:$O$42="Evet")*(AY_SONU!$B$7:$B$42=DATE(YEAR($C210),MONTH($C210),1))))</f>
        <v/>
      </c>
    </row>
    <row r="211">
      <c r="A211" s="6" t="n"/>
      <c r="B211" s="113">
        <f>IF($C211="","","GG"&amp;TEXT(ROW()-6,"00000"))</f>
        <v/>
      </c>
      <c r="C211" s="220" t="n"/>
      <c r="D211" s="108" t="n"/>
      <c r="E211" s="109" t="n"/>
      <c r="F211" s="109" t="n"/>
      <c r="G211" s="221" t="n"/>
      <c r="H211" s="108" t="n"/>
      <c r="I211" s="108" t="n"/>
      <c r="J211" s="109" t="n"/>
      <c r="K211" s="109" t="n"/>
      <c r="L211" s="108" t="n"/>
      <c r="M211" s="121">
        <f>IF($C211="","",IF($D211="Gider",$E211,IF($L211&lt;&gt;"",$L211,$H211)))</f>
        <v/>
      </c>
      <c r="N211" s="121">
        <f>IF($C211="","",IF($D211="Gider",$H211,$E211))</f>
        <v/>
      </c>
      <c r="O211" s="226">
        <f>IF($C211="","",DATE(YEAR($C211),MONTH($C211),1))</f>
        <v/>
      </c>
      <c r="P211" s="113">
        <f>IF($C211="","",IF(AND($D211="Gelir",$L211&lt;&gt;"",$T211=""),"TANIMSIZ BORÇLU",IF($T211&lt;&gt;"",IF(OR($E211="",$G211&lt;=0),"EKSİK",IF($I211="Evet","TAHAKKUK NAKİT OLAMAZ",IF($C211&gt;TODAY(),"İLERİ TARİH","TAHAKKUK"))),IF(AND($D211&lt;&gt;"",$E211&lt;&gt;"",$G211&gt;0,$H211&lt;&gt;"",$I211&lt;&gt;""),IF($C211&gt;TODAY(),"İLERİ TARİH",IF(COUNTIF($W$7:$W$1206,$W211)&gt;1,"MÜKERRER?",IF($AD211&gt;0,"KAPALI DÖNEM",IF($I211="Hayır","ÖDENECEK","UYGUN")))),"EKSİK"))))</f>
        <v/>
      </c>
      <c r="Q211" s="6" t="n"/>
      <c r="R211" s="6" t="n"/>
      <c r="S211" s="3">
        <f>IF($L211="","",UPPER(SUBSTITUTE(SUBSTITUTE(SUBSTITUTE(SUBSTITUTE(SUBSTITUTE(SUBSTITUTE(SUBSTITUTE(SUBSTITUTE(SUBSTITUTE(SUBSTITUTE(SUBSTITUTE(SUBSTITUTE(SUBSTITUTE(SUBSTITUTE(SUBSTITUTE(SUBSTITUTE(SUBSTITUTE(SUBSTITUTE(TRIM($L211),"'",""),"İ","I"),"ı","I"),"i","I"),"Ş","S"),"ş","S"),"Ğ","G"),"ğ","G"),"Ü","U"),"ü","U"),"Ö","O"),"ö","O"),"Ç","C"),"ç","C"),".",""),",","")," ",""),"-","")))</f>
        <v/>
      </c>
      <c r="T211" s="3">
        <f>IF(OR($C211="",$D211&lt;&gt;"Gelir",$L211=""),"",IFERROR(INDEX(MUSTERILER!$B$7:$B$106,MATCH($S211,MUSTERILER!$T$7:$T$106,0)),""))</f>
        <v/>
      </c>
      <c r="U211" s="3">
        <f>IF($T211="","",$T211&amp;"|"&amp;COUNTIFS($T$7:$T211,$T211))</f>
        <v/>
      </c>
      <c r="V211" s="3">
        <f>IF($T211="",0,1)</f>
        <v/>
      </c>
      <c r="W211" s="3">
        <f>IF($C211="","",$D211&amp;"|"&amp;$E211&amp;"|"&amp;TEXT($C211,"0")&amp;"|"&amp;TEXT($G211,"0")&amp;"|"&amp;$J211)</f>
        <v/>
      </c>
      <c r="X211" s="3" t="n"/>
      <c r="Y211" s="3" t="n"/>
      <c r="Z211" s="3" t="n"/>
      <c r="AA211" s="3" t="n"/>
      <c r="AB211" s="3" t="n"/>
      <c r="AC211" s="3" t="n"/>
      <c r="AD211" s="3">
        <f>IF($C211="",0,SUMPRODUCT((AY_SONU!$O$7:$O$42="Evet")*(AY_SONU!$B$7:$B$42=DATE(YEAR($C211),MONTH($C211),1))))</f>
        <v/>
      </c>
    </row>
    <row r="212">
      <c r="A212" s="6" t="n"/>
      <c r="B212" s="113">
        <f>IF($C212="","","GG"&amp;TEXT(ROW()-6,"00000"))</f>
        <v/>
      </c>
      <c r="C212" s="220" t="n"/>
      <c r="D212" s="108" t="n"/>
      <c r="E212" s="109" t="n"/>
      <c r="F212" s="109" t="n"/>
      <c r="G212" s="221" t="n"/>
      <c r="H212" s="108" t="n"/>
      <c r="I212" s="108" t="n"/>
      <c r="J212" s="109" t="n"/>
      <c r="K212" s="109" t="n"/>
      <c r="L212" s="108" t="n"/>
      <c r="M212" s="121">
        <f>IF($C212="","",IF($D212="Gider",$E212,IF($L212&lt;&gt;"",$L212,$H212)))</f>
        <v/>
      </c>
      <c r="N212" s="121">
        <f>IF($C212="","",IF($D212="Gider",$H212,$E212))</f>
        <v/>
      </c>
      <c r="O212" s="226">
        <f>IF($C212="","",DATE(YEAR($C212),MONTH($C212),1))</f>
        <v/>
      </c>
      <c r="P212" s="113">
        <f>IF($C212="","",IF(AND($D212="Gelir",$L212&lt;&gt;"",$T212=""),"TANIMSIZ BORÇLU",IF($T212&lt;&gt;"",IF(OR($E212="",$G212&lt;=0),"EKSİK",IF($I212="Evet","TAHAKKUK NAKİT OLAMAZ",IF($C212&gt;TODAY(),"İLERİ TARİH","TAHAKKUK"))),IF(AND($D212&lt;&gt;"",$E212&lt;&gt;"",$G212&gt;0,$H212&lt;&gt;"",$I212&lt;&gt;""),IF($C212&gt;TODAY(),"İLERİ TARİH",IF(COUNTIF($W$7:$W$1206,$W212)&gt;1,"MÜKERRER?",IF($AD212&gt;0,"KAPALI DÖNEM",IF($I212="Hayır","ÖDENECEK","UYGUN")))),"EKSİK"))))</f>
        <v/>
      </c>
      <c r="Q212" s="6" t="n"/>
      <c r="R212" s="6" t="n"/>
      <c r="S212" s="3">
        <f>IF($L212="","",UPPER(SUBSTITUTE(SUBSTITUTE(SUBSTITUTE(SUBSTITUTE(SUBSTITUTE(SUBSTITUTE(SUBSTITUTE(SUBSTITUTE(SUBSTITUTE(SUBSTITUTE(SUBSTITUTE(SUBSTITUTE(SUBSTITUTE(SUBSTITUTE(SUBSTITUTE(SUBSTITUTE(SUBSTITUTE(SUBSTITUTE(TRIM($L212),"'",""),"İ","I"),"ı","I"),"i","I"),"Ş","S"),"ş","S"),"Ğ","G"),"ğ","G"),"Ü","U"),"ü","U"),"Ö","O"),"ö","O"),"Ç","C"),"ç","C"),".",""),",","")," ",""),"-","")))</f>
        <v/>
      </c>
      <c r="T212" s="3">
        <f>IF(OR($C212="",$D212&lt;&gt;"Gelir",$L212=""),"",IFERROR(INDEX(MUSTERILER!$B$7:$B$106,MATCH($S212,MUSTERILER!$T$7:$T$106,0)),""))</f>
        <v/>
      </c>
      <c r="U212" s="3">
        <f>IF($T212="","",$T212&amp;"|"&amp;COUNTIFS($T$7:$T212,$T212))</f>
        <v/>
      </c>
      <c r="V212" s="3">
        <f>IF($T212="",0,1)</f>
        <v/>
      </c>
      <c r="W212" s="3">
        <f>IF($C212="","",$D212&amp;"|"&amp;$E212&amp;"|"&amp;TEXT($C212,"0")&amp;"|"&amp;TEXT($G212,"0")&amp;"|"&amp;$J212)</f>
        <v/>
      </c>
      <c r="X212" s="3" t="n"/>
      <c r="Y212" s="3" t="n"/>
      <c r="Z212" s="3" t="n"/>
      <c r="AA212" s="3" t="n"/>
      <c r="AB212" s="3" t="n"/>
      <c r="AC212" s="3" t="n"/>
      <c r="AD212" s="3">
        <f>IF($C212="",0,SUMPRODUCT((AY_SONU!$O$7:$O$42="Evet")*(AY_SONU!$B$7:$B$42=DATE(YEAR($C212),MONTH($C212),1))))</f>
        <v/>
      </c>
    </row>
    <row r="213">
      <c r="A213" s="6" t="n"/>
      <c r="B213" s="113">
        <f>IF($C213="","","GG"&amp;TEXT(ROW()-6,"00000"))</f>
        <v/>
      </c>
      <c r="C213" s="220" t="n"/>
      <c r="D213" s="108" t="n"/>
      <c r="E213" s="109" t="n"/>
      <c r="F213" s="109" t="n"/>
      <c r="G213" s="221" t="n"/>
      <c r="H213" s="108" t="n"/>
      <c r="I213" s="108" t="n"/>
      <c r="J213" s="109" t="n"/>
      <c r="K213" s="109" t="n"/>
      <c r="L213" s="108" t="n"/>
      <c r="M213" s="121">
        <f>IF($C213="","",IF($D213="Gider",$E213,IF($L213&lt;&gt;"",$L213,$H213)))</f>
        <v/>
      </c>
      <c r="N213" s="121">
        <f>IF($C213="","",IF($D213="Gider",$H213,$E213))</f>
        <v/>
      </c>
      <c r="O213" s="226">
        <f>IF($C213="","",DATE(YEAR($C213),MONTH($C213),1))</f>
        <v/>
      </c>
      <c r="P213" s="113">
        <f>IF($C213="","",IF(AND($D213="Gelir",$L213&lt;&gt;"",$T213=""),"TANIMSIZ BORÇLU",IF($T213&lt;&gt;"",IF(OR($E213="",$G213&lt;=0),"EKSİK",IF($I213="Evet","TAHAKKUK NAKİT OLAMAZ",IF($C213&gt;TODAY(),"İLERİ TARİH","TAHAKKUK"))),IF(AND($D213&lt;&gt;"",$E213&lt;&gt;"",$G213&gt;0,$H213&lt;&gt;"",$I213&lt;&gt;""),IF($C213&gt;TODAY(),"İLERİ TARİH",IF(COUNTIF($W$7:$W$1206,$W213)&gt;1,"MÜKERRER?",IF($AD213&gt;0,"KAPALI DÖNEM",IF($I213="Hayır","ÖDENECEK","UYGUN")))),"EKSİK"))))</f>
        <v/>
      </c>
      <c r="Q213" s="6" t="n"/>
      <c r="R213" s="6" t="n"/>
      <c r="S213" s="3">
        <f>IF($L213="","",UPPER(SUBSTITUTE(SUBSTITUTE(SUBSTITUTE(SUBSTITUTE(SUBSTITUTE(SUBSTITUTE(SUBSTITUTE(SUBSTITUTE(SUBSTITUTE(SUBSTITUTE(SUBSTITUTE(SUBSTITUTE(SUBSTITUTE(SUBSTITUTE(SUBSTITUTE(SUBSTITUTE(SUBSTITUTE(SUBSTITUTE(TRIM($L213),"'",""),"İ","I"),"ı","I"),"i","I"),"Ş","S"),"ş","S"),"Ğ","G"),"ğ","G"),"Ü","U"),"ü","U"),"Ö","O"),"ö","O"),"Ç","C"),"ç","C"),".",""),",","")," ",""),"-","")))</f>
        <v/>
      </c>
      <c r="T213" s="3">
        <f>IF(OR($C213="",$D213&lt;&gt;"Gelir",$L213=""),"",IFERROR(INDEX(MUSTERILER!$B$7:$B$106,MATCH($S213,MUSTERILER!$T$7:$T$106,0)),""))</f>
        <v/>
      </c>
      <c r="U213" s="3">
        <f>IF($T213="","",$T213&amp;"|"&amp;COUNTIFS($T$7:$T213,$T213))</f>
        <v/>
      </c>
      <c r="V213" s="3">
        <f>IF($T213="",0,1)</f>
        <v/>
      </c>
      <c r="W213" s="3">
        <f>IF($C213="","",$D213&amp;"|"&amp;$E213&amp;"|"&amp;TEXT($C213,"0")&amp;"|"&amp;TEXT($G213,"0")&amp;"|"&amp;$J213)</f>
        <v/>
      </c>
      <c r="X213" s="3" t="n"/>
      <c r="Y213" s="3" t="n"/>
      <c r="Z213" s="3" t="n"/>
      <c r="AA213" s="3" t="n"/>
      <c r="AB213" s="3" t="n"/>
      <c r="AC213" s="3" t="n"/>
      <c r="AD213" s="3">
        <f>IF($C213="",0,SUMPRODUCT((AY_SONU!$O$7:$O$42="Evet")*(AY_SONU!$B$7:$B$42=DATE(YEAR($C213),MONTH($C213),1))))</f>
        <v/>
      </c>
    </row>
    <row r="214">
      <c r="A214" s="6" t="n"/>
      <c r="B214" s="113">
        <f>IF($C214="","","GG"&amp;TEXT(ROW()-6,"00000"))</f>
        <v/>
      </c>
      <c r="C214" s="220" t="n"/>
      <c r="D214" s="108" t="n"/>
      <c r="E214" s="109" t="n"/>
      <c r="F214" s="109" t="n"/>
      <c r="G214" s="221" t="n"/>
      <c r="H214" s="108" t="n"/>
      <c r="I214" s="108" t="n"/>
      <c r="J214" s="109" t="n"/>
      <c r="K214" s="109" t="n"/>
      <c r="L214" s="108" t="n"/>
      <c r="M214" s="121">
        <f>IF($C214="","",IF($D214="Gider",$E214,IF($L214&lt;&gt;"",$L214,$H214)))</f>
        <v/>
      </c>
      <c r="N214" s="121">
        <f>IF($C214="","",IF($D214="Gider",$H214,$E214))</f>
        <v/>
      </c>
      <c r="O214" s="226">
        <f>IF($C214="","",DATE(YEAR($C214),MONTH($C214),1))</f>
        <v/>
      </c>
      <c r="P214" s="113">
        <f>IF($C214="","",IF(AND($D214="Gelir",$L214&lt;&gt;"",$T214=""),"TANIMSIZ BORÇLU",IF($T214&lt;&gt;"",IF(OR($E214="",$G214&lt;=0),"EKSİK",IF($I214="Evet","TAHAKKUK NAKİT OLAMAZ",IF($C214&gt;TODAY(),"İLERİ TARİH","TAHAKKUK"))),IF(AND($D214&lt;&gt;"",$E214&lt;&gt;"",$G214&gt;0,$H214&lt;&gt;"",$I214&lt;&gt;""),IF($C214&gt;TODAY(),"İLERİ TARİH",IF(COUNTIF($W$7:$W$1206,$W214)&gt;1,"MÜKERRER?",IF($AD214&gt;0,"KAPALI DÖNEM",IF($I214="Hayır","ÖDENECEK","UYGUN")))),"EKSİK"))))</f>
        <v/>
      </c>
      <c r="Q214" s="6" t="n"/>
      <c r="R214" s="6" t="n"/>
      <c r="S214" s="3">
        <f>IF($L214="","",UPPER(SUBSTITUTE(SUBSTITUTE(SUBSTITUTE(SUBSTITUTE(SUBSTITUTE(SUBSTITUTE(SUBSTITUTE(SUBSTITUTE(SUBSTITUTE(SUBSTITUTE(SUBSTITUTE(SUBSTITUTE(SUBSTITUTE(SUBSTITUTE(SUBSTITUTE(SUBSTITUTE(SUBSTITUTE(SUBSTITUTE(TRIM($L214),"'",""),"İ","I"),"ı","I"),"i","I"),"Ş","S"),"ş","S"),"Ğ","G"),"ğ","G"),"Ü","U"),"ü","U"),"Ö","O"),"ö","O"),"Ç","C"),"ç","C"),".",""),",","")," ",""),"-","")))</f>
        <v/>
      </c>
      <c r="T214" s="3">
        <f>IF(OR($C214="",$D214&lt;&gt;"Gelir",$L214=""),"",IFERROR(INDEX(MUSTERILER!$B$7:$B$106,MATCH($S214,MUSTERILER!$T$7:$T$106,0)),""))</f>
        <v/>
      </c>
      <c r="U214" s="3">
        <f>IF($T214="","",$T214&amp;"|"&amp;COUNTIFS($T$7:$T214,$T214))</f>
        <v/>
      </c>
      <c r="V214" s="3">
        <f>IF($T214="",0,1)</f>
        <v/>
      </c>
      <c r="W214" s="3">
        <f>IF($C214="","",$D214&amp;"|"&amp;$E214&amp;"|"&amp;TEXT($C214,"0")&amp;"|"&amp;TEXT($G214,"0")&amp;"|"&amp;$J214)</f>
        <v/>
      </c>
      <c r="X214" s="3" t="n"/>
      <c r="Y214" s="3" t="n"/>
      <c r="Z214" s="3" t="n"/>
      <c r="AA214" s="3" t="n"/>
      <c r="AB214" s="3" t="n"/>
      <c r="AC214" s="3" t="n"/>
      <c r="AD214" s="3">
        <f>IF($C214="",0,SUMPRODUCT((AY_SONU!$O$7:$O$42="Evet")*(AY_SONU!$B$7:$B$42=DATE(YEAR($C214),MONTH($C214),1))))</f>
        <v/>
      </c>
    </row>
    <row r="215">
      <c r="A215" s="6" t="n"/>
      <c r="B215" s="113">
        <f>IF($C215="","","GG"&amp;TEXT(ROW()-6,"00000"))</f>
        <v/>
      </c>
      <c r="C215" s="220" t="n"/>
      <c r="D215" s="108" t="n"/>
      <c r="E215" s="109" t="n"/>
      <c r="F215" s="109" t="n"/>
      <c r="G215" s="221" t="n"/>
      <c r="H215" s="108" t="n"/>
      <c r="I215" s="108" t="n"/>
      <c r="J215" s="109" t="n"/>
      <c r="K215" s="109" t="n"/>
      <c r="L215" s="108" t="n"/>
      <c r="M215" s="121">
        <f>IF($C215="","",IF($D215="Gider",$E215,IF($L215&lt;&gt;"",$L215,$H215)))</f>
        <v/>
      </c>
      <c r="N215" s="121">
        <f>IF($C215="","",IF($D215="Gider",$H215,$E215))</f>
        <v/>
      </c>
      <c r="O215" s="226">
        <f>IF($C215="","",DATE(YEAR($C215),MONTH($C215),1))</f>
        <v/>
      </c>
      <c r="P215" s="113">
        <f>IF($C215="","",IF(AND($D215="Gelir",$L215&lt;&gt;"",$T215=""),"TANIMSIZ BORÇLU",IF($T215&lt;&gt;"",IF(OR($E215="",$G215&lt;=0),"EKSİK",IF($I215="Evet","TAHAKKUK NAKİT OLAMAZ",IF($C215&gt;TODAY(),"İLERİ TARİH","TAHAKKUK"))),IF(AND($D215&lt;&gt;"",$E215&lt;&gt;"",$G215&gt;0,$H215&lt;&gt;"",$I215&lt;&gt;""),IF($C215&gt;TODAY(),"İLERİ TARİH",IF(COUNTIF($W$7:$W$1206,$W215)&gt;1,"MÜKERRER?",IF($AD215&gt;0,"KAPALI DÖNEM",IF($I215="Hayır","ÖDENECEK","UYGUN")))),"EKSİK"))))</f>
        <v/>
      </c>
      <c r="Q215" s="6" t="n"/>
      <c r="R215" s="6" t="n"/>
      <c r="S215" s="3">
        <f>IF($L215="","",UPPER(SUBSTITUTE(SUBSTITUTE(SUBSTITUTE(SUBSTITUTE(SUBSTITUTE(SUBSTITUTE(SUBSTITUTE(SUBSTITUTE(SUBSTITUTE(SUBSTITUTE(SUBSTITUTE(SUBSTITUTE(SUBSTITUTE(SUBSTITUTE(SUBSTITUTE(SUBSTITUTE(SUBSTITUTE(SUBSTITUTE(TRIM($L215),"'",""),"İ","I"),"ı","I"),"i","I"),"Ş","S"),"ş","S"),"Ğ","G"),"ğ","G"),"Ü","U"),"ü","U"),"Ö","O"),"ö","O"),"Ç","C"),"ç","C"),".",""),",","")," ",""),"-","")))</f>
        <v/>
      </c>
      <c r="T215" s="3">
        <f>IF(OR($C215="",$D215&lt;&gt;"Gelir",$L215=""),"",IFERROR(INDEX(MUSTERILER!$B$7:$B$106,MATCH($S215,MUSTERILER!$T$7:$T$106,0)),""))</f>
        <v/>
      </c>
      <c r="U215" s="3">
        <f>IF($T215="","",$T215&amp;"|"&amp;COUNTIFS($T$7:$T215,$T215))</f>
        <v/>
      </c>
      <c r="V215" s="3">
        <f>IF($T215="",0,1)</f>
        <v/>
      </c>
      <c r="W215" s="3">
        <f>IF($C215="","",$D215&amp;"|"&amp;$E215&amp;"|"&amp;TEXT($C215,"0")&amp;"|"&amp;TEXT($G215,"0")&amp;"|"&amp;$J215)</f>
        <v/>
      </c>
      <c r="X215" s="3" t="n"/>
      <c r="Y215" s="3" t="n"/>
      <c r="Z215" s="3" t="n"/>
      <c r="AA215" s="3" t="n"/>
      <c r="AB215" s="3" t="n"/>
      <c r="AC215" s="3" t="n"/>
      <c r="AD215" s="3">
        <f>IF($C215="",0,SUMPRODUCT((AY_SONU!$O$7:$O$42="Evet")*(AY_SONU!$B$7:$B$42=DATE(YEAR($C215),MONTH($C215),1))))</f>
        <v/>
      </c>
    </row>
    <row r="216">
      <c r="A216" s="6" t="n"/>
      <c r="B216" s="113">
        <f>IF($C216="","","GG"&amp;TEXT(ROW()-6,"00000"))</f>
        <v/>
      </c>
      <c r="C216" s="220" t="n"/>
      <c r="D216" s="108" t="n"/>
      <c r="E216" s="109" t="n"/>
      <c r="F216" s="109" t="n"/>
      <c r="G216" s="221" t="n"/>
      <c r="H216" s="108" t="n"/>
      <c r="I216" s="108" t="n"/>
      <c r="J216" s="109" t="n"/>
      <c r="K216" s="109" t="n"/>
      <c r="L216" s="108" t="n"/>
      <c r="M216" s="121">
        <f>IF($C216="","",IF($D216="Gider",$E216,IF($L216&lt;&gt;"",$L216,$H216)))</f>
        <v/>
      </c>
      <c r="N216" s="121">
        <f>IF($C216="","",IF($D216="Gider",$H216,$E216))</f>
        <v/>
      </c>
      <c r="O216" s="226">
        <f>IF($C216="","",DATE(YEAR($C216),MONTH($C216),1))</f>
        <v/>
      </c>
      <c r="P216" s="113">
        <f>IF($C216="","",IF(AND($D216="Gelir",$L216&lt;&gt;"",$T216=""),"TANIMSIZ BORÇLU",IF($T216&lt;&gt;"",IF(OR($E216="",$G216&lt;=0),"EKSİK",IF($I216="Evet","TAHAKKUK NAKİT OLAMAZ",IF($C216&gt;TODAY(),"İLERİ TARİH","TAHAKKUK"))),IF(AND($D216&lt;&gt;"",$E216&lt;&gt;"",$G216&gt;0,$H216&lt;&gt;"",$I216&lt;&gt;""),IF($C216&gt;TODAY(),"İLERİ TARİH",IF(COUNTIF($W$7:$W$1206,$W216)&gt;1,"MÜKERRER?",IF($AD216&gt;0,"KAPALI DÖNEM",IF($I216="Hayır","ÖDENECEK","UYGUN")))),"EKSİK"))))</f>
        <v/>
      </c>
      <c r="Q216" s="6" t="n"/>
      <c r="R216" s="6" t="n"/>
      <c r="S216" s="3">
        <f>IF($L216="","",UPPER(SUBSTITUTE(SUBSTITUTE(SUBSTITUTE(SUBSTITUTE(SUBSTITUTE(SUBSTITUTE(SUBSTITUTE(SUBSTITUTE(SUBSTITUTE(SUBSTITUTE(SUBSTITUTE(SUBSTITUTE(SUBSTITUTE(SUBSTITUTE(SUBSTITUTE(SUBSTITUTE(SUBSTITUTE(SUBSTITUTE(TRIM($L216),"'",""),"İ","I"),"ı","I"),"i","I"),"Ş","S"),"ş","S"),"Ğ","G"),"ğ","G"),"Ü","U"),"ü","U"),"Ö","O"),"ö","O"),"Ç","C"),"ç","C"),".",""),",","")," ",""),"-","")))</f>
        <v/>
      </c>
      <c r="T216" s="3">
        <f>IF(OR($C216="",$D216&lt;&gt;"Gelir",$L216=""),"",IFERROR(INDEX(MUSTERILER!$B$7:$B$106,MATCH($S216,MUSTERILER!$T$7:$T$106,0)),""))</f>
        <v/>
      </c>
      <c r="U216" s="3">
        <f>IF($T216="","",$T216&amp;"|"&amp;COUNTIFS($T$7:$T216,$T216))</f>
        <v/>
      </c>
      <c r="V216" s="3">
        <f>IF($T216="",0,1)</f>
        <v/>
      </c>
      <c r="W216" s="3">
        <f>IF($C216="","",$D216&amp;"|"&amp;$E216&amp;"|"&amp;TEXT($C216,"0")&amp;"|"&amp;TEXT($G216,"0")&amp;"|"&amp;$J216)</f>
        <v/>
      </c>
      <c r="X216" s="3" t="n"/>
      <c r="Y216" s="3" t="n"/>
      <c r="Z216" s="3" t="n"/>
      <c r="AA216" s="3" t="n"/>
      <c r="AB216" s="3" t="n"/>
      <c r="AC216" s="3" t="n"/>
      <c r="AD216" s="3">
        <f>IF($C216="",0,SUMPRODUCT((AY_SONU!$O$7:$O$42="Evet")*(AY_SONU!$B$7:$B$42=DATE(YEAR($C216),MONTH($C216),1))))</f>
        <v/>
      </c>
    </row>
    <row r="217">
      <c r="A217" s="6" t="n"/>
      <c r="B217" s="113">
        <f>IF($C217="","","GG"&amp;TEXT(ROW()-6,"00000"))</f>
        <v/>
      </c>
      <c r="C217" s="220" t="n"/>
      <c r="D217" s="108" t="n"/>
      <c r="E217" s="109" t="n"/>
      <c r="F217" s="109" t="n"/>
      <c r="G217" s="221" t="n"/>
      <c r="H217" s="108" t="n"/>
      <c r="I217" s="108" t="n"/>
      <c r="J217" s="109" t="n"/>
      <c r="K217" s="109" t="n"/>
      <c r="L217" s="108" t="n"/>
      <c r="M217" s="121">
        <f>IF($C217="","",IF($D217="Gider",$E217,IF($L217&lt;&gt;"",$L217,$H217)))</f>
        <v/>
      </c>
      <c r="N217" s="121">
        <f>IF($C217="","",IF($D217="Gider",$H217,$E217))</f>
        <v/>
      </c>
      <c r="O217" s="226">
        <f>IF($C217="","",DATE(YEAR($C217),MONTH($C217),1))</f>
        <v/>
      </c>
      <c r="P217" s="113">
        <f>IF($C217="","",IF(AND($D217="Gelir",$L217&lt;&gt;"",$T217=""),"TANIMSIZ BORÇLU",IF($T217&lt;&gt;"",IF(OR($E217="",$G217&lt;=0),"EKSİK",IF($I217="Evet","TAHAKKUK NAKİT OLAMAZ",IF($C217&gt;TODAY(),"İLERİ TARİH","TAHAKKUK"))),IF(AND($D217&lt;&gt;"",$E217&lt;&gt;"",$G217&gt;0,$H217&lt;&gt;"",$I217&lt;&gt;""),IF($C217&gt;TODAY(),"İLERİ TARİH",IF(COUNTIF($W$7:$W$1206,$W217)&gt;1,"MÜKERRER?",IF($AD217&gt;0,"KAPALI DÖNEM",IF($I217="Hayır","ÖDENECEK","UYGUN")))),"EKSİK"))))</f>
        <v/>
      </c>
      <c r="Q217" s="6" t="n"/>
      <c r="R217" s="6" t="n"/>
      <c r="S217" s="3">
        <f>IF($L217="","",UPPER(SUBSTITUTE(SUBSTITUTE(SUBSTITUTE(SUBSTITUTE(SUBSTITUTE(SUBSTITUTE(SUBSTITUTE(SUBSTITUTE(SUBSTITUTE(SUBSTITUTE(SUBSTITUTE(SUBSTITUTE(SUBSTITUTE(SUBSTITUTE(SUBSTITUTE(SUBSTITUTE(SUBSTITUTE(SUBSTITUTE(TRIM($L217),"'",""),"İ","I"),"ı","I"),"i","I"),"Ş","S"),"ş","S"),"Ğ","G"),"ğ","G"),"Ü","U"),"ü","U"),"Ö","O"),"ö","O"),"Ç","C"),"ç","C"),".",""),",","")," ",""),"-","")))</f>
        <v/>
      </c>
      <c r="T217" s="3">
        <f>IF(OR($C217="",$D217&lt;&gt;"Gelir",$L217=""),"",IFERROR(INDEX(MUSTERILER!$B$7:$B$106,MATCH($S217,MUSTERILER!$T$7:$T$106,0)),""))</f>
        <v/>
      </c>
      <c r="U217" s="3">
        <f>IF($T217="","",$T217&amp;"|"&amp;COUNTIFS($T$7:$T217,$T217))</f>
        <v/>
      </c>
      <c r="V217" s="3">
        <f>IF($T217="",0,1)</f>
        <v/>
      </c>
      <c r="W217" s="3">
        <f>IF($C217="","",$D217&amp;"|"&amp;$E217&amp;"|"&amp;TEXT($C217,"0")&amp;"|"&amp;TEXT($G217,"0")&amp;"|"&amp;$J217)</f>
        <v/>
      </c>
      <c r="X217" s="3" t="n"/>
      <c r="Y217" s="3" t="n"/>
      <c r="Z217" s="3" t="n"/>
      <c r="AA217" s="3" t="n"/>
      <c r="AB217" s="3" t="n"/>
      <c r="AC217" s="3" t="n"/>
      <c r="AD217" s="3">
        <f>IF($C217="",0,SUMPRODUCT((AY_SONU!$O$7:$O$42="Evet")*(AY_SONU!$B$7:$B$42=DATE(YEAR($C217),MONTH($C217),1))))</f>
        <v/>
      </c>
    </row>
    <row r="218">
      <c r="A218" s="6" t="n"/>
      <c r="B218" s="113">
        <f>IF($C218="","","GG"&amp;TEXT(ROW()-6,"00000"))</f>
        <v/>
      </c>
      <c r="C218" s="220" t="n"/>
      <c r="D218" s="108" t="n"/>
      <c r="E218" s="109" t="n"/>
      <c r="F218" s="109" t="n"/>
      <c r="G218" s="221" t="n"/>
      <c r="H218" s="108" t="n"/>
      <c r="I218" s="108" t="n"/>
      <c r="J218" s="109" t="n"/>
      <c r="K218" s="109" t="n"/>
      <c r="L218" s="108" t="n"/>
      <c r="M218" s="121">
        <f>IF($C218="","",IF($D218="Gider",$E218,IF($L218&lt;&gt;"",$L218,$H218)))</f>
        <v/>
      </c>
      <c r="N218" s="121">
        <f>IF($C218="","",IF($D218="Gider",$H218,$E218))</f>
        <v/>
      </c>
      <c r="O218" s="226">
        <f>IF($C218="","",DATE(YEAR($C218),MONTH($C218),1))</f>
        <v/>
      </c>
      <c r="P218" s="113">
        <f>IF($C218="","",IF(AND($D218="Gelir",$L218&lt;&gt;"",$T218=""),"TANIMSIZ BORÇLU",IF($T218&lt;&gt;"",IF(OR($E218="",$G218&lt;=0),"EKSİK",IF($I218="Evet","TAHAKKUK NAKİT OLAMAZ",IF($C218&gt;TODAY(),"İLERİ TARİH","TAHAKKUK"))),IF(AND($D218&lt;&gt;"",$E218&lt;&gt;"",$G218&gt;0,$H218&lt;&gt;"",$I218&lt;&gt;""),IF($C218&gt;TODAY(),"İLERİ TARİH",IF(COUNTIF($W$7:$W$1206,$W218)&gt;1,"MÜKERRER?",IF($AD218&gt;0,"KAPALI DÖNEM",IF($I218="Hayır","ÖDENECEK","UYGUN")))),"EKSİK"))))</f>
        <v/>
      </c>
      <c r="Q218" s="6" t="n"/>
      <c r="R218" s="6" t="n"/>
      <c r="S218" s="3">
        <f>IF($L218="","",UPPER(SUBSTITUTE(SUBSTITUTE(SUBSTITUTE(SUBSTITUTE(SUBSTITUTE(SUBSTITUTE(SUBSTITUTE(SUBSTITUTE(SUBSTITUTE(SUBSTITUTE(SUBSTITUTE(SUBSTITUTE(SUBSTITUTE(SUBSTITUTE(SUBSTITUTE(SUBSTITUTE(SUBSTITUTE(SUBSTITUTE(TRIM($L218),"'",""),"İ","I"),"ı","I"),"i","I"),"Ş","S"),"ş","S"),"Ğ","G"),"ğ","G"),"Ü","U"),"ü","U"),"Ö","O"),"ö","O"),"Ç","C"),"ç","C"),".",""),",","")," ",""),"-","")))</f>
        <v/>
      </c>
      <c r="T218" s="3">
        <f>IF(OR($C218="",$D218&lt;&gt;"Gelir",$L218=""),"",IFERROR(INDEX(MUSTERILER!$B$7:$B$106,MATCH($S218,MUSTERILER!$T$7:$T$106,0)),""))</f>
        <v/>
      </c>
      <c r="U218" s="3">
        <f>IF($T218="","",$T218&amp;"|"&amp;COUNTIFS($T$7:$T218,$T218))</f>
        <v/>
      </c>
      <c r="V218" s="3">
        <f>IF($T218="",0,1)</f>
        <v/>
      </c>
      <c r="W218" s="3">
        <f>IF($C218="","",$D218&amp;"|"&amp;$E218&amp;"|"&amp;TEXT($C218,"0")&amp;"|"&amp;TEXT($G218,"0")&amp;"|"&amp;$J218)</f>
        <v/>
      </c>
      <c r="X218" s="3" t="n"/>
      <c r="Y218" s="3" t="n"/>
      <c r="Z218" s="3" t="n"/>
      <c r="AA218" s="3" t="n"/>
      <c r="AB218" s="3" t="n"/>
      <c r="AC218" s="3" t="n"/>
      <c r="AD218" s="3">
        <f>IF($C218="",0,SUMPRODUCT((AY_SONU!$O$7:$O$42="Evet")*(AY_SONU!$B$7:$B$42=DATE(YEAR($C218),MONTH($C218),1))))</f>
        <v/>
      </c>
    </row>
    <row r="219">
      <c r="A219" s="6" t="n"/>
      <c r="B219" s="113">
        <f>IF($C219="","","GG"&amp;TEXT(ROW()-6,"00000"))</f>
        <v/>
      </c>
      <c r="C219" s="220" t="n"/>
      <c r="D219" s="108" t="n"/>
      <c r="E219" s="109" t="n"/>
      <c r="F219" s="109" t="n"/>
      <c r="G219" s="221" t="n"/>
      <c r="H219" s="108" t="n"/>
      <c r="I219" s="108" t="n"/>
      <c r="J219" s="109" t="n"/>
      <c r="K219" s="109" t="n"/>
      <c r="L219" s="108" t="n"/>
      <c r="M219" s="121">
        <f>IF($C219="","",IF($D219="Gider",$E219,IF($L219&lt;&gt;"",$L219,$H219)))</f>
        <v/>
      </c>
      <c r="N219" s="121">
        <f>IF($C219="","",IF($D219="Gider",$H219,$E219))</f>
        <v/>
      </c>
      <c r="O219" s="226">
        <f>IF($C219="","",DATE(YEAR($C219),MONTH($C219),1))</f>
        <v/>
      </c>
      <c r="P219" s="113">
        <f>IF($C219="","",IF(AND($D219="Gelir",$L219&lt;&gt;"",$T219=""),"TANIMSIZ BORÇLU",IF($T219&lt;&gt;"",IF(OR($E219="",$G219&lt;=0),"EKSİK",IF($I219="Evet","TAHAKKUK NAKİT OLAMAZ",IF($C219&gt;TODAY(),"İLERİ TARİH","TAHAKKUK"))),IF(AND($D219&lt;&gt;"",$E219&lt;&gt;"",$G219&gt;0,$H219&lt;&gt;"",$I219&lt;&gt;""),IF($C219&gt;TODAY(),"İLERİ TARİH",IF(COUNTIF($W$7:$W$1206,$W219)&gt;1,"MÜKERRER?",IF($AD219&gt;0,"KAPALI DÖNEM",IF($I219="Hayır","ÖDENECEK","UYGUN")))),"EKSİK"))))</f>
        <v/>
      </c>
      <c r="Q219" s="6" t="n"/>
      <c r="R219" s="6" t="n"/>
      <c r="S219" s="3">
        <f>IF($L219="","",UPPER(SUBSTITUTE(SUBSTITUTE(SUBSTITUTE(SUBSTITUTE(SUBSTITUTE(SUBSTITUTE(SUBSTITUTE(SUBSTITUTE(SUBSTITUTE(SUBSTITUTE(SUBSTITUTE(SUBSTITUTE(SUBSTITUTE(SUBSTITUTE(SUBSTITUTE(SUBSTITUTE(SUBSTITUTE(SUBSTITUTE(TRIM($L219),"'",""),"İ","I"),"ı","I"),"i","I"),"Ş","S"),"ş","S"),"Ğ","G"),"ğ","G"),"Ü","U"),"ü","U"),"Ö","O"),"ö","O"),"Ç","C"),"ç","C"),".",""),",","")," ",""),"-","")))</f>
        <v/>
      </c>
      <c r="T219" s="3">
        <f>IF(OR($C219="",$D219&lt;&gt;"Gelir",$L219=""),"",IFERROR(INDEX(MUSTERILER!$B$7:$B$106,MATCH($S219,MUSTERILER!$T$7:$T$106,0)),""))</f>
        <v/>
      </c>
      <c r="U219" s="3">
        <f>IF($T219="","",$T219&amp;"|"&amp;COUNTIFS($T$7:$T219,$T219))</f>
        <v/>
      </c>
      <c r="V219" s="3">
        <f>IF($T219="",0,1)</f>
        <v/>
      </c>
      <c r="W219" s="3">
        <f>IF($C219="","",$D219&amp;"|"&amp;$E219&amp;"|"&amp;TEXT($C219,"0")&amp;"|"&amp;TEXT($G219,"0")&amp;"|"&amp;$J219)</f>
        <v/>
      </c>
      <c r="X219" s="3" t="n"/>
      <c r="Y219" s="3" t="n"/>
      <c r="Z219" s="3" t="n"/>
      <c r="AA219" s="3" t="n"/>
      <c r="AB219" s="3" t="n"/>
      <c r="AC219" s="3" t="n"/>
      <c r="AD219" s="3">
        <f>IF($C219="",0,SUMPRODUCT((AY_SONU!$O$7:$O$42="Evet")*(AY_SONU!$B$7:$B$42=DATE(YEAR($C219),MONTH($C219),1))))</f>
        <v/>
      </c>
    </row>
    <row r="220">
      <c r="A220" s="6" t="n"/>
      <c r="B220" s="113">
        <f>IF($C220="","","GG"&amp;TEXT(ROW()-6,"00000"))</f>
        <v/>
      </c>
      <c r="C220" s="220" t="n"/>
      <c r="D220" s="108" t="n"/>
      <c r="E220" s="109" t="n"/>
      <c r="F220" s="109" t="n"/>
      <c r="G220" s="221" t="n"/>
      <c r="H220" s="108" t="n"/>
      <c r="I220" s="108" t="n"/>
      <c r="J220" s="109" t="n"/>
      <c r="K220" s="109" t="n"/>
      <c r="L220" s="108" t="n"/>
      <c r="M220" s="121">
        <f>IF($C220="","",IF($D220="Gider",$E220,IF($L220&lt;&gt;"",$L220,$H220)))</f>
        <v/>
      </c>
      <c r="N220" s="121">
        <f>IF($C220="","",IF($D220="Gider",$H220,$E220))</f>
        <v/>
      </c>
      <c r="O220" s="226">
        <f>IF($C220="","",DATE(YEAR($C220),MONTH($C220),1))</f>
        <v/>
      </c>
      <c r="P220" s="113">
        <f>IF($C220="","",IF(AND($D220="Gelir",$L220&lt;&gt;"",$T220=""),"TANIMSIZ BORÇLU",IF($T220&lt;&gt;"",IF(OR($E220="",$G220&lt;=0),"EKSİK",IF($I220="Evet","TAHAKKUK NAKİT OLAMAZ",IF($C220&gt;TODAY(),"İLERİ TARİH","TAHAKKUK"))),IF(AND($D220&lt;&gt;"",$E220&lt;&gt;"",$G220&gt;0,$H220&lt;&gt;"",$I220&lt;&gt;""),IF($C220&gt;TODAY(),"İLERİ TARİH",IF(COUNTIF($W$7:$W$1206,$W220)&gt;1,"MÜKERRER?",IF($AD220&gt;0,"KAPALI DÖNEM",IF($I220="Hayır","ÖDENECEK","UYGUN")))),"EKSİK"))))</f>
        <v/>
      </c>
      <c r="Q220" s="6" t="n"/>
      <c r="R220" s="6" t="n"/>
      <c r="S220" s="3">
        <f>IF($L220="","",UPPER(SUBSTITUTE(SUBSTITUTE(SUBSTITUTE(SUBSTITUTE(SUBSTITUTE(SUBSTITUTE(SUBSTITUTE(SUBSTITUTE(SUBSTITUTE(SUBSTITUTE(SUBSTITUTE(SUBSTITUTE(SUBSTITUTE(SUBSTITUTE(SUBSTITUTE(SUBSTITUTE(SUBSTITUTE(SUBSTITUTE(TRIM($L220),"'",""),"İ","I"),"ı","I"),"i","I"),"Ş","S"),"ş","S"),"Ğ","G"),"ğ","G"),"Ü","U"),"ü","U"),"Ö","O"),"ö","O"),"Ç","C"),"ç","C"),".",""),",","")," ",""),"-","")))</f>
        <v/>
      </c>
      <c r="T220" s="3">
        <f>IF(OR($C220="",$D220&lt;&gt;"Gelir",$L220=""),"",IFERROR(INDEX(MUSTERILER!$B$7:$B$106,MATCH($S220,MUSTERILER!$T$7:$T$106,0)),""))</f>
        <v/>
      </c>
      <c r="U220" s="3">
        <f>IF($T220="","",$T220&amp;"|"&amp;COUNTIFS($T$7:$T220,$T220))</f>
        <v/>
      </c>
      <c r="V220" s="3">
        <f>IF($T220="",0,1)</f>
        <v/>
      </c>
      <c r="W220" s="3">
        <f>IF($C220="","",$D220&amp;"|"&amp;$E220&amp;"|"&amp;TEXT($C220,"0")&amp;"|"&amp;TEXT($G220,"0")&amp;"|"&amp;$J220)</f>
        <v/>
      </c>
      <c r="X220" s="3" t="n"/>
      <c r="Y220" s="3" t="n"/>
      <c r="Z220" s="3" t="n"/>
      <c r="AA220" s="3" t="n"/>
      <c r="AB220" s="3" t="n"/>
      <c r="AC220" s="3" t="n"/>
      <c r="AD220" s="3">
        <f>IF($C220="",0,SUMPRODUCT((AY_SONU!$O$7:$O$42="Evet")*(AY_SONU!$B$7:$B$42=DATE(YEAR($C220),MONTH($C220),1))))</f>
        <v/>
      </c>
    </row>
    <row r="221">
      <c r="A221" s="6" t="n"/>
      <c r="B221" s="113">
        <f>IF($C221="","","GG"&amp;TEXT(ROW()-6,"00000"))</f>
        <v/>
      </c>
      <c r="C221" s="220" t="n"/>
      <c r="D221" s="108" t="n"/>
      <c r="E221" s="109" t="n"/>
      <c r="F221" s="109" t="n"/>
      <c r="G221" s="221" t="n"/>
      <c r="H221" s="108" t="n"/>
      <c r="I221" s="108" t="n"/>
      <c r="J221" s="109" t="n"/>
      <c r="K221" s="109" t="n"/>
      <c r="L221" s="108" t="n"/>
      <c r="M221" s="121">
        <f>IF($C221="","",IF($D221="Gider",$E221,IF($L221&lt;&gt;"",$L221,$H221)))</f>
        <v/>
      </c>
      <c r="N221" s="121">
        <f>IF($C221="","",IF($D221="Gider",$H221,$E221))</f>
        <v/>
      </c>
      <c r="O221" s="226">
        <f>IF($C221="","",DATE(YEAR($C221),MONTH($C221),1))</f>
        <v/>
      </c>
      <c r="P221" s="113">
        <f>IF($C221="","",IF(AND($D221="Gelir",$L221&lt;&gt;"",$T221=""),"TANIMSIZ BORÇLU",IF($T221&lt;&gt;"",IF(OR($E221="",$G221&lt;=0),"EKSİK",IF($I221="Evet","TAHAKKUK NAKİT OLAMAZ",IF($C221&gt;TODAY(),"İLERİ TARİH","TAHAKKUK"))),IF(AND($D221&lt;&gt;"",$E221&lt;&gt;"",$G221&gt;0,$H221&lt;&gt;"",$I221&lt;&gt;""),IF($C221&gt;TODAY(),"İLERİ TARİH",IF(COUNTIF($W$7:$W$1206,$W221)&gt;1,"MÜKERRER?",IF($AD221&gt;0,"KAPALI DÖNEM",IF($I221="Hayır","ÖDENECEK","UYGUN")))),"EKSİK"))))</f>
        <v/>
      </c>
      <c r="Q221" s="6" t="n"/>
      <c r="R221" s="6" t="n"/>
      <c r="S221" s="3">
        <f>IF($L221="","",UPPER(SUBSTITUTE(SUBSTITUTE(SUBSTITUTE(SUBSTITUTE(SUBSTITUTE(SUBSTITUTE(SUBSTITUTE(SUBSTITUTE(SUBSTITUTE(SUBSTITUTE(SUBSTITUTE(SUBSTITUTE(SUBSTITUTE(SUBSTITUTE(SUBSTITUTE(SUBSTITUTE(SUBSTITUTE(SUBSTITUTE(TRIM($L221),"'",""),"İ","I"),"ı","I"),"i","I"),"Ş","S"),"ş","S"),"Ğ","G"),"ğ","G"),"Ü","U"),"ü","U"),"Ö","O"),"ö","O"),"Ç","C"),"ç","C"),".",""),",","")," ",""),"-","")))</f>
        <v/>
      </c>
      <c r="T221" s="3">
        <f>IF(OR($C221="",$D221&lt;&gt;"Gelir",$L221=""),"",IFERROR(INDEX(MUSTERILER!$B$7:$B$106,MATCH($S221,MUSTERILER!$T$7:$T$106,0)),""))</f>
        <v/>
      </c>
      <c r="U221" s="3">
        <f>IF($T221="","",$T221&amp;"|"&amp;COUNTIFS($T$7:$T221,$T221))</f>
        <v/>
      </c>
      <c r="V221" s="3">
        <f>IF($T221="",0,1)</f>
        <v/>
      </c>
      <c r="W221" s="3">
        <f>IF($C221="","",$D221&amp;"|"&amp;$E221&amp;"|"&amp;TEXT($C221,"0")&amp;"|"&amp;TEXT($G221,"0")&amp;"|"&amp;$J221)</f>
        <v/>
      </c>
      <c r="X221" s="3" t="n"/>
      <c r="Y221" s="3" t="n"/>
      <c r="Z221" s="3" t="n"/>
      <c r="AA221" s="3" t="n"/>
      <c r="AB221" s="3" t="n"/>
      <c r="AC221" s="3" t="n"/>
      <c r="AD221" s="3">
        <f>IF($C221="",0,SUMPRODUCT((AY_SONU!$O$7:$O$42="Evet")*(AY_SONU!$B$7:$B$42=DATE(YEAR($C221),MONTH($C221),1))))</f>
        <v/>
      </c>
    </row>
    <row r="222">
      <c r="A222" s="6" t="n"/>
      <c r="B222" s="113">
        <f>IF($C222="","","GG"&amp;TEXT(ROW()-6,"00000"))</f>
        <v/>
      </c>
      <c r="C222" s="220" t="n"/>
      <c r="D222" s="108" t="n"/>
      <c r="E222" s="109" t="n"/>
      <c r="F222" s="109" t="n"/>
      <c r="G222" s="221" t="n"/>
      <c r="H222" s="108" t="n"/>
      <c r="I222" s="108" t="n"/>
      <c r="J222" s="109" t="n"/>
      <c r="K222" s="109" t="n"/>
      <c r="L222" s="108" t="n"/>
      <c r="M222" s="121">
        <f>IF($C222="","",IF($D222="Gider",$E222,IF($L222&lt;&gt;"",$L222,$H222)))</f>
        <v/>
      </c>
      <c r="N222" s="121">
        <f>IF($C222="","",IF($D222="Gider",$H222,$E222))</f>
        <v/>
      </c>
      <c r="O222" s="226">
        <f>IF($C222="","",DATE(YEAR($C222),MONTH($C222),1))</f>
        <v/>
      </c>
      <c r="P222" s="113">
        <f>IF($C222="","",IF(AND($D222="Gelir",$L222&lt;&gt;"",$T222=""),"TANIMSIZ BORÇLU",IF($T222&lt;&gt;"",IF(OR($E222="",$G222&lt;=0),"EKSİK",IF($I222="Evet","TAHAKKUK NAKİT OLAMAZ",IF($C222&gt;TODAY(),"İLERİ TARİH","TAHAKKUK"))),IF(AND($D222&lt;&gt;"",$E222&lt;&gt;"",$G222&gt;0,$H222&lt;&gt;"",$I222&lt;&gt;""),IF($C222&gt;TODAY(),"İLERİ TARİH",IF(COUNTIF($W$7:$W$1206,$W222)&gt;1,"MÜKERRER?",IF($AD222&gt;0,"KAPALI DÖNEM",IF($I222="Hayır","ÖDENECEK","UYGUN")))),"EKSİK"))))</f>
        <v/>
      </c>
      <c r="Q222" s="6" t="n"/>
      <c r="R222" s="6" t="n"/>
      <c r="S222" s="3">
        <f>IF($L222="","",UPPER(SUBSTITUTE(SUBSTITUTE(SUBSTITUTE(SUBSTITUTE(SUBSTITUTE(SUBSTITUTE(SUBSTITUTE(SUBSTITUTE(SUBSTITUTE(SUBSTITUTE(SUBSTITUTE(SUBSTITUTE(SUBSTITUTE(SUBSTITUTE(SUBSTITUTE(SUBSTITUTE(SUBSTITUTE(SUBSTITUTE(TRIM($L222),"'",""),"İ","I"),"ı","I"),"i","I"),"Ş","S"),"ş","S"),"Ğ","G"),"ğ","G"),"Ü","U"),"ü","U"),"Ö","O"),"ö","O"),"Ç","C"),"ç","C"),".",""),",","")," ",""),"-","")))</f>
        <v/>
      </c>
      <c r="T222" s="3">
        <f>IF(OR($C222="",$D222&lt;&gt;"Gelir",$L222=""),"",IFERROR(INDEX(MUSTERILER!$B$7:$B$106,MATCH($S222,MUSTERILER!$T$7:$T$106,0)),""))</f>
        <v/>
      </c>
      <c r="U222" s="3">
        <f>IF($T222="","",$T222&amp;"|"&amp;COUNTIFS($T$7:$T222,$T222))</f>
        <v/>
      </c>
      <c r="V222" s="3">
        <f>IF($T222="",0,1)</f>
        <v/>
      </c>
      <c r="W222" s="3">
        <f>IF($C222="","",$D222&amp;"|"&amp;$E222&amp;"|"&amp;TEXT($C222,"0")&amp;"|"&amp;TEXT($G222,"0")&amp;"|"&amp;$J222)</f>
        <v/>
      </c>
      <c r="X222" s="3" t="n"/>
      <c r="Y222" s="3" t="n"/>
      <c r="Z222" s="3" t="n"/>
      <c r="AA222" s="3" t="n"/>
      <c r="AB222" s="3" t="n"/>
      <c r="AC222" s="3" t="n"/>
      <c r="AD222" s="3">
        <f>IF($C222="",0,SUMPRODUCT((AY_SONU!$O$7:$O$42="Evet")*(AY_SONU!$B$7:$B$42=DATE(YEAR($C222),MONTH($C222),1))))</f>
        <v/>
      </c>
    </row>
    <row r="223">
      <c r="A223" s="6" t="n"/>
      <c r="B223" s="113">
        <f>IF($C223="","","GG"&amp;TEXT(ROW()-6,"00000"))</f>
        <v/>
      </c>
      <c r="C223" s="220" t="n"/>
      <c r="D223" s="108" t="n"/>
      <c r="E223" s="109" t="n"/>
      <c r="F223" s="109" t="n"/>
      <c r="G223" s="221" t="n"/>
      <c r="H223" s="108" t="n"/>
      <c r="I223" s="108" t="n"/>
      <c r="J223" s="109" t="n"/>
      <c r="K223" s="109" t="n"/>
      <c r="L223" s="108" t="n"/>
      <c r="M223" s="121">
        <f>IF($C223="","",IF($D223="Gider",$E223,IF($L223&lt;&gt;"",$L223,$H223)))</f>
        <v/>
      </c>
      <c r="N223" s="121">
        <f>IF($C223="","",IF($D223="Gider",$H223,$E223))</f>
        <v/>
      </c>
      <c r="O223" s="226">
        <f>IF($C223="","",DATE(YEAR($C223),MONTH($C223),1))</f>
        <v/>
      </c>
      <c r="P223" s="113">
        <f>IF($C223="","",IF(AND($D223="Gelir",$L223&lt;&gt;"",$T223=""),"TANIMSIZ BORÇLU",IF($T223&lt;&gt;"",IF(OR($E223="",$G223&lt;=0),"EKSİK",IF($I223="Evet","TAHAKKUK NAKİT OLAMAZ",IF($C223&gt;TODAY(),"İLERİ TARİH","TAHAKKUK"))),IF(AND($D223&lt;&gt;"",$E223&lt;&gt;"",$G223&gt;0,$H223&lt;&gt;"",$I223&lt;&gt;""),IF($C223&gt;TODAY(),"İLERİ TARİH",IF(COUNTIF($W$7:$W$1206,$W223)&gt;1,"MÜKERRER?",IF($AD223&gt;0,"KAPALI DÖNEM",IF($I223="Hayır","ÖDENECEK","UYGUN")))),"EKSİK"))))</f>
        <v/>
      </c>
      <c r="Q223" s="6" t="n"/>
      <c r="R223" s="6" t="n"/>
      <c r="S223" s="3">
        <f>IF($L223="","",UPPER(SUBSTITUTE(SUBSTITUTE(SUBSTITUTE(SUBSTITUTE(SUBSTITUTE(SUBSTITUTE(SUBSTITUTE(SUBSTITUTE(SUBSTITUTE(SUBSTITUTE(SUBSTITUTE(SUBSTITUTE(SUBSTITUTE(SUBSTITUTE(SUBSTITUTE(SUBSTITUTE(SUBSTITUTE(SUBSTITUTE(TRIM($L223),"'",""),"İ","I"),"ı","I"),"i","I"),"Ş","S"),"ş","S"),"Ğ","G"),"ğ","G"),"Ü","U"),"ü","U"),"Ö","O"),"ö","O"),"Ç","C"),"ç","C"),".",""),",","")," ",""),"-","")))</f>
        <v/>
      </c>
      <c r="T223" s="3">
        <f>IF(OR($C223="",$D223&lt;&gt;"Gelir",$L223=""),"",IFERROR(INDEX(MUSTERILER!$B$7:$B$106,MATCH($S223,MUSTERILER!$T$7:$T$106,0)),""))</f>
        <v/>
      </c>
      <c r="U223" s="3">
        <f>IF($T223="","",$T223&amp;"|"&amp;COUNTIFS($T$7:$T223,$T223))</f>
        <v/>
      </c>
      <c r="V223" s="3">
        <f>IF($T223="",0,1)</f>
        <v/>
      </c>
      <c r="W223" s="3">
        <f>IF($C223="","",$D223&amp;"|"&amp;$E223&amp;"|"&amp;TEXT($C223,"0")&amp;"|"&amp;TEXT($G223,"0")&amp;"|"&amp;$J223)</f>
        <v/>
      </c>
      <c r="X223" s="3" t="n"/>
      <c r="Y223" s="3" t="n"/>
      <c r="Z223" s="3" t="n"/>
      <c r="AA223" s="3" t="n"/>
      <c r="AB223" s="3" t="n"/>
      <c r="AC223" s="3" t="n"/>
      <c r="AD223" s="3">
        <f>IF($C223="",0,SUMPRODUCT((AY_SONU!$O$7:$O$42="Evet")*(AY_SONU!$B$7:$B$42=DATE(YEAR($C223),MONTH($C223),1))))</f>
        <v/>
      </c>
    </row>
    <row r="224">
      <c r="A224" s="6" t="n"/>
      <c r="B224" s="113">
        <f>IF($C224="","","GG"&amp;TEXT(ROW()-6,"00000"))</f>
        <v/>
      </c>
      <c r="C224" s="220" t="n"/>
      <c r="D224" s="108" t="n"/>
      <c r="E224" s="109" t="n"/>
      <c r="F224" s="109" t="n"/>
      <c r="G224" s="221" t="n"/>
      <c r="H224" s="108" t="n"/>
      <c r="I224" s="108" t="n"/>
      <c r="J224" s="109" t="n"/>
      <c r="K224" s="109" t="n"/>
      <c r="L224" s="108" t="n"/>
      <c r="M224" s="121">
        <f>IF($C224="","",IF($D224="Gider",$E224,IF($L224&lt;&gt;"",$L224,$H224)))</f>
        <v/>
      </c>
      <c r="N224" s="121">
        <f>IF($C224="","",IF($D224="Gider",$H224,$E224))</f>
        <v/>
      </c>
      <c r="O224" s="226">
        <f>IF($C224="","",DATE(YEAR($C224),MONTH($C224),1))</f>
        <v/>
      </c>
      <c r="P224" s="113">
        <f>IF($C224="","",IF(AND($D224="Gelir",$L224&lt;&gt;"",$T224=""),"TANIMSIZ BORÇLU",IF($T224&lt;&gt;"",IF(OR($E224="",$G224&lt;=0),"EKSİK",IF($I224="Evet","TAHAKKUK NAKİT OLAMAZ",IF($C224&gt;TODAY(),"İLERİ TARİH","TAHAKKUK"))),IF(AND($D224&lt;&gt;"",$E224&lt;&gt;"",$G224&gt;0,$H224&lt;&gt;"",$I224&lt;&gt;""),IF($C224&gt;TODAY(),"İLERİ TARİH",IF(COUNTIF($W$7:$W$1206,$W224)&gt;1,"MÜKERRER?",IF($AD224&gt;0,"KAPALI DÖNEM",IF($I224="Hayır","ÖDENECEK","UYGUN")))),"EKSİK"))))</f>
        <v/>
      </c>
      <c r="Q224" s="6" t="n"/>
      <c r="R224" s="6" t="n"/>
      <c r="S224" s="3">
        <f>IF($L224="","",UPPER(SUBSTITUTE(SUBSTITUTE(SUBSTITUTE(SUBSTITUTE(SUBSTITUTE(SUBSTITUTE(SUBSTITUTE(SUBSTITUTE(SUBSTITUTE(SUBSTITUTE(SUBSTITUTE(SUBSTITUTE(SUBSTITUTE(SUBSTITUTE(SUBSTITUTE(SUBSTITUTE(SUBSTITUTE(SUBSTITUTE(TRIM($L224),"'",""),"İ","I"),"ı","I"),"i","I"),"Ş","S"),"ş","S"),"Ğ","G"),"ğ","G"),"Ü","U"),"ü","U"),"Ö","O"),"ö","O"),"Ç","C"),"ç","C"),".",""),",","")," ",""),"-","")))</f>
        <v/>
      </c>
      <c r="T224" s="3">
        <f>IF(OR($C224="",$D224&lt;&gt;"Gelir",$L224=""),"",IFERROR(INDEX(MUSTERILER!$B$7:$B$106,MATCH($S224,MUSTERILER!$T$7:$T$106,0)),""))</f>
        <v/>
      </c>
      <c r="U224" s="3">
        <f>IF($T224="","",$T224&amp;"|"&amp;COUNTIFS($T$7:$T224,$T224))</f>
        <v/>
      </c>
      <c r="V224" s="3">
        <f>IF($T224="",0,1)</f>
        <v/>
      </c>
      <c r="W224" s="3">
        <f>IF($C224="","",$D224&amp;"|"&amp;$E224&amp;"|"&amp;TEXT($C224,"0")&amp;"|"&amp;TEXT($G224,"0")&amp;"|"&amp;$J224)</f>
        <v/>
      </c>
      <c r="X224" s="3" t="n"/>
      <c r="Y224" s="3" t="n"/>
      <c r="Z224" s="3" t="n"/>
      <c r="AA224" s="3" t="n"/>
      <c r="AB224" s="3" t="n"/>
      <c r="AC224" s="3" t="n"/>
      <c r="AD224" s="3">
        <f>IF($C224="",0,SUMPRODUCT((AY_SONU!$O$7:$O$42="Evet")*(AY_SONU!$B$7:$B$42=DATE(YEAR($C224),MONTH($C224),1))))</f>
        <v/>
      </c>
    </row>
    <row r="225">
      <c r="A225" s="6" t="n"/>
      <c r="B225" s="113">
        <f>IF($C225="","","GG"&amp;TEXT(ROW()-6,"00000"))</f>
        <v/>
      </c>
      <c r="C225" s="220" t="n"/>
      <c r="D225" s="108" t="n"/>
      <c r="E225" s="109" t="n"/>
      <c r="F225" s="109" t="n"/>
      <c r="G225" s="221" t="n"/>
      <c r="H225" s="108" t="n"/>
      <c r="I225" s="108" t="n"/>
      <c r="J225" s="109" t="n"/>
      <c r="K225" s="109" t="n"/>
      <c r="L225" s="108" t="n"/>
      <c r="M225" s="121">
        <f>IF($C225="","",IF($D225="Gider",$E225,IF($L225&lt;&gt;"",$L225,$H225)))</f>
        <v/>
      </c>
      <c r="N225" s="121">
        <f>IF($C225="","",IF($D225="Gider",$H225,$E225))</f>
        <v/>
      </c>
      <c r="O225" s="226">
        <f>IF($C225="","",DATE(YEAR($C225),MONTH($C225),1))</f>
        <v/>
      </c>
      <c r="P225" s="113">
        <f>IF($C225="","",IF(AND($D225="Gelir",$L225&lt;&gt;"",$T225=""),"TANIMSIZ BORÇLU",IF($T225&lt;&gt;"",IF(OR($E225="",$G225&lt;=0),"EKSİK",IF($I225="Evet","TAHAKKUK NAKİT OLAMAZ",IF($C225&gt;TODAY(),"İLERİ TARİH","TAHAKKUK"))),IF(AND($D225&lt;&gt;"",$E225&lt;&gt;"",$G225&gt;0,$H225&lt;&gt;"",$I225&lt;&gt;""),IF($C225&gt;TODAY(),"İLERİ TARİH",IF(COUNTIF($W$7:$W$1206,$W225)&gt;1,"MÜKERRER?",IF($AD225&gt;0,"KAPALI DÖNEM",IF($I225="Hayır","ÖDENECEK","UYGUN")))),"EKSİK"))))</f>
        <v/>
      </c>
      <c r="Q225" s="6" t="n"/>
      <c r="R225" s="6" t="n"/>
      <c r="S225" s="3">
        <f>IF($L225="","",UPPER(SUBSTITUTE(SUBSTITUTE(SUBSTITUTE(SUBSTITUTE(SUBSTITUTE(SUBSTITUTE(SUBSTITUTE(SUBSTITUTE(SUBSTITUTE(SUBSTITUTE(SUBSTITUTE(SUBSTITUTE(SUBSTITUTE(SUBSTITUTE(SUBSTITUTE(SUBSTITUTE(SUBSTITUTE(SUBSTITUTE(TRIM($L225),"'",""),"İ","I"),"ı","I"),"i","I"),"Ş","S"),"ş","S"),"Ğ","G"),"ğ","G"),"Ü","U"),"ü","U"),"Ö","O"),"ö","O"),"Ç","C"),"ç","C"),".",""),",","")," ",""),"-","")))</f>
        <v/>
      </c>
      <c r="T225" s="3">
        <f>IF(OR($C225="",$D225&lt;&gt;"Gelir",$L225=""),"",IFERROR(INDEX(MUSTERILER!$B$7:$B$106,MATCH($S225,MUSTERILER!$T$7:$T$106,0)),""))</f>
        <v/>
      </c>
      <c r="U225" s="3">
        <f>IF($T225="","",$T225&amp;"|"&amp;COUNTIFS($T$7:$T225,$T225))</f>
        <v/>
      </c>
      <c r="V225" s="3">
        <f>IF($T225="",0,1)</f>
        <v/>
      </c>
      <c r="W225" s="3">
        <f>IF($C225="","",$D225&amp;"|"&amp;$E225&amp;"|"&amp;TEXT($C225,"0")&amp;"|"&amp;TEXT($G225,"0")&amp;"|"&amp;$J225)</f>
        <v/>
      </c>
      <c r="X225" s="3" t="n"/>
      <c r="Y225" s="3" t="n"/>
      <c r="Z225" s="3" t="n"/>
      <c r="AA225" s="3" t="n"/>
      <c r="AB225" s="3" t="n"/>
      <c r="AC225" s="3" t="n"/>
      <c r="AD225" s="3">
        <f>IF($C225="",0,SUMPRODUCT((AY_SONU!$O$7:$O$42="Evet")*(AY_SONU!$B$7:$B$42=DATE(YEAR($C225),MONTH($C225),1))))</f>
        <v/>
      </c>
    </row>
    <row r="226">
      <c r="A226" s="6" t="n"/>
      <c r="B226" s="113">
        <f>IF($C226="","","GG"&amp;TEXT(ROW()-6,"00000"))</f>
        <v/>
      </c>
      <c r="C226" s="220" t="n"/>
      <c r="D226" s="108" t="n"/>
      <c r="E226" s="109" t="n"/>
      <c r="F226" s="109" t="n"/>
      <c r="G226" s="221" t="n"/>
      <c r="H226" s="108" t="n"/>
      <c r="I226" s="108" t="n"/>
      <c r="J226" s="109" t="n"/>
      <c r="K226" s="109" t="n"/>
      <c r="L226" s="108" t="n"/>
      <c r="M226" s="121">
        <f>IF($C226="","",IF($D226="Gider",$E226,IF($L226&lt;&gt;"",$L226,$H226)))</f>
        <v/>
      </c>
      <c r="N226" s="121">
        <f>IF($C226="","",IF($D226="Gider",$H226,$E226))</f>
        <v/>
      </c>
      <c r="O226" s="226">
        <f>IF($C226="","",DATE(YEAR($C226),MONTH($C226),1))</f>
        <v/>
      </c>
      <c r="P226" s="113">
        <f>IF($C226="","",IF(AND($D226="Gelir",$L226&lt;&gt;"",$T226=""),"TANIMSIZ BORÇLU",IF($T226&lt;&gt;"",IF(OR($E226="",$G226&lt;=0),"EKSİK",IF($I226="Evet","TAHAKKUK NAKİT OLAMAZ",IF($C226&gt;TODAY(),"İLERİ TARİH","TAHAKKUK"))),IF(AND($D226&lt;&gt;"",$E226&lt;&gt;"",$G226&gt;0,$H226&lt;&gt;"",$I226&lt;&gt;""),IF($C226&gt;TODAY(),"İLERİ TARİH",IF(COUNTIF($W$7:$W$1206,$W226)&gt;1,"MÜKERRER?",IF($AD226&gt;0,"KAPALI DÖNEM",IF($I226="Hayır","ÖDENECEK","UYGUN")))),"EKSİK"))))</f>
        <v/>
      </c>
      <c r="Q226" s="6" t="n"/>
      <c r="R226" s="6" t="n"/>
      <c r="S226" s="3">
        <f>IF($L226="","",UPPER(SUBSTITUTE(SUBSTITUTE(SUBSTITUTE(SUBSTITUTE(SUBSTITUTE(SUBSTITUTE(SUBSTITUTE(SUBSTITUTE(SUBSTITUTE(SUBSTITUTE(SUBSTITUTE(SUBSTITUTE(SUBSTITUTE(SUBSTITUTE(SUBSTITUTE(SUBSTITUTE(SUBSTITUTE(SUBSTITUTE(TRIM($L226),"'",""),"İ","I"),"ı","I"),"i","I"),"Ş","S"),"ş","S"),"Ğ","G"),"ğ","G"),"Ü","U"),"ü","U"),"Ö","O"),"ö","O"),"Ç","C"),"ç","C"),".",""),",","")," ",""),"-","")))</f>
        <v/>
      </c>
      <c r="T226" s="3">
        <f>IF(OR($C226="",$D226&lt;&gt;"Gelir",$L226=""),"",IFERROR(INDEX(MUSTERILER!$B$7:$B$106,MATCH($S226,MUSTERILER!$T$7:$T$106,0)),""))</f>
        <v/>
      </c>
      <c r="U226" s="3">
        <f>IF($T226="","",$T226&amp;"|"&amp;COUNTIFS($T$7:$T226,$T226))</f>
        <v/>
      </c>
      <c r="V226" s="3">
        <f>IF($T226="",0,1)</f>
        <v/>
      </c>
      <c r="W226" s="3">
        <f>IF($C226="","",$D226&amp;"|"&amp;$E226&amp;"|"&amp;TEXT($C226,"0")&amp;"|"&amp;TEXT($G226,"0")&amp;"|"&amp;$J226)</f>
        <v/>
      </c>
      <c r="X226" s="3" t="n"/>
      <c r="Y226" s="3" t="n"/>
      <c r="Z226" s="3" t="n"/>
      <c r="AA226" s="3" t="n"/>
      <c r="AB226" s="3" t="n"/>
      <c r="AC226" s="3" t="n"/>
      <c r="AD226" s="3">
        <f>IF($C226="",0,SUMPRODUCT((AY_SONU!$O$7:$O$42="Evet")*(AY_SONU!$B$7:$B$42=DATE(YEAR($C226),MONTH($C226),1))))</f>
        <v/>
      </c>
    </row>
    <row r="227">
      <c r="A227" s="6" t="n"/>
      <c r="B227" s="113">
        <f>IF($C227="","","GG"&amp;TEXT(ROW()-6,"00000"))</f>
        <v/>
      </c>
      <c r="C227" s="220" t="n"/>
      <c r="D227" s="108" t="n"/>
      <c r="E227" s="109" t="n"/>
      <c r="F227" s="109" t="n"/>
      <c r="G227" s="221" t="n"/>
      <c r="H227" s="108" t="n"/>
      <c r="I227" s="108" t="n"/>
      <c r="J227" s="109" t="n"/>
      <c r="K227" s="109" t="n"/>
      <c r="L227" s="108" t="n"/>
      <c r="M227" s="121">
        <f>IF($C227="","",IF($D227="Gider",$E227,IF($L227&lt;&gt;"",$L227,$H227)))</f>
        <v/>
      </c>
      <c r="N227" s="121">
        <f>IF($C227="","",IF($D227="Gider",$H227,$E227))</f>
        <v/>
      </c>
      <c r="O227" s="226">
        <f>IF($C227="","",DATE(YEAR($C227),MONTH($C227),1))</f>
        <v/>
      </c>
      <c r="P227" s="113">
        <f>IF($C227="","",IF(AND($D227="Gelir",$L227&lt;&gt;"",$T227=""),"TANIMSIZ BORÇLU",IF($T227&lt;&gt;"",IF(OR($E227="",$G227&lt;=0),"EKSİK",IF($I227="Evet","TAHAKKUK NAKİT OLAMAZ",IF($C227&gt;TODAY(),"İLERİ TARİH","TAHAKKUK"))),IF(AND($D227&lt;&gt;"",$E227&lt;&gt;"",$G227&gt;0,$H227&lt;&gt;"",$I227&lt;&gt;""),IF($C227&gt;TODAY(),"İLERİ TARİH",IF(COUNTIF($W$7:$W$1206,$W227)&gt;1,"MÜKERRER?",IF($AD227&gt;0,"KAPALI DÖNEM",IF($I227="Hayır","ÖDENECEK","UYGUN")))),"EKSİK"))))</f>
        <v/>
      </c>
      <c r="Q227" s="6" t="n"/>
      <c r="R227" s="6" t="n"/>
      <c r="S227" s="3">
        <f>IF($L227="","",UPPER(SUBSTITUTE(SUBSTITUTE(SUBSTITUTE(SUBSTITUTE(SUBSTITUTE(SUBSTITUTE(SUBSTITUTE(SUBSTITUTE(SUBSTITUTE(SUBSTITUTE(SUBSTITUTE(SUBSTITUTE(SUBSTITUTE(SUBSTITUTE(SUBSTITUTE(SUBSTITUTE(SUBSTITUTE(SUBSTITUTE(TRIM($L227),"'",""),"İ","I"),"ı","I"),"i","I"),"Ş","S"),"ş","S"),"Ğ","G"),"ğ","G"),"Ü","U"),"ü","U"),"Ö","O"),"ö","O"),"Ç","C"),"ç","C"),".",""),",","")," ",""),"-","")))</f>
        <v/>
      </c>
      <c r="T227" s="3">
        <f>IF(OR($C227="",$D227&lt;&gt;"Gelir",$L227=""),"",IFERROR(INDEX(MUSTERILER!$B$7:$B$106,MATCH($S227,MUSTERILER!$T$7:$T$106,0)),""))</f>
        <v/>
      </c>
      <c r="U227" s="3">
        <f>IF($T227="","",$T227&amp;"|"&amp;COUNTIFS($T$7:$T227,$T227))</f>
        <v/>
      </c>
      <c r="V227" s="3">
        <f>IF($T227="",0,1)</f>
        <v/>
      </c>
      <c r="W227" s="3">
        <f>IF($C227="","",$D227&amp;"|"&amp;$E227&amp;"|"&amp;TEXT($C227,"0")&amp;"|"&amp;TEXT($G227,"0")&amp;"|"&amp;$J227)</f>
        <v/>
      </c>
      <c r="X227" s="3" t="n"/>
      <c r="Y227" s="3" t="n"/>
      <c r="Z227" s="3" t="n"/>
      <c r="AA227" s="3" t="n"/>
      <c r="AB227" s="3" t="n"/>
      <c r="AC227" s="3" t="n"/>
      <c r="AD227" s="3">
        <f>IF($C227="",0,SUMPRODUCT((AY_SONU!$O$7:$O$42="Evet")*(AY_SONU!$B$7:$B$42=DATE(YEAR($C227),MONTH($C227),1))))</f>
        <v/>
      </c>
    </row>
    <row r="228">
      <c r="A228" s="6" t="n"/>
      <c r="B228" s="113">
        <f>IF($C228="","","GG"&amp;TEXT(ROW()-6,"00000"))</f>
        <v/>
      </c>
      <c r="C228" s="220" t="n"/>
      <c r="D228" s="108" t="n"/>
      <c r="E228" s="109" t="n"/>
      <c r="F228" s="109" t="n"/>
      <c r="G228" s="221" t="n"/>
      <c r="H228" s="108" t="n"/>
      <c r="I228" s="108" t="n"/>
      <c r="J228" s="109" t="n"/>
      <c r="K228" s="109" t="n"/>
      <c r="L228" s="108" t="n"/>
      <c r="M228" s="121">
        <f>IF($C228="","",IF($D228="Gider",$E228,IF($L228&lt;&gt;"",$L228,$H228)))</f>
        <v/>
      </c>
      <c r="N228" s="121">
        <f>IF($C228="","",IF($D228="Gider",$H228,$E228))</f>
        <v/>
      </c>
      <c r="O228" s="226">
        <f>IF($C228="","",DATE(YEAR($C228),MONTH($C228),1))</f>
        <v/>
      </c>
      <c r="P228" s="113">
        <f>IF($C228="","",IF(AND($D228="Gelir",$L228&lt;&gt;"",$T228=""),"TANIMSIZ BORÇLU",IF($T228&lt;&gt;"",IF(OR($E228="",$G228&lt;=0),"EKSİK",IF($I228="Evet","TAHAKKUK NAKİT OLAMAZ",IF($C228&gt;TODAY(),"İLERİ TARİH","TAHAKKUK"))),IF(AND($D228&lt;&gt;"",$E228&lt;&gt;"",$G228&gt;0,$H228&lt;&gt;"",$I228&lt;&gt;""),IF($C228&gt;TODAY(),"İLERİ TARİH",IF(COUNTIF($W$7:$W$1206,$W228)&gt;1,"MÜKERRER?",IF($AD228&gt;0,"KAPALI DÖNEM",IF($I228="Hayır","ÖDENECEK","UYGUN")))),"EKSİK"))))</f>
        <v/>
      </c>
      <c r="Q228" s="6" t="n"/>
      <c r="R228" s="6" t="n"/>
      <c r="S228" s="3">
        <f>IF($L228="","",UPPER(SUBSTITUTE(SUBSTITUTE(SUBSTITUTE(SUBSTITUTE(SUBSTITUTE(SUBSTITUTE(SUBSTITUTE(SUBSTITUTE(SUBSTITUTE(SUBSTITUTE(SUBSTITUTE(SUBSTITUTE(SUBSTITUTE(SUBSTITUTE(SUBSTITUTE(SUBSTITUTE(SUBSTITUTE(SUBSTITUTE(TRIM($L228),"'",""),"İ","I"),"ı","I"),"i","I"),"Ş","S"),"ş","S"),"Ğ","G"),"ğ","G"),"Ü","U"),"ü","U"),"Ö","O"),"ö","O"),"Ç","C"),"ç","C"),".",""),",","")," ",""),"-","")))</f>
        <v/>
      </c>
      <c r="T228" s="3">
        <f>IF(OR($C228="",$D228&lt;&gt;"Gelir",$L228=""),"",IFERROR(INDEX(MUSTERILER!$B$7:$B$106,MATCH($S228,MUSTERILER!$T$7:$T$106,0)),""))</f>
        <v/>
      </c>
      <c r="U228" s="3">
        <f>IF($T228="","",$T228&amp;"|"&amp;COUNTIFS($T$7:$T228,$T228))</f>
        <v/>
      </c>
      <c r="V228" s="3">
        <f>IF($T228="",0,1)</f>
        <v/>
      </c>
      <c r="W228" s="3">
        <f>IF($C228="","",$D228&amp;"|"&amp;$E228&amp;"|"&amp;TEXT($C228,"0")&amp;"|"&amp;TEXT($G228,"0")&amp;"|"&amp;$J228)</f>
        <v/>
      </c>
      <c r="X228" s="3" t="n"/>
      <c r="Y228" s="3" t="n"/>
      <c r="Z228" s="3" t="n"/>
      <c r="AA228" s="3" t="n"/>
      <c r="AB228" s="3" t="n"/>
      <c r="AC228" s="3" t="n"/>
      <c r="AD228" s="3">
        <f>IF($C228="",0,SUMPRODUCT((AY_SONU!$O$7:$O$42="Evet")*(AY_SONU!$B$7:$B$42=DATE(YEAR($C228),MONTH($C228),1))))</f>
        <v/>
      </c>
    </row>
    <row r="229">
      <c r="A229" s="6" t="n"/>
      <c r="B229" s="113">
        <f>IF($C229="","","GG"&amp;TEXT(ROW()-6,"00000"))</f>
        <v/>
      </c>
      <c r="C229" s="220" t="n"/>
      <c r="D229" s="108" t="n"/>
      <c r="E229" s="109" t="n"/>
      <c r="F229" s="109" t="n"/>
      <c r="G229" s="221" t="n"/>
      <c r="H229" s="108" t="n"/>
      <c r="I229" s="108" t="n"/>
      <c r="J229" s="109" t="n"/>
      <c r="K229" s="109" t="n"/>
      <c r="L229" s="108" t="n"/>
      <c r="M229" s="121">
        <f>IF($C229="","",IF($D229="Gider",$E229,IF($L229&lt;&gt;"",$L229,$H229)))</f>
        <v/>
      </c>
      <c r="N229" s="121">
        <f>IF($C229="","",IF($D229="Gider",$H229,$E229))</f>
        <v/>
      </c>
      <c r="O229" s="226">
        <f>IF($C229="","",DATE(YEAR($C229),MONTH($C229),1))</f>
        <v/>
      </c>
      <c r="P229" s="113">
        <f>IF($C229="","",IF(AND($D229="Gelir",$L229&lt;&gt;"",$T229=""),"TANIMSIZ BORÇLU",IF($T229&lt;&gt;"",IF(OR($E229="",$G229&lt;=0),"EKSİK",IF($I229="Evet","TAHAKKUK NAKİT OLAMAZ",IF($C229&gt;TODAY(),"İLERİ TARİH","TAHAKKUK"))),IF(AND($D229&lt;&gt;"",$E229&lt;&gt;"",$G229&gt;0,$H229&lt;&gt;"",$I229&lt;&gt;""),IF($C229&gt;TODAY(),"İLERİ TARİH",IF(COUNTIF($W$7:$W$1206,$W229)&gt;1,"MÜKERRER?",IF($AD229&gt;0,"KAPALI DÖNEM",IF($I229="Hayır","ÖDENECEK","UYGUN")))),"EKSİK"))))</f>
        <v/>
      </c>
      <c r="Q229" s="6" t="n"/>
      <c r="R229" s="6" t="n"/>
      <c r="S229" s="3">
        <f>IF($L229="","",UPPER(SUBSTITUTE(SUBSTITUTE(SUBSTITUTE(SUBSTITUTE(SUBSTITUTE(SUBSTITUTE(SUBSTITUTE(SUBSTITUTE(SUBSTITUTE(SUBSTITUTE(SUBSTITUTE(SUBSTITUTE(SUBSTITUTE(SUBSTITUTE(SUBSTITUTE(SUBSTITUTE(SUBSTITUTE(SUBSTITUTE(TRIM($L229),"'",""),"İ","I"),"ı","I"),"i","I"),"Ş","S"),"ş","S"),"Ğ","G"),"ğ","G"),"Ü","U"),"ü","U"),"Ö","O"),"ö","O"),"Ç","C"),"ç","C"),".",""),",","")," ",""),"-","")))</f>
        <v/>
      </c>
      <c r="T229" s="3">
        <f>IF(OR($C229="",$D229&lt;&gt;"Gelir",$L229=""),"",IFERROR(INDEX(MUSTERILER!$B$7:$B$106,MATCH($S229,MUSTERILER!$T$7:$T$106,0)),""))</f>
        <v/>
      </c>
      <c r="U229" s="3">
        <f>IF($T229="","",$T229&amp;"|"&amp;COUNTIFS($T$7:$T229,$T229))</f>
        <v/>
      </c>
      <c r="V229" s="3">
        <f>IF($T229="",0,1)</f>
        <v/>
      </c>
      <c r="W229" s="3">
        <f>IF($C229="","",$D229&amp;"|"&amp;$E229&amp;"|"&amp;TEXT($C229,"0")&amp;"|"&amp;TEXT($G229,"0")&amp;"|"&amp;$J229)</f>
        <v/>
      </c>
      <c r="X229" s="3" t="n"/>
      <c r="Y229" s="3" t="n"/>
      <c r="Z229" s="3" t="n"/>
      <c r="AA229" s="3" t="n"/>
      <c r="AB229" s="3" t="n"/>
      <c r="AC229" s="3" t="n"/>
      <c r="AD229" s="3">
        <f>IF($C229="",0,SUMPRODUCT((AY_SONU!$O$7:$O$42="Evet")*(AY_SONU!$B$7:$B$42=DATE(YEAR($C229),MONTH($C229),1))))</f>
        <v/>
      </c>
    </row>
    <row r="230">
      <c r="A230" s="6" t="n"/>
      <c r="B230" s="113">
        <f>IF($C230="","","GG"&amp;TEXT(ROW()-6,"00000"))</f>
        <v/>
      </c>
      <c r="C230" s="220" t="n"/>
      <c r="D230" s="108" t="n"/>
      <c r="E230" s="109" t="n"/>
      <c r="F230" s="109" t="n"/>
      <c r="G230" s="221" t="n"/>
      <c r="H230" s="108" t="n"/>
      <c r="I230" s="108" t="n"/>
      <c r="J230" s="109" t="n"/>
      <c r="K230" s="109" t="n"/>
      <c r="L230" s="108" t="n"/>
      <c r="M230" s="121">
        <f>IF($C230="","",IF($D230="Gider",$E230,IF($L230&lt;&gt;"",$L230,$H230)))</f>
        <v/>
      </c>
      <c r="N230" s="121">
        <f>IF($C230="","",IF($D230="Gider",$H230,$E230))</f>
        <v/>
      </c>
      <c r="O230" s="226">
        <f>IF($C230="","",DATE(YEAR($C230),MONTH($C230),1))</f>
        <v/>
      </c>
      <c r="P230" s="113">
        <f>IF($C230="","",IF(AND($D230="Gelir",$L230&lt;&gt;"",$T230=""),"TANIMSIZ BORÇLU",IF($T230&lt;&gt;"",IF(OR($E230="",$G230&lt;=0),"EKSİK",IF($I230="Evet","TAHAKKUK NAKİT OLAMAZ",IF($C230&gt;TODAY(),"İLERİ TARİH","TAHAKKUK"))),IF(AND($D230&lt;&gt;"",$E230&lt;&gt;"",$G230&gt;0,$H230&lt;&gt;"",$I230&lt;&gt;""),IF($C230&gt;TODAY(),"İLERİ TARİH",IF(COUNTIF($W$7:$W$1206,$W230)&gt;1,"MÜKERRER?",IF($AD230&gt;0,"KAPALI DÖNEM",IF($I230="Hayır","ÖDENECEK","UYGUN")))),"EKSİK"))))</f>
        <v/>
      </c>
      <c r="Q230" s="6" t="n"/>
      <c r="R230" s="6" t="n"/>
      <c r="S230" s="3">
        <f>IF($L230="","",UPPER(SUBSTITUTE(SUBSTITUTE(SUBSTITUTE(SUBSTITUTE(SUBSTITUTE(SUBSTITUTE(SUBSTITUTE(SUBSTITUTE(SUBSTITUTE(SUBSTITUTE(SUBSTITUTE(SUBSTITUTE(SUBSTITUTE(SUBSTITUTE(SUBSTITUTE(SUBSTITUTE(SUBSTITUTE(SUBSTITUTE(TRIM($L230),"'",""),"İ","I"),"ı","I"),"i","I"),"Ş","S"),"ş","S"),"Ğ","G"),"ğ","G"),"Ü","U"),"ü","U"),"Ö","O"),"ö","O"),"Ç","C"),"ç","C"),".",""),",","")," ",""),"-","")))</f>
        <v/>
      </c>
      <c r="T230" s="3">
        <f>IF(OR($C230="",$D230&lt;&gt;"Gelir",$L230=""),"",IFERROR(INDEX(MUSTERILER!$B$7:$B$106,MATCH($S230,MUSTERILER!$T$7:$T$106,0)),""))</f>
        <v/>
      </c>
      <c r="U230" s="3">
        <f>IF($T230="","",$T230&amp;"|"&amp;COUNTIFS($T$7:$T230,$T230))</f>
        <v/>
      </c>
      <c r="V230" s="3">
        <f>IF($T230="",0,1)</f>
        <v/>
      </c>
      <c r="W230" s="3">
        <f>IF($C230="","",$D230&amp;"|"&amp;$E230&amp;"|"&amp;TEXT($C230,"0")&amp;"|"&amp;TEXT($G230,"0")&amp;"|"&amp;$J230)</f>
        <v/>
      </c>
      <c r="X230" s="3" t="n"/>
      <c r="Y230" s="3" t="n"/>
      <c r="Z230" s="3" t="n"/>
      <c r="AA230" s="3" t="n"/>
      <c r="AB230" s="3" t="n"/>
      <c r="AC230" s="3" t="n"/>
      <c r="AD230" s="3">
        <f>IF($C230="",0,SUMPRODUCT((AY_SONU!$O$7:$O$42="Evet")*(AY_SONU!$B$7:$B$42=DATE(YEAR($C230),MONTH($C230),1))))</f>
        <v/>
      </c>
    </row>
    <row r="231">
      <c r="A231" s="6" t="n"/>
      <c r="B231" s="113">
        <f>IF($C231="","","GG"&amp;TEXT(ROW()-6,"00000"))</f>
        <v/>
      </c>
      <c r="C231" s="220" t="n"/>
      <c r="D231" s="108" t="n"/>
      <c r="E231" s="109" t="n"/>
      <c r="F231" s="109" t="n"/>
      <c r="G231" s="221" t="n"/>
      <c r="H231" s="108" t="n"/>
      <c r="I231" s="108" t="n"/>
      <c r="J231" s="109" t="n"/>
      <c r="K231" s="109" t="n"/>
      <c r="L231" s="108" t="n"/>
      <c r="M231" s="121">
        <f>IF($C231="","",IF($D231="Gider",$E231,IF($L231&lt;&gt;"",$L231,$H231)))</f>
        <v/>
      </c>
      <c r="N231" s="121">
        <f>IF($C231="","",IF($D231="Gider",$H231,$E231))</f>
        <v/>
      </c>
      <c r="O231" s="226">
        <f>IF($C231="","",DATE(YEAR($C231),MONTH($C231),1))</f>
        <v/>
      </c>
      <c r="P231" s="113">
        <f>IF($C231="","",IF(AND($D231="Gelir",$L231&lt;&gt;"",$T231=""),"TANIMSIZ BORÇLU",IF($T231&lt;&gt;"",IF(OR($E231="",$G231&lt;=0),"EKSİK",IF($I231="Evet","TAHAKKUK NAKİT OLAMAZ",IF($C231&gt;TODAY(),"İLERİ TARİH","TAHAKKUK"))),IF(AND($D231&lt;&gt;"",$E231&lt;&gt;"",$G231&gt;0,$H231&lt;&gt;"",$I231&lt;&gt;""),IF($C231&gt;TODAY(),"İLERİ TARİH",IF(COUNTIF($W$7:$W$1206,$W231)&gt;1,"MÜKERRER?",IF($AD231&gt;0,"KAPALI DÖNEM",IF($I231="Hayır","ÖDENECEK","UYGUN")))),"EKSİK"))))</f>
        <v/>
      </c>
      <c r="Q231" s="6" t="n"/>
      <c r="R231" s="6" t="n"/>
      <c r="S231" s="3">
        <f>IF($L231="","",UPPER(SUBSTITUTE(SUBSTITUTE(SUBSTITUTE(SUBSTITUTE(SUBSTITUTE(SUBSTITUTE(SUBSTITUTE(SUBSTITUTE(SUBSTITUTE(SUBSTITUTE(SUBSTITUTE(SUBSTITUTE(SUBSTITUTE(SUBSTITUTE(SUBSTITUTE(SUBSTITUTE(SUBSTITUTE(SUBSTITUTE(TRIM($L231),"'",""),"İ","I"),"ı","I"),"i","I"),"Ş","S"),"ş","S"),"Ğ","G"),"ğ","G"),"Ü","U"),"ü","U"),"Ö","O"),"ö","O"),"Ç","C"),"ç","C"),".",""),",","")," ",""),"-","")))</f>
        <v/>
      </c>
      <c r="T231" s="3">
        <f>IF(OR($C231="",$D231&lt;&gt;"Gelir",$L231=""),"",IFERROR(INDEX(MUSTERILER!$B$7:$B$106,MATCH($S231,MUSTERILER!$T$7:$T$106,0)),""))</f>
        <v/>
      </c>
      <c r="U231" s="3">
        <f>IF($T231="","",$T231&amp;"|"&amp;COUNTIFS($T$7:$T231,$T231))</f>
        <v/>
      </c>
      <c r="V231" s="3">
        <f>IF($T231="",0,1)</f>
        <v/>
      </c>
      <c r="W231" s="3">
        <f>IF($C231="","",$D231&amp;"|"&amp;$E231&amp;"|"&amp;TEXT($C231,"0")&amp;"|"&amp;TEXT($G231,"0")&amp;"|"&amp;$J231)</f>
        <v/>
      </c>
      <c r="X231" s="3" t="n"/>
      <c r="Y231" s="3" t="n"/>
      <c r="Z231" s="3" t="n"/>
      <c r="AA231" s="3" t="n"/>
      <c r="AB231" s="3" t="n"/>
      <c r="AC231" s="3" t="n"/>
      <c r="AD231" s="3">
        <f>IF($C231="",0,SUMPRODUCT((AY_SONU!$O$7:$O$42="Evet")*(AY_SONU!$B$7:$B$42=DATE(YEAR($C231),MONTH($C231),1))))</f>
        <v/>
      </c>
    </row>
    <row r="232">
      <c r="A232" s="6" t="n"/>
      <c r="B232" s="113">
        <f>IF($C232="","","GG"&amp;TEXT(ROW()-6,"00000"))</f>
        <v/>
      </c>
      <c r="C232" s="220" t="n"/>
      <c r="D232" s="108" t="n"/>
      <c r="E232" s="109" t="n"/>
      <c r="F232" s="109" t="n"/>
      <c r="G232" s="221" t="n"/>
      <c r="H232" s="108" t="n"/>
      <c r="I232" s="108" t="n"/>
      <c r="J232" s="109" t="n"/>
      <c r="K232" s="109" t="n"/>
      <c r="L232" s="108" t="n"/>
      <c r="M232" s="121">
        <f>IF($C232="","",IF($D232="Gider",$E232,IF($L232&lt;&gt;"",$L232,$H232)))</f>
        <v/>
      </c>
      <c r="N232" s="121">
        <f>IF($C232="","",IF($D232="Gider",$H232,$E232))</f>
        <v/>
      </c>
      <c r="O232" s="226">
        <f>IF($C232="","",DATE(YEAR($C232),MONTH($C232),1))</f>
        <v/>
      </c>
      <c r="P232" s="113">
        <f>IF($C232="","",IF(AND($D232="Gelir",$L232&lt;&gt;"",$T232=""),"TANIMSIZ BORÇLU",IF($T232&lt;&gt;"",IF(OR($E232="",$G232&lt;=0),"EKSİK",IF($I232="Evet","TAHAKKUK NAKİT OLAMAZ",IF($C232&gt;TODAY(),"İLERİ TARİH","TAHAKKUK"))),IF(AND($D232&lt;&gt;"",$E232&lt;&gt;"",$G232&gt;0,$H232&lt;&gt;"",$I232&lt;&gt;""),IF($C232&gt;TODAY(),"İLERİ TARİH",IF(COUNTIF($W$7:$W$1206,$W232)&gt;1,"MÜKERRER?",IF($AD232&gt;0,"KAPALI DÖNEM",IF($I232="Hayır","ÖDENECEK","UYGUN")))),"EKSİK"))))</f>
        <v/>
      </c>
      <c r="Q232" s="6" t="n"/>
      <c r="R232" s="6" t="n"/>
      <c r="S232" s="3">
        <f>IF($L232="","",UPPER(SUBSTITUTE(SUBSTITUTE(SUBSTITUTE(SUBSTITUTE(SUBSTITUTE(SUBSTITUTE(SUBSTITUTE(SUBSTITUTE(SUBSTITUTE(SUBSTITUTE(SUBSTITUTE(SUBSTITUTE(SUBSTITUTE(SUBSTITUTE(SUBSTITUTE(SUBSTITUTE(SUBSTITUTE(SUBSTITUTE(TRIM($L232),"'",""),"İ","I"),"ı","I"),"i","I"),"Ş","S"),"ş","S"),"Ğ","G"),"ğ","G"),"Ü","U"),"ü","U"),"Ö","O"),"ö","O"),"Ç","C"),"ç","C"),".",""),",","")," ",""),"-","")))</f>
        <v/>
      </c>
      <c r="T232" s="3">
        <f>IF(OR($C232="",$D232&lt;&gt;"Gelir",$L232=""),"",IFERROR(INDEX(MUSTERILER!$B$7:$B$106,MATCH($S232,MUSTERILER!$T$7:$T$106,0)),""))</f>
        <v/>
      </c>
      <c r="U232" s="3">
        <f>IF($T232="","",$T232&amp;"|"&amp;COUNTIFS($T$7:$T232,$T232))</f>
        <v/>
      </c>
      <c r="V232" s="3">
        <f>IF($T232="",0,1)</f>
        <v/>
      </c>
      <c r="W232" s="3">
        <f>IF($C232="","",$D232&amp;"|"&amp;$E232&amp;"|"&amp;TEXT($C232,"0")&amp;"|"&amp;TEXT($G232,"0")&amp;"|"&amp;$J232)</f>
        <v/>
      </c>
      <c r="X232" s="3" t="n"/>
      <c r="Y232" s="3" t="n"/>
      <c r="Z232" s="3" t="n"/>
      <c r="AA232" s="3" t="n"/>
      <c r="AB232" s="3" t="n"/>
      <c r="AC232" s="3" t="n"/>
      <c r="AD232" s="3">
        <f>IF($C232="",0,SUMPRODUCT((AY_SONU!$O$7:$O$42="Evet")*(AY_SONU!$B$7:$B$42=DATE(YEAR($C232),MONTH($C232),1))))</f>
        <v/>
      </c>
    </row>
    <row r="233">
      <c r="A233" s="6" t="n"/>
      <c r="B233" s="113">
        <f>IF($C233="","","GG"&amp;TEXT(ROW()-6,"00000"))</f>
        <v/>
      </c>
      <c r="C233" s="220" t="n"/>
      <c r="D233" s="108" t="n"/>
      <c r="E233" s="109" t="n"/>
      <c r="F233" s="109" t="n"/>
      <c r="G233" s="221" t="n"/>
      <c r="H233" s="108" t="n"/>
      <c r="I233" s="108" t="n"/>
      <c r="J233" s="109" t="n"/>
      <c r="K233" s="109" t="n"/>
      <c r="L233" s="108" t="n"/>
      <c r="M233" s="121">
        <f>IF($C233="","",IF($D233="Gider",$E233,IF($L233&lt;&gt;"",$L233,$H233)))</f>
        <v/>
      </c>
      <c r="N233" s="121">
        <f>IF($C233="","",IF($D233="Gider",$H233,$E233))</f>
        <v/>
      </c>
      <c r="O233" s="226">
        <f>IF($C233="","",DATE(YEAR($C233),MONTH($C233),1))</f>
        <v/>
      </c>
      <c r="P233" s="113">
        <f>IF($C233="","",IF(AND($D233="Gelir",$L233&lt;&gt;"",$T233=""),"TANIMSIZ BORÇLU",IF($T233&lt;&gt;"",IF(OR($E233="",$G233&lt;=0),"EKSİK",IF($I233="Evet","TAHAKKUK NAKİT OLAMAZ",IF($C233&gt;TODAY(),"İLERİ TARİH","TAHAKKUK"))),IF(AND($D233&lt;&gt;"",$E233&lt;&gt;"",$G233&gt;0,$H233&lt;&gt;"",$I233&lt;&gt;""),IF($C233&gt;TODAY(),"İLERİ TARİH",IF(COUNTIF($W$7:$W$1206,$W233)&gt;1,"MÜKERRER?",IF($AD233&gt;0,"KAPALI DÖNEM",IF($I233="Hayır","ÖDENECEK","UYGUN")))),"EKSİK"))))</f>
        <v/>
      </c>
      <c r="Q233" s="6" t="n"/>
      <c r="R233" s="6" t="n"/>
      <c r="S233" s="3">
        <f>IF($L233="","",UPPER(SUBSTITUTE(SUBSTITUTE(SUBSTITUTE(SUBSTITUTE(SUBSTITUTE(SUBSTITUTE(SUBSTITUTE(SUBSTITUTE(SUBSTITUTE(SUBSTITUTE(SUBSTITUTE(SUBSTITUTE(SUBSTITUTE(SUBSTITUTE(SUBSTITUTE(SUBSTITUTE(SUBSTITUTE(SUBSTITUTE(TRIM($L233),"'",""),"İ","I"),"ı","I"),"i","I"),"Ş","S"),"ş","S"),"Ğ","G"),"ğ","G"),"Ü","U"),"ü","U"),"Ö","O"),"ö","O"),"Ç","C"),"ç","C"),".",""),",","")," ",""),"-","")))</f>
        <v/>
      </c>
      <c r="T233" s="3">
        <f>IF(OR($C233="",$D233&lt;&gt;"Gelir",$L233=""),"",IFERROR(INDEX(MUSTERILER!$B$7:$B$106,MATCH($S233,MUSTERILER!$T$7:$T$106,0)),""))</f>
        <v/>
      </c>
      <c r="U233" s="3">
        <f>IF($T233="","",$T233&amp;"|"&amp;COUNTIFS($T$7:$T233,$T233))</f>
        <v/>
      </c>
      <c r="V233" s="3">
        <f>IF($T233="",0,1)</f>
        <v/>
      </c>
      <c r="W233" s="3">
        <f>IF($C233="","",$D233&amp;"|"&amp;$E233&amp;"|"&amp;TEXT($C233,"0")&amp;"|"&amp;TEXT($G233,"0")&amp;"|"&amp;$J233)</f>
        <v/>
      </c>
      <c r="X233" s="3" t="n"/>
      <c r="Y233" s="3" t="n"/>
      <c r="Z233" s="3" t="n"/>
      <c r="AA233" s="3" t="n"/>
      <c r="AB233" s="3" t="n"/>
      <c r="AC233" s="3" t="n"/>
      <c r="AD233" s="3">
        <f>IF($C233="",0,SUMPRODUCT((AY_SONU!$O$7:$O$42="Evet")*(AY_SONU!$B$7:$B$42=DATE(YEAR($C233),MONTH($C233),1))))</f>
        <v/>
      </c>
    </row>
    <row r="234">
      <c r="A234" s="6" t="n"/>
      <c r="B234" s="113">
        <f>IF($C234="","","GG"&amp;TEXT(ROW()-6,"00000"))</f>
        <v/>
      </c>
      <c r="C234" s="220" t="n"/>
      <c r="D234" s="108" t="n"/>
      <c r="E234" s="109" t="n"/>
      <c r="F234" s="109" t="n"/>
      <c r="G234" s="221" t="n"/>
      <c r="H234" s="108" t="n"/>
      <c r="I234" s="108" t="n"/>
      <c r="J234" s="109" t="n"/>
      <c r="K234" s="109" t="n"/>
      <c r="L234" s="108" t="n"/>
      <c r="M234" s="121">
        <f>IF($C234="","",IF($D234="Gider",$E234,IF($L234&lt;&gt;"",$L234,$H234)))</f>
        <v/>
      </c>
      <c r="N234" s="121">
        <f>IF($C234="","",IF($D234="Gider",$H234,$E234))</f>
        <v/>
      </c>
      <c r="O234" s="226">
        <f>IF($C234="","",DATE(YEAR($C234),MONTH($C234),1))</f>
        <v/>
      </c>
      <c r="P234" s="113">
        <f>IF($C234="","",IF(AND($D234="Gelir",$L234&lt;&gt;"",$T234=""),"TANIMSIZ BORÇLU",IF($T234&lt;&gt;"",IF(OR($E234="",$G234&lt;=0),"EKSİK",IF($I234="Evet","TAHAKKUK NAKİT OLAMAZ",IF($C234&gt;TODAY(),"İLERİ TARİH","TAHAKKUK"))),IF(AND($D234&lt;&gt;"",$E234&lt;&gt;"",$G234&gt;0,$H234&lt;&gt;"",$I234&lt;&gt;""),IF($C234&gt;TODAY(),"İLERİ TARİH",IF(COUNTIF($W$7:$W$1206,$W234)&gt;1,"MÜKERRER?",IF($AD234&gt;0,"KAPALI DÖNEM",IF($I234="Hayır","ÖDENECEK","UYGUN")))),"EKSİK"))))</f>
        <v/>
      </c>
      <c r="Q234" s="6" t="n"/>
      <c r="R234" s="6" t="n"/>
      <c r="S234" s="3">
        <f>IF($L234="","",UPPER(SUBSTITUTE(SUBSTITUTE(SUBSTITUTE(SUBSTITUTE(SUBSTITUTE(SUBSTITUTE(SUBSTITUTE(SUBSTITUTE(SUBSTITUTE(SUBSTITUTE(SUBSTITUTE(SUBSTITUTE(SUBSTITUTE(SUBSTITUTE(SUBSTITUTE(SUBSTITUTE(SUBSTITUTE(SUBSTITUTE(TRIM($L234),"'",""),"İ","I"),"ı","I"),"i","I"),"Ş","S"),"ş","S"),"Ğ","G"),"ğ","G"),"Ü","U"),"ü","U"),"Ö","O"),"ö","O"),"Ç","C"),"ç","C"),".",""),",","")," ",""),"-","")))</f>
        <v/>
      </c>
      <c r="T234" s="3">
        <f>IF(OR($C234="",$D234&lt;&gt;"Gelir",$L234=""),"",IFERROR(INDEX(MUSTERILER!$B$7:$B$106,MATCH($S234,MUSTERILER!$T$7:$T$106,0)),""))</f>
        <v/>
      </c>
      <c r="U234" s="3">
        <f>IF($T234="","",$T234&amp;"|"&amp;COUNTIFS($T$7:$T234,$T234))</f>
        <v/>
      </c>
      <c r="V234" s="3">
        <f>IF($T234="",0,1)</f>
        <v/>
      </c>
      <c r="W234" s="3">
        <f>IF($C234="","",$D234&amp;"|"&amp;$E234&amp;"|"&amp;TEXT($C234,"0")&amp;"|"&amp;TEXT($G234,"0")&amp;"|"&amp;$J234)</f>
        <v/>
      </c>
      <c r="X234" s="3" t="n"/>
      <c r="Y234" s="3" t="n"/>
      <c r="Z234" s="3" t="n"/>
      <c r="AA234" s="3" t="n"/>
      <c r="AB234" s="3" t="n"/>
      <c r="AC234" s="3" t="n"/>
      <c r="AD234" s="3">
        <f>IF($C234="",0,SUMPRODUCT((AY_SONU!$O$7:$O$42="Evet")*(AY_SONU!$B$7:$B$42=DATE(YEAR($C234),MONTH($C234),1))))</f>
        <v/>
      </c>
    </row>
    <row r="235">
      <c r="A235" s="6" t="n"/>
      <c r="B235" s="113">
        <f>IF($C235="","","GG"&amp;TEXT(ROW()-6,"00000"))</f>
        <v/>
      </c>
      <c r="C235" s="220" t="n"/>
      <c r="D235" s="108" t="n"/>
      <c r="E235" s="109" t="n"/>
      <c r="F235" s="109" t="n"/>
      <c r="G235" s="221" t="n"/>
      <c r="H235" s="108" t="n"/>
      <c r="I235" s="108" t="n"/>
      <c r="J235" s="109" t="n"/>
      <c r="K235" s="109" t="n"/>
      <c r="L235" s="108" t="n"/>
      <c r="M235" s="121">
        <f>IF($C235="","",IF($D235="Gider",$E235,IF($L235&lt;&gt;"",$L235,$H235)))</f>
        <v/>
      </c>
      <c r="N235" s="121">
        <f>IF($C235="","",IF($D235="Gider",$H235,$E235))</f>
        <v/>
      </c>
      <c r="O235" s="226">
        <f>IF($C235="","",DATE(YEAR($C235),MONTH($C235),1))</f>
        <v/>
      </c>
      <c r="P235" s="113">
        <f>IF($C235="","",IF(AND($D235="Gelir",$L235&lt;&gt;"",$T235=""),"TANIMSIZ BORÇLU",IF($T235&lt;&gt;"",IF(OR($E235="",$G235&lt;=0),"EKSİK",IF($I235="Evet","TAHAKKUK NAKİT OLAMAZ",IF($C235&gt;TODAY(),"İLERİ TARİH","TAHAKKUK"))),IF(AND($D235&lt;&gt;"",$E235&lt;&gt;"",$G235&gt;0,$H235&lt;&gt;"",$I235&lt;&gt;""),IF($C235&gt;TODAY(),"İLERİ TARİH",IF(COUNTIF($W$7:$W$1206,$W235)&gt;1,"MÜKERRER?",IF($AD235&gt;0,"KAPALI DÖNEM",IF($I235="Hayır","ÖDENECEK","UYGUN")))),"EKSİK"))))</f>
        <v/>
      </c>
      <c r="Q235" s="6" t="n"/>
      <c r="R235" s="6" t="n"/>
      <c r="S235" s="3">
        <f>IF($L235="","",UPPER(SUBSTITUTE(SUBSTITUTE(SUBSTITUTE(SUBSTITUTE(SUBSTITUTE(SUBSTITUTE(SUBSTITUTE(SUBSTITUTE(SUBSTITUTE(SUBSTITUTE(SUBSTITUTE(SUBSTITUTE(SUBSTITUTE(SUBSTITUTE(SUBSTITUTE(SUBSTITUTE(SUBSTITUTE(SUBSTITUTE(TRIM($L235),"'",""),"İ","I"),"ı","I"),"i","I"),"Ş","S"),"ş","S"),"Ğ","G"),"ğ","G"),"Ü","U"),"ü","U"),"Ö","O"),"ö","O"),"Ç","C"),"ç","C"),".",""),",","")," ",""),"-","")))</f>
        <v/>
      </c>
      <c r="T235" s="3">
        <f>IF(OR($C235="",$D235&lt;&gt;"Gelir",$L235=""),"",IFERROR(INDEX(MUSTERILER!$B$7:$B$106,MATCH($S235,MUSTERILER!$T$7:$T$106,0)),""))</f>
        <v/>
      </c>
      <c r="U235" s="3">
        <f>IF($T235="","",$T235&amp;"|"&amp;COUNTIFS($T$7:$T235,$T235))</f>
        <v/>
      </c>
      <c r="V235" s="3">
        <f>IF($T235="",0,1)</f>
        <v/>
      </c>
      <c r="W235" s="3">
        <f>IF($C235="","",$D235&amp;"|"&amp;$E235&amp;"|"&amp;TEXT($C235,"0")&amp;"|"&amp;TEXT($G235,"0")&amp;"|"&amp;$J235)</f>
        <v/>
      </c>
      <c r="X235" s="3" t="n"/>
      <c r="Y235" s="3" t="n"/>
      <c r="Z235" s="3" t="n"/>
      <c r="AA235" s="3" t="n"/>
      <c r="AB235" s="3" t="n"/>
      <c r="AC235" s="3" t="n"/>
      <c r="AD235" s="3">
        <f>IF($C235="",0,SUMPRODUCT((AY_SONU!$O$7:$O$42="Evet")*(AY_SONU!$B$7:$B$42=DATE(YEAR($C235),MONTH($C235),1))))</f>
        <v/>
      </c>
    </row>
    <row r="236">
      <c r="A236" s="6" t="n"/>
      <c r="B236" s="113">
        <f>IF($C236="","","GG"&amp;TEXT(ROW()-6,"00000"))</f>
        <v/>
      </c>
      <c r="C236" s="220" t="n"/>
      <c r="D236" s="108" t="n"/>
      <c r="E236" s="109" t="n"/>
      <c r="F236" s="109" t="n"/>
      <c r="G236" s="221" t="n"/>
      <c r="H236" s="108" t="n"/>
      <c r="I236" s="108" t="n"/>
      <c r="J236" s="109" t="n"/>
      <c r="K236" s="109" t="n"/>
      <c r="L236" s="108" t="n"/>
      <c r="M236" s="121">
        <f>IF($C236="","",IF($D236="Gider",$E236,IF($L236&lt;&gt;"",$L236,$H236)))</f>
        <v/>
      </c>
      <c r="N236" s="121">
        <f>IF($C236="","",IF($D236="Gider",$H236,$E236))</f>
        <v/>
      </c>
      <c r="O236" s="226">
        <f>IF($C236="","",DATE(YEAR($C236),MONTH($C236),1))</f>
        <v/>
      </c>
      <c r="P236" s="113">
        <f>IF($C236="","",IF(AND($D236="Gelir",$L236&lt;&gt;"",$T236=""),"TANIMSIZ BORÇLU",IF($T236&lt;&gt;"",IF(OR($E236="",$G236&lt;=0),"EKSİK",IF($I236="Evet","TAHAKKUK NAKİT OLAMAZ",IF($C236&gt;TODAY(),"İLERİ TARİH","TAHAKKUK"))),IF(AND($D236&lt;&gt;"",$E236&lt;&gt;"",$G236&gt;0,$H236&lt;&gt;"",$I236&lt;&gt;""),IF($C236&gt;TODAY(),"İLERİ TARİH",IF(COUNTIF($W$7:$W$1206,$W236)&gt;1,"MÜKERRER?",IF($AD236&gt;0,"KAPALI DÖNEM",IF($I236="Hayır","ÖDENECEK","UYGUN")))),"EKSİK"))))</f>
        <v/>
      </c>
      <c r="Q236" s="6" t="n"/>
      <c r="R236" s="6" t="n"/>
      <c r="S236" s="3">
        <f>IF($L236="","",UPPER(SUBSTITUTE(SUBSTITUTE(SUBSTITUTE(SUBSTITUTE(SUBSTITUTE(SUBSTITUTE(SUBSTITUTE(SUBSTITUTE(SUBSTITUTE(SUBSTITUTE(SUBSTITUTE(SUBSTITUTE(SUBSTITUTE(SUBSTITUTE(SUBSTITUTE(SUBSTITUTE(SUBSTITUTE(SUBSTITUTE(TRIM($L236),"'",""),"İ","I"),"ı","I"),"i","I"),"Ş","S"),"ş","S"),"Ğ","G"),"ğ","G"),"Ü","U"),"ü","U"),"Ö","O"),"ö","O"),"Ç","C"),"ç","C"),".",""),",","")," ",""),"-","")))</f>
        <v/>
      </c>
      <c r="T236" s="3">
        <f>IF(OR($C236="",$D236&lt;&gt;"Gelir",$L236=""),"",IFERROR(INDEX(MUSTERILER!$B$7:$B$106,MATCH($S236,MUSTERILER!$T$7:$T$106,0)),""))</f>
        <v/>
      </c>
      <c r="U236" s="3">
        <f>IF($T236="","",$T236&amp;"|"&amp;COUNTIFS($T$7:$T236,$T236))</f>
        <v/>
      </c>
      <c r="V236" s="3">
        <f>IF($T236="",0,1)</f>
        <v/>
      </c>
      <c r="W236" s="3">
        <f>IF($C236="","",$D236&amp;"|"&amp;$E236&amp;"|"&amp;TEXT($C236,"0")&amp;"|"&amp;TEXT($G236,"0")&amp;"|"&amp;$J236)</f>
        <v/>
      </c>
      <c r="X236" s="3" t="n"/>
      <c r="Y236" s="3" t="n"/>
      <c r="Z236" s="3" t="n"/>
      <c r="AA236" s="3" t="n"/>
      <c r="AB236" s="3" t="n"/>
      <c r="AC236" s="3" t="n"/>
      <c r="AD236" s="3">
        <f>IF($C236="",0,SUMPRODUCT((AY_SONU!$O$7:$O$42="Evet")*(AY_SONU!$B$7:$B$42=DATE(YEAR($C236),MONTH($C236),1))))</f>
        <v/>
      </c>
    </row>
    <row r="237">
      <c r="A237" s="6" t="n"/>
      <c r="B237" s="113">
        <f>IF($C237="","","GG"&amp;TEXT(ROW()-6,"00000"))</f>
        <v/>
      </c>
      <c r="C237" s="220" t="n"/>
      <c r="D237" s="108" t="n"/>
      <c r="E237" s="109" t="n"/>
      <c r="F237" s="109" t="n"/>
      <c r="G237" s="221" t="n"/>
      <c r="H237" s="108" t="n"/>
      <c r="I237" s="108" t="n"/>
      <c r="J237" s="109" t="n"/>
      <c r="K237" s="109" t="n"/>
      <c r="L237" s="108" t="n"/>
      <c r="M237" s="121">
        <f>IF($C237="","",IF($D237="Gider",$E237,IF($L237&lt;&gt;"",$L237,$H237)))</f>
        <v/>
      </c>
      <c r="N237" s="121">
        <f>IF($C237="","",IF($D237="Gider",$H237,$E237))</f>
        <v/>
      </c>
      <c r="O237" s="226">
        <f>IF($C237="","",DATE(YEAR($C237),MONTH($C237),1))</f>
        <v/>
      </c>
      <c r="P237" s="113">
        <f>IF($C237="","",IF(AND($D237="Gelir",$L237&lt;&gt;"",$T237=""),"TANIMSIZ BORÇLU",IF($T237&lt;&gt;"",IF(OR($E237="",$G237&lt;=0),"EKSİK",IF($I237="Evet","TAHAKKUK NAKİT OLAMAZ",IF($C237&gt;TODAY(),"İLERİ TARİH","TAHAKKUK"))),IF(AND($D237&lt;&gt;"",$E237&lt;&gt;"",$G237&gt;0,$H237&lt;&gt;"",$I237&lt;&gt;""),IF($C237&gt;TODAY(),"İLERİ TARİH",IF(COUNTIF($W$7:$W$1206,$W237)&gt;1,"MÜKERRER?",IF($AD237&gt;0,"KAPALI DÖNEM",IF($I237="Hayır","ÖDENECEK","UYGUN")))),"EKSİK"))))</f>
        <v/>
      </c>
      <c r="Q237" s="6" t="n"/>
      <c r="R237" s="6" t="n"/>
      <c r="S237" s="3">
        <f>IF($L237="","",UPPER(SUBSTITUTE(SUBSTITUTE(SUBSTITUTE(SUBSTITUTE(SUBSTITUTE(SUBSTITUTE(SUBSTITUTE(SUBSTITUTE(SUBSTITUTE(SUBSTITUTE(SUBSTITUTE(SUBSTITUTE(SUBSTITUTE(SUBSTITUTE(SUBSTITUTE(SUBSTITUTE(SUBSTITUTE(SUBSTITUTE(TRIM($L237),"'",""),"İ","I"),"ı","I"),"i","I"),"Ş","S"),"ş","S"),"Ğ","G"),"ğ","G"),"Ü","U"),"ü","U"),"Ö","O"),"ö","O"),"Ç","C"),"ç","C"),".",""),",","")," ",""),"-","")))</f>
        <v/>
      </c>
      <c r="T237" s="3">
        <f>IF(OR($C237="",$D237&lt;&gt;"Gelir",$L237=""),"",IFERROR(INDEX(MUSTERILER!$B$7:$B$106,MATCH($S237,MUSTERILER!$T$7:$T$106,0)),""))</f>
        <v/>
      </c>
      <c r="U237" s="3">
        <f>IF($T237="","",$T237&amp;"|"&amp;COUNTIFS($T$7:$T237,$T237))</f>
        <v/>
      </c>
      <c r="V237" s="3">
        <f>IF($T237="",0,1)</f>
        <v/>
      </c>
      <c r="W237" s="3">
        <f>IF($C237="","",$D237&amp;"|"&amp;$E237&amp;"|"&amp;TEXT($C237,"0")&amp;"|"&amp;TEXT($G237,"0")&amp;"|"&amp;$J237)</f>
        <v/>
      </c>
      <c r="X237" s="3" t="n"/>
      <c r="Y237" s="3" t="n"/>
      <c r="Z237" s="3" t="n"/>
      <c r="AA237" s="3" t="n"/>
      <c r="AB237" s="3" t="n"/>
      <c r="AC237" s="3" t="n"/>
      <c r="AD237" s="3">
        <f>IF($C237="",0,SUMPRODUCT((AY_SONU!$O$7:$O$42="Evet")*(AY_SONU!$B$7:$B$42=DATE(YEAR($C237),MONTH($C237),1))))</f>
        <v/>
      </c>
    </row>
    <row r="238">
      <c r="A238" s="6" t="n"/>
      <c r="B238" s="113">
        <f>IF($C238="","","GG"&amp;TEXT(ROW()-6,"00000"))</f>
        <v/>
      </c>
      <c r="C238" s="220" t="n"/>
      <c r="D238" s="108" t="n"/>
      <c r="E238" s="109" t="n"/>
      <c r="F238" s="109" t="n"/>
      <c r="G238" s="221" t="n"/>
      <c r="H238" s="108" t="n"/>
      <c r="I238" s="108" t="n"/>
      <c r="J238" s="109" t="n"/>
      <c r="K238" s="109" t="n"/>
      <c r="L238" s="108" t="n"/>
      <c r="M238" s="121">
        <f>IF($C238="","",IF($D238="Gider",$E238,IF($L238&lt;&gt;"",$L238,$H238)))</f>
        <v/>
      </c>
      <c r="N238" s="121">
        <f>IF($C238="","",IF($D238="Gider",$H238,$E238))</f>
        <v/>
      </c>
      <c r="O238" s="226">
        <f>IF($C238="","",DATE(YEAR($C238),MONTH($C238),1))</f>
        <v/>
      </c>
      <c r="P238" s="113">
        <f>IF($C238="","",IF(AND($D238="Gelir",$L238&lt;&gt;"",$T238=""),"TANIMSIZ BORÇLU",IF($T238&lt;&gt;"",IF(OR($E238="",$G238&lt;=0),"EKSİK",IF($I238="Evet","TAHAKKUK NAKİT OLAMAZ",IF($C238&gt;TODAY(),"İLERİ TARİH","TAHAKKUK"))),IF(AND($D238&lt;&gt;"",$E238&lt;&gt;"",$G238&gt;0,$H238&lt;&gt;"",$I238&lt;&gt;""),IF($C238&gt;TODAY(),"İLERİ TARİH",IF(COUNTIF($W$7:$W$1206,$W238)&gt;1,"MÜKERRER?",IF($AD238&gt;0,"KAPALI DÖNEM",IF($I238="Hayır","ÖDENECEK","UYGUN")))),"EKSİK"))))</f>
        <v/>
      </c>
      <c r="Q238" s="6" t="n"/>
      <c r="R238" s="6" t="n"/>
      <c r="S238" s="3">
        <f>IF($L238="","",UPPER(SUBSTITUTE(SUBSTITUTE(SUBSTITUTE(SUBSTITUTE(SUBSTITUTE(SUBSTITUTE(SUBSTITUTE(SUBSTITUTE(SUBSTITUTE(SUBSTITUTE(SUBSTITUTE(SUBSTITUTE(SUBSTITUTE(SUBSTITUTE(SUBSTITUTE(SUBSTITUTE(SUBSTITUTE(SUBSTITUTE(TRIM($L238),"'",""),"İ","I"),"ı","I"),"i","I"),"Ş","S"),"ş","S"),"Ğ","G"),"ğ","G"),"Ü","U"),"ü","U"),"Ö","O"),"ö","O"),"Ç","C"),"ç","C"),".",""),",","")," ",""),"-","")))</f>
        <v/>
      </c>
      <c r="T238" s="3">
        <f>IF(OR($C238="",$D238&lt;&gt;"Gelir",$L238=""),"",IFERROR(INDEX(MUSTERILER!$B$7:$B$106,MATCH($S238,MUSTERILER!$T$7:$T$106,0)),""))</f>
        <v/>
      </c>
      <c r="U238" s="3">
        <f>IF($T238="","",$T238&amp;"|"&amp;COUNTIFS($T$7:$T238,$T238))</f>
        <v/>
      </c>
      <c r="V238" s="3">
        <f>IF($T238="",0,1)</f>
        <v/>
      </c>
      <c r="W238" s="3">
        <f>IF($C238="","",$D238&amp;"|"&amp;$E238&amp;"|"&amp;TEXT($C238,"0")&amp;"|"&amp;TEXT($G238,"0")&amp;"|"&amp;$J238)</f>
        <v/>
      </c>
      <c r="X238" s="3" t="n"/>
      <c r="Y238" s="3" t="n"/>
      <c r="Z238" s="3" t="n"/>
      <c r="AA238" s="3" t="n"/>
      <c r="AB238" s="3" t="n"/>
      <c r="AC238" s="3" t="n"/>
      <c r="AD238" s="3">
        <f>IF($C238="",0,SUMPRODUCT((AY_SONU!$O$7:$O$42="Evet")*(AY_SONU!$B$7:$B$42=DATE(YEAR($C238),MONTH($C238),1))))</f>
        <v/>
      </c>
    </row>
    <row r="239">
      <c r="A239" s="6" t="n"/>
      <c r="B239" s="113">
        <f>IF($C239="","","GG"&amp;TEXT(ROW()-6,"00000"))</f>
        <v/>
      </c>
      <c r="C239" s="220" t="n"/>
      <c r="D239" s="108" t="n"/>
      <c r="E239" s="109" t="n"/>
      <c r="F239" s="109" t="n"/>
      <c r="G239" s="221" t="n"/>
      <c r="H239" s="108" t="n"/>
      <c r="I239" s="108" t="n"/>
      <c r="J239" s="109" t="n"/>
      <c r="K239" s="109" t="n"/>
      <c r="L239" s="108" t="n"/>
      <c r="M239" s="121">
        <f>IF($C239="","",IF($D239="Gider",$E239,IF($L239&lt;&gt;"",$L239,$H239)))</f>
        <v/>
      </c>
      <c r="N239" s="121">
        <f>IF($C239="","",IF($D239="Gider",$H239,$E239))</f>
        <v/>
      </c>
      <c r="O239" s="226">
        <f>IF($C239="","",DATE(YEAR($C239),MONTH($C239),1))</f>
        <v/>
      </c>
      <c r="P239" s="113">
        <f>IF($C239="","",IF(AND($D239="Gelir",$L239&lt;&gt;"",$T239=""),"TANIMSIZ BORÇLU",IF($T239&lt;&gt;"",IF(OR($E239="",$G239&lt;=0),"EKSİK",IF($I239="Evet","TAHAKKUK NAKİT OLAMAZ",IF($C239&gt;TODAY(),"İLERİ TARİH","TAHAKKUK"))),IF(AND($D239&lt;&gt;"",$E239&lt;&gt;"",$G239&gt;0,$H239&lt;&gt;"",$I239&lt;&gt;""),IF($C239&gt;TODAY(),"İLERİ TARİH",IF(COUNTIF($W$7:$W$1206,$W239)&gt;1,"MÜKERRER?",IF($AD239&gt;0,"KAPALI DÖNEM",IF($I239="Hayır","ÖDENECEK","UYGUN")))),"EKSİK"))))</f>
        <v/>
      </c>
      <c r="Q239" s="6" t="n"/>
      <c r="R239" s="6" t="n"/>
      <c r="S239" s="3">
        <f>IF($L239="","",UPPER(SUBSTITUTE(SUBSTITUTE(SUBSTITUTE(SUBSTITUTE(SUBSTITUTE(SUBSTITUTE(SUBSTITUTE(SUBSTITUTE(SUBSTITUTE(SUBSTITUTE(SUBSTITUTE(SUBSTITUTE(SUBSTITUTE(SUBSTITUTE(SUBSTITUTE(SUBSTITUTE(SUBSTITUTE(SUBSTITUTE(TRIM($L239),"'",""),"İ","I"),"ı","I"),"i","I"),"Ş","S"),"ş","S"),"Ğ","G"),"ğ","G"),"Ü","U"),"ü","U"),"Ö","O"),"ö","O"),"Ç","C"),"ç","C"),".",""),",","")," ",""),"-","")))</f>
        <v/>
      </c>
      <c r="T239" s="3">
        <f>IF(OR($C239="",$D239&lt;&gt;"Gelir",$L239=""),"",IFERROR(INDEX(MUSTERILER!$B$7:$B$106,MATCH($S239,MUSTERILER!$T$7:$T$106,0)),""))</f>
        <v/>
      </c>
      <c r="U239" s="3">
        <f>IF($T239="","",$T239&amp;"|"&amp;COUNTIFS($T$7:$T239,$T239))</f>
        <v/>
      </c>
      <c r="V239" s="3">
        <f>IF($T239="",0,1)</f>
        <v/>
      </c>
      <c r="W239" s="3">
        <f>IF($C239="","",$D239&amp;"|"&amp;$E239&amp;"|"&amp;TEXT($C239,"0")&amp;"|"&amp;TEXT($G239,"0")&amp;"|"&amp;$J239)</f>
        <v/>
      </c>
      <c r="X239" s="3" t="n"/>
      <c r="Y239" s="3" t="n"/>
      <c r="Z239" s="3" t="n"/>
      <c r="AA239" s="3" t="n"/>
      <c r="AB239" s="3" t="n"/>
      <c r="AC239" s="3" t="n"/>
      <c r="AD239" s="3">
        <f>IF($C239="",0,SUMPRODUCT((AY_SONU!$O$7:$O$42="Evet")*(AY_SONU!$B$7:$B$42=DATE(YEAR($C239),MONTH($C239),1))))</f>
        <v/>
      </c>
    </row>
    <row r="240">
      <c r="A240" s="6" t="n"/>
      <c r="B240" s="113">
        <f>IF($C240="","","GG"&amp;TEXT(ROW()-6,"00000"))</f>
        <v/>
      </c>
      <c r="C240" s="220" t="n"/>
      <c r="D240" s="108" t="n"/>
      <c r="E240" s="109" t="n"/>
      <c r="F240" s="109" t="n"/>
      <c r="G240" s="221" t="n"/>
      <c r="H240" s="108" t="n"/>
      <c r="I240" s="108" t="n"/>
      <c r="J240" s="109" t="n"/>
      <c r="K240" s="109" t="n"/>
      <c r="L240" s="108" t="n"/>
      <c r="M240" s="121">
        <f>IF($C240="","",IF($D240="Gider",$E240,IF($L240&lt;&gt;"",$L240,$H240)))</f>
        <v/>
      </c>
      <c r="N240" s="121">
        <f>IF($C240="","",IF($D240="Gider",$H240,$E240))</f>
        <v/>
      </c>
      <c r="O240" s="226">
        <f>IF($C240="","",DATE(YEAR($C240),MONTH($C240),1))</f>
        <v/>
      </c>
      <c r="P240" s="113">
        <f>IF($C240="","",IF(AND($D240="Gelir",$L240&lt;&gt;"",$T240=""),"TANIMSIZ BORÇLU",IF($T240&lt;&gt;"",IF(OR($E240="",$G240&lt;=0),"EKSİK",IF($I240="Evet","TAHAKKUK NAKİT OLAMAZ",IF($C240&gt;TODAY(),"İLERİ TARİH","TAHAKKUK"))),IF(AND($D240&lt;&gt;"",$E240&lt;&gt;"",$G240&gt;0,$H240&lt;&gt;"",$I240&lt;&gt;""),IF($C240&gt;TODAY(),"İLERİ TARİH",IF(COUNTIF($W$7:$W$1206,$W240)&gt;1,"MÜKERRER?",IF($AD240&gt;0,"KAPALI DÖNEM",IF($I240="Hayır","ÖDENECEK","UYGUN")))),"EKSİK"))))</f>
        <v/>
      </c>
      <c r="Q240" s="6" t="n"/>
      <c r="R240" s="6" t="n"/>
      <c r="S240" s="3">
        <f>IF($L240="","",UPPER(SUBSTITUTE(SUBSTITUTE(SUBSTITUTE(SUBSTITUTE(SUBSTITUTE(SUBSTITUTE(SUBSTITUTE(SUBSTITUTE(SUBSTITUTE(SUBSTITUTE(SUBSTITUTE(SUBSTITUTE(SUBSTITUTE(SUBSTITUTE(SUBSTITUTE(SUBSTITUTE(SUBSTITUTE(SUBSTITUTE(TRIM($L240),"'",""),"İ","I"),"ı","I"),"i","I"),"Ş","S"),"ş","S"),"Ğ","G"),"ğ","G"),"Ü","U"),"ü","U"),"Ö","O"),"ö","O"),"Ç","C"),"ç","C"),".",""),",","")," ",""),"-","")))</f>
        <v/>
      </c>
      <c r="T240" s="3">
        <f>IF(OR($C240="",$D240&lt;&gt;"Gelir",$L240=""),"",IFERROR(INDEX(MUSTERILER!$B$7:$B$106,MATCH($S240,MUSTERILER!$T$7:$T$106,0)),""))</f>
        <v/>
      </c>
      <c r="U240" s="3">
        <f>IF($T240="","",$T240&amp;"|"&amp;COUNTIFS($T$7:$T240,$T240))</f>
        <v/>
      </c>
      <c r="V240" s="3">
        <f>IF($T240="",0,1)</f>
        <v/>
      </c>
      <c r="W240" s="3">
        <f>IF($C240="","",$D240&amp;"|"&amp;$E240&amp;"|"&amp;TEXT($C240,"0")&amp;"|"&amp;TEXT($G240,"0")&amp;"|"&amp;$J240)</f>
        <v/>
      </c>
      <c r="X240" s="3" t="n"/>
      <c r="Y240" s="3" t="n"/>
      <c r="Z240" s="3" t="n"/>
      <c r="AA240" s="3" t="n"/>
      <c r="AB240" s="3" t="n"/>
      <c r="AC240" s="3" t="n"/>
      <c r="AD240" s="3">
        <f>IF($C240="",0,SUMPRODUCT((AY_SONU!$O$7:$O$42="Evet")*(AY_SONU!$B$7:$B$42=DATE(YEAR($C240),MONTH($C240),1))))</f>
        <v/>
      </c>
    </row>
    <row r="241">
      <c r="A241" s="6" t="n"/>
      <c r="B241" s="113">
        <f>IF($C241="","","GG"&amp;TEXT(ROW()-6,"00000"))</f>
        <v/>
      </c>
      <c r="C241" s="220" t="n"/>
      <c r="D241" s="108" t="n"/>
      <c r="E241" s="109" t="n"/>
      <c r="F241" s="109" t="n"/>
      <c r="G241" s="221" t="n"/>
      <c r="H241" s="108" t="n"/>
      <c r="I241" s="108" t="n"/>
      <c r="J241" s="109" t="n"/>
      <c r="K241" s="109" t="n"/>
      <c r="L241" s="108" t="n"/>
      <c r="M241" s="121">
        <f>IF($C241="","",IF($D241="Gider",$E241,IF($L241&lt;&gt;"",$L241,$H241)))</f>
        <v/>
      </c>
      <c r="N241" s="121">
        <f>IF($C241="","",IF($D241="Gider",$H241,$E241))</f>
        <v/>
      </c>
      <c r="O241" s="226">
        <f>IF($C241="","",DATE(YEAR($C241),MONTH($C241),1))</f>
        <v/>
      </c>
      <c r="P241" s="113">
        <f>IF($C241="","",IF(AND($D241="Gelir",$L241&lt;&gt;"",$T241=""),"TANIMSIZ BORÇLU",IF($T241&lt;&gt;"",IF(OR($E241="",$G241&lt;=0),"EKSİK",IF($I241="Evet","TAHAKKUK NAKİT OLAMAZ",IF($C241&gt;TODAY(),"İLERİ TARİH","TAHAKKUK"))),IF(AND($D241&lt;&gt;"",$E241&lt;&gt;"",$G241&gt;0,$H241&lt;&gt;"",$I241&lt;&gt;""),IF($C241&gt;TODAY(),"İLERİ TARİH",IF(COUNTIF($W$7:$W$1206,$W241)&gt;1,"MÜKERRER?",IF($AD241&gt;0,"KAPALI DÖNEM",IF($I241="Hayır","ÖDENECEK","UYGUN")))),"EKSİK"))))</f>
        <v/>
      </c>
      <c r="Q241" s="6" t="n"/>
      <c r="R241" s="6" t="n"/>
      <c r="S241" s="3">
        <f>IF($L241="","",UPPER(SUBSTITUTE(SUBSTITUTE(SUBSTITUTE(SUBSTITUTE(SUBSTITUTE(SUBSTITUTE(SUBSTITUTE(SUBSTITUTE(SUBSTITUTE(SUBSTITUTE(SUBSTITUTE(SUBSTITUTE(SUBSTITUTE(SUBSTITUTE(SUBSTITUTE(SUBSTITUTE(SUBSTITUTE(SUBSTITUTE(TRIM($L241),"'",""),"İ","I"),"ı","I"),"i","I"),"Ş","S"),"ş","S"),"Ğ","G"),"ğ","G"),"Ü","U"),"ü","U"),"Ö","O"),"ö","O"),"Ç","C"),"ç","C"),".",""),",","")," ",""),"-","")))</f>
        <v/>
      </c>
      <c r="T241" s="3">
        <f>IF(OR($C241="",$D241&lt;&gt;"Gelir",$L241=""),"",IFERROR(INDEX(MUSTERILER!$B$7:$B$106,MATCH($S241,MUSTERILER!$T$7:$T$106,0)),""))</f>
        <v/>
      </c>
      <c r="U241" s="3">
        <f>IF($T241="","",$T241&amp;"|"&amp;COUNTIFS($T$7:$T241,$T241))</f>
        <v/>
      </c>
      <c r="V241" s="3">
        <f>IF($T241="",0,1)</f>
        <v/>
      </c>
      <c r="W241" s="3">
        <f>IF($C241="","",$D241&amp;"|"&amp;$E241&amp;"|"&amp;TEXT($C241,"0")&amp;"|"&amp;TEXT($G241,"0")&amp;"|"&amp;$J241)</f>
        <v/>
      </c>
      <c r="X241" s="3" t="n"/>
      <c r="Y241" s="3" t="n"/>
      <c r="Z241" s="3" t="n"/>
      <c r="AA241" s="3" t="n"/>
      <c r="AB241" s="3" t="n"/>
      <c r="AC241" s="3" t="n"/>
      <c r="AD241" s="3">
        <f>IF($C241="",0,SUMPRODUCT((AY_SONU!$O$7:$O$42="Evet")*(AY_SONU!$B$7:$B$42=DATE(YEAR($C241),MONTH($C241),1))))</f>
        <v/>
      </c>
    </row>
    <row r="242">
      <c r="A242" s="6" t="n"/>
      <c r="B242" s="113">
        <f>IF($C242="","","GG"&amp;TEXT(ROW()-6,"00000"))</f>
        <v/>
      </c>
      <c r="C242" s="220" t="n"/>
      <c r="D242" s="108" t="n"/>
      <c r="E242" s="109" t="n"/>
      <c r="F242" s="109" t="n"/>
      <c r="G242" s="221" t="n"/>
      <c r="H242" s="108" t="n"/>
      <c r="I242" s="108" t="n"/>
      <c r="J242" s="109" t="n"/>
      <c r="K242" s="109" t="n"/>
      <c r="L242" s="108" t="n"/>
      <c r="M242" s="121">
        <f>IF($C242="","",IF($D242="Gider",$E242,IF($L242&lt;&gt;"",$L242,$H242)))</f>
        <v/>
      </c>
      <c r="N242" s="121">
        <f>IF($C242="","",IF($D242="Gider",$H242,$E242))</f>
        <v/>
      </c>
      <c r="O242" s="226">
        <f>IF($C242="","",DATE(YEAR($C242),MONTH($C242),1))</f>
        <v/>
      </c>
      <c r="P242" s="113">
        <f>IF($C242="","",IF(AND($D242="Gelir",$L242&lt;&gt;"",$T242=""),"TANIMSIZ BORÇLU",IF($T242&lt;&gt;"",IF(OR($E242="",$G242&lt;=0),"EKSİK",IF($I242="Evet","TAHAKKUK NAKİT OLAMAZ",IF($C242&gt;TODAY(),"İLERİ TARİH","TAHAKKUK"))),IF(AND($D242&lt;&gt;"",$E242&lt;&gt;"",$G242&gt;0,$H242&lt;&gt;"",$I242&lt;&gt;""),IF($C242&gt;TODAY(),"İLERİ TARİH",IF(COUNTIF($W$7:$W$1206,$W242)&gt;1,"MÜKERRER?",IF($AD242&gt;0,"KAPALI DÖNEM",IF($I242="Hayır","ÖDENECEK","UYGUN")))),"EKSİK"))))</f>
        <v/>
      </c>
      <c r="Q242" s="6" t="n"/>
      <c r="R242" s="6" t="n"/>
      <c r="S242" s="3">
        <f>IF($L242="","",UPPER(SUBSTITUTE(SUBSTITUTE(SUBSTITUTE(SUBSTITUTE(SUBSTITUTE(SUBSTITUTE(SUBSTITUTE(SUBSTITUTE(SUBSTITUTE(SUBSTITUTE(SUBSTITUTE(SUBSTITUTE(SUBSTITUTE(SUBSTITUTE(SUBSTITUTE(SUBSTITUTE(SUBSTITUTE(SUBSTITUTE(TRIM($L242),"'",""),"İ","I"),"ı","I"),"i","I"),"Ş","S"),"ş","S"),"Ğ","G"),"ğ","G"),"Ü","U"),"ü","U"),"Ö","O"),"ö","O"),"Ç","C"),"ç","C"),".",""),",","")," ",""),"-","")))</f>
        <v/>
      </c>
      <c r="T242" s="3">
        <f>IF(OR($C242="",$D242&lt;&gt;"Gelir",$L242=""),"",IFERROR(INDEX(MUSTERILER!$B$7:$B$106,MATCH($S242,MUSTERILER!$T$7:$T$106,0)),""))</f>
        <v/>
      </c>
      <c r="U242" s="3">
        <f>IF($T242="","",$T242&amp;"|"&amp;COUNTIFS($T$7:$T242,$T242))</f>
        <v/>
      </c>
      <c r="V242" s="3">
        <f>IF($T242="",0,1)</f>
        <v/>
      </c>
      <c r="W242" s="3">
        <f>IF($C242="","",$D242&amp;"|"&amp;$E242&amp;"|"&amp;TEXT($C242,"0")&amp;"|"&amp;TEXT($G242,"0")&amp;"|"&amp;$J242)</f>
        <v/>
      </c>
      <c r="X242" s="3" t="n"/>
      <c r="Y242" s="3" t="n"/>
      <c r="Z242" s="3" t="n"/>
      <c r="AA242" s="3" t="n"/>
      <c r="AB242" s="3" t="n"/>
      <c r="AC242" s="3" t="n"/>
      <c r="AD242" s="3">
        <f>IF($C242="",0,SUMPRODUCT((AY_SONU!$O$7:$O$42="Evet")*(AY_SONU!$B$7:$B$42=DATE(YEAR($C242),MONTH($C242),1))))</f>
        <v/>
      </c>
    </row>
    <row r="243">
      <c r="A243" s="6" t="n"/>
      <c r="B243" s="113">
        <f>IF($C243="","","GG"&amp;TEXT(ROW()-6,"00000"))</f>
        <v/>
      </c>
      <c r="C243" s="220" t="n"/>
      <c r="D243" s="108" t="n"/>
      <c r="E243" s="109" t="n"/>
      <c r="F243" s="109" t="n"/>
      <c r="G243" s="221" t="n"/>
      <c r="H243" s="108" t="n"/>
      <c r="I243" s="108" t="n"/>
      <c r="J243" s="109" t="n"/>
      <c r="K243" s="109" t="n"/>
      <c r="L243" s="108" t="n"/>
      <c r="M243" s="121">
        <f>IF($C243="","",IF($D243="Gider",$E243,IF($L243&lt;&gt;"",$L243,$H243)))</f>
        <v/>
      </c>
      <c r="N243" s="121">
        <f>IF($C243="","",IF($D243="Gider",$H243,$E243))</f>
        <v/>
      </c>
      <c r="O243" s="226">
        <f>IF($C243="","",DATE(YEAR($C243),MONTH($C243),1))</f>
        <v/>
      </c>
      <c r="P243" s="113">
        <f>IF($C243="","",IF(AND($D243="Gelir",$L243&lt;&gt;"",$T243=""),"TANIMSIZ BORÇLU",IF($T243&lt;&gt;"",IF(OR($E243="",$G243&lt;=0),"EKSİK",IF($I243="Evet","TAHAKKUK NAKİT OLAMAZ",IF($C243&gt;TODAY(),"İLERİ TARİH","TAHAKKUK"))),IF(AND($D243&lt;&gt;"",$E243&lt;&gt;"",$G243&gt;0,$H243&lt;&gt;"",$I243&lt;&gt;""),IF($C243&gt;TODAY(),"İLERİ TARİH",IF(COUNTIF($W$7:$W$1206,$W243)&gt;1,"MÜKERRER?",IF($AD243&gt;0,"KAPALI DÖNEM",IF($I243="Hayır","ÖDENECEK","UYGUN")))),"EKSİK"))))</f>
        <v/>
      </c>
      <c r="Q243" s="6" t="n"/>
      <c r="R243" s="6" t="n"/>
      <c r="S243" s="3">
        <f>IF($L243="","",UPPER(SUBSTITUTE(SUBSTITUTE(SUBSTITUTE(SUBSTITUTE(SUBSTITUTE(SUBSTITUTE(SUBSTITUTE(SUBSTITUTE(SUBSTITUTE(SUBSTITUTE(SUBSTITUTE(SUBSTITUTE(SUBSTITUTE(SUBSTITUTE(SUBSTITUTE(SUBSTITUTE(SUBSTITUTE(SUBSTITUTE(TRIM($L243),"'",""),"İ","I"),"ı","I"),"i","I"),"Ş","S"),"ş","S"),"Ğ","G"),"ğ","G"),"Ü","U"),"ü","U"),"Ö","O"),"ö","O"),"Ç","C"),"ç","C"),".",""),",","")," ",""),"-","")))</f>
        <v/>
      </c>
      <c r="T243" s="3">
        <f>IF(OR($C243="",$D243&lt;&gt;"Gelir",$L243=""),"",IFERROR(INDEX(MUSTERILER!$B$7:$B$106,MATCH($S243,MUSTERILER!$T$7:$T$106,0)),""))</f>
        <v/>
      </c>
      <c r="U243" s="3">
        <f>IF($T243="","",$T243&amp;"|"&amp;COUNTIFS($T$7:$T243,$T243))</f>
        <v/>
      </c>
      <c r="V243" s="3">
        <f>IF($T243="",0,1)</f>
        <v/>
      </c>
      <c r="W243" s="3">
        <f>IF($C243="","",$D243&amp;"|"&amp;$E243&amp;"|"&amp;TEXT($C243,"0")&amp;"|"&amp;TEXT($G243,"0")&amp;"|"&amp;$J243)</f>
        <v/>
      </c>
      <c r="X243" s="3" t="n"/>
      <c r="Y243" s="3" t="n"/>
      <c r="Z243" s="3" t="n"/>
      <c r="AA243" s="3" t="n"/>
      <c r="AB243" s="3" t="n"/>
      <c r="AC243" s="3" t="n"/>
      <c r="AD243" s="3">
        <f>IF($C243="",0,SUMPRODUCT((AY_SONU!$O$7:$O$42="Evet")*(AY_SONU!$B$7:$B$42=DATE(YEAR($C243),MONTH($C243),1))))</f>
        <v/>
      </c>
    </row>
    <row r="244">
      <c r="A244" s="6" t="n"/>
      <c r="B244" s="113">
        <f>IF($C244="","","GG"&amp;TEXT(ROW()-6,"00000"))</f>
        <v/>
      </c>
      <c r="C244" s="220" t="n"/>
      <c r="D244" s="108" t="n"/>
      <c r="E244" s="109" t="n"/>
      <c r="F244" s="109" t="n"/>
      <c r="G244" s="221" t="n"/>
      <c r="H244" s="108" t="n"/>
      <c r="I244" s="108" t="n"/>
      <c r="J244" s="109" t="n"/>
      <c r="K244" s="109" t="n"/>
      <c r="L244" s="108" t="n"/>
      <c r="M244" s="121">
        <f>IF($C244="","",IF($D244="Gider",$E244,IF($L244&lt;&gt;"",$L244,$H244)))</f>
        <v/>
      </c>
      <c r="N244" s="121">
        <f>IF($C244="","",IF($D244="Gider",$H244,$E244))</f>
        <v/>
      </c>
      <c r="O244" s="226">
        <f>IF($C244="","",DATE(YEAR($C244),MONTH($C244),1))</f>
        <v/>
      </c>
      <c r="P244" s="113">
        <f>IF($C244="","",IF(AND($D244="Gelir",$L244&lt;&gt;"",$T244=""),"TANIMSIZ BORÇLU",IF($T244&lt;&gt;"",IF(OR($E244="",$G244&lt;=0),"EKSİK",IF($I244="Evet","TAHAKKUK NAKİT OLAMAZ",IF($C244&gt;TODAY(),"İLERİ TARİH","TAHAKKUK"))),IF(AND($D244&lt;&gt;"",$E244&lt;&gt;"",$G244&gt;0,$H244&lt;&gt;"",$I244&lt;&gt;""),IF($C244&gt;TODAY(),"İLERİ TARİH",IF(COUNTIF($W$7:$W$1206,$W244)&gt;1,"MÜKERRER?",IF($AD244&gt;0,"KAPALI DÖNEM",IF($I244="Hayır","ÖDENECEK","UYGUN")))),"EKSİK"))))</f>
        <v/>
      </c>
      <c r="Q244" s="6" t="n"/>
      <c r="R244" s="6" t="n"/>
      <c r="S244" s="3">
        <f>IF($L244="","",UPPER(SUBSTITUTE(SUBSTITUTE(SUBSTITUTE(SUBSTITUTE(SUBSTITUTE(SUBSTITUTE(SUBSTITUTE(SUBSTITUTE(SUBSTITUTE(SUBSTITUTE(SUBSTITUTE(SUBSTITUTE(SUBSTITUTE(SUBSTITUTE(SUBSTITUTE(SUBSTITUTE(SUBSTITUTE(SUBSTITUTE(TRIM($L244),"'",""),"İ","I"),"ı","I"),"i","I"),"Ş","S"),"ş","S"),"Ğ","G"),"ğ","G"),"Ü","U"),"ü","U"),"Ö","O"),"ö","O"),"Ç","C"),"ç","C"),".",""),",","")," ",""),"-","")))</f>
        <v/>
      </c>
      <c r="T244" s="3">
        <f>IF(OR($C244="",$D244&lt;&gt;"Gelir",$L244=""),"",IFERROR(INDEX(MUSTERILER!$B$7:$B$106,MATCH($S244,MUSTERILER!$T$7:$T$106,0)),""))</f>
        <v/>
      </c>
      <c r="U244" s="3">
        <f>IF($T244="","",$T244&amp;"|"&amp;COUNTIFS($T$7:$T244,$T244))</f>
        <v/>
      </c>
      <c r="V244" s="3">
        <f>IF($T244="",0,1)</f>
        <v/>
      </c>
      <c r="W244" s="3">
        <f>IF($C244="","",$D244&amp;"|"&amp;$E244&amp;"|"&amp;TEXT($C244,"0")&amp;"|"&amp;TEXT($G244,"0")&amp;"|"&amp;$J244)</f>
        <v/>
      </c>
      <c r="X244" s="3" t="n"/>
      <c r="Y244" s="3" t="n"/>
      <c r="Z244" s="3" t="n"/>
      <c r="AA244" s="3" t="n"/>
      <c r="AB244" s="3" t="n"/>
      <c r="AC244" s="3" t="n"/>
      <c r="AD244" s="3">
        <f>IF($C244="",0,SUMPRODUCT((AY_SONU!$O$7:$O$42="Evet")*(AY_SONU!$B$7:$B$42=DATE(YEAR($C244),MONTH($C244),1))))</f>
        <v/>
      </c>
    </row>
    <row r="245">
      <c r="A245" s="6" t="n"/>
      <c r="B245" s="113">
        <f>IF($C245="","","GG"&amp;TEXT(ROW()-6,"00000"))</f>
        <v/>
      </c>
      <c r="C245" s="220" t="n"/>
      <c r="D245" s="108" t="n"/>
      <c r="E245" s="109" t="n"/>
      <c r="F245" s="109" t="n"/>
      <c r="G245" s="221" t="n"/>
      <c r="H245" s="108" t="n"/>
      <c r="I245" s="108" t="n"/>
      <c r="J245" s="109" t="n"/>
      <c r="K245" s="109" t="n"/>
      <c r="L245" s="108" t="n"/>
      <c r="M245" s="121">
        <f>IF($C245="","",IF($D245="Gider",$E245,IF($L245&lt;&gt;"",$L245,$H245)))</f>
        <v/>
      </c>
      <c r="N245" s="121">
        <f>IF($C245="","",IF($D245="Gider",$H245,$E245))</f>
        <v/>
      </c>
      <c r="O245" s="226">
        <f>IF($C245="","",DATE(YEAR($C245),MONTH($C245),1))</f>
        <v/>
      </c>
      <c r="P245" s="113">
        <f>IF($C245="","",IF(AND($D245="Gelir",$L245&lt;&gt;"",$T245=""),"TANIMSIZ BORÇLU",IF($T245&lt;&gt;"",IF(OR($E245="",$G245&lt;=0),"EKSİK",IF($I245="Evet","TAHAKKUK NAKİT OLAMAZ",IF($C245&gt;TODAY(),"İLERİ TARİH","TAHAKKUK"))),IF(AND($D245&lt;&gt;"",$E245&lt;&gt;"",$G245&gt;0,$H245&lt;&gt;"",$I245&lt;&gt;""),IF($C245&gt;TODAY(),"İLERİ TARİH",IF(COUNTIF($W$7:$W$1206,$W245)&gt;1,"MÜKERRER?",IF($AD245&gt;0,"KAPALI DÖNEM",IF($I245="Hayır","ÖDENECEK","UYGUN")))),"EKSİK"))))</f>
        <v/>
      </c>
      <c r="Q245" s="6" t="n"/>
      <c r="R245" s="6" t="n"/>
      <c r="S245" s="3">
        <f>IF($L245="","",UPPER(SUBSTITUTE(SUBSTITUTE(SUBSTITUTE(SUBSTITUTE(SUBSTITUTE(SUBSTITUTE(SUBSTITUTE(SUBSTITUTE(SUBSTITUTE(SUBSTITUTE(SUBSTITUTE(SUBSTITUTE(SUBSTITUTE(SUBSTITUTE(SUBSTITUTE(SUBSTITUTE(SUBSTITUTE(SUBSTITUTE(TRIM($L245),"'",""),"İ","I"),"ı","I"),"i","I"),"Ş","S"),"ş","S"),"Ğ","G"),"ğ","G"),"Ü","U"),"ü","U"),"Ö","O"),"ö","O"),"Ç","C"),"ç","C"),".",""),",","")," ",""),"-","")))</f>
        <v/>
      </c>
      <c r="T245" s="3">
        <f>IF(OR($C245="",$D245&lt;&gt;"Gelir",$L245=""),"",IFERROR(INDEX(MUSTERILER!$B$7:$B$106,MATCH($S245,MUSTERILER!$T$7:$T$106,0)),""))</f>
        <v/>
      </c>
      <c r="U245" s="3">
        <f>IF($T245="","",$T245&amp;"|"&amp;COUNTIFS($T$7:$T245,$T245))</f>
        <v/>
      </c>
      <c r="V245" s="3">
        <f>IF($T245="",0,1)</f>
        <v/>
      </c>
      <c r="W245" s="3">
        <f>IF($C245="","",$D245&amp;"|"&amp;$E245&amp;"|"&amp;TEXT($C245,"0")&amp;"|"&amp;TEXT($G245,"0")&amp;"|"&amp;$J245)</f>
        <v/>
      </c>
      <c r="X245" s="3" t="n"/>
      <c r="Y245" s="3" t="n"/>
      <c r="Z245" s="3" t="n"/>
      <c r="AA245" s="3" t="n"/>
      <c r="AB245" s="3" t="n"/>
      <c r="AC245" s="3" t="n"/>
      <c r="AD245" s="3">
        <f>IF($C245="",0,SUMPRODUCT((AY_SONU!$O$7:$O$42="Evet")*(AY_SONU!$B$7:$B$42=DATE(YEAR($C245),MONTH($C245),1))))</f>
        <v/>
      </c>
    </row>
    <row r="246">
      <c r="A246" s="6" t="n"/>
      <c r="B246" s="113">
        <f>IF($C246="","","GG"&amp;TEXT(ROW()-6,"00000"))</f>
        <v/>
      </c>
      <c r="C246" s="220" t="n"/>
      <c r="D246" s="108" t="n"/>
      <c r="E246" s="109" t="n"/>
      <c r="F246" s="109" t="n"/>
      <c r="G246" s="221" t="n"/>
      <c r="H246" s="108" t="n"/>
      <c r="I246" s="108" t="n"/>
      <c r="J246" s="109" t="n"/>
      <c r="K246" s="109" t="n"/>
      <c r="L246" s="108" t="n"/>
      <c r="M246" s="121">
        <f>IF($C246="","",IF($D246="Gider",$E246,IF($L246&lt;&gt;"",$L246,$H246)))</f>
        <v/>
      </c>
      <c r="N246" s="121">
        <f>IF($C246="","",IF($D246="Gider",$H246,$E246))</f>
        <v/>
      </c>
      <c r="O246" s="226">
        <f>IF($C246="","",DATE(YEAR($C246),MONTH($C246),1))</f>
        <v/>
      </c>
      <c r="P246" s="113">
        <f>IF($C246="","",IF(AND($D246="Gelir",$L246&lt;&gt;"",$T246=""),"TANIMSIZ BORÇLU",IF($T246&lt;&gt;"",IF(OR($E246="",$G246&lt;=0),"EKSİK",IF($I246="Evet","TAHAKKUK NAKİT OLAMAZ",IF($C246&gt;TODAY(),"İLERİ TARİH","TAHAKKUK"))),IF(AND($D246&lt;&gt;"",$E246&lt;&gt;"",$G246&gt;0,$H246&lt;&gt;"",$I246&lt;&gt;""),IF($C246&gt;TODAY(),"İLERİ TARİH",IF(COUNTIF($W$7:$W$1206,$W246)&gt;1,"MÜKERRER?",IF($AD246&gt;0,"KAPALI DÖNEM",IF($I246="Hayır","ÖDENECEK","UYGUN")))),"EKSİK"))))</f>
        <v/>
      </c>
      <c r="Q246" s="6" t="n"/>
      <c r="R246" s="6" t="n"/>
      <c r="S246" s="3">
        <f>IF($L246="","",UPPER(SUBSTITUTE(SUBSTITUTE(SUBSTITUTE(SUBSTITUTE(SUBSTITUTE(SUBSTITUTE(SUBSTITUTE(SUBSTITUTE(SUBSTITUTE(SUBSTITUTE(SUBSTITUTE(SUBSTITUTE(SUBSTITUTE(SUBSTITUTE(SUBSTITUTE(SUBSTITUTE(SUBSTITUTE(SUBSTITUTE(TRIM($L246),"'",""),"İ","I"),"ı","I"),"i","I"),"Ş","S"),"ş","S"),"Ğ","G"),"ğ","G"),"Ü","U"),"ü","U"),"Ö","O"),"ö","O"),"Ç","C"),"ç","C"),".",""),",","")," ",""),"-","")))</f>
        <v/>
      </c>
      <c r="T246" s="3">
        <f>IF(OR($C246="",$D246&lt;&gt;"Gelir",$L246=""),"",IFERROR(INDEX(MUSTERILER!$B$7:$B$106,MATCH($S246,MUSTERILER!$T$7:$T$106,0)),""))</f>
        <v/>
      </c>
      <c r="U246" s="3">
        <f>IF($T246="","",$T246&amp;"|"&amp;COUNTIFS($T$7:$T246,$T246))</f>
        <v/>
      </c>
      <c r="V246" s="3">
        <f>IF($T246="",0,1)</f>
        <v/>
      </c>
      <c r="W246" s="3">
        <f>IF($C246="","",$D246&amp;"|"&amp;$E246&amp;"|"&amp;TEXT($C246,"0")&amp;"|"&amp;TEXT($G246,"0")&amp;"|"&amp;$J246)</f>
        <v/>
      </c>
      <c r="X246" s="3" t="n"/>
      <c r="Y246" s="3" t="n"/>
      <c r="Z246" s="3" t="n"/>
      <c r="AA246" s="3" t="n"/>
      <c r="AB246" s="3" t="n"/>
      <c r="AC246" s="3" t="n"/>
      <c r="AD246" s="3">
        <f>IF($C246="",0,SUMPRODUCT((AY_SONU!$O$7:$O$42="Evet")*(AY_SONU!$B$7:$B$42=DATE(YEAR($C246),MONTH($C246),1))))</f>
        <v/>
      </c>
    </row>
    <row r="247">
      <c r="A247" s="6" t="n"/>
      <c r="B247" s="113">
        <f>IF($C247="","","GG"&amp;TEXT(ROW()-6,"00000"))</f>
        <v/>
      </c>
      <c r="C247" s="220" t="n"/>
      <c r="D247" s="108" t="n"/>
      <c r="E247" s="109" t="n"/>
      <c r="F247" s="109" t="n"/>
      <c r="G247" s="221" t="n"/>
      <c r="H247" s="108" t="n"/>
      <c r="I247" s="108" t="n"/>
      <c r="J247" s="109" t="n"/>
      <c r="K247" s="109" t="n"/>
      <c r="L247" s="108" t="n"/>
      <c r="M247" s="121">
        <f>IF($C247="","",IF($D247="Gider",$E247,IF($L247&lt;&gt;"",$L247,$H247)))</f>
        <v/>
      </c>
      <c r="N247" s="121">
        <f>IF($C247="","",IF($D247="Gider",$H247,$E247))</f>
        <v/>
      </c>
      <c r="O247" s="226">
        <f>IF($C247="","",DATE(YEAR($C247),MONTH($C247),1))</f>
        <v/>
      </c>
      <c r="P247" s="113">
        <f>IF($C247="","",IF(AND($D247="Gelir",$L247&lt;&gt;"",$T247=""),"TANIMSIZ BORÇLU",IF($T247&lt;&gt;"",IF(OR($E247="",$G247&lt;=0),"EKSİK",IF($I247="Evet","TAHAKKUK NAKİT OLAMAZ",IF($C247&gt;TODAY(),"İLERİ TARİH","TAHAKKUK"))),IF(AND($D247&lt;&gt;"",$E247&lt;&gt;"",$G247&gt;0,$H247&lt;&gt;"",$I247&lt;&gt;""),IF($C247&gt;TODAY(),"İLERİ TARİH",IF(COUNTIF($W$7:$W$1206,$W247)&gt;1,"MÜKERRER?",IF($AD247&gt;0,"KAPALI DÖNEM",IF($I247="Hayır","ÖDENECEK","UYGUN")))),"EKSİK"))))</f>
        <v/>
      </c>
      <c r="Q247" s="6" t="n"/>
      <c r="R247" s="6" t="n"/>
      <c r="S247" s="3">
        <f>IF($L247="","",UPPER(SUBSTITUTE(SUBSTITUTE(SUBSTITUTE(SUBSTITUTE(SUBSTITUTE(SUBSTITUTE(SUBSTITUTE(SUBSTITUTE(SUBSTITUTE(SUBSTITUTE(SUBSTITUTE(SUBSTITUTE(SUBSTITUTE(SUBSTITUTE(SUBSTITUTE(SUBSTITUTE(SUBSTITUTE(SUBSTITUTE(TRIM($L247),"'",""),"İ","I"),"ı","I"),"i","I"),"Ş","S"),"ş","S"),"Ğ","G"),"ğ","G"),"Ü","U"),"ü","U"),"Ö","O"),"ö","O"),"Ç","C"),"ç","C"),".",""),",","")," ",""),"-","")))</f>
        <v/>
      </c>
      <c r="T247" s="3">
        <f>IF(OR($C247="",$D247&lt;&gt;"Gelir",$L247=""),"",IFERROR(INDEX(MUSTERILER!$B$7:$B$106,MATCH($S247,MUSTERILER!$T$7:$T$106,0)),""))</f>
        <v/>
      </c>
      <c r="U247" s="3">
        <f>IF($T247="","",$T247&amp;"|"&amp;COUNTIFS($T$7:$T247,$T247))</f>
        <v/>
      </c>
      <c r="V247" s="3">
        <f>IF($T247="",0,1)</f>
        <v/>
      </c>
      <c r="W247" s="3">
        <f>IF($C247="","",$D247&amp;"|"&amp;$E247&amp;"|"&amp;TEXT($C247,"0")&amp;"|"&amp;TEXT($G247,"0")&amp;"|"&amp;$J247)</f>
        <v/>
      </c>
      <c r="X247" s="3" t="n"/>
      <c r="Y247" s="3" t="n"/>
      <c r="Z247" s="3" t="n"/>
      <c r="AA247" s="3" t="n"/>
      <c r="AB247" s="3" t="n"/>
      <c r="AC247" s="3" t="n"/>
      <c r="AD247" s="3">
        <f>IF($C247="",0,SUMPRODUCT((AY_SONU!$O$7:$O$42="Evet")*(AY_SONU!$B$7:$B$42=DATE(YEAR($C247),MONTH($C247),1))))</f>
        <v/>
      </c>
    </row>
    <row r="248">
      <c r="A248" s="6" t="n"/>
      <c r="B248" s="113">
        <f>IF($C248="","","GG"&amp;TEXT(ROW()-6,"00000"))</f>
        <v/>
      </c>
      <c r="C248" s="220" t="n"/>
      <c r="D248" s="108" t="n"/>
      <c r="E248" s="109" t="n"/>
      <c r="F248" s="109" t="n"/>
      <c r="G248" s="221" t="n"/>
      <c r="H248" s="108" t="n"/>
      <c r="I248" s="108" t="n"/>
      <c r="J248" s="109" t="n"/>
      <c r="K248" s="109" t="n"/>
      <c r="L248" s="108" t="n"/>
      <c r="M248" s="121">
        <f>IF($C248="","",IF($D248="Gider",$E248,IF($L248&lt;&gt;"",$L248,$H248)))</f>
        <v/>
      </c>
      <c r="N248" s="121">
        <f>IF($C248="","",IF($D248="Gider",$H248,$E248))</f>
        <v/>
      </c>
      <c r="O248" s="226">
        <f>IF($C248="","",DATE(YEAR($C248),MONTH($C248),1))</f>
        <v/>
      </c>
      <c r="P248" s="113">
        <f>IF($C248="","",IF(AND($D248="Gelir",$L248&lt;&gt;"",$T248=""),"TANIMSIZ BORÇLU",IF($T248&lt;&gt;"",IF(OR($E248="",$G248&lt;=0),"EKSİK",IF($I248="Evet","TAHAKKUK NAKİT OLAMAZ",IF($C248&gt;TODAY(),"İLERİ TARİH","TAHAKKUK"))),IF(AND($D248&lt;&gt;"",$E248&lt;&gt;"",$G248&gt;0,$H248&lt;&gt;"",$I248&lt;&gt;""),IF($C248&gt;TODAY(),"İLERİ TARİH",IF(COUNTIF($W$7:$W$1206,$W248)&gt;1,"MÜKERRER?",IF($AD248&gt;0,"KAPALI DÖNEM",IF($I248="Hayır","ÖDENECEK","UYGUN")))),"EKSİK"))))</f>
        <v/>
      </c>
      <c r="Q248" s="6" t="n"/>
      <c r="R248" s="6" t="n"/>
      <c r="S248" s="3">
        <f>IF($L248="","",UPPER(SUBSTITUTE(SUBSTITUTE(SUBSTITUTE(SUBSTITUTE(SUBSTITUTE(SUBSTITUTE(SUBSTITUTE(SUBSTITUTE(SUBSTITUTE(SUBSTITUTE(SUBSTITUTE(SUBSTITUTE(SUBSTITUTE(SUBSTITUTE(SUBSTITUTE(SUBSTITUTE(SUBSTITUTE(SUBSTITUTE(TRIM($L248),"'",""),"İ","I"),"ı","I"),"i","I"),"Ş","S"),"ş","S"),"Ğ","G"),"ğ","G"),"Ü","U"),"ü","U"),"Ö","O"),"ö","O"),"Ç","C"),"ç","C"),".",""),",","")," ",""),"-","")))</f>
        <v/>
      </c>
      <c r="T248" s="3">
        <f>IF(OR($C248="",$D248&lt;&gt;"Gelir",$L248=""),"",IFERROR(INDEX(MUSTERILER!$B$7:$B$106,MATCH($S248,MUSTERILER!$T$7:$T$106,0)),""))</f>
        <v/>
      </c>
      <c r="U248" s="3">
        <f>IF($T248="","",$T248&amp;"|"&amp;COUNTIFS($T$7:$T248,$T248))</f>
        <v/>
      </c>
      <c r="V248" s="3">
        <f>IF($T248="",0,1)</f>
        <v/>
      </c>
      <c r="W248" s="3">
        <f>IF($C248="","",$D248&amp;"|"&amp;$E248&amp;"|"&amp;TEXT($C248,"0")&amp;"|"&amp;TEXT($G248,"0")&amp;"|"&amp;$J248)</f>
        <v/>
      </c>
      <c r="X248" s="3" t="n"/>
      <c r="Y248" s="3" t="n"/>
      <c r="Z248" s="3" t="n"/>
      <c r="AA248" s="3" t="n"/>
      <c r="AB248" s="3" t="n"/>
      <c r="AC248" s="3" t="n"/>
      <c r="AD248" s="3">
        <f>IF($C248="",0,SUMPRODUCT((AY_SONU!$O$7:$O$42="Evet")*(AY_SONU!$B$7:$B$42=DATE(YEAR($C248),MONTH($C248),1))))</f>
        <v/>
      </c>
    </row>
    <row r="249">
      <c r="A249" s="6" t="n"/>
      <c r="B249" s="113">
        <f>IF($C249="","","GG"&amp;TEXT(ROW()-6,"00000"))</f>
        <v/>
      </c>
      <c r="C249" s="220" t="n"/>
      <c r="D249" s="108" t="n"/>
      <c r="E249" s="109" t="n"/>
      <c r="F249" s="109" t="n"/>
      <c r="G249" s="221" t="n"/>
      <c r="H249" s="108" t="n"/>
      <c r="I249" s="108" t="n"/>
      <c r="J249" s="109" t="n"/>
      <c r="K249" s="109" t="n"/>
      <c r="L249" s="108" t="n"/>
      <c r="M249" s="121">
        <f>IF($C249="","",IF($D249="Gider",$E249,IF($L249&lt;&gt;"",$L249,$H249)))</f>
        <v/>
      </c>
      <c r="N249" s="121">
        <f>IF($C249="","",IF($D249="Gider",$H249,$E249))</f>
        <v/>
      </c>
      <c r="O249" s="226">
        <f>IF($C249="","",DATE(YEAR($C249),MONTH($C249),1))</f>
        <v/>
      </c>
      <c r="P249" s="113">
        <f>IF($C249="","",IF(AND($D249="Gelir",$L249&lt;&gt;"",$T249=""),"TANIMSIZ BORÇLU",IF($T249&lt;&gt;"",IF(OR($E249="",$G249&lt;=0),"EKSİK",IF($I249="Evet","TAHAKKUK NAKİT OLAMAZ",IF($C249&gt;TODAY(),"İLERİ TARİH","TAHAKKUK"))),IF(AND($D249&lt;&gt;"",$E249&lt;&gt;"",$G249&gt;0,$H249&lt;&gt;"",$I249&lt;&gt;""),IF($C249&gt;TODAY(),"İLERİ TARİH",IF(COUNTIF($W$7:$W$1206,$W249)&gt;1,"MÜKERRER?",IF($AD249&gt;0,"KAPALI DÖNEM",IF($I249="Hayır","ÖDENECEK","UYGUN")))),"EKSİK"))))</f>
        <v/>
      </c>
      <c r="Q249" s="6" t="n"/>
      <c r="R249" s="6" t="n"/>
      <c r="S249" s="3">
        <f>IF($L249="","",UPPER(SUBSTITUTE(SUBSTITUTE(SUBSTITUTE(SUBSTITUTE(SUBSTITUTE(SUBSTITUTE(SUBSTITUTE(SUBSTITUTE(SUBSTITUTE(SUBSTITUTE(SUBSTITUTE(SUBSTITUTE(SUBSTITUTE(SUBSTITUTE(SUBSTITUTE(SUBSTITUTE(SUBSTITUTE(SUBSTITUTE(TRIM($L249),"'",""),"İ","I"),"ı","I"),"i","I"),"Ş","S"),"ş","S"),"Ğ","G"),"ğ","G"),"Ü","U"),"ü","U"),"Ö","O"),"ö","O"),"Ç","C"),"ç","C"),".",""),",","")," ",""),"-","")))</f>
        <v/>
      </c>
      <c r="T249" s="3">
        <f>IF(OR($C249="",$D249&lt;&gt;"Gelir",$L249=""),"",IFERROR(INDEX(MUSTERILER!$B$7:$B$106,MATCH($S249,MUSTERILER!$T$7:$T$106,0)),""))</f>
        <v/>
      </c>
      <c r="U249" s="3">
        <f>IF($T249="","",$T249&amp;"|"&amp;COUNTIFS($T$7:$T249,$T249))</f>
        <v/>
      </c>
      <c r="V249" s="3">
        <f>IF($T249="",0,1)</f>
        <v/>
      </c>
      <c r="W249" s="3">
        <f>IF($C249="","",$D249&amp;"|"&amp;$E249&amp;"|"&amp;TEXT($C249,"0")&amp;"|"&amp;TEXT($G249,"0")&amp;"|"&amp;$J249)</f>
        <v/>
      </c>
      <c r="X249" s="3" t="n"/>
      <c r="Y249" s="3" t="n"/>
      <c r="Z249" s="3" t="n"/>
      <c r="AA249" s="3" t="n"/>
      <c r="AB249" s="3" t="n"/>
      <c r="AC249" s="3" t="n"/>
      <c r="AD249" s="3">
        <f>IF($C249="",0,SUMPRODUCT((AY_SONU!$O$7:$O$42="Evet")*(AY_SONU!$B$7:$B$42=DATE(YEAR($C249),MONTH($C249),1))))</f>
        <v/>
      </c>
    </row>
    <row r="250">
      <c r="A250" s="6" t="n"/>
      <c r="B250" s="113">
        <f>IF($C250="","","GG"&amp;TEXT(ROW()-6,"00000"))</f>
        <v/>
      </c>
      <c r="C250" s="220" t="n"/>
      <c r="D250" s="108" t="n"/>
      <c r="E250" s="109" t="n"/>
      <c r="F250" s="109" t="n"/>
      <c r="G250" s="221" t="n"/>
      <c r="H250" s="108" t="n"/>
      <c r="I250" s="108" t="n"/>
      <c r="J250" s="109" t="n"/>
      <c r="K250" s="109" t="n"/>
      <c r="L250" s="108" t="n"/>
      <c r="M250" s="121">
        <f>IF($C250="","",IF($D250="Gider",$E250,IF($L250&lt;&gt;"",$L250,$H250)))</f>
        <v/>
      </c>
      <c r="N250" s="121">
        <f>IF($C250="","",IF($D250="Gider",$H250,$E250))</f>
        <v/>
      </c>
      <c r="O250" s="226">
        <f>IF($C250="","",DATE(YEAR($C250),MONTH($C250),1))</f>
        <v/>
      </c>
      <c r="P250" s="113">
        <f>IF($C250="","",IF(AND($D250="Gelir",$L250&lt;&gt;"",$T250=""),"TANIMSIZ BORÇLU",IF($T250&lt;&gt;"",IF(OR($E250="",$G250&lt;=0),"EKSİK",IF($I250="Evet","TAHAKKUK NAKİT OLAMAZ",IF($C250&gt;TODAY(),"İLERİ TARİH","TAHAKKUK"))),IF(AND($D250&lt;&gt;"",$E250&lt;&gt;"",$G250&gt;0,$H250&lt;&gt;"",$I250&lt;&gt;""),IF($C250&gt;TODAY(),"İLERİ TARİH",IF(COUNTIF($W$7:$W$1206,$W250)&gt;1,"MÜKERRER?",IF($AD250&gt;0,"KAPALI DÖNEM",IF($I250="Hayır","ÖDENECEK","UYGUN")))),"EKSİK"))))</f>
        <v/>
      </c>
      <c r="Q250" s="6" t="n"/>
      <c r="R250" s="6" t="n"/>
      <c r="S250" s="3">
        <f>IF($L250="","",UPPER(SUBSTITUTE(SUBSTITUTE(SUBSTITUTE(SUBSTITUTE(SUBSTITUTE(SUBSTITUTE(SUBSTITUTE(SUBSTITUTE(SUBSTITUTE(SUBSTITUTE(SUBSTITUTE(SUBSTITUTE(SUBSTITUTE(SUBSTITUTE(SUBSTITUTE(SUBSTITUTE(SUBSTITUTE(SUBSTITUTE(TRIM($L250),"'",""),"İ","I"),"ı","I"),"i","I"),"Ş","S"),"ş","S"),"Ğ","G"),"ğ","G"),"Ü","U"),"ü","U"),"Ö","O"),"ö","O"),"Ç","C"),"ç","C"),".",""),",","")," ",""),"-","")))</f>
        <v/>
      </c>
      <c r="T250" s="3">
        <f>IF(OR($C250="",$D250&lt;&gt;"Gelir",$L250=""),"",IFERROR(INDEX(MUSTERILER!$B$7:$B$106,MATCH($S250,MUSTERILER!$T$7:$T$106,0)),""))</f>
        <v/>
      </c>
      <c r="U250" s="3">
        <f>IF($T250="","",$T250&amp;"|"&amp;COUNTIFS($T$7:$T250,$T250))</f>
        <v/>
      </c>
      <c r="V250" s="3">
        <f>IF($T250="",0,1)</f>
        <v/>
      </c>
      <c r="W250" s="3">
        <f>IF($C250="","",$D250&amp;"|"&amp;$E250&amp;"|"&amp;TEXT($C250,"0")&amp;"|"&amp;TEXT($G250,"0")&amp;"|"&amp;$J250)</f>
        <v/>
      </c>
      <c r="X250" s="3" t="n"/>
      <c r="Y250" s="3" t="n"/>
      <c r="Z250" s="3" t="n"/>
      <c r="AA250" s="3" t="n"/>
      <c r="AB250" s="3" t="n"/>
      <c r="AC250" s="3" t="n"/>
      <c r="AD250" s="3">
        <f>IF($C250="",0,SUMPRODUCT((AY_SONU!$O$7:$O$42="Evet")*(AY_SONU!$B$7:$B$42=DATE(YEAR($C250),MONTH($C250),1))))</f>
        <v/>
      </c>
    </row>
    <row r="251">
      <c r="A251" s="6" t="n"/>
      <c r="B251" s="113">
        <f>IF($C251="","","GG"&amp;TEXT(ROW()-6,"00000"))</f>
        <v/>
      </c>
      <c r="C251" s="220" t="n"/>
      <c r="D251" s="108" t="n"/>
      <c r="E251" s="109" t="n"/>
      <c r="F251" s="109" t="n"/>
      <c r="G251" s="221" t="n"/>
      <c r="H251" s="108" t="n"/>
      <c r="I251" s="108" t="n"/>
      <c r="J251" s="109" t="n"/>
      <c r="K251" s="109" t="n"/>
      <c r="L251" s="108" t="n"/>
      <c r="M251" s="121">
        <f>IF($C251="","",IF($D251="Gider",$E251,IF($L251&lt;&gt;"",$L251,$H251)))</f>
        <v/>
      </c>
      <c r="N251" s="121">
        <f>IF($C251="","",IF($D251="Gider",$H251,$E251))</f>
        <v/>
      </c>
      <c r="O251" s="226">
        <f>IF($C251="","",DATE(YEAR($C251),MONTH($C251),1))</f>
        <v/>
      </c>
      <c r="P251" s="113">
        <f>IF($C251="","",IF(AND($D251="Gelir",$L251&lt;&gt;"",$T251=""),"TANIMSIZ BORÇLU",IF($T251&lt;&gt;"",IF(OR($E251="",$G251&lt;=0),"EKSİK",IF($I251="Evet","TAHAKKUK NAKİT OLAMAZ",IF($C251&gt;TODAY(),"İLERİ TARİH","TAHAKKUK"))),IF(AND($D251&lt;&gt;"",$E251&lt;&gt;"",$G251&gt;0,$H251&lt;&gt;"",$I251&lt;&gt;""),IF($C251&gt;TODAY(),"İLERİ TARİH",IF(COUNTIF($W$7:$W$1206,$W251)&gt;1,"MÜKERRER?",IF($AD251&gt;0,"KAPALI DÖNEM",IF($I251="Hayır","ÖDENECEK","UYGUN")))),"EKSİK"))))</f>
        <v/>
      </c>
      <c r="Q251" s="6" t="n"/>
      <c r="R251" s="6" t="n"/>
      <c r="S251" s="3">
        <f>IF($L251="","",UPPER(SUBSTITUTE(SUBSTITUTE(SUBSTITUTE(SUBSTITUTE(SUBSTITUTE(SUBSTITUTE(SUBSTITUTE(SUBSTITUTE(SUBSTITUTE(SUBSTITUTE(SUBSTITUTE(SUBSTITUTE(SUBSTITUTE(SUBSTITUTE(SUBSTITUTE(SUBSTITUTE(SUBSTITUTE(SUBSTITUTE(TRIM($L251),"'",""),"İ","I"),"ı","I"),"i","I"),"Ş","S"),"ş","S"),"Ğ","G"),"ğ","G"),"Ü","U"),"ü","U"),"Ö","O"),"ö","O"),"Ç","C"),"ç","C"),".",""),",","")," ",""),"-","")))</f>
        <v/>
      </c>
      <c r="T251" s="3">
        <f>IF(OR($C251="",$D251&lt;&gt;"Gelir",$L251=""),"",IFERROR(INDEX(MUSTERILER!$B$7:$B$106,MATCH($S251,MUSTERILER!$T$7:$T$106,0)),""))</f>
        <v/>
      </c>
      <c r="U251" s="3">
        <f>IF($T251="","",$T251&amp;"|"&amp;COUNTIFS($T$7:$T251,$T251))</f>
        <v/>
      </c>
      <c r="V251" s="3">
        <f>IF($T251="",0,1)</f>
        <v/>
      </c>
      <c r="W251" s="3">
        <f>IF($C251="","",$D251&amp;"|"&amp;$E251&amp;"|"&amp;TEXT($C251,"0")&amp;"|"&amp;TEXT($G251,"0")&amp;"|"&amp;$J251)</f>
        <v/>
      </c>
      <c r="X251" s="3" t="n"/>
      <c r="Y251" s="3" t="n"/>
      <c r="Z251" s="3" t="n"/>
      <c r="AA251" s="3" t="n"/>
      <c r="AB251" s="3" t="n"/>
      <c r="AC251" s="3" t="n"/>
      <c r="AD251" s="3">
        <f>IF($C251="",0,SUMPRODUCT((AY_SONU!$O$7:$O$42="Evet")*(AY_SONU!$B$7:$B$42=DATE(YEAR($C251),MONTH($C251),1))))</f>
        <v/>
      </c>
    </row>
    <row r="252">
      <c r="A252" s="6" t="n"/>
      <c r="B252" s="113">
        <f>IF($C252="","","GG"&amp;TEXT(ROW()-6,"00000"))</f>
        <v/>
      </c>
      <c r="C252" s="220" t="n"/>
      <c r="D252" s="108" t="n"/>
      <c r="E252" s="109" t="n"/>
      <c r="F252" s="109" t="n"/>
      <c r="G252" s="221" t="n"/>
      <c r="H252" s="108" t="n"/>
      <c r="I252" s="108" t="n"/>
      <c r="J252" s="109" t="n"/>
      <c r="K252" s="109" t="n"/>
      <c r="L252" s="108" t="n"/>
      <c r="M252" s="121">
        <f>IF($C252="","",IF($D252="Gider",$E252,IF($L252&lt;&gt;"",$L252,$H252)))</f>
        <v/>
      </c>
      <c r="N252" s="121">
        <f>IF($C252="","",IF($D252="Gider",$H252,$E252))</f>
        <v/>
      </c>
      <c r="O252" s="226">
        <f>IF($C252="","",DATE(YEAR($C252),MONTH($C252),1))</f>
        <v/>
      </c>
      <c r="P252" s="113">
        <f>IF($C252="","",IF(AND($D252="Gelir",$L252&lt;&gt;"",$T252=""),"TANIMSIZ BORÇLU",IF($T252&lt;&gt;"",IF(OR($E252="",$G252&lt;=0),"EKSİK",IF($I252="Evet","TAHAKKUK NAKİT OLAMAZ",IF($C252&gt;TODAY(),"İLERİ TARİH","TAHAKKUK"))),IF(AND($D252&lt;&gt;"",$E252&lt;&gt;"",$G252&gt;0,$H252&lt;&gt;"",$I252&lt;&gt;""),IF($C252&gt;TODAY(),"İLERİ TARİH",IF(COUNTIF($W$7:$W$1206,$W252)&gt;1,"MÜKERRER?",IF($AD252&gt;0,"KAPALI DÖNEM",IF($I252="Hayır","ÖDENECEK","UYGUN")))),"EKSİK"))))</f>
        <v/>
      </c>
      <c r="Q252" s="6" t="n"/>
      <c r="R252" s="6" t="n"/>
      <c r="S252" s="3">
        <f>IF($L252="","",UPPER(SUBSTITUTE(SUBSTITUTE(SUBSTITUTE(SUBSTITUTE(SUBSTITUTE(SUBSTITUTE(SUBSTITUTE(SUBSTITUTE(SUBSTITUTE(SUBSTITUTE(SUBSTITUTE(SUBSTITUTE(SUBSTITUTE(SUBSTITUTE(SUBSTITUTE(SUBSTITUTE(SUBSTITUTE(SUBSTITUTE(TRIM($L252),"'",""),"İ","I"),"ı","I"),"i","I"),"Ş","S"),"ş","S"),"Ğ","G"),"ğ","G"),"Ü","U"),"ü","U"),"Ö","O"),"ö","O"),"Ç","C"),"ç","C"),".",""),",","")," ",""),"-","")))</f>
        <v/>
      </c>
      <c r="T252" s="3">
        <f>IF(OR($C252="",$D252&lt;&gt;"Gelir",$L252=""),"",IFERROR(INDEX(MUSTERILER!$B$7:$B$106,MATCH($S252,MUSTERILER!$T$7:$T$106,0)),""))</f>
        <v/>
      </c>
      <c r="U252" s="3">
        <f>IF($T252="","",$T252&amp;"|"&amp;COUNTIFS($T$7:$T252,$T252))</f>
        <v/>
      </c>
      <c r="V252" s="3">
        <f>IF($T252="",0,1)</f>
        <v/>
      </c>
      <c r="W252" s="3">
        <f>IF($C252="","",$D252&amp;"|"&amp;$E252&amp;"|"&amp;TEXT($C252,"0")&amp;"|"&amp;TEXT($G252,"0")&amp;"|"&amp;$J252)</f>
        <v/>
      </c>
      <c r="X252" s="3" t="n"/>
      <c r="Y252" s="3" t="n"/>
      <c r="Z252" s="3" t="n"/>
      <c r="AA252" s="3" t="n"/>
      <c r="AB252" s="3" t="n"/>
      <c r="AC252" s="3" t="n"/>
      <c r="AD252" s="3">
        <f>IF($C252="",0,SUMPRODUCT((AY_SONU!$O$7:$O$42="Evet")*(AY_SONU!$B$7:$B$42=DATE(YEAR($C252),MONTH($C252),1))))</f>
        <v/>
      </c>
    </row>
    <row r="253">
      <c r="A253" s="6" t="n"/>
      <c r="B253" s="113">
        <f>IF($C253="","","GG"&amp;TEXT(ROW()-6,"00000"))</f>
        <v/>
      </c>
      <c r="C253" s="220" t="n"/>
      <c r="D253" s="108" t="n"/>
      <c r="E253" s="109" t="n"/>
      <c r="F253" s="109" t="n"/>
      <c r="G253" s="221" t="n"/>
      <c r="H253" s="108" t="n"/>
      <c r="I253" s="108" t="n"/>
      <c r="J253" s="109" t="n"/>
      <c r="K253" s="109" t="n"/>
      <c r="L253" s="108" t="n"/>
      <c r="M253" s="121">
        <f>IF($C253="","",IF($D253="Gider",$E253,IF($L253&lt;&gt;"",$L253,$H253)))</f>
        <v/>
      </c>
      <c r="N253" s="121">
        <f>IF($C253="","",IF($D253="Gider",$H253,$E253))</f>
        <v/>
      </c>
      <c r="O253" s="226">
        <f>IF($C253="","",DATE(YEAR($C253),MONTH($C253),1))</f>
        <v/>
      </c>
      <c r="P253" s="113">
        <f>IF($C253="","",IF(AND($D253="Gelir",$L253&lt;&gt;"",$T253=""),"TANIMSIZ BORÇLU",IF($T253&lt;&gt;"",IF(OR($E253="",$G253&lt;=0),"EKSİK",IF($I253="Evet","TAHAKKUK NAKİT OLAMAZ",IF($C253&gt;TODAY(),"İLERİ TARİH","TAHAKKUK"))),IF(AND($D253&lt;&gt;"",$E253&lt;&gt;"",$G253&gt;0,$H253&lt;&gt;"",$I253&lt;&gt;""),IF($C253&gt;TODAY(),"İLERİ TARİH",IF(COUNTIF($W$7:$W$1206,$W253)&gt;1,"MÜKERRER?",IF($AD253&gt;0,"KAPALI DÖNEM",IF($I253="Hayır","ÖDENECEK","UYGUN")))),"EKSİK"))))</f>
        <v/>
      </c>
      <c r="Q253" s="6" t="n"/>
      <c r="R253" s="6" t="n"/>
      <c r="S253" s="3">
        <f>IF($L253="","",UPPER(SUBSTITUTE(SUBSTITUTE(SUBSTITUTE(SUBSTITUTE(SUBSTITUTE(SUBSTITUTE(SUBSTITUTE(SUBSTITUTE(SUBSTITUTE(SUBSTITUTE(SUBSTITUTE(SUBSTITUTE(SUBSTITUTE(SUBSTITUTE(SUBSTITUTE(SUBSTITUTE(SUBSTITUTE(SUBSTITUTE(TRIM($L253),"'",""),"İ","I"),"ı","I"),"i","I"),"Ş","S"),"ş","S"),"Ğ","G"),"ğ","G"),"Ü","U"),"ü","U"),"Ö","O"),"ö","O"),"Ç","C"),"ç","C"),".",""),",","")," ",""),"-","")))</f>
        <v/>
      </c>
      <c r="T253" s="3">
        <f>IF(OR($C253="",$D253&lt;&gt;"Gelir",$L253=""),"",IFERROR(INDEX(MUSTERILER!$B$7:$B$106,MATCH($S253,MUSTERILER!$T$7:$T$106,0)),""))</f>
        <v/>
      </c>
      <c r="U253" s="3">
        <f>IF($T253="","",$T253&amp;"|"&amp;COUNTIFS($T$7:$T253,$T253))</f>
        <v/>
      </c>
      <c r="V253" s="3">
        <f>IF($T253="",0,1)</f>
        <v/>
      </c>
      <c r="W253" s="3">
        <f>IF($C253="","",$D253&amp;"|"&amp;$E253&amp;"|"&amp;TEXT($C253,"0")&amp;"|"&amp;TEXT($G253,"0")&amp;"|"&amp;$J253)</f>
        <v/>
      </c>
      <c r="X253" s="3" t="n"/>
      <c r="Y253" s="3" t="n"/>
      <c r="Z253" s="3" t="n"/>
      <c r="AA253" s="3" t="n"/>
      <c r="AB253" s="3" t="n"/>
      <c r="AC253" s="3" t="n"/>
      <c r="AD253" s="3">
        <f>IF($C253="",0,SUMPRODUCT((AY_SONU!$O$7:$O$42="Evet")*(AY_SONU!$B$7:$B$42=DATE(YEAR($C253),MONTH($C253),1))))</f>
        <v/>
      </c>
    </row>
    <row r="254">
      <c r="A254" s="6" t="n"/>
      <c r="B254" s="113">
        <f>IF($C254="","","GG"&amp;TEXT(ROW()-6,"00000"))</f>
        <v/>
      </c>
      <c r="C254" s="220" t="n"/>
      <c r="D254" s="108" t="n"/>
      <c r="E254" s="109" t="n"/>
      <c r="F254" s="109" t="n"/>
      <c r="G254" s="221" t="n"/>
      <c r="H254" s="108" t="n"/>
      <c r="I254" s="108" t="n"/>
      <c r="J254" s="109" t="n"/>
      <c r="K254" s="109" t="n"/>
      <c r="L254" s="108" t="n"/>
      <c r="M254" s="121">
        <f>IF($C254="","",IF($D254="Gider",$E254,IF($L254&lt;&gt;"",$L254,$H254)))</f>
        <v/>
      </c>
      <c r="N254" s="121">
        <f>IF($C254="","",IF($D254="Gider",$H254,$E254))</f>
        <v/>
      </c>
      <c r="O254" s="226">
        <f>IF($C254="","",DATE(YEAR($C254),MONTH($C254),1))</f>
        <v/>
      </c>
      <c r="P254" s="113">
        <f>IF($C254="","",IF(AND($D254="Gelir",$L254&lt;&gt;"",$T254=""),"TANIMSIZ BORÇLU",IF($T254&lt;&gt;"",IF(OR($E254="",$G254&lt;=0),"EKSİK",IF($I254="Evet","TAHAKKUK NAKİT OLAMAZ",IF($C254&gt;TODAY(),"İLERİ TARİH","TAHAKKUK"))),IF(AND($D254&lt;&gt;"",$E254&lt;&gt;"",$G254&gt;0,$H254&lt;&gt;"",$I254&lt;&gt;""),IF($C254&gt;TODAY(),"İLERİ TARİH",IF(COUNTIF($W$7:$W$1206,$W254)&gt;1,"MÜKERRER?",IF($AD254&gt;0,"KAPALI DÖNEM",IF($I254="Hayır","ÖDENECEK","UYGUN")))),"EKSİK"))))</f>
        <v/>
      </c>
      <c r="Q254" s="6" t="n"/>
      <c r="R254" s="6" t="n"/>
      <c r="S254" s="3">
        <f>IF($L254="","",UPPER(SUBSTITUTE(SUBSTITUTE(SUBSTITUTE(SUBSTITUTE(SUBSTITUTE(SUBSTITUTE(SUBSTITUTE(SUBSTITUTE(SUBSTITUTE(SUBSTITUTE(SUBSTITUTE(SUBSTITUTE(SUBSTITUTE(SUBSTITUTE(SUBSTITUTE(SUBSTITUTE(SUBSTITUTE(SUBSTITUTE(TRIM($L254),"'",""),"İ","I"),"ı","I"),"i","I"),"Ş","S"),"ş","S"),"Ğ","G"),"ğ","G"),"Ü","U"),"ü","U"),"Ö","O"),"ö","O"),"Ç","C"),"ç","C"),".",""),",","")," ",""),"-","")))</f>
        <v/>
      </c>
      <c r="T254" s="3">
        <f>IF(OR($C254="",$D254&lt;&gt;"Gelir",$L254=""),"",IFERROR(INDEX(MUSTERILER!$B$7:$B$106,MATCH($S254,MUSTERILER!$T$7:$T$106,0)),""))</f>
        <v/>
      </c>
      <c r="U254" s="3">
        <f>IF($T254="","",$T254&amp;"|"&amp;COUNTIFS($T$7:$T254,$T254))</f>
        <v/>
      </c>
      <c r="V254" s="3">
        <f>IF($T254="",0,1)</f>
        <v/>
      </c>
      <c r="W254" s="3">
        <f>IF($C254="","",$D254&amp;"|"&amp;$E254&amp;"|"&amp;TEXT($C254,"0")&amp;"|"&amp;TEXT($G254,"0")&amp;"|"&amp;$J254)</f>
        <v/>
      </c>
      <c r="X254" s="3" t="n"/>
      <c r="Y254" s="3" t="n"/>
      <c r="Z254" s="3" t="n"/>
      <c r="AA254" s="3" t="n"/>
      <c r="AB254" s="3" t="n"/>
      <c r="AC254" s="3" t="n"/>
      <c r="AD254" s="3">
        <f>IF($C254="",0,SUMPRODUCT((AY_SONU!$O$7:$O$42="Evet")*(AY_SONU!$B$7:$B$42=DATE(YEAR($C254),MONTH($C254),1))))</f>
        <v/>
      </c>
    </row>
    <row r="255">
      <c r="A255" s="6" t="n"/>
      <c r="B255" s="113">
        <f>IF($C255="","","GG"&amp;TEXT(ROW()-6,"00000"))</f>
        <v/>
      </c>
      <c r="C255" s="220" t="n"/>
      <c r="D255" s="108" t="n"/>
      <c r="E255" s="109" t="n"/>
      <c r="F255" s="109" t="n"/>
      <c r="G255" s="221" t="n"/>
      <c r="H255" s="108" t="n"/>
      <c r="I255" s="108" t="n"/>
      <c r="J255" s="109" t="n"/>
      <c r="K255" s="109" t="n"/>
      <c r="L255" s="108" t="n"/>
      <c r="M255" s="121">
        <f>IF($C255="","",IF($D255="Gider",$E255,IF($L255&lt;&gt;"",$L255,$H255)))</f>
        <v/>
      </c>
      <c r="N255" s="121">
        <f>IF($C255="","",IF($D255="Gider",$H255,$E255))</f>
        <v/>
      </c>
      <c r="O255" s="226">
        <f>IF($C255="","",DATE(YEAR($C255),MONTH($C255),1))</f>
        <v/>
      </c>
      <c r="P255" s="113">
        <f>IF($C255="","",IF(AND($D255="Gelir",$L255&lt;&gt;"",$T255=""),"TANIMSIZ BORÇLU",IF($T255&lt;&gt;"",IF(OR($E255="",$G255&lt;=0),"EKSİK",IF($I255="Evet","TAHAKKUK NAKİT OLAMAZ",IF($C255&gt;TODAY(),"İLERİ TARİH","TAHAKKUK"))),IF(AND($D255&lt;&gt;"",$E255&lt;&gt;"",$G255&gt;0,$H255&lt;&gt;"",$I255&lt;&gt;""),IF($C255&gt;TODAY(),"İLERİ TARİH",IF(COUNTIF($W$7:$W$1206,$W255)&gt;1,"MÜKERRER?",IF($AD255&gt;0,"KAPALI DÖNEM",IF($I255="Hayır","ÖDENECEK","UYGUN")))),"EKSİK"))))</f>
        <v/>
      </c>
      <c r="Q255" s="6" t="n"/>
      <c r="R255" s="6" t="n"/>
      <c r="S255" s="3">
        <f>IF($L255="","",UPPER(SUBSTITUTE(SUBSTITUTE(SUBSTITUTE(SUBSTITUTE(SUBSTITUTE(SUBSTITUTE(SUBSTITUTE(SUBSTITUTE(SUBSTITUTE(SUBSTITUTE(SUBSTITUTE(SUBSTITUTE(SUBSTITUTE(SUBSTITUTE(SUBSTITUTE(SUBSTITUTE(SUBSTITUTE(SUBSTITUTE(TRIM($L255),"'",""),"İ","I"),"ı","I"),"i","I"),"Ş","S"),"ş","S"),"Ğ","G"),"ğ","G"),"Ü","U"),"ü","U"),"Ö","O"),"ö","O"),"Ç","C"),"ç","C"),".",""),",","")," ",""),"-","")))</f>
        <v/>
      </c>
      <c r="T255" s="3">
        <f>IF(OR($C255="",$D255&lt;&gt;"Gelir",$L255=""),"",IFERROR(INDEX(MUSTERILER!$B$7:$B$106,MATCH($S255,MUSTERILER!$T$7:$T$106,0)),""))</f>
        <v/>
      </c>
      <c r="U255" s="3">
        <f>IF($T255="","",$T255&amp;"|"&amp;COUNTIFS($T$7:$T255,$T255))</f>
        <v/>
      </c>
      <c r="V255" s="3">
        <f>IF($T255="",0,1)</f>
        <v/>
      </c>
      <c r="W255" s="3">
        <f>IF($C255="","",$D255&amp;"|"&amp;$E255&amp;"|"&amp;TEXT($C255,"0")&amp;"|"&amp;TEXT($G255,"0")&amp;"|"&amp;$J255)</f>
        <v/>
      </c>
      <c r="X255" s="3" t="n"/>
      <c r="Y255" s="3" t="n"/>
      <c r="Z255" s="3" t="n"/>
      <c r="AA255" s="3" t="n"/>
      <c r="AB255" s="3" t="n"/>
      <c r="AC255" s="3" t="n"/>
      <c r="AD255" s="3">
        <f>IF($C255="",0,SUMPRODUCT((AY_SONU!$O$7:$O$42="Evet")*(AY_SONU!$B$7:$B$42=DATE(YEAR($C255),MONTH($C255),1))))</f>
        <v/>
      </c>
    </row>
    <row r="256">
      <c r="A256" s="6" t="n"/>
      <c r="B256" s="113">
        <f>IF($C256="","","GG"&amp;TEXT(ROW()-6,"00000"))</f>
        <v/>
      </c>
      <c r="C256" s="220" t="n"/>
      <c r="D256" s="108" t="n"/>
      <c r="E256" s="109" t="n"/>
      <c r="F256" s="109" t="n"/>
      <c r="G256" s="221" t="n"/>
      <c r="H256" s="108" t="n"/>
      <c r="I256" s="108" t="n"/>
      <c r="J256" s="109" t="n"/>
      <c r="K256" s="109" t="n"/>
      <c r="L256" s="108" t="n"/>
      <c r="M256" s="121">
        <f>IF($C256="","",IF($D256="Gider",$E256,IF($L256&lt;&gt;"",$L256,$H256)))</f>
        <v/>
      </c>
      <c r="N256" s="121">
        <f>IF($C256="","",IF($D256="Gider",$H256,$E256))</f>
        <v/>
      </c>
      <c r="O256" s="226">
        <f>IF($C256="","",DATE(YEAR($C256),MONTH($C256),1))</f>
        <v/>
      </c>
      <c r="P256" s="113">
        <f>IF($C256="","",IF(AND($D256="Gelir",$L256&lt;&gt;"",$T256=""),"TANIMSIZ BORÇLU",IF($T256&lt;&gt;"",IF(OR($E256="",$G256&lt;=0),"EKSİK",IF($I256="Evet","TAHAKKUK NAKİT OLAMAZ",IF($C256&gt;TODAY(),"İLERİ TARİH","TAHAKKUK"))),IF(AND($D256&lt;&gt;"",$E256&lt;&gt;"",$G256&gt;0,$H256&lt;&gt;"",$I256&lt;&gt;""),IF($C256&gt;TODAY(),"İLERİ TARİH",IF(COUNTIF($W$7:$W$1206,$W256)&gt;1,"MÜKERRER?",IF($AD256&gt;0,"KAPALI DÖNEM",IF($I256="Hayır","ÖDENECEK","UYGUN")))),"EKSİK"))))</f>
        <v/>
      </c>
      <c r="Q256" s="6" t="n"/>
      <c r="R256" s="6" t="n"/>
      <c r="S256" s="3">
        <f>IF($L256="","",UPPER(SUBSTITUTE(SUBSTITUTE(SUBSTITUTE(SUBSTITUTE(SUBSTITUTE(SUBSTITUTE(SUBSTITUTE(SUBSTITUTE(SUBSTITUTE(SUBSTITUTE(SUBSTITUTE(SUBSTITUTE(SUBSTITUTE(SUBSTITUTE(SUBSTITUTE(SUBSTITUTE(SUBSTITUTE(SUBSTITUTE(TRIM($L256),"'",""),"İ","I"),"ı","I"),"i","I"),"Ş","S"),"ş","S"),"Ğ","G"),"ğ","G"),"Ü","U"),"ü","U"),"Ö","O"),"ö","O"),"Ç","C"),"ç","C"),".",""),",","")," ",""),"-","")))</f>
        <v/>
      </c>
      <c r="T256" s="3">
        <f>IF(OR($C256="",$D256&lt;&gt;"Gelir",$L256=""),"",IFERROR(INDEX(MUSTERILER!$B$7:$B$106,MATCH($S256,MUSTERILER!$T$7:$T$106,0)),""))</f>
        <v/>
      </c>
      <c r="U256" s="3">
        <f>IF($T256="","",$T256&amp;"|"&amp;COUNTIFS($T$7:$T256,$T256))</f>
        <v/>
      </c>
      <c r="V256" s="3">
        <f>IF($T256="",0,1)</f>
        <v/>
      </c>
      <c r="W256" s="3">
        <f>IF($C256="","",$D256&amp;"|"&amp;$E256&amp;"|"&amp;TEXT($C256,"0")&amp;"|"&amp;TEXT($G256,"0")&amp;"|"&amp;$J256)</f>
        <v/>
      </c>
      <c r="X256" s="3" t="n"/>
      <c r="Y256" s="3" t="n"/>
      <c r="Z256" s="3" t="n"/>
      <c r="AA256" s="3" t="n"/>
      <c r="AB256" s="3" t="n"/>
      <c r="AC256" s="3" t="n"/>
      <c r="AD256" s="3">
        <f>IF($C256="",0,SUMPRODUCT((AY_SONU!$O$7:$O$42="Evet")*(AY_SONU!$B$7:$B$42=DATE(YEAR($C256),MONTH($C256),1))))</f>
        <v/>
      </c>
    </row>
    <row r="257">
      <c r="A257" s="6" t="n"/>
      <c r="B257" s="113">
        <f>IF($C257="","","GG"&amp;TEXT(ROW()-6,"00000"))</f>
        <v/>
      </c>
      <c r="C257" s="220" t="n"/>
      <c r="D257" s="108" t="n"/>
      <c r="E257" s="109" t="n"/>
      <c r="F257" s="109" t="n"/>
      <c r="G257" s="221" t="n"/>
      <c r="H257" s="108" t="n"/>
      <c r="I257" s="108" t="n"/>
      <c r="J257" s="109" t="n"/>
      <c r="K257" s="109" t="n"/>
      <c r="L257" s="108" t="n"/>
      <c r="M257" s="121">
        <f>IF($C257="","",IF($D257="Gider",$E257,IF($L257&lt;&gt;"",$L257,$H257)))</f>
        <v/>
      </c>
      <c r="N257" s="121">
        <f>IF($C257="","",IF($D257="Gider",$H257,$E257))</f>
        <v/>
      </c>
      <c r="O257" s="226">
        <f>IF($C257="","",DATE(YEAR($C257),MONTH($C257),1))</f>
        <v/>
      </c>
      <c r="P257" s="113">
        <f>IF($C257="","",IF(AND($D257="Gelir",$L257&lt;&gt;"",$T257=""),"TANIMSIZ BORÇLU",IF($T257&lt;&gt;"",IF(OR($E257="",$G257&lt;=0),"EKSİK",IF($I257="Evet","TAHAKKUK NAKİT OLAMAZ",IF($C257&gt;TODAY(),"İLERİ TARİH","TAHAKKUK"))),IF(AND($D257&lt;&gt;"",$E257&lt;&gt;"",$G257&gt;0,$H257&lt;&gt;"",$I257&lt;&gt;""),IF($C257&gt;TODAY(),"İLERİ TARİH",IF(COUNTIF($W$7:$W$1206,$W257)&gt;1,"MÜKERRER?",IF($AD257&gt;0,"KAPALI DÖNEM",IF($I257="Hayır","ÖDENECEK","UYGUN")))),"EKSİK"))))</f>
        <v/>
      </c>
      <c r="Q257" s="6" t="n"/>
      <c r="R257" s="6" t="n"/>
      <c r="S257" s="3">
        <f>IF($L257="","",UPPER(SUBSTITUTE(SUBSTITUTE(SUBSTITUTE(SUBSTITUTE(SUBSTITUTE(SUBSTITUTE(SUBSTITUTE(SUBSTITUTE(SUBSTITUTE(SUBSTITUTE(SUBSTITUTE(SUBSTITUTE(SUBSTITUTE(SUBSTITUTE(SUBSTITUTE(SUBSTITUTE(SUBSTITUTE(SUBSTITUTE(TRIM($L257),"'",""),"İ","I"),"ı","I"),"i","I"),"Ş","S"),"ş","S"),"Ğ","G"),"ğ","G"),"Ü","U"),"ü","U"),"Ö","O"),"ö","O"),"Ç","C"),"ç","C"),".",""),",","")," ",""),"-","")))</f>
        <v/>
      </c>
      <c r="T257" s="3">
        <f>IF(OR($C257="",$D257&lt;&gt;"Gelir",$L257=""),"",IFERROR(INDEX(MUSTERILER!$B$7:$B$106,MATCH($S257,MUSTERILER!$T$7:$T$106,0)),""))</f>
        <v/>
      </c>
      <c r="U257" s="3">
        <f>IF($T257="","",$T257&amp;"|"&amp;COUNTIFS($T$7:$T257,$T257))</f>
        <v/>
      </c>
      <c r="V257" s="3">
        <f>IF($T257="",0,1)</f>
        <v/>
      </c>
      <c r="W257" s="3">
        <f>IF($C257="","",$D257&amp;"|"&amp;$E257&amp;"|"&amp;TEXT($C257,"0")&amp;"|"&amp;TEXT($G257,"0")&amp;"|"&amp;$J257)</f>
        <v/>
      </c>
      <c r="X257" s="3" t="n"/>
      <c r="Y257" s="3" t="n"/>
      <c r="Z257" s="3" t="n"/>
      <c r="AA257" s="3" t="n"/>
      <c r="AB257" s="3" t="n"/>
      <c r="AC257" s="3" t="n"/>
      <c r="AD257" s="3">
        <f>IF($C257="",0,SUMPRODUCT((AY_SONU!$O$7:$O$42="Evet")*(AY_SONU!$B$7:$B$42=DATE(YEAR($C257),MONTH($C257),1))))</f>
        <v/>
      </c>
    </row>
    <row r="258">
      <c r="A258" s="6" t="n"/>
      <c r="B258" s="113">
        <f>IF($C258="","","GG"&amp;TEXT(ROW()-6,"00000"))</f>
        <v/>
      </c>
      <c r="C258" s="220" t="n"/>
      <c r="D258" s="108" t="n"/>
      <c r="E258" s="109" t="n"/>
      <c r="F258" s="109" t="n"/>
      <c r="G258" s="221" t="n"/>
      <c r="H258" s="108" t="n"/>
      <c r="I258" s="108" t="n"/>
      <c r="J258" s="109" t="n"/>
      <c r="K258" s="109" t="n"/>
      <c r="L258" s="108" t="n"/>
      <c r="M258" s="121">
        <f>IF($C258="","",IF($D258="Gider",$E258,IF($L258&lt;&gt;"",$L258,$H258)))</f>
        <v/>
      </c>
      <c r="N258" s="121">
        <f>IF($C258="","",IF($D258="Gider",$H258,$E258))</f>
        <v/>
      </c>
      <c r="O258" s="226">
        <f>IF($C258="","",DATE(YEAR($C258),MONTH($C258),1))</f>
        <v/>
      </c>
      <c r="P258" s="113">
        <f>IF($C258="","",IF(AND($D258="Gelir",$L258&lt;&gt;"",$T258=""),"TANIMSIZ BORÇLU",IF($T258&lt;&gt;"",IF(OR($E258="",$G258&lt;=0),"EKSİK",IF($I258="Evet","TAHAKKUK NAKİT OLAMAZ",IF($C258&gt;TODAY(),"İLERİ TARİH","TAHAKKUK"))),IF(AND($D258&lt;&gt;"",$E258&lt;&gt;"",$G258&gt;0,$H258&lt;&gt;"",$I258&lt;&gt;""),IF($C258&gt;TODAY(),"İLERİ TARİH",IF(COUNTIF($W$7:$W$1206,$W258)&gt;1,"MÜKERRER?",IF($AD258&gt;0,"KAPALI DÖNEM",IF($I258="Hayır","ÖDENECEK","UYGUN")))),"EKSİK"))))</f>
        <v/>
      </c>
      <c r="Q258" s="6" t="n"/>
      <c r="R258" s="6" t="n"/>
      <c r="S258" s="3">
        <f>IF($L258="","",UPPER(SUBSTITUTE(SUBSTITUTE(SUBSTITUTE(SUBSTITUTE(SUBSTITUTE(SUBSTITUTE(SUBSTITUTE(SUBSTITUTE(SUBSTITUTE(SUBSTITUTE(SUBSTITUTE(SUBSTITUTE(SUBSTITUTE(SUBSTITUTE(SUBSTITUTE(SUBSTITUTE(SUBSTITUTE(SUBSTITUTE(TRIM($L258),"'",""),"İ","I"),"ı","I"),"i","I"),"Ş","S"),"ş","S"),"Ğ","G"),"ğ","G"),"Ü","U"),"ü","U"),"Ö","O"),"ö","O"),"Ç","C"),"ç","C"),".",""),",","")," ",""),"-","")))</f>
        <v/>
      </c>
      <c r="T258" s="3">
        <f>IF(OR($C258="",$D258&lt;&gt;"Gelir",$L258=""),"",IFERROR(INDEX(MUSTERILER!$B$7:$B$106,MATCH($S258,MUSTERILER!$T$7:$T$106,0)),""))</f>
        <v/>
      </c>
      <c r="U258" s="3">
        <f>IF($T258="","",$T258&amp;"|"&amp;COUNTIFS($T$7:$T258,$T258))</f>
        <v/>
      </c>
      <c r="V258" s="3">
        <f>IF($T258="",0,1)</f>
        <v/>
      </c>
      <c r="W258" s="3">
        <f>IF($C258="","",$D258&amp;"|"&amp;$E258&amp;"|"&amp;TEXT($C258,"0")&amp;"|"&amp;TEXT($G258,"0")&amp;"|"&amp;$J258)</f>
        <v/>
      </c>
      <c r="X258" s="3" t="n"/>
      <c r="Y258" s="3" t="n"/>
      <c r="Z258" s="3" t="n"/>
      <c r="AA258" s="3" t="n"/>
      <c r="AB258" s="3" t="n"/>
      <c r="AC258" s="3" t="n"/>
      <c r="AD258" s="3">
        <f>IF($C258="",0,SUMPRODUCT((AY_SONU!$O$7:$O$42="Evet")*(AY_SONU!$B$7:$B$42=DATE(YEAR($C258),MONTH($C258),1))))</f>
        <v/>
      </c>
    </row>
    <row r="259">
      <c r="A259" s="6" t="n"/>
      <c r="B259" s="113">
        <f>IF($C259="","","GG"&amp;TEXT(ROW()-6,"00000"))</f>
        <v/>
      </c>
      <c r="C259" s="220" t="n"/>
      <c r="D259" s="108" t="n"/>
      <c r="E259" s="109" t="n"/>
      <c r="F259" s="109" t="n"/>
      <c r="G259" s="221" t="n"/>
      <c r="H259" s="108" t="n"/>
      <c r="I259" s="108" t="n"/>
      <c r="J259" s="109" t="n"/>
      <c r="K259" s="109" t="n"/>
      <c r="L259" s="108" t="n"/>
      <c r="M259" s="121">
        <f>IF($C259="","",IF($D259="Gider",$E259,IF($L259&lt;&gt;"",$L259,$H259)))</f>
        <v/>
      </c>
      <c r="N259" s="121">
        <f>IF($C259="","",IF($D259="Gider",$H259,$E259))</f>
        <v/>
      </c>
      <c r="O259" s="226">
        <f>IF($C259="","",DATE(YEAR($C259),MONTH($C259),1))</f>
        <v/>
      </c>
      <c r="P259" s="113">
        <f>IF($C259="","",IF(AND($D259="Gelir",$L259&lt;&gt;"",$T259=""),"TANIMSIZ BORÇLU",IF($T259&lt;&gt;"",IF(OR($E259="",$G259&lt;=0),"EKSİK",IF($I259="Evet","TAHAKKUK NAKİT OLAMAZ",IF($C259&gt;TODAY(),"İLERİ TARİH","TAHAKKUK"))),IF(AND($D259&lt;&gt;"",$E259&lt;&gt;"",$G259&gt;0,$H259&lt;&gt;"",$I259&lt;&gt;""),IF($C259&gt;TODAY(),"İLERİ TARİH",IF(COUNTIF($W$7:$W$1206,$W259)&gt;1,"MÜKERRER?",IF($AD259&gt;0,"KAPALI DÖNEM",IF($I259="Hayır","ÖDENECEK","UYGUN")))),"EKSİK"))))</f>
        <v/>
      </c>
      <c r="Q259" s="6" t="n"/>
      <c r="R259" s="6" t="n"/>
      <c r="S259" s="3">
        <f>IF($L259="","",UPPER(SUBSTITUTE(SUBSTITUTE(SUBSTITUTE(SUBSTITUTE(SUBSTITUTE(SUBSTITUTE(SUBSTITUTE(SUBSTITUTE(SUBSTITUTE(SUBSTITUTE(SUBSTITUTE(SUBSTITUTE(SUBSTITUTE(SUBSTITUTE(SUBSTITUTE(SUBSTITUTE(SUBSTITUTE(SUBSTITUTE(TRIM($L259),"'",""),"İ","I"),"ı","I"),"i","I"),"Ş","S"),"ş","S"),"Ğ","G"),"ğ","G"),"Ü","U"),"ü","U"),"Ö","O"),"ö","O"),"Ç","C"),"ç","C"),".",""),",","")," ",""),"-","")))</f>
        <v/>
      </c>
      <c r="T259" s="3">
        <f>IF(OR($C259="",$D259&lt;&gt;"Gelir",$L259=""),"",IFERROR(INDEX(MUSTERILER!$B$7:$B$106,MATCH($S259,MUSTERILER!$T$7:$T$106,0)),""))</f>
        <v/>
      </c>
      <c r="U259" s="3">
        <f>IF($T259="","",$T259&amp;"|"&amp;COUNTIFS($T$7:$T259,$T259))</f>
        <v/>
      </c>
      <c r="V259" s="3">
        <f>IF($T259="",0,1)</f>
        <v/>
      </c>
      <c r="W259" s="3">
        <f>IF($C259="","",$D259&amp;"|"&amp;$E259&amp;"|"&amp;TEXT($C259,"0")&amp;"|"&amp;TEXT($G259,"0")&amp;"|"&amp;$J259)</f>
        <v/>
      </c>
      <c r="X259" s="3" t="n"/>
      <c r="Y259" s="3" t="n"/>
      <c r="Z259" s="3" t="n"/>
      <c r="AA259" s="3" t="n"/>
      <c r="AB259" s="3" t="n"/>
      <c r="AC259" s="3" t="n"/>
      <c r="AD259" s="3">
        <f>IF($C259="",0,SUMPRODUCT((AY_SONU!$O$7:$O$42="Evet")*(AY_SONU!$B$7:$B$42=DATE(YEAR($C259),MONTH($C259),1))))</f>
        <v/>
      </c>
    </row>
    <row r="260">
      <c r="A260" s="6" t="n"/>
      <c r="B260" s="113">
        <f>IF($C260="","","GG"&amp;TEXT(ROW()-6,"00000"))</f>
        <v/>
      </c>
      <c r="C260" s="220" t="n"/>
      <c r="D260" s="108" t="n"/>
      <c r="E260" s="109" t="n"/>
      <c r="F260" s="109" t="n"/>
      <c r="G260" s="221" t="n"/>
      <c r="H260" s="108" t="n"/>
      <c r="I260" s="108" t="n"/>
      <c r="J260" s="109" t="n"/>
      <c r="K260" s="109" t="n"/>
      <c r="L260" s="108" t="n"/>
      <c r="M260" s="121">
        <f>IF($C260="","",IF($D260="Gider",$E260,IF($L260&lt;&gt;"",$L260,$H260)))</f>
        <v/>
      </c>
      <c r="N260" s="121">
        <f>IF($C260="","",IF($D260="Gider",$H260,$E260))</f>
        <v/>
      </c>
      <c r="O260" s="226">
        <f>IF($C260="","",DATE(YEAR($C260),MONTH($C260),1))</f>
        <v/>
      </c>
      <c r="P260" s="113">
        <f>IF($C260="","",IF(AND($D260="Gelir",$L260&lt;&gt;"",$T260=""),"TANIMSIZ BORÇLU",IF($T260&lt;&gt;"",IF(OR($E260="",$G260&lt;=0),"EKSİK",IF($I260="Evet","TAHAKKUK NAKİT OLAMAZ",IF($C260&gt;TODAY(),"İLERİ TARİH","TAHAKKUK"))),IF(AND($D260&lt;&gt;"",$E260&lt;&gt;"",$G260&gt;0,$H260&lt;&gt;"",$I260&lt;&gt;""),IF($C260&gt;TODAY(),"İLERİ TARİH",IF(COUNTIF($W$7:$W$1206,$W260)&gt;1,"MÜKERRER?",IF($AD260&gt;0,"KAPALI DÖNEM",IF($I260="Hayır","ÖDENECEK","UYGUN")))),"EKSİK"))))</f>
        <v/>
      </c>
      <c r="Q260" s="6" t="n"/>
      <c r="R260" s="6" t="n"/>
      <c r="S260" s="3">
        <f>IF($L260="","",UPPER(SUBSTITUTE(SUBSTITUTE(SUBSTITUTE(SUBSTITUTE(SUBSTITUTE(SUBSTITUTE(SUBSTITUTE(SUBSTITUTE(SUBSTITUTE(SUBSTITUTE(SUBSTITUTE(SUBSTITUTE(SUBSTITUTE(SUBSTITUTE(SUBSTITUTE(SUBSTITUTE(SUBSTITUTE(SUBSTITUTE(TRIM($L260),"'",""),"İ","I"),"ı","I"),"i","I"),"Ş","S"),"ş","S"),"Ğ","G"),"ğ","G"),"Ü","U"),"ü","U"),"Ö","O"),"ö","O"),"Ç","C"),"ç","C"),".",""),",","")," ",""),"-","")))</f>
        <v/>
      </c>
      <c r="T260" s="3">
        <f>IF(OR($C260="",$D260&lt;&gt;"Gelir",$L260=""),"",IFERROR(INDEX(MUSTERILER!$B$7:$B$106,MATCH($S260,MUSTERILER!$T$7:$T$106,0)),""))</f>
        <v/>
      </c>
      <c r="U260" s="3">
        <f>IF($T260="","",$T260&amp;"|"&amp;COUNTIFS($T$7:$T260,$T260))</f>
        <v/>
      </c>
      <c r="V260" s="3">
        <f>IF($T260="",0,1)</f>
        <v/>
      </c>
      <c r="W260" s="3">
        <f>IF($C260="","",$D260&amp;"|"&amp;$E260&amp;"|"&amp;TEXT($C260,"0")&amp;"|"&amp;TEXT($G260,"0")&amp;"|"&amp;$J260)</f>
        <v/>
      </c>
      <c r="X260" s="3" t="n"/>
      <c r="Y260" s="3" t="n"/>
      <c r="Z260" s="3" t="n"/>
      <c r="AA260" s="3" t="n"/>
      <c r="AB260" s="3" t="n"/>
      <c r="AC260" s="3" t="n"/>
      <c r="AD260" s="3">
        <f>IF($C260="",0,SUMPRODUCT((AY_SONU!$O$7:$O$42="Evet")*(AY_SONU!$B$7:$B$42=DATE(YEAR($C260),MONTH($C260),1))))</f>
        <v/>
      </c>
    </row>
    <row r="261">
      <c r="A261" s="6" t="n"/>
      <c r="B261" s="113">
        <f>IF($C261="","","GG"&amp;TEXT(ROW()-6,"00000"))</f>
        <v/>
      </c>
      <c r="C261" s="220" t="n"/>
      <c r="D261" s="108" t="n"/>
      <c r="E261" s="109" t="n"/>
      <c r="F261" s="109" t="n"/>
      <c r="G261" s="221" t="n"/>
      <c r="H261" s="108" t="n"/>
      <c r="I261" s="108" t="n"/>
      <c r="J261" s="109" t="n"/>
      <c r="K261" s="109" t="n"/>
      <c r="L261" s="108" t="n"/>
      <c r="M261" s="121">
        <f>IF($C261="","",IF($D261="Gider",$E261,IF($L261&lt;&gt;"",$L261,$H261)))</f>
        <v/>
      </c>
      <c r="N261" s="121">
        <f>IF($C261="","",IF($D261="Gider",$H261,$E261))</f>
        <v/>
      </c>
      <c r="O261" s="226">
        <f>IF($C261="","",DATE(YEAR($C261),MONTH($C261),1))</f>
        <v/>
      </c>
      <c r="P261" s="113">
        <f>IF($C261="","",IF(AND($D261="Gelir",$L261&lt;&gt;"",$T261=""),"TANIMSIZ BORÇLU",IF($T261&lt;&gt;"",IF(OR($E261="",$G261&lt;=0),"EKSİK",IF($I261="Evet","TAHAKKUK NAKİT OLAMAZ",IF($C261&gt;TODAY(),"İLERİ TARİH","TAHAKKUK"))),IF(AND($D261&lt;&gt;"",$E261&lt;&gt;"",$G261&gt;0,$H261&lt;&gt;"",$I261&lt;&gt;""),IF($C261&gt;TODAY(),"İLERİ TARİH",IF(COUNTIF($W$7:$W$1206,$W261)&gt;1,"MÜKERRER?",IF($AD261&gt;0,"KAPALI DÖNEM",IF($I261="Hayır","ÖDENECEK","UYGUN")))),"EKSİK"))))</f>
        <v/>
      </c>
      <c r="Q261" s="6" t="n"/>
      <c r="R261" s="6" t="n"/>
      <c r="S261" s="3">
        <f>IF($L261="","",UPPER(SUBSTITUTE(SUBSTITUTE(SUBSTITUTE(SUBSTITUTE(SUBSTITUTE(SUBSTITUTE(SUBSTITUTE(SUBSTITUTE(SUBSTITUTE(SUBSTITUTE(SUBSTITUTE(SUBSTITUTE(SUBSTITUTE(SUBSTITUTE(SUBSTITUTE(SUBSTITUTE(SUBSTITUTE(SUBSTITUTE(TRIM($L261),"'",""),"İ","I"),"ı","I"),"i","I"),"Ş","S"),"ş","S"),"Ğ","G"),"ğ","G"),"Ü","U"),"ü","U"),"Ö","O"),"ö","O"),"Ç","C"),"ç","C"),".",""),",","")," ",""),"-","")))</f>
        <v/>
      </c>
      <c r="T261" s="3">
        <f>IF(OR($C261="",$D261&lt;&gt;"Gelir",$L261=""),"",IFERROR(INDEX(MUSTERILER!$B$7:$B$106,MATCH($S261,MUSTERILER!$T$7:$T$106,0)),""))</f>
        <v/>
      </c>
      <c r="U261" s="3">
        <f>IF($T261="","",$T261&amp;"|"&amp;COUNTIFS($T$7:$T261,$T261))</f>
        <v/>
      </c>
      <c r="V261" s="3">
        <f>IF($T261="",0,1)</f>
        <v/>
      </c>
      <c r="W261" s="3">
        <f>IF($C261="","",$D261&amp;"|"&amp;$E261&amp;"|"&amp;TEXT($C261,"0")&amp;"|"&amp;TEXT($G261,"0")&amp;"|"&amp;$J261)</f>
        <v/>
      </c>
      <c r="X261" s="3" t="n"/>
      <c r="Y261" s="3" t="n"/>
      <c r="Z261" s="3" t="n"/>
      <c r="AA261" s="3" t="n"/>
      <c r="AB261" s="3" t="n"/>
      <c r="AC261" s="3" t="n"/>
      <c r="AD261" s="3">
        <f>IF($C261="",0,SUMPRODUCT((AY_SONU!$O$7:$O$42="Evet")*(AY_SONU!$B$7:$B$42=DATE(YEAR($C261),MONTH($C261),1))))</f>
        <v/>
      </c>
    </row>
    <row r="262">
      <c r="A262" s="6" t="n"/>
      <c r="B262" s="113">
        <f>IF($C262="","","GG"&amp;TEXT(ROW()-6,"00000"))</f>
        <v/>
      </c>
      <c r="C262" s="220" t="n"/>
      <c r="D262" s="108" t="n"/>
      <c r="E262" s="109" t="n"/>
      <c r="F262" s="109" t="n"/>
      <c r="G262" s="221" t="n"/>
      <c r="H262" s="108" t="n"/>
      <c r="I262" s="108" t="n"/>
      <c r="J262" s="109" t="n"/>
      <c r="K262" s="109" t="n"/>
      <c r="L262" s="108" t="n"/>
      <c r="M262" s="121">
        <f>IF($C262="","",IF($D262="Gider",$E262,IF($L262&lt;&gt;"",$L262,$H262)))</f>
        <v/>
      </c>
      <c r="N262" s="121">
        <f>IF($C262="","",IF($D262="Gider",$H262,$E262))</f>
        <v/>
      </c>
      <c r="O262" s="226">
        <f>IF($C262="","",DATE(YEAR($C262),MONTH($C262),1))</f>
        <v/>
      </c>
      <c r="P262" s="113">
        <f>IF($C262="","",IF(AND($D262="Gelir",$L262&lt;&gt;"",$T262=""),"TANIMSIZ BORÇLU",IF($T262&lt;&gt;"",IF(OR($E262="",$G262&lt;=0),"EKSİK",IF($I262="Evet","TAHAKKUK NAKİT OLAMAZ",IF($C262&gt;TODAY(),"İLERİ TARİH","TAHAKKUK"))),IF(AND($D262&lt;&gt;"",$E262&lt;&gt;"",$G262&gt;0,$H262&lt;&gt;"",$I262&lt;&gt;""),IF($C262&gt;TODAY(),"İLERİ TARİH",IF(COUNTIF($W$7:$W$1206,$W262)&gt;1,"MÜKERRER?",IF($AD262&gt;0,"KAPALI DÖNEM",IF($I262="Hayır","ÖDENECEK","UYGUN")))),"EKSİK"))))</f>
        <v/>
      </c>
      <c r="Q262" s="6" t="n"/>
      <c r="R262" s="6" t="n"/>
      <c r="S262" s="3">
        <f>IF($L262="","",UPPER(SUBSTITUTE(SUBSTITUTE(SUBSTITUTE(SUBSTITUTE(SUBSTITUTE(SUBSTITUTE(SUBSTITUTE(SUBSTITUTE(SUBSTITUTE(SUBSTITUTE(SUBSTITUTE(SUBSTITUTE(SUBSTITUTE(SUBSTITUTE(SUBSTITUTE(SUBSTITUTE(SUBSTITUTE(SUBSTITUTE(TRIM($L262),"'",""),"İ","I"),"ı","I"),"i","I"),"Ş","S"),"ş","S"),"Ğ","G"),"ğ","G"),"Ü","U"),"ü","U"),"Ö","O"),"ö","O"),"Ç","C"),"ç","C"),".",""),",","")," ",""),"-","")))</f>
        <v/>
      </c>
      <c r="T262" s="3">
        <f>IF(OR($C262="",$D262&lt;&gt;"Gelir",$L262=""),"",IFERROR(INDEX(MUSTERILER!$B$7:$B$106,MATCH($S262,MUSTERILER!$T$7:$T$106,0)),""))</f>
        <v/>
      </c>
      <c r="U262" s="3">
        <f>IF($T262="","",$T262&amp;"|"&amp;COUNTIFS($T$7:$T262,$T262))</f>
        <v/>
      </c>
      <c r="V262" s="3">
        <f>IF($T262="",0,1)</f>
        <v/>
      </c>
      <c r="W262" s="3">
        <f>IF($C262="","",$D262&amp;"|"&amp;$E262&amp;"|"&amp;TEXT($C262,"0")&amp;"|"&amp;TEXT($G262,"0")&amp;"|"&amp;$J262)</f>
        <v/>
      </c>
      <c r="X262" s="3" t="n"/>
      <c r="Y262" s="3" t="n"/>
      <c r="Z262" s="3" t="n"/>
      <c r="AA262" s="3" t="n"/>
      <c r="AB262" s="3" t="n"/>
      <c r="AC262" s="3" t="n"/>
      <c r="AD262" s="3">
        <f>IF($C262="",0,SUMPRODUCT((AY_SONU!$O$7:$O$42="Evet")*(AY_SONU!$B$7:$B$42=DATE(YEAR($C262),MONTH($C262),1))))</f>
        <v/>
      </c>
    </row>
    <row r="263">
      <c r="A263" s="6" t="n"/>
      <c r="B263" s="113">
        <f>IF($C263="","","GG"&amp;TEXT(ROW()-6,"00000"))</f>
        <v/>
      </c>
      <c r="C263" s="220" t="n"/>
      <c r="D263" s="108" t="n"/>
      <c r="E263" s="109" t="n"/>
      <c r="F263" s="109" t="n"/>
      <c r="G263" s="221" t="n"/>
      <c r="H263" s="108" t="n"/>
      <c r="I263" s="108" t="n"/>
      <c r="J263" s="109" t="n"/>
      <c r="K263" s="109" t="n"/>
      <c r="L263" s="108" t="n"/>
      <c r="M263" s="121">
        <f>IF($C263="","",IF($D263="Gider",$E263,IF($L263&lt;&gt;"",$L263,$H263)))</f>
        <v/>
      </c>
      <c r="N263" s="121">
        <f>IF($C263="","",IF($D263="Gider",$H263,$E263))</f>
        <v/>
      </c>
      <c r="O263" s="226">
        <f>IF($C263="","",DATE(YEAR($C263),MONTH($C263),1))</f>
        <v/>
      </c>
      <c r="P263" s="113">
        <f>IF($C263="","",IF(AND($D263="Gelir",$L263&lt;&gt;"",$T263=""),"TANIMSIZ BORÇLU",IF($T263&lt;&gt;"",IF(OR($E263="",$G263&lt;=0),"EKSİK",IF($I263="Evet","TAHAKKUK NAKİT OLAMAZ",IF($C263&gt;TODAY(),"İLERİ TARİH","TAHAKKUK"))),IF(AND($D263&lt;&gt;"",$E263&lt;&gt;"",$G263&gt;0,$H263&lt;&gt;"",$I263&lt;&gt;""),IF($C263&gt;TODAY(),"İLERİ TARİH",IF(COUNTIF($W$7:$W$1206,$W263)&gt;1,"MÜKERRER?",IF($AD263&gt;0,"KAPALI DÖNEM",IF($I263="Hayır","ÖDENECEK","UYGUN")))),"EKSİK"))))</f>
        <v/>
      </c>
      <c r="Q263" s="6" t="n"/>
      <c r="R263" s="6" t="n"/>
      <c r="S263" s="3">
        <f>IF($L263="","",UPPER(SUBSTITUTE(SUBSTITUTE(SUBSTITUTE(SUBSTITUTE(SUBSTITUTE(SUBSTITUTE(SUBSTITUTE(SUBSTITUTE(SUBSTITUTE(SUBSTITUTE(SUBSTITUTE(SUBSTITUTE(SUBSTITUTE(SUBSTITUTE(SUBSTITUTE(SUBSTITUTE(SUBSTITUTE(SUBSTITUTE(TRIM($L263),"'",""),"İ","I"),"ı","I"),"i","I"),"Ş","S"),"ş","S"),"Ğ","G"),"ğ","G"),"Ü","U"),"ü","U"),"Ö","O"),"ö","O"),"Ç","C"),"ç","C"),".",""),",","")," ",""),"-","")))</f>
        <v/>
      </c>
      <c r="T263" s="3">
        <f>IF(OR($C263="",$D263&lt;&gt;"Gelir",$L263=""),"",IFERROR(INDEX(MUSTERILER!$B$7:$B$106,MATCH($S263,MUSTERILER!$T$7:$T$106,0)),""))</f>
        <v/>
      </c>
      <c r="U263" s="3">
        <f>IF($T263="","",$T263&amp;"|"&amp;COUNTIFS($T$7:$T263,$T263))</f>
        <v/>
      </c>
      <c r="V263" s="3">
        <f>IF($T263="",0,1)</f>
        <v/>
      </c>
      <c r="W263" s="3">
        <f>IF($C263="","",$D263&amp;"|"&amp;$E263&amp;"|"&amp;TEXT($C263,"0")&amp;"|"&amp;TEXT($G263,"0")&amp;"|"&amp;$J263)</f>
        <v/>
      </c>
      <c r="X263" s="3" t="n"/>
      <c r="Y263" s="3" t="n"/>
      <c r="Z263" s="3" t="n"/>
      <c r="AA263" s="3" t="n"/>
      <c r="AB263" s="3" t="n"/>
      <c r="AC263" s="3" t="n"/>
      <c r="AD263" s="3">
        <f>IF($C263="",0,SUMPRODUCT((AY_SONU!$O$7:$O$42="Evet")*(AY_SONU!$B$7:$B$42=DATE(YEAR($C263),MONTH($C263),1))))</f>
        <v/>
      </c>
    </row>
    <row r="264">
      <c r="A264" s="6" t="n"/>
      <c r="B264" s="113">
        <f>IF($C264="","","GG"&amp;TEXT(ROW()-6,"00000"))</f>
        <v/>
      </c>
      <c r="C264" s="220" t="n"/>
      <c r="D264" s="108" t="n"/>
      <c r="E264" s="109" t="n"/>
      <c r="F264" s="109" t="n"/>
      <c r="G264" s="221" t="n"/>
      <c r="H264" s="108" t="n"/>
      <c r="I264" s="108" t="n"/>
      <c r="J264" s="109" t="n"/>
      <c r="K264" s="109" t="n"/>
      <c r="L264" s="108" t="n"/>
      <c r="M264" s="121">
        <f>IF($C264="","",IF($D264="Gider",$E264,IF($L264&lt;&gt;"",$L264,$H264)))</f>
        <v/>
      </c>
      <c r="N264" s="121">
        <f>IF($C264="","",IF($D264="Gider",$H264,$E264))</f>
        <v/>
      </c>
      <c r="O264" s="226">
        <f>IF($C264="","",DATE(YEAR($C264),MONTH($C264),1))</f>
        <v/>
      </c>
      <c r="P264" s="113">
        <f>IF($C264="","",IF(AND($D264="Gelir",$L264&lt;&gt;"",$T264=""),"TANIMSIZ BORÇLU",IF($T264&lt;&gt;"",IF(OR($E264="",$G264&lt;=0),"EKSİK",IF($I264="Evet","TAHAKKUK NAKİT OLAMAZ",IF($C264&gt;TODAY(),"İLERİ TARİH","TAHAKKUK"))),IF(AND($D264&lt;&gt;"",$E264&lt;&gt;"",$G264&gt;0,$H264&lt;&gt;"",$I264&lt;&gt;""),IF($C264&gt;TODAY(),"İLERİ TARİH",IF(COUNTIF($W$7:$W$1206,$W264)&gt;1,"MÜKERRER?",IF($AD264&gt;0,"KAPALI DÖNEM",IF($I264="Hayır","ÖDENECEK","UYGUN")))),"EKSİK"))))</f>
        <v/>
      </c>
      <c r="Q264" s="6" t="n"/>
      <c r="R264" s="6" t="n"/>
      <c r="S264" s="3">
        <f>IF($L264="","",UPPER(SUBSTITUTE(SUBSTITUTE(SUBSTITUTE(SUBSTITUTE(SUBSTITUTE(SUBSTITUTE(SUBSTITUTE(SUBSTITUTE(SUBSTITUTE(SUBSTITUTE(SUBSTITUTE(SUBSTITUTE(SUBSTITUTE(SUBSTITUTE(SUBSTITUTE(SUBSTITUTE(SUBSTITUTE(SUBSTITUTE(TRIM($L264),"'",""),"İ","I"),"ı","I"),"i","I"),"Ş","S"),"ş","S"),"Ğ","G"),"ğ","G"),"Ü","U"),"ü","U"),"Ö","O"),"ö","O"),"Ç","C"),"ç","C"),".",""),",","")," ",""),"-","")))</f>
        <v/>
      </c>
      <c r="T264" s="3">
        <f>IF(OR($C264="",$D264&lt;&gt;"Gelir",$L264=""),"",IFERROR(INDEX(MUSTERILER!$B$7:$B$106,MATCH($S264,MUSTERILER!$T$7:$T$106,0)),""))</f>
        <v/>
      </c>
      <c r="U264" s="3">
        <f>IF($T264="","",$T264&amp;"|"&amp;COUNTIFS($T$7:$T264,$T264))</f>
        <v/>
      </c>
      <c r="V264" s="3">
        <f>IF($T264="",0,1)</f>
        <v/>
      </c>
      <c r="W264" s="3">
        <f>IF($C264="","",$D264&amp;"|"&amp;$E264&amp;"|"&amp;TEXT($C264,"0")&amp;"|"&amp;TEXT($G264,"0")&amp;"|"&amp;$J264)</f>
        <v/>
      </c>
      <c r="X264" s="3" t="n"/>
      <c r="Y264" s="3" t="n"/>
      <c r="Z264" s="3" t="n"/>
      <c r="AA264" s="3" t="n"/>
      <c r="AB264" s="3" t="n"/>
      <c r="AC264" s="3" t="n"/>
      <c r="AD264" s="3">
        <f>IF($C264="",0,SUMPRODUCT((AY_SONU!$O$7:$O$42="Evet")*(AY_SONU!$B$7:$B$42=DATE(YEAR($C264),MONTH($C264),1))))</f>
        <v/>
      </c>
    </row>
    <row r="265">
      <c r="A265" s="6" t="n"/>
      <c r="B265" s="113">
        <f>IF($C265="","","GG"&amp;TEXT(ROW()-6,"00000"))</f>
        <v/>
      </c>
      <c r="C265" s="220" t="n"/>
      <c r="D265" s="108" t="n"/>
      <c r="E265" s="109" t="n"/>
      <c r="F265" s="109" t="n"/>
      <c r="G265" s="221" t="n"/>
      <c r="H265" s="108" t="n"/>
      <c r="I265" s="108" t="n"/>
      <c r="J265" s="109" t="n"/>
      <c r="K265" s="109" t="n"/>
      <c r="L265" s="108" t="n"/>
      <c r="M265" s="121">
        <f>IF($C265="","",IF($D265="Gider",$E265,IF($L265&lt;&gt;"",$L265,$H265)))</f>
        <v/>
      </c>
      <c r="N265" s="121">
        <f>IF($C265="","",IF($D265="Gider",$H265,$E265))</f>
        <v/>
      </c>
      <c r="O265" s="226">
        <f>IF($C265="","",DATE(YEAR($C265),MONTH($C265),1))</f>
        <v/>
      </c>
      <c r="P265" s="113">
        <f>IF($C265="","",IF(AND($D265="Gelir",$L265&lt;&gt;"",$T265=""),"TANIMSIZ BORÇLU",IF($T265&lt;&gt;"",IF(OR($E265="",$G265&lt;=0),"EKSİK",IF($I265="Evet","TAHAKKUK NAKİT OLAMAZ",IF($C265&gt;TODAY(),"İLERİ TARİH","TAHAKKUK"))),IF(AND($D265&lt;&gt;"",$E265&lt;&gt;"",$G265&gt;0,$H265&lt;&gt;"",$I265&lt;&gt;""),IF($C265&gt;TODAY(),"İLERİ TARİH",IF(COUNTIF($W$7:$W$1206,$W265)&gt;1,"MÜKERRER?",IF($AD265&gt;0,"KAPALI DÖNEM",IF($I265="Hayır","ÖDENECEK","UYGUN")))),"EKSİK"))))</f>
        <v/>
      </c>
      <c r="Q265" s="6" t="n"/>
      <c r="R265" s="6" t="n"/>
      <c r="S265" s="3">
        <f>IF($L265="","",UPPER(SUBSTITUTE(SUBSTITUTE(SUBSTITUTE(SUBSTITUTE(SUBSTITUTE(SUBSTITUTE(SUBSTITUTE(SUBSTITUTE(SUBSTITUTE(SUBSTITUTE(SUBSTITUTE(SUBSTITUTE(SUBSTITUTE(SUBSTITUTE(SUBSTITUTE(SUBSTITUTE(SUBSTITUTE(SUBSTITUTE(TRIM($L265),"'",""),"İ","I"),"ı","I"),"i","I"),"Ş","S"),"ş","S"),"Ğ","G"),"ğ","G"),"Ü","U"),"ü","U"),"Ö","O"),"ö","O"),"Ç","C"),"ç","C"),".",""),",","")," ",""),"-","")))</f>
        <v/>
      </c>
      <c r="T265" s="3">
        <f>IF(OR($C265="",$D265&lt;&gt;"Gelir",$L265=""),"",IFERROR(INDEX(MUSTERILER!$B$7:$B$106,MATCH($S265,MUSTERILER!$T$7:$T$106,0)),""))</f>
        <v/>
      </c>
      <c r="U265" s="3">
        <f>IF($T265="","",$T265&amp;"|"&amp;COUNTIFS($T$7:$T265,$T265))</f>
        <v/>
      </c>
      <c r="V265" s="3">
        <f>IF($T265="",0,1)</f>
        <v/>
      </c>
      <c r="W265" s="3">
        <f>IF($C265="","",$D265&amp;"|"&amp;$E265&amp;"|"&amp;TEXT($C265,"0")&amp;"|"&amp;TEXT($G265,"0")&amp;"|"&amp;$J265)</f>
        <v/>
      </c>
      <c r="X265" s="3" t="n"/>
      <c r="Y265" s="3" t="n"/>
      <c r="Z265" s="3" t="n"/>
      <c r="AA265" s="3" t="n"/>
      <c r="AB265" s="3" t="n"/>
      <c r="AC265" s="3" t="n"/>
      <c r="AD265" s="3">
        <f>IF($C265="",0,SUMPRODUCT((AY_SONU!$O$7:$O$42="Evet")*(AY_SONU!$B$7:$B$42=DATE(YEAR($C265),MONTH($C265),1))))</f>
        <v/>
      </c>
    </row>
    <row r="266">
      <c r="A266" s="6" t="n"/>
      <c r="B266" s="113">
        <f>IF($C266="","","GG"&amp;TEXT(ROW()-6,"00000"))</f>
        <v/>
      </c>
      <c r="C266" s="220" t="n"/>
      <c r="D266" s="108" t="n"/>
      <c r="E266" s="109" t="n"/>
      <c r="F266" s="109" t="n"/>
      <c r="G266" s="221" t="n"/>
      <c r="H266" s="108" t="n"/>
      <c r="I266" s="108" t="n"/>
      <c r="J266" s="109" t="n"/>
      <c r="K266" s="109" t="n"/>
      <c r="L266" s="108" t="n"/>
      <c r="M266" s="121">
        <f>IF($C266="","",IF($D266="Gider",$E266,IF($L266&lt;&gt;"",$L266,$H266)))</f>
        <v/>
      </c>
      <c r="N266" s="121">
        <f>IF($C266="","",IF($D266="Gider",$H266,$E266))</f>
        <v/>
      </c>
      <c r="O266" s="226">
        <f>IF($C266="","",DATE(YEAR($C266),MONTH($C266),1))</f>
        <v/>
      </c>
      <c r="P266" s="113">
        <f>IF($C266="","",IF(AND($D266="Gelir",$L266&lt;&gt;"",$T266=""),"TANIMSIZ BORÇLU",IF($T266&lt;&gt;"",IF(OR($E266="",$G266&lt;=0),"EKSİK",IF($I266="Evet","TAHAKKUK NAKİT OLAMAZ",IF($C266&gt;TODAY(),"İLERİ TARİH","TAHAKKUK"))),IF(AND($D266&lt;&gt;"",$E266&lt;&gt;"",$G266&gt;0,$H266&lt;&gt;"",$I266&lt;&gt;""),IF($C266&gt;TODAY(),"İLERİ TARİH",IF(COUNTIF($W$7:$W$1206,$W266)&gt;1,"MÜKERRER?",IF($AD266&gt;0,"KAPALI DÖNEM",IF($I266="Hayır","ÖDENECEK","UYGUN")))),"EKSİK"))))</f>
        <v/>
      </c>
      <c r="Q266" s="6" t="n"/>
      <c r="R266" s="6" t="n"/>
      <c r="S266" s="3">
        <f>IF($L266="","",UPPER(SUBSTITUTE(SUBSTITUTE(SUBSTITUTE(SUBSTITUTE(SUBSTITUTE(SUBSTITUTE(SUBSTITUTE(SUBSTITUTE(SUBSTITUTE(SUBSTITUTE(SUBSTITUTE(SUBSTITUTE(SUBSTITUTE(SUBSTITUTE(SUBSTITUTE(SUBSTITUTE(SUBSTITUTE(SUBSTITUTE(TRIM($L266),"'",""),"İ","I"),"ı","I"),"i","I"),"Ş","S"),"ş","S"),"Ğ","G"),"ğ","G"),"Ü","U"),"ü","U"),"Ö","O"),"ö","O"),"Ç","C"),"ç","C"),".",""),",","")," ",""),"-","")))</f>
        <v/>
      </c>
      <c r="T266" s="3">
        <f>IF(OR($C266="",$D266&lt;&gt;"Gelir",$L266=""),"",IFERROR(INDEX(MUSTERILER!$B$7:$B$106,MATCH($S266,MUSTERILER!$T$7:$T$106,0)),""))</f>
        <v/>
      </c>
      <c r="U266" s="3">
        <f>IF($T266="","",$T266&amp;"|"&amp;COUNTIFS($T$7:$T266,$T266))</f>
        <v/>
      </c>
      <c r="V266" s="3">
        <f>IF($T266="",0,1)</f>
        <v/>
      </c>
      <c r="W266" s="3">
        <f>IF($C266="","",$D266&amp;"|"&amp;$E266&amp;"|"&amp;TEXT($C266,"0")&amp;"|"&amp;TEXT($G266,"0")&amp;"|"&amp;$J266)</f>
        <v/>
      </c>
      <c r="X266" s="3" t="n"/>
      <c r="Y266" s="3" t="n"/>
      <c r="Z266" s="3" t="n"/>
      <c r="AA266" s="3" t="n"/>
      <c r="AB266" s="3" t="n"/>
      <c r="AC266" s="3" t="n"/>
      <c r="AD266" s="3">
        <f>IF($C266="",0,SUMPRODUCT((AY_SONU!$O$7:$O$42="Evet")*(AY_SONU!$B$7:$B$42=DATE(YEAR($C266),MONTH($C266),1))))</f>
        <v/>
      </c>
    </row>
    <row r="267">
      <c r="A267" s="6" t="n"/>
      <c r="B267" s="113">
        <f>IF($C267="","","GG"&amp;TEXT(ROW()-6,"00000"))</f>
        <v/>
      </c>
      <c r="C267" s="220" t="n"/>
      <c r="D267" s="108" t="n"/>
      <c r="E267" s="109" t="n"/>
      <c r="F267" s="109" t="n"/>
      <c r="G267" s="221" t="n"/>
      <c r="H267" s="108" t="n"/>
      <c r="I267" s="108" t="n"/>
      <c r="J267" s="109" t="n"/>
      <c r="K267" s="109" t="n"/>
      <c r="L267" s="108" t="n"/>
      <c r="M267" s="121">
        <f>IF($C267="","",IF($D267="Gider",$E267,IF($L267&lt;&gt;"",$L267,$H267)))</f>
        <v/>
      </c>
      <c r="N267" s="121">
        <f>IF($C267="","",IF($D267="Gider",$H267,$E267))</f>
        <v/>
      </c>
      <c r="O267" s="226">
        <f>IF($C267="","",DATE(YEAR($C267),MONTH($C267),1))</f>
        <v/>
      </c>
      <c r="P267" s="113">
        <f>IF($C267="","",IF(AND($D267="Gelir",$L267&lt;&gt;"",$T267=""),"TANIMSIZ BORÇLU",IF($T267&lt;&gt;"",IF(OR($E267="",$G267&lt;=0),"EKSİK",IF($I267="Evet","TAHAKKUK NAKİT OLAMAZ",IF($C267&gt;TODAY(),"İLERİ TARİH","TAHAKKUK"))),IF(AND($D267&lt;&gt;"",$E267&lt;&gt;"",$G267&gt;0,$H267&lt;&gt;"",$I267&lt;&gt;""),IF($C267&gt;TODAY(),"İLERİ TARİH",IF(COUNTIF($W$7:$W$1206,$W267)&gt;1,"MÜKERRER?",IF($AD267&gt;0,"KAPALI DÖNEM",IF($I267="Hayır","ÖDENECEK","UYGUN")))),"EKSİK"))))</f>
        <v/>
      </c>
      <c r="Q267" s="6" t="n"/>
      <c r="R267" s="6" t="n"/>
      <c r="S267" s="3">
        <f>IF($L267="","",UPPER(SUBSTITUTE(SUBSTITUTE(SUBSTITUTE(SUBSTITUTE(SUBSTITUTE(SUBSTITUTE(SUBSTITUTE(SUBSTITUTE(SUBSTITUTE(SUBSTITUTE(SUBSTITUTE(SUBSTITUTE(SUBSTITUTE(SUBSTITUTE(SUBSTITUTE(SUBSTITUTE(SUBSTITUTE(SUBSTITUTE(TRIM($L267),"'",""),"İ","I"),"ı","I"),"i","I"),"Ş","S"),"ş","S"),"Ğ","G"),"ğ","G"),"Ü","U"),"ü","U"),"Ö","O"),"ö","O"),"Ç","C"),"ç","C"),".",""),",","")," ",""),"-","")))</f>
        <v/>
      </c>
      <c r="T267" s="3">
        <f>IF(OR($C267="",$D267&lt;&gt;"Gelir",$L267=""),"",IFERROR(INDEX(MUSTERILER!$B$7:$B$106,MATCH($S267,MUSTERILER!$T$7:$T$106,0)),""))</f>
        <v/>
      </c>
      <c r="U267" s="3">
        <f>IF($T267="","",$T267&amp;"|"&amp;COUNTIFS($T$7:$T267,$T267))</f>
        <v/>
      </c>
      <c r="V267" s="3">
        <f>IF($T267="",0,1)</f>
        <v/>
      </c>
      <c r="W267" s="3">
        <f>IF($C267="","",$D267&amp;"|"&amp;$E267&amp;"|"&amp;TEXT($C267,"0")&amp;"|"&amp;TEXT($G267,"0")&amp;"|"&amp;$J267)</f>
        <v/>
      </c>
      <c r="X267" s="3" t="n"/>
      <c r="Y267" s="3" t="n"/>
      <c r="Z267" s="3" t="n"/>
      <c r="AA267" s="3" t="n"/>
      <c r="AB267" s="3" t="n"/>
      <c r="AC267" s="3" t="n"/>
      <c r="AD267" s="3">
        <f>IF($C267="",0,SUMPRODUCT((AY_SONU!$O$7:$O$42="Evet")*(AY_SONU!$B$7:$B$42=DATE(YEAR($C267),MONTH($C267),1))))</f>
        <v/>
      </c>
    </row>
    <row r="268">
      <c r="A268" s="6" t="n"/>
      <c r="B268" s="113">
        <f>IF($C268="","","GG"&amp;TEXT(ROW()-6,"00000"))</f>
        <v/>
      </c>
      <c r="C268" s="220" t="n"/>
      <c r="D268" s="108" t="n"/>
      <c r="E268" s="109" t="n"/>
      <c r="F268" s="109" t="n"/>
      <c r="G268" s="221" t="n"/>
      <c r="H268" s="108" t="n"/>
      <c r="I268" s="108" t="n"/>
      <c r="J268" s="109" t="n"/>
      <c r="K268" s="109" t="n"/>
      <c r="L268" s="108" t="n"/>
      <c r="M268" s="121">
        <f>IF($C268="","",IF($D268="Gider",$E268,IF($L268&lt;&gt;"",$L268,$H268)))</f>
        <v/>
      </c>
      <c r="N268" s="121">
        <f>IF($C268="","",IF($D268="Gider",$H268,$E268))</f>
        <v/>
      </c>
      <c r="O268" s="226">
        <f>IF($C268="","",DATE(YEAR($C268),MONTH($C268),1))</f>
        <v/>
      </c>
      <c r="P268" s="113">
        <f>IF($C268="","",IF(AND($D268="Gelir",$L268&lt;&gt;"",$T268=""),"TANIMSIZ BORÇLU",IF($T268&lt;&gt;"",IF(OR($E268="",$G268&lt;=0),"EKSİK",IF($I268="Evet","TAHAKKUK NAKİT OLAMAZ",IF($C268&gt;TODAY(),"İLERİ TARİH","TAHAKKUK"))),IF(AND($D268&lt;&gt;"",$E268&lt;&gt;"",$G268&gt;0,$H268&lt;&gt;"",$I268&lt;&gt;""),IF($C268&gt;TODAY(),"İLERİ TARİH",IF(COUNTIF($W$7:$W$1206,$W268)&gt;1,"MÜKERRER?",IF($AD268&gt;0,"KAPALI DÖNEM",IF($I268="Hayır","ÖDENECEK","UYGUN")))),"EKSİK"))))</f>
        <v/>
      </c>
      <c r="Q268" s="6" t="n"/>
      <c r="R268" s="6" t="n"/>
      <c r="S268" s="3">
        <f>IF($L268="","",UPPER(SUBSTITUTE(SUBSTITUTE(SUBSTITUTE(SUBSTITUTE(SUBSTITUTE(SUBSTITUTE(SUBSTITUTE(SUBSTITUTE(SUBSTITUTE(SUBSTITUTE(SUBSTITUTE(SUBSTITUTE(SUBSTITUTE(SUBSTITUTE(SUBSTITUTE(SUBSTITUTE(SUBSTITUTE(SUBSTITUTE(TRIM($L268),"'",""),"İ","I"),"ı","I"),"i","I"),"Ş","S"),"ş","S"),"Ğ","G"),"ğ","G"),"Ü","U"),"ü","U"),"Ö","O"),"ö","O"),"Ç","C"),"ç","C"),".",""),",","")," ",""),"-","")))</f>
        <v/>
      </c>
      <c r="T268" s="3">
        <f>IF(OR($C268="",$D268&lt;&gt;"Gelir",$L268=""),"",IFERROR(INDEX(MUSTERILER!$B$7:$B$106,MATCH($S268,MUSTERILER!$T$7:$T$106,0)),""))</f>
        <v/>
      </c>
      <c r="U268" s="3">
        <f>IF($T268="","",$T268&amp;"|"&amp;COUNTIFS($T$7:$T268,$T268))</f>
        <v/>
      </c>
      <c r="V268" s="3">
        <f>IF($T268="",0,1)</f>
        <v/>
      </c>
      <c r="W268" s="3">
        <f>IF($C268="","",$D268&amp;"|"&amp;$E268&amp;"|"&amp;TEXT($C268,"0")&amp;"|"&amp;TEXT($G268,"0")&amp;"|"&amp;$J268)</f>
        <v/>
      </c>
      <c r="X268" s="3" t="n"/>
      <c r="Y268" s="3" t="n"/>
      <c r="Z268" s="3" t="n"/>
      <c r="AA268" s="3" t="n"/>
      <c r="AB268" s="3" t="n"/>
      <c r="AC268" s="3" t="n"/>
      <c r="AD268" s="3">
        <f>IF($C268="",0,SUMPRODUCT((AY_SONU!$O$7:$O$42="Evet")*(AY_SONU!$B$7:$B$42=DATE(YEAR($C268),MONTH($C268),1))))</f>
        <v/>
      </c>
    </row>
    <row r="269">
      <c r="A269" s="6" t="n"/>
      <c r="B269" s="113">
        <f>IF($C269="","","GG"&amp;TEXT(ROW()-6,"00000"))</f>
        <v/>
      </c>
      <c r="C269" s="220" t="n"/>
      <c r="D269" s="108" t="n"/>
      <c r="E269" s="109" t="n"/>
      <c r="F269" s="109" t="n"/>
      <c r="G269" s="221" t="n"/>
      <c r="H269" s="108" t="n"/>
      <c r="I269" s="108" t="n"/>
      <c r="J269" s="109" t="n"/>
      <c r="K269" s="109" t="n"/>
      <c r="L269" s="108" t="n"/>
      <c r="M269" s="121">
        <f>IF($C269="","",IF($D269="Gider",$E269,IF($L269&lt;&gt;"",$L269,$H269)))</f>
        <v/>
      </c>
      <c r="N269" s="121">
        <f>IF($C269="","",IF($D269="Gider",$H269,$E269))</f>
        <v/>
      </c>
      <c r="O269" s="226">
        <f>IF($C269="","",DATE(YEAR($C269),MONTH($C269),1))</f>
        <v/>
      </c>
      <c r="P269" s="113">
        <f>IF($C269="","",IF(AND($D269="Gelir",$L269&lt;&gt;"",$T269=""),"TANIMSIZ BORÇLU",IF($T269&lt;&gt;"",IF(OR($E269="",$G269&lt;=0),"EKSİK",IF($I269="Evet","TAHAKKUK NAKİT OLAMAZ",IF($C269&gt;TODAY(),"İLERİ TARİH","TAHAKKUK"))),IF(AND($D269&lt;&gt;"",$E269&lt;&gt;"",$G269&gt;0,$H269&lt;&gt;"",$I269&lt;&gt;""),IF($C269&gt;TODAY(),"İLERİ TARİH",IF(COUNTIF($W$7:$W$1206,$W269)&gt;1,"MÜKERRER?",IF($AD269&gt;0,"KAPALI DÖNEM",IF($I269="Hayır","ÖDENECEK","UYGUN")))),"EKSİK"))))</f>
        <v/>
      </c>
      <c r="Q269" s="6" t="n"/>
      <c r="R269" s="6" t="n"/>
      <c r="S269" s="3">
        <f>IF($L269="","",UPPER(SUBSTITUTE(SUBSTITUTE(SUBSTITUTE(SUBSTITUTE(SUBSTITUTE(SUBSTITUTE(SUBSTITUTE(SUBSTITUTE(SUBSTITUTE(SUBSTITUTE(SUBSTITUTE(SUBSTITUTE(SUBSTITUTE(SUBSTITUTE(SUBSTITUTE(SUBSTITUTE(SUBSTITUTE(SUBSTITUTE(TRIM($L269),"'",""),"İ","I"),"ı","I"),"i","I"),"Ş","S"),"ş","S"),"Ğ","G"),"ğ","G"),"Ü","U"),"ü","U"),"Ö","O"),"ö","O"),"Ç","C"),"ç","C"),".",""),",","")," ",""),"-","")))</f>
        <v/>
      </c>
      <c r="T269" s="3">
        <f>IF(OR($C269="",$D269&lt;&gt;"Gelir",$L269=""),"",IFERROR(INDEX(MUSTERILER!$B$7:$B$106,MATCH($S269,MUSTERILER!$T$7:$T$106,0)),""))</f>
        <v/>
      </c>
      <c r="U269" s="3">
        <f>IF($T269="","",$T269&amp;"|"&amp;COUNTIFS($T$7:$T269,$T269))</f>
        <v/>
      </c>
      <c r="V269" s="3">
        <f>IF($T269="",0,1)</f>
        <v/>
      </c>
      <c r="W269" s="3">
        <f>IF($C269="","",$D269&amp;"|"&amp;$E269&amp;"|"&amp;TEXT($C269,"0")&amp;"|"&amp;TEXT($G269,"0")&amp;"|"&amp;$J269)</f>
        <v/>
      </c>
      <c r="X269" s="3" t="n"/>
      <c r="Y269" s="3" t="n"/>
      <c r="Z269" s="3" t="n"/>
      <c r="AA269" s="3" t="n"/>
      <c r="AB269" s="3" t="n"/>
      <c r="AC269" s="3" t="n"/>
      <c r="AD269" s="3">
        <f>IF($C269="",0,SUMPRODUCT((AY_SONU!$O$7:$O$42="Evet")*(AY_SONU!$B$7:$B$42=DATE(YEAR($C269),MONTH($C269),1))))</f>
        <v/>
      </c>
    </row>
    <row r="270">
      <c r="A270" s="6" t="n"/>
      <c r="B270" s="113">
        <f>IF($C270="","","GG"&amp;TEXT(ROW()-6,"00000"))</f>
        <v/>
      </c>
      <c r="C270" s="220" t="n"/>
      <c r="D270" s="108" t="n"/>
      <c r="E270" s="109" t="n"/>
      <c r="F270" s="109" t="n"/>
      <c r="G270" s="221" t="n"/>
      <c r="H270" s="108" t="n"/>
      <c r="I270" s="108" t="n"/>
      <c r="J270" s="109" t="n"/>
      <c r="K270" s="109" t="n"/>
      <c r="L270" s="108" t="n"/>
      <c r="M270" s="121">
        <f>IF($C270="","",IF($D270="Gider",$E270,IF($L270&lt;&gt;"",$L270,$H270)))</f>
        <v/>
      </c>
      <c r="N270" s="121">
        <f>IF($C270="","",IF($D270="Gider",$H270,$E270))</f>
        <v/>
      </c>
      <c r="O270" s="226">
        <f>IF($C270="","",DATE(YEAR($C270),MONTH($C270),1))</f>
        <v/>
      </c>
      <c r="P270" s="113">
        <f>IF($C270="","",IF(AND($D270="Gelir",$L270&lt;&gt;"",$T270=""),"TANIMSIZ BORÇLU",IF($T270&lt;&gt;"",IF(OR($E270="",$G270&lt;=0),"EKSİK",IF($I270="Evet","TAHAKKUK NAKİT OLAMAZ",IF($C270&gt;TODAY(),"İLERİ TARİH","TAHAKKUK"))),IF(AND($D270&lt;&gt;"",$E270&lt;&gt;"",$G270&gt;0,$H270&lt;&gt;"",$I270&lt;&gt;""),IF($C270&gt;TODAY(),"İLERİ TARİH",IF(COUNTIF($W$7:$W$1206,$W270)&gt;1,"MÜKERRER?",IF($AD270&gt;0,"KAPALI DÖNEM",IF($I270="Hayır","ÖDENECEK","UYGUN")))),"EKSİK"))))</f>
        <v/>
      </c>
      <c r="Q270" s="6" t="n"/>
      <c r="R270" s="6" t="n"/>
      <c r="S270" s="3">
        <f>IF($L270="","",UPPER(SUBSTITUTE(SUBSTITUTE(SUBSTITUTE(SUBSTITUTE(SUBSTITUTE(SUBSTITUTE(SUBSTITUTE(SUBSTITUTE(SUBSTITUTE(SUBSTITUTE(SUBSTITUTE(SUBSTITUTE(SUBSTITUTE(SUBSTITUTE(SUBSTITUTE(SUBSTITUTE(SUBSTITUTE(SUBSTITUTE(TRIM($L270),"'",""),"İ","I"),"ı","I"),"i","I"),"Ş","S"),"ş","S"),"Ğ","G"),"ğ","G"),"Ü","U"),"ü","U"),"Ö","O"),"ö","O"),"Ç","C"),"ç","C"),".",""),",","")," ",""),"-","")))</f>
        <v/>
      </c>
      <c r="T270" s="3">
        <f>IF(OR($C270="",$D270&lt;&gt;"Gelir",$L270=""),"",IFERROR(INDEX(MUSTERILER!$B$7:$B$106,MATCH($S270,MUSTERILER!$T$7:$T$106,0)),""))</f>
        <v/>
      </c>
      <c r="U270" s="3">
        <f>IF($T270="","",$T270&amp;"|"&amp;COUNTIFS($T$7:$T270,$T270))</f>
        <v/>
      </c>
      <c r="V270" s="3">
        <f>IF($T270="",0,1)</f>
        <v/>
      </c>
      <c r="W270" s="3">
        <f>IF($C270="","",$D270&amp;"|"&amp;$E270&amp;"|"&amp;TEXT($C270,"0")&amp;"|"&amp;TEXT($G270,"0")&amp;"|"&amp;$J270)</f>
        <v/>
      </c>
      <c r="X270" s="3" t="n"/>
      <c r="Y270" s="3" t="n"/>
      <c r="Z270" s="3" t="n"/>
      <c r="AA270" s="3" t="n"/>
      <c r="AB270" s="3" t="n"/>
      <c r="AC270" s="3" t="n"/>
      <c r="AD270" s="3">
        <f>IF($C270="",0,SUMPRODUCT((AY_SONU!$O$7:$O$42="Evet")*(AY_SONU!$B$7:$B$42=DATE(YEAR($C270),MONTH($C270),1))))</f>
        <v/>
      </c>
    </row>
    <row r="271">
      <c r="A271" s="6" t="n"/>
      <c r="B271" s="113">
        <f>IF($C271="","","GG"&amp;TEXT(ROW()-6,"00000"))</f>
        <v/>
      </c>
      <c r="C271" s="220" t="n"/>
      <c r="D271" s="108" t="n"/>
      <c r="E271" s="109" t="n"/>
      <c r="F271" s="109" t="n"/>
      <c r="G271" s="221" t="n"/>
      <c r="H271" s="108" t="n"/>
      <c r="I271" s="108" t="n"/>
      <c r="J271" s="109" t="n"/>
      <c r="K271" s="109" t="n"/>
      <c r="L271" s="108" t="n"/>
      <c r="M271" s="121">
        <f>IF($C271="","",IF($D271="Gider",$E271,IF($L271&lt;&gt;"",$L271,$H271)))</f>
        <v/>
      </c>
      <c r="N271" s="121">
        <f>IF($C271="","",IF($D271="Gider",$H271,$E271))</f>
        <v/>
      </c>
      <c r="O271" s="226">
        <f>IF($C271="","",DATE(YEAR($C271),MONTH($C271),1))</f>
        <v/>
      </c>
      <c r="P271" s="113">
        <f>IF($C271="","",IF(AND($D271="Gelir",$L271&lt;&gt;"",$T271=""),"TANIMSIZ BORÇLU",IF($T271&lt;&gt;"",IF(OR($E271="",$G271&lt;=0),"EKSİK",IF($I271="Evet","TAHAKKUK NAKİT OLAMAZ",IF($C271&gt;TODAY(),"İLERİ TARİH","TAHAKKUK"))),IF(AND($D271&lt;&gt;"",$E271&lt;&gt;"",$G271&gt;0,$H271&lt;&gt;"",$I271&lt;&gt;""),IF($C271&gt;TODAY(),"İLERİ TARİH",IF(COUNTIF($W$7:$W$1206,$W271)&gt;1,"MÜKERRER?",IF($AD271&gt;0,"KAPALI DÖNEM",IF($I271="Hayır","ÖDENECEK","UYGUN")))),"EKSİK"))))</f>
        <v/>
      </c>
      <c r="Q271" s="6" t="n"/>
      <c r="R271" s="6" t="n"/>
      <c r="S271" s="3">
        <f>IF($L271="","",UPPER(SUBSTITUTE(SUBSTITUTE(SUBSTITUTE(SUBSTITUTE(SUBSTITUTE(SUBSTITUTE(SUBSTITUTE(SUBSTITUTE(SUBSTITUTE(SUBSTITUTE(SUBSTITUTE(SUBSTITUTE(SUBSTITUTE(SUBSTITUTE(SUBSTITUTE(SUBSTITUTE(SUBSTITUTE(SUBSTITUTE(TRIM($L271),"'",""),"İ","I"),"ı","I"),"i","I"),"Ş","S"),"ş","S"),"Ğ","G"),"ğ","G"),"Ü","U"),"ü","U"),"Ö","O"),"ö","O"),"Ç","C"),"ç","C"),".",""),",","")," ",""),"-","")))</f>
        <v/>
      </c>
      <c r="T271" s="3">
        <f>IF(OR($C271="",$D271&lt;&gt;"Gelir",$L271=""),"",IFERROR(INDEX(MUSTERILER!$B$7:$B$106,MATCH($S271,MUSTERILER!$T$7:$T$106,0)),""))</f>
        <v/>
      </c>
      <c r="U271" s="3">
        <f>IF($T271="","",$T271&amp;"|"&amp;COUNTIFS($T$7:$T271,$T271))</f>
        <v/>
      </c>
      <c r="V271" s="3">
        <f>IF($T271="",0,1)</f>
        <v/>
      </c>
      <c r="W271" s="3">
        <f>IF($C271="","",$D271&amp;"|"&amp;$E271&amp;"|"&amp;TEXT($C271,"0")&amp;"|"&amp;TEXT($G271,"0")&amp;"|"&amp;$J271)</f>
        <v/>
      </c>
      <c r="X271" s="3" t="n"/>
      <c r="Y271" s="3" t="n"/>
      <c r="Z271" s="3" t="n"/>
      <c r="AA271" s="3" t="n"/>
      <c r="AB271" s="3" t="n"/>
      <c r="AC271" s="3" t="n"/>
      <c r="AD271" s="3">
        <f>IF($C271="",0,SUMPRODUCT((AY_SONU!$O$7:$O$42="Evet")*(AY_SONU!$B$7:$B$42=DATE(YEAR($C271),MONTH($C271),1))))</f>
        <v/>
      </c>
    </row>
    <row r="272">
      <c r="A272" s="6" t="n"/>
      <c r="B272" s="113">
        <f>IF($C272="","","GG"&amp;TEXT(ROW()-6,"00000"))</f>
        <v/>
      </c>
      <c r="C272" s="220" t="n"/>
      <c r="D272" s="108" t="n"/>
      <c r="E272" s="109" t="n"/>
      <c r="F272" s="109" t="n"/>
      <c r="G272" s="221" t="n"/>
      <c r="H272" s="108" t="n"/>
      <c r="I272" s="108" t="n"/>
      <c r="J272" s="109" t="n"/>
      <c r="K272" s="109" t="n"/>
      <c r="L272" s="108" t="n"/>
      <c r="M272" s="121">
        <f>IF($C272="","",IF($D272="Gider",$E272,IF($L272&lt;&gt;"",$L272,$H272)))</f>
        <v/>
      </c>
      <c r="N272" s="121">
        <f>IF($C272="","",IF($D272="Gider",$H272,$E272))</f>
        <v/>
      </c>
      <c r="O272" s="226">
        <f>IF($C272="","",DATE(YEAR($C272),MONTH($C272),1))</f>
        <v/>
      </c>
      <c r="P272" s="113">
        <f>IF($C272="","",IF(AND($D272="Gelir",$L272&lt;&gt;"",$T272=""),"TANIMSIZ BORÇLU",IF($T272&lt;&gt;"",IF(OR($E272="",$G272&lt;=0),"EKSİK",IF($I272="Evet","TAHAKKUK NAKİT OLAMAZ",IF($C272&gt;TODAY(),"İLERİ TARİH","TAHAKKUK"))),IF(AND($D272&lt;&gt;"",$E272&lt;&gt;"",$G272&gt;0,$H272&lt;&gt;"",$I272&lt;&gt;""),IF($C272&gt;TODAY(),"İLERİ TARİH",IF(COUNTIF($W$7:$W$1206,$W272)&gt;1,"MÜKERRER?",IF($AD272&gt;0,"KAPALI DÖNEM",IF($I272="Hayır","ÖDENECEK","UYGUN")))),"EKSİK"))))</f>
        <v/>
      </c>
      <c r="Q272" s="6" t="n"/>
      <c r="R272" s="6" t="n"/>
      <c r="S272" s="3">
        <f>IF($L272="","",UPPER(SUBSTITUTE(SUBSTITUTE(SUBSTITUTE(SUBSTITUTE(SUBSTITUTE(SUBSTITUTE(SUBSTITUTE(SUBSTITUTE(SUBSTITUTE(SUBSTITUTE(SUBSTITUTE(SUBSTITUTE(SUBSTITUTE(SUBSTITUTE(SUBSTITUTE(SUBSTITUTE(SUBSTITUTE(SUBSTITUTE(TRIM($L272),"'",""),"İ","I"),"ı","I"),"i","I"),"Ş","S"),"ş","S"),"Ğ","G"),"ğ","G"),"Ü","U"),"ü","U"),"Ö","O"),"ö","O"),"Ç","C"),"ç","C"),".",""),",","")," ",""),"-","")))</f>
        <v/>
      </c>
      <c r="T272" s="3">
        <f>IF(OR($C272="",$D272&lt;&gt;"Gelir",$L272=""),"",IFERROR(INDEX(MUSTERILER!$B$7:$B$106,MATCH($S272,MUSTERILER!$T$7:$T$106,0)),""))</f>
        <v/>
      </c>
      <c r="U272" s="3">
        <f>IF($T272="","",$T272&amp;"|"&amp;COUNTIFS($T$7:$T272,$T272))</f>
        <v/>
      </c>
      <c r="V272" s="3">
        <f>IF($T272="",0,1)</f>
        <v/>
      </c>
      <c r="W272" s="3">
        <f>IF($C272="","",$D272&amp;"|"&amp;$E272&amp;"|"&amp;TEXT($C272,"0")&amp;"|"&amp;TEXT($G272,"0")&amp;"|"&amp;$J272)</f>
        <v/>
      </c>
      <c r="X272" s="3" t="n"/>
      <c r="Y272" s="3" t="n"/>
      <c r="Z272" s="3" t="n"/>
      <c r="AA272" s="3" t="n"/>
      <c r="AB272" s="3" t="n"/>
      <c r="AC272" s="3" t="n"/>
      <c r="AD272" s="3">
        <f>IF($C272="",0,SUMPRODUCT((AY_SONU!$O$7:$O$42="Evet")*(AY_SONU!$B$7:$B$42=DATE(YEAR($C272),MONTH($C272),1))))</f>
        <v/>
      </c>
    </row>
    <row r="273">
      <c r="A273" s="6" t="n"/>
      <c r="B273" s="113">
        <f>IF($C273="","","GG"&amp;TEXT(ROW()-6,"00000"))</f>
        <v/>
      </c>
      <c r="C273" s="220" t="n"/>
      <c r="D273" s="108" t="n"/>
      <c r="E273" s="109" t="n"/>
      <c r="F273" s="109" t="n"/>
      <c r="G273" s="221" t="n"/>
      <c r="H273" s="108" t="n"/>
      <c r="I273" s="108" t="n"/>
      <c r="J273" s="109" t="n"/>
      <c r="K273" s="109" t="n"/>
      <c r="L273" s="108" t="n"/>
      <c r="M273" s="121">
        <f>IF($C273="","",IF($D273="Gider",$E273,IF($L273&lt;&gt;"",$L273,$H273)))</f>
        <v/>
      </c>
      <c r="N273" s="121">
        <f>IF($C273="","",IF($D273="Gider",$H273,$E273))</f>
        <v/>
      </c>
      <c r="O273" s="226">
        <f>IF($C273="","",DATE(YEAR($C273),MONTH($C273),1))</f>
        <v/>
      </c>
      <c r="P273" s="113">
        <f>IF($C273="","",IF(AND($D273="Gelir",$L273&lt;&gt;"",$T273=""),"TANIMSIZ BORÇLU",IF($T273&lt;&gt;"",IF(OR($E273="",$G273&lt;=0),"EKSİK",IF($I273="Evet","TAHAKKUK NAKİT OLAMAZ",IF($C273&gt;TODAY(),"İLERİ TARİH","TAHAKKUK"))),IF(AND($D273&lt;&gt;"",$E273&lt;&gt;"",$G273&gt;0,$H273&lt;&gt;"",$I273&lt;&gt;""),IF($C273&gt;TODAY(),"İLERİ TARİH",IF(COUNTIF($W$7:$W$1206,$W273)&gt;1,"MÜKERRER?",IF($AD273&gt;0,"KAPALI DÖNEM",IF($I273="Hayır","ÖDENECEK","UYGUN")))),"EKSİK"))))</f>
        <v/>
      </c>
      <c r="Q273" s="6" t="n"/>
      <c r="R273" s="6" t="n"/>
      <c r="S273" s="3">
        <f>IF($L273="","",UPPER(SUBSTITUTE(SUBSTITUTE(SUBSTITUTE(SUBSTITUTE(SUBSTITUTE(SUBSTITUTE(SUBSTITUTE(SUBSTITUTE(SUBSTITUTE(SUBSTITUTE(SUBSTITUTE(SUBSTITUTE(SUBSTITUTE(SUBSTITUTE(SUBSTITUTE(SUBSTITUTE(SUBSTITUTE(SUBSTITUTE(TRIM($L273),"'",""),"İ","I"),"ı","I"),"i","I"),"Ş","S"),"ş","S"),"Ğ","G"),"ğ","G"),"Ü","U"),"ü","U"),"Ö","O"),"ö","O"),"Ç","C"),"ç","C"),".",""),",","")," ",""),"-","")))</f>
        <v/>
      </c>
      <c r="T273" s="3">
        <f>IF(OR($C273="",$D273&lt;&gt;"Gelir",$L273=""),"",IFERROR(INDEX(MUSTERILER!$B$7:$B$106,MATCH($S273,MUSTERILER!$T$7:$T$106,0)),""))</f>
        <v/>
      </c>
      <c r="U273" s="3">
        <f>IF($T273="","",$T273&amp;"|"&amp;COUNTIFS($T$7:$T273,$T273))</f>
        <v/>
      </c>
      <c r="V273" s="3">
        <f>IF($T273="",0,1)</f>
        <v/>
      </c>
      <c r="W273" s="3">
        <f>IF($C273="","",$D273&amp;"|"&amp;$E273&amp;"|"&amp;TEXT($C273,"0")&amp;"|"&amp;TEXT($G273,"0")&amp;"|"&amp;$J273)</f>
        <v/>
      </c>
      <c r="X273" s="3" t="n"/>
      <c r="Y273" s="3" t="n"/>
      <c r="Z273" s="3" t="n"/>
      <c r="AA273" s="3" t="n"/>
      <c r="AB273" s="3" t="n"/>
      <c r="AC273" s="3" t="n"/>
      <c r="AD273" s="3">
        <f>IF($C273="",0,SUMPRODUCT((AY_SONU!$O$7:$O$42="Evet")*(AY_SONU!$B$7:$B$42=DATE(YEAR($C273),MONTH($C273),1))))</f>
        <v/>
      </c>
    </row>
    <row r="274">
      <c r="A274" s="6" t="n"/>
      <c r="B274" s="113">
        <f>IF($C274="","","GG"&amp;TEXT(ROW()-6,"00000"))</f>
        <v/>
      </c>
      <c r="C274" s="220" t="n"/>
      <c r="D274" s="108" t="n"/>
      <c r="E274" s="109" t="n"/>
      <c r="F274" s="109" t="n"/>
      <c r="G274" s="221" t="n"/>
      <c r="H274" s="108" t="n"/>
      <c r="I274" s="108" t="n"/>
      <c r="J274" s="109" t="n"/>
      <c r="K274" s="109" t="n"/>
      <c r="L274" s="108" t="n"/>
      <c r="M274" s="121">
        <f>IF($C274="","",IF($D274="Gider",$E274,IF($L274&lt;&gt;"",$L274,$H274)))</f>
        <v/>
      </c>
      <c r="N274" s="121">
        <f>IF($C274="","",IF($D274="Gider",$H274,$E274))</f>
        <v/>
      </c>
      <c r="O274" s="226">
        <f>IF($C274="","",DATE(YEAR($C274),MONTH($C274),1))</f>
        <v/>
      </c>
      <c r="P274" s="113">
        <f>IF($C274="","",IF(AND($D274="Gelir",$L274&lt;&gt;"",$T274=""),"TANIMSIZ BORÇLU",IF($T274&lt;&gt;"",IF(OR($E274="",$G274&lt;=0),"EKSİK",IF($I274="Evet","TAHAKKUK NAKİT OLAMAZ",IF($C274&gt;TODAY(),"İLERİ TARİH","TAHAKKUK"))),IF(AND($D274&lt;&gt;"",$E274&lt;&gt;"",$G274&gt;0,$H274&lt;&gt;"",$I274&lt;&gt;""),IF($C274&gt;TODAY(),"İLERİ TARİH",IF(COUNTIF($W$7:$W$1206,$W274)&gt;1,"MÜKERRER?",IF($AD274&gt;0,"KAPALI DÖNEM",IF($I274="Hayır","ÖDENECEK","UYGUN")))),"EKSİK"))))</f>
        <v/>
      </c>
      <c r="Q274" s="6" t="n"/>
      <c r="R274" s="6" t="n"/>
      <c r="S274" s="3">
        <f>IF($L274="","",UPPER(SUBSTITUTE(SUBSTITUTE(SUBSTITUTE(SUBSTITUTE(SUBSTITUTE(SUBSTITUTE(SUBSTITUTE(SUBSTITUTE(SUBSTITUTE(SUBSTITUTE(SUBSTITUTE(SUBSTITUTE(SUBSTITUTE(SUBSTITUTE(SUBSTITUTE(SUBSTITUTE(SUBSTITUTE(SUBSTITUTE(TRIM($L274),"'",""),"İ","I"),"ı","I"),"i","I"),"Ş","S"),"ş","S"),"Ğ","G"),"ğ","G"),"Ü","U"),"ü","U"),"Ö","O"),"ö","O"),"Ç","C"),"ç","C"),".",""),",","")," ",""),"-","")))</f>
        <v/>
      </c>
      <c r="T274" s="3">
        <f>IF(OR($C274="",$D274&lt;&gt;"Gelir",$L274=""),"",IFERROR(INDEX(MUSTERILER!$B$7:$B$106,MATCH($S274,MUSTERILER!$T$7:$T$106,0)),""))</f>
        <v/>
      </c>
      <c r="U274" s="3">
        <f>IF($T274="","",$T274&amp;"|"&amp;COUNTIFS($T$7:$T274,$T274))</f>
        <v/>
      </c>
      <c r="V274" s="3">
        <f>IF($T274="",0,1)</f>
        <v/>
      </c>
      <c r="W274" s="3">
        <f>IF($C274="","",$D274&amp;"|"&amp;$E274&amp;"|"&amp;TEXT($C274,"0")&amp;"|"&amp;TEXT($G274,"0")&amp;"|"&amp;$J274)</f>
        <v/>
      </c>
      <c r="X274" s="3" t="n"/>
      <c r="Y274" s="3" t="n"/>
      <c r="Z274" s="3" t="n"/>
      <c r="AA274" s="3" t="n"/>
      <c r="AB274" s="3" t="n"/>
      <c r="AC274" s="3" t="n"/>
      <c r="AD274" s="3">
        <f>IF($C274="",0,SUMPRODUCT((AY_SONU!$O$7:$O$42="Evet")*(AY_SONU!$B$7:$B$42=DATE(YEAR($C274),MONTH($C274),1))))</f>
        <v/>
      </c>
    </row>
    <row r="275">
      <c r="A275" s="6" t="n"/>
      <c r="B275" s="113">
        <f>IF($C275="","","GG"&amp;TEXT(ROW()-6,"00000"))</f>
        <v/>
      </c>
      <c r="C275" s="220" t="n"/>
      <c r="D275" s="108" t="n"/>
      <c r="E275" s="109" t="n"/>
      <c r="F275" s="109" t="n"/>
      <c r="G275" s="221" t="n"/>
      <c r="H275" s="108" t="n"/>
      <c r="I275" s="108" t="n"/>
      <c r="J275" s="109" t="n"/>
      <c r="K275" s="109" t="n"/>
      <c r="L275" s="108" t="n"/>
      <c r="M275" s="121">
        <f>IF($C275="","",IF($D275="Gider",$E275,IF($L275&lt;&gt;"",$L275,$H275)))</f>
        <v/>
      </c>
      <c r="N275" s="121">
        <f>IF($C275="","",IF($D275="Gider",$H275,$E275))</f>
        <v/>
      </c>
      <c r="O275" s="226">
        <f>IF($C275="","",DATE(YEAR($C275),MONTH($C275),1))</f>
        <v/>
      </c>
      <c r="P275" s="113">
        <f>IF($C275="","",IF(AND($D275="Gelir",$L275&lt;&gt;"",$T275=""),"TANIMSIZ BORÇLU",IF($T275&lt;&gt;"",IF(OR($E275="",$G275&lt;=0),"EKSİK",IF($I275="Evet","TAHAKKUK NAKİT OLAMAZ",IF($C275&gt;TODAY(),"İLERİ TARİH","TAHAKKUK"))),IF(AND($D275&lt;&gt;"",$E275&lt;&gt;"",$G275&gt;0,$H275&lt;&gt;"",$I275&lt;&gt;""),IF($C275&gt;TODAY(),"İLERİ TARİH",IF(COUNTIF($W$7:$W$1206,$W275)&gt;1,"MÜKERRER?",IF($AD275&gt;0,"KAPALI DÖNEM",IF($I275="Hayır","ÖDENECEK","UYGUN")))),"EKSİK"))))</f>
        <v/>
      </c>
      <c r="Q275" s="6" t="n"/>
      <c r="R275" s="6" t="n"/>
      <c r="S275" s="3">
        <f>IF($L275="","",UPPER(SUBSTITUTE(SUBSTITUTE(SUBSTITUTE(SUBSTITUTE(SUBSTITUTE(SUBSTITUTE(SUBSTITUTE(SUBSTITUTE(SUBSTITUTE(SUBSTITUTE(SUBSTITUTE(SUBSTITUTE(SUBSTITUTE(SUBSTITUTE(SUBSTITUTE(SUBSTITUTE(SUBSTITUTE(SUBSTITUTE(TRIM($L275),"'",""),"İ","I"),"ı","I"),"i","I"),"Ş","S"),"ş","S"),"Ğ","G"),"ğ","G"),"Ü","U"),"ü","U"),"Ö","O"),"ö","O"),"Ç","C"),"ç","C"),".",""),",","")," ",""),"-","")))</f>
        <v/>
      </c>
      <c r="T275" s="3">
        <f>IF(OR($C275="",$D275&lt;&gt;"Gelir",$L275=""),"",IFERROR(INDEX(MUSTERILER!$B$7:$B$106,MATCH($S275,MUSTERILER!$T$7:$T$106,0)),""))</f>
        <v/>
      </c>
      <c r="U275" s="3">
        <f>IF($T275="","",$T275&amp;"|"&amp;COUNTIFS($T$7:$T275,$T275))</f>
        <v/>
      </c>
      <c r="V275" s="3">
        <f>IF($T275="",0,1)</f>
        <v/>
      </c>
      <c r="W275" s="3">
        <f>IF($C275="","",$D275&amp;"|"&amp;$E275&amp;"|"&amp;TEXT($C275,"0")&amp;"|"&amp;TEXT($G275,"0")&amp;"|"&amp;$J275)</f>
        <v/>
      </c>
      <c r="X275" s="3" t="n"/>
      <c r="Y275" s="3" t="n"/>
      <c r="Z275" s="3" t="n"/>
      <c r="AA275" s="3" t="n"/>
      <c r="AB275" s="3" t="n"/>
      <c r="AC275" s="3" t="n"/>
      <c r="AD275" s="3">
        <f>IF($C275="",0,SUMPRODUCT((AY_SONU!$O$7:$O$42="Evet")*(AY_SONU!$B$7:$B$42=DATE(YEAR($C275),MONTH($C275),1))))</f>
        <v/>
      </c>
    </row>
    <row r="276">
      <c r="A276" s="6" t="n"/>
      <c r="B276" s="113">
        <f>IF($C276="","","GG"&amp;TEXT(ROW()-6,"00000"))</f>
        <v/>
      </c>
      <c r="C276" s="220" t="n"/>
      <c r="D276" s="108" t="n"/>
      <c r="E276" s="109" t="n"/>
      <c r="F276" s="109" t="n"/>
      <c r="G276" s="221" t="n"/>
      <c r="H276" s="108" t="n"/>
      <c r="I276" s="108" t="n"/>
      <c r="J276" s="109" t="n"/>
      <c r="K276" s="109" t="n"/>
      <c r="L276" s="108" t="n"/>
      <c r="M276" s="121">
        <f>IF($C276="","",IF($D276="Gider",$E276,IF($L276&lt;&gt;"",$L276,$H276)))</f>
        <v/>
      </c>
      <c r="N276" s="121">
        <f>IF($C276="","",IF($D276="Gider",$H276,$E276))</f>
        <v/>
      </c>
      <c r="O276" s="226">
        <f>IF($C276="","",DATE(YEAR($C276),MONTH($C276),1))</f>
        <v/>
      </c>
      <c r="P276" s="113">
        <f>IF($C276="","",IF(AND($D276="Gelir",$L276&lt;&gt;"",$T276=""),"TANIMSIZ BORÇLU",IF($T276&lt;&gt;"",IF(OR($E276="",$G276&lt;=0),"EKSİK",IF($I276="Evet","TAHAKKUK NAKİT OLAMAZ",IF($C276&gt;TODAY(),"İLERİ TARİH","TAHAKKUK"))),IF(AND($D276&lt;&gt;"",$E276&lt;&gt;"",$G276&gt;0,$H276&lt;&gt;"",$I276&lt;&gt;""),IF($C276&gt;TODAY(),"İLERİ TARİH",IF(COUNTIF($W$7:$W$1206,$W276)&gt;1,"MÜKERRER?",IF($AD276&gt;0,"KAPALI DÖNEM",IF($I276="Hayır","ÖDENECEK","UYGUN")))),"EKSİK"))))</f>
        <v/>
      </c>
      <c r="Q276" s="6" t="n"/>
      <c r="R276" s="6" t="n"/>
      <c r="S276" s="3">
        <f>IF($L276="","",UPPER(SUBSTITUTE(SUBSTITUTE(SUBSTITUTE(SUBSTITUTE(SUBSTITUTE(SUBSTITUTE(SUBSTITUTE(SUBSTITUTE(SUBSTITUTE(SUBSTITUTE(SUBSTITUTE(SUBSTITUTE(SUBSTITUTE(SUBSTITUTE(SUBSTITUTE(SUBSTITUTE(SUBSTITUTE(SUBSTITUTE(TRIM($L276),"'",""),"İ","I"),"ı","I"),"i","I"),"Ş","S"),"ş","S"),"Ğ","G"),"ğ","G"),"Ü","U"),"ü","U"),"Ö","O"),"ö","O"),"Ç","C"),"ç","C"),".",""),",","")," ",""),"-","")))</f>
        <v/>
      </c>
      <c r="T276" s="3">
        <f>IF(OR($C276="",$D276&lt;&gt;"Gelir",$L276=""),"",IFERROR(INDEX(MUSTERILER!$B$7:$B$106,MATCH($S276,MUSTERILER!$T$7:$T$106,0)),""))</f>
        <v/>
      </c>
      <c r="U276" s="3">
        <f>IF($T276="","",$T276&amp;"|"&amp;COUNTIFS($T$7:$T276,$T276))</f>
        <v/>
      </c>
      <c r="V276" s="3">
        <f>IF($T276="",0,1)</f>
        <v/>
      </c>
      <c r="W276" s="3">
        <f>IF($C276="","",$D276&amp;"|"&amp;$E276&amp;"|"&amp;TEXT($C276,"0")&amp;"|"&amp;TEXT($G276,"0")&amp;"|"&amp;$J276)</f>
        <v/>
      </c>
      <c r="X276" s="3" t="n"/>
      <c r="Y276" s="3" t="n"/>
      <c r="Z276" s="3" t="n"/>
      <c r="AA276" s="3" t="n"/>
      <c r="AB276" s="3" t="n"/>
      <c r="AC276" s="3" t="n"/>
      <c r="AD276" s="3">
        <f>IF($C276="",0,SUMPRODUCT((AY_SONU!$O$7:$O$42="Evet")*(AY_SONU!$B$7:$B$42=DATE(YEAR($C276),MONTH($C276),1))))</f>
        <v/>
      </c>
    </row>
    <row r="277">
      <c r="A277" s="6" t="n"/>
      <c r="B277" s="113">
        <f>IF($C277="","","GG"&amp;TEXT(ROW()-6,"00000"))</f>
        <v/>
      </c>
      <c r="C277" s="220" t="n"/>
      <c r="D277" s="108" t="n"/>
      <c r="E277" s="109" t="n"/>
      <c r="F277" s="109" t="n"/>
      <c r="G277" s="221" t="n"/>
      <c r="H277" s="108" t="n"/>
      <c r="I277" s="108" t="n"/>
      <c r="J277" s="109" t="n"/>
      <c r="K277" s="109" t="n"/>
      <c r="L277" s="108" t="n"/>
      <c r="M277" s="121">
        <f>IF($C277="","",IF($D277="Gider",$E277,IF($L277&lt;&gt;"",$L277,$H277)))</f>
        <v/>
      </c>
      <c r="N277" s="121">
        <f>IF($C277="","",IF($D277="Gider",$H277,$E277))</f>
        <v/>
      </c>
      <c r="O277" s="226">
        <f>IF($C277="","",DATE(YEAR($C277),MONTH($C277),1))</f>
        <v/>
      </c>
      <c r="P277" s="113">
        <f>IF($C277="","",IF(AND($D277="Gelir",$L277&lt;&gt;"",$T277=""),"TANIMSIZ BORÇLU",IF($T277&lt;&gt;"",IF(OR($E277="",$G277&lt;=0),"EKSİK",IF($I277="Evet","TAHAKKUK NAKİT OLAMAZ",IF($C277&gt;TODAY(),"İLERİ TARİH","TAHAKKUK"))),IF(AND($D277&lt;&gt;"",$E277&lt;&gt;"",$G277&gt;0,$H277&lt;&gt;"",$I277&lt;&gt;""),IF($C277&gt;TODAY(),"İLERİ TARİH",IF(COUNTIF($W$7:$W$1206,$W277)&gt;1,"MÜKERRER?",IF($AD277&gt;0,"KAPALI DÖNEM",IF($I277="Hayır","ÖDENECEK","UYGUN")))),"EKSİK"))))</f>
        <v/>
      </c>
      <c r="Q277" s="6" t="n"/>
      <c r="R277" s="6" t="n"/>
      <c r="S277" s="3">
        <f>IF($L277="","",UPPER(SUBSTITUTE(SUBSTITUTE(SUBSTITUTE(SUBSTITUTE(SUBSTITUTE(SUBSTITUTE(SUBSTITUTE(SUBSTITUTE(SUBSTITUTE(SUBSTITUTE(SUBSTITUTE(SUBSTITUTE(SUBSTITUTE(SUBSTITUTE(SUBSTITUTE(SUBSTITUTE(SUBSTITUTE(SUBSTITUTE(TRIM($L277),"'",""),"İ","I"),"ı","I"),"i","I"),"Ş","S"),"ş","S"),"Ğ","G"),"ğ","G"),"Ü","U"),"ü","U"),"Ö","O"),"ö","O"),"Ç","C"),"ç","C"),".",""),",","")," ",""),"-","")))</f>
        <v/>
      </c>
      <c r="T277" s="3">
        <f>IF(OR($C277="",$D277&lt;&gt;"Gelir",$L277=""),"",IFERROR(INDEX(MUSTERILER!$B$7:$B$106,MATCH($S277,MUSTERILER!$T$7:$T$106,0)),""))</f>
        <v/>
      </c>
      <c r="U277" s="3">
        <f>IF($T277="","",$T277&amp;"|"&amp;COUNTIFS($T$7:$T277,$T277))</f>
        <v/>
      </c>
      <c r="V277" s="3">
        <f>IF($T277="",0,1)</f>
        <v/>
      </c>
      <c r="W277" s="3">
        <f>IF($C277="","",$D277&amp;"|"&amp;$E277&amp;"|"&amp;TEXT($C277,"0")&amp;"|"&amp;TEXT($G277,"0")&amp;"|"&amp;$J277)</f>
        <v/>
      </c>
      <c r="X277" s="3" t="n"/>
      <c r="Y277" s="3" t="n"/>
      <c r="Z277" s="3" t="n"/>
      <c r="AA277" s="3" t="n"/>
      <c r="AB277" s="3" t="n"/>
      <c r="AC277" s="3" t="n"/>
      <c r="AD277" s="3">
        <f>IF($C277="",0,SUMPRODUCT((AY_SONU!$O$7:$O$42="Evet")*(AY_SONU!$B$7:$B$42=DATE(YEAR($C277),MONTH($C277),1))))</f>
        <v/>
      </c>
    </row>
    <row r="278">
      <c r="A278" s="6" t="n"/>
      <c r="B278" s="113">
        <f>IF($C278="","","GG"&amp;TEXT(ROW()-6,"00000"))</f>
        <v/>
      </c>
      <c r="C278" s="220" t="n"/>
      <c r="D278" s="108" t="n"/>
      <c r="E278" s="109" t="n"/>
      <c r="F278" s="109" t="n"/>
      <c r="G278" s="221" t="n"/>
      <c r="H278" s="108" t="n"/>
      <c r="I278" s="108" t="n"/>
      <c r="J278" s="109" t="n"/>
      <c r="K278" s="109" t="n"/>
      <c r="L278" s="108" t="n"/>
      <c r="M278" s="121">
        <f>IF($C278="","",IF($D278="Gider",$E278,IF($L278&lt;&gt;"",$L278,$H278)))</f>
        <v/>
      </c>
      <c r="N278" s="121">
        <f>IF($C278="","",IF($D278="Gider",$H278,$E278))</f>
        <v/>
      </c>
      <c r="O278" s="226">
        <f>IF($C278="","",DATE(YEAR($C278),MONTH($C278),1))</f>
        <v/>
      </c>
      <c r="P278" s="113">
        <f>IF($C278="","",IF(AND($D278="Gelir",$L278&lt;&gt;"",$T278=""),"TANIMSIZ BORÇLU",IF($T278&lt;&gt;"",IF(OR($E278="",$G278&lt;=0),"EKSİK",IF($I278="Evet","TAHAKKUK NAKİT OLAMAZ",IF($C278&gt;TODAY(),"İLERİ TARİH","TAHAKKUK"))),IF(AND($D278&lt;&gt;"",$E278&lt;&gt;"",$G278&gt;0,$H278&lt;&gt;"",$I278&lt;&gt;""),IF($C278&gt;TODAY(),"İLERİ TARİH",IF(COUNTIF($W$7:$W$1206,$W278)&gt;1,"MÜKERRER?",IF($AD278&gt;0,"KAPALI DÖNEM",IF($I278="Hayır","ÖDENECEK","UYGUN")))),"EKSİK"))))</f>
        <v/>
      </c>
      <c r="Q278" s="6" t="n"/>
      <c r="R278" s="6" t="n"/>
      <c r="S278" s="3">
        <f>IF($L278="","",UPPER(SUBSTITUTE(SUBSTITUTE(SUBSTITUTE(SUBSTITUTE(SUBSTITUTE(SUBSTITUTE(SUBSTITUTE(SUBSTITUTE(SUBSTITUTE(SUBSTITUTE(SUBSTITUTE(SUBSTITUTE(SUBSTITUTE(SUBSTITUTE(SUBSTITUTE(SUBSTITUTE(SUBSTITUTE(SUBSTITUTE(TRIM($L278),"'",""),"İ","I"),"ı","I"),"i","I"),"Ş","S"),"ş","S"),"Ğ","G"),"ğ","G"),"Ü","U"),"ü","U"),"Ö","O"),"ö","O"),"Ç","C"),"ç","C"),".",""),",","")," ",""),"-","")))</f>
        <v/>
      </c>
      <c r="T278" s="3">
        <f>IF(OR($C278="",$D278&lt;&gt;"Gelir",$L278=""),"",IFERROR(INDEX(MUSTERILER!$B$7:$B$106,MATCH($S278,MUSTERILER!$T$7:$T$106,0)),""))</f>
        <v/>
      </c>
      <c r="U278" s="3">
        <f>IF($T278="","",$T278&amp;"|"&amp;COUNTIFS($T$7:$T278,$T278))</f>
        <v/>
      </c>
      <c r="V278" s="3">
        <f>IF($T278="",0,1)</f>
        <v/>
      </c>
      <c r="W278" s="3">
        <f>IF($C278="","",$D278&amp;"|"&amp;$E278&amp;"|"&amp;TEXT($C278,"0")&amp;"|"&amp;TEXT($G278,"0")&amp;"|"&amp;$J278)</f>
        <v/>
      </c>
      <c r="X278" s="3" t="n"/>
      <c r="Y278" s="3" t="n"/>
      <c r="Z278" s="3" t="n"/>
      <c r="AA278" s="3" t="n"/>
      <c r="AB278" s="3" t="n"/>
      <c r="AC278" s="3" t="n"/>
      <c r="AD278" s="3">
        <f>IF($C278="",0,SUMPRODUCT((AY_SONU!$O$7:$O$42="Evet")*(AY_SONU!$B$7:$B$42=DATE(YEAR($C278),MONTH($C278),1))))</f>
        <v/>
      </c>
    </row>
    <row r="279">
      <c r="A279" s="6" t="n"/>
      <c r="B279" s="113">
        <f>IF($C279="","","GG"&amp;TEXT(ROW()-6,"00000"))</f>
        <v/>
      </c>
      <c r="C279" s="220" t="n"/>
      <c r="D279" s="108" t="n"/>
      <c r="E279" s="109" t="n"/>
      <c r="F279" s="109" t="n"/>
      <c r="G279" s="221" t="n"/>
      <c r="H279" s="108" t="n"/>
      <c r="I279" s="108" t="n"/>
      <c r="J279" s="109" t="n"/>
      <c r="K279" s="109" t="n"/>
      <c r="L279" s="108" t="n"/>
      <c r="M279" s="121">
        <f>IF($C279="","",IF($D279="Gider",$E279,IF($L279&lt;&gt;"",$L279,$H279)))</f>
        <v/>
      </c>
      <c r="N279" s="121">
        <f>IF($C279="","",IF($D279="Gider",$H279,$E279))</f>
        <v/>
      </c>
      <c r="O279" s="226">
        <f>IF($C279="","",DATE(YEAR($C279),MONTH($C279),1))</f>
        <v/>
      </c>
      <c r="P279" s="113">
        <f>IF($C279="","",IF(AND($D279="Gelir",$L279&lt;&gt;"",$T279=""),"TANIMSIZ BORÇLU",IF($T279&lt;&gt;"",IF(OR($E279="",$G279&lt;=0),"EKSİK",IF($I279="Evet","TAHAKKUK NAKİT OLAMAZ",IF($C279&gt;TODAY(),"İLERİ TARİH","TAHAKKUK"))),IF(AND($D279&lt;&gt;"",$E279&lt;&gt;"",$G279&gt;0,$H279&lt;&gt;"",$I279&lt;&gt;""),IF($C279&gt;TODAY(),"İLERİ TARİH",IF(COUNTIF($W$7:$W$1206,$W279)&gt;1,"MÜKERRER?",IF($AD279&gt;0,"KAPALI DÖNEM",IF($I279="Hayır","ÖDENECEK","UYGUN")))),"EKSİK"))))</f>
        <v/>
      </c>
      <c r="Q279" s="6" t="n"/>
      <c r="R279" s="6" t="n"/>
      <c r="S279" s="3">
        <f>IF($L279="","",UPPER(SUBSTITUTE(SUBSTITUTE(SUBSTITUTE(SUBSTITUTE(SUBSTITUTE(SUBSTITUTE(SUBSTITUTE(SUBSTITUTE(SUBSTITUTE(SUBSTITUTE(SUBSTITUTE(SUBSTITUTE(SUBSTITUTE(SUBSTITUTE(SUBSTITUTE(SUBSTITUTE(SUBSTITUTE(SUBSTITUTE(TRIM($L279),"'",""),"İ","I"),"ı","I"),"i","I"),"Ş","S"),"ş","S"),"Ğ","G"),"ğ","G"),"Ü","U"),"ü","U"),"Ö","O"),"ö","O"),"Ç","C"),"ç","C"),".",""),",","")," ",""),"-","")))</f>
        <v/>
      </c>
      <c r="T279" s="3">
        <f>IF(OR($C279="",$D279&lt;&gt;"Gelir",$L279=""),"",IFERROR(INDEX(MUSTERILER!$B$7:$B$106,MATCH($S279,MUSTERILER!$T$7:$T$106,0)),""))</f>
        <v/>
      </c>
      <c r="U279" s="3">
        <f>IF($T279="","",$T279&amp;"|"&amp;COUNTIFS($T$7:$T279,$T279))</f>
        <v/>
      </c>
      <c r="V279" s="3">
        <f>IF($T279="",0,1)</f>
        <v/>
      </c>
      <c r="W279" s="3">
        <f>IF($C279="","",$D279&amp;"|"&amp;$E279&amp;"|"&amp;TEXT($C279,"0")&amp;"|"&amp;TEXT($G279,"0")&amp;"|"&amp;$J279)</f>
        <v/>
      </c>
      <c r="X279" s="3" t="n"/>
      <c r="Y279" s="3" t="n"/>
      <c r="Z279" s="3" t="n"/>
      <c r="AA279" s="3" t="n"/>
      <c r="AB279" s="3" t="n"/>
      <c r="AC279" s="3" t="n"/>
      <c r="AD279" s="3">
        <f>IF($C279="",0,SUMPRODUCT((AY_SONU!$O$7:$O$42="Evet")*(AY_SONU!$B$7:$B$42=DATE(YEAR($C279),MONTH($C279),1))))</f>
        <v/>
      </c>
    </row>
    <row r="280">
      <c r="A280" s="6" t="n"/>
      <c r="B280" s="113">
        <f>IF($C280="","","GG"&amp;TEXT(ROW()-6,"00000"))</f>
        <v/>
      </c>
      <c r="C280" s="220" t="n"/>
      <c r="D280" s="108" t="n"/>
      <c r="E280" s="109" t="n"/>
      <c r="F280" s="109" t="n"/>
      <c r="G280" s="221" t="n"/>
      <c r="H280" s="108" t="n"/>
      <c r="I280" s="108" t="n"/>
      <c r="J280" s="109" t="n"/>
      <c r="K280" s="109" t="n"/>
      <c r="L280" s="108" t="n"/>
      <c r="M280" s="121">
        <f>IF($C280="","",IF($D280="Gider",$E280,IF($L280&lt;&gt;"",$L280,$H280)))</f>
        <v/>
      </c>
      <c r="N280" s="121">
        <f>IF($C280="","",IF($D280="Gider",$H280,$E280))</f>
        <v/>
      </c>
      <c r="O280" s="226">
        <f>IF($C280="","",DATE(YEAR($C280),MONTH($C280),1))</f>
        <v/>
      </c>
      <c r="P280" s="113">
        <f>IF($C280="","",IF(AND($D280="Gelir",$L280&lt;&gt;"",$T280=""),"TANIMSIZ BORÇLU",IF($T280&lt;&gt;"",IF(OR($E280="",$G280&lt;=0),"EKSİK",IF($I280="Evet","TAHAKKUK NAKİT OLAMAZ",IF($C280&gt;TODAY(),"İLERİ TARİH","TAHAKKUK"))),IF(AND($D280&lt;&gt;"",$E280&lt;&gt;"",$G280&gt;0,$H280&lt;&gt;"",$I280&lt;&gt;""),IF($C280&gt;TODAY(),"İLERİ TARİH",IF(COUNTIF($W$7:$W$1206,$W280)&gt;1,"MÜKERRER?",IF($AD280&gt;0,"KAPALI DÖNEM",IF($I280="Hayır","ÖDENECEK","UYGUN")))),"EKSİK"))))</f>
        <v/>
      </c>
      <c r="Q280" s="6" t="n"/>
      <c r="R280" s="6" t="n"/>
      <c r="S280" s="3">
        <f>IF($L280="","",UPPER(SUBSTITUTE(SUBSTITUTE(SUBSTITUTE(SUBSTITUTE(SUBSTITUTE(SUBSTITUTE(SUBSTITUTE(SUBSTITUTE(SUBSTITUTE(SUBSTITUTE(SUBSTITUTE(SUBSTITUTE(SUBSTITUTE(SUBSTITUTE(SUBSTITUTE(SUBSTITUTE(SUBSTITUTE(SUBSTITUTE(TRIM($L280),"'",""),"İ","I"),"ı","I"),"i","I"),"Ş","S"),"ş","S"),"Ğ","G"),"ğ","G"),"Ü","U"),"ü","U"),"Ö","O"),"ö","O"),"Ç","C"),"ç","C"),".",""),",","")," ",""),"-","")))</f>
        <v/>
      </c>
      <c r="T280" s="3">
        <f>IF(OR($C280="",$D280&lt;&gt;"Gelir",$L280=""),"",IFERROR(INDEX(MUSTERILER!$B$7:$B$106,MATCH($S280,MUSTERILER!$T$7:$T$106,0)),""))</f>
        <v/>
      </c>
      <c r="U280" s="3">
        <f>IF($T280="","",$T280&amp;"|"&amp;COUNTIFS($T$7:$T280,$T280))</f>
        <v/>
      </c>
      <c r="V280" s="3">
        <f>IF($T280="",0,1)</f>
        <v/>
      </c>
      <c r="W280" s="3">
        <f>IF($C280="","",$D280&amp;"|"&amp;$E280&amp;"|"&amp;TEXT($C280,"0")&amp;"|"&amp;TEXT($G280,"0")&amp;"|"&amp;$J280)</f>
        <v/>
      </c>
      <c r="X280" s="3" t="n"/>
      <c r="Y280" s="3" t="n"/>
      <c r="Z280" s="3" t="n"/>
      <c r="AA280" s="3" t="n"/>
      <c r="AB280" s="3" t="n"/>
      <c r="AC280" s="3" t="n"/>
      <c r="AD280" s="3">
        <f>IF($C280="",0,SUMPRODUCT((AY_SONU!$O$7:$O$42="Evet")*(AY_SONU!$B$7:$B$42=DATE(YEAR($C280),MONTH($C280),1))))</f>
        <v/>
      </c>
    </row>
    <row r="281">
      <c r="A281" s="6" t="n"/>
      <c r="B281" s="113">
        <f>IF($C281="","","GG"&amp;TEXT(ROW()-6,"00000"))</f>
        <v/>
      </c>
      <c r="C281" s="220" t="n"/>
      <c r="D281" s="108" t="n"/>
      <c r="E281" s="109" t="n"/>
      <c r="F281" s="109" t="n"/>
      <c r="G281" s="221" t="n"/>
      <c r="H281" s="108" t="n"/>
      <c r="I281" s="108" t="n"/>
      <c r="J281" s="109" t="n"/>
      <c r="K281" s="109" t="n"/>
      <c r="L281" s="108" t="n"/>
      <c r="M281" s="121">
        <f>IF($C281="","",IF($D281="Gider",$E281,IF($L281&lt;&gt;"",$L281,$H281)))</f>
        <v/>
      </c>
      <c r="N281" s="121">
        <f>IF($C281="","",IF($D281="Gider",$H281,$E281))</f>
        <v/>
      </c>
      <c r="O281" s="226">
        <f>IF($C281="","",DATE(YEAR($C281),MONTH($C281),1))</f>
        <v/>
      </c>
      <c r="P281" s="113">
        <f>IF($C281="","",IF(AND($D281="Gelir",$L281&lt;&gt;"",$T281=""),"TANIMSIZ BORÇLU",IF($T281&lt;&gt;"",IF(OR($E281="",$G281&lt;=0),"EKSİK",IF($I281="Evet","TAHAKKUK NAKİT OLAMAZ",IF($C281&gt;TODAY(),"İLERİ TARİH","TAHAKKUK"))),IF(AND($D281&lt;&gt;"",$E281&lt;&gt;"",$G281&gt;0,$H281&lt;&gt;"",$I281&lt;&gt;""),IF($C281&gt;TODAY(),"İLERİ TARİH",IF(COUNTIF($W$7:$W$1206,$W281)&gt;1,"MÜKERRER?",IF($AD281&gt;0,"KAPALI DÖNEM",IF($I281="Hayır","ÖDENECEK","UYGUN")))),"EKSİK"))))</f>
        <v/>
      </c>
      <c r="Q281" s="6" t="n"/>
      <c r="R281" s="6" t="n"/>
      <c r="S281" s="3">
        <f>IF($L281="","",UPPER(SUBSTITUTE(SUBSTITUTE(SUBSTITUTE(SUBSTITUTE(SUBSTITUTE(SUBSTITUTE(SUBSTITUTE(SUBSTITUTE(SUBSTITUTE(SUBSTITUTE(SUBSTITUTE(SUBSTITUTE(SUBSTITUTE(SUBSTITUTE(SUBSTITUTE(SUBSTITUTE(SUBSTITUTE(SUBSTITUTE(TRIM($L281),"'",""),"İ","I"),"ı","I"),"i","I"),"Ş","S"),"ş","S"),"Ğ","G"),"ğ","G"),"Ü","U"),"ü","U"),"Ö","O"),"ö","O"),"Ç","C"),"ç","C"),".",""),",","")," ",""),"-","")))</f>
        <v/>
      </c>
      <c r="T281" s="3">
        <f>IF(OR($C281="",$D281&lt;&gt;"Gelir",$L281=""),"",IFERROR(INDEX(MUSTERILER!$B$7:$B$106,MATCH($S281,MUSTERILER!$T$7:$T$106,0)),""))</f>
        <v/>
      </c>
      <c r="U281" s="3">
        <f>IF($T281="","",$T281&amp;"|"&amp;COUNTIFS($T$7:$T281,$T281))</f>
        <v/>
      </c>
      <c r="V281" s="3">
        <f>IF($T281="",0,1)</f>
        <v/>
      </c>
      <c r="W281" s="3">
        <f>IF($C281="","",$D281&amp;"|"&amp;$E281&amp;"|"&amp;TEXT($C281,"0")&amp;"|"&amp;TEXT($G281,"0")&amp;"|"&amp;$J281)</f>
        <v/>
      </c>
      <c r="X281" s="3" t="n"/>
      <c r="Y281" s="3" t="n"/>
      <c r="Z281" s="3" t="n"/>
      <c r="AA281" s="3" t="n"/>
      <c r="AB281" s="3" t="n"/>
      <c r="AC281" s="3" t="n"/>
      <c r="AD281" s="3">
        <f>IF($C281="",0,SUMPRODUCT((AY_SONU!$O$7:$O$42="Evet")*(AY_SONU!$B$7:$B$42=DATE(YEAR($C281),MONTH($C281),1))))</f>
        <v/>
      </c>
    </row>
    <row r="282">
      <c r="A282" s="6" t="n"/>
      <c r="B282" s="113">
        <f>IF($C282="","","GG"&amp;TEXT(ROW()-6,"00000"))</f>
        <v/>
      </c>
      <c r="C282" s="220" t="n"/>
      <c r="D282" s="108" t="n"/>
      <c r="E282" s="109" t="n"/>
      <c r="F282" s="109" t="n"/>
      <c r="G282" s="221" t="n"/>
      <c r="H282" s="108" t="n"/>
      <c r="I282" s="108" t="n"/>
      <c r="J282" s="109" t="n"/>
      <c r="K282" s="109" t="n"/>
      <c r="L282" s="108" t="n"/>
      <c r="M282" s="121">
        <f>IF($C282="","",IF($D282="Gider",$E282,IF($L282&lt;&gt;"",$L282,$H282)))</f>
        <v/>
      </c>
      <c r="N282" s="121">
        <f>IF($C282="","",IF($D282="Gider",$H282,$E282))</f>
        <v/>
      </c>
      <c r="O282" s="226">
        <f>IF($C282="","",DATE(YEAR($C282),MONTH($C282),1))</f>
        <v/>
      </c>
      <c r="P282" s="113">
        <f>IF($C282="","",IF(AND($D282="Gelir",$L282&lt;&gt;"",$T282=""),"TANIMSIZ BORÇLU",IF($T282&lt;&gt;"",IF(OR($E282="",$G282&lt;=0),"EKSİK",IF($I282="Evet","TAHAKKUK NAKİT OLAMAZ",IF($C282&gt;TODAY(),"İLERİ TARİH","TAHAKKUK"))),IF(AND($D282&lt;&gt;"",$E282&lt;&gt;"",$G282&gt;0,$H282&lt;&gt;"",$I282&lt;&gt;""),IF($C282&gt;TODAY(),"İLERİ TARİH",IF(COUNTIF($W$7:$W$1206,$W282)&gt;1,"MÜKERRER?",IF($AD282&gt;0,"KAPALI DÖNEM",IF($I282="Hayır","ÖDENECEK","UYGUN")))),"EKSİK"))))</f>
        <v/>
      </c>
      <c r="Q282" s="6" t="n"/>
      <c r="R282" s="6" t="n"/>
      <c r="S282" s="3">
        <f>IF($L282="","",UPPER(SUBSTITUTE(SUBSTITUTE(SUBSTITUTE(SUBSTITUTE(SUBSTITUTE(SUBSTITUTE(SUBSTITUTE(SUBSTITUTE(SUBSTITUTE(SUBSTITUTE(SUBSTITUTE(SUBSTITUTE(SUBSTITUTE(SUBSTITUTE(SUBSTITUTE(SUBSTITUTE(SUBSTITUTE(SUBSTITUTE(TRIM($L282),"'",""),"İ","I"),"ı","I"),"i","I"),"Ş","S"),"ş","S"),"Ğ","G"),"ğ","G"),"Ü","U"),"ü","U"),"Ö","O"),"ö","O"),"Ç","C"),"ç","C"),".",""),",","")," ",""),"-","")))</f>
        <v/>
      </c>
      <c r="T282" s="3">
        <f>IF(OR($C282="",$D282&lt;&gt;"Gelir",$L282=""),"",IFERROR(INDEX(MUSTERILER!$B$7:$B$106,MATCH($S282,MUSTERILER!$T$7:$T$106,0)),""))</f>
        <v/>
      </c>
      <c r="U282" s="3">
        <f>IF($T282="","",$T282&amp;"|"&amp;COUNTIFS($T$7:$T282,$T282))</f>
        <v/>
      </c>
      <c r="V282" s="3">
        <f>IF($T282="",0,1)</f>
        <v/>
      </c>
      <c r="W282" s="3">
        <f>IF($C282="","",$D282&amp;"|"&amp;$E282&amp;"|"&amp;TEXT($C282,"0")&amp;"|"&amp;TEXT($G282,"0")&amp;"|"&amp;$J282)</f>
        <v/>
      </c>
      <c r="X282" s="3" t="n"/>
      <c r="Y282" s="3" t="n"/>
      <c r="Z282" s="3" t="n"/>
      <c r="AA282" s="3" t="n"/>
      <c r="AB282" s="3" t="n"/>
      <c r="AC282" s="3" t="n"/>
      <c r="AD282" s="3">
        <f>IF($C282="",0,SUMPRODUCT((AY_SONU!$O$7:$O$42="Evet")*(AY_SONU!$B$7:$B$42=DATE(YEAR($C282),MONTH($C282),1))))</f>
        <v/>
      </c>
    </row>
    <row r="283">
      <c r="A283" s="6" t="n"/>
      <c r="B283" s="113">
        <f>IF($C283="","","GG"&amp;TEXT(ROW()-6,"00000"))</f>
        <v/>
      </c>
      <c r="C283" s="220" t="n"/>
      <c r="D283" s="108" t="n"/>
      <c r="E283" s="109" t="n"/>
      <c r="F283" s="109" t="n"/>
      <c r="G283" s="221" t="n"/>
      <c r="H283" s="108" t="n"/>
      <c r="I283" s="108" t="n"/>
      <c r="J283" s="109" t="n"/>
      <c r="K283" s="109" t="n"/>
      <c r="L283" s="108" t="n"/>
      <c r="M283" s="121">
        <f>IF($C283="","",IF($D283="Gider",$E283,IF($L283&lt;&gt;"",$L283,$H283)))</f>
        <v/>
      </c>
      <c r="N283" s="121">
        <f>IF($C283="","",IF($D283="Gider",$H283,$E283))</f>
        <v/>
      </c>
      <c r="O283" s="226">
        <f>IF($C283="","",DATE(YEAR($C283),MONTH($C283),1))</f>
        <v/>
      </c>
      <c r="P283" s="113">
        <f>IF($C283="","",IF(AND($D283="Gelir",$L283&lt;&gt;"",$T283=""),"TANIMSIZ BORÇLU",IF($T283&lt;&gt;"",IF(OR($E283="",$G283&lt;=0),"EKSİK",IF($I283="Evet","TAHAKKUK NAKİT OLAMAZ",IF($C283&gt;TODAY(),"İLERİ TARİH","TAHAKKUK"))),IF(AND($D283&lt;&gt;"",$E283&lt;&gt;"",$G283&gt;0,$H283&lt;&gt;"",$I283&lt;&gt;""),IF($C283&gt;TODAY(),"İLERİ TARİH",IF(COUNTIF($W$7:$W$1206,$W283)&gt;1,"MÜKERRER?",IF($AD283&gt;0,"KAPALI DÖNEM",IF($I283="Hayır","ÖDENECEK","UYGUN")))),"EKSİK"))))</f>
        <v/>
      </c>
      <c r="Q283" s="6" t="n"/>
      <c r="R283" s="6" t="n"/>
      <c r="S283" s="3">
        <f>IF($L283="","",UPPER(SUBSTITUTE(SUBSTITUTE(SUBSTITUTE(SUBSTITUTE(SUBSTITUTE(SUBSTITUTE(SUBSTITUTE(SUBSTITUTE(SUBSTITUTE(SUBSTITUTE(SUBSTITUTE(SUBSTITUTE(SUBSTITUTE(SUBSTITUTE(SUBSTITUTE(SUBSTITUTE(SUBSTITUTE(SUBSTITUTE(TRIM($L283),"'",""),"İ","I"),"ı","I"),"i","I"),"Ş","S"),"ş","S"),"Ğ","G"),"ğ","G"),"Ü","U"),"ü","U"),"Ö","O"),"ö","O"),"Ç","C"),"ç","C"),".",""),",","")," ",""),"-","")))</f>
        <v/>
      </c>
      <c r="T283" s="3">
        <f>IF(OR($C283="",$D283&lt;&gt;"Gelir",$L283=""),"",IFERROR(INDEX(MUSTERILER!$B$7:$B$106,MATCH($S283,MUSTERILER!$T$7:$T$106,0)),""))</f>
        <v/>
      </c>
      <c r="U283" s="3">
        <f>IF($T283="","",$T283&amp;"|"&amp;COUNTIFS($T$7:$T283,$T283))</f>
        <v/>
      </c>
      <c r="V283" s="3">
        <f>IF($T283="",0,1)</f>
        <v/>
      </c>
      <c r="W283" s="3">
        <f>IF($C283="","",$D283&amp;"|"&amp;$E283&amp;"|"&amp;TEXT($C283,"0")&amp;"|"&amp;TEXT($G283,"0")&amp;"|"&amp;$J283)</f>
        <v/>
      </c>
      <c r="X283" s="3" t="n"/>
      <c r="Y283" s="3" t="n"/>
      <c r="Z283" s="3" t="n"/>
      <c r="AA283" s="3" t="n"/>
      <c r="AB283" s="3" t="n"/>
      <c r="AC283" s="3" t="n"/>
      <c r="AD283" s="3">
        <f>IF($C283="",0,SUMPRODUCT((AY_SONU!$O$7:$O$42="Evet")*(AY_SONU!$B$7:$B$42=DATE(YEAR($C283),MONTH($C283),1))))</f>
        <v/>
      </c>
    </row>
    <row r="284">
      <c r="A284" s="6" t="n"/>
      <c r="B284" s="113">
        <f>IF($C284="","","GG"&amp;TEXT(ROW()-6,"00000"))</f>
        <v/>
      </c>
      <c r="C284" s="220" t="n"/>
      <c r="D284" s="108" t="n"/>
      <c r="E284" s="109" t="n"/>
      <c r="F284" s="109" t="n"/>
      <c r="G284" s="221" t="n"/>
      <c r="H284" s="108" t="n"/>
      <c r="I284" s="108" t="n"/>
      <c r="J284" s="109" t="n"/>
      <c r="K284" s="109" t="n"/>
      <c r="L284" s="108" t="n"/>
      <c r="M284" s="121">
        <f>IF($C284="","",IF($D284="Gider",$E284,IF($L284&lt;&gt;"",$L284,$H284)))</f>
        <v/>
      </c>
      <c r="N284" s="121">
        <f>IF($C284="","",IF($D284="Gider",$H284,$E284))</f>
        <v/>
      </c>
      <c r="O284" s="226">
        <f>IF($C284="","",DATE(YEAR($C284),MONTH($C284),1))</f>
        <v/>
      </c>
      <c r="P284" s="113">
        <f>IF($C284="","",IF(AND($D284="Gelir",$L284&lt;&gt;"",$T284=""),"TANIMSIZ BORÇLU",IF($T284&lt;&gt;"",IF(OR($E284="",$G284&lt;=0),"EKSİK",IF($I284="Evet","TAHAKKUK NAKİT OLAMAZ",IF($C284&gt;TODAY(),"İLERİ TARİH","TAHAKKUK"))),IF(AND($D284&lt;&gt;"",$E284&lt;&gt;"",$G284&gt;0,$H284&lt;&gt;"",$I284&lt;&gt;""),IF($C284&gt;TODAY(),"İLERİ TARİH",IF(COUNTIF($W$7:$W$1206,$W284)&gt;1,"MÜKERRER?",IF($AD284&gt;0,"KAPALI DÖNEM",IF($I284="Hayır","ÖDENECEK","UYGUN")))),"EKSİK"))))</f>
        <v/>
      </c>
      <c r="Q284" s="6" t="n"/>
      <c r="R284" s="6" t="n"/>
      <c r="S284" s="3">
        <f>IF($L284="","",UPPER(SUBSTITUTE(SUBSTITUTE(SUBSTITUTE(SUBSTITUTE(SUBSTITUTE(SUBSTITUTE(SUBSTITUTE(SUBSTITUTE(SUBSTITUTE(SUBSTITUTE(SUBSTITUTE(SUBSTITUTE(SUBSTITUTE(SUBSTITUTE(SUBSTITUTE(SUBSTITUTE(SUBSTITUTE(SUBSTITUTE(TRIM($L284),"'",""),"İ","I"),"ı","I"),"i","I"),"Ş","S"),"ş","S"),"Ğ","G"),"ğ","G"),"Ü","U"),"ü","U"),"Ö","O"),"ö","O"),"Ç","C"),"ç","C"),".",""),",","")," ",""),"-","")))</f>
        <v/>
      </c>
      <c r="T284" s="3">
        <f>IF(OR($C284="",$D284&lt;&gt;"Gelir",$L284=""),"",IFERROR(INDEX(MUSTERILER!$B$7:$B$106,MATCH($S284,MUSTERILER!$T$7:$T$106,0)),""))</f>
        <v/>
      </c>
      <c r="U284" s="3">
        <f>IF($T284="","",$T284&amp;"|"&amp;COUNTIFS($T$7:$T284,$T284))</f>
        <v/>
      </c>
      <c r="V284" s="3">
        <f>IF($T284="",0,1)</f>
        <v/>
      </c>
      <c r="W284" s="3">
        <f>IF($C284="","",$D284&amp;"|"&amp;$E284&amp;"|"&amp;TEXT($C284,"0")&amp;"|"&amp;TEXT($G284,"0")&amp;"|"&amp;$J284)</f>
        <v/>
      </c>
      <c r="X284" s="3" t="n"/>
      <c r="Y284" s="3" t="n"/>
      <c r="Z284" s="3" t="n"/>
      <c r="AA284" s="3" t="n"/>
      <c r="AB284" s="3" t="n"/>
      <c r="AC284" s="3" t="n"/>
      <c r="AD284" s="3">
        <f>IF($C284="",0,SUMPRODUCT((AY_SONU!$O$7:$O$42="Evet")*(AY_SONU!$B$7:$B$42=DATE(YEAR($C284),MONTH($C284),1))))</f>
        <v/>
      </c>
    </row>
    <row r="285">
      <c r="A285" s="6" t="n"/>
      <c r="B285" s="113">
        <f>IF($C285="","","GG"&amp;TEXT(ROW()-6,"00000"))</f>
        <v/>
      </c>
      <c r="C285" s="220" t="n"/>
      <c r="D285" s="108" t="n"/>
      <c r="E285" s="109" t="n"/>
      <c r="F285" s="109" t="n"/>
      <c r="G285" s="221" t="n"/>
      <c r="H285" s="108" t="n"/>
      <c r="I285" s="108" t="n"/>
      <c r="J285" s="109" t="n"/>
      <c r="K285" s="109" t="n"/>
      <c r="L285" s="108" t="n"/>
      <c r="M285" s="121">
        <f>IF($C285="","",IF($D285="Gider",$E285,IF($L285&lt;&gt;"",$L285,$H285)))</f>
        <v/>
      </c>
      <c r="N285" s="121">
        <f>IF($C285="","",IF($D285="Gider",$H285,$E285))</f>
        <v/>
      </c>
      <c r="O285" s="226">
        <f>IF($C285="","",DATE(YEAR($C285),MONTH($C285),1))</f>
        <v/>
      </c>
      <c r="P285" s="113">
        <f>IF($C285="","",IF(AND($D285="Gelir",$L285&lt;&gt;"",$T285=""),"TANIMSIZ BORÇLU",IF($T285&lt;&gt;"",IF(OR($E285="",$G285&lt;=0),"EKSİK",IF($I285="Evet","TAHAKKUK NAKİT OLAMAZ",IF($C285&gt;TODAY(),"İLERİ TARİH","TAHAKKUK"))),IF(AND($D285&lt;&gt;"",$E285&lt;&gt;"",$G285&gt;0,$H285&lt;&gt;"",$I285&lt;&gt;""),IF($C285&gt;TODAY(),"İLERİ TARİH",IF(COUNTIF($W$7:$W$1206,$W285)&gt;1,"MÜKERRER?",IF($AD285&gt;0,"KAPALI DÖNEM",IF($I285="Hayır","ÖDENECEK","UYGUN")))),"EKSİK"))))</f>
        <v/>
      </c>
      <c r="Q285" s="6" t="n"/>
      <c r="R285" s="6" t="n"/>
      <c r="S285" s="3">
        <f>IF($L285="","",UPPER(SUBSTITUTE(SUBSTITUTE(SUBSTITUTE(SUBSTITUTE(SUBSTITUTE(SUBSTITUTE(SUBSTITUTE(SUBSTITUTE(SUBSTITUTE(SUBSTITUTE(SUBSTITUTE(SUBSTITUTE(SUBSTITUTE(SUBSTITUTE(SUBSTITUTE(SUBSTITUTE(SUBSTITUTE(SUBSTITUTE(TRIM($L285),"'",""),"İ","I"),"ı","I"),"i","I"),"Ş","S"),"ş","S"),"Ğ","G"),"ğ","G"),"Ü","U"),"ü","U"),"Ö","O"),"ö","O"),"Ç","C"),"ç","C"),".",""),",","")," ",""),"-","")))</f>
        <v/>
      </c>
      <c r="T285" s="3">
        <f>IF(OR($C285="",$D285&lt;&gt;"Gelir",$L285=""),"",IFERROR(INDEX(MUSTERILER!$B$7:$B$106,MATCH($S285,MUSTERILER!$T$7:$T$106,0)),""))</f>
        <v/>
      </c>
      <c r="U285" s="3">
        <f>IF($T285="","",$T285&amp;"|"&amp;COUNTIFS($T$7:$T285,$T285))</f>
        <v/>
      </c>
      <c r="V285" s="3">
        <f>IF($T285="",0,1)</f>
        <v/>
      </c>
      <c r="W285" s="3">
        <f>IF($C285="","",$D285&amp;"|"&amp;$E285&amp;"|"&amp;TEXT($C285,"0")&amp;"|"&amp;TEXT($G285,"0")&amp;"|"&amp;$J285)</f>
        <v/>
      </c>
      <c r="X285" s="3" t="n"/>
      <c r="Y285" s="3" t="n"/>
      <c r="Z285" s="3" t="n"/>
      <c r="AA285" s="3" t="n"/>
      <c r="AB285" s="3" t="n"/>
      <c r="AC285" s="3" t="n"/>
      <c r="AD285" s="3">
        <f>IF($C285="",0,SUMPRODUCT((AY_SONU!$O$7:$O$42="Evet")*(AY_SONU!$B$7:$B$42=DATE(YEAR($C285),MONTH($C285),1))))</f>
        <v/>
      </c>
    </row>
    <row r="286">
      <c r="A286" s="6" t="n"/>
      <c r="B286" s="113">
        <f>IF($C286="","","GG"&amp;TEXT(ROW()-6,"00000"))</f>
        <v/>
      </c>
      <c r="C286" s="220" t="n"/>
      <c r="D286" s="108" t="n"/>
      <c r="E286" s="109" t="n"/>
      <c r="F286" s="109" t="n"/>
      <c r="G286" s="221" t="n"/>
      <c r="H286" s="108" t="n"/>
      <c r="I286" s="108" t="n"/>
      <c r="J286" s="109" t="n"/>
      <c r="K286" s="109" t="n"/>
      <c r="L286" s="108" t="n"/>
      <c r="M286" s="121">
        <f>IF($C286="","",IF($D286="Gider",$E286,IF($L286&lt;&gt;"",$L286,$H286)))</f>
        <v/>
      </c>
      <c r="N286" s="121">
        <f>IF($C286="","",IF($D286="Gider",$H286,$E286))</f>
        <v/>
      </c>
      <c r="O286" s="226">
        <f>IF($C286="","",DATE(YEAR($C286),MONTH($C286),1))</f>
        <v/>
      </c>
      <c r="P286" s="113">
        <f>IF($C286="","",IF(AND($D286="Gelir",$L286&lt;&gt;"",$T286=""),"TANIMSIZ BORÇLU",IF($T286&lt;&gt;"",IF(OR($E286="",$G286&lt;=0),"EKSİK",IF($I286="Evet","TAHAKKUK NAKİT OLAMAZ",IF($C286&gt;TODAY(),"İLERİ TARİH","TAHAKKUK"))),IF(AND($D286&lt;&gt;"",$E286&lt;&gt;"",$G286&gt;0,$H286&lt;&gt;"",$I286&lt;&gt;""),IF($C286&gt;TODAY(),"İLERİ TARİH",IF(COUNTIF($W$7:$W$1206,$W286)&gt;1,"MÜKERRER?",IF($AD286&gt;0,"KAPALI DÖNEM",IF($I286="Hayır","ÖDENECEK","UYGUN")))),"EKSİK"))))</f>
        <v/>
      </c>
      <c r="Q286" s="6" t="n"/>
      <c r="R286" s="6" t="n"/>
      <c r="S286" s="3">
        <f>IF($L286="","",UPPER(SUBSTITUTE(SUBSTITUTE(SUBSTITUTE(SUBSTITUTE(SUBSTITUTE(SUBSTITUTE(SUBSTITUTE(SUBSTITUTE(SUBSTITUTE(SUBSTITUTE(SUBSTITUTE(SUBSTITUTE(SUBSTITUTE(SUBSTITUTE(SUBSTITUTE(SUBSTITUTE(SUBSTITUTE(SUBSTITUTE(TRIM($L286),"'",""),"İ","I"),"ı","I"),"i","I"),"Ş","S"),"ş","S"),"Ğ","G"),"ğ","G"),"Ü","U"),"ü","U"),"Ö","O"),"ö","O"),"Ç","C"),"ç","C"),".",""),",","")," ",""),"-","")))</f>
        <v/>
      </c>
      <c r="T286" s="3">
        <f>IF(OR($C286="",$D286&lt;&gt;"Gelir",$L286=""),"",IFERROR(INDEX(MUSTERILER!$B$7:$B$106,MATCH($S286,MUSTERILER!$T$7:$T$106,0)),""))</f>
        <v/>
      </c>
      <c r="U286" s="3">
        <f>IF($T286="","",$T286&amp;"|"&amp;COUNTIFS($T$7:$T286,$T286))</f>
        <v/>
      </c>
      <c r="V286" s="3">
        <f>IF($T286="",0,1)</f>
        <v/>
      </c>
      <c r="W286" s="3">
        <f>IF($C286="","",$D286&amp;"|"&amp;$E286&amp;"|"&amp;TEXT($C286,"0")&amp;"|"&amp;TEXT($G286,"0")&amp;"|"&amp;$J286)</f>
        <v/>
      </c>
      <c r="X286" s="3" t="n"/>
      <c r="Y286" s="3" t="n"/>
      <c r="Z286" s="3" t="n"/>
      <c r="AA286" s="3" t="n"/>
      <c r="AB286" s="3" t="n"/>
      <c r="AC286" s="3" t="n"/>
      <c r="AD286" s="3">
        <f>IF($C286="",0,SUMPRODUCT((AY_SONU!$O$7:$O$42="Evet")*(AY_SONU!$B$7:$B$42=DATE(YEAR($C286),MONTH($C286),1))))</f>
        <v/>
      </c>
    </row>
    <row r="287">
      <c r="A287" s="6" t="n"/>
      <c r="B287" s="113">
        <f>IF($C287="","","GG"&amp;TEXT(ROW()-6,"00000"))</f>
        <v/>
      </c>
      <c r="C287" s="220" t="n"/>
      <c r="D287" s="108" t="n"/>
      <c r="E287" s="109" t="n"/>
      <c r="F287" s="109" t="n"/>
      <c r="G287" s="221" t="n"/>
      <c r="H287" s="108" t="n"/>
      <c r="I287" s="108" t="n"/>
      <c r="J287" s="109" t="n"/>
      <c r="K287" s="109" t="n"/>
      <c r="L287" s="108" t="n"/>
      <c r="M287" s="121">
        <f>IF($C287="","",IF($D287="Gider",$E287,IF($L287&lt;&gt;"",$L287,$H287)))</f>
        <v/>
      </c>
      <c r="N287" s="121">
        <f>IF($C287="","",IF($D287="Gider",$H287,$E287))</f>
        <v/>
      </c>
      <c r="O287" s="226">
        <f>IF($C287="","",DATE(YEAR($C287),MONTH($C287),1))</f>
        <v/>
      </c>
      <c r="P287" s="113">
        <f>IF($C287="","",IF(AND($D287="Gelir",$L287&lt;&gt;"",$T287=""),"TANIMSIZ BORÇLU",IF($T287&lt;&gt;"",IF(OR($E287="",$G287&lt;=0),"EKSİK",IF($I287="Evet","TAHAKKUK NAKİT OLAMAZ",IF($C287&gt;TODAY(),"İLERİ TARİH","TAHAKKUK"))),IF(AND($D287&lt;&gt;"",$E287&lt;&gt;"",$G287&gt;0,$H287&lt;&gt;"",$I287&lt;&gt;""),IF($C287&gt;TODAY(),"İLERİ TARİH",IF(COUNTIF($W$7:$W$1206,$W287)&gt;1,"MÜKERRER?",IF($AD287&gt;0,"KAPALI DÖNEM",IF($I287="Hayır","ÖDENECEK","UYGUN")))),"EKSİK"))))</f>
        <v/>
      </c>
      <c r="Q287" s="6" t="n"/>
      <c r="R287" s="6" t="n"/>
      <c r="S287" s="3">
        <f>IF($L287="","",UPPER(SUBSTITUTE(SUBSTITUTE(SUBSTITUTE(SUBSTITUTE(SUBSTITUTE(SUBSTITUTE(SUBSTITUTE(SUBSTITUTE(SUBSTITUTE(SUBSTITUTE(SUBSTITUTE(SUBSTITUTE(SUBSTITUTE(SUBSTITUTE(SUBSTITUTE(SUBSTITUTE(SUBSTITUTE(SUBSTITUTE(TRIM($L287),"'",""),"İ","I"),"ı","I"),"i","I"),"Ş","S"),"ş","S"),"Ğ","G"),"ğ","G"),"Ü","U"),"ü","U"),"Ö","O"),"ö","O"),"Ç","C"),"ç","C"),".",""),",","")," ",""),"-","")))</f>
        <v/>
      </c>
      <c r="T287" s="3">
        <f>IF(OR($C287="",$D287&lt;&gt;"Gelir",$L287=""),"",IFERROR(INDEX(MUSTERILER!$B$7:$B$106,MATCH($S287,MUSTERILER!$T$7:$T$106,0)),""))</f>
        <v/>
      </c>
      <c r="U287" s="3">
        <f>IF($T287="","",$T287&amp;"|"&amp;COUNTIFS($T$7:$T287,$T287))</f>
        <v/>
      </c>
      <c r="V287" s="3">
        <f>IF($T287="",0,1)</f>
        <v/>
      </c>
      <c r="W287" s="3">
        <f>IF($C287="","",$D287&amp;"|"&amp;$E287&amp;"|"&amp;TEXT($C287,"0")&amp;"|"&amp;TEXT($G287,"0")&amp;"|"&amp;$J287)</f>
        <v/>
      </c>
      <c r="X287" s="3" t="n"/>
      <c r="Y287" s="3" t="n"/>
      <c r="Z287" s="3" t="n"/>
      <c r="AA287" s="3" t="n"/>
      <c r="AB287" s="3" t="n"/>
      <c r="AC287" s="3" t="n"/>
      <c r="AD287" s="3">
        <f>IF($C287="",0,SUMPRODUCT((AY_SONU!$O$7:$O$42="Evet")*(AY_SONU!$B$7:$B$42=DATE(YEAR($C287),MONTH($C287),1))))</f>
        <v/>
      </c>
    </row>
    <row r="288">
      <c r="A288" s="6" t="n"/>
      <c r="B288" s="113">
        <f>IF($C288="","","GG"&amp;TEXT(ROW()-6,"00000"))</f>
        <v/>
      </c>
      <c r="C288" s="220" t="n"/>
      <c r="D288" s="108" t="n"/>
      <c r="E288" s="109" t="n"/>
      <c r="F288" s="109" t="n"/>
      <c r="G288" s="221" t="n"/>
      <c r="H288" s="108" t="n"/>
      <c r="I288" s="108" t="n"/>
      <c r="J288" s="109" t="n"/>
      <c r="K288" s="109" t="n"/>
      <c r="L288" s="108" t="n"/>
      <c r="M288" s="121">
        <f>IF($C288="","",IF($D288="Gider",$E288,IF($L288&lt;&gt;"",$L288,$H288)))</f>
        <v/>
      </c>
      <c r="N288" s="121">
        <f>IF($C288="","",IF($D288="Gider",$H288,$E288))</f>
        <v/>
      </c>
      <c r="O288" s="226">
        <f>IF($C288="","",DATE(YEAR($C288),MONTH($C288),1))</f>
        <v/>
      </c>
      <c r="P288" s="113">
        <f>IF($C288="","",IF(AND($D288="Gelir",$L288&lt;&gt;"",$T288=""),"TANIMSIZ BORÇLU",IF($T288&lt;&gt;"",IF(OR($E288="",$G288&lt;=0),"EKSİK",IF($I288="Evet","TAHAKKUK NAKİT OLAMAZ",IF($C288&gt;TODAY(),"İLERİ TARİH","TAHAKKUK"))),IF(AND($D288&lt;&gt;"",$E288&lt;&gt;"",$G288&gt;0,$H288&lt;&gt;"",$I288&lt;&gt;""),IF($C288&gt;TODAY(),"İLERİ TARİH",IF(COUNTIF($W$7:$W$1206,$W288)&gt;1,"MÜKERRER?",IF($AD288&gt;0,"KAPALI DÖNEM",IF($I288="Hayır","ÖDENECEK","UYGUN")))),"EKSİK"))))</f>
        <v/>
      </c>
      <c r="Q288" s="6" t="n"/>
      <c r="R288" s="6" t="n"/>
      <c r="S288" s="3">
        <f>IF($L288="","",UPPER(SUBSTITUTE(SUBSTITUTE(SUBSTITUTE(SUBSTITUTE(SUBSTITUTE(SUBSTITUTE(SUBSTITUTE(SUBSTITUTE(SUBSTITUTE(SUBSTITUTE(SUBSTITUTE(SUBSTITUTE(SUBSTITUTE(SUBSTITUTE(SUBSTITUTE(SUBSTITUTE(SUBSTITUTE(SUBSTITUTE(TRIM($L288),"'",""),"İ","I"),"ı","I"),"i","I"),"Ş","S"),"ş","S"),"Ğ","G"),"ğ","G"),"Ü","U"),"ü","U"),"Ö","O"),"ö","O"),"Ç","C"),"ç","C"),".",""),",","")," ",""),"-","")))</f>
        <v/>
      </c>
      <c r="T288" s="3">
        <f>IF(OR($C288="",$D288&lt;&gt;"Gelir",$L288=""),"",IFERROR(INDEX(MUSTERILER!$B$7:$B$106,MATCH($S288,MUSTERILER!$T$7:$T$106,0)),""))</f>
        <v/>
      </c>
      <c r="U288" s="3">
        <f>IF($T288="","",$T288&amp;"|"&amp;COUNTIFS($T$7:$T288,$T288))</f>
        <v/>
      </c>
      <c r="V288" s="3">
        <f>IF($T288="",0,1)</f>
        <v/>
      </c>
      <c r="W288" s="3">
        <f>IF($C288="","",$D288&amp;"|"&amp;$E288&amp;"|"&amp;TEXT($C288,"0")&amp;"|"&amp;TEXT($G288,"0")&amp;"|"&amp;$J288)</f>
        <v/>
      </c>
      <c r="X288" s="3" t="n"/>
      <c r="Y288" s="3" t="n"/>
      <c r="Z288" s="3" t="n"/>
      <c r="AA288" s="3" t="n"/>
      <c r="AB288" s="3" t="n"/>
      <c r="AC288" s="3" t="n"/>
      <c r="AD288" s="3">
        <f>IF($C288="",0,SUMPRODUCT((AY_SONU!$O$7:$O$42="Evet")*(AY_SONU!$B$7:$B$42=DATE(YEAR($C288),MONTH($C288),1))))</f>
        <v/>
      </c>
    </row>
    <row r="289">
      <c r="A289" s="6" t="n"/>
      <c r="B289" s="113">
        <f>IF($C289="","","GG"&amp;TEXT(ROW()-6,"00000"))</f>
        <v/>
      </c>
      <c r="C289" s="220" t="n"/>
      <c r="D289" s="108" t="n"/>
      <c r="E289" s="109" t="n"/>
      <c r="F289" s="109" t="n"/>
      <c r="G289" s="221" t="n"/>
      <c r="H289" s="108" t="n"/>
      <c r="I289" s="108" t="n"/>
      <c r="J289" s="109" t="n"/>
      <c r="K289" s="109" t="n"/>
      <c r="L289" s="108" t="n"/>
      <c r="M289" s="121">
        <f>IF($C289="","",IF($D289="Gider",$E289,IF($L289&lt;&gt;"",$L289,$H289)))</f>
        <v/>
      </c>
      <c r="N289" s="121">
        <f>IF($C289="","",IF($D289="Gider",$H289,$E289))</f>
        <v/>
      </c>
      <c r="O289" s="226">
        <f>IF($C289="","",DATE(YEAR($C289),MONTH($C289),1))</f>
        <v/>
      </c>
      <c r="P289" s="113">
        <f>IF($C289="","",IF(AND($D289="Gelir",$L289&lt;&gt;"",$T289=""),"TANIMSIZ BORÇLU",IF($T289&lt;&gt;"",IF(OR($E289="",$G289&lt;=0),"EKSİK",IF($I289="Evet","TAHAKKUK NAKİT OLAMAZ",IF($C289&gt;TODAY(),"İLERİ TARİH","TAHAKKUK"))),IF(AND($D289&lt;&gt;"",$E289&lt;&gt;"",$G289&gt;0,$H289&lt;&gt;"",$I289&lt;&gt;""),IF($C289&gt;TODAY(),"İLERİ TARİH",IF(COUNTIF($W$7:$W$1206,$W289)&gt;1,"MÜKERRER?",IF($AD289&gt;0,"KAPALI DÖNEM",IF($I289="Hayır","ÖDENECEK","UYGUN")))),"EKSİK"))))</f>
        <v/>
      </c>
      <c r="Q289" s="6" t="n"/>
      <c r="R289" s="6" t="n"/>
      <c r="S289" s="3">
        <f>IF($L289="","",UPPER(SUBSTITUTE(SUBSTITUTE(SUBSTITUTE(SUBSTITUTE(SUBSTITUTE(SUBSTITUTE(SUBSTITUTE(SUBSTITUTE(SUBSTITUTE(SUBSTITUTE(SUBSTITUTE(SUBSTITUTE(SUBSTITUTE(SUBSTITUTE(SUBSTITUTE(SUBSTITUTE(SUBSTITUTE(SUBSTITUTE(TRIM($L289),"'",""),"İ","I"),"ı","I"),"i","I"),"Ş","S"),"ş","S"),"Ğ","G"),"ğ","G"),"Ü","U"),"ü","U"),"Ö","O"),"ö","O"),"Ç","C"),"ç","C"),".",""),",","")," ",""),"-","")))</f>
        <v/>
      </c>
      <c r="T289" s="3">
        <f>IF(OR($C289="",$D289&lt;&gt;"Gelir",$L289=""),"",IFERROR(INDEX(MUSTERILER!$B$7:$B$106,MATCH($S289,MUSTERILER!$T$7:$T$106,0)),""))</f>
        <v/>
      </c>
      <c r="U289" s="3">
        <f>IF($T289="","",$T289&amp;"|"&amp;COUNTIFS($T$7:$T289,$T289))</f>
        <v/>
      </c>
      <c r="V289" s="3">
        <f>IF($T289="",0,1)</f>
        <v/>
      </c>
      <c r="W289" s="3">
        <f>IF($C289="","",$D289&amp;"|"&amp;$E289&amp;"|"&amp;TEXT($C289,"0")&amp;"|"&amp;TEXT($G289,"0")&amp;"|"&amp;$J289)</f>
        <v/>
      </c>
      <c r="X289" s="3" t="n"/>
      <c r="Y289" s="3" t="n"/>
      <c r="Z289" s="3" t="n"/>
      <c r="AA289" s="3" t="n"/>
      <c r="AB289" s="3" t="n"/>
      <c r="AC289" s="3" t="n"/>
      <c r="AD289" s="3">
        <f>IF($C289="",0,SUMPRODUCT((AY_SONU!$O$7:$O$42="Evet")*(AY_SONU!$B$7:$B$42=DATE(YEAR($C289),MONTH($C289),1))))</f>
        <v/>
      </c>
    </row>
    <row r="290">
      <c r="A290" s="6" t="n"/>
      <c r="B290" s="113">
        <f>IF($C290="","","GG"&amp;TEXT(ROW()-6,"00000"))</f>
        <v/>
      </c>
      <c r="C290" s="220" t="n"/>
      <c r="D290" s="108" t="n"/>
      <c r="E290" s="109" t="n"/>
      <c r="F290" s="109" t="n"/>
      <c r="G290" s="221" t="n"/>
      <c r="H290" s="108" t="n"/>
      <c r="I290" s="108" t="n"/>
      <c r="J290" s="109" t="n"/>
      <c r="K290" s="109" t="n"/>
      <c r="L290" s="108" t="n"/>
      <c r="M290" s="121">
        <f>IF($C290="","",IF($D290="Gider",$E290,IF($L290&lt;&gt;"",$L290,$H290)))</f>
        <v/>
      </c>
      <c r="N290" s="121">
        <f>IF($C290="","",IF($D290="Gider",$H290,$E290))</f>
        <v/>
      </c>
      <c r="O290" s="226">
        <f>IF($C290="","",DATE(YEAR($C290),MONTH($C290),1))</f>
        <v/>
      </c>
      <c r="P290" s="113">
        <f>IF($C290="","",IF(AND($D290="Gelir",$L290&lt;&gt;"",$T290=""),"TANIMSIZ BORÇLU",IF($T290&lt;&gt;"",IF(OR($E290="",$G290&lt;=0),"EKSİK",IF($I290="Evet","TAHAKKUK NAKİT OLAMAZ",IF($C290&gt;TODAY(),"İLERİ TARİH","TAHAKKUK"))),IF(AND($D290&lt;&gt;"",$E290&lt;&gt;"",$G290&gt;0,$H290&lt;&gt;"",$I290&lt;&gt;""),IF($C290&gt;TODAY(),"İLERİ TARİH",IF(COUNTIF($W$7:$W$1206,$W290)&gt;1,"MÜKERRER?",IF($AD290&gt;0,"KAPALI DÖNEM",IF($I290="Hayır","ÖDENECEK","UYGUN")))),"EKSİK"))))</f>
        <v/>
      </c>
      <c r="Q290" s="6" t="n"/>
      <c r="R290" s="6" t="n"/>
      <c r="S290" s="3">
        <f>IF($L290="","",UPPER(SUBSTITUTE(SUBSTITUTE(SUBSTITUTE(SUBSTITUTE(SUBSTITUTE(SUBSTITUTE(SUBSTITUTE(SUBSTITUTE(SUBSTITUTE(SUBSTITUTE(SUBSTITUTE(SUBSTITUTE(SUBSTITUTE(SUBSTITUTE(SUBSTITUTE(SUBSTITUTE(SUBSTITUTE(SUBSTITUTE(TRIM($L290),"'",""),"İ","I"),"ı","I"),"i","I"),"Ş","S"),"ş","S"),"Ğ","G"),"ğ","G"),"Ü","U"),"ü","U"),"Ö","O"),"ö","O"),"Ç","C"),"ç","C"),".",""),",","")," ",""),"-","")))</f>
        <v/>
      </c>
      <c r="T290" s="3">
        <f>IF(OR($C290="",$D290&lt;&gt;"Gelir",$L290=""),"",IFERROR(INDEX(MUSTERILER!$B$7:$B$106,MATCH($S290,MUSTERILER!$T$7:$T$106,0)),""))</f>
        <v/>
      </c>
      <c r="U290" s="3">
        <f>IF($T290="","",$T290&amp;"|"&amp;COUNTIFS($T$7:$T290,$T290))</f>
        <v/>
      </c>
      <c r="V290" s="3">
        <f>IF($T290="",0,1)</f>
        <v/>
      </c>
      <c r="W290" s="3">
        <f>IF($C290="","",$D290&amp;"|"&amp;$E290&amp;"|"&amp;TEXT($C290,"0")&amp;"|"&amp;TEXT($G290,"0")&amp;"|"&amp;$J290)</f>
        <v/>
      </c>
      <c r="X290" s="3" t="n"/>
      <c r="Y290" s="3" t="n"/>
      <c r="Z290" s="3" t="n"/>
      <c r="AA290" s="3" t="n"/>
      <c r="AB290" s="3" t="n"/>
      <c r="AC290" s="3" t="n"/>
      <c r="AD290" s="3">
        <f>IF($C290="",0,SUMPRODUCT((AY_SONU!$O$7:$O$42="Evet")*(AY_SONU!$B$7:$B$42=DATE(YEAR($C290),MONTH($C290),1))))</f>
        <v/>
      </c>
    </row>
    <row r="291">
      <c r="A291" s="6" t="n"/>
      <c r="B291" s="113">
        <f>IF($C291="","","GG"&amp;TEXT(ROW()-6,"00000"))</f>
        <v/>
      </c>
      <c r="C291" s="220" t="n"/>
      <c r="D291" s="108" t="n"/>
      <c r="E291" s="109" t="n"/>
      <c r="F291" s="109" t="n"/>
      <c r="G291" s="221" t="n"/>
      <c r="H291" s="108" t="n"/>
      <c r="I291" s="108" t="n"/>
      <c r="J291" s="109" t="n"/>
      <c r="K291" s="109" t="n"/>
      <c r="L291" s="108" t="n"/>
      <c r="M291" s="121">
        <f>IF($C291="","",IF($D291="Gider",$E291,IF($L291&lt;&gt;"",$L291,$H291)))</f>
        <v/>
      </c>
      <c r="N291" s="121">
        <f>IF($C291="","",IF($D291="Gider",$H291,$E291))</f>
        <v/>
      </c>
      <c r="O291" s="226">
        <f>IF($C291="","",DATE(YEAR($C291),MONTH($C291),1))</f>
        <v/>
      </c>
      <c r="P291" s="113">
        <f>IF($C291="","",IF(AND($D291="Gelir",$L291&lt;&gt;"",$T291=""),"TANIMSIZ BORÇLU",IF($T291&lt;&gt;"",IF(OR($E291="",$G291&lt;=0),"EKSİK",IF($I291="Evet","TAHAKKUK NAKİT OLAMAZ",IF($C291&gt;TODAY(),"İLERİ TARİH","TAHAKKUK"))),IF(AND($D291&lt;&gt;"",$E291&lt;&gt;"",$G291&gt;0,$H291&lt;&gt;"",$I291&lt;&gt;""),IF($C291&gt;TODAY(),"İLERİ TARİH",IF(COUNTIF($W$7:$W$1206,$W291)&gt;1,"MÜKERRER?",IF($AD291&gt;0,"KAPALI DÖNEM",IF($I291="Hayır","ÖDENECEK","UYGUN")))),"EKSİK"))))</f>
        <v/>
      </c>
      <c r="Q291" s="6" t="n"/>
      <c r="R291" s="6" t="n"/>
      <c r="S291" s="3">
        <f>IF($L291="","",UPPER(SUBSTITUTE(SUBSTITUTE(SUBSTITUTE(SUBSTITUTE(SUBSTITUTE(SUBSTITUTE(SUBSTITUTE(SUBSTITUTE(SUBSTITUTE(SUBSTITUTE(SUBSTITUTE(SUBSTITUTE(SUBSTITUTE(SUBSTITUTE(SUBSTITUTE(SUBSTITUTE(SUBSTITUTE(SUBSTITUTE(TRIM($L291),"'",""),"İ","I"),"ı","I"),"i","I"),"Ş","S"),"ş","S"),"Ğ","G"),"ğ","G"),"Ü","U"),"ü","U"),"Ö","O"),"ö","O"),"Ç","C"),"ç","C"),".",""),",","")," ",""),"-","")))</f>
        <v/>
      </c>
      <c r="T291" s="3">
        <f>IF(OR($C291="",$D291&lt;&gt;"Gelir",$L291=""),"",IFERROR(INDEX(MUSTERILER!$B$7:$B$106,MATCH($S291,MUSTERILER!$T$7:$T$106,0)),""))</f>
        <v/>
      </c>
      <c r="U291" s="3">
        <f>IF($T291="","",$T291&amp;"|"&amp;COUNTIFS($T$7:$T291,$T291))</f>
        <v/>
      </c>
      <c r="V291" s="3">
        <f>IF($T291="",0,1)</f>
        <v/>
      </c>
      <c r="W291" s="3">
        <f>IF($C291="","",$D291&amp;"|"&amp;$E291&amp;"|"&amp;TEXT($C291,"0")&amp;"|"&amp;TEXT($G291,"0")&amp;"|"&amp;$J291)</f>
        <v/>
      </c>
      <c r="X291" s="3" t="n"/>
      <c r="Y291" s="3" t="n"/>
      <c r="Z291" s="3" t="n"/>
      <c r="AA291" s="3" t="n"/>
      <c r="AB291" s="3" t="n"/>
      <c r="AC291" s="3" t="n"/>
      <c r="AD291" s="3">
        <f>IF($C291="",0,SUMPRODUCT((AY_SONU!$O$7:$O$42="Evet")*(AY_SONU!$B$7:$B$42=DATE(YEAR($C291),MONTH($C291),1))))</f>
        <v/>
      </c>
    </row>
    <row r="292">
      <c r="A292" s="6" t="n"/>
      <c r="B292" s="113">
        <f>IF($C292="","","GG"&amp;TEXT(ROW()-6,"00000"))</f>
        <v/>
      </c>
      <c r="C292" s="220" t="n"/>
      <c r="D292" s="108" t="n"/>
      <c r="E292" s="109" t="n"/>
      <c r="F292" s="109" t="n"/>
      <c r="G292" s="221" t="n"/>
      <c r="H292" s="108" t="n"/>
      <c r="I292" s="108" t="n"/>
      <c r="J292" s="109" t="n"/>
      <c r="K292" s="109" t="n"/>
      <c r="L292" s="108" t="n"/>
      <c r="M292" s="121">
        <f>IF($C292="","",IF($D292="Gider",$E292,IF($L292&lt;&gt;"",$L292,$H292)))</f>
        <v/>
      </c>
      <c r="N292" s="121">
        <f>IF($C292="","",IF($D292="Gider",$H292,$E292))</f>
        <v/>
      </c>
      <c r="O292" s="226">
        <f>IF($C292="","",DATE(YEAR($C292),MONTH($C292),1))</f>
        <v/>
      </c>
      <c r="P292" s="113">
        <f>IF($C292="","",IF(AND($D292="Gelir",$L292&lt;&gt;"",$T292=""),"TANIMSIZ BORÇLU",IF($T292&lt;&gt;"",IF(OR($E292="",$G292&lt;=0),"EKSİK",IF($I292="Evet","TAHAKKUK NAKİT OLAMAZ",IF($C292&gt;TODAY(),"İLERİ TARİH","TAHAKKUK"))),IF(AND($D292&lt;&gt;"",$E292&lt;&gt;"",$G292&gt;0,$H292&lt;&gt;"",$I292&lt;&gt;""),IF($C292&gt;TODAY(),"İLERİ TARİH",IF(COUNTIF($W$7:$W$1206,$W292)&gt;1,"MÜKERRER?",IF($AD292&gt;0,"KAPALI DÖNEM",IF($I292="Hayır","ÖDENECEK","UYGUN")))),"EKSİK"))))</f>
        <v/>
      </c>
      <c r="Q292" s="6" t="n"/>
      <c r="R292" s="6" t="n"/>
      <c r="S292" s="3">
        <f>IF($L292="","",UPPER(SUBSTITUTE(SUBSTITUTE(SUBSTITUTE(SUBSTITUTE(SUBSTITUTE(SUBSTITUTE(SUBSTITUTE(SUBSTITUTE(SUBSTITUTE(SUBSTITUTE(SUBSTITUTE(SUBSTITUTE(SUBSTITUTE(SUBSTITUTE(SUBSTITUTE(SUBSTITUTE(SUBSTITUTE(SUBSTITUTE(TRIM($L292),"'",""),"İ","I"),"ı","I"),"i","I"),"Ş","S"),"ş","S"),"Ğ","G"),"ğ","G"),"Ü","U"),"ü","U"),"Ö","O"),"ö","O"),"Ç","C"),"ç","C"),".",""),",","")," ",""),"-","")))</f>
        <v/>
      </c>
      <c r="T292" s="3">
        <f>IF(OR($C292="",$D292&lt;&gt;"Gelir",$L292=""),"",IFERROR(INDEX(MUSTERILER!$B$7:$B$106,MATCH($S292,MUSTERILER!$T$7:$T$106,0)),""))</f>
        <v/>
      </c>
      <c r="U292" s="3">
        <f>IF($T292="","",$T292&amp;"|"&amp;COUNTIFS($T$7:$T292,$T292))</f>
        <v/>
      </c>
      <c r="V292" s="3">
        <f>IF($T292="",0,1)</f>
        <v/>
      </c>
      <c r="W292" s="3">
        <f>IF($C292="","",$D292&amp;"|"&amp;$E292&amp;"|"&amp;TEXT($C292,"0")&amp;"|"&amp;TEXT($G292,"0")&amp;"|"&amp;$J292)</f>
        <v/>
      </c>
      <c r="X292" s="3" t="n"/>
      <c r="Y292" s="3" t="n"/>
      <c r="Z292" s="3" t="n"/>
      <c r="AA292" s="3" t="n"/>
      <c r="AB292" s="3" t="n"/>
      <c r="AC292" s="3" t="n"/>
      <c r="AD292" s="3">
        <f>IF($C292="",0,SUMPRODUCT((AY_SONU!$O$7:$O$42="Evet")*(AY_SONU!$B$7:$B$42=DATE(YEAR($C292),MONTH($C292),1))))</f>
        <v/>
      </c>
    </row>
    <row r="293">
      <c r="A293" s="6" t="n"/>
      <c r="B293" s="113">
        <f>IF($C293="","","GG"&amp;TEXT(ROW()-6,"00000"))</f>
        <v/>
      </c>
      <c r="C293" s="220" t="n"/>
      <c r="D293" s="108" t="n"/>
      <c r="E293" s="109" t="n"/>
      <c r="F293" s="109" t="n"/>
      <c r="G293" s="221" t="n"/>
      <c r="H293" s="108" t="n"/>
      <c r="I293" s="108" t="n"/>
      <c r="J293" s="109" t="n"/>
      <c r="K293" s="109" t="n"/>
      <c r="L293" s="108" t="n"/>
      <c r="M293" s="121">
        <f>IF($C293="","",IF($D293="Gider",$E293,IF($L293&lt;&gt;"",$L293,$H293)))</f>
        <v/>
      </c>
      <c r="N293" s="121">
        <f>IF($C293="","",IF($D293="Gider",$H293,$E293))</f>
        <v/>
      </c>
      <c r="O293" s="226">
        <f>IF($C293="","",DATE(YEAR($C293),MONTH($C293),1))</f>
        <v/>
      </c>
      <c r="P293" s="113">
        <f>IF($C293="","",IF(AND($D293="Gelir",$L293&lt;&gt;"",$T293=""),"TANIMSIZ BORÇLU",IF($T293&lt;&gt;"",IF(OR($E293="",$G293&lt;=0),"EKSİK",IF($I293="Evet","TAHAKKUK NAKİT OLAMAZ",IF($C293&gt;TODAY(),"İLERİ TARİH","TAHAKKUK"))),IF(AND($D293&lt;&gt;"",$E293&lt;&gt;"",$G293&gt;0,$H293&lt;&gt;"",$I293&lt;&gt;""),IF($C293&gt;TODAY(),"İLERİ TARİH",IF(COUNTIF($W$7:$W$1206,$W293)&gt;1,"MÜKERRER?",IF($AD293&gt;0,"KAPALI DÖNEM",IF($I293="Hayır","ÖDENECEK","UYGUN")))),"EKSİK"))))</f>
        <v/>
      </c>
      <c r="Q293" s="6" t="n"/>
      <c r="R293" s="6" t="n"/>
      <c r="S293" s="3">
        <f>IF($L293="","",UPPER(SUBSTITUTE(SUBSTITUTE(SUBSTITUTE(SUBSTITUTE(SUBSTITUTE(SUBSTITUTE(SUBSTITUTE(SUBSTITUTE(SUBSTITUTE(SUBSTITUTE(SUBSTITUTE(SUBSTITUTE(SUBSTITUTE(SUBSTITUTE(SUBSTITUTE(SUBSTITUTE(SUBSTITUTE(SUBSTITUTE(TRIM($L293),"'",""),"İ","I"),"ı","I"),"i","I"),"Ş","S"),"ş","S"),"Ğ","G"),"ğ","G"),"Ü","U"),"ü","U"),"Ö","O"),"ö","O"),"Ç","C"),"ç","C"),".",""),",","")," ",""),"-","")))</f>
        <v/>
      </c>
      <c r="T293" s="3">
        <f>IF(OR($C293="",$D293&lt;&gt;"Gelir",$L293=""),"",IFERROR(INDEX(MUSTERILER!$B$7:$B$106,MATCH($S293,MUSTERILER!$T$7:$T$106,0)),""))</f>
        <v/>
      </c>
      <c r="U293" s="3">
        <f>IF($T293="","",$T293&amp;"|"&amp;COUNTIFS($T$7:$T293,$T293))</f>
        <v/>
      </c>
      <c r="V293" s="3">
        <f>IF($T293="",0,1)</f>
        <v/>
      </c>
      <c r="W293" s="3">
        <f>IF($C293="","",$D293&amp;"|"&amp;$E293&amp;"|"&amp;TEXT($C293,"0")&amp;"|"&amp;TEXT($G293,"0")&amp;"|"&amp;$J293)</f>
        <v/>
      </c>
      <c r="X293" s="3" t="n"/>
      <c r="Y293" s="3" t="n"/>
      <c r="Z293" s="3" t="n"/>
      <c r="AA293" s="3" t="n"/>
      <c r="AB293" s="3" t="n"/>
      <c r="AC293" s="3" t="n"/>
      <c r="AD293" s="3">
        <f>IF($C293="",0,SUMPRODUCT((AY_SONU!$O$7:$O$42="Evet")*(AY_SONU!$B$7:$B$42=DATE(YEAR($C293),MONTH($C293),1))))</f>
        <v/>
      </c>
    </row>
    <row r="294">
      <c r="A294" s="6" t="n"/>
      <c r="B294" s="113">
        <f>IF($C294="","","GG"&amp;TEXT(ROW()-6,"00000"))</f>
        <v/>
      </c>
      <c r="C294" s="220" t="n"/>
      <c r="D294" s="108" t="n"/>
      <c r="E294" s="109" t="n"/>
      <c r="F294" s="109" t="n"/>
      <c r="G294" s="221" t="n"/>
      <c r="H294" s="108" t="n"/>
      <c r="I294" s="108" t="n"/>
      <c r="J294" s="109" t="n"/>
      <c r="K294" s="109" t="n"/>
      <c r="L294" s="108" t="n"/>
      <c r="M294" s="121">
        <f>IF($C294="","",IF($D294="Gider",$E294,IF($L294&lt;&gt;"",$L294,$H294)))</f>
        <v/>
      </c>
      <c r="N294" s="121">
        <f>IF($C294="","",IF($D294="Gider",$H294,$E294))</f>
        <v/>
      </c>
      <c r="O294" s="226">
        <f>IF($C294="","",DATE(YEAR($C294),MONTH($C294),1))</f>
        <v/>
      </c>
      <c r="P294" s="113">
        <f>IF($C294="","",IF(AND($D294="Gelir",$L294&lt;&gt;"",$T294=""),"TANIMSIZ BORÇLU",IF($T294&lt;&gt;"",IF(OR($E294="",$G294&lt;=0),"EKSİK",IF($I294="Evet","TAHAKKUK NAKİT OLAMAZ",IF($C294&gt;TODAY(),"İLERİ TARİH","TAHAKKUK"))),IF(AND($D294&lt;&gt;"",$E294&lt;&gt;"",$G294&gt;0,$H294&lt;&gt;"",$I294&lt;&gt;""),IF($C294&gt;TODAY(),"İLERİ TARİH",IF(COUNTIF($W$7:$W$1206,$W294)&gt;1,"MÜKERRER?",IF($AD294&gt;0,"KAPALI DÖNEM",IF($I294="Hayır","ÖDENECEK","UYGUN")))),"EKSİK"))))</f>
        <v/>
      </c>
      <c r="Q294" s="6" t="n"/>
      <c r="R294" s="6" t="n"/>
      <c r="S294" s="3">
        <f>IF($L294="","",UPPER(SUBSTITUTE(SUBSTITUTE(SUBSTITUTE(SUBSTITUTE(SUBSTITUTE(SUBSTITUTE(SUBSTITUTE(SUBSTITUTE(SUBSTITUTE(SUBSTITUTE(SUBSTITUTE(SUBSTITUTE(SUBSTITUTE(SUBSTITUTE(SUBSTITUTE(SUBSTITUTE(SUBSTITUTE(SUBSTITUTE(TRIM($L294),"'",""),"İ","I"),"ı","I"),"i","I"),"Ş","S"),"ş","S"),"Ğ","G"),"ğ","G"),"Ü","U"),"ü","U"),"Ö","O"),"ö","O"),"Ç","C"),"ç","C"),".",""),",","")," ",""),"-","")))</f>
        <v/>
      </c>
      <c r="T294" s="3">
        <f>IF(OR($C294="",$D294&lt;&gt;"Gelir",$L294=""),"",IFERROR(INDEX(MUSTERILER!$B$7:$B$106,MATCH($S294,MUSTERILER!$T$7:$T$106,0)),""))</f>
        <v/>
      </c>
      <c r="U294" s="3">
        <f>IF($T294="","",$T294&amp;"|"&amp;COUNTIFS($T$7:$T294,$T294))</f>
        <v/>
      </c>
      <c r="V294" s="3">
        <f>IF($T294="",0,1)</f>
        <v/>
      </c>
      <c r="W294" s="3">
        <f>IF($C294="","",$D294&amp;"|"&amp;$E294&amp;"|"&amp;TEXT($C294,"0")&amp;"|"&amp;TEXT($G294,"0")&amp;"|"&amp;$J294)</f>
        <v/>
      </c>
      <c r="X294" s="3" t="n"/>
      <c r="Y294" s="3" t="n"/>
      <c r="Z294" s="3" t="n"/>
      <c r="AA294" s="3" t="n"/>
      <c r="AB294" s="3" t="n"/>
      <c r="AC294" s="3" t="n"/>
      <c r="AD294" s="3">
        <f>IF($C294="",0,SUMPRODUCT((AY_SONU!$O$7:$O$42="Evet")*(AY_SONU!$B$7:$B$42=DATE(YEAR($C294),MONTH($C294),1))))</f>
        <v/>
      </c>
    </row>
    <row r="295">
      <c r="A295" s="6" t="n"/>
      <c r="B295" s="113">
        <f>IF($C295="","","GG"&amp;TEXT(ROW()-6,"00000"))</f>
        <v/>
      </c>
      <c r="C295" s="220" t="n"/>
      <c r="D295" s="108" t="n"/>
      <c r="E295" s="109" t="n"/>
      <c r="F295" s="109" t="n"/>
      <c r="G295" s="221" t="n"/>
      <c r="H295" s="108" t="n"/>
      <c r="I295" s="108" t="n"/>
      <c r="J295" s="109" t="n"/>
      <c r="K295" s="109" t="n"/>
      <c r="L295" s="108" t="n"/>
      <c r="M295" s="121">
        <f>IF($C295="","",IF($D295="Gider",$E295,IF($L295&lt;&gt;"",$L295,$H295)))</f>
        <v/>
      </c>
      <c r="N295" s="121">
        <f>IF($C295="","",IF($D295="Gider",$H295,$E295))</f>
        <v/>
      </c>
      <c r="O295" s="226">
        <f>IF($C295="","",DATE(YEAR($C295),MONTH($C295),1))</f>
        <v/>
      </c>
      <c r="P295" s="113">
        <f>IF($C295="","",IF(AND($D295="Gelir",$L295&lt;&gt;"",$T295=""),"TANIMSIZ BORÇLU",IF($T295&lt;&gt;"",IF(OR($E295="",$G295&lt;=0),"EKSİK",IF($I295="Evet","TAHAKKUK NAKİT OLAMAZ",IF($C295&gt;TODAY(),"İLERİ TARİH","TAHAKKUK"))),IF(AND($D295&lt;&gt;"",$E295&lt;&gt;"",$G295&gt;0,$H295&lt;&gt;"",$I295&lt;&gt;""),IF($C295&gt;TODAY(),"İLERİ TARİH",IF(COUNTIF($W$7:$W$1206,$W295)&gt;1,"MÜKERRER?",IF($AD295&gt;0,"KAPALI DÖNEM",IF($I295="Hayır","ÖDENECEK","UYGUN")))),"EKSİK"))))</f>
        <v/>
      </c>
      <c r="Q295" s="6" t="n"/>
      <c r="R295" s="6" t="n"/>
      <c r="S295" s="3">
        <f>IF($L295="","",UPPER(SUBSTITUTE(SUBSTITUTE(SUBSTITUTE(SUBSTITUTE(SUBSTITUTE(SUBSTITUTE(SUBSTITUTE(SUBSTITUTE(SUBSTITUTE(SUBSTITUTE(SUBSTITUTE(SUBSTITUTE(SUBSTITUTE(SUBSTITUTE(SUBSTITUTE(SUBSTITUTE(SUBSTITUTE(SUBSTITUTE(TRIM($L295),"'",""),"İ","I"),"ı","I"),"i","I"),"Ş","S"),"ş","S"),"Ğ","G"),"ğ","G"),"Ü","U"),"ü","U"),"Ö","O"),"ö","O"),"Ç","C"),"ç","C"),".",""),",","")," ",""),"-","")))</f>
        <v/>
      </c>
      <c r="T295" s="3">
        <f>IF(OR($C295="",$D295&lt;&gt;"Gelir",$L295=""),"",IFERROR(INDEX(MUSTERILER!$B$7:$B$106,MATCH($S295,MUSTERILER!$T$7:$T$106,0)),""))</f>
        <v/>
      </c>
      <c r="U295" s="3">
        <f>IF($T295="","",$T295&amp;"|"&amp;COUNTIFS($T$7:$T295,$T295))</f>
        <v/>
      </c>
      <c r="V295" s="3">
        <f>IF($T295="",0,1)</f>
        <v/>
      </c>
      <c r="W295" s="3">
        <f>IF($C295="","",$D295&amp;"|"&amp;$E295&amp;"|"&amp;TEXT($C295,"0")&amp;"|"&amp;TEXT($G295,"0")&amp;"|"&amp;$J295)</f>
        <v/>
      </c>
      <c r="X295" s="3" t="n"/>
      <c r="Y295" s="3" t="n"/>
      <c r="Z295" s="3" t="n"/>
      <c r="AA295" s="3" t="n"/>
      <c r="AB295" s="3" t="n"/>
      <c r="AC295" s="3" t="n"/>
      <c r="AD295" s="3">
        <f>IF($C295="",0,SUMPRODUCT((AY_SONU!$O$7:$O$42="Evet")*(AY_SONU!$B$7:$B$42=DATE(YEAR($C295),MONTH($C295),1))))</f>
        <v/>
      </c>
    </row>
    <row r="296">
      <c r="A296" s="6" t="n"/>
      <c r="B296" s="113">
        <f>IF($C296="","","GG"&amp;TEXT(ROW()-6,"00000"))</f>
        <v/>
      </c>
      <c r="C296" s="220" t="n"/>
      <c r="D296" s="108" t="n"/>
      <c r="E296" s="109" t="n"/>
      <c r="F296" s="109" t="n"/>
      <c r="G296" s="221" t="n"/>
      <c r="H296" s="108" t="n"/>
      <c r="I296" s="108" t="n"/>
      <c r="J296" s="109" t="n"/>
      <c r="K296" s="109" t="n"/>
      <c r="L296" s="108" t="n"/>
      <c r="M296" s="121">
        <f>IF($C296="","",IF($D296="Gider",$E296,IF($L296&lt;&gt;"",$L296,$H296)))</f>
        <v/>
      </c>
      <c r="N296" s="121">
        <f>IF($C296="","",IF($D296="Gider",$H296,$E296))</f>
        <v/>
      </c>
      <c r="O296" s="226">
        <f>IF($C296="","",DATE(YEAR($C296),MONTH($C296),1))</f>
        <v/>
      </c>
      <c r="P296" s="113">
        <f>IF($C296="","",IF(AND($D296="Gelir",$L296&lt;&gt;"",$T296=""),"TANIMSIZ BORÇLU",IF($T296&lt;&gt;"",IF(OR($E296="",$G296&lt;=0),"EKSİK",IF($I296="Evet","TAHAKKUK NAKİT OLAMAZ",IF($C296&gt;TODAY(),"İLERİ TARİH","TAHAKKUK"))),IF(AND($D296&lt;&gt;"",$E296&lt;&gt;"",$G296&gt;0,$H296&lt;&gt;"",$I296&lt;&gt;""),IF($C296&gt;TODAY(),"İLERİ TARİH",IF(COUNTIF($W$7:$W$1206,$W296)&gt;1,"MÜKERRER?",IF($AD296&gt;0,"KAPALI DÖNEM",IF($I296="Hayır","ÖDENECEK","UYGUN")))),"EKSİK"))))</f>
        <v/>
      </c>
      <c r="Q296" s="6" t="n"/>
      <c r="R296" s="6" t="n"/>
      <c r="S296" s="3">
        <f>IF($L296="","",UPPER(SUBSTITUTE(SUBSTITUTE(SUBSTITUTE(SUBSTITUTE(SUBSTITUTE(SUBSTITUTE(SUBSTITUTE(SUBSTITUTE(SUBSTITUTE(SUBSTITUTE(SUBSTITUTE(SUBSTITUTE(SUBSTITUTE(SUBSTITUTE(SUBSTITUTE(SUBSTITUTE(SUBSTITUTE(SUBSTITUTE(TRIM($L296),"'",""),"İ","I"),"ı","I"),"i","I"),"Ş","S"),"ş","S"),"Ğ","G"),"ğ","G"),"Ü","U"),"ü","U"),"Ö","O"),"ö","O"),"Ç","C"),"ç","C"),".",""),",","")," ",""),"-","")))</f>
        <v/>
      </c>
      <c r="T296" s="3">
        <f>IF(OR($C296="",$D296&lt;&gt;"Gelir",$L296=""),"",IFERROR(INDEX(MUSTERILER!$B$7:$B$106,MATCH($S296,MUSTERILER!$T$7:$T$106,0)),""))</f>
        <v/>
      </c>
      <c r="U296" s="3">
        <f>IF($T296="","",$T296&amp;"|"&amp;COUNTIFS($T$7:$T296,$T296))</f>
        <v/>
      </c>
      <c r="V296" s="3">
        <f>IF($T296="",0,1)</f>
        <v/>
      </c>
      <c r="W296" s="3">
        <f>IF($C296="","",$D296&amp;"|"&amp;$E296&amp;"|"&amp;TEXT($C296,"0")&amp;"|"&amp;TEXT($G296,"0")&amp;"|"&amp;$J296)</f>
        <v/>
      </c>
      <c r="X296" s="3" t="n"/>
      <c r="Y296" s="3" t="n"/>
      <c r="Z296" s="3" t="n"/>
      <c r="AA296" s="3" t="n"/>
      <c r="AB296" s="3" t="n"/>
      <c r="AC296" s="3" t="n"/>
      <c r="AD296" s="3">
        <f>IF($C296="",0,SUMPRODUCT((AY_SONU!$O$7:$O$42="Evet")*(AY_SONU!$B$7:$B$42=DATE(YEAR($C296),MONTH($C296),1))))</f>
        <v/>
      </c>
    </row>
    <row r="297">
      <c r="A297" s="6" t="n"/>
      <c r="B297" s="113">
        <f>IF($C297="","","GG"&amp;TEXT(ROW()-6,"00000"))</f>
        <v/>
      </c>
      <c r="C297" s="220" t="n"/>
      <c r="D297" s="108" t="n"/>
      <c r="E297" s="109" t="n"/>
      <c r="F297" s="109" t="n"/>
      <c r="G297" s="221" t="n"/>
      <c r="H297" s="108" t="n"/>
      <c r="I297" s="108" t="n"/>
      <c r="J297" s="109" t="n"/>
      <c r="K297" s="109" t="n"/>
      <c r="L297" s="108" t="n"/>
      <c r="M297" s="121">
        <f>IF($C297="","",IF($D297="Gider",$E297,IF($L297&lt;&gt;"",$L297,$H297)))</f>
        <v/>
      </c>
      <c r="N297" s="121">
        <f>IF($C297="","",IF($D297="Gider",$H297,$E297))</f>
        <v/>
      </c>
      <c r="O297" s="226">
        <f>IF($C297="","",DATE(YEAR($C297),MONTH($C297),1))</f>
        <v/>
      </c>
      <c r="P297" s="113">
        <f>IF($C297="","",IF(AND($D297="Gelir",$L297&lt;&gt;"",$T297=""),"TANIMSIZ BORÇLU",IF($T297&lt;&gt;"",IF(OR($E297="",$G297&lt;=0),"EKSİK",IF($I297="Evet","TAHAKKUK NAKİT OLAMAZ",IF($C297&gt;TODAY(),"İLERİ TARİH","TAHAKKUK"))),IF(AND($D297&lt;&gt;"",$E297&lt;&gt;"",$G297&gt;0,$H297&lt;&gt;"",$I297&lt;&gt;""),IF($C297&gt;TODAY(),"İLERİ TARİH",IF(COUNTIF($W$7:$W$1206,$W297)&gt;1,"MÜKERRER?",IF($AD297&gt;0,"KAPALI DÖNEM",IF($I297="Hayır","ÖDENECEK","UYGUN")))),"EKSİK"))))</f>
        <v/>
      </c>
      <c r="Q297" s="6" t="n"/>
      <c r="R297" s="6" t="n"/>
      <c r="S297" s="3">
        <f>IF($L297="","",UPPER(SUBSTITUTE(SUBSTITUTE(SUBSTITUTE(SUBSTITUTE(SUBSTITUTE(SUBSTITUTE(SUBSTITUTE(SUBSTITUTE(SUBSTITUTE(SUBSTITUTE(SUBSTITUTE(SUBSTITUTE(SUBSTITUTE(SUBSTITUTE(SUBSTITUTE(SUBSTITUTE(SUBSTITUTE(SUBSTITUTE(TRIM($L297),"'",""),"İ","I"),"ı","I"),"i","I"),"Ş","S"),"ş","S"),"Ğ","G"),"ğ","G"),"Ü","U"),"ü","U"),"Ö","O"),"ö","O"),"Ç","C"),"ç","C"),".",""),",","")," ",""),"-","")))</f>
        <v/>
      </c>
      <c r="T297" s="3">
        <f>IF(OR($C297="",$D297&lt;&gt;"Gelir",$L297=""),"",IFERROR(INDEX(MUSTERILER!$B$7:$B$106,MATCH($S297,MUSTERILER!$T$7:$T$106,0)),""))</f>
        <v/>
      </c>
      <c r="U297" s="3">
        <f>IF($T297="","",$T297&amp;"|"&amp;COUNTIFS($T$7:$T297,$T297))</f>
        <v/>
      </c>
      <c r="V297" s="3">
        <f>IF($T297="",0,1)</f>
        <v/>
      </c>
      <c r="W297" s="3">
        <f>IF($C297="","",$D297&amp;"|"&amp;$E297&amp;"|"&amp;TEXT($C297,"0")&amp;"|"&amp;TEXT($G297,"0")&amp;"|"&amp;$J297)</f>
        <v/>
      </c>
      <c r="X297" s="3" t="n"/>
      <c r="Y297" s="3" t="n"/>
      <c r="Z297" s="3" t="n"/>
      <c r="AA297" s="3" t="n"/>
      <c r="AB297" s="3" t="n"/>
      <c r="AC297" s="3" t="n"/>
      <c r="AD297" s="3">
        <f>IF($C297="",0,SUMPRODUCT((AY_SONU!$O$7:$O$42="Evet")*(AY_SONU!$B$7:$B$42=DATE(YEAR($C297),MONTH($C297),1))))</f>
        <v/>
      </c>
    </row>
    <row r="298">
      <c r="A298" s="6" t="n"/>
      <c r="B298" s="113">
        <f>IF($C298="","","GG"&amp;TEXT(ROW()-6,"00000"))</f>
        <v/>
      </c>
      <c r="C298" s="220" t="n"/>
      <c r="D298" s="108" t="n"/>
      <c r="E298" s="109" t="n"/>
      <c r="F298" s="109" t="n"/>
      <c r="G298" s="221" t="n"/>
      <c r="H298" s="108" t="n"/>
      <c r="I298" s="108" t="n"/>
      <c r="J298" s="109" t="n"/>
      <c r="K298" s="109" t="n"/>
      <c r="L298" s="108" t="n"/>
      <c r="M298" s="121">
        <f>IF($C298="","",IF($D298="Gider",$E298,IF($L298&lt;&gt;"",$L298,$H298)))</f>
        <v/>
      </c>
      <c r="N298" s="121">
        <f>IF($C298="","",IF($D298="Gider",$H298,$E298))</f>
        <v/>
      </c>
      <c r="O298" s="226">
        <f>IF($C298="","",DATE(YEAR($C298),MONTH($C298),1))</f>
        <v/>
      </c>
      <c r="P298" s="113">
        <f>IF($C298="","",IF(AND($D298="Gelir",$L298&lt;&gt;"",$T298=""),"TANIMSIZ BORÇLU",IF($T298&lt;&gt;"",IF(OR($E298="",$G298&lt;=0),"EKSİK",IF($I298="Evet","TAHAKKUK NAKİT OLAMAZ",IF($C298&gt;TODAY(),"İLERİ TARİH","TAHAKKUK"))),IF(AND($D298&lt;&gt;"",$E298&lt;&gt;"",$G298&gt;0,$H298&lt;&gt;"",$I298&lt;&gt;""),IF($C298&gt;TODAY(),"İLERİ TARİH",IF(COUNTIF($W$7:$W$1206,$W298)&gt;1,"MÜKERRER?",IF($AD298&gt;0,"KAPALI DÖNEM",IF($I298="Hayır","ÖDENECEK","UYGUN")))),"EKSİK"))))</f>
        <v/>
      </c>
      <c r="Q298" s="6" t="n"/>
      <c r="R298" s="6" t="n"/>
      <c r="S298" s="3">
        <f>IF($L298="","",UPPER(SUBSTITUTE(SUBSTITUTE(SUBSTITUTE(SUBSTITUTE(SUBSTITUTE(SUBSTITUTE(SUBSTITUTE(SUBSTITUTE(SUBSTITUTE(SUBSTITUTE(SUBSTITUTE(SUBSTITUTE(SUBSTITUTE(SUBSTITUTE(SUBSTITUTE(SUBSTITUTE(SUBSTITUTE(SUBSTITUTE(TRIM($L298),"'",""),"İ","I"),"ı","I"),"i","I"),"Ş","S"),"ş","S"),"Ğ","G"),"ğ","G"),"Ü","U"),"ü","U"),"Ö","O"),"ö","O"),"Ç","C"),"ç","C"),".",""),",","")," ",""),"-","")))</f>
        <v/>
      </c>
      <c r="T298" s="3">
        <f>IF(OR($C298="",$D298&lt;&gt;"Gelir",$L298=""),"",IFERROR(INDEX(MUSTERILER!$B$7:$B$106,MATCH($S298,MUSTERILER!$T$7:$T$106,0)),""))</f>
        <v/>
      </c>
      <c r="U298" s="3">
        <f>IF($T298="","",$T298&amp;"|"&amp;COUNTIFS($T$7:$T298,$T298))</f>
        <v/>
      </c>
      <c r="V298" s="3">
        <f>IF($T298="",0,1)</f>
        <v/>
      </c>
      <c r="W298" s="3">
        <f>IF($C298="","",$D298&amp;"|"&amp;$E298&amp;"|"&amp;TEXT($C298,"0")&amp;"|"&amp;TEXT($G298,"0")&amp;"|"&amp;$J298)</f>
        <v/>
      </c>
      <c r="X298" s="3" t="n"/>
      <c r="Y298" s="3" t="n"/>
      <c r="Z298" s="3" t="n"/>
      <c r="AA298" s="3" t="n"/>
      <c r="AB298" s="3" t="n"/>
      <c r="AC298" s="3" t="n"/>
      <c r="AD298" s="3">
        <f>IF($C298="",0,SUMPRODUCT((AY_SONU!$O$7:$O$42="Evet")*(AY_SONU!$B$7:$B$42=DATE(YEAR($C298),MONTH($C298),1))))</f>
        <v/>
      </c>
    </row>
    <row r="299">
      <c r="A299" s="6" t="n"/>
      <c r="B299" s="113">
        <f>IF($C299="","","GG"&amp;TEXT(ROW()-6,"00000"))</f>
        <v/>
      </c>
      <c r="C299" s="220" t="n"/>
      <c r="D299" s="108" t="n"/>
      <c r="E299" s="109" t="n"/>
      <c r="F299" s="109" t="n"/>
      <c r="G299" s="221" t="n"/>
      <c r="H299" s="108" t="n"/>
      <c r="I299" s="108" t="n"/>
      <c r="J299" s="109" t="n"/>
      <c r="K299" s="109" t="n"/>
      <c r="L299" s="108" t="n"/>
      <c r="M299" s="121">
        <f>IF($C299="","",IF($D299="Gider",$E299,IF($L299&lt;&gt;"",$L299,$H299)))</f>
        <v/>
      </c>
      <c r="N299" s="121">
        <f>IF($C299="","",IF($D299="Gider",$H299,$E299))</f>
        <v/>
      </c>
      <c r="O299" s="226">
        <f>IF($C299="","",DATE(YEAR($C299),MONTH($C299),1))</f>
        <v/>
      </c>
      <c r="P299" s="113">
        <f>IF($C299="","",IF(AND($D299="Gelir",$L299&lt;&gt;"",$T299=""),"TANIMSIZ BORÇLU",IF($T299&lt;&gt;"",IF(OR($E299="",$G299&lt;=0),"EKSİK",IF($I299="Evet","TAHAKKUK NAKİT OLAMAZ",IF($C299&gt;TODAY(),"İLERİ TARİH","TAHAKKUK"))),IF(AND($D299&lt;&gt;"",$E299&lt;&gt;"",$G299&gt;0,$H299&lt;&gt;"",$I299&lt;&gt;""),IF($C299&gt;TODAY(),"İLERİ TARİH",IF(COUNTIF($W$7:$W$1206,$W299)&gt;1,"MÜKERRER?",IF($AD299&gt;0,"KAPALI DÖNEM",IF($I299="Hayır","ÖDENECEK","UYGUN")))),"EKSİK"))))</f>
        <v/>
      </c>
      <c r="Q299" s="6" t="n"/>
      <c r="R299" s="6" t="n"/>
      <c r="S299" s="3">
        <f>IF($L299="","",UPPER(SUBSTITUTE(SUBSTITUTE(SUBSTITUTE(SUBSTITUTE(SUBSTITUTE(SUBSTITUTE(SUBSTITUTE(SUBSTITUTE(SUBSTITUTE(SUBSTITUTE(SUBSTITUTE(SUBSTITUTE(SUBSTITUTE(SUBSTITUTE(SUBSTITUTE(SUBSTITUTE(SUBSTITUTE(SUBSTITUTE(TRIM($L299),"'",""),"İ","I"),"ı","I"),"i","I"),"Ş","S"),"ş","S"),"Ğ","G"),"ğ","G"),"Ü","U"),"ü","U"),"Ö","O"),"ö","O"),"Ç","C"),"ç","C"),".",""),",","")," ",""),"-","")))</f>
        <v/>
      </c>
      <c r="T299" s="3">
        <f>IF(OR($C299="",$D299&lt;&gt;"Gelir",$L299=""),"",IFERROR(INDEX(MUSTERILER!$B$7:$B$106,MATCH($S299,MUSTERILER!$T$7:$T$106,0)),""))</f>
        <v/>
      </c>
      <c r="U299" s="3">
        <f>IF($T299="","",$T299&amp;"|"&amp;COUNTIFS($T$7:$T299,$T299))</f>
        <v/>
      </c>
      <c r="V299" s="3">
        <f>IF($T299="",0,1)</f>
        <v/>
      </c>
      <c r="W299" s="3">
        <f>IF($C299="","",$D299&amp;"|"&amp;$E299&amp;"|"&amp;TEXT($C299,"0")&amp;"|"&amp;TEXT($G299,"0")&amp;"|"&amp;$J299)</f>
        <v/>
      </c>
      <c r="X299" s="3" t="n"/>
      <c r="Y299" s="3" t="n"/>
      <c r="Z299" s="3" t="n"/>
      <c r="AA299" s="3" t="n"/>
      <c r="AB299" s="3" t="n"/>
      <c r="AC299" s="3" t="n"/>
      <c r="AD299" s="3">
        <f>IF($C299="",0,SUMPRODUCT((AY_SONU!$O$7:$O$42="Evet")*(AY_SONU!$B$7:$B$42=DATE(YEAR($C299),MONTH($C299),1))))</f>
        <v/>
      </c>
    </row>
    <row r="300">
      <c r="A300" s="6" t="n"/>
      <c r="B300" s="113">
        <f>IF($C300="","","GG"&amp;TEXT(ROW()-6,"00000"))</f>
        <v/>
      </c>
      <c r="C300" s="220" t="n"/>
      <c r="D300" s="108" t="n"/>
      <c r="E300" s="109" t="n"/>
      <c r="F300" s="109" t="n"/>
      <c r="G300" s="221" t="n"/>
      <c r="H300" s="108" t="n"/>
      <c r="I300" s="108" t="n"/>
      <c r="J300" s="109" t="n"/>
      <c r="K300" s="109" t="n"/>
      <c r="L300" s="108" t="n"/>
      <c r="M300" s="121">
        <f>IF($C300="","",IF($D300="Gider",$E300,IF($L300&lt;&gt;"",$L300,$H300)))</f>
        <v/>
      </c>
      <c r="N300" s="121">
        <f>IF($C300="","",IF($D300="Gider",$H300,$E300))</f>
        <v/>
      </c>
      <c r="O300" s="226">
        <f>IF($C300="","",DATE(YEAR($C300),MONTH($C300),1))</f>
        <v/>
      </c>
      <c r="P300" s="113">
        <f>IF($C300="","",IF(AND($D300="Gelir",$L300&lt;&gt;"",$T300=""),"TANIMSIZ BORÇLU",IF($T300&lt;&gt;"",IF(OR($E300="",$G300&lt;=0),"EKSİK",IF($I300="Evet","TAHAKKUK NAKİT OLAMAZ",IF($C300&gt;TODAY(),"İLERİ TARİH","TAHAKKUK"))),IF(AND($D300&lt;&gt;"",$E300&lt;&gt;"",$G300&gt;0,$H300&lt;&gt;"",$I300&lt;&gt;""),IF($C300&gt;TODAY(),"İLERİ TARİH",IF(COUNTIF($W$7:$W$1206,$W300)&gt;1,"MÜKERRER?",IF($AD300&gt;0,"KAPALI DÖNEM",IF($I300="Hayır","ÖDENECEK","UYGUN")))),"EKSİK"))))</f>
        <v/>
      </c>
      <c r="Q300" s="6" t="n"/>
      <c r="R300" s="6" t="n"/>
      <c r="S300" s="3">
        <f>IF($L300="","",UPPER(SUBSTITUTE(SUBSTITUTE(SUBSTITUTE(SUBSTITUTE(SUBSTITUTE(SUBSTITUTE(SUBSTITUTE(SUBSTITUTE(SUBSTITUTE(SUBSTITUTE(SUBSTITUTE(SUBSTITUTE(SUBSTITUTE(SUBSTITUTE(SUBSTITUTE(SUBSTITUTE(SUBSTITUTE(SUBSTITUTE(TRIM($L300),"'",""),"İ","I"),"ı","I"),"i","I"),"Ş","S"),"ş","S"),"Ğ","G"),"ğ","G"),"Ü","U"),"ü","U"),"Ö","O"),"ö","O"),"Ç","C"),"ç","C"),".",""),",","")," ",""),"-","")))</f>
        <v/>
      </c>
      <c r="T300" s="3">
        <f>IF(OR($C300="",$D300&lt;&gt;"Gelir",$L300=""),"",IFERROR(INDEX(MUSTERILER!$B$7:$B$106,MATCH($S300,MUSTERILER!$T$7:$T$106,0)),""))</f>
        <v/>
      </c>
      <c r="U300" s="3">
        <f>IF($T300="","",$T300&amp;"|"&amp;COUNTIFS($T$7:$T300,$T300))</f>
        <v/>
      </c>
      <c r="V300" s="3">
        <f>IF($T300="",0,1)</f>
        <v/>
      </c>
      <c r="W300" s="3">
        <f>IF($C300="","",$D300&amp;"|"&amp;$E300&amp;"|"&amp;TEXT($C300,"0")&amp;"|"&amp;TEXT($G300,"0")&amp;"|"&amp;$J300)</f>
        <v/>
      </c>
      <c r="X300" s="3" t="n"/>
      <c r="Y300" s="3" t="n"/>
      <c r="Z300" s="3" t="n"/>
      <c r="AA300" s="3" t="n"/>
      <c r="AB300" s="3" t="n"/>
      <c r="AC300" s="3" t="n"/>
      <c r="AD300" s="3">
        <f>IF($C300="",0,SUMPRODUCT((AY_SONU!$O$7:$O$42="Evet")*(AY_SONU!$B$7:$B$42=DATE(YEAR($C300),MONTH($C300),1))))</f>
        <v/>
      </c>
    </row>
    <row r="301">
      <c r="A301" s="6" t="n"/>
      <c r="B301" s="113">
        <f>IF($C301="","","GG"&amp;TEXT(ROW()-6,"00000"))</f>
        <v/>
      </c>
      <c r="C301" s="220" t="n"/>
      <c r="D301" s="108" t="n"/>
      <c r="E301" s="109" t="n"/>
      <c r="F301" s="109" t="n"/>
      <c r="G301" s="221" t="n"/>
      <c r="H301" s="108" t="n"/>
      <c r="I301" s="108" t="n"/>
      <c r="J301" s="109" t="n"/>
      <c r="K301" s="109" t="n"/>
      <c r="L301" s="108" t="n"/>
      <c r="M301" s="121">
        <f>IF($C301="","",IF($D301="Gider",$E301,IF($L301&lt;&gt;"",$L301,$H301)))</f>
        <v/>
      </c>
      <c r="N301" s="121">
        <f>IF($C301="","",IF($D301="Gider",$H301,$E301))</f>
        <v/>
      </c>
      <c r="O301" s="226">
        <f>IF($C301="","",DATE(YEAR($C301),MONTH($C301),1))</f>
        <v/>
      </c>
      <c r="P301" s="113">
        <f>IF($C301="","",IF(AND($D301="Gelir",$L301&lt;&gt;"",$T301=""),"TANIMSIZ BORÇLU",IF($T301&lt;&gt;"",IF(OR($E301="",$G301&lt;=0),"EKSİK",IF($I301="Evet","TAHAKKUK NAKİT OLAMAZ",IF($C301&gt;TODAY(),"İLERİ TARİH","TAHAKKUK"))),IF(AND($D301&lt;&gt;"",$E301&lt;&gt;"",$G301&gt;0,$H301&lt;&gt;"",$I301&lt;&gt;""),IF($C301&gt;TODAY(),"İLERİ TARİH",IF(COUNTIF($W$7:$W$1206,$W301)&gt;1,"MÜKERRER?",IF($AD301&gt;0,"KAPALI DÖNEM",IF($I301="Hayır","ÖDENECEK","UYGUN")))),"EKSİK"))))</f>
        <v/>
      </c>
      <c r="Q301" s="6" t="n"/>
      <c r="R301" s="6" t="n"/>
      <c r="S301" s="3">
        <f>IF($L301="","",UPPER(SUBSTITUTE(SUBSTITUTE(SUBSTITUTE(SUBSTITUTE(SUBSTITUTE(SUBSTITUTE(SUBSTITUTE(SUBSTITUTE(SUBSTITUTE(SUBSTITUTE(SUBSTITUTE(SUBSTITUTE(SUBSTITUTE(SUBSTITUTE(SUBSTITUTE(SUBSTITUTE(SUBSTITUTE(SUBSTITUTE(TRIM($L301),"'",""),"İ","I"),"ı","I"),"i","I"),"Ş","S"),"ş","S"),"Ğ","G"),"ğ","G"),"Ü","U"),"ü","U"),"Ö","O"),"ö","O"),"Ç","C"),"ç","C"),".",""),",","")," ",""),"-","")))</f>
        <v/>
      </c>
      <c r="T301" s="3">
        <f>IF(OR($C301="",$D301&lt;&gt;"Gelir",$L301=""),"",IFERROR(INDEX(MUSTERILER!$B$7:$B$106,MATCH($S301,MUSTERILER!$T$7:$T$106,0)),""))</f>
        <v/>
      </c>
      <c r="U301" s="3">
        <f>IF($T301="","",$T301&amp;"|"&amp;COUNTIFS($T$7:$T301,$T301))</f>
        <v/>
      </c>
      <c r="V301" s="3">
        <f>IF($T301="",0,1)</f>
        <v/>
      </c>
      <c r="W301" s="3">
        <f>IF($C301="","",$D301&amp;"|"&amp;$E301&amp;"|"&amp;TEXT($C301,"0")&amp;"|"&amp;TEXT($G301,"0")&amp;"|"&amp;$J301)</f>
        <v/>
      </c>
      <c r="X301" s="3" t="n"/>
      <c r="Y301" s="3" t="n"/>
      <c r="Z301" s="3" t="n"/>
      <c r="AA301" s="3" t="n"/>
      <c r="AB301" s="3" t="n"/>
      <c r="AC301" s="3" t="n"/>
      <c r="AD301" s="3">
        <f>IF($C301="",0,SUMPRODUCT((AY_SONU!$O$7:$O$42="Evet")*(AY_SONU!$B$7:$B$42=DATE(YEAR($C301),MONTH($C301),1))))</f>
        <v/>
      </c>
    </row>
    <row r="302">
      <c r="A302" s="6" t="n"/>
      <c r="B302" s="113">
        <f>IF($C302="","","GG"&amp;TEXT(ROW()-6,"00000"))</f>
        <v/>
      </c>
      <c r="C302" s="220" t="n"/>
      <c r="D302" s="108" t="n"/>
      <c r="E302" s="109" t="n"/>
      <c r="F302" s="109" t="n"/>
      <c r="G302" s="221" t="n"/>
      <c r="H302" s="108" t="n"/>
      <c r="I302" s="108" t="n"/>
      <c r="J302" s="109" t="n"/>
      <c r="K302" s="109" t="n"/>
      <c r="L302" s="108" t="n"/>
      <c r="M302" s="121">
        <f>IF($C302="","",IF($D302="Gider",$E302,IF($L302&lt;&gt;"",$L302,$H302)))</f>
        <v/>
      </c>
      <c r="N302" s="121">
        <f>IF($C302="","",IF($D302="Gider",$H302,$E302))</f>
        <v/>
      </c>
      <c r="O302" s="226">
        <f>IF($C302="","",DATE(YEAR($C302),MONTH($C302),1))</f>
        <v/>
      </c>
      <c r="P302" s="113">
        <f>IF($C302="","",IF(AND($D302="Gelir",$L302&lt;&gt;"",$T302=""),"TANIMSIZ BORÇLU",IF($T302&lt;&gt;"",IF(OR($E302="",$G302&lt;=0),"EKSİK",IF($I302="Evet","TAHAKKUK NAKİT OLAMAZ",IF($C302&gt;TODAY(),"İLERİ TARİH","TAHAKKUK"))),IF(AND($D302&lt;&gt;"",$E302&lt;&gt;"",$G302&gt;0,$H302&lt;&gt;"",$I302&lt;&gt;""),IF($C302&gt;TODAY(),"İLERİ TARİH",IF(COUNTIF($W$7:$W$1206,$W302)&gt;1,"MÜKERRER?",IF($AD302&gt;0,"KAPALI DÖNEM",IF($I302="Hayır","ÖDENECEK","UYGUN")))),"EKSİK"))))</f>
        <v/>
      </c>
      <c r="Q302" s="6" t="n"/>
      <c r="R302" s="6" t="n"/>
      <c r="S302" s="3">
        <f>IF($L302="","",UPPER(SUBSTITUTE(SUBSTITUTE(SUBSTITUTE(SUBSTITUTE(SUBSTITUTE(SUBSTITUTE(SUBSTITUTE(SUBSTITUTE(SUBSTITUTE(SUBSTITUTE(SUBSTITUTE(SUBSTITUTE(SUBSTITUTE(SUBSTITUTE(SUBSTITUTE(SUBSTITUTE(SUBSTITUTE(SUBSTITUTE(TRIM($L302),"'",""),"İ","I"),"ı","I"),"i","I"),"Ş","S"),"ş","S"),"Ğ","G"),"ğ","G"),"Ü","U"),"ü","U"),"Ö","O"),"ö","O"),"Ç","C"),"ç","C"),".",""),",","")," ",""),"-","")))</f>
        <v/>
      </c>
      <c r="T302" s="3">
        <f>IF(OR($C302="",$D302&lt;&gt;"Gelir",$L302=""),"",IFERROR(INDEX(MUSTERILER!$B$7:$B$106,MATCH($S302,MUSTERILER!$T$7:$T$106,0)),""))</f>
        <v/>
      </c>
      <c r="U302" s="3">
        <f>IF($T302="","",$T302&amp;"|"&amp;COUNTIFS($T$7:$T302,$T302))</f>
        <v/>
      </c>
      <c r="V302" s="3">
        <f>IF($T302="",0,1)</f>
        <v/>
      </c>
      <c r="W302" s="3">
        <f>IF($C302="","",$D302&amp;"|"&amp;$E302&amp;"|"&amp;TEXT($C302,"0")&amp;"|"&amp;TEXT($G302,"0")&amp;"|"&amp;$J302)</f>
        <v/>
      </c>
      <c r="X302" s="3" t="n"/>
      <c r="Y302" s="3" t="n"/>
      <c r="Z302" s="3" t="n"/>
      <c r="AA302" s="3" t="n"/>
      <c r="AB302" s="3" t="n"/>
      <c r="AC302" s="3" t="n"/>
      <c r="AD302" s="3">
        <f>IF($C302="",0,SUMPRODUCT((AY_SONU!$O$7:$O$42="Evet")*(AY_SONU!$B$7:$B$42=DATE(YEAR($C302),MONTH($C302),1))))</f>
        <v/>
      </c>
    </row>
    <row r="303">
      <c r="A303" s="6" t="n"/>
      <c r="B303" s="113">
        <f>IF($C303="","","GG"&amp;TEXT(ROW()-6,"00000"))</f>
        <v/>
      </c>
      <c r="C303" s="220" t="n"/>
      <c r="D303" s="108" t="n"/>
      <c r="E303" s="109" t="n"/>
      <c r="F303" s="109" t="n"/>
      <c r="G303" s="221" t="n"/>
      <c r="H303" s="108" t="n"/>
      <c r="I303" s="108" t="n"/>
      <c r="J303" s="109" t="n"/>
      <c r="K303" s="109" t="n"/>
      <c r="L303" s="108" t="n"/>
      <c r="M303" s="121">
        <f>IF($C303="","",IF($D303="Gider",$E303,IF($L303&lt;&gt;"",$L303,$H303)))</f>
        <v/>
      </c>
      <c r="N303" s="121">
        <f>IF($C303="","",IF($D303="Gider",$H303,$E303))</f>
        <v/>
      </c>
      <c r="O303" s="226">
        <f>IF($C303="","",DATE(YEAR($C303),MONTH($C303),1))</f>
        <v/>
      </c>
      <c r="P303" s="113">
        <f>IF($C303="","",IF(AND($D303="Gelir",$L303&lt;&gt;"",$T303=""),"TANIMSIZ BORÇLU",IF($T303&lt;&gt;"",IF(OR($E303="",$G303&lt;=0),"EKSİK",IF($I303="Evet","TAHAKKUK NAKİT OLAMAZ",IF($C303&gt;TODAY(),"İLERİ TARİH","TAHAKKUK"))),IF(AND($D303&lt;&gt;"",$E303&lt;&gt;"",$G303&gt;0,$H303&lt;&gt;"",$I303&lt;&gt;""),IF($C303&gt;TODAY(),"İLERİ TARİH",IF(COUNTIF($W$7:$W$1206,$W303)&gt;1,"MÜKERRER?",IF($AD303&gt;0,"KAPALI DÖNEM",IF($I303="Hayır","ÖDENECEK","UYGUN")))),"EKSİK"))))</f>
        <v/>
      </c>
      <c r="Q303" s="6" t="n"/>
      <c r="R303" s="6" t="n"/>
      <c r="S303" s="3">
        <f>IF($L303="","",UPPER(SUBSTITUTE(SUBSTITUTE(SUBSTITUTE(SUBSTITUTE(SUBSTITUTE(SUBSTITUTE(SUBSTITUTE(SUBSTITUTE(SUBSTITUTE(SUBSTITUTE(SUBSTITUTE(SUBSTITUTE(SUBSTITUTE(SUBSTITUTE(SUBSTITUTE(SUBSTITUTE(SUBSTITUTE(SUBSTITUTE(TRIM($L303),"'",""),"İ","I"),"ı","I"),"i","I"),"Ş","S"),"ş","S"),"Ğ","G"),"ğ","G"),"Ü","U"),"ü","U"),"Ö","O"),"ö","O"),"Ç","C"),"ç","C"),".",""),",","")," ",""),"-","")))</f>
        <v/>
      </c>
      <c r="T303" s="3">
        <f>IF(OR($C303="",$D303&lt;&gt;"Gelir",$L303=""),"",IFERROR(INDEX(MUSTERILER!$B$7:$B$106,MATCH($S303,MUSTERILER!$T$7:$T$106,0)),""))</f>
        <v/>
      </c>
      <c r="U303" s="3">
        <f>IF($T303="","",$T303&amp;"|"&amp;COUNTIFS($T$7:$T303,$T303))</f>
        <v/>
      </c>
      <c r="V303" s="3">
        <f>IF($T303="",0,1)</f>
        <v/>
      </c>
      <c r="W303" s="3">
        <f>IF($C303="","",$D303&amp;"|"&amp;$E303&amp;"|"&amp;TEXT($C303,"0")&amp;"|"&amp;TEXT($G303,"0")&amp;"|"&amp;$J303)</f>
        <v/>
      </c>
      <c r="X303" s="3" t="n"/>
      <c r="Y303" s="3" t="n"/>
      <c r="Z303" s="3" t="n"/>
      <c r="AA303" s="3" t="n"/>
      <c r="AB303" s="3" t="n"/>
      <c r="AC303" s="3" t="n"/>
      <c r="AD303" s="3">
        <f>IF($C303="",0,SUMPRODUCT((AY_SONU!$O$7:$O$42="Evet")*(AY_SONU!$B$7:$B$42=DATE(YEAR($C303),MONTH($C303),1))))</f>
        <v/>
      </c>
    </row>
    <row r="304">
      <c r="A304" s="6" t="n"/>
      <c r="B304" s="113">
        <f>IF($C304="","","GG"&amp;TEXT(ROW()-6,"00000"))</f>
        <v/>
      </c>
      <c r="C304" s="220" t="n"/>
      <c r="D304" s="108" t="n"/>
      <c r="E304" s="109" t="n"/>
      <c r="F304" s="109" t="n"/>
      <c r="G304" s="221" t="n"/>
      <c r="H304" s="108" t="n"/>
      <c r="I304" s="108" t="n"/>
      <c r="J304" s="109" t="n"/>
      <c r="K304" s="109" t="n"/>
      <c r="L304" s="108" t="n"/>
      <c r="M304" s="121">
        <f>IF($C304="","",IF($D304="Gider",$E304,IF($L304&lt;&gt;"",$L304,$H304)))</f>
        <v/>
      </c>
      <c r="N304" s="121">
        <f>IF($C304="","",IF($D304="Gider",$H304,$E304))</f>
        <v/>
      </c>
      <c r="O304" s="226">
        <f>IF($C304="","",DATE(YEAR($C304),MONTH($C304),1))</f>
        <v/>
      </c>
      <c r="P304" s="113">
        <f>IF($C304="","",IF(AND($D304="Gelir",$L304&lt;&gt;"",$T304=""),"TANIMSIZ BORÇLU",IF($T304&lt;&gt;"",IF(OR($E304="",$G304&lt;=0),"EKSİK",IF($I304="Evet","TAHAKKUK NAKİT OLAMAZ",IF($C304&gt;TODAY(),"İLERİ TARİH","TAHAKKUK"))),IF(AND($D304&lt;&gt;"",$E304&lt;&gt;"",$G304&gt;0,$H304&lt;&gt;"",$I304&lt;&gt;""),IF($C304&gt;TODAY(),"İLERİ TARİH",IF(COUNTIF($W$7:$W$1206,$W304)&gt;1,"MÜKERRER?",IF($AD304&gt;0,"KAPALI DÖNEM",IF($I304="Hayır","ÖDENECEK","UYGUN")))),"EKSİK"))))</f>
        <v/>
      </c>
      <c r="Q304" s="6" t="n"/>
      <c r="R304" s="6" t="n"/>
      <c r="S304" s="3">
        <f>IF($L304="","",UPPER(SUBSTITUTE(SUBSTITUTE(SUBSTITUTE(SUBSTITUTE(SUBSTITUTE(SUBSTITUTE(SUBSTITUTE(SUBSTITUTE(SUBSTITUTE(SUBSTITUTE(SUBSTITUTE(SUBSTITUTE(SUBSTITUTE(SUBSTITUTE(SUBSTITUTE(SUBSTITUTE(SUBSTITUTE(SUBSTITUTE(TRIM($L304),"'",""),"İ","I"),"ı","I"),"i","I"),"Ş","S"),"ş","S"),"Ğ","G"),"ğ","G"),"Ü","U"),"ü","U"),"Ö","O"),"ö","O"),"Ç","C"),"ç","C"),".",""),",","")," ",""),"-","")))</f>
        <v/>
      </c>
      <c r="T304" s="3">
        <f>IF(OR($C304="",$D304&lt;&gt;"Gelir",$L304=""),"",IFERROR(INDEX(MUSTERILER!$B$7:$B$106,MATCH($S304,MUSTERILER!$T$7:$T$106,0)),""))</f>
        <v/>
      </c>
      <c r="U304" s="3">
        <f>IF($T304="","",$T304&amp;"|"&amp;COUNTIFS($T$7:$T304,$T304))</f>
        <v/>
      </c>
      <c r="V304" s="3">
        <f>IF($T304="",0,1)</f>
        <v/>
      </c>
      <c r="W304" s="3">
        <f>IF($C304="","",$D304&amp;"|"&amp;$E304&amp;"|"&amp;TEXT($C304,"0")&amp;"|"&amp;TEXT($G304,"0")&amp;"|"&amp;$J304)</f>
        <v/>
      </c>
      <c r="X304" s="3" t="n"/>
      <c r="Y304" s="3" t="n"/>
      <c r="Z304" s="3" t="n"/>
      <c r="AA304" s="3" t="n"/>
      <c r="AB304" s="3" t="n"/>
      <c r="AC304" s="3" t="n"/>
      <c r="AD304" s="3">
        <f>IF($C304="",0,SUMPRODUCT((AY_SONU!$O$7:$O$42="Evet")*(AY_SONU!$B$7:$B$42=DATE(YEAR($C304),MONTH($C304),1))))</f>
        <v/>
      </c>
    </row>
    <row r="305">
      <c r="A305" s="6" t="n"/>
      <c r="B305" s="113">
        <f>IF($C305="","","GG"&amp;TEXT(ROW()-6,"00000"))</f>
        <v/>
      </c>
      <c r="C305" s="220" t="n"/>
      <c r="D305" s="108" t="n"/>
      <c r="E305" s="109" t="n"/>
      <c r="F305" s="109" t="n"/>
      <c r="G305" s="221" t="n"/>
      <c r="H305" s="108" t="n"/>
      <c r="I305" s="108" t="n"/>
      <c r="J305" s="109" t="n"/>
      <c r="K305" s="109" t="n"/>
      <c r="L305" s="108" t="n"/>
      <c r="M305" s="121">
        <f>IF($C305="","",IF($D305="Gider",$E305,IF($L305&lt;&gt;"",$L305,$H305)))</f>
        <v/>
      </c>
      <c r="N305" s="121">
        <f>IF($C305="","",IF($D305="Gider",$H305,$E305))</f>
        <v/>
      </c>
      <c r="O305" s="226">
        <f>IF($C305="","",DATE(YEAR($C305),MONTH($C305),1))</f>
        <v/>
      </c>
      <c r="P305" s="113">
        <f>IF($C305="","",IF(AND($D305="Gelir",$L305&lt;&gt;"",$T305=""),"TANIMSIZ BORÇLU",IF($T305&lt;&gt;"",IF(OR($E305="",$G305&lt;=0),"EKSİK",IF($I305="Evet","TAHAKKUK NAKİT OLAMAZ",IF($C305&gt;TODAY(),"İLERİ TARİH","TAHAKKUK"))),IF(AND($D305&lt;&gt;"",$E305&lt;&gt;"",$G305&gt;0,$H305&lt;&gt;"",$I305&lt;&gt;""),IF($C305&gt;TODAY(),"İLERİ TARİH",IF(COUNTIF($W$7:$W$1206,$W305)&gt;1,"MÜKERRER?",IF($AD305&gt;0,"KAPALI DÖNEM",IF($I305="Hayır","ÖDENECEK","UYGUN")))),"EKSİK"))))</f>
        <v/>
      </c>
      <c r="Q305" s="6" t="n"/>
      <c r="R305" s="6" t="n"/>
      <c r="S305" s="3">
        <f>IF($L305="","",UPPER(SUBSTITUTE(SUBSTITUTE(SUBSTITUTE(SUBSTITUTE(SUBSTITUTE(SUBSTITUTE(SUBSTITUTE(SUBSTITUTE(SUBSTITUTE(SUBSTITUTE(SUBSTITUTE(SUBSTITUTE(SUBSTITUTE(SUBSTITUTE(SUBSTITUTE(SUBSTITUTE(SUBSTITUTE(SUBSTITUTE(TRIM($L305),"'",""),"İ","I"),"ı","I"),"i","I"),"Ş","S"),"ş","S"),"Ğ","G"),"ğ","G"),"Ü","U"),"ü","U"),"Ö","O"),"ö","O"),"Ç","C"),"ç","C"),".",""),",","")," ",""),"-","")))</f>
        <v/>
      </c>
      <c r="T305" s="3">
        <f>IF(OR($C305="",$D305&lt;&gt;"Gelir",$L305=""),"",IFERROR(INDEX(MUSTERILER!$B$7:$B$106,MATCH($S305,MUSTERILER!$T$7:$T$106,0)),""))</f>
        <v/>
      </c>
      <c r="U305" s="3">
        <f>IF($T305="","",$T305&amp;"|"&amp;COUNTIFS($T$7:$T305,$T305))</f>
        <v/>
      </c>
      <c r="V305" s="3">
        <f>IF($T305="",0,1)</f>
        <v/>
      </c>
      <c r="W305" s="3">
        <f>IF($C305="","",$D305&amp;"|"&amp;$E305&amp;"|"&amp;TEXT($C305,"0")&amp;"|"&amp;TEXT($G305,"0")&amp;"|"&amp;$J305)</f>
        <v/>
      </c>
      <c r="X305" s="3" t="n"/>
      <c r="Y305" s="3" t="n"/>
      <c r="Z305" s="3" t="n"/>
      <c r="AA305" s="3" t="n"/>
      <c r="AB305" s="3" t="n"/>
      <c r="AC305" s="3" t="n"/>
      <c r="AD305" s="3">
        <f>IF($C305="",0,SUMPRODUCT((AY_SONU!$O$7:$O$42="Evet")*(AY_SONU!$B$7:$B$42=DATE(YEAR($C305),MONTH($C305),1))))</f>
        <v/>
      </c>
    </row>
    <row r="306">
      <c r="A306" s="6" t="n"/>
      <c r="B306" s="113">
        <f>IF($C306="","","GG"&amp;TEXT(ROW()-6,"00000"))</f>
        <v/>
      </c>
      <c r="C306" s="220" t="n"/>
      <c r="D306" s="108" t="n"/>
      <c r="E306" s="109" t="n"/>
      <c r="F306" s="109" t="n"/>
      <c r="G306" s="221" t="n"/>
      <c r="H306" s="108" t="n"/>
      <c r="I306" s="108" t="n"/>
      <c r="J306" s="109" t="n"/>
      <c r="K306" s="109" t="n"/>
      <c r="L306" s="108" t="n"/>
      <c r="M306" s="121">
        <f>IF($C306="","",IF($D306="Gider",$E306,IF($L306&lt;&gt;"",$L306,$H306)))</f>
        <v/>
      </c>
      <c r="N306" s="121">
        <f>IF($C306="","",IF($D306="Gider",$H306,$E306))</f>
        <v/>
      </c>
      <c r="O306" s="226">
        <f>IF($C306="","",DATE(YEAR($C306),MONTH($C306),1))</f>
        <v/>
      </c>
      <c r="P306" s="113">
        <f>IF($C306="","",IF(AND($D306="Gelir",$L306&lt;&gt;"",$T306=""),"TANIMSIZ BORÇLU",IF($T306&lt;&gt;"",IF(OR($E306="",$G306&lt;=0),"EKSİK",IF($I306="Evet","TAHAKKUK NAKİT OLAMAZ",IF($C306&gt;TODAY(),"İLERİ TARİH","TAHAKKUK"))),IF(AND($D306&lt;&gt;"",$E306&lt;&gt;"",$G306&gt;0,$H306&lt;&gt;"",$I306&lt;&gt;""),IF($C306&gt;TODAY(),"İLERİ TARİH",IF(COUNTIF($W$7:$W$1206,$W306)&gt;1,"MÜKERRER?",IF($AD306&gt;0,"KAPALI DÖNEM",IF($I306="Hayır","ÖDENECEK","UYGUN")))),"EKSİK"))))</f>
        <v/>
      </c>
      <c r="Q306" s="6" t="n"/>
      <c r="R306" s="6" t="n"/>
      <c r="S306" s="3">
        <f>IF($L306="","",UPPER(SUBSTITUTE(SUBSTITUTE(SUBSTITUTE(SUBSTITUTE(SUBSTITUTE(SUBSTITUTE(SUBSTITUTE(SUBSTITUTE(SUBSTITUTE(SUBSTITUTE(SUBSTITUTE(SUBSTITUTE(SUBSTITUTE(SUBSTITUTE(SUBSTITUTE(SUBSTITUTE(SUBSTITUTE(SUBSTITUTE(TRIM($L306),"'",""),"İ","I"),"ı","I"),"i","I"),"Ş","S"),"ş","S"),"Ğ","G"),"ğ","G"),"Ü","U"),"ü","U"),"Ö","O"),"ö","O"),"Ç","C"),"ç","C"),".",""),",","")," ",""),"-","")))</f>
        <v/>
      </c>
      <c r="T306" s="3">
        <f>IF(OR($C306="",$D306&lt;&gt;"Gelir",$L306=""),"",IFERROR(INDEX(MUSTERILER!$B$7:$B$106,MATCH($S306,MUSTERILER!$T$7:$T$106,0)),""))</f>
        <v/>
      </c>
      <c r="U306" s="3">
        <f>IF($T306="","",$T306&amp;"|"&amp;COUNTIFS($T$7:$T306,$T306))</f>
        <v/>
      </c>
      <c r="V306" s="3">
        <f>IF($T306="",0,1)</f>
        <v/>
      </c>
      <c r="W306" s="3">
        <f>IF($C306="","",$D306&amp;"|"&amp;$E306&amp;"|"&amp;TEXT($C306,"0")&amp;"|"&amp;TEXT($G306,"0")&amp;"|"&amp;$J306)</f>
        <v/>
      </c>
      <c r="X306" s="3" t="n"/>
      <c r="Y306" s="3" t="n"/>
      <c r="Z306" s="3" t="n"/>
      <c r="AA306" s="3" t="n"/>
      <c r="AB306" s="3" t="n"/>
      <c r="AC306" s="3" t="n"/>
      <c r="AD306" s="3">
        <f>IF($C306="",0,SUMPRODUCT((AY_SONU!$O$7:$O$42="Evet")*(AY_SONU!$B$7:$B$42=DATE(YEAR($C306),MONTH($C306),1))))</f>
        <v/>
      </c>
    </row>
    <row r="307">
      <c r="A307" s="6" t="n"/>
      <c r="B307" s="113">
        <f>IF($C307="","","GG"&amp;TEXT(ROW()-6,"00000"))</f>
        <v/>
      </c>
      <c r="C307" s="220" t="n"/>
      <c r="D307" s="108" t="n"/>
      <c r="E307" s="109" t="n"/>
      <c r="F307" s="109" t="n"/>
      <c r="G307" s="221" t="n"/>
      <c r="H307" s="108" t="n"/>
      <c r="I307" s="108" t="n"/>
      <c r="J307" s="109" t="n"/>
      <c r="K307" s="109" t="n"/>
      <c r="L307" s="108" t="n"/>
      <c r="M307" s="121">
        <f>IF($C307="","",IF($D307="Gider",$E307,IF($L307&lt;&gt;"",$L307,$H307)))</f>
        <v/>
      </c>
      <c r="N307" s="121">
        <f>IF($C307="","",IF($D307="Gider",$H307,$E307))</f>
        <v/>
      </c>
      <c r="O307" s="226">
        <f>IF($C307="","",DATE(YEAR($C307),MONTH($C307),1))</f>
        <v/>
      </c>
      <c r="P307" s="113">
        <f>IF($C307="","",IF(AND($D307="Gelir",$L307&lt;&gt;"",$T307=""),"TANIMSIZ BORÇLU",IF($T307&lt;&gt;"",IF(OR($E307="",$G307&lt;=0),"EKSİK",IF($I307="Evet","TAHAKKUK NAKİT OLAMAZ",IF($C307&gt;TODAY(),"İLERİ TARİH","TAHAKKUK"))),IF(AND($D307&lt;&gt;"",$E307&lt;&gt;"",$G307&gt;0,$H307&lt;&gt;"",$I307&lt;&gt;""),IF($C307&gt;TODAY(),"İLERİ TARİH",IF(COUNTIF($W$7:$W$1206,$W307)&gt;1,"MÜKERRER?",IF($AD307&gt;0,"KAPALI DÖNEM",IF($I307="Hayır","ÖDENECEK","UYGUN")))),"EKSİK"))))</f>
        <v/>
      </c>
      <c r="Q307" s="6" t="n"/>
      <c r="R307" s="6" t="n"/>
      <c r="S307" s="3">
        <f>IF($L307="","",UPPER(SUBSTITUTE(SUBSTITUTE(SUBSTITUTE(SUBSTITUTE(SUBSTITUTE(SUBSTITUTE(SUBSTITUTE(SUBSTITUTE(SUBSTITUTE(SUBSTITUTE(SUBSTITUTE(SUBSTITUTE(SUBSTITUTE(SUBSTITUTE(SUBSTITUTE(SUBSTITUTE(SUBSTITUTE(SUBSTITUTE(TRIM($L307),"'",""),"İ","I"),"ı","I"),"i","I"),"Ş","S"),"ş","S"),"Ğ","G"),"ğ","G"),"Ü","U"),"ü","U"),"Ö","O"),"ö","O"),"Ç","C"),"ç","C"),".",""),",","")," ",""),"-","")))</f>
        <v/>
      </c>
      <c r="T307" s="3">
        <f>IF(OR($C307="",$D307&lt;&gt;"Gelir",$L307=""),"",IFERROR(INDEX(MUSTERILER!$B$7:$B$106,MATCH($S307,MUSTERILER!$T$7:$T$106,0)),""))</f>
        <v/>
      </c>
      <c r="U307" s="3">
        <f>IF($T307="","",$T307&amp;"|"&amp;COUNTIFS($T$7:$T307,$T307))</f>
        <v/>
      </c>
      <c r="V307" s="3">
        <f>IF($T307="",0,1)</f>
        <v/>
      </c>
      <c r="W307" s="3">
        <f>IF($C307="","",$D307&amp;"|"&amp;$E307&amp;"|"&amp;TEXT($C307,"0")&amp;"|"&amp;TEXT($G307,"0")&amp;"|"&amp;$J307)</f>
        <v/>
      </c>
      <c r="X307" s="3" t="n"/>
      <c r="Y307" s="3" t="n"/>
      <c r="Z307" s="3" t="n"/>
      <c r="AA307" s="3" t="n"/>
      <c r="AB307" s="3" t="n"/>
      <c r="AC307" s="3" t="n"/>
      <c r="AD307" s="3">
        <f>IF($C307="",0,SUMPRODUCT((AY_SONU!$O$7:$O$42="Evet")*(AY_SONU!$B$7:$B$42=DATE(YEAR($C307),MONTH($C307),1))))</f>
        <v/>
      </c>
    </row>
    <row r="308">
      <c r="A308" s="6" t="n"/>
      <c r="B308" s="113">
        <f>IF($C308="","","GG"&amp;TEXT(ROW()-6,"00000"))</f>
        <v/>
      </c>
      <c r="C308" s="220" t="n"/>
      <c r="D308" s="108" t="n"/>
      <c r="E308" s="109" t="n"/>
      <c r="F308" s="109" t="n"/>
      <c r="G308" s="221" t="n"/>
      <c r="H308" s="108" t="n"/>
      <c r="I308" s="108" t="n"/>
      <c r="J308" s="109" t="n"/>
      <c r="K308" s="109" t="n"/>
      <c r="L308" s="108" t="n"/>
      <c r="M308" s="121">
        <f>IF($C308="","",IF($D308="Gider",$E308,IF($L308&lt;&gt;"",$L308,$H308)))</f>
        <v/>
      </c>
      <c r="N308" s="121">
        <f>IF($C308="","",IF($D308="Gider",$H308,$E308))</f>
        <v/>
      </c>
      <c r="O308" s="226">
        <f>IF($C308="","",DATE(YEAR($C308),MONTH($C308),1))</f>
        <v/>
      </c>
      <c r="P308" s="113">
        <f>IF($C308="","",IF(AND($D308="Gelir",$L308&lt;&gt;"",$T308=""),"TANIMSIZ BORÇLU",IF($T308&lt;&gt;"",IF(OR($E308="",$G308&lt;=0),"EKSİK",IF($I308="Evet","TAHAKKUK NAKİT OLAMAZ",IF($C308&gt;TODAY(),"İLERİ TARİH","TAHAKKUK"))),IF(AND($D308&lt;&gt;"",$E308&lt;&gt;"",$G308&gt;0,$H308&lt;&gt;"",$I308&lt;&gt;""),IF($C308&gt;TODAY(),"İLERİ TARİH",IF(COUNTIF($W$7:$W$1206,$W308)&gt;1,"MÜKERRER?",IF($AD308&gt;0,"KAPALI DÖNEM",IF($I308="Hayır","ÖDENECEK","UYGUN")))),"EKSİK"))))</f>
        <v/>
      </c>
      <c r="Q308" s="6" t="n"/>
      <c r="R308" s="6" t="n"/>
      <c r="S308" s="3">
        <f>IF($L308="","",UPPER(SUBSTITUTE(SUBSTITUTE(SUBSTITUTE(SUBSTITUTE(SUBSTITUTE(SUBSTITUTE(SUBSTITUTE(SUBSTITUTE(SUBSTITUTE(SUBSTITUTE(SUBSTITUTE(SUBSTITUTE(SUBSTITUTE(SUBSTITUTE(SUBSTITUTE(SUBSTITUTE(SUBSTITUTE(SUBSTITUTE(TRIM($L308),"'",""),"İ","I"),"ı","I"),"i","I"),"Ş","S"),"ş","S"),"Ğ","G"),"ğ","G"),"Ü","U"),"ü","U"),"Ö","O"),"ö","O"),"Ç","C"),"ç","C"),".",""),",","")," ",""),"-","")))</f>
        <v/>
      </c>
      <c r="T308" s="3">
        <f>IF(OR($C308="",$D308&lt;&gt;"Gelir",$L308=""),"",IFERROR(INDEX(MUSTERILER!$B$7:$B$106,MATCH($S308,MUSTERILER!$T$7:$T$106,0)),""))</f>
        <v/>
      </c>
      <c r="U308" s="3">
        <f>IF($T308="","",$T308&amp;"|"&amp;COUNTIFS($T$7:$T308,$T308))</f>
        <v/>
      </c>
      <c r="V308" s="3">
        <f>IF($T308="",0,1)</f>
        <v/>
      </c>
      <c r="W308" s="3">
        <f>IF($C308="","",$D308&amp;"|"&amp;$E308&amp;"|"&amp;TEXT($C308,"0")&amp;"|"&amp;TEXT($G308,"0")&amp;"|"&amp;$J308)</f>
        <v/>
      </c>
      <c r="X308" s="3" t="n"/>
      <c r="Y308" s="3" t="n"/>
      <c r="Z308" s="3" t="n"/>
      <c r="AA308" s="3" t="n"/>
      <c r="AB308" s="3" t="n"/>
      <c r="AC308" s="3" t="n"/>
      <c r="AD308" s="3">
        <f>IF($C308="",0,SUMPRODUCT((AY_SONU!$O$7:$O$42="Evet")*(AY_SONU!$B$7:$B$42=DATE(YEAR($C308),MONTH($C308),1))))</f>
        <v/>
      </c>
    </row>
    <row r="309">
      <c r="A309" s="6" t="n"/>
      <c r="B309" s="113">
        <f>IF($C309="","","GG"&amp;TEXT(ROW()-6,"00000"))</f>
        <v/>
      </c>
      <c r="C309" s="220" t="n"/>
      <c r="D309" s="108" t="n"/>
      <c r="E309" s="109" t="n"/>
      <c r="F309" s="109" t="n"/>
      <c r="G309" s="221" t="n"/>
      <c r="H309" s="108" t="n"/>
      <c r="I309" s="108" t="n"/>
      <c r="J309" s="109" t="n"/>
      <c r="K309" s="109" t="n"/>
      <c r="L309" s="108" t="n"/>
      <c r="M309" s="121">
        <f>IF($C309="","",IF($D309="Gider",$E309,IF($L309&lt;&gt;"",$L309,$H309)))</f>
        <v/>
      </c>
      <c r="N309" s="121">
        <f>IF($C309="","",IF($D309="Gider",$H309,$E309))</f>
        <v/>
      </c>
      <c r="O309" s="226">
        <f>IF($C309="","",DATE(YEAR($C309),MONTH($C309),1))</f>
        <v/>
      </c>
      <c r="P309" s="113">
        <f>IF($C309="","",IF(AND($D309="Gelir",$L309&lt;&gt;"",$T309=""),"TANIMSIZ BORÇLU",IF($T309&lt;&gt;"",IF(OR($E309="",$G309&lt;=0),"EKSİK",IF($I309="Evet","TAHAKKUK NAKİT OLAMAZ",IF($C309&gt;TODAY(),"İLERİ TARİH","TAHAKKUK"))),IF(AND($D309&lt;&gt;"",$E309&lt;&gt;"",$G309&gt;0,$H309&lt;&gt;"",$I309&lt;&gt;""),IF($C309&gt;TODAY(),"İLERİ TARİH",IF(COUNTIF($W$7:$W$1206,$W309)&gt;1,"MÜKERRER?",IF($AD309&gt;0,"KAPALI DÖNEM",IF($I309="Hayır","ÖDENECEK","UYGUN")))),"EKSİK"))))</f>
        <v/>
      </c>
      <c r="Q309" s="6" t="n"/>
      <c r="R309" s="6" t="n"/>
      <c r="S309" s="3">
        <f>IF($L309="","",UPPER(SUBSTITUTE(SUBSTITUTE(SUBSTITUTE(SUBSTITUTE(SUBSTITUTE(SUBSTITUTE(SUBSTITUTE(SUBSTITUTE(SUBSTITUTE(SUBSTITUTE(SUBSTITUTE(SUBSTITUTE(SUBSTITUTE(SUBSTITUTE(SUBSTITUTE(SUBSTITUTE(SUBSTITUTE(SUBSTITUTE(TRIM($L309),"'",""),"İ","I"),"ı","I"),"i","I"),"Ş","S"),"ş","S"),"Ğ","G"),"ğ","G"),"Ü","U"),"ü","U"),"Ö","O"),"ö","O"),"Ç","C"),"ç","C"),".",""),",","")," ",""),"-","")))</f>
        <v/>
      </c>
      <c r="T309" s="3">
        <f>IF(OR($C309="",$D309&lt;&gt;"Gelir",$L309=""),"",IFERROR(INDEX(MUSTERILER!$B$7:$B$106,MATCH($S309,MUSTERILER!$T$7:$T$106,0)),""))</f>
        <v/>
      </c>
      <c r="U309" s="3">
        <f>IF($T309="","",$T309&amp;"|"&amp;COUNTIFS($T$7:$T309,$T309))</f>
        <v/>
      </c>
      <c r="V309" s="3">
        <f>IF($T309="",0,1)</f>
        <v/>
      </c>
      <c r="W309" s="3">
        <f>IF($C309="","",$D309&amp;"|"&amp;$E309&amp;"|"&amp;TEXT($C309,"0")&amp;"|"&amp;TEXT($G309,"0")&amp;"|"&amp;$J309)</f>
        <v/>
      </c>
      <c r="X309" s="3" t="n"/>
      <c r="Y309" s="3" t="n"/>
      <c r="Z309" s="3" t="n"/>
      <c r="AA309" s="3" t="n"/>
      <c r="AB309" s="3" t="n"/>
      <c r="AC309" s="3" t="n"/>
      <c r="AD309" s="3">
        <f>IF($C309="",0,SUMPRODUCT((AY_SONU!$O$7:$O$42="Evet")*(AY_SONU!$B$7:$B$42=DATE(YEAR($C309),MONTH($C309),1))))</f>
        <v/>
      </c>
    </row>
    <row r="310">
      <c r="A310" s="6" t="n"/>
      <c r="B310" s="113">
        <f>IF($C310="","","GG"&amp;TEXT(ROW()-6,"00000"))</f>
        <v/>
      </c>
      <c r="C310" s="220" t="n"/>
      <c r="D310" s="108" t="n"/>
      <c r="E310" s="109" t="n"/>
      <c r="F310" s="109" t="n"/>
      <c r="G310" s="221" t="n"/>
      <c r="H310" s="108" t="n"/>
      <c r="I310" s="108" t="n"/>
      <c r="J310" s="109" t="n"/>
      <c r="K310" s="109" t="n"/>
      <c r="L310" s="108" t="n"/>
      <c r="M310" s="121">
        <f>IF($C310="","",IF($D310="Gider",$E310,IF($L310&lt;&gt;"",$L310,$H310)))</f>
        <v/>
      </c>
      <c r="N310" s="121">
        <f>IF($C310="","",IF($D310="Gider",$H310,$E310))</f>
        <v/>
      </c>
      <c r="O310" s="226">
        <f>IF($C310="","",DATE(YEAR($C310),MONTH($C310),1))</f>
        <v/>
      </c>
      <c r="P310" s="113">
        <f>IF($C310="","",IF(AND($D310="Gelir",$L310&lt;&gt;"",$T310=""),"TANIMSIZ BORÇLU",IF($T310&lt;&gt;"",IF(OR($E310="",$G310&lt;=0),"EKSİK",IF($I310="Evet","TAHAKKUK NAKİT OLAMAZ",IF($C310&gt;TODAY(),"İLERİ TARİH","TAHAKKUK"))),IF(AND($D310&lt;&gt;"",$E310&lt;&gt;"",$G310&gt;0,$H310&lt;&gt;"",$I310&lt;&gt;""),IF($C310&gt;TODAY(),"İLERİ TARİH",IF(COUNTIF($W$7:$W$1206,$W310)&gt;1,"MÜKERRER?",IF($AD310&gt;0,"KAPALI DÖNEM",IF($I310="Hayır","ÖDENECEK","UYGUN")))),"EKSİK"))))</f>
        <v/>
      </c>
      <c r="Q310" s="6" t="n"/>
      <c r="R310" s="6" t="n"/>
      <c r="S310" s="3">
        <f>IF($L310="","",UPPER(SUBSTITUTE(SUBSTITUTE(SUBSTITUTE(SUBSTITUTE(SUBSTITUTE(SUBSTITUTE(SUBSTITUTE(SUBSTITUTE(SUBSTITUTE(SUBSTITUTE(SUBSTITUTE(SUBSTITUTE(SUBSTITUTE(SUBSTITUTE(SUBSTITUTE(SUBSTITUTE(SUBSTITUTE(SUBSTITUTE(TRIM($L310),"'",""),"İ","I"),"ı","I"),"i","I"),"Ş","S"),"ş","S"),"Ğ","G"),"ğ","G"),"Ü","U"),"ü","U"),"Ö","O"),"ö","O"),"Ç","C"),"ç","C"),".",""),",","")," ",""),"-","")))</f>
        <v/>
      </c>
      <c r="T310" s="3">
        <f>IF(OR($C310="",$D310&lt;&gt;"Gelir",$L310=""),"",IFERROR(INDEX(MUSTERILER!$B$7:$B$106,MATCH($S310,MUSTERILER!$T$7:$T$106,0)),""))</f>
        <v/>
      </c>
      <c r="U310" s="3">
        <f>IF($T310="","",$T310&amp;"|"&amp;COUNTIFS($T$7:$T310,$T310))</f>
        <v/>
      </c>
      <c r="V310" s="3">
        <f>IF($T310="",0,1)</f>
        <v/>
      </c>
      <c r="W310" s="3">
        <f>IF($C310="","",$D310&amp;"|"&amp;$E310&amp;"|"&amp;TEXT($C310,"0")&amp;"|"&amp;TEXT($G310,"0")&amp;"|"&amp;$J310)</f>
        <v/>
      </c>
      <c r="X310" s="3" t="n"/>
      <c r="Y310" s="3" t="n"/>
      <c r="Z310" s="3" t="n"/>
      <c r="AA310" s="3" t="n"/>
      <c r="AB310" s="3" t="n"/>
      <c r="AC310" s="3" t="n"/>
      <c r="AD310" s="3">
        <f>IF($C310="",0,SUMPRODUCT((AY_SONU!$O$7:$O$42="Evet")*(AY_SONU!$B$7:$B$42=DATE(YEAR($C310),MONTH($C310),1))))</f>
        <v/>
      </c>
    </row>
    <row r="311">
      <c r="A311" s="6" t="n"/>
      <c r="B311" s="113">
        <f>IF($C311="","","GG"&amp;TEXT(ROW()-6,"00000"))</f>
        <v/>
      </c>
      <c r="C311" s="220" t="n"/>
      <c r="D311" s="108" t="n"/>
      <c r="E311" s="109" t="n"/>
      <c r="F311" s="109" t="n"/>
      <c r="G311" s="221" t="n"/>
      <c r="H311" s="108" t="n"/>
      <c r="I311" s="108" t="n"/>
      <c r="J311" s="109" t="n"/>
      <c r="K311" s="109" t="n"/>
      <c r="L311" s="108" t="n"/>
      <c r="M311" s="121">
        <f>IF($C311="","",IF($D311="Gider",$E311,IF($L311&lt;&gt;"",$L311,$H311)))</f>
        <v/>
      </c>
      <c r="N311" s="121">
        <f>IF($C311="","",IF($D311="Gider",$H311,$E311))</f>
        <v/>
      </c>
      <c r="O311" s="226">
        <f>IF($C311="","",DATE(YEAR($C311),MONTH($C311),1))</f>
        <v/>
      </c>
      <c r="P311" s="113">
        <f>IF($C311="","",IF(AND($D311="Gelir",$L311&lt;&gt;"",$T311=""),"TANIMSIZ BORÇLU",IF($T311&lt;&gt;"",IF(OR($E311="",$G311&lt;=0),"EKSİK",IF($I311="Evet","TAHAKKUK NAKİT OLAMAZ",IF($C311&gt;TODAY(),"İLERİ TARİH","TAHAKKUK"))),IF(AND($D311&lt;&gt;"",$E311&lt;&gt;"",$G311&gt;0,$H311&lt;&gt;"",$I311&lt;&gt;""),IF($C311&gt;TODAY(),"İLERİ TARİH",IF(COUNTIF($W$7:$W$1206,$W311)&gt;1,"MÜKERRER?",IF($AD311&gt;0,"KAPALI DÖNEM",IF($I311="Hayır","ÖDENECEK","UYGUN")))),"EKSİK"))))</f>
        <v/>
      </c>
      <c r="Q311" s="6" t="n"/>
      <c r="R311" s="6" t="n"/>
      <c r="S311" s="3">
        <f>IF($L311="","",UPPER(SUBSTITUTE(SUBSTITUTE(SUBSTITUTE(SUBSTITUTE(SUBSTITUTE(SUBSTITUTE(SUBSTITUTE(SUBSTITUTE(SUBSTITUTE(SUBSTITUTE(SUBSTITUTE(SUBSTITUTE(SUBSTITUTE(SUBSTITUTE(SUBSTITUTE(SUBSTITUTE(SUBSTITUTE(SUBSTITUTE(TRIM($L311),"'",""),"İ","I"),"ı","I"),"i","I"),"Ş","S"),"ş","S"),"Ğ","G"),"ğ","G"),"Ü","U"),"ü","U"),"Ö","O"),"ö","O"),"Ç","C"),"ç","C"),".",""),",","")," ",""),"-","")))</f>
        <v/>
      </c>
      <c r="T311" s="3">
        <f>IF(OR($C311="",$D311&lt;&gt;"Gelir",$L311=""),"",IFERROR(INDEX(MUSTERILER!$B$7:$B$106,MATCH($S311,MUSTERILER!$T$7:$T$106,0)),""))</f>
        <v/>
      </c>
      <c r="U311" s="3">
        <f>IF($T311="","",$T311&amp;"|"&amp;COUNTIFS($T$7:$T311,$T311))</f>
        <v/>
      </c>
      <c r="V311" s="3">
        <f>IF($T311="",0,1)</f>
        <v/>
      </c>
      <c r="W311" s="3">
        <f>IF($C311="","",$D311&amp;"|"&amp;$E311&amp;"|"&amp;TEXT($C311,"0")&amp;"|"&amp;TEXT($G311,"0")&amp;"|"&amp;$J311)</f>
        <v/>
      </c>
      <c r="X311" s="3" t="n"/>
      <c r="Y311" s="3" t="n"/>
      <c r="Z311" s="3" t="n"/>
      <c r="AA311" s="3" t="n"/>
      <c r="AB311" s="3" t="n"/>
      <c r="AC311" s="3" t="n"/>
      <c r="AD311" s="3">
        <f>IF($C311="",0,SUMPRODUCT((AY_SONU!$O$7:$O$42="Evet")*(AY_SONU!$B$7:$B$42=DATE(YEAR($C311),MONTH($C311),1))))</f>
        <v/>
      </c>
    </row>
    <row r="312">
      <c r="A312" s="6" t="n"/>
      <c r="B312" s="113">
        <f>IF($C312="","","GG"&amp;TEXT(ROW()-6,"00000"))</f>
        <v/>
      </c>
      <c r="C312" s="220" t="n"/>
      <c r="D312" s="108" t="n"/>
      <c r="E312" s="109" t="n"/>
      <c r="F312" s="109" t="n"/>
      <c r="G312" s="221" t="n"/>
      <c r="H312" s="108" t="n"/>
      <c r="I312" s="108" t="n"/>
      <c r="J312" s="109" t="n"/>
      <c r="K312" s="109" t="n"/>
      <c r="L312" s="108" t="n"/>
      <c r="M312" s="121">
        <f>IF($C312="","",IF($D312="Gider",$E312,IF($L312&lt;&gt;"",$L312,$H312)))</f>
        <v/>
      </c>
      <c r="N312" s="121">
        <f>IF($C312="","",IF($D312="Gider",$H312,$E312))</f>
        <v/>
      </c>
      <c r="O312" s="226">
        <f>IF($C312="","",DATE(YEAR($C312),MONTH($C312),1))</f>
        <v/>
      </c>
      <c r="P312" s="113">
        <f>IF($C312="","",IF(AND($D312="Gelir",$L312&lt;&gt;"",$T312=""),"TANIMSIZ BORÇLU",IF($T312&lt;&gt;"",IF(OR($E312="",$G312&lt;=0),"EKSİK",IF($I312="Evet","TAHAKKUK NAKİT OLAMAZ",IF($C312&gt;TODAY(),"İLERİ TARİH","TAHAKKUK"))),IF(AND($D312&lt;&gt;"",$E312&lt;&gt;"",$G312&gt;0,$H312&lt;&gt;"",$I312&lt;&gt;""),IF($C312&gt;TODAY(),"İLERİ TARİH",IF(COUNTIF($W$7:$W$1206,$W312)&gt;1,"MÜKERRER?",IF($AD312&gt;0,"KAPALI DÖNEM",IF($I312="Hayır","ÖDENECEK","UYGUN")))),"EKSİK"))))</f>
        <v/>
      </c>
      <c r="Q312" s="6" t="n"/>
      <c r="R312" s="6" t="n"/>
      <c r="S312" s="3">
        <f>IF($L312="","",UPPER(SUBSTITUTE(SUBSTITUTE(SUBSTITUTE(SUBSTITUTE(SUBSTITUTE(SUBSTITUTE(SUBSTITUTE(SUBSTITUTE(SUBSTITUTE(SUBSTITUTE(SUBSTITUTE(SUBSTITUTE(SUBSTITUTE(SUBSTITUTE(SUBSTITUTE(SUBSTITUTE(SUBSTITUTE(SUBSTITUTE(TRIM($L312),"'",""),"İ","I"),"ı","I"),"i","I"),"Ş","S"),"ş","S"),"Ğ","G"),"ğ","G"),"Ü","U"),"ü","U"),"Ö","O"),"ö","O"),"Ç","C"),"ç","C"),".",""),",","")," ",""),"-","")))</f>
        <v/>
      </c>
      <c r="T312" s="3">
        <f>IF(OR($C312="",$D312&lt;&gt;"Gelir",$L312=""),"",IFERROR(INDEX(MUSTERILER!$B$7:$B$106,MATCH($S312,MUSTERILER!$T$7:$T$106,0)),""))</f>
        <v/>
      </c>
      <c r="U312" s="3">
        <f>IF($T312="","",$T312&amp;"|"&amp;COUNTIFS($T$7:$T312,$T312))</f>
        <v/>
      </c>
      <c r="V312" s="3">
        <f>IF($T312="",0,1)</f>
        <v/>
      </c>
      <c r="W312" s="3">
        <f>IF($C312="","",$D312&amp;"|"&amp;$E312&amp;"|"&amp;TEXT($C312,"0")&amp;"|"&amp;TEXT($G312,"0")&amp;"|"&amp;$J312)</f>
        <v/>
      </c>
      <c r="X312" s="3" t="n"/>
      <c r="Y312" s="3" t="n"/>
      <c r="Z312" s="3" t="n"/>
      <c r="AA312" s="3" t="n"/>
      <c r="AB312" s="3" t="n"/>
      <c r="AC312" s="3" t="n"/>
      <c r="AD312" s="3">
        <f>IF($C312="",0,SUMPRODUCT((AY_SONU!$O$7:$O$42="Evet")*(AY_SONU!$B$7:$B$42=DATE(YEAR($C312),MONTH($C312),1))))</f>
        <v/>
      </c>
    </row>
    <row r="313">
      <c r="A313" s="6" t="n"/>
      <c r="B313" s="113">
        <f>IF($C313="","","GG"&amp;TEXT(ROW()-6,"00000"))</f>
        <v/>
      </c>
      <c r="C313" s="220" t="n"/>
      <c r="D313" s="108" t="n"/>
      <c r="E313" s="109" t="n"/>
      <c r="F313" s="109" t="n"/>
      <c r="G313" s="221" t="n"/>
      <c r="H313" s="108" t="n"/>
      <c r="I313" s="108" t="n"/>
      <c r="J313" s="109" t="n"/>
      <c r="K313" s="109" t="n"/>
      <c r="L313" s="108" t="n"/>
      <c r="M313" s="121">
        <f>IF($C313="","",IF($D313="Gider",$E313,IF($L313&lt;&gt;"",$L313,$H313)))</f>
        <v/>
      </c>
      <c r="N313" s="121">
        <f>IF($C313="","",IF($D313="Gider",$H313,$E313))</f>
        <v/>
      </c>
      <c r="O313" s="226">
        <f>IF($C313="","",DATE(YEAR($C313),MONTH($C313),1))</f>
        <v/>
      </c>
      <c r="P313" s="113">
        <f>IF($C313="","",IF(AND($D313="Gelir",$L313&lt;&gt;"",$T313=""),"TANIMSIZ BORÇLU",IF($T313&lt;&gt;"",IF(OR($E313="",$G313&lt;=0),"EKSİK",IF($I313="Evet","TAHAKKUK NAKİT OLAMAZ",IF($C313&gt;TODAY(),"İLERİ TARİH","TAHAKKUK"))),IF(AND($D313&lt;&gt;"",$E313&lt;&gt;"",$G313&gt;0,$H313&lt;&gt;"",$I313&lt;&gt;""),IF($C313&gt;TODAY(),"İLERİ TARİH",IF(COUNTIF($W$7:$W$1206,$W313)&gt;1,"MÜKERRER?",IF($AD313&gt;0,"KAPALI DÖNEM",IF($I313="Hayır","ÖDENECEK","UYGUN")))),"EKSİK"))))</f>
        <v/>
      </c>
      <c r="Q313" s="6" t="n"/>
      <c r="R313" s="6" t="n"/>
      <c r="S313" s="3">
        <f>IF($L313="","",UPPER(SUBSTITUTE(SUBSTITUTE(SUBSTITUTE(SUBSTITUTE(SUBSTITUTE(SUBSTITUTE(SUBSTITUTE(SUBSTITUTE(SUBSTITUTE(SUBSTITUTE(SUBSTITUTE(SUBSTITUTE(SUBSTITUTE(SUBSTITUTE(SUBSTITUTE(SUBSTITUTE(SUBSTITUTE(SUBSTITUTE(TRIM($L313),"'",""),"İ","I"),"ı","I"),"i","I"),"Ş","S"),"ş","S"),"Ğ","G"),"ğ","G"),"Ü","U"),"ü","U"),"Ö","O"),"ö","O"),"Ç","C"),"ç","C"),".",""),",","")," ",""),"-","")))</f>
        <v/>
      </c>
      <c r="T313" s="3">
        <f>IF(OR($C313="",$D313&lt;&gt;"Gelir",$L313=""),"",IFERROR(INDEX(MUSTERILER!$B$7:$B$106,MATCH($S313,MUSTERILER!$T$7:$T$106,0)),""))</f>
        <v/>
      </c>
      <c r="U313" s="3">
        <f>IF($T313="","",$T313&amp;"|"&amp;COUNTIFS($T$7:$T313,$T313))</f>
        <v/>
      </c>
      <c r="V313" s="3">
        <f>IF($T313="",0,1)</f>
        <v/>
      </c>
      <c r="W313" s="3">
        <f>IF($C313="","",$D313&amp;"|"&amp;$E313&amp;"|"&amp;TEXT($C313,"0")&amp;"|"&amp;TEXT($G313,"0")&amp;"|"&amp;$J313)</f>
        <v/>
      </c>
      <c r="X313" s="3" t="n"/>
      <c r="Y313" s="3" t="n"/>
      <c r="Z313" s="3" t="n"/>
      <c r="AA313" s="3" t="n"/>
      <c r="AB313" s="3" t="n"/>
      <c r="AC313" s="3" t="n"/>
      <c r="AD313" s="3">
        <f>IF($C313="",0,SUMPRODUCT((AY_SONU!$O$7:$O$42="Evet")*(AY_SONU!$B$7:$B$42=DATE(YEAR($C313),MONTH($C313),1))))</f>
        <v/>
      </c>
    </row>
    <row r="314">
      <c r="A314" s="6" t="n"/>
      <c r="B314" s="113">
        <f>IF($C314="","","GG"&amp;TEXT(ROW()-6,"00000"))</f>
        <v/>
      </c>
      <c r="C314" s="220" t="n"/>
      <c r="D314" s="108" t="n"/>
      <c r="E314" s="109" t="n"/>
      <c r="F314" s="109" t="n"/>
      <c r="G314" s="221" t="n"/>
      <c r="H314" s="108" t="n"/>
      <c r="I314" s="108" t="n"/>
      <c r="J314" s="109" t="n"/>
      <c r="K314" s="109" t="n"/>
      <c r="L314" s="108" t="n"/>
      <c r="M314" s="121">
        <f>IF($C314="","",IF($D314="Gider",$E314,IF($L314&lt;&gt;"",$L314,$H314)))</f>
        <v/>
      </c>
      <c r="N314" s="121">
        <f>IF($C314="","",IF($D314="Gider",$H314,$E314))</f>
        <v/>
      </c>
      <c r="O314" s="226">
        <f>IF($C314="","",DATE(YEAR($C314),MONTH($C314),1))</f>
        <v/>
      </c>
      <c r="P314" s="113">
        <f>IF($C314="","",IF(AND($D314="Gelir",$L314&lt;&gt;"",$T314=""),"TANIMSIZ BORÇLU",IF($T314&lt;&gt;"",IF(OR($E314="",$G314&lt;=0),"EKSİK",IF($I314="Evet","TAHAKKUK NAKİT OLAMAZ",IF($C314&gt;TODAY(),"İLERİ TARİH","TAHAKKUK"))),IF(AND($D314&lt;&gt;"",$E314&lt;&gt;"",$G314&gt;0,$H314&lt;&gt;"",$I314&lt;&gt;""),IF($C314&gt;TODAY(),"İLERİ TARİH",IF(COUNTIF($W$7:$W$1206,$W314)&gt;1,"MÜKERRER?",IF($AD314&gt;0,"KAPALI DÖNEM",IF($I314="Hayır","ÖDENECEK","UYGUN")))),"EKSİK"))))</f>
        <v/>
      </c>
      <c r="Q314" s="6" t="n"/>
      <c r="R314" s="6" t="n"/>
      <c r="S314" s="3">
        <f>IF($L314="","",UPPER(SUBSTITUTE(SUBSTITUTE(SUBSTITUTE(SUBSTITUTE(SUBSTITUTE(SUBSTITUTE(SUBSTITUTE(SUBSTITUTE(SUBSTITUTE(SUBSTITUTE(SUBSTITUTE(SUBSTITUTE(SUBSTITUTE(SUBSTITUTE(SUBSTITUTE(SUBSTITUTE(SUBSTITUTE(SUBSTITUTE(TRIM($L314),"'",""),"İ","I"),"ı","I"),"i","I"),"Ş","S"),"ş","S"),"Ğ","G"),"ğ","G"),"Ü","U"),"ü","U"),"Ö","O"),"ö","O"),"Ç","C"),"ç","C"),".",""),",","")," ",""),"-","")))</f>
        <v/>
      </c>
      <c r="T314" s="3">
        <f>IF(OR($C314="",$D314&lt;&gt;"Gelir",$L314=""),"",IFERROR(INDEX(MUSTERILER!$B$7:$B$106,MATCH($S314,MUSTERILER!$T$7:$T$106,0)),""))</f>
        <v/>
      </c>
      <c r="U314" s="3">
        <f>IF($T314="","",$T314&amp;"|"&amp;COUNTIFS($T$7:$T314,$T314))</f>
        <v/>
      </c>
      <c r="V314" s="3">
        <f>IF($T314="",0,1)</f>
        <v/>
      </c>
      <c r="W314" s="3">
        <f>IF($C314="","",$D314&amp;"|"&amp;$E314&amp;"|"&amp;TEXT($C314,"0")&amp;"|"&amp;TEXT($G314,"0")&amp;"|"&amp;$J314)</f>
        <v/>
      </c>
      <c r="X314" s="3" t="n"/>
      <c r="Y314" s="3" t="n"/>
      <c r="Z314" s="3" t="n"/>
      <c r="AA314" s="3" t="n"/>
      <c r="AB314" s="3" t="n"/>
      <c r="AC314" s="3" t="n"/>
      <c r="AD314" s="3">
        <f>IF($C314="",0,SUMPRODUCT((AY_SONU!$O$7:$O$42="Evet")*(AY_SONU!$B$7:$B$42=DATE(YEAR($C314),MONTH($C314),1))))</f>
        <v/>
      </c>
    </row>
    <row r="315">
      <c r="A315" s="6" t="n"/>
      <c r="B315" s="113">
        <f>IF($C315="","","GG"&amp;TEXT(ROW()-6,"00000"))</f>
        <v/>
      </c>
      <c r="C315" s="220" t="n"/>
      <c r="D315" s="108" t="n"/>
      <c r="E315" s="109" t="n"/>
      <c r="F315" s="109" t="n"/>
      <c r="G315" s="221" t="n"/>
      <c r="H315" s="108" t="n"/>
      <c r="I315" s="108" t="n"/>
      <c r="J315" s="109" t="n"/>
      <c r="K315" s="109" t="n"/>
      <c r="L315" s="108" t="n"/>
      <c r="M315" s="121">
        <f>IF($C315="","",IF($D315="Gider",$E315,IF($L315&lt;&gt;"",$L315,$H315)))</f>
        <v/>
      </c>
      <c r="N315" s="121">
        <f>IF($C315="","",IF($D315="Gider",$H315,$E315))</f>
        <v/>
      </c>
      <c r="O315" s="226">
        <f>IF($C315="","",DATE(YEAR($C315),MONTH($C315),1))</f>
        <v/>
      </c>
      <c r="P315" s="113">
        <f>IF($C315="","",IF(AND($D315="Gelir",$L315&lt;&gt;"",$T315=""),"TANIMSIZ BORÇLU",IF($T315&lt;&gt;"",IF(OR($E315="",$G315&lt;=0),"EKSİK",IF($I315="Evet","TAHAKKUK NAKİT OLAMAZ",IF($C315&gt;TODAY(),"İLERİ TARİH","TAHAKKUK"))),IF(AND($D315&lt;&gt;"",$E315&lt;&gt;"",$G315&gt;0,$H315&lt;&gt;"",$I315&lt;&gt;""),IF($C315&gt;TODAY(),"İLERİ TARİH",IF(COUNTIF($W$7:$W$1206,$W315)&gt;1,"MÜKERRER?",IF($AD315&gt;0,"KAPALI DÖNEM",IF($I315="Hayır","ÖDENECEK","UYGUN")))),"EKSİK"))))</f>
        <v/>
      </c>
      <c r="Q315" s="6" t="n"/>
      <c r="R315" s="6" t="n"/>
      <c r="S315" s="3">
        <f>IF($L315="","",UPPER(SUBSTITUTE(SUBSTITUTE(SUBSTITUTE(SUBSTITUTE(SUBSTITUTE(SUBSTITUTE(SUBSTITUTE(SUBSTITUTE(SUBSTITUTE(SUBSTITUTE(SUBSTITUTE(SUBSTITUTE(SUBSTITUTE(SUBSTITUTE(SUBSTITUTE(SUBSTITUTE(SUBSTITUTE(SUBSTITUTE(TRIM($L315),"'",""),"İ","I"),"ı","I"),"i","I"),"Ş","S"),"ş","S"),"Ğ","G"),"ğ","G"),"Ü","U"),"ü","U"),"Ö","O"),"ö","O"),"Ç","C"),"ç","C"),".",""),",","")," ",""),"-","")))</f>
        <v/>
      </c>
      <c r="T315" s="3">
        <f>IF(OR($C315="",$D315&lt;&gt;"Gelir",$L315=""),"",IFERROR(INDEX(MUSTERILER!$B$7:$B$106,MATCH($S315,MUSTERILER!$T$7:$T$106,0)),""))</f>
        <v/>
      </c>
      <c r="U315" s="3">
        <f>IF($T315="","",$T315&amp;"|"&amp;COUNTIFS($T$7:$T315,$T315))</f>
        <v/>
      </c>
      <c r="V315" s="3">
        <f>IF($T315="",0,1)</f>
        <v/>
      </c>
      <c r="W315" s="3">
        <f>IF($C315="","",$D315&amp;"|"&amp;$E315&amp;"|"&amp;TEXT($C315,"0")&amp;"|"&amp;TEXT($G315,"0")&amp;"|"&amp;$J315)</f>
        <v/>
      </c>
      <c r="X315" s="3" t="n"/>
      <c r="Y315" s="3" t="n"/>
      <c r="Z315" s="3" t="n"/>
      <c r="AA315" s="3" t="n"/>
      <c r="AB315" s="3" t="n"/>
      <c r="AC315" s="3" t="n"/>
      <c r="AD315" s="3">
        <f>IF($C315="",0,SUMPRODUCT((AY_SONU!$O$7:$O$42="Evet")*(AY_SONU!$B$7:$B$42=DATE(YEAR($C315),MONTH($C315),1))))</f>
        <v/>
      </c>
    </row>
    <row r="316">
      <c r="A316" s="6" t="n"/>
      <c r="B316" s="113">
        <f>IF($C316="","","GG"&amp;TEXT(ROW()-6,"00000"))</f>
        <v/>
      </c>
      <c r="C316" s="220" t="n"/>
      <c r="D316" s="108" t="n"/>
      <c r="E316" s="109" t="n"/>
      <c r="F316" s="109" t="n"/>
      <c r="G316" s="221" t="n"/>
      <c r="H316" s="108" t="n"/>
      <c r="I316" s="108" t="n"/>
      <c r="J316" s="109" t="n"/>
      <c r="K316" s="109" t="n"/>
      <c r="L316" s="108" t="n"/>
      <c r="M316" s="121">
        <f>IF($C316="","",IF($D316="Gider",$E316,IF($L316&lt;&gt;"",$L316,$H316)))</f>
        <v/>
      </c>
      <c r="N316" s="121">
        <f>IF($C316="","",IF($D316="Gider",$H316,$E316))</f>
        <v/>
      </c>
      <c r="O316" s="226">
        <f>IF($C316="","",DATE(YEAR($C316),MONTH($C316),1))</f>
        <v/>
      </c>
      <c r="P316" s="113">
        <f>IF($C316="","",IF(AND($D316="Gelir",$L316&lt;&gt;"",$T316=""),"TANIMSIZ BORÇLU",IF($T316&lt;&gt;"",IF(OR($E316="",$G316&lt;=0),"EKSİK",IF($I316="Evet","TAHAKKUK NAKİT OLAMAZ",IF($C316&gt;TODAY(),"İLERİ TARİH","TAHAKKUK"))),IF(AND($D316&lt;&gt;"",$E316&lt;&gt;"",$G316&gt;0,$H316&lt;&gt;"",$I316&lt;&gt;""),IF($C316&gt;TODAY(),"İLERİ TARİH",IF(COUNTIF($W$7:$W$1206,$W316)&gt;1,"MÜKERRER?",IF($AD316&gt;0,"KAPALI DÖNEM",IF($I316="Hayır","ÖDENECEK","UYGUN")))),"EKSİK"))))</f>
        <v/>
      </c>
      <c r="Q316" s="6" t="n"/>
      <c r="R316" s="6" t="n"/>
      <c r="S316" s="3">
        <f>IF($L316="","",UPPER(SUBSTITUTE(SUBSTITUTE(SUBSTITUTE(SUBSTITUTE(SUBSTITUTE(SUBSTITUTE(SUBSTITUTE(SUBSTITUTE(SUBSTITUTE(SUBSTITUTE(SUBSTITUTE(SUBSTITUTE(SUBSTITUTE(SUBSTITUTE(SUBSTITUTE(SUBSTITUTE(SUBSTITUTE(SUBSTITUTE(TRIM($L316),"'",""),"İ","I"),"ı","I"),"i","I"),"Ş","S"),"ş","S"),"Ğ","G"),"ğ","G"),"Ü","U"),"ü","U"),"Ö","O"),"ö","O"),"Ç","C"),"ç","C"),".",""),",","")," ",""),"-","")))</f>
        <v/>
      </c>
      <c r="T316" s="3">
        <f>IF(OR($C316="",$D316&lt;&gt;"Gelir",$L316=""),"",IFERROR(INDEX(MUSTERILER!$B$7:$B$106,MATCH($S316,MUSTERILER!$T$7:$T$106,0)),""))</f>
        <v/>
      </c>
      <c r="U316" s="3">
        <f>IF($T316="","",$T316&amp;"|"&amp;COUNTIFS($T$7:$T316,$T316))</f>
        <v/>
      </c>
      <c r="V316" s="3">
        <f>IF($T316="",0,1)</f>
        <v/>
      </c>
      <c r="W316" s="3">
        <f>IF($C316="","",$D316&amp;"|"&amp;$E316&amp;"|"&amp;TEXT($C316,"0")&amp;"|"&amp;TEXT($G316,"0")&amp;"|"&amp;$J316)</f>
        <v/>
      </c>
      <c r="X316" s="3" t="n"/>
      <c r="Y316" s="3" t="n"/>
      <c r="Z316" s="3" t="n"/>
      <c r="AA316" s="3" t="n"/>
      <c r="AB316" s="3" t="n"/>
      <c r="AC316" s="3" t="n"/>
      <c r="AD316" s="3">
        <f>IF($C316="",0,SUMPRODUCT((AY_SONU!$O$7:$O$42="Evet")*(AY_SONU!$B$7:$B$42=DATE(YEAR($C316),MONTH($C316),1))))</f>
        <v/>
      </c>
    </row>
    <row r="317">
      <c r="A317" s="6" t="n"/>
      <c r="B317" s="113">
        <f>IF($C317="","","GG"&amp;TEXT(ROW()-6,"00000"))</f>
        <v/>
      </c>
      <c r="C317" s="220" t="n"/>
      <c r="D317" s="108" t="n"/>
      <c r="E317" s="109" t="n"/>
      <c r="F317" s="109" t="n"/>
      <c r="G317" s="221" t="n"/>
      <c r="H317" s="108" t="n"/>
      <c r="I317" s="108" t="n"/>
      <c r="J317" s="109" t="n"/>
      <c r="K317" s="109" t="n"/>
      <c r="L317" s="108" t="n"/>
      <c r="M317" s="121">
        <f>IF($C317="","",IF($D317="Gider",$E317,IF($L317&lt;&gt;"",$L317,$H317)))</f>
        <v/>
      </c>
      <c r="N317" s="121">
        <f>IF($C317="","",IF($D317="Gider",$H317,$E317))</f>
        <v/>
      </c>
      <c r="O317" s="226">
        <f>IF($C317="","",DATE(YEAR($C317),MONTH($C317),1))</f>
        <v/>
      </c>
      <c r="P317" s="113">
        <f>IF($C317="","",IF(AND($D317="Gelir",$L317&lt;&gt;"",$T317=""),"TANIMSIZ BORÇLU",IF($T317&lt;&gt;"",IF(OR($E317="",$G317&lt;=0),"EKSİK",IF($I317="Evet","TAHAKKUK NAKİT OLAMAZ",IF($C317&gt;TODAY(),"İLERİ TARİH","TAHAKKUK"))),IF(AND($D317&lt;&gt;"",$E317&lt;&gt;"",$G317&gt;0,$H317&lt;&gt;"",$I317&lt;&gt;""),IF($C317&gt;TODAY(),"İLERİ TARİH",IF(COUNTIF($W$7:$W$1206,$W317)&gt;1,"MÜKERRER?",IF($AD317&gt;0,"KAPALI DÖNEM",IF($I317="Hayır","ÖDENECEK","UYGUN")))),"EKSİK"))))</f>
        <v/>
      </c>
      <c r="Q317" s="6" t="n"/>
      <c r="R317" s="6" t="n"/>
      <c r="S317" s="3">
        <f>IF($L317="","",UPPER(SUBSTITUTE(SUBSTITUTE(SUBSTITUTE(SUBSTITUTE(SUBSTITUTE(SUBSTITUTE(SUBSTITUTE(SUBSTITUTE(SUBSTITUTE(SUBSTITUTE(SUBSTITUTE(SUBSTITUTE(SUBSTITUTE(SUBSTITUTE(SUBSTITUTE(SUBSTITUTE(SUBSTITUTE(SUBSTITUTE(TRIM($L317),"'",""),"İ","I"),"ı","I"),"i","I"),"Ş","S"),"ş","S"),"Ğ","G"),"ğ","G"),"Ü","U"),"ü","U"),"Ö","O"),"ö","O"),"Ç","C"),"ç","C"),".",""),",","")," ",""),"-","")))</f>
        <v/>
      </c>
      <c r="T317" s="3">
        <f>IF(OR($C317="",$D317&lt;&gt;"Gelir",$L317=""),"",IFERROR(INDEX(MUSTERILER!$B$7:$B$106,MATCH($S317,MUSTERILER!$T$7:$T$106,0)),""))</f>
        <v/>
      </c>
      <c r="U317" s="3">
        <f>IF($T317="","",$T317&amp;"|"&amp;COUNTIFS($T$7:$T317,$T317))</f>
        <v/>
      </c>
      <c r="V317" s="3">
        <f>IF($T317="",0,1)</f>
        <v/>
      </c>
      <c r="W317" s="3">
        <f>IF($C317="","",$D317&amp;"|"&amp;$E317&amp;"|"&amp;TEXT($C317,"0")&amp;"|"&amp;TEXT($G317,"0")&amp;"|"&amp;$J317)</f>
        <v/>
      </c>
      <c r="X317" s="3" t="n"/>
      <c r="Y317" s="3" t="n"/>
      <c r="Z317" s="3" t="n"/>
      <c r="AA317" s="3" t="n"/>
      <c r="AB317" s="3" t="n"/>
      <c r="AC317" s="3" t="n"/>
      <c r="AD317" s="3">
        <f>IF($C317="",0,SUMPRODUCT((AY_SONU!$O$7:$O$42="Evet")*(AY_SONU!$B$7:$B$42=DATE(YEAR($C317),MONTH($C317),1))))</f>
        <v/>
      </c>
    </row>
    <row r="318">
      <c r="A318" s="6" t="n"/>
      <c r="B318" s="113">
        <f>IF($C318="","","GG"&amp;TEXT(ROW()-6,"00000"))</f>
        <v/>
      </c>
      <c r="C318" s="220" t="n"/>
      <c r="D318" s="108" t="n"/>
      <c r="E318" s="109" t="n"/>
      <c r="F318" s="109" t="n"/>
      <c r="G318" s="221" t="n"/>
      <c r="H318" s="108" t="n"/>
      <c r="I318" s="108" t="n"/>
      <c r="J318" s="109" t="n"/>
      <c r="K318" s="109" t="n"/>
      <c r="L318" s="108" t="n"/>
      <c r="M318" s="121">
        <f>IF($C318="","",IF($D318="Gider",$E318,IF($L318&lt;&gt;"",$L318,$H318)))</f>
        <v/>
      </c>
      <c r="N318" s="121">
        <f>IF($C318="","",IF($D318="Gider",$H318,$E318))</f>
        <v/>
      </c>
      <c r="O318" s="226">
        <f>IF($C318="","",DATE(YEAR($C318),MONTH($C318),1))</f>
        <v/>
      </c>
      <c r="P318" s="113">
        <f>IF($C318="","",IF(AND($D318="Gelir",$L318&lt;&gt;"",$T318=""),"TANIMSIZ BORÇLU",IF($T318&lt;&gt;"",IF(OR($E318="",$G318&lt;=0),"EKSİK",IF($I318="Evet","TAHAKKUK NAKİT OLAMAZ",IF($C318&gt;TODAY(),"İLERİ TARİH","TAHAKKUK"))),IF(AND($D318&lt;&gt;"",$E318&lt;&gt;"",$G318&gt;0,$H318&lt;&gt;"",$I318&lt;&gt;""),IF($C318&gt;TODAY(),"İLERİ TARİH",IF(COUNTIF($W$7:$W$1206,$W318)&gt;1,"MÜKERRER?",IF($AD318&gt;0,"KAPALI DÖNEM",IF($I318="Hayır","ÖDENECEK","UYGUN")))),"EKSİK"))))</f>
        <v/>
      </c>
      <c r="Q318" s="6" t="n"/>
      <c r="R318" s="6" t="n"/>
      <c r="S318" s="3">
        <f>IF($L318="","",UPPER(SUBSTITUTE(SUBSTITUTE(SUBSTITUTE(SUBSTITUTE(SUBSTITUTE(SUBSTITUTE(SUBSTITUTE(SUBSTITUTE(SUBSTITUTE(SUBSTITUTE(SUBSTITUTE(SUBSTITUTE(SUBSTITUTE(SUBSTITUTE(SUBSTITUTE(SUBSTITUTE(SUBSTITUTE(SUBSTITUTE(TRIM($L318),"'",""),"İ","I"),"ı","I"),"i","I"),"Ş","S"),"ş","S"),"Ğ","G"),"ğ","G"),"Ü","U"),"ü","U"),"Ö","O"),"ö","O"),"Ç","C"),"ç","C"),".",""),",","")," ",""),"-","")))</f>
        <v/>
      </c>
      <c r="T318" s="3">
        <f>IF(OR($C318="",$D318&lt;&gt;"Gelir",$L318=""),"",IFERROR(INDEX(MUSTERILER!$B$7:$B$106,MATCH($S318,MUSTERILER!$T$7:$T$106,0)),""))</f>
        <v/>
      </c>
      <c r="U318" s="3">
        <f>IF($T318="","",$T318&amp;"|"&amp;COUNTIFS($T$7:$T318,$T318))</f>
        <v/>
      </c>
      <c r="V318" s="3">
        <f>IF($T318="",0,1)</f>
        <v/>
      </c>
      <c r="W318" s="3">
        <f>IF($C318="","",$D318&amp;"|"&amp;$E318&amp;"|"&amp;TEXT($C318,"0")&amp;"|"&amp;TEXT($G318,"0")&amp;"|"&amp;$J318)</f>
        <v/>
      </c>
      <c r="X318" s="3" t="n"/>
      <c r="Y318" s="3" t="n"/>
      <c r="Z318" s="3" t="n"/>
      <c r="AA318" s="3" t="n"/>
      <c r="AB318" s="3" t="n"/>
      <c r="AC318" s="3" t="n"/>
      <c r="AD318" s="3">
        <f>IF($C318="",0,SUMPRODUCT((AY_SONU!$O$7:$O$42="Evet")*(AY_SONU!$B$7:$B$42=DATE(YEAR($C318),MONTH($C318),1))))</f>
        <v/>
      </c>
    </row>
    <row r="319">
      <c r="A319" s="6" t="n"/>
      <c r="B319" s="113">
        <f>IF($C319="","","GG"&amp;TEXT(ROW()-6,"00000"))</f>
        <v/>
      </c>
      <c r="C319" s="220" t="n"/>
      <c r="D319" s="108" t="n"/>
      <c r="E319" s="109" t="n"/>
      <c r="F319" s="109" t="n"/>
      <c r="G319" s="221" t="n"/>
      <c r="H319" s="108" t="n"/>
      <c r="I319" s="108" t="n"/>
      <c r="J319" s="109" t="n"/>
      <c r="K319" s="109" t="n"/>
      <c r="L319" s="108" t="n"/>
      <c r="M319" s="121">
        <f>IF($C319="","",IF($D319="Gider",$E319,IF($L319&lt;&gt;"",$L319,$H319)))</f>
        <v/>
      </c>
      <c r="N319" s="121">
        <f>IF($C319="","",IF($D319="Gider",$H319,$E319))</f>
        <v/>
      </c>
      <c r="O319" s="226">
        <f>IF($C319="","",DATE(YEAR($C319),MONTH($C319),1))</f>
        <v/>
      </c>
      <c r="P319" s="113">
        <f>IF($C319="","",IF(AND($D319="Gelir",$L319&lt;&gt;"",$T319=""),"TANIMSIZ BORÇLU",IF($T319&lt;&gt;"",IF(OR($E319="",$G319&lt;=0),"EKSİK",IF($I319="Evet","TAHAKKUK NAKİT OLAMAZ",IF($C319&gt;TODAY(),"İLERİ TARİH","TAHAKKUK"))),IF(AND($D319&lt;&gt;"",$E319&lt;&gt;"",$G319&gt;0,$H319&lt;&gt;"",$I319&lt;&gt;""),IF($C319&gt;TODAY(),"İLERİ TARİH",IF(COUNTIF($W$7:$W$1206,$W319)&gt;1,"MÜKERRER?",IF($AD319&gt;0,"KAPALI DÖNEM",IF($I319="Hayır","ÖDENECEK","UYGUN")))),"EKSİK"))))</f>
        <v/>
      </c>
      <c r="Q319" s="6" t="n"/>
      <c r="R319" s="6" t="n"/>
      <c r="S319" s="3">
        <f>IF($L319="","",UPPER(SUBSTITUTE(SUBSTITUTE(SUBSTITUTE(SUBSTITUTE(SUBSTITUTE(SUBSTITUTE(SUBSTITUTE(SUBSTITUTE(SUBSTITUTE(SUBSTITUTE(SUBSTITUTE(SUBSTITUTE(SUBSTITUTE(SUBSTITUTE(SUBSTITUTE(SUBSTITUTE(SUBSTITUTE(SUBSTITUTE(TRIM($L319),"'",""),"İ","I"),"ı","I"),"i","I"),"Ş","S"),"ş","S"),"Ğ","G"),"ğ","G"),"Ü","U"),"ü","U"),"Ö","O"),"ö","O"),"Ç","C"),"ç","C"),".",""),",","")," ",""),"-","")))</f>
        <v/>
      </c>
      <c r="T319" s="3">
        <f>IF(OR($C319="",$D319&lt;&gt;"Gelir",$L319=""),"",IFERROR(INDEX(MUSTERILER!$B$7:$B$106,MATCH($S319,MUSTERILER!$T$7:$T$106,0)),""))</f>
        <v/>
      </c>
      <c r="U319" s="3">
        <f>IF($T319="","",$T319&amp;"|"&amp;COUNTIFS($T$7:$T319,$T319))</f>
        <v/>
      </c>
      <c r="V319" s="3">
        <f>IF($T319="",0,1)</f>
        <v/>
      </c>
      <c r="W319" s="3">
        <f>IF($C319="","",$D319&amp;"|"&amp;$E319&amp;"|"&amp;TEXT($C319,"0")&amp;"|"&amp;TEXT($G319,"0")&amp;"|"&amp;$J319)</f>
        <v/>
      </c>
      <c r="X319" s="3" t="n"/>
      <c r="Y319" s="3" t="n"/>
      <c r="Z319" s="3" t="n"/>
      <c r="AA319" s="3" t="n"/>
      <c r="AB319" s="3" t="n"/>
      <c r="AC319" s="3" t="n"/>
      <c r="AD319" s="3">
        <f>IF($C319="",0,SUMPRODUCT((AY_SONU!$O$7:$O$42="Evet")*(AY_SONU!$B$7:$B$42=DATE(YEAR($C319),MONTH($C319),1))))</f>
        <v/>
      </c>
    </row>
    <row r="320">
      <c r="A320" s="6" t="n"/>
      <c r="B320" s="113">
        <f>IF($C320="","","GG"&amp;TEXT(ROW()-6,"00000"))</f>
        <v/>
      </c>
      <c r="C320" s="220" t="n"/>
      <c r="D320" s="108" t="n"/>
      <c r="E320" s="109" t="n"/>
      <c r="F320" s="109" t="n"/>
      <c r="G320" s="221" t="n"/>
      <c r="H320" s="108" t="n"/>
      <c r="I320" s="108" t="n"/>
      <c r="J320" s="109" t="n"/>
      <c r="K320" s="109" t="n"/>
      <c r="L320" s="108" t="n"/>
      <c r="M320" s="121">
        <f>IF($C320="","",IF($D320="Gider",$E320,IF($L320&lt;&gt;"",$L320,$H320)))</f>
        <v/>
      </c>
      <c r="N320" s="121">
        <f>IF($C320="","",IF($D320="Gider",$H320,$E320))</f>
        <v/>
      </c>
      <c r="O320" s="226">
        <f>IF($C320="","",DATE(YEAR($C320),MONTH($C320),1))</f>
        <v/>
      </c>
      <c r="P320" s="113">
        <f>IF($C320="","",IF(AND($D320="Gelir",$L320&lt;&gt;"",$T320=""),"TANIMSIZ BORÇLU",IF($T320&lt;&gt;"",IF(OR($E320="",$G320&lt;=0),"EKSİK",IF($I320="Evet","TAHAKKUK NAKİT OLAMAZ",IF($C320&gt;TODAY(),"İLERİ TARİH","TAHAKKUK"))),IF(AND($D320&lt;&gt;"",$E320&lt;&gt;"",$G320&gt;0,$H320&lt;&gt;"",$I320&lt;&gt;""),IF($C320&gt;TODAY(),"İLERİ TARİH",IF(COUNTIF($W$7:$W$1206,$W320)&gt;1,"MÜKERRER?",IF($AD320&gt;0,"KAPALI DÖNEM",IF($I320="Hayır","ÖDENECEK","UYGUN")))),"EKSİK"))))</f>
        <v/>
      </c>
      <c r="Q320" s="6" t="n"/>
      <c r="R320" s="6" t="n"/>
      <c r="S320" s="3">
        <f>IF($L320="","",UPPER(SUBSTITUTE(SUBSTITUTE(SUBSTITUTE(SUBSTITUTE(SUBSTITUTE(SUBSTITUTE(SUBSTITUTE(SUBSTITUTE(SUBSTITUTE(SUBSTITUTE(SUBSTITUTE(SUBSTITUTE(SUBSTITUTE(SUBSTITUTE(SUBSTITUTE(SUBSTITUTE(SUBSTITUTE(SUBSTITUTE(TRIM($L320),"'",""),"İ","I"),"ı","I"),"i","I"),"Ş","S"),"ş","S"),"Ğ","G"),"ğ","G"),"Ü","U"),"ü","U"),"Ö","O"),"ö","O"),"Ç","C"),"ç","C"),".",""),",","")," ",""),"-","")))</f>
        <v/>
      </c>
      <c r="T320" s="3">
        <f>IF(OR($C320="",$D320&lt;&gt;"Gelir",$L320=""),"",IFERROR(INDEX(MUSTERILER!$B$7:$B$106,MATCH($S320,MUSTERILER!$T$7:$T$106,0)),""))</f>
        <v/>
      </c>
      <c r="U320" s="3">
        <f>IF($T320="","",$T320&amp;"|"&amp;COUNTIFS($T$7:$T320,$T320))</f>
        <v/>
      </c>
      <c r="V320" s="3">
        <f>IF($T320="",0,1)</f>
        <v/>
      </c>
      <c r="W320" s="3">
        <f>IF($C320="","",$D320&amp;"|"&amp;$E320&amp;"|"&amp;TEXT($C320,"0")&amp;"|"&amp;TEXT($G320,"0")&amp;"|"&amp;$J320)</f>
        <v/>
      </c>
      <c r="X320" s="3" t="n"/>
      <c r="Y320" s="3" t="n"/>
      <c r="Z320" s="3" t="n"/>
      <c r="AA320" s="3" t="n"/>
      <c r="AB320" s="3" t="n"/>
      <c r="AC320" s="3" t="n"/>
      <c r="AD320" s="3">
        <f>IF($C320="",0,SUMPRODUCT((AY_SONU!$O$7:$O$42="Evet")*(AY_SONU!$B$7:$B$42=DATE(YEAR($C320),MONTH($C320),1))))</f>
        <v/>
      </c>
    </row>
    <row r="321">
      <c r="A321" s="6" t="n"/>
      <c r="B321" s="113">
        <f>IF($C321="","","GG"&amp;TEXT(ROW()-6,"00000"))</f>
        <v/>
      </c>
      <c r="C321" s="220" t="n"/>
      <c r="D321" s="108" t="n"/>
      <c r="E321" s="109" t="n"/>
      <c r="F321" s="109" t="n"/>
      <c r="G321" s="221" t="n"/>
      <c r="H321" s="108" t="n"/>
      <c r="I321" s="108" t="n"/>
      <c r="J321" s="109" t="n"/>
      <c r="K321" s="109" t="n"/>
      <c r="L321" s="108" t="n"/>
      <c r="M321" s="121">
        <f>IF($C321="","",IF($D321="Gider",$E321,IF($L321&lt;&gt;"",$L321,$H321)))</f>
        <v/>
      </c>
      <c r="N321" s="121">
        <f>IF($C321="","",IF($D321="Gider",$H321,$E321))</f>
        <v/>
      </c>
      <c r="O321" s="226">
        <f>IF($C321="","",DATE(YEAR($C321),MONTH($C321),1))</f>
        <v/>
      </c>
      <c r="P321" s="113">
        <f>IF($C321="","",IF(AND($D321="Gelir",$L321&lt;&gt;"",$T321=""),"TANIMSIZ BORÇLU",IF($T321&lt;&gt;"",IF(OR($E321="",$G321&lt;=0),"EKSİK",IF($I321="Evet","TAHAKKUK NAKİT OLAMAZ",IF($C321&gt;TODAY(),"İLERİ TARİH","TAHAKKUK"))),IF(AND($D321&lt;&gt;"",$E321&lt;&gt;"",$G321&gt;0,$H321&lt;&gt;"",$I321&lt;&gt;""),IF($C321&gt;TODAY(),"İLERİ TARİH",IF(COUNTIF($W$7:$W$1206,$W321)&gt;1,"MÜKERRER?",IF($AD321&gt;0,"KAPALI DÖNEM",IF($I321="Hayır","ÖDENECEK","UYGUN")))),"EKSİK"))))</f>
        <v/>
      </c>
      <c r="Q321" s="6" t="n"/>
      <c r="R321" s="6" t="n"/>
      <c r="S321" s="3">
        <f>IF($L321="","",UPPER(SUBSTITUTE(SUBSTITUTE(SUBSTITUTE(SUBSTITUTE(SUBSTITUTE(SUBSTITUTE(SUBSTITUTE(SUBSTITUTE(SUBSTITUTE(SUBSTITUTE(SUBSTITUTE(SUBSTITUTE(SUBSTITUTE(SUBSTITUTE(SUBSTITUTE(SUBSTITUTE(SUBSTITUTE(SUBSTITUTE(TRIM($L321),"'",""),"İ","I"),"ı","I"),"i","I"),"Ş","S"),"ş","S"),"Ğ","G"),"ğ","G"),"Ü","U"),"ü","U"),"Ö","O"),"ö","O"),"Ç","C"),"ç","C"),".",""),",","")," ",""),"-","")))</f>
        <v/>
      </c>
      <c r="T321" s="3">
        <f>IF(OR($C321="",$D321&lt;&gt;"Gelir",$L321=""),"",IFERROR(INDEX(MUSTERILER!$B$7:$B$106,MATCH($S321,MUSTERILER!$T$7:$T$106,0)),""))</f>
        <v/>
      </c>
      <c r="U321" s="3">
        <f>IF($T321="","",$T321&amp;"|"&amp;COUNTIFS($T$7:$T321,$T321))</f>
        <v/>
      </c>
      <c r="V321" s="3">
        <f>IF($T321="",0,1)</f>
        <v/>
      </c>
      <c r="W321" s="3">
        <f>IF($C321="","",$D321&amp;"|"&amp;$E321&amp;"|"&amp;TEXT($C321,"0")&amp;"|"&amp;TEXT($G321,"0")&amp;"|"&amp;$J321)</f>
        <v/>
      </c>
      <c r="X321" s="3" t="n"/>
      <c r="Y321" s="3" t="n"/>
      <c r="Z321" s="3" t="n"/>
      <c r="AA321" s="3" t="n"/>
      <c r="AB321" s="3" t="n"/>
      <c r="AC321" s="3" t="n"/>
      <c r="AD321" s="3">
        <f>IF($C321="",0,SUMPRODUCT((AY_SONU!$O$7:$O$42="Evet")*(AY_SONU!$B$7:$B$42=DATE(YEAR($C321),MONTH($C321),1))))</f>
        <v/>
      </c>
    </row>
    <row r="322">
      <c r="A322" s="6" t="n"/>
      <c r="B322" s="113">
        <f>IF($C322="","","GG"&amp;TEXT(ROW()-6,"00000"))</f>
        <v/>
      </c>
      <c r="C322" s="220" t="n"/>
      <c r="D322" s="108" t="n"/>
      <c r="E322" s="109" t="n"/>
      <c r="F322" s="109" t="n"/>
      <c r="G322" s="221" t="n"/>
      <c r="H322" s="108" t="n"/>
      <c r="I322" s="108" t="n"/>
      <c r="J322" s="109" t="n"/>
      <c r="K322" s="109" t="n"/>
      <c r="L322" s="108" t="n"/>
      <c r="M322" s="121">
        <f>IF($C322="","",IF($D322="Gider",$E322,IF($L322&lt;&gt;"",$L322,$H322)))</f>
        <v/>
      </c>
      <c r="N322" s="121">
        <f>IF($C322="","",IF($D322="Gider",$H322,$E322))</f>
        <v/>
      </c>
      <c r="O322" s="226">
        <f>IF($C322="","",DATE(YEAR($C322),MONTH($C322),1))</f>
        <v/>
      </c>
      <c r="P322" s="113">
        <f>IF($C322="","",IF(AND($D322="Gelir",$L322&lt;&gt;"",$T322=""),"TANIMSIZ BORÇLU",IF($T322&lt;&gt;"",IF(OR($E322="",$G322&lt;=0),"EKSİK",IF($I322="Evet","TAHAKKUK NAKİT OLAMAZ",IF($C322&gt;TODAY(),"İLERİ TARİH","TAHAKKUK"))),IF(AND($D322&lt;&gt;"",$E322&lt;&gt;"",$G322&gt;0,$H322&lt;&gt;"",$I322&lt;&gt;""),IF($C322&gt;TODAY(),"İLERİ TARİH",IF(COUNTIF($W$7:$W$1206,$W322)&gt;1,"MÜKERRER?",IF($AD322&gt;0,"KAPALI DÖNEM",IF($I322="Hayır","ÖDENECEK","UYGUN")))),"EKSİK"))))</f>
        <v/>
      </c>
      <c r="Q322" s="6" t="n"/>
      <c r="R322" s="6" t="n"/>
      <c r="S322" s="3">
        <f>IF($L322="","",UPPER(SUBSTITUTE(SUBSTITUTE(SUBSTITUTE(SUBSTITUTE(SUBSTITUTE(SUBSTITUTE(SUBSTITUTE(SUBSTITUTE(SUBSTITUTE(SUBSTITUTE(SUBSTITUTE(SUBSTITUTE(SUBSTITUTE(SUBSTITUTE(SUBSTITUTE(SUBSTITUTE(SUBSTITUTE(SUBSTITUTE(TRIM($L322),"'",""),"İ","I"),"ı","I"),"i","I"),"Ş","S"),"ş","S"),"Ğ","G"),"ğ","G"),"Ü","U"),"ü","U"),"Ö","O"),"ö","O"),"Ç","C"),"ç","C"),".",""),",","")," ",""),"-","")))</f>
        <v/>
      </c>
      <c r="T322" s="3">
        <f>IF(OR($C322="",$D322&lt;&gt;"Gelir",$L322=""),"",IFERROR(INDEX(MUSTERILER!$B$7:$B$106,MATCH($S322,MUSTERILER!$T$7:$T$106,0)),""))</f>
        <v/>
      </c>
      <c r="U322" s="3">
        <f>IF($T322="","",$T322&amp;"|"&amp;COUNTIFS($T$7:$T322,$T322))</f>
        <v/>
      </c>
      <c r="V322" s="3">
        <f>IF($T322="",0,1)</f>
        <v/>
      </c>
      <c r="W322" s="3">
        <f>IF($C322="","",$D322&amp;"|"&amp;$E322&amp;"|"&amp;TEXT($C322,"0")&amp;"|"&amp;TEXT($G322,"0")&amp;"|"&amp;$J322)</f>
        <v/>
      </c>
      <c r="X322" s="3" t="n"/>
      <c r="Y322" s="3" t="n"/>
      <c r="Z322" s="3" t="n"/>
      <c r="AA322" s="3" t="n"/>
      <c r="AB322" s="3" t="n"/>
      <c r="AC322" s="3" t="n"/>
      <c r="AD322" s="3">
        <f>IF($C322="",0,SUMPRODUCT((AY_SONU!$O$7:$O$42="Evet")*(AY_SONU!$B$7:$B$42=DATE(YEAR($C322),MONTH($C322),1))))</f>
        <v/>
      </c>
    </row>
    <row r="323">
      <c r="A323" s="6" t="n"/>
      <c r="B323" s="113">
        <f>IF($C323="","","GG"&amp;TEXT(ROW()-6,"00000"))</f>
        <v/>
      </c>
      <c r="C323" s="220" t="n"/>
      <c r="D323" s="108" t="n"/>
      <c r="E323" s="109" t="n"/>
      <c r="F323" s="109" t="n"/>
      <c r="G323" s="221" t="n"/>
      <c r="H323" s="108" t="n"/>
      <c r="I323" s="108" t="n"/>
      <c r="J323" s="109" t="n"/>
      <c r="K323" s="109" t="n"/>
      <c r="L323" s="108" t="n"/>
      <c r="M323" s="121">
        <f>IF($C323="","",IF($D323="Gider",$E323,IF($L323&lt;&gt;"",$L323,$H323)))</f>
        <v/>
      </c>
      <c r="N323" s="121">
        <f>IF($C323="","",IF($D323="Gider",$H323,$E323))</f>
        <v/>
      </c>
      <c r="O323" s="226">
        <f>IF($C323="","",DATE(YEAR($C323),MONTH($C323),1))</f>
        <v/>
      </c>
      <c r="P323" s="113">
        <f>IF($C323="","",IF(AND($D323="Gelir",$L323&lt;&gt;"",$T323=""),"TANIMSIZ BORÇLU",IF($T323&lt;&gt;"",IF(OR($E323="",$G323&lt;=0),"EKSİK",IF($I323="Evet","TAHAKKUK NAKİT OLAMAZ",IF($C323&gt;TODAY(),"İLERİ TARİH","TAHAKKUK"))),IF(AND($D323&lt;&gt;"",$E323&lt;&gt;"",$G323&gt;0,$H323&lt;&gt;"",$I323&lt;&gt;""),IF($C323&gt;TODAY(),"İLERİ TARİH",IF(COUNTIF($W$7:$W$1206,$W323)&gt;1,"MÜKERRER?",IF($AD323&gt;0,"KAPALI DÖNEM",IF($I323="Hayır","ÖDENECEK","UYGUN")))),"EKSİK"))))</f>
        <v/>
      </c>
      <c r="Q323" s="6" t="n"/>
      <c r="R323" s="6" t="n"/>
      <c r="S323" s="3">
        <f>IF($L323="","",UPPER(SUBSTITUTE(SUBSTITUTE(SUBSTITUTE(SUBSTITUTE(SUBSTITUTE(SUBSTITUTE(SUBSTITUTE(SUBSTITUTE(SUBSTITUTE(SUBSTITUTE(SUBSTITUTE(SUBSTITUTE(SUBSTITUTE(SUBSTITUTE(SUBSTITUTE(SUBSTITUTE(SUBSTITUTE(SUBSTITUTE(TRIM($L323),"'",""),"İ","I"),"ı","I"),"i","I"),"Ş","S"),"ş","S"),"Ğ","G"),"ğ","G"),"Ü","U"),"ü","U"),"Ö","O"),"ö","O"),"Ç","C"),"ç","C"),".",""),",","")," ",""),"-","")))</f>
        <v/>
      </c>
      <c r="T323" s="3">
        <f>IF(OR($C323="",$D323&lt;&gt;"Gelir",$L323=""),"",IFERROR(INDEX(MUSTERILER!$B$7:$B$106,MATCH($S323,MUSTERILER!$T$7:$T$106,0)),""))</f>
        <v/>
      </c>
      <c r="U323" s="3">
        <f>IF($T323="","",$T323&amp;"|"&amp;COUNTIFS($T$7:$T323,$T323))</f>
        <v/>
      </c>
      <c r="V323" s="3">
        <f>IF($T323="",0,1)</f>
        <v/>
      </c>
      <c r="W323" s="3">
        <f>IF($C323="","",$D323&amp;"|"&amp;$E323&amp;"|"&amp;TEXT($C323,"0")&amp;"|"&amp;TEXT($G323,"0")&amp;"|"&amp;$J323)</f>
        <v/>
      </c>
      <c r="X323" s="3" t="n"/>
      <c r="Y323" s="3" t="n"/>
      <c r="Z323" s="3" t="n"/>
      <c r="AA323" s="3" t="n"/>
      <c r="AB323" s="3" t="n"/>
      <c r="AC323" s="3" t="n"/>
      <c r="AD323" s="3">
        <f>IF($C323="",0,SUMPRODUCT((AY_SONU!$O$7:$O$42="Evet")*(AY_SONU!$B$7:$B$42=DATE(YEAR($C323),MONTH($C323),1))))</f>
        <v/>
      </c>
    </row>
    <row r="324">
      <c r="A324" s="6" t="n"/>
      <c r="B324" s="113">
        <f>IF($C324="","","GG"&amp;TEXT(ROW()-6,"00000"))</f>
        <v/>
      </c>
      <c r="C324" s="220" t="n"/>
      <c r="D324" s="108" t="n"/>
      <c r="E324" s="109" t="n"/>
      <c r="F324" s="109" t="n"/>
      <c r="G324" s="221" t="n"/>
      <c r="H324" s="108" t="n"/>
      <c r="I324" s="108" t="n"/>
      <c r="J324" s="109" t="n"/>
      <c r="K324" s="109" t="n"/>
      <c r="L324" s="108" t="n"/>
      <c r="M324" s="121">
        <f>IF($C324="","",IF($D324="Gider",$E324,IF($L324&lt;&gt;"",$L324,$H324)))</f>
        <v/>
      </c>
      <c r="N324" s="121">
        <f>IF($C324="","",IF($D324="Gider",$H324,$E324))</f>
        <v/>
      </c>
      <c r="O324" s="226">
        <f>IF($C324="","",DATE(YEAR($C324),MONTH($C324),1))</f>
        <v/>
      </c>
      <c r="P324" s="113">
        <f>IF($C324="","",IF(AND($D324="Gelir",$L324&lt;&gt;"",$T324=""),"TANIMSIZ BORÇLU",IF($T324&lt;&gt;"",IF(OR($E324="",$G324&lt;=0),"EKSİK",IF($I324="Evet","TAHAKKUK NAKİT OLAMAZ",IF($C324&gt;TODAY(),"İLERİ TARİH","TAHAKKUK"))),IF(AND($D324&lt;&gt;"",$E324&lt;&gt;"",$G324&gt;0,$H324&lt;&gt;"",$I324&lt;&gt;""),IF($C324&gt;TODAY(),"İLERİ TARİH",IF(COUNTIF($W$7:$W$1206,$W324)&gt;1,"MÜKERRER?",IF($AD324&gt;0,"KAPALI DÖNEM",IF($I324="Hayır","ÖDENECEK","UYGUN")))),"EKSİK"))))</f>
        <v/>
      </c>
      <c r="Q324" s="6" t="n"/>
      <c r="R324" s="6" t="n"/>
      <c r="S324" s="3">
        <f>IF($L324="","",UPPER(SUBSTITUTE(SUBSTITUTE(SUBSTITUTE(SUBSTITUTE(SUBSTITUTE(SUBSTITUTE(SUBSTITUTE(SUBSTITUTE(SUBSTITUTE(SUBSTITUTE(SUBSTITUTE(SUBSTITUTE(SUBSTITUTE(SUBSTITUTE(SUBSTITUTE(SUBSTITUTE(SUBSTITUTE(SUBSTITUTE(TRIM($L324),"'",""),"İ","I"),"ı","I"),"i","I"),"Ş","S"),"ş","S"),"Ğ","G"),"ğ","G"),"Ü","U"),"ü","U"),"Ö","O"),"ö","O"),"Ç","C"),"ç","C"),".",""),",","")," ",""),"-","")))</f>
        <v/>
      </c>
      <c r="T324" s="3">
        <f>IF(OR($C324="",$D324&lt;&gt;"Gelir",$L324=""),"",IFERROR(INDEX(MUSTERILER!$B$7:$B$106,MATCH($S324,MUSTERILER!$T$7:$T$106,0)),""))</f>
        <v/>
      </c>
      <c r="U324" s="3">
        <f>IF($T324="","",$T324&amp;"|"&amp;COUNTIFS($T$7:$T324,$T324))</f>
        <v/>
      </c>
      <c r="V324" s="3">
        <f>IF($T324="",0,1)</f>
        <v/>
      </c>
      <c r="W324" s="3">
        <f>IF($C324="","",$D324&amp;"|"&amp;$E324&amp;"|"&amp;TEXT($C324,"0")&amp;"|"&amp;TEXT($G324,"0")&amp;"|"&amp;$J324)</f>
        <v/>
      </c>
      <c r="X324" s="3" t="n"/>
      <c r="Y324" s="3" t="n"/>
      <c r="Z324" s="3" t="n"/>
      <c r="AA324" s="3" t="n"/>
      <c r="AB324" s="3" t="n"/>
      <c r="AC324" s="3" t="n"/>
      <c r="AD324" s="3">
        <f>IF($C324="",0,SUMPRODUCT((AY_SONU!$O$7:$O$42="Evet")*(AY_SONU!$B$7:$B$42=DATE(YEAR($C324),MONTH($C324),1))))</f>
        <v/>
      </c>
    </row>
    <row r="325">
      <c r="A325" s="6" t="n"/>
      <c r="B325" s="113">
        <f>IF($C325="","","GG"&amp;TEXT(ROW()-6,"00000"))</f>
        <v/>
      </c>
      <c r="C325" s="220" t="n"/>
      <c r="D325" s="108" t="n"/>
      <c r="E325" s="109" t="n"/>
      <c r="F325" s="109" t="n"/>
      <c r="G325" s="221" t="n"/>
      <c r="H325" s="108" t="n"/>
      <c r="I325" s="108" t="n"/>
      <c r="J325" s="109" t="n"/>
      <c r="K325" s="109" t="n"/>
      <c r="L325" s="108" t="n"/>
      <c r="M325" s="121">
        <f>IF($C325="","",IF($D325="Gider",$E325,IF($L325&lt;&gt;"",$L325,$H325)))</f>
        <v/>
      </c>
      <c r="N325" s="121">
        <f>IF($C325="","",IF($D325="Gider",$H325,$E325))</f>
        <v/>
      </c>
      <c r="O325" s="226">
        <f>IF($C325="","",DATE(YEAR($C325),MONTH($C325),1))</f>
        <v/>
      </c>
      <c r="P325" s="113">
        <f>IF($C325="","",IF(AND($D325="Gelir",$L325&lt;&gt;"",$T325=""),"TANIMSIZ BORÇLU",IF($T325&lt;&gt;"",IF(OR($E325="",$G325&lt;=0),"EKSİK",IF($I325="Evet","TAHAKKUK NAKİT OLAMAZ",IF($C325&gt;TODAY(),"İLERİ TARİH","TAHAKKUK"))),IF(AND($D325&lt;&gt;"",$E325&lt;&gt;"",$G325&gt;0,$H325&lt;&gt;"",$I325&lt;&gt;""),IF($C325&gt;TODAY(),"İLERİ TARİH",IF(COUNTIF($W$7:$W$1206,$W325)&gt;1,"MÜKERRER?",IF($AD325&gt;0,"KAPALI DÖNEM",IF($I325="Hayır","ÖDENECEK","UYGUN")))),"EKSİK"))))</f>
        <v/>
      </c>
      <c r="Q325" s="6" t="n"/>
      <c r="R325" s="6" t="n"/>
      <c r="S325" s="3">
        <f>IF($L325="","",UPPER(SUBSTITUTE(SUBSTITUTE(SUBSTITUTE(SUBSTITUTE(SUBSTITUTE(SUBSTITUTE(SUBSTITUTE(SUBSTITUTE(SUBSTITUTE(SUBSTITUTE(SUBSTITUTE(SUBSTITUTE(SUBSTITUTE(SUBSTITUTE(SUBSTITUTE(SUBSTITUTE(SUBSTITUTE(SUBSTITUTE(TRIM($L325),"'",""),"İ","I"),"ı","I"),"i","I"),"Ş","S"),"ş","S"),"Ğ","G"),"ğ","G"),"Ü","U"),"ü","U"),"Ö","O"),"ö","O"),"Ç","C"),"ç","C"),".",""),",","")," ",""),"-","")))</f>
        <v/>
      </c>
      <c r="T325" s="3">
        <f>IF(OR($C325="",$D325&lt;&gt;"Gelir",$L325=""),"",IFERROR(INDEX(MUSTERILER!$B$7:$B$106,MATCH($S325,MUSTERILER!$T$7:$T$106,0)),""))</f>
        <v/>
      </c>
      <c r="U325" s="3">
        <f>IF($T325="","",$T325&amp;"|"&amp;COUNTIFS($T$7:$T325,$T325))</f>
        <v/>
      </c>
      <c r="V325" s="3">
        <f>IF($T325="",0,1)</f>
        <v/>
      </c>
      <c r="W325" s="3">
        <f>IF($C325="","",$D325&amp;"|"&amp;$E325&amp;"|"&amp;TEXT($C325,"0")&amp;"|"&amp;TEXT($G325,"0")&amp;"|"&amp;$J325)</f>
        <v/>
      </c>
      <c r="X325" s="3" t="n"/>
      <c r="Y325" s="3" t="n"/>
      <c r="Z325" s="3" t="n"/>
      <c r="AA325" s="3" t="n"/>
      <c r="AB325" s="3" t="n"/>
      <c r="AC325" s="3" t="n"/>
      <c r="AD325" s="3">
        <f>IF($C325="",0,SUMPRODUCT((AY_SONU!$O$7:$O$42="Evet")*(AY_SONU!$B$7:$B$42=DATE(YEAR($C325),MONTH($C325),1))))</f>
        <v/>
      </c>
    </row>
    <row r="326">
      <c r="A326" s="6" t="n"/>
      <c r="B326" s="113">
        <f>IF($C326="","","GG"&amp;TEXT(ROW()-6,"00000"))</f>
        <v/>
      </c>
      <c r="C326" s="220" t="n"/>
      <c r="D326" s="108" t="n"/>
      <c r="E326" s="109" t="n"/>
      <c r="F326" s="109" t="n"/>
      <c r="G326" s="221" t="n"/>
      <c r="H326" s="108" t="n"/>
      <c r="I326" s="108" t="n"/>
      <c r="J326" s="109" t="n"/>
      <c r="K326" s="109" t="n"/>
      <c r="L326" s="108" t="n"/>
      <c r="M326" s="121">
        <f>IF($C326="","",IF($D326="Gider",$E326,IF($L326&lt;&gt;"",$L326,$H326)))</f>
        <v/>
      </c>
      <c r="N326" s="121">
        <f>IF($C326="","",IF($D326="Gider",$H326,$E326))</f>
        <v/>
      </c>
      <c r="O326" s="226">
        <f>IF($C326="","",DATE(YEAR($C326),MONTH($C326),1))</f>
        <v/>
      </c>
      <c r="P326" s="113">
        <f>IF($C326="","",IF(AND($D326="Gelir",$L326&lt;&gt;"",$T326=""),"TANIMSIZ BORÇLU",IF($T326&lt;&gt;"",IF(OR($E326="",$G326&lt;=0),"EKSİK",IF($I326="Evet","TAHAKKUK NAKİT OLAMAZ",IF($C326&gt;TODAY(),"İLERİ TARİH","TAHAKKUK"))),IF(AND($D326&lt;&gt;"",$E326&lt;&gt;"",$G326&gt;0,$H326&lt;&gt;"",$I326&lt;&gt;""),IF($C326&gt;TODAY(),"İLERİ TARİH",IF(COUNTIF($W$7:$W$1206,$W326)&gt;1,"MÜKERRER?",IF($AD326&gt;0,"KAPALI DÖNEM",IF($I326="Hayır","ÖDENECEK","UYGUN")))),"EKSİK"))))</f>
        <v/>
      </c>
      <c r="Q326" s="6" t="n"/>
      <c r="R326" s="6" t="n"/>
      <c r="S326" s="3">
        <f>IF($L326="","",UPPER(SUBSTITUTE(SUBSTITUTE(SUBSTITUTE(SUBSTITUTE(SUBSTITUTE(SUBSTITUTE(SUBSTITUTE(SUBSTITUTE(SUBSTITUTE(SUBSTITUTE(SUBSTITUTE(SUBSTITUTE(SUBSTITUTE(SUBSTITUTE(SUBSTITUTE(SUBSTITUTE(SUBSTITUTE(SUBSTITUTE(TRIM($L326),"'",""),"İ","I"),"ı","I"),"i","I"),"Ş","S"),"ş","S"),"Ğ","G"),"ğ","G"),"Ü","U"),"ü","U"),"Ö","O"),"ö","O"),"Ç","C"),"ç","C"),".",""),",","")," ",""),"-","")))</f>
        <v/>
      </c>
      <c r="T326" s="3">
        <f>IF(OR($C326="",$D326&lt;&gt;"Gelir",$L326=""),"",IFERROR(INDEX(MUSTERILER!$B$7:$B$106,MATCH($S326,MUSTERILER!$T$7:$T$106,0)),""))</f>
        <v/>
      </c>
      <c r="U326" s="3">
        <f>IF($T326="","",$T326&amp;"|"&amp;COUNTIFS($T$7:$T326,$T326))</f>
        <v/>
      </c>
      <c r="V326" s="3">
        <f>IF($T326="",0,1)</f>
        <v/>
      </c>
      <c r="W326" s="3">
        <f>IF($C326="","",$D326&amp;"|"&amp;$E326&amp;"|"&amp;TEXT($C326,"0")&amp;"|"&amp;TEXT($G326,"0")&amp;"|"&amp;$J326)</f>
        <v/>
      </c>
      <c r="X326" s="3" t="n"/>
      <c r="Y326" s="3" t="n"/>
      <c r="Z326" s="3" t="n"/>
      <c r="AA326" s="3" t="n"/>
      <c r="AB326" s="3" t="n"/>
      <c r="AC326" s="3" t="n"/>
      <c r="AD326" s="3">
        <f>IF($C326="",0,SUMPRODUCT((AY_SONU!$O$7:$O$42="Evet")*(AY_SONU!$B$7:$B$42=DATE(YEAR($C326),MONTH($C326),1))))</f>
        <v/>
      </c>
    </row>
    <row r="327">
      <c r="A327" s="6" t="n"/>
      <c r="B327" s="113">
        <f>IF($C327="","","GG"&amp;TEXT(ROW()-6,"00000"))</f>
        <v/>
      </c>
      <c r="C327" s="220" t="n"/>
      <c r="D327" s="108" t="n"/>
      <c r="E327" s="109" t="n"/>
      <c r="F327" s="109" t="n"/>
      <c r="G327" s="221" t="n"/>
      <c r="H327" s="108" t="n"/>
      <c r="I327" s="108" t="n"/>
      <c r="J327" s="109" t="n"/>
      <c r="K327" s="109" t="n"/>
      <c r="L327" s="108" t="n"/>
      <c r="M327" s="121">
        <f>IF($C327="","",IF($D327="Gider",$E327,IF($L327&lt;&gt;"",$L327,$H327)))</f>
        <v/>
      </c>
      <c r="N327" s="121">
        <f>IF($C327="","",IF($D327="Gider",$H327,$E327))</f>
        <v/>
      </c>
      <c r="O327" s="226">
        <f>IF($C327="","",DATE(YEAR($C327),MONTH($C327),1))</f>
        <v/>
      </c>
      <c r="P327" s="113">
        <f>IF($C327="","",IF(AND($D327="Gelir",$L327&lt;&gt;"",$T327=""),"TANIMSIZ BORÇLU",IF($T327&lt;&gt;"",IF(OR($E327="",$G327&lt;=0),"EKSİK",IF($I327="Evet","TAHAKKUK NAKİT OLAMAZ",IF($C327&gt;TODAY(),"İLERİ TARİH","TAHAKKUK"))),IF(AND($D327&lt;&gt;"",$E327&lt;&gt;"",$G327&gt;0,$H327&lt;&gt;"",$I327&lt;&gt;""),IF($C327&gt;TODAY(),"İLERİ TARİH",IF(COUNTIF($W$7:$W$1206,$W327)&gt;1,"MÜKERRER?",IF($AD327&gt;0,"KAPALI DÖNEM",IF($I327="Hayır","ÖDENECEK","UYGUN")))),"EKSİK"))))</f>
        <v/>
      </c>
      <c r="Q327" s="6" t="n"/>
      <c r="R327" s="6" t="n"/>
      <c r="S327" s="3">
        <f>IF($L327="","",UPPER(SUBSTITUTE(SUBSTITUTE(SUBSTITUTE(SUBSTITUTE(SUBSTITUTE(SUBSTITUTE(SUBSTITUTE(SUBSTITUTE(SUBSTITUTE(SUBSTITUTE(SUBSTITUTE(SUBSTITUTE(SUBSTITUTE(SUBSTITUTE(SUBSTITUTE(SUBSTITUTE(SUBSTITUTE(SUBSTITUTE(TRIM($L327),"'",""),"İ","I"),"ı","I"),"i","I"),"Ş","S"),"ş","S"),"Ğ","G"),"ğ","G"),"Ü","U"),"ü","U"),"Ö","O"),"ö","O"),"Ç","C"),"ç","C"),".",""),",","")," ",""),"-","")))</f>
        <v/>
      </c>
      <c r="T327" s="3">
        <f>IF(OR($C327="",$D327&lt;&gt;"Gelir",$L327=""),"",IFERROR(INDEX(MUSTERILER!$B$7:$B$106,MATCH($S327,MUSTERILER!$T$7:$T$106,0)),""))</f>
        <v/>
      </c>
      <c r="U327" s="3">
        <f>IF($T327="","",$T327&amp;"|"&amp;COUNTIFS($T$7:$T327,$T327))</f>
        <v/>
      </c>
      <c r="V327" s="3">
        <f>IF($T327="",0,1)</f>
        <v/>
      </c>
      <c r="W327" s="3">
        <f>IF($C327="","",$D327&amp;"|"&amp;$E327&amp;"|"&amp;TEXT($C327,"0")&amp;"|"&amp;TEXT($G327,"0")&amp;"|"&amp;$J327)</f>
        <v/>
      </c>
      <c r="X327" s="3" t="n"/>
      <c r="Y327" s="3" t="n"/>
      <c r="Z327" s="3" t="n"/>
      <c r="AA327" s="3" t="n"/>
      <c r="AB327" s="3" t="n"/>
      <c r="AC327" s="3" t="n"/>
      <c r="AD327" s="3">
        <f>IF($C327="",0,SUMPRODUCT((AY_SONU!$O$7:$O$42="Evet")*(AY_SONU!$B$7:$B$42=DATE(YEAR($C327),MONTH($C327),1))))</f>
        <v/>
      </c>
    </row>
    <row r="328">
      <c r="A328" s="6" t="n"/>
      <c r="B328" s="113">
        <f>IF($C328="","","GG"&amp;TEXT(ROW()-6,"00000"))</f>
        <v/>
      </c>
      <c r="C328" s="220" t="n"/>
      <c r="D328" s="108" t="n"/>
      <c r="E328" s="109" t="n"/>
      <c r="F328" s="109" t="n"/>
      <c r="G328" s="221" t="n"/>
      <c r="H328" s="108" t="n"/>
      <c r="I328" s="108" t="n"/>
      <c r="J328" s="109" t="n"/>
      <c r="K328" s="109" t="n"/>
      <c r="L328" s="108" t="n"/>
      <c r="M328" s="121">
        <f>IF($C328="","",IF($D328="Gider",$E328,IF($L328&lt;&gt;"",$L328,$H328)))</f>
        <v/>
      </c>
      <c r="N328" s="121">
        <f>IF($C328="","",IF($D328="Gider",$H328,$E328))</f>
        <v/>
      </c>
      <c r="O328" s="226">
        <f>IF($C328="","",DATE(YEAR($C328),MONTH($C328),1))</f>
        <v/>
      </c>
      <c r="P328" s="113">
        <f>IF($C328="","",IF(AND($D328="Gelir",$L328&lt;&gt;"",$T328=""),"TANIMSIZ BORÇLU",IF($T328&lt;&gt;"",IF(OR($E328="",$G328&lt;=0),"EKSİK",IF($I328="Evet","TAHAKKUK NAKİT OLAMAZ",IF($C328&gt;TODAY(),"İLERİ TARİH","TAHAKKUK"))),IF(AND($D328&lt;&gt;"",$E328&lt;&gt;"",$G328&gt;0,$H328&lt;&gt;"",$I328&lt;&gt;""),IF($C328&gt;TODAY(),"İLERİ TARİH",IF(COUNTIF($W$7:$W$1206,$W328)&gt;1,"MÜKERRER?",IF($AD328&gt;0,"KAPALI DÖNEM",IF($I328="Hayır","ÖDENECEK","UYGUN")))),"EKSİK"))))</f>
        <v/>
      </c>
      <c r="Q328" s="6" t="n"/>
      <c r="R328" s="6" t="n"/>
      <c r="S328" s="3">
        <f>IF($L328="","",UPPER(SUBSTITUTE(SUBSTITUTE(SUBSTITUTE(SUBSTITUTE(SUBSTITUTE(SUBSTITUTE(SUBSTITUTE(SUBSTITUTE(SUBSTITUTE(SUBSTITUTE(SUBSTITUTE(SUBSTITUTE(SUBSTITUTE(SUBSTITUTE(SUBSTITUTE(SUBSTITUTE(SUBSTITUTE(SUBSTITUTE(TRIM($L328),"'",""),"İ","I"),"ı","I"),"i","I"),"Ş","S"),"ş","S"),"Ğ","G"),"ğ","G"),"Ü","U"),"ü","U"),"Ö","O"),"ö","O"),"Ç","C"),"ç","C"),".",""),",","")," ",""),"-","")))</f>
        <v/>
      </c>
      <c r="T328" s="3">
        <f>IF(OR($C328="",$D328&lt;&gt;"Gelir",$L328=""),"",IFERROR(INDEX(MUSTERILER!$B$7:$B$106,MATCH($S328,MUSTERILER!$T$7:$T$106,0)),""))</f>
        <v/>
      </c>
      <c r="U328" s="3">
        <f>IF($T328="","",$T328&amp;"|"&amp;COUNTIFS($T$7:$T328,$T328))</f>
        <v/>
      </c>
      <c r="V328" s="3">
        <f>IF($T328="",0,1)</f>
        <v/>
      </c>
      <c r="W328" s="3">
        <f>IF($C328="","",$D328&amp;"|"&amp;$E328&amp;"|"&amp;TEXT($C328,"0")&amp;"|"&amp;TEXT($G328,"0")&amp;"|"&amp;$J328)</f>
        <v/>
      </c>
      <c r="X328" s="3" t="n"/>
      <c r="Y328" s="3" t="n"/>
      <c r="Z328" s="3" t="n"/>
      <c r="AA328" s="3" t="n"/>
      <c r="AB328" s="3" t="n"/>
      <c r="AC328" s="3" t="n"/>
      <c r="AD328" s="3">
        <f>IF($C328="",0,SUMPRODUCT((AY_SONU!$O$7:$O$42="Evet")*(AY_SONU!$B$7:$B$42=DATE(YEAR($C328),MONTH($C328),1))))</f>
        <v/>
      </c>
    </row>
    <row r="329">
      <c r="A329" s="6" t="n"/>
      <c r="B329" s="113">
        <f>IF($C329="","","GG"&amp;TEXT(ROW()-6,"00000"))</f>
        <v/>
      </c>
      <c r="C329" s="220" t="n"/>
      <c r="D329" s="108" t="n"/>
      <c r="E329" s="109" t="n"/>
      <c r="F329" s="109" t="n"/>
      <c r="G329" s="221" t="n"/>
      <c r="H329" s="108" t="n"/>
      <c r="I329" s="108" t="n"/>
      <c r="J329" s="109" t="n"/>
      <c r="K329" s="109" t="n"/>
      <c r="L329" s="108" t="n"/>
      <c r="M329" s="121">
        <f>IF($C329="","",IF($D329="Gider",$E329,IF($L329&lt;&gt;"",$L329,$H329)))</f>
        <v/>
      </c>
      <c r="N329" s="121">
        <f>IF($C329="","",IF($D329="Gider",$H329,$E329))</f>
        <v/>
      </c>
      <c r="O329" s="226">
        <f>IF($C329="","",DATE(YEAR($C329),MONTH($C329),1))</f>
        <v/>
      </c>
      <c r="P329" s="113">
        <f>IF($C329="","",IF(AND($D329="Gelir",$L329&lt;&gt;"",$T329=""),"TANIMSIZ BORÇLU",IF($T329&lt;&gt;"",IF(OR($E329="",$G329&lt;=0),"EKSİK",IF($I329="Evet","TAHAKKUK NAKİT OLAMAZ",IF($C329&gt;TODAY(),"İLERİ TARİH","TAHAKKUK"))),IF(AND($D329&lt;&gt;"",$E329&lt;&gt;"",$G329&gt;0,$H329&lt;&gt;"",$I329&lt;&gt;""),IF($C329&gt;TODAY(),"İLERİ TARİH",IF(COUNTIF($W$7:$W$1206,$W329)&gt;1,"MÜKERRER?",IF($AD329&gt;0,"KAPALI DÖNEM",IF($I329="Hayır","ÖDENECEK","UYGUN")))),"EKSİK"))))</f>
        <v/>
      </c>
      <c r="Q329" s="6" t="n"/>
      <c r="R329" s="6" t="n"/>
      <c r="S329" s="3">
        <f>IF($L329="","",UPPER(SUBSTITUTE(SUBSTITUTE(SUBSTITUTE(SUBSTITUTE(SUBSTITUTE(SUBSTITUTE(SUBSTITUTE(SUBSTITUTE(SUBSTITUTE(SUBSTITUTE(SUBSTITUTE(SUBSTITUTE(SUBSTITUTE(SUBSTITUTE(SUBSTITUTE(SUBSTITUTE(SUBSTITUTE(SUBSTITUTE(TRIM($L329),"'",""),"İ","I"),"ı","I"),"i","I"),"Ş","S"),"ş","S"),"Ğ","G"),"ğ","G"),"Ü","U"),"ü","U"),"Ö","O"),"ö","O"),"Ç","C"),"ç","C"),".",""),",","")," ",""),"-","")))</f>
        <v/>
      </c>
      <c r="T329" s="3">
        <f>IF(OR($C329="",$D329&lt;&gt;"Gelir",$L329=""),"",IFERROR(INDEX(MUSTERILER!$B$7:$B$106,MATCH($S329,MUSTERILER!$T$7:$T$106,0)),""))</f>
        <v/>
      </c>
      <c r="U329" s="3">
        <f>IF($T329="","",$T329&amp;"|"&amp;COUNTIFS($T$7:$T329,$T329))</f>
        <v/>
      </c>
      <c r="V329" s="3">
        <f>IF($T329="",0,1)</f>
        <v/>
      </c>
      <c r="W329" s="3">
        <f>IF($C329="","",$D329&amp;"|"&amp;$E329&amp;"|"&amp;TEXT($C329,"0")&amp;"|"&amp;TEXT($G329,"0")&amp;"|"&amp;$J329)</f>
        <v/>
      </c>
      <c r="X329" s="3" t="n"/>
      <c r="Y329" s="3" t="n"/>
      <c r="Z329" s="3" t="n"/>
      <c r="AA329" s="3" t="n"/>
      <c r="AB329" s="3" t="n"/>
      <c r="AC329" s="3" t="n"/>
      <c r="AD329" s="3">
        <f>IF($C329="",0,SUMPRODUCT((AY_SONU!$O$7:$O$42="Evet")*(AY_SONU!$B$7:$B$42=DATE(YEAR($C329),MONTH($C329),1))))</f>
        <v/>
      </c>
    </row>
    <row r="330">
      <c r="A330" s="6" t="n"/>
      <c r="B330" s="113">
        <f>IF($C330="","","GG"&amp;TEXT(ROW()-6,"00000"))</f>
        <v/>
      </c>
      <c r="C330" s="220" t="n"/>
      <c r="D330" s="108" t="n"/>
      <c r="E330" s="109" t="n"/>
      <c r="F330" s="109" t="n"/>
      <c r="G330" s="221" t="n"/>
      <c r="H330" s="108" t="n"/>
      <c r="I330" s="108" t="n"/>
      <c r="J330" s="109" t="n"/>
      <c r="K330" s="109" t="n"/>
      <c r="L330" s="108" t="n"/>
      <c r="M330" s="121">
        <f>IF($C330="","",IF($D330="Gider",$E330,IF($L330&lt;&gt;"",$L330,$H330)))</f>
        <v/>
      </c>
      <c r="N330" s="121">
        <f>IF($C330="","",IF($D330="Gider",$H330,$E330))</f>
        <v/>
      </c>
      <c r="O330" s="226">
        <f>IF($C330="","",DATE(YEAR($C330),MONTH($C330),1))</f>
        <v/>
      </c>
      <c r="P330" s="113">
        <f>IF($C330="","",IF(AND($D330="Gelir",$L330&lt;&gt;"",$T330=""),"TANIMSIZ BORÇLU",IF($T330&lt;&gt;"",IF(OR($E330="",$G330&lt;=0),"EKSİK",IF($I330="Evet","TAHAKKUK NAKİT OLAMAZ",IF($C330&gt;TODAY(),"İLERİ TARİH","TAHAKKUK"))),IF(AND($D330&lt;&gt;"",$E330&lt;&gt;"",$G330&gt;0,$H330&lt;&gt;"",$I330&lt;&gt;""),IF($C330&gt;TODAY(),"İLERİ TARİH",IF(COUNTIF($W$7:$W$1206,$W330)&gt;1,"MÜKERRER?",IF($AD330&gt;0,"KAPALI DÖNEM",IF($I330="Hayır","ÖDENECEK","UYGUN")))),"EKSİK"))))</f>
        <v/>
      </c>
      <c r="Q330" s="6" t="n"/>
      <c r="R330" s="6" t="n"/>
      <c r="S330" s="3">
        <f>IF($L330="","",UPPER(SUBSTITUTE(SUBSTITUTE(SUBSTITUTE(SUBSTITUTE(SUBSTITUTE(SUBSTITUTE(SUBSTITUTE(SUBSTITUTE(SUBSTITUTE(SUBSTITUTE(SUBSTITUTE(SUBSTITUTE(SUBSTITUTE(SUBSTITUTE(SUBSTITUTE(SUBSTITUTE(SUBSTITUTE(SUBSTITUTE(TRIM($L330),"'",""),"İ","I"),"ı","I"),"i","I"),"Ş","S"),"ş","S"),"Ğ","G"),"ğ","G"),"Ü","U"),"ü","U"),"Ö","O"),"ö","O"),"Ç","C"),"ç","C"),".",""),",","")," ",""),"-","")))</f>
        <v/>
      </c>
      <c r="T330" s="3">
        <f>IF(OR($C330="",$D330&lt;&gt;"Gelir",$L330=""),"",IFERROR(INDEX(MUSTERILER!$B$7:$B$106,MATCH($S330,MUSTERILER!$T$7:$T$106,0)),""))</f>
        <v/>
      </c>
      <c r="U330" s="3">
        <f>IF($T330="","",$T330&amp;"|"&amp;COUNTIFS($T$7:$T330,$T330))</f>
        <v/>
      </c>
      <c r="V330" s="3">
        <f>IF($T330="",0,1)</f>
        <v/>
      </c>
      <c r="W330" s="3">
        <f>IF($C330="","",$D330&amp;"|"&amp;$E330&amp;"|"&amp;TEXT($C330,"0")&amp;"|"&amp;TEXT($G330,"0")&amp;"|"&amp;$J330)</f>
        <v/>
      </c>
      <c r="X330" s="3" t="n"/>
      <c r="Y330" s="3" t="n"/>
      <c r="Z330" s="3" t="n"/>
      <c r="AA330" s="3" t="n"/>
      <c r="AB330" s="3" t="n"/>
      <c r="AC330" s="3" t="n"/>
      <c r="AD330" s="3">
        <f>IF($C330="",0,SUMPRODUCT((AY_SONU!$O$7:$O$42="Evet")*(AY_SONU!$B$7:$B$42=DATE(YEAR($C330),MONTH($C330),1))))</f>
        <v/>
      </c>
    </row>
    <row r="331">
      <c r="A331" s="6" t="n"/>
      <c r="B331" s="113">
        <f>IF($C331="","","GG"&amp;TEXT(ROW()-6,"00000"))</f>
        <v/>
      </c>
      <c r="C331" s="220" t="n"/>
      <c r="D331" s="108" t="n"/>
      <c r="E331" s="109" t="n"/>
      <c r="F331" s="109" t="n"/>
      <c r="G331" s="221" t="n"/>
      <c r="H331" s="108" t="n"/>
      <c r="I331" s="108" t="n"/>
      <c r="J331" s="109" t="n"/>
      <c r="K331" s="109" t="n"/>
      <c r="L331" s="108" t="n"/>
      <c r="M331" s="121">
        <f>IF($C331="","",IF($D331="Gider",$E331,IF($L331&lt;&gt;"",$L331,$H331)))</f>
        <v/>
      </c>
      <c r="N331" s="121">
        <f>IF($C331="","",IF($D331="Gider",$H331,$E331))</f>
        <v/>
      </c>
      <c r="O331" s="226">
        <f>IF($C331="","",DATE(YEAR($C331),MONTH($C331),1))</f>
        <v/>
      </c>
      <c r="P331" s="113">
        <f>IF($C331="","",IF(AND($D331="Gelir",$L331&lt;&gt;"",$T331=""),"TANIMSIZ BORÇLU",IF($T331&lt;&gt;"",IF(OR($E331="",$G331&lt;=0),"EKSİK",IF($I331="Evet","TAHAKKUK NAKİT OLAMAZ",IF($C331&gt;TODAY(),"İLERİ TARİH","TAHAKKUK"))),IF(AND($D331&lt;&gt;"",$E331&lt;&gt;"",$G331&gt;0,$H331&lt;&gt;"",$I331&lt;&gt;""),IF($C331&gt;TODAY(),"İLERİ TARİH",IF(COUNTIF($W$7:$W$1206,$W331)&gt;1,"MÜKERRER?",IF($AD331&gt;0,"KAPALI DÖNEM",IF($I331="Hayır","ÖDENECEK","UYGUN")))),"EKSİK"))))</f>
        <v/>
      </c>
      <c r="Q331" s="6" t="n"/>
      <c r="R331" s="6" t="n"/>
      <c r="S331" s="3">
        <f>IF($L331="","",UPPER(SUBSTITUTE(SUBSTITUTE(SUBSTITUTE(SUBSTITUTE(SUBSTITUTE(SUBSTITUTE(SUBSTITUTE(SUBSTITUTE(SUBSTITUTE(SUBSTITUTE(SUBSTITUTE(SUBSTITUTE(SUBSTITUTE(SUBSTITUTE(SUBSTITUTE(SUBSTITUTE(SUBSTITUTE(SUBSTITUTE(TRIM($L331),"'",""),"İ","I"),"ı","I"),"i","I"),"Ş","S"),"ş","S"),"Ğ","G"),"ğ","G"),"Ü","U"),"ü","U"),"Ö","O"),"ö","O"),"Ç","C"),"ç","C"),".",""),",","")," ",""),"-","")))</f>
        <v/>
      </c>
      <c r="T331" s="3">
        <f>IF(OR($C331="",$D331&lt;&gt;"Gelir",$L331=""),"",IFERROR(INDEX(MUSTERILER!$B$7:$B$106,MATCH($S331,MUSTERILER!$T$7:$T$106,0)),""))</f>
        <v/>
      </c>
      <c r="U331" s="3">
        <f>IF($T331="","",$T331&amp;"|"&amp;COUNTIFS($T$7:$T331,$T331))</f>
        <v/>
      </c>
      <c r="V331" s="3">
        <f>IF($T331="",0,1)</f>
        <v/>
      </c>
      <c r="W331" s="3">
        <f>IF($C331="","",$D331&amp;"|"&amp;$E331&amp;"|"&amp;TEXT($C331,"0")&amp;"|"&amp;TEXT($G331,"0")&amp;"|"&amp;$J331)</f>
        <v/>
      </c>
      <c r="X331" s="3" t="n"/>
      <c r="Y331" s="3" t="n"/>
      <c r="Z331" s="3" t="n"/>
      <c r="AA331" s="3" t="n"/>
      <c r="AB331" s="3" t="n"/>
      <c r="AC331" s="3" t="n"/>
      <c r="AD331" s="3">
        <f>IF($C331="",0,SUMPRODUCT((AY_SONU!$O$7:$O$42="Evet")*(AY_SONU!$B$7:$B$42=DATE(YEAR($C331),MONTH($C331),1))))</f>
        <v/>
      </c>
    </row>
    <row r="332">
      <c r="A332" s="6" t="n"/>
      <c r="B332" s="113">
        <f>IF($C332="","","GG"&amp;TEXT(ROW()-6,"00000"))</f>
        <v/>
      </c>
      <c r="C332" s="220" t="n"/>
      <c r="D332" s="108" t="n"/>
      <c r="E332" s="109" t="n"/>
      <c r="F332" s="109" t="n"/>
      <c r="G332" s="221" t="n"/>
      <c r="H332" s="108" t="n"/>
      <c r="I332" s="108" t="n"/>
      <c r="J332" s="109" t="n"/>
      <c r="K332" s="109" t="n"/>
      <c r="L332" s="108" t="n"/>
      <c r="M332" s="121">
        <f>IF($C332="","",IF($D332="Gider",$E332,IF($L332&lt;&gt;"",$L332,$H332)))</f>
        <v/>
      </c>
      <c r="N332" s="121">
        <f>IF($C332="","",IF($D332="Gider",$H332,$E332))</f>
        <v/>
      </c>
      <c r="O332" s="226">
        <f>IF($C332="","",DATE(YEAR($C332),MONTH($C332),1))</f>
        <v/>
      </c>
      <c r="P332" s="113">
        <f>IF($C332="","",IF(AND($D332="Gelir",$L332&lt;&gt;"",$T332=""),"TANIMSIZ BORÇLU",IF($T332&lt;&gt;"",IF(OR($E332="",$G332&lt;=0),"EKSİK",IF($I332="Evet","TAHAKKUK NAKİT OLAMAZ",IF($C332&gt;TODAY(),"İLERİ TARİH","TAHAKKUK"))),IF(AND($D332&lt;&gt;"",$E332&lt;&gt;"",$G332&gt;0,$H332&lt;&gt;"",$I332&lt;&gt;""),IF($C332&gt;TODAY(),"İLERİ TARİH",IF(COUNTIF($W$7:$W$1206,$W332)&gt;1,"MÜKERRER?",IF($AD332&gt;0,"KAPALI DÖNEM",IF($I332="Hayır","ÖDENECEK","UYGUN")))),"EKSİK"))))</f>
        <v/>
      </c>
      <c r="Q332" s="6" t="n"/>
      <c r="R332" s="6" t="n"/>
      <c r="S332" s="3">
        <f>IF($L332="","",UPPER(SUBSTITUTE(SUBSTITUTE(SUBSTITUTE(SUBSTITUTE(SUBSTITUTE(SUBSTITUTE(SUBSTITUTE(SUBSTITUTE(SUBSTITUTE(SUBSTITUTE(SUBSTITUTE(SUBSTITUTE(SUBSTITUTE(SUBSTITUTE(SUBSTITUTE(SUBSTITUTE(SUBSTITUTE(SUBSTITUTE(TRIM($L332),"'",""),"İ","I"),"ı","I"),"i","I"),"Ş","S"),"ş","S"),"Ğ","G"),"ğ","G"),"Ü","U"),"ü","U"),"Ö","O"),"ö","O"),"Ç","C"),"ç","C"),".",""),",","")," ",""),"-","")))</f>
        <v/>
      </c>
      <c r="T332" s="3">
        <f>IF(OR($C332="",$D332&lt;&gt;"Gelir",$L332=""),"",IFERROR(INDEX(MUSTERILER!$B$7:$B$106,MATCH($S332,MUSTERILER!$T$7:$T$106,0)),""))</f>
        <v/>
      </c>
      <c r="U332" s="3">
        <f>IF($T332="","",$T332&amp;"|"&amp;COUNTIFS($T$7:$T332,$T332))</f>
        <v/>
      </c>
      <c r="V332" s="3">
        <f>IF($T332="",0,1)</f>
        <v/>
      </c>
      <c r="W332" s="3">
        <f>IF($C332="","",$D332&amp;"|"&amp;$E332&amp;"|"&amp;TEXT($C332,"0")&amp;"|"&amp;TEXT($G332,"0")&amp;"|"&amp;$J332)</f>
        <v/>
      </c>
      <c r="X332" s="3" t="n"/>
      <c r="Y332" s="3" t="n"/>
      <c r="Z332" s="3" t="n"/>
      <c r="AA332" s="3" t="n"/>
      <c r="AB332" s="3" t="n"/>
      <c r="AC332" s="3" t="n"/>
      <c r="AD332" s="3">
        <f>IF($C332="",0,SUMPRODUCT((AY_SONU!$O$7:$O$42="Evet")*(AY_SONU!$B$7:$B$42=DATE(YEAR($C332),MONTH($C332),1))))</f>
        <v/>
      </c>
    </row>
    <row r="333">
      <c r="A333" s="6" t="n"/>
      <c r="B333" s="113">
        <f>IF($C333="","","GG"&amp;TEXT(ROW()-6,"00000"))</f>
        <v/>
      </c>
      <c r="C333" s="220" t="n"/>
      <c r="D333" s="108" t="n"/>
      <c r="E333" s="109" t="n"/>
      <c r="F333" s="109" t="n"/>
      <c r="G333" s="221" t="n"/>
      <c r="H333" s="108" t="n"/>
      <c r="I333" s="108" t="n"/>
      <c r="J333" s="109" t="n"/>
      <c r="K333" s="109" t="n"/>
      <c r="L333" s="108" t="n"/>
      <c r="M333" s="121">
        <f>IF($C333="","",IF($D333="Gider",$E333,IF($L333&lt;&gt;"",$L333,$H333)))</f>
        <v/>
      </c>
      <c r="N333" s="121">
        <f>IF($C333="","",IF($D333="Gider",$H333,$E333))</f>
        <v/>
      </c>
      <c r="O333" s="226">
        <f>IF($C333="","",DATE(YEAR($C333),MONTH($C333),1))</f>
        <v/>
      </c>
      <c r="P333" s="113">
        <f>IF($C333="","",IF(AND($D333="Gelir",$L333&lt;&gt;"",$T333=""),"TANIMSIZ BORÇLU",IF($T333&lt;&gt;"",IF(OR($E333="",$G333&lt;=0),"EKSİK",IF($I333="Evet","TAHAKKUK NAKİT OLAMAZ",IF($C333&gt;TODAY(),"İLERİ TARİH","TAHAKKUK"))),IF(AND($D333&lt;&gt;"",$E333&lt;&gt;"",$G333&gt;0,$H333&lt;&gt;"",$I333&lt;&gt;""),IF($C333&gt;TODAY(),"İLERİ TARİH",IF(COUNTIF($W$7:$W$1206,$W333)&gt;1,"MÜKERRER?",IF($AD333&gt;0,"KAPALI DÖNEM",IF($I333="Hayır","ÖDENECEK","UYGUN")))),"EKSİK"))))</f>
        <v/>
      </c>
      <c r="Q333" s="6" t="n"/>
      <c r="R333" s="6" t="n"/>
      <c r="S333" s="3">
        <f>IF($L333="","",UPPER(SUBSTITUTE(SUBSTITUTE(SUBSTITUTE(SUBSTITUTE(SUBSTITUTE(SUBSTITUTE(SUBSTITUTE(SUBSTITUTE(SUBSTITUTE(SUBSTITUTE(SUBSTITUTE(SUBSTITUTE(SUBSTITUTE(SUBSTITUTE(SUBSTITUTE(SUBSTITUTE(SUBSTITUTE(SUBSTITUTE(TRIM($L333),"'",""),"İ","I"),"ı","I"),"i","I"),"Ş","S"),"ş","S"),"Ğ","G"),"ğ","G"),"Ü","U"),"ü","U"),"Ö","O"),"ö","O"),"Ç","C"),"ç","C"),".",""),",","")," ",""),"-","")))</f>
        <v/>
      </c>
      <c r="T333" s="3">
        <f>IF(OR($C333="",$D333&lt;&gt;"Gelir",$L333=""),"",IFERROR(INDEX(MUSTERILER!$B$7:$B$106,MATCH($S333,MUSTERILER!$T$7:$T$106,0)),""))</f>
        <v/>
      </c>
      <c r="U333" s="3">
        <f>IF($T333="","",$T333&amp;"|"&amp;COUNTIFS($T$7:$T333,$T333))</f>
        <v/>
      </c>
      <c r="V333" s="3">
        <f>IF($T333="",0,1)</f>
        <v/>
      </c>
      <c r="W333" s="3">
        <f>IF($C333="","",$D333&amp;"|"&amp;$E333&amp;"|"&amp;TEXT($C333,"0")&amp;"|"&amp;TEXT($G333,"0")&amp;"|"&amp;$J333)</f>
        <v/>
      </c>
      <c r="X333" s="3" t="n"/>
      <c r="Y333" s="3" t="n"/>
      <c r="Z333" s="3" t="n"/>
      <c r="AA333" s="3" t="n"/>
      <c r="AB333" s="3" t="n"/>
      <c r="AC333" s="3" t="n"/>
      <c r="AD333" s="3">
        <f>IF($C333="",0,SUMPRODUCT((AY_SONU!$O$7:$O$42="Evet")*(AY_SONU!$B$7:$B$42=DATE(YEAR($C333),MONTH($C333),1))))</f>
        <v/>
      </c>
    </row>
    <row r="334">
      <c r="A334" s="6" t="n"/>
      <c r="B334" s="113">
        <f>IF($C334="","","GG"&amp;TEXT(ROW()-6,"00000"))</f>
        <v/>
      </c>
      <c r="C334" s="220" t="n"/>
      <c r="D334" s="108" t="n"/>
      <c r="E334" s="109" t="n"/>
      <c r="F334" s="109" t="n"/>
      <c r="G334" s="221" t="n"/>
      <c r="H334" s="108" t="n"/>
      <c r="I334" s="108" t="n"/>
      <c r="J334" s="109" t="n"/>
      <c r="K334" s="109" t="n"/>
      <c r="L334" s="108" t="n"/>
      <c r="M334" s="121">
        <f>IF($C334="","",IF($D334="Gider",$E334,IF($L334&lt;&gt;"",$L334,$H334)))</f>
        <v/>
      </c>
      <c r="N334" s="121">
        <f>IF($C334="","",IF($D334="Gider",$H334,$E334))</f>
        <v/>
      </c>
      <c r="O334" s="226">
        <f>IF($C334="","",DATE(YEAR($C334),MONTH($C334),1))</f>
        <v/>
      </c>
      <c r="P334" s="113">
        <f>IF($C334="","",IF(AND($D334="Gelir",$L334&lt;&gt;"",$T334=""),"TANIMSIZ BORÇLU",IF($T334&lt;&gt;"",IF(OR($E334="",$G334&lt;=0),"EKSİK",IF($I334="Evet","TAHAKKUK NAKİT OLAMAZ",IF($C334&gt;TODAY(),"İLERİ TARİH","TAHAKKUK"))),IF(AND($D334&lt;&gt;"",$E334&lt;&gt;"",$G334&gt;0,$H334&lt;&gt;"",$I334&lt;&gt;""),IF($C334&gt;TODAY(),"İLERİ TARİH",IF(COUNTIF($W$7:$W$1206,$W334)&gt;1,"MÜKERRER?",IF($AD334&gt;0,"KAPALI DÖNEM",IF($I334="Hayır","ÖDENECEK","UYGUN")))),"EKSİK"))))</f>
        <v/>
      </c>
      <c r="Q334" s="6" t="n"/>
      <c r="R334" s="6" t="n"/>
      <c r="S334" s="3">
        <f>IF($L334="","",UPPER(SUBSTITUTE(SUBSTITUTE(SUBSTITUTE(SUBSTITUTE(SUBSTITUTE(SUBSTITUTE(SUBSTITUTE(SUBSTITUTE(SUBSTITUTE(SUBSTITUTE(SUBSTITUTE(SUBSTITUTE(SUBSTITUTE(SUBSTITUTE(SUBSTITUTE(SUBSTITUTE(SUBSTITUTE(SUBSTITUTE(TRIM($L334),"'",""),"İ","I"),"ı","I"),"i","I"),"Ş","S"),"ş","S"),"Ğ","G"),"ğ","G"),"Ü","U"),"ü","U"),"Ö","O"),"ö","O"),"Ç","C"),"ç","C"),".",""),",","")," ",""),"-","")))</f>
        <v/>
      </c>
      <c r="T334" s="3">
        <f>IF(OR($C334="",$D334&lt;&gt;"Gelir",$L334=""),"",IFERROR(INDEX(MUSTERILER!$B$7:$B$106,MATCH($S334,MUSTERILER!$T$7:$T$106,0)),""))</f>
        <v/>
      </c>
      <c r="U334" s="3">
        <f>IF($T334="","",$T334&amp;"|"&amp;COUNTIFS($T$7:$T334,$T334))</f>
        <v/>
      </c>
      <c r="V334" s="3">
        <f>IF($T334="",0,1)</f>
        <v/>
      </c>
      <c r="W334" s="3">
        <f>IF($C334="","",$D334&amp;"|"&amp;$E334&amp;"|"&amp;TEXT($C334,"0")&amp;"|"&amp;TEXT($G334,"0")&amp;"|"&amp;$J334)</f>
        <v/>
      </c>
      <c r="X334" s="3" t="n"/>
      <c r="Y334" s="3" t="n"/>
      <c r="Z334" s="3" t="n"/>
      <c r="AA334" s="3" t="n"/>
      <c r="AB334" s="3" t="n"/>
      <c r="AC334" s="3" t="n"/>
      <c r="AD334" s="3">
        <f>IF($C334="",0,SUMPRODUCT((AY_SONU!$O$7:$O$42="Evet")*(AY_SONU!$B$7:$B$42=DATE(YEAR($C334),MONTH($C334),1))))</f>
        <v/>
      </c>
    </row>
    <row r="335">
      <c r="A335" s="6" t="n"/>
      <c r="B335" s="113">
        <f>IF($C335="","","GG"&amp;TEXT(ROW()-6,"00000"))</f>
        <v/>
      </c>
      <c r="C335" s="220" t="n"/>
      <c r="D335" s="108" t="n"/>
      <c r="E335" s="109" t="n"/>
      <c r="F335" s="109" t="n"/>
      <c r="G335" s="221" t="n"/>
      <c r="H335" s="108" t="n"/>
      <c r="I335" s="108" t="n"/>
      <c r="J335" s="109" t="n"/>
      <c r="K335" s="109" t="n"/>
      <c r="L335" s="108" t="n"/>
      <c r="M335" s="121">
        <f>IF($C335="","",IF($D335="Gider",$E335,IF($L335&lt;&gt;"",$L335,$H335)))</f>
        <v/>
      </c>
      <c r="N335" s="121">
        <f>IF($C335="","",IF($D335="Gider",$H335,$E335))</f>
        <v/>
      </c>
      <c r="O335" s="226">
        <f>IF($C335="","",DATE(YEAR($C335),MONTH($C335),1))</f>
        <v/>
      </c>
      <c r="P335" s="113">
        <f>IF($C335="","",IF(AND($D335="Gelir",$L335&lt;&gt;"",$T335=""),"TANIMSIZ BORÇLU",IF($T335&lt;&gt;"",IF(OR($E335="",$G335&lt;=0),"EKSİK",IF($I335="Evet","TAHAKKUK NAKİT OLAMAZ",IF($C335&gt;TODAY(),"İLERİ TARİH","TAHAKKUK"))),IF(AND($D335&lt;&gt;"",$E335&lt;&gt;"",$G335&gt;0,$H335&lt;&gt;"",$I335&lt;&gt;""),IF($C335&gt;TODAY(),"İLERİ TARİH",IF(COUNTIF($W$7:$W$1206,$W335)&gt;1,"MÜKERRER?",IF($AD335&gt;0,"KAPALI DÖNEM",IF($I335="Hayır","ÖDENECEK","UYGUN")))),"EKSİK"))))</f>
        <v/>
      </c>
      <c r="Q335" s="6" t="n"/>
      <c r="R335" s="6" t="n"/>
      <c r="S335" s="3">
        <f>IF($L335="","",UPPER(SUBSTITUTE(SUBSTITUTE(SUBSTITUTE(SUBSTITUTE(SUBSTITUTE(SUBSTITUTE(SUBSTITUTE(SUBSTITUTE(SUBSTITUTE(SUBSTITUTE(SUBSTITUTE(SUBSTITUTE(SUBSTITUTE(SUBSTITUTE(SUBSTITUTE(SUBSTITUTE(SUBSTITUTE(SUBSTITUTE(TRIM($L335),"'",""),"İ","I"),"ı","I"),"i","I"),"Ş","S"),"ş","S"),"Ğ","G"),"ğ","G"),"Ü","U"),"ü","U"),"Ö","O"),"ö","O"),"Ç","C"),"ç","C"),".",""),",","")," ",""),"-","")))</f>
        <v/>
      </c>
      <c r="T335" s="3">
        <f>IF(OR($C335="",$D335&lt;&gt;"Gelir",$L335=""),"",IFERROR(INDEX(MUSTERILER!$B$7:$B$106,MATCH($S335,MUSTERILER!$T$7:$T$106,0)),""))</f>
        <v/>
      </c>
      <c r="U335" s="3">
        <f>IF($T335="","",$T335&amp;"|"&amp;COUNTIFS($T$7:$T335,$T335))</f>
        <v/>
      </c>
      <c r="V335" s="3">
        <f>IF($T335="",0,1)</f>
        <v/>
      </c>
      <c r="W335" s="3">
        <f>IF($C335="","",$D335&amp;"|"&amp;$E335&amp;"|"&amp;TEXT($C335,"0")&amp;"|"&amp;TEXT($G335,"0")&amp;"|"&amp;$J335)</f>
        <v/>
      </c>
      <c r="X335" s="3" t="n"/>
      <c r="Y335" s="3" t="n"/>
      <c r="Z335" s="3" t="n"/>
      <c r="AA335" s="3" t="n"/>
      <c r="AB335" s="3" t="n"/>
      <c r="AC335" s="3" t="n"/>
      <c r="AD335" s="3">
        <f>IF($C335="",0,SUMPRODUCT((AY_SONU!$O$7:$O$42="Evet")*(AY_SONU!$B$7:$B$42=DATE(YEAR($C335),MONTH($C335),1))))</f>
        <v/>
      </c>
    </row>
    <row r="336">
      <c r="A336" s="6" t="n"/>
      <c r="B336" s="113">
        <f>IF($C336="","","GG"&amp;TEXT(ROW()-6,"00000"))</f>
        <v/>
      </c>
      <c r="C336" s="220" t="n"/>
      <c r="D336" s="108" t="n"/>
      <c r="E336" s="109" t="n"/>
      <c r="F336" s="109" t="n"/>
      <c r="G336" s="221" t="n"/>
      <c r="H336" s="108" t="n"/>
      <c r="I336" s="108" t="n"/>
      <c r="J336" s="109" t="n"/>
      <c r="K336" s="109" t="n"/>
      <c r="L336" s="108" t="n"/>
      <c r="M336" s="121">
        <f>IF($C336="","",IF($D336="Gider",$E336,IF($L336&lt;&gt;"",$L336,$H336)))</f>
        <v/>
      </c>
      <c r="N336" s="121">
        <f>IF($C336="","",IF($D336="Gider",$H336,$E336))</f>
        <v/>
      </c>
      <c r="O336" s="226">
        <f>IF($C336="","",DATE(YEAR($C336),MONTH($C336),1))</f>
        <v/>
      </c>
      <c r="P336" s="113">
        <f>IF($C336="","",IF(AND($D336="Gelir",$L336&lt;&gt;"",$T336=""),"TANIMSIZ BORÇLU",IF($T336&lt;&gt;"",IF(OR($E336="",$G336&lt;=0),"EKSİK",IF($I336="Evet","TAHAKKUK NAKİT OLAMAZ",IF($C336&gt;TODAY(),"İLERİ TARİH","TAHAKKUK"))),IF(AND($D336&lt;&gt;"",$E336&lt;&gt;"",$G336&gt;0,$H336&lt;&gt;"",$I336&lt;&gt;""),IF($C336&gt;TODAY(),"İLERİ TARİH",IF(COUNTIF($W$7:$W$1206,$W336)&gt;1,"MÜKERRER?",IF($AD336&gt;0,"KAPALI DÖNEM",IF($I336="Hayır","ÖDENECEK","UYGUN")))),"EKSİK"))))</f>
        <v/>
      </c>
      <c r="Q336" s="6" t="n"/>
      <c r="R336" s="6" t="n"/>
      <c r="S336" s="3">
        <f>IF($L336="","",UPPER(SUBSTITUTE(SUBSTITUTE(SUBSTITUTE(SUBSTITUTE(SUBSTITUTE(SUBSTITUTE(SUBSTITUTE(SUBSTITUTE(SUBSTITUTE(SUBSTITUTE(SUBSTITUTE(SUBSTITUTE(SUBSTITUTE(SUBSTITUTE(SUBSTITUTE(SUBSTITUTE(SUBSTITUTE(SUBSTITUTE(TRIM($L336),"'",""),"İ","I"),"ı","I"),"i","I"),"Ş","S"),"ş","S"),"Ğ","G"),"ğ","G"),"Ü","U"),"ü","U"),"Ö","O"),"ö","O"),"Ç","C"),"ç","C"),".",""),",","")," ",""),"-","")))</f>
        <v/>
      </c>
      <c r="T336" s="3">
        <f>IF(OR($C336="",$D336&lt;&gt;"Gelir",$L336=""),"",IFERROR(INDEX(MUSTERILER!$B$7:$B$106,MATCH($S336,MUSTERILER!$T$7:$T$106,0)),""))</f>
        <v/>
      </c>
      <c r="U336" s="3">
        <f>IF($T336="","",$T336&amp;"|"&amp;COUNTIFS($T$7:$T336,$T336))</f>
        <v/>
      </c>
      <c r="V336" s="3">
        <f>IF($T336="",0,1)</f>
        <v/>
      </c>
      <c r="W336" s="3">
        <f>IF($C336="","",$D336&amp;"|"&amp;$E336&amp;"|"&amp;TEXT($C336,"0")&amp;"|"&amp;TEXT($G336,"0")&amp;"|"&amp;$J336)</f>
        <v/>
      </c>
      <c r="X336" s="3" t="n"/>
      <c r="Y336" s="3" t="n"/>
      <c r="Z336" s="3" t="n"/>
      <c r="AA336" s="3" t="n"/>
      <c r="AB336" s="3" t="n"/>
      <c r="AC336" s="3" t="n"/>
      <c r="AD336" s="3">
        <f>IF($C336="",0,SUMPRODUCT((AY_SONU!$O$7:$O$42="Evet")*(AY_SONU!$B$7:$B$42=DATE(YEAR($C336),MONTH($C336),1))))</f>
        <v/>
      </c>
    </row>
    <row r="337">
      <c r="A337" s="6" t="n"/>
      <c r="B337" s="113">
        <f>IF($C337="","","GG"&amp;TEXT(ROW()-6,"00000"))</f>
        <v/>
      </c>
      <c r="C337" s="220" t="n"/>
      <c r="D337" s="108" t="n"/>
      <c r="E337" s="109" t="n"/>
      <c r="F337" s="109" t="n"/>
      <c r="G337" s="221" t="n"/>
      <c r="H337" s="108" t="n"/>
      <c r="I337" s="108" t="n"/>
      <c r="J337" s="109" t="n"/>
      <c r="K337" s="109" t="n"/>
      <c r="L337" s="108" t="n"/>
      <c r="M337" s="121">
        <f>IF($C337="","",IF($D337="Gider",$E337,IF($L337&lt;&gt;"",$L337,$H337)))</f>
        <v/>
      </c>
      <c r="N337" s="121">
        <f>IF($C337="","",IF($D337="Gider",$H337,$E337))</f>
        <v/>
      </c>
      <c r="O337" s="226">
        <f>IF($C337="","",DATE(YEAR($C337),MONTH($C337),1))</f>
        <v/>
      </c>
      <c r="P337" s="113">
        <f>IF($C337="","",IF(AND($D337="Gelir",$L337&lt;&gt;"",$T337=""),"TANIMSIZ BORÇLU",IF($T337&lt;&gt;"",IF(OR($E337="",$G337&lt;=0),"EKSİK",IF($I337="Evet","TAHAKKUK NAKİT OLAMAZ",IF($C337&gt;TODAY(),"İLERİ TARİH","TAHAKKUK"))),IF(AND($D337&lt;&gt;"",$E337&lt;&gt;"",$G337&gt;0,$H337&lt;&gt;"",$I337&lt;&gt;""),IF($C337&gt;TODAY(),"İLERİ TARİH",IF(COUNTIF($W$7:$W$1206,$W337)&gt;1,"MÜKERRER?",IF($AD337&gt;0,"KAPALI DÖNEM",IF($I337="Hayır","ÖDENECEK","UYGUN")))),"EKSİK"))))</f>
        <v/>
      </c>
      <c r="Q337" s="6" t="n"/>
      <c r="R337" s="6" t="n"/>
      <c r="S337" s="3">
        <f>IF($L337="","",UPPER(SUBSTITUTE(SUBSTITUTE(SUBSTITUTE(SUBSTITUTE(SUBSTITUTE(SUBSTITUTE(SUBSTITUTE(SUBSTITUTE(SUBSTITUTE(SUBSTITUTE(SUBSTITUTE(SUBSTITUTE(SUBSTITUTE(SUBSTITUTE(SUBSTITUTE(SUBSTITUTE(SUBSTITUTE(SUBSTITUTE(TRIM($L337),"'",""),"İ","I"),"ı","I"),"i","I"),"Ş","S"),"ş","S"),"Ğ","G"),"ğ","G"),"Ü","U"),"ü","U"),"Ö","O"),"ö","O"),"Ç","C"),"ç","C"),".",""),",","")," ",""),"-","")))</f>
        <v/>
      </c>
      <c r="T337" s="3">
        <f>IF(OR($C337="",$D337&lt;&gt;"Gelir",$L337=""),"",IFERROR(INDEX(MUSTERILER!$B$7:$B$106,MATCH($S337,MUSTERILER!$T$7:$T$106,0)),""))</f>
        <v/>
      </c>
      <c r="U337" s="3">
        <f>IF($T337="","",$T337&amp;"|"&amp;COUNTIFS($T$7:$T337,$T337))</f>
        <v/>
      </c>
      <c r="V337" s="3">
        <f>IF($T337="",0,1)</f>
        <v/>
      </c>
      <c r="W337" s="3">
        <f>IF($C337="","",$D337&amp;"|"&amp;$E337&amp;"|"&amp;TEXT($C337,"0")&amp;"|"&amp;TEXT($G337,"0")&amp;"|"&amp;$J337)</f>
        <v/>
      </c>
      <c r="X337" s="3" t="n"/>
      <c r="Y337" s="3" t="n"/>
      <c r="Z337" s="3" t="n"/>
      <c r="AA337" s="3" t="n"/>
      <c r="AB337" s="3" t="n"/>
      <c r="AC337" s="3" t="n"/>
      <c r="AD337" s="3">
        <f>IF($C337="",0,SUMPRODUCT((AY_SONU!$O$7:$O$42="Evet")*(AY_SONU!$B$7:$B$42=DATE(YEAR($C337),MONTH($C337),1))))</f>
        <v/>
      </c>
    </row>
    <row r="338">
      <c r="A338" s="6" t="n"/>
      <c r="B338" s="113">
        <f>IF($C338="","","GG"&amp;TEXT(ROW()-6,"00000"))</f>
        <v/>
      </c>
      <c r="C338" s="220" t="n"/>
      <c r="D338" s="108" t="n"/>
      <c r="E338" s="109" t="n"/>
      <c r="F338" s="109" t="n"/>
      <c r="G338" s="221" t="n"/>
      <c r="H338" s="108" t="n"/>
      <c r="I338" s="108" t="n"/>
      <c r="J338" s="109" t="n"/>
      <c r="K338" s="109" t="n"/>
      <c r="L338" s="108" t="n"/>
      <c r="M338" s="121">
        <f>IF($C338="","",IF($D338="Gider",$E338,IF($L338&lt;&gt;"",$L338,$H338)))</f>
        <v/>
      </c>
      <c r="N338" s="121">
        <f>IF($C338="","",IF($D338="Gider",$H338,$E338))</f>
        <v/>
      </c>
      <c r="O338" s="226">
        <f>IF($C338="","",DATE(YEAR($C338),MONTH($C338),1))</f>
        <v/>
      </c>
      <c r="P338" s="113">
        <f>IF($C338="","",IF(AND($D338="Gelir",$L338&lt;&gt;"",$T338=""),"TANIMSIZ BORÇLU",IF($T338&lt;&gt;"",IF(OR($E338="",$G338&lt;=0),"EKSİK",IF($I338="Evet","TAHAKKUK NAKİT OLAMAZ",IF($C338&gt;TODAY(),"İLERİ TARİH","TAHAKKUK"))),IF(AND($D338&lt;&gt;"",$E338&lt;&gt;"",$G338&gt;0,$H338&lt;&gt;"",$I338&lt;&gt;""),IF($C338&gt;TODAY(),"İLERİ TARİH",IF(COUNTIF($W$7:$W$1206,$W338)&gt;1,"MÜKERRER?",IF($AD338&gt;0,"KAPALI DÖNEM",IF($I338="Hayır","ÖDENECEK","UYGUN")))),"EKSİK"))))</f>
        <v/>
      </c>
      <c r="Q338" s="6" t="n"/>
      <c r="R338" s="6" t="n"/>
      <c r="S338" s="3">
        <f>IF($L338="","",UPPER(SUBSTITUTE(SUBSTITUTE(SUBSTITUTE(SUBSTITUTE(SUBSTITUTE(SUBSTITUTE(SUBSTITUTE(SUBSTITUTE(SUBSTITUTE(SUBSTITUTE(SUBSTITUTE(SUBSTITUTE(SUBSTITUTE(SUBSTITUTE(SUBSTITUTE(SUBSTITUTE(SUBSTITUTE(SUBSTITUTE(TRIM($L338),"'",""),"İ","I"),"ı","I"),"i","I"),"Ş","S"),"ş","S"),"Ğ","G"),"ğ","G"),"Ü","U"),"ü","U"),"Ö","O"),"ö","O"),"Ç","C"),"ç","C"),".",""),",","")," ",""),"-","")))</f>
        <v/>
      </c>
      <c r="T338" s="3">
        <f>IF(OR($C338="",$D338&lt;&gt;"Gelir",$L338=""),"",IFERROR(INDEX(MUSTERILER!$B$7:$B$106,MATCH($S338,MUSTERILER!$T$7:$T$106,0)),""))</f>
        <v/>
      </c>
      <c r="U338" s="3">
        <f>IF($T338="","",$T338&amp;"|"&amp;COUNTIFS($T$7:$T338,$T338))</f>
        <v/>
      </c>
      <c r="V338" s="3">
        <f>IF($T338="",0,1)</f>
        <v/>
      </c>
      <c r="W338" s="3">
        <f>IF($C338="","",$D338&amp;"|"&amp;$E338&amp;"|"&amp;TEXT($C338,"0")&amp;"|"&amp;TEXT($G338,"0")&amp;"|"&amp;$J338)</f>
        <v/>
      </c>
      <c r="X338" s="3" t="n"/>
      <c r="Y338" s="3" t="n"/>
      <c r="Z338" s="3" t="n"/>
      <c r="AA338" s="3" t="n"/>
      <c r="AB338" s="3" t="n"/>
      <c r="AC338" s="3" t="n"/>
      <c r="AD338" s="3">
        <f>IF($C338="",0,SUMPRODUCT((AY_SONU!$O$7:$O$42="Evet")*(AY_SONU!$B$7:$B$42=DATE(YEAR($C338),MONTH($C338),1))))</f>
        <v/>
      </c>
    </row>
    <row r="339">
      <c r="A339" s="6" t="n"/>
      <c r="B339" s="113">
        <f>IF($C339="","","GG"&amp;TEXT(ROW()-6,"00000"))</f>
        <v/>
      </c>
      <c r="C339" s="220" t="n"/>
      <c r="D339" s="108" t="n"/>
      <c r="E339" s="109" t="n"/>
      <c r="F339" s="109" t="n"/>
      <c r="G339" s="221" t="n"/>
      <c r="H339" s="108" t="n"/>
      <c r="I339" s="108" t="n"/>
      <c r="J339" s="109" t="n"/>
      <c r="K339" s="109" t="n"/>
      <c r="L339" s="108" t="n"/>
      <c r="M339" s="121">
        <f>IF($C339="","",IF($D339="Gider",$E339,IF($L339&lt;&gt;"",$L339,$H339)))</f>
        <v/>
      </c>
      <c r="N339" s="121">
        <f>IF($C339="","",IF($D339="Gider",$H339,$E339))</f>
        <v/>
      </c>
      <c r="O339" s="226">
        <f>IF($C339="","",DATE(YEAR($C339),MONTH($C339),1))</f>
        <v/>
      </c>
      <c r="P339" s="113">
        <f>IF($C339="","",IF(AND($D339="Gelir",$L339&lt;&gt;"",$T339=""),"TANIMSIZ BORÇLU",IF($T339&lt;&gt;"",IF(OR($E339="",$G339&lt;=0),"EKSİK",IF($I339="Evet","TAHAKKUK NAKİT OLAMAZ",IF($C339&gt;TODAY(),"İLERİ TARİH","TAHAKKUK"))),IF(AND($D339&lt;&gt;"",$E339&lt;&gt;"",$G339&gt;0,$H339&lt;&gt;"",$I339&lt;&gt;""),IF($C339&gt;TODAY(),"İLERİ TARİH",IF(COUNTIF($W$7:$W$1206,$W339)&gt;1,"MÜKERRER?",IF($AD339&gt;0,"KAPALI DÖNEM",IF($I339="Hayır","ÖDENECEK","UYGUN")))),"EKSİK"))))</f>
        <v/>
      </c>
      <c r="Q339" s="6" t="n"/>
      <c r="R339" s="6" t="n"/>
      <c r="S339" s="3">
        <f>IF($L339="","",UPPER(SUBSTITUTE(SUBSTITUTE(SUBSTITUTE(SUBSTITUTE(SUBSTITUTE(SUBSTITUTE(SUBSTITUTE(SUBSTITUTE(SUBSTITUTE(SUBSTITUTE(SUBSTITUTE(SUBSTITUTE(SUBSTITUTE(SUBSTITUTE(SUBSTITUTE(SUBSTITUTE(SUBSTITUTE(SUBSTITUTE(TRIM($L339),"'",""),"İ","I"),"ı","I"),"i","I"),"Ş","S"),"ş","S"),"Ğ","G"),"ğ","G"),"Ü","U"),"ü","U"),"Ö","O"),"ö","O"),"Ç","C"),"ç","C"),".",""),",","")," ",""),"-","")))</f>
        <v/>
      </c>
      <c r="T339" s="3">
        <f>IF(OR($C339="",$D339&lt;&gt;"Gelir",$L339=""),"",IFERROR(INDEX(MUSTERILER!$B$7:$B$106,MATCH($S339,MUSTERILER!$T$7:$T$106,0)),""))</f>
        <v/>
      </c>
      <c r="U339" s="3">
        <f>IF($T339="","",$T339&amp;"|"&amp;COUNTIFS($T$7:$T339,$T339))</f>
        <v/>
      </c>
      <c r="V339" s="3">
        <f>IF($T339="",0,1)</f>
        <v/>
      </c>
      <c r="W339" s="3">
        <f>IF($C339="","",$D339&amp;"|"&amp;$E339&amp;"|"&amp;TEXT($C339,"0")&amp;"|"&amp;TEXT($G339,"0")&amp;"|"&amp;$J339)</f>
        <v/>
      </c>
      <c r="X339" s="3" t="n"/>
      <c r="Y339" s="3" t="n"/>
      <c r="Z339" s="3" t="n"/>
      <c r="AA339" s="3" t="n"/>
      <c r="AB339" s="3" t="n"/>
      <c r="AC339" s="3" t="n"/>
      <c r="AD339" s="3">
        <f>IF($C339="",0,SUMPRODUCT((AY_SONU!$O$7:$O$42="Evet")*(AY_SONU!$B$7:$B$42=DATE(YEAR($C339),MONTH($C339),1))))</f>
        <v/>
      </c>
    </row>
    <row r="340">
      <c r="A340" s="6" t="n"/>
      <c r="B340" s="113">
        <f>IF($C340="","","GG"&amp;TEXT(ROW()-6,"00000"))</f>
        <v/>
      </c>
      <c r="C340" s="220" t="n"/>
      <c r="D340" s="108" t="n"/>
      <c r="E340" s="109" t="n"/>
      <c r="F340" s="109" t="n"/>
      <c r="G340" s="221" t="n"/>
      <c r="H340" s="108" t="n"/>
      <c r="I340" s="108" t="n"/>
      <c r="J340" s="109" t="n"/>
      <c r="K340" s="109" t="n"/>
      <c r="L340" s="108" t="n"/>
      <c r="M340" s="121">
        <f>IF($C340="","",IF($D340="Gider",$E340,IF($L340&lt;&gt;"",$L340,$H340)))</f>
        <v/>
      </c>
      <c r="N340" s="121">
        <f>IF($C340="","",IF($D340="Gider",$H340,$E340))</f>
        <v/>
      </c>
      <c r="O340" s="226">
        <f>IF($C340="","",DATE(YEAR($C340),MONTH($C340),1))</f>
        <v/>
      </c>
      <c r="P340" s="113">
        <f>IF($C340="","",IF(AND($D340="Gelir",$L340&lt;&gt;"",$T340=""),"TANIMSIZ BORÇLU",IF($T340&lt;&gt;"",IF(OR($E340="",$G340&lt;=0),"EKSİK",IF($I340="Evet","TAHAKKUK NAKİT OLAMAZ",IF($C340&gt;TODAY(),"İLERİ TARİH","TAHAKKUK"))),IF(AND($D340&lt;&gt;"",$E340&lt;&gt;"",$G340&gt;0,$H340&lt;&gt;"",$I340&lt;&gt;""),IF($C340&gt;TODAY(),"İLERİ TARİH",IF(COUNTIF($W$7:$W$1206,$W340)&gt;1,"MÜKERRER?",IF($AD340&gt;0,"KAPALI DÖNEM",IF($I340="Hayır","ÖDENECEK","UYGUN")))),"EKSİK"))))</f>
        <v/>
      </c>
      <c r="Q340" s="6" t="n"/>
      <c r="R340" s="6" t="n"/>
      <c r="S340" s="3">
        <f>IF($L340="","",UPPER(SUBSTITUTE(SUBSTITUTE(SUBSTITUTE(SUBSTITUTE(SUBSTITUTE(SUBSTITUTE(SUBSTITUTE(SUBSTITUTE(SUBSTITUTE(SUBSTITUTE(SUBSTITUTE(SUBSTITUTE(SUBSTITUTE(SUBSTITUTE(SUBSTITUTE(SUBSTITUTE(SUBSTITUTE(SUBSTITUTE(TRIM($L340),"'",""),"İ","I"),"ı","I"),"i","I"),"Ş","S"),"ş","S"),"Ğ","G"),"ğ","G"),"Ü","U"),"ü","U"),"Ö","O"),"ö","O"),"Ç","C"),"ç","C"),".",""),",","")," ",""),"-","")))</f>
        <v/>
      </c>
      <c r="T340" s="3">
        <f>IF(OR($C340="",$D340&lt;&gt;"Gelir",$L340=""),"",IFERROR(INDEX(MUSTERILER!$B$7:$B$106,MATCH($S340,MUSTERILER!$T$7:$T$106,0)),""))</f>
        <v/>
      </c>
      <c r="U340" s="3">
        <f>IF($T340="","",$T340&amp;"|"&amp;COUNTIFS($T$7:$T340,$T340))</f>
        <v/>
      </c>
      <c r="V340" s="3">
        <f>IF($T340="",0,1)</f>
        <v/>
      </c>
      <c r="W340" s="3">
        <f>IF($C340="","",$D340&amp;"|"&amp;$E340&amp;"|"&amp;TEXT($C340,"0")&amp;"|"&amp;TEXT($G340,"0")&amp;"|"&amp;$J340)</f>
        <v/>
      </c>
      <c r="X340" s="3" t="n"/>
      <c r="Y340" s="3" t="n"/>
      <c r="Z340" s="3" t="n"/>
      <c r="AA340" s="3" t="n"/>
      <c r="AB340" s="3" t="n"/>
      <c r="AC340" s="3" t="n"/>
      <c r="AD340" s="3">
        <f>IF($C340="",0,SUMPRODUCT((AY_SONU!$O$7:$O$42="Evet")*(AY_SONU!$B$7:$B$42=DATE(YEAR($C340),MONTH($C340),1))))</f>
        <v/>
      </c>
    </row>
    <row r="341">
      <c r="A341" s="6" t="n"/>
      <c r="B341" s="113">
        <f>IF($C341="","","GG"&amp;TEXT(ROW()-6,"00000"))</f>
        <v/>
      </c>
      <c r="C341" s="220" t="n"/>
      <c r="D341" s="108" t="n"/>
      <c r="E341" s="109" t="n"/>
      <c r="F341" s="109" t="n"/>
      <c r="G341" s="221" t="n"/>
      <c r="H341" s="108" t="n"/>
      <c r="I341" s="108" t="n"/>
      <c r="J341" s="109" t="n"/>
      <c r="K341" s="109" t="n"/>
      <c r="L341" s="108" t="n"/>
      <c r="M341" s="121">
        <f>IF($C341="","",IF($D341="Gider",$E341,IF($L341&lt;&gt;"",$L341,$H341)))</f>
        <v/>
      </c>
      <c r="N341" s="121">
        <f>IF($C341="","",IF($D341="Gider",$H341,$E341))</f>
        <v/>
      </c>
      <c r="O341" s="226">
        <f>IF($C341="","",DATE(YEAR($C341),MONTH($C341),1))</f>
        <v/>
      </c>
      <c r="P341" s="113">
        <f>IF($C341="","",IF(AND($D341="Gelir",$L341&lt;&gt;"",$T341=""),"TANIMSIZ BORÇLU",IF($T341&lt;&gt;"",IF(OR($E341="",$G341&lt;=0),"EKSİK",IF($I341="Evet","TAHAKKUK NAKİT OLAMAZ",IF($C341&gt;TODAY(),"İLERİ TARİH","TAHAKKUK"))),IF(AND($D341&lt;&gt;"",$E341&lt;&gt;"",$G341&gt;0,$H341&lt;&gt;"",$I341&lt;&gt;""),IF($C341&gt;TODAY(),"İLERİ TARİH",IF(COUNTIF($W$7:$W$1206,$W341)&gt;1,"MÜKERRER?",IF($AD341&gt;0,"KAPALI DÖNEM",IF($I341="Hayır","ÖDENECEK","UYGUN")))),"EKSİK"))))</f>
        <v/>
      </c>
      <c r="Q341" s="6" t="n"/>
      <c r="R341" s="6" t="n"/>
      <c r="S341" s="3">
        <f>IF($L341="","",UPPER(SUBSTITUTE(SUBSTITUTE(SUBSTITUTE(SUBSTITUTE(SUBSTITUTE(SUBSTITUTE(SUBSTITUTE(SUBSTITUTE(SUBSTITUTE(SUBSTITUTE(SUBSTITUTE(SUBSTITUTE(SUBSTITUTE(SUBSTITUTE(SUBSTITUTE(SUBSTITUTE(SUBSTITUTE(SUBSTITUTE(TRIM($L341),"'",""),"İ","I"),"ı","I"),"i","I"),"Ş","S"),"ş","S"),"Ğ","G"),"ğ","G"),"Ü","U"),"ü","U"),"Ö","O"),"ö","O"),"Ç","C"),"ç","C"),".",""),",","")," ",""),"-","")))</f>
        <v/>
      </c>
      <c r="T341" s="3">
        <f>IF(OR($C341="",$D341&lt;&gt;"Gelir",$L341=""),"",IFERROR(INDEX(MUSTERILER!$B$7:$B$106,MATCH($S341,MUSTERILER!$T$7:$T$106,0)),""))</f>
        <v/>
      </c>
      <c r="U341" s="3">
        <f>IF($T341="","",$T341&amp;"|"&amp;COUNTIFS($T$7:$T341,$T341))</f>
        <v/>
      </c>
      <c r="V341" s="3">
        <f>IF($T341="",0,1)</f>
        <v/>
      </c>
      <c r="W341" s="3">
        <f>IF($C341="","",$D341&amp;"|"&amp;$E341&amp;"|"&amp;TEXT($C341,"0")&amp;"|"&amp;TEXT($G341,"0")&amp;"|"&amp;$J341)</f>
        <v/>
      </c>
      <c r="X341" s="3" t="n"/>
      <c r="Y341" s="3" t="n"/>
      <c r="Z341" s="3" t="n"/>
      <c r="AA341" s="3" t="n"/>
      <c r="AB341" s="3" t="n"/>
      <c r="AC341" s="3" t="n"/>
      <c r="AD341" s="3">
        <f>IF($C341="",0,SUMPRODUCT((AY_SONU!$O$7:$O$42="Evet")*(AY_SONU!$B$7:$B$42=DATE(YEAR($C341),MONTH($C341),1))))</f>
        <v/>
      </c>
    </row>
    <row r="342">
      <c r="A342" s="6" t="n"/>
      <c r="B342" s="113">
        <f>IF($C342="","","GG"&amp;TEXT(ROW()-6,"00000"))</f>
        <v/>
      </c>
      <c r="C342" s="220" t="n"/>
      <c r="D342" s="108" t="n"/>
      <c r="E342" s="109" t="n"/>
      <c r="F342" s="109" t="n"/>
      <c r="G342" s="221" t="n"/>
      <c r="H342" s="108" t="n"/>
      <c r="I342" s="108" t="n"/>
      <c r="J342" s="109" t="n"/>
      <c r="K342" s="109" t="n"/>
      <c r="L342" s="108" t="n"/>
      <c r="M342" s="121">
        <f>IF($C342="","",IF($D342="Gider",$E342,IF($L342&lt;&gt;"",$L342,$H342)))</f>
        <v/>
      </c>
      <c r="N342" s="121">
        <f>IF($C342="","",IF($D342="Gider",$H342,$E342))</f>
        <v/>
      </c>
      <c r="O342" s="226">
        <f>IF($C342="","",DATE(YEAR($C342),MONTH($C342),1))</f>
        <v/>
      </c>
      <c r="P342" s="113">
        <f>IF($C342="","",IF(AND($D342="Gelir",$L342&lt;&gt;"",$T342=""),"TANIMSIZ BORÇLU",IF($T342&lt;&gt;"",IF(OR($E342="",$G342&lt;=0),"EKSİK",IF($I342="Evet","TAHAKKUK NAKİT OLAMAZ",IF($C342&gt;TODAY(),"İLERİ TARİH","TAHAKKUK"))),IF(AND($D342&lt;&gt;"",$E342&lt;&gt;"",$G342&gt;0,$H342&lt;&gt;"",$I342&lt;&gt;""),IF($C342&gt;TODAY(),"İLERİ TARİH",IF(COUNTIF($W$7:$W$1206,$W342)&gt;1,"MÜKERRER?",IF($AD342&gt;0,"KAPALI DÖNEM",IF($I342="Hayır","ÖDENECEK","UYGUN")))),"EKSİK"))))</f>
        <v/>
      </c>
      <c r="Q342" s="6" t="n"/>
      <c r="R342" s="6" t="n"/>
      <c r="S342" s="3">
        <f>IF($L342="","",UPPER(SUBSTITUTE(SUBSTITUTE(SUBSTITUTE(SUBSTITUTE(SUBSTITUTE(SUBSTITUTE(SUBSTITUTE(SUBSTITUTE(SUBSTITUTE(SUBSTITUTE(SUBSTITUTE(SUBSTITUTE(SUBSTITUTE(SUBSTITUTE(SUBSTITUTE(SUBSTITUTE(SUBSTITUTE(SUBSTITUTE(TRIM($L342),"'",""),"İ","I"),"ı","I"),"i","I"),"Ş","S"),"ş","S"),"Ğ","G"),"ğ","G"),"Ü","U"),"ü","U"),"Ö","O"),"ö","O"),"Ç","C"),"ç","C"),".",""),",","")," ",""),"-","")))</f>
        <v/>
      </c>
      <c r="T342" s="3">
        <f>IF(OR($C342="",$D342&lt;&gt;"Gelir",$L342=""),"",IFERROR(INDEX(MUSTERILER!$B$7:$B$106,MATCH($S342,MUSTERILER!$T$7:$T$106,0)),""))</f>
        <v/>
      </c>
      <c r="U342" s="3">
        <f>IF($T342="","",$T342&amp;"|"&amp;COUNTIFS($T$7:$T342,$T342))</f>
        <v/>
      </c>
      <c r="V342" s="3">
        <f>IF($T342="",0,1)</f>
        <v/>
      </c>
      <c r="W342" s="3">
        <f>IF($C342="","",$D342&amp;"|"&amp;$E342&amp;"|"&amp;TEXT($C342,"0")&amp;"|"&amp;TEXT($G342,"0")&amp;"|"&amp;$J342)</f>
        <v/>
      </c>
      <c r="X342" s="3" t="n"/>
      <c r="Y342" s="3" t="n"/>
      <c r="Z342" s="3" t="n"/>
      <c r="AA342" s="3" t="n"/>
      <c r="AB342" s="3" t="n"/>
      <c r="AC342" s="3" t="n"/>
      <c r="AD342" s="3">
        <f>IF($C342="",0,SUMPRODUCT((AY_SONU!$O$7:$O$42="Evet")*(AY_SONU!$B$7:$B$42=DATE(YEAR($C342),MONTH($C342),1))))</f>
        <v/>
      </c>
    </row>
    <row r="343">
      <c r="A343" s="6" t="n"/>
      <c r="B343" s="113">
        <f>IF($C343="","","GG"&amp;TEXT(ROW()-6,"00000"))</f>
        <v/>
      </c>
      <c r="C343" s="220" t="n"/>
      <c r="D343" s="108" t="n"/>
      <c r="E343" s="109" t="n"/>
      <c r="F343" s="109" t="n"/>
      <c r="G343" s="221" t="n"/>
      <c r="H343" s="108" t="n"/>
      <c r="I343" s="108" t="n"/>
      <c r="J343" s="109" t="n"/>
      <c r="K343" s="109" t="n"/>
      <c r="L343" s="108" t="n"/>
      <c r="M343" s="121">
        <f>IF($C343="","",IF($D343="Gider",$E343,IF($L343&lt;&gt;"",$L343,$H343)))</f>
        <v/>
      </c>
      <c r="N343" s="121">
        <f>IF($C343="","",IF($D343="Gider",$H343,$E343))</f>
        <v/>
      </c>
      <c r="O343" s="226">
        <f>IF($C343="","",DATE(YEAR($C343),MONTH($C343),1))</f>
        <v/>
      </c>
      <c r="P343" s="113">
        <f>IF($C343="","",IF(AND($D343="Gelir",$L343&lt;&gt;"",$T343=""),"TANIMSIZ BORÇLU",IF($T343&lt;&gt;"",IF(OR($E343="",$G343&lt;=0),"EKSİK",IF($I343="Evet","TAHAKKUK NAKİT OLAMAZ",IF($C343&gt;TODAY(),"İLERİ TARİH","TAHAKKUK"))),IF(AND($D343&lt;&gt;"",$E343&lt;&gt;"",$G343&gt;0,$H343&lt;&gt;"",$I343&lt;&gt;""),IF($C343&gt;TODAY(),"İLERİ TARİH",IF(COUNTIF($W$7:$W$1206,$W343)&gt;1,"MÜKERRER?",IF($AD343&gt;0,"KAPALI DÖNEM",IF($I343="Hayır","ÖDENECEK","UYGUN")))),"EKSİK"))))</f>
        <v/>
      </c>
      <c r="Q343" s="6" t="n"/>
      <c r="R343" s="6" t="n"/>
      <c r="S343" s="3">
        <f>IF($L343="","",UPPER(SUBSTITUTE(SUBSTITUTE(SUBSTITUTE(SUBSTITUTE(SUBSTITUTE(SUBSTITUTE(SUBSTITUTE(SUBSTITUTE(SUBSTITUTE(SUBSTITUTE(SUBSTITUTE(SUBSTITUTE(SUBSTITUTE(SUBSTITUTE(SUBSTITUTE(SUBSTITUTE(SUBSTITUTE(SUBSTITUTE(TRIM($L343),"'",""),"İ","I"),"ı","I"),"i","I"),"Ş","S"),"ş","S"),"Ğ","G"),"ğ","G"),"Ü","U"),"ü","U"),"Ö","O"),"ö","O"),"Ç","C"),"ç","C"),".",""),",","")," ",""),"-","")))</f>
        <v/>
      </c>
      <c r="T343" s="3">
        <f>IF(OR($C343="",$D343&lt;&gt;"Gelir",$L343=""),"",IFERROR(INDEX(MUSTERILER!$B$7:$B$106,MATCH($S343,MUSTERILER!$T$7:$T$106,0)),""))</f>
        <v/>
      </c>
      <c r="U343" s="3">
        <f>IF($T343="","",$T343&amp;"|"&amp;COUNTIFS($T$7:$T343,$T343))</f>
        <v/>
      </c>
      <c r="V343" s="3">
        <f>IF($T343="",0,1)</f>
        <v/>
      </c>
      <c r="W343" s="3">
        <f>IF($C343="","",$D343&amp;"|"&amp;$E343&amp;"|"&amp;TEXT($C343,"0")&amp;"|"&amp;TEXT($G343,"0")&amp;"|"&amp;$J343)</f>
        <v/>
      </c>
      <c r="X343" s="3" t="n"/>
      <c r="Y343" s="3" t="n"/>
      <c r="Z343" s="3" t="n"/>
      <c r="AA343" s="3" t="n"/>
      <c r="AB343" s="3" t="n"/>
      <c r="AC343" s="3" t="n"/>
      <c r="AD343" s="3">
        <f>IF($C343="",0,SUMPRODUCT((AY_SONU!$O$7:$O$42="Evet")*(AY_SONU!$B$7:$B$42=DATE(YEAR($C343),MONTH($C343),1))))</f>
        <v/>
      </c>
    </row>
    <row r="344">
      <c r="A344" s="6" t="n"/>
      <c r="B344" s="113">
        <f>IF($C344="","","GG"&amp;TEXT(ROW()-6,"00000"))</f>
        <v/>
      </c>
      <c r="C344" s="220" t="n"/>
      <c r="D344" s="108" t="n"/>
      <c r="E344" s="109" t="n"/>
      <c r="F344" s="109" t="n"/>
      <c r="G344" s="221" t="n"/>
      <c r="H344" s="108" t="n"/>
      <c r="I344" s="108" t="n"/>
      <c r="J344" s="109" t="n"/>
      <c r="K344" s="109" t="n"/>
      <c r="L344" s="108" t="n"/>
      <c r="M344" s="121">
        <f>IF($C344="","",IF($D344="Gider",$E344,IF($L344&lt;&gt;"",$L344,$H344)))</f>
        <v/>
      </c>
      <c r="N344" s="121">
        <f>IF($C344="","",IF($D344="Gider",$H344,$E344))</f>
        <v/>
      </c>
      <c r="O344" s="226">
        <f>IF($C344="","",DATE(YEAR($C344),MONTH($C344),1))</f>
        <v/>
      </c>
      <c r="P344" s="113">
        <f>IF($C344="","",IF(AND($D344="Gelir",$L344&lt;&gt;"",$T344=""),"TANIMSIZ BORÇLU",IF($T344&lt;&gt;"",IF(OR($E344="",$G344&lt;=0),"EKSİK",IF($I344="Evet","TAHAKKUK NAKİT OLAMAZ",IF($C344&gt;TODAY(),"İLERİ TARİH","TAHAKKUK"))),IF(AND($D344&lt;&gt;"",$E344&lt;&gt;"",$G344&gt;0,$H344&lt;&gt;"",$I344&lt;&gt;""),IF($C344&gt;TODAY(),"İLERİ TARİH",IF(COUNTIF($W$7:$W$1206,$W344)&gt;1,"MÜKERRER?",IF($AD344&gt;0,"KAPALI DÖNEM",IF($I344="Hayır","ÖDENECEK","UYGUN")))),"EKSİK"))))</f>
        <v/>
      </c>
      <c r="Q344" s="6" t="n"/>
      <c r="R344" s="6" t="n"/>
      <c r="S344" s="3">
        <f>IF($L344="","",UPPER(SUBSTITUTE(SUBSTITUTE(SUBSTITUTE(SUBSTITUTE(SUBSTITUTE(SUBSTITUTE(SUBSTITUTE(SUBSTITUTE(SUBSTITUTE(SUBSTITUTE(SUBSTITUTE(SUBSTITUTE(SUBSTITUTE(SUBSTITUTE(SUBSTITUTE(SUBSTITUTE(SUBSTITUTE(SUBSTITUTE(TRIM($L344),"'",""),"İ","I"),"ı","I"),"i","I"),"Ş","S"),"ş","S"),"Ğ","G"),"ğ","G"),"Ü","U"),"ü","U"),"Ö","O"),"ö","O"),"Ç","C"),"ç","C"),".",""),",","")," ",""),"-","")))</f>
        <v/>
      </c>
      <c r="T344" s="3">
        <f>IF(OR($C344="",$D344&lt;&gt;"Gelir",$L344=""),"",IFERROR(INDEX(MUSTERILER!$B$7:$B$106,MATCH($S344,MUSTERILER!$T$7:$T$106,0)),""))</f>
        <v/>
      </c>
      <c r="U344" s="3">
        <f>IF($T344="","",$T344&amp;"|"&amp;COUNTIFS($T$7:$T344,$T344))</f>
        <v/>
      </c>
      <c r="V344" s="3">
        <f>IF($T344="",0,1)</f>
        <v/>
      </c>
      <c r="W344" s="3">
        <f>IF($C344="","",$D344&amp;"|"&amp;$E344&amp;"|"&amp;TEXT($C344,"0")&amp;"|"&amp;TEXT($G344,"0")&amp;"|"&amp;$J344)</f>
        <v/>
      </c>
      <c r="X344" s="3" t="n"/>
      <c r="Y344" s="3" t="n"/>
      <c r="Z344" s="3" t="n"/>
      <c r="AA344" s="3" t="n"/>
      <c r="AB344" s="3" t="n"/>
      <c r="AC344" s="3" t="n"/>
      <c r="AD344" s="3">
        <f>IF($C344="",0,SUMPRODUCT((AY_SONU!$O$7:$O$42="Evet")*(AY_SONU!$B$7:$B$42=DATE(YEAR($C344),MONTH($C344),1))))</f>
        <v/>
      </c>
    </row>
    <row r="345">
      <c r="A345" s="6" t="n"/>
      <c r="B345" s="113">
        <f>IF($C345="","","GG"&amp;TEXT(ROW()-6,"00000"))</f>
        <v/>
      </c>
      <c r="C345" s="220" t="n"/>
      <c r="D345" s="108" t="n"/>
      <c r="E345" s="109" t="n"/>
      <c r="F345" s="109" t="n"/>
      <c r="G345" s="221" t="n"/>
      <c r="H345" s="108" t="n"/>
      <c r="I345" s="108" t="n"/>
      <c r="J345" s="109" t="n"/>
      <c r="K345" s="109" t="n"/>
      <c r="L345" s="108" t="n"/>
      <c r="M345" s="121">
        <f>IF($C345="","",IF($D345="Gider",$E345,IF($L345&lt;&gt;"",$L345,$H345)))</f>
        <v/>
      </c>
      <c r="N345" s="121">
        <f>IF($C345="","",IF($D345="Gider",$H345,$E345))</f>
        <v/>
      </c>
      <c r="O345" s="226">
        <f>IF($C345="","",DATE(YEAR($C345),MONTH($C345),1))</f>
        <v/>
      </c>
      <c r="P345" s="113">
        <f>IF($C345="","",IF(AND($D345="Gelir",$L345&lt;&gt;"",$T345=""),"TANIMSIZ BORÇLU",IF($T345&lt;&gt;"",IF(OR($E345="",$G345&lt;=0),"EKSİK",IF($I345="Evet","TAHAKKUK NAKİT OLAMAZ",IF($C345&gt;TODAY(),"İLERİ TARİH","TAHAKKUK"))),IF(AND($D345&lt;&gt;"",$E345&lt;&gt;"",$G345&gt;0,$H345&lt;&gt;"",$I345&lt;&gt;""),IF($C345&gt;TODAY(),"İLERİ TARİH",IF(COUNTIF($W$7:$W$1206,$W345)&gt;1,"MÜKERRER?",IF($AD345&gt;0,"KAPALI DÖNEM",IF($I345="Hayır","ÖDENECEK","UYGUN")))),"EKSİK"))))</f>
        <v/>
      </c>
      <c r="Q345" s="6" t="n"/>
      <c r="R345" s="6" t="n"/>
      <c r="S345" s="3">
        <f>IF($L345="","",UPPER(SUBSTITUTE(SUBSTITUTE(SUBSTITUTE(SUBSTITUTE(SUBSTITUTE(SUBSTITUTE(SUBSTITUTE(SUBSTITUTE(SUBSTITUTE(SUBSTITUTE(SUBSTITUTE(SUBSTITUTE(SUBSTITUTE(SUBSTITUTE(SUBSTITUTE(SUBSTITUTE(SUBSTITUTE(SUBSTITUTE(TRIM($L345),"'",""),"İ","I"),"ı","I"),"i","I"),"Ş","S"),"ş","S"),"Ğ","G"),"ğ","G"),"Ü","U"),"ü","U"),"Ö","O"),"ö","O"),"Ç","C"),"ç","C"),".",""),",","")," ",""),"-","")))</f>
        <v/>
      </c>
      <c r="T345" s="3">
        <f>IF(OR($C345="",$D345&lt;&gt;"Gelir",$L345=""),"",IFERROR(INDEX(MUSTERILER!$B$7:$B$106,MATCH($S345,MUSTERILER!$T$7:$T$106,0)),""))</f>
        <v/>
      </c>
      <c r="U345" s="3">
        <f>IF($T345="","",$T345&amp;"|"&amp;COUNTIFS($T$7:$T345,$T345))</f>
        <v/>
      </c>
      <c r="V345" s="3">
        <f>IF($T345="",0,1)</f>
        <v/>
      </c>
      <c r="W345" s="3">
        <f>IF($C345="","",$D345&amp;"|"&amp;$E345&amp;"|"&amp;TEXT($C345,"0")&amp;"|"&amp;TEXT($G345,"0")&amp;"|"&amp;$J345)</f>
        <v/>
      </c>
      <c r="X345" s="3" t="n"/>
      <c r="Y345" s="3" t="n"/>
      <c r="Z345" s="3" t="n"/>
      <c r="AA345" s="3" t="n"/>
      <c r="AB345" s="3" t="n"/>
      <c r="AC345" s="3" t="n"/>
      <c r="AD345" s="3">
        <f>IF($C345="",0,SUMPRODUCT((AY_SONU!$O$7:$O$42="Evet")*(AY_SONU!$B$7:$B$42=DATE(YEAR($C345),MONTH($C345),1))))</f>
        <v/>
      </c>
    </row>
    <row r="346">
      <c r="A346" s="6" t="n"/>
      <c r="B346" s="113">
        <f>IF($C346="","","GG"&amp;TEXT(ROW()-6,"00000"))</f>
        <v/>
      </c>
      <c r="C346" s="220" t="n"/>
      <c r="D346" s="108" t="n"/>
      <c r="E346" s="109" t="n"/>
      <c r="F346" s="109" t="n"/>
      <c r="G346" s="221" t="n"/>
      <c r="H346" s="108" t="n"/>
      <c r="I346" s="108" t="n"/>
      <c r="J346" s="109" t="n"/>
      <c r="K346" s="109" t="n"/>
      <c r="L346" s="108" t="n"/>
      <c r="M346" s="121">
        <f>IF($C346="","",IF($D346="Gider",$E346,IF($L346&lt;&gt;"",$L346,$H346)))</f>
        <v/>
      </c>
      <c r="N346" s="121">
        <f>IF($C346="","",IF($D346="Gider",$H346,$E346))</f>
        <v/>
      </c>
      <c r="O346" s="226">
        <f>IF($C346="","",DATE(YEAR($C346),MONTH($C346),1))</f>
        <v/>
      </c>
      <c r="P346" s="113">
        <f>IF($C346="","",IF(AND($D346="Gelir",$L346&lt;&gt;"",$T346=""),"TANIMSIZ BORÇLU",IF($T346&lt;&gt;"",IF(OR($E346="",$G346&lt;=0),"EKSİK",IF($I346="Evet","TAHAKKUK NAKİT OLAMAZ",IF($C346&gt;TODAY(),"İLERİ TARİH","TAHAKKUK"))),IF(AND($D346&lt;&gt;"",$E346&lt;&gt;"",$G346&gt;0,$H346&lt;&gt;"",$I346&lt;&gt;""),IF($C346&gt;TODAY(),"İLERİ TARİH",IF(COUNTIF($W$7:$W$1206,$W346)&gt;1,"MÜKERRER?",IF($AD346&gt;0,"KAPALI DÖNEM",IF($I346="Hayır","ÖDENECEK","UYGUN")))),"EKSİK"))))</f>
        <v/>
      </c>
      <c r="Q346" s="6" t="n"/>
      <c r="R346" s="6" t="n"/>
      <c r="S346" s="3">
        <f>IF($L346="","",UPPER(SUBSTITUTE(SUBSTITUTE(SUBSTITUTE(SUBSTITUTE(SUBSTITUTE(SUBSTITUTE(SUBSTITUTE(SUBSTITUTE(SUBSTITUTE(SUBSTITUTE(SUBSTITUTE(SUBSTITUTE(SUBSTITUTE(SUBSTITUTE(SUBSTITUTE(SUBSTITUTE(SUBSTITUTE(SUBSTITUTE(TRIM($L346),"'",""),"İ","I"),"ı","I"),"i","I"),"Ş","S"),"ş","S"),"Ğ","G"),"ğ","G"),"Ü","U"),"ü","U"),"Ö","O"),"ö","O"),"Ç","C"),"ç","C"),".",""),",","")," ",""),"-","")))</f>
        <v/>
      </c>
      <c r="T346" s="3">
        <f>IF(OR($C346="",$D346&lt;&gt;"Gelir",$L346=""),"",IFERROR(INDEX(MUSTERILER!$B$7:$B$106,MATCH($S346,MUSTERILER!$T$7:$T$106,0)),""))</f>
        <v/>
      </c>
      <c r="U346" s="3">
        <f>IF($T346="","",$T346&amp;"|"&amp;COUNTIFS($T$7:$T346,$T346))</f>
        <v/>
      </c>
      <c r="V346" s="3">
        <f>IF($T346="",0,1)</f>
        <v/>
      </c>
      <c r="W346" s="3">
        <f>IF($C346="","",$D346&amp;"|"&amp;$E346&amp;"|"&amp;TEXT($C346,"0")&amp;"|"&amp;TEXT($G346,"0")&amp;"|"&amp;$J346)</f>
        <v/>
      </c>
      <c r="X346" s="3" t="n"/>
      <c r="Y346" s="3" t="n"/>
      <c r="Z346" s="3" t="n"/>
      <c r="AA346" s="3" t="n"/>
      <c r="AB346" s="3" t="n"/>
      <c r="AC346" s="3" t="n"/>
      <c r="AD346" s="3">
        <f>IF($C346="",0,SUMPRODUCT((AY_SONU!$O$7:$O$42="Evet")*(AY_SONU!$B$7:$B$42=DATE(YEAR($C346),MONTH($C346),1))))</f>
        <v/>
      </c>
    </row>
    <row r="347">
      <c r="A347" s="6" t="n"/>
      <c r="B347" s="113">
        <f>IF($C347="","","GG"&amp;TEXT(ROW()-6,"00000"))</f>
        <v/>
      </c>
      <c r="C347" s="220" t="n"/>
      <c r="D347" s="108" t="n"/>
      <c r="E347" s="109" t="n"/>
      <c r="F347" s="109" t="n"/>
      <c r="G347" s="221" t="n"/>
      <c r="H347" s="108" t="n"/>
      <c r="I347" s="108" t="n"/>
      <c r="J347" s="109" t="n"/>
      <c r="K347" s="109" t="n"/>
      <c r="L347" s="108" t="n"/>
      <c r="M347" s="121">
        <f>IF($C347="","",IF($D347="Gider",$E347,IF($L347&lt;&gt;"",$L347,$H347)))</f>
        <v/>
      </c>
      <c r="N347" s="121">
        <f>IF($C347="","",IF($D347="Gider",$H347,$E347))</f>
        <v/>
      </c>
      <c r="O347" s="226">
        <f>IF($C347="","",DATE(YEAR($C347),MONTH($C347),1))</f>
        <v/>
      </c>
      <c r="P347" s="113">
        <f>IF($C347="","",IF(AND($D347="Gelir",$L347&lt;&gt;"",$T347=""),"TANIMSIZ BORÇLU",IF($T347&lt;&gt;"",IF(OR($E347="",$G347&lt;=0),"EKSİK",IF($I347="Evet","TAHAKKUK NAKİT OLAMAZ",IF($C347&gt;TODAY(),"İLERİ TARİH","TAHAKKUK"))),IF(AND($D347&lt;&gt;"",$E347&lt;&gt;"",$G347&gt;0,$H347&lt;&gt;"",$I347&lt;&gt;""),IF($C347&gt;TODAY(),"İLERİ TARİH",IF(COUNTIF($W$7:$W$1206,$W347)&gt;1,"MÜKERRER?",IF($AD347&gt;0,"KAPALI DÖNEM",IF($I347="Hayır","ÖDENECEK","UYGUN")))),"EKSİK"))))</f>
        <v/>
      </c>
      <c r="Q347" s="6" t="n"/>
      <c r="R347" s="6" t="n"/>
      <c r="S347" s="3">
        <f>IF($L347="","",UPPER(SUBSTITUTE(SUBSTITUTE(SUBSTITUTE(SUBSTITUTE(SUBSTITUTE(SUBSTITUTE(SUBSTITUTE(SUBSTITUTE(SUBSTITUTE(SUBSTITUTE(SUBSTITUTE(SUBSTITUTE(SUBSTITUTE(SUBSTITUTE(SUBSTITUTE(SUBSTITUTE(SUBSTITUTE(SUBSTITUTE(TRIM($L347),"'",""),"İ","I"),"ı","I"),"i","I"),"Ş","S"),"ş","S"),"Ğ","G"),"ğ","G"),"Ü","U"),"ü","U"),"Ö","O"),"ö","O"),"Ç","C"),"ç","C"),".",""),",","")," ",""),"-","")))</f>
        <v/>
      </c>
      <c r="T347" s="3">
        <f>IF(OR($C347="",$D347&lt;&gt;"Gelir",$L347=""),"",IFERROR(INDEX(MUSTERILER!$B$7:$B$106,MATCH($S347,MUSTERILER!$T$7:$T$106,0)),""))</f>
        <v/>
      </c>
      <c r="U347" s="3">
        <f>IF($T347="","",$T347&amp;"|"&amp;COUNTIFS($T$7:$T347,$T347))</f>
        <v/>
      </c>
      <c r="V347" s="3">
        <f>IF($T347="",0,1)</f>
        <v/>
      </c>
      <c r="W347" s="3">
        <f>IF($C347="","",$D347&amp;"|"&amp;$E347&amp;"|"&amp;TEXT($C347,"0")&amp;"|"&amp;TEXT($G347,"0")&amp;"|"&amp;$J347)</f>
        <v/>
      </c>
      <c r="X347" s="3" t="n"/>
      <c r="Y347" s="3" t="n"/>
      <c r="Z347" s="3" t="n"/>
      <c r="AA347" s="3" t="n"/>
      <c r="AB347" s="3" t="n"/>
      <c r="AC347" s="3" t="n"/>
      <c r="AD347" s="3">
        <f>IF($C347="",0,SUMPRODUCT((AY_SONU!$O$7:$O$42="Evet")*(AY_SONU!$B$7:$B$42=DATE(YEAR($C347),MONTH($C347),1))))</f>
        <v/>
      </c>
    </row>
    <row r="348">
      <c r="A348" s="6" t="n"/>
      <c r="B348" s="113">
        <f>IF($C348="","","GG"&amp;TEXT(ROW()-6,"00000"))</f>
        <v/>
      </c>
      <c r="C348" s="220" t="n"/>
      <c r="D348" s="108" t="n"/>
      <c r="E348" s="109" t="n"/>
      <c r="F348" s="109" t="n"/>
      <c r="G348" s="221" t="n"/>
      <c r="H348" s="108" t="n"/>
      <c r="I348" s="108" t="n"/>
      <c r="J348" s="109" t="n"/>
      <c r="K348" s="109" t="n"/>
      <c r="L348" s="108" t="n"/>
      <c r="M348" s="121">
        <f>IF($C348="","",IF($D348="Gider",$E348,IF($L348&lt;&gt;"",$L348,$H348)))</f>
        <v/>
      </c>
      <c r="N348" s="121">
        <f>IF($C348="","",IF($D348="Gider",$H348,$E348))</f>
        <v/>
      </c>
      <c r="O348" s="226">
        <f>IF($C348="","",DATE(YEAR($C348),MONTH($C348),1))</f>
        <v/>
      </c>
      <c r="P348" s="113">
        <f>IF($C348="","",IF(AND($D348="Gelir",$L348&lt;&gt;"",$T348=""),"TANIMSIZ BORÇLU",IF($T348&lt;&gt;"",IF(OR($E348="",$G348&lt;=0),"EKSİK",IF($I348="Evet","TAHAKKUK NAKİT OLAMAZ",IF($C348&gt;TODAY(),"İLERİ TARİH","TAHAKKUK"))),IF(AND($D348&lt;&gt;"",$E348&lt;&gt;"",$G348&gt;0,$H348&lt;&gt;"",$I348&lt;&gt;""),IF($C348&gt;TODAY(),"İLERİ TARİH",IF(COUNTIF($W$7:$W$1206,$W348)&gt;1,"MÜKERRER?",IF($AD348&gt;0,"KAPALI DÖNEM",IF($I348="Hayır","ÖDENECEK","UYGUN")))),"EKSİK"))))</f>
        <v/>
      </c>
      <c r="Q348" s="6" t="n"/>
      <c r="R348" s="6" t="n"/>
      <c r="S348" s="3">
        <f>IF($L348="","",UPPER(SUBSTITUTE(SUBSTITUTE(SUBSTITUTE(SUBSTITUTE(SUBSTITUTE(SUBSTITUTE(SUBSTITUTE(SUBSTITUTE(SUBSTITUTE(SUBSTITUTE(SUBSTITUTE(SUBSTITUTE(SUBSTITUTE(SUBSTITUTE(SUBSTITUTE(SUBSTITUTE(SUBSTITUTE(SUBSTITUTE(TRIM($L348),"'",""),"İ","I"),"ı","I"),"i","I"),"Ş","S"),"ş","S"),"Ğ","G"),"ğ","G"),"Ü","U"),"ü","U"),"Ö","O"),"ö","O"),"Ç","C"),"ç","C"),".",""),",","")," ",""),"-","")))</f>
        <v/>
      </c>
      <c r="T348" s="3">
        <f>IF(OR($C348="",$D348&lt;&gt;"Gelir",$L348=""),"",IFERROR(INDEX(MUSTERILER!$B$7:$B$106,MATCH($S348,MUSTERILER!$T$7:$T$106,0)),""))</f>
        <v/>
      </c>
      <c r="U348" s="3">
        <f>IF($T348="","",$T348&amp;"|"&amp;COUNTIFS($T$7:$T348,$T348))</f>
        <v/>
      </c>
      <c r="V348" s="3">
        <f>IF($T348="",0,1)</f>
        <v/>
      </c>
      <c r="W348" s="3">
        <f>IF($C348="","",$D348&amp;"|"&amp;$E348&amp;"|"&amp;TEXT($C348,"0")&amp;"|"&amp;TEXT($G348,"0")&amp;"|"&amp;$J348)</f>
        <v/>
      </c>
      <c r="X348" s="3" t="n"/>
      <c r="Y348" s="3" t="n"/>
      <c r="Z348" s="3" t="n"/>
      <c r="AA348" s="3" t="n"/>
      <c r="AB348" s="3" t="n"/>
      <c r="AC348" s="3" t="n"/>
      <c r="AD348" s="3">
        <f>IF($C348="",0,SUMPRODUCT((AY_SONU!$O$7:$O$42="Evet")*(AY_SONU!$B$7:$B$42=DATE(YEAR($C348),MONTH($C348),1))))</f>
        <v/>
      </c>
    </row>
    <row r="349">
      <c r="A349" s="6" t="n"/>
      <c r="B349" s="113">
        <f>IF($C349="","","GG"&amp;TEXT(ROW()-6,"00000"))</f>
        <v/>
      </c>
      <c r="C349" s="220" t="n"/>
      <c r="D349" s="108" t="n"/>
      <c r="E349" s="109" t="n"/>
      <c r="F349" s="109" t="n"/>
      <c r="G349" s="221" t="n"/>
      <c r="H349" s="108" t="n"/>
      <c r="I349" s="108" t="n"/>
      <c r="J349" s="109" t="n"/>
      <c r="K349" s="109" t="n"/>
      <c r="L349" s="108" t="n"/>
      <c r="M349" s="121">
        <f>IF($C349="","",IF($D349="Gider",$E349,IF($L349&lt;&gt;"",$L349,$H349)))</f>
        <v/>
      </c>
      <c r="N349" s="121">
        <f>IF($C349="","",IF($D349="Gider",$H349,$E349))</f>
        <v/>
      </c>
      <c r="O349" s="226">
        <f>IF($C349="","",DATE(YEAR($C349),MONTH($C349),1))</f>
        <v/>
      </c>
      <c r="P349" s="113">
        <f>IF($C349="","",IF(AND($D349="Gelir",$L349&lt;&gt;"",$T349=""),"TANIMSIZ BORÇLU",IF($T349&lt;&gt;"",IF(OR($E349="",$G349&lt;=0),"EKSİK",IF($I349="Evet","TAHAKKUK NAKİT OLAMAZ",IF($C349&gt;TODAY(),"İLERİ TARİH","TAHAKKUK"))),IF(AND($D349&lt;&gt;"",$E349&lt;&gt;"",$G349&gt;0,$H349&lt;&gt;"",$I349&lt;&gt;""),IF($C349&gt;TODAY(),"İLERİ TARİH",IF(COUNTIF($W$7:$W$1206,$W349)&gt;1,"MÜKERRER?",IF($AD349&gt;0,"KAPALI DÖNEM",IF($I349="Hayır","ÖDENECEK","UYGUN")))),"EKSİK"))))</f>
        <v/>
      </c>
      <c r="Q349" s="6" t="n"/>
      <c r="R349" s="6" t="n"/>
      <c r="S349" s="3">
        <f>IF($L349="","",UPPER(SUBSTITUTE(SUBSTITUTE(SUBSTITUTE(SUBSTITUTE(SUBSTITUTE(SUBSTITUTE(SUBSTITUTE(SUBSTITUTE(SUBSTITUTE(SUBSTITUTE(SUBSTITUTE(SUBSTITUTE(SUBSTITUTE(SUBSTITUTE(SUBSTITUTE(SUBSTITUTE(SUBSTITUTE(SUBSTITUTE(TRIM($L349),"'",""),"İ","I"),"ı","I"),"i","I"),"Ş","S"),"ş","S"),"Ğ","G"),"ğ","G"),"Ü","U"),"ü","U"),"Ö","O"),"ö","O"),"Ç","C"),"ç","C"),".",""),",","")," ",""),"-","")))</f>
        <v/>
      </c>
      <c r="T349" s="3">
        <f>IF(OR($C349="",$D349&lt;&gt;"Gelir",$L349=""),"",IFERROR(INDEX(MUSTERILER!$B$7:$B$106,MATCH($S349,MUSTERILER!$T$7:$T$106,0)),""))</f>
        <v/>
      </c>
      <c r="U349" s="3">
        <f>IF($T349="","",$T349&amp;"|"&amp;COUNTIFS($T$7:$T349,$T349))</f>
        <v/>
      </c>
      <c r="V349" s="3">
        <f>IF($T349="",0,1)</f>
        <v/>
      </c>
      <c r="W349" s="3">
        <f>IF($C349="","",$D349&amp;"|"&amp;$E349&amp;"|"&amp;TEXT($C349,"0")&amp;"|"&amp;TEXT($G349,"0")&amp;"|"&amp;$J349)</f>
        <v/>
      </c>
      <c r="X349" s="3" t="n"/>
      <c r="Y349" s="3" t="n"/>
      <c r="Z349" s="3" t="n"/>
      <c r="AA349" s="3" t="n"/>
      <c r="AB349" s="3" t="n"/>
      <c r="AC349" s="3" t="n"/>
      <c r="AD349" s="3">
        <f>IF($C349="",0,SUMPRODUCT((AY_SONU!$O$7:$O$42="Evet")*(AY_SONU!$B$7:$B$42=DATE(YEAR($C349),MONTH($C349),1))))</f>
        <v/>
      </c>
    </row>
    <row r="350">
      <c r="A350" s="6" t="n"/>
      <c r="B350" s="113">
        <f>IF($C350="","","GG"&amp;TEXT(ROW()-6,"00000"))</f>
        <v/>
      </c>
      <c r="C350" s="220" t="n"/>
      <c r="D350" s="108" t="n"/>
      <c r="E350" s="109" t="n"/>
      <c r="F350" s="109" t="n"/>
      <c r="G350" s="221" t="n"/>
      <c r="H350" s="108" t="n"/>
      <c r="I350" s="108" t="n"/>
      <c r="J350" s="109" t="n"/>
      <c r="K350" s="109" t="n"/>
      <c r="L350" s="108" t="n"/>
      <c r="M350" s="121">
        <f>IF($C350="","",IF($D350="Gider",$E350,IF($L350&lt;&gt;"",$L350,$H350)))</f>
        <v/>
      </c>
      <c r="N350" s="121">
        <f>IF($C350="","",IF($D350="Gider",$H350,$E350))</f>
        <v/>
      </c>
      <c r="O350" s="226">
        <f>IF($C350="","",DATE(YEAR($C350),MONTH($C350),1))</f>
        <v/>
      </c>
      <c r="P350" s="113">
        <f>IF($C350="","",IF(AND($D350="Gelir",$L350&lt;&gt;"",$T350=""),"TANIMSIZ BORÇLU",IF($T350&lt;&gt;"",IF(OR($E350="",$G350&lt;=0),"EKSİK",IF($I350="Evet","TAHAKKUK NAKİT OLAMAZ",IF($C350&gt;TODAY(),"İLERİ TARİH","TAHAKKUK"))),IF(AND($D350&lt;&gt;"",$E350&lt;&gt;"",$G350&gt;0,$H350&lt;&gt;"",$I350&lt;&gt;""),IF($C350&gt;TODAY(),"İLERİ TARİH",IF(COUNTIF($W$7:$W$1206,$W350)&gt;1,"MÜKERRER?",IF($AD350&gt;0,"KAPALI DÖNEM",IF($I350="Hayır","ÖDENECEK","UYGUN")))),"EKSİK"))))</f>
        <v/>
      </c>
      <c r="Q350" s="6" t="n"/>
      <c r="R350" s="6" t="n"/>
      <c r="S350" s="3">
        <f>IF($L350="","",UPPER(SUBSTITUTE(SUBSTITUTE(SUBSTITUTE(SUBSTITUTE(SUBSTITUTE(SUBSTITUTE(SUBSTITUTE(SUBSTITUTE(SUBSTITUTE(SUBSTITUTE(SUBSTITUTE(SUBSTITUTE(SUBSTITUTE(SUBSTITUTE(SUBSTITUTE(SUBSTITUTE(SUBSTITUTE(SUBSTITUTE(TRIM($L350),"'",""),"İ","I"),"ı","I"),"i","I"),"Ş","S"),"ş","S"),"Ğ","G"),"ğ","G"),"Ü","U"),"ü","U"),"Ö","O"),"ö","O"),"Ç","C"),"ç","C"),".",""),",","")," ",""),"-","")))</f>
        <v/>
      </c>
      <c r="T350" s="3">
        <f>IF(OR($C350="",$D350&lt;&gt;"Gelir",$L350=""),"",IFERROR(INDEX(MUSTERILER!$B$7:$B$106,MATCH($S350,MUSTERILER!$T$7:$T$106,0)),""))</f>
        <v/>
      </c>
      <c r="U350" s="3">
        <f>IF($T350="","",$T350&amp;"|"&amp;COUNTIFS($T$7:$T350,$T350))</f>
        <v/>
      </c>
      <c r="V350" s="3">
        <f>IF($T350="",0,1)</f>
        <v/>
      </c>
      <c r="W350" s="3">
        <f>IF($C350="","",$D350&amp;"|"&amp;$E350&amp;"|"&amp;TEXT($C350,"0")&amp;"|"&amp;TEXT($G350,"0")&amp;"|"&amp;$J350)</f>
        <v/>
      </c>
      <c r="X350" s="3" t="n"/>
      <c r="Y350" s="3" t="n"/>
      <c r="Z350" s="3" t="n"/>
      <c r="AA350" s="3" t="n"/>
      <c r="AB350" s="3" t="n"/>
      <c r="AC350" s="3" t="n"/>
      <c r="AD350" s="3">
        <f>IF($C350="",0,SUMPRODUCT((AY_SONU!$O$7:$O$42="Evet")*(AY_SONU!$B$7:$B$42=DATE(YEAR($C350),MONTH($C350),1))))</f>
        <v/>
      </c>
    </row>
    <row r="351">
      <c r="A351" s="6" t="n"/>
      <c r="B351" s="113">
        <f>IF($C351="","","GG"&amp;TEXT(ROW()-6,"00000"))</f>
        <v/>
      </c>
      <c r="C351" s="220" t="n"/>
      <c r="D351" s="108" t="n"/>
      <c r="E351" s="109" t="n"/>
      <c r="F351" s="109" t="n"/>
      <c r="G351" s="221" t="n"/>
      <c r="H351" s="108" t="n"/>
      <c r="I351" s="108" t="n"/>
      <c r="J351" s="109" t="n"/>
      <c r="K351" s="109" t="n"/>
      <c r="L351" s="108" t="n"/>
      <c r="M351" s="121">
        <f>IF($C351="","",IF($D351="Gider",$E351,IF($L351&lt;&gt;"",$L351,$H351)))</f>
        <v/>
      </c>
      <c r="N351" s="121">
        <f>IF($C351="","",IF($D351="Gider",$H351,$E351))</f>
        <v/>
      </c>
      <c r="O351" s="226">
        <f>IF($C351="","",DATE(YEAR($C351),MONTH($C351),1))</f>
        <v/>
      </c>
      <c r="P351" s="113">
        <f>IF($C351="","",IF(AND($D351="Gelir",$L351&lt;&gt;"",$T351=""),"TANIMSIZ BORÇLU",IF($T351&lt;&gt;"",IF(OR($E351="",$G351&lt;=0),"EKSİK",IF($I351="Evet","TAHAKKUK NAKİT OLAMAZ",IF($C351&gt;TODAY(),"İLERİ TARİH","TAHAKKUK"))),IF(AND($D351&lt;&gt;"",$E351&lt;&gt;"",$G351&gt;0,$H351&lt;&gt;"",$I351&lt;&gt;""),IF($C351&gt;TODAY(),"İLERİ TARİH",IF(COUNTIF($W$7:$W$1206,$W351)&gt;1,"MÜKERRER?",IF($AD351&gt;0,"KAPALI DÖNEM",IF($I351="Hayır","ÖDENECEK","UYGUN")))),"EKSİK"))))</f>
        <v/>
      </c>
      <c r="Q351" s="6" t="n"/>
      <c r="R351" s="6" t="n"/>
      <c r="S351" s="3">
        <f>IF($L351="","",UPPER(SUBSTITUTE(SUBSTITUTE(SUBSTITUTE(SUBSTITUTE(SUBSTITUTE(SUBSTITUTE(SUBSTITUTE(SUBSTITUTE(SUBSTITUTE(SUBSTITUTE(SUBSTITUTE(SUBSTITUTE(SUBSTITUTE(SUBSTITUTE(SUBSTITUTE(SUBSTITUTE(SUBSTITUTE(SUBSTITUTE(TRIM($L351),"'",""),"İ","I"),"ı","I"),"i","I"),"Ş","S"),"ş","S"),"Ğ","G"),"ğ","G"),"Ü","U"),"ü","U"),"Ö","O"),"ö","O"),"Ç","C"),"ç","C"),".",""),",","")," ",""),"-","")))</f>
        <v/>
      </c>
      <c r="T351" s="3">
        <f>IF(OR($C351="",$D351&lt;&gt;"Gelir",$L351=""),"",IFERROR(INDEX(MUSTERILER!$B$7:$B$106,MATCH($S351,MUSTERILER!$T$7:$T$106,0)),""))</f>
        <v/>
      </c>
      <c r="U351" s="3">
        <f>IF($T351="","",$T351&amp;"|"&amp;COUNTIFS($T$7:$T351,$T351))</f>
        <v/>
      </c>
      <c r="V351" s="3">
        <f>IF($T351="",0,1)</f>
        <v/>
      </c>
      <c r="W351" s="3">
        <f>IF($C351="","",$D351&amp;"|"&amp;$E351&amp;"|"&amp;TEXT($C351,"0")&amp;"|"&amp;TEXT($G351,"0")&amp;"|"&amp;$J351)</f>
        <v/>
      </c>
      <c r="X351" s="3" t="n"/>
      <c r="Y351" s="3" t="n"/>
      <c r="Z351" s="3" t="n"/>
      <c r="AA351" s="3" t="n"/>
      <c r="AB351" s="3" t="n"/>
      <c r="AC351" s="3" t="n"/>
      <c r="AD351" s="3">
        <f>IF($C351="",0,SUMPRODUCT((AY_SONU!$O$7:$O$42="Evet")*(AY_SONU!$B$7:$B$42=DATE(YEAR($C351),MONTH($C351),1))))</f>
        <v/>
      </c>
    </row>
    <row r="352">
      <c r="A352" s="6" t="n"/>
      <c r="B352" s="113">
        <f>IF($C352="","","GG"&amp;TEXT(ROW()-6,"00000"))</f>
        <v/>
      </c>
      <c r="C352" s="220" t="n"/>
      <c r="D352" s="108" t="n"/>
      <c r="E352" s="109" t="n"/>
      <c r="F352" s="109" t="n"/>
      <c r="G352" s="221" t="n"/>
      <c r="H352" s="108" t="n"/>
      <c r="I352" s="108" t="n"/>
      <c r="J352" s="109" t="n"/>
      <c r="K352" s="109" t="n"/>
      <c r="L352" s="108" t="n"/>
      <c r="M352" s="121">
        <f>IF($C352="","",IF($D352="Gider",$E352,IF($L352&lt;&gt;"",$L352,$H352)))</f>
        <v/>
      </c>
      <c r="N352" s="121">
        <f>IF($C352="","",IF($D352="Gider",$H352,$E352))</f>
        <v/>
      </c>
      <c r="O352" s="226">
        <f>IF($C352="","",DATE(YEAR($C352),MONTH($C352),1))</f>
        <v/>
      </c>
      <c r="P352" s="113">
        <f>IF($C352="","",IF(AND($D352="Gelir",$L352&lt;&gt;"",$T352=""),"TANIMSIZ BORÇLU",IF($T352&lt;&gt;"",IF(OR($E352="",$G352&lt;=0),"EKSİK",IF($I352="Evet","TAHAKKUK NAKİT OLAMAZ",IF($C352&gt;TODAY(),"İLERİ TARİH","TAHAKKUK"))),IF(AND($D352&lt;&gt;"",$E352&lt;&gt;"",$G352&gt;0,$H352&lt;&gt;"",$I352&lt;&gt;""),IF($C352&gt;TODAY(),"İLERİ TARİH",IF(COUNTIF($W$7:$W$1206,$W352)&gt;1,"MÜKERRER?",IF($AD352&gt;0,"KAPALI DÖNEM",IF($I352="Hayır","ÖDENECEK","UYGUN")))),"EKSİK"))))</f>
        <v/>
      </c>
      <c r="Q352" s="6" t="n"/>
      <c r="R352" s="6" t="n"/>
      <c r="S352" s="3">
        <f>IF($L352="","",UPPER(SUBSTITUTE(SUBSTITUTE(SUBSTITUTE(SUBSTITUTE(SUBSTITUTE(SUBSTITUTE(SUBSTITUTE(SUBSTITUTE(SUBSTITUTE(SUBSTITUTE(SUBSTITUTE(SUBSTITUTE(SUBSTITUTE(SUBSTITUTE(SUBSTITUTE(SUBSTITUTE(SUBSTITUTE(SUBSTITUTE(TRIM($L352),"'",""),"İ","I"),"ı","I"),"i","I"),"Ş","S"),"ş","S"),"Ğ","G"),"ğ","G"),"Ü","U"),"ü","U"),"Ö","O"),"ö","O"),"Ç","C"),"ç","C"),".",""),",","")," ",""),"-","")))</f>
        <v/>
      </c>
      <c r="T352" s="3">
        <f>IF(OR($C352="",$D352&lt;&gt;"Gelir",$L352=""),"",IFERROR(INDEX(MUSTERILER!$B$7:$B$106,MATCH($S352,MUSTERILER!$T$7:$T$106,0)),""))</f>
        <v/>
      </c>
      <c r="U352" s="3">
        <f>IF($T352="","",$T352&amp;"|"&amp;COUNTIFS($T$7:$T352,$T352))</f>
        <v/>
      </c>
      <c r="V352" s="3">
        <f>IF($T352="",0,1)</f>
        <v/>
      </c>
      <c r="W352" s="3">
        <f>IF($C352="","",$D352&amp;"|"&amp;$E352&amp;"|"&amp;TEXT($C352,"0")&amp;"|"&amp;TEXT($G352,"0")&amp;"|"&amp;$J352)</f>
        <v/>
      </c>
      <c r="X352" s="3" t="n"/>
      <c r="Y352" s="3" t="n"/>
      <c r="Z352" s="3" t="n"/>
      <c r="AA352" s="3" t="n"/>
      <c r="AB352" s="3" t="n"/>
      <c r="AC352" s="3" t="n"/>
      <c r="AD352" s="3">
        <f>IF($C352="",0,SUMPRODUCT((AY_SONU!$O$7:$O$42="Evet")*(AY_SONU!$B$7:$B$42=DATE(YEAR($C352),MONTH($C352),1))))</f>
        <v/>
      </c>
    </row>
    <row r="353">
      <c r="A353" s="6" t="n"/>
      <c r="B353" s="113">
        <f>IF($C353="","","GG"&amp;TEXT(ROW()-6,"00000"))</f>
        <v/>
      </c>
      <c r="C353" s="220" t="n"/>
      <c r="D353" s="108" t="n"/>
      <c r="E353" s="109" t="n"/>
      <c r="F353" s="109" t="n"/>
      <c r="G353" s="221" t="n"/>
      <c r="H353" s="108" t="n"/>
      <c r="I353" s="108" t="n"/>
      <c r="J353" s="109" t="n"/>
      <c r="K353" s="109" t="n"/>
      <c r="L353" s="108" t="n"/>
      <c r="M353" s="121">
        <f>IF($C353="","",IF($D353="Gider",$E353,IF($L353&lt;&gt;"",$L353,$H353)))</f>
        <v/>
      </c>
      <c r="N353" s="121">
        <f>IF($C353="","",IF($D353="Gider",$H353,$E353))</f>
        <v/>
      </c>
      <c r="O353" s="226">
        <f>IF($C353="","",DATE(YEAR($C353),MONTH($C353),1))</f>
        <v/>
      </c>
      <c r="P353" s="113">
        <f>IF($C353="","",IF(AND($D353="Gelir",$L353&lt;&gt;"",$T353=""),"TANIMSIZ BORÇLU",IF($T353&lt;&gt;"",IF(OR($E353="",$G353&lt;=0),"EKSİK",IF($I353="Evet","TAHAKKUK NAKİT OLAMAZ",IF($C353&gt;TODAY(),"İLERİ TARİH","TAHAKKUK"))),IF(AND($D353&lt;&gt;"",$E353&lt;&gt;"",$G353&gt;0,$H353&lt;&gt;"",$I353&lt;&gt;""),IF($C353&gt;TODAY(),"İLERİ TARİH",IF(COUNTIF($W$7:$W$1206,$W353)&gt;1,"MÜKERRER?",IF($AD353&gt;0,"KAPALI DÖNEM",IF($I353="Hayır","ÖDENECEK","UYGUN")))),"EKSİK"))))</f>
        <v/>
      </c>
      <c r="Q353" s="6" t="n"/>
      <c r="R353" s="6" t="n"/>
      <c r="S353" s="3">
        <f>IF($L353="","",UPPER(SUBSTITUTE(SUBSTITUTE(SUBSTITUTE(SUBSTITUTE(SUBSTITUTE(SUBSTITUTE(SUBSTITUTE(SUBSTITUTE(SUBSTITUTE(SUBSTITUTE(SUBSTITUTE(SUBSTITUTE(SUBSTITUTE(SUBSTITUTE(SUBSTITUTE(SUBSTITUTE(SUBSTITUTE(SUBSTITUTE(TRIM($L353),"'",""),"İ","I"),"ı","I"),"i","I"),"Ş","S"),"ş","S"),"Ğ","G"),"ğ","G"),"Ü","U"),"ü","U"),"Ö","O"),"ö","O"),"Ç","C"),"ç","C"),".",""),",","")," ",""),"-","")))</f>
        <v/>
      </c>
      <c r="T353" s="3">
        <f>IF(OR($C353="",$D353&lt;&gt;"Gelir",$L353=""),"",IFERROR(INDEX(MUSTERILER!$B$7:$B$106,MATCH($S353,MUSTERILER!$T$7:$T$106,0)),""))</f>
        <v/>
      </c>
      <c r="U353" s="3">
        <f>IF($T353="","",$T353&amp;"|"&amp;COUNTIFS($T$7:$T353,$T353))</f>
        <v/>
      </c>
      <c r="V353" s="3">
        <f>IF($T353="",0,1)</f>
        <v/>
      </c>
      <c r="W353" s="3">
        <f>IF($C353="","",$D353&amp;"|"&amp;$E353&amp;"|"&amp;TEXT($C353,"0")&amp;"|"&amp;TEXT($G353,"0")&amp;"|"&amp;$J353)</f>
        <v/>
      </c>
      <c r="X353" s="3" t="n"/>
      <c r="Y353" s="3" t="n"/>
      <c r="Z353" s="3" t="n"/>
      <c r="AA353" s="3" t="n"/>
      <c r="AB353" s="3" t="n"/>
      <c r="AC353" s="3" t="n"/>
      <c r="AD353" s="3">
        <f>IF($C353="",0,SUMPRODUCT((AY_SONU!$O$7:$O$42="Evet")*(AY_SONU!$B$7:$B$42=DATE(YEAR($C353),MONTH($C353),1))))</f>
        <v/>
      </c>
    </row>
    <row r="354">
      <c r="A354" s="6" t="n"/>
      <c r="B354" s="113">
        <f>IF($C354="","","GG"&amp;TEXT(ROW()-6,"00000"))</f>
        <v/>
      </c>
      <c r="C354" s="220" t="n"/>
      <c r="D354" s="108" t="n"/>
      <c r="E354" s="109" t="n"/>
      <c r="F354" s="109" t="n"/>
      <c r="G354" s="221" t="n"/>
      <c r="H354" s="108" t="n"/>
      <c r="I354" s="108" t="n"/>
      <c r="J354" s="109" t="n"/>
      <c r="K354" s="109" t="n"/>
      <c r="L354" s="108" t="n"/>
      <c r="M354" s="121">
        <f>IF($C354="","",IF($D354="Gider",$E354,IF($L354&lt;&gt;"",$L354,$H354)))</f>
        <v/>
      </c>
      <c r="N354" s="121">
        <f>IF($C354="","",IF($D354="Gider",$H354,$E354))</f>
        <v/>
      </c>
      <c r="O354" s="226">
        <f>IF($C354="","",DATE(YEAR($C354),MONTH($C354),1))</f>
        <v/>
      </c>
      <c r="P354" s="113">
        <f>IF($C354="","",IF(AND($D354="Gelir",$L354&lt;&gt;"",$T354=""),"TANIMSIZ BORÇLU",IF($T354&lt;&gt;"",IF(OR($E354="",$G354&lt;=0),"EKSİK",IF($I354="Evet","TAHAKKUK NAKİT OLAMAZ",IF($C354&gt;TODAY(),"İLERİ TARİH","TAHAKKUK"))),IF(AND($D354&lt;&gt;"",$E354&lt;&gt;"",$G354&gt;0,$H354&lt;&gt;"",$I354&lt;&gt;""),IF($C354&gt;TODAY(),"İLERİ TARİH",IF(COUNTIF($W$7:$W$1206,$W354)&gt;1,"MÜKERRER?",IF($AD354&gt;0,"KAPALI DÖNEM",IF($I354="Hayır","ÖDENECEK","UYGUN")))),"EKSİK"))))</f>
        <v/>
      </c>
      <c r="Q354" s="6" t="n"/>
      <c r="R354" s="6" t="n"/>
      <c r="S354" s="3">
        <f>IF($L354="","",UPPER(SUBSTITUTE(SUBSTITUTE(SUBSTITUTE(SUBSTITUTE(SUBSTITUTE(SUBSTITUTE(SUBSTITUTE(SUBSTITUTE(SUBSTITUTE(SUBSTITUTE(SUBSTITUTE(SUBSTITUTE(SUBSTITUTE(SUBSTITUTE(SUBSTITUTE(SUBSTITUTE(SUBSTITUTE(SUBSTITUTE(TRIM($L354),"'",""),"İ","I"),"ı","I"),"i","I"),"Ş","S"),"ş","S"),"Ğ","G"),"ğ","G"),"Ü","U"),"ü","U"),"Ö","O"),"ö","O"),"Ç","C"),"ç","C"),".",""),",","")," ",""),"-","")))</f>
        <v/>
      </c>
      <c r="T354" s="3">
        <f>IF(OR($C354="",$D354&lt;&gt;"Gelir",$L354=""),"",IFERROR(INDEX(MUSTERILER!$B$7:$B$106,MATCH($S354,MUSTERILER!$T$7:$T$106,0)),""))</f>
        <v/>
      </c>
      <c r="U354" s="3">
        <f>IF($T354="","",$T354&amp;"|"&amp;COUNTIFS($T$7:$T354,$T354))</f>
        <v/>
      </c>
      <c r="V354" s="3">
        <f>IF($T354="",0,1)</f>
        <v/>
      </c>
      <c r="W354" s="3">
        <f>IF($C354="","",$D354&amp;"|"&amp;$E354&amp;"|"&amp;TEXT($C354,"0")&amp;"|"&amp;TEXT($G354,"0")&amp;"|"&amp;$J354)</f>
        <v/>
      </c>
      <c r="X354" s="3" t="n"/>
      <c r="Y354" s="3" t="n"/>
      <c r="Z354" s="3" t="n"/>
      <c r="AA354" s="3" t="n"/>
      <c r="AB354" s="3" t="n"/>
      <c r="AC354" s="3" t="n"/>
      <c r="AD354" s="3">
        <f>IF($C354="",0,SUMPRODUCT((AY_SONU!$O$7:$O$42="Evet")*(AY_SONU!$B$7:$B$42=DATE(YEAR($C354),MONTH($C354),1))))</f>
        <v/>
      </c>
    </row>
    <row r="355">
      <c r="A355" s="6" t="n"/>
      <c r="B355" s="113">
        <f>IF($C355="","","GG"&amp;TEXT(ROW()-6,"00000"))</f>
        <v/>
      </c>
      <c r="C355" s="220" t="n"/>
      <c r="D355" s="108" t="n"/>
      <c r="E355" s="109" t="n"/>
      <c r="F355" s="109" t="n"/>
      <c r="G355" s="221" t="n"/>
      <c r="H355" s="108" t="n"/>
      <c r="I355" s="108" t="n"/>
      <c r="J355" s="109" t="n"/>
      <c r="K355" s="109" t="n"/>
      <c r="L355" s="108" t="n"/>
      <c r="M355" s="121">
        <f>IF($C355="","",IF($D355="Gider",$E355,IF($L355&lt;&gt;"",$L355,$H355)))</f>
        <v/>
      </c>
      <c r="N355" s="121">
        <f>IF($C355="","",IF($D355="Gider",$H355,$E355))</f>
        <v/>
      </c>
      <c r="O355" s="226">
        <f>IF($C355="","",DATE(YEAR($C355),MONTH($C355),1))</f>
        <v/>
      </c>
      <c r="P355" s="113">
        <f>IF($C355="","",IF(AND($D355="Gelir",$L355&lt;&gt;"",$T355=""),"TANIMSIZ BORÇLU",IF($T355&lt;&gt;"",IF(OR($E355="",$G355&lt;=0),"EKSİK",IF($I355="Evet","TAHAKKUK NAKİT OLAMAZ",IF($C355&gt;TODAY(),"İLERİ TARİH","TAHAKKUK"))),IF(AND($D355&lt;&gt;"",$E355&lt;&gt;"",$G355&gt;0,$H355&lt;&gt;"",$I355&lt;&gt;""),IF($C355&gt;TODAY(),"İLERİ TARİH",IF(COUNTIF($W$7:$W$1206,$W355)&gt;1,"MÜKERRER?",IF($AD355&gt;0,"KAPALI DÖNEM",IF($I355="Hayır","ÖDENECEK","UYGUN")))),"EKSİK"))))</f>
        <v/>
      </c>
      <c r="Q355" s="6" t="n"/>
      <c r="R355" s="6" t="n"/>
      <c r="S355" s="3">
        <f>IF($L355="","",UPPER(SUBSTITUTE(SUBSTITUTE(SUBSTITUTE(SUBSTITUTE(SUBSTITUTE(SUBSTITUTE(SUBSTITUTE(SUBSTITUTE(SUBSTITUTE(SUBSTITUTE(SUBSTITUTE(SUBSTITUTE(SUBSTITUTE(SUBSTITUTE(SUBSTITUTE(SUBSTITUTE(SUBSTITUTE(SUBSTITUTE(TRIM($L355),"'",""),"İ","I"),"ı","I"),"i","I"),"Ş","S"),"ş","S"),"Ğ","G"),"ğ","G"),"Ü","U"),"ü","U"),"Ö","O"),"ö","O"),"Ç","C"),"ç","C"),".",""),",","")," ",""),"-","")))</f>
        <v/>
      </c>
      <c r="T355" s="3">
        <f>IF(OR($C355="",$D355&lt;&gt;"Gelir",$L355=""),"",IFERROR(INDEX(MUSTERILER!$B$7:$B$106,MATCH($S355,MUSTERILER!$T$7:$T$106,0)),""))</f>
        <v/>
      </c>
      <c r="U355" s="3">
        <f>IF($T355="","",$T355&amp;"|"&amp;COUNTIFS($T$7:$T355,$T355))</f>
        <v/>
      </c>
      <c r="V355" s="3">
        <f>IF($T355="",0,1)</f>
        <v/>
      </c>
      <c r="W355" s="3">
        <f>IF($C355="","",$D355&amp;"|"&amp;$E355&amp;"|"&amp;TEXT($C355,"0")&amp;"|"&amp;TEXT($G355,"0")&amp;"|"&amp;$J355)</f>
        <v/>
      </c>
      <c r="X355" s="3" t="n"/>
      <c r="Y355" s="3" t="n"/>
      <c r="Z355" s="3" t="n"/>
      <c r="AA355" s="3" t="n"/>
      <c r="AB355" s="3" t="n"/>
      <c r="AC355" s="3" t="n"/>
      <c r="AD355" s="3">
        <f>IF($C355="",0,SUMPRODUCT((AY_SONU!$O$7:$O$42="Evet")*(AY_SONU!$B$7:$B$42=DATE(YEAR($C355),MONTH($C355),1))))</f>
        <v/>
      </c>
    </row>
    <row r="356">
      <c r="A356" s="6" t="n"/>
      <c r="B356" s="113">
        <f>IF($C356="","","GG"&amp;TEXT(ROW()-6,"00000"))</f>
        <v/>
      </c>
      <c r="C356" s="220" t="n"/>
      <c r="D356" s="108" t="n"/>
      <c r="E356" s="109" t="n"/>
      <c r="F356" s="109" t="n"/>
      <c r="G356" s="221" t="n"/>
      <c r="H356" s="108" t="n"/>
      <c r="I356" s="108" t="n"/>
      <c r="J356" s="109" t="n"/>
      <c r="K356" s="109" t="n"/>
      <c r="L356" s="108" t="n"/>
      <c r="M356" s="121">
        <f>IF($C356="","",IF($D356="Gider",$E356,IF($L356&lt;&gt;"",$L356,$H356)))</f>
        <v/>
      </c>
      <c r="N356" s="121">
        <f>IF($C356="","",IF($D356="Gider",$H356,$E356))</f>
        <v/>
      </c>
      <c r="O356" s="226">
        <f>IF($C356="","",DATE(YEAR($C356),MONTH($C356),1))</f>
        <v/>
      </c>
      <c r="P356" s="113">
        <f>IF($C356="","",IF(AND($D356="Gelir",$L356&lt;&gt;"",$T356=""),"TANIMSIZ BORÇLU",IF($T356&lt;&gt;"",IF(OR($E356="",$G356&lt;=0),"EKSİK",IF($I356="Evet","TAHAKKUK NAKİT OLAMAZ",IF($C356&gt;TODAY(),"İLERİ TARİH","TAHAKKUK"))),IF(AND($D356&lt;&gt;"",$E356&lt;&gt;"",$G356&gt;0,$H356&lt;&gt;"",$I356&lt;&gt;""),IF($C356&gt;TODAY(),"İLERİ TARİH",IF(COUNTIF($W$7:$W$1206,$W356)&gt;1,"MÜKERRER?",IF($AD356&gt;0,"KAPALI DÖNEM",IF($I356="Hayır","ÖDENECEK","UYGUN")))),"EKSİK"))))</f>
        <v/>
      </c>
      <c r="Q356" s="6" t="n"/>
      <c r="R356" s="6" t="n"/>
      <c r="S356" s="3">
        <f>IF($L356="","",UPPER(SUBSTITUTE(SUBSTITUTE(SUBSTITUTE(SUBSTITUTE(SUBSTITUTE(SUBSTITUTE(SUBSTITUTE(SUBSTITUTE(SUBSTITUTE(SUBSTITUTE(SUBSTITUTE(SUBSTITUTE(SUBSTITUTE(SUBSTITUTE(SUBSTITUTE(SUBSTITUTE(SUBSTITUTE(SUBSTITUTE(TRIM($L356),"'",""),"İ","I"),"ı","I"),"i","I"),"Ş","S"),"ş","S"),"Ğ","G"),"ğ","G"),"Ü","U"),"ü","U"),"Ö","O"),"ö","O"),"Ç","C"),"ç","C"),".",""),",","")," ",""),"-","")))</f>
        <v/>
      </c>
      <c r="T356" s="3">
        <f>IF(OR($C356="",$D356&lt;&gt;"Gelir",$L356=""),"",IFERROR(INDEX(MUSTERILER!$B$7:$B$106,MATCH($S356,MUSTERILER!$T$7:$T$106,0)),""))</f>
        <v/>
      </c>
      <c r="U356" s="3">
        <f>IF($T356="","",$T356&amp;"|"&amp;COUNTIFS($T$7:$T356,$T356))</f>
        <v/>
      </c>
      <c r="V356" s="3">
        <f>IF($T356="",0,1)</f>
        <v/>
      </c>
      <c r="W356" s="3">
        <f>IF($C356="","",$D356&amp;"|"&amp;$E356&amp;"|"&amp;TEXT($C356,"0")&amp;"|"&amp;TEXT($G356,"0")&amp;"|"&amp;$J356)</f>
        <v/>
      </c>
      <c r="X356" s="3" t="n"/>
      <c r="Y356" s="3" t="n"/>
      <c r="Z356" s="3" t="n"/>
      <c r="AA356" s="3" t="n"/>
      <c r="AB356" s="3" t="n"/>
      <c r="AC356" s="3" t="n"/>
      <c r="AD356" s="3">
        <f>IF($C356="",0,SUMPRODUCT((AY_SONU!$O$7:$O$42="Evet")*(AY_SONU!$B$7:$B$42=DATE(YEAR($C356),MONTH($C356),1))))</f>
        <v/>
      </c>
    </row>
    <row r="357">
      <c r="A357" s="6" t="n"/>
      <c r="B357" s="113">
        <f>IF($C357="","","GG"&amp;TEXT(ROW()-6,"00000"))</f>
        <v/>
      </c>
      <c r="C357" s="220" t="n"/>
      <c r="D357" s="108" t="n"/>
      <c r="E357" s="109" t="n"/>
      <c r="F357" s="109" t="n"/>
      <c r="G357" s="221" t="n"/>
      <c r="H357" s="108" t="n"/>
      <c r="I357" s="108" t="n"/>
      <c r="J357" s="109" t="n"/>
      <c r="K357" s="109" t="n"/>
      <c r="L357" s="108" t="n"/>
      <c r="M357" s="121">
        <f>IF($C357="","",IF($D357="Gider",$E357,IF($L357&lt;&gt;"",$L357,$H357)))</f>
        <v/>
      </c>
      <c r="N357" s="121">
        <f>IF($C357="","",IF($D357="Gider",$H357,$E357))</f>
        <v/>
      </c>
      <c r="O357" s="226">
        <f>IF($C357="","",DATE(YEAR($C357),MONTH($C357),1))</f>
        <v/>
      </c>
      <c r="P357" s="113">
        <f>IF($C357="","",IF(AND($D357="Gelir",$L357&lt;&gt;"",$T357=""),"TANIMSIZ BORÇLU",IF($T357&lt;&gt;"",IF(OR($E357="",$G357&lt;=0),"EKSİK",IF($I357="Evet","TAHAKKUK NAKİT OLAMAZ",IF($C357&gt;TODAY(),"İLERİ TARİH","TAHAKKUK"))),IF(AND($D357&lt;&gt;"",$E357&lt;&gt;"",$G357&gt;0,$H357&lt;&gt;"",$I357&lt;&gt;""),IF($C357&gt;TODAY(),"İLERİ TARİH",IF(COUNTIF($W$7:$W$1206,$W357)&gt;1,"MÜKERRER?",IF($AD357&gt;0,"KAPALI DÖNEM",IF($I357="Hayır","ÖDENECEK","UYGUN")))),"EKSİK"))))</f>
        <v/>
      </c>
      <c r="Q357" s="6" t="n"/>
      <c r="R357" s="6" t="n"/>
      <c r="S357" s="3">
        <f>IF($L357="","",UPPER(SUBSTITUTE(SUBSTITUTE(SUBSTITUTE(SUBSTITUTE(SUBSTITUTE(SUBSTITUTE(SUBSTITUTE(SUBSTITUTE(SUBSTITUTE(SUBSTITUTE(SUBSTITUTE(SUBSTITUTE(SUBSTITUTE(SUBSTITUTE(SUBSTITUTE(SUBSTITUTE(SUBSTITUTE(SUBSTITUTE(TRIM($L357),"'",""),"İ","I"),"ı","I"),"i","I"),"Ş","S"),"ş","S"),"Ğ","G"),"ğ","G"),"Ü","U"),"ü","U"),"Ö","O"),"ö","O"),"Ç","C"),"ç","C"),".",""),",","")," ",""),"-","")))</f>
        <v/>
      </c>
      <c r="T357" s="3">
        <f>IF(OR($C357="",$D357&lt;&gt;"Gelir",$L357=""),"",IFERROR(INDEX(MUSTERILER!$B$7:$B$106,MATCH($S357,MUSTERILER!$T$7:$T$106,0)),""))</f>
        <v/>
      </c>
      <c r="U357" s="3">
        <f>IF($T357="","",$T357&amp;"|"&amp;COUNTIFS($T$7:$T357,$T357))</f>
        <v/>
      </c>
      <c r="V357" s="3">
        <f>IF($T357="",0,1)</f>
        <v/>
      </c>
      <c r="W357" s="3">
        <f>IF($C357="","",$D357&amp;"|"&amp;$E357&amp;"|"&amp;TEXT($C357,"0")&amp;"|"&amp;TEXT($G357,"0")&amp;"|"&amp;$J357)</f>
        <v/>
      </c>
      <c r="X357" s="3" t="n"/>
      <c r="Y357" s="3" t="n"/>
      <c r="Z357" s="3" t="n"/>
      <c r="AA357" s="3" t="n"/>
      <c r="AB357" s="3" t="n"/>
      <c r="AC357" s="3" t="n"/>
      <c r="AD357" s="3">
        <f>IF($C357="",0,SUMPRODUCT((AY_SONU!$O$7:$O$42="Evet")*(AY_SONU!$B$7:$B$42=DATE(YEAR($C357),MONTH($C357),1))))</f>
        <v/>
      </c>
    </row>
    <row r="358">
      <c r="A358" s="6" t="n"/>
      <c r="B358" s="113">
        <f>IF($C358="","","GG"&amp;TEXT(ROW()-6,"00000"))</f>
        <v/>
      </c>
      <c r="C358" s="220" t="n"/>
      <c r="D358" s="108" t="n"/>
      <c r="E358" s="109" t="n"/>
      <c r="F358" s="109" t="n"/>
      <c r="G358" s="221" t="n"/>
      <c r="H358" s="108" t="n"/>
      <c r="I358" s="108" t="n"/>
      <c r="J358" s="109" t="n"/>
      <c r="K358" s="109" t="n"/>
      <c r="L358" s="108" t="n"/>
      <c r="M358" s="121">
        <f>IF($C358="","",IF($D358="Gider",$E358,IF($L358&lt;&gt;"",$L358,$H358)))</f>
        <v/>
      </c>
      <c r="N358" s="121">
        <f>IF($C358="","",IF($D358="Gider",$H358,$E358))</f>
        <v/>
      </c>
      <c r="O358" s="226">
        <f>IF($C358="","",DATE(YEAR($C358),MONTH($C358),1))</f>
        <v/>
      </c>
      <c r="P358" s="113">
        <f>IF($C358="","",IF(AND($D358="Gelir",$L358&lt;&gt;"",$T358=""),"TANIMSIZ BORÇLU",IF($T358&lt;&gt;"",IF(OR($E358="",$G358&lt;=0),"EKSİK",IF($I358="Evet","TAHAKKUK NAKİT OLAMAZ",IF($C358&gt;TODAY(),"İLERİ TARİH","TAHAKKUK"))),IF(AND($D358&lt;&gt;"",$E358&lt;&gt;"",$G358&gt;0,$H358&lt;&gt;"",$I358&lt;&gt;""),IF($C358&gt;TODAY(),"İLERİ TARİH",IF(COUNTIF($W$7:$W$1206,$W358)&gt;1,"MÜKERRER?",IF($AD358&gt;0,"KAPALI DÖNEM",IF($I358="Hayır","ÖDENECEK","UYGUN")))),"EKSİK"))))</f>
        <v/>
      </c>
      <c r="Q358" s="6" t="n"/>
      <c r="R358" s="6" t="n"/>
      <c r="S358" s="3">
        <f>IF($L358="","",UPPER(SUBSTITUTE(SUBSTITUTE(SUBSTITUTE(SUBSTITUTE(SUBSTITUTE(SUBSTITUTE(SUBSTITUTE(SUBSTITUTE(SUBSTITUTE(SUBSTITUTE(SUBSTITUTE(SUBSTITUTE(SUBSTITUTE(SUBSTITUTE(SUBSTITUTE(SUBSTITUTE(SUBSTITUTE(SUBSTITUTE(TRIM($L358),"'",""),"İ","I"),"ı","I"),"i","I"),"Ş","S"),"ş","S"),"Ğ","G"),"ğ","G"),"Ü","U"),"ü","U"),"Ö","O"),"ö","O"),"Ç","C"),"ç","C"),".",""),",","")," ",""),"-","")))</f>
        <v/>
      </c>
      <c r="T358" s="3">
        <f>IF(OR($C358="",$D358&lt;&gt;"Gelir",$L358=""),"",IFERROR(INDEX(MUSTERILER!$B$7:$B$106,MATCH($S358,MUSTERILER!$T$7:$T$106,0)),""))</f>
        <v/>
      </c>
      <c r="U358" s="3">
        <f>IF($T358="","",$T358&amp;"|"&amp;COUNTIFS($T$7:$T358,$T358))</f>
        <v/>
      </c>
      <c r="V358" s="3">
        <f>IF($T358="",0,1)</f>
        <v/>
      </c>
      <c r="W358" s="3">
        <f>IF($C358="","",$D358&amp;"|"&amp;$E358&amp;"|"&amp;TEXT($C358,"0")&amp;"|"&amp;TEXT($G358,"0")&amp;"|"&amp;$J358)</f>
        <v/>
      </c>
      <c r="X358" s="3" t="n"/>
      <c r="Y358" s="3" t="n"/>
      <c r="Z358" s="3" t="n"/>
      <c r="AA358" s="3" t="n"/>
      <c r="AB358" s="3" t="n"/>
      <c r="AC358" s="3" t="n"/>
      <c r="AD358" s="3">
        <f>IF($C358="",0,SUMPRODUCT((AY_SONU!$O$7:$O$42="Evet")*(AY_SONU!$B$7:$B$42=DATE(YEAR($C358),MONTH($C358),1))))</f>
        <v/>
      </c>
    </row>
    <row r="359">
      <c r="A359" s="6" t="n"/>
      <c r="B359" s="113">
        <f>IF($C359="","","GG"&amp;TEXT(ROW()-6,"00000"))</f>
        <v/>
      </c>
      <c r="C359" s="220" t="n"/>
      <c r="D359" s="108" t="n"/>
      <c r="E359" s="109" t="n"/>
      <c r="F359" s="109" t="n"/>
      <c r="G359" s="221" t="n"/>
      <c r="H359" s="108" t="n"/>
      <c r="I359" s="108" t="n"/>
      <c r="J359" s="109" t="n"/>
      <c r="K359" s="109" t="n"/>
      <c r="L359" s="108" t="n"/>
      <c r="M359" s="121">
        <f>IF($C359="","",IF($D359="Gider",$E359,IF($L359&lt;&gt;"",$L359,$H359)))</f>
        <v/>
      </c>
      <c r="N359" s="121">
        <f>IF($C359="","",IF($D359="Gider",$H359,$E359))</f>
        <v/>
      </c>
      <c r="O359" s="226">
        <f>IF($C359="","",DATE(YEAR($C359),MONTH($C359),1))</f>
        <v/>
      </c>
      <c r="P359" s="113">
        <f>IF($C359="","",IF(AND($D359="Gelir",$L359&lt;&gt;"",$T359=""),"TANIMSIZ BORÇLU",IF($T359&lt;&gt;"",IF(OR($E359="",$G359&lt;=0),"EKSİK",IF($I359="Evet","TAHAKKUK NAKİT OLAMAZ",IF($C359&gt;TODAY(),"İLERİ TARİH","TAHAKKUK"))),IF(AND($D359&lt;&gt;"",$E359&lt;&gt;"",$G359&gt;0,$H359&lt;&gt;"",$I359&lt;&gt;""),IF($C359&gt;TODAY(),"İLERİ TARİH",IF(COUNTIF($W$7:$W$1206,$W359)&gt;1,"MÜKERRER?",IF($AD359&gt;0,"KAPALI DÖNEM",IF($I359="Hayır","ÖDENECEK","UYGUN")))),"EKSİK"))))</f>
        <v/>
      </c>
      <c r="Q359" s="6" t="n"/>
      <c r="R359" s="6" t="n"/>
      <c r="S359" s="3">
        <f>IF($L359="","",UPPER(SUBSTITUTE(SUBSTITUTE(SUBSTITUTE(SUBSTITUTE(SUBSTITUTE(SUBSTITUTE(SUBSTITUTE(SUBSTITUTE(SUBSTITUTE(SUBSTITUTE(SUBSTITUTE(SUBSTITUTE(SUBSTITUTE(SUBSTITUTE(SUBSTITUTE(SUBSTITUTE(SUBSTITUTE(SUBSTITUTE(TRIM($L359),"'",""),"İ","I"),"ı","I"),"i","I"),"Ş","S"),"ş","S"),"Ğ","G"),"ğ","G"),"Ü","U"),"ü","U"),"Ö","O"),"ö","O"),"Ç","C"),"ç","C"),".",""),",","")," ",""),"-","")))</f>
        <v/>
      </c>
      <c r="T359" s="3">
        <f>IF(OR($C359="",$D359&lt;&gt;"Gelir",$L359=""),"",IFERROR(INDEX(MUSTERILER!$B$7:$B$106,MATCH($S359,MUSTERILER!$T$7:$T$106,0)),""))</f>
        <v/>
      </c>
      <c r="U359" s="3">
        <f>IF($T359="","",$T359&amp;"|"&amp;COUNTIFS($T$7:$T359,$T359))</f>
        <v/>
      </c>
      <c r="V359" s="3">
        <f>IF($T359="",0,1)</f>
        <v/>
      </c>
      <c r="W359" s="3">
        <f>IF($C359="","",$D359&amp;"|"&amp;$E359&amp;"|"&amp;TEXT($C359,"0")&amp;"|"&amp;TEXT($G359,"0")&amp;"|"&amp;$J359)</f>
        <v/>
      </c>
      <c r="X359" s="3" t="n"/>
      <c r="Y359" s="3" t="n"/>
      <c r="Z359" s="3" t="n"/>
      <c r="AA359" s="3" t="n"/>
      <c r="AB359" s="3" t="n"/>
      <c r="AC359" s="3" t="n"/>
      <c r="AD359" s="3">
        <f>IF($C359="",0,SUMPRODUCT((AY_SONU!$O$7:$O$42="Evet")*(AY_SONU!$B$7:$B$42=DATE(YEAR($C359),MONTH($C359),1))))</f>
        <v/>
      </c>
    </row>
    <row r="360">
      <c r="A360" s="6" t="n"/>
      <c r="B360" s="113">
        <f>IF($C360="","","GG"&amp;TEXT(ROW()-6,"00000"))</f>
        <v/>
      </c>
      <c r="C360" s="220" t="n"/>
      <c r="D360" s="108" t="n"/>
      <c r="E360" s="109" t="n"/>
      <c r="F360" s="109" t="n"/>
      <c r="G360" s="221" t="n"/>
      <c r="H360" s="108" t="n"/>
      <c r="I360" s="108" t="n"/>
      <c r="J360" s="109" t="n"/>
      <c r="K360" s="109" t="n"/>
      <c r="L360" s="108" t="n"/>
      <c r="M360" s="121">
        <f>IF($C360="","",IF($D360="Gider",$E360,IF($L360&lt;&gt;"",$L360,$H360)))</f>
        <v/>
      </c>
      <c r="N360" s="121">
        <f>IF($C360="","",IF($D360="Gider",$H360,$E360))</f>
        <v/>
      </c>
      <c r="O360" s="226">
        <f>IF($C360="","",DATE(YEAR($C360),MONTH($C360),1))</f>
        <v/>
      </c>
      <c r="P360" s="113">
        <f>IF($C360="","",IF(AND($D360="Gelir",$L360&lt;&gt;"",$T360=""),"TANIMSIZ BORÇLU",IF($T360&lt;&gt;"",IF(OR($E360="",$G360&lt;=0),"EKSİK",IF($I360="Evet","TAHAKKUK NAKİT OLAMAZ",IF($C360&gt;TODAY(),"İLERİ TARİH","TAHAKKUK"))),IF(AND($D360&lt;&gt;"",$E360&lt;&gt;"",$G360&gt;0,$H360&lt;&gt;"",$I360&lt;&gt;""),IF($C360&gt;TODAY(),"İLERİ TARİH",IF(COUNTIF($W$7:$W$1206,$W360)&gt;1,"MÜKERRER?",IF($AD360&gt;0,"KAPALI DÖNEM",IF($I360="Hayır","ÖDENECEK","UYGUN")))),"EKSİK"))))</f>
        <v/>
      </c>
      <c r="Q360" s="6" t="n"/>
      <c r="R360" s="6" t="n"/>
      <c r="S360" s="3">
        <f>IF($L360="","",UPPER(SUBSTITUTE(SUBSTITUTE(SUBSTITUTE(SUBSTITUTE(SUBSTITUTE(SUBSTITUTE(SUBSTITUTE(SUBSTITUTE(SUBSTITUTE(SUBSTITUTE(SUBSTITUTE(SUBSTITUTE(SUBSTITUTE(SUBSTITUTE(SUBSTITUTE(SUBSTITUTE(SUBSTITUTE(SUBSTITUTE(TRIM($L360),"'",""),"İ","I"),"ı","I"),"i","I"),"Ş","S"),"ş","S"),"Ğ","G"),"ğ","G"),"Ü","U"),"ü","U"),"Ö","O"),"ö","O"),"Ç","C"),"ç","C"),".",""),",","")," ",""),"-","")))</f>
        <v/>
      </c>
      <c r="T360" s="3">
        <f>IF(OR($C360="",$D360&lt;&gt;"Gelir",$L360=""),"",IFERROR(INDEX(MUSTERILER!$B$7:$B$106,MATCH($S360,MUSTERILER!$T$7:$T$106,0)),""))</f>
        <v/>
      </c>
      <c r="U360" s="3">
        <f>IF($T360="","",$T360&amp;"|"&amp;COUNTIFS($T$7:$T360,$T360))</f>
        <v/>
      </c>
      <c r="V360" s="3">
        <f>IF($T360="",0,1)</f>
        <v/>
      </c>
      <c r="W360" s="3">
        <f>IF($C360="","",$D360&amp;"|"&amp;$E360&amp;"|"&amp;TEXT($C360,"0")&amp;"|"&amp;TEXT($G360,"0")&amp;"|"&amp;$J360)</f>
        <v/>
      </c>
      <c r="X360" s="3" t="n"/>
      <c r="Y360" s="3" t="n"/>
      <c r="Z360" s="3" t="n"/>
      <c r="AA360" s="3" t="n"/>
      <c r="AB360" s="3" t="n"/>
      <c r="AC360" s="3" t="n"/>
      <c r="AD360" s="3">
        <f>IF($C360="",0,SUMPRODUCT((AY_SONU!$O$7:$O$42="Evet")*(AY_SONU!$B$7:$B$42=DATE(YEAR($C360),MONTH($C360),1))))</f>
        <v/>
      </c>
    </row>
    <row r="361">
      <c r="A361" s="6" t="n"/>
      <c r="B361" s="113">
        <f>IF($C361="","","GG"&amp;TEXT(ROW()-6,"00000"))</f>
        <v/>
      </c>
      <c r="C361" s="220" t="n"/>
      <c r="D361" s="108" t="n"/>
      <c r="E361" s="109" t="n"/>
      <c r="F361" s="109" t="n"/>
      <c r="G361" s="221" t="n"/>
      <c r="H361" s="108" t="n"/>
      <c r="I361" s="108" t="n"/>
      <c r="J361" s="109" t="n"/>
      <c r="K361" s="109" t="n"/>
      <c r="L361" s="108" t="n"/>
      <c r="M361" s="121">
        <f>IF($C361="","",IF($D361="Gider",$E361,IF($L361&lt;&gt;"",$L361,$H361)))</f>
        <v/>
      </c>
      <c r="N361" s="121">
        <f>IF($C361="","",IF($D361="Gider",$H361,$E361))</f>
        <v/>
      </c>
      <c r="O361" s="226">
        <f>IF($C361="","",DATE(YEAR($C361),MONTH($C361),1))</f>
        <v/>
      </c>
      <c r="P361" s="113">
        <f>IF($C361="","",IF(AND($D361="Gelir",$L361&lt;&gt;"",$T361=""),"TANIMSIZ BORÇLU",IF($T361&lt;&gt;"",IF(OR($E361="",$G361&lt;=0),"EKSİK",IF($I361="Evet","TAHAKKUK NAKİT OLAMAZ",IF($C361&gt;TODAY(),"İLERİ TARİH","TAHAKKUK"))),IF(AND($D361&lt;&gt;"",$E361&lt;&gt;"",$G361&gt;0,$H361&lt;&gt;"",$I361&lt;&gt;""),IF($C361&gt;TODAY(),"İLERİ TARİH",IF(COUNTIF($W$7:$W$1206,$W361)&gt;1,"MÜKERRER?",IF($AD361&gt;0,"KAPALI DÖNEM",IF($I361="Hayır","ÖDENECEK","UYGUN")))),"EKSİK"))))</f>
        <v/>
      </c>
      <c r="Q361" s="6" t="n"/>
      <c r="R361" s="6" t="n"/>
      <c r="S361" s="3">
        <f>IF($L361="","",UPPER(SUBSTITUTE(SUBSTITUTE(SUBSTITUTE(SUBSTITUTE(SUBSTITUTE(SUBSTITUTE(SUBSTITUTE(SUBSTITUTE(SUBSTITUTE(SUBSTITUTE(SUBSTITUTE(SUBSTITUTE(SUBSTITUTE(SUBSTITUTE(SUBSTITUTE(SUBSTITUTE(SUBSTITUTE(SUBSTITUTE(TRIM($L361),"'",""),"İ","I"),"ı","I"),"i","I"),"Ş","S"),"ş","S"),"Ğ","G"),"ğ","G"),"Ü","U"),"ü","U"),"Ö","O"),"ö","O"),"Ç","C"),"ç","C"),".",""),",","")," ",""),"-","")))</f>
        <v/>
      </c>
      <c r="T361" s="3">
        <f>IF(OR($C361="",$D361&lt;&gt;"Gelir",$L361=""),"",IFERROR(INDEX(MUSTERILER!$B$7:$B$106,MATCH($S361,MUSTERILER!$T$7:$T$106,0)),""))</f>
        <v/>
      </c>
      <c r="U361" s="3">
        <f>IF($T361="","",$T361&amp;"|"&amp;COUNTIFS($T$7:$T361,$T361))</f>
        <v/>
      </c>
      <c r="V361" s="3">
        <f>IF($T361="",0,1)</f>
        <v/>
      </c>
      <c r="W361" s="3">
        <f>IF($C361="","",$D361&amp;"|"&amp;$E361&amp;"|"&amp;TEXT($C361,"0")&amp;"|"&amp;TEXT($G361,"0")&amp;"|"&amp;$J361)</f>
        <v/>
      </c>
      <c r="X361" s="3" t="n"/>
      <c r="Y361" s="3" t="n"/>
      <c r="Z361" s="3" t="n"/>
      <c r="AA361" s="3" t="n"/>
      <c r="AB361" s="3" t="n"/>
      <c r="AC361" s="3" t="n"/>
      <c r="AD361" s="3">
        <f>IF($C361="",0,SUMPRODUCT((AY_SONU!$O$7:$O$42="Evet")*(AY_SONU!$B$7:$B$42=DATE(YEAR($C361),MONTH($C361),1))))</f>
        <v/>
      </c>
    </row>
    <row r="362">
      <c r="A362" s="6" t="n"/>
      <c r="B362" s="113">
        <f>IF($C362="","","GG"&amp;TEXT(ROW()-6,"00000"))</f>
        <v/>
      </c>
      <c r="C362" s="220" t="n"/>
      <c r="D362" s="108" t="n"/>
      <c r="E362" s="109" t="n"/>
      <c r="F362" s="109" t="n"/>
      <c r="G362" s="221" t="n"/>
      <c r="H362" s="108" t="n"/>
      <c r="I362" s="108" t="n"/>
      <c r="J362" s="109" t="n"/>
      <c r="K362" s="109" t="n"/>
      <c r="L362" s="108" t="n"/>
      <c r="M362" s="121">
        <f>IF($C362="","",IF($D362="Gider",$E362,IF($L362&lt;&gt;"",$L362,$H362)))</f>
        <v/>
      </c>
      <c r="N362" s="121">
        <f>IF($C362="","",IF($D362="Gider",$H362,$E362))</f>
        <v/>
      </c>
      <c r="O362" s="226">
        <f>IF($C362="","",DATE(YEAR($C362),MONTH($C362),1))</f>
        <v/>
      </c>
      <c r="P362" s="113">
        <f>IF($C362="","",IF(AND($D362="Gelir",$L362&lt;&gt;"",$T362=""),"TANIMSIZ BORÇLU",IF($T362&lt;&gt;"",IF(OR($E362="",$G362&lt;=0),"EKSİK",IF($I362="Evet","TAHAKKUK NAKİT OLAMAZ",IF($C362&gt;TODAY(),"İLERİ TARİH","TAHAKKUK"))),IF(AND($D362&lt;&gt;"",$E362&lt;&gt;"",$G362&gt;0,$H362&lt;&gt;"",$I362&lt;&gt;""),IF($C362&gt;TODAY(),"İLERİ TARİH",IF(COUNTIF($W$7:$W$1206,$W362)&gt;1,"MÜKERRER?",IF($AD362&gt;0,"KAPALI DÖNEM",IF($I362="Hayır","ÖDENECEK","UYGUN")))),"EKSİK"))))</f>
        <v/>
      </c>
      <c r="Q362" s="6" t="n"/>
      <c r="R362" s="6" t="n"/>
      <c r="S362" s="3">
        <f>IF($L362="","",UPPER(SUBSTITUTE(SUBSTITUTE(SUBSTITUTE(SUBSTITUTE(SUBSTITUTE(SUBSTITUTE(SUBSTITUTE(SUBSTITUTE(SUBSTITUTE(SUBSTITUTE(SUBSTITUTE(SUBSTITUTE(SUBSTITUTE(SUBSTITUTE(SUBSTITUTE(SUBSTITUTE(SUBSTITUTE(SUBSTITUTE(TRIM($L362),"'",""),"İ","I"),"ı","I"),"i","I"),"Ş","S"),"ş","S"),"Ğ","G"),"ğ","G"),"Ü","U"),"ü","U"),"Ö","O"),"ö","O"),"Ç","C"),"ç","C"),".",""),",","")," ",""),"-","")))</f>
        <v/>
      </c>
      <c r="T362" s="3">
        <f>IF(OR($C362="",$D362&lt;&gt;"Gelir",$L362=""),"",IFERROR(INDEX(MUSTERILER!$B$7:$B$106,MATCH($S362,MUSTERILER!$T$7:$T$106,0)),""))</f>
        <v/>
      </c>
      <c r="U362" s="3">
        <f>IF($T362="","",$T362&amp;"|"&amp;COUNTIFS($T$7:$T362,$T362))</f>
        <v/>
      </c>
      <c r="V362" s="3">
        <f>IF($T362="",0,1)</f>
        <v/>
      </c>
      <c r="W362" s="3">
        <f>IF($C362="","",$D362&amp;"|"&amp;$E362&amp;"|"&amp;TEXT($C362,"0")&amp;"|"&amp;TEXT($G362,"0")&amp;"|"&amp;$J362)</f>
        <v/>
      </c>
      <c r="X362" s="3" t="n"/>
      <c r="Y362" s="3" t="n"/>
      <c r="Z362" s="3" t="n"/>
      <c r="AA362" s="3" t="n"/>
      <c r="AB362" s="3" t="n"/>
      <c r="AC362" s="3" t="n"/>
      <c r="AD362" s="3">
        <f>IF($C362="",0,SUMPRODUCT((AY_SONU!$O$7:$O$42="Evet")*(AY_SONU!$B$7:$B$42=DATE(YEAR($C362),MONTH($C362),1))))</f>
        <v/>
      </c>
    </row>
    <row r="363">
      <c r="A363" s="6" t="n"/>
      <c r="B363" s="113">
        <f>IF($C363="","","GG"&amp;TEXT(ROW()-6,"00000"))</f>
        <v/>
      </c>
      <c r="C363" s="220" t="n"/>
      <c r="D363" s="108" t="n"/>
      <c r="E363" s="109" t="n"/>
      <c r="F363" s="109" t="n"/>
      <c r="G363" s="221" t="n"/>
      <c r="H363" s="108" t="n"/>
      <c r="I363" s="108" t="n"/>
      <c r="J363" s="109" t="n"/>
      <c r="K363" s="109" t="n"/>
      <c r="L363" s="108" t="n"/>
      <c r="M363" s="121">
        <f>IF($C363="","",IF($D363="Gider",$E363,IF($L363&lt;&gt;"",$L363,$H363)))</f>
        <v/>
      </c>
      <c r="N363" s="121">
        <f>IF($C363="","",IF($D363="Gider",$H363,$E363))</f>
        <v/>
      </c>
      <c r="O363" s="226">
        <f>IF($C363="","",DATE(YEAR($C363),MONTH($C363),1))</f>
        <v/>
      </c>
      <c r="P363" s="113">
        <f>IF($C363="","",IF(AND($D363="Gelir",$L363&lt;&gt;"",$T363=""),"TANIMSIZ BORÇLU",IF($T363&lt;&gt;"",IF(OR($E363="",$G363&lt;=0),"EKSİK",IF($I363="Evet","TAHAKKUK NAKİT OLAMAZ",IF($C363&gt;TODAY(),"İLERİ TARİH","TAHAKKUK"))),IF(AND($D363&lt;&gt;"",$E363&lt;&gt;"",$G363&gt;0,$H363&lt;&gt;"",$I363&lt;&gt;""),IF($C363&gt;TODAY(),"İLERİ TARİH",IF(COUNTIF($W$7:$W$1206,$W363)&gt;1,"MÜKERRER?",IF($AD363&gt;0,"KAPALI DÖNEM",IF($I363="Hayır","ÖDENECEK","UYGUN")))),"EKSİK"))))</f>
        <v/>
      </c>
      <c r="Q363" s="6" t="n"/>
      <c r="R363" s="6" t="n"/>
      <c r="S363" s="3">
        <f>IF($L363="","",UPPER(SUBSTITUTE(SUBSTITUTE(SUBSTITUTE(SUBSTITUTE(SUBSTITUTE(SUBSTITUTE(SUBSTITUTE(SUBSTITUTE(SUBSTITUTE(SUBSTITUTE(SUBSTITUTE(SUBSTITUTE(SUBSTITUTE(SUBSTITUTE(SUBSTITUTE(SUBSTITUTE(SUBSTITUTE(SUBSTITUTE(TRIM($L363),"'",""),"İ","I"),"ı","I"),"i","I"),"Ş","S"),"ş","S"),"Ğ","G"),"ğ","G"),"Ü","U"),"ü","U"),"Ö","O"),"ö","O"),"Ç","C"),"ç","C"),".",""),",","")," ",""),"-","")))</f>
        <v/>
      </c>
      <c r="T363" s="3">
        <f>IF(OR($C363="",$D363&lt;&gt;"Gelir",$L363=""),"",IFERROR(INDEX(MUSTERILER!$B$7:$B$106,MATCH($S363,MUSTERILER!$T$7:$T$106,0)),""))</f>
        <v/>
      </c>
      <c r="U363" s="3">
        <f>IF($T363="","",$T363&amp;"|"&amp;COUNTIFS($T$7:$T363,$T363))</f>
        <v/>
      </c>
      <c r="V363" s="3">
        <f>IF($T363="",0,1)</f>
        <v/>
      </c>
      <c r="W363" s="3">
        <f>IF($C363="","",$D363&amp;"|"&amp;$E363&amp;"|"&amp;TEXT($C363,"0")&amp;"|"&amp;TEXT($G363,"0")&amp;"|"&amp;$J363)</f>
        <v/>
      </c>
      <c r="X363" s="3" t="n"/>
      <c r="Y363" s="3" t="n"/>
      <c r="Z363" s="3" t="n"/>
      <c r="AA363" s="3" t="n"/>
      <c r="AB363" s="3" t="n"/>
      <c r="AC363" s="3" t="n"/>
      <c r="AD363" s="3">
        <f>IF($C363="",0,SUMPRODUCT((AY_SONU!$O$7:$O$42="Evet")*(AY_SONU!$B$7:$B$42=DATE(YEAR($C363),MONTH($C363),1))))</f>
        <v/>
      </c>
    </row>
    <row r="364">
      <c r="A364" s="6" t="n"/>
      <c r="B364" s="113">
        <f>IF($C364="","","GG"&amp;TEXT(ROW()-6,"00000"))</f>
        <v/>
      </c>
      <c r="C364" s="220" t="n"/>
      <c r="D364" s="108" t="n"/>
      <c r="E364" s="109" t="n"/>
      <c r="F364" s="109" t="n"/>
      <c r="G364" s="221" t="n"/>
      <c r="H364" s="108" t="n"/>
      <c r="I364" s="108" t="n"/>
      <c r="J364" s="109" t="n"/>
      <c r="K364" s="109" t="n"/>
      <c r="L364" s="108" t="n"/>
      <c r="M364" s="121">
        <f>IF($C364="","",IF($D364="Gider",$E364,IF($L364&lt;&gt;"",$L364,$H364)))</f>
        <v/>
      </c>
      <c r="N364" s="121">
        <f>IF($C364="","",IF($D364="Gider",$H364,$E364))</f>
        <v/>
      </c>
      <c r="O364" s="226">
        <f>IF($C364="","",DATE(YEAR($C364),MONTH($C364),1))</f>
        <v/>
      </c>
      <c r="P364" s="113">
        <f>IF($C364="","",IF(AND($D364="Gelir",$L364&lt;&gt;"",$T364=""),"TANIMSIZ BORÇLU",IF($T364&lt;&gt;"",IF(OR($E364="",$G364&lt;=0),"EKSİK",IF($I364="Evet","TAHAKKUK NAKİT OLAMAZ",IF($C364&gt;TODAY(),"İLERİ TARİH","TAHAKKUK"))),IF(AND($D364&lt;&gt;"",$E364&lt;&gt;"",$G364&gt;0,$H364&lt;&gt;"",$I364&lt;&gt;""),IF($C364&gt;TODAY(),"İLERİ TARİH",IF(COUNTIF($W$7:$W$1206,$W364)&gt;1,"MÜKERRER?",IF($AD364&gt;0,"KAPALI DÖNEM",IF($I364="Hayır","ÖDENECEK","UYGUN")))),"EKSİK"))))</f>
        <v/>
      </c>
      <c r="Q364" s="6" t="n"/>
      <c r="R364" s="6" t="n"/>
      <c r="S364" s="3">
        <f>IF($L364="","",UPPER(SUBSTITUTE(SUBSTITUTE(SUBSTITUTE(SUBSTITUTE(SUBSTITUTE(SUBSTITUTE(SUBSTITUTE(SUBSTITUTE(SUBSTITUTE(SUBSTITUTE(SUBSTITUTE(SUBSTITUTE(SUBSTITUTE(SUBSTITUTE(SUBSTITUTE(SUBSTITUTE(SUBSTITUTE(SUBSTITUTE(TRIM($L364),"'",""),"İ","I"),"ı","I"),"i","I"),"Ş","S"),"ş","S"),"Ğ","G"),"ğ","G"),"Ü","U"),"ü","U"),"Ö","O"),"ö","O"),"Ç","C"),"ç","C"),".",""),",","")," ",""),"-","")))</f>
        <v/>
      </c>
      <c r="T364" s="3">
        <f>IF(OR($C364="",$D364&lt;&gt;"Gelir",$L364=""),"",IFERROR(INDEX(MUSTERILER!$B$7:$B$106,MATCH($S364,MUSTERILER!$T$7:$T$106,0)),""))</f>
        <v/>
      </c>
      <c r="U364" s="3">
        <f>IF($T364="","",$T364&amp;"|"&amp;COUNTIFS($T$7:$T364,$T364))</f>
        <v/>
      </c>
      <c r="V364" s="3">
        <f>IF($T364="",0,1)</f>
        <v/>
      </c>
      <c r="W364" s="3">
        <f>IF($C364="","",$D364&amp;"|"&amp;$E364&amp;"|"&amp;TEXT($C364,"0")&amp;"|"&amp;TEXT($G364,"0")&amp;"|"&amp;$J364)</f>
        <v/>
      </c>
      <c r="X364" s="3" t="n"/>
      <c r="Y364" s="3" t="n"/>
      <c r="Z364" s="3" t="n"/>
      <c r="AA364" s="3" t="n"/>
      <c r="AB364" s="3" t="n"/>
      <c r="AC364" s="3" t="n"/>
      <c r="AD364" s="3">
        <f>IF($C364="",0,SUMPRODUCT((AY_SONU!$O$7:$O$42="Evet")*(AY_SONU!$B$7:$B$42=DATE(YEAR($C364),MONTH($C364),1))))</f>
        <v/>
      </c>
    </row>
    <row r="365">
      <c r="A365" s="6" t="n"/>
      <c r="B365" s="113">
        <f>IF($C365="","","GG"&amp;TEXT(ROW()-6,"00000"))</f>
        <v/>
      </c>
      <c r="C365" s="220" t="n"/>
      <c r="D365" s="108" t="n"/>
      <c r="E365" s="109" t="n"/>
      <c r="F365" s="109" t="n"/>
      <c r="G365" s="221" t="n"/>
      <c r="H365" s="108" t="n"/>
      <c r="I365" s="108" t="n"/>
      <c r="J365" s="109" t="n"/>
      <c r="K365" s="109" t="n"/>
      <c r="L365" s="108" t="n"/>
      <c r="M365" s="121">
        <f>IF($C365="","",IF($D365="Gider",$E365,IF($L365&lt;&gt;"",$L365,$H365)))</f>
        <v/>
      </c>
      <c r="N365" s="121">
        <f>IF($C365="","",IF($D365="Gider",$H365,$E365))</f>
        <v/>
      </c>
      <c r="O365" s="226">
        <f>IF($C365="","",DATE(YEAR($C365),MONTH($C365),1))</f>
        <v/>
      </c>
      <c r="P365" s="113">
        <f>IF($C365="","",IF(AND($D365="Gelir",$L365&lt;&gt;"",$T365=""),"TANIMSIZ BORÇLU",IF($T365&lt;&gt;"",IF(OR($E365="",$G365&lt;=0),"EKSİK",IF($I365="Evet","TAHAKKUK NAKİT OLAMAZ",IF($C365&gt;TODAY(),"İLERİ TARİH","TAHAKKUK"))),IF(AND($D365&lt;&gt;"",$E365&lt;&gt;"",$G365&gt;0,$H365&lt;&gt;"",$I365&lt;&gt;""),IF($C365&gt;TODAY(),"İLERİ TARİH",IF(COUNTIF($W$7:$W$1206,$W365)&gt;1,"MÜKERRER?",IF($AD365&gt;0,"KAPALI DÖNEM",IF($I365="Hayır","ÖDENECEK","UYGUN")))),"EKSİK"))))</f>
        <v/>
      </c>
      <c r="Q365" s="6" t="n"/>
      <c r="R365" s="6" t="n"/>
      <c r="S365" s="3">
        <f>IF($L365="","",UPPER(SUBSTITUTE(SUBSTITUTE(SUBSTITUTE(SUBSTITUTE(SUBSTITUTE(SUBSTITUTE(SUBSTITUTE(SUBSTITUTE(SUBSTITUTE(SUBSTITUTE(SUBSTITUTE(SUBSTITUTE(SUBSTITUTE(SUBSTITUTE(SUBSTITUTE(SUBSTITUTE(SUBSTITUTE(SUBSTITUTE(TRIM($L365),"'",""),"İ","I"),"ı","I"),"i","I"),"Ş","S"),"ş","S"),"Ğ","G"),"ğ","G"),"Ü","U"),"ü","U"),"Ö","O"),"ö","O"),"Ç","C"),"ç","C"),".",""),",","")," ",""),"-","")))</f>
        <v/>
      </c>
      <c r="T365" s="3">
        <f>IF(OR($C365="",$D365&lt;&gt;"Gelir",$L365=""),"",IFERROR(INDEX(MUSTERILER!$B$7:$B$106,MATCH($S365,MUSTERILER!$T$7:$T$106,0)),""))</f>
        <v/>
      </c>
      <c r="U365" s="3">
        <f>IF($T365="","",$T365&amp;"|"&amp;COUNTIFS($T$7:$T365,$T365))</f>
        <v/>
      </c>
      <c r="V365" s="3">
        <f>IF($T365="",0,1)</f>
        <v/>
      </c>
      <c r="W365" s="3">
        <f>IF($C365="","",$D365&amp;"|"&amp;$E365&amp;"|"&amp;TEXT($C365,"0")&amp;"|"&amp;TEXT($G365,"0")&amp;"|"&amp;$J365)</f>
        <v/>
      </c>
      <c r="X365" s="3" t="n"/>
      <c r="Y365" s="3" t="n"/>
      <c r="Z365" s="3" t="n"/>
      <c r="AA365" s="3" t="n"/>
      <c r="AB365" s="3" t="n"/>
      <c r="AC365" s="3" t="n"/>
      <c r="AD365" s="3">
        <f>IF($C365="",0,SUMPRODUCT((AY_SONU!$O$7:$O$42="Evet")*(AY_SONU!$B$7:$B$42=DATE(YEAR($C365),MONTH($C365),1))))</f>
        <v/>
      </c>
    </row>
    <row r="366">
      <c r="A366" s="6" t="n"/>
      <c r="B366" s="113">
        <f>IF($C366="","","GG"&amp;TEXT(ROW()-6,"00000"))</f>
        <v/>
      </c>
      <c r="C366" s="220" t="n"/>
      <c r="D366" s="108" t="n"/>
      <c r="E366" s="109" t="n"/>
      <c r="F366" s="109" t="n"/>
      <c r="G366" s="221" t="n"/>
      <c r="H366" s="108" t="n"/>
      <c r="I366" s="108" t="n"/>
      <c r="J366" s="109" t="n"/>
      <c r="K366" s="109" t="n"/>
      <c r="L366" s="108" t="n"/>
      <c r="M366" s="121">
        <f>IF($C366="","",IF($D366="Gider",$E366,IF($L366&lt;&gt;"",$L366,$H366)))</f>
        <v/>
      </c>
      <c r="N366" s="121">
        <f>IF($C366="","",IF($D366="Gider",$H366,$E366))</f>
        <v/>
      </c>
      <c r="O366" s="226">
        <f>IF($C366="","",DATE(YEAR($C366),MONTH($C366),1))</f>
        <v/>
      </c>
      <c r="P366" s="113">
        <f>IF($C366="","",IF(AND($D366="Gelir",$L366&lt;&gt;"",$T366=""),"TANIMSIZ BORÇLU",IF($T366&lt;&gt;"",IF(OR($E366="",$G366&lt;=0),"EKSİK",IF($I366="Evet","TAHAKKUK NAKİT OLAMAZ",IF($C366&gt;TODAY(),"İLERİ TARİH","TAHAKKUK"))),IF(AND($D366&lt;&gt;"",$E366&lt;&gt;"",$G366&gt;0,$H366&lt;&gt;"",$I366&lt;&gt;""),IF($C366&gt;TODAY(),"İLERİ TARİH",IF(COUNTIF($W$7:$W$1206,$W366)&gt;1,"MÜKERRER?",IF($AD366&gt;0,"KAPALI DÖNEM",IF($I366="Hayır","ÖDENECEK","UYGUN")))),"EKSİK"))))</f>
        <v/>
      </c>
      <c r="Q366" s="6" t="n"/>
      <c r="R366" s="6" t="n"/>
      <c r="S366" s="3">
        <f>IF($L366="","",UPPER(SUBSTITUTE(SUBSTITUTE(SUBSTITUTE(SUBSTITUTE(SUBSTITUTE(SUBSTITUTE(SUBSTITUTE(SUBSTITUTE(SUBSTITUTE(SUBSTITUTE(SUBSTITUTE(SUBSTITUTE(SUBSTITUTE(SUBSTITUTE(SUBSTITUTE(SUBSTITUTE(SUBSTITUTE(SUBSTITUTE(TRIM($L366),"'",""),"İ","I"),"ı","I"),"i","I"),"Ş","S"),"ş","S"),"Ğ","G"),"ğ","G"),"Ü","U"),"ü","U"),"Ö","O"),"ö","O"),"Ç","C"),"ç","C"),".",""),",","")," ",""),"-","")))</f>
        <v/>
      </c>
      <c r="T366" s="3">
        <f>IF(OR($C366="",$D366&lt;&gt;"Gelir",$L366=""),"",IFERROR(INDEX(MUSTERILER!$B$7:$B$106,MATCH($S366,MUSTERILER!$T$7:$T$106,0)),""))</f>
        <v/>
      </c>
      <c r="U366" s="3">
        <f>IF($T366="","",$T366&amp;"|"&amp;COUNTIFS($T$7:$T366,$T366))</f>
        <v/>
      </c>
      <c r="V366" s="3">
        <f>IF($T366="",0,1)</f>
        <v/>
      </c>
      <c r="W366" s="3">
        <f>IF($C366="","",$D366&amp;"|"&amp;$E366&amp;"|"&amp;TEXT($C366,"0")&amp;"|"&amp;TEXT($G366,"0")&amp;"|"&amp;$J366)</f>
        <v/>
      </c>
      <c r="X366" s="3" t="n"/>
      <c r="Y366" s="3" t="n"/>
      <c r="Z366" s="3" t="n"/>
      <c r="AA366" s="3" t="n"/>
      <c r="AB366" s="3" t="n"/>
      <c r="AC366" s="3" t="n"/>
      <c r="AD366" s="3">
        <f>IF($C366="",0,SUMPRODUCT((AY_SONU!$O$7:$O$42="Evet")*(AY_SONU!$B$7:$B$42=DATE(YEAR($C366),MONTH($C366),1))))</f>
        <v/>
      </c>
    </row>
    <row r="367">
      <c r="A367" s="6" t="n"/>
      <c r="B367" s="113">
        <f>IF($C367="","","GG"&amp;TEXT(ROW()-6,"00000"))</f>
        <v/>
      </c>
      <c r="C367" s="220" t="n"/>
      <c r="D367" s="108" t="n"/>
      <c r="E367" s="109" t="n"/>
      <c r="F367" s="109" t="n"/>
      <c r="G367" s="221" t="n"/>
      <c r="H367" s="108" t="n"/>
      <c r="I367" s="108" t="n"/>
      <c r="J367" s="109" t="n"/>
      <c r="K367" s="109" t="n"/>
      <c r="L367" s="108" t="n"/>
      <c r="M367" s="121">
        <f>IF($C367="","",IF($D367="Gider",$E367,IF($L367&lt;&gt;"",$L367,$H367)))</f>
        <v/>
      </c>
      <c r="N367" s="121">
        <f>IF($C367="","",IF($D367="Gider",$H367,$E367))</f>
        <v/>
      </c>
      <c r="O367" s="226">
        <f>IF($C367="","",DATE(YEAR($C367),MONTH($C367),1))</f>
        <v/>
      </c>
      <c r="P367" s="113">
        <f>IF($C367="","",IF(AND($D367="Gelir",$L367&lt;&gt;"",$T367=""),"TANIMSIZ BORÇLU",IF($T367&lt;&gt;"",IF(OR($E367="",$G367&lt;=0),"EKSİK",IF($I367="Evet","TAHAKKUK NAKİT OLAMAZ",IF($C367&gt;TODAY(),"İLERİ TARİH","TAHAKKUK"))),IF(AND($D367&lt;&gt;"",$E367&lt;&gt;"",$G367&gt;0,$H367&lt;&gt;"",$I367&lt;&gt;""),IF($C367&gt;TODAY(),"İLERİ TARİH",IF(COUNTIF($W$7:$W$1206,$W367)&gt;1,"MÜKERRER?",IF($AD367&gt;0,"KAPALI DÖNEM",IF($I367="Hayır","ÖDENECEK","UYGUN")))),"EKSİK"))))</f>
        <v/>
      </c>
      <c r="Q367" s="6" t="n"/>
      <c r="R367" s="6" t="n"/>
      <c r="S367" s="3">
        <f>IF($L367="","",UPPER(SUBSTITUTE(SUBSTITUTE(SUBSTITUTE(SUBSTITUTE(SUBSTITUTE(SUBSTITUTE(SUBSTITUTE(SUBSTITUTE(SUBSTITUTE(SUBSTITUTE(SUBSTITUTE(SUBSTITUTE(SUBSTITUTE(SUBSTITUTE(SUBSTITUTE(SUBSTITUTE(SUBSTITUTE(SUBSTITUTE(TRIM($L367),"'",""),"İ","I"),"ı","I"),"i","I"),"Ş","S"),"ş","S"),"Ğ","G"),"ğ","G"),"Ü","U"),"ü","U"),"Ö","O"),"ö","O"),"Ç","C"),"ç","C"),".",""),",","")," ",""),"-","")))</f>
        <v/>
      </c>
      <c r="T367" s="3">
        <f>IF(OR($C367="",$D367&lt;&gt;"Gelir",$L367=""),"",IFERROR(INDEX(MUSTERILER!$B$7:$B$106,MATCH($S367,MUSTERILER!$T$7:$T$106,0)),""))</f>
        <v/>
      </c>
      <c r="U367" s="3">
        <f>IF($T367="","",$T367&amp;"|"&amp;COUNTIFS($T$7:$T367,$T367))</f>
        <v/>
      </c>
      <c r="V367" s="3">
        <f>IF($T367="",0,1)</f>
        <v/>
      </c>
      <c r="W367" s="3">
        <f>IF($C367="","",$D367&amp;"|"&amp;$E367&amp;"|"&amp;TEXT($C367,"0")&amp;"|"&amp;TEXT($G367,"0")&amp;"|"&amp;$J367)</f>
        <v/>
      </c>
      <c r="X367" s="3" t="n"/>
      <c r="Y367" s="3" t="n"/>
      <c r="Z367" s="3" t="n"/>
      <c r="AA367" s="3" t="n"/>
      <c r="AB367" s="3" t="n"/>
      <c r="AC367" s="3" t="n"/>
      <c r="AD367" s="3">
        <f>IF($C367="",0,SUMPRODUCT((AY_SONU!$O$7:$O$42="Evet")*(AY_SONU!$B$7:$B$42=DATE(YEAR($C367),MONTH($C367),1))))</f>
        <v/>
      </c>
    </row>
    <row r="368">
      <c r="A368" s="6" t="n"/>
      <c r="B368" s="113">
        <f>IF($C368="","","GG"&amp;TEXT(ROW()-6,"00000"))</f>
        <v/>
      </c>
      <c r="C368" s="220" t="n"/>
      <c r="D368" s="108" t="n"/>
      <c r="E368" s="109" t="n"/>
      <c r="F368" s="109" t="n"/>
      <c r="G368" s="221" t="n"/>
      <c r="H368" s="108" t="n"/>
      <c r="I368" s="108" t="n"/>
      <c r="J368" s="109" t="n"/>
      <c r="K368" s="109" t="n"/>
      <c r="L368" s="108" t="n"/>
      <c r="M368" s="121">
        <f>IF($C368="","",IF($D368="Gider",$E368,IF($L368&lt;&gt;"",$L368,$H368)))</f>
        <v/>
      </c>
      <c r="N368" s="121">
        <f>IF($C368="","",IF($D368="Gider",$H368,$E368))</f>
        <v/>
      </c>
      <c r="O368" s="226">
        <f>IF($C368="","",DATE(YEAR($C368),MONTH($C368),1))</f>
        <v/>
      </c>
      <c r="P368" s="113">
        <f>IF($C368="","",IF(AND($D368="Gelir",$L368&lt;&gt;"",$T368=""),"TANIMSIZ BORÇLU",IF($T368&lt;&gt;"",IF(OR($E368="",$G368&lt;=0),"EKSİK",IF($I368="Evet","TAHAKKUK NAKİT OLAMAZ",IF($C368&gt;TODAY(),"İLERİ TARİH","TAHAKKUK"))),IF(AND($D368&lt;&gt;"",$E368&lt;&gt;"",$G368&gt;0,$H368&lt;&gt;"",$I368&lt;&gt;""),IF($C368&gt;TODAY(),"İLERİ TARİH",IF(COUNTIF($W$7:$W$1206,$W368)&gt;1,"MÜKERRER?",IF($AD368&gt;0,"KAPALI DÖNEM",IF($I368="Hayır","ÖDENECEK","UYGUN")))),"EKSİK"))))</f>
        <v/>
      </c>
      <c r="Q368" s="6" t="n"/>
      <c r="R368" s="6" t="n"/>
      <c r="S368" s="3">
        <f>IF($L368="","",UPPER(SUBSTITUTE(SUBSTITUTE(SUBSTITUTE(SUBSTITUTE(SUBSTITUTE(SUBSTITUTE(SUBSTITUTE(SUBSTITUTE(SUBSTITUTE(SUBSTITUTE(SUBSTITUTE(SUBSTITUTE(SUBSTITUTE(SUBSTITUTE(SUBSTITUTE(SUBSTITUTE(SUBSTITUTE(SUBSTITUTE(TRIM($L368),"'",""),"İ","I"),"ı","I"),"i","I"),"Ş","S"),"ş","S"),"Ğ","G"),"ğ","G"),"Ü","U"),"ü","U"),"Ö","O"),"ö","O"),"Ç","C"),"ç","C"),".",""),",","")," ",""),"-","")))</f>
        <v/>
      </c>
      <c r="T368" s="3">
        <f>IF(OR($C368="",$D368&lt;&gt;"Gelir",$L368=""),"",IFERROR(INDEX(MUSTERILER!$B$7:$B$106,MATCH($S368,MUSTERILER!$T$7:$T$106,0)),""))</f>
        <v/>
      </c>
      <c r="U368" s="3">
        <f>IF($T368="","",$T368&amp;"|"&amp;COUNTIFS($T$7:$T368,$T368))</f>
        <v/>
      </c>
      <c r="V368" s="3">
        <f>IF($T368="",0,1)</f>
        <v/>
      </c>
      <c r="W368" s="3">
        <f>IF($C368="","",$D368&amp;"|"&amp;$E368&amp;"|"&amp;TEXT($C368,"0")&amp;"|"&amp;TEXT($G368,"0")&amp;"|"&amp;$J368)</f>
        <v/>
      </c>
      <c r="X368" s="3" t="n"/>
      <c r="Y368" s="3" t="n"/>
      <c r="Z368" s="3" t="n"/>
      <c r="AA368" s="3" t="n"/>
      <c r="AB368" s="3" t="n"/>
      <c r="AC368" s="3" t="n"/>
      <c r="AD368" s="3">
        <f>IF($C368="",0,SUMPRODUCT((AY_SONU!$O$7:$O$42="Evet")*(AY_SONU!$B$7:$B$42=DATE(YEAR($C368),MONTH($C368),1))))</f>
        <v/>
      </c>
    </row>
    <row r="369">
      <c r="A369" s="6" t="n"/>
      <c r="B369" s="113">
        <f>IF($C369="","","GG"&amp;TEXT(ROW()-6,"00000"))</f>
        <v/>
      </c>
      <c r="C369" s="220" t="n"/>
      <c r="D369" s="108" t="n"/>
      <c r="E369" s="109" t="n"/>
      <c r="F369" s="109" t="n"/>
      <c r="G369" s="221" t="n"/>
      <c r="H369" s="108" t="n"/>
      <c r="I369" s="108" t="n"/>
      <c r="J369" s="109" t="n"/>
      <c r="K369" s="109" t="n"/>
      <c r="L369" s="108" t="n"/>
      <c r="M369" s="121">
        <f>IF($C369="","",IF($D369="Gider",$E369,IF($L369&lt;&gt;"",$L369,$H369)))</f>
        <v/>
      </c>
      <c r="N369" s="121">
        <f>IF($C369="","",IF($D369="Gider",$H369,$E369))</f>
        <v/>
      </c>
      <c r="O369" s="226">
        <f>IF($C369="","",DATE(YEAR($C369),MONTH($C369),1))</f>
        <v/>
      </c>
      <c r="P369" s="113">
        <f>IF($C369="","",IF(AND($D369="Gelir",$L369&lt;&gt;"",$T369=""),"TANIMSIZ BORÇLU",IF($T369&lt;&gt;"",IF(OR($E369="",$G369&lt;=0),"EKSİK",IF($I369="Evet","TAHAKKUK NAKİT OLAMAZ",IF($C369&gt;TODAY(),"İLERİ TARİH","TAHAKKUK"))),IF(AND($D369&lt;&gt;"",$E369&lt;&gt;"",$G369&gt;0,$H369&lt;&gt;"",$I369&lt;&gt;""),IF($C369&gt;TODAY(),"İLERİ TARİH",IF(COUNTIF($W$7:$W$1206,$W369)&gt;1,"MÜKERRER?",IF($AD369&gt;0,"KAPALI DÖNEM",IF($I369="Hayır","ÖDENECEK","UYGUN")))),"EKSİK"))))</f>
        <v/>
      </c>
      <c r="Q369" s="6" t="n"/>
      <c r="R369" s="6" t="n"/>
      <c r="S369" s="3">
        <f>IF($L369="","",UPPER(SUBSTITUTE(SUBSTITUTE(SUBSTITUTE(SUBSTITUTE(SUBSTITUTE(SUBSTITUTE(SUBSTITUTE(SUBSTITUTE(SUBSTITUTE(SUBSTITUTE(SUBSTITUTE(SUBSTITUTE(SUBSTITUTE(SUBSTITUTE(SUBSTITUTE(SUBSTITUTE(SUBSTITUTE(SUBSTITUTE(TRIM($L369),"'",""),"İ","I"),"ı","I"),"i","I"),"Ş","S"),"ş","S"),"Ğ","G"),"ğ","G"),"Ü","U"),"ü","U"),"Ö","O"),"ö","O"),"Ç","C"),"ç","C"),".",""),",","")," ",""),"-","")))</f>
        <v/>
      </c>
      <c r="T369" s="3">
        <f>IF(OR($C369="",$D369&lt;&gt;"Gelir",$L369=""),"",IFERROR(INDEX(MUSTERILER!$B$7:$B$106,MATCH($S369,MUSTERILER!$T$7:$T$106,0)),""))</f>
        <v/>
      </c>
      <c r="U369" s="3">
        <f>IF($T369="","",$T369&amp;"|"&amp;COUNTIFS($T$7:$T369,$T369))</f>
        <v/>
      </c>
      <c r="V369" s="3">
        <f>IF($T369="",0,1)</f>
        <v/>
      </c>
      <c r="W369" s="3">
        <f>IF($C369="","",$D369&amp;"|"&amp;$E369&amp;"|"&amp;TEXT($C369,"0")&amp;"|"&amp;TEXT($G369,"0")&amp;"|"&amp;$J369)</f>
        <v/>
      </c>
      <c r="X369" s="3" t="n"/>
      <c r="Y369" s="3" t="n"/>
      <c r="Z369" s="3" t="n"/>
      <c r="AA369" s="3" t="n"/>
      <c r="AB369" s="3" t="n"/>
      <c r="AC369" s="3" t="n"/>
      <c r="AD369" s="3">
        <f>IF($C369="",0,SUMPRODUCT((AY_SONU!$O$7:$O$42="Evet")*(AY_SONU!$B$7:$B$42=DATE(YEAR($C369),MONTH($C369),1))))</f>
        <v/>
      </c>
    </row>
    <row r="370">
      <c r="A370" s="6" t="n"/>
      <c r="B370" s="113">
        <f>IF($C370="","","GG"&amp;TEXT(ROW()-6,"00000"))</f>
        <v/>
      </c>
      <c r="C370" s="220" t="n"/>
      <c r="D370" s="108" t="n"/>
      <c r="E370" s="109" t="n"/>
      <c r="F370" s="109" t="n"/>
      <c r="G370" s="221" t="n"/>
      <c r="H370" s="108" t="n"/>
      <c r="I370" s="108" t="n"/>
      <c r="J370" s="109" t="n"/>
      <c r="K370" s="109" t="n"/>
      <c r="L370" s="108" t="n"/>
      <c r="M370" s="121">
        <f>IF($C370="","",IF($D370="Gider",$E370,IF($L370&lt;&gt;"",$L370,$H370)))</f>
        <v/>
      </c>
      <c r="N370" s="121">
        <f>IF($C370="","",IF($D370="Gider",$H370,$E370))</f>
        <v/>
      </c>
      <c r="O370" s="226">
        <f>IF($C370="","",DATE(YEAR($C370),MONTH($C370),1))</f>
        <v/>
      </c>
      <c r="P370" s="113">
        <f>IF($C370="","",IF(AND($D370="Gelir",$L370&lt;&gt;"",$T370=""),"TANIMSIZ BORÇLU",IF($T370&lt;&gt;"",IF(OR($E370="",$G370&lt;=0),"EKSİK",IF($I370="Evet","TAHAKKUK NAKİT OLAMAZ",IF($C370&gt;TODAY(),"İLERİ TARİH","TAHAKKUK"))),IF(AND($D370&lt;&gt;"",$E370&lt;&gt;"",$G370&gt;0,$H370&lt;&gt;"",$I370&lt;&gt;""),IF($C370&gt;TODAY(),"İLERİ TARİH",IF(COUNTIF($W$7:$W$1206,$W370)&gt;1,"MÜKERRER?",IF($AD370&gt;0,"KAPALI DÖNEM",IF($I370="Hayır","ÖDENECEK","UYGUN")))),"EKSİK"))))</f>
        <v/>
      </c>
      <c r="Q370" s="6" t="n"/>
      <c r="R370" s="6" t="n"/>
      <c r="S370" s="3">
        <f>IF($L370="","",UPPER(SUBSTITUTE(SUBSTITUTE(SUBSTITUTE(SUBSTITUTE(SUBSTITUTE(SUBSTITUTE(SUBSTITUTE(SUBSTITUTE(SUBSTITUTE(SUBSTITUTE(SUBSTITUTE(SUBSTITUTE(SUBSTITUTE(SUBSTITUTE(SUBSTITUTE(SUBSTITUTE(SUBSTITUTE(SUBSTITUTE(TRIM($L370),"'",""),"İ","I"),"ı","I"),"i","I"),"Ş","S"),"ş","S"),"Ğ","G"),"ğ","G"),"Ü","U"),"ü","U"),"Ö","O"),"ö","O"),"Ç","C"),"ç","C"),".",""),",","")," ",""),"-","")))</f>
        <v/>
      </c>
      <c r="T370" s="3">
        <f>IF(OR($C370="",$D370&lt;&gt;"Gelir",$L370=""),"",IFERROR(INDEX(MUSTERILER!$B$7:$B$106,MATCH($S370,MUSTERILER!$T$7:$T$106,0)),""))</f>
        <v/>
      </c>
      <c r="U370" s="3">
        <f>IF($T370="","",$T370&amp;"|"&amp;COUNTIFS($T$7:$T370,$T370))</f>
        <v/>
      </c>
      <c r="V370" s="3">
        <f>IF($T370="",0,1)</f>
        <v/>
      </c>
      <c r="W370" s="3">
        <f>IF($C370="","",$D370&amp;"|"&amp;$E370&amp;"|"&amp;TEXT($C370,"0")&amp;"|"&amp;TEXT($G370,"0")&amp;"|"&amp;$J370)</f>
        <v/>
      </c>
      <c r="X370" s="3" t="n"/>
      <c r="Y370" s="3" t="n"/>
      <c r="Z370" s="3" t="n"/>
      <c r="AA370" s="3" t="n"/>
      <c r="AB370" s="3" t="n"/>
      <c r="AC370" s="3" t="n"/>
      <c r="AD370" s="3">
        <f>IF($C370="",0,SUMPRODUCT((AY_SONU!$O$7:$O$42="Evet")*(AY_SONU!$B$7:$B$42=DATE(YEAR($C370),MONTH($C370),1))))</f>
        <v/>
      </c>
    </row>
    <row r="371">
      <c r="A371" s="6" t="n"/>
      <c r="B371" s="113">
        <f>IF($C371="","","GG"&amp;TEXT(ROW()-6,"00000"))</f>
        <v/>
      </c>
      <c r="C371" s="220" t="n"/>
      <c r="D371" s="108" t="n"/>
      <c r="E371" s="109" t="n"/>
      <c r="F371" s="109" t="n"/>
      <c r="G371" s="221" t="n"/>
      <c r="H371" s="108" t="n"/>
      <c r="I371" s="108" t="n"/>
      <c r="J371" s="109" t="n"/>
      <c r="K371" s="109" t="n"/>
      <c r="L371" s="108" t="n"/>
      <c r="M371" s="121">
        <f>IF($C371="","",IF($D371="Gider",$E371,IF($L371&lt;&gt;"",$L371,$H371)))</f>
        <v/>
      </c>
      <c r="N371" s="121">
        <f>IF($C371="","",IF($D371="Gider",$H371,$E371))</f>
        <v/>
      </c>
      <c r="O371" s="226">
        <f>IF($C371="","",DATE(YEAR($C371),MONTH($C371),1))</f>
        <v/>
      </c>
      <c r="P371" s="113">
        <f>IF($C371="","",IF(AND($D371="Gelir",$L371&lt;&gt;"",$T371=""),"TANIMSIZ BORÇLU",IF($T371&lt;&gt;"",IF(OR($E371="",$G371&lt;=0),"EKSİK",IF($I371="Evet","TAHAKKUK NAKİT OLAMAZ",IF($C371&gt;TODAY(),"İLERİ TARİH","TAHAKKUK"))),IF(AND($D371&lt;&gt;"",$E371&lt;&gt;"",$G371&gt;0,$H371&lt;&gt;"",$I371&lt;&gt;""),IF($C371&gt;TODAY(),"İLERİ TARİH",IF(COUNTIF($W$7:$W$1206,$W371)&gt;1,"MÜKERRER?",IF($AD371&gt;0,"KAPALI DÖNEM",IF($I371="Hayır","ÖDENECEK","UYGUN")))),"EKSİK"))))</f>
        <v/>
      </c>
      <c r="Q371" s="6" t="n"/>
      <c r="R371" s="6" t="n"/>
      <c r="S371" s="3">
        <f>IF($L371="","",UPPER(SUBSTITUTE(SUBSTITUTE(SUBSTITUTE(SUBSTITUTE(SUBSTITUTE(SUBSTITUTE(SUBSTITUTE(SUBSTITUTE(SUBSTITUTE(SUBSTITUTE(SUBSTITUTE(SUBSTITUTE(SUBSTITUTE(SUBSTITUTE(SUBSTITUTE(SUBSTITUTE(SUBSTITUTE(SUBSTITUTE(TRIM($L371),"'",""),"İ","I"),"ı","I"),"i","I"),"Ş","S"),"ş","S"),"Ğ","G"),"ğ","G"),"Ü","U"),"ü","U"),"Ö","O"),"ö","O"),"Ç","C"),"ç","C"),".",""),",","")," ",""),"-","")))</f>
        <v/>
      </c>
      <c r="T371" s="3">
        <f>IF(OR($C371="",$D371&lt;&gt;"Gelir",$L371=""),"",IFERROR(INDEX(MUSTERILER!$B$7:$B$106,MATCH($S371,MUSTERILER!$T$7:$T$106,0)),""))</f>
        <v/>
      </c>
      <c r="U371" s="3">
        <f>IF($T371="","",$T371&amp;"|"&amp;COUNTIFS($T$7:$T371,$T371))</f>
        <v/>
      </c>
      <c r="V371" s="3">
        <f>IF($T371="",0,1)</f>
        <v/>
      </c>
      <c r="W371" s="3">
        <f>IF($C371="","",$D371&amp;"|"&amp;$E371&amp;"|"&amp;TEXT($C371,"0")&amp;"|"&amp;TEXT($G371,"0")&amp;"|"&amp;$J371)</f>
        <v/>
      </c>
      <c r="X371" s="3" t="n"/>
      <c r="Y371" s="3" t="n"/>
      <c r="Z371" s="3" t="n"/>
      <c r="AA371" s="3" t="n"/>
      <c r="AB371" s="3" t="n"/>
      <c r="AC371" s="3" t="n"/>
      <c r="AD371" s="3">
        <f>IF($C371="",0,SUMPRODUCT((AY_SONU!$O$7:$O$42="Evet")*(AY_SONU!$B$7:$B$42=DATE(YEAR($C371),MONTH($C371),1))))</f>
        <v/>
      </c>
    </row>
    <row r="372">
      <c r="A372" s="6" t="n"/>
      <c r="B372" s="113">
        <f>IF($C372="","","GG"&amp;TEXT(ROW()-6,"00000"))</f>
        <v/>
      </c>
      <c r="C372" s="220" t="n"/>
      <c r="D372" s="108" t="n"/>
      <c r="E372" s="109" t="n"/>
      <c r="F372" s="109" t="n"/>
      <c r="G372" s="221" t="n"/>
      <c r="H372" s="108" t="n"/>
      <c r="I372" s="108" t="n"/>
      <c r="J372" s="109" t="n"/>
      <c r="K372" s="109" t="n"/>
      <c r="L372" s="108" t="n"/>
      <c r="M372" s="121">
        <f>IF($C372="","",IF($D372="Gider",$E372,IF($L372&lt;&gt;"",$L372,$H372)))</f>
        <v/>
      </c>
      <c r="N372" s="121">
        <f>IF($C372="","",IF($D372="Gider",$H372,$E372))</f>
        <v/>
      </c>
      <c r="O372" s="226">
        <f>IF($C372="","",DATE(YEAR($C372),MONTH($C372),1))</f>
        <v/>
      </c>
      <c r="P372" s="113">
        <f>IF($C372="","",IF(AND($D372="Gelir",$L372&lt;&gt;"",$T372=""),"TANIMSIZ BORÇLU",IF($T372&lt;&gt;"",IF(OR($E372="",$G372&lt;=0),"EKSİK",IF($I372="Evet","TAHAKKUK NAKİT OLAMAZ",IF($C372&gt;TODAY(),"İLERİ TARİH","TAHAKKUK"))),IF(AND($D372&lt;&gt;"",$E372&lt;&gt;"",$G372&gt;0,$H372&lt;&gt;"",$I372&lt;&gt;""),IF($C372&gt;TODAY(),"İLERİ TARİH",IF(COUNTIF($W$7:$W$1206,$W372)&gt;1,"MÜKERRER?",IF($AD372&gt;0,"KAPALI DÖNEM",IF($I372="Hayır","ÖDENECEK","UYGUN")))),"EKSİK"))))</f>
        <v/>
      </c>
      <c r="Q372" s="6" t="n"/>
      <c r="R372" s="6" t="n"/>
      <c r="S372" s="3">
        <f>IF($L372="","",UPPER(SUBSTITUTE(SUBSTITUTE(SUBSTITUTE(SUBSTITUTE(SUBSTITUTE(SUBSTITUTE(SUBSTITUTE(SUBSTITUTE(SUBSTITUTE(SUBSTITUTE(SUBSTITUTE(SUBSTITUTE(SUBSTITUTE(SUBSTITUTE(SUBSTITUTE(SUBSTITUTE(SUBSTITUTE(SUBSTITUTE(TRIM($L372),"'",""),"İ","I"),"ı","I"),"i","I"),"Ş","S"),"ş","S"),"Ğ","G"),"ğ","G"),"Ü","U"),"ü","U"),"Ö","O"),"ö","O"),"Ç","C"),"ç","C"),".",""),",","")," ",""),"-","")))</f>
        <v/>
      </c>
      <c r="T372" s="3">
        <f>IF(OR($C372="",$D372&lt;&gt;"Gelir",$L372=""),"",IFERROR(INDEX(MUSTERILER!$B$7:$B$106,MATCH($S372,MUSTERILER!$T$7:$T$106,0)),""))</f>
        <v/>
      </c>
      <c r="U372" s="3">
        <f>IF($T372="","",$T372&amp;"|"&amp;COUNTIFS($T$7:$T372,$T372))</f>
        <v/>
      </c>
      <c r="V372" s="3">
        <f>IF($T372="",0,1)</f>
        <v/>
      </c>
      <c r="W372" s="3">
        <f>IF($C372="","",$D372&amp;"|"&amp;$E372&amp;"|"&amp;TEXT($C372,"0")&amp;"|"&amp;TEXT($G372,"0")&amp;"|"&amp;$J372)</f>
        <v/>
      </c>
      <c r="X372" s="3" t="n"/>
      <c r="Y372" s="3" t="n"/>
      <c r="Z372" s="3" t="n"/>
      <c r="AA372" s="3" t="n"/>
      <c r="AB372" s="3" t="n"/>
      <c r="AC372" s="3" t="n"/>
      <c r="AD372" s="3">
        <f>IF($C372="",0,SUMPRODUCT((AY_SONU!$O$7:$O$42="Evet")*(AY_SONU!$B$7:$B$42=DATE(YEAR($C372),MONTH($C372),1))))</f>
        <v/>
      </c>
    </row>
    <row r="373">
      <c r="A373" s="6" t="n"/>
      <c r="B373" s="113">
        <f>IF($C373="","","GG"&amp;TEXT(ROW()-6,"00000"))</f>
        <v/>
      </c>
      <c r="C373" s="220" t="n"/>
      <c r="D373" s="108" t="n"/>
      <c r="E373" s="109" t="n"/>
      <c r="F373" s="109" t="n"/>
      <c r="G373" s="221" t="n"/>
      <c r="H373" s="108" t="n"/>
      <c r="I373" s="108" t="n"/>
      <c r="J373" s="109" t="n"/>
      <c r="K373" s="109" t="n"/>
      <c r="L373" s="108" t="n"/>
      <c r="M373" s="121">
        <f>IF($C373="","",IF($D373="Gider",$E373,IF($L373&lt;&gt;"",$L373,$H373)))</f>
        <v/>
      </c>
      <c r="N373" s="121">
        <f>IF($C373="","",IF($D373="Gider",$H373,$E373))</f>
        <v/>
      </c>
      <c r="O373" s="226">
        <f>IF($C373="","",DATE(YEAR($C373),MONTH($C373),1))</f>
        <v/>
      </c>
      <c r="P373" s="113">
        <f>IF($C373="","",IF(AND($D373="Gelir",$L373&lt;&gt;"",$T373=""),"TANIMSIZ BORÇLU",IF($T373&lt;&gt;"",IF(OR($E373="",$G373&lt;=0),"EKSİK",IF($I373="Evet","TAHAKKUK NAKİT OLAMAZ",IF($C373&gt;TODAY(),"İLERİ TARİH","TAHAKKUK"))),IF(AND($D373&lt;&gt;"",$E373&lt;&gt;"",$G373&gt;0,$H373&lt;&gt;"",$I373&lt;&gt;""),IF($C373&gt;TODAY(),"İLERİ TARİH",IF(COUNTIF($W$7:$W$1206,$W373)&gt;1,"MÜKERRER?",IF($AD373&gt;0,"KAPALI DÖNEM",IF($I373="Hayır","ÖDENECEK","UYGUN")))),"EKSİK"))))</f>
        <v/>
      </c>
      <c r="Q373" s="6" t="n"/>
      <c r="R373" s="6" t="n"/>
      <c r="S373" s="3">
        <f>IF($L373="","",UPPER(SUBSTITUTE(SUBSTITUTE(SUBSTITUTE(SUBSTITUTE(SUBSTITUTE(SUBSTITUTE(SUBSTITUTE(SUBSTITUTE(SUBSTITUTE(SUBSTITUTE(SUBSTITUTE(SUBSTITUTE(SUBSTITUTE(SUBSTITUTE(SUBSTITUTE(SUBSTITUTE(SUBSTITUTE(SUBSTITUTE(TRIM($L373),"'",""),"İ","I"),"ı","I"),"i","I"),"Ş","S"),"ş","S"),"Ğ","G"),"ğ","G"),"Ü","U"),"ü","U"),"Ö","O"),"ö","O"),"Ç","C"),"ç","C"),".",""),",","")," ",""),"-","")))</f>
        <v/>
      </c>
      <c r="T373" s="3">
        <f>IF(OR($C373="",$D373&lt;&gt;"Gelir",$L373=""),"",IFERROR(INDEX(MUSTERILER!$B$7:$B$106,MATCH($S373,MUSTERILER!$T$7:$T$106,0)),""))</f>
        <v/>
      </c>
      <c r="U373" s="3">
        <f>IF($T373="","",$T373&amp;"|"&amp;COUNTIFS($T$7:$T373,$T373))</f>
        <v/>
      </c>
      <c r="V373" s="3">
        <f>IF($T373="",0,1)</f>
        <v/>
      </c>
      <c r="W373" s="3">
        <f>IF($C373="","",$D373&amp;"|"&amp;$E373&amp;"|"&amp;TEXT($C373,"0")&amp;"|"&amp;TEXT($G373,"0")&amp;"|"&amp;$J373)</f>
        <v/>
      </c>
      <c r="X373" s="3" t="n"/>
      <c r="Y373" s="3" t="n"/>
      <c r="Z373" s="3" t="n"/>
      <c r="AA373" s="3" t="n"/>
      <c r="AB373" s="3" t="n"/>
      <c r="AC373" s="3" t="n"/>
      <c r="AD373" s="3">
        <f>IF($C373="",0,SUMPRODUCT((AY_SONU!$O$7:$O$42="Evet")*(AY_SONU!$B$7:$B$42=DATE(YEAR($C373),MONTH($C373),1))))</f>
        <v/>
      </c>
    </row>
    <row r="374">
      <c r="A374" s="6" t="n"/>
      <c r="B374" s="113">
        <f>IF($C374="","","GG"&amp;TEXT(ROW()-6,"00000"))</f>
        <v/>
      </c>
      <c r="C374" s="220" t="n"/>
      <c r="D374" s="108" t="n"/>
      <c r="E374" s="109" t="n"/>
      <c r="F374" s="109" t="n"/>
      <c r="G374" s="221" t="n"/>
      <c r="H374" s="108" t="n"/>
      <c r="I374" s="108" t="n"/>
      <c r="J374" s="109" t="n"/>
      <c r="K374" s="109" t="n"/>
      <c r="L374" s="108" t="n"/>
      <c r="M374" s="121">
        <f>IF($C374="","",IF($D374="Gider",$E374,IF($L374&lt;&gt;"",$L374,$H374)))</f>
        <v/>
      </c>
      <c r="N374" s="121">
        <f>IF($C374="","",IF($D374="Gider",$H374,$E374))</f>
        <v/>
      </c>
      <c r="O374" s="226">
        <f>IF($C374="","",DATE(YEAR($C374),MONTH($C374),1))</f>
        <v/>
      </c>
      <c r="P374" s="113">
        <f>IF($C374="","",IF(AND($D374="Gelir",$L374&lt;&gt;"",$T374=""),"TANIMSIZ BORÇLU",IF($T374&lt;&gt;"",IF(OR($E374="",$G374&lt;=0),"EKSİK",IF($I374="Evet","TAHAKKUK NAKİT OLAMAZ",IF($C374&gt;TODAY(),"İLERİ TARİH","TAHAKKUK"))),IF(AND($D374&lt;&gt;"",$E374&lt;&gt;"",$G374&gt;0,$H374&lt;&gt;"",$I374&lt;&gt;""),IF($C374&gt;TODAY(),"İLERİ TARİH",IF(COUNTIF($W$7:$W$1206,$W374)&gt;1,"MÜKERRER?",IF($AD374&gt;0,"KAPALI DÖNEM",IF($I374="Hayır","ÖDENECEK","UYGUN")))),"EKSİK"))))</f>
        <v/>
      </c>
      <c r="Q374" s="6" t="n"/>
      <c r="R374" s="6" t="n"/>
      <c r="S374" s="3">
        <f>IF($L374="","",UPPER(SUBSTITUTE(SUBSTITUTE(SUBSTITUTE(SUBSTITUTE(SUBSTITUTE(SUBSTITUTE(SUBSTITUTE(SUBSTITUTE(SUBSTITUTE(SUBSTITUTE(SUBSTITUTE(SUBSTITUTE(SUBSTITUTE(SUBSTITUTE(SUBSTITUTE(SUBSTITUTE(SUBSTITUTE(SUBSTITUTE(TRIM($L374),"'",""),"İ","I"),"ı","I"),"i","I"),"Ş","S"),"ş","S"),"Ğ","G"),"ğ","G"),"Ü","U"),"ü","U"),"Ö","O"),"ö","O"),"Ç","C"),"ç","C"),".",""),",","")," ",""),"-","")))</f>
        <v/>
      </c>
      <c r="T374" s="3">
        <f>IF(OR($C374="",$D374&lt;&gt;"Gelir",$L374=""),"",IFERROR(INDEX(MUSTERILER!$B$7:$B$106,MATCH($S374,MUSTERILER!$T$7:$T$106,0)),""))</f>
        <v/>
      </c>
      <c r="U374" s="3">
        <f>IF($T374="","",$T374&amp;"|"&amp;COUNTIFS($T$7:$T374,$T374))</f>
        <v/>
      </c>
      <c r="V374" s="3">
        <f>IF($T374="",0,1)</f>
        <v/>
      </c>
      <c r="W374" s="3">
        <f>IF($C374="","",$D374&amp;"|"&amp;$E374&amp;"|"&amp;TEXT($C374,"0")&amp;"|"&amp;TEXT($G374,"0")&amp;"|"&amp;$J374)</f>
        <v/>
      </c>
      <c r="X374" s="3" t="n"/>
      <c r="Y374" s="3" t="n"/>
      <c r="Z374" s="3" t="n"/>
      <c r="AA374" s="3" t="n"/>
      <c r="AB374" s="3" t="n"/>
      <c r="AC374" s="3" t="n"/>
      <c r="AD374" s="3">
        <f>IF($C374="",0,SUMPRODUCT((AY_SONU!$O$7:$O$42="Evet")*(AY_SONU!$B$7:$B$42=DATE(YEAR($C374),MONTH($C374),1))))</f>
        <v/>
      </c>
    </row>
    <row r="375">
      <c r="A375" s="6" t="n"/>
      <c r="B375" s="113">
        <f>IF($C375="","","GG"&amp;TEXT(ROW()-6,"00000"))</f>
        <v/>
      </c>
      <c r="C375" s="220" t="n"/>
      <c r="D375" s="108" t="n"/>
      <c r="E375" s="109" t="n"/>
      <c r="F375" s="109" t="n"/>
      <c r="G375" s="221" t="n"/>
      <c r="H375" s="108" t="n"/>
      <c r="I375" s="108" t="n"/>
      <c r="J375" s="109" t="n"/>
      <c r="K375" s="109" t="n"/>
      <c r="L375" s="108" t="n"/>
      <c r="M375" s="121">
        <f>IF($C375="","",IF($D375="Gider",$E375,IF($L375&lt;&gt;"",$L375,$H375)))</f>
        <v/>
      </c>
      <c r="N375" s="121">
        <f>IF($C375="","",IF($D375="Gider",$H375,$E375))</f>
        <v/>
      </c>
      <c r="O375" s="226">
        <f>IF($C375="","",DATE(YEAR($C375),MONTH($C375),1))</f>
        <v/>
      </c>
      <c r="P375" s="113">
        <f>IF($C375="","",IF(AND($D375="Gelir",$L375&lt;&gt;"",$T375=""),"TANIMSIZ BORÇLU",IF($T375&lt;&gt;"",IF(OR($E375="",$G375&lt;=0),"EKSİK",IF($I375="Evet","TAHAKKUK NAKİT OLAMAZ",IF($C375&gt;TODAY(),"İLERİ TARİH","TAHAKKUK"))),IF(AND($D375&lt;&gt;"",$E375&lt;&gt;"",$G375&gt;0,$H375&lt;&gt;"",$I375&lt;&gt;""),IF($C375&gt;TODAY(),"İLERİ TARİH",IF(COUNTIF($W$7:$W$1206,$W375)&gt;1,"MÜKERRER?",IF($AD375&gt;0,"KAPALI DÖNEM",IF($I375="Hayır","ÖDENECEK","UYGUN")))),"EKSİK"))))</f>
        <v/>
      </c>
      <c r="Q375" s="6" t="n"/>
      <c r="R375" s="6" t="n"/>
      <c r="S375" s="3">
        <f>IF($L375="","",UPPER(SUBSTITUTE(SUBSTITUTE(SUBSTITUTE(SUBSTITUTE(SUBSTITUTE(SUBSTITUTE(SUBSTITUTE(SUBSTITUTE(SUBSTITUTE(SUBSTITUTE(SUBSTITUTE(SUBSTITUTE(SUBSTITUTE(SUBSTITUTE(SUBSTITUTE(SUBSTITUTE(SUBSTITUTE(SUBSTITUTE(TRIM($L375),"'",""),"İ","I"),"ı","I"),"i","I"),"Ş","S"),"ş","S"),"Ğ","G"),"ğ","G"),"Ü","U"),"ü","U"),"Ö","O"),"ö","O"),"Ç","C"),"ç","C"),".",""),",","")," ",""),"-","")))</f>
        <v/>
      </c>
      <c r="T375" s="3">
        <f>IF(OR($C375="",$D375&lt;&gt;"Gelir",$L375=""),"",IFERROR(INDEX(MUSTERILER!$B$7:$B$106,MATCH($S375,MUSTERILER!$T$7:$T$106,0)),""))</f>
        <v/>
      </c>
      <c r="U375" s="3">
        <f>IF($T375="","",$T375&amp;"|"&amp;COUNTIFS($T$7:$T375,$T375))</f>
        <v/>
      </c>
      <c r="V375" s="3">
        <f>IF($T375="",0,1)</f>
        <v/>
      </c>
      <c r="W375" s="3">
        <f>IF($C375="","",$D375&amp;"|"&amp;$E375&amp;"|"&amp;TEXT($C375,"0")&amp;"|"&amp;TEXT($G375,"0")&amp;"|"&amp;$J375)</f>
        <v/>
      </c>
      <c r="X375" s="3" t="n"/>
      <c r="Y375" s="3" t="n"/>
      <c r="Z375" s="3" t="n"/>
      <c r="AA375" s="3" t="n"/>
      <c r="AB375" s="3" t="n"/>
      <c r="AC375" s="3" t="n"/>
      <c r="AD375" s="3">
        <f>IF($C375="",0,SUMPRODUCT((AY_SONU!$O$7:$O$42="Evet")*(AY_SONU!$B$7:$B$42=DATE(YEAR($C375),MONTH($C375),1))))</f>
        <v/>
      </c>
    </row>
    <row r="376">
      <c r="A376" s="6" t="n"/>
      <c r="B376" s="113">
        <f>IF($C376="","","GG"&amp;TEXT(ROW()-6,"00000"))</f>
        <v/>
      </c>
      <c r="C376" s="220" t="n"/>
      <c r="D376" s="108" t="n"/>
      <c r="E376" s="109" t="n"/>
      <c r="F376" s="109" t="n"/>
      <c r="G376" s="221" t="n"/>
      <c r="H376" s="108" t="n"/>
      <c r="I376" s="108" t="n"/>
      <c r="J376" s="109" t="n"/>
      <c r="K376" s="109" t="n"/>
      <c r="L376" s="108" t="n"/>
      <c r="M376" s="121">
        <f>IF($C376="","",IF($D376="Gider",$E376,IF($L376&lt;&gt;"",$L376,$H376)))</f>
        <v/>
      </c>
      <c r="N376" s="121">
        <f>IF($C376="","",IF($D376="Gider",$H376,$E376))</f>
        <v/>
      </c>
      <c r="O376" s="226">
        <f>IF($C376="","",DATE(YEAR($C376),MONTH($C376),1))</f>
        <v/>
      </c>
      <c r="P376" s="113">
        <f>IF($C376="","",IF(AND($D376="Gelir",$L376&lt;&gt;"",$T376=""),"TANIMSIZ BORÇLU",IF($T376&lt;&gt;"",IF(OR($E376="",$G376&lt;=0),"EKSİK",IF($I376="Evet","TAHAKKUK NAKİT OLAMAZ",IF($C376&gt;TODAY(),"İLERİ TARİH","TAHAKKUK"))),IF(AND($D376&lt;&gt;"",$E376&lt;&gt;"",$G376&gt;0,$H376&lt;&gt;"",$I376&lt;&gt;""),IF($C376&gt;TODAY(),"İLERİ TARİH",IF(COUNTIF($W$7:$W$1206,$W376)&gt;1,"MÜKERRER?",IF($AD376&gt;0,"KAPALI DÖNEM",IF($I376="Hayır","ÖDENECEK","UYGUN")))),"EKSİK"))))</f>
        <v/>
      </c>
      <c r="Q376" s="6" t="n"/>
      <c r="R376" s="6" t="n"/>
      <c r="S376" s="3">
        <f>IF($L376="","",UPPER(SUBSTITUTE(SUBSTITUTE(SUBSTITUTE(SUBSTITUTE(SUBSTITUTE(SUBSTITUTE(SUBSTITUTE(SUBSTITUTE(SUBSTITUTE(SUBSTITUTE(SUBSTITUTE(SUBSTITUTE(SUBSTITUTE(SUBSTITUTE(SUBSTITUTE(SUBSTITUTE(SUBSTITUTE(SUBSTITUTE(TRIM($L376),"'",""),"İ","I"),"ı","I"),"i","I"),"Ş","S"),"ş","S"),"Ğ","G"),"ğ","G"),"Ü","U"),"ü","U"),"Ö","O"),"ö","O"),"Ç","C"),"ç","C"),".",""),",","")," ",""),"-","")))</f>
        <v/>
      </c>
      <c r="T376" s="3">
        <f>IF(OR($C376="",$D376&lt;&gt;"Gelir",$L376=""),"",IFERROR(INDEX(MUSTERILER!$B$7:$B$106,MATCH($S376,MUSTERILER!$T$7:$T$106,0)),""))</f>
        <v/>
      </c>
      <c r="U376" s="3">
        <f>IF($T376="","",$T376&amp;"|"&amp;COUNTIFS($T$7:$T376,$T376))</f>
        <v/>
      </c>
      <c r="V376" s="3">
        <f>IF($T376="",0,1)</f>
        <v/>
      </c>
      <c r="W376" s="3">
        <f>IF($C376="","",$D376&amp;"|"&amp;$E376&amp;"|"&amp;TEXT($C376,"0")&amp;"|"&amp;TEXT($G376,"0")&amp;"|"&amp;$J376)</f>
        <v/>
      </c>
      <c r="X376" s="3" t="n"/>
      <c r="Y376" s="3" t="n"/>
      <c r="Z376" s="3" t="n"/>
      <c r="AA376" s="3" t="n"/>
      <c r="AB376" s="3" t="n"/>
      <c r="AC376" s="3" t="n"/>
      <c r="AD376" s="3">
        <f>IF($C376="",0,SUMPRODUCT((AY_SONU!$O$7:$O$42="Evet")*(AY_SONU!$B$7:$B$42=DATE(YEAR($C376),MONTH($C376),1))))</f>
        <v/>
      </c>
    </row>
    <row r="377">
      <c r="A377" s="6" t="n"/>
      <c r="B377" s="113">
        <f>IF($C377="","","GG"&amp;TEXT(ROW()-6,"00000"))</f>
        <v/>
      </c>
      <c r="C377" s="220" t="n"/>
      <c r="D377" s="108" t="n"/>
      <c r="E377" s="109" t="n"/>
      <c r="F377" s="109" t="n"/>
      <c r="G377" s="221" t="n"/>
      <c r="H377" s="108" t="n"/>
      <c r="I377" s="108" t="n"/>
      <c r="J377" s="109" t="n"/>
      <c r="K377" s="109" t="n"/>
      <c r="L377" s="108" t="n"/>
      <c r="M377" s="121">
        <f>IF($C377="","",IF($D377="Gider",$E377,IF($L377&lt;&gt;"",$L377,$H377)))</f>
        <v/>
      </c>
      <c r="N377" s="121">
        <f>IF($C377="","",IF($D377="Gider",$H377,$E377))</f>
        <v/>
      </c>
      <c r="O377" s="226">
        <f>IF($C377="","",DATE(YEAR($C377),MONTH($C377),1))</f>
        <v/>
      </c>
      <c r="P377" s="113">
        <f>IF($C377="","",IF(AND($D377="Gelir",$L377&lt;&gt;"",$T377=""),"TANIMSIZ BORÇLU",IF($T377&lt;&gt;"",IF(OR($E377="",$G377&lt;=0),"EKSİK",IF($I377="Evet","TAHAKKUK NAKİT OLAMAZ",IF($C377&gt;TODAY(),"İLERİ TARİH","TAHAKKUK"))),IF(AND($D377&lt;&gt;"",$E377&lt;&gt;"",$G377&gt;0,$H377&lt;&gt;"",$I377&lt;&gt;""),IF($C377&gt;TODAY(),"İLERİ TARİH",IF(COUNTIF($W$7:$W$1206,$W377)&gt;1,"MÜKERRER?",IF($AD377&gt;0,"KAPALI DÖNEM",IF($I377="Hayır","ÖDENECEK","UYGUN")))),"EKSİK"))))</f>
        <v/>
      </c>
      <c r="Q377" s="6" t="n"/>
      <c r="R377" s="6" t="n"/>
      <c r="S377" s="3">
        <f>IF($L377="","",UPPER(SUBSTITUTE(SUBSTITUTE(SUBSTITUTE(SUBSTITUTE(SUBSTITUTE(SUBSTITUTE(SUBSTITUTE(SUBSTITUTE(SUBSTITUTE(SUBSTITUTE(SUBSTITUTE(SUBSTITUTE(SUBSTITUTE(SUBSTITUTE(SUBSTITUTE(SUBSTITUTE(SUBSTITUTE(SUBSTITUTE(TRIM($L377),"'",""),"İ","I"),"ı","I"),"i","I"),"Ş","S"),"ş","S"),"Ğ","G"),"ğ","G"),"Ü","U"),"ü","U"),"Ö","O"),"ö","O"),"Ç","C"),"ç","C"),".",""),",","")," ",""),"-","")))</f>
        <v/>
      </c>
      <c r="T377" s="3">
        <f>IF(OR($C377="",$D377&lt;&gt;"Gelir",$L377=""),"",IFERROR(INDEX(MUSTERILER!$B$7:$B$106,MATCH($S377,MUSTERILER!$T$7:$T$106,0)),""))</f>
        <v/>
      </c>
      <c r="U377" s="3">
        <f>IF($T377="","",$T377&amp;"|"&amp;COUNTIFS($T$7:$T377,$T377))</f>
        <v/>
      </c>
      <c r="V377" s="3">
        <f>IF($T377="",0,1)</f>
        <v/>
      </c>
      <c r="W377" s="3">
        <f>IF($C377="","",$D377&amp;"|"&amp;$E377&amp;"|"&amp;TEXT($C377,"0")&amp;"|"&amp;TEXT($G377,"0")&amp;"|"&amp;$J377)</f>
        <v/>
      </c>
      <c r="X377" s="3" t="n"/>
      <c r="Y377" s="3" t="n"/>
      <c r="Z377" s="3" t="n"/>
      <c r="AA377" s="3" t="n"/>
      <c r="AB377" s="3" t="n"/>
      <c r="AC377" s="3" t="n"/>
      <c r="AD377" s="3">
        <f>IF($C377="",0,SUMPRODUCT((AY_SONU!$O$7:$O$42="Evet")*(AY_SONU!$B$7:$B$42=DATE(YEAR($C377),MONTH($C377),1))))</f>
        <v/>
      </c>
    </row>
    <row r="378">
      <c r="A378" s="6" t="n"/>
      <c r="B378" s="113">
        <f>IF($C378="","","GG"&amp;TEXT(ROW()-6,"00000"))</f>
        <v/>
      </c>
      <c r="C378" s="220" t="n"/>
      <c r="D378" s="108" t="n"/>
      <c r="E378" s="109" t="n"/>
      <c r="F378" s="109" t="n"/>
      <c r="G378" s="221" t="n"/>
      <c r="H378" s="108" t="n"/>
      <c r="I378" s="108" t="n"/>
      <c r="J378" s="109" t="n"/>
      <c r="K378" s="109" t="n"/>
      <c r="L378" s="108" t="n"/>
      <c r="M378" s="121">
        <f>IF($C378="","",IF($D378="Gider",$E378,IF($L378&lt;&gt;"",$L378,$H378)))</f>
        <v/>
      </c>
      <c r="N378" s="121">
        <f>IF($C378="","",IF($D378="Gider",$H378,$E378))</f>
        <v/>
      </c>
      <c r="O378" s="226">
        <f>IF($C378="","",DATE(YEAR($C378),MONTH($C378),1))</f>
        <v/>
      </c>
      <c r="P378" s="113">
        <f>IF($C378="","",IF(AND($D378="Gelir",$L378&lt;&gt;"",$T378=""),"TANIMSIZ BORÇLU",IF($T378&lt;&gt;"",IF(OR($E378="",$G378&lt;=0),"EKSİK",IF($I378="Evet","TAHAKKUK NAKİT OLAMAZ",IF($C378&gt;TODAY(),"İLERİ TARİH","TAHAKKUK"))),IF(AND($D378&lt;&gt;"",$E378&lt;&gt;"",$G378&gt;0,$H378&lt;&gt;"",$I378&lt;&gt;""),IF($C378&gt;TODAY(),"İLERİ TARİH",IF(COUNTIF($W$7:$W$1206,$W378)&gt;1,"MÜKERRER?",IF($AD378&gt;0,"KAPALI DÖNEM",IF($I378="Hayır","ÖDENECEK","UYGUN")))),"EKSİK"))))</f>
        <v/>
      </c>
      <c r="Q378" s="6" t="n"/>
      <c r="R378" s="6" t="n"/>
      <c r="S378" s="3">
        <f>IF($L378="","",UPPER(SUBSTITUTE(SUBSTITUTE(SUBSTITUTE(SUBSTITUTE(SUBSTITUTE(SUBSTITUTE(SUBSTITUTE(SUBSTITUTE(SUBSTITUTE(SUBSTITUTE(SUBSTITUTE(SUBSTITUTE(SUBSTITUTE(SUBSTITUTE(SUBSTITUTE(SUBSTITUTE(SUBSTITUTE(SUBSTITUTE(TRIM($L378),"'",""),"İ","I"),"ı","I"),"i","I"),"Ş","S"),"ş","S"),"Ğ","G"),"ğ","G"),"Ü","U"),"ü","U"),"Ö","O"),"ö","O"),"Ç","C"),"ç","C"),".",""),",","")," ",""),"-","")))</f>
        <v/>
      </c>
      <c r="T378" s="3">
        <f>IF(OR($C378="",$D378&lt;&gt;"Gelir",$L378=""),"",IFERROR(INDEX(MUSTERILER!$B$7:$B$106,MATCH($S378,MUSTERILER!$T$7:$T$106,0)),""))</f>
        <v/>
      </c>
      <c r="U378" s="3">
        <f>IF($T378="","",$T378&amp;"|"&amp;COUNTIFS($T$7:$T378,$T378))</f>
        <v/>
      </c>
      <c r="V378" s="3">
        <f>IF($T378="",0,1)</f>
        <v/>
      </c>
      <c r="W378" s="3">
        <f>IF($C378="","",$D378&amp;"|"&amp;$E378&amp;"|"&amp;TEXT($C378,"0")&amp;"|"&amp;TEXT($G378,"0")&amp;"|"&amp;$J378)</f>
        <v/>
      </c>
      <c r="X378" s="3" t="n"/>
      <c r="Y378" s="3" t="n"/>
      <c r="Z378" s="3" t="n"/>
      <c r="AA378" s="3" t="n"/>
      <c r="AB378" s="3" t="n"/>
      <c r="AC378" s="3" t="n"/>
      <c r="AD378" s="3">
        <f>IF($C378="",0,SUMPRODUCT((AY_SONU!$O$7:$O$42="Evet")*(AY_SONU!$B$7:$B$42=DATE(YEAR($C378),MONTH($C378),1))))</f>
        <v/>
      </c>
    </row>
    <row r="379">
      <c r="A379" s="6" t="n"/>
      <c r="B379" s="113">
        <f>IF($C379="","","GG"&amp;TEXT(ROW()-6,"00000"))</f>
        <v/>
      </c>
      <c r="C379" s="220" t="n"/>
      <c r="D379" s="108" t="n"/>
      <c r="E379" s="109" t="n"/>
      <c r="F379" s="109" t="n"/>
      <c r="G379" s="221" t="n"/>
      <c r="H379" s="108" t="n"/>
      <c r="I379" s="108" t="n"/>
      <c r="J379" s="109" t="n"/>
      <c r="K379" s="109" t="n"/>
      <c r="L379" s="108" t="n"/>
      <c r="M379" s="121">
        <f>IF($C379="","",IF($D379="Gider",$E379,IF($L379&lt;&gt;"",$L379,$H379)))</f>
        <v/>
      </c>
      <c r="N379" s="121">
        <f>IF($C379="","",IF($D379="Gider",$H379,$E379))</f>
        <v/>
      </c>
      <c r="O379" s="226">
        <f>IF($C379="","",DATE(YEAR($C379),MONTH($C379),1))</f>
        <v/>
      </c>
      <c r="P379" s="113">
        <f>IF($C379="","",IF(AND($D379="Gelir",$L379&lt;&gt;"",$T379=""),"TANIMSIZ BORÇLU",IF($T379&lt;&gt;"",IF(OR($E379="",$G379&lt;=0),"EKSİK",IF($I379="Evet","TAHAKKUK NAKİT OLAMAZ",IF($C379&gt;TODAY(),"İLERİ TARİH","TAHAKKUK"))),IF(AND($D379&lt;&gt;"",$E379&lt;&gt;"",$G379&gt;0,$H379&lt;&gt;"",$I379&lt;&gt;""),IF($C379&gt;TODAY(),"İLERİ TARİH",IF(COUNTIF($W$7:$W$1206,$W379)&gt;1,"MÜKERRER?",IF($AD379&gt;0,"KAPALI DÖNEM",IF($I379="Hayır","ÖDENECEK","UYGUN")))),"EKSİK"))))</f>
        <v/>
      </c>
      <c r="Q379" s="6" t="n"/>
      <c r="R379" s="6" t="n"/>
      <c r="S379" s="3">
        <f>IF($L379="","",UPPER(SUBSTITUTE(SUBSTITUTE(SUBSTITUTE(SUBSTITUTE(SUBSTITUTE(SUBSTITUTE(SUBSTITUTE(SUBSTITUTE(SUBSTITUTE(SUBSTITUTE(SUBSTITUTE(SUBSTITUTE(SUBSTITUTE(SUBSTITUTE(SUBSTITUTE(SUBSTITUTE(SUBSTITUTE(SUBSTITUTE(TRIM($L379),"'",""),"İ","I"),"ı","I"),"i","I"),"Ş","S"),"ş","S"),"Ğ","G"),"ğ","G"),"Ü","U"),"ü","U"),"Ö","O"),"ö","O"),"Ç","C"),"ç","C"),".",""),",","")," ",""),"-","")))</f>
        <v/>
      </c>
      <c r="T379" s="3">
        <f>IF(OR($C379="",$D379&lt;&gt;"Gelir",$L379=""),"",IFERROR(INDEX(MUSTERILER!$B$7:$B$106,MATCH($S379,MUSTERILER!$T$7:$T$106,0)),""))</f>
        <v/>
      </c>
      <c r="U379" s="3">
        <f>IF($T379="","",$T379&amp;"|"&amp;COUNTIFS($T$7:$T379,$T379))</f>
        <v/>
      </c>
      <c r="V379" s="3">
        <f>IF($T379="",0,1)</f>
        <v/>
      </c>
      <c r="W379" s="3">
        <f>IF($C379="","",$D379&amp;"|"&amp;$E379&amp;"|"&amp;TEXT($C379,"0")&amp;"|"&amp;TEXT($G379,"0")&amp;"|"&amp;$J379)</f>
        <v/>
      </c>
      <c r="X379" s="3" t="n"/>
      <c r="Y379" s="3" t="n"/>
      <c r="Z379" s="3" t="n"/>
      <c r="AA379" s="3" t="n"/>
      <c r="AB379" s="3" t="n"/>
      <c r="AC379" s="3" t="n"/>
      <c r="AD379" s="3">
        <f>IF($C379="",0,SUMPRODUCT((AY_SONU!$O$7:$O$42="Evet")*(AY_SONU!$B$7:$B$42=DATE(YEAR($C379),MONTH($C379),1))))</f>
        <v/>
      </c>
    </row>
    <row r="380">
      <c r="A380" s="6" t="n"/>
      <c r="B380" s="113">
        <f>IF($C380="","","GG"&amp;TEXT(ROW()-6,"00000"))</f>
        <v/>
      </c>
      <c r="C380" s="220" t="n"/>
      <c r="D380" s="108" t="n"/>
      <c r="E380" s="109" t="n"/>
      <c r="F380" s="109" t="n"/>
      <c r="G380" s="221" t="n"/>
      <c r="H380" s="108" t="n"/>
      <c r="I380" s="108" t="n"/>
      <c r="J380" s="109" t="n"/>
      <c r="K380" s="109" t="n"/>
      <c r="L380" s="108" t="n"/>
      <c r="M380" s="121">
        <f>IF($C380="","",IF($D380="Gider",$E380,IF($L380&lt;&gt;"",$L380,$H380)))</f>
        <v/>
      </c>
      <c r="N380" s="121">
        <f>IF($C380="","",IF($D380="Gider",$H380,$E380))</f>
        <v/>
      </c>
      <c r="O380" s="226">
        <f>IF($C380="","",DATE(YEAR($C380),MONTH($C380),1))</f>
        <v/>
      </c>
      <c r="P380" s="113">
        <f>IF($C380="","",IF(AND($D380="Gelir",$L380&lt;&gt;"",$T380=""),"TANIMSIZ BORÇLU",IF($T380&lt;&gt;"",IF(OR($E380="",$G380&lt;=0),"EKSİK",IF($I380="Evet","TAHAKKUK NAKİT OLAMAZ",IF($C380&gt;TODAY(),"İLERİ TARİH","TAHAKKUK"))),IF(AND($D380&lt;&gt;"",$E380&lt;&gt;"",$G380&gt;0,$H380&lt;&gt;"",$I380&lt;&gt;""),IF($C380&gt;TODAY(),"İLERİ TARİH",IF(COUNTIF($W$7:$W$1206,$W380)&gt;1,"MÜKERRER?",IF($AD380&gt;0,"KAPALI DÖNEM",IF($I380="Hayır","ÖDENECEK","UYGUN")))),"EKSİK"))))</f>
        <v/>
      </c>
      <c r="Q380" s="6" t="n"/>
      <c r="R380" s="6" t="n"/>
      <c r="S380" s="3">
        <f>IF($L380="","",UPPER(SUBSTITUTE(SUBSTITUTE(SUBSTITUTE(SUBSTITUTE(SUBSTITUTE(SUBSTITUTE(SUBSTITUTE(SUBSTITUTE(SUBSTITUTE(SUBSTITUTE(SUBSTITUTE(SUBSTITUTE(SUBSTITUTE(SUBSTITUTE(SUBSTITUTE(SUBSTITUTE(SUBSTITUTE(SUBSTITUTE(TRIM($L380),"'",""),"İ","I"),"ı","I"),"i","I"),"Ş","S"),"ş","S"),"Ğ","G"),"ğ","G"),"Ü","U"),"ü","U"),"Ö","O"),"ö","O"),"Ç","C"),"ç","C"),".",""),",","")," ",""),"-","")))</f>
        <v/>
      </c>
      <c r="T380" s="3">
        <f>IF(OR($C380="",$D380&lt;&gt;"Gelir",$L380=""),"",IFERROR(INDEX(MUSTERILER!$B$7:$B$106,MATCH($S380,MUSTERILER!$T$7:$T$106,0)),""))</f>
        <v/>
      </c>
      <c r="U380" s="3">
        <f>IF($T380="","",$T380&amp;"|"&amp;COUNTIFS($T$7:$T380,$T380))</f>
        <v/>
      </c>
      <c r="V380" s="3">
        <f>IF($T380="",0,1)</f>
        <v/>
      </c>
      <c r="W380" s="3">
        <f>IF($C380="","",$D380&amp;"|"&amp;$E380&amp;"|"&amp;TEXT($C380,"0")&amp;"|"&amp;TEXT($G380,"0")&amp;"|"&amp;$J380)</f>
        <v/>
      </c>
      <c r="X380" s="3" t="n"/>
      <c r="Y380" s="3" t="n"/>
      <c r="Z380" s="3" t="n"/>
      <c r="AA380" s="3" t="n"/>
      <c r="AB380" s="3" t="n"/>
      <c r="AC380" s="3" t="n"/>
      <c r="AD380" s="3">
        <f>IF($C380="",0,SUMPRODUCT((AY_SONU!$O$7:$O$42="Evet")*(AY_SONU!$B$7:$B$42=DATE(YEAR($C380),MONTH($C380),1))))</f>
        <v/>
      </c>
    </row>
    <row r="381">
      <c r="A381" s="6" t="n"/>
      <c r="B381" s="113">
        <f>IF($C381="","","GG"&amp;TEXT(ROW()-6,"00000"))</f>
        <v/>
      </c>
      <c r="C381" s="220" t="n"/>
      <c r="D381" s="108" t="n"/>
      <c r="E381" s="109" t="n"/>
      <c r="F381" s="109" t="n"/>
      <c r="G381" s="221" t="n"/>
      <c r="H381" s="108" t="n"/>
      <c r="I381" s="108" t="n"/>
      <c r="J381" s="109" t="n"/>
      <c r="K381" s="109" t="n"/>
      <c r="L381" s="108" t="n"/>
      <c r="M381" s="121">
        <f>IF($C381="","",IF($D381="Gider",$E381,IF($L381&lt;&gt;"",$L381,$H381)))</f>
        <v/>
      </c>
      <c r="N381" s="121">
        <f>IF($C381="","",IF($D381="Gider",$H381,$E381))</f>
        <v/>
      </c>
      <c r="O381" s="226">
        <f>IF($C381="","",DATE(YEAR($C381),MONTH($C381),1))</f>
        <v/>
      </c>
      <c r="P381" s="113">
        <f>IF($C381="","",IF(AND($D381="Gelir",$L381&lt;&gt;"",$T381=""),"TANIMSIZ BORÇLU",IF($T381&lt;&gt;"",IF(OR($E381="",$G381&lt;=0),"EKSİK",IF($I381="Evet","TAHAKKUK NAKİT OLAMAZ",IF($C381&gt;TODAY(),"İLERİ TARİH","TAHAKKUK"))),IF(AND($D381&lt;&gt;"",$E381&lt;&gt;"",$G381&gt;0,$H381&lt;&gt;"",$I381&lt;&gt;""),IF($C381&gt;TODAY(),"İLERİ TARİH",IF(COUNTIF($W$7:$W$1206,$W381)&gt;1,"MÜKERRER?",IF($AD381&gt;0,"KAPALI DÖNEM",IF($I381="Hayır","ÖDENECEK","UYGUN")))),"EKSİK"))))</f>
        <v/>
      </c>
      <c r="Q381" s="6" t="n"/>
      <c r="R381" s="6" t="n"/>
      <c r="S381" s="3">
        <f>IF($L381="","",UPPER(SUBSTITUTE(SUBSTITUTE(SUBSTITUTE(SUBSTITUTE(SUBSTITUTE(SUBSTITUTE(SUBSTITUTE(SUBSTITUTE(SUBSTITUTE(SUBSTITUTE(SUBSTITUTE(SUBSTITUTE(SUBSTITUTE(SUBSTITUTE(SUBSTITUTE(SUBSTITUTE(SUBSTITUTE(SUBSTITUTE(TRIM($L381),"'",""),"İ","I"),"ı","I"),"i","I"),"Ş","S"),"ş","S"),"Ğ","G"),"ğ","G"),"Ü","U"),"ü","U"),"Ö","O"),"ö","O"),"Ç","C"),"ç","C"),".",""),",","")," ",""),"-","")))</f>
        <v/>
      </c>
      <c r="T381" s="3">
        <f>IF(OR($C381="",$D381&lt;&gt;"Gelir",$L381=""),"",IFERROR(INDEX(MUSTERILER!$B$7:$B$106,MATCH($S381,MUSTERILER!$T$7:$T$106,0)),""))</f>
        <v/>
      </c>
      <c r="U381" s="3">
        <f>IF($T381="","",$T381&amp;"|"&amp;COUNTIFS($T$7:$T381,$T381))</f>
        <v/>
      </c>
      <c r="V381" s="3">
        <f>IF($T381="",0,1)</f>
        <v/>
      </c>
      <c r="W381" s="3">
        <f>IF($C381="","",$D381&amp;"|"&amp;$E381&amp;"|"&amp;TEXT($C381,"0")&amp;"|"&amp;TEXT($G381,"0")&amp;"|"&amp;$J381)</f>
        <v/>
      </c>
      <c r="X381" s="3" t="n"/>
      <c r="Y381" s="3" t="n"/>
      <c r="Z381" s="3" t="n"/>
      <c r="AA381" s="3" t="n"/>
      <c r="AB381" s="3" t="n"/>
      <c r="AC381" s="3" t="n"/>
      <c r="AD381" s="3">
        <f>IF($C381="",0,SUMPRODUCT((AY_SONU!$O$7:$O$42="Evet")*(AY_SONU!$B$7:$B$42=DATE(YEAR($C381),MONTH($C381),1))))</f>
        <v/>
      </c>
    </row>
    <row r="382">
      <c r="A382" s="6" t="n"/>
      <c r="B382" s="113">
        <f>IF($C382="","","GG"&amp;TEXT(ROW()-6,"00000"))</f>
        <v/>
      </c>
      <c r="C382" s="220" t="n"/>
      <c r="D382" s="108" t="n"/>
      <c r="E382" s="109" t="n"/>
      <c r="F382" s="109" t="n"/>
      <c r="G382" s="221" t="n"/>
      <c r="H382" s="108" t="n"/>
      <c r="I382" s="108" t="n"/>
      <c r="J382" s="109" t="n"/>
      <c r="K382" s="109" t="n"/>
      <c r="L382" s="108" t="n"/>
      <c r="M382" s="121">
        <f>IF($C382="","",IF($D382="Gider",$E382,IF($L382&lt;&gt;"",$L382,$H382)))</f>
        <v/>
      </c>
      <c r="N382" s="121">
        <f>IF($C382="","",IF($D382="Gider",$H382,$E382))</f>
        <v/>
      </c>
      <c r="O382" s="226">
        <f>IF($C382="","",DATE(YEAR($C382),MONTH($C382),1))</f>
        <v/>
      </c>
      <c r="P382" s="113">
        <f>IF($C382="","",IF(AND($D382="Gelir",$L382&lt;&gt;"",$T382=""),"TANIMSIZ BORÇLU",IF($T382&lt;&gt;"",IF(OR($E382="",$G382&lt;=0),"EKSİK",IF($I382="Evet","TAHAKKUK NAKİT OLAMAZ",IF($C382&gt;TODAY(),"İLERİ TARİH","TAHAKKUK"))),IF(AND($D382&lt;&gt;"",$E382&lt;&gt;"",$G382&gt;0,$H382&lt;&gt;"",$I382&lt;&gt;""),IF($C382&gt;TODAY(),"İLERİ TARİH",IF(COUNTIF($W$7:$W$1206,$W382)&gt;1,"MÜKERRER?",IF($AD382&gt;0,"KAPALI DÖNEM",IF($I382="Hayır","ÖDENECEK","UYGUN")))),"EKSİK"))))</f>
        <v/>
      </c>
      <c r="Q382" s="6" t="n"/>
      <c r="R382" s="6" t="n"/>
      <c r="S382" s="3">
        <f>IF($L382="","",UPPER(SUBSTITUTE(SUBSTITUTE(SUBSTITUTE(SUBSTITUTE(SUBSTITUTE(SUBSTITUTE(SUBSTITUTE(SUBSTITUTE(SUBSTITUTE(SUBSTITUTE(SUBSTITUTE(SUBSTITUTE(SUBSTITUTE(SUBSTITUTE(SUBSTITUTE(SUBSTITUTE(SUBSTITUTE(SUBSTITUTE(TRIM($L382),"'",""),"İ","I"),"ı","I"),"i","I"),"Ş","S"),"ş","S"),"Ğ","G"),"ğ","G"),"Ü","U"),"ü","U"),"Ö","O"),"ö","O"),"Ç","C"),"ç","C"),".",""),",","")," ",""),"-","")))</f>
        <v/>
      </c>
      <c r="T382" s="3">
        <f>IF(OR($C382="",$D382&lt;&gt;"Gelir",$L382=""),"",IFERROR(INDEX(MUSTERILER!$B$7:$B$106,MATCH($S382,MUSTERILER!$T$7:$T$106,0)),""))</f>
        <v/>
      </c>
      <c r="U382" s="3">
        <f>IF($T382="","",$T382&amp;"|"&amp;COUNTIFS($T$7:$T382,$T382))</f>
        <v/>
      </c>
      <c r="V382" s="3">
        <f>IF($T382="",0,1)</f>
        <v/>
      </c>
      <c r="W382" s="3">
        <f>IF($C382="","",$D382&amp;"|"&amp;$E382&amp;"|"&amp;TEXT($C382,"0")&amp;"|"&amp;TEXT($G382,"0")&amp;"|"&amp;$J382)</f>
        <v/>
      </c>
      <c r="X382" s="3" t="n"/>
      <c r="Y382" s="3" t="n"/>
      <c r="Z382" s="3" t="n"/>
      <c r="AA382" s="3" t="n"/>
      <c r="AB382" s="3" t="n"/>
      <c r="AC382" s="3" t="n"/>
      <c r="AD382" s="3">
        <f>IF($C382="",0,SUMPRODUCT((AY_SONU!$O$7:$O$42="Evet")*(AY_SONU!$B$7:$B$42=DATE(YEAR($C382),MONTH($C382),1))))</f>
        <v/>
      </c>
    </row>
    <row r="383">
      <c r="A383" s="6" t="n"/>
      <c r="B383" s="113">
        <f>IF($C383="","","GG"&amp;TEXT(ROW()-6,"00000"))</f>
        <v/>
      </c>
      <c r="C383" s="220" t="n"/>
      <c r="D383" s="108" t="n"/>
      <c r="E383" s="109" t="n"/>
      <c r="F383" s="109" t="n"/>
      <c r="G383" s="221" t="n"/>
      <c r="H383" s="108" t="n"/>
      <c r="I383" s="108" t="n"/>
      <c r="J383" s="109" t="n"/>
      <c r="K383" s="109" t="n"/>
      <c r="L383" s="108" t="n"/>
      <c r="M383" s="121">
        <f>IF($C383="","",IF($D383="Gider",$E383,IF($L383&lt;&gt;"",$L383,$H383)))</f>
        <v/>
      </c>
      <c r="N383" s="121">
        <f>IF($C383="","",IF($D383="Gider",$H383,$E383))</f>
        <v/>
      </c>
      <c r="O383" s="226">
        <f>IF($C383="","",DATE(YEAR($C383),MONTH($C383),1))</f>
        <v/>
      </c>
      <c r="P383" s="113">
        <f>IF($C383="","",IF(AND($D383="Gelir",$L383&lt;&gt;"",$T383=""),"TANIMSIZ BORÇLU",IF($T383&lt;&gt;"",IF(OR($E383="",$G383&lt;=0),"EKSİK",IF($I383="Evet","TAHAKKUK NAKİT OLAMAZ",IF($C383&gt;TODAY(),"İLERİ TARİH","TAHAKKUK"))),IF(AND($D383&lt;&gt;"",$E383&lt;&gt;"",$G383&gt;0,$H383&lt;&gt;"",$I383&lt;&gt;""),IF($C383&gt;TODAY(),"İLERİ TARİH",IF(COUNTIF($W$7:$W$1206,$W383)&gt;1,"MÜKERRER?",IF($AD383&gt;0,"KAPALI DÖNEM",IF($I383="Hayır","ÖDENECEK","UYGUN")))),"EKSİK"))))</f>
        <v/>
      </c>
      <c r="Q383" s="6" t="n"/>
      <c r="R383" s="6" t="n"/>
      <c r="S383" s="3">
        <f>IF($L383="","",UPPER(SUBSTITUTE(SUBSTITUTE(SUBSTITUTE(SUBSTITUTE(SUBSTITUTE(SUBSTITUTE(SUBSTITUTE(SUBSTITUTE(SUBSTITUTE(SUBSTITUTE(SUBSTITUTE(SUBSTITUTE(SUBSTITUTE(SUBSTITUTE(SUBSTITUTE(SUBSTITUTE(SUBSTITUTE(SUBSTITUTE(TRIM($L383),"'",""),"İ","I"),"ı","I"),"i","I"),"Ş","S"),"ş","S"),"Ğ","G"),"ğ","G"),"Ü","U"),"ü","U"),"Ö","O"),"ö","O"),"Ç","C"),"ç","C"),".",""),",","")," ",""),"-","")))</f>
        <v/>
      </c>
      <c r="T383" s="3">
        <f>IF(OR($C383="",$D383&lt;&gt;"Gelir",$L383=""),"",IFERROR(INDEX(MUSTERILER!$B$7:$B$106,MATCH($S383,MUSTERILER!$T$7:$T$106,0)),""))</f>
        <v/>
      </c>
      <c r="U383" s="3">
        <f>IF($T383="","",$T383&amp;"|"&amp;COUNTIFS($T$7:$T383,$T383))</f>
        <v/>
      </c>
      <c r="V383" s="3">
        <f>IF($T383="",0,1)</f>
        <v/>
      </c>
      <c r="W383" s="3">
        <f>IF($C383="","",$D383&amp;"|"&amp;$E383&amp;"|"&amp;TEXT($C383,"0")&amp;"|"&amp;TEXT($G383,"0")&amp;"|"&amp;$J383)</f>
        <v/>
      </c>
      <c r="X383" s="3" t="n"/>
      <c r="Y383" s="3" t="n"/>
      <c r="Z383" s="3" t="n"/>
      <c r="AA383" s="3" t="n"/>
      <c r="AB383" s="3" t="n"/>
      <c r="AC383" s="3" t="n"/>
      <c r="AD383" s="3">
        <f>IF($C383="",0,SUMPRODUCT((AY_SONU!$O$7:$O$42="Evet")*(AY_SONU!$B$7:$B$42=DATE(YEAR($C383),MONTH($C383),1))))</f>
        <v/>
      </c>
    </row>
    <row r="384">
      <c r="A384" s="6" t="n"/>
      <c r="B384" s="113">
        <f>IF($C384="","","GG"&amp;TEXT(ROW()-6,"00000"))</f>
        <v/>
      </c>
      <c r="C384" s="220" t="n"/>
      <c r="D384" s="108" t="n"/>
      <c r="E384" s="109" t="n"/>
      <c r="F384" s="109" t="n"/>
      <c r="G384" s="221" t="n"/>
      <c r="H384" s="108" t="n"/>
      <c r="I384" s="108" t="n"/>
      <c r="J384" s="109" t="n"/>
      <c r="K384" s="109" t="n"/>
      <c r="L384" s="108" t="n"/>
      <c r="M384" s="121">
        <f>IF($C384="","",IF($D384="Gider",$E384,IF($L384&lt;&gt;"",$L384,$H384)))</f>
        <v/>
      </c>
      <c r="N384" s="121">
        <f>IF($C384="","",IF($D384="Gider",$H384,$E384))</f>
        <v/>
      </c>
      <c r="O384" s="226">
        <f>IF($C384="","",DATE(YEAR($C384),MONTH($C384),1))</f>
        <v/>
      </c>
      <c r="P384" s="113">
        <f>IF($C384="","",IF(AND($D384="Gelir",$L384&lt;&gt;"",$T384=""),"TANIMSIZ BORÇLU",IF($T384&lt;&gt;"",IF(OR($E384="",$G384&lt;=0),"EKSİK",IF($I384="Evet","TAHAKKUK NAKİT OLAMAZ",IF($C384&gt;TODAY(),"İLERİ TARİH","TAHAKKUK"))),IF(AND($D384&lt;&gt;"",$E384&lt;&gt;"",$G384&gt;0,$H384&lt;&gt;"",$I384&lt;&gt;""),IF($C384&gt;TODAY(),"İLERİ TARİH",IF(COUNTIF($W$7:$W$1206,$W384)&gt;1,"MÜKERRER?",IF($AD384&gt;0,"KAPALI DÖNEM",IF($I384="Hayır","ÖDENECEK","UYGUN")))),"EKSİK"))))</f>
        <v/>
      </c>
      <c r="Q384" s="6" t="n"/>
      <c r="R384" s="6" t="n"/>
      <c r="S384" s="3">
        <f>IF($L384="","",UPPER(SUBSTITUTE(SUBSTITUTE(SUBSTITUTE(SUBSTITUTE(SUBSTITUTE(SUBSTITUTE(SUBSTITUTE(SUBSTITUTE(SUBSTITUTE(SUBSTITUTE(SUBSTITUTE(SUBSTITUTE(SUBSTITUTE(SUBSTITUTE(SUBSTITUTE(SUBSTITUTE(SUBSTITUTE(SUBSTITUTE(TRIM($L384),"'",""),"İ","I"),"ı","I"),"i","I"),"Ş","S"),"ş","S"),"Ğ","G"),"ğ","G"),"Ü","U"),"ü","U"),"Ö","O"),"ö","O"),"Ç","C"),"ç","C"),".",""),",","")," ",""),"-","")))</f>
        <v/>
      </c>
      <c r="T384" s="3">
        <f>IF(OR($C384="",$D384&lt;&gt;"Gelir",$L384=""),"",IFERROR(INDEX(MUSTERILER!$B$7:$B$106,MATCH($S384,MUSTERILER!$T$7:$T$106,0)),""))</f>
        <v/>
      </c>
      <c r="U384" s="3">
        <f>IF($T384="","",$T384&amp;"|"&amp;COUNTIFS($T$7:$T384,$T384))</f>
        <v/>
      </c>
      <c r="V384" s="3">
        <f>IF($T384="",0,1)</f>
        <v/>
      </c>
      <c r="W384" s="3">
        <f>IF($C384="","",$D384&amp;"|"&amp;$E384&amp;"|"&amp;TEXT($C384,"0")&amp;"|"&amp;TEXT($G384,"0")&amp;"|"&amp;$J384)</f>
        <v/>
      </c>
      <c r="X384" s="3" t="n"/>
      <c r="Y384" s="3" t="n"/>
      <c r="Z384" s="3" t="n"/>
      <c r="AA384" s="3" t="n"/>
      <c r="AB384" s="3" t="n"/>
      <c r="AC384" s="3" t="n"/>
      <c r="AD384" s="3">
        <f>IF($C384="",0,SUMPRODUCT((AY_SONU!$O$7:$O$42="Evet")*(AY_SONU!$B$7:$B$42=DATE(YEAR($C384),MONTH($C384),1))))</f>
        <v/>
      </c>
    </row>
    <row r="385">
      <c r="A385" s="6" t="n"/>
      <c r="B385" s="113">
        <f>IF($C385="","","GG"&amp;TEXT(ROW()-6,"00000"))</f>
        <v/>
      </c>
      <c r="C385" s="220" t="n"/>
      <c r="D385" s="108" t="n"/>
      <c r="E385" s="109" t="n"/>
      <c r="F385" s="109" t="n"/>
      <c r="G385" s="221" t="n"/>
      <c r="H385" s="108" t="n"/>
      <c r="I385" s="108" t="n"/>
      <c r="J385" s="109" t="n"/>
      <c r="K385" s="109" t="n"/>
      <c r="L385" s="108" t="n"/>
      <c r="M385" s="121">
        <f>IF($C385="","",IF($D385="Gider",$E385,IF($L385&lt;&gt;"",$L385,$H385)))</f>
        <v/>
      </c>
      <c r="N385" s="121">
        <f>IF($C385="","",IF($D385="Gider",$H385,$E385))</f>
        <v/>
      </c>
      <c r="O385" s="226">
        <f>IF($C385="","",DATE(YEAR($C385),MONTH($C385),1))</f>
        <v/>
      </c>
      <c r="P385" s="113">
        <f>IF($C385="","",IF(AND($D385="Gelir",$L385&lt;&gt;"",$T385=""),"TANIMSIZ BORÇLU",IF($T385&lt;&gt;"",IF(OR($E385="",$G385&lt;=0),"EKSİK",IF($I385="Evet","TAHAKKUK NAKİT OLAMAZ",IF($C385&gt;TODAY(),"İLERİ TARİH","TAHAKKUK"))),IF(AND($D385&lt;&gt;"",$E385&lt;&gt;"",$G385&gt;0,$H385&lt;&gt;"",$I385&lt;&gt;""),IF($C385&gt;TODAY(),"İLERİ TARİH",IF(COUNTIF($W$7:$W$1206,$W385)&gt;1,"MÜKERRER?",IF($AD385&gt;0,"KAPALI DÖNEM",IF($I385="Hayır","ÖDENECEK","UYGUN")))),"EKSİK"))))</f>
        <v/>
      </c>
      <c r="Q385" s="6" t="n"/>
      <c r="R385" s="6" t="n"/>
      <c r="S385" s="3">
        <f>IF($L385="","",UPPER(SUBSTITUTE(SUBSTITUTE(SUBSTITUTE(SUBSTITUTE(SUBSTITUTE(SUBSTITUTE(SUBSTITUTE(SUBSTITUTE(SUBSTITUTE(SUBSTITUTE(SUBSTITUTE(SUBSTITUTE(SUBSTITUTE(SUBSTITUTE(SUBSTITUTE(SUBSTITUTE(SUBSTITUTE(SUBSTITUTE(TRIM($L385),"'",""),"İ","I"),"ı","I"),"i","I"),"Ş","S"),"ş","S"),"Ğ","G"),"ğ","G"),"Ü","U"),"ü","U"),"Ö","O"),"ö","O"),"Ç","C"),"ç","C"),".",""),",","")," ",""),"-","")))</f>
        <v/>
      </c>
      <c r="T385" s="3">
        <f>IF(OR($C385="",$D385&lt;&gt;"Gelir",$L385=""),"",IFERROR(INDEX(MUSTERILER!$B$7:$B$106,MATCH($S385,MUSTERILER!$T$7:$T$106,0)),""))</f>
        <v/>
      </c>
      <c r="U385" s="3">
        <f>IF($T385="","",$T385&amp;"|"&amp;COUNTIFS($T$7:$T385,$T385))</f>
        <v/>
      </c>
      <c r="V385" s="3">
        <f>IF($T385="",0,1)</f>
        <v/>
      </c>
      <c r="W385" s="3">
        <f>IF($C385="","",$D385&amp;"|"&amp;$E385&amp;"|"&amp;TEXT($C385,"0")&amp;"|"&amp;TEXT($G385,"0")&amp;"|"&amp;$J385)</f>
        <v/>
      </c>
      <c r="X385" s="3" t="n"/>
      <c r="Y385" s="3" t="n"/>
      <c r="Z385" s="3" t="n"/>
      <c r="AA385" s="3" t="n"/>
      <c r="AB385" s="3" t="n"/>
      <c r="AC385" s="3" t="n"/>
      <c r="AD385" s="3">
        <f>IF($C385="",0,SUMPRODUCT((AY_SONU!$O$7:$O$42="Evet")*(AY_SONU!$B$7:$B$42=DATE(YEAR($C385),MONTH($C385),1))))</f>
        <v/>
      </c>
    </row>
    <row r="386">
      <c r="A386" s="6" t="n"/>
      <c r="B386" s="113">
        <f>IF($C386="","","GG"&amp;TEXT(ROW()-6,"00000"))</f>
        <v/>
      </c>
      <c r="C386" s="220" t="n"/>
      <c r="D386" s="108" t="n"/>
      <c r="E386" s="109" t="n"/>
      <c r="F386" s="109" t="n"/>
      <c r="G386" s="221" t="n"/>
      <c r="H386" s="108" t="n"/>
      <c r="I386" s="108" t="n"/>
      <c r="J386" s="109" t="n"/>
      <c r="K386" s="109" t="n"/>
      <c r="L386" s="108" t="n"/>
      <c r="M386" s="121">
        <f>IF($C386="","",IF($D386="Gider",$E386,IF($L386&lt;&gt;"",$L386,$H386)))</f>
        <v/>
      </c>
      <c r="N386" s="121">
        <f>IF($C386="","",IF($D386="Gider",$H386,$E386))</f>
        <v/>
      </c>
      <c r="O386" s="226">
        <f>IF($C386="","",DATE(YEAR($C386),MONTH($C386),1))</f>
        <v/>
      </c>
      <c r="P386" s="113">
        <f>IF($C386="","",IF(AND($D386="Gelir",$L386&lt;&gt;"",$T386=""),"TANIMSIZ BORÇLU",IF($T386&lt;&gt;"",IF(OR($E386="",$G386&lt;=0),"EKSİK",IF($I386="Evet","TAHAKKUK NAKİT OLAMAZ",IF($C386&gt;TODAY(),"İLERİ TARİH","TAHAKKUK"))),IF(AND($D386&lt;&gt;"",$E386&lt;&gt;"",$G386&gt;0,$H386&lt;&gt;"",$I386&lt;&gt;""),IF($C386&gt;TODAY(),"İLERİ TARİH",IF(COUNTIF($W$7:$W$1206,$W386)&gt;1,"MÜKERRER?",IF($AD386&gt;0,"KAPALI DÖNEM",IF($I386="Hayır","ÖDENECEK","UYGUN")))),"EKSİK"))))</f>
        <v/>
      </c>
      <c r="Q386" s="6" t="n"/>
      <c r="R386" s="6" t="n"/>
      <c r="S386" s="3">
        <f>IF($L386="","",UPPER(SUBSTITUTE(SUBSTITUTE(SUBSTITUTE(SUBSTITUTE(SUBSTITUTE(SUBSTITUTE(SUBSTITUTE(SUBSTITUTE(SUBSTITUTE(SUBSTITUTE(SUBSTITUTE(SUBSTITUTE(SUBSTITUTE(SUBSTITUTE(SUBSTITUTE(SUBSTITUTE(SUBSTITUTE(SUBSTITUTE(TRIM($L386),"'",""),"İ","I"),"ı","I"),"i","I"),"Ş","S"),"ş","S"),"Ğ","G"),"ğ","G"),"Ü","U"),"ü","U"),"Ö","O"),"ö","O"),"Ç","C"),"ç","C"),".",""),",","")," ",""),"-","")))</f>
        <v/>
      </c>
      <c r="T386" s="3">
        <f>IF(OR($C386="",$D386&lt;&gt;"Gelir",$L386=""),"",IFERROR(INDEX(MUSTERILER!$B$7:$B$106,MATCH($S386,MUSTERILER!$T$7:$T$106,0)),""))</f>
        <v/>
      </c>
      <c r="U386" s="3">
        <f>IF($T386="","",$T386&amp;"|"&amp;COUNTIFS($T$7:$T386,$T386))</f>
        <v/>
      </c>
      <c r="V386" s="3">
        <f>IF($T386="",0,1)</f>
        <v/>
      </c>
      <c r="W386" s="3">
        <f>IF($C386="","",$D386&amp;"|"&amp;$E386&amp;"|"&amp;TEXT($C386,"0")&amp;"|"&amp;TEXT($G386,"0")&amp;"|"&amp;$J386)</f>
        <v/>
      </c>
      <c r="X386" s="3" t="n"/>
      <c r="Y386" s="3" t="n"/>
      <c r="Z386" s="3" t="n"/>
      <c r="AA386" s="3" t="n"/>
      <c r="AB386" s="3" t="n"/>
      <c r="AC386" s="3" t="n"/>
      <c r="AD386" s="3">
        <f>IF($C386="",0,SUMPRODUCT((AY_SONU!$O$7:$O$42="Evet")*(AY_SONU!$B$7:$B$42=DATE(YEAR($C386),MONTH($C386),1))))</f>
        <v/>
      </c>
    </row>
    <row r="387">
      <c r="A387" s="6" t="n"/>
      <c r="B387" s="113">
        <f>IF($C387="","","GG"&amp;TEXT(ROW()-6,"00000"))</f>
        <v/>
      </c>
      <c r="C387" s="220" t="n"/>
      <c r="D387" s="108" t="n"/>
      <c r="E387" s="109" t="n"/>
      <c r="F387" s="109" t="n"/>
      <c r="G387" s="221" t="n"/>
      <c r="H387" s="108" t="n"/>
      <c r="I387" s="108" t="n"/>
      <c r="J387" s="109" t="n"/>
      <c r="K387" s="109" t="n"/>
      <c r="L387" s="108" t="n"/>
      <c r="M387" s="121">
        <f>IF($C387="","",IF($D387="Gider",$E387,IF($L387&lt;&gt;"",$L387,$H387)))</f>
        <v/>
      </c>
      <c r="N387" s="121">
        <f>IF($C387="","",IF($D387="Gider",$H387,$E387))</f>
        <v/>
      </c>
      <c r="O387" s="226">
        <f>IF($C387="","",DATE(YEAR($C387),MONTH($C387),1))</f>
        <v/>
      </c>
      <c r="P387" s="113">
        <f>IF($C387="","",IF(AND($D387="Gelir",$L387&lt;&gt;"",$T387=""),"TANIMSIZ BORÇLU",IF($T387&lt;&gt;"",IF(OR($E387="",$G387&lt;=0),"EKSİK",IF($I387="Evet","TAHAKKUK NAKİT OLAMAZ",IF($C387&gt;TODAY(),"İLERİ TARİH","TAHAKKUK"))),IF(AND($D387&lt;&gt;"",$E387&lt;&gt;"",$G387&gt;0,$H387&lt;&gt;"",$I387&lt;&gt;""),IF($C387&gt;TODAY(),"İLERİ TARİH",IF(COUNTIF($W$7:$W$1206,$W387)&gt;1,"MÜKERRER?",IF($AD387&gt;0,"KAPALI DÖNEM",IF($I387="Hayır","ÖDENECEK","UYGUN")))),"EKSİK"))))</f>
        <v/>
      </c>
      <c r="Q387" s="6" t="n"/>
      <c r="R387" s="6" t="n"/>
      <c r="S387" s="3">
        <f>IF($L387="","",UPPER(SUBSTITUTE(SUBSTITUTE(SUBSTITUTE(SUBSTITUTE(SUBSTITUTE(SUBSTITUTE(SUBSTITUTE(SUBSTITUTE(SUBSTITUTE(SUBSTITUTE(SUBSTITUTE(SUBSTITUTE(SUBSTITUTE(SUBSTITUTE(SUBSTITUTE(SUBSTITUTE(SUBSTITUTE(SUBSTITUTE(TRIM($L387),"'",""),"İ","I"),"ı","I"),"i","I"),"Ş","S"),"ş","S"),"Ğ","G"),"ğ","G"),"Ü","U"),"ü","U"),"Ö","O"),"ö","O"),"Ç","C"),"ç","C"),".",""),",","")," ",""),"-","")))</f>
        <v/>
      </c>
      <c r="T387" s="3">
        <f>IF(OR($C387="",$D387&lt;&gt;"Gelir",$L387=""),"",IFERROR(INDEX(MUSTERILER!$B$7:$B$106,MATCH($S387,MUSTERILER!$T$7:$T$106,0)),""))</f>
        <v/>
      </c>
      <c r="U387" s="3">
        <f>IF($T387="","",$T387&amp;"|"&amp;COUNTIFS($T$7:$T387,$T387))</f>
        <v/>
      </c>
      <c r="V387" s="3">
        <f>IF($T387="",0,1)</f>
        <v/>
      </c>
      <c r="W387" s="3">
        <f>IF($C387="","",$D387&amp;"|"&amp;$E387&amp;"|"&amp;TEXT($C387,"0")&amp;"|"&amp;TEXT($G387,"0")&amp;"|"&amp;$J387)</f>
        <v/>
      </c>
      <c r="X387" s="3" t="n"/>
      <c r="Y387" s="3" t="n"/>
      <c r="Z387" s="3" t="n"/>
      <c r="AA387" s="3" t="n"/>
      <c r="AB387" s="3" t="n"/>
      <c r="AC387" s="3" t="n"/>
      <c r="AD387" s="3">
        <f>IF($C387="",0,SUMPRODUCT((AY_SONU!$O$7:$O$42="Evet")*(AY_SONU!$B$7:$B$42=DATE(YEAR($C387),MONTH($C387),1))))</f>
        <v/>
      </c>
    </row>
    <row r="388">
      <c r="A388" s="6" t="n"/>
      <c r="B388" s="113">
        <f>IF($C388="","","GG"&amp;TEXT(ROW()-6,"00000"))</f>
        <v/>
      </c>
      <c r="C388" s="220" t="n"/>
      <c r="D388" s="108" t="n"/>
      <c r="E388" s="109" t="n"/>
      <c r="F388" s="109" t="n"/>
      <c r="G388" s="221" t="n"/>
      <c r="H388" s="108" t="n"/>
      <c r="I388" s="108" t="n"/>
      <c r="J388" s="109" t="n"/>
      <c r="K388" s="109" t="n"/>
      <c r="L388" s="108" t="n"/>
      <c r="M388" s="121">
        <f>IF($C388="","",IF($D388="Gider",$E388,IF($L388&lt;&gt;"",$L388,$H388)))</f>
        <v/>
      </c>
      <c r="N388" s="121">
        <f>IF($C388="","",IF($D388="Gider",$H388,$E388))</f>
        <v/>
      </c>
      <c r="O388" s="226">
        <f>IF($C388="","",DATE(YEAR($C388),MONTH($C388),1))</f>
        <v/>
      </c>
      <c r="P388" s="113">
        <f>IF($C388="","",IF(AND($D388="Gelir",$L388&lt;&gt;"",$T388=""),"TANIMSIZ BORÇLU",IF($T388&lt;&gt;"",IF(OR($E388="",$G388&lt;=0),"EKSİK",IF($I388="Evet","TAHAKKUK NAKİT OLAMAZ",IF($C388&gt;TODAY(),"İLERİ TARİH","TAHAKKUK"))),IF(AND($D388&lt;&gt;"",$E388&lt;&gt;"",$G388&gt;0,$H388&lt;&gt;"",$I388&lt;&gt;""),IF($C388&gt;TODAY(),"İLERİ TARİH",IF(COUNTIF($W$7:$W$1206,$W388)&gt;1,"MÜKERRER?",IF($AD388&gt;0,"KAPALI DÖNEM",IF($I388="Hayır","ÖDENECEK","UYGUN")))),"EKSİK"))))</f>
        <v/>
      </c>
      <c r="Q388" s="6" t="n"/>
      <c r="R388" s="6" t="n"/>
      <c r="S388" s="3">
        <f>IF($L388="","",UPPER(SUBSTITUTE(SUBSTITUTE(SUBSTITUTE(SUBSTITUTE(SUBSTITUTE(SUBSTITUTE(SUBSTITUTE(SUBSTITUTE(SUBSTITUTE(SUBSTITUTE(SUBSTITUTE(SUBSTITUTE(SUBSTITUTE(SUBSTITUTE(SUBSTITUTE(SUBSTITUTE(SUBSTITUTE(SUBSTITUTE(TRIM($L388),"'",""),"İ","I"),"ı","I"),"i","I"),"Ş","S"),"ş","S"),"Ğ","G"),"ğ","G"),"Ü","U"),"ü","U"),"Ö","O"),"ö","O"),"Ç","C"),"ç","C"),".",""),",","")," ",""),"-","")))</f>
        <v/>
      </c>
      <c r="T388" s="3">
        <f>IF(OR($C388="",$D388&lt;&gt;"Gelir",$L388=""),"",IFERROR(INDEX(MUSTERILER!$B$7:$B$106,MATCH($S388,MUSTERILER!$T$7:$T$106,0)),""))</f>
        <v/>
      </c>
      <c r="U388" s="3">
        <f>IF($T388="","",$T388&amp;"|"&amp;COUNTIFS($T$7:$T388,$T388))</f>
        <v/>
      </c>
      <c r="V388" s="3">
        <f>IF($T388="",0,1)</f>
        <v/>
      </c>
      <c r="W388" s="3">
        <f>IF($C388="","",$D388&amp;"|"&amp;$E388&amp;"|"&amp;TEXT($C388,"0")&amp;"|"&amp;TEXT($G388,"0")&amp;"|"&amp;$J388)</f>
        <v/>
      </c>
      <c r="X388" s="3" t="n"/>
      <c r="Y388" s="3" t="n"/>
      <c r="Z388" s="3" t="n"/>
      <c r="AA388" s="3" t="n"/>
      <c r="AB388" s="3" t="n"/>
      <c r="AC388" s="3" t="n"/>
      <c r="AD388" s="3">
        <f>IF($C388="",0,SUMPRODUCT((AY_SONU!$O$7:$O$42="Evet")*(AY_SONU!$B$7:$B$42=DATE(YEAR($C388),MONTH($C388),1))))</f>
        <v/>
      </c>
    </row>
    <row r="389">
      <c r="A389" s="6" t="n"/>
      <c r="B389" s="113">
        <f>IF($C389="","","GG"&amp;TEXT(ROW()-6,"00000"))</f>
        <v/>
      </c>
      <c r="C389" s="220" t="n"/>
      <c r="D389" s="108" t="n"/>
      <c r="E389" s="109" t="n"/>
      <c r="F389" s="109" t="n"/>
      <c r="G389" s="221" t="n"/>
      <c r="H389" s="108" t="n"/>
      <c r="I389" s="108" t="n"/>
      <c r="J389" s="109" t="n"/>
      <c r="K389" s="109" t="n"/>
      <c r="L389" s="108" t="n"/>
      <c r="M389" s="121">
        <f>IF($C389="","",IF($D389="Gider",$E389,IF($L389&lt;&gt;"",$L389,$H389)))</f>
        <v/>
      </c>
      <c r="N389" s="121">
        <f>IF($C389="","",IF($D389="Gider",$H389,$E389))</f>
        <v/>
      </c>
      <c r="O389" s="226">
        <f>IF($C389="","",DATE(YEAR($C389),MONTH($C389),1))</f>
        <v/>
      </c>
      <c r="P389" s="113">
        <f>IF($C389="","",IF(AND($D389="Gelir",$L389&lt;&gt;"",$T389=""),"TANIMSIZ BORÇLU",IF($T389&lt;&gt;"",IF(OR($E389="",$G389&lt;=0),"EKSİK",IF($I389="Evet","TAHAKKUK NAKİT OLAMAZ",IF($C389&gt;TODAY(),"İLERİ TARİH","TAHAKKUK"))),IF(AND($D389&lt;&gt;"",$E389&lt;&gt;"",$G389&gt;0,$H389&lt;&gt;"",$I389&lt;&gt;""),IF($C389&gt;TODAY(),"İLERİ TARİH",IF(COUNTIF($W$7:$W$1206,$W389)&gt;1,"MÜKERRER?",IF($AD389&gt;0,"KAPALI DÖNEM",IF($I389="Hayır","ÖDENECEK","UYGUN")))),"EKSİK"))))</f>
        <v/>
      </c>
      <c r="Q389" s="6" t="n"/>
      <c r="R389" s="6" t="n"/>
      <c r="S389" s="3">
        <f>IF($L389="","",UPPER(SUBSTITUTE(SUBSTITUTE(SUBSTITUTE(SUBSTITUTE(SUBSTITUTE(SUBSTITUTE(SUBSTITUTE(SUBSTITUTE(SUBSTITUTE(SUBSTITUTE(SUBSTITUTE(SUBSTITUTE(SUBSTITUTE(SUBSTITUTE(SUBSTITUTE(SUBSTITUTE(SUBSTITUTE(SUBSTITUTE(TRIM($L389),"'",""),"İ","I"),"ı","I"),"i","I"),"Ş","S"),"ş","S"),"Ğ","G"),"ğ","G"),"Ü","U"),"ü","U"),"Ö","O"),"ö","O"),"Ç","C"),"ç","C"),".",""),",","")," ",""),"-","")))</f>
        <v/>
      </c>
      <c r="T389" s="3">
        <f>IF(OR($C389="",$D389&lt;&gt;"Gelir",$L389=""),"",IFERROR(INDEX(MUSTERILER!$B$7:$B$106,MATCH($S389,MUSTERILER!$T$7:$T$106,0)),""))</f>
        <v/>
      </c>
      <c r="U389" s="3">
        <f>IF($T389="","",$T389&amp;"|"&amp;COUNTIFS($T$7:$T389,$T389))</f>
        <v/>
      </c>
      <c r="V389" s="3">
        <f>IF($T389="",0,1)</f>
        <v/>
      </c>
      <c r="W389" s="3">
        <f>IF($C389="","",$D389&amp;"|"&amp;$E389&amp;"|"&amp;TEXT($C389,"0")&amp;"|"&amp;TEXT($G389,"0")&amp;"|"&amp;$J389)</f>
        <v/>
      </c>
      <c r="X389" s="3" t="n"/>
      <c r="Y389" s="3" t="n"/>
      <c r="Z389" s="3" t="n"/>
      <c r="AA389" s="3" t="n"/>
      <c r="AB389" s="3" t="n"/>
      <c r="AC389" s="3" t="n"/>
      <c r="AD389" s="3">
        <f>IF($C389="",0,SUMPRODUCT((AY_SONU!$O$7:$O$42="Evet")*(AY_SONU!$B$7:$B$42=DATE(YEAR($C389),MONTH($C389),1))))</f>
        <v/>
      </c>
    </row>
    <row r="390">
      <c r="A390" s="6" t="n"/>
      <c r="B390" s="113">
        <f>IF($C390="","","GG"&amp;TEXT(ROW()-6,"00000"))</f>
        <v/>
      </c>
      <c r="C390" s="220" t="n"/>
      <c r="D390" s="108" t="n"/>
      <c r="E390" s="109" t="n"/>
      <c r="F390" s="109" t="n"/>
      <c r="G390" s="221" t="n"/>
      <c r="H390" s="108" t="n"/>
      <c r="I390" s="108" t="n"/>
      <c r="J390" s="109" t="n"/>
      <c r="K390" s="109" t="n"/>
      <c r="L390" s="108" t="n"/>
      <c r="M390" s="121">
        <f>IF($C390="","",IF($D390="Gider",$E390,IF($L390&lt;&gt;"",$L390,$H390)))</f>
        <v/>
      </c>
      <c r="N390" s="121">
        <f>IF($C390="","",IF($D390="Gider",$H390,$E390))</f>
        <v/>
      </c>
      <c r="O390" s="226">
        <f>IF($C390="","",DATE(YEAR($C390),MONTH($C390),1))</f>
        <v/>
      </c>
      <c r="P390" s="113">
        <f>IF($C390="","",IF(AND($D390="Gelir",$L390&lt;&gt;"",$T390=""),"TANIMSIZ BORÇLU",IF($T390&lt;&gt;"",IF(OR($E390="",$G390&lt;=0),"EKSİK",IF($I390="Evet","TAHAKKUK NAKİT OLAMAZ",IF($C390&gt;TODAY(),"İLERİ TARİH","TAHAKKUK"))),IF(AND($D390&lt;&gt;"",$E390&lt;&gt;"",$G390&gt;0,$H390&lt;&gt;"",$I390&lt;&gt;""),IF($C390&gt;TODAY(),"İLERİ TARİH",IF(COUNTIF($W$7:$W$1206,$W390)&gt;1,"MÜKERRER?",IF($AD390&gt;0,"KAPALI DÖNEM",IF($I390="Hayır","ÖDENECEK","UYGUN")))),"EKSİK"))))</f>
        <v/>
      </c>
      <c r="Q390" s="6" t="n"/>
      <c r="R390" s="6" t="n"/>
      <c r="S390" s="3">
        <f>IF($L390="","",UPPER(SUBSTITUTE(SUBSTITUTE(SUBSTITUTE(SUBSTITUTE(SUBSTITUTE(SUBSTITUTE(SUBSTITUTE(SUBSTITUTE(SUBSTITUTE(SUBSTITUTE(SUBSTITUTE(SUBSTITUTE(SUBSTITUTE(SUBSTITUTE(SUBSTITUTE(SUBSTITUTE(SUBSTITUTE(SUBSTITUTE(TRIM($L390),"'",""),"İ","I"),"ı","I"),"i","I"),"Ş","S"),"ş","S"),"Ğ","G"),"ğ","G"),"Ü","U"),"ü","U"),"Ö","O"),"ö","O"),"Ç","C"),"ç","C"),".",""),",","")," ",""),"-","")))</f>
        <v/>
      </c>
      <c r="T390" s="3">
        <f>IF(OR($C390="",$D390&lt;&gt;"Gelir",$L390=""),"",IFERROR(INDEX(MUSTERILER!$B$7:$B$106,MATCH($S390,MUSTERILER!$T$7:$T$106,0)),""))</f>
        <v/>
      </c>
      <c r="U390" s="3">
        <f>IF($T390="","",$T390&amp;"|"&amp;COUNTIFS($T$7:$T390,$T390))</f>
        <v/>
      </c>
      <c r="V390" s="3">
        <f>IF($T390="",0,1)</f>
        <v/>
      </c>
      <c r="W390" s="3">
        <f>IF($C390="","",$D390&amp;"|"&amp;$E390&amp;"|"&amp;TEXT($C390,"0")&amp;"|"&amp;TEXT($G390,"0")&amp;"|"&amp;$J390)</f>
        <v/>
      </c>
      <c r="X390" s="3" t="n"/>
      <c r="Y390" s="3" t="n"/>
      <c r="Z390" s="3" t="n"/>
      <c r="AA390" s="3" t="n"/>
      <c r="AB390" s="3" t="n"/>
      <c r="AC390" s="3" t="n"/>
      <c r="AD390" s="3">
        <f>IF($C390="",0,SUMPRODUCT((AY_SONU!$O$7:$O$42="Evet")*(AY_SONU!$B$7:$B$42=DATE(YEAR($C390),MONTH($C390),1))))</f>
        <v/>
      </c>
    </row>
    <row r="391">
      <c r="A391" s="6" t="n"/>
      <c r="B391" s="113">
        <f>IF($C391="","","GG"&amp;TEXT(ROW()-6,"00000"))</f>
        <v/>
      </c>
      <c r="C391" s="220" t="n"/>
      <c r="D391" s="108" t="n"/>
      <c r="E391" s="109" t="n"/>
      <c r="F391" s="109" t="n"/>
      <c r="G391" s="221" t="n"/>
      <c r="H391" s="108" t="n"/>
      <c r="I391" s="108" t="n"/>
      <c r="J391" s="109" t="n"/>
      <c r="K391" s="109" t="n"/>
      <c r="L391" s="108" t="n"/>
      <c r="M391" s="121">
        <f>IF($C391="","",IF($D391="Gider",$E391,IF($L391&lt;&gt;"",$L391,$H391)))</f>
        <v/>
      </c>
      <c r="N391" s="121">
        <f>IF($C391="","",IF($D391="Gider",$H391,$E391))</f>
        <v/>
      </c>
      <c r="O391" s="226">
        <f>IF($C391="","",DATE(YEAR($C391),MONTH($C391),1))</f>
        <v/>
      </c>
      <c r="P391" s="113">
        <f>IF($C391="","",IF(AND($D391="Gelir",$L391&lt;&gt;"",$T391=""),"TANIMSIZ BORÇLU",IF($T391&lt;&gt;"",IF(OR($E391="",$G391&lt;=0),"EKSİK",IF($I391="Evet","TAHAKKUK NAKİT OLAMAZ",IF($C391&gt;TODAY(),"İLERİ TARİH","TAHAKKUK"))),IF(AND($D391&lt;&gt;"",$E391&lt;&gt;"",$G391&gt;0,$H391&lt;&gt;"",$I391&lt;&gt;""),IF($C391&gt;TODAY(),"İLERİ TARİH",IF(COUNTIF($W$7:$W$1206,$W391)&gt;1,"MÜKERRER?",IF($AD391&gt;0,"KAPALI DÖNEM",IF($I391="Hayır","ÖDENECEK","UYGUN")))),"EKSİK"))))</f>
        <v/>
      </c>
      <c r="Q391" s="6" t="n"/>
      <c r="R391" s="6" t="n"/>
      <c r="S391" s="3">
        <f>IF($L391="","",UPPER(SUBSTITUTE(SUBSTITUTE(SUBSTITUTE(SUBSTITUTE(SUBSTITUTE(SUBSTITUTE(SUBSTITUTE(SUBSTITUTE(SUBSTITUTE(SUBSTITUTE(SUBSTITUTE(SUBSTITUTE(SUBSTITUTE(SUBSTITUTE(SUBSTITUTE(SUBSTITUTE(SUBSTITUTE(SUBSTITUTE(TRIM($L391),"'",""),"İ","I"),"ı","I"),"i","I"),"Ş","S"),"ş","S"),"Ğ","G"),"ğ","G"),"Ü","U"),"ü","U"),"Ö","O"),"ö","O"),"Ç","C"),"ç","C"),".",""),",","")," ",""),"-","")))</f>
        <v/>
      </c>
      <c r="T391" s="3">
        <f>IF(OR($C391="",$D391&lt;&gt;"Gelir",$L391=""),"",IFERROR(INDEX(MUSTERILER!$B$7:$B$106,MATCH($S391,MUSTERILER!$T$7:$T$106,0)),""))</f>
        <v/>
      </c>
      <c r="U391" s="3">
        <f>IF($T391="","",$T391&amp;"|"&amp;COUNTIFS($T$7:$T391,$T391))</f>
        <v/>
      </c>
      <c r="V391" s="3">
        <f>IF($T391="",0,1)</f>
        <v/>
      </c>
      <c r="W391" s="3">
        <f>IF($C391="","",$D391&amp;"|"&amp;$E391&amp;"|"&amp;TEXT($C391,"0")&amp;"|"&amp;TEXT($G391,"0")&amp;"|"&amp;$J391)</f>
        <v/>
      </c>
      <c r="X391" s="3" t="n"/>
      <c r="Y391" s="3" t="n"/>
      <c r="Z391" s="3" t="n"/>
      <c r="AA391" s="3" t="n"/>
      <c r="AB391" s="3" t="n"/>
      <c r="AC391" s="3" t="n"/>
      <c r="AD391" s="3">
        <f>IF($C391="",0,SUMPRODUCT((AY_SONU!$O$7:$O$42="Evet")*(AY_SONU!$B$7:$B$42=DATE(YEAR($C391),MONTH($C391),1))))</f>
        <v/>
      </c>
    </row>
    <row r="392">
      <c r="A392" s="6" t="n"/>
      <c r="B392" s="113">
        <f>IF($C392="","","GG"&amp;TEXT(ROW()-6,"00000"))</f>
        <v/>
      </c>
      <c r="C392" s="220" t="n"/>
      <c r="D392" s="108" t="n"/>
      <c r="E392" s="109" t="n"/>
      <c r="F392" s="109" t="n"/>
      <c r="G392" s="221" t="n"/>
      <c r="H392" s="108" t="n"/>
      <c r="I392" s="108" t="n"/>
      <c r="J392" s="109" t="n"/>
      <c r="K392" s="109" t="n"/>
      <c r="L392" s="108" t="n"/>
      <c r="M392" s="121">
        <f>IF($C392="","",IF($D392="Gider",$E392,IF($L392&lt;&gt;"",$L392,$H392)))</f>
        <v/>
      </c>
      <c r="N392" s="121">
        <f>IF($C392="","",IF($D392="Gider",$H392,$E392))</f>
        <v/>
      </c>
      <c r="O392" s="226">
        <f>IF($C392="","",DATE(YEAR($C392),MONTH($C392),1))</f>
        <v/>
      </c>
      <c r="P392" s="113">
        <f>IF($C392="","",IF(AND($D392="Gelir",$L392&lt;&gt;"",$T392=""),"TANIMSIZ BORÇLU",IF($T392&lt;&gt;"",IF(OR($E392="",$G392&lt;=0),"EKSİK",IF($I392="Evet","TAHAKKUK NAKİT OLAMAZ",IF($C392&gt;TODAY(),"İLERİ TARİH","TAHAKKUK"))),IF(AND($D392&lt;&gt;"",$E392&lt;&gt;"",$G392&gt;0,$H392&lt;&gt;"",$I392&lt;&gt;""),IF($C392&gt;TODAY(),"İLERİ TARİH",IF(COUNTIF($W$7:$W$1206,$W392)&gt;1,"MÜKERRER?",IF($AD392&gt;0,"KAPALI DÖNEM",IF($I392="Hayır","ÖDENECEK","UYGUN")))),"EKSİK"))))</f>
        <v/>
      </c>
      <c r="Q392" s="6" t="n"/>
      <c r="R392" s="6" t="n"/>
      <c r="S392" s="3">
        <f>IF($L392="","",UPPER(SUBSTITUTE(SUBSTITUTE(SUBSTITUTE(SUBSTITUTE(SUBSTITUTE(SUBSTITUTE(SUBSTITUTE(SUBSTITUTE(SUBSTITUTE(SUBSTITUTE(SUBSTITUTE(SUBSTITUTE(SUBSTITUTE(SUBSTITUTE(SUBSTITUTE(SUBSTITUTE(SUBSTITUTE(SUBSTITUTE(TRIM($L392),"'",""),"İ","I"),"ı","I"),"i","I"),"Ş","S"),"ş","S"),"Ğ","G"),"ğ","G"),"Ü","U"),"ü","U"),"Ö","O"),"ö","O"),"Ç","C"),"ç","C"),".",""),",","")," ",""),"-","")))</f>
        <v/>
      </c>
      <c r="T392" s="3">
        <f>IF(OR($C392="",$D392&lt;&gt;"Gelir",$L392=""),"",IFERROR(INDEX(MUSTERILER!$B$7:$B$106,MATCH($S392,MUSTERILER!$T$7:$T$106,0)),""))</f>
        <v/>
      </c>
      <c r="U392" s="3">
        <f>IF($T392="","",$T392&amp;"|"&amp;COUNTIFS($T$7:$T392,$T392))</f>
        <v/>
      </c>
      <c r="V392" s="3">
        <f>IF($T392="",0,1)</f>
        <v/>
      </c>
      <c r="W392" s="3">
        <f>IF($C392="","",$D392&amp;"|"&amp;$E392&amp;"|"&amp;TEXT($C392,"0")&amp;"|"&amp;TEXT($G392,"0")&amp;"|"&amp;$J392)</f>
        <v/>
      </c>
      <c r="X392" s="3" t="n"/>
      <c r="Y392" s="3" t="n"/>
      <c r="Z392" s="3" t="n"/>
      <c r="AA392" s="3" t="n"/>
      <c r="AB392" s="3" t="n"/>
      <c r="AC392" s="3" t="n"/>
      <c r="AD392" s="3">
        <f>IF($C392="",0,SUMPRODUCT((AY_SONU!$O$7:$O$42="Evet")*(AY_SONU!$B$7:$B$42=DATE(YEAR($C392),MONTH($C392),1))))</f>
        <v/>
      </c>
    </row>
    <row r="393">
      <c r="A393" s="6" t="n"/>
      <c r="B393" s="113">
        <f>IF($C393="","","GG"&amp;TEXT(ROW()-6,"00000"))</f>
        <v/>
      </c>
      <c r="C393" s="220" t="n"/>
      <c r="D393" s="108" t="n"/>
      <c r="E393" s="109" t="n"/>
      <c r="F393" s="109" t="n"/>
      <c r="G393" s="221" t="n"/>
      <c r="H393" s="108" t="n"/>
      <c r="I393" s="108" t="n"/>
      <c r="J393" s="109" t="n"/>
      <c r="K393" s="109" t="n"/>
      <c r="L393" s="108" t="n"/>
      <c r="M393" s="121">
        <f>IF($C393="","",IF($D393="Gider",$E393,IF($L393&lt;&gt;"",$L393,$H393)))</f>
        <v/>
      </c>
      <c r="N393" s="121">
        <f>IF($C393="","",IF($D393="Gider",$H393,$E393))</f>
        <v/>
      </c>
      <c r="O393" s="226">
        <f>IF($C393="","",DATE(YEAR($C393),MONTH($C393),1))</f>
        <v/>
      </c>
      <c r="P393" s="113">
        <f>IF($C393="","",IF(AND($D393="Gelir",$L393&lt;&gt;"",$T393=""),"TANIMSIZ BORÇLU",IF($T393&lt;&gt;"",IF(OR($E393="",$G393&lt;=0),"EKSİK",IF($I393="Evet","TAHAKKUK NAKİT OLAMAZ",IF($C393&gt;TODAY(),"İLERİ TARİH","TAHAKKUK"))),IF(AND($D393&lt;&gt;"",$E393&lt;&gt;"",$G393&gt;0,$H393&lt;&gt;"",$I393&lt;&gt;""),IF($C393&gt;TODAY(),"İLERİ TARİH",IF(COUNTIF($W$7:$W$1206,$W393)&gt;1,"MÜKERRER?",IF($AD393&gt;0,"KAPALI DÖNEM",IF($I393="Hayır","ÖDENECEK","UYGUN")))),"EKSİK"))))</f>
        <v/>
      </c>
      <c r="Q393" s="6" t="n"/>
      <c r="R393" s="6" t="n"/>
      <c r="S393" s="3">
        <f>IF($L393="","",UPPER(SUBSTITUTE(SUBSTITUTE(SUBSTITUTE(SUBSTITUTE(SUBSTITUTE(SUBSTITUTE(SUBSTITUTE(SUBSTITUTE(SUBSTITUTE(SUBSTITUTE(SUBSTITUTE(SUBSTITUTE(SUBSTITUTE(SUBSTITUTE(SUBSTITUTE(SUBSTITUTE(SUBSTITUTE(SUBSTITUTE(TRIM($L393),"'",""),"İ","I"),"ı","I"),"i","I"),"Ş","S"),"ş","S"),"Ğ","G"),"ğ","G"),"Ü","U"),"ü","U"),"Ö","O"),"ö","O"),"Ç","C"),"ç","C"),".",""),",","")," ",""),"-","")))</f>
        <v/>
      </c>
      <c r="T393" s="3">
        <f>IF(OR($C393="",$D393&lt;&gt;"Gelir",$L393=""),"",IFERROR(INDEX(MUSTERILER!$B$7:$B$106,MATCH($S393,MUSTERILER!$T$7:$T$106,0)),""))</f>
        <v/>
      </c>
      <c r="U393" s="3">
        <f>IF($T393="","",$T393&amp;"|"&amp;COUNTIFS($T$7:$T393,$T393))</f>
        <v/>
      </c>
      <c r="V393" s="3">
        <f>IF($T393="",0,1)</f>
        <v/>
      </c>
      <c r="W393" s="3">
        <f>IF($C393="","",$D393&amp;"|"&amp;$E393&amp;"|"&amp;TEXT($C393,"0")&amp;"|"&amp;TEXT($G393,"0")&amp;"|"&amp;$J393)</f>
        <v/>
      </c>
      <c r="X393" s="3" t="n"/>
      <c r="Y393" s="3" t="n"/>
      <c r="Z393" s="3" t="n"/>
      <c r="AA393" s="3" t="n"/>
      <c r="AB393" s="3" t="n"/>
      <c r="AC393" s="3" t="n"/>
      <c r="AD393" s="3">
        <f>IF($C393="",0,SUMPRODUCT((AY_SONU!$O$7:$O$42="Evet")*(AY_SONU!$B$7:$B$42=DATE(YEAR($C393),MONTH($C393),1))))</f>
        <v/>
      </c>
    </row>
    <row r="394">
      <c r="A394" s="6" t="n"/>
      <c r="B394" s="113">
        <f>IF($C394="","","GG"&amp;TEXT(ROW()-6,"00000"))</f>
        <v/>
      </c>
      <c r="C394" s="220" t="n"/>
      <c r="D394" s="108" t="n"/>
      <c r="E394" s="109" t="n"/>
      <c r="F394" s="109" t="n"/>
      <c r="G394" s="221" t="n"/>
      <c r="H394" s="108" t="n"/>
      <c r="I394" s="108" t="n"/>
      <c r="J394" s="109" t="n"/>
      <c r="K394" s="109" t="n"/>
      <c r="L394" s="108" t="n"/>
      <c r="M394" s="121">
        <f>IF($C394="","",IF($D394="Gider",$E394,IF($L394&lt;&gt;"",$L394,$H394)))</f>
        <v/>
      </c>
      <c r="N394" s="121">
        <f>IF($C394="","",IF($D394="Gider",$H394,$E394))</f>
        <v/>
      </c>
      <c r="O394" s="226">
        <f>IF($C394="","",DATE(YEAR($C394),MONTH($C394),1))</f>
        <v/>
      </c>
      <c r="P394" s="113">
        <f>IF($C394="","",IF(AND($D394="Gelir",$L394&lt;&gt;"",$T394=""),"TANIMSIZ BORÇLU",IF($T394&lt;&gt;"",IF(OR($E394="",$G394&lt;=0),"EKSİK",IF($I394="Evet","TAHAKKUK NAKİT OLAMAZ",IF($C394&gt;TODAY(),"İLERİ TARİH","TAHAKKUK"))),IF(AND($D394&lt;&gt;"",$E394&lt;&gt;"",$G394&gt;0,$H394&lt;&gt;"",$I394&lt;&gt;""),IF($C394&gt;TODAY(),"İLERİ TARİH",IF(COUNTIF($W$7:$W$1206,$W394)&gt;1,"MÜKERRER?",IF($AD394&gt;0,"KAPALI DÖNEM",IF($I394="Hayır","ÖDENECEK","UYGUN")))),"EKSİK"))))</f>
        <v/>
      </c>
      <c r="Q394" s="6" t="n"/>
      <c r="R394" s="6" t="n"/>
      <c r="S394" s="3">
        <f>IF($L394="","",UPPER(SUBSTITUTE(SUBSTITUTE(SUBSTITUTE(SUBSTITUTE(SUBSTITUTE(SUBSTITUTE(SUBSTITUTE(SUBSTITUTE(SUBSTITUTE(SUBSTITUTE(SUBSTITUTE(SUBSTITUTE(SUBSTITUTE(SUBSTITUTE(SUBSTITUTE(SUBSTITUTE(SUBSTITUTE(SUBSTITUTE(TRIM($L394),"'",""),"İ","I"),"ı","I"),"i","I"),"Ş","S"),"ş","S"),"Ğ","G"),"ğ","G"),"Ü","U"),"ü","U"),"Ö","O"),"ö","O"),"Ç","C"),"ç","C"),".",""),",","")," ",""),"-","")))</f>
        <v/>
      </c>
      <c r="T394" s="3">
        <f>IF(OR($C394="",$D394&lt;&gt;"Gelir",$L394=""),"",IFERROR(INDEX(MUSTERILER!$B$7:$B$106,MATCH($S394,MUSTERILER!$T$7:$T$106,0)),""))</f>
        <v/>
      </c>
      <c r="U394" s="3">
        <f>IF($T394="","",$T394&amp;"|"&amp;COUNTIFS($T$7:$T394,$T394))</f>
        <v/>
      </c>
      <c r="V394" s="3">
        <f>IF($T394="",0,1)</f>
        <v/>
      </c>
      <c r="W394" s="3">
        <f>IF($C394="","",$D394&amp;"|"&amp;$E394&amp;"|"&amp;TEXT($C394,"0")&amp;"|"&amp;TEXT($G394,"0")&amp;"|"&amp;$J394)</f>
        <v/>
      </c>
      <c r="X394" s="3" t="n"/>
      <c r="Y394" s="3" t="n"/>
      <c r="Z394" s="3" t="n"/>
      <c r="AA394" s="3" t="n"/>
      <c r="AB394" s="3" t="n"/>
      <c r="AC394" s="3" t="n"/>
      <c r="AD394" s="3">
        <f>IF($C394="",0,SUMPRODUCT((AY_SONU!$O$7:$O$42="Evet")*(AY_SONU!$B$7:$B$42=DATE(YEAR($C394),MONTH($C394),1))))</f>
        <v/>
      </c>
    </row>
    <row r="395">
      <c r="A395" s="6" t="n"/>
      <c r="B395" s="113">
        <f>IF($C395="","","GG"&amp;TEXT(ROW()-6,"00000"))</f>
        <v/>
      </c>
      <c r="C395" s="220" t="n"/>
      <c r="D395" s="108" t="n"/>
      <c r="E395" s="109" t="n"/>
      <c r="F395" s="109" t="n"/>
      <c r="G395" s="221" t="n"/>
      <c r="H395" s="108" t="n"/>
      <c r="I395" s="108" t="n"/>
      <c r="J395" s="109" t="n"/>
      <c r="K395" s="109" t="n"/>
      <c r="L395" s="108" t="n"/>
      <c r="M395" s="121">
        <f>IF($C395="","",IF($D395="Gider",$E395,IF($L395&lt;&gt;"",$L395,$H395)))</f>
        <v/>
      </c>
      <c r="N395" s="121">
        <f>IF($C395="","",IF($D395="Gider",$H395,$E395))</f>
        <v/>
      </c>
      <c r="O395" s="226">
        <f>IF($C395="","",DATE(YEAR($C395),MONTH($C395),1))</f>
        <v/>
      </c>
      <c r="P395" s="113">
        <f>IF($C395="","",IF(AND($D395="Gelir",$L395&lt;&gt;"",$T395=""),"TANIMSIZ BORÇLU",IF($T395&lt;&gt;"",IF(OR($E395="",$G395&lt;=0),"EKSİK",IF($I395="Evet","TAHAKKUK NAKİT OLAMAZ",IF($C395&gt;TODAY(),"İLERİ TARİH","TAHAKKUK"))),IF(AND($D395&lt;&gt;"",$E395&lt;&gt;"",$G395&gt;0,$H395&lt;&gt;"",$I395&lt;&gt;""),IF($C395&gt;TODAY(),"İLERİ TARİH",IF(COUNTIF($W$7:$W$1206,$W395)&gt;1,"MÜKERRER?",IF($AD395&gt;0,"KAPALI DÖNEM",IF($I395="Hayır","ÖDENECEK","UYGUN")))),"EKSİK"))))</f>
        <v/>
      </c>
      <c r="Q395" s="6" t="n"/>
      <c r="R395" s="6" t="n"/>
      <c r="S395" s="3">
        <f>IF($L395="","",UPPER(SUBSTITUTE(SUBSTITUTE(SUBSTITUTE(SUBSTITUTE(SUBSTITUTE(SUBSTITUTE(SUBSTITUTE(SUBSTITUTE(SUBSTITUTE(SUBSTITUTE(SUBSTITUTE(SUBSTITUTE(SUBSTITUTE(SUBSTITUTE(SUBSTITUTE(SUBSTITUTE(SUBSTITUTE(SUBSTITUTE(TRIM($L395),"'",""),"İ","I"),"ı","I"),"i","I"),"Ş","S"),"ş","S"),"Ğ","G"),"ğ","G"),"Ü","U"),"ü","U"),"Ö","O"),"ö","O"),"Ç","C"),"ç","C"),".",""),",","")," ",""),"-","")))</f>
        <v/>
      </c>
      <c r="T395" s="3">
        <f>IF(OR($C395="",$D395&lt;&gt;"Gelir",$L395=""),"",IFERROR(INDEX(MUSTERILER!$B$7:$B$106,MATCH($S395,MUSTERILER!$T$7:$T$106,0)),""))</f>
        <v/>
      </c>
      <c r="U395" s="3">
        <f>IF($T395="","",$T395&amp;"|"&amp;COUNTIFS($T$7:$T395,$T395))</f>
        <v/>
      </c>
      <c r="V395" s="3">
        <f>IF($T395="",0,1)</f>
        <v/>
      </c>
      <c r="W395" s="3">
        <f>IF($C395="","",$D395&amp;"|"&amp;$E395&amp;"|"&amp;TEXT($C395,"0")&amp;"|"&amp;TEXT($G395,"0")&amp;"|"&amp;$J395)</f>
        <v/>
      </c>
      <c r="X395" s="3" t="n"/>
      <c r="Y395" s="3" t="n"/>
      <c r="Z395" s="3" t="n"/>
      <c r="AA395" s="3" t="n"/>
      <c r="AB395" s="3" t="n"/>
      <c r="AC395" s="3" t="n"/>
      <c r="AD395" s="3">
        <f>IF($C395="",0,SUMPRODUCT((AY_SONU!$O$7:$O$42="Evet")*(AY_SONU!$B$7:$B$42=DATE(YEAR($C395),MONTH($C395),1))))</f>
        <v/>
      </c>
    </row>
    <row r="396">
      <c r="A396" s="6" t="n"/>
      <c r="B396" s="113">
        <f>IF($C396="","","GG"&amp;TEXT(ROW()-6,"00000"))</f>
        <v/>
      </c>
      <c r="C396" s="220" t="n"/>
      <c r="D396" s="108" t="n"/>
      <c r="E396" s="109" t="n"/>
      <c r="F396" s="109" t="n"/>
      <c r="G396" s="221" t="n"/>
      <c r="H396" s="108" t="n"/>
      <c r="I396" s="108" t="n"/>
      <c r="J396" s="109" t="n"/>
      <c r="K396" s="109" t="n"/>
      <c r="L396" s="108" t="n"/>
      <c r="M396" s="121">
        <f>IF($C396="","",IF($D396="Gider",$E396,IF($L396&lt;&gt;"",$L396,$H396)))</f>
        <v/>
      </c>
      <c r="N396" s="121">
        <f>IF($C396="","",IF($D396="Gider",$H396,$E396))</f>
        <v/>
      </c>
      <c r="O396" s="226">
        <f>IF($C396="","",DATE(YEAR($C396),MONTH($C396),1))</f>
        <v/>
      </c>
      <c r="P396" s="113">
        <f>IF($C396="","",IF(AND($D396="Gelir",$L396&lt;&gt;"",$T396=""),"TANIMSIZ BORÇLU",IF($T396&lt;&gt;"",IF(OR($E396="",$G396&lt;=0),"EKSİK",IF($I396="Evet","TAHAKKUK NAKİT OLAMAZ",IF($C396&gt;TODAY(),"İLERİ TARİH","TAHAKKUK"))),IF(AND($D396&lt;&gt;"",$E396&lt;&gt;"",$G396&gt;0,$H396&lt;&gt;"",$I396&lt;&gt;""),IF($C396&gt;TODAY(),"İLERİ TARİH",IF(COUNTIF($W$7:$W$1206,$W396)&gt;1,"MÜKERRER?",IF($AD396&gt;0,"KAPALI DÖNEM",IF($I396="Hayır","ÖDENECEK","UYGUN")))),"EKSİK"))))</f>
        <v/>
      </c>
      <c r="Q396" s="6" t="n"/>
      <c r="R396" s="6" t="n"/>
      <c r="S396" s="3">
        <f>IF($L396="","",UPPER(SUBSTITUTE(SUBSTITUTE(SUBSTITUTE(SUBSTITUTE(SUBSTITUTE(SUBSTITUTE(SUBSTITUTE(SUBSTITUTE(SUBSTITUTE(SUBSTITUTE(SUBSTITUTE(SUBSTITUTE(SUBSTITUTE(SUBSTITUTE(SUBSTITUTE(SUBSTITUTE(SUBSTITUTE(SUBSTITUTE(TRIM($L396),"'",""),"İ","I"),"ı","I"),"i","I"),"Ş","S"),"ş","S"),"Ğ","G"),"ğ","G"),"Ü","U"),"ü","U"),"Ö","O"),"ö","O"),"Ç","C"),"ç","C"),".",""),",","")," ",""),"-","")))</f>
        <v/>
      </c>
      <c r="T396" s="3">
        <f>IF(OR($C396="",$D396&lt;&gt;"Gelir",$L396=""),"",IFERROR(INDEX(MUSTERILER!$B$7:$B$106,MATCH($S396,MUSTERILER!$T$7:$T$106,0)),""))</f>
        <v/>
      </c>
      <c r="U396" s="3">
        <f>IF($T396="","",$T396&amp;"|"&amp;COUNTIFS($T$7:$T396,$T396))</f>
        <v/>
      </c>
      <c r="V396" s="3">
        <f>IF($T396="",0,1)</f>
        <v/>
      </c>
      <c r="W396" s="3">
        <f>IF($C396="","",$D396&amp;"|"&amp;$E396&amp;"|"&amp;TEXT($C396,"0")&amp;"|"&amp;TEXT($G396,"0")&amp;"|"&amp;$J396)</f>
        <v/>
      </c>
      <c r="X396" s="3" t="n"/>
      <c r="Y396" s="3" t="n"/>
      <c r="Z396" s="3" t="n"/>
      <c r="AA396" s="3" t="n"/>
      <c r="AB396" s="3" t="n"/>
      <c r="AC396" s="3" t="n"/>
      <c r="AD396" s="3">
        <f>IF($C396="",0,SUMPRODUCT((AY_SONU!$O$7:$O$42="Evet")*(AY_SONU!$B$7:$B$42=DATE(YEAR($C396),MONTH($C396),1))))</f>
        <v/>
      </c>
    </row>
    <row r="397">
      <c r="A397" s="6" t="n"/>
      <c r="B397" s="113">
        <f>IF($C397="","","GG"&amp;TEXT(ROW()-6,"00000"))</f>
        <v/>
      </c>
      <c r="C397" s="220" t="n"/>
      <c r="D397" s="108" t="n"/>
      <c r="E397" s="109" t="n"/>
      <c r="F397" s="109" t="n"/>
      <c r="G397" s="221" t="n"/>
      <c r="H397" s="108" t="n"/>
      <c r="I397" s="108" t="n"/>
      <c r="J397" s="109" t="n"/>
      <c r="K397" s="109" t="n"/>
      <c r="L397" s="108" t="n"/>
      <c r="M397" s="121">
        <f>IF($C397="","",IF($D397="Gider",$E397,IF($L397&lt;&gt;"",$L397,$H397)))</f>
        <v/>
      </c>
      <c r="N397" s="121">
        <f>IF($C397="","",IF($D397="Gider",$H397,$E397))</f>
        <v/>
      </c>
      <c r="O397" s="226">
        <f>IF($C397="","",DATE(YEAR($C397),MONTH($C397),1))</f>
        <v/>
      </c>
      <c r="P397" s="113">
        <f>IF($C397="","",IF(AND($D397="Gelir",$L397&lt;&gt;"",$T397=""),"TANIMSIZ BORÇLU",IF($T397&lt;&gt;"",IF(OR($E397="",$G397&lt;=0),"EKSİK",IF($I397="Evet","TAHAKKUK NAKİT OLAMAZ",IF($C397&gt;TODAY(),"İLERİ TARİH","TAHAKKUK"))),IF(AND($D397&lt;&gt;"",$E397&lt;&gt;"",$G397&gt;0,$H397&lt;&gt;"",$I397&lt;&gt;""),IF($C397&gt;TODAY(),"İLERİ TARİH",IF(COUNTIF($W$7:$W$1206,$W397)&gt;1,"MÜKERRER?",IF($AD397&gt;0,"KAPALI DÖNEM",IF($I397="Hayır","ÖDENECEK","UYGUN")))),"EKSİK"))))</f>
        <v/>
      </c>
      <c r="Q397" s="6" t="n"/>
      <c r="R397" s="6" t="n"/>
      <c r="S397" s="3">
        <f>IF($L397="","",UPPER(SUBSTITUTE(SUBSTITUTE(SUBSTITUTE(SUBSTITUTE(SUBSTITUTE(SUBSTITUTE(SUBSTITUTE(SUBSTITUTE(SUBSTITUTE(SUBSTITUTE(SUBSTITUTE(SUBSTITUTE(SUBSTITUTE(SUBSTITUTE(SUBSTITUTE(SUBSTITUTE(SUBSTITUTE(SUBSTITUTE(TRIM($L397),"'",""),"İ","I"),"ı","I"),"i","I"),"Ş","S"),"ş","S"),"Ğ","G"),"ğ","G"),"Ü","U"),"ü","U"),"Ö","O"),"ö","O"),"Ç","C"),"ç","C"),".",""),",","")," ",""),"-","")))</f>
        <v/>
      </c>
      <c r="T397" s="3">
        <f>IF(OR($C397="",$D397&lt;&gt;"Gelir",$L397=""),"",IFERROR(INDEX(MUSTERILER!$B$7:$B$106,MATCH($S397,MUSTERILER!$T$7:$T$106,0)),""))</f>
        <v/>
      </c>
      <c r="U397" s="3">
        <f>IF($T397="","",$T397&amp;"|"&amp;COUNTIFS($T$7:$T397,$T397))</f>
        <v/>
      </c>
      <c r="V397" s="3">
        <f>IF($T397="",0,1)</f>
        <v/>
      </c>
      <c r="W397" s="3">
        <f>IF($C397="","",$D397&amp;"|"&amp;$E397&amp;"|"&amp;TEXT($C397,"0")&amp;"|"&amp;TEXT($G397,"0")&amp;"|"&amp;$J397)</f>
        <v/>
      </c>
      <c r="X397" s="3" t="n"/>
      <c r="Y397" s="3" t="n"/>
      <c r="Z397" s="3" t="n"/>
      <c r="AA397" s="3" t="n"/>
      <c r="AB397" s="3" t="n"/>
      <c r="AC397" s="3" t="n"/>
      <c r="AD397" s="3">
        <f>IF($C397="",0,SUMPRODUCT((AY_SONU!$O$7:$O$42="Evet")*(AY_SONU!$B$7:$B$42=DATE(YEAR($C397),MONTH($C397),1))))</f>
        <v/>
      </c>
    </row>
    <row r="398">
      <c r="A398" s="6" t="n"/>
      <c r="B398" s="113">
        <f>IF($C398="","","GG"&amp;TEXT(ROW()-6,"00000"))</f>
        <v/>
      </c>
      <c r="C398" s="220" t="n"/>
      <c r="D398" s="108" t="n"/>
      <c r="E398" s="109" t="n"/>
      <c r="F398" s="109" t="n"/>
      <c r="G398" s="221" t="n"/>
      <c r="H398" s="108" t="n"/>
      <c r="I398" s="108" t="n"/>
      <c r="J398" s="109" t="n"/>
      <c r="K398" s="109" t="n"/>
      <c r="L398" s="108" t="n"/>
      <c r="M398" s="121">
        <f>IF($C398="","",IF($D398="Gider",$E398,IF($L398&lt;&gt;"",$L398,$H398)))</f>
        <v/>
      </c>
      <c r="N398" s="121">
        <f>IF($C398="","",IF($D398="Gider",$H398,$E398))</f>
        <v/>
      </c>
      <c r="O398" s="226">
        <f>IF($C398="","",DATE(YEAR($C398),MONTH($C398),1))</f>
        <v/>
      </c>
      <c r="P398" s="113">
        <f>IF($C398="","",IF(AND($D398="Gelir",$L398&lt;&gt;"",$T398=""),"TANIMSIZ BORÇLU",IF($T398&lt;&gt;"",IF(OR($E398="",$G398&lt;=0),"EKSİK",IF($I398="Evet","TAHAKKUK NAKİT OLAMAZ",IF($C398&gt;TODAY(),"İLERİ TARİH","TAHAKKUK"))),IF(AND($D398&lt;&gt;"",$E398&lt;&gt;"",$G398&gt;0,$H398&lt;&gt;"",$I398&lt;&gt;""),IF($C398&gt;TODAY(),"İLERİ TARİH",IF(COUNTIF($W$7:$W$1206,$W398)&gt;1,"MÜKERRER?",IF($AD398&gt;0,"KAPALI DÖNEM",IF($I398="Hayır","ÖDENECEK","UYGUN")))),"EKSİK"))))</f>
        <v/>
      </c>
      <c r="Q398" s="6" t="n"/>
      <c r="R398" s="6" t="n"/>
      <c r="S398" s="3">
        <f>IF($L398="","",UPPER(SUBSTITUTE(SUBSTITUTE(SUBSTITUTE(SUBSTITUTE(SUBSTITUTE(SUBSTITUTE(SUBSTITUTE(SUBSTITUTE(SUBSTITUTE(SUBSTITUTE(SUBSTITUTE(SUBSTITUTE(SUBSTITUTE(SUBSTITUTE(SUBSTITUTE(SUBSTITUTE(SUBSTITUTE(SUBSTITUTE(TRIM($L398),"'",""),"İ","I"),"ı","I"),"i","I"),"Ş","S"),"ş","S"),"Ğ","G"),"ğ","G"),"Ü","U"),"ü","U"),"Ö","O"),"ö","O"),"Ç","C"),"ç","C"),".",""),",","")," ",""),"-","")))</f>
        <v/>
      </c>
      <c r="T398" s="3">
        <f>IF(OR($C398="",$D398&lt;&gt;"Gelir",$L398=""),"",IFERROR(INDEX(MUSTERILER!$B$7:$B$106,MATCH($S398,MUSTERILER!$T$7:$T$106,0)),""))</f>
        <v/>
      </c>
      <c r="U398" s="3">
        <f>IF($T398="","",$T398&amp;"|"&amp;COUNTIFS($T$7:$T398,$T398))</f>
        <v/>
      </c>
      <c r="V398" s="3">
        <f>IF($T398="",0,1)</f>
        <v/>
      </c>
      <c r="W398" s="3">
        <f>IF($C398="","",$D398&amp;"|"&amp;$E398&amp;"|"&amp;TEXT($C398,"0")&amp;"|"&amp;TEXT($G398,"0")&amp;"|"&amp;$J398)</f>
        <v/>
      </c>
      <c r="X398" s="3" t="n"/>
      <c r="Y398" s="3" t="n"/>
      <c r="Z398" s="3" t="n"/>
      <c r="AA398" s="3" t="n"/>
      <c r="AB398" s="3" t="n"/>
      <c r="AC398" s="3" t="n"/>
      <c r="AD398" s="3">
        <f>IF($C398="",0,SUMPRODUCT((AY_SONU!$O$7:$O$42="Evet")*(AY_SONU!$B$7:$B$42=DATE(YEAR($C398),MONTH($C398),1))))</f>
        <v/>
      </c>
    </row>
    <row r="399">
      <c r="A399" s="6" t="n"/>
      <c r="B399" s="113">
        <f>IF($C399="","","GG"&amp;TEXT(ROW()-6,"00000"))</f>
        <v/>
      </c>
      <c r="C399" s="220" t="n"/>
      <c r="D399" s="108" t="n"/>
      <c r="E399" s="109" t="n"/>
      <c r="F399" s="109" t="n"/>
      <c r="G399" s="221" t="n"/>
      <c r="H399" s="108" t="n"/>
      <c r="I399" s="108" t="n"/>
      <c r="J399" s="109" t="n"/>
      <c r="K399" s="109" t="n"/>
      <c r="L399" s="108" t="n"/>
      <c r="M399" s="121">
        <f>IF($C399="","",IF($D399="Gider",$E399,IF($L399&lt;&gt;"",$L399,$H399)))</f>
        <v/>
      </c>
      <c r="N399" s="121">
        <f>IF($C399="","",IF($D399="Gider",$H399,$E399))</f>
        <v/>
      </c>
      <c r="O399" s="226">
        <f>IF($C399="","",DATE(YEAR($C399),MONTH($C399),1))</f>
        <v/>
      </c>
      <c r="P399" s="113">
        <f>IF($C399="","",IF(AND($D399="Gelir",$L399&lt;&gt;"",$T399=""),"TANIMSIZ BORÇLU",IF($T399&lt;&gt;"",IF(OR($E399="",$G399&lt;=0),"EKSİK",IF($I399="Evet","TAHAKKUK NAKİT OLAMAZ",IF($C399&gt;TODAY(),"İLERİ TARİH","TAHAKKUK"))),IF(AND($D399&lt;&gt;"",$E399&lt;&gt;"",$G399&gt;0,$H399&lt;&gt;"",$I399&lt;&gt;""),IF($C399&gt;TODAY(),"İLERİ TARİH",IF(COUNTIF($W$7:$W$1206,$W399)&gt;1,"MÜKERRER?",IF($AD399&gt;0,"KAPALI DÖNEM",IF($I399="Hayır","ÖDENECEK","UYGUN")))),"EKSİK"))))</f>
        <v/>
      </c>
      <c r="Q399" s="6" t="n"/>
      <c r="R399" s="6" t="n"/>
      <c r="S399" s="3">
        <f>IF($L399="","",UPPER(SUBSTITUTE(SUBSTITUTE(SUBSTITUTE(SUBSTITUTE(SUBSTITUTE(SUBSTITUTE(SUBSTITUTE(SUBSTITUTE(SUBSTITUTE(SUBSTITUTE(SUBSTITUTE(SUBSTITUTE(SUBSTITUTE(SUBSTITUTE(SUBSTITUTE(SUBSTITUTE(SUBSTITUTE(SUBSTITUTE(TRIM($L399),"'",""),"İ","I"),"ı","I"),"i","I"),"Ş","S"),"ş","S"),"Ğ","G"),"ğ","G"),"Ü","U"),"ü","U"),"Ö","O"),"ö","O"),"Ç","C"),"ç","C"),".",""),",","")," ",""),"-","")))</f>
        <v/>
      </c>
      <c r="T399" s="3">
        <f>IF(OR($C399="",$D399&lt;&gt;"Gelir",$L399=""),"",IFERROR(INDEX(MUSTERILER!$B$7:$B$106,MATCH($S399,MUSTERILER!$T$7:$T$106,0)),""))</f>
        <v/>
      </c>
      <c r="U399" s="3">
        <f>IF($T399="","",$T399&amp;"|"&amp;COUNTIFS($T$7:$T399,$T399))</f>
        <v/>
      </c>
      <c r="V399" s="3">
        <f>IF($T399="",0,1)</f>
        <v/>
      </c>
      <c r="W399" s="3">
        <f>IF($C399="","",$D399&amp;"|"&amp;$E399&amp;"|"&amp;TEXT($C399,"0")&amp;"|"&amp;TEXT($G399,"0")&amp;"|"&amp;$J399)</f>
        <v/>
      </c>
      <c r="X399" s="3" t="n"/>
      <c r="Y399" s="3" t="n"/>
      <c r="Z399" s="3" t="n"/>
      <c r="AA399" s="3" t="n"/>
      <c r="AB399" s="3" t="n"/>
      <c r="AC399" s="3" t="n"/>
      <c r="AD399" s="3">
        <f>IF($C399="",0,SUMPRODUCT((AY_SONU!$O$7:$O$42="Evet")*(AY_SONU!$B$7:$B$42=DATE(YEAR($C399),MONTH($C399),1))))</f>
        <v/>
      </c>
    </row>
    <row r="400">
      <c r="A400" s="6" t="n"/>
      <c r="B400" s="113">
        <f>IF($C400="","","GG"&amp;TEXT(ROW()-6,"00000"))</f>
        <v/>
      </c>
      <c r="C400" s="220" t="n"/>
      <c r="D400" s="108" t="n"/>
      <c r="E400" s="109" t="n"/>
      <c r="F400" s="109" t="n"/>
      <c r="G400" s="221" t="n"/>
      <c r="H400" s="108" t="n"/>
      <c r="I400" s="108" t="n"/>
      <c r="J400" s="109" t="n"/>
      <c r="K400" s="109" t="n"/>
      <c r="L400" s="108" t="n"/>
      <c r="M400" s="121">
        <f>IF($C400="","",IF($D400="Gider",$E400,IF($L400&lt;&gt;"",$L400,$H400)))</f>
        <v/>
      </c>
      <c r="N400" s="121">
        <f>IF($C400="","",IF($D400="Gider",$H400,$E400))</f>
        <v/>
      </c>
      <c r="O400" s="226">
        <f>IF($C400="","",DATE(YEAR($C400),MONTH($C400),1))</f>
        <v/>
      </c>
      <c r="P400" s="113">
        <f>IF($C400="","",IF(AND($D400="Gelir",$L400&lt;&gt;"",$T400=""),"TANIMSIZ BORÇLU",IF($T400&lt;&gt;"",IF(OR($E400="",$G400&lt;=0),"EKSİK",IF($I400="Evet","TAHAKKUK NAKİT OLAMAZ",IF($C400&gt;TODAY(),"İLERİ TARİH","TAHAKKUK"))),IF(AND($D400&lt;&gt;"",$E400&lt;&gt;"",$G400&gt;0,$H400&lt;&gt;"",$I400&lt;&gt;""),IF($C400&gt;TODAY(),"İLERİ TARİH",IF(COUNTIF($W$7:$W$1206,$W400)&gt;1,"MÜKERRER?",IF($AD400&gt;0,"KAPALI DÖNEM",IF($I400="Hayır","ÖDENECEK","UYGUN")))),"EKSİK"))))</f>
        <v/>
      </c>
      <c r="Q400" s="6" t="n"/>
      <c r="R400" s="6" t="n"/>
      <c r="S400" s="3">
        <f>IF($L400="","",UPPER(SUBSTITUTE(SUBSTITUTE(SUBSTITUTE(SUBSTITUTE(SUBSTITUTE(SUBSTITUTE(SUBSTITUTE(SUBSTITUTE(SUBSTITUTE(SUBSTITUTE(SUBSTITUTE(SUBSTITUTE(SUBSTITUTE(SUBSTITUTE(SUBSTITUTE(SUBSTITUTE(SUBSTITUTE(SUBSTITUTE(TRIM($L400),"'",""),"İ","I"),"ı","I"),"i","I"),"Ş","S"),"ş","S"),"Ğ","G"),"ğ","G"),"Ü","U"),"ü","U"),"Ö","O"),"ö","O"),"Ç","C"),"ç","C"),".",""),",","")," ",""),"-","")))</f>
        <v/>
      </c>
      <c r="T400" s="3">
        <f>IF(OR($C400="",$D400&lt;&gt;"Gelir",$L400=""),"",IFERROR(INDEX(MUSTERILER!$B$7:$B$106,MATCH($S400,MUSTERILER!$T$7:$T$106,0)),""))</f>
        <v/>
      </c>
      <c r="U400" s="3">
        <f>IF($T400="","",$T400&amp;"|"&amp;COUNTIFS($T$7:$T400,$T400))</f>
        <v/>
      </c>
      <c r="V400" s="3">
        <f>IF($T400="",0,1)</f>
        <v/>
      </c>
      <c r="W400" s="3">
        <f>IF($C400="","",$D400&amp;"|"&amp;$E400&amp;"|"&amp;TEXT($C400,"0")&amp;"|"&amp;TEXT($G400,"0")&amp;"|"&amp;$J400)</f>
        <v/>
      </c>
      <c r="X400" s="3" t="n"/>
      <c r="Y400" s="3" t="n"/>
      <c r="Z400" s="3" t="n"/>
      <c r="AA400" s="3" t="n"/>
      <c r="AB400" s="3" t="n"/>
      <c r="AC400" s="3" t="n"/>
      <c r="AD400" s="3">
        <f>IF($C400="",0,SUMPRODUCT((AY_SONU!$O$7:$O$42="Evet")*(AY_SONU!$B$7:$B$42=DATE(YEAR($C400),MONTH($C400),1))))</f>
        <v/>
      </c>
    </row>
    <row r="401">
      <c r="A401" s="6" t="n"/>
      <c r="B401" s="113">
        <f>IF($C401="","","GG"&amp;TEXT(ROW()-6,"00000"))</f>
        <v/>
      </c>
      <c r="C401" s="220" t="n"/>
      <c r="D401" s="108" t="n"/>
      <c r="E401" s="109" t="n"/>
      <c r="F401" s="109" t="n"/>
      <c r="G401" s="221" t="n"/>
      <c r="H401" s="108" t="n"/>
      <c r="I401" s="108" t="n"/>
      <c r="J401" s="109" t="n"/>
      <c r="K401" s="109" t="n"/>
      <c r="L401" s="108" t="n"/>
      <c r="M401" s="121">
        <f>IF($C401="","",IF($D401="Gider",$E401,IF($L401&lt;&gt;"",$L401,$H401)))</f>
        <v/>
      </c>
      <c r="N401" s="121">
        <f>IF($C401="","",IF($D401="Gider",$H401,$E401))</f>
        <v/>
      </c>
      <c r="O401" s="226">
        <f>IF($C401="","",DATE(YEAR($C401),MONTH($C401),1))</f>
        <v/>
      </c>
      <c r="P401" s="113">
        <f>IF($C401="","",IF(AND($D401="Gelir",$L401&lt;&gt;"",$T401=""),"TANIMSIZ BORÇLU",IF($T401&lt;&gt;"",IF(OR($E401="",$G401&lt;=0),"EKSİK",IF($I401="Evet","TAHAKKUK NAKİT OLAMAZ",IF($C401&gt;TODAY(),"İLERİ TARİH","TAHAKKUK"))),IF(AND($D401&lt;&gt;"",$E401&lt;&gt;"",$G401&gt;0,$H401&lt;&gt;"",$I401&lt;&gt;""),IF($C401&gt;TODAY(),"İLERİ TARİH",IF(COUNTIF($W$7:$W$1206,$W401)&gt;1,"MÜKERRER?",IF($AD401&gt;0,"KAPALI DÖNEM",IF($I401="Hayır","ÖDENECEK","UYGUN")))),"EKSİK"))))</f>
        <v/>
      </c>
      <c r="Q401" s="6" t="n"/>
      <c r="R401" s="6" t="n"/>
      <c r="S401" s="3">
        <f>IF($L401="","",UPPER(SUBSTITUTE(SUBSTITUTE(SUBSTITUTE(SUBSTITUTE(SUBSTITUTE(SUBSTITUTE(SUBSTITUTE(SUBSTITUTE(SUBSTITUTE(SUBSTITUTE(SUBSTITUTE(SUBSTITUTE(SUBSTITUTE(SUBSTITUTE(SUBSTITUTE(SUBSTITUTE(SUBSTITUTE(SUBSTITUTE(TRIM($L401),"'",""),"İ","I"),"ı","I"),"i","I"),"Ş","S"),"ş","S"),"Ğ","G"),"ğ","G"),"Ü","U"),"ü","U"),"Ö","O"),"ö","O"),"Ç","C"),"ç","C"),".",""),",","")," ",""),"-","")))</f>
        <v/>
      </c>
      <c r="T401" s="3">
        <f>IF(OR($C401="",$D401&lt;&gt;"Gelir",$L401=""),"",IFERROR(INDEX(MUSTERILER!$B$7:$B$106,MATCH($S401,MUSTERILER!$T$7:$T$106,0)),""))</f>
        <v/>
      </c>
      <c r="U401" s="3">
        <f>IF($T401="","",$T401&amp;"|"&amp;COUNTIFS($T$7:$T401,$T401))</f>
        <v/>
      </c>
      <c r="V401" s="3">
        <f>IF($T401="",0,1)</f>
        <v/>
      </c>
      <c r="W401" s="3">
        <f>IF($C401="","",$D401&amp;"|"&amp;$E401&amp;"|"&amp;TEXT($C401,"0")&amp;"|"&amp;TEXT($G401,"0")&amp;"|"&amp;$J401)</f>
        <v/>
      </c>
      <c r="X401" s="3" t="n"/>
      <c r="Y401" s="3" t="n"/>
      <c r="Z401" s="3" t="n"/>
      <c r="AA401" s="3" t="n"/>
      <c r="AB401" s="3" t="n"/>
      <c r="AC401" s="3" t="n"/>
      <c r="AD401" s="3">
        <f>IF($C401="",0,SUMPRODUCT((AY_SONU!$O$7:$O$42="Evet")*(AY_SONU!$B$7:$B$42=DATE(YEAR($C401),MONTH($C401),1))))</f>
        <v/>
      </c>
    </row>
    <row r="402">
      <c r="A402" s="6" t="n"/>
      <c r="B402" s="113">
        <f>IF($C402="","","GG"&amp;TEXT(ROW()-6,"00000"))</f>
        <v/>
      </c>
      <c r="C402" s="220" t="n"/>
      <c r="D402" s="108" t="n"/>
      <c r="E402" s="109" t="n"/>
      <c r="F402" s="109" t="n"/>
      <c r="G402" s="221" t="n"/>
      <c r="H402" s="108" t="n"/>
      <c r="I402" s="108" t="n"/>
      <c r="J402" s="109" t="n"/>
      <c r="K402" s="109" t="n"/>
      <c r="L402" s="108" t="n"/>
      <c r="M402" s="121">
        <f>IF($C402="","",IF($D402="Gider",$E402,IF($L402&lt;&gt;"",$L402,$H402)))</f>
        <v/>
      </c>
      <c r="N402" s="121">
        <f>IF($C402="","",IF($D402="Gider",$H402,$E402))</f>
        <v/>
      </c>
      <c r="O402" s="226">
        <f>IF($C402="","",DATE(YEAR($C402),MONTH($C402),1))</f>
        <v/>
      </c>
      <c r="P402" s="113">
        <f>IF($C402="","",IF(AND($D402="Gelir",$L402&lt;&gt;"",$T402=""),"TANIMSIZ BORÇLU",IF($T402&lt;&gt;"",IF(OR($E402="",$G402&lt;=0),"EKSİK",IF($I402="Evet","TAHAKKUK NAKİT OLAMAZ",IF($C402&gt;TODAY(),"İLERİ TARİH","TAHAKKUK"))),IF(AND($D402&lt;&gt;"",$E402&lt;&gt;"",$G402&gt;0,$H402&lt;&gt;"",$I402&lt;&gt;""),IF($C402&gt;TODAY(),"İLERİ TARİH",IF(COUNTIF($W$7:$W$1206,$W402)&gt;1,"MÜKERRER?",IF($AD402&gt;0,"KAPALI DÖNEM",IF($I402="Hayır","ÖDENECEK","UYGUN")))),"EKSİK"))))</f>
        <v/>
      </c>
      <c r="Q402" s="6" t="n"/>
      <c r="R402" s="6" t="n"/>
      <c r="S402" s="3">
        <f>IF($L402="","",UPPER(SUBSTITUTE(SUBSTITUTE(SUBSTITUTE(SUBSTITUTE(SUBSTITUTE(SUBSTITUTE(SUBSTITUTE(SUBSTITUTE(SUBSTITUTE(SUBSTITUTE(SUBSTITUTE(SUBSTITUTE(SUBSTITUTE(SUBSTITUTE(SUBSTITUTE(SUBSTITUTE(SUBSTITUTE(SUBSTITUTE(TRIM($L402),"'",""),"İ","I"),"ı","I"),"i","I"),"Ş","S"),"ş","S"),"Ğ","G"),"ğ","G"),"Ü","U"),"ü","U"),"Ö","O"),"ö","O"),"Ç","C"),"ç","C"),".",""),",","")," ",""),"-","")))</f>
        <v/>
      </c>
      <c r="T402" s="3">
        <f>IF(OR($C402="",$D402&lt;&gt;"Gelir",$L402=""),"",IFERROR(INDEX(MUSTERILER!$B$7:$B$106,MATCH($S402,MUSTERILER!$T$7:$T$106,0)),""))</f>
        <v/>
      </c>
      <c r="U402" s="3">
        <f>IF($T402="","",$T402&amp;"|"&amp;COUNTIFS($T$7:$T402,$T402))</f>
        <v/>
      </c>
      <c r="V402" s="3">
        <f>IF($T402="",0,1)</f>
        <v/>
      </c>
      <c r="W402" s="3">
        <f>IF($C402="","",$D402&amp;"|"&amp;$E402&amp;"|"&amp;TEXT($C402,"0")&amp;"|"&amp;TEXT($G402,"0")&amp;"|"&amp;$J402)</f>
        <v/>
      </c>
      <c r="X402" s="3" t="n"/>
      <c r="Y402" s="3" t="n"/>
      <c r="Z402" s="3" t="n"/>
      <c r="AA402" s="3" t="n"/>
      <c r="AB402" s="3" t="n"/>
      <c r="AC402" s="3" t="n"/>
      <c r="AD402" s="3">
        <f>IF($C402="",0,SUMPRODUCT((AY_SONU!$O$7:$O$42="Evet")*(AY_SONU!$B$7:$B$42=DATE(YEAR($C402),MONTH($C402),1))))</f>
        <v/>
      </c>
    </row>
    <row r="403">
      <c r="A403" s="6" t="n"/>
      <c r="B403" s="113">
        <f>IF($C403="","","GG"&amp;TEXT(ROW()-6,"00000"))</f>
        <v/>
      </c>
      <c r="C403" s="220" t="n"/>
      <c r="D403" s="108" t="n"/>
      <c r="E403" s="109" t="n"/>
      <c r="F403" s="109" t="n"/>
      <c r="G403" s="221" t="n"/>
      <c r="H403" s="108" t="n"/>
      <c r="I403" s="108" t="n"/>
      <c r="J403" s="109" t="n"/>
      <c r="K403" s="109" t="n"/>
      <c r="L403" s="108" t="n"/>
      <c r="M403" s="121">
        <f>IF($C403="","",IF($D403="Gider",$E403,IF($L403&lt;&gt;"",$L403,$H403)))</f>
        <v/>
      </c>
      <c r="N403" s="121">
        <f>IF($C403="","",IF($D403="Gider",$H403,$E403))</f>
        <v/>
      </c>
      <c r="O403" s="226">
        <f>IF($C403="","",DATE(YEAR($C403),MONTH($C403),1))</f>
        <v/>
      </c>
      <c r="P403" s="113">
        <f>IF($C403="","",IF(AND($D403="Gelir",$L403&lt;&gt;"",$T403=""),"TANIMSIZ BORÇLU",IF($T403&lt;&gt;"",IF(OR($E403="",$G403&lt;=0),"EKSİK",IF($I403="Evet","TAHAKKUK NAKİT OLAMAZ",IF($C403&gt;TODAY(),"İLERİ TARİH","TAHAKKUK"))),IF(AND($D403&lt;&gt;"",$E403&lt;&gt;"",$G403&gt;0,$H403&lt;&gt;"",$I403&lt;&gt;""),IF($C403&gt;TODAY(),"İLERİ TARİH",IF(COUNTIF($W$7:$W$1206,$W403)&gt;1,"MÜKERRER?",IF($AD403&gt;0,"KAPALI DÖNEM",IF($I403="Hayır","ÖDENECEK","UYGUN")))),"EKSİK"))))</f>
        <v/>
      </c>
      <c r="Q403" s="6" t="n"/>
      <c r="R403" s="6" t="n"/>
      <c r="S403" s="3">
        <f>IF($L403="","",UPPER(SUBSTITUTE(SUBSTITUTE(SUBSTITUTE(SUBSTITUTE(SUBSTITUTE(SUBSTITUTE(SUBSTITUTE(SUBSTITUTE(SUBSTITUTE(SUBSTITUTE(SUBSTITUTE(SUBSTITUTE(SUBSTITUTE(SUBSTITUTE(SUBSTITUTE(SUBSTITUTE(SUBSTITUTE(SUBSTITUTE(TRIM($L403),"'",""),"İ","I"),"ı","I"),"i","I"),"Ş","S"),"ş","S"),"Ğ","G"),"ğ","G"),"Ü","U"),"ü","U"),"Ö","O"),"ö","O"),"Ç","C"),"ç","C"),".",""),",","")," ",""),"-","")))</f>
        <v/>
      </c>
      <c r="T403" s="3">
        <f>IF(OR($C403="",$D403&lt;&gt;"Gelir",$L403=""),"",IFERROR(INDEX(MUSTERILER!$B$7:$B$106,MATCH($S403,MUSTERILER!$T$7:$T$106,0)),""))</f>
        <v/>
      </c>
      <c r="U403" s="3">
        <f>IF($T403="","",$T403&amp;"|"&amp;COUNTIFS($T$7:$T403,$T403))</f>
        <v/>
      </c>
      <c r="V403" s="3">
        <f>IF($T403="",0,1)</f>
        <v/>
      </c>
      <c r="W403" s="3">
        <f>IF($C403="","",$D403&amp;"|"&amp;$E403&amp;"|"&amp;TEXT($C403,"0")&amp;"|"&amp;TEXT($G403,"0")&amp;"|"&amp;$J403)</f>
        <v/>
      </c>
      <c r="X403" s="3" t="n"/>
      <c r="Y403" s="3" t="n"/>
      <c r="Z403" s="3" t="n"/>
      <c r="AA403" s="3" t="n"/>
      <c r="AB403" s="3" t="n"/>
      <c r="AC403" s="3" t="n"/>
      <c r="AD403" s="3">
        <f>IF($C403="",0,SUMPRODUCT((AY_SONU!$O$7:$O$42="Evet")*(AY_SONU!$B$7:$B$42=DATE(YEAR($C403),MONTH($C403),1))))</f>
        <v/>
      </c>
    </row>
    <row r="404">
      <c r="A404" s="6" t="n"/>
      <c r="B404" s="113">
        <f>IF($C404="","","GG"&amp;TEXT(ROW()-6,"00000"))</f>
        <v/>
      </c>
      <c r="C404" s="220" t="n"/>
      <c r="D404" s="108" t="n"/>
      <c r="E404" s="109" t="n"/>
      <c r="F404" s="109" t="n"/>
      <c r="G404" s="221" t="n"/>
      <c r="H404" s="108" t="n"/>
      <c r="I404" s="108" t="n"/>
      <c r="J404" s="109" t="n"/>
      <c r="K404" s="109" t="n"/>
      <c r="L404" s="108" t="n"/>
      <c r="M404" s="121">
        <f>IF($C404="","",IF($D404="Gider",$E404,IF($L404&lt;&gt;"",$L404,$H404)))</f>
        <v/>
      </c>
      <c r="N404" s="121">
        <f>IF($C404="","",IF($D404="Gider",$H404,$E404))</f>
        <v/>
      </c>
      <c r="O404" s="226">
        <f>IF($C404="","",DATE(YEAR($C404),MONTH($C404),1))</f>
        <v/>
      </c>
      <c r="P404" s="113">
        <f>IF($C404="","",IF(AND($D404="Gelir",$L404&lt;&gt;"",$T404=""),"TANIMSIZ BORÇLU",IF($T404&lt;&gt;"",IF(OR($E404="",$G404&lt;=0),"EKSİK",IF($I404="Evet","TAHAKKUK NAKİT OLAMAZ",IF($C404&gt;TODAY(),"İLERİ TARİH","TAHAKKUK"))),IF(AND($D404&lt;&gt;"",$E404&lt;&gt;"",$G404&gt;0,$H404&lt;&gt;"",$I404&lt;&gt;""),IF($C404&gt;TODAY(),"İLERİ TARİH",IF(COUNTIF($W$7:$W$1206,$W404)&gt;1,"MÜKERRER?",IF($AD404&gt;0,"KAPALI DÖNEM",IF($I404="Hayır","ÖDENECEK","UYGUN")))),"EKSİK"))))</f>
        <v/>
      </c>
      <c r="Q404" s="6" t="n"/>
      <c r="R404" s="6" t="n"/>
      <c r="S404" s="3">
        <f>IF($L404="","",UPPER(SUBSTITUTE(SUBSTITUTE(SUBSTITUTE(SUBSTITUTE(SUBSTITUTE(SUBSTITUTE(SUBSTITUTE(SUBSTITUTE(SUBSTITUTE(SUBSTITUTE(SUBSTITUTE(SUBSTITUTE(SUBSTITUTE(SUBSTITUTE(SUBSTITUTE(SUBSTITUTE(SUBSTITUTE(SUBSTITUTE(TRIM($L404),"'",""),"İ","I"),"ı","I"),"i","I"),"Ş","S"),"ş","S"),"Ğ","G"),"ğ","G"),"Ü","U"),"ü","U"),"Ö","O"),"ö","O"),"Ç","C"),"ç","C"),".",""),",","")," ",""),"-","")))</f>
        <v/>
      </c>
      <c r="T404" s="3">
        <f>IF(OR($C404="",$D404&lt;&gt;"Gelir",$L404=""),"",IFERROR(INDEX(MUSTERILER!$B$7:$B$106,MATCH($S404,MUSTERILER!$T$7:$T$106,0)),""))</f>
        <v/>
      </c>
      <c r="U404" s="3">
        <f>IF($T404="","",$T404&amp;"|"&amp;COUNTIFS($T$7:$T404,$T404))</f>
        <v/>
      </c>
      <c r="V404" s="3">
        <f>IF($T404="",0,1)</f>
        <v/>
      </c>
      <c r="W404" s="3">
        <f>IF($C404="","",$D404&amp;"|"&amp;$E404&amp;"|"&amp;TEXT($C404,"0")&amp;"|"&amp;TEXT($G404,"0")&amp;"|"&amp;$J404)</f>
        <v/>
      </c>
      <c r="X404" s="3" t="n"/>
      <c r="Y404" s="3" t="n"/>
      <c r="Z404" s="3" t="n"/>
      <c r="AA404" s="3" t="n"/>
      <c r="AB404" s="3" t="n"/>
      <c r="AC404" s="3" t="n"/>
      <c r="AD404" s="3">
        <f>IF($C404="",0,SUMPRODUCT((AY_SONU!$O$7:$O$42="Evet")*(AY_SONU!$B$7:$B$42=DATE(YEAR($C404),MONTH($C404),1))))</f>
        <v/>
      </c>
    </row>
    <row r="405">
      <c r="A405" s="6" t="n"/>
      <c r="B405" s="113">
        <f>IF($C405="","","GG"&amp;TEXT(ROW()-6,"00000"))</f>
        <v/>
      </c>
      <c r="C405" s="220" t="n"/>
      <c r="D405" s="108" t="n"/>
      <c r="E405" s="109" t="n"/>
      <c r="F405" s="109" t="n"/>
      <c r="G405" s="221" t="n"/>
      <c r="H405" s="108" t="n"/>
      <c r="I405" s="108" t="n"/>
      <c r="J405" s="109" t="n"/>
      <c r="K405" s="109" t="n"/>
      <c r="L405" s="108" t="n"/>
      <c r="M405" s="121">
        <f>IF($C405="","",IF($D405="Gider",$E405,IF($L405&lt;&gt;"",$L405,$H405)))</f>
        <v/>
      </c>
      <c r="N405" s="121">
        <f>IF($C405="","",IF($D405="Gider",$H405,$E405))</f>
        <v/>
      </c>
      <c r="O405" s="226">
        <f>IF($C405="","",DATE(YEAR($C405),MONTH($C405),1))</f>
        <v/>
      </c>
      <c r="P405" s="113">
        <f>IF($C405="","",IF(AND($D405="Gelir",$L405&lt;&gt;"",$T405=""),"TANIMSIZ BORÇLU",IF($T405&lt;&gt;"",IF(OR($E405="",$G405&lt;=0),"EKSİK",IF($I405="Evet","TAHAKKUK NAKİT OLAMAZ",IF($C405&gt;TODAY(),"İLERİ TARİH","TAHAKKUK"))),IF(AND($D405&lt;&gt;"",$E405&lt;&gt;"",$G405&gt;0,$H405&lt;&gt;"",$I405&lt;&gt;""),IF($C405&gt;TODAY(),"İLERİ TARİH",IF(COUNTIF($W$7:$W$1206,$W405)&gt;1,"MÜKERRER?",IF($AD405&gt;0,"KAPALI DÖNEM",IF($I405="Hayır","ÖDENECEK","UYGUN")))),"EKSİK"))))</f>
        <v/>
      </c>
      <c r="Q405" s="6" t="n"/>
      <c r="R405" s="6" t="n"/>
      <c r="S405" s="3">
        <f>IF($L405="","",UPPER(SUBSTITUTE(SUBSTITUTE(SUBSTITUTE(SUBSTITUTE(SUBSTITUTE(SUBSTITUTE(SUBSTITUTE(SUBSTITUTE(SUBSTITUTE(SUBSTITUTE(SUBSTITUTE(SUBSTITUTE(SUBSTITUTE(SUBSTITUTE(SUBSTITUTE(SUBSTITUTE(SUBSTITUTE(SUBSTITUTE(TRIM($L405),"'",""),"İ","I"),"ı","I"),"i","I"),"Ş","S"),"ş","S"),"Ğ","G"),"ğ","G"),"Ü","U"),"ü","U"),"Ö","O"),"ö","O"),"Ç","C"),"ç","C"),".",""),",","")," ",""),"-","")))</f>
        <v/>
      </c>
      <c r="T405" s="3">
        <f>IF(OR($C405="",$D405&lt;&gt;"Gelir",$L405=""),"",IFERROR(INDEX(MUSTERILER!$B$7:$B$106,MATCH($S405,MUSTERILER!$T$7:$T$106,0)),""))</f>
        <v/>
      </c>
      <c r="U405" s="3">
        <f>IF($T405="","",$T405&amp;"|"&amp;COUNTIFS($T$7:$T405,$T405))</f>
        <v/>
      </c>
      <c r="V405" s="3">
        <f>IF($T405="",0,1)</f>
        <v/>
      </c>
      <c r="W405" s="3">
        <f>IF($C405="","",$D405&amp;"|"&amp;$E405&amp;"|"&amp;TEXT($C405,"0")&amp;"|"&amp;TEXT($G405,"0")&amp;"|"&amp;$J405)</f>
        <v/>
      </c>
      <c r="X405" s="3" t="n"/>
      <c r="Y405" s="3" t="n"/>
      <c r="Z405" s="3" t="n"/>
      <c r="AA405" s="3" t="n"/>
      <c r="AB405" s="3" t="n"/>
      <c r="AC405" s="3" t="n"/>
      <c r="AD405" s="3">
        <f>IF($C405="",0,SUMPRODUCT((AY_SONU!$O$7:$O$42="Evet")*(AY_SONU!$B$7:$B$42=DATE(YEAR($C405),MONTH($C405),1))))</f>
        <v/>
      </c>
    </row>
    <row r="406">
      <c r="A406" s="6" t="n"/>
      <c r="B406" s="113">
        <f>IF($C406="","","GG"&amp;TEXT(ROW()-6,"00000"))</f>
        <v/>
      </c>
      <c r="C406" s="220" t="n"/>
      <c r="D406" s="108" t="n"/>
      <c r="E406" s="109" t="n"/>
      <c r="F406" s="109" t="n"/>
      <c r="G406" s="221" t="n"/>
      <c r="H406" s="108" t="n"/>
      <c r="I406" s="108" t="n"/>
      <c r="J406" s="109" t="n"/>
      <c r="K406" s="109" t="n"/>
      <c r="L406" s="108" t="n"/>
      <c r="M406" s="121">
        <f>IF($C406="","",IF($D406="Gider",$E406,IF($L406&lt;&gt;"",$L406,$H406)))</f>
        <v/>
      </c>
      <c r="N406" s="121">
        <f>IF($C406="","",IF($D406="Gider",$H406,$E406))</f>
        <v/>
      </c>
      <c r="O406" s="226">
        <f>IF($C406="","",DATE(YEAR($C406),MONTH($C406),1))</f>
        <v/>
      </c>
      <c r="P406" s="113">
        <f>IF($C406="","",IF(AND($D406="Gelir",$L406&lt;&gt;"",$T406=""),"TANIMSIZ BORÇLU",IF($T406&lt;&gt;"",IF(OR($E406="",$G406&lt;=0),"EKSİK",IF($I406="Evet","TAHAKKUK NAKİT OLAMAZ",IF($C406&gt;TODAY(),"İLERİ TARİH","TAHAKKUK"))),IF(AND($D406&lt;&gt;"",$E406&lt;&gt;"",$G406&gt;0,$H406&lt;&gt;"",$I406&lt;&gt;""),IF($C406&gt;TODAY(),"İLERİ TARİH",IF(COUNTIF($W$7:$W$1206,$W406)&gt;1,"MÜKERRER?",IF($AD406&gt;0,"KAPALI DÖNEM",IF($I406="Hayır","ÖDENECEK","UYGUN")))),"EKSİK"))))</f>
        <v/>
      </c>
      <c r="Q406" s="6" t="n"/>
      <c r="R406" s="6" t="n"/>
      <c r="S406" s="3">
        <f>IF($L406="","",UPPER(SUBSTITUTE(SUBSTITUTE(SUBSTITUTE(SUBSTITUTE(SUBSTITUTE(SUBSTITUTE(SUBSTITUTE(SUBSTITUTE(SUBSTITUTE(SUBSTITUTE(SUBSTITUTE(SUBSTITUTE(SUBSTITUTE(SUBSTITUTE(SUBSTITUTE(SUBSTITUTE(SUBSTITUTE(SUBSTITUTE(TRIM($L406),"'",""),"İ","I"),"ı","I"),"i","I"),"Ş","S"),"ş","S"),"Ğ","G"),"ğ","G"),"Ü","U"),"ü","U"),"Ö","O"),"ö","O"),"Ç","C"),"ç","C"),".",""),",","")," ",""),"-","")))</f>
        <v/>
      </c>
      <c r="T406" s="3">
        <f>IF(OR($C406="",$D406&lt;&gt;"Gelir",$L406=""),"",IFERROR(INDEX(MUSTERILER!$B$7:$B$106,MATCH($S406,MUSTERILER!$T$7:$T$106,0)),""))</f>
        <v/>
      </c>
      <c r="U406" s="3">
        <f>IF($T406="","",$T406&amp;"|"&amp;COUNTIFS($T$7:$T406,$T406))</f>
        <v/>
      </c>
      <c r="V406" s="3">
        <f>IF($T406="",0,1)</f>
        <v/>
      </c>
      <c r="W406" s="3">
        <f>IF($C406="","",$D406&amp;"|"&amp;$E406&amp;"|"&amp;TEXT($C406,"0")&amp;"|"&amp;TEXT($G406,"0")&amp;"|"&amp;$J406)</f>
        <v/>
      </c>
      <c r="X406" s="3" t="n"/>
      <c r="Y406" s="3" t="n"/>
      <c r="Z406" s="3" t="n"/>
      <c r="AA406" s="3" t="n"/>
      <c r="AB406" s="3" t="n"/>
      <c r="AC406" s="3" t="n"/>
      <c r="AD406" s="3">
        <f>IF($C406="",0,SUMPRODUCT((AY_SONU!$O$7:$O$42="Evet")*(AY_SONU!$B$7:$B$42=DATE(YEAR($C406),MONTH($C406),1))))</f>
        <v/>
      </c>
    </row>
    <row r="407">
      <c r="A407" s="6" t="n"/>
      <c r="B407" s="113">
        <f>IF($C407="","","GG"&amp;TEXT(ROW()-6,"00000"))</f>
        <v/>
      </c>
      <c r="C407" s="220" t="n"/>
      <c r="D407" s="108" t="n"/>
      <c r="E407" s="109" t="n"/>
      <c r="F407" s="109" t="n"/>
      <c r="G407" s="221" t="n"/>
      <c r="H407" s="108" t="n"/>
      <c r="I407" s="108" t="n"/>
      <c r="J407" s="109" t="n"/>
      <c r="K407" s="109" t="n"/>
      <c r="L407" s="108" t="n"/>
      <c r="M407" s="121">
        <f>IF($C407="","",IF($D407="Gider",$E407,IF($L407&lt;&gt;"",$L407,$H407)))</f>
        <v/>
      </c>
      <c r="N407" s="121">
        <f>IF($C407="","",IF($D407="Gider",$H407,$E407))</f>
        <v/>
      </c>
      <c r="O407" s="226">
        <f>IF($C407="","",DATE(YEAR($C407),MONTH($C407),1))</f>
        <v/>
      </c>
      <c r="P407" s="113">
        <f>IF($C407="","",IF(AND($D407="Gelir",$L407&lt;&gt;"",$T407=""),"TANIMSIZ BORÇLU",IF($T407&lt;&gt;"",IF(OR($E407="",$G407&lt;=0),"EKSİK",IF($I407="Evet","TAHAKKUK NAKİT OLAMAZ",IF($C407&gt;TODAY(),"İLERİ TARİH","TAHAKKUK"))),IF(AND($D407&lt;&gt;"",$E407&lt;&gt;"",$G407&gt;0,$H407&lt;&gt;"",$I407&lt;&gt;""),IF($C407&gt;TODAY(),"İLERİ TARİH",IF(COUNTIF($W$7:$W$1206,$W407)&gt;1,"MÜKERRER?",IF($AD407&gt;0,"KAPALI DÖNEM",IF($I407="Hayır","ÖDENECEK","UYGUN")))),"EKSİK"))))</f>
        <v/>
      </c>
      <c r="Q407" s="6" t="n"/>
      <c r="R407" s="6" t="n"/>
      <c r="S407" s="3">
        <f>IF($L407="","",UPPER(SUBSTITUTE(SUBSTITUTE(SUBSTITUTE(SUBSTITUTE(SUBSTITUTE(SUBSTITUTE(SUBSTITUTE(SUBSTITUTE(SUBSTITUTE(SUBSTITUTE(SUBSTITUTE(SUBSTITUTE(SUBSTITUTE(SUBSTITUTE(SUBSTITUTE(SUBSTITUTE(SUBSTITUTE(SUBSTITUTE(TRIM($L407),"'",""),"İ","I"),"ı","I"),"i","I"),"Ş","S"),"ş","S"),"Ğ","G"),"ğ","G"),"Ü","U"),"ü","U"),"Ö","O"),"ö","O"),"Ç","C"),"ç","C"),".",""),",","")," ",""),"-","")))</f>
        <v/>
      </c>
      <c r="T407" s="3">
        <f>IF(OR($C407="",$D407&lt;&gt;"Gelir",$L407=""),"",IFERROR(INDEX(MUSTERILER!$B$7:$B$106,MATCH($S407,MUSTERILER!$T$7:$T$106,0)),""))</f>
        <v/>
      </c>
      <c r="U407" s="3">
        <f>IF($T407="","",$T407&amp;"|"&amp;COUNTIFS($T$7:$T407,$T407))</f>
        <v/>
      </c>
      <c r="V407" s="3">
        <f>IF($T407="",0,1)</f>
        <v/>
      </c>
      <c r="W407" s="3">
        <f>IF($C407="","",$D407&amp;"|"&amp;$E407&amp;"|"&amp;TEXT($C407,"0")&amp;"|"&amp;TEXT($G407,"0")&amp;"|"&amp;$J407)</f>
        <v/>
      </c>
      <c r="X407" s="3" t="n"/>
      <c r="Y407" s="3" t="n"/>
      <c r="Z407" s="3" t="n"/>
      <c r="AA407" s="3" t="n"/>
      <c r="AB407" s="3" t="n"/>
      <c r="AC407" s="3" t="n"/>
      <c r="AD407" s="3">
        <f>IF($C407="",0,SUMPRODUCT((AY_SONU!$O$7:$O$42="Evet")*(AY_SONU!$B$7:$B$42=DATE(YEAR($C407),MONTH($C407),1))))</f>
        <v/>
      </c>
    </row>
    <row r="408">
      <c r="A408" s="6" t="n"/>
      <c r="B408" s="113">
        <f>IF($C408="","","GG"&amp;TEXT(ROW()-6,"00000"))</f>
        <v/>
      </c>
      <c r="C408" s="220" t="n"/>
      <c r="D408" s="108" t="n"/>
      <c r="E408" s="109" t="n"/>
      <c r="F408" s="109" t="n"/>
      <c r="G408" s="221" t="n"/>
      <c r="H408" s="108" t="n"/>
      <c r="I408" s="108" t="n"/>
      <c r="J408" s="109" t="n"/>
      <c r="K408" s="109" t="n"/>
      <c r="L408" s="108" t="n"/>
      <c r="M408" s="121">
        <f>IF($C408="","",IF($D408="Gider",$E408,IF($L408&lt;&gt;"",$L408,$H408)))</f>
        <v/>
      </c>
      <c r="N408" s="121">
        <f>IF($C408="","",IF($D408="Gider",$H408,$E408))</f>
        <v/>
      </c>
      <c r="O408" s="226">
        <f>IF($C408="","",DATE(YEAR($C408),MONTH($C408),1))</f>
        <v/>
      </c>
      <c r="P408" s="113">
        <f>IF($C408="","",IF(AND($D408="Gelir",$L408&lt;&gt;"",$T408=""),"TANIMSIZ BORÇLU",IF($T408&lt;&gt;"",IF(OR($E408="",$G408&lt;=0),"EKSİK",IF($I408="Evet","TAHAKKUK NAKİT OLAMAZ",IF($C408&gt;TODAY(),"İLERİ TARİH","TAHAKKUK"))),IF(AND($D408&lt;&gt;"",$E408&lt;&gt;"",$G408&gt;0,$H408&lt;&gt;"",$I408&lt;&gt;""),IF($C408&gt;TODAY(),"İLERİ TARİH",IF(COUNTIF($W$7:$W$1206,$W408)&gt;1,"MÜKERRER?",IF($AD408&gt;0,"KAPALI DÖNEM",IF($I408="Hayır","ÖDENECEK","UYGUN")))),"EKSİK"))))</f>
        <v/>
      </c>
      <c r="Q408" s="6" t="n"/>
      <c r="R408" s="6" t="n"/>
      <c r="S408" s="3">
        <f>IF($L408="","",UPPER(SUBSTITUTE(SUBSTITUTE(SUBSTITUTE(SUBSTITUTE(SUBSTITUTE(SUBSTITUTE(SUBSTITUTE(SUBSTITUTE(SUBSTITUTE(SUBSTITUTE(SUBSTITUTE(SUBSTITUTE(SUBSTITUTE(SUBSTITUTE(SUBSTITUTE(SUBSTITUTE(SUBSTITUTE(SUBSTITUTE(TRIM($L408),"'",""),"İ","I"),"ı","I"),"i","I"),"Ş","S"),"ş","S"),"Ğ","G"),"ğ","G"),"Ü","U"),"ü","U"),"Ö","O"),"ö","O"),"Ç","C"),"ç","C"),".",""),",","")," ",""),"-","")))</f>
        <v/>
      </c>
      <c r="T408" s="3">
        <f>IF(OR($C408="",$D408&lt;&gt;"Gelir",$L408=""),"",IFERROR(INDEX(MUSTERILER!$B$7:$B$106,MATCH($S408,MUSTERILER!$T$7:$T$106,0)),""))</f>
        <v/>
      </c>
      <c r="U408" s="3">
        <f>IF($T408="","",$T408&amp;"|"&amp;COUNTIFS($T$7:$T408,$T408))</f>
        <v/>
      </c>
      <c r="V408" s="3">
        <f>IF($T408="",0,1)</f>
        <v/>
      </c>
      <c r="W408" s="3">
        <f>IF($C408="","",$D408&amp;"|"&amp;$E408&amp;"|"&amp;TEXT($C408,"0")&amp;"|"&amp;TEXT($G408,"0")&amp;"|"&amp;$J408)</f>
        <v/>
      </c>
      <c r="X408" s="3" t="n"/>
      <c r="Y408" s="3" t="n"/>
      <c r="Z408" s="3" t="n"/>
      <c r="AA408" s="3" t="n"/>
      <c r="AB408" s="3" t="n"/>
      <c r="AC408" s="3" t="n"/>
      <c r="AD408" s="3">
        <f>IF($C408="",0,SUMPRODUCT((AY_SONU!$O$7:$O$42="Evet")*(AY_SONU!$B$7:$B$42=DATE(YEAR($C408),MONTH($C408),1))))</f>
        <v/>
      </c>
    </row>
    <row r="409">
      <c r="A409" s="6" t="n"/>
      <c r="B409" s="113">
        <f>IF($C409="","","GG"&amp;TEXT(ROW()-6,"00000"))</f>
        <v/>
      </c>
      <c r="C409" s="220" t="n"/>
      <c r="D409" s="108" t="n"/>
      <c r="E409" s="109" t="n"/>
      <c r="F409" s="109" t="n"/>
      <c r="G409" s="221" t="n"/>
      <c r="H409" s="108" t="n"/>
      <c r="I409" s="108" t="n"/>
      <c r="J409" s="109" t="n"/>
      <c r="K409" s="109" t="n"/>
      <c r="L409" s="108" t="n"/>
      <c r="M409" s="121">
        <f>IF($C409="","",IF($D409="Gider",$E409,IF($L409&lt;&gt;"",$L409,$H409)))</f>
        <v/>
      </c>
      <c r="N409" s="121">
        <f>IF($C409="","",IF($D409="Gider",$H409,$E409))</f>
        <v/>
      </c>
      <c r="O409" s="226">
        <f>IF($C409="","",DATE(YEAR($C409),MONTH($C409),1))</f>
        <v/>
      </c>
      <c r="P409" s="113">
        <f>IF($C409="","",IF(AND($D409="Gelir",$L409&lt;&gt;"",$T409=""),"TANIMSIZ BORÇLU",IF($T409&lt;&gt;"",IF(OR($E409="",$G409&lt;=0),"EKSİK",IF($I409="Evet","TAHAKKUK NAKİT OLAMAZ",IF($C409&gt;TODAY(),"İLERİ TARİH","TAHAKKUK"))),IF(AND($D409&lt;&gt;"",$E409&lt;&gt;"",$G409&gt;0,$H409&lt;&gt;"",$I409&lt;&gt;""),IF($C409&gt;TODAY(),"İLERİ TARİH",IF(COUNTIF($W$7:$W$1206,$W409)&gt;1,"MÜKERRER?",IF($AD409&gt;0,"KAPALI DÖNEM",IF($I409="Hayır","ÖDENECEK","UYGUN")))),"EKSİK"))))</f>
        <v/>
      </c>
      <c r="Q409" s="6" t="n"/>
      <c r="R409" s="6" t="n"/>
      <c r="S409" s="3">
        <f>IF($L409="","",UPPER(SUBSTITUTE(SUBSTITUTE(SUBSTITUTE(SUBSTITUTE(SUBSTITUTE(SUBSTITUTE(SUBSTITUTE(SUBSTITUTE(SUBSTITUTE(SUBSTITUTE(SUBSTITUTE(SUBSTITUTE(SUBSTITUTE(SUBSTITUTE(SUBSTITUTE(SUBSTITUTE(SUBSTITUTE(SUBSTITUTE(TRIM($L409),"'",""),"İ","I"),"ı","I"),"i","I"),"Ş","S"),"ş","S"),"Ğ","G"),"ğ","G"),"Ü","U"),"ü","U"),"Ö","O"),"ö","O"),"Ç","C"),"ç","C"),".",""),",","")," ",""),"-","")))</f>
        <v/>
      </c>
      <c r="T409" s="3">
        <f>IF(OR($C409="",$D409&lt;&gt;"Gelir",$L409=""),"",IFERROR(INDEX(MUSTERILER!$B$7:$B$106,MATCH($S409,MUSTERILER!$T$7:$T$106,0)),""))</f>
        <v/>
      </c>
      <c r="U409" s="3">
        <f>IF($T409="","",$T409&amp;"|"&amp;COUNTIFS($T$7:$T409,$T409))</f>
        <v/>
      </c>
      <c r="V409" s="3">
        <f>IF($T409="",0,1)</f>
        <v/>
      </c>
      <c r="W409" s="3">
        <f>IF($C409="","",$D409&amp;"|"&amp;$E409&amp;"|"&amp;TEXT($C409,"0")&amp;"|"&amp;TEXT($G409,"0")&amp;"|"&amp;$J409)</f>
        <v/>
      </c>
      <c r="X409" s="3" t="n"/>
      <c r="Y409" s="3" t="n"/>
      <c r="Z409" s="3" t="n"/>
      <c r="AA409" s="3" t="n"/>
      <c r="AB409" s="3" t="n"/>
      <c r="AC409" s="3" t="n"/>
      <c r="AD409" s="3">
        <f>IF($C409="",0,SUMPRODUCT((AY_SONU!$O$7:$O$42="Evet")*(AY_SONU!$B$7:$B$42=DATE(YEAR($C409),MONTH($C409),1))))</f>
        <v/>
      </c>
    </row>
    <row r="410">
      <c r="A410" s="6" t="n"/>
      <c r="B410" s="113">
        <f>IF($C410="","","GG"&amp;TEXT(ROW()-6,"00000"))</f>
        <v/>
      </c>
      <c r="C410" s="220" t="n"/>
      <c r="D410" s="108" t="n"/>
      <c r="E410" s="109" t="n"/>
      <c r="F410" s="109" t="n"/>
      <c r="G410" s="221" t="n"/>
      <c r="H410" s="108" t="n"/>
      <c r="I410" s="108" t="n"/>
      <c r="J410" s="109" t="n"/>
      <c r="K410" s="109" t="n"/>
      <c r="L410" s="108" t="n"/>
      <c r="M410" s="121">
        <f>IF($C410="","",IF($D410="Gider",$E410,IF($L410&lt;&gt;"",$L410,$H410)))</f>
        <v/>
      </c>
      <c r="N410" s="121">
        <f>IF($C410="","",IF($D410="Gider",$H410,$E410))</f>
        <v/>
      </c>
      <c r="O410" s="226">
        <f>IF($C410="","",DATE(YEAR($C410),MONTH($C410),1))</f>
        <v/>
      </c>
      <c r="P410" s="113">
        <f>IF($C410="","",IF(AND($D410="Gelir",$L410&lt;&gt;"",$T410=""),"TANIMSIZ BORÇLU",IF($T410&lt;&gt;"",IF(OR($E410="",$G410&lt;=0),"EKSİK",IF($I410="Evet","TAHAKKUK NAKİT OLAMAZ",IF($C410&gt;TODAY(),"İLERİ TARİH","TAHAKKUK"))),IF(AND($D410&lt;&gt;"",$E410&lt;&gt;"",$G410&gt;0,$H410&lt;&gt;"",$I410&lt;&gt;""),IF($C410&gt;TODAY(),"İLERİ TARİH",IF(COUNTIF($W$7:$W$1206,$W410)&gt;1,"MÜKERRER?",IF($AD410&gt;0,"KAPALI DÖNEM",IF($I410="Hayır","ÖDENECEK","UYGUN")))),"EKSİK"))))</f>
        <v/>
      </c>
      <c r="Q410" s="6" t="n"/>
      <c r="R410" s="6" t="n"/>
      <c r="S410" s="3">
        <f>IF($L410="","",UPPER(SUBSTITUTE(SUBSTITUTE(SUBSTITUTE(SUBSTITUTE(SUBSTITUTE(SUBSTITUTE(SUBSTITUTE(SUBSTITUTE(SUBSTITUTE(SUBSTITUTE(SUBSTITUTE(SUBSTITUTE(SUBSTITUTE(SUBSTITUTE(SUBSTITUTE(SUBSTITUTE(SUBSTITUTE(SUBSTITUTE(TRIM($L410),"'",""),"İ","I"),"ı","I"),"i","I"),"Ş","S"),"ş","S"),"Ğ","G"),"ğ","G"),"Ü","U"),"ü","U"),"Ö","O"),"ö","O"),"Ç","C"),"ç","C"),".",""),",","")," ",""),"-","")))</f>
        <v/>
      </c>
      <c r="T410" s="3">
        <f>IF(OR($C410="",$D410&lt;&gt;"Gelir",$L410=""),"",IFERROR(INDEX(MUSTERILER!$B$7:$B$106,MATCH($S410,MUSTERILER!$T$7:$T$106,0)),""))</f>
        <v/>
      </c>
      <c r="U410" s="3">
        <f>IF($T410="","",$T410&amp;"|"&amp;COUNTIFS($T$7:$T410,$T410))</f>
        <v/>
      </c>
      <c r="V410" s="3">
        <f>IF($T410="",0,1)</f>
        <v/>
      </c>
      <c r="W410" s="3">
        <f>IF($C410="","",$D410&amp;"|"&amp;$E410&amp;"|"&amp;TEXT($C410,"0")&amp;"|"&amp;TEXT($G410,"0")&amp;"|"&amp;$J410)</f>
        <v/>
      </c>
      <c r="X410" s="3" t="n"/>
      <c r="Y410" s="3" t="n"/>
      <c r="Z410" s="3" t="n"/>
      <c r="AA410" s="3" t="n"/>
      <c r="AB410" s="3" t="n"/>
      <c r="AC410" s="3" t="n"/>
      <c r="AD410" s="3">
        <f>IF($C410="",0,SUMPRODUCT((AY_SONU!$O$7:$O$42="Evet")*(AY_SONU!$B$7:$B$42=DATE(YEAR($C410),MONTH($C410),1))))</f>
        <v/>
      </c>
    </row>
    <row r="411">
      <c r="A411" s="6" t="n"/>
      <c r="B411" s="113">
        <f>IF($C411="","","GG"&amp;TEXT(ROW()-6,"00000"))</f>
        <v/>
      </c>
      <c r="C411" s="220" t="n"/>
      <c r="D411" s="108" t="n"/>
      <c r="E411" s="109" t="n"/>
      <c r="F411" s="109" t="n"/>
      <c r="G411" s="221" t="n"/>
      <c r="H411" s="108" t="n"/>
      <c r="I411" s="108" t="n"/>
      <c r="J411" s="109" t="n"/>
      <c r="K411" s="109" t="n"/>
      <c r="L411" s="108" t="n"/>
      <c r="M411" s="121">
        <f>IF($C411="","",IF($D411="Gider",$E411,IF($L411&lt;&gt;"",$L411,$H411)))</f>
        <v/>
      </c>
      <c r="N411" s="121">
        <f>IF($C411="","",IF($D411="Gider",$H411,$E411))</f>
        <v/>
      </c>
      <c r="O411" s="226">
        <f>IF($C411="","",DATE(YEAR($C411),MONTH($C411),1))</f>
        <v/>
      </c>
      <c r="P411" s="113">
        <f>IF($C411="","",IF(AND($D411="Gelir",$L411&lt;&gt;"",$T411=""),"TANIMSIZ BORÇLU",IF($T411&lt;&gt;"",IF(OR($E411="",$G411&lt;=0),"EKSİK",IF($I411="Evet","TAHAKKUK NAKİT OLAMAZ",IF($C411&gt;TODAY(),"İLERİ TARİH","TAHAKKUK"))),IF(AND($D411&lt;&gt;"",$E411&lt;&gt;"",$G411&gt;0,$H411&lt;&gt;"",$I411&lt;&gt;""),IF($C411&gt;TODAY(),"İLERİ TARİH",IF(COUNTIF($W$7:$W$1206,$W411)&gt;1,"MÜKERRER?",IF($AD411&gt;0,"KAPALI DÖNEM",IF($I411="Hayır","ÖDENECEK","UYGUN")))),"EKSİK"))))</f>
        <v/>
      </c>
      <c r="Q411" s="6" t="n"/>
      <c r="R411" s="6" t="n"/>
      <c r="S411" s="3">
        <f>IF($L411="","",UPPER(SUBSTITUTE(SUBSTITUTE(SUBSTITUTE(SUBSTITUTE(SUBSTITUTE(SUBSTITUTE(SUBSTITUTE(SUBSTITUTE(SUBSTITUTE(SUBSTITUTE(SUBSTITUTE(SUBSTITUTE(SUBSTITUTE(SUBSTITUTE(SUBSTITUTE(SUBSTITUTE(SUBSTITUTE(SUBSTITUTE(TRIM($L411),"'",""),"İ","I"),"ı","I"),"i","I"),"Ş","S"),"ş","S"),"Ğ","G"),"ğ","G"),"Ü","U"),"ü","U"),"Ö","O"),"ö","O"),"Ç","C"),"ç","C"),".",""),",","")," ",""),"-","")))</f>
        <v/>
      </c>
      <c r="T411" s="3">
        <f>IF(OR($C411="",$D411&lt;&gt;"Gelir",$L411=""),"",IFERROR(INDEX(MUSTERILER!$B$7:$B$106,MATCH($S411,MUSTERILER!$T$7:$T$106,0)),""))</f>
        <v/>
      </c>
      <c r="U411" s="3">
        <f>IF($T411="","",$T411&amp;"|"&amp;COUNTIFS($T$7:$T411,$T411))</f>
        <v/>
      </c>
      <c r="V411" s="3">
        <f>IF($T411="",0,1)</f>
        <v/>
      </c>
      <c r="W411" s="3">
        <f>IF($C411="","",$D411&amp;"|"&amp;$E411&amp;"|"&amp;TEXT($C411,"0")&amp;"|"&amp;TEXT($G411,"0")&amp;"|"&amp;$J411)</f>
        <v/>
      </c>
      <c r="X411" s="3" t="n"/>
      <c r="Y411" s="3" t="n"/>
      <c r="Z411" s="3" t="n"/>
      <c r="AA411" s="3" t="n"/>
      <c r="AB411" s="3" t="n"/>
      <c r="AC411" s="3" t="n"/>
      <c r="AD411" s="3">
        <f>IF($C411="",0,SUMPRODUCT((AY_SONU!$O$7:$O$42="Evet")*(AY_SONU!$B$7:$B$42=DATE(YEAR($C411),MONTH($C411),1))))</f>
        <v/>
      </c>
    </row>
    <row r="412">
      <c r="A412" s="6" t="n"/>
      <c r="B412" s="113">
        <f>IF($C412="","","GG"&amp;TEXT(ROW()-6,"00000"))</f>
        <v/>
      </c>
      <c r="C412" s="220" t="n"/>
      <c r="D412" s="108" t="n"/>
      <c r="E412" s="109" t="n"/>
      <c r="F412" s="109" t="n"/>
      <c r="G412" s="221" t="n"/>
      <c r="H412" s="108" t="n"/>
      <c r="I412" s="108" t="n"/>
      <c r="J412" s="109" t="n"/>
      <c r="K412" s="109" t="n"/>
      <c r="L412" s="108" t="n"/>
      <c r="M412" s="121">
        <f>IF($C412="","",IF($D412="Gider",$E412,IF($L412&lt;&gt;"",$L412,$H412)))</f>
        <v/>
      </c>
      <c r="N412" s="121">
        <f>IF($C412="","",IF($D412="Gider",$H412,$E412))</f>
        <v/>
      </c>
      <c r="O412" s="226">
        <f>IF($C412="","",DATE(YEAR($C412),MONTH($C412),1))</f>
        <v/>
      </c>
      <c r="P412" s="113">
        <f>IF($C412="","",IF(AND($D412="Gelir",$L412&lt;&gt;"",$T412=""),"TANIMSIZ BORÇLU",IF($T412&lt;&gt;"",IF(OR($E412="",$G412&lt;=0),"EKSİK",IF($I412="Evet","TAHAKKUK NAKİT OLAMAZ",IF($C412&gt;TODAY(),"İLERİ TARİH","TAHAKKUK"))),IF(AND($D412&lt;&gt;"",$E412&lt;&gt;"",$G412&gt;0,$H412&lt;&gt;"",$I412&lt;&gt;""),IF($C412&gt;TODAY(),"İLERİ TARİH",IF(COUNTIF($W$7:$W$1206,$W412)&gt;1,"MÜKERRER?",IF($AD412&gt;0,"KAPALI DÖNEM",IF($I412="Hayır","ÖDENECEK","UYGUN")))),"EKSİK"))))</f>
        <v/>
      </c>
      <c r="Q412" s="6" t="n"/>
      <c r="R412" s="6" t="n"/>
      <c r="S412" s="3">
        <f>IF($L412="","",UPPER(SUBSTITUTE(SUBSTITUTE(SUBSTITUTE(SUBSTITUTE(SUBSTITUTE(SUBSTITUTE(SUBSTITUTE(SUBSTITUTE(SUBSTITUTE(SUBSTITUTE(SUBSTITUTE(SUBSTITUTE(SUBSTITUTE(SUBSTITUTE(SUBSTITUTE(SUBSTITUTE(SUBSTITUTE(SUBSTITUTE(TRIM($L412),"'",""),"İ","I"),"ı","I"),"i","I"),"Ş","S"),"ş","S"),"Ğ","G"),"ğ","G"),"Ü","U"),"ü","U"),"Ö","O"),"ö","O"),"Ç","C"),"ç","C"),".",""),",","")," ",""),"-","")))</f>
        <v/>
      </c>
      <c r="T412" s="3">
        <f>IF(OR($C412="",$D412&lt;&gt;"Gelir",$L412=""),"",IFERROR(INDEX(MUSTERILER!$B$7:$B$106,MATCH($S412,MUSTERILER!$T$7:$T$106,0)),""))</f>
        <v/>
      </c>
      <c r="U412" s="3">
        <f>IF($T412="","",$T412&amp;"|"&amp;COUNTIFS($T$7:$T412,$T412))</f>
        <v/>
      </c>
      <c r="V412" s="3">
        <f>IF($T412="",0,1)</f>
        <v/>
      </c>
      <c r="W412" s="3">
        <f>IF($C412="","",$D412&amp;"|"&amp;$E412&amp;"|"&amp;TEXT($C412,"0")&amp;"|"&amp;TEXT($G412,"0")&amp;"|"&amp;$J412)</f>
        <v/>
      </c>
      <c r="X412" s="3" t="n"/>
      <c r="Y412" s="3" t="n"/>
      <c r="Z412" s="3" t="n"/>
      <c r="AA412" s="3" t="n"/>
      <c r="AB412" s="3" t="n"/>
      <c r="AC412" s="3" t="n"/>
      <c r="AD412" s="3">
        <f>IF($C412="",0,SUMPRODUCT((AY_SONU!$O$7:$O$42="Evet")*(AY_SONU!$B$7:$B$42=DATE(YEAR($C412),MONTH($C412),1))))</f>
        <v/>
      </c>
    </row>
    <row r="413">
      <c r="A413" s="6" t="n"/>
      <c r="B413" s="113">
        <f>IF($C413="","","GG"&amp;TEXT(ROW()-6,"00000"))</f>
        <v/>
      </c>
      <c r="C413" s="220" t="n"/>
      <c r="D413" s="108" t="n"/>
      <c r="E413" s="109" t="n"/>
      <c r="F413" s="109" t="n"/>
      <c r="G413" s="221" t="n"/>
      <c r="H413" s="108" t="n"/>
      <c r="I413" s="108" t="n"/>
      <c r="J413" s="109" t="n"/>
      <c r="K413" s="109" t="n"/>
      <c r="L413" s="108" t="n"/>
      <c r="M413" s="121">
        <f>IF($C413="","",IF($D413="Gider",$E413,IF($L413&lt;&gt;"",$L413,$H413)))</f>
        <v/>
      </c>
      <c r="N413" s="121">
        <f>IF($C413="","",IF($D413="Gider",$H413,$E413))</f>
        <v/>
      </c>
      <c r="O413" s="226">
        <f>IF($C413="","",DATE(YEAR($C413),MONTH($C413),1))</f>
        <v/>
      </c>
      <c r="P413" s="113">
        <f>IF($C413="","",IF(AND($D413="Gelir",$L413&lt;&gt;"",$T413=""),"TANIMSIZ BORÇLU",IF($T413&lt;&gt;"",IF(OR($E413="",$G413&lt;=0),"EKSİK",IF($I413="Evet","TAHAKKUK NAKİT OLAMAZ",IF($C413&gt;TODAY(),"İLERİ TARİH","TAHAKKUK"))),IF(AND($D413&lt;&gt;"",$E413&lt;&gt;"",$G413&gt;0,$H413&lt;&gt;"",$I413&lt;&gt;""),IF($C413&gt;TODAY(),"İLERİ TARİH",IF(COUNTIF($W$7:$W$1206,$W413)&gt;1,"MÜKERRER?",IF($AD413&gt;0,"KAPALI DÖNEM",IF($I413="Hayır","ÖDENECEK","UYGUN")))),"EKSİK"))))</f>
        <v/>
      </c>
      <c r="Q413" s="6" t="n"/>
      <c r="R413" s="6" t="n"/>
      <c r="S413" s="3">
        <f>IF($L413="","",UPPER(SUBSTITUTE(SUBSTITUTE(SUBSTITUTE(SUBSTITUTE(SUBSTITUTE(SUBSTITUTE(SUBSTITUTE(SUBSTITUTE(SUBSTITUTE(SUBSTITUTE(SUBSTITUTE(SUBSTITUTE(SUBSTITUTE(SUBSTITUTE(SUBSTITUTE(SUBSTITUTE(SUBSTITUTE(SUBSTITUTE(TRIM($L413),"'",""),"İ","I"),"ı","I"),"i","I"),"Ş","S"),"ş","S"),"Ğ","G"),"ğ","G"),"Ü","U"),"ü","U"),"Ö","O"),"ö","O"),"Ç","C"),"ç","C"),".",""),",","")," ",""),"-","")))</f>
        <v/>
      </c>
      <c r="T413" s="3">
        <f>IF(OR($C413="",$D413&lt;&gt;"Gelir",$L413=""),"",IFERROR(INDEX(MUSTERILER!$B$7:$B$106,MATCH($S413,MUSTERILER!$T$7:$T$106,0)),""))</f>
        <v/>
      </c>
      <c r="U413" s="3">
        <f>IF($T413="","",$T413&amp;"|"&amp;COUNTIFS($T$7:$T413,$T413))</f>
        <v/>
      </c>
      <c r="V413" s="3">
        <f>IF($T413="",0,1)</f>
        <v/>
      </c>
      <c r="W413" s="3">
        <f>IF($C413="","",$D413&amp;"|"&amp;$E413&amp;"|"&amp;TEXT($C413,"0")&amp;"|"&amp;TEXT($G413,"0")&amp;"|"&amp;$J413)</f>
        <v/>
      </c>
      <c r="X413" s="3" t="n"/>
      <c r="Y413" s="3" t="n"/>
      <c r="Z413" s="3" t="n"/>
      <c r="AA413" s="3" t="n"/>
      <c r="AB413" s="3" t="n"/>
      <c r="AC413" s="3" t="n"/>
      <c r="AD413" s="3">
        <f>IF($C413="",0,SUMPRODUCT((AY_SONU!$O$7:$O$42="Evet")*(AY_SONU!$B$7:$B$42=DATE(YEAR($C413),MONTH($C413),1))))</f>
        <v/>
      </c>
    </row>
    <row r="414">
      <c r="A414" s="6" t="n"/>
      <c r="B414" s="113">
        <f>IF($C414="","","GG"&amp;TEXT(ROW()-6,"00000"))</f>
        <v/>
      </c>
      <c r="C414" s="220" t="n"/>
      <c r="D414" s="108" t="n"/>
      <c r="E414" s="109" t="n"/>
      <c r="F414" s="109" t="n"/>
      <c r="G414" s="221" t="n"/>
      <c r="H414" s="108" t="n"/>
      <c r="I414" s="108" t="n"/>
      <c r="J414" s="109" t="n"/>
      <c r="K414" s="109" t="n"/>
      <c r="L414" s="108" t="n"/>
      <c r="M414" s="121">
        <f>IF($C414="","",IF($D414="Gider",$E414,IF($L414&lt;&gt;"",$L414,$H414)))</f>
        <v/>
      </c>
      <c r="N414" s="121">
        <f>IF($C414="","",IF($D414="Gider",$H414,$E414))</f>
        <v/>
      </c>
      <c r="O414" s="226">
        <f>IF($C414="","",DATE(YEAR($C414),MONTH($C414),1))</f>
        <v/>
      </c>
      <c r="P414" s="113">
        <f>IF($C414="","",IF(AND($D414="Gelir",$L414&lt;&gt;"",$T414=""),"TANIMSIZ BORÇLU",IF($T414&lt;&gt;"",IF(OR($E414="",$G414&lt;=0),"EKSİK",IF($I414="Evet","TAHAKKUK NAKİT OLAMAZ",IF($C414&gt;TODAY(),"İLERİ TARİH","TAHAKKUK"))),IF(AND($D414&lt;&gt;"",$E414&lt;&gt;"",$G414&gt;0,$H414&lt;&gt;"",$I414&lt;&gt;""),IF($C414&gt;TODAY(),"İLERİ TARİH",IF(COUNTIF($W$7:$W$1206,$W414)&gt;1,"MÜKERRER?",IF($AD414&gt;0,"KAPALI DÖNEM",IF($I414="Hayır","ÖDENECEK","UYGUN")))),"EKSİK"))))</f>
        <v/>
      </c>
      <c r="Q414" s="6" t="n"/>
      <c r="R414" s="6" t="n"/>
      <c r="S414" s="3">
        <f>IF($L414="","",UPPER(SUBSTITUTE(SUBSTITUTE(SUBSTITUTE(SUBSTITUTE(SUBSTITUTE(SUBSTITUTE(SUBSTITUTE(SUBSTITUTE(SUBSTITUTE(SUBSTITUTE(SUBSTITUTE(SUBSTITUTE(SUBSTITUTE(SUBSTITUTE(SUBSTITUTE(SUBSTITUTE(SUBSTITUTE(SUBSTITUTE(TRIM($L414),"'",""),"İ","I"),"ı","I"),"i","I"),"Ş","S"),"ş","S"),"Ğ","G"),"ğ","G"),"Ü","U"),"ü","U"),"Ö","O"),"ö","O"),"Ç","C"),"ç","C"),".",""),",","")," ",""),"-","")))</f>
        <v/>
      </c>
      <c r="T414" s="3">
        <f>IF(OR($C414="",$D414&lt;&gt;"Gelir",$L414=""),"",IFERROR(INDEX(MUSTERILER!$B$7:$B$106,MATCH($S414,MUSTERILER!$T$7:$T$106,0)),""))</f>
        <v/>
      </c>
      <c r="U414" s="3">
        <f>IF($T414="","",$T414&amp;"|"&amp;COUNTIFS($T$7:$T414,$T414))</f>
        <v/>
      </c>
      <c r="V414" s="3">
        <f>IF($T414="",0,1)</f>
        <v/>
      </c>
      <c r="W414" s="3">
        <f>IF($C414="","",$D414&amp;"|"&amp;$E414&amp;"|"&amp;TEXT($C414,"0")&amp;"|"&amp;TEXT($G414,"0")&amp;"|"&amp;$J414)</f>
        <v/>
      </c>
      <c r="X414" s="3" t="n"/>
      <c r="Y414" s="3" t="n"/>
      <c r="Z414" s="3" t="n"/>
      <c r="AA414" s="3" t="n"/>
      <c r="AB414" s="3" t="n"/>
      <c r="AC414" s="3" t="n"/>
      <c r="AD414" s="3">
        <f>IF($C414="",0,SUMPRODUCT((AY_SONU!$O$7:$O$42="Evet")*(AY_SONU!$B$7:$B$42=DATE(YEAR($C414),MONTH($C414),1))))</f>
        <v/>
      </c>
    </row>
    <row r="415">
      <c r="A415" s="6" t="n"/>
      <c r="B415" s="113">
        <f>IF($C415="","","GG"&amp;TEXT(ROW()-6,"00000"))</f>
        <v/>
      </c>
      <c r="C415" s="220" t="n"/>
      <c r="D415" s="108" t="n"/>
      <c r="E415" s="109" t="n"/>
      <c r="F415" s="109" t="n"/>
      <c r="G415" s="221" t="n"/>
      <c r="H415" s="108" t="n"/>
      <c r="I415" s="108" t="n"/>
      <c r="J415" s="109" t="n"/>
      <c r="K415" s="109" t="n"/>
      <c r="L415" s="108" t="n"/>
      <c r="M415" s="121">
        <f>IF($C415="","",IF($D415="Gider",$E415,IF($L415&lt;&gt;"",$L415,$H415)))</f>
        <v/>
      </c>
      <c r="N415" s="121">
        <f>IF($C415="","",IF($D415="Gider",$H415,$E415))</f>
        <v/>
      </c>
      <c r="O415" s="226">
        <f>IF($C415="","",DATE(YEAR($C415),MONTH($C415),1))</f>
        <v/>
      </c>
      <c r="P415" s="113">
        <f>IF($C415="","",IF(AND($D415="Gelir",$L415&lt;&gt;"",$T415=""),"TANIMSIZ BORÇLU",IF($T415&lt;&gt;"",IF(OR($E415="",$G415&lt;=0),"EKSİK",IF($I415="Evet","TAHAKKUK NAKİT OLAMAZ",IF($C415&gt;TODAY(),"İLERİ TARİH","TAHAKKUK"))),IF(AND($D415&lt;&gt;"",$E415&lt;&gt;"",$G415&gt;0,$H415&lt;&gt;"",$I415&lt;&gt;""),IF($C415&gt;TODAY(),"İLERİ TARİH",IF(COUNTIF($W$7:$W$1206,$W415)&gt;1,"MÜKERRER?",IF($AD415&gt;0,"KAPALI DÖNEM",IF($I415="Hayır","ÖDENECEK","UYGUN")))),"EKSİK"))))</f>
        <v/>
      </c>
      <c r="Q415" s="6" t="n"/>
      <c r="R415" s="6" t="n"/>
      <c r="S415" s="3">
        <f>IF($L415="","",UPPER(SUBSTITUTE(SUBSTITUTE(SUBSTITUTE(SUBSTITUTE(SUBSTITUTE(SUBSTITUTE(SUBSTITUTE(SUBSTITUTE(SUBSTITUTE(SUBSTITUTE(SUBSTITUTE(SUBSTITUTE(SUBSTITUTE(SUBSTITUTE(SUBSTITUTE(SUBSTITUTE(SUBSTITUTE(SUBSTITUTE(TRIM($L415),"'",""),"İ","I"),"ı","I"),"i","I"),"Ş","S"),"ş","S"),"Ğ","G"),"ğ","G"),"Ü","U"),"ü","U"),"Ö","O"),"ö","O"),"Ç","C"),"ç","C"),".",""),",","")," ",""),"-","")))</f>
        <v/>
      </c>
      <c r="T415" s="3">
        <f>IF(OR($C415="",$D415&lt;&gt;"Gelir",$L415=""),"",IFERROR(INDEX(MUSTERILER!$B$7:$B$106,MATCH($S415,MUSTERILER!$T$7:$T$106,0)),""))</f>
        <v/>
      </c>
      <c r="U415" s="3">
        <f>IF($T415="","",$T415&amp;"|"&amp;COUNTIFS($T$7:$T415,$T415))</f>
        <v/>
      </c>
      <c r="V415" s="3">
        <f>IF($T415="",0,1)</f>
        <v/>
      </c>
      <c r="W415" s="3">
        <f>IF($C415="","",$D415&amp;"|"&amp;$E415&amp;"|"&amp;TEXT($C415,"0")&amp;"|"&amp;TEXT($G415,"0")&amp;"|"&amp;$J415)</f>
        <v/>
      </c>
      <c r="X415" s="3" t="n"/>
      <c r="Y415" s="3" t="n"/>
      <c r="Z415" s="3" t="n"/>
      <c r="AA415" s="3" t="n"/>
      <c r="AB415" s="3" t="n"/>
      <c r="AC415" s="3" t="n"/>
      <c r="AD415" s="3">
        <f>IF($C415="",0,SUMPRODUCT((AY_SONU!$O$7:$O$42="Evet")*(AY_SONU!$B$7:$B$42=DATE(YEAR($C415),MONTH($C415),1))))</f>
        <v/>
      </c>
    </row>
    <row r="416">
      <c r="A416" s="6" t="n"/>
      <c r="B416" s="113">
        <f>IF($C416="","","GG"&amp;TEXT(ROW()-6,"00000"))</f>
        <v/>
      </c>
      <c r="C416" s="220" t="n"/>
      <c r="D416" s="108" t="n"/>
      <c r="E416" s="109" t="n"/>
      <c r="F416" s="109" t="n"/>
      <c r="G416" s="221" t="n"/>
      <c r="H416" s="108" t="n"/>
      <c r="I416" s="108" t="n"/>
      <c r="J416" s="109" t="n"/>
      <c r="K416" s="109" t="n"/>
      <c r="L416" s="108" t="n"/>
      <c r="M416" s="121">
        <f>IF($C416="","",IF($D416="Gider",$E416,IF($L416&lt;&gt;"",$L416,$H416)))</f>
        <v/>
      </c>
      <c r="N416" s="121">
        <f>IF($C416="","",IF($D416="Gider",$H416,$E416))</f>
        <v/>
      </c>
      <c r="O416" s="226">
        <f>IF($C416="","",DATE(YEAR($C416),MONTH($C416),1))</f>
        <v/>
      </c>
      <c r="P416" s="113">
        <f>IF($C416="","",IF(AND($D416="Gelir",$L416&lt;&gt;"",$T416=""),"TANIMSIZ BORÇLU",IF($T416&lt;&gt;"",IF(OR($E416="",$G416&lt;=0),"EKSİK",IF($I416="Evet","TAHAKKUK NAKİT OLAMAZ",IF($C416&gt;TODAY(),"İLERİ TARİH","TAHAKKUK"))),IF(AND($D416&lt;&gt;"",$E416&lt;&gt;"",$G416&gt;0,$H416&lt;&gt;"",$I416&lt;&gt;""),IF($C416&gt;TODAY(),"İLERİ TARİH",IF(COUNTIF($W$7:$W$1206,$W416)&gt;1,"MÜKERRER?",IF($AD416&gt;0,"KAPALI DÖNEM",IF($I416="Hayır","ÖDENECEK","UYGUN")))),"EKSİK"))))</f>
        <v/>
      </c>
      <c r="Q416" s="6" t="n"/>
      <c r="R416" s="6" t="n"/>
      <c r="S416" s="3">
        <f>IF($L416="","",UPPER(SUBSTITUTE(SUBSTITUTE(SUBSTITUTE(SUBSTITUTE(SUBSTITUTE(SUBSTITUTE(SUBSTITUTE(SUBSTITUTE(SUBSTITUTE(SUBSTITUTE(SUBSTITUTE(SUBSTITUTE(SUBSTITUTE(SUBSTITUTE(SUBSTITUTE(SUBSTITUTE(SUBSTITUTE(SUBSTITUTE(TRIM($L416),"'",""),"İ","I"),"ı","I"),"i","I"),"Ş","S"),"ş","S"),"Ğ","G"),"ğ","G"),"Ü","U"),"ü","U"),"Ö","O"),"ö","O"),"Ç","C"),"ç","C"),".",""),",","")," ",""),"-","")))</f>
        <v/>
      </c>
      <c r="T416" s="3">
        <f>IF(OR($C416="",$D416&lt;&gt;"Gelir",$L416=""),"",IFERROR(INDEX(MUSTERILER!$B$7:$B$106,MATCH($S416,MUSTERILER!$T$7:$T$106,0)),""))</f>
        <v/>
      </c>
      <c r="U416" s="3">
        <f>IF($T416="","",$T416&amp;"|"&amp;COUNTIFS($T$7:$T416,$T416))</f>
        <v/>
      </c>
      <c r="V416" s="3">
        <f>IF($T416="",0,1)</f>
        <v/>
      </c>
      <c r="W416" s="3">
        <f>IF($C416="","",$D416&amp;"|"&amp;$E416&amp;"|"&amp;TEXT($C416,"0")&amp;"|"&amp;TEXT($G416,"0")&amp;"|"&amp;$J416)</f>
        <v/>
      </c>
      <c r="X416" s="3" t="n"/>
      <c r="Y416" s="3" t="n"/>
      <c r="Z416" s="3" t="n"/>
      <c r="AA416" s="3" t="n"/>
      <c r="AB416" s="3" t="n"/>
      <c r="AC416" s="3" t="n"/>
      <c r="AD416" s="3">
        <f>IF($C416="",0,SUMPRODUCT((AY_SONU!$O$7:$O$42="Evet")*(AY_SONU!$B$7:$B$42=DATE(YEAR($C416),MONTH($C416),1))))</f>
        <v/>
      </c>
    </row>
    <row r="417">
      <c r="A417" s="6" t="n"/>
      <c r="B417" s="113">
        <f>IF($C417="","","GG"&amp;TEXT(ROW()-6,"00000"))</f>
        <v/>
      </c>
      <c r="C417" s="220" t="n"/>
      <c r="D417" s="108" t="n"/>
      <c r="E417" s="109" t="n"/>
      <c r="F417" s="109" t="n"/>
      <c r="G417" s="221" t="n"/>
      <c r="H417" s="108" t="n"/>
      <c r="I417" s="108" t="n"/>
      <c r="J417" s="109" t="n"/>
      <c r="K417" s="109" t="n"/>
      <c r="L417" s="108" t="n"/>
      <c r="M417" s="121">
        <f>IF($C417="","",IF($D417="Gider",$E417,IF($L417&lt;&gt;"",$L417,$H417)))</f>
        <v/>
      </c>
      <c r="N417" s="121">
        <f>IF($C417="","",IF($D417="Gider",$H417,$E417))</f>
        <v/>
      </c>
      <c r="O417" s="226">
        <f>IF($C417="","",DATE(YEAR($C417),MONTH($C417),1))</f>
        <v/>
      </c>
      <c r="P417" s="113">
        <f>IF($C417="","",IF(AND($D417="Gelir",$L417&lt;&gt;"",$T417=""),"TANIMSIZ BORÇLU",IF($T417&lt;&gt;"",IF(OR($E417="",$G417&lt;=0),"EKSİK",IF($I417="Evet","TAHAKKUK NAKİT OLAMAZ",IF($C417&gt;TODAY(),"İLERİ TARİH","TAHAKKUK"))),IF(AND($D417&lt;&gt;"",$E417&lt;&gt;"",$G417&gt;0,$H417&lt;&gt;"",$I417&lt;&gt;""),IF($C417&gt;TODAY(),"İLERİ TARİH",IF(COUNTIF($W$7:$W$1206,$W417)&gt;1,"MÜKERRER?",IF($AD417&gt;0,"KAPALI DÖNEM",IF($I417="Hayır","ÖDENECEK","UYGUN")))),"EKSİK"))))</f>
        <v/>
      </c>
      <c r="Q417" s="6" t="n"/>
      <c r="R417" s="6" t="n"/>
      <c r="S417" s="3">
        <f>IF($L417="","",UPPER(SUBSTITUTE(SUBSTITUTE(SUBSTITUTE(SUBSTITUTE(SUBSTITUTE(SUBSTITUTE(SUBSTITUTE(SUBSTITUTE(SUBSTITUTE(SUBSTITUTE(SUBSTITUTE(SUBSTITUTE(SUBSTITUTE(SUBSTITUTE(SUBSTITUTE(SUBSTITUTE(SUBSTITUTE(SUBSTITUTE(TRIM($L417),"'",""),"İ","I"),"ı","I"),"i","I"),"Ş","S"),"ş","S"),"Ğ","G"),"ğ","G"),"Ü","U"),"ü","U"),"Ö","O"),"ö","O"),"Ç","C"),"ç","C"),".",""),",","")," ",""),"-","")))</f>
        <v/>
      </c>
      <c r="T417" s="3">
        <f>IF(OR($C417="",$D417&lt;&gt;"Gelir",$L417=""),"",IFERROR(INDEX(MUSTERILER!$B$7:$B$106,MATCH($S417,MUSTERILER!$T$7:$T$106,0)),""))</f>
        <v/>
      </c>
      <c r="U417" s="3">
        <f>IF($T417="","",$T417&amp;"|"&amp;COUNTIFS($T$7:$T417,$T417))</f>
        <v/>
      </c>
      <c r="V417" s="3">
        <f>IF($T417="",0,1)</f>
        <v/>
      </c>
      <c r="W417" s="3">
        <f>IF($C417="","",$D417&amp;"|"&amp;$E417&amp;"|"&amp;TEXT($C417,"0")&amp;"|"&amp;TEXT($G417,"0")&amp;"|"&amp;$J417)</f>
        <v/>
      </c>
      <c r="X417" s="3" t="n"/>
      <c r="Y417" s="3" t="n"/>
      <c r="Z417" s="3" t="n"/>
      <c r="AA417" s="3" t="n"/>
      <c r="AB417" s="3" t="n"/>
      <c r="AC417" s="3" t="n"/>
      <c r="AD417" s="3">
        <f>IF($C417="",0,SUMPRODUCT((AY_SONU!$O$7:$O$42="Evet")*(AY_SONU!$B$7:$B$42=DATE(YEAR($C417),MONTH($C417),1))))</f>
        <v/>
      </c>
    </row>
    <row r="418">
      <c r="A418" s="6" t="n"/>
      <c r="B418" s="113">
        <f>IF($C418="","","GG"&amp;TEXT(ROW()-6,"00000"))</f>
        <v/>
      </c>
      <c r="C418" s="220" t="n"/>
      <c r="D418" s="108" t="n"/>
      <c r="E418" s="109" t="n"/>
      <c r="F418" s="109" t="n"/>
      <c r="G418" s="221" t="n"/>
      <c r="H418" s="108" t="n"/>
      <c r="I418" s="108" t="n"/>
      <c r="J418" s="109" t="n"/>
      <c r="K418" s="109" t="n"/>
      <c r="L418" s="108" t="n"/>
      <c r="M418" s="121">
        <f>IF($C418="","",IF($D418="Gider",$E418,IF($L418&lt;&gt;"",$L418,$H418)))</f>
        <v/>
      </c>
      <c r="N418" s="121">
        <f>IF($C418="","",IF($D418="Gider",$H418,$E418))</f>
        <v/>
      </c>
      <c r="O418" s="226">
        <f>IF($C418="","",DATE(YEAR($C418),MONTH($C418),1))</f>
        <v/>
      </c>
      <c r="P418" s="113">
        <f>IF($C418="","",IF(AND($D418="Gelir",$L418&lt;&gt;"",$T418=""),"TANIMSIZ BORÇLU",IF($T418&lt;&gt;"",IF(OR($E418="",$G418&lt;=0),"EKSİK",IF($I418="Evet","TAHAKKUK NAKİT OLAMAZ",IF($C418&gt;TODAY(),"İLERİ TARİH","TAHAKKUK"))),IF(AND($D418&lt;&gt;"",$E418&lt;&gt;"",$G418&gt;0,$H418&lt;&gt;"",$I418&lt;&gt;""),IF($C418&gt;TODAY(),"İLERİ TARİH",IF(COUNTIF($W$7:$W$1206,$W418)&gt;1,"MÜKERRER?",IF($AD418&gt;0,"KAPALI DÖNEM",IF($I418="Hayır","ÖDENECEK","UYGUN")))),"EKSİK"))))</f>
        <v/>
      </c>
      <c r="Q418" s="6" t="n"/>
      <c r="R418" s="6" t="n"/>
      <c r="S418" s="3">
        <f>IF($L418="","",UPPER(SUBSTITUTE(SUBSTITUTE(SUBSTITUTE(SUBSTITUTE(SUBSTITUTE(SUBSTITUTE(SUBSTITUTE(SUBSTITUTE(SUBSTITUTE(SUBSTITUTE(SUBSTITUTE(SUBSTITUTE(SUBSTITUTE(SUBSTITUTE(SUBSTITUTE(SUBSTITUTE(SUBSTITUTE(SUBSTITUTE(TRIM($L418),"'",""),"İ","I"),"ı","I"),"i","I"),"Ş","S"),"ş","S"),"Ğ","G"),"ğ","G"),"Ü","U"),"ü","U"),"Ö","O"),"ö","O"),"Ç","C"),"ç","C"),".",""),",","")," ",""),"-","")))</f>
        <v/>
      </c>
      <c r="T418" s="3">
        <f>IF(OR($C418="",$D418&lt;&gt;"Gelir",$L418=""),"",IFERROR(INDEX(MUSTERILER!$B$7:$B$106,MATCH($S418,MUSTERILER!$T$7:$T$106,0)),""))</f>
        <v/>
      </c>
      <c r="U418" s="3">
        <f>IF($T418="","",$T418&amp;"|"&amp;COUNTIFS($T$7:$T418,$T418))</f>
        <v/>
      </c>
      <c r="V418" s="3">
        <f>IF($T418="",0,1)</f>
        <v/>
      </c>
      <c r="W418" s="3">
        <f>IF($C418="","",$D418&amp;"|"&amp;$E418&amp;"|"&amp;TEXT($C418,"0")&amp;"|"&amp;TEXT($G418,"0")&amp;"|"&amp;$J418)</f>
        <v/>
      </c>
      <c r="X418" s="3" t="n"/>
      <c r="Y418" s="3" t="n"/>
      <c r="Z418" s="3" t="n"/>
      <c r="AA418" s="3" t="n"/>
      <c r="AB418" s="3" t="n"/>
      <c r="AC418" s="3" t="n"/>
      <c r="AD418" s="3">
        <f>IF($C418="",0,SUMPRODUCT((AY_SONU!$O$7:$O$42="Evet")*(AY_SONU!$B$7:$B$42=DATE(YEAR($C418),MONTH($C418),1))))</f>
        <v/>
      </c>
    </row>
    <row r="419">
      <c r="A419" s="6" t="n"/>
      <c r="B419" s="113">
        <f>IF($C419="","","GG"&amp;TEXT(ROW()-6,"00000"))</f>
        <v/>
      </c>
      <c r="C419" s="220" t="n"/>
      <c r="D419" s="108" t="n"/>
      <c r="E419" s="109" t="n"/>
      <c r="F419" s="109" t="n"/>
      <c r="G419" s="221" t="n"/>
      <c r="H419" s="108" t="n"/>
      <c r="I419" s="108" t="n"/>
      <c r="J419" s="109" t="n"/>
      <c r="K419" s="109" t="n"/>
      <c r="L419" s="108" t="n"/>
      <c r="M419" s="121">
        <f>IF($C419="","",IF($D419="Gider",$E419,IF($L419&lt;&gt;"",$L419,$H419)))</f>
        <v/>
      </c>
      <c r="N419" s="121">
        <f>IF($C419="","",IF($D419="Gider",$H419,$E419))</f>
        <v/>
      </c>
      <c r="O419" s="226">
        <f>IF($C419="","",DATE(YEAR($C419),MONTH($C419),1))</f>
        <v/>
      </c>
      <c r="P419" s="113">
        <f>IF($C419="","",IF(AND($D419="Gelir",$L419&lt;&gt;"",$T419=""),"TANIMSIZ BORÇLU",IF($T419&lt;&gt;"",IF(OR($E419="",$G419&lt;=0),"EKSİK",IF($I419="Evet","TAHAKKUK NAKİT OLAMAZ",IF($C419&gt;TODAY(),"İLERİ TARİH","TAHAKKUK"))),IF(AND($D419&lt;&gt;"",$E419&lt;&gt;"",$G419&gt;0,$H419&lt;&gt;"",$I419&lt;&gt;""),IF($C419&gt;TODAY(),"İLERİ TARİH",IF(COUNTIF($W$7:$W$1206,$W419)&gt;1,"MÜKERRER?",IF($AD419&gt;0,"KAPALI DÖNEM",IF($I419="Hayır","ÖDENECEK","UYGUN")))),"EKSİK"))))</f>
        <v/>
      </c>
      <c r="Q419" s="6" t="n"/>
      <c r="R419" s="6" t="n"/>
      <c r="S419" s="3">
        <f>IF($L419="","",UPPER(SUBSTITUTE(SUBSTITUTE(SUBSTITUTE(SUBSTITUTE(SUBSTITUTE(SUBSTITUTE(SUBSTITUTE(SUBSTITUTE(SUBSTITUTE(SUBSTITUTE(SUBSTITUTE(SUBSTITUTE(SUBSTITUTE(SUBSTITUTE(SUBSTITUTE(SUBSTITUTE(SUBSTITUTE(SUBSTITUTE(TRIM($L419),"'",""),"İ","I"),"ı","I"),"i","I"),"Ş","S"),"ş","S"),"Ğ","G"),"ğ","G"),"Ü","U"),"ü","U"),"Ö","O"),"ö","O"),"Ç","C"),"ç","C"),".",""),",","")," ",""),"-","")))</f>
        <v/>
      </c>
      <c r="T419" s="3">
        <f>IF(OR($C419="",$D419&lt;&gt;"Gelir",$L419=""),"",IFERROR(INDEX(MUSTERILER!$B$7:$B$106,MATCH($S419,MUSTERILER!$T$7:$T$106,0)),""))</f>
        <v/>
      </c>
      <c r="U419" s="3">
        <f>IF($T419="","",$T419&amp;"|"&amp;COUNTIFS($T$7:$T419,$T419))</f>
        <v/>
      </c>
      <c r="V419" s="3">
        <f>IF($T419="",0,1)</f>
        <v/>
      </c>
      <c r="W419" s="3">
        <f>IF($C419="","",$D419&amp;"|"&amp;$E419&amp;"|"&amp;TEXT($C419,"0")&amp;"|"&amp;TEXT($G419,"0")&amp;"|"&amp;$J419)</f>
        <v/>
      </c>
      <c r="X419" s="3" t="n"/>
      <c r="Y419" s="3" t="n"/>
      <c r="Z419" s="3" t="n"/>
      <c r="AA419" s="3" t="n"/>
      <c r="AB419" s="3" t="n"/>
      <c r="AC419" s="3" t="n"/>
      <c r="AD419" s="3">
        <f>IF($C419="",0,SUMPRODUCT((AY_SONU!$O$7:$O$42="Evet")*(AY_SONU!$B$7:$B$42=DATE(YEAR($C419),MONTH($C419),1))))</f>
        <v/>
      </c>
    </row>
    <row r="420">
      <c r="A420" s="6" t="n"/>
      <c r="B420" s="113">
        <f>IF($C420="","","GG"&amp;TEXT(ROW()-6,"00000"))</f>
        <v/>
      </c>
      <c r="C420" s="220" t="n"/>
      <c r="D420" s="108" t="n"/>
      <c r="E420" s="109" t="n"/>
      <c r="F420" s="109" t="n"/>
      <c r="G420" s="221" t="n"/>
      <c r="H420" s="108" t="n"/>
      <c r="I420" s="108" t="n"/>
      <c r="J420" s="109" t="n"/>
      <c r="K420" s="109" t="n"/>
      <c r="L420" s="108" t="n"/>
      <c r="M420" s="121">
        <f>IF($C420="","",IF($D420="Gider",$E420,IF($L420&lt;&gt;"",$L420,$H420)))</f>
        <v/>
      </c>
      <c r="N420" s="121">
        <f>IF($C420="","",IF($D420="Gider",$H420,$E420))</f>
        <v/>
      </c>
      <c r="O420" s="226">
        <f>IF($C420="","",DATE(YEAR($C420),MONTH($C420),1))</f>
        <v/>
      </c>
      <c r="P420" s="113">
        <f>IF($C420="","",IF(AND($D420="Gelir",$L420&lt;&gt;"",$T420=""),"TANIMSIZ BORÇLU",IF($T420&lt;&gt;"",IF(OR($E420="",$G420&lt;=0),"EKSİK",IF($I420="Evet","TAHAKKUK NAKİT OLAMAZ",IF($C420&gt;TODAY(),"İLERİ TARİH","TAHAKKUK"))),IF(AND($D420&lt;&gt;"",$E420&lt;&gt;"",$G420&gt;0,$H420&lt;&gt;"",$I420&lt;&gt;""),IF($C420&gt;TODAY(),"İLERİ TARİH",IF(COUNTIF($W$7:$W$1206,$W420)&gt;1,"MÜKERRER?",IF($AD420&gt;0,"KAPALI DÖNEM",IF($I420="Hayır","ÖDENECEK","UYGUN")))),"EKSİK"))))</f>
        <v/>
      </c>
      <c r="Q420" s="6" t="n"/>
      <c r="R420" s="6" t="n"/>
      <c r="S420" s="3">
        <f>IF($L420="","",UPPER(SUBSTITUTE(SUBSTITUTE(SUBSTITUTE(SUBSTITUTE(SUBSTITUTE(SUBSTITUTE(SUBSTITUTE(SUBSTITUTE(SUBSTITUTE(SUBSTITUTE(SUBSTITUTE(SUBSTITUTE(SUBSTITUTE(SUBSTITUTE(SUBSTITUTE(SUBSTITUTE(SUBSTITUTE(SUBSTITUTE(TRIM($L420),"'",""),"İ","I"),"ı","I"),"i","I"),"Ş","S"),"ş","S"),"Ğ","G"),"ğ","G"),"Ü","U"),"ü","U"),"Ö","O"),"ö","O"),"Ç","C"),"ç","C"),".",""),",","")," ",""),"-","")))</f>
        <v/>
      </c>
      <c r="T420" s="3">
        <f>IF(OR($C420="",$D420&lt;&gt;"Gelir",$L420=""),"",IFERROR(INDEX(MUSTERILER!$B$7:$B$106,MATCH($S420,MUSTERILER!$T$7:$T$106,0)),""))</f>
        <v/>
      </c>
      <c r="U420" s="3">
        <f>IF($T420="","",$T420&amp;"|"&amp;COUNTIFS($T$7:$T420,$T420))</f>
        <v/>
      </c>
      <c r="V420" s="3">
        <f>IF($T420="",0,1)</f>
        <v/>
      </c>
      <c r="W420" s="3">
        <f>IF($C420="","",$D420&amp;"|"&amp;$E420&amp;"|"&amp;TEXT($C420,"0")&amp;"|"&amp;TEXT($G420,"0")&amp;"|"&amp;$J420)</f>
        <v/>
      </c>
      <c r="X420" s="3" t="n"/>
      <c r="Y420" s="3" t="n"/>
      <c r="Z420" s="3" t="n"/>
      <c r="AA420" s="3" t="n"/>
      <c r="AB420" s="3" t="n"/>
      <c r="AC420" s="3" t="n"/>
      <c r="AD420" s="3">
        <f>IF($C420="",0,SUMPRODUCT((AY_SONU!$O$7:$O$42="Evet")*(AY_SONU!$B$7:$B$42=DATE(YEAR($C420),MONTH($C420),1))))</f>
        <v/>
      </c>
    </row>
    <row r="421">
      <c r="A421" s="6" t="n"/>
      <c r="B421" s="113">
        <f>IF($C421="","","GG"&amp;TEXT(ROW()-6,"00000"))</f>
        <v/>
      </c>
      <c r="C421" s="220" t="n"/>
      <c r="D421" s="108" t="n"/>
      <c r="E421" s="109" t="n"/>
      <c r="F421" s="109" t="n"/>
      <c r="G421" s="221" t="n"/>
      <c r="H421" s="108" t="n"/>
      <c r="I421" s="108" t="n"/>
      <c r="J421" s="109" t="n"/>
      <c r="K421" s="109" t="n"/>
      <c r="L421" s="108" t="n"/>
      <c r="M421" s="121">
        <f>IF($C421="","",IF($D421="Gider",$E421,IF($L421&lt;&gt;"",$L421,$H421)))</f>
        <v/>
      </c>
      <c r="N421" s="121">
        <f>IF($C421="","",IF($D421="Gider",$H421,$E421))</f>
        <v/>
      </c>
      <c r="O421" s="226">
        <f>IF($C421="","",DATE(YEAR($C421),MONTH($C421),1))</f>
        <v/>
      </c>
      <c r="P421" s="113">
        <f>IF($C421="","",IF(AND($D421="Gelir",$L421&lt;&gt;"",$T421=""),"TANIMSIZ BORÇLU",IF($T421&lt;&gt;"",IF(OR($E421="",$G421&lt;=0),"EKSİK",IF($I421="Evet","TAHAKKUK NAKİT OLAMAZ",IF($C421&gt;TODAY(),"İLERİ TARİH","TAHAKKUK"))),IF(AND($D421&lt;&gt;"",$E421&lt;&gt;"",$G421&gt;0,$H421&lt;&gt;"",$I421&lt;&gt;""),IF($C421&gt;TODAY(),"İLERİ TARİH",IF(COUNTIF($W$7:$W$1206,$W421)&gt;1,"MÜKERRER?",IF($AD421&gt;0,"KAPALI DÖNEM",IF($I421="Hayır","ÖDENECEK","UYGUN")))),"EKSİK"))))</f>
        <v/>
      </c>
      <c r="Q421" s="6" t="n"/>
      <c r="R421" s="6" t="n"/>
      <c r="S421" s="3">
        <f>IF($L421="","",UPPER(SUBSTITUTE(SUBSTITUTE(SUBSTITUTE(SUBSTITUTE(SUBSTITUTE(SUBSTITUTE(SUBSTITUTE(SUBSTITUTE(SUBSTITUTE(SUBSTITUTE(SUBSTITUTE(SUBSTITUTE(SUBSTITUTE(SUBSTITUTE(SUBSTITUTE(SUBSTITUTE(SUBSTITUTE(SUBSTITUTE(TRIM($L421),"'",""),"İ","I"),"ı","I"),"i","I"),"Ş","S"),"ş","S"),"Ğ","G"),"ğ","G"),"Ü","U"),"ü","U"),"Ö","O"),"ö","O"),"Ç","C"),"ç","C"),".",""),",","")," ",""),"-","")))</f>
        <v/>
      </c>
      <c r="T421" s="3">
        <f>IF(OR($C421="",$D421&lt;&gt;"Gelir",$L421=""),"",IFERROR(INDEX(MUSTERILER!$B$7:$B$106,MATCH($S421,MUSTERILER!$T$7:$T$106,0)),""))</f>
        <v/>
      </c>
      <c r="U421" s="3">
        <f>IF($T421="","",$T421&amp;"|"&amp;COUNTIFS($T$7:$T421,$T421))</f>
        <v/>
      </c>
      <c r="V421" s="3">
        <f>IF($T421="",0,1)</f>
        <v/>
      </c>
      <c r="W421" s="3">
        <f>IF($C421="","",$D421&amp;"|"&amp;$E421&amp;"|"&amp;TEXT($C421,"0")&amp;"|"&amp;TEXT($G421,"0")&amp;"|"&amp;$J421)</f>
        <v/>
      </c>
      <c r="X421" s="3" t="n"/>
      <c r="Y421" s="3" t="n"/>
      <c r="Z421" s="3" t="n"/>
      <c r="AA421" s="3" t="n"/>
      <c r="AB421" s="3" t="n"/>
      <c r="AC421" s="3" t="n"/>
      <c r="AD421" s="3">
        <f>IF($C421="",0,SUMPRODUCT((AY_SONU!$O$7:$O$42="Evet")*(AY_SONU!$B$7:$B$42=DATE(YEAR($C421),MONTH($C421),1))))</f>
        <v/>
      </c>
    </row>
    <row r="422">
      <c r="A422" s="6" t="n"/>
      <c r="B422" s="113">
        <f>IF($C422="","","GG"&amp;TEXT(ROW()-6,"00000"))</f>
        <v/>
      </c>
      <c r="C422" s="220" t="n"/>
      <c r="D422" s="108" t="n"/>
      <c r="E422" s="109" t="n"/>
      <c r="F422" s="109" t="n"/>
      <c r="G422" s="221" t="n"/>
      <c r="H422" s="108" t="n"/>
      <c r="I422" s="108" t="n"/>
      <c r="J422" s="109" t="n"/>
      <c r="K422" s="109" t="n"/>
      <c r="L422" s="108" t="n"/>
      <c r="M422" s="121">
        <f>IF($C422="","",IF($D422="Gider",$E422,IF($L422&lt;&gt;"",$L422,$H422)))</f>
        <v/>
      </c>
      <c r="N422" s="121">
        <f>IF($C422="","",IF($D422="Gider",$H422,$E422))</f>
        <v/>
      </c>
      <c r="O422" s="226">
        <f>IF($C422="","",DATE(YEAR($C422),MONTH($C422),1))</f>
        <v/>
      </c>
      <c r="P422" s="113">
        <f>IF($C422="","",IF(AND($D422="Gelir",$L422&lt;&gt;"",$T422=""),"TANIMSIZ BORÇLU",IF($T422&lt;&gt;"",IF(OR($E422="",$G422&lt;=0),"EKSİK",IF($I422="Evet","TAHAKKUK NAKİT OLAMAZ",IF($C422&gt;TODAY(),"İLERİ TARİH","TAHAKKUK"))),IF(AND($D422&lt;&gt;"",$E422&lt;&gt;"",$G422&gt;0,$H422&lt;&gt;"",$I422&lt;&gt;""),IF($C422&gt;TODAY(),"İLERİ TARİH",IF(COUNTIF($W$7:$W$1206,$W422)&gt;1,"MÜKERRER?",IF($AD422&gt;0,"KAPALI DÖNEM",IF($I422="Hayır","ÖDENECEK","UYGUN")))),"EKSİK"))))</f>
        <v/>
      </c>
      <c r="Q422" s="6" t="n"/>
      <c r="R422" s="6" t="n"/>
      <c r="S422" s="3">
        <f>IF($L422="","",UPPER(SUBSTITUTE(SUBSTITUTE(SUBSTITUTE(SUBSTITUTE(SUBSTITUTE(SUBSTITUTE(SUBSTITUTE(SUBSTITUTE(SUBSTITUTE(SUBSTITUTE(SUBSTITUTE(SUBSTITUTE(SUBSTITUTE(SUBSTITUTE(SUBSTITUTE(SUBSTITUTE(SUBSTITUTE(SUBSTITUTE(TRIM($L422),"'",""),"İ","I"),"ı","I"),"i","I"),"Ş","S"),"ş","S"),"Ğ","G"),"ğ","G"),"Ü","U"),"ü","U"),"Ö","O"),"ö","O"),"Ç","C"),"ç","C"),".",""),",","")," ",""),"-","")))</f>
        <v/>
      </c>
      <c r="T422" s="3">
        <f>IF(OR($C422="",$D422&lt;&gt;"Gelir",$L422=""),"",IFERROR(INDEX(MUSTERILER!$B$7:$B$106,MATCH($S422,MUSTERILER!$T$7:$T$106,0)),""))</f>
        <v/>
      </c>
      <c r="U422" s="3">
        <f>IF($T422="","",$T422&amp;"|"&amp;COUNTIFS($T$7:$T422,$T422))</f>
        <v/>
      </c>
      <c r="V422" s="3">
        <f>IF($T422="",0,1)</f>
        <v/>
      </c>
      <c r="W422" s="3">
        <f>IF($C422="","",$D422&amp;"|"&amp;$E422&amp;"|"&amp;TEXT($C422,"0")&amp;"|"&amp;TEXT($G422,"0")&amp;"|"&amp;$J422)</f>
        <v/>
      </c>
      <c r="X422" s="3" t="n"/>
      <c r="Y422" s="3" t="n"/>
      <c r="Z422" s="3" t="n"/>
      <c r="AA422" s="3" t="n"/>
      <c r="AB422" s="3" t="n"/>
      <c r="AC422" s="3" t="n"/>
      <c r="AD422" s="3">
        <f>IF($C422="",0,SUMPRODUCT((AY_SONU!$O$7:$O$42="Evet")*(AY_SONU!$B$7:$B$42=DATE(YEAR($C422),MONTH($C422),1))))</f>
        <v/>
      </c>
    </row>
    <row r="423">
      <c r="A423" s="6" t="n"/>
      <c r="B423" s="113">
        <f>IF($C423="","","GG"&amp;TEXT(ROW()-6,"00000"))</f>
        <v/>
      </c>
      <c r="C423" s="220" t="n"/>
      <c r="D423" s="108" t="n"/>
      <c r="E423" s="109" t="n"/>
      <c r="F423" s="109" t="n"/>
      <c r="G423" s="221" t="n"/>
      <c r="H423" s="108" t="n"/>
      <c r="I423" s="108" t="n"/>
      <c r="J423" s="109" t="n"/>
      <c r="K423" s="109" t="n"/>
      <c r="L423" s="108" t="n"/>
      <c r="M423" s="121">
        <f>IF($C423="","",IF($D423="Gider",$E423,IF($L423&lt;&gt;"",$L423,$H423)))</f>
        <v/>
      </c>
      <c r="N423" s="121">
        <f>IF($C423="","",IF($D423="Gider",$H423,$E423))</f>
        <v/>
      </c>
      <c r="O423" s="226">
        <f>IF($C423="","",DATE(YEAR($C423),MONTH($C423),1))</f>
        <v/>
      </c>
      <c r="P423" s="113">
        <f>IF($C423="","",IF(AND($D423="Gelir",$L423&lt;&gt;"",$T423=""),"TANIMSIZ BORÇLU",IF($T423&lt;&gt;"",IF(OR($E423="",$G423&lt;=0),"EKSİK",IF($I423="Evet","TAHAKKUK NAKİT OLAMAZ",IF($C423&gt;TODAY(),"İLERİ TARİH","TAHAKKUK"))),IF(AND($D423&lt;&gt;"",$E423&lt;&gt;"",$G423&gt;0,$H423&lt;&gt;"",$I423&lt;&gt;""),IF($C423&gt;TODAY(),"İLERİ TARİH",IF(COUNTIF($W$7:$W$1206,$W423)&gt;1,"MÜKERRER?",IF($AD423&gt;0,"KAPALI DÖNEM",IF($I423="Hayır","ÖDENECEK","UYGUN")))),"EKSİK"))))</f>
        <v/>
      </c>
      <c r="Q423" s="6" t="n"/>
      <c r="R423" s="6" t="n"/>
      <c r="S423" s="3">
        <f>IF($L423="","",UPPER(SUBSTITUTE(SUBSTITUTE(SUBSTITUTE(SUBSTITUTE(SUBSTITUTE(SUBSTITUTE(SUBSTITUTE(SUBSTITUTE(SUBSTITUTE(SUBSTITUTE(SUBSTITUTE(SUBSTITUTE(SUBSTITUTE(SUBSTITUTE(SUBSTITUTE(SUBSTITUTE(SUBSTITUTE(SUBSTITUTE(TRIM($L423),"'",""),"İ","I"),"ı","I"),"i","I"),"Ş","S"),"ş","S"),"Ğ","G"),"ğ","G"),"Ü","U"),"ü","U"),"Ö","O"),"ö","O"),"Ç","C"),"ç","C"),".",""),",","")," ",""),"-","")))</f>
        <v/>
      </c>
      <c r="T423" s="3">
        <f>IF(OR($C423="",$D423&lt;&gt;"Gelir",$L423=""),"",IFERROR(INDEX(MUSTERILER!$B$7:$B$106,MATCH($S423,MUSTERILER!$T$7:$T$106,0)),""))</f>
        <v/>
      </c>
      <c r="U423" s="3">
        <f>IF($T423="","",$T423&amp;"|"&amp;COUNTIFS($T$7:$T423,$T423))</f>
        <v/>
      </c>
      <c r="V423" s="3">
        <f>IF($T423="",0,1)</f>
        <v/>
      </c>
      <c r="W423" s="3">
        <f>IF($C423="","",$D423&amp;"|"&amp;$E423&amp;"|"&amp;TEXT($C423,"0")&amp;"|"&amp;TEXT($G423,"0")&amp;"|"&amp;$J423)</f>
        <v/>
      </c>
      <c r="X423" s="3" t="n"/>
      <c r="Y423" s="3" t="n"/>
      <c r="Z423" s="3" t="n"/>
      <c r="AA423" s="3" t="n"/>
      <c r="AB423" s="3" t="n"/>
      <c r="AC423" s="3" t="n"/>
      <c r="AD423" s="3">
        <f>IF($C423="",0,SUMPRODUCT((AY_SONU!$O$7:$O$42="Evet")*(AY_SONU!$B$7:$B$42=DATE(YEAR($C423),MONTH($C423),1))))</f>
        <v/>
      </c>
    </row>
    <row r="424">
      <c r="A424" s="6" t="n"/>
      <c r="B424" s="113">
        <f>IF($C424="","","GG"&amp;TEXT(ROW()-6,"00000"))</f>
        <v/>
      </c>
      <c r="C424" s="220" t="n"/>
      <c r="D424" s="108" t="n"/>
      <c r="E424" s="109" t="n"/>
      <c r="F424" s="109" t="n"/>
      <c r="G424" s="221" t="n"/>
      <c r="H424" s="108" t="n"/>
      <c r="I424" s="108" t="n"/>
      <c r="J424" s="109" t="n"/>
      <c r="K424" s="109" t="n"/>
      <c r="L424" s="108" t="n"/>
      <c r="M424" s="121">
        <f>IF($C424="","",IF($D424="Gider",$E424,IF($L424&lt;&gt;"",$L424,$H424)))</f>
        <v/>
      </c>
      <c r="N424" s="121">
        <f>IF($C424="","",IF($D424="Gider",$H424,$E424))</f>
        <v/>
      </c>
      <c r="O424" s="226">
        <f>IF($C424="","",DATE(YEAR($C424),MONTH($C424),1))</f>
        <v/>
      </c>
      <c r="P424" s="113">
        <f>IF($C424="","",IF(AND($D424="Gelir",$L424&lt;&gt;"",$T424=""),"TANIMSIZ BORÇLU",IF($T424&lt;&gt;"",IF(OR($E424="",$G424&lt;=0),"EKSİK",IF($I424="Evet","TAHAKKUK NAKİT OLAMAZ",IF($C424&gt;TODAY(),"İLERİ TARİH","TAHAKKUK"))),IF(AND($D424&lt;&gt;"",$E424&lt;&gt;"",$G424&gt;0,$H424&lt;&gt;"",$I424&lt;&gt;""),IF($C424&gt;TODAY(),"İLERİ TARİH",IF(COUNTIF($W$7:$W$1206,$W424)&gt;1,"MÜKERRER?",IF($AD424&gt;0,"KAPALI DÖNEM",IF($I424="Hayır","ÖDENECEK","UYGUN")))),"EKSİK"))))</f>
        <v/>
      </c>
      <c r="Q424" s="6" t="n"/>
      <c r="R424" s="6" t="n"/>
      <c r="S424" s="3">
        <f>IF($L424="","",UPPER(SUBSTITUTE(SUBSTITUTE(SUBSTITUTE(SUBSTITUTE(SUBSTITUTE(SUBSTITUTE(SUBSTITUTE(SUBSTITUTE(SUBSTITUTE(SUBSTITUTE(SUBSTITUTE(SUBSTITUTE(SUBSTITUTE(SUBSTITUTE(SUBSTITUTE(SUBSTITUTE(SUBSTITUTE(SUBSTITUTE(TRIM($L424),"'",""),"İ","I"),"ı","I"),"i","I"),"Ş","S"),"ş","S"),"Ğ","G"),"ğ","G"),"Ü","U"),"ü","U"),"Ö","O"),"ö","O"),"Ç","C"),"ç","C"),".",""),",","")," ",""),"-","")))</f>
        <v/>
      </c>
      <c r="T424" s="3">
        <f>IF(OR($C424="",$D424&lt;&gt;"Gelir",$L424=""),"",IFERROR(INDEX(MUSTERILER!$B$7:$B$106,MATCH($S424,MUSTERILER!$T$7:$T$106,0)),""))</f>
        <v/>
      </c>
      <c r="U424" s="3">
        <f>IF($T424="","",$T424&amp;"|"&amp;COUNTIFS($T$7:$T424,$T424))</f>
        <v/>
      </c>
      <c r="V424" s="3">
        <f>IF($T424="",0,1)</f>
        <v/>
      </c>
      <c r="W424" s="3">
        <f>IF($C424="","",$D424&amp;"|"&amp;$E424&amp;"|"&amp;TEXT($C424,"0")&amp;"|"&amp;TEXT($G424,"0")&amp;"|"&amp;$J424)</f>
        <v/>
      </c>
      <c r="X424" s="3" t="n"/>
      <c r="Y424" s="3" t="n"/>
      <c r="Z424" s="3" t="n"/>
      <c r="AA424" s="3" t="n"/>
      <c r="AB424" s="3" t="n"/>
      <c r="AC424" s="3" t="n"/>
      <c r="AD424" s="3">
        <f>IF($C424="",0,SUMPRODUCT((AY_SONU!$O$7:$O$42="Evet")*(AY_SONU!$B$7:$B$42=DATE(YEAR($C424),MONTH($C424),1))))</f>
        <v/>
      </c>
    </row>
    <row r="425">
      <c r="A425" s="6" t="n"/>
      <c r="B425" s="113">
        <f>IF($C425="","","GG"&amp;TEXT(ROW()-6,"00000"))</f>
        <v/>
      </c>
      <c r="C425" s="220" t="n"/>
      <c r="D425" s="108" t="n"/>
      <c r="E425" s="109" t="n"/>
      <c r="F425" s="109" t="n"/>
      <c r="G425" s="221" t="n"/>
      <c r="H425" s="108" t="n"/>
      <c r="I425" s="108" t="n"/>
      <c r="J425" s="109" t="n"/>
      <c r="K425" s="109" t="n"/>
      <c r="L425" s="108" t="n"/>
      <c r="M425" s="121">
        <f>IF($C425="","",IF($D425="Gider",$E425,IF($L425&lt;&gt;"",$L425,$H425)))</f>
        <v/>
      </c>
      <c r="N425" s="121">
        <f>IF($C425="","",IF($D425="Gider",$H425,$E425))</f>
        <v/>
      </c>
      <c r="O425" s="226">
        <f>IF($C425="","",DATE(YEAR($C425),MONTH($C425),1))</f>
        <v/>
      </c>
      <c r="P425" s="113">
        <f>IF($C425="","",IF(AND($D425="Gelir",$L425&lt;&gt;"",$T425=""),"TANIMSIZ BORÇLU",IF($T425&lt;&gt;"",IF(OR($E425="",$G425&lt;=0),"EKSİK",IF($I425="Evet","TAHAKKUK NAKİT OLAMAZ",IF($C425&gt;TODAY(),"İLERİ TARİH","TAHAKKUK"))),IF(AND($D425&lt;&gt;"",$E425&lt;&gt;"",$G425&gt;0,$H425&lt;&gt;"",$I425&lt;&gt;""),IF($C425&gt;TODAY(),"İLERİ TARİH",IF(COUNTIF($W$7:$W$1206,$W425)&gt;1,"MÜKERRER?",IF($AD425&gt;0,"KAPALI DÖNEM",IF($I425="Hayır","ÖDENECEK","UYGUN")))),"EKSİK"))))</f>
        <v/>
      </c>
      <c r="Q425" s="6" t="n"/>
      <c r="R425" s="6" t="n"/>
      <c r="S425" s="3">
        <f>IF($L425="","",UPPER(SUBSTITUTE(SUBSTITUTE(SUBSTITUTE(SUBSTITUTE(SUBSTITUTE(SUBSTITUTE(SUBSTITUTE(SUBSTITUTE(SUBSTITUTE(SUBSTITUTE(SUBSTITUTE(SUBSTITUTE(SUBSTITUTE(SUBSTITUTE(SUBSTITUTE(SUBSTITUTE(SUBSTITUTE(SUBSTITUTE(TRIM($L425),"'",""),"İ","I"),"ı","I"),"i","I"),"Ş","S"),"ş","S"),"Ğ","G"),"ğ","G"),"Ü","U"),"ü","U"),"Ö","O"),"ö","O"),"Ç","C"),"ç","C"),".",""),",","")," ",""),"-","")))</f>
        <v/>
      </c>
      <c r="T425" s="3">
        <f>IF(OR($C425="",$D425&lt;&gt;"Gelir",$L425=""),"",IFERROR(INDEX(MUSTERILER!$B$7:$B$106,MATCH($S425,MUSTERILER!$T$7:$T$106,0)),""))</f>
        <v/>
      </c>
      <c r="U425" s="3">
        <f>IF($T425="","",$T425&amp;"|"&amp;COUNTIFS($T$7:$T425,$T425))</f>
        <v/>
      </c>
      <c r="V425" s="3">
        <f>IF($T425="",0,1)</f>
        <v/>
      </c>
      <c r="W425" s="3">
        <f>IF($C425="","",$D425&amp;"|"&amp;$E425&amp;"|"&amp;TEXT($C425,"0")&amp;"|"&amp;TEXT($G425,"0")&amp;"|"&amp;$J425)</f>
        <v/>
      </c>
      <c r="X425" s="3" t="n"/>
      <c r="Y425" s="3" t="n"/>
      <c r="Z425" s="3" t="n"/>
      <c r="AA425" s="3" t="n"/>
      <c r="AB425" s="3" t="n"/>
      <c r="AC425" s="3" t="n"/>
      <c r="AD425" s="3">
        <f>IF($C425="",0,SUMPRODUCT((AY_SONU!$O$7:$O$42="Evet")*(AY_SONU!$B$7:$B$42=DATE(YEAR($C425),MONTH($C425),1))))</f>
        <v/>
      </c>
    </row>
    <row r="426">
      <c r="A426" s="6" t="n"/>
      <c r="B426" s="113">
        <f>IF($C426="","","GG"&amp;TEXT(ROW()-6,"00000"))</f>
        <v/>
      </c>
      <c r="C426" s="220" t="n"/>
      <c r="D426" s="108" t="n"/>
      <c r="E426" s="109" t="n"/>
      <c r="F426" s="109" t="n"/>
      <c r="G426" s="221" t="n"/>
      <c r="H426" s="108" t="n"/>
      <c r="I426" s="108" t="n"/>
      <c r="J426" s="109" t="n"/>
      <c r="K426" s="109" t="n"/>
      <c r="L426" s="108" t="n"/>
      <c r="M426" s="121">
        <f>IF($C426="","",IF($D426="Gider",$E426,IF($L426&lt;&gt;"",$L426,$H426)))</f>
        <v/>
      </c>
      <c r="N426" s="121">
        <f>IF($C426="","",IF($D426="Gider",$H426,$E426))</f>
        <v/>
      </c>
      <c r="O426" s="226">
        <f>IF($C426="","",DATE(YEAR($C426),MONTH($C426),1))</f>
        <v/>
      </c>
      <c r="P426" s="113">
        <f>IF($C426="","",IF(AND($D426="Gelir",$L426&lt;&gt;"",$T426=""),"TANIMSIZ BORÇLU",IF($T426&lt;&gt;"",IF(OR($E426="",$G426&lt;=0),"EKSİK",IF($I426="Evet","TAHAKKUK NAKİT OLAMAZ",IF($C426&gt;TODAY(),"İLERİ TARİH","TAHAKKUK"))),IF(AND($D426&lt;&gt;"",$E426&lt;&gt;"",$G426&gt;0,$H426&lt;&gt;"",$I426&lt;&gt;""),IF($C426&gt;TODAY(),"İLERİ TARİH",IF(COUNTIF($W$7:$W$1206,$W426)&gt;1,"MÜKERRER?",IF($AD426&gt;0,"KAPALI DÖNEM",IF($I426="Hayır","ÖDENECEK","UYGUN")))),"EKSİK"))))</f>
        <v/>
      </c>
      <c r="Q426" s="6" t="n"/>
      <c r="R426" s="6" t="n"/>
      <c r="S426" s="3">
        <f>IF($L426="","",UPPER(SUBSTITUTE(SUBSTITUTE(SUBSTITUTE(SUBSTITUTE(SUBSTITUTE(SUBSTITUTE(SUBSTITUTE(SUBSTITUTE(SUBSTITUTE(SUBSTITUTE(SUBSTITUTE(SUBSTITUTE(SUBSTITUTE(SUBSTITUTE(SUBSTITUTE(SUBSTITUTE(SUBSTITUTE(SUBSTITUTE(TRIM($L426),"'",""),"İ","I"),"ı","I"),"i","I"),"Ş","S"),"ş","S"),"Ğ","G"),"ğ","G"),"Ü","U"),"ü","U"),"Ö","O"),"ö","O"),"Ç","C"),"ç","C"),".",""),",","")," ",""),"-","")))</f>
        <v/>
      </c>
      <c r="T426" s="3">
        <f>IF(OR($C426="",$D426&lt;&gt;"Gelir",$L426=""),"",IFERROR(INDEX(MUSTERILER!$B$7:$B$106,MATCH($S426,MUSTERILER!$T$7:$T$106,0)),""))</f>
        <v/>
      </c>
      <c r="U426" s="3">
        <f>IF($T426="","",$T426&amp;"|"&amp;COUNTIFS($T$7:$T426,$T426))</f>
        <v/>
      </c>
      <c r="V426" s="3">
        <f>IF($T426="",0,1)</f>
        <v/>
      </c>
      <c r="W426" s="3">
        <f>IF($C426="","",$D426&amp;"|"&amp;$E426&amp;"|"&amp;TEXT($C426,"0")&amp;"|"&amp;TEXT($G426,"0")&amp;"|"&amp;$J426)</f>
        <v/>
      </c>
      <c r="X426" s="3" t="n"/>
      <c r="Y426" s="3" t="n"/>
      <c r="Z426" s="3" t="n"/>
      <c r="AA426" s="3" t="n"/>
      <c r="AB426" s="3" t="n"/>
      <c r="AC426" s="3" t="n"/>
      <c r="AD426" s="3">
        <f>IF($C426="",0,SUMPRODUCT((AY_SONU!$O$7:$O$42="Evet")*(AY_SONU!$B$7:$B$42=DATE(YEAR($C426),MONTH($C426),1))))</f>
        <v/>
      </c>
    </row>
    <row r="427">
      <c r="A427" s="6" t="n"/>
      <c r="B427" s="113">
        <f>IF($C427="","","GG"&amp;TEXT(ROW()-6,"00000"))</f>
        <v/>
      </c>
      <c r="C427" s="220" t="n"/>
      <c r="D427" s="108" t="n"/>
      <c r="E427" s="109" t="n"/>
      <c r="F427" s="109" t="n"/>
      <c r="G427" s="221" t="n"/>
      <c r="H427" s="108" t="n"/>
      <c r="I427" s="108" t="n"/>
      <c r="J427" s="109" t="n"/>
      <c r="K427" s="109" t="n"/>
      <c r="L427" s="108" t="n"/>
      <c r="M427" s="121">
        <f>IF($C427="","",IF($D427="Gider",$E427,IF($L427&lt;&gt;"",$L427,$H427)))</f>
        <v/>
      </c>
      <c r="N427" s="121">
        <f>IF($C427="","",IF($D427="Gider",$H427,$E427))</f>
        <v/>
      </c>
      <c r="O427" s="226">
        <f>IF($C427="","",DATE(YEAR($C427),MONTH($C427),1))</f>
        <v/>
      </c>
      <c r="P427" s="113">
        <f>IF($C427="","",IF(AND($D427="Gelir",$L427&lt;&gt;"",$T427=""),"TANIMSIZ BORÇLU",IF($T427&lt;&gt;"",IF(OR($E427="",$G427&lt;=0),"EKSİK",IF($I427="Evet","TAHAKKUK NAKİT OLAMAZ",IF($C427&gt;TODAY(),"İLERİ TARİH","TAHAKKUK"))),IF(AND($D427&lt;&gt;"",$E427&lt;&gt;"",$G427&gt;0,$H427&lt;&gt;"",$I427&lt;&gt;""),IF($C427&gt;TODAY(),"İLERİ TARİH",IF(COUNTIF($W$7:$W$1206,$W427)&gt;1,"MÜKERRER?",IF($AD427&gt;0,"KAPALI DÖNEM",IF($I427="Hayır","ÖDENECEK","UYGUN")))),"EKSİK"))))</f>
        <v/>
      </c>
      <c r="Q427" s="6" t="n"/>
      <c r="R427" s="6" t="n"/>
      <c r="S427" s="3">
        <f>IF($L427="","",UPPER(SUBSTITUTE(SUBSTITUTE(SUBSTITUTE(SUBSTITUTE(SUBSTITUTE(SUBSTITUTE(SUBSTITUTE(SUBSTITUTE(SUBSTITUTE(SUBSTITUTE(SUBSTITUTE(SUBSTITUTE(SUBSTITUTE(SUBSTITUTE(SUBSTITUTE(SUBSTITUTE(SUBSTITUTE(SUBSTITUTE(TRIM($L427),"'",""),"İ","I"),"ı","I"),"i","I"),"Ş","S"),"ş","S"),"Ğ","G"),"ğ","G"),"Ü","U"),"ü","U"),"Ö","O"),"ö","O"),"Ç","C"),"ç","C"),".",""),",","")," ",""),"-","")))</f>
        <v/>
      </c>
      <c r="T427" s="3">
        <f>IF(OR($C427="",$D427&lt;&gt;"Gelir",$L427=""),"",IFERROR(INDEX(MUSTERILER!$B$7:$B$106,MATCH($S427,MUSTERILER!$T$7:$T$106,0)),""))</f>
        <v/>
      </c>
      <c r="U427" s="3">
        <f>IF($T427="","",$T427&amp;"|"&amp;COUNTIFS($T$7:$T427,$T427))</f>
        <v/>
      </c>
      <c r="V427" s="3">
        <f>IF($T427="",0,1)</f>
        <v/>
      </c>
      <c r="W427" s="3">
        <f>IF($C427="","",$D427&amp;"|"&amp;$E427&amp;"|"&amp;TEXT($C427,"0")&amp;"|"&amp;TEXT($G427,"0")&amp;"|"&amp;$J427)</f>
        <v/>
      </c>
      <c r="X427" s="3" t="n"/>
      <c r="Y427" s="3" t="n"/>
      <c r="Z427" s="3" t="n"/>
      <c r="AA427" s="3" t="n"/>
      <c r="AB427" s="3" t="n"/>
      <c r="AC427" s="3" t="n"/>
      <c r="AD427" s="3">
        <f>IF($C427="",0,SUMPRODUCT((AY_SONU!$O$7:$O$42="Evet")*(AY_SONU!$B$7:$B$42=DATE(YEAR($C427),MONTH($C427),1))))</f>
        <v/>
      </c>
    </row>
    <row r="428">
      <c r="A428" s="6" t="n"/>
      <c r="B428" s="113">
        <f>IF($C428="","","GG"&amp;TEXT(ROW()-6,"00000"))</f>
        <v/>
      </c>
      <c r="C428" s="220" t="n"/>
      <c r="D428" s="108" t="n"/>
      <c r="E428" s="109" t="n"/>
      <c r="F428" s="109" t="n"/>
      <c r="G428" s="221" t="n"/>
      <c r="H428" s="108" t="n"/>
      <c r="I428" s="108" t="n"/>
      <c r="J428" s="109" t="n"/>
      <c r="K428" s="109" t="n"/>
      <c r="L428" s="108" t="n"/>
      <c r="M428" s="121">
        <f>IF($C428="","",IF($D428="Gider",$E428,IF($L428&lt;&gt;"",$L428,$H428)))</f>
        <v/>
      </c>
      <c r="N428" s="121">
        <f>IF($C428="","",IF($D428="Gider",$H428,$E428))</f>
        <v/>
      </c>
      <c r="O428" s="226">
        <f>IF($C428="","",DATE(YEAR($C428),MONTH($C428),1))</f>
        <v/>
      </c>
      <c r="P428" s="113">
        <f>IF($C428="","",IF(AND($D428="Gelir",$L428&lt;&gt;"",$T428=""),"TANIMSIZ BORÇLU",IF($T428&lt;&gt;"",IF(OR($E428="",$G428&lt;=0),"EKSİK",IF($I428="Evet","TAHAKKUK NAKİT OLAMAZ",IF($C428&gt;TODAY(),"İLERİ TARİH","TAHAKKUK"))),IF(AND($D428&lt;&gt;"",$E428&lt;&gt;"",$G428&gt;0,$H428&lt;&gt;"",$I428&lt;&gt;""),IF($C428&gt;TODAY(),"İLERİ TARİH",IF(COUNTIF($W$7:$W$1206,$W428)&gt;1,"MÜKERRER?",IF($AD428&gt;0,"KAPALI DÖNEM",IF($I428="Hayır","ÖDENECEK","UYGUN")))),"EKSİK"))))</f>
        <v/>
      </c>
      <c r="Q428" s="6" t="n"/>
      <c r="R428" s="6" t="n"/>
      <c r="S428" s="3">
        <f>IF($L428="","",UPPER(SUBSTITUTE(SUBSTITUTE(SUBSTITUTE(SUBSTITUTE(SUBSTITUTE(SUBSTITUTE(SUBSTITUTE(SUBSTITUTE(SUBSTITUTE(SUBSTITUTE(SUBSTITUTE(SUBSTITUTE(SUBSTITUTE(SUBSTITUTE(SUBSTITUTE(SUBSTITUTE(SUBSTITUTE(SUBSTITUTE(TRIM($L428),"'",""),"İ","I"),"ı","I"),"i","I"),"Ş","S"),"ş","S"),"Ğ","G"),"ğ","G"),"Ü","U"),"ü","U"),"Ö","O"),"ö","O"),"Ç","C"),"ç","C"),".",""),",","")," ",""),"-","")))</f>
        <v/>
      </c>
      <c r="T428" s="3">
        <f>IF(OR($C428="",$D428&lt;&gt;"Gelir",$L428=""),"",IFERROR(INDEX(MUSTERILER!$B$7:$B$106,MATCH($S428,MUSTERILER!$T$7:$T$106,0)),""))</f>
        <v/>
      </c>
      <c r="U428" s="3">
        <f>IF($T428="","",$T428&amp;"|"&amp;COUNTIFS($T$7:$T428,$T428))</f>
        <v/>
      </c>
      <c r="V428" s="3">
        <f>IF($T428="",0,1)</f>
        <v/>
      </c>
      <c r="W428" s="3">
        <f>IF($C428="","",$D428&amp;"|"&amp;$E428&amp;"|"&amp;TEXT($C428,"0")&amp;"|"&amp;TEXT($G428,"0")&amp;"|"&amp;$J428)</f>
        <v/>
      </c>
      <c r="X428" s="3" t="n"/>
      <c r="Y428" s="3" t="n"/>
      <c r="Z428" s="3" t="n"/>
      <c r="AA428" s="3" t="n"/>
      <c r="AB428" s="3" t="n"/>
      <c r="AC428" s="3" t="n"/>
      <c r="AD428" s="3">
        <f>IF($C428="",0,SUMPRODUCT((AY_SONU!$O$7:$O$42="Evet")*(AY_SONU!$B$7:$B$42=DATE(YEAR($C428),MONTH($C428),1))))</f>
        <v/>
      </c>
    </row>
    <row r="429">
      <c r="A429" s="6" t="n"/>
      <c r="B429" s="113">
        <f>IF($C429="","","GG"&amp;TEXT(ROW()-6,"00000"))</f>
        <v/>
      </c>
      <c r="C429" s="220" t="n"/>
      <c r="D429" s="108" t="n"/>
      <c r="E429" s="109" t="n"/>
      <c r="F429" s="109" t="n"/>
      <c r="G429" s="221" t="n"/>
      <c r="H429" s="108" t="n"/>
      <c r="I429" s="108" t="n"/>
      <c r="J429" s="109" t="n"/>
      <c r="K429" s="109" t="n"/>
      <c r="L429" s="108" t="n"/>
      <c r="M429" s="121">
        <f>IF($C429="","",IF($D429="Gider",$E429,IF($L429&lt;&gt;"",$L429,$H429)))</f>
        <v/>
      </c>
      <c r="N429" s="121">
        <f>IF($C429="","",IF($D429="Gider",$H429,$E429))</f>
        <v/>
      </c>
      <c r="O429" s="226">
        <f>IF($C429="","",DATE(YEAR($C429),MONTH($C429),1))</f>
        <v/>
      </c>
      <c r="P429" s="113">
        <f>IF($C429="","",IF(AND($D429="Gelir",$L429&lt;&gt;"",$T429=""),"TANIMSIZ BORÇLU",IF($T429&lt;&gt;"",IF(OR($E429="",$G429&lt;=0),"EKSİK",IF($I429="Evet","TAHAKKUK NAKİT OLAMAZ",IF($C429&gt;TODAY(),"İLERİ TARİH","TAHAKKUK"))),IF(AND($D429&lt;&gt;"",$E429&lt;&gt;"",$G429&gt;0,$H429&lt;&gt;"",$I429&lt;&gt;""),IF($C429&gt;TODAY(),"İLERİ TARİH",IF(COUNTIF($W$7:$W$1206,$W429)&gt;1,"MÜKERRER?",IF($AD429&gt;0,"KAPALI DÖNEM",IF($I429="Hayır","ÖDENECEK","UYGUN")))),"EKSİK"))))</f>
        <v/>
      </c>
      <c r="Q429" s="6" t="n"/>
      <c r="R429" s="6" t="n"/>
      <c r="S429" s="3">
        <f>IF($L429="","",UPPER(SUBSTITUTE(SUBSTITUTE(SUBSTITUTE(SUBSTITUTE(SUBSTITUTE(SUBSTITUTE(SUBSTITUTE(SUBSTITUTE(SUBSTITUTE(SUBSTITUTE(SUBSTITUTE(SUBSTITUTE(SUBSTITUTE(SUBSTITUTE(SUBSTITUTE(SUBSTITUTE(SUBSTITUTE(SUBSTITUTE(TRIM($L429),"'",""),"İ","I"),"ı","I"),"i","I"),"Ş","S"),"ş","S"),"Ğ","G"),"ğ","G"),"Ü","U"),"ü","U"),"Ö","O"),"ö","O"),"Ç","C"),"ç","C"),".",""),",","")," ",""),"-","")))</f>
        <v/>
      </c>
      <c r="T429" s="3">
        <f>IF(OR($C429="",$D429&lt;&gt;"Gelir",$L429=""),"",IFERROR(INDEX(MUSTERILER!$B$7:$B$106,MATCH($S429,MUSTERILER!$T$7:$T$106,0)),""))</f>
        <v/>
      </c>
      <c r="U429" s="3">
        <f>IF($T429="","",$T429&amp;"|"&amp;COUNTIFS($T$7:$T429,$T429))</f>
        <v/>
      </c>
      <c r="V429" s="3">
        <f>IF($T429="",0,1)</f>
        <v/>
      </c>
      <c r="W429" s="3">
        <f>IF($C429="","",$D429&amp;"|"&amp;$E429&amp;"|"&amp;TEXT($C429,"0")&amp;"|"&amp;TEXT($G429,"0")&amp;"|"&amp;$J429)</f>
        <v/>
      </c>
      <c r="X429" s="3" t="n"/>
      <c r="Y429" s="3" t="n"/>
      <c r="Z429" s="3" t="n"/>
      <c r="AA429" s="3" t="n"/>
      <c r="AB429" s="3" t="n"/>
      <c r="AC429" s="3" t="n"/>
      <c r="AD429" s="3">
        <f>IF($C429="",0,SUMPRODUCT((AY_SONU!$O$7:$O$42="Evet")*(AY_SONU!$B$7:$B$42=DATE(YEAR($C429),MONTH($C429),1))))</f>
        <v/>
      </c>
    </row>
    <row r="430">
      <c r="A430" s="6" t="n"/>
      <c r="B430" s="113">
        <f>IF($C430="","","GG"&amp;TEXT(ROW()-6,"00000"))</f>
        <v/>
      </c>
      <c r="C430" s="220" t="n"/>
      <c r="D430" s="108" t="n"/>
      <c r="E430" s="109" t="n"/>
      <c r="F430" s="109" t="n"/>
      <c r="G430" s="221" t="n"/>
      <c r="H430" s="108" t="n"/>
      <c r="I430" s="108" t="n"/>
      <c r="J430" s="109" t="n"/>
      <c r="K430" s="109" t="n"/>
      <c r="L430" s="108" t="n"/>
      <c r="M430" s="121">
        <f>IF($C430="","",IF($D430="Gider",$E430,IF($L430&lt;&gt;"",$L430,$H430)))</f>
        <v/>
      </c>
      <c r="N430" s="121">
        <f>IF($C430="","",IF($D430="Gider",$H430,$E430))</f>
        <v/>
      </c>
      <c r="O430" s="226">
        <f>IF($C430="","",DATE(YEAR($C430),MONTH($C430),1))</f>
        <v/>
      </c>
      <c r="P430" s="113">
        <f>IF($C430="","",IF(AND($D430="Gelir",$L430&lt;&gt;"",$T430=""),"TANIMSIZ BORÇLU",IF($T430&lt;&gt;"",IF(OR($E430="",$G430&lt;=0),"EKSİK",IF($I430="Evet","TAHAKKUK NAKİT OLAMAZ",IF($C430&gt;TODAY(),"İLERİ TARİH","TAHAKKUK"))),IF(AND($D430&lt;&gt;"",$E430&lt;&gt;"",$G430&gt;0,$H430&lt;&gt;"",$I430&lt;&gt;""),IF($C430&gt;TODAY(),"İLERİ TARİH",IF(COUNTIF($W$7:$W$1206,$W430)&gt;1,"MÜKERRER?",IF($AD430&gt;0,"KAPALI DÖNEM",IF($I430="Hayır","ÖDENECEK","UYGUN")))),"EKSİK"))))</f>
        <v/>
      </c>
      <c r="Q430" s="6" t="n"/>
      <c r="R430" s="6" t="n"/>
      <c r="S430" s="3">
        <f>IF($L430="","",UPPER(SUBSTITUTE(SUBSTITUTE(SUBSTITUTE(SUBSTITUTE(SUBSTITUTE(SUBSTITUTE(SUBSTITUTE(SUBSTITUTE(SUBSTITUTE(SUBSTITUTE(SUBSTITUTE(SUBSTITUTE(SUBSTITUTE(SUBSTITUTE(SUBSTITUTE(SUBSTITUTE(SUBSTITUTE(SUBSTITUTE(TRIM($L430),"'",""),"İ","I"),"ı","I"),"i","I"),"Ş","S"),"ş","S"),"Ğ","G"),"ğ","G"),"Ü","U"),"ü","U"),"Ö","O"),"ö","O"),"Ç","C"),"ç","C"),".",""),",","")," ",""),"-","")))</f>
        <v/>
      </c>
      <c r="T430" s="3">
        <f>IF(OR($C430="",$D430&lt;&gt;"Gelir",$L430=""),"",IFERROR(INDEX(MUSTERILER!$B$7:$B$106,MATCH($S430,MUSTERILER!$T$7:$T$106,0)),""))</f>
        <v/>
      </c>
      <c r="U430" s="3">
        <f>IF($T430="","",$T430&amp;"|"&amp;COUNTIFS($T$7:$T430,$T430))</f>
        <v/>
      </c>
      <c r="V430" s="3">
        <f>IF($T430="",0,1)</f>
        <v/>
      </c>
      <c r="W430" s="3">
        <f>IF($C430="","",$D430&amp;"|"&amp;$E430&amp;"|"&amp;TEXT($C430,"0")&amp;"|"&amp;TEXT($G430,"0")&amp;"|"&amp;$J430)</f>
        <v/>
      </c>
      <c r="X430" s="3" t="n"/>
      <c r="Y430" s="3" t="n"/>
      <c r="Z430" s="3" t="n"/>
      <c r="AA430" s="3" t="n"/>
      <c r="AB430" s="3" t="n"/>
      <c r="AC430" s="3" t="n"/>
      <c r="AD430" s="3">
        <f>IF($C430="",0,SUMPRODUCT((AY_SONU!$O$7:$O$42="Evet")*(AY_SONU!$B$7:$B$42=DATE(YEAR($C430),MONTH($C430),1))))</f>
        <v/>
      </c>
    </row>
    <row r="431">
      <c r="A431" s="6" t="n"/>
      <c r="B431" s="113">
        <f>IF($C431="","","GG"&amp;TEXT(ROW()-6,"00000"))</f>
        <v/>
      </c>
      <c r="C431" s="220" t="n"/>
      <c r="D431" s="108" t="n"/>
      <c r="E431" s="109" t="n"/>
      <c r="F431" s="109" t="n"/>
      <c r="G431" s="221" t="n"/>
      <c r="H431" s="108" t="n"/>
      <c r="I431" s="108" t="n"/>
      <c r="J431" s="109" t="n"/>
      <c r="K431" s="109" t="n"/>
      <c r="L431" s="108" t="n"/>
      <c r="M431" s="121">
        <f>IF($C431="","",IF($D431="Gider",$E431,IF($L431&lt;&gt;"",$L431,$H431)))</f>
        <v/>
      </c>
      <c r="N431" s="121">
        <f>IF($C431="","",IF($D431="Gider",$H431,$E431))</f>
        <v/>
      </c>
      <c r="O431" s="226">
        <f>IF($C431="","",DATE(YEAR($C431),MONTH($C431),1))</f>
        <v/>
      </c>
      <c r="P431" s="113">
        <f>IF($C431="","",IF(AND($D431="Gelir",$L431&lt;&gt;"",$T431=""),"TANIMSIZ BORÇLU",IF($T431&lt;&gt;"",IF(OR($E431="",$G431&lt;=0),"EKSİK",IF($I431="Evet","TAHAKKUK NAKİT OLAMAZ",IF($C431&gt;TODAY(),"İLERİ TARİH","TAHAKKUK"))),IF(AND($D431&lt;&gt;"",$E431&lt;&gt;"",$G431&gt;0,$H431&lt;&gt;"",$I431&lt;&gt;""),IF($C431&gt;TODAY(),"İLERİ TARİH",IF(COUNTIF($W$7:$W$1206,$W431)&gt;1,"MÜKERRER?",IF($AD431&gt;0,"KAPALI DÖNEM",IF($I431="Hayır","ÖDENECEK","UYGUN")))),"EKSİK"))))</f>
        <v/>
      </c>
      <c r="Q431" s="6" t="n"/>
      <c r="R431" s="6" t="n"/>
      <c r="S431" s="3">
        <f>IF($L431="","",UPPER(SUBSTITUTE(SUBSTITUTE(SUBSTITUTE(SUBSTITUTE(SUBSTITUTE(SUBSTITUTE(SUBSTITUTE(SUBSTITUTE(SUBSTITUTE(SUBSTITUTE(SUBSTITUTE(SUBSTITUTE(SUBSTITUTE(SUBSTITUTE(SUBSTITUTE(SUBSTITUTE(SUBSTITUTE(SUBSTITUTE(TRIM($L431),"'",""),"İ","I"),"ı","I"),"i","I"),"Ş","S"),"ş","S"),"Ğ","G"),"ğ","G"),"Ü","U"),"ü","U"),"Ö","O"),"ö","O"),"Ç","C"),"ç","C"),".",""),",","")," ",""),"-","")))</f>
        <v/>
      </c>
      <c r="T431" s="3">
        <f>IF(OR($C431="",$D431&lt;&gt;"Gelir",$L431=""),"",IFERROR(INDEX(MUSTERILER!$B$7:$B$106,MATCH($S431,MUSTERILER!$T$7:$T$106,0)),""))</f>
        <v/>
      </c>
      <c r="U431" s="3">
        <f>IF($T431="","",$T431&amp;"|"&amp;COUNTIFS($T$7:$T431,$T431))</f>
        <v/>
      </c>
      <c r="V431" s="3">
        <f>IF($T431="",0,1)</f>
        <v/>
      </c>
      <c r="W431" s="3">
        <f>IF($C431="","",$D431&amp;"|"&amp;$E431&amp;"|"&amp;TEXT($C431,"0")&amp;"|"&amp;TEXT($G431,"0")&amp;"|"&amp;$J431)</f>
        <v/>
      </c>
      <c r="X431" s="3" t="n"/>
      <c r="Y431" s="3" t="n"/>
      <c r="Z431" s="3" t="n"/>
      <c r="AA431" s="3" t="n"/>
      <c r="AB431" s="3" t="n"/>
      <c r="AC431" s="3" t="n"/>
      <c r="AD431" s="3">
        <f>IF($C431="",0,SUMPRODUCT((AY_SONU!$O$7:$O$42="Evet")*(AY_SONU!$B$7:$B$42=DATE(YEAR($C431),MONTH($C431),1))))</f>
        <v/>
      </c>
    </row>
    <row r="432">
      <c r="A432" s="6" t="n"/>
      <c r="B432" s="113">
        <f>IF($C432="","","GG"&amp;TEXT(ROW()-6,"00000"))</f>
        <v/>
      </c>
      <c r="C432" s="220" t="n"/>
      <c r="D432" s="108" t="n"/>
      <c r="E432" s="109" t="n"/>
      <c r="F432" s="109" t="n"/>
      <c r="G432" s="221" t="n"/>
      <c r="H432" s="108" t="n"/>
      <c r="I432" s="108" t="n"/>
      <c r="J432" s="109" t="n"/>
      <c r="K432" s="109" t="n"/>
      <c r="L432" s="108" t="n"/>
      <c r="M432" s="121">
        <f>IF($C432="","",IF($D432="Gider",$E432,IF($L432&lt;&gt;"",$L432,$H432)))</f>
        <v/>
      </c>
      <c r="N432" s="121">
        <f>IF($C432="","",IF($D432="Gider",$H432,$E432))</f>
        <v/>
      </c>
      <c r="O432" s="226">
        <f>IF($C432="","",DATE(YEAR($C432),MONTH($C432),1))</f>
        <v/>
      </c>
      <c r="P432" s="113">
        <f>IF($C432="","",IF(AND($D432="Gelir",$L432&lt;&gt;"",$T432=""),"TANIMSIZ BORÇLU",IF($T432&lt;&gt;"",IF(OR($E432="",$G432&lt;=0),"EKSİK",IF($I432="Evet","TAHAKKUK NAKİT OLAMAZ",IF($C432&gt;TODAY(),"İLERİ TARİH","TAHAKKUK"))),IF(AND($D432&lt;&gt;"",$E432&lt;&gt;"",$G432&gt;0,$H432&lt;&gt;"",$I432&lt;&gt;""),IF($C432&gt;TODAY(),"İLERİ TARİH",IF(COUNTIF($W$7:$W$1206,$W432)&gt;1,"MÜKERRER?",IF($AD432&gt;0,"KAPALI DÖNEM",IF($I432="Hayır","ÖDENECEK","UYGUN")))),"EKSİK"))))</f>
        <v/>
      </c>
      <c r="Q432" s="6" t="n"/>
      <c r="R432" s="6" t="n"/>
      <c r="S432" s="3">
        <f>IF($L432="","",UPPER(SUBSTITUTE(SUBSTITUTE(SUBSTITUTE(SUBSTITUTE(SUBSTITUTE(SUBSTITUTE(SUBSTITUTE(SUBSTITUTE(SUBSTITUTE(SUBSTITUTE(SUBSTITUTE(SUBSTITUTE(SUBSTITUTE(SUBSTITUTE(SUBSTITUTE(SUBSTITUTE(SUBSTITUTE(SUBSTITUTE(TRIM($L432),"'",""),"İ","I"),"ı","I"),"i","I"),"Ş","S"),"ş","S"),"Ğ","G"),"ğ","G"),"Ü","U"),"ü","U"),"Ö","O"),"ö","O"),"Ç","C"),"ç","C"),".",""),",","")," ",""),"-","")))</f>
        <v/>
      </c>
      <c r="T432" s="3">
        <f>IF(OR($C432="",$D432&lt;&gt;"Gelir",$L432=""),"",IFERROR(INDEX(MUSTERILER!$B$7:$B$106,MATCH($S432,MUSTERILER!$T$7:$T$106,0)),""))</f>
        <v/>
      </c>
      <c r="U432" s="3">
        <f>IF($T432="","",$T432&amp;"|"&amp;COUNTIFS($T$7:$T432,$T432))</f>
        <v/>
      </c>
      <c r="V432" s="3">
        <f>IF($T432="",0,1)</f>
        <v/>
      </c>
      <c r="W432" s="3">
        <f>IF($C432="","",$D432&amp;"|"&amp;$E432&amp;"|"&amp;TEXT($C432,"0")&amp;"|"&amp;TEXT($G432,"0")&amp;"|"&amp;$J432)</f>
        <v/>
      </c>
      <c r="X432" s="3" t="n"/>
      <c r="Y432" s="3" t="n"/>
      <c r="Z432" s="3" t="n"/>
      <c r="AA432" s="3" t="n"/>
      <c r="AB432" s="3" t="n"/>
      <c r="AC432" s="3" t="n"/>
      <c r="AD432" s="3">
        <f>IF($C432="",0,SUMPRODUCT((AY_SONU!$O$7:$O$42="Evet")*(AY_SONU!$B$7:$B$42=DATE(YEAR($C432),MONTH($C432),1))))</f>
        <v/>
      </c>
    </row>
    <row r="433">
      <c r="A433" s="6" t="n"/>
      <c r="B433" s="113">
        <f>IF($C433="","","GG"&amp;TEXT(ROW()-6,"00000"))</f>
        <v/>
      </c>
      <c r="C433" s="220" t="n"/>
      <c r="D433" s="108" t="n"/>
      <c r="E433" s="109" t="n"/>
      <c r="F433" s="109" t="n"/>
      <c r="G433" s="221" t="n"/>
      <c r="H433" s="108" t="n"/>
      <c r="I433" s="108" t="n"/>
      <c r="J433" s="109" t="n"/>
      <c r="K433" s="109" t="n"/>
      <c r="L433" s="108" t="n"/>
      <c r="M433" s="121">
        <f>IF($C433="","",IF($D433="Gider",$E433,IF($L433&lt;&gt;"",$L433,$H433)))</f>
        <v/>
      </c>
      <c r="N433" s="121">
        <f>IF($C433="","",IF($D433="Gider",$H433,$E433))</f>
        <v/>
      </c>
      <c r="O433" s="226">
        <f>IF($C433="","",DATE(YEAR($C433),MONTH($C433),1))</f>
        <v/>
      </c>
      <c r="P433" s="113">
        <f>IF($C433="","",IF(AND($D433="Gelir",$L433&lt;&gt;"",$T433=""),"TANIMSIZ BORÇLU",IF($T433&lt;&gt;"",IF(OR($E433="",$G433&lt;=0),"EKSİK",IF($I433="Evet","TAHAKKUK NAKİT OLAMAZ",IF($C433&gt;TODAY(),"İLERİ TARİH","TAHAKKUK"))),IF(AND($D433&lt;&gt;"",$E433&lt;&gt;"",$G433&gt;0,$H433&lt;&gt;"",$I433&lt;&gt;""),IF($C433&gt;TODAY(),"İLERİ TARİH",IF(COUNTIF($W$7:$W$1206,$W433)&gt;1,"MÜKERRER?",IF($AD433&gt;0,"KAPALI DÖNEM",IF($I433="Hayır","ÖDENECEK","UYGUN")))),"EKSİK"))))</f>
        <v/>
      </c>
      <c r="Q433" s="6" t="n"/>
      <c r="R433" s="6" t="n"/>
      <c r="S433" s="3">
        <f>IF($L433="","",UPPER(SUBSTITUTE(SUBSTITUTE(SUBSTITUTE(SUBSTITUTE(SUBSTITUTE(SUBSTITUTE(SUBSTITUTE(SUBSTITUTE(SUBSTITUTE(SUBSTITUTE(SUBSTITUTE(SUBSTITUTE(SUBSTITUTE(SUBSTITUTE(SUBSTITUTE(SUBSTITUTE(SUBSTITUTE(SUBSTITUTE(TRIM($L433),"'",""),"İ","I"),"ı","I"),"i","I"),"Ş","S"),"ş","S"),"Ğ","G"),"ğ","G"),"Ü","U"),"ü","U"),"Ö","O"),"ö","O"),"Ç","C"),"ç","C"),".",""),",","")," ",""),"-","")))</f>
        <v/>
      </c>
      <c r="T433" s="3">
        <f>IF(OR($C433="",$D433&lt;&gt;"Gelir",$L433=""),"",IFERROR(INDEX(MUSTERILER!$B$7:$B$106,MATCH($S433,MUSTERILER!$T$7:$T$106,0)),""))</f>
        <v/>
      </c>
      <c r="U433" s="3">
        <f>IF($T433="","",$T433&amp;"|"&amp;COUNTIFS($T$7:$T433,$T433))</f>
        <v/>
      </c>
      <c r="V433" s="3">
        <f>IF($T433="",0,1)</f>
        <v/>
      </c>
      <c r="W433" s="3">
        <f>IF($C433="","",$D433&amp;"|"&amp;$E433&amp;"|"&amp;TEXT($C433,"0")&amp;"|"&amp;TEXT($G433,"0")&amp;"|"&amp;$J433)</f>
        <v/>
      </c>
      <c r="X433" s="3" t="n"/>
      <c r="Y433" s="3" t="n"/>
      <c r="Z433" s="3" t="n"/>
      <c r="AA433" s="3" t="n"/>
      <c r="AB433" s="3" t="n"/>
      <c r="AC433" s="3" t="n"/>
      <c r="AD433" s="3">
        <f>IF($C433="",0,SUMPRODUCT((AY_SONU!$O$7:$O$42="Evet")*(AY_SONU!$B$7:$B$42=DATE(YEAR($C433),MONTH($C433),1))))</f>
        <v/>
      </c>
    </row>
    <row r="434">
      <c r="A434" s="6" t="n"/>
      <c r="B434" s="113">
        <f>IF($C434="","","GG"&amp;TEXT(ROW()-6,"00000"))</f>
        <v/>
      </c>
      <c r="C434" s="220" t="n"/>
      <c r="D434" s="108" t="n"/>
      <c r="E434" s="109" t="n"/>
      <c r="F434" s="109" t="n"/>
      <c r="G434" s="221" t="n"/>
      <c r="H434" s="108" t="n"/>
      <c r="I434" s="108" t="n"/>
      <c r="J434" s="109" t="n"/>
      <c r="K434" s="109" t="n"/>
      <c r="L434" s="108" t="n"/>
      <c r="M434" s="121">
        <f>IF($C434="","",IF($D434="Gider",$E434,IF($L434&lt;&gt;"",$L434,$H434)))</f>
        <v/>
      </c>
      <c r="N434" s="121">
        <f>IF($C434="","",IF($D434="Gider",$H434,$E434))</f>
        <v/>
      </c>
      <c r="O434" s="226">
        <f>IF($C434="","",DATE(YEAR($C434),MONTH($C434),1))</f>
        <v/>
      </c>
      <c r="P434" s="113">
        <f>IF($C434="","",IF(AND($D434="Gelir",$L434&lt;&gt;"",$T434=""),"TANIMSIZ BORÇLU",IF($T434&lt;&gt;"",IF(OR($E434="",$G434&lt;=0),"EKSİK",IF($I434="Evet","TAHAKKUK NAKİT OLAMAZ",IF($C434&gt;TODAY(),"İLERİ TARİH","TAHAKKUK"))),IF(AND($D434&lt;&gt;"",$E434&lt;&gt;"",$G434&gt;0,$H434&lt;&gt;"",$I434&lt;&gt;""),IF($C434&gt;TODAY(),"İLERİ TARİH",IF(COUNTIF($W$7:$W$1206,$W434)&gt;1,"MÜKERRER?",IF($AD434&gt;0,"KAPALI DÖNEM",IF($I434="Hayır","ÖDENECEK","UYGUN")))),"EKSİK"))))</f>
        <v/>
      </c>
      <c r="Q434" s="6" t="n"/>
      <c r="R434" s="6" t="n"/>
      <c r="S434" s="3">
        <f>IF($L434="","",UPPER(SUBSTITUTE(SUBSTITUTE(SUBSTITUTE(SUBSTITUTE(SUBSTITUTE(SUBSTITUTE(SUBSTITUTE(SUBSTITUTE(SUBSTITUTE(SUBSTITUTE(SUBSTITUTE(SUBSTITUTE(SUBSTITUTE(SUBSTITUTE(SUBSTITUTE(SUBSTITUTE(SUBSTITUTE(SUBSTITUTE(TRIM($L434),"'",""),"İ","I"),"ı","I"),"i","I"),"Ş","S"),"ş","S"),"Ğ","G"),"ğ","G"),"Ü","U"),"ü","U"),"Ö","O"),"ö","O"),"Ç","C"),"ç","C"),".",""),",","")," ",""),"-","")))</f>
        <v/>
      </c>
      <c r="T434" s="3">
        <f>IF(OR($C434="",$D434&lt;&gt;"Gelir",$L434=""),"",IFERROR(INDEX(MUSTERILER!$B$7:$B$106,MATCH($S434,MUSTERILER!$T$7:$T$106,0)),""))</f>
        <v/>
      </c>
      <c r="U434" s="3">
        <f>IF($T434="","",$T434&amp;"|"&amp;COUNTIFS($T$7:$T434,$T434))</f>
        <v/>
      </c>
      <c r="V434" s="3">
        <f>IF($T434="",0,1)</f>
        <v/>
      </c>
      <c r="W434" s="3">
        <f>IF($C434="","",$D434&amp;"|"&amp;$E434&amp;"|"&amp;TEXT($C434,"0")&amp;"|"&amp;TEXT($G434,"0")&amp;"|"&amp;$J434)</f>
        <v/>
      </c>
      <c r="X434" s="3" t="n"/>
      <c r="Y434" s="3" t="n"/>
      <c r="Z434" s="3" t="n"/>
      <c r="AA434" s="3" t="n"/>
      <c r="AB434" s="3" t="n"/>
      <c r="AC434" s="3" t="n"/>
      <c r="AD434" s="3">
        <f>IF($C434="",0,SUMPRODUCT((AY_SONU!$O$7:$O$42="Evet")*(AY_SONU!$B$7:$B$42=DATE(YEAR($C434),MONTH($C434),1))))</f>
        <v/>
      </c>
    </row>
    <row r="435">
      <c r="A435" s="6" t="n"/>
      <c r="B435" s="113">
        <f>IF($C435="","","GG"&amp;TEXT(ROW()-6,"00000"))</f>
        <v/>
      </c>
      <c r="C435" s="220" t="n"/>
      <c r="D435" s="108" t="n"/>
      <c r="E435" s="109" t="n"/>
      <c r="F435" s="109" t="n"/>
      <c r="G435" s="221" t="n"/>
      <c r="H435" s="108" t="n"/>
      <c r="I435" s="108" t="n"/>
      <c r="J435" s="109" t="n"/>
      <c r="K435" s="109" t="n"/>
      <c r="L435" s="108" t="n"/>
      <c r="M435" s="121">
        <f>IF($C435="","",IF($D435="Gider",$E435,IF($L435&lt;&gt;"",$L435,$H435)))</f>
        <v/>
      </c>
      <c r="N435" s="121">
        <f>IF($C435="","",IF($D435="Gider",$H435,$E435))</f>
        <v/>
      </c>
      <c r="O435" s="226">
        <f>IF($C435="","",DATE(YEAR($C435),MONTH($C435),1))</f>
        <v/>
      </c>
      <c r="P435" s="113">
        <f>IF($C435="","",IF(AND($D435="Gelir",$L435&lt;&gt;"",$T435=""),"TANIMSIZ BORÇLU",IF($T435&lt;&gt;"",IF(OR($E435="",$G435&lt;=0),"EKSİK",IF($I435="Evet","TAHAKKUK NAKİT OLAMAZ",IF($C435&gt;TODAY(),"İLERİ TARİH","TAHAKKUK"))),IF(AND($D435&lt;&gt;"",$E435&lt;&gt;"",$G435&gt;0,$H435&lt;&gt;"",$I435&lt;&gt;""),IF($C435&gt;TODAY(),"İLERİ TARİH",IF(COUNTIF($W$7:$W$1206,$W435)&gt;1,"MÜKERRER?",IF($AD435&gt;0,"KAPALI DÖNEM",IF($I435="Hayır","ÖDENECEK","UYGUN")))),"EKSİK"))))</f>
        <v/>
      </c>
      <c r="Q435" s="6" t="n"/>
      <c r="R435" s="6" t="n"/>
      <c r="S435" s="3">
        <f>IF($L435="","",UPPER(SUBSTITUTE(SUBSTITUTE(SUBSTITUTE(SUBSTITUTE(SUBSTITUTE(SUBSTITUTE(SUBSTITUTE(SUBSTITUTE(SUBSTITUTE(SUBSTITUTE(SUBSTITUTE(SUBSTITUTE(SUBSTITUTE(SUBSTITUTE(SUBSTITUTE(SUBSTITUTE(SUBSTITUTE(SUBSTITUTE(TRIM($L435),"'",""),"İ","I"),"ı","I"),"i","I"),"Ş","S"),"ş","S"),"Ğ","G"),"ğ","G"),"Ü","U"),"ü","U"),"Ö","O"),"ö","O"),"Ç","C"),"ç","C"),".",""),",","")," ",""),"-","")))</f>
        <v/>
      </c>
      <c r="T435" s="3">
        <f>IF(OR($C435="",$D435&lt;&gt;"Gelir",$L435=""),"",IFERROR(INDEX(MUSTERILER!$B$7:$B$106,MATCH($S435,MUSTERILER!$T$7:$T$106,0)),""))</f>
        <v/>
      </c>
      <c r="U435" s="3">
        <f>IF($T435="","",$T435&amp;"|"&amp;COUNTIFS($T$7:$T435,$T435))</f>
        <v/>
      </c>
      <c r="V435" s="3">
        <f>IF($T435="",0,1)</f>
        <v/>
      </c>
      <c r="W435" s="3">
        <f>IF($C435="","",$D435&amp;"|"&amp;$E435&amp;"|"&amp;TEXT($C435,"0")&amp;"|"&amp;TEXT($G435,"0")&amp;"|"&amp;$J435)</f>
        <v/>
      </c>
      <c r="X435" s="3" t="n"/>
      <c r="Y435" s="3" t="n"/>
      <c r="Z435" s="3" t="n"/>
      <c r="AA435" s="3" t="n"/>
      <c r="AB435" s="3" t="n"/>
      <c r="AC435" s="3" t="n"/>
      <c r="AD435" s="3">
        <f>IF($C435="",0,SUMPRODUCT((AY_SONU!$O$7:$O$42="Evet")*(AY_SONU!$B$7:$B$42=DATE(YEAR($C435),MONTH($C435),1))))</f>
        <v/>
      </c>
    </row>
    <row r="436">
      <c r="A436" s="6" t="n"/>
      <c r="B436" s="113">
        <f>IF($C436="","","GG"&amp;TEXT(ROW()-6,"00000"))</f>
        <v/>
      </c>
      <c r="C436" s="220" t="n"/>
      <c r="D436" s="108" t="n"/>
      <c r="E436" s="109" t="n"/>
      <c r="F436" s="109" t="n"/>
      <c r="G436" s="221" t="n"/>
      <c r="H436" s="108" t="n"/>
      <c r="I436" s="108" t="n"/>
      <c r="J436" s="109" t="n"/>
      <c r="K436" s="109" t="n"/>
      <c r="L436" s="108" t="n"/>
      <c r="M436" s="121">
        <f>IF($C436="","",IF($D436="Gider",$E436,IF($L436&lt;&gt;"",$L436,$H436)))</f>
        <v/>
      </c>
      <c r="N436" s="121">
        <f>IF($C436="","",IF($D436="Gider",$H436,$E436))</f>
        <v/>
      </c>
      <c r="O436" s="226">
        <f>IF($C436="","",DATE(YEAR($C436),MONTH($C436),1))</f>
        <v/>
      </c>
      <c r="P436" s="113">
        <f>IF($C436="","",IF(AND($D436="Gelir",$L436&lt;&gt;"",$T436=""),"TANIMSIZ BORÇLU",IF($T436&lt;&gt;"",IF(OR($E436="",$G436&lt;=0),"EKSİK",IF($I436="Evet","TAHAKKUK NAKİT OLAMAZ",IF($C436&gt;TODAY(),"İLERİ TARİH","TAHAKKUK"))),IF(AND($D436&lt;&gt;"",$E436&lt;&gt;"",$G436&gt;0,$H436&lt;&gt;"",$I436&lt;&gt;""),IF($C436&gt;TODAY(),"İLERİ TARİH",IF(COUNTIF($W$7:$W$1206,$W436)&gt;1,"MÜKERRER?",IF($AD436&gt;0,"KAPALI DÖNEM",IF($I436="Hayır","ÖDENECEK","UYGUN")))),"EKSİK"))))</f>
        <v/>
      </c>
      <c r="Q436" s="6" t="n"/>
      <c r="R436" s="6" t="n"/>
      <c r="S436" s="3">
        <f>IF($L436="","",UPPER(SUBSTITUTE(SUBSTITUTE(SUBSTITUTE(SUBSTITUTE(SUBSTITUTE(SUBSTITUTE(SUBSTITUTE(SUBSTITUTE(SUBSTITUTE(SUBSTITUTE(SUBSTITUTE(SUBSTITUTE(SUBSTITUTE(SUBSTITUTE(SUBSTITUTE(SUBSTITUTE(SUBSTITUTE(SUBSTITUTE(TRIM($L436),"'",""),"İ","I"),"ı","I"),"i","I"),"Ş","S"),"ş","S"),"Ğ","G"),"ğ","G"),"Ü","U"),"ü","U"),"Ö","O"),"ö","O"),"Ç","C"),"ç","C"),".",""),",","")," ",""),"-","")))</f>
        <v/>
      </c>
      <c r="T436" s="3">
        <f>IF(OR($C436="",$D436&lt;&gt;"Gelir",$L436=""),"",IFERROR(INDEX(MUSTERILER!$B$7:$B$106,MATCH($S436,MUSTERILER!$T$7:$T$106,0)),""))</f>
        <v/>
      </c>
      <c r="U436" s="3">
        <f>IF($T436="","",$T436&amp;"|"&amp;COUNTIFS($T$7:$T436,$T436))</f>
        <v/>
      </c>
      <c r="V436" s="3">
        <f>IF($T436="",0,1)</f>
        <v/>
      </c>
      <c r="W436" s="3">
        <f>IF($C436="","",$D436&amp;"|"&amp;$E436&amp;"|"&amp;TEXT($C436,"0")&amp;"|"&amp;TEXT($G436,"0")&amp;"|"&amp;$J436)</f>
        <v/>
      </c>
      <c r="X436" s="3" t="n"/>
      <c r="Y436" s="3" t="n"/>
      <c r="Z436" s="3" t="n"/>
      <c r="AA436" s="3" t="n"/>
      <c r="AB436" s="3" t="n"/>
      <c r="AC436" s="3" t="n"/>
      <c r="AD436" s="3">
        <f>IF($C436="",0,SUMPRODUCT((AY_SONU!$O$7:$O$42="Evet")*(AY_SONU!$B$7:$B$42=DATE(YEAR($C436),MONTH($C436),1))))</f>
        <v/>
      </c>
    </row>
    <row r="437">
      <c r="A437" s="6" t="n"/>
      <c r="B437" s="113">
        <f>IF($C437="","","GG"&amp;TEXT(ROW()-6,"00000"))</f>
        <v/>
      </c>
      <c r="C437" s="220" t="n"/>
      <c r="D437" s="108" t="n"/>
      <c r="E437" s="109" t="n"/>
      <c r="F437" s="109" t="n"/>
      <c r="G437" s="221" t="n"/>
      <c r="H437" s="108" t="n"/>
      <c r="I437" s="108" t="n"/>
      <c r="J437" s="109" t="n"/>
      <c r="K437" s="109" t="n"/>
      <c r="L437" s="108" t="n"/>
      <c r="M437" s="121">
        <f>IF($C437="","",IF($D437="Gider",$E437,IF($L437&lt;&gt;"",$L437,$H437)))</f>
        <v/>
      </c>
      <c r="N437" s="121">
        <f>IF($C437="","",IF($D437="Gider",$H437,$E437))</f>
        <v/>
      </c>
      <c r="O437" s="226">
        <f>IF($C437="","",DATE(YEAR($C437),MONTH($C437),1))</f>
        <v/>
      </c>
      <c r="P437" s="113">
        <f>IF($C437="","",IF(AND($D437="Gelir",$L437&lt;&gt;"",$T437=""),"TANIMSIZ BORÇLU",IF($T437&lt;&gt;"",IF(OR($E437="",$G437&lt;=0),"EKSİK",IF($I437="Evet","TAHAKKUK NAKİT OLAMAZ",IF($C437&gt;TODAY(),"İLERİ TARİH","TAHAKKUK"))),IF(AND($D437&lt;&gt;"",$E437&lt;&gt;"",$G437&gt;0,$H437&lt;&gt;"",$I437&lt;&gt;""),IF($C437&gt;TODAY(),"İLERİ TARİH",IF(COUNTIF($W$7:$W$1206,$W437)&gt;1,"MÜKERRER?",IF($AD437&gt;0,"KAPALI DÖNEM",IF($I437="Hayır","ÖDENECEK","UYGUN")))),"EKSİK"))))</f>
        <v/>
      </c>
      <c r="Q437" s="6" t="n"/>
      <c r="R437" s="6" t="n"/>
      <c r="S437" s="3">
        <f>IF($L437="","",UPPER(SUBSTITUTE(SUBSTITUTE(SUBSTITUTE(SUBSTITUTE(SUBSTITUTE(SUBSTITUTE(SUBSTITUTE(SUBSTITUTE(SUBSTITUTE(SUBSTITUTE(SUBSTITUTE(SUBSTITUTE(SUBSTITUTE(SUBSTITUTE(SUBSTITUTE(SUBSTITUTE(SUBSTITUTE(SUBSTITUTE(TRIM($L437),"'",""),"İ","I"),"ı","I"),"i","I"),"Ş","S"),"ş","S"),"Ğ","G"),"ğ","G"),"Ü","U"),"ü","U"),"Ö","O"),"ö","O"),"Ç","C"),"ç","C"),".",""),",","")," ",""),"-","")))</f>
        <v/>
      </c>
      <c r="T437" s="3">
        <f>IF(OR($C437="",$D437&lt;&gt;"Gelir",$L437=""),"",IFERROR(INDEX(MUSTERILER!$B$7:$B$106,MATCH($S437,MUSTERILER!$T$7:$T$106,0)),""))</f>
        <v/>
      </c>
      <c r="U437" s="3">
        <f>IF($T437="","",$T437&amp;"|"&amp;COUNTIFS($T$7:$T437,$T437))</f>
        <v/>
      </c>
      <c r="V437" s="3">
        <f>IF($T437="",0,1)</f>
        <v/>
      </c>
      <c r="W437" s="3">
        <f>IF($C437="","",$D437&amp;"|"&amp;$E437&amp;"|"&amp;TEXT($C437,"0")&amp;"|"&amp;TEXT($G437,"0")&amp;"|"&amp;$J437)</f>
        <v/>
      </c>
      <c r="X437" s="3" t="n"/>
      <c r="Y437" s="3" t="n"/>
      <c r="Z437" s="3" t="n"/>
      <c r="AA437" s="3" t="n"/>
      <c r="AB437" s="3" t="n"/>
      <c r="AC437" s="3" t="n"/>
      <c r="AD437" s="3">
        <f>IF($C437="",0,SUMPRODUCT((AY_SONU!$O$7:$O$42="Evet")*(AY_SONU!$B$7:$B$42=DATE(YEAR($C437),MONTH($C437),1))))</f>
        <v/>
      </c>
    </row>
    <row r="438">
      <c r="A438" s="6" t="n"/>
      <c r="B438" s="113">
        <f>IF($C438="","","GG"&amp;TEXT(ROW()-6,"00000"))</f>
        <v/>
      </c>
      <c r="C438" s="220" t="n"/>
      <c r="D438" s="108" t="n"/>
      <c r="E438" s="109" t="n"/>
      <c r="F438" s="109" t="n"/>
      <c r="G438" s="221" t="n"/>
      <c r="H438" s="108" t="n"/>
      <c r="I438" s="108" t="n"/>
      <c r="J438" s="109" t="n"/>
      <c r="K438" s="109" t="n"/>
      <c r="L438" s="108" t="n"/>
      <c r="M438" s="121">
        <f>IF($C438="","",IF($D438="Gider",$E438,IF($L438&lt;&gt;"",$L438,$H438)))</f>
        <v/>
      </c>
      <c r="N438" s="121">
        <f>IF($C438="","",IF($D438="Gider",$H438,$E438))</f>
        <v/>
      </c>
      <c r="O438" s="226">
        <f>IF($C438="","",DATE(YEAR($C438),MONTH($C438),1))</f>
        <v/>
      </c>
      <c r="P438" s="113">
        <f>IF($C438="","",IF(AND($D438="Gelir",$L438&lt;&gt;"",$T438=""),"TANIMSIZ BORÇLU",IF($T438&lt;&gt;"",IF(OR($E438="",$G438&lt;=0),"EKSİK",IF($I438="Evet","TAHAKKUK NAKİT OLAMAZ",IF($C438&gt;TODAY(),"İLERİ TARİH","TAHAKKUK"))),IF(AND($D438&lt;&gt;"",$E438&lt;&gt;"",$G438&gt;0,$H438&lt;&gt;"",$I438&lt;&gt;""),IF($C438&gt;TODAY(),"İLERİ TARİH",IF(COUNTIF($W$7:$W$1206,$W438)&gt;1,"MÜKERRER?",IF($AD438&gt;0,"KAPALI DÖNEM",IF($I438="Hayır","ÖDENECEK","UYGUN")))),"EKSİK"))))</f>
        <v/>
      </c>
      <c r="Q438" s="6" t="n"/>
      <c r="R438" s="6" t="n"/>
      <c r="S438" s="3">
        <f>IF($L438="","",UPPER(SUBSTITUTE(SUBSTITUTE(SUBSTITUTE(SUBSTITUTE(SUBSTITUTE(SUBSTITUTE(SUBSTITUTE(SUBSTITUTE(SUBSTITUTE(SUBSTITUTE(SUBSTITUTE(SUBSTITUTE(SUBSTITUTE(SUBSTITUTE(SUBSTITUTE(SUBSTITUTE(SUBSTITUTE(SUBSTITUTE(TRIM($L438),"'",""),"İ","I"),"ı","I"),"i","I"),"Ş","S"),"ş","S"),"Ğ","G"),"ğ","G"),"Ü","U"),"ü","U"),"Ö","O"),"ö","O"),"Ç","C"),"ç","C"),".",""),",","")," ",""),"-","")))</f>
        <v/>
      </c>
      <c r="T438" s="3">
        <f>IF(OR($C438="",$D438&lt;&gt;"Gelir",$L438=""),"",IFERROR(INDEX(MUSTERILER!$B$7:$B$106,MATCH($S438,MUSTERILER!$T$7:$T$106,0)),""))</f>
        <v/>
      </c>
      <c r="U438" s="3">
        <f>IF($T438="","",$T438&amp;"|"&amp;COUNTIFS($T$7:$T438,$T438))</f>
        <v/>
      </c>
      <c r="V438" s="3">
        <f>IF($T438="",0,1)</f>
        <v/>
      </c>
      <c r="W438" s="3">
        <f>IF($C438="","",$D438&amp;"|"&amp;$E438&amp;"|"&amp;TEXT($C438,"0")&amp;"|"&amp;TEXT($G438,"0")&amp;"|"&amp;$J438)</f>
        <v/>
      </c>
      <c r="X438" s="3" t="n"/>
      <c r="Y438" s="3" t="n"/>
      <c r="Z438" s="3" t="n"/>
      <c r="AA438" s="3" t="n"/>
      <c r="AB438" s="3" t="n"/>
      <c r="AC438" s="3" t="n"/>
      <c r="AD438" s="3">
        <f>IF($C438="",0,SUMPRODUCT((AY_SONU!$O$7:$O$42="Evet")*(AY_SONU!$B$7:$B$42=DATE(YEAR($C438),MONTH($C438),1))))</f>
        <v/>
      </c>
    </row>
    <row r="439">
      <c r="A439" s="6" t="n"/>
      <c r="B439" s="113">
        <f>IF($C439="","","GG"&amp;TEXT(ROW()-6,"00000"))</f>
        <v/>
      </c>
      <c r="C439" s="220" t="n"/>
      <c r="D439" s="108" t="n"/>
      <c r="E439" s="109" t="n"/>
      <c r="F439" s="109" t="n"/>
      <c r="G439" s="221" t="n"/>
      <c r="H439" s="108" t="n"/>
      <c r="I439" s="108" t="n"/>
      <c r="J439" s="109" t="n"/>
      <c r="K439" s="109" t="n"/>
      <c r="L439" s="108" t="n"/>
      <c r="M439" s="121">
        <f>IF($C439="","",IF($D439="Gider",$E439,IF($L439&lt;&gt;"",$L439,$H439)))</f>
        <v/>
      </c>
      <c r="N439" s="121">
        <f>IF($C439="","",IF($D439="Gider",$H439,$E439))</f>
        <v/>
      </c>
      <c r="O439" s="226">
        <f>IF($C439="","",DATE(YEAR($C439),MONTH($C439),1))</f>
        <v/>
      </c>
      <c r="P439" s="113">
        <f>IF($C439="","",IF(AND($D439="Gelir",$L439&lt;&gt;"",$T439=""),"TANIMSIZ BORÇLU",IF($T439&lt;&gt;"",IF(OR($E439="",$G439&lt;=0),"EKSİK",IF($I439="Evet","TAHAKKUK NAKİT OLAMAZ",IF($C439&gt;TODAY(),"İLERİ TARİH","TAHAKKUK"))),IF(AND($D439&lt;&gt;"",$E439&lt;&gt;"",$G439&gt;0,$H439&lt;&gt;"",$I439&lt;&gt;""),IF($C439&gt;TODAY(),"İLERİ TARİH",IF(COUNTIF($W$7:$W$1206,$W439)&gt;1,"MÜKERRER?",IF($AD439&gt;0,"KAPALI DÖNEM",IF($I439="Hayır","ÖDENECEK","UYGUN")))),"EKSİK"))))</f>
        <v/>
      </c>
      <c r="Q439" s="6" t="n"/>
      <c r="R439" s="6" t="n"/>
      <c r="S439" s="3">
        <f>IF($L439="","",UPPER(SUBSTITUTE(SUBSTITUTE(SUBSTITUTE(SUBSTITUTE(SUBSTITUTE(SUBSTITUTE(SUBSTITUTE(SUBSTITUTE(SUBSTITUTE(SUBSTITUTE(SUBSTITUTE(SUBSTITUTE(SUBSTITUTE(SUBSTITUTE(SUBSTITUTE(SUBSTITUTE(SUBSTITUTE(SUBSTITUTE(TRIM($L439),"'",""),"İ","I"),"ı","I"),"i","I"),"Ş","S"),"ş","S"),"Ğ","G"),"ğ","G"),"Ü","U"),"ü","U"),"Ö","O"),"ö","O"),"Ç","C"),"ç","C"),".",""),",","")," ",""),"-","")))</f>
        <v/>
      </c>
      <c r="T439" s="3">
        <f>IF(OR($C439="",$D439&lt;&gt;"Gelir",$L439=""),"",IFERROR(INDEX(MUSTERILER!$B$7:$B$106,MATCH($S439,MUSTERILER!$T$7:$T$106,0)),""))</f>
        <v/>
      </c>
      <c r="U439" s="3">
        <f>IF($T439="","",$T439&amp;"|"&amp;COUNTIFS($T$7:$T439,$T439))</f>
        <v/>
      </c>
      <c r="V439" s="3">
        <f>IF($T439="",0,1)</f>
        <v/>
      </c>
      <c r="W439" s="3">
        <f>IF($C439="","",$D439&amp;"|"&amp;$E439&amp;"|"&amp;TEXT($C439,"0")&amp;"|"&amp;TEXT($G439,"0")&amp;"|"&amp;$J439)</f>
        <v/>
      </c>
      <c r="X439" s="3" t="n"/>
      <c r="Y439" s="3" t="n"/>
      <c r="Z439" s="3" t="n"/>
      <c r="AA439" s="3" t="n"/>
      <c r="AB439" s="3" t="n"/>
      <c r="AC439" s="3" t="n"/>
      <c r="AD439" s="3">
        <f>IF($C439="",0,SUMPRODUCT((AY_SONU!$O$7:$O$42="Evet")*(AY_SONU!$B$7:$B$42=DATE(YEAR($C439),MONTH($C439),1))))</f>
        <v/>
      </c>
    </row>
    <row r="440">
      <c r="A440" s="6" t="n"/>
      <c r="B440" s="113">
        <f>IF($C440="","","GG"&amp;TEXT(ROW()-6,"00000"))</f>
        <v/>
      </c>
      <c r="C440" s="220" t="n"/>
      <c r="D440" s="108" t="n"/>
      <c r="E440" s="109" t="n"/>
      <c r="F440" s="109" t="n"/>
      <c r="G440" s="221" t="n"/>
      <c r="H440" s="108" t="n"/>
      <c r="I440" s="108" t="n"/>
      <c r="J440" s="109" t="n"/>
      <c r="K440" s="109" t="n"/>
      <c r="L440" s="108" t="n"/>
      <c r="M440" s="121">
        <f>IF($C440="","",IF($D440="Gider",$E440,IF($L440&lt;&gt;"",$L440,$H440)))</f>
        <v/>
      </c>
      <c r="N440" s="121">
        <f>IF($C440="","",IF($D440="Gider",$H440,$E440))</f>
        <v/>
      </c>
      <c r="O440" s="226">
        <f>IF($C440="","",DATE(YEAR($C440),MONTH($C440),1))</f>
        <v/>
      </c>
      <c r="P440" s="113">
        <f>IF($C440="","",IF(AND($D440="Gelir",$L440&lt;&gt;"",$T440=""),"TANIMSIZ BORÇLU",IF($T440&lt;&gt;"",IF(OR($E440="",$G440&lt;=0),"EKSİK",IF($I440="Evet","TAHAKKUK NAKİT OLAMAZ",IF($C440&gt;TODAY(),"İLERİ TARİH","TAHAKKUK"))),IF(AND($D440&lt;&gt;"",$E440&lt;&gt;"",$G440&gt;0,$H440&lt;&gt;"",$I440&lt;&gt;""),IF($C440&gt;TODAY(),"İLERİ TARİH",IF(COUNTIF($W$7:$W$1206,$W440)&gt;1,"MÜKERRER?",IF($AD440&gt;0,"KAPALI DÖNEM",IF($I440="Hayır","ÖDENECEK","UYGUN")))),"EKSİK"))))</f>
        <v/>
      </c>
      <c r="Q440" s="6" t="n"/>
      <c r="R440" s="6" t="n"/>
      <c r="S440" s="3">
        <f>IF($L440="","",UPPER(SUBSTITUTE(SUBSTITUTE(SUBSTITUTE(SUBSTITUTE(SUBSTITUTE(SUBSTITUTE(SUBSTITUTE(SUBSTITUTE(SUBSTITUTE(SUBSTITUTE(SUBSTITUTE(SUBSTITUTE(SUBSTITUTE(SUBSTITUTE(SUBSTITUTE(SUBSTITUTE(SUBSTITUTE(SUBSTITUTE(TRIM($L440),"'",""),"İ","I"),"ı","I"),"i","I"),"Ş","S"),"ş","S"),"Ğ","G"),"ğ","G"),"Ü","U"),"ü","U"),"Ö","O"),"ö","O"),"Ç","C"),"ç","C"),".",""),",","")," ",""),"-","")))</f>
        <v/>
      </c>
      <c r="T440" s="3">
        <f>IF(OR($C440="",$D440&lt;&gt;"Gelir",$L440=""),"",IFERROR(INDEX(MUSTERILER!$B$7:$B$106,MATCH($S440,MUSTERILER!$T$7:$T$106,0)),""))</f>
        <v/>
      </c>
      <c r="U440" s="3">
        <f>IF($T440="","",$T440&amp;"|"&amp;COUNTIFS($T$7:$T440,$T440))</f>
        <v/>
      </c>
      <c r="V440" s="3">
        <f>IF($T440="",0,1)</f>
        <v/>
      </c>
      <c r="W440" s="3">
        <f>IF($C440="","",$D440&amp;"|"&amp;$E440&amp;"|"&amp;TEXT($C440,"0")&amp;"|"&amp;TEXT($G440,"0")&amp;"|"&amp;$J440)</f>
        <v/>
      </c>
      <c r="X440" s="3" t="n"/>
      <c r="Y440" s="3" t="n"/>
      <c r="Z440" s="3" t="n"/>
      <c r="AA440" s="3" t="n"/>
      <c r="AB440" s="3" t="n"/>
      <c r="AC440" s="3" t="n"/>
      <c r="AD440" s="3">
        <f>IF($C440="",0,SUMPRODUCT((AY_SONU!$O$7:$O$42="Evet")*(AY_SONU!$B$7:$B$42=DATE(YEAR($C440),MONTH($C440),1))))</f>
        <v/>
      </c>
    </row>
    <row r="441">
      <c r="A441" s="6" t="n"/>
      <c r="B441" s="113">
        <f>IF($C441="","","GG"&amp;TEXT(ROW()-6,"00000"))</f>
        <v/>
      </c>
      <c r="C441" s="220" t="n"/>
      <c r="D441" s="108" t="n"/>
      <c r="E441" s="109" t="n"/>
      <c r="F441" s="109" t="n"/>
      <c r="G441" s="221" t="n"/>
      <c r="H441" s="108" t="n"/>
      <c r="I441" s="108" t="n"/>
      <c r="J441" s="109" t="n"/>
      <c r="K441" s="109" t="n"/>
      <c r="L441" s="108" t="n"/>
      <c r="M441" s="121">
        <f>IF($C441="","",IF($D441="Gider",$E441,IF($L441&lt;&gt;"",$L441,$H441)))</f>
        <v/>
      </c>
      <c r="N441" s="121">
        <f>IF($C441="","",IF($D441="Gider",$H441,$E441))</f>
        <v/>
      </c>
      <c r="O441" s="226">
        <f>IF($C441="","",DATE(YEAR($C441),MONTH($C441),1))</f>
        <v/>
      </c>
      <c r="P441" s="113">
        <f>IF($C441="","",IF(AND($D441="Gelir",$L441&lt;&gt;"",$T441=""),"TANIMSIZ BORÇLU",IF($T441&lt;&gt;"",IF(OR($E441="",$G441&lt;=0),"EKSİK",IF($I441="Evet","TAHAKKUK NAKİT OLAMAZ",IF($C441&gt;TODAY(),"İLERİ TARİH","TAHAKKUK"))),IF(AND($D441&lt;&gt;"",$E441&lt;&gt;"",$G441&gt;0,$H441&lt;&gt;"",$I441&lt;&gt;""),IF($C441&gt;TODAY(),"İLERİ TARİH",IF(COUNTIF($W$7:$W$1206,$W441)&gt;1,"MÜKERRER?",IF($AD441&gt;0,"KAPALI DÖNEM",IF($I441="Hayır","ÖDENECEK","UYGUN")))),"EKSİK"))))</f>
        <v/>
      </c>
      <c r="Q441" s="6" t="n"/>
      <c r="R441" s="6" t="n"/>
      <c r="S441" s="3">
        <f>IF($L441="","",UPPER(SUBSTITUTE(SUBSTITUTE(SUBSTITUTE(SUBSTITUTE(SUBSTITUTE(SUBSTITUTE(SUBSTITUTE(SUBSTITUTE(SUBSTITUTE(SUBSTITUTE(SUBSTITUTE(SUBSTITUTE(SUBSTITUTE(SUBSTITUTE(SUBSTITUTE(SUBSTITUTE(SUBSTITUTE(SUBSTITUTE(TRIM($L441),"'",""),"İ","I"),"ı","I"),"i","I"),"Ş","S"),"ş","S"),"Ğ","G"),"ğ","G"),"Ü","U"),"ü","U"),"Ö","O"),"ö","O"),"Ç","C"),"ç","C"),".",""),",","")," ",""),"-","")))</f>
        <v/>
      </c>
      <c r="T441" s="3">
        <f>IF(OR($C441="",$D441&lt;&gt;"Gelir",$L441=""),"",IFERROR(INDEX(MUSTERILER!$B$7:$B$106,MATCH($S441,MUSTERILER!$T$7:$T$106,0)),""))</f>
        <v/>
      </c>
      <c r="U441" s="3">
        <f>IF($T441="","",$T441&amp;"|"&amp;COUNTIFS($T$7:$T441,$T441))</f>
        <v/>
      </c>
      <c r="V441" s="3">
        <f>IF($T441="",0,1)</f>
        <v/>
      </c>
      <c r="W441" s="3">
        <f>IF($C441="","",$D441&amp;"|"&amp;$E441&amp;"|"&amp;TEXT($C441,"0")&amp;"|"&amp;TEXT($G441,"0")&amp;"|"&amp;$J441)</f>
        <v/>
      </c>
      <c r="X441" s="3" t="n"/>
      <c r="Y441" s="3" t="n"/>
      <c r="Z441" s="3" t="n"/>
      <c r="AA441" s="3" t="n"/>
      <c r="AB441" s="3" t="n"/>
      <c r="AC441" s="3" t="n"/>
      <c r="AD441" s="3">
        <f>IF($C441="",0,SUMPRODUCT((AY_SONU!$O$7:$O$42="Evet")*(AY_SONU!$B$7:$B$42=DATE(YEAR($C441),MONTH($C441),1))))</f>
        <v/>
      </c>
    </row>
    <row r="442">
      <c r="A442" s="6" t="n"/>
      <c r="B442" s="113">
        <f>IF($C442="","","GG"&amp;TEXT(ROW()-6,"00000"))</f>
        <v/>
      </c>
      <c r="C442" s="220" t="n"/>
      <c r="D442" s="108" t="n"/>
      <c r="E442" s="109" t="n"/>
      <c r="F442" s="109" t="n"/>
      <c r="G442" s="221" t="n"/>
      <c r="H442" s="108" t="n"/>
      <c r="I442" s="108" t="n"/>
      <c r="J442" s="109" t="n"/>
      <c r="K442" s="109" t="n"/>
      <c r="L442" s="108" t="n"/>
      <c r="M442" s="121">
        <f>IF($C442="","",IF($D442="Gider",$E442,IF($L442&lt;&gt;"",$L442,$H442)))</f>
        <v/>
      </c>
      <c r="N442" s="121">
        <f>IF($C442="","",IF($D442="Gider",$H442,$E442))</f>
        <v/>
      </c>
      <c r="O442" s="226">
        <f>IF($C442="","",DATE(YEAR($C442),MONTH($C442),1))</f>
        <v/>
      </c>
      <c r="P442" s="113">
        <f>IF($C442="","",IF(AND($D442="Gelir",$L442&lt;&gt;"",$T442=""),"TANIMSIZ BORÇLU",IF($T442&lt;&gt;"",IF(OR($E442="",$G442&lt;=0),"EKSİK",IF($I442="Evet","TAHAKKUK NAKİT OLAMAZ",IF($C442&gt;TODAY(),"İLERİ TARİH","TAHAKKUK"))),IF(AND($D442&lt;&gt;"",$E442&lt;&gt;"",$G442&gt;0,$H442&lt;&gt;"",$I442&lt;&gt;""),IF($C442&gt;TODAY(),"İLERİ TARİH",IF(COUNTIF($W$7:$W$1206,$W442)&gt;1,"MÜKERRER?",IF($AD442&gt;0,"KAPALI DÖNEM",IF($I442="Hayır","ÖDENECEK","UYGUN")))),"EKSİK"))))</f>
        <v/>
      </c>
      <c r="Q442" s="6" t="n"/>
      <c r="R442" s="6" t="n"/>
      <c r="S442" s="3">
        <f>IF($L442="","",UPPER(SUBSTITUTE(SUBSTITUTE(SUBSTITUTE(SUBSTITUTE(SUBSTITUTE(SUBSTITUTE(SUBSTITUTE(SUBSTITUTE(SUBSTITUTE(SUBSTITUTE(SUBSTITUTE(SUBSTITUTE(SUBSTITUTE(SUBSTITUTE(SUBSTITUTE(SUBSTITUTE(SUBSTITUTE(SUBSTITUTE(TRIM($L442),"'",""),"İ","I"),"ı","I"),"i","I"),"Ş","S"),"ş","S"),"Ğ","G"),"ğ","G"),"Ü","U"),"ü","U"),"Ö","O"),"ö","O"),"Ç","C"),"ç","C"),".",""),",","")," ",""),"-","")))</f>
        <v/>
      </c>
      <c r="T442" s="3">
        <f>IF(OR($C442="",$D442&lt;&gt;"Gelir",$L442=""),"",IFERROR(INDEX(MUSTERILER!$B$7:$B$106,MATCH($S442,MUSTERILER!$T$7:$T$106,0)),""))</f>
        <v/>
      </c>
      <c r="U442" s="3">
        <f>IF($T442="","",$T442&amp;"|"&amp;COUNTIFS($T$7:$T442,$T442))</f>
        <v/>
      </c>
      <c r="V442" s="3">
        <f>IF($T442="",0,1)</f>
        <v/>
      </c>
      <c r="W442" s="3">
        <f>IF($C442="","",$D442&amp;"|"&amp;$E442&amp;"|"&amp;TEXT($C442,"0")&amp;"|"&amp;TEXT($G442,"0")&amp;"|"&amp;$J442)</f>
        <v/>
      </c>
      <c r="X442" s="3" t="n"/>
      <c r="Y442" s="3" t="n"/>
      <c r="Z442" s="3" t="n"/>
      <c r="AA442" s="3" t="n"/>
      <c r="AB442" s="3" t="n"/>
      <c r="AC442" s="3" t="n"/>
      <c r="AD442" s="3">
        <f>IF($C442="",0,SUMPRODUCT((AY_SONU!$O$7:$O$42="Evet")*(AY_SONU!$B$7:$B$42=DATE(YEAR($C442),MONTH($C442),1))))</f>
        <v/>
      </c>
    </row>
    <row r="443">
      <c r="A443" s="6" t="n"/>
      <c r="B443" s="113">
        <f>IF($C443="","","GG"&amp;TEXT(ROW()-6,"00000"))</f>
        <v/>
      </c>
      <c r="C443" s="220" t="n"/>
      <c r="D443" s="108" t="n"/>
      <c r="E443" s="109" t="n"/>
      <c r="F443" s="109" t="n"/>
      <c r="G443" s="221" t="n"/>
      <c r="H443" s="108" t="n"/>
      <c r="I443" s="108" t="n"/>
      <c r="J443" s="109" t="n"/>
      <c r="K443" s="109" t="n"/>
      <c r="L443" s="108" t="n"/>
      <c r="M443" s="121">
        <f>IF($C443="","",IF($D443="Gider",$E443,IF($L443&lt;&gt;"",$L443,$H443)))</f>
        <v/>
      </c>
      <c r="N443" s="121">
        <f>IF($C443="","",IF($D443="Gider",$H443,$E443))</f>
        <v/>
      </c>
      <c r="O443" s="226">
        <f>IF($C443="","",DATE(YEAR($C443),MONTH($C443),1))</f>
        <v/>
      </c>
      <c r="P443" s="113">
        <f>IF($C443="","",IF(AND($D443="Gelir",$L443&lt;&gt;"",$T443=""),"TANIMSIZ BORÇLU",IF($T443&lt;&gt;"",IF(OR($E443="",$G443&lt;=0),"EKSİK",IF($I443="Evet","TAHAKKUK NAKİT OLAMAZ",IF($C443&gt;TODAY(),"İLERİ TARİH","TAHAKKUK"))),IF(AND($D443&lt;&gt;"",$E443&lt;&gt;"",$G443&gt;0,$H443&lt;&gt;"",$I443&lt;&gt;""),IF($C443&gt;TODAY(),"İLERİ TARİH",IF(COUNTIF($W$7:$W$1206,$W443)&gt;1,"MÜKERRER?",IF($AD443&gt;0,"KAPALI DÖNEM",IF($I443="Hayır","ÖDENECEK","UYGUN")))),"EKSİK"))))</f>
        <v/>
      </c>
      <c r="Q443" s="6" t="n"/>
      <c r="R443" s="6" t="n"/>
      <c r="S443" s="3">
        <f>IF($L443="","",UPPER(SUBSTITUTE(SUBSTITUTE(SUBSTITUTE(SUBSTITUTE(SUBSTITUTE(SUBSTITUTE(SUBSTITUTE(SUBSTITUTE(SUBSTITUTE(SUBSTITUTE(SUBSTITUTE(SUBSTITUTE(SUBSTITUTE(SUBSTITUTE(SUBSTITUTE(SUBSTITUTE(SUBSTITUTE(SUBSTITUTE(TRIM($L443),"'",""),"İ","I"),"ı","I"),"i","I"),"Ş","S"),"ş","S"),"Ğ","G"),"ğ","G"),"Ü","U"),"ü","U"),"Ö","O"),"ö","O"),"Ç","C"),"ç","C"),".",""),",","")," ",""),"-","")))</f>
        <v/>
      </c>
      <c r="T443" s="3">
        <f>IF(OR($C443="",$D443&lt;&gt;"Gelir",$L443=""),"",IFERROR(INDEX(MUSTERILER!$B$7:$B$106,MATCH($S443,MUSTERILER!$T$7:$T$106,0)),""))</f>
        <v/>
      </c>
      <c r="U443" s="3">
        <f>IF($T443="","",$T443&amp;"|"&amp;COUNTIFS($T$7:$T443,$T443))</f>
        <v/>
      </c>
      <c r="V443" s="3">
        <f>IF($T443="",0,1)</f>
        <v/>
      </c>
      <c r="W443" s="3">
        <f>IF($C443="","",$D443&amp;"|"&amp;$E443&amp;"|"&amp;TEXT($C443,"0")&amp;"|"&amp;TEXT($G443,"0")&amp;"|"&amp;$J443)</f>
        <v/>
      </c>
      <c r="X443" s="3" t="n"/>
      <c r="Y443" s="3" t="n"/>
      <c r="Z443" s="3" t="n"/>
      <c r="AA443" s="3" t="n"/>
      <c r="AB443" s="3" t="n"/>
      <c r="AC443" s="3" t="n"/>
      <c r="AD443" s="3">
        <f>IF($C443="",0,SUMPRODUCT((AY_SONU!$O$7:$O$42="Evet")*(AY_SONU!$B$7:$B$42=DATE(YEAR($C443),MONTH($C443),1))))</f>
        <v/>
      </c>
    </row>
    <row r="444">
      <c r="A444" s="6" t="n"/>
      <c r="B444" s="113">
        <f>IF($C444="","","GG"&amp;TEXT(ROW()-6,"00000"))</f>
        <v/>
      </c>
      <c r="C444" s="220" t="n"/>
      <c r="D444" s="108" t="n"/>
      <c r="E444" s="109" t="n"/>
      <c r="F444" s="109" t="n"/>
      <c r="G444" s="221" t="n"/>
      <c r="H444" s="108" t="n"/>
      <c r="I444" s="108" t="n"/>
      <c r="J444" s="109" t="n"/>
      <c r="K444" s="109" t="n"/>
      <c r="L444" s="108" t="n"/>
      <c r="M444" s="121">
        <f>IF($C444="","",IF($D444="Gider",$E444,IF($L444&lt;&gt;"",$L444,$H444)))</f>
        <v/>
      </c>
      <c r="N444" s="121">
        <f>IF($C444="","",IF($D444="Gider",$H444,$E444))</f>
        <v/>
      </c>
      <c r="O444" s="226">
        <f>IF($C444="","",DATE(YEAR($C444),MONTH($C444),1))</f>
        <v/>
      </c>
      <c r="P444" s="113">
        <f>IF($C444="","",IF(AND($D444="Gelir",$L444&lt;&gt;"",$T444=""),"TANIMSIZ BORÇLU",IF($T444&lt;&gt;"",IF(OR($E444="",$G444&lt;=0),"EKSİK",IF($I444="Evet","TAHAKKUK NAKİT OLAMAZ",IF($C444&gt;TODAY(),"İLERİ TARİH","TAHAKKUK"))),IF(AND($D444&lt;&gt;"",$E444&lt;&gt;"",$G444&gt;0,$H444&lt;&gt;"",$I444&lt;&gt;""),IF($C444&gt;TODAY(),"İLERİ TARİH",IF(COUNTIF($W$7:$W$1206,$W444)&gt;1,"MÜKERRER?",IF($AD444&gt;0,"KAPALI DÖNEM",IF($I444="Hayır","ÖDENECEK","UYGUN")))),"EKSİK"))))</f>
        <v/>
      </c>
      <c r="Q444" s="6" t="n"/>
      <c r="R444" s="6" t="n"/>
      <c r="S444" s="3">
        <f>IF($L444="","",UPPER(SUBSTITUTE(SUBSTITUTE(SUBSTITUTE(SUBSTITUTE(SUBSTITUTE(SUBSTITUTE(SUBSTITUTE(SUBSTITUTE(SUBSTITUTE(SUBSTITUTE(SUBSTITUTE(SUBSTITUTE(SUBSTITUTE(SUBSTITUTE(SUBSTITUTE(SUBSTITUTE(SUBSTITUTE(SUBSTITUTE(TRIM($L444),"'",""),"İ","I"),"ı","I"),"i","I"),"Ş","S"),"ş","S"),"Ğ","G"),"ğ","G"),"Ü","U"),"ü","U"),"Ö","O"),"ö","O"),"Ç","C"),"ç","C"),".",""),",","")," ",""),"-","")))</f>
        <v/>
      </c>
      <c r="T444" s="3">
        <f>IF(OR($C444="",$D444&lt;&gt;"Gelir",$L444=""),"",IFERROR(INDEX(MUSTERILER!$B$7:$B$106,MATCH($S444,MUSTERILER!$T$7:$T$106,0)),""))</f>
        <v/>
      </c>
      <c r="U444" s="3">
        <f>IF($T444="","",$T444&amp;"|"&amp;COUNTIFS($T$7:$T444,$T444))</f>
        <v/>
      </c>
      <c r="V444" s="3">
        <f>IF($T444="",0,1)</f>
        <v/>
      </c>
      <c r="W444" s="3">
        <f>IF($C444="","",$D444&amp;"|"&amp;$E444&amp;"|"&amp;TEXT($C444,"0")&amp;"|"&amp;TEXT($G444,"0")&amp;"|"&amp;$J444)</f>
        <v/>
      </c>
      <c r="X444" s="3" t="n"/>
      <c r="Y444" s="3" t="n"/>
      <c r="Z444" s="3" t="n"/>
      <c r="AA444" s="3" t="n"/>
      <c r="AB444" s="3" t="n"/>
      <c r="AC444" s="3" t="n"/>
      <c r="AD444" s="3">
        <f>IF($C444="",0,SUMPRODUCT((AY_SONU!$O$7:$O$42="Evet")*(AY_SONU!$B$7:$B$42=DATE(YEAR($C444),MONTH($C444),1))))</f>
        <v/>
      </c>
    </row>
    <row r="445">
      <c r="A445" s="6" t="n"/>
      <c r="B445" s="113">
        <f>IF($C445="","","GG"&amp;TEXT(ROW()-6,"00000"))</f>
        <v/>
      </c>
      <c r="C445" s="220" t="n"/>
      <c r="D445" s="108" t="n"/>
      <c r="E445" s="109" t="n"/>
      <c r="F445" s="109" t="n"/>
      <c r="G445" s="221" t="n"/>
      <c r="H445" s="108" t="n"/>
      <c r="I445" s="108" t="n"/>
      <c r="J445" s="109" t="n"/>
      <c r="K445" s="109" t="n"/>
      <c r="L445" s="108" t="n"/>
      <c r="M445" s="121">
        <f>IF($C445="","",IF($D445="Gider",$E445,IF($L445&lt;&gt;"",$L445,$H445)))</f>
        <v/>
      </c>
      <c r="N445" s="121">
        <f>IF($C445="","",IF($D445="Gider",$H445,$E445))</f>
        <v/>
      </c>
      <c r="O445" s="226">
        <f>IF($C445="","",DATE(YEAR($C445),MONTH($C445),1))</f>
        <v/>
      </c>
      <c r="P445" s="113">
        <f>IF($C445="","",IF(AND($D445="Gelir",$L445&lt;&gt;"",$T445=""),"TANIMSIZ BORÇLU",IF($T445&lt;&gt;"",IF(OR($E445="",$G445&lt;=0),"EKSİK",IF($I445="Evet","TAHAKKUK NAKİT OLAMAZ",IF($C445&gt;TODAY(),"İLERİ TARİH","TAHAKKUK"))),IF(AND($D445&lt;&gt;"",$E445&lt;&gt;"",$G445&gt;0,$H445&lt;&gt;"",$I445&lt;&gt;""),IF($C445&gt;TODAY(),"İLERİ TARİH",IF(COUNTIF($W$7:$W$1206,$W445)&gt;1,"MÜKERRER?",IF($AD445&gt;0,"KAPALI DÖNEM",IF($I445="Hayır","ÖDENECEK","UYGUN")))),"EKSİK"))))</f>
        <v/>
      </c>
      <c r="Q445" s="6" t="n"/>
      <c r="R445" s="6" t="n"/>
      <c r="S445" s="3">
        <f>IF($L445="","",UPPER(SUBSTITUTE(SUBSTITUTE(SUBSTITUTE(SUBSTITUTE(SUBSTITUTE(SUBSTITUTE(SUBSTITUTE(SUBSTITUTE(SUBSTITUTE(SUBSTITUTE(SUBSTITUTE(SUBSTITUTE(SUBSTITUTE(SUBSTITUTE(SUBSTITUTE(SUBSTITUTE(SUBSTITUTE(SUBSTITUTE(TRIM($L445),"'",""),"İ","I"),"ı","I"),"i","I"),"Ş","S"),"ş","S"),"Ğ","G"),"ğ","G"),"Ü","U"),"ü","U"),"Ö","O"),"ö","O"),"Ç","C"),"ç","C"),".",""),",","")," ",""),"-","")))</f>
        <v/>
      </c>
      <c r="T445" s="3">
        <f>IF(OR($C445="",$D445&lt;&gt;"Gelir",$L445=""),"",IFERROR(INDEX(MUSTERILER!$B$7:$B$106,MATCH($S445,MUSTERILER!$T$7:$T$106,0)),""))</f>
        <v/>
      </c>
      <c r="U445" s="3">
        <f>IF($T445="","",$T445&amp;"|"&amp;COUNTIFS($T$7:$T445,$T445))</f>
        <v/>
      </c>
      <c r="V445" s="3">
        <f>IF($T445="",0,1)</f>
        <v/>
      </c>
      <c r="W445" s="3">
        <f>IF($C445="","",$D445&amp;"|"&amp;$E445&amp;"|"&amp;TEXT($C445,"0")&amp;"|"&amp;TEXT($G445,"0")&amp;"|"&amp;$J445)</f>
        <v/>
      </c>
      <c r="X445" s="3" t="n"/>
      <c r="Y445" s="3" t="n"/>
      <c r="Z445" s="3" t="n"/>
      <c r="AA445" s="3" t="n"/>
      <c r="AB445" s="3" t="n"/>
      <c r="AC445" s="3" t="n"/>
      <c r="AD445" s="3">
        <f>IF($C445="",0,SUMPRODUCT((AY_SONU!$O$7:$O$42="Evet")*(AY_SONU!$B$7:$B$42=DATE(YEAR($C445),MONTH($C445),1))))</f>
        <v/>
      </c>
    </row>
    <row r="446">
      <c r="A446" s="6" t="n"/>
      <c r="B446" s="113">
        <f>IF($C446="","","GG"&amp;TEXT(ROW()-6,"00000"))</f>
        <v/>
      </c>
      <c r="C446" s="220" t="n"/>
      <c r="D446" s="108" t="n"/>
      <c r="E446" s="109" t="n"/>
      <c r="F446" s="109" t="n"/>
      <c r="G446" s="221" t="n"/>
      <c r="H446" s="108" t="n"/>
      <c r="I446" s="108" t="n"/>
      <c r="J446" s="109" t="n"/>
      <c r="K446" s="109" t="n"/>
      <c r="L446" s="108" t="n"/>
      <c r="M446" s="121">
        <f>IF($C446="","",IF($D446="Gider",$E446,IF($L446&lt;&gt;"",$L446,$H446)))</f>
        <v/>
      </c>
      <c r="N446" s="121">
        <f>IF($C446="","",IF($D446="Gider",$H446,$E446))</f>
        <v/>
      </c>
      <c r="O446" s="226">
        <f>IF($C446="","",DATE(YEAR($C446),MONTH($C446),1))</f>
        <v/>
      </c>
      <c r="P446" s="113">
        <f>IF($C446="","",IF(AND($D446="Gelir",$L446&lt;&gt;"",$T446=""),"TANIMSIZ BORÇLU",IF($T446&lt;&gt;"",IF(OR($E446="",$G446&lt;=0),"EKSİK",IF($I446="Evet","TAHAKKUK NAKİT OLAMAZ",IF($C446&gt;TODAY(),"İLERİ TARİH","TAHAKKUK"))),IF(AND($D446&lt;&gt;"",$E446&lt;&gt;"",$G446&gt;0,$H446&lt;&gt;"",$I446&lt;&gt;""),IF($C446&gt;TODAY(),"İLERİ TARİH",IF(COUNTIF($W$7:$W$1206,$W446)&gt;1,"MÜKERRER?",IF($AD446&gt;0,"KAPALI DÖNEM",IF($I446="Hayır","ÖDENECEK","UYGUN")))),"EKSİK"))))</f>
        <v/>
      </c>
      <c r="Q446" s="6" t="n"/>
      <c r="R446" s="6" t="n"/>
      <c r="S446" s="3">
        <f>IF($L446="","",UPPER(SUBSTITUTE(SUBSTITUTE(SUBSTITUTE(SUBSTITUTE(SUBSTITUTE(SUBSTITUTE(SUBSTITUTE(SUBSTITUTE(SUBSTITUTE(SUBSTITUTE(SUBSTITUTE(SUBSTITUTE(SUBSTITUTE(SUBSTITUTE(SUBSTITUTE(SUBSTITUTE(SUBSTITUTE(SUBSTITUTE(TRIM($L446),"'",""),"İ","I"),"ı","I"),"i","I"),"Ş","S"),"ş","S"),"Ğ","G"),"ğ","G"),"Ü","U"),"ü","U"),"Ö","O"),"ö","O"),"Ç","C"),"ç","C"),".",""),",","")," ",""),"-","")))</f>
        <v/>
      </c>
      <c r="T446" s="3">
        <f>IF(OR($C446="",$D446&lt;&gt;"Gelir",$L446=""),"",IFERROR(INDEX(MUSTERILER!$B$7:$B$106,MATCH($S446,MUSTERILER!$T$7:$T$106,0)),""))</f>
        <v/>
      </c>
      <c r="U446" s="3">
        <f>IF($T446="","",$T446&amp;"|"&amp;COUNTIFS($T$7:$T446,$T446))</f>
        <v/>
      </c>
      <c r="V446" s="3">
        <f>IF($T446="",0,1)</f>
        <v/>
      </c>
      <c r="W446" s="3">
        <f>IF($C446="","",$D446&amp;"|"&amp;$E446&amp;"|"&amp;TEXT($C446,"0")&amp;"|"&amp;TEXT($G446,"0")&amp;"|"&amp;$J446)</f>
        <v/>
      </c>
      <c r="X446" s="3" t="n"/>
      <c r="Y446" s="3" t="n"/>
      <c r="Z446" s="3" t="n"/>
      <c r="AA446" s="3" t="n"/>
      <c r="AB446" s="3" t="n"/>
      <c r="AC446" s="3" t="n"/>
      <c r="AD446" s="3">
        <f>IF($C446="",0,SUMPRODUCT((AY_SONU!$O$7:$O$42="Evet")*(AY_SONU!$B$7:$B$42=DATE(YEAR($C446),MONTH($C446),1))))</f>
        <v/>
      </c>
    </row>
    <row r="447">
      <c r="A447" s="6" t="n"/>
      <c r="B447" s="113">
        <f>IF($C447="","","GG"&amp;TEXT(ROW()-6,"00000"))</f>
        <v/>
      </c>
      <c r="C447" s="220" t="n"/>
      <c r="D447" s="108" t="n"/>
      <c r="E447" s="109" t="n"/>
      <c r="F447" s="109" t="n"/>
      <c r="G447" s="221" t="n"/>
      <c r="H447" s="108" t="n"/>
      <c r="I447" s="108" t="n"/>
      <c r="J447" s="109" t="n"/>
      <c r="K447" s="109" t="n"/>
      <c r="L447" s="108" t="n"/>
      <c r="M447" s="121">
        <f>IF($C447="","",IF($D447="Gider",$E447,IF($L447&lt;&gt;"",$L447,$H447)))</f>
        <v/>
      </c>
      <c r="N447" s="121">
        <f>IF($C447="","",IF($D447="Gider",$H447,$E447))</f>
        <v/>
      </c>
      <c r="O447" s="226">
        <f>IF($C447="","",DATE(YEAR($C447),MONTH($C447),1))</f>
        <v/>
      </c>
      <c r="P447" s="113">
        <f>IF($C447="","",IF(AND($D447="Gelir",$L447&lt;&gt;"",$T447=""),"TANIMSIZ BORÇLU",IF($T447&lt;&gt;"",IF(OR($E447="",$G447&lt;=0),"EKSİK",IF($I447="Evet","TAHAKKUK NAKİT OLAMAZ",IF($C447&gt;TODAY(),"İLERİ TARİH","TAHAKKUK"))),IF(AND($D447&lt;&gt;"",$E447&lt;&gt;"",$G447&gt;0,$H447&lt;&gt;"",$I447&lt;&gt;""),IF($C447&gt;TODAY(),"İLERİ TARİH",IF(COUNTIF($W$7:$W$1206,$W447)&gt;1,"MÜKERRER?",IF($AD447&gt;0,"KAPALI DÖNEM",IF($I447="Hayır","ÖDENECEK","UYGUN")))),"EKSİK"))))</f>
        <v/>
      </c>
      <c r="Q447" s="6" t="n"/>
      <c r="R447" s="6" t="n"/>
      <c r="S447" s="3">
        <f>IF($L447="","",UPPER(SUBSTITUTE(SUBSTITUTE(SUBSTITUTE(SUBSTITUTE(SUBSTITUTE(SUBSTITUTE(SUBSTITUTE(SUBSTITUTE(SUBSTITUTE(SUBSTITUTE(SUBSTITUTE(SUBSTITUTE(SUBSTITUTE(SUBSTITUTE(SUBSTITUTE(SUBSTITUTE(SUBSTITUTE(SUBSTITUTE(TRIM($L447),"'",""),"İ","I"),"ı","I"),"i","I"),"Ş","S"),"ş","S"),"Ğ","G"),"ğ","G"),"Ü","U"),"ü","U"),"Ö","O"),"ö","O"),"Ç","C"),"ç","C"),".",""),",","")," ",""),"-","")))</f>
        <v/>
      </c>
      <c r="T447" s="3">
        <f>IF(OR($C447="",$D447&lt;&gt;"Gelir",$L447=""),"",IFERROR(INDEX(MUSTERILER!$B$7:$B$106,MATCH($S447,MUSTERILER!$T$7:$T$106,0)),""))</f>
        <v/>
      </c>
      <c r="U447" s="3">
        <f>IF($T447="","",$T447&amp;"|"&amp;COUNTIFS($T$7:$T447,$T447))</f>
        <v/>
      </c>
      <c r="V447" s="3">
        <f>IF($T447="",0,1)</f>
        <v/>
      </c>
      <c r="W447" s="3">
        <f>IF($C447="","",$D447&amp;"|"&amp;$E447&amp;"|"&amp;TEXT($C447,"0")&amp;"|"&amp;TEXT($G447,"0")&amp;"|"&amp;$J447)</f>
        <v/>
      </c>
      <c r="X447" s="3" t="n"/>
      <c r="Y447" s="3" t="n"/>
      <c r="Z447" s="3" t="n"/>
      <c r="AA447" s="3" t="n"/>
      <c r="AB447" s="3" t="n"/>
      <c r="AC447" s="3" t="n"/>
      <c r="AD447" s="3">
        <f>IF($C447="",0,SUMPRODUCT((AY_SONU!$O$7:$O$42="Evet")*(AY_SONU!$B$7:$B$42=DATE(YEAR($C447),MONTH($C447),1))))</f>
        <v/>
      </c>
    </row>
    <row r="448">
      <c r="A448" s="6" t="n"/>
      <c r="B448" s="113">
        <f>IF($C448="","","GG"&amp;TEXT(ROW()-6,"00000"))</f>
        <v/>
      </c>
      <c r="C448" s="220" t="n"/>
      <c r="D448" s="108" t="n"/>
      <c r="E448" s="109" t="n"/>
      <c r="F448" s="109" t="n"/>
      <c r="G448" s="221" t="n"/>
      <c r="H448" s="108" t="n"/>
      <c r="I448" s="108" t="n"/>
      <c r="J448" s="109" t="n"/>
      <c r="K448" s="109" t="n"/>
      <c r="L448" s="108" t="n"/>
      <c r="M448" s="121">
        <f>IF($C448="","",IF($D448="Gider",$E448,IF($L448&lt;&gt;"",$L448,$H448)))</f>
        <v/>
      </c>
      <c r="N448" s="121">
        <f>IF($C448="","",IF($D448="Gider",$H448,$E448))</f>
        <v/>
      </c>
      <c r="O448" s="226">
        <f>IF($C448="","",DATE(YEAR($C448),MONTH($C448),1))</f>
        <v/>
      </c>
      <c r="P448" s="113">
        <f>IF($C448="","",IF(AND($D448="Gelir",$L448&lt;&gt;"",$T448=""),"TANIMSIZ BORÇLU",IF($T448&lt;&gt;"",IF(OR($E448="",$G448&lt;=0),"EKSİK",IF($I448="Evet","TAHAKKUK NAKİT OLAMAZ",IF($C448&gt;TODAY(),"İLERİ TARİH","TAHAKKUK"))),IF(AND($D448&lt;&gt;"",$E448&lt;&gt;"",$G448&gt;0,$H448&lt;&gt;"",$I448&lt;&gt;""),IF($C448&gt;TODAY(),"İLERİ TARİH",IF(COUNTIF($W$7:$W$1206,$W448)&gt;1,"MÜKERRER?",IF($AD448&gt;0,"KAPALI DÖNEM",IF($I448="Hayır","ÖDENECEK","UYGUN")))),"EKSİK"))))</f>
        <v/>
      </c>
      <c r="Q448" s="6" t="n"/>
      <c r="R448" s="6" t="n"/>
      <c r="S448" s="3">
        <f>IF($L448="","",UPPER(SUBSTITUTE(SUBSTITUTE(SUBSTITUTE(SUBSTITUTE(SUBSTITUTE(SUBSTITUTE(SUBSTITUTE(SUBSTITUTE(SUBSTITUTE(SUBSTITUTE(SUBSTITUTE(SUBSTITUTE(SUBSTITUTE(SUBSTITUTE(SUBSTITUTE(SUBSTITUTE(SUBSTITUTE(SUBSTITUTE(TRIM($L448),"'",""),"İ","I"),"ı","I"),"i","I"),"Ş","S"),"ş","S"),"Ğ","G"),"ğ","G"),"Ü","U"),"ü","U"),"Ö","O"),"ö","O"),"Ç","C"),"ç","C"),".",""),",","")," ",""),"-","")))</f>
        <v/>
      </c>
      <c r="T448" s="3">
        <f>IF(OR($C448="",$D448&lt;&gt;"Gelir",$L448=""),"",IFERROR(INDEX(MUSTERILER!$B$7:$B$106,MATCH($S448,MUSTERILER!$T$7:$T$106,0)),""))</f>
        <v/>
      </c>
      <c r="U448" s="3">
        <f>IF($T448="","",$T448&amp;"|"&amp;COUNTIFS($T$7:$T448,$T448))</f>
        <v/>
      </c>
      <c r="V448" s="3">
        <f>IF($T448="",0,1)</f>
        <v/>
      </c>
      <c r="W448" s="3">
        <f>IF($C448="","",$D448&amp;"|"&amp;$E448&amp;"|"&amp;TEXT($C448,"0")&amp;"|"&amp;TEXT($G448,"0")&amp;"|"&amp;$J448)</f>
        <v/>
      </c>
      <c r="X448" s="3" t="n"/>
      <c r="Y448" s="3" t="n"/>
      <c r="Z448" s="3" t="n"/>
      <c r="AA448" s="3" t="n"/>
      <c r="AB448" s="3" t="n"/>
      <c r="AC448" s="3" t="n"/>
      <c r="AD448" s="3">
        <f>IF($C448="",0,SUMPRODUCT((AY_SONU!$O$7:$O$42="Evet")*(AY_SONU!$B$7:$B$42=DATE(YEAR($C448),MONTH($C448),1))))</f>
        <v/>
      </c>
    </row>
    <row r="449">
      <c r="A449" s="6" t="n"/>
      <c r="B449" s="113">
        <f>IF($C449="","","GG"&amp;TEXT(ROW()-6,"00000"))</f>
        <v/>
      </c>
      <c r="C449" s="220" t="n"/>
      <c r="D449" s="108" t="n"/>
      <c r="E449" s="109" t="n"/>
      <c r="F449" s="109" t="n"/>
      <c r="G449" s="221" t="n"/>
      <c r="H449" s="108" t="n"/>
      <c r="I449" s="108" t="n"/>
      <c r="J449" s="109" t="n"/>
      <c r="K449" s="109" t="n"/>
      <c r="L449" s="108" t="n"/>
      <c r="M449" s="121">
        <f>IF($C449="","",IF($D449="Gider",$E449,IF($L449&lt;&gt;"",$L449,$H449)))</f>
        <v/>
      </c>
      <c r="N449" s="121">
        <f>IF($C449="","",IF($D449="Gider",$H449,$E449))</f>
        <v/>
      </c>
      <c r="O449" s="226">
        <f>IF($C449="","",DATE(YEAR($C449),MONTH($C449),1))</f>
        <v/>
      </c>
      <c r="P449" s="113">
        <f>IF($C449="","",IF(AND($D449="Gelir",$L449&lt;&gt;"",$T449=""),"TANIMSIZ BORÇLU",IF($T449&lt;&gt;"",IF(OR($E449="",$G449&lt;=0),"EKSİK",IF($I449="Evet","TAHAKKUK NAKİT OLAMAZ",IF($C449&gt;TODAY(),"İLERİ TARİH","TAHAKKUK"))),IF(AND($D449&lt;&gt;"",$E449&lt;&gt;"",$G449&gt;0,$H449&lt;&gt;"",$I449&lt;&gt;""),IF($C449&gt;TODAY(),"İLERİ TARİH",IF(COUNTIF($W$7:$W$1206,$W449)&gt;1,"MÜKERRER?",IF($AD449&gt;0,"KAPALI DÖNEM",IF($I449="Hayır","ÖDENECEK","UYGUN")))),"EKSİK"))))</f>
        <v/>
      </c>
      <c r="Q449" s="6" t="n"/>
      <c r="R449" s="6" t="n"/>
      <c r="S449" s="3">
        <f>IF($L449="","",UPPER(SUBSTITUTE(SUBSTITUTE(SUBSTITUTE(SUBSTITUTE(SUBSTITUTE(SUBSTITUTE(SUBSTITUTE(SUBSTITUTE(SUBSTITUTE(SUBSTITUTE(SUBSTITUTE(SUBSTITUTE(SUBSTITUTE(SUBSTITUTE(SUBSTITUTE(SUBSTITUTE(SUBSTITUTE(SUBSTITUTE(TRIM($L449),"'",""),"İ","I"),"ı","I"),"i","I"),"Ş","S"),"ş","S"),"Ğ","G"),"ğ","G"),"Ü","U"),"ü","U"),"Ö","O"),"ö","O"),"Ç","C"),"ç","C"),".",""),",","")," ",""),"-","")))</f>
        <v/>
      </c>
      <c r="T449" s="3">
        <f>IF(OR($C449="",$D449&lt;&gt;"Gelir",$L449=""),"",IFERROR(INDEX(MUSTERILER!$B$7:$B$106,MATCH($S449,MUSTERILER!$T$7:$T$106,0)),""))</f>
        <v/>
      </c>
      <c r="U449" s="3">
        <f>IF($T449="","",$T449&amp;"|"&amp;COUNTIFS($T$7:$T449,$T449))</f>
        <v/>
      </c>
      <c r="V449" s="3">
        <f>IF($T449="",0,1)</f>
        <v/>
      </c>
      <c r="W449" s="3">
        <f>IF($C449="","",$D449&amp;"|"&amp;$E449&amp;"|"&amp;TEXT($C449,"0")&amp;"|"&amp;TEXT($G449,"0")&amp;"|"&amp;$J449)</f>
        <v/>
      </c>
      <c r="X449" s="3" t="n"/>
      <c r="Y449" s="3" t="n"/>
      <c r="Z449" s="3" t="n"/>
      <c r="AA449" s="3" t="n"/>
      <c r="AB449" s="3" t="n"/>
      <c r="AC449" s="3" t="n"/>
      <c r="AD449" s="3">
        <f>IF($C449="",0,SUMPRODUCT((AY_SONU!$O$7:$O$42="Evet")*(AY_SONU!$B$7:$B$42=DATE(YEAR($C449),MONTH($C449),1))))</f>
        <v/>
      </c>
    </row>
    <row r="450">
      <c r="A450" s="6" t="n"/>
      <c r="B450" s="113">
        <f>IF($C450="","","GG"&amp;TEXT(ROW()-6,"00000"))</f>
        <v/>
      </c>
      <c r="C450" s="220" t="n"/>
      <c r="D450" s="108" t="n"/>
      <c r="E450" s="109" t="n"/>
      <c r="F450" s="109" t="n"/>
      <c r="G450" s="221" t="n"/>
      <c r="H450" s="108" t="n"/>
      <c r="I450" s="108" t="n"/>
      <c r="J450" s="109" t="n"/>
      <c r="K450" s="109" t="n"/>
      <c r="L450" s="108" t="n"/>
      <c r="M450" s="121">
        <f>IF($C450="","",IF($D450="Gider",$E450,IF($L450&lt;&gt;"",$L450,$H450)))</f>
        <v/>
      </c>
      <c r="N450" s="121">
        <f>IF($C450="","",IF($D450="Gider",$H450,$E450))</f>
        <v/>
      </c>
      <c r="O450" s="226">
        <f>IF($C450="","",DATE(YEAR($C450),MONTH($C450),1))</f>
        <v/>
      </c>
      <c r="P450" s="113">
        <f>IF($C450="","",IF(AND($D450="Gelir",$L450&lt;&gt;"",$T450=""),"TANIMSIZ BORÇLU",IF($T450&lt;&gt;"",IF(OR($E450="",$G450&lt;=0),"EKSİK",IF($I450="Evet","TAHAKKUK NAKİT OLAMAZ",IF($C450&gt;TODAY(),"İLERİ TARİH","TAHAKKUK"))),IF(AND($D450&lt;&gt;"",$E450&lt;&gt;"",$G450&gt;0,$H450&lt;&gt;"",$I450&lt;&gt;""),IF($C450&gt;TODAY(),"İLERİ TARİH",IF(COUNTIF($W$7:$W$1206,$W450)&gt;1,"MÜKERRER?",IF($AD450&gt;0,"KAPALI DÖNEM",IF($I450="Hayır","ÖDENECEK","UYGUN")))),"EKSİK"))))</f>
        <v/>
      </c>
      <c r="Q450" s="6" t="n"/>
      <c r="R450" s="6" t="n"/>
      <c r="S450" s="3">
        <f>IF($L450="","",UPPER(SUBSTITUTE(SUBSTITUTE(SUBSTITUTE(SUBSTITUTE(SUBSTITUTE(SUBSTITUTE(SUBSTITUTE(SUBSTITUTE(SUBSTITUTE(SUBSTITUTE(SUBSTITUTE(SUBSTITUTE(SUBSTITUTE(SUBSTITUTE(SUBSTITUTE(SUBSTITUTE(SUBSTITUTE(SUBSTITUTE(TRIM($L450),"'",""),"İ","I"),"ı","I"),"i","I"),"Ş","S"),"ş","S"),"Ğ","G"),"ğ","G"),"Ü","U"),"ü","U"),"Ö","O"),"ö","O"),"Ç","C"),"ç","C"),".",""),",","")," ",""),"-","")))</f>
        <v/>
      </c>
      <c r="T450" s="3">
        <f>IF(OR($C450="",$D450&lt;&gt;"Gelir",$L450=""),"",IFERROR(INDEX(MUSTERILER!$B$7:$B$106,MATCH($S450,MUSTERILER!$T$7:$T$106,0)),""))</f>
        <v/>
      </c>
      <c r="U450" s="3">
        <f>IF($T450="","",$T450&amp;"|"&amp;COUNTIFS($T$7:$T450,$T450))</f>
        <v/>
      </c>
      <c r="V450" s="3">
        <f>IF($T450="",0,1)</f>
        <v/>
      </c>
      <c r="W450" s="3">
        <f>IF($C450="","",$D450&amp;"|"&amp;$E450&amp;"|"&amp;TEXT($C450,"0")&amp;"|"&amp;TEXT($G450,"0")&amp;"|"&amp;$J450)</f>
        <v/>
      </c>
      <c r="X450" s="3" t="n"/>
      <c r="Y450" s="3" t="n"/>
      <c r="Z450" s="3" t="n"/>
      <c r="AA450" s="3" t="n"/>
      <c r="AB450" s="3" t="n"/>
      <c r="AC450" s="3" t="n"/>
      <c r="AD450" s="3">
        <f>IF($C450="",0,SUMPRODUCT((AY_SONU!$O$7:$O$42="Evet")*(AY_SONU!$B$7:$B$42=DATE(YEAR($C450),MONTH($C450),1))))</f>
        <v/>
      </c>
    </row>
    <row r="451">
      <c r="A451" s="6" t="n"/>
      <c r="B451" s="113">
        <f>IF($C451="","","GG"&amp;TEXT(ROW()-6,"00000"))</f>
        <v/>
      </c>
      <c r="C451" s="220" t="n"/>
      <c r="D451" s="108" t="n"/>
      <c r="E451" s="109" t="n"/>
      <c r="F451" s="109" t="n"/>
      <c r="G451" s="221" t="n"/>
      <c r="H451" s="108" t="n"/>
      <c r="I451" s="108" t="n"/>
      <c r="J451" s="109" t="n"/>
      <c r="K451" s="109" t="n"/>
      <c r="L451" s="108" t="n"/>
      <c r="M451" s="121">
        <f>IF($C451="","",IF($D451="Gider",$E451,IF($L451&lt;&gt;"",$L451,$H451)))</f>
        <v/>
      </c>
      <c r="N451" s="121">
        <f>IF($C451="","",IF($D451="Gider",$H451,$E451))</f>
        <v/>
      </c>
      <c r="O451" s="226">
        <f>IF($C451="","",DATE(YEAR($C451),MONTH($C451),1))</f>
        <v/>
      </c>
      <c r="P451" s="113">
        <f>IF($C451="","",IF(AND($D451="Gelir",$L451&lt;&gt;"",$T451=""),"TANIMSIZ BORÇLU",IF($T451&lt;&gt;"",IF(OR($E451="",$G451&lt;=0),"EKSİK",IF($I451="Evet","TAHAKKUK NAKİT OLAMAZ",IF($C451&gt;TODAY(),"İLERİ TARİH","TAHAKKUK"))),IF(AND($D451&lt;&gt;"",$E451&lt;&gt;"",$G451&gt;0,$H451&lt;&gt;"",$I451&lt;&gt;""),IF($C451&gt;TODAY(),"İLERİ TARİH",IF(COUNTIF($W$7:$W$1206,$W451)&gt;1,"MÜKERRER?",IF($AD451&gt;0,"KAPALI DÖNEM",IF($I451="Hayır","ÖDENECEK","UYGUN")))),"EKSİK"))))</f>
        <v/>
      </c>
      <c r="Q451" s="6" t="n"/>
      <c r="R451" s="6" t="n"/>
      <c r="S451" s="3">
        <f>IF($L451="","",UPPER(SUBSTITUTE(SUBSTITUTE(SUBSTITUTE(SUBSTITUTE(SUBSTITUTE(SUBSTITUTE(SUBSTITUTE(SUBSTITUTE(SUBSTITUTE(SUBSTITUTE(SUBSTITUTE(SUBSTITUTE(SUBSTITUTE(SUBSTITUTE(SUBSTITUTE(SUBSTITUTE(SUBSTITUTE(SUBSTITUTE(TRIM($L451),"'",""),"İ","I"),"ı","I"),"i","I"),"Ş","S"),"ş","S"),"Ğ","G"),"ğ","G"),"Ü","U"),"ü","U"),"Ö","O"),"ö","O"),"Ç","C"),"ç","C"),".",""),",","")," ",""),"-","")))</f>
        <v/>
      </c>
      <c r="T451" s="3">
        <f>IF(OR($C451="",$D451&lt;&gt;"Gelir",$L451=""),"",IFERROR(INDEX(MUSTERILER!$B$7:$B$106,MATCH($S451,MUSTERILER!$T$7:$T$106,0)),""))</f>
        <v/>
      </c>
      <c r="U451" s="3">
        <f>IF($T451="","",$T451&amp;"|"&amp;COUNTIFS($T$7:$T451,$T451))</f>
        <v/>
      </c>
      <c r="V451" s="3">
        <f>IF($T451="",0,1)</f>
        <v/>
      </c>
      <c r="W451" s="3">
        <f>IF($C451="","",$D451&amp;"|"&amp;$E451&amp;"|"&amp;TEXT($C451,"0")&amp;"|"&amp;TEXT($G451,"0")&amp;"|"&amp;$J451)</f>
        <v/>
      </c>
      <c r="X451" s="3" t="n"/>
      <c r="Y451" s="3" t="n"/>
      <c r="Z451" s="3" t="n"/>
      <c r="AA451" s="3" t="n"/>
      <c r="AB451" s="3" t="n"/>
      <c r="AC451" s="3" t="n"/>
      <c r="AD451" s="3">
        <f>IF($C451="",0,SUMPRODUCT((AY_SONU!$O$7:$O$42="Evet")*(AY_SONU!$B$7:$B$42=DATE(YEAR($C451),MONTH($C451),1))))</f>
        <v/>
      </c>
    </row>
    <row r="452">
      <c r="A452" s="6" t="n"/>
      <c r="B452" s="113">
        <f>IF($C452="","","GG"&amp;TEXT(ROW()-6,"00000"))</f>
        <v/>
      </c>
      <c r="C452" s="220" t="n"/>
      <c r="D452" s="108" t="n"/>
      <c r="E452" s="109" t="n"/>
      <c r="F452" s="109" t="n"/>
      <c r="G452" s="221" t="n"/>
      <c r="H452" s="108" t="n"/>
      <c r="I452" s="108" t="n"/>
      <c r="J452" s="109" t="n"/>
      <c r="K452" s="109" t="n"/>
      <c r="L452" s="108" t="n"/>
      <c r="M452" s="121">
        <f>IF($C452="","",IF($D452="Gider",$E452,IF($L452&lt;&gt;"",$L452,$H452)))</f>
        <v/>
      </c>
      <c r="N452" s="121">
        <f>IF($C452="","",IF($D452="Gider",$H452,$E452))</f>
        <v/>
      </c>
      <c r="O452" s="226">
        <f>IF($C452="","",DATE(YEAR($C452),MONTH($C452),1))</f>
        <v/>
      </c>
      <c r="P452" s="113">
        <f>IF($C452="","",IF(AND($D452="Gelir",$L452&lt;&gt;"",$T452=""),"TANIMSIZ BORÇLU",IF($T452&lt;&gt;"",IF(OR($E452="",$G452&lt;=0),"EKSİK",IF($I452="Evet","TAHAKKUK NAKİT OLAMAZ",IF($C452&gt;TODAY(),"İLERİ TARİH","TAHAKKUK"))),IF(AND($D452&lt;&gt;"",$E452&lt;&gt;"",$G452&gt;0,$H452&lt;&gt;"",$I452&lt;&gt;""),IF($C452&gt;TODAY(),"İLERİ TARİH",IF(COUNTIF($W$7:$W$1206,$W452)&gt;1,"MÜKERRER?",IF($AD452&gt;0,"KAPALI DÖNEM",IF($I452="Hayır","ÖDENECEK","UYGUN")))),"EKSİK"))))</f>
        <v/>
      </c>
      <c r="Q452" s="6" t="n"/>
      <c r="R452" s="6" t="n"/>
      <c r="S452" s="3">
        <f>IF($L452="","",UPPER(SUBSTITUTE(SUBSTITUTE(SUBSTITUTE(SUBSTITUTE(SUBSTITUTE(SUBSTITUTE(SUBSTITUTE(SUBSTITUTE(SUBSTITUTE(SUBSTITUTE(SUBSTITUTE(SUBSTITUTE(SUBSTITUTE(SUBSTITUTE(SUBSTITUTE(SUBSTITUTE(SUBSTITUTE(SUBSTITUTE(TRIM($L452),"'",""),"İ","I"),"ı","I"),"i","I"),"Ş","S"),"ş","S"),"Ğ","G"),"ğ","G"),"Ü","U"),"ü","U"),"Ö","O"),"ö","O"),"Ç","C"),"ç","C"),".",""),",","")," ",""),"-","")))</f>
        <v/>
      </c>
      <c r="T452" s="3">
        <f>IF(OR($C452="",$D452&lt;&gt;"Gelir",$L452=""),"",IFERROR(INDEX(MUSTERILER!$B$7:$B$106,MATCH($S452,MUSTERILER!$T$7:$T$106,0)),""))</f>
        <v/>
      </c>
      <c r="U452" s="3">
        <f>IF($T452="","",$T452&amp;"|"&amp;COUNTIFS($T$7:$T452,$T452))</f>
        <v/>
      </c>
      <c r="V452" s="3">
        <f>IF($T452="",0,1)</f>
        <v/>
      </c>
      <c r="W452" s="3">
        <f>IF($C452="","",$D452&amp;"|"&amp;$E452&amp;"|"&amp;TEXT($C452,"0")&amp;"|"&amp;TEXT($G452,"0")&amp;"|"&amp;$J452)</f>
        <v/>
      </c>
      <c r="X452" s="3" t="n"/>
      <c r="Y452" s="3" t="n"/>
      <c r="Z452" s="3" t="n"/>
      <c r="AA452" s="3" t="n"/>
      <c r="AB452" s="3" t="n"/>
      <c r="AC452" s="3" t="n"/>
      <c r="AD452" s="3">
        <f>IF($C452="",0,SUMPRODUCT((AY_SONU!$O$7:$O$42="Evet")*(AY_SONU!$B$7:$B$42=DATE(YEAR($C452),MONTH($C452),1))))</f>
        <v/>
      </c>
    </row>
    <row r="453">
      <c r="A453" s="6" t="n"/>
      <c r="B453" s="113">
        <f>IF($C453="","","GG"&amp;TEXT(ROW()-6,"00000"))</f>
        <v/>
      </c>
      <c r="C453" s="220" t="n"/>
      <c r="D453" s="108" t="n"/>
      <c r="E453" s="109" t="n"/>
      <c r="F453" s="109" t="n"/>
      <c r="G453" s="221" t="n"/>
      <c r="H453" s="108" t="n"/>
      <c r="I453" s="108" t="n"/>
      <c r="J453" s="109" t="n"/>
      <c r="K453" s="109" t="n"/>
      <c r="L453" s="108" t="n"/>
      <c r="M453" s="121">
        <f>IF($C453="","",IF($D453="Gider",$E453,IF($L453&lt;&gt;"",$L453,$H453)))</f>
        <v/>
      </c>
      <c r="N453" s="121">
        <f>IF($C453="","",IF($D453="Gider",$H453,$E453))</f>
        <v/>
      </c>
      <c r="O453" s="226">
        <f>IF($C453="","",DATE(YEAR($C453),MONTH($C453),1))</f>
        <v/>
      </c>
      <c r="P453" s="113">
        <f>IF($C453="","",IF(AND($D453="Gelir",$L453&lt;&gt;"",$T453=""),"TANIMSIZ BORÇLU",IF($T453&lt;&gt;"",IF(OR($E453="",$G453&lt;=0),"EKSİK",IF($I453="Evet","TAHAKKUK NAKİT OLAMAZ",IF($C453&gt;TODAY(),"İLERİ TARİH","TAHAKKUK"))),IF(AND($D453&lt;&gt;"",$E453&lt;&gt;"",$G453&gt;0,$H453&lt;&gt;"",$I453&lt;&gt;""),IF($C453&gt;TODAY(),"İLERİ TARİH",IF(COUNTIF($W$7:$W$1206,$W453)&gt;1,"MÜKERRER?",IF($AD453&gt;0,"KAPALI DÖNEM",IF($I453="Hayır","ÖDENECEK","UYGUN")))),"EKSİK"))))</f>
        <v/>
      </c>
      <c r="Q453" s="6" t="n"/>
      <c r="R453" s="6" t="n"/>
      <c r="S453" s="3">
        <f>IF($L453="","",UPPER(SUBSTITUTE(SUBSTITUTE(SUBSTITUTE(SUBSTITUTE(SUBSTITUTE(SUBSTITUTE(SUBSTITUTE(SUBSTITUTE(SUBSTITUTE(SUBSTITUTE(SUBSTITUTE(SUBSTITUTE(SUBSTITUTE(SUBSTITUTE(SUBSTITUTE(SUBSTITUTE(SUBSTITUTE(SUBSTITUTE(TRIM($L453),"'",""),"İ","I"),"ı","I"),"i","I"),"Ş","S"),"ş","S"),"Ğ","G"),"ğ","G"),"Ü","U"),"ü","U"),"Ö","O"),"ö","O"),"Ç","C"),"ç","C"),".",""),",","")," ",""),"-","")))</f>
        <v/>
      </c>
      <c r="T453" s="3">
        <f>IF(OR($C453="",$D453&lt;&gt;"Gelir",$L453=""),"",IFERROR(INDEX(MUSTERILER!$B$7:$B$106,MATCH($S453,MUSTERILER!$T$7:$T$106,0)),""))</f>
        <v/>
      </c>
      <c r="U453" s="3">
        <f>IF($T453="","",$T453&amp;"|"&amp;COUNTIFS($T$7:$T453,$T453))</f>
        <v/>
      </c>
      <c r="V453" s="3">
        <f>IF($T453="",0,1)</f>
        <v/>
      </c>
      <c r="W453" s="3">
        <f>IF($C453="","",$D453&amp;"|"&amp;$E453&amp;"|"&amp;TEXT($C453,"0")&amp;"|"&amp;TEXT($G453,"0")&amp;"|"&amp;$J453)</f>
        <v/>
      </c>
      <c r="X453" s="3" t="n"/>
      <c r="Y453" s="3" t="n"/>
      <c r="Z453" s="3" t="n"/>
      <c r="AA453" s="3" t="n"/>
      <c r="AB453" s="3" t="n"/>
      <c r="AC453" s="3" t="n"/>
      <c r="AD453" s="3">
        <f>IF($C453="",0,SUMPRODUCT((AY_SONU!$O$7:$O$42="Evet")*(AY_SONU!$B$7:$B$42=DATE(YEAR($C453),MONTH($C453),1))))</f>
        <v/>
      </c>
    </row>
    <row r="454">
      <c r="A454" s="6" t="n"/>
      <c r="B454" s="113">
        <f>IF($C454="","","GG"&amp;TEXT(ROW()-6,"00000"))</f>
        <v/>
      </c>
      <c r="C454" s="220" t="n"/>
      <c r="D454" s="108" t="n"/>
      <c r="E454" s="109" t="n"/>
      <c r="F454" s="109" t="n"/>
      <c r="G454" s="221" t="n"/>
      <c r="H454" s="108" t="n"/>
      <c r="I454" s="108" t="n"/>
      <c r="J454" s="109" t="n"/>
      <c r="K454" s="109" t="n"/>
      <c r="L454" s="108" t="n"/>
      <c r="M454" s="121">
        <f>IF($C454="","",IF($D454="Gider",$E454,IF($L454&lt;&gt;"",$L454,$H454)))</f>
        <v/>
      </c>
      <c r="N454" s="121">
        <f>IF($C454="","",IF($D454="Gider",$H454,$E454))</f>
        <v/>
      </c>
      <c r="O454" s="226">
        <f>IF($C454="","",DATE(YEAR($C454),MONTH($C454),1))</f>
        <v/>
      </c>
      <c r="P454" s="113">
        <f>IF($C454="","",IF(AND($D454="Gelir",$L454&lt;&gt;"",$T454=""),"TANIMSIZ BORÇLU",IF($T454&lt;&gt;"",IF(OR($E454="",$G454&lt;=0),"EKSİK",IF($I454="Evet","TAHAKKUK NAKİT OLAMAZ",IF($C454&gt;TODAY(),"İLERİ TARİH","TAHAKKUK"))),IF(AND($D454&lt;&gt;"",$E454&lt;&gt;"",$G454&gt;0,$H454&lt;&gt;"",$I454&lt;&gt;""),IF($C454&gt;TODAY(),"İLERİ TARİH",IF(COUNTIF($W$7:$W$1206,$W454)&gt;1,"MÜKERRER?",IF($AD454&gt;0,"KAPALI DÖNEM",IF($I454="Hayır","ÖDENECEK","UYGUN")))),"EKSİK"))))</f>
        <v/>
      </c>
      <c r="Q454" s="6" t="n"/>
      <c r="R454" s="6" t="n"/>
      <c r="S454" s="3">
        <f>IF($L454="","",UPPER(SUBSTITUTE(SUBSTITUTE(SUBSTITUTE(SUBSTITUTE(SUBSTITUTE(SUBSTITUTE(SUBSTITUTE(SUBSTITUTE(SUBSTITUTE(SUBSTITUTE(SUBSTITUTE(SUBSTITUTE(SUBSTITUTE(SUBSTITUTE(SUBSTITUTE(SUBSTITUTE(SUBSTITUTE(SUBSTITUTE(TRIM($L454),"'",""),"İ","I"),"ı","I"),"i","I"),"Ş","S"),"ş","S"),"Ğ","G"),"ğ","G"),"Ü","U"),"ü","U"),"Ö","O"),"ö","O"),"Ç","C"),"ç","C"),".",""),",","")," ",""),"-","")))</f>
        <v/>
      </c>
      <c r="T454" s="3">
        <f>IF(OR($C454="",$D454&lt;&gt;"Gelir",$L454=""),"",IFERROR(INDEX(MUSTERILER!$B$7:$B$106,MATCH($S454,MUSTERILER!$T$7:$T$106,0)),""))</f>
        <v/>
      </c>
      <c r="U454" s="3">
        <f>IF($T454="","",$T454&amp;"|"&amp;COUNTIFS($T$7:$T454,$T454))</f>
        <v/>
      </c>
      <c r="V454" s="3">
        <f>IF($T454="",0,1)</f>
        <v/>
      </c>
      <c r="W454" s="3">
        <f>IF($C454="","",$D454&amp;"|"&amp;$E454&amp;"|"&amp;TEXT($C454,"0")&amp;"|"&amp;TEXT($G454,"0")&amp;"|"&amp;$J454)</f>
        <v/>
      </c>
      <c r="X454" s="3" t="n"/>
      <c r="Y454" s="3" t="n"/>
      <c r="Z454" s="3" t="n"/>
      <c r="AA454" s="3" t="n"/>
      <c r="AB454" s="3" t="n"/>
      <c r="AC454" s="3" t="n"/>
      <c r="AD454" s="3">
        <f>IF($C454="",0,SUMPRODUCT((AY_SONU!$O$7:$O$42="Evet")*(AY_SONU!$B$7:$B$42=DATE(YEAR($C454),MONTH($C454),1))))</f>
        <v/>
      </c>
    </row>
    <row r="455">
      <c r="A455" s="6" t="n"/>
      <c r="B455" s="113">
        <f>IF($C455="","","GG"&amp;TEXT(ROW()-6,"00000"))</f>
        <v/>
      </c>
      <c r="C455" s="220" t="n"/>
      <c r="D455" s="108" t="n"/>
      <c r="E455" s="109" t="n"/>
      <c r="F455" s="109" t="n"/>
      <c r="G455" s="221" t="n"/>
      <c r="H455" s="108" t="n"/>
      <c r="I455" s="108" t="n"/>
      <c r="J455" s="109" t="n"/>
      <c r="K455" s="109" t="n"/>
      <c r="L455" s="108" t="n"/>
      <c r="M455" s="121">
        <f>IF($C455="","",IF($D455="Gider",$E455,IF($L455&lt;&gt;"",$L455,$H455)))</f>
        <v/>
      </c>
      <c r="N455" s="121">
        <f>IF($C455="","",IF($D455="Gider",$H455,$E455))</f>
        <v/>
      </c>
      <c r="O455" s="226">
        <f>IF($C455="","",DATE(YEAR($C455),MONTH($C455),1))</f>
        <v/>
      </c>
      <c r="P455" s="113">
        <f>IF($C455="","",IF(AND($D455="Gelir",$L455&lt;&gt;"",$T455=""),"TANIMSIZ BORÇLU",IF($T455&lt;&gt;"",IF(OR($E455="",$G455&lt;=0),"EKSİK",IF($I455="Evet","TAHAKKUK NAKİT OLAMAZ",IF($C455&gt;TODAY(),"İLERİ TARİH","TAHAKKUK"))),IF(AND($D455&lt;&gt;"",$E455&lt;&gt;"",$G455&gt;0,$H455&lt;&gt;"",$I455&lt;&gt;""),IF($C455&gt;TODAY(),"İLERİ TARİH",IF(COUNTIF($W$7:$W$1206,$W455)&gt;1,"MÜKERRER?",IF($AD455&gt;0,"KAPALI DÖNEM",IF($I455="Hayır","ÖDENECEK","UYGUN")))),"EKSİK"))))</f>
        <v/>
      </c>
      <c r="Q455" s="6" t="n"/>
      <c r="R455" s="6" t="n"/>
      <c r="S455" s="3">
        <f>IF($L455="","",UPPER(SUBSTITUTE(SUBSTITUTE(SUBSTITUTE(SUBSTITUTE(SUBSTITUTE(SUBSTITUTE(SUBSTITUTE(SUBSTITUTE(SUBSTITUTE(SUBSTITUTE(SUBSTITUTE(SUBSTITUTE(SUBSTITUTE(SUBSTITUTE(SUBSTITUTE(SUBSTITUTE(SUBSTITUTE(SUBSTITUTE(TRIM($L455),"'",""),"İ","I"),"ı","I"),"i","I"),"Ş","S"),"ş","S"),"Ğ","G"),"ğ","G"),"Ü","U"),"ü","U"),"Ö","O"),"ö","O"),"Ç","C"),"ç","C"),".",""),",","")," ",""),"-","")))</f>
        <v/>
      </c>
      <c r="T455" s="3">
        <f>IF(OR($C455="",$D455&lt;&gt;"Gelir",$L455=""),"",IFERROR(INDEX(MUSTERILER!$B$7:$B$106,MATCH($S455,MUSTERILER!$T$7:$T$106,0)),""))</f>
        <v/>
      </c>
      <c r="U455" s="3">
        <f>IF($T455="","",$T455&amp;"|"&amp;COUNTIFS($T$7:$T455,$T455))</f>
        <v/>
      </c>
      <c r="V455" s="3">
        <f>IF($T455="",0,1)</f>
        <v/>
      </c>
      <c r="W455" s="3">
        <f>IF($C455="","",$D455&amp;"|"&amp;$E455&amp;"|"&amp;TEXT($C455,"0")&amp;"|"&amp;TEXT($G455,"0")&amp;"|"&amp;$J455)</f>
        <v/>
      </c>
      <c r="X455" s="3" t="n"/>
      <c r="Y455" s="3" t="n"/>
      <c r="Z455" s="3" t="n"/>
      <c r="AA455" s="3" t="n"/>
      <c r="AB455" s="3" t="n"/>
      <c r="AC455" s="3" t="n"/>
      <c r="AD455" s="3">
        <f>IF($C455="",0,SUMPRODUCT((AY_SONU!$O$7:$O$42="Evet")*(AY_SONU!$B$7:$B$42=DATE(YEAR($C455),MONTH($C455),1))))</f>
        <v/>
      </c>
    </row>
    <row r="456">
      <c r="A456" s="6" t="n"/>
      <c r="B456" s="113">
        <f>IF($C456="","","GG"&amp;TEXT(ROW()-6,"00000"))</f>
        <v/>
      </c>
      <c r="C456" s="220" t="n"/>
      <c r="D456" s="108" t="n"/>
      <c r="E456" s="109" t="n"/>
      <c r="F456" s="109" t="n"/>
      <c r="G456" s="221" t="n"/>
      <c r="H456" s="108" t="n"/>
      <c r="I456" s="108" t="n"/>
      <c r="J456" s="109" t="n"/>
      <c r="K456" s="109" t="n"/>
      <c r="L456" s="108" t="n"/>
      <c r="M456" s="121">
        <f>IF($C456="","",IF($D456="Gider",$E456,IF($L456&lt;&gt;"",$L456,$H456)))</f>
        <v/>
      </c>
      <c r="N456" s="121">
        <f>IF($C456="","",IF($D456="Gider",$H456,$E456))</f>
        <v/>
      </c>
      <c r="O456" s="226">
        <f>IF($C456="","",DATE(YEAR($C456),MONTH($C456),1))</f>
        <v/>
      </c>
      <c r="P456" s="113">
        <f>IF($C456="","",IF(AND($D456="Gelir",$L456&lt;&gt;"",$T456=""),"TANIMSIZ BORÇLU",IF($T456&lt;&gt;"",IF(OR($E456="",$G456&lt;=0),"EKSİK",IF($I456="Evet","TAHAKKUK NAKİT OLAMAZ",IF($C456&gt;TODAY(),"İLERİ TARİH","TAHAKKUK"))),IF(AND($D456&lt;&gt;"",$E456&lt;&gt;"",$G456&gt;0,$H456&lt;&gt;"",$I456&lt;&gt;""),IF($C456&gt;TODAY(),"İLERİ TARİH",IF(COUNTIF($W$7:$W$1206,$W456)&gt;1,"MÜKERRER?",IF($AD456&gt;0,"KAPALI DÖNEM",IF($I456="Hayır","ÖDENECEK","UYGUN")))),"EKSİK"))))</f>
        <v/>
      </c>
      <c r="Q456" s="6" t="n"/>
      <c r="R456" s="6" t="n"/>
      <c r="S456" s="3">
        <f>IF($L456="","",UPPER(SUBSTITUTE(SUBSTITUTE(SUBSTITUTE(SUBSTITUTE(SUBSTITUTE(SUBSTITUTE(SUBSTITUTE(SUBSTITUTE(SUBSTITUTE(SUBSTITUTE(SUBSTITUTE(SUBSTITUTE(SUBSTITUTE(SUBSTITUTE(SUBSTITUTE(SUBSTITUTE(SUBSTITUTE(SUBSTITUTE(TRIM($L456),"'",""),"İ","I"),"ı","I"),"i","I"),"Ş","S"),"ş","S"),"Ğ","G"),"ğ","G"),"Ü","U"),"ü","U"),"Ö","O"),"ö","O"),"Ç","C"),"ç","C"),".",""),",","")," ",""),"-","")))</f>
        <v/>
      </c>
      <c r="T456" s="3">
        <f>IF(OR($C456="",$D456&lt;&gt;"Gelir",$L456=""),"",IFERROR(INDEX(MUSTERILER!$B$7:$B$106,MATCH($S456,MUSTERILER!$T$7:$T$106,0)),""))</f>
        <v/>
      </c>
      <c r="U456" s="3">
        <f>IF($T456="","",$T456&amp;"|"&amp;COUNTIFS($T$7:$T456,$T456))</f>
        <v/>
      </c>
      <c r="V456" s="3">
        <f>IF($T456="",0,1)</f>
        <v/>
      </c>
      <c r="W456" s="3">
        <f>IF($C456="","",$D456&amp;"|"&amp;$E456&amp;"|"&amp;TEXT($C456,"0")&amp;"|"&amp;TEXT($G456,"0")&amp;"|"&amp;$J456)</f>
        <v/>
      </c>
      <c r="X456" s="3" t="n"/>
      <c r="Y456" s="3" t="n"/>
      <c r="Z456" s="3" t="n"/>
      <c r="AA456" s="3" t="n"/>
      <c r="AB456" s="3" t="n"/>
      <c r="AC456" s="3" t="n"/>
      <c r="AD456" s="3">
        <f>IF($C456="",0,SUMPRODUCT((AY_SONU!$O$7:$O$42="Evet")*(AY_SONU!$B$7:$B$42=DATE(YEAR($C456),MONTH($C456),1))))</f>
        <v/>
      </c>
    </row>
    <row r="457">
      <c r="A457" s="6" t="n"/>
      <c r="B457" s="113">
        <f>IF($C457="","","GG"&amp;TEXT(ROW()-6,"00000"))</f>
        <v/>
      </c>
      <c r="C457" s="220" t="n"/>
      <c r="D457" s="108" t="n"/>
      <c r="E457" s="109" t="n"/>
      <c r="F457" s="109" t="n"/>
      <c r="G457" s="221" t="n"/>
      <c r="H457" s="108" t="n"/>
      <c r="I457" s="108" t="n"/>
      <c r="J457" s="109" t="n"/>
      <c r="K457" s="109" t="n"/>
      <c r="L457" s="108" t="n"/>
      <c r="M457" s="121">
        <f>IF($C457="","",IF($D457="Gider",$E457,IF($L457&lt;&gt;"",$L457,$H457)))</f>
        <v/>
      </c>
      <c r="N457" s="121">
        <f>IF($C457="","",IF($D457="Gider",$H457,$E457))</f>
        <v/>
      </c>
      <c r="O457" s="226">
        <f>IF($C457="","",DATE(YEAR($C457),MONTH($C457),1))</f>
        <v/>
      </c>
      <c r="P457" s="113">
        <f>IF($C457="","",IF(AND($D457="Gelir",$L457&lt;&gt;"",$T457=""),"TANIMSIZ BORÇLU",IF($T457&lt;&gt;"",IF(OR($E457="",$G457&lt;=0),"EKSİK",IF($I457="Evet","TAHAKKUK NAKİT OLAMAZ",IF($C457&gt;TODAY(),"İLERİ TARİH","TAHAKKUK"))),IF(AND($D457&lt;&gt;"",$E457&lt;&gt;"",$G457&gt;0,$H457&lt;&gt;"",$I457&lt;&gt;""),IF($C457&gt;TODAY(),"İLERİ TARİH",IF(COUNTIF($W$7:$W$1206,$W457)&gt;1,"MÜKERRER?",IF($AD457&gt;0,"KAPALI DÖNEM",IF($I457="Hayır","ÖDENECEK","UYGUN")))),"EKSİK"))))</f>
        <v/>
      </c>
      <c r="Q457" s="6" t="n"/>
      <c r="R457" s="6" t="n"/>
      <c r="S457" s="3">
        <f>IF($L457="","",UPPER(SUBSTITUTE(SUBSTITUTE(SUBSTITUTE(SUBSTITUTE(SUBSTITUTE(SUBSTITUTE(SUBSTITUTE(SUBSTITUTE(SUBSTITUTE(SUBSTITUTE(SUBSTITUTE(SUBSTITUTE(SUBSTITUTE(SUBSTITUTE(SUBSTITUTE(SUBSTITUTE(SUBSTITUTE(SUBSTITUTE(TRIM($L457),"'",""),"İ","I"),"ı","I"),"i","I"),"Ş","S"),"ş","S"),"Ğ","G"),"ğ","G"),"Ü","U"),"ü","U"),"Ö","O"),"ö","O"),"Ç","C"),"ç","C"),".",""),",","")," ",""),"-","")))</f>
        <v/>
      </c>
      <c r="T457" s="3">
        <f>IF(OR($C457="",$D457&lt;&gt;"Gelir",$L457=""),"",IFERROR(INDEX(MUSTERILER!$B$7:$B$106,MATCH($S457,MUSTERILER!$T$7:$T$106,0)),""))</f>
        <v/>
      </c>
      <c r="U457" s="3">
        <f>IF($T457="","",$T457&amp;"|"&amp;COUNTIFS($T$7:$T457,$T457))</f>
        <v/>
      </c>
      <c r="V457" s="3">
        <f>IF($T457="",0,1)</f>
        <v/>
      </c>
      <c r="W457" s="3">
        <f>IF($C457="","",$D457&amp;"|"&amp;$E457&amp;"|"&amp;TEXT($C457,"0")&amp;"|"&amp;TEXT($G457,"0")&amp;"|"&amp;$J457)</f>
        <v/>
      </c>
      <c r="X457" s="3" t="n"/>
      <c r="Y457" s="3" t="n"/>
      <c r="Z457" s="3" t="n"/>
      <c r="AA457" s="3" t="n"/>
      <c r="AB457" s="3" t="n"/>
      <c r="AC457" s="3" t="n"/>
      <c r="AD457" s="3">
        <f>IF($C457="",0,SUMPRODUCT((AY_SONU!$O$7:$O$42="Evet")*(AY_SONU!$B$7:$B$42=DATE(YEAR($C457),MONTH($C457),1))))</f>
        <v/>
      </c>
    </row>
    <row r="458">
      <c r="A458" s="6" t="n"/>
      <c r="B458" s="113">
        <f>IF($C458="","","GG"&amp;TEXT(ROW()-6,"00000"))</f>
        <v/>
      </c>
      <c r="C458" s="220" t="n"/>
      <c r="D458" s="108" t="n"/>
      <c r="E458" s="109" t="n"/>
      <c r="F458" s="109" t="n"/>
      <c r="G458" s="221" t="n"/>
      <c r="H458" s="108" t="n"/>
      <c r="I458" s="108" t="n"/>
      <c r="J458" s="109" t="n"/>
      <c r="K458" s="109" t="n"/>
      <c r="L458" s="108" t="n"/>
      <c r="M458" s="121">
        <f>IF($C458="","",IF($D458="Gider",$E458,IF($L458&lt;&gt;"",$L458,$H458)))</f>
        <v/>
      </c>
      <c r="N458" s="121">
        <f>IF($C458="","",IF($D458="Gider",$H458,$E458))</f>
        <v/>
      </c>
      <c r="O458" s="226">
        <f>IF($C458="","",DATE(YEAR($C458),MONTH($C458),1))</f>
        <v/>
      </c>
      <c r="P458" s="113">
        <f>IF($C458="","",IF(AND($D458="Gelir",$L458&lt;&gt;"",$T458=""),"TANIMSIZ BORÇLU",IF($T458&lt;&gt;"",IF(OR($E458="",$G458&lt;=0),"EKSİK",IF($I458="Evet","TAHAKKUK NAKİT OLAMAZ",IF($C458&gt;TODAY(),"İLERİ TARİH","TAHAKKUK"))),IF(AND($D458&lt;&gt;"",$E458&lt;&gt;"",$G458&gt;0,$H458&lt;&gt;"",$I458&lt;&gt;""),IF($C458&gt;TODAY(),"İLERİ TARİH",IF(COUNTIF($W$7:$W$1206,$W458)&gt;1,"MÜKERRER?",IF($AD458&gt;0,"KAPALI DÖNEM",IF($I458="Hayır","ÖDENECEK","UYGUN")))),"EKSİK"))))</f>
        <v/>
      </c>
      <c r="Q458" s="6" t="n"/>
      <c r="R458" s="6" t="n"/>
      <c r="S458" s="3">
        <f>IF($L458="","",UPPER(SUBSTITUTE(SUBSTITUTE(SUBSTITUTE(SUBSTITUTE(SUBSTITUTE(SUBSTITUTE(SUBSTITUTE(SUBSTITUTE(SUBSTITUTE(SUBSTITUTE(SUBSTITUTE(SUBSTITUTE(SUBSTITUTE(SUBSTITUTE(SUBSTITUTE(SUBSTITUTE(SUBSTITUTE(SUBSTITUTE(TRIM($L458),"'",""),"İ","I"),"ı","I"),"i","I"),"Ş","S"),"ş","S"),"Ğ","G"),"ğ","G"),"Ü","U"),"ü","U"),"Ö","O"),"ö","O"),"Ç","C"),"ç","C"),".",""),",","")," ",""),"-","")))</f>
        <v/>
      </c>
      <c r="T458" s="3">
        <f>IF(OR($C458="",$D458&lt;&gt;"Gelir",$L458=""),"",IFERROR(INDEX(MUSTERILER!$B$7:$B$106,MATCH($S458,MUSTERILER!$T$7:$T$106,0)),""))</f>
        <v/>
      </c>
      <c r="U458" s="3">
        <f>IF($T458="","",$T458&amp;"|"&amp;COUNTIFS($T$7:$T458,$T458))</f>
        <v/>
      </c>
      <c r="V458" s="3">
        <f>IF($T458="",0,1)</f>
        <v/>
      </c>
      <c r="W458" s="3">
        <f>IF($C458="","",$D458&amp;"|"&amp;$E458&amp;"|"&amp;TEXT($C458,"0")&amp;"|"&amp;TEXT($G458,"0")&amp;"|"&amp;$J458)</f>
        <v/>
      </c>
      <c r="X458" s="3" t="n"/>
      <c r="Y458" s="3" t="n"/>
      <c r="Z458" s="3" t="n"/>
      <c r="AA458" s="3" t="n"/>
      <c r="AB458" s="3" t="n"/>
      <c r="AC458" s="3" t="n"/>
      <c r="AD458" s="3">
        <f>IF($C458="",0,SUMPRODUCT((AY_SONU!$O$7:$O$42="Evet")*(AY_SONU!$B$7:$B$42=DATE(YEAR($C458),MONTH($C458),1))))</f>
        <v/>
      </c>
    </row>
    <row r="459">
      <c r="A459" s="6" t="n"/>
      <c r="B459" s="113">
        <f>IF($C459="","","GG"&amp;TEXT(ROW()-6,"00000"))</f>
        <v/>
      </c>
      <c r="C459" s="220" t="n"/>
      <c r="D459" s="108" t="n"/>
      <c r="E459" s="109" t="n"/>
      <c r="F459" s="109" t="n"/>
      <c r="G459" s="221" t="n"/>
      <c r="H459" s="108" t="n"/>
      <c r="I459" s="108" t="n"/>
      <c r="J459" s="109" t="n"/>
      <c r="K459" s="109" t="n"/>
      <c r="L459" s="108" t="n"/>
      <c r="M459" s="121">
        <f>IF($C459="","",IF($D459="Gider",$E459,IF($L459&lt;&gt;"",$L459,$H459)))</f>
        <v/>
      </c>
      <c r="N459" s="121">
        <f>IF($C459="","",IF($D459="Gider",$H459,$E459))</f>
        <v/>
      </c>
      <c r="O459" s="226">
        <f>IF($C459="","",DATE(YEAR($C459),MONTH($C459),1))</f>
        <v/>
      </c>
      <c r="P459" s="113">
        <f>IF($C459="","",IF(AND($D459="Gelir",$L459&lt;&gt;"",$T459=""),"TANIMSIZ BORÇLU",IF($T459&lt;&gt;"",IF(OR($E459="",$G459&lt;=0),"EKSİK",IF($I459="Evet","TAHAKKUK NAKİT OLAMAZ",IF($C459&gt;TODAY(),"İLERİ TARİH","TAHAKKUK"))),IF(AND($D459&lt;&gt;"",$E459&lt;&gt;"",$G459&gt;0,$H459&lt;&gt;"",$I459&lt;&gt;""),IF($C459&gt;TODAY(),"İLERİ TARİH",IF(COUNTIF($W$7:$W$1206,$W459)&gt;1,"MÜKERRER?",IF($AD459&gt;0,"KAPALI DÖNEM",IF($I459="Hayır","ÖDENECEK","UYGUN")))),"EKSİK"))))</f>
        <v/>
      </c>
      <c r="Q459" s="6" t="n"/>
      <c r="R459" s="6" t="n"/>
      <c r="S459" s="3">
        <f>IF($L459="","",UPPER(SUBSTITUTE(SUBSTITUTE(SUBSTITUTE(SUBSTITUTE(SUBSTITUTE(SUBSTITUTE(SUBSTITUTE(SUBSTITUTE(SUBSTITUTE(SUBSTITUTE(SUBSTITUTE(SUBSTITUTE(SUBSTITUTE(SUBSTITUTE(SUBSTITUTE(SUBSTITUTE(SUBSTITUTE(SUBSTITUTE(TRIM($L459),"'",""),"İ","I"),"ı","I"),"i","I"),"Ş","S"),"ş","S"),"Ğ","G"),"ğ","G"),"Ü","U"),"ü","U"),"Ö","O"),"ö","O"),"Ç","C"),"ç","C"),".",""),",","")," ",""),"-","")))</f>
        <v/>
      </c>
      <c r="T459" s="3">
        <f>IF(OR($C459="",$D459&lt;&gt;"Gelir",$L459=""),"",IFERROR(INDEX(MUSTERILER!$B$7:$B$106,MATCH($S459,MUSTERILER!$T$7:$T$106,0)),""))</f>
        <v/>
      </c>
      <c r="U459" s="3">
        <f>IF($T459="","",$T459&amp;"|"&amp;COUNTIFS($T$7:$T459,$T459))</f>
        <v/>
      </c>
      <c r="V459" s="3">
        <f>IF($T459="",0,1)</f>
        <v/>
      </c>
      <c r="W459" s="3">
        <f>IF($C459="","",$D459&amp;"|"&amp;$E459&amp;"|"&amp;TEXT($C459,"0")&amp;"|"&amp;TEXT($G459,"0")&amp;"|"&amp;$J459)</f>
        <v/>
      </c>
      <c r="X459" s="3" t="n"/>
      <c r="Y459" s="3" t="n"/>
      <c r="Z459" s="3" t="n"/>
      <c r="AA459" s="3" t="n"/>
      <c r="AB459" s="3" t="n"/>
      <c r="AC459" s="3" t="n"/>
      <c r="AD459" s="3">
        <f>IF($C459="",0,SUMPRODUCT((AY_SONU!$O$7:$O$42="Evet")*(AY_SONU!$B$7:$B$42=DATE(YEAR($C459),MONTH($C459),1))))</f>
        <v/>
      </c>
    </row>
    <row r="460">
      <c r="A460" s="6" t="n"/>
      <c r="B460" s="113">
        <f>IF($C460="","","GG"&amp;TEXT(ROW()-6,"00000"))</f>
        <v/>
      </c>
      <c r="C460" s="220" t="n"/>
      <c r="D460" s="108" t="n"/>
      <c r="E460" s="109" t="n"/>
      <c r="F460" s="109" t="n"/>
      <c r="G460" s="221" t="n"/>
      <c r="H460" s="108" t="n"/>
      <c r="I460" s="108" t="n"/>
      <c r="J460" s="109" t="n"/>
      <c r="K460" s="109" t="n"/>
      <c r="L460" s="108" t="n"/>
      <c r="M460" s="121">
        <f>IF($C460="","",IF($D460="Gider",$E460,IF($L460&lt;&gt;"",$L460,$H460)))</f>
        <v/>
      </c>
      <c r="N460" s="121">
        <f>IF($C460="","",IF($D460="Gider",$H460,$E460))</f>
        <v/>
      </c>
      <c r="O460" s="226">
        <f>IF($C460="","",DATE(YEAR($C460),MONTH($C460),1))</f>
        <v/>
      </c>
      <c r="P460" s="113">
        <f>IF($C460="","",IF(AND($D460="Gelir",$L460&lt;&gt;"",$T460=""),"TANIMSIZ BORÇLU",IF($T460&lt;&gt;"",IF(OR($E460="",$G460&lt;=0),"EKSİK",IF($I460="Evet","TAHAKKUK NAKİT OLAMAZ",IF($C460&gt;TODAY(),"İLERİ TARİH","TAHAKKUK"))),IF(AND($D460&lt;&gt;"",$E460&lt;&gt;"",$G460&gt;0,$H460&lt;&gt;"",$I460&lt;&gt;""),IF($C460&gt;TODAY(),"İLERİ TARİH",IF(COUNTIF($W$7:$W$1206,$W460)&gt;1,"MÜKERRER?",IF($AD460&gt;0,"KAPALI DÖNEM",IF($I460="Hayır","ÖDENECEK","UYGUN")))),"EKSİK"))))</f>
        <v/>
      </c>
      <c r="Q460" s="6" t="n"/>
      <c r="R460" s="6" t="n"/>
      <c r="S460" s="3">
        <f>IF($L460="","",UPPER(SUBSTITUTE(SUBSTITUTE(SUBSTITUTE(SUBSTITUTE(SUBSTITUTE(SUBSTITUTE(SUBSTITUTE(SUBSTITUTE(SUBSTITUTE(SUBSTITUTE(SUBSTITUTE(SUBSTITUTE(SUBSTITUTE(SUBSTITUTE(SUBSTITUTE(SUBSTITUTE(SUBSTITUTE(SUBSTITUTE(TRIM($L460),"'",""),"İ","I"),"ı","I"),"i","I"),"Ş","S"),"ş","S"),"Ğ","G"),"ğ","G"),"Ü","U"),"ü","U"),"Ö","O"),"ö","O"),"Ç","C"),"ç","C"),".",""),",","")," ",""),"-","")))</f>
        <v/>
      </c>
      <c r="T460" s="3">
        <f>IF(OR($C460="",$D460&lt;&gt;"Gelir",$L460=""),"",IFERROR(INDEX(MUSTERILER!$B$7:$B$106,MATCH($S460,MUSTERILER!$T$7:$T$106,0)),""))</f>
        <v/>
      </c>
      <c r="U460" s="3">
        <f>IF($T460="","",$T460&amp;"|"&amp;COUNTIFS($T$7:$T460,$T460))</f>
        <v/>
      </c>
      <c r="V460" s="3">
        <f>IF($T460="",0,1)</f>
        <v/>
      </c>
      <c r="W460" s="3">
        <f>IF($C460="","",$D460&amp;"|"&amp;$E460&amp;"|"&amp;TEXT($C460,"0")&amp;"|"&amp;TEXT($G460,"0")&amp;"|"&amp;$J460)</f>
        <v/>
      </c>
      <c r="X460" s="3" t="n"/>
      <c r="Y460" s="3" t="n"/>
      <c r="Z460" s="3" t="n"/>
      <c r="AA460" s="3" t="n"/>
      <c r="AB460" s="3" t="n"/>
      <c r="AC460" s="3" t="n"/>
      <c r="AD460" s="3">
        <f>IF($C460="",0,SUMPRODUCT((AY_SONU!$O$7:$O$42="Evet")*(AY_SONU!$B$7:$B$42=DATE(YEAR($C460),MONTH($C460),1))))</f>
        <v/>
      </c>
    </row>
    <row r="461">
      <c r="A461" s="6" t="n"/>
      <c r="B461" s="113">
        <f>IF($C461="","","GG"&amp;TEXT(ROW()-6,"00000"))</f>
        <v/>
      </c>
      <c r="C461" s="220" t="n"/>
      <c r="D461" s="108" t="n"/>
      <c r="E461" s="109" t="n"/>
      <c r="F461" s="109" t="n"/>
      <c r="G461" s="221" t="n"/>
      <c r="H461" s="108" t="n"/>
      <c r="I461" s="108" t="n"/>
      <c r="J461" s="109" t="n"/>
      <c r="K461" s="109" t="n"/>
      <c r="L461" s="108" t="n"/>
      <c r="M461" s="121">
        <f>IF($C461="","",IF($D461="Gider",$E461,IF($L461&lt;&gt;"",$L461,$H461)))</f>
        <v/>
      </c>
      <c r="N461" s="121">
        <f>IF($C461="","",IF($D461="Gider",$H461,$E461))</f>
        <v/>
      </c>
      <c r="O461" s="226">
        <f>IF($C461="","",DATE(YEAR($C461),MONTH($C461),1))</f>
        <v/>
      </c>
      <c r="P461" s="113">
        <f>IF($C461="","",IF(AND($D461="Gelir",$L461&lt;&gt;"",$T461=""),"TANIMSIZ BORÇLU",IF($T461&lt;&gt;"",IF(OR($E461="",$G461&lt;=0),"EKSİK",IF($I461="Evet","TAHAKKUK NAKİT OLAMAZ",IF($C461&gt;TODAY(),"İLERİ TARİH","TAHAKKUK"))),IF(AND($D461&lt;&gt;"",$E461&lt;&gt;"",$G461&gt;0,$H461&lt;&gt;"",$I461&lt;&gt;""),IF($C461&gt;TODAY(),"İLERİ TARİH",IF(COUNTIF($W$7:$W$1206,$W461)&gt;1,"MÜKERRER?",IF($AD461&gt;0,"KAPALI DÖNEM",IF($I461="Hayır","ÖDENECEK","UYGUN")))),"EKSİK"))))</f>
        <v/>
      </c>
      <c r="Q461" s="6" t="n"/>
      <c r="R461" s="6" t="n"/>
      <c r="S461" s="3">
        <f>IF($L461="","",UPPER(SUBSTITUTE(SUBSTITUTE(SUBSTITUTE(SUBSTITUTE(SUBSTITUTE(SUBSTITUTE(SUBSTITUTE(SUBSTITUTE(SUBSTITUTE(SUBSTITUTE(SUBSTITUTE(SUBSTITUTE(SUBSTITUTE(SUBSTITUTE(SUBSTITUTE(SUBSTITUTE(SUBSTITUTE(SUBSTITUTE(TRIM($L461),"'",""),"İ","I"),"ı","I"),"i","I"),"Ş","S"),"ş","S"),"Ğ","G"),"ğ","G"),"Ü","U"),"ü","U"),"Ö","O"),"ö","O"),"Ç","C"),"ç","C"),".",""),",","")," ",""),"-","")))</f>
        <v/>
      </c>
      <c r="T461" s="3">
        <f>IF(OR($C461="",$D461&lt;&gt;"Gelir",$L461=""),"",IFERROR(INDEX(MUSTERILER!$B$7:$B$106,MATCH($S461,MUSTERILER!$T$7:$T$106,0)),""))</f>
        <v/>
      </c>
      <c r="U461" s="3">
        <f>IF($T461="","",$T461&amp;"|"&amp;COUNTIFS($T$7:$T461,$T461))</f>
        <v/>
      </c>
      <c r="V461" s="3">
        <f>IF($T461="",0,1)</f>
        <v/>
      </c>
      <c r="W461" s="3">
        <f>IF($C461="","",$D461&amp;"|"&amp;$E461&amp;"|"&amp;TEXT($C461,"0")&amp;"|"&amp;TEXT($G461,"0")&amp;"|"&amp;$J461)</f>
        <v/>
      </c>
      <c r="X461" s="3" t="n"/>
      <c r="Y461" s="3" t="n"/>
      <c r="Z461" s="3" t="n"/>
      <c r="AA461" s="3" t="n"/>
      <c r="AB461" s="3" t="n"/>
      <c r="AC461" s="3" t="n"/>
      <c r="AD461" s="3">
        <f>IF($C461="",0,SUMPRODUCT((AY_SONU!$O$7:$O$42="Evet")*(AY_SONU!$B$7:$B$42=DATE(YEAR($C461),MONTH($C461),1))))</f>
        <v/>
      </c>
    </row>
    <row r="462">
      <c r="A462" s="6" t="n"/>
      <c r="B462" s="113">
        <f>IF($C462="","","GG"&amp;TEXT(ROW()-6,"00000"))</f>
        <v/>
      </c>
      <c r="C462" s="220" t="n"/>
      <c r="D462" s="108" t="n"/>
      <c r="E462" s="109" t="n"/>
      <c r="F462" s="109" t="n"/>
      <c r="G462" s="221" t="n"/>
      <c r="H462" s="108" t="n"/>
      <c r="I462" s="108" t="n"/>
      <c r="J462" s="109" t="n"/>
      <c r="K462" s="109" t="n"/>
      <c r="L462" s="108" t="n"/>
      <c r="M462" s="121">
        <f>IF($C462="","",IF($D462="Gider",$E462,IF($L462&lt;&gt;"",$L462,$H462)))</f>
        <v/>
      </c>
      <c r="N462" s="121">
        <f>IF($C462="","",IF($D462="Gider",$H462,$E462))</f>
        <v/>
      </c>
      <c r="O462" s="226">
        <f>IF($C462="","",DATE(YEAR($C462),MONTH($C462),1))</f>
        <v/>
      </c>
      <c r="P462" s="113">
        <f>IF($C462="","",IF(AND($D462="Gelir",$L462&lt;&gt;"",$T462=""),"TANIMSIZ BORÇLU",IF($T462&lt;&gt;"",IF(OR($E462="",$G462&lt;=0),"EKSİK",IF($I462="Evet","TAHAKKUK NAKİT OLAMAZ",IF($C462&gt;TODAY(),"İLERİ TARİH","TAHAKKUK"))),IF(AND($D462&lt;&gt;"",$E462&lt;&gt;"",$G462&gt;0,$H462&lt;&gt;"",$I462&lt;&gt;""),IF($C462&gt;TODAY(),"İLERİ TARİH",IF(COUNTIF($W$7:$W$1206,$W462)&gt;1,"MÜKERRER?",IF($AD462&gt;0,"KAPALI DÖNEM",IF($I462="Hayır","ÖDENECEK","UYGUN")))),"EKSİK"))))</f>
        <v/>
      </c>
      <c r="Q462" s="6" t="n"/>
      <c r="R462" s="6" t="n"/>
      <c r="S462" s="3">
        <f>IF($L462="","",UPPER(SUBSTITUTE(SUBSTITUTE(SUBSTITUTE(SUBSTITUTE(SUBSTITUTE(SUBSTITUTE(SUBSTITUTE(SUBSTITUTE(SUBSTITUTE(SUBSTITUTE(SUBSTITUTE(SUBSTITUTE(SUBSTITUTE(SUBSTITUTE(SUBSTITUTE(SUBSTITUTE(SUBSTITUTE(SUBSTITUTE(TRIM($L462),"'",""),"İ","I"),"ı","I"),"i","I"),"Ş","S"),"ş","S"),"Ğ","G"),"ğ","G"),"Ü","U"),"ü","U"),"Ö","O"),"ö","O"),"Ç","C"),"ç","C"),".",""),",","")," ",""),"-","")))</f>
        <v/>
      </c>
      <c r="T462" s="3">
        <f>IF(OR($C462="",$D462&lt;&gt;"Gelir",$L462=""),"",IFERROR(INDEX(MUSTERILER!$B$7:$B$106,MATCH($S462,MUSTERILER!$T$7:$T$106,0)),""))</f>
        <v/>
      </c>
      <c r="U462" s="3">
        <f>IF($T462="","",$T462&amp;"|"&amp;COUNTIFS($T$7:$T462,$T462))</f>
        <v/>
      </c>
      <c r="V462" s="3">
        <f>IF($T462="",0,1)</f>
        <v/>
      </c>
      <c r="W462" s="3">
        <f>IF($C462="","",$D462&amp;"|"&amp;$E462&amp;"|"&amp;TEXT($C462,"0")&amp;"|"&amp;TEXT($G462,"0")&amp;"|"&amp;$J462)</f>
        <v/>
      </c>
      <c r="X462" s="3" t="n"/>
      <c r="Y462" s="3" t="n"/>
      <c r="Z462" s="3" t="n"/>
      <c r="AA462" s="3" t="n"/>
      <c r="AB462" s="3" t="n"/>
      <c r="AC462" s="3" t="n"/>
      <c r="AD462" s="3">
        <f>IF($C462="",0,SUMPRODUCT((AY_SONU!$O$7:$O$42="Evet")*(AY_SONU!$B$7:$B$42=DATE(YEAR($C462),MONTH($C462),1))))</f>
        <v/>
      </c>
    </row>
    <row r="463">
      <c r="A463" s="6" t="n"/>
      <c r="B463" s="113">
        <f>IF($C463="","","GG"&amp;TEXT(ROW()-6,"00000"))</f>
        <v/>
      </c>
      <c r="C463" s="220" t="n"/>
      <c r="D463" s="108" t="n"/>
      <c r="E463" s="109" t="n"/>
      <c r="F463" s="109" t="n"/>
      <c r="G463" s="221" t="n"/>
      <c r="H463" s="108" t="n"/>
      <c r="I463" s="108" t="n"/>
      <c r="J463" s="109" t="n"/>
      <c r="K463" s="109" t="n"/>
      <c r="L463" s="108" t="n"/>
      <c r="M463" s="121">
        <f>IF($C463="","",IF($D463="Gider",$E463,IF($L463&lt;&gt;"",$L463,$H463)))</f>
        <v/>
      </c>
      <c r="N463" s="121">
        <f>IF($C463="","",IF($D463="Gider",$H463,$E463))</f>
        <v/>
      </c>
      <c r="O463" s="226">
        <f>IF($C463="","",DATE(YEAR($C463),MONTH($C463),1))</f>
        <v/>
      </c>
      <c r="P463" s="113">
        <f>IF($C463="","",IF(AND($D463="Gelir",$L463&lt;&gt;"",$T463=""),"TANIMSIZ BORÇLU",IF($T463&lt;&gt;"",IF(OR($E463="",$G463&lt;=0),"EKSİK",IF($I463="Evet","TAHAKKUK NAKİT OLAMAZ",IF($C463&gt;TODAY(),"İLERİ TARİH","TAHAKKUK"))),IF(AND($D463&lt;&gt;"",$E463&lt;&gt;"",$G463&gt;0,$H463&lt;&gt;"",$I463&lt;&gt;""),IF($C463&gt;TODAY(),"İLERİ TARİH",IF(COUNTIF($W$7:$W$1206,$W463)&gt;1,"MÜKERRER?",IF($AD463&gt;0,"KAPALI DÖNEM",IF($I463="Hayır","ÖDENECEK","UYGUN")))),"EKSİK"))))</f>
        <v/>
      </c>
      <c r="Q463" s="6" t="n"/>
      <c r="R463" s="6" t="n"/>
      <c r="S463" s="3">
        <f>IF($L463="","",UPPER(SUBSTITUTE(SUBSTITUTE(SUBSTITUTE(SUBSTITUTE(SUBSTITUTE(SUBSTITUTE(SUBSTITUTE(SUBSTITUTE(SUBSTITUTE(SUBSTITUTE(SUBSTITUTE(SUBSTITUTE(SUBSTITUTE(SUBSTITUTE(SUBSTITUTE(SUBSTITUTE(SUBSTITUTE(SUBSTITUTE(TRIM($L463),"'",""),"İ","I"),"ı","I"),"i","I"),"Ş","S"),"ş","S"),"Ğ","G"),"ğ","G"),"Ü","U"),"ü","U"),"Ö","O"),"ö","O"),"Ç","C"),"ç","C"),".",""),",","")," ",""),"-","")))</f>
        <v/>
      </c>
      <c r="T463" s="3">
        <f>IF(OR($C463="",$D463&lt;&gt;"Gelir",$L463=""),"",IFERROR(INDEX(MUSTERILER!$B$7:$B$106,MATCH($S463,MUSTERILER!$T$7:$T$106,0)),""))</f>
        <v/>
      </c>
      <c r="U463" s="3">
        <f>IF($T463="","",$T463&amp;"|"&amp;COUNTIFS($T$7:$T463,$T463))</f>
        <v/>
      </c>
      <c r="V463" s="3">
        <f>IF($T463="",0,1)</f>
        <v/>
      </c>
      <c r="W463" s="3">
        <f>IF($C463="","",$D463&amp;"|"&amp;$E463&amp;"|"&amp;TEXT($C463,"0")&amp;"|"&amp;TEXT($G463,"0")&amp;"|"&amp;$J463)</f>
        <v/>
      </c>
      <c r="X463" s="3" t="n"/>
      <c r="Y463" s="3" t="n"/>
      <c r="Z463" s="3" t="n"/>
      <c r="AA463" s="3" t="n"/>
      <c r="AB463" s="3" t="n"/>
      <c r="AC463" s="3" t="n"/>
      <c r="AD463" s="3">
        <f>IF($C463="",0,SUMPRODUCT((AY_SONU!$O$7:$O$42="Evet")*(AY_SONU!$B$7:$B$42=DATE(YEAR($C463),MONTH($C463),1))))</f>
        <v/>
      </c>
    </row>
    <row r="464">
      <c r="A464" s="6" t="n"/>
      <c r="B464" s="113">
        <f>IF($C464="","","GG"&amp;TEXT(ROW()-6,"00000"))</f>
        <v/>
      </c>
      <c r="C464" s="220" t="n"/>
      <c r="D464" s="108" t="n"/>
      <c r="E464" s="109" t="n"/>
      <c r="F464" s="109" t="n"/>
      <c r="G464" s="221" t="n"/>
      <c r="H464" s="108" t="n"/>
      <c r="I464" s="108" t="n"/>
      <c r="J464" s="109" t="n"/>
      <c r="K464" s="109" t="n"/>
      <c r="L464" s="108" t="n"/>
      <c r="M464" s="121">
        <f>IF($C464="","",IF($D464="Gider",$E464,IF($L464&lt;&gt;"",$L464,$H464)))</f>
        <v/>
      </c>
      <c r="N464" s="121">
        <f>IF($C464="","",IF($D464="Gider",$H464,$E464))</f>
        <v/>
      </c>
      <c r="O464" s="226">
        <f>IF($C464="","",DATE(YEAR($C464),MONTH($C464),1))</f>
        <v/>
      </c>
      <c r="P464" s="113">
        <f>IF($C464="","",IF(AND($D464="Gelir",$L464&lt;&gt;"",$T464=""),"TANIMSIZ BORÇLU",IF($T464&lt;&gt;"",IF(OR($E464="",$G464&lt;=0),"EKSİK",IF($I464="Evet","TAHAKKUK NAKİT OLAMAZ",IF($C464&gt;TODAY(),"İLERİ TARİH","TAHAKKUK"))),IF(AND($D464&lt;&gt;"",$E464&lt;&gt;"",$G464&gt;0,$H464&lt;&gt;"",$I464&lt;&gt;""),IF($C464&gt;TODAY(),"İLERİ TARİH",IF(COUNTIF($W$7:$W$1206,$W464)&gt;1,"MÜKERRER?",IF($AD464&gt;0,"KAPALI DÖNEM",IF($I464="Hayır","ÖDENECEK","UYGUN")))),"EKSİK"))))</f>
        <v/>
      </c>
      <c r="Q464" s="6" t="n"/>
      <c r="R464" s="6" t="n"/>
      <c r="S464" s="3">
        <f>IF($L464="","",UPPER(SUBSTITUTE(SUBSTITUTE(SUBSTITUTE(SUBSTITUTE(SUBSTITUTE(SUBSTITUTE(SUBSTITUTE(SUBSTITUTE(SUBSTITUTE(SUBSTITUTE(SUBSTITUTE(SUBSTITUTE(SUBSTITUTE(SUBSTITUTE(SUBSTITUTE(SUBSTITUTE(SUBSTITUTE(SUBSTITUTE(TRIM($L464),"'",""),"İ","I"),"ı","I"),"i","I"),"Ş","S"),"ş","S"),"Ğ","G"),"ğ","G"),"Ü","U"),"ü","U"),"Ö","O"),"ö","O"),"Ç","C"),"ç","C"),".",""),",","")," ",""),"-","")))</f>
        <v/>
      </c>
      <c r="T464" s="3">
        <f>IF(OR($C464="",$D464&lt;&gt;"Gelir",$L464=""),"",IFERROR(INDEX(MUSTERILER!$B$7:$B$106,MATCH($S464,MUSTERILER!$T$7:$T$106,0)),""))</f>
        <v/>
      </c>
      <c r="U464" s="3">
        <f>IF($T464="","",$T464&amp;"|"&amp;COUNTIFS($T$7:$T464,$T464))</f>
        <v/>
      </c>
      <c r="V464" s="3">
        <f>IF($T464="",0,1)</f>
        <v/>
      </c>
      <c r="W464" s="3">
        <f>IF($C464="","",$D464&amp;"|"&amp;$E464&amp;"|"&amp;TEXT($C464,"0")&amp;"|"&amp;TEXT($G464,"0")&amp;"|"&amp;$J464)</f>
        <v/>
      </c>
      <c r="X464" s="3" t="n"/>
      <c r="Y464" s="3" t="n"/>
      <c r="Z464" s="3" t="n"/>
      <c r="AA464" s="3" t="n"/>
      <c r="AB464" s="3" t="n"/>
      <c r="AC464" s="3" t="n"/>
      <c r="AD464" s="3">
        <f>IF($C464="",0,SUMPRODUCT((AY_SONU!$O$7:$O$42="Evet")*(AY_SONU!$B$7:$B$42=DATE(YEAR($C464),MONTH($C464),1))))</f>
        <v/>
      </c>
    </row>
    <row r="465">
      <c r="A465" s="6" t="n"/>
      <c r="B465" s="113">
        <f>IF($C465="","","GG"&amp;TEXT(ROW()-6,"00000"))</f>
        <v/>
      </c>
      <c r="C465" s="220" t="n"/>
      <c r="D465" s="108" t="n"/>
      <c r="E465" s="109" t="n"/>
      <c r="F465" s="109" t="n"/>
      <c r="G465" s="221" t="n"/>
      <c r="H465" s="108" t="n"/>
      <c r="I465" s="108" t="n"/>
      <c r="J465" s="109" t="n"/>
      <c r="K465" s="109" t="n"/>
      <c r="L465" s="108" t="n"/>
      <c r="M465" s="121">
        <f>IF($C465="","",IF($D465="Gider",$E465,IF($L465&lt;&gt;"",$L465,$H465)))</f>
        <v/>
      </c>
      <c r="N465" s="121">
        <f>IF($C465="","",IF($D465="Gider",$H465,$E465))</f>
        <v/>
      </c>
      <c r="O465" s="226">
        <f>IF($C465="","",DATE(YEAR($C465),MONTH($C465),1))</f>
        <v/>
      </c>
      <c r="P465" s="113">
        <f>IF($C465="","",IF(AND($D465="Gelir",$L465&lt;&gt;"",$T465=""),"TANIMSIZ BORÇLU",IF($T465&lt;&gt;"",IF(OR($E465="",$G465&lt;=0),"EKSİK",IF($I465="Evet","TAHAKKUK NAKİT OLAMAZ",IF($C465&gt;TODAY(),"İLERİ TARİH","TAHAKKUK"))),IF(AND($D465&lt;&gt;"",$E465&lt;&gt;"",$G465&gt;0,$H465&lt;&gt;"",$I465&lt;&gt;""),IF($C465&gt;TODAY(),"İLERİ TARİH",IF(COUNTIF($W$7:$W$1206,$W465)&gt;1,"MÜKERRER?",IF($AD465&gt;0,"KAPALI DÖNEM",IF($I465="Hayır","ÖDENECEK","UYGUN")))),"EKSİK"))))</f>
        <v/>
      </c>
      <c r="Q465" s="6" t="n"/>
      <c r="R465" s="6" t="n"/>
      <c r="S465" s="3">
        <f>IF($L465="","",UPPER(SUBSTITUTE(SUBSTITUTE(SUBSTITUTE(SUBSTITUTE(SUBSTITUTE(SUBSTITUTE(SUBSTITUTE(SUBSTITUTE(SUBSTITUTE(SUBSTITUTE(SUBSTITUTE(SUBSTITUTE(SUBSTITUTE(SUBSTITUTE(SUBSTITUTE(SUBSTITUTE(SUBSTITUTE(SUBSTITUTE(TRIM($L465),"'",""),"İ","I"),"ı","I"),"i","I"),"Ş","S"),"ş","S"),"Ğ","G"),"ğ","G"),"Ü","U"),"ü","U"),"Ö","O"),"ö","O"),"Ç","C"),"ç","C"),".",""),",","")," ",""),"-","")))</f>
        <v/>
      </c>
      <c r="T465" s="3">
        <f>IF(OR($C465="",$D465&lt;&gt;"Gelir",$L465=""),"",IFERROR(INDEX(MUSTERILER!$B$7:$B$106,MATCH($S465,MUSTERILER!$T$7:$T$106,0)),""))</f>
        <v/>
      </c>
      <c r="U465" s="3">
        <f>IF($T465="","",$T465&amp;"|"&amp;COUNTIFS($T$7:$T465,$T465))</f>
        <v/>
      </c>
      <c r="V465" s="3">
        <f>IF($T465="",0,1)</f>
        <v/>
      </c>
      <c r="W465" s="3">
        <f>IF($C465="","",$D465&amp;"|"&amp;$E465&amp;"|"&amp;TEXT($C465,"0")&amp;"|"&amp;TEXT($G465,"0")&amp;"|"&amp;$J465)</f>
        <v/>
      </c>
      <c r="X465" s="3" t="n"/>
      <c r="Y465" s="3" t="n"/>
      <c r="Z465" s="3" t="n"/>
      <c r="AA465" s="3" t="n"/>
      <c r="AB465" s="3" t="n"/>
      <c r="AC465" s="3" t="n"/>
      <c r="AD465" s="3">
        <f>IF($C465="",0,SUMPRODUCT((AY_SONU!$O$7:$O$42="Evet")*(AY_SONU!$B$7:$B$42=DATE(YEAR($C465),MONTH($C465),1))))</f>
        <v/>
      </c>
    </row>
    <row r="466">
      <c r="A466" s="6" t="n"/>
      <c r="B466" s="113">
        <f>IF($C466="","","GG"&amp;TEXT(ROW()-6,"00000"))</f>
        <v/>
      </c>
      <c r="C466" s="220" t="n"/>
      <c r="D466" s="108" t="n"/>
      <c r="E466" s="109" t="n"/>
      <c r="F466" s="109" t="n"/>
      <c r="G466" s="221" t="n"/>
      <c r="H466" s="108" t="n"/>
      <c r="I466" s="108" t="n"/>
      <c r="J466" s="109" t="n"/>
      <c r="K466" s="109" t="n"/>
      <c r="L466" s="108" t="n"/>
      <c r="M466" s="121">
        <f>IF($C466="","",IF($D466="Gider",$E466,IF($L466&lt;&gt;"",$L466,$H466)))</f>
        <v/>
      </c>
      <c r="N466" s="121">
        <f>IF($C466="","",IF($D466="Gider",$H466,$E466))</f>
        <v/>
      </c>
      <c r="O466" s="226">
        <f>IF($C466="","",DATE(YEAR($C466),MONTH($C466),1))</f>
        <v/>
      </c>
      <c r="P466" s="113">
        <f>IF($C466="","",IF(AND($D466="Gelir",$L466&lt;&gt;"",$T466=""),"TANIMSIZ BORÇLU",IF($T466&lt;&gt;"",IF(OR($E466="",$G466&lt;=0),"EKSİK",IF($I466="Evet","TAHAKKUK NAKİT OLAMAZ",IF($C466&gt;TODAY(),"İLERİ TARİH","TAHAKKUK"))),IF(AND($D466&lt;&gt;"",$E466&lt;&gt;"",$G466&gt;0,$H466&lt;&gt;"",$I466&lt;&gt;""),IF($C466&gt;TODAY(),"İLERİ TARİH",IF(COUNTIF($W$7:$W$1206,$W466)&gt;1,"MÜKERRER?",IF($AD466&gt;0,"KAPALI DÖNEM",IF($I466="Hayır","ÖDENECEK","UYGUN")))),"EKSİK"))))</f>
        <v/>
      </c>
      <c r="Q466" s="6" t="n"/>
      <c r="R466" s="6" t="n"/>
      <c r="S466" s="3">
        <f>IF($L466="","",UPPER(SUBSTITUTE(SUBSTITUTE(SUBSTITUTE(SUBSTITUTE(SUBSTITUTE(SUBSTITUTE(SUBSTITUTE(SUBSTITUTE(SUBSTITUTE(SUBSTITUTE(SUBSTITUTE(SUBSTITUTE(SUBSTITUTE(SUBSTITUTE(SUBSTITUTE(SUBSTITUTE(SUBSTITUTE(SUBSTITUTE(TRIM($L466),"'",""),"İ","I"),"ı","I"),"i","I"),"Ş","S"),"ş","S"),"Ğ","G"),"ğ","G"),"Ü","U"),"ü","U"),"Ö","O"),"ö","O"),"Ç","C"),"ç","C"),".",""),",","")," ",""),"-","")))</f>
        <v/>
      </c>
      <c r="T466" s="3">
        <f>IF(OR($C466="",$D466&lt;&gt;"Gelir",$L466=""),"",IFERROR(INDEX(MUSTERILER!$B$7:$B$106,MATCH($S466,MUSTERILER!$T$7:$T$106,0)),""))</f>
        <v/>
      </c>
      <c r="U466" s="3">
        <f>IF($T466="","",$T466&amp;"|"&amp;COUNTIFS($T$7:$T466,$T466))</f>
        <v/>
      </c>
      <c r="V466" s="3">
        <f>IF($T466="",0,1)</f>
        <v/>
      </c>
      <c r="W466" s="3">
        <f>IF($C466="","",$D466&amp;"|"&amp;$E466&amp;"|"&amp;TEXT($C466,"0")&amp;"|"&amp;TEXT($G466,"0")&amp;"|"&amp;$J466)</f>
        <v/>
      </c>
      <c r="X466" s="3" t="n"/>
      <c r="Y466" s="3" t="n"/>
      <c r="Z466" s="3" t="n"/>
      <c r="AA466" s="3" t="n"/>
      <c r="AB466" s="3" t="n"/>
      <c r="AC466" s="3" t="n"/>
      <c r="AD466" s="3">
        <f>IF($C466="",0,SUMPRODUCT((AY_SONU!$O$7:$O$42="Evet")*(AY_SONU!$B$7:$B$42=DATE(YEAR($C466),MONTH($C466),1))))</f>
        <v/>
      </c>
    </row>
    <row r="467">
      <c r="A467" s="6" t="n"/>
      <c r="B467" s="113">
        <f>IF($C467="","","GG"&amp;TEXT(ROW()-6,"00000"))</f>
        <v/>
      </c>
      <c r="C467" s="220" t="n"/>
      <c r="D467" s="108" t="n"/>
      <c r="E467" s="109" t="n"/>
      <c r="F467" s="109" t="n"/>
      <c r="G467" s="221" t="n"/>
      <c r="H467" s="108" t="n"/>
      <c r="I467" s="108" t="n"/>
      <c r="J467" s="109" t="n"/>
      <c r="K467" s="109" t="n"/>
      <c r="L467" s="108" t="n"/>
      <c r="M467" s="121">
        <f>IF($C467="","",IF($D467="Gider",$E467,IF($L467&lt;&gt;"",$L467,$H467)))</f>
        <v/>
      </c>
      <c r="N467" s="121">
        <f>IF($C467="","",IF($D467="Gider",$H467,$E467))</f>
        <v/>
      </c>
      <c r="O467" s="226">
        <f>IF($C467="","",DATE(YEAR($C467),MONTH($C467),1))</f>
        <v/>
      </c>
      <c r="P467" s="113">
        <f>IF($C467="","",IF(AND($D467="Gelir",$L467&lt;&gt;"",$T467=""),"TANIMSIZ BORÇLU",IF($T467&lt;&gt;"",IF(OR($E467="",$G467&lt;=0),"EKSİK",IF($I467="Evet","TAHAKKUK NAKİT OLAMAZ",IF($C467&gt;TODAY(),"İLERİ TARİH","TAHAKKUK"))),IF(AND($D467&lt;&gt;"",$E467&lt;&gt;"",$G467&gt;0,$H467&lt;&gt;"",$I467&lt;&gt;""),IF($C467&gt;TODAY(),"İLERİ TARİH",IF(COUNTIF($W$7:$W$1206,$W467)&gt;1,"MÜKERRER?",IF($AD467&gt;0,"KAPALI DÖNEM",IF($I467="Hayır","ÖDENECEK","UYGUN")))),"EKSİK"))))</f>
        <v/>
      </c>
      <c r="Q467" s="6" t="n"/>
      <c r="R467" s="6" t="n"/>
      <c r="S467" s="3">
        <f>IF($L467="","",UPPER(SUBSTITUTE(SUBSTITUTE(SUBSTITUTE(SUBSTITUTE(SUBSTITUTE(SUBSTITUTE(SUBSTITUTE(SUBSTITUTE(SUBSTITUTE(SUBSTITUTE(SUBSTITUTE(SUBSTITUTE(SUBSTITUTE(SUBSTITUTE(SUBSTITUTE(SUBSTITUTE(SUBSTITUTE(SUBSTITUTE(TRIM($L467),"'",""),"İ","I"),"ı","I"),"i","I"),"Ş","S"),"ş","S"),"Ğ","G"),"ğ","G"),"Ü","U"),"ü","U"),"Ö","O"),"ö","O"),"Ç","C"),"ç","C"),".",""),",","")," ",""),"-","")))</f>
        <v/>
      </c>
      <c r="T467" s="3">
        <f>IF(OR($C467="",$D467&lt;&gt;"Gelir",$L467=""),"",IFERROR(INDEX(MUSTERILER!$B$7:$B$106,MATCH($S467,MUSTERILER!$T$7:$T$106,0)),""))</f>
        <v/>
      </c>
      <c r="U467" s="3">
        <f>IF($T467="","",$T467&amp;"|"&amp;COUNTIFS($T$7:$T467,$T467))</f>
        <v/>
      </c>
      <c r="V467" s="3">
        <f>IF($T467="",0,1)</f>
        <v/>
      </c>
      <c r="W467" s="3">
        <f>IF($C467="","",$D467&amp;"|"&amp;$E467&amp;"|"&amp;TEXT($C467,"0")&amp;"|"&amp;TEXT($G467,"0")&amp;"|"&amp;$J467)</f>
        <v/>
      </c>
      <c r="X467" s="3" t="n"/>
      <c r="Y467" s="3" t="n"/>
      <c r="Z467" s="3" t="n"/>
      <c r="AA467" s="3" t="n"/>
      <c r="AB467" s="3" t="n"/>
      <c r="AC467" s="3" t="n"/>
      <c r="AD467" s="3">
        <f>IF($C467="",0,SUMPRODUCT((AY_SONU!$O$7:$O$42="Evet")*(AY_SONU!$B$7:$B$42=DATE(YEAR($C467),MONTH($C467),1))))</f>
        <v/>
      </c>
    </row>
    <row r="468">
      <c r="A468" s="6" t="n"/>
      <c r="B468" s="113">
        <f>IF($C468="","","GG"&amp;TEXT(ROW()-6,"00000"))</f>
        <v/>
      </c>
      <c r="C468" s="220" t="n"/>
      <c r="D468" s="108" t="n"/>
      <c r="E468" s="109" t="n"/>
      <c r="F468" s="109" t="n"/>
      <c r="G468" s="221" t="n"/>
      <c r="H468" s="108" t="n"/>
      <c r="I468" s="108" t="n"/>
      <c r="J468" s="109" t="n"/>
      <c r="K468" s="109" t="n"/>
      <c r="L468" s="108" t="n"/>
      <c r="M468" s="121">
        <f>IF($C468="","",IF($D468="Gider",$E468,IF($L468&lt;&gt;"",$L468,$H468)))</f>
        <v/>
      </c>
      <c r="N468" s="121">
        <f>IF($C468="","",IF($D468="Gider",$H468,$E468))</f>
        <v/>
      </c>
      <c r="O468" s="226">
        <f>IF($C468="","",DATE(YEAR($C468),MONTH($C468),1))</f>
        <v/>
      </c>
      <c r="P468" s="113">
        <f>IF($C468="","",IF(AND($D468="Gelir",$L468&lt;&gt;"",$T468=""),"TANIMSIZ BORÇLU",IF($T468&lt;&gt;"",IF(OR($E468="",$G468&lt;=0),"EKSİK",IF($I468="Evet","TAHAKKUK NAKİT OLAMAZ",IF($C468&gt;TODAY(),"İLERİ TARİH","TAHAKKUK"))),IF(AND($D468&lt;&gt;"",$E468&lt;&gt;"",$G468&gt;0,$H468&lt;&gt;"",$I468&lt;&gt;""),IF($C468&gt;TODAY(),"İLERİ TARİH",IF(COUNTIF($W$7:$W$1206,$W468)&gt;1,"MÜKERRER?",IF($AD468&gt;0,"KAPALI DÖNEM",IF($I468="Hayır","ÖDENECEK","UYGUN")))),"EKSİK"))))</f>
        <v/>
      </c>
      <c r="Q468" s="6" t="n"/>
      <c r="R468" s="6" t="n"/>
      <c r="S468" s="3">
        <f>IF($L468="","",UPPER(SUBSTITUTE(SUBSTITUTE(SUBSTITUTE(SUBSTITUTE(SUBSTITUTE(SUBSTITUTE(SUBSTITUTE(SUBSTITUTE(SUBSTITUTE(SUBSTITUTE(SUBSTITUTE(SUBSTITUTE(SUBSTITUTE(SUBSTITUTE(SUBSTITUTE(SUBSTITUTE(SUBSTITUTE(SUBSTITUTE(TRIM($L468),"'",""),"İ","I"),"ı","I"),"i","I"),"Ş","S"),"ş","S"),"Ğ","G"),"ğ","G"),"Ü","U"),"ü","U"),"Ö","O"),"ö","O"),"Ç","C"),"ç","C"),".",""),",","")," ",""),"-","")))</f>
        <v/>
      </c>
      <c r="T468" s="3">
        <f>IF(OR($C468="",$D468&lt;&gt;"Gelir",$L468=""),"",IFERROR(INDEX(MUSTERILER!$B$7:$B$106,MATCH($S468,MUSTERILER!$T$7:$T$106,0)),""))</f>
        <v/>
      </c>
      <c r="U468" s="3">
        <f>IF($T468="","",$T468&amp;"|"&amp;COUNTIFS($T$7:$T468,$T468))</f>
        <v/>
      </c>
      <c r="V468" s="3">
        <f>IF($T468="",0,1)</f>
        <v/>
      </c>
      <c r="W468" s="3">
        <f>IF($C468="","",$D468&amp;"|"&amp;$E468&amp;"|"&amp;TEXT($C468,"0")&amp;"|"&amp;TEXT($G468,"0")&amp;"|"&amp;$J468)</f>
        <v/>
      </c>
      <c r="X468" s="3" t="n"/>
      <c r="Y468" s="3" t="n"/>
      <c r="Z468" s="3" t="n"/>
      <c r="AA468" s="3" t="n"/>
      <c r="AB468" s="3" t="n"/>
      <c r="AC468" s="3" t="n"/>
      <c r="AD468" s="3">
        <f>IF($C468="",0,SUMPRODUCT((AY_SONU!$O$7:$O$42="Evet")*(AY_SONU!$B$7:$B$42=DATE(YEAR($C468),MONTH($C468),1))))</f>
        <v/>
      </c>
    </row>
    <row r="469">
      <c r="A469" s="6" t="n"/>
      <c r="B469" s="113">
        <f>IF($C469="","","GG"&amp;TEXT(ROW()-6,"00000"))</f>
        <v/>
      </c>
      <c r="C469" s="220" t="n"/>
      <c r="D469" s="108" t="n"/>
      <c r="E469" s="109" t="n"/>
      <c r="F469" s="109" t="n"/>
      <c r="G469" s="221" t="n"/>
      <c r="H469" s="108" t="n"/>
      <c r="I469" s="108" t="n"/>
      <c r="J469" s="109" t="n"/>
      <c r="K469" s="109" t="n"/>
      <c r="L469" s="108" t="n"/>
      <c r="M469" s="121">
        <f>IF($C469="","",IF($D469="Gider",$E469,IF($L469&lt;&gt;"",$L469,$H469)))</f>
        <v/>
      </c>
      <c r="N469" s="121">
        <f>IF($C469="","",IF($D469="Gider",$H469,$E469))</f>
        <v/>
      </c>
      <c r="O469" s="226">
        <f>IF($C469="","",DATE(YEAR($C469),MONTH($C469),1))</f>
        <v/>
      </c>
      <c r="P469" s="113">
        <f>IF($C469="","",IF(AND($D469="Gelir",$L469&lt;&gt;"",$T469=""),"TANIMSIZ BORÇLU",IF($T469&lt;&gt;"",IF(OR($E469="",$G469&lt;=0),"EKSİK",IF($I469="Evet","TAHAKKUK NAKİT OLAMAZ",IF($C469&gt;TODAY(),"İLERİ TARİH","TAHAKKUK"))),IF(AND($D469&lt;&gt;"",$E469&lt;&gt;"",$G469&gt;0,$H469&lt;&gt;"",$I469&lt;&gt;""),IF($C469&gt;TODAY(),"İLERİ TARİH",IF(COUNTIF($W$7:$W$1206,$W469)&gt;1,"MÜKERRER?",IF($AD469&gt;0,"KAPALI DÖNEM",IF($I469="Hayır","ÖDENECEK","UYGUN")))),"EKSİK"))))</f>
        <v/>
      </c>
      <c r="Q469" s="6" t="n"/>
      <c r="R469" s="6" t="n"/>
      <c r="S469" s="3">
        <f>IF($L469="","",UPPER(SUBSTITUTE(SUBSTITUTE(SUBSTITUTE(SUBSTITUTE(SUBSTITUTE(SUBSTITUTE(SUBSTITUTE(SUBSTITUTE(SUBSTITUTE(SUBSTITUTE(SUBSTITUTE(SUBSTITUTE(SUBSTITUTE(SUBSTITUTE(SUBSTITUTE(SUBSTITUTE(SUBSTITUTE(SUBSTITUTE(TRIM($L469),"'",""),"İ","I"),"ı","I"),"i","I"),"Ş","S"),"ş","S"),"Ğ","G"),"ğ","G"),"Ü","U"),"ü","U"),"Ö","O"),"ö","O"),"Ç","C"),"ç","C"),".",""),",","")," ",""),"-","")))</f>
        <v/>
      </c>
      <c r="T469" s="3">
        <f>IF(OR($C469="",$D469&lt;&gt;"Gelir",$L469=""),"",IFERROR(INDEX(MUSTERILER!$B$7:$B$106,MATCH($S469,MUSTERILER!$T$7:$T$106,0)),""))</f>
        <v/>
      </c>
      <c r="U469" s="3">
        <f>IF($T469="","",$T469&amp;"|"&amp;COUNTIFS($T$7:$T469,$T469))</f>
        <v/>
      </c>
      <c r="V469" s="3">
        <f>IF($T469="",0,1)</f>
        <v/>
      </c>
      <c r="W469" s="3">
        <f>IF($C469="","",$D469&amp;"|"&amp;$E469&amp;"|"&amp;TEXT($C469,"0")&amp;"|"&amp;TEXT($G469,"0")&amp;"|"&amp;$J469)</f>
        <v/>
      </c>
      <c r="X469" s="3" t="n"/>
      <c r="Y469" s="3" t="n"/>
      <c r="Z469" s="3" t="n"/>
      <c r="AA469" s="3" t="n"/>
      <c r="AB469" s="3" t="n"/>
      <c r="AC469" s="3" t="n"/>
      <c r="AD469" s="3">
        <f>IF($C469="",0,SUMPRODUCT((AY_SONU!$O$7:$O$42="Evet")*(AY_SONU!$B$7:$B$42=DATE(YEAR($C469),MONTH($C469),1))))</f>
        <v/>
      </c>
    </row>
    <row r="470">
      <c r="A470" s="6" t="n"/>
      <c r="B470" s="113">
        <f>IF($C470="","","GG"&amp;TEXT(ROW()-6,"00000"))</f>
        <v/>
      </c>
      <c r="C470" s="220" t="n"/>
      <c r="D470" s="108" t="n"/>
      <c r="E470" s="109" t="n"/>
      <c r="F470" s="109" t="n"/>
      <c r="G470" s="221" t="n"/>
      <c r="H470" s="108" t="n"/>
      <c r="I470" s="108" t="n"/>
      <c r="J470" s="109" t="n"/>
      <c r="K470" s="109" t="n"/>
      <c r="L470" s="108" t="n"/>
      <c r="M470" s="121">
        <f>IF($C470="","",IF($D470="Gider",$E470,IF($L470&lt;&gt;"",$L470,$H470)))</f>
        <v/>
      </c>
      <c r="N470" s="121">
        <f>IF($C470="","",IF($D470="Gider",$H470,$E470))</f>
        <v/>
      </c>
      <c r="O470" s="226">
        <f>IF($C470="","",DATE(YEAR($C470),MONTH($C470),1))</f>
        <v/>
      </c>
      <c r="P470" s="113">
        <f>IF($C470="","",IF(AND($D470="Gelir",$L470&lt;&gt;"",$T470=""),"TANIMSIZ BORÇLU",IF($T470&lt;&gt;"",IF(OR($E470="",$G470&lt;=0),"EKSİK",IF($I470="Evet","TAHAKKUK NAKİT OLAMAZ",IF($C470&gt;TODAY(),"İLERİ TARİH","TAHAKKUK"))),IF(AND($D470&lt;&gt;"",$E470&lt;&gt;"",$G470&gt;0,$H470&lt;&gt;"",$I470&lt;&gt;""),IF($C470&gt;TODAY(),"İLERİ TARİH",IF(COUNTIF($W$7:$W$1206,$W470)&gt;1,"MÜKERRER?",IF($AD470&gt;0,"KAPALI DÖNEM",IF($I470="Hayır","ÖDENECEK","UYGUN")))),"EKSİK"))))</f>
        <v/>
      </c>
      <c r="Q470" s="6" t="n"/>
      <c r="R470" s="6" t="n"/>
      <c r="S470" s="3">
        <f>IF($L470="","",UPPER(SUBSTITUTE(SUBSTITUTE(SUBSTITUTE(SUBSTITUTE(SUBSTITUTE(SUBSTITUTE(SUBSTITUTE(SUBSTITUTE(SUBSTITUTE(SUBSTITUTE(SUBSTITUTE(SUBSTITUTE(SUBSTITUTE(SUBSTITUTE(SUBSTITUTE(SUBSTITUTE(SUBSTITUTE(SUBSTITUTE(TRIM($L470),"'",""),"İ","I"),"ı","I"),"i","I"),"Ş","S"),"ş","S"),"Ğ","G"),"ğ","G"),"Ü","U"),"ü","U"),"Ö","O"),"ö","O"),"Ç","C"),"ç","C"),".",""),",","")," ",""),"-","")))</f>
        <v/>
      </c>
      <c r="T470" s="3">
        <f>IF(OR($C470="",$D470&lt;&gt;"Gelir",$L470=""),"",IFERROR(INDEX(MUSTERILER!$B$7:$B$106,MATCH($S470,MUSTERILER!$T$7:$T$106,0)),""))</f>
        <v/>
      </c>
      <c r="U470" s="3">
        <f>IF($T470="","",$T470&amp;"|"&amp;COUNTIFS($T$7:$T470,$T470))</f>
        <v/>
      </c>
      <c r="V470" s="3">
        <f>IF($T470="",0,1)</f>
        <v/>
      </c>
      <c r="W470" s="3">
        <f>IF($C470="","",$D470&amp;"|"&amp;$E470&amp;"|"&amp;TEXT($C470,"0")&amp;"|"&amp;TEXT($G470,"0")&amp;"|"&amp;$J470)</f>
        <v/>
      </c>
      <c r="X470" s="3" t="n"/>
      <c r="Y470" s="3" t="n"/>
      <c r="Z470" s="3" t="n"/>
      <c r="AA470" s="3" t="n"/>
      <c r="AB470" s="3" t="n"/>
      <c r="AC470" s="3" t="n"/>
      <c r="AD470" s="3">
        <f>IF($C470="",0,SUMPRODUCT((AY_SONU!$O$7:$O$42="Evet")*(AY_SONU!$B$7:$B$42=DATE(YEAR($C470),MONTH($C470),1))))</f>
        <v/>
      </c>
    </row>
    <row r="471">
      <c r="A471" s="6" t="n"/>
      <c r="B471" s="113">
        <f>IF($C471="","","GG"&amp;TEXT(ROW()-6,"00000"))</f>
        <v/>
      </c>
      <c r="C471" s="220" t="n"/>
      <c r="D471" s="108" t="n"/>
      <c r="E471" s="109" t="n"/>
      <c r="F471" s="109" t="n"/>
      <c r="G471" s="221" t="n"/>
      <c r="H471" s="108" t="n"/>
      <c r="I471" s="108" t="n"/>
      <c r="J471" s="109" t="n"/>
      <c r="K471" s="109" t="n"/>
      <c r="L471" s="108" t="n"/>
      <c r="M471" s="121">
        <f>IF($C471="","",IF($D471="Gider",$E471,IF($L471&lt;&gt;"",$L471,$H471)))</f>
        <v/>
      </c>
      <c r="N471" s="121">
        <f>IF($C471="","",IF($D471="Gider",$H471,$E471))</f>
        <v/>
      </c>
      <c r="O471" s="226">
        <f>IF($C471="","",DATE(YEAR($C471),MONTH($C471),1))</f>
        <v/>
      </c>
      <c r="P471" s="113">
        <f>IF($C471="","",IF(AND($D471="Gelir",$L471&lt;&gt;"",$T471=""),"TANIMSIZ BORÇLU",IF($T471&lt;&gt;"",IF(OR($E471="",$G471&lt;=0),"EKSİK",IF($I471="Evet","TAHAKKUK NAKİT OLAMAZ",IF($C471&gt;TODAY(),"İLERİ TARİH","TAHAKKUK"))),IF(AND($D471&lt;&gt;"",$E471&lt;&gt;"",$G471&gt;0,$H471&lt;&gt;"",$I471&lt;&gt;""),IF($C471&gt;TODAY(),"İLERİ TARİH",IF(COUNTIF($W$7:$W$1206,$W471)&gt;1,"MÜKERRER?",IF($AD471&gt;0,"KAPALI DÖNEM",IF($I471="Hayır","ÖDENECEK","UYGUN")))),"EKSİK"))))</f>
        <v/>
      </c>
      <c r="Q471" s="6" t="n"/>
      <c r="R471" s="6" t="n"/>
      <c r="S471" s="3">
        <f>IF($L471="","",UPPER(SUBSTITUTE(SUBSTITUTE(SUBSTITUTE(SUBSTITUTE(SUBSTITUTE(SUBSTITUTE(SUBSTITUTE(SUBSTITUTE(SUBSTITUTE(SUBSTITUTE(SUBSTITUTE(SUBSTITUTE(SUBSTITUTE(SUBSTITUTE(SUBSTITUTE(SUBSTITUTE(SUBSTITUTE(SUBSTITUTE(TRIM($L471),"'",""),"İ","I"),"ı","I"),"i","I"),"Ş","S"),"ş","S"),"Ğ","G"),"ğ","G"),"Ü","U"),"ü","U"),"Ö","O"),"ö","O"),"Ç","C"),"ç","C"),".",""),",","")," ",""),"-","")))</f>
        <v/>
      </c>
      <c r="T471" s="3">
        <f>IF(OR($C471="",$D471&lt;&gt;"Gelir",$L471=""),"",IFERROR(INDEX(MUSTERILER!$B$7:$B$106,MATCH($S471,MUSTERILER!$T$7:$T$106,0)),""))</f>
        <v/>
      </c>
      <c r="U471" s="3">
        <f>IF($T471="","",$T471&amp;"|"&amp;COUNTIFS($T$7:$T471,$T471))</f>
        <v/>
      </c>
      <c r="V471" s="3">
        <f>IF($T471="",0,1)</f>
        <v/>
      </c>
      <c r="W471" s="3">
        <f>IF($C471="","",$D471&amp;"|"&amp;$E471&amp;"|"&amp;TEXT($C471,"0")&amp;"|"&amp;TEXT($G471,"0")&amp;"|"&amp;$J471)</f>
        <v/>
      </c>
      <c r="X471" s="3" t="n"/>
      <c r="Y471" s="3" t="n"/>
      <c r="Z471" s="3" t="n"/>
      <c r="AA471" s="3" t="n"/>
      <c r="AB471" s="3" t="n"/>
      <c r="AC471" s="3" t="n"/>
      <c r="AD471" s="3">
        <f>IF($C471="",0,SUMPRODUCT((AY_SONU!$O$7:$O$42="Evet")*(AY_SONU!$B$7:$B$42=DATE(YEAR($C471),MONTH($C471),1))))</f>
        <v/>
      </c>
    </row>
    <row r="472">
      <c r="A472" s="6" t="n"/>
      <c r="B472" s="113">
        <f>IF($C472="","","GG"&amp;TEXT(ROW()-6,"00000"))</f>
        <v/>
      </c>
      <c r="C472" s="220" t="n"/>
      <c r="D472" s="108" t="n"/>
      <c r="E472" s="109" t="n"/>
      <c r="F472" s="109" t="n"/>
      <c r="G472" s="221" t="n"/>
      <c r="H472" s="108" t="n"/>
      <c r="I472" s="108" t="n"/>
      <c r="J472" s="109" t="n"/>
      <c r="K472" s="109" t="n"/>
      <c r="L472" s="108" t="n"/>
      <c r="M472" s="121">
        <f>IF($C472="","",IF($D472="Gider",$E472,IF($L472&lt;&gt;"",$L472,$H472)))</f>
        <v/>
      </c>
      <c r="N472" s="121">
        <f>IF($C472="","",IF($D472="Gider",$H472,$E472))</f>
        <v/>
      </c>
      <c r="O472" s="226">
        <f>IF($C472="","",DATE(YEAR($C472),MONTH($C472),1))</f>
        <v/>
      </c>
      <c r="P472" s="113">
        <f>IF($C472="","",IF(AND($D472="Gelir",$L472&lt;&gt;"",$T472=""),"TANIMSIZ BORÇLU",IF($T472&lt;&gt;"",IF(OR($E472="",$G472&lt;=0),"EKSİK",IF($I472="Evet","TAHAKKUK NAKİT OLAMAZ",IF($C472&gt;TODAY(),"İLERİ TARİH","TAHAKKUK"))),IF(AND($D472&lt;&gt;"",$E472&lt;&gt;"",$G472&gt;0,$H472&lt;&gt;"",$I472&lt;&gt;""),IF($C472&gt;TODAY(),"İLERİ TARİH",IF(COUNTIF($W$7:$W$1206,$W472)&gt;1,"MÜKERRER?",IF($AD472&gt;0,"KAPALI DÖNEM",IF($I472="Hayır","ÖDENECEK","UYGUN")))),"EKSİK"))))</f>
        <v/>
      </c>
      <c r="Q472" s="6" t="n"/>
      <c r="R472" s="6" t="n"/>
      <c r="S472" s="3">
        <f>IF($L472="","",UPPER(SUBSTITUTE(SUBSTITUTE(SUBSTITUTE(SUBSTITUTE(SUBSTITUTE(SUBSTITUTE(SUBSTITUTE(SUBSTITUTE(SUBSTITUTE(SUBSTITUTE(SUBSTITUTE(SUBSTITUTE(SUBSTITUTE(SUBSTITUTE(SUBSTITUTE(SUBSTITUTE(SUBSTITUTE(SUBSTITUTE(TRIM($L472),"'",""),"İ","I"),"ı","I"),"i","I"),"Ş","S"),"ş","S"),"Ğ","G"),"ğ","G"),"Ü","U"),"ü","U"),"Ö","O"),"ö","O"),"Ç","C"),"ç","C"),".",""),",","")," ",""),"-","")))</f>
        <v/>
      </c>
      <c r="T472" s="3">
        <f>IF(OR($C472="",$D472&lt;&gt;"Gelir",$L472=""),"",IFERROR(INDEX(MUSTERILER!$B$7:$B$106,MATCH($S472,MUSTERILER!$T$7:$T$106,0)),""))</f>
        <v/>
      </c>
      <c r="U472" s="3">
        <f>IF($T472="","",$T472&amp;"|"&amp;COUNTIFS($T$7:$T472,$T472))</f>
        <v/>
      </c>
      <c r="V472" s="3">
        <f>IF($T472="",0,1)</f>
        <v/>
      </c>
      <c r="W472" s="3">
        <f>IF($C472="","",$D472&amp;"|"&amp;$E472&amp;"|"&amp;TEXT($C472,"0")&amp;"|"&amp;TEXT($G472,"0")&amp;"|"&amp;$J472)</f>
        <v/>
      </c>
      <c r="X472" s="3" t="n"/>
      <c r="Y472" s="3" t="n"/>
      <c r="Z472" s="3" t="n"/>
      <c r="AA472" s="3" t="n"/>
      <c r="AB472" s="3" t="n"/>
      <c r="AC472" s="3" t="n"/>
      <c r="AD472" s="3">
        <f>IF($C472="",0,SUMPRODUCT((AY_SONU!$O$7:$O$42="Evet")*(AY_SONU!$B$7:$B$42=DATE(YEAR($C472),MONTH($C472),1))))</f>
        <v/>
      </c>
    </row>
    <row r="473">
      <c r="A473" s="6" t="n"/>
      <c r="B473" s="113">
        <f>IF($C473="","","GG"&amp;TEXT(ROW()-6,"00000"))</f>
        <v/>
      </c>
      <c r="C473" s="220" t="n"/>
      <c r="D473" s="108" t="n"/>
      <c r="E473" s="109" t="n"/>
      <c r="F473" s="109" t="n"/>
      <c r="G473" s="221" t="n"/>
      <c r="H473" s="108" t="n"/>
      <c r="I473" s="108" t="n"/>
      <c r="J473" s="109" t="n"/>
      <c r="K473" s="109" t="n"/>
      <c r="L473" s="108" t="n"/>
      <c r="M473" s="121">
        <f>IF($C473="","",IF($D473="Gider",$E473,IF($L473&lt;&gt;"",$L473,$H473)))</f>
        <v/>
      </c>
      <c r="N473" s="121">
        <f>IF($C473="","",IF($D473="Gider",$H473,$E473))</f>
        <v/>
      </c>
      <c r="O473" s="226">
        <f>IF($C473="","",DATE(YEAR($C473),MONTH($C473),1))</f>
        <v/>
      </c>
      <c r="P473" s="113">
        <f>IF($C473="","",IF(AND($D473="Gelir",$L473&lt;&gt;"",$T473=""),"TANIMSIZ BORÇLU",IF($T473&lt;&gt;"",IF(OR($E473="",$G473&lt;=0),"EKSİK",IF($I473="Evet","TAHAKKUK NAKİT OLAMAZ",IF($C473&gt;TODAY(),"İLERİ TARİH","TAHAKKUK"))),IF(AND($D473&lt;&gt;"",$E473&lt;&gt;"",$G473&gt;0,$H473&lt;&gt;"",$I473&lt;&gt;""),IF($C473&gt;TODAY(),"İLERİ TARİH",IF(COUNTIF($W$7:$W$1206,$W473)&gt;1,"MÜKERRER?",IF($AD473&gt;0,"KAPALI DÖNEM",IF($I473="Hayır","ÖDENECEK","UYGUN")))),"EKSİK"))))</f>
        <v/>
      </c>
      <c r="Q473" s="6" t="n"/>
      <c r="R473" s="6" t="n"/>
      <c r="S473" s="3">
        <f>IF($L473="","",UPPER(SUBSTITUTE(SUBSTITUTE(SUBSTITUTE(SUBSTITUTE(SUBSTITUTE(SUBSTITUTE(SUBSTITUTE(SUBSTITUTE(SUBSTITUTE(SUBSTITUTE(SUBSTITUTE(SUBSTITUTE(SUBSTITUTE(SUBSTITUTE(SUBSTITUTE(SUBSTITUTE(SUBSTITUTE(SUBSTITUTE(TRIM($L473),"'",""),"İ","I"),"ı","I"),"i","I"),"Ş","S"),"ş","S"),"Ğ","G"),"ğ","G"),"Ü","U"),"ü","U"),"Ö","O"),"ö","O"),"Ç","C"),"ç","C"),".",""),",","")," ",""),"-","")))</f>
        <v/>
      </c>
      <c r="T473" s="3">
        <f>IF(OR($C473="",$D473&lt;&gt;"Gelir",$L473=""),"",IFERROR(INDEX(MUSTERILER!$B$7:$B$106,MATCH($S473,MUSTERILER!$T$7:$T$106,0)),""))</f>
        <v/>
      </c>
      <c r="U473" s="3">
        <f>IF($T473="","",$T473&amp;"|"&amp;COUNTIFS($T$7:$T473,$T473))</f>
        <v/>
      </c>
      <c r="V473" s="3">
        <f>IF($T473="",0,1)</f>
        <v/>
      </c>
      <c r="W473" s="3">
        <f>IF($C473="","",$D473&amp;"|"&amp;$E473&amp;"|"&amp;TEXT($C473,"0")&amp;"|"&amp;TEXT($G473,"0")&amp;"|"&amp;$J473)</f>
        <v/>
      </c>
      <c r="X473" s="3" t="n"/>
      <c r="Y473" s="3" t="n"/>
      <c r="Z473" s="3" t="n"/>
      <c r="AA473" s="3" t="n"/>
      <c r="AB473" s="3" t="n"/>
      <c r="AC473" s="3" t="n"/>
      <c r="AD473" s="3">
        <f>IF($C473="",0,SUMPRODUCT((AY_SONU!$O$7:$O$42="Evet")*(AY_SONU!$B$7:$B$42=DATE(YEAR($C473),MONTH($C473),1))))</f>
        <v/>
      </c>
    </row>
    <row r="474">
      <c r="A474" s="6" t="n"/>
      <c r="B474" s="113">
        <f>IF($C474="","","GG"&amp;TEXT(ROW()-6,"00000"))</f>
        <v/>
      </c>
      <c r="C474" s="220" t="n"/>
      <c r="D474" s="108" t="n"/>
      <c r="E474" s="109" t="n"/>
      <c r="F474" s="109" t="n"/>
      <c r="G474" s="221" t="n"/>
      <c r="H474" s="108" t="n"/>
      <c r="I474" s="108" t="n"/>
      <c r="J474" s="109" t="n"/>
      <c r="K474" s="109" t="n"/>
      <c r="L474" s="108" t="n"/>
      <c r="M474" s="121">
        <f>IF($C474="","",IF($D474="Gider",$E474,IF($L474&lt;&gt;"",$L474,$H474)))</f>
        <v/>
      </c>
      <c r="N474" s="121">
        <f>IF($C474="","",IF($D474="Gider",$H474,$E474))</f>
        <v/>
      </c>
      <c r="O474" s="226">
        <f>IF($C474="","",DATE(YEAR($C474),MONTH($C474),1))</f>
        <v/>
      </c>
      <c r="P474" s="113">
        <f>IF($C474="","",IF(AND($D474="Gelir",$L474&lt;&gt;"",$T474=""),"TANIMSIZ BORÇLU",IF($T474&lt;&gt;"",IF(OR($E474="",$G474&lt;=0),"EKSİK",IF($I474="Evet","TAHAKKUK NAKİT OLAMAZ",IF($C474&gt;TODAY(),"İLERİ TARİH","TAHAKKUK"))),IF(AND($D474&lt;&gt;"",$E474&lt;&gt;"",$G474&gt;0,$H474&lt;&gt;"",$I474&lt;&gt;""),IF($C474&gt;TODAY(),"İLERİ TARİH",IF(COUNTIF($W$7:$W$1206,$W474)&gt;1,"MÜKERRER?",IF($AD474&gt;0,"KAPALI DÖNEM",IF($I474="Hayır","ÖDENECEK","UYGUN")))),"EKSİK"))))</f>
        <v/>
      </c>
      <c r="Q474" s="6" t="n"/>
      <c r="R474" s="6" t="n"/>
      <c r="S474" s="3">
        <f>IF($L474="","",UPPER(SUBSTITUTE(SUBSTITUTE(SUBSTITUTE(SUBSTITUTE(SUBSTITUTE(SUBSTITUTE(SUBSTITUTE(SUBSTITUTE(SUBSTITUTE(SUBSTITUTE(SUBSTITUTE(SUBSTITUTE(SUBSTITUTE(SUBSTITUTE(SUBSTITUTE(SUBSTITUTE(SUBSTITUTE(SUBSTITUTE(TRIM($L474),"'",""),"İ","I"),"ı","I"),"i","I"),"Ş","S"),"ş","S"),"Ğ","G"),"ğ","G"),"Ü","U"),"ü","U"),"Ö","O"),"ö","O"),"Ç","C"),"ç","C"),".",""),",","")," ",""),"-","")))</f>
        <v/>
      </c>
      <c r="T474" s="3">
        <f>IF(OR($C474="",$D474&lt;&gt;"Gelir",$L474=""),"",IFERROR(INDEX(MUSTERILER!$B$7:$B$106,MATCH($S474,MUSTERILER!$T$7:$T$106,0)),""))</f>
        <v/>
      </c>
      <c r="U474" s="3">
        <f>IF($T474="","",$T474&amp;"|"&amp;COUNTIFS($T$7:$T474,$T474))</f>
        <v/>
      </c>
      <c r="V474" s="3">
        <f>IF($T474="",0,1)</f>
        <v/>
      </c>
      <c r="W474" s="3">
        <f>IF($C474="","",$D474&amp;"|"&amp;$E474&amp;"|"&amp;TEXT($C474,"0")&amp;"|"&amp;TEXT($G474,"0")&amp;"|"&amp;$J474)</f>
        <v/>
      </c>
      <c r="X474" s="3" t="n"/>
      <c r="Y474" s="3" t="n"/>
      <c r="Z474" s="3" t="n"/>
      <c r="AA474" s="3" t="n"/>
      <c r="AB474" s="3" t="n"/>
      <c r="AC474" s="3" t="n"/>
      <c r="AD474" s="3">
        <f>IF($C474="",0,SUMPRODUCT((AY_SONU!$O$7:$O$42="Evet")*(AY_SONU!$B$7:$B$42=DATE(YEAR($C474),MONTH($C474),1))))</f>
        <v/>
      </c>
    </row>
    <row r="475">
      <c r="A475" s="6" t="n"/>
      <c r="B475" s="113">
        <f>IF($C475="","","GG"&amp;TEXT(ROW()-6,"00000"))</f>
        <v/>
      </c>
      <c r="C475" s="220" t="n"/>
      <c r="D475" s="108" t="n"/>
      <c r="E475" s="109" t="n"/>
      <c r="F475" s="109" t="n"/>
      <c r="G475" s="221" t="n"/>
      <c r="H475" s="108" t="n"/>
      <c r="I475" s="108" t="n"/>
      <c r="J475" s="109" t="n"/>
      <c r="K475" s="109" t="n"/>
      <c r="L475" s="108" t="n"/>
      <c r="M475" s="121">
        <f>IF($C475="","",IF($D475="Gider",$E475,IF($L475&lt;&gt;"",$L475,$H475)))</f>
        <v/>
      </c>
      <c r="N475" s="121">
        <f>IF($C475="","",IF($D475="Gider",$H475,$E475))</f>
        <v/>
      </c>
      <c r="O475" s="226">
        <f>IF($C475="","",DATE(YEAR($C475),MONTH($C475),1))</f>
        <v/>
      </c>
      <c r="P475" s="113">
        <f>IF($C475="","",IF(AND($D475="Gelir",$L475&lt;&gt;"",$T475=""),"TANIMSIZ BORÇLU",IF($T475&lt;&gt;"",IF(OR($E475="",$G475&lt;=0),"EKSİK",IF($I475="Evet","TAHAKKUK NAKİT OLAMAZ",IF($C475&gt;TODAY(),"İLERİ TARİH","TAHAKKUK"))),IF(AND($D475&lt;&gt;"",$E475&lt;&gt;"",$G475&gt;0,$H475&lt;&gt;"",$I475&lt;&gt;""),IF($C475&gt;TODAY(),"İLERİ TARİH",IF(COUNTIF($W$7:$W$1206,$W475)&gt;1,"MÜKERRER?",IF($AD475&gt;0,"KAPALI DÖNEM",IF($I475="Hayır","ÖDENECEK","UYGUN")))),"EKSİK"))))</f>
        <v/>
      </c>
      <c r="Q475" s="6" t="n"/>
      <c r="R475" s="6" t="n"/>
      <c r="S475" s="3">
        <f>IF($L475="","",UPPER(SUBSTITUTE(SUBSTITUTE(SUBSTITUTE(SUBSTITUTE(SUBSTITUTE(SUBSTITUTE(SUBSTITUTE(SUBSTITUTE(SUBSTITUTE(SUBSTITUTE(SUBSTITUTE(SUBSTITUTE(SUBSTITUTE(SUBSTITUTE(SUBSTITUTE(SUBSTITUTE(SUBSTITUTE(SUBSTITUTE(TRIM($L475),"'",""),"İ","I"),"ı","I"),"i","I"),"Ş","S"),"ş","S"),"Ğ","G"),"ğ","G"),"Ü","U"),"ü","U"),"Ö","O"),"ö","O"),"Ç","C"),"ç","C"),".",""),",","")," ",""),"-","")))</f>
        <v/>
      </c>
      <c r="T475" s="3">
        <f>IF(OR($C475="",$D475&lt;&gt;"Gelir",$L475=""),"",IFERROR(INDEX(MUSTERILER!$B$7:$B$106,MATCH($S475,MUSTERILER!$T$7:$T$106,0)),""))</f>
        <v/>
      </c>
      <c r="U475" s="3">
        <f>IF($T475="","",$T475&amp;"|"&amp;COUNTIFS($T$7:$T475,$T475))</f>
        <v/>
      </c>
      <c r="V475" s="3">
        <f>IF($T475="",0,1)</f>
        <v/>
      </c>
      <c r="W475" s="3">
        <f>IF($C475="","",$D475&amp;"|"&amp;$E475&amp;"|"&amp;TEXT($C475,"0")&amp;"|"&amp;TEXT($G475,"0")&amp;"|"&amp;$J475)</f>
        <v/>
      </c>
      <c r="X475" s="3" t="n"/>
      <c r="Y475" s="3" t="n"/>
      <c r="Z475" s="3" t="n"/>
      <c r="AA475" s="3" t="n"/>
      <c r="AB475" s="3" t="n"/>
      <c r="AC475" s="3" t="n"/>
      <c r="AD475" s="3">
        <f>IF($C475="",0,SUMPRODUCT((AY_SONU!$O$7:$O$42="Evet")*(AY_SONU!$B$7:$B$42=DATE(YEAR($C475),MONTH($C475),1))))</f>
        <v/>
      </c>
    </row>
    <row r="476">
      <c r="A476" s="6" t="n"/>
      <c r="B476" s="113">
        <f>IF($C476="","","GG"&amp;TEXT(ROW()-6,"00000"))</f>
        <v/>
      </c>
      <c r="C476" s="220" t="n"/>
      <c r="D476" s="108" t="n"/>
      <c r="E476" s="109" t="n"/>
      <c r="F476" s="109" t="n"/>
      <c r="G476" s="221" t="n"/>
      <c r="H476" s="108" t="n"/>
      <c r="I476" s="108" t="n"/>
      <c r="J476" s="109" t="n"/>
      <c r="K476" s="109" t="n"/>
      <c r="L476" s="108" t="n"/>
      <c r="M476" s="121">
        <f>IF($C476="","",IF($D476="Gider",$E476,IF($L476&lt;&gt;"",$L476,$H476)))</f>
        <v/>
      </c>
      <c r="N476" s="121">
        <f>IF($C476="","",IF($D476="Gider",$H476,$E476))</f>
        <v/>
      </c>
      <c r="O476" s="226">
        <f>IF($C476="","",DATE(YEAR($C476),MONTH($C476),1))</f>
        <v/>
      </c>
      <c r="P476" s="113">
        <f>IF($C476="","",IF(AND($D476="Gelir",$L476&lt;&gt;"",$T476=""),"TANIMSIZ BORÇLU",IF($T476&lt;&gt;"",IF(OR($E476="",$G476&lt;=0),"EKSİK",IF($I476="Evet","TAHAKKUK NAKİT OLAMAZ",IF($C476&gt;TODAY(),"İLERİ TARİH","TAHAKKUK"))),IF(AND($D476&lt;&gt;"",$E476&lt;&gt;"",$G476&gt;0,$H476&lt;&gt;"",$I476&lt;&gt;""),IF($C476&gt;TODAY(),"İLERİ TARİH",IF(COUNTIF($W$7:$W$1206,$W476)&gt;1,"MÜKERRER?",IF($AD476&gt;0,"KAPALI DÖNEM",IF($I476="Hayır","ÖDENECEK","UYGUN")))),"EKSİK"))))</f>
        <v/>
      </c>
      <c r="Q476" s="6" t="n"/>
      <c r="R476" s="6" t="n"/>
      <c r="S476" s="3">
        <f>IF($L476="","",UPPER(SUBSTITUTE(SUBSTITUTE(SUBSTITUTE(SUBSTITUTE(SUBSTITUTE(SUBSTITUTE(SUBSTITUTE(SUBSTITUTE(SUBSTITUTE(SUBSTITUTE(SUBSTITUTE(SUBSTITUTE(SUBSTITUTE(SUBSTITUTE(SUBSTITUTE(SUBSTITUTE(SUBSTITUTE(SUBSTITUTE(TRIM($L476),"'",""),"İ","I"),"ı","I"),"i","I"),"Ş","S"),"ş","S"),"Ğ","G"),"ğ","G"),"Ü","U"),"ü","U"),"Ö","O"),"ö","O"),"Ç","C"),"ç","C"),".",""),",","")," ",""),"-","")))</f>
        <v/>
      </c>
      <c r="T476" s="3">
        <f>IF(OR($C476="",$D476&lt;&gt;"Gelir",$L476=""),"",IFERROR(INDEX(MUSTERILER!$B$7:$B$106,MATCH($S476,MUSTERILER!$T$7:$T$106,0)),""))</f>
        <v/>
      </c>
      <c r="U476" s="3">
        <f>IF($T476="","",$T476&amp;"|"&amp;COUNTIFS($T$7:$T476,$T476))</f>
        <v/>
      </c>
      <c r="V476" s="3">
        <f>IF($T476="",0,1)</f>
        <v/>
      </c>
      <c r="W476" s="3">
        <f>IF($C476="","",$D476&amp;"|"&amp;$E476&amp;"|"&amp;TEXT($C476,"0")&amp;"|"&amp;TEXT($G476,"0")&amp;"|"&amp;$J476)</f>
        <v/>
      </c>
      <c r="X476" s="3" t="n"/>
      <c r="Y476" s="3" t="n"/>
      <c r="Z476" s="3" t="n"/>
      <c r="AA476" s="3" t="n"/>
      <c r="AB476" s="3" t="n"/>
      <c r="AC476" s="3" t="n"/>
      <c r="AD476" s="3">
        <f>IF($C476="",0,SUMPRODUCT((AY_SONU!$O$7:$O$42="Evet")*(AY_SONU!$B$7:$B$42=DATE(YEAR($C476),MONTH($C476),1))))</f>
        <v/>
      </c>
    </row>
    <row r="477">
      <c r="A477" s="6" t="n"/>
      <c r="B477" s="113">
        <f>IF($C477="","","GG"&amp;TEXT(ROW()-6,"00000"))</f>
        <v/>
      </c>
      <c r="C477" s="220" t="n"/>
      <c r="D477" s="108" t="n"/>
      <c r="E477" s="109" t="n"/>
      <c r="F477" s="109" t="n"/>
      <c r="G477" s="221" t="n"/>
      <c r="H477" s="108" t="n"/>
      <c r="I477" s="108" t="n"/>
      <c r="J477" s="109" t="n"/>
      <c r="K477" s="109" t="n"/>
      <c r="L477" s="108" t="n"/>
      <c r="M477" s="121">
        <f>IF($C477="","",IF($D477="Gider",$E477,IF($L477&lt;&gt;"",$L477,$H477)))</f>
        <v/>
      </c>
      <c r="N477" s="121">
        <f>IF($C477="","",IF($D477="Gider",$H477,$E477))</f>
        <v/>
      </c>
      <c r="O477" s="226">
        <f>IF($C477="","",DATE(YEAR($C477),MONTH($C477),1))</f>
        <v/>
      </c>
      <c r="P477" s="113">
        <f>IF($C477="","",IF(AND($D477="Gelir",$L477&lt;&gt;"",$T477=""),"TANIMSIZ BORÇLU",IF($T477&lt;&gt;"",IF(OR($E477="",$G477&lt;=0),"EKSİK",IF($I477="Evet","TAHAKKUK NAKİT OLAMAZ",IF($C477&gt;TODAY(),"İLERİ TARİH","TAHAKKUK"))),IF(AND($D477&lt;&gt;"",$E477&lt;&gt;"",$G477&gt;0,$H477&lt;&gt;"",$I477&lt;&gt;""),IF($C477&gt;TODAY(),"İLERİ TARİH",IF(COUNTIF($W$7:$W$1206,$W477)&gt;1,"MÜKERRER?",IF($AD477&gt;0,"KAPALI DÖNEM",IF($I477="Hayır","ÖDENECEK","UYGUN")))),"EKSİK"))))</f>
        <v/>
      </c>
      <c r="Q477" s="6" t="n"/>
      <c r="R477" s="6" t="n"/>
      <c r="S477" s="3">
        <f>IF($L477="","",UPPER(SUBSTITUTE(SUBSTITUTE(SUBSTITUTE(SUBSTITUTE(SUBSTITUTE(SUBSTITUTE(SUBSTITUTE(SUBSTITUTE(SUBSTITUTE(SUBSTITUTE(SUBSTITUTE(SUBSTITUTE(SUBSTITUTE(SUBSTITUTE(SUBSTITUTE(SUBSTITUTE(SUBSTITUTE(SUBSTITUTE(TRIM($L477),"'",""),"İ","I"),"ı","I"),"i","I"),"Ş","S"),"ş","S"),"Ğ","G"),"ğ","G"),"Ü","U"),"ü","U"),"Ö","O"),"ö","O"),"Ç","C"),"ç","C"),".",""),",","")," ",""),"-","")))</f>
        <v/>
      </c>
      <c r="T477" s="3">
        <f>IF(OR($C477="",$D477&lt;&gt;"Gelir",$L477=""),"",IFERROR(INDEX(MUSTERILER!$B$7:$B$106,MATCH($S477,MUSTERILER!$T$7:$T$106,0)),""))</f>
        <v/>
      </c>
      <c r="U477" s="3">
        <f>IF($T477="","",$T477&amp;"|"&amp;COUNTIFS($T$7:$T477,$T477))</f>
        <v/>
      </c>
      <c r="V477" s="3">
        <f>IF($T477="",0,1)</f>
        <v/>
      </c>
      <c r="W477" s="3">
        <f>IF($C477="","",$D477&amp;"|"&amp;$E477&amp;"|"&amp;TEXT($C477,"0")&amp;"|"&amp;TEXT($G477,"0")&amp;"|"&amp;$J477)</f>
        <v/>
      </c>
      <c r="X477" s="3" t="n"/>
      <c r="Y477" s="3" t="n"/>
      <c r="Z477" s="3" t="n"/>
      <c r="AA477" s="3" t="n"/>
      <c r="AB477" s="3" t="n"/>
      <c r="AC477" s="3" t="n"/>
      <c r="AD477" s="3">
        <f>IF($C477="",0,SUMPRODUCT((AY_SONU!$O$7:$O$42="Evet")*(AY_SONU!$B$7:$B$42=DATE(YEAR($C477),MONTH($C477),1))))</f>
        <v/>
      </c>
    </row>
    <row r="478">
      <c r="A478" s="6" t="n"/>
      <c r="B478" s="113">
        <f>IF($C478="","","GG"&amp;TEXT(ROW()-6,"00000"))</f>
        <v/>
      </c>
      <c r="C478" s="220" t="n"/>
      <c r="D478" s="108" t="n"/>
      <c r="E478" s="109" t="n"/>
      <c r="F478" s="109" t="n"/>
      <c r="G478" s="221" t="n"/>
      <c r="H478" s="108" t="n"/>
      <c r="I478" s="108" t="n"/>
      <c r="J478" s="109" t="n"/>
      <c r="K478" s="109" t="n"/>
      <c r="L478" s="108" t="n"/>
      <c r="M478" s="121">
        <f>IF($C478="","",IF($D478="Gider",$E478,IF($L478&lt;&gt;"",$L478,$H478)))</f>
        <v/>
      </c>
      <c r="N478" s="121">
        <f>IF($C478="","",IF($D478="Gider",$H478,$E478))</f>
        <v/>
      </c>
      <c r="O478" s="226">
        <f>IF($C478="","",DATE(YEAR($C478),MONTH($C478),1))</f>
        <v/>
      </c>
      <c r="P478" s="113">
        <f>IF($C478="","",IF(AND($D478="Gelir",$L478&lt;&gt;"",$T478=""),"TANIMSIZ BORÇLU",IF($T478&lt;&gt;"",IF(OR($E478="",$G478&lt;=0),"EKSİK",IF($I478="Evet","TAHAKKUK NAKİT OLAMAZ",IF($C478&gt;TODAY(),"İLERİ TARİH","TAHAKKUK"))),IF(AND($D478&lt;&gt;"",$E478&lt;&gt;"",$G478&gt;0,$H478&lt;&gt;"",$I478&lt;&gt;""),IF($C478&gt;TODAY(),"İLERİ TARİH",IF(COUNTIF($W$7:$W$1206,$W478)&gt;1,"MÜKERRER?",IF($AD478&gt;0,"KAPALI DÖNEM",IF($I478="Hayır","ÖDENECEK","UYGUN")))),"EKSİK"))))</f>
        <v/>
      </c>
      <c r="Q478" s="6" t="n"/>
      <c r="R478" s="6" t="n"/>
      <c r="S478" s="3">
        <f>IF($L478="","",UPPER(SUBSTITUTE(SUBSTITUTE(SUBSTITUTE(SUBSTITUTE(SUBSTITUTE(SUBSTITUTE(SUBSTITUTE(SUBSTITUTE(SUBSTITUTE(SUBSTITUTE(SUBSTITUTE(SUBSTITUTE(SUBSTITUTE(SUBSTITUTE(SUBSTITUTE(SUBSTITUTE(SUBSTITUTE(SUBSTITUTE(TRIM($L478),"'",""),"İ","I"),"ı","I"),"i","I"),"Ş","S"),"ş","S"),"Ğ","G"),"ğ","G"),"Ü","U"),"ü","U"),"Ö","O"),"ö","O"),"Ç","C"),"ç","C"),".",""),",","")," ",""),"-","")))</f>
        <v/>
      </c>
      <c r="T478" s="3">
        <f>IF(OR($C478="",$D478&lt;&gt;"Gelir",$L478=""),"",IFERROR(INDEX(MUSTERILER!$B$7:$B$106,MATCH($S478,MUSTERILER!$T$7:$T$106,0)),""))</f>
        <v/>
      </c>
      <c r="U478" s="3">
        <f>IF($T478="","",$T478&amp;"|"&amp;COUNTIFS($T$7:$T478,$T478))</f>
        <v/>
      </c>
      <c r="V478" s="3">
        <f>IF($T478="",0,1)</f>
        <v/>
      </c>
      <c r="W478" s="3">
        <f>IF($C478="","",$D478&amp;"|"&amp;$E478&amp;"|"&amp;TEXT($C478,"0")&amp;"|"&amp;TEXT($G478,"0")&amp;"|"&amp;$J478)</f>
        <v/>
      </c>
      <c r="X478" s="3" t="n"/>
      <c r="Y478" s="3" t="n"/>
      <c r="Z478" s="3" t="n"/>
      <c r="AA478" s="3" t="n"/>
      <c r="AB478" s="3" t="n"/>
      <c r="AC478" s="3" t="n"/>
      <c r="AD478" s="3">
        <f>IF($C478="",0,SUMPRODUCT((AY_SONU!$O$7:$O$42="Evet")*(AY_SONU!$B$7:$B$42=DATE(YEAR($C478),MONTH($C478),1))))</f>
        <v/>
      </c>
    </row>
    <row r="479">
      <c r="A479" s="6" t="n"/>
      <c r="B479" s="113">
        <f>IF($C479="","","GG"&amp;TEXT(ROW()-6,"00000"))</f>
        <v/>
      </c>
      <c r="C479" s="220" t="n"/>
      <c r="D479" s="108" t="n"/>
      <c r="E479" s="109" t="n"/>
      <c r="F479" s="109" t="n"/>
      <c r="G479" s="221" t="n"/>
      <c r="H479" s="108" t="n"/>
      <c r="I479" s="108" t="n"/>
      <c r="J479" s="109" t="n"/>
      <c r="K479" s="109" t="n"/>
      <c r="L479" s="108" t="n"/>
      <c r="M479" s="121">
        <f>IF($C479="","",IF($D479="Gider",$E479,IF($L479&lt;&gt;"",$L479,$H479)))</f>
        <v/>
      </c>
      <c r="N479" s="121">
        <f>IF($C479="","",IF($D479="Gider",$H479,$E479))</f>
        <v/>
      </c>
      <c r="O479" s="226">
        <f>IF($C479="","",DATE(YEAR($C479),MONTH($C479),1))</f>
        <v/>
      </c>
      <c r="P479" s="113">
        <f>IF($C479="","",IF(AND($D479="Gelir",$L479&lt;&gt;"",$T479=""),"TANIMSIZ BORÇLU",IF($T479&lt;&gt;"",IF(OR($E479="",$G479&lt;=0),"EKSİK",IF($I479="Evet","TAHAKKUK NAKİT OLAMAZ",IF($C479&gt;TODAY(),"İLERİ TARİH","TAHAKKUK"))),IF(AND($D479&lt;&gt;"",$E479&lt;&gt;"",$G479&gt;0,$H479&lt;&gt;"",$I479&lt;&gt;""),IF($C479&gt;TODAY(),"İLERİ TARİH",IF(COUNTIF($W$7:$W$1206,$W479)&gt;1,"MÜKERRER?",IF($AD479&gt;0,"KAPALI DÖNEM",IF($I479="Hayır","ÖDENECEK","UYGUN")))),"EKSİK"))))</f>
        <v/>
      </c>
      <c r="Q479" s="6" t="n"/>
      <c r="R479" s="6" t="n"/>
      <c r="S479" s="3">
        <f>IF($L479="","",UPPER(SUBSTITUTE(SUBSTITUTE(SUBSTITUTE(SUBSTITUTE(SUBSTITUTE(SUBSTITUTE(SUBSTITUTE(SUBSTITUTE(SUBSTITUTE(SUBSTITUTE(SUBSTITUTE(SUBSTITUTE(SUBSTITUTE(SUBSTITUTE(SUBSTITUTE(SUBSTITUTE(SUBSTITUTE(SUBSTITUTE(TRIM($L479),"'",""),"İ","I"),"ı","I"),"i","I"),"Ş","S"),"ş","S"),"Ğ","G"),"ğ","G"),"Ü","U"),"ü","U"),"Ö","O"),"ö","O"),"Ç","C"),"ç","C"),".",""),",","")," ",""),"-","")))</f>
        <v/>
      </c>
      <c r="T479" s="3">
        <f>IF(OR($C479="",$D479&lt;&gt;"Gelir",$L479=""),"",IFERROR(INDEX(MUSTERILER!$B$7:$B$106,MATCH($S479,MUSTERILER!$T$7:$T$106,0)),""))</f>
        <v/>
      </c>
      <c r="U479" s="3">
        <f>IF($T479="","",$T479&amp;"|"&amp;COUNTIFS($T$7:$T479,$T479))</f>
        <v/>
      </c>
      <c r="V479" s="3">
        <f>IF($T479="",0,1)</f>
        <v/>
      </c>
      <c r="W479" s="3">
        <f>IF($C479="","",$D479&amp;"|"&amp;$E479&amp;"|"&amp;TEXT($C479,"0")&amp;"|"&amp;TEXT($G479,"0")&amp;"|"&amp;$J479)</f>
        <v/>
      </c>
      <c r="X479" s="3" t="n"/>
      <c r="Y479" s="3" t="n"/>
      <c r="Z479" s="3" t="n"/>
      <c r="AA479" s="3" t="n"/>
      <c r="AB479" s="3" t="n"/>
      <c r="AC479" s="3" t="n"/>
      <c r="AD479" s="3">
        <f>IF($C479="",0,SUMPRODUCT((AY_SONU!$O$7:$O$42="Evet")*(AY_SONU!$B$7:$B$42=DATE(YEAR($C479),MONTH($C479),1))))</f>
        <v/>
      </c>
    </row>
    <row r="480">
      <c r="A480" s="6" t="n"/>
      <c r="B480" s="113">
        <f>IF($C480="","","GG"&amp;TEXT(ROW()-6,"00000"))</f>
        <v/>
      </c>
      <c r="C480" s="220" t="n"/>
      <c r="D480" s="108" t="n"/>
      <c r="E480" s="109" t="n"/>
      <c r="F480" s="109" t="n"/>
      <c r="G480" s="221" t="n"/>
      <c r="H480" s="108" t="n"/>
      <c r="I480" s="108" t="n"/>
      <c r="J480" s="109" t="n"/>
      <c r="K480" s="109" t="n"/>
      <c r="L480" s="108" t="n"/>
      <c r="M480" s="121">
        <f>IF($C480="","",IF($D480="Gider",$E480,IF($L480&lt;&gt;"",$L480,$H480)))</f>
        <v/>
      </c>
      <c r="N480" s="121">
        <f>IF($C480="","",IF($D480="Gider",$H480,$E480))</f>
        <v/>
      </c>
      <c r="O480" s="226">
        <f>IF($C480="","",DATE(YEAR($C480),MONTH($C480),1))</f>
        <v/>
      </c>
      <c r="P480" s="113">
        <f>IF($C480="","",IF(AND($D480="Gelir",$L480&lt;&gt;"",$T480=""),"TANIMSIZ BORÇLU",IF($T480&lt;&gt;"",IF(OR($E480="",$G480&lt;=0),"EKSİK",IF($I480="Evet","TAHAKKUK NAKİT OLAMAZ",IF($C480&gt;TODAY(),"İLERİ TARİH","TAHAKKUK"))),IF(AND($D480&lt;&gt;"",$E480&lt;&gt;"",$G480&gt;0,$H480&lt;&gt;"",$I480&lt;&gt;""),IF($C480&gt;TODAY(),"İLERİ TARİH",IF(COUNTIF($W$7:$W$1206,$W480)&gt;1,"MÜKERRER?",IF($AD480&gt;0,"KAPALI DÖNEM",IF($I480="Hayır","ÖDENECEK","UYGUN")))),"EKSİK"))))</f>
        <v/>
      </c>
      <c r="Q480" s="6" t="n"/>
      <c r="R480" s="6" t="n"/>
      <c r="S480" s="3">
        <f>IF($L480="","",UPPER(SUBSTITUTE(SUBSTITUTE(SUBSTITUTE(SUBSTITUTE(SUBSTITUTE(SUBSTITUTE(SUBSTITUTE(SUBSTITUTE(SUBSTITUTE(SUBSTITUTE(SUBSTITUTE(SUBSTITUTE(SUBSTITUTE(SUBSTITUTE(SUBSTITUTE(SUBSTITUTE(SUBSTITUTE(SUBSTITUTE(TRIM($L480),"'",""),"İ","I"),"ı","I"),"i","I"),"Ş","S"),"ş","S"),"Ğ","G"),"ğ","G"),"Ü","U"),"ü","U"),"Ö","O"),"ö","O"),"Ç","C"),"ç","C"),".",""),",","")," ",""),"-","")))</f>
        <v/>
      </c>
      <c r="T480" s="3">
        <f>IF(OR($C480="",$D480&lt;&gt;"Gelir",$L480=""),"",IFERROR(INDEX(MUSTERILER!$B$7:$B$106,MATCH($S480,MUSTERILER!$T$7:$T$106,0)),""))</f>
        <v/>
      </c>
      <c r="U480" s="3">
        <f>IF($T480="","",$T480&amp;"|"&amp;COUNTIFS($T$7:$T480,$T480))</f>
        <v/>
      </c>
      <c r="V480" s="3">
        <f>IF($T480="",0,1)</f>
        <v/>
      </c>
      <c r="W480" s="3">
        <f>IF($C480="","",$D480&amp;"|"&amp;$E480&amp;"|"&amp;TEXT($C480,"0")&amp;"|"&amp;TEXT($G480,"0")&amp;"|"&amp;$J480)</f>
        <v/>
      </c>
      <c r="X480" s="3" t="n"/>
      <c r="Y480" s="3" t="n"/>
      <c r="Z480" s="3" t="n"/>
      <c r="AA480" s="3" t="n"/>
      <c r="AB480" s="3" t="n"/>
      <c r="AC480" s="3" t="n"/>
      <c r="AD480" s="3">
        <f>IF($C480="",0,SUMPRODUCT((AY_SONU!$O$7:$O$42="Evet")*(AY_SONU!$B$7:$B$42=DATE(YEAR($C480),MONTH($C480),1))))</f>
        <v/>
      </c>
    </row>
    <row r="481">
      <c r="A481" s="6" t="n"/>
      <c r="B481" s="113">
        <f>IF($C481="","","GG"&amp;TEXT(ROW()-6,"00000"))</f>
        <v/>
      </c>
      <c r="C481" s="220" t="n"/>
      <c r="D481" s="108" t="n"/>
      <c r="E481" s="109" t="n"/>
      <c r="F481" s="109" t="n"/>
      <c r="G481" s="221" t="n"/>
      <c r="H481" s="108" t="n"/>
      <c r="I481" s="108" t="n"/>
      <c r="J481" s="109" t="n"/>
      <c r="K481" s="109" t="n"/>
      <c r="L481" s="108" t="n"/>
      <c r="M481" s="121">
        <f>IF($C481="","",IF($D481="Gider",$E481,IF($L481&lt;&gt;"",$L481,$H481)))</f>
        <v/>
      </c>
      <c r="N481" s="121">
        <f>IF($C481="","",IF($D481="Gider",$H481,$E481))</f>
        <v/>
      </c>
      <c r="O481" s="226">
        <f>IF($C481="","",DATE(YEAR($C481),MONTH($C481),1))</f>
        <v/>
      </c>
      <c r="P481" s="113">
        <f>IF($C481="","",IF(AND($D481="Gelir",$L481&lt;&gt;"",$T481=""),"TANIMSIZ BORÇLU",IF($T481&lt;&gt;"",IF(OR($E481="",$G481&lt;=0),"EKSİK",IF($I481="Evet","TAHAKKUK NAKİT OLAMAZ",IF($C481&gt;TODAY(),"İLERİ TARİH","TAHAKKUK"))),IF(AND($D481&lt;&gt;"",$E481&lt;&gt;"",$G481&gt;0,$H481&lt;&gt;"",$I481&lt;&gt;""),IF($C481&gt;TODAY(),"İLERİ TARİH",IF(COUNTIF($W$7:$W$1206,$W481)&gt;1,"MÜKERRER?",IF($AD481&gt;0,"KAPALI DÖNEM",IF($I481="Hayır","ÖDENECEK","UYGUN")))),"EKSİK"))))</f>
        <v/>
      </c>
      <c r="Q481" s="6" t="n"/>
      <c r="R481" s="6" t="n"/>
      <c r="S481" s="3">
        <f>IF($L481="","",UPPER(SUBSTITUTE(SUBSTITUTE(SUBSTITUTE(SUBSTITUTE(SUBSTITUTE(SUBSTITUTE(SUBSTITUTE(SUBSTITUTE(SUBSTITUTE(SUBSTITUTE(SUBSTITUTE(SUBSTITUTE(SUBSTITUTE(SUBSTITUTE(SUBSTITUTE(SUBSTITUTE(SUBSTITUTE(SUBSTITUTE(TRIM($L481),"'",""),"İ","I"),"ı","I"),"i","I"),"Ş","S"),"ş","S"),"Ğ","G"),"ğ","G"),"Ü","U"),"ü","U"),"Ö","O"),"ö","O"),"Ç","C"),"ç","C"),".",""),",","")," ",""),"-","")))</f>
        <v/>
      </c>
      <c r="T481" s="3">
        <f>IF(OR($C481="",$D481&lt;&gt;"Gelir",$L481=""),"",IFERROR(INDEX(MUSTERILER!$B$7:$B$106,MATCH($S481,MUSTERILER!$T$7:$T$106,0)),""))</f>
        <v/>
      </c>
      <c r="U481" s="3">
        <f>IF($T481="","",$T481&amp;"|"&amp;COUNTIFS($T$7:$T481,$T481))</f>
        <v/>
      </c>
      <c r="V481" s="3">
        <f>IF($T481="",0,1)</f>
        <v/>
      </c>
      <c r="W481" s="3">
        <f>IF($C481="","",$D481&amp;"|"&amp;$E481&amp;"|"&amp;TEXT($C481,"0")&amp;"|"&amp;TEXT($G481,"0")&amp;"|"&amp;$J481)</f>
        <v/>
      </c>
      <c r="X481" s="3" t="n"/>
      <c r="Y481" s="3" t="n"/>
      <c r="Z481" s="3" t="n"/>
      <c r="AA481" s="3" t="n"/>
      <c r="AB481" s="3" t="n"/>
      <c r="AC481" s="3" t="n"/>
      <c r="AD481" s="3">
        <f>IF($C481="",0,SUMPRODUCT((AY_SONU!$O$7:$O$42="Evet")*(AY_SONU!$B$7:$B$42=DATE(YEAR($C481),MONTH($C481),1))))</f>
        <v/>
      </c>
    </row>
    <row r="482">
      <c r="A482" s="6" t="n"/>
      <c r="B482" s="113">
        <f>IF($C482="","","GG"&amp;TEXT(ROW()-6,"00000"))</f>
        <v/>
      </c>
      <c r="C482" s="220" t="n"/>
      <c r="D482" s="108" t="n"/>
      <c r="E482" s="109" t="n"/>
      <c r="F482" s="109" t="n"/>
      <c r="G482" s="221" t="n"/>
      <c r="H482" s="108" t="n"/>
      <c r="I482" s="108" t="n"/>
      <c r="J482" s="109" t="n"/>
      <c r="K482" s="109" t="n"/>
      <c r="L482" s="108" t="n"/>
      <c r="M482" s="121">
        <f>IF($C482="","",IF($D482="Gider",$E482,IF($L482&lt;&gt;"",$L482,$H482)))</f>
        <v/>
      </c>
      <c r="N482" s="121">
        <f>IF($C482="","",IF($D482="Gider",$H482,$E482))</f>
        <v/>
      </c>
      <c r="O482" s="226">
        <f>IF($C482="","",DATE(YEAR($C482),MONTH($C482),1))</f>
        <v/>
      </c>
      <c r="P482" s="113">
        <f>IF($C482="","",IF(AND($D482="Gelir",$L482&lt;&gt;"",$T482=""),"TANIMSIZ BORÇLU",IF($T482&lt;&gt;"",IF(OR($E482="",$G482&lt;=0),"EKSİK",IF($I482="Evet","TAHAKKUK NAKİT OLAMAZ",IF($C482&gt;TODAY(),"İLERİ TARİH","TAHAKKUK"))),IF(AND($D482&lt;&gt;"",$E482&lt;&gt;"",$G482&gt;0,$H482&lt;&gt;"",$I482&lt;&gt;""),IF($C482&gt;TODAY(),"İLERİ TARİH",IF(COUNTIF($W$7:$W$1206,$W482)&gt;1,"MÜKERRER?",IF($AD482&gt;0,"KAPALI DÖNEM",IF($I482="Hayır","ÖDENECEK","UYGUN")))),"EKSİK"))))</f>
        <v/>
      </c>
      <c r="Q482" s="6" t="n"/>
      <c r="R482" s="6" t="n"/>
      <c r="S482" s="3">
        <f>IF($L482="","",UPPER(SUBSTITUTE(SUBSTITUTE(SUBSTITUTE(SUBSTITUTE(SUBSTITUTE(SUBSTITUTE(SUBSTITUTE(SUBSTITUTE(SUBSTITUTE(SUBSTITUTE(SUBSTITUTE(SUBSTITUTE(SUBSTITUTE(SUBSTITUTE(SUBSTITUTE(SUBSTITUTE(SUBSTITUTE(SUBSTITUTE(TRIM($L482),"'",""),"İ","I"),"ı","I"),"i","I"),"Ş","S"),"ş","S"),"Ğ","G"),"ğ","G"),"Ü","U"),"ü","U"),"Ö","O"),"ö","O"),"Ç","C"),"ç","C"),".",""),",","")," ",""),"-","")))</f>
        <v/>
      </c>
      <c r="T482" s="3">
        <f>IF(OR($C482="",$D482&lt;&gt;"Gelir",$L482=""),"",IFERROR(INDEX(MUSTERILER!$B$7:$B$106,MATCH($S482,MUSTERILER!$T$7:$T$106,0)),""))</f>
        <v/>
      </c>
      <c r="U482" s="3">
        <f>IF($T482="","",$T482&amp;"|"&amp;COUNTIFS($T$7:$T482,$T482))</f>
        <v/>
      </c>
      <c r="V482" s="3">
        <f>IF($T482="",0,1)</f>
        <v/>
      </c>
      <c r="W482" s="3">
        <f>IF($C482="","",$D482&amp;"|"&amp;$E482&amp;"|"&amp;TEXT($C482,"0")&amp;"|"&amp;TEXT($G482,"0")&amp;"|"&amp;$J482)</f>
        <v/>
      </c>
      <c r="X482" s="3" t="n"/>
      <c r="Y482" s="3" t="n"/>
      <c r="Z482" s="3" t="n"/>
      <c r="AA482" s="3" t="n"/>
      <c r="AB482" s="3" t="n"/>
      <c r="AC482" s="3" t="n"/>
      <c r="AD482" s="3">
        <f>IF($C482="",0,SUMPRODUCT((AY_SONU!$O$7:$O$42="Evet")*(AY_SONU!$B$7:$B$42=DATE(YEAR($C482),MONTH($C482),1))))</f>
        <v/>
      </c>
    </row>
    <row r="483">
      <c r="A483" s="6" t="n"/>
      <c r="B483" s="113">
        <f>IF($C483="","","GG"&amp;TEXT(ROW()-6,"00000"))</f>
        <v/>
      </c>
      <c r="C483" s="220" t="n"/>
      <c r="D483" s="108" t="n"/>
      <c r="E483" s="109" t="n"/>
      <c r="F483" s="109" t="n"/>
      <c r="G483" s="221" t="n"/>
      <c r="H483" s="108" t="n"/>
      <c r="I483" s="108" t="n"/>
      <c r="J483" s="109" t="n"/>
      <c r="K483" s="109" t="n"/>
      <c r="L483" s="108" t="n"/>
      <c r="M483" s="121">
        <f>IF($C483="","",IF($D483="Gider",$E483,IF($L483&lt;&gt;"",$L483,$H483)))</f>
        <v/>
      </c>
      <c r="N483" s="121">
        <f>IF($C483="","",IF($D483="Gider",$H483,$E483))</f>
        <v/>
      </c>
      <c r="O483" s="226">
        <f>IF($C483="","",DATE(YEAR($C483),MONTH($C483),1))</f>
        <v/>
      </c>
      <c r="P483" s="113">
        <f>IF($C483="","",IF(AND($D483="Gelir",$L483&lt;&gt;"",$T483=""),"TANIMSIZ BORÇLU",IF($T483&lt;&gt;"",IF(OR($E483="",$G483&lt;=0),"EKSİK",IF($I483="Evet","TAHAKKUK NAKİT OLAMAZ",IF($C483&gt;TODAY(),"İLERİ TARİH","TAHAKKUK"))),IF(AND($D483&lt;&gt;"",$E483&lt;&gt;"",$G483&gt;0,$H483&lt;&gt;"",$I483&lt;&gt;""),IF($C483&gt;TODAY(),"İLERİ TARİH",IF(COUNTIF($W$7:$W$1206,$W483)&gt;1,"MÜKERRER?",IF($AD483&gt;0,"KAPALI DÖNEM",IF($I483="Hayır","ÖDENECEK","UYGUN")))),"EKSİK"))))</f>
        <v/>
      </c>
      <c r="Q483" s="6" t="n"/>
      <c r="R483" s="6" t="n"/>
      <c r="S483" s="3">
        <f>IF($L483="","",UPPER(SUBSTITUTE(SUBSTITUTE(SUBSTITUTE(SUBSTITUTE(SUBSTITUTE(SUBSTITUTE(SUBSTITUTE(SUBSTITUTE(SUBSTITUTE(SUBSTITUTE(SUBSTITUTE(SUBSTITUTE(SUBSTITUTE(SUBSTITUTE(SUBSTITUTE(SUBSTITUTE(SUBSTITUTE(SUBSTITUTE(TRIM($L483),"'",""),"İ","I"),"ı","I"),"i","I"),"Ş","S"),"ş","S"),"Ğ","G"),"ğ","G"),"Ü","U"),"ü","U"),"Ö","O"),"ö","O"),"Ç","C"),"ç","C"),".",""),",","")," ",""),"-","")))</f>
        <v/>
      </c>
      <c r="T483" s="3">
        <f>IF(OR($C483="",$D483&lt;&gt;"Gelir",$L483=""),"",IFERROR(INDEX(MUSTERILER!$B$7:$B$106,MATCH($S483,MUSTERILER!$T$7:$T$106,0)),""))</f>
        <v/>
      </c>
      <c r="U483" s="3">
        <f>IF($T483="","",$T483&amp;"|"&amp;COUNTIFS($T$7:$T483,$T483))</f>
        <v/>
      </c>
      <c r="V483" s="3">
        <f>IF($T483="",0,1)</f>
        <v/>
      </c>
      <c r="W483" s="3">
        <f>IF($C483="","",$D483&amp;"|"&amp;$E483&amp;"|"&amp;TEXT($C483,"0")&amp;"|"&amp;TEXT($G483,"0")&amp;"|"&amp;$J483)</f>
        <v/>
      </c>
      <c r="X483" s="3" t="n"/>
      <c r="Y483" s="3" t="n"/>
      <c r="Z483" s="3" t="n"/>
      <c r="AA483" s="3" t="n"/>
      <c r="AB483" s="3" t="n"/>
      <c r="AC483" s="3" t="n"/>
      <c r="AD483" s="3">
        <f>IF($C483="",0,SUMPRODUCT((AY_SONU!$O$7:$O$42="Evet")*(AY_SONU!$B$7:$B$42=DATE(YEAR($C483),MONTH($C483),1))))</f>
        <v/>
      </c>
    </row>
    <row r="484">
      <c r="A484" s="6" t="n"/>
      <c r="B484" s="113">
        <f>IF($C484="","","GG"&amp;TEXT(ROW()-6,"00000"))</f>
        <v/>
      </c>
      <c r="C484" s="220" t="n"/>
      <c r="D484" s="108" t="n"/>
      <c r="E484" s="109" t="n"/>
      <c r="F484" s="109" t="n"/>
      <c r="G484" s="221" t="n"/>
      <c r="H484" s="108" t="n"/>
      <c r="I484" s="108" t="n"/>
      <c r="J484" s="109" t="n"/>
      <c r="K484" s="109" t="n"/>
      <c r="L484" s="108" t="n"/>
      <c r="M484" s="121">
        <f>IF($C484="","",IF($D484="Gider",$E484,IF($L484&lt;&gt;"",$L484,$H484)))</f>
        <v/>
      </c>
      <c r="N484" s="121">
        <f>IF($C484="","",IF($D484="Gider",$H484,$E484))</f>
        <v/>
      </c>
      <c r="O484" s="226">
        <f>IF($C484="","",DATE(YEAR($C484),MONTH($C484),1))</f>
        <v/>
      </c>
      <c r="P484" s="113">
        <f>IF($C484="","",IF(AND($D484="Gelir",$L484&lt;&gt;"",$T484=""),"TANIMSIZ BORÇLU",IF($T484&lt;&gt;"",IF(OR($E484="",$G484&lt;=0),"EKSİK",IF($I484="Evet","TAHAKKUK NAKİT OLAMAZ",IF($C484&gt;TODAY(),"İLERİ TARİH","TAHAKKUK"))),IF(AND($D484&lt;&gt;"",$E484&lt;&gt;"",$G484&gt;0,$H484&lt;&gt;"",$I484&lt;&gt;""),IF($C484&gt;TODAY(),"İLERİ TARİH",IF(COUNTIF($W$7:$W$1206,$W484)&gt;1,"MÜKERRER?",IF($AD484&gt;0,"KAPALI DÖNEM",IF($I484="Hayır","ÖDENECEK","UYGUN")))),"EKSİK"))))</f>
        <v/>
      </c>
      <c r="Q484" s="6" t="n"/>
      <c r="R484" s="6" t="n"/>
      <c r="S484" s="3">
        <f>IF($L484="","",UPPER(SUBSTITUTE(SUBSTITUTE(SUBSTITUTE(SUBSTITUTE(SUBSTITUTE(SUBSTITUTE(SUBSTITUTE(SUBSTITUTE(SUBSTITUTE(SUBSTITUTE(SUBSTITUTE(SUBSTITUTE(SUBSTITUTE(SUBSTITUTE(SUBSTITUTE(SUBSTITUTE(SUBSTITUTE(SUBSTITUTE(TRIM($L484),"'",""),"İ","I"),"ı","I"),"i","I"),"Ş","S"),"ş","S"),"Ğ","G"),"ğ","G"),"Ü","U"),"ü","U"),"Ö","O"),"ö","O"),"Ç","C"),"ç","C"),".",""),",","")," ",""),"-","")))</f>
        <v/>
      </c>
      <c r="T484" s="3">
        <f>IF(OR($C484="",$D484&lt;&gt;"Gelir",$L484=""),"",IFERROR(INDEX(MUSTERILER!$B$7:$B$106,MATCH($S484,MUSTERILER!$T$7:$T$106,0)),""))</f>
        <v/>
      </c>
      <c r="U484" s="3">
        <f>IF($T484="","",$T484&amp;"|"&amp;COUNTIFS($T$7:$T484,$T484))</f>
        <v/>
      </c>
      <c r="V484" s="3">
        <f>IF($T484="",0,1)</f>
        <v/>
      </c>
      <c r="W484" s="3">
        <f>IF($C484="","",$D484&amp;"|"&amp;$E484&amp;"|"&amp;TEXT($C484,"0")&amp;"|"&amp;TEXT($G484,"0")&amp;"|"&amp;$J484)</f>
        <v/>
      </c>
      <c r="X484" s="3" t="n"/>
      <c r="Y484" s="3" t="n"/>
      <c r="Z484" s="3" t="n"/>
      <c r="AA484" s="3" t="n"/>
      <c r="AB484" s="3" t="n"/>
      <c r="AC484" s="3" t="n"/>
      <c r="AD484" s="3">
        <f>IF($C484="",0,SUMPRODUCT((AY_SONU!$O$7:$O$42="Evet")*(AY_SONU!$B$7:$B$42=DATE(YEAR($C484),MONTH($C484),1))))</f>
        <v/>
      </c>
    </row>
    <row r="485">
      <c r="A485" s="6" t="n"/>
      <c r="B485" s="113">
        <f>IF($C485="","","GG"&amp;TEXT(ROW()-6,"00000"))</f>
        <v/>
      </c>
      <c r="C485" s="220" t="n"/>
      <c r="D485" s="108" t="n"/>
      <c r="E485" s="109" t="n"/>
      <c r="F485" s="109" t="n"/>
      <c r="G485" s="221" t="n"/>
      <c r="H485" s="108" t="n"/>
      <c r="I485" s="108" t="n"/>
      <c r="J485" s="109" t="n"/>
      <c r="K485" s="109" t="n"/>
      <c r="L485" s="108" t="n"/>
      <c r="M485" s="121">
        <f>IF($C485="","",IF($D485="Gider",$E485,IF($L485&lt;&gt;"",$L485,$H485)))</f>
        <v/>
      </c>
      <c r="N485" s="121">
        <f>IF($C485="","",IF($D485="Gider",$H485,$E485))</f>
        <v/>
      </c>
      <c r="O485" s="226">
        <f>IF($C485="","",DATE(YEAR($C485),MONTH($C485),1))</f>
        <v/>
      </c>
      <c r="P485" s="113">
        <f>IF($C485="","",IF(AND($D485="Gelir",$L485&lt;&gt;"",$T485=""),"TANIMSIZ BORÇLU",IF($T485&lt;&gt;"",IF(OR($E485="",$G485&lt;=0),"EKSİK",IF($I485="Evet","TAHAKKUK NAKİT OLAMAZ",IF($C485&gt;TODAY(),"İLERİ TARİH","TAHAKKUK"))),IF(AND($D485&lt;&gt;"",$E485&lt;&gt;"",$G485&gt;0,$H485&lt;&gt;"",$I485&lt;&gt;""),IF($C485&gt;TODAY(),"İLERİ TARİH",IF(COUNTIF($W$7:$W$1206,$W485)&gt;1,"MÜKERRER?",IF($AD485&gt;0,"KAPALI DÖNEM",IF($I485="Hayır","ÖDENECEK","UYGUN")))),"EKSİK"))))</f>
        <v/>
      </c>
      <c r="Q485" s="6" t="n"/>
      <c r="R485" s="6" t="n"/>
      <c r="S485" s="3">
        <f>IF($L485="","",UPPER(SUBSTITUTE(SUBSTITUTE(SUBSTITUTE(SUBSTITUTE(SUBSTITUTE(SUBSTITUTE(SUBSTITUTE(SUBSTITUTE(SUBSTITUTE(SUBSTITUTE(SUBSTITUTE(SUBSTITUTE(SUBSTITUTE(SUBSTITUTE(SUBSTITUTE(SUBSTITUTE(SUBSTITUTE(SUBSTITUTE(TRIM($L485),"'",""),"İ","I"),"ı","I"),"i","I"),"Ş","S"),"ş","S"),"Ğ","G"),"ğ","G"),"Ü","U"),"ü","U"),"Ö","O"),"ö","O"),"Ç","C"),"ç","C"),".",""),",","")," ",""),"-","")))</f>
        <v/>
      </c>
      <c r="T485" s="3">
        <f>IF(OR($C485="",$D485&lt;&gt;"Gelir",$L485=""),"",IFERROR(INDEX(MUSTERILER!$B$7:$B$106,MATCH($S485,MUSTERILER!$T$7:$T$106,0)),""))</f>
        <v/>
      </c>
      <c r="U485" s="3">
        <f>IF($T485="","",$T485&amp;"|"&amp;COUNTIFS($T$7:$T485,$T485))</f>
        <v/>
      </c>
      <c r="V485" s="3">
        <f>IF($T485="",0,1)</f>
        <v/>
      </c>
      <c r="W485" s="3">
        <f>IF($C485="","",$D485&amp;"|"&amp;$E485&amp;"|"&amp;TEXT($C485,"0")&amp;"|"&amp;TEXT($G485,"0")&amp;"|"&amp;$J485)</f>
        <v/>
      </c>
      <c r="X485" s="3" t="n"/>
      <c r="Y485" s="3" t="n"/>
      <c r="Z485" s="3" t="n"/>
      <c r="AA485" s="3" t="n"/>
      <c r="AB485" s="3" t="n"/>
      <c r="AC485" s="3" t="n"/>
      <c r="AD485" s="3">
        <f>IF($C485="",0,SUMPRODUCT((AY_SONU!$O$7:$O$42="Evet")*(AY_SONU!$B$7:$B$42=DATE(YEAR($C485),MONTH($C485),1))))</f>
        <v/>
      </c>
    </row>
    <row r="486">
      <c r="A486" s="6" t="n"/>
      <c r="B486" s="113">
        <f>IF($C486="","","GG"&amp;TEXT(ROW()-6,"00000"))</f>
        <v/>
      </c>
      <c r="C486" s="220" t="n"/>
      <c r="D486" s="108" t="n"/>
      <c r="E486" s="109" t="n"/>
      <c r="F486" s="109" t="n"/>
      <c r="G486" s="221" t="n"/>
      <c r="H486" s="108" t="n"/>
      <c r="I486" s="108" t="n"/>
      <c r="J486" s="109" t="n"/>
      <c r="K486" s="109" t="n"/>
      <c r="L486" s="108" t="n"/>
      <c r="M486" s="121">
        <f>IF($C486="","",IF($D486="Gider",$E486,IF($L486&lt;&gt;"",$L486,$H486)))</f>
        <v/>
      </c>
      <c r="N486" s="121">
        <f>IF($C486="","",IF($D486="Gider",$H486,$E486))</f>
        <v/>
      </c>
      <c r="O486" s="226">
        <f>IF($C486="","",DATE(YEAR($C486),MONTH($C486),1))</f>
        <v/>
      </c>
      <c r="P486" s="113">
        <f>IF($C486="","",IF(AND($D486="Gelir",$L486&lt;&gt;"",$T486=""),"TANIMSIZ BORÇLU",IF($T486&lt;&gt;"",IF(OR($E486="",$G486&lt;=0),"EKSİK",IF($I486="Evet","TAHAKKUK NAKİT OLAMAZ",IF($C486&gt;TODAY(),"İLERİ TARİH","TAHAKKUK"))),IF(AND($D486&lt;&gt;"",$E486&lt;&gt;"",$G486&gt;0,$H486&lt;&gt;"",$I486&lt;&gt;""),IF($C486&gt;TODAY(),"İLERİ TARİH",IF(COUNTIF($W$7:$W$1206,$W486)&gt;1,"MÜKERRER?",IF($AD486&gt;0,"KAPALI DÖNEM",IF($I486="Hayır","ÖDENECEK","UYGUN")))),"EKSİK"))))</f>
        <v/>
      </c>
      <c r="Q486" s="6" t="n"/>
      <c r="R486" s="6" t="n"/>
      <c r="S486" s="3">
        <f>IF($L486="","",UPPER(SUBSTITUTE(SUBSTITUTE(SUBSTITUTE(SUBSTITUTE(SUBSTITUTE(SUBSTITUTE(SUBSTITUTE(SUBSTITUTE(SUBSTITUTE(SUBSTITUTE(SUBSTITUTE(SUBSTITUTE(SUBSTITUTE(SUBSTITUTE(SUBSTITUTE(SUBSTITUTE(SUBSTITUTE(SUBSTITUTE(TRIM($L486),"'",""),"İ","I"),"ı","I"),"i","I"),"Ş","S"),"ş","S"),"Ğ","G"),"ğ","G"),"Ü","U"),"ü","U"),"Ö","O"),"ö","O"),"Ç","C"),"ç","C"),".",""),",","")," ",""),"-","")))</f>
        <v/>
      </c>
      <c r="T486" s="3">
        <f>IF(OR($C486="",$D486&lt;&gt;"Gelir",$L486=""),"",IFERROR(INDEX(MUSTERILER!$B$7:$B$106,MATCH($S486,MUSTERILER!$T$7:$T$106,0)),""))</f>
        <v/>
      </c>
      <c r="U486" s="3">
        <f>IF($T486="","",$T486&amp;"|"&amp;COUNTIFS($T$7:$T486,$T486))</f>
        <v/>
      </c>
      <c r="V486" s="3">
        <f>IF($T486="",0,1)</f>
        <v/>
      </c>
      <c r="W486" s="3">
        <f>IF($C486="","",$D486&amp;"|"&amp;$E486&amp;"|"&amp;TEXT($C486,"0")&amp;"|"&amp;TEXT($G486,"0")&amp;"|"&amp;$J486)</f>
        <v/>
      </c>
      <c r="X486" s="3" t="n"/>
      <c r="Y486" s="3" t="n"/>
      <c r="Z486" s="3" t="n"/>
      <c r="AA486" s="3" t="n"/>
      <c r="AB486" s="3" t="n"/>
      <c r="AC486" s="3" t="n"/>
      <c r="AD486" s="3">
        <f>IF($C486="",0,SUMPRODUCT((AY_SONU!$O$7:$O$42="Evet")*(AY_SONU!$B$7:$B$42=DATE(YEAR($C486),MONTH($C486),1))))</f>
        <v/>
      </c>
    </row>
    <row r="487">
      <c r="A487" s="6" t="n"/>
      <c r="B487" s="113">
        <f>IF($C487="","","GG"&amp;TEXT(ROW()-6,"00000"))</f>
        <v/>
      </c>
      <c r="C487" s="220" t="n"/>
      <c r="D487" s="108" t="n"/>
      <c r="E487" s="109" t="n"/>
      <c r="F487" s="109" t="n"/>
      <c r="G487" s="221" t="n"/>
      <c r="H487" s="108" t="n"/>
      <c r="I487" s="108" t="n"/>
      <c r="J487" s="109" t="n"/>
      <c r="K487" s="109" t="n"/>
      <c r="L487" s="108" t="n"/>
      <c r="M487" s="121">
        <f>IF($C487="","",IF($D487="Gider",$E487,IF($L487&lt;&gt;"",$L487,$H487)))</f>
        <v/>
      </c>
      <c r="N487" s="121">
        <f>IF($C487="","",IF($D487="Gider",$H487,$E487))</f>
        <v/>
      </c>
      <c r="O487" s="226">
        <f>IF($C487="","",DATE(YEAR($C487),MONTH($C487),1))</f>
        <v/>
      </c>
      <c r="P487" s="113">
        <f>IF($C487="","",IF(AND($D487="Gelir",$L487&lt;&gt;"",$T487=""),"TANIMSIZ BORÇLU",IF($T487&lt;&gt;"",IF(OR($E487="",$G487&lt;=0),"EKSİK",IF($I487="Evet","TAHAKKUK NAKİT OLAMAZ",IF($C487&gt;TODAY(),"İLERİ TARİH","TAHAKKUK"))),IF(AND($D487&lt;&gt;"",$E487&lt;&gt;"",$G487&gt;0,$H487&lt;&gt;"",$I487&lt;&gt;""),IF($C487&gt;TODAY(),"İLERİ TARİH",IF(COUNTIF($W$7:$W$1206,$W487)&gt;1,"MÜKERRER?",IF($AD487&gt;0,"KAPALI DÖNEM",IF($I487="Hayır","ÖDENECEK","UYGUN")))),"EKSİK"))))</f>
        <v/>
      </c>
      <c r="Q487" s="6" t="n"/>
      <c r="R487" s="6" t="n"/>
      <c r="S487" s="3">
        <f>IF($L487="","",UPPER(SUBSTITUTE(SUBSTITUTE(SUBSTITUTE(SUBSTITUTE(SUBSTITUTE(SUBSTITUTE(SUBSTITUTE(SUBSTITUTE(SUBSTITUTE(SUBSTITUTE(SUBSTITUTE(SUBSTITUTE(SUBSTITUTE(SUBSTITUTE(SUBSTITUTE(SUBSTITUTE(SUBSTITUTE(SUBSTITUTE(TRIM($L487),"'",""),"İ","I"),"ı","I"),"i","I"),"Ş","S"),"ş","S"),"Ğ","G"),"ğ","G"),"Ü","U"),"ü","U"),"Ö","O"),"ö","O"),"Ç","C"),"ç","C"),".",""),",","")," ",""),"-","")))</f>
        <v/>
      </c>
      <c r="T487" s="3">
        <f>IF(OR($C487="",$D487&lt;&gt;"Gelir",$L487=""),"",IFERROR(INDEX(MUSTERILER!$B$7:$B$106,MATCH($S487,MUSTERILER!$T$7:$T$106,0)),""))</f>
        <v/>
      </c>
      <c r="U487" s="3">
        <f>IF($T487="","",$T487&amp;"|"&amp;COUNTIFS($T$7:$T487,$T487))</f>
        <v/>
      </c>
      <c r="V487" s="3">
        <f>IF($T487="",0,1)</f>
        <v/>
      </c>
      <c r="W487" s="3">
        <f>IF($C487="","",$D487&amp;"|"&amp;$E487&amp;"|"&amp;TEXT($C487,"0")&amp;"|"&amp;TEXT($G487,"0")&amp;"|"&amp;$J487)</f>
        <v/>
      </c>
      <c r="X487" s="3" t="n"/>
      <c r="Y487" s="3" t="n"/>
      <c r="Z487" s="3" t="n"/>
      <c r="AA487" s="3" t="n"/>
      <c r="AB487" s="3" t="n"/>
      <c r="AC487" s="3" t="n"/>
      <c r="AD487" s="3">
        <f>IF($C487="",0,SUMPRODUCT((AY_SONU!$O$7:$O$42="Evet")*(AY_SONU!$B$7:$B$42=DATE(YEAR($C487),MONTH($C487),1))))</f>
        <v/>
      </c>
    </row>
    <row r="488">
      <c r="A488" s="6" t="n"/>
      <c r="B488" s="113">
        <f>IF($C488="","","GG"&amp;TEXT(ROW()-6,"00000"))</f>
        <v/>
      </c>
      <c r="C488" s="220" t="n"/>
      <c r="D488" s="108" t="n"/>
      <c r="E488" s="109" t="n"/>
      <c r="F488" s="109" t="n"/>
      <c r="G488" s="221" t="n"/>
      <c r="H488" s="108" t="n"/>
      <c r="I488" s="108" t="n"/>
      <c r="J488" s="109" t="n"/>
      <c r="K488" s="109" t="n"/>
      <c r="L488" s="108" t="n"/>
      <c r="M488" s="121">
        <f>IF($C488="","",IF($D488="Gider",$E488,IF($L488&lt;&gt;"",$L488,$H488)))</f>
        <v/>
      </c>
      <c r="N488" s="121">
        <f>IF($C488="","",IF($D488="Gider",$H488,$E488))</f>
        <v/>
      </c>
      <c r="O488" s="226">
        <f>IF($C488="","",DATE(YEAR($C488),MONTH($C488),1))</f>
        <v/>
      </c>
      <c r="P488" s="113">
        <f>IF($C488="","",IF(AND($D488="Gelir",$L488&lt;&gt;"",$T488=""),"TANIMSIZ BORÇLU",IF($T488&lt;&gt;"",IF(OR($E488="",$G488&lt;=0),"EKSİK",IF($I488="Evet","TAHAKKUK NAKİT OLAMAZ",IF($C488&gt;TODAY(),"İLERİ TARİH","TAHAKKUK"))),IF(AND($D488&lt;&gt;"",$E488&lt;&gt;"",$G488&gt;0,$H488&lt;&gt;"",$I488&lt;&gt;""),IF($C488&gt;TODAY(),"İLERİ TARİH",IF(COUNTIF($W$7:$W$1206,$W488)&gt;1,"MÜKERRER?",IF($AD488&gt;0,"KAPALI DÖNEM",IF($I488="Hayır","ÖDENECEK","UYGUN")))),"EKSİK"))))</f>
        <v/>
      </c>
      <c r="Q488" s="6" t="n"/>
      <c r="R488" s="6" t="n"/>
      <c r="S488" s="3">
        <f>IF($L488="","",UPPER(SUBSTITUTE(SUBSTITUTE(SUBSTITUTE(SUBSTITUTE(SUBSTITUTE(SUBSTITUTE(SUBSTITUTE(SUBSTITUTE(SUBSTITUTE(SUBSTITUTE(SUBSTITUTE(SUBSTITUTE(SUBSTITUTE(SUBSTITUTE(SUBSTITUTE(SUBSTITUTE(SUBSTITUTE(SUBSTITUTE(TRIM($L488),"'",""),"İ","I"),"ı","I"),"i","I"),"Ş","S"),"ş","S"),"Ğ","G"),"ğ","G"),"Ü","U"),"ü","U"),"Ö","O"),"ö","O"),"Ç","C"),"ç","C"),".",""),",","")," ",""),"-","")))</f>
        <v/>
      </c>
      <c r="T488" s="3">
        <f>IF(OR($C488="",$D488&lt;&gt;"Gelir",$L488=""),"",IFERROR(INDEX(MUSTERILER!$B$7:$B$106,MATCH($S488,MUSTERILER!$T$7:$T$106,0)),""))</f>
        <v/>
      </c>
      <c r="U488" s="3">
        <f>IF($T488="","",$T488&amp;"|"&amp;COUNTIFS($T$7:$T488,$T488))</f>
        <v/>
      </c>
      <c r="V488" s="3">
        <f>IF($T488="",0,1)</f>
        <v/>
      </c>
      <c r="W488" s="3">
        <f>IF($C488="","",$D488&amp;"|"&amp;$E488&amp;"|"&amp;TEXT($C488,"0")&amp;"|"&amp;TEXT($G488,"0")&amp;"|"&amp;$J488)</f>
        <v/>
      </c>
      <c r="X488" s="3" t="n"/>
      <c r="Y488" s="3" t="n"/>
      <c r="Z488" s="3" t="n"/>
      <c r="AA488" s="3" t="n"/>
      <c r="AB488" s="3" t="n"/>
      <c r="AC488" s="3" t="n"/>
      <c r="AD488" s="3">
        <f>IF($C488="",0,SUMPRODUCT((AY_SONU!$O$7:$O$42="Evet")*(AY_SONU!$B$7:$B$42=DATE(YEAR($C488),MONTH($C488),1))))</f>
        <v/>
      </c>
    </row>
    <row r="489">
      <c r="A489" s="6" t="n"/>
      <c r="B489" s="113">
        <f>IF($C489="","","GG"&amp;TEXT(ROW()-6,"00000"))</f>
        <v/>
      </c>
      <c r="C489" s="220" t="n"/>
      <c r="D489" s="108" t="n"/>
      <c r="E489" s="109" t="n"/>
      <c r="F489" s="109" t="n"/>
      <c r="G489" s="221" t="n"/>
      <c r="H489" s="108" t="n"/>
      <c r="I489" s="108" t="n"/>
      <c r="J489" s="109" t="n"/>
      <c r="K489" s="109" t="n"/>
      <c r="L489" s="108" t="n"/>
      <c r="M489" s="121">
        <f>IF($C489="","",IF($D489="Gider",$E489,IF($L489&lt;&gt;"",$L489,$H489)))</f>
        <v/>
      </c>
      <c r="N489" s="121">
        <f>IF($C489="","",IF($D489="Gider",$H489,$E489))</f>
        <v/>
      </c>
      <c r="O489" s="226">
        <f>IF($C489="","",DATE(YEAR($C489),MONTH($C489),1))</f>
        <v/>
      </c>
      <c r="P489" s="113">
        <f>IF($C489="","",IF(AND($D489="Gelir",$L489&lt;&gt;"",$T489=""),"TANIMSIZ BORÇLU",IF($T489&lt;&gt;"",IF(OR($E489="",$G489&lt;=0),"EKSİK",IF($I489="Evet","TAHAKKUK NAKİT OLAMAZ",IF($C489&gt;TODAY(),"İLERİ TARİH","TAHAKKUK"))),IF(AND($D489&lt;&gt;"",$E489&lt;&gt;"",$G489&gt;0,$H489&lt;&gt;"",$I489&lt;&gt;""),IF($C489&gt;TODAY(),"İLERİ TARİH",IF(COUNTIF($W$7:$W$1206,$W489)&gt;1,"MÜKERRER?",IF($AD489&gt;0,"KAPALI DÖNEM",IF($I489="Hayır","ÖDENECEK","UYGUN")))),"EKSİK"))))</f>
        <v/>
      </c>
      <c r="Q489" s="6" t="n"/>
      <c r="R489" s="6" t="n"/>
      <c r="S489" s="3">
        <f>IF($L489="","",UPPER(SUBSTITUTE(SUBSTITUTE(SUBSTITUTE(SUBSTITUTE(SUBSTITUTE(SUBSTITUTE(SUBSTITUTE(SUBSTITUTE(SUBSTITUTE(SUBSTITUTE(SUBSTITUTE(SUBSTITUTE(SUBSTITUTE(SUBSTITUTE(SUBSTITUTE(SUBSTITUTE(SUBSTITUTE(SUBSTITUTE(TRIM($L489),"'",""),"İ","I"),"ı","I"),"i","I"),"Ş","S"),"ş","S"),"Ğ","G"),"ğ","G"),"Ü","U"),"ü","U"),"Ö","O"),"ö","O"),"Ç","C"),"ç","C"),".",""),",","")," ",""),"-","")))</f>
        <v/>
      </c>
      <c r="T489" s="3">
        <f>IF(OR($C489="",$D489&lt;&gt;"Gelir",$L489=""),"",IFERROR(INDEX(MUSTERILER!$B$7:$B$106,MATCH($S489,MUSTERILER!$T$7:$T$106,0)),""))</f>
        <v/>
      </c>
      <c r="U489" s="3">
        <f>IF($T489="","",$T489&amp;"|"&amp;COUNTIFS($T$7:$T489,$T489))</f>
        <v/>
      </c>
      <c r="V489" s="3">
        <f>IF($T489="",0,1)</f>
        <v/>
      </c>
      <c r="W489" s="3">
        <f>IF($C489="","",$D489&amp;"|"&amp;$E489&amp;"|"&amp;TEXT($C489,"0")&amp;"|"&amp;TEXT($G489,"0")&amp;"|"&amp;$J489)</f>
        <v/>
      </c>
      <c r="X489" s="3" t="n"/>
      <c r="Y489" s="3" t="n"/>
      <c r="Z489" s="3" t="n"/>
      <c r="AA489" s="3" t="n"/>
      <c r="AB489" s="3" t="n"/>
      <c r="AC489" s="3" t="n"/>
      <c r="AD489" s="3">
        <f>IF($C489="",0,SUMPRODUCT((AY_SONU!$O$7:$O$42="Evet")*(AY_SONU!$B$7:$B$42=DATE(YEAR($C489),MONTH($C489),1))))</f>
        <v/>
      </c>
    </row>
    <row r="490">
      <c r="A490" s="6" t="n"/>
      <c r="B490" s="113">
        <f>IF($C490="","","GG"&amp;TEXT(ROW()-6,"00000"))</f>
        <v/>
      </c>
      <c r="C490" s="220" t="n"/>
      <c r="D490" s="108" t="n"/>
      <c r="E490" s="109" t="n"/>
      <c r="F490" s="109" t="n"/>
      <c r="G490" s="221" t="n"/>
      <c r="H490" s="108" t="n"/>
      <c r="I490" s="108" t="n"/>
      <c r="J490" s="109" t="n"/>
      <c r="K490" s="109" t="n"/>
      <c r="L490" s="108" t="n"/>
      <c r="M490" s="121">
        <f>IF($C490="","",IF($D490="Gider",$E490,IF($L490&lt;&gt;"",$L490,$H490)))</f>
        <v/>
      </c>
      <c r="N490" s="121">
        <f>IF($C490="","",IF($D490="Gider",$H490,$E490))</f>
        <v/>
      </c>
      <c r="O490" s="226">
        <f>IF($C490="","",DATE(YEAR($C490),MONTH($C490),1))</f>
        <v/>
      </c>
      <c r="P490" s="113">
        <f>IF($C490="","",IF(AND($D490="Gelir",$L490&lt;&gt;"",$T490=""),"TANIMSIZ BORÇLU",IF($T490&lt;&gt;"",IF(OR($E490="",$G490&lt;=0),"EKSİK",IF($I490="Evet","TAHAKKUK NAKİT OLAMAZ",IF($C490&gt;TODAY(),"İLERİ TARİH","TAHAKKUK"))),IF(AND($D490&lt;&gt;"",$E490&lt;&gt;"",$G490&gt;0,$H490&lt;&gt;"",$I490&lt;&gt;""),IF($C490&gt;TODAY(),"İLERİ TARİH",IF(COUNTIF($W$7:$W$1206,$W490)&gt;1,"MÜKERRER?",IF($AD490&gt;0,"KAPALI DÖNEM",IF($I490="Hayır","ÖDENECEK","UYGUN")))),"EKSİK"))))</f>
        <v/>
      </c>
      <c r="Q490" s="6" t="n"/>
      <c r="R490" s="6" t="n"/>
      <c r="S490" s="3">
        <f>IF($L490="","",UPPER(SUBSTITUTE(SUBSTITUTE(SUBSTITUTE(SUBSTITUTE(SUBSTITUTE(SUBSTITUTE(SUBSTITUTE(SUBSTITUTE(SUBSTITUTE(SUBSTITUTE(SUBSTITUTE(SUBSTITUTE(SUBSTITUTE(SUBSTITUTE(SUBSTITUTE(SUBSTITUTE(SUBSTITUTE(SUBSTITUTE(TRIM($L490),"'",""),"İ","I"),"ı","I"),"i","I"),"Ş","S"),"ş","S"),"Ğ","G"),"ğ","G"),"Ü","U"),"ü","U"),"Ö","O"),"ö","O"),"Ç","C"),"ç","C"),".",""),",","")," ",""),"-","")))</f>
        <v/>
      </c>
      <c r="T490" s="3">
        <f>IF(OR($C490="",$D490&lt;&gt;"Gelir",$L490=""),"",IFERROR(INDEX(MUSTERILER!$B$7:$B$106,MATCH($S490,MUSTERILER!$T$7:$T$106,0)),""))</f>
        <v/>
      </c>
      <c r="U490" s="3">
        <f>IF($T490="","",$T490&amp;"|"&amp;COUNTIFS($T$7:$T490,$T490))</f>
        <v/>
      </c>
      <c r="V490" s="3">
        <f>IF($T490="",0,1)</f>
        <v/>
      </c>
      <c r="W490" s="3">
        <f>IF($C490="","",$D490&amp;"|"&amp;$E490&amp;"|"&amp;TEXT($C490,"0")&amp;"|"&amp;TEXT($G490,"0")&amp;"|"&amp;$J490)</f>
        <v/>
      </c>
      <c r="X490" s="3" t="n"/>
      <c r="Y490" s="3" t="n"/>
      <c r="Z490" s="3" t="n"/>
      <c r="AA490" s="3" t="n"/>
      <c r="AB490" s="3" t="n"/>
      <c r="AC490" s="3" t="n"/>
      <c r="AD490" s="3">
        <f>IF($C490="",0,SUMPRODUCT((AY_SONU!$O$7:$O$42="Evet")*(AY_SONU!$B$7:$B$42=DATE(YEAR($C490),MONTH($C490),1))))</f>
        <v/>
      </c>
    </row>
    <row r="491">
      <c r="A491" s="6" t="n"/>
      <c r="B491" s="113">
        <f>IF($C491="","","GG"&amp;TEXT(ROW()-6,"00000"))</f>
        <v/>
      </c>
      <c r="C491" s="220" t="n"/>
      <c r="D491" s="108" t="n"/>
      <c r="E491" s="109" t="n"/>
      <c r="F491" s="109" t="n"/>
      <c r="G491" s="221" t="n"/>
      <c r="H491" s="108" t="n"/>
      <c r="I491" s="108" t="n"/>
      <c r="J491" s="109" t="n"/>
      <c r="K491" s="109" t="n"/>
      <c r="L491" s="108" t="n"/>
      <c r="M491" s="121">
        <f>IF($C491="","",IF($D491="Gider",$E491,IF($L491&lt;&gt;"",$L491,$H491)))</f>
        <v/>
      </c>
      <c r="N491" s="121">
        <f>IF($C491="","",IF($D491="Gider",$H491,$E491))</f>
        <v/>
      </c>
      <c r="O491" s="226">
        <f>IF($C491="","",DATE(YEAR($C491),MONTH($C491),1))</f>
        <v/>
      </c>
      <c r="P491" s="113">
        <f>IF($C491="","",IF(AND($D491="Gelir",$L491&lt;&gt;"",$T491=""),"TANIMSIZ BORÇLU",IF($T491&lt;&gt;"",IF(OR($E491="",$G491&lt;=0),"EKSİK",IF($I491="Evet","TAHAKKUK NAKİT OLAMAZ",IF($C491&gt;TODAY(),"İLERİ TARİH","TAHAKKUK"))),IF(AND($D491&lt;&gt;"",$E491&lt;&gt;"",$G491&gt;0,$H491&lt;&gt;"",$I491&lt;&gt;""),IF($C491&gt;TODAY(),"İLERİ TARİH",IF(COUNTIF($W$7:$W$1206,$W491)&gt;1,"MÜKERRER?",IF($AD491&gt;0,"KAPALI DÖNEM",IF($I491="Hayır","ÖDENECEK","UYGUN")))),"EKSİK"))))</f>
        <v/>
      </c>
      <c r="Q491" s="6" t="n"/>
      <c r="R491" s="6" t="n"/>
      <c r="S491" s="3">
        <f>IF($L491="","",UPPER(SUBSTITUTE(SUBSTITUTE(SUBSTITUTE(SUBSTITUTE(SUBSTITUTE(SUBSTITUTE(SUBSTITUTE(SUBSTITUTE(SUBSTITUTE(SUBSTITUTE(SUBSTITUTE(SUBSTITUTE(SUBSTITUTE(SUBSTITUTE(SUBSTITUTE(SUBSTITUTE(SUBSTITUTE(SUBSTITUTE(TRIM($L491),"'",""),"İ","I"),"ı","I"),"i","I"),"Ş","S"),"ş","S"),"Ğ","G"),"ğ","G"),"Ü","U"),"ü","U"),"Ö","O"),"ö","O"),"Ç","C"),"ç","C"),".",""),",","")," ",""),"-","")))</f>
        <v/>
      </c>
      <c r="T491" s="3">
        <f>IF(OR($C491="",$D491&lt;&gt;"Gelir",$L491=""),"",IFERROR(INDEX(MUSTERILER!$B$7:$B$106,MATCH($S491,MUSTERILER!$T$7:$T$106,0)),""))</f>
        <v/>
      </c>
      <c r="U491" s="3">
        <f>IF($T491="","",$T491&amp;"|"&amp;COUNTIFS($T$7:$T491,$T491))</f>
        <v/>
      </c>
      <c r="V491" s="3">
        <f>IF($T491="",0,1)</f>
        <v/>
      </c>
      <c r="W491" s="3">
        <f>IF($C491="","",$D491&amp;"|"&amp;$E491&amp;"|"&amp;TEXT($C491,"0")&amp;"|"&amp;TEXT($G491,"0")&amp;"|"&amp;$J491)</f>
        <v/>
      </c>
      <c r="X491" s="3" t="n"/>
      <c r="Y491" s="3" t="n"/>
      <c r="Z491" s="3" t="n"/>
      <c r="AA491" s="3" t="n"/>
      <c r="AB491" s="3" t="n"/>
      <c r="AC491" s="3" t="n"/>
      <c r="AD491" s="3">
        <f>IF($C491="",0,SUMPRODUCT((AY_SONU!$O$7:$O$42="Evet")*(AY_SONU!$B$7:$B$42=DATE(YEAR($C491),MONTH($C491),1))))</f>
        <v/>
      </c>
    </row>
    <row r="492">
      <c r="A492" s="6" t="n"/>
      <c r="B492" s="113">
        <f>IF($C492="","","GG"&amp;TEXT(ROW()-6,"00000"))</f>
        <v/>
      </c>
      <c r="C492" s="220" t="n"/>
      <c r="D492" s="108" t="n"/>
      <c r="E492" s="109" t="n"/>
      <c r="F492" s="109" t="n"/>
      <c r="G492" s="221" t="n"/>
      <c r="H492" s="108" t="n"/>
      <c r="I492" s="108" t="n"/>
      <c r="J492" s="109" t="n"/>
      <c r="K492" s="109" t="n"/>
      <c r="L492" s="108" t="n"/>
      <c r="M492" s="121">
        <f>IF($C492="","",IF($D492="Gider",$E492,IF($L492&lt;&gt;"",$L492,$H492)))</f>
        <v/>
      </c>
      <c r="N492" s="121">
        <f>IF($C492="","",IF($D492="Gider",$H492,$E492))</f>
        <v/>
      </c>
      <c r="O492" s="226">
        <f>IF($C492="","",DATE(YEAR($C492),MONTH($C492),1))</f>
        <v/>
      </c>
      <c r="P492" s="113">
        <f>IF($C492="","",IF(AND($D492="Gelir",$L492&lt;&gt;"",$T492=""),"TANIMSIZ BORÇLU",IF($T492&lt;&gt;"",IF(OR($E492="",$G492&lt;=0),"EKSİK",IF($I492="Evet","TAHAKKUK NAKİT OLAMAZ",IF($C492&gt;TODAY(),"İLERİ TARİH","TAHAKKUK"))),IF(AND($D492&lt;&gt;"",$E492&lt;&gt;"",$G492&gt;0,$H492&lt;&gt;"",$I492&lt;&gt;""),IF($C492&gt;TODAY(),"İLERİ TARİH",IF(COUNTIF($W$7:$W$1206,$W492)&gt;1,"MÜKERRER?",IF($AD492&gt;0,"KAPALI DÖNEM",IF($I492="Hayır","ÖDENECEK","UYGUN")))),"EKSİK"))))</f>
        <v/>
      </c>
      <c r="Q492" s="6" t="n"/>
      <c r="R492" s="6" t="n"/>
      <c r="S492" s="3">
        <f>IF($L492="","",UPPER(SUBSTITUTE(SUBSTITUTE(SUBSTITUTE(SUBSTITUTE(SUBSTITUTE(SUBSTITUTE(SUBSTITUTE(SUBSTITUTE(SUBSTITUTE(SUBSTITUTE(SUBSTITUTE(SUBSTITUTE(SUBSTITUTE(SUBSTITUTE(SUBSTITUTE(SUBSTITUTE(SUBSTITUTE(SUBSTITUTE(TRIM($L492),"'",""),"İ","I"),"ı","I"),"i","I"),"Ş","S"),"ş","S"),"Ğ","G"),"ğ","G"),"Ü","U"),"ü","U"),"Ö","O"),"ö","O"),"Ç","C"),"ç","C"),".",""),",","")," ",""),"-","")))</f>
        <v/>
      </c>
      <c r="T492" s="3">
        <f>IF(OR($C492="",$D492&lt;&gt;"Gelir",$L492=""),"",IFERROR(INDEX(MUSTERILER!$B$7:$B$106,MATCH($S492,MUSTERILER!$T$7:$T$106,0)),""))</f>
        <v/>
      </c>
      <c r="U492" s="3">
        <f>IF($T492="","",$T492&amp;"|"&amp;COUNTIFS($T$7:$T492,$T492))</f>
        <v/>
      </c>
      <c r="V492" s="3">
        <f>IF($T492="",0,1)</f>
        <v/>
      </c>
      <c r="W492" s="3">
        <f>IF($C492="","",$D492&amp;"|"&amp;$E492&amp;"|"&amp;TEXT($C492,"0")&amp;"|"&amp;TEXT($G492,"0")&amp;"|"&amp;$J492)</f>
        <v/>
      </c>
      <c r="X492" s="3" t="n"/>
      <c r="Y492" s="3" t="n"/>
      <c r="Z492" s="3" t="n"/>
      <c r="AA492" s="3" t="n"/>
      <c r="AB492" s="3" t="n"/>
      <c r="AC492" s="3" t="n"/>
      <c r="AD492" s="3">
        <f>IF($C492="",0,SUMPRODUCT((AY_SONU!$O$7:$O$42="Evet")*(AY_SONU!$B$7:$B$42=DATE(YEAR($C492),MONTH($C492),1))))</f>
        <v/>
      </c>
    </row>
    <row r="493">
      <c r="A493" s="6" t="n"/>
      <c r="B493" s="113">
        <f>IF($C493="","","GG"&amp;TEXT(ROW()-6,"00000"))</f>
        <v/>
      </c>
      <c r="C493" s="220" t="n"/>
      <c r="D493" s="108" t="n"/>
      <c r="E493" s="109" t="n"/>
      <c r="F493" s="109" t="n"/>
      <c r="G493" s="221" t="n"/>
      <c r="H493" s="108" t="n"/>
      <c r="I493" s="108" t="n"/>
      <c r="J493" s="109" t="n"/>
      <c r="K493" s="109" t="n"/>
      <c r="L493" s="108" t="n"/>
      <c r="M493" s="121">
        <f>IF($C493="","",IF($D493="Gider",$E493,IF($L493&lt;&gt;"",$L493,$H493)))</f>
        <v/>
      </c>
      <c r="N493" s="121">
        <f>IF($C493="","",IF($D493="Gider",$H493,$E493))</f>
        <v/>
      </c>
      <c r="O493" s="226">
        <f>IF($C493="","",DATE(YEAR($C493),MONTH($C493),1))</f>
        <v/>
      </c>
      <c r="P493" s="113">
        <f>IF($C493="","",IF(AND($D493="Gelir",$L493&lt;&gt;"",$T493=""),"TANIMSIZ BORÇLU",IF($T493&lt;&gt;"",IF(OR($E493="",$G493&lt;=0),"EKSİK",IF($I493="Evet","TAHAKKUK NAKİT OLAMAZ",IF($C493&gt;TODAY(),"İLERİ TARİH","TAHAKKUK"))),IF(AND($D493&lt;&gt;"",$E493&lt;&gt;"",$G493&gt;0,$H493&lt;&gt;"",$I493&lt;&gt;""),IF($C493&gt;TODAY(),"İLERİ TARİH",IF(COUNTIF($W$7:$W$1206,$W493)&gt;1,"MÜKERRER?",IF($AD493&gt;0,"KAPALI DÖNEM",IF($I493="Hayır","ÖDENECEK","UYGUN")))),"EKSİK"))))</f>
        <v/>
      </c>
      <c r="Q493" s="6" t="n"/>
      <c r="R493" s="6" t="n"/>
      <c r="S493" s="3">
        <f>IF($L493="","",UPPER(SUBSTITUTE(SUBSTITUTE(SUBSTITUTE(SUBSTITUTE(SUBSTITUTE(SUBSTITUTE(SUBSTITUTE(SUBSTITUTE(SUBSTITUTE(SUBSTITUTE(SUBSTITUTE(SUBSTITUTE(SUBSTITUTE(SUBSTITUTE(SUBSTITUTE(SUBSTITUTE(SUBSTITUTE(SUBSTITUTE(TRIM($L493),"'",""),"İ","I"),"ı","I"),"i","I"),"Ş","S"),"ş","S"),"Ğ","G"),"ğ","G"),"Ü","U"),"ü","U"),"Ö","O"),"ö","O"),"Ç","C"),"ç","C"),".",""),",","")," ",""),"-","")))</f>
        <v/>
      </c>
      <c r="T493" s="3">
        <f>IF(OR($C493="",$D493&lt;&gt;"Gelir",$L493=""),"",IFERROR(INDEX(MUSTERILER!$B$7:$B$106,MATCH($S493,MUSTERILER!$T$7:$T$106,0)),""))</f>
        <v/>
      </c>
      <c r="U493" s="3">
        <f>IF($T493="","",$T493&amp;"|"&amp;COUNTIFS($T$7:$T493,$T493))</f>
        <v/>
      </c>
      <c r="V493" s="3">
        <f>IF($T493="",0,1)</f>
        <v/>
      </c>
      <c r="W493" s="3">
        <f>IF($C493="","",$D493&amp;"|"&amp;$E493&amp;"|"&amp;TEXT($C493,"0")&amp;"|"&amp;TEXT($G493,"0")&amp;"|"&amp;$J493)</f>
        <v/>
      </c>
      <c r="X493" s="3" t="n"/>
      <c r="Y493" s="3" t="n"/>
      <c r="Z493" s="3" t="n"/>
      <c r="AA493" s="3" t="n"/>
      <c r="AB493" s="3" t="n"/>
      <c r="AC493" s="3" t="n"/>
      <c r="AD493" s="3">
        <f>IF($C493="",0,SUMPRODUCT((AY_SONU!$O$7:$O$42="Evet")*(AY_SONU!$B$7:$B$42=DATE(YEAR($C493),MONTH($C493),1))))</f>
        <v/>
      </c>
    </row>
    <row r="494">
      <c r="A494" s="6" t="n"/>
      <c r="B494" s="113">
        <f>IF($C494="","","GG"&amp;TEXT(ROW()-6,"00000"))</f>
        <v/>
      </c>
      <c r="C494" s="220" t="n"/>
      <c r="D494" s="108" t="n"/>
      <c r="E494" s="109" t="n"/>
      <c r="F494" s="109" t="n"/>
      <c r="G494" s="221" t="n"/>
      <c r="H494" s="108" t="n"/>
      <c r="I494" s="108" t="n"/>
      <c r="J494" s="109" t="n"/>
      <c r="K494" s="109" t="n"/>
      <c r="L494" s="108" t="n"/>
      <c r="M494" s="121">
        <f>IF($C494="","",IF($D494="Gider",$E494,IF($L494&lt;&gt;"",$L494,$H494)))</f>
        <v/>
      </c>
      <c r="N494" s="121">
        <f>IF($C494="","",IF($D494="Gider",$H494,$E494))</f>
        <v/>
      </c>
      <c r="O494" s="226">
        <f>IF($C494="","",DATE(YEAR($C494),MONTH($C494),1))</f>
        <v/>
      </c>
      <c r="P494" s="113">
        <f>IF($C494="","",IF(AND($D494="Gelir",$L494&lt;&gt;"",$T494=""),"TANIMSIZ BORÇLU",IF($T494&lt;&gt;"",IF(OR($E494="",$G494&lt;=0),"EKSİK",IF($I494="Evet","TAHAKKUK NAKİT OLAMAZ",IF($C494&gt;TODAY(),"İLERİ TARİH","TAHAKKUK"))),IF(AND($D494&lt;&gt;"",$E494&lt;&gt;"",$G494&gt;0,$H494&lt;&gt;"",$I494&lt;&gt;""),IF($C494&gt;TODAY(),"İLERİ TARİH",IF(COUNTIF($W$7:$W$1206,$W494)&gt;1,"MÜKERRER?",IF($AD494&gt;0,"KAPALI DÖNEM",IF($I494="Hayır","ÖDENECEK","UYGUN")))),"EKSİK"))))</f>
        <v/>
      </c>
      <c r="Q494" s="6" t="n"/>
      <c r="R494" s="6" t="n"/>
      <c r="S494" s="3">
        <f>IF($L494="","",UPPER(SUBSTITUTE(SUBSTITUTE(SUBSTITUTE(SUBSTITUTE(SUBSTITUTE(SUBSTITUTE(SUBSTITUTE(SUBSTITUTE(SUBSTITUTE(SUBSTITUTE(SUBSTITUTE(SUBSTITUTE(SUBSTITUTE(SUBSTITUTE(SUBSTITUTE(SUBSTITUTE(SUBSTITUTE(SUBSTITUTE(TRIM($L494),"'",""),"İ","I"),"ı","I"),"i","I"),"Ş","S"),"ş","S"),"Ğ","G"),"ğ","G"),"Ü","U"),"ü","U"),"Ö","O"),"ö","O"),"Ç","C"),"ç","C"),".",""),",","")," ",""),"-","")))</f>
        <v/>
      </c>
      <c r="T494" s="3">
        <f>IF(OR($C494="",$D494&lt;&gt;"Gelir",$L494=""),"",IFERROR(INDEX(MUSTERILER!$B$7:$B$106,MATCH($S494,MUSTERILER!$T$7:$T$106,0)),""))</f>
        <v/>
      </c>
      <c r="U494" s="3">
        <f>IF($T494="","",$T494&amp;"|"&amp;COUNTIFS($T$7:$T494,$T494))</f>
        <v/>
      </c>
      <c r="V494" s="3">
        <f>IF($T494="",0,1)</f>
        <v/>
      </c>
      <c r="W494" s="3">
        <f>IF($C494="","",$D494&amp;"|"&amp;$E494&amp;"|"&amp;TEXT($C494,"0")&amp;"|"&amp;TEXT($G494,"0")&amp;"|"&amp;$J494)</f>
        <v/>
      </c>
      <c r="X494" s="3" t="n"/>
      <c r="Y494" s="3" t="n"/>
      <c r="Z494" s="3" t="n"/>
      <c r="AA494" s="3" t="n"/>
      <c r="AB494" s="3" t="n"/>
      <c r="AC494" s="3" t="n"/>
      <c r="AD494" s="3">
        <f>IF($C494="",0,SUMPRODUCT((AY_SONU!$O$7:$O$42="Evet")*(AY_SONU!$B$7:$B$42=DATE(YEAR($C494),MONTH($C494),1))))</f>
        <v/>
      </c>
    </row>
    <row r="495">
      <c r="A495" s="6" t="n"/>
      <c r="B495" s="113">
        <f>IF($C495="","","GG"&amp;TEXT(ROW()-6,"00000"))</f>
        <v/>
      </c>
      <c r="C495" s="220" t="n"/>
      <c r="D495" s="108" t="n"/>
      <c r="E495" s="109" t="n"/>
      <c r="F495" s="109" t="n"/>
      <c r="G495" s="221" t="n"/>
      <c r="H495" s="108" t="n"/>
      <c r="I495" s="108" t="n"/>
      <c r="J495" s="109" t="n"/>
      <c r="K495" s="109" t="n"/>
      <c r="L495" s="108" t="n"/>
      <c r="M495" s="121">
        <f>IF($C495="","",IF($D495="Gider",$E495,IF($L495&lt;&gt;"",$L495,$H495)))</f>
        <v/>
      </c>
      <c r="N495" s="121">
        <f>IF($C495="","",IF($D495="Gider",$H495,$E495))</f>
        <v/>
      </c>
      <c r="O495" s="226">
        <f>IF($C495="","",DATE(YEAR($C495),MONTH($C495),1))</f>
        <v/>
      </c>
      <c r="P495" s="113">
        <f>IF($C495="","",IF(AND($D495="Gelir",$L495&lt;&gt;"",$T495=""),"TANIMSIZ BORÇLU",IF($T495&lt;&gt;"",IF(OR($E495="",$G495&lt;=0),"EKSİK",IF($I495="Evet","TAHAKKUK NAKİT OLAMAZ",IF($C495&gt;TODAY(),"İLERİ TARİH","TAHAKKUK"))),IF(AND($D495&lt;&gt;"",$E495&lt;&gt;"",$G495&gt;0,$H495&lt;&gt;"",$I495&lt;&gt;""),IF($C495&gt;TODAY(),"İLERİ TARİH",IF(COUNTIF($W$7:$W$1206,$W495)&gt;1,"MÜKERRER?",IF($AD495&gt;0,"KAPALI DÖNEM",IF($I495="Hayır","ÖDENECEK","UYGUN")))),"EKSİK"))))</f>
        <v/>
      </c>
      <c r="Q495" s="6" t="n"/>
      <c r="R495" s="6" t="n"/>
      <c r="S495" s="3">
        <f>IF($L495="","",UPPER(SUBSTITUTE(SUBSTITUTE(SUBSTITUTE(SUBSTITUTE(SUBSTITUTE(SUBSTITUTE(SUBSTITUTE(SUBSTITUTE(SUBSTITUTE(SUBSTITUTE(SUBSTITUTE(SUBSTITUTE(SUBSTITUTE(SUBSTITUTE(SUBSTITUTE(SUBSTITUTE(SUBSTITUTE(SUBSTITUTE(TRIM($L495),"'",""),"İ","I"),"ı","I"),"i","I"),"Ş","S"),"ş","S"),"Ğ","G"),"ğ","G"),"Ü","U"),"ü","U"),"Ö","O"),"ö","O"),"Ç","C"),"ç","C"),".",""),",","")," ",""),"-","")))</f>
        <v/>
      </c>
      <c r="T495" s="3">
        <f>IF(OR($C495="",$D495&lt;&gt;"Gelir",$L495=""),"",IFERROR(INDEX(MUSTERILER!$B$7:$B$106,MATCH($S495,MUSTERILER!$T$7:$T$106,0)),""))</f>
        <v/>
      </c>
      <c r="U495" s="3">
        <f>IF($T495="","",$T495&amp;"|"&amp;COUNTIFS($T$7:$T495,$T495))</f>
        <v/>
      </c>
      <c r="V495" s="3">
        <f>IF($T495="",0,1)</f>
        <v/>
      </c>
      <c r="W495" s="3">
        <f>IF($C495="","",$D495&amp;"|"&amp;$E495&amp;"|"&amp;TEXT($C495,"0")&amp;"|"&amp;TEXT($G495,"0")&amp;"|"&amp;$J495)</f>
        <v/>
      </c>
      <c r="X495" s="3" t="n"/>
      <c r="Y495" s="3" t="n"/>
      <c r="Z495" s="3" t="n"/>
      <c r="AA495" s="3" t="n"/>
      <c r="AB495" s="3" t="n"/>
      <c r="AC495" s="3" t="n"/>
      <c r="AD495" s="3">
        <f>IF($C495="",0,SUMPRODUCT((AY_SONU!$O$7:$O$42="Evet")*(AY_SONU!$B$7:$B$42=DATE(YEAR($C495),MONTH($C495),1))))</f>
        <v/>
      </c>
    </row>
    <row r="496">
      <c r="A496" s="6" t="n"/>
      <c r="B496" s="113">
        <f>IF($C496="","","GG"&amp;TEXT(ROW()-6,"00000"))</f>
        <v/>
      </c>
      <c r="C496" s="220" t="n"/>
      <c r="D496" s="108" t="n"/>
      <c r="E496" s="109" t="n"/>
      <c r="F496" s="109" t="n"/>
      <c r="G496" s="221" t="n"/>
      <c r="H496" s="108" t="n"/>
      <c r="I496" s="108" t="n"/>
      <c r="J496" s="109" t="n"/>
      <c r="K496" s="109" t="n"/>
      <c r="L496" s="108" t="n"/>
      <c r="M496" s="121">
        <f>IF($C496="","",IF($D496="Gider",$E496,IF($L496&lt;&gt;"",$L496,$H496)))</f>
        <v/>
      </c>
      <c r="N496" s="121">
        <f>IF($C496="","",IF($D496="Gider",$H496,$E496))</f>
        <v/>
      </c>
      <c r="O496" s="226">
        <f>IF($C496="","",DATE(YEAR($C496),MONTH($C496),1))</f>
        <v/>
      </c>
      <c r="P496" s="113">
        <f>IF($C496="","",IF(AND($D496="Gelir",$L496&lt;&gt;"",$T496=""),"TANIMSIZ BORÇLU",IF($T496&lt;&gt;"",IF(OR($E496="",$G496&lt;=0),"EKSİK",IF($I496="Evet","TAHAKKUK NAKİT OLAMAZ",IF($C496&gt;TODAY(),"İLERİ TARİH","TAHAKKUK"))),IF(AND($D496&lt;&gt;"",$E496&lt;&gt;"",$G496&gt;0,$H496&lt;&gt;"",$I496&lt;&gt;""),IF($C496&gt;TODAY(),"İLERİ TARİH",IF(COUNTIF($W$7:$W$1206,$W496)&gt;1,"MÜKERRER?",IF($AD496&gt;0,"KAPALI DÖNEM",IF($I496="Hayır","ÖDENECEK","UYGUN")))),"EKSİK"))))</f>
        <v/>
      </c>
      <c r="Q496" s="6" t="n"/>
      <c r="R496" s="6" t="n"/>
      <c r="S496" s="3">
        <f>IF($L496="","",UPPER(SUBSTITUTE(SUBSTITUTE(SUBSTITUTE(SUBSTITUTE(SUBSTITUTE(SUBSTITUTE(SUBSTITUTE(SUBSTITUTE(SUBSTITUTE(SUBSTITUTE(SUBSTITUTE(SUBSTITUTE(SUBSTITUTE(SUBSTITUTE(SUBSTITUTE(SUBSTITUTE(SUBSTITUTE(SUBSTITUTE(TRIM($L496),"'",""),"İ","I"),"ı","I"),"i","I"),"Ş","S"),"ş","S"),"Ğ","G"),"ğ","G"),"Ü","U"),"ü","U"),"Ö","O"),"ö","O"),"Ç","C"),"ç","C"),".",""),",","")," ",""),"-","")))</f>
        <v/>
      </c>
      <c r="T496" s="3">
        <f>IF(OR($C496="",$D496&lt;&gt;"Gelir",$L496=""),"",IFERROR(INDEX(MUSTERILER!$B$7:$B$106,MATCH($S496,MUSTERILER!$T$7:$T$106,0)),""))</f>
        <v/>
      </c>
      <c r="U496" s="3">
        <f>IF($T496="","",$T496&amp;"|"&amp;COUNTIFS($T$7:$T496,$T496))</f>
        <v/>
      </c>
      <c r="V496" s="3">
        <f>IF($T496="",0,1)</f>
        <v/>
      </c>
      <c r="W496" s="3">
        <f>IF($C496="","",$D496&amp;"|"&amp;$E496&amp;"|"&amp;TEXT($C496,"0")&amp;"|"&amp;TEXT($G496,"0")&amp;"|"&amp;$J496)</f>
        <v/>
      </c>
      <c r="X496" s="3" t="n"/>
      <c r="Y496" s="3" t="n"/>
      <c r="Z496" s="3" t="n"/>
      <c r="AA496" s="3" t="n"/>
      <c r="AB496" s="3" t="n"/>
      <c r="AC496" s="3" t="n"/>
      <c r="AD496" s="3">
        <f>IF($C496="",0,SUMPRODUCT((AY_SONU!$O$7:$O$42="Evet")*(AY_SONU!$B$7:$B$42=DATE(YEAR($C496),MONTH($C496),1))))</f>
        <v/>
      </c>
    </row>
    <row r="497">
      <c r="A497" s="6" t="n"/>
      <c r="B497" s="113">
        <f>IF($C497="","","GG"&amp;TEXT(ROW()-6,"00000"))</f>
        <v/>
      </c>
      <c r="C497" s="220" t="n"/>
      <c r="D497" s="108" t="n"/>
      <c r="E497" s="109" t="n"/>
      <c r="F497" s="109" t="n"/>
      <c r="G497" s="221" t="n"/>
      <c r="H497" s="108" t="n"/>
      <c r="I497" s="108" t="n"/>
      <c r="J497" s="109" t="n"/>
      <c r="K497" s="109" t="n"/>
      <c r="L497" s="108" t="n"/>
      <c r="M497" s="121">
        <f>IF($C497="","",IF($D497="Gider",$E497,IF($L497&lt;&gt;"",$L497,$H497)))</f>
        <v/>
      </c>
      <c r="N497" s="121">
        <f>IF($C497="","",IF($D497="Gider",$H497,$E497))</f>
        <v/>
      </c>
      <c r="O497" s="226">
        <f>IF($C497="","",DATE(YEAR($C497),MONTH($C497),1))</f>
        <v/>
      </c>
      <c r="P497" s="113">
        <f>IF($C497="","",IF(AND($D497="Gelir",$L497&lt;&gt;"",$T497=""),"TANIMSIZ BORÇLU",IF($T497&lt;&gt;"",IF(OR($E497="",$G497&lt;=0),"EKSİK",IF($I497="Evet","TAHAKKUK NAKİT OLAMAZ",IF($C497&gt;TODAY(),"İLERİ TARİH","TAHAKKUK"))),IF(AND($D497&lt;&gt;"",$E497&lt;&gt;"",$G497&gt;0,$H497&lt;&gt;"",$I497&lt;&gt;""),IF($C497&gt;TODAY(),"İLERİ TARİH",IF(COUNTIF($W$7:$W$1206,$W497)&gt;1,"MÜKERRER?",IF($AD497&gt;0,"KAPALI DÖNEM",IF($I497="Hayır","ÖDENECEK","UYGUN")))),"EKSİK"))))</f>
        <v/>
      </c>
      <c r="Q497" s="6" t="n"/>
      <c r="R497" s="6" t="n"/>
      <c r="S497" s="3">
        <f>IF($L497="","",UPPER(SUBSTITUTE(SUBSTITUTE(SUBSTITUTE(SUBSTITUTE(SUBSTITUTE(SUBSTITUTE(SUBSTITUTE(SUBSTITUTE(SUBSTITUTE(SUBSTITUTE(SUBSTITUTE(SUBSTITUTE(SUBSTITUTE(SUBSTITUTE(SUBSTITUTE(SUBSTITUTE(SUBSTITUTE(SUBSTITUTE(TRIM($L497),"'",""),"İ","I"),"ı","I"),"i","I"),"Ş","S"),"ş","S"),"Ğ","G"),"ğ","G"),"Ü","U"),"ü","U"),"Ö","O"),"ö","O"),"Ç","C"),"ç","C"),".",""),",","")," ",""),"-","")))</f>
        <v/>
      </c>
      <c r="T497" s="3">
        <f>IF(OR($C497="",$D497&lt;&gt;"Gelir",$L497=""),"",IFERROR(INDEX(MUSTERILER!$B$7:$B$106,MATCH($S497,MUSTERILER!$T$7:$T$106,0)),""))</f>
        <v/>
      </c>
      <c r="U497" s="3">
        <f>IF($T497="","",$T497&amp;"|"&amp;COUNTIFS($T$7:$T497,$T497))</f>
        <v/>
      </c>
      <c r="V497" s="3">
        <f>IF($T497="",0,1)</f>
        <v/>
      </c>
      <c r="W497" s="3">
        <f>IF($C497="","",$D497&amp;"|"&amp;$E497&amp;"|"&amp;TEXT($C497,"0")&amp;"|"&amp;TEXT($G497,"0")&amp;"|"&amp;$J497)</f>
        <v/>
      </c>
      <c r="X497" s="3" t="n"/>
      <c r="Y497" s="3" t="n"/>
      <c r="Z497" s="3" t="n"/>
      <c r="AA497" s="3" t="n"/>
      <c r="AB497" s="3" t="n"/>
      <c r="AC497" s="3" t="n"/>
      <c r="AD497" s="3">
        <f>IF($C497="",0,SUMPRODUCT((AY_SONU!$O$7:$O$42="Evet")*(AY_SONU!$B$7:$B$42=DATE(YEAR($C497),MONTH($C497),1))))</f>
        <v/>
      </c>
    </row>
    <row r="498">
      <c r="A498" s="6" t="n"/>
      <c r="B498" s="113">
        <f>IF($C498="","","GG"&amp;TEXT(ROW()-6,"00000"))</f>
        <v/>
      </c>
      <c r="C498" s="220" t="n"/>
      <c r="D498" s="108" t="n"/>
      <c r="E498" s="109" t="n"/>
      <c r="F498" s="109" t="n"/>
      <c r="G498" s="221" t="n"/>
      <c r="H498" s="108" t="n"/>
      <c r="I498" s="108" t="n"/>
      <c r="J498" s="109" t="n"/>
      <c r="K498" s="109" t="n"/>
      <c r="L498" s="108" t="n"/>
      <c r="M498" s="121">
        <f>IF($C498="","",IF($D498="Gider",$E498,IF($L498&lt;&gt;"",$L498,$H498)))</f>
        <v/>
      </c>
      <c r="N498" s="121">
        <f>IF($C498="","",IF($D498="Gider",$H498,$E498))</f>
        <v/>
      </c>
      <c r="O498" s="226">
        <f>IF($C498="","",DATE(YEAR($C498),MONTH($C498),1))</f>
        <v/>
      </c>
      <c r="P498" s="113">
        <f>IF($C498="","",IF(AND($D498="Gelir",$L498&lt;&gt;"",$T498=""),"TANIMSIZ BORÇLU",IF($T498&lt;&gt;"",IF(OR($E498="",$G498&lt;=0),"EKSİK",IF($I498="Evet","TAHAKKUK NAKİT OLAMAZ",IF($C498&gt;TODAY(),"İLERİ TARİH","TAHAKKUK"))),IF(AND($D498&lt;&gt;"",$E498&lt;&gt;"",$G498&gt;0,$H498&lt;&gt;"",$I498&lt;&gt;""),IF($C498&gt;TODAY(),"İLERİ TARİH",IF(COUNTIF($W$7:$W$1206,$W498)&gt;1,"MÜKERRER?",IF($AD498&gt;0,"KAPALI DÖNEM",IF($I498="Hayır","ÖDENECEK","UYGUN")))),"EKSİK"))))</f>
        <v/>
      </c>
      <c r="Q498" s="6" t="n"/>
      <c r="R498" s="6" t="n"/>
      <c r="S498" s="3">
        <f>IF($L498="","",UPPER(SUBSTITUTE(SUBSTITUTE(SUBSTITUTE(SUBSTITUTE(SUBSTITUTE(SUBSTITUTE(SUBSTITUTE(SUBSTITUTE(SUBSTITUTE(SUBSTITUTE(SUBSTITUTE(SUBSTITUTE(SUBSTITUTE(SUBSTITUTE(SUBSTITUTE(SUBSTITUTE(SUBSTITUTE(SUBSTITUTE(TRIM($L498),"'",""),"İ","I"),"ı","I"),"i","I"),"Ş","S"),"ş","S"),"Ğ","G"),"ğ","G"),"Ü","U"),"ü","U"),"Ö","O"),"ö","O"),"Ç","C"),"ç","C"),".",""),",","")," ",""),"-","")))</f>
        <v/>
      </c>
      <c r="T498" s="3">
        <f>IF(OR($C498="",$D498&lt;&gt;"Gelir",$L498=""),"",IFERROR(INDEX(MUSTERILER!$B$7:$B$106,MATCH($S498,MUSTERILER!$T$7:$T$106,0)),""))</f>
        <v/>
      </c>
      <c r="U498" s="3">
        <f>IF($T498="","",$T498&amp;"|"&amp;COUNTIFS($T$7:$T498,$T498))</f>
        <v/>
      </c>
      <c r="V498" s="3">
        <f>IF($T498="",0,1)</f>
        <v/>
      </c>
      <c r="W498" s="3">
        <f>IF($C498="","",$D498&amp;"|"&amp;$E498&amp;"|"&amp;TEXT($C498,"0")&amp;"|"&amp;TEXT($G498,"0")&amp;"|"&amp;$J498)</f>
        <v/>
      </c>
      <c r="X498" s="3" t="n"/>
      <c r="Y498" s="3" t="n"/>
      <c r="Z498" s="3" t="n"/>
      <c r="AA498" s="3" t="n"/>
      <c r="AB498" s="3" t="n"/>
      <c r="AC498" s="3" t="n"/>
      <c r="AD498" s="3">
        <f>IF($C498="",0,SUMPRODUCT((AY_SONU!$O$7:$O$42="Evet")*(AY_SONU!$B$7:$B$42=DATE(YEAR($C498),MONTH($C498),1))))</f>
        <v/>
      </c>
    </row>
    <row r="499">
      <c r="A499" s="6" t="n"/>
      <c r="B499" s="113">
        <f>IF($C499="","","GG"&amp;TEXT(ROW()-6,"00000"))</f>
        <v/>
      </c>
      <c r="C499" s="220" t="n"/>
      <c r="D499" s="108" t="n"/>
      <c r="E499" s="109" t="n"/>
      <c r="F499" s="109" t="n"/>
      <c r="G499" s="221" t="n"/>
      <c r="H499" s="108" t="n"/>
      <c r="I499" s="108" t="n"/>
      <c r="J499" s="109" t="n"/>
      <c r="K499" s="109" t="n"/>
      <c r="L499" s="108" t="n"/>
      <c r="M499" s="121">
        <f>IF($C499="","",IF($D499="Gider",$E499,IF($L499&lt;&gt;"",$L499,$H499)))</f>
        <v/>
      </c>
      <c r="N499" s="121">
        <f>IF($C499="","",IF($D499="Gider",$H499,$E499))</f>
        <v/>
      </c>
      <c r="O499" s="226">
        <f>IF($C499="","",DATE(YEAR($C499),MONTH($C499),1))</f>
        <v/>
      </c>
      <c r="P499" s="113">
        <f>IF($C499="","",IF(AND($D499="Gelir",$L499&lt;&gt;"",$T499=""),"TANIMSIZ BORÇLU",IF($T499&lt;&gt;"",IF(OR($E499="",$G499&lt;=0),"EKSİK",IF($I499="Evet","TAHAKKUK NAKİT OLAMAZ",IF($C499&gt;TODAY(),"İLERİ TARİH","TAHAKKUK"))),IF(AND($D499&lt;&gt;"",$E499&lt;&gt;"",$G499&gt;0,$H499&lt;&gt;"",$I499&lt;&gt;""),IF($C499&gt;TODAY(),"İLERİ TARİH",IF(COUNTIF($W$7:$W$1206,$W499)&gt;1,"MÜKERRER?",IF($AD499&gt;0,"KAPALI DÖNEM",IF($I499="Hayır","ÖDENECEK","UYGUN")))),"EKSİK"))))</f>
        <v/>
      </c>
      <c r="Q499" s="6" t="n"/>
      <c r="R499" s="6" t="n"/>
      <c r="S499" s="3">
        <f>IF($L499="","",UPPER(SUBSTITUTE(SUBSTITUTE(SUBSTITUTE(SUBSTITUTE(SUBSTITUTE(SUBSTITUTE(SUBSTITUTE(SUBSTITUTE(SUBSTITUTE(SUBSTITUTE(SUBSTITUTE(SUBSTITUTE(SUBSTITUTE(SUBSTITUTE(SUBSTITUTE(SUBSTITUTE(SUBSTITUTE(SUBSTITUTE(TRIM($L499),"'",""),"İ","I"),"ı","I"),"i","I"),"Ş","S"),"ş","S"),"Ğ","G"),"ğ","G"),"Ü","U"),"ü","U"),"Ö","O"),"ö","O"),"Ç","C"),"ç","C"),".",""),",","")," ",""),"-","")))</f>
        <v/>
      </c>
      <c r="T499" s="3">
        <f>IF(OR($C499="",$D499&lt;&gt;"Gelir",$L499=""),"",IFERROR(INDEX(MUSTERILER!$B$7:$B$106,MATCH($S499,MUSTERILER!$T$7:$T$106,0)),""))</f>
        <v/>
      </c>
      <c r="U499" s="3">
        <f>IF($T499="","",$T499&amp;"|"&amp;COUNTIFS($T$7:$T499,$T499))</f>
        <v/>
      </c>
      <c r="V499" s="3">
        <f>IF($T499="",0,1)</f>
        <v/>
      </c>
      <c r="W499" s="3">
        <f>IF($C499="","",$D499&amp;"|"&amp;$E499&amp;"|"&amp;TEXT($C499,"0")&amp;"|"&amp;TEXT($G499,"0")&amp;"|"&amp;$J499)</f>
        <v/>
      </c>
      <c r="X499" s="3" t="n"/>
      <c r="Y499" s="3" t="n"/>
      <c r="Z499" s="3" t="n"/>
      <c r="AA499" s="3" t="n"/>
      <c r="AB499" s="3" t="n"/>
      <c r="AC499" s="3" t="n"/>
      <c r="AD499" s="3">
        <f>IF($C499="",0,SUMPRODUCT((AY_SONU!$O$7:$O$42="Evet")*(AY_SONU!$B$7:$B$42=DATE(YEAR($C499),MONTH($C499),1))))</f>
        <v/>
      </c>
    </row>
    <row r="500">
      <c r="A500" s="6" t="n"/>
      <c r="B500" s="113">
        <f>IF($C500="","","GG"&amp;TEXT(ROW()-6,"00000"))</f>
        <v/>
      </c>
      <c r="C500" s="220" t="n"/>
      <c r="D500" s="108" t="n"/>
      <c r="E500" s="109" t="n"/>
      <c r="F500" s="109" t="n"/>
      <c r="G500" s="221" t="n"/>
      <c r="H500" s="108" t="n"/>
      <c r="I500" s="108" t="n"/>
      <c r="J500" s="109" t="n"/>
      <c r="K500" s="109" t="n"/>
      <c r="L500" s="108" t="n"/>
      <c r="M500" s="121">
        <f>IF($C500="","",IF($D500="Gider",$E500,IF($L500&lt;&gt;"",$L500,$H500)))</f>
        <v/>
      </c>
      <c r="N500" s="121">
        <f>IF($C500="","",IF($D500="Gider",$H500,$E500))</f>
        <v/>
      </c>
      <c r="O500" s="226">
        <f>IF($C500="","",DATE(YEAR($C500),MONTH($C500),1))</f>
        <v/>
      </c>
      <c r="P500" s="113">
        <f>IF($C500="","",IF(AND($D500="Gelir",$L500&lt;&gt;"",$T500=""),"TANIMSIZ BORÇLU",IF($T500&lt;&gt;"",IF(OR($E500="",$G500&lt;=0),"EKSİK",IF($I500="Evet","TAHAKKUK NAKİT OLAMAZ",IF($C500&gt;TODAY(),"İLERİ TARİH","TAHAKKUK"))),IF(AND($D500&lt;&gt;"",$E500&lt;&gt;"",$G500&gt;0,$H500&lt;&gt;"",$I500&lt;&gt;""),IF($C500&gt;TODAY(),"İLERİ TARİH",IF(COUNTIF($W$7:$W$1206,$W500)&gt;1,"MÜKERRER?",IF($AD500&gt;0,"KAPALI DÖNEM",IF($I500="Hayır","ÖDENECEK","UYGUN")))),"EKSİK"))))</f>
        <v/>
      </c>
      <c r="Q500" s="6" t="n"/>
      <c r="R500" s="6" t="n"/>
      <c r="S500" s="3">
        <f>IF($L500="","",UPPER(SUBSTITUTE(SUBSTITUTE(SUBSTITUTE(SUBSTITUTE(SUBSTITUTE(SUBSTITUTE(SUBSTITUTE(SUBSTITUTE(SUBSTITUTE(SUBSTITUTE(SUBSTITUTE(SUBSTITUTE(SUBSTITUTE(SUBSTITUTE(SUBSTITUTE(SUBSTITUTE(SUBSTITUTE(SUBSTITUTE(TRIM($L500),"'",""),"İ","I"),"ı","I"),"i","I"),"Ş","S"),"ş","S"),"Ğ","G"),"ğ","G"),"Ü","U"),"ü","U"),"Ö","O"),"ö","O"),"Ç","C"),"ç","C"),".",""),",","")," ",""),"-","")))</f>
        <v/>
      </c>
      <c r="T500" s="3">
        <f>IF(OR($C500="",$D500&lt;&gt;"Gelir",$L500=""),"",IFERROR(INDEX(MUSTERILER!$B$7:$B$106,MATCH($S500,MUSTERILER!$T$7:$T$106,0)),""))</f>
        <v/>
      </c>
      <c r="U500" s="3">
        <f>IF($T500="","",$T500&amp;"|"&amp;COUNTIFS($T$7:$T500,$T500))</f>
        <v/>
      </c>
      <c r="V500" s="3">
        <f>IF($T500="",0,1)</f>
        <v/>
      </c>
      <c r="W500" s="3">
        <f>IF($C500="","",$D500&amp;"|"&amp;$E500&amp;"|"&amp;TEXT($C500,"0")&amp;"|"&amp;TEXT($G500,"0")&amp;"|"&amp;$J500)</f>
        <v/>
      </c>
      <c r="X500" s="3" t="n"/>
      <c r="Y500" s="3" t="n"/>
      <c r="Z500" s="3" t="n"/>
      <c r="AA500" s="3" t="n"/>
      <c r="AB500" s="3" t="n"/>
      <c r="AC500" s="3" t="n"/>
      <c r="AD500" s="3">
        <f>IF($C500="",0,SUMPRODUCT((AY_SONU!$O$7:$O$42="Evet")*(AY_SONU!$B$7:$B$42=DATE(YEAR($C500),MONTH($C500),1))))</f>
        <v/>
      </c>
    </row>
    <row r="501">
      <c r="A501" s="6" t="n"/>
      <c r="B501" s="113">
        <f>IF($C501="","","GG"&amp;TEXT(ROW()-6,"00000"))</f>
        <v/>
      </c>
      <c r="C501" s="220" t="n"/>
      <c r="D501" s="108" t="n"/>
      <c r="E501" s="109" t="n"/>
      <c r="F501" s="109" t="n"/>
      <c r="G501" s="221" t="n"/>
      <c r="H501" s="108" t="n"/>
      <c r="I501" s="108" t="n"/>
      <c r="J501" s="109" t="n"/>
      <c r="K501" s="109" t="n"/>
      <c r="L501" s="108" t="n"/>
      <c r="M501" s="121">
        <f>IF($C501="","",IF($D501="Gider",$E501,IF($L501&lt;&gt;"",$L501,$H501)))</f>
        <v/>
      </c>
      <c r="N501" s="121">
        <f>IF($C501="","",IF($D501="Gider",$H501,$E501))</f>
        <v/>
      </c>
      <c r="O501" s="226">
        <f>IF($C501="","",DATE(YEAR($C501),MONTH($C501),1))</f>
        <v/>
      </c>
      <c r="P501" s="113">
        <f>IF($C501="","",IF(AND($D501="Gelir",$L501&lt;&gt;"",$T501=""),"TANIMSIZ BORÇLU",IF($T501&lt;&gt;"",IF(OR($E501="",$G501&lt;=0),"EKSİK",IF($I501="Evet","TAHAKKUK NAKİT OLAMAZ",IF($C501&gt;TODAY(),"İLERİ TARİH","TAHAKKUK"))),IF(AND($D501&lt;&gt;"",$E501&lt;&gt;"",$G501&gt;0,$H501&lt;&gt;"",$I501&lt;&gt;""),IF($C501&gt;TODAY(),"İLERİ TARİH",IF(COUNTIF($W$7:$W$1206,$W501)&gt;1,"MÜKERRER?",IF($AD501&gt;0,"KAPALI DÖNEM",IF($I501="Hayır","ÖDENECEK","UYGUN")))),"EKSİK"))))</f>
        <v/>
      </c>
      <c r="Q501" s="6" t="n"/>
      <c r="R501" s="6" t="n"/>
      <c r="S501" s="3">
        <f>IF($L501="","",UPPER(SUBSTITUTE(SUBSTITUTE(SUBSTITUTE(SUBSTITUTE(SUBSTITUTE(SUBSTITUTE(SUBSTITUTE(SUBSTITUTE(SUBSTITUTE(SUBSTITUTE(SUBSTITUTE(SUBSTITUTE(SUBSTITUTE(SUBSTITUTE(SUBSTITUTE(SUBSTITUTE(SUBSTITUTE(SUBSTITUTE(TRIM($L501),"'",""),"İ","I"),"ı","I"),"i","I"),"Ş","S"),"ş","S"),"Ğ","G"),"ğ","G"),"Ü","U"),"ü","U"),"Ö","O"),"ö","O"),"Ç","C"),"ç","C"),".",""),",","")," ",""),"-","")))</f>
        <v/>
      </c>
      <c r="T501" s="3">
        <f>IF(OR($C501="",$D501&lt;&gt;"Gelir",$L501=""),"",IFERROR(INDEX(MUSTERILER!$B$7:$B$106,MATCH($S501,MUSTERILER!$T$7:$T$106,0)),""))</f>
        <v/>
      </c>
      <c r="U501" s="3">
        <f>IF($T501="","",$T501&amp;"|"&amp;COUNTIFS($T$7:$T501,$T501))</f>
        <v/>
      </c>
      <c r="V501" s="3">
        <f>IF($T501="",0,1)</f>
        <v/>
      </c>
      <c r="W501" s="3">
        <f>IF($C501="","",$D501&amp;"|"&amp;$E501&amp;"|"&amp;TEXT($C501,"0")&amp;"|"&amp;TEXT($G501,"0")&amp;"|"&amp;$J501)</f>
        <v/>
      </c>
      <c r="X501" s="3" t="n"/>
      <c r="Y501" s="3" t="n"/>
      <c r="Z501" s="3" t="n"/>
      <c r="AA501" s="3" t="n"/>
      <c r="AB501" s="3" t="n"/>
      <c r="AC501" s="3" t="n"/>
      <c r="AD501" s="3">
        <f>IF($C501="",0,SUMPRODUCT((AY_SONU!$O$7:$O$42="Evet")*(AY_SONU!$B$7:$B$42=DATE(YEAR($C501),MONTH($C501),1))))</f>
        <v/>
      </c>
    </row>
    <row r="502">
      <c r="A502" s="6" t="n"/>
      <c r="B502" s="113">
        <f>IF($C502="","","GG"&amp;TEXT(ROW()-6,"00000"))</f>
        <v/>
      </c>
      <c r="C502" s="220" t="n"/>
      <c r="D502" s="108" t="n"/>
      <c r="E502" s="109" t="n"/>
      <c r="F502" s="109" t="n"/>
      <c r="G502" s="221" t="n"/>
      <c r="H502" s="108" t="n"/>
      <c r="I502" s="108" t="n"/>
      <c r="J502" s="109" t="n"/>
      <c r="K502" s="109" t="n"/>
      <c r="L502" s="108" t="n"/>
      <c r="M502" s="121">
        <f>IF($C502="","",IF($D502="Gider",$E502,IF($L502&lt;&gt;"",$L502,$H502)))</f>
        <v/>
      </c>
      <c r="N502" s="121">
        <f>IF($C502="","",IF($D502="Gider",$H502,$E502))</f>
        <v/>
      </c>
      <c r="O502" s="226">
        <f>IF($C502="","",DATE(YEAR($C502),MONTH($C502),1))</f>
        <v/>
      </c>
      <c r="P502" s="113">
        <f>IF($C502="","",IF(AND($D502="Gelir",$L502&lt;&gt;"",$T502=""),"TANIMSIZ BORÇLU",IF($T502&lt;&gt;"",IF(OR($E502="",$G502&lt;=0),"EKSİK",IF($I502="Evet","TAHAKKUK NAKİT OLAMAZ",IF($C502&gt;TODAY(),"İLERİ TARİH","TAHAKKUK"))),IF(AND($D502&lt;&gt;"",$E502&lt;&gt;"",$G502&gt;0,$H502&lt;&gt;"",$I502&lt;&gt;""),IF($C502&gt;TODAY(),"İLERİ TARİH",IF(COUNTIF($W$7:$W$1206,$W502)&gt;1,"MÜKERRER?",IF($AD502&gt;0,"KAPALI DÖNEM",IF($I502="Hayır","ÖDENECEK","UYGUN")))),"EKSİK"))))</f>
        <v/>
      </c>
      <c r="Q502" s="6" t="n"/>
      <c r="R502" s="6" t="n"/>
      <c r="S502" s="3">
        <f>IF($L502="","",UPPER(SUBSTITUTE(SUBSTITUTE(SUBSTITUTE(SUBSTITUTE(SUBSTITUTE(SUBSTITUTE(SUBSTITUTE(SUBSTITUTE(SUBSTITUTE(SUBSTITUTE(SUBSTITUTE(SUBSTITUTE(SUBSTITUTE(SUBSTITUTE(SUBSTITUTE(SUBSTITUTE(SUBSTITUTE(SUBSTITUTE(TRIM($L502),"'",""),"İ","I"),"ı","I"),"i","I"),"Ş","S"),"ş","S"),"Ğ","G"),"ğ","G"),"Ü","U"),"ü","U"),"Ö","O"),"ö","O"),"Ç","C"),"ç","C"),".",""),",","")," ",""),"-","")))</f>
        <v/>
      </c>
      <c r="T502" s="3">
        <f>IF(OR($C502="",$D502&lt;&gt;"Gelir",$L502=""),"",IFERROR(INDEX(MUSTERILER!$B$7:$B$106,MATCH($S502,MUSTERILER!$T$7:$T$106,0)),""))</f>
        <v/>
      </c>
      <c r="U502" s="3">
        <f>IF($T502="","",$T502&amp;"|"&amp;COUNTIFS($T$7:$T502,$T502))</f>
        <v/>
      </c>
      <c r="V502" s="3">
        <f>IF($T502="",0,1)</f>
        <v/>
      </c>
      <c r="W502" s="3">
        <f>IF($C502="","",$D502&amp;"|"&amp;$E502&amp;"|"&amp;TEXT($C502,"0")&amp;"|"&amp;TEXT($G502,"0")&amp;"|"&amp;$J502)</f>
        <v/>
      </c>
      <c r="X502" s="3" t="n"/>
      <c r="Y502" s="3" t="n"/>
      <c r="Z502" s="3" t="n"/>
      <c r="AA502" s="3" t="n"/>
      <c r="AB502" s="3" t="n"/>
      <c r="AC502" s="3" t="n"/>
      <c r="AD502" s="3">
        <f>IF($C502="",0,SUMPRODUCT((AY_SONU!$O$7:$O$42="Evet")*(AY_SONU!$B$7:$B$42=DATE(YEAR($C502),MONTH($C502),1))))</f>
        <v/>
      </c>
    </row>
    <row r="503">
      <c r="A503" s="6" t="n"/>
      <c r="B503" s="113">
        <f>IF($C503="","","GG"&amp;TEXT(ROW()-6,"00000"))</f>
        <v/>
      </c>
      <c r="C503" s="220" t="n"/>
      <c r="D503" s="108" t="n"/>
      <c r="E503" s="109" t="n"/>
      <c r="F503" s="109" t="n"/>
      <c r="G503" s="221" t="n"/>
      <c r="H503" s="108" t="n"/>
      <c r="I503" s="108" t="n"/>
      <c r="J503" s="109" t="n"/>
      <c r="K503" s="109" t="n"/>
      <c r="L503" s="108" t="n"/>
      <c r="M503" s="121">
        <f>IF($C503="","",IF($D503="Gider",$E503,IF($L503&lt;&gt;"",$L503,$H503)))</f>
        <v/>
      </c>
      <c r="N503" s="121">
        <f>IF($C503="","",IF($D503="Gider",$H503,$E503))</f>
        <v/>
      </c>
      <c r="O503" s="226">
        <f>IF($C503="","",DATE(YEAR($C503),MONTH($C503),1))</f>
        <v/>
      </c>
      <c r="P503" s="113">
        <f>IF($C503="","",IF(AND($D503="Gelir",$L503&lt;&gt;"",$T503=""),"TANIMSIZ BORÇLU",IF($T503&lt;&gt;"",IF(OR($E503="",$G503&lt;=0),"EKSİK",IF($I503="Evet","TAHAKKUK NAKİT OLAMAZ",IF($C503&gt;TODAY(),"İLERİ TARİH","TAHAKKUK"))),IF(AND($D503&lt;&gt;"",$E503&lt;&gt;"",$G503&gt;0,$H503&lt;&gt;"",$I503&lt;&gt;""),IF($C503&gt;TODAY(),"İLERİ TARİH",IF(COUNTIF($W$7:$W$1206,$W503)&gt;1,"MÜKERRER?",IF($AD503&gt;0,"KAPALI DÖNEM",IF($I503="Hayır","ÖDENECEK","UYGUN")))),"EKSİK"))))</f>
        <v/>
      </c>
      <c r="Q503" s="6" t="n"/>
      <c r="R503" s="6" t="n"/>
      <c r="S503" s="3">
        <f>IF($L503="","",UPPER(SUBSTITUTE(SUBSTITUTE(SUBSTITUTE(SUBSTITUTE(SUBSTITUTE(SUBSTITUTE(SUBSTITUTE(SUBSTITUTE(SUBSTITUTE(SUBSTITUTE(SUBSTITUTE(SUBSTITUTE(SUBSTITUTE(SUBSTITUTE(SUBSTITUTE(SUBSTITUTE(SUBSTITUTE(SUBSTITUTE(TRIM($L503),"'",""),"İ","I"),"ı","I"),"i","I"),"Ş","S"),"ş","S"),"Ğ","G"),"ğ","G"),"Ü","U"),"ü","U"),"Ö","O"),"ö","O"),"Ç","C"),"ç","C"),".",""),",","")," ",""),"-","")))</f>
        <v/>
      </c>
      <c r="T503" s="3">
        <f>IF(OR($C503="",$D503&lt;&gt;"Gelir",$L503=""),"",IFERROR(INDEX(MUSTERILER!$B$7:$B$106,MATCH($S503,MUSTERILER!$T$7:$T$106,0)),""))</f>
        <v/>
      </c>
      <c r="U503" s="3">
        <f>IF($T503="","",$T503&amp;"|"&amp;COUNTIFS($T$7:$T503,$T503))</f>
        <v/>
      </c>
      <c r="V503" s="3">
        <f>IF($T503="",0,1)</f>
        <v/>
      </c>
      <c r="W503" s="3">
        <f>IF($C503="","",$D503&amp;"|"&amp;$E503&amp;"|"&amp;TEXT($C503,"0")&amp;"|"&amp;TEXT($G503,"0")&amp;"|"&amp;$J503)</f>
        <v/>
      </c>
      <c r="X503" s="3" t="n"/>
      <c r="Y503" s="3" t="n"/>
      <c r="Z503" s="3" t="n"/>
      <c r="AA503" s="3" t="n"/>
      <c r="AB503" s="3" t="n"/>
      <c r="AC503" s="3" t="n"/>
      <c r="AD503" s="3">
        <f>IF($C503="",0,SUMPRODUCT((AY_SONU!$O$7:$O$42="Evet")*(AY_SONU!$B$7:$B$42=DATE(YEAR($C503),MONTH($C503),1))))</f>
        <v/>
      </c>
    </row>
    <row r="504">
      <c r="A504" s="6" t="n"/>
      <c r="B504" s="113">
        <f>IF($C504="","","GG"&amp;TEXT(ROW()-6,"00000"))</f>
        <v/>
      </c>
      <c r="C504" s="220" t="n"/>
      <c r="D504" s="108" t="n"/>
      <c r="E504" s="109" t="n"/>
      <c r="F504" s="109" t="n"/>
      <c r="G504" s="221" t="n"/>
      <c r="H504" s="108" t="n"/>
      <c r="I504" s="108" t="n"/>
      <c r="J504" s="109" t="n"/>
      <c r="K504" s="109" t="n"/>
      <c r="L504" s="108" t="n"/>
      <c r="M504" s="121">
        <f>IF($C504="","",IF($D504="Gider",$E504,IF($L504&lt;&gt;"",$L504,$H504)))</f>
        <v/>
      </c>
      <c r="N504" s="121">
        <f>IF($C504="","",IF($D504="Gider",$H504,$E504))</f>
        <v/>
      </c>
      <c r="O504" s="226">
        <f>IF($C504="","",DATE(YEAR($C504),MONTH($C504),1))</f>
        <v/>
      </c>
      <c r="P504" s="113">
        <f>IF($C504="","",IF(AND($D504="Gelir",$L504&lt;&gt;"",$T504=""),"TANIMSIZ BORÇLU",IF($T504&lt;&gt;"",IF(OR($E504="",$G504&lt;=0),"EKSİK",IF($I504="Evet","TAHAKKUK NAKİT OLAMAZ",IF($C504&gt;TODAY(),"İLERİ TARİH","TAHAKKUK"))),IF(AND($D504&lt;&gt;"",$E504&lt;&gt;"",$G504&gt;0,$H504&lt;&gt;"",$I504&lt;&gt;""),IF($C504&gt;TODAY(),"İLERİ TARİH",IF(COUNTIF($W$7:$W$1206,$W504)&gt;1,"MÜKERRER?",IF($AD504&gt;0,"KAPALI DÖNEM",IF($I504="Hayır","ÖDENECEK","UYGUN")))),"EKSİK"))))</f>
        <v/>
      </c>
      <c r="Q504" s="6" t="n"/>
      <c r="R504" s="6" t="n"/>
      <c r="S504" s="3">
        <f>IF($L504="","",UPPER(SUBSTITUTE(SUBSTITUTE(SUBSTITUTE(SUBSTITUTE(SUBSTITUTE(SUBSTITUTE(SUBSTITUTE(SUBSTITUTE(SUBSTITUTE(SUBSTITUTE(SUBSTITUTE(SUBSTITUTE(SUBSTITUTE(SUBSTITUTE(SUBSTITUTE(SUBSTITUTE(SUBSTITUTE(SUBSTITUTE(TRIM($L504),"'",""),"İ","I"),"ı","I"),"i","I"),"Ş","S"),"ş","S"),"Ğ","G"),"ğ","G"),"Ü","U"),"ü","U"),"Ö","O"),"ö","O"),"Ç","C"),"ç","C"),".",""),",","")," ",""),"-","")))</f>
        <v/>
      </c>
      <c r="T504" s="3">
        <f>IF(OR($C504="",$D504&lt;&gt;"Gelir",$L504=""),"",IFERROR(INDEX(MUSTERILER!$B$7:$B$106,MATCH($S504,MUSTERILER!$T$7:$T$106,0)),""))</f>
        <v/>
      </c>
      <c r="U504" s="3">
        <f>IF($T504="","",$T504&amp;"|"&amp;COUNTIFS($T$7:$T504,$T504))</f>
        <v/>
      </c>
      <c r="V504" s="3">
        <f>IF($T504="",0,1)</f>
        <v/>
      </c>
      <c r="W504" s="3">
        <f>IF($C504="","",$D504&amp;"|"&amp;$E504&amp;"|"&amp;TEXT($C504,"0")&amp;"|"&amp;TEXT($G504,"0")&amp;"|"&amp;$J504)</f>
        <v/>
      </c>
      <c r="X504" s="3" t="n"/>
      <c r="Y504" s="3" t="n"/>
      <c r="Z504" s="3" t="n"/>
      <c r="AA504" s="3" t="n"/>
      <c r="AB504" s="3" t="n"/>
      <c r="AC504" s="3" t="n"/>
      <c r="AD504" s="3">
        <f>IF($C504="",0,SUMPRODUCT((AY_SONU!$O$7:$O$42="Evet")*(AY_SONU!$B$7:$B$42=DATE(YEAR($C504),MONTH($C504),1))))</f>
        <v/>
      </c>
    </row>
    <row r="505">
      <c r="A505" s="6" t="n"/>
      <c r="B505" s="113">
        <f>IF($C505="","","GG"&amp;TEXT(ROW()-6,"00000"))</f>
        <v/>
      </c>
      <c r="C505" s="220" t="n"/>
      <c r="D505" s="108" t="n"/>
      <c r="E505" s="109" t="n"/>
      <c r="F505" s="109" t="n"/>
      <c r="G505" s="221" t="n"/>
      <c r="H505" s="108" t="n"/>
      <c r="I505" s="108" t="n"/>
      <c r="J505" s="109" t="n"/>
      <c r="K505" s="109" t="n"/>
      <c r="L505" s="108" t="n"/>
      <c r="M505" s="121">
        <f>IF($C505="","",IF($D505="Gider",$E505,IF($L505&lt;&gt;"",$L505,$H505)))</f>
        <v/>
      </c>
      <c r="N505" s="121">
        <f>IF($C505="","",IF($D505="Gider",$H505,$E505))</f>
        <v/>
      </c>
      <c r="O505" s="226">
        <f>IF($C505="","",DATE(YEAR($C505),MONTH($C505),1))</f>
        <v/>
      </c>
      <c r="P505" s="113">
        <f>IF($C505="","",IF(AND($D505="Gelir",$L505&lt;&gt;"",$T505=""),"TANIMSIZ BORÇLU",IF($T505&lt;&gt;"",IF(OR($E505="",$G505&lt;=0),"EKSİK",IF($I505="Evet","TAHAKKUK NAKİT OLAMAZ",IF($C505&gt;TODAY(),"İLERİ TARİH","TAHAKKUK"))),IF(AND($D505&lt;&gt;"",$E505&lt;&gt;"",$G505&gt;0,$H505&lt;&gt;"",$I505&lt;&gt;""),IF($C505&gt;TODAY(),"İLERİ TARİH",IF(COUNTIF($W$7:$W$1206,$W505)&gt;1,"MÜKERRER?",IF($AD505&gt;0,"KAPALI DÖNEM",IF($I505="Hayır","ÖDENECEK","UYGUN")))),"EKSİK"))))</f>
        <v/>
      </c>
      <c r="Q505" s="6" t="n"/>
      <c r="R505" s="6" t="n"/>
      <c r="S505" s="3">
        <f>IF($L505="","",UPPER(SUBSTITUTE(SUBSTITUTE(SUBSTITUTE(SUBSTITUTE(SUBSTITUTE(SUBSTITUTE(SUBSTITUTE(SUBSTITUTE(SUBSTITUTE(SUBSTITUTE(SUBSTITUTE(SUBSTITUTE(SUBSTITUTE(SUBSTITUTE(SUBSTITUTE(SUBSTITUTE(SUBSTITUTE(SUBSTITUTE(TRIM($L505),"'",""),"İ","I"),"ı","I"),"i","I"),"Ş","S"),"ş","S"),"Ğ","G"),"ğ","G"),"Ü","U"),"ü","U"),"Ö","O"),"ö","O"),"Ç","C"),"ç","C"),".",""),",","")," ",""),"-","")))</f>
        <v/>
      </c>
      <c r="T505" s="3">
        <f>IF(OR($C505="",$D505&lt;&gt;"Gelir",$L505=""),"",IFERROR(INDEX(MUSTERILER!$B$7:$B$106,MATCH($S505,MUSTERILER!$T$7:$T$106,0)),""))</f>
        <v/>
      </c>
      <c r="U505" s="3">
        <f>IF($T505="","",$T505&amp;"|"&amp;COUNTIFS($T$7:$T505,$T505))</f>
        <v/>
      </c>
      <c r="V505" s="3">
        <f>IF($T505="",0,1)</f>
        <v/>
      </c>
      <c r="W505" s="3">
        <f>IF($C505="","",$D505&amp;"|"&amp;$E505&amp;"|"&amp;TEXT($C505,"0")&amp;"|"&amp;TEXT($G505,"0")&amp;"|"&amp;$J505)</f>
        <v/>
      </c>
      <c r="X505" s="3" t="n"/>
      <c r="Y505" s="3" t="n"/>
      <c r="Z505" s="3" t="n"/>
      <c r="AA505" s="3" t="n"/>
      <c r="AB505" s="3" t="n"/>
      <c r="AC505" s="3" t="n"/>
      <c r="AD505" s="3">
        <f>IF($C505="",0,SUMPRODUCT((AY_SONU!$O$7:$O$42="Evet")*(AY_SONU!$B$7:$B$42=DATE(YEAR($C505),MONTH($C505),1))))</f>
        <v/>
      </c>
    </row>
    <row r="506">
      <c r="A506" s="6" t="n"/>
      <c r="B506" s="113">
        <f>IF($C506="","","GG"&amp;TEXT(ROW()-6,"00000"))</f>
        <v/>
      </c>
      <c r="C506" s="220" t="n"/>
      <c r="D506" s="108" t="n"/>
      <c r="E506" s="109" t="n"/>
      <c r="F506" s="109" t="n"/>
      <c r="G506" s="221" t="n"/>
      <c r="H506" s="108" t="n"/>
      <c r="I506" s="108" t="n"/>
      <c r="J506" s="109" t="n"/>
      <c r="K506" s="109" t="n"/>
      <c r="L506" s="108" t="n"/>
      <c r="M506" s="121">
        <f>IF($C506="","",IF($D506="Gider",$E506,IF($L506&lt;&gt;"",$L506,$H506)))</f>
        <v/>
      </c>
      <c r="N506" s="121">
        <f>IF($C506="","",IF($D506="Gider",$H506,$E506))</f>
        <v/>
      </c>
      <c r="O506" s="226">
        <f>IF($C506="","",DATE(YEAR($C506),MONTH($C506),1))</f>
        <v/>
      </c>
      <c r="P506" s="113">
        <f>IF($C506="","",IF(AND($D506="Gelir",$L506&lt;&gt;"",$T506=""),"TANIMSIZ BORÇLU",IF($T506&lt;&gt;"",IF(OR($E506="",$G506&lt;=0),"EKSİK",IF($I506="Evet","TAHAKKUK NAKİT OLAMAZ",IF($C506&gt;TODAY(),"İLERİ TARİH","TAHAKKUK"))),IF(AND($D506&lt;&gt;"",$E506&lt;&gt;"",$G506&gt;0,$H506&lt;&gt;"",$I506&lt;&gt;""),IF($C506&gt;TODAY(),"İLERİ TARİH",IF(COUNTIF($W$7:$W$1206,$W506)&gt;1,"MÜKERRER?",IF($AD506&gt;0,"KAPALI DÖNEM",IF($I506="Hayır","ÖDENECEK","UYGUN")))),"EKSİK"))))</f>
        <v/>
      </c>
      <c r="Q506" s="6" t="n"/>
      <c r="R506" s="6" t="n"/>
      <c r="S506" s="3">
        <f>IF($L506="","",UPPER(SUBSTITUTE(SUBSTITUTE(SUBSTITUTE(SUBSTITUTE(SUBSTITUTE(SUBSTITUTE(SUBSTITUTE(SUBSTITUTE(SUBSTITUTE(SUBSTITUTE(SUBSTITUTE(SUBSTITUTE(SUBSTITUTE(SUBSTITUTE(SUBSTITUTE(SUBSTITUTE(SUBSTITUTE(SUBSTITUTE(TRIM($L506),"'",""),"İ","I"),"ı","I"),"i","I"),"Ş","S"),"ş","S"),"Ğ","G"),"ğ","G"),"Ü","U"),"ü","U"),"Ö","O"),"ö","O"),"Ç","C"),"ç","C"),".",""),",","")," ",""),"-","")))</f>
        <v/>
      </c>
      <c r="T506" s="3">
        <f>IF(OR($C506="",$D506&lt;&gt;"Gelir",$L506=""),"",IFERROR(INDEX(MUSTERILER!$B$7:$B$106,MATCH($S506,MUSTERILER!$T$7:$T$106,0)),""))</f>
        <v/>
      </c>
      <c r="U506" s="3">
        <f>IF($T506="","",$T506&amp;"|"&amp;COUNTIFS($T$7:$T506,$T506))</f>
        <v/>
      </c>
      <c r="V506" s="3">
        <f>IF($T506="",0,1)</f>
        <v/>
      </c>
      <c r="W506" s="3">
        <f>IF($C506="","",$D506&amp;"|"&amp;$E506&amp;"|"&amp;TEXT($C506,"0")&amp;"|"&amp;TEXT($G506,"0")&amp;"|"&amp;$J506)</f>
        <v/>
      </c>
      <c r="X506" s="3" t="n"/>
      <c r="Y506" s="3" t="n"/>
      <c r="Z506" s="3" t="n"/>
      <c r="AA506" s="3" t="n"/>
      <c r="AB506" s="3" t="n"/>
      <c r="AC506" s="3" t="n"/>
      <c r="AD506" s="3">
        <f>IF($C506="",0,SUMPRODUCT((AY_SONU!$O$7:$O$42="Evet")*(AY_SONU!$B$7:$B$42=DATE(YEAR($C506),MONTH($C506),1))))</f>
        <v/>
      </c>
    </row>
    <row r="507">
      <c r="A507" s="6" t="n"/>
      <c r="B507" s="113">
        <f>IF($C507="","","GG"&amp;TEXT(ROW()-6,"00000"))</f>
        <v/>
      </c>
      <c r="C507" s="220" t="n"/>
      <c r="D507" s="108" t="n"/>
      <c r="E507" s="109" t="n"/>
      <c r="F507" s="109" t="n"/>
      <c r="G507" s="221" t="n"/>
      <c r="H507" s="108" t="n"/>
      <c r="I507" s="108" t="n"/>
      <c r="J507" s="109" t="n"/>
      <c r="K507" s="109" t="n"/>
      <c r="L507" s="108" t="n"/>
      <c r="M507" s="121">
        <f>IF($C507="","",IF($D507="Gider",$E507,IF($L507&lt;&gt;"",$L507,$H507)))</f>
        <v/>
      </c>
      <c r="N507" s="121">
        <f>IF($C507="","",IF($D507="Gider",$H507,$E507))</f>
        <v/>
      </c>
      <c r="O507" s="226">
        <f>IF($C507="","",DATE(YEAR($C507),MONTH($C507),1))</f>
        <v/>
      </c>
      <c r="P507" s="113">
        <f>IF($C507="","",IF(AND($D507="Gelir",$L507&lt;&gt;"",$T507=""),"TANIMSIZ BORÇLU",IF($T507&lt;&gt;"",IF(OR($E507="",$G507&lt;=0),"EKSİK",IF($I507="Evet","TAHAKKUK NAKİT OLAMAZ",IF($C507&gt;TODAY(),"İLERİ TARİH","TAHAKKUK"))),IF(AND($D507&lt;&gt;"",$E507&lt;&gt;"",$G507&gt;0,$H507&lt;&gt;"",$I507&lt;&gt;""),IF($C507&gt;TODAY(),"İLERİ TARİH",IF(COUNTIF($W$7:$W$1206,$W507)&gt;1,"MÜKERRER?",IF($AD507&gt;0,"KAPALI DÖNEM",IF($I507="Hayır","ÖDENECEK","UYGUN")))),"EKSİK"))))</f>
        <v/>
      </c>
      <c r="Q507" s="6" t="n"/>
      <c r="R507" s="6" t="n"/>
      <c r="S507" s="3">
        <f>IF($L507="","",UPPER(SUBSTITUTE(SUBSTITUTE(SUBSTITUTE(SUBSTITUTE(SUBSTITUTE(SUBSTITUTE(SUBSTITUTE(SUBSTITUTE(SUBSTITUTE(SUBSTITUTE(SUBSTITUTE(SUBSTITUTE(SUBSTITUTE(SUBSTITUTE(SUBSTITUTE(SUBSTITUTE(SUBSTITUTE(SUBSTITUTE(TRIM($L507),"'",""),"İ","I"),"ı","I"),"i","I"),"Ş","S"),"ş","S"),"Ğ","G"),"ğ","G"),"Ü","U"),"ü","U"),"Ö","O"),"ö","O"),"Ç","C"),"ç","C"),".",""),",","")," ",""),"-","")))</f>
        <v/>
      </c>
      <c r="T507" s="3">
        <f>IF(OR($C507="",$D507&lt;&gt;"Gelir",$L507=""),"",IFERROR(INDEX(MUSTERILER!$B$7:$B$106,MATCH($S507,MUSTERILER!$T$7:$T$106,0)),""))</f>
        <v/>
      </c>
      <c r="U507" s="3">
        <f>IF($T507="","",$T507&amp;"|"&amp;COUNTIFS($T$7:$T507,$T507))</f>
        <v/>
      </c>
      <c r="V507" s="3">
        <f>IF($T507="",0,1)</f>
        <v/>
      </c>
      <c r="W507" s="3">
        <f>IF($C507="","",$D507&amp;"|"&amp;$E507&amp;"|"&amp;TEXT($C507,"0")&amp;"|"&amp;TEXT($G507,"0")&amp;"|"&amp;$J507)</f>
        <v/>
      </c>
      <c r="X507" s="3" t="n"/>
      <c r="Y507" s="3" t="n"/>
      <c r="Z507" s="3" t="n"/>
      <c r="AA507" s="3" t="n"/>
      <c r="AB507" s="3" t="n"/>
      <c r="AC507" s="3" t="n"/>
      <c r="AD507" s="3">
        <f>IF($C507="",0,SUMPRODUCT((AY_SONU!$O$7:$O$42="Evet")*(AY_SONU!$B$7:$B$42=DATE(YEAR($C507),MONTH($C507),1))))</f>
        <v/>
      </c>
    </row>
    <row r="508">
      <c r="A508" s="6" t="n"/>
      <c r="B508" s="113">
        <f>IF($C508="","","GG"&amp;TEXT(ROW()-6,"00000"))</f>
        <v/>
      </c>
      <c r="C508" s="220" t="n"/>
      <c r="D508" s="108" t="n"/>
      <c r="E508" s="109" t="n"/>
      <c r="F508" s="109" t="n"/>
      <c r="G508" s="221" t="n"/>
      <c r="H508" s="108" t="n"/>
      <c r="I508" s="108" t="n"/>
      <c r="J508" s="109" t="n"/>
      <c r="K508" s="109" t="n"/>
      <c r="L508" s="108" t="n"/>
      <c r="M508" s="121">
        <f>IF($C508="","",IF($D508="Gider",$E508,IF($L508&lt;&gt;"",$L508,$H508)))</f>
        <v/>
      </c>
      <c r="N508" s="121">
        <f>IF($C508="","",IF($D508="Gider",$H508,$E508))</f>
        <v/>
      </c>
      <c r="O508" s="226">
        <f>IF($C508="","",DATE(YEAR($C508),MONTH($C508),1))</f>
        <v/>
      </c>
      <c r="P508" s="113">
        <f>IF($C508="","",IF(AND($D508="Gelir",$L508&lt;&gt;"",$T508=""),"TANIMSIZ BORÇLU",IF($T508&lt;&gt;"",IF(OR($E508="",$G508&lt;=0),"EKSİK",IF($I508="Evet","TAHAKKUK NAKİT OLAMAZ",IF($C508&gt;TODAY(),"İLERİ TARİH","TAHAKKUK"))),IF(AND($D508&lt;&gt;"",$E508&lt;&gt;"",$G508&gt;0,$H508&lt;&gt;"",$I508&lt;&gt;""),IF($C508&gt;TODAY(),"İLERİ TARİH",IF(COUNTIF($W$7:$W$1206,$W508)&gt;1,"MÜKERRER?",IF($AD508&gt;0,"KAPALI DÖNEM",IF($I508="Hayır","ÖDENECEK","UYGUN")))),"EKSİK"))))</f>
        <v/>
      </c>
      <c r="Q508" s="6" t="n"/>
      <c r="R508" s="6" t="n"/>
      <c r="S508" s="3">
        <f>IF($L508="","",UPPER(SUBSTITUTE(SUBSTITUTE(SUBSTITUTE(SUBSTITUTE(SUBSTITUTE(SUBSTITUTE(SUBSTITUTE(SUBSTITUTE(SUBSTITUTE(SUBSTITUTE(SUBSTITUTE(SUBSTITUTE(SUBSTITUTE(SUBSTITUTE(SUBSTITUTE(SUBSTITUTE(SUBSTITUTE(SUBSTITUTE(TRIM($L508),"'",""),"İ","I"),"ı","I"),"i","I"),"Ş","S"),"ş","S"),"Ğ","G"),"ğ","G"),"Ü","U"),"ü","U"),"Ö","O"),"ö","O"),"Ç","C"),"ç","C"),".",""),",","")," ",""),"-","")))</f>
        <v/>
      </c>
      <c r="T508" s="3">
        <f>IF(OR($C508="",$D508&lt;&gt;"Gelir",$L508=""),"",IFERROR(INDEX(MUSTERILER!$B$7:$B$106,MATCH($S508,MUSTERILER!$T$7:$T$106,0)),""))</f>
        <v/>
      </c>
      <c r="U508" s="3">
        <f>IF($T508="","",$T508&amp;"|"&amp;COUNTIFS($T$7:$T508,$T508))</f>
        <v/>
      </c>
      <c r="V508" s="3">
        <f>IF($T508="",0,1)</f>
        <v/>
      </c>
      <c r="W508" s="3">
        <f>IF($C508="","",$D508&amp;"|"&amp;$E508&amp;"|"&amp;TEXT($C508,"0")&amp;"|"&amp;TEXT($G508,"0")&amp;"|"&amp;$J508)</f>
        <v/>
      </c>
      <c r="X508" s="3" t="n"/>
      <c r="Y508" s="3" t="n"/>
      <c r="Z508" s="3" t="n"/>
      <c r="AA508" s="3" t="n"/>
      <c r="AB508" s="3" t="n"/>
      <c r="AC508" s="3" t="n"/>
      <c r="AD508" s="3">
        <f>IF($C508="",0,SUMPRODUCT((AY_SONU!$O$7:$O$42="Evet")*(AY_SONU!$B$7:$B$42=DATE(YEAR($C508),MONTH($C508),1))))</f>
        <v/>
      </c>
    </row>
    <row r="509">
      <c r="A509" s="6" t="n"/>
      <c r="B509" s="113">
        <f>IF($C509="","","GG"&amp;TEXT(ROW()-6,"00000"))</f>
        <v/>
      </c>
      <c r="C509" s="220" t="n"/>
      <c r="D509" s="108" t="n"/>
      <c r="E509" s="109" t="n"/>
      <c r="F509" s="109" t="n"/>
      <c r="G509" s="221" t="n"/>
      <c r="H509" s="108" t="n"/>
      <c r="I509" s="108" t="n"/>
      <c r="J509" s="109" t="n"/>
      <c r="K509" s="109" t="n"/>
      <c r="L509" s="108" t="n"/>
      <c r="M509" s="121">
        <f>IF($C509="","",IF($D509="Gider",$E509,IF($L509&lt;&gt;"",$L509,$H509)))</f>
        <v/>
      </c>
      <c r="N509" s="121">
        <f>IF($C509="","",IF($D509="Gider",$H509,$E509))</f>
        <v/>
      </c>
      <c r="O509" s="226">
        <f>IF($C509="","",DATE(YEAR($C509),MONTH($C509),1))</f>
        <v/>
      </c>
      <c r="P509" s="113">
        <f>IF($C509="","",IF(AND($D509="Gelir",$L509&lt;&gt;"",$T509=""),"TANIMSIZ BORÇLU",IF($T509&lt;&gt;"",IF(OR($E509="",$G509&lt;=0),"EKSİK",IF($I509="Evet","TAHAKKUK NAKİT OLAMAZ",IF($C509&gt;TODAY(),"İLERİ TARİH","TAHAKKUK"))),IF(AND($D509&lt;&gt;"",$E509&lt;&gt;"",$G509&gt;0,$H509&lt;&gt;"",$I509&lt;&gt;""),IF($C509&gt;TODAY(),"İLERİ TARİH",IF(COUNTIF($W$7:$W$1206,$W509)&gt;1,"MÜKERRER?",IF($AD509&gt;0,"KAPALI DÖNEM",IF($I509="Hayır","ÖDENECEK","UYGUN")))),"EKSİK"))))</f>
        <v/>
      </c>
      <c r="Q509" s="6" t="n"/>
      <c r="R509" s="6" t="n"/>
      <c r="S509" s="3">
        <f>IF($L509="","",UPPER(SUBSTITUTE(SUBSTITUTE(SUBSTITUTE(SUBSTITUTE(SUBSTITUTE(SUBSTITUTE(SUBSTITUTE(SUBSTITUTE(SUBSTITUTE(SUBSTITUTE(SUBSTITUTE(SUBSTITUTE(SUBSTITUTE(SUBSTITUTE(SUBSTITUTE(SUBSTITUTE(SUBSTITUTE(SUBSTITUTE(TRIM($L509),"'",""),"İ","I"),"ı","I"),"i","I"),"Ş","S"),"ş","S"),"Ğ","G"),"ğ","G"),"Ü","U"),"ü","U"),"Ö","O"),"ö","O"),"Ç","C"),"ç","C"),".",""),",","")," ",""),"-","")))</f>
        <v/>
      </c>
      <c r="T509" s="3">
        <f>IF(OR($C509="",$D509&lt;&gt;"Gelir",$L509=""),"",IFERROR(INDEX(MUSTERILER!$B$7:$B$106,MATCH($S509,MUSTERILER!$T$7:$T$106,0)),""))</f>
        <v/>
      </c>
      <c r="U509" s="3">
        <f>IF($T509="","",$T509&amp;"|"&amp;COUNTIFS($T$7:$T509,$T509))</f>
        <v/>
      </c>
      <c r="V509" s="3">
        <f>IF($T509="",0,1)</f>
        <v/>
      </c>
      <c r="W509" s="3">
        <f>IF($C509="","",$D509&amp;"|"&amp;$E509&amp;"|"&amp;TEXT($C509,"0")&amp;"|"&amp;TEXT($G509,"0")&amp;"|"&amp;$J509)</f>
        <v/>
      </c>
      <c r="X509" s="3" t="n"/>
      <c r="Y509" s="3" t="n"/>
      <c r="Z509" s="3" t="n"/>
      <c r="AA509" s="3" t="n"/>
      <c r="AB509" s="3" t="n"/>
      <c r="AC509" s="3" t="n"/>
      <c r="AD509" s="3">
        <f>IF($C509="",0,SUMPRODUCT((AY_SONU!$O$7:$O$42="Evet")*(AY_SONU!$B$7:$B$42=DATE(YEAR($C509),MONTH($C509),1))))</f>
        <v/>
      </c>
    </row>
    <row r="510">
      <c r="A510" s="6" t="n"/>
      <c r="B510" s="113">
        <f>IF($C510="","","GG"&amp;TEXT(ROW()-6,"00000"))</f>
        <v/>
      </c>
      <c r="C510" s="220" t="n"/>
      <c r="D510" s="108" t="n"/>
      <c r="E510" s="109" t="n"/>
      <c r="F510" s="109" t="n"/>
      <c r="G510" s="221" t="n"/>
      <c r="H510" s="108" t="n"/>
      <c r="I510" s="108" t="n"/>
      <c r="J510" s="109" t="n"/>
      <c r="K510" s="109" t="n"/>
      <c r="L510" s="108" t="n"/>
      <c r="M510" s="121">
        <f>IF($C510="","",IF($D510="Gider",$E510,IF($L510&lt;&gt;"",$L510,$H510)))</f>
        <v/>
      </c>
      <c r="N510" s="121">
        <f>IF($C510="","",IF($D510="Gider",$H510,$E510))</f>
        <v/>
      </c>
      <c r="O510" s="226">
        <f>IF($C510="","",DATE(YEAR($C510),MONTH($C510),1))</f>
        <v/>
      </c>
      <c r="P510" s="113">
        <f>IF($C510="","",IF(AND($D510="Gelir",$L510&lt;&gt;"",$T510=""),"TANIMSIZ BORÇLU",IF($T510&lt;&gt;"",IF(OR($E510="",$G510&lt;=0),"EKSİK",IF($I510="Evet","TAHAKKUK NAKİT OLAMAZ",IF($C510&gt;TODAY(),"İLERİ TARİH","TAHAKKUK"))),IF(AND($D510&lt;&gt;"",$E510&lt;&gt;"",$G510&gt;0,$H510&lt;&gt;"",$I510&lt;&gt;""),IF($C510&gt;TODAY(),"İLERİ TARİH",IF(COUNTIF($W$7:$W$1206,$W510)&gt;1,"MÜKERRER?",IF($AD510&gt;0,"KAPALI DÖNEM",IF($I510="Hayır","ÖDENECEK","UYGUN")))),"EKSİK"))))</f>
        <v/>
      </c>
      <c r="Q510" s="6" t="n"/>
      <c r="R510" s="6" t="n"/>
      <c r="S510" s="3">
        <f>IF($L510="","",UPPER(SUBSTITUTE(SUBSTITUTE(SUBSTITUTE(SUBSTITUTE(SUBSTITUTE(SUBSTITUTE(SUBSTITUTE(SUBSTITUTE(SUBSTITUTE(SUBSTITUTE(SUBSTITUTE(SUBSTITUTE(SUBSTITUTE(SUBSTITUTE(SUBSTITUTE(SUBSTITUTE(SUBSTITUTE(SUBSTITUTE(TRIM($L510),"'",""),"İ","I"),"ı","I"),"i","I"),"Ş","S"),"ş","S"),"Ğ","G"),"ğ","G"),"Ü","U"),"ü","U"),"Ö","O"),"ö","O"),"Ç","C"),"ç","C"),".",""),",","")," ",""),"-","")))</f>
        <v/>
      </c>
      <c r="T510" s="3">
        <f>IF(OR($C510="",$D510&lt;&gt;"Gelir",$L510=""),"",IFERROR(INDEX(MUSTERILER!$B$7:$B$106,MATCH($S510,MUSTERILER!$T$7:$T$106,0)),""))</f>
        <v/>
      </c>
      <c r="U510" s="3">
        <f>IF($T510="","",$T510&amp;"|"&amp;COUNTIFS($T$7:$T510,$T510))</f>
        <v/>
      </c>
      <c r="V510" s="3">
        <f>IF($T510="",0,1)</f>
        <v/>
      </c>
      <c r="W510" s="3">
        <f>IF($C510="","",$D510&amp;"|"&amp;$E510&amp;"|"&amp;TEXT($C510,"0")&amp;"|"&amp;TEXT($G510,"0")&amp;"|"&amp;$J510)</f>
        <v/>
      </c>
      <c r="X510" s="3" t="n"/>
      <c r="Y510" s="3" t="n"/>
      <c r="Z510" s="3" t="n"/>
      <c r="AA510" s="3" t="n"/>
      <c r="AB510" s="3" t="n"/>
      <c r="AC510" s="3" t="n"/>
      <c r="AD510" s="3">
        <f>IF($C510="",0,SUMPRODUCT((AY_SONU!$O$7:$O$42="Evet")*(AY_SONU!$B$7:$B$42=DATE(YEAR($C510),MONTH($C510),1))))</f>
        <v/>
      </c>
    </row>
    <row r="511">
      <c r="A511" s="6" t="n"/>
      <c r="B511" s="113">
        <f>IF($C511="","","GG"&amp;TEXT(ROW()-6,"00000"))</f>
        <v/>
      </c>
      <c r="C511" s="220" t="n"/>
      <c r="D511" s="108" t="n"/>
      <c r="E511" s="109" t="n"/>
      <c r="F511" s="109" t="n"/>
      <c r="G511" s="221" t="n"/>
      <c r="H511" s="108" t="n"/>
      <c r="I511" s="108" t="n"/>
      <c r="J511" s="109" t="n"/>
      <c r="K511" s="109" t="n"/>
      <c r="L511" s="108" t="n"/>
      <c r="M511" s="121">
        <f>IF($C511="","",IF($D511="Gider",$E511,IF($L511&lt;&gt;"",$L511,$H511)))</f>
        <v/>
      </c>
      <c r="N511" s="121">
        <f>IF($C511="","",IF($D511="Gider",$H511,$E511))</f>
        <v/>
      </c>
      <c r="O511" s="226">
        <f>IF($C511="","",DATE(YEAR($C511),MONTH($C511),1))</f>
        <v/>
      </c>
      <c r="P511" s="113">
        <f>IF($C511="","",IF(AND($D511="Gelir",$L511&lt;&gt;"",$T511=""),"TANIMSIZ BORÇLU",IF($T511&lt;&gt;"",IF(OR($E511="",$G511&lt;=0),"EKSİK",IF($I511="Evet","TAHAKKUK NAKİT OLAMAZ",IF($C511&gt;TODAY(),"İLERİ TARİH","TAHAKKUK"))),IF(AND($D511&lt;&gt;"",$E511&lt;&gt;"",$G511&gt;0,$H511&lt;&gt;"",$I511&lt;&gt;""),IF($C511&gt;TODAY(),"İLERİ TARİH",IF(COUNTIF($W$7:$W$1206,$W511)&gt;1,"MÜKERRER?",IF($AD511&gt;0,"KAPALI DÖNEM",IF($I511="Hayır","ÖDENECEK","UYGUN")))),"EKSİK"))))</f>
        <v/>
      </c>
      <c r="Q511" s="6" t="n"/>
      <c r="R511" s="6" t="n"/>
      <c r="S511" s="3">
        <f>IF($L511="","",UPPER(SUBSTITUTE(SUBSTITUTE(SUBSTITUTE(SUBSTITUTE(SUBSTITUTE(SUBSTITUTE(SUBSTITUTE(SUBSTITUTE(SUBSTITUTE(SUBSTITUTE(SUBSTITUTE(SUBSTITUTE(SUBSTITUTE(SUBSTITUTE(SUBSTITUTE(SUBSTITUTE(SUBSTITUTE(SUBSTITUTE(TRIM($L511),"'",""),"İ","I"),"ı","I"),"i","I"),"Ş","S"),"ş","S"),"Ğ","G"),"ğ","G"),"Ü","U"),"ü","U"),"Ö","O"),"ö","O"),"Ç","C"),"ç","C"),".",""),",","")," ",""),"-","")))</f>
        <v/>
      </c>
      <c r="T511" s="3">
        <f>IF(OR($C511="",$D511&lt;&gt;"Gelir",$L511=""),"",IFERROR(INDEX(MUSTERILER!$B$7:$B$106,MATCH($S511,MUSTERILER!$T$7:$T$106,0)),""))</f>
        <v/>
      </c>
      <c r="U511" s="3">
        <f>IF($T511="","",$T511&amp;"|"&amp;COUNTIFS($T$7:$T511,$T511))</f>
        <v/>
      </c>
      <c r="V511" s="3">
        <f>IF($T511="",0,1)</f>
        <v/>
      </c>
      <c r="W511" s="3">
        <f>IF($C511="","",$D511&amp;"|"&amp;$E511&amp;"|"&amp;TEXT($C511,"0")&amp;"|"&amp;TEXT($G511,"0")&amp;"|"&amp;$J511)</f>
        <v/>
      </c>
      <c r="X511" s="3" t="n"/>
      <c r="Y511" s="3" t="n"/>
      <c r="Z511" s="3" t="n"/>
      <c r="AA511" s="3" t="n"/>
      <c r="AB511" s="3" t="n"/>
      <c r="AC511" s="3" t="n"/>
      <c r="AD511" s="3">
        <f>IF($C511="",0,SUMPRODUCT((AY_SONU!$O$7:$O$42="Evet")*(AY_SONU!$B$7:$B$42=DATE(YEAR($C511),MONTH($C511),1))))</f>
        <v/>
      </c>
    </row>
    <row r="512">
      <c r="A512" s="6" t="n"/>
      <c r="B512" s="113">
        <f>IF($C512="","","GG"&amp;TEXT(ROW()-6,"00000"))</f>
        <v/>
      </c>
      <c r="C512" s="220" t="n"/>
      <c r="D512" s="108" t="n"/>
      <c r="E512" s="109" t="n"/>
      <c r="F512" s="109" t="n"/>
      <c r="G512" s="221" t="n"/>
      <c r="H512" s="108" t="n"/>
      <c r="I512" s="108" t="n"/>
      <c r="J512" s="109" t="n"/>
      <c r="K512" s="109" t="n"/>
      <c r="L512" s="108" t="n"/>
      <c r="M512" s="121">
        <f>IF($C512="","",IF($D512="Gider",$E512,IF($L512&lt;&gt;"",$L512,$H512)))</f>
        <v/>
      </c>
      <c r="N512" s="121">
        <f>IF($C512="","",IF($D512="Gider",$H512,$E512))</f>
        <v/>
      </c>
      <c r="O512" s="226">
        <f>IF($C512="","",DATE(YEAR($C512),MONTH($C512),1))</f>
        <v/>
      </c>
      <c r="P512" s="113">
        <f>IF($C512="","",IF(AND($D512="Gelir",$L512&lt;&gt;"",$T512=""),"TANIMSIZ BORÇLU",IF($T512&lt;&gt;"",IF(OR($E512="",$G512&lt;=0),"EKSİK",IF($I512="Evet","TAHAKKUK NAKİT OLAMAZ",IF($C512&gt;TODAY(),"İLERİ TARİH","TAHAKKUK"))),IF(AND($D512&lt;&gt;"",$E512&lt;&gt;"",$G512&gt;0,$H512&lt;&gt;"",$I512&lt;&gt;""),IF($C512&gt;TODAY(),"İLERİ TARİH",IF(COUNTIF($W$7:$W$1206,$W512)&gt;1,"MÜKERRER?",IF($AD512&gt;0,"KAPALI DÖNEM",IF($I512="Hayır","ÖDENECEK","UYGUN")))),"EKSİK"))))</f>
        <v/>
      </c>
      <c r="Q512" s="6" t="n"/>
      <c r="R512" s="6" t="n"/>
      <c r="S512" s="3">
        <f>IF($L512="","",UPPER(SUBSTITUTE(SUBSTITUTE(SUBSTITUTE(SUBSTITUTE(SUBSTITUTE(SUBSTITUTE(SUBSTITUTE(SUBSTITUTE(SUBSTITUTE(SUBSTITUTE(SUBSTITUTE(SUBSTITUTE(SUBSTITUTE(SUBSTITUTE(SUBSTITUTE(SUBSTITUTE(SUBSTITUTE(SUBSTITUTE(TRIM($L512),"'",""),"İ","I"),"ı","I"),"i","I"),"Ş","S"),"ş","S"),"Ğ","G"),"ğ","G"),"Ü","U"),"ü","U"),"Ö","O"),"ö","O"),"Ç","C"),"ç","C"),".",""),",","")," ",""),"-","")))</f>
        <v/>
      </c>
      <c r="T512" s="3">
        <f>IF(OR($C512="",$D512&lt;&gt;"Gelir",$L512=""),"",IFERROR(INDEX(MUSTERILER!$B$7:$B$106,MATCH($S512,MUSTERILER!$T$7:$T$106,0)),""))</f>
        <v/>
      </c>
      <c r="U512" s="3">
        <f>IF($T512="","",$T512&amp;"|"&amp;COUNTIFS($T$7:$T512,$T512))</f>
        <v/>
      </c>
      <c r="V512" s="3">
        <f>IF($T512="",0,1)</f>
        <v/>
      </c>
      <c r="W512" s="3">
        <f>IF($C512="","",$D512&amp;"|"&amp;$E512&amp;"|"&amp;TEXT($C512,"0")&amp;"|"&amp;TEXT($G512,"0")&amp;"|"&amp;$J512)</f>
        <v/>
      </c>
      <c r="X512" s="3" t="n"/>
      <c r="Y512" s="3" t="n"/>
      <c r="Z512" s="3" t="n"/>
      <c r="AA512" s="3" t="n"/>
      <c r="AB512" s="3" t="n"/>
      <c r="AC512" s="3" t="n"/>
      <c r="AD512" s="3">
        <f>IF($C512="",0,SUMPRODUCT((AY_SONU!$O$7:$O$42="Evet")*(AY_SONU!$B$7:$B$42=DATE(YEAR($C512),MONTH($C512),1))))</f>
        <v/>
      </c>
    </row>
    <row r="513">
      <c r="A513" s="6" t="n"/>
      <c r="B513" s="113">
        <f>IF($C513="","","GG"&amp;TEXT(ROW()-6,"00000"))</f>
        <v/>
      </c>
      <c r="C513" s="220" t="n"/>
      <c r="D513" s="108" t="n"/>
      <c r="E513" s="109" t="n"/>
      <c r="F513" s="109" t="n"/>
      <c r="G513" s="221" t="n"/>
      <c r="H513" s="108" t="n"/>
      <c r="I513" s="108" t="n"/>
      <c r="J513" s="109" t="n"/>
      <c r="K513" s="109" t="n"/>
      <c r="L513" s="108" t="n"/>
      <c r="M513" s="121">
        <f>IF($C513="","",IF($D513="Gider",$E513,IF($L513&lt;&gt;"",$L513,$H513)))</f>
        <v/>
      </c>
      <c r="N513" s="121">
        <f>IF($C513="","",IF($D513="Gider",$H513,$E513))</f>
        <v/>
      </c>
      <c r="O513" s="226">
        <f>IF($C513="","",DATE(YEAR($C513),MONTH($C513),1))</f>
        <v/>
      </c>
      <c r="P513" s="113">
        <f>IF($C513="","",IF(AND($D513="Gelir",$L513&lt;&gt;"",$T513=""),"TANIMSIZ BORÇLU",IF($T513&lt;&gt;"",IF(OR($E513="",$G513&lt;=0),"EKSİK",IF($I513="Evet","TAHAKKUK NAKİT OLAMAZ",IF($C513&gt;TODAY(),"İLERİ TARİH","TAHAKKUK"))),IF(AND($D513&lt;&gt;"",$E513&lt;&gt;"",$G513&gt;0,$H513&lt;&gt;"",$I513&lt;&gt;""),IF($C513&gt;TODAY(),"İLERİ TARİH",IF(COUNTIF($W$7:$W$1206,$W513)&gt;1,"MÜKERRER?",IF($AD513&gt;0,"KAPALI DÖNEM",IF($I513="Hayır","ÖDENECEK","UYGUN")))),"EKSİK"))))</f>
        <v/>
      </c>
      <c r="Q513" s="6" t="n"/>
      <c r="R513" s="6" t="n"/>
      <c r="S513" s="3">
        <f>IF($L513="","",UPPER(SUBSTITUTE(SUBSTITUTE(SUBSTITUTE(SUBSTITUTE(SUBSTITUTE(SUBSTITUTE(SUBSTITUTE(SUBSTITUTE(SUBSTITUTE(SUBSTITUTE(SUBSTITUTE(SUBSTITUTE(SUBSTITUTE(SUBSTITUTE(SUBSTITUTE(SUBSTITUTE(SUBSTITUTE(SUBSTITUTE(TRIM($L513),"'",""),"İ","I"),"ı","I"),"i","I"),"Ş","S"),"ş","S"),"Ğ","G"),"ğ","G"),"Ü","U"),"ü","U"),"Ö","O"),"ö","O"),"Ç","C"),"ç","C"),".",""),",","")," ",""),"-","")))</f>
        <v/>
      </c>
      <c r="T513" s="3">
        <f>IF(OR($C513="",$D513&lt;&gt;"Gelir",$L513=""),"",IFERROR(INDEX(MUSTERILER!$B$7:$B$106,MATCH($S513,MUSTERILER!$T$7:$T$106,0)),""))</f>
        <v/>
      </c>
      <c r="U513" s="3">
        <f>IF($T513="","",$T513&amp;"|"&amp;COUNTIFS($T$7:$T513,$T513))</f>
        <v/>
      </c>
      <c r="V513" s="3">
        <f>IF($T513="",0,1)</f>
        <v/>
      </c>
      <c r="W513" s="3">
        <f>IF($C513="","",$D513&amp;"|"&amp;$E513&amp;"|"&amp;TEXT($C513,"0")&amp;"|"&amp;TEXT($G513,"0")&amp;"|"&amp;$J513)</f>
        <v/>
      </c>
      <c r="X513" s="3" t="n"/>
      <c r="Y513" s="3" t="n"/>
      <c r="Z513" s="3" t="n"/>
      <c r="AA513" s="3" t="n"/>
      <c r="AB513" s="3" t="n"/>
      <c r="AC513" s="3" t="n"/>
      <c r="AD513" s="3">
        <f>IF($C513="",0,SUMPRODUCT((AY_SONU!$O$7:$O$42="Evet")*(AY_SONU!$B$7:$B$42=DATE(YEAR($C513),MONTH($C513),1))))</f>
        <v/>
      </c>
    </row>
    <row r="514">
      <c r="A514" s="6" t="n"/>
      <c r="B514" s="113">
        <f>IF($C514="","","GG"&amp;TEXT(ROW()-6,"00000"))</f>
        <v/>
      </c>
      <c r="C514" s="220" t="n"/>
      <c r="D514" s="108" t="n"/>
      <c r="E514" s="109" t="n"/>
      <c r="F514" s="109" t="n"/>
      <c r="G514" s="221" t="n"/>
      <c r="H514" s="108" t="n"/>
      <c r="I514" s="108" t="n"/>
      <c r="J514" s="109" t="n"/>
      <c r="K514" s="109" t="n"/>
      <c r="L514" s="108" t="n"/>
      <c r="M514" s="121">
        <f>IF($C514="","",IF($D514="Gider",$E514,IF($L514&lt;&gt;"",$L514,$H514)))</f>
        <v/>
      </c>
      <c r="N514" s="121">
        <f>IF($C514="","",IF($D514="Gider",$H514,$E514))</f>
        <v/>
      </c>
      <c r="O514" s="226">
        <f>IF($C514="","",DATE(YEAR($C514),MONTH($C514),1))</f>
        <v/>
      </c>
      <c r="P514" s="113">
        <f>IF($C514="","",IF(AND($D514="Gelir",$L514&lt;&gt;"",$T514=""),"TANIMSIZ BORÇLU",IF($T514&lt;&gt;"",IF(OR($E514="",$G514&lt;=0),"EKSİK",IF($I514="Evet","TAHAKKUK NAKİT OLAMAZ",IF($C514&gt;TODAY(),"İLERİ TARİH","TAHAKKUK"))),IF(AND($D514&lt;&gt;"",$E514&lt;&gt;"",$G514&gt;0,$H514&lt;&gt;"",$I514&lt;&gt;""),IF($C514&gt;TODAY(),"İLERİ TARİH",IF(COUNTIF($W$7:$W$1206,$W514)&gt;1,"MÜKERRER?",IF($AD514&gt;0,"KAPALI DÖNEM",IF($I514="Hayır","ÖDENECEK","UYGUN")))),"EKSİK"))))</f>
        <v/>
      </c>
      <c r="Q514" s="6" t="n"/>
      <c r="R514" s="6" t="n"/>
      <c r="S514" s="3">
        <f>IF($L514="","",UPPER(SUBSTITUTE(SUBSTITUTE(SUBSTITUTE(SUBSTITUTE(SUBSTITUTE(SUBSTITUTE(SUBSTITUTE(SUBSTITUTE(SUBSTITUTE(SUBSTITUTE(SUBSTITUTE(SUBSTITUTE(SUBSTITUTE(SUBSTITUTE(SUBSTITUTE(SUBSTITUTE(SUBSTITUTE(SUBSTITUTE(TRIM($L514),"'",""),"İ","I"),"ı","I"),"i","I"),"Ş","S"),"ş","S"),"Ğ","G"),"ğ","G"),"Ü","U"),"ü","U"),"Ö","O"),"ö","O"),"Ç","C"),"ç","C"),".",""),",","")," ",""),"-","")))</f>
        <v/>
      </c>
      <c r="T514" s="3">
        <f>IF(OR($C514="",$D514&lt;&gt;"Gelir",$L514=""),"",IFERROR(INDEX(MUSTERILER!$B$7:$B$106,MATCH($S514,MUSTERILER!$T$7:$T$106,0)),""))</f>
        <v/>
      </c>
      <c r="U514" s="3">
        <f>IF($T514="","",$T514&amp;"|"&amp;COUNTIFS($T$7:$T514,$T514))</f>
        <v/>
      </c>
      <c r="V514" s="3">
        <f>IF($T514="",0,1)</f>
        <v/>
      </c>
      <c r="W514" s="3">
        <f>IF($C514="","",$D514&amp;"|"&amp;$E514&amp;"|"&amp;TEXT($C514,"0")&amp;"|"&amp;TEXT($G514,"0")&amp;"|"&amp;$J514)</f>
        <v/>
      </c>
      <c r="X514" s="3" t="n"/>
      <c r="Y514" s="3" t="n"/>
      <c r="Z514" s="3" t="n"/>
      <c r="AA514" s="3" t="n"/>
      <c r="AB514" s="3" t="n"/>
      <c r="AC514" s="3" t="n"/>
      <c r="AD514" s="3">
        <f>IF($C514="",0,SUMPRODUCT((AY_SONU!$O$7:$O$42="Evet")*(AY_SONU!$B$7:$B$42=DATE(YEAR($C514),MONTH($C514),1))))</f>
        <v/>
      </c>
    </row>
    <row r="515">
      <c r="A515" s="6" t="n"/>
      <c r="B515" s="113">
        <f>IF($C515="","","GG"&amp;TEXT(ROW()-6,"00000"))</f>
        <v/>
      </c>
      <c r="C515" s="220" t="n"/>
      <c r="D515" s="108" t="n"/>
      <c r="E515" s="109" t="n"/>
      <c r="F515" s="109" t="n"/>
      <c r="G515" s="221" t="n"/>
      <c r="H515" s="108" t="n"/>
      <c r="I515" s="108" t="n"/>
      <c r="J515" s="109" t="n"/>
      <c r="K515" s="109" t="n"/>
      <c r="L515" s="108" t="n"/>
      <c r="M515" s="121">
        <f>IF($C515="","",IF($D515="Gider",$E515,IF($L515&lt;&gt;"",$L515,$H515)))</f>
        <v/>
      </c>
      <c r="N515" s="121">
        <f>IF($C515="","",IF($D515="Gider",$H515,$E515))</f>
        <v/>
      </c>
      <c r="O515" s="226">
        <f>IF($C515="","",DATE(YEAR($C515),MONTH($C515),1))</f>
        <v/>
      </c>
      <c r="P515" s="113">
        <f>IF($C515="","",IF(AND($D515="Gelir",$L515&lt;&gt;"",$T515=""),"TANIMSIZ BORÇLU",IF($T515&lt;&gt;"",IF(OR($E515="",$G515&lt;=0),"EKSİK",IF($I515="Evet","TAHAKKUK NAKİT OLAMAZ",IF($C515&gt;TODAY(),"İLERİ TARİH","TAHAKKUK"))),IF(AND($D515&lt;&gt;"",$E515&lt;&gt;"",$G515&gt;0,$H515&lt;&gt;"",$I515&lt;&gt;""),IF($C515&gt;TODAY(),"İLERİ TARİH",IF(COUNTIF($W$7:$W$1206,$W515)&gt;1,"MÜKERRER?",IF($AD515&gt;0,"KAPALI DÖNEM",IF($I515="Hayır","ÖDENECEK","UYGUN")))),"EKSİK"))))</f>
        <v/>
      </c>
      <c r="Q515" s="6" t="n"/>
      <c r="R515" s="6" t="n"/>
      <c r="S515" s="3">
        <f>IF($L515="","",UPPER(SUBSTITUTE(SUBSTITUTE(SUBSTITUTE(SUBSTITUTE(SUBSTITUTE(SUBSTITUTE(SUBSTITUTE(SUBSTITUTE(SUBSTITUTE(SUBSTITUTE(SUBSTITUTE(SUBSTITUTE(SUBSTITUTE(SUBSTITUTE(SUBSTITUTE(SUBSTITUTE(SUBSTITUTE(SUBSTITUTE(TRIM($L515),"'",""),"İ","I"),"ı","I"),"i","I"),"Ş","S"),"ş","S"),"Ğ","G"),"ğ","G"),"Ü","U"),"ü","U"),"Ö","O"),"ö","O"),"Ç","C"),"ç","C"),".",""),",","")," ",""),"-","")))</f>
        <v/>
      </c>
      <c r="T515" s="3">
        <f>IF(OR($C515="",$D515&lt;&gt;"Gelir",$L515=""),"",IFERROR(INDEX(MUSTERILER!$B$7:$B$106,MATCH($S515,MUSTERILER!$T$7:$T$106,0)),""))</f>
        <v/>
      </c>
      <c r="U515" s="3">
        <f>IF($T515="","",$T515&amp;"|"&amp;COUNTIFS($T$7:$T515,$T515))</f>
        <v/>
      </c>
      <c r="V515" s="3">
        <f>IF($T515="",0,1)</f>
        <v/>
      </c>
      <c r="W515" s="3">
        <f>IF($C515="","",$D515&amp;"|"&amp;$E515&amp;"|"&amp;TEXT($C515,"0")&amp;"|"&amp;TEXT($G515,"0")&amp;"|"&amp;$J515)</f>
        <v/>
      </c>
      <c r="X515" s="3" t="n"/>
      <c r="Y515" s="3" t="n"/>
      <c r="Z515" s="3" t="n"/>
      <c r="AA515" s="3" t="n"/>
      <c r="AB515" s="3" t="n"/>
      <c r="AC515" s="3" t="n"/>
      <c r="AD515" s="3">
        <f>IF($C515="",0,SUMPRODUCT((AY_SONU!$O$7:$O$42="Evet")*(AY_SONU!$B$7:$B$42=DATE(YEAR($C515),MONTH($C515),1))))</f>
        <v/>
      </c>
    </row>
    <row r="516">
      <c r="A516" s="6" t="n"/>
      <c r="B516" s="113">
        <f>IF($C516="","","GG"&amp;TEXT(ROW()-6,"00000"))</f>
        <v/>
      </c>
      <c r="C516" s="220" t="n"/>
      <c r="D516" s="108" t="n"/>
      <c r="E516" s="109" t="n"/>
      <c r="F516" s="109" t="n"/>
      <c r="G516" s="221" t="n"/>
      <c r="H516" s="108" t="n"/>
      <c r="I516" s="108" t="n"/>
      <c r="J516" s="109" t="n"/>
      <c r="K516" s="109" t="n"/>
      <c r="L516" s="108" t="n"/>
      <c r="M516" s="121">
        <f>IF($C516="","",IF($D516="Gider",$E516,IF($L516&lt;&gt;"",$L516,$H516)))</f>
        <v/>
      </c>
      <c r="N516" s="121">
        <f>IF($C516="","",IF($D516="Gider",$H516,$E516))</f>
        <v/>
      </c>
      <c r="O516" s="226">
        <f>IF($C516="","",DATE(YEAR($C516),MONTH($C516),1))</f>
        <v/>
      </c>
      <c r="P516" s="113">
        <f>IF($C516="","",IF(AND($D516="Gelir",$L516&lt;&gt;"",$T516=""),"TANIMSIZ BORÇLU",IF($T516&lt;&gt;"",IF(OR($E516="",$G516&lt;=0),"EKSİK",IF($I516="Evet","TAHAKKUK NAKİT OLAMAZ",IF($C516&gt;TODAY(),"İLERİ TARİH","TAHAKKUK"))),IF(AND($D516&lt;&gt;"",$E516&lt;&gt;"",$G516&gt;0,$H516&lt;&gt;"",$I516&lt;&gt;""),IF($C516&gt;TODAY(),"İLERİ TARİH",IF(COUNTIF($W$7:$W$1206,$W516)&gt;1,"MÜKERRER?",IF($AD516&gt;0,"KAPALI DÖNEM",IF($I516="Hayır","ÖDENECEK","UYGUN")))),"EKSİK"))))</f>
        <v/>
      </c>
      <c r="Q516" s="6" t="n"/>
      <c r="R516" s="6" t="n"/>
      <c r="S516" s="3">
        <f>IF($L516="","",UPPER(SUBSTITUTE(SUBSTITUTE(SUBSTITUTE(SUBSTITUTE(SUBSTITUTE(SUBSTITUTE(SUBSTITUTE(SUBSTITUTE(SUBSTITUTE(SUBSTITUTE(SUBSTITUTE(SUBSTITUTE(SUBSTITUTE(SUBSTITUTE(SUBSTITUTE(SUBSTITUTE(SUBSTITUTE(SUBSTITUTE(TRIM($L516),"'",""),"İ","I"),"ı","I"),"i","I"),"Ş","S"),"ş","S"),"Ğ","G"),"ğ","G"),"Ü","U"),"ü","U"),"Ö","O"),"ö","O"),"Ç","C"),"ç","C"),".",""),",","")," ",""),"-","")))</f>
        <v/>
      </c>
      <c r="T516" s="3">
        <f>IF(OR($C516="",$D516&lt;&gt;"Gelir",$L516=""),"",IFERROR(INDEX(MUSTERILER!$B$7:$B$106,MATCH($S516,MUSTERILER!$T$7:$T$106,0)),""))</f>
        <v/>
      </c>
      <c r="U516" s="3">
        <f>IF($T516="","",$T516&amp;"|"&amp;COUNTIFS($T$7:$T516,$T516))</f>
        <v/>
      </c>
      <c r="V516" s="3">
        <f>IF($T516="",0,1)</f>
        <v/>
      </c>
      <c r="W516" s="3">
        <f>IF($C516="","",$D516&amp;"|"&amp;$E516&amp;"|"&amp;TEXT($C516,"0")&amp;"|"&amp;TEXT($G516,"0")&amp;"|"&amp;$J516)</f>
        <v/>
      </c>
      <c r="X516" s="3" t="n"/>
      <c r="Y516" s="3" t="n"/>
      <c r="Z516" s="3" t="n"/>
      <c r="AA516" s="3" t="n"/>
      <c r="AB516" s="3" t="n"/>
      <c r="AC516" s="3" t="n"/>
      <c r="AD516" s="3">
        <f>IF($C516="",0,SUMPRODUCT((AY_SONU!$O$7:$O$42="Evet")*(AY_SONU!$B$7:$B$42=DATE(YEAR($C516),MONTH($C516),1))))</f>
        <v/>
      </c>
    </row>
    <row r="517">
      <c r="A517" s="6" t="n"/>
      <c r="B517" s="113">
        <f>IF($C517="","","GG"&amp;TEXT(ROW()-6,"00000"))</f>
        <v/>
      </c>
      <c r="C517" s="220" t="n"/>
      <c r="D517" s="108" t="n"/>
      <c r="E517" s="109" t="n"/>
      <c r="F517" s="109" t="n"/>
      <c r="G517" s="221" t="n"/>
      <c r="H517" s="108" t="n"/>
      <c r="I517" s="108" t="n"/>
      <c r="J517" s="109" t="n"/>
      <c r="K517" s="109" t="n"/>
      <c r="L517" s="108" t="n"/>
      <c r="M517" s="121">
        <f>IF($C517="","",IF($D517="Gider",$E517,IF($L517&lt;&gt;"",$L517,$H517)))</f>
        <v/>
      </c>
      <c r="N517" s="121">
        <f>IF($C517="","",IF($D517="Gider",$H517,$E517))</f>
        <v/>
      </c>
      <c r="O517" s="226">
        <f>IF($C517="","",DATE(YEAR($C517),MONTH($C517),1))</f>
        <v/>
      </c>
      <c r="P517" s="113">
        <f>IF($C517="","",IF(AND($D517="Gelir",$L517&lt;&gt;"",$T517=""),"TANIMSIZ BORÇLU",IF($T517&lt;&gt;"",IF(OR($E517="",$G517&lt;=0),"EKSİK",IF($I517="Evet","TAHAKKUK NAKİT OLAMAZ",IF($C517&gt;TODAY(),"İLERİ TARİH","TAHAKKUK"))),IF(AND($D517&lt;&gt;"",$E517&lt;&gt;"",$G517&gt;0,$H517&lt;&gt;"",$I517&lt;&gt;""),IF($C517&gt;TODAY(),"İLERİ TARİH",IF(COUNTIF($W$7:$W$1206,$W517)&gt;1,"MÜKERRER?",IF($AD517&gt;0,"KAPALI DÖNEM",IF($I517="Hayır","ÖDENECEK","UYGUN")))),"EKSİK"))))</f>
        <v/>
      </c>
      <c r="Q517" s="6" t="n"/>
      <c r="R517" s="6" t="n"/>
      <c r="S517" s="3">
        <f>IF($L517="","",UPPER(SUBSTITUTE(SUBSTITUTE(SUBSTITUTE(SUBSTITUTE(SUBSTITUTE(SUBSTITUTE(SUBSTITUTE(SUBSTITUTE(SUBSTITUTE(SUBSTITUTE(SUBSTITUTE(SUBSTITUTE(SUBSTITUTE(SUBSTITUTE(SUBSTITUTE(SUBSTITUTE(SUBSTITUTE(SUBSTITUTE(TRIM($L517),"'",""),"İ","I"),"ı","I"),"i","I"),"Ş","S"),"ş","S"),"Ğ","G"),"ğ","G"),"Ü","U"),"ü","U"),"Ö","O"),"ö","O"),"Ç","C"),"ç","C"),".",""),",","")," ",""),"-","")))</f>
        <v/>
      </c>
      <c r="T517" s="3">
        <f>IF(OR($C517="",$D517&lt;&gt;"Gelir",$L517=""),"",IFERROR(INDEX(MUSTERILER!$B$7:$B$106,MATCH($S517,MUSTERILER!$T$7:$T$106,0)),""))</f>
        <v/>
      </c>
      <c r="U517" s="3">
        <f>IF($T517="","",$T517&amp;"|"&amp;COUNTIFS($T$7:$T517,$T517))</f>
        <v/>
      </c>
      <c r="V517" s="3">
        <f>IF($T517="",0,1)</f>
        <v/>
      </c>
      <c r="W517" s="3">
        <f>IF($C517="","",$D517&amp;"|"&amp;$E517&amp;"|"&amp;TEXT($C517,"0")&amp;"|"&amp;TEXT($G517,"0")&amp;"|"&amp;$J517)</f>
        <v/>
      </c>
      <c r="X517" s="3" t="n"/>
      <c r="Y517" s="3" t="n"/>
      <c r="Z517" s="3" t="n"/>
      <c r="AA517" s="3" t="n"/>
      <c r="AB517" s="3" t="n"/>
      <c r="AC517" s="3" t="n"/>
      <c r="AD517" s="3">
        <f>IF($C517="",0,SUMPRODUCT((AY_SONU!$O$7:$O$42="Evet")*(AY_SONU!$B$7:$B$42=DATE(YEAR($C517),MONTH($C517),1))))</f>
        <v/>
      </c>
    </row>
    <row r="518">
      <c r="A518" s="6" t="n"/>
      <c r="B518" s="113">
        <f>IF($C518="","","GG"&amp;TEXT(ROW()-6,"00000"))</f>
        <v/>
      </c>
      <c r="C518" s="220" t="n"/>
      <c r="D518" s="108" t="n"/>
      <c r="E518" s="109" t="n"/>
      <c r="F518" s="109" t="n"/>
      <c r="G518" s="221" t="n"/>
      <c r="H518" s="108" t="n"/>
      <c r="I518" s="108" t="n"/>
      <c r="J518" s="109" t="n"/>
      <c r="K518" s="109" t="n"/>
      <c r="L518" s="108" t="n"/>
      <c r="M518" s="121">
        <f>IF($C518="","",IF($D518="Gider",$E518,IF($L518&lt;&gt;"",$L518,$H518)))</f>
        <v/>
      </c>
      <c r="N518" s="121">
        <f>IF($C518="","",IF($D518="Gider",$H518,$E518))</f>
        <v/>
      </c>
      <c r="O518" s="226">
        <f>IF($C518="","",DATE(YEAR($C518),MONTH($C518),1))</f>
        <v/>
      </c>
      <c r="P518" s="113">
        <f>IF($C518="","",IF(AND($D518="Gelir",$L518&lt;&gt;"",$T518=""),"TANIMSIZ BORÇLU",IF($T518&lt;&gt;"",IF(OR($E518="",$G518&lt;=0),"EKSİK",IF($I518="Evet","TAHAKKUK NAKİT OLAMAZ",IF($C518&gt;TODAY(),"İLERİ TARİH","TAHAKKUK"))),IF(AND($D518&lt;&gt;"",$E518&lt;&gt;"",$G518&gt;0,$H518&lt;&gt;"",$I518&lt;&gt;""),IF($C518&gt;TODAY(),"İLERİ TARİH",IF(COUNTIF($W$7:$W$1206,$W518)&gt;1,"MÜKERRER?",IF($AD518&gt;0,"KAPALI DÖNEM",IF($I518="Hayır","ÖDENECEK","UYGUN")))),"EKSİK"))))</f>
        <v/>
      </c>
      <c r="Q518" s="6" t="n"/>
      <c r="R518" s="6" t="n"/>
      <c r="S518" s="3">
        <f>IF($L518="","",UPPER(SUBSTITUTE(SUBSTITUTE(SUBSTITUTE(SUBSTITUTE(SUBSTITUTE(SUBSTITUTE(SUBSTITUTE(SUBSTITUTE(SUBSTITUTE(SUBSTITUTE(SUBSTITUTE(SUBSTITUTE(SUBSTITUTE(SUBSTITUTE(SUBSTITUTE(SUBSTITUTE(SUBSTITUTE(SUBSTITUTE(TRIM($L518),"'",""),"İ","I"),"ı","I"),"i","I"),"Ş","S"),"ş","S"),"Ğ","G"),"ğ","G"),"Ü","U"),"ü","U"),"Ö","O"),"ö","O"),"Ç","C"),"ç","C"),".",""),",","")," ",""),"-","")))</f>
        <v/>
      </c>
      <c r="T518" s="3">
        <f>IF(OR($C518="",$D518&lt;&gt;"Gelir",$L518=""),"",IFERROR(INDEX(MUSTERILER!$B$7:$B$106,MATCH($S518,MUSTERILER!$T$7:$T$106,0)),""))</f>
        <v/>
      </c>
      <c r="U518" s="3">
        <f>IF($T518="","",$T518&amp;"|"&amp;COUNTIFS($T$7:$T518,$T518))</f>
        <v/>
      </c>
      <c r="V518" s="3">
        <f>IF($T518="",0,1)</f>
        <v/>
      </c>
      <c r="W518" s="3">
        <f>IF($C518="","",$D518&amp;"|"&amp;$E518&amp;"|"&amp;TEXT($C518,"0")&amp;"|"&amp;TEXT($G518,"0")&amp;"|"&amp;$J518)</f>
        <v/>
      </c>
      <c r="X518" s="3" t="n"/>
      <c r="Y518" s="3" t="n"/>
      <c r="Z518" s="3" t="n"/>
      <c r="AA518" s="3" t="n"/>
      <c r="AB518" s="3" t="n"/>
      <c r="AC518" s="3" t="n"/>
      <c r="AD518" s="3">
        <f>IF($C518="",0,SUMPRODUCT((AY_SONU!$O$7:$O$42="Evet")*(AY_SONU!$B$7:$B$42=DATE(YEAR($C518),MONTH($C518),1))))</f>
        <v/>
      </c>
    </row>
    <row r="519">
      <c r="A519" s="6" t="n"/>
      <c r="B519" s="113">
        <f>IF($C519="","","GG"&amp;TEXT(ROW()-6,"00000"))</f>
        <v/>
      </c>
      <c r="C519" s="220" t="n"/>
      <c r="D519" s="108" t="n"/>
      <c r="E519" s="109" t="n"/>
      <c r="F519" s="109" t="n"/>
      <c r="G519" s="221" t="n"/>
      <c r="H519" s="108" t="n"/>
      <c r="I519" s="108" t="n"/>
      <c r="J519" s="109" t="n"/>
      <c r="K519" s="109" t="n"/>
      <c r="L519" s="108" t="n"/>
      <c r="M519" s="121">
        <f>IF($C519="","",IF($D519="Gider",$E519,IF($L519&lt;&gt;"",$L519,$H519)))</f>
        <v/>
      </c>
      <c r="N519" s="121">
        <f>IF($C519="","",IF($D519="Gider",$H519,$E519))</f>
        <v/>
      </c>
      <c r="O519" s="226">
        <f>IF($C519="","",DATE(YEAR($C519),MONTH($C519),1))</f>
        <v/>
      </c>
      <c r="P519" s="113">
        <f>IF($C519="","",IF(AND($D519="Gelir",$L519&lt;&gt;"",$T519=""),"TANIMSIZ BORÇLU",IF($T519&lt;&gt;"",IF(OR($E519="",$G519&lt;=0),"EKSİK",IF($I519="Evet","TAHAKKUK NAKİT OLAMAZ",IF($C519&gt;TODAY(),"İLERİ TARİH","TAHAKKUK"))),IF(AND($D519&lt;&gt;"",$E519&lt;&gt;"",$G519&gt;0,$H519&lt;&gt;"",$I519&lt;&gt;""),IF($C519&gt;TODAY(),"İLERİ TARİH",IF(COUNTIF($W$7:$W$1206,$W519)&gt;1,"MÜKERRER?",IF($AD519&gt;0,"KAPALI DÖNEM",IF($I519="Hayır","ÖDENECEK","UYGUN")))),"EKSİK"))))</f>
        <v/>
      </c>
      <c r="Q519" s="6" t="n"/>
      <c r="R519" s="6" t="n"/>
      <c r="S519" s="3">
        <f>IF($L519="","",UPPER(SUBSTITUTE(SUBSTITUTE(SUBSTITUTE(SUBSTITUTE(SUBSTITUTE(SUBSTITUTE(SUBSTITUTE(SUBSTITUTE(SUBSTITUTE(SUBSTITUTE(SUBSTITUTE(SUBSTITUTE(SUBSTITUTE(SUBSTITUTE(SUBSTITUTE(SUBSTITUTE(SUBSTITUTE(SUBSTITUTE(TRIM($L519),"'",""),"İ","I"),"ı","I"),"i","I"),"Ş","S"),"ş","S"),"Ğ","G"),"ğ","G"),"Ü","U"),"ü","U"),"Ö","O"),"ö","O"),"Ç","C"),"ç","C"),".",""),",","")," ",""),"-","")))</f>
        <v/>
      </c>
      <c r="T519" s="3">
        <f>IF(OR($C519="",$D519&lt;&gt;"Gelir",$L519=""),"",IFERROR(INDEX(MUSTERILER!$B$7:$B$106,MATCH($S519,MUSTERILER!$T$7:$T$106,0)),""))</f>
        <v/>
      </c>
      <c r="U519" s="3">
        <f>IF($T519="","",$T519&amp;"|"&amp;COUNTIFS($T$7:$T519,$T519))</f>
        <v/>
      </c>
      <c r="V519" s="3">
        <f>IF($T519="",0,1)</f>
        <v/>
      </c>
      <c r="W519" s="3">
        <f>IF($C519="","",$D519&amp;"|"&amp;$E519&amp;"|"&amp;TEXT($C519,"0")&amp;"|"&amp;TEXT($G519,"0")&amp;"|"&amp;$J519)</f>
        <v/>
      </c>
      <c r="X519" s="3" t="n"/>
      <c r="Y519" s="3" t="n"/>
      <c r="Z519" s="3" t="n"/>
      <c r="AA519" s="3" t="n"/>
      <c r="AB519" s="3" t="n"/>
      <c r="AC519" s="3" t="n"/>
      <c r="AD519" s="3">
        <f>IF($C519="",0,SUMPRODUCT((AY_SONU!$O$7:$O$42="Evet")*(AY_SONU!$B$7:$B$42=DATE(YEAR($C519),MONTH($C519),1))))</f>
        <v/>
      </c>
    </row>
    <row r="520">
      <c r="A520" s="6" t="n"/>
      <c r="B520" s="113">
        <f>IF($C520="","","GG"&amp;TEXT(ROW()-6,"00000"))</f>
        <v/>
      </c>
      <c r="C520" s="220" t="n"/>
      <c r="D520" s="108" t="n"/>
      <c r="E520" s="109" t="n"/>
      <c r="F520" s="109" t="n"/>
      <c r="G520" s="221" t="n"/>
      <c r="H520" s="108" t="n"/>
      <c r="I520" s="108" t="n"/>
      <c r="J520" s="109" t="n"/>
      <c r="K520" s="109" t="n"/>
      <c r="L520" s="108" t="n"/>
      <c r="M520" s="121">
        <f>IF($C520="","",IF($D520="Gider",$E520,IF($L520&lt;&gt;"",$L520,$H520)))</f>
        <v/>
      </c>
      <c r="N520" s="121">
        <f>IF($C520="","",IF($D520="Gider",$H520,$E520))</f>
        <v/>
      </c>
      <c r="O520" s="226">
        <f>IF($C520="","",DATE(YEAR($C520),MONTH($C520),1))</f>
        <v/>
      </c>
      <c r="P520" s="113">
        <f>IF($C520="","",IF(AND($D520="Gelir",$L520&lt;&gt;"",$T520=""),"TANIMSIZ BORÇLU",IF($T520&lt;&gt;"",IF(OR($E520="",$G520&lt;=0),"EKSİK",IF($I520="Evet","TAHAKKUK NAKİT OLAMAZ",IF($C520&gt;TODAY(),"İLERİ TARİH","TAHAKKUK"))),IF(AND($D520&lt;&gt;"",$E520&lt;&gt;"",$G520&gt;0,$H520&lt;&gt;"",$I520&lt;&gt;""),IF($C520&gt;TODAY(),"İLERİ TARİH",IF(COUNTIF($W$7:$W$1206,$W520)&gt;1,"MÜKERRER?",IF($AD520&gt;0,"KAPALI DÖNEM",IF($I520="Hayır","ÖDENECEK","UYGUN")))),"EKSİK"))))</f>
        <v/>
      </c>
      <c r="Q520" s="6" t="n"/>
      <c r="R520" s="6" t="n"/>
      <c r="S520" s="3">
        <f>IF($L520="","",UPPER(SUBSTITUTE(SUBSTITUTE(SUBSTITUTE(SUBSTITUTE(SUBSTITUTE(SUBSTITUTE(SUBSTITUTE(SUBSTITUTE(SUBSTITUTE(SUBSTITUTE(SUBSTITUTE(SUBSTITUTE(SUBSTITUTE(SUBSTITUTE(SUBSTITUTE(SUBSTITUTE(SUBSTITUTE(SUBSTITUTE(TRIM($L520),"'",""),"İ","I"),"ı","I"),"i","I"),"Ş","S"),"ş","S"),"Ğ","G"),"ğ","G"),"Ü","U"),"ü","U"),"Ö","O"),"ö","O"),"Ç","C"),"ç","C"),".",""),",","")," ",""),"-","")))</f>
        <v/>
      </c>
      <c r="T520" s="3">
        <f>IF(OR($C520="",$D520&lt;&gt;"Gelir",$L520=""),"",IFERROR(INDEX(MUSTERILER!$B$7:$B$106,MATCH($S520,MUSTERILER!$T$7:$T$106,0)),""))</f>
        <v/>
      </c>
      <c r="U520" s="3">
        <f>IF($T520="","",$T520&amp;"|"&amp;COUNTIFS($T$7:$T520,$T520))</f>
        <v/>
      </c>
      <c r="V520" s="3">
        <f>IF($T520="",0,1)</f>
        <v/>
      </c>
      <c r="W520" s="3">
        <f>IF($C520="","",$D520&amp;"|"&amp;$E520&amp;"|"&amp;TEXT($C520,"0")&amp;"|"&amp;TEXT($G520,"0")&amp;"|"&amp;$J520)</f>
        <v/>
      </c>
      <c r="X520" s="3" t="n"/>
      <c r="Y520" s="3" t="n"/>
      <c r="Z520" s="3" t="n"/>
      <c r="AA520" s="3" t="n"/>
      <c r="AB520" s="3" t="n"/>
      <c r="AC520" s="3" t="n"/>
      <c r="AD520" s="3">
        <f>IF($C520="",0,SUMPRODUCT((AY_SONU!$O$7:$O$42="Evet")*(AY_SONU!$B$7:$B$42=DATE(YEAR($C520),MONTH($C520),1))))</f>
        <v/>
      </c>
    </row>
    <row r="521">
      <c r="A521" s="6" t="n"/>
      <c r="B521" s="113">
        <f>IF($C521="","","GG"&amp;TEXT(ROW()-6,"00000"))</f>
        <v/>
      </c>
      <c r="C521" s="220" t="n"/>
      <c r="D521" s="108" t="n"/>
      <c r="E521" s="109" t="n"/>
      <c r="F521" s="109" t="n"/>
      <c r="G521" s="221" t="n"/>
      <c r="H521" s="108" t="n"/>
      <c r="I521" s="108" t="n"/>
      <c r="J521" s="109" t="n"/>
      <c r="K521" s="109" t="n"/>
      <c r="L521" s="108" t="n"/>
      <c r="M521" s="121">
        <f>IF($C521="","",IF($D521="Gider",$E521,IF($L521&lt;&gt;"",$L521,$H521)))</f>
        <v/>
      </c>
      <c r="N521" s="121">
        <f>IF($C521="","",IF($D521="Gider",$H521,$E521))</f>
        <v/>
      </c>
      <c r="O521" s="226">
        <f>IF($C521="","",DATE(YEAR($C521),MONTH($C521),1))</f>
        <v/>
      </c>
      <c r="P521" s="113">
        <f>IF($C521="","",IF(AND($D521="Gelir",$L521&lt;&gt;"",$T521=""),"TANIMSIZ BORÇLU",IF($T521&lt;&gt;"",IF(OR($E521="",$G521&lt;=0),"EKSİK",IF($I521="Evet","TAHAKKUK NAKİT OLAMAZ",IF($C521&gt;TODAY(),"İLERİ TARİH","TAHAKKUK"))),IF(AND($D521&lt;&gt;"",$E521&lt;&gt;"",$G521&gt;0,$H521&lt;&gt;"",$I521&lt;&gt;""),IF($C521&gt;TODAY(),"İLERİ TARİH",IF(COUNTIF($W$7:$W$1206,$W521)&gt;1,"MÜKERRER?",IF($AD521&gt;0,"KAPALI DÖNEM",IF($I521="Hayır","ÖDENECEK","UYGUN")))),"EKSİK"))))</f>
        <v/>
      </c>
      <c r="Q521" s="6" t="n"/>
      <c r="R521" s="6" t="n"/>
      <c r="S521" s="3">
        <f>IF($L521="","",UPPER(SUBSTITUTE(SUBSTITUTE(SUBSTITUTE(SUBSTITUTE(SUBSTITUTE(SUBSTITUTE(SUBSTITUTE(SUBSTITUTE(SUBSTITUTE(SUBSTITUTE(SUBSTITUTE(SUBSTITUTE(SUBSTITUTE(SUBSTITUTE(SUBSTITUTE(SUBSTITUTE(SUBSTITUTE(SUBSTITUTE(TRIM($L521),"'",""),"İ","I"),"ı","I"),"i","I"),"Ş","S"),"ş","S"),"Ğ","G"),"ğ","G"),"Ü","U"),"ü","U"),"Ö","O"),"ö","O"),"Ç","C"),"ç","C"),".",""),",","")," ",""),"-","")))</f>
        <v/>
      </c>
      <c r="T521" s="3">
        <f>IF(OR($C521="",$D521&lt;&gt;"Gelir",$L521=""),"",IFERROR(INDEX(MUSTERILER!$B$7:$B$106,MATCH($S521,MUSTERILER!$T$7:$T$106,0)),""))</f>
        <v/>
      </c>
      <c r="U521" s="3">
        <f>IF($T521="","",$T521&amp;"|"&amp;COUNTIFS($T$7:$T521,$T521))</f>
        <v/>
      </c>
      <c r="V521" s="3">
        <f>IF($T521="",0,1)</f>
        <v/>
      </c>
      <c r="W521" s="3">
        <f>IF($C521="","",$D521&amp;"|"&amp;$E521&amp;"|"&amp;TEXT($C521,"0")&amp;"|"&amp;TEXT($G521,"0")&amp;"|"&amp;$J521)</f>
        <v/>
      </c>
      <c r="X521" s="3" t="n"/>
      <c r="Y521" s="3" t="n"/>
      <c r="Z521" s="3" t="n"/>
      <c r="AA521" s="3" t="n"/>
      <c r="AB521" s="3" t="n"/>
      <c r="AC521" s="3" t="n"/>
      <c r="AD521" s="3">
        <f>IF($C521="",0,SUMPRODUCT((AY_SONU!$O$7:$O$42="Evet")*(AY_SONU!$B$7:$B$42=DATE(YEAR($C521),MONTH($C521),1))))</f>
        <v/>
      </c>
    </row>
    <row r="522">
      <c r="A522" s="6" t="n"/>
      <c r="B522" s="113">
        <f>IF($C522="","","GG"&amp;TEXT(ROW()-6,"00000"))</f>
        <v/>
      </c>
      <c r="C522" s="220" t="n"/>
      <c r="D522" s="108" t="n"/>
      <c r="E522" s="109" t="n"/>
      <c r="F522" s="109" t="n"/>
      <c r="G522" s="221" t="n"/>
      <c r="H522" s="108" t="n"/>
      <c r="I522" s="108" t="n"/>
      <c r="J522" s="109" t="n"/>
      <c r="K522" s="109" t="n"/>
      <c r="L522" s="108" t="n"/>
      <c r="M522" s="121">
        <f>IF($C522="","",IF($D522="Gider",$E522,IF($L522&lt;&gt;"",$L522,$H522)))</f>
        <v/>
      </c>
      <c r="N522" s="121">
        <f>IF($C522="","",IF($D522="Gider",$H522,$E522))</f>
        <v/>
      </c>
      <c r="O522" s="226">
        <f>IF($C522="","",DATE(YEAR($C522),MONTH($C522),1))</f>
        <v/>
      </c>
      <c r="P522" s="113">
        <f>IF($C522="","",IF(AND($D522="Gelir",$L522&lt;&gt;"",$T522=""),"TANIMSIZ BORÇLU",IF($T522&lt;&gt;"",IF(OR($E522="",$G522&lt;=0),"EKSİK",IF($I522="Evet","TAHAKKUK NAKİT OLAMAZ",IF($C522&gt;TODAY(),"İLERİ TARİH","TAHAKKUK"))),IF(AND($D522&lt;&gt;"",$E522&lt;&gt;"",$G522&gt;0,$H522&lt;&gt;"",$I522&lt;&gt;""),IF($C522&gt;TODAY(),"İLERİ TARİH",IF(COUNTIF($W$7:$W$1206,$W522)&gt;1,"MÜKERRER?",IF($AD522&gt;0,"KAPALI DÖNEM",IF($I522="Hayır","ÖDENECEK","UYGUN")))),"EKSİK"))))</f>
        <v/>
      </c>
      <c r="Q522" s="6" t="n"/>
      <c r="R522" s="6" t="n"/>
      <c r="S522" s="3">
        <f>IF($L522="","",UPPER(SUBSTITUTE(SUBSTITUTE(SUBSTITUTE(SUBSTITUTE(SUBSTITUTE(SUBSTITUTE(SUBSTITUTE(SUBSTITUTE(SUBSTITUTE(SUBSTITUTE(SUBSTITUTE(SUBSTITUTE(SUBSTITUTE(SUBSTITUTE(SUBSTITUTE(SUBSTITUTE(SUBSTITUTE(SUBSTITUTE(TRIM($L522),"'",""),"İ","I"),"ı","I"),"i","I"),"Ş","S"),"ş","S"),"Ğ","G"),"ğ","G"),"Ü","U"),"ü","U"),"Ö","O"),"ö","O"),"Ç","C"),"ç","C"),".",""),",","")," ",""),"-","")))</f>
        <v/>
      </c>
      <c r="T522" s="3">
        <f>IF(OR($C522="",$D522&lt;&gt;"Gelir",$L522=""),"",IFERROR(INDEX(MUSTERILER!$B$7:$B$106,MATCH($S522,MUSTERILER!$T$7:$T$106,0)),""))</f>
        <v/>
      </c>
      <c r="U522" s="3">
        <f>IF($T522="","",$T522&amp;"|"&amp;COUNTIFS($T$7:$T522,$T522))</f>
        <v/>
      </c>
      <c r="V522" s="3">
        <f>IF($T522="",0,1)</f>
        <v/>
      </c>
      <c r="W522" s="3">
        <f>IF($C522="","",$D522&amp;"|"&amp;$E522&amp;"|"&amp;TEXT($C522,"0")&amp;"|"&amp;TEXT($G522,"0")&amp;"|"&amp;$J522)</f>
        <v/>
      </c>
      <c r="X522" s="3" t="n"/>
      <c r="Y522" s="3" t="n"/>
      <c r="Z522" s="3" t="n"/>
      <c r="AA522" s="3" t="n"/>
      <c r="AB522" s="3" t="n"/>
      <c r="AC522" s="3" t="n"/>
      <c r="AD522" s="3">
        <f>IF($C522="",0,SUMPRODUCT((AY_SONU!$O$7:$O$42="Evet")*(AY_SONU!$B$7:$B$42=DATE(YEAR($C522),MONTH($C522),1))))</f>
        <v/>
      </c>
    </row>
    <row r="523">
      <c r="A523" s="6" t="n"/>
      <c r="B523" s="113">
        <f>IF($C523="","","GG"&amp;TEXT(ROW()-6,"00000"))</f>
        <v/>
      </c>
      <c r="C523" s="220" t="n"/>
      <c r="D523" s="108" t="n"/>
      <c r="E523" s="109" t="n"/>
      <c r="F523" s="109" t="n"/>
      <c r="G523" s="221" t="n"/>
      <c r="H523" s="108" t="n"/>
      <c r="I523" s="108" t="n"/>
      <c r="J523" s="109" t="n"/>
      <c r="K523" s="109" t="n"/>
      <c r="L523" s="108" t="n"/>
      <c r="M523" s="121">
        <f>IF($C523="","",IF($D523="Gider",$E523,IF($L523&lt;&gt;"",$L523,$H523)))</f>
        <v/>
      </c>
      <c r="N523" s="121">
        <f>IF($C523="","",IF($D523="Gider",$H523,$E523))</f>
        <v/>
      </c>
      <c r="O523" s="226">
        <f>IF($C523="","",DATE(YEAR($C523),MONTH($C523),1))</f>
        <v/>
      </c>
      <c r="P523" s="113">
        <f>IF($C523="","",IF(AND($D523="Gelir",$L523&lt;&gt;"",$T523=""),"TANIMSIZ BORÇLU",IF($T523&lt;&gt;"",IF(OR($E523="",$G523&lt;=0),"EKSİK",IF($I523="Evet","TAHAKKUK NAKİT OLAMAZ",IF($C523&gt;TODAY(),"İLERİ TARİH","TAHAKKUK"))),IF(AND($D523&lt;&gt;"",$E523&lt;&gt;"",$G523&gt;0,$H523&lt;&gt;"",$I523&lt;&gt;""),IF($C523&gt;TODAY(),"İLERİ TARİH",IF(COUNTIF($W$7:$W$1206,$W523)&gt;1,"MÜKERRER?",IF($AD523&gt;0,"KAPALI DÖNEM",IF($I523="Hayır","ÖDENECEK","UYGUN")))),"EKSİK"))))</f>
        <v/>
      </c>
      <c r="Q523" s="6" t="n"/>
      <c r="R523" s="6" t="n"/>
      <c r="S523" s="3">
        <f>IF($L523="","",UPPER(SUBSTITUTE(SUBSTITUTE(SUBSTITUTE(SUBSTITUTE(SUBSTITUTE(SUBSTITUTE(SUBSTITUTE(SUBSTITUTE(SUBSTITUTE(SUBSTITUTE(SUBSTITUTE(SUBSTITUTE(SUBSTITUTE(SUBSTITUTE(SUBSTITUTE(SUBSTITUTE(SUBSTITUTE(SUBSTITUTE(TRIM($L523),"'",""),"İ","I"),"ı","I"),"i","I"),"Ş","S"),"ş","S"),"Ğ","G"),"ğ","G"),"Ü","U"),"ü","U"),"Ö","O"),"ö","O"),"Ç","C"),"ç","C"),".",""),",","")," ",""),"-","")))</f>
        <v/>
      </c>
      <c r="T523" s="3">
        <f>IF(OR($C523="",$D523&lt;&gt;"Gelir",$L523=""),"",IFERROR(INDEX(MUSTERILER!$B$7:$B$106,MATCH($S523,MUSTERILER!$T$7:$T$106,0)),""))</f>
        <v/>
      </c>
      <c r="U523" s="3">
        <f>IF($T523="","",$T523&amp;"|"&amp;COUNTIFS($T$7:$T523,$T523))</f>
        <v/>
      </c>
      <c r="V523" s="3">
        <f>IF($T523="",0,1)</f>
        <v/>
      </c>
      <c r="W523" s="3">
        <f>IF($C523="","",$D523&amp;"|"&amp;$E523&amp;"|"&amp;TEXT($C523,"0")&amp;"|"&amp;TEXT($G523,"0")&amp;"|"&amp;$J523)</f>
        <v/>
      </c>
      <c r="X523" s="3" t="n"/>
      <c r="Y523" s="3" t="n"/>
      <c r="Z523" s="3" t="n"/>
      <c r="AA523" s="3" t="n"/>
      <c r="AB523" s="3" t="n"/>
      <c r="AC523" s="3" t="n"/>
      <c r="AD523" s="3">
        <f>IF($C523="",0,SUMPRODUCT((AY_SONU!$O$7:$O$42="Evet")*(AY_SONU!$B$7:$B$42=DATE(YEAR($C523),MONTH($C523),1))))</f>
        <v/>
      </c>
    </row>
    <row r="524">
      <c r="A524" s="6" t="n"/>
      <c r="B524" s="113">
        <f>IF($C524="","","GG"&amp;TEXT(ROW()-6,"00000"))</f>
        <v/>
      </c>
      <c r="C524" s="220" t="n"/>
      <c r="D524" s="108" t="n"/>
      <c r="E524" s="109" t="n"/>
      <c r="F524" s="109" t="n"/>
      <c r="G524" s="221" t="n"/>
      <c r="H524" s="108" t="n"/>
      <c r="I524" s="108" t="n"/>
      <c r="J524" s="109" t="n"/>
      <c r="K524" s="109" t="n"/>
      <c r="L524" s="108" t="n"/>
      <c r="M524" s="121">
        <f>IF($C524="","",IF($D524="Gider",$E524,IF($L524&lt;&gt;"",$L524,$H524)))</f>
        <v/>
      </c>
      <c r="N524" s="121">
        <f>IF($C524="","",IF($D524="Gider",$H524,$E524))</f>
        <v/>
      </c>
      <c r="O524" s="226">
        <f>IF($C524="","",DATE(YEAR($C524),MONTH($C524),1))</f>
        <v/>
      </c>
      <c r="P524" s="113">
        <f>IF($C524="","",IF(AND($D524="Gelir",$L524&lt;&gt;"",$T524=""),"TANIMSIZ BORÇLU",IF($T524&lt;&gt;"",IF(OR($E524="",$G524&lt;=0),"EKSİK",IF($I524="Evet","TAHAKKUK NAKİT OLAMAZ",IF($C524&gt;TODAY(),"İLERİ TARİH","TAHAKKUK"))),IF(AND($D524&lt;&gt;"",$E524&lt;&gt;"",$G524&gt;0,$H524&lt;&gt;"",$I524&lt;&gt;""),IF($C524&gt;TODAY(),"İLERİ TARİH",IF(COUNTIF($W$7:$W$1206,$W524)&gt;1,"MÜKERRER?",IF($AD524&gt;0,"KAPALI DÖNEM",IF($I524="Hayır","ÖDENECEK","UYGUN")))),"EKSİK"))))</f>
        <v/>
      </c>
      <c r="Q524" s="6" t="n"/>
      <c r="R524" s="6" t="n"/>
      <c r="S524" s="3">
        <f>IF($L524="","",UPPER(SUBSTITUTE(SUBSTITUTE(SUBSTITUTE(SUBSTITUTE(SUBSTITUTE(SUBSTITUTE(SUBSTITUTE(SUBSTITUTE(SUBSTITUTE(SUBSTITUTE(SUBSTITUTE(SUBSTITUTE(SUBSTITUTE(SUBSTITUTE(SUBSTITUTE(SUBSTITUTE(SUBSTITUTE(SUBSTITUTE(TRIM($L524),"'",""),"İ","I"),"ı","I"),"i","I"),"Ş","S"),"ş","S"),"Ğ","G"),"ğ","G"),"Ü","U"),"ü","U"),"Ö","O"),"ö","O"),"Ç","C"),"ç","C"),".",""),",","")," ",""),"-","")))</f>
        <v/>
      </c>
      <c r="T524" s="3">
        <f>IF(OR($C524="",$D524&lt;&gt;"Gelir",$L524=""),"",IFERROR(INDEX(MUSTERILER!$B$7:$B$106,MATCH($S524,MUSTERILER!$T$7:$T$106,0)),""))</f>
        <v/>
      </c>
      <c r="U524" s="3">
        <f>IF($T524="","",$T524&amp;"|"&amp;COUNTIFS($T$7:$T524,$T524))</f>
        <v/>
      </c>
      <c r="V524" s="3">
        <f>IF($T524="",0,1)</f>
        <v/>
      </c>
      <c r="W524" s="3">
        <f>IF($C524="","",$D524&amp;"|"&amp;$E524&amp;"|"&amp;TEXT($C524,"0")&amp;"|"&amp;TEXT($G524,"0")&amp;"|"&amp;$J524)</f>
        <v/>
      </c>
      <c r="X524" s="3" t="n"/>
      <c r="Y524" s="3" t="n"/>
      <c r="Z524" s="3" t="n"/>
      <c r="AA524" s="3" t="n"/>
      <c r="AB524" s="3" t="n"/>
      <c r="AC524" s="3" t="n"/>
      <c r="AD524" s="3">
        <f>IF($C524="",0,SUMPRODUCT((AY_SONU!$O$7:$O$42="Evet")*(AY_SONU!$B$7:$B$42=DATE(YEAR($C524),MONTH($C524),1))))</f>
        <v/>
      </c>
    </row>
    <row r="525">
      <c r="A525" s="6" t="n"/>
      <c r="B525" s="113">
        <f>IF($C525="","","GG"&amp;TEXT(ROW()-6,"00000"))</f>
        <v/>
      </c>
      <c r="C525" s="220" t="n"/>
      <c r="D525" s="108" t="n"/>
      <c r="E525" s="109" t="n"/>
      <c r="F525" s="109" t="n"/>
      <c r="G525" s="221" t="n"/>
      <c r="H525" s="108" t="n"/>
      <c r="I525" s="108" t="n"/>
      <c r="J525" s="109" t="n"/>
      <c r="K525" s="109" t="n"/>
      <c r="L525" s="108" t="n"/>
      <c r="M525" s="121">
        <f>IF($C525="","",IF($D525="Gider",$E525,IF($L525&lt;&gt;"",$L525,$H525)))</f>
        <v/>
      </c>
      <c r="N525" s="121">
        <f>IF($C525="","",IF($D525="Gider",$H525,$E525))</f>
        <v/>
      </c>
      <c r="O525" s="226">
        <f>IF($C525="","",DATE(YEAR($C525),MONTH($C525),1))</f>
        <v/>
      </c>
      <c r="P525" s="113">
        <f>IF($C525="","",IF(AND($D525="Gelir",$L525&lt;&gt;"",$T525=""),"TANIMSIZ BORÇLU",IF($T525&lt;&gt;"",IF(OR($E525="",$G525&lt;=0),"EKSİK",IF($I525="Evet","TAHAKKUK NAKİT OLAMAZ",IF($C525&gt;TODAY(),"İLERİ TARİH","TAHAKKUK"))),IF(AND($D525&lt;&gt;"",$E525&lt;&gt;"",$G525&gt;0,$H525&lt;&gt;"",$I525&lt;&gt;""),IF($C525&gt;TODAY(),"İLERİ TARİH",IF(COUNTIF($W$7:$W$1206,$W525)&gt;1,"MÜKERRER?",IF($AD525&gt;0,"KAPALI DÖNEM",IF($I525="Hayır","ÖDENECEK","UYGUN")))),"EKSİK"))))</f>
        <v/>
      </c>
      <c r="Q525" s="6" t="n"/>
      <c r="R525" s="6" t="n"/>
      <c r="S525" s="3">
        <f>IF($L525="","",UPPER(SUBSTITUTE(SUBSTITUTE(SUBSTITUTE(SUBSTITUTE(SUBSTITUTE(SUBSTITUTE(SUBSTITUTE(SUBSTITUTE(SUBSTITUTE(SUBSTITUTE(SUBSTITUTE(SUBSTITUTE(SUBSTITUTE(SUBSTITUTE(SUBSTITUTE(SUBSTITUTE(SUBSTITUTE(SUBSTITUTE(TRIM($L525),"'",""),"İ","I"),"ı","I"),"i","I"),"Ş","S"),"ş","S"),"Ğ","G"),"ğ","G"),"Ü","U"),"ü","U"),"Ö","O"),"ö","O"),"Ç","C"),"ç","C"),".",""),",","")," ",""),"-","")))</f>
        <v/>
      </c>
      <c r="T525" s="3">
        <f>IF(OR($C525="",$D525&lt;&gt;"Gelir",$L525=""),"",IFERROR(INDEX(MUSTERILER!$B$7:$B$106,MATCH($S525,MUSTERILER!$T$7:$T$106,0)),""))</f>
        <v/>
      </c>
      <c r="U525" s="3">
        <f>IF($T525="","",$T525&amp;"|"&amp;COUNTIFS($T$7:$T525,$T525))</f>
        <v/>
      </c>
      <c r="V525" s="3">
        <f>IF($T525="",0,1)</f>
        <v/>
      </c>
      <c r="W525" s="3">
        <f>IF($C525="","",$D525&amp;"|"&amp;$E525&amp;"|"&amp;TEXT($C525,"0")&amp;"|"&amp;TEXT($G525,"0")&amp;"|"&amp;$J525)</f>
        <v/>
      </c>
      <c r="X525" s="3" t="n"/>
      <c r="Y525" s="3" t="n"/>
      <c r="Z525" s="3" t="n"/>
      <c r="AA525" s="3" t="n"/>
      <c r="AB525" s="3" t="n"/>
      <c r="AC525" s="3" t="n"/>
      <c r="AD525" s="3">
        <f>IF($C525="",0,SUMPRODUCT((AY_SONU!$O$7:$O$42="Evet")*(AY_SONU!$B$7:$B$42=DATE(YEAR($C525),MONTH($C525),1))))</f>
        <v/>
      </c>
    </row>
    <row r="526">
      <c r="A526" s="6" t="n"/>
      <c r="B526" s="113">
        <f>IF($C526="","","GG"&amp;TEXT(ROW()-6,"00000"))</f>
        <v/>
      </c>
      <c r="C526" s="220" t="n"/>
      <c r="D526" s="108" t="n"/>
      <c r="E526" s="109" t="n"/>
      <c r="F526" s="109" t="n"/>
      <c r="G526" s="221" t="n"/>
      <c r="H526" s="108" t="n"/>
      <c r="I526" s="108" t="n"/>
      <c r="J526" s="109" t="n"/>
      <c r="K526" s="109" t="n"/>
      <c r="L526" s="108" t="n"/>
      <c r="M526" s="121">
        <f>IF($C526="","",IF($D526="Gider",$E526,IF($L526&lt;&gt;"",$L526,$H526)))</f>
        <v/>
      </c>
      <c r="N526" s="121">
        <f>IF($C526="","",IF($D526="Gider",$H526,$E526))</f>
        <v/>
      </c>
      <c r="O526" s="226">
        <f>IF($C526="","",DATE(YEAR($C526),MONTH($C526),1))</f>
        <v/>
      </c>
      <c r="P526" s="113">
        <f>IF($C526="","",IF(AND($D526="Gelir",$L526&lt;&gt;"",$T526=""),"TANIMSIZ BORÇLU",IF($T526&lt;&gt;"",IF(OR($E526="",$G526&lt;=0),"EKSİK",IF($I526="Evet","TAHAKKUK NAKİT OLAMAZ",IF($C526&gt;TODAY(),"İLERİ TARİH","TAHAKKUK"))),IF(AND($D526&lt;&gt;"",$E526&lt;&gt;"",$G526&gt;0,$H526&lt;&gt;"",$I526&lt;&gt;""),IF($C526&gt;TODAY(),"İLERİ TARİH",IF(COUNTIF($W$7:$W$1206,$W526)&gt;1,"MÜKERRER?",IF($AD526&gt;0,"KAPALI DÖNEM",IF($I526="Hayır","ÖDENECEK","UYGUN")))),"EKSİK"))))</f>
        <v/>
      </c>
      <c r="Q526" s="6" t="n"/>
      <c r="R526" s="6" t="n"/>
      <c r="S526" s="3">
        <f>IF($L526="","",UPPER(SUBSTITUTE(SUBSTITUTE(SUBSTITUTE(SUBSTITUTE(SUBSTITUTE(SUBSTITUTE(SUBSTITUTE(SUBSTITUTE(SUBSTITUTE(SUBSTITUTE(SUBSTITUTE(SUBSTITUTE(SUBSTITUTE(SUBSTITUTE(SUBSTITUTE(SUBSTITUTE(SUBSTITUTE(SUBSTITUTE(TRIM($L526),"'",""),"İ","I"),"ı","I"),"i","I"),"Ş","S"),"ş","S"),"Ğ","G"),"ğ","G"),"Ü","U"),"ü","U"),"Ö","O"),"ö","O"),"Ç","C"),"ç","C"),".",""),",","")," ",""),"-","")))</f>
        <v/>
      </c>
      <c r="T526" s="3">
        <f>IF(OR($C526="",$D526&lt;&gt;"Gelir",$L526=""),"",IFERROR(INDEX(MUSTERILER!$B$7:$B$106,MATCH($S526,MUSTERILER!$T$7:$T$106,0)),""))</f>
        <v/>
      </c>
      <c r="U526" s="3">
        <f>IF($T526="","",$T526&amp;"|"&amp;COUNTIFS($T$7:$T526,$T526))</f>
        <v/>
      </c>
      <c r="V526" s="3">
        <f>IF($T526="",0,1)</f>
        <v/>
      </c>
      <c r="W526" s="3">
        <f>IF($C526="","",$D526&amp;"|"&amp;$E526&amp;"|"&amp;TEXT($C526,"0")&amp;"|"&amp;TEXT($G526,"0")&amp;"|"&amp;$J526)</f>
        <v/>
      </c>
      <c r="X526" s="3" t="n"/>
      <c r="Y526" s="3" t="n"/>
      <c r="Z526" s="3" t="n"/>
      <c r="AA526" s="3" t="n"/>
      <c r="AB526" s="3" t="n"/>
      <c r="AC526" s="3" t="n"/>
      <c r="AD526" s="3">
        <f>IF($C526="",0,SUMPRODUCT((AY_SONU!$O$7:$O$42="Evet")*(AY_SONU!$B$7:$B$42=DATE(YEAR($C526),MONTH($C526),1))))</f>
        <v/>
      </c>
    </row>
    <row r="527">
      <c r="A527" s="6" t="n"/>
      <c r="B527" s="113">
        <f>IF($C527="","","GG"&amp;TEXT(ROW()-6,"00000"))</f>
        <v/>
      </c>
      <c r="C527" s="220" t="n"/>
      <c r="D527" s="108" t="n"/>
      <c r="E527" s="109" t="n"/>
      <c r="F527" s="109" t="n"/>
      <c r="G527" s="221" t="n"/>
      <c r="H527" s="108" t="n"/>
      <c r="I527" s="108" t="n"/>
      <c r="J527" s="109" t="n"/>
      <c r="K527" s="109" t="n"/>
      <c r="L527" s="108" t="n"/>
      <c r="M527" s="121">
        <f>IF($C527="","",IF($D527="Gider",$E527,IF($L527&lt;&gt;"",$L527,$H527)))</f>
        <v/>
      </c>
      <c r="N527" s="121">
        <f>IF($C527="","",IF($D527="Gider",$H527,$E527))</f>
        <v/>
      </c>
      <c r="O527" s="226">
        <f>IF($C527="","",DATE(YEAR($C527),MONTH($C527),1))</f>
        <v/>
      </c>
      <c r="P527" s="113">
        <f>IF($C527="","",IF(AND($D527="Gelir",$L527&lt;&gt;"",$T527=""),"TANIMSIZ BORÇLU",IF($T527&lt;&gt;"",IF(OR($E527="",$G527&lt;=0),"EKSİK",IF($I527="Evet","TAHAKKUK NAKİT OLAMAZ",IF($C527&gt;TODAY(),"İLERİ TARİH","TAHAKKUK"))),IF(AND($D527&lt;&gt;"",$E527&lt;&gt;"",$G527&gt;0,$H527&lt;&gt;"",$I527&lt;&gt;""),IF($C527&gt;TODAY(),"İLERİ TARİH",IF(COUNTIF($W$7:$W$1206,$W527)&gt;1,"MÜKERRER?",IF($AD527&gt;0,"KAPALI DÖNEM",IF($I527="Hayır","ÖDENECEK","UYGUN")))),"EKSİK"))))</f>
        <v/>
      </c>
      <c r="Q527" s="6" t="n"/>
      <c r="R527" s="6" t="n"/>
      <c r="S527" s="3">
        <f>IF($L527="","",UPPER(SUBSTITUTE(SUBSTITUTE(SUBSTITUTE(SUBSTITUTE(SUBSTITUTE(SUBSTITUTE(SUBSTITUTE(SUBSTITUTE(SUBSTITUTE(SUBSTITUTE(SUBSTITUTE(SUBSTITUTE(SUBSTITUTE(SUBSTITUTE(SUBSTITUTE(SUBSTITUTE(SUBSTITUTE(SUBSTITUTE(TRIM($L527),"'",""),"İ","I"),"ı","I"),"i","I"),"Ş","S"),"ş","S"),"Ğ","G"),"ğ","G"),"Ü","U"),"ü","U"),"Ö","O"),"ö","O"),"Ç","C"),"ç","C"),".",""),",","")," ",""),"-","")))</f>
        <v/>
      </c>
      <c r="T527" s="3">
        <f>IF(OR($C527="",$D527&lt;&gt;"Gelir",$L527=""),"",IFERROR(INDEX(MUSTERILER!$B$7:$B$106,MATCH($S527,MUSTERILER!$T$7:$T$106,0)),""))</f>
        <v/>
      </c>
      <c r="U527" s="3">
        <f>IF($T527="","",$T527&amp;"|"&amp;COUNTIFS($T$7:$T527,$T527))</f>
        <v/>
      </c>
      <c r="V527" s="3">
        <f>IF($T527="",0,1)</f>
        <v/>
      </c>
      <c r="W527" s="3">
        <f>IF($C527="","",$D527&amp;"|"&amp;$E527&amp;"|"&amp;TEXT($C527,"0")&amp;"|"&amp;TEXT($G527,"0")&amp;"|"&amp;$J527)</f>
        <v/>
      </c>
      <c r="X527" s="3" t="n"/>
      <c r="Y527" s="3" t="n"/>
      <c r="Z527" s="3" t="n"/>
      <c r="AA527" s="3" t="n"/>
      <c r="AB527" s="3" t="n"/>
      <c r="AC527" s="3" t="n"/>
      <c r="AD527" s="3">
        <f>IF($C527="",0,SUMPRODUCT((AY_SONU!$O$7:$O$42="Evet")*(AY_SONU!$B$7:$B$42=DATE(YEAR($C527),MONTH($C527),1))))</f>
        <v/>
      </c>
    </row>
    <row r="528">
      <c r="A528" s="6" t="n"/>
      <c r="B528" s="113">
        <f>IF($C528="","","GG"&amp;TEXT(ROW()-6,"00000"))</f>
        <v/>
      </c>
      <c r="C528" s="220" t="n"/>
      <c r="D528" s="108" t="n"/>
      <c r="E528" s="109" t="n"/>
      <c r="F528" s="109" t="n"/>
      <c r="G528" s="221" t="n"/>
      <c r="H528" s="108" t="n"/>
      <c r="I528" s="108" t="n"/>
      <c r="J528" s="109" t="n"/>
      <c r="K528" s="109" t="n"/>
      <c r="L528" s="108" t="n"/>
      <c r="M528" s="121">
        <f>IF($C528="","",IF($D528="Gider",$E528,IF($L528&lt;&gt;"",$L528,$H528)))</f>
        <v/>
      </c>
      <c r="N528" s="121">
        <f>IF($C528="","",IF($D528="Gider",$H528,$E528))</f>
        <v/>
      </c>
      <c r="O528" s="226">
        <f>IF($C528="","",DATE(YEAR($C528),MONTH($C528),1))</f>
        <v/>
      </c>
      <c r="P528" s="113">
        <f>IF($C528="","",IF(AND($D528="Gelir",$L528&lt;&gt;"",$T528=""),"TANIMSIZ BORÇLU",IF($T528&lt;&gt;"",IF(OR($E528="",$G528&lt;=0),"EKSİK",IF($I528="Evet","TAHAKKUK NAKİT OLAMAZ",IF($C528&gt;TODAY(),"İLERİ TARİH","TAHAKKUK"))),IF(AND($D528&lt;&gt;"",$E528&lt;&gt;"",$G528&gt;0,$H528&lt;&gt;"",$I528&lt;&gt;""),IF($C528&gt;TODAY(),"İLERİ TARİH",IF(COUNTIF($W$7:$W$1206,$W528)&gt;1,"MÜKERRER?",IF($AD528&gt;0,"KAPALI DÖNEM",IF($I528="Hayır","ÖDENECEK","UYGUN")))),"EKSİK"))))</f>
        <v/>
      </c>
      <c r="Q528" s="6" t="n"/>
      <c r="R528" s="6" t="n"/>
      <c r="S528" s="3">
        <f>IF($L528="","",UPPER(SUBSTITUTE(SUBSTITUTE(SUBSTITUTE(SUBSTITUTE(SUBSTITUTE(SUBSTITUTE(SUBSTITUTE(SUBSTITUTE(SUBSTITUTE(SUBSTITUTE(SUBSTITUTE(SUBSTITUTE(SUBSTITUTE(SUBSTITUTE(SUBSTITUTE(SUBSTITUTE(SUBSTITUTE(SUBSTITUTE(TRIM($L528),"'",""),"İ","I"),"ı","I"),"i","I"),"Ş","S"),"ş","S"),"Ğ","G"),"ğ","G"),"Ü","U"),"ü","U"),"Ö","O"),"ö","O"),"Ç","C"),"ç","C"),".",""),",","")," ",""),"-","")))</f>
        <v/>
      </c>
      <c r="T528" s="3">
        <f>IF(OR($C528="",$D528&lt;&gt;"Gelir",$L528=""),"",IFERROR(INDEX(MUSTERILER!$B$7:$B$106,MATCH($S528,MUSTERILER!$T$7:$T$106,0)),""))</f>
        <v/>
      </c>
      <c r="U528" s="3">
        <f>IF($T528="","",$T528&amp;"|"&amp;COUNTIFS($T$7:$T528,$T528))</f>
        <v/>
      </c>
      <c r="V528" s="3">
        <f>IF($T528="",0,1)</f>
        <v/>
      </c>
      <c r="W528" s="3">
        <f>IF($C528="","",$D528&amp;"|"&amp;$E528&amp;"|"&amp;TEXT($C528,"0")&amp;"|"&amp;TEXT($G528,"0")&amp;"|"&amp;$J528)</f>
        <v/>
      </c>
      <c r="X528" s="3" t="n"/>
      <c r="Y528" s="3" t="n"/>
      <c r="Z528" s="3" t="n"/>
      <c r="AA528" s="3" t="n"/>
      <c r="AB528" s="3" t="n"/>
      <c r="AC528" s="3" t="n"/>
      <c r="AD528" s="3">
        <f>IF($C528="",0,SUMPRODUCT((AY_SONU!$O$7:$O$42="Evet")*(AY_SONU!$B$7:$B$42=DATE(YEAR($C528),MONTH($C528),1))))</f>
        <v/>
      </c>
    </row>
    <row r="529">
      <c r="A529" s="6" t="n"/>
      <c r="B529" s="113">
        <f>IF($C529="","","GG"&amp;TEXT(ROW()-6,"00000"))</f>
        <v/>
      </c>
      <c r="C529" s="220" t="n"/>
      <c r="D529" s="108" t="n"/>
      <c r="E529" s="109" t="n"/>
      <c r="F529" s="109" t="n"/>
      <c r="G529" s="221" t="n"/>
      <c r="H529" s="108" t="n"/>
      <c r="I529" s="108" t="n"/>
      <c r="J529" s="109" t="n"/>
      <c r="K529" s="109" t="n"/>
      <c r="L529" s="108" t="n"/>
      <c r="M529" s="121">
        <f>IF($C529="","",IF($D529="Gider",$E529,IF($L529&lt;&gt;"",$L529,$H529)))</f>
        <v/>
      </c>
      <c r="N529" s="121">
        <f>IF($C529="","",IF($D529="Gider",$H529,$E529))</f>
        <v/>
      </c>
      <c r="O529" s="226">
        <f>IF($C529="","",DATE(YEAR($C529),MONTH($C529),1))</f>
        <v/>
      </c>
      <c r="P529" s="113">
        <f>IF($C529="","",IF(AND($D529="Gelir",$L529&lt;&gt;"",$T529=""),"TANIMSIZ BORÇLU",IF($T529&lt;&gt;"",IF(OR($E529="",$G529&lt;=0),"EKSİK",IF($I529="Evet","TAHAKKUK NAKİT OLAMAZ",IF($C529&gt;TODAY(),"İLERİ TARİH","TAHAKKUK"))),IF(AND($D529&lt;&gt;"",$E529&lt;&gt;"",$G529&gt;0,$H529&lt;&gt;"",$I529&lt;&gt;""),IF($C529&gt;TODAY(),"İLERİ TARİH",IF(COUNTIF($W$7:$W$1206,$W529)&gt;1,"MÜKERRER?",IF($AD529&gt;0,"KAPALI DÖNEM",IF($I529="Hayır","ÖDENECEK","UYGUN")))),"EKSİK"))))</f>
        <v/>
      </c>
      <c r="Q529" s="6" t="n"/>
      <c r="R529" s="6" t="n"/>
      <c r="S529" s="3">
        <f>IF($L529="","",UPPER(SUBSTITUTE(SUBSTITUTE(SUBSTITUTE(SUBSTITUTE(SUBSTITUTE(SUBSTITUTE(SUBSTITUTE(SUBSTITUTE(SUBSTITUTE(SUBSTITUTE(SUBSTITUTE(SUBSTITUTE(SUBSTITUTE(SUBSTITUTE(SUBSTITUTE(SUBSTITUTE(SUBSTITUTE(SUBSTITUTE(TRIM($L529),"'",""),"İ","I"),"ı","I"),"i","I"),"Ş","S"),"ş","S"),"Ğ","G"),"ğ","G"),"Ü","U"),"ü","U"),"Ö","O"),"ö","O"),"Ç","C"),"ç","C"),".",""),",","")," ",""),"-","")))</f>
        <v/>
      </c>
      <c r="T529" s="3">
        <f>IF(OR($C529="",$D529&lt;&gt;"Gelir",$L529=""),"",IFERROR(INDEX(MUSTERILER!$B$7:$B$106,MATCH($S529,MUSTERILER!$T$7:$T$106,0)),""))</f>
        <v/>
      </c>
      <c r="U529" s="3">
        <f>IF($T529="","",$T529&amp;"|"&amp;COUNTIFS($T$7:$T529,$T529))</f>
        <v/>
      </c>
      <c r="V529" s="3">
        <f>IF($T529="",0,1)</f>
        <v/>
      </c>
      <c r="W529" s="3">
        <f>IF($C529="","",$D529&amp;"|"&amp;$E529&amp;"|"&amp;TEXT($C529,"0")&amp;"|"&amp;TEXT($G529,"0")&amp;"|"&amp;$J529)</f>
        <v/>
      </c>
      <c r="X529" s="3" t="n"/>
      <c r="Y529" s="3" t="n"/>
      <c r="Z529" s="3" t="n"/>
      <c r="AA529" s="3" t="n"/>
      <c r="AB529" s="3" t="n"/>
      <c r="AC529" s="3" t="n"/>
      <c r="AD529" s="3">
        <f>IF($C529="",0,SUMPRODUCT((AY_SONU!$O$7:$O$42="Evet")*(AY_SONU!$B$7:$B$42=DATE(YEAR($C529),MONTH($C529),1))))</f>
        <v/>
      </c>
    </row>
    <row r="530">
      <c r="A530" s="6" t="n"/>
      <c r="B530" s="113">
        <f>IF($C530="","","GG"&amp;TEXT(ROW()-6,"00000"))</f>
        <v/>
      </c>
      <c r="C530" s="220" t="n"/>
      <c r="D530" s="108" t="n"/>
      <c r="E530" s="109" t="n"/>
      <c r="F530" s="109" t="n"/>
      <c r="G530" s="221" t="n"/>
      <c r="H530" s="108" t="n"/>
      <c r="I530" s="108" t="n"/>
      <c r="J530" s="109" t="n"/>
      <c r="K530" s="109" t="n"/>
      <c r="L530" s="108" t="n"/>
      <c r="M530" s="121">
        <f>IF($C530="","",IF($D530="Gider",$E530,IF($L530&lt;&gt;"",$L530,$H530)))</f>
        <v/>
      </c>
      <c r="N530" s="121">
        <f>IF($C530="","",IF($D530="Gider",$H530,$E530))</f>
        <v/>
      </c>
      <c r="O530" s="226">
        <f>IF($C530="","",DATE(YEAR($C530),MONTH($C530),1))</f>
        <v/>
      </c>
      <c r="P530" s="113">
        <f>IF($C530="","",IF(AND($D530="Gelir",$L530&lt;&gt;"",$T530=""),"TANIMSIZ BORÇLU",IF($T530&lt;&gt;"",IF(OR($E530="",$G530&lt;=0),"EKSİK",IF($I530="Evet","TAHAKKUK NAKİT OLAMAZ",IF($C530&gt;TODAY(),"İLERİ TARİH","TAHAKKUK"))),IF(AND($D530&lt;&gt;"",$E530&lt;&gt;"",$G530&gt;0,$H530&lt;&gt;"",$I530&lt;&gt;""),IF($C530&gt;TODAY(),"İLERİ TARİH",IF(COUNTIF($W$7:$W$1206,$W530)&gt;1,"MÜKERRER?",IF($AD530&gt;0,"KAPALI DÖNEM",IF($I530="Hayır","ÖDENECEK","UYGUN")))),"EKSİK"))))</f>
        <v/>
      </c>
      <c r="Q530" s="6" t="n"/>
      <c r="R530" s="6" t="n"/>
      <c r="S530" s="3">
        <f>IF($L530="","",UPPER(SUBSTITUTE(SUBSTITUTE(SUBSTITUTE(SUBSTITUTE(SUBSTITUTE(SUBSTITUTE(SUBSTITUTE(SUBSTITUTE(SUBSTITUTE(SUBSTITUTE(SUBSTITUTE(SUBSTITUTE(SUBSTITUTE(SUBSTITUTE(SUBSTITUTE(SUBSTITUTE(SUBSTITUTE(SUBSTITUTE(TRIM($L530),"'",""),"İ","I"),"ı","I"),"i","I"),"Ş","S"),"ş","S"),"Ğ","G"),"ğ","G"),"Ü","U"),"ü","U"),"Ö","O"),"ö","O"),"Ç","C"),"ç","C"),".",""),",","")," ",""),"-","")))</f>
        <v/>
      </c>
      <c r="T530" s="3">
        <f>IF(OR($C530="",$D530&lt;&gt;"Gelir",$L530=""),"",IFERROR(INDEX(MUSTERILER!$B$7:$B$106,MATCH($S530,MUSTERILER!$T$7:$T$106,0)),""))</f>
        <v/>
      </c>
      <c r="U530" s="3">
        <f>IF($T530="","",$T530&amp;"|"&amp;COUNTIFS($T$7:$T530,$T530))</f>
        <v/>
      </c>
      <c r="V530" s="3">
        <f>IF($T530="",0,1)</f>
        <v/>
      </c>
      <c r="W530" s="3">
        <f>IF($C530="","",$D530&amp;"|"&amp;$E530&amp;"|"&amp;TEXT($C530,"0")&amp;"|"&amp;TEXT($G530,"0")&amp;"|"&amp;$J530)</f>
        <v/>
      </c>
      <c r="X530" s="3" t="n"/>
      <c r="Y530" s="3" t="n"/>
      <c r="Z530" s="3" t="n"/>
      <c r="AA530" s="3" t="n"/>
      <c r="AB530" s="3" t="n"/>
      <c r="AC530" s="3" t="n"/>
      <c r="AD530" s="3">
        <f>IF($C530="",0,SUMPRODUCT((AY_SONU!$O$7:$O$42="Evet")*(AY_SONU!$B$7:$B$42=DATE(YEAR($C530),MONTH($C530),1))))</f>
        <v/>
      </c>
    </row>
    <row r="531">
      <c r="A531" s="6" t="n"/>
      <c r="B531" s="113">
        <f>IF($C531="","","GG"&amp;TEXT(ROW()-6,"00000"))</f>
        <v/>
      </c>
      <c r="C531" s="220" t="n"/>
      <c r="D531" s="108" t="n"/>
      <c r="E531" s="109" t="n"/>
      <c r="F531" s="109" t="n"/>
      <c r="G531" s="221" t="n"/>
      <c r="H531" s="108" t="n"/>
      <c r="I531" s="108" t="n"/>
      <c r="J531" s="109" t="n"/>
      <c r="K531" s="109" t="n"/>
      <c r="L531" s="108" t="n"/>
      <c r="M531" s="121">
        <f>IF($C531="","",IF($D531="Gider",$E531,IF($L531&lt;&gt;"",$L531,$H531)))</f>
        <v/>
      </c>
      <c r="N531" s="121">
        <f>IF($C531="","",IF($D531="Gider",$H531,$E531))</f>
        <v/>
      </c>
      <c r="O531" s="226">
        <f>IF($C531="","",DATE(YEAR($C531),MONTH($C531),1))</f>
        <v/>
      </c>
      <c r="P531" s="113">
        <f>IF($C531="","",IF(AND($D531="Gelir",$L531&lt;&gt;"",$T531=""),"TANIMSIZ BORÇLU",IF($T531&lt;&gt;"",IF(OR($E531="",$G531&lt;=0),"EKSİK",IF($I531="Evet","TAHAKKUK NAKİT OLAMAZ",IF($C531&gt;TODAY(),"İLERİ TARİH","TAHAKKUK"))),IF(AND($D531&lt;&gt;"",$E531&lt;&gt;"",$G531&gt;0,$H531&lt;&gt;"",$I531&lt;&gt;""),IF($C531&gt;TODAY(),"İLERİ TARİH",IF(COUNTIF($W$7:$W$1206,$W531)&gt;1,"MÜKERRER?",IF($AD531&gt;0,"KAPALI DÖNEM",IF($I531="Hayır","ÖDENECEK","UYGUN")))),"EKSİK"))))</f>
        <v/>
      </c>
      <c r="Q531" s="6" t="n"/>
      <c r="R531" s="6" t="n"/>
      <c r="S531" s="3">
        <f>IF($L531="","",UPPER(SUBSTITUTE(SUBSTITUTE(SUBSTITUTE(SUBSTITUTE(SUBSTITUTE(SUBSTITUTE(SUBSTITUTE(SUBSTITUTE(SUBSTITUTE(SUBSTITUTE(SUBSTITUTE(SUBSTITUTE(SUBSTITUTE(SUBSTITUTE(SUBSTITUTE(SUBSTITUTE(SUBSTITUTE(SUBSTITUTE(TRIM($L531),"'",""),"İ","I"),"ı","I"),"i","I"),"Ş","S"),"ş","S"),"Ğ","G"),"ğ","G"),"Ü","U"),"ü","U"),"Ö","O"),"ö","O"),"Ç","C"),"ç","C"),".",""),",","")," ",""),"-","")))</f>
        <v/>
      </c>
      <c r="T531" s="3">
        <f>IF(OR($C531="",$D531&lt;&gt;"Gelir",$L531=""),"",IFERROR(INDEX(MUSTERILER!$B$7:$B$106,MATCH($S531,MUSTERILER!$T$7:$T$106,0)),""))</f>
        <v/>
      </c>
      <c r="U531" s="3">
        <f>IF($T531="","",$T531&amp;"|"&amp;COUNTIFS($T$7:$T531,$T531))</f>
        <v/>
      </c>
      <c r="V531" s="3">
        <f>IF($T531="",0,1)</f>
        <v/>
      </c>
      <c r="W531" s="3">
        <f>IF($C531="","",$D531&amp;"|"&amp;$E531&amp;"|"&amp;TEXT($C531,"0")&amp;"|"&amp;TEXT($G531,"0")&amp;"|"&amp;$J531)</f>
        <v/>
      </c>
      <c r="X531" s="3" t="n"/>
      <c r="Y531" s="3" t="n"/>
      <c r="Z531" s="3" t="n"/>
      <c r="AA531" s="3" t="n"/>
      <c r="AB531" s="3" t="n"/>
      <c r="AC531" s="3" t="n"/>
      <c r="AD531" s="3">
        <f>IF($C531="",0,SUMPRODUCT((AY_SONU!$O$7:$O$42="Evet")*(AY_SONU!$B$7:$B$42=DATE(YEAR($C531),MONTH($C531),1))))</f>
        <v/>
      </c>
    </row>
    <row r="532">
      <c r="A532" s="6" t="n"/>
      <c r="B532" s="113">
        <f>IF($C532="","","GG"&amp;TEXT(ROW()-6,"00000"))</f>
        <v/>
      </c>
      <c r="C532" s="220" t="n"/>
      <c r="D532" s="108" t="n"/>
      <c r="E532" s="109" t="n"/>
      <c r="F532" s="109" t="n"/>
      <c r="G532" s="221" t="n"/>
      <c r="H532" s="108" t="n"/>
      <c r="I532" s="108" t="n"/>
      <c r="J532" s="109" t="n"/>
      <c r="K532" s="109" t="n"/>
      <c r="L532" s="108" t="n"/>
      <c r="M532" s="121">
        <f>IF($C532="","",IF($D532="Gider",$E532,IF($L532&lt;&gt;"",$L532,$H532)))</f>
        <v/>
      </c>
      <c r="N532" s="121">
        <f>IF($C532="","",IF($D532="Gider",$H532,$E532))</f>
        <v/>
      </c>
      <c r="O532" s="226">
        <f>IF($C532="","",DATE(YEAR($C532),MONTH($C532),1))</f>
        <v/>
      </c>
      <c r="P532" s="113">
        <f>IF($C532="","",IF(AND($D532="Gelir",$L532&lt;&gt;"",$T532=""),"TANIMSIZ BORÇLU",IF($T532&lt;&gt;"",IF(OR($E532="",$G532&lt;=0),"EKSİK",IF($I532="Evet","TAHAKKUK NAKİT OLAMAZ",IF($C532&gt;TODAY(),"İLERİ TARİH","TAHAKKUK"))),IF(AND($D532&lt;&gt;"",$E532&lt;&gt;"",$G532&gt;0,$H532&lt;&gt;"",$I532&lt;&gt;""),IF($C532&gt;TODAY(),"İLERİ TARİH",IF(COUNTIF($W$7:$W$1206,$W532)&gt;1,"MÜKERRER?",IF($AD532&gt;0,"KAPALI DÖNEM",IF($I532="Hayır","ÖDENECEK","UYGUN")))),"EKSİK"))))</f>
        <v/>
      </c>
      <c r="Q532" s="6" t="n"/>
      <c r="R532" s="6" t="n"/>
      <c r="S532" s="3">
        <f>IF($L532="","",UPPER(SUBSTITUTE(SUBSTITUTE(SUBSTITUTE(SUBSTITUTE(SUBSTITUTE(SUBSTITUTE(SUBSTITUTE(SUBSTITUTE(SUBSTITUTE(SUBSTITUTE(SUBSTITUTE(SUBSTITUTE(SUBSTITUTE(SUBSTITUTE(SUBSTITUTE(SUBSTITUTE(SUBSTITUTE(SUBSTITUTE(TRIM($L532),"'",""),"İ","I"),"ı","I"),"i","I"),"Ş","S"),"ş","S"),"Ğ","G"),"ğ","G"),"Ü","U"),"ü","U"),"Ö","O"),"ö","O"),"Ç","C"),"ç","C"),".",""),",","")," ",""),"-","")))</f>
        <v/>
      </c>
      <c r="T532" s="3">
        <f>IF(OR($C532="",$D532&lt;&gt;"Gelir",$L532=""),"",IFERROR(INDEX(MUSTERILER!$B$7:$B$106,MATCH($S532,MUSTERILER!$T$7:$T$106,0)),""))</f>
        <v/>
      </c>
      <c r="U532" s="3">
        <f>IF($T532="","",$T532&amp;"|"&amp;COUNTIFS($T$7:$T532,$T532))</f>
        <v/>
      </c>
      <c r="V532" s="3">
        <f>IF($T532="",0,1)</f>
        <v/>
      </c>
      <c r="W532" s="3">
        <f>IF($C532="","",$D532&amp;"|"&amp;$E532&amp;"|"&amp;TEXT($C532,"0")&amp;"|"&amp;TEXT($G532,"0")&amp;"|"&amp;$J532)</f>
        <v/>
      </c>
      <c r="X532" s="3" t="n"/>
      <c r="Y532" s="3" t="n"/>
      <c r="Z532" s="3" t="n"/>
      <c r="AA532" s="3" t="n"/>
      <c r="AB532" s="3" t="n"/>
      <c r="AC532" s="3" t="n"/>
      <c r="AD532" s="3">
        <f>IF($C532="",0,SUMPRODUCT((AY_SONU!$O$7:$O$42="Evet")*(AY_SONU!$B$7:$B$42=DATE(YEAR($C532),MONTH($C532),1))))</f>
        <v/>
      </c>
    </row>
    <row r="533">
      <c r="A533" s="6" t="n"/>
      <c r="B533" s="113">
        <f>IF($C533="","","GG"&amp;TEXT(ROW()-6,"00000"))</f>
        <v/>
      </c>
      <c r="C533" s="220" t="n"/>
      <c r="D533" s="108" t="n"/>
      <c r="E533" s="109" t="n"/>
      <c r="F533" s="109" t="n"/>
      <c r="G533" s="221" t="n"/>
      <c r="H533" s="108" t="n"/>
      <c r="I533" s="108" t="n"/>
      <c r="J533" s="109" t="n"/>
      <c r="K533" s="109" t="n"/>
      <c r="L533" s="108" t="n"/>
      <c r="M533" s="121">
        <f>IF($C533="","",IF($D533="Gider",$E533,IF($L533&lt;&gt;"",$L533,$H533)))</f>
        <v/>
      </c>
      <c r="N533" s="121">
        <f>IF($C533="","",IF($D533="Gider",$H533,$E533))</f>
        <v/>
      </c>
      <c r="O533" s="226">
        <f>IF($C533="","",DATE(YEAR($C533),MONTH($C533),1))</f>
        <v/>
      </c>
      <c r="P533" s="113">
        <f>IF($C533="","",IF(AND($D533="Gelir",$L533&lt;&gt;"",$T533=""),"TANIMSIZ BORÇLU",IF($T533&lt;&gt;"",IF(OR($E533="",$G533&lt;=0),"EKSİK",IF($I533="Evet","TAHAKKUK NAKİT OLAMAZ",IF($C533&gt;TODAY(),"İLERİ TARİH","TAHAKKUK"))),IF(AND($D533&lt;&gt;"",$E533&lt;&gt;"",$G533&gt;0,$H533&lt;&gt;"",$I533&lt;&gt;""),IF($C533&gt;TODAY(),"İLERİ TARİH",IF(COUNTIF($W$7:$W$1206,$W533)&gt;1,"MÜKERRER?",IF($AD533&gt;0,"KAPALI DÖNEM",IF($I533="Hayır","ÖDENECEK","UYGUN")))),"EKSİK"))))</f>
        <v/>
      </c>
      <c r="Q533" s="6" t="n"/>
      <c r="R533" s="6" t="n"/>
      <c r="S533" s="3">
        <f>IF($L533="","",UPPER(SUBSTITUTE(SUBSTITUTE(SUBSTITUTE(SUBSTITUTE(SUBSTITUTE(SUBSTITUTE(SUBSTITUTE(SUBSTITUTE(SUBSTITUTE(SUBSTITUTE(SUBSTITUTE(SUBSTITUTE(SUBSTITUTE(SUBSTITUTE(SUBSTITUTE(SUBSTITUTE(SUBSTITUTE(SUBSTITUTE(TRIM($L533),"'",""),"İ","I"),"ı","I"),"i","I"),"Ş","S"),"ş","S"),"Ğ","G"),"ğ","G"),"Ü","U"),"ü","U"),"Ö","O"),"ö","O"),"Ç","C"),"ç","C"),".",""),",","")," ",""),"-","")))</f>
        <v/>
      </c>
      <c r="T533" s="3">
        <f>IF(OR($C533="",$D533&lt;&gt;"Gelir",$L533=""),"",IFERROR(INDEX(MUSTERILER!$B$7:$B$106,MATCH($S533,MUSTERILER!$T$7:$T$106,0)),""))</f>
        <v/>
      </c>
      <c r="U533" s="3">
        <f>IF($T533="","",$T533&amp;"|"&amp;COUNTIFS($T$7:$T533,$T533))</f>
        <v/>
      </c>
      <c r="V533" s="3">
        <f>IF($T533="",0,1)</f>
        <v/>
      </c>
      <c r="W533" s="3">
        <f>IF($C533="","",$D533&amp;"|"&amp;$E533&amp;"|"&amp;TEXT($C533,"0")&amp;"|"&amp;TEXT($G533,"0")&amp;"|"&amp;$J533)</f>
        <v/>
      </c>
      <c r="X533" s="3" t="n"/>
      <c r="Y533" s="3" t="n"/>
      <c r="Z533" s="3" t="n"/>
      <c r="AA533" s="3" t="n"/>
      <c r="AB533" s="3" t="n"/>
      <c r="AC533" s="3" t="n"/>
      <c r="AD533" s="3">
        <f>IF($C533="",0,SUMPRODUCT((AY_SONU!$O$7:$O$42="Evet")*(AY_SONU!$B$7:$B$42=DATE(YEAR($C533),MONTH($C533),1))))</f>
        <v/>
      </c>
    </row>
    <row r="534">
      <c r="A534" s="6" t="n"/>
      <c r="B534" s="113">
        <f>IF($C534="","","GG"&amp;TEXT(ROW()-6,"00000"))</f>
        <v/>
      </c>
      <c r="C534" s="220" t="n"/>
      <c r="D534" s="108" t="n"/>
      <c r="E534" s="109" t="n"/>
      <c r="F534" s="109" t="n"/>
      <c r="G534" s="221" t="n"/>
      <c r="H534" s="108" t="n"/>
      <c r="I534" s="108" t="n"/>
      <c r="J534" s="109" t="n"/>
      <c r="K534" s="109" t="n"/>
      <c r="L534" s="108" t="n"/>
      <c r="M534" s="121">
        <f>IF($C534="","",IF($D534="Gider",$E534,IF($L534&lt;&gt;"",$L534,$H534)))</f>
        <v/>
      </c>
      <c r="N534" s="121">
        <f>IF($C534="","",IF($D534="Gider",$H534,$E534))</f>
        <v/>
      </c>
      <c r="O534" s="226">
        <f>IF($C534="","",DATE(YEAR($C534),MONTH($C534),1))</f>
        <v/>
      </c>
      <c r="P534" s="113">
        <f>IF($C534="","",IF(AND($D534="Gelir",$L534&lt;&gt;"",$T534=""),"TANIMSIZ BORÇLU",IF($T534&lt;&gt;"",IF(OR($E534="",$G534&lt;=0),"EKSİK",IF($I534="Evet","TAHAKKUK NAKİT OLAMAZ",IF($C534&gt;TODAY(),"İLERİ TARİH","TAHAKKUK"))),IF(AND($D534&lt;&gt;"",$E534&lt;&gt;"",$G534&gt;0,$H534&lt;&gt;"",$I534&lt;&gt;""),IF($C534&gt;TODAY(),"İLERİ TARİH",IF(COUNTIF($W$7:$W$1206,$W534)&gt;1,"MÜKERRER?",IF($AD534&gt;0,"KAPALI DÖNEM",IF($I534="Hayır","ÖDENECEK","UYGUN")))),"EKSİK"))))</f>
        <v/>
      </c>
      <c r="Q534" s="6" t="n"/>
      <c r="R534" s="6" t="n"/>
      <c r="S534" s="3">
        <f>IF($L534="","",UPPER(SUBSTITUTE(SUBSTITUTE(SUBSTITUTE(SUBSTITUTE(SUBSTITUTE(SUBSTITUTE(SUBSTITUTE(SUBSTITUTE(SUBSTITUTE(SUBSTITUTE(SUBSTITUTE(SUBSTITUTE(SUBSTITUTE(SUBSTITUTE(SUBSTITUTE(SUBSTITUTE(SUBSTITUTE(SUBSTITUTE(TRIM($L534),"'",""),"İ","I"),"ı","I"),"i","I"),"Ş","S"),"ş","S"),"Ğ","G"),"ğ","G"),"Ü","U"),"ü","U"),"Ö","O"),"ö","O"),"Ç","C"),"ç","C"),".",""),",","")," ",""),"-","")))</f>
        <v/>
      </c>
      <c r="T534" s="3">
        <f>IF(OR($C534="",$D534&lt;&gt;"Gelir",$L534=""),"",IFERROR(INDEX(MUSTERILER!$B$7:$B$106,MATCH($S534,MUSTERILER!$T$7:$T$106,0)),""))</f>
        <v/>
      </c>
      <c r="U534" s="3">
        <f>IF($T534="","",$T534&amp;"|"&amp;COUNTIFS($T$7:$T534,$T534))</f>
        <v/>
      </c>
      <c r="V534" s="3">
        <f>IF($T534="",0,1)</f>
        <v/>
      </c>
      <c r="W534" s="3">
        <f>IF($C534="","",$D534&amp;"|"&amp;$E534&amp;"|"&amp;TEXT($C534,"0")&amp;"|"&amp;TEXT($G534,"0")&amp;"|"&amp;$J534)</f>
        <v/>
      </c>
      <c r="X534" s="3" t="n"/>
      <c r="Y534" s="3" t="n"/>
      <c r="Z534" s="3" t="n"/>
      <c r="AA534" s="3" t="n"/>
      <c r="AB534" s="3" t="n"/>
      <c r="AC534" s="3" t="n"/>
      <c r="AD534" s="3">
        <f>IF($C534="",0,SUMPRODUCT((AY_SONU!$O$7:$O$42="Evet")*(AY_SONU!$B$7:$B$42=DATE(YEAR($C534),MONTH($C534),1))))</f>
        <v/>
      </c>
    </row>
    <row r="535">
      <c r="A535" s="6" t="n"/>
      <c r="B535" s="113">
        <f>IF($C535="","","GG"&amp;TEXT(ROW()-6,"00000"))</f>
        <v/>
      </c>
      <c r="C535" s="220" t="n"/>
      <c r="D535" s="108" t="n"/>
      <c r="E535" s="109" t="n"/>
      <c r="F535" s="109" t="n"/>
      <c r="G535" s="221" t="n"/>
      <c r="H535" s="108" t="n"/>
      <c r="I535" s="108" t="n"/>
      <c r="J535" s="109" t="n"/>
      <c r="K535" s="109" t="n"/>
      <c r="L535" s="108" t="n"/>
      <c r="M535" s="121">
        <f>IF($C535="","",IF($D535="Gider",$E535,IF($L535&lt;&gt;"",$L535,$H535)))</f>
        <v/>
      </c>
      <c r="N535" s="121">
        <f>IF($C535="","",IF($D535="Gider",$H535,$E535))</f>
        <v/>
      </c>
      <c r="O535" s="226">
        <f>IF($C535="","",DATE(YEAR($C535),MONTH($C535),1))</f>
        <v/>
      </c>
      <c r="P535" s="113">
        <f>IF($C535="","",IF(AND($D535="Gelir",$L535&lt;&gt;"",$T535=""),"TANIMSIZ BORÇLU",IF($T535&lt;&gt;"",IF(OR($E535="",$G535&lt;=0),"EKSİK",IF($I535="Evet","TAHAKKUK NAKİT OLAMAZ",IF($C535&gt;TODAY(),"İLERİ TARİH","TAHAKKUK"))),IF(AND($D535&lt;&gt;"",$E535&lt;&gt;"",$G535&gt;0,$H535&lt;&gt;"",$I535&lt;&gt;""),IF($C535&gt;TODAY(),"İLERİ TARİH",IF(COUNTIF($W$7:$W$1206,$W535)&gt;1,"MÜKERRER?",IF($AD535&gt;0,"KAPALI DÖNEM",IF($I535="Hayır","ÖDENECEK","UYGUN")))),"EKSİK"))))</f>
        <v/>
      </c>
      <c r="Q535" s="6" t="n"/>
      <c r="R535" s="6" t="n"/>
      <c r="S535" s="3">
        <f>IF($L535="","",UPPER(SUBSTITUTE(SUBSTITUTE(SUBSTITUTE(SUBSTITUTE(SUBSTITUTE(SUBSTITUTE(SUBSTITUTE(SUBSTITUTE(SUBSTITUTE(SUBSTITUTE(SUBSTITUTE(SUBSTITUTE(SUBSTITUTE(SUBSTITUTE(SUBSTITUTE(SUBSTITUTE(SUBSTITUTE(SUBSTITUTE(TRIM($L535),"'",""),"İ","I"),"ı","I"),"i","I"),"Ş","S"),"ş","S"),"Ğ","G"),"ğ","G"),"Ü","U"),"ü","U"),"Ö","O"),"ö","O"),"Ç","C"),"ç","C"),".",""),",","")," ",""),"-","")))</f>
        <v/>
      </c>
      <c r="T535" s="3">
        <f>IF(OR($C535="",$D535&lt;&gt;"Gelir",$L535=""),"",IFERROR(INDEX(MUSTERILER!$B$7:$B$106,MATCH($S535,MUSTERILER!$T$7:$T$106,0)),""))</f>
        <v/>
      </c>
      <c r="U535" s="3">
        <f>IF($T535="","",$T535&amp;"|"&amp;COUNTIFS($T$7:$T535,$T535))</f>
        <v/>
      </c>
      <c r="V535" s="3">
        <f>IF($T535="",0,1)</f>
        <v/>
      </c>
      <c r="W535" s="3">
        <f>IF($C535="","",$D535&amp;"|"&amp;$E535&amp;"|"&amp;TEXT($C535,"0")&amp;"|"&amp;TEXT($G535,"0")&amp;"|"&amp;$J535)</f>
        <v/>
      </c>
      <c r="X535" s="3" t="n"/>
      <c r="Y535" s="3" t="n"/>
      <c r="Z535" s="3" t="n"/>
      <c r="AA535" s="3" t="n"/>
      <c r="AB535" s="3" t="n"/>
      <c r="AC535" s="3" t="n"/>
      <c r="AD535" s="3">
        <f>IF($C535="",0,SUMPRODUCT((AY_SONU!$O$7:$O$42="Evet")*(AY_SONU!$B$7:$B$42=DATE(YEAR($C535),MONTH($C535),1))))</f>
        <v/>
      </c>
    </row>
    <row r="536">
      <c r="A536" s="6" t="n"/>
      <c r="B536" s="113">
        <f>IF($C536="","","GG"&amp;TEXT(ROW()-6,"00000"))</f>
        <v/>
      </c>
      <c r="C536" s="220" t="n"/>
      <c r="D536" s="108" t="n"/>
      <c r="E536" s="109" t="n"/>
      <c r="F536" s="109" t="n"/>
      <c r="G536" s="221" t="n"/>
      <c r="H536" s="108" t="n"/>
      <c r="I536" s="108" t="n"/>
      <c r="J536" s="109" t="n"/>
      <c r="K536" s="109" t="n"/>
      <c r="L536" s="108" t="n"/>
      <c r="M536" s="121">
        <f>IF($C536="","",IF($D536="Gider",$E536,IF($L536&lt;&gt;"",$L536,$H536)))</f>
        <v/>
      </c>
      <c r="N536" s="121">
        <f>IF($C536="","",IF($D536="Gider",$H536,$E536))</f>
        <v/>
      </c>
      <c r="O536" s="226">
        <f>IF($C536="","",DATE(YEAR($C536),MONTH($C536),1))</f>
        <v/>
      </c>
      <c r="P536" s="113">
        <f>IF($C536="","",IF(AND($D536="Gelir",$L536&lt;&gt;"",$T536=""),"TANIMSIZ BORÇLU",IF($T536&lt;&gt;"",IF(OR($E536="",$G536&lt;=0),"EKSİK",IF($I536="Evet","TAHAKKUK NAKİT OLAMAZ",IF($C536&gt;TODAY(),"İLERİ TARİH","TAHAKKUK"))),IF(AND($D536&lt;&gt;"",$E536&lt;&gt;"",$G536&gt;0,$H536&lt;&gt;"",$I536&lt;&gt;""),IF($C536&gt;TODAY(),"İLERİ TARİH",IF(COUNTIF($W$7:$W$1206,$W536)&gt;1,"MÜKERRER?",IF($AD536&gt;0,"KAPALI DÖNEM",IF($I536="Hayır","ÖDENECEK","UYGUN")))),"EKSİK"))))</f>
        <v/>
      </c>
      <c r="Q536" s="6" t="n"/>
      <c r="R536" s="6" t="n"/>
      <c r="S536" s="3">
        <f>IF($L536="","",UPPER(SUBSTITUTE(SUBSTITUTE(SUBSTITUTE(SUBSTITUTE(SUBSTITUTE(SUBSTITUTE(SUBSTITUTE(SUBSTITUTE(SUBSTITUTE(SUBSTITUTE(SUBSTITUTE(SUBSTITUTE(SUBSTITUTE(SUBSTITUTE(SUBSTITUTE(SUBSTITUTE(SUBSTITUTE(SUBSTITUTE(TRIM($L536),"'",""),"İ","I"),"ı","I"),"i","I"),"Ş","S"),"ş","S"),"Ğ","G"),"ğ","G"),"Ü","U"),"ü","U"),"Ö","O"),"ö","O"),"Ç","C"),"ç","C"),".",""),",","")," ",""),"-","")))</f>
        <v/>
      </c>
      <c r="T536" s="3">
        <f>IF(OR($C536="",$D536&lt;&gt;"Gelir",$L536=""),"",IFERROR(INDEX(MUSTERILER!$B$7:$B$106,MATCH($S536,MUSTERILER!$T$7:$T$106,0)),""))</f>
        <v/>
      </c>
      <c r="U536" s="3">
        <f>IF($T536="","",$T536&amp;"|"&amp;COUNTIFS($T$7:$T536,$T536))</f>
        <v/>
      </c>
      <c r="V536" s="3">
        <f>IF($T536="",0,1)</f>
        <v/>
      </c>
      <c r="W536" s="3">
        <f>IF($C536="","",$D536&amp;"|"&amp;$E536&amp;"|"&amp;TEXT($C536,"0")&amp;"|"&amp;TEXT($G536,"0")&amp;"|"&amp;$J536)</f>
        <v/>
      </c>
      <c r="X536" s="3" t="n"/>
      <c r="Y536" s="3" t="n"/>
      <c r="Z536" s="3" t="n"/>
      <c r="AA536" s="3" t="n"/>
      <c r="AB536" s="3" t="n"/>
      <c r="AC536" s="3" t="n"/>
      <c r="AD536" s="3">
        <f>IF($C536="",0,SUMPRODUCT((AY_SONU!$O$7:$O$42="Evet")*(AY_SONU!$B$7:$B$42=DATE(YEAR($C536),MONTH($C536),1))))</f>
        <v/>
      </c>
    </row>
    <row r="537">
      <c r="A537" s="6" t="n"/>
      <c r="B537" s="113">
        <f>IF($C537="","","GG"&amp;TEXT(ROW()-6,"00000"))</f>
        <v/>
      </c>
      <c r="C537" s="220" t="n"/>
      <c r="D537" s="108" t="n"/>
      <c r="E537" s="109" t="n"/>
      <c r="F537" s="109" t="n"/>
      <c r="G537" s="221" t="n"/>
      <c r="H537" s="108" t="n"/>
      <c r="I537" s="108" t="n"/>
      <c r="J537" s="109" t="n"/>
      <c r="K537" s="109" t="n"/>
      <c r="L537" s="108" t="n"/>
      <c r="M537" s="121">
        <f>IF($C537="","",IF($D537="Gider",$E537,IF($L537&lt;&gt;"",$L537,$H537)))</f>
        <v/>
      </c>
      <c r="N537" s="121">
        <f>IF($C537="","",IF($D537="Gider",$H537,$E537))</f>
        <v/>
      </c>
      <c r="O537" s="226">
        <f>IF($C537="","",DATE(YEAR($C537),MONTH($C537),1))</f>
        <v/>
      </c>
      <c r="P537" s="113">
        <f>IF($C537="","",IF(AND($D537="Gelir",$L537&lt;&gt;"",$T537=""),"TANIMSIZ BORÇLU",IF($T537&lt;&gt;"",IF(OR($E537="",$G537&lt;=0),"EKSİK",IF($I537="Evet","TAHAKKUK NAKİT OLAMAZ",IF($C537&gt;TODAY(),"İLERİ TARİH","TAHAKKUK"))),IF(AND($D537&lt;&gt;"",$E537&lt;&gt;"",$G537&gt;0,$H537&lt;&gt;"",$I537&lt;&gt;""),IF($C537&gt;TODAY(),"İLERİ TARİH",IF(COUNTIF($W$7:$W$1206,$W537)&gt;1,"MÜKERRER?",IF($AD537&gt;0,"KAPALI DÖNEM",IF($I537="Hayır","ÖDENECEK","UYGUN")))),"EKSİK"))))</f>
        <v/>
      </c>
      <c r="Q537" s="6" t="n"/>
      <c r="R537" s="6" t="n"/>
      <c r="S537" s="3">
        <f>IF($L537="","",UPPER(SUBSTITUTE(SUBSTITUTE(SUBSTITUTE(SUBSTITUTE(SUBSTITUTE(SUBSTITUTE(SUBSTITUTE(SUBSTITUTE(SUBSTITUTE(SUBSTITUTE(SUBSTITUTE(SUBSTITUTE(SUBSTITUTE(SUBSTITUTE(SUBSTITUTE(SUBSTITUTE(SUBSTITUTE(SUBSTITUTE(TRIM($L537),"'",""),"İ","I"),"ı","I"),"i","I"),"Ş","S"),"ş","S"),"Ğ","G"),"ğ","G"),"Ü","U"),"ü","U"),"Ö","O"),"ö","O"),"Ç","C"),"ç","C"),".",""),",","")," ",""),"-","")))</f>
        <v/>
      </c>
      <c r="T537" s="3">
        <f>IF(OR($C537="",$D537&lt;&gt;"Gelir",$L537=""),"",IFERROR(INDEX(MUSTERILER!$B$7:$B$106,MATCH($S537,MUSTERILER!$T$7:$T$106,0)),""))</f>
        <v/>
      </c>
      <c r="U537" s="3">
        <f>IF($T537="","",$T537&amp;"|"&amp;COUNTIFS($T$7:$T537,$T537))</f>
        <v/>
      </c>
      <c r="V537" s="3">
        <f>IF($T537="",0,1)</f>
        <v/>
      </c>
      <c r="W537" s="3">
        <f>IF($C537="","",$D537&amp;"|"&amp;$E537&amp;"|"&amp;TEXT($C537,"0")&amp;"|"&amp;TEXT($G537,"0")&amp;"|"&amp;$J537)</f>
        <v/>
      </c>
      <c r="X537" s="3" t="n"/>
      <c r="Y537" s="3" t="n"/>
      <c r="Z537" s="3" t="n"/>
      <c r="AA537" s="3" t="n"/>
      <c r="AB537" s="3" t="n"/>
      <c r="AC537" s="3" t="n"/>
      <c r="AD537" s="3">
        <f>IF($C537="",0,SUMPRODUCT((AY_SONU!$O$7:$O$42="Evet")*(AY_SONU!$B$7:$B$42=DATE(YEAR($C537),MONTH($C537),1))))</f>
        <v/>
      </c>
    </row>
    <row r="538">
      <c r="A538" s="6" t="n"/>
      <c r="B538" s="113">
        <f>IF($C538="","","GG"&amp;TEXT(ROW()-6,"00000"))</f>
        <v/>
      </c>
      <c r="C538" s="220" t="n"/>
      <c r="D538" s="108" t="n"/>
      <c r="E538" s="109" t="n"/>
      <c r="F538" s="109" t="n"/>
      <c r="G538" s="221" t="n"/>
      <c r="H538" s="108" t="n"/>
      <c r="I538" s="108" t="n"/>
      <c r="J538" s="109" t="n"/>
      <c r="K538" s="109" t="n"/>
      <c r="L538" s="108" t="n"/>
      <c r="M538" s="121">
        <f>IF($C538="","",IF($D538="Gider",$E538,IF($L538&lt;&gt;"",$L538,$H538)))</f>
        <v/>
      </c>
      <c r="N538" s="121">
        <f>IF($C538="","",IF($D538="Gider",$H538,$E538))</f>
        <v/>
      </c>
      <c r="O538" s="226">
        <f>IF($C538="","",DATE(YEAR($C538),MONTH($C538),1))</f>
        <v/>
      </c>
      <c r="P538" s="113">
        <f>IF($C538="","",IF(AND($D538="Gelir",$L538&lt;&gt;"",$T538=""),"TANIMSIZ BORÇLU",IF($T538&lt;&gt;"",IF(OR($E538="",$G538&lt;=0),"EKSİK",IF($I538="Evet","TAHAKKUK NAKİT OLAMAZ",IF($C538&gt;TODAY(),"İLERİ TARİH","TAHAKKUK"))),IF(AND($D538&lt;&gt;"",$E538&lt;&gt;"",$G538&gt;0,$H538&lt;&gt;"",$I538&lt;&gt;""),IF($C538&gt;TODAY(),"İLERİ TARİH",IF(COUNTIF($W$7:$W$1206,$W538)&gt;1,"MÜKERRER?",IF($AD538&gt;0,"KAPALI DÖNEM",IF($I538="Hayır","ÖDENECEK","UYGUN")))),"EKSİK"))))</f>
        <v/>
      </c>
      <c r="Q538" s="6" t="n"/>
      <c r="R538" s="6" t="n"/>
      <c r="S538" s="3">
        <f>IF($L538="","",UPPER(SUBSTITUTE(SUBSTITUTE(SUBSTITUTE(SUBSTITUTE(SUBSTITUTE(SUBSTITUTE(SUBSTITUTE(SUBSTITUTE(SUBSTITUTE(SUBSTITUTE(SUBSTITUTE(SUBSTITUTE(SUBSTITUTE(SUBSTITUTE(SUBSTITUTE(SUBSTITUTE(SUBSTITUTE(SUBSTITUTE(TRIM($L538),"'",""),"İ","I"),"ı","I"),"i","I"),"Ş","S"),"ş","S"),"Ğ","G"),"ğ","G"),"Ü","U"),"ü","U"),"Ö","O"),"ö","O"),"Ç","C"),"ç","C"),".",""),",","")," ",""),"-","")))</f>
        <v/>
      </c>
      <c r="T538" s="3">
        <f>IF(OR($C538="",$D538&lt;&gt;"Gelir",$L538=""),"",IFERROR(INDEX(MUSTERILER!$B$7:$B$106,MATCH($S538,MUSTERILER!$T$7:$T$106,0)),""))</f>
        <v/>
      </c>
      <c r="U538" s="3">
        <f>IF($T538="","",$T538&amp;"|"&amp;COUNTIFS($T$7:$T538,$T538))</f>
        <v/>
      </c>
      <c r="V538" s="3">
        <f>IF($T538="",0,1)</f>
        <v/>
      </c>
      <c r="W538" s="3">
        <f>IF($C538="","",$D538&amp;"|"&amp;$E538&amp;"|"&amp;TEXT($C538,"0")&amp;"|"&amp;TEXT($G538,"0")&amp;"|"&amp;$J538)</f>
        <v/>
      </c>
      <c r="X538" s="3" t="n"/>
      <c r="Y538" s="3" t="n"/>
      <c r="Z538" s="3" t="n"/>
      <c r="AA538" s="3" t="n"/>
      <c r="AB538" s="3" t="n"/>
      <c r="AC538" s="3" t="n"/>
      <c r="AD538" s="3">
        <f>IF($C538="",0,SUMPRODUCT((AY_SONU!$O$7:$O$42="Evet")*(AY_SONU!$B$7:$B$42=DATE(YEAR($C538),MONTH($C538),1))))</f>
        <v/>
      </c>
    </row>
    <row r="539">
      <c r="A539" s="6" t="n"/>
      <c r="B539" s="113">
        <f>IF($C539="","","GG"&amp;TEXT(ROW()-6,"00000"))</f>
        <v/>
      </c>
      <c r="C539" s="220" t="n"/>
      <c r="D539" s="108" t="n"/>
      <c r="E539" s="109" t="n"/>
      <c r="F539" s="109" t="n"/>
      <c r="G539" s="221" t="n"/>
      <c r="H539" s="108" t="n"/>
      <c r="I539" s="108" t="n"/>
      <c r="J539" s="109" t="n"/>
      <c r="K539" s="109" t="n"/>
      <c r="L539" s="108" t="n"/>
      <c r="M539" s="121">
        <f>IF($C539="","",IF($D539="Gider",$E539,IF($L539&lt;&gt;"",$L539,$H539)))</f>
        <v/>
      </c>
      <c r="N539" s="121">
        <f>IF($C539="","",IF($D539="Gider",$H539,$E539))</f>
        <v/>
      </c>
      <c r="O539" s="226">
        <f>IF($C539="","",DATE(YEAR($C539),MONTH($C539),1))</f>
        <v/>
      </c>
      <c r="P539" s="113">
        <f>IF($C539="","",IF(AND($D539="Gelir",$L539&lt;&gt;"",$T539=""),"TANIMSIZ BORÇLU",IF($T539&lt;&gt;"",IF(OR($E539="",$G539&lt;=0),"EKSİK",IF($I539="Evet","TAHAKKUK NAKİT OLAMAZ",IF($C539&gt;TODAY(),"İLERİ TARİH","TAHAKKUK"))),IF(AND($D539&lt;&gt;"",$E539&lt;&gt;"",$G539&gt;0,$H539&lt;&gt;"",$I539&lt;&gt;""),IF($C539&gt;TODAY(),"İLERİ TARİH",IF(COUNTIF($W$7:$W$1206,$W539)&gt;1,"MÜKERRER?",IF($AD539&gt;0,"KAPALI DÖNEM",IF($I539="Hayır","ÖDENECEK","UYGUN")))),"EKSİK"))))</f>
        <v/>
      </c>
      <c r="Q539" s="6" t="n"/>
      <c r="R539" s="6" t="n"/>
      <c r="S539" s="3">
        <f>IF($L539="","",UPPER(SUBSTITUTE(SUBSTITUTE(SUBSTITUTE(SUBSTITUTE(SUBSTITUTE(SUBSTITUTE(SUBSTITUTE(SUBSTITUTE(SUBSTITUTE(SUBSTITUTE(SUBSTITUTE(SUBSTITUTE(SUBSTITUTE(SUBSTITUTE(SUBSTITUTE(SUBSTITUTE(SUBSTITUTE(SUBSTITUTE(TRIM($L539),"'",""),"İ","I"),"ı","I"),"i","I"),"Ş","S"),"ş","S"),"Ğ","G"),"ğ","G"),"Ü","U"),"ü","U"),"Ö","O"),"ö","O"),"Ç","C"),"ç","C"),".",""),",","")," ",""),"-","")))</f>
        <v/>
      </c>
      <c r="T539" s="3">
        <f>IF(OR($C539="",$D539&lt;&gt;"Gelir",$L539=""),"",IFERROR(INDEX(MUSTERILER!$B$7:$B$106,MATCH($S539,MUSTERILER!$T$7:$T$106,0)),""))</f>
        <v/>
      </c>
      <c r="U539" s="3">
        <f>IF($T539="","",$T539&amp;"|"&amp;COUNTIFS($T$7:$T539,$T539))</f>
        <v/>
      </c>
      <c r="V539" s="3">
        <f>IF($T539="",0,1)</f>
        <v/>
      </c>
      <c r="W539" s="3">
        <f>IF($C539="","",$D539&amp;"|"&amp;$E539&amp;"|"&amp;TEXT($C539,"0")&amp;"|"&amp;TEXT($G539,"0")&amp;"|"&amp;$J539)</f>
        <v/>
      </c>
      <c r="X539" s="3" t="n"/>
      <c r="Y539" s="3" t="n"/>
      <c r="Z539" s="3" t="n"/>
      <c r="AA539" s="3" t="n"/>
      <c r="AB539" s="3" t="n"/>
      <c r="AC539" s="3" t="n"/>
      <c r="AD539" s="3">
        <f>IF($C539="",0,SUMPRODUCT((AY_SONU!$O$7:$O$42="Evet")*(AY_SONU!$B$7:$B$42=DATE(YEAR($C539),MONTH($C539),1))))</f>
        <v/>
      </c>
    </row>
    <row r="540">
      <c r="A540" s="6" t="n"/>
      <c r="B540" s="113">
        <f>IF($C540="","","GG"&amp;TEXT(ROW()-6,"00000"))</f>
        <v/>
      </c>
      <c r="C540" s="220" t="n"/>
      <c r="D540" s="108" t="n"/>
      <c r="E540" s="109" t="n"/>
      <c r="F540" s="109" t="n"/>
      <c r="G540" s="221" t="n"/>
      <c r="H540" s="108" t="n"/>
      <c r="I540" s="108" t="n"/>
      <c r="J540" s="109" t="n"/>
      <c r="K540" s="109" t="n"/>
      <c r="L540" s="108" t="n"/>
      <c r="M540" s="121">
        <f>IF($C540="","",IF($D540="Gider",$E540,IF($L540&lt;&gt;"",$L540,$H540)))</f>
        <v/>
      </c>
      <c r="N540" s="121">
        <f>IF($C540="","",IF($D540="Gider",$H540,$E540))</f>
        <v/>
      </c>
      <c r="O540" s="226">
        <f>IF($C540="","",DATE(YEAR($C540),MONTH($C540),1))</f>
        <v/>
      </c>
      <c r="P540" s="113">
        <f>IF($C540="","",IF(AND($D540="Gelir",$L540&lt;&gt;"",$T540=""),"TANIMSIZ BORÇLU",IF($T540&lt;&gt;"",IF(OR($E540="",$G540&lt;=0),"EKSİK",IF($I540="Evet","TAHAKKUK NAKİT OLAMAZ",IF($C540&gt;TODAY(),"İLERİ TARİH","TAHAKKUK"))),IF(AND($D540&lt;&gt;"",$E540&lt;&gt;"",$G540&gt;0,$H540&lt;&gt;"",$I540&lt;&gt;""),IF($C540&gt;TODAY(),"İLERİ TARİH",IF(COUNTIF($W$7:$W$1206,$W540)&gt;1,"MÜKERRER?",IF($AD540&gt;0,"KAPALI DÖNEM",IF($I540="Hayır","ÖDENECEK","UYGUN")))),"EKSİK"))))</f>
        <v/>
      </c>
      <c r="Q540" s="6" t="n"/>
      <c r="R540" s="6" t="n"/>
      <c r="S540" s="3">
        <f>IF($L540="","",UPPER(SUBSTITUTE(SUBSTITUTE(SUBSTITUTE(SUBSTITUTE(SUBSTITUTE(SUBSTITUTE(SUBSTITUTE(SUBSTITUTE(SUBSTITUTE(SUBSTITUTE(SUBSTITUTE(SUBSTITUTE(SUBSTITUTE(SUBSTITUTE(SUBSTITUTE(SUBSTITUTE(SUBSTITUTE(SUBSTITUTE(TRIM($L540),"'",""),"İ","I"),"ı","I"),"i","I"),"Ş","S"),"ş","S"),"Ğ","G"),"ğ","G"),"Ü","U"),"ü","U"),"Ö","O"),"ö","O"),"Ç","C"),"ç","C"),".",""),",","")," ",""),"-","")))</f>
        <v/>
      </c>
      <c r="T540" s="3">
        <f>IF(OR($C540="",$D540&lt;&gt;"Gelir",$L540=""),"",IFERROR(INDEX(MUSTERILER!$B$7:$B$106,MATCH($S540,MUSTERILER!$T$7:$T$106,0)),""))</f>
        <v/>
      </c>
      <c r="U540" s="3">
        <f>IF($T540="","",$T540&amp;"|"&amp;COUNTIFS($T$7:$T540,$T540))</f>
        <v/>
      </c>
      <c r="V540" s="3">
        <f>IF($T540="",0,1)</f>
        <v/>
      </c>
      <c r="W540" s="3">
        <f>IF($C540="","",$D540&amp;"|"&amp;$E540&amp;"|"&amp;TEXT($C540,"0")&amp;"|"&amp;TEXT($G540,"0")&amp;"|"&amp;$J540)</f>
        <v/>
      </c>
      <c r="X540" s="3" t="n"/>
      <c r="Y540" s="3" t="n"/>
      <c r="Z540" s="3" t="n"/>
      <c r="AA540" s="3" t="n"/>
      <c r="AB540" s="3" t="n"/>
      <c r="AC540" s="3" t="n"/>
      <c r="AD540" s="3">
        <f>IF($C540="",0,SUMPRODUCT((AY_SONU!$O$7:$O$42="Evet")*(AY_SONU!$B$7:$B$42=DATE(YEAR($C540),MONTH($C540),1))))</f>
        <v/>
      </c>
    </row>
    <row r="541">
      <c r="A541" s="6" t="n"/>
      <c r="B541" s="113">
        <f>IF($C541="","","GG"&amp;TEXT(ROW()-6,"00000"))</f>
        <v/>
      </c>
      <c r="C541" s="220" t="n"/>
      <c r="D541" s="108" t="n"/>
      <c r="E541" s="109" t="n"/>
      <c r="F541" s="109" t="n"/>
      <c r="G541" s="221" t="n"/>
      <c r="H541" s="108" t="n"/>
      <c r="I541" s="108" t="n"/>
      <c r="J541" s="109" t="n"/>
      <c r="K541" s="109" t="n"/>
      <c r="L541" s="108" t="n"/>
      <c r="M541" s="121">
        <f>IF($C541="","",IF($D541="Gider",$E541,IF($L541&lt;&gt;"",$L541,$H541)))</f>
        <v/>
      </c>
      <c r="N541" s="121">
        <f>IF($C541="","",IF($D541="Gider",$H541,$E541))</f>
        <v/>
      </c>
      <c r="O541" s="226">
        <f>IF($C541="","",DATE(YEAR($C541),MONTH($C541),1))</f>
        <v/>
      </c>
      <c r="P541" s="113">
        <f>IF($C541="","",IF(AND($D541="Gelir",$L541&lt;&gt;"",$T541=""),"TANIMSIZ BORÇLU",IF($T541&lt;&gt;"",IF(OR($E541="",$G541&lt;=0),"EKSİK",IF($I541="Evet","TAHAKKUK NAKİT OLAMAZ",IF($C541&gt;TODAY(),"İLERİ TARİH","TAHAKKUK"))),IF(AND($D541&lt;&gt;"",$E541&lt;&gt;"",$G541&gt;0,$H541&lt;&gt;"",$I541&lt;&gt;""),IF($C541&gt;TODAY(),"İLERİ TARİH",IF(COUNTIF($W$7:$W$1206,$W541)&gt;1,"MÜKERRER?",IF($AD541&gt;0,"KAPALI DÖNEM",IF($I541="Hayır","ÖDENECEK","UYGUN")))),"EKSİK"))))</f>
        <v/>
      </c>
      <c r="Q541" s="6" t="n"/>
      <c r="R541" s="6" t="n"/>
      <c r="S541" s="3">
        <f>IF($L541="","",UPPER(SUBSTITUTE(SUBSTITUTE(SUBSTITUTE(SUBSTITUTE(SUBSTITUTE(SUBSTITUTE(SUBSTITUTE(SUBSTITUTE(SUBSTITUTE(SUBSTITUTE(SUBSTITUTE(SUBSTITUTE(SUBSTITUTE(SUBSTITUTE(SUBSTITUTE(SUBSTITUTE(SUBSTITUTE(SUBSTITUTE(TRIM($L541),"'",""),"İ","I"),"ı","I"),"i","I"),"Ş","S"),"ş","S"),"Ğ","G"),"ğ","G"),"Ü","U"),"ü","U"),"Ö","O"),"ö","O"),"Ç","C"),"ç","C"),".",""),",","")," ",""),"-","")))</f>
        <v/>
      </c>
      <c r="T541" s="3">
        <f>IF(OR($C541="",$D541&lt;&gt;"Gelir",$L541=""),"",IFERROR(INDEX(MUSTERILER!$B$7:$B$106,MATCH($S541,MUSTERILER!$T$7:$T$106,0)),""))</f>
        <v/>
      </c>
      <c r="U541" s="3">
        <f>IF($T541="","",$T541&amp;"|"&amp;COUNTIFS($T$7:$T541,$T541))</f>
        <v/>
      </c>
      <c r="V541" s="3">
        <f>IF($T541="",0,1)</f>
        <v/>
      </c>
      <c r="W541" s="3">
        <f>IF($C541="","",$D541&amp;"|"&amp;$E541&amp;"|"&amp;TEXT($C541,"0")&amp;"|"&amp;TEXT($G541,"0")&amp;"|"&amp;$J541)</f>
        <v/>
      </c>
      <c r="X541" s="3" t="n"/>
      <c r="Y541" s="3" t="n"/>
      <c r="Z541" s="3" t="n"/>
      <c r="AA541" s="3" t="n"/>
      <c r="AB541" s="3" t="n"/>
      <c r="AC541" s="3" t="n"/>
      <c r="AD541" s="3">
        <f>IF($C541="",0,SUMPRODUCT((AY_SONU!$O$7:$O$42="Evet")*(AY_SONU!$B$7:$B$42=DATE(YEAR($C541),MONTH($C541),1))))</f>
        <v/>
      </c>
    </row>
    <row r="542">
      <c r="A542" s="6" t="n"/>
      <c r="B542" s="113">
        <f>IF($C542="","","GG"&amp;TEXT(ROW()-6,"00000"))</f>
        <v/>
      </c>
      <c r="C542" s="220" t="n"/>
      <c r="D542" s="108" t="n"/>
      <c r="E542" s="109" t="n"/>
      <c r="F542" s="109" t="n"/>
      <c r="G542" s="221" t="n"/>
      <c r="H542" s="108" t="n"/>
      <c r="I542" s="108" t="n"/>
      <c r="J542" s="109" t="n"/>
      <c r="K542" s="109" t="n"/>
      <c r="L542" s="108" t="n"/>
      <c r="M542" s="121">
        <f>IF($C542="","",IF($D542="Gider",$E542,IF($L542&lt;&gt;"",$L542,$H542)))</f>
        <v/>
      </c>
      <c r="N542" s="121">
        <f>IF($C542="","",IF($D542="Gider",$H542,$E542))</f>
        <v/>
      </c>
      <c r="O542" s="226">
        <f>IF($C542="","",DATE(YEAR($C542),MONTH($C542),1))</f>
        <v/>
      </c>
      <c r="P542" s="113">
        <f>IF($C542="","",IF(AND($D542="Gelir",$L542&lt;&gt;"",$T542=""),"TANIMSIZ BORÇLU",IF($T542&lt;&gt;"",IF(OR($E542="",$G542&lt;=0),"EKSİK",IF($I542="Evet","TAHAKKUK NAKİT OLAMAZ",IF($C542&gt;TODAY(),"İLERİ TARİH","TAHAKKUK"))),IF(AND($D542&lt;&gt;"",$E542&lt;&gt;"",$G542&gt;0,$H542&lt;&gt;"",$I542&lt;&gt;""),IF($C542&gt;TODAY(),"İLERİ TARİH",IF(COUNTIF($W$7:$W$1206,$W542)&gt;1,"MÜKERRER?",IF($AD542&gt;0,"KAPALI DÖNEM",IF($I542="Hayır","ÖDENECEK","UYGUN")))),"EKSİK"))))</f>
        <v/>
      </c>
      <c r="Q542" s="6" t="n"/>
      <c r="R542" s="6" t="n"/>
      <c r="S542" s="3">
        <f>IF($L542="","",UPPER(SUBSTITUTE(SUBSTITUTE(SUBSTITUTE(SUBSTITUTE(SUBSTITUTE(SUBSTITUTE(SUBSTITUTE(SUBSTITUTE(SUBSTITUTE(SUBSTITUTE(SUBSTITUTE(SUBSTITUTE(SUBSTITUTE(SUBSTITUTE(SUBSTITUTE(SUBSTITUTE(SUBSTITUTE(SUBSTITUTE(TRIM($L542),"'",""),"İ","I"),"ı","I"),"i","I"),"Ş","S"),"ş","S"),"Ğ","G"),"ğ","G"),"Ü","U"),"ü","U"),"Ö","O"),"ö","O"),"Ç","C"),"ç","C"),".",""),",","")," ",""),"-","")))</f>
        <v/>
      </c>
      <c r="T542" s="3">
        <f>IF(OR($C542="",$D542&lt;&gt;"Gelir",$L542=""),"",IFERROR(INDEX(MUSTERILER!$B$7:$B$106,MATCH($S542,MUSTERILER!$T$7:$T$106,0)),""))</f>
        <v/>
      </c>
      <c r="U542" s="3">
        <f>IF($T542="","",$T542&amp;"|"&amp;COUNTIFS($T$7:$T542,$T542))</f>
        <v/>
      </c>
      <c r="V542" s="3">
        <f>IF($T542="",0,1)</f>
        <v/>
      </c>
      <c r="W542" s="3">
        <f>IF($C542="","",$D542&amp;"|"&amp;$E542&amp;"|"&amp;TEXT($C542,"0")&amp;"|"&amp;TEXT($G542,"0")&amp;"|"&amp;$J542)</f>
        <v/>
      </c>
      <c r="X542" s="3" t="n"/>
      <c r="Y542" s="3" t="n"/>
      <c r="Z542" s="3" t="n"/>
      <c r="AA542" s="3" t="n"/>
      <c r="AB542" s="3" t="n"/>
      <c r="AC542" s="3" t="n"/>
      <c r="AD542" s="3">
        <f>IF($C542="",0,SUMPRODUCT((AY_SONU!$O$7:$O$42="Evet")*(AY_SONU!$B$7:$B$42=DATE(YEAR($C542),MONTH($C542),1))))</f>
        <v/>
      </c>
    </row>
    <row r="543">
      <c r="A543" s="6" t="n"/>
      <c r="B543" s="113">
        <f>IF($C543="","","GG"&amp;TEXT(ROW()-6,"00000"))</f>
        <v/>
      </c>
      <c r="C543" s="220" t="n"/>
      <c r="D543" s="108" t="n"/>
      <c r="E543" s="109" t="n"/>
      <c r="F543" s="109" t="n"/>
      <c r="G543" s="221" t="n"/>
      <c r="H543" s="108" t="n"/>
      <c r="I543" s="108" t="n"/>
      <c r="J543" s="109" t="n"/>
      <c r="K543" s="109" t="n"/>
      <c r="L543" s="108" t="n"/>
      <c r="M543" s="121">
        <f>IF($C543="","",IF($D543="Gider",$E543,IF($L543&lt;&gt;"",$L543,$H543)))</f>
        <v/>
      </c>
      <c r="N543" s="121">
        <f>IF($C543="","",IF($D543="Gider",$H543,$E543))</f>
        <v/>
      </c>
      <c r="O543" s="226">
        <f>IF($C543="","",DATE(YEAR($C543),MONTH($C543),1))</f>
        <v/>
      </c>
      <c r="P543" s="113">
        <f>IF($C543="","",IF(AND($D543="Gelir",$L543&lt;&gt;"",$T543=""),"TANIMSIZ BORÇLU",IF($T543&lt;&gt;"",IF(OR($E543="",$G543&lt;=0),"EKSİK",IF($I543="Evet","TAHAKKUK NAKİT OLAMAZ",IF($C543&gt;TODAY(),"İLERİ TARİH","TAHAKKUK"))),IF(AND($D543&lt;&gt;"",$E543&lt;&gt;"",$G543&gt;0,$H543&lt;&gt;"",$I543&lt;&gt;""),IF($C543&gt;TODAY(),"İLERİ TARİH",IF(COUNTIF($W$7:$W$1206,$W543)&gt;1,"MÜKERRER?",IF($AD543&gt;0,"KAPALI DÖNEM",IF($I543="Hayır","ÖDENECEK","UYGUN")))),"EKSİK"))))</f>
        <v/>
      </c>
      <c r="Q543" s="6" t="n"/>
      <c r="R543" s="6" t="n"/>
      <c r="S543" s="3">
        <f>IF($L543="","",UPPER(SUBSTITUTE(SUBSTITUTE(SUBSTITUTE(SUBSTITUTE(SUBSTITUTE(SUBSTITUTE(SUBSTITUTE(SUBSTITUTE(SUBSTITUTE(SUBSTITUTE(SUBSTITUTE(SUBSTITUTE(SUBSTITUTE(SUBSTITUTE(SUBSTITUTE(SUBSTITUTE(SUBSTITUTE(SUBSTITUTE(TRIM($L543),"'",""),"İ","I"),"ı","I"),"i","I"),"Ş","S"),"ş","S"),"Ğ","G"),"ğ","G"),"Ü","U"),"ü","U"),"Ö","O"),"ö","O"),"Ç","C"),"ç","C"),".",""),",","")," ",""),"-","")))</f>
        <v/>
      </c>
      <c r="T543" s="3">
        <f>IF(OR($C543="",$D543&lt;&gt;"Gelir",$L543=""),"",IFERROR(INDEX(MUSTERILER!$B$7:$B$106,MATCH($S543,MUSTERILER!$T$7:$T$106,0)),""))</f>
        <v/>
      </c>
      <c r="U543" s="3">
        <f>IF($T543="","",$T543&amp;"|"&amp;COUNTIFS($T$7:$T543,$T543))</f>
        <v/>
      </c>
      <c r="V543" s="3">
        <f>IF($T543="",0,1)</f>
        <v/>
      </c>
      <c r="W543" s="3">
        <f>IF($C543="","",$D543&amp;"|"&amp;$E543&amp;"|"&amp;TEXT($C543,"0")&amp;"|"&amp;TEXT($G543,"0")&amp;"|"&amp;$J543)</f>
        <v/>
      </c>
      <c r="X543" s="3" t="n"/>
      <c r="Y543" s="3" t="n"/>
      <c r="Z543" s="3" t="n"/>
      <c r="AA543" s="3" t="n"/>
      <c r="AB543" s="3" t="n"/>
      <c r="AC543" s="3" t="n"/>
      <c r="AD543" s="3">
        <f>IF($C543="",0,SUMPRODUCT((AY_SONU!$O$7:$O$42="Evet")*(AY_SONU!$B$7:$B$42=DATE(YEAR($C543),MONTH($C543),1))))</f>
        <v/>
      </c>
    </row>
    <row r="544">
      <c r="A544" s="6" t="n"/>
      <c r="B544" s="113">
        <f>IF($C544="","","GG"&amp;TEXT(ROW()-6,"00000"))</f>
        <v/>
      </c>
      <c r="C544" s="220" t="n"/>
      <c r="D544" s="108" t="n"/>
      <c r="E544" s="109" t="n"/>
      <c r="F544" s="109" t="n"/>
      <c r="G544" s="221" t="n"/>
      <c r="H544" s="108" t="n"/>
      <c r="I544" s="108" t="n"/>
      <c r="J544" s="109" t="n"/>
      <c r="K544" s="109" t="n"/>
      <c r="L544" s="108" t="n"/>
      <c r="M544" s="121">
        <f>IF($C544="","",IF($D544="Gider",$E544,IF($L544&lt;&gt;"",$L544,$H544)))</f>
        <v/>
      </c>
      <c r="N544" s="121">
        <f>IF($C544="","",IF($D544="Gider",$H544,$E544))</f>
        <v/>
      </c>
      <c r="O544" s="226">
        <f>IF($C544="","",DATE(YEAR($C544),MONTH($C544),1))</f>
        <v/>
      </c>
      <c r="P544" s="113">
        <f>IF($C544="","",IF(AND($D544="Gelir",$L544&lt;&gt;"",$T544=""),"TANIMSIZ BORÇLU",IF($T544&lt;&gt;"",IF(OR($E544="",$G544&lt;=0),"EKSİK",IF($I544="Evet","TAHAKKUK NAKİT OLAMAZ",IF($C544&gt;TODAY(),"İLERİ TARİH","TAHAKKUK"))),IF(AND($D544&lt;&gt;"",$E544&lt;&gt;"",$G544&gt;0,$H544&lt;&gt;"",$I544&lt;&gt;""),IF($C544&gt;TODAY(),"İLERİ TARİH",IF(COUNTIF($W$7:$W$1206,$W544)&gt;1,"MÜKERRER?",IF($AD544&gt;0,"KAPALI DÖNEM",IF($I544="Hayır","ÖDENECEK","UYGUN")))),"EKSİK"))))</f>
        <v/>
      </c>
      <c r="Q544" s="6" t="n"/>
      <c r="R544" s="6" t="n"/>
      <c r="S544" s="3">
        <f>IF($L544="","",UPPER(SUBSTITUTE(SUBSTITUTE(SUBSTITUTE(SUBSTITUTE(SUBSTITUTE(SUBSTITUTE(SUBSTITUTE(SUBSTITUTE(SUBSTITUTE(SUBSTITUTE(SUBSTITUTE(SUBSTITUTE(SUBSTITUTE(SUBSTITUTE(SUBSTITUTE(SUBSTITUTE(SUBSTITUTE(SUBSTITUTE(TRIM($L544),"'",""),"İ","I"),"ı","I"),"i","I"),"Ş","S"),"ş","S"),"Ğ","G"),"ğ","G"),"Ü","U"),"ü","U"),"Ö","O"),"ö","O"),"Ç","C"),"ç","C"),".",""),",","")," ",""),"-","")))</f>
        <v/>
      </c>
      <c r="T544" s="3">
        <f>IF(OR($C544="",$D544&lt;&gt;"Gelir",$L544=""),"",IFERROR(INDEX(MUSTERILER!$B$7:$B$106,MATCH($S544,MUSTERILER!$T$7:$T$106,0)),""))</f>
        <v/>
      </c>
      <c r="U544" s="3">
        <f>IF($T544="","",$T544&amp;"|"&amp;COUNTIFS($T$7:$T544,$T544))</f>
        <v/>
      </c>
      <c r="V544" s="3">
        <f>IF($T544="",0,1)</f>
        <v/>
      </c>
      <c r="W544" s="3">
        <f>IF($C544="","",$D544&amp;"|"&amp;$E544&amp;"|"&amp;TEXT($C544,"0")&amp;"|"&amp;TEXT($G544,"0")&amp;"|"&amp;$J544)</f>
        <v/>
      </c>
      <c r="X544" s="3" t="n"/>
      <c r="Y544" s="3" t="n"/>
      <c r="Z544" s="3" t="n"/>
      <c r="AA544" s="3" t="n"/>
      <c r="AB544" s="3" t="n"/>
      <c r="AC544" s="3" t="n"/>
      <c r="AD544" s="3">
        <f>IF($C544="",0,SUMPRODUCT((AY_SONU!$O$7:$O$42="Evet")*(AY_SONU!$B$7:$B$42=DATE(YEAR($C544),MONTH($C544),1))))</f>
        <v/>
      </c>
    </row>
    <row r="545">
      <c r="A545" s="6" t="n"/>
      <c r="B545" s="113">
        <f>IF($C545="","","GG"&amp;TEXT(ROW()-6,"00000"))</f>
        <v/>
      </c>
      <c r="C545" s="220" t="n"/>
      <c r="D545" s="108" t="n"/>
      <c r="E545" s="109" t="n"/>
      <c r="F545" s="109" t="n"/>
      <c r="G545" s="221" t="n"/>
      <c r="H545" s="108" t="n"/>
      <c r="I545" s="108" t="n"/>
      <c r="J545" s="109" t="n"/>
      <c r="K545" s="109" t="n"/>
      <c r="L545" s="108" t="n"/>
      <c r="M545" s="121">
        <f>IF($C545="","",IF($D545="Gider",$E545,IF($L545&lt;&gt;"",$L545,$H545)))</f>
        <v/>
      </c>
      <c r="N545" s="121">
        <f>IF($C545="","",IF($D545="Gider",$H545,$E545))</f>
        <v/>
      </c>
      <c r="O545" s="226">
        <f>IF($C545="","",DATE(YEAR($C545),MONTH($C545),1))</f>
        <v/>
      </c>
      <c r="P545" s="113">
        <f>IF($C545="","",IF(AND($D545="Gelir",$L545&lt;&gt;"",$T545=""),"TANIMSIZ BORÇLU",IF($T545&lt;&gt;"",IF(OR($E545="",$G545&lt;=0),"EKSİK",IF($I545="Evet","TAHAKKUK NAKİT OLAMAZ",IF($C545&gt;TODAY(),"İLERİ TARİH","TAHAKKUK"))),IF(AND($D545&lt;&gt;"",$E545&lt;&gt;"",$G545&gt;0,$H545&lt;&gt;"",$I545&lt;&gt;""),IF($C545&gt;TODAY(),"İLERİ TARİH",IF(COUNTIF($W$7:$W$1206,$W545)&gt;1,"MÜKERRER?",IF($AD545&gt;0,"KAPALI DÖNEM",IF($I545="Hayır","ÖDENECEK","UYGUN")))),"EKSİK"))))</f>
        <v/>
      </c>
      <c r="Q545" s="6" t="n"/>
      <c r="R545" s="6" t="n"/>
      <c r="S545" s="3">
        <f>IF($L545="","",UPPER(SUBSTITUTE(SUBSTITUTE(SUBSTITUTE(SUBSTITUTE(SUBSTITUTE(SUBSTITUTE(SUBSTITUTE(SUBSTITUTE(SUBSTITUTE(SUBSTITUTE(SUBSTITUTE(SUBSTITUTE(SUBSTITUTE(SUBSTITUTE(SUBSTITUTE(SUBSTITUTE(SUBSTITUTE(SUBSTITUTE(TRIM($L545),"'",""),"İ","I"),"ı","I"),"i","I"),"Ş","S"),"ş","S"),"Ğ","G"),"ğ","G"),"Ü","U"),"ü","U"),"Ö","O"),"ö","O"),"Ç","C"),"ç","C"),".",""),",","")," ",""),"-","")))</f>
        <v/>
      </c>
      <c r="T545" s="3">
        <f>IF(OR($C545="",$D545&lt;&gt;"Gelir",$L545=""),"",IFERROR(INDEX(MUSTERILER!$B$7:$B$106,MATCH($S545,MUSTERILER!$T$7:$T$106,0)),""))</f>
        <v/>
      </c>
      <c r="U545" s="3">
        <f>IF($T545="","",$T545&amp;"|"&amp;COUNTIFS($T$7:$T545,$T545))</f>
        <v/>
      </c>
      <c r="V545" s="3">
        <f>IF($T545="",0,1)</f>
        <v/>
      </c>
      <c r="W545" s="3">
        <f>IF($C545="","",$D545&amp;"|"&amp;$E545&amp;"|"&amp;TEXT($C545,"0")&amp;"|"&amp;TEXT($G545,"0")&amp;"|"&amp;$J545)</f>
        <v/>
      </c>
      <c r="X545" s="3" t="n"/>
      <c r="Y545" s="3" t="n"/>
      <c r="Z545" s="3" t="n"/>
      <c r="AA545" s="3" t="n"/>
      <c r="AB545" s="3" t="n"/>
      <c r="AC545" s="3" t="n"/>
      <c r="AD545" s="3">
        <f>IF($C545="",0,SUMPRODUCT((AY_SONU!$O$7:$O$42="Evet")*(AY_SONU!$B$7:$B$42=DATE(YEAR($C545),MONTH($C545),1))))</f>
        <v/>
      </c>
    </row>
    <row r="546">
      <c r="A546" s="6" t="n"/>
      <c r="B546" s="113">
        <f>IF($C546="","","GG"&amp;TEXT(ROW()-6,"00000"))</f>
        <v/>
      </c>
      <c r="C546" s="220" t="n"/>
      <c r="D546" s="108" t="n"/>
      <c r="E546" s="109" t="n"/>
      <c r="F546" s="109" t="n"/>
      <c r="G546" s="221" t="n"/>
      <c r="H546" s="108" t="n"/>
      <c r="I546" s="108" t="n"/>
      <c r="J546" s="109" t="n"/>
      <c r="K546" s="109" t="n"/>
      <c r="L546" s="108" t="n"/>
      <c r="M546" s="121">
        <f>IF($C546="","",IF($D546="Gider",$E546,IF($L546&lt;&gt;"",$L546,$H546)))</f>
        <v/>
      </c>
      <c r="N546" s="121">
        <f>IF($C546="","",IF($D546="Gider",$H546,$E546))</f>
        <v/>
      </c>
      <c r="O546" s="226">
        <f>IF($C546="","",DATE(YEAR($C546),MONTH($C546),1))</f>
        <v/>
      </c>
      <c r="P546" s="113">
        <f>IF($C546="","",IF(AND($D546="Gelir",$L546&lt;&gt;"",$T546=""),"TANIMSIZ BORÇLU",IF($T546&lt;&gt;"",IF(OR($E546="",$G546&lt;=0),"EKSİK",IF($I546="Evet","TAHAKKUK NAKİT OLAMAZ",IF($C546&gt;TODAY(),"İLERİ TARİH","TAHAKKUK"))),IF(AND($D546&lt;&gt;"",$E546&lt;&gt;"",$G546&gt;0,$H546&lt;&gt;"",$I546&lt;&gt;""),IF($C546&gt;TODAY(),"İLERİ TARİH",IF(COUNTIF($W$7:$W$1206,$W546)&gt;1,"MÜKERRER?",IF($AD546&gt;0,"KAPALI DÖNEM",IF($I546="Hayır","ÖDENECEK","UYGUN")))),"EKSİK"))))</f>
        <v/>
      </c>
      <c r="Q546" s="6" t="n"/>
      <c r="R546" s="6" t="n"/>
      <c r="S546" s="3">
        <f>IF($L546="","",UPPER(SUBSTITUTE(SUBSTITUTE(SUBSTITUTE(SUBSTITUTE(SUBSTITUTE(SUBSTITUTE(SUBSTITUTE(SUBSTITUTE(SUBSTITUTE(SUBSTITUTE(SUBSTITUTE(SUBSTITUTE(SUBSTITUTE(SUBSTITUTE(SUBSTITUTE(SUBSTITUTE(SUBSTITUTE(SUBSTITUTE(TRIM($L546),"'",""),"İ","I"),"ı","I"),"i","I"),"Ş","S"),"ş","S"),"Ğ","G"),"ğ","G"),"Ü","U"),"ü","U"),"Ö","O"),"ö","O"),"Ç","C"),"ç","C"),".",""),",","")," ",""),"-","")))</f>
        <v/>
      </c>
      <c r="T546" s="3">
        <f>IF(OR($C546="",$D546&lt;&gt;"Gelir",$L546=""),"",IFERROR(INDEX(MUSTERILER!$B$7:$B$106,MATCH($S546,MUSTERILER!$T$7:$T$106,0)),""))</f>
        <v/>
      </c>
      <c r="U546" s="3">
        <f>IF($T546="","",$T546&amp;"|"&amp;COUNTIFS($T$7:$T546,$T546))</f>
        <v/>
      </c>
      <c r="V546" s="3">
        <f>IF($T546="",0,1)</f>
        <v/>
      </c>
      <c r="W546" s="3">
        <f>IF($C546="","",$D546&amp;"|"&amp;$E546&amp;"|"&amp;TEXT($C546,"0")&amp;"|"&amp;TEXT($G546,"0")&amp;"|"&amp;$J546)</f>
        <v/>
      </c>
      <c r="X546" s="3" t="n"/>
      <c r="Y546" s="3" t="n"/>
      <c r="Z546" s="3" t="n"/>
      <c r="AA546" s="3" t="n"/>
      <c r="AB546" s="3" t="n"/>
      <c r="AC546" s="3" t="n"/>
      <c r="AD546" s="3">
        <f>IF($C546="",0,SUMPRODUCT((AY_SONU!$O$7:$O$42="Evet")*(AY_SONU!$B$7:$B$42=DATE(YEAR($C546),MONTH($C546),1))))</f>
        <v/>
      </c>
    </row>
    <row r="547">
      <c r="A547" s="6" t="n"/>
      <c r="B547" s="113">
        <f>IF($C547="","","GG"&amp;TEXT(ROW()-6,"00000"))</f>
        <v/>
      </c>
      <c r="C547" s="220" t="n"/>
      <c r="D547" s="108" t="n"/>
      <c r="E547" s="109" t="n"/>
      <c r="F547" s="109" t="n"/>
      <c r="G547" s="221" t="n"/>
      <c r="H547" s="108" t="n"/>
      <c r="I547" s="108" t="n"/>
      <c r="J547" s="109" t="n"/>
      <c r="K547" s="109" t="n"/>
      <c r="L547" s="108" t="n"/>
      <c r="M547" s="121">
        <f>IF($C547="","",IF($D547="Gider",$E547,IF($L547&lt;&gt;"",$L547,$H547)))</f>
        <v/>
      </c>
      <c r="N547" s="121">
        <f>IF($C547="","",IF($D547="Gider",$H547,$E547))</f>
        <v/>
      </c>
      <c r="O547" s="226">
        <f>IF($C547="","",DATE(YEAR($C547),MONTH($C547),1))</f>
        <v/>
      </c>
      <c r="P547" s="113">
        <f>IF($C547="","",IF(AND($D547="Gelir",$L547&lt;&gt;"",$T547=""),"TANIMSIZ BORÇLU",IF($T547&lt;&gt;"",IF(OR($E547="",$G547&lt;=0),"EKSİK",IF($I547="Evet","TAHAKKUK NAKİT OLAMAZ",IF($C547&gt;TODAY(),"İLERİ TARİH","TAHAKKUK"))),IF(AND($D547&lt;&gt;"",$E547&lt;&gt;"",$G547&gt;0,$H547&lt;&gt;"",$I547&lt;&gt;""),IF($C547&gt;TODAY(),"İLERİ TARİH",IF(COUNTIF($W$7:$W$1206,$W547)&gt;1,"MÜKERRER?",IF($AD547&gt;0,"KAPALI DÖNEM",IF($I547="Hayır","ÖDENECEK","UYGUN")))),"EKSİK"))))</f>
        <v/>
      </c>
      <c r="Q547" s="6" t="n"/>
      <c r="R547" s="6" t="n"/>
      <c r="S547" s="3">
        <f>IF($L547="","",UPPER(SUBSTITUTE(SUBSTITUTE(SUBSTITUTE(SUBSTITUTE(SUBSTITUTE(SUBSTITUTE(SUBSTITUTE(SUBSTITUTE(SUBSTITUTE(SUBSTITUTE(SUBSTITUTE(SUBSTITUTE(SUBSTITUTE(SUBSTITUTE(SUBSTITUTE(SUBSTITUTE(SUBSTITUTE(SUBSTITUTE(TRIM($L547),"'",""),"İ","I"),"ı","I"),"i","I"),"Ş","S"),"ş","S"),"Ğ","G"),"ğ","G"),"Ü","U"),"ü","U"),"Ö","O"),"ö","O"),"Ç","C"),"ç","C"),".",""),",","")," ",""),"-","")))</f>
        <v/>
      </c>
      <c r="T547" s="3">
        <f>IF(OR($C547="",$D547&lt;&gt;"Gelir",$L547=""),"",IFERROR(INDEX(MUSTERILER!$B$7:$B$106,MATCH($S547,MUSTERILER!$T$7:$T$106,0)),""))</f>
        <v/>
      </c>
      <c r="U547" s="3">
        <f>IF($T547="","",$T547&amp;"|"&amp;COUNTIFS($T$7:$T547,$T547))</f>
        <v/>
      </c>
      <c r="V547" s="3">
        <f>IF($T547="",0,1)</f>
        <v/>
      </c>
      <c r="W547" s="3">
        <f>IF($C547="","",$D547&amp;"|"&amp;$E547&amp;"|"&amp;TEXT($C547,"0")&amp;"|"&amp;TEXT($G547,"0")&amp;"|"&amp;$J547)</f>
        <v/>
      </c>
      <c r="X547" s="3" t="n"/>
      <c r="Y547" s="3" t="n"/>
      <c r="Z547" s="3" t="n"/>
      <c r="AA547" s="3" t="n"/>
      <c r="AB547" s="3" t="n"/>
      <c r="AC547" s="3" t="n"/>
      <c r="AD547" s="3">
        <f>IF($C547="",0,SUMPRODUCT((AY_SONU!$O$7:$O$42="Evet")*(AY_SONU!$B$7:$B$42=DATE(YEAR($C547),MONTH($C547),1))))</f>
        <v/>
      </c>
    </row>
    <row r="548">
      <c r="A548" s="6" t="n"/>
      <c r="B548" s="113">
        <f>IF($C548="","","GG"&amp;TEXT(ROW()-6,"00000"))</f>
        <v/>
      </c>
      <c r="C548" s="220" t="n"/>
      <c r="D548" s="108" t="n"/>
      <c r="E548" s="109" t="n"/>
      <c r="F548" s="109" t="n"/>
      <c r="G548" s="221" t="n"/>
      <c r="H548" s="108" t="n"/>
      <c r="I548" s="108" t="n"/>
      <c r="J548" s="109" t="n"/>
      <c r="K548" s="109" t="n"/>
      <c r="L548" s="108" t="n"/>
      <c r="M548" s="121">
        <f>IF($C548="","",IF($D548="Gider",$E548,IF($L548&lt;&gt;"",$L548,$H548)))</f>
        <v/>
      </c>
      <c r="N548" s="121">
        <f>IF($C548="","",IF($D548="Gider",$H548,$E548))</f>
        <v/>
      </c>
      <c r="O548" s="226">
        <f>IF($C548="","",DATE(YEAR($C548),MONTH($C548),1))</f>
        <v/>
      </c>
      <c r="P548" s="113">
        <f>IF($C548="","",IF(AND($D548="Gelir",$L548&lt;&gt;"",$T548=""),"TANIMSIZ BORÇLU",IF($T548&lt;&gt;"",IF(OR($E548="",$G548&lt;=0),"EKSİK",IF($I548="Evet","TAHAKKUK NAKİT OLAMAZ",IF($C548&gt;TODAY(),"İLERİ TARİH","TAHAKKUK"))),IF(AND($D548&lt;&gt;"",$E548&lt;&gt;"",$G548&gt;0,$H548&lt;&gt;"",$I548&lt;&gt;""),IF($C548&gt;TODAY(),"İLERİ TARİH",IF(COUNTIF($W$7:$W$1206,$W548)&gt;1,"MÜKERRER?",IF($AD548&gt;0,"KAPALI DÖNEM",IF($I548="Hayır","ÖDENECEK","UYGUN")))),"EKSİK"))))</f>
        <v/>
      </c>
      <c r="Q548" s="6" t="n"/>
      <c r="R548" s="6" t="n"/>
      <c r="S548" s="3">
        <f>IF($L548="","",UPPER(SUBSTITUTE(SUBSTITUTE(SUBSTITUTE(SUBSTITUTE(SUBSTITUTE(SUBSTITUTE(SUBSTITUTE(SUBSTITUTE(SUBSTITUTE(SUBSTITUTE(SUBSTITUTE(SUBSTITUTE(SUBSTITUTE(SUBSTITUTE(SUBSTITUTE(SUBSTITUTE(SUBSTITUTE(SUBSTITUTE(TRIM($L548),"'",""),"İ","I"),"ı","I"),"i","I"),"Ş","S"),"ş","S"),"Ğ","G"),"ğ","G"),"Ü","U"),"ü","U"),"Ö","O"),"ö","O"),"Ç","C"),"ç","C"),".",""),",","")," ",""),"-","")))</f>
        <v/>
      </c>
      <c r="T548" s="3">
        <f>IF(OR($C548="",$D548&lt;&gt;"Gelir",$L548=""),"",IFERROR(INDEX(MUSTERILER!$B$7:$B$106,MATCH($S548,MUSTERILER!$T$7:$T$106,0)),""))</f>
        <v/>
      </c>
      <c r="U548" s="3">
        <f>IF($T548="","",$T548&amp;"|"&amp;COUNTIFS($T$7:$T548,$T548))</f>
        <v/>
      </c>
      <c r="V548" s="3">
        <f>IF($T548="",0,1)</f>
        <v/>
      </c>
      <c r="W548" s="3">
        <f>IF($C548="","",$D548&amp;"|"&amp;$E548&amp;"|"&amp;TEXT($C548,"0")&amp;"|"&amp;TEXT($G548,"0")&amp;"|"&amp;$J548)</f>
        <v/>
      </c>
      <c r="X548" s="3" t="n"/>
      <c r="Y548" s="3" t="n"/>
      <c r="Z548" s="3" t="n"/>
      <c r="AA548" s="3" t="n"/>
      <c r="AB548" s="3" t="n"/>
      <c r="AC548" s="3" t="n"/>
      <c r="AD548" s="3">
        <f>IF($C548="",0,SUMPRODUCT((AY_SONU!$O$7:$O$42="Evet")*(AY_SONU!$B$7:$B$42=DATE(YEAR($C548),MONTH($C548),1))))</f>
        <v/>
      </c>
    </row>
    <row r="549">
      <c r="A549" s="6" t="n"/>
      <c r="B549" s="113">
        <f>IF($C549="","","GG"&amp;TEXT(ROW()-6,"00000"))</f>
        <v/>
      </c>
      <c r="C549" s="220" t="n"/>
      <c r="D549" s="108" t="n"/>
      <c r="E549" s="109" t="n"/>
      <c r="F549" s="109" t="n"/>
      <c r="G549" s="221" t="n"/>
      <c r="H549" s="108" t="n"/>
      <c r="I549" s="108" t="n"/>
      <c r="J549" s="109" t="n"/>
      <c r="K549" s="109" t="n"/>
      <c r="L549" s="108" t="n"/>
      <c r="M549" s="121">
        <f>IF($C549="","",IF($D549="Gider",$E549,IF($L549&lt;&gt;"",$L549,$H549)))</f>
        <v/>
      </c>
      <c r="N549" s="121">
        <f>IF($C549="","",IF($D549="Gider",$H549,$E549))</f>
        <v/>
      </c>
      <c r="O549" s="226">
        <f>IF($C549="","",DATE(YEAR($C549),MONTH($C549),1))</f>
        <v/>
      </c>
      <c r="P549" s="113">
        <f>IF($C549="","",IF(AND($D549="Gelir",$L549&lt;&gt;"",$T549=""),"TANIMSIZ BORÇLU",IF($T549&lt;&gt;"",IF(OR($E549="",$G549&lt;=0),"EKSİK",IF($I549="Evet","TAHAKKUK NAKİT OLAMAZ",IF($C549&gt;TODAY(),"İLERİ TARİH","TAHAKKUK"))),IF(AND($D549&lt;&gt;"",$E549&lt;&gt;"",$G549&gt;0,$H549&lt;&gt;"",$I549&lt;&gt;""),IF($C549&gt;TODAY(),"İLERİ TARİH",IF(COUNTIF($W$7:$W$1206,$W549)&gt;1,"MÜKERRER?",IF($AD549&gt;0,"KAPALI DÖNEM",IF($I549="Hayır","ÖDENECEK","UYGUN")))),"EKSİK"))))</f>
        <v/>
      </c>
      <c r="Q549" s="6" t="n"/>
      <c r="R549" s="6" t="n"/>
      <c r="S549" s="3">
        <f>IF($L549="","",UPPER(SUBSTITUTE(SUBSTITUTE(SUBSTITUTE(SUBSTITUTE(SUBSTITUTE(SUBSTITUTE(SUBSTITUTE(SUBSTITUTE(SUBSTITUTE(SUBSTITUTE(SUBSTITUTE(SUBSTITUTE(SUBSTITUTE(SUBSTITUTE(SUBSTITUTE(SUBSTITUTE(SUBSTITUTE(SUBSTITUTE(TRIM($L549),"'",""),"İ","I"),"ı","I"),"i","I"),"Ş","S"),"ş","S"),"Ğ","G"),"ğ","G"),"Ü","U"),"ü","U"),"Ö","O"),"ö","O"),"Ç","C"),"ç","C"),".",""),",","")," ",""),"-","")))</f>
        <v/>
      </c>
      <c r="T549" s="3">
        <f>IF(OR($C549="",$D549&lt;&gt;"Gelir",$L549=""),"",IFERROR(INDEX(MUSTERILER!$B$7:$B$106,MATCH($S549,MUSTERILER!$T$7:$T$106,0)),""))</f>
        <v/>
      </c>
      <c r="U549" s="3">
        <f>IF($T549="","",$T549&amp;"|"&amp;COUNTIFS($T$7:$T549,$T549))</f>
        <v/>
      </c>
      <c r="V549" s="3">
        <f>IF($T549="",0,1)</f>
        <v/>
      </c>
      <c r="W549" s="3">
        <f>IF($C549="","",$D549&amp;"|"&amp;$E549&amp;"|"&amp;TEXT($C549,"0")&amp;"|"&amp;TEXT($G549,"0")&amp;"|"&amp;$J549)</f>
        <v/>
      </c>
      <c r="X549" s="3" t="n"/>
      <c r="Y549" s="3" t="n"/>
      <c r="Z549" s="3" t="n"/>
      <c r="AA549" s="3" t="n"/>
      <c r="AB549" s="3" t="n"/>
      <c r="AC549" s="3" t="n"/>
      <c r="AD549" s="3">
        <f>IF($C549="",0,SUMPRODUCT((AY_SONU!$O$7:$O$42="Evet")*(AY_SONU!$B$7:$B$42=DATE(YEAR($C549),MONTH($C549),1))))</f>
        <v/>
      </c>
    </row>
    <row r="550">
      <c r="A550" s="6" t="n"/>
      <c r="B550" s="113">
        <f>IF($C550="","","GG"&amp;TEXT(ROW()-6,"00000"))</f>
        <v/>
      </c>
      <c r="C550" s="220" t="n"/>
      <c r="D550" s="108" t="n"/>
      <c r="E550" s="109" t="n"/>
      <c r="F550" s="109" t="n"/>
      <c r="G550" s="221" t="n"/>
      <c r="H550" s="108" t="n"/>
      <c r="I550" s="108" t="n"/>
      <c r="J550" s="109" t="n"/>
      <c r="K550" s="109" t="n"/>
      <c r="L550" s="108" t="n"/>
      <c r="M550" s="121">
        <f>IF($C550="","",IF($D550="Gider",$E550,IF($L550&lt;&gt;"",$L550,$H550)))</f>
        <v/>
      </c>
      <c r="N550" s="121">
        <f>IF($C550="","",IF($D550="Gider",$H550,$E550))</f>
        <v/>
      </c>
      <c r="O550" s="226">
        <f>IF($C550="","",DATE(YEAR($C550),MONTH($C550),1))</f>
        <v/>
      </c>
      <c r="P550" s="113">
        <f>IF($C550="","",IF(AND($D550="Gelir",$L550&lt;&gt;"",$T550=""),"TANIMSIZ BORÇLU",IF($T550&lt;&gt;"",IF(OR($E550="",$G550&lt;=0),"EKSİK",IF($I550="Evet","TAHAKKUK NAKİT OLAMAZ",IF($C550&gt;TODAY(),"İLERİ TARİH","TAHAKKUK"))),IF(AND($D550&lt;&gt;"",$E550&lt;&gt;"",$G550&gt;0,$H550&lt;&gt;"",$I550&lt;&gt;""),IF($C550&gt;TODAY(),"İLERİ TARİH",IF(COUNTIF($W$7:$W$1206,$W550)&gt;1,"MÜKERRER?",IF($AD550&gt;0,"KAPALI DÖNEM",IF($I550="Hayır","ÖDENECEK","UYGUN")))),"EKSİK"))))</f>
        <v/>
      </c>
      <c r="Q550" s="6" t="n"/>
      <c r="R550" s="6" t="n"/>
      <c r="S550" s="3">
        <f>IF($L550="","",UPPER(SUBSTITUTE(SUBSTITUTE(SUBSTITUTE(SUBSTITUTE(SUBSTITUTE(SUBSTITUTE(SUBSTITUTE(SUBSTITUTE(SUBSTITUTE(SUBSTITUTE(SUBSTITUTE(SUBSTITUTE(SUBSTITUTE(SUBSTITUTE(SUBSTITUTE(SUBSTITUTE(SUBSTITUTE(SUBSTITUTE(TRIM($L550),"'",""),"İ","I"),"ı","I"),"i","I"),"Ş","S"),"ş","S"),"Ğ","G"),"ğ","G"),"Ü","U"),"ü","U"),"Ö","O"),"ö","O"),"Ç","C"),"ç","C"),".",""),",","")," ",""),"-","")))</f>
        <v/>
      </c>
      <c r="T550" s="3">
        <f>IF(OR($C550="",$D550&lt;&gt;"Gelir",$L550=""),"",IFERROR(INDEX(MUSTERILER!$B$7:$B$106,MATCH($S550,MUSTERILER!$T$7:$T$106,0)),""))</f>
        <v/>
      </c>
      <c r="U550" s="3">
        <f>IF($T550="","",$T550&amp;"|"&amp;COUNTIFS($T$7:$T550,$T550))</f>
        <v/>
      </c>
      <c r="V550" s="3">
        <f>IF($T550="",0,1)</f>
        <v/>
      </c>
      <c r="W550" s="3">
        <f>IF($C550="","",$D550&amp;"|"&amp;$E550&amp;"|"&amp;TEXT($C550,"0")&amp;"|"&amp;TEXT($G550,"0")&amp;"|"&amp;$J550)</f>
        <v/>
      </c>
      <c r="X550" s="3" t="n"/>
      <c r="Y550" s="3" t="n"/>
      <c r="Z550" s="3" t="n"/>
      <c r="AA550" s="3" t="n"/>
      <c r="AB550" s="3" t="n"/>
      <c r="AC550" s="3" t="n"/>
      <c r="AD550" s="3">
        <f>IF($C550="",0,SUMPRODUCT((AY_SONU!$O$7:$O$42="Evet")*(AY_SONU!$B$7:$B$42=DATE(YEAR($C550),MONTH($C550),1))))</f>
        <v/>
      </c>
    </row>
    <row r="551">
      <c r="A551" s="6" t="n"/>
      <c r="B551" s="113">
        <f>IF($C551="","","GG"&amp;TEXT(ROW()-6,"00000"))</f>
        <v/>
      </c>
      <c r="C551" s="220" t="n"/>
      <c r="D551" s="108" t="n"/>
      <c r="E551" s="109" t="n"/>
      <c r="F551" s="109" t="n"/>
      <c r="G551" s="221" t="n"/>
      <c r="H551" s="108" t="n"/>
      <c r="I551" s="108" t="n"/>
      <c r="J551" s="109" t="n"/>
      <c r="K551" s="109" t="n"/>
      <c r="L551" s="108" t="n"/>
      <c r="M551" s="121">
        <f>IF($C551="","",IF($D551="Gider",$E551,IF($L551&lt;&gt;"",$L551,$H551)))</f>
        <v/>
      </c>
      <c r="N551" s="121">
        <f>IF($C551="","",IF($D551="Gider",$H551,$E551))</f>
        <v/>
      </c>
      <c r="O551" s="226">
        <f>IF($C551="","",DATE(YEAR($C551),MONTH($C551),1))</f>
        <v/>
      </c>
      <c r="P551" s="113">
        <f>IF($C551="","",IF(AND($D551="Gelir",$L551&lt;&gt;"",$T551=""),"TANIMSIZ BORÇLU",IF($T551&lt;&gt;"",IF(OR($E551="",$G551&lt;=0),"EKSİK",IF($I551="Evet","TAHAKKUK NAKİT OLAMAZ",IF($C551&gt;TODAY(),"İLERİ TARİH","TAHAKKUK"))),IF(AND($D551&lt;&gt;"",$E551&lt;&gt;"",$G551&gt;0,$H551&lt;&gt;"",$I551&lt;&gt;""),IF($C551&gt;TODAY(),"İLERİ TARİH",IF(COUNTIF($W$7:$W$1206,$W551)&gt;1,"MÜKERRER?",IF($AD551&gt;0,"KAPALI DÖNEM",IF($I551="Hayır","ÖDENECEK","UYGUN")))),"EKSİK"))))</f>
        <v/>
      </c>
      <c r="Q551" s="6" t="n"/>
      <c r="R551" s="6" t="n"/>
      <c r="S551" s="3">
        <f>IF($L551="","",UPPER(SUBSTITUTE(SUBSTITUTE(SUBSTITUTE(SUBSTITUTE(SUBSTITUTE(SUBSTITUTE(SUBSTITUTE(SUBSTITUTE(SUBSTITUTE(SUBSTITUTE(SUBSTITUTE(SUBSTITUTE(SUBSTITUTE(SUBSTITUTE(SUBSTITUTE(SUBSTITUTE(SUBSTITUTE(SUBSTITUTE(TRIM($L551),"'",""),"İ","I"),"ı","I"),"i","I"),"Ş","S"),"ş","S"),"Ğ","G"),"ğ","G"),"Ü","U"),"ü","U"),"Ö","O"),"ö","O"),"Ç","C"),"ç","C"),".",""),",","")," ",""),"-","")))</f>
        <v/>
      </c>
      <c r="T551" s="3">
        <f>IF(OR($C551="",$D551&lt;&gt;"Gelir",$L551=""),"",IFERROR(INDEX(MUSTERILER!$B$7:$B$106,MATCH($S551,MUSTERILER!$T$7:$T$106,0)),""))</f>
        <v/>
      </c>
      <c r="U551" s="3">
        <f>IF($T551="","",$T551&amp;"|"&amp;COUNTIFS($T$7:$T551,$T551))</f>
        <v/>
      </c>
      <c r="V551" s="3">
        <f>IF($T551="",0,1)</f>
        <v/>
      </c>
      <c r="W551" s="3">
        <f>IF($C551="","",$D551&amp;"|"&amp;$E551&amp;"|"&amp;TEXT($C551,"0")&amp;"|"&amp;TEXT($G551,"0")&amp;"|"&amp;$J551)</f>
        <v/>
      </c>
      <c r="X551" s="3" t="n"/>
      <c r="Y551" s="3" t="n"/>
      <c r="Z551" s="3" t="n"/>
      <c r="AA551" s="3" t="n"/>
      <c r="AB551" s="3" t="n"/>
      <c r="AC551" s="3" t="n"/>
      <c r="AD551" s="3">
        <f>IF($C551="",0,SUMPRODUCT((AY_SONU!$O$7:$O$42="Evet")*(AY_SONU!$B$7:$B$42=DATE(YEAR($C551),MONTH($C551),1))))</f>
        <v/>
      </c>
    </row>
    <row r="552">
      <c r="A552" s="6" t="n"/>
      <c r="B552" s="113">
        <f>IF($C552="","","GG"&amp;TEXT(ROW()-6,"00000"))</f>
        <v/>
      </c>
      <c r="C552" s="220" t="n"/>
      <c r="D552" s="108" t="n"/>
      <c r="E552" s="109" t="n"/>
      <c r="F552" s="109" t="n"/>
      <c r="G552" s="221" t="n"/>
      <c r="H552" s="108" t="n"/>
      <c r="I552" s="108" t="n"/>
      <c r="J552" s="109" t="n"/>
      <c r="K552" s="109" t="n"/>
      <c r="L552" s="108" t="n"/>
      <c r="M552" s="121">
        <f>IF($C552="","",IF($D552="Gider",$E552,IF($L552&lt;&gt;"",$L552,$H552)))</f>
        <v/>
      </c>
      <c r="N552" s="121">
        <f>IF($C552="","",IF($D552="Gider",$H552,$E552))</f>
        <v/>
      </c>
      <c r="O552" s="226">
        <f>IF($C552="","",DATE(YEAR($C552),MONTH($C552),1))</f>
        <v/>
      </c>
      <c r="P552" s="113">
        <f>IF($C552="","",IF(AND($D552="Gelir",$L552&lt;&gt;"",$T552=""),"TANIMSIZ BORÇLU",IF($T552&lt;&gt;"",IF(OR($E552="",$G552&lt;=0),"EKSİK",IF($I552="Evet","TAHAKKUK NAKİT OLAMAZ",IF($C552&gt;TODAY(),"İLERİ TARİH","TAHAKKUK"))),IF(AND($D552&lt;&gt;"",$E552&lt;&gt;"",$G552&gt;0,$H552&lt;&gt;"",$I552&lt;&gt;""),IF($C552&gt;TODAY(),"İLERİ TARİH",IF(COUNTIF($W$7:$W$1206,$W552)&gt;1,"MÜKERRER?",IF($AD552&gt;0,"KAPALI DÖNEM",IF($I552="Hayır","ÖDENECEK","UYGUN")))),"EKSİK"))))</f>
        <v/>
      </c>
      <c r="Q552" s="6" t="n"/>
      <c r="R552" s="6" t="n"/>
      <c r="S552" s="3">
        <f>IF($L552="","",UPPER(SUBSTITUTE(SUBSTITUTE(SUBSTITUTE(SUBSTITUTE(SUBSTITUTE(SUBSTITUTE(SUBSTITUTE(SUBSTITUTE(SUBSTITUTE(SUBSTITUTE(SUBSTITUTE(SUBSTITUTE(SUBSTITUTE(SUBSTITUTE(SUBSTITUTE(SUBSTITUTE(SUBSTITUTE(SUBSTITUTE(TRIM($L552),"'",""),"İ","I"),"ı","I"),"i","I"),"Ş","S"),"ş","S"),"Ğ","G"),"ğ","G"),"Ü","U"),"ü","U"),"Ö","O"),"ö","O"),"Ç","C"),"ç","C"),".",""),",","")," ",""),"-","")))</f>
        <v/>
      </c>
      <c r="T552" s="3">
        <f>IF(OR($C552="",$D552&lt;&gt;"Gelir",$L552=""),"",IFERROR(INDEX(MUSTERILER!$B$7:$B$106,MATCH($S552,MUSTERILER!$T$7:$T$106,0)),""))</f>
        <v/>
      </c>
      <c r="U552" s="3">
        <f>IF($T552="","",$T552&amp;"|"&amp;COUNTIFS($T$7:$T552,$T552))</f>
        <v/>
      </c>
      <c r="V552" s="3">
        <f>IF($T552="",0,1)</f>
        <v/>
      </c>
      <c r="W552" s="3">
        <f>IF($C552="","",$D552&amp;"|"&amp;$E552&amp;"|"&amp;TEXT($C552,"0")&amp;"|"&amp;TEXT($G552,"0")&amp;"|"&amp;$J552)</f>
        <v/>
      </c>
      <c r="X552" s="3" t="n"/>
      <c r="Y552" s="3" t="n"/>
      <c r="Z552" s="3" t="n"/>
      <c r="AA552" s="3" t="n"/>
      <c r="AB552" s="3" t="n"/>
      <c r="AC552" s="3" t="n"/>
      <c r="AD552" s="3">
        <f>IF($C552="",0,SUMPRODUCT((AY_SONU!$O$7:$O$42="Evet")*(AY_SONU!$B$7:$B$42=DATE(YEAR($C552),MONTH($C552),1))))</f>
        <v/>
      </c>
    </row>
    <row r="553">
      <c r="A553" s="6" t="n"/>
      <c r="B553" s="113">
        <f>IF($C553="","","GG"&amp;TEXT(ROW()-6,"00000"))</f>
        <v/>
      </c>
      <c r="C553" s="220" t="n"/>
      <c r="D553" s="108" t="n"/>
      <c r="E553" s="109" t="n"/>
      <c r="F553" s="109" t="n"/>
      <c r="G553" s="221" t="n"/>
      <c r="H553" s="108" t="n"/>
      <c r="I553" s="108" t="n"/>
      <c r="J553" s="109" t="n"/>
      <c r="K553" s="109" t="n"/>
      <c r="L553" s="108" t="n"/>
      <c r="M553" s="121">
        <f>IF($C553="","",IF($D553="Gider",$E553,IF($L553&lt;&gt;"",$L553,$H553)))</f>
        <v/>
      </c>
      <c r="N553" s="121">
        <f>IF($C553="","",IF($D553="Gider",$H553,$E553))</f>
        <v/>
      </c>
      <c r="O553" s="226">
        <f>IF($C553="","",DATE(YEAR($C553),MONTH($C553),1))</f>
        <v/>
      </c>
      <c r="P553" s="113">
        <f>IF($C553="","",IF(AND($D553="Gelir",$L553&lt;&gt;"",$T553=""),"TANIMSIZ BORÇLU",IF($T553&lt;&gt;"",IF(OR($E553="",$G553&lt;=0),"EKSİK",IF($I553="Evet","TAHAKKUK NAKİT OLAMAZ",IF($C553&gt;TODAY(),"İLERİ TARİH","TAHAKKUK"))),IF(AND($D553&lt;&gt;"",$E553&lt;&gt;"",$G553&gt;0,$H553&lt;&gt;"",$I553&lt;&gt;""),IF($C553&gt;TODAY(),"İLERİ TARİH",IF(COUNTIF($W$7:$W$1206,$W553)&gt;1,"MÜKERRER?",IF($AD553&gt;0,"KAPALI DÖNEM",IF($I553="Hayır","ÖDENECEK","UYGUN")))),"EKSİK"))))</f>
        <v/>
      </c>
      <c r="Q553" s="6" t="n"/>
      <c r="R553" s="6" t="n"/>
      <c r="S553" s="3">
        <f>IF($L553="","",UPPER(SUBSTITUTE(SUBSTITUTE(SUBSTITUTE(SUBSTITUTE(SUBSTITUTE(SUBSTITUTE(SUBSTITUTE(SUBSTITUTE(SUBSTITUTE(SUBSTITUTE(SUBSTITUTE(SUBSTITUTE(SUBSTITUTE(SUBSTITUTE(SUBSTITUTE(SUBSTITUTE(SUBSTITUTE(SUBSTITUTE(TRIM($L553),"'",""),"İ","I"),"ı","I"),"i","I"),"Ş","S"),"ş","S"),"Ğ","G"),"ğ","G"),"Ü","U"),"ü","U"),"Ö","O"),"ö","O"),"Ç","C"),"ç","C"),".",""),",","")," ",""),"-","")))</f>
        <v/>
      </c>
      <c r="T553" s="3">
        <f>IF(OR($C553="",$D553&lt;&gt;"Gelir",$L553=""),"",IFERROR(INDEX(MUSTERILER!$B$7:$B$106,MATCH($S553,MUSTERILER!$T$7:$T$106,0)),""))</f>
        <v/>
      </c>
      <c r="U553" s="3">
        <f>IF($T553="","",$T553&amp;"|"&amp;COUNTIFS($T$7:$T553,$T553))</f>
        <v/>
      </c>
      <c r="V553" s="3">
        <f>IF($T553="",0,1)</f>
        <v/>
      </c>
      <c r="W553" s="3">
        <f>IF($C553="","",$D553&amp;"|"&amp;$E553&amp;"|"&amp;TEXT($C553,"0")&amp;"|"&amp;TEXT($G553,"0")&amp;"|"&amp;$J553)</f>
        <v/>
      </c>
      <c r="X553" s="3" t="n"/>
      <c r="Y553" s="3" t="n"/>
      <c r="Z553" s="3" t="n"/>
      <c r="AA553" s="3" t="n"/>
      <c r="AB553" s="3" t="n"/>
      <c r="AC553" s="3" t="n"/>
      <c r="AD553" s="3">
        <f>IF($C553="",0,SUMPRODUCT((AY_SONU!$O$7:$O$42="Evet")*(AY_SONU!$B$7:$B$42=DATE(YEAR($C553),MONTH($C553),1))))</f>
        <v/>
      </c>
    </row>
    <row r="554">
      <c r="A554" s="6" t="n"/>
      <c r="B554" s="113">
        <f>IF($C554="","","GG"&amp;TEXT(ROW()-6,"00000"))</f>
        <v/>
      </c>
      <c r="C554" s="220" t="n"/>
      <c r="D554" s="108" t="n"/>
      <c r="E554" s="109" t="n"/>
      <c r="F554" s="109" t="n"/>
      <c r="G554" s="221" t="n"/>
      <c r="H554" s="108" t="n"/>
      <c r="I554" s="108" t="n"/>
      <c r="J554" s="109" t="n"/>
      <c r="K554" s="109" t="n"/>
      <c r="L554" s="108" t="n"/>
      <c r="M554" s="121">
        <f>IF($C554="","",IF($D554="Gider",$E554,IF($L554&lt;&gt;"",$L554,$H554)))</f>
        <v/>
      </c>
      <c r="N554" s="121">
        <f>IF($C554="","",IF($D554="Gider",$H554,$E554))</f>
        <v/>
      </c>
      <c r="O554" s="226">
        <f>IF($C554="","",DATE(YEAR($C554),MONTH($C554),1))</f>
        <v/>
      </c>
      <c r="P554" s="113">
        <f>IF($C554="","",IF(AND($D554="Gelir",$L554&lt;&gt;"",$T554=""),"TANIMSIZ BORÇLU",IF($T554&lt;&gt;"",IF(OR($E554="",$G554&lt;=0),"EKSİK",IF($I554="Evet","TAHAKKUK NAKİT OLAMAZ",IF($C554&gt;TODAY(),"İLERİ TARİH","TAHAKKUK"))),IF(AND($D554&lt;&gt;"",$E554&lt;&gt;"",$G554&gt;0,$H554&lt;&gt;"",$I554&lt;&gt;""),IF($C554&gt;TODAY(),"İLERİ TARİH",IF(COUNTIF($W$7:$W$1206,$W554)&gt;1,"MÜKERRER?",IF($AD554&gt;0,"KAPALI DÖNEM",IF($I554="Hayır","ÖDENECEK","UYGUN")))),"EKSİK"))))</f>
        <v/>
      </c>
      <c r="Q554" s="6" t="n"/>
      <c r="R554" s="6" t="n"/>
      <c r="S554" s="3">
        <f>IF($L554="","",UPPER(SUBSTITUTE(SUBSTITUTE(SUBSTITUTE(SUBSTITUTE(SUBSTITUTE(SUBSTITUTE(SUBSTITUTE(SUBSTITUTE(SUBSTITUTE(SUBSTITUTE(SUBSTITUTE(SUBSTITUTE(SUBSTITUTE(SUBSTITUTE(SUBSTITUTE(SUBSTITUTE(SUBSTITUTE(SUBSTITUTE(TRIM($L554),"'",""),"İ","I"),"ı","I"),"i","I"),"Ş","S"),"ş","S"),"Ğ","G"),"ğ","G"),"Ü","U"),"ü","U"),"Ö","O"),"ö","O"),"Ç","C"),"ç","C"),".",""),",","")," ",""),"-","")))</f>
        <v/>
      </c>
      <c r="T554" s="3">
        <f>IF(OR($C554="",$D554&lt;&gt;"Gelir",$L554=""),"",IFERROR(INDEX(MUSTERILER!$B$7:$B$106,MATCH($S554,MUSTERILER!$T$7:$T$106,0)),""))</f>
        <v/>
      </c>
      <c r="U554" s="3">
        <f>IF($T554="","",$T554&amp;"|"&amp;COUNTIFS($T$7:$T554,$T554))</f>
        <v/>
      </c>
      <c r="V554" s="3">
        <f>IF($T554="",0,1)</f>
        <v/>
      </c>
      <c r="W554" s="3">
        <f>IF($C554="","",$D554&amp;"|"&amp;$E554&amp;"|"&amp;TEXT($C554,"0")&amp;"|"&amp;TEXT($G554,"0")&amp;"|"&amp;$J554)</f>
        <v/>
      </c>
      <c r="X554" s="3" t="n"/>
      <c r="Y554" s="3" t="n"/>
      <c r="Z554" s="3" t="n"/>
      <c r="AA554" s="3" t="n"/>
      <c r="AB554" s="3" t="n"/>
      <c r="AC554" s="3" t="n"/>
      <c r="AD554" s="3">
        <f>IF($C554="",0,SUMPRODUCT((AY_SONU!$O$7:$O$42="Evet")*(AY_SONU!$B$7:$B$42=DATE(YEAR($C554),MONTH($C554),1))))</f>
        <v/>
      </c>
    </row>
    <row r="555">
      <c r="A555" s="6" t="n"/>
      <c r="B555" s="113">
        <f>IF($C555="","","GG"&amp;TEXT(ROW()-6,"00000"))</f>
        <v/>
      </c>
      <c r="C555" s="220" t="n"/>
      <c r="D555" s="108" t="n"/>
      <c r="E555" s="109" t="n"/>
      <c r="F555" s="109" t="n"/>
      <c r="G555" s="221" t="n"/>
      <c r="H555" s="108" t="n"/>
      <c r="I555" s="108" t="n"/>
      <c r="J555" s="109" t="n"/>
      <c r="K555" s="109" t="n"/>
      <c r="L555" s="108" t="n"/>
      <c r="M555" s="121">
        <f>IF($C555="","",IF($D555="Gider",$E555,IF($L555&lt;&gt;"",$L555,$H555)))</f>
        <v/>
      </c>
      <c r="N555" s="121">
        <f>IF($C555="","",IF($D555="Gider",$H555,$E555))</f>
        <v/>
      </c>
      <c r="O555" s="226">
        <f>IF($C555="","",DATE(YEAR($C555),MONTH($C555),1))</f>
        <v/>
      </c>
      <c r="P555" s="113">
        <f>IF($C555="","",IF(AND($D555="Gelir",$L555&lt;&gt;"",$T555=""),"TANIMSIZ BORÇLU",IF($T555&lt;&gt;"",IF(OR($E555="",$G555&lt;=0),"EKSİK",IF($I555="Evet","TAHAKKUK NAKİT OLAMAZ",IF($C555&gt;TODAY(),"İLERİ TARİH","TAHAKKUK"))),IF(AND($D555&lt;&gt;"",$E555&lt;&gt;"",$G555&gt;0,$H555&lt;&gt;"",$I555&lt;&gt;""),IF($C555&gt;TODAY(),"İLERİ TARİH",IF(COUNTIF($W$7:$W$1206,$W555)&gt;1,"MÜKERRER?",IF($AD555&gt;0,"KAPALI DÖNEM",IF($I555="Hayır","ÖDENECEK","UYGUN")))),"EKSİK"))))</f>
        <v/>
      </c>
      <c r="Q555" s="6" t="n"/>
      <c r="R555" s="6" t="n"/>
      <c r="S555" s="3">
        <f>IF($L555="","",UPPER(SUBSTITUTE(SUBSTITUTE(SUBSTITUTE(SUBSTITUTE(SUBSTITUTE(SUBSTITUTE(SUBSTITUTE(SUBSTITUTE(SUBSTITUTE(SUBSTITUTE(SUBSTITUTE(SUBSTITUTE(SUBSTITUTE(SUBSTITUTE(SUBSTITUTE(SUBSTITUTE(SUBSTITUTE(SUBSTITUTE(TRIM($L555),"'",""),"İ","I"),"ı","I"),"i","I"),"Ş","S"),"ş","S"),"Ğ","G"),"ğ","G"),"Ü","U"),"ü","U"),"Ö","O"),"ö","O"),"Ç","C"),"ç","C"),".",""),",","")," ",""),"-","")))</f>
        <v/>
      </c>
      <c r="T555" s="3">
        <f>IF(OR($C555="",$D555&lt;&gt;"Gelir",$L555=""),"",IFERROR(INDEX(MUSTERILER!$B$7:$B$106,MATCH($S555,MUSTERILER!$T$7:$T$106,0)),""))</f>
        <v/>
      </c>
      <c r="U555" s="3">
        <f>IF($T555="","",$T555&amp;"|"&amp;COUNTIFS($T$7:$T555,$T555))</f>
        <v/>
      </c>
      <c r="V555" s="3">
        <f>IF($T555="",0,1)</f>
        <v/>
      </c>
      <c r="W555" s="3">
        <f>IF($C555="","",$D555&amp;"|"&amp;$E555&amp;"|"&amp;TEXT($C555,"0")&amp;"|"&amp;TEXT($G555,"0")&amp;"|"&amp;$J555)</f>
        <v/>
      </c>
      <c r="X555" s="3" t="n"/>
      <c r="Y555" s="3" t="n"/>
      <c r="Z555" s="3" t="n"/>
      <c r="AA555" s="3" t="n"/>
      <c r="AB555" s="3" t="n"/>
      <c r="AC555" s="3" t="n"/>
      <c r="AD555" s="3">
        <f>IF($C555="",0,SUMPRODUCT((AY_SONU!$O$7:$O$42="Evet")*(AY_SONU!$B$7:$B$42=DATE(YEAR($C555),MONTH($C555),1))))</f>
        <v/>
      </c>
    </row>
    <row r="556">
      <c r="A556" s="6" t="n"/>
      <c r="B556" s="113">
        <f>IF($C556="","","GG"&amp;TEXT(ROW()-6,"00000"))</f>
        <v/>
      </c>
      <c r="C556" s="220" t="n"/>
      <c r="D556" s="108" t="n"/>
      <c r="E556" s="109" t="n"/>
      <c r="F556" s="109" t="n"/>
      <c r="G556" s="221" t="n"/>
      <c r="H556" s="108" t="n"/>
      <c r="I556" s="108" t="n"/>
      <c r="J556" s="109" t="n"/>
      <c r="K556" s="109" t="n"/>
      <c r="L556" s="108" t="n"/>
      <c r="M556" s="121">
        <f>IF($C556="","",IF($D556="Gider",$E556,IF($L556&lt;&gt;"",$L556,$H556)))</f>
        <v/>
      </c>
      <c r="N556" s="121">
        <f>IF($C556="","",IF($D556="Gider",$H556,$E556))</f>
        <v/>
      </c>
      <c r="O556" s="226">
        <f>IF($C556="","",DATE(YEAR($C556),MONTH($C556),1))</f>
        <v/>
      </c>
      <c r="P556" s="113">
        <f>IF($C556="","",IF(AND($D556="Gelir",$L556&lt;&gt;"",$T556=""),"TANIMSIZ BORÇLU",IF($T556&lt;&gt;"",IF(OR($E556="",$G556&lt;=0),"EKSİK",IF($I556="Evet","TAHAKKUK NAKİT OLAMAZ",IF($C556&gt;TODAY(),"İLERİ TARİH","TAHAKKUK"))),IF(AND($D556&lt;&gt;"",$E556&lt;&gt;"",$G556&gt;0,$H556&lt;&gt;"",$I556&lt;&gt;""),IF($C556&gt;TODAY(),"İLERİ TARİH",IF(COUNTIF($W$7:$W$1206,$W556)&gt;1,"MÜKERRER?",IF($AD556&gt;0,"KAPALI DÖNEM",IF($I556="Hayır","ÖDENECEK","UYGUN")))),"EKSİK"))))</f>
        <v/>
      </c>
      <c r="Q556" s="6" t="n"/>
      <c r="R556" s="6" t="n"/>
      <c r="S556" s="3">
        <f>IF($L556="","",UPPER(SUBSTITUTE(SUBSTITUTE(SUBSTITUTE(SUBSTITUTE(SUBSTITUTE(SUBSTITUTE(SUBSTITUTE(SUBSTITUTE(SUBSTITUTE(SUBSTITUTE(SUBSTITUTE(SUBSTITUTE(SUBSTITUTE(SUBSTITUTE(SUBSTITUTE(SUBSTITUTE(SUBSTITUTE(SUBSTITUTE(TRIM($L556),"'",""),"İ","I"),"ı","I"),"i","I"),"Ş","S"),"ş","S"),"Ğ","G"),"ğ","G"),"Ü","U"),"ü","U"),"Ö","O"),"ö","O"),"Ç","C"),"ç","C"),".",""),",","")," ",""),"-","")))</f>
        <v/>
      </c>
      <c r="T556" s="3">
        <f>IF(OR($C556="",$D556&lt;&gt;"Gelir",$L556=""),"",IFERROR(INDEX(MUSTERILER!$B$7:$B$106,MATCH($S556,MUSTERILER!$T$7:$T$106,0)),""))</f>
        <v/>
      </c>
      <c r="U556" s="3">
        <f>IF($T556="","",$T556&amp;"|"&amp;COUNTIFS($T$7:$T556,$T556))</f>
        <v/>
      </c>
      <c r="V556" s="3">
        <f>IF($T556="",0,1)</f>
        <v/>
      </c>
      <c r="W556" s="3">
        <f>IF($C556="","",$D556&amp;"|"&amp;$E556&amp;"|"&amp;TEXT($C556,"0")&amp;"|"&amp;TEXT($G556,"0")&amp;"|"&amp;$J556)</f>
        <v/>
      </c>
      <c r="X556" s="3" t="n"/>
      <c r="Y556" s="3" t="n"/>
      <c r="Z556" s="3" t="n"/>
      <c r="AA556" s="3" t="n"/>
      <c r="AB556" s="3" t="n"/>
      <c r="AC556" s="3" t="n"/>
      <c r="AD556" s="3">
        <f>IF($C556="",0,SUMPRODUCT((AY_SONU!$O$7:$O$42="Evet")*(AY_SONU!$B$7:$B$42=DATE(YEAR($C556),MONTH($C556),1))))</f>
        <v/>
      </c>
    </row>
    <row r="557">
      <c r="A557" s="6" t="n"/>
      <c r="B557" s="113">
        <f>IF($C557="","","GG"&amp;TEXT(ROW()-6,"00000"))</f>
        <v/>
      </c>
      <c r="C557" s="220" t="n"/>
      <c r="D557" s="108" t="n"/>
      <c r="E557" s="109" t="n"/>
      <c r="F557" s="109" t="n"/>
      <c r="G557" s="221" t="n"/>
      <c r="H557" s="108" t="n"/>
      <c r="I557" s="108" t="n"/>
      <c r="J557" s="109" t="n"/>
      <c r="K557" s="109" t="n"/>
      <c r="L557" s="108" t="n"/>
      <c r="M557" s="121">
        <f>IF($C557="","",IF($D557="Gider",$E557,IF($L557&lt;&gt;"",$L557,$H557)))</f>
        <v/>
      </c>
      <c r="N557" s="121">
        <f>IF($C557="","",IF($D557="Gider",$H557,$E557))</f>
        <v/>
      </c>
      <c r="O557" s="226">
        <f>IF($C557="","",DATE(YEAR($C557),MONTH($C557),1))</f>
        <v/>
      </c>
      <c r="P557" s="113">
        <f>IF($C557="","",IF(AND($D557="Gelir",$L557&lt;&gt;"",$T557=""),"TANIMSIZ BORÇLU",IF($T557&lt;&gt;"",IF(OR($E557="",$G557&lt;=0),"EKSİK",IF($I557="Evet","TAHAKKUK NAKİT OLAMAZ",IF($C557&gt;TODAY(),"İLERİ TARİH","TAHAKKUK"))),IF(AND($D557&lt;&gt;"",$E557&lt;&gt;"",$G557&gt;0,$H557&lt;&gt;"",$I557&lt;&gt;""),IF($C557&gt;TODAY(),"İLERİ TARİH",IF(COUNTIF($W$7:$W$1206,$W557)&gt;1,"MÜKERRER?",IF($AD557&gt;0,"KAPALI DÖNEM",IF($I557="Hayır","ÖDENECEK","UYGUN")))),"EKSİK"))))</f>
        <v/>
      </c>
      <c r="Q557" s="6" t="n"/>
      <c r="R557" s="6" t="n"/>
      <c r="S557" s="3">
        <f>IF($L557="","",UPPER(SUBSTITUTE(SUBSTITUTE(SUBSTITUTE(SUBSTITUTE(SUBSTITUTE(SUBSTITUTE(SUBSTITUTE(SUBSTITUTE(SUBSTITUTE(SUBSTITUTE(SUBSTITUTE(SUBSTITUTE(SUBSTITUTE(SUBSTITUTE(SUBSTITUTE(SUBSTITUTE(SUBSTITUTE(SUBSTITUTE(TRIM($L557),"'",""),"İ","I"),"ı","I"),"i","I"),"Ş","S"),"ş","S"),"Ğ","G"),"ğ","G"),"Ü","U"),"ü","U"),"Ö","O"),"ö","O"),"Ç","C"),"ç","C"),".",""),",","")," ",""),"-","")))</f>
        <v/>
      </c>
      <c r="T557" s="3">
        <f>IF(OR($C557="",$D557&lt;&gt;"Gelir",$L557=""),"",IFERROR(INDEX(MUSTERILER!$B$7:$B$106,MATCH($S557,MUSTERILER!$T$7:$T$106,0)),""))</f>
        <v/>
      </c>
      <c r="U557" s="3">
        <f>IF($T557="","",$T557&amp;"|"&amp;COUNTIFS($T$7:$T557,$T557))</f>
        <v/>
      </c>
      <c r="V557" s="3">
        <f>IF($T557="",0,1)</f>
        <v/>
      </c>
      <c r="W557" s="3">
        <f>IF($C557="","",$D557&amp;"|"&amp;$E557&amp;"|"&amp;TEXT($C557,"0")&amp;"|"&amp;TEXT($G557,"0")&amp;"|"&amp;$J557)</f>
        <v/>
      </c>
      <c r="X557" s="3" t="n"/>
      <c r="Y557" s="3" t="n"/>
      <c r="Z557" s="3" t="n"/>
      <c r="AA557" s="3" t="n"/>
      <c r="AB557" s="3" t="n"/>
      <c r="AC557" s="3" t="n"/>
      <c r="AD557" s="3">
        <f>IF($C557="",0,SUMPRODUCT((AY_SONU!$O$7:$O$42="Evet")*(AY_SONU!$B$7:$B$42=DATE(YEAR($C557),MONTH($C557),1))))</f>
        <v/>
      </c>
    </row>
    <row r="558">
      <c r="A558" s="6" t="n"/>
      <c r="B558" s="113">
        <f>IF($C558="","","GG"&amp;TEXT(ROW()-6,"00000"))</f>
        <v/>
      </c>
      <c r="C558" s="220" t="n"/>
      <c r="D558" s="108" t="n"/>
      <c r="E558" s="109" t="n"/>
      <c r="F558" s="109" t="n"/>
      <c r="G558" s="221" t="n"/>
      <c r="H558" s="108" t="n"/>
      <c r="I558" s="108" t="n"/>
      <c r="J558" s="109" t="n"/>
      <c r="K558" s="109" t="n"/>
      <c r="L558" s="108" t="n"/>
      <c r="M558" s="121">
        <f>IF($C558="","",IF($D558="Gider",$E558,IF($L558&lt;&gt;"",$L558,$H558)))</f>
        <v/>
      </c>
      <c r="N558" s="121">
        <f>IF($C558="","",IF($D558="Gider",$H558,$E558))</f>
        <v/>
      </c>
      <c r="O558" s="226">
        <f>IF($C558="","",DATE(YEAR($C558),MONTH($C558),1))</f>
        <v/>
      </c>
      <c r="P558" s="113">
        <f>IF($C558="","",IF(AND($D558="Gelir",$L558&lt;&gt;"",$T558=""),"TANIMSIZ BORÇLU",IF($T558&lt;&gt;"",IF(OR($E558="",$G558&lt;=0),"EKSİK",IF($I558="Evet","TAHAKKUK NAKİT OLAMAZ",IF($C558&gt;TODAY(),"İLERİ TARİH","TAHAKKUK"))),IF(AND($D558&lt;&gt;"",$E558&lt;&gt;"",$G558&gt;0,$H558&lt;&gt;"",$I558&lt;&gt;""),IF($C558&gt;TODAY(),"İLERİ TARİH",IF(COUNTIF($W$7:$W$1206,$W558)&gt;1,"MÜKERRER?",IF($AD558&gt;0,"KAPALI DÖNEM",IF($I558="Hayır","ÖDENECEK","UYGUN")))),"EKSİK"))))</f>
        <v/>
      </c>
      <c r="Q558" s="6" t="n"/>
      <c r="R558" s="6" t="n"/>
      <c r="S558" s="3">
        <f>IF($L558="","",UPPER(SUBSTITUTE(SUBSTITUTE(SUBSTITUTE(SUBSTITUTE(SUBSTITUTE(SUBSTITUTE(SUBSTITUTE(SUBSTITUTE(SUBSTITUTE(SUBSTITUTE(SUBSTITUTE(SUBSTITUTE(SUBSTITUTE(SUBSTITUTE(SUBSTITUTE(SUBSTITUTE(SUBSTITUTE(SUBSTITUTE(TRIM($L558),"'",""),"İ","I"),"ı","I"),"i","I"),"Ş","S"),"ş","S"),"Ğ","G"),"ğ","G"),"Ü","U"),"ü","U"),"Ö","O"),"ö","O"),"Ç","C"),"ç","C"),".",""),",","")," ",""),"-","")))</f>
        <v/>
      </c>
      <c r="T558" s="3">
        <f>IF(OR($C558="",$D558&lt;&gt;"Gelir",$L558=""),"",IFERROR(INDEX(MUSTERILER!$B$7:$B$106,MATCH($S558,MUSTERILER!$T$7:$T$106,0)),""))</f>
        <v/>
      </c>
      <c r="U558" s="3">
        <f>IF($T558="","",$T558&amp;"|"&amp;COUNTIFS($T$7:$T558,$T558))</f>
        <v/>
      </c>
      <c r="V558" s="3">
        <f>IF($T558="",0,1)</f>
        <v/>
      </c>
      <c r="W558" s="3">
        <f>IF($C558="","",$D558&amp;"|"&amp;$E558&amp;"|"&amp;TEXT($C558,"0")&amp;"|"&amp;TEXT($G558,"0")&amp;"|"&amp;$J558)</f>
        <v/>
      </c>
      <c r="X558" s="3" t="n"/>
      <c r="Y558" s="3" t="n"/>
      <c r="Z558" s="3" t="n"/>
      <c r="AA558" s="3" t="n"/>
      <c r="AB558" s="3" t="n"/>
      <c r="AC558" s="3" t="n"/>
      <c r="AD558" s="3">
        <f>IF($C558="",0,SUMPRODUCT((AY_SONU!$O$7:$O$42="Evet")*(AY_SONU!$B$7:$B$42=DATE(YEAR($C558),MONTH($C558),1))))</f>
        <v/>
      </c>
    </row>
    <row r="559">
      <c r="A559" s="6" t="n"/>
      <c r="B559" s="113">
        <f>IF($C559="","","GG"&amp;TEXT(ROW()-6,"00000"))</f>
        <v/>
      </c>
      <c r="C559" s="220" t="n"/>
      <c r="D559" s="108" t="n"/>
      <c r="E559" s="109" t="n"/>
      <c r="F559" s="109" t="n"/>
      <c r="G559" s="221" t="n"/>
      <c r="H559" s="108" t="n"/>
      <c r="I559" s="108" t="n"/>
      <c r="J559" s="109" t="n"/>
      <c r="K559" s="109" t="n"/>
      <c r="L559" s="108" t="n"/>
      <c r="M559" s="121">
        <f>IF($C559="","",IF($D559="Gider",$E559,IF($L559&lt;&gt;"",$L559,$H559)))</f>
        <v/>
      </c>
      <c r="N559" s="121">
        <f>IF($C559="","",IF($D559="Gider",$H559,$E559))</f>
        <v/>
      </c>
      <c r="O559" s="226">
        <f>IF($C559="","",DATE(YEAR($C559),MONTH($C559),1))</f>
        <v/>
      </c>
      <c r="P559" s="113">
        <f>IF($C559="","",IF(AND($D559="Gelir",$L559&lt;&gt;"",$T559=""),"TANIMSIZ BORÇLU",IF($T559&lt;&gt;"",IF(OR($E559="",$G559&lt;=0),"EKSİK",IF($I559="Evet","TAHAKKUK NAKİT OLAMAZ",IF($C559&gt;TODAY(),"İLERİ TARİH","TAHAKKUK"))),IF(AND($D559&lt;&gt;"",$E559&lt;&gt;"",$G559&gt;0,$H559&lt;&gt;"",$I559&lt;&gt;""),IF($C559&gt;TODAY(),"İLERİ TARİH",IF(COUNTIF($W$7:$W$1206,$W559)&gt;1,"MÜKERRER?",IF($AD559&gt;0,"KAPALI DÖNEM",IF($I559="Hayır","ÖDENECEK","UYGUN")))),"EKSİK"))))</f>
        <v/>
      </c>
      <c r="Q559" s="6" t="n"/>
      <c r="R559" s="6" t="n"/>
      <c r="S559" s="3">
        <f>IF($L559="","",UPPER(SUBSTITUTE(SUBSTITUTE(SUBSTITUTE(SUBSTITUTE(SUBSTITUTE(SUBSTITUTE(SUBSTITUTE(SUBSTITUTE(SUBSTITUTE(SUBSTITUTE(SUBSTITUTE(SUBSTITUTE(SUBSTITUTE(SUBSTITUTE(SUBSTITUTE(SUBSTITUTE(SUBSTITUTE(SUBSTITUTE(TRIM($L559),"'",""),"İ","I"),"ı","I"),"i","I"),"Ş","S"),"ş","S"),"Ğ","G"),"ğ","G"),"Ü","U"),"ü","U"),"Ö","O"),"ö","O"),"Ç","C"),"ç","C"),".",""),",","")," ",""),"-","")))</f>
        <v/>
      </c>
      <c r="T559" s="3">
        <f>IF(OR($C559="",$D559&lt;&gt;"Gelir",$L559=""),"",IFERROR(INDEX(MUSTERILER!$B$7:$B$106,MATCH($S559,MUSTERILER!$T$7:$T$106,0)),""))</f>
        <v/>
      </c>
      <c r="U559" s="3">
        <f>IF($T559="","",$T559&amp;"|"&amp;COUNTIFS($T$7:$T559,$T559))</f>
        <v/>
      </c>
      <c r="V559" s="3">
        <f>IF($T559="",0,1)</f>
        <v/>
      </c>
      <c r="W559" s="3">
        <f>IF($C559="","",$D559&amp;"|"&amp;$E559&amp;"|"&amp;TEXT($C559,"0")&amp;"|"&amp;TEXT($G559,"0")&amp;"|"&amp;$J559)</f>
        <v/>
      </c>
      <c r="X559" s="3" t="n"/>
      <c r="Y559" s="3" t="n"/>
      <c r="Z559" s="3" t="n"/>
      <c r="AA559" s="3" t="n"/>
      <c r="AB559" s="3" t="n"/>
      <c r="AC559" s="3" t="n"/>
      <c r="AD559" s="3">
        <f>IF($C559="",0,SUMPRODUCT((AY_SONU!$O$7:$O$42="Evet")*(AY_SONU!$B$7:$B$42=DATE(YEAR($C559),MONTH($C559),1))))</f>
        <v/>
      </c>
    </row>
    <row r="560">
      <c r="A560" s="6" t="n"/>
      <c r="B560" s="113">
        <f>IF($C560="","","GG"&amp;TEXT(ROW()-6,"00000"))</f>
        <v/>
      </c>
      <c r="C560" s="220" t="n"/>
      <c r="D560" s="108" t="n"/>
      <c r="E560" s="109" t="n"/>
      <c r="F560" s="109" t="n"/>
      <c r="G560" s="221" t="n"/>
      <c r="H560" s="108" t="n"/>
      <c r="I560" s="108" t="n"/>
      <c r="J560" s="109" t="n"/>
      <c r="K560" s="109" t="n"/>
      <c r="L560" s="108" t="n"/>
      <c r="M560" s="121">
        <f>IF($C560="","",IF($D560="Gider",$E560,IF($L560&lt;&gt;"",$L560,$H560)))</f>
        <v/>
      </c>
      <c r="N560" s="121">
        <f>IF($C560="","",IF($D560="Gider",$H560,$E560))</f>
        <v/>
      </c>
      <c r="O560" s="226">
        <f>IF($C560="","",DATE(YEAR($C560),MONTH($C560),1))</f>
        <v/>
      </c>
      <c r="P560" s="113">
        <f>IF($C560="","",IF(AND($D560="Gelir",$L560&lt;&gt;"",$T560=""),"TANIMSIZ BORÇLU",IF($T560&lt;&gt;"",IF(OR($E560="",$G560&lt;=0),"EKSİK",IF($I560="Evet","TAHAKKUK NAKİT OLAMAZ",IF($C560&gt;TODAY(),"İLERİ TARİH","TAHAKKUK"))),IF(AND($D560&lt;&gt;"",$E560&lt;&gt;"",$G560&gt;0,$H560&lt;&gt;"",$I560&lt;&gt;""),IF($C560&gt;TODAY(),"İLERİ TARİH",IF(COUNTIF($W$7:$W$1206,$W560)&gt;1,"MÜKERRER?",IF($AD560&gt;0,"KAPALI DÖNEM",IF($I560="Hayır","ÖDENECEK","UYGUN")))),"EKSİK"))))</f>
        <v/>
      </c>
      <c r="Q560" s="6" t="n"/>
      <c r="R560" s="6" t="n"/>
      <c r="S560" s="3">
        <f>IF($L560="","",UPPER(SUBSTITUTE(SUBSTITUTE(SUBSTITUTE(SUBSTITUTE(SUBSTITUTE(SUBSTITUTE(SUBSTITUTE(SUBSTITUTE(SUBSTITUTE(SUBSTITUTE(SUBSTITUTE(SUBSTITUTE(SUBSTITUTE(SUBSTITUTE(SUBSTITUTE(SUBSTITUTE(SUBSTITUTE(SUBSTITUTE(TRIM($L560),"'",""),"İ","I"),"ı","I"),"i","I"),"Ş","S"),"ş","S"),"Ğ","G"),"ğ","G"),"Ü","U"),"ü","U"),"Ö","O"),"ö","O"),"Ç","C"),"ç","C"),".",""),",","")," ",""),"-","")))</f>
        <v/>
      </c>
      <c r="T560" s="3">
        <f>IF(OR($C560="",$D560&lt;&gt;"Gelir",$L560=""),"",IFERROR(INDEX(MUSTERILER!$B$7:$B$106,MATCH($S560,MUSTERILER!$T$7:$T$106,0)),""))</f>
        <v/>
      </c>
      <c r="U560" s="3">
        <f>IF($T560="","",$T560&amp;"|"&amp;COUNTIFS($T$7:$T560,$T560))</f>
        <v/>
      </c>
      <c r="V560" s="3">
        <f>IF($T560="",0,1)</f>
        <v/>
      </c>
      <c r="W560" s="3">
        <f>IF($C560="","",$D560&amp;"|"&amp;$E560&amp;"|"&amp;TEXT($C560,"0")&amp;"|"&amp;TEXT($G560,"0")&amp;"|"&amp;$J560)</f>
        <v/>
      </c>
      <c r="X560" s="3" t="n"/>
      <c r="Y560" s="3" t="n"/>
      <c r="Z560" s="3" t="n"/>
      <c r="AA560" s="3" t="n"/>
      <c r="AB560" s="3" t="n"/>
      <c r="AC560" s="3" t="n"/>
      <c r="AD560" s="3">
        <f>IF($C560="",0,SUMPRODUCT((AY_SONU!$O$7:$O$42="Evet")*(AY_SONU!$B$7:$B$42=DATE(YEAR($C560),MONTH($C560),1))))</f>
        <v/>
      </c>
    </row>
    <row r="561">
      <c r="A561" s="6" t="n"/>
      <c r="B561" s="113">
        <f>IF($C561="","","GG"&amp;TEXT(ROW()-6,"00000"))</f>
        <v/>
      </c>
      <c r="C561" s="220" t="n"/>
      <c r="D561" s="108" t="n"/>
      <c r="E561" s="109" t="n"/>
      <c r="F561" s="109" t="n"/>
      <c r="G561" s="221" t="n"/>
      <c r="H561" s="108" t="n"/>
      <c r="I561" s="108" t="n"/>
      <c r="J561" s="109" t="n"/>
      <c r="K561" s="109" t="n"/>
      <c r="L561" s="108" t="n"/>
      <c r="M561" s="121">
        <f>IF($C561="","",IF($D561="Gider",$E561,IF($L561&lt;&gt;"",$L561,$H561)))</f>
        <v/>
      </c>
      <c r="N561" s="121">
        <f>IF($C561="","",IF($D561="Gider",$H561,$E561))</f>
        <v/>
      </c>
      <c r="O561" s="226">
        <f>IF($C561="","",DATE(YEAR($C561),MONTH($C561),1))</f>
        <v/>
      </c>
      <c r="P561" s="113">
        <f>IF($C561="","",IF(AND($D561="Gelir",$L561&lt;&gt;"",$T561=""),"TANIMSIZ BORÇLU",IF($T561&lt;&gt;"",IF(OR($E561="",$G561&lt;=0),"EKSİK",IF($I561="Evet","TAHAKKUK NAKİT OLAMAZ",IF($C561&gt;TODAY(),"İLERİ TARİH","TAHAKKUK"))),IF(AND($D561&lt;&gt;"",$E561&lt;&gt;"",$G561&gt;0,$H561&lt;&gt;"",$I561&lt;&gt;""),IF($C561&gt;TODAY(),"İLERİ TARİH",IF(COUNTIF($W$7:$W$1206,$W561)&gt;1,"MÜKERRER?",IF($AD561&gt;0,"KAPALI DÖNEM",IF($I561="Hayır","ÖDENECEK","UYGUN")))),"EKSİK"))))</f>
        <v/>
      </c>
      <c r="Q561" s="6" t="n"/>
      <c r="R561" s="6" t="n"/>
      <c r="S561" s="3">
        <f>IF($L561="","",UPPER(SUBSTITUTE(SUBSTITUTE(SUBSTITUTE(SUBSTITUTE(SUBSTITUTE(SUBSTITUTE(SUBSTITUTE(SUBSTITUTE(SUBSTITUTE(SUBSTITUTE(SUBSTITUTE(SUBSTITUTE(SUBSTITUTE(SUBSTITUTE(SUBSTITUTE(SUBSTITUTE(SUBSTITUTE(SUBSTITUTE(TRIM($L561),"'",""),"İ","I"),"ı","I"),"i","I"),"Ş","S"),"ş","S"),"Ğ","G"),"ğ","G"),"Ü","U"),"ü","U"),"Ö","O"),"ö","O"),"Ç","C"),"ç","C"),".",""),",","")," ",""),"-","")))</f>
        <v/>
      </c>
      <c r="T561" s="3">
        <f>IF(OR($C561="",$D561&lt;&gt;"Gelir",$L561=""),"",IFERROR(INDEX(MUSTERILER!$B$7:$B$106,MATCH($S561,MUSTERILER!$T$7:$T$106,0)),""))</f>
        <v/>
      </c>
      <c r="U561" s="3">
        <f>IF($T561="","",$T561&amp;"|"&amp;COUNTIFS($T$7:$T561,$T561))</f>
        <v/>
      </c>
      <c r="V561" s="3">
        <f>IF($T561="",0,1)</f>
        <v/>
      </c>
      <c r="W561" s="3">
        <f>IF($C561="","",$D561&amp;"|"&amp;$E561&amp;"|"&amp;TEXT($C561,"0")&amp;"|"&amp;TEXT($G561,"0")&amp;"|"&amp;$J561)</f>
        <v/>
      </c>
      <c r="X561" s="3" t="n"/>
      <c r="Y561" s="3" t="n"/>
      <c r="Z561" s="3" t="n"/>
      <c r="AA561" s="3" t="n"/>
      <c r="AB561" s="3" t="n"/>
      <c r="AC561" s="3" t="n"/>
      <c r="AD561" s="3">
        <f>IF($C561="",0,SUMPRODUCT((AY_SONU!$O$7:$O$42="Evet")*(AY_SONU!$B$7:$B$42=DATE(YEAR($C561),MONTH($C561),1))))</f>
        <v/>
      </c>
    </row>
    <row r="562">
      <c r="A562" s="6" t="n"/>
      <c r="B562" s="113">
        <f>IF($C562="","","GG"&amp;TEXT(ROW()-6,"00000"))</f>
        <v/>
      </c>
      <c r="C562" s="220" t="n"/>
      <c r="D562" s="108" t="n"/>
      <c r="E562" s="109" t="n"/>
      <c r="F562" s="109" t="n"/>
      <c r="G562" s="221" t="n"/>
      <c r="H562" s="108" t="n"/>
      <c r="I562" s="108" t="n"/>
      <c r="J562" s="109" t="n"/>
      <c r="K562" s="109" t="n"/>
      <c r="L562" s="108" t="n"/>
      <c r="M562" s="121">
        <f>IF($C562="","",IF($D562="Gider",$E562,IF($L562&lt;&gt;"",$L562,$H562)))</f>
        <v/>
      </c>
      <c r="N562" s="121">
        <f>IF($C562="","",IF($D562="Gider",$H562,$E562))</f>
        <v/>
      </c>
      <c r="O562" s="226">
        <f>IF($C562="","",DATE(YEAR($C562),MONTH($C562),1))</f>
        <v/>
      </c>
      <c r="P562" s="113">
        <f>IF($C562="","",IF(AND($D562="Gelir",$L562&lt;&gt;"",$T562=""),"TANIMSIZ BORÇLU",IF($T562&lt;&gt;"",IF(OR($E562="",$G562&lt;=0),"EKSİK",IF($I562="Evet","TAHAKKUK NAKİT OLAMAZ",IF($C562&gt;TODAY(),"İLERİ TARİH","TAHAKKUK"))),IF(AND($D562&lt;&gt;"",$E562&lt;&gt;"",$G562&gt;0,$H562&lt;&gt;"",$I562&lt;&gt;""),IF($C562&gt;TODAY(),"İLERİ TARİH",IF(COUNTIF($W$7:$W$1206,$W562)&gt;1,"MÜKERRER?",IF($AD562&gt;0,"KAPALI DÖNEM",IF($I562="Hayır","ÖDENECEK","UYGUN")))),"EKSİK"))))</f>
        <v/>
      </c>
      <c r="Q562" s="6" t="n"/>
      <c r="R562" s="6" t="n"/>
      <c r="S562" s="3">
        <f>IF($L562="","",UPPER(SUBSTITUTE(SUBSTITUTE(SUBSTITUTE(SUBSTITUTE(SUBSTITUTE(SUBSTITUTE(SUBSTITUTE(SUBSTITUTE(SUBSTITUTE(SUBSTITUTE(SUBSTITUTE(SUBSTITUTE(SUBSTITUTE(SUBSTITUTE(SUBSTITUTE(SUBSTITUTE(SUBSTITUTE(SUBSTITUTE(TRIM($L562),"'",""),"İ","I"),"ı","I"),"i","I"),"Ş","S"),"ş","S"),"Ğ","G"),"ğ","G"),"Ü","U"),"ü","U"),"Ö","O"),"ö","O"),"Ç","C"),"ç","C"),".",""),",","")," ",""),"-","")))</f>
        <v/>
      </c>
      <c r="T562" s="3">
        <f>IF(OR($C562="",$D562&lt;&gt;"Gelir",$L562=""),"",IFERROR(INDEX(MUSTERILER!$B$7:$B$106,MATCH($S562,MUSTERILER!$T$7:$T$106,0)),""))</f>
        <v/>
      </c>
      <c r="U562" s="3">
        <f>IF($T562="","",$T562&amp;"|"&amp;COUNTIFS($T$7:$T562,$T562))</f>
        <v/>
      </c>
      <c r="V562" s="3">
        <f>IF($T562="",0,1)</f>
        <v/>
      </c>
      <c r="W562" s="3">
        <f>IF($C562="","",$D562&amp;"|"&amp;$E562&amp;"|"&amp;TEXT($C562,"0")&amp;"|"&amp;TEXT($G562,"0")&amp;"|"&amp;$J562)</f>
        <v/>
      </c>
      <c r="X562" s="3" t="n"/>
      <c r="Y562" s="3" t="n"/>
      <c r="Z562" s="3" t="n"/>
      <c r="AA562" s="3" t="n"/>
      <c r="AB562" s="3" t="n"/>
      <c r="AC562" s="3" t="n"/>
      <c r="AD562" s="3">
        <f>IF($C562="",0,SUMPRODUCT((AY_SONU!$O$7:$O$42="Evet")*(AY_SONU!$B$7:$B$42=DATE(YEAR($C562),MONTH($C562),1))))</f>
        <v/>
      </c>
    </row>
    <row r="563">
      <c r="A563" s="6" t="n"/>
      <c r="B563" s="113">
        <f>IF($C563="","","GG"&amp;TEXT(ROW()-6,"00000"))</f>
        <v/>
      </c>
      <c r="C563" s="220" t="n"/>
      <c r="D563" s="108" t="n"/>
      <c r="E563" s="109" t="n"/>
      <c r="F563" s="109" t="n"/>
      <c r="G563" s="221" t="n"/>
      <c r="H563" s="108" t="n"/>
      <c r="I563" s="108" t="n"/>
      <c r="J563" s="109" t="n"/>
      <c r="K563" s="109" t="n"/>
      <c r="L563" s="108" t="n"/>
      <c r="M563" s="121">
        <f>IF($C563="","",IF($D563="Gider",$E563,IF($L563&lt;&gt;"",$L563,$H563)))</f>
        <v/>
      </c>
      <c r="N563" s="121">
        <f>IF($C563="","",IF($D563="Gider",$H563,$E563))</f>
        <v/>
      </c>
      <c r="O563" s="226">
        <f>IF($C563="","",DATE(YEAR($C563),MONTH($C563),1))</f>
        <v/>
      </c>
      <c r="P563" s="113">
        <f>IF($C563="","",IF(AND($D563="Gelir",$L563&lt;&gt;"",$T563=""),"TANIMSIZ BORÇLU",IF($T563&lt;&gt;"",IF(OR($E563="",$G563&lt;=0),"EKSİK",IF($I563="Evet","TAHAKKUK NAKİT OLAMAZ",IF($C563&gt;TODAY(),"İLERİ TARİH","TAHAKKUK"))),IF(AND($D563&lt;&gt;"",$E563&lt;&gt;"",$G563&gt;0,$H563&lt;&gt;"",$I563&lt;&gt;""),IF($C563&gt;TODAY(),"İLERİ TARİH",IF(COUNTIF($W$7:$W$1206,$W563)&gt;1,"MÜKERRER?",IF($AD563&gt;0,"KAPALI DÖNEM",IF($I563="Hayır","ÖDENECEK","UYGUN")))),"EKSİK"))))</f>
        <v/>
      </c>
      <c r="Q563" s="6" t="n"/>
      <c r="R563" s="6" t="n"/>
      <c r="S563" s="3">
        <f>IF($L563="","",UPPER(SUBSTITUTE(SUBSTITUTE(SUBSTITUTE(SUBSTITUTE(SUBSTITUTE(SUBSTITUTE(SUBSTITUTE(SUBSTITUTE(SUBSTITUTE(SUBSTITUTE(SUBSTITUTE(SUBSTITUTE(SUBSTITUTE(SUBSTITUTE(SUBSTITUTE(SUBSTITUTE(SUBSTITUTE(SUBSTITUTE(TRIM($L563),"'",""),"İ","I"),"ı","I"),"i","I"),"Ş","S"),"ş","S"),"Ğ","G"),"ğ","G"),"Ü","U"),"ü","U"),"Ö","O"),"ö","O"),"Ç","C"),"ç","C"),".",""),",","")," ",""),"-","")))</f>
        <v/>
      </c>
      <c r="T563" s="3">
        <f>IF(OR($C563="",$D563&lt;&gt;"Gelir",$L563=""),"",IFERROR(INDEX(MUSTERILER!$B$7:$B$106,MATCH($S563,MUSTERILER!$T$7:$T$106,0)),""))</f>
        <v/>
      </c>
      <c r="U563" s="3">
        <f>IF($T563="","",$T563&amp;"|"&amp;COUNTIFS($T$7:$T563,$T563))</f>
        <v/>
      </c>
      <c r="V563" s="3">
        <f>IF($T563="",0,1)</f>
        <v/>
      </c>
      <c r="W563" s="3">
        <f>IF($C563="","",$D563&amp;"|"&amp;$E563&amp;"|"&amp;TEXT($C563,"0")&amp;"|"&amp;TEXT($G563,"0")&amp;"|"&amp;$J563)</f>
        <v/>
      </c>
      <c r="X563" s="3" t="n"/>
      <c r="Y563" s="3" t="n"/>
      <c r="Z563" s="3" t="n"/>
      <c r="AA563" s="3" t="n"/>
      <c r="AB563" s="3" t="n"/>
      <c r="AC563" s="3" t="n"/>
      <c r="AD563" s="3">
        <f>IF($C563="",0,SUMPRODUCT((AY_SONU!$O$7:$O$42="Evet")*(AY_SONU!$B$7:$B$42=DATE(YEAR($C563),MONTH($C563),1))))</f>
        <v/>
      </c>
    </row>
    <row r="564">
      <c r="A564" s="6" t="n"/>
      <c r="B564" s="113">
        <f>IF($C564="","","GG"&amp;TEXT(ROW()-6,"00000"))</f>
        <v/>
      </c>
      <c r="C564" s="220" t="n"/>
      <c r="D564" s="108" t="n"/>
      <c r="E564" s="109" t="n"/>
      <c r="F564" s="109" t="n"/>
      <c r="G564" s="221" t="n"/>
      <c r="H564" s="108" t="n"/>
      <c r="I564" s="108" t="n"/>
      <c r="J564" s="109" t="n"/>
      <c r="K564" s="109" t="n"/>
      <c r="L564" s="108" t="n"/>
      <c r="M564" s="121">
        <f>IF($C564="","",IF($D564="Gider",$E564,IF($L564&lt;&gt;"",$L564,$H564)))</f>
        <v/>
      </c>
      <c r="N564" s="121">
        <f>IF($C564="","",IF($D564="Gider",$H564,$E564))</f>
        <v/>
      </c>
      <c r="O564" s="226">
        <f>IF($C564="","",DATE(YEAR($C564),MONTH($C564),1))</f>
        <v/>
      </c>
      <c r="P564" s="113">
        <f>IF($C564="","",IF(AND($D564="Gelir",$L564&lt;&gt;"",$T564=""),"TANIMSIZ BORÇLU",IF($T564&lt;&gt;"",IF(OR($E564="",$G564&lt;=0),"EKSİK",IF($I564="Evet","TAHAKKUK NAKİT OLAMAZ",IF($C564&gt;TODAY(),"İLERİ TARİH","TAHAKKUK"))),IF(AND($D564&lt;&gt;"",$E564&lt;&gt;"",$G564&gt;0,$H564&lt;&gt;"",$I564&lt;&gt;""),IF($C564&gt;TODAY(),"İLERİ TARİH",IF(COUNTIF($W$7:$W$1206,$W564)&gt;1,"MÜKERRER?",IF($AD564&gt;0,"KAPALI DÖNEM",IF($I564="Hayır","ÖDENECEK","UYGUN")))),"EKSİK"))))</f>
        <v/>
      </c>
      <c r="Q564" s="6" t="n"/>
      <c r="R564" s="6" t="n"/>
      <c r="S564" s="3">
        <f>IF($L564="","",UPPER(SUBSTITUTE(SUBSTITUTE(SUBSTITUTE(SUBSTITUTE(SUBSTITUTE(SUBSTITUTE(SUBSTITUTE(SUBSTITUTE(SUBSTITUTE(SUBSTITUTE(SUBSTITUTE(SUBSTITUTE(SUBSTITUTE(SUBSTITUTE(SUBSTITUTE(SUBSTITUTE(SUBSTITUTE(SUBSTITUTE(TRIM($L564),"'",""),"İ","I"),"ı","I"),"i","I"),"Ş","S"),"ş","S"),"Ğ","G"),"ğ","G"),"Ü","U"),"ü","U"),"Ö","O"),"ö","O"),"Ç","C"),"ç","C"),".",""),",","")," ",""),"-","")))</f>
        <v/>
      </c>
      <c r="T564" s="3">
        <f>IF(OR($C564="",$D564&lt;&gt;"Gelir",$L564=""),"",IFERROR(INDEX(MUSTERILER!$B$7:$B$106,MATCH($S564,MUSTERILER!$T$7:$T$106,0)),""))</f>
        <v/>
      </c>
      <c r="U564" s="3">
        <f>IF($T564="","",$T564&amp;"|"&amp;COUNTIFS($T$7:$T564,$T564))</f>
        <v/>
      </c>
      <c r="V564" s="3">
        <f>IF($T564="",0,1)</f>
        <v/>
      </c>
      <c r="W564" s="3">
        <f>IF($C564="","",$D564&amp;"|"&amp;$E564&amp;"|"&amp;TEXT($C564,"0")&amp;"|"&amp;TEXT($G564,"0")&amp;"|"&amp;$J564)</f>
        <v/>
      </c>
      <c r="X564" s="3" t="n"/>
      <c r="Y564" s="3" t="n"/>
      <c r="Z564" s="3" t="n"/>
      <c r="AA564" s="3" t="n"/>
      <c r="AB564" s="3" t="n"/>
      <c r="AC564" s="3" t="n"/>
      <c r="AD564" s="3">
        <f>IF($C564="",0,SUMPRODUCT((AY_SONU!$O$7:$O$42="Evet")*(AY_SONU!$B$7:$B$42=DATE(YEAR($C564),MONTH($C564),1))))</f>
        <v/>
      </c>
    </row>
    <row r="565">
      <c r="A565" s="6" t="n"/>
      <c r="B565" s="113">
        <f>IF($C565="","","GG"&amp;TEXT(ROW()-6,"00000"))</f>
        <v/>
      </c>
      <c r="C565" s="220" t="n"/>
      <c r="D565" s="108" t="n"/>
      <c r="E565" s="109" t="n"/>
      <c r="F565" s="109" t="n"/>
      <c r="G565" s="221" t="n"/>
      <c r="H565" s="108" t="n"/>
      <c r="I565" s="108" t="n"/>
      <c r="J565" s="109" t="n"/>
      <c r="K565" s="109" t="n"/>
      <c r="L565" s="108" t="n"/>
      <c r="M565" s="121">
        <f>IF($C565="","",IF($D565="Gider",$E565,IF($L565&lt;&gt;"",$L565,$H565)))</f>
        <v/>
      </c>
      <c r="N565" s="121">
        <f>IF($C565="","",IF($D565="Gider",$H565,$E565))</f>
        <v/>
      </c>
      <c r="O565" s="226">
        <f>IF($C565="","",DATE(YEAR($C565),MONTH($C565),1))</f>
        <v/>
      </c>
      <c r="P565" s="113">
        <f>IF($C565="","",IF(AND($D565="Gelir",$L565&lt;&gt;"",$T565=""),"TANIMSIZ BORÇLU",IF($T565&lt;&gt;"",IF(OR($E565="",$G565&lt;=0),"EKSİK",IF($I565="Evet","TAHAKKUK NAKİT OLAMAZ",IF($C565&gt;TODAY(),"İLERİ TARİH","TAHAKKUK"))),IF(AND($D565&lt;&gt;"",$E565&lt;&gt;"",$G565&gt;0,$H565&lt;&gt;"",$I565&lt;&gt;""),IF($C565&gt;TODAY(),"İLERİ TARİH",IF(COUNTIF($W$7:$W$1206,$W565)&gt;1,"MÜKERRER?",IF($AD565&gt;0,"KAPALI DÖNEM",IF($I565="Hayır","ÖDENECEK","UYGUN")))),"EKSİK"))))</f>
        <v/>
      </c>
      <c r="Q565" s="6" t="n"/>
      <c r="R565" s="6" t="n"/>
      <c r="S565" s="3">
        <f>IF($L565="","",UPPER(SUBSTITUTE(SUBSTITUTE(SUBSTITUTE(SUBSTITUTE(SUBSTITUTE(SUBSTITUTE(SUBSTITUTE(SUBSTITUTE(SUBSTITUTE(SUBSTITUTE(SUBSTITUTE(SUBSTITUTE(SUBSTITUTE(SUBSTITUTE(SUBSTITUTE(SUBSTITUTE(SUBSTITUTE(SUBSTITUTE(TRIM($L565),"'",""),"İ","I"),"ı","I"),"i","I"),"Ş","S"),"ş","S"),"Ğ","G"),"ğ","G"),"Ü","U"),"ü","U"),"Ö","O"),"ö","O"),"Ç","C"),"ç","C"),".",""),",","")," ",""),"-","")))</f>
        <v/>
      </c>
      <c r="T565" s="3">
        <f>IF(OR($C565="",$D565&lt;&gt;"Gelir",$L565=""),"",IFERROR(INDEX(MUSTERILER!$B$7:$B$106,MATCH($S565,MUSTERILER!$T$7:$T$106,0)),""))</f>
        <v/>
      </c>
      <c r="U565" s="3">
        <f>IF($T565="","",$T565&amp;"|"&amp;COUNTIFS($T$7:$T565,$T565))</f>
        <v/>
      </c>
      <c r="V565" s="3">
        <f>IF($T565="",0,1)</f>
        <v/>
      </c>
      <c r="W565" s="3">
        <f>IF($C565="","",$D565&amp;"|"&amp;$E565&amp;"|"&amp;TEXT($C565,"0")&amp;"|"&amp;TEXT($G565,"0")&amp;"|"&amp;$J565)</f>
        <v/>
      </c>
      <c r="X565" s="3" t="n"/>
      <c r="Y565" s="3" t="n"/>
      <c r="Z565" s="3" t="n"/>
      <c r="AA565" s="3" t="n"/>
      <c r="AB565" s="3" t="n"/>
      <c r="AC565" s="3" t="n"/>
      <c r="AD565" s="3">
        <f>IF($C565="",0,SUMPRODUCT((AY_SONU!$O$7:$O$42="Evet")*(AY_SONU!$B$7:$B$42=DATE(YEAR($C565),MONTH($C565),1))))</f>
        <v/>
      </c>
    </row>
    <row r="566">
      <c r="A566" s="6" t="n"/>
      <c r="B566" s="113">
        <f>IF($C566="","","GG"&amp;TEXT(ROW()-6,"00000"))</f>
        <v/>
      </c>
      <c r="C566" s="220" t="n"/>
      <c r="D566" s="108" t="n"/>
      <c r="E566" s="109" t="n"/>
      <c r="F566" s="109" t="n"/>
      <c r="G566" s="221" t="n"/>
      <c r="H566" s="108" t="n"/>
      <c r="I566" s="108" t="n"/>
      <c r="J566" s="109" t="n"/>
      <c r="K566" s="109" t="n"/>
      <c r="L566" s="108" t="n"/>
      <c r="M566" s="121">
        <f>IF($C566="","",IF($D566="Gider",$E566,IF($L566&lt;&gt;"",$L566,$H566)))</f>
        <v/>
      </c>
      <c r="N566" s="121">
        <f>IF($C566="","",IF($D566="Gider",$H566,$E566))</f>
        <v/>
      </c>
      <c r="O566" s="226">
        <f>IF($C566="","",DATE(YEAR($C566),MONTH($C566),1))</f>
        <v/>
      </c>
      <c r="P566" s="113">
        <f>IF($C566="","",IF(AND($D566="Gelir",$L566&lt;&gt;"",$T566=""),"TANIMSIZ BORÇLU",IF($T566&lt;&gt;"",IF(OR($E566="",$G566&lt;=0),"EKSİK",IF($I566="Evet","TAHAKKUK NAKİT OLAMAZ",IF($C566&gt;TODAY(),"İLERİ TARİH","TAHAKKUK"))),IF(AND($D566&lt;&gt;"",$E566&lt;&gt;"",$G566&gt;0,$H566&lt;&gt;"",$I566&lt;&gt;""),IF($C566&gt;TODAY(),"İLERİ TARİH",IF(COUNTIF($W$7:$W$1206,$W566)&gt;1,"MÜKERRER?",IF($AD566&gt;0,"KAPALI DÖNEM",IF($I566="Hayır","ÖDENECEK","UYGUN")))),"EKSİK"))))</f>
        <v/>
      </c>
      <c r="Q566" s="6" t="n"/>
      <c r="R566" s="6" t="n"/>
      <c r="S566" s="3">
        <f>IF($L566="","",UPPER(SUBSTITUTE(SUBSTITUTE(SUBSTITUTE(SUBSTITUTE(SUBSTITUTE(SUBSTITUTE(SUBSTITUTE(SUBSTITUTE(SUBSTITUTE(SUBSTITUTE(SUBSTITUTE(SUBSTITUTE(SUBSTITUTE(SUBSTITUTE(SUBSTITUTE(SUBSTITUTE(SUBSTITUTE(SUBSTITUTE(TRIM($L566),"'",""),"İ","I"),"ı","I"),"i","I"),"Ş","S"),"ş","S"),"Ğ","G"),"ğ","G"),"Ü","U"),"ü","U"),"Ö","O"),"ö","O"),"Ç","C"),"ç","C"),".",""),",","")," ",""),"-","")))</f>
        <v/>
      </c>
      <c r="T566" s="3">
        <f>IF(OR($C566="",$D566&lt;&gt;"Gelir",$L566=""),"",IFERROR(INDEX(MUSTERILER!$B$7:$B$106,MATCH($S566,MUSTERILER!$T$7:$T$106,0)),""))</f>
        <v/>
      </c>
      <c r="U566" s="3">
        <f>IF($T566="","",$T566&amp;"|"&amp;COUNTIFS($T$7:$T566,$T566))</f>
        <v/>
      </c>
      <c r="V566" s="3">
        <f>IF($T566="",0,1)</f>
        <v/>
      </c>
      <c r="W566" s="3">
        <f>IF($C566="","",$D566&amp;"|"&amp;$E566&amp;"|"&amp;TEXT($C566,"0")&amp;"|"&amp;TEXT($G566,"0")&amp;"|"&amp;$J566)</f>
        <v/>
      </c>
      <c r="X566" s="3" t="n"/>
      <c r="Y566" s="3" t="n"/>
      <c r="Z566" s="3" t="n"/>
      <c r="AA566" s="3" t="n"/>
      <c r="AB566" s="3" t="n"/>
      <c r="AC566" s="3" t="n"/>
      <c r="AD566" s="3">
        <f>IF($C566="",0,SUMPRODUCT((AY_SONU!$O$7:$O$42="Evet")*(AY_SONU!$B$7:$B$42=DATE(YEAR($C566),MONTH($C566),1))))</f>
        <v/>
      </c>
    </row>
    <row r="567">
      <c r="A567" s="6" t="n"/>
      <c r="B567" s="113">
        <f>IF($C567="","","GG"&amp;TEXT(ROW()-6,"00000"))</f>
        <v/>
      </c>
      <c r="C567" s="220" t="n"/>
      <c r="D567" s="108" t="n"/>
      <c r="E567" s="109" t="n"/>
      <c r="F567" s="109" t="n"/>
      <c r="G567" s="221" t="n"/>
      <c r="H567" s="108" t="n"/>
      <c r="I567" s="108" t="n"/>
      <c r="J567" s="109" t="n"/>
      <c r="K567" s="109" t="n"/>
      <c r="L567" s="108" t="n"/>
      <c r="M567" s="121">
        <f>IF($C567="","",IF($D567="Gider",$E567,IF($L567&lt;&gt;"",$L567,$H567)))</f>
        <v/>
      </c>
      <c r="N567" s="121">
        <f>IF($C567="","",IF($D567="Gider",$H567,$E567))</f>
        <v/>
      </c>
      <c r="O567" s="226">
        <f>IF($C567="","",DATE(YEAR($C567),MONTH($C567),1))</f>
        <v/>
      </c>
      <c r="P567" s="113">
        <f>IF($C567="","",IF(AND($D567="Gelir",$L567&lt;&gt;"",$T567=""),"TANIMSIZ BORÇLU",IF($T567&lt;&gt;"",IF(OR($E567="",$G567&lt;=0),"EKSİK",IF($I567="Evet","TAHAKKUK NAKİT OLAMAZ",IF($C567&gt;TODAY(),"İLERİ TARİH","TAHAKKUK"))),IF(AND($D567&lt;&gt;"",$E567&lt;&gt;"",$G567&gt;0,$H567&lt;&gt;"",$I567&lt;&gt;""),IF($C567&gt;TODAY(),"İLERİ TARİH",IF(COUNTIF($W$7:$W$1206,$W567)&gt;1,"MÜKERRER?",IF($AD567&gt;0,"KAPALI DÖNEM",IF($I567="Hayır","ÖDENECEK","UYGUN")))),"EKSİK"))))</f>
        <v/>
      </c>
      <c r="Q567" s="6" t="n"/>
      <c r="R567" s="6" t="n"/>
      <c r="S567" s="3">
        <f>IF($L567="","",UPPER(SUBSTITUTE(SUBSTITUTE(SUBSTITUTE(SUBSTITUTE(SUBSTITUTE(SUBSTITUTE(SUBSTITUTE(SUBSTITUTE(SUBSTITUTE(SUBSTITUTE(SUBSTITUTE(SUBSTITUTE(SUBSTITUTE(SUBSTITUTE(SUBSTITUTE(SUBSTITUTE(SUBSTITUTE(SUBSTITUTE(TRIM($L567),"'",""),"İ","I"),"ı","I"),"i","I"),"Ş","S"),"ş","S"),"Ğ","G"),"ğ","G"),"Ü","U"),"ü","U"),"Ö","O"),"ö","O"),"Ç","C"),"ç","C"),".",""),",","")," ",""),"-","")))</f>
        <v/>
      </c>
      <c r="T567" s="3">
        <f>IF(OR($C567="",$D567&lt;&gt;"Gelir",$L567=""),"",IFERROR(INDEX(MUSTERILER!$B$7:$B$106,MATCH($S567,MUSTERILER!$T$7:$T$106,0)),""))</f>
        <v/>
      </c>
      <c r="U567" s="3">
        <f>IF($T567="","",$T567&amp;"|"&amp;COUNTIFS($T$7:$T567,$T567))</f>
        <v/>
      </c>
      <c r="V567" s="3">
        <f>IF($T567="",0,1)</f>
        <v/>
      </c>
      <c r="W567" s="3">
        <f>IF($C567="","",$D567&amp;"|"&amp;$E567&amp;"|"&amp;TEXT($C567,"0")&amp;"|"&amp;TEXT($G567,"0")&amp;"|"&amp;$J567)</f>
        <v/>
      </c>
      <c r="X567" s="3" t="n"/>
      <c r="Y567" s="3" t="n"/>
      <c r="Z567" s="3" t="n"/>
      <c r="AA567" s="3" t="n"/>
      <c r="AB567" s="3" t="n"/>
      <c r="AC567" s="3" t="n"/>
      <c r="AD567" s="3">
        <f>IF($C567="",0,SUMPRODUCT((AY_SONU!$O$7:$O$42="Evet")*(AY_SONU!$B$7:$B$42=DATE(YEAR($C567),MONTH($C567),1))))</f>
        <v/>
      </c>
    </row>
    <row r="568">
      <c r="A568" s="6" t="n"/>
      <c r="B568" s="113">
        <f>IF($C568="","","GG"&amp;TEXT(ROW()-6,"00000"))</f>
        <v/>
      </c>
      <c r="C568" s="220" t="n"/>
      <c r="D568" s="108" t="n"/>
      <c r="E568" s="109" t="n"/>
      <c r="F568" s="109" t="n"/>
      <c r="G568" s="221" t="n"/>
      <c r="H568" s="108" t="n"/>
      <c r="I568" s="108" t="n"/>
      <c r="J568" s="109" t="n"/>
      <c r="K568" s="109" t="n"/>
      <c r="L568" s="108" t="n"/>
      <c r="M568" s="121">
        <f>IF($C568="","",IF($D568="Gider",$E568,IF($L568&lt;&gt;"",$L568,$H568)))</f>
        <v/>
      </c>
      <c r="N568" s="121">
        <f>IF($C568="","",IF($D568="Gider",$H568,$E568))</f>
        <v/>
      </c>
      <c r="O568" s="226">
        <f>IF($C568="","",DATE(YEAR($C568),MONTH($C568),1))</f>
        <v/>
      </c>
      <c r="P568" s="113">
        <f>IF($C568="","",IF(AND($D568="Gelir",$L568&lt;&gt;"",$T568=""),"TANIMSIZ BORÇLU",IF($T568&lt;&gt;"",IF(OR($E568="",$G568&lt;=0),"EKSİK",IF($I568="Evet","TAHAKKUK NAKİT OLAMAZ",IF($C568&gt;TODAY(),"İLERİ TARİH","TAHAKKUK"))),IF(AND($D568&lt;&gt;"",$E568&lt;&gt;"",$G568&gt;0,$H568&lt;&gt;"",$I568&lt;&gt;""),IF($C568&gt;TODAY(),"İLERİ TARİH",IF(COUNTIF($W$7:$W$1206,$W568)&gt;1,"MÜKERRER?",IF($AD568&gt;0,"KAPALI DÖNEM",IF($I568="Hayır","ÖDENECEK","UYGUN")))),"EKSİK"))))</f>
        <v/>
      </c>
      <c r="Q568" s="6" t="n"/>
      <c r="R568" s="6" t="n"/>
      <c r="S568" s="3">
        <f>IF($L568="","",UPPER(SUBSTITUTE(SUBSTITUTE(SUBSTITUTE(SUBSTITUTE(SUBSTITUTE(SUBSTITUTE(SUBSTITUTE(SUBSTITUTE(SUBSTITUTE(SUBSTITUTE(SUBSTITUTE(SUBSTITUTE(SUBSTITUTE(SUBSTITUTE(SUBSTITUTE(SUBSTITUTE(SUBSTITUTE(SUBSTITUTE(TRIM($L568),"'",""),"İ","I"),"ı","I"),"i","I"),"Ş","S"),"ş","S"),"Ğ","G"),"ğ","G"),"Ü","U"),"ü","U"),"Ö","O"),"ö","O"),"Ç","C"),"ç","C"),".",""),",","")," ",""),"-","")))</f>
        <v/>
      </c>
      <c r="T568" s="3">
        <f>IF(OR($C568="",$D568&lt;&gt;"Gelir",$L568=""),"",IFERROR(INDEX(MUSTERILER!$B$7:$B$106,MATCH($S568,MUSTERILER!$T$7:$T$106,0)),""))</f>
        <v/>
      </c>
      <c r="U568" s="3">
        <f>IF($T568="","",$T568&amp;"|"&amp;COUNTIFS($T$7:$T568,$T568))</f>
        <v/>
      </c>
      <c r="V568" s="3">
        <f>IF($T568="",0,1)</f>
        <v/>
      </c>
      <c r="W568" s="3">
        <f>IF($C568="","",$D568&amp;"|"&amp;$E568&amp;"|"&amp;TEXT($C568,"0")&amp;"|"&amp;TEXT($G568,"0")&amp;"|"&amp;$J568)</f>
        <v/>
      </c>
      <c r="X568" s="3" t="n"/>
      <c r="Y568" s="3" t="n"/>
      <c r="Z568" s="3" t="n"/>
      <c r="AA568" s="3" t="n"/>
      <c r="AB568" s="3" t="n"/>
      <c r="AC568" s="3" t="n"/>
      <c r="AD568" s="3">
        <f>IF($C568="",0,SUMPRODUCT((AY_SONU!$O$7:$O$42="Evet")*(AY_SONU!$B$7:$B$42=DATE(YEAR($C568),MONTH($C568),1))))</f>
        <v/>
      </c>
    </row>
    <row r="569">
      <c r="A569" s="6" t="n"/>
      <c r="B569" s="113">
        <f>IF($C569="","","GG"&amp;TEXT(ROW()-6,"00000"))</f>
        <v/>
      </c>
      <c r="C569" s="220" t="n"/>
      <c r="D569" s="108" t="n"/>
      <c r="E569" s="109" t="n"/>
      <c r="F569" s="109" t="n"/>
      <c r="G569" s="221" t="n"/>
      <c r="H569" s="108" t="n"/>
      <c r="I569" s="108" t="n"/>
      <c r="J569" s="109" t="n"/>
      <c r="K569" s="109" t="n"/>
      <c r="L569" s="108" t="n"/>
      <c r="M569" s="121">
        <f>IF($C569="","",IF($D569="Gider",$E569,IF($L569&lt;&gt;"",$L569,$H569)))</f>
        <v/>
      </c>
      <c r="N569" s="121">
        <f>IF($C569="","",IF($D569="Gider",$H569,$E569))</f>
        <v/>
      </c>
      <c r="O569" s="226">
        <f>IF($C569="","",DATE(YEAR($C569),MONTH($C569),1))</f>
        <v/>
      </c>
      <c r="P569" s="113">
        <f>IF($C569="","",IF(AND($D569="Gelir",$L569&lt;&gt;"",$T569=""),"TANIMSIZ BORÇLU",IF($T569&lt;&gt;"",IF(OR($E569="",$G569&lt;=0),"EKSİK",IF($I569="Evet","TAHAKKUK NAKİT OLAMAZ",IF($C569&gt;TODAY(),"İLERİ TARİH","TAHAKKUK"))),IF(AND($D569&lt;&gt;"",$E569&lt;&gt;"",$G569&gt;0,$H569&lt;&gt;"",$I569&lt;&gt;""),IF($C569&gt;TODAY(),"İLERİ TARİH",IF(COUNTIF($W$7:$W$1206,$W569)&gt;1,"MÜKERRER?",IF($AD569&gt;0,"KAPALI DÖNEM",IF($I569="Hayır","ÖDENECEK","UYGUN")))),"EKSİK"))))</f>
        <v/>
      </c>
      <c r="Q569" s="6" t="n"/>
      <c r="R569" s="6" t="n"/>
      <c r="S569" s="3">
        <f>IF($L569="","",UPPER(SUBSTITUTE(SUBSTITUTE(SUBSTITUTE(SUBSTITUTE(SUBSTITUTE(SUBSTITUTE(SUBSTITUTE(SUBSTITUTE(SUBSTITUTE(SUBSTITUTE(SUBSTITUTE(SUBSTITUTE(SUBSTITUTE(SUBSTITUTE(SUBSTITUTE(SUBSTITUTE(SUBSTITUTE(SUBSTITUTE(TRIM($L569),"'",""),"İ","I"),"ı","I"),"i","I"),"Ş","S"),"ş","S"),"Ğ","G"),"ğ","G"),"Ü","U"),"ü","U"),"Ö","O"),"ö","O"),"Ç","C"),"ç","C"),".",""),",","")," ",""),"-","")))</f>
        <v/>
      </c>
      <c r="T569" s="3">
        <f>IF(OR($C569="",$D569&lt;&gt;"Gelir",$L569=""),"",IFERROR(INDEX(MUSTERILER!$B$7:$B$106,MATCH($S569,MUSTERILER!$T$7:$T$106,0)),""))</f>
        <v/>
      </c>
      <c r="U569" s="3">
        <f>IF($T569="","",$T569&amp;"|"&amp;COUNTIFS($T$7:$T569,$T569))</f>
        <v/>
      </c>
      <c r="V569" s="3">
        <f>IF($T569="",0,1)</f>
        <v/>
      </c>
      <c r="W569" s="3">
        <f>IF($C569="","",$D569&amp;"|"&amp;$E569&amp;"|"&amp;TEXT($C569,"0")&amp;"|"&amp;TEXT($G569,"0")&amp;"|"&amp;$J569)</f>
        <v/>
      </c>
      <c r="X569" s="3" t="n"/>
      <c r="Y569" s="3" t="n"/>
      <c r="Z569" s="3" t="n"/>
      <c r="AA569" s="3" t="n"/>
      <c r="AB569" s="3" t="n"/>
      <c r="AC569" s="3" t="n"/>
      <c r="AD569" s="3">
        <f>IF($C569="",0,SUMPRODUCT((AY_SONU!$O$7:$O$42="Evet")*(AY_SONU!$B$7:$B$42=DATE(YEAR($C569),MONTH($C569),1))))</f>
        <v/>
      </c>
    </row>
    <row r="570">
      <c r="A570" s="6" t="n"/>
      <c r="B570" s="113">
        <f>IF($C570="","","GG"&amp;TEXT(ROW()-6,"00000"))</f>
        <v/>
      </c>
      <c r="C570" s="220" t="n"/>
      <c r="D570" s="108" t="n"/>
      <c r="E570" s="109" t="n"/>
      <c r="F570" s="109" t="n"/>
      <c r="G570" s="221" t="n"/>
      <c r="H570" s="108" t="n"/>
      <c r="I570" s="108" t="n"/>
      <c r="J570" s="109" t="n"/>
      <c r="K570" s="109" t="n"/>
      <c r="L570" s="108" t="n"/>
      <c r="M570" s="121">
        <f>IF($C570="","",IF($D570="Gider",$E570,IF($L570&lt;&gt;"",$L570,$H570)))</f>
        <v/>
      </c>
      <c r="N570" s="121">
        <f>IF($C570="","",IF($D570="Gider",$H570,$E570))</f>
        <v/>
      </c>
      <c r="O570" s="226">
        <f>IF($C570="","",DATE(YEAR($C570),MONTH($C570),1))</f>
        <v/>
      </c>
      <c r="P570" s="113">
        <f>IF($C570="","",IF(AND($D570="Gelir",$L570&lt;&gt;"",$T570=""),"TANIMSIZ BORÇLU",IF($T570&lt;&gt;"",IF(OR($E570="",$G570&lt;=0),"EKSİK",IF($I570="Evet","TAHAKKUK NAKİT OLAMAZ",IF($C570&gt;TODAY(),"İLERİ TARİH","TAHAKKUK"))),IF(AND($D570&lt;&gt;"",$E570&lt;&gt;"",$G570&gt;0,$H570&lt;&gt;"",$I570&lt;&gt;""),IF($C570&gt;TODAY(),"İLERİ TARİH",IF(COUNTIF($W$7:$W$1206,$W570)&gt;1,"MÜKERRER?",IF($AD570&gt;0,"KAPALI DÖNEM",IF($I570="Hayır","ÖDENECEK","UYGUN")))),"EKSİK"))))</f>
        <v/>
      </c>
      <c r="Q570" s="6" t="n"/>
      <c r="R570" s="6" t="n"/>
      <c r="S570" s="3">
        <f>IF($L570="","",UPPER(SUBSTITUTE(SUBSTITUTE(SUBSTITUTE(SUBSTITUTE(SUBSTITUTE(SUBSTITUTE(SUBSTITUTE(SUBSTITUTE(SUBSTITUTE(SUBSTITUTE(SUBSTITUTE(SUBSTITUTE(SUBSTITUTE(SUBSTITUTE(SUBSTITUTE(SUBSTITUTE(SUBSTITUTE(SUBSTITUTE(TRIM($L570),"'",""),"İ","I"),"ı","I"),"i","I"),"Ş","S"),"ş","S"),"Ğ","G"),"ğ","G"),"Ü","U"),"ü","U"),"Ö","O"),"ö","O"),"Ç","C"),"ç","C"),".",""),",","")," ",""),"-","")))</f>
        <v/>
      </c>
      <c r="T570" s="3">
        <f>IF(OR($C570="",$D570&lt;&gt;"Gelir",$L570=""),"",IFERROR(INDEX(MUSTERILER!$B$7:$B$106,MATCH($S570,MUSTERILER!$T$7:$T$106,0)),""))</f>
        <v/>
      </c>
      <c r="U570" s="3">
        <f>IF($T570="","",$T570&amp;"|"&amp;COUNTIFS($T$7:$T570,$T570))</f>
        <v/>
      </c>
      <c r="V570" s="3">
        <f>IF($T570="",0,1)</f>
        <v/>
      </c>
      <c r="W570" s="3">
        <f>IF($C570="","",$D570&amp;"|"&amp;$E570&amp;"|"&amp;TEXT($C570,"0")&amp;"|"&amp;TEXT($G570,"0")&amp;"|"&amp;$J570)</f>
        <v/>
      </c>
      <c r="X570" s="3" t="n"/>
      <c r="Y570" s="3" t="n"/>
      <c r="Z570" s="3" t="n"/>
      <c r="AA570" s="3" t="n"/>
      <c r="AB570" s="3" t="n"/>
      <c r="AC570" s="3" t="n"/>
      <c r="AD570" s="3">
        <f>IF($C570="",0,SUMPRODUCT((AY_SONU!$O$7:$O$42="Evet")*(AY_SONU!$B$7:$B$42=DATE(YEAR($C570),MONTH($C570),1))))</f>
        <v/>
      </c>
    </row>
    <row r="571">
      <c r="A571" s="6" t="n"/>
      <c r="B571" s="113">
        <f>IF($C571="","","GG"&amp;TEXT(ROW()-6,"00000"))</f>
        <v/>
      </c>
      <c r="C571" s="220" t="n"/>
      <c r="D571" s="108" t="n"/>
      <c r="E571" s="109" t="n"/>
      <c r="F571" s="109" t="n"/>
      <c r="G571" s="221" t="n"/>
      <c r="H571" s="108" t="n"/>
      <c r="I571" s="108" t="n"/>
      <c r="J571" s="109" t="n"/>
      <c r="K571" s="109" t="n"/>
      <c r="L571" s="108" t="n"/>
      <c r="M571" s="121">
        <f>IF($C571="","",IF($D571="Gider",$E571,IF($L571&lt;&gt;"",$L571,$H571)))</f>
        <v/>
      </c>
      <c r="N571" s="121">
        <f>IF($C571="","",IF($D571="Gider",$H571,$E571))</f>
        <v/>
      </c>
      <c r="O571" s="226">
        <f>IF($C571="","",DATE(YEAR($C571),MONTH($C571),1))</f>
        <v/>
      </c>
      <c r="P571" s="113">
        <f>IF($C571="","",IF(AND($D571="Gelir",$L571&lt;&gt;"",$T571=""),"TANIMSIZ BORÇLU",IF($T571&lt;&gt;"",IF(OR($E571="",$G571&lt;=0),"EKSİK",IF($I571="Evet","TAHAKKUK NAKİT OLAMAZ",IF($C571&gt;TODAY(),"İLERİ TARİH","TAHAKKUK"))),IF(AND($D571&lt;&gt;"",$E571&lt;&gt;"",$G571&gt;0,$H571&lt;&gt;"",$I571&lt;&gt;""),IF($C571&gt;TODAY(),"İLERİ TARİH",IF(COUNTIF($W$7:$W$1206,$W571)&gt;1,"MÜKERRER?",IF($AD571&gt;0,"KAPALI DÖNEM",IF($I571="Hayır","ÖDENECEK","UYGUN")))),"EKSİK"))))</f>
        <v/>
      </c>
      <c r="Q571" s="6" t="n"/>
      <c r="R571" s="6" t="n"/>
      <c r="S571" s="3">
        <f>IF($L571="","",UPPER(SUBSTITUTE(SUBSTITUTE(SUBSTITUTE(SUBSTITUTE(SUBSTITUTE(SUBSTITUTE(SUBSTITUTE(SUBSTITUTE(SUBSTITUTE(SUBSTITUTE(SUBSTITUTE(SUBSTITUTE(SUBSTITUTE(SUBSTITUTE(SUBSTITUTE(SUBSTITUTE(SUBSTITUTE(SUBSTITUTE(TRIM($L571),"'",""),"İ","I"),"ı","I"),"i","I"),"Ş","S"),"ş","S"),"Ğ","G"),"ğ","G"),"Ü","U"),"ü","U"),"Ö","O"),"ö","O"),"Ç","C"),"ç","C"),".",""),",","")," ",""),"-","")))</f>
        <v/>
      </c>
      <c r="T571" s="3">
        <f>IF(OR($C571="",$D571&lt;&gt;"Gelir",$L571=""),"",IFERROR(INDEX(MUSTERILER!$B$7:$B$106,MATCH($S571,MUSTERILER!$T$7:$T$106,0)),""))</f>
        <v/>
      </c>
      <c r="U571" s="3">
        <f>IF($T571="","",$T571&amp;"|"&amp;COUNTIFS($T$7:$T571,$T571))</f>
        <v/>
      </c>
      <c r="V571" s="3">
        <f>IF($T571="",0,1)</f>
        <v/>
      </c>
      <c r="W571" s="3">
        <f>IF($C571="","",$D571&amp;"|"&amp;$E571&amp;"|"&amp;TEXT($C571,"0")&amp;"|"&amp;TEXT($G571,"0")&amp;"|"&amp;$J571)</f>
        <v/>
      </c>
      <c r="X571" s="3" t="n"/>
      <c r="Y571" s="3" t="n"/>
      <c r="Z571" s="3" t="n"/>
      <c r="AA571" s="3" t="n"/>
      <c r="AB571" s="3" t="n"/>
      <c r="AC571" s="3" t="n"/>
      <c r="AD571" s="3">
        <f>IF($C571="",0,SUMPRODUCT((AY_SONU!$O$7:$O$42="Evet")*(AY_SONU!$B$7:$B$42=DATE(YEAR($C571),MONTH($C571),1))))</f>
        <v/>
      </c>
    </row>
    <row r="572">
      <c r="A572" s="6" t="n"/>
      <c r="B572" s="113">
        <f>IF($C572="","","GG"&amp;TEXT(ROW()-6,"00000"))</f>
        <v/>
      </c>
      <c r="C572" s="220" t="n"/>
      <c r="D572" s="108" t="n"/>
      <c r="E572" s="109" t="n"/>
      <c r="F572" s="109" t="n"/>
      <c r="G572" s="221" t="n"/>
      <c r="H572" s="108" t="n"/>
      <c r="I572" s="108" t="n"/>
      <c r="J572" s="109" t="n"/>
      <c r="K572" s="109" t="n"/>
      <c r="L572" s="108" t="n"/>
      <c r="M572" s="121">
        <f>IF($C572="","",IF($D572="Gider",$E572,IF($L572&lt;&gt;"",$L572,$H572)))</f>
        <v/>
      </c>
      <c r="N572" s="121">
        <f>IF($C572="","",IF($D572="Gider",$H572,$E572))</f>
        <v/>
      </c>
      <c r="O572" s="226">
        <f>IF($C572="","",DATE(YEAR($C572),MONTH($C572),1))</f>
        <v/>
      </c>
      <c r="P572" s="113">
        <f>IF($C572="","",IF(AND($D572="Gelir",$L572&lt;&gt;"",$T572=""),"TANIMSIZ BORÇLU",IF($T572&lt;&gt;"",IF(OR($E572="",$G572&lt;=0),"EKSİK",IF($I572="Evet","TAHAKKUK NAKİT OLAMAZ",IF($C572&gt;TODAY(),"İLERİ TARİH","TAHAKKUK"))),IF(AND($D572&lt;&gt;"",$E572&lt;&gt;"",$G572&gt;0,$H572&lt;&gt;"",$I572&lt;&gt;""),IF($C572&gt;TODAY(),"İLERİ TARİH",IF(COUNTIF($W$7:$W$1206,$W572)&gt;1,"MÜKERRER?",IF($AD572&gt;0,"KAPALI DÖNEM",IF($I572="Hayır","ÖDENECEK","UYGUN")))),"EKSİK"))))</f>
        <v/>
      </c>
      <c r="Q572" s="6" t="n"/>
      <c r="R572" s="6" t="n"/>
      <c r="S572" s="3">
        <f>IF($L572="","",UPPER(SUBSTITUTE(SUBSTITUTE(SUBSTITUTE(SUBSTITUTE(SUBSTITUTE(SUBSTITUTE(SUBSTITUTE(SUBSTITUTE(SUBSTITUTE(SUBSTITUTE(SUBSTITUTE(SUBSTITUTE(SUBSTITUTE(SUBSTITUTE(SUBSTITUTE(SUBSTITUTE(SUBSTITUTE(SUBSTITUTE(TRIM($L572),"'",""),"İ","I"),"ı","I"),"i","I"),"Ş","S"),"ş","S"),"Ğ","G"),"ğ","G"),"Ü","U"),"ü","U"),"Ö","O"),"ö","O"),"Ç","C"),"ç","C"),".",""),",","")," ",""),"-","")))</f>
        <v/>
      </c>
      <c r="T572" s="3">
        <f>IF(OR($C572="",$D572&lt;&gt;"Gelir",$L572=""),"",IFERROR(INDEX(MUSTERILER!$B$7:$B$106,MATCH($S572,MUSTERILER!$T$7:$T$106,0)),""))</f>
        <v/>
      </c>
      <c r="U572" s="3">
        <f>IF($T572="","",$T572&amp;"|"&amp;COUNTIFS($T$7:$T572,$T572))</f>
        <v/>
      </c>
      <c r="V572" s="3">
        <f>IF($T572="",0,1)</f>
        <v/>
      </c>
      <c r="W572" s="3">
        <f>IF($C572="","",$D572&amp;"|"&amp;$E572&amp;"|"&amp;TEXT($C572,"0")&amp;"|"&amp;TEXT($G572,"0")&amp;"|"&amp;$J572)</f>
        <v/>
      </c>
      <c r="X572" s="3" t="n"/>
      <c r="Y572" s="3" t="n"/>
      <c r="Z572" s="3" t="n"/>
      <c r="AA572" s="3" t="n"/>
      <c r="AB572" s="3" t="n"/>
      <c r="AC572" s="3" t="n"/>
      <c r="AD572" s="3">
        <f>IF($C572="",0,SUMPRODUCT((AY_SONU!$O$7:$O$42="Evet")*(AY_SONU!$B$7:$B$42=DATE(YEAR($C572),MONTH($C572),1))))</f>
        <v/>
      </c>
    </row>
    <row r="573">
      <c r="A573" s="6" t="n"/>
      <c r="B573" s="113">
        <f>IF($C573="","","GG"&amp;TEXT(ROW()-6,"00000"))</f>
        <v/>
      </c>
      <c r="C573" s="220" t="n"/>
      <c r="D573" s="108" t="n"/>
      <c r="E573" s="109" t="n"/>
      <c r="F573" s="109" t="n"/>
      <c r="G573" s="221" t="n"/>
      <c r="H573" s="108" t="n"/>
      <c r="I573" s="108" t="n"/>
      <c r="J573" s="109" t="n"/>
      <c r="K573" s="109" t="n"/>
      <c r="L573" s="108" t="n"/>
      <c r="M573" s="121">
        <f>IF($C573="","",IF($D573="Gider",$E573,IF($L573&lt;&gt;"",$L573,$H573)))</f>
        <v/>
      </c>
      <c r="N573" s="121">
        <f>IF($C573="","",IF($D573="Gider",$H573,$E573))</f>
        <v/>
      </c>
      <c r="O573" s="226">
        <f>IF($C573="","",DATE(YEAR($C573),MONTH($C573),1))</f>
        <v/>
      </c>
      <c r="P573" s="113">
        <f>IF($C573="","",IF(AND($D573="Gelir",$L573&lt;&gt;"",$T573=""),"TANIMSIZ BORÇLU",IF($T573&lt;&gt;"",IF(OR($E573="",$G573&lt;=0),"EKSİK",IF($I573="Evet","TAHAKKUK NAKİT OLAMAZ",IF($C573&gt;TODAY(),"İLERİ TARİH","TAHAKKUK"))),IF(AND($D573&lt;&gt;"",$E573&lt;&gt;"",$G573&gt;0,$H573&lt;&gt;"",$I573&lt;&gt;""),IF($C573&gt;TODAY(),"İLERİ TARİH",IF(COUNTIF($W$7:$W$1206,$W573)&gt;1,"MÜKERRER?",IF($AD573&gt;0,"KAPALI DÖNEM",IF($I573="Hayır","ÖDENECEK","UYGUN")))),"EKSİK"))))</f>
        <v/>
      </c>
      <c r="Q573" s="6" t="n"/>
      <c r="R573" s="6" t="n"/>
      <c r="S573" s="3">
        <f>IF($L573="","",UPPER(SUBSTITUTE(SUBSTITUTE(SUBSTITUTE(SUBSTITUTE(SUBSTITUTE(SUBSTITUTE(SUBSTITUTE(SUBSTITUTE(SUBSTITUTE(SUBSTITUTE(SUBSTITUTE(SUBSTITUTE(SUBSTITUTE(SUBSTITUTE(SUBSTITUTE(SUBSTITUTE(SUBSTITUTE(SUBSTITUTE(TRIM($L573),"'",""),"İ","I"),"ı","I"),"i","I"),"Ş","S"),"ş","S"),"Ğ","G"),"ğ","G"),"Ü","U"),"ü","U"),"Ö","O"),"ö","O"),"Ç","C"),"ç","C"),".",""),",","")," ",""),"-","")))</f>
        <v/>
      </c>
      <c r="T573" s="3">
        <f>IF(OR($C573="",$D573&lt;&gt;"Gelir",$L573=""),"",IFERROR(INDEX(MUSTERILER!$B$7:$B$106,MATCH($S573,MUSTERILER!$T$7:$T$106,0)),""))</f>
        <v/>
      </c>
      <c r="U573" s="3">
        <f>IF($T573="","",$T573&amp;"|"&amp;COUNTIFS($T$7:$T573,$T573))</f>
        <v/>
      </c>
      <c r="V573" s="3">
        <f>IF($T573="",0,1)</f>
        <v/>
      </c>
      <c r="W573" s="3">
        <f>IF($C573="","",$D573&amp;"|"&amp;$E573&amp;"|"&amp;TEXT($C573,"0")&amp;"|"&amp;TEXT($G573,"0")&amp;"|"&amp;$J573)</f>
        <v/>
      </c>
      <c r="X573" s="3" t="n"/>
      <c r="Y573" s="3" t="n"/>
      <c r="Z573" s="3" t="n"/>
      <c r="AA573" s="3" t="n"/>
      <c r="AB573" s="3" t="n"/>
      <c r="AC573" s="3" t="n"/>
      <c r="AD573" s="3">
        <f>IF($C573="",0,SUMPRODUCT((AY_SONU!$O$7:$O$42="Evet")*(AY_SONU!$B$7:$B$42=DATE(YEAR($C573),MONTH($C573),1))))</f>
        <v/>
      </c>
    </row>
    <row r="574">
      <c r="A574" s="6" t="n"/>
      <c r="B574" s="113">
        <f>IF($C574="","","GG"&amp;TEXT(ROW()-6,"00000"))</f>
        <v/>
      </c>
      <c r="C574" s="220" t="n"/>
      <c r="D574" s="108" t="n"/>
      <c r="E574" s="109" t="n"/>
      <c r="F574" s="109" t="n"/>
      <c r="G574" s="221" t="n"/>
      <c r="H574" s="108" t="n"/>
      <c r="I574" s="108" t="n"/>
      <c r="J574" s="109" t="n"/>
      <c r="K574" s="109" t="n"/>
      <c r="L574" s="108" t="n"/>
      <c r="M574" s="121">
        <f>IF($C574="","",IF($D574="Gider",$E574,IF($L574&lt;&gt;"",$L574,$H574)))</f>
        <v/>
      </c>
      <c r="N574" s="121">
        <f>IF($C574="","",IF($D574="Gider",$H574,$E574))</f>
        <v/>
      </c>
      <c r="O574" s="226">
        <f>IF($C574="","",DATE(YEAR($C574),MONTH($C574),1))</f>
        <v/>
      </c>
      <c r="P574" s="113">
        <f>IF($C574="","",IF(AND($D574="Gelir",$L574&lt;&gt;"",$T574=""),"TANIMSIZ BORÇLU",IF($T574&lt;&gt;"",IF(OR($E574="",$G574&lt;=0),"EKSİK",IF($I574="Evet","TAHAKKUK NAKİT OLAMAZ",IF($C574&gt;TODAY(),"İLERİ TARİH","TAHAKKUK"))),IF(AND($D574&lt;&gt;"",$E574&lt;&gt;"",$G574&gt;0,$H574&lt;&gt;"",$I574&lt;&gt;""),IF($C574&gt;TODAY(),"İLERİ TARİH",IF(COUNTIF($W$7:$W$1206,$W574)&gt;1,"MÜKERRER?",IF($AD574&gt;0,"KAPALI DÖNEM",IF($I574="Hayır","ÖDENECEK","UYGUN")))),"EKSİK"))))</f>
        <v/>
      </c>
      <c r="Q574" s="6" t="n"/>
      <c r="R574" s="6" t="n"/>
      <c r="S574" s="3">
        <f>IF($L574="","",UPPER(SUBSTITUTE(SUBSTITUTE(SUBSTITUTE(SUBSTITUTE(SUBSTITUTE(SUBSTITUTE(SUBSTITUTE(SUBSTITUTE(SUBSTITUTE(SUBSTITUTE(SUBSTITUTE(SUBSTITUTE(SUBSTITUTE(SUBSTITUTE(SUBSTITUTE(SUBSTITUTE(SUBSTITUTE(SUBSTITUTE(TRIM($L574),"'",""),"İ","I"),"ı","I"),"i","I"),"Ş","S"),"ş","S"),"Ğ","G"),"ğ","G"),"Ü","U"),"ü","U"),"Ö","O"),"ö","O"),"Ç","C"),"ç","C"),".",""),",","")," ",""),"-","")))</f>
        <v/>
      </c>
      <c r="T574" s="3">
        <f>IF(OR($C574="",$D574&lt;&gt;"Gelir",$L574=""),"",IFERROR(INDEX(MUSTERILER!$B$7:$B$106,MATCH($S574,MUSTERILER!$T$7:$T$106,0)),""))</f>
        <v/>
      </c>
      <c r="U574" s="3">
        <f>IF($T574="","",$T574&amp;"|"&amp;COUNTIFS($T$7:$T574,$T574))</f>
        <v/>
      </c>
      <c r="V574" s="3">
        <f>IF($T574="",0,1)</f>
        <v/>
      </c>
      <c r="W574" s="3">
        <f>IF($C574="","",$D574&amp;"|"&amp;$E574&amp;"|"&amp;TEXT($C574,"0")&amp;"|"&amp;TEXT($G574,"0")&amp;"|"&amp;$J574)</f>
        <v/>
      </c>
      <c r="X574" s="3" t="n"/>
      <c r="Y574" s="3" t="n"/>
      <c r="Z574" s="3" t="n"/>
      <c r="AA574" s="3" t="n"/>
      <c r="AB574" s="3" t="n"/>
      <c r="AC574" s="3" t="n"/>
      <c r="AD574" s="3">
        <f>IF($C574="",0,SUMPRODUCT((AY_SONU!$O$7:$O$42="Evet")*(AY_SONU!$B$7:$B$42=DATE(YEAR($C574),MONTH($C574),1))))</f>
        <v/>
      </c>
    </row>
    <row r="575">
      <c r="A575" s="6" t="n"/>
      <c r="B575" s="113">
        <f>IF($C575="","","GG"&amp;TEXT(ROW()-6,"00000"))</f>
        <v/>
      </c>
      <c r="C575" s="220" t="n"/>
      <c r="D575" s="108" t="n"/>
      <c r="E575" s="109" t="n"/>
      <c r="F575" s="109" t="n"/>
      <c r="G575" s="221" t="n"/>
      <c r="H575" s="108" t="n"/>
      <c r="I575" s="108" t="n"/>
      <c r="J575" s="109" t="n"/>
      <c r="K575" s="109" t="n"/>
      <c r="L575" s="108" t="n"/>
      <c r="M575" s="121">
        <f>IF($C575="","",IF($D575="Gider",$E575,IF($L575&lt;&gt;"",$L575,$H575)))</f>
        <v/>
      </c>
      <c r="N575" s="121">
        <f>IF($C575="","",IF($D575="Gider",$H575,$E575))</f>
        <v/>
      </c>
      <c r="O575" s="226">
        <f>IF($C575="","",DATE(YEAR($C575),MONTH($C575),1))</f>
        <v/>
      </c>
      <c r="P575" s="113">
        <f>IF($C575="","",IF(AND($D575="Gelir",$L575&lt;&gt;"",$T575=""),"TANIMSIZ BORÇLU",IF($T575&lt;&gt;"",IF(OR($E575="",$G575&lt;=0),"EKSİK",IF($I575="Evet","TAHAKKUK NAKİT OLAMAZ",IF($C575&gt;TODAY(),"İLERİ TARİH","TAHAKKUK"))),IF(AND($D575&lt;&gt;"",$E575&lt;&gt;"",$G575&gt;0,$H575&lt;&gt;"",$I575&lt;&gt;""),IF($C575&gt;TODAY(),"İLERİ TARİH",IF(COUNTIF($W$7:$W$1206,$W575)&gt;1,"MÜKERRER?",IF($AD575&gt;0,"KAPALI DÖNEM",IF($I575="Hayır","ÖDENECEK","UYGUN")))),"EKSİK"))))</f>
        <v/>
      </c>
      <c r="Q575" s="6" t="n"/>
      <c r="R575" s="6" t="n"/>
      <c r="S575" s="3">
        <f>IF($L575="","",UPPER(SUBSTITUTE(SUBSTITUTE(SUBSTITUTE(SUBSTITUTE(SUBSTITUTE(SUBSTITUTE(SUBSTITUTE(SUBSTITUTE(SUBSTITUTE(SUBSTITUTE(SUBSTITUTE(SUBSTITUTE(SUBSTITUTE(SUBSTITUTE(SUBSTITUTE(SUBSTITUTE(SUBSTITUTE(SUBSTITUTE(TRIM($L575),"'",""),"İ","I"),"ı","I"),"i","I"),"Ş","S"),"ş","S"),"Ğ","G"),"ğ","G"),"Ü","U"),"ü","U"),"Ö","O"),"ö","O"),"Ç","C"),"ç","C"),".",""),",","")," ",""),"-","")))</f>
        <v/>
      </c>
      <c r="T575" s="3">
        <f>IF(OR($C575="",$D575&lt;&gt;"Gelir",$L575=""),"",IFERROR(INDEX(MUSTERILER!$B$7:$B$106,MATCH($S575,MUSTERILER!$T$7:$T$106,0)),""))</f>
        <v/>
      </c>
      <c r="U575" s="3">
        <f>IF($T575="","",$T575&amp;"|"&amp;COUNTIFS($T$7:$T575,$T575))</f>
        <v/>
      </c>
      <c r="V575" s="3">
        <f>IF($T575="",0,1)</f>
        <v/>
      </c>
      <c r="W575" s="3">
        <f>IF($C575="","",$D575&amp;"|"&amp;$E575&amp;"|"&amp;TEXT($C575,"0")&amp;"|"&amp;TEXT($G575,"0")&amp;"|"&amp;$J575)</f>
        <v/>
      </c>
      <c r="X575" s="3" t="n"/>
      <c r="Y575" s="3" t="n"/>
      <c r="Z575" s="3" t="n"/>
      <c r="AA575" s="3" t="n"/>
      <c r="AB575" s="3" t="n"/>
      <c r="AC575" s="3" t="n"/>
      <c r="AD575" s="3">
        <f>IF($C575="",0,SUMPRODUCT((AY_SONU!$O$7:$O$42="Evet")*(AY_SONU!$B$7:$B$42=DATE(YEAR($C575),MONTH($C575),1))))</f>
        <v/>
      </c>
    </row>
    <row r="576">
      <c r="A576" s="6" t="n"/>
      <c r="B576" s="113">
        <f>IF($C576="","","GG"&amp;TEXT(ROW()-6,"00000"))</f>
        <v/>
      </c>
      <c r="C576" s="220" t="n"/>
      <c r="D576" s="108" t="n"/>
      <c r="E576" s="109" t="n"/>
      <c r="F576" s="109" t="n"/>
      <c r="G576" s="221" t="n"/>
      <c r="H576" s="108" t="n"/>
      <c r="I576" s="108" t="n"/>
      <c r="J576" s="109" t="n"/>
      <c r="K576" s="109" t="n"/>
      <c r="L576" s="108" t="n"/>
      <c r="M576" s="121">
        <f>IF($C576="","",IF($D576="Gider",$E576,IF($L576&lt;&gt;"",$L576,$H576)))</f>
        <v/>
      </c>
      <c r="N576" s="121">
        <f>IF($C576="","",IF($D576="Gider",$H576,$E576))</f>
        <v/>
      </c>
      <c r="O576" s="226">
        <f>IF($C576="","",DATE(YEAR($C576),MONTH($C576),1))</f>
        <v/>
      </c>
      <c r="P576" s="113">
        <f>IF($C576="","",IF(AND($D576="Gelir",$L576&lt;&gt;"",$T576=""),"TANIMSIZ BORÇLU",IF($T576&lt;&gt;"",IF(OR($E576="",$G576&lt;=0),"EKSİK",IF($I576="Evet","TAHAKKUK NAKİT OLAMAZ",IF($C576&gt;TODAY(),"İLERİ TARİH","TAHAKKUK"))),IF(AND($D576&lt;&gt;"",$E576&lt;&gt;"",$G576&gt;0,$H576&lt;&gt;"",$I576&lt;&gt;""),IF($C576&gt;TODAY(),"İLERİ TARİH",IF(COUNTIF($W$7:$W$1206,$W576)&gt;1,"MÜKERRER?",IF($AD576&gt;0,"KAPALI DÖNEM",IF($I576="Hayır","ÖDENECEK","UYGUN")))),"EKSİK"))))</f>
        <v/>
      </c>
      <c r="Q576" s="6" t="n"/>
      <c r="R576" s="6" t="n"/>
      <c r="S576" s="3">
        <f>IF($L576="","",UPPER(SUBSTITUTE(SUBSTITUTE(SUBSTITUTE(SUBSTITUTE(SUBSTITUTE(SUBSTITUTE(SUBSTITUTE(SUBSTITUTE(SUBSTITUTE(SUBSTITUTE(SUBSTITUTE(SUBSTITUTE(SUBSTITUTE(SUBSTITUTE(SUBSTITUTE(SUBSTITUTE(SUBSTITUTE(SUBSTITUTE(TRIM($L576),"'",""),"İ","I"),"ı","I"),"i","I"),"Ş","S"),"ş","S"),"Ğ","G"),"ğ","G"),"Ü","U"),"ü","U"),"Ö","O"),"ö","O"),"Ç","C"),"ç","C"),".",""),",","")," ",""),"-","")))</f>
        <v/>
      </c>
      <c r="T576" s="3">
        <f>IF(OR($C576="",$D576&lt;&gt;"Gelir",$L576=""),"",IFERROR(INDEX(MUSTERILER!$B$7:$B$106,MATCH($S576,MUSTERILER!$T$7:$T$106,0)),""))</f>
        <v/>
      </c>
      <c r="U576" s="3">
        <f>IF($T576="","",$T576&amp;"|"&amp;COUNTIFS($T$7:$T576,$T576))</f>
        <v/>
      </c>
      <c r="V576" s="3">
        <f>IF($T576="",0,1)</f>
        <v/>
      </c>
      <c r="W576" s="3">
        <f>IF($C576="","",$D576&amp;"|"&amp;$E576&amp;"|"&amp;TEXT($C576,"0")&amp;"|"&amp;TEXT($G576,"0")&amp;"|"&amp;$J576)</f>
        <v/>
      </c>
      <c r="X576" s="3" t="n"/>
      <c r="Y576" s="3" t="n"/>
      <c r="Z576" s="3" t="n"/>
      <c r="AA576" s="3" t="n"/>
      <c r="AB576" s="3" t="n"/>
      <c r="AC576" s="3" t="n"/>
      <c r="AD576" s="3">
        <f>IF($C576="",0,SUMPRODUCT((AY_SONU!$O$7:$O$42="Evet")*(AY_SONU!$B$7:$B$42=DATE(YEAR($C576),MONTH($C576),1))))</f>
        <v/>
      </c>
    </row>
    <row r="577">
      <c r="A577" s="6" t="n"/>
      <c r="B577" s="113">
        <f>IF($C577="","","GG"&amp;TEXT(ROW()-6,"00000"))</f>
        <v/>
      </c>
      <c r="C577" s="220" t="n"/>
      <c r="D577" s="108" t="n"/>
      <c r="E577" s="109" t="n"/>
      <c r="F577" s="109" t="n"/>
      <c r="G577" s="221" t="n"/>
      <c r="H577" s="108" t="n"/>
      <c r="I577" s="108" t="n"/>
      <c r="J577" s="109" t="n"/>
      <c r="K577" s="109" t="n"/>
      <c r="L577" s="108" t="n"/>
      <c r="M577" s="121">
        <f>IF($C577="","",IF($D577="Gider",$E577,IF($L577&lt;&gt;"",$L577,$H577)))</f>
        <v/>
      </c>
      <c r="N577" s="121">
        <f>IF($C577="","",IF($D577="Gider",$H577,$E577))</f>
        <v/>
      </c>
      <c r="O577" s="226">
        <f>IF($C577="","",DATE(YEAR($C577),MONTH($C577),1))</f>
        <v/>
      </c>
      <c r="P577" s="113">
        <f>IF($C577="","",IF(AND($D577="Gelir",$L577&lt;&gt;"",$T577=""),"TANIMSIZ BORÇLU",IF($T577&lt;&gt;"",IF(OR($E577="",$G577&lt;=0),"EKSİK",IF($I577="Evet","TAHAKKUK NAKİT OLAMAZ",IF($C577&gt;TODAY(),"İLERİ TARİH","TAHAKKUK"))),IF(AND($D577&lt;&gt;"",$E577&lt;&gt;"",$G577&gt;0,$H577&lt;&gt;"",$I577&lt;&gt;""),IF($C577&gt;TODAY(),"İLERİ TARİH",IF(COUNTIF($W$7:$W$1206,$W577)&gt;1,"MÜKERRER?",IF($AD577&gt;0,"KAPALI DÖNEM",IF($I577="Hayır","ÖDENECEK","UYGUN")))),"EKSİK"))))</f>
        <v/>
      </c>
      <c r="Q577" s="6" t="n"/>
      <c r="R577" s="6" t="n"/>
      <c r="S577" s="3">
        <f>IF($L577="","",UPPER(SUBSTITUTE(SUBSTITUTE(SUBSTITUTE(SUBSTITUTE(SUBSTITUTE(SUBSTITUTE(SUBSTITUTE(SUBSTITUTE(SUBSTITUTE(SUBSTITUTE(SUBSTITUTE(SUBSTITUTE(SUBSTITUTE(SUBSTITUTE(SUBSTITUTE(SUBSTITUTE(SUBSTITUTE(SUBSTITUTE(TRIM($L577),"'",""),"İ","I"),"ı","I"),"i","I"),"Ş","S"),"ş","S"),"Ğ","G"),"ğ","G"),"Ü","U"),"ü","U"),"Ö","O"),"ö","O"),"Ç","C"),"ç","C"),".",""),",","")," ",""),"-","")))</f>
        <v/>
      </c>
      <c r="T577" s="3">
        <f>IF(OR($C577="",$D577&lt;&gt;"Gelir",$L577=""),"",IFERROR(INDEX(MUSTERILER!$B$7:$B$106,MATCH($S577,MUSTERILER!$T$7:$T$106,0)),""))</f>
        <v/>
      </c>
      <c r="U577" s="3">
        <f>IF($T577="","",$T577&amp;"|"&amp;COUNTIFS($T$7:$T577,$T577))</f>
        <v/>
      </c>
      <c r="V577" s="3">
        <f>IF($T577="",0,1)</f>
        <v/>
      </c>
      <c r="W577" s="3">
        <f>IF($C577="","",$D577&amp;"|"&amp;$E577&amp;"|"&amp;TEXT($C577,"0")&amp;"|"&amp;TEXT($G577,"0")&amp;"|"&amp;$J577)</f>
        <v/>
      </c>
      <c r="X577" s="3" t="n"/>
      <c r="Y577" s="3" t="n"/>
      <c r="Z577" s="3" t="n"/>
      <c r="AA577" s="3" t="n"/>
      <c r="AB577" s="3" t="n"/>
      <c r="AC577" s="3" t="n"/>
      <c r="AD577" s="3">
        <f>IF($C577="",0,SUMPRODUCT((AY_SONU!$O$7:$O$42="Evet")*(AY_SONU!$B$7:$B$42=DATE(YEAR($C577),MONTH($C577),1))))</f>
        <v/>
      </c>
    </row>
    <row r="578">
      <c r="A578" s="6" t="n"/>
      <c r="B578" s="113">
        <f>IF($C578="","","GG"&amp;TEXT(ROW()-6,"00000"))</f>
        <v/>
      </c>
      <c r="C578" s="220" t="n"/>
      <c r="D578" s="108" t="n"/>
      <c r="E578" s="109" t="n"/>
      <c r="F578" s="109" t="n"/>
      <c r="G578" s="221" t="n"/>
      <c r="H578" s="108" t="n"/>
      <c r="I578" s="108" t="n"/>
      <c r="J578" s="109" t="n"/>
      <c r="K578" s="109" t="n"/>
      <c r="L578" s="108" t="n"/>
      <c r="M578" s="121">
        <f>IF($C578="","",IF($D578="Gider",$E578,IF($L578&lt;&gt;"",$L578,$H578)))</f>
        <v/>
      </c>
      <c r="N578" s="121">
        <f>IF($C578="","",IF($D578="Gider",$H578,$E578))</f>
        <v/>
      </c>
      <c r="O578" s="226">
        <f>IF($C578="","",DATE(YEAR($C578),MONTH($C578),1))</f>
        <v/>
      </c>
      <c r="P578" s="113">
        <f>IF($C578="","",IF(AND($D578="Gelir",$L578&lt;&gt;"",$T578=""),"TANIMSIZ BORÇLU",IF($T578&lt;&gt;"",IF(OR($E578="",$G578&lt;=0),"EKSİK",IF($I578="Evet","TAHAKKUK NAKİT OLAMAZ",IF($C578&gt;TODAY(),"İLERİ TARİH","TAHAKKUK"))),IF(AND($D578&lt;&gt;"",$E578&lt;&gt;"",$G578&gt;0,$H578&lt;&gt;"",$I578&lt;&gt;""),IF($C578&gt;TODAY(),"İLERİ TARİH",IF(COUNTIF($W$7:$W$1206,$W578)&gt;1,"MÜKERRER?",IF($AD578&gt;0,"KAPALI DÖNEM",IF($I578="Hayır","ÖDENECEK","UYGUN")))),"EKSİK"))))</f>
        <v/>
      </c>
      <c r="Q578" s="6" t="n"/>
      <c r="R578" s="6" t="n"/>
      <c r="S578" s="3">
        <f>IF($L578="","",UPPER(SUBSTITUTE(SUBSTITUTE(SUBSTITUTE(SUBSTITUTE(SUBSTITUTE(SUBSTITUTE(SUBSTITUTE(SUBSTITUTE(SUBSTITUTE(SUBSTITUTE(SUBSTITUTE(SUBSTITUTE(SUBSTITUTE(SUBSTITUTE(SUBSTITUTE(SUBSTITUTE(SUBSTITUTE(SUBSTITUTE(TRIM($L578),"'",""),"İ","I"),"ı","I"),"i","I"),"Ş","S"),"ş","S"),"Ğ","G"),"ğ","G"),"Ü","U"),"ü","U"),"Ö","O"),"ö","O"),"Ç","C"),"ç","C"),".",""),",","")," ",""),"-","")))</f>
        <v/>
      </c>
      <c r="T578" s="3">
        <f>IF(OR($C578="",$D578&lt;&gt;"Gelir",$L578=""),"",IFERROR(INDEX(MUSTERILER!$B$7:$B$106,MATCH($S578,MUSTERILER!$T$7:$T$106,0)),""))</f>
        <v/>
      </c>
      <c r="U578" s="3">
        <f>IF($T578="","",$T578&amp;"|"&amp;COUNTIFS($T$7:$T578,$T578))</f>
        <v/>
      </c>
      <c r="V578" s="3">
        <f>IF($T578="",0,1)</f>
        <v/>
      </c>
      <c r="W578" s="3">
        <f>IF($C578="","",$D578&amp;"|"&amp;$E578&amp;"|"&amp;TEXT($C578,"0")&amp;"|"&amp;TEXT($G578,"0")&amp;"|"&amp;$J578)</f>
        <v/>
      </c>
      <c r="X578" s="3" t="n"/>
      <c r="Y578" s="3" t="n"/>
      <c r="Z578" s="3" t="n"/>
      <c r="AA578" s="3" t="n"/>
      <c r="AB578" s="3" t="n"/>
      <c r="AC578" s="3" t="n"/>
      <c r="AD578" s="3">
        <f>IF($C578="",0,SUMPRODUCT((AY_SONU!$O$7:$O$42="Evet")*(AY_SONU!$B$7:$B$42=DATE(YEAR($C578),MONTH($C578),1))))</f>
        <v/>
      </c>
    </row>
    <row r="579">
      <c r="A579" s="6" t="n"/>
      <c r="B579" s="113">
        <f>IF($C579="","","GG"&amp;TEXT(ROW()-6,"00000"))</f>
        <v/>
      </c>
      <c r="C579" s="220" t="n"/>
      <c r="D579" s="108" t="n"/>
      <c r="E579" s="109" t="n"/>
      <c r="F579" s="109" t="n"/>
      <c r="G579" s="221" t="n"/>
      <c r="H579" s="108" t="n"/>
      <c r="I579" s="108" t="n"/>
      <c r="J579" s="109" t="n"/>
      <c r="K579" s="109" t="n"/>
      <c r="L579" s="108" t="n"/>
      <c r="M579" s="121">
        <f>IF($C579="","",IF($D579="Gider",$E579,IF($L579&lt;&gt;"",$L579,$H579)))</f>
        <v/>
      </c>
      <c r="N579" s="121">
        <f>IF($C579="","",IF($D579="Gider",$H579,$E579))</f>
        <v/>
      </c>
      <c r="O579" s="226">
        <f>IF($C579="","",DATE(YEAR($C579),MONTH($C579),1))</f>
        <v/>
      </c>
      <c r="P579" s="113">
        <f>IF($C579="","",IF(AND($D579="Gelir",$L579&lt;&gt;"",$T579=""),"TANIMSIZ BORÇLU",IF($T579&lt;&gt;"",IF(OR($E579="",$G579&lt;=0),"EKSİK",IF($I579="Evet","TAHAKKUK NAKİT OLAMAZ",IF($C579&gt;TODAY(),"İLERİ TARİH","TAHAKKUK"))),IF(AND($D579&lt;&gt;"",$E579&lt;&gt;"",$G579&gt;0,$H579&lt;&gt;"",$I579&lt;&gt;""),IF($C579&gt;TODAY(),"İLERİ TARİH",IF(COUNTIF($W$7:$W$1206,$W579)&gt;1,"MÜKERRER?",IF($AD579&gt;0,"KAPALI DÖNEM",IF($I579="Hayır","ÖDENECEK","UYGUN")))),"EKSİK"))))</f>
        <v/>
      </c>
      <c r="Q579" s="6" t="n"/>
      <c r="R579" s="6" t="n"/>
      <c r="S579" s="3">
        <f>IF($L579="","",UPPER(SUBSTITUTE(SUBSTITUTE(SUBSTITUTE(SUBSTITUTE(SUBSTITUTE(SUBSTITUTE(SUBSTITUTE(SUBSTITUTE(SUBSTITUTE(SUBSTITUTE(SUBSTITUTE(SUBSTITUTE(SUBSTITUTE(SUBSTITUTE(SUBSTITUTE(SUBSTITUTE(SUBSTITUTE(SUBSTITUTE(TRIM($L579),"'",""),"İ","I"),"ı","I"),"i","I"),"Ş","S"),"ş","S"),"Ğ","G"),"ğ","G"),"Ü","U"),"ü","U"),"Ö","O"),"ö","O"),"Ç","C"),"ç","C"),".",""),",","")," ",""),"-","")))</f>
        <v/>
      </c>
      <c r="T579" s="3">
        <f>IF(OR($C579="",$D579&lt;&gt;"Gelir",$L579=""),"",IFERROR(INDEX(MUSTERILER!$B$7:$B$106,MATCH($S579,MUSTERILER!$T$7:$T$106,0)),""))</f>
        <v/>
      </c>
      <c r="U579" s="3">
        <f>IF($T579="","",$T579&amp;"|"&amp;COUNTIFS($T$7:$T579,$T579))</f>
        <v/>
      </c>
      <c r="V579" s="3">
        <f>IF($T579="",0,1)</f>
        <v/>
      </c>
      <c r="W579" s="3">
        <f>IF($C579="","",$D579&amp;"|"&amp;$E579&amp;"|"&amp;TEXT($C579,"0")&amp;"|"&amp;TEXT($G579,"0")&amp;"|"&amp;$J579)</f>
        <v/>
      </c>
      <c r="X579" s="3" t="n"/>
      <c r="Y579" s="3" t="n"/>
      <c r="Z579" s="3" t="n"/>
      <c r="AA579" s="3" t="n"/>
      <c r="AB579" s="3" t="n"/>
      <c r="AC579" s="3" t="n"/>
      <c r="AD579" s="3">
        <f>IF($C579="",0,SUMPRODUCT((AY_SONU!$O$7:$O$42="Evet")*(AY_SONU!$B$7:$B$42=DATE(YEAR($C579),MONTH($C579),1))))</f>
        <v/>
      </c>
    </row>
    <row r="580">
      <c r="A580" s="6" t="n"/>
      <c r="B580" s="113">
        <f>IF($C580="","","GG"&amp;TEXT(ROW()-6,"00000"))</f>
        <v/>
      </c>
      <c r="C580" s="220" t="n"/>
      <c r="D580" s="108" t="n"/>
      <c r="E580" s="109" t="n"/>
      <c r="F580" s="109" t="n"/>
      <c r="G580" s="221" t="n"/>
      <c r="H580" s="108" t="n"/>
      <c r="I580" s="108" t="n"/>
      <c r="J580" s="109" t="n"/>
      <c r="K580" s="109" t="n"/>
      <c r="L580" s="108" t="n"/>
      <c r="M580" s="121">
        <f>IF($C580="","",IF($D580="Gider",$E580,IF($L580&lt;&gt;"",$L580,$H580)))</f>
        <v/>
      </c>
      <c r="N580" s="121">
        <f>IF($C580="","",IF($D580="Gider",$H580,$E580))</f>
        <v/>
      </c>
      <c r="O580" s="226">
        <f>IF($C580="","",DATE(YEAR($C580),MONTH($C580),1))</f>
        <v/>
      </c>
      <c r="P580" s="113">
        <f>IF($C580="","",IF(AND($D580="Gelir",$L580&lt;&gt;"",$T580=""),"TANIMSIZ BORÇLU",IF($T580&lt;&gt;"",IF(OR($E580="",$G580&lt;=0),"EKSİK",IF($I580="Evet","TAHAKKUK NAKİT OLAMAZ",IF($C580&gt;TODAY(),"İLERİ TARİH","TAHAKKUK"))),IF(AND($D580&lt;&gt;"",$E580&lt;&gt;"",$G580&gt;0,$H580&lt;&gt;"",$I580&lt;&gt;""),IF($C580&gt;TODAY(),"İLERİ TARİH",IF(COUNTIF($W$7:$W$1206,$W580)&gt;1,"MÜKERRER?",IF($AD580&gt;0,"KAPALI DÖNEM",IF($I580="Hayır","ÖDENECEK","UYGUN")))),"EKSİK"))))</f>
        <v/>
      </c>
      <c r="Q580" s="6" t="n"/>
      <c r="R580" s="6" t="n"/>
      <c r="S580" s="3">
        <f>IF($L580="","",UPPER(SUBSTITUTE(SUBSTITUTE(SUBSTITUTE(SUBSTITUTE(SUBSTITUTE(SUBSTITUTE(SUBSTITUTE(SUBSTITUTE(SUBSTITUTE(SUBSTITUTE(SUBSTITUTE(SUBSTITUTE(SUBSTITUTE(SUBSTITUTE(SUBSTITUTE(SUBSTITUTE(SUBSTITUTE(SUBSTITUTE(TRIM($L580),"'",""),"İ","I"),"ı","I"),"i","I"),"Ş","S"),"ş","S"),"Ğ","G"),"ğ","G"),"Ü","U"),"ü","U"),"Ö","O"),"ö","O"),"Ç","C"),"ç","C"),".",""),",","")," ",""),"-","")))</f>
        <v/>
      </c>
      <c r="T580" s="3">
        <f>IF(OR($C580="",$D580&lt;&gt;"Gelir",$L580=""),"",IFERROR(INDEX(MUSTERILER!$B$7:$B$106,MATCH($S580,MUSTERILER!$T$7:$T$106,0)),""))</f>
        <v/>
      </c>
      <c r="U580" s="3">
        <f>IF($T580="","",$T580&amp;"|"&amp;COUNTIFS($T$7:$T580,$T580))</f>
        <v/>
      </c>
      <c r="V580" s="3">
        <f>IF($T580="",0,1)</f>
        <v/>
      </c>
      <c r="W580" s="3">
        <f>IF($C580="","",$D580&amp;"|"&amp;$E580&amp;"|"&amp;TEXT($C580,"0")&amp;"|"&amp;TEXT($G580,"0")&amp;"|"&amp;$J580)</f>
        <v/>
      </c>
      <c r="X580" s="3" t="n"/>
      <c r="Y580" s="3" t="n"/>
      <c r="Z580" s="3" t="n"/>
      <c r="AA580" s="3" t="n"/>
      <c r="AB580" s="3" t="n"/>
      <c r="AC580" s="3" t="n"/>
      <c r="AD580" s="3">
        <f>IF($C580="",0,SUMPRODUCT((AY_SONU!$O$7:$O$42="Evet")*(AY_SONU!$B$7:$B$42=DATE(YEAR($C580),MONTH($C580),1))))</f>
        <v/>
      </c>
    </row>
    <row r="581">
      <c r="A581" s="6" t="n"/>
      <c r="B581" s="113">
        <f>IF($C581="","","GG"&amp;TEXT(ROW()-6,"00000"))</f>
        <v/>
      </c>
      <c r="C581" s="220" t="n"/>
      <c r="D581" s="108" t="n"/>
      <c r="E581" s="109" t="n"/>
      <c r="F581" s="109" t="n"/>
      <c r="G581" s="221" t="n"/>
      <c r="H581" s="108" t="n"/>
      <c r="I581" s="108" t="n"/>
      <c r="J581" s="109" t="n"/>
      <c r="K581" s="109" t="n"/>
      <c r="L581" s="108" t="n"/>
      <c r="M581" s="121">
        <f>IF($C581="","",IF($D581="Gider",$E581,IF($L581&lt;&gt;"",$L581,$H581)))</f>
        <v/>
      </c>
      <c r="N581" s="121">
        <f>IF($C581="","",IF($D581="Gider",$H581,$E581))</f>
        <v/>
      </c>
      <c r="O581" s="226">
        <f>IF($C581="","",DATE(YEAR($C581),MONTH($C581),1))</f>
        <v/>
      </c>
      <c r="P581" s="113">
        <f>IF($C581="","",IF(AND($D581="Gelir",$L581&lt;&gt;"",$T581=""),"TANIMSIZ BORÇLU",IF($T581&lt;&gt;"",IF(OR($E581="",$G581&lt;=0),"EKSİK",IF($I581="Evet","TAHAKKUK NAKİT OLAMAZ",IF($C581&gt;TODAY(),"İLERİ TARİH","TAHAKKUK"))),IF(AND($D581&lt;&gt;"",$E581&lt;&gt;"",$G581&gt;0,$H581&lt;&gt;"",$I581&lt;&gt;""),IF($C581&gt;TODAY(),"İLERİ TARİH",IF(COUNTIF($W$7:$W$1206,$W581)&gt;1,"MÜKERRER?",IF($AD581&gt;0,"KAPALI DÖNEM",IF($I581="Hayır","ÖDENECEK","UYGUN")))),"EKSİK"))))</f>
        <v/>
      </c>
      <c r="Q581" s="6" t="n"/>
      <c r="R581" s="6" t="n"/>
      <c r="S581" s="3">
        <f>IF($L581="","",UPPER(SUBSTITUTE(SUBSTITUTE(SUBSTITUTE(SUBSTITUTE(SUBSTITUTE(SUBSTITUTE(SUBSTITUTE(SUBSTITUTE(SUBSTITUTE(SUBSTITUTE(SUBSTITUTE(SUBSTITUTE(SUBSTITUTE(SUBSTITUTE(SUBSTITUTE(SUBSTITUTE(SUBSTITUTE(SUBSTITUTE(TRIM($L581),"'",""),"İ","I"),"ı","I"),"i","I"),"Ş","S"),"ş","S"),"Ğ","G"),"ğ","G"),"Ü","U"),"ü","U"),"Ö","O"),"ö","O"),"Ç","C"),"ç","C"),".",""),",","")," ",""),"-","")))</f>
        <v/>
      </c>
      <c r="T581" s="3">
        <f>IF(OR($C581="",$D581&lt;&gt;"Gelir",$L581=""),"",IFERROR(INDEX(MUSTERILER!$B$7:$B$106,MATCH($S581,MUSTERILER!$T$7:$T$106,0)),""))</f>
        <v/>
      </c>
      <c r="U581" s="3">
        <f>IF($T581="","",$T581&amp;"|"&amp;COUNTIFS($T$7:$T581,$T581))</f>
        <v/>
      </c>
      <c r="V581" s="3">
        <f>IF($T581="",0,1)</f>
        <v/>
      </c>
      <c r="W581" s="3">
        <f>IF($C581="","",$D581&amp;"|"&amp;$E581&amp;"|"&amp;TEXT($C581,"0")&amp;"|"&amp;TEXT($G581,"0")&amp;"|"&amp;$J581)</f>
        <v/>
      </c>
      <c r="X581" s="3" t="n"/>
      <c r="Y581" s="3" t="n"/>
      <c r="Z581" s="3" t="n"/>
      <c r="AA581" s="3" t="n"/>
      <c r="AB581" s="3" t="n"/>
      <c r="AC581" s="3" t="n"/>
      <c r="AD581" s="3">
        <f>IF($C581="",0,SUMPRODUCT((AY_SONU!$O$7:$O$42="Evet")*(AY_SONU!$B$7:$B$42=DATE(YEAR($C581),MONTH($C581),1))))</f>
        <v/>
      </c>
    </row>
    <row r="582">
      <c r="A582" s="6" t="n"/>
      <c r="B582" s="113">
        <f>IF($C582="","","GG"&amp;TEXT(ROW()-6,"00000"))</f>
        <v/>
      </c>
      <c r="C582" s="220" t="n"/>
      <c r="D582" s="108" t="n"/>
      <c r="E582" s="109" t="n"/>
      <c r="F582" s="109" t="n"/>
      <c r="G582" s="221" t="n"/>
      <c r="H582" s="108" t="n"/>
      <c r="I582" s="108" t="n"/>
      <c r="J582" s="109" t="n"/>
      <c r="K582" s="109" t="n"/>
      <c r="L582" s="108" t="n"/>
      <c r="M582" s="121">
        <f>IF($C582="","",IF($D582="Gider",$E582,IF($L582&lt;&gt;"",$L582,$H582)))</f>
        <v/>
      </c>
      <c r="N582" s="121">
        <f>IF($C582="","",IF($D582="Gider",$H582,$E582))</f>
        <v/>
      </c>
      <c r="O582" s="226">
        <f>IF($C582="","",DATE(YEAR($C582),MONTH($C582),1))</f>
        <v/>
      </c>
      <c r="P582" s="113">
        <f>IF($C582="","",IF(AND($D582="Gelir",$L582&lt;&gt;"",$T582=""),"TANIMSIZ BORÇLU",IF($T582&lt;&gt;"",IF(OR($E582="",$G582&lt;=0),"EKSİK",IF($I582="Evet","TAHAKKUK NAKİT OLAMAZ",IF($C582&gt;TODAY(),"İLERİ TARİH","TAHAKKUK"))),IF(AND($D582&lt;&gt;"",$E582&lt;&gt;"",$G582&gt;0,$H582&lt;&gt;"",$I582&lt;&gt;""),IF($C582&gt;TODAY(),"İLERİ TARİH",IF(COUNTIF($W$7:$W$1206,$W582)&gt;1,"MÜKERRER?",IF($AD582&gt;0,"KAPALI DÖNEM",IF($I582="Hayır","ÖDENECEK","UYGUN")))),"EKSİK"))))</f>
        <v/>
      </c>
      <c r="Q582" s="6" t="n"/>
      <c r="R582" s="6" t="n"/>
      <c r="S582" s="3">
        <f>IF($L582="","",UPPER(SUBSTITUTE(SUBSTITUTE(SUBSTITUTE(SUBSTITUTE(SUBSTITUTE(SUBSTITUTE(SUBSTITUTE(SUBSTITUTE(SUBSTITUTE(SUBSTITUTE(SUBSTITUTE(SUBSTITUTE(SUBSTITUTE(SUBSTITUTE(SUBSTITUTE(SUBSTITUTE(SUBSTITUTE(SUBSTITUTE(TRIM($L582),"'",""),"İ","I"),"ı","I"),"i","I"),"Ş","S"),"ş","S"),"Ğ","G"),"ğ","G"),"Ü","U"),"ü","U"),"Ö","O"),"ö","O"),"Ç","C"),"ç","C"),".",""),",","")," ",""),"-","")))</f>
        <v/>
      </c>
      <c r="T582" s="3">
        <f>IF(OR($C582="",$D582&lt;&gt;"Gelir",$L582=""),"",IFERROR(INDEX(MUSTERILER!$B$7:$B$106,MATCH($S582,MUSTERILER!$T$7:$T$106,0)),""))</f>
        <v/>
      </c>
      <c r="U582" s="3">
        <f>IF($T582="","",$T582&amp;"|"&amp;COUNTIFS($T$7:$T582,$T582))</f>
        <v/>
      </c>
      <c r="V582" s="3">
        <f>IF($T582="",0,1)</f>
        <v/>
      </c>
      <c r="W582" s="3">
        <f>IF($C582="","",$D582&amp;"|"&amp;$E582&amp;"|"&amp;TEXT($C582,"0")&amp;"|"&amp;TEXT($G582,"0")&amp;"|"&amp;$J582)</f>
        <v/>
      </c>
      <c r="X582" s="3" t="n"/>
      <c r="Y582" s="3" t="n"/>
      <c r="Z582" s="3" t="n"/>
      <c r="AA582" s="3" t="n"/>
      <c r="AB582" s="3" t="n"/>
      <c r="AC582" s="3" t="n"/>
      <c r="AD582" s="3">
        <f>IF($C582="",0,SUMPRODUCT((AY_SONU!$O$7:$O$42="Evet")*(AY_SONU!$B$7:$B$42=DATE(YEAR($C582),MONTH($C582),1))))</f>
        <v/>
      </c>
    </row>
    <row r="583">
      <c r="A583" s="6" t="n"/>
      <c r="B583" s="113">
        <f>IF($C583="","","GG"&amp;TEXT(ROW()-6,"00000"))</f>
        <v/>
      </c>
      <c r="C583" s="220" t="n"/>
      <c r="D583" s="108" t="n"/>
      <c r="E583" s="109" t="n"/>
      <c r="F583" s="109" t="n"/>
      <c r="G583" s="221" t="n"/>
      <c r="H583" s="108" t="n"/>
      <c r="I583" s="108" t="n"/>
      <c r="J583" s="109" t="n"/>
      <c r="K583" s="109" t="n"/>
      <c r="L583" s="108" t="n"/>
      <c r="M583" s="121">
        <f>IF($C583="","",IF($D583="Gider",$E583,IF($L583&lt;&gt;"",$L583,$H583)))</f>
        <v/>
      </c>
      <c r="N583" s="121">
        <f>IF($C583="","",IF($D583="Gider",$H583,$E583))</f>
        <v/>
      </c>
      <c r="O583" s="226">
        <f>IF($C583="","",DATE(YEAR($C583),MONTH($C583),1))</f>
        <v/>
      </c>
      <c r="P583" s="113">
        <f>IF($C583="","",IF(AND($D583="Gelir",$L583&lt;&gt;"",$T583=""),"TANIMSIZ BORÇLU",IF($T583&lt;&gt;"",IF(OR($E583="",$G583&lt;=0),"EKSİK",IF($I583="Evet","TAHAKKUK NAKİT OLAMAZ",IF($C583&gt;TODAY(),"İLERİ TARİH","TAHAKKUK"))),IF(AND($D583&lt;&gt;"",$E583&lt;&gt;"",$G583&gt;0,$H583&lt;&gt;"",$I583&lt;&gt;""),IF($C583&gt;TODAY(),"İLERİ TARİH",IF(COUNTIF($W$7:$W$1206,$W583)&gt;1,"MÜKERRER?",IF($AD583&gt;0,"KAPALI DÖNEM",IF($I583="Hayır","ÖDENECEK","UYGUN")))),"EKSİK"))))</f>
        <v/>
      </c>
      <c r="Q583" s="6" t="n"/>
      <c r="R583" s="6" t="n"/>
      <c r="S583" s="3">
        <f>IF($L583="","",UPPER(SUBSTITUTE(SUBSTITUTE(SUBSTITUTE(SUBSTITUTE(SUBSTITUTE(SUBSTITUTE(SUBSTITUTE(SUBSTITUTE(SUBSTITUTE(SUBSTITUTE(SUBSTITUTE(SUBSTITUTE(SUBSTITUTE(SUBSTITUTE(SUBSTITUTE(SUBSTITUTE(SUBSTITUTE(SUBSTITUTE(TRIM($L583),"'",""),"İ","I"),"ı","I"),"i","I"),"Ş","S"),"ş","S"),"Ğ","G"),"ğ","G"),"Ü","U"),"ü","U"),"Ö","O"),"ö","O"),"Ç","C"),"ç","C"),".",""),",","")," ",""),"-","")))</f>
        <v/>
      </c>
      <c r="T583" s="3">
        <f>IF(OR($C583="",$D583&lt;&gt;"Gelir",$L583=""),"",IFERROR(INDEX(MUSTERILER!$B$7:$B$106,MATCH($S583,MUSTERILER!$T$7:$T$106,0)),""))</f>
        <v/>
      </c>
      <c r="U583" s="3">
        <f>IF($T583="","",$T583&amp;"|"&amp;COUNTIFS($T$7:$T583,$T583))</f>
        <v/>
      </c>
      <c r="V583" s="3">
        <f>IF($T583="",0,1)</f>
        <v/>
      </c>
      <c r="W583" s="3">
        <f>IF($C583="","",$D583&amp;"|"&amp;$E583&amp;"|"&amp;TEXT($C583,"0")&amp;"|"&amp;TEXT($G583,"0")&amp;"|"&amp;$J583)</f>
        <v/>
      </c>
      <c r="X583" s="3" t="n"/>
      <c r="Y583" s="3" t="n"/>
      <c r="Z583" s="3" t="n"/>
      <c r="AA583" s="3" t="n"/>
      <c r="AB583" s="3" t="n"/>
      <c r="AC583" s="3" t="n"/>
      <c r="AD583" s="3">
        <f>IF($C583="",0,SUMPRODUCT((AY_SONU!$O$7:$O$42="Evet")*(AY_SONU!$B$7:$B$42=DATE(YEAR($C583),MONTH($C583),1))))</f>
        <v/>
      </c>
    </row>
    <row r="584">
      <c r="A584" s="6" t="n"/>
      <c r="B584" s="113">
        <f>IF($C584="","","GG"&amp;TEXT(ROW()-6,"00000"))</f>
        <v/>
      </c>
      <c r="C584" s="220" t="n"/>
      <c r="D584" s="108" t="n"/>
      <c r="E584" s="109" t="n"/>
      <c r="F584" s="109" t="n"/>
      <c r="G584" s="221" t="n"/>
      <c r="H584" s="108" t="n"/>
      <c r="I584" s="108" t="n"/>
      <c r="J584" s="109" t="n"/>
      <c r="K584" s="109" t="n"/>
      <c r="L584" s="108" t="n"/>
      <c r="M584" s="121">
        <f>IF($C584="","",IF($D584="Gider",$E584,IF($L584&lt;&gt;"",$L584,$H584)))</f>
        <v/>
      </c>
      <c r="N584" s="121">
        <f>IF($C584="","",IF($D584="Gider",$H584,$E584))</f>
        <v/>
      </c>
      <c r="O584" s="226">
        <f>IF($C584="","",DATE(YEAR($C584),MONTH($C584),1))</f>
        <v/>
      </c>
      <c r="P584" s="113">
        <f>IF($C584="","",IF(AND($D584="Gelir",$L584&lt;&gt;"",$T584=""),"TANIMSIZ BORÇLU",IF($T584&lt;&gt;"",IF(OR($E584="",$G584&lt;=0),"EKSİK",IF($I584="Evet","TAHAKKUK NAKİT OLAMAZ",IF($C584&gt;TODAY(),"İLERİ TARİH","TAHAKKUK"))),IF(AND($D584&lt;&gt;"",$E584&lt;&gt;"",$G584&gt;0,$H584&lt;&gt;"",$I584&lt;&gt;""),IF($C584&gt;TODAY(),"İLERİ TARİH",IF(COUNTIF($W$7:$W$1206,$W584)&gt;1,"MÜKERRER?",IF($AD584&gt;0,"KAPALI DÖNEM",IF($I584="Hayır","ÖDENECEK","UYGUN")))),"EKSİK"))))</f>
        <v/>
      </c>
      <c r="Q584" s="6" t="n"/>
      <c r="R584" s="6" t="n"/>
      <c r="S584" s="3">
        <f>IF($L584="","",UPPER(SUBSTITUTE(SUBSTITUTE(SUBSTITUTE(SUBSTITUTE(SUBSTITUTE(SUBSTITUTE(SUBSTITUTE(SUBSTITUTE(SUBSTITUTE(SUBSTITUTE(SUBSTITUTE(SUBSTITUTE(SUBSTITUTE(SUBSTITUTE(SUBSTITUTE(SUBSTITUTE(SUBSTITUTE(SUBSTITUTE(TRIM($L584),"'",""),"İ","I"),"ı","I"),"i","I"),"Ş","S"),"ş","S"),"Ğ","G"),"ğ","G"),"Ü","U"),"ü","U"),"Ö","O"),"ö","O"),"Ç","C"),"ç","C"),".",""),",","")," ",""),"-","")))</f>
        <v/>
      </c>
      <c r="T584" s="3">
        <f>IF(OR($C584="",$D584&lt;&gt;"Gelir",$L584=""),"",IFERROR(INDEX(MUSTERILER!$B$7:$B$106,MATCH($S584,MUSTERILER!$T$7:$T$106,0)),""))</f>
        <v/>
      </c>
      <c r="U584" s="3">
        <f>IF($T584="","",$T584&amp;"|"&amp;COUNTIFS($T$7:$T584,$T584))</f>
        <v/>
      </c>
      <c r="V584" s="3">
        <f>IF($T584="",0,1)</f>
        <v/>
      </c>
      <c r="W584" s="3">
        <f>IF($C584="","",$D584&amp;"|"&amp;$E584&amp;"|"&amp;TEXT($C584,"0")&amp;"|"&amp;TEXT($G584,"0")&amp;"|"&amp;$J584)</f>
        <v/>
      </c>
      <c r="X584" s="3" t="n"/>
      <c r="Y584" s="3" t="n"/>
      <c r="Z584" s="3" t="n"/>
      <c r="AA584" s="3" t="n"/>
      <c r="AB584" s="3" t="n"/>
      <c r="AC584" s="3" t="n"/>
      <c r="AD584" s="3">
        <f>IF($C584="",0,SUMPRODUCT((AY_SONU!$O$7:$O$42="Evet")*(AY_SONU!$B$7:$B$42=DATE(YEAR($C584),MONTH($C584),1))))</f>
        <v/>
      </c>
    </row>
    <row r="585">
      <c r="A585" s="6" t="n"/>
      <c r="B585" s="113">
        <f>IF($C585="","","GG"&amp;TEXT(ROW()-6,"00000"))</f>
        <v/>
      </c>
      <c r="C585" s="220" t="n"/>
      <c r="D585" s="108" t="n"/>
      <c r="E585" s="109" t="n"/>
      <c r="F585" s="109" t="n"/>
      <c r="G585" s="221" t="n"/>
      <c r="H585" s="108" t="n"/>
      <c r="I585" s="108" t="n"/>
      <c r="J585" s="109" t="n"/>
      <c r="K585" s="109" t="n"/>
      <c r="L585" s="108" t="n"/>
      <c r="M585" s="121">
        <f>IF($C585="","",IF($D585="Gider",$E585,IF($L585&lt;&gt;"",$L585,$H585)))</f>
        <v/>
      </c>
      <c r="N585" s="121">
        <f>IF($C585="","",IF($D585="Gider",$H585,$E585))</f>
        <v/>
      </c>
      <c r="O585" s="226">
        <f>IF($C585="","",DATE(YEAR($C585),MONTH($C585),1))</f>
        <v/>
      </c>
      <c r="P585" s="113">
        <f>IF($C585="","",IF(AND($D585="Gelir",$L585&lt;&gt;"",$T585=""),"TANIMSIZ BORÇLU",IF($T585&lt;&gt;"",IF(OR($E585="",$G585&lt;=0),"EKSİK",IF($I585="Evet","TAHAKKUK NAKİT OLAMAZ",IF($C585&gt;TODAY(),"İLERİ TARİH","TAHAKKUK"))),IF(AND($D585&lt;&gt;"",$E585&lt;&gt;"",$G585&gt;0,$H585&lt;&gt;"",$I585&lt;&gt;""),IF($C585&gt;TODAY(),"İLERİ TARİH",IF(COUNTIF($W$7:$W$1206,$W585)&gt;1,"MÜKERRER?",IF($AD585&gt;0,"KAPALI DÖNEM",IF($I585="Hayır","ÖDENECEK","UYGUN")))),"EKSİK"))))</f>
        <v/>
      </c>
      <c r="Q585" s="6" t="n"/>
      <c r="R585" s="6" t="n"/>
      <c r="S585" s="3">
        <f>IF($L585="","",UPPER(SUBSTITUTE(SUBSTITUTE(SUBSTITUTE(SUBSTITUTE(SUBSTITUTE(SUBSTITUTE(SUBSTITUTE(SUBSTITUTE(SUBSTITUTE(SUBSTITUTE(SUBSTITUTE(SUBSTITUTE(SUBSTITUTE(SUBSTITUTE(SUBSTITUTE(SUBSTITUTE(SUBSTITUTE(SUBSTITUTE(TRIM($L585),"'",""),"İ","I"),"ı","I"),"i","I"),"Ş","S"),"ş","S"),"Ğ","G"),"ğ","G"),"Ü","U"),"ü","U"),"Ö","O"),"ö","O"),"Ç","C"),"ç","C"),".",""),",","")," ",""),"-","")))</f>
        <v/>
      </c>
      <c r="T585" s="3">
        <f>IF(OR($C585="",$D585&lt;&gt;"Gelir",$L585=""),"",IFERROR(INDEX(MUSTERILER!$B$7:$B$106,MATCH($S585,MUSTERILER!$T$7:$T$106,0)),""))</f>
        <v/>
      </c>
      <c r="U585" s="3">
        <f>IF($T585="","",$T585&amp;"|"&amp;COUNTIFS($T$7:$T585,$T585))</f>
        <v/>
      </c>
      <c r="V585" s="3">
        <f>IF($T585="",0,1)</f>
        <v/>
      </c>
      <c r="W585" s="3">
        <f>IF($C585="","",$D585&amp;"|"&amp;$E585&amp;"|"&amp;TEXT($C585,"0")&amp;"|"&amp;TEXT($G585,"0")&amp;"|"&amp;$J585)</f>
        <v/>
      </c>
      <c r="X585" s="3" t="n"/>
      <c r="Y585" s="3" t="n"/>
      <c r="Z585" s="3" t="n"/>
      <c r="AA585" s="3" t="n"/>
      <c r="AB585" s="3" t="n"/>
      <c r="AC585" s="3" t="n"/>
      <c r="AD585" s="3">
        <f>IF($C585="",0,SUMPRODUCT((AY_SONU!$O$7:$O$42="Evet")*(AY_SONU!$B$7:$B$42=DATE(YEAR($C585),MONTH($C585),1))))</f>
        <v/>
      </c>
    </row>
    <row r="586">
      <c r="A586" s="6" t="n"/>
      <c r="B586" s="113">
        <f>IF($C586="","","GG"&amp;TEXT(ROW()-6,"00000"))</f>
        <v/>
      </c>
      <c r="C586" s="220" t="n"/>
      <c r="D586" s="108" t="n"/>
      <c r="E586" s="109" t="n"/>
      <c r="F586" s="109" t="n"/>
      <c r="G586" s="221" t="n"/>
      <c r="H586" s="108" t="n"/>
      <c r="I586" s="108" t="n"/>
      <c r="J586" s="109" t="n"/>
      <c r="K586" s="109" t="n"/>
      <c r="L586" s="108" t="n"/>
      <c r="M586" s="121">
        <f>IF($C586="","",IF($D586="Gider",$E586,IF($L586&lt;&gt;"",$L586,$H586)))</f>
        <v/>
      </c>
      <c r="N586" s="121">
        <f>IF($C586="","",IF($D586="Gider",$H586,$E586))</f>
        <v/>
      </c>
      <c r="O586" s="226">
        <f>IF($C586="","",DATE(YEAR($C586),MONTH($C586),1))</f>
        <v/>
      </c>
      <c r="P586" s="113">
        <f>IF($C586="","",IF(AND($D586="Gelir",$L586&lt;&gt;"",$T586=""),"TANIMSIZ BORÇLU",IF($T586&lt;&gt;"",IF(OR($E586="",$G586&lt;=0),"EKSİK",IF($I586="Evet","TAHAKKUK NAKİT OLAMAZ",IF($C586&gt;TODAY(),"İLERİ TARİH","TAHAKKUK"))),IF(AND($D586&lt;&gt;"",$E586&lt;&gt;"",$G586&gt;0,$H586&lt;&gt;"",$I586&lt;&gt;""),IF($C586&gt;TODAY(),"İLERİ TARİH",IF(COUNTIF($W$7:$W$1206,$W586)&gt;1,"MÜKERRER?",IF($AD586&gt;0,"KAPALI DÖNEM",IF($I586="Hayır","ÖDENECEK","UYGUN")))),"EKSİK"))))</f>
        <v/>
      </c>
      <c r="Q586" s="6" t="n"/>
      <c r="R586" s="6" t="n"/>
      <c r="S586" s="3">
        <f>IF($L586="","",UPPER(SUBSTITUTE(SUBSTITUTE(SUBSTITUTE(SUBSTITUTE(SUBSTITUTE(SUBSTITUTE(SUBSTITUTE(SUBSTITUTE(SUBSTITUTE(SUBSTITUTE(SUBSTITUTE(SUBSTITUTE(SUBSTITUTE(SUBSTITUTE(SUBSTITUTE(SUBSTITUTE(SUBSTITUTE(SUBSTITUTE(TRIM($L586),"'",""),"İ","I"),"ı","I"),"i","I"),"Ş","S"),"ş","S"),"Ğ","G"),"ğ","G"),"Ü","U"),"ü","U"),"Ö","O"),"ö","O"),"Ç","C"),"ç","C"),".",""),",","")," ",""),"-","")))</f>
        <v/>
      </c>
      <c r="T586" s="3">
        <f>IF(OR($C586="",$D586&lt;&gt;"Gelir",$L586=""),"",IFERROR(INDEX(MUSTERILER!$B$7:$B$106,MATCH($S586,MUSTERILER!$T$7:$T$106,0)),""))</f>
        <v/>
      </c>
      <c r="U586" s="3">
        <f>IF($T586="","",$T586&amp;"|"&amp;COUNTIFS($T$7:$T586,$T586))</f>
        <v/>
      </c>
      <c r="V586" s="3">
        <f>IF($T586="",0,1)</f>
        <v/>
      </c>
      <c r="W586" s="3">
        <f>IF($C586="","",$D586&amp;"|"&amp;$E586&amp;"|"&amp;TEXT($C586,"0")&amp;"|"&amp;TEXT($G586,"0")&amp;"|"&amp;$J586)</f>
        <v/>
      </c>
      <c r="X586" s="3" t="n"/>
      <c r="Y586" s="3" t="n"/>
      <c r="Z586" s="3" t="n"/>
      <c r="AA586" s="3" t="n"/>
      <c r="AB586" s="3" t="n"/>
      <c r="AC586" s="3" t="n"/>
      <c r="AD586" s="3">
        <f>IF($C586="",0,SUMPRODUCT((AY_SONU!$O$7:$O$42="Evet")*(AY_SONU!$B$7:$B$42=DATE(YEAR($C586),MONTH($C586),1))))</f>
        <v/>
      </c>
    </row>
    <row r="587">
      <c r="A587" s="6" t="n"/>
      <c r="B587" s="113">
        <f>IF($C587="","","GG"&amp;TEXT(ROW()-6,"00000"))</f>
        <v/>
      </c>
      <c r="C587" s="220" t="n"/>
      <c r="D587" s="108" t="n"/>
      <c r="E587" s="109" t="n"/>
      <c r="F587" s="109" t="n"/>
      <c r="G587" s="221" t="n"/>
      <c r="H587" s="108" t="n"/>
      <c r="I587" s="108" t="n"/>
      <c r="J587" s="109" t="n"/>
      <c r="K587" s="109" t="n"/>
      <c r="L587" s="108" t="n"/>
      <c r="M587" s="121">
        <f>IF($C587="","",IF($D587="Gider",$E587,IF($L587&lt;&gt;"",$L587,$H587)))</f>
        <v/>
      </c>
      <c r="N587" s="121">
        <f>IF($C587="","",IF($D587="Gider",$H587,$E587))</f>
        <v/>
      </c>
      <c r="O587" s="226">
        <f>IF($C587="","",DATE(YEAR($C587),MONTH($C587),1))</f>
        <v/>
      </c>
      <c r="P587" s="113">
        <f>IF($C587="","",IF(AND($D587="Gelir",$L587&lt;&gt;"",$T587=""),"TANIMSIZ BORÇLU",IF($T587&lt;&gt;"",IF(OR($E587="",$G587&lt;=0),"EKSİK",IF($I587="Evet","TAHAKKUK NAKİT OLAMAZ",IF($C587&gt;TODAY(),"İLERİ TARİH","TAHAKKUK"))),IF(AND($D587&lt;&gt;"",$E587&lt;&gt;"",$G587&gt;0,$H587&lt;&gt;"",$I587&lt;&gt;""),IF($C587&gt;TODAY(),"İLERİ TARİH",IF(COUNTIF($W$7:$W$1206,$W587)&gt;1,"MÜKERRER?",IF($AD587&gt;0,"KAPALI DÖNEM",IF($I587="Hayır","ÖDENECEK","UYGUN")))),"EKSİK"))))</f>
        <v/>
      </c>
      <c r="Q587" s="6" t="n"/>
      <c r="R587" s="6" t="n"/>
      <c r="S587" s="3">
        <f>IF($L587="","",UPPER(SUBSTITUTE(SUBSTITUTE(SUBSTITUTE(SUBSTITUTE(SUBSTITUTE(SUBSTITUTE(SUBSTITUTE(SUBSTITUTE(SUBSTITUTE(SUBSTITUTE(SUBSTITUTE(SUBSTITUTE(SUBSTITUTE(SUBSTITUTE(SUBSTITUTE(SUBSTITUTE(SUBSTITUTE(SUBSTITUTE(TRIM($L587),"'",""),"İ","I"),"ı","I"),"i","I"),"Ş","S"),"ş","S"),"Ğ","G"),"ğ","G"),"Ü","U"),"ü","U"),"Ö","O"),"ö","O"),"Ç","C"),"ç","C"),".",""),",","")," ",""),"-","")))</f>
        <v/>
      </c>
      <c r="T587" s="3">
        <f>IF(OR($C587="",$D587&lt;&gt;"Gelir",$L587=""),"",IFERROR(INDEX(MUSTERILER!$B$7:$B$106,MATCH($S587,MUSTERILER!$T$7:$T$106,0)),""))</f>
        <v/>
      </c>
      <c r="U587" s="3">
        <f>IF($T587="","",$T587&amp;"|"&amp;COUNTIFS($T$7:$T587,$T587))</f>
        <v/>
      </c>
      <c r="V587" s="3">
        <f>IF($T587="",0,1)</f>
        <v/>
      </c>
      <c r="W587" s="3">
        <f>IF($C587="","",$D587&amp;"|"&amp;$E587&amp;"|"&amp;TEXT($C587,"0")&amp;"|"&amp;TEXT($G587,"0")&amp;"|"&amp;$J587)</f>
        <v/>
      </c>
      <c r="X587" s="3" t="n"/>
      <c r="Y587" s="3" t="n"/>
      <c r="Z587" s="3" t="n"/>
      <c r="AA587" s="3" t="n"/>
      <c r="AB587" s="3" t="n"/>
      <c r="AC587" s="3" t="n"/>
      <c r="AD587" s="3">
        <f>IF($C587="",0,SUMPRODUCT((AY_SONU!$O$7:$O$42="Evet")*(AY_SONU!$B$7:$B$42=DATE(YEAR($C587),MONTH($C587),1))))</f>
        <v/>
      </c>
    </row>
    <row r="588">
      <c r="A588" s="6" t="n"/>
      <c r="B588" s="113">
        <f>IF($C588="","","GG"&amp;TEXT(ROW()-6,"00000"))</f>
        <v/>
      </c>
      <c r="C588" s="220" t="n"/>
      <c r="D588" s="108" t="n"/>
      <c r="E588" s="109" t="n"/>
      <c r="F588" s="109" t="n"/>
      <c r="G588" s="221" t="n"/>
      <c r="H588" s="108" t="n"/>
      <c r="I588" s="108" t="n"/>
      <c r="J588" s="109" t="n"/>
      <c r="K588" s="109" t="n"/>
      <c r="L588" s="108" t="n"/>
      <c r="M588" s="121">
        <f>IF($C588="","",IF($D588="Gider",$E588,IF($L588&lt;&gt;"",$L588,$H588)))</f>
        <v/>
      </c>
      <c r="N588" s="121">
        <f>IF($C588="","",IF($D588="Gider",$H588,$E588))</f>
        <v/>
      </c>
      <c r="O588" s="226">
        <f>IF($C588="","",DATE(YEAR($C588),MONTH($C588),1))</f>
        <v/>
      </c>
      <c r="P588" s="113">
        <f>IF($C588="","",IF(AND($D588="Gelir",$L588&lt;&gt;"",$T588=""),"TANIMSIZ BORÇLU",IF($T588&lt;&gt;"",IF(OR($E588="",$G588&lt;=0),"EKSİK",IF($I588="Evet","TAHAKKUK NAKİT OLAMAZ",IF($C588&gt;TODAY(),"İLERİ TARİH","TAHAKKUK"))),IF(AND($D588&lt;&gt;"",$E588&lt;&gt;"",$G588&gt;0,$H588&lt;&gt;"",$I588&lt;&gt;""),IF($C588&gt;TODAY(),"İLERİ TARİH",IF(COUNTIF($W$7:$W$1206,$W588)&gt;1,"MÜKERRER?",IF($AD588&gt;0,"KAPALI DÖNEM",IF($I588="Hayır","ÖDENECEK","UYGUN")))),"EKSİK"))))</f>
        <v/>
      </c>
      <c r="Q588" s="6" t="n"/>
      <c r="R588" s="6" t="n"/>
      <c r="S588" s="3">
        <f>IF($L588="","",UPPER(SUBSTITUTE(SUBSTITUTE(SUBSTITUTE(SUBSTITUTE(SUBSTITUTE(SUBSTITUTE(SUBSTITUTE(SUBSTITUTE(SUBSTITUTE(SUBSTITUTE(SUBSTITUTE(SUBSTITUTE(SUBSTITUTE(SUBSTITUTE(SUBSTITUTE(SUBSTITUTE(SUBSTITUTE(SUBSTITUTE(TRIM($L588),"'",""),"İ","I"),"ı","I"),"i","I"),"Ş","S"),"ş","S"),"Ğ","G"),"ğ","G"),"Ü","U"),"ü","U"),"Ö","O"),"ö","O"),"Ç","C"),"ç","C"),".",""),",","")," ",""),"-","")))</f>
        <v/>
      </c>
      <c r="T588" s="3">
        <f>IF(OR($C588="",$D588&lt;&gt;"Gelir",$L588=""),"",IFERROR(INDEX(MUSTERILER!$B$7:$B$106,MATCH($S588,MUSTERILER!$T$7:$T$106,0)),""))</f>
        <v/>
      </c>
      <c r="U588" s="3">
        <f>IF($T588="","",$T588&amp;"|"&amp;COUNTIFS($T$7:$T588,$T588))</f>
        <v/>
      </c>
      <c r="V588" s="3">
        <f>IF($T588="",0,1)</f>
        <v/>
      </c>
      <c r="W588" s="3">
        <f>IF($C588="","",$D588&amp;"|"&amp;$E588&amp;"|"&amp;TEXT($C588,"0")&amp;"|"&amp;TEXT($G588,"0")&amp;"|"&amp;$J588)</f>
        <v/>
      </c>
      <c r="X588" s="3" t="n"/>
      <c r="Y588" s="3" t="n"/>
      <c r="Z588" s="3" t="n"/>
      <c r="AA588" s="3" t="n"/>
      <c r="AB588" s="3" t="n"/>
      <c r="AC588" s="3" t="n"/>
      <c r="AD588" s="3">
        <f>IF($C588="",0,SUMPRODUCT((AY_SONU!$O$7:$O$42="Evet")*(AY_SONU!$B$7:$B$42=DATE(YEAR($C588),MONTH($C588),1))))</f>
        <v/>
      </c>
    </row>
    <row r="589">
      <c r="A589" s="6" t="n"/>
      <c r="B589" s="113">
        <f>IF($C589="","","GG"&amp;TEXT(ROW()-6,"00000"))</f>
        <v/>
      </c>
      <c r="C589" s="220" t="n"/>
      <c r="D589" s="108" t="n"/>
      <c r="E589" s="109" t="n"/>
      <c r="F589" s="109" t="n"/>
      <c r="G589" s="221" t="n"/>
      <c r="H589" s="108" t="n"/>
      <c r="I589" s="108" t="n"/>
      <c r="J589" s="109" t="n"/>
      <c r="K589" s="109" t="n"/>
      <c r="L589" s="108" t="n"/>
      <c r="M589" s="121">
        <f>IF($C589="","",IF($D589="Gider",$E589,IF($L589&lt;&gt;"",$L589,$H589)))</f>
        <v/>
      </c>
      <c r="N589" s="121">
        <f>IF($C589="","",IF($D589="Gider",$H589,$E589))</f>
        <v/>
      </c>
      <c r="O589" s="226">
        <f>IF($C589="","",DATE(YEAR($C589),MONTH($C589),1))</f>
        <v/>
      </c>
      <c r="P589" s="113">
        <f>IF($C589="","",IF(AND($D589="Gelir",$L589&lt;&gt;"",$T589=""),"TANIMSIZ BORÇLU",IF($T589&lt;&gt;"",IF(OR($E589="",$G589&lt;=0),"EKSİK",IF($I589="Evet","TAHAKKUK NAKİT OLAMAZ",IF($C589&gt;TODAY(),"İLERİ TARİH","TAHAKKUK"))),IF(AND($D589&lt;&gt;"",$E589&lt;&gt;"",$G589&gt;0,$H589&lt;&gt;"",$I589&lt;&gt;""),IF($C589&gt;TODAY(),"İLERİ TARİH",IF(COUNTIF($W$7:$W$1206,$W589)&gt;1,"MÜKERRER?",IF($AD589&gt;0,"KAPALI DÖNEM",IF($I589="Hayır","ÖDENECEK","UYGUN")))),"EKSİK"))))</f>
        <v/>
      </c>
      <c r="Q589" s="6" t="n"/>
      <c r="R589" s="6" t="n"/>
      <c r="S589" s="3">
        <f>IF($L589="","",UPPER(SUBSTITUTE(SUBSTITUTE(SUBSTITUTE(SUBSTITUTE(SUBSTITUTE(SUBSTITUTE(SUBSTITUTE(SUBSTITUTE(SUBSTITUTE(SUBSTITUTE(SUBSTITUTE(SUBSTITUTE(SUBSTITUTE(SUBSTITUTE(SUBSTITUTE(SUBSTITUTE(SUBSTITUTE(SUBSTITUTE(TRIM($L589),"'",""),"İ","I"),"ı","I"),"i","I"),"Ş","S"),"ş","S"),"Ğ","G"),"ğ","G"),"Ü","U"),"ü","U"),"Ö","O"),"ö","O"),"Ç","C"),"ç","C"),".",""),",","")," ",""),"-","")))</f>
        <v/>
      </c>
      <c r="T589" s="3">
        <f>IF(OR($C589="",$D589&lt;&gt;"Gelir",$L589=""),"",IFERROR(INDEX(MUSTERILER!$B$7:$B$106,MATCH($S589,MUSTERILER!$T$7:$T$106,0)),""))</f>
        <v/>
      </c>
      <c r="U589" s="3">
        <f>IF($T589="","",$T589&amp;"|"&amp;COUNTIFS($T$7:$T589,$T589))</f>
        <v/>
      </c>
      <c r="V589" s="3">
        <f>IF($T589="",0,1)</f>
        <v/>
      </c>
      <c r="W589" s="3">
        <f>IF($C589="","",$D589&amp;"|"&amp;$E589&amp;"|"&amp;TEXT($C589,"0")&amp;"|"&amp;TEXT($G589,"0")&amp;"|"&amp;$J589)</f>
        <v/>
      </c>
      <c r="X589" s="3" t="n"/>
      <c r="Y589" s="3" t="n"/>
      <c r="Z589" s="3" t="n"/>
      <c r="AA589" s="3" t="n"/>
      <c r="AB589" s="3" t="n"/>
      <c r="AC589" s="3" t="n"/>
      <c r="AD589" s="3">
        <f>IF($C589="",0,SUMPRODUCT((AY_SONU!$O$7:$O$42="Evet")*(AY_SONU!$B$7:$B$42=DATE(YEAR($C589),MONTH($C589),1))))</f>
        <v/>
      </c>
    </row>
    <row r="590">
      <c r="A590" s="6" t="n"/>
      <c r="B590" s="113">
        <f>IF($C590="","","GG"&amp;TEXT(ROW()-6,"00000"))</f>
        <v/>
      </c>
      <c r="C590" s="220" t="n"/>
      <c r="D590" s="108" t="n"/>
      <c r="E590" s="109" t="n"/>
      <c r="F590" s="109" t="n"/>
      <c r="G590" s="221" t="n"/>
      <c r="H590" s="108" t="n"/>
      <c r="I590" s="108" t="n"/>
      <c r="J590" s="109" t="n"/>
      <c r="K590" s="109" t="n"/>
      <c r="L590" s="108" t="n"/>
      <c r="M590" s="121">
        <f>IF($C590="","",IF($D590="Gider",$E590,IF($L590&lt;&gt;"",$L590,$H590)))</f>
        <v/>
      </c>
      <c r="N590" s="121">
        <f>IF($C590="","",IF($D590="Gider",$H590,$E590))</f>
        <v/>
      </c>
      <c r="O590" s="226">
        <f>IF($C590="","",DATE(YEAR($C590),MONTH($C590),1))</f>
        <v/>
      </c>
      <c r="P590" s="113">
        <f>IF($C590="","",IF(AND($D590="Gelir",$L590&lt;&gt;"",$T590=""),"TANIMSIZ BORÇLU",IF($T590&lt;&gt;"",IF(OR($E590="",$G590&lt;=0),"EKSİK",IF($I590="Evet","TAHAKKUK NAKİT OLAMAZ",IF($C590&gt;TODAY(),"İLERİ TARİH","TAHAKKUK"))),IF(AND($D590&lt;&gt;"",$E590&lt;&gt;"",$G590&gt;0,$H590&lt;&gt;"",$I590&lt;&gt;""),IF($C590&gt;TODAY(),"İLERİ TARİH",IF(COUNTIF($W$7:$W$1206,$W590)&gt;1,"MÜKERRER?",IF($AD590&gt;0,"KAPALI DÖNEM",IF($I590="Hayır","ÖDENECEK","UYGUN")))),"EKSİK"))))</f>
        <v/>
      </c>
      <c r="Q590" s="6" t="n"/>
      <c r="R590" s="6" t="n"/>
      <c r="S590" s="3">
        <f>IF($L590="","",UPPER(SUBSTITUTE(SUBSTITUTE(SUBSTITUTE(SUBSTITUTE(SUBSTITUTE(SUBSTITUTE(SUBSTITUTE(SUBSTITUTE(SUBSTITUTE(SUBSTITUTE(SUBSTITUTE(SUBSTITUTE(SUBSTITUTE(SUBSTITUTE(SUBSTITUTE(SUBSTITUTE(SUBSTITUTE(SUBSTITUTE(TRIM($L590),"'",""),"İ","I"),"ı","I"),"i","I"),"Ş","S"),"ş","S"),"Ğ","G"),"ğ","G"),"Ü","U"),"ü","U"),"Ö","O"),"ö","O"),"Ç","C"),"ç","C"),".",""),",","")," ",""),"-","")))</f>
        <v/>
      </c>
      <c r="T590" s="3">
        <f>IF(OR($C590="",$D590&lt;&gt;"Gelir",$L590=""),"",IFERROR(INDEX(MUSTERILER!$B$7:$B$106,MATCH($S590,MUSTERILER!$T$7:$T$106,0)),""))</f>
        <v/>
      </c>
      <c r="U590" s="3">
        <f>IF($T590="","",$T590&amp;"|"&amp;COUNTIFS($T$7:$T590,$T590))</f>
        <v/>
      </c>
      <c r="V590" s="3">
        <f>IF($T590="",0,1)</f>
        <v/>
      </c>
      <c r="W590" s="3">
        <f>IF($C590="","",$D590&amp;"|"&amp;$E590&amp;"|"&amp;TEXT($C590,"0")&amp;"|"&amp;TEXT($G590,"0")&amp;"|"&amp;$J590)</f>
        <v/>
      </c>
      <c r="X590" s="3" t="n"/>
      <c r="Y590" s="3" t="n"/>
      <c r="Z590" s="3" t="n"/>
      <c r="AA590" s="3" t="n"/>
      <c r="AB590" s="3" t="n"/>
      <c r="AC590" s="3" t="n"/>
      <c r="AD590" s="3">
        <f>IF($C590="",0,SUMPRODUCT((AY_SONU!$O$7:$O$42="Evet")*(AY_SONU!$B$7:$B$42=DATE(YEAR($C590),MONTH($C590),1))))</f>
        <v/>
      </c>
    </row>
    <row r="591">
      <c r="A591" s="6" t="n"/>
      <c r="B591" s="113">
        <f>IF($C591="","","GG"&amp;TEXT(ROW()-6,"00000"))</f>
        <v/>
      </c>
      <c r="C591" s="220" t="n"/>
      <c r="D591" s="108" t="n"/>
      <c r="E591" s="109" t="n"/>
      <c r="F591" s="109" t="n"/>
      <c r="G591" s="221" t="n"/>
      <c r="H591" s="108" t="n"/>
      <c r="I591" s="108" t="n"/>
      <c r="J591" s="109" t="n"/>
      <c r="K591" s="109" t="n"/>
      <c r="L591" s="108" t="n"/>
      <c r="M591" s="121">
        <f>IF($C591="","",IF($D591="Gider",$E591,IF($L591&lt;&gt;"",$L591,$H591)))</f>
        <v/>
      </c>
      <c r="N591" s="121">
        <f>IF($C591="","",IF($D591="Gider",$H591,$E591))</f>
        <v/>
      </c>
      <c r="O591" s="226">
        <f>IF($C591="","",DATE(YEAR($C591),MONTH($C591),1))</f>
        <v/>
      </c>
      <c r="P591" s="113">
        <f>IF($C591="","",IF(AND($D591="Gelir",$L591&lt;&gt;"",$T591=""),"TANIMSIZ BORÇLU",IF($T591&lt;&gt;"",IF(OR($E591="",$G591&lt;=0),"EKSİK",IF($I591="Evet","TAHAKKUK NAKİT OLAMAZ",IF($C591&gt;TODAY(),"İLERİ TARİH","TAHAKKUK"))),IF(AND($D591&lt;&gt;"",$E591&lt;&gt;"",$G591&gt;0,$H591&lt;&gt;"",$I591&lt;&gt;""),IF($C591&gt;TODAY(),"İLERİ TARİH",IF(COUNTIF($W$7:$W$1206,$W591)&gt;1,"MÜKERRER?",IF($AD591&gt;0,"KAPALI DÖNEM",IF($I591="Hayır","ÖDENECEK","UYGUN")))),"EKSİK"))))</f>
        <v/>
      </c>
      <c r="Q591" s="6" t="n"/>
      <c r="R591" s="6" t="n"/>
      <c r="S591" s="3">
        <f>IF($L591="","",UPPER(SUBSTITUTE(SUBSTITUTE(SUBSTITUTE(SUBSTITUTE(SUBSTITUTE(SUBSTITUTE(SUBSTITUTE(SUBSTITUTE(SUBSTITUTE(SUBSTITUTE(SUBSTITUTE(SUBSTITUTE(SUBSTITUTE(SUBSTITUTE(SUBSTITUTE(SUBSTITUTE(SUBSTITUTE(SUBSTITUTE(TRIM($L591),"'",""),"İ","I"),"ı","I"),"i","I"),"Ş","S"),"ş","S"),"Ğ","G"),"ğ","G"),"Ü","U"),"ü","U"),"Ö","O"),"ö","O"),"Ç","C"),"ç","C"),".",""),",","")," ",""),"-","")))</f>
        <v/>
      </c>
      <c r="T591" s="3">
        <f>IF(OR($C591="",$D591&lt;&gt;"Gelir",$L591=""),"",IFERROR(INDEX(MUSTERILER!$B$7:$B$106,MATCH($S591,MUSTERILER!$T$7:$T$106,0)),""))</f>
        <v/>
      </c>
      <c r="U591" s="3">
        <f>IF($T591="","",$T591&amp;"|"&amp;COUNTIFS($T$7:$T591,$T591))</f>
        <v/>
      </c>
      <c r="V591" s="3">
        <f>IF($T591="",0,1)</f>
        <v/>
      </c>
      <c r="W591" s="3">
        <f>IF($C591="","",$D591&amp;"|"&amp;$E591&amp;"|"&amp;TEXT($C591,"0")&amp;"|"&amp;TEXT($G591,"0")&amp;"|"&amp;$J591)</f>
        <v/>
      </c>
      <c r="X591" s="3" t="n"/>
      <c r="Y591" s="3" t="n"/>
      <c r="Z591" s="3" t="n"/>
      <c r="AA591" s="3" t="n"/>
      <c r="AB591" s="3" t="n"/>
      <c r="AC591" s="3" t="n"/>
      <c r="AD591" s="3">
        <f>IF($C591="",0,SUMPRODUCT((AY_SONU!$O$7:$O$42="Evet")*(AY_SONU!$B$7:$B$42=DATE(YEAR($C591),MONTH($C591),1))))</f>
        <v/>
      </c>
    </row>
    <row r="592">
      <c r="A592" s="6" t="n"/>
      <c r="B592" s="113">
        <f>IF($C592="","","GG"&amp;TEXT(ROW()-6,"00000"))</f>
        <v/>
      </c>
      <c r="C592" s="220" t="n"/>
      <c r="D592" s="108" t="n"/>
      <c r="E592" s="109" t="n"/>
      <c r="F592" s="109" t="n"/>
      <c r="G592" s="221" t="n"/>
      <c r="H592" s="108" t="n"/>
      <c r="I592" s="108" t="n"/>
      <c r="J592" s="109" t="n"/>
      <c r="K592" s="109" t="n"/>
      <c r="L592" s="108" t="n"/>
      <c r="M592" s="121">
        <f>IF($C592="","",IF($D592="Gider",$E592,IF($L592&lt;&gt;"",$L592,$H592)))</f>
        <v/>
      </c>
      <c r="N592" s="121">
        <f>IF($C592="","",IF($D592="Gider",$H592,$E592))</f>
        <v/>
      </c>
      <c r="O592" s="226">
        <f>IF($C592="","",DATE(YEAR($C592),MONTH($C592),1))</f>
        <v/>
      </c>
      <c r="P592" s="113">
        <f>IF($C592="","",IF(AND($D592="Gelir",$L592&lt;&gt;"",$T592=""),"TANIMSIZ BORÇLU",IF($T592&lt;&gt;"",IF(OR($E592="",$G592&lt;=0),"EKSİK",IF($I592="Evet","TAHAKKUK NAKİT OLAMAZ",IF($C592&gt;TODAY(),"İLERİ TARİH","TAHAKKUK"))),IF(AND($D592&lt;&gt;"",$E592&lt;&gt;"",$G592&gt;0,$H592&lt;&gt;"",$I592&lt;&gt;""),IF($C592&gt;TODAY(),"İLERİ TARİH",IF(COUNTIF($W$7:$W$1206,$W592)&gt;1,"MÜKERRER?",IF($AD592&gt;0,"KAPALI DÖNEM",IF($I592="Hayır","ÖDENECEK","UYGUN")))),"EKSİK"))))</f>
        <v/>
      </c>
      <c r="Q592" s="6" t="n"/>
      <c r="R592" s="6" t="n"/>
      <c r="S592" s="3">
        <f>IF($L592="","",UPPER(SUBSTITUTE(SUBSTITUTE(SUBSTITUTE(SUBSTITUTE(SUBSTITUTE(SUBSTITUTE(SUBSTITUTE(SUBSTITUTE(SUBSTITUTE(SUBSTITUTE(SUBSTITUTE(SUBSTITUTE(SUBSTITUTE(SUBSTITUTE(SUBSTITUTE(SUBSTITUTE(SUBSTITUTE(SUBSTITUTE(TRIM($L592),"'",""),"İ","I"),"ı","I"),"i","I"),"Ş","S"),"ş","S"),"Ğ","G"),"ğ","G"),"Ü","U"),"ü","U"),"Ö","O"),"ö","O"),"Ç","C"),"ç","C"),".",""),",","")," ",""),"-","")))</f>
        <v/>
      </c>
      <c r="T592" s="3">
        <f>IF(OR($C592="",$D592&lt;&gt;"Gelir",$L592=""),"",IFERROR(INDEX(MUSTERILER!$B$7:$B$106,MATCH($S592,MUSTERILER!$T$7:$T$106,0)),""))</f>
        <v/>
      </c>
      <c r="U592" s="3">
        <f>IF($T592="","",$T592&amp;"|"&amp;COUNTIFS($T$7:$T592,$T592))</f>
        <v/>
      </c>
      <c r="V592" s="3">
        <f>IF($T592="",0,1)</f>
        <v/>
      </c>
      <c r="W592" s="3">
        <f>IF($C592="","",$D592&amp;"|"&amp;$E592&amp;"|"&amp;TEXT($C592,"0")&amp;"|"&amp;TEXT($G592,"0")&amp;"|"&amp;$J592)</f>
        <v/>
      </c>
      <c r="X592" s="3" t="n"/>
      <c r="Y592" s="3" t="n"/>
      <c r="Z592" s="3" t="n"/>
      <c r="AA592" s="3" t="n"/>
      <c r="AB592" s="3" t="n"/>
      <c r="AC592" s="3" t="n"/>
      <c r="AD592" s="3">
        <f>IF($C592="",0,SUMPRODUCT((AY_SONU!$O$7:$O$42="Evet")*(AY_SONU!$B$7:$B$42=DATE(YEAR($C592),MONTH($C592),1))))</f>
        <v/>
      </c>
    </row>
    <row r="593">
      <c r="A593" s="6" t="n"/>
      <c r="B593" s="113">
        <f>IF($C593="","","GG"&amp;TEXT(ROW()-6,"00000"))</f>
        <v/>
      </c>
      <c r="C593" s="220" t="n"/>
      <c r="D593" s="108" t="n"/>
      <c r="E593" s="109" t="n"/>
      <c r="F593" s="109" t="n"/>
      <c r="G593" s="221" t="n"/>
      <c r="H593" s="108" t="n"/>
      <c r="I593" s="108" t="n"/>
      <c r="J593" s="109" t="n"/>
      <c r="K593" s="109" t="n"/>
      <c r="L593" s="108" t="n"/>
      <c r="M593" s="121">
        <f>IF($C593="","",IF($D593="Gider",$E593,IF($L593&lt;&gt;"",$L593,$H593)))</f>
        <v/>
      </c>
      <c r="N593" s="121">
        <f>IF($C593="","",IF($D593="Gider",$H593,$E593))</f>
        <v/>
      </c>
      <c r="O593" s="226">
        <f>IF($C593="","",DATE(YEAR($C593),MONTH($C593),1))</f>
        <v/>
      </c>
      <c r="P593" s="113">
        <f>IF($C593="","",IF(AND($D593="Gelir",$L593&lt;&gt;"",$T593=""),"TANIMSIZ BORÇLU",IF($T593&lt;&gt;"",IF(OR($E593="",$G593&lt;=0),"EKSİK",IF($I593="Evet","TAHAKKUK NAKİT OLAMAZ",IF($C593&gt;TODAY(),"İLERİ TARİH","TAHAKKUK"))),IF(AND($D593&lt;&gt;"",$E593&lt;&gt;"",$G593&gt;0,$H593&lt;&gt;"",$I593&lt;&gt;""),IF($C593&gt;TODAY(),"İLERİ TARİH",IF(COUNTIF($W$7:$W$1206,$W593)&gt;1,"MÜKERRER?",IF($AD593&gt;0,"KAPALI DÖNEM",IF($I593="Hayır","ÖDENECEK","UYGUN")))),"EKSİK"))))</f>
        <v/>
      </c>
      <c r="Q593" s="6" t="n"/>
      <c r="R593" s="6" t="n"/>
      <c r="S593" s="3">
        <f>IF($L593="","",UPPER(SUBSTITUTE(SUBSTITUTE(SUBSTITUTE(SUBSTITUTE(SUBSTITUTE(SUBSTITUTE(SUBSTITUTE(SUBSTITUTE(SUBSTITUTE(SUBSTITUTE(SUBSTITUTE(SUBSTITUTE(SUBSTITUTE(SUBSTITUTE(SUBSTITUTE(SUBSTITUTE(SUBSTITUTE(SUBSTITUTE(TRIM($L593),"'",""),"İ","I"),"ı","I"),"i","I"),"Ş","S"),"ş","S"),"Ğ","G"),"ğ","G"),"Ü","U"),"ü","U"),"Ö","O"),"ö","O"),"Ç","C"),"ç","C"),".",""),",","")," ",""),"-","")))</f>
        <v/>
      </c>
      <c r="T593" s="3">
        <f>IF(OR($C593="",$D593&lt;&gt;"Gelir",$L593=""),"",IFERROR(INDEX(MUSTERILER!$B$7:$B$106,MATCH($S593,MUSTERILER!$T$7:$T$106,0)),""))</f>
        <v/>
      </c>
      <c r="U593" s="3">
        <f>IF($T593="","",$T593&amp;"|"&amp;COUNTIFS($T$7:$T593,$T593))</f>
        <v/>
      </c>
      <c r="V593" s="3">
        <f>IF($T593="",0,1)</f>
        <v/>
      </c>
      <c r="W593" s="3">
        <f>IF($C593="","",$D593&amp;"|"&amp;$E593&amp;"|"&amp;TEXT($C593,"0")&amp;"|"&amp;TEXT($G593,"0")&amp;"|"&amp;$J593)</f>
        <v/>
      </c>
      <c r="X593" s="3" t="n"/>
      <c r="Y593" s="3" t="n"/>
      <c r="Z593" s="3" t="n"/>
      <c r="AA593" s="3" t="n"/>
      <c r="AB593" s="3" t="n"/>
      <c r="AC593" s="3" t="n"/>
      <c r="AD593" s="3">
        <f>IF($C593="",0,SUMPRODUCT((AY_SONU!$O$7:$O$42="Evet")*(AY_SONU!$B$7:$B$42=DATE(YEAR($C593),MONTH($C593),1))))</f>
        <v/>
      </c>
    </row>
    <row r="594">
      <c r="A594" s="6" t="n"/>
      <c r="B594" s="113">
        <f>IF($C594="","","GG"&amp;TEXT(ROW()-6,"00000"))</f>
        <v/>
      </c>
      <c r="C594" s="220" t="n"/>
      <c r="D594" s="108" t="n"/>
      <c r="E594" s="109" t="n"/>
      <c r="F594" s="109" t="n"/>
      <c r="G594" s="221" t="n"/>
      <c r="H594" s="108" t="n"/>
      <c r="I594" s="108" t="n"/>
      <c r="J594" s="109" t="n"/>
      <c r="K594" s="109" t="n"/>
      <c r="L594" s="108" t="n"/>
      <c r="M594" s="121">
        <f>IF($C594="","",IF($D594="Gider",$E594,IF($L594&lt;&gt;"",$L594,$H594)))</f>
        <v/>
      </c>
      <c r="N594" s="121">
        <f>IF($C594="","",IF($D594="Gider",$H594,$E594))</f>
        <v/>
      </c>
      <c r="O594" s="226">
        <f>IF($C594="","",DATE(YEAR($C594),MONTH($C594),1))</f>
        <v/>
      </c>
      <c r="P594" s="113">
        <f>IF($C594="","",IF(AND($D594="Gelir",$L594&lt;&gt;"",$T594=""),"TANIMSIZ BORÇLU",IF($T594&lt;&gt;"",IF(OR($E594="",$G594&lt;=0),"EKSİK",IF($I594="Evet","TAHAKKUK NAKİT OLAMAZ",IF($C594&gt;TODAY(),"İLERİ TARİH","TAHAKKUK"))),IF(AND($D594&lt;&gt;"",$E594&lt;&gt;"",$G594&gt;0,$H594&lt;&gt;"",$I594&lt;&gt;""),IF($C594&gt;TODAY(),"İLERİ TARİH",IF(COUNTIF($W$7:$W$1206,$W594)&gt;1,"MÜKERRER?",IF($AD594&gt;0,"KAPALI DÖNEM",IF($I594="Hayır","ÖDENECEK","UYGUN")))),"EKSİK"))))</f>
        <v/>
      </c>
      <c r="Q594" s="6" t="n"/>
      <c r="R594" s="6" t="n"/>
      <c r="S594" s="3">
        <f>IF($L594="","",UPPER(SUBSTITUTE(SUBSTITUTE(SUBSTITUTE(SUBSTITUTE(SUBSTITUTE(SUBSTITUTE(SUBSTITUTE(SUBSTITUTE(SUBSTITUTE(SUBSTITUTE(SUBSTITUTE(SUBSTITUTE(SUBSTITUTE(SUBSTITUTE(SUBSTITUTE(SUBSTITUTE(SUBSTITUTE(SUBSTITUTE(TRIM($L594),"'",""),"İ","I"),"ı","I"),"i","I"),"Ş","S"),"ş","S"),"Ğ","G"),"ğ","G"),"Ü","U"),"ü","U"),"Ö","O"),"ö","O"),"Ç","C"),"ç","C"),".",""),",","")," ",""),"-","")))</f>
        <v/>
      </c>
      <c r="T594" s="3">
        <f>IF(OR($C594="",$D594&lt;&gt;"Gelir",$L594=""),"",IFERROR(INDEX(MUSTERILER!$B$7:$B$106,MATCH($S594,MUSTERILER!$T$7:$T$106,0)),""))</f>
        <v/>
      </c>
      <c r="U594" s="3">
        <f>IF($T594="","",$T594&amp;"|"&amp;COUNTIFS($T$7:$T594,$T594))</f>
        <v/>
      </c>
      <c r="V594" s="3">
        <f>IF($T594="",0,1)</f>
        <v/>
      </c>
      <c r="W594" s="3">
        <f>IF($C594="","",$D594&amp;"|"&amp;$E594&amp;"|"&amp;TEXT($C594,"0")&amp;"|"&amp;TEXT($G594,"0")&amp;"|"&amp;$J594)</f>
        <v/>
      </c>
      <c r="X594" s="3" t="n"/>
      <c r="Y594" s="3" t="n"/>
      <c r="Z594" s="3" t="n"/>
      <c r="AA594" s="3" t="n"/>
      <c r="AB594" s="3" t="n"/>
      <c r="AC594" s="3" t="n"/>
      <c r="AD594" s="3">
        <f>IF($C594="",0,SUMPRODUCT((AY_SONU!$O$7:$O$42="Evet")*(AY_SONU!$B$7:$B$42=DATE(YEAR($C594),MONTH($C594),1))))</f>
        <v/>
      </c>
    </row>
    <row r="595">
      <c r="A595" s="6" t="n"/>
      <c r="B595" s="113">
        <f>IF($C595="","","GG"&amp;TEXT(ROW()-6,"00000"))</f>
        <v/>
      </c>
      <c r="C595" s="220" t="n"/>
      <c r="D595" s="108" t="n"/>
      <c r="E595" s="109" t="n"/>
      <c r="F595" s="109" t="n"/>
      <c r="G595" s="221" t="n"/>
      <c r="H595" s="108" t="n"/>
      <c r="I595" s="108" t="n"/>
      <c r="J595" s="109" t="n"/>
      <c r="K595" s="109" t="n"/>
      <c r="L595" s="108" t="n"/>
      <c r="M595" s="121">
        <f>IF($C595="","",IF($D595="Gider",$E595,IF($L595&lt;&gt;"",$L595,$H595)))</f>
        <v/>
      </c>
      <c r="N595" s="121">
        <f>IF($C595="","",IF($D595="Gider",$H595,$E595))</f>
        <v/>
      </c>
      <c r="O595" s="226">
        <f>IF($C595="","",DATE(YEAR($C595),MONTH($C595),1))</f>
        <v/>
      </c>
      <c r="P595" s="113">
        <f>IF($C595="","",IF(AND($D595="Gelir",$L595&lt;&gt;"",$T595=""),"TANIMSIZ BORÇLU",IF($T595&lt;&gt;"",IF(OR($E595="",$G595&lt;=0),"EKSİK",IF($I595="Evet","TAHAKKUK NAKİT OLAMAZ",IF($C595&gt;TODAY(),"İLERİ TARİH","TAHAKKUK"))),IF(AND($D595&lt;&gt;"",$E595&lt;&gt;"",$G595&gt;0,$H595&lt;&gt;"",$I595&lt;&gt;""),IF($C595&gt;TODAY(),"İLERİ TARİH",IF(COUNTIF($W$7:$W$1206,$W595)&gt;1,"MÜKERRER?",IF($AD595&gt;0,"KAPALI DÖNEM",IF($I595="Hayır","ÖDENECEK","UYGUN")))),"EKSİK"))))</f>
        <v/>
      </c>
      <c r="Q595" s="6" t="n"/>
      <c r="R595" s="6" t="n"/>
      <c r="S595" s="3">
        <f>IF($L595="","",UPPER(SUBSTITUTE(SUBSTITUTE(SUBSTITUTE(SUBSTITUTE(SUBSTITUTE(SUBSTITUTE(SUBSTITUTE(SUBSTITUTE(SUBSTITUTE(SUBSTITUTE(SUBSTITUTE(SUBSTITUTE(SUBSTITUTE(SUBSTITUTE(SUBSTITUTE(SUBSTITUTE(SUBSTITUTE(SUBSTITUTE(TRIM($L595),"'",""),"İ","I"),"ı","I"),"i","I"),"Ş","S"),"ş","S"),"Ğ","G"),"ğ","G"),"Ü","U"),"ü","U"),"Ö","O"),"ö","O"),"Ç","C"),"ç","C"),".",""),",","")," ",""),"-","")))</f>
        <v/>
      </c>
      <c r="T595" s="3">
        <f>IF(OR($C595="",$D595&lt;&gt;"Gelir",$L595=""),"",IFERROR(INDEX(MUSTERILER!$B$7:$B$106,MATCH($S595,MUSTERILER!$T$7:$T$106,0)),""))</f>
        <v/>
      </c>
      <c r="U595" s="3">
        <f>IF($T595="","",$T595&amp;"|"&amp;COUNTIFS($T$7:$T595,$T595))</f>
        <v/>
      </c>
      <c r="V595" s="3">
        <f>IF($T595="",0,1)</f>
        <v/>
      </c>
      <c r="W595" s="3">
        <f>IF($C595="","",$D595&amp;"|"&amp;$E595&amp;"|"&amp;TEXT($C595,"0")&amp;"|"&amp;TEXT($G595,"0")&amp;"|"&amp;$J595)</f>
        <v/>
      </c>
      <c r="X595" s="3" t="n"/>
      <c r="Y595" s="3" t="n"/>
      <c r="Z595" s="3" t="n"/>
      <c r="AA595" s="3" t="n"/>
      <c r="AB595" s="3" t="n"/>
      <c r="AC595" s="3" t="n"/>
      <c r="AD595" s="3">
        <f>IF($C595="",0,SUMPRODUCT((AY_SONU!$O$7:$O$42="Evet")*(AY_SONU!$B$7:$B$42=DATE(YEAR($C595),MONTH($C595),1))))</f>
        <v/>
      </c>
    </row>
    <row r="596">
      <c r="A596" s="6" t="n"/>
      <c r="B596" s="113">
        <f>IF($C596="","","GG"&amp;TEXT(ROW()-6,"00000"))</f>
        <v/>
      </c>
      <c r="C596" s="220" t="n"/>
      <c r="D596" s="108" t="n"/>
      <c r="E596" s="109" t="n"/>
      <c r="F596" s="109" t="n"/>
      <c r="G596" s="221" t="n"/>
      <c r="H596" s="108" t="n"/>
      <c r="I596" s="108" t="n"/>
      <c r="J596" s="109" t="n"/>
      <c r="K596" s="109" t="n"/>
      <c r="L596" s="108" t="n"/>
      <c r="M596" s="121">
        <f>IF($C596="","",IF($D596="Gider",$E596,IF($L596&lt;&gt;"",$L596,$H596)))</f>
        <v/>
      </c>
      <c r="N596" s="121">
        <f>IF($C596="","",IF($D596="Gider",$H596,$E596))</f>
        <v/>
      </c>
      <c r="O596" s="226">
        <f>IF($C596="","",DATE(YEAR($C596),MONTH($C596),1))</f>
        <v/>
      </c>
      <c r="P596" s="113">
        <f>IF($C596="","",IF(AND($D596="Gelir",$L596&lt;&gt;"",$T596=""),"TANIMSIZ BORÇLU",IF($T596&lt;&gt;"",IF(OR($E596="",$G596&lt;=0),"EKSİK",IF($I596="Evet","TAHAKKUK NAKİT OLAMAZ",IF($C596&gt;TODAY(),"İLERİ TARİH","TAHAKKUK"))),IF(AND($D596&lt;&gt;"",$E596&lt;&gt;"",$G596&gt;0,$H596&lt;&gt;"",$I596&lt;&gt;""),IF($C596&gt;TODAY(),"İLERİ TARİH",IF(COUNTIF($W$7:$W$1206,$W596)&gt;1,"MÜKERRER?",IF($AD596&gt;0,"KAPALI DÖNEM",IF($I596="Hayır","ÖDENECEK","UYGUN")))),"EKSİK"))))</f>
        <v/>
      </c>
      <c r="Q596" s="6" t="n"/>
      <c r="R596" s="6" t="n"/>
      <c r="S596" s="3">
        <f>IF($L596="","",UPPER(SUBSTITUTE(SUBSTITUTE(SUBSTITUTE(SUBSTITUTE(SUBSTITUTE(SUBSTITUTE(SUBSTITUTE(SUBSTITUTE(SUBSTITUTE(SUBSTITUTE(SUBSTITUTE(SUBSTITUTE(SUBSTITUTE(SUBSTITUTE(SUBSTITUTE(SUBSTITUTE(SUBSTITUTE(SUBSTITUTE(TRIM($L596),"'",""),"İ","I"),"ı","I"),"i","I"),"Ş","S"),"ş","S"),"Ğ","G"),"ğ","G"),"Ü","U"),"ü","U"),"Ö","O"),"ö","O"),"Ç","C"),"ç","C"),".",""),",","")," ",""),"-","")))</f>
        <v/>
      </c>
      <c r="T596" s="3">
        <f>IF(OR($C596="",$D596&lt;&gt;"Gelir",$L596=""),"",IFERROR(INDEX(MUSTERILER!$B$7:$B$106,MATCH($S596,MUSTERILER!$T$7:$T$106,0)),""))</f>
        <v/>
      </c>
      <c r="U596" s="3">
        <f>IF($T596="","",$T596&amp;"|"&amp;COUNTIFS($T$7:$T596,$T596))</f>
        <v/>
      </c>
      <c r="V596" s="3">
        <f>IF($T596="",0,1)</f>
        <v/>
      </c>
      <c r="W596" s="3">
        <f>IF($C596="","",$D596&amp;"|"&amp;$E596&amp;"|"&amp;TEXT($C596,"0")&amp;"|"&amp;TEXT($G596,"0")&amp;"|"&amp;$J596)</f>
        <v/>
      </c>
      <c r="X596" s="3" t="n"/>
      <c r="Y596" s="3" t="n"/>
      <c r="Z596" s="3" t="n"/>
      <c r="AA596" s="3" t="n"/>
      <c r="AB596" s="3" t="n"/>
      <c r="AC596" s="3" t="n"/>
      <c r="AD596" s="3">
        <f>IF($C596="",0,SUMPRODUCT((AY_SONU!$O$7:$O$42="Evet")*(AY_SONU!$B$7:$B$42=DATE(YEAR($C596),MONTH($C596),1))))</f>
        <v/>
      </c>
    </row>
    <row r="597">
      <c r="A597" s="6" t="n"/>
      <c r="B597" s="113">
        <f>IF($C597="","","GG"&amp;TEXT(ROW()-6,"00000"))</f>
        <v/>
      </c>
      <c r="C597" s="220" t="n"/>
      <c r="D597" s="108" t="n"/>
      <c r="E597" s="109" t="n"/>
      <c r="F597" s="109" t="n"/>
      <c r="G597" s="221" t="n"/>
      <c r="H597" s="108" t="n"/>
      <c r="I597" s="108" t="n"/>
      <c r="J597" s="109" t="n"/>
      <c r="K597" s="109" t="n"/>
      <c r="L597" s="108" t="n"/>
      <c r="M597" s="121">
        <f>IF($C597="","",IF($D597="Gider",$E597,IF($L597&lt;&gt;"",$L597,$H597)))</f>
        <v/>
      </c>
      <c r="N597" s="121">
        <f>IF($C597="","",IF($D597="Gider",$H597,$E597))</f>
        <v/>
      </c>
      <c r="O597" s="226">
        <f>IF($C597="","",DATE(YEAR($C597),MONTH($C597),1))</f>
        <v/>
      </c>
      <c r="P597" s="113">
        <f>IF($C597="","",IF(AND($D597="Gelir",$L597&lt;&gt;"",$T597=""),"TANIMSIZ BORÇLU",IF($T597&lt;&gt;"",IF(OR($E597="",$G597&lt;=0),"EKSİK",IF($I597="Evet","TAHAKKUK NAKİT OLAMAZ",IF($C597&gt;TODAY(),"İLERİ TARİH","TAHAKKUK"))),IF(AND($D597&lt;&gt;"",$E597&lt;&gt;"",$G597&gt;0,$H597&lt;&gt;"",$I597&lt;&gt;""),IF($C597&gt;TODAY(),"İLERİ TARİH",IF(COUNTIF($W$7:$W$1206,$W597)&gt;1,"MÜKERRER?",IF($AD597&gt;0,"KAPALI DÖNEM",IF($I597="Hayır","ÖDENECEK","UYGUN")))),"EKSİK"))))</f>
        <v/>
      </c>
      <c r="Q597" s="6" t="n"/>
      <c r="R597" s="6" t="n"/>
      <c r="S597" s="3">
        <f>IF($L597="","",UPPER(SUBSTITUTE(SUBSTITUTE(SUBSTITUTE(SUBSTITUTE(SUBSTITUTE(SUBSTITUTE(SUBSTITUTE(SUBSTITUTE(SUBSTITUTE(SUBSTITUTE(SUBSTITUTE(SUBSTITUTE(SUBSTITUTE(SUBSTITUTE(SUBSTITUTE(SUBSTITUTE(SUBSTITUTE(SUBSTITUTE(TRIM($L597),"'",""),"İ","I"),"ı","I"),"i","I"),"Ş","S"),"ş","S"),"Ğ","G"),"ğ","G"),"Ü","U"),"ü","U"),"Ö","O"),"ö","O"),"Ç","C"),"ç","C"),".",""),",","")," ",""),"-","")))</f>
        <v/>
      </c>
      <c r="T597" s="3">
        <f>IF(OR($C597="",$D597&lt;&gt;"Gelir",$L597=""),"",IFERROR(INDEX(MUSTERILER!$B$7:$B$106,MATCH($S597,MUSTERILER!$T$7:$T$106,0)),""))</f>
        <v/>
      </c>
      <c r="U597" s="3">
        <f>IF($T597="","",$T597&amp;"|"&amp;COUNTIFS($T$7:$T597,$T597))</f>
        <v/>
      </c>
      <c r="V597" s="3">
        <f>IF($T597="",0,1)</f>
        <v/>
      </c>
      <c r="W597" s="3">
        <f>IF($C597="","",$D597&amp;"|"&amp;$E597&amp;"|"&amp;TEXT($C597,"0")&amp;"|"&amp;TEXT($G597,"0")&amp;"|"&amp;$J597)</f>
        <v/>
      </c>
      <c r="X597" s="3" t="n"/>
      <c r="Y597" s="3" t="n"/>
      <c r="Z597" s="3" t="n"/>
      <c r="AA597" s="3" t="n"/>
      <c r="AB597" s="3" t="n"/>
      <c r="AC597" s="3" t="n"/>
      <c r="AD597" s="3">
        <f>IF($C597="",0,SUMPRODUCT((AY_SONU!$O$7:$O$42="Evet")*(AY_SONU!$B$7:$B$42=DATE(YEAR($C597),MONTH($C597),1))))</f>
        <v/>
      </c>
    </row>
    <row r="598">
      <c r="A598" s="6" t="n"/>
      <c r="B598" s="113">
        <f>IF($C598="","","GG"&amp;TEXT(ROW()-6,"00000"))</f>
        <v/>
      </c>
      <c r="C598" s="220" t="n"/>
      <c r="D598" s="108" t="n"/>
      <c r="E598" s="109" t="n"/>
      <c r="F598" s="109" t="n"/>
      <c r="G598" s="221" t="n"/>
      <c r="H598" s="108" t="n"/>
      <c r="I598" s="108" t="n"/>
      <c r="J598" s="109" t="n"/>
      <c r="K598" s="109" t="n"/>
      <c r="L598" s="108" t="n"/>
      <c r="M598" s="121">
        <f>IF($C598="","",IF($D598="Gider",$E598,IF($L598&lt;&gt;"",$L598,$H598)))</f>
        <v/>
      </c>
      <c r="N598" s="121">
        <f>IF($C598="","",IF($D598="Gider",$H598,$E598))</f>
        <v/>
      </c>
      <c r="O598" s="226">
        <f>IF($C598="","",DATE(YEAR($C598),MONTH($C598),1))</f>
        <v/>
      </c>
      <c r="P598" s="113">
        <f>IF($C598="","",IF(AND($D598="Gelir",$L598&lt;&gt;"",$T598=""),"TANIMSIZ BORÇLU",IF($T598&lt;&gt;"",IF(OR($E598="",$G598&lt;=0),"EKSİK",IF($I598="Evet","TAHAKKUK NAKİT OLAMAZ",IF($C598&gt;TODAY(),"İLERİ TARİH","TAHAKKUK"))),IF(AND($D598&lt;&gt;"",$E598&lt;&gt;"",$G598&gt;0,$H598&lt;&gt;"",$I598&lt;&gt;""),IF($C598&gt;TODAY(),"İLERİ TARİH",IF(COUNTIF($W$7:$W$1206,$W598)&gt;1,"MÜKERRER?",IF($AD598&gt;0,"KAPALI DÖNEM",IF($I598="Hayır","ÖDENECEK","UYGUN")))),"EKSİK"))))</f>
        <v/>
      </c>
      <c r="Q598" s="6" t="n"/>
      <c r="R598" s="6" t="n"/>
      <c r="S598" s="3">
        <f>IF($L598="","",UPPER(SUBSTITUTE(SUBSTITUTE(SUBSTITUTE(SUBSTITUTE(SUBSTITUTE(SUBSTITUTE(SUBSTITUTE(SUBSTITUTE(SUBSTITUTE(SUBSTITUTE(SUBSTITUTE(SUBSTITUTE(SUBSTITUTE(SUBSTITUTE(SUBSTITUTE(SUBSTITUTE(SUBSTITUTE(SUBSTITUTE(TRIM($L598),"'",""),"İ","I"),"ı","I"),"i","I"),"Ş","S"),"ş","S"),"Ğ","G"),"ğ","G"),"Ü","U"),"ü","U"),"Ö","O"),"ö","O"),"Ç","C"),"ç","C"),".",""),",","")," ",""),"-","")))</f>
        <v/>
      </c>
      <c r="T598" s="3">
        <f>IF(OR($C598="",$D598&lt;&gt;"Gelir",$L598=""),"",IFERROR(INDEX(MUSTERILER!$B$7:$B$106,MATCH($S598,MUSTERILER!$T$7:$T$106,0)),""))</f>
        <v/>
      </c>
      <c r="U598" s="3">
        <f>IF($T598="","",$T598&amp;"|"&amp;COUNTIFS($T$7:$T598,$T598))</f>
        <v/>
      </c>
      <c r="V598" s="3">
        <f>IF($T598="",0,1)</f>
        <v/>
      </c>
      <c r="W598" s="3">
        <f>IF($C598="","",$D598&amp;"|"&amp;$E598&amp;"|"&amp;TEXT($C598,"0")&amp;"|"&amp;TEXT($G598,"0")&amp;"|"&amp;$J598)</f>
        <v/>
      </c>
      <c r="X598" s="3" t="n"/>
      <c r="Y598" s="3" t="n"/>
      <c r="Z598" s="3" t="n"/>
      <c r="AA598" s="3" t="n"/>
      <c r="AB598" s="3" t="n"/>
      <c r="AC598" s="3" t="n"/>
      <c r="AD598" s="3">
        <f>IF($C598="",0,SUMPRODUCT((AY_SONU!$O$7:$O$42="Evet")*(AY_SONU!$B$7:$B$42=DATE(YEAR($C598),MONTH($C598),1))))</f>
        <v/>
      </c>
    </row>
    <row r="599">
      <c r="A599" s="6" t="n"/>
      <c r="B599" s="113">
        <f>IF($C599="","","GG"&amp;TEXT(ROW()-6,"00000"))</f>
        <v/>
      </c>
      <c r="C599" s="220" t="n"/>
      <c r="D599" s="108" t="n"/>
      <c r="E599" s="109" t="n"/>
      <c r="F599" s="109" t="n"/>
      <c r="G599" s="221" t="n"/>
      <c r="H599" s="108" t="n"/>
      <c r="I599" s="108" t="n"/>
      <c r="J599" s="109" t="n"/>
      <c r="K599" s="109" t="n"/>
      <c r="L599" s="108" t="n"/>
      <c r="M599" s="121">
        <f>IF($C599="","",IF($D599="Gider",$E599,IF($L599&lt;&gt;"",$L599,$H599)))</f>
        <v/>
      </c>
      <c r="N599" s="121">
        <f>IF($C599="","",IF($D599="Gider",$H599,$E599))</f>
        <v/>
      </c>
      <c r="O599" s="226">
        <f>IF($C599="","",DATE(YEAR($C599),MONTH($C599),1))</f>
        <v/>
      </c>
      <c r="P599" s="113">
        <f>IF($C599="","",IF(AND($D599="Gelir",$L599&lt;&gt;"",$T599=""),"TANIMSIZ BORÇLU",IF($T599&lt;&gt;"",IF(OR($E599="",$G599&lt;=0),"EKSİK",IF($I599="Evet","TAHAKKUK NAKİT OLAMAZ",IF($C599&gt;TODAY(),"İLERİ TARİH","TAHAKKUK"))),IF(AND($D599&lt;&gt;"",$E599&lt;&gt;"",$G599&gt;0,$H599&lt;&gt;"",$I599&lt;&gt;""),IF($C599&gt;TODAY(),"İLERİ TARİH",IF(COUNTIF($W$7:$W$1206,$W599)&gt;1,"MÜKERRER?",IF($AD599&gt;0,"KAPALI DÖNEM",IF($I599="Hayır","ÖDENECEK","UYGUN")))),"EKSİK"))))</f>
        <v/>
      </c>
      <c r="Q599" s="6" t="n"/>
      <c r="R599" s="6" t="n"/>
      <c r="S599" s="3">
        <f>IF($L599="","",UPPER(SUBSTITUTE(SUBSTITUTE(SUBSTITUTE(SUBSTITUTE(SUBSTITUTE(SUBSTITUTE(SUBSTITUTE(SUBSTITUTE(SUBSTITUTE(SUBSTITUTE(SUBSTITUTE(SUBSTITUTE(SUBSTITUTE(SUBSTITUTE(SUBSTITUTE(SUBSTITUTE(SUBSTITUTE(SUBSTITUTE(TRIM($L599),"'",""),"İ","I"),"ı","I"),"i","I"),"Ş","S"),"ş","S"),"Ğ","G"),"ğ","G"),"Ü","U"),"ü","U"),"Ö","O"),"ö","O"),"Ç","C"),"ç","C"),".",""),",","")," ",""),"-","")))</f>
        <v/>
      </c>
      <c r="T599" s="3">
        <f>IF(OR($C599="",$D599&lt;&gt;"Gelir",$L599=""),"",IFERROR(INDEX(MUSTERILER!$B$7:$B$106,MATCH($S599,MUSTERILER!$T$7:$T$106,0)),""))</f>
        <v/>
      </c>
      <c r="U599" s="3">
        <f>IF($T599="","",$T599&amp;"|"&amp;COUNTIFS($T$7:$T599,$T599))</f>
        <v/>
      </c>
      <c r="V599" s="3">
        <f>IF($T599="",0,1)</f>
        <v/>
      </c>
      <c r="W599" s="3">
        <f>IF($C599="","",$D599&amp;"|"&amp;$E599&amp;"|"&amp;TEXT($C599,"0")&amp;"|"&amp;TEXT($G599,"0")&amp;"|"&amp;$J599)</f>
        <v/>
      </c>
      <c r="X599" s="3" t="n"/>
      <c r="Y599" s="3" t="n"/>
      <c r="Z599" s="3" t="n"/>
      <c r="AA599" s="3" t="n"/>
      <c r="AB599" s="3" t="n"/>
      <c r="AC599" s="3" t="n"/>
      <c r="AD599" s="3">
        <f>IF($C599="",0,SUMPRODUCT((AY_SONU!$O$7:$O$42="Evet")*(AY_SONU!$B$7:$B$42=DATE(YEAR($C599),MONTH($C599),1))))</f>
        <v/>
      </c>
    </row>
    <row r="600">
      <c r="A600" s="6" t="n"/>
      <c r="B600" s="113">
        <f>IF($C600="","","GG"&amp;TEXT(ROW()-6,"00000"))</f>
        <v/>
      </c>
      <c r="C600" s="220" t="n"/>
      <c r="D600" s="108" t="n"/>
      <c r="E600" s="109" t="n"/>
      <c r="F600" s="109" t="n"/>
      <c r="G600" s="221" t="n"/>
      <c r="H600" s="108" t="n"/>
      <c r="I600" s="108" t="n"/>
      <c r="J600" s="109" t="n"/>
      <c r="K600" s="109" t="n"/>
      <c r="L600" s="108" t="n"/>
      <c r="M600" s="121">
        <f>IF($C600="","",IF($D600="Gider",$E600,IF($L600&lt;&gt;"",$L600,$H600)))</f>
        <v/>
      </c>
      <c r="N600" s="121">
        <f>IF($C600="","",IF($D600="Gider",$H600,$E600))</f>
        <v/>
      </c>
      <c r="O600" s="226">
        <f>IF($C600="","",DATE(YEAR($C600),MONTH($C600),1))</f>
        <v/>
      </c>
      <c r="P600" s="113">
        <f>IF($C600="","",IF(AND($D600="Gelir",$L600&lt;&gt;"",$T600=""),"TANIMSIZ BORÇLU",IF($T600&lt;&gt;"",IF(OR($E600="",$G600&lt;=0),"EKSİK",IF($I600="Evet","TAHAKKUK NAKİT OLAMAZ",IF($C600&gt;TODAY(),"İLERİ TARİH","TAHAKKUK"))),IF(AND($D600&lt;&gt;"",$E600&lt;&gt;"",$G600&gt;0,$H600&lt;&gt;"",$I600&lt;&gt;""),IF($C600&gt;TODAY(),"İLERİ TARİH",IF(COUNTIF($W$7:$W$1206,$W600)&gt;1,"MÜKERRER?",IF($AD600&gt;0,"KAPALI DÖNEM",IF($I600="Hayır","ÖDENECEK","UYGUN")))),"EKSİK"))))</f>
        <v/>
      </c>
      <c r="Q600" s="6" t="n"/>
      <c r="R600" s="6" t="n"/>
      <c r="S600" s="3">
        <f>IF($L600="","",UPPER(SUBSTITUTE(SUBSTITUTE(SUBSTITUTE(SUBSTITUTE(SUBSTITUTE(SUBSTITUTE(SUBSTITUTE(SUBSTITUTE(SUBSTITUTE(SUBSTITUTE(SUBSTITUTE(SUBSTITUTE(SUBSTITUTE(SUBSTITUTE(SUBSTITUTE(SUBSTITUTE(SUBSTITUTE(SUBSTITUTE(TRIM($L600),"'",""),"İ","I"),"ı","I"),"i","I"),"Ş","S"),"ş","S"),"Ğ","G"),"ğ","G"),"Ü","U"),"ü","U"),"Ö","O"),"ö","O"),"Ç","C"),"ç","C"),".",""),",","")," ",""),"-","")))</f>
        <v/>
      </c>
      <c r="T600" s="3">
        <f>IF(OR($C600="",$D600&lt;&gt;"Gelir",$L600=""),"",IFERROR(INDEX(MUSTERILER!$B$7:$B$106,MATCH($S600,MUSTERILER!$T$7:$T$106,0)),""))</f>
        <v/>
      </c>
      <c r="U600" s="3">
        <f>IF($T600="","",$T600&amp;"|"&amp;COUNTIFS($T$7:$T600,$T600))</f>
        <v/>
      </c>
      <c r="V600" s="3">
        <f>IF($T600="",0,1)</f>
        <v/>
      </c>
      <c r="W600" s="3">
        <f>IF($C600="","",$D600&amp;"|"&amp;$E600&amp;"|"&amp;TEXT($C600,"0")&amp;"|"&amp;TEXT($G600,"0")&amp;"|"&amp;$J600)</f>
        <v/>
      </c>
      <c r="X600" s="3" t="n"/>
      <c r="Y600" s="3" t="n"/>
      <c r="Z600" s="3" t="n"/>
      <c r="AA600" s="3" t="n"/>
      <c r="AB600" s="3" t="n"/>
      <c r="AC600" s="3" t="n"/>
      <c r="AD600" s="3">
        <f>IF($C600="",0,SUMPRODUCT((AY_SONU!$O$7:$O$42="Evet")*(AY_SONU!$B$7:$B$42=DATE(YEAR($C600),MONTH($C600),1))))</f>
        <v/>
      </c>
    </row>
    <row r="601">
      <c r="A601" s="6" t="n"/>
      <c r="B601" s="113">
        <f>IF($C601="","","GG"&amp;TEXT(ROW()-6,"00000"))</f>
        <v/>
      </c>
      <c r="C601" s="220" t="n"/>
      <c r="D601" s="108" t="n"/>
      <c r="E601" s="109" t="n"/>
      <c r="F601" s="109" t="n"/>
      <c r="G601" s="221" t="n"/>
      <c r="H601" s="108" t="n"/>
      <c r="I601" s="108" t="n"/>
      <c r="J601" s="109" t="n"/>
      <c r="K601" s="109" t="n"/>
      <c r="L601" s="108" t="n"/>
      <c r="M601" s="121">
        <f>IF($C601="","",IF($D601="Gider",$E601,IF($L601&lt;&gt;"",$L601,$H601)))</f>
        <v/>
      </c>
      <c r="N601" s="121">
        <f>IF($C601="","",IF($D601="Gider",$H601,$E601))</f>
        <v/>
      </c>
      <c r="O601" s="226">
        <f>IF($C601="","",DATE(YEAR($C601),MONTH($C601),1))</f>
        <v/>
      </c>
      <c r="P601" s="113">
        <f>IF($C601="","",IF(AND($D601="Gelir",$L601&lt;&gt;"",$T601=""),"TANIMSIZ BORÇLU",IF($T601&lt;&gt;"",IF(OR($E601="",$G601&lt;=0),"EKSİK",IF($I601="Evet","TAHAKKUK NAKİT OLAMAZ",IF($C601&gt;TODAY(),"İLERİ TARİH","TAHAKKUK"))),IF(AND($D601&lt;&gt;"",$E601&lt;&gt;"",$G601&gt;0,$H601&lt;&gt;"",$I601&lt;&gt;""),IF($C601&gt;TODAY(),"İLERİ TARİH",IF(COUNTIF($W$7:$W$1206,$W601)&gt;1,"MÜKERRER?",IF($AD601&gt;0,"KAPALI DÖNEM",IF($I601="Hayır","ÖDENECEK","UYGUN")))),"EKSİK"))))</f>
        <v/>
      </c>
      <c r="Q601" s="6" t="n"/>
      <c r="R601" s="6" t="n"/>
      <c r="S601" s="3">
        <f>IF($L601="","",UPPER(SUBSTITUTE(SUBSTITUTE(SUBSTITUTE(SUBSTITUTE(SUBSTITUTE(SUBSTITUTE(SUBSTITUTE(SUBSTITUTE(SUBSTITUTE(SUBSTITUTE(SUBSTITUTE(SUBSTITUTE(SUBSTITUTE(SUBSTITUTE(SUBSTITUTE(SUBSTITUTE(SUBSTITUTE(SUBSTITUTE(TRIM($L601),"'",""),"İ","I"),"ı","I"),"i","I"),"Ş","S"),"ş","S"),"Ğ","G"),"ğ","G"),"Ü","U"),"ü","U"),"Ö","O"),"ö","O"),"Ç","C"),"ç","C"),".",""),",","")," ",""),"-","")))</f>
        <v/>
      </c>
      <c r="T601" s="3">
        <f>IF(OR($C601="",$D601&lt;&gt;"Gelir",$L601=""),"",IFERROR(INDEX(MUSTERILER!$B$7:$B$106,MATCH($S601,MUSTERILER!$T$7:$T$106,0)),""))</f>
        <v/>
      </c>
      <c r="U601" s="3">
        <f>IF($T601="","",$T601&amp;"|"&amp;COUNTIFS($T$7:$T601,$T601))</f>
        <v/>
      </c>
      <c r="V601" s="3">
        <f>IF($T601="",0,1)</f>
        <v/>
      </c>
      <c r="W601" s="3">
        <f>IF($C601="","",$D601&amp;"|"&amp;$E601&amp;"|"&amp;TEXT($C601,"0")&amp;"|"&amp;TEXT($G601,"0")&amp;"|"&amp;$J601)</f>
        <v/>
      </c>
      <c r="X601" s="3" t="n"/>
      <c r="Y601" s="3" t="n"/>
      <c r="Z601" s="3" t="n"/>
      <c r="AA601" s="3" t="n"/>
      <c r="AB601" s="3" t="n"/>
      <c r="AC601" s="3" t="n"/>
      <c r="AD601" s="3">
        <f>IF($C601="",0,SUMPRODUCT((AY_SONU!$O$7:$O$42="Evet")*(AY_SONU!$B$7:$B$42=DATE(YEAR($C601),MONTH($C601),1))))</f>
        <v/>
      </c>
    </row>
    <row r="602">
      <c r="A602" s="6" t="n"/>
      <c r="B602" s="113">
        <f>IF($C602="","","GG"&amp;TEXT(ROW()-6,"00000"))</f>
        <v/>
      </c>
      <c r="C602" s="220" t="n"/>
      <c r="D602" s="108" t="n"/>
      <c r="E602" s="109" t="n"/>
      <c r="F602" s="109" t="n"/>
      <c r="G602" s="221" t="n"/>
      <c r="H602" s="108" t="n"/>
      <c r="I602" s="108" t="n"/>
      <c r="J602" s="109" t="n"/>
      <c r="K602" s="109" t="n"/>
      <c r="L602" s="108" t="n"/>
      <c r="M602" s="121">
        <f>IF($C602="","",IF($D602="Gider",$E602,IF($L602&lt;&gt;"",$L602,$H602)))</f>
        <v/>
      </c>
      <c r="N602" s="121">
        <f>IF($C602="","",IF($D602="Gider",$H602,$E602))</f>
        <v/>
      </c>
      <c r="O602" s="226">
        <f>IF($C602="","",DATE(YEAR($C602),MONTH($C602),1))</f>
        <v/>
      </c>
      <c r="P602" s="113">
        <f>IF($C602="","",IF(AND($D602="Gelir",$L602&lt;&gt;"",$T602=""),"TANIMSIZ BORÇLU",IF($T602&lt;&gt;"",IF(OR($E602="",$G602&lt;=0),"EKSİK",IF($I602="Evet","TAHAKKUK NAKİT OLAMAZ",IF($C602&gt;TODAY(),"İLERİ TARİH","TAHAKKUK"))),IF(AND($D602&lt;&gt;"",$E602&lt;&gt;"",$G602&gt;0,$H602&lt;&gt;"",$I602&lt;&gt;""),IF($C602&gt;TODAY(),"İLERİ TARİH",IF(COUNTIF($W$7:$W$1206,$W602)&gt;1,"MÜKERRER?",IF($AD602&gt;0,"KAPALI DÖNEM",IF($I602="Hayır","ÖDENECEK","UYGUN")))),"EKSİK"))))</f>
        <v/>
      </c>
      <c r="Q602" s="6" t="n"/>
      <c r="R602" s="6" t="n"/>
      <c r="S602" s="3">
        <f>IF($L602="","",UPPER(SUBSTITUTE(SUBSTITUTE(SUBSTITUTE(SUBSTITUTE(SUBSTITUTE(SUBSTITUTE(SUBSTITUTE(SUBSTITUTE(SUBSTITUTE(SUBSTITUTE(SUBSTITUTE(SUBSTITUTE(SUBSTITUTE(SUBSTITUTE(SUBSTITUTE(SUBSTITUTE(SUBSTITUTE(SUBSTITUTE(TRIM($L602),"'",""),"İ","I"),"ı","I"),"i","I"),"Ş","S"),"ş","S"),"Ğ","G"),"ğ","G"),"Ü","U"),"ü","U"),"Ö","O"),"ö","O"),"Ç","C"),"ç","C"),".",""),",","")," ",""),"-","")))</f>
        <v/>
      </c>
      <c r="T602" s="3">
        <f>IF(OR($C602="",$D602&lt;&gt;"Gelir",$L602=""),"",IFERROR(INDEX(MUSTERILER!$B$7:$B$106,MATCH($S602,MUSTERILER!$T$7:$T$106,0)),""))</f>
        <v/>
      </c>
      <c r="U602" s="3">
        <f>IF($T602="","",$T602&amp;"|"&amp;COUNTIFS($T$7:$T602,$T602))</f>
        <v/>
      </c>
      <c r="V602" s="3">
        <f>IF($T602="",0,1)</f>
        <v/>
      </c>
      <c r="W602" s="3">
        <f>IF($C602="","",$D602&amp;"|"&amp;$E602&amp;"|"&amp;TEXT($C602,"0")&amp;"|"&amp;TEXT($G602,"0")&amp;"|"&amp;$J602)</f>
        <v/>
      </c>
      <c r="X602" s="3" t="n"/>
      <c r="Y602" s="3" t="n"/>
      <c r="Z602" s="3" t="n"/>
      <c r="AA602" s="3" t="n"/>
      <c r="AB602" s="3" t="n"/>
      <c r="AC602" s="3" t="n"/>
      <c r="AD602" s="3">
        <f>IF($C602="",0,SUMPRODUCT((AY_SONU!$O$7:$O$42="Evet")*(AY_SONU!$B$7:$B$42=DATE(YEAR($C602),MONTH($C602),1))))</f>
        <v/>
      </c>
    </row>
    <row r="603">
      <c r="A603" s="6" t="n"/>
      <c r="B603" s="113">
        <f>IF($C603="","","GG"&amp;TEXT(ROW()-6,"00000"))</f>
        <v/>
      </c>
      <c r="C603" s="220" t="n"/>
      <c r="D603" s="108" t="n"/>
      <c r="E603" s="109" t="n"/>
      <c r="F603" s="109" t="n"/>
      <c r="G603" s="221" t="n"/>
      <c r="H603" s="108" t="n"/>
      <c r="I603" s="108" t="n"/>
      <c r="J603" s="109" t="n"/>
      <c r="K603" s="109" t="n"/>
      <c r="L603" s="108" t="n"/>
      <c r="M603" s="121">
        <f>IF($C603="","",IF($D603="Gider",$E603,IF($L603&lt;&gt;"",$L603,$H603)))</f>
        <v/>
      </c>
      <c r="N603" s="121">
        <f>IF($C603="","",IF($D603="Gider",$H603,$E603))</f>
        <v/>
      </c>
      <c r="O603" s="226">
        <f>IF($C603="","",DATE(YEAR($C603),MONTH($C603),1))</f>
        <v/>
      </c>
      <c r="P603" s="113">
        <f>IF($C603="","",IF(AND($D603="Gelir",$L603&lt;&gt;"",$T603=""),"TANIMSIZ BORÇLU",IF($T603&lt;&gt;"",IF(OR($E603="",$G603&lt;=0),"EKSİK",IF($I603="Evet","TAHAKKUK NAKİT OLAMAZ",IF($C603&gt;TODAY(),"İLERİ TARİH","TAHAKKUK"))),IF(AND($D603&lt;&gt;"",$E603&lt;&gt;"",$G603&gt;0,$H603&lt;&gt;"",$I603&lt;&gt;""),IF($C603&gt;TODAY(),"İLERİ TARİH",IF(COUNTIF($W$7:$W$1206,$W603)&gt;1,"MÜKERRER?",IF($AD603&gt;0,"KAPALI DÖNEM",IF($I603="Hayır","ÖDENECEK","UYGUN")))),"EKSİK"))))</f>
        <v/>
      </c>
      <c r="Q603" s="6" t="n"/>
      <c r="R603" s="6" t="n"/>
      <c r="S603" s="3">
        <f>IF($L603="","",UPPER(SUBSTITUTE(SUBSTITUTE(SUBSTITUTE(SUBSTITUTE(SUBSTITUTE(SUBSTITUTE(SUBSTITUTE(SUBSTITUTE(SUBSTITUTE(SUBSTITUTE(SUBSTITUTE(SUBSTITUTE(SUBSTITUTE(SUBSTITUTE(SUBSTITUTE(SUBSTITUTE(SUBSTITUTE(SUBSTITUTE(TRIM($L603),"'",""),"İ","I"),"ı","I"),"i","I"),"Ş","S"),"ş","S"),"Ğ","G"),"ğ","G"),"Ü","U"),"ü","U"),"Ö","O"),"ö","O"),"Ç","C"),"ç","C"),".",""),",","")," ",""),"-","")))</f>
        <v/>
      </c>
      <c r="T603" s="3">
        <f>IF(OR($C603="",$D603&lt;&gt;"Gelir",$L603=""),"",IFERROR(INDEX(MUSTERILER!$B$7:$B$106,MATCH($S603,MUSTERILER!$T$7:$T$106,0)),""))</f>
        <v/>
      </c>
      <c r="U603" s="3">
        <f>IF($T603="","",$T603&amp;"|"&amp;COUNTIFS($T$7:$T603,$T603))</f>
        <v/>
      </c>
      <c r="V603" s="3">
        <f>IF($T603="",0,1)</f>
        <v/>
      </c>
      <c r="W603" s="3">
        <f>IF($C603="","",$D603&amp;"|"&amp;$E603&amp;"|"&amp;TEXT($C603,"0")&amp;"|"&amp;TEXT($G603,"0")&amp;"|"&amp;$J603)</f>
        <v/>
      </c>
      <c r="X603" s="3" t="n"/>
      <c r="Y603" s="3" t="n"/>
      <c r="Z603" s="3" t="n"/>
      <c r="AA603" s="3" t="n"/>
      <c r="AB603" s="3" t="n"/>
      <c r="AC603" s="3" t="n"/>
      <c r="AD603" s="3">
        <f>IF($C603="",0,SUMPRODUCT((AY_SONU!$O$7:$O$42="Evet")*(AY_SONU!$B$7:$B$42=DATE(YEAR($C603),MONTH($C603),1))))</f>
        <v/>
      </c>
    </row>
    <row r="604">
      <c r="A604" s="6" t="n"/>
      <c r="B604" s="113">
        <f>IF($C604="","","GG"&amp;TEXT(ROW()-6,"00000"))</f>
        <v/>
      </c>
      <c r="C604" s="220" t="n"/>
      <c r="D604" s="108" t="n"/>
      <c r="E604" s="109" t="n"/>
      <c r="F604" s="109" t="n"/>
      <c r="G604" s="221" t="n"/>
      <c r="H604" s="108" t="n"/>
      <c r="I604" s="108" t="n"/>
      <c r="J604" s="109" t="n"/>
      <c r="K604" s="109" t="n"/>
      <c r="L604" s="108" t="n"/>
      <c r="M604" s="121">
        <f>IF($C604="","",IF($D604="Gider",$E604,IF($L604&lt;&gt;"",$L604,$H604)))</f>
        <v/>
      </c>
      <c r="N604" s="121">
        <f>IF($C604="","",IF($D604="Gider",$H604,$E604))</f>
        <v/>
      </c>
      <c r="O604" s="226">
        <f>IF($C604="","",DATE(YEAR($C604),MONTH($C604),1))</f>
        <v/>
      </c>
      <c r="P604" s="113">
        <f>IF($C604="","",IF(AND($D604="Gelir",$L604&lt;&gt;"",$T604=""),"TANIMSIZ BORÇLU",IF($T604&lt;&gt;"",IF(OR($E604="",$G604&lt;=0),"EKSİK",IF($I604="Evet","TAHAKKUK NAKİT OLAMAZ",IF($C604&gt;TODAY(),"İLERİ TARİH","TAHAKKUK"))),IF(AND($D604&lt;&gt;"",$E604&lt;&gt;"",$G604&gt;0,$H604&lt;&gt;"",$I604&lt;&gt;""),IF($C604&gt;TODAY(),"İLERİ TARİH",IF(COUNTIF($W$7:$W$1206,$W604)&gt;1,"MÜKERRER?",IF($AD604&gt;0,"KAPALI DÖNEM",IF($I604="Hayır","ÖDENECEK","UYGUN")))),"EKSİK"))))</f>
        <v/>
      </c>
      <c r="Q604" s="6" t="n"/>
      <c r="R604" s="6" t="n"/>
      <c r="S604" s="3">
        <f>IF($L604="","",UPPER(SUBSTITUTE(SUBSTITUTE(SUBSTITUTE(SUBSTITUTE(SUBSTITUTE(SUBSTITUTE(SUBSTITUTE(SUBSTITUTE(SUBSTITUTE(SUBSTITUTE(SUBSTITUTE(SUBSTITUTE(SUBSTITUTE(SUBSTITUTE(SUBSTITUTE(SUBSTITUTE(SUBSTITUTE(SUBSTITUTE(TRIM($L604),"'",""),"İ","I"),"ı","I"),"i","I"),"Ş","S"),"ş","S"),"Ğ","G"),"ğ","G"),"Ü","U"),"ü","U"),"Ö","O"),"ö","O"),"Ç","C"),"ç","C"),".",""),",","")," ",""),"-","")))</f>
        <v/>
      </c>
      <c r="T604" s="3">
        <f>IF(OR($C604="",$D604&lt;&gt;"Gelir",$L604=""),"",IFERROR(INDEX(MUSTERILER!$B$7:$B$106,MATCH($S604,MUSTERILER!$T$7:$T$106,0)),""))</f>
        <v/>
      </c>
      <c r="U604" s="3">
        <f>IF($T604="","",$T604&amp;"|"&amp;COUNTIFS($T$7:$T604,$T604))</f>
        <v/>
      </c>
      <c r="V604" s="3">
        <f>IF($T604="",0,1)</f>
        <v/>
      </c>
      <c r="W604" s="3">
        <f>IF($C604="","",$D604&amp;"|"&amp;$E604&amp;"|"&amp;TEXT($C604,"0")&amp;"|"&amp;TEXT($G604,"0")&amp;"|"&amp;$J604)</f>
        <v/>
      </c>
      <c r="X604" s="3" t="n"/>
      <c r="Y604" s="3" t="n"/>
      <c r="Z604" s="3" t="n"/>
      <c r="AA604" s="3" t="n"/>
      <c r="AB604" s="3" t="n"/>
      <c r="AC604" s="3" t="n"/>
      <c r="AD604" s="3">
        <f>IF($C604="",0,SUMPRODUCT((AY_SONU!$O$7:$O$42="Evet")*(AY_SONU!$B$7:$B$42=DATE(YEAR($C604),MONTH($C604),1))))</f>
        <v/>
      </c>
    </row>
    <row r="605">
      <c r="A605" s="6" t="n"/>
      <c r="B605" s="113">
        <f>IF($C605="","","GG"&amp;TEXT(ROW()-6,"00000"))</f>
        <v/>
      </c>
      <c r="C605" s="220" t="n"/>
      <c r="D605" s="108" t="n"/>
      <c r="E605" s="109" t="n"/>
      <c r="F605" s="109" t="n"/>
      <c r="G605" s="221" t="n"/>
      <c r="H605" s="108" t="n"/>
      <c r="I605" s="108" t="n"/>
      <c r="J605" s="109" t="n"/>
      <c r="K605" s="109" t="n"/>
      <c r="L605" s="108" t="n"/>
      <c r="M605" s="121">
        <f>IF($C605="","",IF($D605="Gider",$E605,IF($L605&lt;&gt;"",$L605,$H605)))</f>
        <v/>
      </c>
      <c r="N605" s="121">
        <f>IF($C605="","",IF($D605="Gider",$H605,$E605))</f>
        <v/>
      </c>
      <c r="O605" s="226">
        <f>IF($C605="","",DATE(YEAR($C605),MONTH($C605),1))</f>
        <v/>
      </c>
      <c r="P605" s="113">
        <f>IF($C605="","",IF(AND($D605="Gelir",$L605&lt;&gt;"",$T605=""),"TANIMSIZ BORÇLU",IF($T605&lt;&gt;"",IF(OR($E605="",$G605&lt;=0),"EKSİK",IF($I605="Evet","TAHAKKUK NAKİT OLAMAZ",IF($C605&gt;TODAY(),"İLERİ TARİH","TAHAKKUK"))),IF(AND($D605&lt;&gt;"",$E605&lt;&gt;"",$G605&gt;0,$H605&lt;&gt;"",$I605&lt;&gt;""),IF($C605&gt;TODAY(),"İLERİ TARİH",IF(COUNTIF($W$7:$W$1206,$W605)&gt;1,"MÜKERRER?",IF($AD605&gt;0,"KAPALI DÖNEM",IF($I605="Hayır","ÖDENECEK","UYGUN")))),"EKSİK"))))</f>
        <v/>
      </c>
      <c r="Q605" s="6" t="n"/>
      <c r="R605" s="6" t="n"/>
      <c r="S605" s="3">
        <f>IF($L605="","",UPPER(SUBSTITUTE(SUBSTITUTE(SUBSTITUTE(SUBSTITUTE(SUBSTITUTE(SUBSTITUTE(SUBSTITUTE(SUBSTITUTE(SUBSTITUTE(SUBSTITUTE(SUBSTITUTE(SUBSTITUTE(SUBSTITUTE(SUBSTITUTE(SUBSTITUTE(SUBSTITUTE(SUBSTITUTE(SUBSTITUTE(TRIM($L605),"'",""),"İ","I"),"ı","I"),"i","I"),"Ş","S"),"ş","S"),"Ğ","G"),"ğ","G"),"Ü","U"),"ü","U"),"Ö","O"),"ö","O"),"Ç","C"),"ç","C"),".",""),",","")," ",""),"-","")))</f>
        <v/>
      </c>
      <c r="T605" s="3">
        <f>IF(OR($C605="",$D605&lt;&gt;"Gelir",$L605=""),"",IFERROR(INDEX(MUSTERILER!$B$7:$B$106,MATCH($S605,MUSTERILER!$T$7:$T$106,0)),""))</f>
        <v/>
      </c>
      <c r="U605" s="3">
        <f>IF($T605="","",$T605&amp;"|"&amp;COUNTIFS($T$7:$T605,$T605))</f>
        <v/>
      </c>
      <c r="V605" s="3">
        <f>IF($T605="",0,1)</f>
        <v/>
      </c>
      <c r="W605" s="3">
        <f>IF($C605="","",$D605&amp;"|"&amp;$E605&amp;"|"&amp;TEXT($C605,"0")&amp;"|"&amp;TEXT($G605,"0")&amp;"|"&amp;$J605)</f>
        <v/>
      </c>
      <c r="X605" s="3" t="n"/>
      <c r="Y605" s="3" t="n"/>
      <c r="Z605" s="3" t="n"/>
      <c r="AA605" s="3" t="n"/>
      <c r="AB605" s="3" t="n"/>
      <c r="AC605" s="3" t="n"/>
      <c r="AD605" s="3">
        <f>IF($C605="",0,SUMPRODUCT((AY_SONU!$O$7:$O$42="Evet")*(AY_SONU!$B$7:$B$42=DATE(YEAR($C605),MONTH($C605),1))))</f>
        <v/>
      </c>
    </row>
    <row r="606">
      <c r="A606" s="6" t="n"/>
      <c r="B606" s="113">
        <f>IF($C606="","","GG"&amp;TEXT(ROW()-6,"00000"))</f>
        <v/>
      </c>
      <c r="C606" s="220" t="n"/>
      <c r="D606" s="108" t="n"/>
      <c r="E606" s="109" t="n"/>
      <c r="F606" s="109" t="n"/>
      <c r="G606" s="221" t="n"/>
      <c r="H606" s="108" t="n"/>
      <c r="I606" s="108" t="n"/>
      <c r="J606" s="109" t="n"/>
      <c r="K606" s="109" t="n"/>
      <c r="L606" s="108" t="n"/>
      <c r="M606" s="121">
        <f>IF($C606="","",IF($D606="Gider",$E606,IF($L606&lt;&gt;"",$L606,$H606)))</f>
        <v/>
      </c>
      <c r="N606" s="121">
        <f>IF($C606="","",IF($D606="Gider",$H606,$E606))</f>
        <v/>
      </c>
      <c r="O606" s="226">
        <f>IF($C606="","",DATE(YEAR($C606),MONTH($C606),1))</f>
        <v/>
      </c>
      <c r="P606" s="113">
        <f>IF($C606="","",IF(AND($D606="Gelir",$L606&lt;&gt;"",$T606=""),"TANIMSIZ BORÇLU",IF($T606&lt;&gt;"",IF(OR($E606="",$G606&lt;=0),"EKSİK",IF($I606="Evet","TAHAKKUK NAKİT OLAMAZ",IF($C606&gt;TODAY(),"İLERİ TARİH","TAHAKKUK"))),IF(AND($D606&lt;&gt;"",$E606&lt;&gt;"",$G606&gt;0,$H606&lt;&gt;"",$I606&lt;&gt;""),IF($C606&gt;TODAY(),"İLERİ TARİH",IF(COUNTIF($W$7:$W$1206,$W606)&gt;1,"MÜKERRER?",IF($AD606&gt;0,"KAPALI DÖNEM",IF($I606="Hayır","ÖDENECEK","UYGUN")))),"EKSİK"))))</f>
        <v/>
      </c>
      <c r="Q606" s="6" t="n"/>
      <c r="R606" s="6" t="n"/>
      <c r="S606" s="3">
        <f>IF($L606="","",UPPER(SUBSTITUTE(SUBSTITUTE(SUBSTITUTE(SUBSTITUTE(SUBSTITUTE(SUBSTITUTE(SUBSTITUTE(SUBSTITUTE(SUBSTITUTE(SUBSTITUTE(SUBSTITUTE(SUBSTITUTE(SUBSTITUTE(SUBSTITUTE(SUBSTITUTE(SUBSTITUTE(SUBSTITUTE(SUBSTITUTE(TRIM($L606),"'",""),"İ","I"),"ı","I"),"i","I"),"Ş","S"),"ş","S"),"Ğ","G"),"ğ","G"),"Ü","U"),"ü","U"),"Ö","O"),"ö","O"),"Ç","C"),"ç","C"),".",""),",","")," ",""),"-","")))</f>
        <v/>
      </c>
      <c r="T606" s="3">
        <f>IF(OR($C606="",$D606&lt;&gt;"Gelir",$L606=""),"",IFERROR(INDEX(MUSTERILER!$B$7:$B$106,MATCH($S606,MUSTERILER!$T$7:$T$106,0)),""))</f>
        <v/>
      </c>
      <c r="U606" s="3">
        <f>IF($T606="","",$T606&amp;"|"&amp;COUNTIFS($T$7:$T606,$T606))</f>
        <v/>
      </c>
      <c r="V606" s="3">
        <f>IF($T606="",0,1)</f>
        <v/>
      </c>
      <c r="W606" s="3">
        <f>IF($C606="","",$D606&amp;"|"&amp;$E606&amp;"|"&amp;TEXT($C606,"0")&amp;"|"&amp;TEXT($G606,"0")&amp;"|"&amp;$J606)</f>
        <v/>
      </c>
      <c r="X606" s="3" t="n"/>
      <c r="Y606" s="3" t="n"/>
      <c r="Z606" s="3" t="n"/>
      <c r="AA606" s="3" t="n"/>
      <c r="AB606" s="3" t="n"/>
      <c r="AC606" s="3" t="n"/>
      <c r="AD606" s="3">
        <f>IF($C606="",0,SUMPRODUCT((AY_SONU!$O$7:$O$42="Evet")*(AY_SONU!$B$7:$B$42=DATE(YEAR($C606),MONTH($C606),1))))</f>
        <v/>
      </c>
    </row>
    <row r="607">
      <c r="A607" s="6" t="n"/>
      <c r="B607" s="113">
        <f>IF($C607="","","GG"&amp;TEXT(ROW()-6,"00000"))</f>
        <v/>
      </c>
      <c r="C607" s="220" t="n"/>
      <c r="D607" s="108" t="n"/>
      <c r="E607" s="109" t="n"/>
      <c r="F607" s="109" t="n"/>
      <c r="G607" s="221" t="n"/>
      <c r="H607" s="108" t="n"/>
      <c r="I607" s="108" t="n"/>
      <c r="J607" s="109" t="n"/>
      <c r="K607" s="109" t="n"/>
      <c r="L607" s="108" t="n"/>
      <c r="M607" s="121">
        <f>IF($C607="","",IF($D607="Gider",$E607,IF($L607&lt;&gt;"",$L607,$H607)))</f>
        <v/>
      </c>
      <c r="N607" s="121">
        <f>IF($C607="","",IF($D607="Gider",$H607,$E607))</f>
        <v/>
      </c>
      <c r="O607" s="226">
        <f>IF($C607="","",DATE(YEAR($C607),MONTH($C607),1))</f>
        <v/>
      </c>
      <c r="P607" s="113">
        <f>IF($C607="","",IF(AND($D607="Gelir",$L607&lt;&gt;"",$T607=""),"TANIMSIZ BORÇLU",IF($T607&lt;&gt;"",IF(OR($E607="",$G607&lt;=0),"EKSİK",IF($I607="Evet","TAHAKKUK NAKİT OLAMAZ",IF($C607&gt;TODAY(),"İLERİ TARİH","TAHAKKUK"))),IF(AND($D607&lt;&gt;"",$E607&lt;&gt;"",$G607&gt;0,$H607&lt;&gt;"",$I607&lt;&gt;""),IF($C607&gt;TODAY(),"İLERİ TARİH",IF(COUNTIF($W$7:$W$1206,$W607)&gt;1,"MÜKERRER?",IF($AD607&gt;0,"KAPALI DÖNEM",IF($I607="Hayır","ÖDENECEK","UYGUN")))),"EKSİK"))))</f>
        <v/>
      </c>
      <c r="Q607" s="6" t="n"/>
      <c r="R607" s="6" t="n"/>
      <c r="S607" s="3">
        <f>IF($L607="","",UPPER(SUBSTITUTE(SUBSTITUTE(SUBSTITUTE(SUBSTITUTE(SUBSTITUTE(SUBSTITUTE(SUBSTITUTE(SUBSTITUTE(SUBSTITUTE(SUBSTITUTE(SUBSTITUTE(SUBSTITUTE(SUBSTITUTE(SUBSTITUTE(SUBSTITUTE(SUBSTITUTE(SUBSTITUTE(SUBSTITUTE(TRIM($L607),"'",""),"İ","I"),"ı","I"),"i","I"),"Ş","S"),"ş","S"),"Ğ","G"),"ğ","G"),"Ü","U"),"ü","U"),"Ö","O"),"ö","O"),"Ç","C"),"ç","C"),".",""),",","")," ",""),"-","")))</f>
        <v/>
      </c>
      <c r="T607" s="3">
        <f>IF(OR($C607="",$D607&lt;&gt;"Gelir",$L607=""),"",IFERROR(INDEX(MUSTERILER!$B$7:$B$106,MATCH($S607,MUSTERILER!$T$7:$T$106,0)),""))</f>
        <v/>
      </c>
      <c r="U607" s="3">
        <f>IF($T607="","",$T607&amp;"|"&amp;COUNTIFS($T$7:$T607,$T607))</f>
        <v/>
      </c>
      <c r="V607" s="3">
        <f>IF($T607="",0,1)</f>
        <v/>
      </c>
      <c r="W607" s="3">
        <f>IF($C607="","",$D607&amp;"|"&amp;$E607&amp;"|"&amp;TEXT($C607,"0")&amp;"|"&amp;TEXT($G607,"0")&amp;"|"&amp;$J607)</f>
        <v/>
      </c>
      <c r="X607" s="3" t="n"/>
      <c r="Y607" s="3" t="n"/>
      <c r="Z607" s="3" t="n"/>
      <c r="AA607" s="3" t="n"/>
      <c r="AB607" s="3" t="n"/>
      <c r="AC607" s="3" t="n"/>
      <c r="AD607" s="3">
        <f>IF($C607="",0,SUMPRODUCT((AY_SONU!$O$7:$O$42="Evet")*(AY_SONU!$B$7:$B$42=DATE(YEAR($C607),MONTH($C607),1))))</f>
        <v/>
      </c>
    </row>
    <row r="608">
      <c r="A608" s="6" t="n"/>
      <c r="B608" s="113">
        <f>IF($C608="","","GG"&amp;TEXT(ROW()-6,"00000"))</f>
        <v/>
      </c>
      <c r="C608" s="220" t="n"/>
      <c r="D608" s="108" t="n"/>
      <c r="E608" s="109" t="n"/>
      <c r="F608" s="109" t="n"/>
      <c r="G608" s="221" t="n"/>
      <c r="H608" s="108" t="n"/>
      <c r="I608" s="108" t="n"/>
      <c r="J608" s="109" t="n"/>
      <c r="K608" s="109" t="n"/>
      <c r="L608" s="108" t="n"/>
      <c r="M608" s="121">
        <f>IF($C608="","",IF($D608="Gider",$E608,IF($L608&lt;&gt;"",$L608,$H608)))</f>
        <v/>
      </c>
      <c r="N608" s="121">
        <f>IF($C608="","",IF($D608="Gider",$H608,$E608))</f>
        <v/>
      </c>
      <c r="O608" s="226">
        <f>IF($C608="","",DATE(YEAR($C608),MONTH($C608),1))</f>
        <v/>
      </c>
      <c r="P608" s="113">
        <f>IF($C608="","",IF(AND($D608="Gelir",$L608&lt;&gt;"",$T608=""),"TANIMSIZ BORÇLU",IF($T608&lt;&gt;"",IF(OR($E608="",$G608&lt;=0),"EKSİK",IF($I608="Evet","TAHAKKUK NAKİT OLAMAZ",IF($C608&gt;TODAY(),"İLERİ TARİH","TAHAKKUK"))),IF(AND($D608&lt;&gt;"",$E608&lt;&gt;"",$G608&gt;0,$H608&lt;&gt;"",$I608&lt;&gt;""),IF($C608&gt;TODAY(),"İLERİ TARİH",IF(COUNTIF($W$7:$W$1206,$W608)&gt;1,"MÜKERRER?",IF($AD608&gt;0,"KAPALI DÖNEM",IF($I608="Hayır","ÖDENECEK","UYGUN")))),"EKSİK"))))</f>
        <v/>
      </c>
      <c r="Q608" s="6" t="n"/>
      <c r="R608" s="6" t="n"/>
      <c r="S608" s="3">
        <f>IF($L608="","",UPPER(SUBSTITUTE(SUBSTITUTE(SUBSTITUTE(SUBSTITUTE(SUBSTITUTE(SUBSTITUTE(SUBSTITUTE(SUBSTITUTE(SUBSTITUTE(SUBSTITUTE(SUBSTITUTE(SUBSTITUTE(SUBSTITUTE(SUBSTITUTE(SUBSTITUTE(SUBSTITUTE(SUBSTITUTE(SUBSTITUTE(TRIM($L608),"'",""),"İ","I"),"ı","I"),"i","I"),"Ş","S"),"ş","S"),"Ğ","G"),"ğ","G"),"Ü","U"),"ü","U"),"Ö","O"),"ö","O"),"Ç","C"),"ç","C"),".",""),",","")," ",""),"-","")))</f>
        <v/>
      </c>
      <c r="T608" s="3">
        <f>IF(OR($C608="",$D608&lt;&gt;"Gelir",$L608=""),"",IFERROR(INDEX(MUSTERILER!$B$7:$B$106,MATCH($S608,MUSTERILER!$T$7:$T$106,0)),""))</f>
        <v/>
      </c>
      <c r="U608" s="3">
        <f>IF($T608="","",$T608&amp;"|"&amp;COUNTIFS($T$7:$T608,$T608))</f>
        <v/>
      </c>
      <c r="V608" s="3">
        <f>IF($T608="",0,1)</f>
        <v/>
      </c>
      <c r="W608" s="3">
        <f>IF($C608="","",$D608&amp;"|"&amp;$E608&amp;"|"&amp;TEXT($C608,"0")&amp;"|"&amp;TEXT($G608,"0")&amp;"|"&amp;$J608)</f>
        <v/>
      </c>
      <c r="X608" s="3" t="n"/>
      <c r="Y608" s="3" t="n"/>
      <c r="Z608" s="3" t="n"/>
      <c r="AA608" s="3" t="n"/>
      <c r="AB608" s="3" t="n"/>
      <c r="AC608" s="3" t="n"/>
      <c r="AD608" s="3">
        <f>IF($C608="",0,SUMPRODUCT((AY_SONU!$O$7:$O$42="Evet")*(AY_SONU!$B$7:$B$42=DATE(YEAR($C608),MONTH($C608),1))))</f>
        <v/>
      </c>
    </row>
    <row r="609">
      <c r="A609" s="6" t="n"/>
      <c r="B609" s="113">
        <f>IF($C609="","","GG"&amp;TEXT(ROW()-6,"00000"))</f>
        <v/>
      </c>
      <c r="C609" s="220" t="n"/>
      <c r="D609" s="108" t="n"/>
      <c r="E609" s="109" t="n"/>
      <c r="F609" s="109" t="n"/>
      <c r="G609" s="221" t="n"/>
      <c r="H609" s="108" t="n"/>
      <c r="I609" s="108" t="n"/>
      <c r="J609" s="109" t="n"/>
      <c r="K609" s="109" t="n"/>
      <c r="L609" s="108" t="n"/>
      <c r="M609" s="121">
        <f>IF($C609="","",IF($D609="Gider",$E609,IF($L609&lt;&gt;"",$L609,$H609)))</f>
        <v/>
      </c>
      <c r="N609" s="121">
        <f>IF($C609="","",IF($D609="Gider",$H609,$E609))</f>
        <v/>
      </c>
      <c r="O609" s="226">
        <f>IF($C609="","",DATE(YEAR($C609),MONTH($C609),1))</f>
        <v/>
      </c>
      <c r="P609" s="113">
        <f>IF($C609="","",IF(AND($D609="Gelir",$L609&lt;&gt;"",$T609=""),"TANIMSIZ BORÇLU",IF($T609&lt;&gt;"",IF(OR($E609="",$G609&lt;=0),"EKSİK",IF($I609="Evet","TAHAKKUK NAKİT OLAMAZ",IF($C609&gt;TODAY(),"İLERİ TARİH","TAHAKKUK"))),IF(AND($D609&lt;&gt;"",$E609&lt;&gt;"",$G609&gt;0,$H609&lt;&gt;"",$I609&lt;&gt;""),IF($C609&gt;TODAY(),"İLERİ TARİH",IF(COUNTIF($W$7:$W$1206,$W609)&gt;1,"MÜKERRER?",IF($AD609&gt;0,"KAPALI DÖNEM",IF($I609="Hayır","ÖDENECEK","UYGUN")))),"EKSİK"))))</f>
        <v/>
      </c>
      <c r="Q609" s="6" t="n"/>
      <c r="R609" s="6" t="n"/>
      <c r="S609" s="3">
        <f>IF($L609="","",UPPER(SUBSTITUTE(SUBSTITUTE(SUBSTITUTE(SUBSTITUTE(SUBSTITUTE(SUBSTITUTE(SUBSTITUTE(SUBSTITUTE(SUBSTITUTE(SUBSTITUTE(SUBSTITUTE(SUBSTITUTE(SUBSTITUTE(SUBSTITUTE(SUBSTITUTE(SUBSTITUTE(SUBSTITUTE(SUBSTITUTE(TRIM($L609),"'",""),"İ","I"),"ı","I"),"i","I"),"Ş","S"),"ş","S"),"Ğ","G"),"ğ","G"),"Ü","U"),"ü","U"),"Ö","O"),"ö","O"),"Ç","C"),"ç","C"),".",""),",","")," ",""),"-","")))</f>
        <v/>
      </c>
      <c r="T609" s="3">
        <f>IF(OR($C609="",$D609&lt;&gt;"Gelir",$L609=""),"",IFERROR(INDEX(MUSTERILER!$B$7:$B$106,MATCH($S609,MUSTERILER!$T$7:$T$106,0)),""))</f>
        <v/>
      </c>
      <c r="U609" s="3">
        <f>IF($T609="","",$T609&amp;"|"&amp;COUNTIFS($T$7:$T609,$T609))</f>
        <v/>
      </c>
      <c r="V609" s="3">
        <f>IF($T609="",0,1)</f>
        <v/>
      </c>
      <c r="W609" s="3">
        <f>IF($C609="","",$D609&amp;"|"&amp;$E609&amp;"|"&amp;TEXT($C609,"0")&amp;"|"&amp;TEXT($G609,"0")&amp;"|"&amp;$J609)</f>
        <v/>
      </c>
      <c r="X609" s="3" t="n"/>
      <c r="Y609" s="3" t="n"/>
      <c r="Z609" s="3" t="n"/>
      <c r="AA609" s="3" t="n"/>
      <c r="AB609" s="3" t="n"/>
      <c r="AC609" s="3" t="n"/>
      <c r="AD609" s="3">
        <f>IF($C609="",0,SUMPRODUCT((AY_SONU!$O$7:$O$42="Evet")*(AY_SONU!$B$7:$B$42=DATE(YEAR($C609),MONTH($C609),1))))</f>
        <v/>
      </c>
    </row>
    <row r="610">
      <c r="A610" s="6" t="n"/>
      <c r="B610" s="113">
        <f>IF($C610="","","GG"&amp;TEXT(ROW()-6,"00000"))</f>
        <v/>
      </c>
      <c r="C610" s="220" t="n"/>
      <c r="D610" s="108" t="n"/>
      <c r="E610" s="109" t="n"/>
      <c r="F610" s="109" t="n"/>
      <c r="G610" s="221" t="n"/>
      <c r="H610" s="108" t="n"/>
      <c r="I610" s="108" t="n"/>
      <c r="J610" s="109" t="n"/>
      <c r="K610" s="109" t="n"/>
      <c r="L610" s="108" t="n"/>
      <c r="M610" s="121">
        <f>IF($C610="","",IF($D610="Gider",$E610,IF($L610&lt;&gt;"",$L610,$H610)))</f>
        <v/>
      </c>
      <c r="N610" s="121">
        <f>IF($C610="","",IF($D610="Gider",$H610,$E610))</f>
        <v/>
      </c>
      <c r="O610" s="226">
        <f>IF($C610="","",DATE(YEAR($C610),MONTH($C610),1))</f>
        <v/>
      </c>
      <c r="P610" s="113">
        <f>IF($C610="","",IF(AND($D610="Gelir",$L610&lt;&gt;"",$T610=""),"TANIMSIZ BORÇLU",IF($T610&lt;&gt;"",IF(OR($E610="",$G610&lt;=0),"EKSİK",IF($I610="Evet","TAHAKKUK NAKİT OLAMAZ",IF($C610&gt;TODAY(),"İLERİ TARİH","TAHAKKUK"))),IF(AND($D610&lt;&gt;"",$E610&lt;&gt;"",$G610&gt;0,$H610&lt;&gt;"",$I610&lt;&gt;""),IF($C610&gt;TODAY(),"İLERİ TARİH",IF(COUNTIF($W$7:$W$1206,$W610)&gt;1,"MÜKERRER?",IF($AD610&gt;0,"KAPALI DÖNEM",IF($I610="Hayır","ÖDENECEK","UYGUN")))),"EKSİK"))))</f>
        <v/>
      </c>
      <c r="Q610" s="6" t="n"/>
      <c r="R610" s="6" t="n"/>
      <c r="S610" s="3">
        <f>IF($L610="","",UPPER(SUBSTITUTE(SUBSTITUTE(SUBSTITUTE(SUBSTITUTE(SUBSTITUTE(SUBSTITUTE(SUBSTITUTE(SUBSTITUTE(SUBSTITUTE(SUBSTITUTE(SUBSTITUTE(SUBSTITUTE(SUBSTITUTE(SUBSTITUTE(SUBSTITUTE(SUBSTITUTE(SUBSTITUTE(SUBSTITUTE(TRIM($L610),"'",""),"İ","I"),"ı","I"),"i","I"),"Ş","S"),"ş","S"),"Ğ","G"),"ğ","G"),"Ü","U"),"ü","U"),"Ö","O"),"ö","O"),"Ç","C"),"ç","C"),".",""),",","")," ",""),"-","")))</f>
        <v/>
      </c>
      <c r="T610" s="3">
        <f>IF(OR($C610="",$D610&lt;&gt;"Gelir",$L610=""),"",IFERROR(INDEX(MUSTERILER!$B$7:$B$106,MATCH($S610,MUSTERILER!$T$7:$T$106,0)),""))</f>
        <v/>
      </c>
      <c r="U610" s="3">
        <f>IF($T610="","",$T610&amp;"|"&amp;COUNTIFS($T$7:$T610,$T610))</f>
        <v/>
      </c>
      <c r="V610" s="3">
        <f>IF($T610="",0,1)</f>
        <v/>
      </c>
      <c r="W610" s="3">
        <f>IF($C610="","",$D610&amp;"|"&amp;$E610&amp;"|"&amp;TEXT($C610,"0")&amp;"|"&amp;TEXT($G610,"0")&amp;"|"&amp;$J610)</f>
        <v/>
      </c>
      <c r="X610" s="3" t="n"/>
      <c r="Y610" s="3" t="n"/>
      <c r="Z610" s="3" t="n"/>
      <c r="AA610" s="3" t="n"/>
      <c r="AB610" s="3" t="n"/>
      <c r="AC610" s="3" t="n"/>
      <c r="AD610" s="3">
        <f>IF($C610="",0,SUMPRODUCT((AY_SONU!$O$7:$O$42="Evet")*(AY_SONU!$B$7:$B$42=DATE(YEAR($C610),MONTH($C610),1))))</f>
        <v/>
      </c>
    </row>
    <row r="611">
      <c r="A611" s="6" t="n"/>
      <c r="B611" s="113">
        <f>IF($C611="","","GG"&amp;TEXT(ROW()-6,"00000"))</f>
        <v/>
      </c>
      <c r="C611" s="220" t="n"/>
      <c r="D611" s="108" t="n"/>
      <c r="E611" s="109" t="n"/>
      <c r="F611" s="109" t="n"/>
      <c r="G611" s="221" t="n"/>
      <c r="H611" s="108" t="n"/>
      <c r="I611" s="108" t="n"/>
      <c r="J611" s="109" t="n"/>
      <c r="K611" s="109" t="n"/>
      <c r="L611" s="108" t="n"/>
      <c r="M611" s="121">
        <f>IF($C611="","",IF($D611="Gider",$E611,IF($L611&lt;&gt;"",$L611,$H611)))</f>
        <v/>
      </c>
      <c r="N611" s="121">
        <f>IF($C611="","",IF($D611="Gider",$H611,$E611))</f>
        <v/>
      </c>
      <c r="O611" s="226">
        <f>IF($C611="","",DATE(YEAR($C611),MONTH($C611),1))</f>
        <v/>
      </c>
      <c r="P611" s="113">
        <f>IF($C611="","",IF(AND($D611="Gelir",$L611&lt;&gt;"",$T611=""),"TANIMSIZ BORÇLU",IF($T611&lt;&gt;"",IF(OR($E611="",$G611&lt;=0),"EKSİK",IF($I611="Evet","TAHAKKUK NAKİT OLAMAZ",IF($C611&gt;TODAY(),"İLERİ TARİH","TAHAKKUK"))),IF(AND($D611&lt;&gt;"",$E611&lt;&gt;"",$G611&gt;0,$H611&lt;&gt;"",$I611&lt;&gt;""),IF($C611&gt;TODAY(),"İLERİ TARİH",IF(COUNTIF($W$7:$W$1206,$W611)&gt;1,"MÜKERRER?",IF($AD611&gt;0,"KAPALI DÖNEM",IF($I611="Hayır","ÖDENECEK","UYGUN")))),"EKSİK"))))</f>
        <v/>
      </c>
      <c r="Q611" s="6" t="n"/>
      <c r="R611" s="6" t="n"/>
      <c r="S611" s="3">
        <f>IF($L611="","",UPPER(SUBSTITUTE(SUBSTITUTE(SUBSTITUTE(SUBSTITUTE(SUBSTITUTE(SUBSTITUTE(SUBSTITUTE(SUBSTITUTE(SUBSTITUTE(SUBSTITUTE(SUBSTITUTE(SUBSTITUTE(SUBSTITUTE(SUBSTITUTE(SUBSTITUTE(SUBSTITUTE(SUBSTITUTE(SUBSTITUTE(TRIM($L611),"'",""),"İ","I"),"ı","I"),"i","I"),"Ş","S"),"ş","S"),"Ğ","G"),"ğ","G"),"Ü","U"),"ü","U"),"Ö","O"),"ö","O"),"Ç","C"),"ç","C"),".",""),",","")," ",""),"-","")))</f>
        <v/>
      </c>
      <c r="T611" s="3">
        <f>IF(OR($C611="",$D611&lt;&gt;"Gelir",$L611=""),"",IFERROR(INDEX(MUSTERILER!$B$7:$B$106,MATCH($S611,MUSTERILER!$T$7:$T$106,0)),""))</f>
        <v/>
      </c>
      <c r="U611" s="3">
        <f>IF($T611="","",$T611&amp;"|"&amp;COUNTIFS($T$7:$T611,$T611))</f>
        <v/>
      </c>
      <c r="V611" s="3">
        <f>IF($T611="",0,1)</f>
        <v/>
      </c>
      <c r="W611" s="3">
        <f>IF($C611="","",$D611&amp;"|"&amp;$E611&amp;"|"&amp;TEXT($C611,"0")&amp;"|"&amp;TEXT($G611,"0")&amp;"|"&amp;$J611)</f>
        <v/>
      </c>
      <c r="X611" s="3" t="n"/>
      <c r="Y611" s="3" t="n"/>
      <c r="Z611" s="3" t="n"/>
      <c r="AA611" s="3" t="n"/>
      <c r="AB611" s="3" t="n"/>
      <c r="AC611" s="3" t="n"/>
      <c r="AD611" s="3">
        <f>IF($C611="",0,SUMPRODUCT((AY_SONU!$O$7:$O$42="Evet")*(AY_SONU!$B$7:$B$42=DATE(YEAR($C611),MONTH($C611),1))))</f>
        <v/>
      </c>
    </row>
    <row r="612">
      <c r="A612" s="6" t="n"/>
      <c r="B612" s="113">
        <f>IF($C612="","","GG"&amp;TEXT(ROW()-6,"00000"))</f>
        <v/>
      </c>
      <c r="C612" s="220" t="n"/>
      <c r="D612" s="108" t="n"/>
      <c r="E612" s="109" t="n"/>
      <c r="F612" s="109" t="n"/>
      <c r="G612" s="221" t="n"/>
      <c r="H612" s="108" t="n"/>
      <c r="I612" s="108" t="n"/>
      <c r="J612" s="109" t="n"/>
      <c r="K612" s="109" t="n"/>
      <c r="L612" s="108" t="n"/>
      <c r="M612" s="121">
        <f>IF($C612="","",IF($D612="Gider",$E612,IF($L612&lt;&gt;"",$L612,$H612)))</f>
        <v/>
      </c>
      <c r="N612" s="121">
        <f>IF($C612="","",IF($D612="Gider",$H612,$E612))</f>
        <v/>
      </c>
      <c r="O612" s="226">
        <f>IF($C612="","",DATE(YEAR($C612),MONTH($C612),1))</f>
        <v/>
      </c>
      <c r="P612" s="113">
        <f>IF($C612="","",IF(AND($D612="Gelir",$L612&lt;&gt;"",$T612=""),"TANIMSIZ BORÇLU",IF($T612&lt;&gt;"",IF(OR($E612="",$G612&lt;=0),"EKSİK",IF($I612="Evet","TAHAKKUK NAKİT OLAMAZ",IF($C612&gt;TODAY(),"İLERİ TARİH","TAHAKKUK"))),IF(AND($D612&lt;&gt;"",$E612&lt;&gt;"",$G612&gt;0,$H612&lt;&gt;"",$I612&lt;&gt;""),IF($C612&gt;TODAY(),"İLERİ TARİH",IF(COUNTIF($W$7:$W$1206,$W612)&gt;1,"MÜKERRER?",IF($AD612&gt;0,"KAPALI DÖNEM",IF($I612="Hayır","ÖDENECEK","UYGUN")))),"EKSİK"))))</f>
        <v/>
      </c>
      <c r="Q612" s="6" t="n"/>
      <c r="R612" s="6" t="n"/>
      <c r="S612" s="3">
        <f>IF($L612="","",UPPER(SUBSTITUTE(SUBSTITUTE(SUBSTITUTE(SUBSTITUTE(SUBSTITUTE(SUBSTITUTE(SUBSTITUTE(SUBSTITUTE(SUBSTITUTE(SUBSTITUTE(SUBSTITUTE(SUBSTITUTE(SUBSTITUTE(SUBSTITUTE(SUBSTITUTE(SUBSTITUTE(SUBSTITUTE(SUBSTITUTE(TRIM($L612),"'",""),"İ","I"),"ı","I"),"i","I"),"Ş","S"),"ş","S"),"Ğ","G"),"ğ","G"),"Ü","U"),"ü","U"),"Ö","O"),"ö","O"),"Ç","C"),"ç","C"),".",""),",","")," ",""),"-","")))</f>
        <v/>
      </c>
      <c r="T612" s="3">
        <f>IF(OR($C612="",$D612&lt;&gt;"Gelir",$L612=""),"",IFERROR(INDEX(MUSTERILER!$B$7:$B$106,MATCH($S612,MUSTERILER!$T$7:$T$106,0)),""))</f>
        <v/>
      </c>
      <c r="U612" s="3">
        <f>IF($T612="","",$T612&amp;"|"&amp;COUNTIFS($T$7:$T612,$T612))</f>
        <v/>
      </c>
      <c r="V612" s="3">
        <f>IF($T612="",0,1)</f>
        <v/>
      </c>
      <c r="W612" s="3">
        <f>IF($C612="","",$D612&amp;"|"&amp;$E612&amp;"|"&amp;TEXT($C612,"0")&amp;"|"&amp;TEXT($G612,"0")&amp;"|"&amp;$J612)</f>
        <v/>
      </c>
      <c r="X612" s="3" t="n"/>
      <c r="Y612" s="3" t="n"/>
      <c r="Z612" s="3" t="n"/>
      <c r="AA612" s="3" t="n"/>
      <c r="AB612" s="3" t="n"/>
      <c r="AC612" s="3" t="n"/>
      <c r="AD612" s="3">
        <f>IF($C612="",0,SUMPRODUCT((AY_SONU!$O$7:$O$42="Evet")*(AY_SONU!$B$7:$B$42=DATE(YEAR($C612),MONTH($C612),1))))</f>
        <v/>
      </c>
    </row>
    <row r="613">
      <c r="A613" s="6" t="n"/>
      <c r="B613" s="113">
        <f>IF($C613="","","GG"&amp;TEXT(ROW()-6,"00000"))</f>
        <v/>
      </c>
      <c r="C613" s="220" t="n"/>
      <c r="D613" s="108" t="n"/>
      <c r="E613" s="109" t="n"/>
      <c r="F613" s="109" t="n"/>
      <c r="G613" s="221" t="n"/>
      <c r="H613" s="108" t="n"/>
      <c r="I613" s="108" t="n"/>
      <c r="J613" s="109" t="n"/>
      <c r="K613" s="109" t="n"/>
      <c r="L613" s="108" t="n"/>
      <c r="M613" s="121">
        <f>IF($C613="","",IF($D613="Gider",$E613,IF($L613&lt;&gt;"",$L613,$H613)))</f>
        <v/>
      </c>
      <c r="N613" s="121">
        <f>IF($C613="","",IF($D613="Gider",$H613,$E613))</f>
        <v/>
      </c>
      <c r="O613" s="226">
        <f>IF($C613="","",DATE(YEAR($C613),MONTH($C613),1))</f>
        <v/>
      </c>
      <c r="P613" s="113">
        <f>IF($C613="","",IF(AND($D613="Gelir",$L613&lt;&gt;"",$T613=""),"TANIMSIZ BORÇLU",IF($T613&lt;&gt;"",IF(OR($E613="",$G613&lt;=0),"EKSİK",IF($I613="Evet","TAHAKKUK NAKİT OLAMAZ",IF($C613&gt;TODAY(),"İLERİ TARİH","TAHAKKUK"))),IF(AND($D613&lt;&gt;"",$E613&lt;&gt;"",$G613&gt;0,$H613&lt;&gt;"",$I613&lt;&gt;""),IF($C613&gt;TODAY(),"İLERİ TARİH",IF(COUNTIF($W$7:$W$1206,$W613)&gt;1,"MÜKERRER?",IF($AD613&gt;0,"KAPALI DÖNEM",IF($I613="Hayır","ÖDENECEK","UYGUN")))),"EKSİK"))))</f>
        <v/>
      </c>
      <c r="Q613" s="6" t="n"/>
      <c r="R613" s="6" t="n"/>
      <c r="S613" s="3">
        <f>IF($L613="","",UPPER(SUBSTITUTE(SUBSTITUTE(SUBSTITUTE(SUBSTITUTE(SUBSTITUTE(SUBSTITUTE(SUBSTITUTE(SUBSTITUTE(SUBSTITUTE(SUBSTITUTE(SUBSTITUTE(SUBSTITUTE(SUBSTITUTE(SUBSTITUTE(SUBSTITUTE(SUBSTITUTE(SUBSTITUTE(SUBSTITUTE(TRIM($L613),"'",""),"İ","I"),"ı","I"),"i","I"),"Ş","S"),"ş","S"),"Ğ","G"),"ğ","G"),"Ü","U"),"ü","U"),"Ö","O"),"ö","O"),"Ç","C"),"ç","C"),".",""),",","")," ",""),"-","")))</f>
        <v/>
      </c>
      <c r="T613" s="3">
        <f>IF(OR($C613="",$D613&lt;&gt;"Gelir",$L613=""),"",IFERROR(INDEX(MUSTERILER!$B$7:$B$106,MATCH($S613,MUSTERILER!$T$7:$T$106,0)),""))</f>
        <v/>
      </c>
      <c r="U613" s="3">
        <f>IF($T613="","",$T613&amp;"|"&amp;COUNTIFS($T$7:$T613,$T613))</f>
        <v/>
      </c>
      <c r="V613" s="3">
        <f>IF($T613="",0,1)</f>
        <v/>
      </c>
      <c r="W613" s="3">
        <f>IF($C613="","",$D613&amp;"|"&amp;$E613&amp;"|"&amp;TEXT($C613,"0")&amp;"|"&amp;TEXT($G613,"0")&amp;"|"&amp;$J613)</f>
        <v/>
      </c>
      <c r="X613" s="3" t="n"/>
      <c r="Y613" s="3" t="n"/>
      <c r="Z613" s="3" t="n"/>
      <c r="AA613" s="3" t="n"/>
      <c r="AB613" s="3" t="n"/>
      <c r="AC613" s="3" t="n"/>
      <c r="AD613" s="3">
        <f>IF($C613="",0,SUMPRODUCT((AY_SONU!$O$7:$O$42="Evet")*(AY_SONU!$B$7:$B$42=DATE(YEAR($C613),MONTH($C613),1))))</f>
        <v/>
      </c>
    </row>
    <row r="614">
      <c r="A614" s="6" t="n"/>
      <c r="B614" s="113">
        <f>IF($C614="","","GG"&amp;TEXT(ROW()-6,"00000"))</f>
        <v/>
      </c>
      <c r="C614" s="220" t="n"/>
      <c r="D614" s="108" t="n"/>
      <c r="E614" s="109" t="n"/>
      <c r="F614" s="109" t="n"/>
      <c r="G614" s="221" t="n"/>
      <c r="H614" s="108" t="n"/>
      <c r="I614" s="108" t="n"/>
      <c r="J614" s="109" t="n"/>
      <c r="K614" s="109" t="n"/>
      <c r="L614" s="108" t="n"/>
      <c r="M614" s="121">
        <f>IF($C614="","",IF($D614="Gider",$E614,IF($L614&lt;&gt;"",$L614,$H614)))</f>
        <v/>
      </c>
      <c r="N614" s="121">
        <f>IF($C614="","",IF($D614="Gider",$H614,$E614))</f>
        <v/>
      </c>
      <c r="O614" s="226">
        <f>IF($C614="","",DATE(YEAR($C614),MONTH($C614),1))</f>
        <v/>
      </c>
      <c r="P614" s="113">
        <f>IF($C614="","",IF(AND($D614="Gelir",$L614&lt;&gt;"",$T614=""),"TANIMSIZ BORÇLU",IF($T614&lt;&gt;"",IF(OR($E614="",$G614&lt;=0),"EKSİK",IF($I614="Evet","TAHAKKUK NAKİT OLAMAZ",IF($C614&gt;TODAY(),"İLERİ TARİH","TAHAKKUK"))),IF(AND($D614&lt;&gt;"",$E614&lt;&gt;"",$G614&gt;0,$H614&lt;&gt;"",$I614&lt;&gt;""),IF($C614&gt;TODAY(),"İLERİ TARİH",IF(COUNTIF($W$7:$W$1206,$W614)&gt;1,"MÜKERRER?",IF($AD614&gt;0,"KAPALI DÖNEM",IF($I614="Hayır","ÖDENECEK","UYGUN")))),"EKSİK"))))</f>
        <v/>
      </c>
      <c r="Q614" s="6" t="n"/>
      <c r="R614" s="6" t="n"/>
      <c r="S614" s="3">
        <f>IF($L614="","",UPPER(SUBSTITUTE(SUBSTITUTE(SUBSTITUTE(SUBSTITUTE(SUBSTITUTE(SUBSTITUTE(SUBSTITUTE(SUBSTITUTE(SUBSTITUTE(SUBSTITUTE(SUBSTITUTE(SUBSTITUTE(SUBSTITUTE(SUBSTITUTE(SUBSTITUTE(SUBSTITUTE(SUBSTITUTE(SUBSTITUTE(TRIM($L614),"'",""),"İ","I"),"ı","I"),"i","I"),"Ş","S"),"ş","S"),"Ğ","G"),"ğ","G"),"Ü","U"),"ü","U"),"Ö","O"),"ö","O"),"Ç","C"),"ç","C"),".",""),",","")," ",""),"-","")))</f>
        <v/>
      </c>
      <c r="T614" s="3">
        <f>IF(OR($C614="",$D614&lt;&gt;"Gelir",$L614=""),"",IFERROR(INDEX(MUSTERILER!$B$7:$B$106,MATCH($S614,MUSTERILER!$T$7:$T$106,0)),""))</f>
        <v/>
      </c>
      <c r="U614" s="3">
        <f>IF($T614="","",$T614&amp;"|"&amp;COUNTIFS($T$7:$T614,$T614))</f>
        <v/>
      </c>
      <c r="V614" s="3">
        <f>IF($T614="",0,1)</f>
        <v/>
      </c>
      <c r="W614" s="3">
        <f>IF($C614="","",$D614&amp;"|"&amp;$E614&amp;"|"&amp;TEXT($C614,"0")&amp;"|"&amp;TEXT($G614,"0")&amp;"|"&amp;$J614)</f>
        <v/>
      </c>
      <c r="X614" s="3" t="n"/>
      <c r="Y614" s="3" t="n"/>
      <c r="Z614" s="3" t="n"/>
      <c r="AA614" s="3" t="n"/>
      <c r="AB614" s="3" t="n"/>
      <c r="AC614" s="3" t="n"/>
      <c r="AD614" s="3">
        <f>IF($C614="",0,SUMPRODUCT((AY_SONU!$O$7:$O$42="Evet")*(AY_SONU!$B$7:$B$42=DATE(YEAR($C614),MONTH($C614),1))))</f>
        <v/>
      </c>
    </row>
    <row r="615">
      <c r="A615" s="6" t="n"/>
      <c r="B615" s="113">
        <f>IF($C615="","","GG"&amp;TEXT(ROW()-6,"00000"))</f>
        <v/>
      </c>
      <c r="C615" s="220" t="n"/>
      <c r="D615" s="108" t="n"/>
      <c r="E615" s="109" t="n"/>
      <c r="F615" s="109" t="n"/>
      <c r="G615" s="221" t="n"/>
      <c r="H615" s="108" t="n"/>
      <c r="I615" s="108" t="n"/>
      <c r="J615" s="109" t="n"/>
      <c r="K615" s="109" t="n"/>
      <c r="L615" s="108" t="n"/>
      <c r="M615" s="121">
        <f>IF($C615="","",IF($D615="Gider",$E615,IF($L615&lt;&gt;"",$L615,$H615)))</f>
        <v/>
      </c>
      <c r="N615" s="121">
        <f>IF($C615="","",IF($D615="Gider",$H615,$E615))</f>
        <v/>
      </c>
      <c r="O615" s="226">
        <f>IF($C615="","",DATE(YEAR($C615),MONTH($C615),1))</f>
        <v/>
      </c>
      <c r="P615" s="113">
        <f>IF($C615="","",IF(AND($D615="Gelir",$L615&lt;&gt;"",$T615=""),"TANIMSIZ BORÇLU",IF($T615&lt;&gt;"",IF(OR($E615="",$G615&lt;=0),"EKSİK",IF($I615="Evet","TAHAKKUK NAKİT OLAMAZ",IF($C615&gt;TODAY(),"İLERİ TARİH","TAHAKKUK"))),IF(AND($D615&lt;&gt;"",$E615&lt;&gt;"",$G615&gt;0,$H615&lt;&gt;"",$I615&lt;&gt;""),IF($C615&gt;TODAY(),"İLERİ TARİH",IF(COUNTIF($W$7:$W$1206,$W615)&gt;1,"MÜKERRER?",IF($AD615&gt;0,"KAPALI DÖNEM",IF($I615="Hayır","ÖDENECEK","UYGUN")))),"EKSİK"))))</f>
        <v/>
      </c>
      <c r="Q615" s="6" t="n"/>
      <c r="R615" s="6" t="n"/>
      <c r="S615" s="3">
        <f>IF($L615="","",UPPER(SUBSTITUTE(SUBSTITUTE(SUBSTITUTE(SUBSTITUTE(SUBSTITUTE(SUBSTITUTE(SUBSTITUTE(SUBSTITUTE(SUBSTITUTE(SUBSTITUTE(SUBSTITUTE(SUBSTITUTE(SUBSTITUTE(SUBSTITUTE(SUBSTITUTE(SUBSTITUTE(SUBSTITUTE(SUBSTITUTE(TRIM($L615),"'",""),"İ","I"),"ı","I"),"i","I"),"Ş","S"),"ş","S"),"Ğ","G"),"ğ","G"),"Ü","U"),"ü","U"),"Ö","O"),"ö","O"),"Ç","C"),"ç","C"),".",""),",","")," ",""),"-","")))</f>
        <v/>
      </c>
      <c r="T615" s="3">
        <f>IF(OR($C615="",$D615&lt;&gt;"Gelir",$L615=""),"",IFERROR(INDEX(MUSTERILER!$B$7:$B$106,MATCH($S615,MUSTERILER!$T$7:$T$106,0)),""))</f>
        <v/>
      </c>
      <c r="U615" s="3">
        <f>IF($T615="","",$T615&amp;"|"&amp;COUNTIFS($T$7:$T615,$T615))</f>
        <v/>
      </c>
      <c r="V615" s="3">
        <f>IF($T615="",0,1)</f>
        <v/>
      </c>
      <c r="W615" s="3">
        <f>IF($C615="","",$D615&amp;"|"&amp;$E615&amp;"|"&amp;TEXT($C615,"0")&amp;"|"&amp;TEXT($G615,"0")&amp;"|"&amp;$J615)</f>
        <v/>
      </c>
      <c r="X615" s="3" t="n"/>
      <c r="Y615" s="3" t="n"/>
      <c r="Z615" s="3" t="n"/>
      <c r="AA615" s="3" t="n"/>
      <c r="AB615" s="3" t="n"/>
      <c r="AC615" s="3" t="n"/>
      <c r="AD615" s="3">
        <f>IF($C615="",0,SUMPRODUCT((AY_SONU!$O$7:$O$42="Evet")*(AY_SONU!$B$7:$B$42=DATE(YEAR($C615),MONTH($C615),1))))</f>
        <v/>
      </c>
    </row>
    <row r="616">
      <c r="A616" s="6" t="n"/>
      <c r="B616" s="113">
        <f>IF($C616="","","GG"&amp;TEXT(ROW()-6,"00000"))</f>
        <v/>
      </c>
      <c r="C616" s="220" t="n"/>
      <c r="D616" s="108" t="n"/>
      <c r="E616" s="109" t="n"/>
      <c r="F616" s="109" t="n"/>
      <c r="G616" s="221" t="n"/>
      <c r="H616" s="108" t="n"/>
      <c r="I616" s="108" t="n"/>
      <c r="J616" s="109" t="n"/>
      <c r="K616" s="109" t="n"/>
      <c r="L616" s="108" t="n"/>
      <c r="M616" s="121">
        <f>IF($C616="","",IF($D616="Gider",$E616,IF($L616&lt;&gt;"",$L616,$H616)))</f>
        <v/>
      </c>
      <c r="N616" s="121">
        <f>IF($C616="","",IF($D616="Gider",$H616,$E616))</f>
        <v/>
      </c>
      <c r="O616" s="226">
        <f>IF($C616="","",DATE(YEAR($C616),MONTH($C616),1))</f>
        <v/>
      </c>
      <c r="P616" s="113">
        <f>IF($C616="","",IF(AND($D616="Gelir",$L616&lt;&gt;"",$T616=""),"TANIMSIZ BORÇLU",IF($T616&lt;&gt;"",IF(OR($E616="",$G616&lt;=0),"EKSİK",IF($I616="Evet","TAHAKKUK NAKİT OLAMAZ",IF($C616&gt;TODAY(),"İLERİ TARİH","TAHAKKUK"))),IF(AND($D616&lt;&gt;"",$E616&lt;&gt;"",$G616&gt;0,$H616&lt;&gt;"",$I616&lt;&gt;""),IF($C616&gt;TODAY(),"İLERİ TARİH",IF(COUNTIF($W$7:$W$1206,$W616)&gt;1,"MÜKERRER?",IF($AD616&gt;0,"KAPALI DÖNEM",IF($I616="Hayır","ÖDENECEK","UYGUN")))),"EKSİK"))))</f>
        <v/>
      </c>
      <c r="Q616" s="6" t="n"/>
      <c r="R616" s="6" t="n"/>
      <c r="S616" s="3">
        <f>IF($L616="","",UPPER(SUBSTITUTE(SUBSTITUTE(SUBSTITUTE(SUBSTITUTE(SUBSTITUTE(SUBSTITUTE(SUBSTITUTE(SUBSTITUTE(SUBSTITUTE(SUBSTITUTE(SUBSTITUTE(SUBSTITUTE(SUBSTITUTE(SUBSTITUTE(SUBSTITUTE(SUBSTITUTE(SUBSTITUTE(SUBSTITUTE(TRIM($L616),"'",""),"İ","I"),"ı","I"),"i","I"),"Ş","S"),"ş","S"),"Ğ","G"),"ğ","G"),"Ü","U"),"ü","U"),"Ö","O"),"ö","O"),"Ç","C"),"ç","C"),".",""),",","")," ",""),"-","")))</f>
        <v/>
      </c>
      <c r="T616" s="3">
        <f>IF(OR($C616="",$D616&lt;&gt;"Gelir",$L616=""),"",IFERROR(INDEX(MUSTERILER!$B$7:$B$106,MATCH($S616,MUSTERILER!$T$7:$T$106,0)),""))</f>
        <v/>
      </c>
      <c r="U616" s="3">
        <f>IF($T616="","",$T616&amp;"|"&amp;COUNTIFS($T$7:$T616,$T616))</f>
        <v/>
      </c>
      <c r="V616" s="3">
        <f>IF($T616="",0,1)</f>
        <v/>
      </c>
      <c r="W616" s="3">
        <f>IF($C616="","",$D616&amp;"|"&amp;$E616&amp;"|"&amp;TEXT($C616,"0")&amp;"|"&amp;TEXT($G616,"0")&amp;"|"&amp;$J616)</f>
        <v/>
      </c>
      <c r="X616" s="3" t="n"/>
      <c r="Y616" s="3" t="n"/>
      <c r="Z616" s="3" t="n"/>
      <c r="AA616" s="3" t="n"/>
      <c r="AB616" s="3" t="n"/>
      <c r="AC616" s="3" t="n"/>
      <c r="AD616" s="3">
        <f>IF($C616="",0,SUMPRODUCT((AY_SONU!$O$7:$O$42="Evet")*(AY_SONU!$B$7:$B$42=DATE(YEAR($C616),MONTH($C616),1))))</f>
        <v/>
      </c>
    </row>
    <row r="617">
      <c r="A617" s="6" t="n"/>
      <c r="B617" s="113">
        <f>IF($C617="","","GG"&amp;TEXT(ROW()-6,"00000"))</f>
        <v/>
      </c>
      <c r="C617" s="220" t="n"/>
      <c r="D617" s="108" t="n"/>
      <c r="E617" s="109" t="n"/>
      <c r="F617" s="109" t="n"/>
      <c r="G617" s="221" t="n"/>
      <c r="H617" s="108" t="n"/>
      <c r="I617" s="108" t="n"/>
      <c r="J617" s="109" t="n"/>
      <c r="K617" s="109" t="n"/>
      <c r="L617" s="108" t="n"/>
      <c r="M617" s="121">
        <f>IF($C617="","",IF($D617="Gider",$E617,IF($L617&lt;&gt;"",$L617,$H617)))</f>
        <v/>
      </c>
      <c r="N617" s="121">
        <f>IF($C617="","",IF($D617="Gider",$H617,$E617))</f>
        <v/>
      </c>
      <c r="O617" s="226">
        <f>IF($C617="","",DATE(YEAR($C617),MONTH($C617),1))</f>
        <v/>
      </c>
      <c r="P617" s="113">
        <f>IF($C617="","",IF(AND($D617="Gelir",$L617&lt;&gt;"",$T617=""),"TANIMSIZ BORÇLU",IF($T617&lt;&gt;"",IF(OR($E617="",$G617&lt;=0),"EKSİK",IF($I617="Evet","TAHAKKUK NAKİT OLAMAZ",IF($C617&gt;TODAY(),"İLERİ TARİH","TAHAKKUK"))),IF(AND($D617&lt;&gt;"",$E617&lt;&gt;"",$G617&gt;0,$H617&lt;&gt;"",$I617&lt;&gt;""),IF($C617&gt;TODAY(),"İLERİ TARİH",IF(COUNTIF($W$7:$W$1206,$W617)&gt;1,"MÜKERRER?",IF($AD617&gt;0,"KAPALI DÖNEM",IF($I617="Hayır","ÖDENECEK","UYGUN")))),"EKSİK"))))</f>
        <v/>
      </c>
      <c r="Q617" s="6" t="n"/>
      <c r="R617" s="6" t="n"/>
      <c r="S617" s="3">
        <f>IF($L617="","",UPPER(SUBSTITUTE(SUBSTITUTE(SUBSTITUTE(SUBSTITUTE(SUBSTITUTE(SUBSTITUTE(SUBSTITUTE(SUBSTITUTE(SUBSTITUTE(SUBSTITUTE(SUBSTITUTE(SUBSTITUTE(SUBSTITUTE(SUBSTITUTE(SUBSTITUTE(SUBSTITUTE(SUBSTITUTE(SUBSTITUTE(TRIM($L617),"'",""),"İ","I"),"ı","I"),"i","I"),"Ş","S"),"ş","S"),"Ğ","G"),"ğ","G"),"Ü","U"),"ü","U"),"Ö","O"),"ö","O"),"Ç","C"),"ç","C"),".",""),",","")," ",""),"-","")))</f>
        <v/>
      </c>
      <c r="T617" s="3">
        <f>IF(OR($C617="",$D617&lt;&gt;"Gelir",$L617=""),"",IFERROR(INDEX(MUSTERILER!$B$7:$B$106,MATCH($S617,MUSTERILER!$T$7:$T$106,0)),""))</f>
        <v/>
      </c>
      <c r="U617" s="3">
        <f>IF($T617="","",$T617&amp;"|"&amp;COUNTIFS($T$7:$T617,$T617))</f>
        <v/>
      </c>
      <c r="V617" s="3">
        <f>IF($T617="",0,1)</f>
        <v/>
      </c>
      <c r="W617" s="3">
        <f>IF($C617="","",$D617&amp;"|"&amp;$E617&amp;"|"&amp;TEXT($C617,"0")&amp;"|"&amp;TEXT($G617,"0")&amp;"|"&amp;$J617)</f>
        <v/>
      </c>
      <c r="X617" s="3" t="n"/>
      <c r="Y617" s="3" t="n"/>
      <c r="Z617" s="3" t="n"/>
      <c r="AA617" s="3" t="n"/>
      <c r="AB617" s="3" t="n"/>
      <c r="AC617" s="3" t="n"/>
      <c r="AD617" s="3">
        <f>IF($C617="",0,SUMPRODUCT((AY_SONU!$O$7:$O$42="Evet")*(AY_SONU!$B$7:$B$42=DATE(YEAR($C617),MONTH($C617),1))))</f>
        <v/>
      </c>
    </row>
    <row r="618">
      <c r="A618" s="6" t="n"/>
      <c r="B618" s="113">
        <f>IF($C618="","","GG"&amp;TEXT(ROW()-6,"00000"))</f>
        <v/>
      </c>
      <c r="C618" s="220" t="n"/>
      <c r="D618" s="108" t="n"/>
      <c r="E618" s="109" t="n"/>
      <c r="F618" s="109" t="n"/>
      <c r="G618" s="221" t="n"/>
      <c r="H618" s="108" t="n"/>
      <c r="I618" s="108" t="n"/>
      <c r="J618" s="109" t="n"/>
      <c r="K618" s="109" t="n"/>
      <c r="L618" s="108" t="n"/>
      <c r="M618" s="121">
        <f>IF($C618="","",IF($D618="Gider",$E618,IF($L618&lt;&gt;"",$L618,$H618)))</f>
        <v/>
      </c>
      <c r="N618" s="121">
        <f>IF($C618="","",IF($D618="Gider",$H618,$E618))</f>
        <v/>
      </c>
      <c r="O618" s="226">
        <f>IF($C618="","",DATE(YEAR($C618),MONTH($C618),1))</f>
        <v/>
      </c>
      <c r="P618" s="113">
        <f>IF($C618="","",IF(AND($D618="Gelir",$L618&lt;&gt;"",$T618=""),"TANIMSIZ BORÇLU",IF($T618&lt;&gt;"",IF(OR($E618="",$G618&lt;=0),"EKSİK",IF($I618="Evet","TAHAKKUK NAKİT OLAMAZ",IF($C618&gt;TODAY(),"İLERİ TARİH","TAHAKKUK"))),IF(AND($D618&lt;&gt;"",$E618&lt;&gt;"",$G618&gt;0,$H618&lt;&gt;"",$I618&lt;&gt;""),IF($C618&gt;TODAY(),"İLERİ TARİH",IF(COUNTIF($W$7:$W$1206,$W618)&gt;1,"MÜKERRER?",IF($AD618&gt;0,"KAPALI DÖNEM",IF($I618="Hayır","ÖDENECEK","UYGUN")))),"EKSİK"))))</f>
        <v/>
      </c>
      <c r="Q618" s="6" t="n"/>
      <c r="R618" s="6" t="n"/>
      <c r="S618" s="3">
        <f>IF($L618="","",UPPER(SUBSTITUTE(SUBSTITUTE(SUBSTITUTE(SUBSTITUTE(SUBSTITUTE(SUBSTITUTE(SUBSTITUTE(SUBSTITUTE(SUBSTITUTE(SUBSTITUTE(SUBSTITUTE(SUBSTITUTE(SUBSTITUTE(SUBSTITUTE(SUBSTITUTE(SUBSTITUTE(SUBSTITUTE(SUBSTITUTE(TRIM($L618),"'",""),"İ","I"),"ı","I"),"i","I"),"Ş","S"),"ş","S"),"Ğ","G"),"ğ","G"),"Ü","U"),"ü","U"),"Ö","O"),"ö","O"),"Ç","C"),"ç","C"),".",""),",","")," ",""),"-","")))</f>
        <v/>
      </c>
      <c r="T618" s="3">
        <f>IF(OR($C618="",$D618&lt;&gt;"Gelir",$L618=""),"",IFERROR(INDEX(MUSTERILER!$B$7:$B$106,MATCH($S618,MUSTERILER!$T$7:$T$106,0)),""))</f>
        <v/>
      </c>
      <c r="U618" s="3">
        <f>IF($T618="","",$T618&amp;"|"&amp;COUNTIFS($T$7:$T618,$T618))</f>
        <v/>
      </c>
      <c r="V618" s="3">
        <f>IF($T618="",0,1)</f>
        <v/>
      </c>
      <c r="W618" s="3">
        <f>IF($C618="","",$D618&amp;"|"&amp;$E618&amp;"|"&amp;TEXT($C618,"0")&amp;"|"&amp;TEXT($G618,"0")&amp;"|"&amp;$J618)</f>
        <v/>
      </c>
      <c r="X618" s="3" t="n"/>
      <c r="Y618" s="3" t="n"/>
      <c r="Z618" s="3" t="n"/>
      <c r="AA618" s="3" t="n"/>
      <c r="AB618" s="3" t="n"/>
      <c r="AC618" s="3" t="n"/>
      <c r="AD618" s="3">
        <f>IF($C618="",0,SUMPRODUCT((AY_SONU!$O$7:$O$42="Evet")*(AY_SONU!$B$7:$B$42=DATE(YEAR($C618),MONTH($C618),1))))</f>
        <v/>
      </c>
    </row>
    <row r="619">
      <c r="A619" s="6" t="n"/>
      <c r="B619" s="113">
        <f>IF($C619="","","GG"&amp;TEXT(ROW()-6,"00000"))</f>
        <v/>
      </c>
      <c r="C619" s="220" t="n"/>
      <c r="D619" s="108" t="n"/>
      <c r="E619" s="109" t="n"/>
      <c r="F619" s="109" t="n"/>
      <c r="G619" s="221" t="n"/>
      <c r="H619" s="108" t="n"/>
      <c r="I619" s="108" t="n"/>
      <c r="J619" s="109" t="n"/>
      <c r="K619" s="109" t="n"/>
      <c r="L619" s="108" t="n"/>
      <c r="M619" s="121">
        <f>IF($C619="","",IF($D619="Gider",$E619,IF($L619&lt;&gt;"",$L619,$H619)))</f>
        <v/>
      </c>
      <c r="N619" s="121">
        <f>IF($C619="","",IF($D619="Gider",$H619,$E619))</f>
        <v/>
      </c>
      <c r="O619" s="226">
        <f>IF($C619="","",DATE(YEAR($C619),MONTH($C619),1))</f>
        <v/>
      </c>
      <c r="P619" s="113">
        <f>IF($C619="","",IF(AND($D619="Gelir",$L619&lt;&gt;"",$T619=""),"TANIMSIZ BORÇLU",IF($T619&lt;&gt;"",IF(OR($E619="",$G619&lt;=0),"EKSİK",IF($I619="Evet","TAHAKKUK NAKİT OLAMAZ",IF($C619&gt;TODAY(),"İLERİ TARİH","TAHAKKUK"))),IF(AND($D619&lt;&gt;"",$E619&lt;&gt;"",$G619&gt;0,$H619&lt;&gt;"",$I619&lt;&gt;""),IF($C619&gt;TODAY(),"İLERİ TARİH",IF(COUNTIF($W$7:$W$1206,$W619)&gt;1,"MÜKERRER?",IF($AD619&gt;0,"KAPALI DÖNEM",IF($I619="Hayır","ÖDENECEK","UYGUN")))),"EKSİK"))))</f>
        <v/>
      </c>
      <c r="Q619" s="6" t="n"/>
      <c r="R619" s="6" t="n"/>
      <c r="S619" s="3">
        <f>IF($L619="","",UPPER(SUBSTITUTE(SUBSTITUTE(SUBSTITUTE(SUBSTITUTE(SUBSTITUTE(SUBSTITUTE(SUBSTITUTE(SUBSTITUTE(SUBSTITUTE(SUBSTITUTE(SUBSTITUTE(SUBSTITUTE(SUBSTITUTE(SUBSTITUTE(SUBSTITUTE(SUBSTITUTE(SUBSTITUTE(SUBSTITUTE(TRIM($L619),"'",""),"İ","I"),"ı","I"),"i","I"),"Ş","S"),"ş","S"),"Ğ","G"),"ğ","G"),"Ü","U"),"ü","U"),"Ö","O"),"ö","O"),"Ç","C"),"ç","C"),".",""),",","")," ",""),"-","")))</f>
        <v/>
      </c>
      <c r="T619" s="3">
        <f>IF(OR($C619="",$D619&lt;&gt;"Gelir",$L619=""),"",IFERROR(INDEX(MUSTERILER!$B$7:$B$106,MATCH($S619,MUSTERILER!$T$7:$T$106,0)),""))</f>
        <v/>
      </c>
      <c r="U619" s="3">
        <f>IF($T619="","",$T619&amp;"|"&amp;COUNTIFS($T$7:$T619,$T619))</f>
        <v/>
      </c>
      <c r="V619" s="3">
        <f>IF($T619="",0,1)</f>
        <v/>
      </c>
      <c r="W619" s="3">
        <f>IF($C619="","",$D619&amp;"|"&amp;$E619&amp;"|"&amp;TEXT($C619,"0")&amp;"|"&amp;TEXT($G619,"0")&amp;"|"&amp;$J619)</f>
        <v/>
      </c>
      <c r="X619" s="3" t="n"/>
      <c r="Y619" s="3" t="n"/>
      <c r="Z619" s="3" t="n"/>
      <c r="AA619" s="3" t="n"/>
      <c r="AB619" s="3" t="n"/>
      <c r="AC619" s="3" t="n"/>
      <c r="AD619" s="3">
        <f>IF($C619="",0,SUMPRODUCT((AY_SONU!$O$7:$O$42="Evet")*(AY_SONU!$B$7:$B$42=DATE(YEAR($C619),MONTH($C619),1))))</f>
        <v/>
      </c>
    </row>
    <row r="620">
      <c r="A620" s="6" t="n"/>
      <c r="B620" s="113">
        <f>IF($C620="","","GG"&amp;TEXT(ROW()-6,"00000"))</f>
        <v/>
      </c>
      <c r="C620" s="220" t="n"/>
      <c r="D620" s="108" t="n"/>
      <c r="E620" s="109" t="n"/>
      <c r="F620" s="109" t="n"/>
      <c r="G620" s="221" t="n"/>
      <c r="H620" s="108" t="n"/>
      <c r="I620" s="108" t="n"/>
      <c r="J620" s="109" t="n"/>
      <c r="K620" s="109" t="n"/>
      <c r="L620" s="108" t="n"/>
      <c r="M620" s="121">
        <f>IF($C620="","",IF($D620="Gider",$E620,IF($L620&lt;&gt;"",$L620,$H620)))</f>
        <v/>
      </c>
      <c r="N620" s="121">
        <f>IF($C620="","",IF($D620="Gider",$H620,$E620))</f>
        <v/>
      </c>
      <c r="O620" s="226">
        <f>IF($C620="","",DATE(YEAR($C620),MONTH($C620),1))</f>
        <v/>
      </c>
      <c r="P620" s="113">
        <f>IF($C620="","",IF(AND($D620="Gelir",$L620&lt;&gt;"",$T620=""),"TANIMSIZ BORÇLU",IF($T620&lt;&gt;"",IF(OR($E620="",$G620&lt;=0),"EKSİK",IF($I620="Evet","TAHAKKUK NAKİT OLAMAZ",IF($C620&gt;TODAY(),"İLERİ TARİH","TAHAKKUK"))),IF(AND($D620&lt;&gt;"",$E620&lt;&gt;"",$G620&gt;0,$H620&lt;&gt;"",$I620&lt;&gt;""),IF($C620&gt;TODAY(),"İLERİ TARİH",IF(COUNTIF($W$7:$W$1206,$W620)&gt;1,"MÜKERRER?",IF($AD620&gt;0,"KAPALI DÖNEM",IF($I620="Hayır","ÖDENECEK","UYGUN")))),"EKSİK"))))</f>
        <v/>
      </c>
      <c r="Q620" s="6" t="n"/>
      <c r="R620" s="6" t="n"/>
      <c r="S620" s="3">
        <f>IF($L620="","",UPPER(SUBSTITUTE(SUBSTITUTE(SUBSTITUTE(SUBSTITUTE(SUBSTITUTE(SUBSTITUTE(SUBSTITUTE(SUBSTITUTE(SUBSTITUTE(SUBSTITUTE(SUBSTITUTE(SUBSTITUTE(SUBSTITUTE(SUBSTITUTE(SUBSTITUTE(SUBSTITUTE(SUBSTITUTE(SUBSTITUTE(TRIM($L620),"'",""),"İ","I"),"ı","I"),"i","I"),"Ş","S"),"ş","S"),"Ğ","G"),"ğ","G"),"Ü","U"),"ü","U"),"Ö","O"),"ö","O"),"Ç","C"),"ç","C"),".",""),",","")," ",""),"-","")))</f>
        <v/>
      </c>
      <c r="T620" s="3">
        <f>IF(OR($C620="",$D620&lt;&gt;"Gelir",$L620=""),"",IFERROR(INDEX(MUSTERILER!$B$7:$B$106,MATCH($S620,MUSTERILER!$T$7:$T$106,0)),""))</f>
        <v/>
      </c>
      <c r="U620" s="3">
        <f>IF($T620="","",$T620&amp;"|"&amp;COUNTIFS($T$7:$T620,$T620))</f>
        <v/>
      </c>
      <c r="V620" s="3">
        <f>IF($T620="",0,1)</f>
        <v/>
      </c>
      <c r="W620" s="3">
        <f>IF($C620="","",$D620&amp;"|"&amp;$E620&amp;"|"&amp;TEXT($C620,"0")&amp;"|"&amp;TEXT($G620,"0")&amp;"|"&amp;$J620)</f>
        <v/>
      </c>
      <c r="X620" s="3" t="n"/>
      <c r="Y620" s="3" t="n"/>
      <c r="Z620" s="3" t="n"/>
      <c r="AA620" s="3" t="n"/>
      <c r="AB620" s="3" t="n"/>
      <c r="AC620" s="3" t="n"/>
      <c r="AD620" s="3">
        <f>IF($C620="",0,SUMPRODUCT((AY_SONU!$O$7:$O$42="Evet")*(AY_SONU!$B$7:$B$42=DATE(YEAR($C620),MONTH($C620),1))))</f>
        <v/>
      </c>
    </row>
    <row r="621">
      <c r="A621" s="6" t="n"/>
      <c r="B621" s="113">
        <f>IF($C621="","","GG"&amp;TEXT(ROW()-6,"00000"))</f>
        <v/>
      </c>
      <c r="C621" s="220" t="n"/>
      <c r="D621" s="108" t="n"/>
      <c r="E621" s="109" t="n"/>
      <c r="F621" s="109" t="n"/>
      <c r="G621" s="221" t="n"/>
      <c r="H621" s="108" t="n"/>
      <c r="I621" s="108" t="n"/>
      <c r="J621" s="109" t="n"/>
      <c r="K621" s="109" t="n"/>
      <c r="L621" s="108" t="n"/>
      <c r="M621" s="121">
        <f>IF($C621="","",IF($D621="Gider",$E621,IF($L621&lt;&gt;"",$L621,$H621)))</f>
        <v/>
      </c>
      <c r="N621" s="121">
        <f>IF($C621="","",IF($D621="Gider",$H621,$E621))</f>
        <v/>
      </c>
      <c r="O621" s="226">
        <f>IF($C621="","",DATE(YEAR($C621),MONTH($C621),1))</f>
        <v/>
      </c>
      <c r="P621" s="113">
        <f>IF($C621="","",IF(AND($D621="Gelir",$L621&lt;&gt;"",$T621=""),"TANIMSIZ BORÇLU",IF($T621&lt;&gt;"",IF(OR($E621="",$G621&lt;=0),"EKSİK",IF($I621="Evet","TAHAKKUK NAKİT OLAMAZ",IF($C621&gt;TODAY(),"İLERİ TARİH","TAHAKKUK"))),IF(AND($D621&lt;&gt;"",$E621&lt;&gt;"",$G621&gt;0,$H621&lt;&gt;"",$I621&lt;&gt;""),IF($C621&gt;TODAY(),"İLERİ TARİH",IF(COUNTIF($W$7:$W$1206,$W621)&gt;1,"MÜKERRER?",IF($AD621&gt;0,"KAPALI DÖNEM",IF($I621="Hayır","ÖDENECEK","UYGUN")))),"EKSİK"))))</f>
        <v/>
      </c>
      <c r="Q621" s="6" t="n"/>
      <c r="R621" s="6" t="n"/>
      <c r="S621" s="3">
        <f>IF($L621="","",UPPER(SUBSTITUTE(SUBSTITUTE(SUBSTITUTE(SUBSTITUTE(SUBSTITUTE(SUBSTITUTE(SUBSTITUTE(SUBSTITUTE(SUBSTITUTE(SUBSTITUTE(SUBSTITUTE(SUBSTITUTE(SUBSTITUTE(SUBSTITUTE(SUBSTITUTE(SUBSTITUTE(SUBSTITUTE(SUBSTITUTE(TRIM($L621),"'",""),"İ","I"),"ı","I"),"i","I"),"Ş","S"),"ş","S"),"Ğ","G"),"ğ","G"),"Ü","U"),"ü","U"),"Ö","O"),"ö","O"),"Ç","C"),"ç","C"),".",""),",","")," ",""),"-","")))</f>
        <v/>
      </c>
      <c r="T621" s="3">
        <f>IF(OR($C621="",$D621&lt;&gt;"Gelir",$L621=""),"",IFERROR(INDEX(MUSTERILER!$B$7:$B$106,MATCH($S621,MUSTERILER!$T$7:$T$106,0)),""))</f>
        <v/>
      </c>
      <c r="U621" s="3">
        <f>IF($T621="","",$T621&amp;"|"&amp;COUNTIFS($T$7:$T621,$T621))</f>
        <v/>
      </c>
      <c r="V621" s="3">
        <f>IF($T621="",0,1)</f>
        <v/>
      </c>
      <c r="W621" s="3">
        <f>IF($C621="","",$D621&amp;"|"&amp;$E621&amp;"|"&amp;TEXT($C621,"0")&amp;"|"&amp;TEXT($G621,"0")&amp;"|"&amp;$J621)</f>
        <v/>
      </c>
      <c r="X621" s="3" t="n"/>
      <c r="Y621" s="3" t="n"/>
      <c r="Z621" s="3" t="n"/>
      <c r="AA621" s="3" t="n"/>
      <c r="AB621" s="3" t="n"/>
      <c r="AC621" s="3" t="n"/>
      <c r="AD621" s="3">
        <f>IF($C621="",0,SUMPRODUCT((AY_SONU!$O$7:$O$42="Evet")*(AY_SONU!$B$7:$B$42=DATE(YEAR($C621),MONTH($C621),1))))</f>
        <v/>
      </c>
    </row>
    <row r="622">
      <c r="A622" s="6" t="n"/>
      <c r="B622" s="113">
        <f>IF($C622="","","GG"&amp;TEXT(ROW()-6,"00000"))</f>
        <v/>
      </c>
      <c r="C622" s="220" t="n"/>
      <c r="D622" s="108" t="n"/>
      <c r="E622" s="109" t="n"/>
      <c r="F622" s="109" t="n"/>
      <c r="G622" s="221" t="n"/>
      <c r="H622" s="108" t="n"/>
      <c r="I622" s="108" t="n"/>
      <c r="J622" s="109" t="n"/>
      <c r="K622" s="109" t="n"/>
      <c r="L622" s="108" t="n"/>
      <c r="M622" s="121">
        <f>IF($C622="","",IF($D622="Gider",$E622,IF($L622&lt;&gt;"",$L622,$H622)))</f>
        <v/>
      </c>
      <c r="N622" s="121">
        <f>IF($C622="","",IF($D622="Gider",$H622,$E622))</f>
        <v/>
      </c>
      <c r="O622" s="226">
        <f>IF($C622="","",DATE(YEAR($C622),MONTH($C622),1))</f>
        <v/>
      </c>
      <c r="P622" s="113">
        <f>IF($C622="","",IF(AND($D622="Gelir",$L622&lt;&gt;"",$T622=""),"TANIMSIZ BORÇLU",IF($T622&lt;&gt;"",IF(OR($E622="",$G622&lt;=0),"EKSİK",IF($I622="Evet","TAHAKKUK NAKİT OLAMAZ",IF($C622&gt;TODAY(),"İLERİ TARİH","TAHAKKUK"))),IF(AND($D622&lt;&gt;"",$E622&lt;&gt;"",$G622&gt;0,$H622&lt;&gt;"",$I622&lt;&gt;""),IF($C622&gt;TODAY(),"İLERİ TARİH",IF(COUNTIF($W$7:$W$1206,$W622)&gt;1,"MÜKERRER?",IF($AD622&gt;0,"KAPALI DÖNEM",IF($I622="Hayır","ÖDENECEK","UYGUN")))),"EKSİK"))))</f>
        <v/>
      </c>
      <c r="Q622" s="6" t="n"/>
      <c r="R622" s="6" t="n"/>
      <c r="S622" s="3">
        <f>IF($L622="","",UPPER(SUBSTITUTE(SUBSTITUTE(SUBSTITUTE(SUBSTITUTE(SUBSTITUTE(SUBSTITUTE(SUBSTITUTE(SUBSTITUTE(SUBSTITUTE(SUBSTITUTE(SUBSTITUTE(SUBSTITUTE(SUBSTITUTE(SUBSTITUTE(SUBSTITUTE(SUBSTITUTE(SUBSTITUTE(SUBSTITUTE(TRIM($L622),"'",""),"İ","I"),"ı","I"),"i","I"),"Ş","S"),"ş","S"),"Ğ","G"),"ğ","G"),"Ü","U"),"ü","U"),"Ö","O"),"ö","O"),"Ç","C"),"ç","C"),".",""),",","")," ",""),"-","")))</f>
        <v/>
      </c>
      <c r="T622" s="3">
        <f>IF(OR($C622="",$D622&lt;&gt;"Gelir",$L622=""),"",IFERROR(INDEX(MUSTERILER!$B$7:$B$106,MATCH($S622,MUSTERILER!$T$7:$T$106,0)),""))</f>
        <v/>
      </c>
      <c r="U622" s="3">
        <f>IF($T622="","",$T622&amp;"|"&amp;COUNTIFS($T$7:$T622,$T622))</f>
        <v/>
      </c>
      <c r="V622" s="3">
        <f>IF($T622="",0,1)</f>
        <v/>
      </c>
      <c r="W622" s="3">
        <f>IF($C622="","",$D622&amp;"|"&amp;$E622&amp;"|"&amp;TEXT($C622,"0")&amp;"|"&amp;TEXT($G622,"0")&amp;"|"&amp;$J622)</f>
        <v/>
      </c>
      <c r="X622" s="3" t="n"/>
      <c r="Y622" s="3" t="n"/>
      <c r="Z622" s="3" t="n"/>
      <c r="AA622" s="3" t="n"/>
      <c r="AB622" s="3" t="n"/>
      <c r="AC622" s="3" t="n"/>
      <c r="AD622" s="3">
        <f>IF($C622="",0,SUMPRODUCT((AY_SONU!$O$7:$O$42="Evet")*(AY_SONU!$B$7:$B$42=DATE(YEAR($C622),MONTH($C622),1))))</f>
        <v/>
      </c>
    </row>
    <row r="623">
      <c r="A623" s="6" t="n"/>
      <c r="B623" s="113">
        <f>IF($C623="","","GG"&amp;TEXT(ROW()-6,"00000"))</f>
        <v/>
      </c>
      <c r="C623" s="220" t="n"/>
      <c r="D623" s="108" t="n"/>
      <c r="E623" s="109" t="n"/>
      <c r="F623" s="109" t="n"/>
      <c r="G623" s="221" t="n"/>
      <c r="H623" s="108" t="n"/>
      <c r="I623" s="108" t="n"/>
      <c r="J623" s="109" t="n"/>
      <c r="K623" s="109" t="n"/>
      <c r="L623" s="108" t="n"/>
      <c r="M623" s="121">
        <f>IF($C623="","",IF($D623="Gider",$E623,IF($L623&lt;&gt;"",$L623,$H623)))</f>
        <v/>
      </c>
      <c r="N623" s="121">
        <f>IF($C623="","",IF($D623="Gider",$H623,$E623))</f>
        <v/>
      </c>
      <c r="O623" s="226">
        <f>IF($C623="","",DATE(YEAR($C623),MONTH($C623),1))</f>
        <v/>
      </c>
      <c r="P623" s="113">
        <f>IF($C623="","",IF(AND($D623="Gelir",$L623&lt;&gt;"",$T623=""),"TANIMSIZ BORÇLU",IF($T623&lt;&gt;"",IF(OR($E623="",$G623&lt;=0),"EKSİK",IF($I623="Evet","TAHAKKUK NAKİT OLAMAZ",IF($C623&gt;TODAY(),"İLERİ TARİH","TAHAKKUK"))),IF(AND($D623&lt;&gt;"",$E623&lt;&gt;"",$G623&gt;0,$H623&lt;&gt;"",$I623&lt;&gt;""),IF($C623&gt;TODAY(),"İLERİ TARİH",IF(COUNTIF($W$7:$W$1206,$W623)&gt;1,"MÜKERRER?",IF($AD623&gt;0,"KAPALI DÖNEM",IF($I623="Hayır","ÖDENECEK","UYGUN")))),"EKSİK"))))</f>
        <v/>
      </c>
      <c r="Q623" s="6" t="n"/>
      <c r="R623" s="6" t="n"/>
      <c r="S623" s="3">
        <f>IF($L623="","",UPPER(SUBSTITUTE(SUBSTITUTE(SUBSTITUTE(SUBSTITUTE(SUBSTITUTE(SUBSTITUTE(SUBSTITUTE(SUBSTITUTE(SUBSTITUTE(SUBSTITUTE(SUBSTITUTE(SUBSTITUTE(SUBSTITUTE(SUBSTITUTE(SUBSTITUTE(SUBSTITUTE(SUBSTITUTE(SUBSTITUTE(TRIM($L623),"'",""),"İ","I"),"ı","I"),"i","I"),"Ş","S"),"ş","S"),"Ğ","G"),"ğ","G"),"Ü","U"),"ü","U"),"Ö","O"),"ö","O"),"Ç","C"),"ç","C"),".",""),",","")," ",""),"-","")))</f>
        <v/>
      </c>
      <c r="T623" s="3">
        <f>IF(OR($C623="",$D623&lt;&gt;"Gelir",$L623=""),"",IFERROR(INDEX(MUSTERILER!$B$7:$B$106,MATCH($S623,MUSTERILER!$T$7:$T$106,0)),""))</f>
        <v/>
      </c>
      <c r="U623" s="3">
        <f>IF($T623="","",$T623&amp;"|"&amp;COUNTIFS($T$7:$T623,$T623))</f>
        <v/>
      </c>
      <c r="V623" s="3">
        <f>IF($T623="",0,1)</f>
        <v/>
      </c>
      <c r="W623" s="3">
        <f>IF($C623="","",$D623&amp;"|"&amp;$E623&amp;"|"&amp;TEXT($C623,"0")&amp;"|"&amp;TEXT($G623,"0")&amp;"|"&amp;$J623)</f>
        <v/>
      </c>
      <c r="X623" s="3" t="n"/>
      <c r="Y623" s="3" t="n"/>
      <c r="Z623" s="3" t="n"/>
      <c r="AA623" s="3" t="n"/>
      <c r="AB623" s="3" t="n"/>
      <c r="AC623" s="3" t="n"/>
      <c r="AD623" s="3">
        <f>IF($C623="",0,SUMPRODUCT((AY_SONU!$O$7:$O$42="Evet")*(AY_SONU!$B$7:$B$42=DATE(YEAR($C623),MONTH($C623),1))))</f>
        <v/>
      </c>
    </row>
    <row r="624">
      <c r="A624" s="6" t="n"/>
      <c r="B624" s="113">
        <f>IF($C624="","","GG"&amp;TEXT(ROW()-6,"00000"))</f>
        <v/>
      </c>
      <c r="C624" s="220" t="n"/>
      <c r="D624" s="108" t="n"/>
      <c r="E624" s="109" t="n"/>
      <c r="F624" s="109" t="n"/>
      <c r="G624" s="221" t="n"/>
      <c r="H624" s="108" t="n"/>
      <c r="I624" s="108" t="n"/>
      <c r="J624" s="109" t="n"/>
      <c r="K624" s="109" t="n"/>
      <c r="L624" s="108" t="n"/>
      <c r="M624" s="121">
        <f>IF($C624="","",IF($D624="Gider",$E624,IF($L624&lt;&gt;"",$L624,$H624)))</f>
        <v/>
      </c>
      <c r="N624" s="121">
        <f>IF($C624="","",IF($D624="Gider",$H624,$E624))</f>
        <v/>
      </c>
      <c r="O624" s="226">
        <f>IF($C624="","",DATE(YEAR($C624),MONTH($C624),1))</f>
        <v/>
      </c>
      <c r="P624" s="113">
        <f>IF($C624="","",IF(AND($D624="Gelir",$L624&lt;&gt;"",$T624=""),"TANIMSIZ BORÇLU",IF($T624&lt;&gt;"",IF(OR($E624="",$G624&lt;=0),"EKSİK",IF($I624="Evet","TAHAKKUK NAKİT OLAMAZ",IF($C624&gt;TODAY(),"İLERİ TARİH","TAHAKKUK"))),IF(AND($D624&lt;&gt;"",$E624&lt;&gt;"",$G624&gt;0,$H624&lt;&gt;"",$I624&lt;&gt;""),IF($C624&gt;TODAY(),"İLERİ TARİH",IF(COUNTIF($W$7:$W$1206,$W624)&gt;1,"MÜKERRER?",IF($AD624&gt;0,"KAPALI DÖNEM",IF($I624="Hayır","ÖDENECEK","UYGUN")))),"EKSİK"))))</f>
        <v/>
      </c>
      <c r="Q624" s="6" t="n"/>
      <c r="R624" s="6" t="n"/>
      <c r="S624" s="3">
        <f>IF($L624="","",UPPER(SUBSTITUTE(SUBSTITUTE(SUBSTITUTE(SUBSTITUTE(SUBSTITUTE(SUBSTITUTE(SUBSTITUTE(SUBSTITUTE(SUBSTITUTE(SUBSTITUTE(SUBSTITUTE(SUBSTITUTE(SUBSTITUTE(SUBSTITUTE(SUBSTITUTE(SUBSTITUTE(SUBSTITUTE(SUBSTITUTE(TRIM($L624),"'",""),"İ","I"),"ı","I"),"i","I"),"Ş","S"),"ş","S"),"Ğ","G"),"ğ","G"),"Ü","U"),"ü","U"),"Ö","O"),"ö","O"),"Ç","C"),"ç","C"),".",""),",","")," ",""),"-","")))</f>
        <v/>
      </c>
      <c r="T624" s="3">
        <f>IF(OR($C624="",$D624&lt;&gt;"Gelir",$L624=""),"",IFERROR(INDEX(MUSTERILER!$B$7:$B$106,MATCH($S624,MUSTERILER!$T$7:$T$106,0)),""))</f>
        <v/>
      </c>
      <c r="U624" s="3">
        <f>IF($T624="","",$T624&amp;"|"&amp;COUNTIFS($T$7:$T624,$T624))</f>
        <v/>
      </c>
      <c r="V624" s="3">
        <f>IF($T624="",0,1)</f>
        <v/>
      </c>
      <c r="W624" s="3">
        <f>IF($C624="","",$D624&amp;"|"&amp;$E624&amp;"|"&amp;TEXT($C624,"0")&amp;"|"&amp;TEXT($G624,"0")&amp;"|"&amp;$J624)</f>
        <v/>
      </c>
      <c r="X624" s="3" t="n"/>
      <c r="Y624" s="3" t="n"/>
      <c r="Z624" s="3" t="n"/>
      <c r="AA624" s="3" t="n"/>
      <c r="AB624" s="3" t="n"/>
      <c r="AC624" s="3" t="n"/>
      <c r="AD624" s="3">
        <f>IF($C624="",0,SUMPRODUCT((AY_SONU!$O$7:$O$42="Evet")*(AY_SONU!$B$7:$B$42=DATE(YEAR($C624),MONTH($C624),1))))</f>
        <v/>
      </c>
    </row>
    <row r="625">
      <c r="A625" s="6" t="n"/>
      <c r="B625" s="113">
        <f>IF($C625="","","GG"&amp;TEXT(ROW()-6,"00000"))</f>
        <v/>
      </c>
      <c r="C625" s="220" t="n"/>
      <c r="D625" s="108" t="n"/>
      <c r="E625" s="109" t="n"/>
      <c r="F625" s="109" t="n"/>
      <c r="G625" s="221" t="n"/>
      <c r="H625" s="108" t="n"/>
      <c r="I625" s="108" t="n"/>
      <c r="J625" s="109" t="n"/>
      <c r="K625" s="109" t="n"/>
      <c r="L625" s="108" t="n"/>
      <c r="M625" s="121">
        <f>IF($C625="","",IF($D625="Gider",$E625,IF($L625&lt;&gt;"",$L625,$H625)))</f>
        <v/>
      </c>
      <c r="N625" s="121">
        <f>IF($C625="","",IF($D625="Gider",$H625,$E625))</f>
        <v/>
      </c>
      <c r="O625" s="226">
        <f>IF($C625="","",DATE(YEAR($C625),MONTH($C625),1))</f>
        <v/>
      </c>
      <c r="P625" s="113">
        <f>IF($C625="","",IF(AND($D625="Gelir",$L625&lt;&gt;"",$T625=""),"TANIMSIZ BORÇLU",IF($T625&lt;&gt;"",IF(OR($E625="",$G625&lt;=0),"EKSİK",IF($I625="Evet","TAHAKKUK NAKİT OLAMAZ",IF($C625&gt;TODAY(),"İLERİ TARİH","TAHAKKUK"))),IF(AND($D625&lt;&gt;"",$E625&lt;&gt;"",$G625&gt;0,$H625&lt;&gt;"",$I625&lt;&gt;""),IF($C625&gt;TODAY(),"İLERİ TARİH",IF(COUNTIF($W$7:$W$1206,$W625)&gt;1,"MÜKERRER?",IF($AD625&gt;0,"KAPALI DÖNEM",IF($I625="Hayır","ÖDENECEK","UYGUN")))),"EKSİK"))))</f>
        <v/>
      </c>
      <c r="Q625" s="6" t="n"/>
      <c r="R625" s="6" t="n"/>
      <c r="S625" s="3">
        <f>IF($L625="","",UPPER(SUBSTITUTE(SUBSTITUTE(SUBSTITUTE(SUBSTITUTE(SUBSTITUTE(SUBSTITUTE(SUBSTITUTE(SUBSTITUTE(SUBSTITUTE(SUBSTITUTE(SUBSTITUTE(SUBSTITUTE(SUBSTITUTE(SUBSTITUTE(SUBSTITUTE(SUBSTITUTE(SUBSTITUTE(SUBSTITUTE(TRIM($L625),"'",""),"İ","I"),"ı","I"),"i","I"),"Ş","S"),"ş","S"),"Ğ","G"),"ğ","G"),"Ü","U"),"ü","U"),"Ö","O"),"ö","O"),"Ç","C"),"ç","C"),".",""),",","")," ",""),"-","")))</f>
        <v/>
      </c>
      <c r="T625" s="3">
        <f>IF(OR($C625="",$D625&lt;&gt;"Gelir",$L625=""),"",IFERROR(INDEX(MUSTERILER!$B$7:$B$106,MATCH($S625,MUSTERILER!$T$7:$T$106,0)),""))</f>
        <v/>
      </c>
      <c r="U625" s="3">
        <f>IF($T625="","",$T625&amp;"|"&amp;COUNTIFS($T$7:$T625,$T625))</f>
        <v/>
      </c>
      <c r="V625" s="3">
        <f>IF($T625="",0,1)</f>
        <v/>
      </c>
      <c r="W625" s="3">
        <f>IF($C625="","",$D625&amp;"|"&amp;$E625&amp;"|"&amp;TEXT($C625,"0")&amp;"|"&amp;TEXT($G625,"0")&amp;"|"&amp;$J625)</f>
        <v/>
      </c>
      <c r="X625" s="3" t="n"/>
      <c r="Y625" s="3" t="n"/>
      <c r="Z625" s="3" t="n"/>
      <c r="AA625" s="3" t="n"/>
      <c r="AB625" s="3" t="n"/>
      <c r="AC625" s="3" t="n"/>
      <c r="AD625" s="3">
        <f>IF($C625="",0,SUMPRODUCT((AY_SONU!$O$7:$O$42="Evet")*(AY_SONU!$B$7:$B$42=DATE(YEAR($C625),MONTH($C625),1))))</f>
        <v/>
      </c>
    </row>
    <row r="626">
      <c r="A626" s="6" t="n"/>
      <c r="B626" s="113">
        <f>IF($C626="","","GG"&amp;TEXT(ROW()-6,"00000"))</f>
        <v/>
      </c>
      <c r="C626" s="220" t="n"/>
      <c r="D626" s="108" t="n"/>
      <c r="E626" s="109" t="n"/>
      <c r="F626" s="109" t="n"/>
      <c r="G626" s="221" t="n"/>
      <c r="H626" s="108" t="n"/>
      <c r="I626" s="108" t="n"/>
      <c r="J626" s="109" t="n"/>
      <c r="K626" s="109" t="n"/>
      <c r="L626" s="108" t="n"/>
      <c r="M626" s="121">
        <f>IF($C626="","",IF($D626="Gider",$E626,IF($L626&lt;&gt;"",$L626,$H626)))</f>
        <v/>
      </c>
      <c r="N626" s="121">
        <f>IF($C626="","",IF($D626="Gider",$H626,$E626))</f>
        <v/>
      </c>
      <c r="O626" s="226">
        <f>IF($C626="","",DATE(YEAR($C626),MONTH($C626),1))</f>
        <v/>
      </c>
      <c r="P626" s="113">
        <f>IF($C626="","",IF(AND($D626="Gelir",$L626&lt;&gt;"",$T626=""),"TANIMSIZ BORÇLU",IF($T626&lt;&gt;"",IF(OR($E626="",$G626&lt;=0),"EKSİK",IF($I626="Evet","TAHAKKUK NAKİT OLAMAZ",IF($C626&gt;TODAY(),"İLERİ TARİH","TAHAKKUK"))),IF(AND($D626&lt;&gt;"",$E626&lt;&gt;"",$G626&gt;0,$H626&lt;&gt;"",$I626&lt;&gt;""),IF($C626&gt;TODAY(),"İLERİ TARİH",IF(COUNTIF($W$7:$W$1206,$W626)&gt;1,"MÜKERRER?",IF($AD626&gt;0,"KAPALI DÖNEM",IF($I626="Hayır","ÖDENECEK","UYGUN")))),"EKSİK"))))</f>
        <v/>
      </c>
      <c r="Q626" s="6" t="n"/>
      <c r="R626" s="6" t="n"/>
      <c r="S626" s="3">
        <f>IF($L626="","",UPPER(SUBSTITUTE(SUBSTITUTE(SUBSTITUTE(SUBSTITUTE(SUBSTITUTE(SUBSTITUTE(SUBSTITUTE(SUBSTITUTE(SUBSTITUTE(SUBSTITUTE(SUBSTITUTE(SUBSTITUTE(SUBSTITUTE(SUBSTITUTE(SUBSTITUTE(SUBSTITUTE(SUBSTITUTE(SUBSTITUTE(TRIM($L626),"'",""),"İ","I"),"ı","I"),"i","I"),"Ş","S"),"ş","S"),"Ğ","G"),"ğ","G"),"Ü","U"),"ü","U"),"Ö","O"),"ö","O"),"Ç","C"),"ç","C"),".",""),",","")," ",""),"-","")))</f>
        <v/>
      </c>
      <c r="T626" s="3">
        <f>IF(OR($C626="",$D626&lt;&gt;"Gelir",$L626=""),"",IFERROR(INDEX(MUSTERILER!$B$7:$B$106,MATCH($S626,MUSTERILER!$T$7:$T$106,0)),""))</f>
        <v/>
      </c>
      <c r="U626" s="3">
        <f>IF($T626="","",$T626&amp;"|"&amp;COUNTIFS($T$7:$T626,$T626))</f>
        <v/>
      </c>
      <c r="V626" s="3">
        <f>IF($T626="",0,1)</f>
        <v/>
      </c>
      <c r="W626" s="3">
        <f>IF($C626="","",$D626&amp;"|"&amp;$E626&amp;"|"&amp;TEXT($C626,"0")&amp;"|"&amp;TEXT($G626,"0")&amp;"|"&amp;$J626)</f>
        <v/>
      </c>
      <c r="X626" s="3" t="n"/>
      <c r="Y626" s="3" t="n"/>
      <c r="Z626" s="3" t="n"/>
      <c r="AA626" s="3" t="n"/>
      <c r="AB626" s="3" t="n"/>
      <c r="AC626" s="3" t="n"/>
      <c r="AD626" s="3">
        <f>IF($C626="",0,SUMPRODUCT((AY_SONU!$O$7:$O$42="Evet")*(AY_SONU!$B$7:$B$42=DATE(YEAR($C626),MONTH($C626),1))))</f>
        <v/>
      </c>
    </row>
    <row r="627">
      <c r="A627" s="6" t="n"/>
      <c r="B627" s="113">
        <f>IF($C627="","","GG"&amp;TEXT(ROW()-6,"00000"))</f>
        <v/>
      </c>
      <c r="C627" s="220" t="n"/>
      <c r="D627" s="108" t="n"/>
      <c r="E627" s="109" t="n"/>
      <c r="F627" s="109" t="n"/>
      <c r="G627" s="221" t="n"/>
      <c r="H627" s="108" t="n"/>
      <c r="I627" s="108" t="n"/>
      <c r="J627" s="109" t="n"/>
      <c r="K627" s="109" t="n"/>
      <c r="L627" s="108" t="n"/>
      <c r="M627" s="121">
        <f>IF($C627="","",IF($D627="Gider",$E627,IF($L627&lt;&gt;"",$L627,$H627)))</f>
        <v/>
      </c>
      <c r="N627" s="121">
        <f>IF($C627="","",IF($D627="Gider",$H627,$E627))</f>
        <v/>
      </c>
      <c r="O627" s="226">
        <f>IF($C627="","",DATE(YEAR($C627),MONTH($C627),1))</f>
        <v/>
      </c>
      <c r="P627" s="113">
        <f>IF($C627="","",IF(AND($D627="Gelir",$L627&lt;&gt;"",$T627=""),"TANIMSIZ BORÇLU",IF($T627&lt;&gt;"",IF(OR($E627="",$G627&lt;=0),"EKSİK",IF($I627="Evet","TAHAKKUK NAKİT OLAMAZ",IF($C627&gt;TODAY(),"İLERİ TARİH","TAHAKKUK"))),IF(AND($D627&lt;&gt;"",$E627&lt;&gt;"",$G627&gt;0,$H627&lt;&gt;"",$I627&lt;&gt;""),IF($C627&gt;TODAY(),"İLERİ TARİH",IF(COUNTIF($W$7:$W$1206,$W627)&gt;1,"MÜKERRER?",IF($AD627&gt;0,"KAPALI DÖNEM",IF($I627="Hayır","ÖDENECEK","UYGUN")))),"EKSİK"))))</f>
        <v/>
      </c>
      <c r="Q627" s="6" t="n"/>
      <c r="R627" s="6" t="n"/>
      <c r="S627" s="3">
        <f>IF($L627="","",UPPER(SUBSTITUTE(SUBSTITUTE(SUBSTITUTE(SUBSTITUTE(SUBSTITUTE(SUBSTITUTE(SUBSTITUTE(SUBSTITUTE(SUBSTITUTE(SUBSTITUTE(SUBSTITUTE(SUBSTITUTE(SUBSTITUTE(SUBSTITUTE(SUBSTITUTE(SUBSTITUTE(SUBSTITUTE(SUBSTITUTE(TRIM($L627),"'",""),"İ","I"),"ı","I"),"i","I"),"Ş","S"),"ş","S"),"Ğ","G"),"ğ","G"),"Ü","U"),"ü","U"),"Ö","O"),"ö","O"),"Ç","C"),"ç","C"),".",""),",","")," ",""),"-","")))</f>
        <v/>
      </c>
      <c r="T627" s="3">
        <f>IF(OR($C627="",$D627&lt;&gt;"Gelir",$L627=""),"",IFERROR(INDEX(MUSTERILER!$B$7:$B$106,MATCH($S627,MUSTERILER!$T$7:$T$106,0)),""))</f>
        <v/>
      </c>
      <c r="U627" s="3">
        <f>IF($T627="","",$T627&amp;"|"&amp;COUNTIFS($T$7:$T627,$T627))</f>
        <v/>
      </c>
      <c r="V627" s="3">
        <f>IF($T627="",0,1)</f>
        <v/>
      </c>
      <c r="W627" s="3">
        <f>IF($C627="","",$D627&amp;"|"&amp;$E627&amp;"|"&amp;TEXT($C627,"0")&amp;"|"&amp;TEXT($G627,"0")&amp;"|"&amp;$J627)</f>
        <v/>
      </c>
      <c r="X627" s="3" t="n"/>
      <c r="Y627" s="3" t="n"/>
      <c r="Z627" s="3" t="n"/>
      <c r="AA627" s="3" t="n"/>
      <c r="AB627" s="3" t="n"/>
      <c r="AC627" s="3" t="n"/>
      <c r="AD627" s="3">
        <f>IF($C627="",0,SUMPRODUCT((AY_SONU!$O$7:$O$42="Evet")*(AY_SONU!$B$7:$B$42=DATE(YEAR($C627),MONTH($C627),1))))</f>
        <v/>
      </c>
    </row>
    <row r="628">
      <c r="A628" s="6" t="n"/>
      <c r="B628" s="113">
        <f>IF($C628="","","GG"&amp;TEXT(ROW()-6,"00000"))</f>
        <v/>
      </c>
      <c r="C628" s="220" t="n"/>
      <c r="D628" s="108" t="n"/>
      <c r="E628" s="109" t="n"/>
      <c r="F628" s="109" t="n"/>
      <c r="G628" s="221" t="n"/>
      <c r="H628" s="108" t="n"/>
      <c r="I628" s="108" t="n"/>
      <c r="J628" s="109" t="n"/>
      <c r="K628" s="109" t="n"/>
      <c r="L628" s="108" t="n"/>
      <c r="M628" s="121">
        <f>IF($C628="","",IF($D628="Gider",$E628,IF($L628&lt;&gt;"",$L628,$H628)))</f>
        <v/>
      </c>
      <c r="N628" s="121">
        <f>IF($C628="","",IF($D628="Gider",$H628,$E628))</f>
        <v/>
      </c>
      <c r="O628" s="226">
        <f>IF($C628="","",DATE(YEAR($C628),MONTH($C628),1))</f>
        <v/>
      </c>
      <c r="P628" s="113">
        <f>IF($C628="","",IF(AND($D628="Gelir",$L628&lt;&gt;"",$T628=""),"TANIMSIZ BORÇLU",IF($T628&lt;&gt;"",IF(OR($E628="",$G628&lt;=0),"EKSİK",IF($I628="Evet","TAHAKKUK NAKİT OLAMAZ",IF($C628&gt;TODAY(),"İLERİ TARİH","TAHAKKUK"))),IF(AND($D628&lt;&gt;"",$E628&lt;&gt;"",$G628&gt;0,$H628&lt;&gt;"",$I628&lt;&gt;""),IF($C628&gt;TODAY(),"İLERİ TARİH",IF(COUNTIF($W$7:$W$1206,$W628)&gt;1,"MÜKERRER?",IF($AD628&gt;0,"KAPALI DÖNEM",IF($I628="Hayır","ÖDENECEK","UYGUN")))),"EKSİK"))))</f>
        <v/>
      </c>
      <c r="Q628" s="6" t="n"/>
      <c r="R628" s="6" t="n"/>
      <c r="S628" s="3">
        <f>IF($L628="","",UPPER(SUBSTITUTE(SUBSTITUTE(SUBSTITUTE(SUBSTITUTE(SUBSTITUTE(SUBSTITUTE(SUBSTITUTE(SUBSTITUTE(SUBSTITUTE(SUBSTITUTE(SUBSTITUTE(SUBSTITUTE(SUBSTITUTE(SUBSTITUTE(SUBSTITUTE(SUBSTITUTE(SUBSTITUTE(SUBSTITUTE(TRIM($L628),"'",""),"İ","I"),"ı","I"),"i","I"),"Ş","S"),"ş","S"),"Ğ","G"),"ğ","G"),"Ü","U"),"ü","U"),"Ö","O"),"ö","O"),"Ç","C"),"ç","C"),".",""),",","")," ",""),"-","")))</f>
        <v/>
      </c>
      <c r="T628" s="3">
        <f>IF(OR($C628="",$D628&lt;&gt;"Gelir",$L628=""),"",IFERROR(INDEX(MUSTERILER!$B$7:$B$106,MATCH($S628,MUSTERILER!$T$7:$T$106,0)),""))</f>
        <v/>
      </c>
      <c r="U628" s="3">
        <f>IF($T628="","",$T628&amp;"|"&amp;COUNTIFS($T$7:$T628,$T628))</f>
        <v/>
      </c>
      <c r="V628" s="3">
        <f>IF($T628="",0,1)</f>
        <v/>
      </c>
      <c r="W628" s="3">
        <f>IF($C628="","",$D628&amp;"|"&amp;$E628&amp;"|"&amp;TEXT($C628,"0")&amp;"|"&amp;TEXT($G628,"0")&amp;"|"&amp;$J628)</f>
        <v/>
      </c>
      <c r="X628" s="3" t="n"/>
      <c r="Y628" s="3" t="n"/>
      <c r="Z628" s="3" t="n"/>
      <c r="AA628" s="3" t="n"/>
      <c r="AB628" s="3" t="n"/>
      <c r="AC628" s="3" t="n"/>
      <c r="AD628" s="3">
        <f>IF($C628="",0,SUMPRODUCT((AY_SONU!$O$7:$O$42="Evet")*(AY_SONU!$B$7:$B$42=DATE(YEAR($C628),MONTH($C628),1))))</f>
        <v/>
      </c>
    </row>
    <row r="629">
      <c r="A629" s="6" t="n"/>
      <c r="B629" s="113">
        <f>IF($C629="","","GG"&amp;TEXT(ROW()-6,"00000"))</f>
        <v/>
      </c>
      <c r="C629" s="220" t="n"/>
      <c r="D629" s="108" t="n"/>
      <c r="E629" s="109" t="n"/>
      <c r="F629" s="109" t="n"/>
      <c r="G629" s="221" t="n"/>
      <c r="H629" s="108" t="n"/>
      <c r="I629" s="108" t="n"/>
      <c r="J629" s="109" t="n"/>
      <c r="K629" s="109" t="n"/>
      <c r="L629" s="108" t="n"/>
      <c r="M629" s="121">
        <f>IF($C629="","",IF($D629="Gider",$E629,IF($L629&lt;&gt;"",$L629,$H629)))</f>
        <v/>
      </c>
      <c r="N629" s="121">
        <f>IF($C629="","",IF($D629="Gider",$H629,$E629))</f>
        <v/>
      </c>
      <c r="O629" s="226">
        <f>IF($C629="","",DATE(YEAR($C629),MONTH($C629),1))</f>
        <v/>
      </c>
      <c r="P629" s="113">
        <f>IF($C629="","",IF(AND($D629="Gelir",$L629&lt;&gt;"",$T629=""),"TANIMSIZ BORÇLU",IF($T629&lt;&gt;"",IF(OR($E629="",$G629&lt;=0),"EKSİK",IF($I629="Evet","TAHAKKUK NAKİT OLAMAZ",IF($C629&gt;TODAY(),"İLERİ TARİH","TAHAKKUK"))),IF(AND($D629&lt;&gt;"",$E629&lt;&gt;"",$G629&gt;0,$H629&lt;&gt;"",$I629&lt;&gt;""),IF($C629&gt;TODAY(),"İLERİ TARİH",IF(COUNTIF($W$7:$W$1206,$W629)&gt;1,"MÜKERRER?",IF($AD629&gt;0,"KAPALI DÖNEM",IF($I629="Hayır","ÖDENECEK","UYGUN")))),"EKSİK"))))</f>
        <v/>
      </c>
      <c r="Q629" s="6" t="n"/>
      <c r="R629" s="6" t="n"/>
      <c r="S629" s="3">
        <f>IF($L629="","",UPPER(SUBSTITUTE(SUBSTITUTE(SUBSTITUTE(SUBSTITUTE(SUBSTITUTE(SUBSTITUTE(SUBSTITUTE(SUBSTITUTE(SUBSTITUTE(SUBSTITUTE(SUBSTITUTE(SUBSTITUTE(SUBSTITUTE(SUBSTITUTE(SUBSTITUTE(SUBSTITUTE(SUBSTITUTE(SUBSTITUTE(TRIM($L629),"'",""),"İ","I"),"ı","I"),"i","I"),"Ş","S"),"ş","S"),"Ğ","G"),"ğ","G"),"Ü","U"),"ü","U"),"Ö","O"),"ö","O"),"Ç","C"),"ç","C"),".",""),",","")," ",""),"-","")))</f>
        <v/>
      </c>
      <c r="T629" s="3">
        <f>IF(OR($C629="",$D629&lt;&gt;"Gelir",$L629=""),"",IFERROR(INDEX(MUSTERILER!$B$7:$B$106,MATCH($S629,MUSTERILER!$T$7:$T$106,0)),""))</f>
        <v/>
      </c>
      <c r="U629" s="3">
        <f>IF($T629="","",$T629&amp;"|"&amp;COUNTIFS($T$7:$T629,$T629))</f>
        <v/>
      </c>
      <c r="V629" s="3">
        <f>IF($T629="",0,1)</f>
        <v/>
      </c>
      <c r="W629" s="3">
        <f>IF($C629="","",$D629&amp;"|"&amp;$E629&amp;"|"&amp;TEXT($C629,"0")&amp;"|"&amp;TEXT($G629,"0")&amp;"|"&amp;$J629)</f>
        <v/>
      </c>
      <c r="X629" s="3" t="n"/>
      <c r="Y629" s="3" t="n"/>
      <c r="Z629" s="3" t="n"/>
      <c r="AA629" s="3" t="n"/>
      <c r="AB629" s="3" t="n"/>
      <c r="AC629" s="3" t="n"/>
      <c r="AD629" s="3">
        <f>IF($C629="",0,SUMPRODUCT((AY_SONU!$O$7:$O$42="Evet")*(AY_SONU!$B$7:$B$42=DATE(YEAR($C629),MONTH($C629),1))))</f>
        <v/>
      </c>
    </row>
    <row r="630">
      <c r="A630" s="6" t="n"/>
      <c r="B630" s="113">
        <f>IF($C630="","","GG"&amp;TEXT(ROW()-6,"00000"))</f>
        <v/>
      </c>
      <c r="C630" s="220" t="n"/>
      <c r="D630" s="108" t="n"/>
      <c r="E630" s="109" t="n"/>
      <c r="F630" s="109" t="n"/>
      <c r="G630" s="221" t="n"/>
      <c r="H630" s="108" t="n"/>
      <c r="I630" s="108" t="n"/>
      <c r="J630" s="109" t="n"/>
      <c r="K630" s="109" t="n"/>
      <c r="L630" s="108" t="n"/>
      <c r="M630" s="121">
        <f>IF($C630="","",IF($D630="Gider",$E630,IF($L630&lt;&gt;"",$L630,$H630)))</f>
        <v/>
      </c>
      <c r="N630" s="121">
        <f>IF($C630="","",IF($D630="Gider",$H630,$E630))</f>
        <v/>
      </c>
      <c r="O630" s="226">
        <f>IF($C630="","",DATE(YEAR($C630),MONTH($C630),1))</f>
        <v/>
      </c>
      <c r="P630" s="113">
        <f>IF($C630="","",IF(AND($D630="Gelir",$L630&lt;&gt;"",$T630=""),"TANIMSIZ BORÇLU",IF($T630&lt;&gt;"",IF(OR($E630="",$G630&lt;=0),"EKSİK",IF($I630="Evet","TAHAKKUK NAKİT OLAMAZ",IF($C630&gt;TODAY(),"İLERİ TARİH","TAHAKKUK"))),IF(AND($D630&lt;&gt;"",$E630&lt;&gt;"",$G630&gt;0,$H630&lt;&gt;"",$I630&lt;&gt;""),IF($C630&gt;TODAY(),"İLERİ TARİH",IF(COUNTIF($W$7:$W$1206,$W630)&gt;1,"MÜKERRER?",IF($AD630&gt;0,"KAPALI DÖNEM",IF($I630="Hayır","ÖDENECEK","UYGUN")))),"EKSİK"))))</f>
        <v/>
      </c>
      <c r="Q630" s="6" t="n"/>
      <c r="R630" s="6" t="n"/>
      <c r="S630" s="3">
        <f>IF($L630="","",UPPER(SUBSTITUTE(SUBSTITUTE(SUBSTITUTE(SUBSTITUTE(SUBSTITUTE(SUBSTITUTE(SUBSTITUTE(SUBSTITUTE(SUBSTITUTE(SUBSTITUTE(SUBSTITUTE(SUBSTITUTE(SUBSTITUTE(SUBSTITUTE(SUBSTITUTE(SUBSTITUTE(SUBSTITUTE(SUBSTITUTE(TRIM($L630),"'",""),"İ","I"),"ı","I"),"i","I"),"Ş","S"),"ş","S"),"Ğ","G"),"ğ","G"),"Ü","U"),"ü","U"),"Ö","O"),"ö","O"),"Ç","C"),"ç","C"),".",""),",","")," ",""),"-","")))</f>
        <v/>
      </c>
      <c r="T630" s="3">
        <f>IF(OR($C630="",$D630&lt;&gt;"Gelir",$L630=""),"",IFERROR(INDEX(MUSTERILER!$B$7:$B$106,MATCH($S630,MUSTERILER!$T$7:$T$106,0)),""))</f>
        <v/>
      </c>
      <c r="U630" s="3">
        <f>IF($T630="","",$T630&amp;"|"&amp;COUNTIFS($T$7:$T630,$T630))</f>
        <v/>
      </c>
      <c r="V630" s="3">
        <f>IF($T630="",0,1)</f>
        <v/>
      </c>
      <c r="W630" s="3">
        <f>IF($C630="","",$D630&amp;"|"&amp;$E630&amp;"|"&amp;TEXT($C630,"0")&amp;"|"&amp;TEXT($G630,"0")&amp;"|"&amp;$J630)</f>
        <v/>
      </c>
      <c r="X630" s="3" t="n"/>
      <c r="Y630" s="3" t="n"/>
      <c r="Z630" s="3" t="n"/>
      <c r="AA630" s="3" t="n"/>
      <c r="AB630" s="3" t="n"/>
      <c r="AC630" s="3" t="n"/>
      <c r="AD630" s="3">
        <f>IF($C630="",0,SUMPRODUCT((AY_SONU!$O$7:$O$42="Evet")*(AY_SONU!$B$7:$B$42=DATE(YEAR($C630),MONTH($C630),1))))</f>
        <v/>
      </c>
    </row>
    <row r="631">
      <c r="A631" s="6" t="n"/>
      <c r="B631" s="113">
        <f>IF($C631="","","GG"&amp;TEXT(ROW()-6,"00000"))</f>
        <v/>
      </c>
      <c r="C631" s="220" t="n"/>
      <c r="D631" s="108" t="n"/>
      <c r="E631" s="109" t="n"/>
      <c r="F631" s="109" t="n"/>
      <c r="G631" s="221" t="n"/>
      <c r="H631" s="108" t="n"/>
      <c r="I631" s="108" t="n"/>
      <c r="J631" s="109" t="n"/>
      <c r="K631" s="109" t="n"/>
      <c r="L631" s="108" t="n"/>
      <c r="M631" s="121">
        <f>IF($C631="","",IF($D631="Gider",$E631,IF($L631&lt;&gt;"",$L631,$H631)))</f>
        <v/>
      </c>
      <c r="N631" s="121">
        <f>IF($C631="","",IF($D631="Gider",$H631,$E631))</f>
        <v/>
      </c>
      <c r="O631" s="226">
        <f>IF($C631="","",DATE(YEAR($C631),MONTH($C631),1))</f>
        <v/>
      </c>
      <c r="P631" s="113">
        <f>IF($C631="","",IF(AND($D631="Gelir",$L631&lt;&gt;"",$T631=""),"TANIMSIZ BORÇLU",IF($T631&lt;&gt;"",IF(OR($E631="",$G631&lt;=0),"EKSİK",IF($I631="Evet","TAHAKKUK NAKİT OLAMAZ",IF($C631&gt;TODAY(),"İLERİ TARİH","TAHAKKUK"))),IF(AND($D631&lt;&gt;"",$E631&lt;&gt;"",$G631&gt;0,$H631&lt;&gt;"",$I631&lt;&gt;""),IF($C631&gt;TODAY(),"İLERİ TARİH",IF(COUNTIF($W$7:$W$1206,$W631)&gt;1,"MÜKERRER?",IF($AD631&gt;0,"KAPALI DÖNEM",IF($I631="Hayır","ÖDENECEK","UYGUN")))),"EKSİK"))))</f>
        <v/>
      </c>
      <c r="Q631" s="6" t="n"/>
      <c r="R631" s="6" t="n"/>
      <c r="S631" s="3">
        <f>IF($L631="","",UPPER(SUBSTITUTE(SUBSTITUTE(SUBSTITUTE(SUBSTITUTE(SUBSTITUTE(SUBSTITUTE(SUBSTITUTE(SUBSTITUTE(SUBSTITUTE(SUBSTITUTE(SUBSTITUTE(SUBSTITUTE(SUBSTITUTE(SUBSTITUTE(SUBSTITUTE(SUBSTITUTE(SUBSTITUTE(SUBSTITUTE(TRIM($L631),"'",""),"İ","I"),"ı","I"),"i","I"),"Ş","S"),"ş","S"),"Ğ","G"),"ğ","G"),"Ü","U"),"ü","U"),"Ö","O"),"ö","O"),"Ç","C"),"ç","C"),".",""),",","")," ",""),"-","")))</f>
        <v/>
      </c>
      <c r="T631" s="3">
        <f>IF(OR($C631="",$D631&lt;&gt;"Gelir",$L631=""),"",IFERROR(INDEX(MUSTERILER!$B$7:$B$106,MATCH($S631,MUSTERILER!$T$7:$T$106,0)),""))</f>
        <v/>
      </c>
      <c r="U631" s="3">
        <f>IF($T631="","",$T631&amp;"|"&amp;COUNTIFS($T$7:$T631,$T631))</f>
        <v/>
      </c>
      <c r="V631" s="3">
        <f>IF($T631="",0,1)</f>
        <v/>
      </c>
      <c r="W631" s="3">
        <f>IF($C631="","",$D631&amp;"|"&amp;$E631&amp;"|"&amp;TEXT($C631,"0")&amp;"|"&amp;TEXT($G631,"0")&amp;"|"&amp;$J631)</f>
        <v/>
      </c>
      <c r="X631" s="3" t="n"/>
      <c r="Y631" s="3" t="n"/>
      <c r="Z631" s="3" t="n"/>
      <c r="AA631" s="3" t="n"/>
      <c r="AB631" s="3" t="n"/>
      <c r="AC631" s="3" t="n"/>
      <c r="AD631" s="3">
        <f>IF($C631="",0,SUMPRODUCT((AY_SONU!$O$7:$O$42="Evet")*(AY_SONU!$B$7:$B$42=DATE(YEAR($C631),MONTH($C631),1))))</f>
        <v/>
      </c>
    </row>
    <row r="632">
      <c r="A632" s="6" t="n"/>
      <c r="B632" s="113">
        <f>IF($C632="","","GG"&amp;TEXT(ROW()-6,"00000"))</f>
        <v/>
      </c>
      <c r="C632" s="220" t="n"/>
      <c r="D632" s="108" t="n"/>
      <c r="E632" s="109" t="n"/>
      <c r="F632" s="109" t="n"/>
      <c r="G632" s="221" t="n"/>
      <c r="H632" s="108" t="n"/>
      <c r="I632" s="108" t="n"/>
      <c r="J632" s="109" t="n"/>
      <c r="K632" s="109" t="n"/>
      <c r="L632" s="108" t="n"/>
      <c r="M632" s="121">
        <f>IF($C632="","",IF($D632="Gider",$E632,IF($L632&lt;&gt;"",$L632,$H632)))</f>
        <v/>
      </c>
      <c r="N632" s="121">
        <f>IF($C632="","",IF($D632="Gider",$H632,$E632))</f>
        <v/>
      </c>
      <c r="O632" s="226">
        <f>IF($C632="","",DATE(YEAR($C632),MONTH($C632),1))</f>
        <v/>
      </c>
      <c r="P632" s="113">
        <f>IF($C632="","",IF(AND($D632="Gelir",$L632&lt;&gt;"",$T632=""),"TANIMSIZ BORÇLU",IF($T632&lt;&gt;"",IF(OR($E632="",$G632&lt;=0),"EKSİK",IF($I632="Evet","TAHAKKUK NAKİT OLAMAZ",IF($C632&gt;TODAY(),"İLERİ TARİH","TAHAKKUK"))),IF(AND($D632&lt;&gt;"",$E632&lt;&gt;"",$G632&gt;0,$H632&lt;&gt;"",$I632&lt;&gt;""),IF($C632&gt;TODAY(),"İLERİ TARİH",IF(COUNTIF($W$7:$W$1206,$W632)&gt;1,"MÜKERRER?",IF($AD632&gt;0,"KAPALI DÖNEM",IF($I632="Hayır","ÖDENECEK","UYGUN")))),"EKSİK"))))</f>
        <v/>
      </c>
      <c r="Q632" s="6" t="n"/>
      <c r="R632" s="6" t="n"/>
      <c r="S632" s="3">
        <f>IF($L632="","",UPPER(SUBSTITUTE(SUBSTITUTE(SUBSTITUTE(SUBSTITUTE(SUBSTITUTE(SUBSTITUTE(SUBSTITUTE(SUBSTITUTE(SUBSTITUTE(SUBSTITUTE(SUBSTITUTE(SUBSTITUTE(SUBSTITUTE(SUBSTITUTE(SUBSTITUTE(SUBSTITUTE(SUBSTITUTE(SUBSTITUTE(TRIM($L632),"'",""),"İ","I"),"ı","I"),"i","I"),"Ş","S"),"ş","S"),"Ğ","G"),"ğ","G"),"Ü","U"),"ü","U"),"Ö","O"),"ö","O"),"Ç","C"),"ç","C"),".",""),",","")," ",""),"-","")))</f>
        <v/>
      </c>
      <c r="T632" s="3">
        <f>IF(OR($C632="",$D632&lt;&gt;"Gelir",$L632=""),"",IFERROR(INDEX(MUSTERILER!$B$7:$B$106,MATCH($S632,MUSTERILER!$T$7:$T$106,0)),""))</f>
        <v/>
      </c>
      <c r="U632" s="3">
        <f>IF($T632="","",$T632&amp;"|"&amp;COUNTIFS($T$7:$T632,$T632))</f>
        <v/>
      </c>
      <c r="V632" s="3">
        <f>IF($T632="",0,1)</f>
        <v/>
      </c>
      <c r="W632" s="3">
        <f>IF($C632="","",$D632&amp;"|"&amp;$E632&amp;"|"&amp;TEXT($C632,"0")&amp;"|"&amp;TEXT($G632,"0")&amp;"|"&amp;$J632)</f>
        <v/>
      </c>
      <c r="X632" s="3" t="n"/>
      <c r="Y632" s="3" t="n"/>
      <c r="Z632" s="3" t="n"/>
      <c r="AA632" s="3" t="n"/>
      <c r="AB632" s="3" t="n"/>
      <c r="AC632" s="3" t="n"/>
      <c r="AD632" s="3">
        <f>IF($C632="",0,SUMPRODUCT((AY_SONU!$O$7:$O$42="Evet")*(AY_SONU!$B$7:$B$42=DATE(YEAR($C632),MONTH($C632),1))))</f>
        <v/>
      </c>
    </row>
    <row r="633">
      <c r="A633" s="6" t="n"/>
      <c r="B633" s="113">
        <f>IF($C633="","","GG"&amp;TEXT(ROW()-6,"00000"))</f>
        <v/>
      </c>
      <c r="C633" s="220" t="n"/>
      <c r="D633" s="108" t="n"/>
      <c r="E633" s="109" t="n"/>
      <c r="F633" s="109" t="n"/>
      <c r="G633" s="221" t="n"/>
      <c r="H633" s="108" t="n"/>
      <c r="I633" s="108" t="n"/>
      <c r="J633" s="109" t="n"/>
      <c r="K633" s="109" t="n"/>
      <c r="L633" s="108" t="n"/>
      <c r="M633" s="121">
        <f>IF($C633="","",IF($D633="Gider",$E633,IF($L633&lt;&gt;"",$L633,$H633)))</f>
        <v/>
      </c>
      <c r="N633" s="121">
        <f>IF($C633="","",IF($D633="Gider",$H633,$E633))</f>
        <v/>
      </c>
      <c r="O633" s="226">
        <f>IF($C633="","",DATE(YEAR($C633),MONTH($C633),1))</f>
        <v/>
      </c>
      <c r="P633" s="113">
        <f>IF($C633="","",IF(AND($D633="Gelir",$L633&lt;&gt;"",$T633=""),"TANIMSIZ BORÇLU",IF($T633&lt;&gt;"",IF(OR($E633="",$G633&lt;=0),"EKSİK",IF($I633="Evet","TAHAKKUK NAKİT OLAMAZ",IF($C633&gt;TODAY(),"İLERİ TARİH","TAHAKKUK"))),IF(AND($D633&lt;&gt;"",$E633&lt;&gt;"",$G633&gt;0,$H633&lt;&gt;"",$I633&lt;&gt;""),IF($C633&gt;TODAY(),"İLERİ TARİH",IF(COUNTIF($W$7:$W$1206,$W633)&gt;1,"MÜKERRER?",IF($AD633&gt;0,"KAPALI DÖNEM",IF($I633="Hayır","ÖDENECEK","UYGUN")))),"EKSİK"))))</f>
        <v/>
      </c>
      <c r="Q633" s="6" t="n"/>
      <c r="R633" s="6" t="n"/>
      <c r="S633" s="3">
        <f>IF($L633="","",UPPER(SUBSTITUTE(SUBSTITUTE(SUBSTITUTE(SUBSTITUTE(SUBSTITUTE(SUBSTITUTE(SUBSTITUTE(SUBSTITUTE(SUBSTITUTE(SUBSTITUTE(SUBSTITUTE(SUBSTITUTE(SUBSTITUTE(SUBSTITUTE(SUBSTITUTE(SUBSTITUTE(SUBSTITUTE(SUBSTITUTE(TRIM($L633),"'",""),"İ","I"),"ı","I"),"i","I"),"Ş","S"),"ş","S"),"Ğ","G"),"ğ","G"),"Ü","U"),"ü","U"),"Ö","O"),"ö","O"),"Ç","C"),"ç","C"),".",""),",","")," ",""),"-","")))</f>
        <v/>
      </c>
      <c r="T633" s="3">
        <f>IF(OR($C633="",$D633&lt;&gt;"Gelir",$L633=""),"",IFERROR(INDEX(MUSTERILER!$B$7:$B$106,MATCH($S633,MUSTERILER!$T$7:$T$106,0)),""))</f>
        <v/>
      </c>
      <c r="U633" s="3">
        <f>IF($T633="","",$T633&amp;"|"&amp;COUNTIFS($T$7:$T633,$T633))</f>
        <v/>
      </c>
      <c r="V633" s="3">
        <f>IF($T633="",0,1)</f>
        <v/>
      </c>
      <c r="W633" s="3">
        <f>IF($C633="","",$D633&amp;"|"&amp;$E633&amp;"|"&amp;TEXT($C633,"0")&amp;"|"&amp;TEXT($G633,"0")&amp;"|"&amp;$J633)</f>
        <v/>
      </c>
      <c r="X633" s="3" t="n"/>
      <c r="Y633" s="3" t="n"/>
      <c r="Z633" s="3" t="n"/>
      <c r="AA633" s="3" t="n"/>
      <c r="AB633" s="3" t="n"/>
      <c r="AC633" s="3" t="n"/>
      <c r="AD633" s="3">
        <f>IF($C633="",0,SUMPRODUCT((AY_SONU!$O$7:$O$42="Evet")*(AY_SONU!$B$7:$B$42=DATE(YEAR($C633),MONTH($C633),1))))</f>
        <v/>
      </c>
    </row>
    <row r="634">
      <c r="A634" s="6" t="n"/>
      <c r="B634" s="113">
        <f>IF($C634="","","GG"&amp;TEXT(ROW()-6,"00000"))</f>
        <v/>
      </c>
      <c r="C634" s="220" t="n"/>
      <c r="D634" s="108" t="n"/>
      <c r="E634" s="109" t="n"/>
      <c r="F634" s="109" t="n"/>
      <c r="G634" s="221" t="n"/>
      <c r="H634" s="108" t="n"/>
      <c r="I634" s="108" t="n"/>
      <c r="J634" s="109" t="n"/>
      <c r="K634" s="109" t="n"/>
      <c r="L634" s="108" t="n"/>
      <c r="M634" s="121">
        <f>IF($C634="","",IF($D634="Gider",$E634,IF($L634&lt;&gt;"",$L634,$H634)))</f>
        <v/>
      </c>
      <c r="N634" s="121">
        <f>IF($C634="","",IF($D634="Gider",$H634,$E634))</f>
        <v/>
      </c>
      <c r="O634" s="226">
        <f>IF($C634="","",DATE(YEAR($C634),MONTH($C634),1))</f>
        <v/>
      </c>
      <c r="P634" s="113">
        <f>IF($C634="","",IF(AND($D634="Gelir",$L634&lt;&gt;"",$T634=""),"TANIMSIZ BORÇLU",IF($T634&lt;&gt;"",IF(OR($E634="",$G634&lt;=0),"EKSİK",IF($I634="Evet","TAHAKKUK NAKİT OLAMAZ",IF($C634&gt;TODAY(),"İLERİ TARİH","TAHAKKUK"))),IF(AND($D634&lt;&gt;"",$E634&lt;&gt;"",$G634&gt;0,$H634&lt;&gt;"",$I634&lt;&gt;""),IF($C634&gt;TODAY(),"İLERİ TARİH",IF(COUNTIF($W$7:$W$1206,$W634)&gt;1,"MÜKERRER?",IF($AD634&gt;0,"KAPALI DÖNEM",IF($I634="Hayır","ÖDENECEK","UYGUN")))),"EKSİK"))))</f>
        <v/>
      </c>
      <c r="Q634" s="6" t="n"/>
      <c r="R634" s="6" t="n"/>
      <c r="S634" s="3">
        <f>IF($L634="","",UPPER(SUBSTITUTE(SUBSTITUTE(SUBSTITUTE(SUBSTITUTE(SUBSTITUTE(SUBSTITUTE(SUBSTITUTE(SUBSTITUTE(SUBSTITUTE(SUBSTITUTE(SUBSTITUTE(SUBSTITUTE(SUBSTITUTE(SUBSTITUTE(SUBSTITUTE(SUBSTITUTE(SUBSTITUTE(SUBSTITUTE(TRIM($L634),"'",""),"İ","I"),"ı","I"),"i","I"),"Ş","S"),"ş","S"),"Ğ","G"),"ğ","G"),"Ü","U"),"ü","U"),"Ö","O"),"ö","O"),"Ç","C"),"ç","C"),".",""),",","")," ",""),"-","")))</f>
        <v/>
      </c>
      <c r="T634" s="3">
        <f>IF(OR($C634="",$D634&lt;&gt;"Gelir",$L634=""),"",IFERROR(INDEX(MUSTERILER!$B$7:$B$106,MATCH($S634,MUSTERILER!$T$7:$T$106,0)),""))</f>
        <v/>
      </c>
      <c r="U634" s="3">
        <f>IF($T634="","",$T634&amp;"|"&amp;COUNTIFS($T$7:$T634,$T634))</f>
        <v/>
      </c>
      <c r="V634" s="3">
        <f>IF($T634="",0,1)</f>
        <v/>
      </c>
      <c r="W634" s="3">
        <f>IF($C634="","",$D634&amp;"|"&amp;$E634&amp;"|"&amp;TEXT($C634,"0")&amp;"|"&amp;TEXT($G634,"0")&amp;"|"&amp;$J634)</f>
        <v/>
      </c>
      <c r="X634" s="3" t="n"/>
      <c r="Y634" s="3" t="n"/>
      <c r="Z634" s="3" t="n"/>
      <c r="AA634" s="3" t="n"/>
      <c r="AB634" s="3" t="n"/>
      <c r="AC634" s="3" t="n"/>
      <c r="AD634" s="3">
        <f>IF($C634="",0,SUMPRODUCT((AY_SONU!$O$7:$O$42="Evet")*(AY_SONU!$B$7:$B$42=DATE(YEAR($C634),MONTH($C634),1))))</f>
        <v/>
      </c>
    </row>
    <row r="635">
      <c r="A635" s="6" t="n"/>
      <c r="B635" s="113">
        <f>IF($C635="","","GG"&amp;TEXT(ROW()-6,"00000"))</f>
        <v/>
      </c>
      <c r="C635" s="220" t="n"/>
      <c r="D635" s="108" t="n"/>
      <c r="E635" s="109" t="n"/>
      <c r="F635" s="109" t="n"/>
      <c r="G635" s="221" t="n"/>
      <c r="H635" s="108" t="n"/>
      <c r="I635" s="108" t="n"/>
      <c r="J635" s="109" t="n"/>
      <c r="K635" s="109" t="n"/>
      <c r="L635" s="108" t="n"/>
      <c r="M635" s="121">
        <f>IF($C635="","",IF($D635="Gider",$E635,IF($L635&lt;&gt;"",$L635,$H635)))</f>
        <v/>
      </c>
      <c r="N635" s="121">
        <f>IF($C635="","",IF($D635="Gider",$H635,$E635))</f>
        <v/>
      </c>
      <c r="O635" s="226">
        <f>IF($C635="","",DATE(YEAR($C635),MONTH($C635),1))</f>
        <v/>
      </c>
      <c r="P635" s="113">
        <f>IF($C635="","",IF(AND($D635="Gelir",$L635&lt;&gt;"",$T635=""),"TANIMSIZ BORÇLU",IF($T635&lt;&gt;"",IF(OR($E635="",$G635&lt;=0),"EKSİK",IF($I635="Evet","TAHAKKUK NAKİT OLAMAZ",IF($C635&gt;TODAY(),"İLERİ TARİH","TAHAKKUK"))),IF(AND($D635&lt;&gt;"",$E635&lt;&gt;"",$G635&gt;0,$H635&lt;&gt;"",$I635&lt;&gt;""),IF($C635&gt;TODAY(),"İLERİ TARİH",IF(COUNTIF($W$7:$W$1206,$W635)&gt;1,"MÜKERRER?",IF($AD635&gt;0,"KAPALI DÖNEM",IF($I635="Hayır","ÖDENECEK","UYGUN")))),"EKSİK"))))</f>
        <v/>
      </c>
      <c r="Q635" s="6" t="n"/>
      <c r="R635" s="6" t="n"/>
      <c r="S635" s="3">
        <f>IF($L635="","",UPPER(SUBSTITUTE(SUBSTITUTE(SUBSTITUTE(SUBSTITUTE(SUBSTITUTE(SUBSTITUTE(SUBSTITUTE(SUBSTITUTE(SUBSTITUTE(SUBSTITUTE(SUBSTITUTE(SUBSTITUTE(SUBSTITUTE(SUBSTITUTE(SUBSTITUTE(SUBSTITUTE(SUBSTITUTE(SUBSTITUTE(TRIM($L635),"'",""),"İ","I"),"ı","I"),"i","I"),"Ş","S"),"ş","S"),"Ğ","G"),"ğ","G"),"Ü","U"),"ü","U"),"Ö","O"),"ö","O"),"Ç","C"),"ç","C"),".",""),",","")," ",""),"-","")))</f>
        <v/>
      </c>
      <c r="T635" s="3">
        <f>IF(OR($C635="",$D635&lt;&gt;"Gelir",$L635=""),"",IFERROR(INDEX(MUSTERILER!$B$7:$B$106,MATCH($S635,MUSTERILER!$T$7:$T$106,0)),""))</f>
        <v/>
      </c>
      <c r="U635" s="3">
        <f>IF($T635="","",$T635&amp;"|"&amp;COUNTIFS($T$7:$T635,$T635))</f>
        <v/>
      </c>
      <c r="V635" s="3">
        <f>IF($T635="",0,1)</f>
        <v/>
      </c>
      <c r="W635" s="3">
        <f>IF($C635="","",$D635&amp;"|"&amp;$E635&amp;"|"&amp;TEXT($C635,"0")&amp;"|"&amp;TEXT($G635,"0")&amp;"|"&amp;$J635)</f>
        <v/>
      </c>
      <c r="X635" s="3" t="n"/>
      <c r="Y635" s="3" t="n"/>
      <c r="Z635" s="3" t="n"/>
      <c r="AA635" s="3" t="n"/>
      <c r="AB635" s="3" t="n"/>
      <c r="AC635" s="3" t="n"/>
      <c r="AD635" s="3">
        <f>IF($C635="",0,SUMPRODUCT((AY_SONU!$O$7:$O$42="Evet")*(AY_SONU!$B$7:$B$42=DATE(YEAR($C635),MONTH($C635),1))))</f>
        <v/>
      </c>
    </row>
    <row r="636">
      <c r="A636" s="6" t="n"/>
      <c r="B636" s="113">
        <f>IF($C636="","","GG"&amp;TEXT(ROW()-6,"00000"))</f>
        <v/>
      </c>
      <c r="C636" s="220" t="n"/>
      <c r="D636" s="108" t="n"/>
      <c r="E636" s="109" t="n"/>
      <c r="F636" s="109" t="n"/>
      <c r="G636" s="221" t="n"/>
      <c r="H636" s="108" t="n"/>
      <c r="I636" s="108" t="n"/>
      <c r="J636" s="109" t="n"/>
      <c r="K636" s="109" t="n"/>
      <c r="L636" s="108" t="n"/>
      <c r="M636" s="121">
        <f>IF($C636="","",IF($D636="Gider",$E636,IF($L636&lt;&gt;"",$L636,$H636)))</f>
        <v/>
      </c>
      <c r="N636" s="121">
        <f>IF($C636="","",IF($D636="Gider",$H636,$E636))</f>
        <v/>
      </c>
      <c r="O636" s="226">
        <f>IF($C636="","",DATE(YEAR($C636),MONTH($C636),1))</f>
        <v/>
      </c>
      <c r="P636" s="113">
        <f>IF($C636="","",IF(AND($D636="Gelir",$L636&lt;&gt;"",$T636=""),"TANIMSIZ BORÇLU",IF($T636&lt;&gt;"",IF(OR($E636="",$G636&lt;=0),"EKSİK",IF($I636="Evet","TAHAKKUK NAKİT OLAMAZ",IF($C636&gt;TODAY(),"İLERİ TARİH","TAHAKKUK"))),IF(AND($D636&lt;&gt;"",$E636&lt;&gt;"",$G636&gt;0,$H636&lt;&gt;"",$I636&lt;&gt;""),IF($C636&gt;TODAY(),"İLERİ TARİH",IF(COUNTIF($W$7:$W$1206,$W636)&gt;1,"MÜKERRER?",IF($AD636&gt;0,"KAPALI DÖNEM",IF($I636="Hayır","ÖDENECEK","UYGUN")))),"EKSİK"))))</f>
        <v/>
      </c>
      <c r="Q636" s="6" t="n"/>
      <c r="R636" s="6" t="n"/>
      <c r="S636" s="3">
        <f>IF($L636="","",UPPER(SUBSTITUTE(SUBSTITUTE(SUBSTITUTE(SUBSTITUTE(SUBSTITUTE(SUBSTITUTE(SUBSTITUTE(SUBSTITUTE(SUBSTITUTE(SUBSTITUTE(SUBSTITUTE(SUBSTITUTE(SUBSTITUTE(SUBSTITUTE(SUBSTITUTE(SUBSTITUTE(SUBSTITUTE(SUBSTITUTE(TRIM($L636),"'",""),"İ","I"),"ı","I"),"i","I"),"Ş","S"),"ş","S"),"Ğ","G"),"ğ","G"),"Ü","U"),"ü","U"),"Ö","O"),"ö","O"),"Ç","C"),"ç","C"),".",""),",","")," ",""),"-","")))</f>
        <v/>
      </c>
      <c r="T636" s="3">
        <f>IF(OR($C636="",$D636&lt;&gt;"Gelir",$L636=""),"",IFERROR(INDEX(MUSTERILER!$B$7:$B$106,MATCH($S636,MUSTERILER!$T$7:$T$106,0)),""))</f>
        <v/>
      </c>
      <c r="U636" s="3">
        <f>IF($T636="","",$T636&amp;"|"&amp;COUNTIFS($T$7:$T636,$T636))</f>
        <v/>
      </c>
      <c r="V636" s="3">
        <f>IF($T636="",0,1)</f>
        <v/>
      </c>
      <c r="W636" s="3">
        <f>IF($C636="","",$D636&amp;"|"&amp;$E636&amp;"|"&amp;TEXT($C636,"0")&amp;"|"&amp;TEXT($G636,"0")&amp;"|"&amp;$J636)</f>
        <v/>
      </c>
      <c r="X636" s="3" t="n"/>
      <c r="Y636" s="3" t="n"/>
      <c r="Z636" s="3" t="n"/>
      <c r="AA636" s="3" t="n"/>
      <c r="AB636" s="3" t="n"/>
      <c r="AC636" s="3" t="n"/>
      <c r="AD636" s="3">
        <f>IF($C636="",0,SUMPRODUCT((AY_SONU!$O$7:$O$42="Evet")*(AY_SONU!$B$7:$B$42=DATE(YEAR($C636),MONTH($C636),1))))</f>
        <v/>
      </c>
    </row>
    <row r="637">
      <c r="A637" s="6" t="n"/>
      <c r="B637" s="113">
        <f>IF($C637="","","GG"&amp;TEXT(ROW()-6,"00000"))</f>
        <v/>
      </c>
      <c r="C637" s="220" t="n"/>
      <c r="D637" s="108" t="n"/>
      <c r="E637" s="109" t="n"/>
      <c r="F637" s="109" t="n"/>
      <c r="G637" s="221" t="n"/>
      <c r="H637" s="108" t="n"/>
      <c r="I637" s="108" t="n"/>
      <c r="J637" s="109" t="n"/>
      <c r="K637" s="109" t="n"/>
      <c r="L637" s="108" t="n"/>
      <c r="M637" s="121">
        <f>IF($C637="","",IF($D637="Gider",$E637,IF($L637&lt;&gt;"",$L637,$H637)))</f>
        <v/>
      </c>
      <c r="N637" s="121">
        <f>IF($C637="","",IF($D637="Gider",$H637,$E637))</f>
        <v/>
      </c>
      <c r="O637" s="226">
        <f>IF($C637="","",DATE(YEAR($C637),MONTH($C637),1))</f>
        <v/>
      </c>
      <c r="P637" s="113">
        <f>IF($C637="","",IF(AND($D637="Gelir",$L637&lt;&gt;"",$T637=""),"TANIMSIZ BORÇLU",IF($T637&lt;&gt;"",IF(OR($E637="",$G637&lt;=0),"EKSİK",IF($I637="Evet","TAHAKKUK NAKİT OLAMAZ",IF($C637&gt;TODAY(),"İLERİ TARİH","TAHAKKUK"))),IF(AND($D637&lt;&gt;"",$E637&lt;&gt;"",$G637&gt;0,$H637&lt;&gt;"",$I637&lt;&gt;""),IF($C637&gt;TODAY(),"İLERİ TARİH",IF(COUNTIF($W$7:$W$1206,$W637)&gt;1,"MÜKERRER?",IF($AD637&gt;0,"KAPALI DÖNEM",IF($I637="Hayır","ÖDENECEK","UYGUN")))),"EKSİK"))))</f>
        <v/>
      </c>
      <c r="Q637" s="6" t="n"/>
      <c r="R637" s="6" t="n"/>
      <c r="S637" s="3">
        <f>IF($L637="","",UPPER(SUBSTITUTE(SUBSTITUTE(SUBSTITUTE(SUBSTITUTE(SUBSTITUTE(SUBSTITUTE(SUBSTITUTE(SUBSTITUTE(SUBSTITUTE(SUBSTITUTE(SUBSTITUTE(SUBSTITUTE(SUBSTITUTE(SUBSTITUTE(SUBSTITUTE(SUBSTITUTE(SUBSTITUTE(SUBSTITUTE(TRIM($L637),"'",""),"İ","I"),"ı","I"),"i","I"),"Ş","S"),"ş","S"),"Ğ","G"),"ğ","G"),"Ü","U"),"ü","U"),"Ö","O"),"ö","O"),"Ç","C"),"ç","C"),".",""),",","")," ",""),"-","")))</f>
        <v/>
      </c>
      <c r="T637" s="3">
        <f>IF(OR($C637="",$D637&lt;&gt;"Gelir",$L637=""),"",IFERROR(INDEX(MUSTERILER!$B$7:$B$106,MATCH($S637,MUSTERILER!$T$7:$T$106,0)),""))</f>
        <v/>
      </c>
      <c r="U637" s="3">
        <f>IF($T637="","",$T637&amp;"|"&amp;COUNTIFS($T$7:$T637,$T637))</f>
        <v/>
      </c>
      <c r="V637" s="3">
        <f>IF($T637="",0,1)</f>
        <v/>
      </c>
      <c r="W637" s="3">
        <f>IF($C637="","",$D637&amp;"|"&amp;$E637&amp;"|"&amp;TEXT($C637,"0")&amp;"|"&amp;TEXT($G637,"0")&amp;"|"&amp;$J637)</f>
        <v/>
      </c>
      <c r="X637" s="3" t="n"/>
      <c r="Y637" s="3" t="n"/>
      <c r="Z637" s="3" t="n"/>
      <c r="AA637" s="3" t="n"/>
      <c r="AB637" s="3" t="n"/>
      <c r="AC637" s="3" t="n"/>
      <c r="AD637" s="3">
        <f>IF($C637="",0,SUMPRODUCT((AY_SONU!$O$7:$O$42="Evet")*(AY_SONU!$B$7:$B$42=DATE(YEAR($C637),MONTH($C637),1))))</f>
        <v/>
      </c>
    </row>
    <row r="638">
      <c r="A638" s="6" t="n"/>
      <c r="B638" s="113">
        <f>IF($C638="","","GG"&amp;TEXT(ROW()-6,"00000"))</f>
        <v/>
      </c>
      <c r="C638" s="220" t="n"/>
      <c r="D638" s="108" t="n"/>
      <c r="E638" s="109" t="n"/>
      <c r="F638" s="109" t="n"/>
      <c r="G638" s="221" t="n"/>
      <c r="H638" s="108" t="n"/>
      <c r="I638" s="108" t="n"/>
      <c r="J638" s="109" t="n"/>
      <c r="K638" s="109" t="n"/>
      <c r="L638" s="108" t="n"/>
      <c r="M638" s="121">
        <f>IF($C638="","",IF($D638="Gider",$E638,IF($L638&lt;&gt;"",$L638,$H638)))</f>
        <v/>
      </c>
      <c r="N638" s="121">
        <f>IF($C638="","",IF($D638="Gider",$H638,$E638))</f>
        <v/>
      </c>
      <c r="O638" s="226">
        <f>IF($C638="","",DATE(YEAR($C638),MONTH($C638),1))</f>
        <v/>
      </c>
      <c r="P638" s="113">
        <f>IF($C638="","",IF(AND($D638="Gelir",$L638&lt;&gt;"",$T638=""),"TANIMSIZ BORÇLU",IF($T638&lt;&gt;"",IF(OR($E638="",$G638&lt;=0),"EKSİK",IF($I638="Evet","TAHAKKUK NAKİT OLAMAZ",IF($C638&gt;TODAY(),"İLERİ TARİH","TAHAKKUK"))),IF(AND($D638&lt;&gt;"",$E638&lt;&gt;"",$G638&gt;0,$H638&lt;&gt;"",$I638&lt;&gt;""),IF($C638&gt;TODAY(),"İLERİ TARİH",IF(COUNTIF($W$7:$W$1206,$W638)&gt;1,"MÜKERRER?",IF($AD638&gt;0,"KAPALI DÖNEM",IF($I638="Hayır","ÖDENECEK","UYGUN")))),"EKSİK"))))</f>
        <v/>
      </c>
      <c r="Q638" s="6" t="n"/>
      <c r="R638" s="6" t="n"/>
      <c r="S638" s="3">
        <f>IF($L638="","",UPPER(SUBSTITUTE(SUBSTITUTE(SUBSTITUTE(SUBSTITUTE(SUBSTITUTE(SUBSTITUTE(SUBSTITUTE(SUBSTITUTE(SUBSTITUTE(SUBSTITUTE(SUBSTITUTE(SUBSTITUTE(SUBSTITUTE(SUBSTITUTE(SUBSTITUTE(SUBSTITUTE(SUBSTITUTE(SUBSTITUTE(TRIM($L638),"'",""),"İ","I"),"ı","I"),"i","I"),"Ş","S"),"ş","S"),"Ğ","G"),"ğ","G"),"Ü","U"),"ü","U"),"Ö","O"),"ö","O"),"Ç","C"),"ç","C"),".",""),",","")," ",""),"-","")))</f>
        <v/>
      </c>
      <c r="T638" s="3">
        <f>IF(OR($C638="",$D638&lt;&gt;"Gelir",$L638=""),"",IFERROR(INDEX(MUSTERILER!$B$7:$B$106,MATCH($S638,MUSTERILER!$T$7:$T$106,0)),""))</f>
        <v/>
      </c>
      <c r="U638" s="3">
        <f>IF($T638="","",$T638&amp;"|"&amp;COUNTIFS($T$7:$T638,$T638))</f>
        <v/>
      </c>
      <c r="V638" s="3">
        <f>IF($T638="",0,1)</f>
        <v/>
      </c>
      <c r="W638" s="3">
        <f>IF($C638="","",$D638&amp;"|"&amp;$E638&amp;"|"&amp;TEXT($C638,"0")&amp;"|"&amp;TEXT($G638,"0")&amp;"|"&amp;$J638)</f>
        <v/>
      </c>
      <c r="X638" s="3" t="n"/>
      <c r="Y638" s="3" t="n"/>
      <c r="Z638" s="3" t="n"/>
      <c r="AA638" s="3" t="n"/>
      <c r="AB638" s="3" t="n"/>
      <c r="AC638" s="3" t="n"/>
      <c r="AD638" s="3">
        <f>IF($C638="",0,SUMPRODUCT((AY_SONU!$O$7:$O$42="Evet")*(AY_SONU!$B$7:$B$42=DATE(YEAR($C638),MONTH($C638),1))))</f>
        <v/>
      </c>
    </row>
    <row r="639">
      <c r="A639" s="6" t="n"/>
      <c r="B639" s="113">
        <f>IF($C639="","","GG"&amp;TEXT(ROW()-6,"00000"))</f>
        <v/>
      </c>
      <c r="C639" s="220" t="n"/>
      <c r="D639" s="108" t="n"/>
      <c r="E639" s="109" t="n"/>
      <c r="F639" s="109" t="n"/>
      <c r="G639" s="221" t="n"/>
      <c r="H639" s="108" t="n"/>
      <c r="I639" s="108" t="n"/>
      <c r="J639" s="109" t="n"/>
      <c r="K639" s="109" t="n"/>
      <c r="L639" s="108" t="n"/>
      <c r="M639" s="121">
        <f>IF($C639="","",IF($D639="Gider",$E639,IF($L639&lt;&gt;"",$L639,$H639)))</f>
        <v/>
      </c>
      <c r="N639" s="121">
        <f>IF($C639="","",IF($D639="Gider",$H639,$E639))</f>
        <v/>
      </c>
      <c r="O639" s="226">
        <f>IF($C639="","",DATE(YEAR($C639),MONTH($C639),1))</f>
        <v/>
      </c>
      <c r="P639" s="113">
        <f>IF($C639="","",IF(AND($D639="Gelir",$L639&lt;&gt;"",$T639=""),"TANIMSIZ BORÇLU",IF($T639&lt;&gt;"",IF(OR($E639="",$G639&lt;=0),"EKSİK",IF($I639="Evet","TAHAKKUK NAKİT OLAMAZ",IF($C639&gt;TODAY(),"İLERİ TARİH","TAHAKKUK"))),IF(AND($D639&lt;&gt;"",$E639&lt;&gt;"",$G639&gt;0,$H639&lt;&gt;"",$I639&lt;&gt;""),IF($C639&gt;TODAY(),"İLERİ TARİH",IF(COUNTIF($W$7:$W$1206,$W639)&gt;1,"MÜKERRER?",IF($AD639&gt;0,"KAPALI DÖNEM",IF($I639="Hayır","ÖDENECEK","UYGUN")))),"EKSİK"))))</f>
        <v/>
      </c>
      <c r="Q639" s="6" t="n"/>
      <c r="R639" s="6" t="n"/>
      <c r="S639" s="3">
        <f>IF($L639="","",UPPER(SUBSTITUTE(SUBSTITUTE(SUBSTITUTE(SUBSTITUTE(SUBSTITUTE(SUBSTITUTE(SUBSTITUTE(SUBSTITUTE(SUBSTITUTE(SUBSTITUTE(SUBSTITUTE(SUBSTITUTE(SUBSTITUTE(SUBSTITUTE(SUBSTITUTE(SUBSTITUTE(SUBSTITUTE(SUBSTITUTE(TRIM($L639),"'",""),"İ","I"),"ı","I"),"i","I"),"Ş","S"),"ş","S"),"Ğ","G"),"ğ","G"),"Ü","U"),"ü","U"),"Ö","O"),"ö","O"),"Ç","C"),"ç","C"),".",""),",","")," ",""),"-","")))</f>
        <v/>
      </c>
      <c r="T639" s="3">
        <f>IF(OR($C639="",$D639&lt;&gt;"Gelir",$L639=""),"",IFERROR(INDEX(MUSTERILER!$B$7:$B$106,MATCH($S639,MUSTERILER!$T$7:$T$106,0)),""))</f>
        <v/>
      </c>
      <c r="U639" s="3">
        <f>IF($T639="","",$T639&amp;"|"&amp;COUNTIFS($T$7:$T639,$T639))</f>
        <v/>
      </c>
      <c r="V639" s="3">
        <f>IF($T639="",0,1)</f>
        <v/>
      </c>
      <c r="W639" s="3">
        <f>IF($C639="","",$D639&amp;"|"&amp;$E639&amp;"|"&amp;TEXT($C639,"0")&amp;"|"&amp;TEXT($G639,"0")&amp;"|"&amp;$J639)</f>
        <v/>
      </c>
      <c r="X639" s="3" t="n"/>
      <c r="Y639" s="3" t="n"/>
      <c r="Z639" s="3" t="n"/>
      <c r="AA639" s="3" t="n"/>
      <c r="AB639" s="3" t="n"/>
      <c r="AC639" s="3" t="n"/>
      <c r="AD639" s="3">
        <f>IF($C639="",0,SUMPRODUCT((AY_SONU!$O$7:$O$42="Evet")*(AY_SONU!$B$7:$B$42=DATE(YEAR($C639),MONTH($C639),1))))</f>
        <v/>
      </c>
    </row>
    <row r="640">
      <c r="A640" s="6" t="n"/>
      <c r="B640" s="113">
        <f>IF($C640="","","GG"&amp;TEXT(ROW()-6,"00000"))</f>
        <v/>
      </c>
      <c r="C640" s="220" t="n"/>
      <c r="D640" s="108" t="n"/>
      <c r="E640" s="109" t="n"/>
      <c r="F640" s="109" t="n"/>
      <c r="G640" s="221" t="n"/>
      <c r="H640" s="108" t="n"/>
      <c r="I640" s="108" t="n"/>
      <c r="J640" s="109" t="n"/>
      <c r="K640" s="109" t="n"/>
      <c r="L640" s="108" t="n"/>
      <c r="M640" s="121">
        <f>IF($C640="","",IF($D640="Gider",$E640,IF($L640&lt;&gt;"",$L640,$H640)))</f>
        <v/>
      </c>
      <c r="N640" s="121">
        <f>IF($C640="","",IF($D640="Gider",$H640,$E640))</f>
        <v/>
      </c>
      <c r="O640" s="226">
        <f>IF($C640="","",DATE(YEAR($C640),MONTH($C640),1))</f>
        <v/>
      </c>
      <c r="P640" s="113">
        <f>IF($C640="","",IF(AND($D640="Gelir",$L640&lt;&gt;"",$T640=""),"TANIMSIZ BORÇLU",IF($T640&lt;&gt;"",IF(OR($E640="",$G640&lt;=0),"EKSİK",IF($I640="Evet","TAHAKKUK NAKİT OLAMAZ",IF($C640&gt;TODAY(),"İLERİ TARİH","TAHAKKUK"))),IF(AND($D640&lt;&gt;"",$E640&lt;&gt;"",$G640&gt;0,$H640&lt;&gt;"",$I640&lt;&gt;""),IF($C640&gt;TODAY(),"İLERİ TARİH",IF(COUNTIF($W$7:$W$1206,$W640)&gt;1,"MÜKERRER?",IF($AD640&gt;0,"KAPALI DÖNEM",IF($I640="Hayır","ÖDENECEK","UYGUN")))),"EKSİK"))))</f>
        <v/>
      </c>
      <c r="Q640" s="6" t="n"/>
      <c r="R640" s="6" t="n"/>
      <c r="S640" s="3">
        <f>IF($L640="","",UPPER(SUBSTITUTE(SUBSTITUTE(SUBSTITUTE(SUBSTITUTE(SUBSTITUTE(SUBSTITUTE(SUBSTITUTE(SUBSTITUTE(SUBSTITUTE(SUBSTITUTE(SUBSTITUTE(SUBSTITUTE(SUBSTITUTE(SUBSTITUTE(SUBSTITUTE(SUBSTITUTE(SUBSTITUTE(SUBSTITUTE(TRIM($L640),"'",""),"İ","I"),"ı","I"),"i","I"),"Ş","S"),"ş","S"),"Ğ","G"),"ğ","G"),"Ü","U"),"ü","U"),"Ö","O"),"ö","O"),"Ç","C"),"ç","C"),".",""),",","")," ",""),"-","")))</f>
        <v/>
      </c>
      <c r="T640" s="3">
        <f>IF(OR($C640="",$D640&lt;&gt;"Gelir",$L640=""),"",IFERROR(INDEX(MUSTERILER!$B$7:$B$106,MATCH($S640,MUSTERILER!$T$7:$T$106,0)),""))</f>
        <v/>
      </c>
      <c r="U640" s="3">
        <f>IF($T640="","",$T640&amp;"|"&amp;COUNTIFS($T$7:$T640,$T640))</f>
        <v/>
      </c>
      <c r="V640" s="3">
        <f>IF($T640="",0,1)</f>
        <v/>
      </c>
      <c r="W640" s="3">
        <f>IF($C640="","",$D640&amp;"|"&amp;$E640&amp;"|"&amp;TEXT($C640,"0")&amp;"|"&amp;TEXT($G640,"0")&amp;"|"&amp;$J640)</f>
        <v/>
      </c>
      <c r="X640" s="3" t="n"/>
      <c r="Y640" s="3" t="n"/>
      <c r="Z640" s="3" t="n"/>
      <c r="AA640" s="3" t="n"/>
      <c r="AB640" s="3" t="n"/>
      <c r="AC640" s="3" t="n"/>
      <c r="AD640" s="3">
        <f>IF($C640="",0,SUMPRODUCT((AY_SONU!$O$7:$O$42="Evet")*(AY_SONU!$B$7:$B$42=DATE(YEAR($C640),MONTH($C640),1))))</f>
        <v/>
      </c>
    </row>
    <row r="641">
      <c r="A641" s="6" t="n"/>
      <c r="B641" s="113">
        <f>IF($C641="","","GG"&amp;TEXT(ROW()-6,"00000"))</f>
        <v/>
      </c>
      <c r="C641" s="220" t="n"/>
      <c r="D641" s="108" t="n"/>
      <c r="E641" s="109" t="n"/>
      <c r="F641" s="109" t="n"/>
      <c r="G641" s="221" t="n"/>
      <c r="H641" s="108" t="n"/>
      <c r="I641" s="108" t="n"/>
      <c r="J641" s="109" t="n"/>
      <c r="K641" s="109" t="n"/>
      <c r="L641" s="108" t="n"/>
      <c r="M641" s="121">
        <f>IF($C641="","",IF($D641="Gider",$E641,IF($L641&lt;&gt;"",$L641,$H641)))</f>
        <v/>
      </c>
      <c r="N641" s="121">
        <f>IF($C641="","",IF($D641="Gider",$H641,$E641))</f>
        <v/>
      </c>
      <c r="O641" s="226">
        <f>IF($C641="","",DATE(YEAR($C641),MONTH($C641),1))</f>
        <v/>
      </c>
      <c r="P641" s="113">
        <f>IF($C641="","",IF(AND($D641="Gelir",$L641&lt;&gt;"",$T641=""),"TANIMSIZ BORÇLU",IF($T641&lt;&gt;"",IF(OR($E641="",$G641&lt;=0),"EKSİK",IF($I641="Evet","TAHAKKUK NAKİT OLAMAZ",IF($C641&gt;TODAY(),"İLERİ TARİH","TAHAKKUK"))),IF(AND($D641&lt;&gt;"",$E641&lt;&gt;"",$G641&gt;0,$H641&lt;&gt;"",$I641&lt;&gt;""),IF($C641&gt;TODAY(),"İLERİ TARİH",IF(COUNTIF($W$7:$W$1206,$W641)&gt;1,"MÜKERRER?",IF($AD641&gt;0,"KAPALI DÖNEM",IF($I641="Hayır","ÖDENECEK","UYGUN")))),"EKSİK"))))</f>
        <v/>
      </c>
      <c r="Q641" s="6" t="n"/>
      <c r="R641" s="6" t="n"/>
      <c r="S641" s="3">
        <f>IF($L641="","",UPPER(SUBSTITUTE(SUBSTITUTE(SUBSTITUTE(SUBSTITUTE(SUBSTITUTE(SUBSTITUTE(SUBSTITUTE(SUBSTITUTE(SUBSTITUTE(SUBSTITUTE(SUBSTITUTE(SUBSTITUTE(SUBSTITUTE(SUBSTITUTE(SUBSTITUTE(SUBSTITUTE(SUBSTITUTE(SUBSTITUTE(TRIM($L641),"'",""),"İ","I"),"ı","I"),"i","I"),"Ş","S"),"ş","S"),"Ğ","G"),"ğ","G"),"Ü","U"),"ü","U"),"Ö","O"),"ö","O"),"Ç","C"),"ç","C"),".",""),",","")," ",""),"-","")))</f>
        <v/>
      </c>
      <c r="T641" s="3">
        <f>IF(OR($C641="",$D641&lt;&gt;"Gelir",$L641=""),"",IFERROR(INDEX(MUSTERILER!$B$7:$B$106,MATCH($S641,MUSTERILER!$T$7:$T$106,0)),""))</f>
        <v/>
      </c>
      <c r="U641" s="3">
        <f>IF($T641="","",$T641&amp;"|"&amp;COUNTIFS($T$7:$T641,$T641))</f>
        <v/>
      </c>
      <c r="V641" s="3">
        <f>IF($T641="",0,1)</f>
        <v/>
      </c>
      <c r="W641" s="3">
        <f>IF($C641="","",$D641&amp;"|"&amp;$E641&amp;"|"&amp;TEXT($C641,"0")&amp;"|"&amp;TEXT($G641,"0")&amp;"|"&amp;$J641)</f>
        <v/>
      </c>
      <c r="X641" s="3" t="n"/>
      <c r="Y641" s="3" t="n"/>
      <c r="Z641" s="3" t="n"/>
      <c r="AA641" s="3" t="n"/>
      <c r="AB641" s="3" t="n"/>
      <c r="AC641" s="3" t="n"/>
      <c r="AD641" s="3">
        <f>IF($C641="",0,SUMPRODUCT((AY_SONU!$O$7:$O$42="Evet")*(AY_SONU!$B$7:$B$42=DATE(YEAR($C641),MONTH($C641),1))))</f>
        <v/>
      </c>
    </row>
    <row r="642">
      <c r="A642" s="6" t="n"/>
      <c r="B642" s="113">
        <f>IF($C642="","","GG"&amp;TEXT(ROW()-6,"00000"))</f>
        <v/>
      </c>
      <c r="C642" s="220" t="n"/>
      <c r="D642" s="108" t="n"/>
      <c r="E642" s="109" t="n"/>
      <c r="F642" s="109" t="n"/>
      <c r="G642" s="221" t="n"/>
      <c r="H642" s="108" t="n"/>
      <c r="I642" s="108" t="n"/>
      <c r="J642" s="109" t="n"/>
      <c r="K642" s="109" t="n"/>
      <c r="L642" s="108" t="n"/>
      <c r="M642" s="121">
        <f>IF($C642="","",IF($D642="Gider",$E642,IF($L642&lt;&gt;"",$L642,$H642)))</f>
        <v/>
      </c>
      <c r="N642" s="121">
        <f>IF($C642="","",IF($D642="Gider",$H642,$E642))</f>
        <v/>
      </c>
      <c r="O642" s="226">
        <f>IF($C642="","",DATE(YEAR($C642),MONTH($C642),1))</f>
        <v/>
      </c>
      <c r="P642" s="113">
        <f>IF($C642="","",IF(AND($D642="Gelir",$L642&lt;&gt;"",$T642=""),"TANIMSIZ BORÇLU",IF($T642&lt;&gt;"",IF(OR($E642="",$G642&lt;=0),"EKSİK",IF($I642="Evet","TAHAKKUK NAKİT OLAMAZ",IF($C642&gt;TODAY(),"İLERİ TARİH","TAHAKKUK"))),IF(AND($D642&lt;&gt;"",$E642&lt;&gt;"",$G642&gt;0,$H642&lt;&gt;"",$I642&lt;&gt;""),IF($C642&gt;TODAY(),"İLERİ TARİH",IF(COUNTIF($W$7:$W$1206,$W642)&gt;1,"MÜKERRER?",IF($AD642&gt;0,"KAPALI DÖNEM",IF($I642="Hayır","ÖDENECEK","UYGUN")))),"EKSİK"))))</f>
        <v/>
      </c>
      <c r="Q642" s="6" t="n"/>
      <c r="R642" s="6" t="n"/>
      <c r="S642" s="3">
        <f>IF($L642="","",UPPER(SUBSTITUTE(SUBSTITUTE(SUBSTITUTE(SUBSTITUTE(SUBSTITUTE(SUBSTITUTE(SUBSTITUTE(SUBSTITUTE(SUBSTITUTE(SUBSTITUTE(SUBSTITUTE(SUBSTITUTE(SUBSTITUTE(SUBSTITUTE(SUBSTITUTE(SUBSTITUTE(SUBSTITUTE(SUBSTITUTE(TRIM($L642),"'",""),"İ","I"),"ı","I"),"i","I"),"Ş","S"),"ş","S"),"Ğ","G"),"ğ","G"),"Ü","U"),"ü","U"),"Ö","O"),"ö","O"),"Ç","C"),"ç","C"),".",""),",","")," ",""),"-","")))</f>
        <v/>
      </c>
      <c r="T642" s="3">
        <f>IF(OR($C642="",$D642&lt;&gt;"Gelir",$L642=""),"",IFERROR(INDEX(MUSTERILER!$B$7:$B$106,MATCH($S642,MUSTERILER!$T$7:$T$106,0)),""))</f>
        <v/>
      </c>
      <c r="U642" s="3">
        <f>IF($T642="","",$T642&amp;"|"&amp;COUNTIFS($T$7:$T642,$T642))</f>
        <v/>
      </c>
      <c r="V642" s="3">
        <f>IF($T642="",0,1)</f>
        <v/>
      </c>
      <c r="W642" s="3">
        <f>IF($C642="","",$D642&amp;"|"&amp;$E642&amp;"|"&amp;TEXT($C642,"0")&amp;"|"&amp;TEXT($G642,"0")&amp;"|"&amp;$J642)</f>
        <v/>
      </c>
      <c r="X642" s="3" t="n"/>
      <c r="Y642" s="3" t="n"/>
      <c r="Z642" s="3" t="n"/>
      <c r="AA642" s="3" t="n"/>
      <c r="AB642" s="3" t="n"/>
      <c r="AC642" s="3" t="n"/>
      <c r="AD642" s="3">
        <f>IF($C642="",0,SUMPRODUCT((AY_SONU!$O$7:$O$42="Evet")*(AY_SONU!$B$7:$B$42=DATE(YEAR($C642),MONTH($C642),1))))</f>
        <v/>
      </c>
    </row>
    <row r="643">
      <c r="A643" s="6" t="n"/>
      <c r="B643" s="113">
        <f>IF($C643="","","GG"&amp;TEXT(ROW()-6,"00000"))</f>
        <v/>
      </c>
      <c r="C643" s="220" t="n"/>
      <c r="D643" s="108" t="n"/>
      <c r="E643" s="109" t="n"/>
      <c r="F643" s="109" t="n"/>
      <c r="G643" s="221" t="n"/>
      <c r="H643" s="108" t="n"/>
      <c r="I643" s="108" t="n"/>
      <c r="J643" s="109" t="n"/>
      <c r="K643" s="109" t="n"/>
      <c r="L643" s="108" t="n"/>
      <c r="M643" s="121">
        <f>IF($C643="","",IF($D643="Gider",$E643,IF($L643&lt;&gt;"",$L643,$H643)))</f>
        <v/>
      </c>
      <c r="N643" s="121">
        <f>IF($C643="","",IF($D643="Gider",$H643,$E643))</f>
        <v/>
      </c>
      <c r="O643" s="226">
        <f>IF($C643="","",DATE(YEAR($C643),MONTH($C643),1))</f>
        <v/>
      </c>
      <c r="P643" s="113">
        <f>IF($C643="","",IF(AND($D643="Gelir",$L643&lt;&gt;"",$T643=""),"TANIMSIZ BORÇLU",IF($T643&lt;&gt;"",IF(OR($E643="",$G643&lt;=0),"EKSİK",IF($I643="Evet","TAHAKKUK NAKİT OLAMAZ",IF($C643&gt;TODAY(),"İLERİ TARİH","TAHAKKUK"))),IF(AND($D643&lt;&gt;"",$E643&lt;&gt;"",$G643&gt;0,$H643&lt;&gt;"",$I643&lt;&gt;""),IF($C643&gt;TODAY(),"İLERİ TARİH",IF(COUNTIF($W$7:$W$1206,$W643)&gt;1,"MÜKERRER?",IF($AD643&gt;0,"KAPALI DÖNEM",IF($I643="Hayır","ÖDENECEK","UYGUN")))),"EKSİK"))))</f>
        <v/>
      </c>
      <c r="Q643" s="6" t="n"/>
      <c r="R643" s="6" t="n"/>
      <c r="S643" s="3">
        <f>IF($L643="","",UPPER(SUBSTITUTE(SUBSTITUTE(SUBSTITUTE(SUBSTITUTE(SUBSTITUTE(SUBSTITUTE(SUBSTITUTE(SUBSTITUTE(SUBSTITUTE(SUBSTITUTE(SUBSTITUTE(SUBSTITUTE(SUBSTITUTE(SUBSTITUTE(SUBSTITUTE(SUBSTITUTE(SUBSTITUTE(SUBSTITUTE(TRIM($L643),"'",""),"İ","I"),"ı","I"),"i","I"),"Ş","S"),"ş","S"),"Ğ","G"),"ğ","G"),"Ü","U"),"ü","U"),"Ö","O"),"ö","O"),"Ç","C"),"ç","C"),".",""),",","")," ",""),"-","")))</f>
        <v/>
      </c>
      <c r="T643" s="3">
        <f>IF(OR($C643="",$D643&lt;&gt;"Gelir",$L643=""),"",IFERROR(INDEX(MUSTERILER!$B$7:$B$106,MATCH($S643,MUSTERILER!$T$7:$T$106,0)),""))</f>
        <v/>
      </c>
      <c r="U643" s="3">
        <f>IF($T643="","",$T643&amp;"|"&amp;COUNTIFS($T$7:$T643,$T643))</f>
        <v/>
      </c>
      <c r="V643" s="3">
        <f>IF($T643="",0,1)</f>
        <v/>
      </c>
      <c r="W643" s="3">
        <f>IF($C643="","",$D643&amp;"|"&amp;$E643&amp;"|"&amp;TEXT($C643,"0")&amp;"|"&amp;TEXT($G643,"0")&amp;"|"&amp;$J643)</f>
        <v/>
      </c>
      <c r="X643" s="3" t="n"/>
      <c r="Y643" s="3" t="n"/>
      <c r="Z643" s="3" t="n"/>
      <c r="AA643" s="3" t="n"/>
      <c r="AB643" s="3" t="n"/>
      <c r="AC643" s="3" t="n"/>
      <c r="AD643" s="3">
        <f>IF($C643="",0,SUMPRODUCT((AY_SONU!$O$7:$O$42="Evet")*(AY_SONU!$B$7:$B$42=DATE(YEAR($C643),MONTH($C643),1))))</f>
        <v/>
      </c>
    </row>
    <row r="644">
      <c r="A644" s="6" t="n"/>
      <c r="B644" s="113">
        <f>IF($C644="","","GG"&amp;TEXT(ROW()-6,"00000"))</f>
        <v/>
      </c>
      <c r="C644" s="220" t="n"/>
      <c r="D644" s="108" t="n"/>
      <c r="E644" s="109" t="n"/>
      <c r="F644" s="109" t="n"/>
      <c r="G644" s="221" t="n"/>
      <c r="H644" s="108" t="n"/>
      <c r="I644" s="108" t="n"/>
      <c r="J644" s="109" t="n"/>
      <c r="K644" s="109" t="n"/>
      <c r="L644" s="108" t="n"/>
      <c r="M644" s="121">
        <f>IF($C644="","",IF($D644="Gider",$E644,IF($L644&lt;&gt;"",$L644,$H644)))</f>
        <v/>
      </c>
      <c r="N644" s="121">
        <f>IF($C644="","",IF($D644="Gider",$H644,$E644))</f>
        <v/>
      </c>
      <c r="O644" s="226">
        <f>IF($C644="","",DATE(YEAR($C644),MONTH($C644),1))</f>
        <v/>
      </c>
      <c r="P644" s="113">
        <f>IF($C644="","",IF(AND($D644="Gelir",$L644&lt;&gt;"",$T644=""),"TANIMSIZ BORÇLU",IF($T644&lt;&gt;"",IF(OR($E644="",$G644&lt;=0),"EKSİK",IF($I644="Evet","TAHAKKUK NAKİT OLAMAZ",IF($C644&gt;TODAY(),"İLERİ TARİH","TAHAKKUK"))),IF(AND($D644&lt;&gt;"",$E644&lt;&gt;"",$G644&gt;0,$H644&lt;&gt;"",$I644&lt;&gt;""),IF($C644&gt;TODAY(),"İLERİ TARİH",IF(COUNTIF($W$7:$W$1206,$W644)&gt;1,"MÜKERRER?",IF($AD644&gt;0,"KAPALI DÖNEM",IF($I644="Hayır","ÖDENECEK","UYGUN")))),"EKSİK"))))</f>
        <v/>
      </c>
      <c r="Q644" s="6" t="n"/>
      <c r="R644" s="6" t="n"/>
      <c r="S644" s="3">
        <f>IF($L644="","",UPPER(SUBSTITUTE(SUBSTITUTE(SUBSTITUTE(SUBSTITUTE(SUBSTITUTE(SUBSTITUTE(SUBSTITUTE(SUBSTITUTE(SUBSTITUTE(SUBSTITUTE(SUBSTITUTE(SUBSTITUTE(SUBSTITUTE(SUBSTITUTE(SUBSTITUTE(SUBSTITUTE(SUBSTITUTE(SUBSTITUTE(TRIM($L644),"'",""),"İ","I"),"ı","I"),"i","I"),"Ş","S"),"ş","S"),"Ğ","G"),"ğ","G"),"Ü","U"),"ü","U"),"Ö","O"),"ö","O"),"Ç","C"),"ç","C"),".",""),",","")," ",""),"-","")))</f>
        <v/>
      </c>
      <c r="T644" s="3">
        <f>IF(OR($C644="",$D644&lt;&gt;"Gelir",$L644=""),"",IFERROR(INDEX(MUSTERILER!$B$7:$B$106,MATCH($S644,MUSTERILER!$T$7:$T$106,0)),""))</f>
        <v/>
      </c>
      <c r="U644" s="3">
        <f>IF($T644="","",$T644&amp;"|"&amp;COUNTIFS($T$7:$T644,$T644))</f>
        <v/>
      </c>
      <c r="V644" s="3">
        <f>IF($T644="",0,1)</f>
        <v/>
      </c>
      <c r="W644" s="3">
        <f>IF($C644="","",$D644&amp;"|"&amp;$E644&amp;"|"&amp;TEXT($C644,"0")&amp;"|"&amp;TEXT($G644,"0")&amp;"|"&amp;$J644)</f>
        <v/>
      </c>
      <c r="X644" s="3" t="n"/>
      <c r="Y644" s="3" t="n"/>
      <c r="Z644" s="3" t="n"/>
      <c r="AA644" s="3" t="n"/>
      <c r="AB644" s="3" t="n"/>
      <c r="AC644" s="3" t="n"/>
      <c r="AD644" s="3">
        <f>IF($C644="",0,SUMPRODUCT((AY_SONU!$O$7:$O$42="Evet")*(AY_SONU!$B$7:$B$42=DATE(YEAR($C644),MONTH($C644),1))))</f>
        <v/>
      </c>
    </row>
    <row r="645">
      <c r="A645" s="6" t="n"/>
      <c r="B645" s="113">
        <f>IF($C645="","","GG"&amp;TEXT(ROW()-6,"00000"))</f>
        <v/>
      </c>
      <c r="C645" s="220" t="n"/>
      <c r="D645" s="108" t="n"/>
      <c r="E645" s="109" t="n"/>
      <c r="F645" s="109" t="n"/>
      <c r="G645" s="221" t="n"/>
      <c r="H645" s="108" t="n"/>
      <c r="I645" s="108" t="n"/>
      <c r="J645" s="109" t="n"/>
      <c r="K645" s="109" t="n"/>
      <c r="L645" s="108" t="n"/>
      <c r="M645" s="121">
        <f>IF($C645="","",IF($D645="Gider",$E645,IF($L645&lt;&gt;"",$L645,$H645)))</f>
        <v/>
      </c>
      <c r="N645" s="121">
        <f>IF($C645="","",IF($D645="Gider",$H645,$E645))</f>
        <v/>
      </c>
      <c r="O645" s="226">
        <f>IF($C645="","",DATE(YEAR($C645),MONTH($C645),1))</f>
        <v/>
      </c>
      <c r="P645" s="113">
        <f>IF($C645="","",IF(AND($D645="Gelir",$L645&lt;&gt;"",$T645=""),"TANIMSIZ BORÇLU",IF($T645&lt;&gt;"",IF(OR($E645="",$G645&lt;=0),"EKSİK",IF($I645="Evet","TAHAKKUK NAKİT OLAMAZ",IF($C645&gt;TODAY(),"İLERİ TARİH","TAHAKKUK"))),IF(AND($D645&lt;&gt;"",$E645&lt;&gt;"",$G645&gt;0,$H645&lt;&gt;"",$I645&lt;&gt;""),IF($C645&gt;TODAY(),"İLERİ TARİH",IF(COUNTIF($W$7:$W$1206,$W645)&gt;1,"MÜKERRER?",IF($AD645&gt;0,"KAPALI DÖNEM",IF($I645="Hayır","ÖDENECEK","UYGUN")))),"EKSİK"))))</f>
        <v/>
      </c>
      <c r="Q645" s="6" t="n"/>
      <c r="R645" s="6" t="n"/>
      <c r="S645" s="3">
        <f>IF($L645="","",UPPER(SUBSTITUTE(SUBSTITUTE(SUBSTITUTE(SUBSTITUTE(SUBSTITUTE(SUBSTITUTE(SUBSTITUTE(SUBSTITUTE(SUBSTITUTE(SUBSTITUTE(SUBSTITUTE(SUBSTITUTE(SUBSTITUTE(SUBSTITUTE(SUBSTITUTE(SUBSTITUTE(SUBSTITUTE(SUBSTITUTE(TRIM($L645),"'",""),"İ","I"),"ı","I"),"i","I"),"Ş","S"),"ş","S"),"Ğ","G"),"ğ","G"),"Ü","U"),"ü","U"),"Ö","O"),"ö","O"),"Ç","C"),"ç","C"),".",""),",","")," ",""),"-","")))</f>
        <v/>
      </c>
      <c r="T645" s="3">
        <f>IF(OR($C645="",$D645&lt;&gt;"Gelir",$L645=""),"",IFERROR(INDEX(MUSTERILER!$B$7:$B$106,MATCH($S645,MUSTERILER!$T$7:$T$106,0)),""))</f>
        <v/>
      </c>
      <c r="U645" s="3">
        <f>IF($T645="","",$T645&amp;"|"&amp;COUNTIFS($T$7:$T645,$T645))</f>
        <v/>
      </c>
      <c r="V645" s="3">
        <f>IF($T645="",0,1)</f>
        <v/>
      </c>
      <c r="W645" s="3">
        <f>IF($C645="","",$D645&amp;"|"&amp;$E645&amp;"|"&amp;TEXT($C645,"0")&amp;"|"&amp;TEXT($G645,"0")&amp;"|"&amp;$J645)</f>
        <v/>
      </c>
      <c r="X645" s="3" t="n"/>
      <c r="Y645" s="3" t="n"/>
      <c r="Z645" s="3" t="n"/>
      <c r="AA645" s="3" t="n"/>
      <c r="AB645" s="3" t="n"/>
      <c r="AC645" s="3" t="n"/>
      <c r="AD645" s="3">
        <f>IF($C645="",0,SUMPRODUCT((AY_SONU!$O$7:$O$42="Evet")*(AY_SONU!$B$7:$B$42=DATE(YEAR($C645),MONTH($C645),1))))</f>
        <v/>
      </c>
    </row>
    <row r="646">
      <c r="A646" s="6" t="n"/>
      <c r="B646" s="113">
        <f>IF($C646="","","GG"&amp;TEXT(ROW()-6,"00000"))</f>
        <v/>
      </c>
      <c r="C646" s="220" t="n"/>
      <c r="D646" s="108" t="n"/>
      <c r="E646" s="109" t="n"/>
      <c r="F646" s="109" t="n"/>
      <c r="G646" s="221" t="n"/>
      <c r="H646" s="108" t="n"/>
      <c r="I646" s="108" t="n"/>
      <c r="J646" s="109" t="n"/>
      <c r="K646" s="109" t="n"/>
      <c r="L646" s="108" t="n"/>
      <c r="M646" s="121">
        <f>IF($C646="","",IF($D646="Gider",$E646,IF($L646&lt;&gt;"",$L646,$H646)))</f>
        <v/>
      </c>
      <c r="N646" s="121">
        <f>IF($C646="","",IF($D646="Gider",$H646,$E646))</f>
        <v/>
      </c>
      <c r="O646" s="226">
        <f>IF($C646="","",DATE(YEAR($C646),MONTH($C646),1))</f>
        <v/>
      </c>
      <c r="P646" s="113">
        <f>IF($C646="","",IF(AND($D646="Gelir",$L646&lt;&gt;"",$T646=""),"TANIMSIZ BORÇLU",IF($T646&lt;&gt;"",IF(OR($E646="",$G646&lt;=0),"EKSİK",IF($I646="Evet","TAHAKKUK NAKİT OLAMAZ",IF($C646&gt;TODAY(),"İLERİ TARİH","TAHAKKUK"))),IF(AND($D646&lt;&gt;"",$E646&lt;&gt;"",$G646&gt;0,$H646&lt;&gt;"",$I646&lt;&gt;""),IF($C646&gt;TODAY(),"İLERİ TARİH",IF(COUNTIF($W$7:$W$1206,$W646)&gt;1,"MÜKERRER?",IF($AD646&gt;0,"KAPALI DÖNEM",IF($I646="Hayır","ÖDENECEK","UYGUN")))),"EKSİK"))))</f>
        <v/>
      </c>
      <c r="Q646" s="6" t="n"/>
      <c r="R646" s="6" t="n"/>
      <c r="S646" s="3">
        <f>IF($L646="","",UPPER(SUBSTITUTE(SUBSTITUTE(SUBSTITUTE(SUBSTITUTE(SUBSTITUTE(SUBSTITUTE(SUBSTITUTE(SUBSTITUTE(SUBSTITUTE(SUBSTITUTE(SUBSTITUTE(SUBSTITUTE(SUBSTITUTE(SUBSTITUTE(SUBSTITUTE(SUBSTITUTE(SUBSTITUTE(SUBSTITUTE(TRIM($L646),"'",""),"İ","I"),"ı","I"),"i","I"),"Ş","S"),"ş","S"),"Ğ","G"),"ğ","G"),"Ü","U"),"ü","U"),"Ö","O"),"ö","O"),"Ç","C"),"ç","C"),".",""),",","")," ",""),"-","")))</f>
        <v/>
      </c>
      <c r="T646" s="3">
        <f>IF(OR($C646="",$D646&lt;&gt;"Gelir",$L646=""),"",IFERROR(INDEX(MUSTERILER!$B$7:$B$106,MATCH($S646,MUSTERILER!$T$7:$T$106,0)),""))</f>
        <v/>
      </c>
      <c r="U646" s="3">
        <f>IF($T646="","",$T646&amp;"|"&amp;COUNTIFS($T$7:$T646,$T646))</f>
        <v/>
      </c>
      <c r="V646" s="3">
        <f>IF($T646="",0,1)</f>
        <v/>
      </c>
      <c r="W646" s="3">
        <f>IF($C646="","",$D646&amp;"|"&amp;$E646&amp;"|"&amp;TEXT($C646,"0")&amp;"|"&amp;TEXT($G646,"0")&amp;"|"&amp;$J646)</f>
        <v/>
      </c>
      <c r="X646" s="3" t="n"/>
      <c r="Y646" s="3" t="n"/>
      <c r="Z646" s="3" t="n"/>
      <c r="AA646" s="3" t="n"/>
      <c r="AB646" s="3" t="n"/>
      <c r="AC646" s="3" t="n"/>
      <c r="AD646" s="3">
        <f>IF($C646="",0,SUMPRODUCT((AY_SONU!$O$7:$O$42="Evet")*(AY_SONU!$B$7:$B$42=DATE(YEAR($C646),MONTH($C646),1))))</f>
        <v/>
      </c>
    </row>
    <row r="647">
      <c r="A647" s="6" t="n"/>
      <c r="B647" s="113">
        <f>IF($C647="","","GG"&amp;TEXT(ROW()-6,"00000"))</f>
        <v/>
      </c>
      <c r="C647" s="220" t="n"/>
      <c r="D647" s="108" t="n"/>
      <c r="E647" s="109" t="n"/>
      <c r="F647" s="109" t="n"/>
      <c r="G647" s="221" t="n"/>
      <c r="H647" s="108" t="n"/>
      <c r="I647" s="108" t="n"/>
      <c r="J647" s="109" t="n"/>
      <c r="K647" s="109" t="n"/>
      <c r="L647" s="108" t="n"/>
      <c r="M647" s="121">
        <f>IF($C647="","",IF($D647="Gider",$E647,IF($L647&lt;&gt;"",$L647,$H647)))</f>
        <v/>
      </c>
      <c r="N647" s="121">
        <f>IF($C647="","",IF($D647="Gider",$H647,$E647))</f>
        <v/>
      </c>
      <c r="O647" s="226">
        <f>IF($C647="","",DATE(YEAR($C647),MONTH($C647),1))</f>
        <v/>
      </c>
      <c r="P647" s="113">
        <f>IF($C647="","",IF(AND($D647="Gelir",$L647&lt;&gt;"",$T647=""),"TANIMSIZ BORÇLU",IF($T647&lt;&gt;"",IF(OR($E647="",$G647&lt;=0),"EKSİK",IF($I647="Evet","TAHAKKUK NAKİT OLAMAZ",IF($C647&gt;TODAY(),"İLERİ TARİH","TAHAKKUK"))),IF(AND($D647&lt;&gt;"",$E647&lt;&gt;"",$G647&gt;0,$H647&lt;&gt;"",$I647&lt;&gt;""),IF($C647&gt;TODAY(),"İLERİ TARİH",IF(COUNTIF($W$7:$W$1206,$W647)&gt;1,"MÜKERRER?",IF($AD647&gt;0,"KAPALI DÖNEM",IF($I647="Hayır","ÖDENECEK","UYGUN")))),"EKSİK"))))</f>
        <v/>
      </c>
      <c r="Q647" s="6" t="n"/>
      <c r="R647" s="6" t="n"/>
      <c r="S647" s="3">
        <f>IF($L647="","",UPPER(SUBSTITUTE(SUBSTITUTE(SUBSTITUTE(SUBSTITUTE(SUBSTITUTE(SUBSTITUTE(SUBSTITUTE(SUBSTITUTE(SUBSTITUTE(SUBSTITUTE(SUBSTITUTE(SUBSTITUTE(SUBSTITUTE(SUBSTITUTE(SUBSTITUTE(SUBSTITUTE(SUBSTITUTE(SUBSTITUTE(TRIM($L647),"'",""),"İ","I"),"ı","I"),"i","I"),"Ş","S"),"ş","S"),"Ğ","G"),"ğ","G"),"Ü","U"),"ü","U"),"Ö","O"),"ö","O"),"Ç","C"),"ç","C"),".",""),",","")," ",""),"-","")))</f>
        <v/>
      </c>
      <c r="T647" s="3">
        <f>IF(OR($C647="",$D647&lt;&gt;"Gelir",$L647=""),"",IFERROR(INDEX(MUSTERILER!$B$7:$B$106,MATCH($S647,MUSTERILER!$T$7:$T$106,0)),""))</f>
        <v/>
      </c>
      <c r="U647" s="3">
        <f>IF($T647="","",$T647&amp;"|"&amp;COUNTIFS($T$7:$T647,$T647))</f>
        <v/>
      </c>
      <c r="V647" s="3">
        <f>IF($T647="",0,1)</f>
        <v/>
      </c>
      <c r="W647" s="3">
        <f>IF($C647="","",$D647&amp;"|"&amp;$E647&amp;"|"&amp;TEXT($C647,"0")&amp;"|"&amp;TEXT($G647,"0")&amp;"|"&amp;$J647)</f>
        <v/>
      </c>
      <c r="X647" s="3" t="n"/>
      <c r="Y647" s="3" t="n"/>
      <c r="Z647" s="3" t="n"/>
      <c r="AA647" s="3" t="n"/>
      <c r="AB647" s="3" t="n"/>
      <c r="AC647" s="3" t="n"/>
      <c r="AD647" s="3">
        <f>IF($C647="",0,SUMPRODUCT((AY_SONU!$O$7:$O$42="Evet")*(AY_SONU!$B$7:$B$42=DATE(YEAR($C647),MONTH($C647),1))))</f>
        <v/>
      </c>
    </row>
    <row r="648">
      <c r="A648" s="6" t="n"/>
      <c r="B648" s="113">
        <f>IF($C648="","","GG"&amp;TEXT(ROW()-6,"00000"))</f>
        <v/>
      </c>
      <c r="C648" s="220" t="n"/>
      <c r="D648" s="108" t="n"/>
      <c r="E648" s="109" t="n"/>
      <c r="F648" s="109" t="n"/>
      <c r="G648" s="221" t="n"/>
      <c r="H648" s="108" t="n"/>
      <c r="I648" s="108" t="n"/>
      <c r="J648" s="109" t="n"/>
      <c r="K648" s="109" t="n"/>
      <c r="L648" s="108" t="n"/>
      <c r="M648" s="121">
        <f>IF($C648="","",IF($D648="Gider",$E648,IF($L648&lt;&gt;"",$L648,$H648)))</f>
        <v/>
      </c>
      <c r="N648" s="121">
        <f>IF($C648="","",IF($D648="Gider",$H648,$E648))</f>
        <v/>
      </c>
      <c r="O648" s="226">
        <f>IF($C648="","",DATE(YEAR($C648),MONTH($C648),1))</f>
        <v/>
      </c>
      <c r="P648" s="113">
        <f>IF($C648="","",IF(AND($D648="Gelir",$L648&lt;&gt;"",$T648=""),"TANIMSIZ BORÇLU",IF($T648&lt;&gt;"",IF(OR($E648="",$G648&lt;=0),"EKSİK",IF($I648="Evet","TAHAKKUK NAKİT OLAMAZ",IF($C648&gt;TODAY(),"İLERİ TARİH","TAHAKKUK"))),IF(AND($D648&lt;&gt;"",$E648&lt;&gt;"",$G648&gt;0,$H648&lt;&gt;"",$I648&lt;&gt;""),IF($C648&gt;TODAY(),"İLERİ TARİH",IF(COUNTIF($W$7:$W$1206,$W648)&gt;1,"MÜKERRER?",IF($AD648&gt;0,"KAPALI DÖNEM",IF($I648="Hayır","ÖDENECEK","UYGUN")))),"EKSİK"))))</f>
        <v/>
      </c>
      <c r="Q648" s="6" t="n"/>
      <c r="R648" s="6" t="n"/>
      <c r="S648" s="3">
        <f>IF($L648="","",UPPER(SUBSTITUTE(SUBSTITUTE(SUBSTITUTE(SUBSTITUTE(SUBSTITUTE(SUBSTITUTE(SUBSTITUTE(SUBSTITUTE(SUBSTITUTE(SUBSTITUTE(SUBSTITUTE(SUBSTITUTE(SUBSTITUTE(SUBSTITUTE(SUBSTITUTE(SUBSTITUTE(SUBSTITUTE(SUBSTITUTE(TRIM($L648),"'",""),"İ","I"),"ı","I"),"i","I"),"Ş","S"),"ş","S"),"Ğ","G"),"ğ","G"),"Ü","U"),"ü","U"),"Ö","O"),"ö","O"),"Ç","C"),"ç","C"),".",""),",","")," ",""),"-","")))</f>
        <v/>
      </c>
      <c r="T648" s="3">
        <f>IF(OR($C648="",$D648&lt;&gt;"Gelir",$L648=""),"",IFERROR(INDEX(MUSTERILER!$B$7:$B$106,MATCH($S648,MUSTERILER!$T$7:$T$106,0)),""))</f>
        <v/>
      </c>
      <c r="U648" s="3">
        <f>IF($T648="","",$T648&amp;"|"&amp;COUNTIFS($T$7:$T648,$T648))</f>
        <v/>
      </c>
      <c r="V648" s="3">
        <f>IF($T648="",0,1)</f>
        <v/>
      </c>
      <c r="W648" s="3">
        <f>IF($C648="","",$D648&amp;"|"&amp;$E648&amp;"|"&amp;TEXT($C648,"0")&amp;"|"&amp;TEXT($G648,"0")&amp;"|"&amp;$J648)</f>
        <v/>
      </c>
      <c r="X648" s="3" t="n"/>
      <c r="Y648" s="3" t="n"/>
      <c r="Z648" s="3" t="n"/>
      <c r="AA648" s="3" t="n"/>
      <c r="AB648" s="3" t="n"/>
      <c r="AC648" s="3" t="n"/>
      <c r="AD648" s="3">
        <f>IF($C648="",0,SUMPRODUCT((AY_SONU!$O$7:$O$42="Evet")*(AY_SONU!$B$7:$B$42=DATE(YEAR($C648),MONTH($C648),1))))</f>
        <v/>
      </c>
    </row>
    <row r="649">
      <c r="A649" s="6" t="n"/>
      <c r="B649" s="113">
        <f>IF($C649="","","GG"&amp;TEXT(ROW()-6,"00000"))</f>
        <v/>
      </c>
      <c r="C649" s="220" t="n"/>
      <c r="D649" s="108" t="n"/>
      <c r="E649" s="109" t="n"/>
      <c r="F649" s="109" t="n"/>
      <c r="G649" s="221" t="n"/>
      <c r="H649" s="108" t="n"/>
      <c r="I649" s="108" t="n"/>
      <c r="J649" s="109" t="n"/>
      <c r="K649" s="109" t="n"/>
      <c r="L649" s="108" t="n"/>
      <c r="M649" s="121">
        <f>IF($C649="","",IF($D649="Gider",$E649,IF($L649&lt;&gt;"",$L649,$H649)))</f>
        <v/>
      </c>
      <c r="N649" s="121">
        <f>IF($C649="","",IF($D649="Gider",$H649,$E649))</f>
        <v/>
      </c>
      <c r="O649" s="226">
        <f>IF($C649="","",DATE(YEAR($C649),MONTH($C649),1))</f>
        <v/>
      </c>
      <c r="P649" s="113">
        <f>IF($C649="","",IF(AND($D649="Gelir",$L649&lt;&gt;"",$T649=""),"TANIMSIZ BORÇLU",IF($T649&lt;&gt;"",IF(OR($E649="",$G649&lt;=0),"EKSİK",IF($I649="Evet","TAHAKKUK NAKİT OLAMAZ",IF($C649&gt;TODAY(),"İLERİ TARİH","TAHAKKUK"))),IF(AND($D649&lt;&gt;"",$E649&lt;&gt;"",$G649&gt;0,$H649&lt;&gt;"",$I649&lt;&gt;""),IF($C649&gt;TODAY(),"İLERİ TARİH",IF(COUNTIF($W$7:$W$1206,$W649)&gt;1,"MÜKERRER?",IF($AD649&gt;0,"KAPALI DÖNEM",IF($I649="Hayır","ÖDENECEK","UYGUN")))),"EKSİK"))))</f>
        <v/>
      </c>
      <c r="Q649" s="6" t="n"/>
      <c r="R649" s="6" t="n"/>
      <c r="S649" s="3">
        <f>IF($L649="","",UPPER(SUBSTITUTE(SUBSTITUTE(SUBSTITUTE(SUBSTITUTE(SUBSTITUTE(SUBSTITUTE(SUBSTITUTE(SUBSTITUTE(SUBSTITUTE(SUBSTITUTE(SUBSTITUTE(SUBSTITUTE(SUBSTITUTE(SUBSTITUTE(SUBSTITUTE(SUBSTITUTE(SUBSTITUTE(SUBSTITUTE(TRIM($L649),"'",""),"İ","I"),"ı","I"),"i","I"),"Ş","S"),"ş","S"),"Ğ","G"),"ğ","G"),"Ü","U"),"ü","U"),"Ö","O"),"ö","O"),"Ç","C"),"ç","C"),".",""),",","")," ",""),"-","")))</f>
        <v/>
      </c>
      <c r="T649" s="3">
        <f>IF(OR($C649="",$D649&lt;&gt;"Gelir",$L649=""),"",IFERROR(INDEX(MUSTERILER!$B$7:$B$106,MATCH($S649,MUSTERILER!$T$7:$T$106,0)),""))</f>
        <v/>
      </c>
      <c r="U649" s="3">
        <f>IF($T649="","",$T649&amp;"|"&amp;COUNTIFS($T$7:$T649,$T649))</f>
        <v/>
      </c>
      <c r="V649" s="3">
        <f>IF($T649="",0,1)</f>
        <v/>
      </c>
      <c r="W649" s="3">
        <f>IF($C649="","",$D649&amp;"|"&amp;$E649&amp;"|"&amp;TEXT($C649,"0")&amp;"|"&amp;TEXT($G649,"0")&amp;"|"&amp;$J649)</f>
        <v/>
      </c>
      <c r="X649" s="3" t="n"/>
      <c r="Y649" s="3" t="n"/>
      <c r="Z649" s="3" t="n"/>
      <c r="AA649" s="3" t="n"/>
      <c r="AB649" s="3" t="n"/>
      <c r="AC649" s="3" t="n"/>
      <c r="AD649" s="3">
        <f>IF($C649="",0,SUMPRODUCT((AY_SONU!$O$7:$O$42="Evet")*(AY_SONU!$B$7:$B$42=DATE(YEAR($C649),MONTH($C649),1))))</f>
        <v/>
      </c>
    </row>
    <row r="650">
      <c r="A650" s="6" t="n"/>
      <c r="B650" s="113">
        <f>IF($C650="","","GG"&amp;TEXT(ROW()-6,"00000"))</f>
        <v/>
      </c>
      <c r="C650" s="220" t="n"/>
      <c r="D650" s="108" t="n"/>
      <c r="E650" s="109" t="n"/>
      <c r="F650" s="109" t="n"/>
      <c r="G650" s="221" t="n"/>
      <c r="H650" s="108" t="n"/>
      <c r="I650" s="108" t="n"/>
      <c r="J650" s="109" t="n"/>
      <c r="K650" s="109" t="n"/>
      <c r="L650" s="108" t="n"/>
      <c r="M650" s="121">
        <f>IF($C650="","",IF($D650="Gider",$E650,IF($L650&lt;&gt;"",$L650,$H650)))</f>
        <v/>
      </c>
      <c r="N650" s="121">
        <f>IF($C650="","",IF($D650="Gider",$H650,$E650))</f>
        <v/>
      </c>
      <c r="O650" s="226">
        <f>IF($C650="","",DATE(YEAR($C650),MONTH($C650),1))</f>
        <v/>
      </c>
      <c r="P650" s="113">
        <f>IF($C650="","",IF(AND($D650="Gelir",$L650&lt;&gt;"",$T650=""),"TANIMSIZ BORÇLU",IF($T650&lt;&gt;"",IF(OR($E650="",$G650&lt;=0),"EKSİK",IF($I650="Evet","TAHAKKUK NAKİT OLAMAZ",IF($C650&gt;TODAY(),"İLERİ TARİH","TAHAKKUK"))),IF(AND($D650&lt;&gt;"",$E650&lt;&gt;"",$G650&gt;0,$H650&lt;&gt;"",$I650&lt;&gt;""),IF($C650&gt;TODAY(),"İLERİ TARİH",IF(COUNTIF($W$7:$W$1206,$W650)&gt;1,"MÜKERRER?",IF($AD650&gt;0,"KAPALI DÖNEM",IF($I650="Hayır","ÖDENECEK","UYGUN")))),"EKSİK"))))</f>
        <v/>
      </c>
      <c r="Q650" s="6" t="n"/>
      <c r="R650" s="6" t="n"/>
      <c r="S650" s="3">
        <f>IF($L650="","",UPPER(SUBSTITUTE(SUBSTITUTE(SUBSTITUTE(SUBSTITUTE(SUBSTITUTE(SUBSTITUTE(SUBSTITUTE(SUBSTITUTE(SUBSTITUTE(SUBSTITUTE(SUBSTITUTE(SUBSTITUTE(SUBSTITUTE(SUBSTITUTE(SUBSTITUTE(SUBSTITUTE(SUBSTITUTE(SUBSTITUTE(TRIM($L650),"'",""),"İ","I"),"ı","I"),"i","I"),"Ş","S"),"ş","S"),"Ğ","G"),"ğ","G"),"Ü","U"),"ü","U"),"Ö","O"),"ö","O"),"Ç","C"),"ç","C"),".",""),",","")," ",""),"-","")))</f>
        <v/>
      </c>
      <c r="T650" s="3">
        <f>IF(OR($C650="",$D650&lt;&gt;"Gelir",$L650=""),"",IFERROR(INDEX(MUSTERILER!$B$7:$B$106,MATCH($S650,MUSTERILER!$T$7:$T$106,0)),""))</f>
        <v/>
      </c>
      <c r="U650" s="3">
        <f>IF($T650="","",$T650&amp;"|"&amp;COUNTIFS($T$7:$T650,$T650))</f>
        <v/>
      </c>
      <c r="V650" s="3">
        <f>IF($T650="",0,1)</f>
        <v/>
      </c>
      <c r="W650" s="3">
        <f>IF($C650="","",$D650&amp;"|"&amp;$E650&amp;"|"&amp;TEXT($C650,"0")&amp;"|"&amp;TEXT($G650,"0")&amp;"|"&amp;$J650)</f>
        <v/>
      </c>
      <c r="X650" s="3" t="n"/>
      <c r="Y650" s="3" t="n"/>
      <c r="Z650" s="3" t="n"/>
      <c r="AA650" s="3" t="n"/>
      <c r="AB650" s="3" t="n"/>
      <c r="AC650" s="3" t="n"/>
      <c r="AD650" s="3">
        <f>IF($C650="",0,SUMPRODUCT((AY_SONU!$O$7:$O$42="Evet")*(AY_SONU!$B$7:$B$42=DATE(YEAR($C650),MONTH($C650),1))))</f>
        <v/>
      </c>
    </row>
    <row r="651">
      <c r="A651" s="6" t="n"/>
      <c r="B651" s="113">
        <f>IF($C651="","","GG"&amp;TEXT(ROW()-6,"00000"))</f>
        <v/>
      </c>
      <c r="C651" s="220" t="n"/>
      <c r="D651" s="108" t="n"/>
      <c r="E651" s="109" t="n"/>
      <c r="F651" s="109" t="n"/>
      <c r="G651" s="221" t="n"/>
      <c r="H651" s="108" t="n"/>
      <c r="I651" s="108" t="n"/>
      <c r="J651" s="109" t="n"/>
      <c r="K651" s="109" t="n"/>
      <c r="L651" s="108" t="n"/>
      <c r="M651" s="121">
        <f>IF($C651="","",IF($D651="Gider",$E651,IF($L651&lt;&gt;"",$L651,$H651)))</f>
        <v/>
      </c>
      <c r="N651" s="121">
        <f>IF($C651="","",IF($D651="Gider",$H651,$E651))</f>
        <v/>
      </c>
      <c r="O651" s="226">
        <f>IF($C651="","",DATE(YEAR($C651),MONTH($C651),1))</f>
        <v/>
      </c>
      <c r="P651" s="113">
        <f>IF($C651="","",IF(AND($D651="Gelir",$L651&lt;&gt;"",$T651=""),"TANIMSIZ BORÇLU",IF($T651&lt;&gt;"",IF(OR($E651="",$G651&lt;=0),"EKSİK",IF($I651="Evet","TAHAKKUK NAKİT OLAMAZ",IF($C651&gt;TODAY(),"İLERİ TARİH","TAHAKKUK"))),IF(AND($D651&lt;&gt;"",$E651&lt;&gt;"",$G651&gt;0,$H651&lt;&gt;"",$I651&lt;&gt;""),IF($C651&gt;TODAY(),"İLERİ TARİH",IF(COUNTIF($W$7:$W$1206,$W651)&gt;1,"MÜKERRER?",IF($AD651&gt;0,"KAPALI DÖNEM",IF($I651="Hayır","ÖDENECEK","UYGUN")))),"EKSİK"))))</f>
        <v/>
      </c>
      <c r="Q651" s="6" t="n"/>
      <c r="R651" s="6" t="n"/>
      <c r="S651" s="3">
        <f>IF($L651="","",UPPER(SUBSTITUTE(SUBSTITUTE(SUBSTITUTE(SUBSTITUTE(SUBSTITUTE(SUBSTITUTE(SUBSTITUTE(SUBSTITUTE(SUBSTITUTE(SUBSTITUTE(SUBSTITUTE(SUBSTITUTE(SUBSTITUTE(SUBSTITUTE(SUBSTITUTE(SUBSTITUTE(SUBSTITUTE(SUBSTITUTE(TRIM($L651),"'",""),"İ","I"),"ı","I"),"i","I"),"Ş","S"),"ş","S"),"Ğ","G"),"ğ","G"),"Ü","U"),"ü","U"),"Ö","O"),"ö","O"),"Ç","C"),"ç","C"),".",""),",","")," ",""),"-","")))</f>
        <v/>
      </c>
      <c r="T651" s="3">
        <f>IF(OR($C651="",$D651&lt;&gt;"Gelir",$L651=""),"",IFERROR(INDEX(MUSTERILER!$B$7:$B$106,MATCH($S651,MUSTERILER!$T$7:$T$106,0)),""))</f>
        <v/>
      </c>
      <c r="U651" s="3">
        <f>IF($T651="","",$T651&amp;"|"&amp;COUNTIFS($T$7:$T651,$T651))</f>
        <v/>
      </c>
      <c r="V651" s="3">
        <f>IF($T651="",0,1)</f>
        <v/>
      </c>
      <c r="W651" s="3">
        <f>IF($C651="","",$D651&amp;"|"&amp;$E651&amp;"|"&amp;TEXT($C651,"0")&amp;"|"&amp;TEXT($G651,"0")&amp;"|"&amp;$J651)</f>
        <v/>
      </c>
      <c r="X651" s="3" t="n"/>
      <c r="Y651" s="3" t="n"/>
      <c r="Z651" s="3" t="n"/>
      <c r="AA651" s="3" t="n"/>
      <c r="AB651" s="3" t="n"/>
      <c r="AC651" s="3" t="n"/>
      <c r="AD651" s="3">
        <f>IF($C651="",0,SUMPRODUCT((AY_SONU!$O$7:$O$42="Evet")*(AY_SONU!$B$7:$B$42=DATE(YEAR($C651),MONTH($C651),1))))</f>
        <v/>
      </c>
    </row>
    <row r="652">
      <c r="A652" s="6" t="n"/>
      <c r="B652" s="113">
        <f>IF($C652="","","GG"&amp;TEXT(ROW()-6,"00000"))</f>
        <v/>
      </c>
      <c r="C652" s="220" t="n"/>
      <c r="D652" s="108" t="n"/>
      <c r="E652" s="109" t="n"/>
      <c r="F652" s="109" t="n"/>
      <c r="G652" s="221" t="n"/>
      <c r="H652" s="108" t="n"/>
      <c r="I652" s="108" t="n"/>
      <c r="J652" s="109" t="n"/>
      <c r="K652" s="109" t="n"/>
      <c r="L652" s="108" t="n"/>
      <c r="M652" s="121">
        <f>IF($C652="","",IF($D652="Gider",$E652,IF($L652&lt;&gt;"",$L652,$H652)))</f>
        <v/>
      </c>
      <c r="N652" s="121">
        <f>IF($C652="","",IF($D652="Gider",$H652,$E652))</f>
        <v/>
      </c>
      <c r="O652" s="226">
        <f>IF($C652="","",DATE(YEAR($C652),MONTH($C652),1))</f>
        <v/>
      </c>
      <c r="P652" s="113">
        <f>IF($C652="","",IF(AND($D652="Gelir",$L652&lt;&gt;"",$T652=""),"TANIMSIZ BORÇLU",IF($T652&lt;&gt;"",IF(OR($E652="",$G652&lt;=0),"EKSİK",IF($I652="Evet","TAHAKKUK NAKİT OLAMAZ",IF($C652&gt;TODAY(),"İLERİ TARİH","TAHAKKUK"))),IF(AND($D652&lt;&gt;"",$E652&lt;&gt;"",$G652&gt;0,$H652&lt;&gt;"",$I652&lt;&gt;""),IF($C652&gt;TODAY(),"İLERİ TARİH",IF(COUNTIF($W$7:$W$1206,$W652)&gt;1,"MÜKERRER?",IF($AD652&gt;0,"KAPALI DÖNEM",IF($I652="Hayır","ÖDENECEK","UYGUN")))),"EKSİK"))))</f>
        <v/>
      </c>
      <c r="Q652" s="6" t="n"/>
      <c r="R652" s="6" t="n"/>
      <c r="S652" s="3">
        <f>IF($L652="","",UPPER(SUBSTITUTE(SUBSTITUTE(SUBSTITUTE(SUBSTITUTE(SUBSTITUTE(SUBSTITUTE(SUBSTITUTE(SUBSTITUTE(SUBSTITUTE(SUBSTITUTE(SUBSTITUTE(SUBSTITUTE(SUBSTITUTE(SUBSTITUTE(SUBSTITUTE(SUBSTITUTE(SUBSTITUTE(SUBSTITUTE(TRIM($L652),"'",""),"İ","I"),"ı","I"),"i","I"),"Ş","S"),"ş","S"),"Ğ","G"),"ğ","G"),"Ü","U"),"ü","U"),"Ö","O"),"ö","O"),"Ç","C"),"ç","C"),".",""),",","")," ",""),"-","")))</f>
        <v/>
      </c>
      <c r="T652" s="3">
        <f>IF(OR($C652="",$D652&lt;&gt;"Gelir",$L652=""),"",IFERROR(INDEX(MUSTERILER!$B$7:$B$106,MATCH($S652,MUSTERILER!$T$7:$T$106,0)),""))</f>
        <v/>
      </c>
      <c r="U652" s="3">
        <f>IF($T652="","",$T652&amp;"|"&amp;COUNTIFS($T$7:$T652,$T652))</f>
        <v/>
      </c>
      <c r="V652" s="3">
        <f>IF($T652="",0,1)</f>
        <v/>
      </c>
      <c r="W652" s="3">
        <f>IF($C652="","",$D652&amp;"|"&amp;$E652&amp;"|"&amp;TEXT($C652,"0")&amp;"|"&amp;TEXT($G652,"0")&amp;"|"&amp;$J652)</f>
        <v/>
      </c>
      <c r="X652" s="3" t="n"/>
      <c r="Y652" s="3" t="n"/>
      <c r="Z652" s="3" t="n"/>
      <c r="AA652" s="3" t="n"/>
      <c r="AB652" s="3" t="n"/>
      <c r="AC652" s="3" t="n"/>
      <c r="AD652" s="3">
        <f>IF($C652="",0,SUMPRODUCT((AY_SONU!$O$7:$O$42="Evet")*(AY_SONU!$B$7:$B$42=DATE(YEAR($C652),MONTH($C652),1))))</f>
        <v/>
      </c>
    </row>
    <row r="653">
      <c r="A653" s="6" t="n"/>
      <c r="B653" s="113">
        <f>IF($C653="","","GG"&amp;TEXT(ROW()-6,"00000"))</f>
        <v/>
      </c>
      <c r="C653" s="220" t="n"/>
      <c r="D653" s="108" t="n"/>
      <c r="E653" s="109" t="n"/>
      <c r="F653" s="109" t="n"/>
      <c r="G653" s="221" t="n"/>
      <c r="H653" s="108" t="n"/>
      <c r="I653" s="108" t="n"/>
      <c r="J653" s="109" t="n"/>
      <c r="K653" s="109" t="n"/>
      <c r="L653" s="108" t="n"/>
      <c r="M653" s="121">
        <f>IF($C653="","",IF($D653="Gider",$E653,IF($L653&lt;&gt;"",$L653,$H653)))</f>
        <v/>
      </c>
      <c r="N653" s="121">
        <f>IF($C653="","",IF($D653="Gider",$H653,$E653))</f>
        <v/>
      </c>
      <c r="O653" s="226">
        <f>IF($C653="","",DATE(YEAR($C653),MONTH($C653),1))</f>
        <v/>
      </c>
      <c r="P653" s="113">
        <f>IF($C653="","",IF(AND($D653="Gelir",$L653&lt;&gt;"",$T653=""),"TANIMSIZ BORÇLU",IF($T653&lt;&gt;"",IF(OR($E653="",$G653&lt;=0),"EKSİK",IF($I653="Evet","TAHAKKUK NAKİT OLAMAZ",IF($C653&gt;TODAY(),"İLERİ TARİH","TAHAKKUK"))),IF(AND($D653&lt;&gt;"",$E653&lt;&gt;"",$G653&gt;0,$H653&lt;&gt;"",$I653&lt;&gt;""),IF($C653&gt;TODAY(),"İLERİ TARİH",IF(COUNTIF($W$7:$W$1206,$W653)&gt;1,"MÜKERRER?",IF($AD653&gt;0,"KAPALI DÖNEM",IF($I653="Hayır","ÖDENECEK","UYGUN")))),"EKSİK"))))</f>
        <v/>
      </c>
      <c r="Q653" s="6" t="n"/>
      <c r="R653" s="6" t="n"/>
      <c r="S653" s="3">
        <f>IF($L653="","",UPPER(SUBSTITUTE(SUBSTITUTE(SUBSTITUTE(SUBSTITUTE(SUBSTITUTE(SUBSTITUTE(SUBSTITUTE(SUBSTITUTE(SUBSTITUTE(SUBSTITUTE(SUBSTITUTE(SUBSTITUTE(SUBSTITUTE(SUBSTITUTE(SUBSTITUTE(SUBSTITUTE(SUBSTITUTE(SUBSTITUTE(TRIM($L653),"'",""),"İ","I"),"ı","I"),"i","I"),"Ş","S"),"ş","S"),"Ğ","G"),"ğ","G"),"Ü","U"),"ü","U"),"Ö","O"),"ö","O"),"Ç","C"),"ç","C"),".",""),",","")," ",""),"-","")))</f>
        <v/>
      </c>
      <c r="T653" s="3">
        <f>IF(OR($C653="",$D653&lt;&gt;"Gelir",$L653=""),"",IFERROR(INDEX(MUSTERILER!$B$7:$B$106,MATCH($S653,MUSTERILER!$T$7:$T$106,0)),""))</f>
        <v/>
      </c>
      <c r="U653" s="3">
        <f>IF($T653="","",$T653&amp;"|"&amp;COUNTIFS($T$7:$T653,$T653))</f>
        <v/>
      </c>
      <c r="V653" s="3">
        <f>IF($T653="",0,1)</f>
        <v/>
      </c>
      <c r="W653" s="3">
        <f>IF($C653="","",$D653&amp;"|"&amp;$E653&amp;"|"&amp;TEXT($C653,"0")&amp;"|"&amp;TEXT($G653,"0")&amp;"|"&amp;$J653)</f>
        <v/>
      </c>
      <c r="X653" s="3" t="n"/>
      <c r="Y653" s="3" t="n"/>
      <c r="Z653" s="3" t="n"/>
      <c r="AA653" s="3" t="n"/>
      <c r="AB653" s="3" t="n"/>
      <c r="AC653" s="3" t="n"/>
      <c r="AD653" s="3">
        <f>IF($C653="",0,SUMPRODUCT((AY_SONU!$O$7:$O$42="Evet")*(AY_SONU!$B$7:$B$42=DATE(YEAR($C653),MONTH($C653),1))))</f>
        <v/>
      </c>
    </row>
    <row r="654">
      <c r="A654" s="6" t="n"/>
      <c r="B654" s="113">
        <f>IF($C654="","","GG"&amp;TEXT(ROW()-6,"00000"))</f>
        <v/>
      </c>
      <c r="C654" s="220" t="n"/>
      <c r="D654" s="108" t="n"/>
      <c r="E654" s="109" t="n"/>
      <c r="F654" s="109" t="n"/>
      <c r="G654" s="221" t="n"/>
      <c r="H654" s="108" t="n"/>
      <c r="I654" s="108" t="n"/>
      <c r="J654" s="109" t="n"/>
      <c r="K654" s="109" t="n"/>
      <c r="L654" s="108" t="n"/>
      <c r="M654" s="121">
        <f>IF($C654="","",IF($D654="Gider",$E654,IF($L654&lt;&gt;"",$L654,$H654)))</f>
        <v/>
      </c>
      <c r="N654" s="121">
        <f>IF($C654="","",IF($D654="Gider",$H654,$E654))</f>
        <v/>
      </c>
      <c r="O654" s="226">
        <f>IF($C654="","",DATE(YEAR($C654),MONTH($C654),1))</f>
        <v/>
      </c>
      <c r="P654" s="113">
        <f>IF($C654="","",IF(AND($D654="Gelir",$L654&lt;&gt;"",$T654=""),"TANIMSIZ BORÇLU",IF($T654&lt;&gt;"",IF(OR($E654="",$G654&lt;=0),"EKSİK",IF($I654="Evet","TAHAKKUK NAKİT OLAMAZ",IF($C654&gt;TODAY(),"İLERİ TARİH","TAHAKKUK"))),IF(AND($D654&lt;&gt;"",$E654&lt;&gt;"",$G654&gt;0,$H654&lt;&gt;"",$I654&lt;&gt;""),IF($C654&gt;TODAY(),"İLERİ TARİH",IF(COUNTIF($W$7:$W$1206,$W654)&gt;1,"MÜKERRER?",IF($AD654&gt;0,"KAPALI DÖNEM",IF($I654="Hayır","ÖDENECEK","UYGUN")))),"EKSİK"))))</f>
        <v/>
      </c>
      <c r="Q654" s="6" t="n"/>
      <c r="R654" s="6" t="n"/>
      <c r="S654" s="3">
        <f>IF($L654="","",UPPER(SUBSTITUTE(SUBSTITUTE(SUBSTITUTE(SUBSTITUTE(SUBSTITUTE(SUBSTITUTE(SUBSTITUTE(SUBSTITUTE(SUBSTITUTE(SUBSTITUTE(SUBSTITUTE(SUBSTITUTE(SUBSTITUTE(SUBSTITUTE(SUBSTITUTE(SUBSTITUTE(SUBSTITUTE(SUBSTITUTE(TRIM($L654),"'",""),"İ","I"),"ı","I"),"i","I"),"Ş","S"),"ş","S"),"Ğ","G"),"ğ","G"),"Ü","U"),"ü","U"),"Ö","O"),"ö","O"),"Ç","C"),"ç","C"),".",""),",","")," ",""),"-","")))</f>
        <v/>
      </c>
      <c r="T654" s="3">
        <f>IF(OR($C654="",$D654&lt;&gt;"Gelir",$L654=""),"",IFERROR(INDEX(MUSTERILER!$B$7:$B$106,MATCH($S654,MUSTERILER!$T$7:$T$106,0)),""))</f>
        <v/>
      </c>
      <c r="U654" s="3">
        <f>IF($T654="","",$T654&amp;"|"&amp;COUNTIFS($T$7:$T654,$T654))</f>
        <v/>
      </c>
      <c r="V654" s="3">
        <f>IF($T654="",0,1)</f>
        <v/>
      </c>
      <c r="W654" s="3">
        <f>IF($C654="","",$D654&amp;"|"&amp;$E654&amp;"|"&amp;TEXT($C654,"0")&amp;"|"&amp;TEXT($G654,"0")&amp;"|"&amp;$J654)</f>
        <v/>
      </c>
      <c r="X654" s="3" t="n"/>
      <c r="Y654" s="3" t="n"/>
      <c r="Z654" s="3" t="n"/>
      <c r="AA654" s="3" t="n"/>
      <c r="AB654" s="3" t="n"/>
      <c r="AC654" s="3" t="n"/>
      <c r="AD654" s="3">
        <f>IF($C654="",0,SUMPRODUCT((AY_SONU!$O$7:$O$42="Evet")*(AY_SONU!$B$7:$B$42=DATE(YEAR($C654),MONTH($C654),1))))</f>
        <v/>
      </c>
    </row>
    <row r="655">
      <c r="A655" s="6" t="n"/>
      <c r="B655" s="113">
        <f>IF($C655="","","GG"&amp;TEXT(ROW()-6,"00000"))</f>
        <v/>
      </c>
      <c r="C655" s="220" t="n"/>
      <c r="D655" s="108" t="n"/>
      <c r="E655" s="109" t="n"/>
      <c r="F655" s="109" t="n"/>
      <c r="G655" s="221" t="n"/>
      <c r="H655" s="108" t="n"/>
      <c r="I655" s="108" t="n"/>
      <c r="J655" s="109" t="n"/>
      <c r="K655" s="109" t="n"/>
      <c r="L655" s="108" t="n"/>
      <c r="M655" s="121">
        <f>IF($C655="","",IF($D655="Gider",$E655,IF($L655&lt;&gt;"",$L655,$H655)))</f>
        <v/>
      </c>
      <c r="N655" s="121">
        <f>IF($C655="","",IF($D655="Gider",$H655,$E655))</f>
        <v/>
      </c>
      <c r="O655" s="226">
        <f>IF($C655="","",DATE(YEAR($C655),MONTH($C655),1))</f>
        <v/>
      </c>
      <c r="P655" s="113">
        <f>IF($C655="","",IF(AND($D655="Gelir",$L655&lt;&gt;"",$T655=""),"TANIMSIZ BORÇLU",IF($T655&lt;&gt;"",IF(OR($E655="",$G655&lt;=0),"EKSİK",IF($I655="Evet","TAHAKKUK NAKİT OLAMAZ",IF($C655&gt;TODAY(),"İLERİ TARİH","TAHAKKUK"))),IF(AND($D655&lt;&gt;"",$E655&lt;&gt;"",$G655&gt;0,$H655&lt;&gt;"",$I655&lt;&gt;""),IF($C655&gt;TODAY(),"İLERİ TARİH",IF(COUNTIF($W$7:$W$1206,$W655)&gt;1,"MÜKERRER?",IF($AD655&gt;0,"KAPALI DÖNEM",IF($I655="Hayır","ÖDENECEK","UYGUN")))),"EKSİK"))))</f>
        <v/>
      </c>
      <c r="Q655" s="6" t="n"/>
      <c r="R655" s="6" t="n"/>
      <c r="S655" s="3">
        <f>IF($L655="","",UPPER(SUBSTITUTE(SUBSTITUTE(SUBSTITUTE(SUBSTITUTE(SUBSTITUTE(SUBSTITUTE(SUBSTITUTE(SUBSTITUTE(SUBSTITUTE(SUBSTITUTE(SUBSTITUTE(SUBSTITUTE(SUBSTITUTE(SUBSTITUTE(SUBSTITUTE(SUBSTITUTE(SUBSTITUTE(SUBSTITUTE(TRIM($L655),"'",""),"İ","I"),"ı","I"),"i","I"),"Ş","S"),"ş","S"),"Ğ","G"),"ğ","G"),"Ü","U"),"ü","U"),"Ö","O"),"ö","O"),"Ç","C"),"ç","C"),".",""),",","")," ",""),"-","")))</f>
        <v/>
      </c>
      <c r="T655" s="3">
        <f>IF(OR($C655="",$D655&lt;&gt;"Gelir",$L655=""),"",IFERROR(INDEX(MUSTERILER!$B$7:$B$106,MATCH($S655,MUSTERILER!$T$7:$T$106,0)),""))</f>
        <v/>
      </c>
      <c r="U655" s="3">
        <f>IF($T655="","",$T655&amp;"|"&amp;COUNTIFS($T$7:$T655,$T655))</f>
        <v/>
      </c>
      <c r="V655" s="3">
        <f>IF($T655="",0,1)</f>
        <v/>
      </c>
      <c r="W655" s="3">
        <f>IF($C655="","",$D655&amp;"|"&amp;$E655&amp;"|"&amp;TEXT($C655,"0")&amp;"|"&amp;TEXT($G655,"0")&amp;"|"&amp;$J655)</f>
        <v/>
      </c>
      <c r="X655" s="3" t="n"/>
      <c r="Y655" s="3" t="n"/>
      <c r="Z655" s="3" t="n"/>
      <c r="AA655" s="3" t="n"/>
      <c r="AB655" s="3" t="n"/>
      <c r="AC655" s="3" t="n"/>
      <c r="AD655" s="3">
        <f>IF($C655="",0,SUMPRODUCT((AY_SONU!$O$7:$O$42="Evet")*(AY_SONU!$B$7:$B$42=DATE(YEAR($C655),MONTH($C655),1))))</f>
        <v/>
      </c>
    </row>
    <row r="656">
      <c r="A656" s="6" t="n"/>
      <c r="B656" s="113">
        <f>IF($C656="","","GG"&amp;TEXT(ROW()-6,"00000"))</f>
        <v/>
      </c>
      <c r="C656" s="220" t="n"/>
      <c r="D656" s="108" t="n"/>
      <c r="E656" s="109" t="n"/>
      <c r="F656" s="109" t="n"/>
      <c r="G656" s="221" t="n"/>
      <c r="H656" s="108" t="n"/>
      <c r="I656" s="108" t="n"/>
      <c r="J656" s="109" t="n"/>
      <c r="K656" s="109" t="n"/>
      <c r="L656" s="108" t="n"/>
      <c r="M656" s="121">
        <f>IF($C656="","",IF($D656="Gider",$E656,IF($L656&lt;&gt;"",$L656,$H656)))</f>
        <v/>
      </c>
      <c r="N656" s="121">
        <f>IF($C656="","",IF($D656="Gider",$H656,$E656))</f>
        <v/>
      </c>
      <c r="O656" s="226">
        <f>IF($C656="","",DATE(YEAR($C656),MONTH($C656),1))</f>
        <v/>
      </c>
      <c r="P656" s="113">
        <f>IF($C656="","",IF(AND($D656="Gelir",$L656&lt;&gt;"",$T656=""),"TANIMSIZ BORÇLU",IF($T656&lt;&gt;"",IF(OR($E656="",$G656&lt;=0),"EKSİK",IF($I656="Evet","TAHAKKUK NAKİT OLAMAZ",IF($C656&gt;TODAY(),"İLERİ TARİH","TAHAKKUK"))),IF(AND($D656&lt;&gt;"",$E656&lt;&gt;"",$G656&gt;0,$H656&lt;&gt;"",$I656&lt;&gt;""),IF($C656&gt;TODAY(),"İLERİ TARİH",IF(COUNTIF($W$7:$W$1206,$W656)&gt;1,"MÜKERRER?",IF($AD656&gt;0,"KAPALI DÖNEM",IF($I656="Hayır","ÖDENECEK","UYGUN")))),"EKSİK"))))</f>
        <v/>
      </c>
      <c r="Q656" s="6" t="n"/>
      <c r="R656" s="6" t="n"/>
      <c r="S656" s="3">
        <f>IF($L656="","",UPPER(SUBSTITUTE(SUBSTITUTE(SUBSTITUTE(SUBSTITUTE(SUBSTITUTE(SUBSTITUTE(SUBSTITUTE(SUBSTITUTE(SUBSTITUTE(SUBSTITUTE(SUBSTITUTE(SUBSTITUTE(SUBSTITUTE(SUBSTITUTE(SUBSTITUTE(SUBSTITUTE(SUBSTITUTE(SUBSTITUTE(TRIM($L656),"'",""),"İ","I"),"ı","I"),"i","I"),"Ş","S"),"ş","S"),"Ğ","G"),"ğ","G"),"Ü","U"),"ü","U"),"Ö","O"),"ö","O"),"Ç","C"),"ç","C"),".",""),",","")," ",""),"-","")))</f>
        <v/>
      </c>
      <c r="T656" s="3">
        <f>IF(OR($C656="",$D656&lt;&gt;"Gelir",$L656=""),"",IFERROR(INDEX(MUSTERILER!$B$7:$B$106,MATCH($S656,MUSTERILER!$T$7:$T$106,0)),""))</f>
        <v/>
      </c>
      <c r="U656" s="3">
        <f>IF($T656="","",$T656&amp;"|"&amp;COUNTIFS($T$7:$T656,$T656))</f>
        <v/>
      </c>
      <c r="V656" s="3">
        <f>IF($T656="",0,1)</f>
        <v/>
      </c>
      <c r="W656" s="3">
        <f>IF($C656="","",$D656&amp;"|"&amp;$E656&amp;"|"&amp;TEXT($C656,"0")&amp;"|"&amp;TEXT($G656,"0")&amp;"|"&amp;$J656)</f>
        <v/>
      </c>
      <c r="X656" s="3" t="n"/>
      <c r="Y656" s="3" t="n"/>
      <c r="Z656" s="3" t="n"/>
      <c r="AA656" s="3" t="n"/>
      <c r="AB656" s="3" t="n"/>
      <c r="AC656" s="3" t="n"/>
      <c r="AD656" s="3">
        <f>IF($C656="",0,SUMPRODUCT((AY_SONU!$O$7:$O$42="Evet")*(AY_SONU!$B$7:$B$42=DATE(YEAR($C656),MONTH($C656),1))))</f>
        <v/>
      </c>
    </row>
    <row r="657">
      <c r="A657" s="6" t="n"/>
      <c r="B657" s="113">
        <f>IF($C657="","","GG"&amp;TEXT(ROW()-6,"00000"))</f>
        <v/>
      </c>
      <c r="C657" s="220" t="n"/>
      <c r="D657" s="108" t="n"/>
      <c r="E657" s="109" t="n"/>
      <c r="F657" s="109" t="n"/>
      <c r="G657" s="221" t="n"/>
      <c r="H657" s="108" t="n"/>
      <c r="I657" s="108" t="n"/>
      <c r="J657" s="109" t="n"/>
      <c r="K657" s="109" t="n"/>
      <c r="L657" s="108" t="n"/>
      <c r="M657" s="121">
        <f>IF($C657="","",IF($D657="Gider",$E657,IF($L657&lt;&gt;"",$L657,$H657)))</f>
        <v/>
      </c>
      <c r="N657" s="121">
        <f>IF($C657="","",IF($D657="Gider",$H657,$E657))</f>
        <v/>
      </c>
      <c r="O657" s="226">
        <f>IF($C657="","",DATE(YEAR($C657),MONTH($C657),1))</f>
        <v/>
      </c>
      <c r="P657" s="113">
        <f>IF($C657="","",IF(AND($D657="Gelir",$L657&lt;&gt;"",$T657=""),"TANIMSIZ BORÇLU",IF($T657&lt;&gt;"",IF(OR($E657="",$G657&lt;=0),"EKSİK",IF($I657="Evet","TAHAKKUK NAKİT OLAMAZ",IF($C657&gt;TODAY(),"İLERİ TARİH","TAHAKKUK"))),IF(AND($D657&lt;&gt;"",$E657&lt;&gt;"",$G657&gt;0,$H657&lt;&gt;"",$I657&lt;&gt;""),IF($C657&gt;TODAY(),"İLERİ TARİH",IF(COUNTIF($W$7:$W$1206,$W657)&gt;1,"MÜKERRER?",IF($AD657&gt;0,"KAPALI DÖNEM",IF($I657="Hayır","ÖDENECEK","UYGUN")))),"EKSİK"))))</f>
        <v/>
      </c>
      <c r="Q657" s="6" t="n"/>
      <c r="R657" s="6" t="n"/>
      <c r="S657" s="3">
        <f>IF($L657="","",UPPER(SUBSTITUTE(SUBSTITUTE(SUBSTITUTE(SUBSTITUTE(SUBSTITUTE(SUBSTITUTE(SUBSTITUTE(SUBSTITUTE(SUBSTITUTE(SUBSTITUTE(SUBSTITUTE(SUBSTITUTE(SUBSTITUTE(SUBSTITUTE(SUBSTITUTE(SUBSTITUTE(SUBSTITUTE(SUBSTITUTE(TRIM($L657),"'",""),"İ","I"),"ı","I"),"i","I"),"Ş","S"),"ş","S"),"Ğ","G"),"ğ","G"),"Ü","U"),"ü","U"),"Ö","O"),"ö","O"),"Ç","C"),"ç","C"),".",""),",","")," ",""),"-","")))</f>
        <v/>
      </c>
      <c r="T657" s="3">
        <f>IF(OR($C657="",$D657&lt;&gt;"Gelir",$L657=""),"",IFERROR(INDEX(MUSTERILER!$B$7:$B$106,MATCH($S657,MUSTERILER!$T$7:$T$106,0)),""))</f>
        <v/>
      </c>
      <c r="U657" s="3">
        <f>IF($T657="","",$T657&amp;"|"&amp;COUNTIFS($T$7:$T657,$T657))</f>
        <v/>
      </c>
      <c r="V657" s="3">
        <f>IF($T657="",0,1)</f>
        <v/>
      </c>
      <c r="W657" s="3">
        <f>IF($C657="","",$D657&amp;"|"&amp;$E657&amp;"|"&amp;TEXT($C657,"0")&amp;"|"&amp;TEXT($G657,"0")&amp;"|"&amp;$J657)</f>
        <v/>
      </c>
      <c r="X657" s="3" t="n"/>
      <c r="Y657" s="3" t="n"/>
      <c r="Z657" s="3" t="n"/>
      <c r="AA657" s="3" t="n"/>
      <c r="AB657" s="3" t="n"/>
      <c r="AC657" s="3" t="n"/>
      <c r="AD657" s="3">
        <f>IF($C657="",0,SUMPRODUCT((AY_SONU!$O$7:$O$42="Evet")*(AY_SONU!$B$7:$B$42=DATE(YEAR($C657),MONTH($C657),1))))</f>
        <v/>
      </c>
    </row>
    <row r="658">
      <c r="A658" s="6" t="n"/>
      <c r="B658" s="113">
        <f>IF($C658="","","GG"&amp;TEXT(ROW()-6,"00000"))</f>
        <v/>
      </c>
      <c r="C658" s="220" t="n"/>
      <c r="D658" s="108" t="n"/>
      <c r="E658" s="109" t="n"/>
      <c r="F658" s="109" t="n"/>
      <c r="G658" s="221" t="n"/>
      <c r="H658" s="108" t="n"/>
      <c r="I658" s="108" t="n"/>
      <c r="J658" s="109" t="n"/>
      <c r="K658" s="109" t="n"/>
      <c r="L658" s="108" t="n"/>
      <c r="M658" s="121">
        <f>IF($C658="","",IF($D658="Gider",$E658,IF($L658&lt;&gt;"",$L658,$H658)))</f>
        <v/>
      </c>
      <c r="N658" s="121">
        <f>IF($C658="","",IF($D658="Gider",$H658,$E658))</f>
        <v/>
      </c>
      <c r="O658" s="226">
        <f>IF($C658="","",DATE(YEAR($C658),MONTH($C658),1))</f>
        <v/>
      </c>
      <c r="P658" s="113">
        <f>IF($C658="","",IF(AND($D658="Gelir",$L658&lt;&gt;"",$T658=""),"TANIMSIZ BORÇLU",IF($T658&lt;&gt;"",IF(OR($E658="",$G658&lt;=0),"EKSİK",IF($I658="Evet","TAHAKKUK NAKİT OLAMAZ",IF($C658&gt;TODAY(),"İLERİ TARİH","TAHAKKUK"))),IF(AND($D658&lt;&gt;"",$E658&lt;&gt;"",$G658&gt;0,$H658&lt;&gt;"",$I658&lt;&gt;""),IF($C658&gt;TODAY(),"İLERİ TARİH",IF(COUNTIF($W$7:$W$1206,$W658)&gt;1,"MÜKERRER?",IF($AD658&gt;0,"KAPALI DÖNEM",IF($I658="Hayır","ÖDENECEK","UYGUN")))),"EKSİK"))))</f>
        <v/>
      </c>
      <c r="Q658" s="6" t="n"/>
      <c r="R658" s="6" t="n"/>
      <c r="S658" s="3">
        <f>IF($L658="","",UPPER(SUBSTITUTE(SUBSTITUTE(SUBSTITUTE(SUBSTITUTE(SUBSTITUTE(SUBSTITUTE(SUBSTITUTE(SUBSTITUTE(SUBSTITUTE(SUBSTITUTE(SUBSTITUTE(SUBSTITUTE(SUBSTITUTE(SUBSTITUTE(SUBSTITUTE(SUBSTITUTE(SUBSTITUTE(SUBSTITUTE(TRIM($L658),"'",""),"İ","I"),"ı","I"),"i","I"),"Ş","S"),"ş","S"),"Ğ","G"),"ğ","G"),"Ü","U"),"ü","U"),"Ö","O"),"ö","O"),"Ç","C"),"ç","C"),".",""),",","")," ",""),"-","")))</f>
        <v/>
      </c>
      <c r="T658" s="3">
        <f>IF(OR($C658="",$D658&lt;&gt;"Gelir",$L658=""),"",IFERROR(INDEX(MUSTERILER!$B$7:$B$106,MATCH($S658,MUSTERILER!$T$7:$T$106,0)),""))</f>
        <v/>
      </c>
      <c r="U658" s="3">
        <f>IF($T658="","",$T658&amp;"|"&amp;COUNTIFS($T$7:$T658,$T658))</f>
        <v/>
      </c>
      <c r="V658" s="3">
        <f>IF($T658="",0,1)</f>
        <v/>
      </c>
      <c r="W658" s="3">
        <f>IF($C658="","",$D658&amp;"|"&amp;$E658&amp;"|"&amp;TEXT($C658,"0")&amp;"|"&amp;TEXT($G658,"0")&amp;"|"&amp;$J658)</f>
        <v/>
      </c>
      <c r="X658" s="3" t="n"/>
      <c r="Y658" s="3" t="n"/>
      <c r="Z658" s="3" t="n"/>
      <c r="AA658" s="3" t="n"/>
      <c r="AB658" s="3" t="n"/>
      <c r="AC658" s="3" t="n"/>
      <c r="AD658" s="3">
        <f>IF($C658="",0,SUMPRODUCT((AY_SONU!$O$7:$O$42="Evet")*(AY_SONU!$B$7:$B$42=DATE(YEAR($C658),MONTH($C658),1))))</f>
        <v/>
      </c>
    </row>
    <row r="659">
      <c r="A659" s="6" t="n"/>
      <c r="B659" s="113">
        <f>IF($C659="","","GG"&amp;TEXT(ROW()-6,"00000"))</f>
        <v/>
      </c>
      <c r="C659" s="220" t="n"/>
      <c r="D659" s="108" t="n"/>
      <c r="E659" s="109" t="n"/>
      <c r="F659" s="109" t="n"/>
      <c r="G659" s="221" t="n"/>
      <c r="H659" s="108" t="n"/>
      <c r="I659" s="108" t="n"/>
      <c r="J659" s="109" t="n"/>
      <c r="K659" s="109" t="n"/>
      <c r="L659" s="108" t="n"/>
      <c r="M659" s="121">
        <f>IF($C659="","",IF($D659="Gider",$E659,IF($L659&lt;&gt;"",$L659,$H659)))</f>
        <v/>
      </c>
      <c r="N659" s="121">
        <f>IF($C659="","",IF($D659="Gider",$H659,$E659))</f>
        <v/>
      </c>
      <c r="O659" s="226">
        <f>IF($C659="","",DATE(YEAR($C659),MONTH($C659),1))</f>
        <v/>
      </c>
      <c r="P659" s="113">
        <f>IF($C659="","",IF(AND($D659="Gelir",$L659&lt;&gt;"",$T659=""),"TANIMSIZ BORÇLU",IF($T659&lt;&gt;"",IF(OR($E659="",$G659&lt;=0),"EKSİK",IF($I659="Evet","TAHAKKUK NAKİT OLAMAZ",IF($C659&gt;TODAY(),"İLERİ TARİH","TAHAKKUK"))),IF(AND($D659&lt;&gt;"",$E659&lt;&gt;"",$G659&gt;0,$H659&lt;&gt;"",$I659&lt;&gt;""),IF($C659&gt;TODAY(),"İLERİ TARİH",IF(COUNTIF($W$7:$W$1206,$W659)&gt;1,"MÜKERRER?",IF($AD659&gt;0,"KAPALI DÖNEM",IF($I659="Hayır","ÖDENECEK","UYGUN")))),"EKSİK"))))</f>
        <v/>
      </c>
      <c r="Q659" s="6" t="n"/>
      <c r="R659" s="6" t="n"/>
      <c r="S659" s="3">
        <f>IF($L659="","",UPPER(SUBSTITUTE(SUBSTITUTE(SUBSTITUTE(SUBSTITUTE(SUBSTITUTE(SUBSTITUTE(SUBSTITUTE(SUBSTITUTE(SUBSTITUTE(SUBSTITUTE(SUBSTITUTE(SUBSTITUTE(SUBSTITUTE(SUBSTITUTE(SUBSTITUTE(SUBSTITUTE(SUBSTITUTE(SUBSTITUTE(TRIM($L659),"'",""),"İ","I"),"ı","I"),"i","I"),"Ş","S"),"ş","S"),"Ğ","G"),"ğ","G"),"Ü","U"),"ü","U"),"Ö","O"),"ö","O"),"Ç","C"),"ç","C"),".",""),",","")," ",""),"-","")))</f>
        <v/>
      </c>
      <c r="T659" s="3">
        <f>IF(OR($C659="",$D659&lt;&gt;"Gelir",$L659=""),"",IFERROR(INDEX(MUSTERILER!$B$7:$B$106,MATCH($S659,MUSTERILER!$T$7:$T$106,0)),""))</f>
        <v/>
      </c>
      <c r="U659" s="3">
        <f>IF($T659="","",$T659&amp;"|"&amp;COUNTIFS($T$7:$T659,$T659))</f>
        <v/>
      </c>
      <c r="V659" s="3">
        <f>IF($T659="",0,1)</f>
        <v/>
      </c>
      <c r="W659" s="3">
        <f>IF($C659="","",$D659&amp;"|"&amp;$E659&amp;"|"&amp;TEXT($C659,"0")&amp;"|"&amp;TEXT($G659,"0")&amp;"|"&amp;$J659)</f>
        <v/>
      </c>
      <c r="X659" s="3" t="n"/>
      <c r="Y659" s="3" t="n"/>
      <c r="Z659" s="3" t="n"/>
      <c r="AA659" s="3" t="n"/>
      <c r="AB659" s="3" t="n"/>
      <c r="AC659" s="3" t="n"/>
      <c r="AD659" s="3">
        <f>IF($C659="",0,SUMPRODUCT((AY_SONU!$O$7:$O$42="Evet")*(AY_SONU!$B$7:$B$42=DATE(YEAR($C659),MONTH($C659),1))))</f>
        <v/>
      </c>
    </row>
    <row r="660">
      <c r="A660" s="6" t="n"/>
      <c r="B660" s="113">
        <f>IF($C660="","","GG"&amp;TEXT(ROW()-6,"00000"))</f>
        <v/>
      </c>
      <c r="C660" s="220" t="n"/>
      <c r="D660" s="108" t="n"/>
      <c r="E660" s="109" t="n"/>
      <c r="F660" s="109" t="n"/>
      <c r="G660" s="221" t="n"/>
      <c r="H660" s="108" t="n"/>
      <c r="I660" s="108" t="n"/>
      <c r="J660" s="109" t="n"/>
      <c r="K660" s="109" t="n"/>
      <c r="L660" s="108" t="n"/>
      <c r="M660" s="121">
        <f>IF($C660="","",IF($D660="Gider",$E660,IF($L660&lt;&gt;"",$L660,$H660)))</f>
        <v/>
      </c>
      <c r="N660" s="121">
        <f>IF($C660="","",IF($D660="Gider",$H660,$E660))</f>
        <v/>
      </c>
      <c r="O660" s="226">
        <f>IF($C660="","",DATE(YEAR($C660),MONTH($C660),1))</f>
        <v/>
      </c>
      <c r="P660" s="113">
        <f>IF($C660="","",IF(AND($D660="Gelir",$L660&lt;&gt;"",$T660=""),"TANIMSIZ BORÇLU",IF($T660&lt;&gt;"",IF(OR($E660="",$G660&lt;=0),"EKSİK",IF($I660="Evet","TAHAKKUK NAKİT OLAMAZ",IF($C660&gt;TODAY(),"İLERİ TARİH","TAHAKKUK"))),IF(AND($D660&lt;&gt;"",$E660&lt;&gt;"",$G660&gt;0,$H660&lt;&gt;"",$I660&lt;&gt;""),IF($C660&gt;TODAY(),"İLERİ TARİH",IF(COUNTIF($W$7:$W$1206,$W660)&gt;1,"MÜKERRER?",IF($AD660&gt;0,"KAPALI DÖNEM",IF($I660="Hayır","ÖDENECEK","UYGUN")))),"EKSİK"))))</f>
        <v/>
      </c>
      <c r="Q660" s="6" t="n"/>
      <c r="R660" s="6" t="n"/>
      <c r="S660" s="3">
        <f>IF($L660="","",UPPER(SUBSTITUTE(SUBSTITUTE(SUBSTITUTE(SUBSTITUTE(SUBSTITUTE(SUBSTITUTE(SUBSTITUTE(SUBSTITUTE(SUBSTITUTE(SUBSTITUTE(SUBSTITUTE(SUBSTITUTE(SUBSTITUTE(SUBSTITUTE(SUBSTITUTE(SUBSTITUTE(SUBSTITUTE(SUBSTITUTE(TRIM($L660),"'",""),"İ","I"),"ı","I"),"i","I"),"Ş","S"),"ş","S"),"Ğ","G"),"ğ","G"),"Ü","U"),"ü","U"),"Ö","O"),"ö","O"),"Ç","C"),"ç","C"),".",""),",","")," ",""),"-","")))</f>
        <v/>
      </c>
      <c r="T660" s="3">
        <f>IF(OR($C660="",$D660&lt;&gt;"Gelir",$L660=""),"",IFERROR(INDEX(MUSTERILER!$B$7:$B$106,MATCH($S660,MUSTERILER!$T$7:$T$106,0)),""))</f>
        <v/>
      </c>
      <c r="U660" s="3">
        <f>IF($T660="","",$T660&amp;"|"&amp;COUNTIFS($T$7:$T660,$T660))</f>
        <v/>
      </c>
      <c r="V660" s="3">
        <f>IF($T660="",0,1)</f>
        <v/>
      </c>
      <c r="W660" s="3">
        <f>IF($C660="","",$D660&amp;"|"&amp;$E660&amp;"|"&amp;TEXT($C660,"0")&amp;"|"&amp;TEXT($G660,"0")&amp;"|"&amp;$J660)</f>
        <v/>
      </c>
      <c r="X660" s="3" t="n"/>
      <c r="Y660" s="3" t="n"/>
      <c r="Z660" s="3" t="n"/>
      <c r="AA660" s="3" t="n"/>
      <c r="AB660" s="3" t="n"/>
      <c r="AC660" s="3" t="n"/>
      <c r="AD660" s="3">
        <f>IF($C660="",0,SUMPRODUCT((AY_SONU!$O$7:$O$42="Evet")*(AY_SONU!$B$7:$B$42=DATE(YEAR($C660),MONTH($C660),1))))</f>
        <v/>
      </c>
    </row>
    <row r="661">
      <c r="A661" s="6" t="n"/>
      <c r="B661" s="113">
        <f>IF($C661="","","GG"&amp;TEXT(ROW()-6,"00000"))</f>
        <v/>
      </c>
      <c r="C661" s="220" t="n"/>
      <c r="D661" s="108" t="n"/>
      <c r="E661" s="109" t="n"/>
      <c r="F661" s="109" t="n"/>
      <c r="G661" s="221" t="n"/>
      <c r="H661" s="108" t="n"/>
      <c r="I661" s="108" t="n"/>
      <c r="J661" s="109" t="n"/>
      <c r="K661" s="109" t="n"/>
      <c r="L661" s="108" t="n"/>
      <c r="M661" s="121">
        <f>IF($C661="","",IF($D661="Gider",$E661,IF($L661&lt;&gt;"",$L661,$H661)))</f>
        <v/>
      </c>
      <c r="N661" s="121">
        <f>IF($C661="","",IF($D661="Gider",$H661,$E661))</f>
        <v/>
      </c>
      <c r="O661" s="226">
        <f>IF($C661="","",DATE(YEAR($C661),MONTH($C661),1))</f>
        <v/>
      </c>
      <c r="P661" s="113">
        <f>IF($C661="","",IF(AND($D661="Gelir",$L661&lt;&gt;"",$T661=""),"TANIMSIZ BORÇLU",IF($T661&lt;&gt;"",IF(OR($E661="",$G661&lt;=0),"EKSİK",IF($I661="Evet","TAHAKKUK NAKİT OLAMAZ",IF($C661&gt;TODAY(),"İLERİ TARİH","TAHAKKUK"))),IF(AND($D661&lt;&gt;"",$E661&lt;&gt;"",$G661&gt;0,$H661&lt;&gt;"",$I661&lt;&gt;""),IF($C661&gt;TODAY(),"İLERİ TARİH",IF(COUNTIF($W$7:$W$1206,$W661)&gt;1,"MÜKERRER?",IF($AD661&gt;0,"KAPALI DÖNEM",IF($I661="Hayır","ÖDENECEK","UYGUN")))),"EKSİK"))))</f>
        <v/>
      </c>
      <c r="Q661" s="6" t="n"/>
      <c r="R661" s="6" t="n"/>
      <c r="S661" s="3">
        <f>IF($L661="","",UPPER(SUBSTITUTE(SUBSTITUTE(SUBSTITUTE(SUBSTITUTE(SUBSTITUTE(SUBSTITUTE(SUBSTITUTE(SUBSTITUTE(SUBSTITUTE(SUBSTITUTE(SUBSTITUTE(SUBSTITUTE(SUBSTITUTE(SUBSTITUTE(SUBSTITUTE(SUBSTITUTE(SUBSTITUTE(SUBSTITUTE(TRIM($L661),"'",""),"İ","I"),"ı","I"),"i","I"),"Ş","S"),"ş","S"),"Ğ","G"),"ğ","G"),"Ü","U"),"ü","U"),"Ö","O"),"ö","O"),"Ç","C"),"ç","C"),".",""),",","")," ",""),"-","")))</f>
        <v/>
      </c>
      <c r="T661" s="3">
        <f>IF(OR($C661="",$D661&lt;&gt;"Gelir",$L661=""),"",IFERROR(INDEX(MUSTERILER!$B$7:$B$106,MATCH($S661,MUSTERILER!$T$7:$T$106,0)),""))</f>
        <v/>
      </c>
      <c r="U661" s="3">
        <f>IF($T661="","",$T661&amp;"|"&amp;COUNTIFS($T$7:$T661,$T661))</f>
        <v/>
      </c>
      <c r="V661" s="3">
        <f>IF($T661="",0,1)</f>
        <v/>
      </c>
      <c r="W661" s="3">
        <f>IF($C661="","",$D661&amp;"|"&amp;$E661&amp;"|"&amp;TEXT($C661,"0")&amp;"|"&amp;TEXT($G661,"0")&amp;"|"&amp;$J661)</f>
        <v/>
      </c>
      <c r="X661" s="3" t="n"/>
      <c r="Y661" s="3" t="n"/>
      <c r="Z661" s="3" t="n"/>
      <c r="AA661" s="3" t="n"/>
      <c r="AB661" s="3" t="n"/>
      <c r="AC661" s="3" t="n"/>
      <c r="AD661" s="3">
        <f>IF($C661="",0,SUMPRODUCT((AY_SONU!$O$7:$O$42="Evet")*(AY_SONU!$B$7:$B$42=DATE(YEAR($C661),MONTH($C661),1))))</f>
        <v/>
      </c>
    </row>
    <row r="662">
      <c r="A662" s="6" t="n"/>
      <c r="B662" s="113">
        <f>IF($C662="","","GG"&amp;TEXT(ROW()-6,"00000"))</f>
        <v/>
      </c>
      <c r="C662" s="220" t="n"/>
      <c r="D662" s="108" t="n"/>
      <c r="E662" s="109" t="n"/>
      <c r="F662" s="109" t="n"/>
      <c r="G662" s="221" t="n"/>
      <c r="H662" s="108" t="n"/>
      <c r="I662" s="108" t="n"/>
      <c r="J662" s="109" t="n"/>
      <c r="K662" s="109" t="n"/>
      <c r="L662" s="108" t="n"/>
      <c r="M662" s="121">
        <f>IF($C662="","",IF($D662="Gider",$E662,IF($L662&lt;&gt;"",$L662,$H662)))</f>
        <v/>
      </c>
      <c r="N662" s="121">
        <f>IF($C662="","",IF($D662="Gider",$H662,$E662))</f>
        <v/>
      </c>
      <c r="O662" s="226">
        <f>IF($C662="","",DATE(YEAR($C662),MONTH($C662),1))</f>
        <v/>
      </c>
      <c r="P662" s="113">
        <f>IF($C662="","",IF(AND($D662="Gelir",$L662&lt;&gt;"",$T662=""),"TANIMSIZ BORÇLU",IF($T662&lt;&gt;"",IF(OR($E662="",$G662&lt;=0),"EKSİK",IF($I662="Evet","TAHAKKUK NAKİT OLAMAZ",IF($C662&gt;TODAY(),"İLERİ TARİH","TAHAKKUK"))),IF(AND($D662&lt;&gt;"",$E662&lt;&gt;"",$G662&gt;0,$H662&lt;&gt;"",$I662&lt;&gt;""),IF($C662&gt;TODAY(),"İLERİ TARİH",IF(COUNTIF($W$7:$W$1206,$W662)&gt;1,"MÜKERRER?",IF($AD662&gt;0,"KAPALI DÖNEM",IF($I662="Hayır","ÖDENECEK","UYGUN")))),"EKSİK"))))</f>
        <v/>
      </c>
      <c r="Q662" s="6" t="n"/>
      <c r="R662" s="6" t="n"/>
      <c r="S662" s="3">
        <f>IF($L662="","",UPPER(SUBSTITUTE(SUBSTITUTE(SUBSTITUTE(SUBSTITUTE(SUBSTITUTE(SUBSTITUTE(SUBSTITUTE(SUBSTITUTE(SUBSTITUTE(SUBSTITUTE(SUBSTITUTE(SUBSTITUTE(SUBSTITUTE(SUBSTITUTE(SUBSTITUTE(SUBSTITUTE(SUBSTITUTE(SUBSTITUTE(TRIM($L662),"'",""),"İ","I"),"ı","I"),"i","I"),"Ş","S"),"ş","S"),"Ğ","G"),"ğ","G"),"Ü","U"),"ü","U"),"Ö","O"),"ö","O"),"Ç","C"),"ç","C"),".",""),",","")," ",""),"-","")))</f>
        <v/>
      </c>
      <c r="T662" s="3">
        <f>IF(OR($C662="",$D662&lt;&gt;"Gelir",$L662=""),"",IFERROR(INDEX(MUSTERILER!$B$7:$B$106,MATCH($S662,MUSTERILER!$T$7:$T$106,0)),""))</f>
        <v/>
      </c>
      <c r="U662" s="3">
        <f>IF($T662="","",$T662&amp;"|"&amp;COUNTIFS($T$7:$T662,$T662))</f>
        <v/>
      </c>
      <c r="V662" s="3">
        <f>IF($T662="",0,1)</f>
        <v/>
      </c>
      <c r="W662" s="3">
        <f>IF($C662="","",$D662&amp;"|"&amp;$E662&amp;"|"&amp;TEXT($C662,"0")&amp;"|"&amp;TEXT($G662,"0")&amp;"|"&amp;$J662)</f>
        <v/>
      </c>
      <c r="X662" s="3" t="n"/>
      <c r="Y662" s="3" t="n"/>
      <c r="Z662" s="3" t="n"/>
      <c r="AA662" s="3" t="n"/>
      <c r="AB662" s="3" t="n"/>
      <c r="AC662" s="3" t="n"/>
      <c r="AD662" s="3">
        <f>IF($C662="",0,SUMPRODUCT((AY_SONU!$O$7:$O$42="Evet")*(AY_SONU!$B$7:$B$42=DATE(YEAR($C662),MONTH($C662),1))))</f>
        <v/>
      </c>
    </row>
    <row r="663">
      <c r="A663" s="6" t="n"/>
      <c r="B663" s="113">
        <f>IF($C663="","","GG"&amp;TEXT(ROW()-6,"00000"))</f>
        <v/>
      </c>
      <c r="C663" s="220" t="n"/>
      <c r="D663" s="108" t="n"/>
      <c r="E663" s="109" t="n"/>
      <c r="F663" s="109" t="n"/>
      <c r="G663" s="221" t="n"/>
      <c r="H663" s="108" t="n"/>
      <c r="I663" s="108" t="n"/>
      <c r="J663" s="109" t="n"/>
      <c r="K663" s="109" t="n"/>
      <c r="L663" s="108" t="n"/>
      <c r="M663" s="121">
        <f>IF($C663="","",IF($D663="Gider",$E663,IF($L663&lt;&gt;"",$L663,$H663)))</f>
        <v/>
      </c>
      <c r="N663" s="121">
        <f>IF($C663="","",IF($D663="Gider",$H663,$E663))</f>
        <v/>
      </c>
      <c r="O663" s="226">
        <f>IF($C663="","",DATE(YEAR($C663),MONTH($C663),1))</f>
        <v/>
      </c>
      <c r="P663" s="113">
        <f>IF($C663="","",IF(AND($D663="Gelir",$L663&lt;&gt;"",$T663=""),"TANIMSIZ BORÇLU",IF($T663&lt;&gt;"",IF(OR($E663="",$G663&lt;=0),"EKSİK",IF($I663="Evet","TAHAKKUK NAKİT OLAMAZ",IF($C663&gt;TODAY(),"İLERİ TARİH","TAHAKKUK"))),IF(AND($D663&lt;&gt;"",$E663&lt;&gt;"",$G663&gt;0,$H663&lt;&gt;"",$I663&lt;&gt;""),IF($C663&gt;TODAY(),"İLERİ TARİH",IF(COUNTIF($W$7:$W$1206,$W663)&gt;1,"MÜKERRER?",IF($AD663&gt;0,"KAPALI DÖNEM",IF($I663="Hayır","ÖDENECEK","UYGUN")))),"EKSİK"))))</f>
        <v/>
      </c>
      <c r="Q663" s="6" t="n"/>
      <c r="R663" s="6" t="n"/>
      <c r="S663" s="3">
        <f>IF($L663="","",UPPER(SUBSTITUTE(SUBSTITUTE(SUBSTITUTE(SUBSTITUTE(SUBSTITUTE(SUBSTITUTE(SUBSTITUTE(SUBSTITUTE(SUBSTITUTE(SUBSTITUTE(SUBSTITUTE(SUBSTITUTE(SUBSTITUTE(SUBSTITUTE(SUBSTITUTE(SUBSTITUTE(SUBSTITUTE(SUBSTITUTE(TRIM($L663),"'",""),"İ","I"),"ı","I"),"i","I"),"Ş","S"),"ş","S"),"Ğ","G"),"ğ","G"),"Ü","U"),"ü","U"),"Ö","O"),"ö","O"),"Ç","C"),"ç","C"),".",""),",","")," ",""),"-","")))</f>
        <v/>
      </c>
      <c r="T663" s="3">
        <f>IF(OR($C663="",$D663&lt;&gt;"Gelir",$L663=""),"",IFERROR(INDEX(MUSTERILER!$B$7:$B$106,MATCH($S663,MUSTERILER!$T$7:$T$106,0)),""))</f>
        <v/>
      </c>
      <c r="U663" s="3">
        <f>IF($T663="","",$T663&amp;"|"&amp;COUNTIFS($T$7:$T663,$T663))</f>
        <v/>
      </c>
      <c r="V663" s="3">
        <f>IF($T663="",0,1)</f>
        <v/>
      </c>
      <c r="W663" s="3">
        <f>IF($C663="","",$D663&amp;"|"&amp;$E663&amp;"|"&amp;TEXT($C663,"0")&amp;"|"&amp;TEXT($G663,"0")&amp;"|"&amp;$J663)</f>
        <v/>
      </c>
      <c r="X663" s="3" t="n"/>
      <c r="Y663" s="3" t="n"/>
      <c r="Z663" s="3" t="n"/>
      <c r="AA663" s="3" t="n"/>
      <c r="AB663" s="3" t="n"/>
      <c r="AC663" s="3" t="n"/>
      <c r="AD663" s="3">
        <f>IF($C663="",0,SUMPRODUCT((AY_SONU!$O$7:$O$42="Evet")*(AY_SONU!$B$7:$B$42=DATE(YEAR($C663),MONTH($C663),1))))</f>
        <v/>
      </c>
    </row>
    <row r="664">
      <c r="A664" s="6" t="n"/>
      <c r="B664" s="113">
        <f>IF($C664="","","GG"&amp;TEXT(ROW()-6,"00000"))</f>
        <v/>
      </c>
      <c r="C664" s="220" t="n"/>
      <c r="D664" s="108" t="n"/>
      <c r="E664" s="109" t="n"/>
      <c r="F664" s="109" t="n"/>
      <c r="G664" s="221" t="n"/>
      <c r="H664" s="108" t="n"/>
      <c r="I664" s="108" t="n"/>
      <c r="J664" s="109" t="n"/>
      <c r="K664" s="109" t="n"/>
      <c r="L664" s="108" t="n"/>
      <c r="M664" s="121">
        <f>IF($C664="","",IF($D664="Gider",$E664,IF($L664&lt;&gt;"",$L664,$H664)))</f>
        <v/>
      </c>
      <c r="N664" s="121">
        <f>IF($C664="","",IF($D664="Gider",$H664,$E664))</f>
        <v/>
      </c>
      <c r="O664" s="226">
        <f>IF($C664="","",DATE(YEAR($C664),MONTH($C664),1))</f>
        <v/>
      </c>
      <c r="P664" s="113">
        <f>IF($C664="","",IF(AND($D664="Gelir",$L664&lt;&gt;"",$T664=""),"TANIMSIZ BORÇLU",IF($T664&lt;&gt;"",IF(OR($E664="",$G664&lt;=0),"EKSİK",IF($I664="Evet","TAHAKKUK NAKİT OLAMAZ",IF($C664&gt;TODAY(),"İLERİ TARİH","TAHAKKUK"))),IF(AND($D664&lt;&gt;"",$E664&lt;&gt;"",$G664&gt;0,$H664&lt;&gt;"",$I664&lt;&gt;""),IF($C664&gt;TODAY(),"İLERİ TARİH",IF(COUNTIF($W$7:$W$1206,$W664)&gt;1,"MÜKERRER?",IF($AD664&gt;0,"KAPALI DÖNEM",IF($I664="Hayır","ÖDENECEK","UYGUN")))),"EKSİK"))))</f>
        <v/>
      </c>
      <c r="Q664" s="6" t="n"/>
      <c r="R664" s="6" t="n"/>
      <c r="S664" s="3">
        <f>IF($L664="","",UPPER(SUBSTITUTE(SUBSTITUTE(SUBSTITUTE(SUBSTITUTE(SUBSTITUTE(SUBSTITUTE(SUBSTITUTE(SUBSTITUTE(SUBSTITUTE(SUBSTITUTE(SUBSTITUTE(SUBSTITUTE(SUBSTITUTE(SUBSTITUTE(SUBSTITUTE(SUBSTITUTE(SUBSTITUTE(SUBSTITUTE(TRIM($L664),"'",""),"İ","I"),"ı","I"),"i","I"),"Ş","S"),"ş","S"),"Ğ","G"),"ğ","G"),"Ü","U"),"ü","U"),"Ö","O"),"ö","O"),"Ç","C"),"ç","C"),".",""),",","")," ",""),"-","")))</f>
        <v/>
      </c>
      <c r="T664" s="3">
        <f>IF(OR($C664="",$D664&lt;&gt;"Gelir",$L664=""),"",IFERROR(INDEX(MUSTERILER!$B$7:$B$106,MATCH($S664,MUSTERILER!$T$7:$T$106,0)),""))</f>
        <v/>
      </c>
      <c r="U664" s="3">
        <f>IF($T664="","",$T664&amp;"|"&amp;COUNTIFS($T$7:$T664,$T664))</f>
        <v/>
      </c>
      <c r="V664" s="3">
        <f>IF($T664="",0,1)</f>
        <v/>
      </c>
      <c r="W664" s="3">
        <f>IF($C664="","",$D664&amp;"|"&amp;$E664&amp;"|"&amp;TEXT($C664,"0")&amp;"|"&amp;TEXT($G664,"0")&amp;"|"&amp;$J664)</f>
        <v/>
      </c>
      <c r="X664" s="3" t="n"/>
      <c r="Y664" s="3" t="n"/>
      <c r="Z664" s="3" t="n"/>
      <c r="AA664" s="3" t="n"/>
      <c r="AB664" s="3" t="n"/>
      <c r="AC664" s="3" t="n"/>
      <c r="AD664" s="3">
        <f>IF($C664="",0,SUMPRODUCT((AY_SONU!$O$7:$O$42="Evet")*(AY_SONU!$B$7:$B$42=DATE(YEAR($C664),MONTH($C664),1))))</f>
        <v/>
      </c>
    </row>
    <row r="665">
      <c r="A665" s="6" t="n"/>
      <c r="B665" s="113">
        <f>IF($C665="","","GG"&amp;TEXT(ROW()-6,"00000"))</f>
        <v/>
      </c>
      <c r="C665" s="220" t="n"/>
      <c r="D665" s="108" t="n"/>
      <c r="E665" s="109" t="n"/>
      <c r="F665" s="109" t="n"/>
      <c r="G665" s="221" t="n"/>
      <c r="H665" s="108" t="n"/>
      <c r="I665" s="108" t="n"/>
      <c r="J665" s="109" t="n"/>
      <c r="K665" s="109" t="n"/>
      <c r="L665" s="108" t="n"/>
      <c r="M665" s="121">
        <f>IF($C665="","",IF($D665="Gider",$E665,IF($L665&lt;&gt;"",$L665,$H665)))</f>
        <v/>
      </c>
      <c r="N665" s="121">
        <f>IF($C665="","",IF($D665="Gider",$H665,$E665))</f>
        <v/>
      </c>
      <c r="O665" s="226">
        <f>IF($C665="","",DATE(YEAR($C665),MONTH($C665),1))</f>
        <v/>
      </c>
      <c r="P665" s="113">
        <f>IF($C665="","",IF(AND($D665="Gelir",$L665&lt;&gt;"",$T665=""),"TANIMSIZ BORÇLU",IF($T665&lt;&gt;"",IF(OR($E665="",$G665&lt;=0),"EKSİK",IF($I665="Evet","TAHAKKUK NAKİT OLAMAZ",IF($C665&gt;TODAY(),"İLERİ TARİH","TAHAKKUK"))),IF(AND($D665&lt;&gt;"",$E665&lt;&gt;"",$G665&gt;0,$H665&lt;&gt;"",$I665&lt;&gt;""),IF($C665&gt;TODAY(),"İLERİ TARİH",IF(COUNTIF($W$7:$W$1206,$W665)&gt;1,"MÜKERRER?",IF($AD665&gt;0,"KAPALI DÖNEM",IF($I665="Hayır","ÖDENECEK","UYGUN")))),"EKSİK"))))</f>
        <v/>
      </c>
      <c r="Q665" s="6" t="n"/>
      <c r="R665" s="6" t="n"/>
      <c r="S665" s="3">
        <f>IF($L665="","",UPPER(SUBSTITUTE(SUBSTITUTE(SUBSTITUTE(SUBSTITUTE(SUBSTITUTE(SUBSTITUTE(SUBSTITUTE(SUBSTITUTE(SUBSTITUTE(SUBSTITUTE(SUBSTITUTE(SUBSTITUTE(SUBSTITUTE(SUBSTITUTE(SUBSTITUTE(SUBSTITUTE(SUBSTITUTE(SUBSTITUTE(TRIM($L665),"'",""),"İ","I"),"ı","I"),"i","I"),"Ş","S"),"ş","S"),"Ğ","G"),"ğ","G"),"Ü","U"),"ü","U"),"Ö","O"),"ö","O"),"Ç","C"),"ç","C"),".",""),",","")," ",""),"-","")))</f>
        <v/>
      </c>
      <c r="T665" s="3">
        <f>IF(OR($C665="",$D665&lt;&gt;"Gelir",$L665=""),"",IFERROR(INDEX(MUSTERILER!$B$7:$B$106,MATCH($S665,MUSTERILER!$T$7:$T$106,0)),""))</f>
        <v/>
      </c>
      <c r="U665" s="3">
        <f>IF($T665="","",$T665&amp;"|"&amp;COUNTIFS($T$7:$T665,$T665))</f>
        <v/>
      </c>
      <c r="V665" s="3">
        <f>IF($T665="",0,1)</f>
        <v/>
      </c>
      <c r="W665" s="3">
        <f>IF($C665="","",$D665&amp;"|"&amp;$E665&amp;"|"&amp;TEXT($C665,"0")&amp;"|"&amp;TEXT($G665,"0")&amp;"|"&amp;$J665)</f>
        <v/>
      </c>
      <c r="X665" s="3" t="n"/>
      <c r="Y665" s="3" t="n"/>
      <c r="Z665" s="3" t="n"/>
      <c r="AA665" s="3" t="n"/>
      <c r="AB665" s="3" t="n"/>
      <c r="AC665" s="3" t="n"/>
      <c r="AD665" s="3">
        <f>IF($C665="",0,SUMPRODUCT((AY_SONU!$O$7:$O$42="Evet")*(AY_SONU!$B$7:$B$42=DATE(YEAR($C665),MONTH($C665),1))))</f>
        <v/>
      </c>
    </row>
    <row r="666">
      <c r="A666" s="6" t="n"/>
      <c r="B666" s="113">
        <f>IF($C666="","","GG"&amp;TEXT(ROW()-6,"00000"))</f>
        <v/>
      </c>
      <c r="C666" s="220" t="n"/>
      <c r="D666" s="108" t="n"/>
      <c r="E666" s="109" t="n"/>
      <c r="F666" s="109" t="n"/>
      <c r="G666" s="221" t="n"/>
      <c r="H666" s="108" t="n"/>
      <c r="I666" s="108" t="n"/>
      <c r="J666" s="109" t="n"/>
      <c r="K666" s="109" t="n"/>
      <c r="L666" s="108" t="n"/>
      <c r="M666" s="121">
        <f>IF($C666="","",IF($D666="Gider",$E666,IF($L666&lt;&gt;"",$L666,$H666)))</f>
        <v/>
      </c>
      <c r="N666" s="121">
        <f>IF($C666="","",IF($D666="Gider",$H666,$E666))</f>
        <v/>
      </c>
      <c r="O666" s="226">
        <f>IF($C666="","",DATE(YEAR($C666),MONTH($C666),1))</f>
        <v/>
      </c>
      <c r="P666" s="113">
        <f>IF($C666="","",IF(AND($D666="Gelir",$L666&lt;&gt;"",$T666=""),"TANIMSIZ BORÇLU",IF($T666&lt;&gt;"",IF(OR($E666="",$G666&lt;=0),"EKSİK",IF($I666="Evet","TAHAKKUK NAKİT OLAMAZ",IF($C666&gt;TODAY(),"İLERİ TARİH","TAHAKKUK"))),IF(AND($D666&lt;&gt;"",$E666&lt;&gt;"",$G666&gt;0,$H666&lt;&gt;"",$I666&lt;&gt;""),IF($C666&gt;TODAY(),"İLERİ TARİH",IF(COUNTIF($W$7:$W$1206,$W666)&gt;1,"MÜKERRER?",IF($AD666&gt;0,"KAPALI DÖNEM",IF($I666="Hayır","ÖDENECEK","UYGUN")))),"EKSİK"))))</f>
        <v/>
      </c>
      <c r="Q666" s="6" t="n"/>
      <c r="R666" s="6" t="n"/>
      <c r="S666" s="3">
        <f>IF($L666="","",UPPER(SUBSTITUTE(SUBSTITUTE(SUBSTITUTE(SUBSTITUTE(SUBSTITUTE(SUBSTITUTE(SUBSTITUTE(SUBSTITUTE(SUBSTITUTE(SUBSTITUTE(SUBSTITUTE(SUBSTITUTE(SUBSTITUTE(SUBSTITUTE(SUBSTITUTE(SUBSTITUTE(SUBSTITUTE(SUBSTITUTE(TRIM($L666),"'",""),"İ","I"),"ı","I"),"i","I"),"Ş","S"),"ş","S"),"Ğ","G"),"ğ","G"),"Ü","U"),"ü","U"),"Ö","O"),"ö","O"),"Ç","C"),"ç","C"),".",""),",","")," ",""),"-","")))</f>
        <v/>
      </c>
      <c r="T666" s="3">
        <f>IF(OR($C666="",$D666&lt;&gt;"Gelir",$L666=""),"",IFERROR(INDEX(MUSTERILER!$B$7:$B$106,MATCH($S666,MUSTERILER!$T$7:$T$106,0)),""))</f>
        <v/>
      </c>
      <c r="U666" s="3">
        <f>IF($T666="","",$T666&amp;"|"&amp;COUNTIFS($T$7:$T666,$T666))</f>
        <v/>
      </c>
      <c r="V666" s="3">
        <f>IF($T666="",0,1)</f>
        <v/>
      </c>
      <c r="W666" s="3">
        <f>IF($C666="","",$D666&amp;"|"&amp;$E666&amp;"|"&amp;TEXT($C666,"0")&amp;"|"&amp;TEXT($G666,"0")&amp;"|"&amp;$J666)</f>
        <v/>
      </c>
      <c r="X666" s="3" t="n"/>
      <c r="Y666" s="3" t="n"/>
      <c r="Z666" s="3" t="n"/>
      <c r="AA666" s="3" t="n"/>
      <c r="AB666" s="3" t="n"/>
      <c r="AC666" s="3" t="n"/>
      <c r="AD666" s="3">
        <f>IF($C666="",0,SUMPRODUCT((AY_SONU!$O$7:$O$42="Evet")*(AY_SONU!$B$7:$B$42=DATE(YEAR($C666),MONTH($C666),1))))</f>
        <v/>
      </c>
    </row>
    <row r="667">
      <c r="A667" s="6" t="n"/>
      <c r="B667" s="113">
        <f>IF($C667="","","GG"&amp;TEXT(ROW()-6,"00000"))</f>
        <v/>
      </c>
      <c r="C667" s="220" t="n"/>
      <c r="D667" s="108" t="n"/>
      <c r="E667" s="109" t="n"/>
      <c r="F667" s="109" t="n"/>
      <c r="G667" s="221" t="n"/>
      <c r="H667" s="108" t="n"/>
      <c r="I667" s="108" t="n"/>
      <c r="J667" s="109" t="n"/>
      <c r="K667" s="109" t="n"/>
      <c r="L667" s="108" t="n"/>
      <c r="M667" s="121">
        <f>IF($C667="","",IF($D667="Gider",$E667,IF($L667&lt;&gt;"",$L667,$H667)))</f>
        <v/>
      </c>
      <c r="N667" s="121">
        <f>IF($C667="","",IF($D667="Gider",$H667,$E667))</f>
        <v/>
      </c>
      <c r="O667" s="226">
        <f>IF($C667="","",DATE(YEAR($C667),MONTH($C667),1))</f>
        <v/>
      </c>
      <c r="P667" s="113">
        <f>IF($C667="","",IF(AND($D667="Gelir",$L667&lt;&gt;"",$T667=""),"TANIMSIZ BORÇLU",IF($T667&lt;&gt;"",IF(OR($E667="",$G667&lt;=0),"EKSİK",IF($I667="Evet","TAHAKKUK NAKİT OLAMAZ",IF($C667&gt;TODAY(),"İLERİ TARİH","TAHAKKUK"))),IF(AND($D667&lt;&gt;"",$E667&lt;&gt;"",$G667&gt;0,$H667&lt;&gt;"",$I667&lt;&gt;""),IF($C667&gt;TODAY(),"İLERİ TARİH",IF(COUNTIF($W$7:$W$1206,$W667)&gt;1,"MÜKERRER?",IF($AD667&gt;0,"KAPALI DÖNEM",IF($I667="Hayır","ÖDENECEK","UYGUN")))),"EKSİK"))))</f>
        <v/>
      </c>
      <c r="Q667" s="6" t="n"/>
      <c r="R667" s="6" t="n"/>
      <c r="S667" s="3">
        <f>IF($L667="","",UPPER(SUBSTITUTE(SUBSTITUTE(SUBSTITUTE(SUBSTITUTE(SUBSTITUTE(SUBSTITUTE(SUBSTITUTE(SUBSTITUTE(SUBSTITUTE(SUBSTITUTE(SUBSTITUTE(SUBSTITUTE(SUBSTITUTE(SUBSTITUTE(SUBSTITUTE(SUBSTITUTE(SUBSTITUTE(SUBSTITUTE(TRIM($L667),"'",""),"İ","I"),"ı","I"),"i","I"),"Ş","S"),"ş","S"),"Ğ","G"),"ğ","G"),"Ü","U"),"ü","U"),"Ö","O"),"ö","O"),"Ç","C"),"ç","C"),".",""),",","")," ",""),"-","")))</f>
        <v/>
      </c>
      <c r="T667" s="3">
        <f>IF(OR($C667="",$D667&lt;&gt;"Gelir",$L667=""),"",IFERROR(INDEX(MUSTERILER!$B$7:$B$106,MATCH($S667,MUSTERILER!$T$7:$T$106,0)),""))</f>
        <v/>
      </c>
      <c r="U667" s="3">
        <f>IF($T667="","",$T667&amp;"|"&amp;COUNTIFS($T$7:$T667,$T667))</f>
        <v/>
      </c>
      <c r="V667" s="3">
        <f>IF($T667="",0,1)</f>
        <v/>
      </c>
      <c r="W667" s="3">
        <f>IF($C667="","",$D667&amp;"|"&amp;$E667&amp;"|"&amp;TEXT($C667,"0")&amp;"|"&amp;TEXT($G667,"0")&amp;"|"&amp;$J667)</f>
        <v/>
      </c>
      <c r="X667" s="3" t="n"/>
      <c r="Y667" s="3" t="n"/>
      <c r="Z667" s="3" t="n"/>
      <c r="AA667" s="3" t="n"/>
      <c r="AB667" s="3" t="n"/>
      <c r="AC667" s="3" t="n"/>
      <c r="AD667" s="3">
        <f>IF($C667="",0,SUMPRODUCT((AY_SONU!$O$7:$O$42="Evet")*(AY_SONU!$B$7:$B$42=DATE(YEAR($C667),MONTH($C667),1))))</f>
        <v/>
      </c>
    </row>
    <row r="668">
      <c r="A668" s="6" t="n"/>
      <c r="B668" s="113">
        <f>IF($C668="","","GG"&amp;TEXT(ROW()-6,"00000"))</f>
        <v/>
      </c>
      <c r="C668" s="220" t="n"/>
      <c r="D668" s="108" t="n"/>
      <c r="E668" s="109" t="n"/>
      <c r="F668" s="109" t="n"/>
      <c r="G668" s="221" t="n"/>
      <c r="H668" s="108" t="n"/>
      <c r="I668" s="108" t="n"/>
      <c r="J668" s="109" t="n"/>
      <c r="K668" s="109" t="n"/>
      <c r="L668" s="108" t="n"/>
      <c r="M668" s="121">
        <f>IF($C668="","",IF($D668="Gider",$E668,IF($L668&lt;&gt;"",$L668,$H668)))</f>
        <v/>
      </c>
      <c r="N668" s="121">
        <f>IF($C668="","",IF($D668="Gider",$H668,$E668))</f>
        <v/>
      </c>
      <c r="O668" s="226">
        <f>IF($C668="","",DATE(YEAR($C668),MONTH($C668),1))</f>
        <v/>
      </c>
      <c r="P668" s="113">
        <f>IF($C668="","",IF(AND($D668="Gelir",$L668&lt;&gt;"",$T668=""),"TANIMSIZ BORÇLU",IF($T668&lt;&gt;"",IF(OR($E668="",$G668&lt;=0),"EKSİK",IF($I668="Evet","TAHAKKUK NAKİT OLAMAZ",IF($C668&gt;TODAY(),"İLERİ TARİH","TAHAKKUK"))),IF(AND($D668&lt;&gt;"",$E668&lt;&gt;"",$G668&gt;0,$H668&lt;&gt;"",$I668&lt;&gt;""),IF($C668&gt;TODAY(),"İLERİ TARİH",IF(COUNTIF($W$7:$W$1206,$W668)&gt;1,"MÜKERRER?",IF($AD668&gt;0,"KAPALI DÖNEM",IF($I668="Hayır","ÖDENECEK","UYGUN")))),"EKSİK"))))</f>
        <v/>
      </c>
      <c r="Q668" s="6" t="n"/>
      <c r="R668" s="6" t="n"/>
      <c r="S668" s="3">
        <f>IF($L668="","",UPPER(SUBSTITUTE(SUBSTITUTE(SUBSTITUTE(SUBSTITUTE(SUBSTITUTE(SUBSTITUTE(SUBSTITUTE(SUBSTITUTE(SUBSTITUTE(SUBSTITUTE(SUBSTITUTE(SUBSTITUTE(SUBSTITUTE(SUBSTITUTE(SUBSTITUTE(SUBSTITUTE(SUBSTITUTE(SUBSTITUTE(TRIM($L668),"'",""),"İ","I"),"ı","I"),"i","I"),"Ş","S"),"ş","S"),"Ğ","G"),"ğ","G"),"Ü","U"),"ü","U"),"Ö","O"),"ö","O"),"Ç","C"),"ç","C"),".",""),",","")," ",""),"-","")))</f>
        <v/>
      </c>
      <c r="T668" s="3">
        <f>IF(OR($C668="",$D668&lt;&gt;"Gelir",$L668=""),"",IFERROR(INDEX(MUSTERILER!$B$7:$B$106,MATCH($S668,MUSTERILER!$T$7:$T$106,0)),""))</f>
        <v/>
      </c>
      <c r="U668" s="3">
        <f>IF($T668="","",$T668&amp;"|"&amp;COUNTIFS($T$7:$T668,$T668))</f>
        <v/>
      </c>
      <c r="V668" s="3">
        <f>IF($T668="",0,1)</f>
        <v/>
      </c>
      <c r="W668" s="3">
        <f>IF($C668="","",$D668&amp;"|"&amp;$E668&amp;"|"&amp;TEXT($C668,"0")&amp;"|"&amp;TEXT($G668,"0")&amp;"|"&amp;$J668)</f>
        <v/>
      </c>
      <c r="X668" s="3" t="n"/>
      <c r="Y668" s="3" t="n"/>
      <c r="Z668" s="3" t="n"/>
      <c r="AA668" s="3" t="n"/>
      <c r="AB668" s="3" t="n"/>
      <c r="AC668" s="3" t="n"/>
      <c r="AD668" s="3">
        <f>IF($C668="",0,SUMPRODUCT((AY_SONU!$O$7:$O$42="Evet")*(AY_SONU!$B$7:$B$42=DATE(YEAR($C668),MONTH($C668),1))))</f>
        <v/>
      </c>
    </row>
    <row r="669">
      <c r="A669" s="6" t="n"/>
      <c r="B669" s="113">
        <f>IF($C669="","","GG"&amp;TEXT(ROW()-6,"00000"))</f>
        <v/>
      </c>
      <c r="C669" s="220" t="n"/>
      <c r="D669" s="108" t="n"/>
      <c r="E669" s="109" t="n"/>
      <c r="F669" s="109" t="n"/>
      <c r="G669" s="221" t="n"/>
      <c r="H669" s="108" t="n"/>
      <c r="I669" s="108" t="n"/>
      <c r="J669" s="109" t="n"/>
      <c r="K669" s="109" t="n"/>
      <c r="L669" s="108" t="n"/>
      <c r="M669" s="121">
        <f>IF($C669="","",IF($D669="Gider",$E669,IF($L669&lt;&gt;"",$L669,$H669)))</f>
        <v/>
      </c>
      <c r="N669" s="121">
        <f>IF($C669="","",IF($D669="Gider",$H669,$E669))</f>
        <v/>
      </c>
      <c r="O669" s="226">
        <f>IF($C669="","",DATE(YEAR($C669),MONTH($C669),1))</f>
        <v/>
      </c>
      <c r="P669" s="113">
        <f>IF($C669="","",IF(AND($D669="Gelir",$L669&lt;&gt;"",$T669=""),"TANIMSIZ BORÇLU",IF($T669&lt;&gt;"",IF(OR($E669="",$G669&lt;=0),"EKSİK",IF($I669="Evet","TAHAKKUK NAKİT OLAMAZ",IF($C669&gt;TODAY(),"İLERİ TARİH","TAHAKKUK"))),IF(AND($D669&lt;&gt;"",$E669&lt;&gt;"",$G669&gt;0,$H669&lt;&gt;"",$I669&lt;&gt;""),IF($C669&gt;TODAY(),"İLERİ TARİH",IF(COUNTIF($W$7:$W$1206,$W669)&gt;1,"MÜKERRER?",IF($AD669&gt;0,"KAPALI DÖNEM",IF($I669="Hayır","ÖDENECEK","UYGUN")))),"EKSİK"))))</f>
        <v/>
      </c>
      <c r="Q669" s="6" t="n"/>
      <c r="R669" s="6" t="n"/>
      <c r="S669" s="3">
        <f>IF($L669="","",UPPER(SUBSTITUTE(SUBSTITUTE(SUBSTITUTE(SUBSTITUTE(SUBSTITUTE(SUBSTITUTE(SUBSTITUTE(SUBSTITUTE(SUBSTITUTE(SUBSTITUTE(SUBSTITUTE(SUBSTITUTE(SUBSTITUTE(SUBSTITUTE(SUBSTITUTE(SUBSTITUTE(SUBSTITUTE(SUBSTITUTE(TRIM($L669),"'",""),"İ","I"),"ı","I"),"i","I"),"Ş","S"),"ş","S"),"Ğ","G"),"ğ","G"),"Ü","U"),"ü","U"),"Ö","O"),"ö","O"),"Ç","C"),"ç","C"),".",""),",","")," ",""),"-","")))</f>
        <v/>
      </c>
      <c r="T669" s="3">
        <f>IF(OR($C669="",$D669&lt;&gt;"Gelir",$L669=""),"",IFERROR(INDEX(MUSTERILER!$B$7:$B$106,MATCH($S669,MUSTERILER!$T$7:$T$106,0)),""))</f>
        <v/>
      </c>
      <c r="U669" s="3">
        <f>IF($T669="","",$T669&amp;"|"&amp;COUNTIFS($T$7:$T669,$T669))</f>
        <v/>
      </c>
      <c r="V669" s="3">
        <f>IF($T669="",0,1)</f>
        <v/>
      </c>
      <c r="W669" s="3">
        <f>IF($C669="","",$D669&amp;"|"&amp;$E669&amp;"|"&amp;TEXT($C669,"0")&amp;"|"&amp;TEXT($G669,"0")&amp;"|"&amp;$J669)</f>
        <v/>
      </c>
      <c r="X669" s="3" t="n"/>
      <c r="Y669" s="3" t="n"/>
      <c r="Z669" s="3" t="n"/>
      <c r="AA669" s="3" t="n"/>
      <c r="AB669" s="3" t="n"/>
      <c r="AC669" s="3" t="n"/>
      <c r="AD669" s="3">
        <f>IF($C669="",0,SUMPRODUCT((AY_SONU!$O$7:$O$42="Evet")*(AY_SONU!$B$7:$B$42=DATE(YEAR($C669),MONTH($C669),1))))</f>
        <v/>
      </c>
    </row>
    <row r="670">
      <c r="A670" s="6" t="n"/>
      <c r="B670" s="113">
        <f>IF($C670="","","GG"&amp;TEXT(ROW()-6,"00000"))</f>
        <v/>
      </c>
      <c r="C670" s="220" t="n"/>
      <c r="D670" s="108" t="n"/>
      <c r="E670" s="109" t="n"/>
      <c r="F670" s="109" t="n"/>
      <c r="G670" s="221" t="n"/>
      <c r="H670" s="108" t="n"/>
      <c r="I670" s="108" t="n"/>
      <c r="J670" s="109" t="n"/>
      <c r="K670" s="109" t="n"/>
      <c r="L670" s="108" t="n"/>
      <c r="M670" s="121">
        <f>IF($C670="","",IF($D670="Gider",$E670,IF($L670&lt;&gt;"",$L670,$H670)))</f>
        <v/>
      </c>
      <c r="N670" s="121">
        <f>IF($C670="","",IF($D670="Gider",$H670,$E670))</f>
        <v/>
      </c>
      <c r="O670" s="226">
        <f>IF($C670="","",DATE(YEAR($C670),MONTH($C670),1))</f>
        <v/>
      </c>
      <c r="P670" s="113">
        <f>IF($C670="","",IF(AND($D670="Gelir",$L670&lt;&gt;"",$T670=""),"TANIMSIZ BORÇLU",IF($T670&lt;&gt;"",IF(OR($E670="",$G670&lt;=0),"EKSİK",IF($I670="Evet","TAHAKKUK NAKİT OLAMAZ",IF($C670&gt;TODAY(),"İLERİ TARİH","TAHAKKUK"))),IF(AND($D670&lt;&gt;"",$E670&lt;&gt;"",$G670&gt;0,$H670&lt;&gt;"",$I670&lt;&gt;""),IF($C670&gt;TODAY(),"İLERİ TARİH",IF(COUNTIF($W$7:$W$1206,$W670)&gt;1,"MÜKERRER?",IF($AD670&gt;0,"KAPALI DÖNEM",IF($I670="Hayır","ÖDENECEK","UYGUN")))),"EKSİK"))))</f>
        <v/>
      </c>
      <c r="Q670" s="6" t="n"/>
      <c r="R670" s="6" t="n"/>
      <c r="S670" s="3">
        <f>IF($L670="","",UPPER(SUBSTITUTE(SUBSTITUTE(SUBSTITUTE(SUBSTITUTE(SUBSTITUTE(SUBSTITUTE(SUBSTITUTE(SUBSTITUTE(SUBSTITUTE(SUBSTITUTE(SUBSTITUTE(SUBSTITUTE(SUBSTITUTE(SUBSTITUTE(SUBSTITUTE(SUBSTITUTE(SUBSTITUTE(SUBSTITUTE(TRIM($L670),"'",""),"İ","I"),"ı","I"),"i","I"),"Ş","S"),"ş","S"),"Ğ","G"),"ğ","G"),"Ü","U"),"ü","U"),"Ö","O"),"ö","O"),"Ç","C"),"ç","C"),".",""),",","")," ",""),"-","")))</f>
        <v/>
      </c>
      <c r="T670" s="3">
        <f>IF(OR($C670="",$D670&lt;&gt;"Gelir",$L670=""),"",IFERROR(INDEX(MUSTERILER!$B$7:$B$106,MATCH($S670,MUSTERILER!$T$7:$T$106,0)),""))</f>
        <v/>
      </c>
      <c r="U670" s="3">
        <f>IF($T670="","",$T670&amp;"|"&amp;COUNTIFS($T$7:$T670,$T670))</f>
        <v/>
      </c>
      <c r="V670" s="3">
        <f>IF($T670="",0,1)</f>
        <v/>
      </c>
      <c r="W670" s="3">
        <f>IF($C670="","",$D670&amp;"|"&amp;$E670&amp;"|"&amp;TEXT($C670,"0")&amp;"|"&amp;TEXT($G670,"0")&amp;"|"&amp;$J670)</f>
        <v/>
      </c>
      <c r="X670" s="3" t="n"/>
      <c r="Y670" s="3" t="n"/>
      <c r="Z670" s="3" t="n"/>
      <c r="AA670" s="3" t="n"/>
      <c r="AB670" s="3" t="n"/>
      <c r="AC670" s="3" t="n"/>
      <c r="AD670" s="3">
        <f>IF($C670="",0,SUMPRODUCT((AY_SONU!$O$7:$O$42="Evet")*(AY_SONU!$B$7:$B$42=DATE(YEAR($C670),MONTH($C670),1))))</f>
        <v/>
      </c>
    </row>
    <row r="671">
      <c r="A671" s="6" t="n"/>
      <c r="B671" s="113">
        <f>IF($C671="","","GG"&amp;TEXT(ROW()-6,"00000"))</f>
        <v/>
      </c>
      <c r="C671" s="220" t="n"/>
      <c r="D671" s="108" t="n"/>
      <c r="E671" s="109" t="n"/>
      <c r="F671" s="109" t="n"/>
      <c r="G671" s="221" t="n"/>
      <c r="H671" s="108" t="n"/>
      <c r="I671" s="108" t="n"/>
      <c r="J671" s="109" t="n"/>
      <c r="K671" s="109" t="n"/>
      <c r="L671" s="108" t="n"/>
      <c r="M671" s="121">
        <f>IF($C671="","",IF($D671="Gider",$E671,IF($L671&lt;&gt;"",$L671,$H671)))</f>
        <v/>
      </c>
      <c r="N671" s="121">
        <f>IF($C671="","",IF($D671="Gider",$H671,$E671))</f>
        <v/>
      </c>
      <c r="O671" s="226">
        <f>IF($C671="","",DATE(YEAR($C671),MONTH($C671),1))</f>
        <v/>
      </c>
      <c r="P671" s="113">
        <f>IF($C671="","",IF(AND($D671="Gelir",$L671&lt;&gt;"",$T671=""),"TANIMSIZ BORÇLU",IF($T671&lt;&gt;"",IF(OR($E671="",$G671&lt;=0),"EKSİK",IF($I671="Evet","TAHAKKUK NAKİT OLAMAZ",IF($C671&gt;TODAY(),"İLERİ TARİH","TAHAKKUK"))),IF(AND($D671&lt;&gt;"",$E671&lt;&gt;"",$G671&gt;0,$H671&lt;&gt;"",$I671&lt;&gt;""),IF($C671&gt;TODAY(),"İLERİ TARİH",IF(COUNTIF($W$7:$W$1206,$W671)&gt;1,"MÜKERRER?",IF($AD671&gt;0,"KAPALI DÖNEM",IF($I671="Hayır","ÖDENECEK","UYGUN")))),"EKSİK"))))</f>
        <v/>
      </c>
      <c r="Q671" s="6" t="n"/>
      <c r="R671" s="6" t="n"/>
      <c r="S671" s="3">
        <f>IF($L671="","",UPPER(SUBSTITUTE(SUBSTITUTE(SUBSTITUTE(SUBSTITUTE(SUBSTITUTE(SUBSTITUTE(SUBSTITUTE(SUBSTITUTE(SUBSTITUTE(SUBSTITUTE(SUBSTITUTE(SUBSTITUTE(SUBSTITUTE(SUBSTITUTE(SUBSTITUTE(SUBSTITUTE(SUBSTITUTE(SUBSTITUTE(TRIM($L671),"'",""),"İ","I"),"ı","I"),"i","I"),"Ş","S"),"ş","S"),"Ğ","G"),"ğ","G"),"Ü","U"),"ü","U"),"Ö","O"),"ö","O"),"Ç","C"),"ç","C"),".",""),",","")," ",""),"-","")))</f>
        <v/>
      </c>
      <c r="T671" s="3">
        <f>IF(OR($C671="",$D671&lt;&gt;"Gelir",$L671=""),"",IFERROR(INDEX(MUSTERILER!$B$7:$B$106,MATCH($S671,MUSTERILER!$T$7:$T$106,0)),""))</f>
        <v/>
      </c>
      <c r="U671" s="3">
        <f>IF($T671="","",$T671&amp;"|"&amp;COUNTIFS($T$7:$T671,$T671))</f>
        <v/>
      </c>
      <c r="V671" s="3">
        <f>IF($T671="",0,1)</f>
        <v/>
      </c>
      <c r="W671" s="3">
        <f>IF($C671="","",$D671&amp;"|"&amp;$E671&amp;"|"&amp;TEXT($C671,"0")&amp;"|"&amp;TEXT($G671,"0")&amp;"|"&amp;$J671)</f>
        <v/>
      </c>
      <c r="X671" s="3" t="n"/>
      <c r="Y671" s="3" t="n"/>
      <c r="Z671" s="3" t="n"/>
      <c r="AA671" s="3" t="n"/>
      <c r="AB671" s="3" t="n"/>
      <c r="AC671" s="3" t="n"/>
      <c r="AD671" s="3">
        <f>IF($C671="",0,SUMPRODUCT((AY_SONU!$O$7:$O$42="Evet")*(AY_SONU!$B$7:$B$42=DATE(YEAR($C671),MONTH($C671),1))))</f>
        <v/>
      </c>
    </row>
    <row r="672">
      <c r="A672" s="6" t="n"/>
      <c r="B672" s="113">
        <f>IF($C672="","","GG"&amp;TEXT(ROW()-6,"00000"))</f>
        <v/>
      </c>
      <c r="C672" s="220" t="n"/>
      <c r="D672" s="108" t="n"/>
      <c r="E672" s="109" t="n"/>
      <c r="F672" s="109" t="n"/>
      <c r="G672" s="221" t="n"/>
      <c r="H672" s="108" t="n"/>
      <c r="I672" s="108" t="n"/>
      <c r="J672" s="109" t="n"/>
      <c r="K672" s="109" t="n"/>
      <c r="L672" s="108" t="n"/>
      <c r="M672" s="121">
        <f>IF($C672="","",IF($D672="Gider",$E672,IF($L672&lt;&gt;"",$L672,$H672)))</f>
        <v/>
      </c>
      <c r="N672" s="121">
        <f>IF($C672="","",IF($D672="Gider",$H672,$E672))</f>
        <v/>
      </c>
      <c r="O672" s="226">
        <f>IF($C672="","",DATE(YEAR($C672),MONTH($C672),1))</f>
        <v/>
      </c>
      <c r="P672" s="113">
        <f>IF($C672="","",IF(AND($D672="Gelir",$L672&lt;&gt;"",$T672=""),"TANIMSIZ BORÇLU",IF($T672&lt;&gt;"",IF(OR($E672="",$G672&lt;=0),"EKSİK",IF($I672="Evet","TAHAKKUK NAKİT OLAMAZ",IF($C672&gt;TODAY(),"İLERİ TARİH","TAHAKKUK"))),IF(AND($D672&lt;&gt;"",$E672&lt;&gt;"",$G672&gt;0,$H672&lt;&gt;"",$I672&lt;&gt;""),IF($C672&gt;TODAY(),"İLERİ TARİH",IF(COUNTIF($W$7:$W$1206,$W672)&gt;1,"MÜKERRER?",IF($AD672&gt;0,"KAPALI DÖNEM",IF($I672="Hayır","ÖDENECEK","UYGUN")))),"EKSİK"))))</f>
        <v/>
      </c>
      <c r="Q672" s="6" t="n"/>
      <c r="R672" s="6" t="n"/>
      <c r="S672" s="3">
        <f>IF($L672="","",UPPER(SUBSTITUTE(SUBSTITUTE(SUBSTITUTE(SUBSTITUTE(SUBSTITUTE(SUBSTITUTE(SUBSTITUTE(SUBSTITUTE(SUBSTITUTE(SUBSTITUTE(SUBSTITUTE(SUBSTITUTE(SUBSTITUTE(SUBSTITUTE(SUBSTITUTE(SUBSTITUTE(SUBSTITUTE(SUBSTITUTE(TRIM($L672),"'",""),"İ","I"),"ı","I"),"i","I"),"Ş","S"),"ş","S"),"Ğ","G"),"ğ","G"),"Ü","U"),"ü","U"),"Ö","O"),"ö","O"),"Ç","C"),"ç","C"),".",""),",","")," ",""),"-","")))</f>
        <v/>
      </c>
      <c r="T672" s="3">
        <f>IF(OR($C672="",$D672&lt;&gt;"Gelir",$L672=""),"",IFERROR(INDEX(MUSTERILER!$B$7:$B$106,MATCH($S672,MUSTERILER!$T$7:$T$106,0)),""))</f>
        <v/>
      </c>
      <c r="U672" s="3">
        <f>IF($T672="","",$T672&amp;"|"&amp;COUNTIFS($T$7:$T672,$T672))</f>
        <v/>
      </c>
      <c r="V672" s="3">
        <f>IF($T672="",0,1)</f>
        <v/>
      </c>
      <c r="W672" s="3">
        <f>IF($C672="","",$D672&amp;"|"&amp;$E672&amp;"|"&amp;TEXT($C672,"0")&amp;"|"&amp;TEXT($G672,"0")&amp;"|"&amp;$J672)</f>
        <v/>
      </c>
      <c r="X672" s="3" t="n"/>
      <c r="Y672" s="3" t="n"/>
      <c r="Z672" s="3" t="n"/>
      <c r="AA672" s="3" t="n"/>
      <c r="AB672" s="3" t="n"/>
      <c r="AC672" s="3" t="n"/>
      <c r="AD672" s="3">
        <f>IF($C672="",0,SUMPRODUCT((AY_SONU!$O$7:$O$42="Evet")*(AY_SONU!$B$7:$B$42=DATE(YEAR($C672),MONTH($C672),1))))</f>
        <v/>
      </c>
    </row>
    <row r="673">
      <c r="A673" s="6" t="n"/>
      <c r="B673" s="113">
        <f>IF($C673="","","GG"&amp;TEXT(ROW()-6,"00000"))</f>
        <v/>
      </c>
      <c r="C673" s="220" t="n"/>
      <c r="D673" s="108" t="n"/>
      <c r="E673" s="109" t="n"/>
      <c r="F673" s="109" t="n"/>
      <c r="G673" s="221" t="n"/>
      <c r="H673" s="108" t="n"/>
      <c r="I673" s="108" t="n"/>
      <c r="J673" s="109" t="n"/>
      <c r="K673" s="109" t="n"/>
      <c r="L673" s="108" t="n"/>
      <c r="M673" s="121">
        <f>IF($C673="","",IF($D673="Gider",$E673,IF($L673&lt;&gt;"",$L673,$H673)))</f>
        <v/>
      </c>
      <c r="N673" s="121">
        <f>IF($C673="","",IF($D673="Gider",$H673,$E673))</f>
        <v/>
      </c>
      <c r="O673" s="226">
        <f>IF($C673="","",DATE(YEAR($C673),MONTH($C673),1))</f>
        <v/>
      </c>
      <c r="P673" s="113">
        <f>IF($C673="","",IF(AND($D673="Gelir",$L673&lt;&gt;"",$T673=""),"TANIMSIZ BORÇLU",IF($T673&lt;&gt;"",IF(OR($E673="",$G673&lt;=0),"EKSİK",IF($I673="Evet","TAHAKKUK NAKİT OLAMAZ",IF($C673&gt;TODAY(),"İLERİ TARİH","TAHAKKUK"))),IF(AND($D673&lt;&gt;"",$E673&lt;&gt;"",$G673&gt;0,$H673&lt;&gt;"",$I673&lt;&gt;""),IF($C673&gt;TODAY(),"İLERİ TARİH",IF(COUNTIF($W$7:$W$1206,$W673)&gt;1,"MÜKERRER?",IF($AD673&gt;0,"KAPALI DÖNEM",IF($I673="Hayır","ÖDENECEK","UYGUN")))),"EKSİK"))))</f>
        <v/>
      </c>
      <c r="Q673" s="6" t="n"/>
      <c r="R673" s="6" t="n"/>
      <c r="S673" s="3">
        <f>IF($L673="","",UPPER(SUBSTITUTE(SUBSTITUTE(SUBSTITUTE(SUBSTITUTE(SUBSTITUTE(SUBSTITUTE(SUBSTITUTE(SUBSTITUTE(SUBSTITUTE(SUBSTITUTE(SUBSTITUTE(SUBSTITUTE(SUBSTITUTE(SUBSTITUTE(SUBSTITUTE(SUBSTITUTE(SUBSTITUTE(SUBSTITUTE(TRIM($L673),"'",""),"İ","I"),"ı","I"),"i","I"),"Ş","S"),"ş","S"),"Ğ","G"),"ğ","G"),"Ü","U"),"ü","U"),"Ö","O"),"ö","O"),"Ç","C"),"ç","C"),".",""),",","")," ",""),"-","")))</f>
        <v/>
      </c>
      <c r="T673" s="3">
        <f>IF(OR($C673="",$D673&lt;&gt;"Gelir",$L673=""),"",IFERROR(INDEX(MUSTERILER!$B$7:$B$106,MATCH($S673,MUSTERILER!$T$7:$T$106,0)),""))</f>
        <v/>
      </c>
      <c r="U673" s="3">
        <f>IF($T673="","",$T673&amp;"|"&amp;COUNTIFS($T$7:$T673,$T673))</f>
        <v/>
      </c>
      <c r="V673" s="3">
        <f>IF($T673="",0,1)</f>
        <v/>
      </c>
      <c r="W673" s="3">
        <f>IF($C673="","",$D673&amp;"|"&amp;$E673&amp;"|"&amp;TEXT($C673,"0")&amp;"|"&amp;TEXT($G673,"0")&amp;"|"&amp;$J673)</f>
        <v/>
      </c>
      <c r="X673" s="3" t="n"/>
      <c r="Y673" s="3" t="n"/>
      <c r="Z673" s="3" t="n"/>
      <c r="AA673" s="3" t="n"/>
      <c r="AB673" s="3" t="n"/>
      <c r="AC673" s="3" t="n"/>
      <c r="AD673" s="3">
        <f>IF($C673="",0,SUMPRODUCT((AY_SONU!$O$7:$O$42="Evet")*(AY_SONU!$B$7:$B$42=DATE(YEAR($C673),MONTH($C673),1))))</f>
        <v/>
      </c>
    </row>
    <row r="674">
      <c r="A674" s="6" t="n"/>
      <c r="B674" s="113">
        <f>IF($C674="","","GG"&amp;TEXT(ROW()-6,"00000"))</f>
        <v/>
      </c>
      <c r="C674" s="220" t="n"/>
      <c r="D674" s="108" t="n"/>
      <c r="E674" s="109" t="n"/>
      <c r="F674" s="109" t="n"/>
      <c r="G674" s="221" t="n"/>
      <c r="H674" s="108" t="n"/>
      <c r="I674" s="108" t="n"/>
      <c r="J674" s="109" t="n"/>
      <c r="K674" s="109" t="n"/>
      <c r="L674" s="108" t="n"/>
      <c r="M674" s="121">
        <f>IF($C674="","",IF($D674="Gider",$E674,IF($L674&lt;&gt;"",$L674,$H674)))</f>
        <v/>
      </c>
      <c r="N674" s="121">
        <f>IF($C674="","",IF($D674="Gider",$H674,$E674))</f>
        <v/>
      </c>
      <c r="O674" s="226">
        <f>IF($C674="","",DATE(YEAR($C674),MONTH($C674),1))</f>
        <v/>
      </c>
      <c r="P674" s="113">
        <f>IF($C674="","",IF(AND($D674="Gelir",$L674&lt;&gt;"",$T674=""),"TANIMSIZ BORÇLU",IF($T674&lt;&gt;"",IF(OR($E674="",$G674&lt;=0),"EKSİK",IF($I674="Evet","TAHAKKUK NAKİT OLAMAZ",IF($C674&gt;TODAY(),"İLERİ TARİH","TAHAKKUK"))),IF(AND($D674&lt;&gt;"",$E674&lt;&gt;"",$G674&gt;0,$H674&lt;&gt;"",$I674&lt;&gt;""),IF($C674&gt;TODAY(),"İLERİ TARİH",IF(COUNTIF($W$7:$W$1206,$W674)&gt;1,"MÜKERRER?",IF($AD674&gt;0,"KAPALI DÖNEM",IF($I674="Hayır","ÖDENECEK","UYGUN")))),"EKSİK"))))</f>
        <v/>
      </c>
      <c r="Q674" s="6" t="n"/>
      <c r="R674" s="6" t="n"/>
      <c r="S674" s="3">
        <f>IF($L674="","",UPPER(SUBSTITUTE(SUBSTITUTE(SUBSTITUTE(SUBSTITUTE(SUBSTITUTE(SUBSTITUTE(SUBSTITUTE(SUBSTITUTE(SUBSTITUTE(SUBSTITUTE(SUBSTITUTE(SUBSTITUTE(SUBSTITUTE(SUBSTITUTE(SUBSTITUTE(SUBSTITUTE(SUBSTITUTE(SUBSTITUTE(TRIM($L674),"'",""),"İ","I"),"ı","I"),"i","I"),"Ş","S"),"ş","S"),"Ğ","G"),"ğ","G"),"Ü","U"),"ü","U"),"Ö","O"),"ö","O"),"Ç","C"),"ç","C"),".",""),",","")," ",""),"-","")))</f>
        <v/>
      </c>
      <c r="T674" s="3">
        <f>IF(OR($C674="",$D674&lt;&gt;"Gelir",$L674=""),"",IFERROR(INDEX(MUSTERILER!$B$7:$B$106,MATCH($S674,MUSTERILER!$T$7:$T$106,0)),""))</f>
        <v/>
      </c>
      <c r="U674" s="3">
        <f>IF($T674="","",$T674&amp;"|"&amp;COUNTIFS($T$7:$T674,$T674))</f>
        <v/>
      </c>
      <c r="V674" s="3">
        <f>IF($T674="",0,1)</f>
        <v/>
      </c>
      <c r="W674" s="3">
        <f>IF($C674="","",$D674&amp;"|"&amp;$E674&amp;"|"&amp;TEXT($C674,"0")&amp;"|"&amp;TEXT($G674,"0")&amp;"|"&amp;$J674)</f>
        <v/>
      </c>
      <c r="X674" s="3" t="n"/>
      <c r="Y674" s="3" t="n"/>
      <c r="Z674" s="3" t="n"/>
      <c r="AA674" s="3" t="n"/>
      <c r="AB674" s="3" t="n"/>
      <c r="AC674" s="3" t="n"/>
      <c r="AD674" s="3">
        <f>IF($C674="",0,SUMPRODUCT((AY_SONU!$O$7:$O$42="Evet")*(AY_SONU!$B$7:$B$42=DATE(YEAR($C674),MONTH($C674),1))))</f>
        <v/>
      </c>
    </row>
    <row r="675">
      <c r="A675" s="6" t="n"/>
      <c r="B675" s="113">
        <f>IF($C675="","","GG"&amp;TEXT(ROW()-6,"00000"))</f>
        <v/>
      </c>
      <c r="C675" s="220" t="n"/>
      <c r="D675" s="108" t="n"/>
      <c r="E675" s="109" t="n"/>
      <c r="F675" s="109" t="n"/>
      <c r="G675" s="221" t="n"/>
      <c r="H675" s="108" t="n"/>
      <c r="I675" s="108" t="n"/>
      <c r="J675" s="109" t="n"/>
      <c r="K675" s="109" t="n"/>
      <c r="L675" s="108" t="n"/>
      <c r="M675" s="121">
        <f>IF($C675="","",IF($D675="Gider",$E675,IF($L675&lt;&gt;"",$L675,$H675)))</f>
        <v/>
      </c>
      <c r="N675" s="121">
        <f>IF($C675="","",IF($D675="Gider",$H675,$E675))</f>
        <v/>
      </c>
      <c r="O675" s="226">
        <f>IF($C675="","",DATE(YEAR($C675),MONTH($C675),1))</f>
        <v/>
      </c>
      <c r="P675" s="113">
        <f>IF($C675="","",IF(AND($D675="Gelir",$L675&lt;&gt;"",$T675=""),"TANIMSIZ BORÇLU",IF($T675&lt;&gt;"",IF(OR($E675="",$G675&lt;=0),"EKSİK",IF($I675="Evet","TAHAKKUK NAKİT OLAMAZ",IF($C675&gt;TODAY(),"İLERİ TARİH","TAHAKKUK"))),IF(AND($D675&lt;&gt;"",$E675&lt;&gt;"",$G675&gt;0,$H675&lt;&gt;"",$I675&lt;&gt;""),IF($C675&gt;TODAY(),"İLERİ TARİH",IF(COUNTIF($W$7:$W$1206,$W675)&gt;1,"MÜKERRER?",IF($AD675&gt;0,"KAPALI DÖNEM",IF($I675="Hayır","ÖDENECEK","UYGUN")))),"EKSİK"))))</f>
        <v/>
      </c>
      <c r="Q675" s="6" t="n"/>
      <c r="R675" s="6" t="n"/>
      <c r="S675" s="3">
        <f>IF($L675="","",UPPER(SUBSTITUTE(SUBSTITUTE(SUBSTITUTE(SUBSTITUTE(SUBSTITUTE(SUBSTITUTE(SUBSTITUTE(SUBSTITUTE(SUBSTITUTE(SUBSTITUTE(SUBSTITUTE(SUBSTITUTE(SUBSTITUTE(SUBSTITUTE(SUBSTITUTE(SUBSTITUTE(SUBSTITUTE(SUBSTITUTE(TRIM($L675),"'",""),"İ","I"),"ı","I"),"i","I"),"Ş","S"),"ş","S"),"Ğ","G"),"ğ","G"),"Ü","U"),"ü","U"),"Ö","O"),"ö","O"),"Ç","C"),"ç","C"),".",""),",","")," ",""),"-","")))</f>
        <v/>
      </c>
      <c r="T675" s="3">
        <f>IF(OR($C675="",$D675&lt;&gt;"Gelir",$L675=""),"",IFERROR(INDEX(MUSTERILER!$B$7:$B$106,MATCH($S675,MUSTERILER!$T$7:$T$106,0)),""))</f>
        <v/>
      </c>
      <c r="U675" s="3">
        <f>IF($T675="","",$T675&amp;"|"&amp;COUNTIFS($T$7:$T675,$T675))</f>
        <v/>
      </c>
      <c r="V675" s="3">
        <f>IF($T675="",0,1)</f>
        <v/>
      </c>
      <c r="W675" s="3">
        <f>IF($C675="","",$D675&amp;"|"&amp;$E675&amp;"|"&amp;TEXT($C675,"0")&amp;"|"&amp;TEXT($G675,"0")&amp;"|"&amp;$J675)</f>
        <v/>
      </c>
      <c r="X675" s="3" t="n"/>
      <c r="Y675" s="3" t="n"/>
      <c r="Z675" s="3" t="n"/>
      <c r="AA675" s="3" t="n"/>
      <c r="AB675" s="3" t="n"/>
      <c r="AC675" s="3" t="n"/>
      <c r="AD675" s="3">
        <f>IF($C675="",0,SUMPRODUCT((AY_SONU!$O$7:$O$42="Evet")*(AY_SONU!$B$7:$B$42=DATE(YEAR($C675),MONTH($C675),1))))</f>
        <v/>
      </c>
    </row>
    <row r="676">
      <c r="A676" s="6" t="n"/>
      <c r="B676" s="113">
        <f>IF($C676="","","GG"&amp;TEXT(ROW()-6,"00000"))</f>
        <v/>
      </c>
      <c r="C676" s="220" t="n"/>
      <c r="D676" s="108" t="n"/>
      <c r="E676" s="109" t="n"/>
      <c r="F676" s="109" t="n"/>
      <c r="G676" s="221" t="n"/>
      <c r="H676" s="108" t="n"/>
      <c r="I676" s="108" t="n"/>
      <c r="J676" s="109" t="n"/>
      <c r="K676" s="109" t="n"/>
      <c r="L676" s="108" t="n"/>
      <c r="M676" s="121">
        <f>IF($C676="","",IF($D676="Gider",$E676,IF($L676&lt;&gt;"",$L676,$H676)))</f>
        <v/>
      </c>
      <c r="N676" s="121">
        <f>IF($C676="","",IF($D676="Gider",$H676,$E676))</f>
        <v/>
      </c>
      <c r="O676" s="226">
        <f>IF($C676="","",DATE(YEAR($C676),MONTH($C676),1))</f>
        <v/>
      </c>
      <c r="P676" s="113">
        <f>IF($C676="","",IF(AND($D676="Gelir",$L676&lt;&gt;"",$T676=""),"TANIMSIZ BORÇLU",IF($T676&lt;&gt;"",IF(OR($E676="",$G676&lt;=0),"EKSİK",IF($I676="Evet","TAHAKKUK NAKİT OLAMAZ",IF($C676&gt;TODAY(),"İLERİ TARİH","TAHAKKUK"))),IF(AND($D676&lt;&gt;"",$E676&lt;&gt;"",$G676&gt;0,$H676&lt;&gt;"",$I676&lt;&gt;""),IF($C676&gt;TODAY(),"İLERİ TARİH",IF(COUNTIF($W$7:$W$1206,$W676)&gt;1,"MÜKERRER?",IF($AD676&gt;0,"KAPALI DÖNEM",IF($I676="Hayır","ÖDENECEK","UYGUN")))),"EKSİK"))))</f>
        <v/>
      </c>
      <c r="Q676" s="6" t="n"/>
      <c r="R676" s="6" t="n"/>
      <c r="S676" s="3">
        <f>IF($L676="","",UPPER(SUBSTITUTE(SUBSTITUTE(SUBSTITUTE(SUBSTITUTE(SUBSTITUTE(SUBSTITUTE(SUBSTITUTE(SUBSTITUTE(SUBSTITUTE(SUBSTITUTE(SUBSTITUTE(SUBSTITUTE(SUBSTITUTE(SUBSTITUTE(SUBSTITUTE(SUBSTITUTE(SUBSTITUTE(SUBSTITUTE(TRIM($L676),"'",""),"İ","I"),"ı","I"),"i","I"),"Ş","S"),"ş","S"),"Ğ","G"),"ğ","G"),"Ü","U"),"ü","U"),"Ö","O"),"ö","O"),"Ç","C"),"ç","C"),".",""),",","")," ",""),"-","")))</f>
        <v/>
      </c>
      <c r="T676" s="3">
        <f>IF(OR($C676="",$D676&lt;&gt;"Gelir",$L676=""),"",IFERROR(INDEX(MUSTERILER!$B$7:$B$106,MATCH($S676,MUSTERILER!$T$7:$T$106,0)),""))</f>
        <v/>
      </c>
      <c r="U676" s="3">
        <f>IF($T676="","",$T676&amp;"|"&amp;COUNTIFS($T$7:$T676,$T676))</f>
        <v/>
      </c>
      <c r="V676" s="3">
        <f>IF($T676="",0,1)</f>
        <v/>
      </c>
      <c r="W676" s="3">
        <f>IF($C676="","",$D676&amp;"|"&amp;$E676&amp;"|"&amp;TEXT($C676,"0")&amp;"|"&amp;TEXT($G676,"0")&amp;"|"&amp;$J676)</f>
        <v/>
      </c>
      <c r="X676" s="3" t="n"/>
      <c r="Y676" s="3" t="n"/>
      <c r="Z676" s="3" t="n"/>
      <c r="AA676" s="3" t="n"/>
      <c r="AB676" s="3" t="n"/>
      <c r="AC676" s="3" t="n"/>
      <c r="AD676" s="3">
        <f>IF($C676="",0,SUMPRODUCT((AY_SONU!$O$7:$O$42="Evet")*(AY_SONU!$B$7:$B$42=DATE(YEAR($C676),MONTH($C676),1))))</f>
        <v/>
      </c>
    </row>
    <row r="677">
      <c r="A677" s="6" t="n"/>
      <c r="B677" s="113">
        <f>IF($C677="","","GG"&amp;TEXT(ROW()-6,"00000"))</f>
        <v/>
      </c>
      <c r="C677" s="220" t="n"/>
      <c r="D677" s="108" t="n"/>
      <c r="E677" s="109" t="n"/>
      <c r="F677" s="109" t="n"/>
      <c r="G677" s="221" t="n"/>
      <c r="H677" s="108" t="n"/>
      <c r="I677" s="108" t="n"/>
      <c r="J677" s="109" t="n"/>
      <c r="K677" s="109" t="n"/>
      <c r="L677" s="108" t="n"/>
      <c r="M677" s="121">
        <f>IF($C677="","",IF($D677="Gider",$E677,IF($L677&lt;&gt;"",$L677,$H677)))</f>
        <v/>
      </c>
      <c r="N677" s="121">
        <f>IF($C677="","",IF($D677="Gider",$H677,$E677))</f>
        <v/>
      </c>
      <c r="O677" s="226">
        <f>IF($C677="","",DATE(YEAR($C677),MONTH($C677),1))</f>
        <v/>
      </c>
      <c r="P677" s="113">
        <f>IF($C677="","",IF(AND($D677="Gelir",$L677&lt;&gt;"",$T677=""),"TANIMSIZ BORÇLU",IF($T677&lt;&gt;"",IF(OR($E677="",$G677&lt;=0),"EKSİK",IF($I677="Evet","TAHAKKUK NAKİT OLAMAZ",IF($C677&gt;TODAY(),"İLERİ TARİH","TAHAKKUK"))),IF(AND($D677&lt;&gt;"",$E677&lt;&gt;"",$G677&gt;0,$H677&lt;&gt;"",$I677&lt;&gt;""),IF($C677&gt;TODAY(),"İLERİ TARİH",IF(COUNTIF($W$7:$W$1206,$W677)&gt;1,"MÜKERRER?",IF($AD677&gt;0,"KAPALI DÖNEM",IF($I677="Hayır","ÖDENECEK","UYGUN")))),"EKSİK"))))</f>
        <v/>
      </c>
      <c r="Q677" s="6" t="n"/>
      <c r="R677" s="6" t="n"/>
      <c r="S677" s="3">
        <f>IF($L677="","",UPPER(SUBSTITUTE(SUBSTITUTE(SUBSTITUTE(SUBSTITUTE(SUBSTITUTE(SUBSTITUTE(SUBSTITUTE(SUBSTITUTE(SUBSTITUTE(SUBSTITUTE(SUBSTITUTE(SUBSTITUTE(SUBSTITUTE(SUBSTITUTE(SUBSTITUTE(SUBSTITUTE(SUBSTITUTE(SUBSTITUTE(TRIM($L677),"'",""),"İ","I"),"ı","I"),"i","I"),"Ş","S"),"ş","S"),"Ğ","G"),"ğ","G"),"Ü","U"),"ü","U"),"Ö","O"),"ö","O"),"Ç","C"),"ç","C"),".",""),",","")," ",""),"-","")))</f>
        <v/>
      </c>
      <c r="T677" s="3">
        <f>IF(OR($C677="",$D677&lt;&gt;"Gelir",$L677=""),"",IFERROR(INDEX(MUSTERILER!$B$7:$B$106,MATCH($S677,MUSTERILER!$T$7:$T$106,0)),""))</f>
        <v/>
      </c>
      <c r="U677" s="3">
        <f>IF($T677="","",$T677&amp;"|"&amp;COUNTIFS($T$7:$T677,$T677))</f>
        <v/>
      </c>
      <c r="V677" s="3">
        <f>IF($T677="",0,1)</f>
        <v/>
      </c>
      <c r="W677" s="3">
        <f>IF($C677="","",$D677&amp;"|"&amp;$E677&amp;"|"&amp;TEXT($C677,"0")&amp;"|"&amp;TEXT($G677,"0")&amp;"|"&amp;$J677)</f>
        <v/>
      </c>
      <c r="X677" s="3" t="n"/>
      <c r="Y677" s="3" t="n"/>
      <c r="Z677" s="3" t="n"/>
      <c r="AA677" s="3" t="n"/>
      <c r="AB677" s="3" t="n"/>
      <c r="AC677" s="3" t="n"/>
      <c r="AD677" s="3">
        <f>IF($C677="",0,SUMPRODUCT((AY_SONU!$O$7:$O$42="Evet")*(AY_SONU!$B$7:$B$42=DATE(YEAR($C677),MONTH($C677),1))))</f>
        <v/>
      </c>
    </row>
    <row r="678">
      <c r="A678" s="6" t="n"/>
      <c r="B678" s="113">
        <f>IF($C678="","","GG"&amp;TEXT(ROW()-6,"00000"))</f>
        <v/>
      </c>
      <c r="C678" s="220" t="n"/>
      <c r="D678" s="108" t="n"/>
      <c r="E678" s="109" t="n"/>
      <c r="F678" s="109" t="n"/>
      <c r="G678" s="221" t="n"/>
      <c r="H678" s="108" t="n"/>
      <c r="I678" s="108" t="n"/>
      <c r="J678" s="109" t="n"/>
      <c r="K678" s="109" t="n"/>
      <c r="L678" s="108" t="n"/>
      <c r="M678" s="121">
        <f>IF($C678="","",IF($D678="Gider",$E678,IF($L678&lt;&gt;"",$L678,$H678)))</f>
        <v/>
      </c>
      <c r="N678" s="121">
        <f>IF($C678="","",IF($D678="Gider",$H678,$E678))</f>
        <v/>
      </c>
      <c r="O678" s="226">
        <f>IF($C678="","",DATE(YEAR($C678),MONTH($C678),1))</f>
        <v/>
      </c>
      <c r="P678" s="113">
        <f>IF($C678="","",IF(AND($D678="Gelir",$L678&lt;&gt;"",$T678=""),"TANIMSIZ BORÇLU",IF($T678&lt;&gt;"",IF(OR($E678="",$G678&lt;=0),"EKSİK",IF($I678="Evet","TAHAKKUK NAKİT OLAMAZ",IF($C678&gt;TODAY(),"İLERİ TARİH","TAHAKKUK"))),IF(AND($D678&lt;&gt;"",$E678&lt;&gt;"",$G678&gt;0,$H678&lt;&gt;"",$I678&lt;&gt;""),IF($C678&gt;TODAY(),"İLERİ TARİH",IF(COUNTIF($W$7:$W$1206,$W678)&gt;1,"MÜKERRER?",IF($AD678&gt;0,"KAPALI DÖNEM",IF($I678="Hayır","ÖDENECEK","UYGUN")))),"EKSİK"))))</f>
        <v/>
      </c>
      <c r="Q678" s="6" t="n"/>
      <c r="R678" s="6" t="n"/>
      <c r="S678" s="3">
        <f>IF($L678="","",UPPER(SUBSTITUTE(SUBSTITUTE(SUBSTITUTE(SUBSTITUTE(SUBSTITUTE(SUBSTITUTE(SUBSTITUTE(SUBSTITUTE(SUBSTITUTE(SUBSTITUTE(SUBSTITUTE(SUBSTITUTE(SUBSTITUTE(SUBSTITUTE(SUBSTITUTE(SUBSTITUTE(SUBSTITUTE(SUBSTITUTE(TRIM($L678),"'",""),"İ","I"),"ı","I"),"i","I"),"Ş","S"),"ş","S"),"Ğ","G"),"ğ","G"),"Ü","U"),"ü","U"),"Ö","O"),"ö","O"),"Ç","C"),"ç","C"),".",""),",","")," ",""),"-","")))</f>
        <v/>
      </c>
      <c r="T678" s="3">
        <f>IF(OR($C678="",$D678&lt;&gt;"Gelir",$L678=""),"",IFERROR(INDEX(MUSTERILER!$B$7:$B$106,MATCH($S678,MUSTERILER!$T$7:$T$106,0)),""))</f>
        <v/>
      </c>
      <c r="U678" s="3">
        <f>IF($T678="","",$T678&amp;"|"&amp;COUNTIFS($T$7:$T678,$T678))</f>
        <v/>
      </c>
      <c r="V678" s="3">
        <f>IF($T678="",0,1)</f>
        <v/>
      </c>
      <c r="W678" s="3">
        <f>IF($C678="","",$D678&amp;"|"&amp;$E678&amp;"|"&amp;TEXT($C678,"0")&amp;"|"&amp;TEXT($G678,"0")&amp;"|"&amp;$J678)</f>
        <v/>
      </c>
      <c r="X678" s="3" t="n"/>
      <c r="Y678" s="3" t="n"/>
      <c r="Z678" s="3" t="n"/>
      <c r="AA678" s="3" t="n"/>
      <c r="AB678" s="3" t="n"/>
      <c r="AC678" s="3" t="n"/>
      <c r="AD678" s="3">
        <f>IF($C678="",0,SUMPRODUCT((AY_SONU!$O$7:$O$42="Evet")*(AY_SONU!$B$7:$B$42=DATE(YEAR($C678),MONTH($C678),1))))</f>
        <v/>
      </c>
    </row>
    <row r="679">
      <c r="A679" s="6" t="n"/>
      <c r="B679" s="113">
        <f>IF($C679="","","GG"&amp;TEXT(ROW()-6,"00000"))</f>
        <v/>
      </c>
      <c r="C679" s="220" t="n"/>
      <c r="D679" s="108" t="n"/>
      <c r="E679" s="109" t="n"/>
      <c r="F679" s="109" t="n"/>
      <c r="G679" s="221" t="n"/>
      <c r="H679" s="108" t="n"/>
      <c r="I679" s="108" t="n"/>
      <c r="J679" s="109" t="n"/>
      <c r="K679" s="109" t="n"/>
      <c r="L679" s="108" t="n"/>
      <c r="M679" s="121">
        <f>IF($C679="","",IF($D679="Gider",$E679,IF($L679&lt;&gt;"",$L679,$H679)))</f>
        <v/>
      </c>
      <c r="N679" s="121">
        <f>IF($C679="","",IF($D679="Gider",$H679,$E679))</f>
        <v/>
      </c>
      <c r="O679" s="226">
        <f>IF($C679="","",DATE(YEAR($C679),MONTH($C679),1))</f>
        <v/>
      </c>
      <c r="P679" s="113">
        <f>IF($C679="","",IF(AND($D679="Gelir",$L679&lt;&gt;"",$T679=""),"TANIMSIZ BORÇLU",IF($T679&lt;&gt;"",IF(OR($E679="",$G679&lt;=0),"EKSİK",IF($I679="Evet","TAHAKKUK NAKİT OLAMAZ",IF($C679&gt;TODAY(),"İLERİ TARİH","TAHAKKUK"))),IF(AND($D679&lt;&gt;"",$E679&lt;&gt;"",$G679&gt;0,$H679&lt;&gt;"",$I679&lt;&gt;""),IF($C679&gt;TODAY(),"İLERİ TARİH",IF(COUNTIF($W$7:$W$1206,$W679)&gt;1,"MÜKERRER?",IF($AD679&gt;0,"KAPALI DÖNEM",IF($I679="Hayır","ÖDENECEK","UYGUN")))),"EKSİK"))))</f>
        <v/>
      </c>
      <c r="Q679" s="6" t="n"/>
      <c r="R679" s="6" t="n"/>
      <c r="S679" s="3">
        <f>IF($L679="","",UPPER(SUBSTITUTE(SUBSTITUTE(SUBSTITUTE(SUBSTITUTE(SUBSTITUTE(SUBSTITUTE(SUBSTITUTE(SUBSTITUTE(SUBSTITUTE(SUBSTITUTE(SUBSTITUTE(SUBSTITUTE(SUBSTITUTE(SUBSTITUTE(SUBSTITUTE(SUBSTITUTE(SUBSTITUTE(SUBSTITUTE(TRIM($L679),"'",""),"İ","I"),"ı","I"),"i","I"),"Ş","S"),"ş","S"),"Ğ","G"),"ğ","G"),"Ü","U"),"ü","U"),"Ö","O"),"ö","O"),"Ç","C"),"ç","C"),".",""),",","")," ",""),"-","")))</f>
        <v/>
      </c>
      <c r="T679" s="3">
        <f>IF(OR($C679="",$D679&lt;&gt;"Gelir",$L679=""),"",IFERROR(INDEX(MUSTERILER!$B$7:$B$106,MATCH($S679,MUSTERILER!$T$7:$T$106,0)),""))</f>
        <v/>
      </c>
      <c r="U679" s="3">
        <f>IF($T679="","",$T679&amp;"|"&amp;COUNTIFS($T$7:$T679,$T679))</f>
        <v/>
      </c>
      <c r="V679" s="3">
        <f>IF($T679="",0,1)</f>
        <v/>
      </c>
      <c r="W679" s="3">
        <f>IF($C679="","",$D679&amp;"|"&amp;$E679&amp;"|"&amp;TEXT($C679,"0")&amp;"|"&amp;TEXT($G679,"0")&amp;"|"&amp;$J679)</f>
        <v/>
      </c>
      <c r="X679" s="3" t="n"/>
      <c r="Y679" s="3" t="n"/>
      <c r="Z679" s="3" t="n"/>
      <c r="AA679" s="3" t="n"/>
      <c r="AB679" s="3" t="n"/>
      <c r="AC679" s="3" t="n"/>
      <c r="AD679" s="3">
        <f>IF($C679="",0,SUMPRODUCT((AY_SONU!$O$7:$O$42="Evet")*(AY_SONU!$B$7:$B$42=DATE(YEAR($C679),MONTH($C679),1))))</f>
        <v/>
      </c>
    </row>
    <row r="680">
      <c r="A680" s="6" t="n"/>
      <c r="B680" s="113">
        <f>IF($C680="","","GG"&amp;TEXT(ROW()-6,"00000"))</f>
        <v/>
      </c>
      <c r="C680" s="220" t="n"/>
      <c r="D680" s="108" t="n"/>
      <c r="E680" s="109" t="n"/>
      <c r="F680" s="109" t="n"/>
      <c r="G680" s="221" t="n"/>
      <c r="H680" s="108" t="n"/>
      <c r="I680" s="108" t="n"/>
      <c r="J680" s="109" t="n"/>
      <c r="K680" s="109" t="n"/>
      <c r="L680" s="108" t="n"/>
      <c r="M680" s="121">
        <f>IF($C680="","",IF($D680="Gider",$E680,IF($L680&lt;&gt;"",$L680,$H680)))</f>
        <v/>
      </c>
      <c r="N680" s="121">
        <f>IF($C680="","",IF($D680="Gider",$H680,$E680))</f>
        <v/>
      </c>
      <c r="O680" s="226">
        <f>IF($C680="","",DATE(YEAR($C680),MONTH($C680),1))</f>
        <v/>
      </c>
      <c r="P680" s="113">
        <f>IF($C680="","",IF(AND($D680="Gelir",$L680&lt;&gt;"",$T680=""),"TANIMSIZ BORÇLU",IF($T680&lt;&gt;"",IF(OR($E680="",$G680&lt;=0),"EKSİK",IF($I680="Evet","TAHAKKUK NAKİT OLAMAZ",IF($C680&gt;TODAY(),"İLERİ TARİH","TAHAKKUK"))),IF(AND($D680&lt;&gt;"",$E680&lt;&gt;"",$G680&gt;0,$H680&lt;&gt;"",$I680&lt;&gt;""),IF($C680&gt;TODAY(),"İLERİ TARİH",IF(COUNTIF($W$7:$W$1206,$W680)&gt;1,"MÜKERRER?",IF($AD680&gt;0,"KAPALI DÖNEM",IF($I680="Hayır","ÖDENECEK","UYGUN")))),"EKSİK"))))</f>
        <v/>
      </c>
      <c r="Q680" s="6" t="n"/>
      <c r="R680" s="6" t="n"/>
      <c r="S680" s="3">
        <f>IF($L680="","",UPPER(SUBSTITUTE(SUBSTITUTE(SUBSTITUTE(SUBSTITUTE(SUBSTITUTE(SUBSTITUTE(SUBSTITUTE(SUBSTITUTE(SUBSTITUTE(SUBSTITUTE(SUBSTITUTE(SUBSTITUTE(SUBSTITUTE(SUBSTITUTE(SUBSTITUTE(SUBSTITUTE(SUBSTITUTE(SUBSTITUTE(TRIM($L680),"'",""),"İ","I"),"ı","I"),"i","I"),"Ş","S"),"ş","S"),"Ğ","G"),"ğ","G"),"Ü","U"),"ü","U"),"Ö","O"),"ö","O"),"Ç","C"),"ç","C"),".",""),",","")," ",""),"-","")))</f>
        <v/>
      </c>
      <c r="T680" s="3">
        <f>IF(OR($C680="",$D680&lt;&gt;"Gelir",$L680=""),"",IFERROR(INDEX(MUSTERILER!$B$7:$B$106,MATCH($S680,MUSTERILER!$T$7:$T$106,0)),""))</f>
        <v/>
      </c>
      <c r="U680" s="3">
        <f>IF($T680="","",$T680&amp;"|"&amp;COUNTIFS($T$7:$T680,$T680))</f>
        <v/>
      </c>
      <c r="V680" s="3">
        <f>IF($T680="",0,1)</f>
        <v/>
      </c>
      <c r="W680" s="3">
        <f>IF($C680="","",$D680&amp;"|"&amp;$E680&amp;"|"&amp;TEXT($C680,"0")&amp;"|"&amp;TEXT($G680,"0")&amp;"|"&amp;$J680)</f>
        <v/>
      </c>
      <c r="X680" s="3" t="n"/>
      <c r="Y680" s="3" t="n"/>
      <c r="Z680" s="3" t="n"/>
      <c r="AA680" s="3" t="n"/>
      <c r="AB680" s="3" t="n"/>
      <c r="AC680" s="3" t="n"/>
      <c r="AD680" s="3">
        <f>IF($C680="",0,SUMPRODUCT((AY_SONU!$O$7:$O$42="Evet")*(AY_SONU!$B$7:$B$42=DATE(YEAR($C680),MONTH($C680),1))))</f>
        <v/>
      </c>
    </row>
    <row r="681">
      <c r="A681" s="6" t="n"/>
      <c r="B681" s="113">
        <f>IF($C681="","","GG"&amp;TEXT(ROW()-6,"00000"))</f>
        <v/>
      </c>
      <c r="C681" s="220" t="n"/>
      <c r="D681" s="108" t="n"/>
      <c r="E681" s="109" t="n"/>
      <c r="F681" s="109" t="n"/>
      <c r="G681" s="221" t="n"/>
      <c r="H681" s="108" t="n"/>
      <c r="I681" s="108" t="n"/>
      <c r="J681" s="109" t="n"/>
      <c r="K681" s="109" t="n"/>
      <c r="L681" s="108" t="n"/>
      <c r="M681" s="121">
        <f>IF($C681="","",IF($D681="Gider",$E681,IF($L681&lt;&gt;"",$L681,$H681)))</f>
        <v/>
      </c>
      <c r="N681" s="121">
        <f>IF($C681="","",IF($D681="Gider",$H681,$E681))</f>
        <v/>
      </c>
      <c r="O681" s="226">
        <f>IF($C681="","",DATE(YEAR($C681),MONTH($C681),1))</f>
        <v/>
      </c>
      <c r="P681" s="113">
        <f>IF($C681="","",IF(AND($D681="Gelir",$L681&lt;&gt;"",$T681=""),"TANIMSIZ BORÇLU",IF($T681&lt;&gt;"",IF(OR($E681="",$G681&lt;=0),"EKSİK",IF($I681="Evet","TAHAKKUK NAKİT OLAMAZ",IF($C681&gt;TODAY(),"İLERİ TARİH","TAHAKKUK"))),IF(AND($D681&lt;&gt;"",$E681&lt;&gt;"",$G681&gt;0,$H681&lt;&gt;"",$I681&lt;&gt;""),IF($C681&gt;TODAY(),"İLERİ TARİH",IF(COUNTIF($W$7:$W$1206,$W681)&gt;1,"MÜKERRER?",IF($AD681&gt;0,"KAPALI DÖNEM",IF($I681="Hayır","ÖDENECEK","UYGUN")))),"EKSİK"))))</f>
        <v/>
      </c>
      <c r="Q681" s="6" t="n"/>
      <c r="R681" s="6" t="n"/>
      <c r="S681" s="3">
        <f>IF($L681="","",UPPER(SUBSTITUTE(SUBSTITUTE(SUBSTITUTE(SUBSTITUTE(SUBSTITUTE(SUBSTITUTE(SUBSTITUTE(SUBSTITUTE(SUBSTITUTE(SUBSTITUTE(SUBSTITUTE(SUBSTITUTE(SUBSTITUTE(SUBSTITUTE(SUBSTITUTE(SUBSTITUTE(SUBSTITUTE(SUBSTITUTE(TRIM($L681),"'",""),"İ","I"),"ı","I"),"i","I"),"Ş","S"),"ş","S"),"Ğ","G"),"ğ","G"),"Ü","U"),"ü","U"),"Ö","O"),"ö","O"),"Ç","C"),"ç","C"),".",""),",","")," ",""),"-","")))</f>
        <v/>
      </c>
      <c r="T681" s="3">
        <f>IF(OR($C681="",$D681&lt;&gt;"Gelir",$L681=""),"",IFERROR(INDEX(MUSTERILER!$B$7:$B$106,MATCH($S681,MUSTERILER!$T$7:$T$106,0)),""))</f>
        <v/>
      </c>
      <c r="U681" s="3">
        <f>IF($T681="","",$T681&amp;"|"&amp;COUNTIFS($T$7:$T681,$T681))</f>
        <v/>
      </c>
      <c r="V681" s="3">
        <f>IF($T681="",0,1)</f>
        <v/>
      </c>
      <c r="W681" s="3">
        <f>IF($C681="","",$D681&amp;"|"&amp;$E681&amp;"|"&amp;TEXT($C681,"0")&amp;"|"&amp;TEXT($G681,"0")&amp;"|"&amp;$J681)</f>
        <v/>
      </c>
      <c r="X681" s="3" t="n"/>
      <c r="Y681" s="3" t="n"/>
      <c r="Z681" s="3" t="n"/>
      <c r="AA681" s="3" t="n"/>
      <c r="AB681" s="3" t="n"/>
      <c r="AC681" s="3" t="n"/>
      <c r="AD681" s="3">
        <f>IF($C681="",0,SUMPRODUCT((AY_SONU!$O$7:$O$42="Evet")*(AY_SONU!$B$7:$B$42=DATE(YEAR($C681),MONTH($C681),1))))</f>
        <v/>
      </c>
    </row>
    <row r="682">
      <c r="A682" s="6" t="n"/>
      <c r="B682" s="113">
        <f>IF($C682="","","GG"&amp;TEXT(ROW()-6,"00000"))</f>
        <v/>
      </c>
      <c r="C682" s="220" t="n"/>
      <c r="D682" s="108" t="n"/>
      <c r="E682" s="109" t="n"/>
      <c r="F682" s="109" t="n"/>
      <c r="G682" s="221" t="n"/>
      <c r="H682" s="108" t="n"/>
      <c r="I682" s="108" t="n"/>
      <c r="J682" s="109" t="n"/>
      <c r="K682" s="109" t="n"/>
      <c r="L682" s="108" t="n"/>
      <c r="M682" s="121">
        <f>IF($C682="","",IF($D682="Gider",$E682,IF($L682&lt;&gt;"",$L682,$H682)))</f>
        <v/>
      </c>
      <c r="N682" s="121">
        <f>IF($C682="","",IF($D682="Gider",$H682,$E682))</f>
        <v/>
      </c>
      <c r="O682" s="226">
        <f>IF($C682="","",DATE(YEAR($C682),MONTH($C682),1))</f>
        <v/>
      </c>
      <c r="P682" s="113">
        <f>IF($C682="","",IF(AND($D682="Gelir",$L682&lt;&gt;"",$T682=""),"TANIMSIZ BORÇLU",IF($T682&lt;&gt;"",IF(OR($E682="",$G682&lt;=0),"EKSİK",IF($I682="Evet","TAHAKKUK NAKİT OLAMAZ",IF($C682&gt;TODAY(),"İLERİ TARİH","TAHAKKUK"))),IF(AND($D682&lt;&gt;"",$E682&lt;&gt;"",$G682&gt;0,$H682&lt;&gt;"",$I682&lt;&gt;""),IF($C682&gt;TODAY(),"İLERİ TARİH",IF(COUNTIF($W$7:$W$1206,$W682)&gt;1,"MÜKERRER?",IF($AD682&gt;0,"KAPALI DÖNEM",IF($I682="Hayır","ÖDENECEK","UYGUN")))),"EKSİK"))))</f>
        <v/>
      </c>
      <c r="Q682" s="6" t="n"/>
      <c r="R682" s="6" t="n"/>
      <c r="S682" s="3">
        <f>IF($L682="","",UPPER(SUBSTITUTE(SUBSTITUTE(SUBSTITUTE(SUBSTITUTE(SUBSTITUTE(SUBSTITUTE(SUBSTITUTE(SUBSTITUTE(SUBSTITUTE(SUBSTITUTE(SUBSTITUTE(SUBSTITUTE(SUBSTITUTE(SUBSTITUTE(SUBSTITUTE(SUBSTITUTE(SUBSTITUTE(SUBSTITUTE(TRIM($L682),"'",""),"İ","I"),"ı","I"),"i","I"),"Ş","S"),"ş","S"),"Ğ","G"),"ğ","G"),"Ü","U"),"ü","U"),"Ö","O"),"ö","O"),"Ç","C"),"ç","C"),".",""),",","")," ",""),"-","")))</f>
        <v/>
      </c>
      <c r="T682" s="3">
        <f>IF(OR($C682="",$D682&lt;&gt;"Gelir",$L682=""),"",IFERROR(INDEX(MUSTERILER!$B$7:$B$106,MATCH($S682,MUSTERILER!$T$7:$T$106,0)),""))</f>
        <v/>
      </c>
      <c r="U682" s="3">
        <f>IF($T682="","",$T682&amp;"|"&amp;COUNTIFS($T$7:$T682,$T682))</f>
        <v/>
      </c>
      <c r="V682" s="3">
        <f>IF($T682="",0,1)</f>
        <v/>
      </c>
      <c r="W682" s="3">
        <f>IF($C682="","",$D682&amp;"|"&amp;$E682&amp;"|"&amp;TEXT($C682,"0")&amp;"|"&amp;TEXT($G682,"0")&amp;"|"&amp;$J682)</f>
        <v/>
      </c>
      <c r="X682" s="3" t="n"/>
      <c r="Y682" s="3" t="n"/>
      <c r="Z682" s="3" t="n"/>
      <c r="AA682" s="3" t="n"/>
      <c r="AB682" s="3" t="n"/>
      <c r="AC682" s="3" t="n"/>
      <c r="AD682" s="3">
        <f>IF($C682="",0,SUMPRODUCT((AY_SONU!$O$7:$O$42="Evet")*(AY_SONU!$B$7:$B$42=DATE(YEAR($C682),MONTH($C682),1))))</f>
        <v/>
      </c>
    </row>
    <row r="683">
      <c r="A683" s="6" t="n"/>
      <c r="B683" s="113">
        <f>IF($C683="","","GG"&amp;TEXT(ROW()-6,"00000"))</f>
        <v/>
      </c>
      <c r="C683" s="220" t="n"/>
      <c r="D683" s="108" t="n"/>
      <c r="E683" s="109" t="n"/>
      <c r="F683" s="109" t="n"/>
      <c r="G683" s="221" t="n"/>
      <c r="H683" s="108" t="n"/>
      <c r="I683" s="108" t="n"/>
      <c r="J683" s="109" t="n"/>
      <c r="K683" s="109" t="n"/>
      <c r="L683" s="108" t="n"/>
      <c r="M683" s="121">
        <f>IF($C683="","",IF($D683="Gider",$E683,IF($L683&lt;&gt;"",$L683,$H683)))</f>
        <v/>
      </c>
      <c r="N683" s="121">
        <f>IF($C683="","",IF($D683="Gider",$H683,$E683))</f>
        <v/>
      </c>
      <c r="O683" s="226">
        <f>IF($C683="","",DATE(YEAR($C683),MONTH($C683),1))</f>
        <v/>
      </c>
      <c r="P683" s="113">
        <f>IF($C683="","",IF(AND($D683="Gelir",$L683&lt;&gt;"",$T683=""),"TANIMSIZ BORÇLU",IF($T683&lt;&gt;"",IF(OR($E683="",$G683&lt;=0),"EKSİK",IF($I683="Evet","TAHAKKUK NAKİT OLAMAZ",IF($C683&gt;TODAY(),"İLERİ TARİH","TAHAKKUK"))),IF(AND($D683&lt;&gt;"",$E683&lt;&gt;"",$G683&gt;0,$H683&lt;&gt;"",$I683&lt;&gt;""),IF($C683&gt;TODAY(),"İLERİ TARİH",IF(COUNTIF($W$7:$W$1206,$W683)&gt;1,"MÜKERRER?",IF($AD683&gt;0,"KAPALI DÖNEM",IF($I683="Hayır","ÖDENECEK","UYGUN")))),"EKSİK"))))</f>
        <v/>
      </c>
      <c r="Q683" s="6" t="n"/>
      <c r="R683" s="6" t="n"/>
      <c r="S683" s="3">
        <f>IF($L683="","",UPPER(SUBSTITUTE(SUBSTITUTE(SUBSTITUTE(SUBSTITUTE(SUBSTITUTE(SUBSTITUTE(SUBSTITUTE(SUBSTITUTE(SUBSTITUTE(SUBSTITUTE(SUBSTITUTE(SUBSTITUTE(SUBSTITUTE(SUBSTITUTE(SUBSTITUTE(SUBSTITUTE(SUBSTITUTE(SUBSTITUTE(TRIM($L683),"'",""),"İ","I"),"ı","I"),"i","I"),"Ş","S"),"ş","S"),"Ğ","G"),"ğ","G"),"Ü","U"),"ü","U"),"Ö","O"),"ö","O"),"Ç","C"),"ç","C"),".",""),",","")," ",""),"-","")))</f>
        <v/>
      </c>
      <c r="T683" s="3">
        <f>IF(OR($C683="",$D683&lt;&gt;"Gelir",$L683=""),"",IFERROR(INDEX(MUSTERILER!$B$7:$B$106,MATCH($S683,MUSTERILER!$T$7:$T$106,0)),""))</f>
        <v/>
      </c>
      <c r="U683" s="3">
        <f>IF($T683="","",$T683&amp;"|"&amp;COUNTIFS($T$7:$T683,$T683))</f>
        <v/>
      </c>
      <c r="V683" s="3">
        <f>IF($T683="",0,1)</f>
        <v/>
      </c>
      <c r="W683" s="3">
        <f>IF($C683="","",$D683&amp;"|"&amp;$E683&amp;"|"&amp;TEXT($C683,"0")&amp;"|"&amp;TEXT($G683,"0")&amp;"|"&amp;$J683)</f>
        <v/>
      </c>
      <c r="X683" s="3" t="n"/>
      <c r="Y683" s="3" t="n"/>
      <c r="Z683" s="3" t="n"/>
      <c r="AA683" s="3" t="n"/>
      <c r="AB683" s="3" t="n"/>
      <c r="AC683" s="3" t="n"/>
      <c r="AD683" s="3">
        <f>IF($C683="",0,SUMPRODUCT((AY_SONU!$O$7:$O$42="Evet")*(AY_SONU!$B$7:$B$42=DATE(YEAR($C683),MONTH($C683),1))))</f>
        <v/>
      </c>
    </row>
    <row r="684">
      <c r="A684" s="6" t="n"/>
      <c r="B684" s="113">
        <f>IF($C684="","","GG"&amp;TEXT(ROW()-6,"00000"))</f>
        <v/>
      </c>
      <c r="C684" s="220" t="n"/>
      <c r="D684" s="108" t="n"/>
      <c r="E684" s="109" t="n"/>
      <c r="F684" s="109" t="n"/>
      <c r="G684" s="221" t="n"/>
      <c r="H684" s="108" t="n"/>
      <c r="I684" s="108" t="n"/>
      <c r="J684" s="109" t="n"/>
      <c r="K684" s="109" t="n"/>
      <c r="L684" s="108" t="n"/>
      <c r="M684" s="121">
        <f>IF($C684="","",IF($D684="Gider",$E684,IF($L684&lt;&gt;"",$L684,$H684)))</f>
        <v/>
      </c>
      <c r="N684" s="121">
        <f>IF($C684="","",IF($D684="Gider",$H684,$E684))</f>
        <v/>
      </c>
      <c r="O684" s="226">
        <f>IF($C684="","",DATE(YEAR($C684),MONTH($C684),1))</f>
        <v/>
      </c>
      <c r="P684" s="113">
        <f>IF($C684="","",IF(AND($D684="Gelir",$L684&lt;&gt;"",$T684=""),"TANIMSIZ BORÇLU",IF($T684&lt;&gt;"",IF(OR($E684="",$G684&lt;=0),"EKSİK",IF($I684="Evet","TAHAKKUK NAKİT OLAMAZ",IF($C684&gt;TODAY(),"İLERİ TARİH","TAHAKKUK"))),IF(AND($D684&lt;&gt;"",$E684&lt;&gt;"",$G684&gt;0,$H684&lt;&gt;"",$I684&lt;&gt;""),IF($C684&gt;TODAY(),"İLERİ TARİH",IF(COUNTIF($W$7:$W$1206,$W684)&gt;1,"MÜKERRER?",IF($AD684&gt;0,"KAPALI DÖNEM",IF($I684="Hayır","ÖDENECEK","UYGUN")))),"EKSİK"))))</f>
        <v/>
      </c>
      <c r="Q684" s="6" t="n"/>
      <c r="R684" s="6" t="n"/>
      <c r="S684" s="3">
        <f>IF($L684="","",UPPER(SUBSTITUTE(SUBSTITUTE(SUBSTITUTE(SUBSTITUTE(SUBSTITUTE(SUBSTITUTE(SUBSTITUTE(SUBSTITUTE(SUBSTITUTE(SUBSTITUTE(SUBSTITUTE(SUBSTITUTE(SUBSTITUTE(SUBSTITUTE(SUBSTITUTE(SUBSTITUTE(SUBSTITUTE(SUBSTITUTE(TRIM($L684),"'",""),"İ","I"),"ı","I"),"i","I"),"Ş","S"),"ş","S"),"Ğ","G"),"ğ","G"),"Ü","U"),"ü","U"),"Ö","O"),"ö","O"),"Ç","C"),"ç","C"),".",""),",","")," ",""),"-","")))</f>
        <v/>
      </c>
      <c r="T684" s="3">
        <f>IF(OR($C684="",$D684&lt;&gt;"Gelir",$L684=""),"",IFERROR(INDEX(MUSTERILER!$B$7:$B$106,MATCH($S684,MUSTERILER!$T$7:$T$106,0)),""))</f>
        <v/>
      </c>
      <c r="U684" s="3">
        <f>IF($T684="","",$T684&amp;"|"&amp;COUNTIFS($T$7:$T684,$T684))</f>
        <v/>
      </c>
      <c r="V684" s="3">
        <f>IF($T684="",0,1)</f>
        <v/>
      </c>
      <c r="W684" s="3">
        <f>IF($C684="","",$D684&amp;"|"&amp;$E684&amp;"|"&amp;TEXT($C684,"0")&amp;"|"&amp;TEXT($G684,"0")&amp;"|"&amp;$J684)</f>
        <v/>
      </c>
      <c r="X684" s="3" t="n"/>
      <c r="Y684" s="3" t="n"/>
      <c r="Z684" s="3" t="n"/>
      <c r="AA684" s="3" t="n"/>
      <c r="AB684" s="3" t="n"/>
      <c r="AC684" s="3" t="n"/>
      <c r="AD684" s="3">
        <f>IF($C684="",0,SUMPRODUCT((AY_SONU!$O$7:$O$42="Evet")*(AY_SONU!$B$7:$B$42=DATE(YEAR($C684),MONTH($C684),1))))</f>
        <v/>
      </c>
    </row>
    <row r="685">
      <c r="A685" s="6" t="n"/>
      <c r="B685" s="113">
        <f>IF($C685="","","GG"&amp;TEXT(ROW()-6,"00000"))</f>
        <v/>
      </c>
      <c r="C685" s="220" t="n"/>
      <c r="D685" s="108" t="n"/>
      <c r="E685" s="109" t="n"/>
      <c r="F685" s="109" t="n"/>
      <c r="G685" s="221" t="n"/>
      <c r="H685" s="108" t="n"/>
      <c r="I685" s="108" t="n"/>
      <c r="J685" s="109" t="n"/>
      <c r="K685" s="109" t="n"/>
      <c r="L685" s="108" t="n"/>
      <c r="M685" s="121">
        <f>IF($C685="","",IF($D685="Gider",$E685,IF($L685&lt;&gt;"",$L685,$H685)))</f>
        <v/>
      </c>
      <c r="N685" s="121">
        <f>IF($C685="","",IF($D685="Gider",$H685,$E685))</f>
        <v/>
      </c>
      <c r="O685" s="226">
        <f>IF($C685="","",DATE(YEAR($C685),MONTH($C685),1))</f>
        <v/>
      </c>
      <c r="P685" s="113">
        <f>IF($C685="","",IF(AND($D685="Gelir",$L685&lt;&gt;"",$T685=""),"TANIMSIZ BORÇLU",IF($T685&lt;&gt;"",IF(OR($E685="",$G685&lt;=0),"EKSİK",IF($I685="Evet","TAHAKKUK NAKİT OLAMAZ",IF($C685&gt;TODAY(),"İLERİ TARİH","TAHAKKUK"))),IF(AND($D685&lt;&gt;"",$E685&lt;&gt;"",$G685&gt;0,$H685&lt;&gt;"",$I685&lt;&gt;""),IF($C685&gt;TODAY(),"İLERİ TARİH",IF(COUNTIF($W$7:$W$1206,$W685)&gt;1,"MÜKERRER?",IF($AD685&gt;0,"KAPALI DÖNEM",IF($I685="Hayır","ÖDENECEK","UYGUN")))),"EKSİK"))))</f>
        <v/>
      </c>
      <c r="Q685" s="6" t="n"/>
      <c r="R685" s="6" t="n"/>
      <c r="S685" s="3">
        <f>IF($L685="","",UPPER(SUBSTITUTE(SUBSTITUTE(SUBSTITUTE(SUBSTITUTE(SUBSTITUTE(SUBSTITUTE(SUBSTITUTE(SUBSTITUTE(SUBSTITUTE(SUBSTITUTE(SUBSTITUTE(SUBSTITUTE(SUBSTITUTE(SUBSTITUTE(SUBSTITUTE(SUBSTITUTE(SUBSTITUTE(SUBSTITUTE(TRIM($L685),"'",""),"İ","I"),"ı","I"),"i","I"),"Ş","S"),"ş","S"),"Ğ","G"),"ğ","G"),"Ü","U"),"ü","U"),"Ö","O"),"ö","O"),"Ç","C"),"ç","C"),".",""),",","")," ",""),"-","")))</f>
        <v/>
      </c>
      <c r="T685" s="3">
        <f>IF(OR($C685="",$D685&lt;&gt;"Gelir",$L685=""),"",IFERROR(INDEX(MUSTERILER!$B$7:$B$106,MATCH($S685,MUSTERILER!$T$7:$T$106,0)),""))</f>
        <v/>
      </c>
      <c r="U685" s="3">
        <f>IF($T685="","",$T685&amp;"|"&amp;COUNTIFS($T$7:$T685,$T685))</f>
        <v/>
      </c>
      <c r="V685" s="3">
        <f>IF($T685="",0,1)</f>
        <v/>
      </c>
      <c r="W685" s="3">
        <f>IF($C685="","",$D685&amp;"|"&amp;$E685&amp;"|"&amp;TEXT($C685,"0")&amp;"|"&amp;TEXT($G685,"0")&amp;"|"&amp;$J685)</f>
        <v/>
      </c>
      <c r="X685" s="3" t="n"/>
      <c r="Y685" s="3" t="n"/>
      <c r="Z685" s="3" t="n"/>
      <c r="AA685" s="3" t="n"/>
      <c r="AB685" s="3" t="n"/>
      <c r="AC685" s="3" t="n"/>
      <c r="AD685" s="3">
        <f>IF($C685="",0,SUMPRODUCT((AY_SONU!$O$7:$O$42="Evet")*(AY_SONU!$B$7:$B$42=DATE(YEAR($C685),MONTH($C685),1))))</f>
        <v/>
      </c>
    </row>
    <row r="686">
      <c r="A686" s="6" t="n"/>
      <c r="B686" s="113">
        <f>IF($C686="","","GG"&amp;TEXT(ROW()-6,"00000"))</f>
        <v/>
      </c>
      <c r="C686" s="220" t="n"/>
      <c r="D686" s="108" t="n"/>
      <c r="E686" s="109" t="n"/>
      <c r="F686" s="109" t="n"/>
      <c r="G686" s="221" t="n"/>
      <c r="H686" s="108" t="n"/>
      <c r="I686" s="108" t="n"/>
      <c r="J686" s="109" t="n"/>
      <c r="K686" s="109" t="n"/>
      <c r="L686" s="108" t="n"/>
      <c r="M686" s="121">
        <f>IF($C686="","",IF($D686="Gider",$E686,IF($L686&lt;&gt;"",$L686,$H686)))</f>
        <v/>
      </c>
      <c r="N686" s="121">
        <f>IF($C686="","",IF($D686="Gider",$H686,$E686))</f>
        <v/>
      </c>
      <c r="O686" s="226">
        <f>IF($C686="","",DATE(YEAR($C686),MONTH($C686),1))</f>
        <v/>
      </c>
      <c r="P686" s="113">
        <f>IF($C686="","",IF(AND($D686="Gelir",$L686&lt;&gt;"",$T686=""),"TANIMSIZ BORÇLU",IF($T686&lt;&gt;"",IF(OR($E686="",$G686&lt;=0),"EKSİK",IF($I686="Evet","TAHAKKUK NAKİT OLAMAZ",IF($C686&gt;TODAY(),"İLERİ TARİH","TAHAKKUK"))),IF(AND($D686&lt;&gt;"",$E686&lt;&gt;"",$G686&gt;0,$H686&lt;&gt;"",$I686&lt;&gt;""),IF($C686&gt;TODAY(),"İLERİ TARİH",IF(COUNTIF($W$7:$W$1206,$W686)&gt;1,"MÜKERRER?",IF($AD686&gt;0,"KAPALI DÖNEM",IF($I686="Hayır","ÖDENECEK","UYGUN")))),"EKSİK"))))</f>
        <v/>
      </c>
      <c r="Q686" s="6" t="n"/>
      <c r="R686" s="6" t="n"/>
      <c r="S686" s="3">
        <f>IF($L686="","",UPPER(SUBSTITUTE(SUBSTITUTE(SUBSTITUTE(SUBSTITUTE(SUBSTITUTE(SUBSTITUTE(SUBSTITUTE(SUBSTITUTE(SUBSTITUTE(SUBSTITUTE(SUBSTITUTE(SUBSTITUTE(SUBSTITUTE(SUBSTITUTE(SUBSTITUTE(SUBSTITUTE(SUBSTITUTE(SUBSTITUTE(TRIM($L686),"'",""),"İ","I"),"ı","I"),"i","I"),"Ş","S"),"ş","S"),"Ğ","G"),"ğ","G"),"Ü","U"),"ü","U"),"Ö","O"),"ö","O"),"Ç","C"),"ç","C"),".",""),",","")," ",""),"-","")))</f>
        <v/>
      </c>
      <c r="T686" s="3">
        <f>IF(OR($C686="",$D686&lt;&gt;"Gelir",$L686=""),"",IFERROR(INDEX(MUSTERILER!$B$7:$B$106,MATCH($S686,MUSTERILER!$T$7:$T$106,0)),""))</f>
        <v/>
      </c>
      <c r="U686" s="3">
        <f>IF($T686="","",$T686&amp;"|"&amp;COUNTIFS($T$7:$T686,$T686))</f>
        <v/>
      </c>
      <c r="V686" s="3">
        <f>IF($T686="",0,1)</f>
        <v/>
      </c>
      <c r="W686" s="3">
        <f>IF($C686="","",$D686&amp;"|"&amp;$E686&amp;"|"&amp;TEXT($C686,"0")&amp;"|"&amp;TEXT($G686,"0")&amp;"|"&amp;$J686)</f>
        <v/>
      </c>
      <c r="X686" s="3" t="n"/>
      <c r="Y686" s="3" t="n"/>
      <c r="Z686" s="3" t="n"/>
      <c r="AA686" s="3" t="n"/>
      <c r="AB686" s="3" t="n"/>
      <c r="AC686" s="3" t="n"/>
      <c r="AD686" s="3">
        <f>IF($C686="",0,SUMPRODUCT((AY_SONU!$O$7:$O$42="Evet")*(AY_SONU!$B$7:$B$42=DATE(YEAR($C686),MONTH($C686),1))))</f>
        <v/>
      </c>
    </row>
    <row r="687">
      <c r="A687" s="6" t="n"/>
      <c r="B687" s="113">
        <f>IF($C687="","","GG"&amp;TEXT(ROW()-6,"00000"))</f>
        <v/>
      </c>
      <c r="C687" s="220" t="n"/>
      <c r="D687" s="108" t="n"/>
      <c r="E687" s="109" t="n"/>
      <c r="F687" s="109" t="n"/>
      <c r="G687" s="221" t="n"/>
      <c r="H687" s="108" t="n"/>
      <c r="I687" s="108" t="n"/>
      <c r="J687" s="109" t="n"/>
      <c r="K687" s="109" t="n"/>
      <c r="L687" s="108" t="n"/>
      <c r="M687" s="121">
        <f>IF($C687="","",IF($D687="Gider",$E687,IF($L687&lt;&gt;"",$L687,$H687)))</f>
        <v/>
      </c>
      <c r="N687" s="121">
        <f>IF($C687="","",IF($D687="Gider",$H687,$E687))</f>
        <v/>
      </c>
      <c r="O687" s="226">
        <f>IF($C687="","",DATE(YEAR($C687),MONTH($C687),1))</f>
        <v/>
      </c>
      <c r="P687" s="113">
        <f>IF($C687="","",IF(AND($D687="Gelir",$L687&lt;&gt;"",$T687=""),"TANIMSIZ BORÇLU",IF($T687&lt;&gt;"",IF(OR($E687="",$G687&lt;=0),"EKSİK",IF($I687="Evet","TAHAKKUK NAKİT OLAMAZ",IF($C687&gt;TODAY(),"İLERİ TARİH","TAHAKKUK"))),IF(AND($D687&lt;&gt;"",$E687&lt;&gt;"",$G687&gt;0,$H687&lt;&gt;"",$I687&lt;&gt;""),IF($C687&gt;TODAY(),"İLERİ TARİH",IF(COUNTIF($W$7:$W$1206,$W687)&gt;1,"MÜKERRER?",IF($AD687&gt;0,"KAPALI DÖNEM",IF($I687="Hayır","ÖDENECEK","UYGUN")))),"EKSİK"))))</f>
        <v/>
      </c>
      <c r="Q687" s="6" t="n"/>
      <c r="R687" s="6" t="n"/>
      <c r="S687" s="3">
        <f>IF($L687="","",UPPER(SUBSTITUTE(SUBSTITUTE(SUBSTITUTE(SUBSTITUTE(SUBSTITUTE(SUBSTITUTE(SUBSTITUTE(SUBSTITUTE(SUBSTITUTE(SUBSTITUTE(SUBSTITUTE(SUBSTITUTE(SUBSTITUTE(SUBSTITUTE(SUBSTITUTE(SUBSTITUTE(SUBSTITUTE(SUBSTITUTE(TRIM($L687),"'",""),"İ","I"),"ı","I"),"i","I"),"Ş","S"),"ş","S"),"Ğ","G"),"ğ","G"),"Ü","U"),"ü","U"),"Ö","O"),"ö","O"),"Ç","C"),"ç","C"),".",""),",","")," ",""),"-","")))</f>
        <v/>
      </c>
      <c r="T687" s="3">
        <f>IF(OR($C687="",$D687&lt;&gt;"Gelir",$L687=""),"",IFERROR(INDEX(MUSTERILER!$B$7:$B$106,MATCH($S687,MUSTERILER!$T$7:$T$106,0)),""))</f>
        <v/>
      </c>
      <c r="U687" s="3">
        <f>IF($T687="","",$T687&amp;"|"&amp;COUNTIFS($T$7:$T687,$T687))</f>
        <v/>
      </c>
      <c r="V687" s="3">
        <f>IF($T687="",0,1)</f>
        <v/>
      </c>
      <c r="W687" s="3">
        <f>IF($C687="","",$D687&amp;"|"&amp;$E687&amp;"|"&amp;TEXT($C687,"0")&amp;"|"&amp;TEXT($G687,"0")&amp;"|"&amp;$J687)</f>
        <v/>
      </c>
      <c r="X687" s="3" t="n"/>
      <c r="Y687" s="3" t="n"/>
      <c r="Z687" s="3" t="n"/>
      <c r="AA687" s="3" t="n"/>
      <c r="AB687" s="3" t="n"/>
      <c r="AC687" s="3" t="n"/>
      <c r="AD687" s="3">
        <f>IF($C687="",0,SUMPRODUCT((AY_SONU!$O$7:$O$42="Evet")*(AY_SONU!$B$7:$B$42=DATE(YEAR($C687),MONTH($C687),1))))</f>
        <v/>
      </c>
    </row>
    <row r="688">
      <c r="A688" s="6" t="n"/>
      <c r="B688" s="113">
        <f>IF($C688="","","GG"&amp;TEXT(ROW()-6,"00000"))</f>
        <v/>
      </c>
      <c r="C688" s="220" t="n"/>
      <c r="D688" s="108" t="n"/>
      <c r="E688" s="109" t="n"/>
      <c r="F688" s="109" t="n"/>
      <c r="G688" s="221" t="n"/>
      <c r="H688" s="108" t="n"/>
      <c r="I688" s="108" t="n"/>
      <c r="J688" s="109" t="n"/>
      <c r="K688" s="109" t="n"/>
      <c r="L688" s="108" t="n"/>
      <c r="M688" s="121">
        <f>IF($C688="","",IF($D688="Gider",$E688,IF($L688&lt;&gt;"",$L688,$H688)))</f>
        <v/>
      </c>
      <c r="N688" s="121">
        <f>IF($C688="","",IF($D688="Gider",$H688,$E688))</f>
        <v/>
      </c>
      <c r="O688" s="226">
        <f>IF($C688="","",DATE(YEAR($C688),MONTH($C688),1))</f>
        <v/>
      </c>
      <c r="P688" s="113">
        <f>IF($C688="","",IF(AND($D688="Gelir",$L688&lt;&gt;"",$T688=""),"TANIMSIZ BORÇLU",IF($T688&lt;&gt;"",IF(OR($E688="",$G688&lt;=0),"EKSİK",IF($I688="Evet","TAHAKKUK NAKİT OLAMAZ",IF($C688&gt;TODAY(),"İLERİ TARİH","TAHAKKUK"))),IF(AND($D688&lt;&gt;"",$E688&lt;&gt;"",$G688&gt;0,$H688&lt;&gt;"",$I688&lt;&gt;""),IF($C688&gt;TODAY(),"İLERİ TARİH",IF(COUNTIF($W$7:$W$1206,$W688)&gt;1,"MÜKERRER?",IF($AD688&gt;0,"KAPALI DÖNEM",IF($I688="Hayır","ÖDENECEK","UYGUN")))),"EKSİK"))))</f>
        <v/>
      </c>
      <c r="Q688" s="6" t="n"/>
      <c r="R688" s="6" t="n"/>
      <c r="S688" s="3">
        <f>IF($L688="","",UPPER(SUBSTITUTE(SUBSTITUTE(SUBSTITUTE(SUBSTITUTE(SUBSTITUTE(SUBSTITUTE(SUBSTITUTE(SUBSTITUTE(SUBSTITUTE(SUBSTITUTE(SUBSTITUTE(SUBSTITUTE(SUBSTITUTE(SUBSTITUTE(SUBSTITUTE(SUBSTITUTE(SUBSTITUTE(SUBSTITUTE(TRIM($L688),"'",""),"İ","I"),"ı","I"),"i","I"),"Ş","S"),"ş","S"),"Ğ","G"),"ğ","G"),"Ü","U"),"ü","U"),"Ö","O"),"ö","O"),"Ç","C"),"ç","C"),".",""),",","")," ",""),"-","")))</f>
        <v/>
      </c>
      <c r="T688" s="3">
        <f>IF(OR($C688="",$D688&lt;&gt;"Gelir",$L688=""),"",IFERROR(INDEX(MUSTERILER!$B$7:$B$106,MATCH($S688,MUSTERILER!$T$7:$T$106,0)),""))</f>
        <v/>
      </c>
      <c r="U688" s="3">
        <f>IF($T688="","",$T688&amp;"|"&amp;COUNTIFS($T$7:$T688,$T688))</f>
        <v/>
      </c>
      <c r="V688" s="3">
        <f>IF($T688="",0,1)</f>
        <v/>
      </c>
      <c r="W688" s="3">
        <f>IF($C688="","",$D688&amp;"|"&amp;$E688&amp;"|"&amp;TEXT($C688,"0")&amp;"|"&amp;TEXT($G688,"0")&amp;"|"&amp;$J688)</f>
        <v/>
      </c>
      <c r="X688" s="3" t="n"/>
      <c r="Y688" s="3" t="n"/>
      <c r="Z688" s="3" t="n"/>
      <c r="AA688" s="3" t="n"/>
      <c r="AB688" s="3" t="n"/>
      <c r="AC688" s="3" t="n"/>
      <c r="AD688" s="3">
        <f>IF($C688="",0,SUMPRODUCT((AY_SONU!$O$7:$O$42="Evet")*(AY_SONU!$B$7:$B$42=DATE(YEAR($C688),MONTH($C688),1))))</f>
        <v/>
      </c>
    </row>
    <row r="689">
      <c r="A689" s="6" t="n"/>
      <c r="B689" s="113">
        <f>IF($C689="","","GG"&amp;TEXT(ROW()-6,"00000"))</f>
        <v/>
      </c>
      <c r="C689" s="220" t="n"/>
      <c r="D689" s="108" t="n"/>
      <c r="E689" s="109" t="n"/>
      <c r="F689" s="109" t="n"/>
      <c r="G689" s="221" t="n"/>
      <c r="H689" s="108" t="n"/>
      <c r="I689" s="108" t="n"/>
      <c r="J689" s="109" t="n"/>
      <c r="K689" s="109" t="n"/>
      <c r="L689" s="108" t="n"/>
      <c r="M689" s="121">
        <f>IF($C689="","",IF($D689="Gider",$E689,IF($L689&lt;&gt;"",$L689,$H689)))</f>
        <v/>
      </c>
      <c r="N689" s="121">
        <f>IF($C689="","",IF($D689="Gider",$H689,$E689))</f>
        <v/>
      </c>
      <c r="O689" s="226">
        <f>IF($C689="","",DATE(YEAR($C689),MONTH($C689),1))</f>
        <v/>
      </c>
      <c r="P689" s="113">
        <f>IF($C689="","",IF(AND($D689="Gelir",$L689&lt;&gt;"",$T689=""),"TANIMSIZ BORÇLU",IF($T689&lt;&gt;"",IF(OR($E689="",$G689&lt;=0),"EKSİK",IF($I689="Evet","TAHAKKUK NAKİT OLAMAZ",IF($C689&gt;TODAY(),"İLERİ TARİH","TAHAKKUK"))),IF(AND($D689&lt;&gt;"",$E689&lt;&gt;"",$G689&gt;0,$H689&lt;&gt;"",$I689&lt;&gt;""),IF($C689&gt;TODAY(),"İLERİ TARİH",IF(COUNTIF($W$7:$W$1206,$W689)&gt;1,"MÜKERRER?",IF($AD689&gt;0,"KAPALI DÖNEM",IF($I689="Hayır","ÖDENECEK","UYGUN")))),"EKSİK"))))</f>
        <v/>
      </c>
      <c r="Q689" s="6" t="n"/>
      <c r="R689" s="6" t="n"/>
      <c r="S689" s="3">
        <f>IF($L689="","",UPPER(SUBSTITUTE(SUBSTITUTE(SUBSTITUTE(SUBSTITUTE(SUBSTITUTE(SUBSTITUTE(SUBSTITUTE(SUBSTITUTE(SUBSTITUTE(SUBSTITUTE(SUBSTITUTE(SUBSTITUTE(SUBSTITUTE(SUBSTITUTE(SUBSTITUTE(SUBSTITUTE(SUBSTITUTE(SUBSTITUTE(TRIM($L689),"'",""),"İ","I"),"ı","I"),"i","I"),"Ş","S"),"ş","S"),"Ğ","G"),"ğ","G"),"Ü","U"),"ü","U"),"Ö","O"),"ö","O"),"Ç","C"),"ç","C"),".",""),",","")," ",""),"-","")))</f>
        <v/>
      </c>
      <c r="T689" s="3">
        <f>IF(OR($C689="",$D689&lt;&gt;"Gelir",$L689=""),"",IFERROR(INDEX(MUSTERILER!$B$7:$B$106,MATCH($S689,MUSTERILER!$T$7:$T$106,0)),""))</f>
        <v/>
      </c>
      <c r="U689" s="3">
        <f>IF($T689="","",$T689&amp;"|"&amp;COUNTIFS($T$7:$T689,$T689))</f>
        <v/>
      </c>
      <c r="V689" s="3">
        <f>IF($T689="",0,1)</f>
        <v/>
      </c>
      <c r="W689" s="3">
        <f>IF($C689="","",$D689&amp;"|"&amp;$E689&amp;"|"&amp;TEXT($C689,"0")&amp;"|"&amp;TEXT($G689,"0")&amp;"|"&amp;$J689)</f>
        <v/>
      </c>
      <c r="X689" s="3" t="n"/>
      <c r="Y689" s="3" t="n"/>
      <c r="Z689" s="3" t="n"/>
      <c r="AA689" s="3" t="n"/>
      <c r="AB689" s="3" t="n"/>
      <c r="AC689" s="3" t="n"/>
      <c r="AD689" s="3">
        <f>IF($C689="",0,SUMPRODUCT((AY_SONU!$O$7:$O$42="Evet")*(AY_SONU!$B$7:$B$42=DATE(YEAR($C689),MONTH($C689),1))))</f>
        <v/>
      </c>
    </row>
    <row r="690">
      <c r="A690" s="6" t="n"/>
      <c r="B690" s="113">
        <f>IF($C690="","","GG"&amp;TEXT(ROW()-6,"00000"))</f>
        <v/>
      </c>
      <c r="C690" s="220" t="n"/>
      <c r="D690" s="108" t="n"/>
      <c r="E690" s="109" t="n"/>
      <c r="F690" s="109" t="n"/>
      <c r="G690" s="221" t="n"/>
      <c r="H690" s="108" t="n"/>
      <c r="I690" s="108" t="n"/>
      <c r="J690" s="109" t="n"/>
      <c r="K690" s="109" t="n"/>
      <c r="L690" s="108" t="n"/>
      <c r="M690" s="121">
        <f>IF($C690="","",IF($D690="Gider",$E690,IF($L690&lt;&gt;"",$L690,$H690)))</f>
        <v/>
      </c>
      <c r="N690" s="121">
        <f>IF($C690="","",IF($D690="Gider",$H690,$E690))</f>
        <v/>
      </c>
      <c r="O690" s="226">
        <f>IF($C690="","",DATE(YEAR($C690),MONTH($C690),1))</f>
        <v/>
      </c>
      <c r="P690" s="113">
        <f>IF($C690="","",IF(AND($D690="Gelir",$L690&lt;&gt;"",$T690=""),"TANIMSIZ BORÇLU",IF($T690&lt;&gt;"",IF(OR($E690="",$G690&lt;=0),"EKSİK",IF($I690="Evet","TAHAKKUK NAKİT OLAMAZ",IF($C690&gt;TODAY(),"İLERİ TARİH","TAHAKKUK"))),IF(AND($D690&lt;&gt;"",$E690&lt;&gt;"",$G690&gt;0,$H690&lt;&gt;"",$I690&lt;&gt;""),IF($C690&gt;TODAY(),"İLERİ TARİH",IF(COUNTIF($W$7:$W$1206,$W690)&gt;1,"MÜKERRER?",IF($AD690&gt;0,"KAPALI DÖNEM",IF($I690="Hayır","ÖDENECEK","UYGUN")))),"EKSİK"))))</f>
        <v/>
      </c>
      <c r="Q690" s="6" t="n"/>
      <c r="R690" s="6" t="n"/>
      <c r="S690" s="3">
        <f>IF($L690="","",UPPER(SUBSTITUTE(SUBSTITUTE(SUBSTITUTE(SUBSTITUTE(SUBSTITUTE(SUBSTITUTE(SUBSTITUTE(SUBSTITUTE(SUBSTITUTE(SUBSTITUTE(SUBSTITUTE(SUBSTITUTE(SUBSTITUTE(SUBSTITUTE(SUBSTITUTE(SUBSTITUTE(SUBSTITUTE(SUBSTITUTE(TRIM($L690),"'",""),"İ","I"),"ı","I"),"i","I"),"Ş","S"),"ş","S"),"Ğ","G"),"ğ","G"),"Ü","U"),"ü","U"),"Ö","O"),"ö","O"),"Ç","C"),"ç","C"),".",""),",","")," ",""),"-","")))</f>
        <v/>
      </c>
      <c r="T690" s="3">
        <f>IF(OR($C690="",$D690&lt;&gt;"Gelir",$L690=""),"",IFERROR(INDEX(MUSTERILER!$B$7:$B$106,MATCH($S690,MUSTERILER!$T$7:$T$106,0)),""))</f>
        <v/>
      </c>
      <c r="U690" s="3">
        <f>IF($T690="","",$T690&amp;"|"&amp;COUNTIFS($T$7:$T690,$T690))</f>
        <v/>
      </c>
      <c r="V690" s="3">
        <f>IF($T690="",0,1)</f>
        <v/>
      </c>
      <c r="W690" s="3">
        <f>IF($C690="","",$D690&amp;"|"&amp;$E690&amp;"|"&amp;TEXT($C690,"0")&amp;"|"&amp;TEXT($G690,"0")&amp;"|"&amp;$J690)</f>
        <v/>
      </c>
      <c r="X690" s="3" t="n"/>
      <c r="Y690" s="3" t="n"/>
      <c r="Z690" s="3" t="n"/>
      <c r="AA690" s="3" t="n"/>
      <c r="AB690" s="3" t="n"/>
      <c r="AC690" s="3" t="n"/>
      <c r="AD690" s="3">
        <f>IF($C690="",0,SUMPRODUCT((AY_SONU!$O$7:$O$42="Evet")*(AY_SONU!$B$7:$B$42=DATE(YEAR($C690),MONTH($C690),1))))</f>
        <v/>
      </c>
    </row>
    <row r="691">
      <c r="A691" s="6" t="n"/>
      <c r="B691" s="113">
        <f>IF($C691="","","GG"&amp;TEXT(ROW()-6,"00000"))</f>
        <v/>
      </c>
      <c r="C691" s="220" t="n"/>
      <c r="D691" s="108" t="n"/>
      <c r="E691" s="109" t="n"/>
      <c r="F691" s="109" t="n"/>
      <c r="G691" s="221" t="n"/>
      <c r="H691" s="108" t="n"/>
      <c r="I691" s="108" t="n"/>
      <c r="J691" s="109" t="n"/>
      <c r="K691" s="109" t="n"/>
      <c r="L691" s="108" t="n"/>
      <c r="M691" s="121">
        <f>IF($C691="","",IF($D691="Gider",$E691,IF($L691&lt;&gt;"",$L691,$H691)))</f>
        <v/>
      </c>
      <c r="N691" s="121">
        <f>IF($C691="","",IF($D691="Gider",$H691,$E691))</f>
        <v/>
      </c>
      <c r="O691" s="226">
        <f>IF($C691="","",DATE(YEAR($C691),MONTH($C691),1))</f>
        <v/>
      </c>
      <c r="P691" s="113">
        <f>IF($C691="","",IF(AND($D691="Gelir",$L691&lt;&gt;"",$T691=""),"TANIMSIZ BORÇLU",IF($T691&lt;&gt;"",IF(OR($E691="",$G691&lt;=0),"EKSİK",IF($I691="Evet","TAHAKKUK NAKİT OLAMAZ",IF($C691&gt;TODAY(),"İLERİ TARİH","TAHAKKUK"))),IF(AND($D691&lt;&gt;"",$E691&lt;&gt;"",$G691&gt;0,$H691&lt;&gt;"",$I691&lt;&gt;""),IF($C691&gt;TODAY(),"İLERİ TARİH",IF(COUNTIF($W$7:$W$1206,$W691)&gt;1,"MÜKERRER?",IF($AD691&gt;0,"KAPALI DÖNEM",IF($I691="Hayır","ÖDENECEK","UYGUN")))),"EKSİK"))))</f>
        <v/>
      </c>
      <c r="Q691" s="6" t="n"/>
      <c r="R691" s="6" t="n"/>
      <c r="S691" s="3">
        <f>IF($L691="","",UPPER(SUBSTITUTE(SUBSTITUTE(SUBSTITUTE(SUBSTITUTE(SUBSTITUTE(SUBSTITUTE(SUBSTITUTE(SUBSTITUTE(SUBSTITUTE(SUBSTITUTE(SUBSTITUTE(SUBSTITUTE(SUBSTITUTE(SUBSTITUTE(SUBSTITUTE(SUBSTITUTE(SUBSTITUTE(SUBSTITUTE(TRIM($L691),"'",""),"İ","I"),"ı","I"),"i","I"),"Ş","S"),"ş","S"),"Ğ","G"),"ğ","G"),"Ü","U"),"ü","U"),"Ö","O"),"ö","O"),"Ç","C"),"ç","C"),".",""),",","")," ",""),"-","")))</f>
        <v/>
      </c>
      <c r="T691" s="3">
        <f>IF(OR($C691="",$D691&lt;&gt;"Gelir",$L691=""),"",IFERROR(INDEX(MUSTERILER!$B$7:$B$106,MATCH($S691,MUSTERILER!$T$7:$T$106,0)),""))</f>
        <v/>
      </c>
      <c r="U691" s="3">
        <f>IF($T691="","",$T691&amp;"|"&amp;COUNTIFS($T$7:$T691,$T691))</f>
        <v/>
      </c>
      <c r="V691" s="3">
        <f>IF($T691="",0,1)</f>
        <v/>
      </c>
      <c r="W691" s="3">
        <f>IF($C691="","",$D691&amp;"|"&amp;$E691&amp;"|"&amp;TEXT($C691,"0")&amp;"|"&amp;TEXT($G691,"0")&amp;"|"&amp;$J691)</f>
        <v/>
      </c>
      <c r="X691" s="3" t="n"/>
      <c r="Y691" s="3" t="n"/>
      <c r="Z691" s="3" t="n"/>
      <c r="AA691" s="3" t="n"/>
      <c r="AB691" s="3" t="n"/>
      <c r="AC691" s="3" t="n"/>
      <c r="AD691" s="3">
        <f>IF($C691="",0,SUMPRODUCT((AY_SONU!$O$7:$O$42="Evet")*(AY_SONU!$B$7:$B$42=DATE(YEAR($C691),MONTH($C691),1))))</f>
        <v/>
      </c>
    </row>
    <row r="692">
      <c r="A692" s="6" t="n"/>
      <c r="B692" s="113">
        <f>IF($C692="","","GG"&amp;TEXT(ROW()-6,"00000"))</f>
        <v/>
      </c>
      <c r="C692" s="220" t="n"/>
      <c r="D692" s="108" t="n"/>
      <c r="E692" s="109" t="n"/>
      <c r="F692" s="109" t="n"/>
      <c r="G692" s="221" t="n"/>
      <c r="H692" s="108" t="n"/>
      <c r="I692" s="108" t="n"/>
      <c r="J692" s="109" t="n"/>
      <c r="K692" s="109" t="n"/>
      <c r="L692" s="108" t="n"/>
      <c r="M692" s="121">
        <f>IF($C692="","",IF($D692="Gider",$E692,IF($L692&lt;&gt;"",$L692,$H692)))</f>
        <v/>
      </c>
      <c r="N692" s="121">
        <f>IF($C692="","",IF($D692="Gider",$H692,$E692))</f>
        <v/>
      </c>
      <c r="O692" s="226">
        <f>IF($C692="","",DATE(YEAR($C692),MONTH($C692),1))</f>
        <v/>
      </c>
      <c r="P692" s="113">
        <f>IF($C692="","",IF(AND($D692="Gelir",$L692&lt;&gt;"",$T692=""),"TANIMSIZ BORÇLU",IF($T692&lt;&gt;"",IF(OR($E692="",$G692&lt;=0),"EKSİK",IF($I692="Evet","TAHAKKUK NAKİT OLAMAZ",IF($C692&gt;TODAY(),"İLERİ TARİH","TAHAKKUK"))),IF(AND($D692&lt;&gt;"",$E692&lt;&gt;"",$G692&gt;0,$H692&lt;&gt;"",$I692&lt;&gt;""),IF($C692&gt;TODAY(),"İLERİ TARİH",IF(COUNTIF($W$7:$W$1206,$W692)&gt;1,"MÜKERRER?",IF($AD692&gt;0,"KAPALI DÖNEM",IF($I692="Hayır","ÖDENECEK","UYGUN")))),"EKSİK"))))</f>
        <v/>
      </c>
      <c r="Q692" s="6" t="n"/>
      <c r="R692" s="6" t="n"/>
      <c r="S692" s="3">
        <f>IF($L692="","",UPPER(SUBSTITUTE(SUBSTITUTE(SUBSTITUTE(SUBSTITUTE(SUBSTITUTE(SUBSTITUTE(SUBSTITUTE(SUBSTITUTE(SUBSTITUTE(SUBSTITUTE(SUBSTITUTE(SUBSTITUTE(SUBSTITUTE(SUBSTITUTE(SUBSTITUTE(SUBSTITUTE(SUBSTITUTE(SUBSTITUTE(TRIM($L692),"'",""),"İ","I"),"ı","I"),"i","I"),"Ş","S"),"ş","S"),"Ğ","G"),"ğ","G"),"Ü","U"),"ü","U"),"Ö","O"),"ö","O"),"Ç","C"),"ç","C"),".",""),",","")," ",""),"-","")))</f>
        <v/>
      </c>
      <c r="T692" s="3">
        <f>IF(OR($C692="",$D692&lt;&gt;"Gelir",$L692=""),"",IFERROR(INDEX(MUSTERILER!$B$7:$B$106,MATCH($S692,MUSTERILER!$T$7:$T$106,0)),""))</f>
        <v/>
      </c>
      <c r="U692" s="3">
        <f>IF($T692="","",$T692&amp;"|"&amp;COUNTIFS($T$7:$T692,$T692))</f>
        <v/>
      </c>
      <c r="V692" s="3">
        <f>IF($T692="",0,1)</f>
        <v/>
      </c>
      <c r="W692" s="3">
        <f>IF($C692="","",$D692&amp;"|"&amp;$E692&amp;"|"&amp;TEXT($C692,"0")&amp;"|"&amp;TEXT($G692,"0")&amp;"|"&amp;$J692)</f>
        <v/>
      </c>
      <c r="X692" s="3" t="n"/>
      <c r="Y692" s="3" t="n"/>
      <c r="Z692" s="3" t="n"/>
      <c r="AA692" s="3" t="n"/>
      <c r="AB692" s="3" t="n"/>
      <c r="AC692" s="3" t="n"/>
      <c r="AD692" s="3">
        <f>IF($C692="",0,SUMPRODUCT((AY_SONU!$O$7:$O$42="Evet")*(AY_SONU!$B$7:$B$42=DATE(YEAR($C692),MONTH($C692),1))))</f>
        <v/>
      </c>
    </row>
    <row r="693">
      <c r="A693" s="6" t="n"/>
      <c r="B693" s="113">
        <f>IF($C693="","","GG"&amp;TEXT(ROW()-6,"00000"))</f>
        <v/>
      </c>
      <c r="C693" s="220" t="n"/>
      <c r="D693" s="108" t="n"/>
      <c r="E693" s="109" t="n"/>
      <c r="F693" s="109" t="n"/>
      <c r="G693" s="221" t="n"/>
      <c r="H693" s="108" t="n"/>
      <c r="I693" s="108" t="n"/>
      <c r="J693" s="109" t="n"/>
      <c r="K693" s="109" t="n"/>
      <c r="L693" s="108" t="n"/>
      <c r="M693" s="121">
        <f>IF($C693="","",IF($D693="Gider",$E693,IF($L693&lt;&gt;"",$L693,$H693)))</f>
        <v/>
      </c>
      <c r="N693" s="121">
        <f>IF($C693="","",IF($D693="Gider",$H693,$E693))</f>
        <v/>
      </c>
      <c r="O693" s="226">
        <f>IF($C693="","",DATE(YEAR($C693),MONTH($C693),1))</f>
        <v/>
      </c>
      <c r="P693" s="113">
        <f>IF($C693="","",IF(AND($D693="Gelir",$L693&lt;&gt;"",$T693=""),"TANIMSIZ BORÇLU",IF($T693&lt;&gt;"",IF(OR($E693="",$G693&lt;=0),"EKSİK",IF($I693="Evet","TAHAKKUK NAKİT OLAMAZ",IF($C693&gt;TODAY(),"İLERİ TARİH","TAHAKKUK"))),IF(AND($D693&lt;&gt;"",$E693&lt;&gt;"",$G693&gt;0,$H693&lt;&gt;"",$I693&lt;&gt;""),IF($C693&gt;TODAY(),"İLERİ TARİH",IF(COUNTIF($W$7:$W$1206,$W693)&gt;1,"MÜKERRER?",IF($AD693&gt;0,"KAPALI DÖNEM",IF($I693="Hayır","ÖDENECEK","UYGUN")))),"EKSİK"))))</f>
        <v/>
      </c>
      <c r="Q693" s="6" t="n"/>
      <c r="R693" s="6" t="n"/>
      <c r="S693" s="3">
        <f>IF($L693="","",UPPER(SUBSTITUTE(SUBSTITUTE(SUBSTITUTE(SUBSTITUTE(SUBSTITUTE(SUBSTITUTE(SUBSTITUTE(SUBSTITUTE(SUBSTITUTE(SUBSTITUTE(SUBSTITUTE(SUBSTITUTE(SUBSTITUTE(SUBSTITUTE(SUBSTITUTE(SUBSTITUTE(SUBSTITUTE(SUBSTITUTE(TRIM($L693),"'",""),"İ","I"),"ı","I"),"i","I"),"Ş","S"),"ş","S"),"Ğ","G"),"ğ","G"),"Ü","U"),"ü","U"),"Ö","O"),"ö","O"),"Ç","C"),"ç","C"),".",""),",","")," ",""),"-","")))</f>
        <v/>
      </c>
      <c r="T693" s="3">
        <f>IF(OR($C693="",$D693&lt;&gt;"Gelir",$L693=""),"",IFERROR(INDEX(MUSTERILER!$B$7:$B$106,MATCH($S693,MUSTERILER!$T$7:$T$106,0)),""))</f>
        <v/>
      </c>
      <c r="U693" s="3">
        <f>IF($T693="","",$T693&amp;"|"&amp;COUNTIFS($T$7:$T693,$T693))</f>
        <v/>
      </c>
      <c r="V693" s="3">
        <f>IF($T693="",0,1)</f>
        <v/>
      </c>
      <c r="W693" s="3">
        <f>IF($C693="","",$D693&amp;"|"&amp;$E693&amp;"|"&amp;TEXT($C693,"0")&amp;"|"&amp;TEXT($G693,"0")&amp;"|"&amp;$J693)</f>
        <v/>
      </c>
      <c r="X693" s="3" t="n"/>
      <c r="Y693" s="3" t="n"/>
      <c r="Z693" s="3" t="n"/>
      <c r="AA693" s="3" t="n"/>
      <c r="AB693" s="3" t="n"/>
      <c r="AC693" s="3" t="n"/>
      <c r="AD693" s="3">
        <f>IF($C693="",0,SUMPRODUCT((AY_SONU!$O$7:$O$42="Evet")*(AY_SONU!$B$7:$B$42=DATE(YEAR($C693),MONTH($C693),1))))</f>
        <v/>
      </c>
    </row>
    <row r="694">
      <c r="A694" s="6" t="n"/>
      <c r="B694" s="113">
        <f>IF($C694="","","GG"&amp;TEXT(ROW()-6,"00000"))</f>
        <v/>
      </c>
      <c r="C694" s="220" t="n"/>
      <c r="D694" s="108" t="n"/>
      <c r="E694" s="109" t="n"/>
      <c r="F694" s="109" t="n"/>
      <c r="G694" s="221" t="n"/>
      <c r="H694" s="108" t="n"/>
      <c r="I694" s="108" t="n"/>
      <c r="J694" s="109" t="n"/>
      <c r="K694" s="109" t="n"/>
      <c r="L694" s="108" t="n"/>
      <c r="M694" s="121">
        <f>IF($C694="","",IF($D694="Gider",$E694,IF($L694&lt;&gt;"",$L694,$H694)))</f>
        <v/>
      </c>
      <c r="N694" s="121">
        <f>IF($C694="","",IF($D694="Gider",$H694,$E694))</f>
        <v/>
      </c>
      <c r="O694" s="226">
        <f>IF($C694="","",DATE(YEAR($C694),MONTH($C694),1))</f>
        <v/>
      </c>
      <c r="P694" s="113">
        <f>IF($C694="","",IF(AND($D694="Gelir",$L694&lt;&gt;"",$T694=""),"TANIMSIZ BORÇLU",IF($T694&lt;&gt;"",IF(OR($E694="",$G694&lt;=0),"EKSİK",IF($I694="Evet","TAHAKKUK NAKİT OLAMAZ",IF($C694&gt;TODAY(),"İLERİ TARİH","TAHAKKUK"))),IF(AND($D694&lt;&gt;"",$E694&lt;&gt;"",$G694&gt;0,$H694&lt;&gt;"",$I694&lt;&gt;""),IF($C694&gt;TODAY(),"İLERİ TARİH",IF(COUNTIF($W$7:$W$1206,$W694)&gt;1,"MÜKERRER?",IF($AD694&gt;0,"KAPALI DÖNEM",IF($I694="Hayır","ÖDENECEK","UYGUN")))),"EKSİK"))))</f>
        <v/>
      </c>
      <c r="Q694" s="6" t="n"/>
      <c r="R694" s="6" t="n"/>
      <c r="S694" s="3">
        <f>IF($L694="","",UPPER(SUBSTITUTE(SUBSTITUTE(SUBSTITUTE(SUBSTITUTE(SUBSTITUTE(SUBSTITUTE(SUBSTITUTE(SUBSTITUTE(SUBSTITUTE(SUBSTITUTE(SUBSTITUTE(SUBSTITUTE(SUBSTITUTE(SUBSTITUTE(SUBSTITUTE(SUBSTITUTE(SUBSTITUTE(SUBSTITUTE(TRIM($L694),"'",""),"İ","I"),"ı","I"),"i","I"),"Ş","S"),"ş","S"),"Ğ","G"),"ğ","G"),"Ü","U"),"ü","U"),"Ö","O"),"ö","O"),"Ç","C"),"ç","C"),".",""),",","")," ",""),"-","")))</f>
        <v/>
      </c>
      <c r="T694" s="3">
        <f>IF(OR($C694="",$D694&lt;&gt;"Gelir",$L694=""),"",IFERROR(INDEX(MUSTERILER!$B$7:$B$106,MATCH($S694,MUSTERILER!$T$7:$T$106,0)),""))</f>
        <v/>
      </c>
      <c r="U694" s="3">
        <f>IF($T694="","",$T694&amp;"|"&amp;COUNTIFS($T$7:$T694,$T694))</f>
        <v/>
      </c>
      <c r="V694" s="3">
        <f>IF($T694="",0,1)</f>
        <v/>
      </c>
      <c r="W694" s="3">
        <f>IF($C694="","",$D694&amp;"|"&amp;$E694&amp;"|"&amp;TEXT($C694,"0")&amp;"|"&amp;TEXT($G694,"0")&amp;"|"&amp;$J694)</f>
        <v/>
      </c>
      <c r="X694" s="3" t="n"/>
      <c r="Y694" s="3" t="n"/>
      <c r="Z694" s="3" t="n"/>
      <c r="AA694" s="3" t="n"/>
      <c r="AB694" s="3" t="n"/>
      <c r="AC694" s="3" t="n"/>
      <c r="AD694" s="3">
        <f>IF($C694="",0,SUMPRODUCT((AY_SONU!$O$7:$O$42="Evet")*(AY_SONU!$B$7:$B$42=DATE(YEAR($C694),MONTH($C694),1))))</f>
        <v/>
      </c>
    </row>
    <row r="695">
      <c r="A695" s="6" t="n"/>
      <c r="B695" s="113">
        <f>IF($C695="","","GG"&amp;TEXT(ROW()-6,"00000"))</f>
        <v/>
      </c>
      <c r="C695" s="220" t="n"/>
      <c r="D695" s="108" t="n"/>
      <c r="E695" s="109" t="n"/>
      <c r="F695" s="109" t="n"/>
      <c r="G695" s="221" t="n"/>
      <c r="H695" s="108" t="n"/>
      <c r="I695" s="108" t="n"/>
      <c r="J695" s="109" t="n"/>
      <c r="K695" s="109" t="n"/>
      <c r="L695" s="108" t="n"/>
      <c r="M695" s="121">
        <f>IF($C695="","",IF($D695="Gider",$E695,IF($L695&lt;&gt;"",$L695,$H695)))</f>
        <v/>
      </c>
      <c r="N695" s="121">
        <f>IF($C695="","",IF($D695="Gider",$H695,$E695))</f>
        <v/>
      </c>
      <c r="O695" s="226">
        <f>IF($C695="","",DATE(YEAR($C695),MONTH($C695),1))</f>
        <v/>
      </c>
      <c r="P695" s="113">
        <f>IF($C695="","",IF(AND($D695="Gelir",$L695&lt;&gt;"",$T695=""),"TANIMSIZ BORÇLU",IF($T695&lt;&gt;"",IF(OR($E695="",$G695&lt;=0),"EKSİK",IF($I695="Evet","TAHAKKUK NAKİT OLAMAZ",IF($C695&gt;TODAY(),"İLERİ TARİH","TAHAKKUK"))),IF(AND($D695&lt;&gt;"",$E695&lt;&gt;"",$G695&gt;0,$H695&lt;&gt;"",$I695&lt;&gt;""),IF($C695&gt;TODAY(),"İLERİ TARİH",IF(COUNTIF($W$7:$W$1206,$W695)&gt;1,"MÜKERRER?",IF($AD695&gt;0,"KAPALI DÖNEM",IF($I695="Hayır","ÖDENECEK","UYGUN")))),"EKSİK"))))</f>
        <v/>
      </c>
      <c r="Q695" s="6" t="n"/>
      <c r="R695" s="6" t="n"/>
      <c r="S695" s="3">
        <f>IF($L695="","",UPPER(SUBSTITUTE(SUBSTITUTE(SUBSTITUTE(SUBSTITUTE(SUBSTITUTE(SUBSTITUTE(SUBSTITUTE(SUBSTITUTE(SUBSTITUTE(SUBSTITUTE(SUBSTITUTE(SUBSTITUTE(SUBSTITUTE(SUBSTITUTE(SUBSTITUTE(SUBSTITUTE(SUBSTITUTE(SUBSTITUTE(TRIM($L695),"'",""),"İ","I"),"ı","I"),"i","I"),"Ş","S"),"ş","S"),"Ğ","G"),"ğ","G"),"Ü","U"),"ü","U"),"Ö","O"),"ö","O"),"Ç","C"),"ç","C"),".",""),",","")," ",""),"-","")))</f>
        <v/>
      </c>
      <c r="T695" s="3">
        <f>IF(OR($C695="",$D695&lt;&gt;"Gelir",$L695=""),"",IFERROR(INDEX(MUSTERILER!$B$7:$B$106,MATCH($S695,MUSTERILER!$T$7:$T$106,0)),""))</f>
        <v/>
      </c>
      <c r="U695" s="3">
        <f>IF($T695="","",$T695&amp;"|"&amp;COUNTIFS($T$7:$T695,$T695))</f>
        <v/>
      </c>
      <c r="V695" s="3">
        <f>IF($T695="",0,1)</f>
        <v/>
      </c>
      <c r="W695" s="3">
        <f>IF($C695="","",$D695&amp;"|"&amp;$E695&amp;"|"&amp;TEXT($C695,"0")&amp;"|"&amp;TEXT($G695,"0")&amp;"|"&amp;$J695)</f>
        <v/>
      </c>
      <c r="X695" s="3" t="n"/>
      <c r="Y695" s="3" t="n"/>
      <c r="Z695" s="3" t="n"/>
      <c r="AA695" s="3" t="n"/>
      <c r="AB695" s="3" t="n"/>
      <c r="AC695" s="3" t="n"/>
      <c r="AD695" s="3">
        <f>IF($C695="",0,SUMPRODUCT((AY_SONU!$O$7:$O$42="Evet")*(AY_SONU!$B$7:$B$42=DATE(YEAR($C695),MONTH($C695),1))))</f>
        <v/>
      </c>
    </row>
    <row r="696">
      <c r="A696" s="6" t="n"/>
      <c r="B696" s="113">
        <f>IF($C696="","","GG"&amp;TEXT(ROW()-6,"00000"))</f>
        <v/>
      </c>
      <c r="C696" s="220" t="n"/>
      <c r="D696" s="108" t="n"/>
      <c r="E696" s="109" t="n"/>
      <c r="F696" s="109" t="n"/>
      <c r="G696" s="221" t="n"/>
      <c r="H696" s="108" t="n"/>
      <c r="I696" s="108" t="n"/>
      <c r="J696" s="109" t="n"/>
      <c r="K696" s="109" t="n"/>
      <c r="L696" s="108" t="n"/>
      <c r="M696" s="121">
        <f>IF($C696="","",IF($D696="Gider",$E696,IF($L696&lt;&gt;"",$L696,$H696)))</f>
        <v/>
      </c>
      <c r="N696" s="121">
        <f>IF($C696="","",IF($D696="Gider",$H696,$E696))</f>
        <v/>
      </c>
      <c r="O696" s="226">
        <f>IF($C696="","",DATE(YEAR($C696),MONTH($C696),1))</f>
        <v/>
      </c>
      <c r="P696" s="113">
        <f>IF($C696="","",IF(AND($D696="Gelir",$L696&lt;&gt;"",$T696=""),"TANIMSIZ BORÇLU",IF($T696&lt;&gt;"",IF(OR($E696="",$G696&lt;=0),"EKSİK",IF($I696="Evet","TAHAKKUK NAKİT OLAMAZ",IF($C696&gt;TODAY(),"İLERİ TARİH","TAHAKKUK"))),IF(AND($D696&lt;&gt;"",$E696&lt;&gt;"",$G696&gt;0,$H696&lt;&gt;"",$I696&lt;&gt;""),IF($C696&gt;TODAY(),"İLERİ TARİH",IF(COUNTIF($W$7:$W$1206,$W696)&gt;1,"MÜKERRER?",IF($AD696&gt;0,"KAPALI DÖNEM",IF($I696="Hayır","ÖDENECEK","UYGUN")))),"EKSİK"))))</f>
        <v/>
      </c>
      <c r="Q696" s="6" t="n"/>
      <c r="R696" s="6" t="n"/>
      <c r="S696" s="3">
        <f>IF($L696="","",UPPER(SUBSTITUTE(SUBSTITUTE(SUBSTITUTE(SUBSTITUTE(SUBSTITUTE(SUBSTITUTE(SUBSTITUTE(SUBSTITUTE(SUBSTITUTE(SUBSTITUTE(SUBSTITUTE(SUBSTITUTE(SUBSTITUTE(SUBSTITUTE(SUBSTITUTE(SUBSTITUTE(SUBSTITUTE(SUBSTITUTE(TRIM($L696),"'",""),"İ","I"),"ı","I"),"i","I"),"Ş","S"),"ş","S"),"Ğ","G"),"ğ","G"),"Ü","U"),"ü","U"),"Ö","O"),"ö","O"),"Ç","C"),"ç","C"),".",""),",","")," ",""),"-","")))</f>
        <v/>
      </c>
      <c r="T696" s="3">
        <f>IF(OR($C696="",$D696&lt;&gt;"Gelir",$L696=""),"",IFERROR(INDEX(MUSTERILER!$B$7:$B$106,MATCH($S696,MUSTERILER!$T$7:$T$106,0)),""))</f>
        <v/>
      </c>
      <c r="U696" s="3">
        <f>IF($T696="","",$T696&amp;"|"&amp;COUNTIFS($T$7:$T696,$T696))</f>
        <v/>
      </c>
      <c r="V696" s="3">
        <f>IF($T696="",0,1)</f>
        <v/>
      </c>
      <c r="W696" s="3">
        <f>IF($C696="","",$D696&amp;"|"&amp;$E696&amp;"|"&amp;TEXT($C696,"0")&amp;"|"&amp;TEXT($G696,"0")&amp;"|"&amp;$J696)</f>
        <v/>
      </c>
      <c r="X696" s="3" t="n"/>
      <c r="Y696" s="3" t="n"/>
      <c r="Z696" s="3" t="n"/>
      <c r="AA696" s="3" t="n"/>
      <c r="AB696" s="3" t="n"/>
      <c r="AC696" s="3" t="n"/>
      <c r="AD696" s="3">
        <f>IF($C696="",0,SUMPRODUCT((AY_SONU!$O$7:$O$42="Evet")*(AY_SONU!$B$7:$B$42=DATE(YEAR($C696),MONTH($C696),1))))</f>
        <v/>
      </c>
    </row>
    <row r="697">
      <c r="A697" s="6" t="n"/>
      <c r="B697" s="113">
        <f>IF($C697="","","GG"&amp;TEXT(ROW()-6,"00000"))</f>
        <v/>
      </c>
      <c r="C697" s="220" t="n"/>
      <c r="D697" s="108" t="n"/>
      <c r="E697" s="109" t="n"/>
      <c r="F697" s="109" t="n"/>
      <c r="G697" s="221" t="n"/>
      <c r="H697" s="108" t="n"/>
      <c r="I697" s="108" t="n"/>
      <c r="J697" s="109" t="n"/>
      <c r="K697" s="109" t="n"/>
      <c r="L697" s="108" t="n"/>
      <c r="M697" s="121">
        <f>IF($C697="","",IF($D697="Gider",$E697,IF($L697&lt;&gt;"",$L697,$H697)))</f>
        <v/>
      </c>
      <c r="N697" s="121">
        <f>IF($C697="","",IF($D697="Gider",$H697,$E697))</f>
        <v/>
      </c>
      <c r="O697" s="226">
        <f>IF($C697="","",DATE(YEAR($C697),MONTH($C697),1))</f>
        <v/>
      </c>
      <c r="P697" s="113">
        <f>IF($C697="","",IF(AND($D697="Gelir",$L697&lt;&gt;"",$T697=""),"TANIMSIZ BORÇLU",IF($T697&lt;&gt;"",IF(OR($E697="",$G697&lt;=0),"EKSİK",IF($I697="Evet","TAHAKKUK NAKİT OLAMAZ",IF($C697&gt;TODAY(),"İLERİ TARİH","TAHAKKUK"))),IF(AND($D697&lt;&gt;"",$E697&lt;&gt;"",$G697&gt;0,$H697&lt;&gt;"",$I697&lt;&gt;""),IF($C697&gt;TODAY(),"İLERİ TARİH",IF(COUNTIF($W$7:$W$1206,$W697)&gt;1,"MÜKERRER?",IF($AD697&gt;0,"KAPALI DÖNEM",IF($I697="Hayır","ÖDENECEK","UYGUN")))),"EKSİK"))))</f>
        <v/>
      </c>
      <c r="Q697" s="6" t="n"/>
      <c r="R697" s="6" t="n"/>
      <c r="S697" s="3">
        <f>IF($L697="","",UPPER(SUBSTITUTE(SUBSTITUTE(SUBSTITUTE(SUBSTITUTE(SUBSTITUTE(SUBSTITUTE(SUBSTITUTE(SUBSTITUTE(SUBSTITUTE(SUBSTITUTE(SUBSTITUTE(SUBSTITUTE(SUBSTITUTE(SUBSTITUTE(SUBSTITUTE(SUBSTITUTE(SUBSTITUTE(SUBSTITUTE(TRIM($L697),"'",""),"İ","I"),"ı","I"),"i","I"),"Ş","S"),"ş","S"),"Ğ","G"),"ğ","G"),"Ü","U"),"ü","U"),"Ö","O"),"ö","O"),"Ç","C"),"ç","C"),".",""),",","")," ",""),"-","")))</f>
        <v/>
      </c>
      <c r="T697" s="3">
        <f>IF(OR($C697="",$D697&lt;&gt;"Gelir",$L697=""),"",IFERROR(INDEX(MUSTERILER!$B$7:$B$106,MATCH($S697,MUSTERILER!$T$7:$T$106,0)),""))</f>
        <v/>
      </c>
      <c r="U697" s="3">
        <f>IF($T697="","",$T697&amp;"|"&amp;COUNTIFS($T$7:$T697,$T697))</f>
        <v/>
      </c>
      <c r="V697" s="3">
        <f>IF($T697="",0,1)</f>
        <v/>
      </c>
      <c r="W697" s="3">
        <f>IF($C697="","",$D697&amp;"|"&amp;$E697&amp;"|"&amp;TEXT($C697,"0")&amp;"|"&amp;TEXT($G697,"0")&amp;"|"&amp;$J697)</f>
        <v/>
      </c>
      <c r="X697" s="3" t="n"/>
      <c r="Y697" s="3" t="n"/>
      <c r="Z697" s="3" t="n"/>
      <c r="AA697" s="3" t="n"/>
      <c r="AB697" s="3" t="n"/>
      <c r="AC697" s="3" t="n"/>
      <c r="AD697" s="3">
        <f>IF($C697="",0,SUMPRODUCT((AY_SONU!$O$7:$O$42="Evet")*(AY_SONU!$B$7:$B$42=DATE(YEAR($C697),MONTH($C697),1))))</f>
        <v/>
      </c>
    </row>
    <row r="698">
      <c r="A698" s="6" t="n"/>
      <c r="B698" s="113">
        <f>IF($C698="","","GG"&amp;TEXT(ROW()-6,"00000"))</f>
        <v/>
      </c>
      <c r="C698" s="220" t="n"/>
      <c r="D698" s="108" t="n"/>
      <c r="E698" s="109" t="n"/>
      <c r="F698" s="109" t="n"/>
      <c r="G698" s="221" t="n"/>
      <c r="H698" s="108" t="n"/>
      <c r="I698" s="108" t="n"/>
      <c r="J698" s="109" t="n"/>
      <c r="K698" s="109" t="n"/>
      <c r="L698" s="108" t="n"/>
      <c r="M698" s="121">
        <f>IF($C698="","",IF($D698="Gider",$E698,IF($L698&lt;&gt;"",$L698,$H698)))</f>
        <v/>
      </c>
      <c r="N698" s="121">
        <f>IF($C698="","",IF($D698="Gider",$H698,$E698))</f>
        <v/>
      </c>
      <c r="O698" s="226">
        <f>IF($C698="","",DATE(YEAR($C698),MONTH($C698),1))</f>
        <v/>
      </c>
      <c r="P698" s="113">
        <f>IF($C698="","",IF(AND($D698="Gelir",$L698&lt;&gt;"",$T698=""),"TANIMSIZ BORÇLU",IF($T698&lt;&gt;"",IF(OR($E698="",$G698&lt;=0),"EKSİK",IF($I698="Evet","TAHAKKUK NAKİT OLAMAZ",IF($C698&gt;TODAY(),"İLERİ TARİH","TAHAKKUK"))),IF(AND($D698&lt;&gt;"",$E698&lt;&gt;"",$G698&gt;0,$H698&lt;&gt;"",$I698&lt;&gt;""),IF($C698&gt;TODAY(),"İLERİ TARİH",IF(COUNTIF($W$7:$W$1206,$W698)&gt;1,"MÜKERRER?",IF($AD698&gt;0,"KAPALI DÖNEM",IF($I698="Hayır","ÖDENECEK","UYGUN")))),"EKSİK"))))</f>
        <v/>
      </c>
      <c r="Q698" s="6" t="n"/>
      <c r="R698" s="6" t="n"/>
      <c r="S698" s="3">
        <f>IF($L698="","",UPPER(SUBSTITUTE(SUBSTITUTE(SUBSTITUTE(SUBSTITUTE(SUBSTITUTE(SUBSTITUTE(SUBSTITUTE(SUBSTITUTE(SUBSTITUTE(SUBSTITUTE(SUBSTITUTE(SUBSTITUTE(SUBSTITUTE(SUBSTITUTE(SUBSTITUTE(SUBSTITUTE(SUBSTITUTE(SUBSTITUTE(TRIM($L698),"'",""),"İ","I"),"ı","I"),"i","I"),"Ş","S"),"ş","S"),"Ğ","G"),"ğ","G"),"Ü","U"),"ü","U"),"Ö","O"),"ö","O"),"Ç","C"),"ç","C"),".",""),",","")," ",""),"-","")))</f>
        <v/>
      </c>
      <c r="T698" s="3">
        <f>IF(OR($C698="",$D698&lt;&gt;"Gelir",$L698=""),"",IFERROR(INDEX(MUSTERILER!$B$7:$B$106,MATCH($S698,MUSTERILER!$T$7:$T$106,0)),""))</f>
        <v/>
      </c>
      <c r="U698" s="3">
        <f>IF($T698="","",$T698&amp;"|"&amp;COUNTIFS($T$7:$T698,$T698))</f>
        <v/>
      </c>
      <c r="V698" s="3">
        <f>IF($T698="",0,1)</f>
        <v/>
      </c>
      <c r="W698" s="3">
        <f>IF($C698="","",$D698&amp;"|"&amp;$E698&amp;"|"&amp;TEXT($C698,"0")&amp;"|"&amp;TEXT($G698,"0")&amp;"|"&amp;$J698)</f>
        <v/>
      </c>
      <c r="X698" s="3" t="n"/>
      <c r="Y698" s="3" t="n"/>
      <c r="Z698" s="3" t="n"/>
      <c r="AA698" s="3" t="n"/>
      <c r="AB698" s="3" t="n"/>
      <c r="AC698" s="3" t="n"/>
      <c r="AD698" s="3">
        <f>IF($C698="",0,SUMPRODUCT((AY_SONU!$O$7:$O$42="Evet")*(AY_SONU!$B$7:$B$42=DATE(YEAR($C698),MONTH($C698),1))))</f>
        <v/>
      </c>
    </row>
    <row r="699">
      <c r="A699" s="6" t="n"/>
      <c r="B699" s="113">
        <f>IF($C699="","","GG"&amp;TEXT(ROW()-6,"00000"))</f>
        <v/>
      </c>
      <c r="C699" s="220" t="n"/>
      <c r="D699" s="108" t="n"/>
      <c r="E699" s="109" t="n"/>
      <c r="F699" s="109" t="n"/>
      <c r="G699" s="221" t="n"/>
      <c r="H699" s="108" t="n"/>
      <c r="I699" s="108" t="n"/>
      <c r="J699" s="109" t="n"/>
      <c r="K699" s="109" t="n"/>
      <c r="L699" s="108" t="n"/>
      <c r="M699" s="121">
        <f>IF($C699="","",IF($D699="Gider",$E699,IF($L699&lt;&gt;"",$L699,$H699)))</f>
        <v/>
      </c>
      <c r="N699" s="121">
        <f>IF($C699="","",IF($D699="Gider",$H699,$E699))</f>
        <v/>
      </c>
      <c r="O699" s="226">
        <f>IF($C699="","",DATE(YEAR($C699),MONTH($C699),1))</f>
        <v/>
      </c>
      <c r="P699" s="113">
        <f>IF($C699="","",IF(AND($D699="Gelir",$L699&lt;&gt;"",$T699=""),"TANIMSIZ BORÇLU",IF($T699&lt;&gt;"",IF(OR($E699="",$G699&lt;=0),"EKSİK",IF($I699="Evet","TAHAKKUK NAKİT OLAMAZ",IF($C699&gt;TODAY(),"İLERİ TARİH","TAHAKKUK"))),IF(AND($D699&lt;&gt;"",$E699&lt;&gt;"",$G699&gt;0,$H699&lt;&gt;"",$I699&lt;&gt;""),IF($C699&gt;TODAY(),"İLERİ TARİH",IF(COUNTIF($W$7:$W$1206,$W699)&gt;1,"MÜKERRER?",IF($AD699&gt;0,"KAPALI DÖNEM",IF($I699="Hayır","ÖDENECEK","UYGUN")))),"EKSİK"))))</f>
        <v/>
      </c>
      <c r="Q699" s="6" t="n"/>
      <c r="R699" s="6" t="n"/>
      <c r="S699" s="3">
        <f>IF($L699="","",UPPER(SUBSTITUTE(SUBSTITUTE(SUBSTITUTE(SUBSTITUTE(SUBSTITUTE(SUBSTITUTE(SUBSTITUTE(SUBSTITUTE(SUBSTITUTE(SUBSTITUTE(SUBSTITUTE(SUBSTITUTE(SUBSTITUTE(SUBSTITUTE(SUBSTITUTE(SUBSTITUTE(SUBSTITUTE(SUBSTITUTE(TRIM($L699),"'",""),"İ","I"),"ı","I"),"i","I"),"Ş","S"),"ş","S"),"Ğ","G"),"ğ","G"),"Ü","U"),"ü","U"),"Ö","O"),"ö","O"),"Ç","C"),"ç","C"),".",""),",","")," ",""),"-","")))</f>
        <v/>
      </c>
      <c r="T699" s="3">
        <f>IF(OR($C699="",$D699&lt;&gt;"Gelir",$L699=""),"",IFERROR(INDEX(MUSTERILER!$B$7:$B$106,MATCH($S699,MUSTERILER!$T$7:$T$106,0)),""))</f>
        <v/>
      </c>
      <c r="U699" s="3">
        <f>IF($T699="","",$T699&amp;"|"&amp;COUNTIFS($T$7:$T699,$T699))</f>
        <v/>
      </c>
      <c r="V699" s="3">
        <f>IF($T699="",0,1)</f>
        <v/>
      </c>
      <c r="W699" s="3">
        <f>IF($C699="","",$D699&amp;"|"&amp;$E699&amp;"|"&amp;TEXT($C699,"0")&amp;"|"&amp;TEXT($G699,"0")&amp;"|"&amp;$J699)</f>
        <v/>
      </c>
      <c r="X699" s="3" t="n"/>
      <c r="Y699" s="3" t="n"/>
      <c r="Z699" s="3" t="n"/>
      <c r="AA699" s="3" t="n"/>
      <c r="AB699" s="3" t="n"/>
      <c r="AC699" s="3" t="n"/>
      <c r="AD699" s="3">
        <f>IF($C699="",0,SUMPRODUCT((AY_SONU!$O$7:$O$42="Evet")*(AY_SONU!$B$7:$B$42=DATE(YEAR($C699),MONTH($C699),1))))</f>
        <v/>
      </c>
    </row>
    <row r="700">
      <c r="A700" s="6" t="n"/>
      <c r="B700" s="113">
        <f>IF($C700="","","GG"&amp;TEXT(ROW()-6,"00000"))</f>
        <v/>
      </c>
      <c r="C700" s="220" t="n"/>
      <c r="D700" s="108" t="n"/>
      <c r="E700" s="109" t="n"/>
      <c r="F700" s="109" t="n"/>
      <c r="G700" s="221" t="n"/>
      <c r="H700" s="108" t="n"/>
      <c r="I700" s="108" t="n"/>
      <c r="J700" s="109" t="n"/>
      <c r="K700" s="109" t="n"/>
      <c r="L700" s="108" t="n"/>
      <c r="M700" s="121">
        <f>IF($C700="","",IF($D700="Gider",$E700,IF($L700&lt;&gt;"",$L700,$H700)))</f>
        <v/>
      </c>
      <c r="N700" s="121">
        <f>IF($C700="","",IF($D700="Gider",$H700,$E700))</f>
        <v/>
      </c>
      <c r="O700" s="226">
        <f>IF($C700="","",DATE(YEAR($C700),MONTH($C700),1))</f>
        <v/>
      </c>
      <c r="P700" s="113">
        <f>IF($C700="","",IF(AND($D700="Gelir",$L700&lt;&gt;"",$T700=""),"TANIMSIZ BORÇLU",IF($T700&lt;&gt;"",IF(OR($E700="",$G700&lt;=0),"EKSİK",IF($I700="Evet","TAHAKKUK NAKİT OLAMAZ",IF($C700&gt;TODAY(),"İLERİ TARİH","TAHAKKUK"))),IF(AND($D700&lt;&gt;"",$E700&lt;&gt;"",$G700&gt;0,$H700&lt;&gt;"",$I700&lt;&gt;""),IF($C700&gt;TODAY(),"İLERİ TARİH",IF(COUNTIF($W$7:$W$1206,$W700)&gt;1,"MÜKERRER?",IF($AD700&gt;0,"KAPALI DÖNEM",IF($I700="Hayır","ÖDENECEK","UYGUN")))),"EKSİK"))))</f>
        <v/>
      </c>
      <c r="Q700" s="6" t="n"/>
      <c r="R700" s="6" t="n"/>
      <c r="S700" s="3">
        <f>IF($L700="","",UPPER(SUBSTITUTE(SUBSTITUTE(SUBSTITUTE(SUBSTITUTE(SUBSTITUTE(SUBSTITUTE(SUBSTITUTE(SUBSTITUTE(SUBSTITUTE(SUBSTITUTE(SUBSTITUTE(SUBSTITUTE(SUBSTITUTE(SUBSTITUTE(SUBSTITUTE(SUBSTITUTE(SUBSTITUTE(SUBSTITUTE(TRIM($L700),"'",""),"İ","I"),"ı","I"),"i","I"),"Ş","S"),"ş","S"),"Ğ","G"),"ğ","G"),"Ü","U"),"ü","U"),"Ö","O"),"ö","O"),"Ç","C"),"ç","C"),".",""),",","")," ",""),"-","")))</f>
        <v/>
      </c>
      <c r="T700" s="3">
        <f>IF(OR($C700="",$D700&lt;&gt;"Gelir",$L700=""),"",IFERROR(INDEX(MUSTERILER!$B$7:$B$106,MATCH($S700,MUSTERILER!$T$7:$T$106,0)),""))</f>
        <v/>
      </c>
      <c r="U700" s="3">
        <f>IF($T700="","",$T700&amp;"|"&amp;COUNTIFS($T$7:$T700,$T700))</f>
        <v/>
      </c>
      <c r="V700" s="3">
        <f>IF($T700="",0,1)</f>
        <v/>
      </c>
      <c r="W700" s="3">
        <f>IF($C700="","",$D700&amp;"|"&amp;$E700&amp;"|"&amp;TEXT($C700,"0")&amp;"|"&amp;TEXT($G700,"0")&amp;"|"&amp;$J700)</f>
        <v/>
      </c>
      <c r="X700" s="3" t="n"/>
      <c r="Y700" s="3" t="n"/>
      <c r="Z700" s="3" t="n"/>
      <c r="AA700" s="3" t="n"/>
      <c r="AB700" s="3" t="n"/>
      <c r="AC700" s="3" t="n"/>
      <c r="AD700" s="3">
        <f>IF($C700="",0,SUMPRODUCT((AY_SONU!$O$7:$O$42="Evet")*(AY_SONU!$B$7:$B$42=DATE(YEAR($C700),MONTH($C700),1))))</f>
        <v/>
      </c>
    </row>
    <row r="701">
      <c r="A701" s="6" t="n"/>
      <c r="B701" s="113">
        <f>IF($C701="","","GG"&amp;TEXT(ROW()-6,"00000"))</f>
        <v/>
      </c>
      <c r="C701" s="220" t="n"/>
      <c r="D701" s="108" t="n"/>
      <c r="E701" s="109" t="n"/>
      <c r="F701" s="109" t="n"/>
      <c r="G701" s="221" t="n"/>
      <c r="H701" s="108" t="n"/>
      <c r="I701" s="108" t="n"/>
      <c r="J701" s="109" t="n"/>
      <c r="K701" s="109" t="n"/>
      <c r="L701" s="108" t="n"/>
      <c r="M701" s="121">
        <f>IF($C701="","",IF($D701="Gider",$E701,IF($L701&lt;&gt;"",$L701,$H701)))</f>
        <v/>
      </c>
      <c r="N701" s="121">
        <f>IF($C701="","",IF($D701="Gider",$H701,$E701))</f>
        <v/>
      </c>
      <c r="O701" s="226">
        <f>IF($C701="","",DATE(YEAR($C701),MONTH($C701),1))</f>
        <v/>
      </c>
      <c r="P701" s="113">
        <f>IF($C701="","",IF(AND($D701="Gelir",$L701&lt;&gt;"",$T701=""),"TANIMSIZ BORÇLU",IF($T701&lt;&gt;"",IF(OR($E701="",$G701&lt;=0),"EKSİK",IF($I701="Evet","TAHAKKUK NAKİT OLAMAZ",IF($C701&gt;TODAY(),"İLERİ TARİH","TAHAKKUK"))),IF(AND($D701&lt;&gt;"",$E701&lt;&gt;"",$G701&gt;0,$H701&lt;&gt;"",$I701&lt;&gt;""),IF($C701&gt;TODAY(),"İLERİ TARİH",IF(COUNTIF($W$7:$W$1206,$W701)&gt;1,"MÜKERRER?",IF($AD701&gt;0,"KAPALI DÖNEM",IF($I701="Hayır","ÖDENECEK","UYGUN")))),"EKSİK"))))</f>
        <v/>
      </c>
      <c r="Q701" s="6" t="n"/>
      <c r="R701" s="6" t="n"/>
      <c r="S701" s="3">
        <f>IF($L701="","",UPPER(SUBSTITUTE(SUBSTITUTE(SUBSTITUTE(SUBSTITUTE(SUBSTITUTE(SUBSTITUTE(SUBSTITUTE(SUBSTITUTE(SUBSTITUTE(SUBSTITUTE(SUBSTITUTE(SUBSTITUTE(SUBSTITUTE(SUBSTITUTE(SUBSTITUTE(SUBSTITUTE(SUBSTITUTE(SUBSTITUTE(TRIM($L701),"'",""),"İ","I"),"ı","I"),"i","I"),"Ş","S"),"ş","S"),"Ğ","G"),"ğ","G"),"Ü","U"),"ü","U"),"Ö","O"),"ö","O"),"Ç","C"),"ç","C"),".",""),",","")," ",""),"-","")))</f>
        <v/>
      </c>
      <c r="T701" s="3">
        <f>IF(OR($C701="",$D701&lt;&gt;"Gelir",$L701=""),"",IFERROR(INDEX(MUSTERILER!$B$7:$B$106,MATCH($S701,MUSTERILER!$T$7:$T$106,0)),""))</f>
        <v/>
      </c>
      <c r="U701" s="3">
        <f>IF($T701="","",$T701&amp;"|"&amp;COUNTIFS($T$7:$T701,$T701))</f>
        <v/>
      </c>
      <c r="V701" s="3">
        <f>IF($T701="",0,1)</f>
        <v/>
      </c>
      <c r="W701" s="3">
        <f>IF($C701="","",$D701&amp;"|"&amp;$E701&amp;"|"&amp;TEXT($C701,"0")&amp;"|"&amp;TEXT($G701,"0")&amp;"|"&amp;$J701)</f>
        <v/>
      </c>
      <c r="X701" s="3" t="n"/>
      <c r="Y701" s="3" t="n"/>
      <c r="Z701" s="3" t="n"/>
      <c r="AA701" s="3" t="n"/>
      <c r="AB701" s="3" t="n"/>
      <c r="AC701" s="3" t="n"/>
      <c r="AD701" s="3">
        <f>IF($C701="",0,SUMPRODUCT((AY_SONU!$O$7:$O$42="Evet")*(AY_SONU!$B$7:$B$42=DATE(YEAR($C701),MONTH($C701),1))))</f>
        <v/>
      </c>
    </row>
    <row r="702">
      <c r="A702" s="6" t="n"/>
      <c r="B702" s="113">
        <f>IF($C702="","","GG"&amp;TEXT(ROW()-6,"00000"))</f>
        <v/>
      </c>
      <c r="C702" s="220" t="n"/>
      <c r="D702" s="108" t="n"/>
      <c r="E702" s="109" t="n"/>
      <c r="F702" s="109" t="n"/>
      <c r="G702" s="221" t="n"/>
      <c r="H702" s="108" t="n"/>
      <c r="I702" s="108" t="n"/>
      <c r="J702" s="109" t="n"/>
      <c r="K702" s="109" t="n"/>
      <c r="L702" s="108" t="n"/>
      <c r="M702" s="121">
        <f>IF($C702="","",IF($D702="Gider",$E702,IF($L702&lt;&gt;"",$L702,$H702)))</f>
        <v/>
      </c>
      <c r="N702" s="121">
        <f>IF($C702="","",IF($D702="Gider",$H702,$E702))</f>
        <v/>
      </c>
      <c r="O702" s="226">
        <f>IF($C702="","",DATE(YEAR($C702),MONTH($C702),1))</f>
        <v/>
      </c>
      <c r="P702" s="113">
        <f>IF($C702="","",IF(AND($D702="Gelir",$L702&lt;&gt;"",$T702=""),"TANIMSIZ BORÇLU",IF($T702&lt;&gt;"",IF(OR($E702="",$G702&lt;=0),"EKSİK",IF($I702="Evet","TAHAKKUK NAKİT OLAMAZ",IF($C702&gt;TODAY(),"İLERİ TARİH","TAHAKKUK"))),IF(AND($D702&lt;&gt;"",$E702&lt;&gt;"",$G702&gt;0,$H702&lt;&gt;"",$I702&lt;&gt;""),IF($C702&gt;TODAY(),"İLERİ TARİH",IF(COUNTIF($W$7:$W$1206,$W702)&gt;1,"MÜKERRER?",IF($AD702&gt;0,"KAPALI DÖNEM",IF($I702="Hayır","ÖDENECEK","UYGUN")))),"EKSİK"))))</f>
        <v/>
      </c>
      <c r="Q702" s="6" t="n"/>
      <c r="R702" s="6" t="n"/>
      <c r="S702" s="3">
        <f>IF($L702="","",UPPER(SUBSTITUTE(SUBSTITUTE(SUBSTITUTE(SUBSTITUTE(SUBSTITUTE(SUBSTITUTE(SUBSTITUTE(SUBSTITUTE(SUBSTITUTE(SUBSTITUTE(SUBSTITUTE(SUBSTITUTE(SUBSTITUTE(SUBSTITUTE(SUBSTITUTE(SUBSTITUTE(SUBSTITUTE(SUBSTITUTE(TRIM($L702),"'",""),"İ","I"),"ı","I"),"i","I"),"Ş","S"),"ş","S"),"Ğ","G"),"ğ","G"),"Ü","U"),"ü","U"),"Ö","O"),"ö","O"),"Ç","C"),"ç","C"),".",""),",","")," ",""),"-","")))</f>
        <v/>
      </c>
      <c r="T702" s="3">
        <f>IF(OR($C702="",$D702&lt;&gt;"Gelir",$L702=""),"",IFERROR(INDEX(MUSTERILER!$B$7:$B$106,MATCH($S702,MUSTERILER!$T$7:$T$106,0)),""))</f>
        <v/>
      </c>
      <c r="U702" s="3">
        <f>IF($T702="","",$T702&amp;"|"&amp;COUNTIFS($T$7:$T702,$T702))</f>
        <v/>
      </c>
      <c r="V702" s="3">
        <f>IF($T702="",0,1)</f>
        <v/>
      </c>
      <c r="W702" s="3">
        <f>IF($C702="","",$D702&amp;"|"&amp;$E702&amp;"|"&amp;TEXT($C702,"0")&amp;"|"&amp;TEXT($G702,"0")&amp;"|"&amp;$J702)</f>
        <v/>
      </c>
      <c r="X702" s="3" t="n"/>
      <c r="Y702" s="3" t="n"/>
      <c r="Z702" s="3" t="n"/>
      <c r="AA702" s="3" t="n"/>
      <c r="AB702" s="3" t="n"/>
      <c r="AC702" s="3" t="n"/>
      <c r="AD702" s="3">
        <f>IF($C702="",0,SUMPRODUCT((AY_SONU!$O$7:$O$42="Evet")*(AY_SONU!$B$7:$B$42=DATE(YEAR($C702),MONTH($C702),1))))</f>
        <v/>
      </c>
    </row>
    <row r="703">
      <c r="A703" s="6" t="n"/>
      <c r="B703" s="113">
        <f>IF($C703="","","GG"&amp;TEXT(ROW()-6,"00000"))</f>
        <v/>
      </c>
      <c r="C703" s="220" t="n"/>
      <c r="D703" s="108" t="n"/>
      <c r="E703" s="109" t="n"/>
      <c r="F703" s="109" t="n"/>
      <c r="G703" s="221" t="n"/>
      <c r="H703" s="108" t="n"/>
      <c r="I703" s="108" t="n"/>
      <c r="J703" s="109" t="n"/>
      <c r="K703" s="109" t="n"/>
      <c r="L703" s="108" t="n"/>
      <c r="M703" s="121">
        <f>IF($C703="","",IF($D703="Gider",$E703,IF($L703&lt;&gt;"",$L703,$H703)))</f>
        <v/>
      </c>
      <c r="N703" s="121">
        <f>IF($C703="","",IF($D703="Gider",$H703,$E703))</f>
        <v/>
      </c>
      <c r="O703" s="226">
        <f>IF($C703="","",DATE(YEAR($C703),MONTH($C703),1))</f>
        <v/>
      </c>
      <c r="P703" s="113">
        <f>IF($C703="","",IF(AND($D703="Gelir",$L703&lt;&gt;"",$T703=""),"TANIMSIZ BORÇLU",IF($T703&lt;&gt;"",IF(OR($E703="",$G703&lt;=0),"EKSİK",IF($I703="Evet","TAHAKKUK NAKİT OLAMAZ",IF($C703&gt;TODAY(),"İLERİ TARİH","TAHAKKUK"))),IF(AND($D703&lt;&gt;"",$E703&lt;&gt;"",$G703&gt;0,$H703&lt;&gt;"",$I703&lt;&gt;""),IF($C703&gt;TODAY(),"İLERİ TARİH",IF(COUNTIF($W$7:$W$1206,$W703)&gt;1,"MÜKERRER?",IF($AD703&gt;0,"KAPALI DÖNEM",IF($I703="Hayır","ÖDENECEK","UYGUN")))),"EKSİK"))))</f>
        <v/>
      </c>
      <c r="Q703" s="6" t="n"/>
      <c r="R703" s="6" t="n"/>
      <c r="S703" s="3">
        <f>IF($L703="","",UPPER(SUBSTITUTE(SUBSTITUTE(SUBSTITUTE(SUBSTITUTE(SUBSTITUTE(SUBSTITUTE(SUBSTITUTE(SUBSTITUTE(SUBSTITUTE(SUBSTITUTE(SUBSTITUTE(SUBSTITUTE(SUBSTITUTE(SUBSTITUTE(SUBSTITUTE(SUBSTITUTE(SUBSTITUTE(SUBSTITUTE(TRIM($L703),"'",""),"İ","I"),"ı","I"),"i","I"),"Ş","S"),"ş","S"),"Ğ","G"),"ğ","G"),"Ü","U"),"ü","U"),"Ö","O"),"ö","O"),"Ç","C"),"ç","C"),".",""),",","")," ",""),"-","")))</f>
        <v/>
      </c>
      <c r="T703" s="3">
        <f>IF(OR($C703="",$D703&lt;&gt;"Gelir",$L703=""),"",IFERROR(INDEX(MUSTERILER!$B$7:$B$106,MATCH($S703,MUSTERILER!$T$7:$T$106,0)),""))</f>
        <v/>
      </c>
      <c r="U703" s="3">
        <f>IF($T703="","",$T703&amp;"|"&amp;COUNTIFS($T$7:$T703,$T703))</f>
        <v/>
      </c>
      <c r="V703" s="3">
        <f>IF($T703="",0,1)</f>
        <v/>
      </c>
      <c r="W703" s="3">
        <f>IF($C703="","",$D703&amp;"|"&amp;$E703&amp;"|"&amp;TEXT($C703,"0")&amp;"|"&amp;TEXT($G703,"0")&amp;"|"&amp;$J703)</f>
        <v/>
      </c>
      <c r="X703" s="3" t="n"/>
      <c r="Y703" s="3" t="n"/>
      <c r="Z703" s="3" t="n"/>
      <c r="AA703" s="3" t="n"/>
      <c r="AB703" s="3" t="n"/>
      <c r="AC703" s="3" t="n"/>
      <c r="AD703" s="3">
        <f>IF($C703="",0,SUMPRODUCT((AY_SONU!$O$7:$O$42="Evet")*(AY_SONU!$B$7:$B$42=DATE(YEAR($C703),MONTH($C703),1))))</f>
        <v/>
      </c>
    </row>
    <row r="704">
      <c r="A704" s="6" t="n"/>
      <c r="B704" s="113">
        <f>IF($C704="","","GG"&amp;TEXT(ROW()-6,"00000"))</f>
        <v/>
      </c>
      <c r="C704" s="220" t="n"/>
      <c r="D704" s="108" t="n"/>
      <c r="E704" s="109" t="n"/>
      <c r="F704" s="109" t="n"/>
      <c r="G704" s="221" t="n"/>
      <c r="H704" s="108" t="n"/>
      <c r="I704" s="108" t="n"/>
      <c r="J704" s="109" t="n"/>
      <c r="K704" s="109" t="n"/>
      <c r="L704" s="108" t="n"/>
      <c r="M704" s="121">
        <f>IF($C704="","",IF($D704="Gider",$E704,IF($L704&lt;&gt;"",$L704,$H704)))</f>
        <v/>
      </c>
      <c r="N704" s="121">
        <f>IF($C704="","",IF($D704="Gider",$H704,$E704))</f>
        <v/>
      </c>
      <c r="O704" s="226">
        <f>IF($C704="","",DATE(YEAR($C704),MONTH($C704),1))</f>
        <v/>
      </c>
      <c r="P704" s="113">
        <f>IF($C704="","",IF(AND($D704="Gelir",$L704&lt;&gt;"",$T704=""),"TANIMSIZ BORÇLU",IF($T704&lt;&gt;"",IF(OR($E704="",$G704&lt;=0),"EKSİK",IF($I704="Evet","TAHAKKUK NAKİT OLAMAZ",IF($C704&gt;TODAY(),"İLERİ TARİH","TAHAKKUK"))),IF(AND($D704&lt;&gt;"",$E704&lt;&gt;"",$G704&gt;0,$H704&lt;&gt;"",$I704&lt;&gt;""),IF($C704&gt;TODAY(),"İLERİ TARİH",IF(COUNTIF($W$7:$W$1206,$W704)&gt;1,"MÜKERRER?",IF($AD704&gt;0,"KAPALI DÖNEM",IF($I704="Hayır","ÖDENECEK","UYGUN")))),"EKSİK"))))</f>
        <v/>
      </c>
      <c r="Q704" s="6" t="n"/>
      <c r="R704" s="6" t="n"/>
      <c r="S704" s="3">
        <f>IF($L704="","",UPPER(SUBSTITUTE(SUBSTITUTE(SUBSTITUTE(SUBSTITUTE(SUBSTITUTE(SUBSTITUTE(SUBSTITUTE(SUBSTITUTE(SUBSTITUTE(SUBSTITUTE(SUBSTITUTE(SUBSTITUTE(SUBSTITUTE(SUBSTITUTE(SUBSTITUTE(SUBSTITUTE(SUBSTITUTE(SUBSTITUTE(TRIM($L704),"'",""),"İ","I"),"ı","I"),"i","I"),"Ş","S"),"ş","S"),"Ğ","G"),"ğ","G"),"Ü","U"),"ü","U"),"Ö","O"),"ö","O"),"Ç","C"),"ç","C"),".",""),",","")," ",""),"-","")))</f>
        <v/>
      </c>
      <c r="T704" s="3">
        <f>IF(OR($C704="",$D704&lt;&gt;"Gelir",$L704=""),"",IFERROR(INDEX(MUSTERILER!$B$7:$B$106,MATCH($S704,MUSTERILER!$T$7:$T$106,0)),""))</f>
        <v/>
      </c>
      <c r="U704" s="3">
        <f>IF($T704="","",$T704&amp;"|"&amp;COUNTIFS($T$7:$T704,$T704))</f>
        <v/>
      </c>
      <c r="V704" s="3">
        <f>IF($T704="",0,1)</f>
        <v/>
      </c>
      <c r="W704" s="3">
        <f>IF($C704="","",$D704&amp;"|"&amp;$E704&amp;"|"&amp;TEXT($C704,"0")&amp;"|"&amp;TEXT($G704,"0")&amp;"|"&amp;$J704)</f>
        <v/>
      </c>
      <c r="X704" s="3" t="n"/>
      <c r="Y704" s="3" t="n"/>
      <c r="Z704" s="3" t="n"/>
      <c r="AA704" s="3" t="n"/>
      <c r="AB704" s="3" t="n"/>
      <c r="AC704" s="3" t="n"/>
      <c r="AD704" s="3">
        <f>IF($C704="",0,SUMPRODUCT((AY_SONU!$O$7:$O$42="Evet")*(AY_SONU!$B$7:$B$42=DATE(YEAR($C704),MONTH($C704),1))))</f>
        <v/>
      </c>
    </row>
    <row r="705">
      <c r="A705" s="6" t="n"/>
      <c r="B705" s="113">
        <f>IF($C705="","","GG"&amp;TEXT(ROW()-6,"00000"))</f>
        <v/>
      </c>
      <c r="C705" s="220" t="n"/>
      <c r="D705" s="108" t="n"/>
      <c r="E705" s="109" t="n"/>
      <c r="F705" s="109" t="n"/>
      <c r="G705" s="221" t="n"/>
      <c r="H705" s="108" t="n"/>
      <c r="I705" s="108" t="n"/>
      <c r="J705" s="109" t="n"/>
      <c r="K705" s="109" t="n"/>
      <c r="L705" s="108" t="n"/>
      <c r="M705" s="121">
        <f>IF($C705="","",IF($D705="Gider",$E705,IF($L705&lt;&gt;"",$L705,$H705)))</f>
        <v/>
      </c>
      <c r="N705" s="121">
        <f>IF($C705="","",IF($D705="Gider",$H705,$E705))</f>
        <v/>
      </c>
      <c r="O705" s="226">
        <f>IF($C705="","",DATE(YEAR($C705),MONTH($C705),1))</f>
        <v/>
      </c>
      <c r="P705" s="113">
        <f>IF($C705="","",IF(AND($D705="Gelir",$L705&lt;&gt;"",$T705=""),"TANIMSIZ BORÇLU",IF($T705&lt;&gt;"",IF(OR($E705="",$G705&lt;=0),"EKSİK",IF($I705="Evet","TAHAKKUK NAKİT OLAMAZ",IF($C705&gt;TODAY(),"İLERİ TARİH","TAHAKKUK"))),IF(AND($D705&lt;&gt;"",$E705&lt;&gt;"",$G705&gt;0,$H705&lt;&gt;"",$I705&lt;&gt;""),IF($C705&gt;TODAY(),"İLERİ TARİH",IF(COUNTIF($W$7:$W$1206,$W705)&gt;1,"MÜKERRER?",IF($AD705&gt;0,"KAPALI DÖNEM",IF($I705="Hayır","ÖDENECEK","UYGUN")))),"EKSİK"))))</f>
        <v/>
      </c>
      <c r="Q705" s="6" t="n"/>
      <c r="R705" s="6" t="n"/>
      <c r="S705" s="3">
        <f>IF($L705="","",UPPER(SUBSTITUTE(SUBSTITUTE(SUBSTITUTE(SUBSTITUTE(SUBSTITUTE(SUBSTITUTE(SUBSTITUTE(SUBSTITUTE(SUBSTITUTE(SUBSTITUTE(SUBSTITUTE(SUBSTITUTE(SUBSTITUTE(SUBSTITUTE(SUBSTITUTE(SUBSTITUTE(SUBSTITUTE(SUBSTITUTE(TRIM($L705),"'",""),"İ","I"),"ı","I"),"i","I"),"Ş","S"),"ş","S"),"Ğ","G"),"ğ","G"),"Ü","U"),"ü","U"),"Ö","O"),"ö","O"),"Ç","C"),"ç","C"),".",""),",","")," ",""),"-","")))</f>
        <v/>
      </c>
      <c r="T705" s="3">
        <f>IF(OR($C705="",$D705&lt;&gt;"Gelir",$L705=""),"",IFERROR(INDEX(MUSTERILER!$B$7:$B$106,MATCH($S705,MUSTERILER!$T$7:$T$106,0)),""))</f>
        <v/>
      </c>
      <c r="U705" s="3">
        <f>IF($T705="","",$T705&amp;"|"&amp;COUNTIFS($T$7:$T705,$T705))</f>
        <v/>
      </c>
      <c r="V705" s="3">
        <f>IF($T705="",0,1)</f>
        <v/>
      </c>
      <c r="W705" s="3">
        <f>IF($C705="","",$D705&amp;"|"&amp;$E705&amp;"|"&amp;TEXT($C705,"0")&amp;"|"&amp;TEXT($G705,"0")&amp;"|"&amp;$J705)</f>
        <v/>
      </c>
      <c r="X705" s="3" t="n"/>
      <c r="Y705" s="3" t="n"/>
      <c r="Z705" s="3" t="n"/>
      <c r="AA705" s="3" t="n"/>
      <c r="AB705" s="3" t="n"/>
      <c r="AC705" s="3" t="n"/>
      <c r="AD705" s="3">
        <f>IF($C705="",0,SUMPRODUCT((AY_SONU!$O$7:$O$42="Evet")*(AY_SONU!$B$7:$B$42=DATE(YEAR($C705),MONTH($C705),1))))</f>
        <v/>
      </c>
    </row>
    <row r="706">
      <c r="A706" s="6" t="n"/>
      <c r="B706" s="113">
        <f>IF($C706="","","GG"&amp;TEXT(ROW()-6,"00000"))</f>
        <v/>
      </c>
      <c r="C706" s="220" t="n"/>
      <c r="D706" s="108" t="n"/>
      <c r="E706" s="109" t="n"/>
      <c r="F706" s="109" t="n"/>
      <c r="G706" s="221" t="n"/>
      <c r="H706" s="108" t="n"/>
      <c r="I706" s="108" t="n"/>
      <c r="J706" s="109" t="n"/>
      <c r="K706" s="109" t="n"/>
      <c r="L706" s="108" t="n"/>
      <c r="M706" s="121">
        <f>IF($C706="","",IF($D706="Gider",$E706,IF($L706&lt;&gt;"",$L706,$H706)))</f>
        <v/>
      </c>
      <c r="N706" s="121">
        <f>IF($C706="","",IF($D706="Gider",$H706,$E706))</f>
        <v/>
      </c>
      <c r="O706" s="226">
        <f>IF($C706="","",DATE(YEAR($C706),MONTH($C706),1))</f>
        <v/>
      </c>
      <c r="P706" s="113">
        <f>IF($C706="","",IF(AND($D706="Gelir",$L706&lt;&gt;"",$T706=""),"TANIMSIZ BORÇLU",IF($T706&lt;&gt;"",IF(OR($E706="",$G706&lt;=0),"EKSİK",IF($I706="Evet","TAHAKKUK NAKİT OLAMAZ",IF($C706&gt;TODAY(),"İLERİ TARİH","TAHAKKUK"))),IF(AND($D706&lt;&gt;"",$E706&lt;&gt;"",$G706&gt;0,$H706&lt;&gt;"",$I706&lt;&gt;""),IF($C706&gt;TODAY(),"İLERİ TARİH",IF(COUNTIF($W$7:$W$1206,$W706)&gt;1,"MÜKERRER?",IF($AD706&gt;0,"KAPALI DÖNEM",IF($I706="Hayır","ÖDENECEK","UYGUN")))),"EKSİK"))))</f>
        <v/>
      </c>
      <c r="Q706" s="6" t="n"/>
      <c r="R706" s="6" t="n"/>
      <c r="S706" s="3">
        <f>IF($L706="","",UPPER(SUBSTITUTE(SUBSTITUTE(SUBSTITUTE(SUBSTITUTE(SUBSTITUTE(SUBSTITUTE(SUBSTITUTE(SUBSTITUTE(SUBSTITUTE(SUBSTITUTE(SUBSTITUTE(SUBSTITUTE(SUBSTITUTE(SUBSTITUTE(SUBSTITUTE(SUBSTITUTE(SUBSTITUTE(SUBSTITUTE(TRIM($L706),"'",""),"İ","I"),"ı","I"),"i","I"),"Ş","S"),"ş","S"),"Ğ","G"),"ğ","G"),"Ü","U"),"ü","U"),"Ö","O"),"ö","O"),"Ç","C"),"ç","C"),".",""),",","")," ",""),"-","")))</f>
        <v/>
      </c>
      <c r="T706" s="3">
        <f>IF(OR($C706="",$D706&lt;&gt;"Gelir",$L706=""),"",IFERROR(INDEX(MUSTERILER!$B$7:$B$106,MATCH($S706,MUSTERILER!$T$7:$T$106,0)),""))</f>
        <v/>
      </c>
      <c r="U706" s="3">
        <f>IF($T706="","",$T706&amp;"|"&amp;COUNTIFS($T$7:$T706,$T706))</f>
        <v/>
      </c>
      <c r="V706" s="3">
        <f>IF($T706="",0,1)</f>
        <v/>
      </c>
      <c r="W706" s="3">
        <f>IF($C706="","",$D706&amp;"|"&amp;$E706&amp;"|"&amp;TEXT($C706,"0")&amp;"|"&amp;TEXT($G706,"0")&amp;"|"&amp;$J706)</f>
        <v/>
      </c>
      <c r="X706" s="3" t="n"/>
      <c r="Y706" s="3" t="n"/>
      <c r="Z706" s="3" t="n"/>
      <c r="AA706" s="3" t="n"/>
      <c r="AB706" s="3" t="n"/>
      <c r="AC706" s="3" t="n"/>
      <c r="AD706" s="3">
        <f>IF($C706="",0,SUMPRODUCT((AY_SONU!$O$7:$O$42="Evet")*(AY_SONU!$B$7:$B$42=DATE(YEAR($C706),MONTH($C706),1))))</f>
        <v/>
      </c>
    </row>
    <row r="707">
      <c r="A707" s="6" t="n"/>
      <c r="B707" s="113">
        <f>IF($C707="","","GG"&amp;TEXT(ROW()-6,"00000"))</f>
        <v/>
      </c>
      <c r="C707" s="220" t="n"/>
      <c r="D707" s="108" t="n"/>
      <c r="E707" s="109" t="n"/>
      <c r="F707" s="109" t="n"/>
      <c r="G707" s="221" t="n"/>
      <c r="H707" s="108" t="n"/>
      <c r="I707" s="108" t="n"/>
      <c r="J707" s="109" t="n"/>
      <c r="K707" s="109" t="n"/>
      <c r="L707" s="108" t="n"/>
      <c r="M707" s="121">
        <f>IF($C707="","",IF($D707="Gider",$E707,IF($L707&lt;&gt;"",$L707,$H707)))</f>
        <v/>
      </c>
      <c r="N707" s="121">
        <f>IF($C707="","",IF($D707="Gider",$H707,$E707))</f>
        <v/>
      </c>
      <c r="O707" s="226">
        <f>IF($C707="","",DATE(YEAR($C707),MONTH($C707),1))</f>
        <v/>
      </c>
      <c r="P707" s="113">
        <f>IF($C707="","",IF(AND($D707="Gelir",$L707&lt;&gt;"",$T707=""),"TANIMSIZ BORÇLU",IF($T707&lt;&gt;"",IF(OR($E707="",$G707&lt;=0),"EKSİK",IF($I707="Evet","TAHAKKUK NAKİT OLAMAZ",IF($C707&gt;TODAY(),"İLERİ TARİH","TAHAKKUK"))),IF(AND($D707&lt;&gt;"",$E707&lt;&gt;"",$G707&gt;0,$H707&lt;&gt;"",$I707&lt;&gt;""),IF($C707&gt;TODAY(),"İLERİ TARİH",IF(COUNTIF($W$7:$W$1206,$W707)&gt;1,"MÜKERRER?",IF($AD707&gt;0,"KAPALI DÖNEM",IF($I707="Hayır","ÖDENECEK","UYGUN")))),"EKSİK"))))</f>
        <v/>
      </c>
      <c r="Q707" s="6" t="n"/>
      <c r="R707" s="6" t="n"/>
      <c r="S707" s="3">
        <f>IF($L707="","",UPPER(SUBSTITUTE(SUBSTITUTE(SUBSTITUTE(SUBSTITUTE(SUBSTITUTE(SUBSTITUTE(SUBSTITUTE(SUBSTITUTE(SUBSTITUTE(SUBSTITUTE(SUBSTITUTE(SUBSTITUTE(SUBSTITUTE(SUBSTITUTE(SUBSTITUTE(SUBSTITUTE(SUBSTITUTE(SUBSTITUTE(TRIM($L707),"'",""),"İ","I"),"ı","I"),"i","I"),"Ş","S"),"ş","S"),"Ğ","G"),"ğ","G"),"Ü","U"),"ü","U"),"Ö","O"),"ö","O"),"Ç","C"),"ç","C"),".",""),",","")," ",""),"-","")))</f>
        <v/>
      </c>
      <c r="T707" s="3">
        <f>IF(OR($C707="",$D707&lt;&gt;"Gelir",$L707=""),"",IFERROR(INDEX(MUSTERILER!$B$7:$B$106,MATCH($S707,MUSTERILER!$T$7:$T$106,0)),""))</f>
        <v/>
      </c>
      <c r="U707" s="3">
        <f>IF($T707="","",$T707&amp;"|"&amp;COUNTIFS($T$7:$T707,$T707))</f>
        <v/>
      </c>
      <c r="V707" s="3">
        <f>IF($T707="",0,1)</f>
        <v/>
      </c>
      <c r="W707" s="3">
        <f>IF($C707="","",$D707&amp;"|"&amp;$E707&amp;"|"&amp;TEXT($C707,"0")&amp;"|"&amp;TEXT($G707,"0")&amp;"|"&amp;$J707)</f>
        <v/>
      </c>
      <c r="X707" s="3" t="n"/>
      <c r="Y707" s="3" t="n"/>
      <c r="Z707" s="3" t="n"/>
      <c r="AA707" s="3" t="n"/>
      <c r="AB707" s="3" t="n"/>
      <c r="AC707" s="3" t="n"/>
      <c r="AD707" s="3">
        <f>IF($C707="",0,SUMPRODUCT((AY_SONU!$O$7:$O$42="Evet")*(AY_SONU!$B$7:$B$42=DATE(YEAR($C707),MONTH($C707),1))))</f>
        <v/>
      </c>
    </row>
    <row r="708">
      <c r="A708" s="6" t="n"/>
      <c r="B708" s="113">
        <f>IF($C708="","","GG"&amp;TEXT(ROW()-6,"00000"))</f>
        <v/>
      </c>
      <c r="C708" s="220" t="n"/>
      <c r="D708" s="108" t="n"/>
      <c r="E708" s="109" t="n"/>
      <c r="F708" s="109" t="n"/>
      <c r="G708" s="221" t="n"/>
      <c r="H708" s="108" t="n"/>
      <c r="I708" s="108" t="n"/>
      <c r="J708" s="109" t="n"/>
      <c r="K708" s="109" t="n"/>
      <c r="L708" s="108" t="n"/>
      <c r="M708" s="121">
        <f>IF($C708="","",IF($D708="Gider",$E708,IF($L708&lt;&gt;"",$L708,$H708)))</f>
        <v/>
      </c>
      <c r="N708" s="121">
        <f>IF($C708="","",IF($D708="Gider",$H708,$E708))</f>
        <v/>
      </c>
      <c r="O708" s="226">
        <f>IF($C708="","",DATE(YEAR($C708),MONTH($C708),1))</f>
        <v/>
      </c>
      <c r="P708" s="113">
        <f>IF($C708="","",IF(AND($D708="Gelir",$L708&lt;&gt;"",$T708=""),"TANIMSIZ BORÇLU",IF($T708&lt;&gt;"",IF(OR($E708="",$G708&lt;=0),"EKSİK",IF($I708="Evet","TAHAKKUK NAKİT OLAMAZ",IF($C708&gt;TODAY(),"İLERİ TARİH","TAHAKKUK"))),IF(AND($D708&lt;&gt;"",$E708&lt;&gt;"",$G708&gt;0,$H708&lt;&gt;"",$I708&lt;&gt;""),IF($C708&gt;TODAY(),"İLERİ TARİH",IF(COUNTIF($W$7:$W$1206,$W708)&gt;1,"MÜKERRER?",IF($AD708&gt;0,"KAPALI DÖNEM",IF($I708="Hayır","ÖDENECEK","UYGUN")))),"EKSİK"))))</f>
        <v/>
      </c>
      <c r="Q708" s="6" t="n"/>
      <c r="R708" s="6" t="n"/>
      <c r="S708" s="3">
        <f>IF($L708="","",UPPER(SUBSTITUTE(SUBSTITUTE(SUBSTITUTE(SUBSTITUTE(SUBSTITUTE(SUBSTITUTE(SUBSTITUTE(SUBSTITUTE(SUBSTITUTE(SUBSTITUTE(SUBSTITUTE(SUBSTITUTE(SUBSTITUTE(SUBSTITUTE(SUBSTITUTE(SUBSTITUTE(SUBSTITUTE(SUBSTITUTE(TRIM($L708),"'",""),"İ","I"),"ı","I"),"i","I"),"Ş","S"),"ş","S"),"Ğ","G"),"ğ","G"),"Ü","U"),"ü","U"),"Ö","O"),"ö","O"),"Ç","C"),"ç","C"),".",""),",","")," ",""),"-","")))</f>
        <v/>
      </c>
      <c r="T708" s="3">
        <f>IF(OR($C708="",$D708&lt;&gt;"Gelir",$L708=""),"",IFERROR(INDEX(MUSTERILER!$B$7:$B$106,MATCH($S708,MUSTERILER!$T$7:$T$106,0)),""))</f>
        <v/>
      </c>
      <c r="U708" s="3">
        <f>IF($T708="","",$T708&amp;"|"&amp;COUNTIFS($T$7:$T708,$T708))</f>
        <v/>
      </c>
      <c r="V708" s="3">
        <f>IF($T708="",0,1)</f>
        <v/>
      </c>
      <c r="W708" s="3">
        <f>IF($C708="","",$D708&amp;"|"&amp;$E708&amp;"|"&amp;TEXT($C708,"0")&amp;"|"&amp;TEXT($G708,"0")&amp;"|"&amp;$J708)</f>
        <v/>
      </c>
      <c r="X708" s="3" t="n"/>
      <c r="Y708" s="3" t="n"/>
      <c r="Z708" s="3" t="n"/>
      <c r="AA708" s="3" t="n"/>
      <c r="AB708" s="3" t="n"/>
      <c r="AC708" s="3" t="n"/>
      <c r="AD708" s="3">
        <f>IF($C708="",0,SUMPRODUCT((AY_SONU!$O$7:$O$42="Evet")*(AY_SONU!$B$7:$B$42=DATE(YEAR($C708),MONTH($C708),1))))</f>
        <v/>
      </c>
    </row>
    <row r="709">
      <c r="A709" s="6" t="n"/>
      <c r="B709" s="113">
        <f>IF($C709="","","GG"&amp;TEXT(ROW()-6,"00000"))</f>
        <v/>
      </c>
      <c r="C709" s="220" t="n"/>
      <c r="D709" s="108" t="n"/>
      <c r="E709" s="109" t="n"/>
      <c r="F709" s="109" t="n"/>
      <c r="G709" s="221" t="n"/>
      <c r="H709" s="108" t="n"/>
      <c r="I709" s="108" t="n"/>
      <c r="J709" s="109" t="n"/>
      <c r="K709" s="109" t="n"/>
      <c r="L709" s="108" t="n"/>
      <c r="M709" s="121">
        <f>IF($C709="","",IF($D709="Gider",$E709,IF($L709&lt;&gt;"",$L709,$H709)))</f>
        <v/>
      </c>
      <c r="N709" s="121">
        <f>IF($C709="","",IF($D709="Gider",$H709,$E709))</f>
        <v/>
      </c>
      <c r="O709" s="226">
        <f>IF($C709="","",DATE(YEAR($C709),MONTH($C709),1))</f>
        <v/>
      </c>
      <c r="P709" s="113">
        <f>IF($C709="","",IF(AND($D709="Gelir",$L709&lt;&gt;"",$T709=""),"TANIMSIZ BORÇLU",IF($T709&lt;&gt;"",IF(OR($E709="",$G709&lt;=0),"EKSİK",IF($I709="Evet","TAHAKKUK NAKİT OLAMAZ",IF($C709&gt;TODAY(),"İLERİ TARİH","TAHAKKUK"))),IF(AND($D709&lt;&gt;"",$E709&lt;&gt;"",$G709&gt;0,$H709&lt;&gt;"",$I709&lt;&gt;""),IF($C709&gt;TODAY(),"İLERİ TARİH",IF(COUNTIF($W$7:$W$1206,$W709)&gt;1,"MÜKERRER?",IF($AD709&gt;0,"KAPALI DÖNEM",IF($I709="Hayır","ÖDENECEK","UYGUN")))),"EKSİK"))))</f>
        <v/>
      </c>
      <c r="Q709" s="6" t="n"/>
      <c r="R709" s="6" t="n"/>
      <c r="S709" s="3">
        <f>IF($L709="","",UPPER(SUBSTITUTE(SUBSTITUTE(SUBSTITUTE(SUBSTITUTE(SUBSTITUTE(SUBSTITUTE(SUBSTITUTE(SUBSTITUTE(SUBSTITUTE(SUBSTITUTE(SUBSTITUTE(SUBSTITUTE(SUBSTITUTE(SUBSTITUTE(SUBSTITUTE(SUBSTITUTE(SUBSTITUTE(SUBSTITUTE(TRIM($L709),"'",""),"İ","I"),"ı","I"),"i","I"),"Ş","S"),"ş","S"),"Ğ","G"),"ğ","G"),"Ü","U"),"ü","U"),"Ö","O"),"ö","O"),"Ç","C"),"ç","C"),".",""),",","")," ",""),"-","")))</f>
        <v/>
      </c>
      <c r="T709" s="3">
        <f>IF(OR($C709="",$D709&lt;&gt;"Gelir",$L709=""),"",IFERROR(INDEX(MUSTERILER!$B$7:$B$106,MATCH($S709,MUSTERILER!$T$7:$T$106,0)),""))</f>
        <v/>
      </c>
      <c r="U709" s="3">
        <f>IF($T709="","",$T709&amp;"|"&amp;COUNTIFS($T$7:$T709,$T709))</f>
        <v/>
      </c>
      <c r="V709" s="3">
        <f>IF($T709="",0,1)</f>
        <v/>
      </c>
      <c r="W709" s="3">
        <f>IF($C709="","",$D709&amp;"|"&amp;$E709&amp;"|"&amp;TEXT($C709,"0")&amp;"|"&amp;TEXT($G709,"0")&amp;"|"&amp;$J709)</f>
        <v/>
      </c>
      <c r="X709" s="3" t="n"/>
      <c r="Y709" s="3" t="n"/>
      <c r="Z709" s="3" t="n"/>
      <c r="AA709" s="3" t="n"/>
      <c r="AB709" s="3" t="n"/>
      <c r="AC709" s="3" t="n"/>
      <c r="AD709" s="3">
        <f>IF($C709="",0,SUMPRODUCT((AY_SONU!$O$7:$O$42="Evet")*(AY_SONU!$B$7:$B$42=DATE(YEAR($C709),MONTH($C709),1))))</f>
        <v/>
      </c>
    </row>
    <row r="710">
      <c r="A710" s="6" t="n"/>
      <c r="B710" s="113">
        <f>IF($C710="","","GG"&amp;TEXT(ROW()-6,"00000"))</f>
        <v/>
      </c>
      <c r="C710" s="220" t="n"/>
      <c r="D710" s="108" t="n"/>
      <c r="E710" s="109" t="n"/>
      <c r="F710" s="109" t="n"/>
      <c r="G710" s="221" t="n"/>
      <c r="H710" s="108" t="n"/>
      <c r="I710" s="108" t="n"/>
      <c r="J710" s="109" t="n"/>
      <c r="K710" s="109" t="n"/>
      <c r="L710" s="108" t="n"/>
      <c r="M710" s="121">
        <f>IF($C710="","",IF($D710="Gider",$E710,IF($L710&lt;&gt;"",$L710,$H710)))</f>
        <v/>
      </c>
      <c r="N710" s="121">
        <f>IF($C710="","",IF($D710="Gider",$H710,$E710))</f>
        <v/>
      </c>
      <c r="O710" s="226">
        <f>IF($C710="","",DATE(YEAR($C710),MONTH($C710),1))</f>
        <v/>
      </c>
      <c r="P710" s="113">
        <f>IF($C710="","",IF(AND($D710="Gelir",$L710&lt;&gt;"",$T710=""),"TANIMSIZ BORÇLU",IF($T710&lt;&gt;"",IF(OR($E710="",$G710&lt;=0),"EKSİK",IF($I710="Evet","TAHAKKUK NAKİT OLAMAZ",IF($C710&gt;TODAY(),"İLERİ TARİH","TAHAKKUK"))),IF(AND($D710&lt;&gt;"",$E710&lt;&gt;"",$G710&gt;0,$H710&lt;&gt;"",$I710&lt;&gt;""),IF($C710&gt;TODAY(),"İLERİ TARİH",IF(COUNTIF($W$7:$W$1206,$W710)&gt;1,"MÜKERRER?",IF($AD710&gt;0,"KAPALI DÖNEM",IF($I710="Hayır","ÖDENECEK","UYGUN")))),"EKSİK"))))</f>
        <v/>
      </c>
      <c r="Q710" s="6" t="n"/>
      <c r="R710" s="6" t="n"/>
      <c r="S710" s="3">
        <f>IF($L710="","",UPPER(SUBSTITUTE(SUBSTITUTE(SUBSTITUTE(SUBSTITUTE(SUBSTITUTE(SUBSTITUTE(SUBSTITUTE(SUBSTITUTE(SUBSTITUTE(SUBSTITUTE(SUBSTITUTE(SUBSTITUTE(SUBSTITUTE(SUBSTITUTE(SUBSTITUTE(SUBSTITUTE(SUBSTITUTE(SUBSTITUTE(TRIM($L710),"'",""),"İ","I"),"ı","I"),"i","I"),"Ş","S"),"ş","S"),"Ğ","G"),"ğ","G"),"Ü","U"),"ü","U"),"Ö","O"),"ö","O"),"Ç","C"),"ç","C"),".",""),",","")," ",""),"-","")))</f>
        <v/>
      </c>
      <c r="T710" s="3">
        <f>IF(OR($C710="",$D710&lt;&gt;"Gelir",$L710=""),"",IFERROR(INDEX(MUSTERILER!$B$7:$B$106,MATCH($S710,MUSTERILER!$T$7:$T$106,0)),""))</f>
        <v/>
      </c>
      <c r="U710" s="3">
        <f>IF($T710="","",$T710&amp;"|"&amp;COUNTIFS($T$7:$T710,$T710))</f>
        <v/>
      </c>
      <c r="V710" s="3">
        <f>IF($T710="",0,1)</f>
        <v/>
      </c>
      <c r="W710" s="3">
        <f>IF($C710="","",$D710&amp;"|"&amp;$E710&amp;"|"&amp;TEXT($C710,"0")&amp;"|"&amp;TEXT($G710,"0")&amp;"|"&amp;$J710)</f>
        <v/>
      </c>
      <c r="X710" s="3" t="n"/>
      <c r="Y710" s="3" t="n"/>
      <c r="Z710" s="3" t="n"/>
      <c r="AA710" s="3" t="n"/>
      <c r="AB710" s="3" t="n"/>
      <c r="AC710" s="3" t="n"/>
      <c r="AD710" s="3">
        <f>IF($C710="",0,SUMPRODUCT((AY_SONU!$O$7:$O$42="Evet")*(AY_SONU!$B$7:$B$42=DATE(YEAR($C710),MONTH($C710),1))))</f>
        <v/>
      </c>
    </row>
    <row r="711">
      <c r="A711" s="6" t="n"/>
      <c r="B711" s="113">
        <f>IF($C711="","","GG"&amp;TEXT(ROW()-6,"00000"))</f>
        <v/>
      </c>
      <c r="C711" s="220" t="n"/>
      <c r="D711" s="108" t="n"/>
      <c r="E711" s="109" t="n"/>
      <c r="F711" s="109" t="n"/>
      <c r="G711" s="221" t="n"/>
      <c r="H711" s="108" t="n"/>
      <c r="I711" s="108" t="n"/>
      <c r="J711" s="109" t="n"/>
      <c r="K711" s="109" t="n"/>
      <c r="L711" s="108" t="n"/>
      <c r="M711" s="121">
        <f>IF($C711="","",IF($D711="Gider",$E711,IF($L711&lt;&gt;"",$L711,$H711)))</f>
        <v/>
      </c>
      <c r="N711" s="121">
        <f>IF($C711="","",IF($D711="Gider",$H711,$E711))</f>
        <v/>
      </c>
      <c r="O711" s="226">
        <f>IF($C711="","",DATE(YEAR($C711),MONTH($C711),1))</f>
        <v/>
      </c>
      <c r="P711" s="113">
        <f>IF($C711="","",IF(AND($D711="Gelir",$L711&lt;&gt;"",$T711=""),"TANIMSIZ BORÇLU",IF($T711&lt;&gt;"",IF(OR($E711="",$G711&lt;=0),"EKSİK",IF($I711="Evet","TAHAKKUK NAKİT OLAMAZ",IF($C711&gt;TODAY(),"İLERİ TARİH","TAHAKKUK"))),IF(AND($D711&lt;&gt;"",$E711&lt;&gt;"",$G711&gt;0,$H711&lt;&gt;"",$I711&lt;&gt;""),IF($C711&gt;TODAY(),"İLERİ TARİH",IF(COUNTIF($W$7:$W$1206,$W711)&gt;1,"MÜKERRER?",IF($AD711&gt;0,"KAPALI DÖNEM",IF($I711="Hayır","ÖDENECEK","UYGUN")))),"EKSİK"))))</f>
        <v/>
      </c>
      <c r="Q711" s="6" t="n"/>
      <c r="R711" s="6" t="n"/>
      <c r="S711" s="3">
        <f>IF($L711="","",UPPER(SUBSTITUTE(SUBSTITUTE(SUBSTITUTE(SUBSTITUTE(SUBSTITUTE(SUBSTITUTE(SUBSTITUTE(SUBSTITUTE(SUBSTITUTE(SUBSTITUTE(SUBSTITUTE(SUBSTITUTE(SUBSTITUTE(SUBSTITUTE(SUBSTITUTE(SUBSTITUTE(SUBSTITUTE(SUBSTITUTE(TRIM($L711),"'",""),"İ","I"),"ı","I"),"i","I"),"Ş","S"),"ş","S"),"Ğ","G"),"ğ","G"),"Ü","U"),"ü","U"),"Ö","O"),"ö","O"),"Ç","C"),"ç","C"),".",""),",","")," ",""),"-","")))</f>
        <v/>
      </c>
      <c r="T711" s="3">
        <f>IF(OR($C711="",$D711&lt;&gt;"Gelir",$L711=""),"",IFERROR(INDEX(MUSTERILER!$B$7:$B$106,MATCH($S711,MUSTERILER!$T$7:$T$106,0)),""))</f>
        <v/>
      </c>
      <c r="U711" s="3">
        <f>IF($T711="","",$T711&amp;"|"&amp;COUNTIFS($T$7:$T711,$T711))</f>
        <v/>
      </c>
      <c r="V711" s="3">
        <f>IF($T711="",0,1)</f>
        <v/>
      </c>
      <c r="W711" s="3">
        <f>IF($C711="","",$D711&amp;"|"&amp;$E711&amp;"|"&amp;TEXT($C711,"0")&amp;"|"&amp;TEXT($G711,"0")&amp;"|"&amp;$J711)</f>
        <v/>
      </c>
      <c r="X711" s="3" t="n"/>
      <c r="Y711" s="3" t="n"/>
      <c r="Z711" s="3" t="n"/>
      <c r="AA711" s="3" t="n"/>
      <c r="AB711" s="3" t="n"/>
      <c r="AC711" s="3" t="n"/>
      <c r="AD711" s="3">
        <f>IF($C711="",0,SUMPRODUCT((AY_SONU!$O$7:$O$42="Evet")*(AY_SONU!$B$7:$B$42=DATE(YEAR($C711),MONTH($C711),1))))</f>
        <v/>
      </c>
    </row>
    <row r="712">
      <c r="A712" s="6" t="n"/>
      <c r="B712" s="113">
        <f>IF($C712="","","GG"&amp;TEXT(ROW()-6,"00000"))</f>
        <v/>
      </c>
      <c r="C712" s="220" t="n"/>
      <c r="D712" s="108" t="n"/>
      <c r="E712" s="109" t="n"/>
      <c r="F712" s="109" t="n"/>
      <c r="G712" s="221" t="n"/>
      <c r="H712" s="108" t="n"/>
      <c r="I712" s="108" t="n"/>
      <c r="J712" s="109" t="n"/>
      <c r="K712" s="109" t="n"/>
      <c r="L712" s="108" t="n"/>
      <c r="M712" s="121">
        <f>IF($C712="","",IF($D712="Gider",$E712,IF($L712&lt;&gt;"",$L712,$H712)))</f>
        <v/>
      </c>
      <c r="N712" s="121">
        <f>IF($C712="","",IF($D712="Gider",$H712,$E712))</f>
        <v/>
      </c>
      <c r="O712" s="226">
        <f>IF($C712="","",DATE(YEAR($C712),MONTH($C712),1))</f>
        <v/>
      </c>
      <c r="P712" s="113">
        <f>IF($C712="","",IF(AND($D712="Gelir",$L712&lt;&gt;"",$T712=""),"TANIMSIZ BORÇLU",IF($T712&lt;&gt;"",IF(OR($E712="",$G712&lt;=0),"EKSİK",IF($I712="Evet","TAHAKKUK NAKİT OLAMAZ",IF($C712&gt;TODAY(),"İLERİ TARİH","TAHAKKUK"))),IF(AND($D712&lt;&gt;"",$E712&lt;&gt;"",$G712&gt;0,$H712&lt;&gt;"",$I712&lt;&gt;""),IF($C712&gt;TODAY(),"İLERİ TARİH",IF(COUNTIF($W$7:$W$1206,$W712)&gt;1,"MÜKERRER?",IF($AD712&gt;0,"KAPALI DÖNEM",IF($I712="Hayır","ÖDENECEK","UYGUN")))),"EKSİK"))))</f>
        <v/>
      </c>
      <c r="Q712" s="6" t="n"/>
      <c r="R712" s="6" t="n"/>
      <c r="S712" s="3">
        <f>IF($L712="","",UPPER(SUBSTITUTE(SUBSTITUTE(SUBSTITUTE(SUBSTITUTE(SUBSTITUTE(SUBSTITUTE(SUBSTITUTE(SUBSTITUTE(SUBSTITUTE(SUBSTITUTE(SUBSTITUTE(SUBSTITUTE(SUBSTITUTE(SUBSTITUTE(SUBSTITUTE(SUBSTITUTE(SUBSTITUTE(SUBSTITUTE(TRIM($L712),"'",""),"İ","I"),"ı","I"),"i","I"),"Ş","S"),"ş","S"),"Ğ","G"),"ğ","G"),"Ü","U"),"ü","U"),"Ö","O"),"ö","O"),"Ç","C"),"ç","C"),".",""),",","")," ",""),"-","")))</f>
        <v/>
      </c>
      <c r="T712" s="3">
        <f>IF(OR($C712="",$D712&lt;&gt;"Gelir",$L712=""),"",IFERROR(INDEX(MUSTERILER!$B$7:$B$106,MATCH($S712,MUSTERILER!$T$7:$T$106,0)),""))</f>
        <v/>
      </c>
      <c r="U712" s="3">
        <f>IF($T712="","",$T712&amp;"|"&amp;COUNTIFS($T$7:$T712,$T712))</f>
        <v/>
      </c>
      <c r="V712" s="3">
        <f>IF($T712="",0,1)</f>
        <v/>
      </c>
      <c r="W712" s="3">
        <f>IF($C712="","",$D712&amp;"|"&amp;$E712&amp;"|"&amp;TEXT($C712,"0")&amp;"|"&amp;TEXT($G712,"0")&amp;"|"&amp;$J712)</f>
        <v/>
      </c>
      <c r="X712" s="3" t="n"/>
      <c r="Y712" s="3" t="n"/>
      <c r="Z712" s="3" t="n"/>
      <c r="AA712" s="3" t="n"/>
      <c r="AB712" s="3" t="n"/>
      <c r="AC712" s="3" t="n"/>
      <c r="AD712" s="3">
        <f>IF($C712="",0,SUMPRODUCT((AY_SONU!$O$7:$O$42="Evet")*(AY_SONU!$B$7:$B$42=DATE(YEAR($C712),MONTH($C712),1))))</f>
        <v/>
      </c>
    </row>
    <row r="713">
      <c r="A713" s="6" t="n"/>
      <c r="B713" s="113">
        <f>IF($C713="","","GG"&amp;TEXT(ROW()-6,"00000"))</f>
        <v/>
      </c>
      <c r="C713" s="220" t="n"/>
      <c r="D713" s="108" t="n"/>
      <c r="E713" s="109" t="n"/>
      <c r="F713" s="109" t="n"/>
      <c r="G713" s="221" t="n"/>
      <c r="H713" s="108" t="n"/>
      <c r="I713" s="108" t="n"/>
      <c r="J713" s="109" t="n"/>
      <c r="K713" s="109" t="n"/>
      <c r="L713" s="108" t="n"/>
      <c r="M713" s="121">
        <f>IF($C713="","",IF($D713="Gider",$E713,IF($L713&lt;&gt;"",$L713,$H713)))</f>
        <v/>
      </c>
      <c r="N713" s="121">
        <f>IF($C713="","",IF($D713="Gider",$H713,$E713))</f>
        <v/>
      </c>
      <c r="O713" s="226">
        <f>IF($C713="","",DATE(YEAR($C713),MONTH($C713),1))</f>
        <v/>
      </c>
      <c r="P713" s="113">
        <f>IF($C713="","",IF(AND($D713="Gelir",$L713&lt;&gt;"",$T713=""),"TANIMSIZ BORÇLU",IF($T713&lt;&gt;"",IF(OR($E713="",$G713&lt;=0),"EKSİK",IF($I713="Evet","TAHAKKUK NAKİT OLAMAZ",IF($C713&gt;TODAY(),"İLERİ TARİH","TAHAKKUK"))),IF(AND($D713&lt;&gt;"",$E713&lt;&gt;"",$G713&gt;0,$H713&lt;&gt;"",$I713&lt;&gt;""),IF($C713&gt;TODAY(),"İLERİ TARİH",IF(COUNTIF($W$7:$W$1206,$W713)&gt;1,"MÜKERRER?",IF($AD713&gt;0,"KAPALI DÖNEM",IF($I713="Hayır","ÖDENECEK","UYGUN")))),"EKSİK"))))</f>
        <v/>
      </c>
      <c r="Q713" s="6" t="n"/>
      <c r="R713" s="6" t="n"/>
      <c r="S713" s="3">
        <f>IF($L713="","",UPPER(SUBSTITUTE(SUBSTITUTE(SUBSTITUTE(SUBSTITUTE(SUBSTITUTE(SUBSTITUTE(SUBSTITUTE(SUBSTITUTE(SUBSTITUTE(SUBSTITUTE(SUBSTITUTE(SUBSTITUTE(SUBSTITUTE(SUBSTITUTE(SUBSTITUTE(SUBSTITUTE(SUBSTITUTE(SUBSTITUTE(TRIM($L713),"'",""),"İ","I"),"ı","I"),"i","I"),"Ş","S"),"ş","S"),"Ğ","G"),"ğ","G"),"Ü","U"),"ü","U"),"Ö","O"),"ö","O"),"Ç","C"),"ç","C"),".",""),",","")," ",""),"-","")))</f>
        <v/>
      </c>
      <c r="T713" s="3">
        <f>IF(OR($C713="",$D713&lt;&gt;"Gelir",$L713=""),"",IFERROR(INDEX(MUSTERILER!$B$7:$B$106,MATCH($S713,MUSTERILER!$T$7:$T$106,0)),""))</f>
        <v/>
      </c>
      <c r="U713" s="3">
        <f>IF($T713="","",$T713&amp;"|"&amp;COUNTIFS($T$7:$T713,$T713))</f>
        <v/>
      </c>
      <c r="V713" s="3">
        <f>IF($T713="",0,1)</f>
        <v/>
      </c>
      <c r="W713" s="3">
        <f>IF($C713="","",$D713&amp;"|"&amp;$E713&amp;"|"&amp;TEXT($C713,"0")&amp;"|"&amp;TEXT($G713,"0")&amp;"|"&amp;$J713)</f>
        <v/>
      </c>
      <c r="X713" s="3" t="n"/>
      <c r="Y713" s="3" t="n"/>
      <c r="Z713" s="3" t="n"/>
      <c r="AA713" s="3" t="n"/>
      <c r="AB713" s="3" t="n"/>
      <c r="AC713" s="3" t="n"/>
      <c r="AD713" s="3">
        <f>IF($C713="",0,SUMPRODUCT((AY_SONU!$O$7:$O$42="Evet")*(AY_SONU!$B$7:$B$42=DATE(YEAR($C713),MONTH($C713),1))))</f>
        <v/>
      </c>
    </row>
    <row r="714">
      <c r="A714" s="6" t="n"/>
      <c r="B714" s="113">
        <f>IF($C714="","","GG"&amp;TEXT(ROW()-6,"00000"))</f>
        <v/>
      </c>
      <c r="C714" s="220" t="n"/>
      <c r="D714" s="108" t="n"/>
      <c r="E714" s="109" t="n"/>
      <c r="F714" s="109" t="n"/>
      <c r="G714" s="221" t="n"/>
      <c r="H714" s="108" t="n"/>
      <c r="I714" s="108" t="n"/>
      <c r="J714" s="109" t="n"/>
      <c r="K714" s="109" t="n"/>
      <c r="L714" s="108" t="n"/>
      <c r="M714" s="121">
        <f>IF($C714="","",IF($D714="Gider",$E714,IF($L714&lt;&gt;"",$L714,$H714)))</f>
        <v/>
      </c>
      <c r="N714" s="121">
        <f>IF($C714="","",IF($D714="Gider",$H714,$E714))</f>
        <v/>
      </c>
      <c r="O714" s="226">
        <f>IF($C714="","",DATE(YEAR($C714),MONTH($C714),1))</f>
        <v/>
      </c>
      <c r="P714" s="113">
        <f>IF($C714="","",IF(AND($D714="Gelir",$L714&lt;&gt;"",$T714=""),"TANIMSIZ BORÇLU",IF($T714&lt;&gt;"",IF(OR($E714="",$G714&lt;=0),"EKSİK",IF($I714="Evet","TAHAKKUK NAKİT OLAMAZ",IF($C714&gt;TODAY(),"İLERİ TARİH","TAHAKKUK"))),IF(AND($D714&lt;&gt;"",$E714&lt;&gt;"",$G714&gt;0,$H714&lt;&gt;"",$I714&lt;&gt;""),IF($C714&gt;TODAY(),"İLERİ TARİH",IF(COUNTIF($W$7:$W$1206,$W714)&gt;1,"MÜKERRER?",IF($AD714&gt;0,"KAPALI DÖNEM",IF($I714="Hayır","ÖDENECEK","UYGUN")))),"EKSİK"))))</f>
        <v/>
      </c>
      <c r="Q714" s="6" t="n"/>
      <c r="R714" s="6" t="n"/>
      <c r="S714" s="3">
        <f>IF($L714="","",UPPER(SUBSTITUTE(SUBSTITUTE(SUBSTITUTE(SUBSTITUTE(SUBSTITUTE(SUBSTITUTE(SUBSTITUTE(SUBSTITUTE(SUBSTITUTE(SUBSTITUTE(SUBSTITUTE(SUBSTITUTE(SUBSTITUTE(SUBSTITUTE(SUBSTITUTE(SUBSTITUTE(SUBSTITUTE(SUBSTITUTE(TRIM($L714),"'",""),"İ","I"),"ı","I"),"i","I"),"Ş","S"),"ş","S"),"Ğ","G"),"ğ","G"),"Ü","U"),"ü","U"),"Ö","O"),"ö","O"),"Ç","C"),"ç","C"),".",""),",","")," ",""),"-","")))</f>
        <v/>
      </c>
      <c r="T714" s="3">
        <f>IF(OR($C714="",$D714&lt;&gt;"Gelir",$L714=""),"",IFERROR(INDEX(MUSTERILER!$B$7:$B$106,MATCH($S714,MUSTERILER!$T$7:$T$106,0)),""))</f>
        <v/>
      </c>
      <c r="U714" s="3">
        <f>IF($T714="","",$T714&amp;"|"&amp;COUNTIFS($T$7:$T714,$T714))</f>
        <v/>
      </c>
      <c r="V714" s="3">
        <f>IF($T714="",0,1)</f>
        <v/>
      </c>
      <c r="W714" s="3">
        <f>IF($C714="","",$D714&amp;"|"&amp;$E714&amp;"|"&amp;TEXT($C714,"0")&amp;"|"&amp;TEXT($G714,"0")&amp;"|"&amp;$J714)</f>
        <v/>
      </c>
      <c r="X714" s="3" t="n"/>
      <c r="Y714" s="3" t="n"/>
      <c r="Z714" s="3" t="n"/>
      <c r="AA714" s="3" t="n"/>
      <c r="AB714" s="3" t="n"/>
      <c r="AC714" s="3" t="n"/>
      <c r="AD714" s="3">
        <f>IF($C714="",0,SUMPRODUCT((AY_SONU!$O$7:$O$42="Evet")*(AY_SONU!$B$7:$B$42=DATE(YEAR($C714),MONTH($C714),1))))</f>
        <v/>
      </c>
    </row>
    <row r="715">
      <c r="A715" s="6" t="n"/>
      <c r="B715" s="113">
        <f>IF($C715="","","GG"&amp;TEXT(ROW()-6,"00000"))</f>
        <v/>
      </c>
      <c r="C715" s="220" t="n"/>
      <c r="D715" s="108" t="n"/>
      <c r="E715" s="109" t="n"/>
      <c r="F715" s="109" t="n"/>
      <c r="G715" s="221" t="n"/>
      <c r="H715" s="108" t="n"/>
      <c r="I715" s="108" t="n"/>
      <c r="J715" s="109" t="n"/>
      <c r="K715" s="109" t="n"/>
      <c r="L715" s="108" t="n"/>
      <c r="M715" s="121">
        <f>IF($C715="","",IF($D715="Gider",$E715,IF($L715&lt;&gt;"",$L715,$H715)))</f>
        <v/>
      </c>
      <c r="N715" s="121">
        <f>IF($C715="","",IF($D715="Gider",$H715,$E715))</f>
        <v/>
      </c>
      <c r="O715" s="226">
        <f>IF($C715="","",DATE(YEAR($C715),MONTH($C715),1))</f>
        <v/>
      </c>
      <c r="P715" s="113">
        <f>IF($C715="","",IF(AND($D715="Gelir",$L715&lt;&gt;"",$T715=""),"TANIMSIZ BORÇLU",IF($T715&lt;&gt;"",IF(OR($E715="",$G715&lt;=0),"EKSİK",IF($I715="Evet","TAHAKKUK NAKİT OLAMAZ",IF($C715&gt;TODAY(),"İLERİ TARİH","TAHAKKUK"))),IF(AND($D715&lt;&gt;"",$E715&lt;&gt;"",$G715&gt;0,$H715&lt;&gt;"",$I715&lt;&gt;""),IF($C715&gt;TODAY(),"İLERİ TARİH",IF(COUNTIF($W$7:$W$1206,$W715)&gt;1,"MÜKERRER?",IF($AD715&gt;0,"KAPALI DÖNEM",IF($I715="Hayır","ÖDENECEK","UYGUN")))),"EKSİK"))))</f>
        <v/>
      </c>
      <c r="Q715" s="6" t="n"/>
      <c r="R715" s="6" t="n"/>
      <c r="S715" s="3">
        <f>IF($L715="","",UPPER(SUBSTITUTE(SUBSTITUTE(SUBSTITUTE(SUBSTITUTE(SUBSTITUTE(SUBSTITUTE(SUBSTITUTE(SUBSTITUTE(SUBSTITUTE(SUBSTITUTE(SUBSTITUTE(SUBSTITUTE(SUBSTITUTE(SUBSTITUTE(SUBSTITUTE(SUBSTITUTE(SUBSTITUTE(SUBSTITUTE(TRIM($L715),"'",""),"İ","I"),"ı","I"),"i","I"),"Ş","S"),"ş","S"),"Ğ","G"),"ğ","G"),"Ü","U"),"ü","U"),"Ö","O"),"ö","O"),"Ç","C"),"ç","C"),".",""),",","")," ",""),"-","")))</f>
        <v/>
      </c>
      <c r="T715" s="3">
        <f>IF(OR($C715="",$D715&lt;&gt;"Gelir",$L715=""),"",IFERROR(INDEX(MUSTERILER!$B$7:$B$106,MATCH($S715,MUSTERILER!$T$7:$T$106,0)),""))</f>
        <v/>
      </c>
      <c r="U715" s="3">
        <f>IF($T715="","",$T715&amp;"|"&amp;COUNTIFS($T$7:$T715,$T715))</f>
        <v/>
      </c>
      <c r="V715" s="3">
        <f>IF($T715="",0,1)</f>
        <v/>
      </c>
      <c r="W715" s="3">
        <f>IF($C715="","",$D715&amp;"|"&amp;$E715&amp;"|"&amp;TEXT($C715,"0")&amp;"|"&amp;TEXT($G715,"0")&amp;"|"&amp;$J715)</f>
        <v/>
      </c>
      <c r="X715" s="3" t="n"/>
      <c r="Y715" s="3" t="n"/>
      <c r="Z715" s="3" t="n"/>
      <c r="AA715" s="3" t="n"/>
      <c r="AB715" s="3" t="n"/>
      <c r="AC715" s="3" t="n"/>
      <c r="AD715" s="3">
        <f>IF($C715="",0,SUMPRODUCT((AY_SONU!$O$7:$O$42="Evet")*(AY_SONU!$B$7:$B$42=DATE(YEAR($C715),MONTH($C715),1))))</f>
        <v/>
      </c>
    </row>
    <row r="716">
      <c r="A716" s="6" t="n"/>
      <c r="B716" s="113">
        <f>IF($C716="","","GG"&amp;TEXT(ROW()-6,"00000"))</f>
        <v/>
      </c>
      <c r="C716" s="220" t="n"/>
      <c r="D716" s="108" t="n"/>
      <c r="E716" s="109" t="n"/>
      <c r="F716" s="109" t="n"/>
      <c r="G716" s="221" t="n"/>
      <c r="H716" s="108" t="n"/>
      <c r="I716" s="108" t="n"/>
      <c r="J716" s="109" t="n"/>
      <c r="K716" s="109" t="n"/>
      <c r="L716" s="108" t="n"/>
      <c r="M716" s="121">
        <f>IF($C716="","",IF($D716="Gider",$E716,IF($L716&lt;&gt;"",$L716,$H716)))</f>
        <v/>
      </c>
      <c r="N716" s="121">
        <f>IF($C716="","",IF($D716="Gider",$H716,$E716))</f>
        <v/>
      </c>
      <c r="O716" s="226">
        <f>IF($C716="","",DATE(YEAR($C716),MONTH($C716),1))</f>
        <v/>
      </c>
      <c r="P716" s="113">
        <f>IF($C716="","",IF(AND($D716="Gelir",$L716&lt;&gt;"",$T716=""),"TANIMSIZ BORÇLU",IF($T716&lt;&gt;"",IF(OR($E716="",$G716&lt;=0),"EKSİK",IF($I716="Evet","TAHAKKUK NAKİT OLAMAZ",IF($C716&gt;TODAY(),"İLERİ TARİH","TAHAKKUK"))),IF(AND($D716&lt;&gt;"",$E716&lt;&gt;"",$G716&gt;0,$H716&lt;&gt;"",$I716&lt;&gt;""),IF($C716&gt;TODAY(),"İLERİ TARİH",IF(COUNTIF($W$7:$W$1206,$W716)&gt;1,"MÜKERRER?",IF($AD716&gt;0,"KAPALI DÖNEM",IF($I716="Hayır","ÖDENECEK","UYGUN")))),"EKSİK"))))</f>
        <v/>
      </c>
      <c r="Q716" s="6" t="n"/>
      <c r="R716" s="6" t="n"/>
      <c r="S716" s="3">
        <f>IF($L716="","",UPPER(SUBSTITUTE(SUBSTITUTE(SUBSTITUTE(SUBSTITUTE(SUBSTITUTE(SUBSTITUTE(SUBSTITUTE(SUBSTITUTE(SUBSTITUTE(SUBSTITUTE(SUBSTITUTE(SUBSTITUTE(SUBSTITUTE(SUBSTITUTE(SUBSTITUTE(SUBSTITUTE(SUBSTITUTE(SUBSTITUTE(TRIM($L716),"'",""),"İ","I"),"ı","I"),"i","I"),"Ş","S"),"ş","S"),"Ğ","G"),"ğ","G"),"Ü","U"),"ü","U"),"Ö","O"),"ö","O"),"Ç","C"),"ç","C"),".",""),",","")," ",""),"-","")))</f>
        <v/>
      </c>
      <c r="T716" s="3">
        <f>IF(OR($C716="",$D716&lt;&gt;"Gelir",$L716=""),"",IFERROR(INDEX(MUSTERILER!$B$7:$B$106,MATCH($S716,MUSTERILER!$T$7:$T$106,0)),""))</f>
        <v/>
      </c>
      <c r="U716" s="3">
        <f>IF($T716="","",$T716&amp;"|"&amp;COUNTIFS($T$7:$T716,$T716))</f>
        <v/>
      </c>
      <c r="V716" s="3">
        <f>IF($T716="",0,1)</f>
        <v/>
      </c>
      <c r="W716" s="3">
        <f>IF($C716="","",$D716&amp;"|"&amp;$E716&amp;"|"&amp;TEXT($C716,"0")&amp;"|"&amp;TEXT($G716,"0")&amp;"|"&amp;$J716)</f>
        <v/>
      </c>
      <c r="X716" s="3" t="n"/>
      <c r="Y716" s="3" t="n"/>
      <c r="Z716" s="3" t="n"/>
      <c r="AA716" s="3" t="n"/>
      <c r="AB716" s="3" t="n"/>
      <c r="AC716" s="3" t="n"/>
      <c r="AD716" s="3">
        <f>IF($C716="",0,SUMPRODUCT((AY_SONU!$O$7:$O$42="Evet")*(AY_SONU!$B$7:$B$42=DATE(YEAR($C716),MONTH($C716),1))))</f>
        <v/>
      </c>
    </row>
    <row r="717">
      <c r="A717" s="6" t="n"/>
      <c r="B717" s="113">
        <f>IF($C717="","","GG"&amp;TEXT(ROW()-6,"00000"))</f>
        <v/>
      </c>
      <c r="C717" s="220" t="n"/>
      <c r="D717" s="108" t="n"/>
      <c r="E717" s="109" t="n"/>
      <c r="F717" s="109" t="n"/>
      <c r="G717" s="221" t="n"/>
      <c r="H717" s="108" t="n"/>
      <c r="I717" s="108" t="n"/>
      <c r="J717" s="109" t="n"/>
      <c r="K717" s="109" t="n"/>
      <c r="L717" s="108" t="n"/>
      <c r="M717" s="121">
        <f>IF($C717="","",IF($D717="Gider",$E717,IF($L717&lt;&gt;"",$L717,$H717)))</f>
        <v/>
      </c>
      <c r="N717" s="121">
        <f>IF($C717="","",IF($D717="Gider",$H717,$E717))</f>
        <v/>
      </c>
      <c r="O717" s="226">
        <f>IF($C717="","",DATE(YEAR($C717),MONTH($C717),1))</f>
        <v/>
      </c>
      <c r="P717" s="113">
        <f>IF($C717="","",IF(AND($D717="Gelir",$L717&lt;&gt;"",$T717=""),"TANIMSIZ BORÇLU",IF($T717&lt;&gt;"",IF(OR($E717="",$G717&lt;=0),"EKSİK",IF($I717="Evet","TAHAKKUK NAKİT OLAMAZ",IF($C717&gt;TODAY(),"İLERİ TARİH","TAHAKKUK"))),IF(AND($D717&lt;&gt;"",$E717&lt;&gt;"",$G717&gt;0,$H717&lt;&gt;"",$I717&lt;&gt;""),IF($C717&gt;TODAY(),"İLERİ TARİH",IF(COUNTIF($W$7:$W$1206,$W717)&gt;1,"MÜKERRER?",IF($AD717&gt;0,"KAPALI DÖNEM",IF($I717="Hayır","ÖDENECEK","UYGUN")))),"EKSİK"))))</f>
        <v/>
      </c>
      <c r="Q717" s="6" t="n"/>
      <c r="R717" s="6" t="n"/>
      <c r="S717" s="3">
        <f>IF($L717="","",UPPER(SUBSTITUTE(SUBSTITUTE(SUBSTITUTE(SUBSTITUTE(SUBSTITUTE(SUBSTITUTE(SUBSTITUTE(SUBSTITUTE(SUBSTITUTE(SUBSTITUTE(SUBSTITUTE(SUBSTITUTE(SUBSTITUTE(SUBSTITUTE(SUBSTITUTE(SUBSTITUTE(SUBSTITUTE(SUBSTITUTE(TRIM($L717),"'",""),"İ","I"),"ı","I"),"i","I"),"Ş","S"),"ş","S"),"Ğ","G"),"ğ","G"),"Ü","U"),"ü","U"),"Ö","O"),"ö","O"),"Ç","C"),"ç","C"),".",""),",","")," ",""),"-","")))</f>
        <v/>
      </c>
      <c r="T717" s="3">
        <f>IF(OR($C717="",$D717&lt;&gt;"Gelir",$L717=""),"",IFERROR(INDEX(MUSTERILER!$B$7:$B$106,MATCH($S717,MUSTERILER!$T$7:$T$106,0)),""))</f>
        <v/>
      </c>
      <c r="U717" s="3">
        <f>IF($T717="","",$T717&amp;"|"&amp;COUNTIFS($T$7:$T717,$T717))</f>
        <v/>
      </c>
      <c r="V717" s="3">
        <f>IF($T717="",0,1)</f>
        <v/>
      </c>
      <c r="W717" s="3">
        <f>IF($C717="","",$D717&amp;"|"&amp;$E717&amp;"|"&amp;TEXT($C717,"0")&amp;"|"&amp;TEXT($G717,"0")&amp;"|"&amp;$J717)</f>
        <v/>
      </c>
      <c r="X717" s="3" t="n"/>
      <c r="Y717" s="3" t="n"/>
      <c r="Z717" s="3" t="n"/>
      <c r="AA717" s="3" t="n"/>
      <c r="AB717" s="3" t="n"/>
      <c r="AC717" s="3" t="n"/>
      <c r="AD717" s="3">
        <f>IF($C717="",0,SUMPRODUCT((AY_SONU!$O$7:$O$42="Evet")*(AY_SONU!$B$7:$B$42=DATE(YEAR($C717),MONTH($C717),1))))</f>
        <v/>
      </c>
    </row>
    <row r="718">
      <c r="A718" s="6" t="n"/>
      <c r="B718" s="113">
        <f>IF($C718="","","GG"&amp;TEXT(ROW()-6,"00000"))</f>
        <v/>
      </c>
      <c r="C718" s="220" t="n"/>
      <c r="D718" s="108" t="n"/>
      <c r="E718" s="109" t="n"/>
      <c r="F718" s="109" t="n"/>
      <c r="G718" s="221" t="n"/>
      <c r="H718" s="108" t="n"/>
      <c r="I718" s="108" t="n"/>
      <c r="J718" s="109" t="n"/>
      <c r="K718" s="109" t="n"/>
      <c r="L718" s="108" t="n"/>
      <c r="M718" s="121">
        <f>IF($C718="","",IF($D718="Gider",$E718,IF($L718&lt;&gt;"",$L718,$H718)))</f>
        <v/>
      </c>
      <c r="N718" s="121">
        <f>IF($C718="","",IF($D718="Gider",$H718,$E718))</f>
        <v/>
      </c>
      <c r="O718" s="226">
        <f>IF($C718="","",DATE(YEAR($C718),MONTH($C718),1))</f>
        <v/>
      </c>
      <c r="P718" s="113">
        <f>IF($C718="","",IF(AND($D718="Gelir",$L718&lt;&gt;"",$T718=""),"TANIMSIZ BORÇLU",IF($T718&lt;&gt;"",IF(OR($E718="",$G718&lt;=0),"EKSİK",IF($I718="Evet","TAHAKKUK NAKİT OLAMAZ",IF($C718&gt;TODAY(),"İLERİ TARİH","TAHAKKUK"))),IF(AND($D718&lt;&gt;"",$E718&lt;&gt;"",$G718&gt;0,$H718&lt;&gt;"",$I718&lt;&gt;""),IF($C718&gt;TODAY(),"İLERİ TARİH",IF(COUNTIF($W$7:$W$1206,$W718)&gt;1,"MÜKERRER?",IF($AD718&gt;0,"KAPALI DÖNEM",IF($I718="Hayır","ÖDENECEK","UYGUN")))),"EKSİK"))))</f>
        <v/>
      </c>
      <c r="Q718" s="6" t="n"/>
      <c r="R718" s="6" t="n"/>
      <c r="S718" s="3">
        <f>IF($L718="","",UPPER(SUBSTITUTE(SUBSTITUTE(SUBSTITUTE(SUBSTITUTE(SUBSTITUTE(SUBSTITUTE(SUBSTITUTE(SUBSTITUTE(SUBSTITUTE(SUBSTITUTE(SUBSTITUTE(SUBSTITUTE(SUBSTITUTE(SUBSTITUTE(SUBSTITUTE(SUBSTITUTE(SUBSTITUTE(SUBSTITUTE(TRIM($L718),"'",""),"İ","I"),"ı","I"),"i","I"),"Ş","S"),"ş","S"),"Ğ","G"),"ğ","G"),"Ü","U"),"ü","U"),"Ö","O"),"ö","O"),"Ç","C"),"ç","C"),".",""),",","")," ",""),"-","")))</f>
        <v/>
      </c>
      <c r="T718" s="3">
        <f>IF(OR($C718="",$D718&lt;&gt;"Gelir",$L718=""),"",IFERROR(INDEX(MUSTERILER!$B$7:$B$106,MATCH($S718,MUSTERILER!$T$7:$T$106,0)),""))</f>
        <v/>
      </c>
      <c r="U718" s="3">
        <f>IF($T718="","",$T718&amp;"|"&amp;COUNTIFS($T$7:$T718,$T718))</f>
        <v/>
      </c>
      <c r="V718" s="3">
        <f>IF($T718="",0,1)</f>
        <v/>
      </c>
      <c r="W718" s="3">
        <f>IF($C718="","",$D718&amp;"|"&amp;$E718&amp;"|"&amp;TEXT($C718,"0")&amp;"|"&amp;TEXT($G718,"0")&amp;"|"&amp;$J718)</f>
        <v/>
      </c>
      <c r="X718" s="3" t="n"/>
      <c r="Y718" s="3" t="n"/>
      <c r="Z718" s="3" t="n"/>
      <c r="AA718" s="3" t="n"/>
      <c r="AB718" s="3" t="n"/>
      <c r="AC718" s="3" t="n"/>
      <c r="AD718" s="3">
        <f>IF($C718="",0,SUMPRODUCT((AY_SONU!$O$7:$O$42="Evet")*(AY_SONU!$B$7:$B$42=DATE(YEAR($C718),MONTH($C718),1))))</f>
        <v/>
      </c>
    </row>
    <row r="719">
      <c r="A719" s="6" t="n"/>
      <c r="B719" s="113">
        <f>IF($C719="","","GG"&amp;TEXT(ROW()-6,"00000"))</f>
        <v/>
      </c>
      <c r="C719" s="220" t="n"/>
      <c r="D719" s="108" t="n"/>
      <c r="E719" s="109" t="n"/>
      <c r="F719" s="109" t="n"/>
      <c r="G719" s="221" t="n"/>
      <c r="H719" s="108" t="n"/>
      <c r="I719" s="108" t="n"/>
      <c r="J719" s="109" t="n"/>
      <c r="K719" s="109" t="n"/>
      <c r="L719" s="108" t="n"/>
      <c r="M719" s="121">
        <f>IF($C719="","",IF($D719="Gider",$E719,IF($L719&lt;&gt;"",$L719,$H719)))</f>
        <v/>
      </c>
      <c r="N719" s="121">
        <f>IF($C719="","",IF($D719="Gider",$H719,$E719))</f>
        <v/>
      </c>
      <c r="O719" s="226">
        <f>IF($C719="","",DATE(YEAR($C719),MONTH($C719),1))</f>
        <v/>
      </c>
      <c r="P719" s="113">
        <f>IF($C719="","",IF(AND($D719="Gelir",$L719&lt;&gt;"",$T719=""),"TANIMSIZ BORÇLU",IF($T719&lt;&gt;"",IF(OR($E719="",$G719&lt;=0),"EKSİK",IF($I719="Evet","TAHAKKUK NAKİT OLAMAZ",IF($C719&gt;TODAY(),"İLERİ TARİH","TAHAKKUK"))),IF(AND($D719&lt;&gt;"",$E719&lt;&gt;"",$G719&gt;0,$H719&lt;&gt;"",$I719&lt;&gt;""),IF($C719&gt;TODAY(),"İLERİ TARİH",IF(COUNTIF($W$7:$W$1206,$W719)&gt;1,"MÜKERRER?",IF($AD719&gt;0,"KAPALI DÖNEM",IF($I719="Hayır","ÖDENECEK","UYGUN")))),"EKSİK"))))</f>
        <v/>
      </c>
      <c r="Q719" s="6" t="n"/>
      <c r="R719" s="6" t="n"/>
      <c r="S719" s="3">
        <f>IF($L719="","",UPPER(SUBSTITUTE(SUBSTITUTE(SUBSTITUTE(SUBSTITUTE(SUBSTITUTE(SUBSTITUTE(SUBSTITUTE(SUBSTITUTE(SUBSTITUTE(SUBSTITUTE(SUBSTITUTE(SUBSTITUTE(SUBSTITUTE(SUBSTITUTE(SUBSTITUTE(SUBSTITUTE(SUBSTITUTE(SUBSTITUTE(TRIM($L719),"'",""),"İ","I"),"ı","I"),"i","I"),"Ş","S"),"ş","S"),"Ğ","G"),"ğ","G"),"Ü","U"),"ü","U"),"Ö","O"),"ö","O"),"Ç","C"),"ç","C"),".",""),",","")," ",""),"-","")))</f>
        <v/>
      </c>
      <c r="T719" s="3">
        <f>IF(OR($C719="",$D719&lt;&gt;"Gelir",$L719=""),"",IFERROR(INDEX(MUSTERILER!$B$7:$B$106,MATCH($S719,MUSTERILER!$T$7:$T$106,0)),""))</f>
        <v/>
      </c>
      <c r="U719" s="3">
        <f>IF($T719="","",$T719&amp;"|"&amp;COUNTIFS($T$7:$T719,$T719))</f>
        <v/>
      </c>
      <c r="V719" s="3">
        <f>IF($T719="",0,1)</f>
        <v/>
      </c>
      <c r="W719" s="3">
        <f>IF($C719="","",$D719&amp;"|"&amp;$E719&amp;"|"&amp;TEXT($C719,"0")&amp;"|"&amp;TEXT($G719,"0")&amp;"|"&amp;$J719)</f>
        <v/>
      </c>
      <c r="X719" s="3" t="n"/>
      <c r="Y719" s="3" t="n"/>
      <c r="Z719" s="3" t="n"/>
      <c r="AA719" s="3" t="n"/>
      <c r="AB719" s="3" t="n"/>
      <c r="AC719" s="3" t="n"/>
      <c r="AD719" s="3">
        <f>IF($C719="",0,SUMPRODUCT((AY_SONU!$O$7:$O$42="Evet")*(AY_SONU!$B$7:$B$42=DATE(YEAR($C719),MONTH($C719),1))))</f>
        <v/>
      </c>
    </row>
    <row r="720">
      <c r="A720" s="6" t="n"/>
      <c r="B720" s="113">
        <f>IF($C720="","","GG"&amp;TEXT(ROW()-6,"00000"))</f>
        <v/>
      </c>
      <c r="C720" s="220" t="n"/>
      <c r="D720" s="108" t="n"/>
      <c r="E720" s="109" t="n"/>
      <c r="F720" s="109" t="n"/>
      <c r="G720" s="221" t="n"/>
      <c r="H720" s="108" t="n"/>
      <c r="I720" s="108" t="n"/>
      <c r="J720" s="109" t="n"/>
      <c r="K720" s="109" t="n"/>
      <c r="L720" s="108" t="n"/>
      <c r="M720" s="121">
        <f>IF($C720="","",IF($D720="Gider",$E720,IF($L720&lt;&gt;"",$L720,$H720)))</f>
        <v/>
      </c>
      <c r="N720" s="121">
        <f>IF($C720="","",IF($D720="Gider",$H720,$E720))</f>
        <v/>
      </c>
      <c r="O720" s="226">
        <f>IF($C720="","",DATE(YEAR($C720),MONTH($C720),1))</f>
        <v/>
      </c>
      <c r="P720" s="113">
        <f>IF($C720="","",IF(AND($D720="Gelir",$L720&lt;&gt;"",$T720=""),"TANIMSIZ BORÇLU",IF($T720&lt;&gt;"",IF(OR($E720="",$G720&lt;=0),"EKSİK",IF($I720="Evet","TAHAKKUK NAKİT OLAMAZ",IF($C720&gt;TODAY(),"İLERİ TARİH","TAHAKKUK"))),IF(AND($D720&lt;&gt;"",$E720&lt;&gt;"",$G720&gt;0,$H720&lt;&gt;"",$I720&lt;&gt;""),IF($C720&gt;TODAY(),"İLERİ TARİH",IF(COUNTIF($W$7:$W$1206,$W720)&gt;1,"MÜKERRER?",IF($AD720&gt;0,"KAPALI DÖNEM",IF($I720="Hayır","ÖDENECEK","UYGUN")))),"EKSİK"))))</f>
        <v/>
      </c>
      <c r="Q720" s="6" t="n"/>
      <c r="R720" s="6" t="n"/>
      <c r="S720" s="3">
        <f>IF($L720="","",UPPER(SUBSTITUTE(SUBSTITUTE(SUBSTITUTE(SUBSTITUTE(SUBSTITUTE(SUBSTITUTE(SUBSTITUTE(SUBSTITUTE(SUBSTITUTE(SUBSTITUTE(SUBSTITUTE(SUBSTITUTE(SUBSTITUTE(SUBSTITUTE(SUBSTITUTE(SUBSTITUTE(SUBSTITUTE(SUBSTITUTE(TRIM($L720),"'",""),"İ","I"),"ı","I"),"i","I"),"Ş","S"),"ş","S"),"Ğ","G"),"ğ","G"),"Ü","U"),"ü","U"),"Ö","O"),"ö","O"),"Ç","C"),"ç","C"),".",""),",","")," ",""),"-","")))</f>
        <v/>
      </c>
      <c r="T720" s="3">
        <f>IF(OR($C720="",$D720&lt;&gt;"Gelir",$L720=""),"",IFERROR(INDEX(MUSTERILER!$B$7:$B$106,MATCH($S720,MUSTERILER!$T$7:$T$106,0)),""))</f>
        <v/>
      </c>
      <c r="U720" s="3">
        <f>IF($T720="","",$T720&amp;"|"&amp;COUNTIFS($T$7:$T720,$T720))</f>
        <v/>
      </c>
      <c r="V720" s="3">
        <f>IF($T720="",0,1)</f>
        <v/>
      </c>
      <c r="W720" s="3">
        <f>IF($C720="","",$D720&amp;"|"&amp;$E720&amp;"|"&amp;TEXT($C720,"0")&amp;"|"&amp;TEXT($G720,"0")&amp;"|"&amp;$J720)</f>
        <v/>
      </c>
      <c r="X720" s="3" t="n"/>
      <c r="Y720" s="3" t="n"/>
      <c r="Z720" s="3" t="n"/>
      <c r="AA720" s="3" t="n"/>
      <c r="AB720" s="3" t="n"/>
      <c r="AC720" s="3" t="n"/>
      <c r="AD720" s="3">
        <f>IF($C720="",0,SUMPRODUCT((AY_SONU!$O$7:$O$42="Evet")*(AY_SONU!$B$7:$B$42=DATE(YEAR($C720),MONTH($C720),1))))</f>
        <v/>
      </c>
    </row>
    <row r="721">
      <c r="A721" s="6" t="n"/>
      <c r="B721" s="113">
        <f>IF($C721="","","GG"&amp;TEXT(ROW()-6,"00000"))</f>
        <v/>
      </c>
      <c r="C721" s="220" t="n"/>
      <c r="D721" s="108" t="n"/>
      <c r="E721" s="109" t="n"/>
      <c r="F721" s="109" t="n"/>
      <c r="G721" s="221" t="n"/>
      <c r="H721" s="108" t="n"/>
      <c r="I721" s="108" t="n"/>
      <c r="J721" s="109" t="n"/>
      <c r="K721" s="109" t="n"/>
      <c r="L721" s="108" t="n"/>
      <c r="M721" s="121">
        <f>IF($C721="","",IF($D721="Gider",$E721,IF($L721&lt;&gt;"",$L721,$H721)))</f>
        <v/>
      </c>
      <c r="N721" s="121">
        <f>IF($C721="","",IF($D721="Gider",$H721,$E721))</f>
        <v/>
      </c>
      <c r="O721" s="226">
        <f>IF($C721="","",DATE(YEAR($C721),MONTH($C721),1))</f>
        <v/>
      </c>
      <c r="P721" s="113">
        <f>IF($C721="","",IF(AND($D721="Gelir",$L721&lt;&gt;"",$T721=""),"TANIMSIZ BORÇLU",IF($T721&lt;&gt;"",IF(OR($E721="",$G721&lt;=0),"EKSİK",IF($I721="Evet","TAHAKKUK NAKİT OLAMAZ",IF($C721&gt;TODAY(),"İLERİ TARİH","TAHAKKUK"))),IF(AND($D721&lt;&gt;"",$E721&lt;&gt;"",$G721&gt;0,$H721&lt;&gt;"",$I721&lt;&gt;""),IF($C721&gt;TODAY(),"İLERİ TARİH",IF(COUNTIF($W$7:$W$1206,$W721)&gt;1,"MÜKERRER?",IF($AD721&gt;0,"KAPALI DÖNEM",IF($I721="Hayır","ÖDENECEK","UYGUN")))),"EKSİK"))))</f>
        <v/>
      </c>
      <c r="Q721" s="6" t="n"/>
      <c r="R721" s="6" t="n"/>
      <c r="S721" s="3">
        <f>IF($L721="","",UPPER(SUBSTITUTE(SUBSTITUTE(SUBSTITUTE(SUBSTITUTE(SUBSTITUTE(SUBSTITUTE(SUBSTITUTE(SUBSTITUTE(SUBSTITUTE(SUBSTITUTE(SUBSTITUTE(SUBSTITUTE(SUBSTITUTE(SUBSTITUTE(SUBSTITUTE(SUBSTITUTE(SUBSTITUTE(SUBSTITUTE(TRIM($L721),"'",""),"İ","I"),"ı","I"),"i","I"),"Ş","S"),"ş","S"),"Ğ","G"),"ğ","G"),"Ü","U"),"ü","U"),"Ö","O"),"ö","O"),"Ç","C"),"ç","C"),".",""),",","")," ",""),"-","")))</f>
        <v/>
      </c>
      <c r="T721" s="3">
        <f>IF(OR($C721="",$D721&lt;&gt;"Gelir",$L721=""),"",IFERROR(INDEX(MUSTERILER!$B$7:$B$106,MATCH($S721,MUSTERILER!$T$7:$T$106,0)),""))</f>
        <v/>
      </c>
      <c r="U721" s="3">
        <f>IF($T721="","",$T721&amp;"|"&amp;COUNTIFS($T$7:$T721,$T721))</f>
        <v/>
      </c>
      <c r="V721" s="3">
        <f>IF($T721="",0,1)</f>
        <v/>
      </c>
      <c r="W721" s="3">
        <f>IF($C721="","",$D721&amp;"|"&amp;$E721&amp;"|"&amp;TEXT($C721,"0")&amp;"|"&amp;TEXT($G721,"0")&amp;"|"&amp;$J721)</f>
        <v/>
      </c>
      <c r="X721" s="3" t="n"/>
      <c r="Y721" s="3" t="n"/>
      <c r="Z721" s="3" t="n"/>
      <c r="AA721" s="3" t="n"/>
      <c r="AB721" s="3" t="n"/>
      <c r="AC721" s="3" t="n"/>
      <c r="AD721" s="3">
        <f>IF($C721="",0,SUMPRODUCT((AY_SONU!$O$7:$O$42="Evet")*(AY_SONU!$B$7:$B$42=DATE(YEAR($C721),MONTH($C721),1))))</f>
        <v/>
      </c>
    </row>
    <row r="722">
      <c r="A722" s="6" t="n"/>
      <c r="B722" s="113">
        <f>IF($C722="","","GG"&amp;TEXT(ROW()-6,"00000"))</f>
        <v/>
      </c>
      <c r="C722" s="220" t="n"/>
      <c r="D722" s="108" t="n"/>
      <c r="E722" s="109" t="n"/>
      <c r="F722" s="109" t="n"/>
      <c r="G722" s="221" t="n"/>
      <c r="H722" s="108" t="n"/>
      <c r="I722" s="108" t="n"/>
      <c r="J722" s="109" t="n"/>
      <c r="K722" s="109" t="n"/>
      <c r="L722" s="108" t="n"/>
      <c r="M722" s="121">
        <f>IF($C722="","",IF($D722="Gider",$E722,IF($L722&lt;&gt;"",$L722,$H722)))</f>
        <v/>
      </c>
      <c r="N722" s="121">
        <f>IF($C722="","",IF($D722="Gider",$H722,$E722))</f>
        <v/>
      </c>
      <c r="O722" s="226">
        <f>IF($C722="","",DATE(YEAR($C722),MONTH($C722),1))</f>
        <v/>
      </c>
      <c r="P722" s="113">
        <f>IF($C722="","",IF(AND($D722="Gelir",$L722&lt;&gt;"",$T722=""),"TANIMSIZ BORÇLU",IF($T722&lt;&gt;"",IF(OR($E722="",$G722&lt;=0),"EKSİK",IF($I722="Evet","TAHAKKUK NAKİT OLAMAZ",IF($C722&gt;TODAY(),"İLERİ TARİH","TAHAKKUK"))),IF(AND($D722&lt;&gt;"",$E722&lt;&gt;"",$G722&gt;0,$H722&lt;&gt;"",$I722&lt;&gt;""),IF($C722&gt;TODAY(),"İLERİ TARİH",IF(COUNTIF($W$7:$W$1206,$W722)&gt;1,"MÜKERRER?",IF($AD722&gt;0,"KAPALI DÖNEM",IF($I722="Hayır","ÖDENECEK","UYGUN")))),"EKSİK"))))</f>
        <v/>
      </c>
      <c r="Q722" s="6" t="n"/>
      <c r="R722" s="6" t="n"/>
      <c r="S722" s="3">
        <f>IF($L722="","",UPPER(SUBSTITUTE(SUBSTITUTE(SUBSTITUTE(SUBSTITUTE(SUBSTITUTE(SUBSTITUTE(SUBSTITUTE(SUBSTITUTE(SUBSTITUTE(SUBSTITUTE(SUBSTITUTE(SUBSTITUTE(SUBSTITUTE(SUBSTITUTE(SUBSTITUTE(SUBSTITUTE(SUBSTITUTE(SUBSTITUTE(TRIM($L722),"'",""),"İ","I"),"ı","I"),"i","I"),"Ş","S"),"ş","S"),"Ğ","G"),"ğ","G"),"Ü","U"),"ü","U"),"Ö","O"),"ö","O"),"Ç","C"),"ç","C"),".",""),",","")," ",""),"-","")))</f>
        <v/>
      </c>
      <c r="T722" s="3">
        <f>IF(OR($C722="",$D722&lt;&gt;"Gelir",$L722=""),"",IFERROR(INDEX(MUSTERILER!$B$7:$B$106,MATCH($S722,MUSTERILER!$T$7:$T$106,0)),""))</f>
        <v/>
      </c>
      <c r="U722" s="3">
        <f>IF($T722="","",$T722&amp;"|"&amp;COUNTIFS($T$7:$T722,$T722))</f>
        <v/>
      </c>
      <c r="V722" s="3">
        <f>IF($T722="",0,1)</f>
        <v/>
      </c>
      <c r="W722" s="3">
        <f>IF($C722="","",$D722&amp;"|"&amp;$E722&amp;"|"&amp;TEXT($C722,"0")&amp;"|"&amp;TEXT($G722,"0")&amp;"|"&amp;$J722)</f>
        <v/>
      </c>
      <c r="X722" s="3" t="n"/>
      <c r="Y722" s="3" t="n"/>
      <c r="Z722" s="3" t="n"/>
      <c r="AA722" s="3" t="n"/>
      <c r="AB722" s="3" t="n"/>
      <c r="AC722" s="3" t="n"/>
      <c r="AD722" s="3">
        <f>IF($C722="",0,SUMPRODUCT((AY_SONU!$O$7:$O$42="Evet")*(AY_SONU!$B$7:$B$42=DATE(YEAR($C722),MONTH($C722),1))))</f>
        <v/>
      </c>
    </row>
    <row r="723">
      <c r="A723" s="6" t="n"/>
      <c r="B723" s="113">
        <f>IF($C723="","","GG"&amp;TEXT(ROW()-6,"00000"))</f>
        <v/>
      </c>
      <c r="C723" s="220" t="n"/>
      <c r="D723" s="108" t="n"/>
      <c r="E723" s="109" t="n"/>
      <c r="F723" s="109" t="n"/>
      <c r="G723" s="221" t="n"/>
      <c r="H723" s="108" t="n"/>
      <c r="I723" s="108" t="n"/>
      <c r="J723" s="109" t="n"/>
      <c r="K723" s="109" t="n"/>
      <c r="L723" s="108" t="n"/>
      <c r="M723" s="121">
        <f>IF($C723="","",IF($D723="Gider",$E723,IF($L723&lt;&gt;"",$L723,$H723)))</f>
        <v/>
      </c>
      <c r="N723" s="121">
        <f>IF($C723="","",IF($D723="Gider",$H723,$E723))</f>
        <v/>
      </c>
      <c r="O723" s="226">
        <f>IF($C723="","",DATE(YEAR($C723),MONTH($C723),1))</f>
        <v/>
      </c>
      <c r="P723" s="113">
        <f>IF($C723="","",IF(AND($D723="Gelir",$L723&lt;&gt;"",$T723=""),"TANIMSIZ BORÇLU",IF($T723&lt;&gt;"",IF(OR($E723="",$G723&lt;=0),"EKSİK",IF($I723="Evet","TAHAKKUK NAKİT OLAMAZ",IF($C723&gt;TODAY(),"İLERİ TARİH","TAHAKKUK"))),IF(AND($D723&lt;&gt;"",$E723&lt;&gt;"",$G723&gt;0,$H723&lt;&gt;"",$I723&lt;&gt;""),IF($C723&gt;TODAY(),"İLERİ TARİH",IF(COUNTIF($W$7:$W$1206,$W723)&gt;1,"MÜKERRER?",IF($AD723&gt;0,"KAPALI DÖNEM",IF($I723="Hayır","ÖDENECEK","UYGUN")))),"EKSİK"))))</f>
        <v/>
      </c>
      <c r="Q723" s="6" t="n"/>
      <c r="R723" s="6" t="n"/>
      <c r="S723" s="3">
        <f>IF($L723="","",UPPER(SUBSTITUTE(SUBSTITUTE(SUBSTITUTE(SUBSTITUTE(SUBSTITUTE(SUBSTITUTE(SUBSTITUTE(SUBSTITUTE(SUBSTITUTE(SUBSTITUTE(SUBSTITUTE(SUBSTITUTE(SUBSTITUTE(SUBSTITUTE(SUBSTITUTE(SUBSTITUTE(SUBSTITUTE(SUBSTITUTE(TRIM($L723),"'",""),"İ","I"),"ı","I"),"i","I"),"Ş","S"),"ş","S"),"Ğ","G"),"ğ","G"),"Ü","U"),"ü","U"),"Ö","O"),"ö","O"),"Ç","C"),"ç","C"),".",""),",","")," ",""),"-","")))</f>
        <v/>
      </c>
      <c r="T723" s="3">
        <f>IF(OR($C723="",$D723&lt;&gt;"Gelir",$L723=""),"",IFERROR(INDEX(MUSTERILER!$B$7:$B$106,MATCH($S723,MUSTERILER!$T$7:$T$106,0)),""))</f>
        <v/>
      </c>
      <c r="U723" s="3">
        <f>IF($T723="","",$T723&amp;"|"&amp;COUNTIFS($T$7:$T723,$T723))</f>
        <v/>
      </c>
      <c r="V723" s="3">
        <f>IF($T723="",0,1)</f>
        <v/>
      </c>
      <c r="W723" s="3">
        <f>IF($C723="","",$D723&amp;"|"&amp;$E723&amp;"|"&amp;TEXT($C723,"0")&amp;"|"&amp;TEXT($G723,"0")&amp;"|"&amp;$J723)</f>
        <v/>
      </c>
      <c r="X723" s="3" t="n"/>
      <c r="Y723" s="3" t="n"/>
      <c r="Z723" s="3" t="n"/>
      <c r="AA723" s="3" t="n"/>
      <c r="AB723" s="3" t="n"/>
      <c r="AC723" s="3" t="n"/>
      <c r="AD723" s="3">
        <f>IF($C723="",0,SUMPRODUCT((AY_SONU!$O$7:$O$42="Evet")*(AY_SONU!$B$7:$B$42=DATE(YEAR($C723),MONTH($C723),1))))</f>
        <v/>
      </c>
    </row>
    <row r="724">
      <c r="A724" s="6" t="n"/>
      <c r="B724" s="113">
        <f>IF($C724="","","GG"&amp;TEXT(ROW()-6,"00000"))</f>
        <v/>
      </c>
      <c r="C724" s="220" t="n"/>
      <c r="D724" s="108" t="n"/>
      <c r="E724" s="109" t="n"/>
      <c r="F724" s="109" t="n"/>
      <c r="G724" s="221" t="n"/>
      <c r="H724" s="108" t="n"/>
      <c r="I724" s="108" t="n"/>
      <c r="J724" s="109" t="n"/>
      <c r="K724" s="109" t="n"/>
      <c r="L724" s="108" t="n"/>
      <c r="M724" s="121">
        <f>IF($C724="","",IF($D724="Gider",$E724,IF($L724&lt;&gt;"",$L724,$H724)))</f>
        <v/>
      </c>
      <c r="N724" s="121">
        <f>IF($C724="","",IF($D724="Gider",$H724,$E724))</f>
        <v/>
      </c>
      <c r="O724" s="226">
        <f>IF($C724="","",DATE(YEAR($C724),MONTH($C724),1))</f>
        <v/>
      </c>
      <c r="P724" s="113">
        <f>IF($C724="","",IF(AND($D724="Gelir",$L724&lt;&gt;"",$T724=""),"TANIMSIZ BORÇLU",IF($T724&lt;&gt;"",IF(OR($E724="",$G724&lt;=0),"EKSİK",IF($I724="Evet","TAHAKKUK NAKİT OLAMAZ",IF($C724&gt;TODAY(),"İLERİ TARİH","TAHAKKUK"))),IF(AND($D724&lt;&gt;"",$E724&lt;&gt;"",$G724&gt;0,$H724&lt;&gt;"",$I724&lt;&gt;""),IF($C724&gt;TODAY(),"İLERİ TARİH",IF(COUNTIF($W$7:$W$1206,$W724)&gt;1,"MÜKERRER?",IF($AD724&gt;0,"KAPALI DÖNEM",IF($I724="Hayır","ÖDENECEK","UYGUN")))),"EKSİK"))))</f>
        <v/>
      </c>
      <c r="Q724" s="6" t="n"/>
      <c r="R724" s="6" t="n"/>
      <c r="S724" s="3">
        <f>IF($L724="","",UPPER(SUBSTITUTE(SUBSTITUTE(SUBSTITUTE(SUBSTITUTE(SUBSTITUTE(SUBSTITUTE(SUBSTITUTE(SUBSTITUTE(SUBSTITUTE(SUBSTITUTE(SUBSTITUTE(SUBSTITUTE(SUBSTITUTE(SUBSTITUTE(SUBSTITUTE(SUBSTITUTE(SUBSTITUTE(SUBSTITUTE(TRIM($L724),"'",""),"İ","I"),"ı","I"),"i","I"),"Ş","S"),"ş","S"),"Ğ","G"),"ğ","G"),"Ü","U"),"ü","U"),"Ö","O"),"ö","O"),"Ç","C"),"ç","C"),".",""),",","")," ",""),"-","")))</f>
        <v/>
      </c>
      <c r="T724" s="3">
        <f>IF(OR($C724="",$D724&lt;&gt;"Gelir",$L724=""),"",IFERROR(INDEX(MUSTERILER!$B$7:$B$106,MATCH($S724,MUSTERILER!$T$7:$T$106,0)),""))</f>
        <v/>
      </c>
      <c r="U724" s="3">
        <f>IF($T724="","",$T724&amp;"|"&amp;COUNTIFS($T$7:$T724,$T724))</f>
        <v/>
      </c>
      <c r="V724" s="3">
        <f>IF($T724="",0,1)</f>
        <v/>
      </c>
      <c r="W724" s="3">
        <f>IF($C724="","",$D724&amp;"|"&amp;$E724&amp;"|"&amp;TEXT($C724,"0")&amp;"|"&amp;TEXT($G724,"0")&amp;"|"&amp;$J724)</f>
        <v/>
      </c>
      <c r="X724" s="3" t="n"/>
      <c r="Y724" s="3" t="n"/>
      <c r="Z724" s="3" t="n"/>
      <c r="AA724" s="3" t="n"/>
      <c r="AB724" s="3" t="n"/>
      <c r="AC724" s="3" t="n"/>
      <c r="AD724" s="3">
        <f>IF($C724="",0,SUMPRODUCT((AY_SONU!$O$7:$O$42="Evet")*(AY_SONU!$B$7:$B$42=DATE(YEAR($C724),MONTH($C724),1))))</f>
        <v/>
      </c>
    </row>
    <row r="725">
      <c r="A725" s="6" t="n"/>
      <c r="B725" s="113">
        <f>IF($C725="","","GG"&amp;TEXT(ROW()-6,"00000"))</f>
        <v/>
      </c>
      <c r="C725" s="220" t="n"/>
      <c r="D725" s="108" t="n"/>
      <c r="E725" s="109" t="n"/>
      <c r="F725" s="109" t="n"/>
      <c r="G725" s="221" t="n"/>
      <c r="H725" s="108" t="n"/>
      <c r="I725" s="108" t="n"/>
      <c r="J725" s="109" t="n"/>
      <c r="K725" s="109" t="n"/>
      <c r="L725" s="108" t="n"/>
      <c r="M725" s="121">
        <f>IF($C725="","",IF($D725="Gider",$E725,IF($L725&lt;&gt;"",$L725,$H725)))</f>
        <v/>
      </c>
      <c r="N725" s="121">
        <f>IF($C725="","",IF($D725="Gider",$H725,$E725))</f>
        <v/>
      </c>
      <c r="O725" s="226">
        <f>IF($C725="","",DATE(YEAR($C725),MONTH($C725),1))</f>
        <v/>
      </c>
      <c r="P725" s="113">
        <f>IF($C725="","",IF(AND($D725="Gelir",$L725&lt;&gt;"",$T725=""),"TANIMSIZ BORÇLU",IF($T725&lt;&gt;"",IF(OR($E725="",$G725&lt;=0),"EKSİK",IF($I725="Evet","TAHAKKUK NAKİT OLAMAZ",IF($C725&gt;TODAY(),"İLERİ TARİH","TAHAKKUK"))),IF(AND($D725&lt;&gt;"",$E725&lt;&gt;"",$G725&gt;0,$H725&lt;&gt;"",$I725&lt;&gt;""),IF($C725&gt;TODAY(),"İLERİ TARİH",IF(COUNTIF($W$7:$W$1206,$W725)&gt;1,"MÜKERRER?",IF($AD725&gt;0,"KAPALI DÖNEM",IF($I725="Hayır","ÖDENECEK","UYGUN")))),"EKSİK"))))</f>
        <v/>
      </c>
      <c r="Q725" s="6" t="n"/>
      <c r="R725" s="6" t="n"/>
      <c r="S725" s="3">
        <f>IF($L725="","",UPPER(SUBSTITUTE(SUBSTITUTE(SUBSTITUTE(SUBSTITUTE(SUBSTITUTE(SUBSTITUTE(SUBSTITUTE(SUBSTITUTE(SUBSTITUTE(SUBSTITUTE(SUBSTITUTE(SUBSTITUTE(SUBSTITUTE(SUBSTITUTE(SUBSTITUTE(SUBSTITUTE(SUBSTITUTE(SUBSTITUTE(TRIM($L725),"'",""),"İ","I"),"ı","I"),"i","I"),"Ş","S"),"ş","S"),"Ğ","G"),"ğ","G"),"Ü","U"),"ü","U"),"Ö","O"),"ö","O"),"Ç","C"),"ç","C"),".",""),",","")," ",""),"-","")))</f>
        <v/>
      </c>
      <c r="T725" s="3">
        <f>IF(OR($C725="",$D725&lt;&gt;"Gelir",$L725=""),"",IFERROR(INDEX(MUSTERILER!$B$7:$B$106,MATCH($S725,MUSTERILER!$T$7:$T$106,0)),""))</f>
        <v/>
      </c>
      <c r="U725" s="3">
        <f>IF($T725="","",$T725&amp;"|"&amp;COUNTIFS($T$7:$T725,$T725))</f>
        <v/>
      </c>
      <c r="V725" s="3">
        <f>IF($T725="",0,1)</f>
        <v/>
      </c>
      <c r="W725" s="3">
        <f>IF($C725="","",$D725&amp;"|"&amp;$E725&amp;"|"&amp;TEXT($C725,"0")&amp;"|"&amp;TEXT($G725,"0")&amp;"|"&amp;$J725)</f>
        <v/>
      </c>
      <c r="X725" s="3" t="n"/>
      <c r="Y725" s="3" t="n"/>
      <c r="Z725" s="3" t="n"/>
      <c r="AA725" s="3" t="n"/>
      <c r="AB725" s="3" t="n"/>
      <c r="AC725" s="3" t="n"/>
      <c r="AD725" s="3">
        <f>IF($C725="",0,SUMPRODUCT((AY_SONU!$O$7:$O$42="Evet")*(AY_SONU!$B$7:$B$42=DATE(YEAR($C725),MONTH($C725),1))))</f>
        <v/>
      </c>
    </row>
    <row r="726">
      <c r="A726" s="6" t="n"/>
      <c r="B726" s="113">
        <f>IF($C726="","","GG"&amp;TEXT(ROW()-6,"00000"))</f>
        <v/>
      </c>
      <c r="C726" s="220" t="n"/>
      <c r="D726" s="108" t="n"/>
      <c r="E726" s="109" t="n"/>
      <c r="F726" s="109" t="n"/>
      <c r="G726" s="221" t="n"/>
      <c r="H726" s="108" t="n"/>
      <c r="I726" s="108" t="n"/>
      <c r="J726" s="109" t="n"/>
      <c r="K726" s="109" t="n"/>
      <c r="L726" s="108" t="n"/>
      <c r="M726" s="121">
        <f>IF($C726="","",IF($D726="Gider",$E726,IF($L726&lt;&gt;"",$L726,$H726)))</f>
        <v/>
      </c>
      <c r="N726" s="121">
        <f>IF($C726="","",IF($D726="Gider",$H726,$E726))</f>
        <v/>
      </c>
      <c r="O726" s="226">
        <f>IF($C726="","",DATE(YEAR($C726),MONTH($C726),1))</f>
        <v/>
      </c>
      <c r="P726" s="113">
        <f>IF($C726="","",IF(AND($D726="Gelir",$L726&lt;&gt;"",$T726=""),"TANIMSIZ BORÇLU",IF($T726&lt;&gt;"",IF(OR($E726="",$G726&lt;=0),"EKSİK",IF($I726="Evet","TAHAKKUK NAKİT OLAMAZ",IF($C726&gt;TODAY(),"İLERİ TARİH","TAHAKKUK"))),IF(AND($D726&lt;&gt;"",$E726&lt;&gt;"",$G726&gt;0,$H726&lt;&gt;"",$I726&lt;&gt;""),IF($C726&gt;TODAY(),"İLERİ TARİH",IF(COUNTIF($W$7:$W$1206,$W726)&gt;1,"MÜKERRER?",IF($AD726&gt;0,"KAPALI DÖNEM",IF($I726="Hayır","ÖDENECEK","UYGUN")))),"EKSİK"))))</f>
        <v/>
      </c>
      <c r="Q726" s="6" t="n"/>
      <c r="R726" s="6" t="n"/>
      <c r="S726" s="3">
        <f>IF($L726="","",UPPER(SUBSTITUTE(SUBSTITUTE(SUBSTITUTE(SUBSTITUTE(SUBSTITUTE(SUBSTITUTE(SUBSTITUTE(SUBSTITUTE(SUBSTITUTE(SUBSTITUTE(SUBSTITUTE(SUBSTITUTE(SUBSTITUTE(SUBSTITUTE(SUBSTITUTE(SUBSTITUTE(SUBSTITUTE(SUBSTITUTE(TRIM($L726),"'",""),"İ","I"),"ı","I"),"i","I"),"Ş","S"),"ş","S"),"Ğ","G"),"ğ","G"),"Ü","U"),"ü","U"),"Ö","O"),"ö","O"),"Ç","C"),"ç","C"),".",""),",","")," ",""),"-","")))</f>
        <v/>
      </c>
      <c r="T726" s="3">
        <f>IF(OR($C726="",$D726&lt;&gt;"Gelir",$L726=""),"",IFERROR(INDEX(MUSTERILER!$B$7:$B$106,MATCH($S726,MUSTERILER!$T$7:$T$106,0)),""))</f>
        <v/>
      </c>
      <c r="U726" s="3">
        <f>IF($T726="","",$T726&amp;"|"&amp;COUNTIFS($T$7:$T726,$T726))</f>
        <v/>
      </c>
      <c r="V726" s="3">
        <f>IF($T726="",0,1)</f>
        <v/>
      </c>
      <c r="W726" s="3">
        <f>IF($C726="","",$D726&amp;"|"&amp;$E726&amp;"|"&amp;TEXT($C726,"0")&amp;"|"&amp;TEXT($G726,"0")&amp;"|"&amp;$J726)</f>
        <v/>
      </c>
      <c r="X726" s="3" t="n"/>
      <c r="Y726" s="3" t="n"/>
      <c r="Z726" s="3" t="n"/>
      <c r="AA726" s="3" t="n"/>
      <c r="AB726" s="3" t="n"/>
      <c r="AC726" s="3" t="n"/>
      <c r="AD726" s="3">
        <f>IF($C726="",0,SUMPRODUCT((AY_SONU!$O$7:$O$42="Evet")*(AY_SONU!$B$7:$B$42=DATE(YEAR($C726),MONTH($C726),1))))</f>
        <v/>
      </c>
    </row>
    <row r="727">
      <c r="A727" s="6" t="n"/>
      <c r="B727" s="113">
        <f>IF($C727="","","GG"&amp;TEXT(ROW()-6,"00000"))</f>
        <v/>
      </c>
      <c r="C727" s="220" t="n"/>
      <c r="D727" s="108" t="n"/>
      <c r="E727" s="109" t="n"/>
      <c r="F727" s="109" t="n"/>
      <c r="G727" s="221" t="n"/>
      <c r="H727" s="108" t="n"/>
      <c r="I727" s="108" t="n"/>
      <c r="J727" s="109" t="n"/>
      <c r="K727" s="109" t="n"/>
      <c r="L727" s="108" t="n"/>
      <c r="M727" s="121">
        <f>IF($C727="","",IF($D727="Gider",$E727,IF($L727&lt;&gt;"",$L727,$H727)))</f>
        <v/>
      </c>
      <c r="N727" s="121">
        <f>IF($C727="","",IF($D727="Gider",$H727,$E727))</f>
        <v/>
      </c>
      <c r="O727" s="226">
        <f>IF($C727="","",DATE(YEAR($C727),MONTH($C727),1))</f>
        <v/>
      </c>
      <c r="P727" s="113">
        <f>IF($C727="","",IF(AND($D727="Gelir",$L727&lt;&gt;"",$T727=""),"TANIMSIZ BORÇLU",IF($T727&lt;&gt;"",IF(OR($E727="",$G727&lt;=0),"EKSİK",IF($I727="Evet","TAHAKKUK NAKİT OLAMAZ",IF($C727&gt;TODAY(),"İLERİ TARİH","TAHAKKUK"))),IF(AND($D727&lt;&gt;"",$E727&lt;&gt;"",$G727&gt;0,$H727&lt;&gt;"",$I727&lt;&gt;""),IF($C727&gt;TODAY(),"İLERİ TARİH",IF(COUNTIF($W$7:$W$1206,$W727)&gt;1,"MÜKERRER?",IF($AD727&gt;0,"KAPALI DÖNEM",IF($I727="Hayır","ÖDENECEK","UYGUN")))),"EKSİK"))))</f>
        <v/>
      </c>
      <c r="Q727" s="6" t="n"/>
      <c r="R727" s="6" t="n"/>
      <c r="S727" s="3">
        <f>IF($L727="","",UPPER(SUBSTITUTE(SUBSTITUTE(SUBSTITUTE(SUBSTITUTE(SUBSTITUTE(SUBSTITUTE(SUBSTITUTE(SUBSTITUTE(SUBSTITUTE(SUBSTITUTE(SUBSTITUTE(SUBSTITUTE(SUBSTITUTE(SUBSTITUTE(SUBSTITUTE(SUBSTITUTE(SUBSTITUTE(SUBSTITUTE(TRIM($L727),"'",""),"İ","I"),"ı","I"),"i","I"),"Ş","S"),"ş","S"),"Ğ","G"),"ğ","G"),"Ü","U"),"ü","U"),"Ö","O"),"ö","O"),"Ç","C"),"ç","C"),".",""),",","")," ",""),"-","")))</f>
        <v/>
      </c>
      <c r="T727" s="3">
        <f>IF(OR($C727="",$D727&lt;&gt;"Gelir",$L727=""),"",IFERROR(INDEX(MUSTERILER!$B$7:$B$106,MATCH($S727,MUSTERILER!$T$7:$T$106,0)),""))</f>
        <v/>
      </c>
      <c r="U727" s="3">
        <f>IF($T727="","",$T727&amp;"|"&amp;COUNTIFS($T$7:$T727,$T727))</f>
        <v/>
      </c>
      <c r="V727" s="3">
        <f>IF($T727="",0,1)</f>
        <v/>
      </c>
      <c r="W727" s="3">
        <f>IF($C727="","",$D727&amp;"|"&amp;$E727&amp;"|"&amp;TEXT($C727,"0")&amp;"|"&amp;TEXT($G727,"0")&amp;"|"&amp;$J727)</f>
        <v/>
      </c>
      <c r="X727" s="3" t="n"/>
      <c r="Y727" s="3" t="n"/>
      <c r="Z727" s="3" t="n"/>
      <c r="AA727" s="3" t="n"/>
      <c r="AB727" s="3" t="n"/>
      <c r="AC727" s="3" t="n"/>
      <c r="AD727" s="3">
        <f>IF($C727="",0,SUMPRODUCT((AY_SONU!$O$7:$O$42="Evet")*(AY_SONU!$B$7:$B$42=DATE(YEAR($C727),MONTH($C727),1))))</f>
        <v/>
      </c>
    </row>
    <row r="728">
      <c r="A728" s="6" t="n"/>
      <c r="B728" s="113">
        <f>IF($C728="","","GG"&amp;TEXT(ROW()-6,"00000"))</f>
        <v/>
      </c>
      <c r="C728" s="220" t="n"/>
      <c r="D728" s="108" t="n"/>
      <c r="E728" s="109" t="n"/>
      <c r="F728" s="109" t="n"/>
      <c r="G728" s="221" t="n"/>
      <c r="H728" s="108" t="n"/>
      <c r="I728" s="108" t="n"/>
      <c r="J728" s="109" t="n"/>
      <c r="K728" s="109" t="n"/>
      <c r="L728" s="108" t="n"/>
      <c r="M728" s="121">
        <f>IF($C728="","",IF($D728="Gider",$E728,IF($L728&lt;&gt;"",$L728,$H728)))</f>
        <v/>
      </c>
      <c r="N728" s="121">
        <f>IF($C728="","",IF($D728="Gider",$H728,$E728))</f>
        <v/>
      </c>
      <c r="O728" s="226">
        <f>IF($C728="","",DATE(YEAR($C728),MONTH($C728),1))</f>
        <v/>
      </c>
      <c r="P728" s="113">
        <f>IF($C728="","",IF(AND($D728="Gelir",$L728&lt;&gt;"",$T728=""),"TANIMSIZ BORÇLU",IF($T728&lt;&gt;"",IF(OR($E728="",$G728&lt;=0),"EKSİK",IF($I728="Evet","TAHAKKUK NAKİT OLAMAZ",IF($C728&gt;TODAY(),"İLERİ TARİH","TAHAKKUK"))),IF(AND($D728&lt;&gt;"",$E728&lt;&gt;"",$G728&gt;0,$H728&lt;&gt;"",$I728&lt;&gt;""),IF($C728&gt;TODAY(),"İLERİ TARİH",IF(COUNTIF($W$7:$W$1206,$W728)&gt;1,"MÜKERRER?",IF($AD728&gt;0,"KAPALI DÖNEM",IF($I728="Hayır","ÖDENECEK","UYGUN")))),"EKSİK"))))</f>
        <v/>
      </c>
      <c r="Q728" s="6" t="n"/>
      <c r="R728" s="6" t="n"/>
      <c r="S728" s="3">
        <f>IF($L728="","",UPPER(SUBSTITUTE(SUBSTITUTE(SUBSTITUTE(SUBSTITUTE(SUBSTITUTE(SUBSTITUTE(SUBSTITUTE(SUBSTITUTE(SUBSTITUTE(SUBSTITUTE(SUBSTITUTE(SUBSTITUTE(SUBSTITUTE(SUBSTITUTE(SUBSTITUTE(SUBSTITUTE(SUBSTITUTE(SUBSTITUTE(TRIM($L728),"'",""),"İ","I"),"ı","I"),"i","I"),"Ş","S"),"ş","S"),"Ğ","G"),"ğ","G"),"Ü","U"),"ü","U"),"Ö","O"),"ö","O"),"Ç","C"),"ç","C"),".",""),",","")," ",""),"-","")))</f>
        <v/>
      </c>
      <c r="T728" s="3">
        <f>IF(OR($C728="",$D728&lt;&gt;"Gelir",$L728=""),"",IFERROR(INDEX(MUSTERILER!$B$7:$B$106,MATCH($S728,MUSTERILER!$T$7:$T$106,0)),""))</f>
        <v/>
      </c>
      <c r="U728" s="3">
        <f>IF($T728="","",$T728&amp;"|"&amp;COUNTIFS($T$7:$T728,$T728))</f>
        <v/>
      </c>
      <c r="V728" s="3">
        <f>IF($T728="",0,1)</f>
        <v/>
      </c>
      <c r="W728" s="3">
        <f>IF($C728="","",$D728&amp;"|"&amp;$E728&amp;"|"&amp;TEXT($C728,"0")&amp;"|"&amp;TEXT($G728,"0")&amp;"|"&amp;$J728)</f>
        <v/>
      </c>
      <c r="X728" s="3" t="n"/>
      <c r="Y728" s="3" t="n"/>
      <c r="Z728" s="3" t="n"/>
      <c r="AA728" s="3" t="n"/>
      <c r="AB728" s="3" t="n"/>
      <c r="AC728" s="3" t="n"/>
      <c r="AD728" s="3">
        <f>IF($C728="",0,SUMPRODUCT((AY_SONU!$O$7:$O$42="Evet")*(AY_SONU!$B$7:$B$42=DATE(YEAR($C728),MONTH($C728),1))))</f>
        <v/>
      </c>
    </row>
    <row r="729">
      <c r="A729" s="6" t="n"/>
      <c r="B729" s="113">
        <f>IF($C729="","","GG"&amp;TEXT(ROW()-6,"00000"))</f>
        <v/>
      </c>
      <c r="C729" s="220" t="n"/>
      <c r="D729" s="108" t="n"/>
      <c r="E729" s="109" t="n"/>
      <c r="F729" s="109" t="n"/>
      <c r="G729" s="221" t="n"/>
      <c r="H729" s="108" t="n"/>
      <c r="I729" s="108" t="n"/>
      <c r="J729" s="109" t="n"/>
      <c r="K729" s="109" t="n"/>
      <c r="L729" s="108" t="n"/>
      <c r="M729" s="121">
        <f>IF($C729="","",IF($D729="Gider",$E729,IF($L729&lt;&gt;"",$L729,$H729)))</f>
        <v/>
      </c>
      <c r="N729" s="121">
        <f>IF($C729="","",IF($D729="Gider",$H729,$E729))</f>
        <v/>
      </c>
      <c r="O729" s="226">
        <f>IF($C729="","",DATE(YEAR($C729),MONTH($C729),1))</f>
        <v/>
      </c>
      <c r="P729" s="113">
        <f>IF($C729="","",IF(AND($D729="Gelir",$L729&lt;&gt;"",$T729=""),"TANIMSIZ BORÇLU",IF($T729&lt;&gt;"",IF(OR($E729="",$G729&lt;=0),"EKSİK",IF($I729="Evet","TAHAKKUK NAKİT OLAMAZ",IF($C729&gt;TODAY(),"İLERİ TARİH","TAHAKKUK"))),IF(AND($D729&lt;&gt;"",$E729&lt;&gt;"",$G729&gt;0,$H729&lt;&gt;"",$I729&lt;&gt;""),IF($C729&gt;TODAY(),"İLERİ TARİH",IF(COUNTIF($W$7:$W$1206,$W729)&gt;1,"MÜKERRER?",IF($AD729&gt;0,"KAPALI DÖNEM",IF($I729="Hayır","ÖDENECEK","UYGUN")))),"EKSİK"))))</f>
        <v/>
      </c>
      <c r="Q729" s="6" t="n"/>
      <c r="R729" s="6" t="n"/>
      <c r="S729" s="3">
        <f>IF($L729="","",UPPER(SUBSTITUTE(SUBSTITUTE(SUBSTITUTE(SUBSTITUTE(SUBSTITUTE(SUBSTITUTE(SUBSTITUTE(SUBSTITUTE(SUBSTITUTE(SUBSTITUTE(SUBSTITUTE(SUBSTITUTE(SUBSTITUTE(SUBSTITUTE(SUBSTITUTE(SUBSTITUTE(SUBSTITUTE(SUBSTITUTE(TRIM($L729),"'",""),"İ","I"),"ı","I"),"i","I"),"Ş","S"),"ş","S"),"Ğ","G"),"ğ","G"),"Ü","U"),"ü","U"),"Ö","O"),"ö","O"),"Ç","C"),"ç","C"),".",""),",","")," ",""),"-","")))</f>
        <v/>
      </c>
      <c r="T729" s="3">
        <f>IF(OR($C729="",$D729&lt;&gt;"Gelir",$L729=""),"",IFERROR(INDEX(MUSTERILER!$B$7:$B$106,MATCH($S729,MUSTERILER!$T$7:$T$106,0)),""))</f>
        <v/>
      </c>
      <c r="U729" s="3">
        <f>IF($T729="","",$T729&amp;"|"&amp;COUNTIFS($T$7:$T729,$T729))</f>
        <v/>
      </c>
      <c r="V729" s="3">
        <f>IF($T729="",0,1)</f>
        <v/>
      </c>
      <c r="W729" s="3">
        <f>IF($C729="","",$D729&amp;"|"&amp;$E729&amp;"|"&amp;TEXT($C729,"0")&amp;"|"&amp;TEXT($G729,"0")&amp;"|"&amp;$J729)</f>
        <v/>
      </c>
      <c r="X729" s="3" t="n"/>
      <c r="Y729" s="3" t="n"/>
      <c r="Z729" s="3" t="n"/>
      <c r="AA729" s="3" t="n"/>
      <c r="AB729" s="3" t="n"/>
      <c r="AC729" s="3" t="n"/>
      <c r="AD729" s="3">
        <f>IF($C729="",0,SUMPRODUCT((AY_SONU!$O$7:$O$42="Evet")*(AY_SONU!$B$7:$B$42=DATE(YEAR($C729),MONTH($C729),1))))</f>
        <v/>
      </c>
    </row>
    <row r="730">
      <c r="A730" s="6" t="n"/>
      <c r="B730" s="113">
        <f>IF($C730="","","GG"&amp;TEXT(ROW()-6,"00000"))</f>
        <v/>
      </c>
      <c r="C730" s="220" t="n"/>
      <c r="D730" s="108" t="n"/>
      <c r="E730" s="109" t="n"/>
      <c r="F730" s="109" t="n"/>
      <c r="G730" s="221" t="n"/>
      <c r="H730" s="108" t="n"/>
      <c r="I730" s="108" t="n"/>
      <c r="J730" s="109" t="n"/>
      <c r="K730" s="109" t="n"/>
      <c r="L730" s="108" t="n"/>
      <c r="M730" s="121">
        <f>IF($C730="","",IF($D730="Gider",$E730,IF($L730&lt;&gt;"",$L730,$H730)))</f>
        <v/>
      </c>
      <c r="N730" s="121">
        <f>IF($C730="","",IF($D730="Gider",$H730,$E730))</f>
        <v/>
      </c>
      <c r="O730" s="226">
        <f>IF($C730="","",DATE(YEAR($C730),MONTH($C730),1))</f>
        <v/>
      </c>
      <c r="P730" s="113">
        <f>IF($C730="","",IF(AND($D730="Gelir",$L730&lt;&gt;"",$T730=""),"TANIMSIZ BORÇLU",IF($T730&lt;&gt;"",IF(OR($E730="",$G730&lt;=0),"EKSİK",IF($I730="Evet","TAHAKKUK NAKİT OLAMAZ",IF($C730&gt;TODAY(),"İLERİ TARİH","TAHAKKUK"))),IF(AND($D730&lt;&gt;"",$E730&lt;&gt;"",$G730&gt;0,$H730&lt;&gt;"",$I730&lt;&gt;""),IF($C730&gt;TODAY(),"İLERİ TARİH",IF(COUNTIF($W$7:$W$1206,$W730)&gt;1,"MÜKERRER?",IF($AD730&gt;0,"KAPALI DÖNEM",IF($I730="Hayır","ÖDENECEK","UYGUN")))),"EKSİK"))))</f>
        <v/>
      </c>
      <c r="Q730" s="6" t="n"/>
      <c r="R730" s="6" t="n"/>
      <c r="S730" s="3">
        <f>IF($L730="","",UPPER(SUBSTITUTE(SUBSTITUTE(SUBSTITUTE(SUBSTITUTE(SUBSTITUTE(SUBSTITUTE(SUBSTITUTE(SUBSTITUTE(SUBSTITUTE(SUBSTITUTE(SUBSTITUTE(SUBSTITUTE(SUBSTITUTE(SUBSTITUTE(SUBSTITUTE(SUBSTITUTE(SUBSTITUTE(SUBSTITUTE(TRIM($L730),"'",""),"İ","I"),"ı","I"),"i","I"),"Ş","S"),"ş","S"),"Ğ","G"),"ğ","G"),"Ü","U"),"ü","U"),"Ö","O"),"ö","O"),"Ç","C"),"ç","C"),".",""),",","")," ",""),"-","")))</f>
        <v/>
      </c>
      <c r="T730" s="3">
        <f>IF(OR($C730="",$D730&lt;&gt;"Gelir",$L730=""),"",IFERROR(INDEX(MUSTERILER!$B$7:$B$106,MATCH($S730,MUSTERILER!$T$7:$T$106,0)),""))</f>
        <v/>
      </c>
      <c r="U730" s="3">
        <f>IF($T730="","",$T730&amp;"|"&amp;COUNTIFS($T$7:$T730,$T730))</f>
        <v/>
      </c>
      <c r="V730" s="3">
        <f>IF($T730="",0,1)</f>
        <v/>
      </c>
      <c r="W730" s="3">
        <f>IF($C730="","",$D730&amp;"|"&amp;$E730&amp;"|"&amp;TEXT($C730,"0")&amp;"|"&amp;TEXT($G730,"0")&amp;"|"&amp;$J730)</f>
        <v/>
      </c>
      <c r="X730" s="3" t="n"/>
      <c r="Y730" s="3" t="n"/>
      <c r="Z730" s="3" t="n"/>
      <c r="AA730" s="3" t="n"/>
      <c r="AB730" s="3" t="n"/>
      <c r="AC730" s="3" t="n"/>
      <c r="AD730" s="3">
        <f>IF($C730="",0,SUMPRODUCT((AY_SONU!$O$7:$O$42="Evet")*(AY_SONU!$B$7:$B$42=DATE(YEAR($C730),MONTH($C730),1))))</f>
        <v/>
      </c>
    </row>
    <row r="731">
      <c r="A731" s="6" t="n"/>
      <c r="B731" s="113">
        <f>IF($C731="","","GG"&amp;TEXT(ROW()-6,"00000"))</f>
        <v/>
      </c>
      <c r="C731" s="220" t="n"/>
      <c r="D731" s="108" t="n"/>
      <c r="E731" s="109" t="n"/>
      <c r="F731" s="109" t="n"/>
      <c r="G731" s="221" t="n"/>
      <c r="H731" s="108" t="n"/>
      <c r="I731" s="108" t="n"/>
      <c r="J731" s="109" t="n"/>
      <c r="K731" s="109" t="n"/>
      <c r="L731" s="108" t="n"/>
      <c r="M731" s="121">
        <f>IF($C731="","",IF($D731="Gider",$E731,IF($L731&lt;&gt;"",$L731,$H731)))</f>
        <v/>
      </c>
      <c r="N731" s="121">
        <f>IF($C731="","",IF($D731="Gider",$H731,$E731))</f>
        <v/>
      </c>
      <c r="O731" s="226">
        <f>IF($C731="","",DATE(YEAR($C731),MONTH($C731),1))</f>
        <v/>
      </c>
      <c r="P731" s="113">
        <f>IF($C731="","",IF(AND($D731="Gelir",$L731&lt;&gt;"",$T731=""),"TANIMSIZ BORÇLU",IF($T731&lt;&gt;"",IF(OR($E731="",$G731&lt;=0),"EKSİK",IF($I731="Evet","TAHAKKUK NAKİT OLAMAZ",IF($C731&gt;TODAY(),"İLERİ TARİH","TAHAKKUK"))),IF(AND($D731&lt;&gt;"",$E731&lt;&gt;"",$G731&gt;0,$H731&lt;&gt;"",$I731&lt;&gt;""),IF($C731&gt;TODAY(),"İLERİ TARİH",IF(COUNTIF($W$7:$W$1206,$W731)&gt;1,"MÜKERRER?",IF($AD731&gt;0,"KAPALI DÖNEM",IF($I731="Hayır","ÖDENECEK","UYGUN")))),"EKSİK"))))</f>
        <v/>
      </c>
      <c r="Q731" s="6" t="n"/>
      <c r="R731" s="6" t="n"/>
      <c r="S731" s="3">
        <f>IF($L731="","",UPPER(SUBSTITUTE(SUBSTITUTE(SUBSTITUTE(SUBSTITUTE(SUBSTITUTE(SUBSTITUTE(SUBSTITUTE(SUBSTITUTE(SUBSTITUTE(SUBSTITUTE(SUBSTITUTE(SUBSTITUTE(SUBSTITUTE(SUBSTITUTE(SUBSTITUTE(SUBSTITUTE(SUBSTITUTE(SUBSTITUTE(TRIM($L731),"'",""),"İ","I"),"ı","I"),"i","I"),"Ş","S"),"ş","S"),"Ğ","G"),"ğ","G"),"Ü","U"),"ü","U"),"Ö","O"),"ö","O"),"Ç","C"),"ç","C"),".",""),",","")," ",""),"-","")))</f>
        <v/>
      </c>
      <c r="T731" s="3">
        <f>IF(OR($C731="",$D731&lt;&gt;"Gelir",$L731=""),"",IFERROR(INDEX(MUSTERILER!$B$7:$B$106,MATCH($S731,MUSTERILER!$T$7:$T$106,0)),""))</f>
        <v/>
      </c>
      <c r="U731" s="3">
        <f>IF($T731="","",$T731&amp;"|"&amp;COUNTIFS($T$7:$T731,$T731))</f>
        <v/>
      </c>
      <c r="V731" s="3">
        <f>IF($T731="",0,1)</f>
        <v/>
      </c>
      <c r="W731" s="3">
        <f>IF($C731="","",$D731&amp;"|"&amp;$E731&amp;"|"&amp;TEXT($C731,"0")&amp;"|"&amp;TEXT($G731,"0")&amp;"|"&amp;$J731)</f>
        <v/>
      </c>
      <c r="X731" s="3" t="n"/>
      <c r="Y731" s="3" t="n"/>
      <c r="Z731" s="3" t="n"/>
      <c r="AA731" s="3" t="n"/>
      <c r="AB731" s="3" t="n"/>
      <c r="AC731" s="3" t="n"/>
      <c r="AD731" s="3">
        <f>IF($C731="",0,SUMPRODUCT((AY_SONU!$O$7:$O$42="Evet")*(AY_SONU!$B$7:$B$42=DATE(YEAR($C731),MONTH($C731),1))))</f>
        <v/>
      </c>
    </row>
    <row r="732">
      <c r="A732" s="6" t="n"/>
      <c r="B732" s="113">
        <f>IF($C732="","","GG"&amp;TEXT(ROW()-6,"00000"))</f>
        <v/>
      </c>
      <c r="C732" s="220" t="n"/>
      <c r="D732" s="108" t="n"/>
      <c r="E732" s="109" t="n"/>
      <c r="F732" s="109" t="n"/>
      <c r="G732" s="221" t="n"/>
      <c r="H732" s="108" t="n"/>
      <c r="I732" s="108" t="n"/>
      <c r="J732" s="109" t="n"/>
      <c r="K732" s="109" t="n"/>
      <c r="L732" s="108" t="n"/>
      <c r="M732" s="121">
        <f>IF($C732="","",IF($D732="Gider",$E732,IF($L732&lt;&gt;"",$L732,$H732)))</f>
        <v/>
      </c>
      <c r="N732" s="121">
        <f>IF($C732="","",IF($D732="Gider",$H732,$E732))</f>
        <v/>
      </c>
      <c r="O732" s="226">
        <f>IF($C732="","",DATE(YEAR($C732),MONTH($C732),1))</f>
        <v/>
      </c>
      <c r="P732" s="113">
        <f>IF($C732="","",IF(AND($D732="Gelir",$L732&lt;&gt;"",$T732=""),"TANIMSIZ BORÇLU",IF($T732&lt;&gt;"",IF(OR($E732="",$G732&lt;=0),"EKSİK",IF($I732="Evet","TAHAKKUK NAKİT OLAMAZ",IF($C732&gt;TODAY(),"İLERİ TARİH","TAHAKKUK"))),IF(AND($D732&lt;&gt;"",$E732&lt;&gt;"",$G732&gt;0,$H732&lt;&gt;"",$I732&lt;&gt;""),IF($C732&gt;TODAY(),"İLERİ TARİH",IF(COUNTIF($W$7:$W$1206,$W732)&gt;1,"MÜKERRER?",IF($AD732&gt;0,"KAPALI DÖNEM",IF($I732="Hayır","ÖDENECEK","UYGUN")))),"EKSİK"))))</f>
        <v/>
      </c>
      <c r="Q732" s="6" t="n"/>
      <c r="R732" s="6" t="n"/>
      <c r="S732" s="3">
        <f>IF($L732="","",UPPER(SUBSTITUTE(SUBSTITUTE(SUBSTITUTE(SUBSTITUTE(SUBSTITUTE(SUBSTITUTE(SUBSTITUTE(SUBSTITUTE(SUBSTITUTE(SUBSTITUTE(SUBSTITUTE(SUBSTITUTE(SUBSTITUTE(SUBSTITUTE(SUBSTITUTE(SUBSTITUTE(SUBSTITUTE(SUBSTITUTE(TRIM($L732),"'",""),"İ","I"),"ı","I"),"i","I"),"Ş","S"),"ş","S"),"Ğ","G"),"ğ","G"),"Ü","U"),"ü","U"),"Ö","O"),"ö","O"),"Ç","C"),"ç","C"),".",""),",","")," ",""),"-","")))</f>
        <v/>
      </c>
      <c r="T732" s="3">
        <f>IF(OR($C732="",$D732&lt;&gt;"Gelir",$L732=""),"",IFERROR(INDEX(MUSTERILER!$B$7:$B$106,MATCH($S732,MUSTERILER!$T$7:$T$106,0)),""))</f>
        <v/>
      </c>
      <c r="U732" s="3">
        <f>IF($T732="","",$T732&amp;"|"&amp;COUNTIFS($T$7:$T732,$T732))</f>
        <v/>
      </c>
      <c r="V732" s="3">
        <f>IF($T732="",0,1)</f>
        <v/>
      </c>
      <c r="W732" s="3">
        <f>IF($C732="","",$D732&amp;"|"&amp;$E732&amp;"|"&amp;TEXT($C732,"0")&amp;"|"&amp;TEXT($G732,"0")&amp;"|"&amp;$J732)</f>
        <v/>
      </c>
      <c r="X732" s="3" t="n"/>
      <c r="Y732" s="3" t="n"/>
      <c r="Z732" s="3" t="n"/>
      <c r="AA732" s="3" t="n"/>
      <c r="AB732" s="3" t="n"/>
      <c r="AC732" s="3" t="n"/>
      <c r="AD732" s="3">
        <f>IF($C732="",0,SUMPRODUCT((AY_SONU!$O$7:$O$42="Evet")*(AY_SONU!$B$7:$B$42=DATE(YEAR($C732),MONTH($C732),1))))</f>
        <v/>
      </c>
    </row>
    <row r="733">
      <c r="A733" s="6" t="n"/>
      <c r="B733" s="113">
        <f>IF($C733="","","GG"&amp;TEXT(ROW()-6,"00000"))</f>
        <v/>
      </c>
      <c r="C733" s="220" t="n"/>
      <c r="D733" s="108" t="n"/>
      <c r="E733" s="109" t="n"/>
      <c r="F733" s="109" t="n"/>
      <c r="G733" s="221" t="n"/>
      <c r="H733" s="108" t="n"/>
      <c r="I733" s="108" t="n"/>
      <c r="J733" s="109" t="n"/>
      <c r="K733" s="109" t="n"/>
      <c r="L733" s="108" t="n"/>
      <c r="M733" s="121">
        <f>IF($C733="","",IF($D733="Gider",$E733,IF($L733&lt;&gt;"",$L733,$H733)))</f>
        <v/>
      </c>
      <c r="N733" s="121">
        <f>IF($C733="","",IF($D733="Gider",$H733,$E733))</f>
        <v/>
      </c>
      <c r="O733" s="226">
        <f>IF($C733="","",DATE(YEAR($C733),MONTH($C733),1))</f>
        <v/>
      </c>
      <c r="P733" s="113">
        <f>IF($C733="","",IF(AND($D733="Gelir",$L733&lt;&gt;"",$T733=""),"TANIMSIZ BORÇLU",IF($T733&lt;&gt;"",IF(OR($E733="",$G733&lt;=0),"EKSİK",IF($I733="Evet","TAHAKKUK NAKİT OLAMAZ",IF($C733&gt;TODAY(),"İLERİ TARİH","TAHAKKUK"))),IF(AND($D733&lt;&gt;"",$E733&lt;&gt;"",$G733&gt;0,$H733&lt;&gt;"",$I733&lt;&gt;""),IF($C733&gt;TODAY(),"İLERİ TARİH",IF(COUNTIF($W$7:$W$1206,$W733)&gt;1,"MÜKERRER?",IF($AD733&gt;0,"KAPALI DÖNEM",IF($I733="Hayır","ÖDENECEK","UYGUN")))),"EKSİK"))))</f>
        <v/>
      </c>
      <c r="Q733" s="6" t="n"/>
      <c r="R733" s="6" t="n"/>
      <c r="S733" s="3">
        <f>IF($L733="","",UPPER(SUBSTITUTE(SUBSTITUTE(SUBSTITUTE(SUBSTITUTE(SUBSTITUTE(SUBSTITUTE(SUBSTITUTE(SUBSTITUTE(SUBSTITUTE(SUBSTITUTE(SUBSTITUTE(SUBSTITUTE(SUBSTITUTE(SUBSTITUTE(SUBSTITUTE(SUBSTITUTE(SUBSTITUTE(SUBSTITUTE(TRIM($L733),"'",""),"İ","I"),"ı","I"),"i","I"),"Ş","S"),"ş","S"),"Ğ","G"),"ğ","G"),"Ü","U"),"ü","U"),"Ö","O"),"ö","O"),"Ç","C"),"ç","C"),".",""),",","")," ",""),"-","")))</f>
        <v/>
      </c>
      <c r="T733" s="3">
        <f>IF(OR($C733="",$D733&lt;&gt;"Gelir",$L733=""),"",IFERROR(INDEX(MUSTERILER!$B$7:$B$106,MATCH($S733,MUSTERILER!$T$7:$T$106,0)),""))</f>
        <v/>
      </c>
      <c r="U733" s="3">
        <f>IF($T733="","",$T733&amp;"|"&amp;COUNTIFS($T$7:$T733,$T733))</f>
        <v/>
      </c>
      <c r="V733" s="3">
        <f>IF($T733="",0,1)</f>
        <v/>
      </c>
      <c r="W733" s="3">
        <f>IF($C733="","",$D733&amp;"|"&amp;$E733&amp;"|"&amp;TEXT($C733,"0")&amp;"|"&amp;TEXT($G733,"0")&amp;"|"&amp;$J733)</f>
        <v/>
      </c>
      <c r="X733" s="3" t="n"/>
      <c r="Y733" s="3" t="n"/>
      <c r="Z733" s="3" t="n"/>
      <c r="AA733" s="3" t="n"/>
      <c r="AB733" s="3" t="n"/>
      <c r="AC733" s="3" t="n"/>
      <c r="AD733" s="3">
        <f>IF($C733="",0,SUMPRODUCT((AY_SONU!$O$7:$O$42="Evet")*(AY_SONU!$B$7:$B$42=DATE(YEAR($C733),MONTH($C733),1))))</f>
        <v/>
      </c>
    </row>
    <row r="734">
      <c r="A734" s="6" t="n"/>
      <c r="B734" s="113">
        <f>IF($C734="","","GG"&amp;TEXT(ROW()-6,"00000"))</f>
        <v/>
      </c>
      <c r="C734" s="220" t="n"/>
      <c r="D734" s="108" t="n"/>
      <c r="E734" s="109" t="n"/>
      <c r="F734" s="109" t="n"/>
      <c r="G734" s="221" t="n"/>
      <c r="H734" s="108" t="n"/>
      <c r="I734" s="108" t="n"/>
      <c r="J734" s="109" t="n"/>
      <c r="K734" s="109" t="n"/>
      <c r="L734" s="108" t="n"/>
      <c r="M734" s="121">
        <f>IF($C734="","",IF($D734="Gider",$E734,IF($L734&lt;&gt;"",$L734,$H734)))</f>
        <v/>
      </c>
      <c r="N734" s="121">
        <f>IF($C734="","",IF($D734="Gider",$H734,$E734))</f>
        <v/>
      </c>
      <c r="O734" s="226">
        <f>IF($C734="","",DATE(YEAR($C734),MONTH($C734),1))</f>
        <v/>
      </c>
      <c r="P734" s="113">
        <f>IF($C734="","",IF(AND($D734="Gelir",$L734&lt;&gt;"",$T734=""),"TANIMSIZ BORÇLU",IF($T734&lt;&gt;"",IF(OR($E734="",$G734&lt;=0),"EKSİK",IF($I734="Evet","TAHAKKUK NAKİT OLAMAZ",IF($C734&gt;TODAY(),"İLERİ TARİH","TAHAKKUK"))),IF(AND($D734&lt;&gt;"",$E734&lt;&gt;"",$G734&gt;0,$H734&lt;&gt;"",$I734&lt;&gt;""),IF($C734&gt;TODAY(),"İLERİ TARİH",IF(COUNTIF($W$7:$W$1206,$W734)&gt;1,"MÜKERRER?",IF($AD734&gt;0,"KAPALI DÖNEM",IF($I734="Hayır","ÖDENECEK","UYGUN")))),"EKSİK"))))</f>
        <v/>
      </c>
      <c r="Q734" s="6" t="n"/>
      <c r="R734" s="6" t="n"/>
      <c r="S734" s="3">
        <f>IF($L734="","",UPPER(SUBSTITUTE(SUBSTITUTE(SUBSTITUTE(SUBSTITUTE(SUBSTITUTE(SUBSTITUTE(SUBSTITUTE(SUBSTITUTE(SUBSTITUTE(SUBSTITUTE(SUBSTITUTE(SUBSTITUTE(SUBSTITUTE(SUBSTITUTE(SUBSTITUTE(SUBSTITUTE(SUBSTITUTE(SUBSTITUTE(TRIM($L734),"'",""),"İ","I"),"ı","I"),"i","I"),"Ş","S"),"ş","S"),"Ğ","G"),"ğ","G"),"Ü","U"),"ü","U"),"Ö","O"),"ö","O"),"Ç","C"),"ç","C"),".",""),",","")," ",""),"-","")))</f>
        <v/>
      </c>
      <c r="T734" s="3">
        <f>IF(OR($C734="",$D734&lt;&gt;"Gelir",$L734=""),"",IFERROR(INDEX(MUSTERILER!$B$7:$B$106,MATCH($S734,MUSTERILER!$T$7:$T$106,0)),""))</f>
        <v/>
      </c>
      <c r="U734" s="3">
        <f>IF($T734="","",$T734&amp;"|"&amp;COUNTIFS($T$7:$T734,$T734))</f>
        <v/>
      </c>
      <c r="V734" s="3">
        <f>IF($T734="",0,1)</f>
        <v/>
      </c>
      <c r="W734" s="3">
        <f>IF($C734="","",$D734&amp;"|"&amp;$E734&amp;"|"&amp;TEXT($C734,"0")&amp;"|"&amp;TEXT($G734,"0")&amp;"|"&amp;$J734)</f>
        <v/>
      </c>
      <c r="X734" s="3" t="n"/>
      <c r="Y734" s="3" t="n"/>
      <c r="Z734" s="3" t="n"/>
      <c r="AA734" s="3" t="n"/>
      <c r="AB734" s="3" t="n"/>
      <c r="AC734" s="3" t="n"/>
      <c r="AD734" s="3">
        <f>IF($C734="",0,SUMPRODUCT((AY_SONU!$O$7:$O$42="Evet")*(AY_SONU!$B$7:$B$42=DATE(YEAR($C734),MONTH($C734),1))))</f>
        <v/>
      </c>
    </row>
    <row r="735">
      <c r="A735" s="6" t="n"/>
      <c r="B735" s="113">
        <f>IF($C735="","","GG"&amp;TEXT(ROW()-6,"00000"))</f>
        <v/>
      </c>
      <c r="C735" s="220" t="n"/>
      <c r="D735" s="108" t="n"/>
      <c r="E735" s="109" t="n"/>
      <c r="F735" s="109" t="n"/>
      <c r="G735" s="221" t="n"/>
      <c r="H735" s="108" t="n"/>
      <c r="I735" s="108" t="n"/>
      <c r="J735" s="109" t="n"/>
      <c r="K735" s="109" t="n"/>
      <c r="L735" s="108" t="n"/>
      <c r="M735" s="121">
        <f>IF($C735="","",IF($D735="Gider",$E735,IF($L735&lt;&gt;"",$L735,$H735)))</f>
        <v/>
      </c>
      <c r="N735" s="121">
        <f>IF($C735="","",IF($D735="Gider",$H735,$E735))</f>
        <v/>
      </c>
      <c r="O735" s="226">
        <f>IF($C735="","",DATE(YEAR($C735),MONTH($C735),1))</f>
        <v/>
      </c>
      <c r="P735" s="113">
        <f>IF($C735="","",IF(AND($D735="Gelir",$L735&lt;&gt;"",$T735=""),"TANIMSIZ BORÇLU",IF($T735&lt;&gt;"",IF(OR($E735="",$G735&lt;=0),"EKSİK",IF($I735="Evet","TAHAKKUK NAKİT OLAMAZ",IF($C735&gt;TODAY(),"İLERİ TARİH","TAHAKKUK"))),IF(AND($D735&lt;&gt;"",$E735&lt;&gt;"",$G735&gt;0,$H735&lt;&gt;"",$I735&lt;&gt;""),IF($C735&gt;TODAY(),"İLERİ TARİH",IF(COUNTIF($W$7:$W$1206,$W735)&gt;1,"MÜKERRER?",IF($AD735&gt;0,"KAPALI DÖNEM",IF($I735="Hayır","ÖDENECEK","UYGUN")))),"EKSİK"))))</f>
        <v/>
      </c>
      <c r="Q735" s="6" t="n"/>
      <c r="R735" s="6" t="n"/>
      <c r="S735" s="3">
        <f>IF($L735="","",UPPER(SUBSTITUTE(SUBSTITUTE(SUBSTITUTE(SUBSTITUTE(SUBSTITUTE(SUBSTITUTE(SUBSTITUTE(SUBSTITUTE(SUBSTITUTE(SUBSTITUTE(SUBSTITUTE(SUBSTITUTE(SUBSTITUTE(SUBSTITUTE(SUBSTITUTE(SUBSTITUTE(SUBSTITUTE(SUBSTITUTE(TRIM($L735),"'",""),"İ","I"),"ı","I"),"i","I"),"Ş","S"),"ş","S"),"Ğ","G"),"ğ","G"),"Ü","U"),"ü","U"),"Ö","O"),"ö","O"),"Ç","C"),"ç","C"),".",""),",","")," ",""),"-","")))</f>
        <v/>
      </c>
      <c r="T735" s="3">
        <f>IF(OR($C735="",$D735&lt;&gt;"Gelir",$L735=""),"",IFERROR(INDEX(MUSTERILER!$B$7:$B$106,MATCH($S735,MUSTERILER!$T$7:$T$106,0)),""))</f>
        <v/>
      </c>
      <c r="U735" s="3">
        <f>IF($T735="","",$T735&amp;"|"&amp;COUNTIFS($T$7:$T735,$T735))</f>
        <v/>
      </c>
      <c r="V735" s="3">
        <f>IF($T735="",0,1)</f>
        <v/>
      </c>
      <c r="W735" s="3">
        <f>IF($C735="","",$D735&amp;"|"&amp;$E735&amp;"|"&amp;TEXT($C735,"0")&amp;"|"&amp;TEXT($G735,"0")&amp;"|"&amp;$J735)</f>
        <v/>
      </c>
      <c r="X735" s="3" t="n"/>
      <c r="Y735" s="3" t="n"/>
      <c r="Z735" s="3" t="n"/>
      <c r="AA735" s="3" t="n"/>
      <c r="AB735" s="3" t="n"/>
      <c r="AC735" s="3" t="n"/>
      <c r="AD735" s="3">
        <f>IF($C735="",0,SUMPRODUCT((AY_SONU!$O$7:$O$42="Evet")*(AY_SONU!$B$7:$B$42=DATE(YEAR($C735),MONTH($C735),1))))</f>
        <v/>
      </c>
    </row>
    <row r="736">
      <c r="A736" s="6" t="n"/>
      <c r="B736" s="113">
        <f>IF($C736="","","GG"&amp;TEXT(ROW()-6,"00000"))</f>
        <v/>
      </c>
      <c r="C736" s="220" t="n"/>
      <c r="D736" s="108" t="n"/>
      <c r="E736" s="109" t="n"/>
      <c r="F736" s="109" t="n"/>
      <c r="G736" s="221" t="n"/>
      <c r="H736" s="108" t="n"/>
      <c r="I736" s="108" t="n"/>
      <c r="J736" s="109" t="n"/>
      <c r="K736" s="109" t="n"/>
      <c r="L736" s="108" t="n"/>
      <c r="M736" s="121">
        <f>IF($C736="","",IF($D736="Gider",$E736,IF($L736&lt;&gt;"",$L736,$H736)))</f>
        <v/>
      </c>
      <c r="N736" s="121">
        <f>IF($C736="","",IF($D736="Gider",$H736,$E736))</f>
        <v/>
      </c>
      <c r="O736" s="226">
        <f>IF($C736="","",DATE(YEAR($C736),MONTH($C736),1))</f>
        <v/>
      </c>
      <c r="P736" s="113">
        <f>IF($C736="","",IF(AND($D736="Gelir",$L736&lt;&gt;"",$T736=""),"TANIMSIZ BORÇLU",IF($T736&lt;&gt;"",IF(OR($E736="",$G736&lt;=0),"EKSİK",IF($I736="Evet","TAHAKKUK NAKİT OLAMAZ",IF($C736&gt;TODAY(),"İLERİ TARİH","TAHAKKUK"))),IF(AND($D736&lt;&gt;"",$E736&lt;&gt;"",$G736&gt;0,$H736&lt;&gt;"",$I736&lt;&gt;""),IF($C736&gt;TODAY(),"İLERİ TARİH",IF(COUNTIF($W$7:$W$1206,$W736)&gt;1,"MÜKERRER?",IF($AD736&gt;0,"KAPALI DÖNEM",IF($I736="Hayır","ÖDENECEK","UYGUN")))),"EKSİK"))))</f>
        <v/>
      </c>
      <c r="Q736" s="6" t="n"/>
      <c r="R736" s="6" t="n"/>
      <c r="S736" s="3">
        <f>IF($L736="","",UPPER(SUBSTITUTE(SUBSTITUTE(SUBSTITUTE(SUBSTITUTE(SUBSTITUTE(SUBSTITUTE(SUBSTITUTE(SUBSTITUTE(SUBSTITUTE(SUBSTITUTE(SUBSTITUTE(SUBSTITUTE(SUBSTITUTE(SUBSTITUTE(SUBSTITUTE(SUBSTITUTE(SUBSTITUTE(SUBSTITUTE(TRIM($L736),"'",""),"İ","I"),"ı","I"),"i","I"),"Ş","S"),"ş","S"),"Ğ","G"),"ğ","G"),"Ü","U"),"ü","U"),"Ö","O"),"ö","O"),"Ç","C"),"ç","C"),".",""),",","")," ",""),"-","")))</f>
        <v/>
      </c>
      <c r="T736" s="3">
        <f>IF(OR($C736="",$D736&lt;&gt;"Gelir",$L736=""),"",IFERROR(INDEX(MUSTERILER!$B$7:$B$106,MATCH($S736,MUSTERILER!$T$7:$T$106,0)),""))</f>
        <v/>
      </c>
      <c r="U736" s="3">
        <f>IF($T736="","",$T736&amp;"|"&amp;COUNTIFS($T$7:$T736,$T736))</f>
        <v/>
      </c>
      <c r="V736" s="3">
        <f>IF($T736="",0,1)</f>
        <v/>
      </c>
      <c r="W736" s="3">
        <f>IF($C736="","",$D736&amp;"|"&amp;$E736&amp;"|"&amp;TEXT($C736,"0")&amp;"|"&amp;TEXT($G736,"0")&amp;"|"&amp;$J736)</f>
        <v/>
      </c>
      <c r="X736" s="3" t="n"/>
      <c r="Y736" s="3" t="n"/>
      <c r="Z736" s="3" t="n"/>
      <c r="AA736" s="3" t="n"/>
      <c r="AB736" s="3" t="n"/>
      <c r="AC736" s="3" t="n"/>
      <c r="AD736" s="3">
        <f>IF($C736="",0,SUMPRODUCT((AY_SONU!$O$7:$O$42="Evet")*(AY_SONU!$B$7:$B$42=DATE(YEAR($C736),MONTH($C736),1))))</f>
        <v/>
      </c>
    </row>
    <row r="737">
      <c r="A737" s="6" t="n"/>
      <c r="B737" s="113">
        <f>IF($C737="","","GG"&amp;TEXT(ROW()-6,"00000"))</f>
        <v/>
      </c>
      <c r="C737" s="220" t="n"/>
      <c r="D737" s="108" t="n"/>
      <c r="E737" s="109" t="n"/>
      <c r="F737" s="109" t="n"/>
      <c r="G737" s="221" t="n"/>
      <c r="H737" s="108" t="n"/>
      <c r="I737" s="108" t="n"/>
      <c r="J737" s="109" t="n"/>
      <c r="K737" s="109" t="n"/>
      <c r="L737" s="108" t="n"/>
      <c r="M737" s="121">
        <f>IF($C737="","",IF($D737="Gider",$E737,IF($L737&lt;&gt;"",$L737,$H737)))</f>
        <v/>
      </c>
      <c r="N737" s="121">
        <f>IF($C737="","",IF($D737="Gider",$H737,$E737))</f>
        <v/>
      </c>
      <c r="O737" s="226">
        <f>IF($C737="","",DATE(YEAR($C737),MONTH($C737),1))</f>
        <v/>
      </c>
      <c r="P737" s="113">
        <f>IF($C737="","",IF(AND($D737="Gelir",$L737&lt;&gt;"",$T737=""),"TANIMSIZ BORÇLU",IF($T737&lt;&gt;"",IF(OR($E737="",$G737&lt;=0),"EKSİK",IF($I737="Evet","TAHAKKUK NAKİT OLAMAZ",IF($C737&gt;TODAY(),"İLERİ TARİH","TAHAKKUK"))),IF(AND($D737&lt;&gt;"",$E737&lt;&gt;"",$G737&gt;0,$H737&lt;&gt;"",$I737&lt;&gt;""),IF($C737&gt;TODAY(),"İLERİ TARİH",IF(COUNTIF($W$7:$W$1206,$W737)&gt;1,"MÜKERRER?",IF($AD737&gt;0,"KAPALI DÖNEM",IF($I737="Hayır","ÖDENECEK","UYGUN")))),"EKSİK"))))</f>
        <v/>
      </c>
      <c r="Q737" s="6" t="n"/>
      <c r="R737" s="6" t="n"/>
      <c r="S737" s="3">
        <f>IF($L737="","",UPPER(SUBSTITUTE(SUBSTITUTE(SUBSTITUTE(SUBSTITUTE(SUBSTITUTE(SUBSTITUTE(SUBSTITUTE(SUBSTITUTE(SUBSTITUTE(SUBSTITUTE(SUBSTITUTE(SUBSTITUTE(SUBSTITUTE(SUBSTITUTE(SUBSTITUTE(SUBSTITUTE(SUBSTITUTE(SUBSTITUTE(TRIM($L737),"'",""),"İ","I"),"ı","I"),"i","I"),"Ş","S"),"ş","S"),"Ğ","G"),"ğ","G"),"Ü","U"),"ü","U"),"Ö","O"),"ö","O"),"Ç","C"),"ç","C"),".",""),",","")," ",""),"-","")))</f>
        <v/>
      </c>
      <c r="T737" s="3">
        <f>IF(OR($C737="",$D737&lt;&gt;"Gelir",$L737=""),"",IFERROR(INDEX(MUSTERILER!$B$7:$B$106,MATCH($S737,MUSTERILER!$T$7:$T$106,0)),""))</f>
        <v/>
      </c>
      <c r="U737" s="3">
        <f>IF($T737="","",$T737&amp;"|"&amp;COUNTIFS($T$7:$T737,$T737))</f>
        <v/>
      </c>
      <c r="V737" s="3">
        <f>IF($T737="",0,1)</f>
        <v/>
      </c>
      <c r="W737" s="3">
        <f>IF($C737="","",$D737&amp;"|"&amp;$E737&amp;"|"&amp;TEXT($C737,"0")&amp;"|"&amp;TEXT($G737,"0")&amp;"|"&amp;$J737)</f>
        <v/>
      </c>
      <c r="X737" s="3" t="n"/>
      <c r="Y737" s="3" t="n"/>
      <c r="Z737" s="3" t="n"/>
      <c r="AA737" s="3" t="n"/>
      <c r="AB737" s="3" t="n"/>
      <c r="AC737" s="3" t="n"/>
      <c r="AD737" s="3">
        <f>IF($C737="",0,SUMPRODUCT((AY_SONU!$O$7:$O$42="Evet")*(AY_SONU!$B$7:$B$42=DATE(YEAR($C737),MONTH($C737),1))))</f>
        <v/>
      </c>
    </row>
    <row r="738">
      <c r="A738" s="6" t="n"/>
      <c r="B738" s="113">
        <f>IF($C738="","","GG"&amp;TEXT(ROW()-6,"00000"))</f>
        <v/>
      </c>
      <c r="C738" s="220" t="n"/>
      <c r="D738" s="108" t="n"/>
      <c r="E738" s="109" t="n"/>
      <c r="F738" s="109" t="n"/>
      <c r="G738" s="221" t="n"/>
      <c r="H738" s="108" t="n"/>
      <c r="I738" s="108" t="n"/>
      <c r="J738" s="109" t="n"/>
      <c r="K738" s="109" t="n"/>
      <c r="L738" s="108" t="n"/>
      <c r="M738" s="121">
        <f>IF($C738="","",IF($D738="Gider",$E738,IF($L738&lt;&gt;"",$L738,$H738)))</f>
        <v/>
      </c>
      <c r="N738" s="121">
        <f>IF($C738="","",IF($D738="Gider",$H738,$E738))</f>
        <v/>
      </c>
      <c r="O738" s="226">
        <f>IF($C738="","",DATE(YEAR($C738),MONTH($C738),1))</f>
        <v/>
      </c>
      <c r="P738" s="113">
        <f>IF($C738="","",IF(AND($D738="Gelir",$L738&lt;&gt;"",$T738=""),"TANIMSIZ BORÇLU",IF($T738&lt;&gt;"",IF(OR($E738="",$G738&lt;=0),"EKSİK",IF($I738="Evet","TAHAKKUK NAKİT OLAMAZ",IF($C738&gt;TODAY(),"İLERİ TARİH","TAHAKKUK"))),IF(AND($D738&lt;&gt;"",$E738&lt;&gt;"",$G738&gt;0,$H738&lt;&gt;"",$I738&lt;&gt;""),IF($C738&gt;TODAY(),"İLERİ TARİH",IF(COUNTIF($W$7:$W$1206,$W738)&gt;1,"MÜKERRER?",IF($AD738&gt;0,"KAPALI DÖNEM",IF($I738="Hayır","ÖDENECEK","UYGUN")))),"EKSİK"))))</f>
        <v/>
      </c>
      <c r="Q738" s="6" t="n"/>
      <c r="R738" s="6" t="n"/>
      <c r="S738" s="3">
        <f>IF($L738="","",UPPER(SUBSTITUTE(SUBSTITUTE(SUBSTITUTE(SUBSTITUTE(SUBSTITUTE(SUBSTITUTE(SUBSTITUTE(SUBSTITUTE(SUBSTITUTE(SUBSTITUTE(SUBSTITUTE(SUBSTITUTE(SUBSTITUTE(SUBSTITUTE(SUBSTITUTE(SUBSTITUTE(SUBSTITUTE(SUBSTITUTE(TRIM($L738),"'",""),"İ","I"),"ı","I"),"i","I"),"Ş","S"),"ş","S"),"Ğ","G"),"ğ","G"),"Ü","U"),"ü","U"),"Ö","O"),"ö","O"),"Ç","C"),"ç","C"),".",""),",","")," ",""),"-","")))</f>
        <v/>
      </c>
      <c r="T738" s="3">
        <f>IF(OR($C738="",$D738&lt;&gt;"Gelir",$L738=""),"",IFERROR(INDEX(MUSTERILER!$B$7:$B$106,MATCH($S738,MUSTERILER!$T$7:$T$106,0)),""))</f>
        <v/>
      </c>
      <c r="U738" s="3">
        <f>IF($T738="","",$T738&amp;"|"&amp;COUNTIFS($T$7:$T738,$T738))</f>
        <v/>
      </c>
      <c r="V738" s="3">
        <f>IF($T738="",0,1)</f>
        <v/>
      </c>
      <c r="W738" s="3">
        <f>IF($C738="","",$D738&amp;"|"&amp;$E738&amp;"|"&amp;TEXT($C738,"0")&amp;"|"&amp;TEXT($G738,"0")&amp;"|"&amp;$J738)</f>
        <v/>
      </c>
      <c r="X738" s="3" t="n"/>
      <c r="Y738" s="3" t="n"/>
      <c r="Z738" s="3" t="n"/>
      <c r="AA738" s="3" t="n"/>
      <c r="AB738" s="3" t="n"/>
      <c r="AC738" s="3" t="n"/>
      <c r="AD738" s="3">
        <f>IF($C738="",0,SUMPRODUCT((AY_SONU!$O$7:$O$42="Evet")*(AY_SONU!$B$7:$B$42=DATE(YEAR($C738),MONTH($C738),1))))</f>
        <v/>
      </c>
    </row>
    <row r="739">
      <c r="A739" s="6" t="n"/>
      <c r="B739" s="113">
        <f>IF($C739="","","GG"&amp;TEXT(ROW()-6,"00000"))</f>
        <v/>
      </c>
      <c r="C739" s="220" t="n"/>
      <c r="D739" s="108" t="n"/>
      <c r="E739" s="109" t="n"/>
      <c r="F739" s="109" t="n"/>
      <c r="G739" s="221" t="n"/>
      <c r="H739" s="108" t="n"/>
      <c r="I739" s="108" t="n"/>
      <c r="J739" s="109" t="n"/>
      <c r="K739" s="109" t="n"/>
      <c r="L739" s="108" t="n"/>
      <c r="M739" s="121">
        <f>IF($C739="","",IF($D739="Gider",$E739,IF($L739&lt;&gt;"",$L739,$H739)))</f>
        <v/>
      </c>
      <c r="N739" s="121">
        <f>IF($C739="","",IF($D739="Gider",$H739,$E739))</f>
        <v/>
      </c>
      <c r="O739" s="226">
        <f>IF($C739="","",DATE(YEAR($C739),MONTH($C739),1))</f>
        <v/>
      </c>
      <c r="P739" s="113">
        <f>IF($C739="","",IF(AND($D739="Gelir",$L739&lt;&gt;"",$T739=""),"TANIMSIZ BORÇLU",IF($T739&lt;&gt;"",IF(OR($E739="",$G739&lt;=0),"EKSİK",IF($I739="Evet","TAHAKKUK NAKİT OLAMAZ",IF($C739&gt;TODAY(),"İLERİ TARİH","TAHAKKUK"))),IF(AND($D739&lt;&gt;"",$E739&lt;&gt;"",$G739&gt;0,$H739&lt;&gt;"",$I739&lt;&gt;""),IF($C739&gt;TODAY(),"İLERİ TARİH",IF(COUNTIF($W$7:$W$1206,$W739)&gt;1,"MÜKERRER?",IF($AD739&gt;0,"KAPALI DÖNEM",IF($I739="Hayır","ÖDENECEK","UYGUN")))),"EKSİK"))))</f>
        <v/>
      </c>
      <c r="Q739" s="6" t="n"/>
      <c r="R739" s="6" t="n"/>
      <c r="S739" s="3">
        <f>IF($L739="","",UPPER(SUBSTITUTE(SUBSTITUTE(SUBSTITUTE(SUBSTITUTE(SUBSTITUTE(SUBSTITUTE(SUBSTITUTE(SUBSTITUTE(SUBSTITUTE(SUBSTITUTE(SUBSTITUTE(SUBSTITUTE(SUBSTITUTE(SUBSTITUTE(SUBSTITUTE(SUBSTITUTE(SUBSTITUTE(SUBSTITUTE(TRIM($L739),"'",""),"İ","I"),"ı","I"),"i","I"),"Ş","S"),"ş","S"),"Ğ","G"),"ğ","G"),"Ü","U"),"ü","U"),"Ö","O"),"ö","O"),"Ç","C"),"ç","C"),".",""),",","")," ",""),"-","")))</f>
        <v/>
      </c>
      <c r="T739" s="3">
        <f>IF(OR($C739="",$D739&lt;&gt;"Gelir",$L739=""),"",IFERROR(INDEX(MUSTERILER!$B$7:$B$106,MATCH($S739,MUSTERILER!$T$7:$T$106,0)),""))</f>
        <v/>
      </c>
      <c r="U739" s="3">
        <f>IF($T739="","",$T739&amp;"|"&amp;COUNTIFS($T$7:$T739,$T739))</f>
        <v/>
      </c>
      <c r="V739" s="3">
        <f>IF($T739="",0,1)</f>
        <v/>
      </c>
      <c r="W739" s="3">
        <f>IF($C739="","",$D739&amp;"|"&amp;$E739&amp;"|"&amp;TEXT($C739,"0")&amp;"|"&amp;TEXT($G739,"0")&amp;"|"&amp;$J739)</f>
        <v/>
      </c>
      <c r="X739" s="3" t="n"/>
      <c r="Y739" s="3" t="n"/>
      <c r="Z739" s="3" t="n"/>
      <c r="AA739" s="3" t="n"/>
      <c r="AB739" s="3" t="n"/>
      <c r="AC739" s="3" t="n"/>
      <c r="AD739" s="3">
        <f>IF($C739="",0,SUMPRODUCT((AY_SONU!$O$7:$O$42="Evet")*(AY_SONU!$B$7:$B$42=DATE(YEAR($C739),MONTH($C739),1))))</f>
        <v/>
      </c>
    </row>
    <row r="740">
      <c r="A740" s="6" t="n"/>
      <c r="B740" s="113">
        <f>IF($C740="","","GG"&amp;TEXT(ROW()-6,"00000"))</f>
        <v/>
      </c>
      <c r="C740" s="220" t="n"/>
      <c r="D740" s="108" t="n"/>
      <c r="E740" s="109" t="n"/>
      <c r="F740" s="109" t="n"/>
      <c r="G740" s="221" t="n"/>
      <c r="H740" s="108" t="n"/>
      <c r="I740" s="108" t="n"/>
      <c r="J740" s="109" t="n"/>
      <c r="K740" s="109" t="n"/>
      <c r="L740" s="108" t="n"/>
      <c r="M740" s="121">
        <f>IF($C740="","",IF($D740="Gider",$E740,IF($L740&lt;&gt;"",$L740,$H740)))</f>
        <v/>
      </c>
      <c r="N740" s="121">
        <f>IF($C740="","",IF($D740="Gider",$H740,$E740))</f>
        <v/>
      </c>
      <c r="O740" s="226">
        <f>IF($C740="","",DATE(YEAR($C740),MONTH($C740),1))</f>
        <v/>
      </c>
      <c r="P740" s="113">
        <f>IF($C740="","",IF(AND($D740="Gelir",$L740&lt;&gt;"",$T740=""),"TANIMSIZ BORÇLU",IF($T740&lt;&gt;"",IF(OR($E740="",$G740&lt;=0),"EKSİK",IF($I740="Evet","TAHAKKUK NAKİT OLAMAZ",IF($C740&gt;TODAY(),"İLERİ TARİH","TAHAKKUK"))),IF(AND($D740&lt;&gt;"",$E740&lt;&gt;"",$G740&gt;0,$H740&lt;&gt;"",$I740&lt;&gt;""),IF($C740&gt;TODAY(),"İLERİ TARİH",IF(COUNTIF($W$7:$W$1206,$W740)&gt;1,"MÜKERRER?",IF($AD740&gt;0,"KAPALI DÖNEM",IF($I740="Hayır","ÖDENECEK","UYGUN")))),"EKSİK"))))</f>
        <v/>
      </c>
      <c r="Q740" s="6" t="n"/>
      <c r="R740" s="6" t="n"/>
      <c r="S740" s="3">
        <f>IF($L740="","",UPPER(SUBSTITUTE(SUBSTITUTE(SUBSTITUTE(SUBSTITUTE(SUBSTITUTE(SUBSTITUTE(SUBSTITUTE(SUBSTITUTE(SUBSTITUTE(SUBSTITUTE(SUBSTITUTE(SUBSTITUTE(SUBSTITUTE(SUBSTITUTE(SUBSTITUTE(SUBSTITUTE(SUBSTITUTE(SUBSTITUTE(TRIM($L740),"'",""),"İ","I"),"ı","I"),"i","I"),"Ş","S"),"ş","S"),"Ğ","G"),"ğ","G"),"Ü","U"),"ü","U"),"Ö","O"),"ö","O"),"Ç","C"),"ç","C"),".",""),",","")," ",""),"-","")))</f>
        <v/>
      </c>
      <c r="T740" s="3">
        <f>IF(OR($C740="",$D740&lt;&gt;"Gelir",$L740=""),"",IFERROR(INDEX(MUSTERILER!$B$7:$B$106,MATCH($S740,MUSTERILER!$T$7:$T$106,0)),""))</f>
        <v/>
      </c>
      <c r="U740" s="3">
        <f>IF($T740="","",$T740&amp;"|"&amp;COUNTIFS($T$7:$T740,$T740))</f>
        <v/>
      </c>
      <c r="V740" s="3">
        <f>IF($T740="",0,1)</f>
        <v/>
      </c>
      <c r="W740" s="3">
        <f>IF($C740="","",$D740&amp;"|"&amp;$E740&amp;"|"&amp;TEXT($C740,"0")&amp;"|"&amp;TEXT($G740,"0")&amp;"|"&amp;$J740)</f>
        <v/>
      </c>
      <c r="X740" s="3" t="n"/>
      <c r="Y740" s="3" t="n"/>
      <c r="Z740" s="3" t="n"/>
      <c r="AA740" s="3" t="n"/>
      <c r="AB740" s="3" t="n"/>
      <c r="AC740" s="3" t="n"/>
      <c r="AD740" s="3">
        <f>IF($C740="",0,SUMPRODUCT((AY_SONU!$O$7:$O$42="Evet")*(AY_SONU!$B$7:$B$42=DATE(YEAR($C740),MONTH($C740),1))))</f>
        <v/>
      </c>
    </row>
    <row r="741">
      <c r="A741" s="6" t="n"/>
      <c r="B741" s="113">
        <f>IF($C741="","","GG"&amp;TEXT(ROW()-6,"00000"))</f>
        <v/>
      </c>
      <c r="C741" s="220" t="n"/>
      <c r="D741" s="108" t="n"/>
      <c r="E741" s="109" t="n"/>
      <c r="F741" s="109" t="n"/>
      <c r="G741" s="221" t="n"/>
      <c r="H741" s="108" t="n"/>
      <c r="I741" s="108" t="n"/>
      <c r="J741" s="109" t="n"/>
      <c r="K741" s="109" t="n"/>
      <c r="L741" s="108" t="n"/>
      <c r="M741" s="121">
        <f>IF($C741="","",IF($D741="Gider",$E741,IF($L741&lt;&gt;"",$L741,$H741)))</f>
        <v/>
      </c>
      <c r="N741" s="121">
        <f>IF($C741="","",IF($D741="Gider",$H741,$E741))</f>
        <v/>
      </c>
      <c r="O741" s="226">
        <f>IF($C741="","",DATE(YEAR($C741),MONTH($C741),1))</f>
        <v/>
      </c>
      <c r="P741" s="113">
        <f>IF($C741="","",IF(AND($D741="Gelir",$L741&lt;&gt;"",$T741=""),"TANIMSIZ BORÇLU",IF($T741&lt;&gt;"",IF(OR($E741="",$G741&lt;=0),"EKSİK",IF($I741="Evet","TAHAKKUK NAKİT OLAMAZ",IF($C741&gt;TODAY(),"İLERİ TARİH","TAHAKKUK"))),IF(AND($D741&lt;&gt;"",$E741&lt;&gt;"",$G741&gt;0,$H741&lt;&gt;"",$I741&lt;&gt;""),IF($C741&gt;TODAY(),"İLERİ TARİH",IF(COUNTIF($W$7:$W$1206,$W741)&gt;1,"MÜKERRER?",IF($AD741&gt;0,"KAPALI DÖNEM",IF($I741="Hayır","ÖDENECEK","UYGUN")))),"EKSİK"))))</f>
        <v/>
      </c>
      <c r="Q741" s="6" t="n"/>
      <c r="R741" s="6" t="n"/>
      <c r="S741" s="3">
        <f>IF($L741="","",UPPER(SUBSTITUTE(SUBSTITUTE(SUBSTITUTE(SUBSTITUTE(SUBSTITUTE(SUBSTITUTE(SUBSTITUTE(SUBSTITUTE(SUBSTITUTE(SUBSTITUTE(SUBSTITUTE(SUBSTITUTE(SUBSTITUTE(SUBSTITUTE(SUBSTITUTE(SUBSTITUTE(SUBSTITUTE(SUBSTITUTE(TRIM($L741),"'",""),"İ","I"),"ı","I"),"i","I"),"Ş","S"),"ş","S"),"Ğ","G"),"ğ","G"),"Ü","U"),"ü","U"),"Ö","O"),"ö","O"),"Ç","C"),"ç","C"),".",""),",","")," ",""),"-","")))</f>
        <v/>
      </c>
      <c r="T741" s="3">
        <f>IF(OR($C741="",$D741&lt;&gt;"Gelir",$L741=""),"",IFERROR(INDEX(MUSTERILER!$B$7:$B$106,MATCH($S741,MUSTERILER!$T$7:$T$106,0)),""))</f>
        <v/>
      </c>
      <c r="U741" s="3">
        <f>IF($T741="","",$T741&amp;"|"&amp;COUNTIFS($T$7:$T741,$T741))</f>
        <v/>
      </c>
      <c r="V741" s="3">
        <f>IF($T741="",0,1)</f>
        <v/>
      </c>
      <c r="W741" s="3">
        <f>IF($C741="","",$D741&amp;"|"&amp;$E741&amp;"|"&amp;TEXT($C741,"0")&amp;"|"&amp;TEXT($G741,"0")&amp;"|"&amp;$J741)</f>
        <v/>
      </c>
      <c r="X741" s="3" t="n"/>
      <c r="Y741" s="3" t="n"/>
      <c r="Z741" s="3" t="n"/>
      <c r="AA741" s="3" t="n"/>
      <c r="AB741" s="3" t="n"/>
      <c r="AC741" s="3" t="n"/>
      <c r="AD741" s="3">
        <f>IF($C741="",0,SUMPRODUCT((AY_SONU!$O$7:$O$42="Evet")*(AY_SONU!$B$7:$B$42=DATE(YEAR($C741),MONTH($C741),1))))</f>
        <v/>
      </c>
    </row>
    <row r="742">
      <c r="A742" s="6" t="n"/>
      <c r="B742" s="113">
        <f>IF($C742="","","GG"&amp;TEXT(ROW()-6,"00000"))</f>
        <v/>
      </c>
      <c r="C742" s="220" t="n"/>
      <c r="D742" s="108" t="n"/>
      <c r="E742" s="109" t="n"/>
      <c r="F742" s="109" t="n"/>
      <c r="G742" s="221" t="n"/>
      <c r="H742" s="108" t="n"/>
      <c r="I742" s="108" t="n"/>
      <c r="J742" s="109" t="n"/>
      <c r="K742" s="109" t="n"/>
      <c r="L742" s="108" t="n"/>
      <c r="M742" s="121">
        <f>IF($C742="","",IF($D742="Gider",$E742,IF($L742&lt;&gt;"",$L742,$H742)))</f>
        <v/>
      </c>
      <c r="N742" s="121">
        <f>IF($C742="","",IF($D742="Gider",$H742,$E742))</f>
        <v/>
      </c>
      <c r="O742" s="226">
        <f>IF($C742="","",DATE(YEAR($C742),MONTH($C742),1))</f>
        <v/>
      </c>
      <c r="P742" s="113">
        <f>IF($C742="","",IF(AND($D742="Gelir",$L742&lt;&gt;"",$T742=""),"TANIMSIZ BORÇLU",IF($T742&lt;&gt;"",IF(OR($E742="",$G742&lt;=0),"EKSİK",IF($I742="Evet","TAHAKKUK NAKİT OLAMAZ",IF($C742&gt;TODAY(),"İLERİ TARİH","TAHAKKUK"))),IF(AND($D742&lt;&gt;"",$E742&lt;&gt;"",$G742&gt;0,$H742&lt;&gt;"",$I742&lt;&gt;""),IF($C742&gt;TODAY(),"İLERİ TARİH",IF(COUNTIF($W$7:$W$1206,$W742)&gt;1,"MÜKERRER?",IF($AD742&gt;0,"KAPALI DÖNEM",IF($I742="Hayır","ÖDENECEK","UYGUN")))),"EKSİK"))))</f>
        <v/>
      </c>
      <c r="Q742" s="6" t="n"/>
      <c r="R742" s="6" t="n"/>
      <c r="S742" s="3">
        <f>IF($L742="","",UPPER(SUBSTITUTE(SUBSTITUTE(SUBSTITUTE(SUBSTITUTE(SUBSTITUTE(SUBSTITUTE(SUBSTITUTE(SUBSTITUTE(SUBSTITUTE(SUBSTITUTE(SUBSTITUTE(SUBSTITUTE(SUBSTITUTE(SUBSTITUTE(SUBSTITUTE(SUBSTITUTE(SUBSTITUTE(SUBSTITUTE(TRIM($L742),"'",""),"İ","I"),"ı","I"),"i","I"),"Ş","S"),"ş","S"),"Ğ","G"),"ğ","G"),"Ü","U"),"ü","U"),"Ö","O"),"ö","O"),"Ç","C"),"ç","C"),".",""),",","")," ",""),"-","")))</f>
        <v/>
      </c>
      <c r="T742" s="3">
        <f>IF(OR($C742="",$D742&lt;&gt;"Gelir",$L742=""),"",IFERROR(INDEX(MUSTERILER!$B$7:$B$106,MATCH($S742,MUSTERILER!$T$7:$T$106,0)),""))</f>
        <v/>
      </c>
      <c r="U742" s="3">
        <f>IF($T742="","",$T742&amp;"|"&amp;COUNTIFS($T$7:$T742,$T742))</f>
        <v/>
      </c>
      <c r="V742" s="3">
        <f>IF($T742="",0,1)</f>
        <v/>
      </c>
      <c r="W742" s="3">
        <f>IF($C742="","",$D742&amp;"|"&amp;$E742&amp;"|"&amp;TEXT($C742,"0")&amp;"|"&amp;TEXT($G742,"0")&amp;"|"&amp;$J742)</f>
        <v/>
      </c>
      <c r="X742" s="3" t="n"/>
      <c r="Y742" s="3" t="n"/>
      <c r="Z742" s="3" t="n"/>
      <c r="AA742" s="3" t="n"/>
      <c r="AB742" s="3" t="n"/>
      <c r="AC742" s="3" t="n"/>
      <c r="AD742" s="3">
        <f>IF($C742="",0,SUMPRODUCT((AY_SONU!$O$7:$O$42="Evet")*(AY_SONU!$B$7:$B$42=DATE(YEAR($C742),MONTH($C742),1))))</f>
        <v/>
      </c>
    </row>
    <row r="743">
      <c r="A743" s="6" t="n"/>
      <c r="B743" s="113">
        <f>IF($C743="","","GG"&amp;TEXT(ROW()-6,"00000"))</f>
        <v/>
      </c>
      <c r="C743" s="220" t="n"/>
      <c r="D743" s="108" t="n"/>
      <c r="E743" s="109" t="n"/>
      <c r="F743" s="109" t="n"/>
      <c r="G743" s="221" t="n"/>
      <c r="H743" s="108" t="n"/>
      <c r="I743" s="108" t="n"/>
      <c r="J743" s="109" t="n"/>
      <c r="K743" s="109" t="n"/>
      <c r="L743" s="108" t="n"/>
      <c r="M743" s="121">
        <f>IF($C743="","",IF($D743="Gider",$E743,IF($L743&lt;&gt;"",$L743,$H743)))</f>
        <v/>
      </c>
      <c r="N743" s="121">
        <f>IF($C743="","",IF($D743="Gider",$H743,$E743))</f>
        <v/>
      </c>
      <c r="O743" s="226">
        <f>IF($C743="","",DATE(YEAR($C743),MONTH($C743),1))</f>
        <v/>
      </c>
      <c r="P743" s="113">
        <f>IF($C743="","",IF(AND($D743="Gelir",$L743&lt;&gt;"",$T743=""),"TANIMSIZ BORÇLU",IF($T743&lt;&gt;"",IF(OR($E743="",$G743&lt;=0),"EKSİK",IF($I743="Evet","TAHAKKUK NAKİT OLAMAZ",IF($C743&gt;TODAY(),"İLERİ TARİH","TAHAKKUK"))),IF(AND($D743&lt;&gt;"",$E743&lt;&gt;"",$G743&gt;0,$H743&lt;&gt;"",$I743&lt;&gt;""),IF($C743&gt;TODAY(),"İLERİ TARİH",IF(COUNTIF($W$7:$W$1206,$W743)&gt;1,"MÜKERRER?",IF($AD743&gt;0,"KAPALI DÖNEM",IF($I743="Hayır","ÖDENECEK","UYGUN")))),"EKSİK"))))</f>
        <v/>
      </c>
      <c r="Q743" s="6" t="n"/>
      <c r="R743" s="6" t="n"/>
      <c r="S743" s="3">
        <f>IF($L743="","",UPPER(SUBSTITUTE(SUBSTITUTE(SUBSTITUTE(SUBSTITUTE(SUBSTITUTE(SUBSTITUTE(SUBSTITUTE(SUBSTITUTE(SUBSTITUTE(SUBSTITUTE(SUBSTITUTE(SUBSTITUTE(SUBSTITUTE(SUBSTITUTE(SUBSTITUTE(SUBSTITUTE(SUBSTITUTE(SUBSTITUTE(TRIM($L743),"'",""),"İ","I"),"ı","I"),"i","I"),"Ş","S"),"ş","S"),"Ğ","G"),"ğ","G"),"Ü","U"),"ü","U"),"Ö","O"),"ö","O"),"Ç","C"),"ç","C"),".",""),",","")," ",""),"-","")))</f>
        <v/>
      </c>
      <c r="T743" s="3">
        <f>IF(OR($C743="",$D743&lt;&gt;"Gelir",$L743=""),"",IFERROR(INDEX(MUSTERILER!$B$7:$B$106,MATCH($S743,MUSTERILER!$T$7:$T$106,0)),""))</f>
        <v/>
      </c>
      <c r="U743" s="3">
        <f>IF($T743="","",$T743&amp;"|"&amp;COUNTIFS($T$7:$T743,$T743))</f>
        <v/>
      </c>
      <c r="V743" s="3">
        <f>IF($T743="",0,1)</f>
        <v/>
      </c>
      <c r="W743" s="3">
        <f>IF($C743="","",$D743&amp;"|"&amp;$E743&amp;"|"&amp;TEXT($C743,"0")&amp;"|"&amp;TEXT($G743,"0")&amp;"|"&amp;$J743)</f>
        <v/>
      </c>
      <c r="X743" s="3" t="n"/>
      <c r="Y743" s="3" t="n"/>
      <c r="Z743" s="3" t="n"/>
      <c r="AA743" s="3" t="n"/>
      <c r="AB743" s="3" t="n"/>
      <c r="AC743" s="3" t="n"/>
      <c r="AD743" s="3">
        <f>IF($C743="",0,SUMPRODUCT((AY_SONU!$O$7:$O$42="Evet")*(AY_SONU!$B$7:$B$42=DATE(YEAR($C743),MONTH($C743),1))))</f>
        <v/>
      </c>
    </row>
    <row r="744">
      <c r="A744" s="6" t="n"/>
      <c r="B744" s="113">
        <f>IF($C744="","","GG"&amp;TEXT(ROW()-6,"00000"))</f>
        <v/>
      </c>
      <c r="C744" s="220" t="n"/>
      <c r="D744" s="108" t="n"/>
      <c r="E744" s="109" t="n"/>
      <c r="F744" s="109" t="n"/>
      <c r="G744" s="221" t="n"/>
      <c r="H744" s="108" t="n"/>
      <c r="I744" s="108" t="n"/>
      <c r="J744" s="109" t="n"/>
      <c r="K744" s="109" t="n"/>
      <c r="L744" s="108" t="n"/>
      <c r="M744" s="121">
        <f>IF($C744="","",IF($D744="Gider",$E744,IF($L744&lt;&gt;"",$L744,$H744)))</f>
        <v/>
      </c>
      <c r="N744" s="121">
        <f>IF($C744="","",IF($D744="Gider",$H744,$E744))</f>
        <v/>
      </c>
      <c r="O744" s="226">
        <f>IF($C744="","",DATE(YEAR($C744),MONTH($C744),1))</f>
        <v/>
      </c>
      <c r="P744" s="113">
        <f>IF($C744="","",IF(AND($D744="Gelir",$L744&lt;&gt;"",$T744=""),"TANIMSIZ BORÇLU",IF($T744&lt;&gt;"",IF(OR($E744="",$G744&lt;=0),"EKSİK",IF($I744="Evet","TAHAKKUK NAKİT OLAMAZ",IF($C744&gt;TODAY(),"İLERİ TARİH","TAHAKKUK"))),IF(AND($D744&lt;&gt;"",$E744&lt;&gt;"",$G744&gt;0,$H744&lt;&gt;"",$I744&lt;&gt;""),IF($C744&gt;TODAY(),"İLERİ TARİH",IF(COUNTIF($W$7:$W$1206,$W744)&gt;1,"MÜKERRER?",IF($AD744&gt;0,"KAPALI DÖNEM",IF($I744="Hayır","ÖDENECEK","UYGUN")))),"EKSİK"))))</f>
        <v/>
      </c>
      <c r="Q744" s="6" t="n"/>
      <c r="R744" s="6" t="n"/>
      <c r="S744" s="3">
        <f>IF($L744="","",UPPER(SUBSTITUTE(SUBSTITUTE(SUBSTITUTE(SUBSTITUTE(SUBSTITUTE(SUBSTITUTE(SUBSTITUTE(SUBSTITUTE(SUBSTITUTE(SUBSTITUTE(SUBSTITUTE(SUBSTITUTE(SUBSTITUTE(SUBSTITUTE(SUBSTITUTE(SUBSTITUTE(SUBSTITUTE(SUBSTITUTE(TRIM($L744),"'",""),"İ","I"),"ı","I"),"i","I"),"Ş","S"),"ş","S"),"Ğ","G"),"ğ","G"),"Ü","U"),"ü","U"),"Ö","O"),"ö","O"),"Ç","C"),"ç","C"),".",""),",","")," ",""),"-","")))</f>
        <v/>
      </c>
      <c r="T744" s="3">
        <f>IF(OR($C744="",$D744&lt;&gt;"Gelir",$L744=""),"",IFERROR(INDEX(MUSTERILER!$B$7:$B$106,MATCH($S744,MUSTERILER!$T$7:$T$106,0)),""))</f>
        <v/>
      </c>
      <c r="U744" s="3">
        <f>IF($T744="","",$T744&amp;"|"&amp;COUNTIFS($T$7:$T744,$T744))</f>
        <v/>
      </c>
      <c r="V744" s="3">
        <f>IF($T744="",0,1)</f>
        <v/>
      </c>
      <c r="W744" s="3">
        <f>IF($C744="","",$D744&amp;"|"&amp;$E744&amp;"|"&amp;TEXT($C744,"0")&amp;"|"&amp;TEXT($G744,"0")&amp;"|"&amp;$J744)</f>
        <v/>
      </c>
      <c r="X744" s="3" t="n"/>
      <c r="Y744" s="3" t="n"/>
      <c r="Z744" s="3" t="n"/>
      <c r="AA744" s="3" t="n"/>
      <c r="AB744" s="3" t="n"/>
      <c r="AC744" s="3" t="n"/>
      <c r="AD744" s="3">
        <f>IF($C744="",0,SUMPRODUCT((AY_SONU!$O$7:$O$42="Evet")*(AY_SONU!$B$7:$B$42=DATE(YEAR($C744),MONTH($C744),1))))</f>
        <v/>
      </c>
    </row>
    <row r="745">
      <c r="A745" s="6" t="n"/>
      <c r="B745" s="113">
        <f>IF($C745="","","GG"&amp;TEXT(ROW()-6,"00000"))</f>
        <v/>
      </c>
      <c r="C745" s="220" t="n"/>
      <c r="D745" s="108" t="n"/>
      <c r="E745" s="109" t="n"/>
      <c r="F745" s="109" t="n"/>
      <c r="G745" s="221" t="n"/>
      <c r="H745" s="108" t="n"/>
      <c r="I745" s="108" t="n"/>
      <c r="J745" s="109" t="n"/>
      <c r="K745" s="109" t="n"/>
      <c r="L745" s="108" t="n"/>
      <c r="M745" s="121">
        <f>IF($C745="","",IF($D745="Gider",$E745,IF($L745&lt;&gt;"",$L745,$H745)))</f>
        <v/>
      </c>
      <c r="N745" s="121">
        <f>IF($C745="","",IF($D745="Gider",$H745,$E745))</f>
        <v/>
      </c>
      <c r="O745" s="226">
        <f>IF($C745="","",DATE(YEAR($C745),MONTH($C745),1))</f>
        <v/>
      </c>
      <c r="P745" s="113">
        <f>IF($C745="","",IF(AND($D745="Gelir",$L745&lt;&gt;"",$T745=""),"TANIMSIZ BORÇLU",IF($T745&lt;&gt;"",IF(OR($E745="",$G745&lt;=0),"EKSİK",IF($I745="Evet","TAHAKKUK NAKİT OLAMAZ",IF($C745&gt;TODAY(),"İLERİ TARİH","TAHAKKUK"))),IF(AND($D745&lt;&gt;"",$E745&lt;&gt;"",$G745&gt;0,$H745&lt;&gt;"",$I745&lt;&gt;""),IF($C745&gt;TODAY(),"İLERİ TARİH",IF(COUNTIF($W$7:$W$1206,$W745)&gt;1,"MÜKERRER?",IF($AD745&gt;0,"KAPALI DÖNEM",IF($I745="Hayır","ÖDENECEK","UYGUN")))),"EKSİK"))))</f>
        <v/>
      </c>
      <c r="Q745" s="6" t="n"/>
      <c r="R745" s="6" t="n"/>
      <c r="S745" s="3">
        <f>IF($L745="","",UPPER(SUBSTITUTE(SUBSTITUTE(SUBSTITUTE(SUBSTITUTE(SUBSTITUTE(SUBSTITUTE(SUBSTITUTE(SUBSTITUTE(SUBSTITUTE(SUBSTITUTE(SUBSTITUTE(SUBSTITUTE(SUBSTITUTE(SUBSTITUTE(SUBSTITUTE(SUBSTITUTE(SUBSTITUTE(SUBSTITUTE(TRIM($L745),"'",""),"İ","I"),"ı","I"),"i","I"),"Ş","S"),"ş","S"),"Ğ","G"),"ğ","G"),"Ü","U"),"ü","U"),"Ö","O"),"ö","O"),"Ç","C"),"ç","C"),".",""),",","")," ",""),"-","")))</f>
        <v/>
      </c>
      <c r="T745" s="3">
        <f>IF(OR($C745="",$D745&lt;&gt;"Gelir",$L745=""),"",IFERROR(INDEX(MUSTERILER!$B$7:$B$106,MATCH($S745,MUSTERILER!$T$7:$T$106,0)),""))</f>
        <v/>
      </c>
      <c r="U745" s="3">
        <f>IF($T745="","",$T745&amp;"|"&amp;COUNTIFS($T$7:$T745,$T745))</f>
        <v/>
      </c>
      <c r="V745" s="3">
        <f>IF($T745="",0,1)</f>
        <v/>
      </c>
      <c r="W745" s="3">
        <f>IF($C745="","",$D745&amp;"|"&amp;$E745&amp;"|"&amp;TEXT($C745,"0")&amp;"|"&amp;TEXT($G745,"0")&amp;"|"&amp;$J745)</f>
        <v/>
      </c>
      <c r="X745" s="3" t="n"/>
      <c r="Y745" s="3" t="n"/>
      <c r="Z745" s="3" t="n"/>
      <c r="AA745" s="3" t="n"/>
      <c r="AB745" s="3" t="n"/>
      <c r="AC745" s="3" t="n"/>
      <c r="AD745" s="3">
        <f>IF($C745="",0,SUMPRODUCT((AY_SONU!$O$7:$O$42="Evet")*(AY_SONU!$B$7:$B$42=DATE(YEAR($C745),MONTH($C745),1))))</f>
        <v/>
      </c>
    </row>
    <row r="746">
      <c r="A746" s="6" t="n"/>
      <c r="B746" s="113">
        <f>IF($C746="","","GG"&amp;TEXT(ROW()-6,"00000"))</f>
        <v/>
      </c>
      <c r="C746" s="220" t="n"/>
      <c r="D746" s="108" t="n"/>
      <c r="E746" s="109" t="n"/>
      <c r="F746" s="109" t="n"/>
      <c r="G746" s="221" t="n"/>
      <c r="H746" s="108" t="n"/>
      <c r="I746" s="108" t="n"/>
      <c r="J746" s="109" t="n"/>
      <c r="K746" s="109" t="n"/>
      <c r="L746" s="108" t="n"/>
      <c r="M746" s="121">
        <f>IF($C746="","",IF($D746="Gider",$E746,IF($L746&lt;&gt;"",$L746,$H746)))</f>
        <v/>
      </c>
      <c r="N746" s="121">
        <f>IF($C746="","",IF($D746="Gider",$H746,$E746))</f>
        <v/>
      </c>
      <c r="O746" s="226">
        <f>IF($C746="","",DATE(YEAR($C746),MONTH($C746),1))</f>
        <v/>
      </c>
      <c r="P746" s="113">
        <f>IF($C746="","",IF(AND($D746="Gelir",$L746&lt;&gt;"",$T746=""),"TANIMSIZ BORÇLU",IF($T746&lt;&gt;"",IF(OR($E746="",$G746&lt;=0),"EKSİK",IF($I746="Evet","TAHAKKUK NAKİT OLAMAZ",IF($C746&gt;TODAY(),"İLERİ TARİH","TAHAKKUK"))),IF(AND($D746&lt;&gt;"",$E746&lt;&gt;"",$G746&gt;0,$H746&lt;&gt;"",$I746&lt;&gt;""),IF($C746&gt;TODAY(),"İLERİ TARİH",IF(COUNTIF($W$7:$W$1206,$W746)&gt;1,"MÜKERRER?",IF($AD746&gt;0,"KAPALI DÖNEM",IF($I746="Hayır","ÖDENECEK","UYGUN")))),"EKSİK"))))</f>
        <v/>
      </c>
      <c r="Q746" s="6" t="n"/>
      <c r="R746" s="6" t="n"/>
      <c r="S746" s="3">
        <f>IF($L746="","",UPPER(SUBSTITUTE(SUBSTITUTE(SUBSTITUTE(SUBSTITUTE(SUBSTITUTE(SUBSTITUTE(SUBSTITUTE(SUBSTITUTE(SUBSTITUTE(SUBSTITUTE(SUBSTITUTE(SUBSTITUTE(SUBSTITUTE(SUBSTITUTE(SUBSTITUTE(SUBSTITUTE(SUBSTITUTE(SUBSTITUTE(TRIM($L746),"'",""),"İ","I"),"ı","I"),"i","I"),"Ş","S"),"ş","S"),"Ğ","G"),"ğ","G"),"Ü","U"),"ü","U"),"Ö","O"),"ö","O"),"Ç","C"),"ç","C"),".",""),",","")," ",""),"-","")))</f>
        <v/>
      </c>
      <c r="T746" s="3">
        <f>IF(OR($C746="",$D746&lt;&gt;"Gelir",$L746=""),"",IFERROR(INDEX(MUSTERILER!$B$7:$B$106,MATCH($S746,MUSTERILER!$T$7:$T$106,0)),""))</f>
        <v/>
      </c>
      <c r="U746" s="3">
        <f>IF($T746="","",$T746&amp;"|"&amp;COUNTIFS($T$7:$T746,$T746))</f>
        <v/>
      </c>
      <c r="V746" s="3">
        <f>IF($T746="",0,1)</f>
        <v/>
      </c>
      <c r="W746" s="3">
        <f>IF($C746="","",$D746&amp;"|"&amp;$E746&amp;"|"&amp;TEXT($C746,"0")&amp;"|"&amp;TEXT($G746,"0")&amp;"|"&amp;$J746)</f>
        <v/>
      </c>
      <c r="X746" s="3" t="n"/>
      <c r="Y746" s="3" t="n"/>
      <c r="Z746" s="3" t="n"/>
      <c r="AA746" s="3" t="n"/>
      <c r="AB746" s="3" t="n"/>
      <c r="AC746" s="3" t="n"/>
      <c r="AD746" s="3">
        <f>IF($C746="",0,SUMPRODUCT((AY_SONU!$O$7:$O$42="Evet")*(AY_SONU!$B$7:$B$42=DATE(YEAR($C746),MONTH($C746),1))))</f>
        <v/>
      </c>
    </row>
    <row r="747">
      <c r="A747" s="6" t="n"/>
      <c r="B747" s="113">
        <f>IF($C747="","","GG"&amp;TEXT(ROW()-6,"00000"))</f>
        <v/>
      </c>
      <c r="C747" s="220" t="n"/>
      <c r="D747" s="108" t="n"/>
      <c r="E747" s="109" t="n"/>
      <c r="F747" s="109" t="n"/>
      <c r="G747" s="221" t="n"/>
      <c r="H747" s="108" t="n"/>
      <c r="I747" s="108" t="n"/>
      <c r="J747" s="109" t="n"/>
      <c r="K747" s="109" t="n"/>
      <c r="L747" s="108" t="n"/>
      <c r="M747" s="121">
        <f>IF($C747="","",IF($D747="Gider",$E747,IF($L747&lt;&gt;"",$L747,$H747)))</f>
        <v/>
      </c>
      <c r="N747" s="121">
        <f>IF($C747="","",IF($D747="Gider",$H747,$E747))</f>
        <v/>
      </c>
      <c r="O747" s="226">
        <f>IF($C747="","",DATE(YEAR($C747),MONTH($C747),1))</f>
        <v/>
      </c>
      <c r="P747" s="113">
        <f>IF($C747="","",IF(AND($D747="Gelir",$L747&lt;&gt;"",$T747=""),"TANIMSIZ BORÇLU",IF($T747&lt;&gt;"",IF(OR($E747="",$G747&lt;=0),"EKSİK",IF($I747="Evet","TAHAKKUK NAKİT OLAMAZ",IF($C747&gt;TODAY(),"İLERİ TARİH","TAHAKKUK"))),IF(AND($D747&lt;&gt;"",$E747&lt;&gt;"",$G747&gt;0,$H747&lt;&gt;"",$I747&lt;&gt;""),IF($C747&gt;TODAY(),"İLERİ TARİH",IF(COUNTIF($W$7:$W$1206,$W747)&gt;1,"MÜKERRER?",IF($AD747&gt;0,"KAPALI DÖNEM",IF($I747="Hayır","ÖDENECEK","UYGUN")))),"EKSİK"))))</f>
        <v/>
      </c>
      <c r="Q747" s="6" t="n"/>
      <c r="R747" s="6" t="n"/>
      <c r="S747" s="3">
        <f>IF($L747="","",UPPER(SUBSTITUTE(SUBSTITUTE(SUBSTITUTE(SUBSTITUTE(SUBSTITUTE(SUBSTITUTE(SUBSTITUTE(SUBSTITUTE(SUBSTITUTE(SUBSTITUTE(SUBSTITUTE(SUBSTITUTE(SUBSTITUTE(SUBSTITUTE(SUBSTITUTE(SUBSTITUTE(SUBSTITUTE(SUBSTITUTE(TRIM($L747),"'",""),"İ","I"),"ı","I"),"i","I"),"Ş","S"),"ş","S"),"Ğ","G"),"ğ","G"),"Ü","U"),"ü","U"),"Ö","O"),"ö","O"),"Ç","C"),"ç","C"),".",""),",","")," ",""),"-","")))</f>
        <v/>
      </c>
      <c r="T747" s="3">
        <f>IF(OR($C747="",$D747&lt;&gt;"Gelir",$L747=""),"",IFERROR(INDEX(MUSTERILER!$B$7:$B$106,MATCH($S747,MUSTERILER!$T$7:$T$106,0)),""))</f>
        <v/>
      </c>
      <c r="U747" s="3">
        <f>IF($T747="","",$T747&amp;"|"&amp;COUNTIFS($T$7:$T747,$T747))</f>
        <v/>
      </c>
      <c r="V747" s="3">
        <f>IF($T747="",0,1)</f>
        <v/>
      </c>
      <c r="W747" s="3">
        <f>IF($C747="","",$D747&amp;"|"&amp;$E747&amp;"|"&amp;TEXT($C747,"0")&amp;"|"&amp;TEXT($G747,"0")&amp;"|"&amp;$J747)</f>
        <v/>
      </c>
      <c r="X747" s="3" t="n"/>
      <c r="Y747" s="3" t="n"/>
      <c r="Z747" s="3" t="n"/>
      <c r="AA747" s="3" t="n"/>
      <c r="AB747" s="3" t="n"/>
      <c r="AC747" s="3" t="n"/>
      <c r="AD747" s="3">
        <f>IF($C747="",0,SUMPRODUCT((AY_SONU!$O$7:$O$42="Evet")*(AY_SONU!$B$7:$B$42=DATE(YEAR($C747),MONTH($C747),1))))</f>
        <v/>
      </c>
    </row>
    <row r="748">
      <c r="A748" s="6" t="n"/>
      <c r="B748" s="113">
        <f>IF($C748="","","GG"&amp;TEXT(ROW()-6,"00000"))</f>
        <v/>
      </c>
      <c r="C748" s="220" t="n"/>
      <c r="D748" s="108" t="n"/>
      <c r="E748" s="109" t="n"/>
      <c r="F748" s="109" t="n"/>
      <c r="G748" s="221" t="n"/>
      <c r="H748" s="108" t="n"/>
      <c r="I748" s="108" t="n"/>
      <c r="J748" s="109" t="n"/>
      <c r="K748" s="109" t="n"/>
      <c r="L748" s="108" t="n"/>
      <c r="M748" s="121">
        <f>IF($C748="","",IF($D748="Gider",$E748,IF($L748&lt;&gt;"",$L748,$H748)))</f>
        <v/>
      </c>
      <c r="N748" s="121">
        <f>IF($C748="","",IF($D748="Gider",$H748,$E748))</f>
        <v/>
      </c>
      <c r="O748" s="226">
        <f>IF($C748="","",DATE(YEAR($C748),MONTH($C748),1))</f>
        <v/>
      </c>
      <c r="P748" s="113">
        <f>IF($C748="","",IF(AND($D748="Gelir",$L748&lt;&gt;"",$T748=""),"TANIMSIZ BORÇLU",IF($T748&lt;&gt;"",IF(OR($E748="",$G748&lt;=0),"EKSİK",IF($I748="Evet","TAHAKKUK NAKİT OLAMAZ",IF($C748&gt;TODAY(),"İLERİ TARİH","TAHAKKUK"))),IF(AND($D748&lt;&gt;"",$E748&lt;&gt;"",$G748&gt;0,$H748&lt;&gt;"",$I748&lt;&gt;""),IF($C748&gt;TODAY(),"İLERİ TARİH",IF(COUNTIF($W$7:$W$1206,$W748)&gt;1,"MÜKERRER?",IF($AD748&gt;0,"KAPALI DÖNEM",IF($I748="Hayır","ÖDENECEK","UYGUN")))),"EKSİK"))))</f>
        <v/>
      </c>
      <c r="Q748" s="6" t="n"/>
      <c r="R748" s="6" t="n"/>
      <c r="S748" s="3">
        <f>IF($L748="","",UPPER(SUBSTITUTE(SUBSTITUTE(SUBSTITUTE(SUBSTITUTE(SUBSTITUTE(SUBSTITUTE(SUBSTITUTE(SUBSTITUTE(SUBSTITUTE(SUBSTITUTE(SUBSTITUTE(SUBSTITUTE(SUBSTITUTE(SUBSTITUTE(SUBSTITUTE(SUBSTITUTE(SUBSTITUTE(SUBSTITUTE(TRIM($L748),"'",""),"İ","I"),"ı","I"),"i","I"),"Ş","S"),"ş","S"),"Ğ","G"),"ğ","G"),"Ü","U"),"ü","U"),"Ö","O"),"ö","O"),"Ç","C"),"ç","C"),".",""),",","")," ",""),"-","")))</f>
        <v/>
      </c>
      <c r="T748" s="3">
        <f>IF(OR($C748="",$D748&lt;&gt;"Gelir",$L748=""),"",IFERROR(INDEX(MUSTERILER!$B$7:$B$106,MATCH($S748,MUSTERILER!$T$7:$T$106,0)),""))</f>
        <v/>
      </c>
      <c r="U748" s="3">
        <f>IF($T748="","",$T748&amp;"|"&amp;COUNTIFS($T$7:$T748,$T748))</f>
        <v/>
      </c>
      <c r="V748" s="3">
        <f>IF($T748="",0,1)</f>
        <v/>
      </c>
      <c r="W748" s="3">
        <f>IF($C748="","",$D748&amp;"|"&amp;$E748&amp;"|"&amp;TEXT($C748,"0")&amp;"|"&amp;TEXT($G748,"0")&amp;"|"&amp;$J748)</f>
        <v/>
      </c>
      <c r="X748" s="3" t="n"/>
      <c r="Y748" s="3" t="n"/>
      <c r="Z748" s="3" t="n"/>
      <c r="AA748" s="3" t="n"/>
      <c r="AB748" s="3" t="n"/>
      <c r="AC748" s="3" t="n"/>
      <c r="AD748" s="3">
        <f>IF($C748="",0,SUMPRODUCT((AY_SONU!$O$7:$O$42="Evet")*(AY_SONU!$B$7:$B$42=DATE(YEAR($C748),MONTH($C748),1))))</f>
        <v/>
      </c>
    </row>
    <row r="749">
      <c r="A749" s="6" t="n"/>
      <c r="B749" s="113">
        <f>IF($C749="","","GG"&amp;TEXT(ROW()-6,"00000"))</f>
        <v/>
      </c>
      <c r="C749" s="220" t="n"/>
      <c r="D749" s="108" t="n"/>
      <c r="E749" s="109" t="n"/>
      <c r="F749" s="109" t="n"/>
      <c r="G749" s="221" t="n"/>
      <c r="H749" s="108" t="n"/>
      <c r="I749" s="108" t="n"/>
      <c r="J749" s="109" t="n"/>
      <c r="K749" s="109" t="n"/>
      <c r="L749" s="108" t="n"/>
      <c r="M749" s="121">
        <f>IF($C749="","",IF($D749="Gider",$E749,IF($L749&lt;&gt;"",$L749,$H749)))</f>
        <v/>
      </c>
      <c r="N749" s="121">
        <f>IF($C749="","",IF($D749="Gider",$H749,$E749))</f>
        <v/>
      </c>
      <c r="O749" s="226">
        <f>IF($C749="","",DATE(YEAR($C749),MONTH($C749),1))</f>
        <v/>
      </c>
      <c r="P749" s="113">
        <f>IF($C749="","",IF(AND($D749="Gelir",$L749&lt;&gt;"",$T749=""),"TANIMSIZ BORÇLU",IF($T749&lt;&gt;"",IF(OR($E749="",$G749&lt;=0),"EKSİK",IF($I749="Evet","TAHAKKUK NAKİT OLAMAZ",IF($C749&gt;TODAY(),"İLERİ TARİH","TAHAKKUK"))),IF(AND($D749&lt;&gt;"",$E749&lt;&gt;"",$G749&gt;0,$H749&lt;&gt;"",$I749&lt;&gt;""),IF($C749&gt;TODAY(),"İLERİ TARİH",IF(COUNTIF($W$7:$W$1206,$W749)&gt;1,"MÜKERRER?",IF($AD749&gt;0,"KAPALI DÖNEM",IF($I749="Hayır","ÖDENECEK","UYGUN")))),"EKSİK"))))</f>
        <v/>
      </c>
      <c r="Q749" s="6" t="n"/>
      <c r="R749" s="6" t="n"/>
      <c r="S749" s="3">
        <f>IF($L749="","",UPPER(SUBSTITUTE(SUBSTITUTE(SUBSTITUTE(SUBSTITUTE(SUBSTITUTE(SUBSTITUTE(SUBSTITUTE(SUBSTITUTE(SUBSTITUTE(SUBSTITUTE(SUBSTITUTE(SUBSTITUTE(SUBSTITUTE(SUBSTITUTE(SUBSTITUTE(SUBSTITUTE(SUBSTITUTE(SUBSTITUTE(TRIM($L749),"'",""),"İ","I"),"ı","I"),"i","I"),"Ş","S"),"ş","S"),"Ğ","G"),"ğ","G"),"Ü","U"),"ü","U"),"Ö","O"),"ö","O"),"Ç","C"),"ç","C"),".",""),",","")," ",""),"-","")))</f>
        <v/>
      </c>
      <c r="T749" s="3">
        <f>IF(OR($C749="",$D749&lt;&gt;"Gelir",$L749=""),"",IFERROR(INDEX(MUSTERILER!$B$7:$B$106,MATCH($S749,MUSTERILER!$T$7:$T$106,0)),""))</f>
        <v/>
      </c>
      <c r="U749" s="3">
        <f>IF($T749="","",$T749&amp;"|"&amp;COUNTIFS($T$7:$T749,$T749))</f>
        <v/>
      </c>
      <c r="V749" s="3">
        <f>IF($T749="",0,1)</f>
        <v/>
      </c>
      <c r="W749" s="3">
        <f>IF($C749="","",$D749&amp;"|"&amp;$E749&amp;"|"&amp;TEXT($C749,"0")&amp;"|"&amp;TEXT($G749,"0")&amp;"|"&amp;$J749)</f>
        <v/>
      </c>
      <c r="X749" s="3" t="n"/>
      <c r="Y749" s="3" t="n"/>
      <c r="Z749" s="3" t="n"/>
      <c r="AA749" s="3" t="n"/>
      <c r="AB749" s="3" t="n"/>
      <c r="AC749" s="3" t="n"/>
      <c r="AD749" s="3">
        <f>IF($C749="",0,SUMPRODUCT((AY_SONU!$O$7:$O$42="Evet")*(AY_SONU!$B$7:$B$42=DATE(YEAR($C749),MONTH($C749),1))))</f>
        <v/>
      </c>
    </row>
    <row r="750">
      <c r="A750" s="6" t="n"/>
      <c r="B750" s="113">
        <f>IF($C750="","","GG"&amp;TEXT(ROW()-6,"00000"))</f>
        <v/>
      </c>
      <c r="C750" s="220" t="n"/>
      <c r="D750" s="108" t="n"/>
      <c r="E750" s="109" t="n"/>
      <c r="F750" s="109" t="n"/>
      <c r="G750" s="221" t="n"/>
      <c r="H750" s="108" t="n"/>
      <c r="I750" s="108" t="n"/>
      <c r="J750" s="109" t="n"/>
      <c r="K750" s="109" t="n"/>
      <c r="L750" s="108" t="n"/>
      <c r="M750" s="121">
        <f>IF($C750="","",IF($D750="Gider",$E750,IF($L750&lt;&gt;"",$L750,$H750)))</f>
        <v/>
      </c>
      <c r="N750" s="121">
        <f>IF($C750="","",IF($D750="Gider",$H750,$E750))</f>
        <v/>
      </c>
      <c r="O750" s="226">
        <f>IF($C750="","",DATE(YEAR($C750),MONTH($C750),1))</f>
        <v/>
      </c>
      <c r="P750" s="113">
        <f>IF($C750="","",IF(AND($D750="Gelir",$L750&lt;&gt;"",$T750=""),"TANIMSIZ BORÇLU",IF($T750&lt;&gt;"",IF(OR($E750="",$G750&lt;=0),"EKSİK",IF($I750="Evet","TAHAKKUK NAKİT OLAMAZ",IF($C750&gt;TODAY(),"İLERİ TARİH","TAHAKKUK"))),IF(AND($D750&lt;&gt;"",$E750&lt;&gt;"",$G750&gt;0,$H750&lt;&gt;"",$I750&lt;&gt;""),IF($C750&gt;TODAY(),"İLERİ TARİH",IF(COUNTIF($W$7:$W$1206,$W750)&gt;1,"MÜKERRER?",IF($AD750&gt;0,"KAPALI DÖNEM",IF($I750="Hayır","ÖDENECEK","UYGUN")))),"EKSİK"))))</f>
        <v/>
      </c>
      <c r="Q750" s="6" t="n"/>
      <c r="R750" s="6" t="n"/>
      <c r="S750" s="3">
        <f>IF($L750="","",UPPER(SUBSTITUTE(SUBSTITUTE(SUBSTITUTE(SUBSTITUTE(SUBSTITUTE(SUBSTITUTE(SUBSTITUTE(SUBSTITUTE(SUBSTITUTE(SUBSTITUTE(SUBSTITUTE(SUBSTITUTE(SUBSTITUTE(SUBSTITUTE(SUBSTITUTE(SUBSTITUTE(SUBSTITUTE(SUBSTITUTE(TRIM($L750),"'",""),"İ","I"),"ı","I"),"i","I"),"Ş","S"),"ş","S"),"Ğ","G"),"ğ","G"),"Ü","U"),"ü","U"),"Ö","O"),"ö","O"),"Ç","C"),"ç","C"),".",""),",","")," ",""),"-","")))</f>
        <v/>
      </c>
      <c r="T750" s="3">
        <f>IF(OR($C750="",$D750&lt;&gt;"Gelir",$L750=""),"",IFERROR(INDEX(MUSTERILER!$B$7:$B$106,MATCH($S750,MUSTERILER!$T$7:$T$106,0)),""))</f>
        <v/>
      </c>
      <c r="U750" s="3">
        <f>IF($T750="","",$T750&amp;"|"&amp;COUNTIFS($T$7:$T750,$T750))</f>
        <v/>
      </c>
      <c r="V750" s="3">
        <f>IF($T750="",0,1)</f>
        <v/>
      </c>
      <c r="W750" s="3">
        <f>IF($C750="","",$D750&amp;"|"&amp;$E750&amp;"|"&amp;TEXT($C750,"0")&amp;"|"&amp;TEXT($G750,"0")&amp;"|"&amp;$J750)</f>
        <v/>
      </c>
      <c r="X750" s="3" t="n"/>
      <c r="Y750" s="3" t="n"/>
      <c r="Z750" s="3" t="n"/>
      <c r="AA750" s="3" t="n"/>
      <c r="AB750" s="3" t="n"/>
      <c r="AC750" s="3" t="n"/>
      <c r="AD750" s="3">
        <f>IF($C750="",0,SUMPRODUCT((AY_SONU!$O$7:$O$42="Evet")*(AY_SONU!$B$7:$B$42=DATE(YEAR($C750),MONTH($C750),1))))</f>
        <v/>
      </c>
    </row>
    <row r="751">
      <c r="A751" s="6" t="n"/>
      <c r="B751" s="113">
        <f>IF($C751="","","GG"&amp;TEXT(ROW()-6,"00000"))</f>
        <v/>
      </c>
      <c r="C751" s="220" t="n"/>
      <c r="D751" s="108" t="n"/>
      <c r="E751" s="109" t="n"/>
      <c r="F751" s="109" t="n"/>
      <c r="G751" s="221" t="n"/>
      <c r="H751" s="108" t="n"/>
      <c r="I751" s="108" t="n"/>
      <c r="J751" s="109" t="n"/>
      <c r="K751" s="109" t="n"/>
      <c r="L751" s="108" t="n"/>
      <c r="M751" s="121">
        <f>IF($C751="","",IF($D751="Gider",$E751,IF($L751&lt;&gt;"",$L751,$H751)))</f>
        <v/>
      </c>
      <c r="N751" s="121">
        <f>IF($C751="","",IF($D751="Gider",$H751,$E751))</f>
        <v/>
      </c>
      <c r="O751" s="226">
        <f>IF($C751="","",DATE(YEAR($C751),MONTH($C751),1))</f>
        <v/>
      </c>
      <c r="P751" s="113">
        <f>IF($C751="","",IF(AND($D751="Gelir",$L751&lt;&gt;"",$T751=""),"TANIMSIZ BORÇLU",IF($T751&lt;&gt;"",IF(OR($E751="",$G751&lt;=0),"EKSİK",IF($I751="Evet","TAHAKKUK NAKİT OLAMAZ",IF($C751&gt;TODAY(),"İLERİ TARİH","TAHAKKUK"))),IF(AND($D751&lt;&gt;"",$E751&lt;&gt;"",$G751&gt;0,$H751&lt;&gt;"",$I751&lt;&gt;""),IF($C751&gt;TODAY(),"İLERİ TARİH",IF(COUNTIF($W$7:$W$1206,$W751)&gt;1,"MÜKERRER?",IF($AD751&gt;0,"KAPALI DÖNEM",IF($I751="Hayır","ÖDENECEK","UYGUN")))),"EKSİK"))))</f>
        <v/>
      </c>
      <c r="Q751" s="6" t="n"/>
      <c r="R751" s="6" t="n"/>
      <c r="S751" s="3">
        <f>IF($L751="","",UPPER(SUBSTITUTE(SUBSTITUTE(SUBSTITUTE(SUBSTITUTE(SUBSTITUTE(SUBSTITUTE(SUBSTITUTE(SUBSTITUTE(SUBSTITUTE(SUBSTITUTE(SUBSTITUTE(SUBSTITUTE(SUBSTITUTE(SUBSTITUTE(SUBSTITUTE(SUBSTITUTE(SUBSTITUTE(SUBSTITUTE(TRIM($L751),"'",""),"İ","I"),"ı","I"),"i","I"),"Ş","S"),"ş","S"),"Ğ","G"),"ğ","G"),"Ü","U"),"ü","U"),"Ö","O"),"ö","O"),"Ç","C"),"ç","C"),".",""),",","")," ",""),"-","")))</f>
        <v/>
      </c>
      <c r="T751" s="3">
        <f>IF(OR($C751="",$D751&lt;&gt;"Gelir",$L751=""),"",IFERROR(INDEX(MUSTERILER!$B$7:$B$106,MATCH($S751,MUSTERILER!$T$7:$T$106,0)),""))</f>
        <v/>
      </c>
      <c r="U751" s="3">
        <f>IF($T751="","",$T751&amp;"|"&amp;COUNTIFS($T$7:$T751,$T751))</f>
        <v/>
      </c>
      <c r="V751" s="3">
        <f>IF($T751="",0,1)</f>
        <v/>
      </c>
      <c r="W751" s="3">
        <f>IF($C751="","",$D751&amp;"|"&amp;$E751&amp;"|"&amp;TEXT($C751,"0")&amp;"|"&amp;TEXT($G751,"0")&amp;"|"&amp;$J751)</f>
        <v/>
      </c>
      <c r="X751" s="3" t="n"/>
      <c r="Y751" s="3" t="n"/>
      <c r="Z751" s="3" t="n"/>
      <c r="AA751" s="3" t="n"/>
      <c r="AB751" s="3" t="n"/>
      <c r="AC751" s="3" t="n"/>
      <c r="AD751" s="3">
        <f>IF($C751="",0,SUMPRODUCT((AY_SONU!$O$7:$O$42="Evet")*(AY_SONU!$B$7:$B$42=DATE(YEAR($C751),MONTH($C751),1))))</f>
        <v/>
      </c>
    </row>
    <row r="752">
      <c r="A752" s="6" t="n"/>
      <c r="B752" s="113">
        <f>IF($C752="","","GG"&amp;TEXT(ROW()-6,"00000"))</f>
        <v/>
      </c>
      <c r="C752" s="220" t="n"/>
      <c r="D752" s="108" t="n"/>
      <c r="E752" s="109" t="n"/>
      <c r="F752" s="109" t="n"/>
      <c r="G752" s="221" t="n"/>
      <c r="H752" s="108" t="n"/>
      <c r="I752" s="108" t="n"/>
      <c r="J752" s="109" t="n"/>
      <c r="K752" s="109" t="n"/>
      <c r="L752" s="108" t="n"/>
      <c r="M752" s="121">
        <f>IF($C752="","",IF($D752="Gider",$E752,IF($L752&lt;&gt;"",$L752,$H752)))</f>
        <v/>
      </c>
      <c r="N752" s="121">
        <f>IF($C752="","",IF($D752="Gider",$H752,$E752))</f>
        <v/>
      </c>
      <c r="O752" s="226">
        <f>IF($C752="","",DATE(YEAR($C752),MONTH($C752),1))</f>
        <v/>
      </c>
      <c r="P752" s="113">
        <f>IF($C752="","",IF(AND($D752="Gelir",$L752&lt;&gt;"",$T752=""),"TANIMSIZ BORÇLU",IF($T752&lt;&gt;"",IF(OR($E752="",$G752&lt;=0),"EKSİK",IF($I752="Evet","TAHAKKUK NAKİT OLAMAZ",IF($C752&gt;TODAY(),"İLERİ TARİH","TAHAKKUK"))),IF(AND($D752&lt;&gt;"",$E752&lt;&gt;"",$G752&gt;0,$H752&lt;&gt;"",$I752&lt;&gt;""),IF($C752&gt;TODAY(),"İLERİ TARİH",IF(COUNTIF($W$7:$W$1206,$W752)&gt;1,"MÜKERRER?",IF($AD752&gt;0,"KAPALI DÖNEM",IF($I752="Hayır","ÖDENECEK","UYGUN")))),"EKSİK"))))</f>
        <v/>
      </c>
      <c r="Q752" s="6" t="n"/>
      <c r="R752" s="6" t="n"/>
      <c r="S752" s="3">
        <f>IF($L752="","",UPPER(SUBSTITUTE(SUBSTITUTE(SUBSTITUTE(SUBSTITUTE(SUBSTITUTE(SUBSTITUTE(SUBSTITUTE(SUBSTITUTE(SUBSTITUTE(SUBSTITUTE(SUBSTITUTE(SUBSTITUTE(SUBSTITUTE(SUBSTITUTE(SUBSTITUTE(SUBSTITUTE(SUBSTITUTE(SUBSTITUTE(TRIM($L752),"'",""),"İ","I"),"ı","I"),"i","I"),"Ş","S"),"ş","S"),"Ğ","G"),"ğ","G"),"Ü","U"),"ü","U"),"Ö","O"),"ö","O"),"Ç","C"),"ç","C"),".",""),",","")," ",""),"-","")))</f>
        <v/>
      </c>
      <c r="T752" s="3">
        <f>IF(OR($C752="",$D752&lt;&gt;"Gelir",$L752=""),"",IFERROR(INDEX(MUSTERILER!$B$7:$B$106,MATCH($S752,MUSTERILER!$T$7:$T$106,0)),""))</f>
        <v/>
      </c>
      <c r="U752" s="3">
        <f>IF($T752="","",$T752&amp;"|"&amp;COUNTIFS($T$7:$T752,$T752))</f>
        <v/>
      </c>
      <c r="V752" s="3">
        <f>IF($T752="",0,1)</f>
        <v/>
      </c>
      <c r="W752" s="3">
        <f>IF($C752="","",$D752&amp;"|"&amp;$E752&amp;"|"&amp;TEXT($C752,"0")&amp;"|"&amp;TEXT($G752,"0")&amp;"|"&amp;$J752)</f>
        <v/>
      </c>
      <c r="X752" s="3" t="n"/>
      <c r="Y752" s="3" t="n"/>
      <c r="Z752" s="3" t="n"/>
      <c r="AA752" s="3" t="n"/>
      <c r="AB752" s="3" t="n"/>
      <c r="AC752" s="3" t="n"/>
      <c r="AD752" s="3">
        <f>IF($C752="",0,SUMPRODUCT((AY_SONU!$O$7:$O$42="Evet")*(AY_SONU!$B$7:$B$42=DATE(YEAR($C752),MONTH($C752),1))))</f>
        <v/>
      </c>
    </row>
    <row r="753">
      <c r="A753" s="6" t="n"/>
      <c r="B753" s="113">
        <f>IF($C753="","","GG"&amp;TEXT(ROW()-6,"00000"))</f>
        <v/>
      </c>
      <c r="C753" s="220" t="n"/>
      <c r="D753" s="108" t="n"/>
      <c r="E753" s="109" t="n"/>
      <c r="F753" s="109" t="n"/>
      <c r="G753" s="221" t="n"/>
      <c r="H753" s="108" t="n"/>
      <c r="I753" s="108" t="n"/>
      <c r="J753" s="109" t="n"/>
      <c r="K753" s="109" t="n"/>
      <c r="L753" s="108" t="n"/>
      <c r="M753" s="121">
        <f>IF($C753="","",IF($D753="Gider",$E753,IF($L753&lt;&gt;"",$L753,$H753)))</f>
        <v/>
      </c>
      <c r="N753" s="121">
        <f>IF($C753="","",IF($D753="Gider",$H753,$E753))</f>
        <v/>
      </c>
      <c r="O753" s="226">
        <f>IF($C753="","",DATE(YEAR($C753),MONTH($C753),1))</f>
        <v/>
      </c>
      <c r="P753" s="113">
        <f>IF($C753="","",IF(AND($D753="Gelir",$L753&lt;&gt;"",$T753=""),"TANIMSIZ BORÇLU",IF($T753&lt;&gt;"",IF(OR($E753="",$G753&lt;=0),"EKSİK",IF($I753="Evet","TAHAKKUK NAKİT OLAMAZ",IF($C753&gt;TODAY(),"İLERİ TARİH","TAHAKKUK"))),IF(AND($D753&lt;&gt;"",$E753&lt;&gt;"",$G753&gt;0,$H753&lt;&gt;"",$I753&lt;&gt;""),IF($C753&gt;TODAY(),"İLERİ TARİH",IF(COUNTIF($W$7:$W$1206,$W753)&gt;1,"MÜKERRER?",IF($AD753&gt;0,"KAPALI DÖNEM",IF($I753="Hayır","ÖDENECEK","UYGUN")))),"EKSİK"))))</f>
        <v/>
      </c>
      <c r="Q753" s="6" t="n"/>
      <c r="R753" s="6" t="n"/>
      <c r="S753" s="3">
        <f>IF($L753="","",UPPER(SUBSTITUTE(SUBSTITUTE(SUBSTITUTE(SUBSTITUTE(SUBSTITUTE(SUBSTITUTE(SUBSTITUTE(SUBSTITUTE(SUBSTITUTE(SUBSTITUTE(SUBSTITUTE(SUBSTITUTE(SUBSTITUTE(SUBSTITUTE(SUBSTITUTE(SUBSTITUTE(SUBSTITUTE(SUBSTITUTE(TRIM($L753),"'",""),"İ","I"),"ı","I"),"i","I"),"Ş","S"),"ş","S"),"Ğ","G"),"ğ","G"),"Ü","U"),"ü","U"),"Ö","O"),"ö","O"),"Ç","C"),"ç","C"),".",""),",","")," ",""),"-","")))</f>
        <v/>
      </c>
      <c r="T753" s="3">
        <f>IF(OR($C753="",$D753&lt;&gt;"Gelir",$L753=""),"",IFERROR(INDEX(MUSTERILER!$B$7:$B$106,MATCH($S753,MUSTERILER!$T$7:$T$106,0)),""))</f>
        <v/>
      </c>
      <c r="U753" s="3">
        <f>IF($T753="","",$T753&amp;"|"&amp;COUNTIFS($T$7:$T753,$T753))</f>
        <v/>
      </c>
      <c r="V753" s="3">
        <f>IF($T753="",0,1)</f>
        <v/>
      </c>
      <c r="W753" s="3">
        <f>IF($C753="","",$D753&amp;"|"&amp;$E753&amp;"|"&amp;TEXT($C753,"0")&amp;"|"&amp;TEXT($G753,"0")&amp;"|"&amp;$J753)</f>
        <v/>
      </c>
      <c r="X753" s="3" t="n"/>
      <c r="Y753" s="3" t="n"/>
      <c r="Z753" s="3" t="n"/>
      <c r="AA753" s="3" t="n"/>
      <c r="AB753" s="3" t="n"/>
      <c r="AC753" s="3" t="n"/>
      <c r="AD753" s="3">
        <f>IF($C753="",0,SUMPRODUCT((AY_SONU!$O$7:$O$42="Evet")*(AY_SONU!$B$7:$B$42=DATE(YEAR($C753),MONTH($C753),1))))</f>
        <v/>
      </c>
    </row>
    <row r="754">
      <c r="A754" s="6" t="n"/>
      <c r="B754" s="113">
        <f>IF($C754="","","GG"&amp;TEXT(ROW()-6,"00000"))</f>
        <v/>
      </c>
      <c r="C754" s="220" t="n"/>
      <c r="D754" s="108" t="n"/>
      <c r="E754" s="109" t="n"/>
      <c r="F754" s="109" t="n"/>
      <c r="G754" s="221" t="n"/>
      <c r="H754" s="108" t="n"/>
      <c r="I754" s="108" t="n"/>
      <c r="J754" s="109" t="n"/>
      <c r="K754" s="109" t="n"/>
      <c r="L754" s="108" t="n"/>
      <c r="M754" s="121">
        <f>IF($C754="","",IF($D754="Gider",$E754,IF($L754&lt;&gt;"",$L754,$H754)))</f>
        <v/>
      </c>
      <c r="N754" s="121">
        <f>IF($C754="","",IF($D754="Gider",$H754,$E754))</f>
        <v/>
      </c>
      <c r="O754" s="226">
        <f>IF($C754="","",DATE(YEAR($C754),MONTH($C754),1))</f>
        <v/>
      </c>
      <c r="P754" s="113">
        <f>IF($C754="","",IF(AND($D754="Gelir",$L754&lt;&gt;"",$T754=""),"TANIMSIZ BORÇLU",IF($T754&lt;&gt;"",IF(OR($E754="",$G754&lt;=0),"EKSİK",IF($I754="Evet","TAHAKKUK NAKİT OLAMAZ",IF($C754&gt;TODAY(),"İLERİ TARİH","TAHAKKUK"))),IF(AND($D754&lt;&gt;"",$E754&lt;&gt;"",$G754&gt;0,$H754&lt;&gt;"",$I754&lt;&gt;""),IF($C754&gt;TODAY(),"İLERİ TARİH",IF(COUNTIF($W$7:$W$1206,$W754)&gt;1,"MÜKERRER?",IF($AD754&gt;0,"KAPALI DÖNEM",IF($I754="Hayır","ÖDENECEK","UYGUN")))),"EKSİK"))))</f>
        <v/>
      </c>
      <c r="Q754" s="6" t="n"/>
      <c r="R754" s="6" t="n"/>
      <c r="S754" s="3">
        <f>IF($L754="","",UPPER(SUBSTITUTE(SUBSTITUTE(SUBSTITUTE(SUBSTITUTE(SUBSTITUTE(SUBSTITUTE(SUBSTITUTE(SUBSTITUTE(SUBSTITUTE(SUBSTITUTE(SUBSTITUTE(SUBSTITUTE(SUBSTITUTE(SUBSTITUTE(SUBSTITUTE(SUBSTITUTE(SUBSTITUTE(SUBSTITUTE(TRIM($L754),"'",""),"İ","I"),"ı","I"),"i","I"),"Ş","S"),"ş","S"),"Ğ","G"),"ğ","G"),"Ü","U"),"ü","U"),"Ö","O"),"ö","O"),"Ç","C"),"ç","C"),".",""),",","")," ",""),"-","")))</f>
        <v/>
      </c>
      <c r="T754" s="3">
        <f>IF(OR($C754="",$D754&lt;&gt;"Gelir",$L754=""),"",IFERROR(INDEX(MUSTERILER!$B$7:$B$106,MATCH($S754,MUSTERILER!$T$7:$T$106,0)),""))</f>
        <v/>
      </c>
      <c r="U754" s="3">
        <f>IF($T754="","",$T754&amp;"|"&amp;COUNTIFS($T$7:$T754,$T754))</f>
        <v/>
      </c>
      <c r="V754" s="3">
        <f>IF($T754="",0,1)</f>
        <v/>
      </c>
      <c r="W754" s="3">
        <f>IF($C754="","",$D754&amp;"|"&amp;$E754&amp;"|"&amp;TEXT($C754,"0")&amp;"|"&amp;TEXT($G754,"0")&amp;"|"&amp;$J754)</f>
        <v/>
      </c>
      <c r="X754" s="3" t="n"/>
      <c r="Y754" s="3" t="n"/>
      <c r="Z754" s="3" t="n"/>
      <c r="AA754" s="3" t="n"/>
      <c r="AB754" s="3" t="n"/>
      <c r="AC754" s="3" t="n"/>
      <c r="AD754" s="3">
        <f>IF($C754="",0,SUMPRODUCT((AY_SONU!$O$7:$O$42="Evet")*(AY_SONU!$B$7:$B$42=DATE(YEAR($C754),MONTH($C754),1))))</f>
        <v/>
      </c>
    </row>
    <row r="755">
      <c r="A755" s="6" t="n"/>
      <c r="B755" s="113">
        <f>IF($C755="","","GG"&amp;TEXT(ROW()-6,"00000"))</f>
        <v/>
      </c>
      <c r="C755" s="220" t="n"/>
      <c r="D755" s="108" t="n"/>
      <c r="E755" s="109" t="n"/>
      <c r="F755" s="109" t="n"/>
      <c r="G755" s="221" t="n"/>
      <c r="H755" s="108" t="n"/>
      <c r="I755" s="108" t="n"/>
      <c r="J755" s="109" t="n"/>
      <c r="K755" s="109" t="n"/>
      <c r="L755" s="108" t="n"/>
      <c r="M755" s="121">
        <f>IF($C755="","",IF($D755="Gider",$E755,IF($L755&lt;&gt;"",$L755,$H755)))</f>
        <v/>
      </c>
      <c r="N755" s="121">
        <f>IF($C755="","",IF($D755="Gider",$H755,$E755))</f>
        <v/>
      </c>
      <c r="O755" s="226">
        <f>IF($C755="","",DATE(YEAR($C755),MONTH($C755),1))</f>
        <v/>
      </c>
      <c r="P755" s="113">
        <f>IF($C755="","",IF(AND($D755="Gelir",$L755&lt;&gt;"",$T755=""),"TANIMSIZ BORÇLU",IF($T755&lt;&gt;"",IF(OR($E755="",$G755&lt;=0),"EKSİK",IF($I755="Evet","TAHAKKUK NAKİT OLAMAZ",IF($C755&gt;TODAY(),"İLERİ TARİH","TAHAKKUK"))),IF(AND($D755&lt;&gt;"",$E755&lt;&gt;"",$G755&gt;0,$H755&lt;&gt;"",$I755&lt;&gt;""),IF($C755&gt;TODAY(),"İLERİ TARİH",IF(COUNTIF($W$7:$W$1206,$W755)&gt;1,"MÜKERRER?",IF($AD755&gt;0,"KAPALI DÖNEM",IF($I755="Hayır","ÖDENECEK","UYGUN")))),"EKSİK"))))</f>
        <v/>
      </c>
      <c r="Q755" s="6" t="n"/>
      <c r="R755" s="6" t="n"/>
      <c r="S755" s="3">
        <f>IF($L755="","",UPPER(SUBSTITUTE(SUBSTITUTE(SUBSTITUTE(SUBSTITUTE(SUBSTITUTE(SUBSTITUTE(SUBSTITUTE(SUBSTITUTE(SUBSTITUTE(SUBSTITUTE(SUBSTITUTE(SUBSTITUTE(SUBSTITUTE(SUBSTITUTE(SUBSTITUTE(SUBSTITUTE(SUBSTITUTE(SUBSTITUTE(TRIM($L755),"'",""),"İ","I"),"ı","I"),"i","I"),"Ş","S"),"ş","S"),"Ğ","G"),"ğ","G"),"Ü","U"),"ü","U"),"Ö","O"),"ö","O"),"Ç","C"),"ç","C"),".",""),",","")," ",""),"-","")))</f>
        <v/>
      </c>
      <c r="T755" s="3">
        <f>IF(OR($C755="",$D755&lt;&gt;"Gelir",$L755=""),"",IFERROR(INDEX(MUSTERILER!$B$7:$B$106,MATCH($S755,MUSTERILER!$T$7:$T$106,0)),""))</f>
        <v/>
      </c>
      <c r="U755" s="3">
        <f>IF($T755="","",$T755&amp;"|"&amp;COUNTIFS($T$7:$T755,$T755))</f>
        <v/>
      </c>
      <c r="V755" s="3">
        <f>IF($T755="",0,1)</f>
        <v/>
      </c>
      <c r="W755" s="3">
        <f>IF($C755="","",$D755&amp;"|"&amp;$E755&amp;"|"&amp;TEXT($C755,"0")&amp;"|"&amp;TEXT($G755,"0")&amp;"|"&amp;$J755)</f>
        <v/>
      </c>
      <c r="X755" s="3" t="n"/>
      <c r="Y755" s="3" t="n"/>
      <c r="Z755" s="3" t="n"/>
      <c r="AA755" s="3" t="n"/>
      <c r="AB755" s="3" t="n"/>
      <c r="AC755" s="3" t="n"/>
      <c r="AD755" s="3">
        <f>IF($C755="",0,SUMPRODUCT((AY_SONU!$O$7:$O$42="Evet")*(AY_SONU!$B$7:$B$42=DATE(YEAR($C755),MONTH($C755),1))))</f>
        <v/>
      </c>
    </row>
    <row r="756">
      <c r="A756" s="6" t="n"/>
      <c r="B756" s="113">
        <f>IF($C756="","","GG"&amp;TEXT(ROW()-6,"00000"))</f>
        <v/>
      </c>
      <c r="C756" s="220" t="n"/>
      <c r="D756" s="108" t="n"/>
      <c r="E756" s="109" t="n"/>
      <c r="F756" s="109" t="n"/>
      <c r="G756" s="221" t="n"/>
      <c r="H756" s="108" t="n"/>
      <c r="I756" s="108" t="n"/>
      <c r="J756" s="109" t="n"/>
      <c r="K756" s="109" t="n"/>
      <c r="L756" s="108" t="n"/>
      <c r="M756" s="121">
        <f>IF($C756="","",IF($D756="Gider",$E756,IF($L756&lt;&gt;"",$L756,$H756)))</f>
        <v/>
      </c>
      <c r="N756" s="121">
        <f>IF($C756="","",IF($D756="Gider",$H756,$E756))</f>
        <v/>
      </c>
      <c r="O756" s="226">
        <f>IF($C756="","",DATE(YEAR($C756),MONTH($C756),1))</f>
        <v/>
      </c>
      <c r="P756" s="113">
        <f>IF($C756="","",IF(AND($D756="Gelir",$L756&lt;&gt;"",$T756=""),"TANIMSIZ BORÇLU",IF($T756&lt;&gt;"",IF(OR($E756="",$G756&lt;=0),"EKSİK",IF($I756="Evet","TAHAKKUK NAKİT OLAMAZ",IF($C756&gt;TODAY(),"İLERİ TARİH","TAHAKKUK"))),IF(AND($D756&lt;&gt;"",$E756&lt;&gt;"",$G756&gt;0,$H756&lt;&gt;"",$I756&lt;&gt;""),IF($C756&gt;TODAY(),"İLERİ TARİH",IF(COUNTIF($W$7:$W$1206,$W756)&gt;1,"MÜKERRER?",IF($AD756&gt;0,"KAPALI DÖNEM",IF($I756="Hayır","ÖDENECEK","UYGUN")))),"EKSİK"))))</f>
        <v/>
      </c>
      <c r="Q756" s="6" t="n"/>
      <c r="R756" s="6" t="n"/>
      <c r="S756" s="3">
        <f>IF($L756="","",UPPER(SUBSTITUTE(SUBSTITUTE(SUBSTITUTE(SUBSTITUTE(SUBSTITUTE(SUBSTITUTE(SUBSTITUTE(SUBSTITUTE(SUBSTITUTE(SUBSTITUTE(SUBSTITUTE(SUBSTITUTE(SUBSTITUTE(SUBSTITUTE(SUBSTITUTE(SUBSTITUTE(SUBSTITUTE(SUBSTITUTE(TRIM($L756),"'",""),"İ","I"),"ı","I"),"i","I"),"Ş","S"),"ş","S"),"Ğ","G"),"ğ","G"),"Ü","U"),"ü","U"),"Ö","O"),"ö","O"),"Ç","C"),"ç","C"),".",""),",","")," ",""),"-","")))</f>
        <v/>
      </c>
      <c r="T756" s="3">
        <f>IF(OR($C756="",$D756&lt;&gt;"Gelir",$L756=""),"",IFERROR(INDEX(MUSTERILER!$B$7:$B$106,MATCH($S756,MUSTERILER!$T$7:$T$106,0)),""))</f>
        <v/>
      </c>
      <c r="U756" s="3">
        <f>IF($T756="","",$T756&amp;"|"&amp;COUNTIFS($T$7:$T756,$T756))</f>
        <v/>
      </c>
      <c r="V756" s="3">
        <f>IF($T756="",0,1)</f>
        <v/>
      </c>
      <c r="W756" s="3">
        <f>IF($C756="","",$D756&amp;"|"&amp;$E756&amp;"|"&amp;TEXT($C756,"0")&amp;"|"&amp;TEXT($G756,"0")&amp;"|"&amp;$J756)</f>
        <v/>
      </c>
      <c r="X756" s="3" t="n"/>
      <c r="Y756" s="3" t="n"/>
      <c r="Z756" s="3" t="n"/>
      <c r="AA756" s="3" t="n"/>
      <c r="AB756" s="3" t="n"/>
      <c r="AC756" s="3" t="n"/>
      <c r="AD756" s="3">
        <f>IF($C756="",0,SUMPRODUCT((AY_SONU!$O$7:$O$42="Evet")*(AY_SONU!$B$7:$B$42=DATE(YEAR($C756),MONTH($C756),1))))</f>
        <v/>
      </c>
    </row>
    <row r="757">
      <c r="A757" s="6" t="n"/>
      <c r="B757" s="113">
        <f>IF($C757="","","GG"&amp;TEXT(ROW()-6,"00000"))</f>
        <v/>
      </c>
      <c r="C757" s="220" t="n"/>
      <c r="D757" s="108" t="n"/>
      <c r="E757" s="109" t="n"/>
      <c r="F757" s="109" t="n"/>
      <c r="G757" s="221" t="n"/>
      <c r="H757" s="108" t="n"/>
      <c r="I757" s="108" t="n"/>
      <c r="J757" s="109" t="n"/>
      <c r="K757" s="109" t="n"/>
      <c r="L757" s="108" t="n"/>
      <c r="M757" s="121">
        <f>IF($C757="","",IF($D757="Gider",$E757,IF($L757&lt;&gt;"",$L757,$H757)))</f>
        <v/>
      </c>
      <c r="N757" s="121">
        <f>IF($C757="","",IF($D757="Gider",$H757,$E757))</f>
        <v/>
      </c>
      <c r="O757" s="226">
        <f>IF($C757="","",DATE(YEAR($C757),MONTH($C757),1))</f>
        <v/>
      </c>
      <c r="P757" s="113">
        <f>IF($C757="","",IF(AND($D757="Gelir",$L757&lt;&gt;"",$T757=""),"TANIMSIZ BORÇLU",IF($T757&lt;&gt;"",IF(OR($E757="",$G757&lt;=0),"EKSİK",IF($I757="Evet","TAHAKKUK NAKİT OLAMAZ",IF($C757&gt;TODAY(),"İLERİ TARİH","TAHAKKUK"))),IF(AND($D757&lt;&gt;"",$E757&lt;&gt;"",$G757&gt;0,$H757&lt;&gt;"",$I757&lt;&gt;""),IF($C757&gt;TODAY(),"İLERİ TARİH",IF(COUNTIF($W$7:$W$1206,$W757)&gt;1,"MÜKERRER?",IF($AD757&gt;0,"KAPALI DÖNEM",IF($I757="Hayır","ÖDENECEK","UYGUN")))),"EKSİK"))))</f>
        <v/>
      </c>
      <c r="Q757" s="6" t="n"/>
      <c r="R757" s="6" t="n"/>
      <c r="S757" s="3">
        <f>IF($L757="","",UPPER(SUBSTITUTE(SUBSTITUTE(SUBSTITUTE(SUBSTITUTE(SUBSTITUTE(SUBSTITUTE(SUBSTITUTE(SUBSTITUTE(SUBSTITUTE(SUBSTITUTE(SUBSTITUTE(SUBSTITUTE(SUBSTITUTE(SUBSTITUTE(SUBSTITUTE(SUBSTITUTE(SUBSTITUTE(SUBSTITUTE(TRIM($L757),"'",""),"İ","I"),"ı","I"),"i","I"),"Ş","S"),"ş","S"),"Ğ","G"),"ğ","G"),"Ü","U"),"ü","U"),"Ö","O"),"ö","O"),"Ç","C"),"ç","C"),".",""),",","")," ",""),"-","")))</f>
        <v/>
      </c>
      <c r="T757" s="3">
        <f>IF(OR($C757="",$D757&lt;&gt;"Gelir",$L757=""),"",IFERROR(INDEX(MUSTERILER!$B$7:$B$106,MATCH($S757,MUSTERILER!$T$7:$T$106,0)),""))</f>
        <v/>
      </c>
      <c r="U757" s="3">
        <f>IF($T757="","",$T757&amp;"|"&amp;COUNTIFS($T$7:$T757,$T757))</f>
        <v/>
      </c>
      <c r="V757" s="3">
        <f>IF($T757="",0,1)</f>
        <v/>
      </c>
      <c r="W757" s="3">
        <f>IF($C757="","",$D757&amp;"|"&amp;$E757&amp;"|"&amp;TEXT($C757,"0")&amp;"|"&amp;TEXT($G757,"0")&amp;"|"&amp;$J757)</f>
        <v/>
      </c>
      <c r="X757" s="3" t="n"/>
      <c r="Y757" s="3" t="n"/>
      <c r="Z757" s="3" t="n"/>
      <c r="AA757" s="3" t="n"/>
      <c r="AB757" s="3" t="n"/>
      <c r="AC757" s="3" t="n"/>
      <c r="AD757" s="3">
        <f>IF($C757="",0,SUMPRODUCT((AY_SONU!$O$7:$O$42="Evet")*(AY_SONU!$B$7:$B$42=DATE(YEAR($C757),MONTH($C757),1))))</f>
        <v/>
      </c>
    </row>
    <row r="758">
      <c r="A758" s="6" t="n"/>
      <c r="B758" s="113">
        <f>IF($C758="","","GG"&amp;TEXT(ROW()-6,"00000"))</f>
        <v/>
      </c>
      <c r="C758" s="220" t="n"/>
      <c r="D758" s="108" t="n"/>
      <c r="E758" s="109" t="n"/>
      <c r="F758" s="109" t="n"/>
      <c r="G758" s="221" t="n"/>
      <c r="H758" s="108" t="n"/>
      <c r="I758" s="108" t="n"/>
      <c r="J758" s="109" t="n"/>
      <c r="K758" s="109" t="n"/>
      <c r="L758" s="108" t="n"/>
      <c r="M758" s="121">
        <f>IF($C758="","",IF($D758="Gider",$E758,IF($L758&lt;&gt;"",$L758,$H758)))</f>
        <v/>
      </c>
      <c r="N758" s="121">
        <f>IF($C758="","",IF($D758="Gider",$H758,$E758))</f>
        <v/>
      </c>
      <c r="O758" s="226">
        <f>IF($C758="","",DATE(YEAR($C758),MONTH($C758),1))</f>
        <v/>
      </c>
      <c r="P758" s="113">
        <f>IF($C758="","",IF(AND($D758="Gelir",$L758&lt;&gt;"",$T758=""),"TANIMSIZ BORÇLU",IF($T758&lt;&gt;"",IF(OR($E758="",$G758&lt;=0),"EKSİK",IF($I758="Evet","TAHAKKUK NAKİT OLAMAZ",IF($C758&gt;TODAY(),"İLERİ TARİH","TAHAKKUK"))),IF(AND($D758&lt;&gt;"",$E758&lt;&gt;"",$G758&gt;0,$H758&lt;&gt;"",$I758&lt;&gt;""),IF($C758&gt;TODAY(),"İLERİ TARİH",IF(COUNTIF($W$7:$W$1206,$W758)&gt;1,"MÜKERRER?",IF($AD758&gt;0,"KAPALI DÖNEM",IF($I758="Hayır","ÖDENECEK","UYGUN")))),"EKSİK"))))</f>
        <v/>
      </c>
      <c r="Q758" s="6" t="n"/>
      <c r="R758" s="6" t="n"/>
      <c r="S758" s="3">
        <f>IF($L758="","",UPPER(SUBSTITUTE(SUBSTITUTE(SUBSTITUTE(SUBSTITUTE(SUBSTITUTE(SUBSTITUTE(SUBSTITUTE(SUBSTITUTE(SUBSTITUTE(SUBSTITUTE(SUBSTITUTE(SUBSTITUTE(SUBSTITUTE(SUBSTITUTE(SUBSTITUTE(SUBSTITUTE(SUBSTITUTE(SUBSTITUTE(TRIM($L758),"'",""),"İ","I"),"ı","I"),"i","I"),"Ş","S"),"ş","S"),"Ğ","G"),"ğ","G"),"Ü","U"),"ü","U"),"Ö","O"),"ö","O"),"Ç","C"),"ç","C"),".",""),",","")," ",""),"-","")))</f>
        <v/>
      </c>
      <c r="T758" s="3">
        <f>IF(OR($C758="",$D758&lt;&gt;"Gelir",$L758=""),"",IFERROR(INDEX(MUSTERILER!$B$7:$B$106,MATCH($S758,MUSTERILER!$T$7:$T$106,0)),""))</f>
        <v/>
      </c>
      <c r="U758" s="3">
        <f>IF($T758="","",$T758&amp;"|"&amp;COUNTIFS($T$7:$T758,$T758))</f>
        <v/>
      </c>
      <c r="V758" s="3">
        <f>IF($T758="",0,1)</f>
        <v/>
      </c>
      <c r="W758" s="3">
        <f>IF($C758="","",$D758&amp;"|"&amp;$E758&amp;"|"&amp;TEXT($C758,"0")&amp;"|"&amp;TEXT($G758,"0")&amp;"|"&amp;$J758)</f>
        <v/>
      </c>
      <c r="X758" s="3" t="n"/>
      <c r="Y758" s="3" t="n"/>
      <c r="Z758" s="3" t="n"/>
      <c r="AA758" s="3" t="n"/>
      <c r="AB758" s="3" t="n"/>
      <c r="AC758" s="3" t="n"/>
      <c r="AD758" s="3">
        <f>IF($C758="",0,SUMPRODUCT((AY_SONU!$O$7:$O$42="Evet")*(AY_SONU!$B$7:$B$42=DATE(YEAR($C758),MONTH($C758),1))))</f>
        <v/>
      </c>
    </row>
    <row r="759">
      <c r="A759" s="6" t="n"/>
      <c r="B759" s="113">
        <f>IF($C759="","","GG"&amp;TEXT(ROW()-6,"00000"))</f>
        <v/>
      </c>
      <c r="C759" s="220" t="n"/>
      <c r="D759" s="108" t="n"/>
      <c r="E759" s="109" t="n"/>
      <c r="F759" s="109" t="n"/>
      <c r="G759" s="221" t="n"/>
      <c r="H759" s="108" t="n"/>
      <c r="I759" s="108" t="n"/>
      <c r="J759" s="109" t="n"/>
      <c r="K759" s="109" t="n"/>
      <c r="L759" s="108" t="n"/>
      <c r="M759" s="121">
        <f>IF($C759="","",IF($D759="Gider",$E759,IF($L759&lt;&gt;"",$L759,$H759)))</f>
        <v/>
      </c>
      <c r="N759" s="121">
        <f>IF($C759="","",IF($D759="Gider",$H759,$E759))</f>
        <v/>
      </c>
      <c r="O759" s="226">
        <f>IF($C759="","",DATE(YEAR($C759),MONTH($C759),1))</f>
        <v/>
      </c>
      <c r="P759" s="113">
        <f>IF($C759="","",IF(AND($D759="Gelir",$L759&lt;&gt;"",$T759=""),"TANIMSIZ BORÇLU",IF($T759&lt;&gt;"",IF(OR($E759="",$G759&lt;=0),"EKSİK",IF($I759="Evet","TAHAKKUK NAKİT OLAMAZ",IF($C759&gt;TODAY(),"İLERİ TARİH","TAHAKKUK"))),IF(AND($D759&lt;&gt;"",$E759&lt;&gt;"",$G759&gt;0,$H759&lt;&gt;"",$I759&lt;&gt;""),IF($C759&gt;TODAY(),"İLERİ TARİH",IF(COUNTIF($W$7:$W$1206,$W759)&gt;1,"MÜKERRER?",IF($AD759&gt;0,"KAPALI DÖNEM",IF($I759="Hayır","ÖDENECEK","UYGUN")))),"EKSİK"))))</f>
        <v/>
      </c>
      <c r="Q759" s="6" t="n"/>
      <c r="R759" s="6" t="n"/>
      <c r="S759" s="3">
        <f>IF($L759="","",UPPER(SUBSTITUTE(SUBSTITUTE(SUBSTITUTE(SUBSTITUTE(SUBSTITUTE(SUBSTITUTE(SUBSTITUTE(SUBSTITUTE(SUBSTITUTE(SUBSTITUTE(SUBSTITUTE(SUBSTITUTE(SUBSTITUTE(SUBSTITUTE(SUBSTITUTE(SUBSTITUTE(SUBSTITUTE(SUBSTITUTE(TRIM($L759),"'",""),"İ","I"),"ı","I"),"i","I"),"Ş","S"),"ş","S"),"Ğ","G"),"ğ","G"),"Ü","U"),"ü","U"),"Ö","O"),"ö","O"),"Ç","C"),"ç","C"),".",""),",","")," ",""),"-","")))</f>
        <v/>
      </c>
      <c r="T759" s="3">
        <f>IF(OR($C759="",$D759&lt;&gt;"Gelir",$L759=""),"",IFERROR(INDEX(MUSTERILER!$B$7:$B$106,MATCH($S759,MUSTERILER!$T$7:$T$106,0)),""))</f>
        <v/>
      </c>
      <c r="U759" s="3">
        <f>IF($T759="","",$T759&amp;"|"&amp;COUNTIFS($T$7:$T759,$T759))</f>
        <v/>
      </c>
      <c r="V759" s="3">
        <f>IF($T759="",0,1)</f>
        <v/>
      </c>
      <c r="W759" s="3">
        <f>IF($C759="","",$D759&amp;"|"&amp;$E759&amp;"|"&amp;TEXT($C759,"0")&amp;"|"&amp;TEXT($G759,"0")&amp;"|"&amp;$J759)</f>
        <v/>
      </c>
      <c r="X759" s="3" t="n"/>
      <c r="Y759" s="3" t="n"/>
      <c r="Z759" s="3" t="n"/>
      <c r="AA759" s="3" t="n"/>
      <c r="AB759" s="3" t="n"/>
      <c r="AC759" s="3" t="n"/>
      <c r="AD759" s="3">
        <f>IF($C759="",0,SUMPRODUCT((AY_SONU!$O$7:$O$42="Evet")*(AY_SONU!$B$7:$B$42=DATE(YEAR($C759),MONTH($C759),1))))</f>
        <v/>
      </c>
    </row>
    <row r="760">
      <c r="A760" s="6" t="n"/>
      <c r="B760" s="113">
        <f>IF($C760="","","GG"&amp;TEXT(ROW()-6,"00000"))</f>
        <v/>
      </c>
      <c r="C760" s="220" t="n"/>
      <c r="D760" s="108" t="n"/>
      <c r="E760" s="109" t="n"/>
      <c r="F760" s="109" t="n"/>
      <c r="G760" s="221" t="n"/>
      <c r="H760" s="108" t="n"/>
      <c r="I760" s="108" t="n"/>
      <c r="J760" s="109" t="n"/>
      <c r="K760" s="109" t="n"/>
      <c r="L760" s="108" t="n"/>
      <c r="M760" s="121">
        <f>IF($C760="","",IF($D760="Gider",$E760,IF($L760&lt;&gt;"",$L760,$H760)))</f>
        <v/>
      </c>
      <c r="N760" s="121">
        <f>IF($C760="","",IF($D760="Gider",$H760,$E760))</f>
        <v/>
      </c>
      <c r="O760" s="226">
        <f>IF($C760="","",DATE(YEAR($C760),MONTH($C760),1))</f>
        <v/>
      </c>
      <c r="P760" s="113">
        <f>IF($C760="","",IF(AND($D760="Gelir",$L760&lt;&gt;"",$T760=""),"TANIMSIZ BORÇLU",IF($T760&lt;&gt;"",IF(OR($E760="",$G760&lt;=0),"EKSİK",IF($I760="Evet","TAHAKKUK NAKİT OLAMAZ",IF($C760&gt;TODAY(),"İLERİ TARİH","TAHAKKUK"))),IF(AND($D760&lt;&gt;"",$E760&lt;&gt;"",$G760&gt;0,$H760&lt;&gt;"",$I760&lt;&gt;""),IF($C760&gt;TODAY(),"İLERİ TARİH",IF(COUNTIF($W$7:$W$1206,$W760)&gt;1,"MÜKERRER?",IF($AD760&gt;0,"KAPALI DÖNEM",IF($I760="Hayır","ÖDENECEK","UYGUN")))),"EKSİK"))))</f>
        <v/>
      </c>
      <c r="Q760" s="6" t="n"/>
      <c r="R760" s="6" t="n"/>
      <c r="S760" s="3">
        <f>IF($L760="","",UPPER(SUBSTITUTE(SUBSTITUTE(SUBSTITUTE(SUBSTITUTE(SUBSTITUTE(SUBSTITUTE(SUBSTITUTE(SUBSTITUTE(SUBSTITUTE(SUBSTITUTE(SUBSTITUTE(SUBSTITUTE(SUBSTITUTE(SUBSTITUTE(SUBSTITUTE(SUBSTITUTE(SUBSTITUTE(SUBSTITUTE(TRIM($L760),"'",""),"İ","I"),"ı","I"),"i","I"),"Ş","S"),"ş","S"),"Ğ","G"),"ğ","G"),"Ü","U"),"ü","U"),"Ö","O"),"ö","O"),"Ç","C"),"ç","C"),".",""),",","")," ",""),"-","")))</f>
        <v/>
      </c>
      <c r="T760" s="3">
        <f>IF(OR($C760="",$D760&lt;&gt;"Gelir",$L760=""),"",IFERROR(INDEX(MUSTERILER!$B$7:$B$106,MATCH($S760,MUSTERILER!$T$7:$T$106,0)),""))</f>
        <v/>
      </c>
      <c r="U760" s="3">
        <f>IF($T760="","",$T760&amp;"|"&amp;COUNTIFS($T$7:$T760,$T760))</f>
        <v/>
      </c>
      <c r="V760" s="3">
        <f>IF($T760="",0,1)</f>
        <v/>
      </c>
      <c r="W760" s="3">
        <f>IF($C760="","",$D760&amp;"|"&amp;$E760&amp;"|"&amp;TEXT($C760,"0")&amp;"|"&amp;TEXT($G760,"0")&amp;"|"&amp;$J760)</f>
        <v/>
      </c>
      <c r="X760" s="3" t="n"/>
      <c r="Y760" s="3" t="n"/>
      <c r="Z760" s="3" t="n"/>
      <c r="AA760" s="3" t="n"/>
      <c r="AB760" s="3" t="n"/>
      <c r="AC760" s="3" t="n"/>
      <c r="AD760" s="3">
        <f>IF($C760="",0,SUMPRODUCT((AY_SONU!$O$7:$O$42="Evet")*(AY_SONU!$B$7:$B$42=DATE(YEAR($C760),MONTH($C760),1))))</f>
        <v/>
      </c>
    </row>
    <row r="761">
      <c r="A761" s="6" t="n"/>
      <c r="B761" s="113">
        <f>IF($C761="","","GG"&amp;TEXT(ROW()-6,"00000"))</f>
        <v/>
      </c>
      <c r="C761" s="220" t="n"/>
      <c r="D761" s="108" t="n"/>
      <c r="E761" s="109" t="n"/>
      <c r="F761" s="109" t="n"/>
      <c r="G761" s="221" t="n"/>
      <c r="H761" s="108" t="n"/>
      <c r="I761" s="108" t="n"/>
      <c r="J761" s="109" t="n"/>
      <c r="K761" s="109" t="n"/>
      <c r="L761" s="108" t="n"/>
      <c r="M761" s="121">
        <f>IF($C761="","",IF($D761="Gider",$E761,IF($L761&lt;&gt;"",$L761,$H761)))</f>
        <v/>
      </c>
      <c r="N761" s="121">
        <f>IF($C761="","",IF($D761="Gider",$H761,$E761))</f>
        <v/>
      </c>
      <c r="O761" s="226">
        <f>IF($C761="","",DATE(YEAR($C761),MONTH($C761),1))</f>
        <v/>
      </c>
      <c r="P761" s="113">
        <f>IF($C761="","",IF(AND($D761="Gelir",$L761&lt;&gt;"",$T761=""),"TANIMSIZ BORÇLU",IF($T761&lt;&gt;"",IF(OR($E761="",$G761&lt;=0),"EKSİK",IF($I761="Evet","TAHAKKUK NAKİT OLAMAZ",IF($C761&gt;TODAY(),"İLERİ TARİH","TAHAKKUK"))),IF(AND($D761&lt;&gt;"",$E761&lt;&gt;"",$G761&gt;0,$H761&lt;&gt;"",$I761&lt;&gt;""),IF($C761&gt;TODAY(),"İLERİ TARİH",IF(COUNTIF($W$7:$W$1206,$W761)&gt;1,"MÜKERRER?",IF($AD761&gt;0,"KAPALI DÖNEM",IF($I761="Hayır","ÖDENECEK","UYGUN")))),"EKSİK"))))</f>
        <v/>
      </c>
      <c r="Q761" s="6" t="n"/>
      <c r="R761" s="6" t="n"/>
      <c r="S761" s="3">
        <f>IF($L761="","",UPPER(SUBSTITUTE(SUBSTITUTE(SUBSTITUTE(SUBSTITUTE(SUBSTITUTE(SUBSTITUTE(SUBSTITUTE(SUBSTITUTE(SUBSTITUTE(SUBSTITUTE(SUBSTITUTE(SUBSTITUTE(SUBSTITUTE(SUBSTITUTE(SUBSTITUTE(SUBSTITUTE(SUBSTITUTE(SUBSTITUTE(TRIM($L761),"'",""),"İ","I"),"ı","I"),"i","I"),"Ş","S"),"ş","S"),"Ğ","G"),"ğ","G"),"Ü","U"),"ü","U"),"Ö","O"),"ö","O"),"Ç","C"),"ç","C"),".",""),",","")," ",""),"-","")))</f>
        <v/>
      </c>
      <c r="T761" s="3">
        <f>IF(OR($C761="",$D761&lt;&gt;"Gelir",$L761=""),"",IFERROR(INDEX(MUSTERILER!$B$7:$B$106,MATCH($S761,MUSTERILER!$T$7:$T$106,0)),""))</f>
        <v/>
      </c>
      <c r="U761" s="3">
        <f>IF($T761="","",$T761&amp;"|"&amp;COUNTIFS($T$7:$T761,$T761))</f>
        <v/>
      </c>
      <c r="V761" s="3">
        <f>IF($T761="",0,1)</f>
        <v/>
      </c>
      <c r="W761" s="3">
        <f>IF($C761="","",$D761&amp;"|"&amp;$E761&amp;"|"&amp;TEXT($C761,"0")&amp;"|"&amp;TEXT($G761,"0")&amp;"|"&amp;$J761)</f>
        <v/>
      </c>
      <c r="X761" s="3" t="n"/>
      <c r="Y761" s="3" t="n"/>
      <c r="Z761" s="3" t="n"/>
      <c r="AA761" s="3" t="n"/>
      <c r="AB761" s="3" t="n"/>
      <c r="AC761" s="3" t="n"/>
      <c r="AD761" s="3">
        <f>IF($C761="",0,SUMPRODUCT((AY_SONU!$O$7:$O$42="Evet")*(AY_SONU!$B$7:$B$42=DATE(YEAR($C761),MONTH($C761),1))))</f>
        <v/>
      </c>
    </row>
    <row r="762">
      <c r="A762" s="6" t="n"/>
      <c r="B762" s="113">
        <f>IF($C762="","","GG"&amp;TEXT(ROW()-6,"00000"))</f>
        <v/>
      </c>
      <c r="C762" s="220" t="n"/>
      <c r="D762" s="108" t="n"/>
      <c r="E762" s="109" t="n"/>
      <c r="F762" s="109" t="n"/>
      <c r="G762" s="221" t="n"/>
      <c r="H762" s="108" t="n"/>
      <c r="I762" s="108" t="n"/>
      <c r="J762" s="109" t="n"/>
      <c r="K762" s="109" t="n"/>
      <c r="L762" s="108" t="n"/>
      <c r="M762" s="121">
        <f>IF($C762="","",IF($D762="Gider",$E762,IF($L762&lt;&gt;"",$L762,$H762)))</f>
        <v/>
      </c>
      <c r="N762" s="121">
        <f>IF($C762="","",IF($D762="Gider",$H762,$E762))</f>
        <v/>
      </c>
      <c r="O762" s="226">
        <f>IF($C762="","",DATE(YEAR($C762),MONTH($C762),1))</f>
        <v/>
      </c>
      <c r="P762" s="113">
        <f>IF($C762="","",IF(AND($D762="Gelir",$L762&lt;&gt;"",$T762=""),"TANIMSIZ BORÇLU",IF($T762&lt;&gt;"",IF(OR($E762="",$G762&lt;=0),"EKSİK",IF($I762="Evet","TAHAKKUK NAKİT OLAMAZ",IF($C762&gt;TODAY(),"İLERİ TARİH","TAHAKKUK"))),IF(AND($D762&lt;&gt;"",$E762&lt;&gt;"",$G762&gt;0,$H762&lt;&gt;"",$I762&lt;&gt;""),IF($C762&gt;TODAY(),"İLERİ TARİH",IF(COUNTIF($W$7:$W$1206,$W762)&gt;1,"MÜKERRER?",IF($AD762&gt;0,"KAPALI DÖNEM",IF($I762="Hayır","ÖDENECEK","UYGUN")))),"EKSİK"))))</f>
        <v/>
      </c>
      <c r="Q762" s="6" t="n"/>
      <c r="R762" s="6" t="n"/>
      <c r="S762" s="3">
        <f>IF($L762="","",UPPER(SUBSTITUTE(SUBSTITUTE(SUBSTITUTE(SUBSTITUTE(SUBSTITUTE(SUBSTITUTE(SUBSTITUTE(SUBSTITUTE(SUBSTITUTE(SUBSTITUTE(SUBSTITUTE(SUBSTITUTE(SUBSTITUTE(SUBSTITUTE(SUBSTITUTE(SUBSTITUTE(SUBSTITUTE(SUBSTITUTE(TRIM($L762),"'",""),"İ","I"),"ı","I"),"i","I"),"Ş","S"),"ş","S"),"Ğ","G"),"ğ","G"),"Ü","U"),"ü","U"),"Ö","O"),"ö","O"),"Ç","C"),"ç","C"),".",""),",","")," ",""),"-","")))</f>
        <v/>
      </c>
      <c r="T762" s="3">
        <f>IF(OR($C762="",$D762&lt;&gt;"Gelir",$L762=""),"",IFERROR(INDEX(MUSTERILER!$B$7:$B$106,MATCH($S762,MUSTERILER!$T$7:$T$106,0)),""))</f>
        <v/>
      </c>
      <c r="U762" s="3">
        <f>IF($T762="","",$T762&amp;"|"&amp;COUNTIFS($T$7:$T762,$T762))</f>
        <v/>
      </c>
      <c r="V762" s="3">
        <f>IF($T762="",0,1)</f>
        <v/>
      </c>
      <c r="W762" s="3">
        <f>IF($C762="","",$D762&amp;"|"&amp;$E762&amp;"|"&amp;TEXT($C762,"0")&amp;"|"&amp;TEXT($G762,"0")&amp;"|"&amp;$J762)</f>
        <v/>
      </c>
      <c r="X762" s="3" t="n"/>
      <c r="Y762" s="3" t="n"/>
      <c r="Z762" s="3" t="n"/>
      <c r="AA762" s="3" t="n"/>
      <c r="AB762" s="3" t="n"/>
      <c r="AC762" s="3" t="n"/>
      <c r="AD762" s="3">
        <f>IF($C762="",0,SUMPRODUCT((AY_SONU!$O$7:$O$42="Evet")*(AY_SONU!$B$7:$B$42=DATE(YEAR($C762),MONTH($C762),1))))</f>
        <v/>
      </c>
    </row>
    <row r="763">
      <c r="A763" s="6" t="n"/>
      <c r="B763" s="113">
        <f>IF($C763="","","GG"&amp;TEXT(ROW()-6,"00000"))</f>
        <v/>
      </c>
      <c r="C763" s="220" t="n"/>
      <c r="D763" s="108" t="n"/>
      <c r="E763" s="109" t="n"/>
      <c r="F763" s="109" t="n"/>
      <c r="G763" s="221" t="n"/>
      <c r="H763" s="108" t="n"/>
      <c r="I763" s="108" t="n"/>
      <c r="J763" s="109" t="n"/>
      <c r="K763" s="109" t="n"/>
      <c r="L763" s="108" t="n"/>
      <c r="M763" s="121">
        <f>IF($C763="","",IF($D763="Gider",$E763,IF($L763&lt;&gt;"",$L763,$H763)))</f>
        <v/>
      </c>
      <c r="N763" s="121">
        <f>IF($C763="","",IF($D763="Gider",$H763,$E763))</f>
        <v/>
      </c>
      <c r="O763" s="226">
        <f>IF($C763="","",DATE(YEAR($C763),MONTH($C763),1))</f>
        <v/>
      </c>
      <c r="P763" s="113">
        <f>IF($C763="","",IF(AND($D763="Gelir",$L763&lt;&gt;"",$T763=""),"TANIMSIZ BORÇLU",IF($T763&lt;&gt;"",IF(OR($E763="",$G763&lt;=0),"EKSİK",IF($I763="Evet","TAHAKKUK NAKİT OLAMAZ",IF($C763&gt;TODAY(),"İLERİ TARİH","TAHAKKUK"))),IF(AND($D763&lt;&gt;"",$E763&lt;&gt;"",$G763&gt;0,$H763&lt;&gt;"",$I763&lt;&gt;""),IF($C763&gt;TODAY(),"İLERİ TARİH",IF(COUNTIF($W$7:$W$1206,$W763)&gt;1,"MÜKERRER?",IF($AD763&gt;0,"KAPALI DÖNEM",IF($I763="Hayır","ÖDENECEK","UYGUN")))),"EKSİK"))))</f>
        <v/>
      </c>
      <c r="Q763" s="6" t="n"/>
      <c r="R763" s="6" t="n"/>
      <c r="S763" s="3">
        <f>IF($L763="","",UPPER(SUBSTITUTE(SUBSTITUTE(SUBSTITUTE(SUBSTITUTE(SUBSTITUTE(SUBSTITUTE(SUBSTITUTE(SUBSTITUTE(SUBSTITUTE(SUBSTITUTE(SUBSTITUTE(SUBSTITUTE(SUBSTITUTE(SUBSTITUTE(SUBSTITUTE(SUBSTITUTE(SUBSTITUTE(SUBSTITUTE(TRIM($L763),"'",""),"İ","I"),"ı","I"),"i","I"),"Ş","S"),"ş","S"),"Ğ","G"),"ğ","G"),"Ü","U"),"ü","U"),"Ö","O"),"ö","O"),"Ç","C"),"ç","C"),".",""),",","")," ",""),"-","")))</f>
        <v/>
      </c>
      <c r="T763" s="3">
        <f>IF(OR($C763="",$D763&lt;&gt;"Gelir",$L763=""),"",IFERROR(INDEX(MUSTERILER!$B$7:$B$106,MATCH($S763,MUSTERILER!$T$7:$T$106,0)),""))</f>
        <v/>
      </c>
      <c r="U763" s="3">
        <f>IF($T763="","",$T763&amp;"|"&amp;COUNTIFS($T$7:$T763,$T763))</f>
        <v/>
      </c>
      <c r="V763" s="3">
        <f>IF($T763="",0,1)</f>
        <v/>
      </c>
      <c r="W763" s="3">
        <f>IF($C763="","",$D763&amp;"|"&amp;$E763&amp;"|"&amp;TEXT($C763,"0")&amp;"|"&amp;TEXT($G763,"0")&amp;"|"&amp;$J763)</f>
        <v/>
      </c>
      <c r="X763" s="3" t="n"/>
      <c r="Y763" s="3" t="n"/>
      <c r="Z763" s="3" t="n"/>
      <c r="AA763" s="3" t="n"/>
      <c r="AB763" s="3" t="n"/>
      <c r="AC763" s="3" t="n"/>
      <c r="AD763" s="3">
        <f>IF($C763="",0,SUMPRODUCT((AY_SONU!$O$7:$O$42="Evet")*(AY_SONU!$B$7:$B$42=DATE(YEAR($C763),MONTH($C763),1))))</f>
        <v/>
      </c>
    </row>
    <row r="764">
      <c r="A764" s="6" t="n"/>
      <c r="B764" s="113">
        <f>IF($C764="","","GG"&amp;TEXT(ROW()-6,"00000"))</f>
        <v/>
      </c>
      <c r="C764" s="220" t="n"/>
      <c r="D764" s="108" t="n"/>
      <c r="E764" s="109" t="n"/>
      <c r="F764" s="109" t="n"/>
      <c r="G764" s="221" t="n"/>
      <c r="H764" s="108" t="n"/>
      <c r="I764" s="108" t="n"/>
      <c r="J764" s="109" t="n"/>
      <c r="K764" s="109" t="n"/>
      <c r="L764" s="108" t="n"/>
      <c r="M764" s="121">
        <f>IF($C764="","",IF($D764="Gider",$E764,IF($L764&lt;&gt;"",$L764,$H764)))</f>
        <v/>
      </c>
      <c r="N764" s="121">
        <f>IF($C764="","",IF($D764="Gider",$H764,$E764))</f>
        <v/>
      </c>
      <c r="O764" s="226">
        <f>IF($C764="","",DATE(YEAR($C764),MONTH($C764),1))</f>
        <v/>
      </c>
      <c r="P764" s="113">
        <f>IF($C764="","",IF(AND($D764="Gelir",$L764&lt;&gt;"",$T764=""),"TANIMSIZ BORÇLU",IF($T764&lt;&gt;"",IF(OR($E764="",$G764&lt;=0),"EKSİK",IF($I764="Evet","TAHAKKUK NAKİT OLAMAZ",IF($C764&gt;TODAY(),"İLERİ TARİH","TAHAKKUK"))),IF(AND($D764&lt;&gt;"",$E764&lt;&gt;"",$G764&gt;0,$H764&lt;&gt;"",$I764&lt;&gt;""),IF($C764&gt;TODAY(),"İLERİ TARİH",IF(COUNTIF($W$7:$W$1206,$W764)&gt;1,"MÜKERRER?",IF($AD764&gt;0,"KAPALI DÖNEM",IF($I764="Hayır","ÖDENECEK","UYGUN")))),"EKSİK"))))</f>
        <v/>
      </c>
      <c r="Q764" s="6" t="n"/>
      <c r="R764" s="6" t="n"/>
      <c r="S764" s="3">
        <f>IF($L764="","",UPPER(SUBSTITUTE(SUBSTITUTE(SUBSTITUTE(SUBSTITUTE(SUBSTITUTE(SUBSTITUTE(SUBSTITUTE(SUBSTITUTE(SUBSTITUTE(SUBSTITUTE(SUBSTITUTE(SUBSTITUTE(SUBSTITUTE(SUBSTITUTE(SUBSTITUTE(SUBSTITUTE(SUBSTITUTE(SUBSTITUTE(TRIM($L764),"'",""),"İ","I"),"ı","I"),"i","I"),"Ş","S"),"ş","S"),"Ğ","G"),"ğ","G"),"Ü","U"),"ü","U"),"Ö","O"),"ö","O"),"Ç","C"),"ç","C"),".",""),",","")," ",""),"-","")))</f>
        <v/>
      </c>
      <c r="T764" s="3">
        <f>IF(OR($C764="",$D764&lt;&gt;"Gelir",$L764=""),"",IFERROR(INDEX(MUSTERILER!$B$7:$B$106,MATCH($S764,MUSTERILER!$T$7:$T$106,0)),""))</f>
        <v/>
      </c>
      <c r="U764" s="3">
        <f>IF($T764="","",$T764&amp;"|"&amp;COUNTIFS($T$7:$T764,$T764))</f>
        <v/>
      </c>
      <c r="V764" s="3">
        <f>IF($T764="",0,1)</f>
        <v/>
      </c>
      <c r="W764" s="3">
        <f>IF($C764="","",$D764&amp;"|"&amp;$E764&amp;"|"&amp;TEXT($C764,"0")&amp;"|"&amp;TEXT($G764,"0")&amp;"|"&amp;$J764)</f>
        <v/>
      </c>
      <c r="X764" s="3" t="n"/>
      <c r="Y764" s="3" t="n"/>
      <c r="Z764" s="3" t="n"/>
      <c r="AA764" s="3" t="n"/>
      <c r="AB764" s="3" t="n"/>
      <c r="AC764" s="3" t="n"/>
      <c r="AD764" s="3">
        <f>IF($C764="",0,SUMPRODUCT((AY_SONU!$O$7:$O$42="Evet")*(AY_SONU!$B$7:$B$42=DATE(YEAR($C764),MONTH($C764),1))))</f>
        <v/>
      </c>
    </row>
    <row r="765">
      <c r="A765" s="6" t="n"/>
      <c r="B765" s="113">
        <f>IF($C765="","","GG"&amp;TEXT(ROW()-6,"00000"))</f>
        <v/>
      </c>
      <c r="C765" s="220" t="n"/>
      <c r="D765" s="108" t="n"/>
      <c r="E765" s="109" t="n"/>
      <c r="F765" s="109" t="n"/>
      <c r="G765" s="221" t="n"/>
      <c r="H765" s="108" t="n"/>
      <c r="I765" s="108" t="n"/>
      <c r="J765" s="109" t="n"/>
      <c r="K765" s="109" t="n"/>
      <c r="L765" s="108" t="n"/>
      <c r="M765" s="121">
        <f>IF($C765="","",IF($D765="Gider",$E765,IF($L765&lt;&gt;"",$L765,$H765)))</f>
        <v/>
      </c>
      <c r="N765" s="121">
        <f>IF($C765="","",IF($D765="Gider",$H765,$E765))</f>
        <v/>
      </c>
      <c r="O765" s="226">
        <f>IF($C765="","",DATE(YEAR($C765),MONTH($C765),1))</f>
        <v/>
      </c>
      <c r="P765" s="113">
        <f>IF($C765="","",IF(AND($D765="Gelir",$L765&lt;&gt;"",$T765=""),"TANIMSIZ BORÇLU",IF($T765&lt;&gt;"",IF(OR($E765="",$G765&lt;=0),"EKSİK",IF($I765="Evet","TAHAKKUK NAKİT OLAMAZ",IF($C765&gt;TODAY(),"İLERİ TARİH","TAHAKKUK"))),IF(AND($D765&lt;&gt;"",$E765&lt;&gt;"",$G765&gt;0,$H765&lt;&gt;"",$I765&lt;&gt;""),IF($C765&gt;TODAY(),"İLERİ TARİH",IF(COUNTIF($W$7:$W$1206,$W765)&gt;1,"MÜKERRER?",IF($AD765&gt;0,"KAPALI DÖNEM",IF($I765="Hayır","ÖDENECEK","UYGUN")))),"EKSİK"))))</f>
        <v/>
      </c>
      <c r="Q765" s="6" t="n"/>
      <c r="R765" s="6" t="n"/>
      <c r="S765" s="3">
        <f>IF($L765="","",UPPER(SUBSTITUTE(SUBSTITUTE(SUBSTITUTE(SUBSTITUTE(SUBSTITUTE(SUBSTITUTE(SUBSTITUTE(SUBSTITUTE(SUBSTITUTE(SUBSTITUTE(SUBSTITUTE(SUBSTITUTE(SUBSTITUTE(SUBSTITUTE(SUBSTITUTE(SUBSTITUTE(SUBSTITUTE(SUBSTITUTE(TRIM($L765),"'",""),"İ","I"),"ı","I"),"i","I"),"Ş","S"),"ş","S"),"Ğ","G"),"ğ","G"),"Ü","U"),"ü","U"),"Ö","O"),"ö","O"),"Ç","C"),"ç","C"),".",""),",","")," ",""),"-","")))</f>
        <v/>
      </c>
      <c r="T765" s="3">
        <f>IF(OR($C765="",$D765&lt;&gt;"Gelir",$L765=""),"",IFERROR(INDEX(MUSTERILER!$B$7:$B$106,MATCH($S765,MUSTERILER!$T$7:$T$106,0)),""))</f>
        <v/>
      </c>
      <c r="U765" s="3">
        <f>IF($T765="","",$T765&amp;"|"&amp;COUNTIFS($T$7:$T765,$T765))</f>
        <v/>
      </c>
      <c r="V765" s="3">
        <f>IF($T765="",0,1)</f>
        <v/>
      </c>
      <c r="W765" s="3">
        <f>IF($C765="","",$D765&amp;"|"&amp;$E765&amp;"|"&amp;TEXT($C765,"0")&amp;"|"&amp;TEXT($G765,"0")&amp;"|"&amp;$J765)</f>
        <v/>
      </c>
      <c r="X765" s="3" t="n"/>
      <c r="Y765" s="3" t="n"/>
      <c r="Z765" s="3" t="n"/>
      <c r="AA765" s="3" t="n"/>
      <c r="AB765" s="3" t="n"/>
      <c r="AC765" s="3" t="n"/>
      <c r="AD765" s="3">
        <f>IF($C765="",0,SUMPRODUCT((AY_SONU!$O$7:$O$42="Evet")*(AY_SONU!$B$7:$B$42=DATE(YEAR($C765),MONTH($C765),1))))</f>
        <v/>
      </c>
    </row>
    <row r="766">
      <c r="A766" s="6" t="n"/>
      <c r="B766" s="113">
        <f>IF($C766="","","GG"&amp;TEXT(ROW()-6,"00000"))</f>
        <v/>
      </c>
      <c r="C766" s="220" t="n"/>
      <c r="D766" s="108" t="n"/>
      <c r="E766" s="109" t="n"/>
      <c r="F766" s="109" t="n"/>
      <c r="G766" s="221" t="n"/>
      <c r="H766" s="108" t="n"/>
      <c r="I766" s="108" t="n"/>
      <c r="J766" s="109" t="n"/>
      <c r="K766" s="109" t="n"/>
      <c r="L766" s="108" t="n"/>
      <c r="M766" s="121">
        <f>IF($C766="","",IF($D766="Gider",$E766,IF($L766&lt;&gt;"",$L766,$H766)))</f>
        <v/>
      </c>
      <c r="N766" s="121">
        <f>IF($C766="","",IF($D766="Gider",$H766,$E766))</f>
        <v/>
      </c>
      <c r="O766" s="226">
        <f>IF($C766="","",DATE(YEAR($C766),MONTH($C766),1))</f>
        <v/>
      </c>
      <c r="P766" s="113">
        <f>IF($C766="","",IF(AND($D766="Gelir",$L766&lt;&gt;"",$T766=""),"TANIMSIZ BORÇLU",IF($T766&lt;&gt;"",IF(OR($E766="",$G766&lt;=0),"EKSİK",IF($I766="Evet","TAHAKKUK NAKİT OLAMAZ",IF($C766&gt;TODAY(),"İLERİ TARİH","TAHAKKUK"))),IF(AND($D766&lt;&gt;"",$E766&lt;&gt;"",$G766&gt;0,$H766&lt;&gt;"",$I766&lt;&gt;""),IF($C766&gt;TODAY(),"İLERİ TARİH",IF(COUNTIF($W$7:$W$1206,$W766)&gt;1,"MÜKERRER?",IF($AD766&gt;0,"KAPALI DÖNEM",IF($I766="Hayır","ÖDENECEK","UYGUN")))),"EKSİK"))))</f>
        <v/>
      </c>
      <c r="Q766" s="6" t="n"/>
      <c r="R766" s="6" t="n"/>
      <c r="S766" s="3">
        <f>IF($L766="","",UPPER(SUBSTITUTE(SUBSTITUTE(SUBSTITUTE(SUBSTITUTE(SUBSTITUTE(SUBSTITUTE(SUBSTITUTE(SUBSTITUTE(SUBSTITUTE(SUBSTITUTE(SUBSTITUTE(SUBSTITUTE(SUBSTITUTE(SUBSTITUTE(SUBSTITUTE(SUBSTITUTE(SUBSTITUTE(SUBSTITUTE(TRIM($L766),"'",""),"İ","I"),"ı","I"),"i","I"),"Ş","S"),"ş","S"),"Ğ","G"),"ğ","G"),"Ü","U"),"ü","U"),"Ö","O"),"ö","O"),"Ç","C"),"ç","C"),".",""),",","")," ",""),"-","")))</f>
        <v/>
      </c>
      <c r="T766" s="3">
        <f>IF(OR($C766="",$D766&lt;&gt;"Gelir",$L766=""),"",IFERROR(INDEX(MUSTERILER!$B$7:$B$106,MATCH($S766,MUSTERILER!$T$7:$T$106,0)),""))</f>
        <v/>
      </c>
      <c r="U766" s="3">
        <f>IF($T766="","",$T766&amp;"|"&amp;COUNTIFS($T$7:$T766,$T766))</f>
        <v/>
      </c>
      <c r="V766" s="3">
        <f>IF($T766="",0,1)</f>
        <v/>
      </c>
      <c r="W766" s="3">
        <f>IF($C766="","",$D766&amp;"|"&amp;$E766&amp;"|"&amp;TEXT($C766,"0")&amp;"|"&amp;TEXT($G766,"0")&amp;"|"&amp;$J766)</f>
        <v/>
      </c>
      <c r="X766" s="3" t="n"/>
      <c r="Y766" s="3" t="n"/>
      <c r="Z766" s="3" t="n"/>
      <c r="AA766" s="3" t="n"/>
      <c r="AB766" s="3" t="n"/>
      <c r="AC766" s="3" t="n"/>
      <c r="AD766" s="3">
        <f>IF($C766="",0,SUMPRODUCT((AY_SONU!$O$7:$O$42="Evet")*(AY_SONU!$B$7:$B$42=DATE(YEAR($C766),MONTH($C766),1))))</f>
        <v/>
      </c>
    </row>
    <row r="767">
      <c r="A767" s="6" t="n"/>
      <c r="B767" s="113">
        <f>IF($C767="","","GG"&amp;TEXT(ROW()-6,"00000"))</f>
        <v/>
      </c>
      <c r="C767" s="220" t="n"/>
      <c r="D767" s="108" t="n"/>
      <c r="E767" s="109" t="n"/>
      <c r="F767" s="109" t="n"/>
      <c r="G767" s="221" t="n"/>
      <c r="H767" s="108" t="n"/>
      <c r="I767" s="108" t="n"/>
      <c r="J767" s="109" t="n"/>
      <c r="K767" s="109" t="n"/>
      <c r="L767" s="108" t="n"/>
      <c r="M767" s="121">
        <f>IF($C767="","",IF($D767="Gider",$E767,IF($L767&lt;&gt;"",$L767,$H767)))</f>
        <v/>
      </c>
      <c r="N767" s="121">
        <f>IF($C767="","",IF($D767="Gider",$H767,$E767))</f>
        <v/>
      </c>
      <c r="O767" s="226">
        <f>IF($C767="","",DATE(YEAR($C767),MONTH($C767),1))</f>
        <v/>
      </c>
      <c r="P767" s="113">
        <f>IF($C767="","",IF(AND($D767="Gelir",$L767&lt;&gt;"",$T767=""),"TANIMSIZ BORÇLU",IF($T767&lt;&gt;"",IF(OR($E767="",$G767&lt;=0),"EKSİK",IF($I767="Evet","TAHAKKUK NAKİT OLAMAZ",IF($C767&gt;TODAY(),"İLERİ TARİH","TAHAKKUK"))),IF(AND($D767&lt;&gt;"",$E767&lt;&gt;"",$G767&gt;0,$H767&lt;&gt;"",$I767&lt;&gt;""),IF($C767&gt;TODAY(),"İLERİ TARİH",IF(COUNTIF($W$7:$W$1206,$W767)&gt;1,"MÜKERRER?",IF($AD767&gt;0,"KAPALI DÖNEM",IF($I767="Hayır","ÖDENECEK","UYGUN")))),"EKSİK"))))</f>
        <v/>
      </c>
      <c r="Q767" s="6" t="n"/>
      <c r="R767" s="6" t="n"/>
      <c r="S767" s="3">
        <f>IF($L767="","",UPPER(SUBSTITUTE(SUBSTITUTE(SUBSTITUTE(SUBSTITUTE(SUBSTITUTE(SUBSTITUTE(SUBSTITUTE(SUBSTITUTE(SUBSTITUTE(SUBSTITUTE(SUBSTITUTE(SUBSTITUTE(SUBSTITUTE(SUBSTITUTE(SUBSTITUTE(SUBSTITUTE(SUBSTITUTE(SUBSTITUTE(TRIM($L767),"'",""),"İ","I"),"ı","I"),"i","I"),"Ş","S"),"ş","S"),"Ğ","G"),"ğ","G"),"Ü","U"),"ü","U"),"Ö","O"),"ö","O"),"Ç","C"),"ç","C"),".",""),",","")," ",""),"-","")))</f>
        <v/>
      </c>
      <c r="T767" s="3">
        <f>IF(OR($C767="",$D767&lt;&gt;"Gelir",$L767=""),"",IFERROR(INDEX(MUSTERILER!$B$7:$B$106,MATCH($S767,MUSTERILER!$T$7:$T$106,0)),""))</f>
        <v/>
      </c>
      <c r="U767" s="3">
        <f>IF($T767="","",$T767&amp;"|"&amp;COUNTIFS($T$7:$T767,$T767))</f>
        <v/>
      </c>
      <c r="V767" s="3">
        <f>IF($T767="",0,1)</f>
        <v/>
      </c>
      <c r="W767" s="3">
        <f>IF($C767="","",$D767&amp;"|"&amp;$E767&amp;"|"&amp;TEXT($C767,"0")&amp;"|"&amp;TEXT($G767,"0")&amp;"|"&amp;$J767)</f>
        <v/>
      </c>
      <c r="X767" s="3" t="n"/>
      <c r="Y767" s="3" t="n"/>
      <c r="Z767" s="3" t="n"/>
      <c r="AA767" s="3" t="n"/>
      <c r="AB767" s="3" t="n"/>
      <c r="AC767" s="3" t="n"/>
      <c r="AD767" s="3">
        <f>IF($C767="",0,SUMPRODUCT((AY_SONU!$O$7:$O$42="Evet")*(AY_SONU!$B$7:$B$42=DATE(YEAR($C767),MONTH($C767),1))))</f>
        <v/>
      </c>
    </row>
    <row r="768">
      <c r="A768" s="6" t="n"/>
      <c r="B768" s="113">
        <f>IF($C768="","","GG"&amp;TEXT(ROW()-6,"00000"))</f>
        <v/>
      </c>
      <c r="C768" s="220" t="n"/>
      <c r="D768" s="108" t="n"/>
      <c r="E768" s="109" t="n"/>
      <c r="F768" s="109" t="n"/>
      <c r="G768" s="221" t="n"/>
      <c r="H768" s="108" t="n"/>
      <c r="I768" s="108" t="n"/>
      <c r="J768" s="109" t="n"/>
      <c r="K768" s="109" t="n"/>
      <c r="L768" s="108" t="n"/>
      <c r="M768" s="121">
        <f>IF($C768="","",IF($D768="Gider",$E768,IF($L768&lt;&gt;"",$L768,$H768)))</f>
        <v/>
      </c>
      <c r="N768" s="121">
        <f>IF($C768="","",IF($D768="Gider",$H768,$E768))</f>
        <v/>
      </c>
      <c r="O768" s="226">
        <f>IF($C768="","",DATE(YEAR($C768),MONTH($C768),1))</f>
        <v/>
      </c>
      <c r="P768" s="113">
        <f>IF($C768="","",IF(AND($D768="Gelir",$L768&lt;&gt;"",$T768=""),"TANIMSIZ BORÇLU",IF($T768&lt;&gt;"",IF(OR($E768="",$G768&lt;=0),"EKSİK",IF($I768="Evet","TAHAKKUK NAKİT OLAMAZ",IF($C768&gt;TODAY(),"İLERİ TARİH","TAHAKKUK"))),IF(AND($D768&lt;&gt;"",$E768&lt;&gt;"",$G768&gt;0,$H768&lt;&gt;"",$I768&lt;&gt;""),IF($C768&gt;TODAY(),"İLERİ TARİH",IF(COUNTIF($W$7:$W$1206,$W768)&gt;1,"MÜKERRER?",IF($AD768&gt;0,"KAPALI DÖNEM",IF($I768="Hayır","ÖDENECEK","UYGUN")))),"EKSİK"))))</f>
        <v/>
      </c>
      <c r="Q768" s="6" t="n"/>
      <c r="R768" s="6" t="n"/>
      <c r="S768" s="3">
        <f>IF($L768="","",UPPER(SUBSTITUTE(SUBSTITUTE(SUBSTITUTE(SUBSTITUTE(SUBSTITUTE(SUBSTITUTE(SUBSTITUTE(SUBSTITUTE(SUBSTITUTE(SUBSTITUTE(SUBSTITUTE(SUBSTITUTE(SUBSTITUTE(SUBSTITUTE(SUBSTITUTE(SUBSTITUTE(SUBSTITUTE(SUBSTITUTE(TRIM($L768),"'",""),"İ","I"),"ı","I"),"i","I"),"Ş","S"),"ş","S"),"Ğ","G"),"ğ","G"),"Ü","U"),"ü","U"),"Ö","O"),"ö","O"),"Ç","C"),"ç","C"),".",""),",","")," ",""),"-","")))</f>
        <v/>
      </c>
      <c r="T768" s="3">
        <f>IF(OR($C768="",$D768&lt;&gt;"Gelir",$L768=""),"",IFERROR(INDEX(MUSTERILER!$B$7:$B$106,MATCH($S768,MUSTERILER!$T$7:$T$106,0)),""))</f>
        <v/>
      </c>
      <c r="U768" s="3">
        <f>IF($T768="","",$T768&amp;"|"&amp;COUNTIFS($T$7:$T768,$T768))</f>
        <v/>
      </c>
      <c r="V768" s="3">
        <f>IF($T768="",0,1)</f>
        <v/>
      </c>
      <c r="W768" s="3">
        <f>IF($C768="","",$D768&amp;"|"&amp;$E768&amp;"|"&amp;TEXT($C768,"0")&amp;"|"&amp;TEXT($G768,"0")&amp;"|"&amp;$J768)</f>
        <v/>
      </c>
      <c r="X768" s="3" t="n"/>
      <c r="Y768" s="3" t="n"/>
      <c r="Z768" s="3" t="n"/>
      <c r="AA768" s="3" t="n"/>
      <c r="AB768" s="3" t="n"/>
      <c r="AC768" s="3" t="n"/>
      <c r="AD768" s="3">
        <f>IF($C768="",0,SUMPRODUCT((AY_SONU!$O$7:$O$42="Evet")*(AY_SONU!$B$7:$B$42=DATE(YEAR($C768),MONTH($C768),1))))</f>
        <v/>
      </c>
    </row>
    <row r="769">
      <c r="A769" s="6" t="n"/>
      <c r="B769" s="113">
        <f>IF($C769="","","GG"&amp;TEXT(ROW()-6,"00000"))</f>
        <v/>
      </c>
      <c r="C769" s="220" t="n"/>
      <c r="D769" s="108" t="n"/>
      <c r="E769" s="109" t="n"/>
      <c r="F769" s="109" t="n"/>
      <c r="G769" s="221" t="n"/>
      <c r="H769" s="108" t="n"/>
      <c r="I769" s="108" t="n"/>
      <c r="J769" s="109" t="n"/>
      <c r="K769" s="109" t="n"/>
      <c r="L769" s="108" t="n"/>
      <c r="M769" s="121">
        <f>IF($C769="","",IF($D769="Gider",$E769,IF($L769&lt;&gt;"",$L769,$H769)))</f>
        <v/>
      </c>
      <c r="N769" s="121">
        <f>IF($C769="","",IF($D769="Gider",$H769,$E769))</f>
        <v/>
      </c>
      <c r="O769" s="226">
        <f>IF($C769="","",DATE(YEAR($C769),MONTH($C769),1))</f>
        <v/>
      </c>
      <c r="P769" s="113">
        <f>IF($C769="","",IF(AND($D769="Gelir",$L769&lt;&gt;"",$T769=""),"TANIMSIZ BORÇLU",IF($T769&lt;&gt;"",IF(OR($E769="",$G769&lt;=0),"EKSİK",IF($I769="Evet","TAHAKKUK NAKİT OLAMAZ",IF($C769&gt;TODAY(),"İLERİ TARİH","TAHAKKUK"))),IF(AND($D769&lt;&gt;"",$E769&lt;&gt;"",$G769&gt;0,$H769&lt;&gt;"",$I769&lt;&gt;""),IF($C769&gt;TODAY(),"İLERİ TARİH",IF(COUNTIF($W$7:$W$1206,$W769)&gt;1,"MÜKERRER?",IF($AD769&gt;0,"KAPALI DÖNEM",IF($I769="Hayır","ÖDENECEK","UYGUN")))),"EKSİK"))))</f>
        <v/>
      </c>
      <c r="Q769" s="6" t="n"/>
      <c r="R769" s="6" t="n"/>
      <c r="S769" s="3">
        <f>IF($L769="","",UPPER(SUBSTITUTE(SUBSTITUTE(SUBSTITUTE(SUBSTITUTE(SUBSTITUTE(SUBSTITUTE(SUBSTITUTE(SUBSTITUTE(SUBSTITUTE(SUBSTITUTE(SUBSTITUTE(SUBSTITUTE(SUBSTITUTE(SUBSTITUTE(SUBSTITUTE(SUBSTITUTE(SUBSTITUTE(SUBSTITUTE(TRIM($L769),"'",""),"İ","I"),"ı","I"),"i","I"),"Ş","S"),"ş","S"),"Ğ","G"),"ğ","G"),"Ü","U"),"ü","U"),"Ö","O"),"ö","O"),"Ç","C"),"ç","C"),".",""),",","")," ",""),"-","")))</f>
        <v/>
      </c>
      <c r="T769" s="3">
        <f>IF(OR($C769="",$D769&lt;&gt;"Gelir",$L769=""),"",IFERROR(INDEX(MUSTERILER!$B$7:$B$106,MATCH($S769,MUSTERILER!$T$7:$T$106,0)),""))</f>
        <v/>
      </c>
      <c r="U769" s="3">
        <f>IF($T769="","",$T769&amp;"|"&amp;COUNTIFS($T$7:$T769,$T769))</f>
        <v/>
      </c>
      <c r="V769" s="3">
        <f>IF($T769="",0,1)</f>
        <v/>
      </c>
      <c r="W769" s="3">
        <f>IF($C769="","",$D769&amp;"|"&amp;$E769&amp;"|"&amp;TEXT($C769,"0")&amp;"|"&amp;TEXT($G769,"0")&amp;"|"&amp;$J769)</f>
        <v/>
      </c>
      <c r="X769" s="3" t="n"/>
      <c r="Y769" s="3" t="n"/>
      <c r="Z769" s="3" t="n"/>
      <c r="AA769" s="3" t="n"/>
      <c r="AB769" s="3" t="n"/>
      <c r="AC769" s="3" t="n"/>
      <c r="AD769" s="3">
        <f>IF($C769="",0,SUMPRODUCT((AY_SONU!$O$7:$O$42="Evet")*(AY_SONU!$B$7:$B$42=DATE(YEAR($C769),MONTH($C769),1))))</f>
        <v/>
      </c>
    </row>
    <row r="770">
      <c r="A770" s="6" t="n"/>
      <c r="B770" s="113">
        <f>IF($C770="","","GG"&amp;TEXT(ROW()-6,"00000"))</f>
        <v/>
      </c>
      <c r="C770" s="220" t="n"/>
      <c r="D770" s="108" t="n"/>
      <c r="E770" s="109" t="n"/>
      <c r="F770" s="109" t="n"/>
      <c r="G770" s="221" t="n"/>
      <c r="H770" s="108" t="n"/>
      <c r="I770" s="108" t="n"/>
      <c r="J770" s="109" t="n"/>
      <c r="K770" s="109" t="n"/>
      <c r="L770" s="108" t="n"/>
      <c r="M770" s="121">
        <f>IF($C770="","",IF($D770="Gider",$E770,IF($L770&lt;&gt;"",$L770,$H770)))</f>
        <v/>
      </c>
      <c r="N770" s="121">
        <f>IF($C770="","",IF($D770="Gider",$H770,$E770))</f>
        <v/>
      </c>
      <c r="O770" s="226">
        <f>IF($C770="","",DATE(YEAR($C770),MONTH($C770),1))</f>
        <v/>
      </c>
      <c r="P770" s="113">
        <f>IF($C770="","",IF(AND($D770="Gelir",$L770&lt;&gt;"",$T770=""),"TANIMSIZ BORÇLU",IF($T770&lt;&gt;"",IF(OR($E770="",$G770&lt;=0),"EKSİK",IF($I770="Evet","TAHAKKUK NAKİT OLAMAZ",IF($C770&gt;TODAY(),"İLERİ TARİH","TAHAKKUK"))),IF(AND($D770&lt;&gt;"",$E770&lt;&gt;"",$G770&gt;0,$H770&lt;&gt;"",$I770&lt;&gt;""),IF($C770&gt;TODAY(),"İLERİ TARİH",IF(COUNTIF($W$7:$W$1206,$W770)&gt;1,"MÜKERRER?",IF($AD770&gt;0,"KAPALI DÖNEM",IF($I770="Hayır","ÖDENECEK","UYGUN")))),"EKSİK"))))</f>
        <v/>
      </c>
      <c r="Q770" s="6" t="n"/>
      <c r="R770" s="6" t="n"/>
      <c r="S770" s="3">
        <f>IF($L770="","",UPPER(SUBSTITUTE(SUBSTITUTE(SUBSTITUTE(SUBSTITUTE(SUBSTITUTE(SUBSTITUTE(SUBSTITUTE(SUBSTITUTE(SUBSTITUTE(SUBSTITUTE(SUBSTITUTE(SUBSTITUTE(SUBSTITUTE(SUBSTITUTE(SUBSTITUTE(SUBSTITUTE(SUBSTITUTE(SUBSTITUTE(TRIM($L770),"'",""),"İ","I"),"ı","I"),"i","I"),"Ş","S"),"ş","S"),"Ğ","G"),"ğ","G"),"Ü","U"),"ü","U"),"Ö","O"),"ö","O"),"Ç","C"),"ç","C"),".",""),",","")," ",""),"-","")))</f>
        <v/>
      </c>
      <c r="T770" s="3">
        <f>IF(OR($C770="",$D770&lt;&gt;"Gelir",$L770=""),"",IFERROR(INDEX(MUSTERILER!$B$7:$B$106,MATCH($S770,MUSTERILER!$T$7:$T$106,0)),""))</f>
        <v/>
      </c>
      <c r="U770" s="3">
        <f>IF($T770="","",$T770&amp;"|"&amp;COUNTIFS($T$7:$T770,$T770))</f>
        <v/>
      </c>
      <c r="V770" s="3">
        <f>IF($T770="",0,1)</f>
        <v/>
      </c>
      <c r="W770" s="3">
        <f>IF($C770="","",$D770&amp;"|"&amp;$E770&amp;"|"&amp;TEXT($C770,"0")&amp;"|"&amp;TEXT($G770,"0")&amp;"|"&amp;$J770)</f>
        <v/>
      </c>
      <c r="X770" s="3" t="n"/>
      <c r="Y770" s="3" t="n"/>
      <c r="Z770" s="3" t="n"/>
      <c r="AA770" s="3" t="n"/>
      <c r="AB770" s="3" t="n"/>
      <c r="AC770" s="3" t="n"/>
      <c r="AD770" s="3">
        <f>IF($C770="",0,SUMPRODUCT((AY_SONU!$O$7:$O$42="Evet")*(AY_SONU!$B$7:$B$42=DATE(YEAR($C770),MONTH($C770),1))))</f>
        <v/>
      </c>
    </row>
    <row r="771">
      <c r="A771" s="6" t="n"/>
      <c r="B771" s="113">
        <f>IF($C771="","","GG"&amp;TEXT(ROW()-6,"00000"))</f>
        <v/>
      </c>
      <c r="C771" s="220" t="n"/>
      <c r="D771" s="108" t="n"/>
      <c r="E771" s="109" t="n"/>
      <c r="F771" s="109" t="n"/>
      <c r="G771" s="221" t="n"/>
      <c r="H771" s="108" t="n"/>
      <c r="I771" s="108" t="n"/>
      <c r="J771" s="109" t="n"/>
      <c r="K771" s="109" t="n"/>
      <c r="L771" s="108" t="n"/>
      <c r="M771" s="121">
        <f>IF($C771="","",IF($D771="Gider",$E771,IF($L771&lt;&gt;"",$L771,$H771)))</f>
        <v/>
      </c>
      <c r="N771" s="121">
        <f>IF($C771="","",IF($D771="Gider",$H771,$E771))</f>
        <v/>
      </c>
      <c r="O771" s="226">
        <f>IF($C771="","",DATE(YEAR($C771),MONTH($C771),1))</f>
        <v/>
      </c>
      <c r="P771" s="113">
        <f>IF($C771="","",IF(AND($D771="Gelir",$L771&lt;&gt;"",$T771=""),"TANIMSIZ BORÇLU",IF($T771&lt;&gt;"",IF(OR($E771="",$G771&lt;=0),"EKSİK",IF($I771="Evet","TAHAKKUK NAKİT OLAMAZ",IF($C771&gt;TODAY(),"İLERİ TARİH","TAHAKKUK"))),IF(AND($D771&lt;&gt;"",$E771&lt;&gt;"",$G771&gt;0,$H771&lt;&gt;"",$I771&lt;&gt;""),IF($C771&gt;TODAY(),"İLERİ TARİH",IF(COUNTIF($W$7:$W$1206,$W771)&gt;1,"MÜKERRER?",IF($AD771&gt;0,"KAPALI DÖNEM",IF($I771="Hayır","ÖDENECEK","UYGUN")))),"EKSİK"))))</f>
        <v/>
      </c>
      <c r="Q771" s="6" t="n"/>
      <c r="R771" s="6" t="n"/>
      <c r="S771" s="3">
        <f>IF($L771="","",UPPER(SUBSTITUTE(SUBSTITUTE(SUBSTITUTE(SUBSTITUTE(SUBSTITUTE(SUBSTITUTE(SUBSTITUTE(SUBSTITUTE(SUBSTITUTE(SUBSTITUTE(SUBSTITUTE(SUBSTITUTE(SUBSTITUTE(SUBSTITUTE(SUBSTITUTE(SUBSTITUTE(SUBSTITUTE(SUBSTITUTE(TRIM($L771),"'",""),"İ","I"),"ı","I"),"i","I"),"Ş","S"),"ş","S"),"Ğ","G"),"ğ","G"),"Ü","U"),"ü","U"),"Ö","O"),"ö","O"),"Ç","C"),"ç","C"),".",""),",","")," ",""),"-","")))</f>
        <v/>
      </c>
      <c r="T771" s="3">
        <f>IF(OR($C771="",$D771&lt;&gt;"Gelir",$L771=""),"",IFERROR(INDEX(MUSTERILER!$B$7:$B$106,MATCH($S771,MUSTERILER!$T$7:$T$106,0)),""))</f>
        <v/>
      </c>
      <c r="U771" s="3">
        <f>IF($T771="","",$T771&amp;"|"&amp;COUNTIFS($T$7:$T771,$T771))</f>
        <v/>
      </c>
      <c r="V771" s="3">
        <f>IF($T771="",0,1)</f>
        <v/>
      </c>
      <c r="W771" s="3">
        <f>IF($C771="","",$D771&amp;"|"&amp;$E771&amp;"|"&amp;TEXT($C771,"0")&amp;"|"&amp;TEXT($G771,"0")&amp;"|"&amp;$J771)</f>
        <v/>
      </c>
      <c r="X771" s="3" t="n"/>
      <c r="Y771" s="3" t="n"/>
      <c r="Z771" s="3" t="n"/>
      <c r="AA771" s="3" t="n"/>
      <c r="AB771" s="3" t="n"/>
      <c r="AC771" s="3" t="n"/>
      <c r="AD771" s="3">
        <f>IF($C771="",0,SUMPRODUCT((AY_SONU!$O$7:$O$42="Evet")*(AY_SONU!$B$7:$B$42=DATE(YEAR($C771),MONTH($C771),1))))</f>
        <v/>
      </c>
    </row>
    <row r="772">
      <c r="A772" s="6" t="n"/>
      <c r="B772" s="113">
        <f>IF($C772="","","GG"&amp;TEXT(ROW()-6,"00000"))</f>
        <v/>
      </c>
      <c r="C772" s="220" t="n"/>
      <c r="D772" s="108" t="n"/>
      <c r="E772" s="109" t="n"/>
      <c r="F772" s="109" t="n"/>
      <c r="G772" s="221" t="n"/>
      <c r="H772" s="108" t="n"/>
      <c r="I772" s="108" t="n"/>
      <c r="J772" s="109" t="n"/>
      <c r="K772" s="109" t="n"/>
      <c r="L772" s="108" t="n"/>
      <c r="M772" s="121">
        <f>IF($C772="","",IF($D772="Gider",$E772,IF($L772&lt;&gt;"",$L772,$H772)))</f>
        <v/>
      </c>
      <c r="N772" s="121">
        <f>IF($C772="","",IF($D772="Gider",$H772,$E772))</f>
        <v/>
      </c>
      <c r="O772" s="226">
        <f>IF($C772="","",DATE(YEAR($C772),MONTH($C772),1))</f>
        <v/>
      </c>
      <c r="P772" s="113">
        <f>IF($C772="","",IF(AND($D772="Gelir",$L772&lt;&gt;"",$T772=""),"TANIMSIZ BORÇLU",IF($T772&lt;&gt;"",IF(OR($E772="",$G772&lt;=0),"EKSİK",IF($I772="Evet","TAHAKKUK NAKİT OLAMAZ",IF($C772&gt;TODAY(),"İLERİ TARİH","TAHAKKUK"))),IF(AND($D772&lt;&gt;"",$E772&lt;&gt;"",$G772&gt;0,$H772&lt;&gt;"",$I772&lt;&gt;""),IF($C772&gt;TODAY(),"İLERİ TARİH",IF(COUNTIF($W$7:$W$1206,$W772)&gt;1,"MÜKERRER?",IF($AD772&gt;0,"KAPALI DÖNEM",IF($I772="Hayır","ÖDENECEK","UYGUN")))),"EKSİK"))))</f>
        <v/>
      </c>
      <c r="Q772" s="6" t="n"/>
      <c r="R772" s="6" t="n"/>
      <c r="S772" s="3">
        <f>IF($L772="","",UPPER(SUBSTITUTE(SUBSTITUTE(SUBSTITUTE(SUBSTITUTE(SUBSTITUTE(SUBSTITUTE(SUBSTITUTE(SUBSTITUTE(SUBSTITUTE(SUBSTITUTE(SUBSTITUTE(SUBSTITUTE(SUBSTITUTE(SUBSTITUTE(SUBSTITUTE(SUBSTITUTE(SUBSTITUTE(SUBSTITUTE(TRIM($L772),"'",""),"İ","I"),"ı","I"),"i","I"),"Ş","S"),"ş","S"),"Ğ","G"),"ğ","G"),"Ü","U"),"ü","U"),"Ö","O"),"ö","O"),"Ç","C"),"ç","C"),".",""),",","")," ",""),"-","")))</f>
        <v/>
      </c>
      <c r="T772" s="3">
        <f>IF(OR($C772="",$D772&lt;&gt;"Gelir",$L772=""),"",IFERROR(INDEX(MUSTERILER!$B$7:$B$106,MATCH($S772,MUSTERILER!$T$7:$T$106,0)),""))</f>
        <v/>
      </c>
      <c r="U772" s="3">
        <f>IF($T772="","",$T772&amp;"|"&amp;COUNTIFS($T$7:$T772,$T772))</f>
        <v/>
      </c>
      <c r="V772" s="3">
        <f>IF($T772="",0,1)</f>
        <v/>
      </c>
      <c r="W772" s="3">
        <f>IF($C772="","",$D772&amp;"|"&amp;$E772&amp;"|"&amp;TEXT($C772,"0")&amp;"|"&amp;TEXT($G772,"0")&amp;"|"&amp;$J772)</f>
        <v/>
      </c>
      <c r="X772" s="3" t="n"/>
      <c r="Y772" s="3" t="n"/>
      <c r="Z772" s="3" t="n"/>
      <c r="AA772" s="3" t="n"/>
      <c r="AB772" s="3" t="n"/>
      <c r="AC772" s="3" t="n"/>
      <c r="AD772" s="3">
        <f>IF($C772="",0,SUMPRODUCT((AY_SONU!$O$7:$O$42="Evet")*(AY_SONU!$B$7:$B$42=DATE(YEAR($C772),MONTH($C772),1))))</f>
        <v/>
      </c>
    </row>
    <row r="773">
      <c r="A773" s="6" t="n"/>
      <c r="B773" s="113">
        <f>IF($C773="","","GG"&amp;TEXT(ROW()-6,"00000"))</f>
        <v/>
      </c>
      <c r="C773" s="220" t="n"/>
      <c r="D773" s="108" t="n"/>
      <c r="E773" s="109" t="n"/>
      <c r="F773" s="109" t="n"/>
      <c r="G773" s="221" t="n"/>
      <c r="H773" s="108" t="n"/>
      <c r="I773" s="108" t="n"/>
      <c r="J773" s="109" t="n"/>
      <c r="K773" s="109" t="n"/>
      <c r="L773" s="108" t="n"/>
      <c r="M773" s="121">
        <f>IF($C773="","",IF($D773="Gider",$E773,IF($L773&lt;&gt;"",$L773,$H773)))</f>
        <v/>
      </c>
      <c r="N773" s="121">
        <f>IF($C773="","",IF($D773="Gider",$H773,$E773))</f>
        <v/>
      </c>
      <c r="O773" s="226">
        <f>IF($C773="","",DATE(YEAR($C773),MONTH($C773),1))</f>
        <v/>
      </c>
      <c r="P773" s="113">
        <f>IF($C773="","",IF(AND($D773="Gelir",$L773&lt;&gt;"",$T773=""),"TANIMSIZ BORÇLU",IF($T773&lt;&gt;"",IF(OR($E773="",$G773&lt;=0),"EKSİK",IF($I773="Evet","TAHAKKUK NAKİT OLAMAZ",IF($C773&gt;TODAY(),"İLERİ TARİH","TAHAKKUK"))),IF(AND($D773&lt;&gt;"",$E773&lt;&gt;"",$G773&gt;0,$H773&lt;&gt;"",$I773&lt;&gt;""),IF($C773&gt;TODAY(),"İLERİ TARİH",IF(COUNTIF($W$7:$W$1206,$W773)&gt;1,"MÜKERRER?",IF($AD773&gt;0,"KAPALI DÖNEM",IF($I773="Hayır","ÖDENECEK","UYGUN")))),"EKSİK"))))</f>
        <v/>
      </c>
      <c r="Q773" s="6" t="n"/>
      <c r="R773" s="6" t="n"/>
      <c r="S773" s="3">
        <f>IF($L773="","",UPPER(SUBSTITUTE(SUBSTITUTE(SUBSTITUTE(SUBSTITUTE(SUBSTITUTE(SUBSTITUTE(SUBSTITUTE(SUBSTITUTE(SUBSTITUTE(SUBSTITUTE(SUBSTITUTE(SUBSTITUTE(SUBSTITUTE(SUBSTITUTE(SUBSTITUTE(SUBSTITUTE(SUBSTITUTE(SUBSTITUTE(TRIM($L773),"'",""),"İ","I"),"ı","I"),"i","I"),"Ş","S"),"ş","S"),"Ğ","G"),"ğ","G"),"Ü","U"),"ü","U"),"Ö","O"),"ö","O"),"Ç","C"),"ç","C"),".",""),",","")," ",""),"-","")))</f>
        <v/>
      </c>
      <c r="T773" s="3">
        <f>IF(OR($C773="",$D773&lt;&gt;"Gelir",$L773=""),"",IFERROR(INDEX(MUSTERILER!$B$7:$B$106,MATCH($S773,MUSTERILER!$T$7:$T$106,0)),""))</f>
        <v/>
      </c>
      <c r="U773" s="3">
        <f>IF($T773="","",$T773&amp;"|"&amp;COUNTIFS($T$7:$T773,$T773))</f>
        <v/>
      </c>
      <c r="V773" s="3">
        <f>IF($T773="",0,1)</f>
        <v/>
      </c>
      <c r="W773" s="3">
        <f>IF($C773="","",$D773&amp;"|"&amp;$E773&amp;"|"&amp;TEXT($C773,"0")&amp;"|"&amp;TEXT($G773,"0")&amp;"|"&amp;$J773)</f>
        <v/>
      </c>
      <c r="X773" s="3" t="n"/>
      <c r="Y773" s="3" t="n"/>
      <c r="Z773" s="3" t="n"/>
      <c r="AA773" s="3" t="n"/>
      <c r="AB773" s="3" t="n"/>
      <c r="AC773" s="3" t="n"/>
      <c r="AD773" s="3">
        <f>IF($C773="",0,SUMPRODUCT((AY_SONU!$O$7:$O$42="Evet")*(AY_SONU!$B$7:$B$42=DATE(YEAR($C773),MONTH($C773),1))))</f>
        <v/>
      </c>
    </row>
    <row r="774">
      <c r="A774" s="6" t="n"/>
      <c r="B774" s="113">
        <f>IF($C774="","","GG"&amp;TEXT(ROW()-6,"00000"))</f>
        <v/>
      </c>
      <c r="C774" s="220" t="n"/>
      <c r="D774" s="108" t="n"/>
      <c r="E774" s="109" t="n"/>
      <c r="F774" s="109" t="n"/>
      <c r="G774" s="221" t="n"/>
      <c r="H774" s="108" t="n"/>
      <c r="I774" s="108" t="n"/>
      <c r="J774" s="109" t="n"/>
      <c r="K774" s="109" t="n"/>
      <c r="L774" s="108" t="n"/>
      <c r="M774" s="121">
        <f>IF($C774="","",IF($D774="Gider",$E774,IF($L774&lt;&gt;"",$L774,$H774)))</f>
        <v/>
      </c>
      <c r="N774" s="121">
        <f>IF($C774="","",IF($D774="Gider",$H774,$E774))</f>
        <v/>
      </c>
      <c r="O774" s="226">
        <f>IF($C774="","",DATE(YEAR($C774),MONTH($C774),1))</f>
        <v/>
      </c>
      <c r="P774" s="113">
        <f>IF($C774="","",IF(AND($D774="Gelir",$L774&lt;&gt;"",$T774=""),"TANIMSIZ BORÇLU",IF($T774&lt;&gt;"",IF(OR($E774="",$G774&lt;=0),"EKSİK",IF($I774="Evet","TAHAKKUK NAKİT OLAMAZ",IF($C774&gt;TODAY(),"İLERİ TARİH","TAHAKKUK"))),IF(AND($D774&lt;&gt;"",$E774&lt;&gt;"",$G774&gt;0,$H774&lt;&gt;"",$I774&lt;&gt;""),IF($C774&gt;TODAY(),"İLERİ TARİH",IF(COUNTIF($W$7:$W$1206,$W774)&gt;1,"MÜKERRER?",IF($AD774&gt;0,"KAPALI DÖNEM",IF($I774="Hayır","ÖDENECEK","UYGUN")))),"EKSİK"))))</f>
        <v/>
      </c>
      <c r="Q774" s="6" t="n"/>
      <c r="R774" s="6" t="n"/>
      <c r="S774" s="3">
        <f>IF($L774="","",UPPER(SUBSTITUTE(SUBSTITUTE(SUBSTITUTE(SUBSTITUTE(SUBSTITUTE(SUBSTITUTE(SUBSTITUTE(SUBSTITUTE(SUBSTITUTE(SUBSTITUTE(SUBSTITUTE(SUBSTITUTE(SUBSTITUTE(SUBSTITUTE(SUBSTITUTE(SUBSTITUTE(SUBSTITUTE(SUBSTITUTE(TRIM($L774),"'",""),"İ","I"),"ı","I"),"i","I"),"Ş","S"),"ş","S"),"Ğ","G"),"ğ","G"),"Ü","U"),"ü","U"),"Ö","O"),"ö","O"),"Ç","C"),"ç","C"),".",""),",","")," ",""),"-","")))</f>
        <v/>
      </c>
      <c r="T774" s="3">
        <f>IF(OR($C774="",$D774&lt;&gt;"Gelir",$L774=""),"",IFERROR(INDEX(MUSTERILER!$B$7:$B$106,MATCH($S774,MUSTERILER!$T$7:$T$106,0)),""))</f>
        <v/>
      </c>
      <c r="U774" s="3">
        <f>IF($T774="","",$T774&amp;"|"&amp;COUNTIFS($T$7:$T774,$T774))</f>
        <v/>
      </c>
      <c r="V774" s="3">
        <f>IF($T774="",0,1)</f>
        <v/>
      </c>
      <c r="W774" s="3">
        <f>IF($C774="","",$D774&amp;"|"&amp;$E774&amp;"|"&amp;TEXT($C774,"0")&amp;"|"&amp;TEXT($G774,"0")&amp;"|"&amp;$J774)</f>
        <v/>
      </c>
      <c r="X774" s="3" t="n"/>
      <c r="Y774" s="3" t="n"/>
      <c r="Z774" s="3" t="n"/>
      <c r="AA774" s="3" t="n"/>
      <c r="AB774" s="3" t="n"/>
      <c r="AC774" s="3" t="n"/>
      <c r="AD774" s="3">
        <f>IF($C774="",0,SUMPRODUCT((AY_SONU!$O$7:$O$42="Evet")*(AY_SONU!$B$7:$B$42=DATE(YEAR($C774),MONTH($C774),1))))</f>
        <v/>
      </c>
    </row>
    <row r="775">
      <c r="A775" s="6" t="n"/>
      <c r="B775" s="113">
        <f>IF($C775="","","GG"&amp;TEXT(ROW()-6,"00000"))</f>
        <v/>
      </c>
      <c r="C775" s="220" t="n"/>
      <c r="D775" s="108" t="n"/>
      <c r="E775" s="109" t="n"/>
      <c r="F775" s="109" t="n"/>
      <c r="G775" s="221" t="n"/>
      <c r="H775" s="108" t="n"/>
      <c r="I775" s="108" t="n"/>
      <c r="J775" s="109" t="n"/>
      <c r="K775" s="109" t="n"/>
      <c r="L775" s="108" t="n"/>
      <c r="M775" s="121">
        <f>IF($C775="","",IF($D775="Gider",$E775,IF($L775&lt;&gt;"",$L775,$H775)))</f>
        <v/>
      </c>
      <c r="N775" s="121">
        <f>IF($C775="","",IF($D775="Gider",$H775,$E775))</f>
        <v/>
      </c>
      <c r="O775" s="226">
        <f>IF($C775="","",DATE(YEAR($C775),MONTH($C775),1))</f>
        <v/>
      </c>
      <c r="P775" s="113">
        <f>IF($C775="","",IF(AND($D775="Gelir",$L775&lt;&gt;"",$T775=""),"TANIMSIZ BORÇLU",IF($T775&lt;&gt;"",IF(OR($E775="",$G775&lt;=0),"EKSİK",IF($I775="Evet","TAHAKKUK NAKİT OLAMAZ",IF($C775&gt;TODAY(),"İLERİ TARİH","TAHAKKUK"))),IF(AND($D775&lt;&gt;"",$E775&lt;&gt;"",$G775&gt;0,$H775&lt;&gt;"",$I775&lt;&gt;""),IF($C775&gt;TODAY(),"İLERİ TARİH",IF(COUNTIF($W$7:$W$1206,$W775)&gt;1,"MÜKERRER?",IF($AD775&gt;0,"KAPALI DÖNEM",IF($I775="Hayır","ÖDENECEK","UYGUN")))),"EKSİK"))))</f>
        <v/>
      </c>
      <c r="Q775" s="6" t="n"/>
      <c r="R775" s="6" t="n"/>
      <c r="S775" s="3">
        <f>IF($L775="","",UPPER(SUBSTITUTE(SUBSTITUTE(SUBSTITUTE(SUBSTITUTE(SUBSTITUTE(SUBSTITUTE(SUBSTITUTE(SUBSTITUTE(SUBSTITUTE(SUBSTITUTE(SUBSTITUTE(SUBSTITUTE(SUBSTITUTE(SUBSTITUTE(SUBSTITUTE(SUBSTITUTE(SUBSTITUTE(SUBSTITUTE(TRIM($L775),"'",""),"İ","I"),"ı","I"),"i","I"),"Ş","S"),"ş","S"),"Ğ","G"),"ğ","G"),"Ü","U"),"ü","U"),"Ö","O"),"ö","O"),"Ç","C"),"ç","C"),".",""),",","")," ",""),"-","")))</f>
        <v/>
      </c>
      <c r="T775" s="3">
        <f>IF(OR($C775="",$D775&lt;&gt;"Gelir",$L775=""),"",IFERROR(INDEX(MUSTERILER!$B$7:$B$106,MATCH($S775,MUSTERILER!$T$7:$T$106,0)),""))</f>
        <v/>
      </c>
      <c r="U775" s="3">
        <f>IF($T775="","",$T775&amp;"|"&amp;COUNTIFS($T$7:$T775,$T775))</f>
        <v/>
      </c>
      <c r="V775" s="3">
        <f>IF($T775="",0,1)</f>
        <v/>
      </c>
      <c r="W775" s="3">
        <f>IF($C775="","",$D775&amp;"|"&amp;$E775&amp;"|"&amp;TEXT($C775,"0")&amp;"|"&amp;TEXT($G775,"0")&amp;"|"&amp;$J775)</f>
        <v/>
      </c>
      <c r="X775" s="3" t="n"/>
      <c r="Y775" s="3" t="n"/>
      <c r="Z775" s="3" t="n"/>
      <c r="AA775" s="3" t="n"/>
      <c r="AB775" s="3" t="n"/>
      <c r="AC775" s="3" t="n"/>
      <c r="AD775" s="3">
        <f>IF($C775="",0,SUMPRODUCT((AY_SONU!$O$7:$O$42="Evet")*(AY_SONU!$B$7:$B$42=DATE(YEAR($C775),MONTH($C775),1))))</f>
        <v/>
      </c>
    </row>
    <row r="776">
      <c r="A776" s="6" t="n"/>
      <c r="B776" s="113">
        <f>IF($C776="","","GG"&amp;TEXT(ROW()-6,"00000"))</f>
        <v/>
      </c>
      <c r="C776" s="220" t="n"/>
      <c r="D776" s="108" t="n"/>
      <c r="E776" s="109" t="n"/>
      <c r="F776" s="109" t="n"/>
      <c r="G776" s="221" t="n"/>
      <c r="H776" s="108" t="n"/>
      <c r="I776" s="108" t="n"/>
      <c r="J776" s="109" t="n"/>
      <c r="K776" s="109" t="n"/>
      <c r="L776" s="108" t="n"/>
      <c r="M776" s="121">
        <f>IF($C776="","",IF($D776="Gider",$E776,IF($L776&lt;&gt;"",$L776,$H776)))</f>
        <v/>
      </c>
      <c r="N776" s="121">
        <f>IF($C776="","",IF($D776="Gider",$H776,$E776))</f>
        <v/>
      </c>
      <c r="O776" s="226">
        <f>IF($C776="","",DATE(YEAR($C776),MONTH($C776),1))</f>
        <v/>
      </c>
      <c r="P776" s="113">
        <f>IF($C776="","",IF(AND($D776="Gelir",$L776&lt;&gt;"",$T776=""),"TANIMSIZ BORÇLU",IF($T776&lt;&gt;"",IF(OR($E776="",$G776&lt;=0),"EKSİK",IF($I776="Evet","TAHAKKUK NAKİT OLAMAZ",IF($C776&gt;TODAY(),"İLERİ TARİH","TAHAKKUK"))),IF(AND($D776&lt;&gt;"",$E776&lt;&gt;"",$G776&gt;0,$H776&lt;&gt;"",$I776&lt;&gt;""),IF($C776&gt;TODAY(),"İLERİ TARİH",IF(COUNTIF($W$7:$W$1206,$W776)&gt;1,"MÜKERRER?",IF($AD776&gt;0,"KAPALI DÖNEM",IF($I776="Hayır","ÖDENECEK","UYGUN")))),"EKSİK"))))</f>
        <v/>
      </c>
      <c r="Q776" s="6" t="n"/>
      <c r="R776" s="6" t="n"/>
      <c r="S776" s="3">
        <f>IF($L776="","",UPPER(SUBSTITUTE(SUBSTITUTE(SUBSTITUTE(SUBSTITUTE(SUBSTITUTE(SUBSTITUTE(SUBSTITUTE(SUBSTITUTE(SUBSTITUTE(SUBSTITUTE(SUBSTITUTE(SUBSTITUTE(SUBSTITUTE(SUBSTITUTE(SUBSTITUTE(SUBSTITUTE(SUBSTITUTE(SUBSTITUTE(TRIM($L776),"'",""),"İ","I"),"ı","I"),"i","I"),"Ş","S"),"ş","S"),"Ğ","G"),"ğ","G"),"Ü","U"),"ü","U"),"Ö","O"),"ö","O"),"Ç","C"),"ç","C"),".",""),",","")," ",""),"-","")))</f>
        <v/>
      </c>
      <c r="T776" s="3">
        <f>IF(OR($C776="",$D776&lt;&gt;"Gelir",$L776=""),"",IFERROR(INDEX(MUSTERILER!$B$7:$B$106,MATCH($S776,MUSTERILER!$T$7:$T$106,0)),""))</f>
        <v/>
      </c>
      <c r="U776" s="3">
        <f>IF($T776="","",$T776&amp;"|"&amp;COUNTIFS($T$7:$T776,$T776))</f>
        <v/>
      </c>
      <c r="V776" s="3">
        <f>IF($T776="",0,1)</f>
        <v/>
      </c>
      <c r="W776" s="3">
        <f>IF($C776="","",$D776&amp;"|"&amp;$E776&amp;"|"&amp;TEXT($C776,"0")&amp;"|"&amp;TEXT($G776,"0")&amp;"|"&amp;$J776)</f>
        <v/>
      </c>
      <c r="X776" s="3" t="n"/>
      <c r="Y776" s="3" t="n"/>
      <c r="Z776" s="3" t="n"/>
      <c r="AA776" s="3" t="n"/>
      <c r="AB776" s="3" t="n"/>
      <c r="AC776" s="3" t="n"/>
      <c r="AD776" s="3">
        <f>IF($C776="",0,SUMPRODUCT((AY_SONU!$O$7:$O$42="Evet")*(AY_SONU!$B$7:$B$42=DATE(YEAR($C776),MONTH($C776),1))))</f>
        <v/>
      </c>
    </row>
    <row r="777">
      <c r="A777" s="6" t="n"/>
      <c r="B777" s="113">
        <f>IF($C777="","","GG"&amp;TEXT(ROW()-6,"00000"))</f>
        <v/>
      </c>
      <c r="C777" s="220" t="n"/>
      <c r="D777" s="108" t="n"/>
      <c r="E777" s="109" t="n"/>
      <c r="F777" s="109" t="n"/>
      <c r="G777" s="221" t="n"/>
      <c r="H777" s="108" t="n"/>
      <c r="I777" s="108" t="n"/>
      <c r="J777" s="109" t="n"/>
      <c r="K777" s="109" t="n"/>
      <c r="L777" s="108" t="n"/>
      <c r="M777" s="121">
        <f>IF($C777="","",IF($D777="Gider",$E777,IF($L777&lt;&gt;"",$L777,$H777)))</f>
        <v/>
      </c>
      <c r="N777" s="121">
        <f>IF($C777="","",IF($D777="Gider",$H777,$E777))</f>
        <v/>
      </c>
      <c r="O777" s="226">
        <f>IF($C777="","",DATE(YEAR($C777),MONTH($C777),1))</f>
        <v/>
      </c>
      <c r="P777" s="113">
        <f>IF($C777="","",IF(AND($D777="Gelir",$L777&lt;&gt;"",$T777=""),"TANIMSIZ BORÇLU",IF($T777&lt;&gt;"",IF(OR($E777="",$G777&lt;=0),"EKSİK",IF($I777="Evet","TAHAKKUK NAKİT OLAMAZ",IF($C777&gt;TODAY(),"İLERİ TARİH","TAHAKKUK"))),IF(AND($D777&lt;&gt;"",$E777&lt;&gt;"",$G777&gt;0,$H777&lt;&gt;"",$I777&lt;&gt;""),IF($C777&gt;TODAY(),"İLERİ TARİH",IF(COUNTIF($W$7:$W$1206,$W777)&gt;1,"MÜKERRER?",IF($AD777&gt;0,"KAPALI DÖNEM",IF($I777="Hayır","ÖDENECEK","UYGUN")))),"EKSİK"))))</f>
        <v/>
      </c>
      <c r="Q777" s="6" t="n"/>
      <c r="R777" s="6" t="n"/>
      <c r="S777" s="3">
        <f>IF($L777="","",UPPER(SUBSTITUTE(SUBSTITUTE(SUBSTITUTE(SUBSTITUTE(SUBSTITUTE(SUBSTITUTE(SUBSTITUTE(SUBSTITUTE(SUBSTITUTE(SUBSTITUTE(SUBSTITUTE(SUBSTITUTE(SUBSTITUTE(SUBSTITUTE(SUBSTITUTE(SUBSTITUTE(SUBSTITUTE(SUBSTITUTE(TRIM($L777),"'",""),"İ","I"),"ı","I"),"i","I"),"Ş","S"),"ş","S"),"Ğ","G"),"ğ","G"),"Ü","U"),"ü","U"),"Ö","O"),"ö","O"),"Ç","C"),"ç","C"),".",""),",","")," ",""),"-","")))</f>
        <v/>
      </c>
      <c r="T777" s="3">
        <f>IF(OR($C777="",$D777&lt;&gt;"Gelir",$L777=""),"",IFERROR(INDEX(MUSTERILER!$B$7:$B$106,MATCH($S777,MUSTERILER!$T$7:$T$106,0)),""))</f>
        <v/>
      </c>
      <c r="U777" s="3">
        <f>IF($T777="","",$T777&amp;"|"&amp;COUNTIFS($T$7:$T777,$T777))</f>
        <v/>
      </c>
      <c r="V777" s="3">
        <f>IF($T777="",0,1)</f>
        <v/>
      </c>
      <c r="W777" s="3">
        <f>IF($C777="","",$D777&amp;"|"&amp;$E777&amp;"|"&amp;TEXT($C777,"0")&amp;"|"&amp;TEXT($G777,"0")&amp;"|"&amp;$J777)</f>
        <v/>
      </c>
      <c r="X777" s="3" t="n"/>
      <c r="Y777" s="3" t="n"/>
      <c r="Z777" s="3" t="n"/>
      <c r="AA777" s="3" t="n"/>
      <c r="AB777" s="3" t="n"/>
      <c r="AC777" s="3" t="n"/>
      <c r="AD777" s="3">
        <f>IF($C777="",0,SUMPRODUCT((AY_SONU!$O$7:$O$42="Evet")*(AY_SONU!$B$7:$B$42=DATE(YEAR($C777),MONTH($C777),1))))</f>
        <v/>
      </c>
    </row>
    <row r="778">
      <c r="A778" s="6" t="n"/>
      <c r="B778" s="113">
        <f>IF($C778="","","GG"&amp;TEXT(ROW()-6,"00000"))</f>
        <v/>
      </c>
      <c r="C778" s="220" t="n"/>
      <c r="D778" s="108" t="n"/>
      <c r="E778" s="109" t="n"/>
      <c r="F778" s="109" t="n"/>
      <c r="G778" s="221" t="n"/>
      <c r="H778" s="108" t="n"/>
      <c r="I778" s="108" t="n"/>
      <c r="J778" s="109" t="n"/>
      <c r="K778" s="109" t="n"/>
      <c r="L778" s="108" t="n"/>
      <c r="M778" s="121">
        <f>IF($C778="","",IF($D778="Gider",$E778,IF($L778&lt;&gt;"",$L778,$H778)))</f>
        <v/>
      </c>
      <c r="N778" s="121">
        <f>IF($C778="","",IF($D778="Gider",$H778,$E778))</f>
        <v/>
      </c>
      <c r="O778" s="226">
        <f>IF($C778="","",DATE(YEAR($C778),MONTH($C778),1))</f>
        <v/>
      </c>
      <c r="P778" s="113">
        <f>IF($C778="","",IF(AND($D778="Gelir",$L778&lt;&gt;"",$T778=""),"TANIMSIZ BORÇLU",IF($T778&lt;&gt;"",IF(OR($E778="",$G778&lt;=0),"EKSİK",IF($I778="Evet","TAHAKKUK NAKİT OLAMAZ",IF($C778&gt;TODAY(),"İLERİ TARİH","TAHAKKUK"))),IF(AND($D778&lt;&gt;"",$E778&lt;&gt;"",$G778&gt;0,$H778&lt;&gt;"",$I778&lt;&gt;""),IF($C778&gt;TODAY(),"İLERİ TARİH",IF(COUNTIF($W$7:$W$1206,$W778)&gt;1,"MÜKERRER?",IF($AD778&gt;0,"KAPALI DÖNEM",IF($I778="Hayır","ÖDENECEK","UYGUN")))),"EKSİK"))))</f>
        <v/>
      </c>
      <c r="Q778" s="6" t="n"/>
      <c r="R778" s="6" t="n"/>
      <c r="S778" s="3">
        <f>IF($L778="","",UPPER(SUBSTITUTE(SUBSTITUTE(SUBSTITUTE(SUBSTITUTE(SUBSTITUTE(SUBSTITUTE(SUBSTITUTE(SUBSTITUTE(SUBSTITUTE(SUBSTITUTE(SUBSTITUTE(SUBSTITUTE(SUBSTITUTE(SUBSTITUTE(SUBSTITUTE(SUBSTITUTE(SUBSTITUTE(SUBSTITUTE(TRIM($L778),"'",""),"İ","I"),"ı","I"),"i","I"),"Ş","S"),"ş","S"),"Ğ","G"),"ğ","G"),"Ü","U"),"ü","U"),"Ö","O"),"ö","O"),"Ç","C"),"ç","C"),".",""),",","")," ",""),"-","")))</f>
        <v/>
      </c>
      <c r="T778" s="3">
        <f>IF(OR($C778="",$D778&lt;&gt;"Gelir",$L778=""),"",IFERROR(INDEX(MUSTERILER!$B$7:$B$106,MATCH($S778,MUSTERILER!$T$7:$T$106,0)),""))</f>
        <v/>
      </c>
      <c r="U778" s="3">
        <f>IF($T778="","",$T778&amp;"|"&amp;COUNTIFS($T$7:$T778,$T778))</f>
        <v/>
      </c>
      <c r="V778" s="3">
        <f>IF($T778="",0,1)</f>
        <v/>
      </c>
      <c r="W778" s="3">
        <f>IF($C778="","",$D778&amp;"|"&amp;$E778&amp;"|"&amp;TEXT($C778,"0")&amp;"|"&amp;TEXT($G778,"0")&amp;"|"&amp;$J778)</f>
        <v/>
      </c>
      <c r="X778" s="3" t="n"/>
      <c r="Y778" s="3" t="n"/>
      <c r="Z778" s="3" t="n"/>
      <c r="AA778" s="3" t="n"/>
      <c r="AB778" s="3" t="n"/>
      <c r="AC778" s="3" t="n"/>
      <c r="AD778" s="3">
        <f>IF($C778="",0,SUMPRODUCT((AY_SONU!$O$7:$O$42="Evet")*(AY_SONU!$B$7:$B$42=DATE(YEAR($C778),MONTH($C778),1))))</f>
        <v/>
      </c>
    </row>
    <row r="779">
      <c r="A779" s="6" t="n"/>
      <c r="B779" s="113">
        <f>IF($C779="","","GG"&amp;TEXT(ROW()-6,"00000"))</f>
        <v/>
      </c>
      <c r="C779" s="220" t="n"/>
      <c r="D779" s="108" t="n"/>
      <c r="E779" s="109" t="n"/>
      <c r="F779" s="109" t="n"/>
      <c r="G779" s="221" t="n"/>
      <c r="H779" s="108" t="n"/>
      <c r="I779" s="108" t="n"/>
      <c r="J779" s="109" t="n"/>
      <c r="K779" s="109" t="n"/>
      <c r="L779" s="108" t="n"/>
      <c r="M779" s="121">
        <f>IF($C779="","",IF($D779="Gider",$E779,IF($L779&lt;&gt;"",$L779,$H779)))</f>
        <v/>
      </c>
      <c r="N779" s="121">
        <f>IF($C779="","",IF($D779="Gider",$H779,$E779))</f>
        <v/>
      </c>
      <c r="O779" s="226">
        <f>IF($C779="","",DATE(YEAR($C779),MONTH($C779),1))</f>
        <v/>
      </c>
      <c r="P779" s="113">
        <f>IF($C779="","",IF(AND($D779="Gelir",$L779&lt;&gt;"",$T779=""),"TANIMSIZ BORÇLU",IF($T779&lt;&gt;"",IF(OR($E779="",$G779&lt;=0),"EKSİK",IF($I779="Evet","TAHAKKUK NAKİT OLAMAZ",IF($C779&gt;TODAY(),"İLERİ TARİH","TAHAKKUK"))),IF(AND($D779&lt;&gt;"",$E779&lt;&gt;"",$G779&gt;0,$H779&lt;&gt;"",$I779&lt;&gt;""),IF($C779&gt;TODAY(),"İLERİ TARİH",IF(COUNTIF($W$7:$W$1206,$W779)&gt;1,"MÜKERRER?",IF($AD779&gt;0,"KAPALI DÖNEM",IF($I779="Hayır","ÖDENECEK","UYGUN")))),"EKSİK"))))</f>
        <v/>
      </c>
      <c r="Q779" s="6" t="n"/>
      <c r="R779" s="6" t="n"/>
      <c r="S779" s="3">
        <f>IF($L779="","",UPPER(SUBSTITUTE(SUBSTITUTE(SUBSTITUTE(SUBSTITUTE(SUBSTITUTE(SUBSTITUTE(SUBSTITUTE(SUBSTITUTE(SUBSTITUTE(SUBSTITUTE(SUBSTITUTE(SUBSTITUTE(SUBSTITUTE(SUBSTITUTE(SUBSTITUTE(SUBSTITUTE(SUBSTITUTE(SUBSTITUTE(TRIM($L779),"'",""),"İ","I"),"ı","I"),"i","I"),"Ş","S"),"ş","S"),"Ğ","G"),"ğ","G"),"Ü","U"),"ü","U"),"Ö","O"),"ö","O"),"Ç","C"),"ç","C"),".",""),",","")," ",""),"-","")))</f>
        <v/>
      </c>
      <c r="T779" s="3">
        <f>IF(OR($C779="",$D779&lt;&gt;"Gelir",$L779=""),"",IFERROR(INDEX(MUSTERILER!$B$7:$B$106,MATCH($S779,MUSTERILER!$T$7:$T$106,0)),""))</f>
        <v/>
      </c>
      <c r="U779" s="3">
        <f>IF($T779="","",$T779&amp;"|"&amp;COUNTIFS($T$7:$T779,$T779))</f>
        <v/>
      </c>
      <c r="V779" s="3">
        <f>IF($T779="",0,1)</f>
        <v/>
      </c>
      <c r="W779" s="3">
        <f>IF($C779="","",$D779&amp;"|"&amp;$E779&amp;"|"&amp;TEXT($C779,"0")&amp;"|"&amp;TEXT($G779,"0")&amp;"|"&amp;$J779)</f>
        <v/>
      </c>
      <c r="X779" s="3" t="n"/>
      <c r="Y779" s="3" t="n"/>
      <c r="Z779" s="3" t="n"/>
      <c r="AA779" s="3" t="n"/>
      <c r="AB779" s="3" t="n"/>
      <c r="AC779" s="3" t="n"/>
      <c r="AD779" s="3">
        <f>IF($C779="",0,SUMPRODUCT((AY_SONU!$O$7:$O$42="Evet")*(AY_SONU!$B$7:$B$42=DATE(YEAR($C779),MONTH($C779),1))))</f>
        <v/>
      </c>
    </row>
    <row r="780">
      <c r="A780" s="6" t="n"/>
      <c r="B780" s="113">
        <f>IF($C780="","","GG"&amp;TEXT(ROW()-6,"00000"))</f>
        <v/>
      </c>
      <c r="C780" s="220" t="n"/>
      <c r="D780" s="108" t="n"/>
      <c r="E780" s="109" t="n"/>
      <c r="F780" s="109" t="n"/>
      <c r="G780" s="221" t="n"/>
      <c r="H780" s="108" t="n"/>
      <c r="I780" s="108" t="n"/>
      <c r="J780" s="109" t="n"/>
      <c r="K780" s="109" t="n"/>
      <c r="L780" s="108" t="n"/>
      <c r="M780" s="121">
        <f>IF($C780="","",IF($D780="Gider",$E780,IF($L780&lt;&gt;"",$L780,$H780)))</f>
        <v/>
      </c>
      <c r="N780" s="121">
        <f>IF($C780="","",IF($D780="Gider",$H780,$E780))</f>
        <v/>
      </c>
      <c r="O780" s="226">
        <f>IF($C780="","",DATE(YEAR($C780),MONTH($C780),1))</f>
        <v/>
      </c>
      <c r="P780" s="113">
        <f>IF($C780="","",IF(AND($D780="Gelir",$L780&lt;&gt;"",$T780=""),"TANIMSIZ BORÇLU",IF($T780&lt;&gt;"",IF(OR($E780="",$G780&lt;=0),"EKSİK",IF($I780="Evet","TAHAKKUK NAKİT OLAMAZ",IF($C780&gt;TODAY(),"İLERİ TARİH","TAHAKKUK"))),IF(AND($D780&lt;&gt;"",$E780&lt;&gt;"",$G780&gt;0,$H780&lt;&gt;"",$I780&lt;&gt;""),IF($C780&gt;TODAY(),"İLERİ TARİH",IF(COUNTIF($W$7:$W$1206,$W780)&gt;1,"MÜKERRER?",IF($AD780&gt;0,"KAPALI DÖNEM",IF($I780="Hayır","ÖDENECEK","UYGUN")))),"EKSİK"))))</f>
        <v/>
      </c>
      <c r="Q780" s="6" t="n"/>
      <c r="R780" s="6" t="n"/>
      <c r="S780" s="3">
        <f>IF($L780="","",UPPER(SUBSTITUTE(SUBSTITUTE(SUBSTITUTE(SUBSTITUTE(SUBSTITUTE(SUBSTITUTE(SUBSTITUTE(SUBSTITUTE(SUBSTITUTE(SUBSTITUTE(SUBSTITUTE(SUBSTITUTE(SUBSTITUTE(SUBSTITUTE(SUBSTITUTE(SUBSTITUTE(SUBSTITUTE(SUBSTITUTE(TRIM($L780),"'",""),"İ","I"),"ı","I"),"i","I"),"Ş","S"),"ş","S"),"Ğ","G"),"ğ","G"),"Ü","U"),"ü","U"),"Ö","O"),"ö","O"),"Ç","C"),"ç","C"),".",""),",","")," ",""),"-","")))</f>
        <v/>
      </c>
      <c r="T780" s="3">
        <f>IF(OR($C780="",$D780&lt;&gt;"Gelir",$L780=""),"",IFERROR(INDEX(MUSTERILER!$B$7:$B$106,MATCH($S780,MUSTERILER!$T$7:$T$106,0)),""))</f>
        <v/>
      </c>
      <c r="U780" s="3">
        <f>IF($T780="","",$T780&amp;"|"&amp;COUNTIFS($T$7:$T780,$T780))</f>
        <v/>
      </c>
      <c r="V780" s="3">
        <f>IF($T780="",0,1)</f>
        <v/>
      </c>
      <c r="W780" s="3">
        <f>IF($C780="","",$D780&amp;"|"&amp;$E780&amp;"|"&amp;TEXT($C780,"0")&amp;"|"&amp;TEXT($G780,"0")&amp;"|"&amp;$J780)</f>
        <v/>
      </c>
      <c r="X780" s="3" t="n"/>
      <c r="Y780" s="3" t="n"/>
      <c r="Z780" s="3" t="n"/>
      <c r="AA780" s="3" t="n"/>
      <c r="AB780" s="3" t="n"/>
      <c r="AC780" s="3" t="n"/>
      <c r="AD780" s="3">
        <f>IF($C780="",0,SUMPRODUCT((AY_SONU!$O$7:$O$42="Evet")*(AY_SONU!$B$7:$B$42=DATE(YEAR($C780),MONTH($C780),1))))</f>
        <v/>
      </c>
    </row>
    <row r="781">
      <c r="A781" s="6" t="n"/>
      <c r="B781" s="113">
        <f>IF($C781="","","GG"&amp;TEXT(ROW()-6,"00000"))</f>
        <v/>
      </c>
      <c r="C781" s="220" t="n"/>
      <c r="D781" s="108" t="n"/>
      <c r="E781" s="109" t="n"/>
      <c r="F781" s="109" t="n"/>
      <c r="G781" s="221" t="n"/>
      <c r="H781" s="108" t="n"/>
      <c r="I781" s="108" t="n"/>
      <c r="J781" s="109" t="n"/>
      <c r="K781" s="109" t="n"/>
      <c r="L781" s="108" t="n"/>
      <c r="M781" s="121">
        <f>IF($C781="","",IF($D781="Gider",$E781,IF($L781&lt;&gt;"",$L781,$H781)))</f>
        <v/>
      </c>
      <c r="N781" s="121">
        <f>IF($C781="","",IF($D781="Gider",$H781,$E781))</f>
        <v/>
      </c>
      <c r="O781" s="226">
        <f>IF($C781="","",DATE(YEAR($C781),MONTH($C781),1))</f>
        <v/>
      </c>
      <c r="P781" s="113">
        <f>IF($C781="","",IF(AND($D781="Gelir",$L781&lt;&gt;"",$T781=""),"TANIMSIZ BORÇLU",IF($T781&lt;&gt;"",IF(OR($E781="",$G781&lt;=0),"EKSİK",IF($I781="Evet","TAHAKKUK NAKİT OLAMAZ",IF($C781&gt;TODAY(),"İLERİ TARİH","TAHAKKUK"))),IF(AND($D781&lt;&gt;"",$E781&lt;&gt;"",$G781&gt;0,$H781&lt;&gt;"",$I781&lt;&gt;""),IF($C781&gt;TODAY(),"İLERİ TARİH",IF(COUNTIF($W$7:$W$1206,$W781)&gt;1,"MÜKERRER?",IF($AD781&gt;0,"KAPALI DÖNEM",IF($I781="Hayır","ÖDENECEK","UYGUN")))),"EKSİK"))))</f>
        <v/>
      </c>
      <c r="Q781" s="6" t="n"/>
      <c r="R781" s="6" t="n"/>
      <c r="S781" s="3">
        <f>IF($L781="","",UPPER(SUBSTITUTE(SUBSTITUTE(SUBSTITUTE(SUBSTITUTE(SUBSTITUTE(SUBSTITUTE(SUBSTITUTE(SUBSTITUTE(SUBSTITUTE(SUBSTITUTE(SUBSTITUTE(SUBSTITUTE(SUBSTITUTE(SUBSTITUTE(SUBSTITUTE(SUBSTITUTE(SUBSTITUTE(SUBSTITUTE(TRIM($L781),"'",""),"İ","I"),"ı","I"),"i","I"),"Ş","S"),"ş","S"),"Ğ","G"),"ğ","G"),"Ü","U"),"ü","U"),"Ö","O"),"ö","O"),"Ç","C"),"ç","C"),".",""),",","")," ",""),"-","")))</f>
        <v/>
      </c>
      <c r="T781" s="3">
        <f>IF(OR($C781="",$D781&lt;&gt;"Gelir",$L781=""),"",IFERROR(INDEX(MUSTERILER!$B$7:$B$106,MATCH($S781,MUSTERILER!$T$7:$T$106,0)),""))</f>
        <v/>
      </c>
      <c r="U781" s="3">
        <f>IF($T781="","",$T781&amp;"|"&amp;COUNTIFS($T$7:$T781,$T781))</f>
        <v/>
      </c>
      <c r="V781" s="3">
        <f>IF($T781="",0,1)</f>
        <v/>
      </c>
      <c r="W781" s="3">
        <f>IF($C781="","",$D781&amp;"|"&amp;$E781&amp;"|"&amp;TEXT($C781,"0")&amp;"|"&amp;TEXT($G781,"0")&amp;"|"&amp;$J781)</f>
        <v/>
      </c>
      <c r="X781" s="3" t="n"/>
      <c r="Y781" s="3" t="n"/>
      <c r="Z781" s="3" t="n"/>
      <c r="AA781" s="3" t="n"/>
      <c r="AB781" s="3" t="n"/>
      <c r="AC781" s="3" t="n"/>
      <c r="AD781" s="3">
        <f>IF($C781="",0,SUMPRODUCT((AY_SONU!$O$7:$O$42="Evet")*(AY_SONU!$B$7:$B$42=DATE(YEAR($C781),MONTH($C781),1))))</f>
        <v/>
      </c>
    </row>
    <row r="782">
      <c r="A782" s="6" t="n"/>
      <c r="B782" s="113">
        <f>IF($C782="","","GG"&amp;TEXT(ROW()-6,"00000"))</f>
        <v/>
      </c>
      <c r="C782" s="220" t="n"/>
      <c r="D782" s="108" t="n"/>
      <c r="E782" s="109" t="n"/>
      <c r="F782" s="109" t="n"/>
      <c r="G782" s="221" t="n"/>
      <c r="H782" s="108" t="n"/>
      <c r="I782" s="108" t="n"/>
      <c r="J782" s="109" t="n"/>
      <c r="K782" s="109" t="n"/>
      <c r="L782" s="108" t="n"/>
      <c r="M782" s="121">
        <f>IF($C782="","",IF($D782="Gider",$E782,IF($L782&lt;&gt;"",$L782,$H782)))</f>
        <v/>
      </c>
      <c r="N782" s="121">
        <f>IF($C782="","",IF($D782="Gider",$H782,$E782))</f>
        <v/>
      </c>
      <c r="O782" s="226">
        <f>IF($C782="","",DATE(YEAR($C782),MONTH($C782),1))</f>
        <v/>
      </c>
      <c r="P782" s="113">
        <f>IF($C782="","",IF(AND($D782="Gelir",$L782&lt;&gt;"",$T782=""),"TANIMSIZ BORÇLU",IF($T782&lt;&gt;"",IF(OR($E782="",$G782&lt;=0),"EKSİK",IF($I782="Evet","TAHAKKUK NAKİT OLAMAZ",IF($C782&gt;TODAY(),"İLERİ TARİH","TAHAKKUK"))),IF(AND($D782&lt;&gt;"",$E782&lt;&gt;"",$G782&gt;0,$H782&lt;&gt;"",$I782&lt;&gt;""),IF($C782&gt;TODAY(),"İLERİ TARİH",IF(COUNTIF($W$7:$W$1206,$W782)&gt;1,"MÜKERRER?",IF($AD782&gt;0,"KAPALI DÖNEM",IF($I782="Hayır","ÖDENECEK","UYGUN")))),"EKSİK"))))</f>
        <v/>
      </c>
      <c r="Q782" s="6" t="n"/>
      <c r="R782" s="6" t="n"/>
      <c r="S782" s="3">
        <f>IF($L782="","",UPPER(SUBSTITUTE(SUBSTITUTE(SUBSTITUTE(SUBSTITUTE(SUBSTITUTE(SUBSTITUTE(SUBSTITUTE(SUBSTITUTE(SUBSTITUTE(SUBSTITUTE(SUBSTITUTE(SUBSTITUTE(SUBSTITUTE(SUBSTITUTE(SUBSTITUTE(SUBSTITUTE(SUBSTITUTE(SUBSTITUTE(TRIM($L782),"'",""),"İ","I"),"ı","I"),"i","I"),"Ş","S"),"ş","S"),"Ğ","G"),"ğ","G"),"Ü","U"),"ü","U"),"Ö","O"),"ö","O"),"Ç","C"),"ç","C"),".",""),",","")," ",""),"-","")))</f>
        <v/>
      </c>
      <c r="T782" s="3">
        <f>IF(OR($C782="",$D782&lt;&gt;"Gelir",$L782=""),"",IFERROR(INDEX(MUSTERILER!$B$7:$B$106,MATCH($S782,MUSTERILER!$T$7:$T$106,0)),""))</f>
        <v/>
      </c>
      <c r="U782" s="3">
        <f>IF($T782="","",$T782&amp;"|"&amp;COUNTIFS($T$7:$T782,$T782))</f>
        <v/>
      </c>
      <c r="V782" s="3">
        <f>IF($T782="",0,1)</f>
        <v/>
      </c>
      <c r="W782" s="3">
        <f>IF($C782="","",$D782&amp;"|"&amp;$E782&amp;"|"&amp;TEXT($C782,"0")&amp;"|"&amp;TEXT($G782,"0")&amp;"|"&amp;$J782)</f>
        <v/>
      </c>
      <c r="X782" s="3" t="n"/>
      <c r="Y782" s="3" t="n"/>
      <c r="Z782" s="3" t="n"/>
      <c r="AA782" s="3" t="n"/>
      <c r="AB782" s="3" t="n"/>
      <c r="AC782" s="3" t="n"/>
      <c r="AD782" s="3">
        <f>IF($C782="",0,SUMPRODUCT((AY_SONU!$O$7:$O$42="Evet")*(AY_SONU!$B$7:$B$42=DATE(YEAR($C782),MONTH($C782),1))))</f>
        <v/>
      </c>
    </row>
    <row r="783">
      <c r="A783" s="6" t="n"/>
      <c r="B783" s="113">
        <f>IF($C783="","","GG"&amp;TEXT(ROW()-6,"00000"))</f>
        <v/>
      </c>
      <c r="C783" s="220" t="n"/>
      <c r="D783" s="108" t="n"/>
      <c r="E783" s="109" t="n"/>
      <c r="F783" s="109" t="n"/>
      <c r="G783" s="221" t="n"/>
      <c r="H783" s="108" t="n"/>
      <c r="I783" s="108" t="n"/>
      <c r="J783" s="109" t="n"/>
      <c r="K783" s="109" t="n"/>
      <c r="L783" s="108" t="n"/>
      <c r="M783" s="121">
        <f>IF($C783="","",IF($D783="Gider",$E783,IF($L783&lt;&gt;"",$L783,$H783)))</f>
        <v/>
      </c>
      <c r="N783" s="121">
        <f>IF($C783="","",IF($D783="Gider",$H783,$E783))</f>
        <v/>
      </c>
      <c r="O783" s="226">
        <f>IF($C783="","",DATE(YEAR($C783),MONTH($C783),1))</f>
        <v/>
      </c>
      <c r="P783" s="113">
        <f>IF($C783="","",IF(AND($D783="Gelir",$L783&lt;&gt;"",$T783=""),"TANIMSIZ BORÇLU",IF($T783&lt;&gt;"",IF(OR($E783="",$G783&lt;=0),"EKSİK",IF($I783="Evet","TAHAKKUK NAKİT OLAMAZ",IF($C783&gt;TODAY(),"İLERİ TARİH","TAHAKKUK"))),IF(AND($D783&lt;&gt;"",$E783&lt;&gt;"",$G783&gt;0,$H783&lt;&gt;"",$I783&lt;&gt;""),IF($C783&gt;TODAY(),"İLERİ TARİH",IF(COUNTIF($W$7:$W$1206,$W783)&gt;1,"MÜKERRER?",IF($AD783&gt;0,"KAPALI DÖNEM",IF($I783="Hayır","ÖDENECEK","UYGUN")))),"EKSİK"))))</f>
        <v/>
      </c>
      <c r="Q783" s="6" t="n"/>
      <c r="R783" s="6" t="n"/>
      <c r="S783" s="3">
        <f>IF($L783="","",UPPER(SUBSTITUTE(SUBSTITUTE(SUBSTITUTE(SUBSTITUTE(SUBSTITUTE(SUBSTITUTE(SUBSTITUTE(SUBSTITUTE(SUBSTITUTE(SUBSTITUTE(SUBSTITUTE(SUBSTITUTE(SUBSTITUTE(SUBSTITUTE(SUBSTITUTE(SUBSTITUTE(SUBSTITUTE(SUBSTITUTE(TRIM($L783),"'",""),"İ","I"),"ı","I"),"i","I"),"Ş","S"),"ş","S"),"Ğ","G"),"ğ","G"),"Ü","U"),"ü","U"),"Ö","O"),"ö","O"),"Ç","C"),"ç","C"),".",""),",","")," ",""),"-","")))</f>
        <v/>
      </c>
      <c r="T783" s="3">
        <f>IF(OR($C783="",$D783&lt;&gt;"Gelir",$L783=""),"",IFERROR(INDEX(MUSTERILER!$B$7:$B$106,MATCH($S783,MUSTERILER!$T$7:$T$106,0)),""))</f>
        <v/>
      </c>
      <c r="U783" s="3">
        <f>IF($T783="","",$T783&amp;"|"&amp;COUNTIFS($T$7:$T783,$T783))</f>
        <v/>
      </c>
      <c r="V783" s="3">
        <f>IF($T783="",0,1)</f>
        <v/>
      </c>
      <c r="W783" s="3">
        <f>IF($C783="","",$D783&amp;"|"&amp;$E783&amp;"|"&amp;TEXT($C783,"0")&amp;"|"&amp;TEXT($G783,"0")&amp;"|"&amp;$J783)</f>
        <v/>
      </c>
      <c r="X783" s="3" t="n"/>
      <c r="Y783" s="3" t="n"/>
      <c r="Z783" s="3" t="n"/>
      <c r="AA783" s="3" t="n"/>
      <c r="AB783" s="3" t="n"/>
      <c r="AC783" s="3" t="n"/>
      <c r="AD783" s="3">
        <f>IF($C783="",0,SUMPRODUCT((AY_SONU!$O$7:$O$42="Evet")*(AY_SONU!$B$7:$B$42=DATE(YEAR($C783),MONTH($C783),1))))</f>
        <v/>
      </c>
    </row>
    <row r="784">
      <c r="A784" s="6" t="n"/>
      <c r="B784" s="113">
        <f>IF($C784="","","GG"&amp;TEXT(ROW()-6,"00000"))</f>
        <v/>
      </c>
      <c r="C784" s="220" t="n"/>
      <c r="D784" s="108" t="n"/>
      <c r="E784" s="109" t="n"/>
      <c r="F784" s="109" t="n"/>
      <c r="G784" s="221" t="n"/>
      <c r="H784" s="108" t="n"/>
      <c r="I784" s="108" t="n"/>
      <c r="J784" s="109" t="n"/>
      <c r="K784" s="109" t="n"/>
      <c r="L784" s="108" t="n"/>
      <c r="M784" s="121">
        <f>IF($C784="","",IF($D784="Gider",$E784,IF($L784&lt;&gt;"",$L784,$H784)))</f>
        <v/>
      </c>
      <c r="N784" s="121">
        <f>IF($C784="","",IF($D784="Gider",$H784,$E784))</f>
        <v/>
      </c>
      <c r="O784" s="226">
        <f>IF($C784="","",DATE(YEAR($C784),MONTH($C784),1))</f>
        <v/>
      </c>
      <c r="P784" s="113">
        <f>IF($C784="","",IF(AND($D784="Gelir",$L784&lt;&gt;"",$T784=""),"TANIMSIZ BORÇLU",IF($T784&lt;&gt;"",IF(OR($E784="",$G784&lt;=0),"EKSİK",IF($I784="Evet","TAHAKKUK NAKİT OLAMAZ",IF($C784&gt;TODAY(),"İLERİ TARİH","TAHAKKUK"))),IF(AND($D784&lt;&gt;"",$E784&lt;&gt;"",$G784&gt;0,$H784&lt;&gt;"",$I784&lt;&gt;""),IF($C784&gt;TODAY(),"İLERİ TARİH",IF(COUNTIF($W$7:$W$1206,$W784)&gt;1,"MÜKERRER?",IF($AD784&gt;0,"KAPALI DÖNEM",IF($I784="Hayır","ÖDENECEK","UYGUN")))),"EKSİK"))))</f>
        <v/>
      </c>
      <c r="Q784" s="6" t="n"/>
      <c r="R784" s="6" t="n"/>
      <c r="S784" s="3">
        <f>IF($L784="","",UPPER(SUBSTITUTE(SUBSTITUTE(SUBSTITUTE(SUBSTITUTE(SUBSTITUTE(SUBSTITUTE(SUBSTITUTE(SUBSTITUTE(SUBSTITUTE(SUBSTITUTE(SUBSTITUTE(SUBSTITUTE(SUBSTITUTE(SUBSTITUTE(SUBSTITUTE(SUBSTITUTE(SUBSTITUTE(SUBSTITUTE(TRIM($L784),"'",""),"İ","I"),"ı","I"),"i","I"),"Ş","S"),"ş","S"),"Ğ","G"),"ğ","G"),"Ü","U"),"ü","U"),"Ö","O"),"ö","O"),"Ç","C"),"ç","C"),".",""),",","")," ",""),"-","")))</f>
        <v/>
      </c>
      <c r="T784" s="3">
        <f>IF(OR($C784="",$D784&lt;&gt;"Gelir",$L784=""),"",IFERROR(INDEX(MUSTERILER!$B$7:$B$106,MATCH($S784,MUSTERILER!$T$7:$T$106,0)),""))</f>
        <v/>
      </c>
      <c r="U784" s="3">
        <f>IF($T784="","",$T784&amp;"|"&amp;COUNTIFS($T$7:$T784,$T784))</f>
        <v/>
      </c>
      <c r="V784" s="3">
        <f>IF($T784="",0,1)</f>
        <v/>
      </c>
      <c r="W784" s="3">
        <f>IF($C784="","",$D784&amp;"|"&amp;$E784&amp;"|"&amp;TEXT($C784,"0")&amp;"|"&amp;TEXT($G784,"0")&amp;"|"&amp;$J784)</f>
        <v/>
      </c>
      <c r="X784" s="3" t="n"/>
      <c r="Y784" s="3" t="n"/>
      <c r="Z784" s="3" t="n"/>
      <c r="AA784" s="3" t="n"/>
      <c r="AB784" s="3" t="n"/>
      <c r="AC784" s="3" t="n"/>
      <c r="AD784" s="3">
        <f>IF($C784="",0,SUMPRODUCT((AY_SONU!$O$7:$O$42="Evet")*(AY_SONU!$B$7:$B$42=DATE(YEAR($C784),MONTH($C784),1))))</f>
        <v/>
      </c>
    </row>
    <row r="785">
      <c r="A785" s="6" t="n"/>
      <c r="B785" s="113">
        <f>IF($C785="","","GG"&amp;TEXT(ROW()-6,"00000"))</f>
        <v/>
      </c>
      <c r="C785" s="220" t="n"/>
      <c r="D785" s="108" t="n"/>
      <c r="E785" s="109" t="n"/>
      <c r="F785" s="109" t="n"/>
      <c r="G785" s="221" t="n"/>
      <c r="H785" s="108" t="n"/>
      <c r="I785" s="108" t="n"/>
      <c r="J785" s="109" t="n"/>
      <c r="K785" s="109" t="n"/>
      <c r="L785" s="108" t="n"/>
      <c r="M785" s="121">
        <f>IF($C785="","",IF($D785="Gider",$E785,IF($L785&lt;&gt;"",$L785,$H785)))</f>
        <v/>
      </c>
      <c r="N785" s="121">
        <f>IF($C785="","",IF($D785="Gider",$H785,$E785))</f>
        <v/>
      </c>
      <c r="O785" s="226">
        <f>IF($C785="","",DATE(YEAR($C785),MONTH($C785),1))</f>
        <v/>
      </c>
      <c r="P785" s="113">
        <f>IF($C785="","",IF(AND($D785="Gelir",$L785&lt;&gt;"",$T785=""),"TANIMSIZ BORÇLU",IF($T785&lt;&gt;"",IF(OR($E785="",$G785&lt;=0),"EKSİK",IF($I785="Evet","TAHAKKUK NAKİT OLAMAZ",IF($C785&gt;TODAY(),"İLERİ TARİH","TAHAKKUK"))),IF(AND($D785&lt;&gt;"",$E785&lt;&gt;"",$G785&gt;0,$H785&lt;&gt;"",$I785&lt;&gt;""),IF($C785&gt;TODAY(),"İLERİ TARİH",IF(COUNTIF($W$7:$W$1206,$W785)&gt;1,"MÜKERRER?",IF($AD785&gt;0,"KAPALI DÖNEM",IF($I785="Hayır","ÖDENECEK","UYGUN")))),"EKSİK"))))</f>
        <v/>
      </c>
      <c r="Q785" s="6" t="n"/>
      <c r="R785" s="6" t="n"/>
      <c r="S785" s="3">
        <f>IF($L785="","",UPPER(SUBSTITUTE(SUBSTITUTE(SUBSTITUTE(SUBSTITUTE(SUBSTITUTE(SUBSTITUTE(SUBSTITUTE(SUBSTITUTE(SUBSTITUTE(SUBSTITUTE(SUBSTITUTE(SUBSTITUTE(SUBSTITUTE(SUBSTITUTE(SUBSTITUTE(SUBSTITUTE(SUBSTITUTE(SUBSTITUTE(TRIM($L785),"'",""),"İ","I"),"ı","I"),"i","I"),"Ş","S"),"ş","S"),"Ğ","G"),"ğ","G"),"Ü","U"),"ü","U"),"Ö","O"),"ö","O"),"Ç","C"),"ç","C"),".",""),",","")," ",""),"-","")))</f>
        <v/>
      </c>
      <c r="T785" s="3">
        <f>IF(OR($C785="",$D785&lt;&gt;"Gelir",$L785=""),"",IFERROR(INDEX(MUSTERILER!$B$7:$B$106,MATCH($S785,MUSTERILER!$T$7:$T$106,0)),""))</f>
        <v/>
      </c>
      <c r="U785" s="3">
        <f>IF($T785="","",$T785&amp;"|"&amp;COUNTIFS($T$7:$T785,$T785))</f>
        <v/>
      </c>
      <c r="V785" s="3">
        <f>IF($T785="",0,1)</f>
        <v/>
      </c>
      <c r="W785" s="3">
        <f>IF($C785="","",$D785&amp;"|"&amp;$E785&amp;"|"&amp;TEXT($C785,"0")&amp;"|"&amp;TEXT($G785,"0")&amp;"|"&amp;$J785)</f>
        <v/>
      </c>
      <c r="X785" s="3" t="n"/>
      <c r="Y785" s="3" t="n"/>
      <c r="Z785" s="3" t="n"/>
      <c r="AA785" s="3" t="n"/>
      <c r="AB785" s="3" t="n"/>
      <c r="AC785" s="3" t="n"/>
      <c r="AD785" s="3">
        <f>IF($C785="",0,SUMPRODUCT((AY_SONU!$O$7:$O$42="Evet")*(AY_SONU!$B$7:$B$42=DATE(YEAR($C785),MONTH($C785),1))))</f>
        <v/>
      </c>
    </row>
    <row r="786">
      <c r="A786" s="6" t="n"/>
      <c r="B786" s="113">
        <f>IF($C786="","","GG"&amp;TEXT(ROW()-6,"00000"))</f>
        <v/>
      </c>
      <c r="C786" s="220" t="n"/>
      <c r="D786" s="108" t="n"/>
      <c r="E786" s="109" t="n"/>
      <c r="F786" s="109" t="n"/>
      <c r="G786" s="221" t="n"/>
      <c r="H786" s="108" t="n"/>
      <c r="I786" s="108" t="n"/>
      <c r="J786" s="109" t="n"/>
      <c r="K786" s="109" t="n"/>
      <c r="L786" s="108" t="n"/>
      <c r="M786" s="121">
        <f>IF($C786="","",IF($D786="Gider",$E786,IF($L786&lt;&gt;"",$L786,$H786)))</f>
        <v/>
      </c>
      <c r="N786" s="121">
        <f>IF($C786="","",IF($D786="Gider",$H786,$E786))</f>
        <v/>
      </c>
      <c r="O786" s="226">
        <f>IF($C786="","",DATE(YEAR($C786),MONTH($C786),1))</f>
        <v/>
      </c>
      <c r="P786" s="113">
        <f>IF($C786="","",IF(AND($D786="Gelir",$L786&lt;&gt;"",$T786=""),"TANIMSIZ BORÇLU",IF($T786&lt;&gt;"",IF(OR($E786="",$G786&lt;=0),"EKSİK",IF($I786="Evet","TAHAKKUK NAKİT OLAMAZ",IF($C786&gt;TODAY(),"İLERİ TARİH","TAHAKKUK"))),IF(AND($D786&lt;&gt;"",$E786&lt;&gt;"",$G786&gt;0,$H786&lt;&gt;"",$I786&lt;&gt;""),IF($C786&gt;TODAY(),"İLERİ TARİH",IF(COUNTIF($W$7:$W$1206,$W786)&gt;1,"MÜKERRER?",IF($AD786&gt;0,"KAPALI DÖNEM",IF($I786="Hayır","ÖDENECEK","UYGUN")))),"EKSİK"))))</f>
        <v/>
      </c>
      <c r="Q786" s="6" t="n"/>
      <c r="R786" s="6" t="n"/>
      <c r="S786" s="3">
        <f>IF($L786="","",UPPER(SUBSTITUTE(SUBSTITUTE(SUBSTITUTE(SUBSTITUTE(SUBSTITUTE(SUBSTITUTE(SUBSTITUTE(SUBSTITUTE(SUBSTITUTE(SUBSTITUTE(SUBSTITUTE(SUBSTITUTE(SUBSTITUTE(SUBSTITUTE(SUBSTITUTE(SUBSTITUTE(SUBSTITUTE(SUBSTITUTE(TRIM($L786),"'",""),"İ","I"),"ı","I"),"i","I"),"Ş","S"),"ş","S"),"Ğ","G"),"ğ","G"),"Ü","U"),"ü","U"),"Ö","O"),"ö","O"),"Ç","C"),"ç","C"),".",""),",","")," ",""),"-","")))</f>
        <v/>
      </c>
      <c r="T786" s="3">
        <f>IF(OR($C786="",$D786&lt;&gt;"Gelir",$L786=""),"",IFERROR(INDEX(MUSTERILER!$B$7:$B$106,MATCH($S786,MUSTERILER!$T$7:$T$106,0)),""))</f>
        <v/>
      </c>
      <c r="U786" s="3">
        <f>IF($T786="","",$T786&amp;"|"&amp;COUNTIFS($T$7:$T786,$T786))</f>
        <v/>
      </c>
      <c r="V786" s="3">
        <f>IF($T786="",0,1)</f>
        <v/>
      </c>
      <c r="W786" s="3">
        <f>IF($C786="","",$D786&amp;"|"&amp;$E786&amp;"|"&amp;TEXT($C786,"0")&amp;"|"&amp;TEXT($G786,"0")&amp;"|"&amp;$J786)</f>
        <v/>
      </c>
      <c r="X786" s="3" t="n"/>
      <c r="Y786" s="3" t="n"/>
      <c r="Z786" s="3" t="n"/>
      <c r="AA786" s="3" t="n"/>
      <c r="AB786" s="3" t="n"/>
      <c r="AC786" s="3" t="n"/>
      <c r="AD786" s="3">
        <f>IF($C786="",0,SUMPRODUCT((AY_SONU!$O$7:$O$42="Evet")*(AY_SONU!$B$7:$B$42=DATE(YEAR($C786),MONTH($C786),1))))</f>
        <v/>
      </c>
    </row>
    <row r="787">
      <c r="A787" s="6" t="n"/>
      <c r="B787" s="113">
        <f>IF($C787="","","GG"&amp;TEXT(ROW()-6,"00000"))</f>
        <v/>
      </c>
      <c r="C787" s="220" t="n"/>
      <c r="D787" s="108" t="n"/>
      <c r="E787" s="109" t="n"/>
      <c r="F787" s="109" t="n"/>
      <c r="G787" s="221" t="n"/>
      <c r="H787" s="108" t="n"/>
      <c r="I787" s="108" t="n"/>
      <c r="J787" s="109" t="n"/>
      <c r="K787" s="109" t="n"/>
      <c r="L787" s="108" t="n"/>
      <c r="M787" s="121">
        <f>IF($C787="","",IF($D787="Gider",$E787,IF($L787&lt;&gt;"",$L787,$H787)))</f>
        <v/>
      </c>
      <c r="N787" s="121">
        <f>IF($C787="","",IF($D787="Gider",$H787,$E787))</f>
        <v/>
      </c>
      <c r="O787" s="226">
        <f>IF($C787="","",DATE(YEAR($C787),MONTH($C787),1))</f>
        <v/>
      </c>
      <c r="P787" s="113">
        <f>IF($C787="","",IF(AND($D787="Gelir",$L787&lt;&gt;"",$T787=""),"TANIMSIZ BORÇLU",IF($T787&lt;&gt;"",IF(OR($E787="",$G787&lt;=0),"EKSİK",IF($I787="Evet","TAHAKKUK NAKİT OLAMAZ",IF($C787&gt;TODAY(),"İLERİ TARİH","TAHAKKUK"))),IF(AND($D787&lt;&gt;"",$E787&lt;&gt;"",$G787&gt;0,$H787&lt;&gt;"",$I787&lt;&gt;""),IF($C787&gt;TODAY(),"İLERİ TARİH",IF(COUNTIF($W$7:$W$1206,$W787)&gt;1,"MÜKERRER?",IF($AD787&gt;0,"KAPALI DÖNEM",IF($I787="Hayır","ÖDENECEK","UYGUN")))),"EKSİK"))))</f>
        <v/>
      </c>
      <c r="Q787" s="6" t="n"/>
      <c r="R787" s="6" t="n"/>
      <c r="S787" s="3">
        <f>IF($L787="","",UPPER(SUBSTITUTE(SUBSTITUTE(SUBSTITUTE(SUBSTITUTE(SUBSTITUTE(SUBSTITUTE(SUBSTITUTE(SUBSTITUTE(SUBSTITUTE(SUBSTITUTE(SUBSTITUTE(SUBSTITUTE(SUBSTITUTE(SUBSTITUTE(SUBSTITUTE(SUBSTITUTE(SUBSTITUTE(SUBSTITUTE(TRIM($L787),"'",""),"İ","I"),"ı","I"),"i","I"),"Ş","S"),"ş","S"),"Ğ","G"),"ğ","G"),"Ü","U"),"ü","U"),"Ö","O"),"ö","O"),"Ç","C"),"ç","C"),".",""),",","")," ",""),"-","")))</f>
        <v/>
      </c>
      <c r="T787" s="3">
        <f>IF(OR($C787="",$D787&lt;&gt;"Gelir",$L787=""),"",IFERROR(INDEX(MUSTERILER!$B$7:$B$106,MATCH($S787,MUSTERILER!$T$7:$T$106,0)),""))</f>
        <v/>
      </c>
      <c r="U787" s="3">
        <f>IF($T787="","",$T787&amp;"|"&amp;COUNTIFS($T$7:$T787,$T787))</f>
        <v/>
      </c>
      <c r="V787" s="3">
        <f>IF($T787="",0,1)</f>
        <v/>
      </c>
      <c r="W787" s="3">
        <f>IF($C787="","",$D787&amp;"|"&amp;$E787&amp;"|"&amp;TEXT($C787,"0")&amp;"|"&amp;TEXT($G787,"0")&amp;"|"&amp;$J787)</f>
        <v/>
      </c>
      <c r="X787" s="3" t="n"/>
      <c r="Y787" s="3" t="n"/>
      <c r="Z787" s="3" t="n"/>
      <c r="AA787" s="3" t="n"/>
      <c r="AB787" s="3" t="n"/>
      <c r="AC787" s="3" t="n"/>
      <c r="AD787" s="3">
        <f>IF($C787="",0,SUMPRODUCT((AY_SONU!$O$7:$O$42="Evet")*(AY_SONU!$B$7:$B$42=DATE(YEAR($C787),MONTH($C787),1))))</f>
        <v/>
      </c>
    </row>
    <row r="788">
      <c r="A788" s="6" t="n"/>
      <c r="B788" s="113">
        <f>IF($C788="","","GG"&amp;TEXT(ROW()-6,"00000"))</f>
        <v/>
      </c>
      <c r="C788" s="220" t="n"/>
      <c r="D788" s="108" t="n"/>
      <c r="E788" s="109" t="n"/>
      <c r="F788" s="109" t="n"/>
      <c r="G788" s="221" t="n"/>
      <c r="H788" s="108" t="n"/>
      <c r="I788" s="108" t="n"/>
      <c r="J788" s="109" t="n"/>
      <c r="K788" s="109" t="n"/>
      <c r="L788" s="108" t="n"/>
      <c r="M788" s="121">
        <f>IF($C788="","",IF($D788="Gider",$E788,IF($L788&lt;&gt;"",$L788,$H788)))</f>
        <v/>
      </c>
      <c r="N788" s="121">
        <f>IF($C788="","",IF($D788="Gider",$H788,$E788))</f>
        <v/>
      </c>
      <c r="O788" s="226">
        <f>IF($C788="","",DATE(YEAR($C788),MONTH($C788),1))</f>
        <v/>
      </c>
      <c r="P788" s="113">
        <f>IF($C788="","",IF(AND($D788="Gelir",$L788&lt;&gt;"",$T788=""),"TANIMSIZ BORÇLU",IF($T788&lt;&gt;"",IF(OR($E788="",$G788&lt;=0),"EKSİK",IF($I788="Evet","TAHAKKUK NAKİT OLAMAZ",IF($C788&gt;TODAY(),"İLERİ TARİH","TAHAKKUK"))),IF(AND($D788&lt;&gt;"",$E788&lt;&gt;"",$G788&gt;0,$H788&lt;&gt;"",$I788&lt;&gt;""),IF($C788&gt;TODAY(),"İLERİ TARİH",IF(COUNTIF($W$7:$W$1206,$W788)&gt;1,"MÜKERRER?",IF($AD788&gt;0,"KAPALI DÖNEM",IF($I788="Hayır","ÖDENECEK","UYGUN")))),"EKSİK"))))</f>
        <v/>
      </c>
      <c r="Q788" s="6" t="n"/>
      <c r="R788" s="6" t="n"/>
      <c r="S788" s="3">
        <f>IF($L788="","",UPPER(SUBSTITUTE(SUBSTITUTE(SUBSTITUTE(SUBSTITUTE(SUBSTITUTE(SUBSTITUTE(SUBSTITUTE(SUBSTITUTE(SUBSTITUTE(SUBSTITUTE(SUBSTITUTE(SUBSTITUTE(SUBSTITUTE(SUBSTITUTE(SUBSTITUTE(SUBSTITUTE(SUBSTITUTE(SUBSTITUTE(TRIM($L788),"'",""),"İ","I"),"ı","I"),"i","I"),"Ş","S"),"ş","S"),"Ğ","G"),"ğ","G"),"Ü","U"),"ü","U"),"Ö","O"),"ö","O"),"Ç","C"),"ç","C"),".",""),",","")," ",""),"-","")))</f>
        <v/>
      </c>
      <c r="T788" s="3">
        <f>IF(OR($C788="",$D788&lt;&gt;"Gelir",$L788=""),"",IFERROR(INDEX(MUSTERILER!$B$7:$B$106,MATCH($S788,MUSTERILER!$T$7:$T$106,0)),""))</f>
        <v/>
      </c>
      <c r="U788" s="3">
        <f>IF($T788="","",$T788&amp;"|"&amp;COUNTIFS($T$7:$T788,$T788))</f>
        <v/>
      </c>
      <c r="V788" s="3">
        <f>IF($T788="",0,1)</f>
        <v/>
      </c>
      <c r="W788" s="3">
        <f>IF($C788="","",$D788&amp;"|"&amp;$E788&amp;"|"&amp;TEXT($C788,"0")&amp;"|"&amp;TEXT($G788,"0")&amp;"|"&amp;$J788)</f>
        <v/>
      </c>
      <c r="X788" s="3" t="n"/>
      <c r="Y788" s="3" t="n"/>
      <c r="Z788" s="3" t="n"/>
      <c r="AA788" s="3" t="n"/>
      <c r="AB788" s="3" t="n"/>
      <c r="AC788" s="3" t="n"/>
      <c r="AD788" s="3">
        <f>IF($C788="",0,SUMPRODUCT((AY_SONU!$O$7:$O$42="Evet")*(AY_SONU!$B$7:$B$42=DATE(YEAR($C788),MONTH($C788),1))))</f>
        <v/>
      </c>
    </row>
    <row r="789">
      <c r="A789" s="6" t="n"/>
      <c r="B789" s="113">
        <f>IF($C789="","","GG"&amp;TEXT(ROW()-6,"00000"))</f>
        <v/>
      </c>
      <c r="C789" s="220" t="n"/>
      <c r="D789" s="108" t="n"/>
      <c r="E789" s="109" t="n"/>
      <c r="F789" s="109" t="n"/>
      <c r="G789" s="221" t="n"/>
      <c r="H789" s="108" t="n"/>
      <c r="I789" s="108" t="n"/>
      <c r="J789" s="109" t="n"/>
      <c r="K789" s="109" t="n"/>
      <c r="L789" s="108" t="n"/>
      <c r="M789" s="121">
        <f>IF($C789="","",IF($D789="Gider",$E789,IF($L789&lt;&gt;"",$L789,$H789)))</f>
        <v/>
      </c>
      <c r="N789" s="121">
        <f>IF($C789="","",IF($D789="Gider",$H789,$E789))</f>
        <v/>
      </c>
      <c r="O789" s="226">
        <f>IF($C789="","",DATE(YEAR($C789),MONTH($C789),1))</f>
        <v/>
      </c>
      <c r="P789" s="113">
        <f>IF($C789="","",IF(AND($D789="Gelir",$L789&lt;&gt;"",$T789=""),"TANIMSIZ BORÇLU",IF($T789&lt;&gt;"",IF(OR($E789="",$G789&lt;=0),"EKSİK",IF($I789="Evet","TAHAKKUK NAKİT OLAMAZ",IF($C789&gt;TODAY(),"İLERİ TARİH","TAHAKKUK"))),IF(AND($D789&lt;&gt;"",$E789&lt;&gt;"",$G789&gt;0,$H789&lt;&gt;"",$I789&lt;&gt;""),IF($C789&gt;TODAY(),"İLERİ TARİH",IF(COUNTIF($W$7:$W$1206,$W789)&gt;1,"MÜKERRER?",IF($AD789&gt;0,"KAPALI DÖNEM",IF($I789="Hayır","ÖDENECEK","UYGUN")))),"EKSİK"))))</f>
        <v/>
      </c>
      <c r="Q789" s="6" t="n"/>
      <c r="R789" s="6" t="n"/>
      <c r="S789" s="3">
        <f>IF($L789="","",UPPER(SUBSTITUTE(SUBSTITUTE(SUBSTITUTE(SUBSTITUTE(SUBSTITUTE(SUBSTITUTE(SUBSTITUTE(SUBSTITUTE(SUBSTITUTE(SUBSTITUTE(SUBSTITUTE(SUBSTITUTE(SUBSTITUTE(SUBSTITUTE(SUBSTITUTE(SUBSTITUTE(SUBSTITUTE(SUBSTITUTE(TRIM($L789),"'",""),"İ","I"),"ı","I"),"i","I"),"Ş","S"),"ş","S"),"Ğ","G"),"ğ","G"),"Ü","U"),"ü","U"),"Ö","O"),"ö","O"),"Ç","C"),"ç","C"),".",""),",","")," ",""),"-","")))</f>
        <v/>
      </c>
      <c r="T789" s="3">
        <f>IF(OR($C789="",$D789&lt;&gt;"Gelir",$L789=""),"",IFERROR(INDEX(MUSTERILER!$B$7:$B$106,MATCH($S789,MUSTERILER!$T$7:$T$106,0)),""))</f>
        <v/>
      </c>
      <c r="U789" s="3">
        <f>IF($T789="","",$T789&amp;"|"&amp;COUNTIFS($T$7:$T789,$T789))</f>
        <v/>
      </c>
      <c r="V789" s="3">
        <f>IF($T789="",0,1)</f>
        <v/>
      </c>
      <c r="W789" s="3">
        <f>IF($C789="","",$D789&amp;"|"&amp;$E789&amp;"|"&amp;TEXT($C789,"0")&amp;"|"&amp;TEXT($G789,"0")&amp;"|"&amp;$J789)</f>
        <v/>
      </c>
      <c r="X789" s="3" t="n"/>
      <c r="Y789" s="3" t="n"/>
      <c r="Z789" s="3" t="n"/>
      <c r="AA789" s="3" t="n"/>
      <c r="AB789" s="3" t="n"/>
      <c r="AC789" s="3" t="n"/>
      <c r="AD789" s="3">
        <f>IF($C789="",0,SUMPRODUCT((AY_SONU!$O$7:$O$42="Evet")*(AY_SONU!$B$7:$B$42=DATE(YEAR($C789),MONTH($C789),1))))</f>
        <v/>
      </c>
    </row>
    <row r="790">
      <c r="A790" s="6" t="n"/>
      <c r="B790" s="113">
        <f>IF($C790="","","GG"&amp;TEXT(ROW()-6,"00000"))</f>
        <v/>
      </c>
      <c r="C790" s="220" t="n"/>
      <c r="D790" s="108" t="n"/>
      <c r="E790" s="109" t="n"/>
      <c r="F790" s="109" t="n"/>
      <c r="G790" s="221" t="n"/>
      <c r="H790" s="108" t="n"/>
      <c r="I790" s="108" t="n"/>
      <c r="J790" s="109" t="n"/>
      <c r="K790" s="109" t="n"/>
      <c r="L790" s="108" t="n"/>
      <c r="M790" s="121">
        <f>IF($C790="","",IF($D790="Gider",$E790,IF($L790&lt;&gt;"",$L790,$H790)))</f>
        <v/>
      </c>
      <c r="N790" s="121">
        <f>IF($C790="","",IF($D790="Gider",$H790,$E790))</f>
        <v/>
      </c>
      <c r="O790" s="226">
        <f>IF($C790="","",DATE(YEAR($C790),MONTH($C790),1))</f>
        <v/>
      </c>
      <c r="P790" s="113">
        <f>IF($C790="","",IF(AND($D790="Gelir",$L790&lt;&gt;"",$T790=""),"TANIMSIZ BORÇLU",IF($T790&lt;&gt;"",IF(OR($E790="",$G790&lt;=0),"EKSİK",IF($I790="Evet","TAHAKKUK NAKİT OLAMAZ",IF($C790&gt;TODAY(),"İLERİ TARİH","TAHAKKUK"))),IF(AND($D790&lt;&gt;"",$E790&lt;&gt;"",$G790&gt;0,$H790&lt;&gt;"",$I790&lt;&gt;""),IF($C790&gt;TODAY(),"İLERİ TARİH",IF(COUNTIF($W$7:$W$1206,$W790)&gt;1,"MÜKERRER?",IF($AD790&gt;0,"KAPALI DÖNEM",IF($I790="Hayır","ÖDENECEK","UYGUN")))),"EKSİK"))))</f>
        <v/>
      </c>
      <c r="Q790" s="6" t="n"/>
      <c r="R790" s="6" t="n"/>
      <c r="S790" s="3">
        <f>IF($L790="","",UPPER(SUBSTITUTE(SUBSTITUTE(SUBSTITUTE(SUBSTITUTE(SUBSTITUTE(SUBSTITUTE(SUBSTITUTE(SUBSTITUTE(SUBSTITUTE(SUBSTITUTE(SUBSTITUTE(SUBSTITUTE(SUBSTITUTE(SUBSTITUTE(SUBSTITUTE(SUBSTITUTE(SUBSTITUTE(SUBSTITUTE(TRIM($L790),"'",""),"İ","I"),"ı","I"),"i","I"),"Ş","S"),"ş","S"),"Ğ","G"),"ğ","G"),"Ü","U"),"ü","U"),"Ö","O"),"ö","O"),"Ç","C"),"ç","C"),".",""),",","")," ",""),"-","")))</f>
        <v/>
      </c>
      <c r="T790" s="3">
        <f>IF(OR($C790="",$D790&lt;&gt;"Gelir",$L790=""),"",IFERROR(INDEX(MUSTERILER!$B$7:$B$106,MATCH($S790,MUSTERILER!$T$7:$T$106,0)),""))</f>
        <v/>
      </c>
      <c r="U790" s="3">
        <f>IF($T790="","",$T790&amp;"|"&amp;COUNTIFS($T$7:$T790,$T790))</f>
        <v/>
      </c>
      <c r="V790" s="3">
        <f>IF($T790="",0,1)</f>
        <v/>
      </c>
      <c r="W790" s="3">
        <f>IF($C790="","",$D790&amp;"|"&amp;$E790&amp;"|"&amp;TEXT($C790,"0")&amp;"|"&amp;TEXT($G790,"0")&amp;"|"&amp;$J790)</f>
        <v/>
      </c>
      <c r="X790" s="3" t="n"/>
      <c r="Y790" s="3" t="n"/>
      <c r="Z790" s="3" t="n"/>
      <c r="AA790" s="3" t="n"/>
      <c r="AB790" s="3" t="n"/>
      <c r="AC790" s="3" t="n"/>
      <c r="AD790" s="3">
        <f>IF($C790="",0,SUMPRODUCT((AY_SONU!$O$7:$O$42="Evet")*(AY_SONU!$B$7:$B$42=DATE(YEAR($C790),MONTH($C790),1))))</f>
        <v/>
      </c>
    </row>
    <row r="791">
      <c r="A791" s="6" t="n"/>
      <c r="B791" s="113">
        <f>IF($C791="","","GG"&amp;TEXT(ROW()-6,"00000"))</f>
        <v/>
      </c>
      <c r="C791" s="220" t="n"/>
      <c r="D791" s="108" t="n"/>
      <c r="E791" s="109" t="n"/>
      <c r="F791" s="109" t="n"/>
      <c r="G791" s="221" t="n"/>
      <c r="H791" s="108" t="n"/>
      <c r="I791" s="108" t="n"/>
      <c r="J791" s="109" t="n"/>
      <c r="K791" s="109" t="n"/>
      <c r="L791" s="108" t="n"/>
      <c r="M791" s="121">
        <f>IF($C791="","",IF($D791="Gider",$E791,IF($L791&lt;&gt;"",$L791,$H791)))</f>
        <v/>
      </c>
      <c r="N791" s="121">
        <f>IF($C791="","",IF($D791="Gider",$H791,$E791))</f>
        <v/>
      </c>
      <c r="O791" s="226">
        <f>IF($C791="","",DATE(YEAR($C791),MONTH($C791),1))</f>
        <v/>
      </c>
      <c r="P791" s="113">
        <f>IF($C791="","",IF(AND($D791="Gelir",$L791&lt;&gt;"",$T791=""),"TANIMSIZ BORÇLU",IF($T791&lt;&gt;"",IF(OR($E791="",$G791&lt;=0),"EKSİK",IF($I791="Evet","TAHAKKUK NAKİT OLAMAZ",IF($C791&gt;TODAY(),"İLERİ TARİH","TAHAKKUK"))),IF(AND($D791&lt;&gt;"",$E791&lt;&gt;"",$G791&gt;0,$H791&lt;&gt;"",$I791&lt;&gt;""),IF($C791&gt;TODAY(),"İLERİ TARİH",IF(COUNTIF($W$7:$W$1206,$W791)&gt;1,"MÜKERRER?",IF($AD791&gt;0,"KAPALI DÖNEM",IF($I791="Hayır","ÖDENECEK","UYGUN")))),"EKSİK"))))</f>
        <v/>
      </c>
      <c r="Q791" s="6" t="n"/>
      <c r="R791" s="6" t="n"/>
      <c r="S791" s="3">
        <f>IF($L791="","",UPPER(SUBSTITUTE(SUBSTITUTE(SUBSTITUTE(SUBSTITUTE(SUBSTITUTE(SUBSTITUTE(SUBSTITUTE(SUBSTITUTE(SUBSTITUTE(SUBSTITUTE(SUBSTITUTE(SUBSTITUTE(SUBSTITUTE(SUBSTITUTE(SUBSTITUTE(SUBSTITUTE(SUBSTITUTE(SUBSTITUTE(TRIM($L791),"'",""),"İ","I"),"ı","I"),"i","I"),"Ş","S"),"ş","S"),"Ğ","G"),"ğ","G"),"Ü","U"),"ü","U"),"Ö","O"),"ö","O"),"Ç","C"),"ç","C"),".",""),",","")," ",""),"-","")))</f>
        <v/>
      </c>
      <c r="T791" s="3">
        <f>IF(OR($C791="",$D791&lt;&gt;"Gelir",$L791=""),"",IFERROR(INDEX(MUSTERILER!$B$7:$B$106,MATCH($S791,MUSTERILER!$T$7:$T$106,0)),""))</f>
        <v/>
      </c>
      <c r="U791" s="3">
        <f>IF($T791="","",$T791&amp;"|"&amp;COUNTIFS($T$7:$T791,$T791))</f>
        <v/>
      </c>
      <c r="V791" s="3">
        <f>IF($T791="",0,1)</f>
        <v/>
      </c>
      <c r="W791" s="3">
        <f>IF($C791="","",$D791&amp;"|"&amp;$E791&amp;"|"&amp;TEXT($C791,"0")&amp;"|"&amp;TEXT($G791,"0")&amp;"|"&amp;$J791)</f>
        <v/>
      </c>
      <c r="X791" s="3" t="n"/>
      <c r="Y791" s="3" t="n"/>
      <c r="Z791" s="3" t="n"/>
      <c r="AA791" s="3" t="n"/>
      <c r="AB791" s="3" t="n"/>
      <c r="AC791" s="3" t="n"/>
      <c r="AD791" s="3">
        <f>IF($C791="",0,SUMPRODUCT((AY_SONU!$O$7:$O$42="Evet")*(AY_SONU!$B$7:$B$42=DATE(YEAR($C791),MONTH($C791),1))))</f>
        <v/>
      </c>
    </row>
    <row r="792">
      <c r="A792" s="6" t="n"/>
      <c r="B792" s="113">
        <f>IF($C792="","","GG"&amp;TEXT(ROW()-6,"00000"))</f>
        <v/>
      </c>
      <c r="C792" s="220" t="n"/>
      <c r="D792" s="108" t="n"/>
      <c r="E792" s="109" t="n"/>
      <c r="F792" s="109" t="n"/>
      <c r="G792" s="221" t="n"/>
      <c r="H792" s="108" t="n"/>
      <c r="I792" s="108" t="n"/>
      <c r="J792" s="109" t="n"/>
      <c r="K792" s="109" t="n"/>
      <c r="L792" s="108" t="n"/>
      <c r="M792" s="121">
        <f>IF($C792="","",IF($D792="Gider",$E792,IF($L792&lt;&gt;"",$L792,$H792)))</f>
        <v/>
      </c>
      <c r="N792" s="121">
        <f>IF($C792="","",IF($D792="Gider",$H792,$E792))</f>
        <v/>
      </c>
      <c r="O792" s="226">
        <f>IF($C792="","",DATE(YEAR($C792),MONTH($C792),1))</f>
        <v/>
      </c>
      <c r="P792" s="113">
        <f>IF($C792="","",IF(AND($D792="Gelir",$L792&lt;&gt;"",$T792=""),"TANIMSIZ BORÇLU",IF($T792&lt;&gt;"",IF(OR($E792="",$G792&lt;=0),"EKSİK",IF($I792="Evet","TAHAKKUK NAKİT OLAMAZ",IF($C792&gt;TODAY(),"İLERİ TARİH","TAHAKKUK"))),IF(AND($D792&lt;&gt;"",$E792&lt;&gt;"",$G792&gt;0,$H792&lt;&gt;"",$I792&lt;&gt;""),IF($C792&gt;TODAY(),"İLERİ TARİH",IF(COUNTIF($W$7:$W$1206,$W792)&gt;1,"MÜKERRER?",IF($AD792&gt;0,"KAPALI DÖNEM",IF($I792="Hayır","ÖDENECEK","UYGUN")))),"EKSİK"))))</f>
        <v/>
      </c>
      <c r="Q792" s="6" t="n"/>
      <c r="R792" s="6" t="n"/>
      <c r="S792" s="3">
        <f>IF($L792="","",UPPER(SUBSTITUTE(SUBSTITUTE(SUBSTITUTE(SUBSTITUTE(SUBSTITUTE(SUBSTITUTE(SUBSTITUTE(SUBSTITUTE(SUBSTITUTE(SUBSTITUTE(SUBSTITUTE(SUBSTITUTE(SUBSTITUTE(SUBSTITUTE(SUBSTITUTE(SUBSTITUTE(SUBSTITUTE(SUBSTITUTE(TRIM($L792),"'",""),"İ","I"),"ı","I"),"i","I"),"Ş","S"),"ş","S"),"Ğ","G"),"ğ","G"),"Ü","U"),"ü","U"),"Ö","O"),"ö","O"),"Ç","C"),"ç","C"),".",""),",","")," ",""),"-","")))</f>
        <v/>
      </c>
      <c r="T792" s="3">
        <f>IF(OR($C792="",$D792&lt;&gt;"Gelir",$L792=""),"",IFERROR(INDEX(MUSTERILER!$B$7:$B$106,MATCH($S792,MUSTERILER!$T$7:$T$106,0)),""))</f>
        <v/>
      </c>
      <c r="U792" s="3">
        <f>IF($T792="","",$T792&amp;"|"&amp;COUNTIFS($T$7:$T792,$T792))</f>
        <v/>
      </c>
      <c r="V792" s="3">
        <f>IF($T792="",0,1)</f>
        <v/>
      </c>
      <c r="W792" s="3">
        <f>IF($C792="","",$D792&amp;"|"&amp;$E792&amp;"|"&amp;TEXT($C792,"0")&amp;"|"&amp;TEXT($G792,"0")&amp;"|"&amp;$J792)</f>
        <v/>
      </c>
      <c r="X792" s="3" t="n"/>
      <c r="Y792" s="3" t="n"/>
      <c r="Z792" s="3" t="n"/>
      <c r="AA792" s="3" t="n"/>
      <c r="AB792" s="3" t="n"/>
      <c r="AC792" s="3" t="n"/>
      <c r="AD792" s="3">
        <f>IF($C792="",0,SUMPRODUCT((AY_SONU!$O$7:$O$42="Evet")*(AY_SONU!$B$7:$B$42=DATE(YEAR($C792),MONTH($C792),1))))</f>
        <v/>
      </c>
    </row>
    <row r="793">
      <c r="A793" s="6" t="n"/>
      <c r="B793" s="113">
        <f>IF($C793="","","GG"&amp;TEXT(ROW()-6,"00000"))</f>
        <v/>
      </c>
      <c r="C793" s="220" t="n"/>
      <c r="D793" s="108" t="n"/>
      <c r="E793" s="109" t="n"/>
      <c r="F793" s="109" t="n"/>
      <c r="G793" s="221" t="n"/>
      <c r="H793" s="108" t="n"/>
      <c r="I793" s="108" t="n"/>
      <c r="J793" s="109" t="n"/>
      <c r="K793" s="109" t="n"/>
      <c r="L793" s="108" t="n"/>
      <c r="M793" s="121">
        <f>IF($C793="","",IF($D793="Gider",$E793,IF($L793&lt;&gt;"",$L793,$H793)))</f>
        <v/>
      </c>
      <c r="N793" s="121">
        <f>IF($C793="","",IF($D793="Gider",$H793,$E793))</f>
        <v/>
      </c>
      <c r="O793" s="226">
        <f>IF($C793="","",DATE(YEAR($C793),MONTH($C793),1))</f>
        <v/>
      </c>
      <c r="P793" s="113">
        <f>IF($C793="","",IF(AND($D793="Gelir",$L793&lt;&gt;"",$T793=""),"TANIMSIZ BORÇLU",IF($T793&lt;&gt;"",IF(OR($E793="",$G793&lt;=0),"EKSİK",IF($I793="Evet","TAHAKKUK NAKİT OLAMAZ",IF($C793&gt;TODAY(),"İLERİ TARİH","TAHAKKUK"))),IF(AND($D793&lt;&gt;"",$E793&lt;&gt;"",$G793&gt;0,$H793&lt;&gt;"",$I793&lt;&gt;""),IF($C793&gt;TODAY(),"İLERİ TARİH",IF(COUNTIF($W$7:$W$1206,$W793)&gt;1,"MÜKERRER?",IF($AD793&gt;0,"KAPALI DÖNEM",IF($I793="Hayır","ÖDENECEK","UYGUN")))),"EKSİK"))))</f>
        <v/>
      </c>
      <c r="Q793" s="6" t="n"/>
      <c r="R793" s="6" t="n"/>
      <c r="S793" s="3">
        <f>IF($L793="","",UPPER(SUBSTITUTE(SUBSTITUTE(SUBSTITUTE(SUBSTITUTE(SUBSTITUTE(SUBSTITUTE(SUBSTITUTE(SUBSTITUTE(SUBSTITUTE(SUBSTITUTE(SUBSTITUTE(SUBSTITUTE(SUBSTITUTE(SUBSTITUTE(SUBSTITUTE(SUBSTITUTE(SUBSTITUTE(SUBSTITUTE(TRIM($L793),"'",""),"İ","I"),"ı","I"),"i","I"),"Ş","S"),"ş","S"),"Ğ","G"),"ğ","G"),"Ü","U"),"ü","U"),"Ö","O"),"ö","O"),"Ç","C"),"ç","C"),".",""),",","")," ",""),"-","")))</f>
        <v/>
      </c>
      <c r="T793" s="3">
        <f>IF(OR($C793="",$D793&lt;&gt;"Gelir",$L793=""),"",IFERROR(INDEX(MUSTERILER!$B$7:$B$106,MATCH($S793,MUSTERILER!$T$7:$T$106,0)),""))</f>
        <v/>
      </c>
      <c r="U793" s="3">
        <f>IF($T793="","",$T793&amp;"|"&amp;COUNTIFS($T$7:$T793,$T793))</f>
        <v/>
      </c>
      <c r="V793" s="3">
        <f>IF($T793="",0,1)</f>
        <v/>
      </c>
      <c r="W793" s="3">
        <f>IF($C793="","",$D793&amp;"|"&amp;$E793&amp;"|"&amp;TEXT($C793,"0")&amp;"|"&amp;TEXT($G793,"0")&amp;"|"&amp;$J793)</f>
        <v/>
      </c>
      <c r="X793" s="3" t="n"/>
      <c r="Y793" s="3" t="n"/>
      <c r="Z793" s="3" t="n"/>
      <c r="AA793" s="3" t="n"/>
      <c r="AB793" s="3" t="n"/>
      <c r="AC793" s="3" t="n"/>
      <c r="AD793" s="3">
        <f>IF($C793="",0,SUMPRODUCT((AY_SONU!$O$7:$O$42="Evet")*(AY_SONU!$B$7:$B$42=DATE(YEAR($C793),MONTH($C793),1))))</f>
        <v/>
      </c>
    </row>
    <row r="794">
      <c r="A794" s="6" t="n"/>
      <c r="B794" s="113">
        <f>IF($C794="","","GG"&amp;TEXT(ROW()-6,"00000"))</f>
        <v/>
      </c>
      <c r="C794" s="220" t="n"/>
      <c r="D794" s="108" t="n"/>
      <c r="E794" s="109" t="n"/>
      <c r="F794" s="109" t="n"/>
      <c r="G794" s="221" t="n"/>
      <c r="H794" s="108" t="n"/>
      <c r="I794" s="108" t="n"/>
      <c r="J794" s="109" t="n"/>
      <c r="K794" s="109" t="n"/>
      <c r="L794" s="108" t="n"/>
      <c r="M794" s="121">
        <f>IF($C794="","",IF($D794="Gider",$E794,IF($L794&lt;&gt;"",$L794,$H794)))</f>
        <v/>
      </c>
      <c r="N794" s="121">
        <f>IF($C794="","",IF($D794="Gider",$H794,$E794))</f>
        <v/>
      </c>
      <c r="O794" s="226">
        <f>IF($C794="","",DATE(YEAR($C794),MONTH($C794),1))</f>
        <v/>
      </c>
      <c r="P794" s="113">
        <f>IF($C794="","",IF(AND($D794="Gelir",$L794&lt;&gt;"",$T794=""),"TANIMSIZ BORÇLU",IF($T794&lt;&gt;"",IF(OR($E794="",$G794&lt;=0),"EKSİK",IF($I794="Evet","TAHAKKUK NAKİT OLAMAZ",IF($C794&gt;TODAY(),"İLERİ TARİH","TAHAKKUK"))),IF(AND($D794&lt;&gt;"",$E794&lt;&gt;"",$G794&gt;0,$H794&lt;&gt;"",$I794&lt;&gt;""),IF($C794&gt;TODAY(),"İLERİ TARİH",IF(COUNTIF($W$7:$W$1206,$W794)&gt;1,"MÜKERRER?",IF($AD794&gt;0,"KAPALI DÖNEM",IF($I794="Hayır","ÖDENECEK","UYGUN")))),"EKSİK"))))</f>
        <v/>
      </c>
      <c r="Q794" s="6" t="n"/>
      <c r="R794" s="6" t="n"/>
      <c r="S794" s="3">
        <f>IF($L794="","",UPPER(SUBSTITUTE(SUBSTITUTE(SUBSTITUTE(SUBSTITUTE(SUBSTITUTE(SUBSTITUTE(SUBSTITUTE(SUBSTITUTE(SUBSTITUTE(SUBSTITUTE(SUBSTITUTE(SUBSTITUTE(SUBSTITUTE(SUBSTITUTE(SUBSTITUTE(SUBSTITUTE(SUBSTITUTE(SUBSTITUTE(TRIM($L794),"'",""),"İ","I"),"ı","I"),"i","I"),"Ş","S"),"ş","S"),"Ğ","G"),"ğ","G"),"Ü","U"),"ü","U"),"Ö","O"),"ö","O"),"Ç","C"),"ç","C"),".",""),",","")," ",""),"-","")))</f>
        <v/>
      </c>
      <c r="T794" s="3">
        <f>IF(OR($C794="",$D794&lt;&gt;"Gelir",$L794=""),"",IFERROR(INDEX(MUSTERILER!$B$7:$B$106,MATCH($S794,MUSTERILER!$T$7:$T$106,0)),""))</f>
        <v/>
      </c>
      <c r="U794" s="3">
        <f>IF($T794="","",$T794&amp;"|"&amp;COUNTIFS($T$7:$T794,$T794))</f>
        <v/>
      </c>
      <c r="V794" s="3">
        <f>IF($T794="",0,1)</f>
        <v/>
      </c>
      <c r="W794" s="3">
        <f>IF($C794="","",$D794&amp;"|"&amp;$E794&amp;"|"&amp;TEXT($C794,"0")&amp;"|"&amp;TEXT($G794,"0")&amp;"|"&amp;$J794)</f>
        <v/>
      </c>
      <c r="X794" s="3" t="n"/>
      <c r="Y794" s="3" t="n"/>
      <c r="Z794" s="3" t="n"/>
      <c r="AA794" s="3" t="n"/>
      <c r="AB794" s="3" t="n"/>
      <c r="AC794" s="3" t="n"/>
      <c r="AD794" s="3">
        <f>IF($C794="",0,SUMPRODUCT((AY_SONU!$O$7:$O$42="Evet")*(AY_SONU!$B$7:$B$42=DATE(YEAR($C794),MONTH($C794),1))))</f>
        <v/>
      </c>
    </row>
    <row r="795">
      <c r="A795" s="6" t="n"/>
      <c r="B795" s="113">
        <f>IF($C795="","","GG"&amp;TEXT(ROW()-6,"00000"))</f>
        <v/>
      </c>
      <c r="C795" s="220" t="n"/>
      <c r="D795" s="108" t="n"/>
      <c r="E795" s="109" t="n"/>
      <c r="F795" s="109" t="n"/>
      <c r="G795" s="221" t="n"/>
      <c r="H795" s="108" t="n"/>
      <c r="I795" s="108" t="n"/>
      <c r="J795" s="109" t="n"/>
      <c r="K795" s="109" t="n"/>
      <c r="L795" s="108" t="n"/>
      <c r="M795" s="121">
        <f>IF($C795="","",IF($D795="Gider",$E795,IF($L795&lt;&gt;"",$L795,$H795)))</f>
        <v/>
      </c>
      <c r="N795" s="121">
        <f>IF($C795="","",IF($D795="Gider",$H795,$E795))</f>
        <v/>
      </c>
      <c r="O795" s="226">
        <f>IF($C795="","",DATE(YEAR($C795),MONTH($C795),1))</f>
        <v/>
      </c>
      <c r="P795" s="113">
        <f>IF($C795="","",IF(AND($D795="Gelir",$L795&lt;&gt;"",$T795=""),"TANIMSIZ BORÇLU",IF($T795&lt;&gt;"",IF(OR($E795="",$G795&lt;=0),"EKSİK",IF($I795="Evet","TAHAKKUK NAKİT OLAMAZ",IF($C795&gt;TODAY(),"İLERİ TARİH","TAHAKKUK"))),IF(AND($D795&lt;&gt;"",$E795&lt;&gt;"",$G795&gt;0,$H795&lt;&gt;"",$I795&lt;&gt;""),IF($C795&gt;TODAY(),"İLERİ TARİH",IF(COUNTIF($W$7:$W$1206,$W795)&gt;1,"MÜKERRER?",IF($AD795&gt;0,"KAPALI DÖNEM",IF($I795="Hayır","ÖDENECEK","UYGUN")))),"EKSİK"))))</f>
        <v/>
      </c>
      <c r="Q795" s="6" t="n"/>
      <c r="R795" s="6" t="n"/>
      <c r="S795" s="3">
        <f>IF($L795="","",UPPER(SUBSTITUTE(SUBSTITUTE(SUBSTITUTE(SUBSTITUTE(SUBSTITUTE(SUBSTITUTE(SUBSTITUTE(SUBSTITUTE(SUBSTITUTE(SUBSTITUTE(SUBSTITUTE(SUBSTITUTE(SUBSTITUTE(SUBSTITUTE(SUBSTITUTE(SUBSTITUTE(SUBSTITUTE(SUBSTITUTE(TRIM($L795),"'",""),"İ","I"),"ı","I"),"i","I"),"Ş","S"),"ş","S"),"Ğ","G"),"ğ","G"),"Ü","U"),"ü","U"),"Ö","O"),"ö","O"),"Ç","C"),"ç","C"),".",""),",","")," ",""),"-","")))</f>
        <v/>
      </c>
      <c r="T795" s="3">
        <f>IF(OR($C795="",$D795&lt;&gt;"Gelir",$L795=""),"",IFERROR(INDEX(MUSTERILER!$B$7:$B$106,MATCH($S795,MUSTERILER!$T$7:$T$106,0)),""))</f>
        <v/>
      </c>
      <c r="U795" s="3">
        <f>IF($T795="","",$T795&amp;"|"&amp;COUNTIFS($T$7:$T795,$T795))</f>
        <v/>
      </c>
      <c r="V795" s="3">
        <f>IF($T795="",0,1)</f>
        <v/>
      </c>
      <c r="W795" s="3">
        <f>IF($C795="","",$D795&amp;"|"&amp;$E795&amp;"|"&amp;TEXT($C795,"0")&amp;"|"&amp;TEXT($G795,"0")&amp;"|"&amp;$J795)</f>
        <v/>
      </c>
      <c r="X795" s="3" t="n"/>
      <c r="Y795" s="3" t="n"/>
      <c r="Z795" s="3" t="n"/>
      <c r="AA795" s="3" t="n"/>
      <c r="AB795" s="3" t="n"/>
      <c r="AC795" s="3" t="n"/>
      <c r="AD795" s="3">
        <f>IF($C795="",0,SUMPRODUCT((AY_SONU!$O$7:$O$42="Evet")*(AY_SONU!$B$7:$B$42=DATE(YEAR($C795),MONTH($C795),1))))</f>
        <v/>
      </c>
    </row>
    <row r="796">
      <c r="A796" s="6" t="n"/>
      <c r="B796" s="113">
        <f>IF($C796="","","GG"&amp;TEXT(ROW()-6,"00000"))</f>
        <v/>
      </c>
      <c r="C796" s="220" t="n"/>
      <c r="D796" s="108" t="n"/>
      <c r="E796" s="109" t="n"/>
      <c r="F796" s="109" t="n"/>
      <c r="G796" s="221" t="n"/>
      <c r="H796" s="108" t="n"/>
      <c r="I796" s="108" t="n"/>
      <c r="J796" s="109" t="n"/>
      <c r="K796" s="109" t="n"/>
      <c r="L796" s="108" t="n"/>
      <c r="M796" s="121">
        <f>IF($C796="","",IF($D796="Gider",$E796,IF($L796&lt;&gt;"",$L796,$H796)))</f>
        <v/>
      </c>
      <c r="N796" s="121">
        <f>IF($C796="","",IF($D796="Gider",$H796,$E796))</f>
        <v/>
      </c>
      <c r="O796" s="226">
        <f>IF($C796="","",DATE(YEAR($C796),MONTH($C796),1))</f>
        <v/>
      </c>
      <c r="P796" s="113">
        <f>IF($C796="","",IF(AND($D796="Gelir",$L796&lt;&gt;"",$T796=""),"TANIMSIZ BORÇLU",IF($T796&lt;&gt;"",IF(OR($E796="",$G796&lt;=0),"EKSİK",IF($I796="Evet","TAHAKKUK NAKİT OLAMAZ",IF($C796&gt;TODAY(),"İLERİ TARİH","TAHAKKUK"))),IF(AND($D796&lt;&gt;"",$E796&lt;&gt;"",$G796&gt;0,$H796&lt;&gt;"",$I796&lt;&gt;""),IF($C796&gt;TODAY(),"İLERİ TARİH",IF(COUNTIF($W$7:$W$1206,$W796)&gt;1,"MÜKERRER?",IF($AD796&gt;0,"KAPALI DÖNEM",IF($I796="Hayır","ÖDENECEK","UYGUN")))),"EKSİK"))))</f>
        <v/>
      </c>
      <c r="Q796" s="6" t="n"/>
      <c r="R796" s="6" t="n"/>
      <c r="S796" s="3">
        <f>IF($L796="","",UPPER(SUBSTITUTE(SUBSTITUTE(SUBSTITUTE(SUBSTITUTE(SUBSTITUTE(SUBSTITUTE(SUBSTITUTE(SUBSTITUTE(SUBSTITUTE(SUBSTITUTE(SUBSTITUTE(SUBSTITUTE(SUBSTITUTE(SUBSTITUTE(SUBSTITUTE(SUBSTITUTE(SUBSTITUTE(SUBSTITUTE(TRIM($L796),"'",""),"İ","I"),"ı","I"),"i","I"),"Ş","S"),"ş","S"),"Ğ","G"),"ğ","G"),"Ü","U"),"ü","U"),"Ö","O"),"ö","O"),"Ç","C"),"ç","C"),".",""),",","")," ",""),"-","")))</f>
        <v/>
      </c>
      <c r="T796" s="3">
        <f>IF(OR($C796="",$D796&lt;&gt;"Gelir",$L796=""),"",IFERROR(INDEX(MUSTERILER!$B$7:$B$106,MATCH($S796,MUSTERILER!$T$7:$T$106,0)),""))</f>
        <v/>
      </c>
      <c r="U796" s="3">
        <f>IF($T796="","",$T796&amp;"|"&amp;COUNTIFS($T$7:$T796,$T796))</f>
        <v/>
      </c>
      <c r="V796" s="3">
        <f>IF($T796="",0,1)</f>
        <v/>
      </c>
      <c r="W796" s="3">
        <f>IF($C796="","",$D796&amp;"|"&amp;$E796&amp;"|"&amp;TEXT($C796,"0")&amp;"|"&amp;TEXT($G796,"0")&amp;"|"&amp;$J796)</f>
        <v/>
      </c>
      <c r="X796" s="3" t="n"/>
      <c r="Y796" s="3" t="n"/>
      <c r="Z796" s="3" t="n"/>
      <c r="AA796" s="3" t="n"/>
      <c r="AB796" s="3" t="n"/>
      <c r="AC796" s="3" t="n"/>
      <c r="AD796" s="3">
        <f>IF($C796="",0,SUMPRODUCT((AY_SONU!$O$7:$O$42="Evet")*(AY_SONU!$B$7:$B$42=DATE(YEAR($C796),MONTH($C796),1))))</f>
        <v/>
      </c>
    </row>
    <row r="797">
      <c r="A797" s="6" t="n"/>
      <c r="B797" s="113">
        <f>IF($C797="","","GG"&amp;TEXT(ROW()-6,"00000"))</f>
        <v/>
      </c>
      <c r="C797" s="220" t="n"/>
      <c r="D797" s="108" t="n"/>
      <c r="E797" s="109" t="n"/>
      <c r="F797" s="109" t="n"/>
      <c r="G797" s="221" t="n"/>
      <c r="H797" s="108" t="n"/>
      <c r="I797" s="108" t="n"/>
      <c r="J797" s="109" t="n"/>
      <c r="K797" s="109" t="n"/>
      <c r="L797" s="108" t="n"/>
      <c r="M797" s="121">
        <f>IF($C797="","",IF($D797="Gider",$E797,IF($L797&lt;&gt;"",$L797,$H797)))</f>
        <v/>
      </c>
      <c r="N797" s="121">
        <f>IF($C797="","",IF($D797="Gider",$H797,$E797))</f>
        <v/>
      </c>
      <c r="O797" s="226">
        <f>IF($C797="","",DATE(YEAR($C797),MONTH($C797),1))</f>
        <v/>
      </c>
      <c r="P797" s="113">
        <f>IF($C797="","",IF(AND($D797="Gelir",$L797&lt;&gt;"",$T797=""),"TANIMSIZ BORÇLU",IF($T797&lt;&gt;"",IF(OR($E797="",$G797&lt;=0),"EKSİK",IF($I797="Evet","TAHAKKUK NAKİT OLAMAZ",IF($C797&gt;TODAY(),"İLERİ TARİH","TAHAKKUK"))),IF(AND($D797&lt;&gt;"",$E797&lt;&gt;"",$G797&gt;0,$H797&lt;&gt;"",$I797&lt;&gt;""),IF($C797&gt;TODAY(),"İLERİ TARİH",IF(COUNTIF($W$7:$W$1206,$W797)&gt;1,"MÜKERRER?",IF($AD797&gt;0,"KAPALI DÖNEM",IF($I797="Hayır","ÖDENECEK","UYGUN")))),"EKSİK"))))</f>
        <v/>
      </c>
      <c r="Q797" s="6" t="n"/>
      <c r="R797" s="6" t="n"/>
      <c r="S797" s="3">
        <f>IF($L797="","",UPPER(SUBSTITUTE(SUBSTITUTE(SUBSTITUTE(SUBSTITUTE(SUBSTITUTE(SUBSTITUTE(SUBSTITUTE(SUBSTITUTE(SUBSTITUTE(SUBSTITUTE(SUBSTITUTE(SUBSTITUTE(SUBSTITUTE(SUBSTITUTE(SUBSTITUTE(SUBSTITUTE(SUBSTITUTE(SUBSTITUTE(TRIM($L797),"'",""),"İ","I"),"ı","I"),"i","I"),"Ş","S"),"ş","S"),"Ğ","G"),"ğ","G"),"Ü","U"),"ü","U"),"Ö","O"),"ö","O"),"Ç","C"),"ç","C"),".",""),",","")," ",""),"-","")))</f>
        <v/>
      </c>
      <c r="T797" s="3">
        <f>IF(OR($C797="",$D797&lt;&gt;"Gelir",$L797=""),"",IFERROR(INDEX(MUSTERILER!$B$7:$B$106,MATCH($S797,MUSTERILER!$T$7:$T$106,0)),""))</f>
        <v/>
      </c>
      <c r="U797" s="3">
        <f>IF($T797="","",$T797&amp;"|"&amp;COUNTIFS($T$7:$T797,$T797))</f>
        <v/>
      </c>
      <c r="V797" s="3">
        <f>IF($T797="",0,1)</f>
        <v/>
      </c>
      <c r="W797" s="3">
        <f>IF($C797="","",$D797&amp;"|"&amp;$E797&amp;"|"&amp;TEXT($C797,"0")&amp;"|"&amp;TEXT($G797,"0")&amp;"|"&amp;$J797)</f>
        <v/>
      </c>
      <c r="X797" s="3" t="n"/>
      <c r="Y797" s="3" t="n"/>
      <c r="Z797" s="3" t="n"/>
      <c r="AA797" s="3" t="n"/>
      <c r="AB797" s="3" t="n"/>
      <c r="AC797" s="3" t="n"/>
      <c r="AD797" s="3">
        <f>IF($C797="",0,SUMPRODUCT((AY_SONU!$O$7:$O$42="Evet")*(AY_SONU!$B$7:$B$42=DATE(YEAR($C797),MONTH($C797),1))))</f>
        <v/>
      </c>
    </row>
    <row r="798">
      <c r="A798" s="6" t="n"/>
      <c r="B798" s="113">
        <f>IF($C798="","","GG"&amp;TEXT(ROW()-6,"00000"))</f>
        <v/>
      </c>
      <c r="C798" s="220" t="n"/>
      <c r="D798" s="108" t="n"/>
      <c r="E798" s="109" t="n"/>
      <c r="F798" s="109" t="n"/>
      <c r="G798" s="221" t="n"/>
      <c r="H798" s="108" t="n"/>
      <c r="I798" s="108" t="n"/>
      <c r="J798" s="109" t="n"/>
      <c r="K798" s="109" t="n"/>
      <c r="L798" s="108" t="n"/>
      <c r="M798" s="121">
        <f>IF($C798="","",IF($D798="Gider",$E798,IF($L798&lt;&gt;"",$L798,$H798)))</f>
        <v/>
      </c>
      <c r="N798" s="121">
        <f>IF($C798="","",IF($D798="Gider",$H798,$E798))</f>
        <v/>
      </c>
      <c r="O798" s="226">
        <f>IF($C798="","",DATE(YEAR($C798),MONTH($C798),1))</f>
        <v/>
      </c>
      <c r="P798" s="113">
        <f>IF($C798="","",IF(AND($D798="Gelir",$L798&lt;&gt;"",$T798=""),"TANIMSIZ BORÇLU",IF($T798&lt;&gt;"",IF(OR($E798="",$G798&lt;=0),"EKSİK",IF($I798="Evet","TAHAKKUK NAKİT OLAMAZ",IF($C798&gt;TODAY(),"İLERİ TARİH","TAHAKKUK"))),IF(AND($D798&lt;&gt;"",$E798&lt;&gt;"",$G798&gt;0,$H798&lt;&gt;"",$I798&lt;&gt;""),IF($C798&gt;TODAY(),"İLERİ TARİH",IF(COUNTIF($W$7:$W$1206,$W798)&gt;1,"MÜKERRER?",IF($AD798&gt;0,"KAPALI DÖNEM",IF($I798="Hayır","ÖDENECEK","UYGUN")))),"EKSİK"))))</f>
        <v/>
      </c>
      <c r="Q798" s="6" t="n"/>
      <c r="R798" s="6" t="n"/>
      <c r="S798" s="3">
        <f>IF($L798="","",UPPER(SUBSTITUTE(SUBSTITUTE(SUBSTITUTE(SUBSTITUTE(SUBSTITUTE(SUBSTITUTE(SUBSTITUTE(SUBSTITUTE(SUBSTITUTE(SUBSTITUTE(SUBSTITUTE(SUBSTITUTE(SUBSTITUTE(SUBSTITUTE(SUBSTITUTE(SUBSTITUTE(SUBSTITUTE(SUBSTITUTE(TRIM($L798),"'",""),"İ","I"),"ı","I"),"i","I"),"Ş","S"),"ş","S"),"Ğ","G"),"ğ","G"),"Ü","U"),"ü","U"),"Ö","O"),"ö","O"),"Ç","C"),"ç","C"),".",""),",","")," ",""),"-","")))</f>
        <v/>
      </c>
      <c r="T798" s="3">
        <f>IF(OR($C798="",$D798&lt;&gt;"Gelir",$L798=""),"",IFERROR(INDEX(MUSTERILER!$B$7:$B$106,MATCH($S798,MUSTERILER!$T$7:$T$106,0)),""))</f>
        <v/>
      </c>
      <c r="U798" s="3">
        <f>IF($T798="","",$T798&amp;"|"&amp;COUNTIFS($T$7:$T798,$T798))</f>
        <v/>
      </c>
      <c r="V798" s="3">
        <f>IF($T798="",0,1)</f>
        <v/>
      </c>
      <c r="W798" s="3">
        <f>IF($C798="","",$D798&amp;"|"&amp;$E798&amp;"|"&amp;TEXT($C798,"0")&amp;"|"&amp;TEXT($G798,"0")&amp;"|"&amp;$J798)</f>
        <v/>
      </c>
      <c r="X798" s="3" t="n"/>
      <c r="Y798" s="3" t="n"/>
      <c r="Z798" s="3" t="n"/>
      <c r="AA798" s="3" t="n"/>
      <c r="AB798" s="3" t="n"/>
      <c r="AC798" s="3" t="n"/>
      <c r="AD798" s="3">
        <f>IF($C798="",0,SUMPRODUCT((AY_SONU!$O$7:$O$42="Evet")*(AY_SONU!$B$7:$B$42=DATE(YEAR($C798),MONTH($C798),1))))</f>
        <v/>
      </c>
    </row>
    <row r="799">
      <c r="A799" s="6" t="n"/>
      <c r="B799" s="113">
        <f>IF($C799="","","GG"&amp;TEXT(ROW()-6,"00000"))</f>
        <v/>
      </c>
      <c r="C799" s="220" t="n"/>
      <c r="D799" s="108" t="n"/>
      <c r="E799" s="109" t="n"/>
      <c r="F799" s="109" t="n"/>
      <c r="G799" s="221" t="n"/>
      <c r="H799" s="108" t="n"/>
      <c r="I799" s="108" t="n"/>
      <c r="J799" s="109" t="n"/>
      <c r="K799" s="109" t="n"/>
      <c r="L799" s="108" t="n"/>
      <c r="M799" s="121">
        <f>IF($C799="","",IF($D799="Gider",$E799,IF($L799&lt;&gt;"",$L799,$H799)))</f>
        <v/>
      </c>
      <c r="N799" s="121">
        <f>IF($C799="","",IF($D799="Gider",$H799,$E799))</f>
        <v/>
      </c>
      <c r="O799" s="226">
        <f>IF($C799="","",DATE(YEAR($C799),MONTH($C799),1))</f>
        <v/>
      </c>
      <c r="P799" s="113">
        <f>IF($C799="","",IF(AND($D799="Gelir",$L799&lt;&gt;"",$T799=""),"TANIMSIZ BORÇLU",IF($T799&lt;&gt;"",IF(OR($E799="",$G799&lt;=0),"EKSİK",IF($I799="Evet","TAHAKKUK NAKİT OLAMAZ",IF($C799&gt;TODAY(),"İLERİ TARİH","TAHAKKUK"))),IF(AND($D799&lt;&gt;"",$E799&lt;&gt;"",$G799&gt;0,$H799&lt;&gt;"",$I799&lt;&gt;""),IF($C799&gt;TODAY(),"İLERİ TARİH",IF(COUNTIF($W$7:$W$1206,$W799)&gt;1,"MÜKERRER?",IF($AD799&gt;0,"KAPALI DÖNEM",IF($I799="Hayır","ÖDENECEK","UYGUN")))),"EKSİK"))))</f>
        <v/>
      </c>
      <c r="Q799" s="6" t="n"/>
      <c r="R799" s="6" t="n"/>
      <c r="S799" s="3">
        <f>IF($L799="","",UPPER(SUBSTITUTE(SUBSTITUTE(SUBSTITUTE(SUBSTITUTE(SUBSTITUTE(SUBSTITUTE(SUBSTITUTE(SUBSTITUTE(SUBSTITUTE(SUBSTITUTE(SUBSTITUTE(SUBSTITUTE(SUBSTITUTE(SUBSTITUTE(SUBSTITUTE(SUBSTITUTE(SUBSTITUTE(SUBSTITUTE(TRIM($L799),"'",""),"İ","I"),"ı","I"),"i","I"),"Ş","S"),"ş","S"),"Ğ","G"),"ğ","G"),"Ü","U"),"ü","U"),"Ö","O"),"ö","O"),"Ç","C"),"ç","C"),".",""),",","")," ",""),"-","")))</f>
        <v/>
      </c>
      <c r="T799" s="3">
        <f>IF(OR($C799="",$D799&lt;&gt;"Gelir",$L799=""),"",IFERROR(INDEX(MUSTERILER!$B$7:$B$106,MATCH($S799,MUSTERILER!$T$7:$T$106,0)),""))</f>
        <v/>
      </c>
      <c r="U799" s="3">
        <f>IF($T799="","",$T799&amp;"|"&amp;COUNTIFS($T$7:$T799,$T799))</f>
        <v/>
      </c>
      <c r="V799" s="3">
        <f>IF($T799="",0,1)</f>
        <v/>
      </c>
      <c r="W799" s="3">
        <f>IF($C799="","",$D799&amp;"|"&amp;$E799&amp;"|"&amp;TEXT($C799,"0")&amp;"|"&amp;TEXT($G799,"0")&amp;"|"&amp;$J799)</f>
        <v/>
      </c>
      <c r="X799" s="3" t="n"/>
      <c r="Y799" s="3" t="n"/>
      <c r="Z799" s="3" t="n"/>
      <c r="AA799" s="3" t="n"/>
      <c r="AB799" s="3" t="n"/>
      <c r="AC799" s="3" t="n"/>
      <c r="AD799" s="3">
        <f>IF($C799="",0,SUMPRODUCT((AY_SONU!$O$7:$O$42="Evet")*(AY_SONU!$B$7:$B$42=DATE(YEAR($C799),MONTH($C799),1))))</f>
        <v/>
      </c>
    </row>
    <row r="800">
      <c r="A800" s="6" t="n"/>
      <c r="B800" s="113">
        <f>IF($C800="","","GG"&amp;TEXT(ROW()-6,"00000"))</f>
        <v/>
      </c>
      <c r="C800" s="220" t="n"/>
      <c r="D800" s="108" t="n"/>
      <c r="E800" s="109" t="n"/>
      <c r="F800" s="109" t="n"/>
      <c r="G800" s="221" t="n"/>
      <c r="H800" s="108" t="n"/>
      <c r="I800" s="108" t="n"/>
      <c r="J800" s="109" t="n"/>
      <c r="K800" s="109" t="n"/>
      <c r="L800" s="108" t="n"/>
      <c r="M800" s="121">
        <f>IF($C800="","",IF($D800="Gider",$E800,IF($L800&lt;&gt;"",$L800,$H800)))</f>
        <v/>
      </c>
      <c r="N800" s="121">
        <f>IF($C800="","",IF($D800="Gider",$H800,$E800))</f>
        <v/>
      </c>
      <c r="O800" s="226">
        <f>IF($C800="","",DATE(YEAR($C800),MONTH($C800),1))</f>
        <v/>
      </c>
      <c r="P800" s="113">
        <f>IF($C800="","",IF(AND($D800="Gelir",$L800&lt;&gt;"",$T800=""),"TANIMSIZ BORÇLU",IF($T800&lt;&gt;"",IF(OR($E800="",$G800&lt;=0),"EKSİK",IF($I800="Evet","TAHAKKUK NAKİT OLAMAZ",IF($C800&gt;TODAY(),"İLERİ TARİH","TAHAKKUK"))),IF(AND($D800&lt;&gt;"",$E800&lt;&gt;"",$G800&gt;0,$H800&lt;&gt;"",$I800&lt;&gt;""),IF($C800&gt;TODAY(),"İLERİ TARİH",IF(COUNTIF($W$7:$W$1206,$W800)&gt;1,"MÜKERRER?",IF($AD800&gt;0,"KAPALI DÖNEM",IF($I800="Hayır","ÖDENECEK","UYGUN")))),"EKSİK"))))</f>
        <v/>
      </c>
      <c r="Q800" s="6" t="n"/>
      <c r="R800" s="6" t="n"/>
      <c r="S800" s="3">
        <f>IF($L800="","",UPPER(SUBSTITUTE(SUBSTITUTE(SUBSTITUTE(SUBSTITUTE(SUBSTITUTE(SUBSTITUTE(SUBSTITUTE(SUBSTITUTE(SUBSTITUTE(SUBSTITUTE(SUBSTITUTE(SUBSTITUTE(SUBSTITUTE(SUBSTITUTE(SUBSTITUTE(SUBSTITUTE(SUBSTITUTE(SUBSTITUTE(TRIM($L800),"'",""),"İ","I"),"ı","I"),"i","I"),"Ş","S"),"ş","S"),"Ğ","G"),"ğ","G"),"Ü","U"),"ü","U"),"Ö","O"),"ö","O"),"Ç","C"),"ç","C"),".",""),",","")," ",""),"-","")))</f>
        <v/>
      </c>
      <c r="T800" s="3">
        <f>IF(OR($C800="",$D800&lt;&gt;"Gelir",$L800=""),"",IFERROR(INDEX(MUSTERILER!$B$7:$B$106,MATCH($S800,MUSTERILER!$T$7:$T$106,0)),""))</f>
        <v/>
      </c>
      <c r="U800" s="3">
        <f>IF($T800="","",$T800&amp;"|"&amp;COUNTIFS($T$7:$T800,$T800))</f>
        <v/>
      </c>
      <c r="V800" s="3">
        <f>IF($T800="",0,1)</f>
        <v/>
      </c>
      <c r="W800" s="3">
        <f>IF($C800="","",$D800&amp;"|"&amp;$E800&amp;"|"&amp;TEXT($C800,"0")&amp;"|"&amp;TEXT($G800,"0")&amp;"|"&amp;$J800)</f>
        <v/>
      </c>
      <c r="X800" s="3" t="n"/>
      <c r="Y800" s="3" t="n"/>
      <c r="Z800" s="3" t="n"/>
      <c r="AA800" s="3" t="n"/>
      <c r="AB800" s="3" t="n"/>
      <c r="AC800" s="3" t="n"/>
      <c r="AD800" s="3">
        <f>IF($C800="",0,SUMPRODUCT((AY_SONU!$O$7:$O$42="Evet")*(AY_SONU!$B$7:$B$42=DATE(YEAR($C800),MONTH($C800),1))))</f>
        <v/>
      </c>
    </row>
    <row r="801">
      <c r="A801" s="6" t="n"/>
      <c r="B801" s="113">
        <f>IF($C801="","","GG"&amp;TEXT(ROW()-6,"00000"))</f>
        <v/>
      </c>
      <c r="C801" s="220" t="n"/>
      <c r="D801" s="108" t="n"/>
      <c r="E801" s="109" t="n"/>
      <c r="F801" s="109" t="n"/>
      <c r="G801" s="221" t="n"/>
      <c r="H801" s="108" t="n"/>
      <c r="I801" s="108" t="n"/>
      <c r="J801" s="109" t="n"/>
      <c r="K801" s="109" t="n"/>
      <c r="L801" s="108" t="n"/>
      <c r="M801" s="121">
        <f>IF($C801="","",IF($D801="Gider",$E801,IF($L801&lt;&gt;"",$L801,$H801)))</f>
        <v/>
      </c>
      <c r="N801" s="121">
        <f>IF($C801="","",IF($D801="Gider",$H801,$E801))</f>
        <v/>
      </c>
      <c r="O801" s="226">
        <f>IF($C801="","",DATE(YEAR($C801),MONTH($C801),1))</f>
        <v/>
      </c>
      <c r="P801" s="113">
        <f>IF($C801="","",IF(AND($D801="Gelir",$L801&lt;&gt;"",$T801=""),"TANIMSIZ BORÇLU",IF($T801&lt;&gt;"",IF(OR($E801="",$G801&lt;=0),"EKSİK",IF($I801="Evet","TAHAKKUK NAKİT OLAMAZ",IF($C801&gt;TODAY(),"İLERİ TARİH","TAHAKKUK"))),IF(AND($D801&lt;&gt;"",$E801&lt;&gt;"",$G801&gt;0,$H801&lt;&gt;"",$I801&lt;&gt;""),IF($C801&gt;TODAY(),"İLERİ TARİH",IF(COUNTIF($W$7:$W$1206,$W801)&gt;1,"MÜKERRER?",IF($AD801&gt;0,"KAPALI DÖNEM",IF($I801="Hayır","ÖDENECEK","UYGUN")))),"EKSİK"))))</f>
        <v/>
      </c>
      <c r="Q801" s="6" t="n"/>
      <c r="R801" s="6" t="n"/>
      <c r="S801" s="3">
        <f>IF($L801="","",UPPER(SUBSTITUTE(SUBSTITUTE(SUBSTITUTE(SUBSTITUTE(SUBSTITUTE(SUBSTITUTE(SUBSTITUTE(SUBSTITUTE(SUBSTITUTE(SUBSTITUTE(SUBSTITUTE(SUBSTITUTE(SUBSTITUTE(SUBSTITUTE(SUBSTITUTE(SUBSTITUTE(SUBSTITUTE(SUBSTITUTE(TRIM($L801),"'",""),"İ","I"),"ı","I"),"i","I"),"Ş","S"),"ş","S"),"Ğ","G"),"ğ","G"),"Ü","U"),"ü","U"),"Ö","O"),"ö","O"),"Ç","C"),"ç","C"),".",""),",","")," ",""),"-","")))</f>
        <v/>
      </c>
      <c r="T801" s="3">
        <f>IF(OR($C801="",$D801&lt;&gt;"Gelir",$L801=""),"",IFERROR(INDEX(MUSTERILER!$B$7:$B$106,MATCH($S801,MUSTERILER!$T$7:$T$106,0)),""))</f>
        <v/>
      </c>
      <c r="U801" s="3">
        <f>IF($T801="","",$T801&amp;"|"&amp;COUNTIFS($T$7:$T801,$T801))</f>
        <v/>
      </c>
      <c r="V801" s="3">
        <f>IF($T801="",0,1)</f>
        <v/>
      </c>
      <c r="W801" s="3">
        <f>IF($C801="","",$D801&amp;"|"&amp;$E801&amp;"|"&amp;TEXT($C801,"0")&amp;"|"&amp;TEXT($G801,"0")&amp;"|"&amp;$J801)</f>
        <v/>
      </c>
      <c r="X801" s="3" t="n"/>
      <c r="Y801" s="3" t="n"/>
      <c r="Z801" s="3" t="n"/>
      <c r="AA801" s="3" t="n"/>
      <c r="AB801" s="3" t="n"/>
      <c r="AC801" s="3" t="n"/>
      <c r="AD801" s="3">
        <f>IF($C801="",0,SUMPRODUCT((AY_SONU!$O$7:$O$42="Evet")*(AY_SONU!$B$7:$B$42=DATE(YEAR($C801),MONTH($C801),1))))</f>
        <v/>
      </c>
    </row>
    <row r="802">
      <c r="A802" s="6" t="n"/>
      <c r="B802" s="113">
        <f>IF($C802="","","GG"&amp;TEXT(ROW()-6,"00000"))</f>
        <v/>
      </c>
      <c r="C802" s="220" t="n"/>
      <c r="D802" s="108" t="n"/>
      <c r="E802" s="109" t="n"/>
      <c r="F802" s="109" t="n"/>
      <c r="G802" s="221" t="n"/>
      <c r="H802" s="108" t="n"/>
      <c r="I802" s="108" t="n"/>
      <c r="J802" s="109" t="n"/>
      <c r="K802" s="109" t="n"/>
      <c r="L802" s="108" t="n"/>
      <c r="M802" s="121">
        <f>IF($C802="","",IF($D802="Gider",$E802,IF($L802&lt;&gt;"",$L802,$H802)))</f>
        <v/>
      </c>
      <c r="N802" s="121">
        <f>IF($C802="","",IF($D802="Gider",$H802,$E802))</f>
        <v/>
      </c>
      <c r="O802" s="226">
        <f>IF($C802="","",DATE(YEAR($C802),MONTH($C802),1))</f>
        <v/>
      </c>
      <c r="P802" s="113">
        <f>IF($C802="","",IF(AND($D802="Gelir",$L802&lt;&gt;"",$T802=""),"TANIMSIZ BORÇLU",IF($T802&lt;&gt;"",IF(OR($E802="",$G802&lt;=0),"EKSİK",IF($I802="Evet","TAHAKKUK NAKİT OLAMAZ",IF($C802&gt;TODAY(),"İLERİ TARİH","TAHAKKUK"))),IF(AND($D802&lt;&gt;"",$E802&lt;&gt;"",$G802&gt;0,$H802&lt;&gt;"",$I802&lt;&gt;""),IF($C802&gt;TODAY(),"İLERİ TARİH",IF(COUNTIF($W$7:$W$1206,$W802)&gt;1,"MÜKERRER?",IF($AD802&gt;0,"KAPALI DÖNEM",IF($I802="Hayır","ÖDENECEK","UYGUN")))),"EKSİK"))))</f>
        <v/>
      </c>
      <c r="Q802" s="6" t="n"/>
      <c r="R802" s="6" t="n"/>
      <c r="S802" s="3">
        <f>IF($L802="","",UPPER(SUBSTITUTE(SUBSTITUTE(SUBSTITUTE(SUBSTITUTE(SUBSTITUTE(SUBSTITUTE(SUBSTITUTE(SUBSTITUTE(SUBSTITUTE(SUBSTITUTE(SUBSTITUTE(SUBSTITUTE(SUBSTITUTE(SUBSTITUTE(SUBSTITUTE(SUBSTITUTE(SUBSTITUTE(SUBSTITUTE(TRIM($L802),"'",""),"İ","I"),"ı","I"),"i","I"),"Ş","S"),"ş","S"),"Ğ","G"),"ğ","G"),"Ü","U"),"ü","U"),"Ö","O"),"ö","O"),"Ç","C"),"ç","C"),".",""),",","")," ",""),"-","")))</f>
        <v/>
      </c>
      <c r="T802" s="3">
        <f>IF(OR($C802="",$D802&lt;&gt;"Gelir",$L802=""),"",IFERROR(INDEX(MUSTERILER!$B$7:$B$106,MATCH($S802,MUSTERILER!$T$7:$T$106,0)),""))</f>
        <v/>
      </c>
      <c r="U802" s="3">
        <f>IF($T802="","",$T802&amp;"|"&amp;COUNTIFS($T$7:$T802,$T802))</f>
        <v/>
      </c>
      <c r="V802" s="3">
        <f>IF($T802="",0,1)</f>
        <v/>
      </c>
      <c r="W802" s="3">
        <f>IF($C802="","",$D802&amp;"|"&amp;$E802&amp;"|"&amp;TEXT($C802,"0")&amp;"|"&amp;TEXT($G802,"0")&amp;"|"&amp;$J802)</f>
        <v/>
      </c>
      <c r="X802" s="3" t="n"/>
      <c r="Y802" s="3" t="n"/>
      <c r="Z802" s="3" t="n"/>
      <c r="AA802" s="3" t="n"/>
      <c r="AB802" s="3" t="n"/>
      <c r="AC802" s="3" t="n"/>
      <c r="AD802" s="3">
        <f>IF($C802="",0,SUMPRODUCT((AY_SONU!$O$7:$O$42="Evet")*(AY_SONU!$B$7:$B$42=DATE(YEAR($C802),MONTH($C802),1))))</f>
        <v/>
      </c>
    </row>
    <row r="803">
      <c r="A803" s="6" t="n"/>
      <c r="B803" s="113">
        <f>IF($C803="","","GG"&amp;TEXT(ROW()-6,"00000"))</f>
        <v/>
      </c>
      <c r="C803" s="220" t="n"/>
      <c r="D803" s="108" t="n"/>
      <c r="E803" s="109" t="n"/>
      <c r="F803" s="109" t="n"/>
      <c r="G803" s="221" t="n"/>
      <c r="H803" s="108" t="n"/>
      <c r="I803" s="108" t="n"/>
      <c r="J803" s="109" t="n"/>
      <c r="K803" s="109" t="n"/>
      <c r="L803" s="108" t="n"/>
      <c r="M803" s="121">
        <f>IF($C803="","",IF($D803="Gider",$E803,IF($L803&lt;&gt;"",$L803,$H803)))</f>
        <v/>
      </c>
      <c r="N803" s="121">
        <f>IF($C803="","",IF($D803="Gider",$H803,$E803))</f>
        <v/>
      </c>
      <c r="O803" s="226">
        <f>IF($C803="","",DATE(YEAR($C803),MONTH($C803),1))</f>
        <v/>
      </c>
      <c r="P803" s="113">
        <f>IF($C803="","",IF(AND($D803="Gelir",$L803&lt;&gt;"",$T803=""),"TANIMSIZ BORÇLU",IF($T803&lt;&gt;"",IF(OR($E803="",$G803&lt;=0),"EKSİK",IF($I803="Evet","TAHAKKUK NAKİT OLAMAZ",IF($C803&gt;TODAY(),"İLERİ TARİH","TAHAKKUK"))),IF(AND($D803&lt;&gt;"",$E803&lt;&gt;"",$G803&gt;0,$H803&lt;&gt;"",$I803&lt;&gt;""),IF($C803&gt;TODAY(),"İLERİ TARİH",IF(COUNTIF($W$7:$W$1206,$W803)&gt;1,"MÜKERRER?",IF($AD803&gt;0,"KAPALI DÖNEM",IF($I803="Hayır","ÖDENECEK","UYGUN")))),"EKSİK"))))</f>
        <v/>
      </c>
      <c r="Q803" s="6" t="n"/>
      <c r="R803" s="6" t="n"/>
      <c r="S803" s="3">
        <f>IF($L803="","",UPPER(SUBSTITUTE(SUBSTITUTE(SUBSTITUTE(SUBSTITUTE(SUBSTITUTE(SUBSTITUTE(SUBSTITUTE(SUBSTITUTE(SUBSTITUTE(SUBSTITUTE(SUBSTITUTE(SUBSTITUTE(SUBSTITUTE(SUBSTITUTE(SUBSTITUTE(SUBSTITUTE(SUBSTITUTE(SUBSTITUTE(TRIM($L803),"'",""),"İ","I"),"ı","I"),"i","I"),"Ş","S"),"ş","S"),"Ğ","G"),"ğ","G"),"Ü","U"),"ü","U"),"Ö","O"),"ö","O"),"Ç","C"),"ç","C"),".",""),",","")," ",""),"-","")))</f>
        <v/>
      </c>
      <c r="T803" s="3">
        <f>IF(OR($C803="",$D803&lt;&gt;"Gelir",$L803=""),"",IFERROR(INDEX(MUSTERILER!$B$7:$B$106,MATCH($S803,MUSTERILER!$T$7:$T$106,0)),""))</f>
        <v/>
      </c>
      <c r="U803" s="3">
        <f>IF($T803="","",$T803&amp;"|"&amp;COUNTIFS($T$7:$T803,$T803))</f>
        <v/>
      </c>
      <c r="V803" s="3">
        <f>IF($T803="",0,1)</f>
        <v/>
      </c>
      <c r="W803" s="3">
        <f>IF($C803="","",$D803&amp;"|"&amp;$E803&amp;"|"&amp;TEXT($C803,"0")&amp;"|"&amp;TEXT($G803,"0")&amp;"|"&amp;$J803)</f>
        <v/>
      </c>
      <c r="X803" s="3" t="n"/>
      <c r="Y803" s="3" t="n"/>
      <c r="Z803" s="3" t="n"/>
      <c r="AA803" s="3" t="n"/>
      <c r="AB803" s="3" t="n"/>
      <c r="AC803" s="3" t="n"/>
      <c r="AD803" s="3">
        <f>IF($C803="",0,SUMPRODUCT((AY_SONU!$O$7:$O$42="Evet")*(AY_SONU!$B$7:$B$42=DATE(YEAR($C803),MONTH($C803),1))))</f>
        <v/>
      </c>
    </row>
    <row r="804">
      <c r="A804" s="6" t="n"/>
      <c r="B804" s="113">
        <f>IF($C804="","","GG"&amp;TEXT(ROW()-6,"00000"))</f>
        <v/>
      </c>
      <c r="C804" s="220" t="n"/>
      <c r="D804" s="108" t="n"/>
      <c r="E804" s="109" t="n"/>
      <c r="F804" s="109" t="n"/>
      <c r="G804" s="221" t="n"/>
      <c r="H804" s="108" t="n"/>
      <c r="I804" s="108" t="n"/>
      <c r="J804" s="109" t="n"/>
      <c r="K804" s="109" t="n"/>
      <c r="L804" s="108" t="n"/>
      <c r="M804" s="121">
        <f>IF($C804="","",IF($D804="Gider",$E804,IF($L804&lt;&gt;"",$L804,$H804)))</f>
        <v/>
      </c>
      <c r="N804" s="121">
        <f>IF($C804="","",IF($D804="Gider",$H804,$E804))</f>
        <v/>
      </c>
      <c r="O804" s="226">
        <f>IF($C804="","",DATE(YEAR($C804),MONTH($C804),1))</f>
        <v/>
      </c>
      <c r="P804" s="113">
        <f>IF($C804="","",IF(AND($D804="Gelir",$L804&lt;&gt;"",$T804=""),"TANIMSIZ BORÇLU",IF($T804&lt;&gt;"",IF(OR($E804="",$G804&lt;=0),"EKSİK",IF($I804="Evet","TAHAKKUK NAKİT OLAMAZ",IF($C804&gt;TODAY(),"İLERİ TARİH","TAHAKKUK"))),IF(AND($D804&lt;&gt;"",$E804&lt;&gt;"",$G804&gt;0,$H804&lt;&gt;"",$I804&lt;&gt;""),IF($C804&gt;TODAY(),"İLERİ TARİH",IF(COUNTIF($W$7:$W$1206,$W804)&gt;1,"MÜKERRER?",IF($AD804&gt;0,"KAPALI DÖNEM",IF($I804="Hayır","ÖDENECEK","UYGUN")))),"EKSİK"))))</f>
        <v/>
      </c>
      <c r="Q804" s="6" t="n"/>
      <c r="R804" s="6" t="n"/>
      <c r="S804" s="3">
        <f>IF($L804="","",UPPER(SUBSTITUTE(SUBSTITUTE(SUBSTITUTE(SUBSTITUTE(SUBSTITUTE(SUBSTITUTE(SUBSTITUTE(SUBSTITUTE(SUBSTITUTE(SUBSTITUTE(SUBSTITUTE(SUBSTITUTE(SUBSTITUTE(SUBSTITUTE(SUBSTITUTE(SUBSTITUTE(SUBSTITUTE(SUBSTITUTE(TRIM($L804),"'",""),"İ","I"),"ı","I"),"i","I"),"Ş","S"),"ş","S"),"Ğ","G"),"ğ","G"),"Ü","U"),"ü","U"),"Ö","O"),"ö","O"),"Ç","C"),"ç","C"),".",""),",","")," ",""),"-","")))</f>
        <v/>
      </c>
      <c r="T804" s="3">
        <f>IF(OR($C804="",$D804&lt;&gt;"Gelir",$L804=""),"",IFERROR(INDEX(MUSTERILER!$B$7:$B$106,MATCH($S804,MUSTERILER!$T$7:$T$106,0)),""))</f>
        <v/>
      </c>
      <c r="U804" s="3">
        <f>IF($T804="","",$T804&amp;"|"&amp;COUNTIFS($T$7:$T804,$T804))</f>
        <v/>
      </c>
      <c r="V804" s="3">
        <f>IF($T804="",0,1)</f>
        <v/>
      </c>
      <c r="W804" s="3">
        <f>IF($C804="","",$D804&amp;"|"&amp;$E804&amp;"|"&amp;TEXT($C804,"0")&amp;"|"&amp;TEXT($G804,"0")&amp;"|"&amp;$J804)</f>
        <v/>
      </c>
      <c r="X804" s="3" t="n"/>
      <c r="Y804" s="3" t="n"/>
      <c r="Z804" s="3" t="n"/>
      <c r="AA804" s="3" t="n"/>
      <c r="AB804" s="3" t="n"/>
      <c r="AC804" s="3" t="n"/>
      <c r="AD804" s="3">
        <f>IF($C804="",0,SUMPRODUCT((AY_SONU!$O$7:$O$42="Evet")*(AY_SONU!$B$7:$B$42=DATE(YEAR($C804),MONTH($C804),1))))</f>
        <v/>
      </c>
    </row>
    <row r="805">
      <c r="A805" s="6" t="n"/>
      <c r="B805" s="113">
        <f>IF($C805="","","GG"&amp;TEXT(ROW()-6,"00000"))</f>
        <v/>
      </c>
      <c r="C805" s="220" t="n"/>
      <c r="D805" s="108" t="n"/>
      <c r="E805" s="109" t="n"/>
      <c r="F805" s="109" t="n"/>
      <c r="G805" s="221" t="n"/>
      <c r="H805" s="108" t="n"/>
      <c r="I805" s="108" t="n"/>
      <c r="J805" s="109" t="n"/>
      <c r="K805" s="109" t="n"/>
      <c r="L805" s="108" t="n"/>
      <c r="M805" s="121">
        <f>IF($C805="","",IF($D805="Gider",$E805,IF($L805&lt;&gt;"",$L805,$H805)))</f>
        <v/>
      </c>
      <c r="N805" s="121">
        <f>IF($C805="","",IF($D805="Gider",$H805,$E805))</f>
        <v/>
      </c>
      <c r="O805" s="226">
        <f>IF($C805="","",DATE(YEAR($C805),MONTH($C805),1))</f>
        <v/>
      </c>
      <c r="P805" s="113">
        <f>IF($C805="","",IF(AND($D805="Gelir",$L805&lt;&gt;"",$T805=""),"TANIMSIZ BORÇLU",IF($T805&lt;&gt;"",IF(OR($E805="",$G805&lt;=0),"EKSİK",IF($I805="Evet","TAHAKKUK NAKİT OLAMAZ",IF($C805&gt;TODAY(),"İLERİ TARİH","TAHAKKUK"))),IF(AND($D805&lt;&gt;"",$E805&lt;&gt;"",$G805&gt;0,$H805&lt;&gt;"",$I805&lt;&gt;""),IF($C805&gt;TODAY(),"İLERİ TARİH",IF(COUNTIF($W$7:$W$1206,$W805)&gt;1,"MÜKERRER?",IF($AD805&gt;0,"KAPALI DÖNEM",IF($I805="Hayır","ÖDENECEK","UYGUN")))),"EKSİK"))))</f>
        <v/>
      </c>
      <c r="Q805" s="6" t="n"/>
      <c r="R805" s="6" t="n"/>
      <c r="S805" s="3">
        <f>IF($L805="","",UPPER(SUBSTITUTE(SUBSTITUTE(SUBSTITUTE(SUBSTITUTE(SUBSTITUTE(SUBSTITUTE(SUBSTITUTE(SUBSTITUTE(SUBSTITUTE(SUBSTITUTE(SUBSTITUTE(SUBSTITUTE(SUBSTITUTE(SUBSTITUTE(SUBSTITUTE(SUBSTITUTE(SUBSTITUTE(SUBSTITUTE(TRIM($L805),"'",""),"İ","I"),"ı","I"),"i","I"),"Ş","S"),"ş","S"),"Ğ","G"),"ğ","G"),"Ü","U"),"ü","U"),"Ö","O"),"ö","O"),"Ç","C"),"ç","C"),".",""),",","")," ",""),"-","")))</f>
        <v/>
      </c>
      <c r="T805" s="3">
        <f>IF(OR($C805="",$D805&lt;&gt;"Gelir",$L805=""),"",IFERROR(INDEX(MUSTERILER!$B$7:$B$106,MATCH($S805,MUSTERILER!$T$7:$T$106,0)),""))</f>
        <v/>
      </c>
      <c r="U805" s="3">
        <f>IF($T805="","",$T805&amp;"|"&amp;COUNTIFS($T$7:$T805,$T805))</f>
        <v/>
      </c>
      <c r="V805" s="3">
        <f>IF($T805="",0,1)</f>
        <v/>
      </c>
      <c r="W805" s="3">
        <f>IF($C805="","",$D805&amp;"|"&amp;$E805&amp;"|"&amp;TEXT($C805,"0")&amp;"|"&amp;TEXT($G805,"0")&amp;"|"&amp;$J805)</f>
        <v/>
      </c>
      <c r="X805" s="3" t="n"/>
      <c r="Y805" s="3" t="n"/>
      <c r="Z805" s="3" t="n"/>
      <c r="AA805" s="3" t="n"/>
      <c r="AB805" s="3" t="n"/>
      <c r="AC805" s="3" t="n"/>
      <c r="AD805" s="3">
        <f>IF($C805="",0,SUMPRODUCT((AY_SONU!$O$7:$O$42="Evet")*(AY_SONU!$B$7:$B$42=DATE(YEAR($C805),MONTH($C805),1))))</f>
        <v/>
      </c>
    </row>
    <row r="806">
      <c r="A806" s="6" t="n"/>
      <c r="B806" s="113">
        <f>IF($C806="","","GG"&amp;TEXT(ROW()-6,"00000"))</f>
        <v/>
      </c>
      <c r="C806" s="220" t="n"/>
      <c r="D806" s="108" t="n"/>
      <c r="E806" s="109" t="n"/>
      <c r="F806" s="109" t="n"/>
      <c r="G806" s="221" t="n"/>
      <c r="H806" s="108" t="n"/>
      <c r="I806" s="108" t="n"/>
      <c r="J806" s="109" t="n"/>
      <c r="K806" s="109" t="n"/>
      <c r="L806" s="108" t="n"/>
      <c r="M806" s="121">
        <f>IF($C806="","",IF($D806="Gider",$E806,IF($L806&lt;&gt;"",$L806,$H806)))</f>
        <v/>
      </c>
      <c r="N806" s="121">
        <f>IF($C806="","",IF($D806="Gider",$H806,$E806))</f>
        <v/>
      </c>
      <c r="O806" s="226">
        <f>IF($C806="","",DATE(YEAR($C806),MONTH($C806),1))</f>
        <v/>
      </c>
      <c r="P806" s="113">
        <f>IF($C806="","",IF(AND($D806="Gelir",$L806&lt;&gt;"",$T806=""),"TANIMSIZ BORÇLU",IF($T806&lt;&gt;"",IF(OR($E806="",$G806&lt;=0),"EKSİK",IF($I806="Evet","TAHAKKUK NAKİT OLAMAZ",IF($C806&gt;TODAY(),"İLERİ TARİH","TAHAKKUK"))),IF(AND($D806&lt;&gt;"",$E806&lt;&gt;"",$G806&gt;0,$H806&lt;&gt;"",$I806&lt;&gt;""),IF($C806&gt;TODAY(),"İLERİ TARİH",IF(COUNTIF($W$7:$W$1206,$W806)&gt;1,"MÜKERRER?",IF($AD806&gt;0,"KAPALI DÖNEM",IF($I806="Hayır","ÖDENECEK","UYGUN")))),"EKSİK"))))</f>
        <v/>
      </c>
      <c r="Q806" s="6" t="n"/>
      <c r="R806" s="6" t="n"/>
      <c r="S806" s="3">
        <f>IF($L806="","",UPPER(SUBSTITUTE(SUBSTITUTE(SUBSTITUTE(SUBSTITUTE(SUBSTITUTE(SUBSTITUTE(SUBSTITUTE(SUBSTITUTE(SUBSTITUTE(SUBSTITUTE(SUBSTITUTE(SUBSTITUTE(SUBSTITUTE(SUBSTITUTE(SUBSTITUTE(SUBSTITUTE(SUBSTITUTE(SUBSTITUTE(TRIM($L806),"'",""),"İ","I"),"ı","I"),"i","I"),"Ş","S"),"ş","S"),"Ğ","G"),"ğ","G"),"Ü","U"),"ü","U"),"Ö","O"),"ö","O"),"Ç","C"),"ç","C"),".",""),",","")," ",""),"-","")))</f>
        <v/>
      </c>
      <c r="T806" s="3">
        <f>IF(OR($C806="",$D806&lt;&gt;"Gelir",$L806=""),"",IFERROR(INDEX(MUSTERILER!$B$7:$B$106,MATCH($S806,MUSTERILER!$T$7:$T$106,0)),""))</f>
        <v/>
      </c>
      <c r="U806" s="3">
        <f>IF($T806="","",$T806&amp;"|"&amp;COUNTIFS($T$7:$T806,$T806))</f>
        <v/>
      </c>
      <c r="V806" s="3">
        <f>IF($T806="",0,1)</f>
        <v/>
      </c>
      <c r="W806" s="3">
        <f>IF($C806="","",$D806&amp;"|"&amp;$E806&amp;"|"&amp;TEXT($C806,"0")&amp;"|"&amp;TEXT($G806,"0")&amp;"|"&amp;$J806)</f>
        <v/>
      </c>
      <c r="X806" s="3" t="n"/>
      <c r="Y806" s="3" t="n"/>
      <c r="Z806" s="3" t="n"/>
      <c r="AA806" s="3" t="n"/>
      <c r="AB806" s="3" t="n"/>
      <c r="AC806" s="3" t="n"/>
      <c r="AD806" s="3">
        <f>IF($C806="",0,SUMPRODUCT((AY_SONU!$O$7:$O$42="Evet")*(AY_SONU!$B$7:$B$42=DATE(YEAR($C806),MONTH($C806),1))))</f>
        <v/>
      </c>
    </row>
    <row r="807">
      <c r="A807" s="6" t="n"/>
      <c r="B807" s="113">
        <f>IF($C807="","","GG"&amp;TEXT(ROW()-6,"00000"))</f>
        <v/>
      </c>
      <c r="C807" s="220" t="n"/>
      <c r="D807" s="108" t="n"/>
      <c r="E807" s="109" t="n"/>
      <c r="F807" s="109" t="n"/>
      <c r="G807" s="221" t="n"/>
      <c r="H807" s="108" t="n"/>
      <c r="I807" s="108" t="n"/>
      <c r="J807" s="109" t="n"/>
      <c r="K807" s="109" t="n"/>
      <c r="L807" s="108" t="n"/>
      <c r="M807" s="121">
        <f>IF($C807="","",IF($D807="Gider",$E807,IF($L807&lt;&gt;"",$L807,$H807)))</f>
        <v/>
      </c>
      <c r="N807" s="121">
        <f>IF($C807="","",IF($D807="Gider",$H807,$E807))</f>
        <v/>
      </c>
      <c r="O807" s="226">
        <f>IF($C807="","",DATE(YEAR($C807),MONTH($C807),1))</f>
        <v/>
      </c>
      <c r="P807" s="113">
        <f>IF($C807="","",IF(AND($D807="Gelir",$L807&lt;&gt;"",$T807=""),"TANIMSIZ BORÇLU",IF($T807&lt;&gt;"",IF(OR($E807="",$G807&lt;=0),"EKSİK",IF($I807="Evet","TAHAKKUK NAKİT OLAMAZ",IF($C807&gt;TODAY(),"İLERİ TARİH","TAHAKKUK"))),IF(AND($D807&lt;&gt;"",$E807&lt;&gt;"",$G807&gt;0,$H807&lt;&gt;"",$I807&lt;&gt;""),IF($C807&gt;TODAY(),"İLERİ TARİH",IF(COUNTIF($W$7:$W$1206,$W807)&gt;1,"MÜKERRER?",IF($AD807&gt;0,"KAPALI DÖNEM",IF($I807="Hayır","ÖDENECEK","UYGUN")))),"EKSİK"))))</f>
        <v/>
      </c>
      <c r="Q807" s="6" t="n"/>
      <c r="R807" s="6" t="n"/>
      <c r="S807" s="3">
        <f>IF($L807="","",UPPER(SUBSTITUTE(SUBSTITUTE(SUBSTITUTE(SUBSTITUTE(SUBSTITUTE(SUBSTITUTE(SUBSTITUTE(SUBSTITUTE(SUBSTITUTE(SUBSTITUTE(SUBSTITUTE(SUBSTITUTE(SUBSTITUTE(SUBSTITUTE(SUBSTITUTE(SUBSTITUTE(SUBSTITUTE(SUBSTITUTE(TRIM($L807),"'",""),"İ","I"),"ı","I"),"i","I"),"Ş","S"),"ş","S"),"Ğ","G"),"ğ","G"),"Ü","U"),"ü","U"),"Ö","O"),"ö","O"),"Ç","C"),"ç","C"),".",""),",","")," ",""),"-","")))</f>
        <v/>
      </c>
      <c r="T807" s="3">
        <f>IF(OR($C807="",$D807&lt;&gt;"Gelir",$L807=""),"",IFERROR(INDEX(MUSTERILER!$B$7:$B$106,MATCH($S807,MUSTERILER!$T$7:$T$106,0)),""))</f>
        <v/>
      </c>
      <c r="U807" s="3">
        <f>IF($T807="","",$T807&amp;"|"&amp;COUNTIFS($T$7:$T807,$T807))</f>
        <v/>
      </c>
      <c r="V807" s="3">
        <f>IF($T807="",0,1)</f>
        <v/>
      </c>
      <c r="W807" s="3">
        <f>IF($C807="","",$D807&amp;"|"&amp;$E807&amp;"|"&amp;TEXT($C807,"0")&amp;"|"&amp;TEXT($G807,"0")&amp;"|"&amp;$J807)</f>
        <v/>
      </c>
      <c r="X807" s="3" t="n"/>
      <c r="Y807" s="3" t="n"/>
      <c r="Z807" s="3" t="n"/>
      <c r="AA807" s="3" t="n"/>
      <c r="AB807" s="3" t="n"/>
      <c r="AC807" s="3" t="n"/>
      <c r="AD807" s="3">
        <f>IF($C807="",0,SUMPRODUCT((AY_SONU!$O$7:$O$42="Evet")*(AY_SONU!$B$7:$B$42=DATE(YEAR($C807),MONTH($C807),1))))</f>
        <v/>
      </c>
    </row>
    <row r="808">
      <c r="A808" s="6" t="n"/>
      <c r="B808" s="113">
        <f>IF($C808="","","GG"&amp;TEXT(ROW()-6,"00000"))</f>
        <v/>
      </c>
      <c r="C808" s="220" t="n"/>
      <c r="D808" s="108" t="n"/>
      <c r="E808" s="109" t="n"/>
      <c r="F808" s="109" t="n"/>
      <c r="G808" s="221" t="n"/>
      <c r="H808" s="108" t="n"/>
      <c r="I808" s="108" t="n"/>
      <c r="J808" s="109" t="n"/>
      <c r="K808" s="109" t="n"/>
      <c r="L808" s="108" t="n"/>
      <c r="M808" s="121">
        <f>IF($C808="","",IF($D808="Gider",$E808,IF($L808&lt;&gt;"",$L808,$H808)))</f>
        <v/>
      </c>
      <c r="N808" s="121">
        <f>IF($C808="","",IF($D808="Gider",$H808,$E808))</f>
        <v/>
      </c>
      <c r="O808" s="226">
        <f>IF($C808="","",DATE(YEAR($C808),MONTH($C808),1))</f>
        <v/>
      </c>
      <c r="P808" s="113">
        <f>IF($C808="","",IF(AND($D808="Gelir",$L808&lt;&gt;"",$T808=""),"TANIMSIZ BORÇLU",IF($T808&lt;&gt;"",IF(OR($E808="",$G808&lt;=0),"EKSİK",IF($I808="Evet","TAHAKKUK NAKİT OLAMAZ",IF($C808&gt;TODAY(),"İLERİ TARİH","TAHAKKUK"))),IF(AND($D808&lt;&gt;"",$E808&lt;&gt;"",$G808&gt;0,$H808&lt;&gt;"",$I808&lt;&gt;""),IF($C808&gt;TODAY(),"İLERİ TARİH",IF(COUNTIF($W$7:$W$1206,$W808)&gt;1,"MÜKERRER?",IF($AD808&gt;0,"KAPALI DÖNEM",IF($I808="Hayır","ÖDENECEK","UYGUN")))),"EKSİK"))))</f>
        <v/>
      </c>
      <c r="Q808" s="6" t="n"/>
      <c r="R808" s="6" t="n"/>
      <c r="S808" s="3">
        <f>IF($L808="","",UPPER(SUBSTITUTE(SUBSTITUTE(SUBSTITUTE(SUBSTITUTE(SUBSTITUTE(SUBSTITUTE(SUBSTITUTE(SUBSTITUTE(SUBSTITUTE(SUBSTITUTE(SUBSTITUTE(SUBSTITUTE(SUBSTITUTE(SUBSTITUTE(SUBSTITUTE(SUBSTITUTE(SUBSTITUTE(SUBSTITUTE(TRIM($L808),"'",""),"İ","I"),"ı","I"),"i","I"),"Ş","S"),"ş","S"),"Ğ","G"),"ğ","G"),"Ü","U"),"ü","U"),"Ö","O"),"ö","O"),"Ç","C"),"ç","C"),".",""),",","")," ",""),"-","")))</f>
        <v/>
      </c>
      <c r="T808" s="3">
        <f>IF(OR($C808="",$D808&lt;&gt;"Gelir",$L808=""),"",IFERROR(INDEX(MUSTERILER!$B$7:$B$106,MATCH($S808,MUSTERILER!$T$7:$T$106,0)),""))</f>
        <v/>
      </c>
      <c r="U808" s="3">
        <f>IF($T808="","",$T808&amp;"|"&amp;COUNTIFS($T$7:$T808,$T808))</f>
        <v/>
      </c>
      <c r="V808" s="3">
        <f>IF($T808="",0,1)</f>
        <v/>
      </c>
      <c r="W808" s="3">
        <f>IF($C808="","",$D808&amp;"|"&amp;$E808&amp;"|"&amp;TEXT($C808,"0")&amp;"|"&amp;TEXT($G808,"0")&amp;"|"&amp;$J808)</f>
        <v/>
      </c>
      <c r="X808" s="3" t="n"/>
      <c r="Y808" s="3" t="n"/>
      <c r="Z808" s="3" t="n"/>
      <c r="AA808" s="3" t="n"/>
      <c r="AB808" s="3" t="n"/>
      <c r="AC808" s="3" t="n"/>
      <c r="AD808" s="3">
        <f>IF($C808="",0,SUMPRODUCT((AY_SONU!$O$7:$O$42="Evet")*(AY_SONU!$B$7:$B$42=DATE(YEAR($C808),MONTH($C808),1))))</f>
        <v/>
      </c>
    </row>
    <row r="809">
      <c r="A809" s="6" t="n"/>
      <c r="B809" s="113">
        <f>IF($C809="","","GG"&amp;TEXT(ROW()-6,"00000"))</f>
        <v/>
      </c>
      <c r="C809" s="220" t="n"/>
      <c r="D809" s="108" t="n"/>
      <c r="E809" s="109" t="n"/>
      <c r="F809" s="109" t="n"/>
      <c r="G809" s="221" t="n"/>
      <c r="H809" s="108" t="n"/>
      <c r="I809" s="108" t="n"/>
      <c r="J809" s="109" t="n"/>
      <c r="K809" s="109" t="n"/>
      <c r="L809" s="108" t="n"/>
      <c r="M809" s="121">
        <f>IF($C809="","",IF($D809="Gider",$E809,IF($L809&lt;&gt;"",$L809,$H809)))</f>
        <v/>
      </c>
      <c r="N809" s="121">
        <f>IF($C809="","",IF($D809="Gider",$H809,$E809))</f>
        <v/>
      </c>
      <c r="O809" s="226">
        <f>IF($C809="","",DATE(YEAR($C809),MONTH($C809),1))</f>
        <v/>
      </c>
      <c r="P809" s="113">
        <f>IF($C809="","",IF(AND($D809="Gelir",$L809&lt;&gt;"",$T809=""),"TANIMSIZ BORÇLU",IF($T809&lt;&gt;"",IF(OR($E809="",$G809&lt;=0),"EKSİK",IF($I809="Evet","TAHAKKUK NAKİT OLAMAZ",IF($C809&gt;TODAY(),"İLERİ TARİH","TAHAKKUK"))),IF(AND($D809&lt;&gt;"",$E809&lt;&gt;"",$G809&gt;0,$H809&lt;&gt;"",$I809&lt;&gt;""),IF($C809&gt;TODAY(),"İLERİ TARİH",IF(COUNTIF($W$7:$W$1206,$W809)&gt;1,"MÜKERRER?",IF($AD809&gt;0,"KAPALI DÖNEM",IF($I809="Hayır","ÖDENECEK","UYGUN")))),"EKSİK"))))</f>
        <v/>
      </c>
      <c r="Q809" s="6" t="n"/>
      <c r="R809" s="6" t="n"/>
      <c r="S809" s="3">
        <f>IF($L809="","",UPPER(SUBSTITUTE(SUBSTITUTE(SUBSTITUTE(SUBSTITUTE(SUBSTITUTE(SUBSTITUTE(SUBSTITUTE(SUBSTITUTE(SUBSTITUTE(SUBSTITUTE(SUBSTITUTE(SUBSTITUTE(SUBSTITUTE(SUBSTITUTE(SUBSTITUTE(SUBSTITUTE(SUBSTITUTE(SUBSTITUTE(TRIM($L809),"'",""),"İ","I"),"ı","I"),"i","I"),"Ş","S"),"ş","S"),"Ğ","G"),"ğ","G"),"Ü","U"),"ü","U"),"Ö","O"),"ö","O"),"Ç","C"),"ç","C"),".",""),",","")," ",""),"-","")))</f>
        <v/>
      </c>
      <c r="T809" s="3">
        <f>IF(OR($C809="",$D809&lt;&gt;"Gelir",$L809=""),"",IFERROR(INDEX(MUSTERILER!$B$7:$B$106,MATCH($S809,MUSTERILER!$T$7:$T$106,0)),""))</f>
        <v/>
      </c>
      <c r="U809" s="3">
        <f>IF($T809="","",$T809&amp;"|"&amp;COUNTIFS($T$7:$T809,$T809))</f>
        <v/>
      </c>
      <c r="V809" s="3">
        <f>IF($T809="",0,1)</f>
        <v/>
      </c>
      <c r="W809" s="3">
        <f>IF($C809="","",$D809&amp;"|"&amp;$E809&amp;"|"&amp;TEXT($C809,"0")&amp;"|"&amp;TEXT($G809,"0")&amp;"|"&amp;$J809)</f>
        <v/>
      </c>
      <c r="X809" s="3" t="n"/>
      <c r="Y809" s="3" t="n"/>
      <c r="Z809" s="3" t="n"/>
      <c r="AA809" s="3" t="n"/>
      <c r="AB809" s="3" t="n"/>
      <c r="AC809" s="3" t="n"/>
      <c r="AD809" s="3">
        <f>IF($C809="",0,SUMPRODUCT((AY_SONU!$O$7:$O$42="Evet")*(AY_SONU!$B$7:$B$42=DATE(YEAR($C809),MONTH($C809),1))))</f>
        <v/>
      </c>
    </row>
    <row r="810">
      <c r="A810" s="6" t="n"/>
      <c r="B810" s="113">
        <f>IF($C810="","","GG"&amp;TEXT(ROW()-6,"00000"))</f>
        <v/>
      </c>
      <c r="C810" s="220" t="n"/>
      <c r="D810" s="108" t="n"/>
      <c r="E810" s="109" t="n"/>
      <c r="F810" s="109" t="n"/>
      <c r="G810" s="221" t="n"/>
      <c r="H810" s="108" t="n"/>
      <c r="I810" s="108" t="n"/>
      <c r="J810" s="109" t="n"/>
      <c r="K810" s="109" t="n"/>
      <c r="L810" s="108" t="n"/>
      <c r="M810" s="121">
        <f>IF($C810="","",IF($D810="Gider",$E810,IF($L810&lt;&gt;"",$L810,$H810)))</f>
        <v/>
      </c>
      <c r="N810" s="121">
        <f>IF($C810="","",IF($D810="Gider",$H810,$E810))</f>
        <v/>
      </c>
      <c r="O810" s="226">
        <f>IF($C810="","",DATE(YEAR($C810),MONTH($C810),1))</f>
        <v/>
      </c>
      <c r="P810" s="113">
        <f>IF($C810="","",IF(AND($D810="Gelir",$L810&lt;&gt;"",$T810=""),"TANIMSIZ BORÇLU",IF($T810&lt;&gt;"",IF(OR($E810="",$G810&lt;=0),"EKSİK",IF($I810="Evet","TAHAKKUK NAKİT OLAMAZ",IF($C810&gt;TODAY(),"İLERİ TARİH","TAHAKKUK"))),IF(AND($D810&lt;&gt;"",$E810&lt;&gt;"",$G810&gt;0,$H810&lt;&gt;"",$I810&lt;&gt;""),IF($C810&gt;TODAY(),"İLERİ TARİH",IF(COUNTIF($W$7:$W$1206,$W810)&gt;1,"MÜKERRER?",IF($AD810&gt;0,"KAPALI DÖNEM",IF($I810="Hayır","ÖDENECEK","UYGUN")))),"EKSİK"))))</f>
        <v/>
      </c>
      <c r="Q810" s="6" t="n"/>
      <c r="R810" s="6" t="n"/>
      <c r="S810" s="3">
        <f>IF($L810="","",UPPER(SUBSTITUTE(SUBSTITUTE(SUBSTITUTE(SUBSTITUTE(SUBSTITUTE(SUBSTITUTE(SUBSTITUTE(SUBSTITUTE(SUBSTITUTE(SUBSTITUTE(SUBSTITUTE(SUBSTITUTE(SUBSTITUTE(SUBSTITUTE(SUBSTITUTE(SUBSTITUTE(SUBSTITUTE(SUBSTITUTE(TRIM($L810),"'",""),"İ","I"),"ı","I"),"i","I"),"Ş","S"),"ş","S"),"Ğ","G"),"ğ","G"),"Ü","U"),"ü","U"),"Ö","O"),"ö","O"),"Ç","C"),"ç","C"),".",""),",","")," ",""),"-","")))</f>
        <v/>
      </c>
      <c r="T810" s="3">
        <f>IF(OR($C810="",$D810&lt;&gt;"Gelir",$L810=""),"",IFERROR(INDEX(MUSTERILER!$B$7:$B$106,MATCH($S810,MUSTERILER!$T$7:$T$106,0)),""))</f>
        <v/>
      </c>
      <c r="U810" s="3">
        <f>IF($T810="","",$T810&amp;"|"&amp;COUNTIFS($T$7:$T810,$T810))</f>
        <v/>
      </c>
      <c r="V810" s="3">
        <f>IF($T810="",0,1)</f>
        <v/>
      </c>
      <c r="W810" s="3">
        <f>IF($C810="","",$D810&amp;"|"&amp;$E810&amp;"|"&amp;TEXT($C810,"0")&amp;"|"&amp;TEXT($G810,"0")&amp;"|"&amp;$J810)</f>
        <v/>
      </c>
      <c r="X810" s="3" t="n"/>
      <c r="Y810" s="3" t="n"/>
      <c r="Z810" s="3" t="n"/>
      <c r="AA810" s="3" t="n"/>
      <c r="AB810" s="3" t="n"/>
      <c r="AC810" s="3" t="n"/>
      <c r="AD810" s="3">
        <f>IF($C810="",0,SUMPRODUCT((AY_SONU!$O$7:$O$42="Evet")*(AY_SONU!$B$7:$B$42=DATE(YEAR($C810),MONTH($C810),1))))</f>
        <v/>
      </c>
    </row>
    <row r="811">
      <c r="A811" s="6" t="n"/>
      <c r="B811" s="113">
        <f>IF($C811="","","GG"&amp;TEXT(ROW()-6,"00000"))</f>
        <v/>
      </c>
      <c r="C811" s="220" t="n"/>
      <c r="D811" s="108" t="n"/>
      <c r="E811" s="109" t="n"/>
      <c r="F811" s="109" t="n"/>
      <c r="G811" s="221" t="n"/>
      <c r="H811" s="108" t="n"/>
      <c r="I811" s="108" t="n"/>
      <c r="J811" s="109" t="n"/>
      <c r="K811" s="109" t="n"/>
      <c r="L811" s="108" t="n"/>
      <c r="M811" s="121">
        <f>IF($C811="","",IF($D811="Gider",$E811,IF($L811&lt;&gt;"",$L811,$H811)))</f>
        <v/>
      </c>
      <c r="N811" s="121">
        <f>IF($C811="","",IF($D811="Gider",$H811,$E811))</f>
        <v/>
      </c>
      <c r="O811" s="226">
        <f>IF($C811="","",DATE(YEAR($C811),MONTH($C811),1))</f>
        <v/>
      </c>
      <c r="P811" s="113">
        <f>IF($C811="","",IF(AND($D811="Gelir",$L811&lt;&gt;"",$T811=""),"TANIMSIZ BORÇLU",IF($T811&lt;&gt;"",IF(OR($E811="",$G811&lt;=0),"EKSİK",IF($I811="Evet","TAHAKKUK NAKİT OLAMAZ",IF($C811&gt;TODAY(),"İLERİ TARİH","TAHAKKUK"))),IF(AND($D811&lt;&gt;"",$E811&lt;&gt;"",$G811&gt;0,$H811&lt;&gt;"",$I811&lt;&gt;""),IF($C811&gt;TODAY(),"İLERİ TARİH",IF(COUNTIF($W$7:$W$1206,$W811)&gt;1,"MÜKERRER?",IF($AD811&gt;0,"KAPALI DÖNEM",IF($I811="Hayır","ÖDENECEK","UYGUN")))),"EKSİK"))))</f>
        <v/>
      </c>
      <c r="Q811" s="6" t="n"/>
      <c r="R811" s="6" t="n"/>
      <c r="S811" s="3">
        <f>IF($L811="","",UPPER(SUBSTITUTE(SUBSTITUTE(SUBSTITUTE(SUBSTITUTE(SUBSTITUTE(SUBSTITUTE(SUBSTITUTE(SUBSTITUTE(SUBSTITUTE(SUBSTITUTE(SUBSTITUTE(SUBSTITUTE(SUBSTITUTE(SUBSTITUTE(SUBSTITUTE(SUBSTITUTE(SUBSTITUTE(SUBSTITUTE(TRIM($L811),"'",""),"İ","I"),"ı","I"),"i","I"),"Ş","S"),"ş","S"),"Ğ","G"),"ğ","G"),"Ü","U"),"ü","U"),"Ö","O"),"ö","O"),"Ç","C"),"ç","C"),".",""),",","")," ",""),"-","")))</f>
        <v/>
      </c>
      <c r="T811" s="3">
        <f>IF(OR($C811="",$D811&lt;&gt;"Gelir",$L811=""),"",IFERROR(INDEX(MUSTERILER!$B$7:$B$106,MATCH($S811,MUSTERILER!$T$7:$T$106,0)),""))</f>
        <v/>
      </c>
      <c r="U811" s="3">
        <f>IF($T811="","",$T811&amp;"|"&amp;COUNTIFS($T$7:$T811,$T811))</f>
        <v/>
      </c>
      <c r="V811" s="3">
        <f>IF($T811="",0,1)</f>
        <v/>
      </c>
      <c r="W811" s="3">
        <f>IF($C811="","",$D811&amp;"|"&amp;$E811&amp;"|"&amp;TEXT($C811,"0")&amp;"|"&amp;TEXT($G811,"0")&amp;"|"&amp;$J811)</f>
        <v/>
      </c>
      <c r="X811" s="3" t="n"/>
      <c r="Y811" s="3" t="n"/>
      <c r="Z811" s="3" t="n"/>
      <c r="AA811" s="3" t="n"/>
      <c r="AB811" s="3" t="n"/>
      <c r="AC811" s="3" t="n"/>
      <c r="AD811" s="3">
        <f>IF($C811="",0,SUMPRODUCT((AY_SONU!$O$7:$O$42="Evet")*(AY_SONU!$B$7:$B$42=DATE(YEAR($C811),MONTH($C811),1))))</f>
        <v/>
      </c>
    </row>
    <row r="812">
      <c r="A812" s="6" t="n"/>
      <c r="B812" s="113">
        <f>IF($C812="","","GG"&amp;TEXT(ROW()-6,"00000"))</f>
        <v/>
      </c>
      <c r="C812" s="220" t="n"/>
      <c r="D812" s="108" t="n"/>
      <c r="E812" s="109" t="n"/>
      <c r="F812" s="109" t="n"/>
      <c r="G812" s="221" t="n"/>
      <c r="H812" s="108" t="n"/>
      <c r="I812" s="108" t="n"/>
      <c r="J812" s="109" t="n"/>
      <c r="K812" s="109" t="n"/>
      <c r="L812" s="108" t="n"/>
      <c r="M812" s="121">
        <f>IF($C812="","",IF($D812="Gider",$E812,IF($L812&lt;&gt;"",$L812,$H812)))</f>
        <v/>
      </c>
      <c r="N812" s="121">
        <f>IF($C812="","",IF($D812="Gider",$H812,$E812))</f>
        <v/>
      </c>
      <c r="O812" s="226">
        <f>IF($C812="","",DATE(YEAR($C812),MONTH($C812),1))</f>
        <v/>
      </c>
      <c r="P812" s="113">
        <f>IF($C812="","",IF(AND($D812="Gelir",$L812&lt;&gt;"",$T812=""),"TANIMSIZ BORÇLU",IF($T812&lt;&gt;"",IF(OR($E812="",$G812&lt;=0),"EKSİK",IF($I812="Evet","TAHAKKUK NAKİT OLAMAZ",IF($C812&gt;TODAY(),"İLERİ TARİH","TAHAKKUK"))),IF(AND($D812&lt;&gt;"",$E812&lt;&gt;"",$G812&gt;0,$H812&lt;&gt;"",$I812&lt;&gt;""),IF($C812&gt;TODAY(),"İLERİ TARİH",IF(COUNTIF($W$7:$W$1206,$W812)&gt;1,"MÜKERRER?",IF($AD812&gt;0,"KAPALI DÖNEM",IF($I812="Hayır","ÖDENECEK","UYGUN")))),"EKSİK"))))</f>
        <v/>
      </c>
      <c r="Q812" s="6" t="n"/>
      <c r="R812" s="6" t="n"/>
      <c r="S812" s="3">
        <f>IF($L812="","",UPPER(SUBSTITUTE(SUBSTITUTE(SUBSTITUTE(SUBSTITUTE(SUBSTITUTE(SUBSTITUTE(SUBSTITUTE(SUBSTITUTE(SUBSTITUTE(SUBSTITUTE(SUBSTITUTE(SUBSTITUTE(SUBSTITUTE(SUBSTITUTE(SUBSTITUTE(SUBSTITUTE(SUBSTITUTE(SUBSTITUTE(TRIM($L812),"'",""),"İ","I"),"ı","I"),"i","I"),"Ş","S"),"ş","S"),"Ğ","G"),"ğ","G"),"Ü","U"),"ü","U"),"Ö","O"),"ö","O"),"Ç","C"),"ç","C"),".",""),",","")," ",""),"-","")))</f>
        <v/>
      </c>
      <c r="T812" s="3">
        <f>IF(OR($C812="",$D812&lt;&gt;"Gelir",$L812=""),"",IFERROR(INDEX(MUSTERILER!$B$7:$B$106,MATCH($S812,MUSTERILER!$T$7:$T$106,0)),""))</f>
        <v/>
      </c>
      <c r="U812" s="3">
        <f>IF($T812="","",$T812&amp;"|"&amp;COUNTIFS($T$7:$T812,$T812))</f>
        <v/>
      </c>
      <c r="V812" s="3">
        <f>IF($T812="",0,1)</f>
        <v/>
      </c>
      <c r="W812" s="3">
        <f>IF($C812="","",$D812&amp;"|"&amp;$E812&amp;"|"&amp;TEXT($C812,"0")&amp;"|"&amp;TEXT($G812,"0")&amp;"|"&amp;$J812)</f>
        <v/>
      </c>
      <c r="X812" s="3" t="n"/>
      <c r="Y812" s="3" t="n"/>
      <c r="Z812" s="3" t="n"/>
      <c r="AA812" s="3" t="n"/>
      <c r="AB812" s="3" t="n"/>
      <c r="AC812" s="3" t="n"/>
      <c r="AD812" s="3">
        <f>IF($C812="",0,SUMPRODUCT((AY_SONU!$O$7:$O$42="Evet")*(AY_SONU!$B$7:$B$42=DATE(YEAR($C812),MONTH($C812),1))))</f>
        <v/>
      </c>
    </row>
    <row r="813">
      <c r="A813" s="6" t="n"/>
      <c r="B813" s="113">
        <f>IF($C813="","","GG"&amp;TEXT(ROW()-6,"00000"))</f>
        <v/>
      </c>
      <c r="C813" s="220" t="n"/>
      <c r="D813" s="108" t="n"/>
      <c r="E813" s="109" t="n"/>
      <c r="F813" s="109" t="n"/>
      <c r="G813" s="221" t="n"/>
      <c r="H813" s="108" t="n"/>
      <c r="I813" s="108" t="n"/>
      <c r="J813" s="109" t="n"/>
      <c r="K813" s="109" t="n"/>
      <c r="L813" s="108" t="n"/>
      <c r="M813" s="121">
        <f>IF($C813="","",IF($D813="Gider",$E813,IF($L813&lt;&gt;"",$L813,$H813)))</f>
        <v/>
      </c>
      <c r="N813" s="121">
        <f>IF($C813="","",IF($D813="Gider",$H813,$E813))</f>
        <v/>
      </c>
      <c r="O813" s="226">
        <f>IF($C813="","",DATE(YEAR($C813),MONTH($C813),1))</f>
        <v/>
      </c>
      <c r="P813" s="113">
        <f>IF($C813="","",IF(AND($D813="Gelir",$L813&lt;&gt;"",$T813=""),"TANIMSIZ BORÇLU",IF($T813&lt;&gt;"",IF(OR($E813="",$G813&lt;=0),"EKSİK",IF($I813="Evet","TAHAKKUK NAKİT OLAMAZ",IF($C813&gt;TODAY(),"İLERİ TARİH","TAHAKKUK"))),IF(AND($D813&lt;&gt;"",$E813&lt;&gt;"",$G813&gt;0,$H813&lt;&gt;"",$I813&lt;&gt;""),IF($C813&gt;TODAY(),"İLERİ TARİH",IF(COUNTIF($W$7:$W$1206,$W813)&gt;1,"MÜKERRER?",IF($AD813&gt;0,"KAPALI DÖNEM",IF($I813="Hayır","ÖDENECEK","UYGUN")))),"EKSİK"))))</f>
        <v/>
      </c>
      <c r="Q813" s="6" t="n"/>
      <c r="R813" s="6" t="n"/>
      <c r="S813" s="3">
        <f>IF($L813="","",UPPER(SUBSTITUTE(SUBSTITUTE(SUBSTITUTE(SUBSTITUTE(SUBSTITUTE(SUBSTITUTE(SUBSTITUTE(SUBSTITUTE(SUBSTITUTE(SUBSTITUTE(SUBSTITUTE(SUBSTITUTE(SUBSTITUTE(SUBSTITUTE(SUBSTITUTE(SUBSTITUTE(SUBSTITUTE(SUBSTITUTE(TRIM($L813),"'",""),"İ","I"),"ı","I"),"i","I"),"Ş","S"),"ş","S"),"Ğ","G"),"ğ","G"),"Ü","U"),"ü","U"),"Ö","O"),"ö","O"),"Ç","C"),"ç","C"),".",""),",","")," ",""),"-","")))</f>
        <v/>
      </c>
      <c r="T813" s="3">
        <f>IF(OR($C813="",$D813&lt;&gt;"Gelir",$L813=""),"",IFERROR(INDEX(MUSTERILER!$B$7:$B$106,MATCH($S813,MUSTERILER!$T$7:$T$106,0)),""))</f>
        <v/>
      </c>
      <c r="U813" s="3">
        <f>IF($T813="","",$T813&amp;"|"&amp;COUNTIFS($T$7:$T813,$T813))</f>
        <v/>
      </c>
      <c r="V813" s="3">
        <f>IF($T813="",0,1)</f>
        <v/>
      </c>
      <c r="W813" s="3">
        <f>IF($C813="","",$D813&amp;"|"&amp;$E813&amp;"|"&amp;TEXT($C813,"0")&amp;"|"&amp;TEXT($G813,"0")&amp;"|"&amp;$J813)</f>
        <v/>
      </c>
      <c r="X813" s="3" t="n"/>
      <c r="Y813" s="3" t="n"/>
      <c r="Z813" s="3" t="n"/>
      <c r="AA813" s="3" t="n"/>
      <c r="AB813" s="3" t="n"/>
      <c r="AC813" s="3" t="n"/>
      <c r="AD813" s="3">
        <f>IF($C813="",0,SUMPRODUCT((AY_SONU!$O$7:$O$42="Evet")*(AY_SONU!$B$7:$B$42=DATE(YEAR($C813),MONTH($C813),1))))</f>
        <v/>
      </c>
    </row>
    <row r="814">
      <c r="A814" s="6" t="n"/>
      <c r="B814" s="113">
        <f>IF($C814="","","GG"&amp;TEXT(ROW()-6,"00000"))</f>
        <v/>
      </c>
      <c r="C814" s="220" t="n"/>
      <c r="D814" s="108" t="n"/>
      <c r="E814" s="109" t="n"/>
      <c r="F814" s="109" t="n"/>
      <c r="G814" s="221" t="n"/>
      <c r="H814" s="108" t="n"/>
      <c r="I814" s="108" t="n"/>
      <c r="J814" s="109" t="n"/>
      <c r="K814" s="109" t="n"/>
      <c r="L814" s="108" t="n"/>
      <c r="M814" s="121">
        <f>IF($C814="","",IF($D814="Gider",$E814,IF($L814&lt;&gt;"",$L814,$H814)))</f>
        <v/>
      </c>
      <c r="N814" s="121">
        <f>IF($C814="","",IF($D814="Gider",$H814,$E814))</f>
        <v/>
      </c>
      <c r="O814" s="226">
        <f>IF($C814="","",DATE(YEAR($C814),MONTH($C814),1))</f>
        <v/>
      </c>
      <c r="P814" s="113">
        <f>IF($C814="","",IF(AND($D814="Gelir",$L814&lt;&gt;"",$T814=""),"TANIMSIZ BORÇLU",IF($T814&lt;&gt;"",IF(OR($E814="",$G814&lt;=0),"EKSİK",IF($I814="Evet","TAHAKKUK NAKİT OLAMAZ",IF($C814&gt;TODAY(),"İLERİ TARİH","TAHAKKUK"))),IF(AND($D814&lt;&gt;"",$E814&lt;&gt;"",$G814&gt;0,$H814&lt;&gt;"",$I814&lt;&gt;""),IF($C814&gt;TODAY(),"İLERİ TARİH",IF(COUNTIF($W$7:$W$1206,$W814)&gt;1,"MÜKERRER?",IF($AD814&gt;0,"KAPALI DÖNEM",IF($I814="Hayır","ÖDENECEK","UYGUN")))),"EKSİK"))))</f>
        <v/>
      </c>
      <c r="Q814" s="6" t="n"/>
      <c r="R814" s="6" t="n"/>
      <c r="S814" s="3">
        <f>IF($L814="","",UPPER(SUBSTITUTE(SUBSTITUTE(SUBSTITUTE(SUBSTITUTE(SUBSTITUTE(SUBSTITUTE(SUBSTITUTE(SUBSTITUTE(SUBSTITUTE(SUBSTITUTE(SUBSTITUTE(SUBSTITUTE(SUBSTITUTE(SUBSTITUTE(SUBSTITUTE(SUBSTITUTE(SUBSTITUTE(SUBSTITUTE(TRIM($L814),"'",""),"İ","I"),"ı","I"),"i","I"),"Ş","S"),"ş","S"),"Ğ","G"),"ğ","G"),"Ü","U"),"ü","U"),"Ö","O"),"ö","O"),"Ç","C"),"ç","C"),".",""),",","")," ",""),"-","")))</f>
        <v/>
      </c>
      <c r="T814" s="3">
        <f>IF(OR($C814="",$D814&lt;&gt;"Gelir",$L814=""),"",IFERROR(INDEX(MUSTERILER!$B$7:$B$106,MATCH($S814,MUSTERILER!$T$7:$T$106,0)),""))</f>
        <v/>
      </c>
      <c r="U814" s="3">
        <f>IF($T814="","",$T814&amp;"|"&amp;COUNTIFS($T$7:$T814,$T814))</f>
        <v/>
      </c>
      <c r="V814" s="3">
        <f>IF($T814="",0,1)</f>
        <v/>
      </c>
      <c r="W814" s="3">
        <f>IF($C814="","",$D814&amp;"|"&amp;$E814&amp;"|"&amp;TEXT($C814,"0")&amp;"|"&amp;TEXT($G814,"0")&amp;"|"&amp;$J814)</f>
        <v/>
      </c>
      <c r="X814" s="3" t="n"/>
      <c r="Y814" s="3" t="n"/>
      <c r="Z814" s="3" t="n"/>
      <c r="AA814" s="3" t="n"/>
      <c r="AB814" s="3" t="n"/>
      <c r="AC814" s="3" t="n"/>
      <c r="AD814" s="3">
        <f>IF($C814="",0,SUMPRODUCT((AY_SONU!$O$7:$O$42="Evet")*(AY_SONU!$B$7:$B$42=DATE(YEAR($C814),MONTH($C814),1))))</f>
        <v/>
      </c>
    </row>
    <row r="815">
      <c r="A815" s="6" t="n"/>
      <c r="B815" s="113">
        <f>IF($C815="","","GG"&amp;TEXT(ROW()-6,"00000"))</f>
        <v/>
      </c>
      <c r="C815" s="220" t="n"/>
      <c r="D815" s="108" t="n"/>
      <c r="E815" s="109" t="n"/>
      <c r="F815" s="109" t="n"/>
      <c r="G815" s="221" t="n"/>
      <c r="H815" s="108" t="n"/>
      <c r="I815" s="108" t="n"/>
      <c r="J815" s="109" t="n"/>
      <c r="K815" s="109" t="n"/>
      <c r="L815" s="108" t="n"/>
      <c r="M815" s="121">
        <f>IF($C815="","",IF($D815="Gider",$E815,IF($L815&lt;&gt;"",$L815,$H815)))</f>
        <v/>
      </c>
      <c r="N815" s="121">
        <f>IF($C815="","",IF($D815="Gider",$H815,$E815))</f>
        <v/>
      </c>
      <c r="O815" s="226">
        <f>IF($C815="","",DATE(YEAR($C815),MONTH($C815),1))</f>
        <v/>
      </c>
      <c r="P815" s="113">
        <f>IF($C815="","",IF(AND($D815="Gelir",$L815&lt;&gt;"",$T815=""),"TANIMSIZ BORÇLU",IF($T815&lt;&gt;"",IF(OR($E815="",$G815&lt;=0),"EKSİK",IF($I815="Evet","TAHAKKUK NAKİT OLAMAZ",IF($C815&gt;TODAY(),"İLERİ TARİH","TAHAKKUK"))),IF(AND($D815&lt;&gt;"",$E815&lt;&gt;"",$G815&gt;0,$H815&lt;&gt;"",$I815&lt;&gt;""),IF($C815&gt;TODAY(),"İLERİ TARİH",IF(COUNTIF($W$7:$W$1206,$W815)&gt;1,"MÜKERRER?",IF($AD815&gt;0,"KAPALI DÖNEM",IF($I815="Hayır","ÖDENECEK","UYGUN")))),"EKSİK"))))</f>
        <v/>
      </c>
      <c r="Q815" s="6" t="n"/>
      <c r="R815" s="6" t="n"/>
      <c r="S815" s="3">
        <f>IF($L815="","",UPPER(SUBSTITUTE(SUBSTITUTE(SUBSTITUTE(SUBSTITUTE(SUBSTITUTE(SUBSTITUTE(SUBSTITUTE(SUBSTITUTE(SUBSTITUTE(SUBSTITUTE(SUBSTITUTE(SUBSTITUTE(SUBSTITUTE(SUBSTITUTE(SUBSTITUTE(SUBSTITUTE(SUBSTITUTE(SUBSTITUTE(TRIM($L815),"'",""),"İ","I"),"ı","I"),"i","I"),"Ş","S"),"ş","S"),"Ğ","G"),"ğ","G"),"Ü","U"),"ü","U"),"Ö","O"),"ö","O"),"Ç","C"),"ç","C"),".",""),",","")," ",""),"-","")))</f>
        <v/>
      </c>
      <c r="T815" s="3">
        <f>IF(OR($C815="",$D815&lt;&gt;"Gelir",$L815=""),"",IFERROR(INDEX(MUSTERILER!$B$7:$B$106,MATCH($S815,MUSTERILER!$T$7:$T$106,0)),""))</f>
        <v/>
      </c>
      <c r="U815" s="3">
        <f>IF($T815="","",$T815&amp;"|"&amp;COUNTIFS($T$7:$T815,$T815))</f>
        <v/>
      </c>
      <c r="V815" s="3">
        <f>IF($T815="",0,1)</f>
        <v/>
      </c>
      <c r="W815" s="3">
        <f>IF($C815="","",$D815&amp;"|"&amp;$E815&amp;"|"&amp;TEXT($C815,"0")&amp;"|"&amp;TEXT($G815,"0")&amp;"|"&amp;$J815)</f>
        <v/>
      </c>
      <c r="X815" s="3" t="n"/>
      <c r="Y815" s="3" t="n"/>
      <c r="Z815" s="3" t="n"/>
      <c r="AA815" s="3" t="n"/>
      <c r="AB815" s="3" t="n"/>
      <c r="AC815" s="3" t="n"/>
      <c r="AD815" s="3">
        <f>IF($C815="",0,SUMPRODUCT((AY_SONU!$O$7:$O$42="Evet")*(AY_SONU!$B$7:$B$42=DATE(YEAR($C815),MONTH($C815),1))))</f>
        <v/>
      </c>
    </row>
    <row r="816">
      <c r="A816" s="6" t="n"/>
      <c r="B816" s="113">
        <f>IF($C816="","","GG"&amp;TEXT(ROW()-6,"00000"))</f>
        <v/>
      </c>
      <c r="C816" s="220" t="n"/>
      <c r="D816" s="108" t="n"/>
      <c r="E816" s="109" t="n"/>
      <c r="F816" s="109" t="n"/>
      <c r="G816" s="221" t="n"/>
      <c r="H816" s="108" t="n"/>
      <c r="I816" s="108" t="n"/>
      <c r="J816" s="109" t="n"/>
      <c r="K816" s="109" t="n"/>
      <c r="L816" s="108" t="n"/>
      <c r="M816" s="121">
        <f>IF($C816="","",IF($D816="Gider",$E816,IF($L816&lt;&gt;"",$L816,$H816)))</f>
        <v/>
      </c>
      <c r="N816" s="121">
        <f>IF($C816="","",IF($D816="Gider",$H816,$E816))</f>
        <v/>
      </c>
      <c r="O816" s="226">
        <f>IF($C816="","",DATE(YEAR($C816),MONTH($C816),1))</f>
        <v/>
      </c>
      <c r="P816" s="113">
        <f>IF($C816="","",IF(AND($D816="Gelir",$L816&lt;&gt;"",$T816=""),"TANIMSIZ BORÇLU",IF($T816&lt;&gt;"",IF(OR($E816="",$G816&lt;=0),"EKSİK",IF($I816="Evet","TAHAKKUK NAKİT OLAMAZ",IF($C816&gt;TODAY(),"İLERİ TARİH","TAHAKKUK"))),IF(AND($D816&lt;&gt;"",$E816&lt;&gt;"",$G816&gt;0,$H816&lt;&gt;"",$I816&lt;&gt;""),IF($C816&gt;TODAY(),"İLERİ TARİH",IF(COUNTIF($W$7:$W$1206,$W816)&gt;1,"MÜKERRER?",IF($AD816&gt;0,"KAPALI DÖNEM",IF($I816="Hayır","ÖDENECEK","UYGUN")))),"EKSİK"))))</f>
        <v/>
      </c>
      <c r="Q816" s="6" t="n"/>
      <c r="R816" s="6" t="n"/>
      <c r="S816" s="3">
        <f>IF($L816="","",UPPER(SUBSTITUTE(SUBSTITUTE(SUBSTITUTE(SUBSTITUTE(SUBSTITUTE(SUBSTITUTE(SUBSTITUTE(SUBSTITUTE(SUBSTITUTE(SUBSTITUTE(SUBSTITUTE(SUBSTITUTE(SUBSTITUTE(SUBSTITUTE(SUBSTITUTE(SUBSTITUTE(SUBSTITUTE(SUBSTITUTE(TRIM($L816),"'",""),"İ","I"),"ı","I"),"i","I"),"Ş","S"),"ş","S"),"Ğ","G"),"ğ","G"),"Ü","U"),"ü","U"),"Ö","O"),"ö","O"),"Ç","C"),"ç","C"),".",""),",","")," ",""),"-","")))</f>
        <v/>
      </c>
      <c r="T816" s="3">
        <f>IF(OR($C816="",$D816&lt;&gt;"Gelir",$L816=""),"",IFERROR(INDEX(MUSTERILER!$B$7:$B$106,MATCH($S816,MUSTERILER!$T$7:$T$106,0)),""))</f>
        <v/>
      </c>
      <c r="U816" s="3">
        <f>IF($T816="","",$T816&amp;"|"&amp;COUNTIFS($T$7:$T816,$T816))</f>
        <v/>
      </c>
      <c r="V816" s="3">
        <f>IF($T816="",0,1)</f>
        <v/>
      </c>
      <c r="W816" s="3">
        <f>IF($C816="","",$D816&amp;"|"&amp;$E816&amp;"|"&amp;TEXT($C816,"0")&amp;"|"&amp;TEXT($G816,"0")&amp;"|"&amp;$J816)</f>
        <v/>
      </c>
      <c r="X816" s="3" t="n"/>
      <c r="Y816" s="3" t="n"/>
      <c r="Z816" s="3" t="n"/>
      <c r="AA816" s="3" t="n"/>
      <c r="AB816" s="3" t="n"/>
      <c r="AC816" s="3" t="n"/>
      <c r="AD816" s="3">
        <f>IF($C816="",0,SUMPRODUCT((AY_SONU!$O$7:$O$42="Evet")*(AY_SONU!$B$7:$B$42=DATE(YEAR($C816),MONTH($C816),1))))</f>
        <v/>
      </c>
    </row>
    <row r="817">
      <c r="A817" s="6" t="n"/>
      <c r="B817" s="113">
        <f>IF($C817="","","GG"&amp;TEXT(ROW()-6,"00000"))</f>
        <v/>
      </c>
      <c r="C817" s="220" t="n"/>
      <c r="D817" s="108" t="n"/>
      <c r="E817" s="109" t="n"/>
      <c r="F817" s="109" t="n"/>
      <c r="G817" s="221" t="n"/>
      <c r="H817" s="108" t="n"/>
      <c r="I817" s="108" t="n"/>
      <c r="J817" s="109" t="n"/>
      <c r="K817" s="109" t="n"/>
      <c r="L817" s="108" t="n"/>
      <c r="M817" s="121">
        <f>IF($C817="","",IF($D817="Gider",$E817,IF($L817&lt;&gt;"",$L817,$H817)))</f>
        <v/>
      </c>
      <c r="N817" s="121">
        <f>IF($C817="","",IF($D817="Gider",$H817,$E817))</f>
        <v/>
      </c>
      <c r="O817" s="226">
        <f>IF($C817="","",DATE(YEAR($C817),MONTH($C817),1))</f>
        <v/>
      </c>
      <c r="P817" s="113">
        <f>IF($C817="","",IF(AND($D817="Gelir",$L817&lt;&gt;"",$T817=""),"TANIMSIZ BORÇLU",IF($T817&lt;&gt;"",IF(OR($E817="",$G817&lt;=0),"EKSİK",IF($I817="Evet","TAHAKKUK NAKİT OLAMAZ",IF($C817&gt;TODAY(),"İLERİ TARİH","TAHAKKUK"))),IF(AND($D817&lt;&gt;"",$E817&lt;&gt;"",$G817&gt;0,$H817&lt;&gt;"",$I817&lt;&gt;""),IF($C817&gt;TODAY(),"İLERİ TARİH",IF(COUNTIF($W$7:$W$1206,$W817)&gt;1,"MÜKERRER?",IF($AD817&gt;0,"KAPALI DÖNEM",IF($I817="Hayır","ÖDENECEK","UYGUN")))),"EKSİK"))))</f>
        <v/>
      </c>
      <c r="Q817" s="6" t="n"/>
      <c r="R817" s="6" t="n"/>
      <c r="S817" s="3">
        <f>IF($L817="","",UPPER(SUBSTITUTE(SUBSTITUTE(SUBSTITUTE(SUBSTITUTE(SUBSTITUTE(SUBSTITUTE(SUBSTITUTE(SUBSTITUTE(SUBSTITUTE(SUBSTITUTE(SUBSTITUTE(SUBSTITUTE(SUBSTITUTE(SUBSTITUTE(SUBSTITUTE(SUBSTITUTE(SUBSTITUTE(SUBSTITUTE(TRIM($L817),"'",""),"İ","I"),"ı","I"),"i","I"),"Ş","S"),"ş","S"),"Ğ","G"),"ğ","G"),"Ü","U"),"ü","U"),"Ö","O"),"ö","O"),"Ç","C"),"ç","C"),".",""),",","")," ",""),"-","")))</f>
        <v/>
      </c>
      <c r="T817" s="3">
        <f>IF(OR($C817="",$D817&lt;&gt;"Gelir",$L817=""),"",IFERROR(INDEX(MUSTERILER!$B$7:$B$106,MATCH($S817,MUSTERILER!$T$7:$T$106,0)),""))</f>
        <v/>
      </c>
      <c r="U817" s="3">
        <f>IF($T817="","",$T817&amp;"|"&amp;COUNTIFS($T$7:$T817,$T817))</f>
        <v/>
      </c>
      <c r="V817" s="3">
        <f>IF($T817="",0,1)</f>
        <v/>
      </c>
      <c r="W817" s="3">
        <f>IF($C817="","",$D817&amp;"|"&amp;$E817&amp;"|"&amp;TEXT($C817,"0")&amp;"|"&amp;TEXT($G817,"0")&amp;"|"&amp;$J817)</f>
        <v/>
      </c>
      <c r="X817" s="3" t="n"/>
      <c r="Y817" s="3" t="n"/>
      <c r="Z817" s="3" t="n"/>
      <c r="AA817" s="3" t="n"/>
      <c r="AB817" s="3" t="n"/>
      <c r="AC817" s="3" t="n"/>
      <c r="AD817" s="3">
        <f>IF($C817="",0,SUMPRODUCT((AY_SONU!$O$7:$O$42="Evet")*(AY_SONU!$B$7:$B$42=DATE(YEAR($C817),MONTH($C817),1))))</f>
        <v/>
      </c>
    </row>
    <row r="818">
      <c r="A818" s="6" t="n"/>
      <c r="B818" s="113">
        <f>IF($C818="","","GG"&amp;TEXT(ROW()-6,"00000"))</f>
        <v/>
      </c>
      <c r="C818" s="220" t="n"/>
      <c r="D818" s="108" t="n"/>
      <c r="E818" s="109" t="n"/>
      <c r="F818" s="109" t="n"/>
      <c r="G818" s="221" t="n"/>
      <c r="H818" s="108" t="n"/>
      <c r="I818" s="108" t="n"/>
      <c r="J818" s="109" t="n"/>
      <c r="K818" s="109" t="n"/>
      <c r="L818" s="108" t="n"/>
      <c r="M818" s="121">
        <f>IF($C818="","",IF($D818="Gider",$E818,IF($L818&lt;&gt;"",$L818,$H818)))</f>
        <v/>
      </c>
      <c r="N818" s="121">
        <f>IF($C818="","",IF($D818="Gider",$H818,$E818))</f>
        <v/>
      </c>
      <c r="O818" s="226">
        <f>IF($C818="","",DATE(YEAR($C818),MONTH($C818),1))</f>
        <v/>
      </c>
      <c r="P818" s="113">
        <f>IF($C818="","",IF(AND($D818="Gelir",$L818&lt;&gt;"",$T818=""),"TANIMSIZ BORÇLU",IF($T818&lt;&gt;"",IF(OR($E818="",$G818&lt;=0),"EKSİK",IF($I818="Evet","TAHAKKUK NAKİT OLAMAZ",IF($C818&gt;TODAY(),"İLERİ TARİH","TAHAKKUK"))),IF(AND($D818&lt;&gt;"",$E818&lt;&gt;"",$G818&gt;0,$H818&lt;&gt;"",$I818&lt;&gt;""),IF($C818&gt;TODAY(),"İLERİ TARİH",IF(COUNTIF($W$7:$W$1206,$W818)&gt;1,"MÜKERRER?",IF($AD818&gt;0,"KAPALI DÖNEM",IF($I818="Hayır","ÖDENECEK","UYGUN")))),"EKSİK"))))</f>
        <v/>
      </c>
      <c r="Q818" s="6" t="n"/>
      <c r="R818" s="6" t="n"/>
      <c r="S818" s="3">
        <f>IF($L818="","",UPPER(SUBSTITUTE(SUBSTITUTE(SUBSTITUTE(SUBSTITUTE(SUBSTITUTE(SUBSTITUTE(SUBSTITUTE(SUBSTITUTE(SUBSTITUTE(SUBSTITUTE(SUBSTITUTE(SUBSTITUTE(SUBSTITUTE(SUBSTITUTE(SUBSTITUTE(SUBSTITUTE(SUBSTITUTE(SUBSTITUTE(TRIM($L818),"'",""),"İ","I"),"ı","I"),"i","I"),"Ş","S"),"ş","S"),"Ğ","G"),"ğ","G"),"Ü","U"),"ü","U"),"Ö","O"),"ö","O"),"Ç","C"),"ç","C"),".",""),",","")," ",""),"-","")))</f>
        <v/>
      </c>
      <c r="T818" s="3">
        <f>IF(OR($C818="",$D818&lt;&gt;"Gelir",$L818=""),"",IFERROR(INDEX(MUSTERILER!$B$7:$B$106,MATCH($S818,MUSTERILER!$T$7:$T$106,0)),""))</f>
        <v/>
      </c>
      <c r="U818" s="3">
        <f>IF($T818="","",$T818&amp;"|"&amp;COUNTIFS($T$7:$T818,$T818))</f>
        <v/>
      </c>
      <c r="V818" s="3">
        <f>IF($T818="",0,1)</f>
        <v/>
      </c>
      <c r="W818" s="3">
        <f>IF($C818="","",$D818&amp;"|"&amp;$E818&amp;"|"&amp;TEXT($C818,"0")&amp;"|"&amp;TEXT($G818,"0")&amp;"|"&amp;$J818)</f>
        <v/>
      </c>
      <c r="X818" s="3" t="n"/>
      <c r="Y818" s="3" t="n"/>
      <c r="Z818" s="3" t="n"/>
      <c r="AA818" s="3" t="n"/>
      <c r="AB818" s="3" t="n"/>
      <c r="AC818" s="3" t="n"/>
      <c r="AD818" s="3">
        <f>IF($C818="",0,SUMPRODUCT((AY_SONU!$O$7:$O$42="Evet")*(AY_SONU!$B$7:$B$42=DATE(YEAR($C818),MONTH($C818),1))))</f>
        <v/>
      </c>
    </row>
    <row r="819">
      <c r="A819" s="6" t="n"/>
      <c r="B819" s="113">
        <f>IF($C819="","","GG"&amp;TEXT(ROW()-6,"00000"))</f>
        <v/>
      </c>
      <c r="C819" s="220" t="n"/>
      <c r="D819" s="108" t="n"/>
      <c r="E819" s="109" t="n"/>
      <c r="F819" s="109" t="n"/>
      <c r="G819" s="221" t="n"/>
      <c r="H819" s="108" t="n"/>
      <c r="I819" s="108" t="n"/>
      <c r="J819" s="109" t="n"/>
      <c r="K819" s="109" t="n"/>
      <c r="L819" s="108" t="n"/>
      <c r="M819" s="121">
        <f>IF($C819="","",IF($D819="Gider",$E819,IF($L819&lt;&gt;"",$L819,$H819)))</f>
        <v/>
      </c>
      <c r="N819" s="121">
        <f>IF($C819="","",IF($D819="Gider",$H819,$E819))</f>
        <v/>
      </c>
      <c r="O819" s="226">
        <f>IF($C819="","",DATE(YEAR($C819),MONTH($C819),1))</f>
        <v/>
      </c>
      <c r="P819" s="113">
        <f>IF($C819="","",IF(AND($D819="Gelir",$L819&lt;&gt;"",$T819=""),"TANIMSIZ BORÇLU",IF($T819&lt;&gt;"",IF(OR($E819="",$G819&lt;=0),"EKSİK",IF($I819="Evet","TAHAKKUK NAKİT OLAMAZ",IF($C819&gt;TODAY(),"İLERİ TARİH","TAHAKKUK"))),IF(AND($D819&lt;&gt;"",$E819&lt;&gt;"",$G819&gt;0,$H819&lt;&gt;"",$I819&lt;&gt;""),IF($C819&gt;TODAY(),"İLERİ TARİH",IF(COUNTIF($W$7:$W$1206,$W819)&gt;1,"MÜKERRER?",IF($AD819&gt;0,"KAPALI DÖNEM",IF($I819="Hayır","ÖDENECEK","UYGUN")))),"EKSİK"))))</f>
        <v/>
      </c>
      <c r="Q819" s="6" t="n"/>
      <c r="R819" s="6" t="n"/>
      <c r="S819" s="3">
        <f>IF($L819="","",UPPER(SUBSTITUTE(SUBSTITUTE(SUBSTITUTE(SUBSTITUTE(SUBSTITUTE(SUBSTITUTE(SUBSTITUTE(SUBSTITUTE(SUBSTITUTE(SUBSTITUTE(SUBSTITUTE(SUBSTITUTE(SUBSTITUTE(SUBSTITUTE(SUBSTITUTE(SUBSTITUTE(SUBSTITUTE(SUBSTITUTE(TRIM($L819),"'",""),"İ","I"),"ı","I"),"i","I"),"Ş","S"),"ş","S"),"Ğ","G"),"ğ","G"),"Ü","U"),"ü","U"),"Ö","O"),"ö","O"),"Ç","C"),"ç","C"),".",""),",","")," ",""),"-","")))</f>
        <v/>
      </c>
      <c r="T819" s="3">
        <f>IF(OR($C819="",$D819&lt;&gt;"Gelir",$L819=""),"",IFERROR(INDEX(MUSTERILER!$B$7:$B$106,MATCH($S819,MUSTERILER!$T$7:$T$106,0)),""))</f>
        <v/>
      </c>
      <c r="U819" s="3">
        <f>IF($T819="","",$T819&amp;"|"&amp;COUNTIFS($T$7:$T819,$T819))</f>
        <v/>
      </c>
      <c r="V819" s="3">
        <f>IF($T819="",0,1)</f>
        <v/>
      </c>
      <c r="W819" s="3">
        <f>IF($C819="","",$D819&amp;"|"&amp;$E819&amp;"|"&amp;TEXT($C819,"0")&amp;"|"&amp;TEXT($G819,"0")&amp;"|"&amp;$J819)</f>
        <v/>
      </c>
      <c r="X819" s="3" t="n"/>
      <c r="Y819" s="3" t="n"/>
      <c r="Z819" s="3" t="n"/>
      <c r="AA819" s="3" t="n"/>
      <c r="AB819" s="3" t="n"/>
      <c r="AC819" s="3" t="n"/>
      <c r="AD819" s="3">
        <f>IF($C819="",0,SUMPRODUCT((AY_SONU!$O$7:$O$42="Evet")*(AY_SONU!$B$7:$B$42=DATE(YEAR($C819),MONTH($C819),1))))</f>
        <v/>
      </c>
    </row>
    <row r="820">
      <c r="A820" s="6" t="n"/>
      <c r="B820" s="113">
        <f>IF($C820="","","GG"&amp;TEXT(ROW()-6,"00000"))</f>
        <v/>
      </c>
      <c r="C820" s="220" t="n"/>
      <c r="D820" s="108" t="n"/>
      <c r="E820" s="109" t="n"/>
      <c r="F820" s="109" t="n"/>
      <c r="G820" s="221" t="n"/>
      <c r="H820" s="108" t="n"/>
      <c r="I820" s="108" t="n"/>
      <c r="J820" s="109" t="n"/>
      <c r="K820" s="109" t="n"/>
      <c r="L820" s="108" t="n"/>
      <c r="M820" s="121">
        <f>IF($C820="","",IF($D820="Gider",$E820,IF($L820&lt;&gt;"",$L820,$H820)))</f>
        <v/>
      </c>
      <c r="N820" s="121">
        <f>IF($C820="","",IF($D820="Gider",$H820,$E820))</f>
        <v/>
      </c>
      <c r="O820" s="226">
        <f>IF($C820="","",DATE(YEAR($C820),MONTH($C820),1))</f>
        <v/>
      </c>
      <c r="P820" s="113">
        <f>IF($C820="","",IF(AND($D820="Gelir",$L820&lt;&gt;"",$T820=""),"TANIMSIZ BORÇLU",IF($T820&lt;&gt;"",IF(OR($E820="",$G820&lt;=0),"EKSİK",IF($I820="Evet","TAHAKKUK NAKİT OLAMAZ",IF($C820&gt;TODAY(),"İLERİ TARİH","TAHAKKUK"))),IF(AND($D820&lt;&gt;"",$E820&lt;&gt;"",$G820&gt;0,$H820&lt;&gt;"",$I820&lt;&gt;""),IF($C820&gt;TODAY(),"İLERİ TARİH",IF(COUNTIF($W$7:$W$1206,$W820)&gt;1,"MÜKERRER?",IF($AD820&gt;0,"KAPALI DÖNEM",IF($I820="Hayır","ÖDENECEK","UYGUN")))),"EKSİK"))))</f>
        <v/>
      </c>
      <c r="Q820" s="6" t="n"/>
      <c r="R820" s="6" t="n"/>
      <c r="S820" s="3">
        <f>IF($L820="","",UPPER(SUBSTITUTE(SUBSTITUTE(SUBSTITUTE(SUBSTITUTE(SUBSTITUTE(SUBSTITUTE(SUBSTITUTE(SUBSTITUTE(SUBSTITUTE(SUBSTITUTE(SUBSTITUTE(SUBSTITUTE(SUBSTITUTE(SUBSTITUTE(SUBSTITUTE(SUBSTITUTE(SUBSTITUTE(SUBSTITUTE(TRIM($L820),"'",""),"İ","I"),"ı","I"),"i","I"),"Ş","S"),"ş","S"),"Ğ","G"),"ğ","G"),"Ü","U"),"ü","U"),"Ö","O"),"ö","O"),"Ç","C"),"ç","C"),".",""),",","")," ",""),"-","")))</f>
        <v/>
      </c>
      <c r="T820" s="3">
        <f>IF(OR($C820="",$D820&lt;&gt;"Gelir",$L820=""),"",IFERROR(INDEX(MUSTERILER!$B$7:$B$106,MATCH($S820,MUSTERILER!$T$7:$T$106,0)),""))</f>
        <v/>
      </c>
      <c r="U820" s="3">
        <f>IF($T820="","",$T820&amp;"|"&amp;COUNTIFS($T$7:$T820,$T820))</f>
        <v/>
      </c>
      <c r="V820" s="3">
        <f>IF($T820="",0,1)</f>
        <v/>
      </c>
      <c r="W820" s="3">
        <f>IF($C820="","",$D820&amp;"|"&amp;$E820&amp;"|"&amp;TEXT($C820,"0")&amp;"|"&amp;TEXT($G820,"0")&amp;"|"&amp;$J820)</f>
        <v/>
      </c>
      <c r="X820" s="3" t="n"/>
      <c r="Y820" s="3" t="n"/>
      <c r="Z820" s="3" t="n"/>
      <c r="AA820" s="3" t="n"/>
      <c r="AB820" s="3" t="n"/>
      <c r="AC820" s="3" t="n"/>
      <c r="AD820" s="3">
        <f>IF($C820="",0,SUMPRODUCT((AY_SONU!$O$7:$O$42="Evet")*(AY_SONU!$B$7:$B$42=DATE(YEAR($C820),MONTH($C820),1))))</f>
        <v/>
      </c>
    </row>
    <row r="821">
      <c r="A821" s="6" t="n"/>
      <c r="B821" s="113">
        <f>IF($C821="","","GG"&amp;TEXT(ROW()-6,"00000"))</f>
        <v/>
      </c>
      <c r="C821" s="220" t="n"/>
      <c r="D821" s="108" t="n"/>
      <c r="E821" s="109" t="n"/>
      <c r="F821" s="109" t="n"/>
      <c r="G821" s="221" t="n"/>
      <c r="H821" s="108" t="n"/>
      <c r="I821" s="108" t="n"/>
      <c r="J821" s="109" t="n"/>
      <c r="K821" s="109" t="n"/>
      <c r="L821" s="108" t="n"/>
      <c r="M821" s="121">
        <f>IF($C821="","",IF($D821="Gider",$E821,IF($L821&lt;&gt;"",$L821,$H821)))</f>
        <v/>
      </c>
      <c r="N821" s="121">
        <f>IF($C821="","",IF($D821="Gider",$H821,$E821))</f>
        <v/>
      </c>
      <c r="O821" s="226">
        <f>IF($C821="","",DATE(YEAR($C821),MONTH($C821),1))</f>
        <v/>
      </c>
      <c r="P821" s="113">
        <f>IF($C821="","",IF(AND($D821="Gelir",$L821&lt;&gt;"",$T821=""),"TANIMSIZ BORÇLU",IF($T821&lt;&gt;"",IF(OR($E821="",$G821&lt;=0),"EKSİK",IF($I821="Evet","TAHAKKUK NAKİT OLAMAZ",IF($C821&gt;TODAY(),"İLERİ TARİH","TAHAKKUK"))),IF(AND($D821&lt;&gt;"",$E821&lt;&gt;"",$G821&gt;0,$H821&lt;&gt;"",$I821&lt;&gt;""),IF($C821&gt;TODAY(),"İLERİ TARİH",IF(COUNTIF($W$7:$W$1206,$W821)&gt;1,"MÜKERRER?",IF($AD821&gt;0,"KAPALI DÖNEM",IF($I821="Hayır","ÖDENECEK","UYGUN")))),"EKSİK"))))</f>
        <v/>
      </c>
      <c r="Q821" s="6" t="n"/>
      <c r="R821" s="6" t="n"/>
      <c r="S821" s="3">
        <f>IF($L821="","",UPPER(SUBSTITUTE(SUBSTITUTE(SUBSTITUTE(SUBSTITUTE(SUBSTITUTE(SUBSTITUTE(SUBSTITUTE(SUBSTITUTE(SUBSTITUTE(SUBSTITUTE(SUBSTITUTE(SUBSTITUTE(SUBSTITUTE(SUBSTITUTE(SUBSTITUTE(SUBSTITUTE(SUBSTITUTE(SUBSTITUTE(TRIM($L821),"'",""),"İ","I"),"ı","I"),"i","I"),"Ş","S"),"ş","S"),"Ğ","G"),"ğ","G"),"Ü","U"),"ü","U"),"Ö","O"),"ö","O"),"Ç","C"),"ç","C"),".",""),",","")," ",""),"-","")))</f>
        <v/>
      </c>
      <c r="T821" s="3">
        <f>IF(OR($C821="",$D821&lt;&gt;"Gelir",$L821=""),"",IFERROR(INDEX(MUSTERILER!$B$7:$B$106,MATCH($S821,MUSTERILER!$T$7:$T$106,0)),""))</f>
        <v/>
      </c>
      <c r="U821" s="3">
        <f>IF($T821="","",$T821&amp;"|"&amp;COUNTIFS($T$7:$T821,$T821))</f>
        <v/>
      </c>
      <c r="V821" s="3">
        <f>IF($T821="",0,1)</f>
        <v/>
      </c>
      <c r="W821" s="3">
        <f>IF($C821="","",$D821&amp;"|"&amp;$E821&amp;"|"&amp;TEXT($C821,"0")&amp;"|"&amp;TEXT($G821,"0")&amp;"|"&amp;$J821)</f>
        <v/>
      </c>
      <c r="X821" s="3" t="n"/>
      <c r="Y821" s="3" t="n"/>
      <c r="Z821" s="3" t="n"/>
      <c r="AA821" s="3" t="n"/>
      <c r="AB821" s="3" t="n"/>
      <c r="AC821" s="3" t="n"/>
      <c r="AD821" s="3">
        <f>IF($C821="",0,SUMPRODUCT((AY_SONU!$O$7:$O$42="Evet")*(AY_SONU!$B$7:$B$42=DATE(YEAR($C821),MONTH($C821),1))))</f>
        <v/>
      </c>
    </row>
    <row r="822">
      <c r="A822" s="6" t="n"/>
      <c r="B822" s="113">
        <f>IF($C822="","","GG"&amp;TEXT(ROW()-6,"00000"))</f>
        <v/>
      </c>
      <c r="C822" s="220" t="n"/>
      <c r="D822" s="108" t="n"/>
      <c r="E822" s="109" t="n"/>
      <c r="F822" s="109" t="n"/>
      <c r="G822" s="221" t="n"/>
      <c r="H822" s="108" t="n"/>
      <c r="I822" s="108" t="n"/>
      <c r="J822" s="109" t="n"/>
      <c r="K822" s="109" t="n"/>
      <c r="L822" s="108" t="n"/>
      <c r="M822" s="121">
        <f>IF($C822="","",IF($D822="Gider",$E822,IF($L822&lt;&gt;"",$L822,$H822)))</f>
        <v/>
      </c>
      <c r="N822" s="121">
        <f>IF($C822="","",IF($D822="Gider",$H822,$E822))</f>
        <v/>
      </c>
      <c r="O822" s="226">
        <f>IF($C822="","",DATE(YEAR($C822),MONTH($C822),1))</f>
        <v/>
      </c>
      <c r="P822" s="113">
        <f>IF($C822="","",IF(AND($D822="Gelir",$L822&lt;&gt;"",$T822=""),"TANIMSIZ BORÇLU",IF($T822&lt;&gt;"",IF(OR($E822="",$G822&lt;=0),"EKSİK",IF($I822="Evet","TAHAKKUK NAKİT OLAMAZ",IF($C822&gt;TODAY(),"İLERİ TARİH","TAHAKKUK"))),IF(AND($D822&lt;&gt;"",$E822&lt;&gt;"",$G822&gt;0,$H822&lt;&gt;"",$I822&lt;&gt;""),IF($C822&gt;TODAY(),"İLERİ TARİH",IF(COUNTIF($W$7:$W$1206,$W822)&gt;1,"MÜKERRER?",IF($AD822&gt;0,"KAPALI DÖNEM",IF($I822="Hayır","ÖDENECEK","UYGUN")))),"EKSİK"))))</f>
        <v/>
      </c>
      <c r="Q822" s="6" t="n"/>
      <c r="R822" s="6" t="n"/>
      <c r="S822" s="3">
        <f>IF($L822="","",UPPER(SUBSTITUTE(SUBSTITUTE(SUBSTITUTE(SUBSTITUTE(SUBSTITUTE(SUBSTITUTE(SUBSTITUTE(SUBSTITUTE(SUBSTITUTE(SUBSTITUTE(SUBSTITUTE(SUBSTITUTE(SUBSTITUTE(SUBSTITUTE(SUBSTITUTE(SUBSTITUTE(SUBSTITUTE(SUBSTITUTE(TRIM($L822),"'",""),"İ","I"),"ı","I"),"i","I"),"Ş","S"),"ş","S"),"Ğ","G"),"ğ","G"),"Ü","U"),"ü","U"),"Ö","O"),"ö","O"),"Ç","C"),"ç","C"),".",""),",","")," ",""),"-","")))</f>
        <v/>
      </c>
      <c r="T822" s="3">
        <f>IF(OR($C822="",$D822&lt;&gt;"Gelir",$L822=""),"",IFERROR(INDEX(MUSTERILER!$B$7:$B$106,MATCH($S822,MUSTERILER!$T$7:$T$106,0)),""))</f>
        <v/>
      </c>
      <c r="U822" s="3">
        <f>IF($T822="","",$T822&amp;"|"&amp;COUNTIFS($T$7:$T822,$T822))</f>
        <v/>
      </c>
      <c r="V822" s="3">
        <f>IF($T822="",0,1)</f>
        <v/>
      </c>
      <c r="W822" s="3">
        <f>IF($C822="","",$D822&amp;"|"&amp;$E822&amp;"|"&amp;TEXT($C822,"0")&amp;"|"&amp;TEXT($G822,"0")&amp;"|"&amp;$J822)</f>
        <v/>
      </c>
      <c r="X822" s="3" t="n"/>
      <c r="Y822" s="3" t="n"/>
      <c r="Z822" s="3" t="n"/>
      <c r="AA822" s="3" t="n"/>
      <c r="AB822" s="3" t="n"/>
      <c r="AC822" s="3" t="n"/>
      <c r="AD822" s="3">
        <f>IF($C822="",0,SUMPRODUCT((AY_SONU!$O$7:$O$42="Evet")*(AY_SONU!$B$7:$B$42=DATE(YEAR($C822),MONTH($C822),1))))</f>
        <v/>
      </c>
    </row>
    <row r="823">
      <c r="A823" s="6" t="n"/>
      <c r="B823" s="113">
        <f>IF($C823="","","GG"&amp;TEXT(ROW()-6,"00000"))</f>
        <v/>
      </c>
      <c r="C823" s="220" t="n"/>
      <c r="D823" s="108" t="n"/>
      <c r="E823" s="109" t="n"/>
      <c r="F823" s="109" t="n"/>
      <c r="G823" s="221" t="n"/>
      <c r="H823" s="108" t="n"/>
      <c r="I823" s="108" t="n"/>
      <c r="J823" s="109" t="n"/>
      <c r="K823" s="109" t="n"/>
      <c r="L823" s="108" t="n"/>
      <c r="M823" s="121">
        <f>IF($C823="","",IF($D823="Gider",$E823,IF($L823&lt;&gt;"",$L823,$H823)))</f>
        <v/>
      </c>
      <c r="N823" s="121">
        <f>IF($C823="","",IF($D823="Gider",$H823,$E823))</f>
        <v/>
      </c>
      <c r="O823" s="226">
        <f>IF($C823="","",DATE(YEAR($C823),MONTH($C823),1))</f>
        <v/>
      </c>
      <c r="P823" s="113">
        <f>IF($C823="","",IF(AND($D823="Gelir",$L823&lt;&gt;"",$T823=""),"TANIMSIZ BORÇLU",IF($T823&lt;&gt;"",IF(OR($E823="",$G823&lt;=0),"EKSİK",IF($I823="Evet","TAHAKKUK NAKİT OLAMAZ",IF($C823&gt;TODAY(),"İLERİ TARİH","TAHAKKUK"))),IF(AND($D823&lt;&gt;"",$E823&lt;&gt;"",$G823&gt;0,$H823&lt;&gt;"",$I823&lt;&gt;""),IF($C823&gt;TODAY(),"İLERİ TARİH",IF(COUNTIF($W$7:$W$1206,$W823)&gt;1,"MÜKERRER?",IF($AD823&gt;0,"KAPALI DÖNEM",IF($I823="Hayır","ÖDENECEK","UYGUN")))),"EKSİK"))))</f>
        <v/>
      </c>
      <c r="Q823" s="6" t="n"/>
      <c r="R823" s="6" t="n"/>
      <c r="S823" s="3">
        <f>IF($L823="","",UPPER(SUBSTITUTE(SUBSTITUTE(SUBSTITUTE(SUBSTITUTE(SUBSTITUTE(SUBSTITUTE(SUBSTITUTE(SUBSTITUTE(SUBSTITUTE(SUBSTITUTE(SUBSTITUTE(SUBSTITUTE(SUBSTITUTE(SUBSTITUTE(SUBSTITUTE(SUBSTITUTE(SUBSTITUTE(SUBSTITUTE(TRIM($L823),"'",""),"İ","I"),"ı","I"),"i","I"),"Ş","S"),"ş","S"),"Ğ","G"),"ğ","G"),"Ü","U"),"ü","U"),"Ö","O"),"ö","O"),"Ç","C"),"ç","C"),".",""),",","")," ",""),"-","")))</f>
        <v/>
      </c>
      <c r="T823" s="3">
        <f>IF(OR($C823="",$D823&lt;&gt;"Gelir",$L823=""),"",IFERROR(INDEX(MUSTERILER!$B$7:$B$106,MATCH($S823,MUSTERILER!$T$7:$T$106,0)),""))</f>
        <v/>
      </c>
      <c r="U823" s="3">
        <f>IF($T823="","",$T823&amp;"|"&amp;COUNTIFS($T$7:$T823,$T823))</f>
        <v/>
      </c>
      <c r="V823" s="3">
        <f>IF($T823="",0,1)</f>
        <v/>
      </c>
      <c r="W823" s="3">
        <f>IF($C823="","",$D823&amp;"|"&amp;$E823&amp;"|"&amp;TEXT($C823,"0")&amp;"|"&amp;TEXT($G823,"0")&amp;"|"&amp;$J823)</f>
        <v/>
      </c>
      <c r="X823" s="3" t="n"/>
      <c r="Y823" s="3" t="n"/>
      <c r="Z823" s="3" t="n"/>
      <c r="AA823" s="3" t="n"/>
      <c r="AB823" s="3" t="n"/>
      <c r="AC823" s="3" t="n"/>
      <c r="AD823" s="3">
        <f>IF($C823="",0,SUMPRODUCT((AY_SONU!$O$7:$O$42="Evet")*(AY_SONU!$B$7:$B$42=DATE(YEAR($C823),MONTH($C823),1))))</f>
        <v/>
      </c>
    </row>
    <row r="824">
      <c r="A824" s="6" t="n"/>
      <c r="B824" s="113">
        <f>IF($C824="","","GG"&amp;TEXT(ROW()-6,"00000"))</f>
        <v/>
      </c>
      <c r="C824" s="220" t="n"/>
      <c r="D824" s="108" t="n"/>
      <c r="E824" s="109" t="n"/>
      <c r="F824" s="109" t="n"/>
      <c r="G824" s="221" t="n"/>
      <c r="H824" s="108" t="n"/>
      <c r="I824" s="108" t="n"/>
      <c r="J824" s="109" t="n"/>
      <c r="K824" s="109" t="n"/>
      <c r="L824" s="108" t="n"/>
      <c r="M824" s="121">
        <f>IF($C824="","",IF($D824="Gider",$E824,IF($L824&lt;&gt;"",$L824,$H824)))</f>
        <v/>
      </c>
      <c r="N824" s="121">
        <f>IF($C824="","",IF($D824="Gider",$H824,$E824))</f>
        <v/>
      </c>
      <c r="O824" s="226">
        <f>IF($C824="","",DATE(YEAR($C824),MONTH($C824),1))</f>
        <v/>
      </c>
      <c r="P824" s="113">
        <f>IF($C824="","",IF(AND($D824="Gelir",$L824&lt;&gt;"",$T824=""),"TANIMSIZ BORÇLU",IF($T824&lt;&gt;"",IF(OR($E824="",$G824&lt;=0),"EKSİK",IF($I824="Evet","TAHAKKUK NAKİT OLAMAZ",IF($C824&gt;TODAY(),"İLERİ TARİH","TAHAKKUK"))),IF(AND($D824&lt;&gt;"",$E824&lt;&gt;"",$G824&gt;0,$H824&lt;&gt;"",$I824&lt;&gt;""),IF($C824&gt;TODAY(),"İLERİ TARİH",IF(COUNTIF($W$7:$W$1206,$W824)&gt;1,"MÜKERRER?",IF($AD824&gt;0,"KAPALI DÖNEM",IF($I824="Hayır","ÖDENECEK","UYGUN")))),"EKSİK"))))</f>
        <v/>
      </c>
      <c r="Q824" s="6" t="n"/>
      <c r="R824" s="6" t="n"/>
      <c r="S824" s="3">
        <f>IF($L824="","",UPPER(SUBSTITUTE(SUBSTITUTE(SUBSTITUTE(SUBSTITUTE(SUBSTITUTE(SUBSTITUTE(SUBSTITUTE(SUBSTITUTE(SUBSTITUTE(SUBSTITUTE(SUBSTITUTE(SUBSTITUTE(SUBSTITUTE(SUBSTITUTE(SUBSTITUTE(SUBSTITUTE(SUBSTITUTE(SUBSTITUTE(TRIM($L824),"'",""),"İ","I"),"ı","I"),"i","I"),"Ş","S"),"ş","S"),"Ğ","G"),"ğ","G"),"Ü","U"),"ü","U"),"Ö","O"),"ö","O"),"Ç","C"),"ç","C"),".",""),",","")," ",""),"-","")))</f>
        <v/>
      </c>
      <c r="T824" s="3">
        <f>IF(OR($C824="",$D824&lt;&gt;"Gelir",$L824=""),"",IFERROR(INDEX(MUSTERILER!$B$7:$B$106,MATCH($S824,MUSTERILER!$T$7:$T$106,0)),""))</f>
        <v/>
      </c>
      <c r="U824" s="3">
        <f>IF($T824="","",$T824&amp;"|"&amp;COUNTIFS($T$7:$T824,$T824))</f>
        <v/>
      </c>
      <c r="V824" s="3">
        <f>IF($T824="",0,1)</f>
        <v/>
      </c>
      <c r="W824" s="3">
        <f>IF($C824="","",$D824&amp;"|"&amp;$E824&amp;"|"&amp;TEXT($C824,"0")&amp;"|"&amp;TEXT($G824,"0")&amp;"|"&amp;$J824)</f>
        <v/>
      </c>
      <c r="X824" s="3" t="n"/>
      <c r="Y824" s="3" t="n"/>
      <c r="Z824" s="3" t="n"/>
      <c r="AA824" s="3" t="n"/>
      <c r="AB824" s="3" t="n"/>
      <c r="AC824" s="3" t="n"/>
      <c r="AD824" s="3">
        <f>IF($C824="",0,SUMPRODUCT((AY_SONU!$O$7:$O$42="Evet")*(AY_SONU!$B$7:$B$42=DATE(YEAR($C824),MONTH($C824),1))))</f>
        <v/>
      </c>
    </row>
    <row r="825">
      <c r="A825" s="6" t="n"/>
      <c r="B825" s="113">
        <f>IF($C825="","","GG"&amp;TEXT(ROW()-6,"00000"))</f>
        <v/>
      </c>
      <c r="C825" s="220" t="n"/>
      <c r="D825" s="108" t="n"/>
      <c r="E825" s="109" t="n"/>
      <c r="F825" s="109" t="n"/>
      <c r="G825" s="221" t="n"/>
      <c r="H825" s="108" t="n"/>
      <c r="I825" s="108" t="n"/>
      <c r="J825" s="109" t="n"/>
      <c r="K825" s="109" t="n"/>
      <c r="L825" s="108" t="n"/>
      <c r="M825" s="121">
        <f>IF($C825="","",IF($D825="Gider",$E825,IF($L825&lt;&gt;"",$L825,$H825)))</f>
        <v/>
      </c>
      <c r="N825" s="121">
        <f>IF($C825="","",IF($D825="Gider",$H825,$E825))</f>
        <v/>
      </c>
      <c r="O825" s="226">
        <f>IF($C825="","",DATE(YEAR($C825),MONTH($C825),1))</f>
        <v/>
      </c>
      <c r="P825" s="113">
        <f>IF($C825="","",IF(AND($D825="Gelir",$L825&lt;&gt;"",$T825=""),"TANIMSIZ BORÇLU",IF($T825&lt;&gt;"",IF(OR($E825="",$G825&lt;=0),"EKSİK",IF($I825="Evet","TAHAKKUK NAKİT OLAMAZ",IF($C825&gt;TODAY(),"İLERİ TARİH","TAHAKKUK"))),IF(AND($D825&lt;&gt;"",$E825&lt;&gt;"",$G825&gt;0,$H825&lt;&gt;"",$I825&lt;&gt;""),IF($C825&gt;TODAY(),"İLERİ TARİH",IF(COUNTIF($W$7:$W$1206,$W825)&gt;1,"MÜKERRER?",IF($AD825&gt;0,"KAPALI DÖNEM",IF($I825="Hayır","ÖDENECEK","UYGUN")))),"EKSİK"))))</f>
        <v/>
      </c>
      <c r="Q825" s="6" t="n"/>
      <c r="R825" s="6" t="n"/>
      <c r="S825" s="3">
        <f>IF($L825="","",UPPER(SUBSTITUTE(SUBSTITUTE(SUBSTITUTE(SUBSTITUTE(SUBSTITUTE(SUBSTITUTE(SUBSTITUTE(SUBSTITUTE(SUBSTITUTE(SUBSTITUTE(SUBSTITUTE(SUBSTITUTE(SUBSTITUTE(SUBSTITUTE(SUBSTITUTE(SUBSTITUTE(SUBSTITUTE(SUBSTITUTE(TRIM($L825),"'",""),"İ","I"),"ı","I"),"i","I"),"Ş","S"),"ş","S"),"Ğ","G"),"ğ","G"),"Ü","U"),"ü","U"),"Ö","O"),"ö","O"),"Ç","C"),"ç","C"),".",""),",","")," ",""),"-","")))</f>
        <v/>
      </c>
      <c r="T825" s="3">
        <f>IF(OR($C825="",$D825&lt;&gt;"Gelir",$L825=""),"",IFERROR(INDEX(MUSTERILER!$B$7:$B$106,MATCH($S825,MUSTERILER!$T$7:$T$106,0)),""))</f>
        <v/>
      </c>
      <c r="U825" s="3">
        <f>IF($T825="","",$T825&amp;"|"&amp;COUNTIFS($T$7:$T825,$T825))</f>
        <v/>
      </c>
      <c r="V825" s="3">
        <f>IF($T825="",0,1)</f>
        <v/>
      </c>
      <c r="W825" s="3">
        <f>IF($C825="","",$D825&amp;"|"&amp;$E825&amp;"|"&amp;TEXT($C825,"0")&amp;"|"&amp;TEXT($G825,"0")&amp;"|"&amp;$J825)</f>
        <v/>
      </c>
      <c r="X825" s="3" t="n"/>
      <c r="Y825" s="3" t="n"/>
      <c r="Z825" s="3" t="n"/>
      <c r="AA825" s="3" t="n"/>
      <c r="AB825" s="3" t="n"/>
      <c r="AC825" s="3" t="n"/>
      <c r="AD825" s="3">
        <f>IF($C825="",0,SUMPRODUCT((AY_SONU!$O$7:$O$42="Evet")*(AY_SONU!$B$7:$B$42=DATE(YEAR($C825),MONTH($C825),1))))</f>
        <v/>
      </c>
    </row>
    <row r="826">
      <c r="A826" s="6" t="n"/>
      <c r="B826" s="113">
        <f>IF($C826="","","GG"&amp;TEXT(ROW()-6,"00000"))</f>
        <v/>
      </c>
      <c r="C826" s="220" t="n"/>
      <c r="D826" s="108" t="n"/>
      <c r="E826" s="109" t="n"/>
      <c r="F826" s="109" t="n"/>
      <c r="G826" s="221" t="n"/>
      <c r="H826" s="108" t="n"/>
      <c r="I826" s="108" t="n"/>
      <c r="J826" s="109" t="n"/>
      <c r="K826" s="109" t="n"/>
      <c r="L826" s="108" t="n"/>
      <c r="M826" s="121">
        <f>IF($C826="","",IF($D826="Gider",$E826,IF($L826&lt;&gt;"",$L826,$H826)))</f>
        <v/>
      </c>
      <c r="N826" s="121">
        <f>IF($C826="","",IF($D826="Gider",$H826,$E826))</f>
        <v/>
      </c>
      <c r="O826" s="226">
        <f>IF($C826="","",DATE(YEAR($C826),MONTH($C826),1))</f>
        <v/>
      </c>
      <c r="P826" s="113">
        <f>IF($C826="","",IF(AND($D826="Gelir",$L826&lt;&gt;"",$T826=""),"TANIMSIZ BORÇLU",IF($T826&lt;&gt;"",IF(OR($E826="",$G826&lt;=0),"EKSİK",IF($I826="Evet","TAHAKKUK NAKİT OLAMAZ",IF($C826&gt;TODAY(),"İLERİ TARİH","TAHAKKUK"))),IF(AND($D826&lt;&gt;"",$E826&lt;&gt;"",$G826&gt;0,$H826&lt;&gt;"",$I826&lt;&gt;""),IF($C826&gt;TODAY(),"İLERİ TARİH",IF(COUNTIF($W$7:$W$1206,$W826)&gt;1,"MÜKERRER?",IF($AD826&gt;0,"KAPALI DÖNEM",IF($I826="Hayır","ÖDENECEK","UYGUN")))),"EKSİK"))))</f>
        <v/>
      </c>
      <c r="Q826" s="6" t="n"/>
      <c r="R826" s="6" t="n"/>
      <c r="S826" s="3">
        <f>IF($L826="","",UPPER(SUBSTITUTE(SUBSTITUTE(SUBSTITUTE(SUBSTITUTE(SUBSTITUTE(SUBSTITUTE(SUBSTITUTE(SUBSTITUTE(SUBSTITUTE(SUBSTITUTE(SUBSTITUTE(SUBSTITUTE(SUBSTITUTE(SUBSTITUTE(SUBSTITUTE(SUBSTITUTE(SUBSTITUTE(SUBSTITUTE(TRIM($L826),"'",""),"İ","I"),"ı","I"),"i","I"),"Ş","S"),"ş","S"),"Ğ","G"),"ğ","G"),"Ü","U"),"ü","U"),"Ö","O"),"ö","O"),"Ç","C"),"ç","C"),".",""),",","")," ",""),"-","")))</f>
        <v/>
      </c>
      <c r="T826" s="3">
        <f>IF(OR($C826="",$D826&lt;&gt;"Gelir",$L826=""),"",IFERROR(INDEX(MUSTERILER!$B$7:$B$106,MATCH($S826,MUSTERILER!$T$7:$T$106,0)),""))</f>
        <v/>
      </c>
      <c r="U826" s="3">
        <f>IF($T826="","",$T826&amp;"|"&amp;COUNTIFS($T$7:$T826,$T826))</f>
        <v/>
      </c>
      <c r="V826" s="3">
        <f>IF($T826="",0,1)</f>
        <v/>
      </c>
      <c r="W826" s="3">
        <f>IF($C826="","",$D826&amp;"|"&amp;$E826&amp;"|"&amp;TEXT($C826,"0")&amp;"|"&amp;TEXT($G826,"0")&amp;"|"&amp;$J826)</f>
        <v/>
      </c>
      <c r="X826" s="3" t="n"/>
      <c r="Y826" s="3" t="n"/>
      <c r="Z826" s="3" t="n"/>
      <c r="AA826" s="3" t="n"/>
      <c r="AB826" s="3" t="n"/>
      <c r="AC826" s="3" t="n"/>
      <c r="AD826" s="3">
        <f>IF($C826="",0,SUMPRODUCT((AY_SONU!$O$7:$O$42="Evet")*(AY_SONU!$B$7:$B$42=DATE(YEAR($C826),MONTH($C826),1))))</f>
        <v/>
      </c>
    </row>
    <row r="827">
      <c r="A827" s="6" t="n"/>
      <c r="B827" s="113">
        <f>IF($C827="","","GG"&amp;TEXT(ROW()-6,"00000"))</f>
        <v/>
      </c>
      <c r="C827" s="220" t="n"/>
      <c r="D827" s="108" t="n"/>
      <c r="E827" s="109" t="n"/>
      <c r="F827" s="109" t="n"/>
      <c r="G827" s="221" t="n"/>
      <c r="H827" s="108" t="n"/>
      <c r="I827" s="108" t="n"/>
      <c r="J827" s="109" t="n"/>
      <c r="K827" s="109" t="n"/>
      <c r="L827" s="108" t="n"/>
      <c r="M827" s="121">
        <f>IF($C827="","",IF($D827="Gider",$E827,IF($L827&lt;&gt;"",$L827,$H827)))</f>
        <v/>
      </c>
      <c r="N827" s="121">
        <f>IF($C827="","",IF($D827="Gider",$H827,$E827))</f>
        <v/>
      </c>
      <c r="O827" s="226">
        <f>IF($C827="","",DATE(YEAR($C827),MONTH($C827),1))</f>
        <v/>
      </c>
      <c r="P827" s="113">
        <f>IF($C827="","",IF(AND($D827="Gelir",$L827&lt;&gt;"",$T827=""),"TANIMSIZ BORÇLU",IF($T827&lt;&gt;"",IF(OR($E827="",$G827&lt;=0),"EKSİK",IF($I827="Evet","TAHAKKUK NAKİT OLAMAZ",IF($C827&gt;TODAY(),"İLERİ TARİH","TAHAKKUK"))),IF(AND($D827&lt;&gt;"",$E827&lt;&gt;"",$G827&gt;0,$H827&lt;&gt;"",$I827&lt;&gt;""),IF($C827&gt;TODAY(),"İLERİ TARİH",IF(COUNTIF($W$7:$W$1206,$W827)&gt;1,"MÜKERRER?",IF($AD827&gt;0,"KAPALI DÖNEM",IF($I827="Hayır","ÖDENECEK","UYGUN")))),"EKSİK"))))</f>
        <v/>
      </c>
      <c r="Q827" s="6" t="n"/>
      <c r="R827" s="6" t="n"/>
      <c r="S827" s="3">
        <f>IF($L827="","",UPPER(SUBSTITUTE(SUBSTITUTE(SUBSTITUTE(SUBSTITUTE(SUBSTITUTE(SUBSTITUTE(SUBSTITUTE(SUBSTITUTE(SUBSTITUTE(SUBSTITUTE(SUBSTITUTE(SUBSTITUTE(SUBSTITUTE(SUBSTITUTE(SUBSTITUTE(SUBSTITUTE(SUBSTITUTE(SUBSTITUTE(TRIM($L827),"'",""),"İ","I"),"ı","I"),"i","I"),"Ş","S"),"ş","S"),"Ğ","G"),"ğ","G"),"Ü","U"),"ü","U"),"Ö","O"),"ö","O"),"Ç","C"),"ç","C"),".",""),",","")," ",""),"-","")))</f>
        <v/>
      </c>
      <c r="T827" s="3">
        <f>IF(OR($C827="",$D827&lt;&gt;"Gelir",$L827=""),"",IFERROR(INDEX(MUSTERILER!$B$7:$B$106,MATCH($S827,MUSTERILER!$T$7:$T$106,0)),""))</f>
        <v/>
      </c>
      <c r="U827" s="3">
        <f>IF($T827="","",$T827&amp;"|"&amp;COUNTIFS($T$7:$T827,$T827))</f>
        <v/>
      </c>
      <c r="V827" s="3">
        <f>IF($T827="",0,1)</f>
        <v/>
      </c>
      <c r="W827" s="3">
        <f>IF($C827="","",$D827&amp;"|"&amp;$E827&amp;"|"&amp;TEXT($C827,"0")&amp;"|"&amp;TEXT($G827,"0")&amp;"|"&amp;$J827)</f>
        <v/>
      </c>
      <c r="X827" s="3" t="n"/>
      <c r="Y827" s="3" t="n"/>
      <c r="Z827" s="3" t="n"/>
      <c r="AA827" s="3" t="n"/>
      <c r="AB827" s="3" t="n"/>
      <c r="AC827" s="3" t="n"/>
      <c r="AD827" s="3">
        <f>IF($C827="",0,SUMPRODUCT((AY_SONU!$O$7:$O$42="Evet")*(AY_SONU!$B$7:$B$42=DATE(YEAR($C827),MONTH($C827),1))))</f>
        <v/>
      </c>
    </row>
    <row r="828">
      <c r="A828" s="6" t="n"/>
      <c r="B828" s="113">
        <f>IF($C828="","","GG"&amp;TEXT(ROW()-6,"00000"))</f>
        <v/>
      </c>
      <c r="C828" s="220" t="n"/>
      <c r="D828" s="108" t="n"/>
      <c r="E828" s="109" t="n"/>
      <c r="F828" s="109" t="n"/>
      <c r="G828" s="221" t="n"/>
      <c r="H828" s="108" t="n"/>
      <c r="I828" s="108" t="n"/>
      <c r="J828" s="109" t="n"/>
      <c r="K828" s="109" t="n"/>
      <c r="L828" s="108" t="n"/>
      <c r="M828" s="121">
        <f>IF($C828="","",IF($D828="Gider",$E828,IF($L828&lt;&gt;"",$L828,$H828)))</f>
        <v/>
      </c>
      <c r="N828" s="121">
        <f>IF($C828="","",IF($D828="Gider",$H828,$E828))</f>
        <v/>
      </c>
      <c r="O828" s="226">
        <f>IF($C828="","",DATE(YEAR($C828),MONTH($C828),1))</f>
        <v/>
      </c>
      <c r="P828" s="113">
        <f>IF($C828="","",IF(AND($D828="Gelir",$L828&lt;&gt;"",$T828=""),"TANIMSIZ BORÇLU",IF($T828&lt;&gt;"",IF(OR($E828="",$G828&lt;=0),"EKSİK",IF($I828="Evet","TAHAKKUK NAKİT OLAMAZ",IF($C828&gt;TODAY(),"İLERİ TARİH","TAHAKKUK"))),IF(AND($D828&lt;&gt;"",$E828&lt;&gt;"",$G828&gt;0,$H828&lt;&gt;"",$I828&lt;&gt;""),IF($C828&gt;TODAY(),"İLERİ TARİH",IF(COUNTIF($W$7:$W$1206,$W828)&gt;1,"MÜKERRER?",IF($AD828&gt;0,"KAPALI DÖNEM",IF($I828="Hayır","ÖDENECEK","UYGUN")))),"EKSİK"))))</f>
        <v/>
      </c>
      <c r="Q828" s="6" t="n"/>
      <c r="R828" s="6" t="n"/>
      <c r="S828" s="3">
        <f>IF($L828="","",UPPER(SUBSTITUTE(SUBSTITUTE(SUBSTITUTE(SUBSTITUTE(SUBSTITUTE(SUBSTITUTE(SUBSTITUTE(SUBSTITUTE(SUBSTITUTE(SUBSTITUTE(SUBSTITUTE(SUBSTITUTE(SUBSTITUTE(SUBSTITUTE(SUBSTITUTE(SUBSTITUTE(SUBSTITUTE(SUBSTITUTE(TRIM($L828),"'",""),"İ","I"),"ı","I"),"i","I"),"Ş","S"),"ş","S"),"Ğ","G"),"ğ","G"),"Ü","U"),"ü","U"),"Ö","O"),"ö","O"),"Ç","C"),"ç","C"),".",""),",","")," ",""),"-","")))</f>
        <v/>
      </c>
      <c r="T828" s="3">
        <f>IF(OR($C828="",$D828&lt;&gt;"Gelir",$L828=""),"",IFERROR(INDEX(MUSTERILER!$B$7:$B$106,MATCH($S828,MUSTERILER!$T$7:$T$106,0)),""))</f>
        <v/>
      </c>
      <c r="U828" s="3">
        <f>IF($T828="","",$T828&amp;"|"&amp;COUNTIFS($T$7:$T828,$T828))</f>
        <v/>
      </c>
      <c r="V828" s="3">
        <f>IF($T828="",0,1)</f>
        <v/>
      </c>
      <c r="W828" s="3">
        <f>IF($C828="","",$D828&amp;"|"&amp;$E828&amp;"|"&amp;TEXT($C828,"0")&amp;"|"&amp;TEXT($G828,"0")&amp;"|"&amp;$J828)</f>
        <v/>
      </c>
      <c r="X828" s="3" t="n"/>
      <c r="Y828" s="3" t="n"/>
      <c r="Z828" s="3" t="n"/>
      <c r="AA828" s="3" t="n"/>
      <c r="AB828" s="3" t="n"/>
      <c r="AC828" s="3" t="n"/>
      <c r="AD828" s="3">
        <f>IF($C828="",0,SUMPRODUCT((AY_SONU!$O$7:$O$42="Evet")*(AY_SONU!$B$7:$B$42=DATE(YEAR($C828),MONTH($C828),1))))</f>
        <v/>
      </c>
    </row>
    <row r="829">
      <c r="A829" s="6" t="n"/>
      <c r="B829" s="113">
        <f>IF($C829="","","GG"&amp;TEXT(ROW()-6,"00000"))</f>
        <v/>
      </c>
      <c r="C829" s="220" t="n"/>
      <c r="D829" s="108" t="n"/>
      <c r="E829" s="109" t="n"/>
      <c r="F829" s="109" t="n"/>
      <c r="G829" s="221" t="n"/>
      <c r="H829" s="108" t="n"/>
      <c r="I829" s="108" t="n"/>
      <c r="J829" s="109" t="n"/>
      <c r="K829" s="109" t="n"/>
      <c r="L829" s="108" t="n"/>
      <c r="M829" s="121">
        <f>IF($C829="","",IF($D829="Gider",$E829,IF($L829&lt;&gt;"",$L829,$H829)))</f>
        <v/>
      </c>
      <c r="N829" s="121">
        <f>IF($C829="","",IF($D829="Gider",$H829,$E829))</f>
        <v/>
      </c>
      <c r="O829" s="226">
        <f>IF($C829="","",DATE(YEAR($C829),MONTH($C829),1))</f>
        <v/>
      </c>
      <c r="P829" s="113">
        <f>IF($C829="","",IF(AND($D829="Gelir",$L829&lt;&gt;"",$T829=""),"TANIMSIZ BORÇLU",IF($T829&lt;&gt;"",IF(OR($E829="",$G829&lt;=0),"EKSİK",IF($I829="Evet","TAHAKKUK NAKİT OLAMAZ",IF($C829&gt;TODAY(),"İLERİ TARİH","TAHAKKUK"))),IF(AND($D829&lt;&gt;"",$E829&lt;&gt;"",$G829&gt;0,$H829&lt;&gt;"",$I829&lt;&gt;""),IF($C829&gt;TODAY(),"İLERİ TARİH",IF(COUNTIF($W$7:$W$1206,$W829)&gt;1,"MÜKERRER?",IF($AD829&gt;0,"KAPALI DÖNEM",IF($I829="Hayır","ÖDENECEK","UYGUN")))),"EKSİK"))))</f>
        <v/>
      </c>
      <c r="Q829" s="6" t="n"/>
      <c r="R829" s="6" t="n"/>
      <c r="S829" s="3">
        <f>IF($L829="","",UPPER(SUBSTITUTE(SUBSTITUTE(SUBSTITUTE(SUBSTITUTE(SUBSTITUTE(SUBSTITUTE(SUBSTITUTE(SUBSTITUTE(SUBSTITUTE(SUBSTITUTE(SUBSTITUTE(SUBSTITUTE(SUBSTITUTE(SUBSTITUTE(SUBSTITUTE(SUBSTITUTE(SUBSTITUTE(SUBSTITUTE(TRIM($L829),"'",""),"İ","I"),"ı","I"),"i","I"),"Ş","S"),"ş","S"),"Ğ","G"),"ğ","G"),"Ü","U"),"ü","U"),"Ö","O"),"ö","O"),"Ç","C"),"ç","C"),".",""),",","")," ",""),"-","")))</f>
        <v/>
      </c>
      <c r="T829" s="3">
        <f>IF(OR($C829="",$D829&lt;&gt;"Gelir",$L829=""),"",IFERROR(INDEX(MUSTERILER!$B$7:$B$106,MATCH($S829,MUSTERILER!$T$7:$T$106,0)),""))</f>
        <v/>
      </c>
      <c r="U829" s="3">
        <f>IF($T829="","",$T829&amp;"|"&amp;COUNTIFS($T$7:$T829,$T829))</f>
        <v/>
      </c>
      <c r="V829" s="3">
        <f>IF($T829="",0,1)</f>
        <v/>
      </c>
      <c r="W829" s="3">
        <f>IF($C829="","",$D829&amp;"|"&amp;$E829&amp;"|"&amp;TEXT($C829,"0")&amp;"|"&amp;TEXT($G829,"0")&amp;"|"&amp;$J829)</f>
        <v/>
      </c>
      <c r="X829" s="3" t="n"/>
      <c r="Y829" s="3" t="n"/>
      <c r="Z829" s="3" t="n"/>
      <c r="AA829" s="3" t="n"/>
      <c r="AB829" s="3" t="n"/>
      <c r="AC829" s="3" t="n"/>
      <c r="AD829" s="3">
        <f>IF($C829="",0,SUMPRODUCT((AY_SONU!$O$7:$O$42="Evet")*(AY_SONU!$B$7:$B$42=DATE(YEAR($C829),MONTH($C829),1))))</f>
        <v/>
      </c>
    </row>
    <row r="830">
      <c r="A830" s="6" t="n"/>
      <c r="B830" s="113">
        <f>IF($C830="","","GG"&amp;TEXT(ROW()-6,"00000"))</f>
        <v/>
      </c>
      <c r="C830" s="220" t="n"/>
      <c r="D830" s="108" t="n"/>
      <c r="E830" s="109" t="n"/>
      <c r="F830" s="109" t="n"/>
      <c r="G830" s="221" t="n"/>
      <c r="H830" s="108" t="n"/>
      <c r="I830" s="108" t="n"/>
      <c r="J830" s="109" t="n"/>
      <c r="K830" s="109" t="n"/>
      <c r="L830" s="108" t="n"/>
      <c r="M830" s="121">
        <f>IF($C830="","",IF($D830="Gider",$E830,IF($L830&lt;&gt;"",$L830,$H830)))</f>
        <v/>
      </c>
      <c r="N830" s="121">
        <f>IF($C830="","",IF($D830="Gider",$H830,$E830))</f>
        <v/>
      </c>
      <c r="O830" s="226">
        <f>IF($C830="","",DATE(YEAR($C830),MONTH($C830),1))</f>
        <v/>
      </c>
      <c r="P830" s="113">
        <f>IF($C830="","",IF(AND($D830="Gelir",$L830&lt;&gt;"",$T830=""),"TANIMSIZ BORÇLU",IF($T830&lt;&gt;"",IF(OR($E830="",$G830&lt;=0),"EKSİK",IF($I830="Evet","TAHAKKUK NAKİT OLAMAZ",IF($C830&gt;TODAY(),"İLERİ TARİH","TAHAKKUK"))),IF(AND($D830&lt;&gt;"",$E830&lt;&gt;"",$G830&gt;0,$H830&lt;&gt;"",$I830&lt;&gt;""),IF($C830&gt;TODAY(),"İLERİ TARİH",IF(COUNTIF($W$7:$W$1206,$W830)&gt;1,"MÜKERRER?",IF($AD830&gt;0,"KAPALI DÖNEM",IF($I830="Hayır","ÖDENECEK","UYGUN")))),"EKSİK"))))</f>
        <v/>
      </c>
      <c r="Q830" s="6" t="n"/>
      <c r="R830" s="6" t="n"/>
      <c r="S830" s="3">
        <f>IF($L830="","",UPPER(SUBSTITUTE(SUBSTITUTE(SUBSTITUTE(SUBSTITUTE(SUBSTITUTE(SUBSTITUTE(SUBSTITUTE(SUBSTITUTE(SUBSTITUTE(SUBSTITUTE(SUBSTITUTE(SUBSTITUTE(SUBSTITUTE(SUBSTITUTE(SUBSTITUTE(SUBSTITUTE(SUBSTITUTE(SUBSTITUTE(TRIM($L830),"'",""),"İ","I"),"ı","I"),"i","I"),"Ş","S"),"ş","S"),"Ğ","G"),"ğ","G"),"Ü","U"),"ü","U"),"Ö","O"),"ö","O"),"Ç","C"),"ç","C"),".",""),",","")," ",""),"-","")))</f>
        <v/>
      </c>
      <c r="T830" s="3">
        <f>IF(OR($C830="",$D830&lt;&gt;"Gelir",$L830=""),"",IFERROR(INDEX(MUSTERILER!$B$7:$B$106,MATCH($S830,MUSTERILER!$T$7:$T$106,0)),""))</f>
        <v/>
      </c>
      <c r="U830" s="3">
        <f>IF($T830="","",$T830&amp;"|"&amp;COUNTIFS($T$7:$T830,$T830))</f>
        <v/>
      </c>
      <c r="V830" s="3">
        <f>IF($T830="",0,1)</f>
        <v/>
      </c>
      <c r="W830" s="3">
        <f>IF($C830="","",$D830&amp;"|"&amp;$E830&amp;"|"&amp;TEXT($C830,"0")&amp;"|"&amp;TEXT($G830,"0")&amp;"|"&amp;$J830)</f>
        <v/>
      </c>
      <c r="X830" s="3" t="n"/>
      <c r="Y830" s="3" t="n"/>
      <c r="Z830" s="3" t="n"/>
      <c r="AA830" s="3" t="n"/>
      <c r="AB830" s="3" t="n"/>
      <c r="AC830" s="3" t="n"/>
      <c r="AD830" s="3">
        <f>IF($C830="",0,SUMPRODUCT((AY_SONU!$O$7:$O$42="Evet")*(AY_SONU!$B$7:$B$42=DATE(YEAR($C830),MONTH($C830),1))))</f>
        <v/>
      </c>
    </row>
    <row r="831">
      <c r="A831" s="6" t="n"/>
      <c r="B831" s="113">
        <f>IF($C831="","","GG"&amp;TEXT(ROW()-6,"00000"))</f>
        <v/>
      </c>
      <c r="C831" s="220" t="n"/>
      <c r="D831" s="108" t="n"/>
      <c r="E831" s="109" t="n"/>
      <c r="F831" s="109" t="n"/>
      <c r="G831" s="221" t="n"/>
      <c r="H831" s="108" t="n"/>
      <c r="I831" s="108" t="n"/>
      <c r="J831" s="109" t="n"/>
      <c r="K831" s="109" t="n"/>
      <c r="L831" s="108" t="n"/>
      <c r="M831" s="121">
        <f>IF($C831="","",IF($D831="Gider",$E831,IF($L831&lt;&gt;"",$L831,$H831)))</f>
        <v/>
      </c>
      <c r="N831" s="121">
        <f>IF($C831="","",IF($D831="Gider",$H831,$E831))</f>
        <v/>
      </c>
      <c r="O831" s="226">
        <f>IF($C831="","",DATE(YEAR($C831),MONTH($C831),1))</f>
        <v/>
      </c>
      <c r="P831" s="113">
        <f>IF($C831="","",IF(AND($D831="Gelir",$L831&lt;&gt;"",$T831=""),"TANIMSIZ BORÇLU",IF($T831&lt;&gt;"",IF(OR($E831="",$G831&lt;=0),"EKSİK",IF($I831="Evet","TAHAKKUK NAKİT OLAMAZ",IF($C831&gt;TODAY(),"İLERİ TARİH","TAHAKKUK"))),IF(AND($D831&lt;&gt;"",$E831&lt;&gt;"",$G831&gt;0,$H831&lt;&gt;"",$I831&lt;&gt;""),IF($C831&gt;TODAY(),"İLERİ TARİH",IF(COUNTIF($W$7:$W$1206,$W831)&gt;1,"MÜKERRER?",IF($AD831&gt;0,"KAPALI DÖNEM",IF($I831="Hayır","ÖDENECEK","UYGUN")))),"EKSİK"))))</f>
        <v/>
      </c>
      <c r="Q831" s="6" t="n"/>
      <c r="R831" s="6" t="n"/>
      <c r="S831" s="3">
        <f>IF($L831="","",UPPER(SUBSTITUTE(SUBSTITUTE(SUBSTITUTE(SUBSTITUTE(SUBSTITUTE(SUBSTITUTE(SUBSTITUTE(SUBSTITUTE(SUBSTITUTE(SUBSTITUTE(SUBSTITUTE(SUBSTITUTE(SUBSTITUTE(SUBSTITUTE(SUBSTITUTE(SUBSTITUTE(SUBSTITUTE(SUBSTITUTE(TRIM($L831),"'",""),"İ","I"),"ı","I"),"i","I"),"Ş","S"),"ş","S"),"Ğ","G"),"ğ","G"),"Ü","U"),"ü","U"),"Ö","O"),"ö","O"),"Ç","C"),"ç","C"),".",""),",","")," ",""),"-","")))</f>
        <v/>
      </c>
      <c r="T831" s="3">
        <f>IF(OR($C831="",$D831&lt;&gt;"Gelir",$L831=""),"",IFERROR(INDEX(MUSTERILER!$B$7:$B$106,MATCH($S831,MUSTERILER!$T$7:$T$106,0)),""))</f>
        <v/>
      </c>
      <c r="U831" s="3">
        <f>IF($T831="","",$T831&amp;"|"&amp;COUNTIFS($T$7:$T831,$T831))</f>
        <v/>
      </c>
      <c r="V831" s="3">
        <f>IF($T831="",0,1)</f>
        <v/>
      </c>
      <c r="W831" s="3">
        <f>IF($C831="","",$D831&amp;"|"&amp;$E831&amp;"|"&amp;TEXT($C831,"0")&amp;"|"&amp;TEXT($G831,"0")&amp;"|"&amp;$J831)</f>
        <v/>
      </c>
      <c r="X831" s="3" t="n"/>
      <c r="Y831" s="3" t="n"/>
      <c r="Z831" s="3" t="n"/>
      <c r="AA831" s="3" t="n"/>
      <c r="AB831" s="3" t="n"/>
      <c r="AC831" s="3" t="n"/>
      <c r="AD831" s="3">
        <f>IF($C831="",0,SUMPRODUCT((AY_SONU!$O$7:$O$42="Evet")*(AY_SONU!$B$7:$B$42=DATE(YEAR($C831),MONTH($C831),1))))</f>
        <v/>
      </c>
    </row>
    <row r="832">
      <c r="A832" s="6" t="n"/>
      <c r="B832" s="113">
        <f>IF($C832="","","GG"&amp;TEXT(ROW()-6,"00000"))</f>
        <v/>
      </c>
      <c r="C832" s="220" t="n"/>
      <c r="D832" s="108" t="n"/>
      <c r="E832" s="109" t="n"/>
      <c r="F832" s="109" t="n"/>
      <c r="G832" s="221" t="n"/>
      <c r="H832" s="108" t="n"/>
      <c r="I832" s="108" t="n"/>
      <c r="J832" s="109" t="n"/>
      <c r="K832" s="109" t="n"/>
      <c r="L832" s="108" t="n"/>
      <c r="M832" s="121">
        <f>IF($C832="","",IF($D832="Gider",$E832,IF($L832&lt;&gt;"",$L832,$H832)))</f>
        <v/>
      </c>
      <c r="N832" s="121">
        <f>IF($C832="","",IF($D832="Gider",$H832,$E832))</f>
        <v/>
      </c>
      <c r="O832" s="226">
        <f>IF($C832="","",DATE(YEAR($C832),MONTH($C832),1))</f>
        <v/>
      </c>
      <c r="P832" s="113">
        <f>IF($C832="","",IF(AND($D832="Gelir",$L832&lt;&gt;"",$T832=""),"TANIMSIZ BORÇLU",IF($T832&lt;&gt;"",IF(OR($E832="",$G832&lt;=0),"EKSİK",IF($I832="Evet","TAHAKKUK NAKİT OLAMAZ",IF($C832&gt;TODAY(),"İLERİ TARİH","TAHAKKUK"))),IF(AND($D832&lt;&gt;"",$E832&lt;&gt;"",$G832&gt;0,$H832&lt;&gt;"",$I832&lt;&gt;""),IF($C832&gt;TODAY(),"İLERİ TARİH",IF(COUNTIF($W$7:$W$1206,$W832)&gt;1,"MÜKERRER?",IF($AD832&gt;0,"KAPALI DÖNEM",IF($I832="Hayır","ÖDENECEK","UYGUN")))),"EKSİK"))))</f>
        <v/>
      </c>
      <c r="Q832" s="6" t="n"/>
      <c r="R832" s="6" t="n"/>
      <c r="S832" s="3">
        <f>IF($L832="","",UPPER(SUBSTITUTE(SUBSTITUTE(SUBSTITUTE(SUBSTITUTE(SUBSTITUTE(SUBSTITUTE(SUBSTITUTE(SUBSTITUTE(SUBSTITUTE(SUBSTITUTE(SUBSTITUTE(SUBSTITUTE(SUBSTITUTE(SUBSTITUTE(SUBSTITUTE(SUBSTITUTE(SUBSTITUTE(SUBSTITUTE(TRIM($L832),"'",""),"İ","I"),"ı","I"),"i","I"),"Ş","S"),"ş","S"),"Ğ","G"),"ğ","G"),"Ü","U"),"ü","U"),"Ö","O"),"ö","O"),"Ç","C"),"ç","C"),".",""),",","")," ",""),"-","")))</f>
        <v/>
      </c>
      <c r="T832" s="3">
        <f>IF(OR($C832="",$D832&lt;&gt;"Gelir",$L832=""),"",IFERROR(INDEX(MUSTERILER!$B$7:$B$106,MATCH($S832,MUSTERILER!$T$7:$T$106,0)),""))</f>
        <v/>
      </c>
      <c r="U832" s="3">
        <f>IF($T832="","",$T832&amp;"|"&amp;COUNTIFS($T$7:$T832,$T832))</f>
        <v/>
      </c>
      <c r="V832" s="3">
        <f>IF($T832="",0,1)</f>
        <v/>
      </c>
      <c r="W832" s="3">
        <f>IF($C832="","",$D832&amp;"|"&amp;$E832&amp;"|"&amp;TEXT($C832,"0")&amp;"|"&amp;TEXT($G832,"0")&amp;"|"&amp;$J832)</f>
        <v/>
      </c>
      <c r="X832" s="3" t="n"/>
      <c r="Y832" s="3" t="n"/>
      <c r="Z832" s="3" t="n"/>
      <c r="AA832" s="3" t="n"/>
      <c r="AB832" s="3" t="n"/>
      <c r="AC832" s="3" t="n"/>
      <c r="AD832" s="3">
        <f>IF($C832="",0,SUMPRODUCT((AY_SONU!$O$7:$O$42="Evet")*(AY_SONU!$B$7:$B$42=DATE(YEAR($C832),MONTH($C832),1))))</f>
        <v/>
      </c>
    </row>
    <row r="833">
      <c r="A833" s="6" t="n"/>
      <c r="B833" s="113">
        <f>IF($C833="","","GG"&amp;TEXT(ROW()-6,"00000"))</f>
        <v/>
      </c>
      <c r="C833" s="220" t="n"/>
      <c r="D833" s="108" t="n"/>
      <c r="E833" s="109" t="n"/>
      <c r="F833" s="109" t="n"/>
      <c r="G833" s="221" t="n"/>
      <c r="H833" s="108" t="n"/>
      <c r="I833" s="108" t="n"/>
      <c r="J833" s="109" t="n"/>
      <c r="K833" s="109" t="n"/>
      <c r="L833" s="108" t="n"/>
      <c r="M833" s="121">
        <f>IF($C833="","",IF($D833="Gider",$E833,IF($L833&lt;&gt;"",$L833,$H833)))</f>
        <v/>
      </c>
      <c r="N833" s="121">
        <f>IF($C833="","",IF($D833="Gider",$H833,$E833))</f>
        <v/>
      </c>
      <c r="O833" s="226">
        <f>IF($C833="","",DATE(YEAR($C833),MONTH($C833),1))</f>
        <v/>
      </c>
      <c r="P833" s="113">
        <f>IF($C833="","",IF(AND($D833="Gelir",$L833&lt;&gt;"",$T833=""),"TANIMSIZ BORÇLU",IF($T833&lt;&gt;"",IF(OR($E833="",$G833&lt;=0),"EKSİK",IF($I833="Evet","TAHAKKUK NAKİT OLAMAZ",IF($C833&gt;TODAY(),"İLERİ TARİH","TAHAKKUK"))),IF(AND($D833&lt;&gt;"",$E833&lt;&gt;"",$G833&gt;0,$H833&lt;&gt;"",$I833&lt;&gt;""),IF($C833&gt;TODAY(),"İLERİ TARİH",IF(COUNTIF($W$7:$W$1206,$W833)&gt;1,"MÜKERRER?",IF($AD833&gt;0,"KAPALI DÖNEM",IF($I833="Hayır","ÖDENECEK","UYGUN")))),"EKSİK"))))</f>
        <v/>
      </c>
      <c r="Q833" s="6" t="n"/>
      <c r="R833" s="6" t="n"/>
      <c r="S833" s="3">
        <f>IF($L833="","",UPPER(SUBSTITUTE(SUBSTITUTE(SUBSTITUTE(SUBSTITUTE(SUBSTITUTE(SUBSTITUTE(SUBSTITUTE(SUBSTITUTE(SUBSTITUTE(SUBSTITUTE(SUBSTITUTE(SUBSTITUTE(SUBSTITUTE(SUBSTITUTE(SUBSTITUTE(SUBSTITUTE(SUBSTITUTE(SUBSTITUTE(TRIM($L833),"'",""),"İ","I"),"ı","I"),"i","I"),"Ş","S"),"ş","S"),"Ğ","G"),"ğ","G"),"Ü","U"),"ü","U"),"Ö","O"),"ö","O"),"Ç","C"),"ç","C"),".",""),",","")," ",""),"-","")))</f>
        <v/>
      </c>
      <c r="T833" s="3">
        <f>IF(OR($C833="",$D833&lt;&gt;"Gelir",$L833=""),"",IFERROR(INDEX(MUSTERILER!$B$7:$B$106,MATCH($S833,MUSTERILER!$T$7:$T$106,0)),""))</f>
        <v/>
      </c>
      <c r="U833" s="3">
        <f>IF($T833="","",$T833&amp;"|"&amp;COUNTIFS($T$7:$T833,$T833))</f>
        <v/>
      </c>
      <c r="V833" s="3">
        <f>IF($T833="",0,1)</f>
        <v/>
      </c>
      <c r="W833" s="3">
        <f>IF($C833="","",$D833&amp;"|"&amp;$E833&amp;"|"&amp;TEXT($C833,"0")&amp;"|"&amp;TEXT($G833,"0")&amp;"|"&amp;$J833)</f>
        <v/>
      </c>
      <c r="X833" s="3" t="n"/>
      <c r="Y833" s="3" t="n"/>
      <c r="Z833" s="3" t="n"/>
      <c r="AA833" s="3" t="n"/>
      <c r="AB833" s="3" t="n"/>
      <c r="AC833" s="3" t="n"/>
      <c r="AD833" s="3">
        <f>IF($C833="",0,SUMPRODUCT((AY_SONU!$O$7:$O$42="Evet")*(AY_SONU!$B$7:$B$42=DATE(YEAR($C833),MONTH($C833),1))))</f>
        <v/>
      </c>
    </row>
    <row r="834">
      <c r="A834" s="6" t="n"/>
      <c r="B834" s="113">
        <f>IF($C834="","","GG"&amp;TEXT(ROW()-6,"00000"))</f>
        <v/>
      </c>
      <c r="C834" s="220" t="n"/>
      <c r="D834" s="108" t="n"/>
      <c r="E834" s="109" t="n"/>
      <c r="F834" s="109" t="n"/>
      <c r="G834" s="221" t="n"/>
      <c r="H834" s="108" t="n"/>
      <c r="I834" s="108" t="n"/>
      <c r="J834" s="109" t="n"/>
      <c r="K834" s="109" t="n"/>
      <c r="L834" s="108" t="n"/>
      <c r="M834" s="121">
        <f>IF($C834="","",IF($D834="Gider",$E834,IF($L834&lt;&gt;"",$L834,$H834)))</f>
        <v/>
      </c>
      <c r="N834" s="121">
        <f>IF($C834="","",IF($D834="Gider",$H834,$E834))</f>
        <v/>
      </c>
      <c r="O834" s="226">
        <f>IF($C834="","",DATE(YEAR($C834),MONTH($C834),1))</f>
        <v/>
      </c>
      <c r="P834" s="113">
        <f>IF($C834="","",IF(AND($D834="Gelir",$L834&lt;&gt;"",$T834=""),"TANIMSIZ BORÇLU",IF($T834&lt;&gt;"",IF(OR($E834="",$G834&lt;=0),"EKSİK",IF($I834="Evet","TAHAKKUK NAKİT OLAMAZ",IF($C834&gt;TODAY(),"İLERİ TARİH","TAHAKKUK"))),IF(AND($D834&lt;&gt;"",$E834&lt;&gt;"",$G834&gt;0,$H834&lt;&gt;"",$I834&lt;&gt;""),IF($C834&gt;TODAY(),"İLERİ TARİH",IF(COUNTIF($W$7:$W$1206,$W834)&gt;1,"MÜKERRER?",IF($AD834&gt;0,"KAPALI DÖNEM",IF($I834="Hayır","ÖDENECEK","UYGUN")))),"EKSİK"))))</f>
        <v/>
      </c>
      <c r="Q834" s="6" t="n"/>
      <c r="R834" s="6" t="n"/>
      <c r="S834" s="3">
        <f>IF($L834="","",UPPER(SUBSTITUTE(SUBSTITUTE(SUBSTITUTE(SUBSTITUTE(SUBSTITUTE(SUBSTITUTE(SUBSTITUTE(SUBSTITUTE(SUBSTITUTE(SUBSTITUTE(SUBSTITUTE(SUBSTITUTE(SUBSTITUTE(SUBSTITUTE(SUBSTITUTE(SUBSTITUTE(SUBSTITUTE(SUBSTITUTE(TRIM($L834),"'",""),"İ","I"),"ı","I"),"i","I"),"Ş","S"),"ş","S"),"Ğ","G"),"ğ","G"),"Ü","U"),"ü","U"),"Ö","O"),"ö","O"),"Ç","C"),"ç","C"),".",""),",","")," ",""),"-","")))</f>
        <v/>
      </c>
      <c r="T834" s="3">
        <f>IF(OR($C834="",$D834&lt;&gt;"Gelir",$L834=""),"",IFERROR(INDEX(MUSTERILER!$B$7:$B$106,MATCH($S834,MUSTERILER!$T$7:$T$106,0)),""))</f>
        <v/>
      </c>
      <c r="U834" s="3">
        <f>IF($T834="","",$T834&amp;"|"&amp;COUNTIFS($T$7:$T834,$T834))</f>
        <v/>
      </c>
      <c r="V834" s="3">
        <f>IF($T834="",0,1)</f>
        <v/>
      </c>
      <c r="W834" s="3">
        <f>IF($C834="","",$D834&amp;"|"&amp;$E834&amp;"|"&amp;TEXT($C834,"0")&amp;"|"&amp;TEXT($G834,"0")&amp;"|"&amp;$J834)</f>
        <v/>
      </c>
      <c r="X834" s="3" t="n"/>
      <c r="Y834" s="3" t="n"/>
      <c r="Z834" s="3" t="n"/>
      <c r="AA834" s="3" t="n"/>
      <c r="AB834" s="3" t="n"/>
      <c r="AC834" s="3" t="n"/>
      <c r="AD834" s="3">
        <f>IF($C834="",0,SUMPRODUCT((AY_SONU!$O$7:$O$42="Evet")*(AY_SONU!$B$7:$B$42=DATE(YEAR($C834),MONTH($C834),1))))</f>
        <v/>
      </c>
    </row>
    <row r="835">
      <c r="A835" s="6" t="n"/>
      <c r="B835" s="113">
        <f>IF($C835="","","GG"&amp;TEXT(ROW()-6,"00000"))</f>
        <v/>
      </c>
      <c r="C835" s="220" t="n"/>
      <c r="D835" s="108" t="n"/>
      <c r="E835" s="109" t="n"/>
      <c r="F835" s="109" t="n"/>
      <c r="G835" s="221" t="n"/>
      <c r="H835" s="108" t="n"/>
      <c r="I835" s="108" t="n"/>
      <c r="J835" s="109" t="n"/>
      <c r="K835" s="109" t="n"/>
      <c r="L835" s="108" t="n"/>
      <c r="M835" s="121">
        <f>IF($C835="","",IF($D835="Gider",$E835,IF($L835&lt;&gt;"",$L835,$H835)))</f>
        <v/>
      </c>
      <c r="N835" s="121">
        <f>IF($C835="","",IF($D835="Gider",$H835,$E835))</f>
        <v/>
      </c>
      <c r="O835" s="226">
        <f>IF($C835="","",DATE(YEAR($C835),MONTH($C835),1))</f>
        <v/>
      </c>
      <c r="P835" s="113">
        <f>IF($C835="","",IF(AND($D835="Gelir",$L835&lt;&gt;"",$T835=""),"TANIMSIZ BORÇLU",IF($T835&lt;&gt;"",IF(OR($E835="",$G835&lt;=0),"EKSİK",IF($I835="Evet","TAHAKKUK NAKİT OLAMAZ",IF($C835&gt;TODAY(),"İLERİ TARİH","TAHAKKUK"))),IF(AND($D835&lt;&gt;"",$E835&lt;&gt;"",$G835&gt;0,$H835&lt;&gt;"",$I835&lt;&gt;""),IF($C835&gt;TODAY(),"İLERİ TARİH",IF(COUNTIF($W$7:$W$1206,$W835)&gt;1,"MÜKERRER?",IF($AD835&gt;0,"KAPALI DÖNEM",IF($I835="Hayır","ÖDENECEK","UYGUN")))),"EKSİK"))))</f>
        <v/>
      </c>
      <c r="Q835" s="6" t="n"/>
      <c r="R835" s="6" t="n"/>
      <c r="S835" s="3">
        <f>IF($L835="","",UPPER(SUBSTITUTE(SUBSTITUTE(SUBSTITUTE(SUBSTITUTE(SUBSTITUTE(SUBSTITUTE(SUBSTITUTE(SUBSTITUTE(SUBSTITUTE(SUBSTITUTE(SUBSTITUTE(SUBSTITUTE(SUBSTITUTE(SUBSTITUTE(SUBSTITUTE(SUBSTITUTE(SUBSTITUTE(SUBSTITUTE(TRIM($L835),"'",""),"İ","I"),"ı","I"),"i","I"),"Ş","S"),"ş","S"),"Ğ","G"),"ğ","G"),"Ü","U"),"ü","U"),"Ö","O"),"ö","O"),"Ç","C"),"ç","C"),".",""),",","")," ",""),"-","")))</f>
        <v/>
      </c>
      <c r="T835" s="3">
        <f>IF(OR($C835="",$D835&lt;&gt;"Gelir",$L835=""),"",IFERROR(INDEX(MUSTERILER!$B$7:$B$106,MATCH($S835,MUSTERILER!$T$7:$T$106,0)),""))</f>
        <v/>
      </c>
      <c r="U835" s="3">
        <f>IF($T835="","",$T835&amp;"|"&amp;COUNTIFS($T$7:$T835,$T835))</f>
        <v/>
      </c>
      <c r="V835" s="3">
        <f>IF($T835="",0,1)</f>
        <v/>
      </c>
      <c r="W835" s="3">
        <f>IF($C835="","",$D835&amp;"|"&amp;$E835&amp;"|"&amp;TEXT($C835,"0")&amp;"|"&amp;TEXT($G835,"0")&amp;"|"&amp;$J835)</f>
        <v/>
      </c>
      <c r="X835" s="3" t="n"/>
      <c r="Y835" s="3" t="n"/>
      <c r="Z835" s="3" t="n"/>
      <c r="AA835" s="3" t="n"/>
      <c r="AB835" s="3" t="n"/>
      <c r="AC835" s="3" t="n"/>
      <c r="AD835" s="3">
        <f>IF($C835="",0,SUMPRODUCT((AY_SONU!$O$7:$O$42="Evet")*(AY_SONU!$B$7:$B$42=DATE(YEAR($C835),MONTH($C835),1))))</f>
        <v/>
      </c>
    </row>
    <row r="836">
      <c r="A836" s="6" t="n"/>
      <c r="B836" s="113">
        <f>IF($C836="","","GG"&amp;TEXT(ROW()-6,"00000"))</f>
        <v/>
      </c>
      <c r="C836" s="220" t="n"/>
      <c r="D836" s="108" t="n"/>
      <c r="E836" s="109" t="n"/>
      <c r="F836" s="109" t="n"/>
      <c r="G836" s="221" t="n"/>
      <c r="H836" s="108" t="n"/>
      <c r="I836" s="108" t="n"/>
      <c r="J836" s="109" t="n"/>
      <c r="K836" s="109" t="n"/>
      <c r="L836" s="108" t="n"/>
      <c r="M836" s="121">
        <f>IF($C836="","",IF($D836="Gider",$E836,IF($L836&lt;&gt;"",$L836,$H836)))</f>
        <v/>
      </c>
      <c r="N836" s="121">
        <f>IF($C836="","",IF($D836="Gider",$H836,$E836))</f>
        <v/>
      </c>
      <c r="O836" s="226">
        <f>IF($C836="","",DATE(YEAR($C836),MONTH($C836),1))</f>
        <v/>
      </c>
      <c r="P836" s="113">
        <f>IF($C836="","",IF(AND($D836="Gelir",$L836&lt;&gt;"",$T836=""),"TANIMSIZ BORÇLU",IF($T836&lt;&gt;"",IF(OR($E836="",$G836&lt;=0),"EKSİK",IF($I836="Evet","TAHAKKUK NAKİT OLAMAZ",IF($C836&gt;TODAY(),"İLERİ TARİH","TAHAKKUK"))),IF(AND($D836&lt;&gt;"",$E836&lt;&gt;"",$G836&gt;0,$H836&lt;&gt;"",$I836&lt;&gt;""),IF($C836&gt;TODAY(),"İLERİ TARİH",IF(COUNTIF($W$7:$W$1206,$W836)&gt;1,"MÜKERRER?",IF($AD836&gt;0,"KAPALI DÖNEM",IF($I836="Hayır","ÖDENECEK","UYGUN")))),"EKSİK"))))</f>
        <v/>
      </c>
      <c r="Q836" s="6" t="n"/>
      <c r="R836" s="6" t="n"/>
      <c r="S836" s="3">
        <f>IF($L836="","",UPPER(SUBSTITUTE(SUBSTITUTE(SUBSTITUTE(SUBSTITUTE(SUBSTITUTE(SUBSTITUTE(SUBSTITUTE(SUBSTITUTE(SUBSTITUTE(SUBSTITUTE(SUBSTITUTE(SUBSTITUTE(SUBSTITUTE(SUBSTITUTE(SUBSTITUTE(SUBSTITUTE(SUBSTITUTE(SUBSTITUTE(TRIM($L836),"'",""),"İ","I"),"ı","I"),"i","I"),"Ş","S"),"ş","S"),"Ğ","G"),"ğ","G"),"Ü","U"),"ü","U"),"Ö","O"),"ö","O"),"Ç","C"),"ç","C"),".",""),",","")," ",""),"-","")))</f>
        <v/>
      </c>
      <c r="T836" s="3">
        <f>IF(OR($C836="",$D836&lt;&gt;"Gelir",$L836=""),"",IFERROR(INDEX(MUSTERILER!$B$7:$B$106,MATCH($S836,MUSTERILER!$T$7:$T$106,0)),""))</f>
        <v/>
      </c>
      <c r="U836" s="3">
        <f>IF($T836="","",$T836&amp;"|"&amp;COUNTIFS($T$7:$T836,$T836))</f>
        <v/>
      </c>
      <c r="V836" s="3">
        <f>IF($T836="",0,1)</f>
        <v/>
      </c>
      <c r="W836" s="3">
        <f>IF($C836="","",$D836&amp;"|"&amp;$E836&amp;"|"&amp;TEXT($C836,"0")&amp;"|"&amp;TEXT($G836,"0")&amp;"|"&amp;$J836)</f>
        <v/>
      </c>
      <c r="X836" s="3" t="n"/>
      <c r="Y836" s="3" t="n"/>
      <c r="Z836" s="3" t="n"/>
      <c r="AA836" s="3" t="n"/>
      <c r="AB836" s="3" t="n"/>
      <c r="AC836" s="3" t="n"/>
      <c r="AD836" s="3">
        <f>IF($C836="",0,SUMPRODUCT((AY_SONU!$O$7:$O$42="Evet")*(AY_SONU!$B$7:$B$42=DATE(YEAR($C836),MONTH($C836),1))))</f>
        <v/>
      </c>
    </row>
    <row r="837">
      <c r="A837" s="6" t="n"/>
      <c r="B837" s="113">
        <f>IF($C837="","","GG"&amp;TEXT(ROW()-6,"00000"))</f>
        <v/>
      </c>
      <c r="C837" s="220" t="n"/>
      <c r="D837" s="108" t="n"/>
      <c r="E837" s="109" t="n"/>
      <c r="F837" s="109" t="n"/>
      <c r="G837" s="221" t="n"/>
      <c r="H837" s="108" t="n"/>
      <c r="I837" s="108" t="n"/>
      <c r="J837" s="109" t="n"/>
      <c r="K837" s="109" t="n"/>
      <c r="L837" s="108" t="n"/>
      <c r="M837" s="121">
        <f>IF($C837="","",IF($D837="Gider",$E837,IF($L837&lt;&gt;"",$L837,$H837)))</f>
        <v/>
      </c>
      <c r="N837" s="121">
        <f>IF($C837="","",IF($D837="Gider",$H837,$E837))</f>
        <v/>
      </c>
      <c r="O837" s="226">
        <f>IF($C837="","",DATE(YEAR($C837),MONTH($C837),1))</f>
        <v/>
      </c>
      <c r="P837" s="113">
        <f>IF($C837="","",IF(AND($D837="Gelir",$L837&lt;&gt;"",$T837=""),"TANIMSIZ BORÇLU",IF($T837&lt;&gt;"",IF(OR($E837="",$G837&lt;=0),"EKSİK",IF($I837="Evet","TAHAKKUK NAKİT OLAMAZ",IF($C837&gt;TODAY(),"İLERİ TARİH","TAHAKKUK"))),IF(AND($D837&lt;&gt;"",$E837&lt;&gt;"",$G837&gt;0,$H837&lt;&gt;"",$I837&lt;&gt;""),IF($C837&gt;TODAY(),"İLERİ TARİH",IF(COUNTIF($W$7:$W$1206,$W837)&gt;1,"MÜKERRER?",IF($AD837&gt;0,"KAPALI DÖNEM",IF($I837="Hayır","ÖDENECEK","UYGUN")))),"EKSİK"))))</f>
        <v/>
      </c>
      <c r="Q837" s="6" t="n"/>
      <c r="R837" s="6" t="n"/>
      <c r="S837" s="3">
        <f>IF($L837="","",UPPER(SUBSTITUTE(SUBSTITUTE(SUBSTITUTE(SUBSTITUTE(SUBSTITUTE(SUBSTITUTE(SUBSTITUTE(SUBSTITUTE(SUBSTITUTE(SUBSTITUTE(SUBSTITUTE(SUBSTITUTE(SUBSTITUTE(SUBSTITUTE(SUBSTITUTE(SUBSTITUTE(SUBSTITUTE(SUBSTITUTE(TRIM($L837),"'",""),"İ","I"),"ı","I"),"i","I"),"Ş","S"),"ş","S"),"Ğ","G"),"ğ","G"),"Ü","U"),"ü","U"),"Ö","O"),"ö","O"),"Ç","C"),"ç","C"),".",""),",","")," ",""),"-","")))</f>
        <v/>
      </c>
      <c r="T837" s="3">
        <f>IF(OR($C837="",$D837&lt;&gt;"Gelir",$L837=""),"",IFERROR(INDEX(MUSTERILER!$B$7:$B$106,MATCH($S837,MUSTERILER!$T$7:$T$106,0)),""))</f>
        <v/>
      </c>
      <c r="U837" s="3">
        <f>IF($T837="","",$T837&amp;"|"&amp;COUNTIFS($T$7:$T837,$T837))</f>
        <v/>
      </c>
      <c r="V837" s="3">
        <f>IF($T837="",0,1)</f>
        <v/>
      </c>
      <c r="W837" s="3">
        <f>IF($C837="","",$D837&amp;"|"&amp;$E837&amp;"|"&amp;TEXT($C837,"0")&amp;"|"&amp;TEXT($G837,"0")&amp;"|"&amp;$J837)</f>
        <v/>
      </c>
      <c r="X837" s="3" t="n"/>
      <c r="Y837" s="3" t="n"/>
      <c r="Z837" s="3" t="n"/>
      <c r="AA837" s="3" t="n"/>
      <c r="AB837" s="3" t="n"/>
      <c r="AC837" s="3" t="n"/>
      <c r="AD837" s="3">
        <f>IF($C837="",0,SUMPRODUCT((AY_SONU!$O$7:$O$42="Evet")*(AY_SONU!$B$7:$B$42=DATE(YEAR($C837),MONTH($C837),1))))</f>
        <v/>
      </c>
    </row>
    <row r="838">
      <c r="A838" s="6" t="n"/>
      <c r="B838" s="113">
        <f>IF($C838="","","GG"&amp;TEXT(ROW()-6,"00000"))</f>
        <v/>
      </c>
      <c r="C838" s="220" t="n"/>
      <c r="D838" s="108" t="n"/>
      <c r="E838" s="109" t="n"/>
      <c r="F838" s="109" t="n"/>
      <c r="G838" s="221" t="n"/>
      <c r="H838" s="108" t="n"/>
      <c r="I838" s="108" t="n"/>
      <c r="J838" s="109" t="n"/>
      <c r="K838" s="109" t="n"/>
      <c r="L838" s="108" t="n"/>
      <c r="M838" s="121">
        <f>IF($C838="","",IF($D838="Gider",$E838,IF($L838&lt;&gt;"",$L838,$H838)))</f>
        <v/>
      </c>
      <c r="N838" s="121">
        <f>IF($C838="","",IF($D838="Gider",$H838,$E838))</f>
        <v/>
      </c>
      <c r="O838" s="226">
        <f>IF($C838="","",DATE(YEAR($C838),MONTH($C838),1))</f>
        <v/>
      </c>
      <c r="P838" s="113">
        <f>IF($C838="","",IF(AND($D838="Gelir",$L838&lt;&gt;"",$T838=""),"TANIMSIZ BORÇLU",IF($T838&lt;&gt;"",IF(OR($E838="",$G838&lt;=0),"EKSİK",IF($I838="Evet","TAHAKKUK NAKİT OLAMAZ",IF($C838&gt;TODAY(),"İLERİ TARİH","TAHAKKUK"))),IF(AND($D838&lt;&gt;"",$E838&lt;&gt;"",$G838&gt;0,$H838&lt;&gt;"",$I838&lt;&gt;""),IF($C838&gt;TODAY(),"İLERİ TARİH",IF(COUNTIF($W$7:$W$1206,$W838)&gt;1,"MÜKERRER?",IF($AD838&gt;0,"KAPALI DÖNEM",IF($I838="Hayır","ÖDENECEK","UYGUN")))),"EKSİK"))))</f>
        <v/>
      </c>
      <c r="Q838" s="6" t="n"/>
      <c r="R838" s="6" t="n"/>
      <c r="S838" s="3">
        <f>IF($L838="","",UPPER(SUBSTITUTE(SUBSTITUTE(SUBSTITUTE(SUBSTITUTE(SUBSTITUTE(SUBSTITUTE(SUBSTITUTE(SUBSTITUTE(SUBSTITUTE(SUBSTITUTE(SUBSTITUTE(SUBSTITUTE(SUBSTITUTE(SUBSTITUTE(SUBSTITUTE(SUBSTITUTE(SUBSTITUTE(SUBSTITUTE(TRIM($L838),"'",""),"İ","I"),"ı","I"),"i","I"),"Ş","S"),"ş","S"),"Ğ","G"),"ğ","G"),"Ü","U"),"ü","U"),"Ö","O"),"ö","O"),"Ç","C"),"ç","C"),".",""),",","")," ",""),"-","")))</f>
        <v/>
      </c>
      <c r="T838" s="3">
        <f>IF(OR($C838="",$D838&lt;&gt;"Gelir",$L838=""),"",IFERROR(INDEX(MUSTERILER!$B$7:$B$106,MATCH($S838,MUSTERILER!$T$7:$T$106,0)),""))</f>
        <v/>
      </c>
      <c r="U838" s="3">
        <f>IF($T838="","",$T838&amp;"|"&amp;COUNTIFS($T$7:$T838,$T838))</f>
        <v/>
      </c>
      <c r="V838" s="3">
        <f>IF($T838="",0,1)</f>
        <v/>
      </c>
      <c r="W838" s="3">
        <f>IF($C838="","",$D838&amp;"|"&amp;$E838&amp;"|"&amp;TEXT($C838,"0")&amp;"|"&amp;TEXT($G838,"0")&amp;"|"&amp;$J838)</f>
        <v/>
      </c>
      <c r="X838" s="3" t="n"/>
      <c r="Y838" s="3" t="n"/>
      <c r="Z838" s="3" t="n"/>
      <c r="AA838" s="3" t="n"/>
      <c r="AB838" s="3" t="n"/>
      <c r="AC838" s="3" t="n"/>
      <c r="AD838" s="3">
        <f>IF($C838="",0,SUMPRODUCT((AY_SONU!$O$7:$O$42="Evet")*(AY_SONU!$B$7:$B$42=DATE(YEAR($C838),MONTH($C838),1))))</f>
        <v/>
      </c>
    </row>
    <row r="839">
      <c r="A839" s="6" t="n"/>
      <c r="B839" s="113">
        <f>IF($C839="","","GG"&amp;TEXT(ROW()-6,"00000"))</f>
        <v/>
      </c>
      <c r="C839" s="220" t="n"/>
      <c r="D839" s="108" t="n"/>
      <c r="E839" s="109" t="n"/>
      <c r="F839" s="109" t="n"/>
      <c r="G839" s="221" t="n"/>
      <c r="H839" s="108" t="n"/>
      <c r="I839" s="108" t="n"/>
      <c r="J839" s="109" t="n"/>
      <c r="K839" s="109" t="n"/>
      <c r="L839" s="108" t="n"/>
      <c r="M839" s="121">
        <f>IF($C839="","",IF($D839="Gider",$E839,IF($L839&lt;&gt;"",$L839,$H839)))</f>
        <v/>
      </c>
      <c r="N839" s="121">
        <f>IF($C839="","",IF($D839="Gider",$H839,$E839))</f>
        <v/>
      </c>
      <c r="O839" s="226">
        <f>IF($C839="","",DATE(YEAR($C839),MONTH($C839),1))</f>
        <v/>
      </c>
      <c r="P839" s="113">
        <f>IF($C839="","",IF(AND($D839="Gelir",$L839&lt;&gt;"",$T839=""),"TANIMSIZ BORÇLU",IF($T839&lt;&gt;"",IF(OR($E839="",$G839&lt;=0),"EKSİK",IF($I839="Evet","TAHAKKUK NAKİT OLAMAZ",IF($C839&gt;TODAY(),"İLERİ TARİH","TAHAKKUK"))),IF(AND($D839&lt;&gt;"",$E839&lt;&gt;"",$G839&gt;0,$H839&lt;&gt;"",$I839&lt;&gt;""),IF($C839&gt;TODAY(),"İLERİ TARİH",IF(COUNTIF($W$7:$W$1206,$W839)&gt;1,"MÜKERRER?",IF($AD839&gt;0,"KAPALI DÖNEM",IF($I839="Hayır","ÖDENECEK","UYGUN")))),"EKSİK"))))</f>
        <v/>
      </c>
      <c r="Q839" s="6" t="n"/>
      <c r="R839" s="6" t="n"/>
      <c r="S839" s="3">
        <f>IF($L839="","",UPPER(SUBSTITUTE(SUBSTITUTE(SUBSTITUTE(SUBSTITUTE(SUBSTITUTE(SUBSTITUTE(SUBSTITUTE(SUBSTITUTE(SUBSTITUTE(SUBSTITUTE(SUBSTITUTE(SUBSTITUTE(SUBSTITUTE(SUBSTITUTE(SUBSTITUTE(SUBSTITUTE(SUBSTITUTE(SUBSTITUTE(TRIM($L839),"'",""),"İ","I"),"ı","I"),"i","I"),"Ş","S"),"ş","S"),"Ğ","G"),"ğ","G"),"Ü","U"),"ü","U"),"Ö","O"),"ö","O"),"Ç","C"),"ç","C"),".",""),",","")," ",""),"-","")))</f>
        <v/>
      </c>
      <c r="T839" s="3">
        <f>IF(OR($C839="",$D839&lt;&gt;"Gelir",$L839=""),"",IFERROR(INDEX(MUSTERILER!$B$7:$B$106,MATCH($S839,MUSTERILER!$T$7:$T$106,0)),""))</f>
        <v/>
      </c>
      <c r="U839" s="3">
        <f>IF($T839="","",$T839&amp;"|"&amp;COUNTIFS($T$7:$T839,$T839))</f>
        <v/>
      </c>
      <c r="V839" s="3">
        <f>IF($T839="",0,1)</f>
        <v/>
      </c>
      <c r="W839" s="3">
        <f>IF($C839="","",$D839&amp;"|"&amp;$E839&amp;"|"&amp;TEXT($C839,"0")&amp;"|"&amp;TEXT($G839,"0")&amp;"|"&amp;$J839)</f>
        <v/>
      </c>
      <c r="X839" s="3" t="n"/>
      <c r="Y839" s="3" t="n"/>
      <c r="Z839" s="3" t="n"/>
      <c r="AA839" s="3" t="n"/>
      <c r="AB839" s="3" t="n"/>
      <c r="AC839" s="3" t="n"/>
      <c r="AD839" s="3">
        <f>IF($C839="",0,SUMPRODUCT((AY_SONU!$O$7:$O$42="Evet")*(AY_SONU!$B$7:$B$42=DATE(YEAR($C839),MONTH($C839),1))))</f>
        <v/>
      </c>
    </row>
    <row r="840">
      <c r="A840" s="6" t="n"/>
      <c r="B840" s="113">
        <f>IF($C840="","","GG"&amp;TEXT(ROW()-6,"00000"))</f>
        <v/>
      </c>
      <c r="C840" s="220" t="n"/>
      <c r="D840" s="108" t="n"/>
      <c r="E840" s="109" t="n"/>
      <c r="F840" s="109" t="n"/>
      <c r="G840" s="221" t="n"/>
      <c r="H840" s="108" t="n"/>
      <c r="I840" s="108" t="n"/>
      <c r="J840" s="109" t="n"/>
      <c r="K840" s="109" t="n"/>
      <c r="L840" s="108" t="n"/>
      <c r="M840" s="121">
        <f>IF($C840="","",IF($D840="Gider",$E840,IF($L840&lt;&gt;"",$L840,$H840)))</f>
        <v/>
      </c>
      <c r="N840" s="121">
        <f>IF($C840="","",IF($D840="Gider",$H840,$E840))</f>
        <v/>
      </c>
      <c r="O840" s="226">
        <f>IF($C840="","",DATE(YEAR($C840),MONTH($C840),1))</f>
        <v/>
      </c>
      <c r="P840" s="113">
        <f>IF($C840="","",IF(AND($D840="Gelir",$L840&lt;&gt;"",$T840=""),"TANIMSIZ BORÇLU",IF($T840&lt;&gt;"",IF(OR($E840="",$G840&lt;=0),"EKSİK",IF($I840="Evet","TAHAKKUK NAKİT OLAMAZ",IF($C840&gt;TODAY(),"İLERİ TARİH","TAHAKKUK"))),IF(AND($D840&lt;&gt;"",$E840&lt;&gt;"",$G840&gt;0,$H840&lt;&gt;"",$I840&lt;&gt;""),IF($C840&gt;TODAY(),"İLERİ TARİH",IF(COUNTIF($W$7:$W$1206,$W840)&gt;1,"MÜKERRER?",IF($AD840&gt;0,"KAPALI DÖNEM",IF($I840="Hayır","ÖDENECEK","UYGUN")))),"EKSİK"))))</f>
        <v/>
      </c>
      <c r="Q840" s="6" t="n"/>
      <c r="R840" s="6" t="n"/>
      <c r="S840" s="3">
        <f>IF($L840="","",UPPER(SUBSTITUTE(SUBSTITUTE(SUBSTITUTE(SUBSTITUTE(SUBSTITUTE(SUBSTITUTE(SUBSTITUTE(SUBSTITUTE(SUBSTITUTE(SUBSTITUTE(SUBSTITUTE(SUBSTITUTE(SUBSTITUTE(SUBSTITUTE(SUBSTITUTE(SUBSTITUTE(SUBSTITUTE(SUBSTITUTE(TRIM($L840),"'",""),"İ","I"),"ı","I"),"i","I"),"Ş","S"),"ş","S"),"Ğ","G"),"ğ","G"),"Ü","U"),"ü","U"),"Ö","O"),"ö","O"),"Ç","C"),"ç","C"),".",""),",","")," ",""),"-","")))</f>
        <v/>
      </c>
      <c r="T840" s="3">
        <f>IF(OR($C840="",$D840&lt;&gt;"Gelir",$L840=""),"",IFERROR(INDEX(MUSTERILER!$B$7:$B$106,MATCH($S840,MUSTERILER!$T$7:$T$106,0)),""))</f>
        <v/>
      </c>
      <c r="U840" s="3">
        <f>IF($T840="","",$T840&amp;"|"&amp;COUNTIFS($T$7:$T840,$T840))</f>
        <v/>
      </c>
      <c r="V840" s="3">
        <f>IF($T840="",0,1)</f>
        <v/>
      </c>
      <c r="W840" s="3">
        <f>IF($C840="","",$D840&amp;"|"&amp;$E840&amp;"|"&amp;TEXT($C840,"0")&amp;"|"&amp;TEXT($G840,"0")&amp;"|"&amp;$J840)</f>
        <v/>
      </c>
      <c r="X840" s="3" t="n"/>
      <c r="Y840" s="3" t="n"/>
      <c r="Z840" s="3" t="n"/>
      <c r="AA840" s="3" t="n"/>
      <c r="AB840" s="3" t="n"/>
      <c r="AC840" s="3" t="n"/>
      <c r="AD840" s="3">
        <f>IF($C840="",0,SUMPRODUCT((AY_SONU!$O$7:$O$42="Evet")*(AY_SONU!$B$7:$B$42=DATE(YEAR($C840),MONTH($C840),1))))</f>
        <v/>
      </c>
    </row>
    <row r="841">
      <c r="A841" s="6" t="n"/>
      <c r="B841" s="113">
        <f>IF($C841="","","GG"&amp;TEXT(ROW()-6,"00000"))</f>
        <v/>
      </c>
      <c r="C841" s="220" t="n"/>
      <c r="D841" s="108" t="n"/>
      <c r="E841" s="109" t="n"/>
      <c r="F841" s="109" t="n"/>
      <c r="G841" s="221" t="n"/>
      <c r="H841" s="108" t="n"/>
      <c r="I841" s="108" t="n"/>
      <c r="J841" s="109" t="n"/>
      <c r="K841" s="109" t="n"/>
      <c r="L841" s="108" t="n"/>
      <c r="M841" s="121">
        <f>IF($C841="","",IF($D841="Gider",$E841,IF($L841&lt;&gt;"",$L841,$H841)))</f>
        <v/>
      </c>
      <c r="N841" s="121">
        <f>IF($C841="","",IF($D841="Gider",$H841,$E841))</f>
        <v/>
      </c>
      <c r="O841" s="226">
        <f>IF($C841="","",DATE(YEAR($C841),MONTH($C841),1))</f>
        <v/>
      </c>
      <c r="P841" s="113">
        <f>IF($C841="","",IF(AND($D841="Gelir",$L841&lt;&gt;"",$T841=""),"TANIMSIZ BORÇLU",IF($T841&lt;&gt;"",IF(OR($E841="",$G841&lt;=0),"EKSİK",IF($I841="Evet","TAHAKKUK NAKİT OLAMAZ",IF($C841&gt;TODAY(),"İLERİ TARİH","TAHAKKUK"))),IF(AND($D841&lt;&gt;"",$E841&lt;&gt;"",$G841&gt;0,$H841&lt;&gt;"",$I841&lt;&gt;""),IF($C841&gt;TODAY(),"İLERİ TARİH",IF(COUNTIF($W$7:$W$1206,$W841)&gt;1,"MÜKERRER?",IF($AD841&gt;0,"KAPALI DÖNEM",IF($I841="Hayır","ÖDENECEK","UYGUN")))),"EKSİK"))))</f>
        <v/>
      </c>
      <c r="Q841" s="6" t="n"/>
      <c r="R841" s="6" t="n"/>
      <c r="S841" s="3">
        <f>IF($L841="","",UPPER(SUBSTITUTE(SUBSTITUTE(SUBSTITUTE(SUBSTITUTE(SUBSTITUTE(SUBSTITUTE(SUBSTITUTE(SUBSTITUTE(SUBSTITUTE(SUBSTITUTE(SUBSTITUTE(SUBSTITUTE(SUBSTITUTE(SUBSTITUTE(SUBSTITUTE(SUBSTITUTE(SUBSTITUTE(SUBSTITUTE(TRIM($L841),"'",""),"İ","I"),"ı","I"),"i","I"),"Ş","S"),"ş","S"),"Ğ","G"),"ğ","G"),"Ü","U"),"ü","U"),"Ö","O"),"ö","O"),"Ç","C"),"ç","C"),".",""),",","")," ",""),"-","")))</f>
        <v/>
      </c>
      <c r="T841" s="3">
        <f>IF(OR($C841="",$D841&lt;&gt;"Gelir",$L841=""),"",IFERROR(INDEX(MUSTERILER!$B$7:$B$106,MATCH($S841,MUSTERILER!$T$7:$T$106,0)),""))</f>
        <v/>
      </c>
      <c r="U841" s="3">
        <f>IF($T841="","",$T841&amp;"|"&amp;COUNTIFS($T$7:$T841,$T841))</f>
        <v/>
      </c>
      <c r="V841" s="3">
        <f>IF($T841="",0,1)</f>
        <v/>
      </c>
      <c r="W841" s="3">
        <f>IF($C841="","",$D841&amp;"|"&amp;$E841&amp;"|"&amp;TEXT($C841,"0")&amp;"|"&amp;TEXT($G841,"0")&amp;"|"&amp;$J841)</f>
        <v/>
      </c>
      <c r="X841" s="3" t="n"/>
      <c r="Y841" s="3" t="n"/>
      <c r="Z841" s="3" t="n"/>
      <c r="AA841" s="3" t="n"/>
      <c r="AB841" s="3" t="n"/>
      <c r="AC841" s="3" t="n"/>
      <c r="AD841" s="3">
        <f>IF($C841="",0,SUMPRODUCT((AY_SONU!$O$7:$O$42="Evet")*(AY_SONU!$B$7:$B$42=DATE(YEAR($C841),MONTH($C841),1))))</f>
        <v/>
      </c>
    </row>
    <row r="842">
      <c r="A842" s="6" t="n"/>
      <c r="B842" s="113">
        <f>IF($C842="","","GG"&amp;TEXT(ROW()-6,"00000"))</f>
        <v/>
      </c>
      <c r="C842" s="220" t="n"/>
      <c r="D842" s="108" t="n"/>
      <c r="E842" s="109" t="n"/>
      <c r="F842" s="109" t="n"/>
      <c r="G842" s="221" t="n"/>
      <c r="H842" s="108" t="n"/>
      <c r="I842" s="108" t="n"/>
      <c r="J842" s="109" t="n"/>
      <c r="K842" s="109" t="n"/>
      <c r="L842" s="108" t="n"/>
      <c r="M842" s="121">
        <f>IF($C842="","",IF($D842="Gider",$E842,IF($L842&lt;&gt;"",$L842,$H842)))</f>
        <v/>
      </c>
      <c r="N842" s="121">
        <f>IF($C842="","",IF($D842="Gider",$H842,$E842))</f>
        <v/>
      </c>
      <c r="O842" s="226">
        <f>IF($C842="","",DATE(YEAR($C842),MONTH($C842),1))</f>
        <v/>
      </c>
      <c r="P842" s="113">
        <f>IF($C842="","",IF(AND($D842="Gelir",$L842&lt;&gt;"",$T842=""),"TANIMSIZ BORÇLU",IF($T842&lt;&gt;"",IF(OR($E842="",$G842&lt;=0),"EKSİK",IF($I842="Evet","TAHAKKUK NAKİT OLAMAZ",IF($C842&gt;TODAY(),"İLERİ TARİH","TAHAKKUK"))),IF(AND($D842&lt;&gt;"",$E842&lt;&gt;"",$G842&gt;0,$H842&lt;&gt;"",$I842&lt;&gt;""),IF($C842&gt;TODAY(),"İLERİ TARİH",IF(COUNTIF($W$7:$W$1206,$W842)&gt;1,"MÜKERRER?",IF($AD842&gt;0,"KAPALI DÖNEM",IF($I842="Hayır","ÖDENECEK","UYGUN")))),"EKSİK"))))</f>
        <v/>
      </c>
      <c r="Q842" s="6" t="n"/>
      <c r="R842" s="6" t="n"/>
      <c r="S842" s="3">
        <f>IF($L842="","",UPPER(SUBSTITUTE(SUBSTITUTE(SUBSTITUTE(SUBSTITUTE(SUBSTITUTE(SUBSTITUTE(SUBSTITUTE(SUBSTITUTE(SUBSTITUTE(SUBSTITUTE(SUBSTITUTE(SUBSTITUTE(SUBSTITUTE(SUBSTITUTE(SUBSTITUTE(SUBSTITUTE(SUBSTITUTE(SUBSTITUTE(TRIM($L842),"'",""),"İ","I"),"ı","I"),"i","I"),"Ş","S"),"ş","S"),"Ğ","G"),"ğ","G"),"Ü","U"),"ü","U"),"Ö","O"),"ö","O"),"Ç","C"),"ç","C"),".",""),",","")," ",""),"-","")))</f>
        <v/>
      </c>
      <c r="T842" s="3">
        <f>IF(OR($C842="",$D842&lt;&gt;"Gelir",$L842=""),"",IFERROR(INDEX(MUSTERILER!$B$7:$B$106,MATCH($S842,MUSTERILER!$T$7:$T$106,0)),""))</f>
        <v/>
      </c>
      <c r="U842" s="3">
        <f>IF($T842="","",$T842&amp;"|"&amp;COUNTIFS($T$7:$T842,$T842))</f>
        <v/>
      </c>
      <c r="V842" s="3">
        <f>IF($T842="",0,1)</f>
        <v/>
      </c>
      <c r="W842" s="3">
        <f>IF($C842="","",$D842&amp;"|"&amp;$E842&amp;"|"&amp;TEXT($C842,"0")&amp;"|"&amp;TEXT($G842,"0")&amp;"|"&amp;$J842)</f>
        <v/>
      </c>
      <c r="X842" s="3" t="n"/>
      <c r="Y842" s="3" t="n"/>
      <c r="Z842" s="3" t="n"/>
      <c r="AA842" s="3" t="n"/>
      <c r="AB842" s="3" t="n"/>
      <c r="AC842" s="3" t="n"/>
      <c r="AD842" s="3">
        <f>IF($C842="",0,SUMPRODUCT((AY_SONU!$O$7:$O$42="Evet")*(AY_SONU!$B$7:$B$42=DATE(YEAR($C842),MONTH($C842),1))))</f>
        <v/>
      </c>
    </row>
    <row r="843">
      <c r="A843" s="6" t="n"/>
      <c r="B843" s="113">
        <f>IF($C843="","","GG"&amp;TEXT(ROW()-6,"00000"))</f>
        <v/>
      </c>
      <c r="C843" s="220" t="n"/>
      <c r="D843" s="108" t="n"/>
      <c r="E843" s="109" t="n"/>
      <c r="F843" s="109" t="n"/>
      <c r="G843" s="221" t="n"/>
      <c r="H843" s="108" t="n"/>
      <c r="I843" s="108" t="n"/>
      <c r="J843" s="109" t="n"/>
      <c r="K843" s="109" t="n"/>
      <c r="L843" s="108" t="n"/>
      <c r="M843" s="121">
        <f>IF($C843="","",IF($D843="Gider",$E843,IF($L843&lt;&gt;"",$L843,$H843)))</f>
        <v/>
      </c>
      <c r="N843" s="121">
        <f>IF($C843="","",IF($D843="Gider",$H843,$E843))</f>
        <v/>
      </c>
      <c r="O843" s="226">
        <f>IF($C843="","",DATE(YEAR($C843),MONTH($C843),1))</f>
        <v/>
      </c>
      <c r="P843" s="113">
        <f>IF($C843="","",IF(AND($D843="Gelir",$L843&lt;&gt;"",$T843=""),"TANIMSIZ BORÇLU",IF($T843&lt;&gt;"",IF(OR($E843="",$G843&lt;=0),"EKSİK",IF($I843="Evet","TAHAKKUK NAKİT OLAMAZ",IF($C843&gt;TODAY(),"İLERİ TARİH","TAHAKKUK"))),IF(AND($D843&lt;&gt;"",$E843&lt;&gt;"",$G843&gt;0,$H843&lt;&gt;"",$I843&lt;&gt;""),IF($C843&gt;TODAY(),"İLERİ TARİH",IF(COUNTIF($W$7:$W$1206,$W843)&gt;1,"MÜKERRER?",IF($AD843&gt;0,"KAPALI DÖNEM",IF($I843="Hayır","ÖDENECEK","UYGUN")))),"EKSİK"))))</f>
        <v/>
      </c>
      <c r="Q843" s="6" t="n"/>
      <c r="R843" s="6" t="n"/>
      <c r="S843" s="3">
        <f>IF($L843="","",UPPER(SUBSTITUTE(SUBSTITUTE(SUBSTITUTE(SUBSTITUTE(SUBSTITUTE(SUBSTITUTE(SUBSTITUTE(SUBSTITUTE(SUBSTITUTE(SUBSTITUTE(SUBSTITUTE(SUBSTITUTE(SUBSTITUTE(SUBSTITUTE(SUBSTITUTE(SUBSTITUTE(SUBSTITUTE(SUBSTITUTE(TRIM($L843),"'",""),"İ","I"),"ı","I"),"i","I"),"Ş","S"),"ş","S"),"Ğ","G"),"ğ","G"),"Ü","U"),"ü","U"),"Ö","O"),"ö","O"),"Ç","C"),"ç","C"),".",""),",","")," ",""),"-","")))</f>
        <v/>
      </c>
      <c r="T843" s="3">
        <f>IF(OR($C843="",$D843&lt;&gt;"Gelir",$L843=""),"",IFERROR(INDEX(MUSTERILER!$B$7:$B$106,MATCH($S843,MUSTERILER!$T$7:$T$106,0)),""))</f>
        <v/>
      </c>
      <c r="U843" s="3">
        <f>IF($T843="","",$T843&amp;"|"&amp;COUNTIFS($T$7:$T843,$T843))</f>
        <v/>
      </c>
      <c r="V843" s="3">
        <f>IF($T843="",0,1)</f>
        <v/>
      </c>
      <c r="W843" s="3">
        <f>IF($C843="","",$D843&amp;"|"&amp;$E843&amp;"|"&amp;TEXT($C843,"0")&amp;"|"&amp;TEXT($G843,"0")&amp;"|"&amp;$J843)</f>
        <v/>
      </c>
      <c r="X843" s="3" t="n"/>
      <c r="Y843" s="3" t="n"/>
      <c r="Z843" s="3" t="n"/>
      <c r="AA843" s="3" t="n"/>
      <c r="AB843" s="3" t="n"/>
      <c r="AC843" s="3" t="n"/>
      <c r="AD843" s="3">
        <f>IF($C843="",0,SUMPRODUCT((AY_SONU!$O$7:$O$42="Evet")*(AY_SONU!$B$7:$B$42=DATE(YEAR($C843),MONTH($C843),1))))</f>
        <v/>
      </c>
    </row>
    <row r="844">
      <c r="A844" s="6" t="n"/>
      <c r="B844" s="113">
        <f>IF($C844="","","GG"&amp;TEXT(ROW()-6,"00000"))</f>
        <v/>
      </c>
      <c r="C844" s="220" t="n"/>
      <c r="D844" s="108" t="n"/>
      <c r="E844" s="109" t="n"/>
      <c r="F844" s="109" t="n"/>
      <c r="G844" s="221" t="n"/>
      <c r="H844" s="108" t="n"/>
      <c r="I844" s="108" t="n"/>
      <c r="J844" s="109" t="n"/>
      <c r="K844" s="109" t="n"/>
      <c r="L844" s="108" t="n"/>
      <c r="M844" s="121">
        <f>IF($C844="","",IF($D844="Gider",$E844,IF($L844&lt;&gt;"",$L844,$H844)))</f>
        <v/>
      </c>
      <c r="N844" s="121">
        <f>IF($C844="","",IF($D844="Gider",$H844,$E844))</f>
        <v/>
      </c>
      <c r="O844" s="226">
        <f>IF($C844="","",DATE(YEAR($C844),MONTH($C844),1))</f>
        <v/>
      </c>
      <c r="P844" s="113">
        <f>IF($C844="","",IF(AND($D844="Gelir",$L844&lt;&gt;"",$T844=""),"TANIMSIZ BORÇLU",IF($T844&lt;&gt;"",IF(OR($E844="",$G844&lt;=0),"EKSİK",IF($I844="Evet","TAHAKKUK NAKİT OLAMAZ",IF($C844&gt;TODAY(),"İLERİ TARİH","TAHAKKUK"))),IF(AND($D844&lt;&gt;"",$E844&lt;&gt;"",$G844&gt;0,$H844&lt;&gt;"",$I844&lt;&gt;""),IF($C844&gt;TODAY(),"İLERİ TARİH",IF(COUNTIF($W$7:$W$1206,$W844)&gt;1,"MÜKERRER?",IF($AD844&gt;0,"KAPALI DÖNEM",IF($I844="Hayır","ÖDENECEK","UYGUN")))),"EKSİK"))))</f>
        <v/>
      </c>
      <c r="Q844" s="6" t="n"/>
      <c r="R844" s="6" t="n"/>
      <c r="S844" s="3">
        <f>IF($L844="","",UPPER(SUBSTITUTE(SUBSTITUTE(SUBSTITUTE(SUBSTITUTE(SUBSTITUTE(SUBSTITUTE(SUBSTITUTE(SUBSTITUTE(SUBSTITUTE(SUBSTITUTE(SUBSTITUTE(SUBSTITUTE(SUBSTITUTE(SUBSTITUTE(SUBSTITUTE(SUBSTITUTE(SUBSTITUTE(SUBSTITUTE(TRIM($L844),"'",""),"İ","I"),"ı","I"),"i","I"),"Ş","S"),"ş","S"),"Ğ","G"),"ğ","G"),"Ü","U"),"ü","U"),"Ö","O"),"ö","O"),"Ç","C"),"ç","C"),".",""),",","")," ",""),"-","")))</f>
        <v/>
      </c>
      <c r="T844" s="3">
        <f>IF(OR($C844="",$D844&lt;&gt;"Gelir",$L844=""),"",IFERROR(INDEX(MUSTERILER!$B$7:$B$106,MATCH($S844,MUSTERILER!$T$7:$T$106,0)),""))</f>
        <v/>
      </c>
      <c r="U844" s="3">
        <f>IF($T844="","",$T844&amp;"|"&amp;COUNTIFS($T$7:$T844,$T844))</f>
        <v/>
      </c>
      <c r="V844" s="3">
        <f>IF($T844="",0,1)</f>
        <v/>
      </c>
      <c r="W844" s="3">
        <f>IF($C844="","",$D844&amp;"|"&amp;$E844&amp;"|"&amp;TEXT($C844,"0")&amp;"|"&amp;TEXT($G844,"0")&amp;"|"&amp;$J844)</f>
        <v/>
      </c>
      <c r="X844" s="3" t="n"/>
      <c r="Y844" s="3" t="n"/>
      <c r="Z844" s="3" t="n"/>
      <c r="AA844" s="3" t="n"/>
      <c r="AB844" s="3" t="n"/>
      <c r="AC844" s="3" t="n"/>
      <c r="AD844" s="3">
        <f>IF($C844="",0,SUMPRODUCT((AY_SONU!$O$7:$O$42="Evet")*(AY_SONU!$B$7:$B$42=DATE(YEAR($C844),MONTH($C844),1))))</f>
        <v/>
      </c>
    </row>
    <row r="845">
      <c r="A845" s="6" t="n"/>
      <c r="B845" s="113">
        <f>IF($C845="","","GG"&amp;TEXT(ROW()-6,"00000"))</f>
        <v/>
      </c>
      <c r="C845" s="220" t="n"/>
      <c r="D845" s="108" t="n"/>
      <c r="E845" s="109" t="n"/>
      <c r="F845" s="109" t="n"/>
      <c r="G845" s="221" t="n"/>
      <c r="H845" s="108" t="n"/>
      <c r="I845" s="108" t="n"/>
      <c r="J845" s="109" t="n"/>
      <c r="K845" s="109" t="n"/>
      <c r="L845" s="108" t="n"/>
      <c r="M845" s="121">
        <f>IF($C845="","",IF($D845="Gider",$E845,IF($L845&lt;&gt;"",$L845,$H845)))</f>
        <v/>
      </c>
      <c r="N845" s="121">
        <f>IF($C845="","",IF($D845="Gider",$H845,$E845))</f>
        <v/>
      </c>
      <c r="O845" s="226">
        <f>IF($C845="","",DATE(YEAR($C845),MONTH($C845),1))</f>
        <v/>
      </c>
      <c r="P845" s="113">
        <f>IF($C845="","",IF(AND($D845="Gelir",$L845&lt;&gt;"",$T845=""),"TANIMSIZ BORÇLU",IF($T845&lt;&gt;"",IF(OR($E845="",$G845&lt;=0),"EKSİK",IF($I845="Evet","TAHAKKUK NAKİT OLAMAZ",IF($C845&gt;TODAY(),"İLERİ TARİH","TAHAKKUK"))),IF(AND($D845&lt;&gt;"",$E845&lt;&gt;"",$G845&gt;0,$H845&lt;&gt;"",$I845&lt;&gt;""),IF($C845&gt;TODAY(),"İLERİ TARİH",IF(COUNTIF($W$7:$W$1206,$W845)&gt;1,"MÜKERRER?",IF($AD845&gt;0,"KAPALI DÖNEM",IF($I845="Hayır","ÖDENECEK","UYGUN")))),"EKSİK"))))</f>
        <v/>
      </c>
      <c r="Q845" s="6" t="n"/>
      <c r="R845" s="6" t="n"/>
      <c r="S845" s="3">
        <f>IF($L845="","",UPPER(SUBSTITUTE(SUBSTITUTE(SUBSTITUTE(SUBSTITUTE(SUBSTITUTE(SUBSTITUTE(SUBSTITUTE(SUBSTITUTE(SUBSTITUTE(SUBSTITUTE(SUBSTITUTE(SUBSTITUTE(SUBSTITUTE(SUBSTITUTE(SUBSTITUTE(SUBSTITUTE(SUBSTITUTE(SUBSTITUTE(TRIM($L845),"'",""),"İ","I"),"ı","I"),"i","I"),"Ş","S"),"ş","S"),"Ğ","G"),"ğ","G"),"Ü","U"),"ü","U"),"Ö","O"),"ö","O"),"Ç","C"),"ç","C"),".",""),",","")," ",""),"-","")))</f>
        <v/>
      </c>
      <c r="T845" s="3">
        <f>IF(OR($C845="",$D845&lt;&gt;"Gelir",$L845=""),"",IFERROR(INDEX(MUSTERILER!$B$7:$B$106,MATCH($S845,MUSTERILER!$T$7:$T$106,0)),""))</f>
        <v/>
      </c>
      <c r="U845" s="3">
        <f>IF($T845="","",$T845&amp;"|"&amp;COUNTIFS($T$7:$T845,$T845))</f>
        <v/>
      </c>
      <c r="V845" s="3">
        <f>IF($T845="",0,1)</f>
        <v/>
      </c>
      <c r="W845" s="3">
        <f>IF($C845="","",$D845&amp;"|"&amp;$E845&amp;"|"&amp;TEXT($C845,"0")&amp;"|"&amp;TEXT($G845,"0")&amp;"|"&amp;$J845)</f>
        <v/>
      </c>
      <c r="X845" s="3" t="n"/>
      <c r="Y845" s="3" t="n"/>
      <c r="Z845" s="3" t="n"/>
      <c r="AA845" s="3" t="n"/>
      <c r="AB845" s="3" t="n"/>
      <c r="AC845" s="3" t="n"/>
      <c r="AD845" s="3">
        <f>IF($C845="",0,SUMPRODUCT((AY_SONU!$O$7:$O$42="Evet")*(AY_SONU!$B$7:$B$42=DATE(YEAR($C845),MONTH($C845),1))))</f>
        <v/>
      </c>
    </row>
    <row r="846">
      <c r="A846" s="6" t="n"/>
      <c r="B846" s="113">
        <f>IF($C846="","","GG"&amp;TEXT(ROW()-6,"00000"))</f>
        <v/>
      </c>
      <c r="C846" s="220" t="n"/>
      <c r="D846" s="108" t="n"/>
      <c r="E846" s="109" t="n"/>
      <c r="F846" s="109" t="n"/>
      <c r="G846" s="221" t="n"/>
      <c r="H846" s="108" t="n"/>
      <c r="I846" s="108" t="n"/>
      <c r="J846" s="109" t="n"/>
      <c r="K846" s="109" t="n"/>
      <c r="L846" s="108" t="n"/>
      <c r="M846" s="121">
        <f>IF($C846="","",IF($D846="Gider",$E846,IF($L846&lt;&gt;"",$L846,$H846)))</f>
        <v/>
      </c>
      <c r="N846" s="121">
        <f>IF($C846="","",IF($D846="Gider",$H846,$E846))</f>
        <v/>
      </c>
      <c r="O846" s="226">
        <f>IF($C846="","",DATE(YEAR($C846),MONTH($C846),1))</f>
        <v/>
      </c>
      <c r="P846" s="113">
        <f>IF($C846="","",IF(AND($D846="Gelir",$L846&lt;&gt;"",$T846=""),"TANIMSIZ BORÇLU",IF($T846&lt;&gt;"",IF(OR($E846="",$G846&lt;=0),"EKSİK",IF($I846="Evet","TAHAKKUK NAKİT OLAMAZ",IF($C846&gt;TODAY(),"İLERİ TARİH","TAHAKKUK"))),IF(AND($D846&lt;&gt;"",$E846&lt;&gt;"",$G846&gt;0,$H846&lt;&gt;"",$I846&lt;&gt;""),IF($C846&gt;TODAY(),"İLERİ TARİH",IF(COUNTIF($W$7:$W$1206,$W846)&gt;1,"MÜKERRER?",IF($AD846&gt;0,"KAPALI DÖNEM",IF($I846="Hayır","ÖDENECEK","UYGUN")))),"EKSİK"))))</f>
        <v/>
      </c>
      <c r="Q846" s="6" t="n"/>
      <c r="R846" s="6" t="n"/>
      <c r="S846" s="3">
        <f>IF($L846="","",UPPER(SUBSTITUTE(SUBSTITUTE(SUBSTITUTE(SUBSTITUTE(SUBSTITUTE(SUBSTITUTE(SUBSTITUTE(SUBSTITUTE(SUBSTITUTE(SUBSTITUTE(SUBSTITUTE(SUBSTITUTE(SUBSTITUTE(SUBSTITUTE(SUBSTITUTE(SUBSTITUTE(SUBSTITUTE(SUBSTITUTE(TRIM($L846),"'",""),"İ","I"),"ı","I"),"i","I"),"Ş","S"),"ş","S"),"Ğ","G"),"ğ","G"),"Ü","U"),"ü","U"),"Ö","O"),"ö","O"),"Ç","C"),"ç","C"),".",""),",","")," ",""),"-","")))</f>
        <v/>
      </c>
      <c r="T846" s="3">
        <f>IF(OR($C846="",$D846&lt;&gt;"Gelir",$L846=""),"",IFERROR(INDEX(MUSTERILER!$B$7:$B$106,MATCH($S846,MUSTERILER!$T$7:$T$106,0)),""))</f>
        <v/>
      </c>
      <c r="U846" s="3">
        <f>IF($T846="","",$T846&amp;"|"&amp;COUNTIFS($T$7:$T846,$T846))</f>
        <v/>
      </c>
      <c r="V846" s="3">
        <f>IF($T846="",0,1)</f>
        <v/>
      </c>
      <c r="W846" s="3">
        <f>IF($C846="","",$D846&amp;"|"&amp;$E846&amp;"|"&amp;TEXT($C846,"0")&amp;"|"&amp;TEXT($G846,"0")&amp;"|"&amp;$J846)</f>
        <v/>
      </c>
      <c r="X846" s="3" t="n"/>
      <c r="Y846" s="3" t="n"/>
      <c r="Z846" s="3" t="n"/>
      <c r="AA846" s="3" t="n"/>
      <c r="AB846" s="3" t="n"/>
      <c r="AC846" s="3" t="n"/>
      <c r="AD846" s="3">
        <f>IF($C846="",0,SUMPRODUCT((AY_SONU!$O$7:$O$42="Evet")*(AY_SONU!$B$7:$B$42=DATE(YEAR($C846),MONTH($C846),1))))</f>
        <v/>
      </c>
    </row>
    <row r="847">
      <c r="A847" s="6" t="n"/>
      <c r="B847" s="113">
        <f>IF($C847="","","GG"&amp;TEXT(ROW()-6,"00000"))</f>
        <v/>
      </c>
      <c r="C847" s="220" t="n"/>
      <c r="D847" s="108" t="n"/>
      <c r="E847" s="109" t="n"/>
      <c r="F847" s="109" t="n"/>
      <c r="G847" s="221" t="n"/>
      <c r="H847" s="108" t="n"/>
      <c r="I847" s="108" t="n"/>
      <c r="J847" s="109" t="n"/>
      <c r="K847" s="109" t="n"/>
      <c r="L847" s="108" t="n"/>
      <c r="M847" s="121">
        <f>IF($C847="","",IF($D847="Gider",$E847,IF($L847&lt;&gt;"",$L847,$H847)))</f>
        <v/>
      </c>
      <c r="N847" s="121">
        <f>IF($C847="","",IF($D847="Gider",$H847,$E847))</f>
        <v/>
      </c>
      <c r="O847" s="226">
        <f>IF($C847="","",DATE(YEAR($C847),MONTH($C847),1))</f>
        <v/>
      </c>
      <c r="P847" s="113">
        <f>IF($C847="","",IF(AND($D847="Gelir",$L847&lt;&gt;"",$T847=""),"TANIMSIZ BORÇLU",IF($T847&lt;&gt;"",IF(OR($E847="",$G847&lt;=0),"EKSİK",IF($I847="Evet","TAHAKKUK NAKİT OLAMAZ",IF($C847&gt;TODAY(),"İLERİ TARİH","TAHAKKUK"))),IF(AND($D847&lt;&gt;"",$E847&lt;&gt;"",$G847&gt;0,$H847&lt;&gt;"",$I847&lt;&gt;""),IF($C847&gt;TODAY(),"İLERİ TARİH",IF(COUNTIF($W$7:$W$1206,$W847)&gt;1,"MÜKERRER?",IF($AD847&gt;0,"KAPALI DÖNEM",IF($I847="Hayır","ÖDENECEK","UYGUN")))),"EKSİK"))))</f>
        <v/>
      </c>
      <c r="Q847" s="6" t="n"/>
      <c r="R847" s="6" t="n"/>
      <c r="S847" s="3">
        <f>IF($L847="","",UPPER(SUBSTITUTE(SUBSTITUTE(SUBSTITUTE(SUBSTITUTE(SUBSTITUTE(SUBSTITUTE(SUBSTITUTE(SUBSTITUTE(SUBSTITUTE(SUBSTITUTE(SUBSTITUTE(SUBSTITUTE(SUBSTITUTE(SUBSTITUTE(SUBSTITUTE(SUBSTITUTE(SUBSTITUTE(SUBSTITUTE(TRIM($L847),"'",""),"İ","I"),"ı","I"),"i","I"),"Ş","S"),"ş","S"),"Ğ","G"),"ğ","G"),"Ü","U"),"ü","U"),"Ö","O"),"ö","O"),"Ç","C"),"ç","C"),".",""),",","")," ",""),"-","")))</f>
        <v/>
      </c>
      <c r="T847" s="3">
        <f>IF(OR($C847="",$D847&lt;&gt;"Gelir",$L847=""),"",IFERROR(INDEX(MUSTERILER!$B$7:$B$106,MATCH($S847,MUSTERILER!$T$7:$T$106,0)),""))</f>
        <v/>
      </c>
      <c r="U847" s="3">
        <f>IF($T847="","",$T847&amp;"|"&amp;COUNTIFS($T$7:$T847,$T847))</f>
        <v/>
      </c>
      <c r="V847" s="3">
        <f>IF($T847="",0,1)</f>
        <v/>
      </c>
      <c r="W847" s="3">
        <f>IF($C847="","",$D847&amp;"|"&amp;$E847&amp;"|"&amp;TEXT($C847,"0")&amp;"|"&amp;TEXT($G847,"0")&amp;"|"&amp;$J847)</f>
        <v/>
      </c>
      <c r="X847" s="3" t="n"/>
      <c r="Y847" s="3" t="n"/>
      <c r="Z847" s="3" t="n"/>
      <c r="AA847" s="3" t="n"/>
      <c r="AB847" s="3" t="n"/>
      <c r="AC847" s="3" t="n"/>
      <c r="AD847" s="3">
        <f>IF($C847="",0,SUMPRODUCT((AY_SONU!$O$7:$O$42="Evet")*(AY_SONU!$B$7:$B$42=DATE(YEAR($C847),MONTH($C847),1))))</f>
        <v/>
      </c>
    </row>
    <row r="848">
      <c r="A848" s="6" t="n"/>
      <c r="B848" s="113">
        <f>IF($C848="","","GG"&amp;TEXT(ROW()-6,"00000"))</f>
        <v/>
      </c>
      <c r="C848" s="220" t="n"/>
      <c r="D848" s="108" t="n"/>
      <c r="E848" s="109" t="n"/>
      <c r="F848" s="109" t="n"/>
      <c r="G848" s="221" t="n"/>
      <c r="H848" s="108" t="n"/>
      <c r="I848" s="108" t="n"/>
      <c r="J848" s="109" t="n"/>
      <c r="K848" s="109" t="n"/>
      <c r="L848" s="108" t="n"/>
      <c r="M848" s="121">
        <f>IF($C848="","",IF($D848="Gider",$E848,IF($L848&lt;&gt;"",$L848,$H848)))</f>
        <v/>
      </c>
      <c r="N848" s="121">
        <f>IF($C848="","",IF($D848="Gider",$H848,$E848))</f>
        <v/>
      </c>
      <c r="O848" s="226">
        <f>IF($C848="","",DATE(YEAR($C848),MONTH($C848),1))</f>
        <v/>
      </c>
      <c r="P848" s="113">
        <f>IF($C848="","",IF(AND($D848="Gelir",$L848&lt;&gt;"",$T848=""),"TANIMSIZ BORÇLU",IF($T848&lt;&gt;"",IF(OR($E848="",$G848&lt;=0),"EKSİK",IF($I848="Evet","TAHAKKUK NAKİT OLAMAZ",IF($C848&gt;TODAY(),"İLERİ TARİH","TAHAKKUK"))),IF(AND($D848&lt;&gt;"",$E848&lt;&gt;"",$G848&gt;0,$H848&lt;&gt;"",$I848&lt;&gt;""),IF($C848&gt;TODAY(),"İLERİ TARİH",IF(COUNTIF($W$7:$W$1206,$W848)&gt;1,"MÜKERRER?",IF($AD848&gt;0,"KAPALI DÖNEM",IF($I848="Hayır","ÖDENECEK","UYGUN")))),"EKSİK"))))</f>
        <v/>
      </c>
      <c r="Q848" s="6" t="n"/>
      <c r="R848" s="6" t="n"/>
      <c r="S848" s="3">
        <f>IF($L848="","",UPPER(SUBSTITUTE(SUBSTITUTE(SUBSTITUTE(SUBSTITUTE(SUBSTITUTE(SUBSTITUTE(SUBSTITUTE(SUBSTITUTE(SUBSTITUTE(SUBSTITUTE(SUBSTITUTE(SUBSTITUTE(SUBSTITUTE(SUBSTITUTE(SUBSTITUTE(SUBSTITUTE(SUBSTITUTE(SUBSTITUTE(TRIM($L848),"'",""),"İ","I"),"ı","I"),"i","I"),"Ş","S"),"ş","S"),"Ğ","G"),"ğ","G"),"Ü","U"),"ü","U"),"Ö","O"),"ö","O"),"Ç","C"),"ç","C"),".",""),",","")," ",""),"-","")))</f>
        <v/>
      </c>
      <c r="T848" s="3">
        <f>IF(OR($C848="",$D848&lt;&gt;"Gelir",$L848=""),"",IFERROR(INDEX(MUSTERILER!$B$7:$B$106,MATCH($S848,MUSTERILER!$T$7:$T$106,0)),""))</f>
        <v/>
      </c>
      <c r="U848" s="3">
        <f>IF($T848="","",$T848&amp;"|"&amp;COUNTIFS($T$7:$T848,$T848))</f>
        <v/>
      </c>
      <c r="V848" s="3">
        <f>IF($T848="",0,1)</f>
        <v/>
      </c>
      <c r="W848" s="3">
        <f>IF($C848="","",$D848&amp;"|"&amp;$E848&amp;"|"&amp;TEXT($C848,"0")&amp;"|"&amp;TEXT($G848,"0")&amp;"|"&amp;$J848)</f>
        <v/>
      </c>
      <c r="X848" s="3" t="n"/>
      <c r="Y848" s="3" t="n"/>
      <c r="Z848" s="3" t="n"/>
      <c r="AA848" s="3" t="n"/>
      <c r="AB848" s="3" t="n"/>
      <c r="AC848" s="3" t="n"/>
      <c r="AD848" s="3">
        <f>IF($C848="",0,SUMPRODUCT((AY_SONU!$O$7:$O$42="Evet")*(AY_SONU!$B$7:$B$42=DATE(YEAR($C848),MONTH($C848),1))))</f>
        <v/>
      </c>
    </row>
    <row r="849">
      <c r="A849" s="6" t="n"/>
      <c r="B849" s="113">
        <f>IF($C849="","","GG"&amp;TEXT(ROW()-6,"00000"))</f>
        <v/>
      </c>
      <c r="C849" s="220" t="n"/>
      <c r="D849" s="108" t="n"/>
      <c r="E849" s="109" t="n"/>
      <c r="F849" s="109" t="n"/>
      <c r="G849" s="221" t="n"/>
      <c r="H849" s="108" t="n"/>
      <c r="I849" s="108" t="n"/>
      <c r="J849" s="109" t="n"/>
      <c r="K849" s="109" t="n"/>
      <c r="L849" s="108" t="n"/>
      <c r="M849" s="121">
        <f>IF($C849="","",IF($D849="Gider",$E849,IF($L849&lt;&gt;"",$L849,$H849)))</f>
        <v/>
      </c>
      <c r="N849" s="121">
        <f>IF($C849="","",IF($D849="Gider",$H849,$E849))</f>
        <v/>
      </c>
      <c r="O849" s="226">
        <f>IF($C849="","",DATE(YEAR($C849),MONTH($C849),1))</f>
        <v/>
      </c>
      <c r="P849" s="113">
        <f>IF($C849="","",IF(AND($D849="Gelir",$L849&lt;&gt;"",$T849=""),"TANIMSIZ BORÇLU",IF($T849&lt;&gt;"",IF(OR($E849="",$G849&lt;=0),"EKSİK",IF($I849="Evet","TAHAKKUK NAKİT OLAMAZ",IF($C849&gt;TODAY(),"İLERİ TARİH","TAHAKKUK"))),IF(AND($D849&lt;&gt;"",$E849&lt;&gt;"",$G849&gt;0,$H849&lt;&gt;"",$I849&lt;&gt;""),IF($C849&gt;TODAY(),"İLERİ TARİH",IF(COUNTIF($W$7:$W$1206,$W849)&gt;1,"MÜKERRER?",IF($AD849&gt;0,"KAPALI DÖNEM",IF($I849="Hayır","ÖDENECEK","UYGUN")))),"EKSİK"))))</f>
        <v/>
      </c>
      <c r="Q849" s="6" t="n"/>
      <c r="R849" s="6" t="n"/>
      <c r="S849" s="3">
        <f>IF($L849="","",UPPER(SUBSTITUTE(SUBSTITUTE(SUBSTITUTE(SUBSTITUTE(SUBSTITUTE(SUBSTITUTE(SUBSTITUTE(SUBSTITUTE(SUBSTITUTE(SUBSTITUTE(SUBSTITUTE(SUBSTITUTE(SUBSTITUTE(SUBSTITUTE(SUBSTITUTE(SUBSTITUTE(SUBSTITUTE(SUBSTITUTE(TRIM($L849),"'",""),"İ","I"),"ı","I"),"i","I"),"Ş","S"),"ş","S"),"Ğ","G"),"ğ","G"),"Ü","U"),"ü","U"),"Ö","O"),"ö","O"),"Ç","C"),"ç","C"),".",""),",","")," ",""),"-","")))</f>
        <v/>
      </c>
      <c r="T849" s="3">
        <f>IF(OR($C849="",$D849&lt;&gt;"Gelir",$L849=""),"",IFERROR(INDEX(MUSTERILER!$B$7:$B$106,MATCH($S849,MUSTERILER!$T$7:$T$106,0)),""))</f>
        <v/>
      </c>
      <c r="U849" s="3">
        <f>IF($T849="","",$T849&amp;"|"&amp;COUNTIFS($T$7:$T849,$T849))</f>
        <v/>
      </c>
      <c r="V849" s="3">
        <f>IF($T849="",0,1)</f>
        <v/>
      </c>
      <c r="W849" s="3">
        <f>IF($C849="","",$D849&amp;"|"&amp;$E849&amp;"|"&amp;TEXT($C849,"0")&amp;"|"&amp;TEXT($G849,"0")&amp;"|"&amp;$J849)</f>
        <v/>
      </c>
      <c r="X849" s="3" t="n"/>
      <c r="Y849" s="3" t="n"/>
      <c r="Z849" s="3" t="n"/>
      <c r="AA849" s="3" t="n"/>
      <c r="AB849" s="3" t="n"/>
      <c r="AC849" s="3" t="n"/>
      <c r="AD849" s="3">
        <f>IF($C849="",0,SUMPRODUCT((AY_SONU!$O$7:$O$42="Evet")*(AY_SONU!$B$7:$B$42=DATE(YEAR($C849),MONTH($C849),1))))</f>
        <v/>
      </c>
    </row>
    <row r="850">
      <c r="A850" s="6" t="n"/>
      <c r="B850" s="113">
        <f>IF($C850="","","GG"&amp;TEXT(ROW()-6,"00000"))</f>
        <v/>
      </c>
      <c r="C850" s="220" t="n"/>
      <c r="D850" s="108" t="n"/>
      <c r="E850" s="109" t="n"/>
      <c r="F850" s="109" t="n"/>
      <c r="G850" s="221" t="n"/>
      <c r="H850" s="108" t="n"/>
      <c r="I850" s="108" t="n"/>
      <c r="J850" s="109" t="n"/>
      <c r="K850" s="109" t="n"/>
      <c r="L850" s="108" t="n"/>
      <c r="M850" s="121">
        <f>IF($C850="","",IF($D850="Gider",$E850,IF($L850&lt;&gt;"",$L850,$H850)))</f>
        <v/>
      </c>
      <c r="N850" s="121">
        <f>IF($C850="","",IF($D850="Gider",$H850,$E850))</f>
        <v/>
      </c>
      <c r="O850" s="226">
        <f>IF($C850="","",DATE(YEAR($C850),MONTH($C850),1))</f>
        <v/>
      </c>
      <c r="P850" s="113">
        <f>IF($C850="","",IF(AND($D850="Gelir",$L850&lt;&gt;"",$T850=""),"TANIMSIZ BORÇLU",IF($T850&lt;&gt;"",IF(OR($E850="",$G850&lt;=0),"EKSİK",IF($I850="Evet","TAHAKKUK NAKİT OLAMAZ",IF($C850&gt;TODAY(),"İLERİ TARİH","TAHAKKUK"))),IF(AND($D850&lt;&gt;"",$E850&lt;&gt;"",$G850&gt;0,$H850&lt;&gt;"",$I850&lt;&gt;""),IF($C850&gt;TODAY(),"İLERİ TARİH",IF(COUNTIF($W$7:$W$1206,$W850)&gt;1,"MÜKERRER?",IF($AD850&gt;0,"KAPALI DÖNEM",IF($I850="Hayır","ÖDENECEK","UYGUN")))),"EKSİK"))))</f>
        <v/>
      </c>
      <c r="Q850" s="6" t="n"/>
      <c r="R850" s="6" t="n"/>
      <c r="S850" s="3">
        <f>IF($L850="","",UPPER(SUBSTITUTE(SUBSTITUTE(SUBSTITUTE(SUBSTITUTE(SUBSTITUTE(SUBSTITUTE(SUBSTITUTE(SUBSTITUTE(SUBSTITUTE(SUBSTITUTE(SUBSTITUTE(SUBSTITUTE(SUBSTITUTE(SUBSTITUTE(SUBSTITUTE(SUBSTITUTE(SUBSTITUTE(SUBSTITUTE(TRIM($L850),"'",""),"İ","I"),"ı","I"),"i","I"),"Ş","S"),"ş","S"),"Ğ","G"),"ğ","G"),"Ü","U"),"ü","U"),"Ö","O"),"ö","O"),"Ç","C"),"ç","C"),".",""),",","")," ",""),"-","")))</f>
        <v/>
      </c>
      <c r="T850" s="3">
        <f>IF(OR($C850="",$D850&lt;&gt;"Gelir",$L850=""),"",IFERROR(INDEX(MUSTERILER!$B$7:$B$106,MATCH($S850,MUSTERILER!$T$7:$T$106,0)),""))</f>
        <v/>
      </c>
      <c r="U850" s="3">
        <f>IF($T850="","",$T850&amp;"|"&amp;COUNTIFS($T$7:$T850,$T850))</f>
        <v/>
      </c>
      <c r="V850" s="3">
        <f>IF($T850="",0,1)</f>
        <v/>
      </c>
      <c r="W850" s="3">
        <f>IF($C850="","",$D850&amp;"|"&amp;$E850&amp;"|"&amp;TEXT($C850,"0")&amp;"|"&amp;TEXT($G850,"0")&amp;"|"&amp;$J850)</f>
        <v/>
      </c>
      <c r="X850" s="3" t="n"/>
      <c r="Y850" s="3" t="n"/>
      <c r="Z850" s="3" t="n"/>
      <c r="AA850" s="3" t="n"/>
      <c r="AB850" s="3" t="n"/>
      <c r="AC850" s="3" t="n"/>
      <c r="AD850" s="3">
        <f>IF($C850="",0,SUMPRODUCT((AY_SONU!$O$7:$O$42="Evet")*(AY_SONU!$B$7:$B$42=DATE(YEAR($C850),MONTH($C850),1))))</f>
        <v/>
      </c>
    </row>
    <row r="851">
      <c r="A851" s="6" t="n"/>
      <c r="B851" s="113">
        <f>IF($C851="","","GG"&amp;TEXT(ROW()-6,"00000"))</f>
        <v/>
      </c>
      <c r="C851" s="220" t="n"/>
      <c r="D851" s="108" t="n"/>
      <c r="E851" s="109" t="n"/>
      <c r="F851" s="109" t="n"/>
      <c r="G851" s="221" t="n"/>
      <c r="H851" s="108" t="n"/>
      <c r="I851" s="108" t="n"/>
      <c r="J851" s="109" t="n"/>
      <c r="K851" s="109" t="n"/>
      <c r="L851" s="108" t="n"/>
      <c r="M851" s="121">
        <f>IF($C851="","",IF($D851="Gider",$E851,IF($L851&lt;&gt;"",$L851,$H851)))</f>
        <v/>
      </c>
      <c r="N851" s="121">
        <f>IF($C851="","",IF($D851="Gider",$H851,$E851))</f>
        <v/>
      </c>
      <c r="O851" s="226">
        <f>IF($C851="","",DATE(YEAR($C851),MONTH($C851),1))</f>
        <v/>
      </c>
      <c r="P851" s="113">
        <f>IF($C851="","",IF(AND($D851="Gelir",$L851&lt;&gt;"",$T851=""),"TANIMSIZ BORÇLU",IF($T851&lt;&gt;"",IF(OR($E851="",$G851&lt;=0),"EKSİK",IF($I851="Evet","TAHAKKUK NAKİT OLAMAZ",IF($C851&gt;TODAY(),"İLERİ TARİH","TAHAKKUK"))),IF(AND($D851&lt;&gt;"",$E851&lt;&gt;"",$G851&gt;0,$H851&lt;&gt;"",$I851&lt;&gt;""),IF($C851&gt;TODAY(),"İLERİ TARİH",IF(COUNTIF($W$7:$W$1206,$W851)&gt;1,"MÜKERRER?",IF($AD851&gt;0,"KAPALI DÖNEM",IF($I851="Hayır","ÖDENECEK","UYGUN")))),"EKSİK"))))</f>
        <v/>
      </c>
      <c r="Q851" s="6" t="n"/>
      <c r="R851" s="6" t="n"/>
      <c r="S851" s="3">
        <f>IF($L851="","",UPPER(SUBSTITUTE(SUBSTITUTE(SUBSTITUTE(SUBSTITUTE(SUBSTITUTE(SUBSTITUTE(SUBSTITUTE(SUBSTITUTE(SUBSTITUTE(SUBSTITUTE(SUBSTITUTE(SUBSTITUTE(SUBSTITUTE(SUBSTITUTE(SUBSTITUTE(SUBSTITUTE(SUBSTITUTE(SUBSTITUTE(TRIM($L851),"'",""),"İ","I"),"ı","I"),"i","I"),"Ş","S"),"ş","S"),"Ğ","G"),"ğ","G"),"Ü","U"),"ü","U"),"Ö","O"),"ö","O"),"Ç","C"),"ç","C"),".",""),",","")," ",""),"-","")))</f>
        <v/>
      </c>
      <c r="T851" s="3">
        <f>IF(OR($C851="",$D851&lt;&gt;"Gelir",$L851=""),"",IFERROR(INDEX(MUSTERILER!$B$7:$B$106,MATCH($S851,MUSTERILER!$T$7:$T$106,0)),""))</f>
        <v/>
      </c>
      <c r="U851" s="3">
        <f>IF($T851="","",$T851&amp;"|"&amp;COUNTIFS($T$7:$T851,$T851))</f>
        <v/>
      </c>
      <c r="V851" s="3">
        <f>IF($T851="",0,1)</f>
        <v/>
      </c>
      <c r="W851" s="3">
        <f>IF($C851="","",$D851&amp;"|"&amp;$E851&amp;"|"&amp;TEXT($C851,"0")&amp;"|"&amp;TEXT($G851,"0")&amp;"|"&amp;$J851)</f>
        <v/>
      </c>
      <c r="X851" s="3" t="n"/>
      <c r="Y851" s="3" t="n"/>
      <c r="Z851" s="3" t="n"/>
      <c r="AA851" s="3" t="n"/>
      <c r="AB851" s="3" t="n"/>
      <c r="AC851" s="3" t="n"/>
      <c r="AD851" s="3">
        <f>IF($C851="",0,SUMPRODUCT((AY_SONU!$O$7:$O$42="Evet")*(AY_SONU!$B$7:$B$42=DATE(YEAR($C851),MONTH($C851),1))))</f>
        <v/>
      </c>
    </row>
    <row r="852">
      <c r="A852" s="6" t="n"/>
      <c r="B852" s="113">
        <f>IF($C852="","","GG"&amp;TEXT(ROW()-6,"00000"))</f>
        <v/>
      </c>
      <c r="C852" s="220" t="n"/>
      <c r="D852" s="108" t="n"/>
      <c r="E852" s="109" t="n"/>
      <c r="F852" s="109" t="n"/>
      <c r="G852" s="221" t="n"/>
      <c r="H852" s="108" t="n"/>
      <c r="I852" s="108" t="n"/>
      <c r="J852" s="109" t="n"/>
      <c r="K852" s="109" t="n"/>
      <c r="L852" s="108" t="n"/>
      <c r="M852" s="121">
        <f>IF($C852="","",IF($D852="Gider",$E852,IF($L852&lt;&gt;"",$L852,$H852)))</f>
        <v/>
      </c>
      <c r="N852" s="121">
        <f>IF($C852="","",IF($D852="Gider",$H852,$E852))</f>
        <v/>
      </c>
      <c r="O852" s="226">
        <f>IF($C852="","",DATE(YEAR($C852),MONTH($C852),1))</f>
        <v/>
      </c>
      <c r="P852" s="113">
        <f>IF($C852="","",IF(AND($D852="Gelir",$L852&lt;&gt;"",$T852=""),"TANIMSIZ BORÇLU",IF($T852&lt;&gt;"",IF(OR($E852="",$G852&lt;=0),"EKSİK",IF($I852="Evet","TAHAKKUK NAKİT OLAMAZ",IF($C852&gt;TODAY(),"İLERİ TARİH","TAHAKKUK"))),IF(AND($D852&lt;&gt;"",$E852&lt;&gt;"",$G852&gt;0,$H852&lt;&gt;"",$I852&lt;&gt;""),IF($C852&gt;TODAY(),"İLERİ TARİH",IF(COUNTIF($W$7:$W$1206,$W852)&gt;1,"MÜKERRER?",IF($AD852&gt;0,"KAPALI DÖNEM",IF($I852="Hayır","ÖDENECEK","UYGUN")))),"EKSİK"))))</f>
        <v/>
      </c>
      <c r="Q852" s="6" t="n"/>
      <c r="R852" s="6" t="n"/>
      <c r="S852" s="3">
        <f>IF($L852="","",UPPER(SUBSTITUTE(SUBSTITUTE(SUBSTITUTE(SUBSTITUTE(SUBSTITUTE(SUBSTITUTE(SUBSTITUTE(SUBSTITUTE(SUBSTITUTE(SUBSTITUTE(SUBSTITUTE(SUBSTITUTE(SUBSTITUTE(SUBSTITUTE(SUBSTITUTE(SUBSTITUTE(SUBSTITUTE(SUBSTITUTE(TRIM($L852),"'",""),"İ","I"),"ı","I"),"i","I"),"Ş","S"),"ş","S"),"Ğ","G"),"ğ","G"),"Ü","U"),"ü","U"),"Ö","O"),"ö","O"),"Ç","C"),"ç","C"),".",""),",","")," ",""),"-","")))</f>
        <v/>
      </c>
      <c r="T852" s="3">
        <f>IF(OR($C852="",$D852&lt;&gt;"Gelir",$L852=""),"",IFERROR(INDEX(MUSTERILER!$B$7:$B$106,MATCH($S852,MUSTERILER!$T$7:$T$106,0)),""))</f>
        <v/>
      </c>
      <c r="U852" s="3">
        <f>IF($T852="","",$T852&amp;"|"&amp;COUNTIFS($T$7:$T852,$T852))</f>
        <v/>
      </c>
      <c r="V852" s="3">
        <f>IF($T852="",0,1)</f>
        <v/>
      </c>
      <c r="W852" s="3">
        <f>IF($C852="","",$D852&amp;"|"&amp;$E852&amp;"|"&amp;TEXT($C852,"0")&amp;"|"&amp;TEXT($G852,"0")&amp;"|"&amp;$J852)</f>
        <v/>
      </c>
      <c r="X852" s="3" t="n"/>
      <c r="Y852" s="3" t="n"/>
      <c r="Z852" s="3" t="n"/>
      <c r="AA852" s="3" t="n"/>
      <c r="AB852" s="3" t="n"/>
      <c r="AC852" s="3" t="n"/>
      <c r="AD852" s="3">
        <f>IF($C852="",0,SUMPRODUCT((AY_SONU!$O$7:$O$42="Evet")*(AY_SONU!$B$7:$B$42=DATE(YEAR($C852),MONTH($C852),1))))</f>
        <v/>
      </c>
    </row>
    <row r="853">
      <c r="A853" s="6" t="n"/>
      <c r="B853" s="113">
        <f>IF($C853="","","GG"&amp;TEXT(ROW()-6,"00000"))</f>
        <v/>
      </c>
      <c r="C853" s="220" t="n"/>
      <c r="D853" s="108" t="n"/>
      <c r="E853" s="109" t="n"/>
      <c r="F853" s="109" t="n"/>
      <c r="G853" s="221" t="n"/>
      <c r="H853" s="108" t="n"/>
      <c r="I853" s="108" t="n"/>
      <c r="J853" s="109" t="n"/>
      <c r="K853" s="109" t="n"/>
      <c r="L853" s="108" t="n"/>
      <c r="M853" s="121">
        <f>IF($C853="","",IF($D853="Gider",$E853,IF($L853&lt;&gt;"",$L853,$H853)))</f>
        <v/>
      </c>
      <c r="N853" s="121">
        <f>IF($C853="","",IF($D853="Gider",$H853,$E853))</f>
        <v/>
      </c>
      <c r="O853" s="226">
        <f>IF($C853="","",DATE(YEAR($C853),MONTH($C853),1))</f>
        <v/>
      </c>
      <c r="P853" s="113">
        <f>IF($C853="","",IF(AND($D853="Gelir",$L853&lt;&gt;"",$T853=""),"TANIMSIZ BORÇLU",IF($T853&lt;&gt;"",IF(OR($E853="",$G853&lt;=0),"EKSİK",IF($I853="Evet","TAHAKKUK NAKİT OLAMAZ",IF($C853&gt;TODAY(),"İLERİ TARİH","TAHAKKUK"))),IF(AND($D853&lt;&gt;"",$E853&lt;&gt;"",$G853&gt;0,$H853&lt;&gt;"",$I853&lt;&gt;""),IF($C853&gt;TODAY(),"İLERİ TARİH",IF(COUNTIF($W$7:$W$1206,$W853)&gt;1,"MÜKERRER?",IF($AD853&gt;0,"KAPALI DÖNEM",IF($I853="Hayır","ÖDENECEK","UYGUN")))),"EKSİK"))))</f>
        <v/>
      </c>
      <c r="Q853" s="6" t="n"/>
      <c r="R853" s="6" t="n"/>
      <c r="S853" s="3">
        <f>IF($L853="","",UPPER(SUBSTITUTE(SUBSTITUTE(SUBSTITUTE(SUBSTITUTE(SUBSTITUTE(SUBSTITUTE(SUBSTITUTE(SUBSTITUTE(SUBSTITUTE(SUBSTITUTE(SUBSTITUTE(SUBSTITUTE(SUBSTITUTE(SUBSTITUTE(SUBSTITUTE(SUBSTITUTE(SUBSTITUTE(SUBSTITUTE(TRIM($L853),"'",""),"İ","I"),"ı","I"),"i","I"),"Ş","S"),"ş","S"),"Ğ","G"),"ğ","G"),"Ü","U"),"ü","U"),"Ö","O"),"ö","O"),"Ç","C"),"ç","C"),".",""),",","")," ",""),"-","")))</f>
        <v/>
      </c>
      <c r="T853" s="3">
        <f>IF(OR($C853="",$D853&lt;&gt;"Gelir",$L853=""),"",IFERROR(INDEX(MUSTERILER!$B$7:$B$106,MATCH($S853,MUSTERILER!$T$7:$T$106,0)),""))</f>
        <v/>
      </c>
      <c r="U853" s="3">
        <f>IF($T853="","",$T853&amp;"|"&amp;COUNTIFS($T$7:$T853,$T853))</f>
        <v/>
      </c>
      <c r="V853" s="3">
        <f>IF($T853="",0,1)</f>
        <v/>
      </c>
      <c r="W853" s="3">
        <f>IF($C853="","",$D853&amp;"|"&amp;$E853&amp;"|"&amp;TEXT($C853,"0")&amp;"|"&amp;TEXT($G853,"0")&amp;"|"&amp;$J853)</f>
        <v/>
      </c>
      <c r="X853" s="3" t="n"/>
      <c r="Y853" s="3" t="n"/>
      <c r="Z853" s="3" t="n"/>
      <c r="AA853" s="3" t="n"/>
      <c r="AB853" s="3" t="n"/>
      <c r="AC853" s="3" t="n"/>
      <c r="AD853" s="3">
        <f>IF($C853="",0,SUMPRODUCT((AY_SONU!$O$7:$O$42="Evet")*(AY_SONU!$B$7:$B$42=DATE(YEAR($C853),MONTH($C853),1))))</f>
        <v/>
      </c>
    </row>
    <row r="854">
      <c r="A854" s="6" t="n"/>
      <c r="B854" s="113">
        <f>IF($C854="","","GG"&amp;TEXT(ROW()-6,"00000"))</f>
        <v/>
      </c>
      <c r="C854" s="220" t="n"/>
      <c r="D854" s="108" t="n"/>
      <c r="E854" s="109" t="n"/>
      <c r="F854" s="109" t="n"/>
      <c r="G854" s="221" t="n"/>
      <c r="H854" s="108" t="n"/>
      <c r="I854" s="108" t="n"/>
      <c r="J854" s="109" t="n"/>
      <c r="K854" s="109" t="n"/>
      <c r="L854" s="108" t="n"/>
      <c r="M854" s="121">
        <f>IF($C854="","",IF($D854="Gider",$E854,IF($L854&lt;&gt;"",$L854,$H854)))</f>
        <v/>
      </c>
      <c r="N854" s="121">
        <f>IF($C854="","",IF($D854="Gider",$H854,$E854))</f>
        <v/>
      </c>
      <c r="O854" s="226">
        <f>IF($C854="","",DATE(YEAR($C854),MONTH($C854),1))</f>
        <v/>
      </c>
      <c r="P854" s="113">
        <f>IF($C854="","",IF(AND($D854="Gelir",$L854&lt;&gt;"",$T854=""),"TANIMSIZ BORÇLU",IF($T854&lt;&gt;"",IF(OR($E854="",$G854&lt;=0),"EKSİK",IF($I854="Evet","TAHAKKUK NAKİT OLAMAZ",IF($C854&gt;TODAY(),"İLERİ TARİH","TAHAKKUK"))),IF(AND($D854&lt;&gt;"",$E854&lt;&gt;"",$G854&gt;0,$H854&lt;&gt;"",$I854&lt;&gt;""),IF($C854&gt;TODAY(),"İLERİ TARİH",IF(COUNTIF($W$7:$W$1206,$W854)&gt;1,"MÜKERRER?",IF($AD854&gt;0,"KAPALI DÖNEM",IF($I854="Hayır","ÖDENECEK","UYGUN")))),"EKSİK"))))</f>
        <v/>
      </c>
      <c r="Q854" s="6" t="n"/>
      <c r="R854" s="6" t="n"/>
      <c r="S854" s="3">
        <f>IF($L854="","",UPPER(SUBSTITUTE(SUBSTITUTE(SUBSTITUTE(SUBSTITUTE(SUBSTITUTE(SUBSTITUTE(SUBSTITUTE(SUBSTITUTE(SUBSTITUTE(SUBSTITUTE(SUBSTITUTE(SUBSTITUTE(SUBSTITUTE(SUBSTITUTE(SUBSTITUTE(SUBSTITUTE(SUBSTITUTE(SUBSTITUTE(TRIM($L854),"'",""),"İ","I"),"ı","I"),"i","I"),"Ş","S"),"ş","S"),"Ğ","G"),"ğ","G"),"Ü","U"),"ü","U"),"Ö","O"),"ö","O"),"Ç","C"),"ç","C"),".",""),",","")," ",""),"-","")))</f>
        <v/>
      </c>
      <c r="T854" s="3">
        <f>IF(OR($C854="",$D854&lt;&gt;"Gelir",$L854=""),"",IFERROR(INDEX(MUSTERILER!$B$7:$B$106,MATCH($S854,MUSTERILER!$T$7:$T$106,0)),""))</f>
        <v/>
      </c>
      <c r="U854" s="3">
        <f>IF($T854="","",$T854&amp;"|"&amp;COUNTIFS($T$7:$T854,$T854))</f>
        <v/>
      </c>
      <c r="V854" s="3">
        <f>IF($T854="",0,1)</f>
        <v/>
      </c>
      <c r="W854" s="3">
        <f>IF($C854="","",$D854&amp;"|"&amp;$E854&amp;"|"&amp;TEXT($C854,"0")&amp;"|"&amp;TEXT($G854,"0")&amp;"|"&amp;$J854)</f>
        <v/>
      </c>
      <c r="X854" s="3" t="n"/>
      <c r="Y854" s="3" t="n"/>
      <c r="Z854" s="3" t="n"/>
      <c r="AA854" s="3" t="n"/>
      <c r="AB854" s="3" t="n"/>
      <c r="AC854" s="3" t="n"/>
      <c r="AD854" s="3">
        <f>IF($C854="",0,SUMPRODUCT((AY_SONU!$O$7:$O$42="Evet")*(AY_SONU!$B$7:$B$42=DATE(YEAR($C854),MONTH($C854),1))))</f>
        <v/>
      </c>
    </row>
    <row r="855">
      <c r="A855" s="6" t="n"/>
      <c r="B855" s="113">
        <f>IF($C855="","","GG"&amp;TEXT(ROW()-6,"00000"))</f>
        <v/>
      </c>
      <c r="C855" s="220" t="n"/>
      <c r="D855" s="108" t="n"/>
      <c r="E855" s="109" t="n"/>
      <c r="F855" s="109" t="n"/>
      <c r="G855" s="221" t="n"/>
      <c r="H855" s="108" t="n"/>
      <c r="I855" s="108" t="n"/>
      <c r="J855" s="109" t="n"/>
      <c r="K855" s="109" t="n"/>
      <c r="L855" s="108" t="n"/>
      <c r="M855" s="121">
        <f>IF($C855="","",IF($D855="Gider",$E855,IF($L855&lt;&gt;"",$L855,$H855)))</f>
        <v/>
      </c>
      <c r="N855" s="121">
        <f>IF($C855="","",IF($D855="Gider",$H855,$E855))</f>
        <v/>
      </c>
      <c r="O855" s="226">
        <f>IF($C855="","",DATE(YEAR($C855),MONTH($C855),1))</f>
        <v/>
      </c>
      <c r="P855" s="113">
        <f>IF($C855="","",IF(AND($D855="Gelir",$L855&lt;&gt;"",$T855=""),"TANIMSIZ BORÇLU",IF($T855&lt;&gt;"",IF(OR($E855="",$G855&lt;=0),"EKSİK",IF($I855="Evet","TAHAKKUK NAKİT OLAMAZ",IF($C855&gt;TODAY(),"İLERİ TARİH","TAHAKKUK"))),IF(AND($D855&lt;&gt;"",$E855&lt;&gt;"",$G855&gt;0,$H855&lt;&gt;"",$I855&lt;&gt;""),IF($C855&gt;TODAY(),"İLERİ TARİH",IF(COUNTIF($W$7:$W$1206,$W855)&gt;1,"MÜKERRER?",IF($AD855&gt;0,"KAPALI DÖNEM",IF($I855="Hayır","ÖDENECEK","UYGUN")))),"EKSİK"))))</f>
        <v/>
      </c>
      <c r="Q855" s="6" t="n"/>
      <c r="R855" s="6" t="n"/>
      <c r="S855" s="3">
        <f>IF($L855="","",UPPER(SUBSTITUTE(SUBSTITUTE(SUBSTITUTE(SUBSTITUTE(SUBSTITUTE(SUBSTITUTE(SUBSTITUTE(SUBSTITUTE(SUBSTITUTE(SUBSTITUTE(SUBSTITUTE(SUBSTITUTE(SUBSTITUTE(SUBSTITUTE(SUBSTITUTE(SUBSTITUTE(SUBSTITUTE(SUBSTITUTE(TRIM($L855),"'",""),"İ","I"),"ı","I"),"i","I"),"Ş","S"),"ş","S"),"Ğ","G"),"ğ","G"),"Ü","U"),"ü","U"),"Ö","O"),"ö","O"),"Ç","C"),"ç","C"),".",""),",","")," ",""),"-","")))</f>
        <v/>
      </c>
      <c r="T855" s="3">
        <f>IF(OR($C855="",$D855&lt;&gt;"Gelir",$L855=""),"",IFERROR(INDEX(MUSTERILER!$B$7:$B$106,MATCH($S855,MUSTERILER!$T$7:$T$106,0)),""))</f>
        <v/>
      </c>
      <c r="U855" s="3">
        <f>IF($T855="","",$T855&amp;"|"&amp;COUNTIFS($T$7:$T855,$T855))</f>
        <v/>
      </c>
      <c r="V855" s="3">
        <f>IF($T855="",0,1)</f>
        <v/>
      </c>
      <c r="W855" s="3">
        <f>IF($C855="","",$D855&amp;"|"&amp;$E855&amp;"|"&amp;TEXT($C855,"0")&amp;"|"&amp;TEXT($G855,"0")&amp;"|"&amp;$J855)</f>
        <v/>
      </c>
      <c r="X855" s="3" t="n"/>
      <c r="Y855" s="3" t="n"/>
      <c r="Z855" s="3" t="n"/>
      <c r="AA855" s="3" t="n"/>
      <c r="AB855" s="3" t="n"/>
      <c r="AC855" s="3" t="n"/>
      <c r="AD855" s="3">
        <f>IF($C855="",0,SUMPRODUCT((AY_SONU!$O$7:$O$42="Evet")*(AY_SONU!$B$7:$B$42=DATE(YEAR($C855),MONTH($C855),1))))</f>
        <v/>
      </c>
    </row>
    <row r="856">
      <c r="A856" s="6" t="n"/>
      <c r="B856" s="113">
        <f>IF($C856="","","GG"&amp;TEXT(ROW()-6,"00000"))</f>
        <v/>
      </c>
      <c r="C856" s="220" t="n"/>
      <c r="D856" s="108" t="n"/>
      <c r="E856" s="109" t="n"/>
      <c r="F856" s="109" t="n"/>
      <c r="G856" s="221" t="n"/>
      <c r="H856" s="108" t="n"/>
      <c r="I856" s="108" t="n"/>
      <c r="J856" s="109" t="n"/>
      <c r="K856" s="109" t="n"/>
      <c r="L856" s="108" t="n"/>
      <c r="M856" s="121">
        <f>IF($C856="","",IF($D856="Gider",$E856,IF($L856&lt;&gt;"",$L856,$H856)))</f>
        <v/>
      </c>
      <c r="N856" s="121">
        <f>IF($C856="","",IF($D856="Gider",$H856,$E856))</f>
        <v/>
      </c>
      <c r="O856" s="226">
        <f>IF($C856="","",DATE(YEAR($C856),MONTH($C856),1))</f>
        <v/>
      </c>
      <c r="P856" s="113">
        <f>IF($C856="","",IF(AND($D856="Gelir",$L856&lt;&gt;"",$T856=""),"TANIMSIZ BORÇLU",IF($T856&lt;&gt;"",IF(OR($E856="",$G856&lt;=0),"EKSİK",IF($I856="Evet","TAHAKKUK NAKİT OLAMAZ",IF($C856&gt;TODAY(),"İLERİ TARİH","TAHAKKUK"))),IF(AND($D856&lt;&gt;"",$E856&lt;&gt;"",$G856&gt;0,$H856&lt;&gt;"",$I856&lt;&gt;""),IF($C856&gt;TODAY(),"İLERİ TARİH",IF(COUNTIF($W$7:$W$1206,$W856)&gt;1,"MÜKERRER?",IF($AD856&gt;0,"KAPALI DÖNEM",IF($I856="Hayır","ÖDENECEK","UYGUN")))),"EKSİK"))))</f>
        <v/>
      </c>
      <c r="Q856" s="6" t="n"/>
      <c r="R856" s="6" t="n"/>
      <c r="S856" s="3">
        <f>IF($L856="","",UPPER(SUBSTITUTE(SUBSTITUTE(SUBSTITUTE(SUBSTITUTE(SUBSTITUTE(SUBSTITUTE(SUBSTITUTE(SUBSTITUTE(SUBSTITUTE(SUBSTITUTE(SUBSTITUTE(SUBSTITUTE(SUBSTITUTE(SUBSTITUTE(SUBSTITUTE(SUBSTITUTE(SUBSTITUTE(SUBSTITUTE(TRIM($L856),"'",""),"İ","I"),"ı","I"),"i","I"),"Ş","S"),"ş","S"),"Ğ","G"),"ğ","G"),"Ü","U"),"ü","U"),"Ö","O"),"ö","O"),"Ç","C"),"ç","C"),".",""),",","")," ",""),"-","")))</f>
        <v/>
      </c>
      <c r="T856" s="3">
        <f>IF(OR($C856="",$D856&lt;&gt;"Gelir",$L856=""),"",IFERROR(INDEX(MUSTERILER!$B$7:$B$106,MATCH($S856,MUSTERILER!$T$7:$T$106,0)),""))</f>
        <v/>
      </c>
      <c r="U856" s="3">
        <f>IF($T856="","",$T856&amp;"|"&amp;COUNTIFS($T$7:$T856,$T856))</f>
        <v/>
      </c>
      <c r="V856" s="3">
        <f>IF($T856="",0,1)</f>
        <v/>
      </c>
      <c r="W856" s="3">
        <f>IF($C856="","",$D856&amp;"|"&amp;$E856&amp;"|"&amp;TEXT($C856,"0")&amp;"|"&amp;TEXT($G856,"0")&amp;"|"&amp;$J856)</f>
        <v/>
      </c>
      <c r="X856" s="3" t="n"/>
      <c r="Y856" s="3" t="n"/>
      <c r="Z856" s="3" t="n"/>
      <c r="AA856" s="3" t="n"/>
      <c r="AB856" s="3" t="n"/>
      <c r="AC856" s="3" t="n"/>
      <c r="AD856" s="3">
        <f>IF($C856="",0,SUMPRODUCT((AY_SONU!$O$7:$O$42="Evet")*(AY_SONU!$B$7:$B$42=DATE(YEAR($C856),MONTH($C856),1))))</f>
        <v/>
      </c>
    </row>
    <row r="857">
      <c r="A857" s="6" t="n"/>
      <c r="B857" s="113">
        <f>IF($C857="","","GG"&amp;TEXT(ROW()-6,"00000"))</f>
        <v/>
      </c>
      <c r="C857" s="220" t="n"/>
      <c r="D857" s="108" t="n"/>
      <c r="E857" s="109" t="n"/>
      <c r="F857" s="109" t="n"/>
      <c r="G857" s="221" t="n"/>
      <c r="H857" s="108" t="n"/>
      <c r="I857" s="108" t="n"/>
      <c r="J857" s="109" t="n"/>
      <c r="K857" s="109" t="n"/>
      <c r="L857" s="108" t="n"/>
      <c r="M857" s="121">
        <f>IF($C857="","",IF($D857="Gider",$E857,IF($L857&lt;&gt;"",$L857,$H857)))</f>
        <v/>
      </c>
      <c r="N857" s="121">
        <f>IF($C857="","",IF($D857="Gider",$H857,$E857))</f>
        <v/>
      </c>
      <c r="O857" s="226">
        <f>IF($C857="","",DATE(YEAR($C857),MONTH($C857),1))</f>
        <v/>
      </c>
      <c r="P857" s="113">
        <f>IF($C857="","",IF(AND($D857="Gelir",$L857&lt;&gt;"",$T857=""),"TANIMSIZ BORÇLU",IF($T857&lt;&gt;"",IF(OR($E857="",$G857&lt;=0),"EKSİK",IF($I857="Evet","TAHAKKUK NAKİT OLAMAZ",IF($C857&gt;TODAY(),"İLERİ TARİH","TAHAKKUK"))),IF(AND($D857&lt;&gt;"",$E857&lt;&gt;"",$G857&gt;0,$H857&lt;&gt;"",$I857&lt;&gt;""),IF($C857&gt;TODAY(),"İLERİ TARİH",IF(COUNTIF($W$7:$W$1206,$W857)&gt;1,"MÜKERRER?",IF($AD857&gt;0,"KAPALI DÖNEM",IF($I857="Hayır","ÖDENECEK","UYGUN")))),"EKSİK"))))</f>
        <v/>
      </c>
      <c r="Q857" s="6" t="n"/>
      <c r="R857" s="6" t="n"/>
      <c r="S857" s="3">
        <f>IF($L857="","",UPPER(SUBSTITUTE(SUBSTITUTE(SUBSTITUTE(SUBSTITUTE(SUBSTITUTE(SUBSTITUTE(SUBSTITUTE(SUBSTITUTE(SUBSTITUTE(SUBSTITUTE(SUBSTITUTE(SUBSTITUTE(SUBSTITUTE(SUBSTITUTE(SUBSTITUTE(SUBSTITUTE(SUBSTITUTE(SUBSTITUTE(TRIM($L857),"'",""),"İ","I"),"ı","I"),"i","I"),"Ş","S"),"ş","S"),"Ğ","G"),"ğ","G"),"Ü","U"),"ü","U"),"Ö","O"),"ö","O"),"Ç","C"),"ç","C"),".",""),",","")," ",""),"-","")))</f>
        <v/>
      </c>
      <c r="T857" s="3">
        <f>IF(OR($C857="",$D857&lt;&gt;"Gelir",$L857=""),"",IFERROR(INDEX(MUSTERILER!$B$7:$B$106,MATCH($S857,MUSTERILER!$T$7:$T$106,0)),""))</f>
        <v/>
      </c>
      <c r="U857" s="3">
        <f>IF($T857="","",$T857&amp;"|"&amp;COUNTIFS($T$7:$T857,$T857))</f>
        <v/>
      </c>
      <c r="V857" s="3">
        <f>IF($T857="",0,1)</f>
        <v/>
      </c>
      <c r="W857" s="3">
        <f>IF($C857="","",$D857&amp;"|"&amp;$E857&amp;"|"&amp;TEXT($C857,"0")&amp;"|"&amp;TEXT($G857,"0")&amp;"|"&amp;$J857)</f>
        <v/>
      </c>
      <c r="X857" s="3" t="n"/>
      <c r="Y857" s="3" t="n"/>
      <c r="Z857" s="3" t="n"/>
      <c r="AA857" s="3" t="n"/>
      <c r="AB857" s="3" t="n"/>
      <c r="AC857" s="3" t="n"/>
      <c r="AD857" s="3">
        <f>IF($C857="",0,SUMPRODUCT((AY_SONU!$O$7:$O$42="Evet")*(AY_SONU!$B$7:$B$42=DATE(YEAR($C857),MONTH($C857),1))))</f>
        <v/>
      </c>
    </row>
    <row r="858">
      <c r="A858" s="6" t="n"/>
      <c r="B858" s="113">
        <f>IF($C858="","","GG"&amp;TEXT(ROW()-6,"00000"))</f>
        <v/>
      </c>
      <c r="C858" s="220" t="n"/>
      <c r="D858" s="108" t="n"/>
      <c r="E858" s="109" t="n"/>
      <c r="F858" s="109" t="n"/>
      <c r="G858" s="221" t="n"/>
      <c r="H858" s="108" t="n"/>
      <c r="I858" s="108" t="n"/>
      <c r="J858" s="109" t="n"/>
      <c r="K858" s="109" t="n"/>
      <c r="L858" s="108" t="n"/>
      <c r="M858" s="121">
        <f>IF($C858="","",IF($D858="Gider",$E858,IF($L858&lt;&gt;"",$L858,$H858)))</f>
        <v/>
      </c>
      <c r="N858" s="121">
        <f>IF($C858="","",IF($D858="Gider",$H858,$E858))</f>
        <v/>
      </c>
      <c r="O858" s="226">
        <f>IF($C858="","",DATE(YEAR($C858),MONTH($C858),1))</f>
        <v/>
      </c>
      <c r="P858" s="113">
        <f>IF($C858="","",IF(AND($D858="Gelir",$L858&lt;&gt;"",$T858=""),"TANIMSIZ BORÇLU",IF($T858&lt;&gt;"",IF(OR($E858="",$G858&lt;=0),"EKSİK",IF($I858="Evet","TAHAKKUK NAKİT OLAMAZ",IF($C858&gt;TODAY(),"İLERİ TARİH","TAHAKKUK"))),IF(AND($D858&lt;&gt;"",$E858&lt;&gt;"",$G858&gt;0,$H858&lt;&gt;"",$I858&lt;&gt;""),IF($C858&gt;TODAY(),"İLERİ TARİH",IF(COUNTIF($W$7:$W$1206,$W858)&gt;1,"MÜKERRER?",IF($AD858&gt;0,"KAPALI DÖNEM",IF($I858="Hayır","ÖDENECEK","UYGUN")))),"EKSİK"))))</f>
        <v/>
      </c>
      <c r="Q858" s="6" t="n"/>
      <c r="R858" s="6" t="n"/>
      <c r="S858" s="3">
        <f>IF($L858="","",UPPER(SUBSTITUTE(SUBSTITUTE(SUBSTITUTE(SUBSTITUTE(SUBSTITUTE(SUBSTITUTE(SUBSTITUTE(SUBSTITUTE(SUBSTITUTE(SUBSTITUTE(SUBSTITUTE(SUBSTITUTE(SUBSTITUTE(SUBSTITUTE(SUBSTITUTE(SUBSTITUTE(SUBSTITUTE(SUBSTITUTE(TRIM($L858),"'",""),"İ","I"),"ı","I"),"i","I"),"Ş","S"),"ş","S"),"Ğ","G"),"ğ","G"),"Ü","U"),"ü","U"),"Ö","O"),"ö","O"),"Ç","C"),"ç","C"),".",""),",","")," ",""),"-","")))</f>
        <v/>
      </c>
      <c r="T858" s="3">
        <f>IF(OR($C858="",$D858&lt;&gt;"Gelir",$L858=""),"",IFERROR(INDEX(MUSTERILER!$B$7:$B$106,MATCH($S858,MUSTERILER!$T$7:$T$106,0)),""))</f>
        <v/>
      </c>
      <c r="U858" s="3">
        <f>IF($T858="","",$T858&amp;"|"&amp;COUNTIFS($T$7:$T858,$T858))</f>
        <v/>
      </c>
      <c r="V858" s="3">
        <f>IF($T858="",0,1)</f>
        <v/>
      </c>
      <c r="W858" s="3">
        <f>IF($C858="","",$D858&amp;"|"&amp;$E858&amp;"|"&amp;TEXT($C858,"0")&amp;"|"&amp;TEXT($G858,"0")&amp;"|"&amp;$J858)</f>
        <v/>
      </c>
      <c r="X858" s="3" t="n"/>
      <c r="Y858" s="3" t="n"/>
      <c r="Z858" s="3" t="n"/>
      <c r="AA858" s="3" t="n"/>
      <c r="AB858" s="3" t="n"/>
      <c r="AC858" s="3" t="n"/>
      <c r="AD858" s="3">
        <f>IF($C858="",0,SUMPRODUCT((AY_SONU!$O$7:$O$42="Evet")*(AY_SONU!$B$7:$B$42=DATE(YEAR($C858),MONTH($C858),1))))</f>
        <v/>
      </c>
    </row>
    <row r="859">
      <c r="A859" s="6" t="n"/>
      <c r="B859" s="113">
        <f>IF($C859="","","GG"&amp;TEXT(ROW()-6,"00000"))</f>
        <v/>
      </c>
      <c r="C859" s="220" t="n"/>
      <c r="D859" s="108" t="n"/>
      <c r="E859" s="109" t="n"/>
      <c r="F859" s="109" t="n"/>
      <c r="G859" s="221" t="n"/>
      <c r="H859" s="108" t="n"/>
      <c r="I859" s="108" t="n"/>
      <c r="J859" s="109" t="n"/>
      <c r="K859" s="109" t="n"/>
      <c r="L859" s="108" t="n"/>
      <c r="M859" s="121">
        <f>IF($C859="","",IF($D859="Gider",$E859,IF($L859&lt;&gt;"",$L859,$H859)))</f>
        <v/>
      </c>
      <c r="N859" s="121">
        <f>IF($C859="","",IF($D859="Gider",$H859,$E859))</f>
        <v/>
      </c>
      <c r="O859" s="226">
        <f>IF($C859="","",DATE(YEAR($C859),MONTH($C859),1))</f>
        <v/>
      </c>
      <c r="P859" s="113">
        <f>IF($C859="","",IF(AND($D859="Gelir",$L859&lt;&gt;"",$T859=""),"TANIMSIZ BORÇLU",IF($T859&lt;&gt;"",IF(OR($E859="",$G859&lt;=0),"EKSİK",IF($I859="Evet","TAHAKKUK NAKİT OLAMAZ",IF($C859&gt;TODAY(),"İLERİ TARİH","TAHAKKUK"))),IF(AND($D859&lt;&gt;"",$E859&lt;&gt;"",$G859&gt;0,$H859&lt;&gt;"",$I859&lt;&gt;""),IF($C859&gt;TODAY(),"İLERİ TARİH",IF(COUNTIF($W$7:$W$1206,$W859)&gt;1,"MÜKERRER?",IF($AD859&gt;0,"KAPALI DÖNEM",IF($I859="Hayır","ÖDENECEK","UYGUN")))),"EKSİK"))))</f>
        <v/>
      </c>
      <c r="Q859" s="6" t="n"/>
      <c r="R859" s="6" t="n"/>
      <c r="S859" s="3">
        <f>IF($L859="","",UPPER(SUBSTITUTE(SUBSTITUTE(SUBSTITUTE(SUBSTITUTE(SUBSTITUTE(SUBSTITUTE(SUBSTITUTE(SUBSTITUTE(SUBSTITUTE(SUBSTITUTE(SUBSTITUTE(SUBSTITUTE(SUBSTITUTE(SUBSTITUTE(SUBSTITUTE(SUBSTITUTE(SUBSTITUTE(SUBSTITUTE(TRIM($L859),"'",""),"İ","I"),"ı","I"),"i","I"),"Ş","S"),"ş","S"),"Ğ","G"),"ğ","G"),"Ü","U"),"ü","U"),"Ö","O"),"ö","O"),"Ç","C"),"ç","C"),".",""),",","")," ",""),"-","")))</f>
        <v/>
      </c>
      <c r="T859" s="3">
        <f>IF(OR($C859="",$D859&lt;&gt;"Gelir",$L859=""),"",IFERROR(INDEX(MUSTERILER!$B$7:$B$106,MATCH($S859,MUSTERILER!$T$7:$T$106,0)),""))</f>
        <v/>
      </c>
      <c r="U859" s="3">
        <f>IF($T859="","",$T859&amp;"|"&amp;COUNTIFS($T$7:$T859,$T859))</f>
        <v/>
      </c>
      <c r="V859" s="3">
        <f>IF($T859="",0,1)</f>
        <v/>
      </c>
      <c r="W859" s="3">
        <f>IF($C859="","",$D859&amp;"|"&amp;$E859&amp;"|"&amp;TEXT($C859,"0")&amp;"|"&amp;TEXT($G859,"0")&amp;"|"&amp;$J859)</f>
        <v/>
      </c>
      <c r="X859" s="3" t="n"/>
      <c r="Y859" s="3" t="n"/>
      <c r="Z859" s="3" t="n"/>
      <c r="AA859" s="3" t="n"/>
      <c r="AB859" s="3" t="n"/>
      <c r="AC859" s="3" t="n"/>
      <c r="AD859" s="3">
        <f>IF($C859="",0,SUMPRODUCT((AY_SONU!$O$7:$O$42="Evet")*(AY_SONU!$B$7:$B$42=DATE(YEAR($C859),MONTH($C859),1))))</f>
        <v/>
      </c>
    </row>
    <row r="860">
      <c r="A860" s="6" t="n"/>
      <c r="B860" s="113">
        <f>IF($C860="","","GG"&amp;TEXT(ROW()-6,"00000"))</f>
        <v/>
      </c>
      <c r="C860" s="220" t="n"/>
      <c r="D860" s="108" t="n"/>
      <c r="E860" s="109" t="n"/>
      <c r="F860" s="109" t="n"/>
      <c r="G860" s="221" t="n"/>
      <c r="H860" s="108" t="n"/>
      <c r="I860" s="108" t="n"/>
      <c r="J860" s="109" t="n"/>
      <c r="K860" s="109" t="n"/>
      <c r="L860" s="108" t="n"/>
      <c r="M860" s="121">
        <f>IF($C860="","",IF($D860="Gider",$E860,IF($L860&lt;&gt;"",$L860,$H860)))</f>
        <v/>
      </c>
      <c r="N860" s="121">
        <f>IF($C860="","",IF($D860="Gider",$H860,$E860))</f>
        <v/>
      </c>
      <c r="O860" s="226">
        <f>IF($C860="","",DATE(YEAR($C860),MONTH($C860),1))</f>
        <v/>
      </c>
      <c r="P860" s="113">
        <f>IF($C860="","",IF(AND($D860="Gelir",$L860&lt;&gt;"",$T860=""),"TANIMSIZ BORÇLU",IF($T860&lt;&gt;"",IF(OR($E860="",$G860&lt;=0),"EKSİK",IF($I860="Evet","TAHAKKUK NAKİT OLAMAZ",IF($C860&gt;TODAY(),"İLERİ TARİH","TAHAKKUK"))),IF(AND($D860&lt;&gt;"",$E860&lt;&gt;"",$G860&gt;0,$H860&lt;&gt;"",$I860&lt;&gt;""),IF($C860&gt;TODAY(),"İLERİ TARİH",IF(COUNTIF($W$7:$W$1206,$W860)&gt;1,"MÜKERRER?",IF($AD860&gt;0,"KAPALI DÖNEM",IF($I860="Hayır","ÖDENECEK","UYGUN")))),"EKSİK"))))</f>
        <v/>
      </c>
      <c r="Q860" s="6" t="n"/>
      <c r="R860" s="6" t="n"/>
      <c r="S860" s="3">
        <f>IF($L860="","",UPPER(SUBSTITUTE(SUBSTITUTE(SUBSTITUTE(SUBSTITUTE(SUBSTITUTE(SUBSTITUTE(SUBSTITUTE(SUBSTITUTE(SUBSTITUTE(SUBSTITUTE(SUBSTITUTE(SUBSTITUTE(SUBSTITUTE(SUBSTITUTE(SUBSTITUTE(SUBSTITUTE(SUBSTITUTE(SUBSTITUTE(TRIM($L860),"'",""),"İ","I"),"ı","I"),"i","I"),"Ş","S"),"ş","S"),"Ğ","G"),"ğ","G"),"Ü","U"),"ü","U"),"Ö","O"),"ö","O"),"Ç","C"),"ç","C"),".",""),",","")," ",""),"-","")))</f>
        <v/>
      </c>
      <c r="T860" s="3">
        <f>IF(OR($C860="",$D860&lt;&gt;"Gelir",$L860=""),"",IFERROR(INDEX(MUSTERILER!$B$7:$B$106,MATCH($S860,MUSTERILER!$T$7:$T$106,0)),""))</f>
        <v/>
      </c>
      <c r="U860" s="3">
        <f>IF($T860="","",$T860&amp;"|"&amp;COUNTIFS($T$7:$T860,$T860))</f>
        <v/>
      </c>
      <c r="V860" s="3">
        <f>IF($T860="",0,1)</f>
        <v/>
      </c>
      <c r="W860" s="3">
        <f>IF($C860="","",$D860&amp;"|"&amp;$E860&amp;"|"&amp;TEXT($C860,"0")&amp;"|"&amp;TEXT($G860,"0")&amp;"|"&amp;$J860)</f>
        <v/>
      </c>
      <c r="X860" s="3" t="n"/>
      <c r="Y860" s="3" t="n"/>
      <c r="Z860" s="3" t="n"/>
      <c r="AA860" s="3" t="n"/>
      <c r="AB860" s="3" t="n"/>
      <c r="AC860" s="3" t="n"/>
      <c r="AD860" s="3">
        <f>IF($C860="",0,SUMPRODUCT((AY_SONU!$O$7:$O$42="Evet")*(AY_SONU!$B$7:$B$42=DATE(YEAR($C860),MONTH($C860),1))))</f>
        <v/>
      </c>
    </row>
    <row r="861">
      <c r="A861" s="6" t="n"/>
      <c r="B861" s="113">
        <f>IF($C861="","","GG"&amp;TEXT(ROW()-6,"00000"))</f>
        <v/>
      </c>
      <c r="C861" s="220" t="n"/>
      <c r="D861" s="108" t="n"/>
      <c r="E861" s="109" t="n"/>
      <c r="F861" s="109" t="n"/>
      <c r="G861" s="221" t="n"/>
      <c r="H861" s="108" t="n"/>
      <c r="I861" s="108" t="n"/>
      <c r="J861" s="109" t="n"/>
      <c r="K861" s="109" t="n"/>
      <c r="L861" s="108" t="n"/>
      <c r="M861" s="121">
        <f>IF($C861="","",IF($D861="Gider",$E861,IF($L861&lt;&gt;"",$L861,$H861)))</f>
        <v/>
      </c>
      <c r="N861" s="121">
        <f>IF($C861="","",IF($D861="Gider",$H861,$E861))</f>
        <v/>
      </c>
      <c r="O861" s="226">
        <f>IF($C861="","",DATE(YEAR($C861),MONTH($C861),1))</f>
        <v/>
      </c>
      <c r="P861" s="113">
        <f>IF($C861="","",IF(AND($D861="Gelir",$L861&lt;&gt;"",$T861=""),"TANIMSIZ BORÇLU",IF($T861&lt;&gt;"",IF(OR($E861="",$G861&lt;=0),"EKSİK",IF($I861="Evet","TAHAKKUK NAKİT OLAMAZ",IF($C861&gt;TODAY(),"İLERİ TARİH","TAHAKKUK"))),IF(AND($D861&lt;&gt;"",$E861&lt;&gt;"",$G861&gt;0,$H861&lt;&gt;"",$I861&lt;&gt;""),IF($C861&gt;TODAY(),"İLERİ TARİH",IF(COUNTIF($W$7:$W$1206,$W861)&gt;1,"MÜKERRER?",IF($AD861&gt;0,"KAPALI DÖNEM",IF($I861="Hayır","ÖDENECEK","UYGUN")))),"EKSİK"))))</f>
        <v/>
      </c>
      <c r="Q861" s="6" t="n"/>
      <c r="R861" s="6" t="n"/>
      <c r="S861" s="3">
        <f>IF($L861="","",UPPER(SUBSTITUTE(SUBSTITUTE(SUBSTITUTE(SUBSTITUTE(SUBSTITUTE(SUBSTITUTE(SUBSTITUTE(SUBSTITUTE(SUBSTITUTE(SUBSTITUTE(SUBSTITUTE(SUBSTITUTE(SUBSTITUTE(SUBSTITUTE(SUBSTITUTE(SUBSTITUTE(SUBSTITUTE(SUBSTITUTE(TRIM($L861),"'",""),"İ","I"),"ı","I"),"i","I"),"Ş","S"),"ş","S"),"Ğ","G"),"ğ","G"),"Ü","U"),"ü","U"),"Ö","O"),"ö","O"),"Ç","C"),"ç","C"),".",""),",","")," ",""),"-","")))</f>
        <v/>
      </c>
      <c r="T861" s="3">
        <f>IF(OR($C861="",$D861&lt;&gt;"Gelir",$L861=""),"",IFERROR(INDEX(MUSTERILER!$B$7:$B$106,MATCH($S861,MUSTERILER!$T$7:$T$106,0)),""))</f>
        <v/>
      </c>
      <c r="U861" s="3">
        <f>IF($T861="","",$T861&amp;"|"&amp;COUNTIFS($T$7:$T861,$T861))</f>
        <v/>
      </c>
      <c r="V861" s="3">
        <f>IF($T861="",0,1)</f>
        <v/>
      </c>
      <c r="W861" s="3">
        <f>IF($C861="","",$D861&amp;"|"&amp;$E861&amp;"|"&amp;TEXT($C861,"0")&amp;"|"&amp;TEXT($G861,"0")&amp;"|"&amp;$J861)</f>
        <v/>
      </c>
      <c r="X861" s="3" t="n"/>
      <c r="Y861" s="3" t="n"/>
      <c r="Z861" s="3" t="n"/>
      <c r="AA861" s="3" t="n"/>
      <c r="AB861" s="3" t="n"/>
      <c r="AC861" s="3" t="n"/>
      <c r="AD861" s="3">
        <f>IF($C861="",0,SUMPRODUCT((AY_SONU!$O$7:$O$42="Evet")*(AY_SONU!$B$7:$B$42=DATE(YEAR($C861),MONTH($C861),1))))</f>
        <v/>
      </c>
    </row>
    <row r="862">
      <c r="A862" s="6" t="n"/>
      <c r="B862" s="113">
        <f>IF($C862="","","GG"&amp;TEXT(ROW()-6,"00000"))</f>
        <v/>
      </c>
      <c r="C862" s="220" t="n"/>
      <c r="D862" s="108" t="n"/>
      <c r="E862" s="109" t="n"/>
      <c r="F862" s="109" t="n"/>
      <c r="G862" s="221" t="n"/>
      <c r="H862" s="108" t="n"/>
      <c r="I862" s="108" t="n"/>
      <c r="J862" s="109" t="n"/>
      <c r="K862" s="109" t="n"/>
      <c r="L862" s="108" t="n"/>
      <c r="M862" s="121">
        <f>IF($C862="","",IF($D862="Gider",$E862,IF($L862&lt;&gt;"",$L862,$H862)))</f>
        <v/>
      </c>
      <c r="N862" s="121">
        <f>IF($C862="","",IF($D862="Gider",$H862,$E862))</f>
        <v/>
      </c>
      <c r="O862" s="226">
        <f>IF($C862="","",DATE(YEAR($C862),MONTH($C862),1))</f>
        <v/>
      </c>
      <c r="P862" s="113">
        <f>IF($C862="","",IF(AND($D862="Gelir",$L862&lt;&gt;"",$T862=""),"TANIMSIZ BORÇLU",IF($T862&lt;&gt;"",IF(OR($E862="",$G862&lt;=0),"EKSİK",IF($I862="Evet","TAHAKKUK NAKİT OLAMAZ",IF($C862&gt;TODAY(),"İLERİ TARİH","TAHAKKUK"))),IF(AND($D862&lt;&gt;"",$E862&lt;&gt;"",$G862&gt;0,$H862&lt;&gt;"",$I862&lt;&gt;""),IF($C862&gt;TODAY(),"İLERİ TARİH",IF(COUNTIF($W$7:$W$1206,$W862)&gt;1,"MÜKERRER?",IF($AD862&gt;0,"KAPALI DÖNEM",IF($I862="Hayır","ÖDENECEK","UYGUN")))),"EKSİK"))))</f>
        <v/>
      </c>
      <c r="Q862" s="6" t="n"/>
      <c r="R862" s="6" t="n"/>
      <c r="S862" s="3">
        <f>IF($L862="","",UPPER(SUBSTITUTE(SUBSTITUTE(SUBSTITUTE(SUBSTITUTE(SUBSTITUTE(SUBSTITUTE(SUBSTITUTE(SUBSTITUTE(SUBSTITUTE(SUBSTITUTE(SUBSTITUTE(SUBSTITUTE(SUBSTITUTE(SUBSTITUTE(SUBSTITUTE(SUBSTITUTE(SUBSTITUTE(SUBSTITUTE(TRIM($L862),"'",""),"İ","I"),"ı","I"),"i","I"),"Ş","S"),"ş","S"),"Ğ","G"),"ğ","G"),"Ü","U"),"ü","U"),"Ö","O"),"ö","O"),"Ç","C"),"ç","C"),".",""),",","")," ",""),"-","")))</f>
        <v/>
      </c>
      <c r="T862" s="3">
        <f>IF(OR($C862="",$D862&lt;&gt;"Gelir",$L862=""),"",IFERROR(INDEX(MUSTERILER!$B$7:$B$106,MATCH($S862,MUSTERILER!$T$7:$T$106,0)),""))</f>
        <v/>
      </c>
      <c r="U862" s="3">
        <f>IF($T862="","",$T862&amp;"|"&amp;COUNTIFS($T$7:$T862,$T862))</f>
        <v/>
      </c>
      <c r="V862" s="3">
        <f>IF($T862="",0,1)</f>
        <v/>
      </c>
      <c r="W862" s="3">
        <f>IF($C862="","",$D862&amp;"|"&amp;$E862&amp;"|"&amp;TEXT($C862,"0")&amp;"|"&amp;TEXT($G862,"0")&amp;"|"&amp;$J862)</f>
        <v/>
      </c>
      <c r="X862" s="3" t="n"/>
      <c r="Y862" s="3" t="n"/>
      <c r="Z862" s="3" t="n"/>
      <c r="AA862" s="3" t="n"/>
      <c r="AB862" s="3" t="n"/>
      <c r="AC862" s="3" t="n"/>
      <c r="AD862" s="3">
        <f>IF($C862="",0,SUMPRODUCT((AY_SONU!$O$7:$O$42="Evet")*(AY_SONU!$B$7:$B$42=DATE(YEAR($C862),MONTH($C862),1))))</f>
        <v/>
      </c>
    </row>
    <row r="863">
      <c r="A863" s="6" t="n"/>
      <c r="B863" s="113">
        <f>IF($C863="","","GG"&amp;TEXT(ROW()-6,"00000"))</f>
        <v/>
      </c>
      <c r="C863" s="220" t="n"/>
      <c r="D863" s="108" t="n"/>
      <c r="E863" s="109" t="n"/>
      <c r="F863" s="109" t="n"/>
      <c r="G863" s="221" t="n"/>
      <c r="H863" s="108" t="n"/>
      <c r="I863" s="108" t="n"/>
      <c r="J863" s="109" t="n"/>
      <c r="K863" s="109" t="n"/>
      <c r="L863" s="108" t="n"/>
      <c r="M863" s="121">
        <f>IF($C863="","",IF($D863="Gider",$E863,IF($L863&lt;&gt;"",$L863,$H863)))</f>
        <v/>
      </c>
      <c r="N863" s="121">
        <f>IF($C863="","",IF($D863="Gider",$H863,$E863))</f>
        <v/>
      </c>
      <c r="O863" s="226">
        <f>IF($C863="","",DATE(YEAR($C863),MONTH($C863),1))</f>
        <v/>
      </c>
      <c r="P863" s="113">
        <f>IF($C863="","",IF(AND($D863="Gelir",$L863&lt;&gt;"",$T863=""),"TANIMSIZ BORÇLU",IF($T863&lt;&gt;"",IF(OR($E863="",$G863&lt;=0),"EKSİK",IF($I863="Evet","TAHAKKUK NAKİT OLAMAZ",IF($C863&gt;TODAY(),"İLERİ TARİH","TAHAKKUK"))),IF(AND($D863&lt;&gt;"",$E863&lt;&gt;"",$G863&gt;0,$H863&lt;&gt;"",$I863&lt;&gt;""),IF($C863&gt;TODAY(),"İLERİ TARİH",IF(COUNTIF($W$7:$W$1206,$W863)&gt;1,"MÜKERRER?",IF($AD863&gt;0,"KAPALI DÖNEM",IF($I863="Hayır","ÖDENECEK","UYGUN")))),"EKSİK"))))</f>
        <v/>
      </c>
      <c r="Q863" s="6" t="n"/>
      <c r="R863" s="6" t="n"/>
      <c r="S863" s="3">
        <f>IF($L863="","",UPPER(SUBSTITUTE(SUBSTITUTE(SUBSTITUTE(SUBSTITUTE(SUBSTITUTE(SUBSTITUTE(SUBSTITUTE(SUBSTITUTE(SUBSTITUTE(SUBSTITUTE(SUBSTITUTE(SUBSTITUTE(SUBSTITUTE(SUBSTITUTE(SUBSTITUTE(SUBSTITUTE(SUBSTITUTE(SUBSTITUTE(TRIM($L863),"'",""),"İ","I"),"ı","I"),"i","I"),"Ş","S"),"ş","S"),"Ğ","G"),"ğ","G"),"Ü","U"),"ü","U"),"Ö","O"),"ö","O"),"Ç","C"),"ç","C"),".",""),",","")," ",""),"-","")))</f>
        <v/>
      </c>
      <c r="T863" s="3">
        <f>IF(OR($C863="",$D863&lt;&gt;"Gelir",$L863=""),"",IFERROR(INDEX(MUSTERILER!$B$7:$B$106,MATCH($S863,MUSTERILER!$T$7:$T$106,0)),""))</f>
        <v/>
      </c>
      <c r="U863" s="3">
        <f>IF($T863="","",$T863&amp;"|"&amp;COUNTIFS($T$7:$T863,$T863))</f>
        <v/>
      </c>
      <c r="V863" s="3">
        <f>IF($T863="",0,1)</f>
        <v/>
      </c>
      <c r="W863" s="3">
        <f>IF($C863="","",$D863&amp;"|"&amp;$E863&amp;"|"&amp;TEXT($C863,"0")&amp;"|"&amp;TEXT($G863,"0")&amp;"|"&amp;$J863)</f>
        <v/>
      </c>
      <c r="X863" s="3" t="n"/>
      <c r="Y863" s="3" t="n"/>
      <c r="Z863" s="3" t="n"/>
      <c r="AA863" s="3" t="n"/>
      <c r="AB863" s="3" t="n"/>
      <c r="AC863" s="3" t="n"/>
      <c r="AD863" s="3">
        <f>IF($C863="",0,SUMPRODUCT((AY_SONU!$O$7:$O$42="Evet")*(AY_SONU!$B$7:$B$42=DATE(YEAR($C863),MONTH($C863),1))))</f>
        <v/>
      </c>
    </row>
    <row r="864">
      <c r="A864" s="6" t="n"/>
      <c r="B864" s="113">
        <f>IF($C864="","","GG"&amp;TEXT(ROW()-6,"00000"))</f>
        <v/>
      </c>
      <c r="C864" s="220" t="n"/>
      <c r="D864" s="108" t="n"/>
      <c r="E864" s="109" t="n"/>
      <c r="F864" s="109" t="n"/>
      <c r="G864" s="221" t="n"/>
      <c r="H864" s="108" t="n"/>
      <c r="I864" s="108" t="n"/>
      <c r="J864" s="109" t="n"/>
      <c r="K864" s="109" t="n"/>
      <c r="L864" s="108" t="n"/>
      <c r="M864" s="121">
        <f>IF($C864="","",IF($D864="Gider",$E864,IF($L864&lt;&gt;"",$L864,$H864)))</f>
        <v/>
      </c>
      <c r="N864" s="121">
        <f>IF($C864="","",IF($D864="Gider",$H864,$E864))</f>
        <v/>
      </c>
      <c r="O864" s="226">
        <f>IF($C864="","",DATE(YEAR($C864),MONTH($C864),1))</f>
        <v/>
      </c>
      <c r="P864" s="113">
        <f>IF($C864="","",IF(AND($D864="Gelir",$L864&lt;&gt;"",$T864=""),"TANIMSIZ BORÇLU",IF($T864&lt;&gt;"",IF(OR($E864="",$G864&lt;=0),"EKSİK",IF($I864="Evet","TAHAKKUK NAKİT OLAMAZ",IF($C864&gt;TODAY(),"İLERİ TARİH","TAHAKKUK"))),IF(AND($D864&lt;&gt;"",$E864&lt;&gt;"",$G864&gt;0,$H864&lt;&gt;"",$I864&lt;&gt;""),IF($C864&gt;TODAY(),"İLERİ TARİH",IF(COUNTIF($W$7:$W$1206,$W864)&gt;1,"MÜKERRER?",IF($AD864&gt;0,"KAPALI DÖNEM",IF($I864="Hayır","ÖDENECEK","UYGUN")))),"EKSİK"))))</f>
        <v/>
      </c>
      <c r="Q864" s="6" t="n"/>
      <c r="R864" s="6" t="n"/>
      <c r="S864" s="3">
        <f>IF($L864="","",UPPER(SUBSTITUTE(SUBSTITUTE(SUBSTITUTE(SUBSTITUTE(SUBSTITUTE(SUBSTITUTE(SUBSTITUTE(SUBSTITUTE(SUBSTITUTE(SUBSTITUTE(SUBSTITUTE(SUBSTITUTE(SUBSTITUTE(SUBSTITUTE(SUBSTITUTE(SUBSTITUTE(SUBSTITUTE(SUBSTITUTE(TRIM($L864),"'",""),"İ","I"),"ı","I"),"i","I"),"Ş","S"),"ş","S"),"Ğ","G"),"ğ","G"),"Ü","U"),"ü","U"),"Ö","O"),"ö","O"),"Ç","C"),"ç","C"),".",""),",","")," ",""),"-","")))</f>
        <v/>
      </c>
      <c r="T864" s="3">
        <f>IF(OR($C864="",$D864&lt;&gt;"Gelir",$L864=""),"",IFERROR(INDEX(MUSTERILER!$B$7:$B$106,MATCH($S864,MUSTERILER!$T$7:$T$106,0)),""))</f>
        <v/>
      </c>
      <c r="U864" s="3">
        <f>IF($T864="","",$T864&amp;"|"&amp;COUNTIFS($T$7:$T864,$T864))</f>
        <v/>
      </c>
      <c r="V864" s="3">
        <f>IF($T864="",0,1)</f>
        <v/>
      </c>
      <c r="W864" s="3">
        <f>IF($C864="","",$D864&amp;"|"&amp;$E864&amp;"|"&amp;TEXT($C864,"0")&amp;"|"&amp;TEXT($G864,"0")&amp;"|"&amp;$J864)</f>
        <v/>
      </c>
      <c r="X864" s="3" t="n"/>
      <c r="Y864" s="3" t="n"/>
      <c r="Z864" s="3" t="n"/>
      <c r="AA864" s="3" t="n"/>
      <c r="AB864" s="3" t="n"/>
      <c r="AC864" s="3" t="n"/>
      <c r="AD864" s="3">
        <f>IF($C864="",0,SUMPRODUCT((AY_SONU!$O$7:$O$42="Evet")*(AY_SONU!$B$7:$B$42=DATE(YEAR($C864),MONTH($C864),1))))</f>
        <v/>
      </c>
    </row>
    <row r="865">
      <c r="A865" s="6" t="n"/>
      <c r="B865" s="113">
        <f>IF($C865="","","GG"&amp;TEXT(ROW()-6,"00000"))</f>
        <v/>
      </c>
      <c r="C865" s="220" t="n"/>
      <c r="D865" s="108" t="n"/>
      <c r="E865" s="109" t="n"/>
      <c r="F865" s="109" t="n"/>
      <c r="G865" s="221" t="n"/>
      <c r="H865" s="108" t="n"/>
      <c r="I865" s="108" t="n"/>
      <c r="J865" s="109" t="n"/>
      <c r="K865" s="109" t="n"/>
      <c r="L865" s="108" t="n"/>
      <c r="M865" s="121">
        <f>IF($C865="","",IF($D865="Gider",$E865,IF($L865&lt;&gt;"",$L865,$H865)))</f>
        <v/>
      </c>
      <c r="N865" s="121">
        <f>IF($C865="","",IF($D865="Gider",$H865,$E865))</f>
        <v/>
      </c>
      <c r="O865" s="226">
        <f>IF($C865="","",DATE(YEAR($C865),MONTH($C865),1))</f>
        <v/>
      </c>
      <c r="P865" s="113">
        <f>IF($C865="","",IF(AND($D865="Gelir",$L865&lt;&gt;"",$T865=""),"TANIMSIZ BORÇLU",IF($T865&lt;&gt;"",IF(OR($E865="",$G865&lt;=0),"EKSİK",IF($I865="Evet","TAHAKKUK NAKİT OLAMAZ",IF($C865&gt;TODAY(),"İLERİ TARİH","TAHAKKUK"))),IF(AND($D865&lt;&gt;"",$E865&lt;&gt;"",$G865&gt;0,$H865&lt;&gt;"",$I865&lt;&gt;""),IF($C865&gt;TODAY(),"İLERİ TARİH",IF(COUNTIF($W$7:$W$1206,$W865)&gt;1,"MÜKERRER?",IF($AD865&gt;0,"KAPALI DÖNEM",IF($I865="Hayır","ÖDENECEK","UYGUN")))),"EKSİK"))))</f>
        <v/>
      </c>
      <c r="Q865" s="6" t="n"/>
      <c r="R865" s="6" t="n"/>
      <c r="S865" s="3">
        <f>IF($L865="","",UPPER(SUBSTITUTE(SUBSTITUTE(SUBSTITUTE(SUBSTITUTE(SUBSTITUTE(SUBSTITUTE(SUBSTITUTE(SUBSTITUTE(SUBSTITUTE(SUBSTITUTE(SUBSTITUTE(SUBSTITUTE(SUBSTITUTE(SUBSTITUTE(SUBSTITUTE(SUBSTITUTE(SUBSTITUTE(SUBSTITUTE(TRIM($L865),"'",""),"İ","I"),"ı","I"),"i","I"),"Ş","S"),"ş","S"),"Ğ","G"),"ğ","G"),"Ü","U"),"ü","U"),"Ö","O"),"ö","O"),"Ç","C"),"ç","C"),".",""),",","")," ",""),"-","")))</f>
        <v/>
      </c>
      <c r="T865" s="3">
        <f>IF(OR($C865="",$D865&lt;&gt;"Gelir",$L865=""),"",IFERROR(INDEX(MUSTERILER!$B$7:$B$106,MATCH($S865,MUSTERILER!$T$7:$T$106,0)),""))</f>
        <v/>
      </c>
      <c r="U865" s="3">
        <f>IF($T865="","",$T865&amp;"|"&amp;COUNTIFS($T$7:$T865,$T865))</f>
        <v/>
      </c>
      <c r="V865" s="3">
        <f>IF($T865="",0,1)</f>
        <v/>
      </c>
      <c r="W865" s="3">
        <f>IF($C865="","",$D865&amp;"|"&amp;$E865&amp;"|"&amp;TEXT($C865,"0")&amp;"|"&amp;TEXT($G865,"0")&amp;"|"&amp;$J865)</f>
        <v/>
      </c>
      <c r="X865" s="3" t="n"/>
      <c r="Y865" s="3" t="n"/>
      <c r="Z865" s="3" t="n"/>
      <c r="AA865" s="3" t="n"/>
      <c r="AB865" s="3" t="n"/>
      <c r="AC865" s="3" t="n"/>
      <c r="AD865" s="3">
        <f>IF($C865="",0,SUMPRODUCT((AY_SONU!$O$7:$O$42="Evet")*(AY_SONU!$B$7:$B$42=DATE(YEAR($C865),MONTH($C865),1))))</f>
        <v/>
      </c>
    </row>
    <row r="866">
      <c r="A866" s="6" t="n"/>
      <c r="B866" s="113">
        <f>IF($C866="","","GG"&amp;TEXT(ROW()-6,"00000"))</f>
        <v/>
      </c>
      <c r="C866" s="220" t="n"/>
      <c r="D866" s="108" t="n"/>
      <c r="E866" s="109" t="n"/>
      <c r="F866" s="109" t="n"/>
      <c r="G866" s="221" t="n"/>
      <c r="H866" s="108" t="n"/>
      <c r="I866" s="108" t="n"/>
      <c r="J866" s="109" t="n"/>
      <c r="K866" s="109" t="n"/>
      <c r="L866" s="108" t="n"/>
      <c r="M866" s="121">
        <f>IF($C866="","",IF($D866="Gider",$E866,IF($L866&lt;&gt;"",$L866,$H866)))</f>
        <v/>
      </c>
      <c r="N866" s="121">
        <f>IF($C866="","",IF($D866="Gider",$H866,$E866))</f>
        <v/>
      </c>
      <c r="O866" s="226">
        <f>IF($C866="","",DATE(YEAR($C866),MONTH($C866),1))</f>
        <v/>
      </c>
      <c r="P866" s="113">
        <f>IF($C866="","",IF(AND($D866="Gelir",$L866&lt;&gt;"",$T866=""),"TANIMSIZ BORÇLU",IF($T866&lt;&gt;"",IF(OR($E866="",$G866&lt;=0),"EKSİK",IF($I866="Evet","TAHAKKUK NAKİT OLAMAZ",IF($C866&gt;TODAY(),"İLERİ TARİH","TAHAKKUK"))),IF(AND($D866&lt;&gt;"",$E866&lt;&gt;"",$G866&gt;0,$H866&lt;&gt;"",$I866&lt;&gt;""),IF($C866&gt;TODAY(),"İLERİ TARİH",IF(COUNTIF($W$7:$W$1206,$W866)&gt;1,"MÜKERRER?",IF($AD866&gt;0,"KAPALI DÖNEM",IF($I866="Hayır","ÖDENECEK","UYGUN")))),"EKSİK"))))</f>
        <v/>
      </c>
      <c r="Q866" s="6" t="n"/>
      <c r="R866" s="6" t="n"/>
      <c r="S866" s="3">
        <f>IF($L866="","",UPPER(SUBSTITUTE(SUBSTITUTE(SUBSTITUTE(SUBSTITUTE(SUBSTITUTE(SUBSTITUTE(SUBSTITUTE(SUBSTITUTE(SUBSTITUTE(SUBSTITUTE(SUBSTITUTE(SUBSTITUTE(SUBSTITUTE(SUBSTITUTE(SUBSTITUTE(SUBSTITUTE(SUBSTITUTE(SUBSTITUTE(TRIM($L866),"'",""),"İ","I"),"ı","I"),"i","I"),"Ş","S"),"ş","S"),"Ğ","G"),"ğ","G"),"Ü","U"),"ü","U"),"Ö","O"),"ö","O"),"Ç","C"),"ç","C"),".",""),",","")," ",""),"-","")))</f>
        <v/>
      </c>
      <c r="T866" s="3">
        <f>IF(OR($C866="",$D866&lt;&gt;"Gelir",$L866=""),"",IFERROR(INDEX(MUSTERILER!$B$7:$B$106,MATCH($S866,MUSTERILER!$T$7:$T$106,0)),""))</f>
        <v/>
      </c>
      <c r="U866" s="3">
        <f>IF($T866="","",$T866&amp;"|"&amp;COUNTIFS($T$7:$T866,$T866))</f>
        <v/>
      </c>
      <c r="V866" s="3">
        <f>IF($T866="",0,1)</f>
        <v/>
      </c>
      <c r="W866" s="3">
        <f>IF($C866="","",$D866&amp;"|"&amp;$E866&amp;"|"&amp;TEXT($C866,"0")&amp;"|"&amp;TEXT($G866,"0")&amp;"|"&amp;$J866)</f>
        <v/>
      </c>
      <c r="X866" s="3" t="n"/>
      <c r="Y866" s="3" t="n"/>
      <c r="Z866" s="3" t="n"/>
      <c r="AA866" s="3" t="n"/>
      <c r="AB866" s="3" t="n"/>
      <c r="AC866" s="3" t="n"/>
      <c r="AD866" s="3">
        <f>IF($C866="",0,SUMPRODUCT((AY_SONU!$O$7:$O$42="Evet")*(AY_SONU!$B$7:$B$42=DATE(YEAR($C866),MONTH($C866),1))))</f>
        <v/>
      </c>
    </row>
    <row r="867">
      <c r="A867" s="6" t="n"/>
      <c r="B867" s="113">
        <f>IF($C867="","","GG"&amp;TEXT(ROW()-6,"00000"))</f>
        <v/>
      </c>
      <c r="C867" s="220" t="n"/>
      <c r="D867" s="108" t="n"/>
      <c r="E867" s="109" t="n"/>
      <c r="F867" s="109" t="n"/>
      <c r="G867" s="221" t="n"/>
      <c r="H867" s="108" t="n"/>
      <c r="I867" s="108" t="n"/>
      <c r="J867" s="109" t="n"/>
      <c r="K867" s="109" t="n"/>
      <c r="L867" s="108" t="n"/>
      <c r="M867" s="121">
        <f>IF($C867="","",IF($D867="Gider",$E867,IF($L867&lt;&gt;"",$L867,$H867)))</f>
        <v/>
      </c>
      <c r="N867" s="121">
        <f>IF($C867="","",IF($D867="Gider",$H867,$E867))</f>
        <v/>
      </c>
      <c r="O867" s="226">
        <f>IF($C867="","",DATE(YEAR($C867),MONTH($C867),1))</f>
        <v/>
      </c>
      <c r="P867" s="113">
        <f>IF($C867="","",IF(AND($D867="Gelir",$L867&lt;&gt;"",$T867=""),"TANIMSIZ BORÇLU",IF($T867&lt;&gt;"",IF(OR($E867="",$G867&lt;=0),"EKSİK",IF($I867="Evet","TAHAKKUK NAKİT OLAMAZ",IF($C867&gt;TODAY(),"İLERİ TARİH","TAHAKKUK"))),IF(AND($D867&lt;&gt;"",$E867&lt;&gt;"",$G867&gt;0,$H867&lt;&gt;"",$I867&lt;&gt;""),IF($C867&gt;TODAY(),"İLERİ TARİH",IF(COUNTIF($W$7:$W$1206,$W867)&gt;1,"MÜKERRER?",IF($AD867&gt;0,"KAPALI DÖNEM",IF($I867="Hayır","ÖDENECEK","UYGUN")))),"EKSİK"))))</f>
        <v/>
      </c>
      <c r="Q867" s="6" t="n"/>
      <c r="R867" s="6" t="n"/>
      <c r="S867" s="3">
        <f>IF($L867="","",UPPER(SUBSTITUTE(SUBSTITUTE(SUBSTITUTE(SUBSTITUTE(SUBSTITUTE(SUBSTITUTE(SUBSTITUTE(SUBSTITUTE(SUBSTITUTE(SUBSTITUTE(SUBSTITUTE(SUBSTITUTE(SUBSTITUTE(SUBSTITUTE(SUBSTITUTE(SUBSTITUTE(SUBSTITUTE(SUBSTITUTE(TRIM($L867),"'",""),"İ","I"),"ı","I"),"i","I"),"Ş","S"),"ş","S"),"Ğ","G"),"ğ","G"),"Ü","U"),"ü","U"),"Ö","O"),"ö","O"),"Ç","C"),"ç","C"),".",""),",","")," ",""),"-","")))</f>
        <v/>
      </c>
      <c r="T867" s="3">
        <f>IF(OR($C867="",$D867&lt;&gt;"Gelir",$L867=""),"",IFERROR(INDEX(MUSTERILER!$B$7:$B$106,MATCH($S867,MUSTERILER!$T$7:$T$106,0)),""))</f>
        <v/>
      </c>
      <c r="U867" s="3">
        <f>IF($T867="","",$T867&amp;"|"&amp;COUNTIFS($T$7:$T867,$T867))</f>
        <v/>
      </c>
      <c r="V867" s="3">
        <f>IF($T867="",0,1)</f>
        <v/>
      </c>
      <c r="W867" s="3">
        <f>IF($C867="","",$D867&amp;"|"&amp;$E867&amp;"|"&amp;TEXT($C867,"0")&amp;"|"&amp;TEXT($G867,"0")&amp;"|"&amp;$J867)</f>
        <v/>
      </c>
      <c r="X867" s="3" t="n"/>
      <c r="Y867" s="3" t="n"/>
      <c r="Z867" s="3" t="n"/>
      <c r="AA867" s="3" t="n"/>
      <c r="AB867" s="3" t="n"/>
      <c r="AC867" s="3" t="n"/>
      <c r="AD867" s="3">
        <f>IF($C867="",0,SUMPRODUCT((AY_SONU!$O$7:$O$42="Evet")*(AY_SONU!$B$7:$B$42=DATE(YEAR($C867),MONTH($C867),1))))</f>
        <v/>
      </c>
    </row>
    <row r="868">
      <c r="A868" s="6" t="n"/>
      <c r="B868" s="113">
        <f>IF($C868="","","GG"&amp;TEXT(ROW()-6,"00000"))</f>
        <v/>
      </c>
      <c r="C868" s="220" t="n"/>
      <c r="D868" s="108" t="n"/>
      <c r="E868" s="109" t="n"/>
      <c r="F868" s="109" t="n"/>
      <c r="G868" s="221" t="n"/>
      <c r="H868" s="108" t="n"/>
      <c r="I868" s="108" t="n"/>
      <c r="J868" s="109" t="n"/>
      <c r="K868" s="109" t="n"/>
      <c r="L868" s="108" t="n"/>
      <c r="M868" s="121">
        <f>IF($C868="","",IF($D868="Gider",$E868,IF($L868&lt;&gt;"",$L868,$H868)))</f>
        <v/>
      </c>
      <c r="N868" s="121">
        <f>IF($C868="","",IF($D868="Gider",$H868,$E868))</f>
        <v/>
      </c>
      <c r="O868" s="226">
        <f>IF($C868="","",DATE(YEAR($C868),MONTH($C868),1))</f>
        <v/>
      </c>
      <c r="P868" s="113">
        <f>IF($C868="","",IF(AND($D868="Gelir",$L868&lt;&gt;"",$T868=""),"TANIMSIZ BORÇLU",IF($T868&lt;&gt;"",IF(OR($E868="",$G868&lt;=0),"EKSİK",IF($I868="Evet","TAHAKKUK NAKİT OLAMAZ",IF($C868&gt;TODAY(),"İLERİ TARİH","TAHAKKUK"))),IF(AND($D868&lt;&gt;"",$E868&lt;&gt;"",$G868&gt;0,$H868&lt;&gt;"",$I868&lt;&gt;""),IF($C868&gt;TODAY(),"İLERİ TARİH",IF(COUNTIF($W$7:$W$1206,$W868)&gt;1,"MÜKERRER?",IF($AD868&gt;0,"KAPALI DÖNEM",IF($I868="Hayır","ÖDENECEK","UYGUN")))),"EKSİK"))))</f>
        <v/>
      </c>
      <c r="Q868" s="6" t="n"/>
      <c r="R868" s="6" t="n"/>
      <c r="S868" s="3">
        <f>IF($L868="","",UPPER(SUBSTITUTE(SUBSTITUTE(SUBSTITUTE(SUBSTITUTE(SUBSTITUTE(SUBSTITUTE(SUBSTITUTE(SUBSTITUTE(SUBSTITUTE(SUBSTITUTE(SUBSTITUTE(SUBSTITUTE(SUBSTITUTE(SUBSTITUTE(SUBSTITUTE(SUBSTITUTE(SUBSTITUTE(SUBSTITUTE(TRIM($L868),"'",""),"İ","I"),"ı","I"),"i","I"),"Ş","S"),"ş","S"),"Ğ","G"),"ğ","G"),"Ü","U"),"ü","U"),"Ö","O"),"ö","O"),"Ç","C"),"ç","C"),".",""),",","")," ",""),"-","")))</f>
        <v/>
      </c>
      <c r="T868" s="3">
        <f>IF(OR($C868="",$D868&lt;&gt;"Gelir",$L868=""),"",IFERROR(INDEX(MUSTERILER!$B$7:$B$106,MATCH($S868,MUSTERILER!$T$7:$T$106,0)),""))</f>
        <v/>
      </c>
      <c r="U868" s="3">
        <f>IF($T868="","",$T868&amp;"|"&amp;COUNTIFS($T$7:$T868,$T868))</f>
        <v/>
      </c>
      <c r="V868" s="3">
        <f>IF($T868="",0,1)</f>
        <v/>
      </c>
      <c r="W868" s="3">
        <f>IF($C868="","",$D868&amp;"|"&amp;$E868&amp;"|"&amp;TEXT($C868,"0")&amp;"|"&amp;TEXT($G868,"0")&amp;"|"&amp;$J868)</f>
        <v/>
      </c>
      <c r="X868" s="3" t="n"/>
      <c r="Y868" s="3" t="n"/>
      <c r="Z868" s="3" t="n"/>
      <c r="AA868" s="3" t="n"/>
      <c r="AB868" s="3" t="n"/>
      <c r="AC868" s="3" t="n"/>
      <c r="AD868" s="3">
        <f>IF($C868="",0,SUMPRODUCT((AY_SONU!$O$7:$O$42="Evet")*(AY_SONU!$B$7:$B$42=DATE(YEAR($C868),MONTH($C868),1))))</f>
        <v/>
      </c>
    </row>
    <row r="869">
      <c r="A869" s="6" t="n"/>
      <c r="B869" s="113">
        <f>IF($C869="","","GG"&amp;TEXT(ROW()-6,"00000"))</f>
        <v/>
      </c>
      <c r="C869" s="220" t="n"/>
      <c r="D869" s="108" t="n"/>
      <c r="E869" s="109" t="n"/>
      <c r="F869" s="109" t="n"/>
      <c r="G869" s="221" t="n"/>
      <c r="H869" s="108" t="n"/>
      <c r="I869" s="108" t="n"/>
      <c r="J869" s="109" t="n"/>
      <c r="K869" s="109" t="n"/>
      <c r="L869" s="108" t="n"/>
      <c r="M869" s="121">
        <f>IF($C869="","",IF($D869="Gider",$E869,IF($L869&lt;&gt;"",$L869,$H869)))</f>
        <v/>
      </c>
      <c r="N869" s="121">
        <f>IF($C869="","",IF($D869="Gider",$H869,$E869))</f>
        <v/>
      </c>
      <c r="O869" s="226">
        <f>IF($C869="","",DATE(YEAR($C869),MONTH($C869),1))</f>
        <v/>
      </c>
      <c r="P869" s="113">
        <f>IF($C869="","",IF(AND($D869="Gelir",$L869&lt;&gt;"",$T869=""),"TANIMSIZ BORÇLU",IF($T869&lt;&gt;"",IF(OR($E869="",$G869&lt;=0),"EKSİK",IF($I869="Evet","TAHAKKUK NAKİT OLAMAZ",IF($C869&gt;TODAY(),"İLERİ TARİH","TAHAKKUK"))),IF(AND($D869&lt;&gt;"",$E869&lt;&gt;"",$G869&gt;0,$H869&lt;&gt;"",$I869&lt;&gt;""),IF($C869&gt;TODAY(),"İLERİ TARİH",IF(COUNTIF($W$7:$W$1206,$W869)&gt;1,"MÜKERRER?",IF($AD869&gt;0,"KAPALI DÖNEM",IF($I869="Hayır","ÖDENECEK","UYGUN")))),"EKSİK"))))</f>
        <v/>
      </c>
      <c r="Q869" s="6" t="n"/>
      <c r="R869" s="6" t="n"/>
      <c r="S869" s="3">
        <f>IF($L869="","",UPPER(SUBSTITUTE(SUBSTITUTE(SUBSTITUTE(SUBSTITUTE(SUBSTITUTE(SUBSTITUTE(SUBSTITUTE(SUBSTITUTE(SUBSTITUTE(SUBSTITUTE(SUBSTITUTE(SUBSTITUTE(SUBSTITUTE(SUBSTITUTE(SUBSTITUTE(SUBSTITUTE(SUBSTITUTE(SUBSTITUTE(TRIM($L869),"'",""),"İ","I"),"ı","I"),"i","I"),"Ş","S"),"ş","S"),"Ğ","G"),"ğ","G"),"Ü","U"),"ü","U"),"Ö","O"),"ö","O"),"Ç","C"),"ç","C"),".",""),",","")," ",""),"-","")))</f>
        <v/>
      </c>
      <c r="T869" s="3">
        <f>IF(OR($C869="",$D869&lt;&gt;"Gelir",$L869=""),"",IFERROR(INDEX(MUSTERILER!$B$7:$B$106,MATCH($S869,MUSTERILER!$T$7:$T$106,0)),""))</f>
        <v/>
      </c>
      <c r="U869" s="3">
        <f>IF($T869="","",$T869&amp;"|"&amp;COUNTIFS($T$7:$T869,$T869))</f>
        <v/>
      </c>
      <c r="V869" s="3">
        <f>IF($T869="",0,1)</f>
        <v/>
      </c>
      <c r="W869" s="3">
        <f>IF($C869="","",$D869&amp;"|"&amp;$E869&amp;"|"&amp;TEXT($C869,"0")&amp;"|"&amp;TEXT($G869,"0")&amp;"|"&amp;$J869)</f>
        <v/>
      </c>
      <c r="X869" s="3" t="n"/>
      <c r="Y869" s="3" t="n"/>
      <c r="Z869" s="3" t="n"/>
      <c r="AA869" s="3" t="n"/>
      <c r="AB869" s="3" t="n"/>
      <c r="AC869" s="3" t="n"/>
      <c r="AD869" s="3">
        <f>IF($C869="",0,SUMPRODUCT((AY_SONU!$O$7:$O$42="Evet")*(AY_SONU!$B$7:$B$42=DATE(YEAR($C869),MONTH($C869),1))))</f>
        <v/>
      </c>
    </row>
    <row r="870">
      <c r="A870" s="6" t="n"/>
      <c r="B870" s="113">
        <f>IF($C870="","","GG"&amp;TEXT(ROW()-6,"00000"))</f>
        <v/>
      </c>
      <c r="C870" s="220" t="n"/>
      <c r="D870" s="108" t="n"/>
      <c r="E870" s="109" t="n"/>
      <c r="F870" s="109" t="n"/>
      <c r="G870" s="221" t="n"/>
      <c r="H870" s="108" t="n"/>
      <c r="I870" s="108" t="n"/>
      <c r="J870" s="109" t="n"/>
      <c r="K870" s="109" t="n"/>
      <c r="L870" s="108" t="n"/>
      <c r="M870" s="121">
        <f>IF($C870="","",IF($D870="Gider",$E870,IF($L870&lt;&gt;"",$L870,$H870)))</f>
        <v/>
      </c>
      <c r="N870" s="121">
        <f>IF($C870="","",IF($D870="Gider",$H870,$E870))</f>
        <v/>
      </c>
      <c r="O870" s="226">
        <f>IF($C870="","",DATE(YEAR($C870),MONTH($C870),1))</f>
        <v/>
      </c>
      <c r="P870" s="113">
        <f>IF($C870="","",IF(AND($D870="Gelir",$L870&lt;&gt;"",$T870=""),"TANIMSIZ BORÇLU",IF($T870&lt;&gt;"",IF(OR($E870="",$G870&lt;=0),"EKSİK",IF($I870="Evet","TAHAKKUK NAKİT OLAMAZ",IF($C870&gt;TODAY(),"İLERİ TARİH","TAHAKKUK"))),IF(AND($D870&lt;&gt;"",$E870&lt;&gt;"",$G870&gt;0,$H870&lt;&gt;"",$I870&lt;&gt;""),IF($C870&gt;TODAY(),"İLERİ TARİH",IF(COUNTIF($W$7:$W$1206,$W870)&gt;1,"MÜKERRER?",IF($AD870&gt;0,"KAPALI DÖNEM",IF($I870="Hayır","ÖDENECEK","UYGUN")))),"EKSİK"))))</f>
        <v/>
      </c>
      <c r="Q870" s="6" t="n"/>
      <c r="R870" s="6" t="n"/>
      <c r="S870" s="3">
        <f>IF($L870="","",UPPER(SUBSTITUTE(SUBSTITUTE(SUBSTITUTE(SUBSTITUTE(SUBSTITUTE(SUBSTITUTE(SUBSTITUTE(SUBSTITUTE(SUBSTITUTE(SUBSTITUTE(SUBSTITUTE(SUBSTITUTE(SUBSTITUTE(SUBSTITUTE(SUBSTITUTE(SUBSTITUTE(SUBSTITUTE(SUBSTITUTE(TRIM($L870),"'",""),"İ","I"),"ı","I"),"i","I"),"Ş","S"),"ş","S"),"Ğ","G"),"ğ","G"),"Ü","U"),"ü","U"),"Ö","O"),"ö","O"),"Ç","C"),"ç","C"),".",""),",","")," ",""),"-","")))</f>
        <v/>
      </c>
      <c r="T870" s="3">
        <f>IF(OR($C870="",$D870&lt;&gt;"Gelir",$L870=""),"",IFERROR(INDEX(MUSTERILER!$B$7:$B$106,MATCH($S870,MUSTERILER!$T$7:$T$106,0)),""))</f>
        <v/>
      </c>
      <c r="U870" s="3">
        <f>IF($T870="","",$T870&amp;"|"&amp;COUNTIFS($T$7:$T870,$T870))</f>
        <v/>
      </c>
      <c r="V870" s="3">
        <f>IF($T870="",0,1)</f>
        <v/>
      </c>
      <c r="W870" s="3">
        <f>IF($C870="","",$D870&amp;"|"&amp;$E870&amp;"|"&amp;TEXT($C870,"0")&amp;"|"&amp;TEXT($G870,"0")&amp;"|"&amp;$J870)</f>
        <v/>
      </c>
      <c r="X870" s="3" t="n"/>
      <c r="Y870" s="3" t="n"/>
      <c r="Z870" s="3" t="n"/>
      <c r="AA870" s="3" t="n"/>
      <c r="AB870" s="3" t="n"/>
      <c r="AC870" s="3" t="n"/>
      <c r="AD870" s="3">
        <f>IF($C870="",0,SUMPRODUCT((AY_SONU!$O$7:$O$42="Evet")*(AY_SONU!$B$7:$B$42=DATE(YEAR($C870),MONTH($C870),1))))</f>
        <v/>
      </c>
    </row>
    <row r="871">
      <c r="A871" s="6" t="n"/>
      <c r="B871" s="113">
        <f>IF($C871="","","GG"&amp;TEXT(ROW()-6,"00000"))</f>
        <v/>
      </c>
      <c r="C871" s="220" t="n"/>
      <c r="D871" s="108" t="n"/>
      <c r="E871" s="109" t="n"/>
      <c r="F871" s="109" t="n"/>
      <c r="G871" s="221" t="n"/>
      <c r="H871" s="108" t="n"/>
      <c r="I871" s="108" t="n"/>
      <c r="J871" s="109" t="n"/>
      <c r="K871" s="109" t="n"/>
      <c r="L871" s="108" t="n"/>
      <c r="M871" s="121">
        <f>IF($C871="","",IF($D871="Gider",$E871,IF($L871&lt;&gt;"",$L871,$H871)))</f>
        <v/>
      </c>
      <c r="N871" s="121">
        <f>IF($C871="","",IF($D871="Gider",$H871,$E871))</f>
        <v/>
      </c>
      <c r="O871" s="226">
        <f>IF($C871="","",DATE(YEAR($C871),MONTH($C871),1))</f>
        <v/>
      </c>
      <c r="P871" s="113">
        <f>IF($C871="","",IF(AND($D871="Gelir",$L871&lt;&gt;"",$T871=""),"TANIMSIZ BORÇLU",IF($T871&lt;&gt;"",IF(OR($E871="",$G871&lt;=0),"EKSİK",IF($I871="Evet","TAHAKKUK NAKİT OLAMAZ",IF($C871&gt;TODAY(),"İLERİ TARİH","TAHAKKUK"))),IF(AND($D871&lt;&gt;"",$E871&lt;&gt;"",$G871&gt;0,$H871&lt;&gt;"",$I871&lt;&gt;""),IF($C871&gt;TODAY(),"İLERİ TARİH",IF(COUNTIF($W$7:$W$1206,$W871)&gt;1,"MÜKERRER?",IF($AD871&gt;0,"KAPALI DÖNEM",IF($I871="Hayır","ÖDENECEK","UYGUN")))),"EKSİK"))))</f>
        <v/>
      </c>
      <c r="Q871" s="6" t="n"/>
      <c r="R871" s="6" t="n"/>
      <c r="S871" s="3">
        <f>IF($L871="","",UPPER(SUBSTITUTE(SUBSTITUTE(SUBSTITUTE(SUBSTITUTE(SUBSTITUTE(SUBSTITUTE(SUBSTITUTE(SUBSTITUTE(SUBSTITUTE(SUBSTITUTE(SUBSTITUTE(SUBSTITUTE(SUBSTITUTE(SUBSTITUTE(SUBSTITUTE(SUBSTITUTE(SUBSTITUTE(SUBSTITUTE(TRIM($L871),"'",""),"İ","I"),"ı","I"),"i","I"),"Ş","S"),"ş","S"),"Ğ","G"),"ğ","G"),"Ü","U"),"ü","U"),"Ö","O"),"ö","O"),"Ç","C"),"ç","C"),".",""),",","")," ",""),"-","")))</f>
        <v/>
      </c>
      <c r="T871" s="3">
        <f>IF(OR($C871="",$D871&lt;&gt;"Gelir",$L871=""),"",IFERROR(INDEX(MUSTERILER!$B$7:$B$106,MATCH($S871,MUSTERILER!$T$7:$T$106,0)),""))</f>
        <v/>
      </c>
      <c r="U871" s="3">
        <f>IF($T871="","",$T871&amp;"|"&amp;COUNTIFS($T$7:$T871,$T871))</f>
        <v/>
      </c>
      <c r="V871" s="3">
        <f>IF($T871="",0,1)</f>
        <v/>
      </c>
      <c r="W871" s="3">
        <f>IF($C871="","",$D871&amp;"|"&amp;$E871&amp;"|"&amp;TEXT($C871,"0")&amp;"|"&amp;TEXT($G871,"0")&amp;"|"&amp;$J871)</f>
        <v/>
      </c>
      <c r="X871" s="3" t="n"/>
      <c r="Y871" s="3" t="n"/>
      <c r="Z871" s="3" t="n"/>
      <c r="AA871" s="3" t="n"/>
      <c r="AB871" s="3" t="n"/>
      <c r="AC871" s="3" t="n"/>
      <c r="AD871" s="3">
        <f>IF($C871="",0,SUMPRODUCT((AY_SONU!$O$7:$O$42="Evet")*(AY_SONU!$B$7:$B$42=DATE(YEAR($C871),MONTH($C871),1))))</f>
        <v/>
      </c>
    </row>
    <row r="872">
      <c r="A872" s="6" t="n"/>
      <c r="B872" s="113">
        <f>IF($C872="","","GG"&amp;TEXT(ROW()-6,"00000"))</f>
        <v/>
      </c>
      <c r="C872" s="220" t="n"/>
      <c r="D872" s="108" t="n"/>
      <c r="E872" s="109" t="n"/>
      <c r="F872" s="109" t="n"/>
      <c r="G872" s="221" t="n"/>
      <c r="H872" s="108" t="n"/>
      <c r="I872" s="108" t="n"/>
      <c r="J872" s="109" t="n"/>
      <c r="K872" s="109" t="n"/>
      <c r="L872" s="108" t="n"/>
      <c r="M872" s="121">
        <f>IF($C872="","",IF($D872="Gider",$E872,IF($L872&lt;&gt;"",$L872,$H872)))</f>
        <v/>
      </c>
      <c r="N872" s="121">
        <f>IF($C872="","",IF($D872="Gider",$H872,$E872))</f>
        <v/>
      </c>
      <c r="O872" s="226">
        <f>IF($C872="","",DATE(YEAR($C872),MONTH($C872),1))</f>
        <v/>
      </c>
      <c r="P872" s="113">
        <f>IF($C872="","",IF(AND($D872="Gelir",$L872&lt;&gt;"",$T872=""),"TANIMSIZ BORÇLU",IF($T872&lt;&gt;"",IF(OR($E872="",$G872&lt;=0),"EKSİK",IF($I872="Evet","TAHAKKUK NAKİT OLAMAZ",IF($C872&gt;TODAY(),"İLERİ TARİH","TAHAKKUK"))),IF(AND($D872&lt;&gt;"",$E872&lt;&gt;"",$G872&gt;0,$H872&lt;&gt;"",$I872&lt;&gt;""),IF($C872&gt;TODAY(),"İLERİ TARİH",IF(COUNTIF($W$7:$W$1206,$W872)&gt;1,"MÜKERRER?",IF($AD872&gt;0,"KAPALI DÖNEM",IF($I872="Hayır","ÖDENECEK","UYGUN")))),"EKSİK"))))</f>
        <v/>
      </c>
      <c r="Q872" s="6" t="n"/>
      <c r="R872" s="6" t="n"/>
      <c r="S872" s="3">
        <f>IF($L872="","",UPPER(SUBSTITUTE(SUBSTITUTE(SUBSTITUTE(SUBSTITUTE(SUBSTITUTE(SUBSTITUTE(SUBSTITUTE(SUBSTITUTE(SUBSTITUTE(SUBSTITUTE(SUBSTITUTE(SUBSTITUTE(SUBSTITUTE(SUBSTITUTE(SUBSTITUTE(SUBSTITUTE(SUBSTITUTE(SUBSTITUTE(TRIM($L872),"'",""),"İ","I"),"ı","I"),"i","I"),"Ş","S"),"ş","S"),"Ğ","G"),"ğ","G"),"Ü","U"),"ü","U"),"Ö","O"),"ö","O"),"Ç","C"),"ç","C"),".",""),",","")," ",""),"-","")))</f>
        <v/>
      </c>
      <c r="T872" s="3">
        <f>IF(OR($C872="",$D872&lt;&gt;"Gelir",$L872=""),"",IFERROR(INDEX(MUSTERILER!$B$7:$B$106,MATCH($S872,MUSTERILER!$T$7:$T$106,0)),""))</f>
        <v/>
      </c>
      <c r="U872" s="3">
        <f>IF($T872="","",$T872&amp;"|"&amp;COUNTIFS($T$7:$T872,$T872))</f>
        <v/>
      </c>
      <c r="V872" s="3">
        <f>IF($T872="",0,1)</f>
        <v/>
      </c>
      <c r="W872" s="3">
        <f>IF($C872="","",$D872&amp;"|"&amp;$E872&amp;"|"&amp;TEXT($C872,"0")&amp;"|"&amp;TEXT($G872,"0")&amp;"|"&amp;$J872)</f>
        <v/>
      </c>
      <c r="X872" s="3" t="n"/>
      <c r="Y872" s="3" t="n"/>
      <c r="Z872" s="3" t="n"/>
      <c r="AA872" s="3" t="n"/>
      <c r="AB872" s="3" t="n"/>
      <c r="AC872" s="3" t="n"/>
      <c r="AD872" s="3">
        <f>IF($C872="",0,SUMPRODUCT((AY_SONU!$O$7:$O$42="Evet")*(AY_SONU!$B$7:$B$42=DATE(YEAR($C872),MONTH($C872),1))))</f>
        <v/>
      </c>
    </row>
    <row r="873">
      <c r="A873" s="6" t="n"/>
      <c r="B873" s="113">
        <f>IF($C873="","","GG"&amp;TEXT(ROW()-6,"00000"))</f>
        <v/>
      </c>
      <c r="C873" s="220" t="n"/>
      <c r="D873" s="108" t="n"/>
      <c r="E873" s="109" t="n"/>
      <c r="F873" s="109" t="n"/>
      <c r="G873" s="221" t="n"/>
      <c r="H873" s="108" t="n"/>
      <c r="I873" s="108" t="n"/>
      <c r="J873" s="109" t="n"/>
      <c r="K873" s="109" t="n"/>
      <c r="L873" s="108" t="n"/>
      <c r="M873" s="121">
        <f>IF($C873="","",IF($D873="Gider",$E873,IF($L873&lt;&gt;"",$L873,$H873)))</f>
        <v/>
      </c>
      <c r="N873" s="121">
        <f>IF($C873="","",IF($D873="Gider",$H873,$E873))</f>
        <v/>
      </c>
      <c r="O873" s="226">
        <f>IF($C873="","",DATE(YEAR($C873),MONTH($C873),1))</f>
        <v/>
      </c>
      <c r="P873" s="113">
        <f>IF($C873="","",IF(AND($D873="Gelir",$L873&lt;&gt;"",$T873=""),"TANIMSIZ BORÇLU",IF($T873&lt;&gt;"",IF(OR($E873="",$G873&lt;=0),"EKSİK",IF($I873="Evet","TAHAKKUK NAKİT OLAMAZ",IF($C873&gt;TODAY(),"İLERİ TARİH","TAHAKKUK"))),IF(AND($D873&lt;&gt;"",$E873&lt;&gt;"",$G873&gt;0,$H873&lt;&gt;"",$I873&lt;&gt;""),IF($C873&gt;TODAY(),"İLERİ TARİH",IF(COUNTIF($W$7:$W$1206,$W873)&gt;1,"MÜKERRER?",IF($AD873&gt;0,"KAPALI DÖNEM",IF($I873="Hayır","ÖDENECEK","UYGUN")))),"EKSİK"))))</f>
        <v/>
      </c>
      <c r="Q873" s="6" t="n"/>
      <c r="R873" s="6" t="n"/>
      <c r="S873" s="3">
        <f>IF($L873="","",UPPER(SUBSTITUTE(SUBSTITUTE(SUBSTITUTE(SUBSTITUTE(SUBSTITUTE(SUBSTITUTE(SUBSTITUTE(SUBSTITUTE(SUBSTITUTE(SUBSTITUTE(SUBSTITUTE(SUBSTITUTE(SUBSTITUTE(SUBSTITUTE(SUBSTITUTE(SUBSTITUTE(SUBSTITUTE(SUBSTITUTE(TRIM($L873),"'",""),"İ","I"),"ı","I"),"i","I"),"Ş","S"),"ş","S"),"Ğ","G"),"ğ","G"),"Ü","U"),"ü","U"),"Ö","O"),"ö","O"),"Ç","C"),"ç","C"),".",""),",","")," ",""),"-","")))</f>
        <v/>
      </c>
      <c r="T873" s="3">
        <f>IF(OR($C873="",$D873&lt;&gt;"Gelir",$L873=""),"",IFERROR(INDEX(MUSTERILER!$B$7:$B$106,MATCH($S873,MUSTERILER!$T$7:$T$106,0)),""))</f>
        <v/>
      </c>
      <c r="U873" s="3">
        <f>IF($T873="","",$T873&amp;"|"&amp;COUNTIFS($T$7:$T873,$T873))</f>
        <v/>
      </c>
      <c r="V873" s="3">
        <f>IF($T873="",0,1)</f>
        <v/>
      </c>
      <c r="W873" s="3">
        <f>IF($C873="","",$D873&amp;"|"&amp;$E873&amp;"|"&amp;TEXT($C873,"0")&amp;"|"&amp;TEXT($G873,"0")&amp;"|"&amp;$J873)</f>
        <v/>
      </c>
      <c r="X873" s="3" t="n"/>
      <c r="Y873" s="3" t="n"/>
      <c r="Z873" s="3" t="n"/>
      <c r="AA873" s="3" t="n"/>
      <c r="AB873" s="3" t="n"/>
      <c r="AC873" s="3" t="n"/>
      <c r="AD873" s="3">
        <f>IF($C873="",0,SUMPRODUCT((AY_SONU!$O$7:$O$42="Evet")*(AY_SONU!$B$7:$B$42=DATE(YEAR($C873),MONTH($C873),1))))</f>
        <v/>
      </c>
    </row>
    <row r="874">
      <c r="A874" s="6" t="n"/>
      <c r="B874" s="113">
        <f>IF($C874="","","GG"&amp;TEXT(ROW()-6,"00000"))</f>
        <v/>
      </c>
      <c r="C874" s="220" t="n"/>
      <c r="D874" s="108" t="n"/>
      <c r="E874" s="109" t="n"/>
      <c r="F874" s="109" t="n"/>
      <c r="G874" s="221" t="n"/>
      <c r="H874" s="108" t="n"/>
      <c r="I874" s="108" t="n"/>
      <c r="J874" s="109" t="n"/>
      <c r="K874" s="109" t="n"/>
      <c r="L874" s="108" t="n"/>
      <c r="M874" s="121">
        <f>IF($C874="","",IF($D874="Gider",$E874,IF($L874&lt;&gt;"",$L874,$H874)))</f>
        <v/>
      </c>
      <c r="N874" s="121">
        <f>IF($C874="","",IF($D874="Gider",$H874,$E874))</f>
        <v/>
      </c>
      <c r="O874" s="226">
        <f>IF($C874="","",DATE(YEAR($C874),MONTH($C874),1))</f>
        <v/>
      </c>
      <c r="P874" s="113">
        <f>IF($C874="","",IF(AND($D874="Gelir",$L874&lt;&gt;"",$T874=""),"TANIMSIZ BORÇLU",IF($T874&lt;&gt;"",IF(OR($E874="",$G874&lt;=0),"EKSİK",IF($I874="Evet","TAHAKKUK NAKİT OLAMAZ",IF($C874&gt;TODAY(),"İLERİ TARİH","TAHAKKUK"))),IF(AND($D874&lt;&gt;"",$E874&lt;&gt;"",$G874&gt;0,$H874&lt;&gt;"",$I874&lt;&gt;""),IF($C874&gt;TODAY(),"İLERİ TARİH",IF(COUNTIF($W$7:$W$1206,$W874)&gt;1,"MÜKERRER?",IF($AD874&gt;0,"KAPALI DÖNEM",IF($I874="Hayır","ÖDENECEK","UYGUN")))),"EKSİK"))))</f>
        <v/>
      </c>
      <c r="Q874" s="6" t="n"/>
      <c r="R874" s="6" t="n"/>
      <c r="S874" s="3">
        <f>IF($L874="","",UPPER(SUBSTITUTE(SUBSTITUTE(SUBSTITUTE(SUBSTITUTE(SUBSTITUTE(SUBSTITUTE(SUBSTITUTE(SUBSTITUTE(SUBSTITUTE(SUBSTITUTE(SUBSTITUTE(SUBSTITUTE(SUBSTITUTE(SUBSTITUTE(SUBSTITUTE(SUBSTITUTE(SUBSTITUTE(SUBSTITUTE(TRIM($L874),"'",""),"İ","I"),"ı","I"),"i","I"),"Ş","S"),"ş","S"),"Ğ","G"),"ğ","G"),"Ü","U"),"ü","U"),"Ö","O"),"ö","O"),"Ç","C"),"ç","C"),".",""),",","")," ",""),"-","")))</f>
        <v/>
      </c>
      <c r="T874" s="3">
        <f>IF(OR($C874="",$D874&lt;&gt;"Gelir",$L874=""),"",IFERROR(INDEX(MUSTERILER!$B$7:$B$106,MATCH($S874,MUSTERILER!$T$7:$T$106,0)),""))</f>
        <v/>
      </c>
      <c r="U874" s="3">
        <f>IF($T874="","",$T874&amp;"|"&amp;COUNTIFS($T$7:$T874,$T874))</f>
        <v/>
      </c>
      <c r="V874" s="3">
        <f>IF($T874="",0,1)</f>
        <v/>
      </c>
      <c r="W874" s="3">
        <f>IF($C874="","",$D874&amp;"|"&amp;$E874&amp;"|"&amp;TEXT($C874,"0")&amp;"|"&amp;TEXT($G874,"0")&amp;"|"&amp;$J874)</f>
        <v/>
      </c>
      <c r="X874" s="3" t="n"/>
      <c r="Y874" s="3" t="n"/>
      <c r="Z874" s="3" t="n"/>
      <c r="AA874" s="3" t="n"/>
      <c r="AB874" s="3" t="n"/>
      <c r="AC874" s="3" t="n"/>
      <c r="AD874" s="3">
        <f>IF($C874="",0,SUMPRODUCT((AY_SONU!$O$7:$O$42="Evet")*(AY_SONU!$B$7:$B$42=DATE(YEAR($C874),MONTH($C874),1))))</f>
        <v/>
      </c>
    </row>
    <row r="875">
      <c r="A875" s="6" t="n"/>
      <c r="B875" s="113">
        <f>IF($C875="","","GG"&amp;TEXT(ROW()-6,"00000"))</f>
        <v/>
      </c>
      <c r="C875" s="220" t="n"/>
      <c r="D875" s="108" t="n"/>
      <c r="E875" s="109" t="n"/>
      <c r="F875" s="109" t="n"/>
      <c r="G875" s="221" t="n"/>
      <c r="H875" s="108" t="n"/>
      <c r="I875" s="108" t="n"/>
      <c r="J875" s="109" t="n"/>
      <c r="K875" s="109" t="n"/>
      <c r="L875" s="108" t="n"/>
      <c r="M875" s="121">
        <f>IF($C875="","",IF($D875="Gider",$E875,IF($L875&lt;&gt;"",$L875,$H875)))</f>
        <v/>
      </c>
      <c r="N875" s="121">
        <f>IF($C875="","",IF($D875="Gider",$H875,$E875))</f>
        <v/>
      </c>
      <c r="O875" s="226">
        <f>IF($C875="","",DATE(YEAR($C875),MONTH($C875),1))</f>
        <v/>
      </c>
      <c r="P875" s="113">
        <f>IF($C875="","",IF(AND($D875="Gelir",$L875&lt;&gt;"",$T875=""),"TANIMSIZ BORÇLU",IF($T875&lt;&gt;"",IF(OR($E875="",$G875&lt;=0),"EKSİK",IF($I875="Evet","TAHAKKUK NAKİT OLAMAZ",IF($C875&gt;TODAY(),"İLERİ TARİH","TAHAKKUK"))),IF(AND($D875&lt;&gt;"",$E875&lt;&gt;"",$G875&gt;0,$H875&lt;&gt;"",$I875&lt;&gt;""),IF($C875&gt;TODAY(),"İLERİ TARİH",IF(COUNTIF($W$7:$W$1206,$W875)&gt;1,"MÜKERRER?",IF($AD875&gt;0,"KAPALI DÖNEM",IF($I875="Hayır","ÖDENECEK","UYGUN")))),"EKSİK"))))</f>
        <v/>
      </c>
      <c r="Q875" s="6" t="n"/>
      <c r="R875" s="6" t="n"/>
      <c r="S875" s="3">
        <f>IF($L875="","",UPPER(SUBSTITUTE(SUBSTITUTE(SUBSTITUTE(SUBSTITUTE(SUBSTITUTE(SUBSTITUTE(SUBSTITUTE(SUBSTITUTE(SUBSTITUTE(SUBSTITUTE(SUBSTITUTE(SUBSTITUTE(SUBSTITUTE(SUBSTITUTE(SUBSTITUTE(SUBSTITUTE(SUBSTITUTE(SUBSTITUTE(TRIM($L875),"'",""),"İ","I"),"ı","I"),"i","I"),"Ş","S"),"ş","S"),"Ğ","G"),"ğ","G"),"Ü","U"),"ü","U"),"Ö","O"),"ö","O"),"Ç","C"),"ç","C"),".",""),",","")," ",""),"-","")))</f>
        <v/>
      </c>
      <c r="T875" s="3">
        <f>IF(OR($C875="",$D875&lt;&gt;"Gelir",$L875=""),"",IFERROR(INDEX(MUSTERILER!$B$7:$B$106,MATCH($S875,MUSTERILER!$T$7:$T$106,0)),""))</f>
        <v/>
      </c>
      <c r="U875" s="3">
        <f>IF($T875="","",$T875&amp;"|"&amp;COUNTIFS($T$7:$T875,$T875))</f>
        <v/>
      </c>
      <c r="V875" s="3">
        <f>IF($T875="",0,1)</f>
        <v/>
      </c>
      <c r="W875" s="3">
        <f>IF($C875="","",$D875&amp;"|"&amp;$E875&amp;"|"&amp;TEXT($C875,"0")&amp;"|"&amp;TEXT($G875,"0")&amp;"|"&amp;$J875)</f>
        <v/>
      </c>
      <c r="X875" s="3" t="n"/>
      <c r="Y875" s="3" t="n"/>
      <c r="Z875" s="3" t="n"/>
      <c r="AA875" s="3" t="n"/>
      <c r="AB875" s="3" t="n"/>
      <c r="AC875" s="3" t="n"/>
      <c r="AD875" s="3">
        <f>IF($C875="",0,SUMPRODUCT((AY_SONU!$O$7:$O$42="Evet")*(AY_SONU!$B$7:$B$42=DATE(YEAR($C875),MONTH($C875),1))))</f>
        <v/>
      </c>
    </row>
    <row r="876">
      <c r="A876" s="6" t="n"/>
      <c r="B876" s="113">
        <f>IF($C876="","","GG"&amp;TEXT(ROW()-6,"00000"))</f>
        <v/>
      </c>
      <c r="C876" s="220" t="n"/>
      <c r="D876" s="108" t="n"/>
      <c r="E876" s="109" t="n"/>
      <c r="F876" s="109" t="n"/>
      <c r="G876" s="221" t="n"/>
      <c r="H876" s="108" t="n"/>
      <c r="I876" s="108" t="n"/>
      <c r="J876" s="109" t="n"/>
      <c r="K876" s="109" t="n"/>
      <c r="L876" s="108" t="n"/>
      <c r="M876" s="121">
        <f>IF($C876="","",IF($D876="Gider",$E876,IF($L876&lt;&gt;"",$L876,$H876)))</f>
        <v/>
      </c>
      <c r="N876" s="121">
        <f>IF($C876="","",IF($D876="Gider",$H876,$E876))</f>
        <v/>
      </c>
      <c r="O876" s="226">
        <f>IF($C876="","",DATE(YEAR($C876),MONTH($C876),1))</f>
        <v/>
      </c>
      <c r="P876" s="113">
        <f>IF($C876="","",IF(AND($D876="Gelir",$L876&lt;&gt;"",$T876=""),"TANIMSIZ BORÇLU",IF($T876&lt;&gt;"",IF(OR($E876="",$G876&lt;=0),"EKSİK",IF($I876="Evet","TAHAKKUK NAKİT OLAMAZ",IF($C876&gt;TODAY(),"İLERİ TARİH","TAHAKKUK"))),IF(AND($D876&lt;&gt;"",$E876&lt;&gt;"",$G876&gt;0,$H876&lt;&gt;"",$I876&lt;&gt;""),IF($C876&gt;TODAY(),"İLERİ TARİH",IF(COUNTIF($W$7:$W$1206,$W876)&gt;1,"MÜKERRER?",IF($AD876&gt;0,"KAPALI DÖNEM",IF($I876="Hayır","ÖDENECEK","UYGUN")))),"EKSİK"))))</f>
        <v/>
      </c>
      <c r="Q876" s="6" t="n"/>
      <c r="R876" s="6" t="n"/>
      <c r="S876" s="3">
        <f>IF($L876="","",UPPER(SUBSTITUTE(SUBSTITUTE(SUBSTITUTE(SUBSTITUTE(SUBSTITUTE(SUBSTITUTE(SUBSTITUTE(SUBSTITUTE(SUBSTITUTE(SUBSTITUTE(SUBSTITUTE(SUBSTITUTE(SUBSTITUTE(SUBSTITUTE(SUBSTITUTE(SUBSTITUTE(SUBSTITUTE(SUBSTITUTE(TRIM($L876),"'",""),"İ","I"),"ı","I"),"i","I"),"Ş","S"),"ş","S"),"Ğ","G"),"ğ","G"),"Ü","U"),"ü","U"),"Ö","O"),"ö","O"),"Ç","C"),"ç","C"),".",""),",","")," ",""),"-","")))</f>
        <v/>
      </c>
      <c r="T876" s="3">
        <f>IF(OR($C876="",$D876&lt;&gt;"Gelir",$L876=""),"",IFERROR(INDEX(MUSTERILER!$B$7:$B$106,MATCH($S876,MUSTERILER!$T$7:$T$106,0)),""))</f>
        <v/>
      </c>
      <c r="U876" s="3">
        <f>IF($T876="","",$T876&amp;"|"&amp;COUNTIFS($T$7:$T876,$T876))</f>
        <v/>
      </c>
      <c r="V876" s="3">
        <f>IF($T876="",0,1)</f>
        <v/>
      </c>
      <c r="W876" s="3">
        <f>IF($C876="","",$D876&amp;"|"&amp;$E876&amp;"|"&amp;TEXT($C876,"0")&amp;"|"&amp;TEXT($G876,"0")&amp;"|"&amp;$J876)</f>
        <v/>
      </c>
      <c r="X876" s="3" t="n"/>
      <c r="Y876" s="3" t="n"/>
      <c r="Z876" s="3" t="n"/>
      <c r="AA876" s="3" t="n"/>
      <c r="AB876" s="3" t="n"/>
      <c r="AC876" s="3" t="n"/>
      <c r="AD876" s="3">
        <f>IF($C876="",0,SUMPRODUCT((AY_SONU!$O$7:$O$42="Evet")*(AY_SONU!$B$7:$B$42=DATE(YEAR($C876),MONTH($C876),1))))</f>
        <v/>
      </c>
    </row>
    <row r="877">
      <c r="A877" s="6" t="n"/>
      <c r="B877" s="113">
        <f>IF($C877="","","GG"&amp;TEXT(ROW()-6,"00000"))</f>
        <v/>
      </c>
      <c r="C877" s="220" t="n"/>
      <c r="D877" s="108" t="n"/>
      <c r="E877" s="109" t="n"/>
      <c r="F877" s="109" t="n"/>
      <c r="G877" s="221" t="n"/>
      <c r="H877" s="108" t="n"/>
      <c r="I877" s="108" t="n"/>
      <c r="J877" s="109" t="n"/>
      <c r="K877" s="109" t="n"/>
      <c r="L877" s="108" t="n"/>
      <c r="M877" s="121">
        <f>IF($C877="","",IF($D877="Gider",$E877,IF($L877&lt;&gt;"",$L877,$H877)))</f>
        <v/>
      </c>
      <c r="N877" s="121">
        <f>IF($C877="","",IF($D877="Gider",$H877,$E877))</f>
        <v/>
      </c>
      <c r="O877" s="226">
        <f>IF($C877="","",DATE(YEAR($C877),MONTH($C877),1))</f>
        <v/>
      </c>
      <c r="P877" s="113">
        <f>IF($C877="","",IF(AND($D877="Gelir",$L877&lt;&gt;"",$T877=""),"TANIMSIZ BORÇLU",IF($T877&lt;&gt;"",IF(OR($E877="",$G877&lt;=0),"EKSİK",IF($I877="Evet","TAHAKKUK NAKİT OLAMAZ",IF($C877&gt;TODAY(),"İLERİ TARİH","TAHAKKUK"))),IF(AND($D877&lt;&gt;"",$E877&lt;&gt;"",$G877&gt;0,$H877&lt;&gt;"",$I877&lt;&gt;""),IF($C877&gt;TODAY(),"İLERİ TARİH",IF(COUNTIF($W$7:$W$1206,$W877)&gt;1,"MÜKERRER?",IF($AD877&gt;0,"KAPALI DÖNEM",IF($I877="Hayır","ÖDENECEK","UYGUN")))),"EKSİK"))))</f>
        <v/>
      </c>
      <c r="Q877" s="6" t="n"/>
      <c r="R877" s="6" t="n"/>
      <c r="S877" s="3">
        <f>IF($L877="","",UPPER(SUBSTITUTE(SUBSTITUTE(SUBSTITUTE(SUBSTITUTE(SUBSTITUTE(SUBSTITUTE(SUBSTITUTE(SUBSTITUTE(SUBSTITUTE(SUBSTITUTE(SUBSTITUTE(SUBSTITUTE(SUBSTITUTE(SUBSTITUTE(SUBSTITUTE(SUBSTITUTE(SUBSTITUTE(SUBSTITUTE(TRIM($L877),"'",""),"İ","I"),"ı","I"),"i","I"),"Ş","S"),"ş","S"),"Ğ","G"),"ğ","G"),"Ü","U"),"ü","U"),"Ö","O"),"ö","O"),"Ç","C"),"ç","C"),".",""),",","")," ",""),"-","")))</f>
        <v/>
      </c>
      <c r="T877" s="3">
        <f>IF(OR($C877="",$D877&lt;&gt;"Gelir",$L877=""),"",IFERROR(INDEX(MUSTERILER!$B$7:$B$106,MATCH($S877,MUSTERILER!$T$7:$T$106,0)),""))</f>
        <v/>
      </c>
      <c r="U877" s="3">
        <f>IF($T877="","",$T877&amp;"|"&amp;COUNTIFS($T$7:$T877,$T877))</f>
        <v/>
      </c>
      <c r="V877" s="3">
        <f>IF($T877="",0,1)</f>
        <v/>
      </c>
      <c r="W877" s="3">
        <f>IF($C877="","",$D877&amp;"|"&amp;$E877&amp;"|"&amp;TEXT($C877,"0")&amp;"|"&amp;TEXT($G877,"0")&amp;"|"&amp;$J877)</f>
        <v/>
      </c>
      <c r="X877" s="3" t="n"/>
      <c r="Y877" s="3" t="n"/>
      <c r="Z877" s="3" t="n"/>
      <c r="AA877" s="3" t="n"/>
      <c r="AB877" s="3" t="n"/>
      <c r="AC877" s="3" t="n"/>
      <c r="AD877" s="3">
        <f>IF($C877="",0,SUMPRODUCT((AY_SONU!$O$7:$O$42="Evet")*(AY_SONU!$B$7:$B$42=DATE(YEAR($C877),MONTH($C877),1))))</f>
        <v/>
      </c>
    </row>
    <row r="878">
      <c r="A878" s="6" t="n"/>
      <c r="B878" s="113">
        <f>IF($C878="","","GG"&amp;TEXT(ROW()-6,"00000"))</f>
        <v/>
      </c>
      <c r="C878" s="220" t="n"/>
      <c r="D878" s="108" t="n"/>
      <c r="E878" s="109" t="n"/>
      <c r="F878" s="109" t="n"/>
      <c r="G878" s="221" t="n"/>
      <c r="H878" s="108" t="n"/>
      <c r="I878" s="108" t="n"/>
      <c r="J878" s="109" t="n"/>
      <c r="K878" s="109" t="n"/>
      <c r="L878" s="108" t="n"/>
      <c r="M878" s="121">
        <f>IF($C878="","",IF($D878="Gider",$E878,IF($L878&lt;&gt;"",$L878,$H878)))</f>
        <v/>
      </c>
      <c r="N878" s="121">
        <f>IF($C878="","",IF($D878="Gider",$H878,$E878))</f>
        <v/>
      </c>
      <c r="O878" s="226">
        <f>IF($C878="","",DATE(YEAR($C878),MONTH($C878),1))</f>
        <v/>
      </c>
      <c r="P878" s="113">
        <f>IF($C878="","",IF(AND($D878="Gelir",$L878&lt;&gt;"",$T878=""),"TANIMSIZ BORÇLU",IF($T878&lt;&gt;"",IF(OR($E878="",$G878&lt;=0),"EKSİK",IF($I878="Evet","TAHAKKUK NAKİT OLAMAZ",IF($C878&gt;TODAY(),"İLERİ TARİH","TAHAKKUK"))),IF(AND($D878&lt;&gt;"",$E878&lt;&gt;"",$G878&gt;0,$H878&lt;&gt;"",$I878&lt;&gt;""),IF($C878&gt;TODAY(),"İLERİ TARİH",IF(COUNTIF($W$7:$W$1206,$W878)&gt;1,"MÜKERRER?",IF($AD878&gt;0,"KAPALI DÖNEM",IF($I878="Hayır","ÖDENECEK","UYGUN")))),"EKSİK"))))</f>
        <v/>
      </c>
      <c r="Q878" s="6" t="n"/>
      <c r="R878" s="6" t="n"/>
      <c r="S878" s="3">
        <f>IF($L878="","",UPPER(SUBSTITUTE(SUBSTITUTE(SUBSTITUTE(SUBSTITUTE(SUBSTITUTE(SUBSTITUTE(SUBSTITUTE(SUBSTITUTE(SUBSTITUTE(SUBSTITUTE(SUBSTITUTE(SUBSTITUTE(SUBSTITUTE(SUBSTITUTE(SUBSTITUTE(SUBSTITUTE(SUBSTITUTE(SUBSTITUTE(TRIM($L878),"'",""),"İ","I"),"ı","I"),"i","I"),"Ş","S"),"ş","S"),"Ğ","G"),"ğ","G"),"Ü","U"),"ü","U"),"Ö","O"),"ö","O"),"Ç","C"),"ç","C"),".",""),",","")," ",""),"-","")))</f>
        <v/>
      </c>
      <c r="T878" s="3">
        <f>IF(OR($C878="",$D878&lt;&gt;"Gelir",$L878=""),"",IFERROR(INDEX(MUSTERILER!$B$7:$B$106,MATCH($S878,MUSTERILER!$T$7:$T$106,0)),""))</f>
        <v/>
      </c>
      <c r="U878" s="3">
        <f>IF($T878="","",$T878&amp;"|"&amp;COUNTIFS($T$7:$T878,$T878))</f>
        <v/>
      </c>
      <c r="V878" s="3">
        <f>IF($T878="",0,1)</f>
        <v/>
      </c>
      <c r="W878" s="3">
        <f>IF($C878="","",$D878&amp;"|"&amp;$E878&amp;"|"&amp;TEXT($C878,"0")&amp;"|"&amp;TEXT($G878,"0")&amp;"|"&amp;$J878)</f>
        <v/>
      </c>
      <c r="X878" s="3" t="n"/>
      <c r="Y878" s="3" t="n"/>
      <c r="Z878" s="3" t="n"/>
      <c r="AA878" s="3" t="n"/>
      <c r="AB878" s="3" t="n"/>
      <c r="AC878" s="3" t="n"/>
      <c r="AD878" s="3">
        <f>IF($C878="",0,SUMPRODUCT((AY_SONU!$O$7:$O$42="Evet")*(AY_SONU!$B$7:$B$42=DATE(YEAR($C878),MONTH($C878),1))))</f>
        <v/>
      </c>
    </row>
    <row r="879">
      <c r="A879" s="6" t="n"/>
      <c r="B879" s="113">
        <f>IF($C879="","","GG"&amp;TEXT(ROW()-6,"00000"))</f>
        <v/>
      </c>
      <c r="C879" s="220" t="n"/>
      <c r="D879" s="108" t="n"/>
      <c r="E879" s="109" t="n"/>
      <c r="F879" s="109" t="n"/>
      <c r="G879" s="221" t="n"/>
      <c r="H879" s="108" t="n"/>
      <c r="I879" s="108" t="n"/>
      <c r="J879" s="109" t="n"/>
      <c r="K879" s="109" t="n"/>
      <c r="L879" s="108" t="n"/>
      <c r="M879" s="121">
        <f>IF($C879="","",IF($D879="Gider",$E879,IF($L879&lt;&gt;"",$L879,$H879)))</f>
        <v/>
      </c>
      <c r="N879" s="121">
        <f>IF($C879="","",IF($D879="Gider",$H879,$E879))</f>
        <v/>
      </c>
      <c r="O879" s="226">
        <f>IF($C879="","",DATE(YEAR($C879),MONTH($C879),1))</f>
        <v/>
      </c>
      <c r="P879" s="113">
        <f>IF($C879="","",IF(AND($D879="Gelir",$L879&lt;&gt;"",$T879=""),"TANIMSIZ BORÇLU",IF($T879&lt;&gt;"",IF(OR($E879="",$G879&lt;=0),"EKSİK",IF($I879="Evet","TAHAKKUK NAKİT OLAMAZ",IF($C879&gt;TODAY(),"İLERİ TARİH","TAHAKKUK"))),IF(AND($D879&lt;&gt;"",$E879&lt;&gt;"",$G879&gt;0,$H879&lt;&gt;"",$I879&lt;&gt;""),IF($C879&gt;TODAY(),"İLERİ TARİH",IF(COUNTIF($W$7:$W$1206,$W879)&gt;1,"MÜKERRER?",IF($AD879&gt;0,"KAPALI DÖNEM",IF($I879="Hayır","ÖDENECEK","UYGUN")))),"EKSİK"))))</f>
        <v/>
      </c>
      <c r="Q879" s="6" t="n"/>
      <c r="R879" s="6" t="n"/>
      <c r="S879" s="3">
        <f>IF($L879="","",UPPER(SUBSTITUTE(SUBSTITUTE(SUBSTITUTE(SUBSTITUTE(SUBSTITUTE(SUBSTITUTE(SUBSTITUTE(SUBSTITUTE(SUBSTITUTE(SUBSTITUTE(SUBSTITUTE(SUBSTITUTE(SUBSTITUTE(SUBSTITUTE(SUBSTITUTE(SUBSTITUTE(SUBSTITUTE(SUBSTITUTE(TRIM($L879),"'",""),"İ","I"),"ı","I"),"i","I"),"Ş","S"),"ş","S"),"Ğ","G"),"ğ","G"),"Ü","U"),"ü","U"),"Ö","O"),"ö","O"),"Ç","C"),"ç","C"),".",""),",","")," ",""),"-","")))</f>
        <v/>
      </c>
      <c r="T879" s="3">
        <f>IF(OR($C879="",$D879&lt;&gt;"Gelir",$L879=""),"",IFERROR(INDEX(MUSTERILER!$B$7:$B$106,MATCH($S879,MUSTERILER!$T$7:$T$106,0)),""))</f>
        <v/>
      </c>
      <c r="U879" s="3">
        <f>IF($T879="","",$T879&amp;"|"&amp;COUNTIFS($T$7:$T879,$T879))</f>
        <v/>
      </c>
      <c r="V879" s="3">
        <f>IF($T879="",0,1)</f>
        <v/>
      </c>
      <c r="W879" s="3">
        <f>IF($C879="","",$D879&amp;"|"&amp;$E879&amp;"|"&amp;TEXT($C879,"0")&amp;"|"&amp;TEXT($G879,"0")&amp;"|"&amp;$J879)</f>
        <v/>
      </c>
      <c r="X879" s="3" t="n"/>
      <c r="Y879" s="3" t="n"/>
      <c r="Z879" s="3" t="n"/>
      <c r="AA879" s="3" t="n"/>
      <c r="AB879" s="3" t="n"/>
      <c r="AC879" s="3" t="n"/>
      <c r="AD879" s="3">
        <f>IF($C879="",0,SUMPRODUCT((AY_SONU!$O$7:$O$42="Evet")*(AY_SONU!$B$7:$B$42=DATE(YEAR($C879),MONTH($C879),1))))</f>
        <v/>
      </c>
    </row>
    <row r="880">
      <c r="A880" s="6" t="n"/>
      <c r="B880" s="113">
        <f>IF($C880="","","GG"&amp;TEXT(ROW()-6,"00000"))</f>
        <v/>
      </c>
      <c r="C880" s="220" t="n"/>
      <c r="D880" s="108" t="n"/>
      <c r="E880" s="109" t="n"/>
      <c r="F880" s="109" t="n"/>
      <c r="G880" s="221" t="n"/>
      <c r="H880" s="108" t="n"/>
      <c r="I880" s="108" t="n"/>
      <c r="J880" s="109" t="n"/>
      <c r="K880" s="109" t="n"/>
      <c r="L880" s="108" t="n"/>
      <c r="M880" s="121">
        <f>IF($C880="","",IF($D880="Gider",$E880,IF($L880&lt;&gt;"",$L880,$H880)))</f>
        <v/>
      </c>
      <c r="N880" s="121">
        <f>IF($C880="","",IF($D880="Gider",$H880,$E880))</f>
        <v/>
      </c>
      <c r="O880" s="226">
        <f>IF($C880="","",DATE(YEAR($C880),MONTH($C880),1))</f>
        <v/>
      </c>
      <c r="P880" s="113">
        <f>IF($C880="","",IF(AND($D880="Gelir",$L880&lt;&gt;"",$T880=""),"TANIMSIZ BORÇLU",IF($T880&lt;&gt;"",IF(OR($E880="",$G880&lt;=0),"EKSİK",IF($I880="Evet","TAHAKKUK NAKİT OLAMAZ",IF($C880&gt;TODAY(),"İLERİ TARİH","TAHAKKUK"))),IF(AND($D880&lt;&gt;"",$E880&lt;&gt;"",$G880&gt;0,$H880&lt;&gt;"",$I880&lt;&gt;""),IF($C880&gt;TODAY(),"İLERİ TARİH",IF(COUNTIF($W$7:$W$1206,$W880)&gt;1,"MÜKERRER?",IF($AD880&gt;0,"KAPALI DÖNEM",IF($I880="Hayır","ÖDENECEK","UYGUN")))),"EKSİK"))))</f>
        <v/>
      </c>
      <c r="Q880" s="6" t="n"/>
      <c r="R880" s="6" t="n"/>
      <c r="S880" s="3">
        <f>IF($L880="","",UPPER(SUBSTITUTE(SUBSTITUTE(SUBSTITUTE(SUBSTITUTE(SUBSTITUTE(SUBSTITUTE(SUBSTITUTE(SUBSTITUTE(SUBSTITUTE(SUBSTITUTE(SUBSTITUTE(SUBSTITUTE(SUBSTITUTE(SUBSTITUTE(SUBSTITUTE(SUBSTITUTE(SUBSTITUTE(SUBSTITUTE(TRIM($L880),"'",""),"İ","I"),"ı","I"),"i","I"),"Ş","S"),"ş","S"),"Ğ","G"),"ğ","G"),"Ü","U"),"ü","U"),"Ö","O"),"ö","O"),"Ç","C"),"ç","C"),".",""),",","")," ",""),"-","")))</f>
        <v/>
      </c>
      <c r="T880" s="3">
        <f>IF(OR($C880="",$D880&lt;&gt;"Gelir",$L880=""),"",IFERROR(INDEX(MUSTERILER!$B$7:$B$106,MATCH($S880,MUSTERILER!$T$7:$T$106,0)),""))</f>
        <v/>
      </c>
      <c r="U880" s="3">
        <f>IF($T880="","",$T880&amp;"|"&amp;COUNTIFS($T$7:$T880,$T880))</f>
        <v/>
      </c>
      <c r="V880" s="3">
        <f>IF($T880="",0,1)</f>
        <v/>
      </c>
      <c r="W880" s="3">
        <f>IF($C880="","",$D880&amp;"|"&amp;$E880&amp;"|"&amp;TEXT($C880,"0")&amp;"|"&amp;TEXT($G880,"0")&amp;"|"&amp;$J880)</f>
        <v/>
      </c>
      <c r="X880" s="3" t="n"/>
      <c r="Y880" s="3" t="n"/>
      <c r="Z880" s="3" t="n"/>
      <c r="AA880" s="3" t="n"/>
      <c r="AB880" s="3" t="n"/>
      <c r="AC880" s="3" t="n"/>
      <c r="AD880" s="3">
        <f>IF($C880="",0,SUMPRODUCT((AY_SONU!$O$7:$O$42="Evet")*(AY_SONU!$B$7:$B$42=DATE(YEAR($C880),MONTH($C880),1))))</f>
        <v/>
      </c>
    </row>
    <row r="881">
      <c r="A881" s="6" t="n"/>
      <c r="B881" s="113">
        <f>IF($C881="","","GG"&amp;TEXT(ROW()-6,"00000"))</f>
        <v/>
      </c>
      <c r="C881" s="220" t="n"/>
      <c r="D881" s="108" t="n"/>
      <c r="E881" s="109" t="n"/>
      <c r="F881" s="109" t="n"/>
      <c r="G881" s="221" t="n"/>
      <c r="H881" s="108" t="n"/>
      <c r="I881" s="108" t="n"/>
      <c r="J881" s="109" t="n"/>
      <c r="K881" s="109" t="n"/>
      <c r="L881" s="108" t="n"/>
      <c r="M881" s="121">
        <f>IF($C881="","",IF($D881="Gider",$E881,IF($L881&lt;&gt;"",$L881,$H881)))</f>
        <v/>
      </c>
      <c r="N881" s="121">
        <f>IF($C881="","",IF($D881="Gider",$H881,$E881))</f>
        <v/>
      </c>
      <c r="O881" s="226">
        <f>IF($C881="","",DATE(YEAR($C881),MONTH($C881),1))</f>
        <v/>
      </c>
      <c r="P881" s="113">
        <f>IF($C881="","",IF(AND($D881="Gelir",$L881&lt;&gt;"",$T881=""),"TANIMSIZ BORÇLU",IF($T881&lt;&gt;"",IF(OR($E881="",$G881&lt;=0),"EKSİK",IF($I881="Evet","TAHAKKUK NAKİT OLAMAZ",IF($C881&gt;TODAY(),"İLERİ TARİH","TAHAKKUK"))),IF(AND($D881&lt;&gt;"",$E881&lt;&gt;"",$G881&gt;0,$H881&lt;&gt;"",$I881&lt;&gt;""),IF($C881&gt;TODAY(),"İLERİ TARİH",IF(COUNTIF($W$7:$W$1206,$W881)&gt;1,"MÜKERRER?",IF($AD881&gt;0,"KAPALI DÖNEM",IF($I881="Hayır","ÖDENECEK","UYGUN")))),"EKSİK"))))</f>
        <v/>
      </c>
      <c r="Q881" s="6" t="n"/>
      <c r="R881" s="6" t="n"/>
      <c r="S881" s="3">
        <f>IF($L881="","",UPPER(SUBSTITUTE(SUBSTITUTE(SUBSTITUTE(SUBSTITUTE(SUBSTITUTE(SUBSTITUTE(SUBSTITUTE(SUBSTITUTE(SUBSTITUTE(SUBSTITUTE(SUBSTITUTE(SUBSTITUTE(SUBSTITUTE(SUBSTITUTE(SUBSTITUTE(SUBSTITUTE(SUBSTITUTE(SUBSTITUTE(TRIM($L881),"'",""),"İ","I"),"ı","I"),"i","I"),"Ş","S"),"ş","S"),"Ğ","G"),"ğ","G"),"Ü","U"),"ü","U"),"Ö","O"),"ö","O"),"Ç","C"),"ç","C"),".",""),",","")," ",""),"-","")))</f>
        <v/>
      </c>
      <c r="T881" s="3">
        <f>IF(OR($C881="",$D881&lt;&gt;"Gelir",$L881=""),"",IFERROR(INDEX(MUSTERILER!$B$7:$B$106,MATCH($S881,MUSTERILER!$T$7:$T$106,0)),""))</f>
        <v/>
      </c>
      <c r="U881" s="3">
        <f>IF($T881="","",$T881&amp;"|"&amp;COUNTIFS($T$7:$T881,$T881))</f>
        <v/>
      </c>
      <c r="V881" s="3">
        <f>IF($T881="",0,1)</f>
        <v/>
      </c>
      <c r="W881" s="3">
        <f>IF($C881="","",$D881&amp;"|"&amp;$E881&amp;"|"&amp;TEXT($C881,"0")&amp;"|"&amp;TEXT($G881,"0")&amp;"|"&amp;$J881)</f>
        <v/>
      </c>
      <c r="X881" s="3" t="n"/>
      <c r="Y881" s="3" t="n"/>
      <c r="Z881" s="3" t="n"/>
      <c r="AA881" s="3" t="n"/>
      <c r="AB881" s="3" t="n"/>
      <c r="AC881" s="3" t="n"/>
      <c r="AD881" s="3">
        <f>IF($C881="",0,SUMPRODUCT((AY_SONU!$O$7:$O$42="Evet")*(AY_SONU!$B$7:$B$42=DATE(YEAR($C881),MONTH($C881),1))))</f>
        <v/>
      </c>
    </row>
    <row r="882">
      <c r="A882" s="6" t="n"/>
      <c r="B882" s="113">
        <f>IF($C882="","","GG"&amp;TEXT(ROW()-6,"00000"))</f>
        <v/>
      </c>
      <c r="C882" s="220" t="n"/>
      <c r="D882" s="108" t="n"/>
      <c r="E882" s="109" t="n"/>
      <c r="F882" s="109" t="n"/>
      <c r="G882" s="221" t="n"/>
      <c r="H882" s="108" t="n"/>
      <c r="I882" s="108" t="n"/>
      <c r="J882" s="109" t="n"/>
      <c r="K882" s="109" t="n"/>
      <c r="L882" s="108" t="n"/>
      <c r="M882" s="121">
        <f>IF($C882="","",IF($D882="Gider",$E882,IF($L882&lt;&gt;"",$L882,$H882)))</f>
        <v/>
      </c>
      <c r="N882" s="121">
        <f>IF($C882="","",IF($D882="Gider",$H882,$E882))</f>
        <v/>
      </c>
      <c r="O882" s="226">
        <f>IF($C882="","",DATE(YEAR($C882),MONTH($C882),1))</f>
        <v/>
      </c>
      <c r="P882" s="113">
        <f>IF($C882="","",IF(AND($D882="Gelir",$L882&lt;&gt;"",$T882=""),"TANIMSIZ BORÇLU",IF($T882&lt;&gt;"",IF(OR($E882="",$G882&lt;=0),"EKSİK",IF($I882="Evet","TAHAKKUK NAKİT OLAMAZ",IF($C882&gt;TODAY(),"İLERİ TARİH","TAHAKKUK"))),IF(AND($D882&lt;&gt;"",$E882&lt;&gt;"",$G882&gt;0,$H882&lt;&gt;"",$I882&lt;&gt;""),IF($C882&gt;TODAY(),"İLERİ TARİH",IF(COUNTIF($W$7:$W$1206,$W882)&gt;1,"MÜKERRER?",IF($AD882&gt;0,"KAPALI DÖNEM",IF($I882="Hayır","ÖDENECEK","UYGUN")))),"EKSİK"))))</f>
        <v/>
      </c>
      <c r="Q882" s="6" t="n"/>
      <c r="R882" s="6" t="n"/>
      <c r="S882" s="3">
        <f>IF($L882="","",UPPER(SUBSTITUTE(SUBSTITUTE(SUBSTITUTE(SUBSTITUTE(SUBSTITUTE(SUBSTITUTE(SUBSTITUTE(SUBSTITUTE(SUBSTITUTE(SUBSTITUTE(SUBSTITUTE(SUBSTITUTE(SUBSTITUTE(SUBSTITUTE(SUBSTITUTE(SUBSTITUTE(SUBSTITUTE(SUBSTITUTE(TRIM($L882),"'",""),"İ","I"),"ı","I"),"i","I"),"Ş","S"),"ş","S"),"Ğ","G"),"ğ","G"),"Ü","U"),"ü","U"),"Ö","O"),"ö","O"),"Ç","C"),"ç","C"),".",""),",","")," ",""),"-","")))</f>
        <v/>
      </c>
      <c r="T882" s="3">
        <f>IF(OR($C882="",$D882&lt;&gt;"Gelir",$L882=""),"",IFERROR(INDEX(MUSTERILER!$B$7:$B$106,MATCH($S882,MUSTERILER!$T$7:$T$106,0)),""))</f>
        <v/>
      </c>
      <c r="U882" s="3">
        <f>IF($T882="","",$T882&amp;"|"&amp;COUNTIFS($T$7:$T882,$T882))</f>
        <v/>
      </c>
      <c r="V882" s="3">
        <f>IF($T882="",0,1)</f>
        <v/>
      </c>
      <c r="W882" s="3">
        <f>IF($C882="","",$D882&amp;"|"&amp;$E882&amp;"|"&amp;TEXT($C882,"0")&amp;"|"&amp;TEXT($G882,"0")&amp;"|"&amp;$J882)</f>
        <v/>
      </c>
      <c r="X882" s="3" t="n"/>
      <c r="Y882" s="3" t="n"/>
      <c r="Z882" s="3" t="n"/>
      <c r="AA882" s="3" t="n"/>
      <c r="AB882" s="3" t="n"/>
      <c r="AC882" s="3" t="n"/>
      <c r="AD882" s="3">
        <f>IF($C882="",0,SUMPRODUCT((AY_SONU!$O$7:$O$42="Evet")*(AY_SONU!$B$7:$B$42=DATE(YEAR($C882),MONTH($C882),1))))</f>
        <v/>
      </c>
    </row>
    <row r="883">
      <c r="A883" s="6" t="n"/>
      <c r="B883" s="113">
        <f>IF($C883="","","GG"&amp;TEXT(ROW()-6,"00000"))</f>
        <v/>
      </c>
      <c r="C883" s="220" t="n"/>
      <c r="D883" s="108" t="n"/>
      <c r="E883" s="109" t="n"/>
      <c r="F883" s="109" t="n"/>
      <c r="G883" s="221" t="n"/>
      <c r="H883" s="108" t="n"/>
      <c r="I883" s="108" t="n"/>
      <c r="J883" s="109" t="n"/>
      <c r="K883" s="109" t="n"/>
      <c r="L883" s="108" t="n"/>
      <c r="M883" s="121">
        <f>IF($C883="","",IF($D883="Gider",$E883,IF($L883&lt;&gt;"",$L883,$H883)))</f>
        <v/>
      </c>
      <c r="N883" s="121">
        <f>IF($C883="","",IF($D883="Gider",$H883,$E883))</f>
        <v/>
      </c>
      <c r="O883" s="226">
        <f>IF($C883="","",DATE(YEAR($C883),MONTH($C883),1))</f>
        <v/>
      </c>
      <c r="P883" s="113">
        <f>IF($C883="","",IF(AND($D883="Gelir",$L883&lt;&gt;"",$T883=""),"TANIMSIZ BORÇLU",IF($T883&lt;&gt;"",IF(OR($E883="",$G883&lt;=0),"EKSİK",IF($I883="Evet","TAHAKKUK NAKİT OLAMAZ",IF($C883&gt;TODAY(),"İLERİ TARİH","TAHAKKUK"))),IF(AND($D883&lt;&gt;"",$E883&lt;&gt;"",$G883&gt;0,$H883&lt;&gt;"",$I883&lt;&gt;""),IF($C883&gt;TODAY(),"İLERİ TARİH",IF(COUNTIF($W$7:$W$1206,$W883)&gt;1,"MÜKERRER?",IF($AD883&gt;0,"KAPALI DÖNEM",IF($I883="Hayır","ÖDENECEK","UYGUN")))),"EKSİK"))))</f>
        <v/>
      </c>
      <c r="Q883" s="6" t="n"/>
      <c r="R883" s="6" t="n"/>
      <c r="S883" s="3">
        <f>IF($L883="","",UPPER(SUBSTITUTE(SUBSTITUTE(SUBSTITUTE(SUBSTITUTE(SUBSTITUTE(SUBSTITUTE(SUBSTITUTE(SUBSTITUTE(SUBSTITUTE(SUBSTITUTE(SUBSTITUTE(SUBSTITUTE(SUBSTITUTE(SUBSTITUTE(SUBSTITUTE(SUBSTITUTE(SUBSTITUTE(SUBSTITUTE(TRIM($L883),"'",""),"İ","I"),"ı","I"),"i","I"),"Ş","S"),"ş","S"),"Ğ","G"),"ğ","G"),"Ü","U"),"ü","U"),"Ö","O"),"ö","O"),"Ç","C"),"ç","C"),".",""),",","")," ",""),"-","")))</f>
        <v/>
      </c>
      <c r="T883" s="3">
        <f>IF(OR($C883="",$D883&lt;&gt;"Gelir",$L883=""),"",IFERROR(INDEX(MUSTERILER!$B$7:$B$106,MATCH($S883,MUSTERILER!$T$7:$T$106,0)),""))</f>
        <v/>
      </c>
      <c r="U883" s="3">
        <f>IF($T883="","",$T883&amp;"|"&amp;COUNTIFS($T$7:$T883,$T883))</f>
        <v/>
      </c>
      <c r="V883" s="3">
        <f>IF($T883="",0,1)</f>
        <v/>
      </c>
      <c r="W883" s="3">
        <f>IF($C883="","",$D883&amp;"|"&amp;$E883&amp;"|"&amp;TEXT($C883,"0")&amp;"|"&amp;TEXT($G883,"0")&amp;"|"&amp;$J883)</f>
        <v/>
      </c>
      <c r="X883" s="3" t="n"/>
      <c r="Y883" s="3" t="n"/>
      <c r="Z883" s="3" t="n"/>
      <c r="AA883" s="3" t="n"/>
      <c r="AB883" s="3" t="n"/>
      <c r="AC883" s="3" t="n"/>
      <c r="AD883" s="3">
        <f>IF($C883="",0,SUMPRODUCT((AY_SONU!$O$7:$O$42="Evet")*(AY_SONU!$B$7:$B$42=DATE(YEAR($C883),MONTH($C883),1))))</f>
        <v/>
      </c>
    </row>
    <row r="884">
      <c r="A884" s="6" t="n"/>
      <c r="B884" s="113">
        <f>IF($C884="","","GG"&amp;TEXT(ROW()-6,"00000"))</f>
        <v/>
      </c>
      <c r="C884" s="220" t="n"/>
      <c r="D884" s="108" t="n"/>
      <c r="E884" s="109" t="n"/>
      <c r="F884" s="109" t="n"/>
      <c r="G884" s="221" t="n"/>
      <c r="H884" s="108" t="n"/>
      <c r="I884" s="108" t="n"/>
      <c r="J884" s="109" t="n"/>
      <c r="K884" s="109" t="n"/>
      <c r="L884" s="108" t="n"/>
      <c r="M884" s="121">
        <f>IF($C884="","",IF($D884="Gider",$E884,IF($L884&lt;&gt;"",$L884,$H884)))</f>
        <v/>
      </c>
      <c r="N884" s="121">
        <f>IF($C884="","",IF($D884="Gider",$H884,$E884))</f>
        <v/>
      </c>
      <c r="O884" s="226">
        <f>IF($C884="","",DATE(YEAR($C884),MONTH($C884),1))</f>
        <v/>
      </c>
      <c r="P884" s="113">
        <f>IF($C884="","",IF(AND($D884="Gelir",$L884&lt;&gt;"",$T884=""),"TANIMSIZ BORÇLU",IF($T884&lt;&gt;"",IF(OR($E884="",$G884&lt;=0),"EKSİK",IF($I884="Evet","TAHAKKUK NAKİT OLAMAZ",IF($C884&gt;TODAY(),"İLERİ TARİH","TAHAKKUK"))),IF(AND($D884&lt;&gt;"",$E884&lt;&gt;"",$G884&gt;0,$H884&lt;&gt;"",$I884&lt;&gt;""),IF($C884&gt;TODAY(),"İLERİ TARİH",IF(COUNTIF($W$7:$W$1206,$W884)&gt;1,"MÜKERRER?",IF($AD884&gt;0,"KAPALI DÖNEM",IF($I884="Hayır","ÖDENECEK","UYGUN")))),"EKSİK"))))</f>
        <v/>
      </c>
      <c r="Q884" s="6" t="n"/>
      <c r="R884" s="6" t="n"/>
      <c r="S884" s="3">
        <f>IF($L884="","",UPPER(SUBSTITUTE(SUBSTITUTE(SUBSTITUTE(SUBSTITUTE(SUBSTITUTE(SUBSTITUTE(SUBSTITUTE(SUBSTITUTE(SUBSTITUTE(SUBSTITUTE(SUBSTITUTE(SUBSTITUTE(SUBSTITUTE(SUBSTITUTE(SUBSTITUTE(SUBSTITUTE(SUBSTITUTE(SUBSTITUTE(TRIM($L884),"'",""),"İ","I"),"ı","I"),"i","I"),"Ş","S"),"ş","S"),"Ğ","G"),"ğ","G"),"Ü","U"),"ü","U"),"Ö","O"),"ö","O"),"Ç","C"),"ç","C"),".",""),",","")," ",""),"-","")))</f>
        <v/>
      </c>
      <c r="T884" s="3">
        <f>IF(OR($C884="",$D884&lt;&gt;"Gelir",$L884=""),"",IFERROR(INDEX(MUSTERILER!$B$7:$B$106,MATCH($S884,MUSTERILER!$T$7:$T$106,0)),""))</f>
        <v/>
      </c>
      <c r="U884" s="3">
        <f>IF($T884="","",$T884&amp;"|"&amp;COUNTIFS($T$7:$T884,$T884))</f>
        <v/>
      </c>
      <c r="V884" s="3">
        <f>IF($T884="",0,1)</f>
        <v/>
      </c>
      <c r="W884" s="3">
        <f>IF($C884="","",$D884&amp;"|"&amp;$E884&amp;"|"&amp;TEXT($C884,"0")&amp;"|"&amp;TEXT($G884,"0")&amp;"|"&amp;$J884)</f>
        <v/>
      </c>
      <c r="X884" s="3" t="n"/>
      <c r="Y884" s="3" t="n"/>
      <c r="Z884" s="3" t="n"/>
      <c r="AA884" s="3" t="n"/>
      <c r="AB884" s="3" t="n"/>
      <c r="AC884" s="3" t="n"/>
      <c r="AD884" s="3">
        <f>IF($C884="",0,SUMPRODUCT((AY_SONU!$O$7:$O$42="Evet")*(AY_SONU!$B$7:$B$42=DATE(YEAR($C884),MONTH($C884),1))))</f>
        <v/>
      </c>
    </row>
    <row r="885">
      <c r="A885" s="6" t="n"/>
      <c r="B885" s="113">
        <f>IF($C885="","","GG"&amp;TEXT(ROW()-6,"00000"))</f>
        <v/>
      </c>
      <c r="C885" s="220" t="n"/>
      <c r="D885" s="108" t="n"/>
      <c r="E885" s="109" t="n"/>
      <c r="F885" s="109" t="n"/>
      <c r="G885" s="221" t="n"/>
      <c r="H885" s="108" t="n"/>
      <c r="I885" s="108" t="n"/>
      <c r="J885" s="109" t="n"/>
      <c r="K885" s="109" t="n"/>
      <c r="L885" s="108" t="n"/>
      <c r="M885" s="121">
        <f>IF($C885="","",IF($D885="Gider",$E885,IF($L885&lt;&gt;"",$L885,$H885)))</f>
        <v/>
      </c>
      <c r="N885" s="121">
        <f>IF($C885="","",IF($D885="Gider",$H885,$E885))</f>
        <v/>
      </c>
      <c r="O885" s="226">
        <f>IF($C885="","",DATE(YEAR($C885),MONTH($C885),1))</f>
        <v/>
      </c>
      <c r="P885" s="113">
        <f>IF($C885="","",IF(AND($D885="Gelir",$L885&lt;&gt;"",$T885=""),"TANIMSIZ BORÇLU",IF($T885&lt;&gt;"",IF(OR($E885="",$G885&lt;=0),"EKSİK",IF($I885="Evet","TAHAKKUK NAKİT OLAMAZ",IF($C885&gt;TODAY(),"İLERİ TARİH","TAHAKKUK"))),IF(AND($D885&lt;&gt;"",$E885&lt;&gt;"",$G885&gt;0,$H885&lt;&gt;"",$I885&lt;&gt;""),IF($C885&gt;TODAY(),"İLERİ TARİH",IF(COUNTIF($W$7:$W$1206,$W885)&gt;1,"MÜKERRER?",IF($AD885&gt;0,"KAPALI DÖNEM",IF($I885="Hayır","ÖDENECEK","UYGUN")))),"EKSİK"))))</f>
        <v/>
      </c>
      <c r="Q885" s="6" t="n"/>
      <c r="R885" s="6" t="n"/>
      <c r="S885" s="3">
        <f>IF($L885="","",UPPER(SUBSTITUTE(SUBSTITUTE(SUBSTITUTE(SUBSTITUTE(SUBSTITUTE(SUBSTITUTE(SUBSTITUTE(SUBSTITUTE(SUBSTITUTE(SUBSTITUTE(SUBSTITUTE(SUBSTITUTE(SUBSTITUTE(SUBSTITUTE(SUBSTITUTE(SUBSTITUTE(SUBSTITUTE(SUBSTITUTE(TRIM($L885),"'",""),"İ","I"),"ı","I"),"i","I"),"Ş","S"),"ş","S"),"Ğ","G"),"ğ","G"),"Ü","U"),"ü","U"),"Ö","O"),"ö","O"),"Ç","C"),"ç","C"),".",""),",","")," ",""),"-","")))</f>
        <v/>
      </c>
      <c r="T885" s="3">
        <f>IF(OR($C885="",$D885&lt;&gt;"Gelir",$L885=""),"",IFERROR(INDEX(MUSTERILER!$B$7:$B$106,MATCH($S885,MUSTERILER!$T$7:$T$106,0)),""))</f>
        <v/>
      </c>
      <c r="U885" s="3">
        <f>IF($T885="","",$T885&amp;"|"&amp;COUNTIFS($T$7:$T885,$T885))</f>
        <v/>
      </c>
      <c r="V885" s="3">
        <f>IF($T885="",0,1)</f>
        <v/>
      </c>
      <c r="W885" s="3">
        <f>IF($C885="","",$D885&amp;"|"&amp;$E885&amp;"|"&amp;TEXT($C885,"0")&amp;"|"&amp;TEXT($G885,"0")&amp;"|"&amp;$J885)</f>
        <v/>
      </c>
      <c r="X885" s="3" t="n"/>
      <c r="Y885" s="3" t="n"/>
      <c r="Z885" s="3" t="n"/>
      <c r="AA885" s="3" t="n"/>
      <c r="AB885" s="3" t="n"/>
      <c r="AC885" s="3" t="n"/>
      <c r="AD885" s="3">
        <f>IF($C885="",0,SUMPRODUCT((AY_SONU!$O$7:$O$42="Evet")*(AY_SONU!$B$7:$B$42=DATE(YEAR($C885),MONTH($C885),1))))</f>
        <v/>
      </c>
    </row>
    <row r="886">
      <c r="A886" s="6" t="n"/>
      <c r="B886" s="113">
        <f>IF($C886="","","GG"&amp;TEXT(ROW()-6,"00000"))</f>
        <v/>
      </c>
      <c r="C886" s="220" t="n"/>
      <c r="D886" s="108" t="n"/>
      <c r="E886" s="109" t="n"/>
      <c r="F886" s="109" t="n"/>
      <c r="G886" s="221" t="n"/>
      <c r="H886" s="108" t="n"/>
      <c r="I886" s="108" t="n"/>
      <c r="J886" s="109" t="n"/>
      <c r="K886" s="109" t="n"/>
      <c r="L886" s="108" t="n"/>
      <c r="M886" s="121">
        <f>IF($C886="","",IF($D886="Gider",$E886,IF($L886&lt;&gt;"",$L886,$H886)))</f>
        <v/>
      </c>
      <c r="N886" s="121">
        <f>IF($C886="","",IF($D886="Gider",$H886,$E886))</f>
        <v/>
      </c>
      <c r="O886" s="226">
        <f>IF($C886="","",DATE(YEAR($C886),MONTH($C886),1))</f>
        <v/>
      </c>
      <c r="P886" s="113">
        <f>IF($C886="","",IF(AND($D886="Gelir",$L886&lt;&gt;"",$T886=""),"TANIMSIZ BORÇLU",IF($T886&lt;&gt;"",IF(OR($E886="",$G886&lt;=0),"EKSİK",IF($I886="Evet","TAHAKKUK NAKİT OLAMAZ",IF($C886&gt;TODAY(),"İLERİ TARİH","TAHAKKUK"))),IF(AND($D886&lt;&gt;"",$E886&lt;&gt;"",$G886&gt;0,$H886&lt;&gt;"",$I886&lt;&gt;""),IF($C886&gt;TODAY(),"İLERİ TARİH",IF(COUNTIF($W$7:$W$1206,$W886)&gt;1,"MÜKERRER?",IF($AD886&gt;0,"KAPALI DÖNEM",IF($I886="Hayır","ÖDENECEK","UYGUN")))),"EKSİK"))))</f>
        <v/>
      </c>
      <c r="Q886" s="6" t="n"/>
      <c r="R886" s="6" t="n"/>
      <c r="S886" s="3">
        <f>IF($L886="","",UPPER(SUBSTITUTE(SUBSTITUTE(SUBSTITUTE(SUBSTITUTE(SUBSTITUTE(SUBSTITUTE(SUBSTITUTE(SUBSTITUTE(SUBSTITUTE(SUBSTITUTE(SUBSTITUTE(SUBSTITUTE(SUBSTITUTE(SUBSTITUTE(SUBSTITUTE(SUBSTITUTE(SUBSTITUTE(SUBSTITUTE(TRIM($L886),"'",""),"İ","I"),"ı","I"),"i","I"),"Ş","S"),"ş","S"),"Ğ","G"),"ğ","G"),"Ü","U"),"ü","U"),"Ö","O"),"ö","O"),"Ç","C"),"ç","C"),".",""),",","")," ",""),"-","")))</f>
        <v/>
      </c>
      <c r="T886" s="3">
        <f>IF(OR($C886="",$D886&lt;&gt;"Gelir",$L886=""),"",IFERROR(INDEX(MUSTERILER!$B$7:$B$106,MATCH($S886,MUSTERILER!$T$7:$T$106,0)),""))</f>
        <v/>
      </c>
      <c r="U886" s="3">
        <f>IF($T886="","",$T886&amp;"|"&amp;COUNTIFS($T$7:$T886,$T886))</f>
        <v/>
      </c>
      <c r="V886" s="3">
        <f>IF($T886="",0,1)</f>
        <v/>
      </c>
      <c r="W886" s="3">
        <f>IF($C886="","",$D886&amp;"|"&amp;$E886&amp;"|"&amp;TEXT($C886,"0")&amp;"|"&amp;TEXT($G886,"0")&amp;"|"&amp;$J886)</f>
        <v/>
      </c>
      <c r="X886" s="3" t="n"/>
      <c r="Y886" s="3" t="n"/>
      <c r="Z886" s="3" t="n"/>
      <c r="AA886" s="3" t="n"/>
      <c r="AB886" s="3" t="n"/>
      <c r="AC886" s="3" t="n"/>
      <c r="AD886" s="3">
        <f>IF($C886="",0,SUMPRODUCT((AY_SONU!$O$7:$O$42="Evet")*(AY_SONU!$B$7:$B$42=DATE(YEAR($C886),MONTH($C886),1))))</f>
        <v/>
      </c>
    </row>
    <row r="887">
      <c r="A887" s="6" t="n"/>
      <c r="B887" s="113">
        <f>IF($C887="","","GG"&amp;TEXT(ROW()-6,"00000"))</f>
        <v/>
      </c>
      <c r="C887" s="220" t="n"/>
      <c r="D887" s="108" t="n"/>
      <c r="E887" s="109" t="n"/>
      <c r="F887" s="109" t="n"/>
      <c r="G887" s="221" t="n"/>
      <c r="H887" s="108" t="n"/>
      <c r="I887" s="108" t="n"/>
      <c r="J887" s="109" t="n"/>
      <c r="K887" s="109" t="n"/>
      <c r="L887" s="108" t="n"/>
      <c r="M887" s="121">
        <f>IF($C887="","",IF($D887="Gider",$E887,IF($L887&lt;&gt;"",$L887,$H887)))</f>
        <v/>
      </c>
      <c r="N887" s="121">
        <f>IF($C887="","",IF($D887="Gider",$H887,$E887))</f>
        <v/>
      </c>
      <c r="O887" s="226">
        <f>IF($C887="","",DATE(YEAR($C887),MONTH($C887),1))</f>
        <v/>
      </c>
      <c r="P887" s="113">
        <f>IF($C887="","",IF(AND($D887="Gelir",$L887&lt;&gt;"",$T887=""),"TANIMSIZ BORÇLU",IF($T887&lt;&gt;"",IF(OR($E887="",$G887&lt;=0),"EKSİK",IF($I887="Evet","TAHAKKUK NAKİT OLAMAZ",IF($C887&gt;TODAY(),"İLERİ TARİH","TAHAKKUK"))),IF(AND($D887&lt;&gt;"",$E887&lt;&gt;"",$G887&gt;0,$H887&lt;&gt;"",$I887&lt;&gt;""),IF($C887&gt;TODAY(),"İLERİ TARİH",IF(COUNTIF($W$7:$W$1206,$W887)&gt;1,"MÜKERRER?",IF($AD887&gt;0,"KAPALI DÖNEM",IF($I887="Hayır","ÖDENECEK","UYGUN")))),"EKSİK"))))</f>
        <v/>
      </c>
      <c r="Q887" s="6" t="n"/>
      <c r="R887" s="6" t="n"/>
      <c r="S887" s="3">
        <f>IF($L887="","",UPPER(SUBSTITUTE(SUBSTITUTE(SUBSTITUTE(SUBSTITUTE(SUBSTITUTE(SUBSTITUTE(SUBSTITUTE(SUBSTITUTE(SUBSTITUTE(SUBSTITUTE(SUBSTITUTE(SUBSTITUTE(SUBSTITUTE(SUBSTITUTE(SUBSTITUTE(SUBSTITUTE(SUBSTITUTE(SUBSTITUTE(TRIM($L887),"'",""),"İ","I"),"ı","I"),"i","I"),"Ş","S"),"ş","S"),"Ğ","G"),"ğ","G"),"Ü","U"),"ü","U"),"Ö","O"),"ö","O"),"Ç","C"),"ç","C"),".",""),",","")," ",""),"-","")))</f>
        <v/>
      </c>
      <c r="T887" s="3">
        <f>IF(OR($C887="",$D887&lt;&gt;"Gelir",$L887=""),"",IFERROR(INDEX(MUSTERILER!$B$7:$B$106,MATCH($S887,MUSTERILER!$T$7:$T$106,0)),""))</f>
        <v/>
      </c>
      <c r="U887" s="3">
        <f>IF($T887="","",$T887&amp;"|"&amp;COUNTIFS($T$7:$T887,$T887))</f>
        <v/>
      </c>
      <c r="V887" s="3">
        <f>IF($T887="",0,1)</f>
        <v/>
      </c>
      <c r="W887" s="3">
        <f>IF($C887="","",$D887&amp;"|"&amp;$E887&amp;"|"&amp;TEXT($C887,"0")&amp;"|"&amp;TEXT($G887,"0")&amp;"|"&amp;$J887)</f>
        <v/>
      </c>
      <c r="X887" s="3" t="n"/>
      <c r="Y887" s="3" t="n"/>
      <c r="Z887" s="3" t="n"/>
      <c r="AA887" s="3" t="n"/>
      <c r="AB887" s="3" t="n"/>
      <c r="AC887" s="3" t="n"/>
      <c r="AD887" s="3">
        <f>IF($C887="",0,SUMPRODUCT((AY_SONU!$O$7:$O$42="Evet")*(AY_SONU!$B$7:$B$42=DATE(YEAR($C887),MONTH($C887),1))))</f>
        <v/>
      </c>
    </row>
    <row r="888">
      <c r="A888" s="6" t="n"/>
      <c r="B888" s="113">
        <f>IF($C888="","","GG"&amp;TEXT(ROW()-6,"00000"))</f>
        <v/>
      </c>
      <c r="C888" s="220" t="n"/>
      <c r="D888" s="108" t="n"/>
      <c r="E888" s="109" t="n"/>
      <c r="F888" s="109" t="n"/>
      <c r="G888" s="221" t="n"/>
      <c r="H888" s="108" t="n"/>
      <c r="I888" s="108" t="n"/>
      <c r="J888" s="109" t="n"/>
      <c r="K888" s="109" t="n"/>
      <c r="L888" s="108" t="n"/>
      <c r="M888" s="121">
        <f>IF($C888="","",IF($D888="Gider",$E888,IF($L888&lt;&gt;"",$L888,$H888)))</f>
        <v/>
      </c>
      <c r="N888" s="121">
        <f>IF($C888="","",IF($D888="Gider",$H888,$E888))</f>
        <v/>
      </c>
      <c r="O888" s="226">
        <f>IF($C888="","",DATE(YEAR($C888),MONTH($C888),1))</f>
        <v/>
      </c>
      <c r="P888" s="113">
        <f>IF($C888="","",IF(AND($D888="Gelir",$L888&lt;&gt;"",$T888=""),"TANIMSIZ BORÇLU",IF($T888&lt;&gt;"",IF(OR($E888="",$G888&lt;=0),"EKSİK",IF($I888="Evet","TAHAKKUK NAKİT OLAMAZ",IF($C888&gt;TODAY(),"İLERİ TARİH","TAHAKKUK"))),IF(AND($D888&lt;&gt;"",$E888&lt;&gt;"",$G888&gt;0,$H888&lt;&gt;"",$I888&lt;&gt;""),IF($C888&gt;TODAY(),"İLERİ TARİH",IF(COUNTIF($W$7:$W$1206,$W888)&gt;1,"MÜKERRER?",IF($AD888&gt;0,"KAPALI DÖNEM",IF($I888="Hayır","ÖDENECEK","UYGUN")))),"EKSİK"))))</f>
        <v/>
      </c>
      <c r="Q888" s="6" t="n"/>
      <c r="R888" s="6" t="n"/>
      <c r="S888" s="3">
        <f>IF($L888="","",UPPER(SUBSTITUTE(SUBSTITUTE(SUBSTITUTE(SUBSTITUTE(SUBSTITUTE(SUBSTITUTE(SUBSTITUTE(SUBSTITUTE(SUBSTITUTE(SUBSTITUTE(SUBSTITUTE(SUBSTITUTE(SUBSTITUTE(SUBSTITUTE(SUBSTITUTE(SUBSTITUTE(SUBSTITUTE(SUBSTITUTE(TRIM($L888),"'",""),"İ","I"),"ı","I"),"i","I"),"Ş","S"),"ş","S"),"Ğ","G"),"ğ","G"),"Ü","U"),"ü","U"),"Ö","O"),"ö","O"),"Ç","C"),"ç","C"),".",""),",","")," ",""),"-","")))</f>
        <v/>
      </c>
      <c r="T888" s="3">
        <f>IF(OR($C888="",$D888&lt;&gt;"Gelir",$L888=""),"",IFERROR(INDEX(MUSTERILER!$B$7:$B$106,MATCH($S888,MUSTERILER!$T$7:$T$106,0)),""))</f>
        <v/>
      </c>
      <c r="U888" s="3">
        <f>IF($T888="","",$T888&amp;"|"&amp;COUNTIFS($T$7:$T888,$T888))</f>
        <v/>
      </c>
      <c r="V888" s="3">
        <f>IF($T888="",0,1)</f>
        <v/>
      </c>
      <c r="W888" s="3">
        <f>IF($C888="","",$D888&amp;"|"&amp;$E888&amp;"|"&amp;TEXT($C888,"0")&amp;"|"&amp;TEXT($G888,"0")&amp;"|"&amp;$J888)</f>
        <v/>
      </c>
      <c r="X888" s="3" t="n"/>
      <c r="Y888" s="3" t="n"/>
      <c r="Z888" s="3" t="n"/>
      <c r="AA888" s="3" t="n"/>
      <c r="AB888" s="3" t="n"/>
      <c r="AC888" s="3" t="n"/>
      <c r="AD888" s="3">
        <f>IF($C888="",0,SUMPRODUCT((AY_SONU!$O$7:$O$42="Evet")*(AY_SONU!$B$7:$B$42=DATE(YEAR($C888),MONTH($C888),1))))</f>
        <v/>
      </c>
    </row>
    <row r="889">
      <c r="A889" s="6" t="n"/>
      <c r="B889" s="113">
        <f>IF($C889="","","GG"&amp;TEXT(ROW()-6,"00000"))</f>
        <v/>
      </c>
      <c r="C889" s="220" t="n"/>
      <c r="D889" s="108" t="n"/>
      <c r="E889" s="109" t="n"/>
      <c r="F889" s="109" t="n"/>
      <c r="G889" s="221" t="n"/>
      <c r="H889" s="108" t="n"/>
      <c r="I889" s="108" t="n"/>
      <c r="J889" s="109" t="n"/>
      <c r="K889" s="109" t="n"/>
      <c r="L889" s="108" t="n"/>
      <c r="M889" s="121">
        <f>IF($C889="","",IF($D889="Gider",$E889,IF($L889&lt;&gt;"",$L889,$H889)))</f>
        <v/>
      </c>
      <c r="N889" s="121">
        <f>IF($C889="","",IF($D889="Gider",$H889,$E889))</f>
        <v/>
      </c>
      <c r="O889" s="226">
        <f>IF($C889="","",DATE(YEAR($C889),MONTH($C889),1))</f>
        <v/>
      </c>
      <c r="P889" s="113">
        <f>IF($C889="","",IF(AND($D889="Gelir",$L889&lt;&gt;"",$T889=""),"TANIMSIZ BORÇLU",IF($T889&lt;&gt;"",IF(OR($E889="",$G889&lt;=0),"EKSİK",IF($I889="Evet","TAHAKKUK NAKİT OLAMAZ",IF($C889&gt;TODAY(),"İLERİ TARİH","TAHAKKUK"))),IF(AND($D889&lt;&gt;"",$E889&lt;&gt;"",$G889&gt;0,$H889&lt;&gt;"",$I889&lt;&gt;""),IF($C889&gt;TODAY(),"İLERİ TARİH",IF(COUNTIF($W$7:$W$1206,$W889)&gt;1,"MÜKERRER?",IF($AD889&gt;0,"KAPALI DÖNEM",IF($I889="Hayır","ÖDENECEK","UYGUN")))),"EKSİK"))))</f>
        <v/>
      </c>
      <c r="Q889" s="6" t="n"/>
      <c r="R889" s="6" t="n"/>
      <c r="S889" s="3">
        <f>IF($L889="","",UPPER(SUBSTITUTE(SUBSTITUTE(SUBSTITUTE(SUBSTITUTE(SUBSTITUTE(SUBSTITUTE(SUBSTITUTE(SUBSTITUTE(SUBSTITUTE(SUBSTITUTE(SUBSTITUTE(SUBSTITUTE(SUBSTITUTE(SUBSTITUTE(SUBSTITUTE(SUBSTITUTE(SUBSTITUTE(SUBSTITUTE(TRIM($L889),"'",""),"İ","I"),"ı","I"),"i","I"),"Ş","S"),"ş","S"),"Ğ","G"),"ğ","G"),"Ü","U"),"ü","U"),"Ö","O"),"ö","O"),"Ç","C"),"ç","C"),".",""),",","")," ",""),"-","")))</f>
        <v/>
      </c>
      <c r="T889" s="3">
        <f>IF(OR($C889="",$D889&lt;&gt;"Gelir",$L889=""),"",IFERROR(INDEX(MUSTERILER!$B$7:$B$106,MATCH($S889,MUSTERILER!$T$7:$T$106,0)),""))</f>
        <v/>
      </c>
      <c r="U889" s="3">
        <f>IF($T889="","",$T889&amp;"|"&amp;COUNTIFS($T$7:$T889,$T889))</f>
        <v/>
      </c>
      <c r="V889" s="3">
        <f>IF($T889="",0,1)</f>
        <v/>
      </c>
      <c r="W889" s="3">
        <f>IF($C889="","",$D889&amp;"|"&amp;$E889&amp;"|"&amp;TEXT($C889,"0")&amp;"|"&amp;TEXT($G889,"0")&amp;"|"&amp;$J889)</f>
        <v/>
      </c>
      <c r="X889" s="3" t="n"/>
      <c r="Y889" s="3" t="n"/>
      <c r="Z889" s="3" t="n"/>
      <c r="AA889" s="3" t="n"/>
      <c r="AB889" s="3" t="n"/>
      <c r="AC889" s="3" t="n"/>
      <c r="AD889" s="3">
        <f>IF($C889="",0,SUMPRODUCT((AY_SONU!$O$7:$O$42="Evet")*(AY_SONU!$B$7:$B$42=DATE(YEAR($C889),MONTH($C889),1))))</f>
        <v/>
      </c>
    </row>
    <row r="890">
      <c r="A890" s="6" t="n"/>
      <c r="B890" s="113">
        <f>IF($C890="","","GG"&amp;TEXT(ROW()-6,"00000"))</f>
        <v/>
      </c>
      <c r="C890" s="220" t="n"/>
      <c r="D890" s="108" t="n"/>
      <c r="E890" s="109" t="n"/>
      <c r="F890" s="109" t="n"/>
      <c r="G890" s="221" t="n"/>
      <c r="H890" s="108" t="n"/>
      <c r="I890" s="108" t="n"/>
      <c r="J890" s="109" t="n"/>
      <c r="K890" s="109" t="n"/>
      <c r="L890" s="108" t="n"/>
      <c r="M890" s="121">
        <f>IF($C890="","",IF($D890="Gider",$E890,IF($L890&lt;&gt;"",$L890,$H890)))</f>
        <v/>
      </c>
      <c r="N890" s="121">
        <f>IF($C890="","",IF($D890="Gider",$H890,$E890))</f>
        <v/>
      </c>
      <c r="O890" s="226">
        <f>IF($C890="","",DATE(YEAR($C890),MONTH($C890),1))</f>
        <v/>
      </c>
      <c r="P890" s="113">
        <f>IF($C890="","",IF(AND($D890="Gelir",$L890&lt;&gt;"",$T890=""),"TANIMSIZ BORÇLU",IF($T890&lt;&gt;"",IF(OR($E890="",$G890&lt;=0),"EKSİK",IF($I890="Evet","TAHAKKUK NAKİT OLAMAZ",IF($C890&gt;TODAY(),"İLERİ TARİH","TAHAKKUK"))),IF(AND($D890&lt;&gt;"",$E890&lt;&gt;"",$G890&gt;0,$H890&lt;&gt;"",$I890&lt;&gt;""),IF($C890&gt;TODAY(),"İLERİ TARİH",IF(COUNTIF($W$7:$W$1206,$W890)&gt;1,"MÜKERRER?",IF($AD890&gt;0,"KAPALI DÖNEM",IF($I890="Hayır","ÖDENECEK","UYGUN")))),"EKSİK"))))</f>
        <v/>
      </c>
      <c r="Q890" s="6" t="n"/>
      <c r="R890" s="6" t="n"/>
      <c r="S890" s="3">
        <f>IF($L890="","",UPPER(SUBSTITUTE(SUBSTITUTE(SUBSTITUTE(SUBSTITUTE(SUBSTITUTE(SUBSTITUTE(SUBSTITUTE(SUBSTITUTE(SUBSTITUTE(SUBSTITUTE(SUBSTITUTE(SUBSTITUTE(SUBSTITUTE(SUBSTITUTE(SUBSTITUTE(SUBSTITUTE(SUBSTITUTE(SUBSTITUTE(TRIM($L890),"'",""),"İ","I"),"ı","I"),"i","I"),"Ş","S"),"ş","S"),"Ğ","G"),"ğ","G"),"Ü","U"),"ü","U"),"Ö","O"),"ö","O"),"Ç","C"),"ç","C"),".",""),",","")," ",""),"-","")))</f>
        <v/>
      </c>
      <c r="T890" s="3">
        <f>IF(OR($C890="",$D890&lt;&gt;"Gelir",$L890=""),"",IFERROR(INDEX(MUSTERILER!$B$7:$B$106,MATCH($S890,MUSTERILER!$T$7:$T$106,0)),""))</f>
        <v/>
      </c>
      <c r="U890" s="3">
        <f>IF($T890="","",$T890&amp;"|"&amp;COUNTIFS($T$7:$T890,$T890))</f>
        <v/>
      </c>
      <c r="V890" s="3">
        <f>IF($T890="",0,1)</f>
        <v/>
      </c>
      <c r="W890" s="3">
        <f>IF($C890="","",$D890&amp;"|"&amp;$E890&amp;"|"&amp;TEXT($C890,"0")&amp;"|"&amp;TEXT($G890,"0")&amp;"|"&amp;$J890)</f>
        <v/>
      </c>
      <c r="X890" s="3" t="n"/>
      <c r="Y890" s="3" t="n"/>
      <c r="Z890" s="3" t="n"/>
      <c r="AA890" s="3" t="n"/>
      <c r="AB890" s="3" t="n"/>
      <c r="AC890" s="3" t="n"/>
      <c r="AD890" s="3">
        <f>IF($C890="",0,SUMPRODUCT((AY_SONU!$O$7:$O$42="Evet")*(AY_SONU!$B$7:$B$42=DATE(YEAR($C890),MONTH($C890),1))))</f>
        <v/>
      </c>
    </row>
    <row r="891">
      <c r="A891" s="6" t="n"/>
      <c r="B891" s="113">
        <f>IF($C891="","","GG"&amp;TEXT(ROW()-6,"00000"))</f>
        <v/>
      </c>
      <c r="C891" s="220" t="n"/>
      <c r="D891" s="108" t="n"/>
      <c r="E891" s="109" t="n"/>
      <c r="F891" s="109" t="n"/>
      <c r="G891" s="221" t="n"/>
      <c r="H891" s="108" t="n"/>
      <c r="I891" s="108" t="n"/>
      <c r="J891" s="109" t="n"/>
      <c r="K891" s="109" t="n"/>
      <c r="L891" s="108" t="n"/>
      <c r="M891" s="121">
        <f>IF($C891="","",IF($D891="Gider",$E891,IF($L891&lt;&gt;"",$L891,$H891)))</f>
        <v/>
      </c>
      <c r="N891" s="121">
        <f>IF($C891="","",IF($D891="Gider",$H891,$E891))</f>
        <v/>
      </c>
      <c r="O891" s="226">
        <f>IF($C891="","",DATE(YEAR($C891),MONTH($C891),1))</f>
        <v/>
      </c>
      <c r="P891" s="113">
        <f>IF($C891="","",IF(AND($D891="Gelir",$L891&lt;&gt;"",$T891=""),"TANIMSIZ BORÇLU",IF($T891&lt;&gt;"",IF(OR($E891="",$G891&lt;=0),"EKSİK",IF($I891="Evet","TAHAKKUK NAKİT OLAMAZ",IF($C891&gt;TODAY(),"İLERİ TARİH","TAHAKKUK"))),IF(AND($D891&lt;&gt;"",$E891&lt;&gt;"",$G891&gt;0,$H891&lt;&gt;"",$I891&lt;&gt;""),IF($C891&gt;TODAY(),"İLERİ TARİH",IF(COUNTIF($W$7:$W$1206,$W891)&gt;1,"MÜKERRER?",IF($AD891&gt;0,"KAPALI DÖNEM",IF($I891="Hayır","ÖDENECEK","UYGUN")))),"EKSİK"))))</f>
        <v/>
      </c>
      <c r="Q891" s="6" t="n"/>
      <c r="R891" s="6" t="n"/>
      <c r="S891" s="3">
        <f>IF($L891="","",UPPER(SUBSTITUTE(SUBSTITUTE(SUBSTITUTE(SUBSTITUTE(SUBSTITUTE(SUBSTITUTE(SUBSTITUTE(SUBSTITUTE(SUBSTITUTE(SUBSTITUTE(SUBSTITUTE(SUBSTITUTE(SUBSTITUTE(SUBSTITUTE(SUBSTITUTE(SUBSTITUTE(SUBSTITUTE(SUBSTITUTE(TRIM($L891),"'",""),"İ","I"),"ı","I"),"i","I"),"Ş","S"),"ş","S"),"Ğ","G"),"ğ","G"),"Ü","U"),"ü","U"),"Ö","O"),"ö","O"),"Ç","C"),"ç","C"),".",""),",","")," ",""),"-","")))</f>
        <v/>
      </c>
      <c r="T891" s="3">
        <f>IF(OR($C891="",$D891&lt;&gt;"Gelir",$L891=""),"",IFERROR(INDEX(MUSTERILER!$B$7:$B$106,MATCH($S891,MUSTERILER!$T$7:$T$106,0)),""))</f>
        <v/>
      </c>
      <c r="U891" s="3">
        <f>IF($T891="","",$T891&amp;"|"&amp;COUNTIFS($T$7:$T891,$T891))</f>
        <v/>
      </c>
      <c r="V891" s="3">
        <f>IF($T891="",0,1)</f>
        <v/>
      </c>
      <c r="W891" s="3">
        <f>IF($C891="","",$D891&amp;"|"&amp;$E891&amp;"|"&amp;TEXT($C891,"0")&amp;"|"&amp;TEXT($G891,"0")&amp;"|"&amp;$J891)</f>
        <v/>
      </c>
      <c r="X891" s="3" t="n"/>
      <c r="Y891" s="3" t="n"/>
      <c r="Z891" s="3" t="n"/>
      <c r="AA891" s="3" t="n"/>
      <c r="AB891" s="3" t="n"/>
      <c r="AC891" s="3" t="n"/>
      <c r="AD891" s="3">
        <f>IF($C891="",0,SUMPRODUCT((AY_SONU!$O$7:$O$42="Evet")*(AY_SONU!$B$7:$B$42=DATE(YEAR($C891),MONTH($C891),1))))</f>
        <v/>
      </c>
    </row>
    <row r="892">
      <c r="A892" s="6" t="n"/>
      <c r="B892" s="113">
        <f>IF($C892="","","GG"&amp;TEXT(ROW()-6,"00000"))</f>
        <v/>
      </c>
      <c r="C892" s="220" t="n"/>
      <c r="D892" s="108" t="n"/>
      <c r="E892" s="109" t="n"/>
      <c r="F892" s="109" t="n"/>
      <c r="G892" s="221" t="n"/>
      <c r="H892" s="108" t="n"/>
      <c r="I892" s="108" t="n"/>
      <c r="J892" s="109" t="n"/>
      <c r="K892" s="109" t="n"/>
      <c r="L892" s="108" t="n"/>
      <c r="M892" s="121">
        <f>IF($C892="","",IF($D892="Gider",$E892,IF($L892&lt;&gt;"",$L892,$H892)))</f>
        <v/>
      </c>
      <c r="N892" s="121">
        <f>IF($C892="","",IF($D892="Gider",$H892,$E892))</f>
        <v/>
      </c>
      <c r="O892" s="226">
        <f>IF($C892="","",DATE(YEAR($C892),MONTH($C892),1))</f>
        <v/>
      </c>
      <c r="P892" s="113">
        <f>IF($C892="","",IF(AND($D892="Gelir",$L892&lt;&gt;"",$T892=""),"TANIMSIZ BORÇLU",IF($T892&lt;&gt;"",IF(OR($E892="",$G892&lt;=0),"EKSİK",IF($I892="Evet","TAHAKKUK NAKİT OLAMAZ",IF($C892&gt;TODAY(),"İLERİ TARİH","TAHAKKUK"))),IF(AND($D892&lt;&gt;"",$E892&lt;&gt;"",$G892&gt;0,$H892&lt;&gt;"",$I892&lt;&gt;""),IF($C892&gt;TODAY(),"İLERİ TARİH",IF(COUNTIF($W$7:$W$1206,$W892)&gt;1,"MÜKERRER?",IF($AD892&gt;0,"KAPALI DÖNEM",IF($I892="Hayır","ÖDENECEK","UYGUN")))),"EKSİK"))))</f>
        <v/>
      </c>
      <c r="Q892" s="6" t="n"/>
      <c r="R892" s="6" t="n"/>
      <c r="S892" s="3">
        <f>IF($L892="","",UPPER(SUBSTITUTE(SUBSTITUTE(SUBSTITUTE(SUBSTITUTE(SUBSTITUTE(SUBSTITUTE(SUBSTITUTE(SUBSTITUTE(SUBSTITUTE(SUBSTITUTE(SUBSTITUTE(SUBSTITUTE(SUBSTITUTE(SUBSTITUTE(SUBSTITUTE(SUBSTITUTE(SUBSTITUTE(SUBSTITUTE(TRIM($L892),"'",""),"İ","I"),"ı","I"),"i","I"),"Ş","S"),"ş","S"),"Ğ","G"),"ğ","G"),"Ü","U"),"ü","U"),"Ö","O"),"ö","O"),"Ç","C"),"ç","C"),".",""),",","")," ",""),"-","")))</f>
        <v/>
      </c>
      <c r="T892" s="3">
        <f>IF(OR($C892="",$D892&lt;&gt;"Gelir",$L892=""),"",IFERROR(INDEX(MUSTERILER!$B$7:$B$106,MATCH($S892,MUSTERILER!$T$7:$T$106,0)),""))</f>
        <v/>
      </c>
      <c r="U892" s="3">
        <f>IF($T892="","",$T892&amp;"|"&amp;COUNTIFS($T$7:$T892,$T892))</f>
        <v/>
      </c>
      <c r="V892" s="3">
        <f>IF($T892="",0,1)</f>
        <v/>
      </c>
      <c r="W892" s="3">
        <f>IF($C892="","",$D892&amp;"|"&amp;$E892&amp;"|"&amp;TEXT($C892,"0")&amp;"|"&amp;TEXT($G892,"0")&amp;"|"&amp;$J892)</f>
        <v/>
      </c>
      <c r="X892" s="3" t="n"/>
      <c r="Y892" s="3" t="n"/>
      <c r="Z892" s="3" t="n"/>
      <c r="AA892" s="3" t="n"/>
      <c r="AB892" s="3" t="n"/>
      <c r="AC892" s="3" t="n"/>
      <c r="AD892" s="3">
        <f>IF($C892="",0,SUMPRODUCT((AY_SONU!$O$7:$O$42="Evet")*(AY_SONU!$B$7:$B$42=DATE(YEAR($C892),MONTH($C892),1))))</f>
        <v/>
      </c>
    </row>
    <row r="893">
      <c r="A893" s="6" t="n"/>
      <c r="B893" s="113">
        <f>IF($C893="","","GG"&amp;TEXT(ROW()-6,"00000"))</f>
        <v/>
      </c>
      <c r="C893" s="220" t="n"/>
      <c r="D893" s="108" t="n"/>
      <c r="E893" s="109" t="n"/>
      <c r="F893" s="109" t="n"/>
      <c r="G893" s="221" t="n"/>
      <c r="H893" s="108" t="n"/>
      <c r="I893" s="108" t="n"/>
      <c r="J893" s="109" t="n"/>
      <c r="K893" s="109" t="n"/>
      <c r="L893" s="108" t="n"/>
      <c r="M893" s="121">
        <f>IF($C893="","",IF($D893="Gider",$E893,IF($L893&lt;&gt;"",$L893,$H893)))</f>
        <v/>
      </c>
      <c r="N893" s="121">
        <f>IF($C893="","",IF($D893="Gider",$H893,$E893))</f>
        <v/>
      </c>
      <c r="O893" s="226">
        <f>IF($C893="","",DATE(YEAR($C893),MONTH($C893),1))</f>
        <v/>
      </c>
      <c r="P893" s="113">
        <f>IF($C893="","",IF(AND($D893="Gelir",$L893&lt;&gt;"",$T893=""),"TANIMSIZ BORÇLU",IF($T893&lt;&gt;"",IF(OR($E893="",$G893&lt;=0),"EKSİK",IF($I893="Evet","TAHAKKUK NAKİT OLAMAZ",IF($C893&gt;TODAY(),"İLERİ TARİH","TAHAKKUK"))),IF(AND($D893&lt;&gt;"",$E893&lt;&gt;"",$G893&gt;0,$H893&lt;&gt;"",$I893&lt;&gt;""),IF($C893&gt;TODAY(),"İLERİ TARİH",IF(COUNTIF($W$7:$W$1206,$W893)&gt;1,"MÜKERRER?",IF($AD893&gt;0,"KAPALI DÖNEM",IF($I893="Hayır","ÖDENECEK","UYGUN")))),"EKSİK"))))</f>
        <v/>
      </c>
      <c r="Q893" s="6" t="n"/>
      <c r="R893" s="6" t="n"/>
      <c r="S893" s="3">
        <f>IF($L893="","",UPPER(SUBSTITUTE(SUBSTITUTE(SUBSTITUTE(SUBSTITUTE(SUBSTITUTE(SUBSTITUTE(SUBSTITUTE(SUBSTITUTE(SUBSTITUTE(SUBSTITUTE(SUBSTITUTE(SUBSTITUTE(SUBSTITUTE(SUBSTITUTE(SUBSTITUTE(SUBSTITUTE(SUBSTITUTE(SUBSTITUTE(TRIM($L893),"'",""),"İ","I"),"ı","I"),"i","I"),"Ş","S"),"ş","S"),"Ğ","G"),"ğ","G"),"Ü","U"),"ü","U"),"Ö","O"),"ö","O"),"Ç","C"),"ç","C"),".",""),",","")," ",""),"-","")))</f>
        <v/>
      </c>
      <c r="T893" s="3">
        <f>IF(OR($C893="",$D893&lt;&gt;"Gelir",$L893=""),"",IFERROR(INDEX(MUSTERILER!$B$7:$B$106,MATCH($S893,MUSTERILER!$T$7:$T$106,0)),""))</f>
        <v/>
      </c>
      <c r="U893" s="3">
        <f>IF($T893="","",$T893&amp;"|"&amp;COUNTIFS($T$7:$T893,$T893))</f>
        <v/>
      </c>
      <c r="V893" s="3">
        <f>IF($T893="",0,1)</f>
        <v/>
      </c>
      <c r="W893" s="3">
        <f>IF($C893="","",$D893&amp;"|"&amp;$E893&amp;"|"&amp;TEXT($C893,"0")&amp;"|"&amp;TEXT($G893,"0")&amp;"|"&amp;$J893)</f>
        <v/>
      </c>
      <c r="X893" s="3" t="n"/>
      <c r="Y893" s="3" t="n"/>
      <c r="Z893" s="3" t="n"/>
      <c r="AA893" s="3" t="n"/>
      <c r="AB893" s="3" t="n"/>
      <c r="AC893" s="3" t="n"/>
      <c r="AD893" s="3">
        <f>IF($C893="",0,SUMPRODUCT((AY_SONU!$O$7:$O$42="Evet")*(AY_SONU!$B$7:$B$42=DATE(YEAR($C893),MONTH($C893),1))))</f>
        <v/>
      </c>
    </row>
    <row r="894">
      <c r="A894" s="6" t="n"/>
      <c r="B894" s="113">
        <f>IF($C894="","","GG"&amp;TEXT(ROW()-6,"00000"))</f>
        <v/>
      </c>
      <c r="C894" s="220" t="n"/>
      <c r="D894" s="108" t="n"/>
      <c r="E894" s="109" t="n"/>
      <c r="F894" s="109" t="n"/>
      <c r="G894" s="221" t="n"/>
      <c r="H894" s="108" t="n"/>
      <c r="I894" s="108" t="n"/>
      <c r="J894" s="109" t="n"/>
      <c r="K894" s="109" t="n"/>
      <c r="L894" s="108" t="n"/>
      <c r="M894" s="121">
        <f>IF($C894="","",IF($D894="Gider",$E894,IF($L894&lt;&gt;"",$L894,$H894)))</f>
        <v/>
      </c>
      <c r="N894" s="121">
        <f>IF($C894="","",IF($D894="Gider",$H894,$E894))</f>
        <v/>
      </c>
      <c r="O894" s="226">
        <f>IF($C894="","",DATE(YEAR($C894),MONTH($C894),1))</f>
        <v/>
      </c>
      <c r="P894" s="113">
        <f>IF($C894="","",IF(AND($D894="Gelir",$L894&lt;&gt;"",$T894=""),"TANIMSIZ BORÇLU",IF($T894&lt;&gt;"",IF(OR($E894="",$G894&lt;=0),"EKSİK",IF($I894="Evet","TAHAKKUK NAKİT OLAMAZ",IF($C894&gt;TODAY(),"İLERİ TARİH","TAHAKKUK"))),IF(AND($D894&lt;&gt;"",$E894&lt;&gt;"",$G894&gt;0,$H894&lt;&gt;"",$I894&lt;&gt;""),IF($C894&gt;TODAY(),"İLERİ TARİH",IF(COUNTIF($W$7:$W$1206,$W894)&gt;1,"MÜKERRER?",IF($AD894&gt;0,"KAPALI DÖNEM",IF($I894="Hayır","ÖDENECEK","UYGUN")))),"EKSİK"))))</f>
        <v/>
      </c>
      <c r="Q894" s="6" t="n"/>
      <c r="R894" s="6" t="n"/>
      <c r="S894" s="3">
        <f>IF($L894="","",UPPER(SUBSTITUTE(SUBSTITUTE(SUBSTITUTE(SUBSTITUTE(SUBSTITUTE(SUBSTITUTE(SUBSTITUTE(SUBSTITUTE(SUBSTITUTE(SUBSTITUTE(SUBSTITUTE(SUBSTITUTE(SUBSTITUTE(SUBSTITUTE(SUBSTITUTE(SUBSTITUTE(SUBSTITUTE(SUBSTITUTE(TRIM($L894),"'",""),"İ","I"),"ı","I"),"i","I"),"Ş","S"),"ş","S"),"Ğ","G"),"ğ","G"),"Ü","U"),"ü","U"),"Ö","O"),"ö","O"),"Ç","C"),"ç","C"),".",""),",","")," ",""),"-","")))</f>
        <v/>
      </c>
      <c r="T894" s="3">
        <f>IF(OR($C894="",$D894&lt;&gt;"Gelir",$L894=""),"",IFERROR(INDEX(MUSTERILER!$B$7:$B$106,MATCH($S894,MUSTERILER!$T$7:$T$106,0)),""))</f>
        <v/>
      </c>
      <c r="U894" s="3">
        <f>IF($T894="","",$T894&amp;"|"&amp;COUNTIFS($T$7:$T894,$T894))</f>
        <v/>
      </c>
      <c r="V894" s="3">
        <f>IF($T894="",0,1)</f>
        <v/>
      </c>
      <c r="W894" s="3">
        <f>IF($C894="","",$D894&amp;"|"&amp;$E894&amp;"|"&amp;TEXT($C894,"0")&amp;"|"&amp;TEXT($G894,"0")&amp;"|"&amp;$J894)</f>
        <v/>
      </c>
      <c r="X894" s="3" t="n"/>
      <c r="Y894" s="3" t="n"/>
      <c r="Z894" s="3" t="n"/>
      <c r="AA894" s="3" t="n"/>
      <c r="AB894" s="3" t="n"/>
      <c r="AC894" s="3" t="n"/>
      <c r="AD894" s="3">
        <f>IF($C894="",0,SUMPRODUCT((AY_SONU!$O$7:$O$42="Evet")*(AY_SONU!$B$7:$B$42=DATE(YEAR($C894),MONTH($C894),1))))</f>
        <v/>
      </c>
    </row>
    <row r="895">
      <c r="A895" s="6" t="n"/>
      <c r="B895" s="113">
        <f>IF($C895="","","GG"&amp;TEXT(ROW()-6,"00000"))</f>
        <v/>
      </c>
      <c r="C895" s="220" t="n"/>
      <c r="D895" s="108" t="n"/>
      <c r="E895" s="109" t="n"/>
      <c r="F895" s="109" t="n"/>
      <c r="G895" s="221" t="n"/>
      <c r="H895" s="108" t="n"/>
      <c r="I895" s="108" t="n"/>
      <c r="J895" s="109" t="n"/>
      <c r="K895" s="109" t="n"/>
      <c r="L895" s="108" t="n"/>
      <c r="M895" s="121">
        <f>IF($C895="","",IF($D895="Gider",$E895,IF($L895&lt;&gt;"",$L895,$H895)))</f>
        <v/>
      </c>
      <c r="N895" s="121">
        <f>IF($C895="","",IF($D895="Gider",$H895,$E895))</f>
        <v/>
      </c>
      <c r="O895" s="226">
        <f>IF($C895="","",DATE(YEAR($C895),MONTH($C895),1))</f>
        <v/>
      </c>
      <c r="P895" s="113">
        <f>IF($C895="","",IF(AND($D895="Gelir",$L895&lt;&gt;"",$T895=""),"TANIMSIZ BORÇLU",IF($T895&lt;&gt;"",IF(OR($E895="",$G895&lt;=0),"EKSİK",IF($I895="Evet","TAHAKKUK NAKİT OLAMAZ",IF($C895&gt;TODAY(),"İLERİ TARİH","TAHAKKUK"))),IF(AND($D895&lt;&gt;"",$E895&lt;&gt;"",$G895&gt;0,$H895&lt;&gt;"",$I895&lt;&gt;""),IF($C895&gt;TODAY(),"İLERİ TARİH",IF(COUNTIF($W$7:$W$1206,$W895)&gt;1,"MÜKERRER?",IF($AD895&gt;0,"KAPALI DÖNEM",IF($I895="Hayır","ÖDENECEK","UYGUN")))),"EKSİK"))))</f>
        <v/>
      </c>
      <c r="Q895" s="6" t="n"/>
      <c r="R895" s="6" t="n"/>
      <c r="S895" s="3">
        <f>IF($L895="","",UPPER(SUBSTITUTE(SUBSTITUTE(SUBSTITUTE(SUBSTITUTE(SUBSTITUTE(SUBSTITUTE(SUBSTITUTE(SUBSTITUTE(SUBSTITUTE(SUBSTITUTE(SUBSTITUTE(SUBSTITUTE(SUBSTITUTE(SUBSTITUTE(SUBSTITUTE(SUBSTITUTE(SUBSTITUTE(SUBSTITUTE(TRIM($L895),"'",""),"İ","I"),"ı","I"),"i","I"),"Ş","S"),"ş","S"),"Ğ","G"),"ğ","G"),"Ü","U"),"ü","U"),"Ö","O"),"ö","O"),"Ç","C"),"ç","C"),".",""),",","")," ",""),"-","")))</f>
        <v/>
      </c>
      <c r="T895" s="3">
        <f>IF(OR($C895="",$D895&lt;&gt;"Gelir",$L895=""),"",IFERROR(INDEX(MUSTERILER!$B$7:$B$106,MATCH($S895,MUSTERILER!$T$7:$T$106,0)),""))</f>
        <v/>
      </c>
      <c r="U895" s="3">
        <f>IF($T895="","",$T895&amp;"|"&amp;COUNTIFS($T$7:$T895,$T895))</f>
        <v/>
      </c>
      <c r="V895" s="3">
        <f>IF($T895="",0,1)</f>
        <v/>
      </c>
      <c r="W895" s="3">
        <f>IF($C895="","",$D895&amp;"|"&amp;$E895&amp;"|"&amp;TEXT($C895,"0")&amp;"|"&amp;TEXT($G895,"0")&amp;"|"&amp;$J895)</f>
        <v/>
      </c>
      <c r="X895" s="3" t="n"/>
      <c r="Y895" s="3" t="n"/>
      <c r="Z895" s="3" t="n"/>
      <c r="AA895" s="3" t="n"/>
      <c r="AB895" s="3" t="n"/>
      <c r="AC895" s="3" t="n"/>
      <c r="AD895" s="3">
        <f>IF($C895="",0,SUMPRODUCT((AY_SONU!$O$7:$O$42="Evet")*(AY_SONU!$B$7:$B$42=DATE(YEAR($C895),MONTH($C895),1))))</f>
        <v/>
      </c>
    </row>
    <row r="896">
      <c r="A896" s="6" t="n"/>
      <c r="B896" s="113">
        <f>IF($C896="","","GG"&amp;TEXT(ROW()-6,"00000"))</f>
        <v/>
      </c>
      <c r="C896" s="220" t="n"/>
      <c r="D896" s="108" t="n"/>
      <c r="E896" s="109" t="n"/>
      <c r="F896" s="109" t="n"/>
      <c r="G896" s="221" t="n"/>
      <c r="H896" s="108" t="n"/>
      <c r="I896" s="108" t="n"/>
      <c r="J896" s="109" t="n"/>
      <c r="K896" s="109" t="n"/>
      <c r="L896" s="108" t="n"/>
      <c r="M896" s="121">
        <f>IF($C896="","",IF($D896="Gider",$E896,IF($L896&lt;&gt;"",$L896,$H896)))</f>
        <v/>
      </c>
      <c r="N896" s="121">
        <f>IF($C896="","",IF($D896="Gider",$H896,$E896))</f>
        <v/>
      </c>
      <c r="O896" s="226">
        <f>IF($C896="","",DATE(YEAR($C896),MONTH($C896),1))</f>
        <v/>
      </c>
      <c r="P896" s="113">
        <f>IF($C896="","",IF(AND($D896="Gelir",$L896&lt;&gt;"",$T896=""),"TANIMSIZ BORÇLU",IF($T896&lt;&gt;"",IF(OR($E896="",$G896&lt;=0),"EKSİK",IF($I896="Evet","TAHAKKUK NAKİT OLAMAZ",IF($C896&gt;TODAY(),"İLERİ TARİH","TAHAKKUK"))),IF(AND($D896&lt;&gt;"",$E896&lt;&gt;"",$G896&gt;0,$H896&lt;&gt;"",$I896&lt;&gt;""),IF($C896&gt;TODAY(),"İLERİ TARİH",IF(COUNTIF($W$7:$W$1206,$W896)&gt;1,"MÜKERRER?",IF($AD896&gt;0,"KAPALI DÖNEM",IF($I896="Hayır","ÖDENECEK","UYGUN")))),"EKSİK"))))</f>
        <v/>
      </c>
      <c r="Q896" s="6" t="n"/>
      <c r="R896" s="6" t="n"/>
      <c r="S896" s="3">
        <f>IF($L896="","",UPPER(SUBSTITUTE(SUBSTITUTE(SUBSTITUTE(SUBSTITUTE(SUBSTITUTE(SUBSTITUTE(SUBSTITUTE(SUBSTITUTE(SUBSTITUTE(SUBSTITUTE(SUBSTITUTE(SUBSTITUTE(SUBSTITUTE(SUBSTITUTE(SUBSTITUTE(SUBSTITUTE(SUBSTITUTE(SUBSTITUTE(TRIM($L896),"'",""),"İ","I"),"ı","I"),"i","I"),"Ş","S"),"ş","S"),"Ğ","G"),"ğ","G"),"Ü","U"),"ü","U"),"Ö","O"),"ö","O"),"Ç","C"),"ç","C"),".",""),",","")," ",""),"-","")))</f>
        <v/>
      </c>
      <c r="T896" s="3">
        <f>IF(OR($C896="",$D896&lt;&gt;"Gelir",$L896=""),"",IFERROR(INDEX(MUSTERILER!$B$7:$B$106,MATCH($S896,MUSTERILER!$T$7:$T$106,0)),""))</f>
        <v/>
      </c>
      <c r="U896" s="3">
        <f>IF($T896="","",$T896&amp;"|"&amp;COUNTIFS($T$7:$T896,$T896))</f>
        <v/>
      </c>
      <c r="V896" s="3">
        <f>IF($T896="",0,1)</f>
        <v/>
      </c>
      <c r="W896" s="3">
        <f>IF($C896="","",$D896&amp;"|"&amp;$E896&amp;"|"&amp;TEXT($C896,"0")&amp;"|"&amp;TEXT($G896,"0")&amp;"|"&amp;$J896)</f>
        <v/>
      </c>
      <c r="X896" s="3" t="n"/>
      <c r="Y896" s="3" t="n"/>
      <c r="Z896" s="3" t="n"/>
      <c r="AA896" s="3" t="n"/>
      <c r="AB896" s="3" t="n"/>
      <c r="AC896" s="3" t="n"/>
      <c r="AD896" s="3">
        <f>IF($C896="",0,SUMPRODUCT((AY_SONU!$O$7:$O$42="Evet")*(AY_SONU!$B$7:$B$42=DATE(YEAR($C896),MONTH($C896),1))))</f>
        <v/>
      </c>
    </row>
    <row r="897">
      <c r="A897" s="6" t="n"/>
      <c r="B897" s="113">
        <f>IF($C897="","","GG"&amp;TEXT(ROW()-6,"00000"))</f>
        <v/>
      </c>
      <c r="C897" s="220" t="n"/>
      <c r="D897" s="108" t="n"/>
      <c r="E897" s="109" t="n"/>
      <c r="F897" s="109" t="n"/>
      <c r="G897" s="221" t="n"/>
      <c r="H897" s="108" t="n"/>
      <c r="I897" s="108" t="n"/>
      <c r="J897" s="109" t="n"/>
      <c r="K897" s="109" t="n"/>
      <c r="L897" s="108" t="n"/>
      <c r="M897" s="121">
        <f>IF($C897="","",IF($D897="Gider",$E897,IF($L897&lt;&gt;"",$L897,$H897)))</f>
        <v/>
      </c>
      <c r="N897" s="121">
        <f>IF($C897="","",IF($D897="Gider",$H897,$E897))</f>
        <v/>
      </c>
      <c r="O897" s="226">
        <f>IF($C897="","",DATE(YEAR($C897),MONTH($C897),1))</f>
        <v/>
      </c>
      <c r="P897" s="113">
        <f>IF($C897="","",IF(AND($D897="Gelir",$L897&lt;&gt;"",$T897=""),"TANIMSIZ BORÇLU",IF($T897&lt;&gt;"",IF(OR($E897="",$G897&lt;=0),"EKSİK",IF($I897="Evet","TAHAKKUK NAKİT OLAMAZ",IF($C897&gt;TODAY(),"İLERİ TARİH","TAHAKKUK"))),IF(AND($D897&lt;&gt;"",$E897&lt;&gt;"",$G897&gt;0,$H897&lt;&gt;"",$I897&lt;&gt;""),IF($C897&gt;TODAY(),"İLERİ TARİH",IF(COUNTIF($W$7:$W$1206,$W897)&gt;1,"MÜKERRER?",IF($AD897&gt;0,"KAPALI DÖNEM",IF($I897="Hayır","ÖDENECEK","UYGUN")))),"EKSİK"))))</f>
        <v/>
      </c>
      <c r="Q897" s="6" t="n"/>
      <c r="R897" s="6" t="n"/>
      <c r="S897" s="3">
        <f>IF($L897="","",UPPER(SUBSTITUTE(SUBSTITUTE(SUBSTITUTE(SUBSTITUTE(SUBSTITUTE(SUBSTITUTE(SUBSTITUTE(SUBSTITUTE(SUBSTITUTE(SUBSTITUTE(SUBSTITUTE(SUBSTITUTE(SUBSTITUTE(SUBSTITUTE(SUBSTITUTE(SUBSTITUTE(SUBSTITUTE(SUBSTITUTE(TRIM($L897),"'",""),"İ","I"),"ı","I"),"i","I"),"Ş","S"),"ş","S"),"Ğ","G"),"ğ","G"),"Ü","U"),"ü","U"),"Ö","O"),"ö","O"),"Ç","C"),"ç","C"),".",""),",","")," ",""),"-","")))</f>
        <v/>
      </c>
      <c r="T897" s="3">
        <f>IF(OR($C897="",$D897&lt;&gt;"Gelir",$L897=""),"",IFERROR(INDEX(MUSTERILER!$B$7:$B$106,MATCH($S897,MUSTERILER!$T$7:$T$106,0)),""))</f>
        <v/>
      </c>
      <c r="U897" s="3">
        <f>IF($T897="","",$T897&amp;"|"&amp;COUNTIFS($T$7:$T897,$T897))</f>
        <v/>
      </c>
      <c r="V897" s="3">
        <f>IF($T897="",0,1)</f>
        <v/>
      </c>
      <c r="W897" s="3">
        <f>IF($C897="","",$D897&amp;"|"&amp;$E897&amp;"|"&amp;TEXT($C897,"0")&amp;"|"&amp;TEXT($G897,"0")&amp;"|"&amp;$J897)</f>
        <v/>
      </c>
      <c r="X897" s="3" t="n"/>
      <c r="Y897" s="3" t="n"/>
      <c r="Z897" s="3" t="n"/>
      <c r="AA897" s="3" t="n"/>
      <c r="AB897" s="3" t="n"/>
      <c r="AC897" s="3" t="n"/>
      <c r="AD897" s="3">
        <f>IF($C897="",0,SUMPRODUCT((AY_SONU!$O$7:$O$42="Evet")*(AY_SONU!$B$7:$B$42=DATE(YEAR($C897),MONTH($C897),1))))</f>
        <v/>
      </c>
    </row>
    <row r="898">
      <c r="A898" s="6" t="n"/>
      <c r="B898" s="113">
        <f>IF($C898="","","GG"&amp;TEXT(ROW()-6,"00000"))</f>
        <v/>
      </c>
      <c r="C898" s="220" t="n"/>
      <c r="D898" s="108" t="n"/>
      <c r="E898" s="109" t="n"/>
      <c r="F898" s="109" t="n"/>
      <c r="G898" s="221" t="n"/>
      <c r="H898" s="108" t="n"/>
      <c r="I898" s="108" t="n"/>
      <c r="J898" s="109" t="n"/>
      <c r="K898" s="109" t="n"/>
      <c r="L898" s="108" t="n"/>
      <c r="M898" s="121">
        <f>IF($C898="","",IF($D898="Gider",$E898,IF($L898&lt;&gt;"",$L898,$H898)))</f>
        <v/>
      </c>
      <c r="N898" s="121">
        <f>IF($C898="","",IF($D898="Gider",$H898,$E898))</f>
        <v/>
      </c>
      <c r="O898" s="226">
        <f>IF($C898="","",DATE(YEAR($C898),MONTH($C898),1))</f>
        <v/>
      </c>
      <c r="P898" s="113">
        <f>IF($C898="","",IF(AND($D898="Gelir",$L898&lt;&gt;"",$T898=""),"TANIMSIZ BORÇLU",IF($T898&lt;&gt;"",IF(OR($E898="",$G898&lt;=0),"EKSİK",IF($I898="Evet","TAHAKKUK NAKİT OLAMAZ",IF($C898&gt;TODAY(),"İLERİ TARİH","TAHAKKUK"))),IF(AND($D898&lt;&gt;"",$E898&lt;&gt;"",$G898&gt;0,$H898&lt;&gt;"",$I898&lt;&gt;""),IF($C898&gt;TODAY(),"İLERİ TARİH",IF(COUNTIF($W$7:$W$1206,$W898)&gt;1,"MÜKERRER?",IF($AD898&gt;0,"KAPALI DÖNEM",IF($I898="Hayır","ÖDENECEK","UYGUN")))),"EKSİK"))))</f>
        <v/>
      </c>
      <c r="Q898" s="6" t="n"/>
      <c r="R898" s="6" t="n"/>
      <c r="S898" s="3">
        <f>IF($L898="","",UPPER(SUBSTITUTE(SUBSTITUTE(SUBSTITUTE(SUBSTITUTE(SUBSTITUTE(SUBSTITUTE(SUBSTITUTE(SUBSTITUTE(SUBSTITUTE(SUBSTITUTE(SUBSTITUTE(SUBSTITUTE(SUBSTITUTE(SUBSTITUTE(SUBSTITUTE(SUBSTITUTE(SUBSTITUTE(SUBSTITUTE(TRIM($L898),"'",""),"İ","I"),"ı","I"),"i","I"),"Ş","S"),"ş","S"),"Ğ","G"),"ğ","G"),"Ü","U"),"ü","U"),"Ö","O"),"ö","O"),"Ç","C"),"ç","C"),".",""),",","")," ",""),"-","")))</f>
        <v/>
      </c>
      <c r="T898" s="3">
        <f>IF(OR($C898="",$D898&lt;&gt;"Gelir",$L898=""),"",IFERROR(INDEX(MUSTERILER!$B$7:$B$106,MATCH($S898,MUSTERILER!$T$7:$T$106,0)),""))</f>
        <v/>
      </c>
      <c r="U898" s="3">
        <f>IF($T898="","",$T898&amp;"|"&amp;COUNTIFS($T$7:$T898,$T898))</f>
        <v/>
      </c>
      <c r="V898" s="3">
        <f>IF($T898="",0,1)</f>
        <v/>
      </c>
      <c r="W898" s="3">
        <f>IF($C898="","",$D898&amp;"|"&amp;$E898&amp;"|"&amp;TEXT($C898,"0")&amp;"|"&amp;TEXT($G898,"0")&amp;"|"&amp;$J898)</f>
        <v/>
      </c>
      <c r="X898" s="3" t="n"/>
      <c r="Y898" s="3" t="n"/>
      <c r="Z898" s="3" t="n"/>
      <c r="AA898" s="3" t="n"/>
      <c r="AB898" s="3" t="n"/>
      <c r="AC898" s="3" t="n"/>
      <c r="AD898" s="3">
        <f>IF($C898="",0,SUMPRODUCT((AY_SONU!$O$7:$O$42="Evet")*(AY_SONU!$B$7:$B$42=DATE(YEAR($C898),MONTH($C898),1))))</f>
        <v/>
      </c>
    </row>
    <row r="899">
      <c r="A899" s="6" t="n"/>
      <c r="B899" s="113">
        <f>IF($C899="","","GG"&amp;TEXT(ROW()-6,"00000"))</f>
        <v/>
      </c>
      <c r="C899" s="220" t="n"/>
      <c r="D899" s="108" t="n"/>
      <c r="E899" s="109" t="n"/>
      <c r="F899" s="109" t="n"/>
      <c r="G899" s="221" t="n"/>
      <c r="H899" s="108" t="n"/>
      <c r="I899" s="108" t="n"/>
      <c r="J899" s="109" t="n"/>
      <c r="K899" s="109" t="n"/>
      <c r="L899" s="108" t="n"/>
      <c r="M899" s="121">
        <f>IF($C899="","",IF($D899="Gider",$E899,IF($L899&lt;&gt;"",$L899,$H899)))</f>
        <v/>
      </c>
      <c r="N899" s="121">
        <f>IF($C899="","",IF($D899="Gider",$H899,$E899))</f>
        <v/>
      </c>
      <c r="O899" s="226">
        <f>IF($C899="","",DATE(YEAR($C899),MONTH($C899),1))</f>
        <v/>
      </c>
      <c r="P899" s="113">
        <f>IF($C899="","",IF(AND($D899="Gelir",$L899&lt;&gt;"",$T899=""),"TANIMSIZ BORÇLU",IF($T899&lt;&gt;"",IF(OR($E899="",$G899&lt;=0),"EKSİK",IF($I899="Evet","TAHAKKUK NAKİT OLAMAZ",IF($C899&gt;TODAY(),"İLERİ TARİH","TAHAKKUK"))),IF(AND($D899&lt;&gt;"",$E899&lt;&gt;"",$G899&gt;0,$H899&lt;&gt;"",$I899&lt;&gt;""),IF($C899&gt;TODAY(),"İLERİ TARİH",IF(COUNTIF($W$7:$W$1206,$W899)&gt;1,"MÜKERRER?",IF($AD899&gt;0,"KAPALI DÖNEM",IF($I899="Hayır","ÖDENECEK","UYGUN")))),"EKSİK"))))</f>
        <v/>
      </c>
      <c r="Q899" s="6" t="n"/>
      <c r="R899" s="6" t="n"/>
      <c r="S899" s="3">
        <f>IF($L899="","",UPPER(SUBSTITUTE(SUBSTITUTE(SUBSTITUTE(SUBSTITUTE(SUBSTITUTE(SUBSTITUTE(SUBSTITUTE(SUBSTITUTE(SUBSTITUTE(SUBSTITUTE(SUBSTITUTE(SUBSTITUTE(SUBSTITUTE(SUBSTITUTE(SUBSTITUTE(SUBSTITUTE(SUBSTITUTE(SUBSTITUTE(TRIM($L899),"'",""),"İ","I"),"ı","I"),"i","I"),"Ş","S"),"ş","S"),"Ğ","G"),"ğ","G"),"Ü","U"),"ü","U"),"Ö","O"),"ö","O"),"Ç","C"),"ç","C"),".",""),",","")," ",""),"-","")))</f>
        <v/>
      </c>
      <c r="T899" s="3">
        <f>IF(OR($C899="",$D899&lt;&gt;"Gelir",$L899=""),"",IFERROR(INDEX(MUSTERILER!$B$7:$B$106,MATCH($S899,MUSTERILER!$T$7:$T$106,0)),""))</f>
        <v/>
      </c>
      <c r="U899" s="3">
        <f>IF($T899="","",$T899&amp;"|"&amp;COUNTIFS($T$7:$T899,$T899))</f>
        <v/>
      </c>
      <c r="V899" s="3">
        <f>IF($T899="",0,1)</f>
        <v/>
      </c>
      <c r="W899" s="3">
        <f>IF($C899="","",$D899&amp;"|"&amp;$E899&amp;"|"&amp;TEXT($C899,"0")&amp;"|"&amp;TEXT($G899,"0")&amp;"|"&amp;$J899)</f>
        <v/>
      </c>
      <c r="X899" s="3" t="n"/>
      <c r="Y899" s="3" t="n"/>
      <c r="Z899" s="3" t="n"/>
      <c r="AA899" s="3" t="n"/>
      <c r="AB899" s="3" t="n"/>
      <c r="AC899" s="3" t="n"/>
      <c r="AD899" s="3">
        <f>IF($C899="",0,SUMPRODUCT((AY_SONU!$O$7:$O$42="Evet")*(AY_SONU!$B$7:$B$42=DATE(YEAR($C899),MONTH($C899),1))))</f>
        <v/>
      </c>
    </row>
    <row r="900">
      <c r="A900" s="6" t="n"/>
      <c r="B900" s="113">
        <f>IF($C900="","","GG"&amp;TEXT(ROW()-6,"00000"))</f>
        <v/>
      </c>
      <c r="C900" s="220" t="n"/>
      <c r="D900" s="108" t="n"/>
      <c r="E900" s="109" t="n"/>
      <c r="F900" s="109" t="n"/>
      <c r="G900" s="221" t="n"/>
      <c r="H900" s="108" t="n"/>
      <c r="I900" s="108" t="n"/>
      <c r="J900" s="109" t="n"/>
      <c r="K900" s="109" t="n"/>
      <c r="L900" s="108" t="n"/>
      <c r="M900" s="121">
        <f>IF($C900="","",IF($D900="Gider",$E900,IF($L900&lt;&gt;"",$L900,$H900)))</f>
        <v/>
      </c>
      <c r="N900" s="121">
        <f>IF($C900="","",IF($D900="Gider",$H900,$E900))</f>
        <v/>
      </c>
      <c r="O900" s="226">
        <f>IF($C900="","",DATE(YEAR($C900),MONTH($C900),1))</f>
        <v/>
      </c>
      <c r="P900" s="113">
        <f>IF($C900="","",IF(AND($D900="Gelir",$L900&lt;&gt;"",$T900=""),"TANIMSIZ BORÇLU",IF($T900&lt;&gt;"",IF(OR($E900="",$G900&lt;=0),"EKSİK",IF($I900="Evet","TAHAKKUK NAKİT OLAMAZ",IF($C900&gt;TODAY(),"İLERİ TARİH","TAHAKKUK"))),IF(AND($D900&lt;&gt;"",$E900&lt;&gt;"",$G900&gt;0,$H900&lt;&gt;"",$I900&lt;&gt;""),IF($C900&gt;TODAY(),"İLERİ TARİH",IF(COUNTIF($W$7:$W$1206,$W900)&gt;1,"MÜKERRER?",IF($AD900&gt;0,"KAPALI DÖNEM",IF($I900="Hayır","ÖDENECEK","UYGUN")))),"EKSİK"))))</f>
        <v/>
      </c>
      <c r="Q900" s="6" t="n"/>
      <c r="R900" s="6" t="n"/>
      <c r="S900" s="3">
        <f>IF($L900="","",UPPER(SUBSTITUTE(SUBSTITUTE(SUBSTITUTE(SUBSTITUTE(SUBSTITUTE(SUBSTITUTE(SUBSTITUTE(SUBSTITUTE(SUBSTITUTE(SUBSTITUTE(SUBSTITUTE(SUBSTITUTE(SUBSTITUTE(SUBSTITUTE(SUBSTITUTE(SUBSTITUTE(SUBSTITUTE(SUBSTITUTE(TRIM($L900),"'",""),"İ","I"),"ı","I"),"i","I"),"Ş","S"),"ş","S"),"Ğ","G"),"ğ","G"),"Ü","U"),"ü","U"),"Ö","O"),"ö","O"),"Ç","C"),"ç","C"),".",""),",","")," ",""),"-","")))</f>
        <v/>
      </c>
      <c r="T900" s="3">
        <f>IF(OR($C900="",$D900&lt;&gt;"Gelir",$L900=""),"",IFERROR(INDEX(MUSTERILER!$B$7:$B$106,MATCH($S900,MUSTERILER!$T$7:$T$106,0)),""))</f>
        <v/>
      </c>
      <c r="U900" s="3">
        <f>IF($T900="","",$T900&amp;"|"&amp;COUNTIFS($T$7:$T900,$T900))</f>
        <v/>
      </c>
      <c r="V900" s="3">
        <f>IF($T900="",0,1)</f>
        <v/>
      </c>
      <c r="W900" s="3">
        <f>IF($C900="","",$D900&amp;"|"&amp;$E900&amp;"|"&amp;TEXT($C900,"0")&amp;"|"&amp;TEXT($G900,"0")&amp;"|"&amp;$J900)</f>
        <v/>
      </c>
      <c r="X900" s="3" t="n"/>
      <c r="Y900" s="3" t="n"/>
      <c r="Z900" s="3" t="n"/>
      <c r="AA900" s="3" t="n"/>
      <c r="AB900" s="3" t="n"/>
      <c r="AC900" s="3" t="n"/>
      <c r="AD900" s="3">
        <f>IF($C900="",0,SUMPRODUCT((AY_SONU!$O$7:$O$42="Evet")*(AY_SONU!$B$7:$B$42=DATE(YEAR($C900),MONTH($C900),1))))</f>
        <v/>
      </c>
    </row>
    <row r="901">
      <c r="A901" s="6" t="n"/>
      <c r="B901" s="113">
        <f>IF($C901="","","GG"&amp;TEXT(ROW()-6,"00000"))</f>
        <v/>
      </c>
      <c r="C901" s="220" t="n"/>
      <c r="D901" s="108" t="n"/>
      <c r="E901" s="109" t="n"/>
      <c r="F901" s="109" t="n"/>
      <c r="G901" s="221" t="n"/>
      <c r="H901" s="108" t="n"/>
      <c r="I901" s="108" t="n"/>
      <c r="J901" s="109" t="n"/>
      <c r="K901" s="109" t="n"/>
      <c r="L901" s="108" t="n"/>
      <c r="M901" s="121">
        <f>IF($C901="","",IF($D901="Gider",$E901,IF($L901&lt;&gt;"",$L901,$H901)))</f>
        <v/>
      </c>
      <c r="N901" s="121">
        <f>IF($C901="","",IF($D901="Gider",$H901,$E901))</f>
        <v/>
      </c>
      <c r="O901" s="226">
        <f>IF($C901="","",DATE(YEAR($C901),MONTH($C901),1))</f>
        <v/>
      </c>
      <c r="P901" s="113">
        <f>IF($C901="","",IF(AND($D901="Gelir",$L901&lt;&gt;"",$T901=""),"TANIMSIZ BORÇLU",IF($T901&lt;&gt;"",IF(OR($E901="",$G901&lt;=0),"EKSİK",IF($I901="Evet","TAHAKKUK NAKİT OLAMAZ",IF($C901&gt;TODAY(),"İLERİ TARİH","TAHAKKUK"))),IF(AND($D901&lt;&gt;"",$E901&lt;&gt;"",$G901&gt;0,$H901&lt;&gt;"",$I901&lt;&gt;""),IF($C901&gt;TODAY(),"İLERİ TARİH",IF(COUNTIF($W$7:$W$1206,$W901)&gt;1,"MÜKERRER?",IF($AD901&gt;0,"KAPALI DÖNEM",IF($I901="Hayır","ÖDENECEK","UYGUN")))),"EKSİK"))))</f>
        <v/>
      </c>
      <c r="Q901" s="6" t="n"/>
      <c r="R901" s="6" t="n"/>
      <c r="S901" s="3">
        <f>IF($L901="","",UPPER(SUBSTITUTE(SUBSTITUTE(SUBSTITUTE(SUBSTITUTE(SUBSTITUTE(SUBSTITUTE(SUBSTITUTE(SUBSTITUTE(SUBSTITUTE(SUBSTITUTE(SUBSTITUTE(SUBSTITUTE(SUBSTITUTE(SUBSTITUTE(SUBSTITUTE(SUBSTITUTE(SUBSTITUTE(SUBSTITUTE(TRIM($L901),"'",""),"İ","I"),"ı","I"),"i","I"),"Ş","S"),"ş","S"),"Ğ","G"),"ğ","G"),"Ü","U"),"ü","U"),"Ö","O"),"ö","O"),"Ç","C"),"ç","C"),".",""),",","")," ",""),"-","")))</f>
        <v/>
      </c>
      <c r="T901" s="3">
        <f>IF(OR($C901="",$D901&lt;&gt;"Gelir",$L901=""),"",IFERROR(INDEX(MUSTERILER!$B$7:$B$106,MATCH($S901,MUSTERILER!$T$7:$T$106,0)),""))</f>
        <v/>
      </c>
      <c r="U901" s="3">
        <f>IF($T901="","",$T901&amp;"|"&amp;COUNTIFS($T$7:$T901,$T901))</f>
        <v/>
      </c>
      <c r="V901" s="3">
        <f>IF($T901="",0,1)</f>
        <v/>
      </c>
      <c r="W901" s="3">
        <f>IF($C901="","",$D901&amp;"|"&amp;$E901&amp;"|"&amp;TEXT($C901,"0")&amp;"|"&amp;TEXT($G901,"0")&amp;"|"&amp;$J901)</f>
        <v/>
      </c>
      <c r="X901" s="3" t="n"/>
      <c r="Y901" s="3" t="n"/>
      <c r="Z901" s="3" t="n"/>
      <c r="AA901" s="3" t="n"/>
      <c r="AB901" s="3" t="n"/>
      <c r="AC901" s="3" t="n"/>
      <c r="AD901" s="3">
        <f>IF($C901="",0,SUMPRODUCT((AY_SONU!$O$7:$O$42="Evet")*(AY_SONU!$B$7:$B$42=DATE(YEAR($C901),MONTH($C901),1))))</f>
        <v/>
      </c>
    </row>
    <row r="902">
      <c r="A902" s="6" t="n"/>
      <c r="B902" s="113">
        <f>IF($C902="","","GG"&amp;TEXT(ROW()-6,"00000"))</f>
        <v/>
      </c>
      <c r="C902" s="220" t="n"/>
      <c r="D902" s="108" t="n"/>
      <c r="E902" s="109" t="n"/>
      <c r="F902" s="109" t="n"/>
      <c r="G902" s="221" t="n"/>
      <c r="H902" s="108" t="n"/>
      <c r="I902" s="108" t="n"/>
      <c r="J902" s="109" t="n"/>
      <c r="K902" s="109" t="n"/>
      <c r="L902" s="108" t="n"/>
      <c r="M902" s="121">
        <f>IF($C902="","",IF($D902="Gider",$E902,IF($L902&lt;&gt;"",$L902,$H902)))</f>
        <v/>
      </c>
      <c r="N902" s="121">
        <f>IF($C902="","",IF($D902="Gider",$H902,$E902))</f>
        <v/>
      </c>
      <c r="O902" s="226">
        <f>IF($C902="","",DATE(YEAR($C902),MONTH($C902),1))</f>
        <v/>
      </c>
      <c r="P902" s="113">
        <f>IF($C902="","",IF(AND($D902="Gelir",$L902&lt;&gt;"",$T902=""),"TANIMSIZ BORÇLU",IF($T902&lt;&gt;"",IF(OR($E902="",$G902&lt;=0),"EKSİK",IF($I902="Evet","TAHAKKUK NAKİT OLAMAZ",IF($C902&gt;TODAY(),"İLERİ TARİH","TAHAKKUK"))),IF(AND($D902&lt;&gt;"",$E902&lt;&gt;"",$G902&gt;0,$H902&lt;&gt;"",$I902&lt;&gt;""),IF($C902&gt;TODAY(),"İLERİ TARİH",IF(COUNTIF($W$7:$W$1206,$W902)&gt;1,"MÜKERRER?",IF($AD902&gt;0,"KAPALI DÖNEM",IF($I902="Hayır","ÖDENECEK","UYGUN")))),"EKSİK"))))</f>
        <v/>
      </c>
      <c r="Q902" s="6" t="n"/>
      <c r="R902" s="6" t="n"/>
      <c r="S902" s="3">
        <f>IF($L902="","",UPPER(SUBSTITUTE(SUBSTITUTE(SUBSTITUTE(SUBSTITUTE(SUBSTITUTE(SUBSTITUTE(SUBSTITUTE(SUBSTITUTE(SUBSTITUTE(SUBSTITUTE(SUBSTITUTE(SUBSTITUTE(SUBSTITUTE(SUBSTITUTE(SUBSTITUTE(SUBSTITUTE(SUBSTITUTE(SUBSTITUTE(TRIM($L902),"'",""),"İ","I"),"ı","I"),"i","I"),"Ş","S"),"ş","S"),"Ğ","G"),"ğ","G"),"Ü","U"),"ü","U"),"Ö","O"),"ö","O"),"Ç","C"),"ç","C"),".",""),",","")," ",""),"-","")))</f>
        <v/>
      </c>
      <c r="T902" s="3">
        <f>IF(OR($C902="",$D902&lt;&gt;"Gelir",$L902=""),"",IFERROR(INDEX(MUSTERILER!$B$7:$B$106,MATCH($S902,MUSTERILER!$T$7:$T$106,0)),""))</f>
        <v/>
      </c>
      <c r="U902" s="3">
        <f>IF($T902="","",$T902&amp;"|"&amp;COUNTIFS($T$7:$T902,$T902))</f>
        <v/>
      </c>
      <c r="V902" s="3">
        <f>IF($T902="",0,1)</f>
        <v/>
      </c>
      <c r="W902" s="3">
        <f>IF($C902="","",$D902&amp;"|"&amp;$E902&amp;"|"&amp;TEXT($C902,"0")&amp;"|"&amp;TEXT($G902,"0")&amp;"|"&amp;$J902)</f>
        <v/>
      </c>
      <c r="X902" s="3" t="n"/>
      <c r="Y902" s="3" t="n"/>
      <c r="Z902" s="3" t="n"/>
      <c r="AA902" s="3" t="n"/>
      <c r="AB902" s="3" t="n"/>
      <c r="AC902" s="3" t="n"/>
      <c r="AD902" s="3">
        <f>IF($C902="",0,SUMPRODUCT((AY_SONU!$O$7:$O$42="Evet")*(AY_SONU!$B$7:$B$42=DATE(YEAR($C902),MONTH($C902),1))))</f>
        <v/>
      </c>
    </row>
    <row r="903">
      <c r="A903" s="6" t="n"/>
      <c r="B903" s="113">
        <f>IF($C903="","","GG"&amp;TEXT(ROW()-6,"00000"))</f>
        <v/>
      </c>
      <c r="C903" s="220" t="n"/>
      <c r="D903" s="108" t="n"/>
      <c r="E903" s="109" t="n"/>
      <c r="F903" s="109" t="n"/>
      <c r="G903" s="221" t="n"/>
      <c r="H903" s="108" t="n"/>
      <c r="I903" s="108" t="n"/>
      <c r="J903" s="109" t="n"/>
      <c r="K903" s="109" t="n"/>
      <c r="L903" s="108" t="n"/>
      <c r="M903" s="121">
        <f>IF($C903="","",IF($D903="Gider",$E903,IF($L903&lt;&gt;"",$L903,$H903)))</f>
        <v/>
      </c>
      <c r="N903" s="121">
        <f>IF($C903="","",IF($D903="Gider",$H903,$E903))</f>
        <v/>
      </c>
      <c r="O903" s="226">
        <f>IF($C903="","",DATE(YEAR($C903),MONTH($C903),1))</f>
        <v/>
      </c>
      <c r="P903" s="113">
        <f>IF($C903="","",IF(AND($D903="Gelir",$L903&lt;&gt;"",$T903=""),"TANIMSIZ BORÇLU",IF($T903&lt;&gt;"",IF(OR($E903="",$G903&lt;=0),"EKSİK",IF($I903="Evet","TAHAKKUK NAKİT OLAMAZ",IF($C903&gt;TODAY(),"İLERİ TARİH","TAHAKKUK"))),IF(AND($D903&lt;&gt;"",$E903&lt;&gt;"",$G903&gt;0,$H903&lt;&gt;"",$I903&lt;&gt;""),IF($C903&gt;TODAY(),"İLERİ TARİH",IF(COUNTIF($W$7:$W$1206,$W903)&gt;1,"MÜKERRER?",IF($AD903&gt;0,"KAPALI DÖNEM",IF($I903="Hayır","ÖDENECEK","UYGUN")))),"EKSİK"))))</f>
        <v/>
      </c>
      <c r="Q903" s="6" t="n"/>
      <c r="R903" s="6" t="n"/>
      <c r="S903" s="3">
        <f>IF($L903="","",UPPER(SUBSTITUTE(SUBSTITUTE(SUBSTITUTE(SUBSTITUTE(SUBSTITUTE(SUBSTITUTE(SUBSTITUTE(SUBSTITUTE(SUBSTITUTE(SUBSTITUTE(SUBSTITUTE(SUBSTITUTE(SUBSTITUTE(SUBSTITUTE(SUBSTITUTE(SUBSTITUTE(SUBSTITUTE(SUBSTITUTE(TRIM($L903),"'",""),"İ","I"),"ı","I"),"i","I"),"Ş","S"),"ş","S"),"Ğ","G"),"ğ","G"),"Ü","U"),"ü","U"),"Ö","O"),"ö","O"),"Ç","C"),"ç","C"),".",""),",","")," ",""),"-","")))</f>
        <v/>
      </c>
      <c r="T903" s="3">
        <f>IF(OR($C903="",$D903&lt;&gt;"Gelir",$L903=""),"",IFERROR(INDEX(MUSTERILER!$B$7:$B$106,MATCH($S903,MUSTERILER!$T$7:$T$106,0)),""))</f>
        <v/>
      </c>
      <c r="U903" s="3">
        <f>IF($T903="","",$T903&amp;"|"&amp;COUNTIFS($T$7:$T903,$T903))</f>
        <v/>
      </c>
      <c r="V903" s="3">
        <f>IF($T903="",0,1)</f>
        <v/>
      </c>
      <c r="W903" s="3">
        <f>IF($C903="","",$D903&amp;"|"&amp;$E903&amp;"|"&amp;TEXT($C903,"0")&amp;"|"&amp;TEXT($G903,"0")&amp;"|"&amp;$J903)</f>
        <v/>
      </c>
      <c r="X903" s="3" t="n"/>
      <c r="Y903" s="3" t="n"/>
      <c r="Z903" s="3" t="n"/>
      <c r="AA903" s="3" t="n"/>
      <c r="AB903" s="3" t="n"/>
      <c r="AC903" s="3" t="n"/>
      <c r="AD903" s="3">
        <f>IF($C903="",0,SUMPRODUCT((AY_SONU!$O$7:$O$42="Evet")*(AY_SONU!$B$7:$B$42=DATE(YEAR($C903),MONTH($C903),1))))</f>
        <v/>
      </c>
    </row>
    <row r="904">
      <c r="A904" s="6" t="n"/>
      <c r="B904" s="113">
        <f>IF($C904="","","GG"&amp;TEXT(ROW()-6,"00000"))</f>
        <v/>
      </c>
      <c r="C904" s="220" t="n"/>
      <c r="D904" s="108" t="n"/>
      <c r="E904" s="109" t="n"/>
      <c r="F904" s="109" t="n"/>
      <c r="G904" s="221" t="n"/>
      <c r="H904" s="108" t="n"/>
      <c r="I904" s="108" t="n"/>
      <c r="J904" s="109" t="n"/>
      <c r="K904" s="109" t="n"/>
      <c r="L904" s="108" t="n"/>
      <c r="M904" s="121">
        <f>IF($C904="","",IF($D904="Gider",$E904,IF($L904&lt;&gt;"",$L904,$H904)))</f>
        <v/>
      </c>
      <c r="N904" s="121">
        <f>IF($C904="","",IF($D904="Gider",$H904,$E904))</f>
        <v/>
      </c>
      <c r="O904" s="226">
        <f>IF($C904="","",DATE(YEAR($C904),MONTH($C904),1))</f>
        <v/>
      </c>
      <c r="P904" s="113">
        <f>IF($C904="","",IF(AND($D904="Gelir",$L904&lt;&gt;"",$T904=""),"TANIMSIZ BORÇLU",IF($T904&lt;&gt;"",IF(OR($E904="",$G904&lt;=0),"EKSİK",IF($I904="Evet","TAHAKKUK NAKİT OLAMAZ",IF($C904&gt;TODAY(),"İLERİ TARİH","TAHAKKUK"))),IF(AND($D904&lt;&gt;"",$E904&lt;&gt;"",$G904&gt;0,$H904&lt;&gt;"",$I904&lt;&gt;""),IF($C904&gt;TODAY(),"İLERİ TARİH",IF(COUNTIF($W$7:$W$1206,$W904)&gt;1,"MÜKERRER?",IF($AD904&gt;0,"KAPALI DÖNEM",IF($I904="Hayır","ÖDENECEK","UYGUN")))),"EKSİK"))))</f>
        <v/>
      </c>
      <c r="Q904" s="6" t="n"/>
      <c r="R904" s="6" t="n"/>
      <c r="S904" s="3">
        <f>IF($L904="","",UPPER(SUBSTITUTE(SUBSTITUTE(SUBSTITUTE(SUBSTITUTE(SUBSTITUTE(SUBSTITUTE(SUBSTITUTE(SUBSTITUTE(SUBSTITUTE(SUBSTITUTE(SUBSTITUTE(SUBSTITUTE(SUBSTITUTE(SUBSTITUTE(SUBSTITUTE(SUBSTITUTE(SUBSTITUTE(SUBSTITUTE(TRIM($L904),"'",""),"İ","I"),"ı","I"),"i","I"),"Ş","S"),"ş","S"),"Ğ","G"),"ğ","G"),"Ü","U"),"ü","U"),"Ö","O"),"ö","O"),"Ç","C"),"ç","C"),".",""),",","")," ",""),"-","")))</f>
        <v/>
      </c>
      <c r="T904" s="3">
        <f>IF(OR($C904="",$D904&lt;&gt;"Gelir",$L904=""),"",IFERROR(INDEX(MUSTERILER!$B$7:$B$106,MATCH($S904,MUSTERILER!$T$7:$T$106,0)),""))</f>
        <v/>
      </c>
      <c r="U904" s="3">
        <f>IF($T904="","",$T904&amp;"|"&amp;COUNTIFS($T$7:$T904,$T904))</f>
        <v/>
      </c>
      <c r="V904" s="3">
        <f>IF($T904="",0,1)</f>
        <v/>
      </c>
      <c r="W904" s="3">
        <f>IF($C904="","",$D904&amp;"|"&amp;$E904&amp;"|"&amp;TEXT($C904,"0")&amp;"|"&amp;TEXT($G904,"0")&amp;"|"&amp;$J904)</f>
        <v/>
      </c>
      <c r="X904" s="3" t="n"/>
      <c r="Y904" s="3" t="n"/>
      <c r="Z904" s="3" t="n"/>
      <c r="AA904" s="3" t="n"/>
      <c r="AB904" s="3" t="n"/>
      <c r="AC904" s="3" t="n"/>
      <c r="AD904" s="3">
        <f>IF($C904="",0,SUMPRODUCT((AY_SONU!$O$7:$O$42="Evet")*(AY_SONU!$B$7:$B$42=DATE(YEAR($C904),MONTH($C904),1))))</f>
        <v/>
      </c>
    </row>
    <row r="905">
      <c r="A905" s="6" t="n"/>
      <c r="B905" s="113">
        <f>IF($C905="","","GG"&amp;TEXT(ROW()-6,"00000"))</f>
        <v/>
      </c>
      <c r="C905" s="220" t="n"/>
      <c r="D905" s="108" t="n"/>
      <c r="E905" s="109" t="n"/>
      <c r="F905" s="109" t="n"/>
      <c r="G905" s="221" t="n"/>
      <c r="H905" s="108" t="n"/>
      <c r="I905" s="108" t="n"/>
      <c r="J905" s="109" t="n"/>
      <c r="K905" s="109" t="n"/>
      <c r="L905" s="108" t="n"/>
      <c r="M905" s="121">
        <f>IF($C905="","",IF($D905="Gider",$E905,IF($L905&lt;&gt;"",$L905,$H905)))</f>
        <v/>
      </c>
      <c r="N905" s="121">
        <f>IF($C905="","",IF($D905="Gider",$H905,$E905))</f>
        <v/>
      </c>
      <c r="O905" s="226">
        <f>IF($C905="","",DATE(YEAR($C905),MONTH($C905),1))</f>
        <v/>
      </c>
      <c r="P905" s="113">
        <f>IF($C905="","",IF(AND($D905="Gelir",$L905&lt;&gt;"",$T905=""),"TANIMSIZ BORÇLU",IF($T905&lt;&gt;"",IF(OR($E905="",$G905&lt;=0),"EKSİK",IF($I905="Evet","TAHAKKUK NAKİT OLAMAZ",IF($C905&gt;TODAY(),"İLERİ TARİH","TAHAKKUK"))),IF(AND($D905&lt;&gt;"",$E905&lt;&gt;"",$G905&gt;0,$H905&lt;&gt;"",$I905&lt;&gt;""),IF($C905&gt;TODAY(),"İLERİ TARİH",IF(COUNTIF($W$7:$W$1206,$W905)&gt;1,"MÜKERRER?",IF($AD905&gt;0,"KAPALI DÖNEM",IF($I905="Hayır","ÖDENECEK","UYGUN")))),"EKSİK"))))</f>
        <v/>
      </c>
      <c r="Q905" s="6" t="n"/>
      <c r="R905" s="6" t="n"/>
      <c r="S905" s="3">
        <f>IF($L905="","",UPPER(SUBSTITUTE(SUBSTITUTE(SUBSTITUTE(SUBSTITUTE(SUBSTITUTE(SUBSTITUTE(SUBSTITUTE(SUBSTITUTE(SUBSTITUTE(SUBSTITUTE(SUBSTITUTE(SUBSTITUTE(SUBSTITUTE(SUBSTITUTE(SUBSTITUTE(SUBSTITUTE(SUBSTITUTE(SUBSTITUTE(TRIM($L905),"'",""),"İ","I"),"ı","I"),"i","I"),"Ş","S"),"ş","S"),"Ğ","G"),"ğ","G"),"Ü","U"),"ü","U"),"Ö","O"),"ö","O"),"Ç","C"),"ç","C"),".",""),",","")," ",""),"-","")))</f>
        <v/>
      </c>
      <c r="T905" s="3">
        <f>IF(OR($C905="",$D905&lt;&gt;"Gelir",$L905=""),"",IFERROR(INDEX(MUSTERILER!$B$7:$B$106,MATCH($S905,MUSTERILER!$T$7:$T$106,0)),""))</f>
        <v/>
      </c>
      <c r="U905" s="3">
        <f>IF($T905="","",$T905&amp;"|"&amp;COUNTIFS($T$7:$T905,$T905))</f>
        <v/>
      </c>
      <c r="V905" s="3">
        <f>IF($T905="",0,1)</f>
        <v/>
      </c>
      <c r="W905" s="3">
        <f>IF($C905="","",$D905&amp;"|"&amp;$E905&amp;"|"&amp;TEXT($C905,"0")&amp;"|"&amp;TEXT($G905,"0")&amp;"|"&amp;$J905)</f>
        <v/>
      </c>
      <c r="X905" s="3" t="n"/>
      <c r="Y905" s="3" t="n"/>
      <c r="Z905" s="3" t="n"/>
      <c r="AA905" s="3" t="n"/>
      <c r="AB905" s="3" t="n"/>
      <c r="AC905" s="3" t="n"/>
      <c r="AD905" s="3">
        <f>IF($C905="",0,SUMPRODUCT((AY_SONU!$O$7:$O$42="Evet")*(AY_SONU!$B$7:$B$42=DATE(YEAR($C905),MONTH($C905),1))))</f>
        <v/>
      </c>
    </row>
    <row r="906">
      <c r="A906" s="6" t="n"/>
      <c r="B906" s="113">
        <f>IF($C906="","","GG"&amp;TEXT(ROW()-6,"00000"))</f>
        <v/>
      </c>
      <c r="C906" s="220" t="n"/>
      <c r="D906" s="108" t="n"/>
      <c r="E906" s="109" t="n"/>
      <c r="F906" s="109" t="n"/>
      <c r="G906" s="221" t="n"/>
      <c r="H906" s="108" t="n"/>
      <c r="I906" s="108" t="n"/>
      <c r="J906" s="109" t="n"/>
      <c r="K906" s="109" t="n"/>
      <c r="L906" s="108" t="n"/>
      <c r="M906" s="121">
        <f>IF($C906="","",IF($D906="Gider",$E906,IF($L906&lt;&gt;"",$L906,$H906)))</f>
        <v/>
      </c>
      <c r="N906" s="121">
        <f>IF($C906="","",IF($D906="Gider",$H906,$E906))</f>
        <v/>
      </c>
      <c r="O906" s="226">
        <f>IF($C906="","",DATE(YEAR($C906),MONTH($C906),1))</f>
        <v/>
      </c>
      <c r="P906" s="113">
        <f>IF($C906="","",IF(AND($D906="Gelir",$L906&lt;&gt;"",$T906=""),"TANIMSIZ BORÇLU",IF($T906&lt;&gt;"",IF(OR($E906="",$G906&lt;=0),"EKSİK",IF($I906="Evet","TAHAKKUK NAKİT OLAMAZ",IF($C906&gt;TODAY(),"İLERİ TARİH","TAHAKKUK"))),IF(AND($D906&lt;&gt;"",$E906&lt;&gt;"",$G906&gt;0,$H906&lt;&gt;"",$I906&lt;&gt;""),IF($C906&gt;TODAY(),"İLERİ TARİH",IF(COUNTIF($W$7:$W$1206,$W906)&gt;1,"MÜKERRER?",IF($AD906&gt;0,"KAPALI DÖNEM",IF($I906="Hayır","ÖDENECEK","UYGUN")))),"EKSİK"))))</f>
        <v/>
      </c>
      <c r="Q906" s="6" t="n"/>
      <c r="R906" s="6" t="n"/>
      <c r="S906" s="3">
        <f>IF($L906="","",UPPER(SUBSTITUTE(SUBSTITUTE(SUBSTITUTE(SUBSTITUTE(SUBSTITUTE(SUBSTITUTE(SUBSTITUTE(SUBSTITUTE(SUBSTITUTE(SUBSTITUTE(SUBSTITUTE(SUBSTITUTE(SUBSTITUTE(SUBSTITUTE(SUBSTITUTE(SUBSTITUTE(SUBSTITUTE(SUBSTITUTE(TRIM($L906),"'",""),"İ","I"),"ı","I"),"i","I"),"Ş","S"),"ş","S"),"Ğ","G"),"ğ","G"),"Ü","U"),"ü","U"),"Ö","O"),"ö","O"),"Ç","C"),"ç","C"),".",""),",","")," ",""),"-","")))</f>
        <v/>
      </c>
      <c r="T906" s="3">
        <f>IF(OR($C906="",$D906&lt;&gt;"Gelir",$L906=""),"",IFERROR(INDEX(MUSTERILER!$B$7:$B$106,MATCH($S906,MUSTERILER!$T$7:$T$106,0)),""))</f>
        <v/>
      </c>
      <c r="U906" s="3">
        <f>IF($T906="","",$T906&amp;"|"&amp;COUNTIFS($T$7:$T906,$T906))</f>
        <v/>
      </c>
      <c r="V906" s="3">
        <f>IF($T906="",0,1)</f>
        <v/>
      </c>
      <c r="W906" s="3">
        <f>IF($C906="","",$D906&amp;"|"&amp;$E906&amp;"|"&amp;TEXT($C906,"0")&amp;"|"&amp;TEXT($G906,"0")&amp;"|"&amp;$J906)</f>
        <v/>
      </c>
      <c r="X906" s="3" t="n"/>
      <c r="Y906" s="3" t="n"/>
      <c r="Z906" s="3" t="n"/>
      <c r="AA906" s="3" t="n"/>
      <c r="AB906" s="3" t="n"/>
      <c r="AC906" s="3" t="n"/>
      <c r="AD906" s="3">
        <f>IF($C906="",0,SUMPRODUCT((AY_SONU!$O$7:$O$42="Evet")*(AY_SONU!$B$7:$B$42=DATE(YEAR($C906),MONTH($C906),1))))</f>
        <v/>
      </c>
    </row>
    <row r="907">
      <c r="A907" s="6" t="n"/>
      <c r="B907" s="113">
        <f>IF($C907="","","GG"&amp;TEXT(ROW()-6,"00000"))</f>
        <v/>
      </c>
      <c r="C907" s="220" t="n"/>
      <c r="D907" s="108" t="n"/>
      <c r="E907" s="109" t="n"/>
      <c r="F907" s="109" t="n"/>
      <c r="G907" s="221" t="n"/>
      <c r="H907" s="108" t="n"/>
      <c r="I907" s="108" t="n"/>
      <c r="J907" s="109" t="n"/>
      <c r="K907" s="109" t="n"/>
      <c r="L907" s="108" t="n"/>
      <c r="M907" s="121">
        <f>IF($C907="","",IF($D907="Gider",$E907,IF($L907&lt;&gt;"",$L907,$H907)))</f>
        <v/>
      </c>
      <c r="N907" s="121">
        <f>IF($C907="","",IF($D907="Gider",$H907,$E907))</f>
        <v/>
      </c>
      <c r="O907" s="226">
        <f>IF($C907="","",DATE(YEAR($C907),MONTH($C907),1))</f>
        <v/>
      </c>
      <c r="P907" s="113">
        <f>IF($C907="","",IF(AND($D907="Gelir",$L907&lt;&gt;"",$T907=""),"TANIMSIZ BORÇLU",IF($T907&lt;&gt;"",IF(OR($E907="",$G907&lt;=0),"EKSİK",IF($I907="Evet","TAHAKKUK NAKİT OLAMAZ",IF($C907&gt;TODAY(),"İLERİ TARİH","TAHAKKUK"))),IF(AND($D907&lt;&gt;"",$E907&lt;&gt;"",$G907&gt;0,$H907&lt;&gt;"",$I907&lt;&gt;""),IF($C907&gt;TODAY(),"İLERİ TARİH",IF(COUNTIF($W$7:$W$1206,$W907)&gt;1,"MÜKERRER?",IF($AD907&gt;0,"KAPALI DÖNEM",IF($I907="Hayır","ÖDENECEK","UYGUN")))),"EKSİK"))))</f>
        <v/>
      </c>
      <c r="Q907" s="6" t="n"/>
      <c r="R907" s="6" t="n"/>
      <c r="S907" s="3">
        <f>IF($L907="","",UPPER(SUBSTITUTE(SUBSTITUTE(SUBSTITUTE(SUBSTITUTE(SUBSTITUTE(SUBSTITUTE(SUBSTITUTE(SUBSTITUTE(SUBSTITUTE(SUBSTITUTE(SUBSTITUTE(SUBSTITUTE(SUBSTITUTE(SUBSTITUTE(SUBSTITUTE(SUBSTITUTE(SUBSTITUTE(SUBSTITUTE(TRIM($L907),"'",""),"İ","I"),"ı","I"),"i","I"),"Ş","S"),"ş","S"),"Ğ","G"),"ğ","G"),"Ü","U"),"ü","U"),"Ö","O"),"ö","O"),"Ç","C"),"ç","C"),".",""),",","")," ",""),"-","")))</f>
        <v/>
      </c>
      <c r="T907" s="3">
        <f>IF(OR($C907="",$D907&lt;&gt;"Gelir",$L907=""),"",IFERROR(INDEX(MUSTERILER!$B$7:$B$106,MATCH($S907,MUSTERILER!$T$7:$T$106,0)),""))</f>
        <v/>
      </c>
      <c r="U907" s="3">
        <f>IF($T907="","",$T907&amp;"|"&amp;COUNTIFS($T$7:$T907,$T907))</f>
        <v/>
      </c>
      <c r="V907" s="3">
        <f>IF($T907="",0,1)</f>
        <v/>
      </c>
      <c r="W907" s="3">
        <f>IF($C907="","",$D907&amp;"|"&amp;$E907&amp;"|"&amp;TEXT($C907,"0")&amp;"|"&amp;TEXT($G907,"0")&amp;"|"&amp;$J907)</f>
        <v/>
      </c>
      <c r="X907" s="3" t="n"/>
      <c r="Y907" s="3" t="n"/>
      <c r="Z907" s="3" t="n"/>
      <c r="AA907" s="3" t="n"/>
      <c r="AB907" s="3" t="n"/>
      <c r="AC907" s="3" t="n"/>
      <c r="AD907" s="3">
        <f>IF($C907="",0,SUMPRODUCT((AY_SONU!$O$7:$O$42="Evet")*(AY_SONU!$B$7:$B$42=DATE(YEAR($C907),MONTH($C907),1))))</f>
        <v/>
      </c>
    </row>
    <row r="908">
      <c r="A908" s="6" t="n"/>
      <c r="B908" s="113">
        <f>IF($C908="","","GG"&amp;TEXT(ROW()-6,"00000"))</f>
        <v/>
      </c>
      <c r="C908" s="220" t="n"/>
      <c r="D908" s="108" t="n"/>
      <c r="E908" s="109" t="n"/>
      <c r="F908" s="109" t="n"/>
      <c r="G908" s="221" t="n"/>
      <c r="H908" s="108" t="n"/>
      <c r="I908" s="108" t="n"/>
      <c r="J908" s="109" t="n"/>
      <c r="K908" s="109" t="n"/>
      <c r="L908" s="108" t="n"/>
      <c r="M908" s="121">
        <f>IF($C908="","",IF($D908="Gider",$E908,IF($L908&lt;&gt;"",$L908,$H908)))</f>
        <v/>
      </c>
      <c r="N908" s="121">
        <f>IF($C908="","",IF($D908="Gider",$H908,$E908))</f>
        <v/>
      </c>
      <c r="O908" s="226">
        <f>IF($C908="","",DATE(YEAR($C908),MONTH($C908),1))</f>
        <v/>
      </c>
      <c r="P908" s="113">
        <f>IF($C908="","",IF(AND($D908="Gelir",$L908&lt;&gt;"",$T908=""),"TANIMSIZ BORÇLU",IF($T908&lt;&gt;"",IF(OR($E908="",$G908&lt;=0),"EKSİK",IF($I908="Evet","TAHAKKUK NAKİT OLAMAZ",IF($C908&gt;TODAY(),"İLERİ TARİH","TAHAKKUK"))),IF(AND($D908&lt;&gt;"",$E908&lt;&gt;"",$G908&gt;0,$H908&lt;&gt;"",$I908&lt;&gt;""),IF($C908&gt;TODAY(),"İLERİ TARİH",IF(COUNTIF($W$7:$W$1206,$W908)&gt;1,"MÜKERRER?",IF($AD908&gt;0,"KAPALI DÖNEM",IF($I908="Hayır","ÖDENECEK","UYGUN")))),"EKSİK"))))</f>
        <v/>
      </c>
      <c r="Q908" s="6" t="n"/>
      <c r="R908" s="6" t="n"/>
      <c r="S908" s="3">
        <f>IF($L908="","",UPPER(SUBSTITUTE(SUBSTITUTE(SUBSTITUTE(SUBSTITUTE(SUBSTITUTE(SUBSTITUTE(SUBSTITUTE(SUBSTITUTE(SUBSTITUTE(SUBSTITUTE(SUBSTITUTE(SUBSTITUTE(SUBSTITUTE(SUBSTITUTE(SUBSTITUTE(SUBSTITUTE(SUBSTITUTE(SUBSTITUTE(TRIM($L908),"'",""),"İ","I"),"ı","I"),"i","I"),"Ş","S"),"ş","S"),"Ğ","G"),"ğ","G"),"Ü","U"),"ü","U"),"Ö","O"),"ö","O"),"Ç","C"),"ç","C"),".",""),",","")," ",""),"-","")))</f>
        <v/>
      </c>
      <c r="T908" s="3">
        <f>IF(OR($C908="",$D908&lt;&gt;"Gelir",$L908=""),"",IFERROR(INDEX(MUSTERILER!$B$7:$B$106,MATCH($S908,MUSTERILER!$T$7:$T$106,0)),""))</f>
        <v/>
      </c>
      <c r="U908" s="3">
        <f>IF($T908="","",$T908&amp;"|"&amp;COUNTIFS($T$7:$T908,$T908))</f>
        <v/>
      </c>
      <c r="V908" s="3">
        <f>IF($T908="",0,1)</f>
        <v/>
      </c>
      <c r="W908" s="3">
        <f>IF($C908="","",$D908&amp;"|"&amp;$E908&amp;"|"&amp;TEXT($C908,"0")&amp;"|"&amp;TEXT($G908,"0")&amp;"|"&amp;$J908)</f>
        <v/>
      </c>
      <c r="X908" s="3" t="n"/>
      <c r="Y908" s="3" t="n"/>
      <c r="Z908" s="3" t="n"/>
      <c r="AA908" s="3" t="n"/>
      <c r="AB908" s="3" t="n"/>
      <c r="AC908" s="3" t="n"/>
      <c r="AD908" s="3">
        <f>IF($C908="",0,SUMPRODUCT((AY_SONU!$O$7:$O$42="Evet")*(AY_SONU!$B$7:$B$42=DATE(YEAR($C908),MONTH($C908),1))))</f>
        <v/>
      </c>
    </row>
    <row r="909">
      <c r="A909" s="6" t="n"/>
      <c r="B909" s="113">
        <f>IF($C909="","","GG"&amp;TEXT(ROW()-6,"00000"))</f>
        <v/>
      </c>
      <c r="C909" s="220" t="n"/>
      <c r="D909" s="108" t="n"/>
      <c r="E909" s="109" t="n"/>
      <c r="F909" s="109" t="n"/>
      <c r="G909" s="221" t="n"/>
      <c r="H909" s="108" t="n"/>
      <c r="I909" s="108" t="n"/>
      <c r="J909" s="109" t="n"/>
      <c r="K909" s="109" t="n"/>
      <c r="L909" s="108" t="n"/>
      <c r="M909" s="121">
        <f>IF($C909="","",IF($D909="Gider",$E909,IF($L909&lt;&gt;"",$L909,$H909)))</f>
        <v/>
      </c>
      <c r="N909" s="121">
        <f>IF($C909="","",IF($D909="Gider",$H909,$E909))</f>
        <v/>
      </c>
      <c r="O909" s="226">
        <f>IF($C909="","",DATE(YEAR($C909),MONTH($C909),1))</f>
        <v/>
      </c>
      <c r="P909" s="113">
        <f>IF($C909="","",IF(AND($D909="Gelir",$L909&lt;&gt;"",$T909=""),"TANIMSIZ BORÇLU",IF($T909&lt;&gt;"",IF(OR($E909="",$G909&lt;=0),"EKSİK",IF($I909="Evet","TAHAKKUK NAKİT OLAMAZ",IF($C909&gt;TODAY(),"İLERİ TARİH","TAHAKKUK"))),IF(AND($D909&lt;&gt;"",$E909&lt;&gt;"",$G909&gt;0,$H909&lt;&gt;"",$I909&lt;&gt;""),IF($C909&gt;TODAY(),"İLERİ TARİH",IF(COUNTIF($W$7:$W$1206,$W909)&gt;1,"MÜKERRER?",IF($AD909&gt;0,"KAPALI DÖNEM",IF($I909="Hayır","ÖDENECEK","UYGUN")))),"EKSİK"))))</f>
        <v/>
      </c>
      <c r="Q909" s="6" t="n"/>
      <c r="R909" s="6" t="n"/>
      <c r="S909" s="3">
        <f>IF($L909="","",UPPER(SUBSTITUTE(SUBSTITUTE(SUBSTITUTE(SUBSTITUTE(SUBSTITUTE(SUBSTITUTE(SUBSTITUTE(SUBSTITUTE(SUBSTITUTE(SUBSTITUTE(SUBSTITUTE(SUBSTITUTE(SUBSTITUTE(SUBSTITUTE(SUBSTITUTE(SUBSTITUTE(SUBSTITUTE(SUBSTITUTE(TRIM($L909),"'",""),"İ","I"),"ı","I"),"i","I"),"Ş","S"),"ş","S"),"Ğ","G"),"ğ","G"),"Ü","U"),"ü","U"),"Ö","O"),"ö","O"),"Ç","C"),"ç","C"),".",""),",","")," ",""),"-","")))</f>
        <v/>
      </c>
      <c r="T909" s="3">
        <f>IF(OR($C909="",$D909&lt;&gt;"Gelir",$L909=""),"",IFERROR(INDEX(MUSTERILER!$B$7:$B$106,MATCH($S909,MUSTERILER!$T$7:$T$106,0)),""))</f>
        <v/>
      </c>
      <c r="U909" s="3">
        <f>IF($T909="","",$T909&amp;"|"&amp;COUNTIFS($T$7:$T909,$T909))</f>
        <v/>
      </c>
      <c r="V909" s="3">
        <f>IF($T909="",0,1)</f>
        <v/>
      </c>
      <c r="W909" s="3">
        <f>IF($C909="","",$D909&amp;"|"&amp;$E909&amp;"|"&amp;TEXT($C909,"0")&amp;"|"&amp;TEXT($G909,"0")&amp;"|"&amp;$J909)</f>
        <v/>
      </c>
      <c r="X909" s="3" t="n"/>
      <c r="Y909" s="3" t="n"/>
      <c r="Z909" s="3" t="n"/>
      <c r="AA909" s="3" t="n"/>
      <c r="AB909" s="3" t="n"/>
      <c r="AC909" s="3" t="n"/>
      <c r="AD909" s="3">
        <f>IF($C909="",0,SUMPRODUCT((AY_SONU!$O$7:$O$42="Evet")*(AY_SONU!$B$7:$B$42=DATE(YEAR($C909),MONTH($C909),1))))</f>
        <v/>
      </c>
    </row>
    <row r="910">
      <c r="A910" s="6" t="n"/>
      <c r="B910" s="113">
        <f>IF($C910="","","GG"&amp;TEXT(ROW()-6,"00000"))</f>
        <v/>
      </c>
      <c r="C910" s="220" t="n"/>
      <c r="D910" s="108" t="n"/>
      <c r="E910" s="109" t="n"/>
      <c r="F910" s="109" t="n"/>
      <c r="G910" s="221" t="n"/>
      <c r="H910" s="108" t="n"/>
      <c r="I910" s="108" t="n"/>
      <c r="J910" s="109" t="n"/>
      <c r="K910" s="109" t="n"/>
      <c r="L910" s="108" t="n"/>
      <c r="M910" s="121">
        <f>IF($C910="","",IF($D910="Gider",$E910,IF($L910&lt;&gt;"",$L910,$H910)))</f>
        <v/>
      </c>
      <c r="N910" s="121">
        <f>IF($C910="","",IF($D910="Gider",$H910,$E910))</f>
        <v/>
      </c>
      <c r="O910" s="226">
        <f>IF($C910="","",DATE(YEAR($C910),MONTH($C910),1))</f>
        <v/>
      </c>
      <c r="P910" s="113">
        <f>IF($C910="","",IF(AND($D910="Gelir",$L910&lt;&gt;"",$T910=""),"TANIMSIZ BORÇLU",IF($T910&lt;&gt;"",IF(OR($E910="",$G910&lt;=0),"EKSİK",IF($I910="Evet","TAHAKKUK NAKİT OLAMAZ",IF($C910&gt;TODAY(),"İLERİ TARİH","TAHAKKUK"))),IF(AND($D910&lt;&gt;"",$E910&lt;&gt;"",$G910&gt;0,$H910&lt;&gt;"",$I910&lt;&gt;""),IF($C910&gt;TODAY(),"İLERİ TARİH",IF(COUNTIF($W$7:$W$1206,$W910)&gt;1,"MÜKERRER?",IF($AD910&gt;0,"KAPALI DÖNEM",IF($I910="Hayır","ÖDENECEK","UYGUN")))),"EKSİK"))))</f>
        <v/>
      </c>
      <c r="Q910" s="6" t="n"/>
      <c r="R910" s="6" t="n"/>
      <c r="S910" s="3">
        <f>IF($L910="","",UPPER(SUBSTITUTE(SUBSTITUTE(SUBSTITUTE(SUBSTITUTE(SUBSTITUTE(SUBSTITUTE(SUBSTITUTE(SUBSTITUTE(SUBSTITUTE(SUBSTITUTE(SUBSTITUTE(SUBSTITUTE(SUBSTITUTE(SUBSTITUTE(SUBSTITUTE(SUBSTITUTE(SUBSTITUTE(SUBSTITUTE(TRIM($L910),"'",""),"İ","I"),"ı","I"),"i","I"),"Ş","S"),"ş","S"),"Ğ","G"),"ğ","G"),"Ü","U"),"ü","U"),"Ö","O"),"ö","O"),"Ç","C"),"ç","C"),".",""),",","")," ",""),"-","")))</f>
        <v/>
      </c>
      <c r="T910" s="3">
        <f>IF(OR($C910="",$D910&lt;&gt;"Gelir",$L910=""),"",IFERROR(INDEX(MUSTERILER!$B$7:$B$106,MATCH($S910,MUSTERILER!$T$7:$T$106,0)),""))</f>
        <v/>
      </c>
      <c r="U910" s="3">
        <f>IF($T910="","",$T910&amp;"|"&amp;COUNTIFS($T$7:$T910,$T910))</f>
        <v/>
      </c>
      <c r="V910" s="3">
        <f>IF($T910="",0,1)</f>
        <v/>
      </c>
      <c r="W910" s="3">
        <f>IF($C910="","",$D910&amp;"|"&amp;$E910&amp;"|"&amp;TEXT($C910,"0")&amp;"|"&amp;TEXT($G910,"0")&amp;"|"&amp;$J910)</f>
        <v/>
      </c>
      <c r="X910" s="3" t="n"/>
      <c r="Y910" s="3" t="n"/>
      <c r="Z910" s="3" t="n"/>
      <c r="AA910" s="3" t="n"/>
      <c r="AB910" s="3" t="n"/>
      <c r="AC910" s="3" t="n"/>
      <c r="AD910" s="3">
        <f>IF($C910="",0,SUMPRODUCT((AY_SONU!$O$7:$O$42="Evet")*(AY_SONU!$B$7:$B$42=DATE(YEAR($C910),MONTH($C910),1))))</f>
        <v/>
      </c>
    </row>
    <row r="911">
      <c r="A911" s="6" t="n"/>
      <c r="B911" s="113">
        <f>IF($C911="","","GG"&amp;TEXT(ROW()-6,"00000"))</f>
        <v/>
      </c>
      <c r="C911" s="220" t="n"/>
      <c r="D911" s="108" t="n"/>
      <c r="E911" s="109" t="n"/>
      <c r="F911" s="109" t="n"/>
      <c r="G911" s="221" t="n"/>
      <c r="H911" s="108" t="n"/>
      <c r="I911" s="108" t="n"/>
      <c r="J911" s="109" t="n"/>
      <c r="K911" s="109" t="n"/>
      <c r="L911" s="108" t="n"/>
      <c r="M911" s="121">
        <f>IF($C911="","",IF($D911="Gider",$E911,IF($L911&lt;&gt;"",$L911,$H911)))</f>
        <v/>
      </c>
      <c r="N911" s="121">
        <f>IF($C911="","",IF($D911="Gider",$H911,$E911))</f>
        <v/>
      </c>
      <c r="O911" s="226">
        <f>IF($C911="","",DATE(YEAR($C911),MONTH($C911),1))</f>
        <v/>
      </c>
      <c r="P911" s="113">
        <f>IF($C911="","",IF(AND($D911="Gelir",$L911&lt;&gt;"",$T911=""),"TANIMSIZ BORÇLU",IF($T911&lt;&gt;"",IF(OR($E911="",$G911&lt;=0),"EKSİK",IF($I911="Evet","TAHAKKUK NAKİT OLAMAZ",IF($C911&gt;TODAY(),"İLERİ TARİH","TAHAKKUK"))),IF(AND($D911&lt;&gt;"",$E911&lt;&gt;"",$G911&gt;0,$H911&lt;&gt;"",$I911&lt;&gt;""),IF($C911&gt;TODAY(),"İLERİ TARİH",IF(COUNTIF($W$7:$W$1206,$W911)&gt;1,"MÜKERRER?",IF($AD911&gt;0,"KAPALI DÖNEM",IF($I911="Hayır","ÖDENECEK","UYGUN")))),"EKSİK"))))</f>
        <v/>
      </c>
      <c r="Q911" s="6" t="n"/>
      <c r="R911" s="6" t="n"/>
      <c r="S911" s="3">
        <f>IF($L911="","",UPPER(SUBSTITUTE(SUBSTITUTE(SUBSTITUTE(SUBSTITUTE(SUBSTITUTE(SUBSTITUTE(SUBSTITUTE(SUBSTITUTE(SUBSTITUTE(SUBSTITUTE(SUBSTITUTE(SUBSTITUTE(SUBSTITUTE(SUBSTITUTE(SUBSTITUTE(SUBSTITUTE(SUBSTITUTE(SUBSTITUTE(TRIM($L911),"'",""),"İ","I"),"ı","I"),"i","I"),"Ş","S"),"ş","S"),"Ğ","G"),"ğ","G"),"Ü","U"),"ü","U"),"Ö","O"),"ö","O"),"Ç","C"),"ç","C"),".",""),",","")," ",""),"-","")))</f>
        <v/>
      </c>
      <c r="T911" s="3">
        <f>IF(OR($C911="",$D911&lt;&gt;"Gelir",$L911=""),"",IFERROR(INDEX(MUSTERILER!$B$7:$B$106,MATCH($S911,MUSTERILER!$T$7:$T$106,0)),""))</f>
        <v/>
      </c>
      <c r="U911" s="3">
        <f>IF($T911="","",$T911&amp;"|"&amp;COUNTIFS($T$7:$T911,$T911))</f>
        <v/>
      </c>
      <c r="V911" s="3">
        <f>IF($T911="",0,1)</f>
        <v/>
      </c>
      <c r="W911" s="3">
        <f>IF($C911="","",$D911&amp;"|"&amp;$E911&amp;"|"&amp;TEXT($C911,"0")&amp;"|"&amp;TEXT($G911,"0")&amp;"|"&amp;$J911)</f>
        <v/>
      </c>
      <c r="X911" s="3" t="n"/>
      <c r="Y911" s="3" t="n"/>
      <c r="Z911" s="3" t="n"/>
      <c r="AA911" s="3" t="n"/>
      <c r="AB911" s="3" t="n"/>
      <c r="AC911" s="3" t="n"/>
      <c r="AD911" s="3">
        <f>IF($C911="",0,SUMPRODUCT((AY_SONU!$O$7:$O$42="Evet")*(AY_SONU!$B$7:$B$42=DATE(YEAR($C911),MONTH($C911),1))))</f>
        <v/>
      </c>
    </row>
    <row r="912">
      <c r="A912" s="6" t="n"/>
      <c r="B912" s="113">
        <f>IF($C912="","","GG"&amp;TEXT(ROW()-6,"00000"))</f>
        <v/>
      </c>
      <c r="C912" s="220" t="n"/>
      <c r="D912" s="108" t="n"/>
      <c r="E912" s="109" t="n"/>
      <c r="F912" s="109" t="n"/>
      <c r="G912" s="221" t="n"/>
      <c r="H912" s="108" t="n"/>
      <c r="I912" s="108" t="n"/>
      <c r="J912" s="109" t="n"/>
      <c r="K912" s="109" t="n"/>
      <c r="L912" s="108" t="n"/>
      <c r="M912" s="121">
        <f>IF($C912="","",IF($D912="Gider",$E912,IF($L912&lt;&gt;"",$L912,$H912)))</f>
        <v/>
      </c>
      <c r="N912" s="121">
        <f>IF($C912="","",IF($D912="Gider",$H912,$E912))</f>
        <v/>
      </c>
      <c r="O912" s="226">
        <f>IF($C912="","",DATE(YEAR($C912),MONTH($C912),1))</f>
        <v/>
      </c>
      <c r="P912" s="113">
        <f>IF($C912="","",IF(AND($D912="Gelir",$L912&lt;&gt;"",$T912=""),"TANIMSIZ BORÇLU",IF($T912&lt;&gt;"",IF(OR($E912="",$G912&lt;=0),"EKSİK",IF($I912="Evet","TAHAKKUK NAKİT OLAMAZ",IF($C912&gt;TODAY(),"İLERİ TARİH","TAHAKKUK"))),IF(AND($D912&lt;&gt;"",$E912&lt;&gt;"",$G912&gt;0,$H912&lt;&gt;"",$I912&lt;&gt;""),IF($C912&gt;TODAY(),"İLERİ TARİH",IF(COUNTIF($W$7:$W$1206,$W912)&gt;1,"MÜKERRER?",IF($AD912&gt;0,"KAPALI DÖNEM",IF($I912="Hayır","ÖDENECEK","UYGUN")))),"EKSİK"))))</f>
        <v/>
      </c>
      <c r="Q912" s="6" t="n"/>
      <c r="R912" s="6" t="n"/>
      <c r="S912" s="3">
        <f>IF($L912="","",UPPER(SUBSTITUTE(SUBSTITUTE(SUBSTITUTE(SUBSTITUTE(SUBSTITUTE(SUBSTITUTE(SUBSTITUTE(SUBSTITUTE(SUBSTITUTE(SUBSTITUTE(SUBSTITUTE(SUBSTITUTE(SUBSTITUTE(SUBSTITUTE(SUBSTITUTE(SUBSTITUTE(SUBSTITUTE(SUBSTITUTE(TRIM($L912),"'",""),"İ","I"),"ı","I"),"i","I"),"Ş","S"),"ş","S"),"Ğ","G"),"ğ","G"),"Ü","U"),"ü","U"),"Ö","O"),"ö","O"),"Ç","C"),"ç","C"),".",""),",","")," ",""),"-","")))</f>
        <v/>
      </c>
      <c r="T912" s="3">
        <f>IF(OR($C912="",$D912&lt;&gt;"Gelir",$L912=""),"",IFERROR(INDEX(MUSTERILER!$B$7:$B$106,MATCH($S912,MUSTERILER!$T$7:$T$106,0)),""))</f>
        <v/>
      </c>
      <c r="U912" s="3">
        <f>IF($T912="","",$T912&amp;"|"&amp;COUNTIFS($T$7:$T912,$T912))</f>
        <v/>
      </c>
      <c r="V912" s="3">
        <f>IF($T912="",0,1)</f>
        <v/>
      </c>
      <c r="W912" s="3">
        <f>IF($C912="","",$D912&amp;"|"&amp;$E912&amp;"|"&amp;TEXT($C912,"0")&amp;"|"&amp;TEXT($G912,"0")&amp;"|"&amp;$J912)</f>
        <v/>
      </c>
      <c r="X912" s="3" t="n"/>
      <c r="Y912" s="3" t="n"/>
      <c r="Z912" s="3" t="n"/>
      <c r="AA912" s="3" t="n"/>
      <c r="AB912" s="3" t="n"/>
      <c r="AC912" s="3" t="n"/>
      <c r="AD912" s="3">
        <f>IF($C912="",0,SUMPRODUCT((AY_SONU!$O$7:$O$42="Evet")*(AY_SONU!$B$7:$B$42=DATE(YEAR($C912),MONTH($C912),1))))</f>
        <v/>
      </c>
    </row>
    <row r="913">
      <c r="A913" s="6" t="n"/>
      <c r="B913" s="113">
        <f>IF($C913="","","GG"&amp;TEXT(ROW()-6,"00000"))</f>
        <v/>
      </c>
      <c r="C913" s="220" t="n"/>
      <c r="D913" s="108" t="n"/>
      <c r="E913" s="109" t="n"/>
      <c r="F913" s="109" t="n"/>
      <c r="G913" s="221" t="n"/>
      <c r="H913" s="108" t="n"/>
      <c r="I913" s="108" t="n"/>
      <c r="J913" s="109" t="n"/>
      <c r="K913" s="109" t="n"/>
      <c r="L913" s="108" t="n"/>
      <c r="M913" s="121">
        <f>IF($C913="","",IF($D913="Gider",$E913,IF($L913&lt;&gt;"",$L913,$H913)))</f>
        <v/>
      </c>
      <c r="N913" s="121">
        <f>IF($C913="","",IF($D913="Gider",$H913,$E913))</f>
        <v/>
      </c>
      <c r="O913" s="226">
        <f>IF($C913="","",DATE(YEAR($C913),MONTH($C913),1))</f>
        <v/>
      </c>
      <c r="P913" s="113">
        <f>IF($C913="","",IF(AND($D913="Gelir",$L913&lt;&gt;"",$T913=""),"TANIMSIZ BORÇLU",IF($T913&lt;&gt;"",IF(OR($E913="",$G913&lt;=0),"EKSİK",IF($I913="Evet","TAHAKKUK NAKİT OLAMAZ",IF($C913&gt;TODAY(),"İLERİ TARİH","TAHAKKUK"))),IF(AND($D913&lt;&gt;"",$E913&lt;&gt;"",$G913&gt;0,$H913&lt;&gt;"",$I913&lt;&gt;""),IF($C913&gt;TODAY(),"İLERİ TARİH",IF(COUNTIF($W$7:$W$1206,$W913)&gt;1,"MÜKERRER?",IF($AD913&gt;0,"KAPALI DÖNEM",IF($I913="Hayır","ÖDENECEK","UYGUN")))),"EKSİK"))))</f>
        <v/>
      </c>
      <c r="Q913" s="6" t="n"/>
      <c r="R913" s="6" t="n"/>
      <c r="S913" s="3">
        <f>IF($L913="","",UPPER(SUBSTITUTE(SUBSTITUTE(SUBSTITUTE(SUBSTITUTE(SUBSTITUTE(SUBSTITUTE(SUBSTITUTE(SUBSTITUTE(SUBSTITUTE(SUBSTITUTE(SUBSTITUTE(SUBSTITUTE(SUBSTITUTE(SUBSTITUTE(SUBSTITUTE(SUBSTITUTE(SUBSTITUTE(SUBSTITUTE(TRIM($L913),"'",""),"İ","I"),"ı","I"),"i","I"),"Ş","S"),"ş","S"),"Ğ","G"),"ğ","G"),"Ü","U"),"ü","U"),"Ö","O"),"ö","O"),"Ç","C"),"ç","C"),".",""),",","")," ",""),"-","")))</f>
        <v/>
      </c>
      <c r="T913" s="3">
        <f>IF(OR($C913="",$D913&lt;&gt;"Gelir",$L913=""),"",IFERROR(INDEX(MUSTERILER!$B$7:$B$106,MATCH($S913,MUSTERILER!$T$7:$T$106,0)),""))</f>
        <v/>
      </c>
      <c r="U913" s="3">
        <f>IF($T913="","",$T913&amp;"|"&amp;COUNTIFS($T$7:$T913,$T913))</f>
        <v/>
      </c>
      <c r="V913" s="3">
        <f>IF($T913="",0,1)</f>
        <v/>
      </c>
      <c r="W913" s="3">
        <f>IF($C913="","",$D913&amp;"|"&amp;$E913&amp;"|"&amp;TEXT($C913,"0")&amp;"|"&amp;TEXT($G913,"0")&amp;"|"&amp;$J913)</f>
        <v/>
      </c>
      <c r="X913" s="3" t="n"/>
      <c r="Y913" s="3" t="n"/>
      <c r="Z913" s="3" t="n"/>
      <c r="AA913" s="3" t="n"/>
      <c r="AB913" s="3" t="n"/>
      <c r="AC913" s="3" t="n"/>
      <c r="AD913" s="3">
        <f>IF($C913="",0,SUMPRODUCT((AY_SONU!$O$7:$O$42="Evet")*(AY_SONU!$B$7:$B$42=DATE(YEAR($C913),MONTH($C913),1))))</f>
        <v/>
      </c>
    </row>
    <row r="914">
      <c r="A914" s="6" t="n"/>
      <c r="B914" s="113">
        <f>IF($C914="","","GG"&amp;TEXT(ROW()-6,"00000"))</f>
        <v/>
      </c>
      <c r="C914" s="220" t="n"/>
      <c r="D914" s="108" t="n"/>
      <c r="E914" s="109" t="n"/>
      <c r="F914" s="109" t="n"/>
      <c r="G914" s="221" t="n"/>
      <c r="H914" s="108" t="n"/>
      <c r="I914" s="108" t="n"/>
      <c r="J914" s="109" t="n"/>
      <c r="K914" s="109" t="n"/>
      <c r="L914" s="108" t="n"/>
      <c r="M914" s="121">
        <f>IF($C914="","",IF($D914="Gider",$E914,IF($L914&lt;&gt;"",$L914,$H914)))</f>
        <v/>
      </c>
      <c r="N914" s="121">
        <f>IF($C914="","",IF($D914="Gider",$H914,$E914))</f>
        <v/>
      </c>
      <c r="O914" s="226">
        <f>IF($C914="","",DATE(YEAR($C914),MONTH($C914),1))</f>
        <v/>
      </c>
      <c r="P914" s="113">
        <f>IF($C914="","",IF(AND($D914="Gelir",$L914&lt;&gt;"",$T914=""),"TANIMSIZ BORÇLU",IF($T914&lt;&gt;"",IF(OR($E914="",$G914&lt;=0),"EKSİK",IF($I914="Evet","TAHAKKUK NAKİT OLAMAZ",IF($C914&gt;TODAY(),"İLERİ TARİH","TAHAKKUK"))),IF(AND($D914&lt;&gt;"",$E914&lt;&gt;"",$G914&gt;0,$H914&lt;&gt;"",$I914&lt;&gt;""),IF($C914&gt;TODAY(),"İLERİ TARİH",IF(COUNTIF($W$7:$W$1206,$W914)&gt;1,"MÜKERRER?",IF($AD914&gt;0,"KAPALI DÖNEM",IF($I914="Hayır","ÖDENECEK","UYGUN")))),"EKSİK"))))</f>
        <v/>
      </c>
      <c r="Q914" s="6" t="n"/>
      <c r="R914" s="6" t="n"/>
      <c r="S914" s="3">
        <f>IF($L914="","",UPPER(SUBSTITUTE(SUBSTITUTE(SUBSTITUTE(SUBSTITUTE(SUBSTITUTE(SUBSTITUTE(SUBSTITUTE(SUBSTITUTE(SUBSTITUTE(SUBSTITUTE(SUBSTITUTE(SUBSTITUTE(SUBSTITUTE(SUBSTITUTE(SUBSTITUTE(SUBSTITUTE(SUBSTITUTE(SUBSTITUTE(TRIM($L914),"'",""),"İ","I"),"ı","I"),"i","I"),"Ş","S"),"ş","S"),"Ğ","G"),"ğ","G"),"Ü","U"),"ü","U"),"Ö","O"),"ö","O"),"Ç","C"),"ç","C"),".",""),",","")," ",""),"-","")))</f>
        <v/>
      </c>
      <c r="T914" s="3">
        <f>IF(OR($C914="",$D914&lt;&gt;"Gelir",$L914=""),"",IFERROR(INDEX(MUSTERILER!$B$7:$B$106,MATCH($S914,MUSTERILER!$T$7:$T$106,0)),""))</f>
        <v/>
      </c>
      <c r="U914" s="3">
        <f>IF($T914="","",$T914&amp;"|"&amp;COUNTIFS($T$7:$T914,$T914))</f>
        <v/>
      </c>
      <c r="V914" s="3">
        <f>IF($T914="",0,1)</f>
        <v/>
      </c>
      <c r="W914" s="3">
        <f>IF($C914="","",$D914&amp;"|"&amp;$E914&amp;"|"&amp;TEXT($C914,"0")&amp;"|"&amp;TEXT($G914,"0")&amp;"|"&amp;$J914)</f>
        <v/>
      </c>
      <c r="X914" s="3" t="n"/>
      <c r="Y914" s="3" t="n"/>
      <c r="Z914" s="3" t="n"/>
      <c r="AA914" s="3" t="n"/>
      <c r="AB914" s="3" t="n"/>
      <c r="AC914" s="3" t="n"/>
      <c r="AD914" s="3">
        <f>IF($C914="",0,SUMPRODUCT((AY_SONU!$O$7:$O$42="Evet")*(AY_SONU!$B$7:$B$42=DATE(YEAR($C914),MONTH($C914),1))))</f>
        <v/>
      </c>
    </row>
    <row r="915">
      <c r="A915" s="6" t="n"/>
      <c r="B915" s="113">
        <f>IF($C915="","","GG"&amp;TEXT(ROW()-6,"00000"))</f>
        <v/>
      </c>
      <c r="C915" s="220" t="n"/>
      <c r="D915" s="108" t="n"/>
      <c r="E915" s="109" t="n"/>
      <c r="F915" s="109" t="n"/>
      <c r="G915" s="221" t="n"/>
      <c r="H915" s="108" t="n"/>
      <c r="I915" s="108" t="n"/>
      <c r="J915" s="109" t="n"/>
      <c r="K915" s="109" t="n"/>
      <c r="L915" s="108" t="n"/>
      <c r="M915" s="121">
        <f>IF($C915="","",IF($D915="Gider",$E915,IF($L915&lt;&gt;"",$L915,$H915)))</f>
        <v/>
      </c>
      <c r="N915" s="121">
        <f>IF($C915="","",IF($D915="Gider",$H915,$E915))</f>
        <v/>
      </c>
      <c r="O915" s="226">
        <f>IF($C915="","",DATE(YEAR($C915),MONTH($C915),1))</f>
        <v/>
      </c>
      <c r="P915" s="113">
        <f>IF($C915="","",IF(AND($D915="Gelir",$L915&lt;&gt;"",$T915=""),"TANIMSIZ BORÇLU",IF($T915&lt;&gt;"",IF(OR($E915="",$G915&lt;=0),"EKSİK",IF($I915="Evet","TAHAKKUK NAKİT OLAMAZ",IF($C915&gt;TODAY(),"İLERİ TARİH","TAHAKKUK"))),IF(AND($D915&lt;&gt;"",$E915&lt;&gt;"",$G915&gt;0,$H915&lt;&gt;"",$I915&lt;&gt;""),IF($C915&gt;TODAY(),"İLERİ TARİH",IF(COUNTIF($W$7:$W$1206,$W915)&gt;1,"MÜKERRER?",IF($AD915&gt;0,"KAPALI DÖNEM",IF($I915="Hayır","ÖDENECEK","UYGUN")))),"EKSİK"))))</f>
        <v/>
      </c>
      <c r="Q915" s="6" t="n"/>
      <c r="R915" s="6" t="n"/>
      <c r="S915" s="3">
        <f>IF($L915="","",UPPER(SUBSTITUTE(SUBSTITUTE(SUBSTITUTE(SUBSTITUTE(SUBSTITUTE(SUBSTITUTE(SUBSTITUTE(SUBSTITUTE(SUBSTITUTE(SUBSTITUTE(SUBSTITUTE(SUBSTITUTE(SUBSTITUTE(SUBSTITUTE(SUBSTITUTE(SUBSTITUTE(SUBSTITUTE(SUBSTITUTE(TRIM($L915),"'",""),"İ","I"),"ı","I"),"i","I"),"Ş","S"),"ş","S"),"Ğ","G"),"ğ","G"),"Ü","U"),"ü","U"),"Ö","O"),"ö","O"),"Ç","C"),"ç","C"),".",""),",","")," ",""),"-","")))</f>
        <v/>
      </c>
      <c r="T915" s="3">
        <f>IF(OR($C915="",$D915&lt;&gt;"Gelir",$L915=""),"",IFERROR(INDEX(MUSTERILER!$B$7:$B$106,MATCH($S915,MUSTERILER!$T$7:$T$106,0)),""))</f>
        <v/>
      </c>
      <c r="U915" s="3">
        <f>IF($T915="","",$T915&amp;"|"&amp;COUNTIFS($T$7:$T915,$T915))</f>
        <v/>
      </c>
      <c r="V915" s="3">
        <f>IF($T915="",0,1)</f>
        <v/>
      </c>
      <c r="W915" s="3">
        <f>IF($C915="","",$D915&amp;"|"&amp;$E915&amp;"|"&amp;TEXT($C915,"0")&amp;"|"&amp;TEXT($G915,"0")&amp;"|"&amp;$J915)</f>
        <v/>
      </c>
      <c r="X915" s="3" t="n"/>
      <c r="Y915" s="3" t="n"/>
      <c r="Z915" s="3" t="n"/>
      <c r="AA915" s="3" t="n"/>
      <c r="AB915" s="3" t="n"/>
      <c r="AC915" s="3" t="n"/>
      <c r="AD915" s="3">
        <f>IF($C915="",0,SUMPRODUCT((AY_SONU!$O$7:$O$42="Evet")*(AY_SONU!$B$7:$B$42=DATE(YEAR($C915),MONTH($C915),1))))</f>
        <v/>
      </c>
    </row>
    <row r="916">
      <c r="A916" s="6" t="n"/>
      <c r="B916" s="113">
        <f>IF($C916="","","GG"&amp;TEXT(ROW()-6,"00000"))</f>
        <v/>
      </c>
      <c r="C916" s="220" t="n"/>
      <c r="D916" s="108" t="n"/>
      <c r="E916" s="109" t="n"/>
      <c r="F916" s="109" t="n"/>
      <c r="G916" s="221" t="n"/>
      <c r="H916" s="108" t="n"/>
      <c r="I916" s="108" t="n"/>
      <c r="J916" s="109" t="n"/>
      <c r="K916" s="109" t="n"/>
      <c r="L916" s="108" t="n"/>
      <c r="M916" s="121">
        <f>IF($C916="","",IF($D916="Gider",$E916,IF($L916&lt;&gt;"",$L916,$H916)))</f>
        <v/>
      </c>
      <c r="N916" s="121">
        <f>IF($C916="","",IF($D916="Gider",$H916,$E916))</f>
        <v/>
      </c>
      <c r="O916" s="226">
        <f>IF($C916="","",DATE(YEAR($C916),MONTH($C916),1))</f>
        <v/>
      </c>
      <c r="P916" s="113">
        <f>IF($C916="","",IF(AND($D916="Gelir",$L916&lt;&gt;"",$T916=""),"TANIMSIZ BORÇLU",IF($T916&lt;&gt;"",IF(OR($E916="",$G916&lt;=0),"EKSİK",IF($I916="Evet","TAHAKKUK NAKİT OLAMAZ",IF($C916&gt;TODAY(),"İLERİ TARİH","TAHAKKUK"))),IF(AND($D916&lt;&gt;"",$E916&lt;&gt;"",$G916&gt;0,$H916&lt;&gt;"",$I916&lt;&gt;""),IF($C916&gt;TODAY(),"İLERİ TARİH",IF(COUNTIF($W$7:$W$1206,$W916)&gt;1,"MÜKERRER?",IF($AD916&gt;0,"KAPALI DÖNEM",IF($I916="Hayır","ÖDENECEK","UYGUN")))),"EKSİK"))))</f>
        <v/>
      </c>
      <c r="Q916" s="6" t="n"/>
      <c r="R916" s="6" t="n"/>
      <c r="S916" s="3">
        <f>IF($L916="","",UPPER(SUBSTITUTE(SUBSTITUTE(SUBSTITUTE(SUBSTITUTE(SUBSTITUTE(SUBSTITUTE(SUBSTITUTE(SUBSTITUTE(SUBSTITUTE(SUBSTITUTE(SUBSTITUTE(SUBSTITUTE(SUBSTITUTE(SUBSTITUTE(SUBSTITUTE(SUBSTITUTE(SUBSTITUTE(SUBSTITUTE(TRIM($L916),"'",""),"İ","I"),"ı","I"),"i","I"),"Ş","S"),"ş","S"),"Ğ","G"),"ğ","G"),"Ü","U"),"ü","U"),"Ö","O"),"ö","O"),"Ç","C"),"ç","C"),".",""),",","")," ",""),"-","")))</f>
        <v/>
      </c>
      <c r="T916" s="3">
        <f>IF(OR($C916="",$D916&lt;&gt;"Gelir",$L916=""),"",IFERROR(INDEX(MUSTERILER!$B$7:$B$106,MATCH($S916,MUSTERILER!$T$7:$T$106,0)),""))</f>
        <v/>
      </c>
      <c r="U916" s="3">
        <f>IF($T916="","",$T916&amp;"|"&amp;COUNTIFS($T$7:$T916,$T916))</f>
        <v/>
      </c>
      <c r="V916" s="3">
        <f>IF($T916="",0,1)</f>
        <v/>
      </c>
      <c r="W916" s="3">
        <f>IF($C916="","",$D916&amp;"|"&amp;$E916&amp;"|"&amp;TEXT($C916,"0")&amp;"|"&amp;TEXT($G916,"0")&amp;"|"&amp;$J916)</f>
        <v/>
      </c>
      <c r="X916" s="3" t="n"/>
      <c r="Y916" s="3" t="n"/>
      <c r="Z916" s="3" t="n"/>
      <c r="AA916" s="3" t="n"/>
      <c r="AB916" s="3" t="n"/>
      <c r="AC916" s="3" t="n"/>
      <c r="AD916" s="3">
        <f>IF($C916="",0,SUMPRODUCT((AY_SONU!$O$7:$O$42="Evet")*(AY_SONU!$B$7:$B$42=DATE(YEAR($C916),MONTH($C916),1))))</f>
        <v/>
      </c>
    </row>
    <row r="917">
      <c r="A917" s="6" t="n"/>
      <c r="B917" s="113">
        <f>IF($C917="","","GG"&amp;TEXT(ROW()-6,"00000"))</f>
        <v/>
      </c>
      <c r="C917" s="220" t="n"/>
      <c r="D917" s="108" t="n"/>
      <c r="E917" s="109" t="n"/>
      <c r="F917" s="109" t="n"/>
      <c r="G917" s="221" t="n"/>
      <c r="H917" s="108" t="n"/>
      <c r="I917" s="108" t="n"/>
      <c r="J917" s="109" t="n"/>
      <c r="K917" s="109" t="n"/>
      <c r="L917" s="108" t="n"/>
      <c r="M917" s="121">
        <f>IF($C917="","",IF($D917="Gider",$E917,IF($L917&lt;&gt;"",$L917,$H917)))</f>
        <v/>
      </c>
      <c r="N917" s="121">
        <f>IF($C917="","",IF($D917="Gider",$H917,$E917))</f>
        <v/>
      </c>
      <c r="O917" s="226">
        <f>IF($C917="","",DATE(YEAR($C917),MONTH($C917),1))</f>
        <v/>
      </c>
      <c r="P917" s="113">
        <f>IF($C917="","",IF(AND($D917="Gelir",$L917&lt;&gt;"",$T917=""),"TANIMSIZ BORÇLU",IF($T917&lt;&gt;"",IF(OR($E917="",$G917&lt;=0),"EKSİK",IF($I917="Evet","TAHAKKUK NAKİT OLAMAZ",IF($C917&gt;TODAY(),"İLERİ TARİH","TAHAKKUK"))),IF(AND($D917&lt;&gt;"",$E917&lt;&gt;"",$G917&gt;0,$H917&lt;&gt;"",$I917&lt;&gt;""),IF($C917&gt;TODAY(),"İLERİ TARİH",IF(COUNTIF($W$7:$W$1206,$W917)&gt;1,"MÜKERRER?",IF($AD917&gt;0,"KAPALI DÖNEM",IF($I917="Hayır","ÖDENECEK","UYGUN")))),"EKSİK"))))</f>
        <v/>
      </c>
      <c r="Q917" s="6" t="n"/>
      <c r="R917" s="6" t="n"/>
      <c r="S917" s="3">
        <f>IF($L917="","",UPPER(SUBSTITUTE(SUBSTITUTE(SUBSTITUTE(SUBSTITUTE(SUBSTITUTE(SUBSTITUTE(SUBSTITUTE(SUBSTITUTE(SUBSTITUTE(SUBSTITUTE(SUBSTITUTE(SUBSTITUTE(SUBSTITUTE(SUBSTITUTE(SUBSTITUTE(SUBSTITUTE(SUBSTITUTE(SUBSTITUTE(TRIM($L917),"'",""),"İ","I"),"ı","I"),"i","I"),"Ş","S"),"ş","S"),"Ğ","G"),"ğ","G"),"Ü","U"),"ü","U"),"Ö","O"),"ö","O"),"Ç","C"),"ç","C"),".",""),",","")," ",""),"-","")))</f>
        <v/>
      </c>
      <c r="T917" s="3">
        <f>IF(OR($C917="",$D917&lt;&gt;"Gelir",$L917=""),"",IFERROR(INDEX(MUSTERILER!$B$7:$B$106,MATCH($S917,MUSTERILER!$T$7:$T$106,0)),""))</f>
        <v/>
      </c>
      <c r="U917" s="3">
        <f>IF($T917="","",$T917&amp;"|"&amp;COUNTIFS($T$7:$T917,$T917))</f>
        <v/>
      </c>
      <c r="V917" s="3">
        <f>IF($T917="",0,1)</f>
        <v/>
      </c>
      <c r="W917" s="3">
        <f>IF($C917="","",$D917&amp;"|"&amp;$E917&amp;"|"&amp;TEXT($C917,"0")&amp;"|"&amp;TEXT($G917,"0")&amp;"|"&amp;$J917)</f>
        <v/>
      </c>
      <c r="X917" s="3" t="n"/>
      <c r="Y917" s="3" t="n"/>
      <c r="Z917" s="3" t="n"/>
      <c r="AA917" s="3" t="n"/>
      <c r="AB917" s="3" t="n"/>
      <c r="AC917" s="3" t="n"/>
      <c r="AD917" s="3">
        <f>IF($C917="",0,SUMPRODUCT((AY_SONU!$O$7:$O$42="Evet")*(AY_SONU!$B$7:$B$42=DATE(YEAR($C917),MONTH($C917),1))))</f>
        <v/>
      </c>
    </row>
    <row r="918">
      <c r="A918" s="6" t="n"/>
      <c r="B918" s="113">
        <f>IF($C918="","","GG"&amp;TEXT(ROW()-6,"00000"))</f>
        <v/>
      </c>
      <c r="C918" s="220" t="n"/>
      <c r="D918" s="108" t="n"/>
      <c r="E918" s="109" t="n"/>
      <c r="F918" s="109" t="n"/>
      <c r="G918" s="221" t="n"/>
      <c r="H918" s="108" t="n"/>
      <c r="I918" s="108" t="n"/>
      <c r="J918" s="109" t="n"/>
      <c r="K918" s="109" t="n"/>
      <c r="L918" s="108" t="n"/>
      <c r="M918" s="121">
        <f>IF($C918="","",IF($D918="Gider",$E918,IF($L918&lt;&gt;"",$L918,$H918)))</f>
        <v/>
      </c>
      <c r="N918" s="121">
        <f>IF($C918="","",IF($D918="Gider",$H918,$E918))</f>
        <v/>
      </c>
      <c r="O918" s="226">
        <f>IF($C918="","",DATE(YEAR($C918),MONTH($C918),1))</f>
        <v/>
      </c>
      <c r="P918" s="113">
        <f>IF($C918="","",IF(AND($D918="Gelir",$L918&lt;&gt;"",$T918=""),"TANIMSIZ BORÇLU",IF($T918&lt;&gt;"",IF(OR($E918="",$G918&lt;=0),"EKSİK",IF($I918="Evet","TAHAKKUK NAKİT OLAMAZ",IF($C918&gt;TODAY(),"İLERİ TARİH","TAHAKKUK"))),IF(AND($D918&lt;&gt;"",$E918&lt;&gt;"",$G918&gt;0,$H918&lt;&gt;"",$I918&lt;&gt;""),IF($C918&gt;TODAY(),"İLERİ TARİH",IF(COUNTIF($W$7:$W$1206,$W918)&gt;1,"MÜKERRER?",IF($AD918&gt;0,"KAPALI DÖNEM",IF($I918="Hayır","ÖDENECEK","UYGUN")))),"EKSİK"))))</f>
        <v/>
      </c>
      <c r="Q918" s="6" t="n"/>
      <c r="R918" s="6" t="n"/>
      <c r="S918" s="3">
        <f>IF($L918="","",UPPER(SUBSTITUTE(SUBSTITUTE(SUBSTITUTE(SUBSTITUTE(SUBSTITUTE(SUBSTITUTE(SUBSTITUTE(SUBSTITUTE(SUBSTITUTE(SUBSTITUTE(SUBSTITUTE(SUBSTITUTE(SUBSTITUTE(SUBSTITUTE(SUBSTITUTE(SUBSTITUTE(SUBSTITUTE(SUBSTITUTE(TRIM($L918),"'",""),"İ","I"),"ı","I"),"i","I"),"Ş","S"),"ş","S"),"Ğ","G"),"ğ","G"),"Ü","U"),"ü","U"),"Ö","O"),"ö","O"),"Ç","C"),"ç","C"),".",""),",","")," ",""),"-","")))</f>
        <v/>
      </c>
      <c r="T918" s="3">
        <f>IF(OR($C918="",$D918&lt;&gt;"Gelir",$L918=""),"",IFERROR(INDEX(MUSTERILER!$B$7:$B$106,MATCH($S918,MUSTERILER!$T$7:$T$106,0)),""))</f>
        <v/>
      </c>
      <c r="U918" s="3">
        <f>IF($T918="","",$T918&amp;"|"&amp;COUNTIFS($T$7:$T918,$T918))</f>
        <v/>
      </c>
      <c r="V918" s="3">
        <f>IF($T918="",0,1)</f>
        <v/>
      </c>
      <c r="W918" s="3">
        <f>IF($C918="","",$D918&amp;"|"&amp;$E918&amp;"|"&amp;TEXT($C918,"0")&amp;"|"&amp;TEXT($G918,"0")&amp;"|"&amp;$J918)</f>
        <v/>
      </c>
      <c r="X918" s="3" t="n"/>
      <c r="Y918" s="3" t="n"/>
      <c r="Z918" s="3" t="n"/>
      <c r="AA918" s="3" t="n"/>
      <c r="AB918" s="3" t="n"/>
      <c r="AC918" s="3" t="n"/>
      <c r="AD918" s="3">
        <f>IF($C918="",0,SUMPRODUCT((AY_SONU!$O$7:$O$42="Evet")*(AY_SONU!$B$7:$B$42=DATE(YEAR($C918),MONTH($C918),1))))</f>
        <v/>
      </c>
    </row>
    <row r="919">
      <c r="A919" s="6" t="n"/>
      <c r="B919" s="113">
        <f>IF($C919="","","GG"&amp;TEXT(ROW()-6,"00000"))</f>
        <v/>
      </c>
      <c r="C919" s="220" t="n"/>
      <c r="D919" s="108" t="n"/>
      <c r="E919" s="109" t="n"/>
      <c r="F919" s="109" t="n"/>
      <c r="G919" s="221" t="n"/>
      <c r="H919" s="108" t="n"/>
      <c r="I919" s="108" t="n"/>
      <c r="J919" s="109" t="n"/>
      <c r="K919" s="109" t="n"/>
      <c r="L919" s="108" t="n"/>
      <c r="M919" s="121">
        <f>IF($C919="","",IF($D919="Gider",$E919,IF($L919&lt;&gt;"",$L919,$H919)))</f>
        <v/>
      </c>
      <c r="N919" s="121">
        <f>IF($C919="","",IF($D919="Gider",$H919,$E919))</f>
        <v/>
      </c>
      <c r="O919" s="226">
        <f>IF($C919="","",DATE(YEAR($C919),MONTH($C919),1))</f>
        <v/>
      </c>
      <c r="P919" s="113">
        <f>IF($C919="","",IF(AND($D919="Gelir",$L919&lt;&gt;"",$T919=""),"TANIMSIZ BORÇLU",IF($T919&lt;&gt;"",IF(OR($E919="",$G919&lt;=0),"EKSİK",IF($I919="Evet","TAHAKKUK NAKİT OLAMAZ",IF($C919&gt;TODAY(),"İLERİ TARİH","TAHAKKUK"))),IF(AND($D919&lt;&gt;"",$E919&lt;&gt;"",$G919&gt;0,$H919&lt;&gt;"",$I919&lt;&gt;""),IF($C919&gt;TODAY(),"İLERİ TARİH",IF(COUNTIF($W$7:$W$1206,$W919)&gt;1,"MÜKERRER?",IF($AD919&gt;0,"KAPALI DÖNEM",IF($I919="Hayır","ÖDENECEK","UYGUN")))),"EKSİK"))))</f>
        <v/>
      </c>
      <c r="Q919" s="6" t="n"/>
      <c r="R919" s="6" t="n"/>
      <c r="S919" s="3">
        <f>IF($L919="","",UPPER(SUBSTITUTE(SUBSTITUTE(SUBSTITUTE(SUBSTITUTE(SUBSTITUTE(SUBSTITUTE(SUBSTITUTE(SUBSTITUTE(SUBSTITUTE(SUBSTITUTE(SUBSTITUTE(SUBSTITUTE(SUBSTITUTE(SUBSTITUTE(SUBSTITUTE(SUBSTITUTE(SUBSTITUTE(SUBSTITUTE(TRIM($L919),"'",""),"İ","I"),"ı","I"),"i","I"),"Ş","S"),"ş","S"),"Ğ","G"),"ğ","G"),"Ü","U"),"ü","U"),"Ö","O"),"ö","O"),"Ç","C"),"ç","C"),".",""),",","")," ",""),"-","")))</f>
        <v/>
      </c>
      <c r="T919" s="3">
        <f>IF(OR($C919="",$D919&lt;&gt;"Gelir",$L919=""),"",IFERROR(INDEX(MUSTERILER!$B$7:$B$106,MATCH($S919,MUSTERILER!$T$7:$T$106,0)),""))</f>
        <v/>
      </c>
      <c r="U919" s="3">
        <f>IF($T919="","",$T919&amp;"|"&amp;COUNTIFS($T$7:$T919,$T919))</f>
        <v/>
      </c>
      <c r="V919" s="3">
        <f>IF($T919="",0,1)</f>
        <v/>
      </c>
      <c r="W919" s="3">
        <f>IF($C919="","",$D919&amp;"|"&amp;$E919&amp;"|"&amp;TEXT($C919,"0")&amp;"|"&amp;TEXT($G919,"0")&amp;"|"&amp;$J919)</f>
        <v/>
      </c>
      <c r="X919" s="3" t="n"/>
      <c r="Y919" s="3" t="n"/>
      <c r="Z919" s="3" t="n"/>
      <c r="AA919" s="3" t="n"/>
      <c r="AB919" s="3" t="n"/>
      <c r="AC919" s="3" t="n"/>
      <c r="AD919" s="3">
        <f>IF($C919="",0,SUMPRODUCT((AY_SONU!$O$7:$O$42="Evet")*(AY_SONU!$B$7:$B$42=DATE(YEAR($C919),MONTH($C919),1))))</f>
        <v/>
      </c>
    </row>
    <row r="920">
      <c r="A920" s="6" t="n"/>
      <c r="B920" s="113">
        <f>IF($C920="","","GG"&amp;TEXT(ROW()-6,"00000"))</f>
        <v/>
      </c>
      <c r="C920" s="220" t="n"/>
      <c r="D920" s="108" t="n"/>
      <c r="E920" s="109" t="n"/>
      <c r="F920" s="109" t="n"/>
      <c r="G920" s="221" t="n"/>
      <c r="H920" s="108" t="n"/>
      <c r="I920" s="108" t="n"/>
      <c r="J920" s="109" t="n"/>
      <c r="K920" s="109" t="n"/>
      <c r="L920" s="108" t="n"/>
      <c r="M920" s="121">
        <f>IF($C920="","",IF($D920="Gider",$E920,IF($L920&lt;&gt;"",$L920,$H920)))</f>
        <v/>
      </c>
      <c r="N920" s="121">
        <f>IF($C920="","",IF($D920="Gider",$H920,$E920))</f>
        <v/>
      </c>
      <c r="O920" s="226">
        <f>IF($C920="","",DATE(YEAR($C920),MONTH($C920),1))</f>
        <v/>
      </c>
      <c r="P920" s="113">
        <f>IF($C920="","",IF(AND($D920="Gelir",$L920&lt;&gt;"",$T920=""),"TANIMSIZ BORÇLU",IF($T920&lt;&gt;"",IF(OR($E920="",$G920&lt;=0),"EKSİK",IF($I920="Evet","TAHAKKUK NAKİT OLAMAZ",IF($C920&gt;TODAY(),"İLERİ TARİH","TAHAKKUK"))),IF(AND($D920&lt;&gt;"",$E920&lt;&gt;"",$G920&gt;0,$H920&lt;&gt;"",$I920&lt;&gt;""),IF($C920&gt;TODAY(),"İLERİ TARİH",IF(COUNTIF($W$7:$W$1206,$W920)&gt;1,"MÜKERRER?",IF($AD920&gt;0,"KAPALI DÖNEM",IF($I920="Hayır","ÖDENECEK","UYGUN")))),"EKSİK"))))</f>
        <v/>
      </c>
      <c r="Q920" s="6" t="n"/>
      <c r="R920" s="6" t="n"/>
      <c r="S920" s="3">
        <f>IF($L920="","",UPPER(SUBSTITUTE(SUBSTITUTE(SUBSTITUTE(SUBSTITUTE(SUBSTITUTE(SUBSTITUTE(SUBSTITUTE(SUBSTITUTE(SUBSTITUTE(SUBSTITUTE(SUBSTITUTE(SUBSTITUTE(SUBSTITUTE(SUBSTITUTE(SUBSTITUTE(SUBSTITUTE(SUBSTITUTE(SUBSTITUTE(TRIM($L920),"'",""),"İ","I"),"ı","I"),"i","I"),"Ş","S"),"ş","S"),"Ğ","G"),"ğ","G"),"Ü","U"),"ü","U"),"Ö","O"),"ö","O"),"Ç","C"),"ç","C"),".",""),",","")," ",""),"-","")))</f>
        <v/>
      </c>
      <c r="T920" s="3">
        <f>IF(OR($C920="",$D920&lt;&gt;"Gelir",$L920=""),"",IFERROR(INDEX(MUSTERILER!$B$7:$B$106,MATCH($S920,MUSTERILER!$T$7:$T$106,0)),""))</f>
        <v/>
      </c>
      <c r="U920" s="3">
        <f>IF($T920="","",$T920&amp;"|"&amp;COUNTIFS($T$7:$T920,$T920))</f>
        <v/>
      </c>
      <c r="V920" s="3">
        <f>IF($T920="",0,1)</f>
        <v/>
      </c>
      <c r="W920" s="3">
        <f>IF($C920="","",$D920&amp;"|"&amp;$E920&amp;"|"&amp;TEXT($C920,"0")&amp;"|"&amp;TEXT($G920,"0")&amp;"|"&amp;$J920)</f>
        <v/>
      </c>
      <c r="X920" s="3" t="n"/>
      <c r="Y920" s="3" t="n"/>
      <c r="Z920" s="3" t="n"/>
      <c r="AA920" s="3" t="n"/>
      <c r="AB920" s="3" t="n"/>
      <c r="AC920" s="3" t="n"/>
      <c r="AD920" s="3">
        <f>IF($C920="",0,SUMPRODUCT((AY_SONU!$O$7:$O$42="Evet")*(AY_SONU!$B$7:$B$42=DATE(YEAR($C920),MONTH($C920),1))))</f>
        <v/>
      </c>
    </row>
    <row r="921">
      <c r="A921" s="6" t="n"/>
      <c r="B921" s="113">
        <f>IF($C921="","","GG"&amp;TEXT(ROW()-6,"00000"))</f>
        <v/>
      </c>
      <c r="C921" s="220" t="n"/>
      <c r="D921" s="108" t="n"/>
      <c r="E921" s="109" t="n"/>
      <c r="F921" s="109" t="n"/>
      <c r="G921" s="221" t="n"/>
      <c r="H921" s="108" t="n"/>
      <c r="I921" s="108" t="n"/>
      <c r="J921" s="109" t="n"/>
      <c r="K921" s="109" t="n"/>
      <c r="L921" s="108" t="n"/>
      <c r="M921" s="121">
        <f>IF($C921="","",IF($D921="Gider",$E921,IF($L921&lt;&gt;"",$L921,$H921)))</f>
        <v/>
      </c>
      <c r="N921" s="121">
        <f>IF($C921="","",IF($D921="Gider",$H921,$E921))</f>
        <v/>
      </c>
      <c r="O921" s="226">
        <f>IF($C921="","",DATE(YEAR($C921),MONTH($C921),1))</f>
        <v/>
      </c>
      <c r="P921" s="113">
        <f>IF($C921="","",IF(AND($D921="Gelir",$L921&lt;&gt;"",$T921=""),"TANIMSIZ BORÇLU",IF($T921&lt;&gt;"",IF(OR($E921="",$G921&lt;=0),"EKSİK",IF($I921="Evet","TAHAKKUK NAKİT OLAMAZ",IF($C921&gt;TODAY(),"İLERİ TARİH","TAHAKKUK"))),IF(AND($D921&lt;&gt;"",$E921&lt;&gt;"",$G921&gt;0,$H921&lt;&gt;"",$I921&lt;&gt;""),IF($C921&gt;TODAY(),"İLERİ TARİH",IF(COUNTIF($W$7:$W$1206,$W921)&gt;1,"MÜKERRER?",IF($AD921&gt;0,"KAPALI DÖNEM",IF($I921="Hayır","ÖDENECEK","UYGUN")))),"EKSİK"))))</f>
        <v/>
      </c>
      <c r="Q921" s="6" t="n"/>
      <c r="R921" s="6" t="n"/>
      <c r="S921" s="3">
        <f>IF($L921="","",UPPER(SUBSTITUTE(SUBSTITUTE(SUBSTITUTE(SUBSTITUTE(SUBSTITUTE(SUBSTITUTE(SUBSTITUTE(SUBSTITUTE(SUBSTITUTE(SUBSTITUTE(SUBSTITUTE(SUBSTITUTE(SUBSTITUTE(SUBSTITUTE(SUBSTITUTE(SUBSTITUTE(SUBSTITUTE(SUBSTITUTE(TRIM($L921),"'",""),"İ","I"),"ı","I"),"i","I"),"Ş","S"),"ş","S"),"Ğ","G"),"ğ","G"),"Ü","U"),"ü","U"),"Ö","O"),"ö","O"),"Ç","C"),"ç","C"),".",""),",","")," ",""),"-","")))</f>
        <v/>
      </c>
      <c r="T921" s="3">
        <f>IF(OR($C921="",$D921&lt;&gt;"Gelir",$L921=""),"",IFERROR(INDEX(MUSTERILER!$B$7:$B$106,MATCH($S921,MUSTERILER!$T$7:$T$106,0)),""))</f>
        <v/>
      </c>
      <c r="U921" s="3">
        <f>IF($T921="","",$T921&amp;"|"&amp;COUNTIFS($T$7:$T921,$T921))</f>
        <v/>
      </c>
      <c r="V921" s="3">
        <f>IF($T921="",0,1)</f>
        <v/>
      </c>
      <c r="W921" s="3">
        <f>IF($C921="","",$D921&amp;"|"&amp;$E921&amp;"|"&amp;TEXT($C921,"0")&amp;"|"&amp;TEXT($G921,"0")&amp;"|"&amp;$J921)</f>
        <v/>
      </c>
      <c r="X921" s="3" t="n"/>
      <c r="Y921" s="3" t="n"/>
      <c r="Z921" s="3" t="n"/>
      <c r="AA921" s="3" t="n"/>
      <c r="AB921" s="3" t="n"/>
      <c r="AC921" s="3" t="n"/>
      <c r="AD921" s="3">
        <f>IF($C921="",0,SUMPRODUCT((AY_SONU!$O$7:$O$42="Evet")*(AY_SONU!$B$7:$B$42=DATE(YEAR($C921),MONTH($C921),1))))</f>
        <v/>
      </c>
    </row>
    <row r="922">
      <c r="A922" s="6" t="n"/>
      <c r="B922" s="113">
        <f>IF($C922="","","GG"&amp;TEXT(ROW()-6,"00000"))</f>
        <v/>
      </c>
      <c r="C922" s="220" t="n"/>
      <c r="D922" s="108" t="n"/>
      <c r="E922" s="109" t="n"/>
      <c r="F922" s="109" t="n"/>
      <c r="G922" s="221" t="n"/>
      <c r="H922" s="108" t="n"/>
      <c r="I922" s="108" t="n"/>
      <c r="J922" s="109" t="n"/>
      <c r="K922" s="109" t="n"/>
      <c r="L922" s="108" t="n"/>
      <c r="M922" s="121">
        <f>IF($C922="","",IF($D922="Gider",$E922,IF($L922&lt;&gt;"",$L922,$H922)))</f>
        <v/>
      </c>
      <c r="N922" s="121">
        <f>IF($C922="","",IF($D922="Gider",$H922,$E922))</f>
        <v/>
      </c>
      <c r="O922" s="226">
        <f>IF($C922="","",DATE(YEAR($C922),MONTH($C922),1))</f>
        <v/>
      </c>
      <c r="P922" s="113">
        <f>IF($C922="","",IF(AND($D922="Gelir",$L922&lt;&gt;"",$T922=""),"TANIMSIZ BORÇLU",IF($T922&lt;&gt;"",IF(OR($E922="",$G922&lt;=0),"EKSİK",IF($I922="Evet","TAHAKKUK NAKİT OLAMAZ",IF($C922&gt;TODAY(),"İLERİ TARİH","TAHAKKUK"))),IF(AND($D922&lt;&gt;"",$E922&lt;&gt;"",$G922&gt;0,$H922&lt;&gt;"",$I922&lt;&gt;""),IF($C922&gt;TODAY(),"İLERİ TARİH",IF(COUNTIF($W$7:$W$1206,$W922)&gt;1,"MÜKERRER?",IF($AD922&gt;0,"KAPALI DÖNEM",IF($I922="Hayır","ÖDENECEK","UYGUN")))),"EKSİK"))))</f>
        <v/>
      </c>
      <c r="Q922" s="6" t="n"/>
      <c r="R922" s="6" t="n"/>
      <c r="S922" s="3">
        <f>IF($L922="","",UPPER(SUBSTITUTE(SUBSTITUTE(SUBSTITUTE(SUBSTITUTE(SUBSTITUTE(SUBSTITUTE(SUBSTITUTE(SUBSTITUTE(SUBSTITUTE(SUBSTITUTE(SUBSTITUTE(SUBSTITUTE(SUBSTITUTE(SUBSTITUTE(SUBSTITUTE(SUBSTITUTE(SUBSTITUTE(SUBSTITUTE(TRIM($L922),"'",""),"İ","I"),"ı","I"),"i","I"),"Ş","S"),"ş","S"),"Ğ","G"),"ğ","G"),"Ü","U"),"ü","U"),"Ö","O"),"ö","O"),"Ç","C"),"ç","C"),".",""),",","")," ",""),"-","")))</f>
        <v/>
      </c>
      <c r="T922" s="3">
        <f>IF(OR($C922="",$D922&lt;&gt;"Gelir",$L922=""),"",IFERROR(INDEX(MUSTERILER!$B$7:$B$106,MATCH($S922,MUSTERILER!$T$7:$T$106,0)),""))</f>
        <v/>
      </c>
      <c r="U922" s="3">
        <f>IF($T922="","",$T922&amp;"|"&amp;COUNTIFS($T$7:$T922,$T922))</f>
        <v/>
      </c>
      <c r="V922" s="3">
        <f>IF($T922="",0,1)</f>
        <v/>
      </c>
      <c r="W922" s="3">
        <f>IF($C922="","",$D922&amp;"|"&amp;$E922&amp;"|"&amp;TEXT($C922,"0")&amp;"|"&amp;TEXT($G922,"0")&amp;"|"&amp;$J922)</f>
        <v/>
      </c>
      <c r="X922" s="3" t="n"/>
      <c r="Y922" s="3" t="n"/>
      <c r="Z922" s="3" t="n"/>
      <c r="AA922" s="3" t="n"/>
      <c r="AB922" s="3" t="n"/>
      <c r="AC922" s="3" t="n"/>
      <c r="AD922" s="3">
        <f>IF($C922="",0,SUMPRODUCT((AY_SONU!$O$7:$O$42="Evet")*(AY_SONU!$B$7:$B$42=DATE(YEAR($C922),MONTH($C922),1))))</f>
        <v/>
      </c>
    </row>
    <row r="923">
      <c r="A923" s="6" t="n"/>
      <c r="B923" s="113">
        <f>IF($C923="","","GG"&amp;TEXT(ROW()-6,"00000"))</f>
        <v/>
      </c>
      <c r="C923" s="220" t="n"/>
      <c r="D923" s="108" t="n"/>
      <c r="E923" s="109" t="n"/>
      <c r="F923" s="109" t="n"/>
      <c r="G923" s="221" t="n"/>
      <c r="H923" s="108" t="n"/>
      <c r="I923" s="108" t="n"/>
      <c r="J923" s="109" t="n"/>
      <c r="K923" s="109" t="n"/>
      <c r="L923" s="108" t="n"/>
      <c r="M923" s="121">
        <f>IF($C923="","",IF($D923="Gider",$E923,IF($L923&lt;&gt;"",$L923,$H923)))</f>
        <v/>
      </c>
      <c r="N923" s="121">
        <f>IF($C923="","",IF($D923="Gider",$H923,$E923))</f>
        <v/>
      </c>
      <c r="O923" s="226">
        <f>IF($C923="","",DATE(YEAR($C923),MONTH($C923),1))</f>
        <v/>
      </c>
      <c r="P923" s="113">
        <f>IF($C923="","",IF(AND($D923="Gelir",$L923&lt;&gt;"",$T923=""),"TANIMSIZ BORÇLU",IF($T923&lt;&gt;"",IF(OR($E923="",$G923&lt;=0),"EKSİK",IF($I923="Evet","TAHAKKUK NAKİT OLAMAZ",IF($C923&gt;TODAY(),"İLERİ TARİH","TAHAKKUK"))),IF(AND($D923&lt;&gt;"",$E923&lt;&gt;"",$G923&gt;0,$H923&lt;&gt;"",$I923&lt;&gt;""),IF($C923&gt;TODAY(),"İLERİ TARİH",IF(COUNTIF($W$7:$W$1206,$W923)&gt;1,"MÜKERRER?",IF($AD923&gt;0,"KAPALI DÖNEM",IF($I923="Hayır","ÖDENECEK","UYGUN")))),"EKSİK"))))</f>
        <v/>
      </c>
      <c r="Q923" s="6" t="n"/>
      <c r="R923" s="6" t="n"/>
      <c r="S923" s="3">
        <f>IF($L923="","",UPPER(SUBSTITUTE(SUBSTITUTE(SUBSTITUTE(SUBSTITUTE(SUBSTITUTE(SUBSTITUTE(SUBSTITUTE(SUBSTITUTE(SUBSTITUTE(SUBSTITUTE(SUBSTITUTE(SUBSTITUTE(SUBSTITUTE(SUBSTITUTE(SUBSTITUTE(SUBSTITUTE(SUBSTITUTE(SUBSTITUTE(TRIM($L923),"'",""),"İ","I"),"ı","I"),"i","I"),"Ş","S"),"ş","S"),"Ğ","G"),"ğ","G"),"Ü","U"),"ü","U"),"Ö","O"),"ö","O"),"Ç","C"),"ç","C"),".",""),",","")," ",""),"-","")))</f>
        <v/>
      </c>
      <c r="T923" s="3">
        <f>IF(OR($C923="",$D923&lt;&gt;"Gelir",$L923=""),"",IFERROR(INDEX(MUSTERILER!$B$7:$B$106,MATCH($S923,MUSTERILER!$T$7:$T$106,0)),""))</f>
        <v/>
      </c>
      <c r="U923" s="3">
        <f>IF($T923="","",$T923&amp;"|"&amp;COUNTIFS($T$7:$T923,$T923))</f>
        <v/>
      </c>
      <c r="V923" s="3">
        <f>IF($T923="",0,1)</f>
        <v/>
      </c>
      <c r="W923" s="3">
        <f>IF($C923="","",$D923&amp;"|"&amp;$E923&amp;"|"&amp;TEXT($C923,"0")&amp;"|"&amp;TEXT($G923,"0")&amp;"|"&amp;$J923)</f>
        <v/>
      </c>
      <c r="X923" s="3" t="n"/>
      <c r="Y923" s="3" t="n"/>
      <c r="Z923" s="3" t="n"/>
      <c r="AA923" s="3" t="n"/>
      <c r="AB923" s="3" t="n"/>
      <c r="AC923" s="3" t="n"/>
      <c r="AD923" s="3">
        <f>IF($C923="",0,SUMPRODUCT((AY_SONU!$O$7:$O$42="Evet")*(AY_SONU!$B$7:$B$42=DATE(YEAR($C923),MONTH($C923),1))))</f>
        <v/>
      </c>
    </row>
    <row r="924">
      <c r="A924" s="6" t="n"/>
      <c r="B924" s="113">
        <f>IF($C924="","","GG"&amp;TEXT(ROW()-6,"00000"))</f>
        <v/>
      </c>
      <c r="C924" s="220" t="n"/>
      <c r="D924" s="108" t="n"/>
      <c r="E924" s="109" t="n"/>
      <c r="F924" s="109" t="n"/>
      <c r="G924" s="221" t="n"/>
      <c r="H924" s="108" t="n"/>
      <c r="I924" s="108" t="n"/>
      <c r="J924" s="109" t="n"/>
      <c r="K924" s="109" t="n"/>
      <c r="L924" s="108" t="n"/>
      <c r="M924" s="121">
        <f>IF($C924="","",IF($D924="Gider",$E924,IF($L924&lt;&gt;"",$L924,$H924)))</f>
        <v/>
      </c>
      <c r="N924" s="121">
        <f>IF($C924="","",IF($D924="Gider",$H924,$E924))</f>
        <v/>
      </c>
      <c r="O924" s="226">
        <f>IF($C924="","",DATE(YEAR($C924),MONTH($C924),1))</f>
        <v/>
      </c>
      <c r="P924" s="113">
        <f>IF($C924="","",IF(AND($D924="Gelir",$L924&lt;&gt;"",$T924=""),"TANIMSIZ BORÇLU",IF($T924&lt;&gt;"",IF(OR($E924="",$G924&lt;=0),"EKSİK",IF($I924="Evet","TAHAKKUK NAKİT OLAMAZ",IF($C924&gt;TODAY(),"İLERİ TARİH","TAHAKKUK"))),IF(AND($D924&lt;&gt;"",$E924&lt;&gt;"",$G924&gt;0,$H924&lt;&gt;"",$I924&lt;&gt;""),IF($C924&gt;TODAY(),"İLERİ TARİH",IF(COUNTIF($W$7:$W$1206,$W924)&gt;1,"MÜKERRER?",IF($AD924&gt;0,"KAPALI DÖNEM",IF($I924="Hayır","ÖDENECEK","UYGUN")))),"EKSİK"))))</f>
        <v/>
      </c>
      <c r="Q924" s="6" t="n"/>
      <c r="R924" s="6" t="n"/>
      <c r="S924" s="3">
        <f>IF($L924="","",UPPER(SUBSTITUTE(SUBSTITUTE(SUBSTITUTE(SUBSTITUTE(SUBSTITUTE(SUBSTITUTE(SUBSTITUTE(SUBSTITUTE(SUBSTITUTE(SUBSTITUTE(SUBSTITUTE(SUBSTITUTE(SUBSTITUTE(SUBSTITUTE(SUBSTITUTE(SUBSTITUTE(SUBSTITUTE(SUBSTITUTE(TRIM($L924),"'",""),"İ","I"),"ı","I"),"i","I"),"Ş","S"),"ş","S"),"Ğ","G"),"ğ","G"),"Ü","U"),"ü","U"),"Ö","O"),"ö","O"),"Ç","C"),"ç","C"),".",""),",","")," ",""),"-","")))</f>
        <v/>
      </c>
      <c r="T924" s="3">
        <f>IF(OR($C924="",$D924&lt;&gt;"Gelir",$L924=""),"",IFERROR(INDEX(MUSTERILER!$B$7:$B$106,MATCH($S924,MUSTERILER!$T$7:$T$106,0)),""))</f>
        <v/>
      </c>
      <c r="U924" s="3">
        <f>IF($T924="","",$T924&amp;"|"&amp;COUNTIFS($T$7:$T924,$T924))</f>
        <v/>
      </c>
      <c r="V924" s="3">
        <f>IF($T924="",0,1)</f>
        <v/>
      </c>
      <c r="W924" s="3">
        <f>IF($C924="","",$D924&amp;"|"&amp;$E924&amp;"|"&amp;TEXT($C924,"0")&amp;"|"&amp;TEXT($G924,"0")&amp;"|"&amp;$J924)</f>
        <v/>
      </c>
      <c r="X924" s="3" t="n"/>
      <c r="Y924" s="3" t="n"/>
      <c r="Z924" s="3" t="n"/>
      <c r="AA924" s="3" t="n"/>
      <c r="AB924" s="3" t="n"/>
      <c r="AC924" s="3" t="n"/>
      <c r="AD924" s="3">
        <f>IF($C924="",0,SUMPRODUCT((AY_SONU!$O$7:$O$42="Evet")*(AY_SONU!$B$7:$B$42=DATE(YEAR($C924),MONTH($C924),1))))</f>
        <v/>
      </c>
    </row>
    <row r="925">
      <c r="A925" s="6" t="n"/>
      <c r="B925" s="113">
        <f>IF($C925="","","GG"&amp;TEXT(ROW()-6,"00000"))</f>
        <v/>
      </c>
      <c r="C925" s="220" t="n"/>
      <c r="D925" s="108" t="n"/>
      <c r="E925" s="109" t="n"/>
      <c r="F925" s="109" t="n"/>
      <c r="G925" s="221" t="n"/>
      <c r="H925" s="108" t="n"/>
      <c r="I925" s="108" t="n"/>
      <c r="J925" s="109" t="n"/>
      <c r="K925" s="109" t="n"/>
      <c r="L925" s="108" t="n"/>
      <c r="M925" s="121">
        <f>IF($C925="","",IF($D925="Gider",$E925,IF($L925&lt;&gt;"",$L925,$H925)))</f>
        <v/>
      </c>
      <c r="N925" s="121">
        <f>IF($C925="","",IF($D925="Gider",$H925,$E925))</f>
        <v/>
      </c>
      <c r="O925" s="226">
        <f>IF($C925="","",DATE(YEAR($C925),MONTH($C925),1))</f>
        <v/>
      </c>
      <c r="P925" s="113">
        <f>IF($C925="","",IF(AND($D925="Gelir",$L925&lt;&gt;"",$T925=""),"TANIMSIZ BORÇLU",IF($T925&lt;&gt;"",IF(OR($E925="",$G925&lt;=0),"EKSİK",IF($I925="Evet","TAHAKKUK NAKİT OLAMAZ",IF($C925&gt;TODAY(),"İLERİ TARİH","TAHAKKUK"))),IF(AND($D925&lt;&gt;"",$E925&lt;&gt;"",$G925&gt;0,$H925&lt;&gt;"",$I925&lt;&gt;""),IF($C925&gt;TODAY(),"İLERİ TARİH",IF(COUNTIF($W$7:$W$1206,$W925)&gt;1,"MÜKERRER?",IF($AD925&gt;0,"KAPALI DÖNEM",IF($I925="Hayır","ÖDENECEK","UYGUN")))),"EKSİK"))))</f>
        <v/>
      </c>
      <c r="Q925" s="6" t="n"/>
      <c r="R925" s="6" t="n"/>
      <c r="S925" s="3">
        <f>IF($L925="","",UPPER(SUBSTITUTE(SUBSTITUTE(SUBSTITUTE(SUBSTITUTE(SUBSTITUTE(SUBSTITUTE(SUBSTITUTE(SUBSTITUTE(SUBSTITUTE(SUBSTITUTE(SUBSTITUTE(SUBSTITUTE(SUBSTITUTE(SUBSTITUTE(SUBSTITUTE(SUBSTITUTE(SUBSTITUTE(SUBSTITUTE(TRIM($L925),"'",""),"İ","I"),"ı","I"),"i","I"),"Ş","S"),"ş","S"),"Ğ","G"),"ğ","G"),"Ü","U"),"ü","U"),"Ö","O"),"ö","O"),"Ç","C"),"ç","C"),".",""),",","")," ",""),"-","")))</f>
        <v/>
      </c>
      <c r="T925" s="3">
        <f>IF(OR($C925="",$D925&lt;&gt;"Gelir",$L925=""),"",IFERROR(INDEX(MUSTERILER!$B$7:$B$106,MATCH($S925,MUSTERILER!$T$7:$T$106,0)),""))</f>
        <v/>
      </c>
      <c r="U925" s="3">
        <f>IF($T925="","",$T925&amp;"|"&amp;COUNTIFS($T$7:$T925,$T925))</f>
        <v/>
      </c>
      <c r="V925" s="3">
        <f>IF($T925="",0,1)</f>
        <v/>
      </c>
      <c r="W925" s="3">
        <f>IF($C925="","",$D925&amp;"|"&amp;$E925&amp;"|"&amp;TEXT($C925,"0")&amp;"|"&amp;TEXT($G925,"0")&amp;"|"&amp;$J925)</f>
        <v/>
      </c>
      <c r="X925" s="3" t="n"/>
      <c r="Y925" s="3" t="n"/>
      <c r="Z925" s="3" t="n"/>
      <c r="AA925" s="3" t="n"/>
      <c r="AB925" s="3" t="n"/>
      <c r="AC925" s="3" t="n"/>
      <c r="AD925" s="3">
        <f>IF($C925="",0,SUMPRODUCT((AY_SONU!$O$7:$O$42="Evet")*(AY_SONU!$B$7:$B$42=DATE(YEAR($C925),MONTH($C925),1))))</f>
        <v/>
      </c>
    </row>
    <row r="926">
      <c r="A926" s="6" t="n"/>
      <c r="B926" s="113">
        <f>IF($C926="","","GG"&amp;TEXT(ROW()-6,"00000"))</f>
        <v/>
      </c>
      <c r="C926" s="220" t="n"/>
      <c r="D926" s="108" t="n"/>
      <c r="E926" s="109" t="n"/>
      <c r="F926" s="109" t="n"/>
      <c r="G926" s="221" t="n"/>
      <c r="H926" s="108" t="n"/>
      <c r="I926" s="108" t="n"/>
      <c r="J926" s="109" t="n"/>
      <c r="K926" s="109" t="n"/>
      <c r="L926" s="108" t="n"/>
      <c r="M926" s="121">
        <f>IF($C926="","",IF($D926="Gider",$E926,IF($L926&lt;&gt;"",$L926,$H926)))</f>
        <v/>
      </c>
      <c r="N926" s="121">
        <f>IF($C926="","",IF($D926="Gider",$H926,$E926))</f>
        <v/>
      </c>
      <c r="O926" s="226">
        <f>IF($C926="","",DATE(YEAR($C926),MONTH($C926),1))</f>
        <v/>
      </c>
      <c r="P926" s="113">
        <f>IF($C926="","",IF(AND($D926="Gelir",$L926&lt;&gt;"",$T926=""),"TANIMSIZ BORÇLU",IF($T926&lt;&gt;"",IF(OR($E926="",$G926&lt;=0),"EKSİK",IF($I926="Evet","TAHAKKUK NAKİT OLAMAZ",IF($C926&gt;TODAY(),"İLERİ TARİH","TAHAKKUK"))),IF(AND($D926&lt;&gt;"",$E926&lt;&gt;"",$G926&gt;0,$H926&lt;&gt;"",$I926&lt;&gt;""),IF($C926&gt;TODAY(),"İLERİ TARİH",IF(COUNTIF($W$7:$W$1206,$W926)&gt;1,"MÜKERRER?",IF($AD926&gt;0,"KAPALI DÖNEM",IF($I926="Hayır","ÖDENECEK","UYGUN")))),"EKSİK"))))</f>
        <v/>
      </c>
      <c r="Q926" s="6" t="n"/>
      <c r="R926" s="6" t="n"/>
      <c r="S926" s="3">
        <f>IF($L926="","",UPPER(SUBSTITUTE(SUBSTITUTE(SUBSTITUTE(SUBSTITUTE(SUBSTITUTE(SUBSTITUTE(SUBSTITUTE(SUBSTITUTE(SUBSTITUTE(SUBSTITUTE(SUBSTITUTE(SUBSTITUTE(SUBSTITUTE(SUBSTITUTE(SUBSTITUTE(SUBSTITUTE(SUBSTITUTE(SUBSTITUTE(TRIM($L926),"'",""),"İ","I"),"ı","I"),"i","I"),"Ş","S"),"ş","S"),"Ğ","G"),"ğ","G"),"Ü","U"),"ü","U"),"Ö","O"),"ö","O"),"Ç","C"),"ç","C"),".",""),",","")," ",""),"-","")))</f>
        <v/>
      </c>
      <c r="T926" s="3">
        <f>IF(OR($C926="",$D926&lt;&gt;"Gelir",$L926=""),"",IFERROR(INDEX(MUSTERILER!$B$7:$B$106,MATCH($S926,MUSTERILER!$T$7:$T$106,0)),""))</f>
        <v/>
      </c>
      <c r="U926" s="3">
        <f>IF($T926="","",$T926&amp;"|"&amp;COUNTIFS($T$7:$T926,$T926))</f>
        <v/>
      </c>
      <c r="V926" s="3">
        <f>IF($T926="",0,1)</f>
        <v/>
      </c>
      <c r="W926" s="3">
        <f>IF($C926="","",$D926&amp;"|"&amp;$E926&amp;"|"&amp;TEXT($C926,"0")&amp;"|"&amp;TEXT($G926,"0")&amp;"|"&amp;$J926)</f>
        <v/>
      </c>
      <c r="X926" s="3" t="n"/>
      <c r="Y926" s="3" t="n"/>
      <c r="Z926" s="3" t="n"/>
      <c r="AA926" s="3" t="n"/>
      <c r="AB926" s="3" t="n"/>
      <c r="AC926" s="3" t="n"/>
      <c r="AD926" s="3">
        <f>IF($C926="",0,SUMPRODUCT((AY_SONU!$O$7:$O$42="Evet")*(AY_SONU!$B$7:$B$42=DATE(YEAR($C926),MONTH($C926),1))))</f>
        <v/>
      </c>
    </row>
    <row r="927">
      <c r="A927" s="6" t="n"/>
      <c r="B927" s="113">
        <f>IF($C927="","","GG"&amp;TEXT(ROW()-6,"00000"))</f>
        <v/>
      </c>
      <c r="C927" s="220" t="n"/>
      <c r="D927" s="108" t="n"/>
      <c r="E927" s="109" t="n"/>
      <c r="F927" s="109" t="n"/>
      <c r="G927" s="221" t="n"/>
      <c r="H927" s="108" t="n"/>
      <c r="I927" s="108" t="n"/>
      <c r="J927" s="109" t="n"/>
      <c r="K927" s="109" t="n"/>
      <c r="L927" s="108" t="n"/>
      <c r="M927" s="121">
        <f>IF($C927="","",IF($D927="Gider",$E927,IF($L927&lt;&gt;"",$L927,$H927)))</f>
        <v/>
      </c>
      <c r="N927" s="121">
        <f>IF($C927="","",IF($D927="Gider",$H927,$E927))</f>
        <v/>
      </c>
      <c r="O927" s="226">
        <f>IF($C927="","",DATE(YEAR($C927),MONTH($C927),1))</f>
        <v/>
      </c>
      <c r="P927" s="113">
        <f>IF($C927="","",IF(AND($D927="Gelir",$L927&lt;&gt;"",$T927=""),"TANIMSIZ BORÇLU",IF($T927&lt;&gt;"",IF(OR($E927="",$G927&lt;=0),"EKSİK",IF($I927="Evet","TAHAKKUK NAKİT OLAMAZ",IF($C927&gt;TODAY(),"İLERİ TARİH","TAHAKKUK"))),IF(AND($D927&lt;&gt;"",$E927&lt;&gt;"",$G927&gt;0,$H927&lt;&gt;"",$I927&lt;&gt;""),IF($C927&gt;TODAY(),"İLERİ TARİH",IF(COUNTIF($W$7:$W$1206,$W927)&gt;1,"MÜKERRER?",IF($AD927&gt;0,"KAPALI DÖNEM",IF($I927="Hayır","ÖDENECEK","UYGUN")))),"EKSİK"))))</f>
        <v/>
      </c>
      <c r="Q927" s="6" t="n"/>
      <c r="R927" s="6" t="n"/>
      <c r="S927" s="3">
        <f>IF($L927="","",UPPER(SUBSTITUTE(SUBSTITUTE(SUBSTITUTE(SUBSTITUTE(SUBSTITUTE(SUBSTITUTE(SUBSTITUTE(SUBSTITUTE(SUBSTITUTE(SUBSTITUTE(SUBSTITUTE(SUBSTITUTE(SUBSTITUTE(SUBSTITUTE(SUBSTITUTE(SUBSTITUTE(SUBSTITUTE(SUBSTITUTE(TRIM($L927),"'",""),"İ","I"),"ı","I"),"i","I"),"Ş","S"),"ş","S"),"Ğ","G"),"ğ","G"),"Ü","U"),"ü","U"),"Ö","O"),"ö","O"),"Ç","C"),"ç","C"),".",""),",","")," ",""),"-","")))</f>
        <v/>
      </c>
      <c r="T927" s="3">
        <f>IF(OR($C927="",$D927&lt;&gt;"Gelir",$L927=""),"",IFERROR(INDEX(MUSTERILER!$B$7:$B$106,MATCH($S927,MUSTERILER!$T$7:$T$106,0)),""))</f>
        <v/>
      </c>
      <c r="U927" s="3">
        <f>IF($T927="","",$T927&amp;"|"&amp;COUNTIFS($T$7:$T927,$T927))</f>
        <v/>
      </c>
      <c r="V927" s="3">
        <f>IF($T927="",0,1)</f>
        <v/>
      </c>
      <c r="W927" s="3">
        <f>IF($C927="","",$D927&amp;"|"&amp;$E927&amp;"|"&amp;TEXT($C927,"0")&amp;"|"&amp;TEXT($G927,"0")&amp;"|"&amp;$J927)</f>
        <v/>
      </c>
      <c r="X927" s="3" t="n"/>
      <c r="Y927" s="3" t="n"/>
      <c r="Z927" s="3" t="n"/>
      <c r="AA927" s="3" t="n"/>
      <c r="AB927" s="3" t="n"/>
      <c r="AC927" s="3" t="n"/>
      <c r="AD927" s="3">
        <f>IF($C927="",0,SUMPRODUCT((AY_SONU!$O$7:$O$42="Evet")*(AY_SONU!$B$7:$B$42=DATE(YEAR($C927),MONTH($C927),1))))</f>
        <v/>
      </c>
    </row>
    <row r="928">
      <c r="A928" s="6" t="n"/>
      <c r="B928" s="113">
        <f>IF($C928="","","GG"&amp;TEXT(ROW()-6,"00000"))</f>
        <v/>
      </c>
      <c r="C928" s="220" t="n"/>
      <c r="D928" s="108" t="n"/>
      <c r="E928" s="109" t="n"/>
      <c r="F928" s="109" t="n"/>
      <c r="G928" s="221" t="n"/>
      <c r="H928" s="108" t="n"/>
      <c r="I928" s="108" t="n"/>
      <c r="J928" s="109" t="n"/>
      <c r="K928" s="109" t="n"/>
      <c r="L928" s="108" t="n"/>
      <c r="M928" s="121">
        <f>IF($C928="","",IF($D928="Gider",$E928,IF($L928&lt;&gt;"",$L928,$H928)))</f>
        <v/>
      </c>
      <c r="N928" s="121">
        <f>IF($C928="","",IF($D928="Gider",$H928,$E928))</f>
        <v/>
      </c>
      <c r="O928" s="226">
        <f>IF($C928="","",DATE(YEAR($C928),MONTH($C928),1))</f>
        <v/>
      </c>
      <c r="P928" s="113">
        <f>IF($C928="","",IF(AND($D928="Gelir",$L928&lt;&gt;"",$T928=""),"TANIMSIZ BORÇLU",IF($T928&lt;&gt;"",IF(OR($E928="",$G928&lt;=0),"EKSİK",IF($I928="Evet","TAHAKKUK NAKİT OLAMAZ",IF($C928&gt;TODAY(),"İLERİ TARİH","TAHAKKUK"))),IF(AND($D928&lt;&gt;"",$E928&lt;&gt;"",$G928&gt;0,$H928&lt;&gt;"",$I928&lt;&gt;""),IF($C928&gt;TODAY(),"İLERİ TARİH",IF(COUNTIF($W$7:$W$1206,$W928)&gt;1,"MÜKERRER?",IF($AD928&gt;0,"KAPALI DÖNEM",IF($I928="Hayır","ÖDENECEK","UYGUN")))),"EKSİK"))))</f>
        <v/>
      </c>
      <c r="Q928" s="6" t="n"/>
      <c r="R928" s="6" t="n"/>
      <c r="S928" s="3">
        <f>IF($L928="","",UPPER(SUBSTITUTE(SUBSTITUTE(SUBSTITUTE(SUBSTITUTE(SUBSTITUTE(SUBSTITUTE(SUBSTITUTE(SUBSTITUTE(SUBSTITUTE(SUBSTITUTE(SUBSTITUTE(SUBSTITUTE(SUBSTITUTE(SUBSTITUTE(SUBSTITUTE(SUBSTITUTE(SUBSTITUTE(SUBSTITUTE(TRIM($L928),"'",""),"İ","I"),"ı","I"),"i","I"),"Ş","S"),"ş","S"),"Ğ","G"),"ğ","G"),"Ü","U"),"ü","U"),"Ö","O"),"ö","O"),"Ç","C"),"ç","C"),".",""),",","")," ",""),"-","")))</f>
        <v/>
      </c>
      <c r="T928" s="3">
        <f>IF(OR($C928="",$D928&lt;&gt;"Gelir",$L928=""),"",IFERROR(INDEX(MUSTERILER!$B$7:$B$106,MATCH($S928,MUSTERILER!$T$7:$T$106,0)),""))</f>
        <v/>
      </c>
      <c r="U928" s="3">
        <f>IF($T928="","",$T928&amp;"|"&amp;COUNTIFS($T$7:$T928,$T928))</f>
        <v/>
      </c>
      <c r="V928" s="3">
        <f>IF($T928="",0,1)</f>
        <v/>
      </c>
      <c r="W928" s="3">
        <f>IF($C928="","",$D928&amp;"|"&amp;$E928&amp;"|"&amp;TEXT($C928,"0")&amp;"|"&amp;TEXT($G928,"0")&amp;"|"&amp;$J928)</f>
        <v/>
      </c>
      <c r="X928" s="3" t="n"/>
      <c r="Y928" s="3" t="n"/>
      <c r="Z928" s="3" t="n"/>
      <c r="AA928" s="3" t="n"/>
      <c r="AB928" s="3" t="n"/>
      <c r="AC928" s="3" t="n"/>
      <c r="AD928" s="3">
        <f>IF($C928="",0,SUMPRODUCT((AY_SONU!$O$7:$O$42="Evet")*(AY_SONU!$B$7:$B$42=DATE(YEAR($C928),MONTH($C928),1))))</f>
        <v/>
      </c>
    </row>
    <row r="929">
      <c r="A929" s="6" t="n"/>
      <c r="B929" s="113">
        <f>IF($C929="","","GG"&amp;TEXT(ROW()-6,"00000"))</f>
        <v/>
      </c>
      <c r="C929" s="220" t="n"/>
      <c r="D929" s="108" t="n"/>
      <c r="E929" s="109" t="n"/>
      <c r="F929" s="109" t="n"/>
      <c r="G929" s="221" t="n"/>
      <c r="H929" s="108" t="n"/>
      <c r="I929" s="108" t="n"/>
      <c r="J929" s="109" t="n"/>
      <c r="K929" s="109" t="n"/>
      <c r="L929" s="108" t="n"/>
      <c r="M929" s="121">
        <f>IF($C929="","",IF($D929="Gider",$E929,IF($L929&lt;&gt;"",$L929,$H929)))</f>
        <v/>
      </c>
      <c r="N929" s="121">
        <f>IF($C929="","",IF($D929="Gider",$H929,$E929))</f>
        <v/>
      </c>
      <c r="O929" s="226">
        <f>IF($C929="","",DATE(YEAR($C929),MONTH($C929),1))</f>
        <v/>
      </c>
      <c r="P929" s="113">
        <f>IF($C929="","",IF(AND($D929="Gelir",$L929&lt;&gt;"",$T929=""),"TANIMSIZ BORÇLU",IF($T929&lt;&gt;"",IF(OR($E929="",$G929&lt;=0),"EKSİK",IF($I929="Evet","TAHAKKUK NAKİT OLAMAZ",IF($C929&gt;TODAY(),"İLERİ TARİH","TAHAKKUK"))),IF(AND($D929&lt;&gt;"",$E929&lt;&gt;"",$G929&gt;0,$H929&lt;&gt;"",$I929&lt;&gt;""),IF($C929&gt;TODAY(),"İLERİ TARİH",IF(COUNTIF($W$7:$W$1206,$W929)&gt;1,"MÜKERRER?",IF($AD929&gt;0,"KAPALI DÖNEM",IF($I929="Hayır","ÖDENECEK","UYGUN")))),"EKSİK"))))</f>
        <v/>
      </c>
      <c r="Q929" s="6" t="n"/>
      <c r="R929" s="6" t="n"/>
      <c r="S929" s="3">
        <f>IF($L929="","",UPPER(SUBSTITUTE(SUBSTITUTE(SUBSTITUTE(SUBSTITUTE(SUBSTITUTE(SUBSTITUTE(SUBSTITUTE(SUBSTITUTE(SUBSTITUTE(SUBSTITUTE(SUBSTITUTE(SUBSTITUTE(SUBSTITUTE(SUBSTITUTE(SUBSTITUTE(SUBSTITUTE(SUBSTITUTE(SUBSTITUTE(TRIM($L929),"'",""),"İ","I"),"ı","I"),"i","I"),"Ş","S"),"ş","S"),"Ğ","G"),"ğ","G"),"Ü","U"),"ü","U"),"Ö","O"),"ö","O"),"Ç","C"),"ç","C"),".",""),",","")," ",""),"-","")))</f>
        <v/>
      </c>
      <c r="T929" s="3">
        <f>IF(OR($C929="",$D929&lt;&gt;"Gelir",$L929=""),"",IFERROR(INDEX(MUSTERILER!$B$7:$B$106,MATCH($S929,MUSTERILER!$T$7:$T$106,0)),""))</f>
        <v/>
      </c>
      <c r="U929" s="3">
        <f>IF($T929="","",$T929&amp;"|"&amp;COUNTIFS($T$7:$T929,$T929))</f>
        <v/>
      </c>
      <c r="V929" s="3">
        <f>IF($T929="",0,1)</f>
        <v/>
      </c>
      <c r="W929" s="3">
        <f>IF($C929="","",$D929&amp;"|"&amp;$E929&amp;"|"&amp;TEXT($C929,"0")&amp;"|"&amp;TEXT($G929,"0")&amp;"|"&amp;$J929)</f>
        <v/>
      </c>
      <c r="X929" s="3" t="n"/>
      <c r="Y929" s="3" t="n"/>
      <c r="Z929" s="3" t="n"/>
      <c r="AA929" s="3" t="n"/>
      <c r="AB929" s="3" t="n"/>
      <c r="AC929" s="3" t="n"/>
      <c r="AD929" s="3">
        <f>IF($C929="",0,SUMPRODUCT((AY_SONU!$O$7:$O$42="Evet")*(AY_SONU!$B$7:$B$42=DATE(YEAR($C929),MONTH($C929),1))))</f>
        <v/>
      </c>
    </row>
    <row r="930">
      <c r="A930" s="6" t="n"/>
      <c r="B930" s="113">
        <f>IF($C930="","","GG"&amp;TEXT(ROW()-6,"00000"))</f>
        <v/>
      </c>
      <c r="C930" s="220" t="n"/>
      <c r="D930" s="108" t="n"/>
      <c r="E930" s="109" t="n"/>
      <c r="F930" s="109" t="n"/>
      <c r="G930" s="221" t="n"/>
      <c r="H930" s="108" t="n"/>
      <c r="I930" s="108" t="n"/>
      <c r="J930" s="109" t="n"/>
      <c r="K930" s="109" t="n"/>
      <c r="L930" s="108" t="n"/>
      <c r="M930" s="121">
        <f>IF($C930="","",IF($D930="Gider",$E930,IF($L930&lt;&gt;"",$L930,$H930)))</f>
        <v/>
      </c>
      <c r="N930" s="121">
        <f>IF($C930="","",IF($D930="Gider",$H930,$E930))</f>
        <v/>
      </c>
      <c r="O930" s="226">
        <f>IF($C930="","",DATE(YEAR($C930),MONTH($C930),1))</f>
        <v/>
      </c>
      <c r="P930" s="113">
        <f>IF($C930="","",IF(AND($D930="Gelir",$L930&lt;&gt;"",$T930=""),"TANIMSIZ BORÇLU",IF($T930&lt;&gt;"",IF(OR($E930="",$G930&lt;=0),"EKSİK",IF($I930="Evet","TAHAKKUK NAKİT OLAMAZ",IF($C930&gt;TODAY(),"İLERİ TARİH","TAHAKKUK"))),IF(AND($D930&lt;&gt;"",$E930&lt;&gt;"",$G930&gt;0,$H930&lt;&gt;"",$I930&lt;&gt;""),IF($C930&gt;TODAY(),"İLERİ TARİH",IF(COUNTIF($W$7:$W$1206,$W930)&gt;1,"MÜKERRER?",IF($AD930&gt;0,"KAPALI DÖNEM",IF($I930="Hayır","ÖDENECEK","UYGUN")))),"EKSİK"))))</f>
        <v/>
      </c>
      <c r="Q930" s="6" t="n"/>
      <c r="R930" s="6" t="n"/>
      <c r="S930" s="3">
        <f>IF($L930="","",UPPER(SUBSTITUTE(SUBSTITUTE(SUBSTITUTE(SUBSTITUTE(SUBSTITUTE(SUBSTITUTE(SUBSTITUTE(SUBSTITUTE(SUBSTITUTE(SUBSTITUTE(SUBSTITUTE(SUBSTITUTE(SUBSTITUTE(SUBSTITUTE(SUBSTITUTE(SUBSTITUTE(SUBSTITUTE(SUBSTITUTE(TRIM($L930),"'",""),"İ","I"),"ı","I"),"i","I"),"Ş","S"),"ş","S"),"Ğ","G"),"ğ","G"),"Ü","U"),"ü","U"),"Ö","O"),"ö","O"),"Ç","C"),"ç","C"),".",""),",","")," ",""),"-","")))</f>
        <v/>
      </c>
      <c r="T930" s="3">
        <f>IF(OR($C930="",$D930&lt;&gt;"Gelir",$L930=""),"",IFERROR(INDEX(MUSTERILER!$B$7:$B$106,MATCH($S930,MUSTERILER!$T$7:$T$106,0)),""))</f>
        <v/>
      </c>
      <c r="U930" s="3">
        <f>IF($T930="","",$T930&amp;"|"&amp;COUNTIFS($T$7:$T930,$T930))</f>
        <v/>
      </c>
      <c r="V930" s="3">
        <f>IF($T930="",0,1)</f>
        <v/>
      </c>
      <c r="W930" s="3">
        <f>IF($C930="","",$D930&amp;"|"&amp;$E930&amp;"|"&amp;TEXT($C930,"0")&amp;"|"&amp;TEXT($G930,"0")&amp;"|"&amp;$J930)</f>
        <v/>
      </c>
      <c r="X930" s="3" t="n"/>
      <c r="Y930" s="3" t="n"/>
      <c r="Z930" s="3" t="n"/>
      <c r="AA930" s="3" t="n"/>
      <c r="AB930" s="3" t="n"/>
      <c r="AC930" s="3" t="n"/>
      <c r="AD930" s="3">
        <f>IF($C930="",0,SUMPRODUCT((AY_SONU!$O$7:$O$42="Evet")*(AY_SONU!$B$7:$B$42=DATE(YEAR($C930),MONTH($C930),1))))</f>
        <v/>
      </c>
    </row>
    <row r="931">
      <c r="A931" s="6" t="n"/>
      <c r="B931" s="113">
        <f>IF($C931="","","GG"&amp;TEXT(ROW()-6,"00000"))</f>
        <v/>
      </c>
      <c r="C931" s="220" t="n"/>
      <c r="D931" s="108" t="n"/>
      <c r="E931" s="109" t="n"/>
      <c r="F931" s="109" t="n"/>
      <c r="G931" s="221" t="n"/>
      <c r="H931" s="108" t="n"/>
      <c r="I931" s="108" t="n"/>
      <c r="J931" s="109" t="n"/>
      <c r="K931" s="109" t="n"/>
      <c r="L931" s="108" t="n"/>
      <c r="M931" s="121">
        <f>IF($C931="","",IF($D931="Gider",$E931,IF($L931&lt;&gt;"",$L931,$H931)))</f>
        <v/>
      </c>
      <c r="N931" s="121">
        <f>IF($C931="","",IF($D931="Gider",$H931,$E931))</f>
        <v/>
      </c>
      <c r="O931" s="226">
        <f>IF($C931="","",DATE(YEAR($C931),MONTH($C931),1))</f>
        <v/>
      </c>
      <c r="P931" s="113">
        <f>IF($C931="","",IF(AND($D931="Gelir",$L931&lt;&gt;"",$T931=""),"TANIMSIZ BORÇLU",IF($T931&lt;&gt;"",IF(OR($E931="",$G931&lt;=0),"EKSİK",IF($I931="Evet","TAHAKKUK NAKİT OLAMAZ",IF($C931&gt;TODAY(),"İLERİ TARİH","TAHAKKUK"))),IF(AND($D931&lt;&gt;"",$E931&lt;&gt;"",$G931&gt;0,$H931&lt;&gt;"",$I931&lt;&gt;""),IF($C931&gt;TODAY(),"İLERİ TARİH",IF(COUNTIF($W$7:$W$1206,$W931)&gt;1,"MÜKERRER?",IF($AD931&gt;0,"KAPALI DÖNEM",IF($I931="Hayır","ÖDENECEK","UYGUN")))),"EKSİK"))))</f>
        <v/>
      </c>
      <c r="Q931" s="6" t="n"/>
      <c r="R931" s="6" t="n"/>
      <c r="S931" s="3">
        <f>IF($L931="","",UPPER(SUBSTITUTE(SUBSTITUTE(SUBSTITUTE(SUBSTITUTE(SUBSTITUTE(SUBSTITUTE(SUBSTITUTE(SUBSTITUTE(SUBSTITUTE(SUBSTITUTE(SUBSTITUTE(SUBSTITUTE(SUBSTITUTE(SUBSTITUTE(SUBSTITUTE(SUBSTITUTE(SUBSTITUTE(SUBSTITUTE(TRIM($L931),"'",""),"İ","I"),"ı","I"),"i","I"),"Ş","S"),"ş","S"),"Ğ","G"),"ğ","G"),"Ü","U"),"ü","U"),"Ö","O"),"ö","O"),"Ç","C"),"ç","C"),".",""),",","")," ",""),"-","")))</f>
        <v/>
      </c>
      <c r="T931" s="3">
        <f>IF(OR($C931="",$D931&lt;&gt;"Gelir",$L931=""),"",IFERROR(INDEX(MUSTERILER!$B$7:$B$106,MATCH($S931,MUSTERILER!$T$7:$T$106,0)),""))</f>
        <v/>
      </c>
      <c r="U931" s="3">
        <f>IF($T931="","",$T931&amp;"|"&amp;COUNTIFS($T$7:$T931,$T931))</f>
        <v/>
      </c>
      <c r="V931" s="3">
        <f>IF($T931="",0,1)</f>
        <v/>
      </c>
      <c r="W931" s="3">
        <f>IF($C931="","",$D931&amp;"|"&amp;$E931&amp;"|"&amp;TEXT($C931,"0")&amp;"|"&amp;TEXT($G931,"0")&amp;"|"&amp;$J931)</f>
        <v/>
      </c>
      <c r="X931" s="3" t="n"/>
      <c r="Y931" s="3" t="n"/>
      <c r="Z931" s="3" t="n"/>
      <c r="AA931" s="3" t="n"/>
      <c r="AB931" s="3" t="n"/>
      <c r="AC931" s="3" t="n"/>
      <c r="AD931" s="3">
        <f>IF($C931="",0,SUMPRODUCT((AY_SONU!$O$7:$O$42="Evet")*(AY_SONU!$B$7:$B$42=DATE(YEAR($C931),MONTH($C931),1))))</f>
        <v/>
      </c>
    </row>
    <row r="932">
      <c r="A932" s="6" t="n"/>
      <c r="B932" s="113">
        <f>IF($C932="","","GG"&amp;TEXT(ROW()-6,"00000"))</f>
        <v/>
      </c>
      <c r="C932" s="220" t="n"/>
      <c r="D932" s="108" t="n"/>
      <c r="E932" s="109" t="n"/>
      <c r="F932" s="109" t="n"/>
      <c r="G932" s="221" t="n"/>
      <c r="H932" s="108" t="n"/>
      <c r="I932" s="108" t="n"/>
      <c r="J932" s="109" t="n"/>
      <c r="K932" s="109" t="n"/>
      <c r="L932" s="108" t="n"/>
      <c r="M932" s="121">
        <f>IF($C932="","",IF($D932="Gider",$E932,IF($L932&lt;&gt;"",$L932,$H932)))</f>
        <v/>
      </c>
      <c r="N932" s="121">
        <f>IF($C932="","",IF($D932="Gider",$H932,$E932))</f>
        <v/>
      </c>
      <c r="O932" s="226">
        <f>IF($C932="","",DATE(YEAR($C932),MONTH($C932),1))</f>
        <v/>
      </c>
      <c r="P932" s="113">
        <f>IF($C932="","",IF(AND($D932="Gelir",$L932&lt;&gt;"",$T932=""),"TANIMSIZ BORÇLU",IF($T932&lt;&gt;"",IF(OR($E932="",$G932&lt;=0),"EKSİK",IF($I932="Evet","TAHAKKUK NAKİT OLAMAZ",IF($C932&gt;TODAY(),"İLERİ TARİH","TAHAKKUK"))),IF(AND($D932&lt;&gt;"",$E932&lt;&gt;"",$G932&gt;0,$H932&lt;&gt;"",$I932&lt;&gt;""),IF($C932&gt;TODAY(),"İLERİ TARİH",IF(COUNTIF($W$7:$W$1206,$W932)&gt;1,"MÜKERRER?",IF($AD932&gt;0,"KAPALI DÖNEM",IF($I932="Hayır","ÖDENECEK","UYGUN")))),"EKSİK"))))</f>
        <v/>
      </c>
      <c r="Q932" s="6" t="n"/>
      <c r="R932" s="6" t="n"/>
      <c r="S932" s="3">
        <f>IF($L932="","",UPPER(SUBSTITUTE(SUBSTITUTE(SUBSTITUTE(SUBSTITUTE(SUBSTITUTE(SUBSTITUTE(SUBSTITUTE(SUBSTITUTE(SUBSTITUTE(SUBSTITUTE(SUBSTITUTE(SUBSTITUTE(SUBSTITUTE(SUBSTITUTE(SUBSTITUTE(SUBSTITUTE(SUBSTITUTE(SUBSTITUTE(TRIM($L932),"'",""),"İ","I"),"ı","I"),"i","I"),"Ş","S"),"ş","S"),"Ğ","G"),"ğ","G"),"Ü","U"),"ü","U"),"Ö","O"),"ö","O"),"Ç","C"),"ç","C"),".",""),",","")," ",""),"-","")))</f>
        <v/>
      </c>
      <c r="T932" s="3">
        <f>IF(OR($C932="",$D932&lt;&gt;"Gelir",$L932=""),"",IFERROR(INDEX(MUSTERILER!$B$7:$B$106,MATCH($S932,MUSTERILER!$T$7:$T$106,0)),""))</f>
        <v/>
      </c>
      <c r="U932" s="3">
        <f>IF($T932="","",$T932&amp;"|"&amp;COUNTIFS($T$7:$T932,$T932))</f>
        <v/>
      </c>
      <c r="V932" s="3">
        <f>IF($T932="",0,1)</f>
        <v/>
      </c>
      <c r="W932" s="3">
        <f>IF($C932="","",$D932&amp;"|"&amp;$E932&amp;"|"&amp;TEXT($C932,"0")&amp;"|"&amp;TEXT($G932,"0")&amp;"|"&amp;$J932)</f>
        <v/>
      </c>
      <c r="X932" s="3" t="n"/>
      <c r="Y932" s="3" t="n"/>
      <c r="Z932" s="3" t="n"/>
      <c r="AA932" s="3" t="n"/>
      <c r="AB932" s="3" t="n"/>
      <c r="AC932" s="3" t="n"/>
      <c r="AD932" s="3">
        <f>IF($C932="",0,SUMPRODUCT((AY_SONU!$O$7:$O$42="Evet")*(AY_SONU!$B$7:$B$42=DATE(YEAR($C932),MONTH($C932),1))))</f>
        <v/>
      </c>
    </row>
    <row r="933">
      <c r="A933" s="6" t="n"/>
      <c r="B933" s="113">
        <f>IF($C933="","","GG"&amp;TEXT(ROW()-6,"00000"))</f>
        <v/>
      </c>
      <c r="C933" s="220" t="n"/>
      <c r="D933" s="108" t="n"/>
      <c r="E933" s="109" t="n"/>
      <c r="F933" s="109" t="n"/>
      <c r="G933" s="221" t="n"/>
      <c r="H933" s="108" t="n"/>
      <c r="I933" s="108" t="n"/>
      <c r="J933" s="109" t="n"/>
      <c r="K933" s="109" t="n"/>
      <c r="L933" s="108" t="n"/>
      <c r="M933" s="121">
        <f>IF($C933="","",IF($D933="Gider",$E933,IF($L933&lt;&gt;"",$L933,$H933)))</f>
        <v/>
      </c>
      <c r="N933" s="121">
        <f>IF($C933="","",IF($D933="Gider",$H933,$E933))</f>
        <v/>
      </c>
      <c r="O933" s="226">
        <f>IF($C933="","",DATE(YEAR($C933),MONTH($C933),1))</f>
        <v/>
      </c>
      <c r="P933" s="113">
        <f>IF($C933="","",IF(AND($D933="Gelir",$L933&lt;&gt;"",$T933=""),"TANIMSIZ BORÇLU",IF($T933&lt;&gt;"",IF(OR($E933="",$G933&lt;=0),"EKSİK",IF($I933="Evet","TAHAKKUK NAKİT OLAMAZ",IF($C933&gt;TODAY(),"İLERİ TARİH","TAHAKKUK"))),IF(AND($D933&lt;&gt;"",$E933&lt;&gt;"",$G933&gt;0,$H933&lt;&gt;"",$I933&lt;&gt;""),IF($C933&gt;TODAY(),"İLERİ TARİH",IF(COUNTIF($W$7:$W$1206,$W933)&gt;1,"MÜKERRER?",IF($AD933&gt;0,"KAPALI DÖNEM",IF($I933="Hayır","ÖDENECEK","UYGUN")))),"EKSİK"))))</f>
        <v/>
      </c>
      <c r="Q933" s="6" t="n"/>
      <c r="R933" s="6" t="n"/>
      <c r="S933" s="3">
        <f>IF($L933="","",UPPER(SUBSTITUTE(SUBSTITUTE(SUBSTITUTE(SUBSTITUTE(SUBSTITUTE(SUBSTITUTE(SUBSTITUTE(SUBSTITUTE(SUBSTITUTE(SUBSTITUTE(SUBSTITUTE(SUBSTITUTE(SUBSTITUTE(SUBSTITUTE(SUBSTITUTE(SUBSTITUTE(SUBSTITUTE(SUBSTITUTE(TRIM($L933),"'",""),"İ","I"),"ı","I"),"i","I"),"Ş","S"),"ş","S"),"Ğ","G"),"ğ","G"),"Ü","U"),"ü","U"),"Ö","O"),"ö","O"),"Ç","C"),"ç","C"),".",""),",","")," ",""),"-","")))</f>
        <v/>
      </c>
      <c r="T933" s="3">
        <f>IF(OR($C933="",$D933&lt;&gt;"Gelir",$L933=""),"",IFERROR(INDEX(MUSTERILER!$B$7:$B$106,MATCH($S933,MUSTERILER!$T$7:$T$106,0)),""))</f>
        <v/>
      </c>
      <c r="U933" s="3">
        <f>IF($T933="","",$T933&amp;"|"&amp;COUNTIFS($T$7:$T933,$T933))</f>
        <v/>
      </c>
      <c r="V933" s="3">
        <f>IF($T933="",0,1)</f>
        <v/>
      </c>
      <c r="W933" s="3">
        <f>IF($C933="","",$D933&amp;"|"&amp;$E933&amp;"|"&amp;TEXT($C933,"0")&amp;"|"&amp;TEXT($G933,"0")&amp;"|"&amp;$J933)</f>
        <v/>
      </c>
      <c r="X933" s="3" t="n"/>
      <c r="Y933" s="3" t="n"/>
      <c r="Z933" s="3" t="n"/>
      <c r="AA933" s="3" t="n"/>
      <c r="AB933" s="3" t="n"/>
      <c r="AC933" s="3" t="n"/>
      <c r="AD933" s="3">
        <f>IF($C933="",0,SUMPRODUCT((AY_SONU!$O$7:$O$42="Evet")*(AY_SONU!$B$7:$B$42=DATE(YEAR($C933),MONTH($C933),1))))</f>
        <v/>
      </c>
    </row>
    <row r="934">
      <c r="A934" s="6" t="n"/>
      <c r="B934" s="113">
        <f>IF($C934="","","GG"&amp;TEXT(ROW()-6,"00000"))</f>
        <v/>
      </c>
      <c r="C934" s="220" t="n"/>
      <c r="D934" s="108" t="n"/>
      <c r="E934" s="109" t="n"/>
      <c r="F934" s="109" t="n"/>
      <c r="G934" s="221" t="n"/>
      <c r="H934" s="108" t="n"/>
      <c r="I934" s="108" t="n"/>
      <c r="J934" s="109" t="n"/>
      <c r="K934" s="109" t="n"/>
      <c r="L934" s="108" t="n"/>
      <c r="M934" s="121">
        <f>IF($C934="","",IF($D934="Gider",$E934,IF($L934&lt;&gt;"",$L934,$H934)))</f>
        <v/>
      </c>
      <c r="N934" s="121">
        <f>IF($C934="","",IF($D934="Gider",$H934,$E934))</f>
        <v/>
      </c>
      <c r="O934" s="226">
        <f>IF($C934="","",DATE(YEAR($C934),MONTH($C934),1))</f>
        <v/>
      </c>
      <c r="P934" s="113">
        <f>IF($C934="","",IF(AND($D934="Gelir",$L934&lt;&gt;"",$T934=""),"TANIMSIZ BORÇLU",IF($T934&lt;&gt;"",IF(OR($E934="",$G934&lt;=0),"EKSİK",IF($I934="Evet","TAHAKKUK NAKİT OLAMAZ",IF($C934&gt;TODAY(),"İLERİ TARİH","TAHAKKUK"))),IF(AND($D934&lt;&gt;"",$E934&lt;&gt;"",$G934&gt;0,$H934&lt;&gt;"",$I934&lt;&gt;""),IF($C934&gt;TODAY(),"İLERİ TARİH",IF(COUNTIF($W$7:$W$1206,$W934)&gt;1,"MÜKERRER?",IF($AD934&gt;0,"KAPALI DÖNEM",IF($I934="Hayır","ÖDENECEK","UYGUN")))),"EKSİK"))))</f>
        <v/>
      </c>
      <c r="Q934" s="6" t="n"/>
      <c r="R934" s="6" t="n"/>
      <c r="S934" s="3">
        <f>IF($L934="","",UPPER(SUBSTITUTE(SUBSTITUTE(SUBSTITUTE(SUBSTITUTE(SUBSTITUTE(SUBSTITUTE(SUBSTITUTE(SUBSTITUTE(SUBSTITUTE(SUBSTITUTE(SUBSTITUTE(SUBSTITUTE(SUBSTITUTE(SUBSTITUTE(SUBSTITUTE(SUBSTITUTE(SUBSTITUTE(SUBSTITUTE(TRIM($L934),"'",""),"İ","I"),"ı","I"),"i","I"),"Ş","S"),"ş","S"),"Ğ","G"),"ğ","G"),"Ü","U"),"ü","U"),"Ö","O"),"ö","O"),"Ç","C"),"ç","C"),".",""),",","")," ",""),"-","")))</f>
        <v/>
      </c>
      <c r="T934" s="3">
        <f>IF(OR($C934="",$D934&lt;&gt;"Gelir",$L934=""),"",IFERROR(INDEX(MUSTERILER!$B$7:$B$106,MATCH($S934,MUSTERILER!$T$7:$T$106,0)),""))</f>
        <v/>
      </c>
      <c r="U934" s="3">
        <f>IF($T934="","",$T934&amp;"|"&amp;COUNTIFS($T$7:$T934,$T934))</f>
        <v/>
      </c>
      <c r="V934" s="3">
        <f>IF($T934="",0,1)</f>
        <v/>
      </c>
      <c r="W934" s="3">
        <f>IF($C934="","",$D934&amp;"|"&amp;$E934&amp;"|"&amp;TEXT($C934,"0")&amp;"|"&amp;TEXT($G934,"0")&amp;"|"&amp;$J934)</f>
        <v/>
      </c>
      <c r="X934" s="3" t="n"/>
      <c r="Y934" s="3" t="n"/>
      <c r="Z934" s="3" t="n"/>
      <c r="AA934" s="3" t="n"/>
      <c r="AB934" s="3" t="n"/>
      <c r="AC934" s="3" t="n"/>
      <c r="AD934" s="3">
        <f>IF($C934="",0,SUMPRODUCT((AY_SONU!$O$7:$O$42="Evet")*(AY_SONU!$B$7:$B$42=DATE(YEAR($C934),MONTH($C934),1))))</f>
        <v/>
      </c>
    </row>
    <row r="935">
      <c r="A935" s="6" t="n"/>
      <c r="B935" s="113">
        <f>IF($C935="","","GG"&amp;TEXT(ROW()-6,"00000"))</f>
        <v/>
      </c>
      <c r="C935" s="220" t="n"/>
      <c r="D935" s="108" t="n"/>
      <c r="E935" s="109" t="n"/>
      <c r="F935" s="109" t="n"/>
      <c r="G935" s="221" t="n"/>
      <c r="H935" s="108" t="n"/>
      <c r="I935" s="108" t="n"/>
      <c r="J935" s="109" t="n"/>
      <c r="K935" s="109" t="n"/>
      <c r="L935" s="108" t="n"/>
      <c r="M935" s="121">
        <f>IF($C935="","",IF($D935="Gider",$E935,IF($L935&lt;&gt;"",$L935,$H935)))</f>
        <v/>
      </c>
      <c r="N935" s="121">
        <f>IF($C935="","",IF($D935="Gider",$H935,$E935))</f>
        <v/>
      </c>
      <c r="O935" s="226">
        <f>IF($C935="","",DATE(YEAR($C935),MONTH($C935),1))</f>
        <v/>
      </c>
      <c r="P935" s="113">
        <f>IF($C935="","",IF(AND($D935="Gelir",$L935&lt;&gt;"",$T935=""),"TANIMSIZ BORÇLU",IF($T935&lt;&gt;"",IF(OR($E935="",$G935&lt;=0),"EKSİK",IF($I935="Evet","TAHAKKUK NAKİT OLAMAZ",IF($C935&gt;TODAY(),"İLERİ TARİH","TAHAKKUK"))),IF(AND($D935&lt;&gt;"",$E935&lt;&gt;"",$G935&gt;0,$H935&lt;&gt;"",$I935&lt;&gt;""),IF($C935&gt;TODAY(),"İLERİ TARİH",IF(COUNTIF($W$7:$W$1206,$W935)&gt;1,"MÜKERRER?",IF($AD935&gt;0,"KAPALI DÖNEM",IF($I935="Hayır","ÖDENECEK","UYGUN")))),"EKSİK"))))</f>
        <v/>
      </c>
      <c r="Q935" s="6" t="n"/>
      <c r="R935" s="6" t="n"/>
      <c r="S935" s="3">
        <f>IF($L935="","",UPPER(SUBSTITUTE(SUBSTITUTE(SUBSTITUTE(SUBSTITUTE(SUBSTITUTE(SUBSTITUTE(SUBSTITUTE(SUBSTITUTE(SUBSTITUTE(SUBSTITUTE(SUBSTITUTE(SUBSTITUTE(SUBSTITUTE(SUBSTITUTE(SUBSTITUTE(SUBSTITUTE(SUBSTITUTE(SUBSTITUTE(TRIM($L935),"'",""),"İ","I"),"ı","I"),"i","I"),"Ş","S"),"ş","S"),"Ğ","G"),"ğ","G"),"Ü","U"),"ü","U"),"Ö","O"),"ö","O"),"Ç","C"),"ç","C"),".",""),",","")," ",""),"-","")))</f>
        <v/>
      </c>
      <c r="T935" s="3">
        <f>IF(OR($C935="",$D935&lt;&gt;"Gelir",$L935=""),"",IFERROR(INDEX(MUSTERILER!$B$7:$B$106,MATCH($S935,MUSTERILER!$T$7:$T$106,0)),""))</f>
        <v/>
      </c>
      <c r="U935" s="3">
        <f>IF($T935="","",$T935&amp;"|"&amp;COUNTIFS($T$7:$T935,$T935))</f>
        <v/>
      </c>
      <c r="V935" s="3">
        <f>IF($T935="",0,1)</f>
        <v/>
      </c>
      <c r="W935" s="3">
        <f>IF($C935="","",$D935&amp;"|"&amp;$E935&amp;"|"&amp;TEXT($C935,"0")&amp;"|"&amp;TEXT($G935,"0")&amp;"|"&amp;$J935)</f>
        <v/>
      </c>
      <c r="X935" s="3" t="n"/>
      <c r="Y935" s="3" t="n"/>
      <c r="Z935" s="3" t="n"/>
      <c r="AA935" s="3" t="n"/>
      <c r="AB935" s="3" t="n"/>
      <c r="AC935" s="3" t="n"/>
      <c r="AD935" s="3">
        <f>IF($C935="",0,SUMPRODUCT((AY_SONU!$O$7:$O$42="Evet")*(AY_SONU!$B$7:$B$42=DATE(YEAR($C935),MONTH($C935),1))))</f>
        <v/>
      </c>
    </row>
    <row r="936">
      <c r="A936" s="6" t="n"/>
      <c r="B936" s="113">
        <f>IF($C936="","","GG"&amp;TEXT(ROW()-6,"00000"))</f>
        <v/>
      </c>
      <c r="C936" s="220" t="n"/>
      <c r="D936" s="108" t="n"/>
      <c r="E936" s="109" t="n"/>
      <c r="F936" s="109" t="n"/>
      <c r="G936" s="221" t="n"/>
      <c r="H936" s="108" t="n"/>
      <c r="I936" s="108" t="n"/>
      <c r="J936" s="109" t="n"/>
      <c r="K936" s="109" t="n"/>
      <c r="L936" s="108" t="n"/>
      <c r="M936" s="121">
        <f>IF($C936="","",IF($D936="Gider",$E936,IF($L936&lt;&gt;"",$L936,$H936)))</f>
        <v/>
      </c>
      <c r="N936" s="121">
        <f>IF($C936="","",IF($D936="Gider",$H936,$E936))</f>
        <v/>
      </c>
      <c r="O936" s="226">
        <f>IF($C936="","",DATE(YEAR($C936),MONTH($C936),1))</f>
        <v/>
      </c>
      <c r="P936" s="113">
        <f>IF($C936="","",IF(AND($D936="Gelir",$L936&lt;&gt;"",$T936=""),"TANIMSIZ BORÇLU",IF($T936&lt;&gt;"",IF(OR($E936="",$G936&lt;=0),"EKSİK",IF($I936="Evet","TAHAKKUK NAKİT OLAMAZ",IF($C936&gt;TODAY(),"İLERİ TARİH","TAHAKKUK"))),IF(AND($D936&lt;&gt;"",$E936&lt;&gt;"",$G936&gt;0,$H936&lt;&gt;"",$I936&lt;&gt;""),IF($C936&gt;TODAY(),"İLERİ TARİH",IF(COUNTIF($W$7:$W$1206,$W936)&gt;1,"MÜKERRER?",IF($AD936&gt;0,"KAPALI DÖNEM",IF($I936="Hayır","ÖDENECEK","UYGUN")))),"EKSİK"))))</f>
        <v/>
      </c>
      <c r="Q936" s="6" t="n"/>
      <c r="R936" s="6" t="n"/>
      <c r="S936" s="3">
        <f>IF($L936="","",UPPER(SUBSTITUTE(SUBSTITUTE(SUBSTITUTE(SUBSTITUTE(SUBSTITUTE(SUBSTITUTE(SUBSTITUTE(SUBSTITUTE(SUBSTITUTE(SUBSTITUTE(SUBSTITUTE(SUBSTITUTE(SUBSTITUTE(SUBSTITUTE(SUBSTITUTE(SUBSTITUTE(SUBSTITUTE(SUBSTITUTE(TRIM($L936),"'",""),"İ","I"),"ı","I"),"i","I"),"Ş","S"),"ş","S"),"Ğ","G"),"ğ","G"),"Ü","U"),"ü","U"),"Ö","O"),"ö","O"),"Ç","C"),"ç","C"),".",""),",","")," ",""),"-","")))</f>
        <v/>
      </c>
      <c r="T936" s="3">
        <f>IF(OR($C936="",$D936&lt;&gt;"Gelir",$L936=""),"",IFERROR(INDEX(MUSTERILER!$B$7:$B$106,MATCH($S936,MUSTERILER!$T$7:$T$106,0)),""))</f>
        <v/>
      </c>
      <c r="U936" s="3">
        <f>IF($T936="","",$T936&amp;"|"&amp;COUNTIFS($T$7:$T936,$T936))</f>
        <v/>
      </c>
      <c r="V936" s="3">
        <f>IF($T936="",0,1)</f>
        <v/>
      </c>
      <c r="W936" s="3">
        <f>IF($C936="","",$D936&amp;"|"&amp;$E936&amp;"|"&amp;TEXT($C936,"0")&amp;"|"&amp;TEXT($G936,"0")&amp;"|"&amp;$J936)</f>
        <v/>
      </c>
      <c r="X936" s="3" t="n"/>
      <c r="Y936" s="3" t="n"/>
      <c r="Z936" s="3" t="n"/>
      <c r="AA936" s="3" t="n"/>
      <c r="AB936" s="3" t="n"/>
      <c r="AC936" s="3" t="n"/>
      <c r="AD936" s="3">
        <f>IF($C936="",0,SUMPRODUCT((AY_SONU!$O$7:$O$42="Evet")*(AY_SONU!$B$7:$B$42=DATE(YEAR($C936),MONTH($C936),1))))</f>
        <v/>
      </c>
    </row>
    <row r="937">
      <c r="A937" s="6" t="n"/>
      <c r="B937" s="113">
        <f>IF($C937="","","GG"&amp;TEXT(ROW()-6,"00000"))</f>
        <v/>
      </c>
      <c r="C937" s="220" t="n"/>
      <c r="D937" s="108" t="n"/>
      <c r="E937" s="109" t="n"/>
      <c r="F937" s="109" t="n"/>
      <c r="G937" s="221" t="n"/>
      <c r="H937" s="108" t="n"/>
      <c r="I937" s="108" t="n"/>
      <c r="J937" s="109" t="n"/>
      <c r="K937" s="109" t="n"/>
      <c r="L937" s="108" t="n"/>
      <c r="M937" s="121">
        <f>IF($C937="","",IF($D937="Gider",$E937,IF($L937&lt;&gt;"",$L937,$H937)))</f>
        <v/>
      </c>
      <c r="N937" s="121">
        <f>IF($C937="","",IF($D937="Gider",$H937,$E937))</f>
        <v/>
      </c>
      <c r="O937" s="226">
        <f>IF($C937="","",DATE(YEAR($C937),MONTH($C937),1))</f>
        <v/>
      </c>
      <c r="P937" s="113">
        <f>IF($C937="","",IF(AND($D937="Gelir",$L937&lt;&gt;"",$T937=""),"TANIMSIZ BORÇLU",IF($T937&lt;&gt;"",IF(OR($E937="",$G937&lt;=0),"EKSİK",IF($I937="Evet","TAHAKKUK NAKİT OLAMAZ",IF($C937&gt;TODAY(),"İLERİ TARİH","TAHAKKUK"))),IF(AND($D937&lt;&gt;"",$E937&lt;&gt;"",$G937&gt;0,$H937&lt;&gt;"",$I937&lt;&gt;""),IF($C937&gt;TODAY(),"İLERİ TARİH",IF(COUNTIF($W$7:$W$1206,$W937)&gt;1,"MÜKERRER?",IF($AD937&gt;0,"KAPALI DÖNEM",IF($I937="Hayır","ÖDENECEK","UYGUN")))),"EKSİK"))))</f>
        <v/>
      </c>
      <c r="Q937" s="6" t="n"/>
      <c r="R937" s="6" t="n"/>
      <c r="S937" s="3">
        <f>IF($L937="","",UPPER(SUBSTITUTE(SUBSTITUTE(SUBSTITUTE(SUBSTITUTE(SUBSTITUTE(SUBSTITUTE(SUBSTITUTE(SUBSTITUTE(SUBSTITUTE(SUBSTITUTE(SUBSTITUTE(SUBSTITUTE(SUBSTITUTE(SUBSTITUTE(SUBSTITUTE(SUBSTITUTE(SUBSTITUTE(SUBSTITUTE(TRIM($L937),"'",""),"İ","I"),"ı","I"),"i","I"),"Ş","S"),"ş","S"),"Ğ","G"),"ğ","G"),"Ü","U"),"ü","U"),"Ö","O"),"ö","O"),"Ç","C"),"ç","C"),".",""),",","")," ",""),"-","")))</f>
        <v/>
      </c>
      <c r="T937" s="3">
        <f>IF(OR($C937="",$D937&lt;&gt;"Gelir",$L937=""),"",IFERROR(INDEX(MUSTERILER!$B$7:$B$106,MATCH($S937,MUSTERILER!$T$7:$T$106,0)),""))</f>
        <v/>
      </c>
      <c r="U937" s="3">
        <f>IF($T937="","",$T937&amp;"|"&amp;COUNTIFS($T$7:$T937,$T937))</f>
        <v/>
      </c>
      <c r="V937" s="3">
        <f>IF($T937="",0,1)</f>
        <v/>
      </c>
      <c r="W937" s="3">
        <f>IF($C937="","",$D937&amp;"|"&amp;$E937&amp;"|"&amp;TEXT($C937,"0")&amp;"|"&amp;TEXT($G937,"0")&amp;"|"&amp;$J937)</f>
        <v/>
      </c>
      <c r="X937" s="3" t="n"/>
      <c r="Y937" s="3" t="n"/>
      <c r="Z937" s="3" t="n"/>
      <c r="AA937" s="3" t="n"/>
      <c r="AB937" s="3" t="n"/>
      <c r="AC937" s="3" t="n"/>
      <c r="AD937" s="3">
        <f>IF($C937="",0,SUMPRODUCT((AY_SONU!$O$7:$O$42="Evet")*(AY_SONU!$B$7:$B$42=DATE(YEAR($C937),MONTH($C937),1))))</f>
        <v/>
      </c>
    </row>
    <row r="938">
      <c r="A938" s="6" t="n"/>
      <c r="B938" s="113">
        <f>IF($C938="","","GG"&amp;TEXT(ROW()-6,"00000"))</f>
        <v/>
      </c>
      <c r="C938" s="220" t="n"/>
      <c r="D938" s="108" t="n"/>
      <c r="E938" s="109" t="n"/>
      <c r="F938" s="109" t="n"/>
      <c r="G938" s="221" t="n"/>
      <c r="H938" s="108" t="n"/>
      <c r="I938" s="108" t="n"/>
      <c r="J938" s="109" t="n"/>
      <c r="K938" s="109" t="n"/>
      <c r="L938" s="108" t="n"/>
      <c r="M938" s="121">
        <f>IF($C938="","",IF($D938="Gider",$E938,IF($L938&lt;&gt;"",$L938,$H938)))</f>
        <v/>
      </c>
      <c r="N938" s="121">
        <f>IF($C938="","",IF($D938="Gider",$H938,$E938))</f>
        <v/>
      </c>
      <c r="O938" s="226">
        <f>IF($C938="","",DATE(YEAR($C938),MONTH($C938),1))</f>
        <v/>
      </c>
      <c r="P938" s="113">
        <f>IF($C938="","",IF(AND($D938="Gelir",$L938&lt;&gt;"",$T938=""),"TANIMSIZ BORÇLU",IF($T938&lt;&gt;"",IF(OR($E938="",$G938&lt;=0),"EKSİK",IF($I938="Evet","TAHAKKUK NAKİT OLAMAZ",IF($C938&gt;TODAY(),"İLERİ TARİH","TAHAKKUK"))),IF(AND($D938&lt;&gt;"",$E938&lt;&gt;"",$G938&gt;0,$H938&lt;&gt;"",$I938&lt;&gt;""),IF($C938&gt;TODAY(),"İLERİ TARİH",IF(COUNTIF($W$7:$W$1206,$W938)&gt;1,"MÜKERRER?",IF($AD938&gt;0,"KAPALI DÖNEM",IF($I938="Hayır","ÖDENECEK","UYGUN")))),"EKSİK"))))</f>
        <v/>
      </c>
      <c r="Q938" s="6" t="n"/>
      <c r="R938" s="6" t="n"/>
      <c r="S938" s="3">
        <f>IF($L938="","",UPPER(SUBSTITUTE(SUBSTITUTE(SUBSTITUTE(SUBSTITUTE(SUBSTITUTE(SUBSTITUTE(SUBSTITUTE(SUBSTITUTE(SUBSTITUTE(SUBSTITUTE(SUBSTITUTE(SUBSTITUTE(SUBSTITUTE(SUBSTITUTE(SUBSTITUTE(SUBSTITUTE(SUBSTITUTE(SUBSTITUTE(TRIM($L938),"'",""),"İ","I"),"ı","I"),"i","I"),"Ş","S"),"ş","S"),"Ğ","G"),"ğ","G"),"Ü","U"),"ü","U"),"Ö","O"),"ö","O"),"Ç","C"),"ç","C"),".",""),",","")," ",""),"-","")))</f>
        <v/>
      </c>
      <c r="T938" s="3">
        <f>IF(OR($C938="",$D938&lt;&gt;"Gelir",$L938=""),"",IFERROR(INDEX(MUSTERILER!$B$7:$B$106,MATCH($S938,MUSTERILER!$T$7:$T$106,0)),""))</f>
        <v/>
      </c>
      <c r="U938" s="3">
        <f>IF($T938="","",$T938&amp;"|"&amp;COUNTIFS($T$7:$T938,$T938))</f>
        <v/>
      </c>
      <c r="V938" s="3">
        <f>IF($T938="",0,1)</f>
        <v/>
      </c>
      <c r="W938" s="3">
        <f>IF($C938="","",$D938&amp;"|"&amp;$E938&amp;"|"&amp;TEXT($C938,"0")&amp;"|"&amp;TEXT($G938,"0")&amp;"|"&amp;$J938)</f>
        <v/>
      </c>
      <c r="X938" s="3" t="n"/>
      <c r="Y938" s="3" t="n"/>
      <c r="Z938" s="3" t="n"/>
      <c r="AA938" s="3" t="n"/>
      <c r="AB938" s="3" t="n"/>
      <c r="AC938" s="3" t="n"/>
      <c r="AD938" s="3">
        <f>IF($C938="",0,SUMPRODUCT((AY_SONU!$O$7:$O$42="Evet")*(AY_SONU!$B$7:$B$42=DATE(YEAR($C938),MONTH($C938),1))))</f>
        <v/>
      </c>
    </row>
    <row r="939">
      <c r="A939" s="6" t="n"/>
      <c r="B939" s="113">
        <f>IF($C939="","","GG"&amp;TEXT(ROW()-6,"00000"))</f>
        <v/>
      </c>
      <c r="C939" s="220" t="n"/>
      <c r="D939" s="108" t="n"/>
      <c r="E939" s="109" t="n"/>
      <c r="F939" s="109" t="n"/>
      <c r="G939" s="221" t="n"/>
      <c r="H939" s="108" t="n"/>
      <c r="I939" s="108" t="n"/>
      <c r="J939" s="109" t="n"/>
      <c r="K939" s="109" t="n"/>
      <c r="L939" s="108" t="n"/>
      <c r="M939" s="121">
        <f>IF($C939="","",IF($D939="Gider",$E939,IF($L939&lt;&gt;"",$L939,$H939)))</f>
        <v/>
      </c>
      <c r="N939" s="121">
        <f>IF($C939="","",IF($D939="Gider",$H939,$E939))</f>
        <v/>
      </c>
      <c r="O939" s="226">
        <f>IF($C939="","",DATE(YEAR($C939),MONTH($C939),1))</f>
        <v/>
      </c>
      <c r="P939" s="113">
        <f>IF($C939="","",IF(AND($D939="Gelir",$L939&lt;&gt;"",$T939=""),"TANIMSIZ BORÇLU",IF($T939&lt;&gt;"",IF(OR($E939="",$G939&lt;=0),"EKSİK",IF($I939="Evet","TAHAKKUK NAKİT OLAMAZ",IF($C939&gt;TODAY(),"İLERİ TARİH","TAHAKKUK"))),IF(AND($D939&lt;&gt;"",$E939&lt;&gt;"",$G939&gt;0,$H939&lt;&gt;"",$I939&lt;&gt;""),IF($C939&gt;TODAY(),"İLERİ TARİH",IF(COUNTIF($W$7:$W$1206,$W939)&gt;1,"MÜKERRER?",IF($AD939&gt;0,"KAPALI DÖNEM",IF($I939="Hayır","ÖDENECEK","UYGUN")))),"EKSİK"))))</f>
        <v/>
      </c>
      <c r="Q939" s="6" t="n"/>
      <c r="R939" s="6" t="n"/>
      <c r="S939" s="3">
        <f>IF($L939="","",UPPER(SUBSTITUTE(SUBSTITUTE(SUBSTITUTE(SUBSTITUTE(SUBSTITUTE(SUBSTITUTE(SUBSTITUTE(SUBSTITUTE(SUBSTITUTE(SUBSTITUTE(SUBSTITUTE(SUBSTITUTE(SUBSTITUTE(SUBSTITUTE(SUBSTITUTE(SUBSTITUTE(SUBSTITUTE(SUBSTITUTE(TRIM($L939),"'",""),"İ","I"),"ı","I"),"i","I"),"Ş","S"),"ş","S"),"Ğ","G"),"ğ","G"),"Ü","U"),"ü","U"),"Ö","O"),"ö","O"),"Ç","C"),"ç","C"),".",""),",","")," ",""),"-","")))</f>
        <v/>
      </c>
      <c r="T939" s="3">
        <f>IF(OR($C939="",$D939&lt;&gt;"Gelir",$L939=""),"",IFERROR(INDEX(MUSTERILER!$B$7:$B$106,MATCH($S939,MUSTERILER!$T$7:$T$106,0)),""))</f>
        <v/>
      </c>
      <c r="U939" s="3">
        <f>IF($T939="","",$T939&amp;"|"&amp;COUNTIFS($T$7:$T939,$T939))</f>
        <v/>
      </c>
      <c r="V939" s="3">
        <f>IF($T939="",0,1)</f>
        <v/>
      </c>
      <c r="W939" s="3">
        <f>IF($C939="","",$D939&amp;"|"&amp;$E939&amp;"|"&amp;TEXT($C939,"0")&amp;"|"&amp;TEXT($G939,"0")&amp;"|"&amp;$J939)</f>
        <v/>
      </c>
      <c r="X939" s="3" t="n"/>
      <c r="Y939" s="3" t="n"/>
      <c r="Z939" s="3" t="n"/>
      <c r="AA939" s="3" t="n"/>
      <c r="AB939" s="3" t="n"/>
      <c r="AC939" s="3" t="n"/>
      <c r="AD939" s="3">
        <f>IF($C939="",0,SUMPRODUCT((AY_SONU!$O$7:$O$42="Evet")*(AY_SONU!$B$7:$B$42=DATE(YEAR($C939),MONTH($C939),1))))</f>
        <v/>
      </c>
    </row>
    <row r="940">
      <c r="A940" s="6" t="n"/>
      <c r="B940" s="113">
        <f>IF($C940="","","GG"&amp;TEXT(ROW()-6,"00000"))</f>
        <v/>
      </c>
      <c r="C940" s="220" t="n"/>
      <c r="D940" s="108" t="n"/>
      <c r="E940" s="109" t="n"/>
      <c r="F940" s="109" t="n"/>
      <c r="G940" s="221" t="n"/>
      <c r="H940" s="108" t="n"/>
      <c r="I940" s="108" t="n"/>
      <c r="J940" s="109" t="n"/>
      <c r="K940" s="109" t="n"/>
      <c r="L940" s="108" t="n"/>
      <c r="M940" s="121">
        <f>IF($C940="","",IF($D940="Gider",$E940,IF($L940&lt;&gt;"",$L940,$H940)))</f>
        <v/>
      </c>
      <c r="N940" s="121">
        <f>IF($C940="","",IF($D940="Gider",$H940,$E940))</f>
        <v/>
      </c>
      <c r="O940" s="226">
        <f>IF($C940="","",DATE(YEAR($C940),MONTH($C940),1))</f>
        <v/>
      </c>
      <c r="P940" s="113">
        <f>IF($C940="","",IF(AND($D940="Gelir",$L940&lt;&gt;"",$T940=""),"TANIMSIZ BORÇLU",IF($T940&lt;&gt;"",IF(OR($E940="",$G940&lt;=0),"EKSİK",IF($I940="Evet","TAHAKKUK NAKİT OLAMAZ",IF($C940&gt;TODAY(),"İLERİ TARİH","TAHAKKUK"))),IF(AND($D940&lt;&gt;"",$E940&lt;&gt;"",$G940&gt;0,$H940&lt;&gt;"",$I940&lt;&gt;""),IF($C940&gt;TODAY(),"İLERİ TARİH",IF(COUNTIF($W$7:$W$1206,$W940)&gt;1,"MÜKERRER?",IF($AD940&gt;0,"KAPALI DÖNEM",IF($I940="Hayır","ÖDENECEK","UYGUN")))),"EKSİK"))))</f>
        <v/>
      </c>
      <c r="Q940" s="6" t="n"/>
      <c r="R940" s="6" t="n"/>
      <c r="S940" s="3">
        <f>IF($L940="","",UPPER(SUBSTITUTE(SUBSTITUTE(SUBSTITUTE(SUBSTITUTE(SUBSTITUTE(SUBSTITUTE(SUBSTITUTE(SUBSTITUTE(SUBSTITUTE(SUBSTITUTE(SUBSTITUTE(SUBSTITUTE(SUBSTITUTE(SUBSTITUTE(SUBSTITUTE(SUBSTITUTE(SUBSTITUTE(SUBSTITUTE(TRIM($L940),"'",""),"İ","I"),"ı","I"),"i","I"),"Ş","S"),"ş","S"),"Ğ","G"),"ğ","G"),"Ü","U"),"ü","U"),"Ö","O"),"ö","O"),"Ç","C"),"ç","C"),".",""),",","")," ",""),"-","")))</f>
        <v/>
      </c>
      <c r="T940" s="3">
        <f>IF(OR($C940="",$D940&lt;&gt;"Gelir",$L940=""),"",IFERROR(INDEX(MUSTERILER!$B$7:$B$106,MATCH($S940,MUSTERILER!$T$7:$T$106,0)),""))</f>
        <v/>
      </c>
      <c r="U940" s="3">
        <f>IF($T940="","",$T940&amp;"|"&amp;COUNTIFS($T$7:$T940,$T940))</f>
        <v/>
      </c>
      <c r="V940" s="3">
        <f>IF($T940="",0,1)</f>
        <v/>
      </c>
      <c r="W940" s="3">
        <f>IF($C940="","",$D940&amp;"|"&amp;$E940&amp;"|"&amp;TEXT($C940,"0")&amp;"|"&amp;TEXT($G940,"0")&amp;"|"&amp;$J940)</f>
        <v/>
      </c>
      <c r="X940" s="3" t="n"/>
      <c r="Y940" s="3" t="n"/>
      <c r="Z940" s="3" t="n"/>
      <c r="AA940" s="3" t="n"/>
      <c r="AB940" s="3" t="n"/>
      <c r="AC940" s="3" t="n"/>
      <c r="AD940" s="3">
        <f>IF($C940="",0,SUMPRODUCT((AY_SONU!$O$7:$O$42="Evet")*(AY_SONU!$B$7:$B$42=DATE(YEAR($C940),MONTH($C940),1))))</f>
        <v/>
      </c>
    </row>
    <row r="941">
      <c r="A941" s="6" t="n"/>
      <c r="B941" s="113">
        <f>IF($C941="","","GG"&amp;TEXT(ROW()-6,"00000"))</f>
        <v/>
      </c>
      <c r="C941" s="220" t="n"/>
      <c r="D941" s="108" t="n"/>
      <c r="E941" s="109" t="n"/>
      <c r="F941" s="109" t="n"/>
      <c r="G941" s="221" t="n"/>
      <c r="H941" s="108" t="n"/>
      <c r="I941" s="108" t="n"/>
      <c r="J941" s="109" t="n"/>
      <c r="K941" s="109" t="n"/>
      <c r="L941" s="108" t="n"/>
      <c r="M941" s="121">
        <f>IF($C941="","",IF($D941="Gider",$E941,IF($L941&lt;&gt;"",$L941,$H941)))</f>
        <v/>
      </c>
      <c r="N941" s="121">
        <f>IF($C941="","",IF($D941="Gider",$H941,$E941))</f>
        <v/>
      </c>
      <c r="O941" s="226">
        <f>IF($C941="","",DATE(YEAR($C941),MONTH($C941),1))</f>
        <v/>
      </c>
      <c r="P941" s="113">
        <f>IF($C941="","",IF(AND($D941="Gelir",$L941&lt;&gt;"",$T941=""),"TANIMSIZ BORÇLU",IF($T941&lt;&gt;"",IF(OR($E941="",$G941&lt;=0),"EKSİK",IF($I941="Evet","TAHAKKUK NAKİT OLAMAZ",IF($C941&gt;TODAY(),"İLERİ TARİH","TAHAKKUK"))),IF(AND($D941&lt;&gt;"",$E941&lt;&gt;"",$G941&gt;0,$H941&lt;&gt;"",$I941&lt;&gt;""),IF($C941&gt;TODAY(),"İLERİ TARİH",IF(COUNTIF($W$7:$W$1206,$W941)&gt;1,"MÜKERRER?",IF($AD941&gt;0,"KAPALI DÖNEM",IF($I941="Hayır","ÖDENECEK","UYGUN")))),"EKSİK"))))</f>
        <v/>
      </c>
      <c r="Q941" s="6" t="n"/>
      <c r="R941" s="6" t="n"/>
      <c r="S941" s="3">
        <f>IF($L941="","",UPPER(SUBSTITUTE(SUBSTITUTE(SUBSTITUTE(SUBSTITUTE(SUBSTITUTE(SUBSTITUTE(SUBSTITUTE(SUBSTITUTE(SUBSTITUTE(SUBSTITUTE(SUBSTITUTE(SUBSTITUTE(SUBSTITUTE(SUBSTITUTE(SUBSTITUTE(SUBSTITUTE(SUBSTITUTE(SUBSTITUTE(TRIM($L941),"'",""),"İ","I"),"ı","I"),"i","I"),"Ş","S"),"ş","S"),"Ğ","G"),"ğ","G"),"Ü","U"),"ü","U"),"Ö","O"),"ö","O"),"Ç","C"),"ç","C"),".",""),",","")," ",""),"-","")))</f>
        <v/>
      </c>
      <c r="T941" s="3">
        <f>IF(OR($C941="",$D941&lt;&gt;"Gelir",$L941=""),"",IFERROR(INDEX(MUSTERILER!$B$7:$B$106,MATCH($S941,MUSTERILER!$T$7:$T$106,0)),""))</f>
        <v/>
      </c>
      <c r="U941" s="3">
        <f>IF($T941="","",$T941&amp;"|"&amp;COUNTIFS($T$7:$T941,$T941))</f>
        <v/>
      </c>
      <c r="V941" s="3">
        <f>IF($T941="",0,1)</f>
        <v/>
      </c>
      <c r="W941" s="3">
        <f>IF($C941="","",$D941&amp;"|"&amp;$E941&amp;"|"&amp;TEXT($C941,"0")&amp;"|"&amp;TEXT($G941,"0")&amp;"|"&amp;$J941)</f>
        <v/>
      </c>
      <c r="X941" s="3" t="n"/>
      <c r="Y941" s="3" t="n"/>
      <c r="Z941" s="3" t="n"/>
      <c r="AA941" s="3" t="n"/>
      <c r="AB941" s="3" t="n"/>
      <c r="AC941" s="3" t="n"/>
      <c r="AD941" s="3">
        <f>IF($C941="",0,SUMPRODUCT((AY_SONU!$O$7:$O$42="Evet")*(AY_SONU!$B$7:$B$42=DATE(YEAR($C941),MONTH($C941),1))))</f>
        <v/>
      </c>
    </row>
    <row r="942">
      <c r="A942" s="6" t="n"/>
      <c r="B942" s="113">
        <f>IF($C942="","","GG"&amp;TEXT(ROW()-6,"00000"))</f>
        <v/>
      </c>
      <c r="C942" s="220" t="n"/>
      <c r="D942" s="108" t="n"/>
      <c r="E942" s="109" t="n"/>
      <c r="F942" s="109" t="n"/>
      <c r="G942" s="221" t="n"/>
      <c r="H942" s="108" t="n"/>
      <c r="I942" s="108" t="n"/>
      <c r="J942" s="109" t="n"/>
      <c r="K942" s="109" t="n"/>
      <c r="L942" s="108" t="n"/>
      <c r="M942" s="121">
        <f>IF($C942="","",IF($D942="Gider",$E942,IF($L942&lt;&gt;"",$L942,$H942)))</f>
        <v/>
      </c>
      <c r="N942" s="121">
        <f>IF($C942="","",IF($D942="Gider",$H942,$E942))</f>
        <v/>
      </c>
      <c r="O942" s="226">
        <f>IF($C942="","",DATE(YEAR($C942),MONTH($C942),1))</f>
        <v/>
      </c>
      <c r="P942" s="113">
        <f>IF($C942="","",IF(AND($D942="Gelir",$L942&lt;&gt;"",$T942=""),"TANIMSIZ BORÇLU",IF($T942&lt;&gt;"",IF(OR($E942="",$G942&lt;=0),"EKSİK",IF($I942="Evet","TAHAKKUK NAKİT OLAMAZ",IF($C942&gt;TODAY(),"İLERİ TARİH","TAHAKKUK"))),IF(AND($D942&lt;&gt;"",$E942&lt;&gt;"",$G942&gt;0,$H942&lt;&gt;"",$I942&lt;&gt;""),IF($C942&gt;TODAY(),"İLERİ TARİH",IF(COUNTIF($W$7:$W$1206,$W942)&gt;1,"MÜKERRER?",IF($AD942&gt;0,"KAPALI DÖNEM",IF($I942="Hayır","ÖDENECEK","UYGUN")))),"EKSİK"))))</f>
        <v/>
      </c>
      <c r="Q942" s="6" t="n"/>
      <c r="R942" s="6" t="n"/>
      <c r="S942" s="3">
        <f>IF($L942="","",UPPER(SUBSTITUTE(SUBSTITUTE(SUBSTITUTE(SUBSTITUTE(SUBSTITUTE(SUBSTITUTE(SUBSTITUTE(SUBSTITUTE(SUBSTITUTE(SUBSTITUTE(SUBSTITUTE(SUBSTITUTE(SUBSTITUTE(SUBSTITUTE(SUBSTITUTE(SUBSTITUTE(SUBSTITUTE(SUBSTITUTE(TRIM($L942),"'",""),"İ","I"),"ı","I"),"i","I"),"Ş","S"),"ş","S"),"Ğ","G"),"ğ","G"),"Ü","U"),"ü","U"),"Ö","O"),"ö","O"),"Ç","C"),"ç","C"),".",""),",","")," ",""),"-","")))</f>
        <v/>
      </c>
      <c r="T942" s="3">
        <f>IF(OR($C942="",$D942&lt;&gt;"Gelir",$L942=""),"",IFERROR(INDEX(MUSTERILER!$B$7:$B$106,MATCH($S942,MUSTERILER!$T$7:$T$106,0)),""))</f>
        <v/>
      </c>
      <c r="U942" s="3">
        <f>IF($T942="","",$T942&amp;"|"&amp;COUNTIFS($T$7:$T942,$T942))</f>
        <v/>
      </c>
      <c r="V942" s="3">
        <f>IF($T942="",0,1)</f>
        <v/>
      </c>
      <c r="W942" s="3">
        <f>IF($C942="","",$D942&amp;"|"&amp;$E942&amp;"|"&amp;TEXT($C942,"0")&amp;"|"&amp;TEXT($G942,"0")&amp;"|"&amp;$J942)</f>
        <v/>
      </c>
      <c r="X942" s="3" t="n"/>
      <c r="Y942" s="3" t="n"/>
      <c r="Z942" s="3" t="n"/>
      <c r="AA942" s="3" t="n"/>
      <c r="AB942" s="3" t="n"/>
      <c r="AC942" s="3" t="n"/>
      <c r="AD942" s="3">
        <f>IF($C942="",0,SUMPRODUCT((AY_SONU!$O$7:$O$42="Evet")*(AY_SONU!$B$7:$B$42=DATE(YEAR($C942),MONTH($C942),1))))</f>
        <v/>
      </c>
    </row>
    <row r="943">
      <c r="A943" s="6" t="n"/>
      <c r="B943" s="113">
        <f>IF($C943="","","GG"&amp;TEXT(ROW()-6,"00000"))</f>
        <v/>
      </c>
      <c r="C943" s="220" t="n"/>
      <c r="D943" s="108" t="n"/>
      <c r="E943" s="109" t="n"/>
      <c r="F943" s="109" t="n"/>
      <c r="G943" s="221" t="n"/>
      <c r="H943" s="108" t="n"/>
      <c r="I943" s="108" t="n"/>
      <c r="J943" s="109" t="n"/>
      <c r="K943" s="109" t="n"/>
      <c r="L943" s="108" t="n"/>
      <c r="M943" s="121">
        <f>IF($C943="","",IF($D943="Gider",$E943,IF($L943&lt;&gt;"",$L943,$H943)))</f>
        <v/>
      </c>
      <c r="N943" s="121">
        <f>IF($C943="","",IF($D943="Gider",$H943,$E943))</f>
        <v/>
      </c>
      <c r="O943" s="226">
        <f>IF($C943="","",DATE(YEAR($C943),MONTH($C943),1))</f>
        <v/>
      </c>
      <c r="P943" s="113">
        <f>IF($C943="","",IF(AND($D943="Gelir",$L943&lt;&gt;"",$T943=""),"TANIMSIZ BORÇLU",IF($T943&lt;&gt;"",IF(OR($E943="",$G943&lt;=0),"EKSİK",IF($I943="Evet","TAHAKKUK NAKİT OLAMAZ",IF($C943&gt;TODAY(),"İLERİ TARİH","TAHAKKUK"))),IF(AND($D943&lt;&gt;"",$E943&lt;&gt;"",$G943&gt;0,$H943&lt;&gt;"",$I943&lt;&gt;""),IF($C943&gt;TODAY(),"İLERİ TARİH",IF(COUNTIF($W$7:$W$1206,$W943)&gt;1,"MÜKERRER?",IF($AD943&gt;0,"KAPALI DÖNEM",IF($I943="Hayır","ÖDENECEK","UYGUN")))),"EKSİK"))))</f>
        <v/>
      </c>
      <c r="Q943" s="6" t="n"/>
      <c r="R943" s="6" t="n"/>
      <c r="S943" s="3">
        <f>IF($L943="","",UPPER(SUBSTITUTE(SUBSTITUTE(SUBSTITUTE(SUBSTITUTE(SUBSTITUTE(SUBSTITUTE(SUBSTITUTE(SUBSTITUTE(SUBSTITUTE(SUBSTITUTE(SUBSTITUTE(SUBSTITUTE(SUBSTITUTE(SUBSTITUTE(SUBSTITUTE(SUBSTITUTE(SUBSTITUTE(SUBSTITUTE(TRIM($L943),"'",""),"İ","I"),"ı","I"),"i","I"),"Ş","S"),"ş","S"),"Ğ","G"),"ğ","G"),"Ü","U"),"ü","U"),"Ö","O"),"ö","O"),"Ç","C"),"ç","C"),".",""),",","")," ",""),"-","")))</f>
        <v/>
      </c>
      <c r="T943" s="3">
        <f>IF(OR($C943="",$D943&lt;&gt;"Gelir",$L943=""),"",IFERROR(INDEX(MUSTERILER!$B$7:$B$106,MATCH($S943,MUSTERILER!$T$7:$T$106,0)),""))</f>
        <v/>
      </c>
      <c r="U943" s="3">
        <f>IF($T943="","",$T943&amp;"|"&amp;COUNTIFS($T$7:$T943,$T943))</f>
        <v/>
      </c>
      <c r="V943" s="3">
        <f>IF($T943="",0,1)</f>
        <v/>
      </c>
      <c r="W943" s="3">
        <f>IF($C943="","",$D943&amp;"|"&amp;$E943&amp;"|"&amp;TEXT($C943,"0")&amp;"|"&amp;TEXT($G943,"0")&amp;"|"&amp;$J943)</f>
        <v/>
      </c>
      <c r="X943" s="3" t="n"/>
      <c r="Y943" s="3" t="n"/>
      <c r="Z943" s="3" t="n"/>
      <c r="AA943" s="3" t="n"/>
      <c r="AB943" s="3" t="n"/>
      <c r="AC943" s="3" t="n"/>
      <c r="AD943" s="3">
        <f>IF($C943="",0,SUMPRODUCT((AY_SONU!$O$7:$O$42="Evet")*(AY_SONU!$B$7:$B$42=DATE(YEAR($C943),MONTH($C943),1))))</f>
        <v/>
      </c>
    </row>
    <row r="944">
      <c r="A944" s="6" t="n"/>
      <c r="B944" s="113">
        <f>IF($C944="","","GG"&amp;TEXT(ROW()-6,"00000"))</f>
        <v/>
      </c>
      <c r="C944" s="220" t="n"/>
      <c r="D944" s="108" t="n"/>
      <c r="E944" s="109" t="n"/>
      <c r="F944" s="109" t="n"/>
      <c r="G944" s="221" t="n"/>
      <c r="H944" s="108" t="n"/>
      <c r="I944" s="108" t="n"/>
      <c r="J944" s="109" t="n"/>
      <c r="K944" s="109" t="n"/>
      <c r="L944" s="108" t="n"/>
      <c r="M944" s="121">
        <f>IF($C944="","",IF($D944="Gider",$E944,IF($L944&lt;&gt;"",$L944,$H944)))</f>
        <v/>
      </c>
      <c r="N944" s="121">
        <f>IF($C944="","",IF($D944="Gider",$H944,$E944))</f>
        <v/>
      </c>
      <c r="O944" s="226">
        <f>IF($C944="","",DATE(YEAR($C944),MONTH($C944),1))</f>
        <v/>
      </c>
      <c r="P944" s="113">
        <f>IF($C944="","",IF(AND($D944="Gelir",$L944&lt;&gt;"",$T944=""),"TANIMSIZ BORÇLU",IF($T944&lt;&gt;"",IF(OR($E944="",$G944&lt;=0),"EKSİK",IF($I944="Evet","TAHAKKUK NAKİT OLAMAZ",IF($C944&gt;TODAY(),"İLERİ TARİH","TAHAKKUK"))),IF(AND($D944&lt;&gt;"",$E944&lt;&gt;"",$G944&gt;0,$H944&lt;&gt;"",$I944&lt;&gt;""),IF($C944&gt;TODAY(),"İLERİ TARİH",IF(COUNTIF($W$7:$W$1206,$W944)&gt;1,"MÜKERRER?",IF($AD944&gt;0,"KAPALI DÖNEM",IF($I944="Hayır","ÖDENECEK","UYGUN")))),"EKSİK"))))</f>
        <v/>
      </c>
      <c r="Q944" s="6" t="n"/>
      <c r="R944" s="6" t="n"/>
      <c r="S944" s="3">
        <f>IF($L944="","",UPPER(SUBSTITUTE(SUBSTITUTE(SUBSTITUTE(SUBSTITUTE(SUBSTITUTE(SUBSTITUTE(SUBSTITUTE(SUBSTITUTE(SUBSTITUTE(SUBSTITUTE(SUBSTITUTE(SUBSTITUTE(SUBSTITUTE(SUBSTITUTE(SUBSTITUTE(SUBSTITUTE(SUBSTITUTE(SUBSTITUTE(TRIM($L944),"'",""),"İ","I"),"ı","I"),"i","I"),"Ş","S"),"ş","S"),"Ğ","G"),"ğ","G"),"Ü","U"),"ü","U"),"Ö","O"),"ö","O"),"Ç","C"),"ç","C"),".",""),",","")," ",""),"-","")))</f>
        <v/>
      </c>
      <c r="T944" s="3">
        <f>IF(OR($C944="",$D944&lt;&gt;"Gelir",$L944=""),"",IFERROR(INDEX(MUSTERILER!$B$7:$B$106,MATCH($S944,MUSTERILER!$T$7:$T$106,0)),""))</f>
        <v/>
      </c>
      <c r="U944" s="3">
        <f>IF($T944="","",$T944&amp;"|"&amp;COUNTIFS($T$7:$T944,$T944))</f>
        <v/>
      </c>
      <c r="V944" s="3">
        <f>IF($T944="",0,1)</f>
        <v/>
      </c>
      <c r="W944" s="3">
        <f>IF($C944="","",$D944&amp;"|"&amp;$E944&amp;"|"&amp;TEXT($C944,"0")&amp;"|"&amp;TEXT($G944,"0")&amp;"|"&amp;$J944)</f>
        <v/>
      </c>
      <c r="X944" s="3" t="n"/>
      <c r="Y944" s="3" t="n"/>
      <c r="Z944" s="3" t="n"/>
      <c r="AA944" s="3" t="n"/>
      <c r="AB944" s="3" t="n"/>
      <c r="AC944" s="3" t="n"/>
      <c r="AD944" s="3">
        <f>IF($C944="",0,SUMPRODUCT((AY_SONU!$O$7:$O$42="Evet")*(AY_SONU!$B$7:$B$42=DATE(YEAR($C944),MONTH($C944),1))))</f>
        <v/>
      </c>
    </row>
    <row r="945">
      <c r="A945" s="6" t="n"/>
      <c r="B945" s="113">
        <f>IF($C945="","","GG"&amp;TEXT(ROW()-6,"00000"))</f>
        <v/>
      </c>
      <c r="C945" s="220" t="n"/>
      <c r="D945" s="108" t="n"/>
      <c r="E945" s="109" t="n"/>
      <c r="F945" s="109" t="n"/>
      <c r="G945" s="221" t="n"/>
      <c r="H945" s="108" t="n"/>
      <c r="I945" s="108" t="n"/>
      <c r="J945" s="109" t="n"/>
      <c r="K945" s="109" t="n"/>
      <c r="L945" s="108" t="n"/>
      <c r="M945" s="121">
        <f>IF($C945="","",IF($D945="Gider",$E945,IF($L945&lt;&gt;"",$L945,$H945)))</f>
        <v/>
      </c>
      <c r="N945" s="121">
        <f>IF($C945="","",IF($D945="Gider",$H945,$E945))</f>
        <v/>
      </c>
      <c r="O945" s="226">
        <f>IF($C945="","",DATE(YEAR($C945),MONTH($C945),1))</f>
        <v/>
      </c>
      <c r="P945" s="113">
        <f>IF($C945="","",IF(AND($D945="Gelir",$L945&lt;&gt;"",$T945=""),"TANIMSIZ BORÇLU",IF($T945&lt;&gt;"",IF(OR($E945="",$G945&lt;=0),"EKSİK",IF($I945="Evet","TAHAKKUK NAKİT OLAMAZ",IF($C945&gt;TODAY(),"İLERİ TARİH","TAHAKKUK"))),IF(AND($D945&lt;&gt;"",$E945&lt;&gt;"",$G945&gt;0,$H945&lt;&gt;"",$I945&lt;&gt;""),IF($C945&gt;TODAY(),"İLERİ TARİH",IF(COUNTIF($W$7:$W$1206,$W945)&gt;1,"MÜKERRER?",IF($AD945&gt;0,"KAPALI DÖNEM",IF($I945="Hayır","ÖDENECEK","UYGUN")))),"EKSİK"))))</f>
        <v/>
      </c>
      <c r="Q945" s="6" t="n"/>
      <c r="R945" s="6" t="n"/>
      <c r="S945" s="3">
        <f>IF($L945="","",UPPER(SUBSTITUTE(SUBSTITUTE(SUBSTITUTE(SUBSTITUTE(SUBSTITUTE(SUBSTITUTE(SUBSTITUTE(SUBSTITUTE(SUBSTITUTE(SUBSTITUTE(SUBSTITUTE(SUBSTITUTE(SUBSTITUTE(SUBSTITUTE(SUBSTITUTE(SUBSTITUTE(SUBSTITUTE(SUBSTITUTE(TRIM($L945),"'",""),"İ","I"),"ı","I"),"i","I"),"Ş","S"),"ş","S"),"Ğ","G"),"ğ","G"),"Ü","U"),"ü","U"),"Ö","O"),"ö","O"),"Ç","C"),"ç","C"),".",""),",","")," ",""),"-","")))</f>
        <v/>
      </c>
      <c r="T945" s="3">
        <f>IF(OR($C945="",$D945&lt;&gt;"Gelir",$L945=""),"",IFERROR(INDEX(MUSTERILER!$B$7:$B$106,MATCH($S945,MUSTERILER!$T$7:$T$106,0)),""))</f>
        <v/>
      </c>
      <c r="U945" s="3">
        <f>IF($T945="","",$T945&amp;"|"&amp;COUNTIFS($T$7:$T945,$T945))</f>
        <v/>
      </c>
      <c r="V945" s="3">
        <f>IF($T945="",0,1)</f>
        <v/>
      </c>
      <c r="W945" s="3">
        <f>IF($C945="","",$D945&amp;"|"&amp;$E945&amp;"|"&amp;TEXT($C945,"0")&amp;"|"&amp;TEXT($G945,"0")&amp;"|"&amp;$J945)</f>
        <v/>
      </c>
      <c r="X945" s="3" t="n"/>
      <c r="Y945" s="3" t="n"/>
      <c r="Z945" s="3" t="n"/>
      <c r="AA945" s="3" t="n"/>
      <c r="AB945" s="3" t="n"/>
      <c r="AC945" s="3" t="n"/>
      <c r="AD945" s="3">
        <f>IF($C945="",0,SUMPRODUCT((AY_SONU!$O$7:$O$42="Evet")*(AY_SONU!$B$7:$B$42=DATE(YEAR($C945),MONTH($C945),1))))</f>
        <v/>
      </c>
    </row>
    <row r="946">
      <c r="A946" s="6" t="n"/>
      <c r="B946" s="113">
        <f>IF($C946="","","GG"&amp;TEXT(ROW()-6,"00000"))</f>
        <v/>
      </c>
      <c r="C946" s="220" t="n"/>
      <c r="D946" s="108" t="n"/>
      <c r="E946" s="109" t="n"/>
      <c r="F946" s="109" t="n"/>
      <c r="G946" s="221" t="n"/>
      <c r="H946" s="108" t="n"/>
      <c r="I946" s="108" t="n"/>
      <c r="J946" s="109" t="n"/>
      <c r="K946" s="109" t="n"/>
      <c r="L946" s="108" t="n"/>
      <c r="M946" s="121">
        <f>IF($C946="","",IF($D946="Gider",$E946,IF($L946&lt;&gt;"",$L946,$H946)))</f>
        <v/>
      </c>
      <c r="N946" s="121">
        <f>IF($C946="","",IF($D946="Gider",$H946,$E946))</f>
        <v/>
      </c>
      <c r="O946" s="226">
        <f>IF($C946="","",DATE(YEAR($C946),MONTH($C946),1))</f>
        <v/>
      </c>
      <c r="P946" s="113">
        <f>IF($C946="","",IF(AND($D946="Gelir",$L946&lt;&gt;"",$T946=""),"TANIMSIZ BORÇLU",IF($T946&lt;&gt;"",IF(OR($E946="",$G946&lt;=0),"EKSİK",IF($I946="Evet","TAHAKKUK NAKİT OLAMAZ",IF($C946&gt;TODAY(),"İLERİ TARİH","TAHAKKUK"))),IF(AND($D946&lt;&gt;"",$E946&lt;&gt;"",$G946&gt;0,$H946&lt;&gt;"",$I946&lt;&gt;""),IF($C946&gt;TODAY(),"İLERİ TARİH",IF(COUNTIF($W$7:$W$1206,$W946)&gt;1,"MÜKERRER?",IF($AD946&gt;0,"KAPALI DÖNEM",IF($I946="Hayır","ÖDENECEK","UYGUN")))),"EKSİK"))))</f>
        <v/>
      </c>
      <c r="Q946" s="6" t="n"/>
      <c r="R946" s="6" t="n"/>
      <c r="S946" s="3">
        <f>IF($L946="","",UPPER(SUBSTITUTE(SUBSTITUTE(SUBSTITUTE(SUBSTITUTE(SUBSTITUTE(SUBSTITUTE(SUBSTITUTE(SUBSTITUTE(SUBSTITUTE(SUBSTITUTE(SUBSTITUTE(SUBSTITUTE(SUBSTITUTE(SUBSTITUTE(SUBSTITUTE(SUBSTITUTE(SUBSTITUTE(SUBSTITUTE(TRIM($L946),"'",""),"İ","I"),"ı","I"),"i","I"),"Ş","S"),"ş","S"),"Ğ","G"),"ğ","G"),"Ü","U"),"ü","U"),"Ö","O"),"ö","O"),"Ç","C"),"ç","C"),".",""),",","")," ",""),"-","")))</f>
        <v/>
      </c>
      <c r="T946" s="3">
        <f>IF(OR($C946="",$D946&lt;&gt;"Gelir",$L946=""),"",IFERROR(INDEX(MUSTERILER!$B$7:$B$106,MATCH($S946,MUSTERILER!$T$7:$T$106,0)),""))</f>
        <v/>
      </c>
      <c r="U946" s="3">
        <f>IF($T946="","",$T946&amp;"|"&amp;COUNTIFS($T$7:$T946,$T946))</f>
        <v/>
      </c>
      <c r="V946" s="3">
        <f>IF($T946="",0,1)</f>
        <v/>
      </c>
      <c r="W946" s="3">
        <f>IF($C946="","",$D946&amp;"|"&amp;$E946&amp;"|"&amp;TEXT($C946,"0")&amp;"|"&amp;TEXT($G946,"0")&amp;"|"&amp;$J946)</f>
        <v/>
      </c>
      <c r="X946" s="3" t="n"/>
      <c r="Y946" s="3" t="n"/>
      <c r="Z946" s="3" t="n"/>
      <c r="AA946" s="3" t="n"/>
      <c r="AB946" s="3" t="n"/>
      <c r="AC946" s="3" t="n"/>
      <c r="AD946" s="3">
        <f>IF($C946="",0,SUMPRODUCT((AY_SONU!$O$7:$O$42="Evet")*(AY_SONU!$B$7:$B$42=DATE(YEAR($C946),MONTH($C946),1))))</f>
        <v/>
      </c>
    </row>
    <row r="947">
      <c r="A947" s="6" t="n"/>
      <c r="B947" s="113">
        <f>IF($C947="","","GG"&amp;TEXT(ROW()-6,"00000"))</f>
        <v/>
      </c>
      <c r="C947" s="220" t="n"/>
      <c r="D947" s="108" t="n"/>
      <c r="E947" s="109" t="n"/>
      <c r="F947" s="109" t="n"/>
      <c r="G947" s="221" t="n"/>
      <c r="H947" s="108" t="n"/>
      <c r="I947" s="108" t="n"/>
      <c r="J947" s="109" t="n"/>
      <c r="K947" s="109" t="n"/>
      <c r="L947" s="108" t="n"/>
      <c r="M947" s="121">
        <f>IF($C947="","",IF($D947="Gider",$E947,IF($L947&lt;&gt;"",$L947,$H947)))</f>
        <v/>
      </c>
      <c r="N947" s="121">
        <f>IF($C947="","",IF($D947="Gider",$H947,$E947))</f>
        <v/>
      </c>
      <c r="O947" s="226">
        <f>IF($C947="","",DATE(YEAR($C947),MONTH($C947),1))</f>
        <v/>
      </c>
      <c r="P947" s="113">
        <f>IF($C947="","",IF(AND($D947="Gelir",$L947&lt;&gt;"",$T947=""),"TANIMSIZ BORÇLU",IF($T947&lt;&gt;"",IF(OR($E947="",$G947&lt;=0),"EKSİK",IF($I947="Evet","TAHAKKUK NAKİT OLAMAZ",IF($C947&gt;TODAY(),"İLERİ TARİH","TAHAKKUK"))),IF(AND($D947&lt;&gt;"",$E947&lt;&gt;"",$G947&gt;0,$H947&lt;&gt;"",$I947&lt;&gt;""),IF($C947&gt;TODAY(),"İLERİ TARİH",IF(COUNTIF($W$7:$W$1206,$W947)&gt;1,"MÜKERRER?",IF($AD947&gt;0,"KAPALI DÖNEM",IF($I947="Hayır","ÖDENECEK","UYGUN")))),"EKSİK"))))</f>
        <v/>
      </c>
      <c r="Q947" s="6" t="n"/>
      <c r="R947" s="6" t="n"/>
      <c r="S947" s="3">
        <f>IF($L947="","",UPPER(SUBSTITUTE(SUBSTITUTE(SUBSTITUTE(SUBSTITUTE(SUBSTITUTE(SUBSTITUTE(SUBSTITUTE(SUBSTITUTE(SUBSTITUTE(SUBSTITUTE(SUBSTITUTE(SUBSTITUTE(SUBSTITUTE(SUBSTITUTE(SUBSTITUTE(SUBSTITUTE(SUBSTITUTE(SUBSTITUTE(TRIM($L947),"'",""),"İ","I"),"ı","I"),"i","I"),"Ş","S"),"ş","S"),"Ğ","G"),"ğ","G"),"Ü","U"),"ü","U"),"Ö","O"),"ö","O"),"Ç","C"),"ç","C"),".",""),",","")," ",""),"-","")))</f>
        <v/>
      </c>
      <c r="T947" s="3">
        <f>IF(OR($C947="",$D947&lt;&gt;"Gelir",$L947=""),"",IFERROR(INDEX(MUSTERILER!$B$7:$B$106,MATCH($S947,MUSTERILER!$T$7:$T$106,0)),""))</f>
        <v/>
      </c>
      <c r="U947" s="3">
        <f>IF($T947="","",$T947&amp;"|"&amp;COUNTIFS($T$7:$T947,$T947))</f>
        <v/>
      </c>
      <c r="V947" s="3">
        <f>IF($T947="",0,1)</f>
        <v/>
      </c>
      <c r="W947" s="3">
        <f>IF($C947="","",$D947&amp;"|"&amp;$E947&amp;"|"&amp;TEXT($C947,"0")&amp;"|"&amp;TEXT($G947,"0")&amp;"|"&amp;$J947)</f>
        <v/>
      </c>
      <c r="X947" s="3" t="n"/>
      <c r="Y947" s="3" t="n"/>
      <c r="Z947" s="3" t="n"/>
      <c r="AA947" s="3" t="n"/>
      <c r="AB947" s="3" t="n"/>
      <c r="AC947" s="3" t="n"/>
      <c r="AD947" s="3">
        <f>IF($C947="",0,SUMPRODUCT((AY_SONU!$O$7:$O$42="Evet")*(AY_SONU!$B$7:$B$42=DATE(YEAR($C947),MONTH($C947),1))))</f>
        <v/>
      </c>
    </row>
    <row r="948">
      <c r="A948" s="6" t="n"/>
      <c r="B948" s="113">
        <f>IF($C948="","","GG"&amp;TEXT(ROW()-6,"00000"))</f>
        <v/>
      </c>
      <c r="C948" s="220" t="n"/>
      <c r="D948" s="108" t="n"/>
      <c r="E948" s="109" t="n"/>
      <c r="F948" s="109" t="n"/>
      <c r="G948" s="221" t="n"/>
      <c r="H948" s="108" t="n"/>
      <c r="I948" s="108" t="n"/>
      <c r="J948" s="109" t="n"/>
      <c r="K948" s="109" t="n"/>
      <c r="L948" s="108" t="n"/>
      <c r="M948" s="121">
        <f>IF($C948="","",IF($D948="Gider",$E948,IF($L948&lt;&gt;"",$L948,$H948)))</f>
        <v/>
      </c>
      <c r="N948" s="121">
        <f>IF($C948="","",IF($D948="Gider",$H948,$E948))</f>
        <v/>
      </c>
      <c r="O948" s="226">
        <f>IF($C948="","",DATE(YEAR($C948),MONTH($C948),1))</f>
        <v/>
      </c>
      <c r="P948" s="113">
        <f>IF($C948="","",IF(AND($D948="Gelir",$L948&lt;&gt;"",$T948=""),"TANIMSIZ BORÇLU",IF($T948&lt;&gt;"",IF(OR($E948="",$G948&lt;=0),"EKSİK",IF($I948="Evet","TAHAKKUK NAKİT OLAMAZ",IF($C948&gt;TODAY(),"İLERİ TARİH","TAHAKKUK"))),IF(AND($D948&lt;&gt;"",$E948&lt;&gt;"",$G948&gt;0,$H948&lt;&gt;"",$I948&lt;&gt;""),IF($C948&gt;TODAY(),"İLERİ TARİH",IF(COUNTIF($W$7:$W$1206,$W948)&gt;1,"MÜKERRER?",IF($AD948&gt;0,"KAPALI DÖNEM",IF($I948="Hayır","ÖDENECEK","UYGUN")))),"EKSİK"))))</f>
        <v/>
      </c>
      <c r="Q948" s="6" t="n"/>
      <c r="R948" s="6" t="n"/>
      <c r="S948" s="3">
        <f>IF($L948="","",UPPER(SUBSTITUTE(SUBSTITUTE(SUBSTITUTE(SUBSTITUTE(SUBSTITUTE(SUBSTITUTE(SUBSTITUTE(SUBSTITUTE(SUBSTITUTE(SUBSTITUTE(SUBSTITUTE(SUBSTITUTE(SUBSTITUTE(SUBSTITUTE(SUBSTITUTE(SUBSTITUTE(SUBSTITUTE(SUBSTITUTE(TRIM($L948),"'",""),"İ","I"),"ı","I"),"i","I"),"Ş","S"),"ş","S"),"Ğ","G"),"ğ","G"),"Ü","U"),"ü","U"),"Ö","O"),"ö","O"),"Ç","C"),"ç","C"),".",""),",","")," ",""),"-","")))</f>
        <v/>
      </c>
      <c r="T948" s="3">
        <f>IF(OR($C948="",$D948&lt;&gt;"Gelir",$L948=""),"",IFERROR(INDEX(MUSTERILER!$B$7:$B$106,MATCH($S948,MUSTERILER!$T$7:$T$106,0)),""))</f>
        <v/>
      </c>
      <c r="U948" s="3">
        <f>IF($T948="","",$T948&amp;"|"&amp;COUNTIFS($T$7:$T948,$T948))</f>
        <v/>
      </c>
      <c r="V948" s="3">
        <f>IF($T948="",0,1)</f>
        <v/>
      </c>
      <c r="W948" s="3">
        <f>IF($C948="","",$D948&amp;"|"&amp;$E948&amp;"|"&amp;TEXT($C948,"0")&amp;"|"&amp;TEXT($G948,"0")&amp;"|"&amp;$J948)</f>
        <v/>
      </c>
      <c r="X948" s="3" t="n"/>
      <c r="Y948" s="3" t="n"/>
      <c r="Z948" s="3" t="n"/>
      <c r="AA948" s="3" t="n"/>
      <c r="AB948" s="3" t="n"/>
      <c r="AC948" s="3" t="n"/>
      <c r="AD948" s="3">
        <f>IF($C948="",0,SUMPRODUCT((AY_SONU!$O$7:$O$42="Evet")*(AY_SONU!$B$7:$B$42=DATE(YEAR($C948),MONTH($C948),1))))</f>
        <v/>
      </c>
    </row>
    <row r="949">
      <c r="A949" s="6" t="n"/>
      <c r="B949" s="113">
        <f>IF($C949="","","GG"&amp;TEXT(ROW()-6,"00000"))</f>
        <v/>
      </c>
      <c r="C949" s="220" t="n"/>
      <c r="D949" s="108" t="n"/>
      <c r="E949" s="109" t="n"/>
      <c r="F949" s="109" t="n"/>
      <c r="G949" s="221" t="n"/>
      <c r="H949" s="108" t="n"/>
      <c r="I949" s="108" t="n"/>
      <c r="J949" s="109" t="n"/>
      <c r="K949" s="109" t="n"/>
      <c r="L949" s="108" t="n"/>
      <c r="M949" s="121">
        <f>IF($C949="","",IF($D949="Gider",$E949,IF($L949&lt;&gt;"",$L949,$H949)))</f>
        <v/>
      </c>
      <c r="N949" s="121">
        <f>IF($C949="","",IF($D949="Gider",$H949,$E949))</f>
        <v/>
      </c>
      <c r="O949" s="226">
        <f>IF($C949="","",DATE(YEAR($C949),MONTH($C949),1))</f>
        <v/>
      </c>
      <c r="P949" s="113">
        <f>IF($C949="","",IF(AND($D949="Gelir",$L949&lt;&gt;"",$T949=""),"TANIMSIZ BORÇLU",IF($T949&lt;&gt;"",IF(OR($E949="",$G949&lt;=0),"EKSİK",IF($I949="Evet","TAHAKKUK NAKİT OLAMAZ",IF($C949&gt;TODAY(),"İLERİ TARİH","TAHAKKUK"))),IF(AND($D949&lt;&gt;"",$E949&lt;&gt;"",$G949&gt;0,$H949&lt;&gt;"",$I949&lt;&gt;""),IF($C949&gt;TODAY(),"İLERİ TARİH",IF(COUNTIF($W$7:$W$1206,$W949)&gt;1,"MÜKERRER?",IF($AD949&gt;0,"KAPALI DÖNEM",IF($I949="Hayır","ÖDENECEK","UYGUN")))),"EKSİK"))))</f>
        <v/>
      </c>
      <c r="Q949" s="6" t="n"/>
      <c r="R949" s="6" t="n"/>
      <c r="S949" s="3">
        <f>IF($L949="","",UPPER(SUBSTITUTE(SUBSTITUTE(SUBSTITUTE(SUBSTITUTE(SUBSTITUTE(SUBSTITUTE(SUBSTITUTE(SUBSTITUTE(SUBSTITUTE(SUBSTITUTE(SUBSTITUTE(SUBSTITUTE(SUBSTITUTE(SUBSTITUTE(SUBSTITUTE(SUBSTITUTE(SUBSTITUTE(SUBSTITUTE(TRIM($L949),"'",""),"İ","I"),"ı","I"),"i","I"),"Ş","S"),"ş","S"),"Ğ","G"),"ğ","G"),"Ü","U"),"ü","U"),"Ö","O"),"ö","O"),"Ç","C"),"ç","C"),".",""),",","")," ",""),"-","")))</f>
        <v/>
      </c>
      <c r="T949" s="3">
        <f>IF(OR($C949="",$D949&lt;&gt;"Gelir",$L949=""),"",IFERROR(INDEX(MUSTERILER!$B$7:$B$106,MATCH($S949,MUSTERILER!$T$7:$T$106,0)),""))</f>
        <v/>
      </c>
      <c r="U949" s="3">
        <f>IF($T949="","",$T949&amp;"|"&amp;COUNTIFS($T$7:$T949,$T949))</f>
        <v/>
      </c>
      <c r="V949" s="3">
        <f>IF($T949="",0,1)</f>
        <v/>
      </c>
      <c r="W949" s="3">
        <f>IF($C949="","",$D949&amp;"|"&amp;$E949&amp;"|"&amp;TEXT($C949,"0")&amp;"|"&amp;TEXT($G949,"0")&amp;"|"&amp;$J949)</f>
        <v/>
      </c>
      <c r="X949" s="3" t="n"/>
      <c r="Y949" s="3" t="n"/>
      <c r="Z949" s="3" t="n"/>
      <c r="AA949" s="3" t="n"/>
      <c r="AB949" s="3" t="n"/>
      <c r="AC949" s="3" t="n"/>
      <c r="AD949" s="3">
        <f>IF($C949="",0,SUMPRODUCT((AY_SONU!$O$7:$O$42="Evet")*(AY_SONU!$B$7:$B$42=DATE(YEAR($C949),MONTH($C949),1))))</f>
        <v/>
      </c>
    </row>
    <row r="950">
      <c r="A950" s="6" t="n"/>
      <c r="B950" s="113">
        <f>IF($C950="","","GG"&amp;TEXT(ROW()-6,"00000"))</f>
        <v/>
      </c>
      <c r="C950" s="220" t="n"/>
      <c r="D950" s="108" t="n"/>
      <c r="E950" s="109" t="n"/>
      <c r="F950" s="109" t="n"/>
      <c r="G950" s="221" t="n"/>
      <c r="H950" s="108" t="n"/>
      <c r="I950" s="108" t="n"/>
      <c r="J950" s="109" t="n"/>
      <c r="K950" s="109" t="n"/>
      <c r="L950" s="108" t="n"/>
      <c r="M950" s="121">
        <f>IF($C950="","",IF($D950="Gider",$E950,IF($L950&lt;&gt;"",$L950,$H950)))</f>
        <v/>
      </c>
      <c r="N950" s="121">
        <f>IF($C950="","",IF($D950="Gider",$H950,$E950))</f>
        <v/>
      </c>
      <c r="O950" s="226">
        <f>IF($C950="","",DATE(YEAR($C950),MONTH($C950),1))</f>
        <v/>
      </c>
      <c r="P950" s="113">
        <f>IF($C950="","",IF(AND($D950="Gelir",$L950&lt;&gt;"",$T950=""),"TANIMSIZ BORÇLU",IF($T950&lt;&gt;"",IF(OR($E950="",$G950&lt;=0),"EKSİK",IF($I950="Evet","TAHAKKUK NAKİT OLAMAZ",IF($C950&gt;TODAY(),"İLERİ TARİH","TAHAKKUK"))),IF(AND($D950&lt;&gt;"",$E950&lt;&gt;"",$G950&gt;0,$H950&lt;&gt;"",$I950&lt;&gt;""),IF($C950&gt;TODAY(),"İLERİ TARİH",IF(COUNTIF($W$7:$W$1206,$W950)&gt;1,"MÜKERRER?",IF($AD950&gt;0,"KAPALI DÖNEM",IF($I950="Hayır","ÖDENECEK","UYGUN")))),"EKSİK"))))</f>
        <v/>
      </c>
      <c r="Q950" s="6" t="n"/>
      <c r="R950" s="6" t="n"/>
      <c r="S950" s="3">
        <f>IF($L950="","",UPPER(SUBSTITUTE(SUBSTITUTE(SUBSTITUTE(SUBSTITUTE(SUBSTITUTE(SUBSTITUTE(SUBSTITUTE(SUBSTITUTE(SUBSTITUTE(SUBSTITUTE(SUBSTITUTE(SUBSTITUTE(SUBSTITUTE(SUBSTITUTE(SUBSTITUTE(SUBSTITUTE(SUBSTITUTE(SUBSTITUTE(TRIM($L950),"'",""),"İ","I"),"ı","I"),"i","I"),"Ş","S"),"ş","S"),"Ğ","G"),"ğ","G"),"Ü","U"),"ü","U"),"Ö","O"),"ö","O"),"Ç","C"),"ç","C"),".",""),",","")," ",""),"-","")))</f>
        <v/>
      </c>
      <c r="T950" s="3">
        <f>IF(OR($C950="",$D950&lt;&gt;"Gelir",$L950=""),"",IFERROR(INDEX(MUSTERILER!$B$7:$B$106,MATCH($S950,MUSTERILER!$T$7:$T$106,0)),""))</f>
        <v/>
      </c>
      <c r="U950" s="3">
        <f>IF($T950="","",$T950&amp;"|"&amp;COUNTIFS($T$7:$T950,$T950))</f>
        <v/>
      </c>
      <c r="V950" s="3">
        <f>IF($T950="",0,1)</f>
        <v/>
      </c>
      <c r="W950" s="3">
        <f>IF($C950="","",$D950&amp;"|"&amp;$E950&amp;"|"&amp;TEXT($C950,"0")&amp;"|"&amp;TEXT($G950,"0")&amp;"|"&amp;$J950)</f>
        <v/>
      </c>
      <c r="X950" s="3" t="n"/>
      <c r="Y950" s="3" t="n"/>
      <c r="Z950" s="3" t="n"/>
      <c r="AA950" s="3" t="n"/>
      <c r="AB950" s="3" t="n"/>
      <c r="AC950" s="3" t="n"/>
      <c r="AD950" s="3">
        <f>IF($C950="",0,SUMPRODUCT((AY_SONU!$O$7:$O$42="Evet")*(AY_SONU!$B$7:$B$42=DATE(YEAR($C950),MONTH($C950),1))))</f>
        <v/>
      </c>
    </row>
    <row r="951">
      <c r="A951" s="6" t="n"/>
      <c r="B951" s="113">
        <f>IF($C951="","","GG"&amp;TEXT(ROW()-6,"00000"))</f>
        <v/>
      </c>
      <c r="C951" s="220" t="n"/>
      <c r="D951" s="108" t="n"/>
      <c r="E951" s="109" t="n"/>
      <c r="F951" s="109" t="n"/>
      <c r="G951" s="221" t="n"/>
      <c r="H951" s="108" t="n"/>
      <c r="I951" s="108" t="n"/>
      <c r="J951" s="109" t="n"/>
      <c r="K951" s="109" t="n"/>
      <c r="L951" s="108" t="n"/>
      <c r="M951" s="121">
        <f>IF($C951="","",IF($D951="Gider",$E951,IF($L951&lt;&gt;"",$L951,$H951)))</f>
        <v/>
      </c>
      <c r="N951" s="121">
        <f>IF($C951="","",IF($D951="Gider",$H951,$E951))</f>
        <v/>
      </c>
      <c r="O951" s="226">
        <f>IF($C951="","",DATE(YEAR($C951),MONTH($C951),1))</f>
        <v/>
      </c>
      <c r="P951" s="113">
        <f>IF($C951="","",IF(AND($D951="Gelir",$L951&lt;&gt;"",$T951=""),"TANIMSIZ BORÇLU",IF($T951&lt;&gt;"",IF(OR($E951="",$G951&lt;=0),"EKSİK",IF($I951="Evet","TAHAKKUK NAKİT OLAMAZ",IF($C951&gt;TODAY(),"İLERİ TARİH","TAHAKKUK"))),IF(AND($D951&lt;&gt;"",$E951&lt;&gt;"",$G951&gt;0,$H951&lt;&gt;"",$I951&lt;&gt;""),IF($C951&gt;TODAY(),"İLERİ TARİH",IF(COUNTIF($W$7:$W$1206,$W951)&gt;1,"MÜKERRER?",IF($AD951&gt;0,"KAPALI DÖNEM",IF($I951="Hayır","ÖDENECEK","UYGUN")))),"EKSİK"))))</f>
        <v/>
      </c>
      <c r="Q951" s="6" t="n"/>
      <c r="R951" s="6" t="n"/>
      <c r="S951" s="3">
        <f>IF($L951="","",UPPER(SUBSTITUTE(SUBSTITUTE(SUBSTITUTE(SUBSTITUTE(SUBSTITUTE(SUBSTITUTE(SUBSTITUTE(SUBSTITUTE(SUBSTITUTE(SUBSTITUTE(SUBSTITUTE(SUBSTITUTE(SUBSTITUTE(SUBSTITUTE(SUBSTITUTE(SUBSTITUTE(SUBSTITUTE(SUBSTITUTE(TRIM($L951),"'",""),"İ","I"),"ı","I"),"i","I"),"Ş","S"),"ş","S"),"Ğ","G"),"ğ","G"),"Ü","U"),"ü","U"),"Ö","O"),"ö","O"),"Ç","C"),"ç","C"),".",""),",","")," ",""),"-","")))</f>
        <v/>
      </c>
      <c r="T951" s="3">
        <f>IF(OR($C951="",$D951&lt;&gt;"Gelir",$L951=""),"",IFERROR(INDEX(MUSTERILER!$B$7:$B$106,MATCH($S951,MUSTERILER!$T$7:$T$106,0)),""))</f>
        <v/>
      </c>
      <c r="U951" s="3">
        <f>IF($T951="","",$T951&amp;"|"&amp;COUNTIFS($T$7:$T951,$T951))</f>
        <v/>
      </c>
      <c r="V951" s="3">
        <f>IF($T951="",0,1)</f>
        <v/>
      </c>
      <c r="W951" s="3">
        <f>IF($C951="","",$D951&amp;"|"&amp;$E951&amp;"|"&amp;TEXT($C951,"0")&amp;"|"&amp;TEXT($G951,"0")&amp;"|"&amp;$J951)</f>
        <v/>
      </c>
      <c r="X951" s="3" t="n"/>
      <c r="Y951" s="3" t="n"/>
      <c r="Z951" s="3" t="n"/>
      <c r="AA951" s="3" t="n"/>
      <c r="AB951" s="3" t="n"/>
      <c r="AC951" s="3" t="n"/>
      <c r="AD951" s="3">
        <f>IF($C951="",0,SUMPRODUCT((AY_SONU!$O$7:$O$42="Evet")*(AY_SONU!$B$7:$B$42=DATE(YEAR($C951),MONTH($C951),1))))</f>
        <v/>
      </c>
    </row>
    <row r="952">
      <c r="A952" s="6" t="n"/>
      <c r="B952" s="113">
        <f>IF($C952="","","GG"&amp;TEXT(ROW()-6,"00000"))</f>
        <v/>
      </c>
      <c r="C952" s="220" t="n"/>
      <c r="D952" s="108" t="n"/>
      <c r="E952" s="109" t="n"/>
      <c r="F952" s="109" t="n"/>
      <c r="G952" s="221" t="n"/>
      <c r="H952" s="108" t="n"/>
      <c r="I952" s="108" t="n"/>
      <c r="J952" s="109" t="n"/>
      <c r="K952" s="109" t="n"/>
      <c r="L952" s="108" t="n"/>
      <c r="M952" s="121">
        <f>IF($C952="","",IF($D952="Gider",$E952,IF($L952&lt;&gt;"",$L952,$H952)))</f>
        <v/>
      </c>
      <c r="N952" s="121">
        <f>IF($C952="","",IF($D952="Gider",$H952,$E952))</f>
        <v/>
      </c>
      <c r="O952" s="226">
        <f>IF($C952="","",DATE(YEAR($C952),MONTH($C952),1))</f>
        <v/>
      </c>
      <c r="P952" s="113">
        <f>IF($C952="","",IF(AND($D952="Gelir",$L952&lt;&gt;"",$T952=""),"TANIMSIZ BORÇLU",IF($T952&lt;&gt;"",IF(OR($E952="",$G952&lt;=0),"EKSİK",IF($I952="Evet","TAHAKKUK NAKİT OLAMAZ",IF($C952&gt;TODAY(),"İLERİ TARİH","TAHAKKUK"))),IF(AND($D952&lt;&gt;"",$E952&lt;&gt;"",$G952&gt;0,$H952&lt;&gt;"",$I952&lt;&gt;""),IF($C952&gt;TODAY(),"İLERİ TARİH",IF(COUNTIF($W$7:$W$1206,$W952)&gt;1,"MÜKERRER?",IF($AD952&gt;0,"KAPALI DÖNEM",IF($I952="Hayır","ÖDENECEK","UYGUN")))),"EKSİK"))))</f>
        <v/>
      </c>
      <c r="Q952" s="6" t="n"/>
      <c r="R952" s="6" t="n"/>
      <c r="S952" s="3">
        <f>IF($L952="","",UPPER(SUBSTITUTE(SUBSTITUTE(SUBSTITUTE(SUBSTITUTE(SUBSTITUTE(SUBSTITUTE(SUBSTITUTE(SUBSTITUTE(SUBSTITUTE(SUBSTITUTE(SUBSTITUTE(SUBSTITUTE(SUBSTITUTE(SUBSTITUTE(SUBSTITUTE(SUBSTITUTE(SUBSTITUTE(SUBSTITUTE(TRIM($L952),"'",""),"İ","I"),"ı","I"),"i","I"),"Ş","S"),"ş","S"),"Ğ","G"),"ğ","G"),"Ü","U"),"ü","U"),"Ö","O"),"ö","O"),"Ç","C"),"ç","C"),".",""),",","")," ",""),"-","")))</f>
        <v/>
      </c>
      <c r="T952" s="3">
        <f>IF(OR($C952="",$D952&lt;&gt;"Gelir",$L952=""),"",IFERROR(INDEX(MUSTERILER!$B$7:$B$106,MATCH($S952,MUSTERILER!$T$7:$T$106,0)),""))</f>
        <v/>
      </c>
      <c r="U952" s="3">
        <f>IF($T952="","",$T952&amp;"|"&amp;COUNTIFS($T$7:$T952,$T952))</f>
        <v/>
      </c>
      <c r="V952" s="3">
        <f>IF($T952="",0,1)</f>
        <v/>
      </c>
      <c r="W952" s="3">
        <f>IF($C952="","",$D952&amp;"|"&amp;$E952&amp;"|"&amp;TEXT($C952,"0")&amp;"|"&amp;TEXT($G952,"0")&amp;"|"&amp;$J952)</f>
        <v/>
      </c>
      <c r="X952" s="3" t="n"/>
      <c r="Y952" s="3" t="n"/>
      <c r="Z952" s="3" t="n"/>
      <c r="AA952" s="3" t="n"/>
      <c r="AB952" s="3" t="n"/>
      <c r="AC952" s="3" t="n"/>
      <c r="AD952" s="3">
        <f>IF($C952="",0,SUMPRODUCT((AY_SONU!$O$7:$O$42="Evet")*(AY_SONU!$B$7:$B$42=DATE(YEAR($C952),MONTH($C952),1))))</f>
        <v/>
      </c>
    </row>
    <row r="953">
      <c r="A953" s="6" t="n"/>
      <c r="B953" s="113">
        <f>IF($C953="","","GG"&amp;TEXT(ROW()-6,"00000"))</f>
        <v/>
      </c>
      <c r="C953" s="220" t="n"/>
      <c r="D953" s="108" t="n"/>
      <c r="E953" s="109" t="n"/>
      <c r="F953" s="109" t="n"/>
      <c r="G953" s="221" t="n"/>
      <c r="H953" s="108" t="n"/>
      <c r="I953" s="108" t="n"/>
      <c r="J953" s="109" t="n"/>
      <c r="K953" s="109" t="n"/>
      <c r="L953" s="108" t="n"/>
      <c r="M953" s="121">
        <f>IF($C953="","",IF($D953="Gider",$E953,IF($L953&lt;&gt;"",$L953,$H953)))</f>
        <v/>
      </c>
      <c r="N953" s="121">
        <f>IF($C953="","",IF($D953="Gider",$H953,$E953))</f>
        <v/>
      </c>
      <c r="O953" s="226">
        <f>IF($C953="","",DATE(YEAR($C953),MONTH($C953),1))</f>
        <v/>
      </c>
      <c r="P953" s="113">
        <f>IF($C953="","",IF(AND($D953="Gelir",$L953&lt;&gt;"",$T953=""),"TANIMSIZ BORÇLU",IF($T953&lt;&gt;"",IF(OR($E953="",$G953&lt;=0),"EKSİK",IF($I953="Evet","TAHAKKUK NAKİT OLAMAZ",IF($C953&gt;TODAY(),"İLERİ TARİH","TAHAKKUK"))),IF(AND($D953&lt;&gt;"",$E953&lt;&gt;"",$G953&gt;0,$H953&lt;&gt;"",$I953&lt;&gt;""),IF($C953&gt;TODAY(),"İLERİ TARİH",IF(COUNTIF($W$7:$W$1206,$W953)&gt;1,"MÜKERRER?",IF($AD953&gt;0,"KAPALI DÖNEM",IF($I953="Hayır","ÖDENECEK","UYGUN")))),"EKSİK"))))</f>
        <v/>
      </c>
      <c r="Q953" s="6" t="n"/>
      <c r="R953" s="6" t="n"/>
      <c r="S953" s="3">
        <f>IF($L953="","",UPPER(SUBSTITUTE(SUBSTITUTE(SUBSTITUTE(SUBSTITUTE(SUBSTITUTE(SUBSTITUTE(SUBSTITUTE(SUBSTITUTE(SUBSTITUTE(SUBSTITUTE(SUBSTITUTE(SUBSTITUTE(SUBSTITUTE(SUBSTITUTE(SUBSTITUTE(SUBSTITUTE(SUBSTITUTE(SUBSTITUTE(TRIM($L953),"'",""),"İ","I"),"ı","I"),"i","I"),"Ş","S"),"ş","S"),"Ğ","G"),"ğ","G"),"Ü","U"),"ü","U"),"Ö","O"),"ö","O"),"Ç","C"),"ç","C"),".",""),",","")," ",""),"-","")))</f>
        <v/>
      </c>
      <c r="T953" s="3">
        <f>IF(OR($C953="",$D953&lt;&gt;"Gelir",$L953=""),"",IFERROR(INDEX(MUSTERILER!$B$7:$B$106,MATCH($S953,MUSTERILER!$T$7:$T$106,0)),""))</f>
        <v/>
      </c>
      <c r="U953" s="3">
        <f>IF($T953="","",$T953&amp;"|"&amp;COUNTIFS($T$7:$T953,$T953))</f>
        <v/>
      </c>
      <c r="V953" s="3">
        <f>IF($T953="",0,1)</f>
        <v/>
      </c>
      <c r="W953" s="3">
        <f>IF($C953="","",$D953&amp;"|"&amp;$E953&amp;"|"&amp;TEXT($C953,"0")&amp;"|"&amp;TEXT($G953,"0")&amp;"|"&amp;$J953)</f>
        <v/>
      </c>
      <c r="X953" s="3" t="n"/>
      <c r="Y953" s="3" t="n"/>
      <c r="Z953" s="3" t="n"/>
      <c r="AA953" s="3" t="n"/>
      <c r="AB953" s="3" t="n"/>
      <c r="AC953" s="3" t="n"/>
      <c r="AD953" s="3">
        <f>IF($C953="",0,SUMPRODUCT((AY_SONU!$O$7:$O$42="Evet")*(AY_SONU!$B$7:$B$42=DATE(YEAR($C953),MONTH($C953),1))))</f>
        <v/>
      </c>
    </row>
    <row r="954">
      <c r="A954" s="6" t="n"/>
      <c r="B954" s="113">
        <f>IF($C954="","","GG"&amp;TEXT(ROW()-6,"00000"))</f>
        <v/>
      </c>
      <c r="C954" s="220" t="n"/>
      <c r="D954" s="108" t="n"/>
      <c r="E954" s="109" t="n"/>
      <c r="F954" s="109" t="n"/>
      <c r="G954" s="221" t="n"/>
      <c r="H954" s="108" t="n"/>
      <c r="I954" s="108" t="n"/>
      <c r="J954" s="109" t="n"/>
      <c r="K954" s="109" t="n"/>
      <c r="L954" s="108" t="n"/>
      <c r="M954" s="121">
        <f>IF($C954="","",IF($D954="Gider",$E954,IF($L954&lt;&gt;"",$L954,$H954)))</f>
        <v/>
      </c>
      <c r="N954" s="121">
        <f>IF($C954="","",IF($D954="Gider",$H954,$E954))</f>
        <v/>
      </c>
      <c r="O954" s="226">
        <f>IF($C954="","",DATE(YEAR($C954),MONTH($C954),1))</f>
        <v/>
      </c>
      <c r="P954" s="113">
        <f>IF($C954="","",IF(AND($D954="Gelir",$L954&lt;&gt;"",$T954=""),"TANIMSIZ BORÇLU",IF($T954&lt;&gt;"",IF(OR($E954="",$G954&lt;=0),"EKSİK",IF($I954="Evet","TAHAKKUK NAKİT OLAMAZ",IF($C954&gt;TODAY(),"İLERİ TARİH","TAHAKKUK"))),IF(AND($D954&lt;&gt;"",$E954&lt;&gt;"",$G954&gt;0,$H954&lt;&gt;"",$I954&lt;&gt;""),IF($C954&gt;TODAY(),"İLERİ TARİH",IF(COUNTIF($W$7:$W$1206,$W954)&gt;1,"MÜKERRER?",IF($AD954&gt;0,"KAPALI DÖNEM",IF($I954="Hayır","ÖDENECEK","UYGUN")))),"EKSİK"))))</f>
        <v/>
      </c>
      <c r="Q954" s="6" t="n"/>
      <c r="R954" s="6" t="n"/>
      <c r="S954" s="3">
        <f>IF($L954="","",UPPER(SUBSTITUTE(SUBSTITUTE(SUBSTITUTE(SUBSTITUTE(SUBSTITUTE(SUBSTITUTE(SUBSTITUTE(SUBSTITUTE(SUBSTITUTE(SUBSTITUTE(SUBSTITUTE(SUBSTITUTE(SUBSTITUTE(SUBSTITUTE(SUBSTITUTE(SUBSTITUTE(SUBSTITUTE(SUBSTITUTE(TRIM($L954),"'",""),"İ","I"),"ı","I"),"i","I"),"Ş","S"),"ş","S"),"Ğ","G"),"ğ","G"),"Ü","U"),"ü","U"),"Ö","O"),"ö","O"),"Ç","C"),"ç","C"),".",""),",","")," ",""),"-","")))</f>
        <v/>
      </c>
      <c r="T954" s="3">
        <f>IF(OR($C954="",$D954&lt;&gt;"Gelir",$L954=""),"",IFERROR(INDEX(MUSTERILER!$B$7:$B$106,MATCH($S954,MUSTERILER!$T$7:$T$106,0)),""))</f>
        <v/>
      </c>
      <c r="U954" s="3">
        <f>IF($T954="","",$T954&amp;"|"&amp;COUNTIFS($T$7:$T954,$T954))</f>
        <v/>
      </c>
      <c r="V954" s="3">
        <f>IF($T954="",0,1)</f>
        <v/>
      </c>
      <c r="W954" s="3">
        <f>IF($C954="","",$D954&amp;"|"&amp;$E954&amp;"|"&amp;TEXT($C954,"0")&amp;"|"&amp;TEXT($G954,"0")&amp;"|"&amp;$J954)</f>
        <v/>
      </c>
      <c r="X954" s="3" t="n"/>
      <c r="Y954" s="3" t="n"/>
      <c r="Z954" s="3" t="n"/>
      <c r="AA954" s="3" t="n"/>
      <c r="AB954" s="3" t="n"/>
      <c r="AC954" s="3" t="n"/>
      <c r="AD954" s="3">
        <f>IF($C954="",0,SUMPRODUCT((AY_SONU!$O$7:$O$42="Evet")*(AY_SONU!$B$7:$B$42=DATE(YEAR($C954),MONTH($C954),1))))</f>
        <v/>
      </c>
    </row>
    <row r="955">
      <c r="A955" s="6" t="n"/>
      <c r="B955" s="113">
        <f>IF($C955="","","GG"&amp;TEXT(ROW()-6,"00000"))</f>
        <v/>
      </c>
      <c r="C955" s="220" t="n"/>
      <c r="D955" s="108" t="n"/>
      <c r="E955" s="109" t="n"/>
      <c r="F955" s="109" t="n"/>
      <c r="G955" s="221" t="n"/>
      <c r="H955" s="108" t="n"/>
      <c r="I955" s="108" t="n"/>
      <c r="J955" s="109" t="n"/>
      <c r="K955" s="109" t="n"/>
      <c r="L955" s="108" t="n"/>
      <c r="M955" s="121">
        <f>IF($C955="","",IF($D955="Gider",$E955,IF($L955&lt;&gt;"",$L955,$H955)))</f>
        <v/>
      </c>
      <c r="N955" s="121">
        <f>IF($C955="","",IF($D955="Gider",$H955,$E955))</f>
        <v/>
      </c>
      <c r="O955" s="226">
        <f>IF($C955="","",DATE(YEAR($C955),MONTH($C955),1))</f>
        <v/>
      </c>
      <c r="P955" s="113">
        <f>IF($C955="","",IF(AND($D955="Gelir",$L955&lt;&gt;"",$T955=""),"TANIMSIZ BORÇLU",IF($T955&lt;&gt;"",IF(OR($E955="",$G955&lt;=0),"EKSİK",IF($I955="Evet","TAHAKKUK NAKİT OLAMAZ",IF($C955&gt;TODAY(),"İLERİ TARİH","TAHAKKUK"))),IF(AND($D955&lt;&gt;"",$E955&lt;&gt;"",$G955&gt;0,$H955&lt;&gt;"",$I955&lt;&gt;""),IF($C955&gt;TODAY(),"İLERİ TARİH",IF(COUNTIF($W$7:$W$1206,$W955)&gt;1,"MÜKERRER?",IF($AD955&gt;0,"KAPALI DÖNEM",IF($I955="Hayır","ÖDENECEK","UYGUN")))),"EKSİK"))))</f>
        <v/>
      </c>
      <c r="Q955" s="6" t="n"/>
      <c r="R955" s="6" t="n"/>
      <c r="S955" s="3">
        <f>IF($L955="","",UPPER(SUBSTITUTE(SUBSTITUTE(SUBSTITUTE(SUBSTITUTE(SUBSTITUTE(SUBSTITUTE(SUBSTITUTE(SUBSTITUTE(SUBSTITUTE(SUBSTITUTE(SUBSTITUTE(SUBSTITUTE(SUBSTITUTE(SUBSTITUTE(SUBSTITUTE(SUBSTITUTE(SUBSTITUTE(SUBSTITUTE(TRIM($L955),"'",""),"İ","I"),"ı","I"),"i","I"),"Ş","S"),"ş","S"),"Ğ","G"),"ğ","G"),"Ü","U"),"ü","U"),"Ö","O"),"ö","O"),"Ç","C"),"ç","C"),".",""),",","")," ",""),"-","")))</f>
        <v/>
      </c>
      <c r="T955" s="3">
        <f>IF(OR($C955="",$D955&lt;&gt;"Gelir",$L955=""),"",IFERROR(INDEX(MUSTERILER!$B$7:$B$106,MATCH($S955,MUSTERILER!$T$7:$T$106,0)),""))</f>
        <v/>
      </c>
      <c r="U955" s="3">
        <f>IF($T955="","",$T955&amp;"|"&amp;COUNTIFS($T$7:$T955,$T955))</f>
        <v/>
      </c>
      <c r="V955" s="3">
        <f>IF($T955="",0,1)</f>
        <v/>
      </c>
      <c r="W955" s="3">
        <f>IF($C955="","",$D955&amp;"|"&amp;$E955&amp;"|"&amp;TEXT($C955,"0")&amp;"|"&amp;TEXT($G955,"0")&amp;"|"&amp;$J955)</f>
        <v/>
      </c>
      <c r="X955" s="3" t="n"/>
      <c r="Y955" s="3" t="n"/>
      <c r="Z955" s="3" t="n"/>
      <c r="AA955" s="3" t="n"/>
      <c r="AB955" s="3" t="n"/>
      <c r="AC955" s="3" t="n"/>
      <c r="AD955" s="3">
        <f>IF($C955="",0,SUMPRODUCT((AY_SONU!$O$7:$O$42="Evet")*(AY_SONU!$B$7:$B$42=DATE(YEAR($C955),MONTH($C955),1))))</f>
        <v/>
      </c>
    </row>
    <row r="956">
      <c r="A956" s="6" t="n"/>
      <c r="B956" s="113">
        <f>IF($C956="","","GG"&amp;TEXT(ROW()-6,"00000"))</f>
        <v/>
      </c>
      <c r="C956" s="220" t="n"/>
      <c r="D956" s="108" t="n"/>
      <c r="E956" s="109" t="n"/>
      <c r="F956" s="109" t="n"/>
      <c r="G956" s="221" t="n"/>
      <c r="H956" s="108" t="n"/>
      <c r="I956" s="108" t="n"/>
      <c r="J956" s="109" t="n"/>
      <c r="K956" s="109" t="n"/>
      <c r="L956" s="108" t="n"/>
      <c r="M956" s="121">
        <f>IF($C956="","",IF($D956="Gider",$E956,IF($L956&lt;&gt;"",$L956,$H956)))</f>
        <v/>
      </c>
      <c r="N956" s="121">
        <f>IF($C956="","",IF($D956="Gider",$H956,$E956))</f>
        <v/>
      </c>
      <c r="O956" s="226">
        <f>IF($C956="","",DATE(YEAR($C956),MONTH($C956),1))</f>
        <v/>
      </c>
      <c r="P956" s="113">
        <f>IF($C956="","",IF(AND($D956="Gelir",$L956&lt;&gt;"",$T956=""),"TANIMSIZ BORÇLU",IF($T956&lt;&gt;"",IF(OR($E956="",$G956&lt;=0),"EKSİK",IF($I956="Evet","TAHAKKUK NAKİT OLAMAZ",IF($C956&gt;TODAY(),"İLERİ TARİH","TAHAKKUK"))),IF(AND($D956&lt;&gt;"",$E956&lt;&gt;"",$G956&gt;0,$H956&lt;&gt;"",$I956&lt;&gt;""),IF($C956&gt;TODAY(),"İLERİ TARİH",IF(COUNTIF($W$7:$W$1206,$W956)&gt;1,"MÜKERRER?",IF($AD956&gt;0,"KAPALI DÖNEM",IF($I956="Hayır","ÖDENECEK","UYGUN")))),"EKSİK"))))</f>
        <v/>
      </c>
      <c r="Q956" s="6" t="n"/>
      <c r="R956" s="6" t="n"/>
      <c r="S956" s="3">
        <f>IF($L956="","",UPPER(SUBSTITUTE(SUBSTITUTE(SUBSTITUTE(SUBSTITUTE(SUBSTITUTE(SUBSTITUTE(SUBSTITUTE(SUBSTITUTE(SUBSTITUTE(SUBSTITUTE(SUBSTITUTE(SUBSTITUTE(SUBSTITUTE(SUBSTITUTE(SUBSTITUTE(SUBSTITUTE(SUBSTITUTE(SUBSTITUTE(TRIM($L956),"'",""),"İ","I"),"ı","I"),"i","I"),"Ş","S"),"ş","S"),"Ğ","G"),"ğ","G"),"Ü","U"),"ü","U"),"Ö","O"),"ö","O"),"Ç","C"),"ç","C"),".",""),",","")," ",""),"-","")))</f>
        <v/>
      </c>
      <c r="T956" s="3">
        <f>IF(OR($C956="",$D956&lt;&gt;"Gelir",$L956=""),"",IFERROR(INDEX(MUSTERILER!$B$7:$B$106,MATCH($S956,MUSTERILER!$T$7:$T$106,0)),""))</f>
        <v/>
      </c>
      <c r="U956" s="3">
        <f>IF($T956="","",$T956&amp;"|"&amp;COUNTIFS($T$7:$T956,$T956))</f>
        <v/>
      </c>
      <c r="V956" s="3">
        <f>IF($T956="",0,1)</f>
        <v/>
      </c>
      <c r="W956" s="3">
        <f>IF($C956="","",$D956&amp;"|"&amp;$E956&amp;"|"&amp;TEXT($C956,"0")&amp;"|"&amp;TEXT($G956,"0")&amp;"|"&amp;$J956)</f>
        <v/>
      </c>
      <c r="X956" s="3" t="n"/>
      <c r="Y956" s="3" t="n"/>
      <c r="Z956" s="3" t="n"/>
      <c r="AA956" s="3" t="n"/>
      <c r="AB956" s="3" t="n"/>
      <c r="AC956" s="3" t="n"/>
      <c r="AD956" s="3">
        <f>IF($C956="",0,SUMPRODUCT((AY_SONU!$O$7:$O$42="Evet")*(AY_SONU!$B$7:$B$42=DATE(YEAR($C956),MONTH($C956),1))))</f>
        <v/>
      </c>
    </row>
    <row r="957">
      <c r="A957" s="6" t="n"/>
      <c r="B957" s="113">
        <f>IF($C957="","","GG"&amp;TEXT(ROW()-6,"00000"))</f>
        <v/>
      </c>
      <c r="C957" s="220" t="n"/>
      <c r="D957" s="108" t="n"/>
      <c r="E957" s="109" t="n"/>
      <c r="F957" s="109" t="n"/>
      <c r="G957" s="221" t="n"/>
      <c r="H957" s="108" t="n"/>
      <c r="I957" s="108" t="n"/>
      <c r="J957" s="109" t="n"/>
      <c r="K957" s="109" t="n"/>
      <c r="L957" s="108" t="n"/>
      <c r="M957" s="121">
        <f>IF($C957="","",IF($D957="Gider",$E957,IF($L957&lt;&gt;"",$L957,$H957)))</f>
        <v/>
      </c>
      <c r="N957" s="121">
        <f>IF($C957="","",IF($D957="Gider",$H957,$E957))</f>
        <v/>
      </c>
      <c r="O957" s="226">
        <f>IF($C957="","",DATE(YEAR($C957),MONTH($C957),1))</f>
        <v/>
      </c>
      <c r="P957" s="113">
        <f>IF($C957="","",IF(AND($D957="Gelir",$L957&lt;&gt;"",$T957=""),"TANIMSIZ BORÇLU",IF($T957&lt;&gt;"",IF(OR($E957="",$G957&lt;=0),"EKSİK",IF($I957="Evet","TAHAKKUK NAKİT OLAMAZ",IF($C957&gt;TODAY(),"İLERİ TARİH","TAHAKKUK"))),IF(AND($D957&lt;&gt;"",$E957&lt;&gt;"",$G957&gt;0,$H957&lt;&gt;"",$I957&lt;&gt;""),IF($C957&gt;TODAY(),"İLERİ TARİH",IF(COUNTIF($W$7:$W$1206,$W957)&gt;1,"MÜKERRER?",IF($AD957&gt;0,"KAPALI DÖNEM",IF($I957="Hayır","ÖDENECEK","UYGUN")))),"EKSİK"))))</f>
        <v/>
      </c>
      <c r="Q957" s="6" t="n"/>
      <c r="R957" s="6" t="n"/>
      <c r="S957" s="3">
        <f>IF($L957="","",UPPER(SUBSTITUTE(SUBSTITUTE(SUBSTITUTE(SUBSTITUTE(SUBSTITUTE(SUBSTITUTE(SUBSTITUTE(SUBSTITUTE(SUBSTITUTE(SUBSTITUTE(SUBSTITUTE(SUBSTITUTE(SUBSTITUTE(SUBSTITUTE(SUBSTITUTE(SUBSTITUTE(SUBSTITUTE(SUBSTITUTE(TRIM($L957),"'",""),"İ","I"),"ı","I"),"i","I"),"Ş","S"),"ş","S"),"Ğ","G"),"ğ","G"),"Ü","U"),"ü","U"),"Ö","O"),"ö","O"),"Ç","C"),"ç","C"),".",""),",","")," ",""),"-","")))</f>
        <v/>
      </c>
      <c r="T957" s="3">
        <f>IF(OR($C957="",$D957&lt;&gt;"Gelir",$L957=""),"",IFERROR(INDEX(MUSTERILER!$B$7:$B$106,MATCH($S957,MUSTERILER!$T$7:$T$106,0)),""))</f>
        <v/>
      </c>
      <c r="U957" s="3">
        <f>IF($T957="","",$T957&amp;"|"&amp;COUNTIFS($T$7:$T957,$T957))</f>
        <v/>
      </c>
      <c r="V957" s="3">
        <f>IF($T957="",0,1)</f>
        <v/>
      </c>
      <c r="W957" s="3">
        <f>IF($C957="","",$D957&amp;"|"&amp;$E957&amp;"|"&amp;TEXT($C957,"0")&amp;"|"&amp;TEXT($G957,"0")&amp;"|"&amp;$J957)</f>
        <v/>
      </c>
      <c r="X957" s="3" t="n"/>
      <c r="Y957" s="3" t="n"/>
      <c r="Z957" s="3" t="n"/>
      <c r="AA957" s="3" t="n"/>
      <c r="AB957" s="3" t="n"/>
      <c r="AC957" s="3" t="n"/>
      <c r="AD957" s="3">
        <f>IF($C957="",0,SUMPRODUCT((AY_SONU!$O$7:$O$42="Evet")*(AY_SONU!$B$7:$B$42=DATE(YEAR($C957),MONTH($C957),1))))</f>
        <v/>
      </c>
    </row>
    <row r="958">
      <c r="A958" s="6" t="n"/>
      <c r="B958" s="113">
        <f>IF($C958="","","GG"&amp;TEXT(ROW()-6,"00000"))</f>
        <v/>
      </c>
      <c r="C958" s="220" t="n"/>
      <c r="D958" s="108" t="n"/>
      <c r="E958" s="109" t="n"/>
      <c r="F958" s="109" t="n"/>
      <c r="G958" s="221" t="n"/>
      <c r="H958" s="108" t="n"/>
      <c r="I958" s="108" t="n"/>
      <c r="J958" s="109" t="n"/>
      <c r="K958" s="109" t="n"/>
      <c r="L958" s="108" t="n"/>
      <c r="M958" s="121">
        <f>IF($C958="","",IF($D958="Gider",$E958,IF($L958&lt;&gt;"",$L958,$H958)))</f>
        <v/>
      </c>
      <c r="N958" s="121">
        <f>IF($C958="","",IF($D958="Gider",$H958,$E958))</f>
        <v/>
      </c>
      <c r="O958" s="226">
        <f>IF($C958="","",DATE(YEAR($C958),MONTH($C958),1))</f>
        <v/>
      </c>
      <c r="P958" s="113">
        <f>IF($C958="","",IF(AND($D958="Gelir",$L958&lt;&gt;"",$T958=""),"TANIMSIZ BORÇLU",IF($T958&lt;&gt;"",IF(OR($E958="",$G958&lt;=0),"EKSİK",IF($I958="Evet","TAHAKKUK NAKİT OLAMAZ",IF($C958&gt;TODAY(),"İLERİ TARİH","TAHAKKUK"))),IF(AND($D958&lt;&gt;"",$E958&lt;&gt;"",$G958&gt;0,$H958&lt;&gt;"",$I958&lt;&gt;""),IF($C958&gt;TODAY(),"İLERİ TARİH",IF(COUNTIF($W$7:$W$1206,$W958)&gt;1,"MÜKERRER?",IF($AD958&gt;0,"KAPALI DÖNEM",IF($I958="Hayır","ÖDENECEK","UYGUN")))),"EKSİK"))))</f>
        <v/>
      </c>
      <c r="Q958" s="6" t="n"/>
      <c r="R958" s="6" t="n"/>
      <c r="S958" s="3">
        <f>IF($L958="","",UPPER(SUBSTITUTE(SUBSTITUTE(SUBSTITUTE(SUBSTITUTE(SUBSTITUTE(SUBSTITUTE(SUBSTITUTE(SUBSTITUTE(SUBSTITUTE(SUBSTITUTE(SUBSTITUTE(SUBSTITUTE(SUBSTITUTE(SUBSTITUTE(SUBSTITUTE(SUBSTITUTE(SUBSTITUTE(SUBSTITUTE(TRIM($L958),"'",""),"İ","I"),"ı","I"),"i","I"),"Ş","S"),"ş","S"),"Ğ","G"),"ğ","G"),"Ü","U"),"ü","U"),"Ö","O"),"ö","O"),"Ç","C"),"ç","C"),".",""),",","")," ",""),"-","")))</f>
        <v/>
      </c>
      <c r="T958" s="3">
        <f>IF(OR($C958="",$D958&lt;&gt;"Gelir",$L958=""),"",IFERROR(INDEX(MUSTERILER!$B$7:$B$106,MATCH($S958,MUSTERILER!$T$7:$T$106,0)),""))</f>
        <v/>
      </c>
      <c r="U958" s="3">
        <f>IF($T958="","",$T958&amp;"|"&amp;COUNTIFS($T$7:$T958,$T958))</f>
        <v/>
      </c>
      <c r="V958" s="3">
        <f>IF($T958="",0,1)</f>
        <v/>
      </c>
      <c r="W958" s="3">
        <f>IF($C958="","",$D958&amp;"|"&amp;$E958&amp;"|"&amp;TEXT($C958,"0")&amp;"|"&amp;TEXT($G958,"0")&amp;"|"&amp;$J958)</f>
        <v/>
      </c>
      <c r="X958" s="3" t="n"/>
      <c r="Y958" s="3" t="n"/>
      <c r="Z958" s="3" t="n"/>
      <c r="AA958" s="3" t="n"/>
      <c r="AB958" s="3" t="n"/>
      <c r="AC958" s="3" t="n"/>
      <c r="AD958" s="3">
        <f>IF($C958="",0,SUMPRODUCT((AY_SONU!$O$7:$O$42="Evet")*(AY_SONU!$B$7:$B$42=DATE(YEAR($C958),MONTH($C958),1))))</f>
        <v/>
      </c>
    </row>
    <row r="959">
      <c r="A959" s="6" t="n"/>
      <c r="B959" s="113">
        <f>IF($C959="","","GG"&amp;TEXT(ROW()-6,"00000"))</f>
        <v/>
      </c>
      <c r="C959" s="220" t="n"/>
      <c r="D959" s="108" t="n"/>
      <c r="E959" s="109" t="n"/>
      <c r="F959" s="109" t="n"/>
      <c r="G959" s="221" t="n"/>
      <c r="H959" s="108" t="n"/>
      <c r="I959" s="108" t="n"/>
      <c r="J959" s="109" t="n"/>
      <c r="K959" s="109" t="n"/>
      <c r="L959" s="108" t="n"/>
      <c r="M959" s="121">
        <f>IF($C959="","",IF($D959="Gider",$E959,IF($L959&lt;&gt;"",$L959,$H959)))</f>
        <v/>
      </c>
      <c r="N959" s="121">
        <f>IF($C959="","",IF($D959="Gider",$H959,$E959))</f>
        <v/>
      </c>
      <c r="O959" s="226">
        <f>IF($C959="","",DATE(YEAR($C959),MONTH($C959),1))</f>
        <v/>
      </c>
      <c r="P959" s="113">
        <f>IF($C959="","",IF(AND($D959="Gelir",$L959&lt;&gt;"",$T959=""),"TANIMSIZ BORÇLU",IF($T959&lt;&gt;"",IF(OR($E959="",$G959&lt;=0),"EKSİK",IF($I959="Evet","TAHAKKUK NAKİT OLAMAZ",IF($C959&gt;TODAY(),"İLERİ TARİH","TAHAKKUK"))),IF(AND($D959&lt;&gt;"",$E959&lt;&gt;"",$G959&gt;0,$H959&lt;&gt;"",$I959&lt;&gt;""),IF($C959&gt;TODAY(),"İLERİ TARİH",IF(COUNTIF($W$7:$W$1206,$W959)&gt;1,"MÜKERRER?",IF($AD959&gt;0,"KAPALI DÖNEM",IF($I959="Hayır","ÖDENECEK","UYGUN")))),"EKSİK"))))</f>
        <v/>
      </c>
      <c r="Q959" s="6" t="n"/>
      <c r="R959" s="6" t="n"/>
      <c r="S959" s="3">
        <f>IF($L959="","",UPPER(SUBSTITUTE(SUBSTITUTE(SUBSTITUTE(SUBSTITUTE(SUBSTITUTE(SUBSTITUTE(SUBSTITUTE(SUBSTITUTE(SUBSTITUTE(SUBSTITUTE(SUBSTITUTE(SUBSTITUTE(SUBSTITUTE(SUBSTITUTE(SUBSTITUTE(SUBSTITUTE(SUBSTITUTE(SUBSTITUTE(TRIM($L959),"'",""),"İ","I"),"ı","I"),"i","I"),"Ş","S"),"ş","S"),"Ğ","G"),"ğ","G"),"Ü","U"),"ü","U"),"Ö","O"),"ö","O"),"Ç","C"),"ç","C"),".",""),",","")," ",""),"-","")))</f>
        <v/>
      </c>
      <c r="T959" s="3">
        <f>IF(OR($C959="",$D959&lt;&gt;"Gelir",$L959=""),"",IFERROR(INDEX(MUSTERILER!$B$7:$B$106,MATCH($S959,MUSTERILER!$T$7:$T$106,0)),""))</f>
        <v/>
      </c>
      <c r="U959" s="3">
        <f>IF($T959="","",$T959&amp;"|"&amp;COUNTIFS($T$7:$T959,$T959))</f>
        <v/>
      </c>
      <c r="V959" s="3">
        <f>IF($T959="",0,1)</f>
        <v/>
      </c>
      <c r="W959" s="3">
        <f>IF($C959="","",$D959&amp;"|"&amp;$E959&amp;"|"&amp;TEXT($C959,"0")&amp;"|"&amp;TEXT($G959,"0")&amp;"|"&amp;$J959)</f>
        <v/>
      </c>
      <c r="X959" s="3" t="n"/>
      <c r="Y959" s="3" t="n"/>
      <c r="Z959" s="3" t="n"/>
      <c r="AA959" s="3" t="n"/>
      <c r="AB959" s="3" t="n"/>
      <c r="AC959" s="3" t="n"/>
      <c r="AD959" s="3">
        <f>IF($C959="",0,SUMPRODUCT((AY_SONU!$O$7:$O$42="Evet")*(AY_SONU!$B$7:$B$42=DATE(YEAR($C959),MONTH($C959),1))))</f>
        <v/>
      </c>
    </row>
    <row r="960">
      <c r="A960" s="6" t="n"/>
      <c r="B960" s="113">
        <f>IF($C960="","","GG"&amp;TEXT(ROW()-6,"00000"))</f>
        <v/>
      </c>
      <c r="C960" s="220" t="n"/>
      <c r="D960" s="108" t="n"/>
      <c r="E960" s="109" t="n"/>
      <c r="F960" s="109" t="n"/>
      <c r="G960" s="221" t="n"/>
      <c r="H960" s="108" t="n"/>
      <c r="I960" s="108" t="n"/>
      <c r="J960" s="109" t="n"/>
      <c r="K960" s="109" t="n"/>
      <c r="L960" s="108" t="n"/>
      <c r="M960" s="121">
        <f>IF($C960="","",IF($D960="Gider",$E960,IF($L960&lt;&gt;"",$L960,$H960)))</f>
        <v/>
      </c>
      <c r="N960" s="121">
        <f>IF($C960="","",IF($D960="Gider",$H960,$E960))</f>
        <v/>
      </c>
      <c r="O960" s="226">
        <f>IF($C960="","",DATE(YEAR($C960),MONTH($C960),1))</f>
        <v/>
      </c>
      <c r="P960" s="113">
        <f>IF($C960="","",IF(AND($D960="Gelir",$L960&lt;&gt;"",$T960=""),"TANIMSIZ BORÇLU",IF($T960&lt;&gt;"",IF(OR($E960="",$G960&lt;=0),"EKSİK",IF($I960="Evet","TAHAKKUK NAKİT OLAMAZ",IF($C960&gt;TODAY(),"İLERİ TARİH","TAHAKKUK"))),IF(AND($D960&lt;&gt;"",$E960&lt;&gt;"",$G960&gt;0,$H960&lt;&gt;"",$I960&lt;&gt;""),IF($C960&gt;TODAY(),"İLERİ TARİH",IF(COUNTIF($W$7:$W$1206,$W960)&gt;1,"MÜKERRER?",IF($AD960&gt;0,"KAPALI DÖNEM",IF($I960="Hayır","ÖDENECEK","UYGUN")))),"EKSİK"))))</f>
        <v/>
      </c>
      <c r="Q960" s="6" t="n"/>
      <c r="R960" s="6" t="n"/>
      <c r="S960" s="3">
        <f>IF($L960="","",UPPER(SUBSTITUTE(SUBSTITUTE(SUBSTITUTE(SUBSTITUTE(SUBSTITUTE(SUBSTITUTE(SUBSTITUTE(SUBSTITUTE(SUBSTITUTE(SUBSTITUTE(SUBSTITUTE(SUBSTITUTE(SUBSTITUTE(SUBSTITUTE(SUBSTITUTE(SUBSTITUTE(SUBSTITUTE(SUBSTITUTE(TRIM($L960),"'",""),"İ","I"),"ı","I"),"i","I"),"Ş","S"),"ş","S"),"Ğ","G"),"ğ","G"),"Ü","U"),"ü","U"),"Ö","O"),"ö","O"),"Ç","C"),"ç","C"),".",""),",","")," ",""),"-","")))</f>
        <v/>
      </c>
      <c r="T960" s="3">
        <f>IF(OR($C960="",$D960&lt;&gt;"Gelir",$L960=""),"",IFERROR(INDEX(MUSTERILER!$B$7:$B$106,MATCH($S960,MUSTERILER!$T$7:$T$106,0)),""))</f>
        <v/>
      </c>
      <c r="U960" s="3">
        <f>IF($T960="","",$T960&amp;"|"&amp;COUNTIFS($T$7:$T960,$T960))</f>
        <v/>
      </c>
      <c r="V960" s="3">
        <f>IF($T960="",0,1)</f>
        <v/>
      </c>
      <c r="W960" s="3">
        <f>IF($C960="","",$D960&amp;"|"&amp;$E960&amp;"|"&amp;TEXT($C960,"0")&amp;"|"&amp;TEXT($G960,"0")&amp;"|"&amp;$J960)</f>
        <v/>
      </c>
      <c r="X960" s="3" t="n"/>
      <c r="Y960" s="3" t="n"/>
      <c r="Z960" s="3" t="n"/>
      <c r="AA960" s="3" t="n"/>
      <c r="AB960" s="3" t="n"/>
      <c r="AC960" s="3" t="n"/>
      <c r="AD960" s="3">
        <f>IF($C960="",0,SUMPRODUCT((AY_SONU!$O$7:$O$42="Evet")*(AY_SONU!$B$7:$B$42=DATE(YEAR($C960),MONTH($C960),1))))</f>
        <v/>
      </c>
    </row>
    <row r="961">
      <c r="A961" s="6" t="n"/>
      <c r="B961" s="113">
        <f>IF($C961="","","GG"&amp;TEXT(ROW()-6,"00000"))</f>
        <v/>
      </c>
      <c r="C961" s="220" t="n"/>
      <c r="D961" s="108" t="n"/>
      <c r="E961" s="109" t="n"/>
      <c r="F961" s="109" t="n"/>
      <c r="G961" s="221" t="n"/>
      <c r="H961" s="108" t="n"/>
      <c r="I961" s="108" t="n"/>
      <c r="J961" s="109" t="n"/>
      <c r="K961" s="109" t="n"/>
      <c r="L961" s="108" t="n"/>
      <c r="M961" s="121">
        <f>IF($C961="","",IF($D961="Gider",$E961,IF($L961&lt;&gt;"",$L961,$H961)))</f>
        <v/>
      </c>
      <c r="N961" s="121">
        <f>IF($C961="","",IF($D961="Gider",$H961,$E961))</f>
        <v/>
      </c>
      <c r="O961" s="226">
        <f>IF($C961="","",DATE(YEAR($C961),MONTH($C961),1))</f>
        <v/>
      </c>
      <c r="P961" s="113">
        <f>IF($C961="","",IF(AND($D961="Gelir",$L961&lt;&gt;"",$T961=""),"TANIMSIZ BORÇLU",IF($T961&lt;&gt;"",IF(OR($E961="",$G961&lt;=0),"EKSİK",IF($I961="Evet","TAHAKKUK NAKİT OLAMAZ",IF($C961&gt;TODAY(),"İLERİ TARİH","TAHAKKUK"))),IF(AND($D961&lt;&gt;"",$E961&lt;&gt;"",$G961&gt;0,$H961&lt;&gt;"",$I961&lt;&gt;""),IF($C961&gt;TODAY(),"İLERİ TARİH",IF(COUNTIF($W$7:$W$1206,$W961)&gt;1,"MÜKERRER?",IF($AD961&gt;0,"KAPALI DÖNEM",IF($I961="Hayır","ÖDENECEK","UYGUN")))),"EKSİK"))))</f>
        <v/>
      </c>
      <c r="Q961" s="6" t="n"/>
      <c r="R961" s="6" t="n"/>
      <c r="S961" s="3">
        <f>IF($L961="","",UPPER(SUBSTITUTE(SUBSTITUTE(SUBSTITUTE(SUBSTITUTE(SUBSTITUTE(SUBSTITUTE(SUBSTITUTE(SUBSTITUTE(SUBSTITUTE(SUBSTITUTE(SUBSTITUTE(SUBSTITUTE(SUBSTITUTE(SUBSTITUTE(SUBSTITUTE(SUBSTITUTE(SUBSTITUTE(SUBSTITUTE(TRIM($L961),"'",""),"İ","I"),"ı","I"),"i","I"),"Ş","S"),"ş","S"),"Ğ","G"),"ğ","G"),"Ü","U"),"ü","U"),"Ö","O"),"ö","O"),"Ç","C"),"ç","C"),".",""),",","")," ",""),"-","")))</f>
        <v/>
      </c>
      <c r="T961" s="3">
        <f>IF(OR($C961="",$D961&lt;&gt;"Gelir",$L961=""),"",IFERROR(INDEX(MUSTERILER!$B$7:$B$106,MATCH($S961,MUSTERILER!$T$7:$T$106,0)),""))</f>
        <v/>
      </c>
      <c r="U961" s="3">
        <f>IF($T961="","",$T961&amp;"|"&amp;COUNTIFS($T$7:$T961,$T961))</f>
        <v/>
      </c>
      <c r="V961" s="3">
        <f>IF($T961="",0,1)</f>
        <v/>
      </c>
      <c r="W961" s="3">
        <f>IF($C961="","",$D961&amp;"|"&amp;$E961&amp;"|"&amp;TEXT($C961,"0")&amp;"|"&amp;TEXT($G961,"0")&amp;"|"&amp;$J961)</f>
        <v/>
      </c>
      <c r="X961" s="3" t="n"/>
      <c r="Y961" s="3" t="n"/>
      <c r="Z961" s="3" t="n"/>
      <c r="AA961" s="3" t="n"/>
      <c r="AB961" s="3" t="n"/>
      <c r="AC961" s="3" t="n"/>
      <c r="AD961" s="3">
        <f>IF($C961="",0,SUMPRODUCT((AY_SONU!$O$7:$O$42="Evet")*(AY_SONU!$B$7:$B$42=DATE(YEAR($C961),MONTH($C961),1))))</f>
        <v/>
      </c>
    </row>
    <row r="962">
      <c r="A962" s="6" t="n"/>
      <c r="B962" s="113">
        <f>IF($C962="","","GG"&amp;TEXT(ROW()-6,"00000"))</f>
        <v/>
      </c>
      <c r="C962" s="220" t="n"/>
      <c r="D962" s="108" t="n"/>
      <c r="E962" s="109" t="n"/>
      <c r="F962" s="109" t="n"/>
      <c r="G962" s="221" t="n"/>
      <c r="H962" s="108" t="n"/>
      <c r="I962" s="108" t="n"/>
      <c r="J962" s="109" t="n"/>
      <c r="K962" s="109" t="n"/>
      <c r="L962" s="108" t="n"/>
      <c r="M962" s="121">
        <f>IF($C962="","",IF($D962="Gider",$E962,IF($L962&lt;&gt;"",$L962,$H962)))</f>
        <v/>
      </c>
      <c r="N962" s="121">
        <f>IF($C962="","",IF($D962="Gider",$H962,$E962))</f>
        <v/>
      </c>
      <c r="O962" s="226">
        <f>IF($C962="","",DATE(YEAR($C962),MONTH($C962),1))</f>
        <v/>
      </c>
      <c r="P962" s="113">
        <f>IF($C962="","",IF(AND($D962="Gelir",$L962&lt;&gt;"",$T962=""),"TANIMSIZ BORÇLU",IF($T962&lt;&gt;"",IF(OR($E962="",$G962&lt;=0),"EKSİK",IF($I962="Evet","TAHAKKUK NAKİT OLAMAZ",IF($C962&gt;TODAY(),"İLERİ TARİH","TAHAKKUK"))),IF(AND($D962&lt;&gt;"",$E962&lt;&gt;"",$G962&gt;0,$H962&lt;&gt;"",$I962&lt;&gt;""),IF($C962&gt;TODAY(),"İLERİ TARİH",IF(COUNTIF($W$7:$W$1206,$W962)&gt;1,"MÜKERRER?",IF($AD962&gt;0,"KAPALI DÖNEM",IF($I962="Hayır","ÖDENECEK","UYGUN")))),"EKSİK"))))</f>
        <v/>
      </c>
      <c r="Q962" s="6" t="n"/>
      <c r="R962" s="6" t="n"/>
      <c r="S962" s="3">
        <f>IF($L962="","",UPPER(SUBSTITUTE(SUBSTITUTE(SUBSTITUTE(SUBSTITUTE(SUBSTITUTE(SUBSTITUTE(SUBSTITUTE(SUBSTITUTE(SUBSTITUTE(SUBSTITUTE(SUBSTITUTE(SUBSTITUTE(SUBSTITUTE(SUBSTITUTE(SUBSTITUTE(SUBSTITUTE(SUBSTITUTE(SUBSTITUTE(TRIM($L962),"'",""),"İ","I"),"ı","I"),"i","I"),"Ş","S"),"ş","S"),"Ğ","G"),"ğ","G"),"Ü","U"),"ü","U"),"Ö","O"),"ö","O"),"Ç","C"),"ç","C"),".",""),",","")," ",""),"-","")))</f>
        <v/>
      </c>
      <c r="T962" s="3">
        <f>IF(OR($C962="",$D962&lt;&gt;"Gelir",$L962=""),"",IFERROR(INDEX(MUSTERILER!$B$7:$B$106,MATCH($S962,MUSTERILER!$T$7:$T$106,0)),""))</f>
        <v/>
      </c>
      <c r="U962" s="3">
        <f>IF($T962="","",$T962&amp;"|"&amp;COUNTIFS($T$7:$T962,$T962))</f>
        <v/>
      </c>
      <c r="V962" s="3">
        <f>IF($T962="",0,1)</f>
        <v/>
      </c>
      <c r="W962" s="3">
        <f>IF($C962="","",$D962&amp;"|"&amp;$E962&amp;"|"&amp;TEXT($C962,"0")&amp;"|"&amp;TEXT($G962,"0")&amp;"|"&amp;$J962)</f>
        <v/>
      </c>
      <c r="X962" s="3" t="n"/>
      <c r="Y962" s="3" t="n"/>
      <c r="Z962" s="3" t="n"/>
      <c r="AA962" s="3" t="n"/>
      <c r="AB962" s="3" t="n"/>
      <c r="AC962" s="3" t="n"/>
      <c r="AD962" s="3">
        <f>IF($C962="",0,SUMPRODUCT((AY_SONU!$O$7:$O$42="Evet")*(AY_SONU!$B$7:$B$42=DATE(YEAR($C962),MONTH($C962),1))))</f>
        <v/>
      </c>
    </row>
    <row r="963">
      <c r="A963" s="6" t="n"/>
      <c r="B963" s="113">
        <f>IF($C963="","","GG"&amp;TEXT(ROW()-6,"00000"))</f>
        <v/>
      </c>
      <c r="C963" s="220" t="n"/>
      <c r="D963" s="108" t="n"/>
      <c r="E963" s="109" t="n"/>
      <c r="F963" s="109" t="n"/>
      <c r="G963" s="221" t="n"/>
      <c r="H963" s="108" t="n"/>
      <c r="I963" s="108" t="n"/>
      <c r="J963" s="109" t="n"/>
      <c r="K963" s="109" t="n"/>
      <c r="L963" s="108" t="n"/>
      <c r="M963" s="121">
        <f>IF($C963="","",IF($D963="Gider",$E963,IF($L963&lt;&gt;"",$L963,$H963)))</f>
        <v/>
      </c>
      <c r="N963" s="121">
        <f>IF($C963="","",IF($D963="Gider",$H963,$E963))</f>
        <v/>
      </c>
      <c r="O963" s="226">
        <f>IF($C963="","",DATE(YEAR($C963),MONTH($C963),1))</f>
        <v/>
      </c>
      <c r="P963" s="113">
        <f>IF($C963="","",IF(AND($D963="Gelir",$L963&lt;&gt;"",$T963=""),"TANIMSIZ BORÇLU",IF($T963&lt;&gt;"",IF(OR($E963="",$G963&lt;=0),"EKSİK",IF($I963="Evet","TAHAKKUK NAKİT OLAMAZ",IF($C963&gt;TODAY(),"İLERİ TARİH","TAHAKKUK"))),IF(AND($D963&lt;&gt;"",$E963&lt;&gt;"",$G963&gt;0,$H963&lt;&gt;"",$I963&lt;&gt;""),IF($C963&gt;TODAY(),"İLERİ TARİH",IF(COUNTIF($W$7:$W$1206,$W963)&gt;1,"MÜKERRER?",IF($AD963&gt;0,"KAPALI DÖNEM",IF($I963="Hayır","ÖDENECEK","UYGUN")))),"EKSİK"))))</f>
        <v/>
      </c>
      <c r="Q963" s="6" t="n"/>
      <c r="R963" s="6" t="n"/>
      <c r="S963" s="3">
        <f>IF($L963="","",UPPER(SUBSTITUTE(SUBSTITUTE(SUBSTITUTE(SUBSTITUTE(SUBSTITUTE(SUBSTITUTE(SUBSTITUTE(SUBSTITUTE(SUBSTITUTE(SUBSTITUTE(SUBSTITUTE(SUBSTITUTE(SUBSTITUTE(SUBSTITUTE(SUBSTITUTE(SUBSTITUTE(SUBSTITUTE(SUBSTITUTE(TRIM($L963),"'",""),"İ","I"),"ı","I"),"i","I"),"Ş","S"),"ş","S"),"Ğ","G"),"ğ","G"),"Ü","U"),"ü","U"),"Ö","O"),"ö","O"),"Ç","C"),"ç","C"),".",""),",","")," ",""),"-","")))</f>
        <v/>
      </c>
      <c r="T963" s="3">
        <f>IF(OR($C963="",$D963&lt;&gt;"Gelir",$L963=""),"",IFERROR(INDEX(MUSTERILER!$B$7:$B$106,MATCH($S963,MUSTERILER!$T$7:$T$106,0)),""))</f>
        <v/>
      </c>
      <c r="U963" s="3">
        <f>IF($T963="","",$T963&amp;"|"&amp;COUNTIFS($T$7:$T963,$T963))</f>
        <v/>
      </c>
      <c r="V963" s="3">
        <f>IF($T963="",0,1)</f>
        <v/>
      </c>
      <c r="W963" s="3">
        <f>IF($C963="","",$D963&amp;"|"&amp;$E963&amp;"|"&amp;TEXT($C963,"0")&amp;"|"&amp;TEXT($G963,"0")&amp;"|"&amp;$J963)</f>
        <v/>
      </c>
      <c r="X963" s="3" t="n"/>
      <c r="Y963" s="3" t="n"/>
      <c r="Z963" s="3" t="n"/>
      <c r="AA963" s="3" t="n"/>
      <c r="AB963" s="3" t="n"/>
      <c r="AC963" s="3" t="n"/>
      <c r="AD963" s="3">
        <f>IF($C963="",0,SUMPRODUCT((AY_SONU!$O$7:$O$42="Evet")*(AY_SONU!$B$7:$B$42=DATE(YEAR($C963),MONTH($C963),1))))</f>
        <v/>
      </c>
    </row>
    <row r="964">
      <c r="A964" s="6" t="n"/>
      <c r="B964" s="113">
        <f>IF($C964="","","GG"&amp;TEXT(ROW()-6,"00000"))</f>
        <v/>
      </c>
      <c r="C964" s="220" t="n"/>
      <c r="D964" s="108" t="n"/>
      <c r="E964" s="109" t="n"/>
      <c r="F964" s="109" t="n"/>
      <c r="G964" s="221" t="n"/>
      <c r="H964" s="108" t="n"/>
      <c r="I964" s="108" t="n"/>
      <c r="J964" s="109" t="n"/>
      <c r="K964" s="109" t="n"/>
      <c r="L964" s="108" t="n"/>
      <c r="M964" s="121">
        <f>IF($C964="","",IF($D964="Gider",$E964,IF($L964&lt;&gt;"",$L964,$H964)))</f>
        <v/>
      </c>
      <c r="N964" s="121">
        <f>IF($C964="","",IF($D964="Gider",$H964,$E964))</f>
        <v/>
      </c>
      <c r="O964" s="226">
        <f>IF($C964="","",DATE(YEAR($C964),MONTH($C964),1))</f>
        <v/>
      </c>
      <c r="P964" s="113">
        <f>IF($C964="","",IF(AND($D964="Gelir",$L964&lt;&gt;"",$T964=""),"TANIMSIZ BORÇLU",IF($T964&lt;&gt;"",IF(OR($E964="",$G964&lt;=0),"EKSİK",IF($I964="Evet","TAHAKKUK NAKİT OLAMAZ",IF($C964&gt;TODAY(),"İLERİ TARİH","TAHAKKUK"))),IF(AND($D964&lt;&gt;"",$E964&lt;&gt;"",$G964&gt;0,$H964&lt;&gt;"",$I964&lt;&gt;""),IF($C964&gt;TODAY(),"İLERİ TARİH",IF(COUNTIF($W$7:$W$1206,$W964)&gt;1,"MÜKERRER?",IF($AD964&gt;0,"KAPALI DÖNEM",IF($I964="Hayır","ÖDENECEK","UYGUN")))),"EKSİK"))))</f>
        <v/>
      </c>
      <c r="Q964" s="6" t="n"/>
      <c r="R964" s="6" t="n"/>
      <c r="S964" s="3">
        <f>IF($L964="","",UPPER(SUBSTITUTE(SUBSTITUTE(SUBSTITUTE(SUBSTITUTE(SUBSTITUTE(SUBSTITUTE(SUBSTITUTE(SUBSTITUTE(SUBSTITUTE(SUBSTITUTE(SUBSTITUTE(SUBSTITUTE(SUBSTITUTE(SUBSTITUTE(SUBSTITUTE(SUBSTITUTE(SUBSTITUTE(SUBSTITUTE(TRIM($L964),"'",""),"İ","I"),"ı","I"),"i","I"),"Ş","S"),"ş","S"),"Ğ","G"),"ğ","G"),"Ü","U"),"ü","U"),"Ö","O"),"ö","O"),"Ç","C"),"ç","C"),".",""),",","")," ",""),"-","")))</f>
        <v/>
      </c>
      <c r="T964" s="3">
        <f>IF(OR($C964="",$D964&lt;&gt;"Gelir",$L964=""),"",IFERROR(INDEX(MUSTERILER!$B$7:$B$106,MATCH($S964,MUSTERILER!$T$7:$T$106,0)),""))</f>
        <v/>
      </c>
      <c r="U964" s="3">
        <f>IF($T964="","",$T964&amp;"|"&amp;COUNTIFS($T$7:$T964,$T964))</f>
        <v/>
      </c>
      <c r="V964" s="3">
        <f>IF($T964="",0,1)</f>
        <v/>
      </c>
      <c r="W964" s="3">
        <f>IF($C964="","",$D964&amp;"|"&amp;$E964&amp;"|"&amp;TEXT($C964,"0")&amp;"|"&amp;TEXT($G964,"0")&amp;"|"&amp;$J964)</f>
        <v/>
      </c>
      <c r="X964" s="3" t="n"/>
      <c r="Y964" s="3" t="n"/>
      <c r="Z964" s="3" t="n"/>
      <c r="AA964" s="3" t="n"/>
      <c r="AB964" s="3" t="n"/>
      <c r="AC964" s="3" t="n"/>
      <c r="AD964" s="3">
        <f>IF($C964="",0,SUMPRODUCT((AY_SONU!$O$7:$O$42="Evet")*(AY_SONU!$B$7:$B$42=DATE(YEAR($C964),MONTH($C964),1))))</f>
        <v/>
      </c>
    </row>
    <row r="965">
      <c r="A965" s="6" t="n"/>
      <c r="B965" s="113">
        <f>IF($C965="","","GG"&amp;TEXT(ROW()-6,"00000"))</f>
        <v/>
      </c>
      <c r="C965" s="220" t="n"/>
      <c r="D965" s="108" t="n"/>
      <c r="E965" s="109" t="n"/>
      <c r="F965" s="109" t="n"/>
      <c r="G965" s="221" t="n"/>
      <c r="H965" s="108" t="n"/>
      <c r="I965" s="108" t="n"/>
      <c r="J965" s="109" t="n"/>
      <c r="K965" s="109" t="n"/>
      <c r="L965" s="108" t="n"/>
      <c r="M965" s="121">
        <f>IF($C965="","",IF($D965="Gider",$E965,IF($L965&lt;&gt;"",$L965,$H965)))</f>
        <v/>
      </c>
      <c r="N965" s="121">
        <f>IF($C965="","",IF($D965="Gider",$H965,$E965))</f>
        <v/>
      </c>
      <c r="O965" s="226">
        <f>IF($C965="","",DATE(YEAR($C965),MONTH($C965),1))</f>
        <v/>
      </c>
      <c r="P965" s="113">
        <f>IF($C965="","",IF(AND($D965="Gelir",$L965&lt;&gt;"",$T965=""),"TANIMSIZ BORÇLU",IF($T965&lt;&gt;"",IF(OR($E965="",$G965&lt;=0),"EKSİK",IF($I965="Evet","TAHAKKUK NAKİT OLAMAZ",IF($C965&gt;TODAY(),"İLERİ TARİH","TAHAKKUK"))),IF(AND($D965&lt;&gt;"",$E965&lt;&gt;"",$G965&gt;0,$H965&lt;&gt;"",$I965&lt;&gt;""),IF($C965&gt;TODAY(),"İLERİ TARİH",IF(COUNTIF($W$7:$W$1206,$W965)&gt;1,"MÜKERRER?",IF($AD965&gt;0,"KAPALI DÖNEM",IF($I965="Hayır","ÖDENECEK","UYGUN")))),"EKSİK"))))</f>
        <v/>
      </c>
      <c r="Q965" s="6" t="n"/>
      <c r="R965" s="6" t="n"/>
      <c r="S965" s="3">
        <f>IF($L965="","",UPPER(SUBSTITUTE(SUBSTITUTE(SUBSTITUTE(SUBSTITUTE(SUBSTITUTE(SUBSTITUTE(SUBSTITUTE(SUBSTITUTE(SUBSTITUTE(SUBSTITUTE(SUBSTITUTE(SUBSTITUTE(SUBSTITUTE(SUBSTITUTE(SUBSTITUTE(SUBSTITUTE(SUBSTITUTE(SUBSTITUTE(TRIM($L965),"'",""),"İ","I"),"ı","I"),"i","I"),"Ş","S"),"ş","S"),"Ğ","G"),"ğ","G"),"Ü","U"),"ü","U"),"Ö","O"),"ö","O"),"Ç","C"),"ç","C"),".",""),",","")," ",""),"-","")))</f>
        <v/>
      </c>
      <c r="T965" s="3">
        <f>IF(OR($C965="",$D965&lt;&gt;"Gelir",$L965=""),"",IFERROR(INDEX(MUSTERILER!$B$7:$B$106,MATCH($S965,MUSTERILER!$T$7:$T$106,0)),""))</f>
        <v/>
      </c>
      <c r="U965" s="3">
        <f>IF($T965="","",$T965&amp;"|"&amp;COUNTIFS($T$7:$T965,$T965))</f>
        <v/>
      </c>
      <c r="V965" s="3">
        <f>IF($T965="",0,1)</f>
        <v/>
      </c>
      <c r="W965" s="3">
        <f>IF($C965="","",$D965&amp;"|"&amp;$E965&amp;"|"&amp;TEXT($C965,"0")&amp;"|"&amp;TEXT($G965,"0")&amp;"|"&amp;$J965)</f>
        <v/>
      </c>
      <c r="X965" s="3" t="n"/>
      <c r="Y965" s="3" t="n"/>
      <c r="Z965" s="3" t="n"/>
      <c r="AA965" s="3" t="n"/>
      <c r="AB965" s="3" t="n"/>
      <c r="AC965" s="3" t="n"/>
      <c r="AD965" s="3">
        <f>IF($C965="",0,SUMPRODUCT((AY_SONU!$O$7:$O$42="Evet")*(AY_SONU!$B$7:$B$42=DATE(YEAR($C965),MONTH($C965),1))))</f>
        <v/>
      </c>
    </row>
    <row r="966">
      <c r="A966" s="6" t="n"/>
      <c r="B966" s="113">
        <f>IF($C966="","","GG"&amp;TEXT(ROW()-6,"00000"))</f>
        <v/>
      </c>
      <c r="C966" s="220" t="n"/>
      <c r="D966" s="108" t="n"/>
      <c r="E966" s="109" t="n"/>
      <c r="F966" s="109" t="n"/>
      <c r="G966" s="221" t="n"/>
      <c r="H966" s="108" t="n"/>
      <c r="I966" s="108" t="n"/>
      <c r="J966" s="109" t="n"/>
      <c r="K966" s="109" t="n"/>
      <c r="L966" s="108" t="n"/>
      <c r="M966" s="121">
        <f>IF($C966="","",IF($D966="Gider",$E966,IF($L966&lt;&gt;"",$L966,$H966)))</f>
        <v/>
      </c>
      <c r="N966" s="121">
        <f>IF($C966="","",IF($D966="Gider",$H966,$E966))</f>
        <v/>
      </c>
      <c r="O966" s="226">
        <f>IF($C966="","",DATE(YEAR($C966),MONTH($C966),1))</f>
        <v/>
      </c>
      <c r="P966" s="113">
        <f>IF($C966="","",IF(AND($D966="Gelir",$L966&lt;&gt;"",$T966=""),"TANIMSIZ BORÇLU",IF($T966&lt;&gt;"",IF(OR($E966="",$G966&lt;=0),"EKSİK",IF($I966="Evet","TAHAKKUK NAKİT OLAMAZ",IF($C966&gt;TODAY(),"İLERİ TARİH","TAHAKKUK"))),IF(AND($D966&lt;&gt;"",$E966&lt;&gt;"",$G966&gt;0,$H966&lt;&gt;"",$I966&lt;&gt;""),IF($C966&gt;TODAY(),"İLERİ TARİH",IF(COUNTIF($W$7:$W$1206,$W966)&gt;1,"MÜKERRER?",IF($AD966&gt;0,"KAPALI DÖNEM",IF($I966="Hayır","ÖDENECEK","UYGUN")))),"EKSİK"))))</f>
        <v/>
      </c>
      <c r="Q966" s="6" t="n"/>
      <c r="R966" s="6" t="n"/>
      <c r="S966" s="3">
        <f>IF($L966="","",UPPER(SUBSTITUTE(SUBSTITUTE(SUBSTITUTE(SUBSTITUTE(SUBSTITUTE(SUBSTITUTE(SUBSTITUTE(SUBSTITUTE(SUBSTITUTE(SUBSTITUTE(SUBSTITUTE(SUBSTITUTE(SUBSTITUTE(SUBSTITUTE(SUBSTITUTE(SUBSTITUTE(SUBSTITUTE(SUBSTITUTE(TRIM($L966),"'",""),"İ","I"),"ı","I"),"i","I"),"Ş","S"),"ş","S"),"Ğ","G"),"ğ","G"),"Ü","U"),"ü","U"),"Ö","O"),"ö","O"),"Ç","C"),"ç","C"),".",""),",","")," ",""),"-","")))</f>
        <v/>
      </c>
      <c r="T966" s="3">
        <f>IF(OR($C966="",$D966&lt;&gt;"Gelir",$L966=""),"",IFERROR(INDEX(MUSTERILER!$B$7:$B$106,MATCH($S966,MUSTERILER!$T$7:$T$106,0)),""))</f>
        <v/>
      </c>
      <c r="U966" s="3">
        <f>IF($T966="","",$T966&amp;"|"&amp;COUNTIFS($T$7:$T966,$T966))</f>
        <v/>
      </c>
      <c r="V966" s="3">
        <f>IF($T966="",0,1)</f>
        <v/>
      </c>
      <c r="W966" s="3">
        <f>IF($C966="","",$D966&amp;"|"&amp;$E966&amp;"|"&amp;TEXT($C966,"0")&amp;"|"&amp;TEXT($G966,"0")&amp;"|"&amp;$J966)</f>
        <v/>
      </c>
      <c r="X966" s="3" t="n"/>
      <c r="Y966" s="3" t="n"/>
      <c r="Z966" s="3" t="n"/>
      <c r="AA966" s="3" t="n"/>
      <c r="AB966" s="3" t="n"/>
      <c r="AC966" s="3" t="n"/>
      <c r="AD966" s="3">
        <f>IF($C966="",0,SUMPRODUCT((AY_SONU!$O$7:$O$42="Evet")*(AY_SONU!$B$7:$B$42=DATE(YEAR($C966),MONTH($C966),1))))</f>
        <v/>
      </c>
    </row>
    <row r="967">
      <c r="A967" s="6" t="n"/>
      <c r="B967" s="113">
        <f>IF($C967="","","GG"&amp;TEXT(ROW()-6,"00000"))</f>
        <v/>
      </c>
      <c r="C967" s="220" t="n"/>
      <c r="D967" s="108" t="n"/>
      <c r="E967" s="109" t="n"/>
      <c r="F967" s="109" t="n"/>
      <c r="G967" s="221" t="n"/>
      <c r="H967" s="108" t="n"/>
      <c r="I967" s="108" t="n"/>
      <c r="J967" s="109" t="n"/>
      <c r="K967" s="109" t="n"/>
      <c r="L967" s="108" t="n"/>
      <c r="M967" s="121">
        <f>IF($C967="","",IF($D967="Gider",$E967,IF($L967&lt;&gt;"",$L967,$H967)))</f>
        <v/>
      </c>
      <c r="N967" s="121">
        <f>IF($C967="","",IF($D967="Gider",$H967,$E967))</f>
        <v/>
      </c>
      <c r="O967" s="226">
        <f>IF($C967="","",DATE(YEAR($C967),MONTH($C967),1))</f>
        <v/>
      </c>
      <c r="P967" s="113">
        <f>IF($C967="","",IF(AND($D967="Gelir",$L967&lt;&gt;"",$T967=""),"TANIMSIZ BORÇLU",IF($T967&lt;&gt;"",IF(OR($E967="",$G967&lt;=0),"EKSİK",IF($I967="Evet","TAHAKKUK NAKİT OLAMAZ",IF($C967&gt;TODAY(),"İLERİ TARİH","TAHAKKUK"))),IF(AND($D967&lt;&gt;"",$E967&lt;&gt;"",$G967&gt;0,$H967&lt;&gt;"",$I967&lt;&gt;""),IF($C967&gt;TODAY(),"İLERİ TARİH",IF(COUNTIF($W$7:$W$1206,$W967)&gt;1,"MÜKERRER?",IF($AD967&gt;0,"KAPALI DÖNEM",IF($I967="Hayır","ÖDENECEK","UYGUN")))),"EKSİK"))))</f>
        <v/>
      </c>
      <c r="Q967" s="6" t="n"/>
      <c r="R967" s="6" t="n"/>
      <c r="S967" s="3">
        <f>IF($L967="","",UPPER(SUBSTITUTE(SUBSTITUTE(SUBSTITUTE(SUBSTITUTE(SUBSTITUTE(SUBSTITUTE(SUBSTITUTE(SUBSTITUTE(SUBSTITUTE(SUBSTITUTE(SUBSTITUTE(SUBSTITUTE(SUBSTITUTE(SUBSTITUTE(SUBSTITUTE(SUBSTITUTE(SUBSTITUTE(SUBSTITUTE(TRIM($L967),"'",""),"İ","I"),"ı","I"),"i","I"),"Ş","S"),"ş","S"),"Ğ","G"),"ğ","G"),"Ü","U"),"ü","U"),"Ö","O"),"ö","O"),"Ç","C"),"ç","C"),".",""),",","")," ",""),"-","")))</f>
        <v/>
      </c>
      <c r="T967" s="3">
        <f>IF(OR($C967="",$D967&lt;&gt;"Gelir",$L967=""),"",IFERROR(INDEX(MUSTERILER!$B$7:$B$106,MATCH($S967,MUSTERILER!$T$7:$T$106,0)),""))</f>
        <v/>
      </c>
      <c r="U967" s="3">
        <f>IF($T967="","",$T967&amp;"|"&amp;COUNTIFS($T$7:$T967,$T967))</f>
        <v/>
      </c>
      <c r="V967" s="3">
        <f>IF($T967="",0,1)</f>
        <v/>
      </c>
      <c r="W967" s="3">
        <f>IF($C967="","",$D967&amp;"|"&amp;$E967&amp;"|"&amp;TEXT($C967,"0")&amp;"|"&amp;TEXT($G967,"0")&amp;"|"&amp;$J967)</f>
        <v/>
      </c>
      <c r="X967" s="3" t="n"/>
      <c r="Y967" s="3" t="n"/>
      <c r="Z967" s="3" t="n"/>
      <c r="AA967" s="3" t="n"/>
      <c r="AB967" s="3" t="n"/>
      <c r="AC967" s="3" t="n"/>
      <c r="AD967" s="3">
        <f>IF($C967="",0,SUMPRODUCT((AY_SONU!$O$7:$O$42="Evet")*(AY_SONU!$B$7:$B$42=DATE(YEAR($C967),MONTH($C967),1))))</f>
        <v/>
      </c>
    </row>
    <row r="968">
      <c r="A968" s="6" t="n"/>
      <c r="B968" s="113">
        <f>IF($C968="","","GG"&amp;TEXT(ROW()-6,"00000"))</f>
        <v/>
      </c>
      <c r="C968" s="220" t="n"/>
      <c r="D968" s="108" t="n"/>
      <c r="E968" s="109" t="n"/>
      <c r="F968" s="109" t="n"/>
      <c r="G968" s="221" t="n"/>
      <c r="H968" s="108" t="n"/>
      <c r="I968" s="108" t="n"/>
      <c r="J968" s="109" t="n"/>
      <c r="K968" s="109" t="n"/>
      <c r="L968" s="108" t="n"/>
      <c r="M968" s="121">
        <f>IF($C968="","",IF($D968="Gider",$E968,IF($L968&lt;&gt;"",$L968,$H968)))</f>
        <v/>
      </c>
      <c r="N968" s="121">
        <f>IF($C968="","",IF($D968="Gider",$H968,$E968))</f>
        <v/>
      </c>
      <c r="O968" s="226">
        <f>IF($C968="","",DATE(YEAR($C968),MONTH($C968),1))</f>
        <v/>
      </c>
      <c r="P968" s="113">
        <f>IF($C968="","",IF(AND($D968="Gelir",$L968&lt;&gt;"",$T968=""),"TANIMSIZ BORÇLU",IF($T968&lt;&gt;"",IF(OR($E968="",$G968&lt;=0),"EKSİK",IF($I968="Evet","TAHAKKUK NAKİT OLAMAZ",IF($C968&gt;TODAY(),"İLERİ TARİH","TAHAKKUK"))),IF(AND($D968&lt;&gt;"",$E968&lt;&gt;"",$G968&gt;0,$H968&lt;&gt;"",$I968&lt;&gt;""),IF($C968&gt;TODAY(),"İLERİ TARİH",IF(COUNTIF($W$7:$W$1206,$W968)&gt;1,"MÜKERRER?",IF($AD968&gt;0,"KAPALI DÖNEM",IF($I968="Hayır","ÖDENECEK","UYGUN")))),"EKSİK"))))</f>
        <v/>
      </c>
      <c r="Q968" s="6" t="n"/>
      <c r="R968" s="6" t="n"/>
      <c r="S968" s="3">
        <f>IF($L968="","",UPPER(SUBSTITUTE(SUBSTITUTE(SUBSTITUTE(SUBSTITUTE(SUBSTITUTE(SUBSTITUTE(SUBSTITUTE(SUBSTITUTE(SUBSTITUTE(SUBSTITUTE(SUBSTITUTE(SUBSTITUTE(SUBSTITUTE(SUBSTITUTE(SUBSTITUTE(SUBSTITUTE(SUBSTITUTE(SUBSTITUTE(TRIM($L968),"'",""),"İ","I"),"ı","I"),"i","I"),"Ş","S"),"ş","S"),"Ğ","G"),"ğ","G"),"Ü","U"),"ü","U"),"Ö","O"),"ö","O"),"Ç","C"),"ç","C"),".",""),",","")," ",""),"-","")))</f>
        <v/>
      </c>
      <c r="T968" s="3">
        <f>IF(OR($C968="",$D968&lt;&gt;"Gelir",$L968=""),"",IFERROR(INDEX(MUSTERILER!$B$7:$B$106,MATCH($S968,MUSTERILER!$T$7:$T$106,0)),""))</f>
        <v/>
      </c>
      <c r="U968" s="3">
        <f>IF($T968="","",$T968&amp;"|"&amp;COUNTIFS($T$7:$T968,$T968))</f>
        <v/>
      </c>
      <c r="V968" s="3">
        <f>IF($T968="",0,1)</f>
        <v/>
      </c>
      <c r="W968" s="3">
        <f>IF($C968="","",$D968&amp;"|"&amp;$E968&amp;"|"&amp;TEXT($C968,"0")&amp;"|"&amp;TEXT($G968,"0")&amp;"|"&amp;$J968)</f>
        <v/>
      </c>
      <c r="X968" s="3" t="n"/>
      <c r="Y968" s="3" t="n"/>
      <c r="Z968" s="3" t="n"/>
      <c r="AA968" s="3" t="n"/>
      <c r="AB968" s="3" t="n"/>
      <c r="AC968" s="3" t="n"/>
      <c r="AD968" s="3">
        <f>IF($C968="",0,SUMPRODUCT((AY_SONU!$O$7:$O$42="Evet")*(AY_SONU!$B$7:$B$42=DATE(YEAR($C968),MONTH($C968),1))))</f>
        <v/>
      </c>
    </row>
    <row r="969">
      <c r="A969" s="6" t="n"/>
      <c r="B969" s="113">
        <f>IF($C969="","","GG"&amp;TEXT(ROW()-6,"00000"))</f>
        <v/>
      </c>
      <c r="C969" s="220" t="n"/>
      <c r="D969" s="108" t="n"/>
      <c r="E969" s="109" t="n"/>
      <c r="F969" s="109" t="n"/>
      <c r="G969" s="221" t="n"/>
      <c r="H969" s="108" t="n"/>
      <c r="I969" s="108" t="n"/>
      <c r="J969" s="109" t="n"/>
      <c r="K969" s="109" t="n"/>
      <c r="L969" s="108" t="n"/>
      <c r="M969" s="121">
        <f>IF($C969="","",IF($D969="Gider",$E969,IF($L969&lt;&gt;"",$L969,$H969)))</f>
        <v/>
      </c>
      <c r="N969" s="121">
        <f>IF($C969="","",IF($D969="Gider",$H969,$E969))</f>
        <v/>
      </c>
      <c r="O969" s="226">
        <f>IF($C969="","",DATE(YEAR($C969),MONTH($C969),1))</f>
        <v/>
      </c>
      <c r="P969" s="113">
        <f>IF($C969="","",IF(AND($D969="Gelir",$L969&lt;&gt;"",$T969=""),"TANIMSIZ BORÇLU",IF($T969&lt;&gt;"",IF(OR($E969="",$G969&lt;=0),"EKSİK",IF($I969="Evet","TAHAKKUK NAKİT OLAMAZ",IF($C969&gt;TODAY(),"İLERİ TARİH","TAHAKKUK"))),IF(AND($D969&lt;&gt;"",$E969&lt;&gt;"",$G969&gt;0,$H969&lt;&gt;"",$I969&lt;&gt;""),IF($C969&gt;TODAY(),"İLERİ TARİH",IF(COUNTIF($W$7:$W$1206,$W969)&gt;1,"MÜKERRER?",IF($AD969&gt;0,"KAPALI DÖNEM",IF($I969="Hayır","ÖDENECEK","UYGUN")))),"EKSİK"))))</f>
        <v/>
      </c>
      <c r="Q969" s="6" t="n"/>
      <c r="R969" s="6" t="n"/>
      <c r="S969" s="3">
        <f>IF($L969="","",UPPER(SUBSTITUTE(SUBSTITUTE(SUBSTITUTE(SUBSTITUTE(SUBSTITUTE(SUBSTITUTE(SUBSTITUTE(SUBSTITUTE(SUBSTITUTE(SUBSTITUTE(SUBSTITUTE(SUBSTITUTE(SUBSTITUTE(SUBSTITUTE(SUBSTITUTE(SUBSTITUTE(SUBSTITUTE(SUBSTITUTE(TRIM($L969),"'",""),"İ","I"),"ı","I"),"i","I"),"Ş","S"),"ş","S"),"Ğ","G"),"ğ","G"),"Ü","U"),"ü","U"),"Ö","O"),"ö","O"),"Ç","C"),"ç","C"),".",""),",","")," ",""),"-","")))</f>
        <v/>
      </c>
      <c r="T969" s="3">
        <f>IF(OR($C969="",$D969&lt;&gt;"Gelir",$L969=""),"",IFERROR(INDEX(MUSTERILER!$B$7:$B$106,MATCH($S969,MUSTERILER!$T$7:$T$106,0)),""))</f>
        <v/>
      </c>
      <c r="U969" s="3">
        <f>IF($T969="","",$T969&amp;"|"&amp;COUNTIFS($T$7:$T969,$T969))</f>
        <v/>
      </c>
      <c r="V969" s="3">
        <f>IF($T969="",0,1)</f>
        <v/>
      </c>
      <c r="W969" s="3">
        <f>IF($C969="","",$D969&amp;"|"&amp;$E969&amp;"|"&amp;TEXT($C969,"0")&amp;"|"&amp;TEXT($G969,"0")&amp;"|"&amp;$J969)</f>
        <v/>
      </c>
      <c r="X969" s="3" t="n"/>
      <c r="Y969" s="3" t="n"/>
      <c r="Z969" s="3" t="n"/>
      <c r="AA969" s="3" t="n"/>
      <c r="AB969" s="3" t="n"/>
      <c r="AC969" s="3" t="n"/>
      <c r="AD969" s="3">
        <f>IF($C969="",0,SUMPRODUCT((AY_SONU!$O$7:$O$42="Evet")*(AY_SONU!$B$7:$B$42=DATE(YEAR($C969),MONTH($C969),1))))</f>
        <v/>
      </c>
    </row>
    <row r="970">
      <c r="A970" s="6" t="n"/>
      <c r="B970" s="113">
        <f>IF($C970="","","GG"&amp;TEXT(ROW()-6,"00000"))</f>
        <v/>
      </c>
      <c r="C970" s="220" t="n"/>
      <c r="D970" s="108" t="n"/>
      <c r="E970" s="109" t="n"/>
      <c r="F970" s="109" t="n"/>
      <c r="G970" s="221" t="n"/>
      <c r="H970" s="108" t="n"/>
      <c r="I970" s="108" t="n"/>
      <c r="J970" s="109" t="n"/>
      <c r="K970" s="109" t="n"/>
      <c r="L970" s="108" t="n"/>
      <c r="M970" s="121">
        <f>IF($C970="","",IF($D970="Gider",$E970,IF($L970&lt;&gt;"",$L970,$H970)))</f>
        <v/>
      </c>
      <c r="N970" s="121">
        <f>IF($C970="","",IF($D970="Gider",$H970,$E970))</f>
        <v/>
      </c>
      <c r="O970" s="226">
        <f>IF($C970="","",DATE(YEAR($C970),MONTH($C970),1))</f>
        <v/>
      </c>
      <c r="P970" s="113">
        <f>IF($C970="","",IF(AND($D970="Gelir",$L970&lt;&gt;"",$T970=""),"TANIMSIZ BORÇLU",IF($T970&lt;&gt;"",IF(OR($E970="",$G970&lt;=0),"EKSİK",IF($I970="Evet","TAHAKKUK NAKİT OLAMAZ",IF($C970&gt;TODAY(),"İLERİ TARİH","TAHAKKUK"))),IF(AND($D970&lt;&gt;"",$E970&lt;&gt;"",$G970&gt;0,$H970&lt;&gt;"",$I970&lt;&gt;""),IF($C970&gt;TODAY(),"İLERİ TARİH",IF(COUNTIF($W$7:$W$1206,$W970)&gt;1,"MÜKERRER?",IF($AD970&gt;0,"KAPALI DÖNEM",IF($I970="Hayır","ÖDENECEK","UYGUN")))),"EKSİK"))))</f>
        <v/>
      </c>
      <c r="Q970" s="6" t="n"/>
      <c r="R970" s="6" t="n"/>
      <c r="S970" s="3">
        <f>IF($L970="","",UPPER(SUBSTITUTE(SUBSTITUTE(SUBSTITUTE(SUBSTITUTE(SUBSTITUTE(SUBSTITUTE(SUBSTITUTE(SUBSTITUTE(SUBSTITUTE(SUBSTITUTE(SUBSTITUTE(SUBSTITUTE(SUBSTITUTE(SUBSTITUTE(SUBSTITUTE(SUBSTITUTE(SUBSTITUTE(SUBSTITUTE(TRIM($L970),"'",""),"İ","I"),"ı","I"),"i","I"),"Ş","S"),"ş","S"),"Ğ","G"),"ğ","G"),"Ü","U"),"ü","U"),"Ö","O"),"ö","O"),"Ç","C"),"ç","C"),".",""),",","")," ",""),"-","")))</f>
        <v/>
      </c>
      <c r="T970" s="3">
        <f>IF(OR($C970="",$D970&lt;&gt;"Gelir",$L970=""),"",IFERROR(INDEX(MUSTERILER!$B$7:$B$106,MATCH($S970,MUSTERILER!$T$7:$T$106,0)),""))</f>
        <v/>
      </c>
      <c r="U970" s="3">
        <f>IF($T970="","",$T970&amp;"|"&amp;COUNTIFS($T$7:$T970,$T970))</f>
        <v/>
      </c>
      <c r="V970" s="3">
        <f>IF($T970="",0,1)</f>
        <v/>
      </c>
      <c r="W970" s="3">
        <f>IF($C970="","",$D970&amp;"|"&amp;$E970&amp;"|"&amp;TEXT($C970,"0")&amp;"|"&amp;TEXT($G970,"0")&amp;"|"&amp;$J970)</f>
        <v/>
      </c>
      <c r="X970" s="3" t="n"/>
      <c r="Y970" s="3" t="n"/>
      <c r="Z970" s="3" t="n"/>
      <c r="AA970" s="3" t="n"/>
      <c r="AB970" s="3" t="n"/>
      <c r="AC970" s="3" t="n"/>
      <c r="AD970" s="3">
        <f>IF($C970="",0,SUMPRODUCT((AY_SONU!$O$7:$O$42="Evet")*(AY_SONU!$B$7:$B$42=DATE(YEAR($C970),MONTH($C970),1))))</f>
        <v/>
      </c>
    </row>
    <row r="971">
      <c r="A971" s="6" t="n"/>
      <c r="B971" s="113">
        <f>IF($C971="","","GG"&amp;TEXT(ROW()-6,"00000"))</f>
        <v/>
      </c>
      <c r="C971" s="220" t="n"/>
      <c r="D971" s="108" t="n"/>
      <c r="E971" s="109" t="n"/>
      <c r="F971" s="109" t="n"/>
      <c r="G971" s="221" t="n"/>
      <c r="H971" s="108" t="n"/>
      <c r="I971" s="108" t="n"/>
      <c r="J971" s="109" t="n"/>
      <c r="K971" s="109" t="n"/>
      <c r="L971" s="108" t="n"/>
      <c r="M971" s="121">
        <f>IF($C971="","",IF($D971="Gider",$E971,IF($L971&lt;&gt;"",$L971,$H971)))</f>
        <v/>
      </c>
      <c r="N971" s="121">
        <f>IF($C971="","",IF($D971="Gider",$H971,$E971))</f>
        <v/>
      </c>
      <c r="O971" s="226">
        <f>IF($C971="","",DATE(YEAR($C971),MONTH($C971),1))</f>
        <v/>
      </c>
      <c r="P971" s="113">
        <f>IF($C971="","",IF(AND($D971="Gelir",$L971&lt;&gt;"",$T971=""),"TANIMSIZ BORÇLU",IF($T971&lt;&gt;"",IF(OR($E971="",$G971&lt;=0),"EKSİK",IF($I971="Evet","TAHAKKUK NAKİT OLAMAZ",IF($C971&gt;TODAY(),"İLERİ TARİH","TAHAKKUK"))),IF(AND($D971&lt;&gt;"",$E971&lt;&gt;"",$G971&gt;0,$H971&lt;&gt;"",$I971&lt;&gt;""),IF($C971&gt;TODAY(),"İLERİ TARİH",IF(COUNTIF($W$7:$W$1206,$W971)&gt;1,"MÜKERRER?",IF($AD971&gt;0,"KAPALI DÖNEM",IF($I971="Hayır","ÖDENECEK","UYGUN")))),"EKSİK"))))</f>
        <v/>
      </c>
      <c r="Q971" s="6" t="n"/>
      <c r="R971" s="6" t="n"/>
      <c r="S971" s="3">
        <f>IF($L971="","",UPPER(SUBSTITUTE(SUBSTITUTE(SUBSTITUTE(SUBSTITUTE(SUBSTITUTE(SUBSTITUTE(SUBSTITUTE(SUBSTITUTE(SUBSTITUTE(SUBSTITUTE(SUBSTITUTE(SUBSTITUTE(SUBSTITUTE(SUBSTITUTE(SUBSTITUTE(SUBSTITUTE(SUBSTITUTE(SUBSTITUTE(TRIM($L971),"'",""),"İ","I"),"ı","I"),"i","I"),"Ş","S"),"ş","S"),"Ğ","G"),"ğ","G"),"Ü","U"),"ü","U"),"Ö","O"),"ö","O"),"Ç","C"),"ç","C"),".",""),",","")," ",""),"-","")))</f>
        <v/>
      </c>
      <c r="T971" s="3">
        <f>IF(OR($C971="",$D971&lt;&gt;"Gelir",$L971=""),"",IFERROR(INDEX(MUSTERILER!$B$7:$B$106,MATCH($S971,MUSTERILER!$T$7:$T$106,0)),""))</f>
        <v/>
      </c>
      <c r="U971" s="3">
        <f>IF($T971="","",$T971&amp;"|"&amp;COUNTIFS($T$7:$T971,$T971))</f>
        <v/>
      </c>
      <c r="V971" s="3">
        <f>IF($T971="",0,1)</f>
        <v/>
      </c>
      <c r="W971" s="3">
        <f>IF($C971="","",$D971&amp;"|"&amp;$E971&amp;"|"&amp;TEXT($C971,"0")&amp;"|"&amp;TEXT($G971,"0")&amp;"|"&amp;$J971)</f>
        <v/>
      </c>
      <c r="X971" s="3" t="n"/>
      <c r="Y971" s="3" t="n"/>
      <c r="Z971" s="3" t="n"/>
      <c r="AA971" s="3" t="n"/>
      <c r="AB971" s="3" t="n"/>
      <c r="AC971" s="3" t="n"/>
      <c r="AD971" s="3">
        <f>IF($C971="",0,SUMPRODUCT((AY_SONU!$O$7:$O$42="Evet")*(AY_SONU!$B$7:$B$42=DATE(YEAR($C971),MONTH($C971),1))))</f>
        <v/>
      </c>
    </row>
    <row r="972">
      <c r="A972" s="6" t="n"/>
      <c r="B972" s="113">
        <f>IF($C972="","","GG"&amp;TEXT(ROW()-6,"00000"))</f>
        <v/>
      </c>
      <c r="C972" s="220" t="n"/>
      <c r="D972" s="108" t="n"/>
      <c r="E972" s="109" t="n"/>
      <c r="F972" s="109" t="n"/>
      <c r="G972" s="221" t="n"/>
      <c r="H972" s="108" t="n"/>
      <c r="I972" s="108" t="n"/>
      <c r="J972" s="109" t="n"/>
      <c r="K972" s="109" t="n"/>
      <c r="L972" s="108" t="n"/>
      <c r="M972" s="121">
        <f>IF($C972="","",IF($D972="Gider",$E972,IF($L972&lt;&gt;"",$L972,$H972)))</f>
        <v/>
      </c>
      <c r="N972" s="121">
        <f>IF($C972="","",IF($D972="Gider",$H972,$E972))</f>
        <v/>
      </c>
      <c r="O972" s="226">
        <f>IF($C972="","",DATE(YEAR($C972),MONTH($C972),1))</f>
        <v/>
      </c>
      <c r="P972" s="113">
        <f>IF($C972="","",IF(AND($D972="Gelir",$L972&lt;&gt;"",$T972=""),"TANIMSIZ BORÇLU",IF($T972&lt;&gt;"",IF(OR($E972="",$G972&lt;=0),"EKSİK",IF($I972="Evet","TAHAKKUK NAKİT OLAMAZ",IF($C972&gt;TODAY(),"İLERİ TARİH","TAHAKKUK"))),IF(AND($D972&lt;&gt;"",$E972&lt;&gt;"",$G972&gt;0,$H972&lt;&gt;"",$I972&lt;&gt;""),IF($C972&gt;TODAY(),"İLERİ TARİH",IF(COUNTIF($W$7:$W$1206,$W972)&gt;1,"MÜKERRER?",IF($AD972&gt;0,"KAPALI DÖNEM",IF($I972="Hayır","ÖDENECEK","UYGUN")))),"EKSİK"))))</f>
        <v/>
      </c>
      <c r="Q972" s="6" t="n"/>
      <c r="R972" s="6" t="n"/>
      <c r="S972" s="3">
        <f>IF($L972="","",UPPER(SUBSTITUTE(SUBSTITUTE(SUBSTITUTE(SUBSTITUTE(SUBSTITUTE(SUBSTITUTE(SUBSTITUTE(SUBSTITUTE(SUBSTITUTE(SUBSTITUTE(SUBSTITUTE(SUBSTITUTE(SUBSTITUTE(SUBSTITUTE(SUBSTITUTE(SUBSTITUTE(SUBSTITUTE(SUBSTITUTE(TRIM($L972),"'",""),"İ","I"),"ı","I"),"i","I"),"Ş","S"),"ş","S"),"Ğ","G"),"ğ","G"),"Ü","U"),"ü","U"),"Ö","O"),"ö","O"),"Ç","C"),"ç","C"),".",""),",","")," ",""),"-","")))</f>
        <v/>
      </c>
      <c r="T972" s="3">
        <f>IF(OR($C972="",$D972&lt;&gt;"Gelir",$L972=""),"",IFERROR(INDEX(MUSTERILER!$B$7:$B$106,MATCH($S972,MUSTERILER!$T$7:$T$106,0)),""))</f>
        <v/>
      </c>
      <c r="U972" s="3">
        <f>IF($T972="","",$T972&amp;"|"&amp;COUNTIFS($T$7:$T972,$T972))</f>
        <v/>
      </c>
      <c r="V972" s="3">
        <f>IF($T972="",0,1)</f>
        <v/>
      </c>
      <c r="W972" s="3">
        <f>IF($C972="","",$D972&amp;"|"&amp;$E972&amp;"|"&amp;TEXT($C972,"0")&amp;"|"&amp;TEXT($G972,"0")&amp;"|"&amp;$J972)</f>
        <v/>
      </c>
      <c r="X972" s="3" t="n"/>
      <c r="Y972" s="3" t="n"/>
      <c r="Z972" s="3" t="n"/>
      <c r="AA972" s="3" t="n"/>
      <c r="AB972" s="3" t="n"/>
      <c r="AC972" s="3" t="n"/>
      <c r="AD972" s="3">
        <f>IF($C972="",0,SUMPRODUCT((AY_SONU!$O$7:$O$42="Evet")*(AY_SONU!$B$7:$B$42=DATE(YEAR($C972),MONTH($C972),1))))</f>
        <v/>
      </c>
    </row>
    <row r="973">
      <c r="A973" s="6" t="n"/>
      <c r="B973" s="113">
        <f>IF($C973="","","GG"&amp;TEXT(ROW()-6,"00000"))</f>
        <v/>
      </c>
      <c r="C973" s="220" t="n"/>
      <c r="D973" s="108" t="n"/>
      <c r="E973" s="109" t="n"/>
      <c r="F973" s="109" t="n"/>
      <c r="G973" s="221" t="n"/>
      <c r="H973" s="108" t="n"/>
      <c r="I973" s="108" t="n"/>
      <c r="J973" s="109" t="n"/>
      <c r="K973" s="109" t="n"/>
      <c r="L973" s="108" t="n"/>
      <c r="M973" s="121">
        <f>IF($C973="","",IF($D973="Gider",$E973,IF($L973&lt;&gt;"",$L973,$H973)))</f>
        <v/>
      </c>
      <c r="N973" s="121">
        <f>IF($C973="","",IF($D973="Gider",$H973,$E973))</f>
        <v/>
      </c>
      <c r="O973" s="226">
        <f>IF($C973="","",DATE(YEAR($C973),MONTH($C973),1))</f>
        <v/>
      </c>
      <c r="P973" s="113">
        <f>IF($C973="","",IF(AND($D973="Gelir",$L973&lt;&gt;"",$T973=""),"TANIMSIZ BORÇLU",IF($T973&lt;&gt;"",IF(OR($E973="",$G973&lt;=0),"EKSİK",IF($I973="Evet","TAHAKKUK NAKİT OLAMAZ",IF($C973&gt;TODAY(),"İLERİ TARİH","TAHAKKUK"))),IF(AND($D973&lt;&gt;"",$E973&lt;&gt;"",$G973&gt;0,$H973&lt;&gt;"",$I973&lt;&gt;""),IF($C973&gt;TODAY(),"İLERİ TARİH",IF(COUNTIF($W$7:$W$1206,$W973)&gt;1,"MÜKERRER?",IF($AD973&gt;0,"KAPALI DÖNEM",IF($I973="Hayır","ÖDENECEK","UYGUN")))),"EKSİK"))))</f>
        <v/>
      </c>
      <c r="Q973" s="6" t="n"/>
      <c r="R973" s="6" t="n"/>
      <c r="S973" s="3">
        <f>IF($L973="","",UPPER(SUBSTITUTE(SUBSTITUTE(SUBSTITUTE(SUBSTITUTE(SUBSTITUTE(SUBSTITUTE(SUBSTITUTE(SUBSTITUTE(SUBSTITUTE(SUBSTITUTE(SUBSTITUTE(SUBSTITUTE(SUBSTITUTE(SUBSTITUTE(SUBSTITUTE(SUBSTITUTE(SUBSTITUTE(SUBSTITUTE(TRIM($L973),"'",""),"İ","I"),"ı","I"),"i","I"),"Ş","S"),"ş","S"),"Ğ","G"),"ğ","G"),"Ü","U"),"ü","U"),"Ö","O"),"ö","O"),"Ç","C"),"ç","C"),".",""),",","")," ",""),"-","")))</f>
        <v/>
      </c>
      <c r="T973" s="3">
        <f>IF(OR($C973="",$D973&lt;&gt;"Gelir",$L973=""),"",IFERROR(INDEX(MUSTERILER!$B$7:$B$106,MATCH($S973,MUSTERILER!$T$7:$T$106,0)),""))</f>
        <v/>
      </c>
      <c r="U973" s="3">
        <f>IF($T973="","",$T973&amp;"|"&amp;COUNTIFS($T$7:$T973,$T973))</f>
        <v/>
      </c>
      <c r="V973" s="3">
        <f>IF($T973="",0,1)</f>
        <v/>
      </c>
      <c r="W973" s="3">
        <f>IF($C973="","",$D973&amp;"|"&amp;$E973&amp;"|"&amp;TEXT($C973,"0")&amp;"|"&amp;TEXT($G973,"0")&amp;"|"&amp;$J973)</f>
        <v/>
      </c>
      <c r="X973" s="3" t="n"/>
      <c r="Y973" s="3" t="n"/>
      <c r="Z973" s="3" t="n"/>
      <c r="AA973" s="3" t="n"/>
      <c r="AB973" s="3" t="n"/>
      <c r="AC973" s="3" t="n"/>
      <c r="AD973" s="3">
        <f>IF($C973="",0,SUMPRODUCT((AY_SONU!$O$7:$O$42="Evet")*(AY_SONU!$B$7:$B$42=DATE(YEAR($C973),MONTH($C973),1))))</f>
        <v/>
      </c>
    </row>
    <row r="974">
      <c r="A974" s="6" t="n"/>
      <c r="B974" s="113">
        <f>IF($C974="","","GG"&amp;TEXT(ROW()-6,"00000"))</f>
        <v/>
      </c>
      <c r="C974" s="220" t="n"/>
      <c r="D974" s="108" t="n"/>
      <c r="E974" s="109" t="n"/>
      <c r="F974" s="109" t="n"/>
      <c r="G974" s="221" t="n"/>
      <c r="H974" s="108" t="n"/>
      <c r="I974" s="108" t="n"/>
      <c r="J974" s="109" t="n"/>
      <c r="K974" s="109" t="n"/>
      <c r="L974" s="108" t="n"/>
      <c r="M974" s="121">
        <f>IF($C974="","",IF($D974="Gider",$E974,IF($L974&lt;&gt;"",$L974,$H974)))</f>
        <v/>
      </c>
      <c r="N974" s="121">
        <f>IF($C974="","",IF($D974="Gider",$H974,$E974))</f>
        <v/>
      </c>
      <c r="O974" s="226">
        <f>IF($C974="","",DATE(YEAR($C974),MONTH($C974),1))</f>
        <v/>
      </c>
      <c r="P974" s="113">
        <f>IF($C974="","",IF(AND($D974="Gelir",$L974&lt;&gt;"",$T974=""),"TANIMSIZ BORÇLU",IF($T974&lt;&gt;"",IF(OR($E974="",$G974&lt;=0),"EKSİK",IF($I974="Evet","TAHAKKUK NAKİT OLAMAZ",IF($C974&gt;TODAY(),"İLERİ TARİH","TAHAKKUK"))),IF(AND($D974&lt;&gt;"",$E974&lt;&gt;"",$G974&gt;0,$H974&lt;&gt;"",$I974&lt;&gt;""),IF($C974&gt;TODAY(),"İLERİ TARİH",IF(COUNTIF($W$7:$W$1206,$W974)&gt;1,"MÜKERRER?",IF($AD974&gt;0,"KAPALI DÖNEM",IF($I974="Hayır","ÖDENECEK","UYGUN")))),"EKSİK"))))</f>
        <v/>
      </c>
      <c r="Q974" s="6" t="n"/>
      <c r="R974" s="6" t="n"/>
      <c r="S974" s="3">
        <f>IF($L974="","",UPPER(SUBSTITUTE(SUBSTITUTE(SUBSTITUTE(SUBSTITUTE(SUBSTITUTE(SUBSTITUTE(SUBSTITUTE(SUBSTITUTE(SUBSTITUTE(SUBSTITUTE(SUBSTITUTE(SUBSTITUTE(SUBSTITUTE(SUBSTITUTE(SUBSTITUTE(SUBSTITUTE(SUBSTITUTE(SUBSTITUTE(TRIM($L974),"'",""),"İ","I"),"ı","I"),"i","I"),"Ş","S"),"ş","S"),"Ğ","G"),"ğ","G"),"Ü","U"),"ü","U"),"Ö","O"),"ö","O"),"Ç","C"),"ç","C"),".",""),",","")," ",""),"-","")))</f>
        <v/>
      </c>
      <c r="T974" s="3">
        <f>IF(OR($C974="",$D974&lt;&gt;"Gelir",$L974=""),"",IFERROR(INDEX(MUSTERILER!$B$7:$B$106,MATCH($S974,MUSTERILER!$T$7:$T$106,0)),""))</f>
        <v/>
      </c>
      <c r="U974" s="3">
        <f>IF($T974="","",$T974&amp;"|"&amp;COUNTIFS($T$7:$T974,$T974))</f>
        <v/>
      </c>
      <c r="V974" s="3">
        <f>IF($T974="",0,1)</f>
        <v/>
      </c>
      <c r="W974" s="3">
        <f>IF($C974="","",$D974&amp;"|"&amp;$E974&amp;"|"&amp;TEXT($C974,"0")&amp;"|"&amp;TEXT($G974,"0")&amp;"|"&amp;$J974)</f>
        <v/>
      </c>
      <c r="X974" s="3" t="n"/>
      <c r="Y974" s="3" t="n"/>
      <c r="Z974" s="3" t="n"/>
      <c r="AA974" s="3" t="n"/>
      <c r="AB974" s="3" t="n"/>
      <c r="AC974" s="3" t="n"/>
      <c r="AD974" s="3">
        <f>IF($C974="",0,SUMPRODUCT((AY_SONU!$O$7:$O$42="Evet")*(AY_SONU!$B$7:$B$42=DATE(YEAR($C974),MONTH($C974),1))))</f>
        <v/>
      </c>
    </row>
    <row r="975">
      <c r="A975" s="6" t="n"/>
      <c r="B975" s="113">
        <f>IF($C975="","","GG"&amp;TEXT(ROW()-6,"00000"))</f>
        <v/>
      </c>
      <c r="C975" s="220" t="n"/>
      <c r="D975" s="108" t="n"/>
      <c r="E975" s="109" t="n"/>
      <c r="F975" s="109" t="n"/>
      <c r="G975" s="221" t="n"/>
      <c r="H975" s="108" t="n"/>
      <c r="I975" s="108" t="n"/>
      <c r="J975" s="109" t="n"/>
      <c r="K975" s="109" t="n"/>
      <c r="L975" s="108" t="n"/>
      <c r="M975" s="121">
        <f>IF($C975="","",IF($D975="Gider",$E975,IF($L975&lt;&gt;"",$L975,$H975)))</f>
        <v/>
      </c>
      <c r="N975" s="121">
        <f>IF($C975="","",IF($D975="Gider",$H975,$E975))</f>
        <v/>
      </c>
      <c r="O975" s="226">
        <f>IF($C975="","",DATE(YEAR($C975),MONTH($C975),1))</f>
        <v/>
      </c>
      <c r="P975" s="113">
        <f>IF($C975="","",IF(AND($D975="Gelir",$L975&lt;&gt;"",$T975=""),"TANIMSIZ BORÇLU",IF($T975&lt;&gt;"",IF(OR($E975="",$G975&lt;=0),"EKSİK",IF($I975="Evet","TAHAKKUK NAKİT OLAMAZ",IF($C975&gt;TODAY(),"İLERİ TARİH","TAHAKKUK"))),IF(AND($D975&lt;&gt;"",$E975&lt;&gt;"",$G975&gt;0,$H975&lt;&gt;"",$I975&lt;&gt;""),IF($C975&gt;TODAY(),"İLERİ TARİH",IF(COUNTIF($W$7:$W$1206,$W975)&gt;1,"MÜKERRER?",IF($AD975&gt;0,"KAPALI DÖNEM",IF($I975="Hayır","ÖDENECEK","UYGUN")))),"EKSİK"))))</f>
        <v/>
      </c>
      <c r="Q975" s="6" t="n"/>
      <c r="R975" s="6" t="n"/>
      <c r="S975" s="3">
        <f>IF($L975="","",UPPER(SUBSTITUTE(SUBSTITUTE(SUBSTITUTE(SUBSTITUTE(SUBSTITUTE(SUBSTITUTE(SUBSTITUTE(SUBSTITUTE(SUBSTITUTE(SUBSTITUTE(SUBSTITUTE(SUBSTITUTE(SUBSTITUTE(SUBSTITUTE(SUBSTITUTE(SUBSTITUTE(SUBSTITUTE(SUBSTITUTE(TRIM($L975),"'",""),"İ","I"),"ı","I"),"i","I"),"Ş","S"),"ş","S"),"Ğ","G"),"ğ","G"),"Ü","U"),"ü","U"),"Ö","O"),"ö","O"),"Ç","C"),"ç","C"),".",""),",","")," ",""),"-","")))</f>
        <v/>
      </c>
      <c r="T975" s="3">
        <f>IF(OR($C975="",$D975&lt;&gt;"Gelir",$L975=""),"",IFERROR(INDEX(MUSTERILER!$B$7:$B$106,MATCH($S975,MUSTERILER!$T$7:$T$106,0)),""))</f>
        <v/>
      </c>
      <c r="U975" s="3">
        <f>IF($T975="","",$T975&amp;"|"&amp;COUNTIFS($T$7:$T975,$T975))</f>
        <v/>
      </c>
      <c r="V975" s="3">
        <f>IF($T975="",0,1)</f>
        <v/>
      </c>
      <c r="W975" s="3">
        <f>IF($C975="","",$D975&amp;"|"&amp;$E975&amp;"|"&amp;TEXT($C975,"0")&amp;"|"&amp;TEXT($G975,"0")&amp;"|"&amp;$J975)</f>
        <v/>
      </c>
      <c r="X975" s="3" t="n"/>
      <c r="Y975" s="3" t="n"/>
      <c r="Z975" s="3" t="n"/>
      <c r="AA975" s="3" t="n"/>
      <c r="AB975" s="3" t="n"/>
      <c r="AC975" s="3" t="n"/>
      <c r="AD975" s="3">
        <f>IF($C975="",0,SUMPRODUCT((AY_SONU!$O$7:$O$42="Evet")*(AY_SONU!$B$7:$B$42=DATE(YEAR($C975),MONTH($C975),1))))</f>
        <v/>
      </c>
    </row>
    <row r="976">
      <c r="A976" s="6" t="n"/>
      <c r="B976" s="113">
        <f>IF($C976="","","GG"&amp;TEXT(ROW()-6,"00000"))</f>
        <v/>
      </c>
      <c r="C976" s="220" t="n"/>
      <c r="D976" s="108" t="n"/>
      <c r="E976" s="109" t="n"/>
      <c r="F976" s="109" t="n"/>
      <c r="G976" s="221" t="n"/>
      <c r="H976" s="108" t="n"/>
      <c r="I976" s="108" t="n"/>
      <c r="J976" s="109" t="n"/>
      <c r="K976" s="109" t="n"/>
      <c r="L976" s="108" t="n"/>
      <c r="M976" s="121">
        <f>IF($C976="","",IF($D976="Gider",$E976,IF($L976&lt;&gt;"",$L976,$H976)))</f>
        <v/>
      </c>
      <c r="N976" s="121">
        <f>IF($C976="","",IF($D976="Gider",$H976,$E976))</f>
        <v/>
      </c>
      <c r="O976" s="226">
        <f>IF($C976="","",DATE(YEAR($C976),MONTH($C976),1))</f>
        <v/>
      </c>
      <c r="P976" s="113">
        <f>IF($C976="","",IF(AND($D976="Gelir",$L976&lt;&gt;"",$T976=""),"TANIMSIZ BORÇLU",IF($T976&lt;&gt;"",IF(OR($E976="",$G976&lt;=0),"EKSİK",IF($I976="Evet","TAHAKKUK NAKİT OLAMAZ",IF($C976&gt;TODAY(),"İLERİ TARİH","TAHAKKUK"))),IF(AND($D976&lt;&gt;"",$E976&lt;&gt;"",$G976&gt;0,$H976&lt;&gt;"",$I976&lt;&gt;""),IF($C976&gt;TODAY(),"İLERİ TARİH",IF(COUNTIF($W$7:$W$1206,$W976)&gt;1,"MÜKERRER?",IF($AD976&gt;0,"KAPALI DÖNEM",IF($I976="Hayır","ÖDENECEK","UYGUN")))),"EKSİK"))))</f>
        <v/>
      </c>
      <c r="Q976" s="6" t="n"/>
      <c r="R976" s="6" t="n"/>
      <c r="S976" s="3">
        <f>IF($L976="","",UPPER(SUBSTITUTE(SUBSTITUTE(SUBSTITUTE(SUBSTITUTE(SUBSTITUTE(SUBSTITUTE(SUBSTITUTE(SUBSTITUTE(SUBSTITUTE(SUBSTITUTE(SUBSTITUTE(SUBSTITUTE(SUBSTITUTE(SUBSTITUTE(SUBSTITUTE(SUBSTITUTE(SUBSTITUTE(SUBSTITUTE(TRIM($L976),"'",""),"İ","I"),"ı","I"),"i","I"),"Ş","S"),"ş","S"),"Ğ","G"),"ğ","G"),"Ü","U"),"ü","U"),"Ö","O"),"ö","O"),"Ç","C"),"ç","C"),".",""),",","")," ",""),"-","")))</f>
        <v/>
      </c>
      <c r="T976" s="3">
        <f>IF(OR($C976="",$D976&lt;&gt;"Gelir",$L976=""),"",IFERROR(INDEX(MUSTERILER!$B$7:$B$106,MATCH($S976,MUSTERILER!$T$7:$T$106,0)),""))</f>
        <v/>
      </c>
      <c r="U976" s="3">
        <f>IF($T976="","",$T976&amp;"|"&amp;COUNTIFS($T$7:$T976,$T976))</f>
        <v/>
      </c>
      <c r="V976" s="3">
        <f>IF($T976="",0,1)</f>
        <v/>
      </c>
      <c r="W976" s="3">
        <f>IF($C976="","",$D976&amp;"|"&amp;$E976&amp;"|"&amp;TEXT($C976,"0")&amp;"|"&amp;TEXT($G976,"0")&amp;"|"&amp;$J976)</f>
        <v/>
      </c>
      <c r="X976" s="3" t="n"/>
      <c r="Y976" s="3" t="n"/>
      <c r="Z976" s="3" t="n"/>
      <c r="AA976" s="3" t="n"/>
      <c r="AB976" s="3" t="n"/>
      <c r="AC976" s="3" t="n"/>
      <c r="AD976" s="3">
        <f>IF($C976="",0,SUMPRODUCT((AY_SONU!$O$7:$O$42="Evet")*(AY_SONU!$B$7:$B$42=DATE(YEAR($C976),MONTH($C976),1))))</f>
        <v/>
      </c>
    </row>
    <row r="977">
      <c r="A977" s="6" t="n"/>
      <c r="B977" s="113">
        <f>IF($C977="","","GG"&amp;TEXT(ROW()-6,"00000"))</f>
        <v/>
      </c>
      <c r="C977" s="220" t="n"/>
      <c r="D977" s="108" t="n"/>
      <c r="E977" s="109" t="n"/>
      <c r="F977" s="109" t="n"/>
      <c r="G977" s="221" t="n"/>
      <c r="H977" s="108" t="n"/>
      <c r="I977" s="108" t="n"/>
      <c r="J977" s="109" t="n"/>
      <c r="K977" s="109" t="n"/>
      <c r="L977" s="108" t="n"/>
      <c r="M977" s="121">
        <f>IF($C977="","",IF($D977="Gider",$E977,IF($L977&lt;&gt;"",$L977,$H977)))</f>
        <v/>
      </c>
      <c r="N977" s="121">
        <f>IF($C977="","",IF($D977="Gider",$H977,$E977))</f>
        <v/>
      </c>
      <c r="O977" s="226">
        <f>IF($C977="","",DATE(YEAR($C977),MONTH($C977),1))</f>
        <v/>
      </c>
      <c r="P977" s="113">
        <f>IF($C977="","",IF(AND($D977="Gelir",$L977&lt;&gt;"",$T977=""),"TANIMSIZ BORÇLU",IF($T977&lt;&gt;"",IF(OR($E977="",$G977&lt;=0),"EKSİK",IF($I977="Evet","TAHAKKUK NAKİT OLAMAZ",IF($C977&gt;TODAY(),"İLERİ TARİH","TAHAKKUK"))),IF(AND($D977&lt;&gt;"",$E977&lt;&gt;"",$G977&gt;0,$H977&lt;&gt;"",$I977&lt;&gt;""),IF($C977&gt;TODAY(),"İLERİ TARİH",IF(COUNTIF($W$7:$W$1206,$W977)&gt;1,"MÜKERRER?",IF($AD977&gt;0,"KAPALI DÖNEM",IF($I977="Hayır","ÖDENECEK","UYGUN")))),"EKSİK"))))</f>
        <v/>
      </c>
      <c r="Q977" s="6" t="n"/>
      <c r="R977" s="6" t="n"/>
      <c r="S977" s="3">
        <f>IF($L977="","",UPPER(SUBSTITUTE(SUBSTITUTE(SUBSTITUTE(SUBSTITUTE(SUBSTITUTE(SUBSTITUTE(SUBSTITUTE(SUBSTITUTE(SUBSTITUTE(SUBSTITUTE(SUBSTITUTE(SUBSTITUTE(SUBSTITUTE(SUBSTITUTE(SUBSTITUTE(SUBSTITUTE(SUBSTITUTE(SUBSTITUTE(TRIM($L977),"'",""),"İ","I"),"ı","I"),"i","I"),"Ş","S"),"ş","S"),"Ğ","G"),"ğ","G"),"Ü","U"),"ü","U"),"Ö","O"),"ö","O"),"Ç","C"),"ç","C"),".",""),",","")," ",""),"-","")))</f>
        <v/>
      </c>
      <c r="T977" s="3">
        <f>IF(OR($C977="",$D977&lt;&gt;"Gelir",$L977=""),"",IFERROR(INDEX(MUSTERILER!$B$7:$B$106,MATCH($S977,MUSTERILER!$T$7:$T$106,0)),""))</f>
        <v/>
      </c>
      <c r="U977" s="3">
        <f>IF($T977="","",$T977&amp;"|"&amp;COUNTIFS($T$7:$T977,$T977))</f>
        <v/>
      </c>
      <c r="V977" s="3">
        <f>IF($T977="",0,1)</f>
        <v/>
      </c>
      <c r="W977" s="3">
        <f>IF($C977="","",$D977&amp;"|"&amp;$E977&amp;"|"&amp;TEXT($C977,"0")&amp;"|"&amp;TEXT($G977,"0")&amp;"|"&amp;$J977)</f>
        <v/>
      </c>
      <c r="X977" s="3" t="n"/>
      <c r="Y977" s="3" t="n"/>
      <c r="Z977" s="3" t="n"/>
      <c r="AA977" s="3" t="n"/>
      <c r="AB977" s="3" t="n"/>
      <c r="AC977" s="3" t="n"/>
      <c r="AD977" s="3">
        <f>IF($C977="",0,SUMPRODUCT((AY_SONU!$O$7:$O$42="Evet")*(AY_SONU!$B$7:$B$42=DATE(YEAR($C977),MONTH($C977),1))))</f>
        <v/>
      </c>
    </row>
    <row r="978">
      <c r="A978" s="6" t="n"/>
      <c r="B978" s="113">
        <f>IF($C978="","","GG"&amp;TEXT(ROW()-6,"00000"))</f>
        <v/>
      </c>
      <c r="C978" s="220" t="n"/>
      <c r="D978" s="108" t="n"/>
      <c r="E978" s="109" t="n"/>
      <c r="F978" s="109" t="n"/>
      <c r="G978" s="221" t="n"/>
      <c r="H978" s="108" t="n"/>
      <c r="I978" s="108" t="n"/>
      <c r="J978" s="109" t="n"/>
      <c r="K978" s="109" t="n"/>
      <c r="L978" s="108" t="n"/>
      <c r="M978" s="121">
        <f>IF($C978="","",IF($D978="Gider",$E978,IF($L978&lt;&gt;"",$L978,$H978)))</f>
        <v/>
      </c>
      <c r="N978" s="121">
        <f>IF($C978="","",IF($D978="Gider",$H978,$E978))</f>
        <v/>
      </c>
      <c r="O978" s="226">
        <f>IF($C978="","",DATE(YEAR($C978),MONTH($C978),1))</f>
        <v/>
      </c>
      <c r="P978" s="113">
        <f>IF($C978="","",IF(AND($D978="Gelir",$L978&lt;&gt;"",$T978=""),"TANIMSIZ BORÇLU",IF($T978&lt;&gt;"",IF(OR($E978="",$G978&lt;=0),"EKSİK",IF($I978="Evet","TAHAKKUK NAKİT OLAMAZ",IF($C978&gt;TODAY(),"İLERİ TARİH","TAHAKKUK"))),IF(AND($D978&lt;&gt;"",$E978&lt;&gt;"",$G978&gt;0,$H978&lt;&gt;"",$I978&lt;&gt;""),IF($C978&gt;TODAY(),"İLERİ TARİH",IF(COUNTIF($W$7:$W$1206,$W978)&gt;1,"MÜKERRER?",IF($AD978&gt;0,"KAPALI DÖNEM",IF($I978="Hayır","ÖDENECEK","UYGUN")))),"EKSİK"))))</f>
        <v/>
      </c>
      <c r="Q978" s="6" t="n"/>
      <c r="R978" s="6" t="n"/>
      <c r="S978" s="3">
        <f>IF($L978="","",UPPER(SUBSTITUTE(SUBSTITUTE(SUBSTITUTE(SUBSTITUTE(SUBSTITUTE(SUBSTITUTE(SUBSTITUTE(SUBSTITUTE(SUBSTITUTE(SUBSTITUTE(SUBSTITUTE(SUBSTITUTE(SUBSTITUTE(SUBSTITUTE(SUBSTITUTE(SUBSTITUTE(SUBSTITUTE(SUBSTITUTE(TRIM($L978),"'",""),"İ","I"),"ı","I"),"i","I"),"Ş","S"),"ş","S"),"Ğ","G"),"ğ","G"),"Ü","U"),"ü","U"),"Ö","O"),"ö","O"),"Ç","C"),"ç","C"),".",""),",","")," ",""),"-","")))</f>
        <v/>
      </c>
      <c r="T978" s="3">
        <f>IF(OR($C978="",$D978&lt;&gt;"Gelir",$L978=""),"",IFERROR(INDEX(MUSTERILER!$B$7:$B$106,MATCH($S978,MUSTERILER!$T$7:$T$106,0)),""))</f>
        <v/>
      </c>
      <c r="U978" s="3">
        <f>IF($T978="","",$T978&amp;"|"&amp;COUNTIFS($T$7:$T978,$T978))</f>
        <v/>
      </c>
      <c r="V978" s="3">
        <f>IF($T978="",0,1)</f>
        <v/>
      </c>
      <c r="W978" s="3">
        <f>IF($C978="","",$D978&amp;"|"&amp;$E978&amp;"|"&amp;TEXT($C978,"0")&amp;"|"&amp;TEXT($G978,"0")&amp;"|"&amp;$J978)</f>
        <v/>
      </c>
      <c r="X978" s="3" t="n"/>
      <c r="Y978" s="3" t="n"/>
      <c r="Z978" s="3" t="n"/>
      <c r="AA978" s="3" t="n"/>
      <c r="AB978" s="3" t="n"/>
      <c r="AC978" s="3" t="n"/>
      <c r="AD978" s="3">
        <f>IF($C978="",0,SUMPRODUCT((AY_SONU!$O$7:$O$42="Evet")*(AY_SONU!$B$7:$B$42=DATE(YEAR($C978),MONTH($C978),1))))</f>
        <v/>
      </c>
    </row>
    <row r="979">
      <c r="A979" s="6" t="n"/>
      <c r="B979" s="113">
        <f>IF($C979="","","GG"&amp;TEXT(ROW()-6,"00000"))</f>
        <v/>
      </c>
      <c r="C979" s="220" t="n"/>
      <c r="D979" s="108" t="n"/>
      <c r="E979" s="109" t="n"/>
      <c r="F979" s="109" t="n"/>
      <c r="G979" s="221" t="n"/>
      <c r="H979" s="108" t="n"/>
      <c r="I979" s="108" t="n"/>
      <c r="J979" s="109" t="n"/>
      <c r="K979" s="109" t="n"/>
      <c r="L979" s="108" t="n"/>
      <c r="M979" s="121">
        <f>IF($C979="","",IF($D979="Gider",$E979,IF($L979&lt;&gt;"",$L979,$H979)))</f>
        <v/>
      </c>
      <c r="N979" s="121">
        <f>IF($C979="","",IF($D979="Gider",$H979,$E979))</f>
        <v/>
      </c>
      <c r="O979" s="226">
        <f>IF($C979="","",DATE(YEAR($C979),MONTH($C979),1))</f>
        <v/>
      </c>
      <c r="P979" s="113">
        <f>IF($C979="","",IF(AND($D979="Gelir",$L979&lt;&gt;"",$T979=""),"TANIMSIZ BORÇLU",IF($T979&lt;&gt;"",IF(OR($E979="",$G979&lt;=0),"EKSİK",IF($I979="Evet","TAHAKKUK NAKİT OLAMAZ",IF($C979&gt;TODAY(),"İLERİ TARİH","TAHAKKUK"))),IF(AND($D979&lt;&gt;"",$E979&lt;&gt;"",$G979&gt;0,$H979&lt;&gt;"",$I979&lt;&gt;""),IF($C979&gt;TODAY(),"İLERİ TARİH",IF(COUNTIF($W$7:$W$1206,$W979)&gt;1,"MÜKERRER?",IF($AD979&gt;0,"KAPALI DÖNEM",IF($I979="Hayır","ÖDENECEK","UYGUN")))),"EKSİK"))))</f>
        <v/>
      </c>
      <c r="Q979" s="6" t="n"/>
      <c r="R979" s="6" t="n"/>
      <c r="S979" s="3">
        <f>IF($L979="","",UPPER(SUBSTITUTE(SUBSTITUTE(SUBSTITUTE(SUBSTITUTE(SUBSTITUTE(SUBSTITUTE(SUBSTITUTE(SUBSTITUTE(SUBSTITUTE(SUBSTITUTE(SUBSTITUTE(SUBSTITUTE(SUBSTITUTE(SUBSTITUTE(SUBSTITUTE(SUBSTITUTE(SUBSTITUTE(SUBSTITUTE(TRIM($L979),"'",""),"İ","I"),"ı","I"),"i","I"),"Ş","S"),"ş","S"),"Ğ","G"),"ğ","G"),"Ü","U"),"ü","U"),"Ö","O"),"ö","O"),"Ç","C"),"ç","C"),".",""),",","")," ",""),"-","")))</f>
        <v/>
      </c>
      <c r="T979" s="3">
        <f>IF(OR($C979="",$D979&lt;&gt;"Gelir",$L979=""),"",IFERROR(INDEX(MUSTERILER!$B$7:$B$106,MATCH($S979,MUSTERILER!$T$7:$T$106,0)),""))</f>
        <v/>
      </c>
      <c r="U979" s="3">
        <f>IF($T979="","",$T979&amp;"|"&amp;COUNTIFS($T$7:$T979,$T979))</f>
        <v/>
      </c>
      <c r="V979" s="3">
        <f>IF($T979="",0,1)</f>
        <v/>
      </c>
      <c r="W979" s="3">
        <f>IF($C979="","",$D979&amp;"|"&amp;$E979&amp;"|"&amp;TEXT($C979,"0")&amp;"|"&amp;TEXT($G979,"0")&amp;"|"&amp;$J979)</f>
        <v/>
      </c>
      <c r="X979" s="3" t="n"/>
      <c r="Y979" s="3" t="n"/>
      <c r="Z979" s="3" t="n"/>
      <c r="AA979" s="3" t="n"/>
      <c r="AB979" s="3" t="n"/>
      <c r="AC979" s="3" t="n"/>
      <c r="AD979" s="3">
        <f>IF($C979="",0,SUMPRODUCT((AY_SONU!$O$7:$O$42="Evet")*(AY_SONU!$B$7:$B$42=DATE(YEAR($C979),MONTH($C979),1))))</f>
        <v/>
      </c>
    </row>
    <row r="980">
      <c r="A980" s="6" t="n"/>
      <c r="B980" s="113">
        <f>IF($C980="","","GG"&amp;TEXT(ROW()-6,"00000"))</f>
        <v/>
      </c>
      <c r="C980" s="220" t="n"/>
      <c r="D980" s="108" t="n"/>
      <c r="E980" s="109" t="n"/>
      <c r="F980" s="109" t="n"/>
      <c r="G980" s="221" t="n"/>
      <c r="H980" s="108" t="n"/>
      <c r="I980" s="108" t="n"/>
      <c r="J980" s="109" t="n"/>
      <c r="K980" s="109" t="n"/>
      <c r="L980" s="108" t="n"/>
      <c r="M980" s="121">
        <f>IF($C980="","",IF($D980="Gider",$E980,IF($L980&lt;&gt;"",$L980,$H980)))</f>
        <v/>
      </c>
      <c r="N980" s="121">
        <f>IF($C980="","",IF($D980="Gider",$H980,$E980))</f>
        <v/>
      </c>
      <c r="O980" s="226">
        <f>IF($C980="","",DATE(YEAR($C980),MONTH($C980),1))</f>
        <v/>
      </c>
      <c r="P980" s="113">
        <f>IF($C980="","",IF(AND($D980="Gelir",$L980&lt;&gt;"",$T980=""),"TANIMSIZ BORÇLU",IF($T980&lt;&gt;"",IF(OR($E980="",$G980&lt;=0),"EKSİK",IF($I980="Evet","TAHAKKUK NAKİT OLAMAZ",IF($C980&gt;TODAY(),"İLERİ TARİH","TAHAKKUK"))),IF(AND($D980&lt;&gt;"",$E980&lt;&gt;"",$G980&gt;0,$H980&lt;&gt;"",$I980&lt;&gt;""),IF($C980&gt;TODAY(),"İLERİ TARİH",IF(COUNTIF($W$7:$W$1206,$W980)&gt;1,"MÜKERRER?",IF($AD980&gt;0,"KAPALI DÖNEM",IF($I980="Hayır","ÖDENECEK","UYGUN")))),"EKSİK"))))</f>
        <v/>
      </c>
      <c r="Q980" s="6" t="n"/>
      <c r="R980" s="6" t="n"/>
      <c r="S980" s="3">
        <f>IF($L980="","",UPPER(SUBSTITUTE(SUBSTITUTE(SUBSTITUTE(SUBSTITUTE(SUBSTITUTE(SUBSTITUTE(SUBSTITUTE(SUBSTITUTE(SUBSTITUTE(SUBSTITUTE(SUBSTITUTE(SUBSTITUTE(SUBSTITUTE(SUBSTITUTE(SUBSTITUTE(SUBSTITUTE(SUBSTITUTE(SUBSTITUTE(TRIM($L980),"'",""),"İ","I"),"ı","I"),"i","I"),"Ş","S"),"ş","S"),"Ğ","G"),"ğ","G"),"Ü","U"),"ü","U"),"Ö","O"),"ö","O"),"Ç","C"),"ç","C"),".",""),",","")," ",""),"-","")))</f>
        <v/>
      </c>
      <c r="T980" s="3">
        <f>IF(OR($C980="",$D980&lt;&gt;"Gelir",$L980=""),"",IFERROR(INDEX(MUSTERILER!$B$7:$B$106,MATCH($S980,MUSTERILER!$T$7:$T$106,0)),""))</f>
        <v/>
      </c>
      <c r="U980" s="3">
        <f>IF($T980="","",$T980&amp;"|"&amp;COUNTIFS($T$7:$T980,$T980))</f>
        <v/>
      </c>
      <c r="V980" s="3">
        <f>IF($T980="",0,1)</f>
        <v/>
      </c>
      <c r="W980" s="3">
        <f>IF($C980="","",$D980&amp;"|"&amp;$E980&amp;"|"&amp;TEXT($C980,"0")&amp;"|"&amp;TEXT($G980,"0")&amp;"|"&amp;$J980)</f>
        <v/>
      </c>
      <c r="X980" s="3" t="n"/>
      <c r="Y980" s="3" t="n"/>
      <c r="Z980" s="3" t="n"/>
      <c r="AA980" s="3" t="n"/>
      <c r="AB980" s="3" t="n"/>
      <c r="AC980" s="3" t="n"/>
      <c r="AD980" s="3">
        <f>IF($C980="",0,SUMPRODUCT((AY_SONU!$O$7:$O$42="Evet")*(AY_SONU!$B$7:$B$42=DATE(YEAR($C980),MONTH($C980),1))))</f>
        <v/>
      </c>
    </row>
    <row r="981">
      <c r="A981" s="6" t="n"/>
      <c r="B981" s="113">
        <f>IF($C981="","","GG"&amp;TEXT(ROW()-6,"00000"))</f>
        <v/>
      </c>
      <c r="C981" s="220" t="n"/>
      <c r="D981" s="108" t="n"/>
      <c r="E981" s="109" t="n"/>
      <c r="F981" s="109" t="n"/>
      <c r="G981" s="221" t="n"/>
      <c r="H981" s="108" t="n"/>
      <c r="I981" s="108" t="n"/>
      <c r="J981" s="109" t="n"/>
      <c r="K981" s="109" t="n"/>
      <c r="L981" s="108" t="n"/>
      <c r="M981" s="121">
        <f>IF($C981="","",IF($D981="Gider",$E981,IF($L981&lt;&gt;"",$L981,$H981)))</f>
        <v/>
      </c>
      <c r="N981" s="121">
        <f>IF($C981="","",IF($D981="Gider",$H981,$E981))</f>
        <v/>
      </c>
      <c r="O981" s="226">
        <f>IF($C981="","",DATE(YEAR($C981),MONTH($C981),1))</f>
        <v/>
      </c>
      <c r="P981" s="113">
        <f>IF($C981="","",IF(AND($D981="Gelir",$L981&lt;&gt;"",$T981=""),"TANIMSIZ BORÇLU",IF($T981&lt;&gt;"",IF(OR($E981="",$G981&lt;=0),"EKSİK",IF($I981="Evet","TAHAKKUK NAKİT OLAMAZ",IF($C981&gt;TODAY(),"İLERİ TARİH","TAHAKKUK"))),IF(AND($D981&lt;&gt;"",$E981&lt;&gt;"",$G981&gt;0,$H981&lt;&gt;"",$I981&lt;&gt;""),IF($C981&gt;TODAY(),"İLERİ TARİH",IF(COUNTIF($W$7:$W$1206,$W981)&gt;1,"MÜKERRER?",IF($AD981&gt;0,"KAPALI DÖNEM",IF($I981="Hayır","ÖDENECEK","UYGUN")))),"EKSİK"))))</f>
        <v/>
      </c>
      <c r="Q981" s="6" t="n"/>
      <c r="R981" s="6" t="n"/>
      <c r="S981" s="3">
        <f>IF($L981="","",UPPER(SUBSTITUTE(SUBSTITUTE(SUBSTITUTE(SUBSTITUTE(SUBSTITUTE(SUBSTITUTE(SUBSTITUTE(SUBSTITUTE(SUBSTITUTE(SUBSTITUTE(SUBSTITUTE(SUBSTITUTE(SUBSTITUTE(SUBSTITUTE(SUBSTITUTE(SUBSTITUTE(SUBSTITUTE(SUBSTITUTE(TRIM($L981),"'",""),"İ","I"),"ı","I"),"i","I"),"Ş","S"),"ş","S"),"Ğ","G"),"ğ","G"),"Ü","U"),"ü","U"),"Ö","O"),"ö","O"),"Ç","C"),"ç","C"),".",""),",","")," ",""),"-","")))</f>
        <v/>
      </c>
      <c r="T981" s="3">
        <f>IF(OR($C981="",$D981&lt;&gt;"Gelir",$L981=""),"",IFERROR(INDEX(MUSTERILER!$B$7:$B$106,MATCH($S981,MUSTERILER!$T$7:$T$106,0)),""))</f>
        <v/>
      </c>
      <c r="U981" s="3">
        <f>IF($T981="","",$T981&amp;"|"&amp;COUNTIFS($T$7:$T981,$T981))</f>
        <v/>
      </c>
      <c r="V981" s="3">
        <f>IF($T981="",0,1)</f>
        <v/>
      </c>
      <c r="W981" s="3">
        <f>IF($C981="","",$D981&amp;"|"&amp;$E981&amp;"|"&amp;TEXT($C981,"0")&amp;"|"&amp;TEXT($G981,"0")&amp;"|"&amp;$J981)</f>
        <v/>
      </c>
      <c r="X981" s="3" t="n"/>
      <c r="Y981" s="3" t="n"/>
      <c r="Z981" s="3" t="n"/>
      <c r="AA981" s="3" t="n"/>
      <c r="AB981" s="3" t="n"/>
      <c r="AC981" s="3" t="n"/>
      <c r="AD981" s="3">
        <f>IF($C981="",0,SUMPRODUCT((AY_SONU!$O$7:$O$42="Evet")*(AY_SONU!$B$7:$B$42=DATE(YEAR($C981),MONTH($C981),1))))</f>
        <v/>
      </c>
    </row>
    <row r="982">
      <c r="A982" s="6" t="n"/>
      <c r="B982" s="113">
        <f>IF($C982="","","GG"&amp;TEXT(ROW()-6,"00000"))</f>
        <v/>
      </c>
      <c r="C982" s="220" t="n"/>
      <c r="D982" s="108" t="n"/>
      <c r="E982" s="109" t="n"/>
      <c r="F982" s="109" t="n"/>
      <c r="G982" s="221" t="n"/>
      <c r="H982" s="108" t="n"/>
      <c r="I982" s="108" t="n"/>
      <c r="J982" s="109" t="n"/>
      <c r="K982" s="109" t="n"/>
      <c r="L982" s="108" t="n"/>
      <c r="M982" s="121">
        <f>IF($C982="","",IF($D982="Gider",$E982,IF($L982&lt;&gt;"",$L982,$H982)))</f>
        <v/>
      </c>
      <c r="N982" s="121">
        <f>IF($C982="","",IF($D982="Gider",$H982,$E982))</f>
        <v/>
      </c>
      <c r="O982" s="226">
        <f>IF($C982="","",DATE(YEAR($C982),MONTH($C982),1))</f>
        <v/>
      </c>
      <c r="P982" s="113">
        <f>IF($C982="","",IF(AND($D982="Gelir",$L982&lt;&gt;"",$T982=""),"TANIMSIZ BORÇLU",IF($T982&lt;&gt;"",IF(OR($E982="",$G982&lt;=0),"EKSİK",IF($I982="Evet","TAHAKKUK NAKİT OLAMAZ",IF($C982&gt;TODAY(),"İLERİ TARİH","TAHAKKUK"))),IF(AND($D982&lt;&gt;"",$E982&lt;&gt;"",$G982&gt;0,$H982&lt;&gt;"",$I982&lt;&gt;""),IF($C982&gt;TODAY(),"İLERİ TARİH",IF(COUNTIF($W$7:$W$1206,$W982)&gt;1,"MÜKERRER?",IF($AD982&gt;0,"KAPALI DÖNEM",IF($I982="Hayır","ÖDENECEK","UYGUN")))),"EKSİK"))))</f>
        <v/>
      </c>
      <c r="Q982" s="6" t="n"/>
      <c r="R982" s="6" t="n"/>
      <c r="S982" s="3">
        <f>IF($L982="","",UPPER(SUBSTITUTE(SUBSTITUTE(SUBSTITUTE(SUBSTITUTE(SUBSTITUTE(SUBSTITUTE(SUBSTITUTE(SUBSTITUTE(SUBSTITUTE(SUBSTITUTE(SUBSTITUTE(SUBSTITUTE(SUBSTITUTE(SUBSTITUTE(SUBSTITUTE(SUBSTITUTE(SUBSTITUTE(SUBSTITUTE(TRIM($L982),"'",""),"İ","I"),"ı","I"),"i","I"),"Ş","S"),"ş","S"),"Ğ","G"),"ğ","G"),"Ü","U"),"ü","U"),"Ö","O"),"ö","O"),"Ç","C"),"ç","C"),".",""),",","")," ",""),"-","")))</f>
        <v/>
      </c>
      <c r="T982" s="3">
        <f>IF(OR($C982="",$D982&lt;&gt;"Gelir",$L982=""),"",IFERROR(INDEX(MUSTERILER!$B$7:$B$106,MATCH($S982,MUSTERILER!$T$7:$T$106,0)),""))</f>
        <v/>
      </c>
      <c r="U982" s="3">
        <f>IF($T982="","",$T982&amp;"|"&amp;COUNTIFS($T$7:$T982,$T982))</f>
        <v/>
      </c>
      <c r="V982" s="3">
        <f>IF($T982="",0,1)</f>
        <v/>
      </c>
      <c r="W982" s="3">
        <f>IF($C982="","",$D982&amp;"|"&amp;$E982&amp;"|"&amp;TEXT($C982,"0")&amp;"|"&amp;TEXT($G982,"0")&amp;"|"&amp;$J982)</f>
        <v/>
      </c>
      <c r="X982" s="3" t="n"/>
      <c r="Y982" s="3" t="n"/>
      <c r="Z982" s="3" t="n"/>
      <c r="AA982" s="3" t="n"/>
      <c r="AB982" s="3" t="n"/>
      <c r="AC982" s="3" t="n"/>
      <c r="AD982" s="3">
        <f>IF($C982="",0,SUMPRODUCT((AY_SONU!$O$7:$O$42="Evet")*(AY_SONU!$B$7:$B$42=DATE(YEAR($C982),MONTH($C982),1))))</f>
        <v/>
      </c>
    </row>
    <row r="983">
      <c r="A983" s="6" t="n"/>
      <c r="B983" s="113">
        <f>IF($C983="","","GG"&amp;TEXT(ROW()-6,"00000"))</f>
        <v/>
      </c>
      <c r="C983" s="220" t="n"/>
      <c r="D983" s="108" t="n"/>
      <c r="E983" s="109" t="n"/>
      <c r="F983" s="109" t="n"/>
      <c r="G983" s="221" t="n"/>
      <c r="H983" s="108" t="n"/>
      <c r="I983" s="108" t="n"/>
      <c r="J983" s="109" t="n"/>
      <c r="K983" s="109" t="n"/>
      <c r="L983" s="108" t="n"/>
      <c r="M983" s="121">
        <f>IF($C983="","",IF($D983="Gider",$E983,IF($L983&lt;&gt;"",$L983,$H983)))</f>
        <v/>
      </c>
      <c r="N983" s="121">
        <f>IF($C983="","",IF($D983="Gider",$H983,$E983))</f>
        <v/>
      </c>
      <c r="O983" s="226">
        <f>IF($C983="","",DATE(YEAR($C983),MONTH($C983),1))</f>
        <v/>
      </c>
      <c r="P983" s="113">
        <f>IF($C983="","",IF(AND($D983="Gelir",$L983&lt;&gt;"",$T983=""),"TANIMSIZ BORÇLU",IF($T983&lt;&gt;"",IF(OR($E983="",$G983&lt;=0),"EKSİK",IF($I983="Evet","TAHAKKUK NAKİT OLAMAZ",IF($C983&gt;TODAY(),"İLERİ TARİH","TAHAKKUK"))),IF(AND($D983&lt;&gt;"",$E983&lt;&gt;"",$G983&gt;0,$H983&lt;&gt;"",$I983&lt;&gt;""),IF($C983&gt;TODAY(),"İLERİ TARİH",IF(COUNTIF($W$7:$W$1206,$W983)&gt;1,"MÜKERRER?",IF($AD983&gt;0,"KAPALI DÖNEM",IF($I983="Hayır","ÖDENECEK","UYGUN")))),"EKSİK"))))</f>
        <v/>
      </c>
      <c r="Q983" s="6" t="n"/>
      <c r="R983" s="6" t="n"/>
      <c r="S983" s="3">
        <f>IF($L983="","",UPPER(SUBSTITUTE(SUBSTITUTE(SUBSTITUTE(SUBSTITUTE(SUBSTITUTE(SUBSTITUTE(SUBSTITUTE(SUBSTITUTE(SUBSTITUTE(SUBSTITUTE(SUBSTITUTE(SUBSTITUTE(SUBSTITUTE(SUBSTITUTE(SUBSTITUTE(SUBSTITUTE(SUBSTITUTE(SUBSTITUTE(TRIM($L983),"'",""),"İ","I"),"ı","I"),"i","I"),"Ş","S"),"ş","S"),"Ğ","G"),"ğ","G"),"Ü","U"),"ü","U"),"Ö","O"),"ö","O"),"Ç","C"),"ç","C"),".",""),",","")," ",""),"-","")))</f>
        <v/>
      </c>
      <c r="T983" s="3">
        <f>IF(OR($C983="",$D983&lt;&gt;"Gelir",$L983=""),"",IFERROR(INDEX(MUSTERILER!$B$7:$B$106,MATCH($S983,MUSTERILER!$T$7:$T$106,0)),""))</f>
        <v/>
      </c>
      <c r="U983" s="3">
        <f>IF($T983="","",$T983&amp;"|"&amp;COUNTIFS($T$7:$T983,$T983))</f>
        <v/>
      </c>
      <c r="V983" s="3">
        <f>IF($T983="",0,1)</f>
        <v/>
      </c>
      <c r="W983" s="3">
        <f>IF($C983="","",$D983&amp;"|"&amp;$E983&amp;"|"&amp;TEXT($C983,"0")&amp;"|"&amp;TEXT($G983,"0")&amp;"|"&amp;$J983)</f>
        <v/>
      </c>
      <c r="X983" s="3" t="n"/>
      <c r="Y983" s="3" t="n"/>
      <c r="Z983" s="3" t="n"/>
      <c r="AA983" s="3" t="n"/>
      <c r="AB983" s="3" t="n"/>
      <c r="AC983" s="3" t="n"/>
      <c r="AD983" s="3">
        <f>IF($C983="",0,SUMPRODUCT((AY_SONU!$O$7:$O$42="Evet")*(AY_SONU!$B$7:$B$42=DATE(YEAR($C983),MONTH($C983),1))))</f>
        <v/>
      </c>
    </row>
    <row r="984">
      <c r="A984" s="6" t="n"/>
      <c r="B984" s="113">
        <f>IF($C984="","","GG"&amp;TEXT(ROW()-6,"00000"))</f>
        <v/>
      </c>
      <c r="C984" s="220" t="n"/>
      <c r="D984" s="108" t="n"/>
      <c r="E984" s="109" t="n"/>
      <c r="F984" s="109" t="n"/>
      <c r="G984" s="221" t="n"/>
      <c r="H984" s="108" t="n"/>
      <c r="I984" s="108" t="n"/>
      <c r="J984" s="109" t="n"/>
      <c r="K984" s="109" t="n"/>
      <c r="L984" s="108" t="n"/>
      <c r="M984" s="121">
        <f>IF($C984="","",IF($D984="Gider",$E984,IF($L984&lt;&gt;"",$L984,$H984)))</f>
        <v/>
      </c>
      <c r="N984" s="121">
        <f>IF($C984="","",IF($D984="Gider",$H984,$E984))</f>
        <v/>
      </c>
      <c r="O984" s="226">
        <f>IF($C984="","",DATE(YEAR($C984),MONTH($C984),1))</f>
        <v/>
      </c>
      <c r="P984" s="113">
        <f>IF($C984="","",IF(AND($D984="Gelir",$L984&lt;&gt;"",$T984=""),"TANIMSIZ BORÇLU",IF($T984&lt;&gt;"",IF(OR($E984="",$G984&lt;=0),"EKSİK",IF($I984="Evet","TAHAKKUK NAKİT OLAMAZ",IF($C984&gt;TODAY(),"İLERİ TARİH","TAHAKKUK"))),IF(AND($D984&lt;&gt;"",$E984&lt;&gt;"",$G984&gt;0,$H984&lt;&gt;"",$I984&lt;&gt;""),IF($C984&gt;TODAY(),"İLERİ TARİH",IF(COUNTIF($W$7:$W$1206,$W984)&gt;1,"MÜKERRER?",IF($AD984&gt;0,"KAPALI DÖNEM",IF($I984="Hayır","ÖDENECEK","UYGUN")))),"EKSİK"))))</f>
        <v/>
      </c>
      <c r="Q984" s="6" t="n"/>
      <c r="R984" s="6" t="n"/>
      <c r="S984" s="3">
        <f>IF($L984="","",UPPER(SUBSTITUTE(SUBSTITUTE(SUBSTITUTE(SUBSTITUTE(SUBSTITUTE(SUBSTITUTE(SUBSTITUTE(SUBSTITUTE(SUBSTITUTE(SUBSTITUTE(SUBSTITUTE(SUBSTITUTE(SUBSTITUTE(SUBSTITUTE(SUBSTITUTE(SUBSTITUTE(SUBSTITUTE(SUBSTITUTE(TRIM($L984),"'",""),"İ","I"),"ı","I"),"i","I"),"Ş","S"),"ş","S"),"Ğ","G"),"ğ","G"),"Ü","U"),"ü","U"),"Ö","O"),"ö","O"),"Ç","C"),"ç","C"),".",""),",","")," ",""),"-","")))</f>
        <v/>
      </c>
      <c r="T984" s="3">
        <f>IF(OR($C984="",$D984&lt;&gt;"Gelir",$L984=""),"",IFERROR(INDEX(MUSTERILER!$B$7:$B$106,MATCH($S984,MUSTERILER!$T$7:$T$106,0)),""))</f>
        <v/>
      </c>
      <c r="U984" s="3">
        <f>IF($T984="","",$T984&amp;"|"&amp;COUNTIFS($T$7:$T984,$T984))</f>
        <v/>
      </c>
      <c r="V984" s="3">
        <f>IF($T984="",0,1)</f>
        <v/>
      </c>
      <c r="W984" s="3">
        <f>IF($C984="","",$D984&amp;"|"&amp;$E984&amp;"|"&amp;TEXT($C984,"0")&amp;"|"&amp;TEXT($G984,"0")&amp;"|"&amp;$J984)</f>
        <v/>
      </c>
      <c r="X984" s="3" t="n"/>
      <c r="Y984" s="3" t="n"/>
      <c r="Z984" s="3" t="n"/>
      <c r="AA984" s="3" t="n"/>
      <c r="AB984" s="3" t="n"/>
      <c r="AC984" s="3" t="n"/>
      <c r="AD984" s="3">
        <f>IF($C984="",0,SUMPRODUCT((AY_SONU!$O$7:$O$42="Evet")*(AY_SONU!$B$7:$B$42=DATE(YEAR($C984),MONTH($C984),1))))</f>
        <v/>
      </c>
    </row>
    <row r="985">
      <c r="A985" s="6" t="n"/>
      <c r="B985" s="113">
        <f>IF($C985="","","GG"&amp;TEXT(ROW()-6,"00000"))</f>
        <v/>
      </c>
      <c r="C985" s="220" t="n"/>
      <c r="D985" s="108" t="n"/>
      <c r="E985" s="109" t="n"/>
      <c r="F985" s="109" t="n"/>
      <c r="G985" s="221" t="n"/>
      <c r="H985" s="108" t="n"/>
      <c r="I985" s="108" t="n"/>
      <c r="J985" s="109" t="n"/>
      <c r="K985" s="109" t="n"/>
      <c r="L985" s="108" t="n"/>
      <c r="M985" s="121">
        <f>IF($C985="","",IF($D985="Gider",$E985,IF($L985&lt;&gt;"",$L985,$H985)))</f>
        <v/>
      </c>
      <c r="N985" s="121">
        <f>IF($C985="","",IF($D985="Gider",$H985,$E985))</f>
        <v/>
      </c>
      <c r="O985" s="226">
        <f>IF($C985="","",DATE(YEAR($C985),MONTH($C985),1))</f>
        <v/>
      </c>
      <c r="P985" s="113">
        <f>IF($C985="","",IF(AND($D985="Gelir",$L985&lt;&gt;"",$T985=""),"TANIMSIZ BORÇLU",IF($T985&lt;&gt;"",IF(OR($E985="",$G985&lt;=0),"EKSİK",IF($I985="Evet","TAHAKKUK NAKİT OLAMAZ",IF($C985&gt;TODAY(),"İLERİ TARİH","TAHAKKUK"))),IF(AND($D985&lt;&gt;"",$E985&lt;&gt;"",$G985&gt;0,$H985&lt;&gt;"",$I985&lt;&gt;""),IF($C985&gt;TODAY(),"İLERİ TARİH",IF(COUNTIF($W$7:$W$1206,$W985)&gt;1,"MÜKERRER?",IF($AD985&gt;0,"KAPALI DÖNEM",IF($I985="Hayır","ÖDENECEK","UYGUN")))),"EKSİK"))))</f>
        <v/>
      </c>
      <c r="Q985" s="6" t="n"/>
      <c r="R985" s="6" t="n"/>
      <c r="S985" s="3">
        <f>IF($L985="","",UPPER(SUBSTITUTE(SUBSTITUTE(SUBSTITUTE(SUBSTITUTE(SUBSTITUTE(SUBSTITUTE(SUBSTITUTE(SUBSTITUTE(SUBSTITUTE(SUBSTITUTE(SUBSTITUTE(SUBSTITUTE(SUBSTITUTE(SUBSTITUTE(SUBSTITUTE(SUBSTITUTE(SUBSTITUTE(SUBSTITUTE(TRIM($L985),"'",""),"İ","I"),"ı","I"),"i","I"),"Ş","S"),"ş","S"),"Ğ","G"),"ğ","G"),"Ü","U"),"ü","U"),"Ö","O"),"ö","O"),"Ç","C"),"ç","C"),".",""),",","")," ",""),"-","")))</f>
        <v/>
      </c>
      <c r="T985" s="3">
        <f>IF(OR($C985="",$D985&lt;&gt;"Gelir",$L985=""),"",IFERROR(INDEX(MUSTERILER!$B$7:$B$106,MATCH($S985,MUSTERILER!$T$7:$T$106,0)),""))</f>
        <v/>
      </c>
      <c r="U985" s="3">
        <f>IF($T985="","",$T985&amp;"|"&amp;COUNTIFS($T$7:$T985,$T985))</f>
        <v/>
      </c>
      <c r="V985" s="3">
        <f>IF($T985="",0,1)</f>
        <v/>
      </c>
      <c r="W985" s="3">
        <f>IF($C985="","",$D985&amp;"|"&amp;$E985&amp;"|"&amp;TEXT($C985,"0")&amp;"|"&amp;TEXT($G985,"0")&amp;"|"&amp;$J985)</f>
        <v/>
      </c>
      <c r="X985" s="3" t="n"/>
      <c r="Y985" s="3" t="n"/>
      <c r="Z985" s="3" t="n"/>
      <c r="AA985" s="3" t="n"/>
      <c r="AB985" s="3" t="n"/>
      <c r="AC985" s="3" t="n"/>
      <c r="AD985" s="3">
        <f>IF($C985="",0,SUMPRODUCT((AY_SONU!$O$7:$O$42="Evet")*(AY_SONU!$B$7:$B$42=DATE(YEAR($C985),MONTH($C985),1))))</f>
        <v/>
      </c>
    </row>
    <row r="986">
      <c r="A986" s="6" t="n"/>
      <c r="B986" s="113">
        <f>IF($C986="","","GG"&amp;TEXT(ROW()-6,"00000"))</f>
        <v/>
      </c>
      <c r="C986" s="220" t="n"/>
      <c r="D986" s="108" t="n"/>
      <c r="E986" s="109" t="n"/>
      <c r="F986" s="109" t="n"/>
      <c r="G986" s="221" t="n"/>
      <c r="H986" s="108" t="n"/>
      <c r="I986" s="108" t="n"/>
      <c r="J986" s="109" t="n"/>
      <c r="K986" s="109" t="n"/>
      <c r="L986" s="108" t="n"/>
      <c r="M986" s="121">
        <f>IF($C986="","",IF($D986="Gider",$E986,IF($L986&lt;&gt;"",$L986,$H986)))</f>
        <v/>
      </c>
      <c r="N986" s="121">
        <f>IF($C986="","",IF($D986="Gider",$H986,$E986))</f>
        <v/>
      </c>
      <c r="O986" s="226">
        <f>IF($C986="","",DATE(YEAR($C986),MONTH($C986),1))</f>
        <v/>
      </c>
      <c r="P986" s="113">
        <f>IF($C986="","",IF(AND($D986="Gelir",$L986&lt;&gt;"",$T986=""),"TANIMSIZ BORÇLU",IF($T986&lt;&gt;"",IF(OR($E986="",$G986&lt;=0),"EKSİK",IF($I986="Evet","TAHAKKUK NAKİT OLAMAZ",IF($C986&gt;TODAY(),"İLERİ TARİH","TAHAKKUK"))),IF(AND($D986&lt;&gt;"",$E986&lt;&gt;"",$G986&gt;0,$H986&lt;&gt;"",$I986&lt;&gt;""),IF($C986&gt;TODAY(),"İLERİ TARİH",IF(COUNTIF($W$7:$W$1206,$W986)&gt;1,"MÜKERRER?",IF($AD986&gt;0,"KAPALI DÖNEM",IF($I986="Hayır","ÖDENECEK","UYGUN")))),"EKSİK"))))</f>
        <v/>
      </c>
      <c r="Q986" s="6" t="n"/>
      <c r="R986" s="6" t="n"/>
      <c r="S986" s="3">
        <f>IF($L986="","",UPPER(SUBSTITUTE(SUBSTITUTE(SUBSTITUTE(SUBSTITUTE(SUBSTITUTE(SUBSTITUTE(SUBSTITUTE(SUBSTITUTE(SUBSTITUTE(SUBSTITUTE(SUBSTITUTE(SUBSTITUTE(SUBSTITUTE(SUBSTITUTE(SUBSTITUTE(SUBSTITUTE(SUBSTITUTE(SUBSTITUTE(TRIM($L986),"'",""),"İ","I"),"ı","I"),"i","I"),"Ş","S"),"ş","S"),"Ğ","G"),"ğ","G"),"Ü","U"),"ü","U"),"Ö","O"),"ö","O"),"Ç","C"),"ç","C"),".",""),",","")," ",""),"-","")))</f>
        <v/>
      </c>
      <c r="T986" s="3">
        <f>IF(OR($C986="",$D986&lt;&gt;"Gelir",$L986=""),"",IFERROR(INDEX(MUSTERILER!$B$7:$B$106,MATCH($S986,MUSTERILER!$T$7:$T$106,0)),""))</f>
        <v/>
      </c>
      <c r="U986" s="3">
        <f>IF($T986="","",$T986&amp;"|"&amp;COUNTIFS($T$7:$T986,$T986))</f>
        <v/>
      </c>
      <c r="V986" s="3">
        <f>IF($T986="",0,1)</f>
        <v/>
      </c>
      <c r="W986" s="3">
        <f>IF($C986="","",$D986&amp;"|"&amp;$E986&amp;"|"&amp;TEXT($C986,"0")&amp;"|"&amp;TEXT($G986,"0")&amp;"|"&amp;$J986)</f>
        <v/>
      </c>
      <c r="X986" s="3" t="n"/>
      <c r="Y986" s="3" t="n"/>
      <c r="Z986" s="3" t="n"/>
      <c r="AA986" s="3" t="n"/>
      <c r="AB986" s="3" t="n"/>
      <c r="AC986" s="3" t="n"/>
      <c r="AD986" s="3">
        <f>IF($C986="",0,SUMPRODUCT((AY_SONU!$O$7:$O$42="Evet")*(AY_SONU!$B$7:$B$42=DATE(YEAR($C986),MONTH($C986),1))))</f>
        <v/>
      </c>
    </row>
    <row r="987">
      <c r="A987" s="6" t="n"/>
      <c r="B987" s="113">
        <f>IF($C987="","","GG"&amp;TEXT(ROW()-6,"00000"))</f>
        <v/>
      </c>
      <c r="C987" s="220" t="n"/>
      <c r="D987" s="108" t="n"/>
      <c r="E987" s="109" t="n"/>
      <c r="F987" s="109" t="n"/>
      <c r="G987" s="221" t="n"/>
      <c r="H987" s="108" t="n"/>
      <c r="I987" s="108" t="n"/>
      <c r="J987" s="109" t="n"/>
      <c r="K987" s="109" t="n"/>
      <c r="L987" s="108" t="n"/>
      <c r="M987" s="121">
        <f>IF($C987="","",IF($D987="Gider",$E987,IF($L987&lt;&gt;"",$L987,$H987)))</f>
        <v/>
      </c>
      <c r="N987" s="121">
        <f>IF($C987="","",IF($D987="Gider",$H987,$E987))</f>
        <v/>
      </c>
      <c r="O987" s="226">
        <f>IF($C987="","",DATE(YEAR($C987),MONTH($C987),1))</f>
        <v/>
      </c>
      <c r="P987" s="113">
        <f>IF($C987="","",IF(AND($D987="Gelir",$L987&lt;&gt;"",$T987=""),"TANIMSIZ BORÇLU",IF($T987&lt;&gt;"",IF(OR($E987="",$G987&lt;=0),"EKSİK",IF($I987="Evet","TAHAKKUK NAKİT OLAMAZ",IF($C987&gt;TODAY(),"İLERİ TARİH","TAHAKKUK"))),IF(AND($D987&lt;&gt;"",$E987&lt;&gt;"",$G987&gt;0,$H987&lt;&gt;"",$I987&lt;&gt;""),IF($C987&gt;TODAY(),"İLERİ TARİH",IF(COUNTIF($W$7:$W$1206,$W987)&gt;1,"MÜKERRER?",IF($AD987&gt;0,"KAPALI DÖNEM",IF($I987="Hayır","ÖDENECEK","UYGUN")))),"EKSİK"))))</f>
        <v/>
      </c>
      <c r="Q987" s="6" t="n"/>
      <c r="R987" s="6" t="n"/>
      <c r="S987" s="3">
        <f>IF($L987="","",UPPER(SUBSTITUTE(SUBSTITUTE(SUBSTITUTE(SUBSTITUTE(SUBSTITUTE(SUBSTITUTE(SUBSTITUTE(SUBSTITUTE(SUBSTITUTE(SUBSTITUTE(SUBSTITUTE(SUBSTITUTE(SUBSTITUTE(SUBSTITUTE(SUBSTITUTE(SUBSTITUTE(SUBSTITUTE(SUBSTITUTE(TRIM($L987),"'",""),"İ","I"),"ı","I"),"i","I"),"Ş","S"),"ş","S"),"Ğ","G"),"ğ","G"),"Ü","U"),"ü","U"),"Ö","O"),"ö","O"),"Ç","C"),"ç","C"),".",""),",","")," ",""),"-","")))</f>
        <v/>
      </c>
      <c r="T987" s="3">
        <f>IF(OR($C987="",$D987&lt;&gt;"Gelir",$L987=""),"",IFERROR(INDEX(MUSTERILER!$B$7:$B$106,MATCH($S987,MUSTERILER!$T$7:$T$106,0)),""))</f>
        <v/>
      </c>
      <c r="U987" s="3">
        <f>IF($T987="","",$T987&amp;"|"&amp;COUNTIFS($T$7:$T987,$T987))</f>
        <v/>
      </c>
      <c r="V987" s="3">
        <f>IF($T987="",0,1)</f>
        <v/>
      </c>
      <c r="W987" s="3">
        <f>IF($C987="","",$D987&amp;"|"&amp;$E987&amp;"|"&amp;TEXT($C987,"0")&amp;"|"&amp;TEXT($G987,"0")&amp;"|"&amp;$J987)</f>
        <v/>
      </c>
      <c r="X987" s="3" t="n"/>
      <c r="Y987" s="3" t="n"/>
      <c r="Z987" s="3" t="n"/>
      <c r="AA987" s="3" t="n"/>
      <c r="AB987" s="3" t="n"/>
      <c r="AC987" s="3" t="n"/>
      <c r="AD987" s="3">
        <f>IF($C987="",0,SUMPRODUCT((AY_SONU!$O$7:$O$42="Evet")*(AY_SONU!$B$7:$B$42=DATE(YEAR($C987),MONTH($C987),1))))</f>
        <v/>
      </c>
    </row>
    <row r="988">
      <c r="A988" s="6" t="n"/>
      <c r="B988" s="113">
        <f>IF($C988="","","GG"&amp;TEXT(ROW()-6,"00000"))</f>
        <v/>
      </c>
      <c r="C988" s="220" t="n"/>
      <c r="D988" s="108" t="n"/>
      <c r="E988" s="109" t="n"/>
      <c r="F988" s="109" t="n"/>
      <c r="G988" s="221" t="n"/>
      <c r="H988" s="108" t="n"/>
      <c r="I988" s="108" t="n"/>
      <c r="J988" s="109" t="n"/>
      <c r="K988" s="109" t="n"/>
      <c r="L988" s="108" t="n"/>
      <c r="M988" s="121">
        <f>IF($C988="","",IF($D988="Gider",$E988,IF($L988&lt;&gt;"",$L988,$H988)))</f>
        <v/>
      </c>
      <c r="N988" s="121">
        <f>IF($C988="","",IF($D988="Gider",$H988,$E988))</f>
        <v/>
      </c>
      <c r="O988" s="226">
        <f>IF($C988="","",DATE(YEAR($C988),MONTH($C988),1))</f>
        <v/>
      </c>
      <c r="P988" s="113">
        <f>IF($C988="","",IF(AND($D988="Gelir",$L988&lt;&gt;"",$T988=""),"TANIMSIZ BORÇLU",IF($T988&lt;&gt;"",IF(OR($E988="",$G988&lt;=0),"EKSİK",IF($I988="Evet","TAHAKKUK NAKİT OLAMAZ",IF($C988&gt;TODAY(),"İLERİ TARİH","TAHAKKUK"))),IF(AND($D988&lt;&gt;"",$E988&lt;&gt;"",$G988&gt;0,$H988&lt;&gt;"",$I988&lt;&gt;""),IF($C988&gt;TODAY(),"İLERİ TARİH",IF(COUNTIF($W$7:$W$1206,$W988)&gt;1,"MÜKERRER?",IF($AD988&gt;0,"KAPALI DÖNEM",IF($I988="Hayır","ÖDENECEK","UYGUN")))),"EKSİK"))))</f>
        <v/>
      </c>
      <c r="Q988" s="6" t="n"/>
      <c r="R988" s="6" t="n"/>
      <c r="S988" s="3">
        <f>IF($L988="","",UPPER(SUBSTITUTE(SUBSTITUTE(SUBSTITUTE(SUBSTITUTE(SUBSTITUTE(SUBSTITUTE(SUBSTITUTE(SUBSTITUTE(SUBSTITUTE(SUBSTITUTE(SUBSTITUTE(SUBSTITUTE(SUBSTITUTE(SUBSTITUTE(SUBSTITUTE(SUBSTITUTE(SUBSTITUTE(SUBSTITUTE(TRIM($L988),"'",""),"İ","I"),"ı","I"),"i","I"),"Ş","S"),"ş","S"),"Ğ","G"),"ğ","G"),"Ü","U"),"ü","U"),"Ö","O"),"ö","O"),"Ç","C"),"ç","C"),".",""),",","")," ",""),"-","")))</f>
        <v/>
      </c>
      <c r="T988" s="3">
        <f>IF(OR($C988="",$D988&lt;&gt;"Gelir",$L988=""),"",IFERROR(INDEX(MUSTERILER!$B$7:$B$106,MATCH($S988,MUSTERILER!$T$7:$T$106,0)),""))</f>
        <v/>
      </c>
      <c r="U988" s="3">
        <f>IF($T988="","",$T988&amp;"|"&amp;COUNTIFS($T$7:$T988,$T988))</f>
        <v/>
      </c>
      <c r="V988" s="3">
        <f>IF($T988="",0,1)</f>
        <v/>
      </c>
      <c r="W988" s="3">
        <f>IF($C988="","",$D988&amp;"|"&amp;$E988&amp;"|"&amp;TEXT($C988,"0")&amp;"|"&amp;TEXT($G988,"0")&amp;"|"&amp;$J988)</f>
        <v/>
      </c>
      <c r="X988" s="3" t="n"/>
      <c r="Y988" s="3" t="n"/>
      <c r="Z988" s="3" t="n"/>
      <c r="AA988" s="3" t="n"/>
      <c r="AB988" s="3" t="n"/>
      <c r="AC988" s="3" t="n"/>
      <c r="AD988" s="3">
        <f>IF($C988="",0,SUMPRODUCT((AY_SONU!$O$7:$O$42="Evet")*(AY_SONU!$B$7:$B$42=DATE(YEAR($C988),MONTH($C988),1))))</f>
        <v/>
      </c>
    </row>
    <row r="989">
      <c r="A989" s="6" t="n"/>
      <c r="B989" s="113">
        <f>IF($C989="","","GG"&amp;TEXT(ROW()-6,"00000"))</f>
        <v/>
      </c>
      <c r="C989" s="220" t="n"/>
      <c r="D989" s="108" t="n"/>
      <c r="E989" s="109" t="n"/>
      <c r="F989" s="109" t="n"/>
      <c r="G989" s="221" t="n"/>
      <c r="H989" s="108" t="n"/>
      <c r="I989" s="108" t="n"/>
      <c r="J989" s="109" t="n"/>
      <c r="K989" s="109" t="n"/>
      <c r="L989" s="108" t="n"/>
      <c r="M989" s="121">
        <f>IF($C989="","",IF($D989="Gider",$E989,IF($L989&lt;&gt;"",$L989,$H989)))</f>
        <v/>
      </c>
      <c r="N989" s="121">
        <f>IF($C989="","",IF($D989="Gider",$H989,$E989))</f>
        <v/>
      </c>
      <c r="O989" s="226">
        <f>IF($C989="","",DATE(YEAR($C989),MONTH($C989),1))</f>
        <v/>
      </c>
      <c r="P989" s="113">
        <f>IF($C989="","",IF(AND($D989="Gelir",$L989&lt;&gt;"",$T989=""),"TANIMSIZ BORÇLU",IF($T989&lt;&gt;"",IF(OR($E989="",$G989&lt;=0),"EKSİK",IF($I989="Evet","TAHAKKUK NAKİT OLAMAZ",IF($C989&gt;TODAY(),"İLERİ TARİH","TAHAKKUK"))),IF(AND($D989&lt;&gt;"",$E989&lt;&gt;"",$G989&gt;0,$H989&lt;&gt;"",$I989&lt;&gt;""),IF($C989&gt;TODAY(),"İLERİ TARİH",IF(COUNTIF($W$7:$W$1206,$W989)&gt;1,"MÜKERRER?",IF($AD989&gt;0,"KAPALI DÖNEM",IF($I989="Hayır","ÖDENECEK","UYGUN")))),"EKSİK"))))</f>
        <v/>
      </c>
      <c r="Q989" s="6" t="n"/>
      <c r="R989" s="6" t="n"/>
      <c r="S989" s="3">
        <f>IF($L989="","",UPPER(SUBSTITUTE(SUBSTITUTE(SUBSTITUTE(SUBSTITUTE(SUBSTITUTE(SUBSTITUTE(SUBSTITUTE(SUBSTITUTE(SUBSTITUTE(SUBSTITUTE(SUBSTITUTE(SUBSTITUTE(SUBSTITUTE(SUBSTITUTE(SUBSTITUTE(SUBSTITUTE(SUBSTITUTE(SUBSTITUTE(TRIM($L989),"'",""),"İ","I"),"ı","I"),"i","I"),"Ş","S"),"ş","S"),"Ğ","G"),"ğ","G"),"Ü","U"),"ü","U"),"Ö","O"),"ö","O"),"Ç","C"),"ç","C"),".",""),",","")," ",""),"-","")))</f>
        <v/>
      </c>
      <c r="T989" s="3">
        <f>IF(OR($C989="",$D989&lt;&gt;"Gelir",$L989=""),"",IFERROR(INDEX(MUSTERILER!$B$7:$B$106,MATCH($S989,MUSTERILER!$T$7:$T$106,0)),""))</f>
        <v/>
      </c>
      <c r="U989" s="3">
        <f>IF($T989="","",$T989&amp;"|"&amp;COUNTIFS($T$7:$T989,$T989))</f>
        <v/>
      </c>
      <c r="V989" s="3">
        <f>IF($T989="",0,1)</f>
        <v/>
      </c>
      <c r="W989" s="3">
        <f>IF($C989="","",$D989&amp;"|"&amp;$E989&amp;"|"&amp;TEXT($C989,"0")&amp;"|"&amp;TEXT($G989,"0")&amp;"|"&amp;$J989)</f>
        <v/>
      </c>
      <c r="X989" s="3" t="n"/>
      <c r="Y989" s="3" t="n"/>
      <c r="Z989" s="3" t="n"/>
      <c r="AA989" s="3" t="n"/>
      <c r="AB989" s="3" t="n"/>
      <c r="AC989" s="3" t="n"/>
      <c r="AD989" s="3">
        <f>IF($C989="",0,SUMPRODUCT((AY_SONU!$O$7:$O$42="Evet")*(AY_SONU!$B$7:$B$42=DATE(YEAR($C989),MONTH($C989),1))))</f>
        <v/>
      </c>
    </row>
    <row r="990">
      <c r="A990" s="6" t="n"/>
      <c r="B990" s="113">
        <f>IF($C990="","","GG"&amp;TEXT(ROW()-6,"00000"))</f>
        <v/>
      </c>
      <c r="C990" s="220" t="n"/>
      <c r="D990" s="108" t="n"/>
      <c r="E990" s="109" t="n"/>
      <c r="F990" s="109" t="n"/>
      <c r="G990" s="221" t="n"/>
      <c r="H990" s="108" t="n"/>
      <c r="I990" s="108" t="n"/>
      <c r="J990" s="109" t="n"/>
      <c r="K990" s="109" t="n"/>
      <c r="L990" s="108" t="n"/>
      <c r="M990" s="121">
        <f>IF($C990="","",IF($D990="Gider",$E990,IF($L990&lt;&gt;"",$L990,$H990)))</f>
        <v/>
      </c>
      <c r="N990" s="121">
        <f>IF($C990="","",IF($D990="Gider",$H990,$E990))</f>
        <v/>
      </c>
      <c r="O990" s="226">
        <f>IF($C990="","",DATE(YEAR($C990),MONTH($C990),1))</f>
        <v/>
      </c>
      <c r="P990" s="113">
        <f>IF($C990="","",IF(AND($D990="Gelir",$L990&lt;&gt;"",$T990=""),"TANIMSIZ BORÇLU",IF($T990&lt;&gt;"",IF(OR($E990="",$G990&lt;=0),"EKSİK",IF($I990="Evet","TAHAKKUK NAKİT OLAMAZ",IF($C990&gt;TODAY(),"İLERİ TARİH","TAHAKKUK"))),IF(AND($D990&lt;&gt;"",$E990&lt;&gt;"",$G990&gt;0,$H990&lt;&gt;"",$I990&lt;&gt;""),IF($C990&gt;TODAY(),"İLERİ TARİH",IF(COUNTIF($W$7:$W$1206,$W990)&gt;1,"MÜKERRER?",IF($AD990&gt;0,"KAPALI DÖNEM",IF($I990="Hayır","ÖDENECEK","UYGUN")))),"EKSİK"))))</f>
        <v/>
      </c>
      <c r="Q990" s="6" t="n"/>
      <c r="R990" s="6" t="n"/>
      <c r="S990" s="3">
        <f>IF($L990="","",UPPER(SUBSTITUTE(SUBSTITUTE(SUBSTITUTE(SUBSTITUTE(SUBSTITUTE(SUBSTITUTE(SUBSTITUTE(SUBSTITUTE(SUBSTITUTE(SUBSTITUTE(SUBSTITUTE(SUBSTITUTE(SUBSTITUTE(SUBSTITUTE(SUBSTITUTE(SUBSTITUTE(SUBSTITUTE(SUBSTITUTE(TRIM($L990),"'",""),"İ","I"),"ı","I"),"i","I"),"Ş","S"),"ş","S"),"Ğ","G"),"ğ","G"),"Ü","U"),"ü","U"),"Ö","O"),"ö","O"),"Ç","C"),"ç","C"),".",""),",","")," ",""),"-","")))</f>
        <v/>
      </c>
      <c r="T990" s="3">
        <f>IF(OR($C990="",$D990&lt;&gt;"Gelir",$L990=""),"",IFERROR(INDEX(MUSTERILER!$B$7:$B$106,MATCH($S990,MUSTERILER!$T$7:$T$106,0)),""))</f>
        <v/>
      </c>
      <c r="U990" s="3">
        <f>IF($T990="","",$T990&amp;"|"&amp;COUNTIFS($T$7:$T990,$T990))</f>
        <v/>
      </c>
      <c r="V990" s="3">
        <f>IF($T990="",0,1)</f>
        <v/>
      </c>
      <c r="W990" s="3">
        <f>IF($C990="","",$D990&amp;"|"&amp;$E990&amp;"|"&amp;TEXT($C990,"0")&amp;"|"&amp;TEXT($G990,"0")&amp;"|"&amp;$J990)</f>
        <v/>
      </c>
      <c r="X990" s="3" t="n"/>
      <c r="Y990" s="3" t="n"/>
      <c r="Z990" s="3" t="n"/>
      <c r="AA990" s="3" t="n"/>
      <c r="AB990" s="3" t="n"/>
      <c r="AC990" s="3" t="n"/>
      <c r="AD990" s="3">
        <f>IF($C990="",0,SUMPRODUCT((AY_SONU!$O$7:$O$42="Evet")*(AY_SONU!$B$7:$B$42=DATE(YEAR($C990),MONTH($C990),1))))</f>
        <v/>
      </c>
    </row>
    <row r="991">
      <c r="A991" s="6" t="n"/>
      <c r="B991" s="113">
        <f>IF($C991="","","GG"&amp;TEXT(ROW()-6,"00000"))</f>
        <v/>
      </c>
      <c r="C991" s="220" t="n"/>
      <c r="D991" s="108" t="n"/>
      <c r="E991" s="109" t="n"/>
      <c r="F991" s="109" t="n"/>
      <c r="G991" s="221" t="n"/>
      <c r="H991" s="108" t="n"/>
      <c r="I991" s="108" t="n"/>
      <c r="J991" s="109" t="n"/>
      <c r="K991" s="109" t="n"/>
      <c r="L991" s="108" t="n"/>
      <c r="M991" s="121">
        <f>IF($C991="","",IF($D991="Gider",$E991,IF($L991&lt;&gt;"",$L991,$H991)))</f>
        <v/>
      </c>
      <c r="N991" s="121">
        <f>IF($C991="","",IF($D991="Gider",$H991,$E991))</f>
        <v/>
      </c>
      <c r="O991" s="226">
        <f>IF($C991="","",DATE(YEAR($C991),MONTH($C991),1))</f>
        <v/>
      </c>
      <c r="P991" s="113">
        <f>IF($C991="","",IF(AND($D991="Gelir",$L991&lt;&gt;"",$T991=""),"TANIMSIZ BORÇLU",IF($T991&lt;&gt;"",IF(OR($E991="",$G991&lt;=0),"EKSİK",IF($I991="Evet","TAHAKKUK NAKİT OLAMAZ",IF($C991&gt;TODAY(),"İLERİ TARİH","TAHAKKUK"))),IF(AND($D991&lt;&gt;"",$E991&lt;&gt;"",$G991&gt;0,$H991&lt;&gt;"",$I991&lt;&gt;""),IF($C991&gt;TODAY(),"İLERİ TARİH",IF(COUNTIF($W$7:$W$1206,$W991)&gt;1,"MÜKERRER?",IF($AD991&gt;0,"KAPALI DÖNEM",IF($I991="Hayır","ÖDENECEK","UYGUN")))),"EKSİK"))))</f>
        <v/>
      </c>
      <c r="Q991" s="6" t="n"/>
      <c r="R991" s="6" t="n"/>
      <c r="S991" s="3">
        <f>IF($L991="","",UPPER(SUBSTITUTE(SUBSTITUTE(SUBSTITUTE(SUBSTITUTE(SUBSTITUTE(SUBSTITUTE(SUBSTITUTE(SUBSTITUTE(SUBSTITUTE(SUBSTITUTE(SUBSTITUTE(SUBSTITUTE(SUBSTITUTE(SUBSTITUTE(SUBSTITUTE(SUBSTITUTE(SUBSTITUTE(SUBSTITUTE(TRIM($L991),"'",""),"İ","I"),"ı","I"),"i","I"),"Ş","S"),"ş","S"),"Ğ","G"),"ğ","G"),"Ü","U"),"ü","U"),"Ö","O"),"ö","O"),"Ç","C"),"ç","C"),".",""),",","")," ",""),"-","")))</f>
        <v/>
      </c>
      <c r="T991" s="3">
        <f>IF(OR($C991="",$D991&lt;&gt;"Gelir",$L991=""),"",IFERROR(INDEX(MUSTERILER!$B$7:$B$106,MATCH($S991,MUSTERILER!$T$7:$T$106,0)),""))</f>
        <v/>
      </c>
      <c r="U991" s="3">
        <f>IF($T991="","",$T991&amp;"|"&amp;COUNTIFS($T$7:$T991,$T991))</f>
        <v/>
      </c>
      <c r="V991" s="3">
        <f>IF($T991="",0,1)</f>
        <v/>
      </c>
      <c r="W991" s="3">
        <f>IF($C991="","",$D991&amp;"|"&amp;$E991&amp;"|"&amp;TEXT($C991,"0")&amp;"|"&amp;TEXT($G991,"0")&amp;"|"&amp;$J991)</f>
        <v/>
      </c>
      <c r="X991" s="3" t="n"/>
      <c r="Y991" s="3" t="n"/>
      <c r="Z991" s="3" t="n"/>
      <c r="AA991" s="3" t="n"/>
      <c r="AB991" s="3" t="n"/>
      <c r="AC991" s="3" t="n"/>
      <c r="AD991" s="3">
        <f>IF($C991="",0,SUMPRODUCT((AY_SONU!$O$7:$O$42="Evet")*(AY_SONU!$B$7:$B$42=DATE(YEAR($C991),MONTH($C991),1))))</f>
        <v/>
      </c>
    </row>
    <row r="992">
      <c r="A992" s="6" t="n"/>
      <c r="B992" s="113">
        <f>IF($C992="","","GG"&amp;TEXT(ROW()-6,"00000"))</f>
        <v/>
      </c>
      <c r="C992" s="220" t="n"/>
      <c r="D992" s="108" t="n"/>
      <c r="E992" s="109" t="n"/>
      <c r="F992" s="109" t="n"/>
      <c r="G992" s="221" t="n"/>
      <c r="H992" s="108" t="n"/>
      <c r="I992" s="108" t="n"/>
      <c r="J992" s="109" t="n"/>
      <c r="K992" s="109" t="n"/>
      <c r="L992" s="108" t="n"/>
      <c r="M992" s="121">
        <f>IF($C992="","",IF($D992="Gider",$E992,IF($L992&lt;&gt;"",$L992,$H992)))</f>
        <v/>
      </c>
      <c r="N992" s="121">
        <f>IF($C992="","",IF($D992="Gider",$H992,$E992))</f>
        <v/>
      </c>
      <c r="O992" s="226">
        <f>IF($C992="","",DATE(YEAR($C992),MONTH($C992),1))</f>
        <v/>
      </c>
      <c r="P992" s="113">
        <f>IF($C992="","",IF(AND($D992="Gelir",$L992&lt;&gt;"",$T992=""),"TANIMSIZ BORÇLU",IF($T992&lt;&gt;"",IF(OR($E992="",$G992&lt;=0),"EKSİK",IF($I992="Evet","TAHAKKUK NAKİT OLAMAZ",IF($C992&gt;TODAY(),"İLERİ TARİH","TAHAKKUK"))),IF(AND($D992&lt;&gt;"",$E992&lt;&gt;"",$G992&gt;0,$H992&lt;&gt;"",$I992&lt;&gt;""),IF($C992&gt;TODAY(),"İLERİ TARİH",IF(COUNTIF($W$7:$W$1206,$W992)&gt;1,"MÜKERRER?",IF($AD992&gt;0,"KAPALI DÖNEM",IF($I992="Hayır","ÖDENECEK","UYGUN")))),"EKSİK"))))</f>
        <v/>
      </c>
      <c r="Q992" s="6" t="n"/>
      <c r="R992" s="6" t="n"/>
      <c r="S992" s="3">
        <f>IF($L992="","",UPPER(SUBSTITUTE(SUBSTITUTE(SUBSTITUTE(SUBSTITUTE(SUBSTITUTE(SUBSTITUTE(SUBSTITUTE(SUBSTITUTE(SUBSTITUTE(SUBSTITUTE(SUBSTITUTE(SUBSTITUTE(SUBSTITUTE(SUBSTITUTE(SUBSTITUTE(SUBSTITUTE(SUBSTITUTE(SUBSTITUTE(TRIM($L992),"'",""),"İ","I"),"ı","I"),"i","I"),"Ş","S"),"ş","S"),"Ğ","G"),"ğ","G"),"Ü","U"),"ü","U"),"Ö","O"),"ö","O"),"Ç","C"),"ç","C"),".",""),",","")," ",""),"-","")))</f>
        <v/>
      </c>
      <c r="T992" s="3">
        <f>IF(OR($C992="",$D992&lt;&gt;"Gelir",$L992=""),"",IFERROR(INDEX(MUSTERILER!$B$7:$B$106,MATCH($S992,MUSTERILER!$T$7:$T$106,0)),""))</f>
        <v/>
      </c>
      <c r="U992" s="3">
        <f>IF($T992="","",$T992&amp;"|"&amp;COUNTIFS($T$7:$T992,$T992))</f>
        <v/>
      </c>
      <c r="V992" s="3">
        <f>IF($T992="",0,1)</f>
        <v/>
      </c>
      <c r="W992" s="3">
        <f>IF($C992="","",$D992&amp;"|"&amp;$E992&amp;"|"&amp;TEXT($C992,"0")&amp;"|"&amp;TEXT($G992,"0")&amp;"|"&amp;$J992)</f>
        <v/>
      </c>
      <c r="X992" s="3" t="n"/>
      <c r="Y992" s="3" t="n"/>
      <c r="Z992" s="3" t="n"/>
      <c r="AA992" s="3" t="n"/>
      <c r="AB992" s="3" t="n"/>
      <c r="AC992" s="3" t="n"/>
      <c r="AD992" s="3">
        <f>IF($C992="",0,SUMPRODUCT((AY_SONU!$O$7:$O$42="Evet")*(AY_SONU!$B$7:$B$42=DATE(YEAR($C992),MONTH($C992),1))))</f>
        <v/>
      </c>
    </row>
    <row r="993">
      <c r="A993" s="6" t="n"/>
      <c r="B993" s="113">
        <f>IF($C993="","","GG"&amp;TEXT(ROW()-6,"00000"))</f>
        <v/>
      </c>
      <c r="C993" s="220" t="n"/>
      <c r="D993" s="108" t="n"/>
      <c r="E993" s="109" t="n"/>
      <c r="F993" s="109" t="n"/>
      <c r="G993" s="221" t="n"/>
      <c r="H993" s="108" t="n"/>
      <c r="I993" s="108" t="n"/>
      <c r="J993" s="109" t="n"/>
      <c r="K993" s="109" t="n"/>
      <c r="L993" s="108" t="n"/>
      <c r="M993" s="121">
        <f>IF($C993="","",IF($D993="Gider",$E993,IF($L993&lt;&gt;"",$L993,$H993)))</f>
        <v/>
      </c>
      <c r="N993" s="121">
        <f>IF($C993="","",IF($D993="Gider",$H993,$E993))</f>
        <v/>
      </c>
      <c r="O993" s="226">
        <f>IF($C993="","",DATE(YEAR($C993),MONTH($C993),1))</f>
        <v/>
      </c>
      <c r="P993" s="113">
        <f>IF($C993="","",IF(AND($D993="Gelir",$L993&lt;&gt;"",$T993=""),"TANIMSIZ BORÇLU",IF($T993&lt;&gt;"",IF(OR($E993="",$G993&lt;=0),"EKSİK",IF($I993="Evet","TAHAKKUK NAKİT OLAMAZ",IF($C993&gt;TODAY(),"İLERİ TARİH","TAHAKKUK"))),IF(AND($D993&lt;&gt;"",$E993&lt;&gt;"",$G993&gt;0,$H993&lt;&gt;"",$I993&lt;&gt;""),IF($C993&gt;TODAY(),"İLERİ TARİH",IF(COUNTIF($W$7:$W$1206,$W993)&gt;1,"MÜKERRER?",IF($AD993&gt;0,"KAPALI DÖNEM",IF($I993="Hayır","ÖDENECEK","UYGUN")))),"EKSİK"))))</f>
        <v/>
      </c>
      <c r="Q993" s="6" t="n"/>
      <c r="R993" s="6" t="n"/>
      <c r="S993" s="3">
        <f>IF($L993="","",UPPER(SUBSTITUTE(SUBSTITUTE(SUBSTITUTE(SUBSTITUTE(SUBSTITUTE(SUBSTITUTE(SUBSTITUTE(SUBSTITUTE(SUBSTITUTE(SUBSTITUTE(SUBSTITUTE(SUBSTITUTE(SUBSTITUTE(SUBSTITUTE(SUBSTITUTE(SUBSTITUTE(SUBSTITUTE(SUBSTITUTE(TRIM($L993),"'",""),"İ","I"),"ı","I"),"i","I"),"Ş","S"),"ş","S"),"Ğ","G"),"ğ","G"),"Ü","U"),"ü","U"),"Ö","O"),"ö","O"),"Ç","C"),"ç","C"),".",""),",","")," ",""),"-","")))</f>
        <v/>
      </c>
      <c r="T993" s="3">
        <f>IF(OR($C993="",$D993&lt;&gt;"Gelir",$L993=""),"",IFERROR(INDEX(MUSTERILER!$B$7:$B$106,MATCH($S993,MUSTERILER!$T$7:$T$106,0)),""))</f>
        <v/>
      </c>
      <c r="U993" s="3">
        <f>IF($T993="","",$T993&amp;"|"&amp;COUNTIFS($T$7:$T993,$T993))</f>
        <v/>
      </c>
      <c r="V993" s="3">
        <f>IF($T993="",0,1)</f>
        <v/>
      </c>
      <c r="W993" s="3">
        <f>IF($C993="","",$D993&amp;"|"&amp;$E993&amp;"|"&amp;TEXT($C993,"0")&amp;"|"&amp;TEXT($G993,"0")&amp;"|"&amp;$J993)</f>
        <v/>
      </c>
      <c r="X993" s="3" t="n"/>
      <c r="Y993" s="3" t="n"/>
      <c r="Z993" s="3" t="n"/>
      <c r="AA993" s="3" t="n"/>
      <c r="AB993" s="3" t="n"/>
      <c r="AC993" s="3" t="n"/>
      <c r="AD993" s="3">
        <f>IF($C993="",0,SUMPRODUCT((AY_SONU!$O$7:$O$42="Evet")*(AY_SONU!$B$7:$B$42=DATE(YEAR($C993),MONTH($C993),1))))</f>
        <v/>
      </c>
    </row>
    <row r="994">
      <c r="A994" s="6" t="n"/>
      <c r="B994" s="113">
        <f>IF($C994="","","GG"&amp;TEXT(ROW()-6,"00000"))</f>
        <v/>
      </c>
      <c r="C994" s="220" t="n"/>
      <c r="D994" s="108" t="n"/>
      <c r="E994" s="109" t="n"/>
      <c r="F994" s="109" t="n"/>
      <c r="G994" s="221" t="n"/>
      <c r="H994" s="108" t="n"/>
      <c r="I994" s="108" t="n"/>
      <c r="J994" s="109" t="n"/>
      <c r="K994" s="109" t="n"/>
      <c r="L994" s="108" t="n"/>
      <c r="M994" s="121">
        <f>IF($C994="","",IF($D994="Gider",$E994,IF($L994&lt;&gt;"",$L994,$H994)))</f>
        <v/>
      </c>
      <c r="N994" s="121">
        <f>IF($C994="","",IF($D994="Gider",$H994,$E994))</f>
        <v/>
      </c>
      <c r="O994" s="226">
        <f>IF($C994="","",DATE(YEAR($C994),MONTH($C994),1))</f>
        <v/>
      </c>
      <c r="P994" s="113">
        <f>IF($C994="","",IF(AND($D994="Gelir",$L994&lt;&gt;"",$T994=""),"TANIMSIZ BORÇLU",IF($T994&lt;&gt;"",IF(OR($E994="",$G994&lt;=0),"EKSİK",IF($I994="Evet","TAHAKKUK NAKİT OLAMAZ",IF($C994&gt;TODAY(),"İLERİ TARİH","TAHAKKUK"))),IF(AND($D994&lt;&gt;"",$E994&lt;&gt;"",$G994&gt;0,$H994&lt;&gt;"",$I994&lt;&gt;""),IF($C994&gt;TODAY(),"İLERİ TARİH",IF(COUNTIF($W$7:$W$1206,$W994)&gt;1,"MÜKERRER?",IF($AD994&gt;0,"KAPALI DÖNEM",IF($I994="Hayır","ÖDENECEK","UYGUN")))),"EKSİK"))))</f>
        <v/>
      </c>
      <c r="Q994" s="6" t="n"/>
      <c r="R994" s="6" t="n"/>
      <c r="S994" s="3">
        <f>IF($L994="","",UPPER(SUBSTITUTE(SUBSTITUTE(SUBSTITUTE(SUBSTITUTE(SUBSTITUTE(SUBSTITUTE(SUBSTITUTE(SUBSTITUTE(SUBSTITUTE(SUBSTITUTE(SUBSTITUTE(SUBSTITUTE(SUBSTITUTE(SUBSTITUTE(SUBSTITUTE(SUBSTITUTE(SUBSTITUTE(SUBSTITUTE(TRIM($L994),"'",""),"İ","I"),"ı","I"),"i","I"),"Ş","S"),"ş","S"),"Ğ","G"),"ğ","G"),"Ü","U"),"ü","U"),"Ö","O"),"ö","O"),"Ç","C"),"ç","C"),".",""),",","")," ",""),"-","")))</f>
        <v/>
      </c>
      <c r="T994" s="3">
        <f>IF(OR($C994="",$D994&lt;&gt;"Gelir",$L994=""),"",IFERROR(INDEX(MUSTERILER!$B$7:$B$106,MATCH($S994,MUSTERILER!$T$7:$T$106,0)),""))</f>
        <v/>
      </c>
      <c r="U994" s="3">
        <f>IF($T994="","",$T994&amp;"|"&amp;COUNTIFS($T$7:$T994,$T994))</f>
        <v/>
      </c>
      <c r="V994" s="3">
        <f>IF($T994="",0,1)</f>
        <v/>
      </c>
      <c r="W994" s="3">
        <f>IF($C994="","",$D994&amp;"|"&amp;$E994&amp;"|"&amp;TEXT($C994,"0")&amp;"|"&amp;TEXT($G994,"0")&amp;"|"&amp;$J994)</f>
        <v/>
      </c>
      <c r="X994" s="3" t="n"/>
      <c r="Y994" s="3" t="n"/>
      <c r="Z994" s="3" t="n"/>
      <c r="AA994" s="3" t="n"/>
      <c r="AB994" s="3" t="n"/>
      <c r="AC994" s="3" t="n"/>
      <c r="AD994" s="3">
        <f>IF($C994="",0,SUMPRODUCT((AY_SONU!$O$7:$O$42="Evet")*(AY_SONU!$B$7:$B$42=DATE(YEAR($C994),MONTH($C994),1))))</f>
        <v/>
      </c>
    </row>
    <row r="995">
      <c r="A995" s="6" t="n"/>
      <c r="B995" s="113">
        <f>IF($C995="","","GG"&amp;TEXT(ROW()-6,"00000"))</f>
        <v/>
      </c>
      <c r="C995" s="220" t="n"/>
      <c r="D995" s="108" t="n"/>
      <c r="E995" s="109" t="n"/>
      <c r="F995" s="109" t="n"/>
      <c r="G995" s="221" t="n"/>
      <c r="H995" s="108" t="n"/>
      <c r="I995" s="108" t="n"/>
      <c r="J995" s="109" t="n"/>
      <c r="K995" s="109" t="n"/>
      <c r="L995" s="108" t="n"/>
      <c r="M995" s="121">
        <f>IF($C995="","",IF($D995="Gider",$E995,IF($L995&lt;&gt;"",$L995,$H995)))</f>
        <v/>
      </c>
      <c r="N995" s="121">
        <f>IF($C995="","",IF($D995="Gider",$H995,$E995))</f>
        <v/>
      </c>
      <c r="O995" s="226">
        <f>IF($C995="","",DATE(YEAR($C995),MONTH($C995),1))</f>
        <v/>
      </c>
      <c r="P995" s="113">
        <f>IF($C995="","",IF(AND($D995="Gelir",$L995&lt;&gt;"",$T995=""),"TANIMSIZ BORÇLU",IF($T995&lt;&gt;"",IF(OR($E995="",$G995&lt;=0),"EKSİK",IF($I995="Evet","TAHAKKUK NAKİT OLAMAZ",IF($C995&gt;TODAY(),"İLERİ TARİH","TAHAKKUK"))),IF(AND($D995&lt;&gt;"",$E995&lt;&gt;"",$G995&gt;0,$H995&lt;&gt;"",$I995&lt;&gt;""),IF($C995&gt;TODAY(),"İLERİ TARİH",IF(COUNTIF($W$7:$W$1206,$W995)&gt;1,"MÜKERRER?",IF($AD995&gt;0,"KAPALI DÖNEM",IF($I995="Hayır","ÖDENECEK","UYGUN")))),"EKSİK"))))</f>
        <v/>
      </c>
      <c r="Q995" s="6" t="n"/>
      <c r="R995" s="6" t="n"/>
      <c r="S995" s="3">
        <f>IF($L995="","",UPPER(SUBSTITUTE(SUBSTITUTE(SUBSTITUTE(SUBSTITUTE(SUBSTITUTE(SUBSTITUTE(SUBSTITUTE(SUBSTITUTE(SUBSTITUTE(SUBSTITUTE(SUBSTITUTE(SUBSTITUTE(SUBSTITUTE(SUBSTITUTE(SUBSTITUTE(SUBSTITUTE(SUBSTITUTE(SUBSTITUTE(TRIM($L995),"'",""),"İ","I"),"ı","I"),"i","I"),"Ş","S"),"ş","S"),"Ğ","G"),"ğ","G"),"Ü","U"),"ü","U"),"Ö","O"),"ö","O"),"Ç","C"),"ç","C"),".",""),",","")," ",""),"-","")))</f>
        <v/>
      </c>
      <c r="T995" s="3">
        <f>IF(OR($C995="",$D995&lt;&gt;"Gelir",$L995=""),"",IFERROR(INDEX(MUSTERILER!$B$7:$B$106,MATCH($S995,MUSTERILER!$T$7:$T$106,0)),""))</f>
        <v/>
      </c>
      <c r="U995" s="3">
        <f>IF($T995="","",$T995&amp;"|"&amp;COUNTIFS($T$7:$T995,$T995))</f>
        <v/>
      </c>
      <c r="V995" s="3">
        <f>IF($T995="",0,1)</f>
        <v/>
      </c>
      <c r="W995" s="3">
        <f>IF($C995="","",$D995&amp;"|"&amp;$E995&amp;"|"&amp;TEXT($C995,"0")&amp;"|"&amp;TEXT($G995,"0")&amp;"|"&amp;$J995)</f>
        <v/>
      </c>
      <c r="X995" s="3" t="n"/>
      <c r="Y995" s="3" t="n"/>
      <c r="Z995" s="3" t="n"/>
      <c r="AA995" s="3" t="n"/>
      <c r="AB995" s="3" t="n"/>
      <c r="AC995" s="3" t="n"/>
      <c r="AD995" s="3">
        <f>IF($C995="",0,SUMPRODUCT((AY_SONU!$O$7:$O$42="Evet")*(AY_SONU!$B$7:$B$42=DATE(YEAR($C995),MONTH($C995),1))))</f>
        <v/>
      </c>
    </row>
    <row r="996">
      <c r="A996" s="6" t="n"/>
      <c r="B996" s="113">
        <f>IF($C996="","","GG"&amp;TEXT(ROW()-6,"00000"))</f>
        <v/>
      </c>
      <c r="C996" s="220" t="n"/>
      <c r="D996" s="108" t="n"/>
      <c r="E996" s="109" t="n"/>
      <c r="F996" s="109" t="n"/>
      <c r="G996" s="221" t="n"/>
      <c r="H996" s="108" t="n"/>
      <c r="I996" s="108" t="n"/>
      <c r="J996" s="109" t="n"/>
      <c r="K996" s="109" t="n"/>
      <c r="L996" s="108" t="n"/>
      <c r="M996" s="121">
        <f>IF($C996="","",IF($D996="Gider",$E996,IF($L996&lt;&gt;"",$L996,$H996)))</f>
        <v/>
      </c>
      <c r="N996" s="121">
        <f>IF($C996="","",IF($D996="Gider",$H996,$E996))</f>
        <v/>
      </c>
      <c r="O996" s="226">
        <f>IF($C996="","",DATE(YEAR($C996),MONTH($C996),1))</f>
        <v/>
      </c>
      <c r="P996" s="113">
        <f>IF($C996="","",IF(AND($D996="Gelir",$L996&lt;&gt;"",$T996=""),"TANIMSIZ BORÇLU",IF($T996&lt;&gt;"",IF(OR($E996="",$G996&lt;=0),"EKSİK",IF($I996="Evet","TAHAKKUK NAKİT OLAMAZ",IF($C996&gt;TODAY(),"İLERİ TARİH","TAHAKKUK"))),IF(AND($D996&lt;&gt;"",$E996&lt;&gt;"",$G996&gt;0,$H996&lt;&gt;"",$I996&lt;&gt;""),IF($C996&gt;TODAY(),"İLERİ TARİH",IF(COUNTIF($W$7:$W$1206,$W996)&gt;1,"MÜKERRER?",IF($AD996&gt;0,"KAPALI DÖNEM",IF($I996="Hayır","ÖDENECEK","UYGUN")))),"EKSİK"))))</f>
        <v/>
      </c>
      <c r="Q996" s="6" t="n"/>
      <c r="R996" s="6" t="n"/>
      <c r="S996" s="3">
        <f>IF($L996="","",UPPER(SUBSTITUTE(SUBSTITUTE(SUBSTITUTE(SUBSTITUTE(SUBSTITUTE(SUBSTITUTE(SUBSTITUTE(SUBSTITUTE(SUBSTITUTE(SUBSTITUTE(SUBSTITUTE(SUBSTITUTE(SUBSTITUTE(SUBSTITUTE(SUBSTITUTE(SUBSTITUTE(SUBSTITUTE(SUBSTITUTE(TRIM($L996),"'",""),"İ","I"),"ı","I"),"i","I"),"Ş","S"),"ş","S"),"Ğ","G"),"ğ","G"),"Ü","U"),"ü","U"),"Ö","O"),"ö","O"),"Ç","C"),"ç","C"),".",""),",","")," ",""),"-","")))</f>
        <v/>
      </c>
      <c r="T996" s="3">
        <f>IF(OR($C996="",$D996&lt;&gt;"Gelir",$L996=""),"",IFERROR(INDEX(MUSTERILER!$B$7:$B$106,MATCH($S996,MUSTERILER!$T$7:$T$106,0)),""))</f>
        <v/>
      </c>
      <c r="U996" s="3">
        <f>IF($T996="","",$T996&amp;"|"&amp;COUNTIFS($T$7:$T996,$T996))</f>
        <v/>
      </c>
      <c r="V996" s="3">
        <f>IF($T996="",0,1)</f>
        <v/>
      </c>
      <c r="W996" s="3">
        <f>IF($C996="","",$D996&amp;"|"&amp;$E996&amp;"|"&amp;TEXT($C996,"0")&amp;"|"&amp;TEXT($G996,"0")&amp;"|"&amp;$J996)</f>
        <v/>
      </c>
      <c r="X996" s="3" t="n"/>
      <c r="Y996" s="3" t="n"/>
      <c r="Z996" s="3" t="n"/>
      <c r="AA996" s="3" t="n"/>
      <c r="AB996" s="3" t="n"/>
      <c r="AC996" s="3" t="n"/>
      <c r="AD996" s="3">
        <f>IF($C996="",0,SUMPRODUCT((AY_SONU!$O$7:$O$42="Evet")*(AY_SONU!$B$7:$B$42=DATE(YEAR($C996),MONTH($C996),1))))</f>
        <v/>
      </c>
    </row>
    <row r="997">
      <c r="A997" s="6" t="n"/>
      <c r="B997" s="113">
        <f>IF($C997="","","GG"&amp;TEXT(ROW()-6,"00000"))</f>
        <v/>
      </c>
      <c r="C997" s="220" t="n"/>
      <c r="D997" s="108" t="n"/>
      <c r="E997" s="109" t="n"/>
      <c r="F997" s="109" t="n"/>
      <c r="G997" s="221" t="n"/>
      <c r="H997" s="108" t="n"/>
      <c r="I997" s="108" t="n"/>
      <c r="J997" s="109" t="n"/>
      <c r="K997" s="109" t="n"/>
      <c r="L997" s="108" t="n"/>
      <c r="M997" s="121">
        <f>IF($C997="","",IF($D997="Gider",$E997,IF($L997&lt;&gt;"",$L997,$H997)))</f>
        <v/>
      </c>
      <c r="N997" s="121">
        <f>IF($C997="","",IF($D997="Gider",$H997,$E997))</f>
        <v/>
      </c>
      <c r="O997" s="226">
        <f>IF($C997="","",DATE(YEAR($C997),MONTH($C997),1))</f>
        <v/>
      </c>
      <c r="P997" s="113">
        <f>IF($C997="","",IF(AND($D997="Gelir",$L997&lt;&gt;"",$T997=""),"TANIMSIZ BORÇLU",IF($T997&lt;&gt;"",IF(OR($E997="",$G997&lt;=0),"EKSİK",IF($I997="Evet","TAHAKKUK NAKİT OLAMAZ",IF($C997&gt;TODAY(),"İLERİ TARİH","TAHAKKUK"))),IF(AND($D997&lt;&gt;"",$E997&lt;&gt;"",$G997&gt;0,$H997&lt;&gt;"",$I997&lt;&gt;""),IF($C997&gt;TODAY(),"İLERİ TARİH",IF(COUNTIF($W$7:$W$1206,$W997)&gt;1,"MÜKERRER?",IF($AD997&gt;0,"KAPALI DÖNEM",IF($I997="Hayır","ÖDENECEK","UYGUN")))),"EKSİK"))))</f>
        <v/>
      </c>
      <c r="Q997" s="6" t="n"/>
      <c r="R997" s="6" t="n"/>
      <c r="S997" s="3">
        <f>IF($L997="","",UPPER(SUBSTITUTE(SUBSTITUTE(SUBSTITUTE(SUBSTITUTE(SUBSTITUTE(SUBSTITUTE(SUBSTITUTE(SUBSTITUTE(SUBSTITUTE(SUBSTITUTE(SUBSTITUTE(SUBSTITUTE(SUBSTITUTE(SUBSTITUTE(SUBSTITUTE(SUBSTITUTE(SUBSTITUTE(SUBSTITUTE(TRIM($L997),"'",""),"İ","I"),"ı","I"),"i","I"),"Ş","S"),"ş","S"),"Ğ","G"),"ğ","G"),"Ü","U"),"ü","U"),"Ö","O"),"ö","O"),"Ç","C"),"ç","C"),".",""),",","")," ",""),"-","")))</f>
        <v/>
      </c>
      <c r="T997" s="3">
        <f>IF(OR($C997="",$D997&lt;&gt;"Gelir",$L997=""),"",IFERROR(INDEX(MUSTERILER!$B$7:$B$106,MATCH($S997,MUSTERILER!$T$7:$T$106,0)),""))</f>
        <v/>
      </c>
      <c r="U997" s="3">
        <f>IF($T997="","",$T997&amp;"|"&amp;COUNTIFS($T$7:$T997,$T997))</f>
        <v/>
      </c>
      <c r="V997" s="3">
        <f>IF($T997="",0,1)</f>
        <v/>
      </c>
      <c r="W997" s="3">
        <f>IF($C997="","",$D997&amp;"|"&amp;$E997&amp;"|"&amp;TEXT($C997,"0")&amp;"|"&amp;TEXT($G997,"0")&amp;"|"&amp;$J997)</f>
        <v/>
      </c>
      <c r="X997" s="3" t="n"/>
      <c r="Y997" s="3" t="n"/>
      <c r="Z997" s="3" t="n"/>
      <c r="AA997" s="3" t="n"/>
      <c r="AB997" s="3" t="n"/>
      <c r="AC997" s="3" t="n"/>
      <c r="AD997" s="3">
        <f>IF($C997="",0,SUMPRODUCT((AY_SONU!$O$7:$O$42="Evet")*(AY_SONU!$B$7:$B$42=DATE(YEAR($C997),MONTH($C997),1))))</f>
        <v/>
      </c>
    </row>
    <row r="998">
      <c r="A998" s="6" t="n"/>
      <c r="B998" s="113">
        <f>IF($C998="","","GG"&amp;TEXT(ROW()-6,"00000"))</f>
        <v/>
      </c>
      <c r="C998" s="220" t="n"/>
      <c r="D998" s="108" t="n"/>
      <c r="E998" s="109" t="n"/>
      <c r="F998" s="109" t="n"/>
      <c r="G998" s="221" t="n"/>
      <c r="H998" s="108" t="n"/>
      <c r="I998" s="108" t="n"/>
      <c r="J998" s="109" t="n"/>
      <c r="K998" s="109" t="n"/>
      <c r="L998" s="108" t="n"/>
      <c r="M998" s="121">
        <f>IF($C998="","",IF($D998="Gider",$E998,IF($L998&lt;&gt;"",$L998,$H998)))</f>
        <v/>
      </c>
      <c r="N998" s="121">
        <f>IF($C998="","",IF($D998="Gider",$H998,$E998))</f>
        <v/>
      </c>
      <c r="O998" s="226">
        <f>IF($C998="","",DATE(YEAR($C998),MONTH($C998),1))</f>
        <v/>
      </c>
      <c r="P998" s="113">
        <f>IF($C998="","",IF(AND($D998="Gelir",$L998&lt;&gt;"",$T998=""),"TANIMSIZ BORÇLU",IF($T998&lt;&gt;"",IF(OR($E998="",$G998&lt;=0),"EKSİK",IF($I998="Evet","TAHAKKUK NAKİT OLAMAZ",IF($C998&gt;TODAY(),"İLERİ TARİH","TAHAKKUK"))),IF(AND($D998&lt;&gt;"",$E998&lt;&gt;"",$G998&gt;0,$H998&lt;&gt;"",$I998&lt;&gt;""),IF($C998&gt;TODAY(),"İLERİ TARİH",IF(COUNTIF($W$7:$W$1206,$W998)&gt;1,"MÜKERRER?",IF($AD998&gt;0,"KAPALI DÖNEM",IF($I998="Hayır","ÖDENECEK","UYGUN")))),"EKSİK"))))</f>
        <v/>
      </c>
      <c r="Q998" s="6" t="n"/>
      <c r="R998" s="6" t="n"/>
      <c r="S998" s="3">
        <f>IF($L998="","",UPPER(SUBSTITUTE(SUBSTITUTE(SUBSTITUTE(SUBSTITUTE(SUBSTITUTE(SUBSTITUTE(SUBSTITUTE(SUBSTITUTE(SUBSTITUTE(SUBSTITUTE(SUBSTITUTE(SUBSTITUTE(SUBSTITUTE(SUBSTITUTE(SUBSTITUTE(SUBSTITUTE(SUBSTITUTE(SUBSTITUTE(TRIM($L998),"'",""),"İ","I"),"ı","I"),"i","I"),"Ş","S"),"ş","S"),"Ğ","G"),"ğ","G"),"Ü","U"),"ü","U"),"Ö","O"),"ö","O"),"Ç","C"),"ç","C"),".",""),",","")," ",""),"-","")))</f>
        <v/>
      </c>
      <c r="T998" s="3">
        <f>IF(OR($C998="",$D998&lt;&gt;"Gelir",$L998=""),"",IFERROR(INDEX(MUSTERILER!$B$7:$B$106,MATCH($S998,MUSTERILER!$T$7:$T$106,0)),""))</f>
        <v/>
      </c>
      <c r="U998" s="3">
        <f>IF($T998="","",$T998&amp;"|"&amp;COUNTIFS($T$7:$T998,$T998))</f>
        <v/>
      </c>
      <c r="V998" s="3">
        <f>IF($T998="",0,1)</f>
        <v/>
      </c>
      <c r="W998" s="3">
        <f>IF($C998="","",$D998&amp;"|"&amp;$E998&amp;"|"&amp;TEXT($C998,"0")&amp;"|"&amp;TEXT($G998,"0")&amp;"|"&amp;$J998)</f>
        <v/>
      </c>
      <c r="X998" s="3" t="n"/>
      <c r="Y998" s="3" t="n"/>
      <c r="Z998" s="3" t="n"/>
      <c r="AA998" s="3" t="n"/>
      <c r="AB998" s="3" t="n"/>
      <c r="AC998" s="3" t="n"/>
      <c r="AD998" s="3">
        <f>IF($C998="",0,SUMPRODUCT((AY_SONU!$O$7:$O$42="Evet")*(AY_SONU!$B$7:$B$42=DATE(YEAR($C998),MONTH($C998),1))))</f>
        <v/>
      </c>
    </row>
    <row r="999">
      <c r="A999" s="6" t="n"/>
      <c r="B999" s="113">
        <f>IF($C999="","","GG"&amp;TEXT(ROW()-6,"00000"))</f>
        <v/>
      </c>
      <c r="C999" s="220" t="n"/>
      <c r="D999" s="108" t="n"/>
      <c r="E999" s="109" t="n"/>
      <c r="F999" s="109" t="n"/>
      <c r="G999" s="221" t="n"/>
      <c r="H999" s="108" t="n"/>
      <c r="I999" s="108" t="n"/>
      <c r="J999" s="109" t="n"/>
      <c r="K999" s="109" t="n"/>
      <c r="L999" s="108" t="n"/>
      <c r="M999" s="121">
        <f>IF($C999="","",IF($D999="Gider",$E999,IF($L999&lt;&gt;"",$L999,$H999)))</f>
        <v/>
      </c>
      <c r="N999" s="121">
        <f>IF($C999="","",IF($D999="Gider",$H999,$E999))</f>
        <v/>
      </c>
      <c r="O999" s="226">
        <f>IF($C999="","",DATE(YEAR($C999),MONTH($C999),1))</f>
        <v/>
      </c>
      <c r="P999" s="113">
        <f>IF($C999="","",IF(AND($D999="Gelir",$L999&lt;&gt;"",$T999=""),"TANIMSIZ BORÇLU",IF($T999&lt;&gt;"",IF(OR($E999="",$G999&lt;=0),"EKSİK",IF($I999="Evet","TAHAKKUK NAKİT OLAMAZ",IF($C999&gt;TODAY(),"İLERİ TARİH","TAHAKKUK"))),IF(AND($D999&lt;&gt;"",$E999&lt;&gt;"",$G999&gt;0,$H999&lt;&gt;"",$I999&lt;&gt;""),IF($C999&gt;TODAY(),"İLERİ TARİH",IF(COUNTIF($W$7:$W$1206,$W999)&gt;1,"MÜKERRER?",IF($AD999&gt;0,"KAPALI DÖNEM",IF($I999="Hayır","ÖDENECEK","UYGUN")))),"EKSİK"))))</f>
        <v/>
      </c>
      <c r="Q999" s="6" t="n"/>
      <c r="R999" s="6" t="n"/>
      <c r="S999" s="3">
        <f>IF($L999="","",UPPER(SUBSTITUTE(SUBSTITUTE(SUBSTITUTE(SUBSTITUTE(SUBSTITUTE(SUBSTITUTE(SUBSTITUTE(SUBSTITUTE(SUBSTITUTE(SUBSTITUTE(SUBSTITUTE(SUBSTITUTE(SUBSTITUTE(SUBSTITUTE(SUBSTITUTE(SUBSTITUTE(SUBSTITUTE(SUBSTITUTE(TRIM($L999),"'",""),"İ","I"),"ı","I"),"i","I"),"Ş","S"),"ş","S"),"Ğ","G"),"ğ","G"),"Ü","U"),"ü","U"),"Ö","O"),"ö","O"),"Ç","C"),"ç","C"),".",""),",","")," ",""),"-","")))</f>
        <v/>
      </c>
      <c r="T999" s="3">
        <f>IF(OR($C999="",$D999&lt;&gt;"Gelir",$L999=""),"",IFERROR(INDEX(MUSTERILER!$B$7:$B$106,MATCH($S999,MUSTERILER!$T$7:$T$106,0)),""))</f>
        <v/>
      </c>
      <c r="U999" s="3">
        <f>IF($T999="","",$T999&amp;"|"&amp;COUNTIFS($T$7:$T999,$T999))</f>
        <v/>
      </c>
      <c r="V999" s="3">
        <f>IF($T999="",0,1)</f>
        <v/>
      </c>
      <c r="W999" s="3">
        <f>IF($C999="","",$D999&amp;"|"&amp;$E999&amp;"|"&amp;TEXT($C999,"0")&amp;"|"&amp;TEXT($G999,"0")&amp;"|"&amp;$J999)</f>
        <v/>
      </c>
      <c r="X999" s="3" t="n"/>
      <c r="Y999" s="3" t="n"/>
      <c r="Z999" s="3" t="n"/>
      <c r="AA999" s="3" t="n"/>
      <c r="AB999" s="3" t="n"/>
      <c r="AC999" s="3" t="n"/>
      <c r="AD999" s="3">
        <f>IF($C999="",0,SUMPRODUCT((AY_SONU!$O$7:$O$42="Evet")*(AY_SONU!$B$7:$B$42=DATE(YEAR($C999),MONTH($C999),1))))</f>
        <v/>
      </c>
    </row>
    <row r="1000">
      <c r="A1000" s="6" t="n"/>
      <c r="B1000" s="113">
        <f>IF($C1000="","","GG"&amp;TEXT(ROW()-6,"00000"))</f>
        <v/>
      </c>
      <c r="C1000" s="220" t="n"/>
      <c r="D1000" s="108" t="n"/>
      <c r="E1000" s="109" t="n"/>
      <c r="F1000" s="109" t="n"/>
      <c r="G1000" s="221" t="n"/>
      <c r="H1000" s="108" t="n"/>
      <c r="I1000" s="108" t="n"/>
      <c r="J1000" s="109" t="n"/>
      <c r="K1000" s="109" t="n"/>
      <c r="L1000" s="108" t="n"/>
      <c r="M1000" s="121">
        <f>IF($C1000="","",IF($D1000="Gider",$E1000,IF($L1000&lt;&gt;"",$L1000,$H1000)))</f>
        <v/>
      </c>
      <c r="N1000" s="121">
        <f>IF($C1000="","",IF($D1000="Gider",$H1000,$E1000))</f>
        <v/>
      </c>
      <c r="O1000" s="226">
        <f>IF($C1000="","",DATE(YEAR($C1000),MONTH($C1000),1))</f>
        <v/>
      </c>
      <c r="P1000" s="113">
        <f>IF($C1000="","",IF(AND($D1000="Gelir",$L1000&lt;&gt;"",$T1000=""),"TANIMSIZ BORÇLU",IF($T1000&lt;&gt;"",IF(OR($E1000="",$G1000&lt;=0),"EKSİK",IF($I1000="Evet","TAHAKKUK NAKİT OLAMAZ",IF($C1000&gt;TODAY(),"İLERİ TARİH","TAHAKKUK"))),IF(AND($D1000&lt;&gt;"",$E1000&lt;&gt;"",$G1000&gt;0,$H1000&lt;&gt;"",$I1000&lt;&gt;""),IF($C1000&gt;TODAY(),"İLERİ TARİH",IF(COUNTIF($W$7:$W$1206,$W1000)&gt;1,"MÜKERRER?",IF($AD1000&gt;0,"KAPALI DÖNEM",IF($I1000="Hayır","ÖDENECEK","UYGUN")))),"EKSİK"))))</f>
        <v/>
      </c>
      <c r="Q1000" s="6" t="n"/>
      <c r="R1000" s="6" t="n"/>
      <c r="S1000" s="3">
        <f>IF($L1000="","",UPPER(SUBSTITUTE(SUBSTITUTE(SUBSTITUTE(SUBSTITUTE(SUBSTITUTE(SUBSTITUTE(SUBSTITUTE(SUBSTITUTE(SUBSTITUTE(SUBSTITUTE(SUBSTITUTE(SUBSTITUTE(SUBSTITUTE(SUBSTITUTE(SUBSTITUTE(SUBSTITUTE(SUBSTITUTE(SUBSTITUTE(TRIM($L1000),"'",""),"İ","I"),"ı","I"),"i","I"),"Ş","S"),"ş","S"),"Ğ","G"),"ğ","G"),"Ü","U"),"ü","U"),"Ö","O"),"ö","O"),"Ç","C"),"ç","C"),".",""),",","")," ",""),"-","")))</f>
        <v/>
      </c>
      <c r="T1000" s="3">
        <f>IF(OR($C1000="",$D1000&lt;&gt;"Gelir",$L1000=""),"",IFERROR(INDEX(MUSTERILER!$B$7:$B$106,MATCH($S1000,MUSTERILER!$T$7:$T$106,0)),""))</f>
        <v/>
      </c>
      <c r="U1000" s="3">
        <f>IF($T1000="","",$T1000&amp;"|"&amp;COUNTIFS($T$7:$T1000,$T1000))</f>
        <v/>
      </c>
      <c r="V1000" s="3">
        <f>IF($T1000="",0,1)</f>
        <v/>
      </c>
      <c r="W1000" s="3">
        <f>IF($C1000="","",$D1000&amp;"|"&amp;$E1000&amp;"|"&amp;TEXT($C1000,"0")&amp;"|"&amp;TEXT($G1000,"0")&amp;"|"&amp;$J1000)</f>
        <v/>
      </c>
      <c r="X1000" s="3" t="n"/>
      <c r="Y1000" s="3" t="n"/>
      <c r="Z1000" s="3" t="n"/>
      <c r="AA1000" s="3" t="n"/>
      <c r="AB1000" s="3" t="n"/>
      <c r="AC1000" s="3" t="n"/>
      <c r="AD1000" s="3">
        <f>IF($C1000="",0,SUMPRODUCT((AY_SONU!$O$7:$O$42="Evet")*(AY_SONU!$B$7:$B$42=DATE(YEAR($C1000),MONTH($C1000),1))))</f>
        <v/>
      </c>
    </row>
    <row r="1001">
      <c r="A1001" s="6" t="n"/>
      <c r="B1001" s="113">
        <f>IF($C1001="","","GG"&amp;TEXT(ROW()-6,"00000"))</f>
        <v/>
      </c>
      <c r="C1001" s="220" t="n"/>
      <c r="D1001" s="108" t="n"/>
      <c r="E1001" s="109" t="n"/>
      <c r="F1001" s="109" t="n"/>
      <c r="G1001" s="221" t="n"/>
      <c r="H1001" s="108" t="n"/>
      <c r="I1001" s="108" t="n"/>
      <c r="J1001" s="109" t="n"/>
      <c r="K1001" s="109" t="n"/>
      <c r="L1001" s="108" t="n"/>
      <c r="M1001" s="121">
        <f>IF($C1001="","",IF($D1001="Gider",$E1001,IF($L1001&lt;&gt;"",$L1001,$H1001)))</f>
        <v/>
      </c>
      <c r="N1001" s="121">
        <f>IF($C1001="","",IF($D1001="Gider",$H1001,$E1001))</f>
        <v/>
      </c>
      <c r="O1001" s="226">
        <f>IF($C1001="","",DATE(YEAR($C1001),MONTH($C1001),1))</f>
        <v/>
      </c>
      <c r="P1001" s="113">
        <f>IF($C1001="","",IF(AND($D1001="Gelir",$L1001&lt;&gt;"",$T1001=""),"TANIMSIZ BORÇLU",IF($T1001&lt;&gt;"",IF(OR($E1001="",$G1001&lt;=0),"EKSİK",IF($I1001="Evet","TAHAKKUK NAKİT OLAMAZ",IF($C1001&gt;TODAY(),"İLERİ TARİH","TAHAKKUK"))),IF(AND($D1001&lt;&gt;"",$E1001&lt;&gt;"",$G1001&gt;0,$H1001&lt;&gt;"",$I1001&lt;&gt;""),IF($C1001&gt;TODAY(),"İLERİ TARİH",IF(COUNTIF($W$7:$W$1206,$W1001)&gt;1,"MÜKERRER?",IF($AD1001&gt;0,"KAPALI DÖNEM",IF($I1001="Hayır","ÖDENECEK","UYGUN")))),"EKSİK"))))</f>
        <v/>
      </c>
      <c r="Q1001" s="6" t="n"/>
      <c r="R1001" s="6" t="n"/>
      <c r="S1001" s="3">
        <f>IF($L1001="","",UPPER(SUBSTITUTE(SUBSTITUTE(SUBSTITUTE(SUBSTITUTE(SUBSTITUTE(SUBSTITUTE(SUBSTITUTE(SUBSTITUTE(SUBSTITUTE(SUBSTITUTE(SUBSTITUTE(SUBSTITUTE(SUBSTITUTE(SUBSTITUTE(SUBSTITUTE(SUBSTITUTE(SUBSTITUTE(SUBSTITUTE(TRIM($L1001),"'",""),"İ","I"),"ı","I"),"i","I"),"Ş","S"),"ş","S"),"Ğ","G"),"ğ","G"),"Ü","U"),"ü","U"),"Ö","O"),"ö","O"),"Ç","C"),"ç","C"),".",""),",","")," ",""),"-","")))</f>
        <v/>
      </c>
      <c r="T1001" s="3">
        <f>IF(OR($C1001="",$D1001&lt;&gt;"Gelir",$L1001=""),"",IFERROR(INDEX(MUSTERILER!$B$7:$B$106,MATCH($S1001,MUSTERILER!$T$7:$T$106,0)),""))</f>
        <v/>
      </c>
      <c r="U1001" s="3">
        <f>IF($T1001="","",$T1001&amp;"|"&amp;COUNTIFS($T$7:$T1001,$T1001))</f>
        <v/>
      </c>
      <c r="V1001" s="3">
        <f>IF($T1001="",0,1)</f>
        <v/>
      </c>
      <c r="W1001" s="3">
        <f>IF($C1001="","",$D1001&amp;"|"&amp;$E1001&amp;"|"&amp;TEXT($C1001,"0")&amp;"|"&amp;TEXT($G1001,"0")&amp;"|"&amp;$J1001)</f>
        <v/>
      </c>
      <c r="X1001" s="3" t="n"/>
      <c r="Y1001" s="3" t="n"/>
      <c r="Z1001" s="3" t="n"/>
      <c r="AA1001" s="3" t="n"/>
      <c r="AB1001" s="3" t="n"/>
      <c r="AC1001" s="3" t="n"/>
      <c r="AD1001" s="3">
        <f>IF($C1001="",0,SUMPRODUCT((AY_SONU!$O$7:$O$42="Evet")*(AY_SONU!$B$7:$B$42=DATE(YEAR($C1001),MONTH($C1001),1))))</f>
        <v/>
      </c>
    </row>
    <row r="1002">
      <c r="A1002" s="6" t="n"/>
      <c r="B1002" s="113">
        <f>IF($C1002="","","GG"&amp;TEXT(ROW()-6,"00000"))</f>
        <v/>
      </c>
      <c r="C1002" s="220" t="n"/>
      <c r="D1002" s="108" t="n"/>
      <c r="E1002" s="109" t="n"/>
      <c r="F1002" s="109" t="n"/>
      <c r="G1002" s="221" t="n"/>
      <c r="H1002" s="108" t="n"/>
      <c r="I1002" s="108" t="n"/>
      <c r="J1002" s="109" t="n"/>
      <c r="K1002" s="109" t="n"/>
      <c r="L1002" s="108" t="n"/>
      <c r="M1002" s="121">
        <f>IF($C1002="","",IF($D1002="Gider",$E1002,IF($L1002&lt;&gt;"",$L1002,$H1002)))</f>
        <v/>
      </c>
      <c r="N1002" s="121">
        <f>IF($C1002="","",IF($D1002="Gider",$H1002,$E1002))</f>
        <v/>
      </c>
      <c r="O1002" s="226">
        <f>IF($C1002="","",DATE(YEAR($C1002),MONTH($C1002),1))</f>
        <v/>
      </c>
      <c r="P1002" s="113">
        <f>IF($C1002="","",IF(AND($D1002="Gelir",$L1002&lt;&gt;"",$T1002=""),"TANIMSIZ BORÇLU",IF($T1002&lt;&gt;"",IF(OR($E1002="",$G1002&lt;=0),"EKSİK",IF($I1002="Evet","TAHAKKUK NAKİT OLAMAZ",IF($C1002&gt;TODAY(),"İLERİ TARİH","TAHAKKUK"))),IF(AND($D1002&lt;&gt;"",$E1002&lt;&gt;"",$G1002&gt;0,$H1002&lt;&gt;"",$I1002&lt;&gt;""),IF($C1002&gt;TODAY(),"İLERİ TARİH",IF(COUNTIF($W$7:$W$1206,$W1002)&gt;1,"MÜKERRER?",IF($AD1002&gt;0,"KAPALI DÖNEM",IF($I1002="Hayır","ÖDENECEK","UYGUN")))),"EKSİK"))))</f>
        <v/>
      </c>
      <c r="Q1002" s="6" t="n"/>
      <c r="R1002" s="6" t="n"/>
      <c r="S1002" s="3">
        <f>IF($L1002="","",UPPER(SUBSTITUTE(SUBSTITUTE(SUBSTITUTE(SUBSTITUTE(SUBSTITUTE(SUBSTITUTE(SUBSTITUTE(SUBSTITUTE(SUBSTITUTE(SUBSTITUTE(SUBSTITUTE(SUBSTITUTE(SUBSTITUTE(SUBSTITUTE(SUBSTITUTE(SUBSTITUTE(SUBSTITUTE(SUBSTITUTE(TRIM($L1002),"'",""),"İ","I"),"ı","I"),"i","I"),"Ş","S"),"ş","S"),"Ğ","G"),"ğ","G"),"Ü","U"),"ü","U"),"Ö","O"),"ö","O"),"Ç","C"),"ç","C"),".",""),",","")," ",""),"-","")))</f>
        <v/>
      </c>
      <c r="T1002" s="3">
        <f>IF(OR($C1002="",$D1002&lt;&gt;"Gelir",$L1002=""),"",IFERROR(INDEX(MUSTERILER!$B$7:$B$106,MATCH($S1002,MUSTERILER!$T$7:$T$106,0)),""))</f>
        <v/>
      </c>
      <c r="U1002" s="3">
        <f>IF($T1002="","",$T1002&amp;"|"&amp;COUNTIFS($T$7:$T1002,$T1002))</f>
        <v/>
      </c>
      <c r="V1002" s="3">
        <f>IF($T1002="",0,1)</f>
        <v/>
      </c>
      <c r="W1002" s="3">
        <f>IF($C1002="","",$D1002&amp;"|"&amp;$E1002&amp;"|"&amp;TEXT($C1002,"0")&amp;"|"&amp;TEXT($G1002,"0")&amp;"|"&amp;$J1002)</f>
        <v/>
      </c>
      <c r="X1002" s="3" t="n"/>
      <c r="Y1002" s="3" t="n"/>
      <c r="Z1002" s="3" t="n"/>
      <c r="AA1002" s="3" t="n"/>
      <c r="AB1002" s="3" t="n"/>
      <c r="AC1002" s="3" t="n"/>
      <c r="AD1002" s="3">
        <f>IF($C1002="",0,SUMPRODUCT((AY_SONU!$O$7:$O$42="Evet")*(AY_SONU!$B$7:$B$42=DATE(YEAR($C1002),MONTH($C1002),1))))</f>
        <v/>
      </c>
    </row>
    <row r="1003">
      <c r="A1003" s="6" t="n"/>
      <c r="B1003" s="113">
        <f>IF($C1003="","","GG"&amp;TEXT(ROW()-6,"00000"))</f>
        <v/>
      </c>
      <c r="C1003" s="220" t="n"/>
      <c r="D1003" s="108" t="n"/>
      <c r="E1003" s="109" t="n"/>
      <c r="F1003" s="109" t="n"/>
      <c r="G1003" s="221" t="n"/>
      <c r="H1003" s="108" t="n"/>
      <c r="I1003" s="108" t="n"/>
      <c r="J1003" s="109" t="n"/>
      <c r="K1003" s="109" t="n"/>
      <c r="L1003" s="108" t="n"/>
      <c r="M1003" s="121">
        <f>IF($C1003="","",IF($D1003="Gider",$E1003,IF($L1003&lt;&gt;"",$L1003,$H1003)))</f>
        <v/>
      </c>
      <c r="N1003" s="121">
        <f>IF($C1003="","",IF($D1003="Gider",$H1003,$E1003))</f>
        <v/>
      </c>
      <c r="O1003" s="226">
        <f>IF($C1003="","",DATE(YEAR($C1003),MONTH($C1003),1))</f>
        <v/>
      </c>
      <c r="P1003" s="113">
        <f>IF($C1003="","",IF(AND($D1003="Gelir",$L1003&lt;&gt;"",$T1003=""),"TANIMSIZ BORÇLU",IF($T1003&lt;&gt;"",IF(OR($E1003="",$G1003&lt;=0),"EKSİK",IF($I1003="Evet","TAHAKKUK NAKİT OLAMAZ",IF($C1003&gt;TODAY(),"İLERİ TARİH","TAHAKKUK"))),IF(AND($D1003&lt;&gt;"",$E1003&lt;&gt;"",$G1003&gt;0,$H1003&lt;&gt;"",$I1003&lt;&gt;""),IF($C1003&gt;TODAY(),"İLERİ TARİH",IF(COUNTIF($W$7:$W$1206,$W1003)&gt;1,"MÜKERRER?",IF($AD1003&gt;0,"KAPALI DÖNEM",IF($I1003="Hayır","ÖDENECEK","UYGUN")))),"EKSİK"))))</f>
        <v/>
      </c>
      <c r="Q1003" s="6" t="n"/>
      <c r="R1003" s="6" t="n"/>
      <c r="S1003" s="3">
        <f>IF($L1003="","",UPPER(SUBSTITUTE(SUBSTITUTE(SUBSTITUTE(SUBSTITUTE(SUBSTITUTE(SUBSTITUTE(SUBSTITUTE(SUBSTITUTE(SUBSTITUTE(SUBSTITUTE(SUBSTITUTE(SUBSTITUTE(SUBSTITUTE(SUBSTITUTE(SUBSTITUTE(SUBSTITUTE(SUBSTITUTE(SUBSTITUTE(TRIM($L1003),"'",""),"İ","I"),"ı","I"),"i","I"),"Ş","S"),"ş","S"),"Ğ","G"),"ğ","G"),"Ü","U"),"ü","U"),"Ö","O"),"ö","O"),"Ç","C"),"ç","C"),".",""),",","")," ",""),"-","")))</f>
        <v/>
      </c>
      <c r="T1003" s="3">
        <f>IF(OR($C1003="",$D1003&lt;&gt;"Gelir",$L1003=""),"",IFERROR(INDEX(MUSTERILER!$B$7:$B$106,MATCH($S1003,MUSTERILER!$T$7:$T$106,0)),""))</f>
        <v/>
      </c>
      <c r="U1003" s="3">
        <f>IF($T1003="","",$T1003&amp;"|"&amp;COUNTIFS($T$7:$T1003,$T1003))</f>
        <v/>
      </c>
      <c r="V1003" s="3">
        <f>IF($T1003="",0,1)</f>
        <v/>
      </c>
      <c r="W1003" s="3">
        <f>IF($C1003="","",$D1003&amp;"|"&amp;$E1003&amp;"|"&amp;TEXT($C1003,"0")&amp;"|"&amp;TEXT($G1003,"0")&amp;"|"&amp;$J1003)</f>
        <v/>
      </c>
      <c r="X1003" s="3" t="n"/>
      <c r="Y1003" s="3" t="n"/>
      <c r="Z1003" s="3" t="n"/>
      <c r="AA1003" s="3" t="n"/>
      <c r="AB1003" s="3" t="n"/>
      <c r="AC1003" s="3" t="n"/>
      <c r="AD1003" s="3">
        <f>IF($C1003="",0,SUMPRODUCT((AY_SONU!$O$7:$O$42="Evet")*(AY_SONU!$B$7:$B$42=DATE(YEAR($C1003),MONTH($C1003),1))))</f>
        <v/>
      </c>
    </row>
    <row r="1004">
      <c r="A1004" s="6" t="n"/>
      <c r="B1004" s="113">
        <f>IF($C1004="","","GG"&amp;TEXT(ROW()-6,"00000"))</f>
        <v/>
      </c>
      <c r="C1004" s="220" t="n"/>
      <c r="D1004" s="108" t="n"/>
      <c r="E1004" s="109" t="n"/>
      <c r="F1004" s="109" t="n"/>
      <c r="G1004" s="221" t="n"/>
      <c r="H1004" s="108" t="n"/>
      <c r="I1004" s="108" t="n"/>
      <c r="J1004" s="109" t="n"/>
      <c r="K1004" s="109" t="n"/>
      <c r="L1004" s="108" t="n"/>
      <c r="M1004" s="121">
        <f>IF($C1004="","",IF($D1004="Gider",$E1004,IF($L1004&lt;&gt;"",$L1004,$H1004)))</f>
        <v/>
      </c>
      <c r="N1004" s="121">
        <f>IF($C1004="","",IF($D1004="Gider",$H1004,$E1004))</f>
        <v/>
      </c>
      <c r="O1004" s="226">
        <f>IF($C1004="","",DATE(YEAR($C1004),MONTH($C1004),1))</f>
        <v/>
      </c>
      <c r="P1004" s="113">
        <f>IF($C1004="","",IF(AND($D1004="Gelir",$L1004&lt;&gt;"",$T1004=""),"TANIMSIZ BORÇLU",IF($T1004&lt;&gt;"",IF(OR($E1004="",$G1004&lt;=0),"EKSİK",IF($I1004="Evet","TAHAKKUK NAKİT OLAMAZ",IF($C1004&gt;TODAY(),"İLERİ TARİH","TAHAKKUK"))),IF(AND($D1004&lt;&gt;"",$E1004&lt;&gt;"",$G1004&gt;0,$H1004&lt;&gt;"",$I1004&lt;&gt;""),IF($C1004&gt;TODAY(),"İLERİ TARİH",IF(COUNTIF($W$7:$W$1206,$W1004)&gt;1,"MÜKERRER?",IF($AD1004&gt;0,"KAPALI DÖNEM",IF($I1004="Hayır","ÖDENECEK","UYGUN")))),"EKSİK"))))</f>
        <v/>
      </c>
      <c r="Q1004" s="6" t="n"/>
      <c r="R1004" s="6" t="n"/>
      <c r="S1004" s="3">
        <f>IF($L1004="","",UPPER(SUBSTITUTE(SUBSTITUTE(SUBSTITUTE(SUBSTITUTE(SUBSTITUTE(SUBSTITUTE(SUBSTITUTE(SUBSTITUTE(SUBSTITUTE(SUBSTITUTE(SUBSTITUTE(SUBSTITUTE(SUBSTITUTE(SUBSTITUTE(SUBSTITUTE(SUBSTITUTE(SUBSTITUTE(SUBSTITUTE(TRIM($L1004),"'",""),"İ","I"),"ı","I"),"i","I"),"Ş","S"),"ş","S"),"Ğ","G"),"ğ","G"),"Ü","U"),"ü","U"),"Ö","O"),"ö","O"),"Ç","C"),"ç","C"),".",""),",","")," ",""),"-","")))</f>
        <v/>
      </c>
      <c r="T1004" s="3">
        <f>IF(OR($C1004="",$D1004&lt;&gt;"Gelir",$L1004=""),"",IFERROR(INDEX(MUSTERILER!$B$7:$B$106,MATCH($S1004,MUSTERILER!$T$7:$T$106,0)),""))</f>
        <v/>
      </c>
      <c r="U1004" s="3">
        <f>IF($T1004="","",$T1004&amp;"|"&amp;COUNTIFS($T$7:$T1004,$T1004))</f>
        <v/>
      </c>
      <c r="V1004" s="3">
        <f>IF($T1004="",0,1)</f>
        <v/>
      </c>
      <c r="W1004" s="3">
        <f>IF($C1004="","",$D1004&amp;"|"&amp;$E1004&amp;"|"&amp;TEXT($C1004,"0")&amp;"|"&amp;TEXT($G1004,"0")&amp;"|"&amp;$J1004)</f>
        <v/>
      </c>
      <c r="X1004" s="3" t="n"/>
      <c r="Y1004" s="3" t="n"/>
      <c r="Z1004" s="3" t="n"/>
      <c r="AA1004" s="3" t="n"/>
      <c r="AB1004" s="3" t="n"/>
      <c r="AC1004" s="3" t="n"/>
      <c r="AD1004" s="3">
        <f>IF($C1004="",0,SUMPRODUCT((AY_SONU!$O$7:$O$42="Evet")*(AY_SONU!$B$7:$B$42=DATE(YEAR($C1004),MONTH($C1004),1))))</f>
        <v/>
      </c>
    </row>
    <row r="1005">
      <c r="A1005" s="6" t="n"/>
      <c r="B1005" s="113">
        <f>IF($C1005="","","GG"&amp;TEXT(ROW()-6,"00000"))</f>
        <v/>
      </c>
      <c r="C1005" s="220" t="n"/>
      <c r="D1005" s="108" t="n"/>
      <c r="E1005" s="109" t="n"/>
      <c r="F1005" s="109" t="n"/>
      <c r="G1005" s="221" t="n"/>
      <c r="H1005" s="108" t="n"/>
      <c r="I1005" s="108" t="n"/>
      <c r="J1005" s="109" t="n"/>
      <c r="K1005" s="109" t="n"/>
      <c r="L1005" s="108" t="n"/>
      <c r="M1005" s="121">
        <f>IF($C1005="","",IF($D1005="Gider",$E1005,IF($L1005&lt;&gt;"",$L1005,$H1005)))</f>
        <v/>
      </c>
      <c r="N1005" s="121">
        <f>IF($C1005="","",IF($D1005="Gider",$H1005,$E1005))</f>
        <v/>
      </c>
      <c r="O1005" s="226">
        <f>IF($C1005="","",DATE(YEAR($C1005),MONTH($C1005),1))</f>
        <v/>
      </c>
      <c r="P1005" s="113">
        <f>IF($C1005="","",IF(AND($D1005="Gelir",$L1005&lt;&gt;"",$T1005=""),"TANIMSIZ BORÇLU",IF($T1005&lt;&gt;"",IF(OR($E1005="",$G1005&lt;=0),"EKSİK",IF($I1005="Evet","TAHAKKUK NAKİT OLAMAZ",IF($C1005&gt;TODAY(),"İLERİ TARİH","TAHAKKUK"))),IF(AND($D1005&lt;&gt;"",$E1005&lt;&gt;"",$G1005&gt;0,$H1005&lt;&gt;"",$I1005&lt;&gt;""),IF($C1005&gt;TODAY(),"İLERİ TARİH",IF(COUNTIF($W$7:$W$1206,$W1005)&gt;1,"MÜKERRER?",IF($AD1005&gt;0,"KAPALI DÖNEM",IF($I1005="Hayır","ÖDENECEK","UYGUN")))),"EKSİK"))))</f>
        <v/>
      </c>
      <c r="Q1005" s="6" t="n"/>
      <c r="R1005" s="6" t="n"/>
      <c r="S1005" s="3">
        <f>IF($L1005="","",UPPER(SUBSTITUTE(SUBSTITUTE(SUBSTITUTE(SUBSTITUTE(SUBSTITUTE(SUBSTITUTE(SUBSTITUTE(SUBSTITUTE(SUBSTITUTE(SUBSTITUTE(SUBSTITUTE(SUBSTITUTE(SUBSTITUTE(SUBSTITUTE(SUBSTITUTE(SUBSTITUTE(SUBSTITUTE(SUBSTITUTE(TRIM($L1005),"'",""),"İ","I"),"ı","I"),"i","I"),"Ş","S"),"ş","S"),"Ğ","G"),"ğ","G"),"Ü","U"),"ü","U"),"Ö","O"),"ö","O"),"Ç","C"),"ç","C"),".",""),",","")," ",""),"-","")))</f>
        <v/>
      </c>
      <c r="T1005" s="3">
        <f>IF(OR($C1005="",$D1005&lt;&gt;"Gelir",$L1005=""),"",IFERROR(INDEX(MUSTERILER!$B$7:$B$106,MATCH($S1005,MUSTERILER!$T$7:$T$106,0)),""))</f>
        <v/>
      </c>
      <c r="U1005" s="3">
        <f>IF($T1005="","",$T1005&amp;"|"&amp;COUNTIFS($T$7:$T1005,$T1005))</f>
        <v/>
      </c>
      <c r="V1005" s="3">
        <f>IF($T1005="",0,1)</f>
        <v/>
      </c>
      <c r="W1005" s="3">
        <f>IF($C1005="","",$D1005&amp;"|"&amp;$E1005&amp;"|"&amp;TEXT($C1005,"0")&amp;"|"&amp;TEXT($G1005,"0")&amp;"|"&amp;$J1005)</f>
        <v/>
      </c>
      <c r="X1005" s="3" t="n"/>
      <c r="Y1005" s="3" t="n"/>
      <c r="Z1005" s="3" t="n"/>
      <c r="AA1005" s="3" t="n"/>
      <c r="AB1005" s="3" t="n"/>
      <c r="AC1005" s="3" t="n"/>
      <c r="AD1005" s="3">
        <f>IF($C1005="",0,SUMPRODUCT((AY_SONU!$O$7:$O$42="Evet")*(AY_SONU!$B$7:$B$42=DATE(YEAR($C1005),MONTH($C1005),1))))</f>
        <v/>
      </c>
    </row>
    <row r="1006">
      <c r="A1006" s="6" t="n"/>
      <c r="B1006" s="113">
        <f>IF($C1006="","","GG"&amp;TEXT(ROW()-6,"00000"))</f>
        <v/>
      </c>
      <c r="C1006" s="220" t="n"/>
      <c r="D1006" s="108" t="n"/>
      <c r="E1006" s="109" t="n"/>
      <c r="F1006" s="109" t="n"/>
      <c r="G1006" s="221" t="n"/>
      <c r="H1006" s="108" t="n"/>
      <c r="I1006" s="108" t="n"/>
      <c r="J1006" s="109" t="n"/>
      <c r="K1006" s="109" t="n"/>
      <c r="L1006" s="108" t="n"/>
      <c r="M1006" s="121">
        <f>IF($C1006="","",IF($D1006="Gider",$E1006,IF($L1006&lt;&gt;"",$L1006,$H1006)))</f>
        <v/>
      </c>
      <c r="N1006" s="121">
        <f>IF($C1006="","",IF($D1006="Gider",$H1006,$E1006))</f>
        <v/>
      </c>
      <c r="O1006" s="226">
        <f>IF($C1006="","",DATE(YEAR($C1006),MONTH($C1006),1))</f>
        <v/>
      </c>
      <c r="P1006" s="113">
        <f>IF($C1006="","",IF(AND($D1006="Gelir",$L1006&lt;&gt;"",$T1006=""),"TANIMSIZ BORÇLU",IF($T1006&lt;&gt;"",IF(OR($E1006="",$G1006&lt;=0),"EKSİK",IF($I1006="Evet","TAHAKKUK NAKİT OLAMAZ",IF($C1006&gt;TODAY(),"İLERİ TARİH","TAHAKKUK"))),IF(AND($D1006&lt;&gt;"",$E1006&lt;&gt;"",$G1006&gt;0,$H1006&lt;&gt;"",$I1006&lt;&gt;""),IF($C1006&gt;TODAY(),"İLERİ TARİH",IF(COUNTIF($W$7:$W$1206,$W1006)&gt;1,"MÜKERRER?",IF($AD1006&gt;0,"KAPALI DÖNEM",IF($I1006="Hayır","ÖDENECEK","UYGUN")))),"EKSİK"))))</f>
        <v/>
      </c>
      <c r="Q1006" s="6" t="n"/>
      <c r="R1006" s="6" t="n"/>
      <c r="S1006" s="3">
        <f>IF($L1006="","",UPPER(SUBSTITUTE(SUBSTITUTE(SUBSTITUTE(SUBSTITUTE(SUBSTITUTE(SUBSTITUTE(SUBSTITUTE(SUBSTITUTE(SUBSTITUTE(SUBSTITUTE(SUBSTITUTE(SUBSTITUTE(SUBSTITUTE(SUBSTITUTE(SUBSTITUTE(SUBSTITUTE(SUBSTITUTE(SUBSTITUTE(TRIM($L1006),"'",""),"İ","I"),"ı","I"),"i","I"),"Ş","S"),"ş","S"),"Ğ","G"),"ğ","G"),"Ü","U"),"ü","U"),"Ö","O"),"ö","O"),"Ç","C"),"ç","C"),".",""),",","")," ",""),"-","")))</f>
        <v/>
      </c>
      <c r="T1006" s="3">
        <f>IF(OR($C1006="",$D1006&lt;&gt;"Gelir",$L1006=""),"",IFERROR(INDEX(MUSTERILER!$B$7:$B$106,MATCH($S1006,MUSTERILER!$T$7:$T$106,0)),""))</f>
        <v/>
      </c>
      <c r="U1006" s="3">
        <f>IF($T1006="","",$T1006&amp;"|"&amp;COUNTIFS($T$7:$T1006,$T1006))</f>
        <v/>
      </c>
      <c r="V1006" s="3">
        <f>IF($T1006="",0,1)</f>
        <v/>
      </c>
      <c r="W1006" s="3">
        <f>IF($C1006="","",$D1006&amp;"|"&amp;$E1006&amp;"|"&amp;TEXT($C1006,"0")&amp;"|"&amp;TEXT($G1006,"0")&amp;"|"&amp;$J1006)</f>
        <v/>
      </c>
      <c r="X1006" s="3" t="n"/>
      <c r="Y1006" s="3" t="n"/>
      <c r="Z1006" s="3" t="n"/>
      <c r="AA1006" s="3" t="n"/>
      <c r="AB1006" s="3" t="n"/>
      <c r="AC1006" s="3" t="n"/>
      <c r="AD1006" s="3">
        <f>IF($C1006="",0,SUMPRODUCT((AY_SONU!$O$7:$O$42="Evet")*(AY_SONU!$B$7:$B$42=DATE(YEAR($C1006),MONTH($C1006),1))))</f>
        <v/>
      </c>
    </row>
    <row r="1007">
      <c r="A1007" s="6" t="n"/>
      <c r="B1007" s="113">
        <f>IF($C1007="","","GG"&amp;TEXT(ROW()-6,"00000"))</f>
        <v/>
      </c>
      <c r="C1007" s="220" t="n"/>
      <c r="D1007" s="108" t="n"/>
      <c r="E1007" s="109" t="n"/>
      <c r="F1007" s="109" t="n"/>
      <c r="G1007" s="221" t="n"/>
      <c r="H1007" s="108" t="n"/>
      <c r="I1007" s="108" t="n"/>
      <c r="J1007" s="109" t="n"/>
      <c r="K1007" s="109" t="n"/>
      <c r="L1007" s="108" t="n"/>
      <c r="M1007" s="121">
        <f>IF($C1007="","",IF($D1007="Gider",$E1007,IF($L1007&lt;&gt;"",$L1007,$H1007)))</f>
        <v/>
      </c>
      <c r="N1007" s="121">
        <f>IF($C1007="","",IF($D1007="Gider",$H1007,$E1007))</f>
        <v/>
      </c>
      <c r="O1007" s="226">
        <f>IF($C1007="","",DATE(YEAR($C1007),MONTH($C1007),1))</f>
        <v/>
      </c>
      <c r="P1007" s="113">
        <f>IF($C1007="","",IF(AND($D1007="Gelir",$L1007&lt;&gt;"",$T1007=""),"TANIMSIZ BORÇLU",IF($T1007&lt;&gt;"",IF(OR($E1007="",$G1007&lt;=0),"EKSİK",IF($I1007="Evet","TAHAKKUK NAKİT OLAMAZ",IF($C1007&gt;TODAY(),"İLERİ TARİH","TAHAKKUK"))),IF(AND($D1007&lt;&gt;"",$E1007&lt;&gt;"",$G1007&gt;0,$H1007&lt;&gt;"",$I1007&lt;&gt;""),IF($C1007&gt;TODAY(),"İLERİ TARİH",IF(COUNTIF($W$7:$W$1206,$W1007)&gt;1,"MÜKERRER?",IF($AD1007&gt;0,"KAPALI DÖNEM",IF($I1007="Hayır","ÖDENECEK","UYGUN")))),"EKSİK"))))</f>
        <v/>
      </c>
      <c r="Q1007" s="6" t="n"/>
      <c r="R1007" s="6" t="n"/>
      <c r="S1007" s="3">
        <f>IF($L1007="","",UPPER(SUBSTITUTE(SUBSTITUTE(SUBSTITUTE(SUBSTITUTE(SUBSTITUTE(SUBSTITUTE(SUBSTITUTE(SUBSTITUTE(SUBSTITUTE(SUBSTITUTE(SUBSTITUTE(SUBSTITUTE(SUBSTITUTE(SUBSTITUTE(SUBSTITUTE(SUBSTITUTE(SUBSTITUTE(SUBSTITUTE(TRIM($L1007),"'",""),"İ","I"),"ı","I"),"i","I"),"Ş","S"),"ş","S"),"Ğ","G"),"ğ","G"),"Ü","U"),"ü","U"),"Ö","O"),"ö","O"),"Ç","C"),"ç","C"),".",""),",","")," ",""),"-","")))</f>
        <v/>
      </c>
      <c r="T1007" s="3">
        <f>IF(OR($C1007="",$D1007&lt;&gt;"Gelir",$L1007=""),"",IFERROR(INDEX(MUSTERILER!$B$7:$B$106,MATCH($S1007,MUSTERILER!$T$7:$T$106,0)),""))</f>
        <v/>
      </c>
      <c r="U1007" s="3">
        <f>IF($T1007="","",$T1007&amp;"|"&amp;COUNTIFS($T$7:$T1007,$T1007))</f>
        <v/>
      </c>
      <c r="V1007" s="3">
        <f>IF($T1007="",0,1)</f>
        <v/>
      </c>
      <c r="W1007" s="3">
        <f>IF($C1007="","",$D1007&amp;"|"&amp;$E1007&amp;"|"&amp;TEXT($C1007,"0")&amp;"|"&amp;TEXT($G1007,"0")&amp;"|"&amp;$J1007)</f>
        <v/>
      </c>
      <c r="X1007" s="3" t="n"/>
      <c r="Y1007" s="3" t="n"/>
      <c r="Z1007" s="3" t="n"/>
      <c r="AA1007" s="3" t="n"/>
      <c r="AB1007" s="3" t="n"/>
      <c r="AC1007" s="3" t="n"/>
      <c r="AD1007" s="3">
        <f>IF($C1007="",0,SUMPRODUCT((AY_SONU!$O$7:$O$42="Evet")*(AY_SONU!$B$7:$B$42=DATE(YEAR($C1007),MONTH($C1007),1))))</f>
        <v/>
      </c>
    </row>
    <row r="1008">
      <c r="A1008" s="6" t="n"/>
      <c r="B1008" s="113">
        <f>IF($C1008="","","GG"&amp;TEXT(ROW()-6,"00000"))</f>
        <v/>
      </c>
      <c r="C1008" s="220" t="n"/>
      <c r="D1008" s="108" t="n"/>
      <c r="E1008" s="109" t="n"/>
      <c r="F1008" s="109" t="n"/>
      <c r="G1008" s="221" t="n"/>
      <c r="H1008" s="108" t="n"/>
      <c r="I1008" s="108" t="n"/>
      <c r="J1008" s="109" t="n"/>
      <c r="K1008" s="109" t="n"/>
      <c r="L1008" s="108" t="n"/>
      <c r="M1008" s="121">
        <f>IF($C1008="","",IF($D1008="Gider",$E1008,IF($L1008&lt;&gt;"",$L1008,$H1008)))</f>
        <v/>
      </c>
      <c r="N1008" s="121">
        <f>IF($C1008="","",IF($D1008="Gider",$H1008,$E1008))</f>
        <v/>
      </c>
      <c r="O1008" s="226">
        <f>IF($C1008="","",DATE(YEAR($C1008),MONTH($C1008),1))</f>
        <v/>
      </c>
      <c r="P1008" s="113">
        <f>IF($C1008="","",IF(AND($D1008="Gelir",$L1008&lt;&gt;"",$T1008=""),"TANIMSIZ BORÇLU",IF($T1008&lt;&gt;"",IF(OR($E1008="",$G1008&lt;=0),"EKSİK",IF($I1008="Evet","TAHAKKUK NAKİT OLAMAZ",IF($C1008&gt;TODAY(),"İLERİ TARİH","TAHAKKUK"))),IF(AND($D1008&lt;&gt;"",$E1008&lt;&gt;"",$G1008&gt;0,$H1008&lt;&gt;"",$I1008&lt;&gt;""),IF($C1008&gt;TODAY(),"İLERİ TARİH",IF(COUNTIF($W$7:$W$1206,$W1008)&gt;1,"MÜKERRER?",IF($AD1008&gt;0,"KAPALI DÖNEM",IF($I1008="Hayır","ÖDENECEK","UYGUN")))),"EKSİK"))))</f>
        <v/>
      </c>
      <c r="Q1008" s="6" t="n"/>
      <c r="R1008" s="6" t="n"/>
      <c r="S1008" s="3">
        <f>IF($L1008="","",UPPER(SUBSTITUTE(SUBSTITUTE(SUBSTITUTE(SUBSTITUTE(SUBSTITUTE(SUBSTITUTE(SUBSTITUTE(SUBSTITUTE(SUBSTITUTE(SUBSTITUTE(SUBSTITUTE(SUBSTITUTE(SUBSTITUTE(SUBSTITUTE(SUBSTITUTE(SUBSTITUTE(SUBSTITUTE(SUBSTITUTE(TRIM($L1008),"'",""),"İ","I"),"ı","I"),"i","I"),"Ş","S"),"ş","S"),"Ğ","G"),"ğ","G"),"Ü","U"),"ü","U"),"Ö","O"),"ö","O"),"Ç","C"),"ç","C"),".",""),",","")," ",""),"-","")))</f>
        <v/>
      </c>
      <c r="T1008" s="3">
        <f>IF(OR($C1008="",$D1008&lt;&gt;"Gelir",$L1008=""),"",IFERROR(INDEX(MUSTERILER!$B$7:$B$106,MATCH($S1008,MUSTERILER!$T$7:$T$106,0)),""))</f>
        <v/>
      </c>
      <c r="U1008" s="3">
        <f>IF($T1008="","",$T1008&amp;"|"&amp;COUNTIFS($T$7:$T1008,$T1008))</f>
        <v/>
      </c>
      <c r="V1008" s="3">
        <f>IF($T1008="",0,1)</f>
        <v/>
      </c>
      <c r="W1008" s="3">
        <f>IF($C1008="","",$D1008&amp;"|"&amp;$E1008&amp;"|"&amp;TEXT($C1008,"0")&amp;"|"&amp;TEXT($G1008,"0")&amp;"|"&amp;$J1008)</f>
        <v/>
      </c>
      <c r="X1008" s="3" t="n"/>
      <c r="Y1008" s="3" t="n"/>
      <c r="Z1008" s="3" t="n"/>
      <c r="AA1008" s="3" t="n"/>
      <c r="AB1008" s="3" t="n"/>
      <c r="AC1008" s="3" t="n"/>
      <c r="AD1008" s="3">
        <f>IF($C1008="",0,SUMPRODUCT((AY_SONU!$O$7:$O$42="Evet")*(AY_SONU!$B$7:$B$42=DATE(YEAR($C1008),MONTH($C1008),1))))</f>
        <v/>
      </c>
    </row>
    <row r="1009">
      <c r="A1009" s="6" t="n"/>
      <c r="B1009" s="113">
        <f>IF($C1009="","","GG"&amp;TEXT(ROW()-6,"00000"))</f>
        <v/>
      </c>
      <c r="C1009" s="220" t="n"/>
      <c r="D1009" s="108" t="n"/>
      <c r="E1009" s="109" t="n"/>
      <c r="F1009" s="109" t="n"/>
      <c r="G1009" s="221" t="n"/>
      <c r="H1009" s="108" t="n"/>
      <c r="I1009" s="108" t="n"/>
      <c r="J1009" s="109" t="n"/>
      <c r="K1009" s="109" t="n"/>
      <c r="L1009" s="108" t="n"/>
      <c r="M1009" s="121">
        <f>IF($C1009="","",IF($D1009="Gider",$E1009,IF($L1009&lt;&gt;"",$L1009,$H1009)))</f>
        <v/>
      </c>
      <c r="N1009" s="121">
        <f>IF($C1009="","",IF($D1009="Gider",$H1009,$E1009))</f>
        <v/>
      </c>
      <c r="O1009" s="226">
        <f>IF($C1009="","",DATE(YEAR($C1009),MONTH($C1009),1))</f>
        <v/>
      </c>
      <c r="P1009" s="113">
        <f>IF($C1009="","",IF(AND($D1009="Gelir",$L1009&lt;&gt;"",$T1009=""),"TANIMSIZ BORÇLU",IF($T1009&lt;&gt;"",IF(OR($E1009="",$G1009&lt;=0),"EKSİK",IF($I1009="Evet","TAHAKKUK NAKİT OLAMAZ",IF($C1009&gt;TODAY(),"İLERİ TARİH","TAHAKKUK"))),IF(AND($D1009&lt;&gt;"",$E1009&lt;&gt;"",$G1009&gt;0,$H1009&lt;&gt;"",$I1009&lt;&gt;""),IF($C1009&gt;TODAY(),"İLERİ TARİH",IF(COUNTIF($W$7:$W$1206,$W1009)&gt;1,"MÜKERRER?",IF($AD1009&gt;0,"KAPALI DÖNEM",IF($I1009="Hayır","ÖDENECEK","UYGUN")))),"EKSİK"))))</f>
        <v/>
      </c>
      <c r="Q1009" s="6" t="n"/>
      <c r="R1009" s="6" t="n"/>
      <c r="S1009" s="3">
        <f>IF($L1009="","",UPPER(SUBSTITUTE(SUBSTITUTE(SUBSTITUTE(SUBSTITUTE(SUBSTITUTE(SUBSTITUTE(SUBSTITUTE(SUBSTITUTE(SUBSTITUTE(SUBSTITUTE(SUBSTITUTE(SUBSTITUTE(SUBSTITUTE(SUBSTITUTE(SUBSTITUTE(SUBSTITUTE(SUBSTITUTE(SUBSTITUTE(TRIM($L1009),"'",""),"İ","I"),"ı","I"),"i","I"),"Ş","S"),"ş","S"),"Ğ","G"),"ğ","G"),"Ü","U"),"ü","U"),"Ö","O"),"ö","O"),"Ç","C"),"ç","C"),".",""),",","")," ",""),"-","")))</f>
        <v/>
      </c>
      <c r="T1009" s="3">
        <f>IF(OR($C1009="",$D1009&lt;&gt;"Gelir",$L1009=""),"",IFERROR(INDEX(MUSTERILER!$B$7:$B$106,MATCH($S1009,MUSTERILER!$T$7:$T$106,0)),""))</f>
        <v/>
      </c>
      <c r="U1009" s="3">
        <f>IF($T1009="","",$T1009&amp;"|"&amp;COUNTIFS($T$7:$T1009,$T1009))</f>
        <v/>
      </c>
      <c r="V1009" s="3">
        <f>IF($T1009="",0,1)</f>
        <v/>
      </c>
      <c r="W1009" s="3">
        <f>IF($C1009="","",$D1009&amp;"|"&amp;$E1009&amp;"|"&amp;TEXT($C1009,"0")&amp;"|"&amp;TEXT($G1009,"0")&amp;"|"&amp;$J1009)</f>
        <v/>
      </c>
      <c r="X1009" s="3" t="n"/>
      <c r="Y1009" s="3" t="n"/>
      <c r="Z1009" s="3" t="n"/>
      <c r="AA1009" s="3" t="n"/>
      <c r="AB1009" s="3" t="n"/>
      <c r="AC1009" s="3" t="n"/>
      <c r="AD1009" s="3">
        <f>IF($C1009="",0,SUMPRODUCT((AY_SONU!$O$7:$O$42="Evet")*(AY_SONU!$B$7:$B$42=DATE(YEAR($C1009),MONTH($C1009),1))))</f>
        <v/>
      </c>
    </row>
    <row r="1010">
      <c r="A1010" s="6" t="n"/>
      <c r="B1010" s="113">
        <f>IF($C1010="","","GG"&amp;TEXT(ROW()-6,"00000"))</f>
        <v/>
      </c>
      <c r="C1010" s="220" t="n"/>
      <c r="D1010" s="108" t="n"/>
      <c r="E1010" s="109" t="n"/>
      <c r="F1010" s="109" t="n"/>
      <c r="G1010" s="221" t="n"/>
      <c r="H1010" s="108" t="n"/>
      <c r="I1010" s="108" t="n"/>
      <c r="J1010" s="109" t="n"/>
      <c r="K1010" s="109" t="n"/>
      <c r="L1010" s="108" t="n"/>
      <c r="M1010" s="121">
        <f>IF($C1010="","",IF($D1010="Gider",$E1010,IF($L1010&lt;&gt;"",$L1010,$H1010)))</f>
        <v/>
      </c>
      <c r="N1010" s="121">
        <f>IF($C1010="","",IF($D1010="Gider",$H1010,$E1010))</f>
        <v/>
      </c>
      <c r="O1010" s="226">
        <f>IF($C1010="","",DATE(YEAR($C1010),MONTH($C1010),1))</f>
        <v/>
      </c>
      <c r="P1010" s="113">
        <f>IF($C1010="","",IF(AND($D1010="Gelir",$L1010&lt;&gt;"",$T1010=""),"TANIMSIZ BORÇLU",IF($T1010&lt;&gt;"",IF(OR($E1010="",$G1010&lt;=0),"EKSİK",IF($I1010="Evet","TAHAKKUK NAKİT OLAMAZ",IF($C1010&gt;TODAY(),"İLERİ TARİH","TAHAKKUK"))),IF(AND($D1010&lt;&gt;"",$E1010&lt;&gt;"",$G1010&gt;0,$H1010&lt;&gt;"",$I1010&lt;&gt;""),IF($C1010&gt;TODAY(),"İLERİ TARİH",IF(COUNTIF($W$7:$W$1206,$W1010)&gt;1,"MÜKERRER?",IF($AD1010&gt;0,"KAPALI DÖNEM",IF($I1010="Hayır","ÖDENECEK","UYGUN")))),"EKSİK"))))</f>
        <v/>
      </c>
      <c r="Q1010" s="6" t="n"/>
      <c r="R1010" s="6" t="n"/>
      <c r="S1010" s="3">
        <f>IF($L1010="","",UPPER(SUBSTITUTE(SUBSTITUTE(SUBSTITUTE(SUBSTITUTE(SUBSTITUTE(SUBSTITUTE(SUBSTITUTE(SUBSTITUTE(SUBSTITUTE(SUBSTITUTE(SUBSTITUTE(SUBSTITUTE(SUBSTITUTE(SUBSTITUTE(SUBSTITUTE(SUBSTITUTE(SUBSTITUTE(SUBSTITUTE(TRIM($L1010),"'",""),"İ","I"),"ı","I"),"i","I"),"Ş","S"),"ş","S"),"Ğ","G"),"ğ","G"),"Ü","U"),"ü","U"),"Ö","O"),"ö","O"),"Ç","C"),"ç","C"),".",""),",","")," ",""),"-","")))</f>
        <v/>
      </c>
      <c r="T1010" s="3">
        <f>IF(OR($C1010="",$D1010&lt;&gt;"Gelir",$L1010=""),"",IFERROR(INDEX(MUSTERILER!$B$7:$B$106,MATCH($S1010,MUSTERILER!$T$7:$T$106,0)),""))</f>
        <v/>
      </c>
      <c r="U1010" s="3">
        <f>IF($T1010="","",$T1010&amp;"|"&amp;COUNTIFS($T$7:$T1010,$T1010))</f>
        <v/>
      </c>
      <c r="V1010" s="3">
        <f>IF($T1010="",0,1)</f>
        <v/>
      </c>
      <c r="W1010" s="3">
        <f>IF($C1010="","",$D1010&amp;"|"&amp;$E1010&amp;"|"&amp;TEXT($C1010,"0")&amp;"|"&amp;TEXT($G1010,"0")&amp;"|"&amp;$J1010)</f>
        <v/>
      </c>
      <c r="X1010" s="3" t="n"/>
      <c r="Y1010" s="3" t="n"/>
      <c r="Z1010" s="3" t="n"/>
      <c r="AA1010" s="3" t="n"/>
      <c r="AB1010" s="3" t="n"/>
      <c r="AC1010" s="3" t="n"/>
      <c r="AD1010" s="3">
        <f>IF($C1010="",0,SUMPRODUCT((AY_SONU!$O$7:$O$42="Evet")*(AY_SONU!$B$7:$B$42=DATE(YEAR($C1010),MONTH($C1010),1))))</f>
        <v/>
      </c>
    </row>
    <row r="1011">
      <c r="A1011" s="6" t="n"/>
      <c r="B1011" s="113">
        <f>IF($C1011="","","GG"&amp;TEXT(ROW()-6,"00000"))</f>
        <v/>
      </c>
      <c r="C1011" s="220" t="n"/>
      <c r="D1011" s="108" t="n"/>
      <c r="E1011" s="109" t="n"/>
      <c r="F1011" s="109" t="n"/>
      <c r="G1011" s="221" t="n"/>
      <c r="H1011" s="108" t="n"/>
      <c r="I1011" s="108" t="n"/>
      <c r="J1011" s="109" t="n"/>
      <c r="K1011" s="109" t="n"/>
      <c r="L1011" s="108" t="n"/>
      <c r="M1011" s="121">
        <f>IF($C1011="","",IF($D1011="Gider",$E1011,IF($L1011&lt;&gt;"",$L1011,$H1011)))</f>
        <v/>
      </c>
      <c r="N1011" s="121">
        <f>IF($C1011="","",IF($D1011="Gider",$H1011,$E1011))</f>
        <v/>
      </c>
      <c r="O1011" s="226">
        <f>IF($C1011="","",DATE(YEAR($C1011),MONTH($C1011),1))</f>
        <v/>
      </c>
      <c r="P1011" s="113">
        <f>IF($C1011="","",IF(AND($D1011="Gelir",$L1011&lt;&gt;"",$T1011=""),"TANIMSIZ BORÇLU",IF($T1011&lt;&gt;"",IF(OR($E1011="",$G1011&lt;=0),"EKSİK",IF($I1011="Evet","TAHAKKUK NAKİT OLAMAZ",IF($C1011&gt;TODAY(),"İLERİ TARİH","TAHAKKUK"))),IF(AND($D1011&lt;&gt;"",$E1011&lt;&gt;"",$G1011&gt;0,$H1011&lt;&gt;"",$I1011&lt;&gt;""),IF($C1011&gt;TODAY(),"İLERİ TARİH",IF(COUNTIF($W$7:$W$1206,$W1011)&gt;1,"MÜKERRER?",IF($AD1011&gt;0,"KAPALI DÖNEM",IF($I1011="Hayır","ÖDENECEK","UYGUN")))),"EKSİK"))))</f>
        <v/>
      </c>
      <c r="Q1011" s="6" t="n"/>
      <c r="R1011" s="6" t="n"/>
      <c r="S1011" s="3">
        <f>IF($L1011="","",UPPER(SUBSTITUTE(SUBSTITUTE(SUBSTITUTE(SUBSTITUTE(SUBSTITUTE(SUBSTITUTE(SUBSTITUTE(SUBSTITUTE(SUBSTITUTE(SUBSTITUTE(SUBSTITUTE(SUBSTITUTE(SUBSTITUTE(SUBSTITUTE(SUBSTITUTE(SUBSTITUTE(SUBSTITUTE(SUBSTITUTE(TRIM($L1011),"'",""),"İ","I"),"ı","I"),"i","I"),"Ş","S"),"ş","S"),"Ğ","G"),"ğ","G"),"Ü","U"),"ü","U"),"Ö","O"),"ö","O"),"Ç","C"),"ç","C"),".",""),",","")," ",""),"-","")))</f>
        <v/>
      </c>
      <c r="T1011" s="3">
        <f>IF(OR($C1011="",$D1011&lt;&gt;"Gelir",$L1011=""),"",IFERROR(INDEX(MUSTERILER!$B$7:$B$106,MATCH($S1011,MUSTERILER!$T$7:$T$106,0)),""))</f>
        <v/>
      </c>
      <c r="U1011" s="3">
        <f>IF($T1011="","",$T1011&amp;"|"&amp;COUNTIFS($T$7:$T1011,$T1011))</f>
        <v/>
      </c>
      <c r="V1011" s="3">
        <f>IF($T1011="",0,1)</f>
        <v/>
      </c>
      <c r="W1011" s="3">
        <f>IF($C1011="","",$D1011&amp;"|"&amp;$E1011&amp;"|"&amp;TEXT($C1011,"0")&amp;"|"&amp;TEXT($G1011,"0")&amp;"|"&amp;$J1011)</f>
        <v/>
      </c>
      <c r="X1011" s="3" t="n"/>
      <c r="Y1011" s="3" t="n"/>
      <c r="Z1011" s="3" t="n"/>
      <c r="AA1011" s="3" t="n"/>
      <c r="AB1011" s="3" t="n"/>
      <c r="AC1011" s="3" t="n"/>
      <c r="AD1011" s="3">
        <f>IF($C1011="",0,SUMPRODUCT((AY_SONU!$O$7:$O$42="Evet")*(AY_SONU!$B$7:$B$42=DATE(YEAR($C1011),MONTH($C1011),1))))</f>
        <v/>
      </c>
    </row>
    <row r="1012">
      <c r="A1012" s="6" t="n"/>
      <c r="B1012" s="113">
        <f>IF($C1012="","","GG"&amp;TEXT(ROW()-6,"00000"))</f>
        <v/>
      </c>
      <c r="C1012" s="220" t="n"/>
      <c r="D1012" s="108" t="n"/>
      <c r="E1012" s="109" t="n"/>
      <c r="F1012" s="109" t="n"/>
      <c r="G1012" s="221" t="n"/>
      <c r="H1012" s="108" t="n"/>
      <c r="I1012" s="108" t="n"/>
      <c r="J1012" s="109" t="n"/>
      <c r="K1012" s="109" t="n"/>
      <c r="L1012" s="108" t="n"/>
      <c r="M1012" s="121">
        <f>IF($C1012="","",IF($D1012="Gider",$E1012,IF($L1012&lt;&gt;"",$L1012,$H1012)))</f>
        <v/>
      </c>
      <c r="N1012" s="121">
        <f>IF($C1012="","",IF($D1012="Gider",$H1012,$E1012))</f>
        <v/>
      </c>
      <c r="O1012" s="226">
        <f>IF($C1012="","",DATE(YEAR($C1012),MONTH($C1012),1))</f>
        <v/>
      </c>
      <c r="P1012" s="113">
        <f>IF($C1012="","",IF(AND($D1012="Gelir",$L1012&lt;&gt;"",$T1012=""),"TANIMSIZ BORÇLU",IF($T1012&lt;&gt;"",IF(OR($E1012="",$G1012&lt;=0),"EKSİK",IF($I1012="Evet","TAHAKKUK NAKİT OLAMAZ",IF($C1012&gt;TODAY(),"İLERİ TARİH","TAHAKKUK"))),IF(AND($D1012&lt;&gt;"",$E1012&lt;&gt;"",$G1012&gt;0,$H1012&lt;&gt;"",$I1012&lt;&gt;""),IF($C1012&gt;TODAY(),"İLERİ TARİH",IF(COUNTIF($W$7:$W$1206,$W1012)&gt;1,"MÜKERRER?",IF($AD1012&gt;0,"KAPALI DÖNEM",IF($I1012="Hayır","ÖDENECEK","UYGUN")))),"EKSİK"))))</f>
        <v/>
      </c>
      <c r="Q1012" s="6" t="n"/>
      <c r="R1012" s="6" t="n"/>
      <c r="S1012" s="3">
        <f>IF($L1012="","",UPPER(SUBSTITUTE(SUBSTITUTE(SUBSTITUTE(SUBSTITUTE(SUBSTITUTE(SUBSTITUTE(SUBSTITUTE(SUBSTITUTE(SUBSTITUTE(SUBSTITUTE(SUBSTITUTE(SUBSTITUTE(SUBSTITUTE(SUBSTITUTE(SUBSTITUTE(SUBSTITUTE(SUBSTITUTE(SUBSTITUTE(TRIM($L1012),"'",""),"İ","I"),"ı","I"),"i","I"),"Ş","S"),"ş","S"),"Ğ","G"),"ğ","G"),"Ü","U"),"ü","U"),"Ö","O"),"ö","O"),"Ç","C"),"ç","C"),".",""),",","")," ",""),"-","")))</f>
        <v/>
      </c>
      <c r="T1012" s="3">
        <f>IF(OR($C1012="",$D1012&lt;&gt;"Gelir",$L1012=""),"",IFERROR(INDEX(MUSTERILER!$B$7:$B$106,MATCH($S1012,MUSTERILER!$T$7:$T$106,0)),""))</f>
        <v/>
      </c>
      <c r="U1012" s="3">
        <f>IF($T1012="","",$T1012&amp;"|"&amp;COUNTIFS($T$7:$T1012,$T1012))</f>
        <v/>
      </c>
      <c r="V1012" s="3">
        <f>IF($T1012="",0,1)</f>
        <v/>
      </c>
      <c r="W1012" s="3">
        <f>IF($C1012="","",$D1012&amp;"|"&amp;$E1012&amp;"|"&amp;TEXT($C1012,"0")&amp;"|"&amp;TEXT($G1012,"0")&amp;"|"&amp;$J1012)</f>
        <v/>
      </c>
      <c r="X1012" s="3" t="n"/>
      <c r="Y1012" s="3" t="n"/>
      <c r="Z1012" s="3" t="n"/>
      <c r="AA1012" s="3" t="n"/>
      <c r="AB1012" s="3" t="n"/>
      <c r="AC1012" s="3" t="n"/>
      <c r="AD1012" s="3">
        <f>IF($C1012="",0,SUMPRODUCT((AY_SONU!$O$7:$O$42="Evet")*(AY_SONU!$B$7:$B$42=DATE(YEAR($C1012),MONTH($C1012),1))))</f>
        <v/>
      </c>
    </row>
    <row r="1013">
      <c r="A1013" s="6" t="n"/>
      <c r="B1013" s="113">
        <f>IF($C1013="","","GG"&amp;TEXT(ROW()-6,"00000"))</f>
        <v/>
      </c>
      <c r="C1013" s="220" t="n"/>
      <c r="D1013" s="108" t="n"/>
      <c r="E1013" s="109" t="n"/>
      <c r="F1013" s="109" t="n"/>
      <c r="G1013" s="221" t="n"/>
      <c r="H1013" s="108" t="n"/>
      <c r="I1013" s="108" t="n"/>
      <c r="J1013" s="109" t="n"/>
      <c r="K1013" s="109" t="n"/>
      <c r="L1013" s="108" t="n"/>
      <c r="M1013" s="121">
        <f>IF($C1013="","",IF($D1013="Gider",$E1013,IF($L1013&lt;&gt;"",$L1013,$H1013)))</f>
        <v/>
      </c>
      <c r="N1013" s="121">
        <f>IF($C1013="","",IF($D1013="Gider",$H1013,$E1013))</f>
        <v/>
      </c>
      <c r="O1013" s="226">
        <f>IF($C1013="","",DATE(YEAR($C1013),MONTH($C1013),1))</f>
        <v/>
      </c>
      <c r="P1013" s="113">
        <f>IF($C1013="","",IF(AND($D1013="Gelir",$L1013&lt;&gt;"",$T1013=""),"TANIMSIZ BORÇLU",IF($T1013&lt;&gt;"",IF(OR($E1013="",$G1013&lt;=0),"EKSİK",IF($I1013="Evet","TAHAKKUK NAKİT OLAMAZ",IF($C1013&gt;TODAY(),"İLERİ TARİH","TAHAKKUK"))),IF(AND($D1013&lt;&gt;"",$E1013&lt;&gt;"",$G1013&gt;0,$H1013&lt;&gt;"",$I1013&lt;&gt;""),IF($C1013&gt;TODAY(),"İLERİ TARİH",IF(COUNTIF($W$7:$W$1206,$W1013)&gt;1,"MÜKERRER?",IF($AD1013&gt;0,"KAPALI DÖNEM",IF($I1013="Hayır","ÖDENECEK","UYGUN")))),"EKSİK"))))</f>
        <v/>
      </c>
      <c r="Q1013" s="6" t="n"/>
      <c r="R1013" s="6" t="n"/>
      <c r="S1013" s="3">
        <f>IF($L1013="","",UPPER(SUBSTITUTE(SUBSTITUTE(SUBSTITUTE(SUBSTITUTE(SUBSTITUTE(SUBSTITUTE(SUBSTITUTE(SUBSTITUTE(SUBSTITUTE(SUBSTITUTE(SUBSTITUTE(SUBSTITUTE(SUBSTITUTE(SUBSTITUTE(SUBSTITUTE(SUBSTITUTE(SUBSTITUTE(SUBSTITUTE(TRIM($L1013),"'",""),"İ","I"),"ı","I"),"i","I"),"Ş","S"),"ş","S"),"Ğ","G"),"ğ","G"),"Ü","U"),"ü","U"),"Ö","O"),"ö","O"),"Ç","C"),"ç","C"),".",""),",","")," ",""),"-","")))</f>
        <v/>
      </c>
      <c r="T1013" s="3">
        <f>IF(OR($C1013="",$D1013&lt;&gt;"Gelir",$L1013=""),"",IFERROR(INDEX(MUSTERILER!$B$7:$B$106,MATCH($S1013,MUSTERILER!$T$7:$T$106,0)),""))</f>
        <v/>
      </c>
      <c r="U1013" s="3">
        <f>IF($T1013="","",$T1013&amp;"|"&amp;COUNTIFS($T$7:$T1013,$T1013))</f>
        <v/>
      </c>
      <c r="V1013" s="3">
        <f>IF($T1013="",0,1)</f>
        <v/>
      </c>
      <c r="W1013" s="3">
        <f>IF($C1013="","",$D1013&amp;"|"&amp;$E1013&amp;"|"&amp;TEXT($C1013,"0")&amp;"|"&amp;TEXT($G1013,"0")&amp;"|"&amp;$J1013)</f>
        <v/>
      </c>
      <c r="X1013" s="3" t="n"/>
      <c r="Y1013" s="3" t="n"/>
      <c r="Z1013" s="3" t="n"/>
      <c r="AA1013" s="3" t="n"/>
      <c r="AB1013" s="3" t="n"/>
      <c r="AC1013" s="3" t="n"/>
      <c r="AD1013" s="3">
        <f>IF($C1013="",0,SUMPRODUCT((AY_SONU!$O$7:$O$42="Evet")*(AY_SONU!$B$7:$B$42=DATE(YEAR($C1013),MONTH($C1013),1))))</f>
        <v/>
      </c>
    </row>
    <row r="1014">
      <c r="A1014" s="6" t="n"/>
      <c r="B1014" s="113">
        <f>IF($C1014="","","GG"&amp;TEXT(ROW()-6,"00000"))</f>
        <v/>
      </c>
      <c r="C1014" s="220" t="n"/>
      <c r="D1014" s="108" t="n"/>
      <c r="E1014" s="109" t="n"/>
      <c r="F1014" s="109" t="n"/>
      <c r="G1014" s="221" t="n"/>
      <c r="H1014" s="108" t="n"/>
      <c r="I1014" s="108" t="n"/>
      <c r="J1014" s="109" t="n"/>
      <c r="K1014" s="109" t="n"/>
      <c r="L1014" s="108" t="n"/>
      <c r="M1014" s="121">
        <f>IF($C1014="","",IF($D1014="Gider",$E1014,IF($L1014&lt;&gt;"",$L1014,$H1014)))</f>
        <v/>
      </c>
      <c r="N1014" s="121">
        <f>IF($C1014="","",IF($D1014="Gider",$H1014,$E1014))</f>
        <v/>
      </c>
      <c r="O1014" s="226">
        <f>IF($C1014="","",DATE(YEAR($C1014),MONTH($C1014),1))</f>
        <v/>
      </c>
      <c r="P1014" s="113">
        <f>IF($C1014="","",IF(AND($D1014="Gelir",$L1014&lt;&gt;"",$T1014=""),"TANIMSIZ BORÇLU",IF($T1014&lt;&gt;"",IF(OR($E1014="",$G1014&lt;=0),"EKSİK",IF($I1014="Evet","TAHAKKUK NAKİT OLAMAZ",IF($C1014&gt;TODAY(),"İLERİ TARİH","TAHAKKUK"))),IF(AND($D1014&lt;&gt;"",$E1014&lt;&gt;"",$G1014&gt;0,$H1014&lt;&gt;"",$I1014&lt;&gt;""),IF($C1014&gt;TODAY(),"İLERİ TARİH",IF(COUNTIF($W$7:$W$1206,$W1014)&gt;1,"MÜKERRER?",IF($AD1014&gt;0,"KAPALI DÖNEM",IF($I1014="Hayır","ÖDENECEK","UYGUN")))),"EKSİK"))))</f>
        <v/>
      </c>
      <c r="Q1014" s="6" t="n"/>
      <c r="R1014" s="6" t="n"/>
      <c r="S1014" s="3">
        <f>IF($L1014="","",UPPER(SUBSTITUTE(SUBSTITUTE(SUBSTITUTE(SUBSTITUTE(SUBSTITUTE(SUBSTITUTE(SUBSTITUTE(SUBSTITUTE(SUBSTITUTE(SUBSTITUTE(SUBSTITUTE(SUBSTITUTE(SUBSTITUTE(SUBSTITUTE(SUBSTITUTE(SUBSTITUTE(SUBSTITUTE(SUBSTITUTE(TRIM($L1014),"'",""),"İ","I"),"ı","I"),"i","I"),"Ş","S"),"ş","S"),"Ğ","G"),"ğ","G"),"Ü","U"),"ü","U"),"Ö","O"),"ö","O"),"Ç","C"),"ç","C"),".",""),",","")," ",""),"-","")))</f>
        <v/>
      </c>
      <c r="T1014" s="3">
        <f>IF(OR($C1014="",$D1014&lt;&gt;"Gelir",$L1014=""),"",IFERROR(INDEX(MUSTERILER!$B$7:$B$106,MATCH($S1014,MUSTERILER!$T$7:$T$106,0)),""))</f>
        <v/>
      </c>
      <c r="U1014" s="3">
        <f>IF($T1014="","",$T1014&amp;"|"&amp;COUNTIFS($T$7:$T1014,$T1014))</f>
        <v/>
      </c>
      <c r="V1014" s="3">
        <f>IF($T1014="",0,1)</f>
        <v/>
      </c>
      <c r="W1014" s="3">
        <f>IF($C1014="","",$D1014&amp;"|"&amp;$E1014&amp;"|"&amp;TEXT($C1014,"0")&amp;"|"&amp;TEXT($G1014,"0")&amp;"|"&amp;$J1014)</f>
        <v/>
      </c>
      <c r="X1014" s="3" t="n"/>
      <c r="Y1014" s="3" t="n"/>
      <c r="Z1014" s="3" t="n"/>
      <c r="AA1014" s="3" t="n"/>
      <c r="AB1014" s="3" t="n"/>
      <c r="AC1014" s="3" t="n"/>
      <c r="AD1014" s="3">
        <f>IF($C1014="",0,SUMPRODUCT((AY_SONU!$O$7:$O$42="Evet")*(AY_SONU!$B$7:$B$42=DATE(YEAR($C1014),MONTH($C1014),1))))</f>
        <v/>
      </c>
    </row>
    <row r="1015">
      <c r="A1015" s="6" t="n"/>
      <c r="B1015" s="113">
        <f>IF($C1015="","","GG"&amp;TEXT(ROW()-6,"00000"))</f>
        <v/>
      </c>
      <c r="C1015" s="220" t="n"/>
      <c r="D1015" s="108" t="n"/>
      <c r="E1015" s="109" t="n"/>
      <c r="F1015" s="109" t="n"/>
      <c r="G1015" s="221" t="n"/>
      <c r="H1015" s="108" t="n"/>
      <c r="I1015" s="108" t="n"/>
      <c r="J1015" s="109" t="n"/>
      <c r="K1015" s="109" t="n"/>
      <c r="L1015" s="108" t="n"/>
      <c r="M1015" s="121">
        <f>IF($C1015="","",IF($D1015="Gider",$E1015,IF($L1015&lt;&gt;"",$L1015,$H1015)))</f>
        <v/>
      </c>
      <c r="N1015" s="121">
        <f>IF($C1015="","",IF($D1015="Gider",$H1015,$E1015))</f>
        <v/>
      </c>
      <c r="O1015" s="226">
        <f>IF($C1015="","",DATE(YEAR($C1015),MONTH($C1015),1))</f>
        <v/>
      </c>
      <c r="P1015" s="113">
        <f>IF($C1015="","",IF(AND($D1015="Gelir",$L1015&lt;&gt;"",$T1015=""),"TANIMSIZ BORÇLU",IF($T1015&lt;&gt;"",IF(OR($E1015="",$G1015&lt;=0),"EKSİK",IF($I1015="Evet","TAHAKKUK NAKİT OLAMAZ",IF($C1015&gt;TODAY(),"İLERİ TARİH","TAHAKKUK"))),IF(AND($D1015&lt;&gt;"",$E1015&lt;&gt;"",$G1015&gt;0,$H1015&lt;&gt;"",$I1015&lt;&gt;""),IF($C1015&gt;TODAY(),"İLERİ TARİH",IF(COUNTIF($W$7:$W$1206,$W1015)&gt;1,"MÜKERRER?",IF($AD1015&gt;0,"KAPALI DÖNEM",IF($I1015="Hayır","ÖDENECEK","UYGUN")))),"EKSİK"))))</f>
        <v/>
      </c>
      <c r="Q1015" s="6" t="n"/>
      <c r="R1015" s="6" t="n"/>
      <c r="S1015" s="3">
        <f>IF($L1015="","",UPPER(SUBSTITUTE(SUBSTITUTE(SUBSTITUTE(SUBSTITUTE(SUBSTITUTE(SUBSTITUTE(SUBSTITUTE(SUBSTITUTE(SUBSTITUTE(SUBSTITUTE(SUBSTITUTE(SUBSTITUTE(SUBSTITUTE(SUBSTITUTE(SUBSTITUTE(SUBSTITUTE(SUBSTITUTE(SUBSTITUTE(TRIM($L1015),"'",""),"İ","I"),"ı","I"),"i","I"),"Ş","S"),"ş","S"),"Ğ","G"),"ğ","G"),"Ü","U"),"ü","U"),"Ö","O"),"ö","O"),"Ç","C"),"ç","C"),".",""),",","")," ",""),"-","")))</f>
        <v/>
      </c>
      <c r="T1015" s="3">
        <f>IF(OR($C1015="",$D1015&lt;&gt;"Gelir",$L1015=""),"",IFERROR(INDEX(MUSTERILER!$B$7:$B$106,MATCH($S1015,MUSTERILER!$T$7:$T$106,0)),""))</f>
        <v/>
      </c>
      <c r="U1015" s="3">
        <f>IF($T1015="","",$T1015&amp;"|"&amp;COUNTIFS($T$7:$T1015,$T1015))</f>
        <v/>
      </c>
      <c r="V1015" s="3">
        <f>IF($T1015="",0,1)</f>
        <v/>
      </c>
      <c r="W1015" s="3">
        <f>IF($C1015="","",$D1015&amp;"|"&amp;$E1015&amp;"|"&amp;TEXT($C1015,"0")&amp;"|"&amp;TEXT($G1015,"0")&amp;"|"&amp;$J1015)</f>
        <v/>
      </c>
      <c r="X1015" s="3" t="n"/>
      <c r="Y1015" s="3" t="n"/>
      <c r="Z1015" s="3" t="n"/>
      <c r="AA1015" s="3" t="n"/>
      <c r="AB1015" s="3" t="n"/>
      <c r="AC1015" s="3" t="n"/>
      <c r="AD1015" s="3">
        <f>IF($C1015="",0,SUMPRODUCT((AY_SONU!$O$7:$O$42="Evet")*(AY_SONU!$B$7:$B$42=DATE(YEAR($C1015),MONTH($C1015),1))))</f>
        <v/>
      </c>
    </row>
    <row r="1016">
      <c r="A1016" s="6" t="n"/>
      <c r="B1016" s="113">
        <f>IF($C1016="","","GG"&amp;TEXT(ROW()-6,"00000"))</f>
        <v/>
      </c>
      <c r="C1016" s="220" t="n"/>
      <c r="D1016" s="108" t="n"/>
      <c r="E1016" s="109" t="n"/>
      <c r="F1016" s="109" t="n"/>
      <c r="G1016" s="221" t="n"/>
      <c r="H1016" s="108" t="n"/>
      <c r="I1016" s="108" t="n"/>
      <c r="J1016" s="109" t="n"/>
      <c r="K1016" s="109" t="n"/>
      <c r="L1016" s="108" t="n"/>
      <c r="M1016" s="121">
        <f>IF($C1016="","",IF($D1016="Gider",$E1016,IF($L1016&lt;&gt;"",$L1016,$H1016)))</f>
        <v/>
      </c>
      <c r="N1016" s="121">
        <f>IF($C1016="","",IF($D1016="Gider",$H1016,$E1016))</f>
        <v/>
      </c>
      <c r="O1016" s="226">
        <f>IF($C1016="","",DATE(YEAR($C1016),MONTH($C1016),1))</f>
        <v/>
      </c>
      <c r="P1016" s="113">
        <f>IF($C1016="","",IF(AND($D1016="Gelir",$L1016&lt;&gt;"",$T1016=""),"TANIMSIZ BORÇLU",IF($T1016&lt;&gt;"",IF(OR($E1016="",$G1016&lt;=0),"EKSİK",IF($I1016="Evet","TAHAKKUK NAKİT OLAMAZ",IF($C1016&gt;TODAY(),"İLERİ TARİH","TAHAKKUK"))),IF(AND($D1016&lt;&gt;"",$E1016&lt;&gt;"",$G1016&gt;0,$H1016&lt;&gt;"",$I1016&lt;&gt;""),IF($C1016&gt;TODAY(),"İLERİ TARİH",IF(COUNTIF($W$7:$W$1206,$W1016)&gt;1,"MÜKERRER?",IF($AD1016&gt;0,"KAPALI DÖNEM",IF($I1016="Hayır","ÖDENECEK","UYGUN")))),"EKSİK"))))</f>
        <v/>
      </c>
      <c r="Q1016" s="6" t="n"/>
      <c r="R1016" s="6" t="n"/>
      <c r="S1016" s="3">
        <f>IF($L1016="","",UPPER(SUBSTITUTE(SUBSTITUTE(SUBSTITUTE(SUBSTITUTE(SUBSTITUTE(SUBSTITUTE(SUBSTITUTE(SUBSTITUTE(SUBSTITUTE(SUBSTITUTE(SUBSTITUTE(SUBSTITUTE(SUBSTITUTE(SUBSTITUTE(SUBSTITUTE(SUBSTITUTE(SUBSTITUTE(SUBSTITUTE(TRIM($L1016),"'",""),"İ","I"),"ı","I"),"i","I"),"Ş","S"),"ş","S"),"Ğ","G"),"ğ","G"),"Ü","U"),"ü","U"),"Ö","O"),"ö","O"),"Ç","C"),"ç","C"),".",""),",","")," ",""),"-","")))</f>
        <v/>
      </c>
      <c r="T1016" s="3">
        <f>IF(OR($C1016="",$D1016&lt;&gt;"Gelir",$L1016=""),"",IFERROR(INDEX(MUSTERILER!$B$7:$B$106,MATCH($S1016,MUSTERILER!$T$7:$T$106,0)),""))</f>
        <v/>
      </c>
      <c r="U1016" s="3">
        <f>IF($T1016="","",$T1016&amp;"|"&amp;COUNTIFS($T$7:$T1016,$T1016))</f>
        <v/>
      </c>
      <c r="V1016" s="3">
        <f>IF($T1016="",0,1)</f>
        <v/>
      </c>
      <c r="W1016" s="3">
        <f>IF($C1016="","",$D1016&amp;"|"&amp;$E1016&amp;"|"&amp;TEXT($C1016,"0")&amp;"|"&amp;TEXT($G1016,"0")&amp;"|"&amp;$J1016)</f>
        <v/>
      </c>
      <c r="X1016" s="3" t="n"/>
      <c r="Y1016" s="3" t="n"/>
      <c r="Z1016" s="3" t="n"/>
      <c r="AA1016" s="3" t="n"/>
      <c r="AB1016" s="3" t="n"/>
      <c r="AC1016" s="3" t="n"/>
      <c r="AD1016" s="3">
        <f>IF($C1016="",0,SUMPRODUCT((AY_SONU!$O$7:$O$42="Evet")*(AY_SONU!$B$7:$B$42=DATE(YEAR($C1016),MONTH($C1016),1))))</f>
        <v/>
      </c>
    </row>
    <row r="1017">
      <c r="A1017" s="6" t="n"/>
      <c r="B1017" s="113">
        <f>IF($C1017="","","GG"&amp;TEXT(ROW()-6,"00000"))</f>
        <v/>
      </c>
      <c r="C1017" s="220" t="n"/>
      <c r="D1017" s="108" t="n"/>
      <c r="E1017" s="109" t="n"/>
      <c r="F1017" s="109" t="n"/>
      <c r="G1017" s="221" t="n"/>
      <c r="H1017" s="108" t="n"/>
      <c r="I1017" s="108" t="n"/>
      <c r="J1017" s="109" t="n"/>
      <c r="K1017" s="109" t="n"/>
      <c r="L1017" s="108" t="n"/>
      <c r="M1017" s="121">
        <f>IF($C1017="","",IF($D1017="Gider",$E1017,IF($L1017&lt;&gt;"",$L1017,$H1017)))</f>
        <v/>
      </c>
      <c r="N1017" s="121">
        <f>IF($C1017="","",IF($D1017="Gider",$H1017,$E1017))</f>
        <v/>
      </c>
      <c r="O1017" s="226">
        <f>IF($C1017="","",DATE(YEAR($C1017),MONTH($C1017),1))</f>
        <v/>
      </c>
      <c r="P1017" s="113">
        <f>IF($C1017="","",IF(AND($D1017="Gelir",$L1017&lt;&gt;"",$T1017=""),"TANIMSIZ BORÇLU",IF($T1017&lt;&gt;"",IF(OR($E1017="",$G1017&lt;=0),"EKSİK",IF($I1017="Evet","TAHAKKUK NAKİT OLAMAZ",IF($C1017&gt;TODAY(),"İLERİ TARİH","TAHAKKUK"))),IF(AND($D1017&lt;&gt;"",$E1017&lt;&gt;"",$G1017&gt;0,$H1017&lt;&gt;"",$I1017&lt;&gt;""),IF($C1017&gt;TODAY(),"İLERİ TARİH",IF(COUNTIF($W$7:$W$1206,$W1017)&gt;1,"MÜKERRER?",IF($AD1017&gt;0,"KAPALI DÖNEM",IF($I1017="Hayır","ÖDENECEK","UYGUN")))),"EKSİK"))))</f>
        <v/>
      </c>
      <c r="Q1017" s="6" t="n"/>
      <c r="R1017" s="6" t="n"/>
      <c r="S1017" s="3">
        <f>IF($L1017="","",UPPER(SUBSTITUTE(SUBSTITUTE(SUBSTITUTE(SUBSTITUTE(SUBSTITUTE(SUBSTITUTE(SUBSTITUTE(SUBSTITUTE(SUBSTITUTE(SUBSTITUTE(SUBSTITUTE(SUBSTITUTE(SUBSTITUTE(SUBSTITUTE(SUBSTITUTE(SUBSTITUTE(SUBSTITUTE(SUBSTITUTE(TRIM($L1017),"'",""),"İ","I"),"ı","I"),"i","I"),"Ş","S"),"ş","S"),"Ğ","G"),"ğ","G"),"Ü","U"),"ü","U"),"Ö","O"),"ö","O"),"Ç","C"),"ç","C"),".",""),",","")," ",""),"-","")))</f>
        <v/>
      </c>
      <c r="T1017" s="3">
        <f>IF(OR($C1017="",$D1017&lt;&gt;"Gelir",$L1017=""),"",IFERROR(INDEX(MUSTERILER!$B$7:$B$106,MATCH($S1017,MUSTERILER!$T$7:$T$106,0)),""))</f>
        <v/>
      </c>
      <c r="U1017" s="3">
        <f>IF($T1017="","",$T1017&amp;"|"&amp;COUNTIFS($T$7:$T1017,$T1017))</f>
        <v/>
      </c>
      <c r="V1017" s="3">
        <f>IF($T1017="",0,1)</f>
        <v/>
      </c>
      <c r="W1017" s="3">
        <f>IF($C1017="","",$D1017&amp;"|"&amp;$E1017&amp;"|"&amp;TEXT($C1017,"0")&amp;"|"&amp;TEXT($G1017,"0")&amp;"|"&amp;$J1017)</f>
        <v/>
      </c>
      <c r="X1017" s="3" t="n"/>
      <c r="Y1017" s="3" t="n"/>
      <c r="Z1017" s="3" t="n"/>
      <c r="AA1017" s="3" t="n"/>
      <c r="AB1017" s="3" t="n"/>
      <c r="AC1017" s="3" t="n"/>
      <c r="AD1017" s="3">
        <f>IF($C1017="",0,SUMPRODUCT((AY_SONU!$O$7:$O$42="Evet")*(AY_SONU!$B$7:$B$42=DATE(YEAR($C1017),MONTH($C1017),1))))</f>
        <v/>
      </c>
    </row>
    <row r="1018">
      <c r="A1018" s="6" t="n"/>
      <c r="B1018" s="113">
        <f>IF($C1018="","","GG"&amp;TEXT(ROW()-6,"00000"))</f>
        <v/>
      </c>
      <c r="C1018" s="220" t="n"/>
      <c r="D1018" s="108" t="n"/>
      <c r="E1018" s="109" t="n"/>
      <c r="F1018" s="109" t="n"/>
      <c r="G1018" s="221" t="n"/>
      <c r="H1018" s="108" t="n"/>
      <c r="I1018" s="108" t="n"/>
      <c r="J1018" s="109" t="n"/>
      <c r="K1018" s="109" t="n"/>
      <c r="L1018" s="108" t="n"/>
      <c r="M1018" s="121">
        <f>IF($C1018="","",IF($D1018="Gider",$E1018,IF($L1018&lt;&gt;"",$L1018,$H1018)))</f>
        <v/>
      </c>
      <c r="N1018" s="121">
        <f>IF($C1018="","",IF($D1018="Gider",$H1018,$E1018))</f>
        <v/>
      </c>
      <c r="O1018" s="226">
        <f>IF($C1018="","",DATE(YEAR($C1018),MONTH($C1018),1))</f>
        <v/>
      </c>
      <c r="P1018" s="113">
        <f>IF($C1018="","",IF(AND($D1018="Gelir",$L1018&lt;&gt;"",$T1018=""),"TANIMSIZ BORÇLU",IF($T1018&lt;&gt;"",IF(OR($E1018="",$G1018&lt;=0),"EKSİK",IF($I1018="Evet","TAHAKKUK NAKİT OLAMAZ",IF($C1018&gt;TODAY(),"İLERİ TARİH","TAHAKKUK"))),IF(AND($D1018&lt;&gt;"",$E1018&lt;&gt;"",$G1018&gt;0,$H1018&lt;&gt;"",$I1018&lt;&gt;""),IF($C1018&gt;TODAY(),"İLERİ TARİH",IF(COUNTIF($W$7:$W$1206,$W1018)&gt;1,"MÜKERRER?",IF($AD1018&gt;0,"KAPALI DÖNEM",IF($I1018="Hayır","ÖDENECEK","UYGUN")))),"EKSİK"))))</f>
        <v/>
      </c>
      <c r="Q1018" s="6" t="n"/>
      <c r="R1018" s="6" t="n"/>
      <c r="S1018" s="3">
        <f>IF($L1018="","",UPPER(SUBSTITUTE(SUBSTITUTE(SUBSTITUTE(SUBSTITUTE(SUBSTITUTE(SUBSTITUTE(SUBSTITUTE(SUBSTITUTE(SUBSTITUTE(SUBSTITUTE(SUBSTITUTE(SUBSTITUTE(SUBSTITUTE(SUBSTITUTE(SUBSTITUTE(SUBSTITUTE(SUBSTITUTE(SUBSTITUTE(TRIM($L1018),"'",""),"İ","I"),"ı","I"),"i","I"),"Ş","S"),"ş","S"),"Ğ","G"),"ğ","G"),"Ü","U"),"ü","U"),"Ö","O"),"ö","O"),"Ç","C"),"ç","C"),".",""),",","")," ",""),"-","")))</f>
        <v/>
      </c>
      <c r="T1018" s="3">
        <f>IF(OR($C1018="",$D1018&lt;&gt;"Gelir",$L1018=""),"",IFERROR(INDEX(MUSTERILER!$B$7:$B$106,MATCH($S1018,MUSTERILER!$T$7:$T$106,0)),""))</f>
        <v/>
      </c>
      <c r="U1018" s="3">
        <f>IF($T1018="","",$T1018&amp;"|"&amp;COUNTIFS($T$7:$T1018,$T1018))</f>
        <v/>
      </c>
      <c r="V1018" s="3">
        <f>IF($T1018="",0,1)</f>
        <v/>
      </c>
      <c r="W1018" s="3">
        <f>IF($C1018="","",$D1018&amp;"|"&amp;$E1018&amp;"|"&amp;TEXT($C1018,"0")&amp;"|"&amp;TEXT($G1018,"0")&amp;"|"&amp;$J1018)</f>
        <v/>
      </c>
      <c r="X1018" s="3" t="n"/>
      <c r="Y1018" s="3" t="n"/>
      <c r="Z1018" s="3" t="n"/>
      <c r="AA1018" s="3" t="n"/>
      <c r="AB1018" s="3" t="n"/>
      <c r="AC1018" s="3" t="n"/>
      <c r="AD1018" s="3">
        <f>IF($C1018="",0,SUMPRODUCT((AY_SONU!$O$7:$O$42="Evet")*(AY_SONU!$B$7:$B$42=DATE(YEAR($C1018),MONTH($C1018),1))))</f>
        <v/>
      </c>
    </row>
    <row r="1019">
      <c r="A1019" s="6" t="n"/>
      <c r="B1019" s="113">
        <f>IF($C1019="","","GG"&amp;TEXT(ROW()-6,"00000"))</f>
        <v/>
      </c>
      <c r="C1019" s="220" t="n"/>
      <c r="D1019" s="108" t="n"/>
      <c r="E1019" s="109" t="n"/>
      <c r="F1019" s="109" t="n"/>
      <c r="G1019" s="221" t="n"/>
      <c r="H1019" s="108" t="n"/>
      <c r="I1019" s="108" t="n"/>
      <c r="J1019" s="109" t="n"/>
      <c r="K1019" s="109" t="n"/>
      <c r="L1019" s="108" t="n"/>
      <c r="M1019" s="121">
        <f>IF($C1019="","",IF($D1019="Gider",$E1019,IF($L1019&lt;&gt;"",$L1019,$H1019)))</f>
        <v/>
      </c>
      <c r="N1019" s="121">
        <f>IF($C1019="","",IF($D1019="Gider",$H1019,$E1019))</f>
        <v/>
      </c>
      <c r="O1019" s="226">
        <f>IF($C1019="","",DATE(YEAR($C1019),MONTH($C1019),1))</f>
        <v/>
      </c>
      <c r="P1019" s="113">
        <f>IF($C1019="","",IF(AND($D1019="Gelir",$L1019&lt;&gt;"",$T1019=""),"TANIMSIZ BORÇLU",IF($T1019&lt;&gt;"",IF(OR($E1019="",$G1019&lt;=0),"EKSİK",IF($I1019="Evet","TAHAKKUK NAKİT OLAMAZ",IF($C1019&gt;TODAY(),"İLERİ TARİH","TAHAKKUK"))),IF(AND($D1019&lt;&gt;"",$E1019&lt;&gt;"",$G1019&gt;0,$H1019&lt;&gt;"",$I1019&lt;&gt;""),IF($C1019&gt;TODAY(),"İLERİ TARİH",IF(COUNTIF($W$7:$W$1206,$W1019)&gt;1,"MÜKERRER?",IF($AD1019&gt;0,"KAPALI DÖNEM",IF($I1019="Hayır","ÖDENECEK","UYGUN")))),"EKSİK"))))</f>
        <v/>
      </c>
      <c r="Q1019" s="6" t="n"/>
      <c r="R1019" s="6" t="n"/>
      <c r="S1019" s="3">
        <f>IF($L1019="","",UPPER(SUBSTITUTE(SUBSTITUTE(SUBSTITUTE(SUBSTITUTE(SUBSTITUTE(SUBSTITUTE(SUBSTITUTE(SUBSTITUTE(SUBSTITUTE(SUBSTITUTE(SUBSTITUTE(SUBSTITUTE(SUBSTITUTE(SUBSTITUTE(SUBSTITUTE(SUBSTITUTE(SUBSTITUTE(SUBSTITUTE(TRIM($L1019),"'",""),"İ","I"),"ı","I"),"i","I"),"Ş","S"),"ş","S"),"Ğ","G"),"ğ","G"),"Ü","U"),"ü","U"),"Ö","O"),"ö","O"),"Ç","C"),"ç","C"),".",""),",","")," ",""),"-","")))</f>
        <v/>
      </c>
      <c r="T1019" s="3">
        <f>IF(OR($C1019="",$D1019&lt;&gt;"Gelir",$L1019=""),"",IFERROR(INDEX(MUSTERILER!$B$7:$B$106,MATCH($S1019,MUSTERILER!$T$7:$T$106,0)),""))</f>
        <v/>
      </c>
      <c r="U1019" s="3">
        <f>IF($T1019="","",$T1019&amp;"|"&amp;COUNTIFS($T$7:$T1019,$T1019))</f>
        <v/>
      </c>
      <c r="V1019" s="3">
        <f>IF($T1019="",0,1)</f>
        <v/>
      </c>
      <c r="W1019" s="3">
        <f>IF($C1019="","",$D1019&amp;"|"&amp;$E1019&amp;"|"&amp;TEXT($C1019,"0")&amp;"|"&amp;TEXT($G1019,"0")&amp;"|"&amp;$J1019)</f>
        <v/>
      </c>
      <c r="X1019" s="3" t="n"/>
      <c r="Y1019" s="3" t="n"/>
      <c r="Z1019" s="3" t="n"/>
      <c r="AA1019" s="3" t="n"/>
      <c r="AB1019" s="3" t="n"/>
      <c r="AC1019" s="3" t="n"/>
      <c r="AD1019" s="3">
        <f>IF($C1019="",0,SUMPRODUCT((AY_SONU!$O$7:$O$42="Evet")*(AY_SONU!$B$7:$B$42=DATE(YEAR($C1019),MONTH($C1019),1))))</f>
        <v/>
      </c>
    </row>
    <row r="1020">
      <c r="A1020" s="6" t="n"/>
      <c r="B1020" s="113">
        <f>IF($C1020="","","GG"&amp;TEXT(ROW()-6,"00000"))</f>
        <v/>
      </c>
      <c r="C1020" s="220" t="n"/>
      <c r="D1020" s="108" t="n"/>
      <c r="E1020" s="109" t="n"/>
      <c r="F1020" s="109" t="n"/>
      <c r="G1020" s="221" t="n"/>
      <c r="H1020" s="108" t="n"/>
      <c r="I1020" s="108" t="n"/>
      <c r="J1020" s="109" t="n"/>
      <c r="K1020" s="109" t="n"/>
      <c r="L1020" s="108" t="n"/>
      <c r="M1020" s="121">
        <f>IF($C1020="","",IF($D1020="Gider",$E1020,IF($L1020&lt;&gt;"",$L1020,$H1020)))</f>
        <v/>
      </c>
      <c r="N1020" s="121">
        <f>IF($C1020="","",IF($D1020="Gider",$H1020,$E1020))</f>
        <v/>
      </c>
      <c r="O1020" s="226">
        <f>IF($C1020="","",DATE(YEAR($C1020),MONTH($C1020),1))</f>
        <v/>
      </c>
      <c r="P1020" s="113">
        <f>IF($C1020="","",IF(AND($D1020="Gelir",$L1020&lt;&gt;"",$T1020=""),"TANIMSIZ BORÇLU",IF($T1020&lt;&gt;"",IF(OR($E1020="",$G1020&lt;=0),"EKSİK",IF($I1020="Evet","TAHAKKUK NAKİT OLAMAZ",IF($C1020&gt;TODAY(),"İLERİ TARİH","TAHAKKUK"))),IF(AND($D1020&lt;&gt;"",$E1020&lt;&gt;"",$G1020&gt;0,$H1020&lt;&gt;"",$I1020&lt;&gt;""),IF($C1020&gt;TODAY(),"İLERİ TARİH",IF(COUNTIF($W$7:$W$1206,$W1020)&gt;1,"MÜKERRER?",IF($AD1020&gt;0,"KAPALI DÖNEM",IF($I1020="Hayır","ÖDENECEK","UYGUN")))),"EKSİK"))))</f>
        <v/>
      </c>
      <c r="Q1020" s="6" t="n"/>
      <c r="R1020" s="6" t="n"/>
      <c r="S1020" s="3">
        <f>IF($L1020="","",UPPER(SUBSTITUTE(SUBSTITUTE(SUBSTITUTE(SUBSTITUTE(SUBSTITUTE(SUBSTITUTE(SUBSTITUTE(SUBSTITUTE(SUBSTITUTE(SUBSTITUTE(SUBSTITUTE(SUBSTITUTE(SUBSTITUTE(SUBSTITUTE(SUBSTITUTE(SUBSTITUTE(SUBSTITUTE(SUBSTITUTE(TRIM($L1020),"'",""),"İ","I"),"ı","I"),"i","I"),"Ş","S"),"ş","S"),"Ğ","G"),"ğ","G"),"Ü","U"),"ü","U"),"Ö","O"),"ö","O"),"Ç","C"),"ç","C"),".",""),",","")," ",""),"-","")))</f>
        <v/>
      </c>
      <c r="T1020" s="3">
        <f>IF(OR($C1020="",$D1020&lt;&gt;"Gelir",$L1020=""),"",IFERROR(INDEX(MUSTERILER!$B$7:$B$106,MATCH($S1020,MUSTERILER!$T$7:$T$106,0)),""))</f>
        <v/>
      </c>
      <c r="U1020" s="3">
        <f>IF($T1020="","",$T1020&amp;"|"&amp;COUNTIFS($T$7:$T1020,$T1020))</f>
        <v/>
      </c>
      <c r="V1020" s="3">
        <f>IF($T1020="",0,1)</f>
        <v/>
      </c>
      <c r="W1020" s="3">
        <f>IF($C1020="","",$D1020&amp;"|"&amp;$E1020&amp;"|"&amp;TEXT($C1020,"0")&amp;"|"&amp;TEXT($G1020,"0")&amp;"|"&amp;$J1020)</f>
        <v/>
      </c>
      <c r="X1020" s="3" t="n"/>
      <c r="Y1020" s="3" t="n"/>
      <c r="Z1020" s="3" t="n"/>
      <c r="AA1020" s="3" t="n"/>
      <c r="AB1020" s="3" t="n"/>
      <c r="AC1020" s="3" t="n"/>
      <c r="AD1020" s="3">
        <f>IF($C1020="",0,SUMPRODUCT((AY_SONU!$O$7:$O$42="Evet")*(AY_SONU!$B$7:$B$42=DATE(YEAR($C1020),MONTH($C1020),1))))</f>
        <v/>
      </c>
    </row>
    <row r="1021">
      <c r="A1021" s="6" t="n"/>
      <c r="B1021" s="113">
        <f>IF($C1021="","","GG"&amp;TEXT(ROW()-6,"00000"))</f>
        <v/>
      </c>
      <c r="C1021" s="220" t="n"/>
      <c r="D1021" s="108" t="n"/>
      <c r="E1021" s="109" t="n"/>
      <c r="F1021" s="109" t="n"/>
      <c r="G1021" s="221" t="n"/>
      <c r="H1021" s="108" t="n"/>
      <c r="I1021" s="108" t="n"/>
      <c r="J1021" s="109" t="n"/>
      <c r="K1021" s="109" t="n"/>
      <c r="L1021" s="108" t="n"/>
      <c r="M1021" s="121">
        <f>IF($C1021="","",IF($D1021="Gider",$E1021,IF($L1021&lt;&gt;"",$L1021,$H1021)))</f>
        <v/>
      </c>
      <c r="N1021" s="121">
        <f>IF($C1021="","",IF($D1021="Gider",$H1021,$E1021))</f>
        <v/>
      </c>
      <c r="O1021" s="226">
        <f>IF($C1021="","",DATE(YEAR($C1021),MONTH($C1021),1))</f>
        <v/>
      </c>
      <c r="P1021" s="113">
        <f>IF($C1021="","",IF(AND($D1021="Gelir",$L1021&lt;&gt;"",$T1021=""),"TANIMSIZ BORÇLU",IF($T1021&lt;&gt;"",IF(OR($E1021="",$G1021&lt;=0),"EKSİK",IF($I1021="Evet","TAHAKKUK NAKİT OLAMAZ",IF($C1021&gt;TODAY(),"İLERİ TARİH","TAHAKKUK"))),IF(AND($D1021&lt;&gt;"",$E1021&lt;&gt;"",$G1021&gt;0,$H1021&lt;&gt;"",$I1021&lt;&gt;""),IF($C1021&gt;TODAY(),"İLERİ TARİH",IF(COUNTIF($W$7:$W$1206,$W1021)&gt;1,"MÜKERRER?",IF($AD1021&gt;0,"KAPALI DÖNEM",IF($I1021="Hayır","ÖDENECEK","UYGUN")))),"EKSİK"))))</f>
        <v/>
      </c>
      <c r="Q1021" s="6" t="n"/>
      <c r="R1021" s="6" t="n"/>
      <c r="S1021" s="3">
        <f>IF($L1021="","",UPPER(SUBSTITUTE(SUBSTITUTE(SUBSTITUTE(SUBSTITUTE(SUBSTITUTE(SUBSTITUTE(SUBSTITUTE(SUBSTITUTE(SUBSTITUTE(SUBSTITUTE(SUBSTITUTE(SUBSTITUTE(SUBSTITUTE(SUBSTITUTE(SUBSTITUTE(SUBSTITUTE(SUBSTITUTE(SUBSTITUTE(TRIM($L1021),"'",""),"İ","I"),"ı","I"),"i","I"),"Ş","S"),"ş","S"),"Ğ","G"),"ğ","G"),"Ü","U"),"ü","U"),"Ö","O"),"ö","O"),"Ç","C"),"ç","C"),".",""),",","")," ",""),"-","")))</f>
        <v/>
      </c>
      <c r="T1021" s="3">
        <f>IF(OR($C1021="",$D1021&lt;&gt;"Gelir",$L1021=""),"",IFERROR(INDEX(MUSTERILER!$B$7:$B$106,MATCH($S1021,MUSTERILER!$T$7:$T$106,0)),""))</f>
        <v/>
      </c>
      <c r="U1021" s="3">
        <f>IF($T1021="","",$T1021&amp;"|"&amp;COUNTIFS($T$7:$T1021,$T1021))</f>
        <v/>
      </c>
      <c r="V1021" s="3">
        <f>IF($T1021="",0,1)</f>
        <v/>
      </c>
      <c r="W1021" s="3">
        <f>IF($C1021="","",$D1021&amp;"|"&amp;$E1021&amp;"|"&amp;TEXT($C1021,"0")&amp;"|"&amp;TEXT($G1021,"0")&amp;"|"&amp;$J1021)</f>
        <v/>
      </c>
      <c r="X1021" s="3" t="n"/>
      <c r="Y1021" s="3" t="n"/>
      <c r="Z1021" s="3" t="n"/>
      <c r="AA1021" s="3" t="n"/>
      <c r="AB1021" s="3" t="n"/>
      <c r="AC1021" s="3" t="n"/>
      <c r="AD1021" s="3">
        <f>IF($C1021="",0,SUMPRODUCT((AY_SONU!$O$7:$O$42="Evet")*(AY_SONU!$B$7:$B$42=DATE(YEAR($C1021),MONTH($C1021),1))))</f>
        <v/>
      </c>
    </row>
    <row r="1022">
      <c r="A1022" s="6" t="n"/>
      <c r="B1022" s="113">
        <f>IF($C1022="","","GG"&amp;TEXT(ROW()-6,"00000"))</f>
        <v/>
      </c>
      <c r="C1022" s="220" t="n"/>
      <c r="D1022" s="108" t="n"/>
      <c r="E1022" s="109" t="n"/>
      <c r="F1022" s="109" t="n"/>
      <c r="G1022" s="221" t="n"/>
      <c r="H1022" s="108" t="n"/>
      <c r="I1022" s="108" t="n"/>
      <c r="J1022" s="109" t="n"/>
      <c r="K1022" s="109" t="n"/>
      <c r="L1022" s="108" t="n"/>
      <c r="M1022" s="121">
        <f>IF($C1022="","",IF($D1022="Gider",$E1022,IF($L1022&lt;&gt;"",$L1022,$H1022)))</f>
        <v/>
      </c>
      <c r="N1022" s="121">
        <f>IF($C1022="","",IF($D1022="Gider",$H1022,$E1022))</f>
        <v/>
      </c>
      <c r="O1022" s="226">
        <f>IF($C1022="","",DATE(YEAR($C1022),MONTH($C1022),1))</f>
        <v/>
      </c>
      <c r="P1022" s="113">
        <f>IF($C1022="","",IF(AND($D1022="Gelir",$L1022&lt;&gt;"",$T1022=""),"TANIMSIZ BORÇLU",IF($T1022&lt;&gt;"",IF(OR($E1022="",$G1022&lt;=0),"EKSİK",IF($I1022="Evet","TAHAKKUK NAKİT OLAMAZ",IF($C1022&gt;TODAY(),"İLERİ TARİH","TAHAKKUK"))),IF(AND($D1022&lt;&gt;"",$E1022&lt;&gt;"",$G1022&gt;0,$H1022&lt;&gt;"",$I1022&lt;&gt;""),IF($C1022&gt;TODAY(),"İLERİ TARİH",IF(COUNTIF($W$7:$W$1206,$W1022)&gt;1,"MÜKERRER?",IF($AD1022&gt;0,"KAPALI DÖNEM",IF($I1022="Hayır","ÖDENECEK","UYGUN")))),"EKSİK"))))</f>
        <v/>
      </c>
      <c r="Q1022" s="6" t="n"/>
      <c r="R1022" s="6" t="n"/>
      <c r="S1022" s="3">
        <f>IF($L1022="","",UPPER(SUBSTITUTE(SUBSTITUTE(SUBSTITUTE(SUBSTITUTE(SUBSTITUTE(SUBSTITUTE(SUBSTITUTE(SUBSTITUTE(SUBSTITUTE(SUBSTITUTE(SUBSTITUTE(SUBSTITUTE(SUBSTITUTE(SUBSTITUTE(SUBSTITUTE(SUBSTITUTE(SUBSTITUTE(SUBSTITUTE(TRIM($L1022),"'",""),"İ","I"),"ı","I"),"i","I"),"Ş","S"),"ş","S"),"Ğ","G"),"ğ","G"),"Ü","U"),"ü","U"),"Ö","O"),"ö","O"),"Ç","C"),"ç","C"),".",""),",","")," ",""),"-","")))</f>
        <v/>
      </c>
      <c r="T1022" s="3">
        <f>IF(OR($C1022="",$D1022&lt;&gt;"Gelir",$L1022=""),"",IFERROR(INDEX(MUSTERILER!$B$7:$B$106,MATCH($S1022,MUSTERILER!$T$7:$T$106,0)),""))</f>
        <v/>
      </c>
      <c r="U1022" s="3">
        <f>IF($T1022="","",$T1022&amp;"|"&amp;COUNTIFS($T$7:$T1022,$T1022))</f>
        <v/>
      </c>
      <c r="V1022" s="3">
        <f>IF($T1022="",0,1)</f>
        <v/>
      </c>
      <c r="W1022" s="3">
        <f>IF($C1022="","",$D1022&amp;"|"&amp;$E1022&amp;"|"&amp;TEXT($C1022,"0")&amp;"|"&amp;TEXT($G1022,"0")&amp;"|"&amp;$J1022)</f>
        <v/>
      </c>
      <c r="X1022" s="3" t="n"/>
      <c r="Y1022" s="3" t="n"/>
      <c r="Z1022" s="3" t="n"/>
      <c r="AA1022" s="3" t="n"/>
      <c r="AB1022" s="3" t="n"/>
      <c r="AC1022" s="3" t="n"/>
      <c r="AD1022" s="3">
        <f>IF($C1022="",0,SUMPRODUCT((AY_SONU!$O$7:$O$42="Evet")*(AY_SONU!$B$7:$B$42=DATE(YEAR($C1022),MONTH($C1022),1))))</f>
        <v/>
      </c>
    </row>
    <row r="1023">
      <c r="A1023" s="6" t="n"/>
      <c r="B1023" s="113">
        <f>IF($C1023="","","GG"&amp;TEXT(ROW()-6,"00000"))</f>
        <v/>
      </c>
      <c r="C1023" s="220" t="n"/>
      <c r="D1023" s="108" t="n"/>
      <c r="E1023" s="109" t="n"/>
      <c r="F1023" s="109" t="n"/>
      <c r="G1023" s="221" t="n"/>
      <c r="H1023" s="108" t="n"/>
      <c r="I1023" s="108" t="n"/>
      <c r="J1023" s="109" t="n"/>
      <c r="K1023" s="109" t="n"/>
      <c r="L1023" s="108" t="n"/>
      <c r="M1023" s="121">
        <f>IF($C1023="","",IF($D1023="Gider",$E1023,IF($L1023&lt;&gt;"",$L1023,$H1023)))</f>
        <v/>
      </c>
      <c r="N1023" s="121">
        <f>IF($C1023="","",IF($D1023="Gider",$H1023,$E1023))</f>
        <v/>
      </c>
      <c r="O1023" s="226">
        <f>IF($C1023="","",DATE(YEAR($C1023),MONTH($C1023),1))</f>
        <v/>
      </c>
      <c r="P1023" s="113">
        <f>IF($C1023="","",IF(AND($D1023="Gelir",$L1023&lt;&gt;"",$T1023=""),"TANIMSIZ BORÇLU",IF($T1023&lt;&gt;"",IF(OR($E1023="",$G1023&lt;=0),"EKSİK",IF($I1023="Evet","TAHAKKUK NAKİT OLAMAZ",IF($C1023&gt;TODAY(),"İLERİ TARİH","TAHAKKUK"))),IF(AND($D1023&lt;&gt;"",$E1023&lt;&gt;"",$G1023&gt;0,$H1023&lt;&gt;"",$I1023&lt;&gt;""),IF($C1023&gt;TODAY(),"İLERİ TARİH",IF(COUNTIF($W$7:$W$1206,$W1023)&gt;1,"MÜKERRER?",IF($AD1023&gt;0,"KAPALI DÖNEM",IF($I1023="Hayır","ÖDENECEK","UYGUN")))),"EKSİK"))))</f>
        <v/>
      </c>
      <c r="Q1023" s="6" t="n"/>
      <c r="R1023" s="6" t="n"/>
      <c r="S1023" s="3">
        <f>IF($L1023="","",UPPER(SUBSTITUTE(SUBSTITUTE(SUBSTITUTE(SUBSTITUTE(SUBSTITUTE(SUBSTITUTE(SUBSTITUTE(SUBSTITUTE(SUBSTITUTE(SUBSTITUTE(SUBSTITUTE(SUBSTITUTE(SUBSTITUTE(SUBSTITUTE(SUBSTITUTE(SUBSTITUTE(SUBSTITUTE(SUBSTITUTE(TRIM($L1023),"'",""),"İ","I"),"ı","I"),"i","I"),"Ş","S"),"ş","S"),"Ğ","G"),"ğ","G"),"Ü","U"),"ü","U"),"Ö","O"),"ö","O"),"Ç","C"),"ç","C"),".",""),",","")," ",""),"-","")))</f>
        <v/>
      </c>
      <c r="T1023" s="3">
        <f>IF(OR($C1023="",$D1023&lt;&gt;"Gelir",$L1023=""),"",IFERROR(INDEX(MUSTERILER!$B$7:$B$106,MATCH($S1023,MUSTERILER!$T$7:$T$106,0)),""))</f>
        <v/>
      </c>
      <c r="U1023" s="3">
        <f>IF($T1023="","",$T1023&amp;"|"&amp;COUNTIFS($T$7:$T1023,$T1023))</f>
        <v/>
      </c>
      <c r="V1023" s="3">
        <f>IF($T1023="",0,1)</f>
        <v/>
      </c>
      <c r="W1023" s="3">
        <f>IF($C1023="","",$D1023&amp;"|"&amp;$E1023&amp;"|"&amp;TEXT($C1023,"0")&amp;"|"&amp;TEXT($G1023,"0")&amp;"|"&amp;$J1023)</f>
        <v/>
      </c>
      <c r="X1023" s="3" t="n"/>
      <c r="Y1023" s="3" t="n"/>
      <c r="Z1023" s="3" t="n"/>
      <c r="AA1023" s="3" t="n"/>
      <c r="AB1023" s="3" t="n"/>
      <c r="AC1023" s="3" t="n"/>
      <c r="AD1023" s="3">
        <f>IF($C1023="",0,SUMPRODUCT((AY_SONU!$O$7:$O$42="Evet")*(AY_SONU!$B$7:$B$42=DATE(YEAR($C1023),MONTH($C1023),1))))</f>
        <v/>
      </c>
    </row>
    <row r="1024">
      <c r="A1024" s="6" t="n"/>
      <c r="B1024" s="113">
        <f>IF($C1024="","","GG"&amp;TEXT(ROW()-6,"00000"))</f>
        <v/>
      </c>
      <c r="C1024" s="220" t="n"/>
      <c r="D1024" s="108" t="n"/>
      <c r="E1024" s="109" t="n"/>
      <c r="F1024" s="109" t="n"/>
      <c r="G1024" s="221" t="n"/>
      <c r="H1024" s="108" t="n"/>
      <c r="I1024" s="108" t="n"/>
      <c r="J1024" s="109" t="n"/>
      <c r="K1024" s="109" t="n"/>
      <c r="L1024" s="108" t="n"/>
      <c r="M1024" s="121">
        <f>IF($C1024="","",IF($D1024="Gider",$E1024,IF($L1024&lt;&gt;"",$L1024,$H1024)))</f>
        <v/>
      </c>
      <c r="N1024" s="121">
        <f>IF($C1024="","",IF($D1024="Gider",$H1024,$E1024))</f>
        <v/>
      </c>
      <c r="O1024" s="226">
        <f>IF($C1024="","",DATE(YEAR($C1024),MONTH($C1024),1))</f>
        <v/>
      </c>
      <c r="P1024" s="113">
        <f>IF($C1024="","",IF(AND($D1024="Gelir",$L1024&lt;&gt;"",$T1024=""),"TANIMSIZ BORÇLU",IF($T1024&lt;&gt;"",IF(OR($E1024="",$G1024&lt;=0),"EKSİK",IF($I1024="Evet","TAHAKKUK NAKİT OLAMAZ",IF($C1024&gt;TODAY(),"İLERİ TARİH","TAHAKKUK"))),IF(AND($D1024&lt;&gt;"",$E1024&lt;&gt;"",$G1024&gt;0,$H1024&lt;&gt;"",$I1024&lt;&gt;""),IF($C1024&gt;TODAY(),"İLERİ TARİH",IF(COUNTIF($W$7:$W$1206,$W1024)&gt;1,"MÜKERRER?",IF($AD1024&gt;0,"KAPALI DÖNEM",IF($I1024="Hayır","ÖDENECEK","UYGUN")))),"EKSİK"))))</f>
        <v/>
      </c>
      <c r="Q1024" s="6" t="n"/>
      <c r="R1024" s="6" t="n"/>
      <c r="S1024" s="3">
        <f>IF($L1024="","",UPPER(SUBSTITUTE(SUBSTITUTE(SUBSTITUTE(SUBSTITUTE(SUBSTITUTE(SUBSTITUTE(SUBSTITUTE(SUBSTITUTE(SUBSTITUTE(SUBSTITUTE(SUBSTITUTE(SUBSTITUTE(SUBSTITUTE(SUBSTITUTE(SUBSTITUTE(SUBSTITUTE(SUBSTITUTE(SUBSTITUTE(TRIM($L1024),"'",""),"İ","I"),"ı","I"),"i","I"),"Ş","S"),"ş","S"),"Ğ","G"),"ğ","G"),"Ü","U"),"ü","U"),"Ö","O"),"ö","O"),"Ç","C"),"ç","C"),".",""),",","")," ",""),"-","")))</f>
        <v/>
      </c>
      <c r="T1024" s="3">
        <f>IF(OR($C1024="",$D1024&lt;&gt;"Gelir",$L1024=""),"",IFERROR(INDEX(MUSTERILER!$B$7:$B$106,MATCH($S1024,MUSTERILER!$T$7:$T$106,0)),""))</f>
        <v/>
      </c>
      <c r="U1024" s="3">
        <f>IF($T1024="","",$T1024&amp;"|"&amp;COUNTIFS($T$7:$T1024,$T1024))</f>
        <v/>
      </c>
      <c r="V1024" s="3">
        <f>IF($T1024="",0,1)</f>
        <v/>
      </c>
      <c r="W1024" s="3">
        <f>IF($C1024="","",$D1024&amp;"|"&amp;$E1024&amp;"|"&amp;TEXT($C1024,"0")&amp;"|"&amp;TEXT($G1024,"0")&amp;"|"&amp;$J1024)</f>
        <v/>
      </c>
      <c r="X1024" s="3" t="n"/>
      <c r="Y1024" s="3" t="n"/>
      <c r="Z1024" s="3" t="n"/>
      <c r="AA1024" s="3" t="n"/>
      <c r="AB1024" s="3" t="n"/>
      <c r="AC1024" s="3" t="n"/>
      <c r="AD1024" s="3">
        <f>IF($C1024="",0,SUMPRODUCT((AY_SONU!$O$7:$O$42="Evet")*(AY_SONU!$B$7:$B$42=DATE(YEAR($C1024),MONTH($C1024),1))))</f>
        <v/>
      </c>
    </row>
    <row r="1025">
      <c r="A1025" s="6" t="n"/>
      <c r="B1025" s="113">
        <f>IF($C1025="","","GG"&amp;TEXT(ROW()-6,"00000"))</f>
        <v/>
      </c>
      <c r="C1025" s="220" t="n"/>
      <c r="D1025" s="108" t="n"/>
      <c r="E1025" s="109" t="n"/>
      <c r="F1025" s="109" t="n"/>
      <c r="G1025" s="221" t="n"/>
      <c r="H1025" s="108" t="n"/>
      <c r="I1025" s="108" t="n"/>
      <c r="J1025" s="109" t="n"/>
      <c r="K1025" s="109" t="n"/>
      <c r="L1025" s="108" t="n"/>
      <c r="M1025" s="121">
        <f>IF($C1025="","",IF($D1025="Gider",$E1025,IF($L1025&lt;&gt;"",$L1025,$H1025)))</f>
        <v/>
      </c>
      <c r="N1025" s="121">
        <f>IF($C1025="","",IF($D1025="Gider",$H1025,$E1025))</f>
        <v/>
      </c>
      <c r="O1025" s="226">
        <f>IF($C1025="","",DATE(YEAR($C1025),MONTH($C1025),1))</f>
        <v/>
      </c>
      <c r="P1025" s="113">
        <f>IF($C1025="","",IF(AND($D1025="Gelir",$L1025&lt;&gt;"",$T1025=""),"TANIMSIZ BORÇLU",IF($T1025&lt;&gt;"",IF(OR($E1025="",$G1025&lt;=0),"EKSİK",IF($I1025="Evet","TAHAKKUK NAKİT OLAMAZ",IF($C1025&gt;TODAY(),"İLERİ TARİH","TAHAKKUK"))),IF(AND($D1025&lt;&gt;"",$E1025&lt;&gt;"",$G1025&gt;0,$H1025&lt;&gt;"",$I1025&lt;&gt;""),IF($C1025&gt;TODAY(),"İLERİ TARİH",IF(COUNTIF($W$7:$W$1206,$W1025)&gt;1,"MÜKERRER?",IF($AD1025&gt;0,"KAPALI DÖNEM",IF($I1025="Hayır","ÖDENECEK","UYGUN")))),"EKSİK"))))</f>
        <v/>
      </c>
      <c r="Q1025" s="6" t="n"/>
      <c r="R1025" s="6" t="n"/>
      <c r="S1025" s="3">
        <f>IF($L1025="","",UPPER(SUBSTITUTE(SUBSTITUTE(SUBSTITUTE(SUBSTITUTE(SUBSTITUTE(SUBSTITUTE(SUBSTITUTE(SUBSTITUTE(SUBSTITUTE(SUBSTITUTE(SUBSTITUTE(SUBSTITUTE(SUBSTITUTE(SUBSTITUTE(SUBSTITUTE(SUBSTITUTE(SUBSTITUTE(SUBSTITUTE(TRIM($L1025),"'",""),"İ","I"),"ı","I"),"i","I"),"Ş","S"),"ş","S"),"Ğ","G"),"ğ","G"),"Ü","U"),"ü","U"),"Ö","O"),"ö","O"),"Ç","C"),"ç","C"),".",""),",","")," ",""),"-","")))</f>
        <v/>
      </c>
      <c r="T1025" s="3">
        <f>IF(OR($C1025="",$D1025&lt;&gt;"Gelir",$L1025=""),"",IFERROR(INDEX(MUSTERILER!$B$7:$B$106,MATCH($S1025,MUSTERILER!$T$7:$T$106,0)),""))</f>
        <v/>
      </c>
      <c r="U1025" s="3">
        <f>IF($T1025="","",$T1025&amp;"|"&amp;COUNTIFS($T$7:$T1025,$T1025))</f>
        <v/>
      </c>
      <c r="V1025" s="3">
        <f>IF($T1025="",0,1)</f>
        <v/>
      </c>
      <c r="W1025" s="3">
        <f>IF($C1025="","",$D1025&amp;"|"&amp;$E1025&amp;"|"&amp;TEXT($C1025,"0")&amp;"|"&amp;TEXT($G1025,"0")&amp;"|"&amp;$J1025)</f>
        <v/>
      </c>
      <c r="X1025" s="3" t="n"/>
      <c r="Y1025" s="3" t="n"/>
      <c r="Z1025" s="3" t="n"/>
      <c r="AA1025" s="3" t="n"/>
      <c r="AB1025" s="3" t="n"/>
      <c r="AC1025" s="3" t="n"/>
      <c r="AD1025" s="3">
        <f>IF($C1025="",0,SUMPRODUCT((AY_SONU!$O$7:$O$42="Evet")*(AY_SONU!$B$7:$B$42=DATE(YEAR($C1025),MONTH($C1025),1))))</f>
        <v/>
      </c>
    </row>
    <row r="1026">
      <c r="A1026" s="6" t="n"/>
      <c r="B1026" s="113">
        <f>IF($C1026="","","GG"&amp;TEXT(ROW()-6,"00000"))</f>
        <v/>
      </c>
      <c r="C1026" s="220" t="n"/>
      <c r="D1026" s="108" t="n"/>
      <c r="E1026" s="109" t="n"/>
      <c r="F1026" s="109" t="n"/>
      <c r="G1026" s="221" t="n"/>
      <c r="H1026" s="108" t="n"/>
      <c r="I1026" s="108" t="n"/>
      <c r="J1026" s="109" t="n"/>
      <c r="K1026" s="109" t="n"/>
      <c r="L1026" s="108" t="n"/>
      <c r="M1026" s="121">
        <f>IF($C1026="","",IF($D1026="Gider",$E1026,IF($L1026&lt;&gt;"",$L1026,$H1026)))</f>
        <v/>
      </c>
      <c r="N1026" s="121">
        <f>IF($C1026="","",IF($D1026="Gider",$H1026,$E1026))</f>
        <v/>
      </c>
      <c r="O1026" s="226">
        <f>IF($C1026="","",DATE(YEAR($C1026),MONTH($C1026),1))</f>
        <v/>
      </c>
      <c r="P1026" s="113">
        <f>IF($C1026="","",IF(AND($D1026="Gelir",$L1026&lt;&gt;"",$T1026=""),"TANIMSIZ BORÇLU",IF($T1026&lt;&gt;"",IF(OR($E1026="",$G1026&lt;=0),"EKSİK",IF($I1026="Evet","TAHAKKUK NAKİT OLAMAZ",IF($C1026&gt;TODAY(),"İLERİ TARİH","TAHAKKUK"))),IF(AND($D1026&lt;&gt;"",$E1026&lt;&gt;"",$G1026&gt;0,$H1026&lt;&gt;"",$I1026&lt;&gt;""),IF($C1026&gt;TODAY(),"İLERİ TARİH",IF(COUNTIF($W$7:$W$1206,$W1026)&gt;1,"MÜKERRER?",IF($AD1026&gt;0,"KAPALI DÖNEM",IF($I1026="Hayır","ÖDENECEK","UYGUN")))),"EKSİK"))))</f>
        <v/>
      </c>
      <c r="Q1026" s="6" t="n"/>
      <c r="R1026" s="6" t="n"/>
      <c r="S1026" s="3">
        <f>IF($L1026="","",UPPER(SUBSTITUTE(SUBSTITUTE(SUBSTITUTE(SUBSTITUTE(SUBSTITUTE(SUBSTITUTE(SUBSTITUTE(SUBSTITUTE(SUBSTITUTE(SUBSTITUTE(SUBSTITUTE(SUBSTITUTE(SUBSTITUTE(SUBSTITUTE(SUBSTITUTE(SUBSTITUTE(SUBSTITUTE(SUBSTITUTE(TRIM($L1026),"'",""),"İ","I"),"ı","I"),"i","I"),"Ş","S"),"ş","S"),"Ğ","G"),"ğ","G"),"Ü","U"),"ü","U"),"Ö","O"),"ö","O"),"Ç","C"),"ç","C"),".",""),",","")," ",""),"-","")))</f>
        <v/>
      </c>
      <c r="T1026" s="3">
        <f>IF(OR($C1026="",$D1026&lt;&gt;"Gelir",$L1026=""),"",IFERROR(INDEX(MUSTERILER!$B$7:$B$106,MATCH($S1026,MUSTERILER!$T$7:$T$106,0)),""))</f>
        <v/>
      </c>
      <c r="U1026" s="3">
        <f>IF($T1026="","",$T1026&amp;"|"&amp;COUNTIFS($T$7:$T1026,$T1026))</f>
        <v/>
      </c>
      <c r="V1026" s="3">
        <f>IF($T1026="",0,1)</f>
        <v/>
      </c>
      <c r="W1026" s="3">
        <f>IF($C1026="","",$D1026&amp;"|"&amp;$E1026&amp;"|"&amp;TEXT($C1026,"0")&amp;"|"&amp;TEXT($G1026,"0")&amp;"|"&amp;$J1026)</f>
        <v/>
      </c>
      <c r="X1026" s="3" t="n"/>
      <c r="Y1026" s="3" t="n"/>
      <c r="Z1026" s="3" t="n"/>
      <c r="AA1026" s="3" t="n"/>
      <c r="AB1026" s="3" t="n"/>
      <c r="AC1026" s="3" t="n"/>
      <c r="AD1026" s="3">
        <f>IF($C1026="",0,SUMPRODUCT((AY_SONU!$O$7:$O$42="Evet")*(AY_SONU!$B$7:$B$42=DATE(YEAR($C1026),MONTH($C1026),1))))</f>
        <v/>
      </c>
    </row>
    <row r="1027">
      <c r="A1027" s="6" t="n"/>
      <c r="B1027" s="113">
        <f>IF($C1027="","","GG"&amp;TEXT(ROW()-6,"00000"))</f>
        <v/>
      </c>
      <c r="C1027" s="220" t="n"/>
      <c r="D1027" s="108" t="n"/>
      <c r="E1027" s="109" t="n"/>
      <c r="F1027" s="109" t="n"/>
      <c r="G1027" s="221" t="n"/>
      <c r="H1027" s="108" t="n"/>
      <c r="I1027" s="108" t="n"/>
      <c r="J1027" s="109" t="n"/>
      <c r="K1027" s="109" t="n"/>
      <c r="L1027" s="108" t="n"/>
      <c r="M1027" s="121">
        <f>IF($C1027="","",IF($D1027="Gider",$E1027,IF($L1027&lt;&gt;"",$L1027,$H1027)))</f>
        <v/>
      </c>
      <c r="N1027" s="121">
        <f>IF($C1027="","",IF($D1027="Gider",$H1027,$E1027))</f>
        <v/>
      </c>
      <c r="O1027" s="226">
        <f>IF($C1027="","",DATE(YEAR($C1027),MONTH($C1027),1))</f>
        <v/>
      </c>
      <c r="P1027" s="113">
        <f>IF($C1027="","",IF(AND($D1027="Gelir",$L1027&lt;&gt;"",$T1027=""),"TANIMSIZ BORÇLU",IF($T1027&lt;&gt;"",IF(OR($E1027="",$G1027&lt;=0),"EKSİK",IF($I1027="Evet","TAHAKKUK NAKİT OLAMAZ",IF($C1027&gt;TODAY(),"İLERİ TARİH","TAHAKKUK"))),IF(AND($D1027&lt;&gt;"",$E1027&lt;&gt;"",$G1027&gt;0,$H1027&lt;&gt;"",$I1027&lt;&gt;""),IF($C1027&gt;TODAY(),"İLERİ TARİH",IF(COUNTIF($W$7:$W$1206,$W1027)&gt;1,"MÜKERRER?",IF($AD1027&gt;0,"KAPALI DÖNEM",IF($I1027="Hayır","ÖDENECEK","UYGUN")))),"EKSİK"))))</f>
        <v/>
      </c>
      <c r="Q1027" s="6" t="n"/>
      <c r="R1027" s="6" t="n"/>
      <c r="S1027" s="3">
        <f>IF($L1027="","",UPPER(SUBSTITUTE(SUBSTITUTE(SUBSTITUTE(SUBSTITUTE(SUBSTITUTE(SUBSTITUTE(SUBSTITUTE(SUBSTITUTE(SUBSTITUTE(SUBSTITUTE(SUBSTITUTE(SUBSTITUTE(SUBSTITUTE(SUBSTITUTE(SUBSTITUTE(SUBSTITUTE(SUBSTITUTE(SUBSTITUTE(TRIM($L1027),"'",""),"İ","I"),"ı","I"),"i","I"),"Ş","S"),"ş","S"),"Ğ","G"),"ğ","G"),"Ü","U"),"ü","U"),"Ö","O"),"ö","O"),"Ç","C"),"ç","C"),".",""),",","")," ",""),"-","")))</f>
        <v/>
      </c>
      <c r="T1027" s="3">
        <f>IF(OR($C1027="",$D1027&lt;&gt;"Gelir",$L1027=""),"",IFERROR(INDEX(MUSTERILER!$B$7:$B$106,MATCH($S1027,MUSTERILER!$T$7:$T$106,0)),""))</f>
        <v/>
      </c>
      <c r="U1027" s="3">
        <f>IF($T1027="","",$T1027&amp;"|"&amp;COUNTIFS($T$7:$T1027,$T1027))</f>
        <v/>
      </c>
      <c r="V1027" s="3">
        <f>IF($T1027="",0,1)</f>
        <v/>
      </c>
      <c r="W1027" s="3">
        <f>IF($C1027="","",$D1027&amp;"|"&amp;$E1027&amp;"|"&amp;TEXT($C1027,"0")&amp;"|"&amp;TEXT($G1027,"0")&amp;"|"&amp;$J1027)</f>
        <v/>
      </c>
      <c r="X1027" s="3" t="n"/>
      <c r="Y1027" s="3" t="n"/>
      <c r="Z1027" s="3" t="n"/>
      <c r="AA1027" s="3" t="n"/>
      <c r="AB1027" s="3" t="n"/>
      <c r="AC1027" s="3" t="n"/>
      <c r="AD1027" s="3">
        <f>IF($C1027="",0,SUMPRODUCT((AY_SONU!$O$7:$O$42="Evet")*(AY_SONU!$B$7:$B$42=DATE(YEAR($C1027),MONTH($C1027),1))))</f>
        <v/>
      </c>
    </row>
    <row r="1028">
      <c r="A1028" s="6" t="n"/>
      <c r="B1028" s="113">
        <f>IF($C1028="","","GG"&amp;TEXT(ROW()-6,"00000"))</f>
        <v/>
      </c>
      <c r="C1028" s="220" t="n"/>
      <c r="D1028" s="108" t="n"/>
      <c r="E1028" s="109" t="n"/>
      <c r="F1028" s="109" t="n"/>
      <c r="G1028" s="221" t="n"/>
      <c r="H1028" s="108" t="n"/>
      <c r="I1028" s="108" t="n"/>
      <c r="J1028" s="109" t="n"/>
      <c r="K1028" s="109" t="n"/>
      <c r="L1028" s="108" t="n"/>
      <c r="M1028" s="121">
        <f>IF($C1028="","",IF($D1028="Gider",$E1028,IF($L1028&lt;&gt;"",$L1028,$H1028)))</f>
        <v/>
      </c>
      <c r="N1028" s="121">
        <f>IF($C1028="","",IF($D1028="Gider",$H1028,$E1028))</f>
        <v/>
      </c>
      <c r="O1028" s="226">
        <f>IF($C1028="","",DATE(YEAR($C1028),MONTH($C1028),1))</f>
        <v/>
      </c>
      <c r="P1028" s="113">
        <f>IF($C1028="","",IF(AND($D1028="Gelir",$L1028&lt;&gt;"",$T1028=""),"TANIMSIZ BORÇLU",IF($T1028&lt;&gt;"",IF(OR($E1028="",$G1028&lt;=0),"EKSİK",IF($I1028="Evet","TAHAKKUK NAKİT OLAMAZ",IF($C1028&gt;TODAY(),"İLERİ TARİH","TAHAKKUK"))),IF(AND($D1028&lt;&gt;"",$E1028&lt;&gt;"",$G1028&gt;0,$H1028&lt;&gt;"",$I1028&lt;&gt;""),IF($C1028&gt;TODAY(),"İLERİ TARİH",IF(COUNTIF($W$7:$W$1206,$W1028)&gt;1,"MÜKERRER?",IF($AD1028&gt;0,"KAPALI DÖNEM",IF($I1028="Hayır","ÖDENECEK","UYGUN")))),"EKSİK"))))</f>
        <v/>
      </c>
      <c r="Q1028" s="6" t="n"/>
      <c r="R1028" s="6" t="n"/>
      <c r="S1028" s="3">
        <f>IF($L1028="","",UPPER(SUBSTITUTE(SUBSTITUTE(SUBSTITUTE(SUBSTITUTE(SUBSTITUTE(SUBSTITUTE(SUBSTITUTE(SUBSTITUTE(SUBSTITUTE(SUBSTITUTE(SUBSTITUTE(SUBSTITUTE(SUBSTITUTE(SUBSTITUTE(SUBSTITUTE(SUBSTITUTE(SUBSTITUTE(SUBSTITUTE(TRIM($L1028),"'",""),"İ","I"),"ı","I"),"i","I"),"Ş","S"),"ş","S"),"Ğ","G"),"ğ","G"),"Ü","U"),"ü","U"),"Ö","O"),"ö","O"),"Ç","C"),"ç","C"),".",""),",","")," ",""),"-","")))</f>
        <v/>
      </c>
      <c r="T1028" s="3">
        <f>IF(OR($C1028="",$D1028&lt;&gt;"Gelir",$L1028=""),"",IFERROR(INDEX(MUSTERILER!$B$7:$B$106,MATCH($S1028,MUSTERILER!$T$7:$T$106,0)),""))</f>
        <v/>
      </c>
      <c r="U1028" s="3">
        <f>IF($T1028="","",$T1028&amp;"|"&amp;COUNTIFS($T$7:$T1028,$T1028))</f>
        <v/>
      </c>
      <c r="V1028" s="3">
        <f>IF($T1028="",0,1)</f>
        <v/>
      </c>
      <c r="W1028" s="3">
        <f>IF($C1028="","",$D1028&amp;"|"&amp;$E1028&amp;"|"&amp;TEXT($C1028,"0")&amp;"|"&amp;TEXT($G1028,"0")&amp;"|"&amp;$J1028)</f>
        <v/>
      </c>
      <c r="X1028" s="3" t="n"/>
      <c r="Y1028" s="3" t="n"/>
      <c r="Z1028" s="3" t="n"/>
      <c r="AA1028" s="3" t="n"/>
      <c r="AB1028" s="3" t="n"/>
      <c r="AC1028" s="3" t="n"/>
      <c r="AD1028" s="3">
        <f>IF($C1028="",0,SUMPRODUCT((AY_SONU!$O$7:$O$42="Evet")*(AY_SONU!$B$7:$B$42=DATE(YEAR($C1028),MONTH($C1028),1))))</f>
        <v/>
      </c>
    </row>
    <row r="1029">
      <c r="A1029" s="6" t="n"/>
      <c r="B1029" s="113">
        <f>IF($C1029="","","GG"&amp;TEXT(ROW()-6,"00000"))</f>
        <v/>
      </c>
      <c r="C1029" s="220" t="n"/>
      <c r="D1029" s="108" t="n"/>
      <c r="E1029" s="109" t="n"/>
      <c r="F1029" s="109" t="n"/>
      <c r="G1029" s="221" t="n"/>
      <c r="H1029" s="108" t="n"/>
      <c r="I1029" s="108" t="n"/>
      <c r="J1029" s="109" t="n"/>
      <c r="K1029" s="109" t="n"/>
      <c r="L1029" s="108" t="n"/>
      <c r="M1029" s="121">
        <f>IF($C1029="","",IF($D1029="Gider",$E1029,IF($L1029&lt;&gt;"",$L1029,$H1029)))</f>
        <v/>
      </c>
      <c r="N1029" s="121">
        <f>IF($C1029="","",IF($D1029="Gider",$H1029,$E1029))</f>
        <v/>
      </c>
      <c r="O1029" s="226">
        <f>IF($C1029="","",DATE(YEAR($C1029),MONTH($C1029),1))</f>
        <v/>
      </c>
      <c r="P1029" s="113">
        <f>IF($C1029="","",IF(AND($D1029="Gelir",$L1029&lt;&gt;"",$T1029=""),"TANIMSIZ BORÇLU",IF($T1029&lt;&gt;"",IF(OR($E1029="",$G1029&lt;=0),"EKSİK",IF($I1029="Evet","TAHAKKUK NAKİT OLAMAZ",IF($C1029&gt;TODAY(),"İLERİ TARİH","TAHAKKUK"))),IF(AND($D1029&lt;&gt;"",$E1029&lt;&gt;"",$G1029&gt;0,$H1029&lt;&gt;"",$I1029&lt;&gt;""),IF($C1029&gt;TODAY(),"İLERİ TARİH",IF(COUNTIF($W$7:$W$1206,$W1029)&gt;1,"MÜKERRER?",IF($AD1029&gt;0,"KAPALI DÖNEM",IF($I1029="Hayır","ÖDENECEK","UYGUN")))),"EKSİK"))))</f>
        <v/>
      </c>
      <c r="Q1029" s="6" t="n"/>
      <c r="R1029" s="6" t="n"/>
      <c r="S1029" s="3">
        <f>IF($L1029="","",UPPER(SUBSTITUTE(SUBSTITUTE(SUBSTITUTE(SUBSTITUTE(SUBSTITUTE(SUBSTITUTE(SUBSTITUTE(SUBSTITUTE(SUBSTITUTE(SUBSTITUTE(SUBSTITUTE(SUBSTITUTE(SUBSTITUTE(SUBSTITUTE(SUBSTITUTE(SUBSTITUTE(SUBSTITUTE(SUBSTITUTE(TRIM($L1029),"'",""),"İ","I"),"ı","I"),"i","I"),"Ş","S"),"ş","S"),"Ğ","G"),"ğ","G"),"Ü","U"),"ü","U"),"Ö","O"),"ö","O"),"Ç","C"),"ç","C"),".",""),",","")," ",""),"-","")))</f>
        <v/>
      </c>
      <c r="T1029" s="3">
        <f>IF(OR($C1029="",$D1029&lt;&gt;"Gelir",$L1029=""),"",IFERROR(INDEX(MUSTERILER!$B$7:$B$106,MATCH($S1029,MUSTERILER!$T$7:$T$106,0)),""))</f>
        <v/>
      </c>
      <c r="U1029" s="3">
        <f>IF($T1029="","",$T1029&amp;"|"&amp;COUNTIFS($T$7:$T1029,$T1029))</f>
        <v/>
      </c>
      <c r="V1029" s="3">
        <f>IF($T1029="",0,1)</f>
        <v/>
      </c>
      <c r="W1029" s="3">
        <f>IF($C1029="","",$D1029&amp;"|"&amp;$E1029&amp;"|"&amp;TEXT($C1029,"0")&amp;"|"&amp;TEXT($G1029,"0")&amp;"|"&amp;$J1029)</f>
        <v/>
      </c>
      <c r="X1029" s="3" t="n"/>
      <c r="Y1029" s="3" t="n"/>
      <c r="Z1029" s="3" t="n"/>
      <c r="AA1029" s="3" t="n"/>
      <c r="AB1029" s="3" t="n"/>
      <c r="AC1029" s="3" t="n"/>
      <c r="AD1029" s="3">
        <f>IF($C1029="",0,SUMPRODUCT((AY_SONU!$O$7:$O$42="Evet")*(AY_SONU!$B$7:$B$42=DATE(YEAR($C1029),MONTH($C1029),1))))</f>
        <v/>
      </c>
    </row>
    <row r="1030">
      <c r="A1030" s="6" t="n"/>
      <c r="B1030" s="113">
        <f>IF($C1030="","","GG"&amp;TEXT(ROW()-6,"00000"))</f>
        <v/>
      </c>
      <c r="C1030" s="220" t="n"/>
      <c r="D1030" s="108" t="n"/>
      <c r="E1030" s="109" t="n"/>
      <c r="F1030" s="109" t="n"/>
      <c r="G1030" s="221" t="n"/>
      <c r="H1030" s="108" t="n"/>
      <c r="I1030" s="108" t="n"/>
      <c r="J1030" s="109" t="n"/>
      <c r="K1030" s="109" t="n"/>
      <c r="L1030" s="108" t="n"/>
      <c r="M1030" s="121">
        <f>IF($C1030="","",IF($D1030="Gider",$E1030,IF($L1030&lt;&gt;"",$L1030,$H1030)))</f>
        <v/>
      </c>
      <c r="N1030" s="121">
        <f>IF($C1030="","",IF($D1030="Gider",$H1030,$E1030))</f>
        <v/>
      </c>
      <c r="O1030" s="226">
        <f>IF($C1030="","",DATE(YEAR($C1030),MONTH($C1030),1))</f>
        <v/>
      </c>
      <c r="P1030" s="113">
        <f>IF($C1030="","",IF(AND($D1030="Gelir",$L1030&lt;&gt;"",$T1030=""),"TANIMSIZ BORÇLU",IF($T1030&lt;&gt;"",IF(OR($E1030="",$G1030&lt;=0),"EKSİK",IF($I1030="Evet","TAHAKKUK NAKİT OLAMAZ",IF($C1030&gt;TODAY(),"İLERİ TARİH","TAHAKKUK"))),IF(AND($D1030&lt;&gt;"",$E1030&lt;&gt;"",$G1030&gt;0,$H1030&lt;&gt;"",$I1030&lt;&gt;""),IF($C1030&gt;TODAY(),"İLERİ TARİH",IF(COUNTIF($W$7:$W$1206,$W1030)&gt;1,"MÜKERRER?",IF($AD1030&gt;0,"KAPALI DÖNEM",IF($I1030="Hayır","ÖDENECEK","UYGUN")))),"EKSİK"))))</f>
        <v/>
      </c>
      <c r="Q1030" s="6" t="n"/>
      <c r="R1030" s="6" t="n"/>
      <c r="S1030" s="3">
        <f>IF($L1030="","",UPPER(SUBSTITUTE(SUBSTITUTE(SUBSTITUTE(SUBSTITUTE(SUBSTITUTE(SUBSTITUTE(SUBSTITUTE(SUBSTITUTE(SUBSTITUTE(SUBSTITUTE(SUBSTITUTE(SUBSTITUTE(SUBSTITUTE(SUBSTITUTE(SUBSTITUTE(SUBSTITUTE(SUBSTITUTE(SUBSTITUTE(TRIM($L1030),"'",""),"İ","I"),"ı","I"),"i","I"),"Ş","S"),"ş","S"),"Ğ","G"),"ğ","G"),"Ü","U"),"ü","U"),"Ö","O"),"ö","O"),"Ç","C"),"ç","C"),".",""),",","")," ",""),"-","")))</f>
        <v/>
      </c>
      <c r="T1030" s="3">
        <f>IF(OR($C1030="",$D1030&lt;&gt;"Gelir",$L1030=""),"",IFERROR(INDEX(MUSTERILER!$B$7:$B$106,MATCH($S1030,MUSTERILER!$T$7:$T$106,0)),""))</f>
        <v/>
      </c>
      <c r="U1030" s="3">
        <f>IF($T1030="","",$T1030&amp;"|"&amp;COUNTIFS($T$7:$T1030,$T1030))</f>
        <v/>
      </c>
      <c r="V1030" s="3">
        <f>IF($T1030="",0,1)</f>
        <v/>
      </c>
      <c r="W1030" s="3">
        <f>IF($C1030="","",$D1030&amp;"|"&amp;$E1030&amp;"|"&amp;TEXT($C1030,"0")&amp;"|"&amp;TEXT($G1030,"0")&amp;"|"&amp;$J1030)</f>
        <v/>
      </c>
      <c r="X1030" s="3" t="n"/>
      <c r="Y1030" s="3" t="n"/>
      <c r="Z1030" s="3" t="n"/>
      <c r="AA1030" s="3" t="n"/>
      <c r="AB1030" s="3" t="n"/>
      <c r="AC1030" s="3" t="n"/>
      <c r="AD1030" s="3">
        <f>IF($C1030="",0,SUMPRODUCT((AY_SONU!$O$7:$O$42="Evet")*(AY_SONU!$B$7:$B$42=DATE(YEAR($C1030),MONTH($C1030),1))))</f>
        <v/>
      </c>
    </row>
    <row r="1031">
      <c r="A1031" s="6" t="n"/>
      <c r="B1031" s="113">
        <f>IF($C1031="","","GG"&amp;TEXT(ROW()-6,"00000"))</f>
        <v/>
      </c>
      <c r="C1031" s="220" t="n"/>
      <c r="D1031" s="108" t="n"/>
      <c r="E1031" s="109" t="n"/>
      <c r="F1031" s="109" t="n"/>
      <c r="G1031" s="221" t="n"/>
      <c r="H1031" s="108" t="n"/>
      <c r="I1031" s="108" t="n"/>
      <c r="J1031" s="109" t="n"/>
      <c r="K1031" s="109" t="n"/>
      <c r="L1031" s="108" t="n"/>
      <c r="M1031" s="121">
        <f>IF($C1031="","",IF($D1031="Gider",$E1031,IF($L1031&lt;&gt;"",$L1031,$H1031)))</f>
        <v/>
      </c>
      <c r="N1031" s="121">
        <f>IF($C1031="","",IF($D1031="Gider",$H1031,$E1031))</f>
        <v/>
      </c>
      <c r="O1031" s="226">
        <f>IF($C1031="","",DATE(YEAR($C1031),MONTH($C1031),1))</f>
        <v/>
      </c>
      <c r="P1031" s="113">
        <f>IF($C1031="","",IF(AND($D1031="Gelir",$L1031&lt;&gt;"",$T1031=""),"TANIMSIZ BORÇLU",IF($T1031&lt;&gt;"",IF(OR($E1031="",$G1031&lt;=0),"EKSİK",IF($I1031="Evet","TAHAKKUK NAKİT OLAMAZ",IF($C1031&gt;TODAY(),"İLERİ TARİH","TAHAKKUK"))),IF(AND($D1031&lt;&gt;"",$E1031&lt;&gt;"",$G1031&gt;0,$H1031&lt;&gt;"",$I1031&lt;&gt;""),IF($C1031&gt;TODAY(),"İLERİ TARİH",IF(COUNTIF($W$7:$W$1206,$W1031)&gt;1,"MÜKERRER?",IF($AD1031&gt;0,"KAPALI DÖNEM",IF($I1031="Hayır","ÖDENECEK","UYGUN")))),"EKSİK"))))</f>
        <v/>
      </c>
      <c r="Q1031" s="6" t="n"/>
      <c r="R1031" s="6" t="n"/>
      <c r="S1031" s="3">
        <f>IF($L1031="","",UPPER(SUBSTITUTE(SUBSTITUTE(SUBSTITUTE(SUBSTITUTE(SUBSTITUTE(SUBSTITUTE(SUBSTITUTE(SUBSTITUTE(SUBSTITUTE(SUBSTITUTE(SUBSTITUTE(SUBSTITUTE(SUBSTITUTE(SUBSTITUTE(SUBSTITUTE(SUBSTITUTE(SUBSTITUTE(SUBSTITUTE(TRIM($L1031),"'",""),"İ","I"),"ı","I"),"i","I"),"Ş","S"),"ş","S"),"Ğ","G"),"ğ","G"),"Ü","U"),"ü","U"),"Ö","O"),"ö","O"),"Ç","C"),"ç","C"),".",""),",","")," ",""),"-","")))</f>
        <v/>
      </c>
      <c r="T1031" s="3">
        <f>IF(OR($C1031="",$D1031&lt;&gt;"Gelir",$L1031=""),"",IFERROR(INDEX(MUSTERILER!$B$7:$B$106,MATCH($S1031,MUSTERILER!$T$7:$T$106,0)),""))</f>
        <v/>
      </c>
      <c r="U1031" s="3">
        <f>IF($T1031="","",$T1031&amp;"|"&amp;COUNTIFS($T$7:$T1031,$T1031))</f>
        <v/>
      </c>
      <c r="V1031" s="3">
        <f>IF($T1031="",0,1)</f>
        <v/>
      </c>
      <c r="W1031" s="3">
        <f>IF($C1031="","",$D1031&amp;"|"&amp;$E1031&amp;"|"&amp;TEXT($C1031,"0")&amp;"|"&amp;TEXT($G1031,"0")&amp;"|"&amp;$J1031)</f>
        <v/>
      </c>
      <c r="X1031" s="3" t="n"/>
      <c r="Y1031" s="3" t="n"/>
      <c r="Z1031" s="3" t="n"/>
      <c r="AA1031" s="3" t="n"/>
      <c r="AB1031" s="3" t="n"/>
      <c r="AC1031" s="3" t="n"/>
      <c r="AD1031" s="3">
        <f>IF($C1031="",0,SUMPRODUCT((AY_SONU!$O$7:$O$42="Evet")*(AY_SONU!$B$7:$B$42=DATE(YEAR($C1031),MONTH($C1031),1))))</f>
        <v/>
      </c>
    </row>
    <row r="1032">
      <c r="A1032" s="6" t="n"/>
      <c r="B1032" s="113">
        <f>IF($C1032="","","GG"&amp;TEXT(ROW()-6,"00000"))</f>
        <v/>
      </c>
      <c r="C1032" s="220" t="n"/>
      <c r="D1032" s="108" t="n"/>
      <c r="E1032" s="109" t="n"/>
      <c r="F1032" s="109" t="n"/>
      <c r="G1032" s="221" t="n"/>
      <c r="H1032" s="108" t="n"/>
      <c r="I1032" s="108" t="n"/>
      <c r="J1032" s="109" t="n"/>
      <c r="K1032" s="109" t="n"/>
      <c r="L1032" s="108" t="n"/>
      <c r="M1032" s="121">
        <f>IF($C1032="","",IF($D1032="Gider",$E1032,IF($L1032&lt;&gt;"",$L1032,$H1032)))</f>
        <v/>
      </c>
      <c r="N1032" s="121">
        <f>IF($C1032="","",IF($D1032="Gider",$H1032,$E1032))</f>
        <v/>
      </c>
      <c r="O1032" s="226">
        <f>IF($C1032="","",DATE(YEAR($C1032),MONTH($C1032),1))</f>
        <v/>
      </c>
      <c r="P1032" s="113">
        <f>IF($C1032="","",IF(AND($D1032="Gelir",$L1032&lt;&gt;"",$T1032=""),"TANIMSIZ BORÇLU",IF($T1032&lt;&gt;"",IF(OR($E1032="",$G1032&lt;=0),"EKSİK",IF($I1032="Evet","TAHAKKUK NAKİT OLAMAZ",IF($C1032&gt;TODAY(),"İLERİ TARİH","TAHAKKUK"))),IF(AND($D1032&lt;&gt;"",$E1032&lt;&gt;"",$G1032&gt;0,$H1032&lt;&gt;"",$I1032&lt;&gt;""),IF($C1032&gt;TODAY(),"İLERİ TARİH",IF(COUNTIF($W$7:$W$1206,$W1032)&gt;1,"MÜKERRER?",IF($AD1032&gt;0,"KAPALI DÖNEM",IF($I1032="Hayır","ÖDENECEK","UYGUN")))),"EKSİK"))))</f>
        <v/>
      </c>
      <c r="Q1032" s="6" t="n"/>
      <c r="R1032" s="6" t="n"/>
      <c r="S1032" s="3">
        <f>IF($L1032="","",UPPER(SUBSTITUTE(SUBSTITUTE(SUBSTITUTE(SUBSTITUTE(SUBSTITUTE(SUBSTITUTE(SUBSTITUTE(SUBSTITUTE(SUBSTITUTE(SUBSTITUTE(SUBSTITUTE(SUBSTITUTE(SUBSTITUTE(SUBSTITUTE(SUBSTITUTE(SUBSTITUTE(SUBSTITUTE(SUBSTITUTE(TRIM($L1032),"'",""),"İ","I"),"ı","I"),"i","I"),"Ş","S"),"ş","S"),"Ğ","G"),"ğ","G"),"Ü","U"),"ü","U"),"Ö","O"),"ö","O"),"Ç","C"),"ç","C"),".",""),",","")," ",""),"-","")))</f>
        <v/>
      </c>
      <c r="T1032" s="3">
        <f>IF(OR($C1032="",$D1032&lt;&gt;"Gelir",$L1032=""),"",IFERROR(INDEX(MUSTERILER!$B$7:$B$106,MATCH($S1032,MUSTERILER!$T$7:$T$106,0)),""))</f>
        <v/>
      </c>
      <c r="U1032" s="3">
        <f>IF($T1032="","",$T1032&amp;"|"&amp;COUNTIFS($T$7:$T1032,$T1032))</f>
        <v/>
      </c>
      <c r="V1032" s="3">
        <f>IF($T1032="",0,1)</f>
        <v/>
      </c>
      <c r="W1032" s="3">
        <f>IF($C1032="","",$D1032&amp;"|"&amp;$E1032&amp;"|"&amp;TEXT($C1032,"0")&amp;"|"&amp;TEXT($G1032,"0")&amp;"|"&amp;$J1032)</f>
        <v/>
      </c>
      <c r="X1032" s="3" t="n"/>
      <c r="Y1032" s="3" t="n"/>
      <c r="Z1032" s="3" t="n"/>
      <c r="AA1032" s="3" t="n"/>
      <c r="AB1032" s="3" t="n"/>
      <c r="AC1032" s="3" t="n"/>
      <c r="AD1032" s="3">
        <f>IF($C1032="",0,SUMPRODUCT((AY_SONU!$O$7:$O$42="Evet")*(AY_SONU!$B$7:$B$42=DATE(YEAR($C1032),MONTH($C1032),1))))</f>
        <v/>
      </c>
    </row>
    <row r="1033">
      <c r="A1033" s="6" t="n"/>
      <c r="B1033" s="113">
        <f>IF($C1033="","","GG"&amp;TEXT(ROW()-6,"00000"))</f>
        <v/>
      </c>
      <c r="C1033" s="220" t="n"/>
      <c r="D1033" s="108" t="n"/>
      <c r="E1033" s="109" t="n"/>
      <c r="F1033" s="109" t="n"/>
      <c r="G1033" s="221" t="n"/>
      <c r="H1033" s="108" t="n"/>
      <c r="I1033" s="108" t="n"/>
      <c r="J1033" s="109" t="n"/>
      <c r="K1033" s="109" t="n"/>
      <c r="L1033" s="108" t="n"/>
      <c r="M1033" s="121">
        <f>IF($C1033="","",IF($D1033="Gider",$E1033,IF($L1033&lt;&gt;"",$L1033,$H1033)))</f>
        <v/>
      </c>
      <c r="N1033" s="121">
        <f>IF($C1033="","",IF($D1033="Gider",$H1033,$E1033))</f>
        <v/>
      </c>
      <c r="O1033" s="226">
        <f>IF($C1033="","",DATE(YEAR($C1033),MONTH($C1033),1))</f>
        <v/>
      </c>
      <c r="P1033" s="113">
        <f>IF($C1033="","",IF(AND($D1033="Gelir",$L1033&lt;&gt;"",$T1033=""),"TANIMSIZ BORÇLU",IF($T1033&lt;&gt;"",IF(OR($E1033="",$G1033&lt;=0),"EKSİK",IF($I1033="Evet","TAHAKKUK NAKİT OLAMAZ",IF($C1033&gt;TODAY(),"İLERİ TARİH","TAHAKKUK"))),IF(AND($D1033&lt;&gt;"",$E1033&lt;&gt;"",$G1033&gt;0,$H1033&lt;&gt;"",$I1033&lt;&gt;""),IF($C1033&gt;TODAY(),"İLERİ TARİH",IF(COUNTIF($W$7:$W$1206,$W1033)&gt;1,"MÜKERRER?",IF($AD1033&gt;0,"KAPALI DÖNEM",IF($I1033="Hayır","ÖDENECEK","UYGUN")))),"EKSİK"))))</f>
        <v/>
      </c>
      <c r="Q1033" s="6" t="n"/>
      <c r="R1033" s="6" t="n"/>
      <c r="S1033" s="3">
        <f>IF($L1033="","",UPPER(SUBSTITUTE(SUBSTITUTE(SUBSTITUTE(SUBSTITUTE(SUBSTITUTE(SUBSTITUTE(SUBSTITUTE(SUBSTITUTE(SUBSTITUTE(SUBSTITUTE(SUBSTITUTE(SUBSTITUTE(SUBSTITUTE(SUBSTITUTE(SUBSTITUTE(SUBSTITUTE(SUBSTITUTE(SUBSTITUTE(TRIM($L1033),"'",""),"İ","I"),"ı","I"),"i","I"),"Ş","S"),"ş","S"),"Ğ","G"),"ğ","G"),"Ü","U"),"ü","U"),"Ö","O"),"ö","O"),"Ç","C"),"ç","C"),".",""),",","")," ",""),"-","")))</f>
        <v/>
      </c>
      <c r="T1033" s="3">
        <f>IF(OR($C1033="",$D1033&lt;&gt;"Gelir",$L1033=""),"",IFERROR(INDEX(MUSTERILER!$B$7:$B$106,MATCH($S1033,MUSTERILER!$T$7:$T$106,0)),""))</f>
        <v/>
      </c>
      <c r="U1033" s="3">
        <f>IF($T1033="","",$T1033&amp;"|"&amp;COUNTIFS($T$7:$T1033,$T1033))</f>
        <v/>
      </c>
      <c r="V1033" s="3">
        <f>IF($T1033="",0,1)</f>
        <v/>
      </c>
      <c r="W1033" s="3">
        <f>IF($C1033="","",$D1033&amp;"|"&amp;$E1033&amp;"|"&amp;TEXT($C1033,"0")&amp;"|"&amp;TEXT($G1033,"0")&amp;"|"&amp;$J1033)</f>
        <v/>
      </c>
      <c r="X1033" s="3" t="n"/>
      <c r="Y1033" s="3" t="n"/>
      <c r="Z1033" s="3" t="n"/>
      <c r="AA1033" s="3" t="n"/>
      <c r="AB1033" s="3" t="n"/>
      <c r="AC1033" s="3" t="n"/>
      <c r="AD1033" s="3">
        <f>IF($C1033="",0,SUMPRODUCT((AY_SONU!$O$7:$O$42="Evet")*(AY_SONU!$B$7:$B$42=DATE(YEAR($C1033),MONTH($C1033),1))))</f>
        <v/>
      </c>
    </row>
    <row r="1034">
      <c r="A1034" s="6" t="n"/>
      <c r="B1034" s="113">
        <f>IF($C1034="","","GG"&amp;TEXT(ROW()-6,"00000"))</f>
        <v/>
      </c>
      <c r="C1034" s="220" t="n"/>
      <c r="D1034" s="108" t="n"/>
      <c r="E1034" s="109" t="n"/>
      <c r="F1034" s="109" t="n"/>
      <c r="G1034" s="221" t="n"/>
      <c r="H1034" s="108" t="n"/>
      <c r="I1034" s="108" t="n"/>
      <c r="J1034" s="109" t="n"/>
      <c r="K1034" s="109" t="n"/>
      <c r="L1034" s="108" t="n"/>
      <c r="M1034" s="121">
        <f>IF($C1034="","",IF($D1034="Gider",$E1034,IF($L1034&lt;&gt;"",$L1034,$H1034)))</f>
        <v/>
      </c>
      <c r="N1034" s="121">
        <f>IF($C1034="","",IF($D1034="Gider",$H1034,$E1034))</f>
        <v/>
      </c>
      <c r="O1034" s="226">
        <f>IF($C1034="","",DATE(YEAR($C1034),MONTH($C1034),1))</f>
        <v/>
      </c>
      <c r="P1034" s="113">
        <f>IF($C1034="","",IF(AND($D1034="Gelir",$L1034&lt;&gt;"",$T1034=""),"TANIMSIZ BORÇLU",IF($T1034&lt;&gt;"",IF(OR($E1034="",$G1034&lt;=0),"EKSİK",IF($I1034="Evet","TAHAKKUK NAKİT OLAMAZ",IF($C1034&gt;TODAY(),"İLERİ TARİH","TAHAKKUK"))),IF(AND($D1034&lt;&gt;"",$E1034&lt;&gt;"",$G1034&gt;0,$H1034&lt;&gt;"",$I1034&lt;&gt;""),IF($C1034&gt;TODAY(),"İLERİ TARİH",IF(COUNTIF($W$7:$W$1206,$W1034)&gt;1,"MÜKERRER?",IF($AD1034&gt;0,"KAPALI DÖNEM",IF($I1034="Hayır","ÖDENECEK","UYGUN")))),"EKSİK"))))</f>
        <v/>
      </c>
      <c r="Q1034" s="6" t="n"/>
      <c r="R1034" s="6" t="n"/>
      <c r="S1034" s="3">
        <f>IF($L1034="","",UPPER(SUBSTITUTE(SUBSTITUTE(SUBSTITUTE(SUBSTITUTE(SUBSTITUTE(SUBSTITUTE(SUBSTITUTE(SUBSTITUTE(SUBSTITUTE(SUBSTITUTE(SUBSTITUTE(SUBSTITUTE(SUBSTITUTE(SUBSTITUTE(SUBSTITUTE(SUBSTITUTE(SUBSTITUTE(SUBSTITUTE(TRIM($L1034),"'",""),"İ","I"),"ı","I"),"i","I"),"Ş","S"),"ş","S"),"Ğ","G"),"ğ","G"),"Ü","U"),"ü","U"),"Ö","O"),"ö","O"),"Ç","C"),"ç","C"),".",""),",","")," ",""),"-","")))</f>
        <v/>
      </c>
      <c r="T1034" s="3">
        <f>IF(OR($C1034="",$D1034&lt;&gt;"Gelir",$L1034=""),"",IFERROR(INDEX(MUSTERILER!$B$7:$B$106,MATCH($S1034,MUSTERILER!$T$7:$T$106,0)),""))</f>
        <v/>
      </c>
      <c r="U1034" s="3">
        <f>IF($T1034="","",$T1034&amp;"|"&amp;COUNTIFS($T$7:$T1034,$T1034))</f>
        <v/>
      </c>
      <c r="V1034" s="3">
        <f>IF($T1034="",0,1)</f>
        <v/>
      </c>
      <c r="W1034" s="3">
        <f>IF($C1034="","",$D1034&amp;"|"&amp;$E1034&amp;"|"&amp;TEXT($C1034,"0")&amp;"|"&amp;TEXT($G1034,"0")&amp;"|"&amp;$J1034)</f>
        <v/>
      </c>
      <c r="X1034" s="3" t="n"/>
      <c r="Y1034" s="3" t="n"/>
      <c r="Z1034" s="3" t="n"/>
      <c r="AA1034" s="3" t="n"/>
      <c r="AB1034" s="3" t="n"/>
      <c r="AC1034" s="3" t="n"/>
      <c r="AD1034" s="3">
        <f>IF($C1034="",0,SUMPRODUCT((AY_SONU!$O$7:$O$42="Evet")*(AY_SONU!$B$7:$B$42=DATE(YEAR($C1034),MONTH($C1034),1))))</f>
        <v/>
      </c>
    </row>
    <row r="1035">
      <c r="A1035" s="6" t="n"/>
      <c r="B1035" s="113">
        <f>IF($C1035="","","GG"&amp;TEXT(ROW()-6,"00000"))</f>
        <v/>
      </c>
      <c r="C1035" s="220" t="n"/>
      <c r="D1035" s="108" t="n"/>
      <c r="E1035" s="109" t="n"/>
      <c r="F1035" s="109" t="n"/>
      <c r="G1035" s="221" t="n"/>
      <c r="H1035" s="108" t="n"/>
      <c r="I1035" s="108" t="n"/>
      <c r="J1035" s="109" t="n"/>
      <c r="K1035" s="109" t="n"/>
      <c r="L1035" s="108" t="n"/>
      <c r="M1035" s="121">
        <f>IF($C1035="","",IF($D1035="Gider",$E1035,IF($L1035&lt;&gt;"",$L1035,$H1035)))</f>
        <v/>
      </c>
      <c r="N1035" s="121">
        <f>IF($C1035="","",IF($D1035="Gider",$H1035,$E1035))</f>
        <v/>
      </c>
      <c r="O1035" s="226">
        <f>IF($C1035="","",DATE(YEAR($C1035),MONTH($C1035),1))</f>
        <v/>
      </c>
      <c r="P1035" s="113">
        <f>IF($C1035="","",IF(AND($D1035="Gelir",$L1035&lt;&gt;"",$T1035=""),"TANIMSIZ BORÇLU",IF($T1035&lt;&gt;"",IF(OR($E1035="",$G1035&lt;=0),"EKSİK",IF($I1035="Evet","TAHAKKUK NAKİT OLAMAZ",IF($C1035&gt;TODAY(),"İLERİ TARİH","TAHAKKUK"))),IF(AND($D1035&lt;&gt;"",$E1035&lt;&gt;"",$G1035&gt;0,$H1035&lt;&gt;"",$I1035&lt;&gt;""),IF($C1035&gt;TODAY(),"İLERİ TARİH",IF(COUNTIF($W$7:$W$1206,$W1035)&gt;1,"MÜKERRER?",IF($AD1035&gt;0,"KAPALI DÖNEM",IF($I1035="Hayır","ÖDENECEK","UYGUN")))),"EKSİK"))))</f>
        <v/>
      </c>
      <c r="Q1035" s="6" t="n"/>
      <c r="R1035" s="6" t="n"/>
      <c r="S1035" s="3">
        <f>IF($L1035="","",UPPER(SUBSTITUTE(SUBSTITUTE(SUBSTITUTE(SUBSTITUTE(SUBSTITUTE(SUBSTITUTE(SUBSTITUTE(SUBSTITUTE(SUBSTITUTE(SUBSTITUTE(SUBSTITUTE(SUBSTITUTE(SUBSTITUTE(SUBSTITUTE(SUBSTITUTE(SUBSTITUTE(SUBSTITUTE(SUBSTITUTE(TRIM($L1035),"'",""),"İ","I"),"ı","I"),"i","I"),"Ş","S"),"ş","S"),"Ğ","G"),"ğ","G"),"Ü","U"),"ü","U"),"Ö","O"),"ö","O"),"Ç","C"),"ç","C"),".",""),",","")," ",""),"-","")))</f>
        <v/>
      </c>
      <c r="T1035" s="3">
        <f>IF(OR($C1035="",$D1035&lt;&gt;"Gelir",$L1035=""),"",IFERROR(INDEX(MUSTERILER!$B$7:$B$106,MATCH($S1035,MUSTERILER!$T$7:$T$106,0)),""))</f>
        <v/>
      </c>
      <c r="U1035" s="3">
        <f>IF($T1035="","",$T1035&amp;"|"&amp;COUNTIFS($T$7:$T1035,$T1035))</f>
        <v/>
      </c>
      <c r="V1035" s="3">
        <f>IF($T1035="",0,1)</f>
        <v/>
      </c>
      <c r="W1035" s="3">
        <f>IF($C1035="","",$D1035&amp;"|"&amp;$E1035&amp;"|"&amp;TEXT($C1035,"0")&amp;"|"&amp;TEXT($G1035,"0")&amp;"|"&amp;$J1035)</f>
        <v/>
      </c>
      <c r="X1035" s="3" t="n"/>
      <c r="Y1035" s="3" t="n"/>
      <c r="Z1035" s="3" t="n"/>
      <c r="AA1035" s="3" t="n"/>
      <c r="AB1035" s="3" t="n"/>
      <c r="AC1035" s="3" t="n"/>
      <c r="AD1035" s="3">
        <f>IF($C1035="",0,SUMPRODUCT((AY_SONU!$O$7:$O$42="Evet")*(AY_SONU!$B$7:$B$42=DATE(YEAR($C1035),MONTH($C1035),1))))</f>
        <v/>
      </c>
    </row>
    <row r="1036">
      <c r="A1036" s="6" t="n"/>
      <c r="B1036" s="113">
        <f>IF($C1036="","","GG"&amp;TEXT(ROW()-6,"00000"))</f>
        <v/>
      </c>
      <c r="C1036" s="220" t="n"/>
      <c r="D1036" s="108" t="n"/>
      <c r="E1036" s="109" t="n"/>
      <c r="F1036" s="109" t="n"/>
      <c r="G1036" s="221" t="n"/>
      <c r="H1036" s="108" t="n"/>
      <c r="I1036" s="108" t="n"/>
      <c r="J1036" s="109" t="n"/>
      <c r="K1036" s="109" t="n"/>
      <c r="L1036" s="108" t="n"/>
      <c r="M1036" s="121">
        <f>IF($C1036="","",IF($D1036="Gider",$E1036,IF($L1036&lt;&gt;"",$L1036,$H1036)))</f>
        <v/>
      </c>
      <c r="N1036" s="121">
        <f>IF($C1036="","",IF($D1036="Gider",$H1036,$E1036))</f>
        <v/>
      </c>
      <c r="O1036" s="226">
        <f>IF($C1036="","",DATE(YEAR($C1036),MONTH($C1036),1))</f>
        <v/>
      </c>
      <c r="P1036" s="113">
        <f>IF($C1036="","",IF(AND($D1036="Gelir",$L1036&lt;&gt;"",$T1036=""),"TANIMSIZ BORÇLU",IF($T1036&lt;&gt;"",IF(OR($E1036="",$G1036&lt;=0),"EKSİK",IF($I1036="Evet","TAHAKKUK NAKİT OLAMAZ",IF($C1036&gt;TODAY(),"İLERİ TARİH","TAHAKKUK"))),IF(AND($D1036&lt;&gt;"",$E1036&lt;&gt;"",$G1036&gt;0,$H1036&lt;&gt;"",$I1036&lt;&gt;""),IF($C1036&gt;TODAY(),"İLERİ TARİH",IF(COUNTIF($W$7:$W$1206,$W1036)&gt;1,"MÜKERRER?",IF($AD1036&gt;0,"KAPALI DÖNEM",IF($I1036="Hayır","ÖDENECEK","UYGUN")))),"EKSİK"))))</f>
        <v/>
      </c>
      <c r="Q1036" s="6" t="n"/>
      <c r="R1036" s="6" t="n"/>
      <c r="S1036" s="3">
        <f>IF($L1036="","",UPPER(SUBSTITUTE(SUBSTITUTE(SUBSTITUTE(SUBSTITUTE(SUBSTITUTE(SUBSTITUTE(SUBSTITUTE(SUBSTITUTE(SUBSTITUTE(SUBSTITUTE(SUBSTITUTE(SUBSTITUTE(SUBSTITUTE(SUBSTITUTE(SUBSTITUTE(SUBSTITUTE(SUBSTITUTE(SUBSTITUTE(TRIM($L1036),"'",""),"İ","I"),"ı","I"),"i","I"),"Ş","S"),"ş","S"),"Ğ","G"),"ğ","G"),"Ü","U"),"ü","U"),"Ö","O"),"ö","O"),"Ç","C"),"ç","C"),".",""),",","")," ",""),"-","")))</f>
        <v/>
      </c>
      <c r="T1036" s="3">
        <f>IF(OR($C1036="",$D1036&lt;&gt;"Gelir",$L1036=""),"",IFERROR(INDEX(MUSTERILER!$B$7:$B$106,MATCH($S1036,MUSTERILER!$T$7:$T$106,0)),""))</f>
        <v/>
      </c>
      <c r="U1036" s="3">
        <f>IF($T1036="","",$T1036&amp;"|"&amp;COUNTIFS($T$7:$T1036,$T1036))</f>
        <v/>
      </c>
      <c r="V1036" s="3">
        <f>IF($T1036="",0,1)</f>
        <v/>
      </c>
      <c r="W1036" s="3">
        <f>IF($C1036="","",$D1036&amp;"|"&amp;$E1036&amp;"|"&amp;TEXT($C1036,"0")&amp;"|"&amp;TEXT($G1036,"0")&amp;"|"&amp;$J1036)</f>
        <v/>
      </c>
      <c r="X1036" s="3" t="n"/>
      <c r="Y1036" s="3" t="n"/>
      <c r="Z1036" s="3" t="n"/>
      <c r="AA1036" s="3" t="n"/>
      <c r="AB1036" s="3" t="n"/>
      <c r="AC1036" s="3" t="n"/>
      <c r="AD1036" s="3">
        <f>IF($C1036="",0,SUMPRODUCT((AY_SONU!$O$7:$O$42="Evet")*(AY_SONU!$B$7:$B$42=DATE(YEAR($C1036),MONTH($C1036),1))))</f>
        <v/>
      </c>
    </row>
    <row r="1037">
      <c r="A1037" s="6" t="n"/>
      <c r="B1037" s="113">
        <f>IF($C1037="","","GG"&amp;TEXT(ROW()-6,"00000"))</f>
        <v/>
      </c>
      <c r="C1037" s="220" t="n"/>
      <c r="D1037" s="108" t="n"/>
      <c r="E1037" s="109" t="n"/>
      <c r="F1037" s="109" t="n"/>
      <c r="G1037" s="221" t="n"/>
      <c r="H1037" s="108" t="n"/>
      <c r="I1037" s="108" t="n"/>
      <c r="J1037" s="109" t="n"/>
      <c r="K1037" s="109" t="n"/>
      <c r="L1037" s="108" t="n"/>
      <c r="M1037" s="121">
        <f>IF($C1037="","",IF($D1037="Gider",$E1037,IF($L1037&lt;&gt;"",$L1037,$H1037)))</f>
        <v/>
      </c>
      <c r="N1037" s="121">
        <f>IF($C1037="","",IF($D1037="Gider",$H1037,$E1037))</f>
        <v/>
      </c>
      <c r="O1037" s="226">
        <f>IF($C1037="","",DATE(YEAR($C1037),MONTH($C1037),1))</f>
        <v/>
      </c>
      <c r="P1037" s="113">
        <f>IF($C1037="","",IF(AND($D1037="Gelir",$L1037&lt;&gt;"",$T1037=""),"TANIMSIZ BORÇLU",IF($T1037&lt;&gt;"",IF(OR($E1037="",$G1037&lt;=0),"EKSİK",IF($I1037="Evet","TAHAKKUK NAKİT OLAMAZ",IF($C1037&gt;TODAY(),"İLERİ TARİH","TAHAKKUK"))),IF(AND($D1037&lt;&gt;"",$E1037&lt;&gt;"",$G1037&gt;0,$H1037&lt;&gt;"",$I1037&lt;&gt;""),IF($C1037&gt;TODAY(),"İLERİ TARİH",IF(COUNTIF($W$7:$W$1206,$W1037)&gt;1,"MÜKERRER?",IF($AD1037&gt;0,"KAPALI DÖNEM",IF($I1037="Hayır","ÖDENECEK","UYGUN")))),"EKSİK"))))</f>
        <v/>
      </c>
      <c r="Q1037" s="6" t="n"/>
      <c r="R1037" s="6" t="n"/>
      <c r="S1037" s="3">
        <f>IF($L1037="","",UPPER(SUBSTITUTE(SUBSTITUTE(SUBSTITUTE(SUBSTITUTE(SUBSTITUTE(SUBSTITUTE(SUBSTITUTE(SUBSTITUTE(SUBSTITUTE(SUBSTITUTE(SUBSTITUTE(SUBSTITUTE(SUBSTITUTE(SUBSTITUTE(SUBSTITUTE(SUBSTITUTE(SUBSTITUTE(SUBSTITUTE(TRIM($L1037),"'",""),"İ","I"),"ı","I"),"i","I"),"Ş","S"),"ş","S"),"Ğ","G"),"ğ","G"),"Ü","U"),"ü","U"),"Ö","O"),"ö","O"),"Ç","C"),"ç","C"),".",""),",","")," ",""),"-","")))</f>
        <v/>
      </c>
      <c r="T1037" s="3">
        <f>IF(OR($C1037="",$D1037&lt;&gt;"Gelir",$L1037=""),"",IFERROR(INDEX(MUSTERILER!$B$7:$B$106,MATCH($S1037,MUSTERILER!$T$7:$T$106,0)),""))</f>
        <v/>
      </c>
      <c r="U1037" s="3">
        <f>IF($T1037="","",$T1037&amp;"|"&amp;COUNTIFS($T$7:$T1037,$T1037))</f>
        <v/>
      </c>
      <c r="V1037" s="3">
        <f>IF($T1037="",0,1)</f>
        <v/>
      </c>
      <c r="W1037" s="3">
        <f>IF($C1037="","",$D1037&amp;"|"&amp;$E1037&amp;"|"&amp;TEXT($C1037,"0")&amp;"|"&amp;TEXT($G1037,"0")&amp;"|"&amp;$J1037)</f>
        <v/>
      </c>
      <c r="X1037" s="3" t="n"/>
      <c r="Y1037" s="3" t="n"/>
      <c r="Z1037" s="3" t="n"/>
      <c r="AA1037" s="3" t="n"/>
      <c r="AB1037" s="3" t="n"/>
      <c r="AC1037" s="3" t="n"/>
      <c r="AD1037" s="3">
        <f>IF($C1037="",0,SUMPRODUCT((AY_SONU!$O$7:$O$42="Evet")*(AY_SONU!$B$7:$B$42=DATE(YEAR($C1037),MONTH($C1037),1))))</f>
        <v/>
      </c>
    </row>
    <row r="1038">
      <c r="A1038" s="6" t="n"/>
      <c r="B1038" s="113">
        <f>IF($C1038="","","GG"&amp;TEXT(ROW()-6,"00000"))</f>
        <v/>
      </c>
      <c r="C1038" s="220" t="n"/>
      <c r="D1038" s="108" t="n"/>
      <c r="E1038" s="109" t="n"/>
      <c r="F1038" s="109" t="n"/>
      <c r="G1038" s="221" t="n"/>
      <c r="H1038" s="108" t="n"/>
      <c r="I1038" s="108" t="n"/>
      <c r="J1038" s="109" t="n"/>
      <c r="K1038" s="109" t="n"/>
      <c r="L1038" s="108" t="n"/>
      <c r="M1038" s="121">
        <f>IF($C1038="","",IF($D1038="Gider",$E1038,IF($L1038&lt;&gt;"",$L1038,$H1038)))</f>
        <v/>
      </c>
      <c r="N1038" s="121">
        <f>IF($C1038="","",IF($D1038="Gider",$H1038,$E1038))</f>
        <v/>
      </c>
      <c r="O1038" s="226">
        <f>IF($C1038="","",DATE(YEAR($C1038),MONTH($C1038),1))</f>
        <v/>
      </c>
      <c r="P1038" s="113">
        <f>IF($C1038="","",IF(AND($D1038="Gelir",$L1038&lt;&gt;"",$T1038=""),"TANIMSIZ BORÇLU",IF($T1038&lt;&gt;"",IF(OR($E1038="",$G1038&lt;=0),"EKSİK",IF($I1038="Evet","TAHAKKUK NAKİT OLAMAZ",IF($C1038&gt;TODAY(),"İLERİ TARİH","TAHAKKUK"))),IF(AND($D1038&lt;&gt;"",$E1038&lt;&gt;"",$G1038&gt;0,$H1038&lt;&gt;"",$I1038&lt;&gt;""),IF($C1038&gt;TODAY(),"İLERİ TARİH",IF(COUNTIF($W$7:$W$1206,$W1038)&gt;1,"MÜKERRER?",IF($AD1038&gt;0,"KAPALI DÖNEM",IF($I1038="Hayır","ÖDENECEK","UYGUN")))),"EKSİK"))))</f>
        <v/>
      </c>
      <c r="Q1038" s="6" t="n"/>
      <c r="R1038" s="6" t="n"/>
      <c r="S1038" s="3">
        <f>IF($L1038="","",UPPER(SUBSTITUTE(SUBSTITUTE(SUBSTITUTE(SUBSTITUTE(SUBSTITUTE(SUBSTITUTE(SUBSTITUTE(SUBSTITUTE(SUBSTITUTE(SUBSTITUTE(SUBSTITUTE(SUBSTITUTE(SUBSTITUTE(SUBSTITUTE(SUBSTITUTE(SUBSTITUTE(SUBSTITUTE(SUBSTITUTE(TRIM($L1038),"'",""),"İ","I"),"ı","I"),"i","I"),"Ş","S"),"ş","S"),"Ğ","G"),"ğ","G"),"Ü","U"),"ü","U"),"Ö","O"),"ö","O"),"Ç","C"),"ç","C"),".",""),",","")," ",""),"-","")))</f>
        <v/>
      </c>
      <c r="T1038" s="3">
        <f>IF(OR($C1038="",$D1038&lt;&gt;"Gelir",$L1038=""),"",IFERROR(INDEX(MUSTERILER!$B$7:$B$106,MATCH($S1038,MUSTERILER!$T$7:$T$106,0)),""))</f>
        <v/>
      </c>
      <c r="U1038" s="3">
        <f>IF($T1038="","",$T1038&amp;"|"&amp;COUNTIFS($T$7:$T1038,$T1038))</f>
        <v/>
      </c>
      <c r="V1038" s="3">
        <f>IF($T1038="",0,1)</f>
        <v/>
      </c>
      <c r="W1038" s="3">
        <f>IF($C1038="","",$D1038&amp;"|"&amp;$E1038&amp;"|"&amp;TEXT($C1038,"0")&amp;"|"&amp;TEXT($G1038,"0")&amp;"|"&amp;$J1038)</f>
        <v/>
      </c>
      <c r="X1038" s="3" t="n"/>
      <c r="Y1038" s="3" t="n"/>
      <c r="Z1038" s="3" t="n"/>
      <c r="AA1038" s="3" t="n"/>
      <c r="AB1038" s="3" t="n"/>
      <c r="AC1038" s="3" t="n"/>
      <c r="AD1038" s="3">
        <f>IF($C1038="",0,SUMPRODUCT((AY_SONU!$O$7:$O$42="Evet")*(AY_SONU!$B$7:$B$42=DATE(YEAR($C1038),MONTH($C1038),1))))</f>
        <v/>
      </c>
    </row>
    <row r="1039">
      <c r="A1039" s="6" t="n"/>
      <c r="B1039" s="113">
        <f>IF($C1039="","","GG"&amp;TEXT(ROW()-6,"00000"))</f>
        <v/>
      </c>
      <c r="C1039" s="220" t="n"/>
      <c r="D1039" s="108" t="n"/>
      <c r="E1039" s="109" t="n"/>
      <c r="F1039" s="109" t="n"/>
      <c r="G1039" s="221" t="n"/>
      <c r="H1039" s="108" t="n"/>
      <c r="I1039" s="108" t="n"/>
      <c r="J1039" s="109" t="n"/>
      <c r="K1039" s="109" t="n"/>
      <c r="L1039" s="108" t="n"/>
      <c r="M1039" s="121">
        <f>IF($C1039="","",IF($D1039="Gider",$E1039,IF($L1039&lt;&gt;"",$L1039,$H1039)))</f>
        <v/>
      </c>
      <c r="N1039" s="121">
        <f>IF($C1039="","",IF($D1039="Gider",$H1039,$E1039))</f>
        <v/>
      </c>
      <c r="O1039" s="226">
        <f>IF($C1039="","",DATE(YEAR($C1039),MONTH($C1039),1))</f>
        <v/>
      </c>
      <c r="P1039" s="113">
        <f>IF($C1039="","",IF(AND($D1039="Gelir",$L1039&lt;&gt;"",$T1039=""),"TANIMSIZ BORÇLU",IF($T1039&lt;&gt;"",IF(OR($E1039="",$G1039&lt;=0),"EKSİK",IF($I1039="Evet","TAHAKKUK NAKİT OLAMAZ",IF($C1039&gt;TODAY(),"İLERİ TARİH","TAHAKKUK"))),IF(AND($D1039&lt;&gt;"",$E1039&lt;&gt;"",$G1039&gt;0,$H1039&lt;&gt;"",$I1039&lt;&gt;""),IF($C1039&gt;TODAY(),"İLERİ TARİH",IF(COUNTIF($W$7:$W$1206,$W1039)&gt;1,"MÜKERRER?",IF($AD1039&gt;0,"KAPALI DÖNEM",IF($I1039="Hayır","ÖDENECEK","UYGUN")))),"EKSİK"))))</f>
        <v/>
      </c>
      <c r="Q1039" s="6" t="n"/>
      <c r="R1039" s="6" t="n"/>
      <c r="S1039" s="3">
        <f>IF($L1039="","",UPPER(SUBSTITUTE(SUBSTITUTE(SUBSTITUTE(SUBSTITUTE(SUBSTITUTE(SUBSTITUTE(SUBSTITUTE(SUBSTITUTE(SUBSTITUTE(SUBSTITUTE(SUBSTITUTE(SUBSTITUTE(SUBSTITUTE(SUBSTITUTE(SUBSTITUTE(SUBSTITUTE(SUBSTITUTE(SUBSTITUTE(TRIM($L1039),"'",""),"İ","I"),"ı","I"),"i","I"),"Ş","S"),"ş","S"),"Ğ","G"),"ğ","G"),"Ü","U"),"ü","U"),"Ö","O"),"ö","O"),"Ç","C"),"ç","C"),".",""),",","")," ",""),"-","")))</f>
        <v/>
      </c>
      <c r="T1039" s="3">
        <f>IF(OR($C1039="",$D1039&lt;&gt;"Gelir",$L1039=""),"",IFERROR(INDEX(MUSTERILER!$B$7:$B$106,MATCH($S1039,MUSTERILER!$T$7:$T$106,0)),""))</f>
        <v/>
      </c>
      <c r="U1039" s="3">
        <f>IF($T1039="","",$T1039&amp;"|"&amp;COUNTIFS($T$7:$T1039,$T1039))</f>
        <v/>
      </c>
      <c r="V1039" s="3">
        <f>IF($T1039="",0,1)</f>
        <v/>
      </c>
      <c r="W1039" s="3">
        <f>IF($C1039="","",$D1039&amp;"|"&amp;$E1039&amp;"|"&amp;TEXT($C1039,"0")&amp;"|"&amp;TEXT($G1039,"0")&amp;"|"&amp;$J1039)</f>
        <v/>
      </c>
      <c r="X1039" s="3" t="n"/>
      <c r="Y1039" s="3" t="n"/>
      <c r="Z1039" s="3" t="n"/>
      <c r="AA1039" s="3" t="n"/>
      <c r="AB1039" s="3" t="n"/>
      <c r="AC1039" s="3" t="n"/>
      <c r="AD1039" s="3">
        <f>IF($C1039="",0,SUMPRODUCT((AY_SONU!$O$7:$O$42="Evet")*(AY_SONU!$B$7:$B$42=DATE(YEAR($C1039),MONTH($C1039),1))))</f>
        <v/>
      </c>
    </row>
    <row r="1040">
      <c r="A1040" s="6" t="n"/>
      <c r="B1040" s="113">
        <f>IF($C1040="","","GG"&amp;TEXT(ROW()-6,"00000"))</f>
        <v/>
      </c>
      <c r="C1040" s="220" t="n"/>
      <c r="D1040" s="108" t="n"/>
      <c r="E1040" s="109" t="n"/>
      <c r="F1040" s="109" t="n"/>
      <c r="G1040" s="221" t="n"/>
      <c r="H1040" s="108" t="n"/>
      <c r="I1040" s="108" t="n"/>
      <c r="J1040" s="109" t="n"/>
      <c r="K1040" s="109" t="n"/>
      <c r="L1040" s="108" t="n"/>
      <c r="M1040" s="121">
        <f>IF($C1040="","",IF($D1040="Gider",$E1040,IF($L1040&lt;&gt;"",$L1040,$H1040)))</f>
        <v/>
      </c>
      <c r="N1040" s="121">
        <f>IF($C1040="","",IF($D1040="Gider",$H1040,$E1040))</f>
        <v/>
      </c>
      <c r="O1040" s="226">
        <f>IF($C1040="","",DATE(YEAR($C1040),MONTH($C1040),1))</f>
        <v/>
      </c>
      <c r="P1040" s="113">
        <f>IF($C1040="","",IF(AND($D1040="Gelir",$L1040&lt;&gt;"",$T1040=""),"TANIMSIZ BORÇLU",IF($T1040&lt;&gt;"",IF(OR($E1040="",$G1040&lt;=0),"EKSİK",IF($I1040="Evet","TAHAKKUK NAKİT OLAMAZ",IF($C1040&gt;TODAY(),"İLERİ TARİH","TAHAKKUK"))),IF(AND($D1040&lt;&gt;"",$E1040&lt;&gt;"",$G1040&gt;0,$H1040&lt;&gt;"",$I1040&lt;&gt;""),IF($C1040&gt;TODAY(),"İLERİ TARİH",IF(COUNTIF($W$7:$W$1206,$W1040)&gt;1,"MÜKERRER?",IF($AD1040&gt;0,"KAPALI DÖNEM",IF($I1040="Hayır","ÖDENECEK","UYGUN")))),"EKSİK"))))</f>
        <v/>
      </c>
      <c r="Q1040" s="6" t="n"/>
      <c r="R1040" s="6" t="n"/>
      <c r="S1040" s="3">
        <f>IF($L1040="","",UPPER(SUBSTITUTE(SUBSTITUTE(SUBSTITUTE(SUBSTITUTE(SUBSTITUTE(SUBSTITUTE(SUBSTITUTE(SUBSTITUTE(SUBSTITUTE(SUBSTITUTE(SUBSTITUTE(SUBSTITUTE(SUBSTITUTE(SUBSTITUTE(SUBSTITUTE(SUBSTITUTE(SUBSTITUTE(SUBSTITUTE(TRIM($L1040),"'",""),"İ","I"),"ı","I"),"i","I"),"Ş","S"),"ş","S"),"Ğ","G"),"ğ","G"),"Ü","U"),"ü","U"),"Ö","O"),"ö","O"),"Ç","C"),"ç","C"),".",""),",","")," ",""),"-","")))</f>
        <v/>
      </c>
      <c r="T1040" s="3">
        <f>IF(OR($C1040="",$D1040&lt;&gt;"Gelir",$L1040=""),"",IFERROR(INDEX(MUSTERILER!$B$7:$B$106,MATCH($S1040,MUSTERILER!$T$7:$T$106,0)),""))</f>
        <v/>
      </c>
      <c r="U1040" s="3">
        <f>IF($T1040="","",$T1040&amp;"|"&amp;COUNTIFS($T$7:$T1040,$T1040))</f>
        <v/>
      </c>
      <c r="V1040" s="3">
        <f>IF($T1040="",0,1)</f>
        <v/>
      </c>
      <c r="W1040" s="3">
        <f>IF($C1040="","",$D1040&amp;"|"&amp;$E1040&amp;"|"&amp;TEXT($C1040,"0")&amp;"|"&amp;TEXT($G1040,"0")&amp;"|"&amp;$J1040)</f>
        <v/>
      </c>
      <c r="X1040" s="3" t="n"/>
      <c r="Y1040" s="3" t="n"/>
      <c r="Z1040" s="3" t="n"/>
      <c r="AA1040" s="3" t="n"/>
      <c r="AB1040" s="3" t="n"/>
      <c r="AC1040" s="3" t="n"/>
      <c r="AD1040" s="3">
        <f>IF($C1040="",0,SUMPRODUCT((AY_SONU!$O$7:$O$42="Evet")*(AY_SONU!$B$7:$B$42=DATE(YEAR($C1040),MONTH($C1040),1))))</f>
        <v/>
      </c>
    </row>
    <row r="1041">
      <c r="A1041" s="6" t="n"/>
      <c r="B1041" s="113">
        <f>IF($C1041="","","GG"&amp;TEXT(ROW()-6,"00000"))</f>
        <v/>
      </c>
      <c r="C1041" s="220" t="n"/>
      <c r="D1041" s="108" t="n"/>
      <c r="E1041" s="109" t="n"/>
      <c r="F1041" s="109" t="n"/>
      <c r="G1041" s="221" t="n"/>
      <c r="H1041" s="108" t="n"/>
      <c r="I1041" s="108" t="n"/>
      <c r="J1041" s="109" t="n"/>
      <c r="K1041" s="109" t="n"/>
      <c r="L1041" s="108" t="n"/>
      <c r="M1041" s="121">
        <f>IF($C1041="","",IF($D1041="Gider",$E1041,IF($L1041&lt;&gt;"",$L1041,$H1041)))</f>
        <v/>
      </c>
      <c r="N1041" s="121">
        <f>IF($C1041="","",IF($D1041="Gider",$H1041,$E1041))</f>
        <v/>
      </c>
      <c r="O1041" s="226">
        <f>IF($C1041="","",DATE(YEAR($C1041),MONTH($C1041),1))</f>
        <v/>
      </c>
      <c r="P1041" s="113">
        <f>IF($C1041="","",IF(AND($D1041="Gelir",$L1041&lt;&gt;"",$T1041=""),"TANIMSIZ BORÇLU",IF($T1041&lt;&gt;"",IF(OR($E1041="",$G1041&lt;=0),"EKSİK",IF($I1041="Evet","TAHAKKUK NAKİT OLAMAZ",IF($C1041&gt;TODAY(),"İLERİ TARİH","TAHAKKUK"))),IF(AND($D1041&lt;&gt;"",$E1041&lt;&gt;"",$G1041&gt;0,$H1041&lt;&gt;"",$I1041&lt;&gt;""),IF($C1041&gt;TODAY(),"İLERİ TARİH",IF(COUNTIF($W$7:$W$1206,$W1041)&gt;1,"MÜKERRER?",IF($AD1041&gt;0,"KAPALI DÖNEM",IF($I1041="Hayır","ÖDENECEK","UYGUN")))),"EKSİK"))))</f>
        <v/>
      </c>
      <c r="Q1041" s="6" t="n"/>
      <c r="R1041" s="6" t="n"/>
      <c r="S1041" s="3">
        <f>IF($L1041="","",UPPER(SUBSTITUTE(SUBSTITUTE(SUBSTITUTE(SUBSTITUTE(SUBSTITUTE(SUBSTITUTE(SUBSTITUTE(SUBSTITUTE(SUBSTITUTE(SUBSTITUTE(SUBSTITUTE(SUBSTITUTE(SUBSTITUTE(SUBSTITUTE(SUBSTITUTE(SUBSTITUTE(SUBSTITUTE(SUBSTITUTE(TRIM($L1041),"'",""),"İ","I"),"ı","I"),"i","I"),"Ş","S"),"ş","S"),"Ğ","G"),"ğ","G"),"Ü","U"),"ü","U"),"Ö","O"),"ö","O"),"Ç","C"),"ç","C"),".",""),",","")," ",""),"-","")))</f>
        <v/>
      </c>
      <c r="T1041" s="3">
        <f>IF(OR($C1041="",$D1041&lt;&gt;"Gelir",$L1041=""),"",IFERROR(INDEX(MUSTERILER!$B$7:$B$106,MATCH($S1041,MUSTERILER!$T$7:$T$106,0)),""))</f>
        <v/>
      </c>
      <c r="U1041" s="3">
        <f>IF($T1041="","",$T1041&amp;"|"&amp;COUNTIFS($T$7:$T1041,$T1041))</f>
        <v/>
      </c>
      <c r="V1041" s="3">
        <f>IF($T1041="",0,1)</f>
        <v/>
      </c>
      <c r="W1041" s="3">
        <f>IF($C1041="","",$D1041&amp;"|"&amp;$E1041&amp;"|"&amp;TEXT($C1041,"0")&amp;"|"&amp;TEXT($G1041,"0")&amp;"|"&amp;$J1041)</f>
        <v/>
      </c>
      <c r="X1041" s="3" t="n"/>
      <c r="Y1041" s="3" t="n"/>
      <c r="Z1041" s="3" t="n"/>
      <c r="AA1041" s="3" t="n"/>
      <c r="AB1041" s="3" t="n"/>
      <c r="AC1041" s="3" t="n"/>
      <c r="AD1041" s="3">
        <f>IF($C1041="",0,SUMPRODUCT((AY_SONU!$O$7:$O$42="Evet")*(AY_SONU!$B$7:$B$42=DATE(YEAR($C1041),MONTH($C1041),1))))</f>
        <v/>
      </c>
    </row>
    <row r="1042">
      <c r="A1042" s="6" t="n"/>
      <c r="B1042" s="113">
        <f>IF($C1042="","","GG"&amp;TEXT(ROW()-6,"00000"))</f>
        <v/>
      </c>
      <c r="C1042" s="220" t="n"/>
      <c r="D1042" s="108" t="n"/>
      <c r="E1042" s="109" t="n"/>
      <c r="F1042" s="109" t="n"/>
      <c r="G1042" s="221" t="n"/>
      <c r="H1042" s="108" t="n"/>
      <c r="I1042" s="108" t="n"/>
      <c r="J1042" s="109" t="n"/>
      <c r="K1042" s="109" t="n"/>
      <c r="L1042" s="108" t="n"/>
      <c r="M1042" s="121">
        <f>IF($C1042="","",IF($D1042="Gider",$E1042,IF($L1042&lt;&gt;"",$L1042,$H1042)))</f>
        <v/>
      </c>
      <c r="N1042" s="121">
        <f>IF($C1042="","",IF($D1042="Gider",$H1042,$E1042))</f>
        <v/>
      </c>
      <c r="O1042" s="226">
        <f>IF($C1042="","",DATE(YEAR($C1042),MONTH($C1042),1))</f>
        <v/>
      </c>
      <c r="P1042" s="113">
        <f>IF($C1042="","",IF(AND($D1042="Gelir",$L1042&lt;&gt;"",$T1042=""),"TANIMSIZ BORÇLU",IF($T1042&lt;&gt;"",IF(OR($E1042="",$G1042&lt;=0),"EKSİK",IF($I1042="Evet","TAHAKKUK NAKİT OLAMAZ",IF($C1042&gt;TODAY(),"İLERİ TARİH","TAHAKKUK"))),IF(AND($D1042&lt;&gt;"",$E1042&lt;&gt;"",$G1042&gt;0,$H1042&lt;&gt;"",$I1042&lt;&gt;""),IF($C1042&gt;TODAY(),"İLERİ TARİH",IF(COUNTIF($W$7:$W$1206,$W1042)&gt;1,"MÜKERRER?",IF($AD1042&gt;0,"KAPALI DÖNEM",IF($I1042="Hayır","ÖDENECEK","UYGUN")))),"EKSİK"))))</f>
        <v/>
      </c>
      <c r="Q1042" s="6" t="n"/>
      <c r="R1042" s="6" t="n"/>
      <c r="S1042" s="3">
        <f>IF($L1042="","",UPPER(SUBSTITUTE(SUBSTITUTE(SUBSTITUTE(SUBSTITUTE(SUBSTITUTE(SUBSTITUTE(SUBSTITUTE(SUBSTITUTE(SUBSTITUTE(SUBSTITUTE(SUBSTITUTE(SUBSTITUTE(SUBSTITUTE(SUBSTITUTE(SUBSTITUTE(SUBSTITUTE(SUBSTITUTE(SUBSTITUTE(TRIM($L1042),"'",""),"İ","I"),"ı","I"),"i","I"),"Ş","S"),"ş","S"),"Ğ","G"),"ğ","G"),"Ü","U"),"ü","U"),"Ö","O"),"ö","O"),"Ç","C"),"ç","C"),".",""),",","")," ",""),"-","")))</f>
        <v/>
      </c>
      <c r="T1042" s="3">
        <f>IF(OR($C1042="",$D1042&lt;&gt;"Gelir",$L1042=""),"",IFERROR(INDEX(MUSTERILER!$B$7:$B$106,MATCH($S1042,MUSTERILER!$T$7:$T$106,0)),""))</f>
        <v/>
      </c>
      <c r="U1042" s="3">
        <f>IF($T1042="","",$T1042&amp;"|"&amp;COUNTIFS($T$7:$T1042,$T1042))</f>
        <v/>
      </c>
      <c r="V1042" s="3">
        <f>IF($T1042="",0,1)</f>
        <v/>
      </c>
      <c r="W1042" s="3">
        <f>IF($C1042="","",$D1042&amp;"|"&amp;$E1042&amp;"|"&amp;TEXT($C1042,"0")&amp;"|"&amp;TEXT($G1042,"0")&amp;"|"&amp;$J1042)</f>
        <v/>
      </c>
      <c r="X1042" s="3" t="n"/>
      <c r="Y1042" s="3" t="n"/>
      <c r="Z1042" s="3" t="n"/>
      <c r="AA1042" s="3" t="n"/>
      <c r="AB1042" s="3" t="n"/>
      <c r="AC1042" s="3" t="n"/>
      <c r="AD1042" s="3">
        <f>IF($C1042="",0,SUMPRODUCT((AY_SONU!$O$7:$O$42="Evet")*(AY_SONU!$B$7:$B$42=DATE(YEAR($C1042),MONTH($C1042),1))))</f>
        <v/>
      </c>
    </row>
    <row r="1043">
      <c r="A1043" s="6" t="n"/>
      <c r="B1043" s="113">
        <f>IF($C1043="","","GG"&amp;TEXT(ROW()-6,"00000"))</f>
        <v/>
      </c>
      <c r="C1043" s="220" t="n"/>
      <c r="D1043" s="108" t="n"/>
      <c r="E1043" s="109" t="n"/>
      <c r="F1043" s="109" t="n"/>
      <c r="G1043" s="221" t="n"/>
      <c r="H1043" s="108" t="n"/>
      <c r="I1043" s="108" t="n"/>
      <c r="J1043" s="109" t="n"/>
      <c r="K1043" s="109" t="n"/>
      <c r="L1043" s="108" t="n"/>
      <c r="M1043" s="121">
        <f>IF($C1043="","",IF($D1043="Gider",$E1043,IF($L1043&lt;&gt;"",$L1043,$H1043)))</f>
        <v/>
      </c>
      <c r="N1043" s="121">
        <f>IF($C1043="","",IF($D1043="Gider",$H1043,$E1043))</f>
        <v/>
      </c>
      <c r="O1043" s="226">
        <f>IF($C1043="","",DATE(YEAR($C1043),MONTH($C1043),1))</f>
        <v/>
      </c>
      <c r="P1043" s="113">
        <f>IF($C1043="","",IF(AND($D1043="Gelir",$L1043&lt;&gt;"",$T1043=""),"TANIMSIZ BORÇLU",IF($T1043&lt;&gt;"",IF(OR($E1043="",$G1043&lt;=0),"EKSİK",IF($I1043="Evet","TAHAKKUK NAKİT OLAMAZ",IF($C1043&gt;TODAY(),"İLERİ TARİH","TAHAKKUK"))),IF(AND($D1043&lt;&gt;"",$E1043&lt;&gt;"",$G1043&gt;0,$H1043&lt;&gt;"",$I1043&lt;&gt;""),IF($C1043&gt;TODAY(),"İLERİ TARİH",IF(COUNTIF($W$7:$W$1206,$W1043)&gt;1,"MÜKERRER?",IF($AD1043&gt;0,"KAPALI DÖNEM",IF($I1043="Hayır","ÖDENECEK","UYGUN")))),"EKSİK"))))</f>
        <v/>
      </c>
      <c r="Q1043" s="6" t="n"/>
      <c r="R1043" s="6" t="n"/>
      <c r="S1043" s="3">
        <f>IF($L1043="","",UPPER(SUBSTITUTE(SUBSTITUTE(SUBSTITUTE(SUBSTITUTE(SUBSTITUTE(SUBSTITUTE(SUBSTITUTE(SUBSTITUTE(SUBSTITUTE(SUBSTITUTE(SUBSTITUTE(SUBSTITUTE(SUBSTITUTE(SUBSTITUTE(SUBSTITUTE(SUBSTITUTE(SUBSTITUTE(SUBSTITUTE(TRIM($L1043),"'",""),"İ","I"),"ı","I"),"i","I"),"Ş","S"),"ş","S"),"Ğ","G"),"ğ","G"),"Ü","U"),"ü","U"),"Ö","O"),"ö","O"),"Ç","C"),"ç","C"),".",""),",","")," ",""),"-","")))</f>
        <v/>
      </c>
      <c r="T1043" s="3">
        <f>IF(OR($C1043="",$D1043&lt;&gt;"Gelir",$L1043=""),"",IFERROR(INDEX(MUSTERILER!$B$7:$B$106,MATCH($S1043,MUSTERILER!$T$7:$T$106,0)),""))</f>
        <v/>
      </c>
      <c r="U1043" s="3">
        <f>IF($T1043="","",$T1043&amp;"|"&amp;COUNTIFS($T$7:$T1043,$T1043))</f>
        <v/>
      </c>
      <c r="V1043" s="3">
        <f>IF($T1043="",0,1)</f>
        <v/>
      </c>
      <c r="W1043" s="3">
        <f>IF($C1043="","",$D1043&amp;"|"&amp;$E1043&amp;"|"&amp;TEXT($C1043,"0")&amp;"|"&amp;TEXT($G1043,"0")&amp;"|"&amp;$J1043)</f>
        <v/>
      </c>
      <c r="X1043" s="3" t="n"/>
      <c r="Y1043" s="3" t="n"/>
      <c r="Z1043" s="3" t="n"/>
      <c r="AA1043" s="3" t="n"/>
      <c r="AB1043" s="3" t="n"/>
      <c r="AC1043" s="3" t="n"/>
      <c r="AD1043" s="3">
        <f>IF($C1043="",0,SUMPRODUCT((AY_SONU!$O$7:$O$42="Evet")*(AY_SONU!$B$7:$B$42=DATE(YEAR($C1043),MONTH($C1043),1))))</f>
        <v/>
      </c>
    </row>
    <row r="1044">
      <c r="A1044" s="6" t="n"/>
      <c r="B1044" s="113">
        <f>IF($C1044="","","GG"&amp;TEXT(ROW()-6,"00000"))</f>
        <v/>
      </c>
      <c r="C1044" s="220" t="n"/>
      <c r="D1044" s="108" t="n"/>
      <c r="E1044" s="109" t="n"/>
      <c r="F1044" s="109" t="n"/>
      <c r="G1044" s="221" t="n"/>
      <c r="H1044" s="108" t="n"/>
      <c r="I1044" s="108" t="n"/>
      <c r="J1044" s="109" t="n"/>
      <c r="K1044" s="109" t="n"/>
      <c r="L1044" s="108" t="n"/>
      <c r="M1044" s="121">
        <f>IF($C1044="","",IF($D1044="Gider",$E1044,IF($L1044&lt;&gt;"",$L1044,$H1044)))</f>
        <v/>
      </c>
      <c r="N1044" s="121">
        <f>IF($C1044="","",IF($D1044="Gider",$H1044,$E1044))</f>
        <v/>
      </c>
      <c r="O1044" s="226">
        <f>IF($C1044="","",DATE(YEAR($C1044),MONTH($C1044),1))</f>
        <v/>
      </c>
      <c r="P1044" s="113">
        <f>IF($C1044="","",IF(AND($D1044="Gelir",$L1044&lt;&gt;"",$T1044=""),"TANIMSIZ BORÇLU",IF($T1044&lt;&gt;"",IF(OR($E1044="",$G1044&lt;=0),"EKSİK",IF($I1044="Evet","TAHAKKUK NAKİT OLAMAZ",IF($C1044&gt;TODAY(),"İLERİ TARİH","TAHAKKUK"))),IF(AND($D1044&lt;&gt;"",$E1044&lt;&gt;"",$G1044&gt;0,$H1044&lt;&gt;"",$I1044&lt;&gt;""),IF($C1044&gt;TODAY(),"İLERİ TARİH",IF(COUNTIF($W$7:$W$1206,$W1044)&gt;1,"MÜKERRER?",IF($AD1044&gt;0,"KAPALI DÖNEM",IF($I1044="Hayır","ÖDENECEK","UYGUN")))),"EKSİK"))))</f>
        <v/>
      </c>
      <c r="Q1044" s="6" t="n"/>
      <c r="R1044" s="6" t="n"/>
      <c r="S1044" s="3">
        <f>IF($L1044="","",UPPER(SUBSTITUTE(SUBSTITUTE(SUBSTITUTE(SUBSTITUTE(SUBSTITUTE(SUBSTITUTE(SUBSTITUTE(SUBSTITUTE(SUBSTITUTE(SUBSTITUTE(SUBSTITUTE(SUBSTITUTE(SUBSTITUTE(SUBSTITUTE(SUBSTITUTE(SUBSTITUTE(SUBSTITUTE(SUBSTITUTE(TRIM($L1044),"'",""),"İ","I"),"ı","I"),"i","I"),"Ş","S"),"ş","S"),"Ğ","G"),"ğ","G"),"Ü","U"),"ü","U"),"Ö","O"),"ö","O"),"Ç","C"),"ç","C"),".",""),",","")," ",""),"-","")))</f>
        <v/>
      </c>
      <c r="T1044" s="3">
        <f>IF(OR($C1044="",$D1044&lt;&gt;"Gelir",$L1044=""),"",IFERROR(INDEX(MUSTERILER!$B$7:$B$106,MATCH($S1044,MUSTERILER!$T$7:$T$106,0)),""))</f>
        <v/>
      </c>
      <c r="U1044" s="3">
        <f>IF($T1044="","",$T1044&amp;"|"&amp;COUNTIFS($T$7:$T1044,$T1044))</f>
        <v/>
      </c>
      <c r="V1044" s="3">
        <f>IF($T1044="",0,1)</f>
        <v/>
      </c>
      <c r="W1044" s="3">
        <f>IF($C1044="","",$D1044&amp;"|"&amp;$E1044&amp;"|"&amp;TEXT($C1044,"0")&amp;"|"&amp;TEXT($G1044,"0")&amp;"|"&amp;$J1044)</f>
        <v/>
      </c>
      <c r="X1044" s="3" t="n"/>
      <c r="Y1044" s="3" t="n"/>
      <c r="Z1044" s="3" t="n"/>
      <c r="AA1044" s="3" t="n"/>
      <c r="AB1044" s="3" t="n"/>
      <c r="AC1044" s="3" t="n"/>
      <c r="AD1044" s="3">
        <f>IF($C1044="",0,SUMPRODUCT((AY_SONU!$O$7:$O$42="Evet")*(AY_SONU!$B$7:$B$42=DATE(YEAR($C1044),MONTH($C1044),1))))</f>
        <v/>
      </c>
    </row>
    <row r="1045">
      <c r="A1045" s="6" t="n"/>
      <c r="B1045" s="113">
        <f>IF($C1045="","","GG"&amp;TEXT(ROW()-6,"00000"))</f>
        <v/>
      </c>
      <c r="C1045" s="220" t="n"/>
      <c r="D1045" s="108" t="n"/>
      <c r="E1045" s="109" t="n"/>
      <c r="F1045" s="109" t="n"/>
      <c r="G1045" s="221" t="n"/>
      <c r="H1045" s="108" t="n"/>
      <c r="I1045" s="108" t="n"/>
      <c r="J1045" s="109" t="n"/>
      <c r="K1045" s="109" t="n"/>
      <c r="L1045" s="108" t="n"/>
      <c r="M1045" s="121">
        <f>IF($C1045="","",IF($D1045="Gider",$E1045,IF($L1045&lt;&gt;"",$L1045,$H1045)))</f>
        <v/>
      </c>
      <c r="N1045" s="121">
        <f>IF($C1045="","",IF($D1045="Gider",$H1045,$E1045))</f>
        <v/>
      </c>
      <c r="O1045" s="226">
        <f>IF($C1045="","",DATE(YEAR($C1045),MONTH($C1045),1))</f>
        <v/>
      </c>
      <c r="P1045" s="113">
        <f>IF($C1045="","",IF(AND($D1045="Gelir",$L1045&lt;&gt;"",$T1045=""),"TANIMSIZ BORÇLU",IF($T1045&lt;&gt;"",IF(OR($E1045="",$G1045&lt;=0),"EKSİK",IF($I1045="Evet","TAHAKKUK NAKİT OLAMAZ",IF($C1045&gt;TODAY(),"İLERİ TARİH","TAHAKKUK"))),IF(AND($D1045&lt;&gt;"",$E1045&lt;&gt;"",$G1045&gt;0,$H1045&lt;&gt;"",$I1045&lt;&gt;""),IF($C1045&gt;TODAY(),"İLERİ TARİH",IF(COUNTIF($W$7:$W$1206,$W1045)&gt;1,"MÜKERRER?",IF($AD1045&gt;0,"KAPALI DÖNEM",IF($I1045="Hayır","ÖDENECEK","UYGUN")))),"EKSİK"))))</f>
        <v/>
      </c>
      <c r="Q1045" s="6" t="n"/>
      <c r="R1045" s="6" t="n"/>
      <c r="S1045" s="3">
        <f>IF($L1045="","",UPPER(SUBSTITUTE(SUBSTITUTE(SUBSTITUTE(SUBSTITUTE(SUBSTITUTE(SUBSTITUTE(SUBSTITUTE(SUBSTITUTE(SUBSTITUTE(SUBSTITUTE(SUBSTITUTE(SUBSTITUTE(SUBSTITUTE(SUBSTITUTE(SUBSTITUTE(SUBSTITUTE(SUBSTITUTE(SUBSTITUTE(TRIM($L1045),"'",""),"İ","I"),"ı","I"),"i","I"),"Ş","S"),"ş","S"),"Ğ","G"),"ğ","G"),"Ü","U"),"ü","U"),"Ö","O"),"ö","O"),"Ç","C"),"ç","C"),".",""),",","")," ",""),"-","")))</f>
        <v/>
      </c>
      <c r="T1045" s="3">
        <f>IF(OR($C1045="",$D1045&lt;&gt;"Gelir",$L1045=""),"",IFERROR(INDEX(MUSTERILER!$B$7:$B$106,MATCH($S1045,MUSTERILER!$T$7:$T$106,0)),""))</f>
        <v/>
      </c>
      <c r="U1045" s="3">
        <f>IF($T1045="","",$T1045&amp;"|"&amp;COUNTIFS($T$7:$T1045,$T1045))</f>
        <v/>
      </c>
      <c r="V1045" s="3">
        <f>IF($T1045="",0,1)</f>
        <v/>
      </c>
      <c r="W1045" s="3">
        <f>IF($C1045="","",$D1045&amp;"|"&amp;$E1045&amp;"|"&amp;TEXT($C1045,"0")&amp;"|"&amp;TEXT($G1045,"0")&amp;"|"&amp;$J1045)</f>
        <v/>
      </c>
      <c r="X1045" s="3" t="n"/>
      <c r="Y1045" s="3" t="n"/>
      <c r="Z1045" s="3" t="n"/>
      <c r="AA1045" s="3" t="n"/>
      <c r="AB1045" s="3" t="n"/>
      <c r="AC1045" s="3" t="n"/>
      <c r="AD1045" s="3">
        <f>IF($C1045="",0,SUMPRODUCT((AY_SONU!$O$7:$O$42="Evet")*(AY_SONU!$B$7:$B$42=DATE(YEAR($C1045),MONTH($C1045),1))))</f>
        <v/>
      </c>
    </row>
    <row r="1046">
      <c r="A1046" s="6" t="n"/>
      <c r="B1046" s="113">
        <f>IF($C1046="","","GG"&amp;TEXT(ROW()-6,"00000"))</f>
        <v/>
      </c>
      <c r="C1046" s="220" t="n"/>
      <c r="D1046" s="108" t="n"/>
      <c r="E1046" s="109" t="n"/>
      <c r="F1046" s="109" t="n"/>
      <c r="G1046" s="221" t="n"/>
      <c r="H1046" s="108" t="n"/>
      <c r="I1046" s="108" t="n"/>
      <c r="J1046" s="109" t="n"/>
      <c r="K1046" s="109" t="n"/>
      <c r="L1046" s="108" t="n"/>
      <c r="M1046" s="121">
        <f>IF($C1046="","",IF($D1046="Gider",$E1046,IF($L1046&lt;&gt;"",$L1046,$H1046)))</f>
        <v/>
      </c>
      <c r="N1046" s="121">
        <f>IF($C1046="","",IF($D1046="Gider",$H1046,$E1046))</f>
        <v/>
      </c>
      <c r="O1046" s="226">
        <f>IF($C1046="","",DATE(YEAR($C1046),MONTH($C1046),1))</f>
        <v/>
      </c>
      <c r="P1046" s="113">
        <f>IF($C1046="","",IF(AND($D1046="Gelir",$L1046&lt;&gt;"",$T1046=""),"TANIMSIZ BORÇLU",IF($T1046&lt;&gt;"",IF(OR($E1046="",$G1046&lt;=0),"EKSİK",IF($I1046="Evet","TAHAKKUK NAKİT OLAMAZ",IF($C1046&gt;TODAY(),"İLERİ TARİH","TAHAKKUK"))),IF(AND($D1046&lt;&gt;"",$E1046&lt;&gt;"",$G1046&gt;0,$H1046&lt;&gt;"",$I1046&lt;&gt;""),IF($C1046&gt;TODAY(),"İLERİ TARİH",IF(COUNTIF($W$7:$W$1206,$W1046)&gt;1,"MÜKERRER?",IF($AD1046&gt;0,"KAPALI DÖNEM",IF($I1046="Hayır","ÖDENECEK","UYGUN")))),"EKSİK"))))</f>
        <v/>
      </c>
      <c r="Q1046" s="6" t="n"/>
      <c r="R1046" s="6" t="n"/>
      <c r="S1046" s="3">
        <f>IF($L1046="","",UPPER(SUBSTITUTE(SUBSTITUTE(SUBSTITUTE(SUBSTITUTE(SUBSTITUTE(SUBSTITUTE(SUBSTITUTE(SUBSTITUTE(SUBSTITUTE(SUBSTITUTE(SUBSTITUTE(SUBSTITUTE(SUBSTITUTE(SUBSTITUTE(SUBSTITUTE(SUBSTITUTE(SUBSTITUTE(SUBSTITUTE(TRIM($L1046),"'",""),"İ","I"),"ı","I"),"i","I"),"Ş","S"),"ş","S"),"Ğ","G"),"ğ","G"),"Ü","U"),"ü","U"),"Ö","O"),"ö","O"),"Ç","C"),"ç","C"),".",""),",","")," ",""),"-","")))</f>
        <v/>
      </c>
      <c r="T1046" s="3">
        <f>IF(OR($C1046="",$D1046&lt;&gt;"Gelir",$L1046=""),"",IFERROR(INDEX(MUSTERILER!$B$7:$B$106,MATCH($S1046,MUSTERILER!$T$7:$T$106,0)),""))</f>
        <v/>
      </c>
      <c r="U1046" s="3">
        <f>IF($T1046="","",$T1046&amp;"|"&amp;COUNTIFS($T$7:$T1046,$T1046))</f>
        <v/>
      </c>
      <c r="V1046" s="3">
        <f>IF($T1046="",0,1)</f>
        <v/>
      </c>
      <c r="W1046" s="3">
        <f>IF($C1046="","",$D1046&amp;"|"&amp;$E1046&amp;"|"&amp;TEXT($C1046,"0")&amp;"|"&amp;TEXT($G1046,"0")&amp;"|"&amp;$J1046)</f>
        <v/>
      </c>
      <c r="X1046" s="3" t="n"/>
      <c r="Y1046" s="3" t="n"/>
      <c r="Z1046" s="3" t="n"/>
      <c r="AA1046" s="3" t="n"/>
      <c r="AB1046" s="3" t="n"/>
      <c r="AC1046" s="3" t="n"/>
      <c r="AD1046" s="3">
        <f>IF($C1046="",0,SUMPRODUCT((AY_SONU!$O$7:$O$42="Evet")*(AY_SONU!$B$7:$B$42=DATE(YEAR($C1046),MONTH($C1046),1))))</f>
        <v/>
      </c>
    </row>
    <row r="1047">
      <c r="A1047" s="6" t="n"/>
      <c r="B1047" s="113">
        <f>IF($C1047="","","GG"&amp;TEXT(ROW()-6,"00000"))</f>
        <v/>
      </c>
      <c r="C1047" s="220" t="n"/>
      <c r="D1047" s="108" t="n"/>
      <c r="E1047" s="109" t="n"/>
      <c r="F1047" s="109" t="n"/>
      <c r="G1047" s="221" t="n"/>
      <c r="H1047" s="108" t="n"/>
      <c r="I1047" s="108" t="n"/>
      <c r="J1047" s="109" t="n"/>
      <c r="K1047" s="109" t="n"/>
      <c r="L1047" s="108" t="n"/>
      <c r="M1047" s="121">
        <f>IF($C1047="","",IF($D1047="Gider",$E1047,IF($L1047&lt;&gt;"",$L1047,$H1047)))</f>
        <v/>
      </c>
      <c r="N1047" s="121">
        <f>IF($C1047="","",IF($D1047="Gider",$H1047,$E1047))</f>
        <v/>
      </c>
      <c r="O1047" s="226">
        <f>IF($C1047="","",DATE(YEAR($C1047),MONTH($C1047),1))</f>
        <v/>
      </c>
      <c r="P1047" s="113">
        <f>IF($C1047="","",IF(AND($D1047="Gelir",$L1047&lt;&gt;"",$T1047=""),"TANIMSIZ BORÇLU",IF($T1047&lt;&gt;"",IF(OR($E1047="",$G1047&lt;=0),"EKSİK",IF($I1047="Evet","TAHAKKUK NAKİT OLAMAZ",IF($C1047&gt;TODAY(),"İLERİ TARİH","TAHAKKUK"))),IF(AND($D1047&lt;&gt;"",$E1047&lt;&gt;"",$G1047&gt;0,$H1047&lt;&gt;"",$I1047&lt;&gt;""),IF($C1047&gt;TODAY(),"İLERİ TARİH",IF(COUNTIF($W$7:$W$1206,$W1047)&gt;1,"MÜKERRER?",IF($AD1047&gt;0,"KAPALI DÖNEM",IF($I1047="Hayır","ÖDENECEK","UYGUN")))),"EKSİK"))))</f>
        <v/>
      </c>
      <c r="Q1047" s="6" t="n"/>
      <c r="R1047" s="6" t="n"/>
      <c r="S1047" s="3">
        <f>IF($L1047="","",UPPER(SUBSTITUTE(SUBSTITUTE(SUBSTITUTE(SUBSTITUTE(SUBSTITUTE(SUBSTITUTE(SUBSTITUTE(SUBSTITUTE(SUBSTITUTE(SUBSTITUTE(SUBSTITUTE(SUBSTITUTE(SUBSTITUTE(SUBSTITUTE(SUBSTITUTE(SUBSTITUTE(SUBSTITUTE(SUBSTITUTE(TRIM($L1047),"'",""),"İ","I"),"ı","I"),"i","I"),"Ş","S"),"ş","S"),"Ğ","G"),"ğ","G"),"Ü","U"),"ü","U"),"Ö","O"),"ö","O"),"Ç","C"),"ç","C"),".",""),",","")," ",""),"-","")))</f>
        <v/>
      </c>
      <c r="T1047" s="3">
        <f>IF(OR($C1047="",$D1047&lt;&gt;"Gelir",$L1047=""),"",IFERROR(INDEX(MUSTERILER!$B$7:$B$106,MATCH($S1047,MUSTERILER!$T$7:$T$106,0)),""))</f>
        <v/>
      </c>
      <c r="U1047" s="3">
        <f>IF($T1047="","",$T1047&amp;"|"&amp;COUNTIFS($T$7:$T1047,$T1047))</f>
        <v/>
      </c>
      <c r="V1047" s="3">
        <f>IF($T1047="",0,1)</f>
        <v/>
      </c>
      <c r="W1047" s="3">
        <f>IF($C1047="","",$D1047&amp;"|"&amp;$E1047&amp;"|"&amp;TEXT($C1047,"0")&amp;"|"&amp;TEXT($G1047,"0")&amp;"|"&amp;$J1047)</f>
        <v/>
      </c>
      <c r="X1047" s="3" t="n"/>
      <c r="Y1047" s="3" t="n"/>
      <c r="Z1047" s="3" t="n"/>
      <c r="AA1047" s="3" t="n"/>
      <c r="AB1047" s="3" t="n"/>
      <c r="AC1047" s="3" t="n"/>
      <c r="AD1047" s="3">
        <f>IF($C1047="",0,SUMPRODUCT((AY_SONU!$O$7:$O$42="Evet")*(AY_SONU!$B$7:$B$42=DATE(YEAR($C1047),MONTH($C1047),1))))</f>
        <v/>
      </c>
    </row>
    <row r="1048">
      <c r="A1048" s="6" t="n"/>
      <c r="B1048" s="113">
        <f>IF($C1048="","","GG"&amp;TEXT(ROW()-6,"00000"))</f>
        <v/>
      </c>
      <c r="C1048" s="220" t="n"/>
      <c r="D1048" s="108" t="n"/>
      <c r="E1048" s="109" t="n"/>
      <c r="F1048" s="109" t="n"/>
      <c r="G1048" s="221" t="n"/>
      <c r="H1048" s="108" t="n"/>
      <c r="I1048" s="108" t="n"/>
      <c r="J1048" s="109" t="n"/>
      <c r="K1048" s="109" t="n"/>
      <c r="L1048" s="108" t="n"/>
      <c r="M1048" s="121">
        <f>IF($C1048="","",IF($D1048="Gider",$E1048,IF($L1048&lt;&gt;"",$L1048,$H1048)))</f>
        <v/>
      </c>
      <c r="N1048" s="121">
        <f>IF($C1048="","",IF($D1048="Gider",$H1048,$E1048))</f>
        <v/>
      </c>
      <c r="O1048" s="226">
        <f>IF($C1048="","",DATE(YEAR($C1048),MONTH($C1048),1))</f>
        <v/>
      </c>
      <c r="P1048" s="113">
        <f>IF($C1048="","",IF(AND($D1048="Gelir",$L1048&lt;&gt;"",$T1048=""),"TANIMSIZ BORÇLU",IF($T1048&lt;&gt;"",IF(OR($E1048="",$G1048&lt;=0),"EKSİK",IF($I1048="Evet","TAHAKKUK NAKİT OLAMAZ",IF($C1048&gt;TODAY(),"İLERİ TARİH","TAHAKKUK"))),IF(AND($D1048&lt;&gt;"",$E1048&lt;&gt;"",$G1048&gt;0,$H1048&lt;&gt;"",$I1048&lt;&gt;""),IF($C1048&gt;TODAY(),"İLERİ TARİH",IF(COUNTIF($W$7:$W$1206,$W1048)&gt;1,"MÜKERRER?",IF($AD1048&gt;0,"KAPALI DÖNEM",IF($I1048="Hayır","ÖDENECEK","UYGUN")))),"EKSİK"))))</f>
        <v/>
      </c>
      <c r="Q1048" s="6" t="n"/>
      <c r="R1048" s="6" t="n"/>
      <c r="S1048" s="3">
        <f>IF($L1048="","",UPPER(SUBSTITUTE(SUBSTITUTE(SUBSTITUTE(SUBSTITUTE(SUBSTITUTE(SUBSTITUTE(SUBSTITUTE(SUBSTITUTE(SUBSTITUTE(SUBSTITUTE(SUBSTITUTE(SUBSTITUTE(SUBSTITUTE(SUBSTITUTE(SUBSTITUTE(SUBSTITUTE(SUBSTITUTE(SUBSTITUTE(TRIM($L1048),"'",""),"İ","I"),"ı","I"),"i","I"),"Ş","S"),"ş","S"),"Ğ","G"),"ğ","G"),"Ü","U"),"ü","U"),"Ö","O"),"ö","O"),"Ç","C"),"ç","C"),".",""),",","")," ",""),"-","")))</f>
        <v/>
      </c>
      <c r="T1048" s="3">
        <f>IF(OR($C1048="",$D1048&lt;&gt;"Gelir",$L1048=""),"",IFERROR(INDEX(MUSTERILER!$B$7:$B$106,MATCH($S1048,MUSTERILER!$T$7:$T$106,0)),""))</f>
        <v/>
      </c>
      <c r="U1048" s="3">
        <f>IF($T1048="","",$T1048&amp;"|"&amp;COUNTIFS($T$7:$T1048,$T1048))</f>
        <v/>
      </c>
      <c r="V1048" s="3">
        <f>IF($T1048="",0,1)</f>
        <v/>
      </c>
      <c r="W1048" s="3">
        <f>IF($C1048="","",$D1048&amp;"|"&amp;$E1048&amp;"|"&amp;TEXT($C1048,"0")&amp;"|"&amp;TEXT($G1048,"0")&amp;"|"&amp;$J1048)</f>
        <v/>
      </c>
      <c r="X1048" s="3" t="n"/>
      <c r="Y1048" s="3" t="n"/>
      <c r="Z1048" s="3" t="n"/>
      <c r="AA1048" s="3" t="n"/>
      <c r="AB1048" s="3" t="n"/>
      <c r="AC1048" s="3" t="n"/>
      <c r="AD1048" s="3">
        <f>IF($C1048="",0,SUMPRODUCT((AY_SONU!$O$7:$O$42="Evet")*(AY_SONU!$B$7:$B$42=DATE(YEAR($C1048),MONTH($C1048),1))))</f>
        <v/>
      </c>
    </row>
    <row r="1049">
      <c r="A1049" s="6" t="n"/>
      <c r="B1049" s="113">
        <f>IF($C1049="","","GG"&amp;TEXT(ROW()-6,"00000"))</f>
        <v/>
      </c>
      <c r="C1049" s="220" t="n"/>
      <c r="D1049" s="108" t="n"/>
      <c r="E1049" s="109" t="n"/>
      <c r="F1049" s="109" t="n"/>
      <c r="G1049" s="221" t="n"/>
      <c r="H1049" s="108" t="n"/>
      <c r="I1049" s="108" t="n"/>
      <c r="J1049" s="109" t="n"/>
      <c r="K1049" s="109" t="n"/>
      <c r="L1049" s="108" t="n"/>
      <c r="M1049" s="121">
        <f>IF($C1049="","",IF($D1049="Gider",$E1049,IF($L1049&lt;&gt;"",$L1049,$H1049)))</f>
        <v/>
      </c>
      <c r="N1049" s="121">
        <f>IF($C1049="","",IF($D1049="Gider",$H1049,$E1049))</f>
        <v/>
      </c>
      <c r="O1049" s="226">
        <f>IF($C1049="","",DATE(YEAR($C1049),MONTH($C1049),1))</f>
        <v/>
      </c>
      <c r="P1049" s="113">
        <f>IF($C1049="","",IF(AND($D1049="Gelir",$L1049&lt;&gt;"",$T1049=""),"TANIMSIZ BORÇLU",IF($T1049&lt;&gt;"",IF(OR($E1049="",$G1049&lt;=0),"EKSİK",IF($I1049="Evet","TAHAKKUK NAKİT OLAMAZ",IF($C1049&gt;TODAY(),"İLERİ TARİH","TAHAKKUK"))),IF(AND($D1049&lt;&gt;"",$E1049&lt;&gt;"",$G1049&gt;0,$H1049&lt;&gt;"",$I1049&lt;&gt;""),IF($C1049&gt;TODAY(),"İLERİ TARİH",IF(COUNTIF($W$7:$W$1206,$W1049)&gt;1,"MÜKERRER?",IF($AD1049&gt;0,"KAPALI DÖNEM",IF($I1049="Hayır","ÖDENECEK","UYGUN")))),"EKSİK"))))</f>
        <v/>
      </c>
      <c r="Q1049" s="6" t="n"/>
      <c r="R1049" s="6" t="n"/>
      <c r="S1049" s="3">
        <f>IF($L1049="","",UPPER(SUBSTITUTE(SUBSTITUTE(SUBSTITUTE(SUBSTITUTE(SUBSTITUTE(SUBSTITUTE(SUBSTITUTE(SUBSTITUTE(SUBSTITUTE(SUBSTITUTE(SUBSTITUTE(SUBSTITUTE(SUBSTITUTE(SUBSTITUTE(SUBSTITUTE(SUBSTITUTE(SUBSTITUTE(SUBSTITUTE(TRIM($L1049),"'",""),"İ","I"),"ı","I"),"i","I"),"Ş","S"),"ş","S"),"Ğ","G"),"ğ","G"),"Ü","U"),"ü","U"),"Ö","O"),"ö","O"),"Ç","C"),"ç","C"),".",""),",","")," ",""),"-","")))</f>
        <v/>
      </c>
      <c r="T1049" s="3">
        <f>IF(OR($C1049="",$D1049&lt;&gt;"Gelir",$L1049=""),"",IFERROR(INDEX(MUSTERILER!$B$7:$B$106,MATCH($S1049,MUSTERILER!$T$7:$T$106,0)),""))</f>
        <v/>
      </c>
      <c r="U1049" s="3">
        <f>IF($T1049="","",$T1049&amp;"|"&amp;COUNTIFS($T$7:$T1049,$T1049))</f>
        <v/>
      </c>
      <c r="V1049" s="3">
        <f>IF($T1049="",0,1)</f>
        <v/>
      </c>
      <c r="W1049" s="3">
        <f>IF($C1049="","",$D1049&amp;"|"&amp;$E1049&amp;"|"&amp;TEXT($C1049,"0")&amp;"|"&amp;TEXT($G1049,"0")&amp;"|"&amp;$J1049)</f>
        <v/>
      </c>
      <c r="X1049" s="3" t="n"/>
      <c r="Y1049" s="3" t="n"/>
      <c r="Z1049" s="3" t="n"/>
      <c r="AA1049" s="3" t="n"/>
      <c r="AB1049" s="3" t="n"/>
      <c r="AC1049" s="3" t="n"/>
      <c r="AD1049" s="3">
        <f>IF($C1049="",0,SUMPRODUCT((AY_SONU!$O$7:$O$42="Evet")*(AY_SONU!$B$7:$B$42=DATE(YEAR($C1049),MONTH($C1049),1))))</f>
        <v/>
      </c>
    </row>
    <row r="1050">
      <c r="A1050" s="6" t="n"/>
      <c r="B1050" s="113">
        <f>IF($C1050="","","GG"&amp;TEXT(ROW()-6,"00000"))</f>
        <v/>
      </c>
      <c r="C1050" s="220" t="n"/>
      <c r="D1050" s="108" t="n"/>
      <c r="E1050" s="109" t="n"/>
      <c r="F1050" s="109" t="n"/>
      <c r="G1050" s="221" t="n"/>
      <c r="H1050" s="108" t="n"/>
      <c r="I1050" s="108" t="n"/>
      <c r="J1050" s="109" t="n"/>
      <c r="K1050" s="109" t="n"/>
      <c r="L1050" s="108" t="n"/>
      <c r="M1050" s="121">
        <f>IF($C1050="","",IF($D1050="Gider",$E1050,IF($L1050&lt;&gt;"",$L1050,$H1050)))</f>
        <v/>
      </c>
      <c r="N1050" s="121">
        <f>IF($C1050="","",IF($D1050="Gider",$H1050,$E1050))</f>
        <v/>
      </c>
      <c r="O1050" s="226">
        <f>IF($C1050="","",DATE(YEAR($C1050),MONTH($C1050),1))</f>
        <v/>
      </c>
      <c r="P1050" s="113">
        <f>IF($C1050="","",IF(AND($D1050="Gelir",$L1050&lt;&gt;"",$T1050=""),"TANIMSIZ BORÇLU",IF($T1050&lt;&gt;"",IF(OR($E1050="",$G1050&lt;=0),"EKSİK",IF($I1050="Evet","TAHAKKUK NAKİT OLAMAZ",IF($C1050&gt;TODAY(),"İLERİ TARİH","TAHAKKUK"))),IF(AND($D1050&lt;&gt;"",$E1050&lt;&gt;"",$G1050&gt;0,$H1050&lt;&gt;"",$I1050&lt;&gt;""),IF($C1050&gt;TODAY(),"İLERİ TARİH",IF(COUNTIF($W$7:$W$1206,$W1050)&gt;1,"MÜKERRER?",IF($AD1050&gt;0,"KAPALI DÖNEM",IF($I1050="Hayır","ÖDENECEK","UYGUN")))),"EKSİK"))))</f>
        <v/>
      </c>
      <c r="Q1050" s="6" t="n"/>
      <c r="R1050" s="6" t="n"/>
      <c r="S1050" s="3">
        <f>IF($L1050="","",UPPER(SUBSTITUTE(SUBSTITUTE(SUBSTITUTE(SUBSTITUTE(SUBSTITUTE(SUBSTITUTE(SUBSTITUTE(SUBSTITUTE(SUBSTITUTE(SUBSTITUTE(SUBSTITUTE(SUBSTITUTE(SUBSTITUTE(SUBSTITUTE(SUBSTITUTE(SUBSTITUTE(SUBSTITUTE(SUBSTITUTE(TRIM($L1050),"'",""),"İ","I"),"ı","I"),"i","I"),"Ş","S"),"ş","S"),"Ğ","G"),"ğ","G"),"Ü","U"),"ü","U"),"Ö","O"),"ö","O"),"Ç","C"),"ç","C"),".",""),",","")," ",""),"-","")))</f>
        <v/>
      </c>
      <c r="T1050" s="3">
        <f>IF(OR($C1050="",$D1050&lt;&gt;"Gelir",$L1050=""),"",IFERROR(INDEX(MUSTERILER!$B$7:$B$106,MATCH($S1050,MUSTERILER!$T$7:$T$106,0)),""))</f>
        <v/>
      </c>
      <c r="U1050" s="3">
        <f>IF($T1050="","",$T1050&amp;"|"&amp;COUNTIFS($T$7:$T1050,$T1050))</f>
        <v/>
      </c>
      <c r="V1050" s="3">
        <f>IF($T1050="",0,1)</f>
        <v/>
      </c>
      <c r="W1050" s="3">
        <f>IF($C1050="","",$D1050&amp;"|"&amp;$E1050&amp;"|"&amp;TEXT($C1050,"0")&amp;"|"&amp;TEXT($G1050,"0")&amp;"|"&amp;$J1050)</f>
        <v/>
      </c>
      <c r="X1050" s="3" t="n"/>
      <c r="Y1050" s="3" t="n"/>
      <c r="Z1050" s="3" t="n"/>
      <c r="AA1050" s="3" t="n"/>
      <c r="AB1050" s="3" t="n"/>
      <c r="AC1050" s="3" t="n"/>
      <c r="AD1050" s="3">
        <f>IF($C1050="",0,SUMPRODUCT((AY_SONU!$O$7:$O$42="Evet")*(AY_SONU!$B$7:$B$42=DATE(YEAR($C1050),MONTH($C1050),1))))</f>
        <v/>
      </c>
    </row>
    <row r="1051">
      <c r="A1051" s="6" t="n"/>
      <c r="B1051" s="113">
        <f>IF($C1051="","","GG"&amp;TEXT(ROW()-6,"00000"))</f>
        <v/>
      </c>
      <c r="C1051" s="220" t="n"/>
      <c r="D1051" s="108" t="n"/>
      <c r="E1051" s="109" t="n"/>
      <c r="F1051" s="109" t="n"/>
      <c r="G1051" s="221" t="n"/>
      <c r="H1051" s="108" t="n"/>
      <c r="I1051" s="108" t="n"/>
      <c r="J1051" s="109" t="n"/>
      <c r="K1051" s="109" t="n"/>
      <c r="L1051" s="108" t="n"/>
      <c r="M1051" s="121">
        <f>IF($C1051="","",IF($D1051="Gider",$E1051,IF($L1051&lt;&gt;"",$L1051,$H1051)))</f>
        <v/>
      </c>
      <c r="N1051" s="121">
        <f>IF($C1051="","",IF($D1051="Gider",$H1051,$E1051))</f>
        <v/>
      </c>
      <c r="O1051" s="226">
        <f>IF($C1051="","",DATE(YEAR($C1051),MONTH($C1051),1))</f>
        <v/>
      </c>
      <c r="P1051" s="113">
        <f>IF($C1051="","",IF(AND($D1051="Gelir",$L1051&lt;&gt;"",$T1051=""),"TANIMSIZ BORÇLU",IF($T1051&lt;&gt;"",IF(OR($E1051="",$G1051&lt;=0),"EKSİK",IF($I1051="Evet","TAHAKKUK NAKİT OLAMAZ",IF($C1051&gt;TODAY(),"İLERİ TARİH","TAHAKKUK"))),IF(AND($D1051&lt;&gt;"",$E1051&lt;&gt;"",$G1051&gt;0,$H1051&lt;&gt;"",$I1051&lt;&gt;""),IF($C1051&gt;TODAY(),"İLERİ TARİH",IF(COUNTIF($W$7:$W$1206,$W1051)&gt;1,"MÜKERRER?",IF($AD1051&gt;0,"KAPALI DÖNEM",IF($I1051="Hayır","ÖDENECEK","UYGUN")))),"EKSİK"))))</f>
        <v/>
      </c>
      <c r="Q1051" s="6" t="n"/>
      <c r="R1051" s="6" t="n"/>
      <c r="S1051" s="3">
        <f>IF($L1051="","",UPPER(SUBSTITUTE(SUBSTITUTE(SUBSTITUTE(SUBSTITUTE(SUBSTITUTE(SUBSTITUTE(SUBSTITUTE(SUBSTITUTE(SUBSTITUTE(SUBSTITUTE(SUBSTITUTE(SUBSTITUTE(SUBSTITUTE(SUBSTITUTE(SUBSTITUTE(SUBSTITUTE(SUBSTITUTE(SUBSTITUTE(TRIM($L1051),"'",""),"İ","I"),"ı","I"),"i","I"),"Ş","S"),"ş","S"),"Ğ","G"),"ğ","G"),"Ü","U"),"ü","U"),"Ö","O"),"ö","O"),"Ç","C"),"ç","C"),".",""),",","")," ",""),"-","")))</f>
        <v/>
      </c>
      <c r="T1051" s="3">
        <f>IF(OR($C1051="",$D1051&lt;&gt;"Gelir",$L1051=""),"",IFERROR(INDEX(MUSTERILER!$B$7:$B$106,MATCH($S1051,MUSTERILER!$T$7:$T$106,0)),""))</f>
        <v/>
      </c>
      <c r="U1051" s="3">
        <f>IF($T1051="","",$T1051&amp;"|"&amp;COUNTIFS($T$7:$T1051,$T1051))</f>
        <v/>
      </c>
      <c r="V1051" s="3">
        <f>IF($T1051="",0,1)</f>
        <v/>
      </c>
      <c r="W1051" s="3">
        <f>IF($C1051="","",$D1051&amp;"|"&amp;$E1051&amp;"|"&amp;TEXT($C1051,"0")&amp;"|"&amp;TEXT($G1051,"0")&amp;"|"&amp;$J1051)</f>
        <v/>
      </c>
      <c r="X1051" s="3" t="n"/>
      <c r="Y1051" s="3" t="n"/>
      <c r="Z1051" s="3" t="n"/>
      <c r="AA1051" s="3" t="n"/>
      <c r="AB1051" s="3" t="n"/>
      <c r="AC1051" s="3" t="n"/>
      <c r="AD1051" s="3">
        <f>IF($C1051="",0,SUMPRODUCT((AY_SONU!$O$7:$O$42="Evet")*(AY_SONU!$B$7:$B$42=DATE(YEAR($C1051),MONTH($C1051),1))))</f>
        <v/>
      </c>
    </row>
    <row r="1052">
      <c r="A1052" s="6" t="n"/>
      <c r="B1052" s="113">
        <f>IF($C1052="","","GG"&amp;TEXT(ROW()-6,"00000"))</f>
        <v/>
      </c>
      <c r="C1052" s="220" t="n"/>
      <c r="D1052" s="108" t="n"/>
      <c r="E1052" s="109" t="n"/>
      <c r="F1052" s="109" t="n"/>
      <c r="G1052" s="221" t="n"/>
      <c r="H1052" s="108" t="n"/>
      <c r="I1052" s="108" t="n"/>
      <c r="J1052" s="109" t="n"/>
      <c r="K1052" s="109" t="n"/>
      <c r="L1052" s="108" t="n"/>
      <c r="M1052" s="121">
        <f>IF($C1052="","",IF($D1052="Gider",$E1052,IF($L1052&lt;&gt;"",$L1052,$H1052)))</f>
        <v/>
      </c>
      <c r="N1052" s="121">
        <f>IF($C1052="","",IF($D1052="Gider",$H1052,$E1052))</f>
        <v/>
      </c>
      <c r="O1052" s="226">
        <f>IF($C1052="","",DATE(YEAR($C1052),MONTH($C1052),1))</f>
        <v/>
      </c>
      <c r="P1052" s="113">
        <f>IF($C1052="","",IF(AND($D1052="Gelir",$L1052&lt;&gt;"",$T1052=""),"TANIMSIZ BORÇLU",IF($T1052&lt;&gt;"",IF(OR($E1052="",$G1052&lt;=0),"EKSİK",IF($I1052="Evet","TAHAKKUK NAKİT OLAMAZ",IF($C1052&gt;TODAY(),"İLERİ TARİH","TAHAKKUK"))),IF(AND($D1052&lt;&gt;"",$E1052&lt;&gt;"",$G1052&gt;0,$H1052&lt;&gt;"",$I1052&lt;&gt;""),IF($C1052&gt;TODAY(),"İLERİ TARİH",IF(COUNTIF($W$7:$W$1206,$W1052)&gt;1,"MÜKERRER?",IF($AD1052&gt;0,"KAPALI DÖNEM",IF($I1052="Hayır","ÖDENECEK","UYGUN")))),"EKSİK"))))</f>
        <v/>
      </c>
      <c r="Q1052" s="6" t="n"/>
      <c r="R1052" s="6" t="n"/>
      <c r="S1052" s="3">
        <f>IF($L1052="","",UPPER(SUBSTITUTE(SUBSTITUTE(SUBSTITUTE(SUBSTITUTE(SUBSTITUTE(SUBSTITUTE(SUBSTITUTE(SUBSTITUTE(SUBSTITUTE(SUBSTITUTE(SUBSTITUTE(SUBSTITUTE(SUBSTITUTE(SUBSTITUTE(SUBSTITUTE(SUBSTITUTE(SUBSTITUTE(SUBSTITUTE(TRIM($L1052),"'",""),"İ","I"),"ı","I"),"i","I"),"Ş","S"),"ş","S"),"Ğ","G"),"ğ","G"),"Ü","U"),"ü","U"),"Ö","O"),"ö","O"),"Ç","C"),"ç","C"),".",""),",","")," ",""),"-","")))</f>
        <v/>
      </c>
      <c r="T1052" s="3">
        <f>IF(OR($C1052="",$D1052&lt;&gt;"Gelir",$L1052=""),"",IFERROR(INDEX(MUSTERILER!$B$7:$B$106,MATCH($S1052,MUSTERILER!$T$7:$T$106,0)),""))</f>
        <v/>
      </c>
      <c r="U1052" s="3">
        <f>IF($T1052="","",$T1052&amp;"|"&amp;COUNTIFS($T$7:$T1052,$T1052))</f>
        <v/>
      </c>
      <c r="V1052" s="3">
        <f>IF($T1052="",0,1)</f>
        <v/>
      </c>
      <c r="W1052" s="3">
        <f>IF($C1052="","",$D1052&amp;"|"&amp;$E1052&amp;"|"&amp;TEXT($C1052,"0")&amp;"|"&amp;TEXT($G1052,"0")&amp;"|"&amp;$J1052)</f>
        <v/>
      </c>
      <c r="X1052" s="3" t="n"/>
      <c r="Y1052" s="3" t="n"/>
      <c r="Z1052" s="3" t="n"/>
      <c r="AA1052" s="3" t="n"/>
      <c r="AB1052" s="3" t="n"/>
      <c r="AC1052" s="3" t="n"/>
      <c r="AD1052" s="3">
        <f>IF($C1052="",0,SUMPRODUCT((AY_SONU!$O$7:$O$42="Evet")*(AY_SONU!$B$7:$B$42=DATE(YEAR($C1052),MONTH($C1052),1))))</f>
        <v/>
      </c>
    </row>
    <row r="1053">
      <c r="A1053" s="6" t="n"/>
      <c r="B1053" s="113">
        <f>IF($C1053="","","GG"&amp;TEXT(ROW()-6,"00000"))</f>
        <v/>
      </c>
      <c r="C1053" s="220" t="n"/>
      <c r="D1053" s="108" t="n"/>
      <c r="E1053" s="109" t="n"/>
      <c r="F1053" s="109" t="n"/>
      <c r="G1053" s="221" t="n"/>
      <c r="H1053" s="108" t="n"/>
      <c r="I1053" s="108" t="n"/>
      <c r="J1053" s="109" t="n"/>
      <c r="K1053" s="109" t="n"/>
      <c r="L1053" s="108" t="n"/>
      <c r="M1053" s="121">
        <f>IF($C1053="","",IF($D1053="Gider",$E1053,IF($L1053&lt;&gt;"",$L1053,$H1053)))</f>
        <v/>
      </c>
      <c r="N1053" s="121">
        <f>IF($C1053="","",IF($D1053="Gider",$H1053,$E1053))</f>
        <v/>
      </c>
      <c r="O1053" s="226">
        <f>IF($C1053="","",DATE(YEAR($C1053),MONTH($C1053),1))</f>
        <v/>
      </c>
      <c r="P1053" s="113">
        <f>IF($C1053="","",IF(AND($D1053="Gelir",$L1053&lt;&gt;"",$T1053=""),"TANIMSIZ BORÇLU",IF($T1053&lt;&gt;"",IF(OR($E1053="",$G1053&lt;=0),"EKSİK",IF($I1053="Evet","TAHAKKUK NAKİT OLAMAZ",IF($C1053&gt;TODAY(),"İLERİ TARİH","TAHAKKUK"))),IF(AND($D1053&lt;&gt;"",$E1053&lt;&gt;"",$G1053&gt;0,$H1053&lt;&gt;"",$I1053&lt;&gt;""),IF($C1053&gt;TODAY(),"İLERİ TARİH",IF(COUNTIF($W$7:$W$1206,$W1053)&gt;1,"MÜKERRER?",IF($AD1053&gt;0,"KAPALI DÖNEM",IF($I1053="Hayır","ÖDENECEK","UYGUN")))),"EKSİK"))))</f>
        <v/>
      </c>
      <c r="Q1053" s="6" t="n"/>
      <c r="R1053" s="6" t="n"/>
      <c r="S1053" s="3">
        <f>IF($L1053="","",UPPER(SUBSTITUTE(SUBSTITUTE(SUBSTITUTE(SUBSTITUTE(SUBSTITUTE(SUBSTITUTE(SUBSTITUTE(SUBSTITUTE(SUBSTITUTE(SUBSTITUTE(SUBSTITUTE(SUBSTITUTE(SUBSTITUTE(SUBSTITUTE(SUBSTITUTE(SUBSTITUTE(SUBSTITUTE(SUBSTITUTE(TRIM($L1053),"'",""),"İ","I"),"ı","I"),"i","I"),"Ş","S"),"ş","S"),"Ğ","G"),"ğ","G"),"Ü","U"),"ü","U"),"Ö","O"),"ö","O"),"Ç","C"),"ç","C"),".",""),",","")," ",""),"-","")))</f>
        <v/>
      </c>
      <c r="T1053" s="3">
        <f>IF(OR($C1053="",$D1053&lt;&gt;"Gelir",$L1053=""),"",IFERROR(INDEX(MUSTERILER!$B$7:$B$106,MATCH($S1053,MUSTERILER!$T$7:$T$106,0)),""))</f>
        <v/>
      </c>
      <c r="U1053" s="3">
        <f>IF($T1053="","",$T1053&amp;"|"&amp;COUNTIFS($T$7:$T1053,$T1053))</f>
        <v/>
      </c>
      <c r="V1053" s="3">
        <f>IF($T1053="",0,1)</f>
        <v/>
      </c>
      <c r="W1053" s="3">
        <f>IF($C1053="","",$D1053&amp;"|"&amp;$E1053&amp;"|"&amp;TEXT($C1053,"0")&amp;"|"&amp;TEXT($G1053,"0")&amp;"|"&amp;$J1053)</f>
        <v/>
      </c>
      <c r="X1053" s="3" t="n"/>
      <c r="Y1053" s="3" t="n"/>
      <c r="Z1053" s="3" t="n"/>
      <c r="AA1053" s="3" t="n"/>
      <c r="AB1053" s="3" t="n"/>
      <c r="AC1053" s="3" t="n"/>
      <c r="AD1053" s="3">
        <f>IF($C1053="",0,SUMPRODUCT((AY_SONU!$O$7:$O$42="Evet")*(AY_SONU!$B$7:$B$42=DATE(YEAR($C1053),MONTH($C1053),1))))</f>
        <v/>
      </c>
    </row>
    <row r="1054">
      <c r="A1054" s="6" t="n"/>
      <c r="B1054" s="113">
        <f>IF($C1054="","","GG"&amp;TEXT(ROW()-6,"00000"))</f>
        <v/>
      </c>
      <c r="C1054" s="220" t="n"/>
      <c r="D1054" s="108" t="n"/>
      <c r="E1054" s="109" t="n"/>
      <c r="F1054" s="109" t="n"/>
      <c r="G1054" s="221" t="n"/>
      <c r="H1054" s="108" t="n"/>
      <c r="I1054" s="108" t="n"/>
      <c r="J1054" s="109" t="n"/>
      <c r="K1054" s="109" t="n"/>
      <c r="L1054" s="108" t="n"/>
      <c r="M1054" s="121">
        <f>IF($C1054="","",IF($D1054="Gider",$E1054,IF($L1054&lt;&gt;"",$L1054,$H1054)))</f>
        <v/>
      </c>
      <c r="N1054" s="121">
        <f>IF($C1054="","",IF($D1054="Gider",$H1054,$E1054))</f>
        <v/>
      </c>
      <c r="O1054" s="226">
        <f>IF($C1054="","",DATE(YEAR($C1054),MONTH($C1054),1))</f>
        <v/>
      </c>
      <c r="P1054" s="113">
        <f>IF($C1054="","",IF(AND($D1054="Gelir",$L1054&lt;&gt;"",$T1054=""),"TANIMSIZ BORÇLU",IF($T1054&lt;&gt;"",IF(OR($E1054="",$G1054&lt;=0),"EKSİK",IF($I1054="Evet","TAHAKKUK NAKİT OLAMAZ",IF($C1054&gt;TODAY(),"İLERİ TARİH","TAHAKKUK"))),IF(AND($D1054&lt;&gt;"",$E1054&lt;&gt;"",$G1054&gt;0,$H1054&lt;&gt;"",$I1054&lt;&gt;""),IF($C1054&gt;TODAY(),"İLERİ TARİH",IF(COUNTIF($W$7:$W$1206,$W1054)&gt;1,"MÜKERRER?",IF($AD1054&gt;0,"KAPALI DÖNEM",IF($I1054="Hayır","ÖDENECEK","UYGUN")))),"EKSİK"))))</f>
        <v/>
      </c>
      <c r="Q1054" s="6" t="n"/>
      <c r="R1054" s="6" t="n"/>
      <c r="S1054" s="3">
        <f>IF($L1054="","",UPPER(SUBSTITUTE(SUBSTITUTE(SUBSTITUTE(SUBSTITUTE(SUBSTITUTE(SUBSTITUTE(SUBSTITUTE(SUBSTITUTE(SUBSTITUTE(SUBSTITUTE(SUBSTITUTE(SUBSTITUTE(SUBSTITUTE(SUBSTITUTE(SUBSTITUTE(SUBSTITUTE(SUBSTITUTE(SUBSTITUTE(TRIM($L1054),"'",""),"İ","I"),"ı","I"),"i","I"),"Ş","S"),"ş","S"),"Ğ","G"),"ğ","G"),"Ü","U"),"ü","U"),"Ö","O"),"ö","O"),"Ç","C"),"ç","C"),".",""),",","")," ",""),"-","")))</f>
        <v/>
      </c>
      <c r="T1054" s="3">
        <f>IF(OR($C1054="",$D1054&lt;&gt;"Gelir",$L1054=""),"",IFERROR(INDEX(MUSTERILER!$B$7:$B$106,MATCH($S1054,MUSTERILER!$T$7:$T$106,0)),""))</f>
        <v/>
      </c>
      <c r="U1054" s="3">
        <f>IF($T1054="","",$T1054&amp;"|"&amp;COUNTIFS($T$7:$T1054,$T1054))</f>
        <v/>
      </c>
      <c r="V1054" s="3">
        <f>IF($T1054="",0,1)</f>
        <v/>
      </c>
      <c r="W1054" s="3">
        <f>IF($C1054="","",$D1054&amp;"|"&amp;$E1054&amp;"|"&amp;TEXT($C1054,"0")&amp;"|"&amp;TEXT($G1054,"0")&amp;"|"&amp;$J1054)</f>
        <v/>
      </c>
      <c r="X1054" s="3" t="n"/>
      <c r="Y1054" s="3" t="n"/>
      <c r="Z1054" s="3" t="n"/>
      <c r="AA1054" s="3" t="n"/>
      <c r="AB1054" s="3" t="n"/>
      <c r="AC1054" s="3" t="n"/>
      <c r="AD1054" s="3">
        <f>IF($C1054="",0,SUMPRODUCT((AY_SONU!$O$7:$O$42="Evet")*(AY_SONU!$B$7:$B$42=DATE(YEAR($C1054),MONTH($C1054),1))))</f>
        <v/>
      </c>
    </row>
    <row r="1055">
      <c r="A1055" s="6" t="n"/>
      <c r="B1055" s="113">
        <f>IF($C1055="","","GG"&amp;TEXT(ROW()-6,"00000"))</f>
        <v/>
      </c>
      <c r="C1055" s="220" t="n"/>
      <c r="D1055" s="108" t="n"/>
      <c r="E1055" s="109" t="n"/>
      <c r="F1055" s="109" t="n"/>
      <c r="G1055" s="221" t="n"/>
      <c r="H1055" s="108" t="n"/>
      <c r="I1055" s="108" t="n"/>
      <c r="J1055" s="109" t="n"/>
      <c r="K1055" s="109" t="n"/>
      <c r="L1055" s="108" t="n"/>
      <c r="M1055" s="121">
        <f>IF($C1055="","",IF($D1055="Gider",$E1055,IF($L1055&lt;&gt;"",$L1055,$H1055)))</f>
        <v/>
      </c>
      <c r="N1055" s="121">
        <f>IF($C1055="","",IF($D1055="Gider",$H1055,$E1055))</f>
        <v/>
      </c>
      <c r="O1055" s="226">
        <f>IF($C1055="","",DATE(YEAR($C1055),MONTH($C1055),1))</f>
        <v/>
      </c>
      <c r="P1055" s="113">
        <f>IF($C1055="","",IF(AND($D1055="Gelir",$L1055&lt;&gt;"",$T1055=""),"TANIMSIZ BORÇLU",IF($T1055&lt;&gt;"",IF(OR($E1055="",$G1055&lt;=0),"EKSİK",IF($I1055="Evet","TAHAKKUK NAKİT OLAMAZ",IF($C1055&gt;TODAY(),"İLERİ TARİH","TAHAKKUK"))),IF(AND($D1055&lt;&gt;"",$E1055&lt;&gt;"",$G1055&gt;0,$H1055&lt;&gt;"",$I1055&lt;&gt;""),IF($C1055&gt;TODAY(),"İLERİ TARİH",IF(COUNTIF($W$7:$W$1206,$W1055)&gt;1,"MÜKERRER?",IF($AD1055&gt;0,"KAPALI DÖNEM",IF($I1055="Hayır","ÖDENECEK","UYGUN")))),"EKSİK"))))</f>
        <v/>
      </c>
      <c r="Q1055" s="6" t="n"/>
      <c r="R1055" s="6" t="n"/>
      <c r="S1055" s="3">
        <f>IF($L1055="","",UPPER(SUBSTITUTE(SUBSTITUTE(SUBSTITUTE(SUBSTITUTE(SUBSTITUTE(SUBSTITUTE(SUBSTITUTE(SUBSTITUTE(SUBSTITUTE(SUBSTITUTE(SUBSTITUTE(SUBSTITUTE(SUBSTITUTE(SUBSTITUTE(SUBSTITUTE(SUBSTITUTE(SUBSTITUTE(SUBSTITUTE(TRIM($L1055),"'",""),"İ","I"),"ı","I"),"i","I"),"Ş","S"),"ş","S"),"Ğ","G"),"ğ","G"),"Ü","U"),"ü","U"),"Ö","O"),"ö","O"),"Ç","C"),"ç","C"),".",""),",","")," ",""),"-","")))</f>
        <v/>
      </c>
      <c r="T1055" s="3">
        <f>IF(OR($C1055="",$D1055&lt;&gt;"Gelir",$L1055=""),"",IFERROR(INDEX(MUSTERILER!$B$7:$B$106,MATCH($S1055,MUSTERILER!$T$7:$T$106,0)),""))</f>
        <v/>
      </c>
      <c r="U1055" s="3">
        <f>IF($T1055="","",$T1055&amp;"|"&amp;COUNTIFS($T$7:$T1055,$T1055))</f>
        <v/>
      </c>
      <c r="V1055" s="3">
        <f>IF($T1055="",0,1)</f>
        <v/>
      </c>
      <c r="W1055" s="3">
        <f>IF($C1055="","",$D1055&amp;"|"&amp;$E1055&amp;"|"&amp;TEXT($C1055,"0")&amp;"|"&amp;TEXT($G1055,"0")&amp;"|"&amp;$J1055)</f>
        <v/>
      </c>
      <c r="X1055" s="3" t="n"/>
      <c r="Y1055" s="3" t="n"/>
      <c r="Z1055" s="3" t="n"/>
      <c r="AA1055" s="3" t="n"/>
      <c r="AB1055" s="3" t="n"/>
      <c r="AC1055" s="3" t="n"/>
      <c r="AD1055" s="3">
        <f>IF($C1055="",0,SUMPRODUCT((AY_SONU!$O$7:$O$42="Evet")*(AY_SONU!$B$7:$B$42=DATE(YEAR($C1055),MONTH($C1055),1))))</f>
        <v/>
      </c>
    </row>
    <row r="1056">
      <c r="A1056" s="6" t="n"/>
      <c r="B1056" s="113">
        <f>IF($C1056="","","GG"&amp;TEXT(ROW()-6,"00000"))</f>
        <v/>
      </c>
      <c r="C1056" s="220" t="n"/>
      <c r="D1056" s="108" t="n"/>
      <c r="E1056" s="109" t="n"/>
      <c r="F1056" s="109" t="n"/>
      <c r="G1056" s="221" t="n"/>
      <c r="H1056" s="108" t="n"/>
      <c r="I1056" s="108" t="n"/>
      <c r="J1056" s="109" t="n"/>
      <c r="K1056" s="109" t="n"/>
      <c r="L1056" s="108" t="n"/>
      <c r="M1056" s="121">
        <f>IF($C1056="","",IF($D1056="Gider",$E1056,IF($L1056&lt;&gt;"",$L1056,$H1056)))</f>
        <v/>
      </c>
      <c r="N1056" s="121">
        <f>IF($C1056="","",IF($D1056="Gider",$H1056,$E1056))</f>
        <v/>
      </c>
      <c r="O1056" s="226">
        <f>IF($C1056="","",DATE(YEAR($C1056),MONTH($C1056),1))</f>
        <v/>
      </c>
      <c r="P1056" s="113">
        <f>IF($C1056="","",IF(AND($D1056="Gelir",$L1056&lt;&gt;"",$T1056=""),"TANIMSIZ BORÇLU",IF($T1056&lt;&gt;"",IF(OR($E1056="",$G1056&lt;=0),"EKSİK",IF($I1056="Evet","TAHAKKUK NAKİT OLAMAZ",IF($C1056&gt;TODAY(),"İLERİ TARİH","TAHAKKUK"))),IF(AND($D1056&lt;&gt;"",$E1056&lt;&gt;"",$G1056&gt;0,$H1056&lt;&gt;"",$I1056&lt;&gt;""),IF($C1056&gt;TODAY(),"İLERİ TARİH",IF(COUNTIF($W$7:$W$1206,$W1056)&gt;1,"MÜKERRER?",IF($AD1056&gt;0,"KAPALI DÖNEM",IF($I1056="Hayır","ÖDENECEK","UYGUN")))),"EKSİK"))))</f>
        <v/>
      </c>
      <c r="Q1056" s="6" t="n"/>
      <c r="R1056" s="6" t="n"/>
      <c r="S1056" s="3">
        <f>IF($L1056="","",UPPER(SUBSTITUTE(SUBSTITUTE(SUBSTITUTE(SUBSTITUTE(SUBSTITUTE(SUBSTITUTE(SUBSTITUTE(SUBSTITUTE(SUBSTITUTE(SUBSTITUTE(SUBSTITUTE(SUBSTITUTE(SUBSTITUTE(SUBSTITUTE(SUBSTITUTE(SUBSTITUTE(SUBSTITUTE(SUBSTITUTE(TRIM($L1056),"'",""),"İ","I"),"ı","I"),"i","I"),"Ş","S"),"ş","S"),"Ğ","G"),"ğ","G"),"Ü","U"),"ü","U"),"Ö","O"),"ö","O"),"Ç","C"),"ç","C"),".",""),",","")," ",""),"-","")))</f>
        <v/>
      </c>
      <c r="T1056" s="3">
        <f>IF(OR($C1056="",$D1056&lt;&gt;"Gelir",$L1056=""),"",IFERROR(INDEX(MUSTERILER!$B$7:$B$106,MATCH($S1056,MUSTERILER!$T$7:$T$106,0)),""))</f>
        <v/>
      </c>
      <c r="U1056" s="3">
        <f>IF($T1056="","",$T1056&amp;"|"&amp;COUNTIFS($T$7:$T1056,$T1056))</f>
        <v/>
      </c>
      <c r="V1056" s="3">
        <f>IF($T1056="",0,1)</f>
        <v/>
      </c>
      <c r="W1056" s="3">
        <f>IF($C1056="","",$D1056&amp;"|"&amp;$E1056&amp;"|"&amp;TEXT($C1056,"0")&amp;"|"&amp;TEXT($G1056,"0")&amp;"|"&amp;$J1056)</f>
        <v/>
      </c>
      <c r="X1056" s="3" t="n"/>
      <c r="Y1056" s="3" t="n"/>
      <c r="Z1056" s="3" t="n"/>
      <c r="AA1056" s="3" t="n"/>
      <c r="AB1056" s="3" t="n"/>
      <c r="AC1056" s="3" t="n"/>
      <c r="AD1056" s="3">
        <f>IF($C1056="",0,SUMPRODUCT((AY_SONU!$O$7:$O$42="Evet")*(AY_SONU!$B$7:$B$42=DATE(YEAR($C1056),MONTH($C1056),1))))</f>
        <v/>
      </c>
    </row>
    <row r="1057">
      <c r="A1057" s="6" t="n"/>
      <c r="B1057" s="113">
        <f>IF($C1057="","","GG"&amp;TEXT(ROW()-6,"00000"))</f>
        <v/>
      </c>
      <c r="C1057" s="220" t="n"/>
      <c r="D1057" s="108" t="n"/>
      <c r="E1057" s="109" t="n"/>
      <c r="F1057" s="109" t="n"/>
      <c r="G1057" s="221" t="n"/>
      <c r="H1057" s="108" t="n"/>
      <c r="I1057" s="108" t="n"/>
      <c r="J1057" s="109" t="n"/>
      <c r="K1057" s="109" t="n"/>
      <c r="L1057" s="108" t="n"/>
      <c r="M1057" s="121">
        <f>IF($C1057="","",IF($D1057="Gider",$E1057,IF($L1057&lt;&gt;"",$L1057,$H1057)))</f>
        <v/>
      </c>
      <c r="N1057" s="121">
        <f>IF($C1057="","",IF($D1057="Gider",$H1057,$E1057))</f>
        <v/>
      </c>
      <c r="O1057" s="226">
        <f>IF($C1057="","",DATE(YEAR($C1057),MONTH($C1057),1))</f>
        <v/>
      </c>
      <c r="P1057" s="113">
        <f>IF($C1057="","",IF(AND($D1057="Gelir",$L1057&lt;&gt;"",$T1057=""),"TANIMSIZ BORÇLU",IF($T1057&lt;&gt;"",IF(OR($E1057="",$G1057&lt;=0),"EKSİK",IF($I1057="Evet","TAHAKKUK NAKİT OLAMAZ",IF($C1057&gt;TODAY(),"İLERİ TARİH","TAHAKKUK"))),IF(AND($D1057&lt;&gt;"",$E1057&lt;&gt;"",$G1057&gt;0,$H1057&lt;&gt;"",$I1057&lt;&gt;""),IF($C1057&gt;TODAY(),"İLERİ TARİH",IF(COUNTIF($W$7:$W$1206,$W1057)&gt;1,"MÜKERRER?",IF($AD1057&gt;0,"KAPALI DÖNEM",IF($I1057="Hayır","ÖDENECEK","UYGUN")))),"EKSİK"))))</f>
        <v/>
      </c>
      <c r="Q1057" s="6" t="n"/>
      <c r="R1057" s="6" t="n"/>
      <c r="S1057" s="3">
        <f>IF($L1057="","",UPPER(SUBSTITUTE(SUBSTITUTE(SUBSTITUTE(SUBSTITUTE(SUBSTITUTE(SUBSTITUTE(SUBSTITUTE(SUBSTITUTE(SUBSTITUTE(SUBSTITUTE(SUBSTITUTE(SUBSTITUTE(SUBSTITUTE(SUBSTITUTE(SUBSTITUTE(SUBSTITUTE(SUBSTITUTE(SUBSTITUTE(TRIM($L1057),"'",""),"İ","I"),"ı","I"),"i","I"),"Ş","S"),"ş","S"),"Ğ","G"),"ğ","G"),"Ü","U"),"ü","U"),"Ö","O"),"ö","O"),"Ç","C"),"ç","C"),".",""),",","")," ",""),"-","")))</f>
        <v/>
      </c>
      <c r="T1057" s="3">
        <f>IF(OR($C1057="",$D1057&lt;&gt;"Gelir",$L1057=""),"",IFERROR(INDEX(MUSTERILER!$B$7:$B$106,MATCH($S1057,MUSTERILER!$T$7:$T$106,0)),""))</f>
        <v/>
      </c>
      <c r="U1057" s="3">
        <f>IF($T1057="","",$T1057&amp;"|"&amp;COUNTIFS($T$7:$T1057,$T1057))</f>
        <v/>
      </c>
      <c r="V1057" s="3">
        <f>IF($T1057="",0,1)</f>
        <v/>
      </c>
      <c r="W1057" s="3">
        <f>IF($C1057="","",$D1057&amp;"|"&amp;$E1057&amp;"|"&amp;TEXT($C1057,"0")&amp;"|"&amp;TEXT($G1057,"0")&amp;"|"&amp;$J1057)</f>
        <v/>
      </c>
      <c r="X1057" s="3" t="n"/>
      <c r="Y1057" s="3" t="n"/>
      <c r="Z1057" s="3" t="n"/>
      <c r="AA1057" s="3" t="n"/>
      <c r="AB1057" s="3" t="n"/>
      <c r="AC1057" s="3" t="n"/>
      <c r="AD1057" s="3">
        <f>IF($C1057="",0,SUMPRODUCT((AY_SONU!$O$7:$O$42="Evet")*(AY_SONU!$B$7:$B$42=DATE(YEAR($C1057),MONTH($C1057),1))))</f>
        <v/>
      </c>
    </row>
    <row r="1058">
      <c r="A1058" s="6" t="n"/>
      <c r="B1058" s="113">
        <f>IF($C1058="","","GG"&amp;TEXT(ROW()-6,"00000"))</f>
        <v/>
      </c>
      <c r="C1058" s="220" t="n"/>
      <c r="D1058" s="108" t="n"/>
      <c r="E1058" s="109" t="n"/>
      <c r="F1058" s="109" t="n"/>
      <c r="G1058" s="221" t="n"/>
      <c r="H1058" s="108" t="n"/>
      <c r="I1058" s="108" t="n"/>
      <c r="J1058" s="109" t="n"/>
      <c r="K1058" s="109" t="n"/>
      <c r="L1058" s="108" t="n"/>
      <c r="M1058" s="121">
        <f>IF($C1058="","",IF($D1058="Gider",$E1058,IF($L1058&lt;&gt;"",$L1058,$H1058)))</f>
        <v/>
      </c>
      <c r="N1058" s="121">
        <f>IF($C1058="","",IF($D1058="Gider",$H1058,$E1058))</f>
        <v/>
      </c>
      <c r="O1058" s="226">
        <f>IF($C1058="","",DATE(YEAR($C1058),MONTH($C1058),1))</f>
        <v/>
      </c>
      <c r="P1058" s="113">
        <f>IF($C1058="","",IF(AND($D1058="Gelir",$L1058&lt;&gt;"",$T1058=""),"TANIMSIZ BORÇLU",IF($T1058&lt;&gt;"",IF(OR($E1058="",$G1058&lt;=0),"EKSİK",IF($I1058="Evet","TAHAKKUK NAKİT OLAMAZ",IF($C1058&gt;TODAY(),"İLERİ TARİH","TAHAKKUK"))),IF(AND($D1058&lt;&gt;"",$E1058&lt;&gt;"",$G1058&gt;0,$H1058&lt;&gt;"",$I1058&lt;&gt;""),IF($C1058&gt;TODAY(),"İLERİ TARİH",IF(COUNTIF($W$7:$W$1206,$W1058)&gt;1,"MÜKERRER?",IF($AD1058&gt;0,"KAPALI DÖNEM",IF($I1058="Hayır","ÖDENECEK","UYGUN")))),"EKSİK"))))</f>
        <v/>
      </c>
      <c r="Q1058" s="6" t="n"/>
      <c r="R1058" s="6" t="n"/>
      <c r="S1058" s="3">
        <f>IF($L1058="","",UPPER(SUBSTITUTE(SUBSTITUTE(SUBSTITUTE(SUBSTITUTE(SUBSTITUTE(SUBSTITUTE(SUBSTITUTE(SUBSTITUTE(SUBSTITUTE(SUBSTITUTE(SUBSTITUTE(SUBSTITUTE(SUBSTITUTE(SUBSTITUTE(SUBSTITUTE(SUBSTITUTE(SUBSTITUTE(SUBSTITUTE(TRIM($L1058),"'",""),"İ","I"),"ı","I"),"i","I"),"Ş","S"),"ş","S"),"Ğ","G"),"ğ","G"),"Ü","U"),"ü","U"),"Ö","O"),"ö","O"),"Ç","C"),"ç","C"),".",""),",","")," ",""),"-","")))</f>
        <v/>
      </c>
      <c r="T1058" s="3">
        <f>IF(OR($C1058="",$D1058&lt;&gt;"Gelir",$L1058=""),"",IFERROR(INDEX(MUSTERILER!$B$7:$B$106,MATCH($S1058,MUSTERILER!$T$7:$T$106,0)),""))</f>
        <v/>
      </c>
      <c r="U1058" s="3">
        <f>IF($T1058="","",$T1058&amp;"|"&amp;COUNTIFS($T$7:$T1058,$T1058))</f>
        <v/>
      </c>
      <c r="V1058" s="3">
        <f>IF($T1058="",0,1)</f>
        <v/>
      </c>
      <c r="W1058" s="3">
        <f>IF($C1058="","",$D1058&amp;"|"&amp;$E1058&amp;"|"&amp;TEXT($C1058,"0")&amp;"|"&amp;TEXT($G1058,"0")&amp;"|"&amp;$J1058)</f>
        <v/>
      </c>
      <c r="X1058" s="3" t="n"/>
      <c r="Y1058" s="3" t="n"/>
      <c r="Z1058" s="3" t="n"/>
      <c r="AA1058" s="3" t="n"/>
      <c r="AB1058" s="3" t="n"/>
      <c r="AC1058" s="3" t="n"/>
      <c r="AD1058" s="3">
        <f>IF($C1058="",0,SUMPRODUCT((AY_SONU!$O$7:$O$42="Evet")*(AY_SONU!$B$7:$B$42=DATE(YEAR($C1058),MONTH($C1058),1))))</f>
        <v/>
      </c>
    </row>
    <row r="1059">
      <c r="A1059" s="6" t="n"/>
      <c r="B1059" s="113">
        <f>IF($C1059="","","GG"&amp;TEXT(ROW()-6,"00000"))</f>
        <v/>
      </c>
      <c r="C1059" s="220" t="n"/>
      <c r="D1059" s="108" t="n"/>
      <c r="E1059" s="109" t="n"/>
      <c r="F1059" s="109" t="n"/>
      <c r="G1059" s="221" t="n"/>
      <c r="H1059" s="108" t="n"/>
      <c r="I1059" s="108" t="n"/>
      <c r="J1059" s="109" t="n"/>
      <c r="K1059" s="109" t="n"/>
      <c r="L1059" s="108" t="n"/>
      <c r="M1059" s="121">
        <f>IF($C1059="","",IF($D1059="Gider",$E1059,IF($L1059&lt;&gt;"",$L1059,$H1059)))</f>
        <v/>
      </c>
      <c r="N1059" s="121">
        <f>IF($C1059="","",IF($D1059="Gider",$H1059,$E1059))</f>
        <v/>
      </c>
      <c r="O1059" s="226">
        <f>IF($C1059="","",DATE(YEAR($C1059),MONTH($C1059),1))</f>
        <v/>
      </c>
      <c r="P1059" s="113">
        <f>IF($C1059="","",IF(AND($D1059="Gelir",$L1059&lt;&gt;"",$T1059=""),"TANIMSIZ BORÇLU",IF($T1059&lt;&gt;"",IF(OR($E1059="",$G1059&lt;=0),"EKSİK",IF($I1059="Evet","TAHAKKUK NAKİT OLAMAZ",IF($C1059&gt;TODAY(),"İLERİ TARİH","TAHAKKUK"))),IF(AND($D1059&lt;&gt;"",$E1059&lt;&gt;"",$G1059&gt;0,$H1059&lt;&gt;"",$I1059&lt;&gt;""),IF($C1059&gt;TODAY(),"İLERİ TARİH",IF(COUNTIF($W$7:$W$1206,$W1059)&gt;1,"MÜKERRER?",IF($AD1059&gt;0,"KAPALI DÖNEM",IF($I1059="Hayır","ÖDENECEK","UYGUN")))),"EKSİK"))))</f>
        <v/>
      </c>
      <c r="Q1059" s="6" t="n"/>
      <c r="R1059" s="6" t="n"/>
      <c r="S1059" s="3">
        <f>IF($L1059="","",UPPER(SUBSTITUTE(SUBSTITUTE(SUBSTITUTE(SUBSTITUTE(SUBSTITUTE(SUBSTITUTE(SUBSTITUTE(SUBSTITUTE(SUBSTITUTE(SUBSTITUTE(SUBSTITUTE(SUBSTITUTE(SUBSTITUTE(SUBSTITUTE(SUBSTITUTE(SUBSTITUTE(SUBSTITUTE(SUBSTITUTE(TRIM($L1059),"'",""),"İ","I"),"ı","I"),"i","I"),"Ş","S"),"ş","S"),"Ğ","G"),"ğ","G"),"Ü","U"),"ü","U"),"Ö","O"),"ö","O"),"Ç","C"),"ç","C"),".",""),",","")," ",""),"-","")))</f>
        <v/>
      </c>
      <c r="T1059" s="3">
        <f>IF(OR($C1059="",$D1059&lt;&gt;"Gelir",$L1059=""),"",IFERROR(INDEX(MUSTERILER!$B$7:$B$106,MATCH($S1059,MUSTERILER!$T$7:$T$106,0)),""))</f>
        <v/>
      </c>
      <c r="U1059" s="3">
        <f>IF($T1059="","",$T1059&amp;"|"&amp;COUNTIFS($T$7:$T1059,$T1059))</f>
        <v/>
      </c>
      <c r="V1059" s="3">
        <f>IF($T1059="",0,1)</f>
        <v/>
      </c>
      <c r="W1059" s="3">
        <f>IF($C1059="","",$D1059&amp;"|"&amp;$E1059&amp;"|"&amp;TEXT($C1059,"0")&amp;"|"&amp;TEXT($G1059,"0")&amp;"|"&amp;$J1059)</f>
        <v/>
      </c>
      <c r="X1059" s="3" t="n"/>
      <c r="Y1059" s="3" t="n"/>
      <c r="Z1059" s="3" t="n"/>
      <c r="AA1059" s="3" t="n"/>
      <c r="AB1059" s="3" t="n"/>
      <c r="AC1059" s="3" t="n"/>
      <c r="AD1059" s="3">
        <f>IF($C1059="",0,SUMPRODUCT((AY_SONU!$O$7:$O$42="Evet")*(AY_SONU!$B$7:$B$42=DATE(YEAR($C1059),MONTH($C1059),1))))</f>
        <v/>
      </c>
    </row>
    <row r="1060">
      <c r="A1060" s="6" t="n"/>
      <c r="B1060" s="113">
        <f>IF($C1060="","","GG"&amp;TEXT(ROW()-6,"00000"))</f>
        <v/>
      </c>
      <c r="C1060" s="220" t="n"/>
      <c r="D1060" s="108" t="n"/>
      <c r="E1060" s="109" t="n"/>
      <c r="F1060" s="109" t="n"/>
      <c r="G1060" s="221" t="n"/>
      <c r="H1060" s="108" t="n"/>
      <c r="I1060" s="108" t="n"/>
      <c r="J1060" s="109" t="n"/>
      <c r="K1060" s="109" t="n"/>
      <c r="L1060" s="108" t="n"/>
      <c r="M1060" s="121">
        <f>IF($C1060="","",IF($D1060="Gider",$E1060,IF($L1060&lt;&gt;"",$L1060,$H1060)))</f>
        <v/>
      </c>
      <c r="N1060" s="121">
        <f>IF($C1060="","",IF($D1060="Gider",$H1060,$E1060))</f>
        <v/>
      </c>
      <c r="O1060" s="226">
        <f>IF($C1060="","",DATE(YEAR($C1060),MONTH($C1060),1))</f>
        <v/>
      </c>
      <c r="P1060" s="113">
        <f>IF($C1060="","",IF(AND($D1060="Gelir",$L1060&lt;&gt;"",$T1060=""),"TANIMSIZ BORÇLU",IF($T1060&lt;&gt;"",IF(OR($E1060="",$G1060&lt;=0),"EKSİK",IF($I1060="Evet","TAHAKKUK NAKİT OLAMAZ",IF($C1060&gt;TODAY(),"İLERİ TARİH","TAHAKKUK"))),IF(AND($D1060&lt;&gt;"",$E1060&lt;&gt;"",$G1060&gt;0,$H1060&lt;&gt;"",$I1060&lt;&gt;""),IF($C1060&gt;TODAY(),"İLERİ TARİH",IF(COUNTIF($W$7:$W$1206,$W1060)&gt;1,"MÜKERRER?",IF($AD1060&gt;0,"KAPALI DÖNEM",IF($I1060="Hayır","ÖDENECEK","UYGUN")))),"EKSİK"))))</f>
        <v/>
      </c>
      <c r="Q1060" s="6" t="n"/>
      <c r="R1060" s="6" t="n"/>
      <c r="S1060" s="3">
        <f>IF($L1060="","",UPPER(SUBSTITUTE(SUBSTITUTE(SUBSTITUTE(SUBSTITUTE(SUBSTITUTE(SUBSTITUTE(SUBSTITUTE(SUBSTITUTE(SUBSTITUTE(SUBSTITUTE(SUBSTITUTE(SUBSTITUTE(SUBSTITUTE(SUBSTITUTE(SUBSTITUTE(SUBSTITUTE(SUBSTITUTE(SUBSTITUTE(TRIM($L1060),"'",""),"İ","I"),"ı","I"),"i","I"),"Ş","S"),"ş","S"),"Ğ","G"),"ğ","G"),"Ü","U"),"ü","U"),"Ö","O"),"ö","O"),"Ç","C"),"ç","C"),".",""),",","")," ",""),"-","")))</f>
        <v/>
      </c>
      <c r="T1060" s="3">
        <f>IF(OR($C1060="",$D1060&lt;&gt;"Gelir",$L1060=""),"",IFERROR(INDEX(MUSTERILER!$B$7:$B$106,MATCH($S1060,MUSTERILER!$T$7:$T$106,0)),""))</f>
        <v/>
      </c>
      <c r="U1060" s="3">
        <f>IF($T1060="","",$T1060&amp;"|"&amp;COUNTIFS($T$7:$T1060,$T1060))</f>
        <v/>
      </c>
      <c r="V1060" s="3">
        <f>IF($T1060="",0,1)</f>
        <v/>
      </c>
      <c r="W1060" s="3">
        <f>IF($C1060="","",$D1060&amp;"|"&amp;$E1060&amp;"|"&amp;TEXT($C1060,"0")&amp;"|"&amp;TEXT($G1060,"0")&amp;"|"&amp;$J1060)</f>
        <v/>
      </c>
      <c r="X1060" s="3" t="n"/>
      <c r="Y1060" s="3" t="n"/>
      <c r="Z1060" s="3" t="n"/>
      <c r="AA1060" s="3" t="n"/>
      <c r="AB1060" s="3" t="n"/>
      <c r="AC1060" s="3" t="n"/>
      <c r="AD1060" s="3">
        <f>IF($C1060="",0,SUMPRODUCT((AY_SONU!$O$7:$O$42="Evet")*(AY_SONU!$B$7:$B$42=DATE(YEAR($C1060),MONTH($C1060),1))))</f>
        <v/>
      </c>
    </row>
    <row r="1061">
      <c r="A1061" s="6" t="n"/>
      <c r="B1061" s="113">
        <f>IF($C1061="","","GG"&amp;TEXT(ROW()-6,"00000"))</f>
        <v/>
      </c>
      <c r="C1061" s="220" t="n"/>
      <c r="D1061" s="108" t="n"/>
      <c r="E1061" s="109" t="n"/>
      <c r="F1061" s="109" t="n"/>
      <c r="G1061" s="221" t="n"/>
      <c r="H1061" s="108" t="n"/>
      <c r="I1061" s="108" t="n"/>
      <c r="J1061" s="109" t="n"/>
      <c r="K1061" s="109" t="n"/>
      <c r="L1061" s="108" t="n"/>
      <c r="M1061" s="121">
        <f>IF($C1061="","",IF($D1061="Gider",$E1061,IF($L1061&lt;&gt;"",$L1061,$H1061)))</f>
        <v/>
      </c>
      <c r="N1061" s="121">
        <f>IF($C1061="","",IF($D1061="Gider",$H1061,$E1061))</f>
        <v/>
      </c>
      <c r="O1061" s="226">
        <f>IF($C1061="","",DATE(YEAR($C1061),MONTH($C1061),1))</f>
        <v/>
      </c>
      <c r="P1061" s="113">
        <f>IF($C1061="","",IF(AND($D1061="Gelir",$L1061&lt;&gt;"",$T1061=""),"TANIMSIZ BORÇLU",IF($T1061&lt;&gt;"",IF(OR($E1061="",$G1061&lt;=0),"EKSİK",IF($I1061="Evet","TAHAKKUK NAKİT OLAMAZ",IF($C1061&gt;TODAY(),"İLERİ TARİH","TAHAKKUK"))),IF(AND($D1061&lt;&gt;"",$E1061&lt;&gt;"",$G1061&gt;0,$H1061&lt;&gt;"",$I1061&lt;&gt;""),IF($C1061&gt;TODAY(),"İLERİ TARİH",IF(COUNTIF($W$7:$W$1206,$W1061)&gt;1,"MÜKERRER?",IF($AD1061&gt;0,"KAPALI DÖNEM",IF($I1061="Hayır","ÖDENECEK","UYGUN")))),"EKSİK"))))</f>
        <v/>
      </c>
      <c r="Q1061" s="6" t="n"/>
      <c r="R1061" s="6" t="n"/>
      <c r="S1061" s="3">
        <f>IF($L1061="","",UPPER(SUBSTITUTE(SUBSTITUTE(SUBSTITUTE(SUBSTITUTE(SUBSTITUTE(SUBSTITUTE(SUBSTITUTE(SUBSTITUTE(SUBSTITUTE(SUBSTITUTE(SUBSTITUTE(SUBSTITUTE(SUBSTITUTE(SUBSTITUTE(SUBSTITUTE(SUBSTITUTE(SUBSTITUTE(SUBSTITUTE(TRIM($L1061),"'",""),"İ","I"),"ı","I"),"i","I"),"Ş","S"),"ş","S"),"Ğ","G"),"ğ","G"),"Ü","U"),"ü","U"),"Ö","O"),"ö","O"),"Ç","C"),"ç","C"),".",""),",","")," ",""),"-","")))</f>
        <v/>
      </c>
      <c r="T1061" s="3">
        <f>IF(OR($C1061="",$D1061&lt;&gt;"Gelir",$L1061=""),"",IFERROR(INDEX(MUSTERILER!$B$7:$B$106,MATCH($S1061,MUSTERILER!$T$7:$T$106,0)),""))</f>
        <v/>
      </c>
      <c r="U1061" s="3">
        <f>IF($T1061="","",$T1061&amp;"|"&amp;COUNTIFS($T$7:$T1061,$T1061))</f>
        <v/>
      </c>
      <c r="V1061" s="3">
        <f>IF($T1061="",0,1)</f>
        <v/>
      </c>
      <c r="W1061" s="3">
        <f>IF($C1061="","",$D1061&amp;"|"&amp;$E1061&amp;"|"&amp;TEXT($C1061,"0")&amp;"|"&amp;TEXT($G1061,"0")&amp;"|"&amp;$J1061)</f>
        <v/>
      </c>
      <c r="X1061" s="3" t="n"/>
      <c r="Y1061" s="3" t="n"/>
      <c r="Z1061" s="3" t="n"/>
      <c r="AA1061" s="3" t="n"/>
      <c r="AB1061" s="3" t="n"/>
      <c r="AC1061" s="3" t="n"/>
      <c r="AD1061" s="3">
        <f>IF($C1061="",0,SUMPRODUCT((AY_SONU!$O$7:$O$42="Evet")*(AY_SONU!$B$7:$B$42=DATE(YEAR($C1061),MONTH($C1061),1))))</f>
        <v/>
      </c>
    </row>
    <row r="1062">
      <c r="A1062" s="6" t="n"/>
      <c r="B1062" s="113">
        <f>IF($C1062="","","GG"&amp;TEXT(ROW()-6,"00000"))</f>
        <v/>
      </c>
      <c r="C1062" s="220" t="n"/>
      <c r="D1062" s="108" t="n"/>
      <c r="E1062" s="109" t="n"/>
      <c r="F1062" s="109" t="n"/>
      <c r="G1062" s="221" t="n"/>
      <c r="H1062" s="108" t="n"/>
      <c r="I1062" s="108" t="n"/>
      <c r="J1062" s="109" t="n"/>
      <c r="K1062" s="109" t="n"/>
      <c r="L1062" s="108" t="n"/>
      <c r="M1062" s="121">
        <f>IF($C1062="","",IF($D1062="Gider",$E1062,IF($L1062&lt;&gt;"",$L1062,$H1062)))</f>
        <v/>
      </c>
      <c r="N1062" s="121">
        <f>IF($C1062="","",IF($D1062="Gider",$H1062,$E1062))</f>
        <v/>
      </c>
      <c r="O1062" s="226">
        <f>IF($C1062="","",DATE(YEAR($C1062),MONTH($C1062),1))</f>
        <v/>
      </c>
      <c r="P1062" s="113">
        <f>IF($C1062="","",IF(AND($D1062="Gelir",$L1062&lt;&gt;"",$T1062=""),"TANIMSIZ BORÇLU",IF($T1062&lt;&gt;"",IF(OR($E1062="",$G1062&lt;=0),"EKSİK",IF($I1062="Evet","TAHAKKUK NAKİT OLAMAZ",IF($C1062&gt;TODAY(),"İLERİ TARİH","TAHAKKUK"))),IF(AND($D1062&lt;&gt;"",$E1062&lt;&gt;"",$G1062&gt;0,$H1062&lt;&gt;"",$I1062&lt;&gt;""),IF($C1062&gt;TODAY(),"İLERİ TARİH",IF(COUNTIF($W$7:$W$1206,$W1062)&gt;1,"MÜKERRER?",IF($AD1062&gt;0,"KAPALI DÖNEM",IF($I1062="Hayır","ÖDENECEK","UYGUN")))),"EKSİK"))))</f>
        <v/>
      </c>
      <c r="Q1062" s="6" t="n"/>
      <c r="R1062" s="6" t="n"/>
      <c r="S1062" s="3">
        <f>IF($L1062="","",UPPER(SUBSTITUTE(SUBSTITUTE(SUBSTITUTE(SUBSTITUTE(SUBSTITUTE(SUBSTITUTE(SUBSTITUTE(SUBSTITUTE(SUBSTITUTE(SUBSTITUTE(SUBSTITUTE(SUBSTITUTE(SUBSTITUTE(SUBSTITUTE(SUBSTITUTE(SUBSTITUTE(SUBSTITUTE(SUBSTITUTE(TRIM($L1062),"'",""),"İ","I"),"ı","I"),"i","I"),"Ş","S"),"ş","S"),"Ğ","G"),"ğ","G"),"Ü","U"),"ü","U"),"Ö","O"),"ö","O"),"Ç","C"),"ç","C"),".",""),",","")," ",""),"-","")))</f>
        <v/>
      </c>
      <c r="T1062" s="3">
        <f>IF(OR($C1062="",$D1062&lt;&gt;"Gelir",$L1062=""),"",IFERROR(INDEX(MUSTERILER!$B$7:$B$106,MATCH($S1062,MUSTERILER!$T$7:$T$106,0)),""))</f>
        <v/>
      </c>
      <c r="U1062" s="3">
        <f>IF($T1062="","",$T1062&amp;"|"&amp;COUNTIFS($T$7:$T1062,$T1062))</f>
        <v/>
      </c>
      <c r="V1062" s="3">
        <f>IF($T1062="",0,1)</f>
        <v/>
      </c>
      <c r="W1062" s="3">
        <f>IF($C1062="","",$D1062&amp;"|"&amp;$E1062&amp;"|"&amp;TEXT($C1062,"0")&amp;"|"&amp;TEXT($G1062,"0")&amp;"|"&amp;$J1062)</f>
        <v/>
      </c>
      <c r="X1062" s="3" t="n"/>
      <c r="Y1062" s="3" t="n"/>
      <c r="Z1062" s="3" t="n"/>
      <c r="AA1062" s="3" t="n"/>
      <c r="AB1062" s="3" t="n"/>
      <c r="AC1062" s="3" t="n"/>
      <c r="AD1062" s="3">
        <f>IF($C1062="",0,SUMPRODUCT((AY_SONU!$O$7:$O$42="Evet")*(AY_SONU!$B$7:$B$42=DATE(YEAR($C1062),MONTH($C1062),1))))</f>
        <v/>
      </c>
    </row>
    <row r="1063">
      <c r="A1063" s="6" t="n"/>
      <c r="B1063" s="113">
        <f>IF($C1063="","","GG"&amp;TEXT(ROW()-6,"00000"))</f>
        <v/>
      </c>
      <c r="C1063" s="220" t="n"/>
      <c r="D1063" s="108" t="n"/>
      <c r="E1063" s="109" t="n"/>
      <c r="F1063" s="109" t="n"/>
      <c r="G1063" s="221" t="n"/>
      <c r="H1063" s="108" t="n"/>
      <c r="I1063" s="108" t="n"/>
      <c r="J1063" s="109" t="n"/>
      <c r="K1063" s="109" t="n"/>
      <c r="L1063" s="108" t="n"/>
      <c r="M1063" s="121">
        <f>IF($C1063="","",IF($D1063="Gider",$E1063,IF($L1063&lt;&gt;"",$L1063,$H1063)))</f>
        <v/>
      </c>
      <c r="N1063" s="121">
        <f>IF($C1063="","",IF($D1063="Gider",$H1063,$E1063))</f>
        <v/>
      </c>
      <c r="O1063" s="226">
        <f>IF($C1063="","",DATE(YEAR($C1063),MONTH($C1063),1))</f>
        <v/>
      </c>
      <c r="P1063" s="113">
        <f>IF($C1063="","",IF(AND($D1063="Gelir",$L1063&lt;&gt;"",$T1063=""),"TANIMSIZ BORÇLU",IF($T1063&lt;&gt;"",IF(OR($E1063="",$G1063&lt;=0),"EKSİK",IF($I1063="Evet","TAHAKKUK NAKİT OLAMAZ",IF($C1063&gt;TODAY(),"İLERİ TARİH","TAHAKKUK"))),IF(AND($D1063&lt;&gt;"",$E1063&lt;&gt;"",$G1063&gt;0,$H1063&lt;&gt;"",$I1063&lt;&gt;""),IF($C1063&gt;TODAY(),"İLERİ TARİH",IF(COUNTIF($W$7:$W$1206,$W1063)&gt;1,"MÜKERRER?",IF($AD1063&gt;0,"KAPALI DÖNEM",IF($I1063="Hayır","ÖDENECEK","UYGUN")))),"EKSİK"))))</f>
        <v/>
      </c>
      <c r="Q1063" s="6" t="n"/>
      <c r="R1063" s="6" t="n"/>
      <c r="S1063" s="3">
        <f>IF($L1063="","",UPPER(SUBSTITUTE(SUBSTITUTE(SUBSTITUTE(SUBSTITUTE(SUBSTITUTE(SUBSTITUTE(SUBSTITUTE(SUBSTITUTE(SUBSTITUTE(SUBSTITUTE(SUBSTITUTE(SUBSTITUTE(SUBSTITUTE(SUBSTITUTE(SUBSTITUTE(SUBSTITUTE(SUBSTITUTE(SUBSTITUTE(TRIM($L1063),"'",""),"İ","I"),"ı","I"),"i","I"),"Ş","S"),"ş","S"),"Ğ","G"),"ğ","G"),"Ü","U"),"ü","U"),"Ö","O"),"ö","O"),"Ç","C"),"ç","C"),".",""),",","")," ",""),"-","")))</f>
        <v/>
      </c>
      <c r="T1063" s="3">
        <f>IF(OR($C1063="",$D1063&lt;&gt;"Gelir",$L1063=""),"",IFERROR(INDEX(MUSTERILER!$B$7:$B$106,MATCH($S1063,MUSTERILER!$T$7:$T$106,0)),""))</f>
        <v/>
      </c>
      <c r="U1063" s="3">
        <f>IF($T1063="","",$T1063&amp;"|"&amp;COUNTIFS($T$7:$T1063,$T1063))</f>
        <v/>
      </c>
      <c r="V1063" s="3">
        <f>IF($T1063="",0,1)</f>
        <v/>
      </c>
      <c r="W1063" s="3">
        <f>IF($C1063="","",$D1063&amp;"|"&amp;$E1063&amp;"|"&amp;TEXT($C1063,"0")&amp;"|"&amp;TEXT($G1063,"0")&amp;"|"&amp;$J1063)</f>
        <v/>
      </c>
      <c r="X1063" s="3" t="n"/>
      <c r="Y1063" s="3" t="n"/>
      <c r="Z1063" s="3" t="n"/>
      <c r="AA1063" s="3" t="n"/>
      <c r="AB1063" s="3" t="n"/>
      <c r="AC1063" s="3" t="n"/>
      <c r="AD1063" s="3">
        <f>IF($C1063="",0,SUMPRODUCT((AY_SONU!$O$7:$O$42="Evet")*(AY_SONU!$B$7:$B$42=DATE(YEAR($C1063),MONTH($C1063),1))))</f>
        <v/>
      </c>
    </row>
    <row r="1064">
      <c r="A1064" s="6" t="n"/>
      <c r="B1064" s="113">
        <f>IF($C1064="","","GG"&amp;TEXT(ROW()-6,"00000"))</f>
        <v/>
      </c>
      <c r="C1064" s="220" t="n"/>
      <c r="D1064" s="108" t="n"/>
      <c r="E1064" s="109" t="n"/>
      <c r="F1064" s="109" t="n"/>
      <c r="G1064" s="221" t="n"/>
      <c r="H1064" s="108" t="n"/>
      <c r="I1064" s="108" t="n"/>
      <c r="J1064" s="109" t="n"/>
      <c r="K1064" s="109" t="n"/>
      <c r="L1064" s="108" t="n"/>
      <c r="M1064" s="121">
        <f>IF($C1064="","",IF($D1064="Gider",$E1064,IF($L1064&lt;&gt;"",$L1064,$H1064)))</f>
        <v/>
      </c>
      <c r="N1064" s="121">
        <f>IF($C1064="","",IF($D1064="Gider",$H1064,$E1064))</f>
        <v/>
      </c>
      <c r="O1064" s="226">
        <f>IF($C1064="","",DATE(YEAR($C1064),MONTH($C1064),1))</f>
        <v/>
      </c>
      <c r="P1064" s="113">
        <f>IF($C1064="","",IF(AND($D1064="Gelir",$L1064&lt;&gt;"",$T1064=""),"TANIMSIZ BORÇLU",IF($T1064&lt;&gt;"",IF(OR($E1064="",$G1064&lt;=0),"EKSİK",IF($I1064="Evet","TAHAKKUK NAKİT OLAMAZ",IF($C1064&gt;TODAY(),"İLERİ TARİH","TAHAKKUK"))),IF(AND($D1064&lt;&gt;"",$E1064&lt;&gt;"",$G1064&gt;0,$H1064&lt;&gt;"",$I1064&lt;&gt;""),IF($C1064&gt;TODAY(),"İLERİ TARİH",IF(COUNTIF($W$7:$W$1206,$W1064)&gt;1,"MÜKERRER?",IF($AD1064&gt;0,"KAPALI DÖNEM",IF($I1064="Hayır","ÖDENECEK","UYGUN")))),"EKSİK"))))</f>
        <v/>
      </c>
      <c r="Q1064" s="6" t="n"/>
      <c r="R1064" s="6" t="n"/>
      <c r="S1064" s="3">
        <f>IF($L1064="","",UPPER(SUBSTITUTE(SUBSTITUTE(SUBSTITUTE(SUBSTITUTE(SUBSTITUTE(SUBSTITUTE(SUBSTITUTE(SUBSTITUTE(SUBSTITUTE(SUBSTITUTE(SUBSTITUTE(SUBSTITUTE(SUBSTITUTE(SUBSTITUTE(SUBSTITUTE(SUBSTITUTE(SUBSTITUTE(SUBSTITUTE(TRIM($L1064),"'",""),"İ","I"),"ı","I"),"i","I"),"Ş","S"),"ş","S"),"Ğ","G"),"ğ","G"),"Ü","U"),"ü","U"),"Ö","O"),"ö","O"),"Ç","C"),"ç","C"),".",""),",","")," ",""),"-","")))</f>
        <v/>
      </c>
      <c r="T1064" s="3">
        <f>IF(OR($C1064="",$D1064&lt;&gt;"Gelir",$L1064=""),"",IFERROR(INDEX(MUSTERILER!$B$7:$B$106,MATCH($S1064,MUSTERILER!$T$7:$T$106,0)),""))</f>
        <v/>
      </c>
      <c r="U1064" s="3">
        <f>IF($T1064="","",$T1064&amp;"|"&amp;COUNTIFS($T$7:$T1064,$T1064))</f>
        <v/>
      </c>
      <c r="V1064" s="3">
        <f>IF($T1064="",0,1)</f>
        <v/>
      </c>
      <c r="W1064" s="3">
        <f>IF($C1064="","",$D1064&amp;"|"&amp;$E1064&amp;"|"&amp;TEXT($C1064,"0")&amp;"|"&amp;TEXT($G1064,"0")&amp;"|"&amp;$J1064)</f>
        <v/>
      </c>
      <c r="X1064" s="3" t="n"/>
      <c r="Y1064" s="3" t="n"/>
      <c r="Z1064" s="3" t="n"/>
      <c r="AA1064" s="3" t="n"/>
      <c r="AB1064" s="3" t="n"/>
      <c r="AC1064" s="3" t="n"/>
      <c r="AD1064" s="3">
        <f>IF($C1064="",0,SUMPRODUCT((AY_SONU!$O$7:$O$42="Evet")*(AY_SONU!$B$7:$B$42=DATE(YEAR($C1064),MONTH($C1064),1))))</f>
        <v/>
      </c>
    </row>
    <row r="1065">
      <c r="A1065" s="6" t="n"/>
      <c r="B1065" s="113">
        <f>IF($C1065="","","GG"&amp;TEXT(ROW()-6,"00000"))</f>
        <v/>
      </c>
      <c r="C1065" s="220" t="n"/>
      <c r="D1065" s="108" t="n"/>
      <c r="E1065" s="109" t="n"/>
      <c r="F1065" s="109" t="n"/>
      <c r="G1065" s="221" t="n"/>
      <c r="H1065" s="108" t="n"/>
      <c r="I1065" s="108" t="n"/>
      <c r="J1065" s="109" t="n"/>
      <c r="K1065" s="109" t="n"/>
      <c r="L1065" s="108" t="n"/>
      <c r="M1065" s="121">
        <f>IF($C1065="","",IF($D1065="Gider",$E1065,IF($L1065&lt;&gt;"",$L1065,$H1065)))</f>
        <v/>
      </c>
      <c r="N1065" s="121">
        <f>IF($C1065="","",IF($D1065="Gider",$H1065,$E1065))</f>
        <v/>
      </c>
      <c r="O1065" s="226">
        <f>IF($C1065="","",DATE(YEAR($C1065),MONTH($C1065),1))</f>
        <v/>
      </c>
      <c r="P1065" s="113">
        <f>IF($C1065="","",IF(AND($D1065="Gelir",$L1065&lt;&gt;"",$T1065=""),"TANIMSIZ BORÇLU",IF($T1065&lt;&gt;"",IF(OR($E1065="",$G1065&lt;=0),"EKSİK",IF($I1065="Evet","TAHAKKUK NAKİT OLAMAZ",IF($C1065&gt;TODAY(),"İLERİ TARİH","TAHAKKUK"))),IF(AND($D1065&lt;&gt;"",$E1065&lt;&gt;"",$G1065&gt;0,$H1065&lt;&gt;"",$I1065&lt;&gt;""),IF($C1065&gt;TODAY(),"İLERİ TARİH",IF(COUNTIF($W$7:$W$1206,$W1065)&gt;1,"MÜKERRER?",IF($AD1065&gt;0,"KAPALI DÖNEM",IF($I1065="Hayır","ÖDENECEK","UYGUN")))),"EKSİK"))))</f>
        <v/>
      </c>
      <c r="Q1065" s="6" t="n"/>
      <c r="R1065" s="6" t="n"/>
      <c r="S1065" s="3">
        <f>IF($L1065="","",UPPER(SUBSTITUTE(SUBSTITUTE(SUBSTITUTE(SUBSTITUTE(SUBSTITUTE(SUBSTITUTE(SUBSTITUTE(SUBSTITUTE(SUBSTITUTE(SUBSTITUTE(SUBSTITUTE(SUBSTITUTE(SUBSTITUTE(SUBSTITUTE(SUBSTITUTE(SUBSTITUTE(SUBSTITUTE(SUBSTITUTE(TRIM($L1065),"'",""),"İ","I"),"ı","I"),"i","I"),"Ş","S"),"ş","S"),"Ğ","G"),"ğ","G"),"Ü","U"),"ü","U"),"Ö","O"),"ö","O"),"Ç","C"),"ç","C"),".",""),",","")," ",""),"-","")))</f>
        <v/>
      </c>
      <c r="T1065" s="3">
        <f>IF(OR($C1065="",$D1065&lt;&gt;"Gelir",$L1065=""),"",IFERROR(INDEX(MUSTERILER!$B$7:$B$106,MATCH($S1065,MUSTERILER!$T$7:$T$106,0)),""))</f>
        <v/>
      </c>
      <c r="U1065" s="3">
        <f>IF($T1065="","",$T1065&amp;"|"&amp;COUNTIFS($T$7:$T1065,$T1065))</f>
        <v/>
      </c>
      <c r="V1065" s="3">
        <f>IF($T1065="",0,1)</f>
        <v/>
      </c>
      <c r="W1065" s="3">
        <f>IF($C1065="","",$D1065&amp;"|"&amp;$E1065&amp;"|"&amp;TEXT($C1065,"0")&amp;"|"&amp;TEXT($G1065,"0")&amp;"|"&amp;$J1065)</f>
        <v/>
      </c>
      <c r="X1065" s="3" t="n"/>
      <c r="Y1065" s="3" t="n"/>
      <c r="Z1065" s="3" t="n"/>
      <c r="AA1065" s="3" t="n"/>
      <c r="AB1065" s="3" t="n"/>
      <c r="AC1065" s="3" t="n"/>
      <c r="AD1065" s="3">
        <f>IF($C1065="",0,SUMPRODUCT((AY_SONU!$O$7:$O$42="Evet")*(AY_SONU!$B$7:$B$42=DATE(YEAR($C1065),MONTH($C1065),1))))</f>
        <v/>
      </c>
    </row>
    <row r="1066">
      <c r="A1066" s="6" t="n"/>
      <c r="B1066" s="113">
        <f>IF($C1066="","","GG"&amp;TEXT(ROW()-6,"00000"))</f>
        <v/>
      </c>
      <c r="C1066" s="220" t="n"/>
      <c r="D1066" s="108" t="n"/>
      <c r="E1066" s="109" t="n"/>
      <c r="F1066" s="109" t="n"/>
      <c r="G1066" s="221" t="n"/>
      <c r="H1066" s="108" t="n"/>
      <c r="I1066" s="108" t="n"/>
      <c r="J1066" s="109" t="n"/>
      <c r="K1066" s="109" t="n"/>
      <c r="L1066" s="108" t="n"/>
      <c r="M1066" s="121">
        <f>IF($C1066="","",IF($D1066="Gider",$E1066,IF($L1066&lt;&gt;"",$L1066,$H1066)))</f>
        <v/>
      </c>
      <c r="N1066" s="121">
        <f>IF($C1066="","",IF($D1066="Gider",$H1066,$E1066))</f>
        <v/>
      </c>
      <c r="O1066" s="226">
        <f>IF($C1066="","",DATE(YEAR($C1066),MONTH($C1066),1))</f>
        <v/>
      </c>
      <c r="P1066" s="113">
        <f>IF($C1066="","",IF(AND($D1066="Gelir",$L1066&lt;&gt;"",$T1066=""),"TANIMSIZ BORÇLU",IF($T1066&lt;&gt;"",IF(OR($E1066="",$G1066&lt;=0),"EKSİK",IF($I1066="Evet","TAHAKKUK NAKİT OLAMAZ",IF($C1066&gt;TODAY(),"İLERİ TARİH","TAHAKKUK"))),IF(AND($D1066&lt;&gt;"",$E1066&lt;&gt;"",$G1066&gt;0,$H1066&lt;&gt;"",$I1066&lt;&gt;""),IF($C1066&gt;TODAY(),"İLERİ TARİH",IF(COUNTIF($W$7:$W$1206,$W1066)&gt;1,"MÜKERRER?",IF($AD1066&gt;0,"KAPALI DÖNEM",IF($I1066="Hayır","ÖDENECEK","UYGUN")))),"EKSİK"))))</f>
        <v/>
      </c>
      <c r="Q1066" s="6" t="n"/>
      <c r="R1066" s="6" t="n"/>
      <c r="S1066" s="3">
        <f>IF($L1066="","",UPPER(SUBSTITUTE(SUBSTITUTE(SUBSTITUTE(SUBSTITUTE(SUBSTITUTE(SUBSTITUTE(SUBSTITUTE(SUBSTITUTE(SUBSTITUTE(SUBSTITUTE(SUBSTITUTE(SUBSTITUTE(SUBSTITUTE(SUBSTITUTE(SUBSTITUTE(SUBSTITUTE(SUBSTITUTE(SUBSTITUTE(TRIM($L1066),"'",""),"İ","I"),"ı","I"),"i","I"),"Ş","S"),"ş","S"),"Ğ","G"),"ğ","G"),"Ü","U"),"ü","U"),"Ö","O"),"ö","O"),"Ç","C"),"ç","C"),".",""),",","")," ",""),"-","")))</f>
        <v/>
      </c>
      <c r="T1066" s="3">
        <f>IF(OR($C1066="",$D1066&lt;&gt;"Gelir",$L1066=""),"",IFERROR(INDEX(MUSTERILER!$B$7:$B$106,MATCH($S1066,MUSTERILER!$T$7:$T$106,0)),""))</f>
        <v/>
      </c>
      <c r="U1066" s="3">
        <f>IF($T1066="","",$T1066&amp;"|"&amp;COUNTIFS($T$7:$T1066,$T1066))</f>
        <v/>
      </c>
      <c r="V1066" s="3">
        <f>IF($T1066="",0,1)</f>
        <v/>
      </c>
      <c r="W1066" s="3">
        <f>IF($C1066="","",$D1066&amp;"|"&amp;$E1066&amp;"|"&amp;TEXT($C1066,"0")&amp;"|"&amp;TEXT($G1066,"0")&amp;"|"&amp;$J1066)</f>
        <v/>
      </c>
      <c r="X1066" s="3" t="n"/>
      <c r="Y1066" s="3" t="n"/>
      <c r="Z1066" s="3" t="n"/>
      <c r="AA1066" s="3" t="n"/>
      <c r="AB1066" s="3" t="n"/>
      <c r="AC1066" s="3" t="n"/>
      <c r="AD1066" s="3">
        <f>IF($C1066="",0,SUMPRODUCT((AY_SONU!$O$7:$O$42="Evet")*(AY_SONU!$B$7:$B$42=DATE(YEAR($C1066),MONTH($C1066),1))))</f>
        <v/>
      </c>
    </row>
    <row r="1067">
      <c r="A1067" s="6" t="n"/>
      <c r="B1067" s="113">
        <f>IF($C1067="","","GG"&amp;TEXT(ROW()-6,"00000"))</f>
        <v/>
      </c>
      <c r="C1067" s="220" t="n"/>
      <c r="D1067" s="108" t="n"/>
      <c r="E1067" s="109" t="n"/>
      <c r="F1067" s="109" t="n"/>
      <c r="G1067" s="221" t="n"/>
      <c r="H1067" s="108" t="n"/>
      <c r="I1067" s="108" t="n"/>
      <c r="J1067" s="109" t="n"/>
      <c r="K1067" s="109" t="n"/>
      <c r="L1067" s="108" t="n"/>
      <c r="M1067" s="121">
        <f>IF($C1067="","",IF($D1067="Gider",$E1067,IF($L1067&lt;&gt;"",$L1067,$H1067)))</f>
        <v/>
      </c>
      <c r="N1067" s="121">
        <f>IF($C1067="","",IF($D1067="Gider",$H1067,$E1067))</f>
        <v/>
      </c>
      <c r="O1067" s="226">
        <f>IF($C1067="","",DATE(YEAR($C1067),MONTH($C1067),1))</f>
        <v/>
      </c>
      <c r="P1067" s="113">
        <f>IF($C1067="","",IF(AND($D1067="Gelir",$L1067&lt;&gt;"",$T1067=""),"TANIMSIZ BORÇLU",IF($T1067&lt;&gt;"",IF(OR($E1067="",$G1067&lt;=0),"EKSİK",IF($I1067="Evet","TAHAKKUK NAKİT OLAMAZ",IF($C1067&gt;TODAY(),"İLERİ TARİH","TAHAKKUK"))),IF(AND($D1067&lt;&gt;"",$E1067&lt;&gt;"",$G1067&gt;0,$H1067&lt;&gt;"",$I1067&lt;&gt;""),IF($C1067&gt;TODAY(),"İLERİ TARİH",IF(COUNTIF($W$7:$W$1206,$W1067)&gt;1,"MÜKERRER?",IF($AD1067&gt;0,"KAPALI DÖNEM",IF($I1067="Hayır","ÖDENECEK","UYGUN")))),"EKSİK"))))</f>
        <v/>
      </c>
      <c r="Q1067" s="6" t="n"/>
      <c r="R1067" s="6" t="n"/>
      <c r="S1067" s="3">
        <f>IF($L1067="","",UPPER(SUBSTITUTE(SUBSTITUTE(SUBSTITUTE(SUBSTITUTE(SUBSTITUTE(SUBSTITUTE(SUBSTITUTE(SUBSTITUTE(SUBSTITUTE(SUBSTITUTE(SUBSTITUTE(SUBSTITUTE(SUBSTITUTE(SUBSTITUTE(SUBSTITUTE(SUBSTITUTE(SUBSTITUTE(SUBSTITUTE(TRIM($L1067),"'",""),"İ","I"),"ı","I"),"i","I"),"Ş","S"),"ş","S"),"Ğ","G"),"ğ","G"),"Ü","U"),"ü","U"),"Ö","O"),"ö","O"),"Ç","C"),"ç","C"),".",""),",","")," ",""),"-","")))</f>
        <v/>
      </c>
      <c r="T1067" s="3">
        <f>IF(OR($C1067="",$D1067&lt;&gt;"Gelir",$L1067=""),"",IFERROR(INDEX(MUSTERILER!$B$7:$B$106,MATCH($S1067,MUSTERILER!$T$7:$T$106,0)),""))</f>
        <v/>
      </c>
      <c r="U1067" s="3">
        <f>IF($T1067="","",$T1067&amp;"|"&amp;COUNTIFS($T$7:$T1067,$T1067))</f>
        <v/>
      </c>
      <c r="V1067" s="3">
        <f>IF($T1067="",0,1)</f>
        <v/>
      </c>
      <c r="W1067" s="3">
        <f>IF($C1067="","",$D1067&amp;"|"&amp;$E1067&amp;"|"&amp;TEXT($C1067,"0")&amp;"|"&amp;TEXT($G1067,"0")&amp;"|"&amp;$J1067)</f>
        <v/>
      </c>
      <c r="X1067" s="3" t="n"/>
      <c r="Y1067" s="3" t="n"/>
      <c r="Z1067" s="3" t="n"/>
      <c r="AA1067" s="3" t="n"/>
      <c r="AB1067" s="3" t="n"/>
      <c r="AC1067" s="3" t="n"/>
      <c r="AD1067" s="3">
        <f>IF($C1067="",0,SUMPRODUCT((AY_SONU!$O$7:$O$42="Evet")*(AY_SONU!$B$7:$B$42=DATE(YEAR($C1067),MONTH($C1067),1))))</f>
        <v/>
      </c>
    </row>
    <row r="1068">
      <c r="A1068" s="6" t="n"/>
      <c r="B1068" s="113">
        <f>IF($C1068="","","GG"&amp;TEXT(ROW()-6,"00000"))</f>
        <v/>
      </c>
      <c r="C1068" s="220" t="n"/>
      <c r="D1068" s="108" t="n"/>
      <c r="E1068" s="109" t="n"/>
      <c r="F1068" s="109" t="n"/>
      <c r="G1068" s="221" t="n"/>
      <c r="H1068" s="108" t="n"/>
      <c r="I1068" s="108" t="n"/>
      <c r="J1068" s="109" t="n"/>
      <c r="K1068" s="109" t="n"/>
      <c r="L1068" s="108" t="n"/>
      <c r="M1068" s="121">
        <f>IF($C1068="","",IF($D1068="Gider",$E1068,IF($L1068&lt;&gt;"",$L1068,$H1068)))</f>
        <v/>
      </c>
      <c r="N1068" s="121">
        <f>IF($C1068="","",IF($D1068="Gider",$H1068,$E1068))</f>
        <v/>
      </c>
      <c r="O1068" s="226">
        <f>IF($C1068="","",DATE(YEAR($C1068),MONTH($C1068),1))</f>
        <v/>
      </c>
      <c r="P1068" s="113">
        <f>IF($C1068="","",IF(AND($D1068="Gelir",$L1068&lt;&gt;"",$T1068=""),"TANIMSIZ BORÇLU",IF($T1068&lt;&gt;"",IF(OR($E1068="",$G1068&lt;=0),"EKSİK",IF($I1068="Evet","TAHAKKUK NAKİT OLAMAZ",IF($C1068&gt;TODAY(),"İLERİ TARİH","TAHAKKUK"))),IF(AND($D1068&lt;&gt;"",$E1068&lt;&gt;"",$G1068&gt;0,$H1068&lt;&gt;"",$I1068&lt;&gt;""),IF($C1068&gt;TODAY(),"İLERİ TARİH",IF(COUNTIF($W$7:$W$1206,$W1068)&gt;1,"MÜKERRER?",IF($AD1068&gt;0,"KAPALI DÖNEM",IF($I1068="Hayır","ÖDENECEK","UYGUN")))),"EKSİK"))))</f>
        <v/>
      </c>
      <c r="Q1068" s="6" t="n"/>
      <c r="R1068" s="6" t="n"/>
      <c r="S1068" s="3">
        <f>IF($L1068="","",UPPER(SUBSTITUTE(SUBSTITUTE(SUBSTITUTE(SUBSTITUTE(SUBSTITUTE(SUBSTITUTE(SUBSTITUTE(SUBSTITUTE(SUBSTITUTE(SUBSTITUTE(SUBSTITUTE(SUBSTITUTE(SUBSTITUTE(SUBSTITUTE(SUBSTITUTE(SUBSTITUTE(SUBSTITUTE(SUBSTITUTE(TRIM($L1068),"'",""),"İ","I"),"ı","I"),"i","I"),"Ş","S"),"ş","S"),"Ğ","G"),"ğ","G"),"Ü","U"),"ü","U"),"Ö","O"),"ö","O"),"Ç","C"),"ç","C"),".",""),",","")," ",""),"-","")))</f>
        <v/>
      </c>
      <c r="T1068" s="3">
        <f>IF(OR($C1068="",$D1068&lt;&gt;"Gelir",$L1068=""),"",IFERROR(INDEX(MUSTERILER!$B$7:$B$106,MATCH($S1068,MUSTERILER!$T$7:$T$106,0)),""))</f>
        <v/>
      </c>
      <c r="U1068" s="3">
        <f>IF($T1068="","",$T1068&amp;"|"&amp;COUNTIFS($T$7:$T1068,$T1068))</f>
        <v/>
      </c>
      <c r="V1068" s="3">
        <f>IF($T1068="",0,1)</f>
        <v/>
      </c>
      <c r="W1068" s="3">
        <f>IF($C1068="","",$D1068&amp;"|"&amp;$E1068&amp;"|"&amp;TEXT($C1068,"0")&amp;"|"&amp;TEXT($G1068,"0")&amp;"|"&amp;$J1068)</f>
        <v/>
      </c>
      <c r="X1068" s="3" t="n"/>
      <c r="Y1068" s="3" t="n"/>
      <c r="Z1068" s="3" t="n"/>
      <c r="AA1068" s="3" t="n"/>
      <c r="AB1068" s="3" t="n"/>
      <c r="AC1068" s="3" t="n"/>
      <c r="AD1068" s="3">
        <f>IF($C1068="",0,SUMPRODUCT((AY_SONU!$O$7:$O$42="Evet")*(AY_SONU!$B$7:$B$42=DATE(YEAR($C1068),MONTH($C1068),1))))</f>
        <v/>
      </c>
    </row>
    <row r="1069">
      <c r="A1069" s="6" t="n"/>
      <c r="B1069" s="113">
        <f>IF($C1069="","","GG"&amp;TEXT(ROW()-6,"00000"))</f>
        <v/>
      </c>
      <c r="C1069" s="220" t="n"/>
      <c r="D1069" s="108" t="n"/>
      <c r="E1069" s="109" t="n"/>
      <c r="F1069" s="109" t="n"/>
      <c r="G1069" s="221" t="n"/>
      <c r="H1069" s="108" t="n"/>
      <c r="I1069" s="108" t="n"/>
      <c r="J1069" s="109" t="n"/>
      <c r="K1069" s="109" t="n"/>
      <c r="L1069" s="108" t="n"/>
      <c r="M1069" s="121">
        <f>IF($C1069="","",IF($D1069="Gider",$E1069,IF($L1069&lt;&gt;"",$L1069,$H1069)))</f>
        <v/>
      </c>
      <c r="N1069" s="121">
        <f>IF($C1069="","",IF($D1069="Gider",$H1069,$E1069))</f>
        <v/>
      </c>
      <c r="O1069" s="226">
        <f>IF($C1069="","",DATE(YEAR($C1069),MONTH($C1069),1))</f>
        <v/>
      </c>
      <c r="P1069" s="113">
        <f>IF($C1069="","",IF(AND($D1069="Gelir",$L1069&lt;&gt;"",$T1069=""),"TANIMSIZ BORÇLU",IF($T1069&lt;&gt;"",IF(OR($E1069="",$G1069&lt;=0),"EKSİK",IF($I1069="Evet","TAHAKKUK NAKİT OLAMAZ",IF($C1069&gt;TODAY(),"İLERİ TARİH","TAHAKKUK"))),IF(AND($D1069&lt;&gt;"",$E1069&lt;&gt;"",$G1069&gt;0,$H1069&lt;&gt;"",$I1069&lt;&gt;""),IF($C1069&gt;TODAY(),"İLERİ TARİH",IF(COUNTIF($W$7:$W$1206,$W1069)&gt;1,"MÜKERRER?",IF($AD1069&gt;0,"KAPALI DÖNEM",IF($I1069="Hayır","ÖDENECEK","UYGUN")))),"EKSİK"))))</f>
        <v/>
      </c>
      <c r="Q1069" s="6" t="n"/>
      <c r="R1069" s="6" t="n"/>
      <c r="S1069" s="3">
        <f>IF($L1069="","",UPPER(SUBSTITUTE(SUBSTITUTE(SUBSTITUTE(SUBSTITUTE(SUBSTITUTE(SUBSTITUTE(SUBSTITUTE(SUBSTITUTE(SUBSTITUTE(SUBSTITUTE(SUBSTITUTE(SUBSTITUTE(SUBSTITUTE(SUBSTITUTE(SUBSTITUTE(SUBSTITUTE(SUBSTITUTE(SUBSTITUTE(TRIM($L1069),"'",""),"İ","I"),"ı","I"),"i","I"),"Ş","S"),"ş","S"),"Ğ","G"),"ğ","G"),"Ü","U"),"ü","U"),"Ö","O"),"ö","O"),"Ç","C"),"ç","C"),".",""),",","")," ",""),"-","")))</f>
        <v/>
      </c>
      <c r="T1069" s="3">
        <f>IF(OR($C1069="",$D1069&lt;&gt;"Gelir",$L1069=""),"",IFERROR(INDEX(MUSTERILER!$B$7:$B$106,MATCH($S1069,MUSTERILER!$T$7:$T$106,0)),""))</f>
        <v/>
      </c>
      <c r="U1069" s="3">
        <f>IF($T1069="","",$T1069&amp;"|"&amp;COUNTIFS($T$7:$T1069,$T1069))</f>
        <v/>
      </c>
      <c r="V1069" s="3">
        <f>IF($T1069="",0,1)</f>
        <v/>
      </c>
      <c r="W1069" s="3">
        <f>IF($C1069="","",$D1069&amp;"|"&amp;$E1069&amp;"|"&amp;TEXT($C1069,"0")&amp;"|"&amp;TEXT($G1069,"0")&amp;"|"&amp;$J1069)</f>
        <v/>
      </c>
      <c r="X1069" s="3" t="n"/>
      <c r="Y1069" s="3" t="n"/>
      <c r="Z1069" s="3" t="n"/>
      <c r="AA1069" s="3" t="n"/>
      <c r="AB1069" s="3" t="n"/>
      <c r="AC1069" s="3" t="n"/>
      <c r="AD1069" s="3">
        <f>IF($C1069="",0,SUMPRODUCT((AY_SONU!$O$7:$O$42="Evet")*(AY_SONU!$B$7:$B$42=DATE(YEAR($C1069),MONTH($C1069),1))))</f>
        <v/>
      </c>
    </row>
    <row r="1070">
      <c r="A1070" s="6" t="n"/>
      <c r="B1070" s="113">
        <f>IF($C1070="","","GG"&amp;TEXT(ROW()-6,"00000"))</f>
        <v/>
      </c>
      <c r="C1070" s="220" t="n"/>
      <c r="D1070" s="108" t="n"/>
      <c r="E1070" s="109" t="n"/>
      <c r="F1070" s="109" t="n"/>
      <c r="G1070" s="221" t="n"/>
      <c r="H1070" s="108" t="n"/>
      <c r="I1070" s="108" t="n"/>
      <c r="J1070" s="109" t="n"/>
      <c r="K1070" s="109" t="n"/>
      <c r="L1070" s="108" t="n"/>
      <c r="M1070" s="121">
        <f>IF($C1070="","",IF($D1070="Gider",$E1070,IF($L1070&lt;&gt;"",$L1070,$H1070)))</f>
        <v/>
      </c>
      <c r="N1070" s="121">
        <f>IF($C1070="","",IF($D1070="Gider",$H1070,$E1070))</f>
        <v/>
      </c>
      <c r="O1070" s="226">
        <f>IF($C1070="","",DATE(YEAR($C1070),MONTH($C1070),1))</f>
        <v/>
      </c>
      <c r="P1070" s="113">
        <f>IF($C1070="","",IF(AND($D1070="Gelir",$L1070&lt;&gt;"",$T1070=""),"TANIMSIZ BORÇLU",IF($T1070&lt;&gt;"",IF(OR($E1070="",$G1070&lt;=0),"EKSİK",IF($I1070="Evet","TAHAKKUK NAKİT OLAMAZ",IF($C1070&gt;TODAY(),"İLERİ TARİH","TAHAKKUK"))),IF(AND($D1070&lt;&gt;"",$E1070&lt;&gt;"",$G1070&gt;0,$H1070&lt;&gt;"",$I1070&lt;&gt;""),IF($C1070&gt;TODAY(),"İLERİ TARİH",IF(COUNTIF($W$7:$W$1206,$W1070)&gt;1,"MÜKERRER?",IF($AD1070&gt;0,"KAPALI DÖNEM",IF($I1070="Hayır","ÖDENECEK","UYGUN")))),"EKSİK"))))</f>
        <v/>
      </c>
      <c r="Q1070" s="6" t="n"/>
      <c r="R1070" s="6" t="n"/>
      <c r="S1070" s="3">
        <f>IF($L1070="","",UPPER(SUBSTITUTE(SUBSTITUTE(SUBSTITUTE(SUBSTITUTE(SUBSTITUTE(SUBSTITUTE(SUBSTITUTE(SUBSTITUTE(SUBSTITUTE(SUBSTITUTE(SUBSTITUTE(SUBSTITUTE(SUBSTITUTE(SUBSTITUTE(SUBSTITUTE(SUBSTITUTE(SUBSTITUTE(SUBSTITUTE(TRIM($L1070),"'",""),"İ","I"),"ı","I"),"i","I"),"Ş","S"),"ş","S"),"Ğ","G"),"ğ","G"),"Ü","U"),"ü","U"),"Ö","O"),"ö","O"),"Ç","C"),"ç","C"),".",""),",","")," ",""),"-","")))</f>
        <v/>
      </c>
      <c r="T1070" s="3">
        <f>IF(OR($C1070="",$D1070&lt;&gt;"Gelir",$L1070=""),"",IFERROR(INDEX(MUSTERILER!$B$7:$B$106,MATCH($S1070,MUSTERILER!$T$7:$T$106,0)),""))</f>
        <v/>
      </c>
      <c r="U1070" s="3">
        <f>IF($T1070="","",$T1070&amp;"|"&amp;COUNTIFS($T$7:$T1070,$T1070))</f>
        <v/>
      </c>
      <c r="V1070" s="3">
        <f>IF($T1070="",0,1)</f>
        <v/>
      </c>
      <c r="W1070" s="3">
        <f>IF($C1070="","",$D1070&amp;"|"&amp;$E1070&amp;"|"&amp;TEXT($C1070,"0")&amp;"|"&amp;TEXT($G1070,"0")&amp;"|"&amp;$J1070)</f>
        <v/>
      </c>
      <c r="X1070" s="3" t="n"/>
      <c r="Y1070" s="3" t="n"/>
      <c r="Z1070" s="3" t="n"/>
      <c r="AA1070" s="3" t="n"/>
      <c r="AB1070" s="3" t="n"/>
      <c r="AC1070" s="3" t="n"/>
      <c r="AD1070" s="3">
        <f>IF($C1070="",0,SUMPRODUCT((AY_SONU!$O$7:$O$42="Evet")*(AY_SONU!$B$7:$B$42=DATE(YEAR($C1070),MONTH($C1070),1))))</f>
        <v/>
      </c>
    </row>
    <row r="1071">
      <c r="A1071" s="6" t="n"/>
      <c r="B1071" s="113">
        <f>IF($C1071="","","GG"&amp;TEXT(ROW()-6,"00000"))</f>
        <v/>
      </c>
      <c r="C1071" s="220" t="n"/>
      <c r="D1071" s="108" t="n"/>
      <c r="E1071" s="109" t="n"/>
      <c r="F1071" s="109" t="n"/>
      <c r="G1071" s="221" t="n"/>
      <c r="H1071" s="108" t="n"/>
      <c r="I1071" s="108" t="n"/>
      <c r="J1071" s="109" t="n"/>
      <c r="K1071" s="109" t="n"/>
      <c r="L1071" s="108" t="n"/>
      <c r="M1071" s="121">
        <f>IF($C1071="","",IF($D1071="Gider",$E1071,IF($L1071&lt;&gt;"",$L1071,$H1071)))</f>
        <v/>
      </c>
      <c r="N1071" s="121">
        <f>IF($C1071="","",IF($D1071="Gider",$H1071,$E1071))</f>
        <v/>
      </c>
      <c r="O1071" s="226">
        <f>IF($C1071="","",DATE(YEAR($C1071),MONTH($C1071),1))</f>
        <v/>
      </c>
      <c r="P1071" s="113">
        <f>IF($C1071="","",IF(AND($D1071="Gelir",$L1071&lt;&gt;"",$T1071=""),"TANIMSIZ BORÇLU",IF($T1071&lt;&gt;"",IF(OR($E1071="",$G1071&lt;=0),"EKSİK",IF($I1071="Evet","TAHAKKUK NAKİT OLAMAZ",IF($C1071&gt;TODAY(),"İLERİ TARİH","TAHAKKUK"))),IF(AND($D1071&lt;&gt;"",$E1071&lt;&gt;"",$G1071&gt;0,$H1071&lt;&gt;"",$I1071&lt;&gt;""),IF($C1071&gt;TODAY(),"İLERİ TARİH",IF(COUNTIF($W$7:$W$1206,$W1071)&gt;1,"MÜKERRER?",IF($AD1071&gt;0,"KAPALI DÖNEM",IF($I1071="Hayır","ÖDENECEK","UYGUN")))),"EKSİK"))))</f>
        <v/>
      </c>
      <c r="Q1071" s="6" t="n"/>
      <c r="R1071" s="6" t="n"/>
      <c r="S1071" s="3">
        <f>IF($L1071="","",UPPER(SUBSTITUTE(SUBSTITUTE(SUBSTITUTE(SUBSTITUTE(SUBSTITUTE(SUBSTITUTE(SUBSTITUTE(SUBSTITUTE(SUBSTITUTE(SUBSTITUTE(SUBSTITUTE(SUBSTITUTE(SUBSTITUTE(SUBSTITUTE(SUBSTITUTE(SUBSTITUTE(SUBSTITUTE(SUBSTITUTE(TRIM($L1071),"'",""),"İ","I"),"ı","I"),"i","I"),"Ş","S"),"ş","S"),"Ğ","G"),"ğ","G"),"Ü","U"),"ü","U"),"Ö","O"),"ö","O"),"Ç","C"),"ç","C"),".",""),",","")," ",""),"-","")))</f>
        <v/>
      </c>
      <c r="T1071" s="3">
        <f>IF(OR($C1071="",$D1071&lt;&gt;"Gelir",$L1071=""),"",IFERROR(INDEX(MUSTERILER!$B$7:$B$106,MATCH($S1071,MUSTERILER!$T$7:$T$106,0)),""))</f>
        <v/>
      </c>
      <c r="U1071" s="3">
        <f>IF($T1071="","",$T1071&amp;"|"&amp;COUNTIFS($T$7:$T1071,$T1071))</f>
        <v/>
      </c>
      <c r="V1071" s="3">
        <f>IF($T1071="",0,1)</f>
        <v/>
      </c>
      <c r="W1071" s="3">
        <f>IF($C1071="","",$D1071&amp;"|"&amp;$E1071&amp;"|"&amp;TEXT($C1071,"0")&amp;"|"&amp;TEXT($G1071,"0")&amp;"|"&amp;$J1071)</f>
        <v/>
      </c>
      <c r="X1071" s="3" t="n"/>
      <c r="Y1071" s="3" t="n"/>
      <c r="Z1071" s="3" t="n"/>
      <c r="AA1071" s="3" t="n"/>
      <c r="AB1071" s="3" t="n"/>
      <c r="AC1071" s="3" t="n"/>
      <c r="AD1071" s="3">
        <f>IF($C1071="",0,SUMPRODUCT((AY_SONU!$O$7:$O$42="Evet")*(AY_SONU!$B$7:$B$42=DATE(YEAR($C1071),MONTH($C1071),1))))</f>
        <v/>
      </c>
    </row>
    <row r="1072">
      <c r="A1072" s="6" t="n"/>
      <c r="B1072" s="113">
        <f>IF($C1072="","","GG"&amp;TEXT(ROW()-6,"00000"))</f>
        <v/>
      </c>
      <c r="C1072" s="220" t="n"/>
      <c r="D1072" s="108" t="n"/>
      <c r="E1072" s="109" t="n"/>
      <c r="F1072" s="109" t="n"/>
      <c r="G1072" s="221" t="n"/>
      <c r="H1072" s="108" t="n"/>
      <c r="I1072" s="108" t="n"/>
      <c r="J1072" s="109" t="n"/>
      <c r="K1072" s="109" t="n"/>
      <c r="L1072" s="108" t="n"/>
      <c r="M1072" s="121">
        <f>IF($C1072="","",IF($D1072="Gider",$E1072,IF($L1072&lt;&gt;"",$L1072,$H1072)))</f>
        <v/>
      </c>
      <c r="N1072" s="121">
        <f>IF($C1072="","",IF($D1072="Gider",$H1072,$E1072))</f>
        <v/>
      </c>
      <c r="O1072" s="226">
        <f>IF($C1072="","",DATE(YEAR($C1072),MONTH($C1072),1))</f>
        <v/>
      </c>
      <c r="P1072" s="113">
        <f>IF($C1072="","",IF(AND($D1072="Gelir",$L1072&lt;&gt;"",$T1072=""),"TANIMSIZ BORÇLU",IF($T1072&lt;&gt;"",IF(OR($E1072="",$G1072&lt;=0),"EKSİK",IF($I1072="Evet","TAHAKKUK NAKİT OLAMAZ",IF($C1072&gt;TODAY(),"İLERİ TARİH","TAHAKKUK"))),IF(AND($D1072&lt;&gt;"",$E1072&lt;&gt;"",$G1072&gt;0,$H1072&lt;&gt;"",$I1072&lt;&gt;""),IF($C1072&gt;TODAY(),"İLERİ TARİH",IF(COUNTIF($W$7:$W$1206,$W1072)&gt;1,"MÜKERRER?",IF($AD1072&gt;0,"KAPALI DÖNEM",IF($I1072="Hayır","ÖDENECEK","UYGUN")))),"EKSİK"))))</f>
        <v/>
      </c>
      <c r="Q1072" s="6" t="n"/>
      <c r="R1072" s="6" t="n"/>
      <c r="S1072" s="3">
        <f>IF($L1072="","",UPPER(SUBSTITUTE(SUBSTITUTE(SUBSTITUTE(SUBSTITUTE(SUBSTITUTE(SUBSTITUTE(SUBSTITUTE(SUBSTITUTE(SUBSTITUTE(SUBSTITUTE(SUBSTITUTE(SUBSTITUTE(SUBSTITUTE(SUBSTITUTE(SUBSTITUTE(SUBSTITUTE(SUBSTITUTE(SUBSTITUTE(TRIM($L1072),"'",""),"İ","I"),"ı","I"),"i","I"),"Ş","S"),"ş","S"),"Ğ","G"),"ğ","G"),"Ü","U"),"ü","U"),"Ö","O"),"ö","O"),"Ç","C"),"ç","C"),".",""),",","")," ",""),"-","")))</f>
        <v/>
      </c>
      <c r="T1072" s="3">
        <f>IF(OR($C1072="",$D1072&lt;&gt;"Gelir",$L1072=""),"",IFERROR(INDEX(MUSTERILER!$B$7:$B$106,MATCH($S1072,MUSTERILER!$T$7:$T$106,0)),""))</f>
        <v/>
      </c>
      <c r="U1072" s="3">
        <f>IF($T1072="","",$T1072&amp;"|"&amp;COUNTIFS($T$7:$T1072,$T1072))</f>
        <v/>
      </c>
      <c r="V1072" s="3">
        <f>IF($T1072="",0,1)</f>
        <v/>
      </c>
      <c r="W1072" s="3">
        <f>IF($C1072="","",$D1072&amp;"|"&amp;$E1072&amp;"|"&amp;TEXT($C1072,"0")&amp;"|"&amp;TEXT($G1072,"0")&amp;"|"&amp;$J1072)</f>
        <v/>
      </c>
      <c r="X1072" s="3" t="n"/>
      <c r="Y1072" s="3" t="n"/>
      <c r="Z1072" s="3" t="n"/>
      <c r="AA1072" s="3" t="n"/>
      <c r="AB1072" s="3" t="n"/>
      <c r="AC1072" s="3" t="n"/>
      <c r="AD1072" s="3">
        <f>IF($C1072="",0,SUMPRODUCT((AY_SONU!$O$7:$O$42="Evet")*(AY_SONU!$B$7:$B$42=DATE(YEAR($C1072),MONTH($C1072),1))))</f>
        <v/>
      </c>
    </row>
    <row r="1073">
      <c r="A1073" s="6" t="n"/>
      <c r="B1073" s="113">
        <f>IF($C1073="","","GG"&amp;TEXT(ROW()-6,"00000"))</f>
        <v/>
      </c>
      <c r="C1073" s="220" t="n"/>
      <c r="D1073" s="108" t="n"/>
      <c r="E1073" s="109" t="n"/>
      <c r="F1073" s="109" t="n"/>
      <c r="G1073" s="221" t="n"/>
      <c r="H1073" s="108" t="n"/>
      <c r="I1073" s="108" t="n"/>
      <c r="J1073" s="109" t="n"/>
      <c r="K1073" s="109" t="n"/>
      <c r="L1073" s="108" t="n"/>
      <c r="M1073" s="121">
        <f>IF($C1073="","",IF($D1073="Gider",$E1073,IF($L1073&lt;&gt;"",$L1073,$H1073)))</f>
        <v/>
      </c>
      <c r="N1073" s="121">
        <f>IF($C1073="","",IF($D1073="Gider",$H1073,$E1073))</f>
        <v/>
      </c>
      <c r="O1073" s="226">
        <f>IF($C1073="","",DATE(YEAR($C1073),MONTH($C1073),1))</f>
        <v/>
      </c>
      <c r="P1073" s="113">
        <f>IF($C1073="","",IF(AND($D1073="Gelir",$L1073&lt;&gt;"",$T1073=""),"TANIMSIZ BORÇLU",IF($T1073&lt;&gt;"",IF(OR($E1073="",$G1073&lt;=0),"EKSİK",IF($I1073="Evet","TAHAKKUK NAKİT OLAMAZ",IF($C1073&gt;TODAY(),"İLERİ TARİH","TAHAKKUK"))),IF(AND($D1073&lt;&gt;"",$E1073&lt;&gt;"",$G1073&gt;0,$H1073&lt;&gt;"",$I1073&lt;&gt;""),IF($C1073&gt;TODAY(),"İLERİ TARİH",IF(COUNTIF($W$7:$W$1206,$W1073)&gt;1,"MÜKERRER?",IF($AD1073&gt;0,"KAPALI DÖNEM",IF($I1073="Hayır","ÖDENECEK","UYGUN")))),"EKSİK"))))</f>
        <v/>
      </c>
      <c r="Q1073" s="6" t="n"/>
      <c r="R1073" s="6" t="n"/>
      <c r="S1073" s="3">
        <f>IF($L1073="","",UPPER(SUBSTITUTE(SUBSTITUTE(SUBSTITUTE(SUBSTITUTE(SUBSTITUTE(SUBSTITUTE(SUBSTITUTE(SUBSTITUTE(SUBSTITUTE(SUBSTITUTE(SUBSTITUTE(SUBSTITUTE(SUBSTITUTE(SUBSTITUTE(SUBSTITUTE(SUBSTITUTE(SUBSTITUTE(SUBSTITUTE(TRIM($L1073),"'",""),"İ","I"),"ı","I"),"i","I"),"Ş","S"),"ş","S"),"Ğ","G"),"ğ","G"),"Ü","U"),"ü","U"),"Ö","O"),"ö","O"),"Ç","C"),"ç","C"),".",""),",","")," ",""),"-","")))</f>
        <v/>
      </c>
      <c r="T1073" s="3">
        <f>IF(OR($C1073="",$D1073&lt;&gt;"Gelir",$L1073=""),"",IFERROR(INDEX(MUSTERILER!$B$7:$B$106,MATCH($S1073,MUSTERILER!$T$7:$T$106,0)),""))</f>
        <v/>
      </c>
      <c r="U1073" s="3">
        <f>IF($T1073="","",$T1073&amp;"|"&amp;COUNTIFS($T$7:$T1073,$T1073))</f>
        <v/>
      </c>
      <c r="V1073" s="3">
        <f>IF($T1073="",0,1)</f>
        <v/>
      </c>
      <c r="W1073" s="3">
        <f>IF($C1073="","",$D1073&amp;"|"&amp;$E1073&amp;"|"&amp;TEXT($C1073,"0")&amp;"|"&amp;TEXT($G1073,"0")&amp;"|"&amp;$J1073)</f>
        <v/>
      </c>
      <c r="X1073" s="3" t="n"/>
      <c r="Y1073" s="3" t="n"/>
      <c r="Z1073" s="3" t="n"/>
      <c r="AA1073" s="3" t="n"/>
      <c r="AB1073" s="3" t="n"/>
      <c r="AC1073" s="3" t="n"/>
      <c r="AD1073" s="3">
        <f>IF($C1073="",0,SUMPRODUCT((AY_SONU!$O$7:$O$42="Evet")*(AY_SONU!$B$7:$B$42=DATE(YEAR($C1073),MONTH($C1073),1))))</f>
        <v/>
      </c>
    </row>
    <row r="1074">
      <c r="A1074" s="6" t="n"/>
      <c r="B1074" s="113">
        <f>IF($C1074="","","GG"&amp;TEXT(ROW()-6,"00000"))</f>
        <v/>
      </c>
      <c r="C1074" s="220" t="n"/>
      <c r="D1074" s="108" t="n"/>
      <c r="E1074" s="109" t="n"/>
      <c r="F1074" s="109" t="n"/>
      <c r="G1074" s="221" t="n"/>
      <c r="H1074" s="108" t="n"/>
      <c r="I1074" s="108" t="n"/>
      <c r="J1074" s="109" t="n"/>
      <c r="K1074" s="109" t="n"/>
      <c r="L1074" s="108" t="n"/>
      <c r="M1074" s="121">
        <f>IF($C1074="","",IF($D1074="Gider",$E1074,IF($L1074&lt;&gt;"",$L1074,$H1074)))</f>
        <v/>
      </c>
      <c r="N1074" s="121">
        <f>IF($C1074="","",IF($D1074="Gider",$H1074,$E1074))</f>
        <v/>
      </c>
      <c r="O1074" s="226">
        <f>IF($C1074="","",DATE(YEAR($C1074),MONTH($C1074),1))</f>
        <v/>
      </c>
      <c r="P1074" s="113">
        <f>IF($C1074="","",IF(AND($D1074="Gelir",$L1074&lt;&gt;"",$T1074=""),"TANIMSIZ BORÇLU",IF($T1074&lt;&gt;"",IF(OR($E1074="",$G1074&lt;=0),"EKSİK",IF($I1074="Evet","TAHAKKUK NAKİT OLAMAZ",IF($C1074&gt;TODAY(),"İLERİ TARİH","TAHAKKUK"))),IF(AND($D1074&lt;&gt;"",$E1074&lt;&gt;"",$G1074&gt;0,$H1074&lt;&gt;"",$I1074&lt;&gt;""),IF($C1074&gt;TODAY(),"İLERİ TARİH",IF(COUNTIF($W$7:$W$1206,$W1074)&gt;1,"MÜKERRER?",IF($AD1074&gt;0,"KAPALI DÖNEM",IF($I1074="Hayır","ÖDENECEK","UYGUN")))),"EKSİK"))))</f>
        <v/>
      </c>
      <c r="Q1074" s="6" t="n"/>
      <c r="R1074" s="6" t="n"/>
      <c r="S1074" s="3">
        <f>IF($L1074="","",UPPER(SUBSTITUTE(SUBSTITUTE(SUBSTITUTE(SUBSTITUTE(SUBSTITUTE(SUBSTITUTE(SUBSTITUTE(SUBSTITUTE(SUBSTITUTE(SUBSTITUTE(SUBSTITUTE(SUBSTITUTE(SUBSTITUTE(SUBSTITUTE(SUBSTITUTE(SUBSTITUTE(SUBSTITUTE(SUBSTITUTE(TRIM($L1074),"'",""),"İ","I"),"ı","I"),"i","I"),"Ş","S"),"ş","S"),"Ğ","G"),"ğ","G"),"Ü","U"),"ü","U"),"Ö","O"),"ö","O"),"Ç","C"),"ç","C"),".",""),",","")," ",""),"-","")))</f>
        <v/>
      </c>
      <c r="T1074" s="3">
        <f>IF(OR($C1074="",$D1074&lt;&gt;"Gelir",$L1074=""),"",IFERROR(INDEX(MUSTERILER!$B$7:$B$106,MATCH($S1074,MUSTERILER!$T$7:$T$106,0)),""))</f>
        <v/>
      </c>
      <c r="U1074" s="3">
        <f>IF($T1074="","",$T1074&amp;"|"&amp;COUNTIFS($T$7:$T1074,$T1074))</f>
        <v/>
      </c>
      <c r="V1074" s="3">
        <f>IF($T1074="",0,1)</f>
        <v/>
      </c>
      <c r="W1074" s="3">
        <f>IF($C1074="","",$D1074&amp;"|"&amp;$E1074&amp;"|"&amp;TEXT($C1074,"0")&amp;"|"&amp;TEXT($G1074,"0")&amp;"|"&amp;$J1074)</f>
        <v/>
      </c>
      <c r="X1074" s="3" t="n"/>
      <c r="Y1074" s="3" t="n"/>
      <c r="Z1074" s="3" t="n"/>
      <c r="AA1074" s="3" t="n"/>
      <c r="AB1074" s="3" t="n"/>
      <c r="AC1074" s="3" t="n"/>
      <c r="AD1074" s="3">
        <f>IF($C1074="",0,SUMPRODUCT((AY_SONU!$O$7:$O$42="Evet")*(AY_SONU!$B$7:$B$42=DATE(YEAR($C1074),MONTH($C1074),1))))</f>
        <v/>
      </c>
    </row>
    <row r="1075">
      <c r="A1075" s="6" t="n"/>
      <c r="B1075" s="113">
        <f>IF($C1075="","","GG"&amp;TEXT(ROW()-6,"00000"))</f>
        <v/>
      </c>
      <c r="C1075" s="220" t="n"/>
      <c r="D1075" s="108" t="n"/>
      <c r="E1075" s="109" t="n"/>
      <c r="F1075" s="109" t="n"/>
      <c r="G1075" s="221" t="n"/>
      <c r="H1075" s="108" t="n"/>
      <c r="I1075" s="108" t="n"/>
      <c r="J1075" s="109" t="n"/>
      <c r="K1075" s="109" t="n"/>
      <c r="L1075" s="108" t="n"/>
      <c r="M1075" s="121">
        <f>IF($C1075="","",IF($D1075="Gider",$E1075,IF($L1075&lt;&gt;"",$L1075,$H1075)))</f>
        <v/>
      </c>
      <c r="N1075" s="121">
        <f>IF($C1075="","",IF($D1075="Gider",$H1075,$E1075))</f>
        <v/>
      </c>
      <c r="O1075" s="226">
        <f>IF($C1075="","",DATE(YEAR($C1075),MONTH($C1075),1))</f>
        <v/>
      </c>
      <c r="P1075" s="113">
        <f>IF($C1075="","",IF(AND($D1075="Gelir",$L1075&lt;&gt;"",$T1075=""),"TANIMSIZ BORÇLU",IF($T1075&lt;&gt;"",IF(OR($E1075="",$G1075&lt;=0),"EKSİK",IF($I1075="Evet","TAHAKKUK NAKİT OLAMAZ",IF($C1075&gt;TODAY(),"İLERİ TARİH","TAHAKKUK"))),IF(AND($D1075&lt;&gt;"",$E1075&lt;&gt;"",$G1075&gt;0,$H1075&lt;&gt;"",$I1075&lt;&gt;""),IF($C1075&gt;TODAY(),"İLERİ TARİH",IF(COUNTIF($W$7:$W$1206,$W1075)&gt;1,"MÜKERRER?",IF($AD1075&gt;0,"KAPALI DÖNEM",IF($I1075="Hayır","ÖDENECEK","UYGUN")))),"EKSİK"))))</f>
        <v/>
      </c>
      <c r="Q1075" s="6" t="n"/>
      <c r="R1075" s="6" t="n"/>
      <c r="S1075" s="3">
        <f>IF($L1075="","",UPPER(SUBSTITUTE(SUBSTITUTE(SUBSTITUTE(SUBSTITUTE(SUBSTITUTE(SUBSTITUTE(SUBSTITUTE(SUBSTITUTE(SUBSTITUTE(SUBSTITUTE(SUBSTITUTE(SUBSTITUTE(SUBSTITUTE(SUBSTITUTE(SUBSTITUTE(SUBSTITUTE(SUBSTITUTE(SUBSTITUTE(TRIM($L1075),"'",""),"İ","I"),"ı","I"),"i","I"),"Ş","S"),"ş","S"),"Ğ","G"),"ğ","G"),"Ü","U"),"ü","U"),"Ö","O"),"ö","O"),"Ç","C"),"ç","C"),".",""),",","")," ",""),"-","")))</f>
        <v/>
      </c>
      <c r="T1075" s="3">
        <f>IF(OR($C1075="",$D1075&lt;&gt;"Gelir",$L1075=""),"",IFERROR(INDEX(MUSTERILER!$B$7:$B$106,MATCH($S1075,MUSTERILER!$T$7:$T$106,0)),""))</f>
        <v/>
      </c>
      <c r="U1075" s="3">
        <f>IF($T1075="","",$T1075&amp;"|"&amp;COUNTIFS($T$7:$T1075,$T1075))</f>
        <v/>
      </c>
      <c r="V1075" s="3">
        <f>IF($T1075="",0,1)</f>
        <v/>
      </c>
      <c r="W1075" s="3">
        <f>IF($C1075="","",$D1075&amp;"|"&amp;$E1075&amp;"|"&amp;TEXT($C1075,"0")&amp;"|"&amp;TEXT($G1075,"0")&amp;"|"&amp;$J1075)</f>
        <v/>
      </c>
      <c r="X1075" s="3" t="n"/>
      <c r="Y1075" s="3" t="n"/>
      <c r="Z1075" s="3" t="n"/>
      <c r="AA1075" s="3" t="n"/>
      <c r="AB1075" s="3" t="n"/>
      <c r="AC1075" s="3" t="n"/>
      <c r="AD1075" s="3">
        <f>IF($C1075="",0,SUMPRODUCT((AY_SONU!$O$7:$O$42="Evet")*(AY_SONU!$B$7:$B$42=DATE(YEAR($C1075),MONTH($C1075),1))))</f>
        <v/>
      </c>
    </row>
    <row r="1076">
      <c r="A1076" s="6" t="n"/>
      <c r="B1076" s="113">
        <f>IF($C1076="","","GG"&amp;TEXT(ROW()-6,"00000"))</f>
        <v/>
      </c>
      <c r="C1076" s="220" t="n"/>
      <c r="D1076" s="108" t="n"/>
      <c r="E1076" s="109" t="n"/>
      <c r="F1076" s="109" t="n"/>
      <c r="G1076" s="221" t="n"/>
      <c r="H1076" s="108" t="n"/>
      <c r="I1076" s="108" t="n"/>
      <c r="J1076" s="109" t="n"/>
      <c r="K1076" s="109" t="n"/>
      <c r="L1076" s="108" t="n"/>
      <c r="M1076" s="121">
        <f>IF($C1076="","",IF($D1076="Gider",$E1076,IF($L1076&lt;&gt;"",$L1076,$H1076)))</f>
        <v/>
      </c>
      <c r="N1076" s="121">
        <f>IF($C1076="","",IF($D1076="Gider",$H1076,$E1076))</f>
        <v/>
      </c>
      <c r="O1076" s="226">
        <f>IF($C1076="","",DATE(YEAR($C1076),MONTH($C1076),1))</f>
        <v/>
      </c>
      <c r="P1076" s="113">
        <f>IF($C1076="","",IF(AND($D1076="Gelir",$L1076&lt;&gt;"",$T1076=""),"TANIMSIZ BORÇLU",IF($T1076&lt;&gt;"",IF(OR($E1076="",$G1076&lt;=0),"EKSİK",IF($I1076="Evet","TAHAKKUK NAKİT OLAMAZ",IF($C1076&gt;TODAY(),"İLERİ TARİH","TAHAKKUK"))),IF(AND($D1076&lt;&gt;"",$E1076&lt;&gt;"",$G1076&gt;0,$H1076&lt;&gt;"",$I1076&lt;&gt;""),IF($C1076&gt;TODAY(),"İLERİ TARİH",IF(COUNTIF($W$7:$W$1206,$W1076)&gt;1,"MÜKERRER?",IF($AD1076&gt;0,"KAPALI DÖNEM",IF($I1076="Hayır","ÖDENECEK","UYGUN")))),"EKSİK"))))</f>
        <v/>
      </c>
      <c r="Q1076" s="6" t="n"/>
      <c r="R1076" s="6" t="n"/>
      <c r="S1076" s="3">
        <f>IF($L1076="","",UPPER(SUBSTITUTE(SUBSTITUTE(SUBSTITUTE(SUBSTITUTE(SUBSTITUTE(SUBSTITUTE(SUBSTITUTE(SUBSTITUTE(SUBSTITUTE(SUBSTITUTE(SUBSTITUTE(SUBSTITUTE(SUBSTITUTE(SUBSTITUTE(SUBSTITUTE(SUBSTITUTE(SUBSTITUTE(SUBSTITUTE(TRIM($L1076),"'",""),"İ","I"),"ı","I"),"i","I"),"Ş","S"),"ş","S"),"Ğ","G"),"ğ","G"),"Ü","U"),"ü","U"),"Ö","O"),"ö","O"),"Ç","C"),"ç","C"),".",""),",","")," ",""),"-","")))</f>
        <v/>
      </c>
      <c r="T1076" s="3">
        <f>IF(OR($C1076="",$D1076&lt;&gt;"Gelir",$L1076=""),"",IFERROR(INDEX(MUSTERILER!$B$7:$B$106,MATCH($S1076,MUSTERILER!$T$7:$T$106,0)),""))</f>
        <v/>
      </c>
      <c r="U1076" s="3">
        <f>IF($T1076="","",$T1076&amp;"|"&amp;COUNTIFS($T$7:$T1076,$T1076))</f>
        <v/>
      </c>
      <c r="V1076" s="3">
        <f>IF($T1076="",0,1)</f>
        <v/>
      </c>
      <c r="W1076" s="3">
        <f>IF($C1076="","",$D1076&amp;"|"&amp;$E1076&amp;"|"&amp;TEXT($C1076,"0")&amp;"|"&amp;TEXT($G1076,"0")&amp;"|"&amp;$J1076)</f>
        <v/>
      </c>
      <c r="X1076" s="3" t="n"/>
      <c r="Y1076" s="3" t="n"/>
      <c r="Z1076" s="3" t="n"/>
      <c r="AA1076" s="3" t="n"/>
      <c r="AB1076" s="3" t="n"/>
      <c r="AC1076" s="3" t="n"/>
      <c r="AD1076" s="3">
        <f>IF($C1076="",0,SUMPRODUCT((AY_SONU!$O$7:$O$42="Evet")*(AY_SONU!$B$7:$B$42=DATE(YEAR($C1076),MONTH($C1076),1))))</f>
        <v/>
      </c>
    </row>
    <row r="1077">
      <c r="A1077" s="6" t="n"/>
      <c r="B1077" s="113">
        <f>IF($C1077="","","GG"&amp;TEXT(ROW()-6,"00000"))</f>
        <v/>
      </c>
      <c r="C1077" s="220" t="n"/>
      <c r="D1077" s="108" t="n"/>
      <c r="E1077" s="109" t="n"/>
      <c r="F1077" s="109" t="n"/>
      <c r="G1077" s="221" t="n"/>
      <c r="H1077" s="108" t="n"/>
      <c r="I1077" s="108" t="n"/>
      <c r="J1077" s="109" t="n"/>
      <c r="K1077" s="109" t="n"/>
      <c r="L1077" s="108" t="n"/>
      <c r="M1077" s="121">
        <f>IF($C1077="","",IF($D1077="Gider",$E1077,IF($L1077&lt;&gt;"",$L1077,$H1077)))</f>
        <v/>
      </c>
      <c r="N1077" s="121">
        <f>IF($C1077="","",IF($D1077="Gider",$H1077,$E1077))</f>
        <v/>
      </c>
      <c r="O1077" s="226">
        <f>IF($C1077="","",DATE(YEAR($C1077),MONTH($C1077),1))</f>
        <v/>
      </c>
      <c r="P1077" s="113">
        <f>IF($C1077="","",IF(AND($D1077="Gelir",$L1077&lt;&gt;"",$T1077=""),"TANIMSIZ BORÇLU",IF($T1077&lt;&gt;"",IF(OR($E1077="",$G1077&lt;=0),"EKSİK",IF($I1077="Evet","TAHAKKUK NAKİT OLAMAZ",IF($C1077&gt;TODAY(),"İLERİ TARİH","TAHAKKUK"))),IF(AND($D1077&lt;&gt;"",$E1077&lt;&gt;"",$G1077&gt;0,$H1077&lt;&gt;"",$I1077&lt;&gt;""),IF($C1077&gt;TODAY(),"İLERİ TARİH",IF(COUNTIF($W$7:$W$1206,$W1077)&gt;1,"MÜKERRER?",IF($AD1077&gt;0,"KAPALI DÖNEM",IF($I1077="Hayır","ÖDENECEK","UYGUN")))),"EKSİK"))))</f>
        <v/>
      </c>
      <c r="Q1077" s="6" t="n"/>
      <c r="R1077" s="6" t="n"/>
      <c r="S1077" s="3">
        <f>IF($L1077="","",UPPER(SUBSTITUTE(SUBSTITUTE(SUBSTITUTE(SUBSTITUTE(SUBSTITUTE(SUBSTITUTE(SUBSTITUTE(SUBSTITUTE(SUBSTITUTE(SUBSTITUTE(SUBSTITUTE(SUBSTITUTE(SUBSTITUTE(SUBSTITUTE(SUBSTITUTE(SUBSTITUTE(SUBSTITUTE(SUBSTITUTE(TRIM($L1077),"'",""),"İ","I"),"ı","I"),"i","I"),"Ş","S"),"ş","S"),"Ğ","G"),"ğ","G"),"Ü","U"),"ü","U"),"Ö","O"),"ö","O"),"Ç","C"),"ç","C"),".",""),",","")," ",""),"-","")))</f>
        <v/>
      </c>
      <c r="T1077" s="3">
        <f>IF(OR($C1077="",$D1077&lt;&gt;"Gelir",$L1077=""),"",IFERROR(INDEX(MUSTERILER!$B$7:$B$106,MATCH($S1077,MUSTERILER!$T$7:$T$106,0)),""))</f>
        <v/>
      </c>
      <c r="U1077" s="3">
        <f>IF($T1077="","",$T1077&amp;"|"&amp;COUNTIFS($T$7:$T1077,$T1077))</f>
        <v/>
      </c>
      <c r="V1077" s="3">
        <f>IF($T1077="",0,1)</f>
        <v/>
      </c>
      <c r="W1077" s="3">
        <f>IF($C1077="","",$D1077&amp;"|"&amp;$E1077&amp;"|"&amp;TEXT($C1077,"0")&amp;"|"&amp;TEXT($G1077,"0")&amp;"|"&amp;$J1077)</f>
        <v/>
      </c>
      <c r="X1077" s="3" t="n"/>
      <c r="Y1077" s="3" t="n"/>
      <c r="Z1077" s="3" t="n"/>
      <c r="AA1077" s="3" t="n"/>
      <c r="AB1077" s="3" t="n"/>
      <c r="AC1077" s="3" t="n"/>
      <c r="AD1077" s="3">
        <f>IF($C1077="",0,SUMPRODUCT((AY_SONU!$O$7:$O$42="Evet")*(AY_SONU!$B$7:$B$42=DATE(YEAR($C1077),MONTH($C1077),1))))</f>
        <v/>
      </c>
    </row>
    <row r="1078">
      <c r="A1078" s="6" t="n"/>
      <c r="B1078" s="113">
        <f>IF($C1078="","","GG"&amp;TEXT(ROW()-6,"00000"))</f>
        <v/>
      </c>
      <c r="C1078" s="220" t="n"/>
      <c r="D1078" s="108" t="n"/>
      <c r="E1078" s="109" t="n"/>
      <c r="F1078" s="109" t="n"/>
      <c r="G1078" s="221" t="n"/>
      <c r="H1078" s="108" t="n"/>
      <c r="I1078" s="108" t="n"/>
      <c r="J1078" s="109" t="n"/>
      <c r="K1078" s="109" t="n"/>
      <c r="L1078" s="108" t="n"/>
      <c r="M1078" s="121">
        <f>IF($C1078="","",IF($D1078="Gider",$E1078,IF($L1078&lt;&gt;"",$L1078,$H1078)))</f>
        <v/>
      </c>
      <c r="N1078" s="121">
        <f>IF($C1078="","",IF($D1078="Gider",$H1078,$E1078))</f>
        <v/>
      </c>
      <c r="O1078" s="226">
        <f>IF($C1078="","",DATE(YEAR($C1078),MONTH($C1078),1))</f>
        <v/>
      </c>
      <c r="P1078" s="113">
        <f>IF($C1078="","",IF(AND($D1078="Gelir",$L1078&lt;&gt;"",$T1078=""),"TANIMSIZ BORÇLU",IF($T1078&lt;&gt;"",IF(OR($E1078="",$G1078&lt;=0),"EKSİK",IF($I1078="Evet","TAHAKKUK NAKİT OLAMAZ",IF($C1078&gt;TODAY(),"İLERİ TARİH","TAHAKKUK"))),IF(AND($D1078&lt;&gt;"",$E1078&lt;&gt;"",$G1078&gt;0,$H1078&lt;&gt;"",$I1078&lt;&gt;""),IF($C1078&gt;TODAY(),"İLERİ TARİH",IF(COUNTIF($W$7:$W$1206,$W1078)&gt;1,"MÜKERRER?",IF($AD1078&gt;0,"KAPALI DÖNEM",IF($I1078="Hayır","ÖDENECEK","UYGUN")))),"EKSİK"))))</f>
        <v/>
      </c>
      <c r="Q1078" s="6" t="n"/>
      <c r="R1078" s="6" t="n"/>
      <c r="S1078" s="3">
        <f>IF($L1078="","",UPPER(SUBSTITUTE(SUBSTITUTE(SUBSTITUTE(SUBSTITUTE(SUBSTITUTE(SUBSTITUTE(SUBSTITUTE(SUBSTITUTE(SUBSTITUTE(SUBSTITUTE(SUBSTITUTE(SUBSTITUTE(SUBSTITUTE(SUBSTITUTE(SUBSTITUTE(SUBSTITUTE(SUBSTITUTE(SUBSTITUTE(TRIM($L1078),"'",""),"İ","I"),"ı","I"),"i","I"),"Ş","S"),"ş","S"),"Ğ","G"),"ğ","G"),"Ü","U"),"ü","U"),"Ö","O"),"ö","O"),"Ç","C"),"ç","C"),".",""),",","")," ",""),"-","")))</f>
        <v/>
      </c>
      <c r="T1078" s="3">
        <f>IF(OR($C1078="",$D1078&lt;&gt;"Gelir",$L1078=""),"",IFERROR(INDEX(MUSTERILER!$B$7:$B$106,MATCH($S1078,MUSTERILER!$T$7:$T$106,0)),""))</f>
        <v/>
      </c>
      <c r="U1078" s="3">
        <f>IF($T1078="","",$T1078&amp;"|"&amp;COUNTIFS($T$7:$T1078,$T1078))</f>
        <v/>
      </c>
      <c r="V1078" s="3">
        <f>IF($T1078="",0,1)</f>
        <v/>
      </c>
      <c r="W1078" s="3">
        <f>IF($C1078="","",$D1078&amp;"|"&amp;$E1078&amp;"|"&amp;TEXT($C1078,"0")&amp;"|"&amp;TEXT($G1078,"0")&amp;"|"&amp;$J1078)</f>
        <v/>
      </c>
      <c r="X1078" s="3" t="n"/>
      <c r="Y1078" s="3" t="n"/>
      <c r="Z1078" s="3" t="n"/>
      <c r="AA1078" s="3" t="n"/>
      <c r="AB1078" s="3" t="n"/>
      <c r="AC1078" s="3" t="n"/>
      <c r="AD1078" s="3">
        <f>IF($C1078="",0,SUMPRODUCT((AY_SONU!$O$7:$O$42="Evet")*(AY_SONU!$B$7:$B$42=DATE(YEAR($C1078),MONTH($C1078),1))))</f>
        <v/>
      </c>
    </row>
    <row r="1079">
      <c r="A1079" s="6" t="n"/>
      <c r="B1079" s="113">
        <f>IF($C1079="","","GG"&amp;TEXT(ROW()-6,"00000"))</f>
        <v/>
      </c>
      <c r="C1079" s="220" t="n"/>
      <c r="D1079" s="108" t="n"/>
      <c r="E1079" s="109" t="n"/>
      <c r="F1079" s="109" t="n"/>
      <c r="G1079" s="221" t="n"/>
      <c r="H1079" s="108" t="n"/>
      <c r="I1079" s="108" t="n"/>
      <c r="J1079" s="109" t="n"/>
      <c r="K1079" s="109" t="n"/>
      <c r="L1079" s="108" t="n"/>
      <c r="M1079" s="121">
        <f>IF($C1079="","",IF($D1079="Gider",$E1079,IF($L1079&lt;&gt;"",$L1079,$H1079)))</f>
        <v/>
      </c>
      <c r="N1079" s="121">
        <f>IF($C1079="","",IF($D1079="Gider",$H1079,$E1079))</f>
        <v/>
      </c>
      <c r="O1079" s="226">
        <f>IF($C1079="","",DATE(YEAR($C1079),MONTH($C1079),1))</f>
        <v/>
      </c>
      <c r="P1079" s="113">
        <f>IF($C1079="","",IF(AND($D1079="Gelir",$L1079&lt;&gt;"",$T1079=""),"TANIMSIZ BORÇLU",IF($T1079&lt;&gt;"",IF(OR($E1079="",$G1079&lt;=0),"EKSİK",IF($I1079="Evet","TAHAKKUK NAKİT OLAMAZ",IF($C1079&gt;TODAY(),"İLERİ TARİH","TAHAKKUK"))),IF(AND($D1079&lt;&gt;"",$E1079&lt;&gt;"",$G1079&gt;0,$H1079&lt;&gt;"",$I1079&lt;&gt;""),IF($C1079&gt;TODAY(),"İLERİ TARİH",IF(COUNTIF($W$7:$W$1206,$W1079)&gt;1,"MÜKERRER?",IF($AD1079&gt;0,"KAPALI DÖNEM",IF($I1079="Hayır","ÖDENECEK","UYGUN")))),"EKSİK"))))</f>
        <v/>
      </c>
      <c r="Q1079" s="6" t="n"/>
      <c r="R1079" s="6" t="n"/>
      <c r="S1079" s="3">
        <f>IF($L1079="","",UPPER(SUBSTITUTE(SUBSTITUTE(SUBSTITUTE(SUBSTITUTE(SUBSTITUTE(SUBSTITUTE(SUBSTITUTE(SUBSTITUTE(SUBSTITUTE(SUBSTITUTE(SUBSTITUTE(SUBSTITUTE(SUBSTITUTE(SUBSTITUTE(SUBSTITUTE(SUBSTITUTE(SUBSTITUTE(SUBSTITUTE(TRIM($L1079),"'",""),"İ","I"),"ı","I"),"i","I"),"Ş","S"),"ş","S"),"Ğ","G"),"ğ","G"),"Ü","U"),"ü","U"),"Ö","O"),"ö","O"),"Ç","C"),"ç","C"),".",""),",","")," ",""),"-","")))</f>
        <v/>
      </c>
      <c r="T1079" s="3">
        <f>IF(OR($C1079="",$D1079&lt;&gt;"Gelir",$L1079=""),"",IFERROR(INDEX(MUSTERILER!$B$7:$B$106,MATCH($S1079,MUSTERILER!$T$7:$T$106,0)),""))</f>
        <v/>
      </c>
      <c r="U1079" s="3">
        <f>IF($T1079="","",$T1079&amp;"|"&amp;COUNTIFS($T$7:$T1079,$T1079))</f>
        <v/>
      </c>
      <c r="V1079" s="3">
        <f>IF($T1079="",0,1)</f>
        <v/>
      </c>
      <c r="W1079" s="3">
        <f>IF($C1079="","",$D1079&amp;"|"&amp;$E1079&amp;"|"&amp;TEXT($C1079,"0")&amp;"|"&amp;TEXT($G1079,"0")&amp;"|"&amp;$J1079)</f>
        <v/>
      </c>
      <c r="X1079" s="3" t="n"/>
      <c r="Y1079" s="3" t="n"/>
      <c r="Z1079" s="3" t="n"/>
      <c r="AA1079" s="3" t="n"/>
      <c r="AB1079" s="3" t="n"/>
      <c r="AC1079" s="3" t="n"/>
      <c r="AD1079" s="3">
        <f>IF($C1079="",0,SUMPRODUCT((AY_SONU!$O$7:$O$42="Evet")*(AY_SONU!$B$7:$B$42=DATE(YEAR($C1079),MONTH($C1079),1))))</f>
        <v/>
      </c>
    </row>
    <row r="1080">
      <c r="A1080" s="6" t="n"/>
      <c r="B1080" s="113">
        <f>IF($C1080="","","GG"&amp;TEXT(ROW()-6,"00000"))</f>
        <v/>
      </c>
      <c r="C1080" s="220" t="n"/>
      <c r="D1080" s="108" t="n"/>
      <c r="E1080" s="109" t="n"/>
      <c r="F1080" s="109" t="n"/>
      <c r="G1080" s="221" t="n"/>
      <c r="H1080" s="108" t="n"/>
      <c r="I1080" s="108" t="n"/>
      <c r="J1080" s="109" t="n"/>
      <c r="K1080" s="109" t="n"/>
      <c r="L1080" s="108" t="n"/>
      <c r="M1080" s="121">
        <f>IF($C1080="","",IF($D1080="Gider",$E1080,IF($L1080&lt;&gt;"",$L1080,$H1080)))</f>
        <v/>
      </c>
      <c r="N1080" s="121">
        <f>IF($C1080="","",IF($D1080="Gider",$H1080,$E1080))</f>
        <v/>
      </c>
      <c r="O1080" s="226">
        <f>IF($C1080="","",DATE(YEAR($C1080),MONTH($C1080),1))</f>
        <v/>
      </c>
      <c r="P1080" s="113">
        <f>IF($C1080="","",IF(AND($D1080="Gelir",$L1080&lt;&gt;"",$T1080=""),"TANIMSIZ BORÇLU",IF($T1080&lt;&gt;"",IF(OR($E1080="",$G1080&lt;=0),"EKSİK",IF($I1080="Evet","TAHAKKUK NAKİT OLAMAZ",IF($C1080&gt;TODAY(),"İLERİ TARİH","TAHAKKUK"))),IF(AND($D1080&lt;&gt;"",$E1080&lt;&gt;"",$G1080&gt;0,$H1080&lt;&gt;"",$I1080&lt;&gt;""),IF($C1080&gt;TODAY(),"İLERİ TARİH",IF(COUNTIF($W$7:$W$1206,$W1080)&gt;1,"MÜKERRER?",IF($AD1080&gt;0,"KAPALI DÖNEM",IF($I1080="Hayır","ÖDENECEK","UYGUN")))),"EKSİK"))))</f>
        <v/>
      </c>
      <c r="Q1080" s="6" t="n"/>
      <c r="R1080" s="6" t="n"/>
      <c r="S1080" s="3">
        <f>IF($L1080="","",UPPER(SUBSTITUTE(SUBSTITUTE(SUBSTITUTE(SUBSTITUTE(SUBSTITUTE(SUBSTITUTE(SUBSTITUTE(SUBSTITUTE(SUBSTITUTE(SUBSTITUTE(SUBSTITUTE(SUBSTITUTE(SUBSTITUTE(SUBSTITUTE(SUBSTITUTE(SUBSTITUTE(SUBSTITUTE(SUBSTITUTE(TRIM($L1080),"'",""),"İ","I"),"ı","I"),"i","I"),"Ş","S"),"ş","S"),"Ğ","G"),"ğ","G"),"Ü","U"),"ü","U"),"Ö","O"),"ö","O"),"Ç","C"),"ç","C"),".",""),",","")," ",""),"-","")))</f>
        <v/>
      </c>
      <c r="T1080" s="3">
        <f>IF(OR($C1080="",$D1080&lt;&gt;"Gelir",$L1080=""),"",IFERROR(INDEX(MUSTERILER!$B$7:$B$106,MATCH($S1080,MUSTERILER!$T$7:$T$106,0)),""))</f>
        <v/>
      </c>
      <c r="U1080" s="3">
        <f>IF($T1080="","",$T1080&amp;"|"&amp;COUNTIFS($T$7:$T1080,$T1080))</f>
        <v/>
      </c>
      <c r="V1080" s="3">
        <f>IF($T1080="",0,1)</f>
        <v/>
      </c>
      <c r="W1080" s="3">
        <f>IF($C1080="","",$D1080&amp;"|"&amp;$E1080&amp;"|"&amp;TEXT($C1080,"0")&amp;"|"&amp;TEXT($G1080,"0")&amp;"|"&amp;$J1080)</f>
        <v/>
      </c>
      <c r="X1080" s="3" t="n"/>
      <c r="Y1080" s="3" t="n"/>
      <c r="Z1080" s="3" t="n"/>
      <c r="AA1080" s="3" t="n"/>
      <c r="AB1080" s="3" t="n"/>
      <c r="AC1080" s="3" t="n"/>
      <c r="AD1080" s="3">
        <f>IF($C1080="",0,SUMPRODUCT((AY_SONU!$O$7:$O$42="Evet")*(AY_SONU!$B$7:$B$42=DATE(YEAR($C1080),MONTH($C1080),1))))</f>
        <v/>
      </c>
    </row>
    <row r="1081">
      <c r="A1081" s="6" t="n"/>
      <c r="B1081" s="113">
        <f>IF($C1081="","","GG"&amp;TEXT(ROW()-6,"00000"))</f>
        <v/>
      </c>
      <c r="C1081" s="220" t="n"/>
      <c r="D1081" s="108" t="n"/>
      <c r="E1081" s="109" t="n"/>
      <c r="F1081" s="109" t="n"/>
      <c r="G1081" s="221" t="n"/>
      <c r="H1081" s="108" t="n"/>
      <c r="I1081" s="108" t="n"/>
      <c r="J1081" s="109" t="n"/>
      <c r="K1081" s="109" t="n"/>
      <c r="L1081" s="108" t="n"/>
      <c r="M1081" s="121">
        <f>IF($C1081="","",IF($D1081="Gider",$E1081,IF($L1081&lt;&gt;"",$L1081,$H1081)))</f>
        <v/>
      </c>
      <c r="N1081" s="121">
        <f>IF($C1081="","",IF($D1081="Gider",$H1081,$E1081))</f>
        <v/>
      </c>
      <c r="O1081" s="226">
        <f>IF($C1081="","",DATE(YEAR($C1081),MONTH($C1081),1))</f>
        <v/>
      </c>
      <c r="P1081" s="113">
        <f>IF($C1081="","",IF(AND($D1081="Gelir",$L1081&lt;&gt;"",$T1081=""),"TANIMSIZ BORÇLU",IF($T1081&lt;&gt;"",IF(OR($E1081="",$G1081&lt;=0),"EKSİK",IF($I1081="Evet","TAHAKKUK NAKİT OLAMAZ",IF($C1081&gt;TODAY(),"İLERİ TARİH","TAHAKKUK"))),IF(AND($D1081&lt;&gt;"",$E1081&lt;&gt;"",$G1081&gt;0,$H1081&lt;&gt;"",$I1081&lt;&gt;""),IF($C1081&gt;TODAY(),"İLERİ TARİH",IF(COUNTIF($W$7:$W$1206,$W1081)&gt;1,"MÜKERRER?",IF($AD1081&gt;0,"KAPALI DÖNEM",IF($I1081="Hayır","ÖDENECEK","UYGUN")))),"EKSİK"))))</f>
        <v/>
      </c>
      <c r="Q1081" s="6" t="n"/>
      <c r="R1081" s="6" t="n"/>
      <c r="S1081" s="3">
        <f>IF($L1081="","",UPPER(SUBSTITUTE(SUBSTITUTE(SUBSTITUTE(SUBSTITUTE(SUBSTITUTE(SUBSTITUTE(SUBSTITUTE(SUBSTITUTE(SUBSTITUTE(SUBSTITUTE(SUBSTITUTE(SUBSTITUTE(SUBSTITUTE(SUBSTITUTE(SUBSTITUTE(SUBSTITUTE(SUBSTITUTE(SUBSTITUTE(TRIM($L1081),"'",""),"İ","I"),"ı","I"),"i","I"),"Ş","S"),"ş","S"),"Ğ","G"),"ğ","G"),"Ü","U"),"ü","U"),"Ö","O"),"ö","O"),"Ç","C"),"ç","C"),".",""),",","")," ",""),"-","")))</f>
        <v/>
      </c>
      <c r="T1081" s="3">
        <f>IF(OR($C1081="",$D1081&lt;&gt;"Gelir",$L1081=""),"",IFERROR(INDEX(MUSTERILER!$B$7:$B$106,MATCH($S1081,MUSTERILER!$T$7:$T$106,0)),""))</f>
        <v/>
      </c>
      <c r="U1081" s="3">
        <f>IF($T1081="","",$T1081&amp;"|"&amp;COUNTIFS($T$7:$T1081,$T1081))</f>
        <v/>
      </c>
      <c r="V1081" s="3">
        <f>IF($T1081="",0,1)</f>
        <v/>
      </c>
      <c r="W1081" s="3">
        <f>IF($C1081="","",$D1081&amp;"|"&amp;$E1081&amp;"|"&amp;TEXT($C1081,"0")&amp;"|"&amp;TEXT($G1081,"0")&amp;"|"&amp;$J1081)</f>
        <v/>
      </c>
      <c r="X1081" s="3" t="n"/>
      <c r="Y1081" s="3" t="n"/>
      <c r="Z1081" s="3" t="n"/>
      <c r="AA1081" s="3" t="n"/>
      <c r="AB1081" s="3" t="n"/>
      <c r="AC1081" s="3" t="n"/>
      <c r="AD1081" s="3">
        <f>IF($C1081="",0,SUMPRODUCT((AY_SONU!$O$7:$O$42="Evet")*(AY_SONU!$B$7:$B$42=DATE(YEAR($C1081),MONTH($C1081),1))))</f>
        <v/>
      </c>
    </row>
    <row r="1082">
      <c r="A1082" s="6" t="n"/>
      <c r="B1082" s="113">
        <f>IF($C1082="","","GG"&amp;TEXT(ROW()-6,"00000"))</f>
        <v/>
      </c>
      <c r="C1082" s="220" t="n"/>
      <c r="D1082" s="108" t="n"/>
      <c r="E1082" s="109" t="n"/>
      <c r="F1082" s="109" t="n"/>
      <c r="G1082" s="221" t="n"/>
      <c r="H1082" s="108" t="n"/>
      <c r="I1082" s="108" t="n"/>
      <c r="J1082" s="109" t="n"/>
      <c r="K1082" s="109" t="n"/>
      <c r="L1082" s="108" t="n"/>
      <c r="M1082" s="121">
        <f>IF($C1082="","",IF($D1082="Gider",$E1082,IF($L1082&lt;&gt;"",$L1082,$H1082)))</f>
        <v/>
      </c>
      <c r="N1082" s="121">
        <f>IF($C1082="","",IF($D1082="Gider",$H1082,$E1082))</f>
        <v/>
      </c>
      <c r="O1082" s="226">
        <f>IF($C1082="","",DATE(YEAR($C1082),MONTH($C1082),1))</f>
        <v/>
      </c>
      <c r="P1082" s="113">
        <f>IF($C1082="","",IF(AND($D1082="Gelir",$L1082&lt;&gt;"",$T1082=""),"TANIMSIZ BORÇLU",IF($T1082&lt;&gt;"",IF(OR($E1082="",$G1082&lt;=0),"EKSİK",IF($I1082="Evet","TAHAKKUK NAKİT OLAMAZ",IF($C1082&gt;TODAY(),"İLERİ TARİH","TAHAKKUK"))),IF(AND($D1082&lt;&gt;"",$E1082&lt;&gt;"",$G1082&gt;0,$H1082&lt;&gt;"",$I1082&lt;&gt;""),IF($C1082&gt;TODAY(),"İLERİ TARİH",IF(COUNTIF($W$7:$W$1206,$W1082)&gt;1,"MÜKERRER?",IF($AD1082&gt;0,"KAPALI DÖNEM",IF($I1082="Hayır","ÖDENECEK","UYGUN")))),"EKSİK"))))</f>
        <v/>
      </c>
      <c r="Q1082" s="6" t="n"/>
      <c r="R1082" s="6" t="n"/>
      <c r="S1082" s="3">
        <f>IF($L1082="","",UPPER(SUBSTITUTE(SUBSTITUTE(SUBSTITUTE(SUBSTITUTE(SUBSTITUTE(SUBSTITUTE(SUBSTITUTE(SUBSTITUTE(SUBSTITUTE(SUBSTITUTE(SUBSTITUTE(SUBSTITUTE(SUBSTITUTE(SUBSTITUTE(SUBSTITUTE(SUBSTITUTE(SUBSTITUTE(SUBSTITUTE(TRIM($L1082),"'",""),"İ","I"),"ı","I"),"i","I"),"Ş","S"),"ş","S"),"Ğ","G"),"ğ","G"),"Ü","U"),"ü","U"),"Ö","O"),"ö","O"),"Ç","C"),"ç","C"),".",""),",","")," ",""),"-","")))</f>
        <v/>
      </c>
      <c r="T1082" s="3">
        <f>IF(OR($C1082="",$D1082&lt;&gt;"Gelir",$L1082=""),"",IFERROR(INDEX(MUSTERILER!$B$7:$B$106,MATCH($S1082,MUSTERILER!$T$7:$T$106,0)),""))</f>
        <v/>
      </c>
      <c r="U1082" s="3">
        <f>IF($T1082="","",$T1082&amp;"|"&amp;COUNTIFS($T$7:$T1082,$T1082))</f>
        <v/>
      </c>
      <c r="V1082" s="3">
        <f>IF($T1082="",0,1)</f>
        <v/>
      </c>
      <c r="W1082" s="3">
        <f>IF($C1082="","",$D1082&amp;"|"&amp;$E1082&amp;"|"&amp;TEXT($C1082,"0")&amp;"|"&amp;TEXT($G1082,"0")&amp;"|"&amp;$J1082)</f>
        <v/>
      </c>
      <c r="X1082" s="3" t="n"/>
      <c r="Y1082" s="3" t="n"/>
      <c r="Z1082" s="3" t="n"/>
      <c r="AA1082" s="3" t="n"/>
      <c r="AB1082" s="3" t="n"/>
      <c r="AC1082" s="3" t="n"/>
      <c r="AD1082" s="3">
        <f>IF($C1082="",0,SUMPRODUCT((AY_SONU!$O$7:$O$42="Evet")*(AY_SONU!$B$7:$B$42=DATE(YEAR($C1082),MONTH($C1082),1))))</f>
        <v/>
      </c>
    </row>
    <row r="1083">
      <c r="A1083" s="6" t="n"/>
      <c r="B1083" s="113">
        <f>IF($C1083="","","GG"&amp;TEXT(ROW()-6,"00000"))</f>
        <v/>
      </c>
      <c r="C1083" s="220" t="n"/>
      <c r="D1083" s="108" t="n"/>
      <c r="E1083" s="109" t="n"/>
      <c r="F1083" s="109" t="n"/>
      <c r="G1083" s="221" t="n"/>
      <c r="H1083" s="108" t="n"/>
      <c r="I1083" s="108" t="n"/>
      <c r="J1083" s="109" t="n"/>
      <c r="K1083" s="109" t="n"/>
      <c r="L1083" s="108" t="n"/>
      <c r="M1083" s="121">
        <f>IF($C1083="","",IF($D1083="Gider",$E1083,IF($L1083&lt;&gt;"",$L1083,$H1083)))</f>
        <v/>
      </c>
      <c r="N1083" s="121">
        <f>IF($C1083="","",IF($D1083="Gider",$H1083,$E1083))</f>
        <v/>
      </c>
      <c r="O1083" s="226">
        <f>IF($C1083="","",DATE(YEAR($C1083),MONTH($C1083),1))</f>
        <v/>
      </c>
      <c r="P1083" s="113">
        <f>IF($C1083="","",IF(AND($D1083="Gelir",$L1083&lt;&gt;"",$T1083=""),"TANIMSIZ BORÇLU",IF($T1083&lt;&gt;"",IF(OR($E1083="",$G1083&lt;=0),"EKSİK",IF($I1083="Evet","TAHAKKUK NAKİT OLAMAZ",IF($C1083&gt;TODAY(),"İLERİ TARİH","TAHAKKUK"))),IF(AND($D1083&lt;&gt;"",$E1083&lt;&gt;"",$G1083&gt;0,$H1083&lt;&gt;"",$I1083&lt;&gt;""),IF($C1083&gt;TODAY(),"İLERİ TARİH",IF(COUNTIF($W$7:$W$1206,$W1083)&gt;1,"MÜKERRER?",IF($AD1083&gt;0,"KAPALI DÖNEM",IF($I1083="Hayır","ÖDENECEK","UYGUN")))),"EKSİK"))))</f>
        <v/>
      </c>
      <c r="Q1083" s="6" t="n"/>
      <c r="R1083" s="6" t="n"/>
      <c r="S1083" s="3">
        <f>IF($L1083="","",UPPER(SUBSTITUTE(SUBSTITUTE(SUBSTITUTE(SUBSTITUTE(SUBSTITUTE(SUBSTITUTE(SUBSTITUTE(SUBSTITUTE(SUBSTITUTE(SUBSTITUTE(SUBSTITUTE(SUBSTITUTE(SUBSTITUTE(SUBSTITUTE(SUBSTITUTE(SUBSTITUTE(SUBSTITUTE(SUBSTITUTE(TRIM($L1083),"'",""),"İ","I"),"ı","I"),"i","I"),"Ş","S"),"ş","S"),"Ğ","G"),"ğ","G"),"Ü","U"),"ü","U"),"Ö","O"),"ö","O"),"Ç","C"),"ç","C"),".",""),",","")," ",""),"-","")))</f>
        <v/>
      </c>
      <c r="T1083" s="3">
        <f>IF(OR($C1083="",$D1083&lt;&gt;"Gelir",$L1083=""),"",IFERROR(INDEX(MUSTERILER!$B$7:$B$106,MATCH($S1083,MUSTERILER!$T$7:$T$106,0)),""))</f>
        <v/>
      </c>
      <c r="U1083" s="3">
        <f>IF($T1083="","",$T1083&amp;"|"&amp;COUNTIFS($T$7:$T1083,$T1083))</f>
        <v/>
      </c>
      <c r="V1083" s="3">
        <f>IF($T1083="",0,1)</f>
        <v/>
      </c>
      <c r="W1083" s="3">
        <f>IF($C1083="","",$D1083&amp;"|"&amp;$E1083&amp;"|"&amp;TEXT($C1083,"0")&amp;"|"&amp;TEXT($G1083,"0")&amp;"|"&amp;$J1083)</f>
        <v/>
      </c>
      <c r="X1083" s="3" t="n"/>
      <c r="Y1083" s="3" t="n"/>
      <c r="Z1083" s="3" t="n"/>
      <c r="AA1083" s="3" t="n"/>
      <c r="AB1083" s="3" t="n"/>
      <c r="AC1083" s="3" t="n"/>
      <c r="AD1083" s="3">
        <f>IF($C1083="",0,SUMPRODUCT((AY_SONU!$O$7:$O$42="Evet")*(AY_SONU!$B$7:$B$42=DATE(YEAR($C1083),MONTH($C1083),1))))</f>
        <v/>
      </c>
    </row>
    <row r="1084">
      <c r="A1084" s="6" t="n"/>
      <c r="B1084" s="113">
        <f>IF($C1084="","","GG"&amp;TEXT(ROW()-6,"00000"))</f>
        <v/>
      </c>
      <c r="C1084" s="220" t="n"/>
      <c r="D1084" s="108" t="n"/>
      <c r="E1084" s="109" t="n"/>
      <c r="F1084" s="109" t="n"/>
      <c r="G1084" s="221" t="n"/>
      <c r="H1084" s="108" t="n"/>
      <c r="I1084" s="108" t="n"/>
      <c r="J1084" s="109" t="n"/>
      <c r="K1084" s="109" t="n"/>
      <c r="L1084" s="108" t="n"/>
      <c r="M1084" s="121">
        <f>IF($C1084="","",IF($D1084="Gider",$E1084,IF($L1084&lt;&gt;"",$L1084,$H1084)))</f>
        <v/>
      </c>
      <c r="N1084" s="121">
        <f>IF($C1084="","",IF($D1084="Gider",$H1084,$E1084))</f>
        <v/>
      </c>
      <c r="O1084" s="226">
        <f>IF($C1084="","",DATE(YEAR($C1084),MONTH($C1084),1))</f>
        <v/>
      </c>
      <c r="P1084" s="113">
        <f>IF($C1084="","",IF(AND($D1084="Gelir",$L1084&lt;&gt;"",$T1084=""),"TANIMSIZ BORÇLU",IF($T1084&lt;&gt;"",IF(OR($E1084="",$G1084&lt;=0),"EKSİK",IF($I1084="Evet","TAHAKKUK NAKİT OLAMAZ",IF($C1084&gt;TODAY(),"İLERİ TARİH","TAHAKKUK"))),IF(AND($D1084&lt;&gt;"",$E1084&lt;&gt;"",$G1084&gt;0,$H1084&lt;&gt;"",$I1084&lt;&gt;""),IF($C1084&gt;TODAY(),"İLERİ TARİH",IF(COUNTIF($W$7:$W$1206,$W1084)&gt;1,"MÜKERRER?",IF($AD1084&gt;0,"KAPALI DÖNEM",IF($I1084="Hayır","ÖDENECEK","UYGUN")))),"EKSİK"))))</f>
        <v/>
      </c>
      <c r="Q1084" s="6" t="n"/>
      <c r="R1084" s="6" t="n"/>
      <c r="S1084" s="3">
        <f>IF($L1084="","",UPPER(SUBSTITUTE(SUBSTITUTE(SUBSTITUTE(SUBSTITUTE(SUBSTITUTE(SUBSTITUTE(SUBSTITUTE(SUBSTITUTE(SUBSTITUTE(SUBSTITUTE(SUBSTITUTE(SUBSTITUTE(SUBSTITUTE(SUBSTITUTE(SUBSTITUTE(SUBSTITUTE(SUBSTITUTE(SUBSTITUTE(TRIM($L1084),"'",""),"İ","I"),"ı","I"),"i","I"),"Ş","S"),"ş","S"),"Ğ","G"),"ğ","G"),"Ü","U"),"ü","U"),"Ö","O"),"ö","O"),"Ç","C"),"ç","C"),".",""),",","")," ",""),"-","")))</f>
        <v/>
      </c>
      <c r="T1084" s="3">
        <f>IF(OR($C1084="",$D1084&lt;&gt;"Gelir",$L1084=""),"",IFERROR(INDEX(MUSTERILER!$B$7:$B$106,MATCH($S1084,MUSTERILER!$T$7:$T$106,0)),""))</f>
        <v/>
      </c>
      <c r="U1084" s="3">
        <f>IF($T1084="","",$T1084&amp;"|"&amp;COUNTIFS($T$7:$T1084,$T1084))</f>
        <v/>
      </c>
      <c r="V1084" s="3">
        <f>IF($T1084="",0,1)</f>
        <v/>
      </c>
      <c r="W1084" s="3">
        <f>IF($C1084="","",$D1084&amp;"|"&amp;$E1084&amp;"|"&amp;TEXT($C1084,"0")&amp;"|"&amp;TEXT($G1084,"0")&amp;"|"&amp;$J1084)</f>
        <v/>
      </c>
      <c r="X1084" s="3" t="n"/>
      <c r="Y1084" s="3" t="n"/>
      <c r="Z1084" s="3" t="n"/>
      <c r="AA1084" s="3" t="n"/>
      <c r="AB1084" s="3" t="n"/>
      <c r="AC1084" s="3" t="n"/>
      <c r="AD1084" s="3">
        <f>IF($C1084="",0,SUMPRODUCT((AY_SONU!$O$7:$O$42="Evet")*(AY_SONU!$B$7:$B$42=DATE(YEAR($C1084),MONTH($C1084),1))))</f>
        <v/>
      </c>
    </row>
    <row r="1085">
      <c r="A1085" s="6" t="n"/>
      <c r="B1085" s="113">
        <f>IF($C1085="","","GG"&amp;TEXT(ROW()-6,"00000"))</f>
        <v/>
      </c>
      <c r="C1085" s="220" t="n"/>
      <c r="D1085" s="108" t="n"/>
      <c r="E1085" s="109" t="n"/>
      <c r="F1085" s="109" t="n"/>
      <c r="G1085" s="221" t="n"/>
      <c r="H1085" s="108" t="n"/>
      <c r="I1085" s="108" t="n"/>
      <c r="J1085" s="109" t="n"/>
      <c r="K1085" s="109" t="n"/>
      <c r="L1085" s="108" t="n"/>
      <c r="M1085" s="121">
        <f>IF($C1085="","",IF($D1085="Gider",$E1085,IF($L1085&lt;&gt;"",$L1085,$H1085)))</f>
        <v/>
      </c>
      <c r="N1085" s="121">
        <f>IF($C1085="","",IF($D1085="Gider",$H1085,$E1085))</f>
        <v/>
      </c>
      <c r="O1085" s="226">
        <f>IF($C1085="","",DATE(YEAR($C1085),MONTH($C1085),1))</f>
        <v/>
      </c>
      <c r="P1085" s="113">
        <f>IF($C1085="","",IF(AND($D1085="Gelir",$L1085&lt;&gt;"",$T1085=""),"TANIMSIZ BORÇLU",IF($T1085&lt;&gt;"",IF(OR($E1085="",$G1085&lt;=0),"EKSİK",IF($I1085="Evet","TAHAKKUK NAKİT OLAMAZ",IF($C1085&gt;TODAY(),"İLERİ TARİH","TAHAKKUK"))),IF(AND($D1085&lt;&gt;"",$E1085&lt;&gt;"",$G1085&gt;0,$H1085&lt;&gt;"",$I1085&lt;&gt;""),IF($C1085&gt;TODAY(),"İLERİ TARİH",IF(COUNTIF($W$7:$W$1206,$W1085)&gt;1,"MÜKERRER?",IF($AD1085&gt;0,"KAPALI DÖNEM",IF($I1085="Hayır","ÖDENECEK","UYGUN")))),"EKSİK"))))</f>
        <v/>
      </c>
      <c r="Q1085" s="6" t="n"/>
      <c r="R1085" s="6" t="n"/>
      <c r="S1085" s="3">
        <f>IF($L1085="","",UPPER(SUBSTITUTE(SUBSTITUTE(SUBSTITUTE(SUBSTITUTE(SUBSTITUTE(SUBSTITUTE(SUBSTITUTE(SUBSTITUTE(SUBSTITUTE(SUBSTITUTE(SUBSTITUTE(SUBSTITUTE(SUBSTITUTE(SUBSTITUTE(SUBSTITUTE(SUBSTITUTE(SUBSTITUTE(SUBSTITUTE(TRIM($L1085),"'",""),"İ","I"),"ı","I"),"i","I"),"Ş","S"),"ş","S"),"Ğ","G"),"ğ","G"),"Ü","U"),"ü","U"),"Ö","O"),"ö","O"),"Ç","C"),"ç","C"),".",""),",","")," ",""),"-","")))</f>
        <v/>
      </c>
      <c r="T1085" s="3">
        <f>IF(OR($C1085="",$D1085&lt;&gt;"Gelir",$L1085=""),"",IFERROR(INDEX(MUSTERILER!$B$7:$B$106,MATCH($S1085,MUSTERILER!$T$7:$T$106,0)),""))</f>
        <v/>
      </c>
      <c r="U1085" s="3">
        <f>IF($T1085="","",$T1085&amp;"|"&amp;COUNTIFS($T$7:$T1085,$T1085))</f>
        <v/>
      </c>
      <c r="V1085" s="3">
        <f>IF($T1085="",0,1)</f>
        <v/>
      </c>
      <c r="W1085" s="3">
        <f>IF($C1085="","",$D1085&amp;"|"&amp;$E1085&amp;"|"&amp;TEXT($C1085,"0")&amp;"|"&amp;TEXT($G1085,"0")&amp;"|"&amp;$J1085)</f>
        <v/>
      </c>
      <c r="X1085" s="3" t="n"/>
      <c r="Y1085" s="3" t="n"/>
      <c r="Z1085" s="3" t="n"/>
      <c r="AA1085" s="3" t="n"/>
      <c r="AB1085" s="3" t="n"/>
      <c r="AC1085" s="3" t="n"/>
      <c r="AD1085" s="3">
        <f>IF($C1085="",0,SUMPRODUCT((AY_SONU!$O$7:$O$42="Evet")*(AY_SONU!$B$7:$B$42=DATE(YEAR($C1085),MONTH($C1085),1))))</f>
        <v/>
      </c>
    </row>
    <row r="1086">
      <c r="A1086" s="6" t="n"/>
      <c r="B1086" s="113">
        <f>IF($C1086="","","GG"&amp;TEXT(ROW()-6,"00000"))</f>
        <v/>
      </c>
      <c r="C1086" s="220" t="n"/>
      <c r="D1086" s="108" t="n"/>
      <c r="E1086" s="109" t="n"/>
      <c r="F1086" s="109" t="n"/>
      <c r="G1086" s="221" t="n"/>
      <c r="H1086" s="108" t="n"/>
      <c r="I1086" s="108" t="n"/>
      <c r="J1086" s="109" t="n"/>
      <c r="K1086" s="109" t="n"/>
      <c r="L1086" s="108" t="n"/>
      <c r="M1086" s="121">
        <f>IF($C1086="","",IF($D1086="Gider",$E1086,IF($L1086&lt;&gt;"",$L1086,$H1086)))</f>
        <v/>
      </c>
      <c r="N1086" s="121">
        <f>IF($C1086="","",IF($D1086="Gider",$H1086,$E1086))</f>
        <v/>
      </c>
      <c r="O1086" s="226">
        <f>IF($C1086="","",DATE(YEAR($C1086),MONTH($C1086),1))</f>
        <v/>
      </c>
      <c r="P1086" s="113">
        <f>IF($C1086="","",IF(AND($D1086="Gelir",$L1086&lt;&gt;"",$T1086=""),"TANIMSIZ BORÇLU",IF($T1086&lt;&gt;"",IF(OR($E1086="",$G1086&lt;=0),"EKSİK",IF($I1086="Evet","TAHAKKUK NAKİT OLAMAZ",IF($C1086&gt;TODAY(),"İLERİ TARİH","TAHAKKUK"))),IF(AND($D1086&lt;&gt;"",$E1086&lt;&gt;"",$G1086&gt;0,$H1086&lt;&gt;"",$I1086&lt;&gt;""),IF($C1086&gt;TODAY(),"İLERİ TARİH",IF(COUNTIF($W$7:$W$1206,$W1086)&gt;1,"MÜKERRER?",IF($AD1086&gt;0,"KAPALI DÖNEM",IF($I1086="Hayır","ÖDENECEK","UYGUN")))),"EKSİK"))))</f>
        <v/>
      </c>
      <c r="Q1086" s="6" t="n"/>
      <c r="R1086" s="6" t="n"/>
      <c r="S1086" s="3">
        <f>IF($L1086="","",UPPER(SUBSTITUTE(SUBSTITUTE(SUBSTITUTE(SUBSTITUTE(SUBSTITUTE(SUBSTITUTE(SUBSTITUTE(SUBSTITUTE(SUBSTITUTE(SUBSTITUTE(SUBSTITUTE(SUBSTITUTE(SUBSTITUTE(SUBSTITUTE(SUBSTITUTE(SUBSTITUTE(SUBSTITUTE(SUBSTITUTE(TRIM($L1086),"'",""),"İ","I"),"ı","I"),"i","I"),"Ş","S"),"ş","S"),"Ğ","G"),"ğ","G"),"Ü","U"),"ü","U"),"Ö","O"),"ö","O"),"Ç","C"),"ç","C"),".",""),",","")," ",""),"-","")))</f>
        <v/>
      </c>
      <c r="T1086" s="3">
        <f>IF(OR($C1086="",$D1086&lt;&gt;"Gelir",$L1086=""),"",IFERROR(INDEX(MUSTERILER!$B$7:$B$106,MATCH($S1086,MUSTERILER!$T$7:$T$106,0)),""))</f>
        <v/>
      </c>
      <c r="U1086" s="3">
        <f>IF($T1086="","",$T1086&amp;"|"&amp;COUNTIFS($T$7:$T1086,$T1086))</f>
        <v/>
      </c>
      <c r="V1086" s="3">
        <f>IF($T1086="",0,1)</f>
        <v/>
      </c>
      <c r="W1086" s="3">
        <f>IF($C1086="","",$D1086&amp;"|"&amp;$E1086&amp;"|"&amp;TEXT($C1086,"0")&amp;"|"&amp;TEXT($G1086,"0")&amp;"|"&amp;$J1086)</f>
        <v/>
      </c>
      <c r="X1086" s="3" t="n"/>
      <c r="Y1086" s="3" t="n"/>
      <c r="Z1086" s="3" t="n"/>
      <c r="AA1086" s="3" t="n"/>
      <c r="AB1086" s="3" t="n"/>
      <c r="AC1086" s="3" t="n"/>
      <c r="AD1086" s="3">
        <f>IF($C1086="",0,SUMPRODUCT((AY_SONU!$O$7:$O$42="Evet")*(AY_SONU!$B$7:$B$42=DATE(YEAR($C1086),MONTH($C1086),1))))</f>
        <v/>
      </c>
    </row>
    <row r="1087">
      <c r="A1087" s="6" t="n"/>
      <c r="B1087" s="113">
        <f>IF($C1087="","","GG"&amp;TEXT(ROW()-6,"00000"))</f>
        <v/>
      </c>
      <c r="C1087" s="220" t="n"/>
      <c r="D1087" s="108" t="n"/>
      <c r="E1087" s="109" t="n"/>
      <c r="F1087" s="109" t="n"/>
      <c r="G1087" s="221" t="n"/>
      <c r="H1087" s="108" t="n"/>
      <c r="I1087" s="108" t="n"/>
      <c r="J1087" s="109" t="n"/>
      <c r="K1087" s="109" t="n"/>
      <c r="L1087" s="108" t="n"/>
      <c r="M1087" s="121">
        <f>IF($C1087="","",IF($D1087="Gider",$E1087,IF($L1087&lt;&gt;"",$L1087,$H1087)))</f>
        <v/>
      </c>
      <c r="N1087" s="121">
        <f>IF($C1087="","",IF($D1087="Gider",$H1087,$E1087))</f>
        <v/>
      </c>
      <c r="O1087" s="226">
        <f>IF($C1087="","",DATE(YEAR($C1087),MONTH($C1087),1))</f>
        <v/>
      </c>
      <c r="P1087" s="113">
        <f>IF($C1087="","",IF(AND($D1087="Gelir",$L1087&lt;&gt;"",$T1087=""),"TANIMSIZ BORÇLU",IF($T1087&lt;&gt;"",IF(OR($E1087="",$G1087&lt;=0),"EKSİK",IF($I1087="Evet","TAHAKKUK NAKİT OLAMAZ",IF($C1087&gt;TODAY(),"İLERİ TARİH","TAHAKKUK"))),IF(AND($D1087&lt;&gt;"",$E1087&lt;&gt;"",$G1087&gt;0,$H1087&lt;&gt;"",$I1087&lt;&gt;""),IF($C1087&gt;TODAY(),"İLERİ TARİH",IF(COUNTIF($W$7:$W$1206,$W1087)&gt;1,"MÜKERRER?",IF($AD1087&gt;0,"KAPALI DÖNEM",IF($I1087="Hayır","ÖDENECEK","UYGUN")))),"EKSİK"))))</f>
        <v/>
      </c>
      <c r="Q1087" s="6" t="n"/>
      <c r="R1087" s="6" t="n"/>
      <c r="S1087" s="3">
        <f>IF($L1087="","",UPPER(SUBSTITUTE(SUBSTITUTE(SUBSTITUTE(SUBSTITUTE(SUBSTITUTE(SUBSTITUTE(SUBSTITUTE(SUBSTITUTE(SUBSTITUTE(SUBSTITUTE(SUBSTITUTE(SUBSTITUTE(SUBSTITUTE(SUBSTITUTE(SUBSTITUTE(SUBSTITUTE(SUBSTITUTE(SUBSTITUTE(TRIM($L1087),"'",""),"İ","I"),"ı","I"),"i","I"),"Ş","S"),"ş","S"),"Ğ","G"),"ğ","G"),"Ü","U"),"ü","U"),"Ö","O"),"ö","O"),"Ç","C"),"ç","C"),".",""),",","")," ",""),"-","")))</f>
        <v/>
      </c>
      <c r="T1087" s="3">
        <f>IF(OR($C1087="",$D1087&lt;&gt;"Gelir",$L1087=""),"",IFERROR(INDEX(MUSTERILER!$B$7:$B$106,MATCH($S1087,MUSTERILER!$T$7:$T$106,0)),""))</f>
        <v/>
      </c>
      <c r="U1087" s="3">
        <f>IF($T1087="","",$T1087&amp;"|"&amp;COUNTIFS($T$7:$T1087,$T1087))</f>
        <v/>
      </c>
      <c r="V1087" s="3">
        <f>IF($T1087="",0,1)</f>
        <v/>
      </c>
      <c r="W1087" s="3">
        <f>IF($C1087="","",$D1087&amp;"|"&amp;$E1087&amp;"|"&amp;TEXT($C1087,"0")&amp;"|"&amp;TEXT($G1087,"0")&amp;"|"&amp;$J1087)</f>
        <v/>
      </c>
      <c r="X1087" s="3" t="n"/>
      <c r="Y1087" s="3" t="n"/>
      <c r="Z1087" s="3" t="n"/>
      <c r="AA1087" s="3" t="n"/>
      <c r="AB1087" s="3" t="n"/>
      <c r="AC1087" s="3" t="n"/>
      <c r="AD1087" s="3">
        <f>IF($C1087="",0,SUMPRODUCT((AY_SONU!$O$7:$O$42="Evet")*(AY_SONU!$B$7:$B$42=DATE(YEAR($C1087),MONTH($C1087),1))))</f>
        <v/>
      </c>
    </row>
    <row r="1088">
      <c r="A1088" s="6" t="n"/>
      <c r="B1088" s="113">
        <f>IF($C1088="","","GG"&amp;TEXT(ROW()-6,"00000"))</f>
        <v/>
      </c>
      <c r="C1088" s="220" t="n"/>
      <c r="D1088" s="108" t="n"/>
      <c r="E1088" s="109" t="n"/>
      <c r="F1088" s="109" t="n"/>
      <c r="G1088" s="221" t="n"/>
      <c r="H1088" s="108" t="n"/>
      <c r="I1088" s="108" t="n"/>
      <c r="J1088" s="109" t="n"/>
      <c r="K1088" s="109" t="n"/>
      <c r="L1088" s="108" t="n"/>
      <c r="M1088" s="121">
        <f>IF($C1088="","",IF($D1088="Gider",$E1088,IF($L1088&lt;&gt;"",$L1088,$H1088)))</f>
        <v/>
      </c>
      <c r="N1088" s="121">
        <f>IF($C1088="","",IF($D1088="Gider",$H1088,$E1088))</f>
        <v/>
      </c>
      <c r="O1088" s="226">
        <f>IF($C1088="","",DATE(YEAR($C1088),MONTH($C1088),1))</f>
        <v/>
      </c>
      <c r="P1088" s="113">
        <f>IF($C1088="","",IF(AND($D1088="Gelir",$L1088&lt;&gt;"",$T1088=""),"TANIMSIZ BORÇLU",IF($T1088&lt;&gt;"",IF(OR($E1088="",$G1088&lt;=0),"EKSİK",IF($I1088="Evet","TAHAKKUK NAKİT OLAMAZ",IF($C1088&gt;TODAY(),"İLERİ TARİH","TAHAKKUK"))),IF(AND($D1088&lt;&gt;"",$E1088&lt;&gt;"",$G1088&gt;0,$H1088&lt;&gt;"",$I1088&lt;&gt;""),IF($C1088&gt;TODAY(),"İLERİ TARİH",IF(COUNTIF($W$7:$W$1206,$W1088)&gt;1,"MÜKERRER?",IF($AD1088&gt;0,"KAPALI DÖNEM",IF($I1088="Hayır","ÖDENECEK","UYGUN")))),"EKSİK"))))</f>
        <v/>
      </c>
      <c r="Q1088" s="6" t="n"/>
      <c r="R1088" s="6" t="n"/>
      <c r="S1088" s="3">
        <f>IF($L1088="","",UPPER(SUBSTITUTE(SUBSTITUTE(SUBSTITUTE(SUBSTITUTE(SUBSTITUTE(SUBSTITUTE(SUBSTITUTE(SUBSTITUTE(SUBSTITUTE(SUBSTITUTE(SUBSTITUTE(SUBSTITUTE(SUBSTITUTE(SUBSTITUTE(SUBSTITUTE(SUBSTITUTE(SUBSTITUTE(SUBSTITUTE(TRIM($L1088),"'",""),"İ","I"),"ı","I"),"i","I"),"Ş","S"),"ş","S"),"Ğ","G"),"ğ","G"),"Ü","U"),"ü","U"),"Ö","O"),"ö","O"),"Ç","C"),"ç","C"),".",""),",","")," ",""),"-","")))</f>
        <v/>
      </c>
      <c r="T1088" s="3">
        <f>IF(OR($C1088="",$D1088&lt;&gt;"Gelir",$L1088=""),"",IFERROR(INDEX(MUSTERILER!$B$7:$B$106,MATCH($S1088,MUSTERILER!$T$7:$T$106,0)),""))</f>
        <v/>
      </c>
      <c r="U1088" s="3">
        <f>IF($T1088="","",$T1088&amp;"|"&amp;COUNTIFS($T$7:$T1088,$T1088))</f>
        <v/>
      </c>
      <c r="V1088" s="3">
        <f>IF($T1088="",0,1)</f>
        <v/>
      </c>
      <c r="W1088" s="3">
        <f>IF($C1088="","",$D1088&amp;"|"&amp;$E1088&amp;"|"&amp;TEXT($C1088,"0")&amp;"|"&amp;TEXT($G1088,"0")&amp;"|"&amp;$J1088)</f>
        <v/>
      </c>
      <c r="X1088" s="3" t="n"/>
      <c r="Y1088" s="3" t="n"/>
      <c r="Z1088" s="3" t="n"/>
      <c r="AA1088" s="3" t="n"/>
      <c r="AB1088" s="3" t="n"/>
      <c r="AC1088" s="3" t="n"/>
      <c r="AD1088" s="3">
        <f>IF($C1088="",0,SUMPRODUCT((AY_SONU!$O$7:$O$42="Evet")*(AY_SONU!$B$7:$B$42=DATE(YEAR($C1088),MONTH($C1088),1))))</f>
        <v/>
      </c>
    </row>
    <row r="1089">
      <c r="A1089" s="6" t="n"/>
      <c r="B1089" s="113">
        <f>IF($C1089="","","GG"&amp;TEXT(ROW()-6,"00000"))</f>
        <v/>
      </c>
      <c r="C1089" s="220" t="n"/>
      <c r="D1089" s="108" t="n"/>
      <c r="E1089" s="109" t="n"/>
      <c r="F1089" s="109" t="n"/>
      <c r="G1089" s="221" t="n"/>
      <c r="H1089" s="108" t="n"/>
      <c r="I1089" s="108" t="n"/>
      <c r="J1089" s="109" t="n"/>
      <c r="K1089" s="109" t="n"/>
      <c r="L1089" s="108" t="n"/>
      <c r="M1089" s="121">
        <f>IF($C1089="","",IF($D1089="Gider",$E1089,IF($L1089&lt;&gt;"",$L1089,$H1089)))</f>
        <v/>
      </c>
      <c r="N1089" s="121">
        <f>IF($C1089="","",IF($D1089="Gider",$H1089,$E1089))</f>
        <v/>
      </c>
      <c r="O1089" s="226">
        <f>IF($C1089="","",DATE(YEAR($C1089),MONTH($C1089),1))</f>
        <v/>
      </c>
      <c r="P1089" s="113">
        <f>IF($C1089="","",IF(AND($D1089="Gelir",$L1089&lt;&gt;"",$T1089=""),"TANIMSIZ BORÇLU",IF($T1089&lt;&gt;"",IF(OR($E1089="",$G1089&lt;=0),"EKSİK",IF($I1089="Evet","TAHAKKUK NAKİT OLAMAZ",IF($C1089&gt;TODAY(),"İLERİ TARİH","TAHAKKUK"))),IF(AND($D1089&lt;&gt;"",$E1089&lt;&gt;"",$G1089&gt;0,$H1089&lt;&gt;"",$I1089&lt;&gt;""),IF($C1089&gt;TODAY(),"İLERİ TARİH",IF(COUNTIF($W$7:$W$1206,$W1089)&gt;1,"MÜKERRER?",IF($AD1089&gt;0,"KAPALI DÖNEM",IF($I1089="Hayır","ÖDENECEK","UYGUN")))),"EKSİK"))))</f>
        <v/>
      </c>
      <c r="Q1089" s="6" t="n"/>
      <c r="R1089" s="6" t="n"/>
      <c r="S1089" s="3">
        <f>IF($L1089="","",UPPER(SUBSTITUTE(SUBSTITUTE(SUBSTITUTE(SUBSTITUTE(SUBSTITUTE(SUBSTITUTE(SUBSTITUTE(SUBSTITUTE(SUBSTITUTE(SUBSTITUTE(SUBSTITUTE(SUBSTITUTE(SUBSTITUTE(SUBSTITUTE(SUBSTITUTE(SUBSTITUTE(SUBSTITUTE(SUBSTITUTE(TRIM($L1089),"'",""),"İ","I"),"ı","I"),"i","I"),"Ş","S"),"ş","S"),"Ğ","G"),"ğ","G"),"Ü","U"),"ü","U"),"Ö","O"),"ö","O"),"Ç","C"),"ç","C"),".",""),",","")," ",""),"-","")))</f>
        <v/>
      </c>
      <c r="T1089" s="3">
        <f>IF(OR($C1089="",$D1089&lt;&gt;"Gelir",$L1089=""),"",IFERROR(INDEX(MUSTERILER!$B$7:$B$106,MATCH($S1089,MUSTERILER!$T$7:$T$106,0)),""))</f>
        <v/>
      </c>
      <c r="U1089" s="3">
        <f>IF($T1089="","",$T1089&amp;"|"&amp;COUNTIFS($T$7:$T1089,$T1089))</f>
        <v/>
      </c>
      <c r="V1089" s="3">
        <f>IF($T1089="",0,1)</f>
        <v/>
      </c>
      <c r="W1089" s="3">
        <f>IF($C1089="","",$D1089&amp;"|"&amp;$E1089&amp;"|"&amp;TEXT($C1089,"0")&amp;"|"&amp;TEXT($G1089,"0")&amp;"|"&amp;$J1089)</f>
        <v/>
      </c>
      <c r="X1089" s="3" t="n"/>
      <c r="Y1089" s="3" t="n"/>
      <c r="Z1089" s="3" t="n"/>
      <c r="AA1089" s="3" t="n"/>
      <c r="AB1089" s="3" t="n"/>
      <c r="AC1089" s="3" t="n"/>
      <c r="AD1089" s="3">
        <f>IF($C1089="",0,SUMPRODUCT((AY_SONU!$O$7:$O$42="Evet")*(AY_SONU!$B$7:$B$42=DATE(YEAR($C1089),MONTH($C1089),1))))</f>
        <v/>
      </c>
    </row>
    <row r="1090">
      <c r="A1090" s="6" t="n"/>
      <c r="B1090" s="113">
        <f>IF($C1090="","","GG"&amp;TEXT(ROW()-6,"00000"))</f>
        <v/>
      </c>
      <c r="C1090" s="220" t="n"/>
      <c r="D1090" s="108" t="n"/>
      <c r="E1090" s="109" t="n"/>
      <c r="F1090" s="109" t="n"/>
      <c r="G1090" s="221" t="n"/>
      <c r="H1090" s="108" t="n"/>
      <c r="I1090" s="108" t="n"/>
      <c r="J1090" s="109" t="n"/>
      <c r="K1090" s="109" t="n"/>
      <c r="L1090" s="108" t="n"/>
      <c r="M1090" s="121">
        <f>IF($C1090="","",IF($D1090="Gider",$E1090,IF($L1090&lt;&gt;"",$L1090,$H1090)))</f>
        <v/>
      </c>
      <c r="N1090" s="121">
        <f>IF($C1090="","",IF($D1090="Gider",$H1090,$E1090))</f>
        <v/>
      </c>
      <c r="O1090" s="226">
        <f>IF($C1090="","",DATE(YEAR($C1090),MONTH($C1090),1))</f>
        <v/>
      </c>
      <c r="P1090" s="113">
        <f>IF($C1090="","",IF(AND($D1090="Gelir",$L1090&lt;&gt;"",$T1090=""),"TANIMSIZ BORÇLU",IF($T1090&lt;&gt;"",IF(OR($E1090="",$G1090&lt;=0),"EKSİK",IF($I1090="Evet","TAHAKKUK NAKİT OLAMAZ",IF($C1090&gt;TODAY(),"İLERİ TARİH","TAHAKKUK"))),IF(AND($D1090&lt;&gt;"",$E1090&lt;&gt;"",$G1090&gt;0,$H1090&lt;&gt;"",$I1090&lt;&gt;""),IF($C1090&gt;TODAY(),"İLERİ TARİH",IF(COUNTIF($W$7:$W$1206,$W1090)&gt;1,"MÜKERRER?",IF($AD1090&gt;0,"KAPALI DÖNEM",IF($I1090="Hayır","ÖDENECEK","UYGUN")))),"EKSİK"))))</f>
        <v/>
      </c>
      <c r="Q1090" s="6" t="n"/>
      <c r="R1090" s="6" t="n"/>
      <c r="S1090" s="3">
        <f>IF($L1090="","",UPPER(SUBSTITUTE(SUBSTITUTE(SUBSTITUTE(SUBSTITUTE(SUBSTITUTE(SUBSTITUTE(SUBSTITUTE(SUBSTITUTE(SUBSTITUTE(SUBSTITUTE(SUBSTITUTE(SUBSTITUTE(SUBSTITUTE(SUBSTITUTE(SUBSTITUTE(SUBSTITUTE(SUBSTITUTE(SUBSTITUTE(TRIM($L1090),"'",""),"İ","I"),"ı","I"),"i","I"),"Ş","S"),"ş","S"),"Ğ","G"),"ğ","G"),"Ü","U"),"ü","U"),"Ö","O"),"ö","O"),"Ç","C"),"ç","C"),".",""),",","")," ",""),"-","")))</f>
        <v/>
      </c>
      <c r="T1090" s="3">
        <f>IF(OR($C1090="",$D1090&lt;&gt;"Gelir",$L1090=""),"",IFERROR(INDEX(MUSTERILER!$B$7:$B$106,MATCH($S1090,MUSTERILER!$T$7:$T$106,0)),""))</f>
        <v/>
      </c>
      <c r="U1090" s="3">
        <f>IF($T1090="","",$T1090&amp;"|"&amp;COUNTIFS($T$7:$T1090,$T1090))</f>
        <v/>
      </c>
      <c r="V1090" s="3">
        <f>IF($T1090="",0,1)</f>
        <v/>
      </c>
      <c r="W1090" s="3">
        <f>IF($C1090="","",$D1090&amp;"|"&amp;$E1090&amp;"|"&amp;TEXT($C1090,"0")&amp;"|"&amp;TEXT($G1090,"0")&amp;"|"&amp;$J1090)</f>
        <v/>
      </c>
      <c r="X1090" s="3" t="n"/>
      <c r="Y1090" s="3" t="n"/>
      <c r="Z1090" s="3" t="n"/>
      <c r="AA1090" s="3" t="n"/>
      <c r="AB1090" s="3" t="n"/>
      <c r="AC1090" s="3" t="n"/>
      <c r="AD1090" s="3">
        <f>IF($C1090="",0,SUMPRODUCT((AY_SONU!$O$7:$O$42="Evet")*(AY_SONU!$B$7:$B$42=DATE(YEAR($C1090),MONTH($C1090),1))))</f>
        <v/>
      </c>
    </row>
    <row r="1091">
      <c r="A1091" s="6" t="n"/>
      <c r="B1091" s="113">
        <f>IF($C1091="","","GG"&amp;TEXT(ROW()-6,"00000"))</f>
        <v/>
      </c>
      <c r="C1091" s="220" t="n"/>
      <c r="D1091" s="108" t="n"/>
      <c r="E1091" s="109" t="n"/>
      <c r="F1091" s="109" t="n"/>
      <c r="G1091" s="221" t="n"/>
      <c r="H1091" s="108" t="n"/>
      <c r="I1091" s="108" t="n"/>
      <c r="J1091" s="109" t="n"/>
      <c r="K1091" s="109" t="n"/>
      <c r="L1091" s="108" t="n"/>
      <c r="M1091" s="121">
        <f>IF($C1091="","",IF($D1091="Gider",$E1091,IF($L1091&lt;&gt;"",$L1091,$H1091)))</f>
        <v/>
      </c>
      <c r="N1091" s="121">
        <f>IF($C1091="","",IF($D1091="Gider",$H1091,$E1091))</f>
        <v/>
      </c>
      <c r="O1091" s="226">
        <f>IF($C1091="","",DATE(YEAR($C1091),MONTH($C1091),1))</f>
        <v/>
      </c>
      <c r="P1091" s="113">
        <f>IF($C1091="","",IF(AND($D1091="Gelir",$L1091&lt;&gt;"",$T1091=""),"TANIMSIZ BORÇLU",IF($T1091&lt;&gt;"",IF(OR($E1091="",$G1091&lt;=0),"EKSİK",IF($I1091="Evet","TAHAKKUK NAKİT OLAMAZ",IF($C1091&gt;TODAY(),"İLERİ TARİH","TAHAKKUK"))),IF(AND($D1091&lt;&gt;"",$E1091&lt;&gt;"",$G1091&gt;0,$H1091&lt;&gt;"",$I1091&lt;&gt;""),IF($C1091&gt;TODAY(),"İLERİ TARİH",IF(COUNTIF($W$7:$W$1206,$W1091)&gt;1,"MÜKERRER?",IF($AD1091&gt;0,"KAPALI DÖNEM",IF($I1091="Hayır","ÖDENECEK","UYGUN")))),"EKSİK"))))</f>
        <v/>
      </c>
      <c r="Q1091" s="6" t="n"/>
      <c r="R1091" s="6" t="n"/>
      <c r="S1091" s="3">
        <f>IF($L1091="","",UPPER(SUBSTITUTE(SUBSTITUTE(SUBSTITUTE(SUBSTITUTE(SUBSTITUTE(SUBSTITUTE(SUBSTITUTE(SUBSTITUTE(SUBSTITUTE(SUBSTITUTE(SUBSTITUTE(SUBSTITUTE(SUBSTITUTE(SUBSTITUTE(SUBSTITUTE(SUBSTITUTE(SUBSTITUTE(SUBSTITUTE(TRIM($L1091),"'",""),"İ","I"),"ı","I"),"i","I"),"Ş","S"),"ş","S"),"Ğ","G"),"ğ","G"),"Ü","U"),"ü","U"),"Ö","O"),"ö","O"),"Ç","C"),"ç","C"),".",""),",","")," ",""),"-","")))</f>
        <v/>
      </c>
      <c r="T1091" s="3">
        <f>IF(OR($C1091="",$D1091&lt;&gt;"Gelir",$L1091=""),"",IFERROR(INDEX(MUSTERILER!$B$7:$B$106,MATCH($S1091,MUSTERILER!$T$7:$T$106,0)),""))</f>
        <v/>
      </c>
      <c r="U1091" s="3">
        <f>IF($T1091="","",$T1091&amp;"|"&amp;COUNTIFS($T$7:$T1091,$T1091))</f>
        <v/>
      </c>
      <c r="V1091" s="3">
        <f>IF($T1091="",0,1)</f>
        <v/>
      </c>
      <c r="W1091" s="3">
        <f>IF($C1091="","",$D1091&amp;"|"&amp;$E1091&amp;"|"&amp;TEXT($C1091,"0")&amp;"|"&amp;TEXT($G1091,"0")&amp;"|"&amp;$J1091)</f>
        <v/>
      </c>
      <c r="X1091" s="3" t="n"/>
      <c r="Y1091" s="3" t="n"/>
      <c r="Z1091" s="3" t="n"/>
      <c r="AA1091" s="3" t="n"/>
      <c r="AB1091" s="3" t="n"/>
      <c r="AC1091" s="3" t="n"/>
      <c r="AD1091" s="3">
        <f>IF($C1091="",0,SUMPRODUCT((AY_SONU!$O$7:$O$42="Evet")*(AY_SONU!$B$7:$B$42=DATE(YEAR($C1091),MONTH($C1091),1))))</f>
        <v/>
      </c>
    </row>
    <row r="1092">
      <c r="A1092" s="6" t="n"/>
      <c r="B1092" s="113">
        <f>IF($C1092="","","GG"&amp;TEXT(ROW()-6,"00000"))</f>
        <v/>
      </c>
      <c r="C1092" s="220" t="n"/>
      <c r="D1092" s="108" t="n"/>
      <c r="E1092" s="109" t="n"/>
      <c r="F1092" s="109" t="n"/>
      <c r="G1092" s="221" t="n"/>
      <c r="H1092" s="108" t="n"/>
      <c r="I1092" s="108" t="n"/>
      <c r="J1092" s="109" t="n"/>
      <c r="K1092" s="109" t="n"/>
      <c r="L1092" s="108" t="n"/>
      <c r="M1092" s="121">
        <f>IF($C1092="","",IF($D1092="Gider",$E1092,IF($L1092&lt;&gt;"",$L1092,$H1092)))</f>
        <v/>
      </c>
      <c r="N1092" s="121">
        <f>IF($C1092="","",IF($D1092="Gider",$H1092,$E1092))</f>
        <v/>
      </c>
      <c r="O1092" s="226">
        <f>IF($C1092="","",DATE(YEAR($C1092),MONTH($C1092),1))</f>
        <v/>
      </c>
      <c r="P1092" s="113">
        <f>IF($C1092="","",IF(AND($D1092="Gelir",$L1092&lt;&gt;"",$T1092=""),"TANIMSIZ BORÇLU",IF($T1092&lt;&gt;"",IF(OR($E1092="",$G1092&lt;=0),"EKSİK",IF($I1092="Evet","TAHAKKUK NAKİT OLAMAZ",IF($C1092&gt;TODAY(),"İLERİ TARİH","TAHAKKUK"))),IF(AND($D1092&lt;&gt;"",$E1092&lt;&gt;"",$G1092&gt;0,$H1092&lt;&gt;"",$I1092&lt;&gt;""),IF($C1092&gt;TODAY(),"İLERİ TARİH",IF(COUNTIF($W$7:$W$1206,$W1092)&gt;1,"MÜKERRER?",IF($AD1092&gt;0,"KAPALI DÖNEM",IF($I1092="Hayır","ÖDENECEK","UYGUN")))),"EKSİK"))))</f>
        <v/>
      </c>
      <c r="Q1092" s="6" t="n"/>
      <c r="R1092" s="6" t="n"/>
      <c r="S1092" s="3">
        <f>IF($L1092="","",UPPER(SUBSTITUTE(SUBSTITUTE(SUBSTITUTE(SUBSTITUTE(SUBSTITUTE(SUBSTITUTE(SUBSTITUTE(SUBSTITUTE(SUBSTITUTE(SUBSTITUTE(SUBSTITUTE(SUBSTITUTE(SUBSTITUTE(SUBSTITUTE(SUBSTITUTE(SUBSTITUTE(SUBSTITUTE(SUBSTITUTE(TRIM($L1092),"'",""),"İ","I"),"ı","I"),"i","I"),"Ş","S"),"ş","S"),"Ğ","G"),"ğ","G"),"Ü","U"),"ü","U"),"Ö","O"),"ö","O"),"Ç","C"),"ç","C"),".",""),",","")," ",""),"-","")))</f>
        <v/>
      </c>
      <c r="T1092" s="3">
        <f>IF(OR($C1092="",$D1092&lt;&gt;"Gelir",$L1092=""),"",IFERROR(INDEX(MUSTERILER!$B$7:$B$106,MATCH($S1092,MUSTERILER!$T$7:$T$106,0)),""))</f>
        <v/>
      </c>
      <c r="U1092" s="3">
        <f>IF($T1092="","",$T1092&amp;"|"&amp;COUNTIFS($T$7:$T1092,$T1092))</f>
        <v/>
      </c>
      <c r="V1092" s="3">
        <f>IF($T1092="",0,1)</f>
        <v/>
      </c>
      <c r="W1092" s="3">
        <f>IF($C1092="","",$D1092&amp;"|"&amp;$E1092&amp;"|"&amp;TEXT($C1092,"0")&amp;"|"&amp;TEXT($G1092,"0")&amp;"|"&amp;$J1092)</f>
        <v/>
      </c>
      <c r="X1092" s="3" t="n"/>
      <c r="Y1092" s="3" t="n"/>
      <c r="Z1092" s="3" t="n"/>
      <c r="AA1092" s="3" t="n"/>
      <c r="AB1092" s="3" t="n"/>
      <c r="AC1092" s="3" t="n"/>
      <c r="AD1092" s="3">
        <f>IF($C1092="",0,SUMPRODUCT((AY_SONU!$O$7:$O$42="Evet")*(AY_SONU!$B$7:$B$42=DATE(YEAR($C1092),MONTH($C1092),1))))</f>
        <v/>
      </c>
    </row>
    <row r="1093">
      <c r="A1093" s="6" t="n"/>
      <c r="B1093" s="113">
        <f>IF($C1093="","","GG"&amp;TEXT(ROW()-6,"00000"))</f>
        <v/>
      </c>
      <c r="C1093" s="220" t="n"/>
      <c r="D1093" s="108" t="n"/>
      <c r="E1093" s="109" t="n"/>
      <c r="F1093" s="109" t="n"/>
      <c r="G1093" s="221" t="n"/>
      <c r="H1093" s="108" t="n"/>
      <c r="I1093" s="108" t="n"/>
      <c r="J1093" s="109" t="n"/>
      <c r="K1093" s="109" t="n"/>
      <c r="L1093" s="108" t="n"/>
      <c r="M1093" s="121">
        <f>IF($C1093="","",IF($D1093="Gider",$E1093,IF($L1093&lt;&gt;"",$L1093,$H1093)))</f>
        <v/>
      </c>
      <c r="N1093" s="121">
        <f>IF($C1093="","",IF($D1093="Gider",$H1093,$E1093))</f>
        <v/>
      </c>
      <c r="O1093" s="226">
        <f>IF($C1093="","",DATE(YEAR($C1093),MONTH($C1093),1))</f>
        <v/>
      </c>
      <c r="P1093" s="113">
        <f>IF($C1093="","",IF(AND($D1093="Gelir",$L1093&lt;&gt;"",$T1093=""),"TANIMSIZ BORÇLU",IF($T1093&lt;&gt;"",IF(OR($E1093="",$G1093&lt;=0),"EKSİK",IF($I1093="Evet","TAHAKKUK NAKİT OLAMAZ",IF($C1093&gt;TODAY(),"İLERİ TARİH","TAHAKKUK"))),IF(AND($D1093&lt;&gt;"",$E1093&lt;&gt;"",$G1093&gt;0,$H1093&lt;&gt;"",$I1093&lt;&gt;""),IF($C1093&gt;TODAY(),"İLERİ TARİH",IF(COUNTIF($W$7:$W$1206,$W1093)&gt;1,"MÜKERRER?",IF($AD1093&gt;0,"KAPALI DÖNEM",IF($I1093="Hayır","ÖDENECEK","UYGUN")))),"EKSİK"))))</f>
        <v/>
      </c>
      <c r="Q1093" s="6" t="n"/>
      <c r="R1093" s="6" t="n"/>
      <c r="S1093" s="3">
        <f>IF($L1093="","",UPPER(SUBSTITUTE(SUBSTITUTE(SUBSTITUTE(SUBSTITUTE(SUBSTITUTE(SUBSTITUTE(SUBSTITUTE(SUBSTITUTE(SUBSTITUTE(SUBSTITUTE(SUBSTITUTE(SUBSTITUTE(SUBSTITUTE(SUBSTITUTE(SUBSTITUTE(SUBSTITUTE(SUBSTITUTE(SUBSTITUTE(TRIM($L1093),"'",""),"İ","I"),"ı","I"),"i","I"),"Ş","S"),"ş","S"),"Ğ","G"),"ğ","G"),"Ü","U"),"ü","U"),"Ö","O"),"ö","O"),"Ç","C"),"ç","C"),".",""),",","")," ",""),"-","")))</f>
        <v/>
      </c>
      <c r="T1093" s="3">
        <f>IF(OR($C1093="",$D1093&lt;&gt;"Gelir",$L1093=""),"",IFERROR(INDEX(MUSTERILER!$B$7:$B$106,MATCH($S1093,MUSTERILER!$T$7:$T$106,0)),""))</f>
        <v/>
      </c>
      <c r="U1093" s="3">
        <f>IF($T1093="","",$T1093&amp;"|"&amp;COUNTIFS($T$7:$T1093,$T1093))</f>
        <v/>
      </c>
      <c r="V1093" s="3">
        <f>IF($T1093="",0,1)</f>
        <v/>
      </c>
      <c r="W1093" s="3">
        <f>IF($C1093="","",$D1093&amp;"|"&amp;$E1093&amp;"|"&amp;TEXT($C1093,"0")&amp;"|"&amp;TEXT($G1093,"0")&amp;"|"&amp;$J1093)</f>
        <v/>
      </c>
      <c r="X1093" s="3" t="n"/>
      <c r="Y1093" s="3" t="n"/>
      <c r="Z1093" s="3" t="n"/>
      <c r="AA1093" s="3" t="n"/>
      <c r="AB1093" s="3" t="n"/>
      <c r="AC1093" s="3" t="n"/>
      <c r="AD1093" s="3">
        <f>IF($C1093="",0,SUMPRODUCT((AY_SONU!$O$7:$O$42="Evet")*(AY_SONU!$B$7:$B$42=DATE(YEAR($C1093),MONTH($C1093),1))))</f>
        <v/>
      </c>
    </row>
    <row r="1094">
      <c r="A1094" s="6" t="n"/>
      <c r="B1094" s="113">
        <f>IF($C1094="","","GG"&amp;TEXT(ROW()-6,"00000"))</f>
        <v/>
      </c>
      <c r="C1094" s="220" t="n"/>
      <c r="D1094" s="108" t="n"/>
      <c r="E1094" s="109" t="n"/>
      <c r="F1094" s="109" t="n"/>
      <c r="G1094" s="221" t="n"/>
      <c r="H1094" s="108" t="n"/>
      <c r="I1094" s="108" t="n"/>
      <c r="J1094" s="109" t="n"/>
      <c r="K1094" s="109" t="n"/>
      <c r="L1094" s="108" t="n"/>
      <c r="M1094" s="121">
        <f>IF($C1094="","",IF($D1094="Gider",$E1094,IF($L1094&lt;&gt;"",$L1094,$H1094)))</f>
        <v/>
      </c>
      <c r="N1094" s="121">
        <f>IF($C1094="","",IF($D1094="Gider",$H1094,$E1094))</f>
        <v/>
      </c>
      <c r="O1094" s="226">
        <f>IF($C1094="","",DATE(YEAR($C1094),MONTH($C1094),1))</f>
        <v/>
      </c>
      <c r="P1094" s="113">
        <f>IF($C1094="","",IF(AND($D1094="Gelir",$L1094&lt;&gt;"",$T1094=""),"TANIMSIZ BORÇLU",IF($T1094&lt;&gt;"",IF(OR($E1094="",$G1094&lt;=0),"EKSİK",IF($I1094="Evet","TAHAKKUK NAKİT OLAMAZ",IF($C1094&gt;TODAY(),"İLERİ TARİH","TAHAKKUK"))),IF(AND($D1094&lt;&gt;"",$E1094&lt;&gt;"",$G1094&gt;0,$H1094&lt;&gt;"",$I1094&lt;&gt;""),IF($C1094&gt;TODAY(),"İLERİ TARİH",IF(COUNTIF($W$7:$W$1206,$W1094)&gt;1,"MÜKERRER?",IF($AD1094&gt;0,"KAPALI DÖNEM",IF($I1094="Hayır","ÖDENECEK","UYGUN")))),"EKSİK"))))</f>
        <v/>
      </c>
      <c r="Q1094" s="6" t="n"/>
      <c r="R1094" s="6" t="n"/>
      <c r="S1094" s="3">
        <f>IF($L1094="","",UPPER(SUBSTITUTE(SUBSTITUTE(SUBSTITUTE(SUBSTITUTE(SUBSTITUTE(SUBSTITUTE(SUBSTITUTE(SUBSTITUTE(SUBSTITUTE(SUBSTITUTE(SUBSTITUTE(SUBSTITUTE(SUBSTITUTE(SUBSTITUTE(SUBSTITUTE(SUBSTITUTE(SUBSTITUTE(SUBSTITUTE(TRIM($L1094),"'",""),"İ","I"),"ı","I"),"i","I"),"Ş","S"),"ş","S"),"Ğ","G"),"ğ","G"),"Ü","U"),"ü","U"),"Ö","O"),"ö","O"),"Ç","C"),"ç","C"),".",""),",","")," ",""),"-","")))</f>
        <v/>
      </c>
      <c r="T1094" s="3">
        <f>IF(OR($C1094="",$D1094&lt;&gt;"Gelir",$L1094=""),"",IFERROR(INDEX(MUSTERILER!$B$7:$B$106,MATCH($S1094,MUSTERILER!$T$7:$T$106,0)),""))</f>
        <v/>
      </c>
      <c r="U1094" s="3">
        <f>IF($T1094="","",$T1094&amp;"|"&amp;COUNTIFS($T$7:$T1094,$T1094))</f>
        <v/>
      </c>
      <c r="V1094" s="3">
        <f>IF($T1094="",0,1)</f>
        <v/>
      </c>
      <c r="W1094" s="3">
        <f>IF($C1094="","",$D1094&amp;"|"&amp;$E1094&amp;"|"&amp;TEXT($C1094,"0")&amp;"|"&amp;TEXT($G1094,"0")&amp;"|"&amp;$J1094)</f>
        <v/>
      </c>
      <c r="X1094" s="3" t="n"/>
      <c r="Y1094" s="3" t="n"/>
      <c r="Z1094" s="3" t="n"/>
      <c r="AA1094" s="3" t="n"/>
      <c r="AB1094" s="3" t="n"/>
      <c r="AC1094" s="3" t="n"/>
      <c r="AD1094" s="3">
        <f>IF($C1094="",0,SUMPRODUCT((AY_SONU!$O$7:$O$42="Evet")*(AY_SONU!$B$7:$B$42=DATE(YEAR($C1094),MONTH($C1094),1))))</f>
        <v/>
      </c>
    </row>
    <row r="1095">
      <c r="A1095" s="6" t="n"/>
      <c r="B1095" s="113">
        <f>IF($C1095="","","GG"&amp;TEXT(ROW()-6,"00000"))</f>
        <v/>
      </c>
      <c r="C1095" s="220" t="n"/>
      <c r="D1095" s="108" t="n"/>
      <c r="E1095" s="109" t="n"/>
      <c r="F1095" s="109" t="n"/>
      <c r="G1095" s="221" t="n"/>
      <c r="H1095" s="108" t="n"/>
      <c r="I1095" s="108" t="n"/>
      <c r="J1095" s="109" t="n"/>
      <c r="K1095" s="109" t="n"/>
      <c r="L1095" s="108" t="n"/>
      <c r="M1095" s="121">
        <f>IF($C1095="","",IF($D1095="Gider",$E1095,IF($L1095&lt;&gt;"",$L1095,$H1095)))</f>
        <v/>
      </c>
      <c r="N1095" s="121">
        <f>IF($C1095="","",IF($D1095="Gider",$H1095,$E1095))</f>
        <v/>
      </c>
      <c r="O1095" s="226">
        <f>IF($C1095="","",DATE(YEAR($C1095),MONTH($C1095),1))</f>
        <v/>
      </c>
      <c r="P1095" s="113">
        <f>IF($C1095="","",IF(AND($D1095="Gelir",$L1095&lt;&gt;"",$T1095=""),"TANIMSIZ BORÇLU",IF($T1095&lt;&gt;"",IF(OR($E1095="",$G1095&lt;=0),"EKSİK",IF($I1095="Evet","TAHAKKUK NAKİT OLAMAZ",IF($C1095&gt;TODAY(),"İLERİ TARİH","TAHAKKUK"))),IF(AND($D1095&lt;&gt;"",$E1095&lt;&gt;"",$G1095&gt;0,$H1095&lt;&gt;"",$I1095&lt;&gt;""),IF($C1095&gt;TODAY(),"İLERİ TARİH",IF(COUNTIF($W$7:$W$1206,$W1095)&gt;1,"MÜKERRER?",IF($AD1095&gt;0,"KAPALI DÖNEM",IF($I1095="Hayır","ÖDENECEK","UYGUN")))),"EKSİK"))))</f>
        <v/>
      </c>
      <c r="Q1095" s="6" t="n"/>
      <c r="R1095" s="6" t="n"/>
      <c r="S1095" s="3">
        <f>IF($L1095="","",UPPER(SUBSTITUTE(SUBSTITUTE(SUBSTITUTE(SUBSTITUTE(SUBSTITUTE(SUBSTITUTE(SUBSTITUTE(SUBSTITUTE(SUBSTITUTE(SUBSTITUTE(SUBSTITUTE(SUBSTITUTE(SUBSTITUTE(SUBSTITUTE(SUBSTITUTE(SUBSTITUTE(SUBSTITUTE(SUBSTITUTE(TRIM($L1095),"'",""),"İ","I"),"ı","I"),"i","I"),"Ş","S"),"ş","S"),"Ğ","G"),"ğ","G"),"Ü","U"),"ü","U"),"Ö","O"),"ö","O"),"Ç","C"),"ç","C"),".",""),",","")," ",""),"-","")))</f>
        <v/>
      </c>
      <c r="T1095" s="3">
        <f>IF(OR($C1095="",$D1095&lt;&gt;"Gelir",$L1095=""),"",IFERROR(INDEX(MUSTERILER!$B$7:$B$106,MATCH($S1095,MUSTERILER!$T$7:$T$106,0)),""))</f>
        <v/>
      </c>
      <c r="U1095" s="3">
        <f>IF($T1095="","",$T1095&amp;"|"&amp;COUNTIFS($T$7:$T1095,$T1095))</f>
        <v/>
      </c>
      <c r="V1095" s="3">
        <f>IF($T1095="",0,1)</f>
        <v/>
      </c>
      <c r="W1095" s="3">
        <f>IF($C1095="","",$D1095&amp;"|"&amp;$E1095&amp;"|"&amp;TEXT($C1095,"0")&amp;"|"&amp;TEXT($G1095,"0")&amp;"|"&amp;$J1095)</f>
        <v/>
      </c>
      <c r="X1095" s="3" t="n"/>
      <c r="Y1095" s="3" t="n"/>
      <c r="Z1095" s="3" t="n"/>
      <c r="AA1095" s="3" t="n"/>
      <c r="AB1095" s="3" t="n"/>
      <c r="AC1095" s="3" t="n"/>
      <c r="AD1095" s="3">
        <f>IF($C1095="",0,SUMPRODUCT((AY_SONU!$O$7:$O$42="Evet")*(AY_SONU!$B$7:$B$42=DATE(YEAR($C1095),MONTH($C1095),1))))</f>
        <v/>
      </c>
    </row>
    <row r="1096">
      <c r="A1096" s="6" t="n"/>
      <c r="B1096" s="113">
        <f>IF($C1096="","","GG"&amp;TEXT(ROW()-6,"00000"))</f>
        <v/>
      </c>
      <c r="C1096" s="220" t="n"/>
      <c r="D1096" s="108" t="n"/>
      <c r="E1096" s="109" t="n"/>
      <c r="F1096" s="109" t="n"/>
      <c r="G1096" s="221" t="n"/>
      <c r="H1096" s="108" t="n"/>
      <c r="I1096" s="108" t="n"/>
      <c r="J1096" s="109" t="n"/>
      <c r="K1096" s="109" t="n"/>
      <c r="L1096" s="108" t="n"/>
      <c r="M1096" s="121">
        <f>IF($C1096="","",IF($D1096="Gider",$E1096,IF($L1096&lt;&gt;"",$L1096,$H1096)))</f>
        <v/>
      </c>
      <c r="N1096" s="121">
        <f>IF($C1096="","",IF($D1096="Gider",$H1096,$E1096))</f>
        <v/>
      </c>
      <c r="O1096" s="226">
        <f>IF($C1096="","",DATE(YEAR($C1096),MONTH($C1096),1))</f>
        <v/>
      </c>
      <c r="P1096" s="113">
        <f>IF($C1096="","",IF(AND($D1096="Gelir",$L1096&lt;&gt;"",$T1096=""),"TANIMSIZ BORÇLU",IF($T1096&lt;&gt;"",IF(OR($E1096="",$G1096&lt;=0),"EKSİK",IF($I1096="Evet","TAHAKKUK NAKİT OLAMAZ",IF($C1096&gt;TODAY(),"İLERİ TARİH","TAHAKKUK"))),IF(AND($D1096&lt;&gt;"",$E1096&lt;&gt;"",$G1096&gt;0,$H1096&lt;&gt;"",$I1096&lt;&gt;""),IF($C1096&gt;TODAY(),"İLERİ TARİH",IF(COUNTIF($W$7:$W$1206,$W1096)&gt;1,"MÜKERRER?",IF($AD1096&gt;0,"KAPALI DÖNEM",IF($I1096="Hayır","ÖDENECEK","UYGUN")))),"EKSİK"))))</f>
        <v/>
      </c>
      <c r="Q1096" s="6" t="n"/>
      <c r="R1096" s="6" t="n"/>
      <c r="S1096" s="3">
        <f>IF($L1096="","",UPPER(SUBSTITUTE(SUBSTITUTE(SUBSTITUTE(SUBSTITUTE(SUBSTITUTE(SUBSTITUTE(SUBSTITUTE(SUBSTITUTE(SUBSTITUTE(SUBSTITUTE(SUBSTITUTE(SUBSTITUTE(SUBSTITUTE(SUBSTITUTE(SUBSTITUTE(SUBSTITUTE(SUBSTITUTE(SUBSTITUTE(TRIM($L1096),"'",""),"İ","I"),"ı","I"),"i","I"),"Ş","S"),"ş","S"),"Ğ","G"),"ğ","G"),"Ü","U"),"ü","U"),"Ö","O"),"ö","O"),"Ç","C"),"ç","C"),".",""),",","")," ",""),"-","")))</f>
        <v/>
      </c>
      <c r="T1096" s="3">
        <f>IF(OR($C1096="",$D1096&lt;&gt;"Gelir",$L1096=""),"",IFERROR(INDEX(MUSTERILER!$B$7:$B$106,MATCH($S1096,MUSTERILER!$T$7:$T$106,0)),""))</f>
        <v/>
      </c>
      <c r="U1096" s="3">
        <f>IF($T1096="","",$T1096&amp;"|"&amp;COUNTIFS($T$7:$T1096,$T1096))</f>
        <v/>
      </c>
      <c r="V1096" s="3">
        <f>IF($T1096="",0,1)</f>
        <v/>
      </c>
      <c r="W1096" s="3">
        <f>IF($C1096="","",$D1096&amp;"|"&amp;$E1096&amp;"|"&amp;TEXT($C1096,"0")&amp;"|"&amp;TEXT($G1096,"0")&amp;"|"&amp;$J1096)</f>
        <v/>
      </c>
      <c r="X1096" s="3" t="n"/>
      <c r="Y1096" s="3" t="n"/>
      <c r="Z1096" s="3" t="n"/>
      <c r="AA1096" s="3" t="n"/>
      <c r="AB1096" s="3" t="n"/>
      <c r="AC1096" s="3" t="n"/>
      <c r="AD1096" s="3">
        <f>IF($C1096="",0,SUMPRODUCT((AY_SONU!$O$7:$O$42="Evet")*(AY_SONU!$B$7:$B$42=DATE(YEAR($C1096),MONTH($C1096),1))))</f>
        <v/>
      </c>
    </row>
    <row r="1097">
      <c r="A1097" s="6" t="n"/>
      <c r="B1097" s="113">
        <f>IF($C1097="","","GG"&amp;TEXT(ROW()-6,"00000"))</f>
        <v/>
      </c>
      <c r="C1097" s="220" t="n"/>
      <c r="D1097" s="108" t="n"/>
      <c r="E1097" s="109" t="n"/>
      <c r="F1097" s="109" t="n"/>
      <c r="G1097" s="221" t="n"/>
      <c r="H1097" s="108" t="n"/>
      <c r="I1097" s="108" t="n"/>
      <c r="J1097" s="109" t="n"/>
      <c r="K1097" s="109" t="n"/>
      <c r="L1097" s="108" t="n"/>
      <c r="M1097" s="121">
        <f>IF($C1097="","",IF($D1097="Gider",$E1097,IF($L1097&lt;&gt;"",$L1097,$H1097)))</f>
        <v/>
      </c>
      <c r="N1097" s="121">
        <f>IF($C1097="","",IF($D1097="Gider",$H1097,$E1097))</f>
        <v/>
      </c>
      <c r="O1097" s="226">
        <f>IF($C1097="","",DATE(YEAR($C1097),MONTH($C1097),1))</f>
        <v/>
      </c>
      <c r="P1097" s="113">
        <f>IF($C1097="","",IF(AND($D1097="Gelir",$L1097&lt;&gt;"",$T1097=""),"TANIMSIZ BORÇLU",IF($T1097&lt;&gt;"",IF(OR($E1097="",$G1097&lt;=0),"EKSİK",IF($I1097="Evet","TAHAKKUK NAKİT OLAMAZ",IF($C1097&gt;TODAY(),"İLERİ TARİH","TAHAKKUK"))),IF(AND($D1097&lt;&gt;"",$E1097&lt;&gt;"",$G1097&gt;0,$H1097&lt;&gt;"",$I1097&lt;&gt;""),IF($C1097&gt;TODAY(),"İLERİ TARİH",IF(COUNTIF($W$7:$W$1206,$W1097)&gt;1,"MÜKERRER?",IF($AD1097&gt;0,"KAPALI DÖNEM",IF($I1097="Hayır","ÖDENECEK","UYGUN")))),"EKSİK"))))</f>
        <v/>
      </c>
      <c r="Q1097" s="6" t="n"/>
      <c r="R1097" s="6" t="n"/>
      <c r="S1097" s="3">
        <f>IF($L1097="","",UPPER(SUBSTITUTE(SUBSTITUTE(SUBSTITUTE(SUBSTITUTE(SUBSTITUTE(SUBSTITUTE(SUBSTITUTE(SUBSTITUTE(SUBSTITUTE(SUBSTITUTE(SUBSTITUTE(SUBSTITUTE(SUBSTITUTE(SUBSTITUTE(SUBSTITUTE(SUBSTITUTE(SUBSTITUTE(SUBSTITUTE(TRIM($L1097),"'",""),"İ","I"),"ı","I"),"i","I"),"Ş","S"),"ş","S"),"Ğ","G"),"ğ","G"),"Ü","U"),"ü","U"),"Ö","O"),"ö","O"),"Ç","C"),"ç","C"),".",""),",","")," ",""),"-","")))</f>
        <v/>
      </c>
      <c r="T1097" s="3">
        <f>IF(OR($C1097="",$D1097&lt;&gt;"Gelir",$L1097=""),"",IFERROR(INDEX(MUSTERILER!$B$7:$B$106,MATCH($S1097,MUSTERILER!$T$7:$T$106,0)),""))</f>
        <v/>
      </c>
      <c r="U1097" s="3">
        <f>IF($T1097="","",$T1097&amp;"|"&amp;COUNTIFS($T$7:$T1097,$T1097))</f>
        <v/>
      </c>
      <c r="V1097" s="3">
        <f>IF($T1097="",0,1)</f>
        <v/>
      </c>
      <c r="W1097" s="3">
        <f>IF($C1097="","",$D1097&amp;"|"&amp;$E1097&amp;"|"&amp;TEXT($C1097,"0")&amp;"|"&amp;TEXT($G1097,"0")&amp;"|"&amp;$J1097)</f>
        <v/>
      </c>
      <c r="X1097" s="3" t="n"/>
      <c r="Y1097" s="3" t="n"/>
      <c r="Z1097" s="3" t="n"/>
      <c r="AA1097" s="3" t="n"/>
      <c r="AB1097" s="3" t="n"/>
      <c r="AC1097" s="3" t="n"/>
      <c r="AD1097" s="3">
        <f>IF($C1097="",0,SUMPRODUCT((AY_SONU!$O$7:$O$42="Evet")*(AY_SONU!$B$7:$B$42=DATE(YEAR($C1097),MONTH($C1097),1))))</f>
        <v/>
      </c>
    </row>
    <row r="1098">
      <c r="A1098" s="6" t="n"/>
      <c r="B1098" s="113">
        <f>IF($C1098="","","GG"&amp;TEXT(ROW()-6,"00000"))</f>
        <v/>
      </c>
      <c r="C1098" s="220" t="n"/>
      <c r="D1098" s="108" t="n"/>
      <c r="E1098" s="109" t="n"/>
      <c r="F1098" s="109" t="n"/>
      <c r="G1098" s="221" t="n"/>
      <c r="H1098" s="108" t="n"/>
      <c r="I1098" s="108" t="n"/>
      <c r="J1098" s="109" t="n"/>
      <c r="K1098" s="109" t="n"/>
      <c r="L1098" s="108" t="n"/>
      <c r="M1098" s="121">
        <f>IF($C1098="","",IF($D1098="Gider",$E1098,IF($L1098&lt;&gt;"",$L1098,$H1098)))</f>
        <v/>
      </c>
      <c r="N1098" s="121">
        <f>IF($C1098="","",IF($D1098="Gider",$H1098,$E1098))</f>
        <v/>
      </c>
      <c r="O1098" s="226">
        <f>IF($C1098="","",DATE(YEAR($C1098),MONTH($C1098),1))</f>
        <v/>
      </c>
      <c r="P1098" s="113">
        <f>IF($C1098="","",IF(AND($D1098="Gelir",$L1098&lt;&gt;"",$T1098=""),"TANIMSIZ BORÇLU",IF($T1098&lt;&gt;"",IF(OR($E1098="",$G1098&lt;=0),"EKSİK",IF($I1098="Evet","TAHAKKUK NAKİT OLAMAZ",IF($C1098&gt;TODAY(),"İLERİ TARİH","TAHAKKUK"))),IF(AND($D1098&lt;&gt;"",$E1098&lt;&gt;"",$G1098&gt;0,$H1098&lt;&gt;"",$I1098&lt;&gt;""),IF($C1098&gt;TODAY(),"İLERİ TARİH",IF(COUNTIF($W$7:$W$1206,$W1098)&gt;1,"MÜKERRER?",IF($AD1098&gt;0,"KAPALI DÖNEM",IF($I1098="Hayır","ÖDENECEK","UYGUN")))),"EKSİK"))))</f>
        <v/>
      </c>
      <c r="Q1098" s="6" t="n"/>
      <c r="R1098" s="6" t="n"/>
      <c r="S1098" s="3">
        <f>IF($L1098="","",UPPER(SUBSTITUTE(SUBSTITUTE(SUBSTITUTE(SUBSTITUTE(SUBSTITUTE(SUBSTITUTE(SUBSTITUTE(SUBSTITUTE(SUBSTITUTE(SUBSTITUTE(SUBSTITUTE(SUBSTITUTE(SUBSTITUTE(SUBSTITUTE(SUBSTITUTE(SUBSTITUTE(SUBSTITUTE(SUBSTITUTE(TRIM($L1098),"'",""),"İ","I"),"ı","I"),"i","I"),"Ş","S"),"ş","S"),"Ğ","G"),"ğ","G"),"Ü","U"),"ü","U"),"Ö","O"),"ö","O"),"Ç","C"),"ç","C"),".",""),",","")," ",""),"-","")))</f>
        <v/>
      </c>
      <c r="T1098" s="3">
        <f>IF(OR($C1098="",$D1098&lt;&gt;"Gelir",$L1098=""),"",IFERROR(INDEX(MUSTERILER!$B$7:$B$106,MATCH($S1098,MUSTERILER!$T$7:$T$106,0)),""))</f>
        <v/>
      </c>
      <c r="U1098" s="3">
        <f>IF($T1098="","",$T1098&amp;"|"&amp;COUNTIFS($T$7:$T1098,$T1098))</f>
        <v/>
      </c>
      <c r="V1098" s="3">
        <f>IF($T1098="",0,1)</f>
        <v/>
      </c>
      <c r="W1098" s="3">
        <f>IF($C1098="","",$D1098&amp;"|"&amp;$E1098&amp;"|"&amp;TEXT($C1098,"0")&amp;"|"&amp;TEXT($G1098,"0")&amp;"|"&amp;$J1098)</f>
        <v/>
      </c>
      <c r="X1098" s="3" t="n"/>
      <c r="Y1098" s="3" t="n"/>
      <c r="Z1098" s="3" t="n"/>
      <c r="AA1098" s="3" t="n"/>
      <c r="AB1098" s="3" t="n"/>
      <c r="AC1098" s="3" t="n"/>
      <c r="AD1098" s="3">
        <f>IF($C1098="",0,SUMPRODUCT((AY_SONU!$O$7:$O$42="Evet")*(AY_SONU!$B$7:$B$42=DATE(YEAR($C1098),MONTH($C1098),1))))</f>
        <v/>
      </c>
    </row>
    <row r="1099">
      <c r="A1099" s="6" t="n"/>
      <c r="B1099" s="113">
        <f>IF($C1099="","","GG"&amp;TEXT(ROW()-6,"00000"))</f>
        <v/>
      </c>
      <c r="C1099" s="220" t="n"/>
      <c r="D1099" s="108" t="n"/>
      <c r="E1099" s="109" t="n"/>
      <c r="F1099" s="109" t="n"/>
      <c r="G1099" s="221" t="n"/>
      <c r="H1099" s="108" t="n"/>
      <c r="I1099" s="108" t="n"/>
      <c r="J1099" s="109" t="n"/>
      <c r="K1099" s="109" t="n"/>
      <c r="L1099" s="108" t="n"/>
      <c r="M1099" s="121">
        <f>IF($C1099="","",IF($D1099="Gider",$E1099,IF($L1099&lt;&gt;"",$L1099,$H1099)))</f>
        <v/>
      </c>
      <c r="N1099" s="121">
        <f>IF($C1099="","",IF($D1099="Gider",$H1099,$E1099))</f>
        <v/>
      </c>
      <c r="O1099" s="226">
        <f>IF($C1099="","",DATE(YEAR($C1099),MONTH($C1099),1))</f>
        <v/>
      </c>
      <c r="P1099" s="113">
        <f>IF($C1099="","",IF(AND($D1099="Gelir",$L1099&lt;&gt;"",$T1099=""),"TANIMSIZ BORÇLU",IF($T1099&lt;&gt;"",IF(OR($E1099="",$G1099&lt;=0),"EKSİK",IF($I1099="Evet","TAHAKKUK NAKİT OLAMAZ",IF($C1099&gt;TODAY(),"İLERİ TARİH","TAHAKKUK"))),IF(AND($D1099&lt;&gt;"",$E1099&lt;&gt;"",$G1099&gt;0,$H1099&lt;&gt;"",$I1099&lt;&gt;""),IF($C1099&gt;TODAY(),"İLERİ TARİH",IF(COUNTIF($W$7:$W$1206,$W1099)&gt;1,"MÜKERRER?",IF($AD1099&gt;0,"KAPALI DÖNEM",IF($I1099="Hayır","ÖDENECEK","UYGUN")))),"EKSİK"))))</f>
        <v/>
      </c>
      <c r="Q1099" s="6" t="n"/>
      <c r="R1099" s="6" t="n"/>
      <c r="S1099" s="3">
        <f>IF($L1099="","",UPPER(SUBSTITUTE(SUBSTITUTE(SUBSTITUTE(SUBSTITUTE(SUBSTITUTE(SUBSTITUTE(SUBSTITUTE(SUBSTITUTE(SUBSTITUTE(SUBSTITUTE(SUBSTITUTE(SUBSTITUTE(SUBSTITUTE(SUBSTITUTE(SUBSTITUTE(SUBSTITUTE(SUBSTITUTE(SUBSTITUTE(TRIM($L1099),"'",""),"İ","I"),"ı","I"),"i","I"),"Ş","S"),"ş","S"),"Ğ","G"),"ğ","G"),"Ü","U"),"ü","U"),"Ö","O"),"ö","O"),"Ç","C"),"ç","C"),".",""),",","")," ",""),"-","")))</f>
        <v/>
      </c>
      <c r="T1099" s="3">
        <f>IF(OR($C1099="",$D1099&lt;&gt;"Gelir",$L1099=""),"",IFERROR(INDEX(MUSTERILER!$B$7:$B$106,MATCH($S1099,MUSTERILER!$T$7:$T$106,0)),""))</f>
        <v/>
      </c>
      <c r="U1099" s="3">
        <f>IF($T1099="","",$T1099&amp;"|"&amp;COUNTIFS($T$7:$T1099,$T1099))</f>
        <v/>
      </c>
      <c r="V1099" s="3">
        <f>IF($T1099="",0,1)</f>
        <v/>
      </c>
      <c r="W1099" s="3">
        <f>IF($C1099="","",$D1099&amp;"|"&amp;$E1099&amp;"|"&amp;TEXT($C1099,"0")&amp;"|"&amp;TEXT($G1099,"0")&amp;"|"&amp;$J1099)</f>
        <v/>
      </c>
      <c r="X1099" s="3" t="n"/>
      <c r="Y1099" s="3" t="n"/>
      <c r="Z1099" s="3" t="n"/>
      <c r="AA1099" s="3" t="n"/>
      <c r="AB1099" s="3" t="n"/>
      <c r="AC1099" s="3" t="n"/>
      <c r="AD1099" s="3">
        <f>IF($C1099="",0,SUMPRODUCT((AY_SONU!$O$7:$O$42="Evet")*(AY_SONU!$B$7:$B$42=DATE(YEAR($C1099),MONTH($C1099),1))))</f>
        <v/>
      </c>
    </row>
    <row r="1100">
      <c r="A1100" s="6" t="n"/>
      <c r="B1100" s="113">
        <f>IF($C1100="","","GG"&amp;TEXT(ROW()-6,"00000"))</f>
        <v/>
      </c>
      <c r="C1100" s="220" t="n"/>
      <c r="D1100" s="108" t="n"/>
      <c r="E1100" s="109" t="n"/>
      <c r="F1100" s="109" t="n"/>
      <c r="G1100" s="221" t="n"/>
      <c r="H1100" s="108" t="n"/>
      <c r="I1100" s="108" t="n"/>
      <c r="J1100" s="109" t="n"/>
      <c r="K1100" s="109" t="n"/>
      <c r="L1100" s="108" t="n"/>
      <c r="M1100" s="121">
        <f>IF($C1100="","",IF($D1100="Gider",$E1100,IF($L1100&lt;&gt;"",$L1100,$H1100)))</f>
        <v/>
      </c>
      <c r="N1100" s="121">
        <f>IF($C1100="","",IF($D1100="Gider",$H1100,$E1100))</f>
        <v/>
      </c>
      <c r="O1100" s="226">
        <f>IF($C1100="","",DATE(YEAR($C1100),MONTH($C1100),1))</f>
        <v/>
      </c>
      <c r="P1100" s="113">
        <f>IF($C1100="","",IF(AND($D1100="Gelir",$L1100&lt;&gt;"",$T1100=""),"TANIMSIZ BORÇLU",IF($T1100&lt;&gt;"",IF(OR($E1100="",$G1100&lt;=0),"EKSİK",IF($I1100="Evet","TAHAKKUK NAKİT OLAMAZ",IF($C1100&gt;TODAY(),"İLERİ TARİH","TAHAKKUK"))),IF(AND($D1100&lt;&gt;"",$E1100&lt;&gt;"",$G1100&gt;0,$H1100&lt;&gt;"",$I1100&lt;&gt;""),IF($C1100&gt;TODAY(),"İLERİ TARİH",IF(COUNTIF($W$7:$W$1206,$W1100)&gt;1,"MÜKERRER?",IF($AD1100&gt;0,"KAPALI DÖNEM",IF($I1100="Hayır","ÖDENECEK","UYGUN")))),"EKSİK"))))</f>
        <v/>
      </c>
      <c r="Q1100" s="6" t="n"/>
      <c r="R1100" s="6" t="n"/>
      <c r="S1100" s="3">
        <f>IF($L1100="","",UPPER(SUBSTITUTE(SUBSTITUTE(SUBSTITUTE(SUBSTITUTE(SUBSTITUTE(SUBSTITUTE(SUBSTITUTE(SUBSTITUTE(SUBSTITUTE(SUBSTITUTE(SUBSTITUTE(SUBSTITUTE(SUBSTITUTE(SUBSTITUTE(SUBSTITUTE(SUBSTITUTE(SUBSTITUTE(SUBSTITUTE(TRIM($L1100),"'",""),"İ","I"),"ı","I"),"i","I"),"Ş","S"),"ş","S"),"Ğ","G"),"ğ","G"),"Ü","U"),"ü","U"),"Ö","O"),"ö","O"),"Ç","C"),"ç","C"),".",""),",","")," ",""),"-","")))</f>
        <v/>
      </c>
      <c r="T1100" s="3">
        <f>IF(OR($C1100="",$D1100&lt;&gt;"Gelir",$L1100=""),"",IFERROR(INDEX(MUSTERILER!$B$7:$B$106,MATCH($S1100,MUSTERILER!$T$7:$T$106,0)),""))</f>
        <v/>
      </c>
      <c r="U1100" s="3">
        <f>IF($T1100="","",$T1100&amp;"|"&amp;COUNTIFS($T$7:$T1100,$T1100))</f>
        <v/>
      </c>
      <c r="V1100" s="3">
        <f>IF($T1100="",0,1)</f>
        <v/>
      </c>
      <c r="W1100" s="3">
        <f>IF($C1100="","",$D1100&amp;"|"&amp;$E1100&amp;"|"&amp;TEXT($C1100,"0")&amp;"|"&amp;TEXT($G1100,"0")&amp;"|"&amp;$J1100)</f>
        <v/>
      </c>
      <c r="X1100" s="3" t="n"/>
      <c r="Y1100" s="3" t="n"/>
      <c r="Z1100" s="3" t="n"/>
      <c r="AA1100" s="3" t="n"/>
      <c r="AB1100" s="3" t="n"/>
      <c r="AC1100" s="3" t="n"/>
      <c r="AD1100" s="3">
        <f>IF($C1100="",0,SUMPRODUCT((AY_SONU!$O$7:$O$42="Evet")*(AY_SONU!$B$7:$B$42=DATE(YEAR($C1100),MONTH($C1100),1))))</f>
        <v/>
      </c>
    </row>
    <row r="1101">
      <c r="A1101" s="6" t="n"/>
      <c r="B1101" s="113">
        <f>IF($C1101="","","GG"&amp;TEXT(ROW()-6,"00000"))</f>
        <v/>
      </c>
      <c r="C1101" s="220" t="n"/>
      <c r="D1101" s="108" t="n"/>
      <c r="E1101" s="109" t="n"/>
      <c r="F1101" s="109" t="n"/>
      <c r="G1101" s="221" t="n"/>
      <c r="H1101" s="108" t="n"/>
      <c r="I1101" s="108" t="n"/>
      <c r="J1101" s="109" t="n"/>
      <c r="K1101" s="109" t="n"/>
      <c r="L1101" s="108" t="n"/>
      <c r="M1101" s="121">
        <f>IF($C1101="","",IF($D1101="Gider",$E1101,IF($L1101&lt;&gt;"",$L1101,$H1101)))</f>
        <v/>
      </c>
      <c r="N1101" s="121">
        <f>IF($C1101="","",IF($D1101="Gider",$H1101,$E1101))</f>
        <v/>
      </c>
      <c r="O1101" s="226">
        <f>IF($C1101="","",DATE(YEAR($C1101),MONTH($C1101),1))</f>
        <v/>
      </c>
      <c r="P1101" s="113">
        <f>IF($C1101="","",IF(AND($D1101="Gelir",$L1101&lt;&gt;"",$T1101=""),"TANIMSIZ BORÇLU",IF($T1101&lt;&gt;"",IF(OR($E1101="",$G1101&lt;=0),"EKSİK",IF($I1101="Evet","TAHAKKUK NAKİT OLAMAZ",IF($C1101&gt;TODAY(),"İLERİ TARİH","TAHAKKUK"))),IF(AND($D1101&lt;&gt;"",$E1101&lt;&gt;"",$G1101&gt;0,$H1101&lt;&gt;"",$I1101&lt;&gt;""),IF($C1101&gt;TODAY(),"İLERİ TARİH",IF(COUNTIF($W$7:$W$1206,$W1101)&gt;1,"MÜKERRER?",IF($AD1101&gt;0,"KAPALI DÖNEM",IF($I1101="Hayır","ÖDENECEK","UYGUN")))),"EKSİK"))))</f>
        <v/>
      </c>
      <c r="Q1101" s="6" t="n"/>
      <c r="R1101" s="6" t="n"/>
      <c r="S1101" s="3">
        <f>IF($L1101="","",UPPER(SUBSTITUTE(SUBSTITUTE(SUBSTITUTE(SUBSTITUTE(SUBSTITUTE(SUBSTITUTE(SUBSTITUTE(SUBSTITUTE(SUBSTITUTE(SUBSTITUTE(SUBSTITUTE(SUBSTITUTE(SUBSTITUTE(SUBSTITUTE(SUBSTITUTE(SUBSTITUTE(SUBSTITUTE(SUBSTITUTE(TRIM($L1101),"'",""),"İ","I"),"ı","I"),"i","I"),"Ş","S"),"ş","S"),"Ğ","G"),"ğ","G"),"Ü","U"),"ü","U"),"Ö","O"),"ö","O"),"Ç","C"),"ç","C"),".",""),",","")," ",""),"-","")))</f>
        <v/>
      </c>
      <c r="T1101" s="3">
        <f>IF(OR($C1101="",$D1101&lt;&gt;"Gelir",$L1101=""),"",IFERROR(INDEX(MUSTERILER!$B$7:$B$106,MATCH($S1101,MUSTERILER!$T$7:$T$106,0)),""))</f>
        <v/>
      </c>
      <c r="U1101" s="3">
        <f>IF($T1101="","",$T1101&amp;"|"&amp;COUNTIFS($T$7:$T1101,$T1101))</f>
        <v/>
      </c>
      <c r="V1101" s="3">
        <f>IF($T1101="",0,1)</f>
        <v/>
      </c>
      <c r="W1101" s="3">
        <f>IF($C1101="","",$D1101&amp;"|"&amp;$E1101&amp;"|"&amp;TEXT($C1101,"0")&amp;"|"&amp;TEXT($G1101,"0")&amp;"|"&amp;$J1101)</f>
        <v/>
      </c>
      <c r="X1101" s="3" t="n"/>
      <c r="Y1101" s="3" t="n"/>
      <c r="Z1101" s="3" t="n"/>
      <c r="AA1101" s="3" t="n"/>
      <c r="AB1101" s="3" t="n"/>
      <c r="AC1101" s="3" t="n"/>
      <c r="AD1101" s="3">
        <f>IF($C1101="",0,SUMPRODUCT((AY_SONU!$O$7:$O$42="Evet")*(AY_SONU!$B$7:$B$42=DATE(YEAR($C1101),MONTH($C1101),1))))</f>
        <v/>
      </c>
    </row>
    <row r="1102">
      <c r="A1102" s="6" t="n"/>
      <c r="B1102" s="113">
        <f>IF($C1102="","","GG"&amp;TEXT(ROW()-6,"00000"))</f>
        <v/>
      </c>
      <c r="C1102" s="220" t="n"/>
      <c r="D1102" s="108" t="n"/>
      <c r="E1102" s="109" t="n"/>
      <c r="F1102" s="109" t="n"/>
      <c r="G1102" s="221" t="n"/>
      <c r="H1102" s="108" t="n"/>
      <c r="I1102" s="108" t="n"/>
      <c r="J1102" s="109" t="n"/>
      <c r="K1102" s="109" t="n"/>
      <c r="L1102" s="108" t="n"/>
      <c r="M1102" s="121">
        <f>IF($C1102="","",IF($D1102="Gider",$E1102,IF($L1102&lt;&gt;"",$L1102,$H1102)))</f>
        <v/>
      </c>
      <c r="N1102" s="121">
        <f>IF($C1102="","",IF($D1102="Gider",$H1102,$E1102))</f>
        <v/>
      </c>
      <c r="O1102" s="226">
        <f>IF($C1102="","",DATE(YEAR($C1102),MONTH($C1102),1))</f>
        <v/>
      </c>
      <c r="P1102" s="113">
        <f>IF($C1102="","",IF(AND($D1102="Gelir",$L1102&lt;&gt;"",$T1102=""),"TANIMSIZ BORÇLU",IF($T1102&lt;&gt;"",IF(OR($E1102="",$G1102&lt;=0),"EKSİK",IF($I1102="Evet","TAHAKKUK NAKİT OLAMAZ",IF($C1102&gt;TODAY(),"İLERİ TARİH","TAHAKKUK"))),IF(AND($D1102&lt;&gt;"",$E1102&lt;&gt;"",$G1102&gt;0,$H1102&lt;&gt;"",$I1102&lt;&gt;""),IF($C1102&gt;TODAY(),"İLERİ TARİH",IF(COUNTIF($W$7:$W$1206,$W1102)&gt;1,"MÜKERRER?",IF($AD1102&gt;0,"KAPALI DÖNEM",IF($I1102="Hayır","ÖDENECEK","UYGUN")))),"EKSİK"))))</f>
        <v/>
      </c>
      <c r="Q1102" s="6" t="n"/>
      <c r="R1102" s="6" t="n"/>
      <c r="S1102" s="3">
        <f>IF($L1102="","",UPPER(SUBSTITUTE(SUBSTITUTE(SUBSTITUTE(SUBSTITUTE(SUBSTITUTE(SUBSTITUTE(SUBSTITUTE(SUBSTITUTE(SUBSTITUTE(SUBSTITUTE(SUBSTITUTE(SUBSTITUTE(SUBSTITUTE(SUBSTITUTE(SUBSTITUTE(SUBSTITUTE(SUBSTITUTE(SUBSTITUTE(TRIM($L1102),"'",""),"İ","I"),"ı","I"),"i","I"),"Ş","S"),"ş","S"),"Ğ","G"),"ğ","G"),"Ü","U"),"ü","U"),"Ö","O"),"ö","O"),"Ç","C"),"ç","C"),".",""),",","")," ",""),"-","")))</f>
        <v/>
      </c>
      <c r="T1102" s="3">
        <f>IF(OR($C1102="",$D1102&lt;&gt;"Gelir",$L1102=""),"",IFERROR(INDEX(MUSTERILER!$B$7:$B$106,MATCH($S1102,MUSTERILER!$T$7:$T$106,0)),""))</f>
        <v/>
      </c>
      <c r="U1102" s="3">
        <f>IF($T1102="","",$T1102&amp;"|"&amp;COUNTIFS($T$7:$T1102,$T1102))</f>
        <v/>
      </c>
      <c r="V1102" s="3">
        <f>IF($T1102="",0,1)</f>
        <v/>
      </c>
      <c r="W1102" s="3">
        <f>IF($C1102="","",$D1102&amp;"|"&amp;$E1102&amp;"|"&amp;TEXT($C1102,"0")&amp;"|"&amp;TEXT($G1102,"0")&amp;"|"&amp;$J1102)</f>
        <v/>
      </c>
      <c r="X1102" s="3" t="n"/>
      <c r="Y1102" s="3" t="n"/>
      <c r="Z1102" s="3" t="n"/>
      <c r="AA1102" s="3" t="n"/>
      <c r="AB1102" s="3" t="n"/>
      <c r="AC1102" s="3" t="n"/>
      <c r="AD1102" s="3">
        <f>IF($C1102="",0,SUMPRODUCT((AY_SONU!$O$7:$O$42="Evet")*(AY_SONU!$B$7:$B$42=DATE(YEAR($C1102),MONTH($C1102),1))))</f>
        <v/>
      </c>
    </row>
    <row r="1103">
      <c r="A1103" s="6" t="n"/>
      <c r="B1103" s="113">
        <f>IF($C1103="","","GG"&amp;TEXT(ROW()-6,"00000"))</f>
        <v/>
      </c>
      <c r="C1103" s="220" t="n"/>
      <c r="D1103" s="108" t="n"/>
      <c r="E1103" s="109" t="n"/>
      <c r="F1103" s="109" t="n"/>
      <c r="G1103" s="221" t="n"/>
      <c r="H1103" s="108" t="n"/>
      <c r="I1103" s="108" t="n"/>
      <c r="J1103" s="109" t="n"/>
      <c r="K1103" s="109" t="n"/>
      <c r="L1103" s="108" t="n"/>
      <c r="M1103" s="121">
        <f>IF($C1103="","",IF($D1103="Gider",$E1103,IF($L1103&lt;&gt;"",$L1103,$H1103)))</f>
        <v/>
      </c>
      <c r="N1103" s="121">
        <f>IF($C1103="","",IF($D1103="Gider",$H1103,$E1103))</f>
        <v/>
      </c>
      <c r="O1103" s="226">
        <f>IF($C1103="","",DATE(YEAR($C1103),MONTH($C1103),1))</f>
        <v/>
      </c>
      <c r="P1103" s="113">
        <f>IF($C1103="","",IF(AND($D1103="Gelir",$L1103&lt;&gt;"",$T1103=""),"TANIMSIZ BORÇLU",IF($T1103&lt;&gt;"",IF(OR($E1103="",$G1103&lt;=0),"EKSİK",IF($I1103="Evet","TAHAKKUK NAKİT OLAMAZ",IF($C1103&gt;TODAY(),"İLERİ TARİH","TAHAKKUK"))),IF(AND($D1103&lt;&gt;"",$E1103&lt;&gt;"",$G1103&gt;0,$H1103&lt;&gt;"",$I1103&lt;&gt;""),IF($C1103&gt;TODAY(),"İLERİ TARİH",IF(COUNTIF($W$7:$W$1206,$W1103)&gt;1,"MÜKERRER?",IF($AD1103&gt;0,"KAPALI DÖNEM",IF($I1103="Hayır","ÖDENECEK","UYGUN")))),"EKSİK"))))</f>
        <v/>
      </c>
      <c r="Q1103" s="6" t="n"/>
      <c r="R1103" s="6" t="n"/>
      <c r="S1103" s="3">
        <f>IF($L1103="","",UPPER(SUBSTITUTE(SUBSTITUTE(SUBSTITUTE(SUBSTITUTE(SUBSTITUTE(SUBSTITUTE(SUBSTITUTE(SUBSTITUTE(SUBSTITUTE(SUBSTITUTE(SUBSTITUTE(SUBSTITUTE(SUBSTITUTE(SUBSTITUTE(SUBSTITUTE(SUBSTITUTE(SUBSTITUTE(SUBSTITUTE(TRIM($L1103),"'",""),"İ","I"),"ı","I"),"i","I"),"Ş","S"),"ş","S"),"Ğ","G"),"ğ","G"),"Ü","U"),"ü","U"),"Ö","O"),"ö","O"),"Ç","C"),"ç","C"),".",""),",","")," ",""),"-","")))</f>
        <v/>
      </c>
      <c r="T1103" s="3">
        <f>IF(OR($C1103="",$D1103&lt;&gt;"Gelir",$L1103=""),"",IFERROR(INDEX(MUSTERILER!$B$7:$B$106,MATCH($S1103,MUSTERILER!$T$7:$T$106,0)),""))</f>
        <v/>
      </c>
      <c r="U1103" s="3">
        <f>IF($T1103="","",$T1103&amp;"|"&amp;COUNTIFS($T$7:$T1103,$T1103))</f>
        <v/>
      </c>
      <c r="V1103" s="3">
        <f>IF($T1103="",0,1)</f>
        <v/>
      </c>
      <c r="W1103" s="3">
        <f>IF($C1103="","",$D1103&amp;"|"&amp;$E1103&amp;"|"&amp;TEXT($C1103,"0")&amp;"|"&amp;TEXT($G1103,"0")&amp;"|"&amp;$J1103)</f>
        <v/>
      </c>
      <c r="X1103" s="3" t="n"/>
      <c r="Y1103" s="3" t="n"/>
      <c r="Z1103" s="3" t="n"/>
      <c r="AA1103" s="3" t="n"/>
      <c r="AB1103" s="3" t="n"/>
      <c r="AC1103" s="3" t="n"/>
      <c r="AD1103" s="3">
        <f>IF($C1103="",0,SUMPRODUCT((AY_SONU!$O$7:$O$42="Evet")*(AY_SONU!$B$7:$B$42=DATE(YEAR($C1103),MONTH($C1103),1))))</f>
        <v/>
      </c>
    </row>
    <row r="1104">
      <c r="A1104" s="6" t="n"/>
      <c r="B1104" s="113">
        <f>IF($C1104="","","GG"&amp;TEXT(ROW()-6,"00000"))</f>
        <v/>
      </c>
      <c r="C1104" s="220" t="n"/>
      <c r="D1104" s="108" t="n"/>
      <c r="E1104" s="109" t="n"/>
      <c r="F1104" s="109" t="n"/>
      <c r="G1104" s="221" t="n"/>
      <c r="H1104" s="108" t="n"/>
      <c r="I1104" s="108" t="n"/>
      <c r="J1104" s="109" t="n"/>
      <c r="K1104" s="109" t="n"/>
      <c r="L1104" s="108" t="n"/>
      <c r="M1104" s="121">
        <f>IF($C1104="","",IF($D1104="Gider",$E1104,IF($L1104&lt;&gt;"",$L1104,$H1104)))</f>
        <v/>
      </c>
      <c r="N1104" s="121">
        <f>IF($C1104="","",IF($D1104="Gider",$H1104,$E1104))</f>
        <v/>
      </c>
      <c r="O1104" s="226">
        <f>IF($C1104="","",DATE(YEAR($C1104),MONTH($C1104),1))</f>
        <v/>
      </c>
      <c r="P1104" s="113">
        <f>IF($C1104="","",IF(AND($D1104="Gelir",$L1104&lt;&gt;"",$T1104=""),"TANIMSIZ BORÇLU",IF($T1104&lt;&gt;"",IF(OR($E1104="",$G1104&lt;=0),"EKSİK",IF($I1104="Evet","TAHAKKUK NAKİT OLAMAZ",IF($C1104&gt;TODAY(),"İLERİ TARİH","TAHAKKUK"))),IF(AND($D1104&lt;&gt;"",$E1104&lt;&gt;"",$G1104&gt;0,$H1104&lt;&gt;"",$I1104&lt;&gt;""),IF($C1104&gt;TODAY(),"İLERİ TARİH",IF(COUNTIF($W$7:$W$1206,$W1104)&gt;1,"MÜKERRER?",IF($AD1104&gt;0,"KAPALI DÖNEM",IF($I1104="Hayır","ÖDENECEK","UYGUN")))),"EKSİK"))))</f>
        <v/>
      </c>
      <c r="Q1104" s="6" t="n"/>
      <c r="R1104" s="6" t="n"/>
      <c r="S1104" s="3">
        <f>IF($L1104="","",UPPER(SUBSTITUTE(SUBSTITUTE(SUBSTITUTE(SUBSTITUTE(SUBSTITUTE(SUBSTITUTE(SUBSTITUTE(SUBSTITUTE(SUBSTITUTE(SUBSTITUTE(SUBSTITUTE(SUBSTITUTE(SUBSTITUTE(SUBSTITUTE(SUBSTITUTE(SUBSTITUTE(SUBSTITUTE(SUBSTITUTE(TRIM($L1104),"'",""),"İ","I"),"ı","I"),"i","I"),"Ş","S"),"ş","S"),"Ğ","G"),"ğ","G"),"Ü","U"),"ü","U"),"Ö","O"),"ö","O"),"Ç","C"),"ç","C"),".",""),",","")," ",""),"-","")))</f>
        <v/>
      </c>
      <c r="T1104" s="3">
        <f>IF(OR($C1104="",$D1104&lt;&gt;"Gelir",$L1104=""),"",IFERROR(INDEX(MUSTERILER!$B$7:$B$106,MATCH($S1104,MUSTERILER!$T$7:$T$106,0)),""))</f>
        <v/>
      </c>
      <c r="U1104" s="3">
        <f>IF($T1104="","",$T1104&amp;"|"&amp;COUNTIFS($T$7:$T1104,$T1104))</f>
        <v/>
      </c>
      <c r="V1104" s="3">
        <f>IF($T1104="",0,1)</f>
        <v/>
      </c>
      <c r="W1104" s="3">
        <f>IF($C1104="","",$D1104&amp;"|"&amp;$E1104&amp;"|"&amp;TEXT($C1104,"0")&amp;"|"&amp;TEXT($G1104,"0")&amp;"|"&amp;$J1104)</f>
        <v/>
      </c>
      <c r="X1104" s="3" t="n"/>
      <c r="Y1104" s="3" t="n"/>
      <c r="Z1104" s="3" t="n"/>
      <c r="AA1104" s="3" t="n"/>
      <c r="AB1104" s="3" t="n"/>
      <c r="AC1104" s="3" t="n"/>
      <c r="AD1104" s="3">
        <f>IF($C1104="",0,SUMPRODUCT((AY_SONU!$O$7:$O$42="Evet")*(AY_SONU!$B$7:$B$42=DATE(YEAR($C1104),MONTH($C1104),1))))</f>
        <v/>
      </c>
    </row>
    <row r="1105">
      <c r="A1105" s="6" t="n"/>
      <c r="B1105" s="113">
        <f>IF($C1105="","","GG"&amp;TEXT(ROW()-6,"00000"))</f>
        <v/>
      </c>
      <c r="C1105" s="220" t="n"/>
      <c r="D1105" s="108" t="n"/>
      <c r="E1105" s="109" t="n"/>
      <c r="F1105" s="109" t="n"/>
      <c r="G1105" s="221" t="n"/>
      <c r="H1105" s="108" t="n"/>
      <c r="I1105" s="108" t="n"/>
      <c r="J1105" s="109" t="n"/>
      <c r="K1105" s="109" t="n"/>
      <c r="L1105" s="108" t="n"/>
      <c r="M1105" s="121">
        <f>IF($C1105="","",IF($D1105="Gider",$E1105,IF($L1105&lt;&gt;"",$L1105,$H1105)))</f>
        <v/>
      </c>
      <c r="N1105" s="121">
        <f>IF($C1105="","",IF($D1105="Gider",$H1105,$E1105))</f>
        <v/>
      </c>
      <c r="O1105" s="226">
        <f>IF($C1105="","",DATE(YEAR($C1105),MONTH($C1105),1))</f>
        <v/>
      </c>
      <c r="P1105" s="113">
        <f>IF($C1105="","",IF(AND($D1105="Gelir",$L1105&lt;&gt;"",$T1105=""),"TANIMSIZ BORÇLU",IF($T1105&lt;&gt;"",IF(OR($E1105="",$G1105&lt;=0),"EKSİK",IF($I1105="Evet","TAHAKKUK NAKİT OLAMAZ",IF($C1105&gt;TODAY(),"İLERİ TARİH","TAHAKKUK"))),IF(AND($D1105&lt;&gt;"",$E1105&lt;&gt;"",$G1105&gt;0,$H1105&lt;&gt;"",$I1105&lt;&gt;""),IF($C1105&gt;TODAY(),"İLERİ TARİH",IF(COUNTIF($W$7:$W$1206,$W1105)&gt;1,"MÜKERRER?",IF($AD1105&gt;0,"KAPALI DÖNEM",IF($I1105="Hayır","ÖDENECEK","UYGUN")))),"EKSİK"))))</f>
        <v/>
      </c>
      <c r="Q1105" s="6" t="n"/>
      <c r="R1105" s="6" t="n"/>
      <c r="S1105" s="3">
        <f>IF($L1105="","",UPPER(SUBSTITUTE(SUBSTITUTE(SUBSTITUTE(SUBSTITUTE(SUBSTITUTE(SUBSTITUTE(SUBSTITUTE(SUBSTITUTE(SUBSTITUTE(SUBSTITUTE(SUBSTITUTE(SUBSTITUTE(SUBSTITUTE(SUBSTITUTE(SUBSTITUTE(SUBSTITUTE(SUBSTITUTE(SUBSTITUTE(TRIM($L1105),"'",""),"İ","I"),"ı","I"),"i","I"),"Ş","S"),"ş","S"),"Ğ","G"),"ğ","G"),"Ü","U"),"ü","U"),"Ö","O"),"ö","O"),"Ç","C"),"ç","C"),".",""),",","")," ",""),"-","")))</f>
        <v/>
      </c>
      <c r="T1105" s="3">
        <f>IF(OR($C1105="",$D1105&lt;&gt;"Gelir",$L1105=""),"",IFERROR(INDEX(MUSTERILER!$B$7:$B$106,MATCH($S1105,MUSTERILER!$T$7:$T$106,0)),""))</f>
        <v/>
      </c>
      <c r="U1105" s="3">
        <f>IF($T1105="","",$T1105&amp;"|"&amp;COUNTIFS($T$7:$T1105,$T1105))</f>
        <v/>
      </c>
      <c r="V1105" s="3">
        <f>IF($T1105="",0,1)</f>
        <v/>
      </c>
      <c r="W1105" s="3">
        <f>IF($C1105="","",$D1105&amp;"|"&amp;$E1105&amp;"|"&amp;TEXT($C1105,"0")&amp;"|"&amp;TEXT($G1105,"0")&amp;"|"&amp;$J1105)</f>
        <v/>
      </c>
      <c r="X1105" s="3" t="n"/>
      <c r="Y1105" s="3" t="n"/>
      <c r="Z1105" s="3" t="n"/>
      <c r="AA1105" s="3" t="n"/>
      <c r="AB1105" s="3" t="n"/>
      <c r="AC1105" s="3" t="n"/>
      <c r="AD1105" s="3">
        <f>IF($C1105="",0,SUMPRODUCT((AY_SONU!$O$7:$O$42="Evet")*(AY_SONU!$B$7:$B$42=DATE(YEAR($C1105),MONTH($C1105),1))))</f>
        <v/>
      </c>
    </row>
    <row r="1106">
      <c r="A1106" s="6" t="n"/>
      <c r="B1106" s="113">
        <f>IF($C1106="","","GG"&amp;TEXT(ROW()-6,"00000"))</f>
        <v/>
      </c>
      <c r="C1106" s="220" t="n"/>
      <c r="D1106" s="108" t="n"/>
      <c r="E1106" s="109" t="n"/>
      <c r="F1106" s="109" t="n"/>
      <c r="G1106" s="221" t="n"/>
      <c r="H1106" s="108" t="n"/>
      <c r="I1106" s="108" t="n"/>
      <c r="J1106" s="109" t="n"/>
      <c r="K1106" s="109" t="n"/>
      <c r="L1106" s="108" t="n"/>
      <c r="M1106" s="121">
        <f>IF($C1106="","",IF($D1106="Gider",$E1106,IF($L1106&lt;&gt;"",$L1106,$H1106)))</f>
        <v/>
      </c>
      <c r="N1106" s="121">
        <f>IF($C1106="","",IF($D1106="Gider",$H1106,$E1106))</f>
        <v/>
      </c>
      <c r="O1106" s="226">
        <f>IF($C1106="","",DATE(YEAR($C1106),MONTH($C1106),1))</f>
        <v/>
      </c>
      <c r="P1106" s="113">
        <f>IF($C1106="","",IF(AND($D1106="Gelir",$L1106&lt;&gt;"",$T1106=""),"TANIMSIZ BORÇLU",IF($T1106&lt;&gt;"",IF(OR($E1106="",$G1106&lt;=0),"EKSİK",IF($I1106="Evet","TAHAKKUK NAKİT OLAMAZ",IF($C1106&gt;TODAY(),"İLERİ TARİH","TAHAKKUK"))),IF(AND($D1106&lt;&gt;"",$E1106&lt;&gt;"",$G1106&gt;0,$H1106&lt;&gt;"",$I1106&lt;&gt;""),IF($C1106&gt;TODAY(),"İLERİ TARİH",IF(COUNTIF($W$7:$W$1206,$W1106)&gt;1,"MÜKERRER?",IF($AD1106&gt;0,"KAPALI DÖNEM",IF($I1106="Hayır","ÖDENECEK","UYGUN")))),"EKSİK"))))</f>
        <v/>
      </c>
      <c r="Q1106" s="6" t="n"/>
      <c r="R1106" s="6" t="n"/>
      <c r="S1106" s="3">
        <f>IF($L1106="","",UPPER(SUBSTITUTE(SUBSTITUTE(SUBSTITUTE(SUBSTITUTE(SUBSTITUTE(SUBSTITUTE(SUBSTITUTE(SUBSTITUTE(SUBSTITUTE(SUBSTITUTE(SUBSTITUTE(SUBSTITUTE(SUBSTITUTE(SUBSTITUTE(SUBSTITUTE(SUBSTITUTE(SUBSTITUTE(SUBSTITUTE(TRIM($L1106),"'",""),"İ","I"),"ı","I"),"i","I"),"Ş","S"),"ş","S"),"Ğ","G"),"ğ","G"),"Ü","U"),"ü","U"),"Ö","O"),"ö","O"),"Ç","C"),"ç","C"),".",""),",","")," ",""),"-","")))</f>
        <v/>
      </c>
      <c r="T1106" s="3">
        <f>IF(OR($C1106="",$D1106&lt;&gt;"Gelir",$L1106=""),"",IFERROR(INDEX(MUSTERILER!$B$7:$B$106,MATCH($S1106,MUSTERILER!$T$7:$T$106,0)),""))</f>
        <v/>
      </c>
      <c r="U1106" s="3">
        <f>IF($T1106="","",$T1106&amp;"|"&amp;COUNTIFS($T$7:$T1106,$T1106))</f>
        <v/>
      </c>
      <c r="V1106" s="3">
        <f>IF($T1106="",0,1)</f>
        <v/>
      </c>
      <c r="W1106" s="3">
        <f>IF($C1106="","",$D1106&amp;"|"&amp;$E1106&amp;"|"&amp;TEXT($C1106,"0")&amp;"|"&amp;TEXT($G1106,"0")&amp;"|"&amp;$J1106)</f>
        <v/>
      </c>
      <c r="X1106" s="3" t="n"/>
      <c r="Y1106" s="3" t="n"/>
      <c r="Z1106" s="3" t="n"/>
      <c r="AA1106" s="3" t="n"/>
      <c r="AB1106" s="3" t="n"/>
      <c r="AC1106" s="3" t="n"/>
      <c r="AD1106" s="3">
        <f>IF($C1106="",0,SUMPRODUCT((AY_SONU!$O$7:$O$42="Evet")*(AY_SONU!$B$7:$B$42=DATE(YEAR($C1106),MONTH($C1106),1))))</f>
        <v/>
      </c>
    </row>
    <row r="1107">
      <c r="A1107" s="6" t="n"/>
      <c r="B1107" s="113">
        <f>IF($C1107="","","GG"&amp;TEXT(ROW()-6,"00000"))</f>
        <v/>
      </c>
      <c r="C1107" s="220" t="n"/>
      <c r="D1107" s="108" t="n"/>
      <c r="E1107" s="109" t="n"/>
      <c r="F1107" s="109" t="n"/>
      <c r="G1107" s="221" t="n"/>
      <c r="H1107" s="108" t="n"/>
      <c r="I1107" s="108" t="n"/>
      <c r="J1107" s="109" t="n"/>
      <c r="K1107" s="109" t="n"/>
      <c r="L1107" s="108" t="n"/>
      <c r="M1107" s="121">
        <f>IF($C1107="","",IF($D1107="Gider",$E1107,IF($L1107&lt;&gt;"",$L1107,$H1107)))</f>
        <v/>
      </c>
      <c r="N1107" s="121">
        <f>IF($C1107="","",IF($D1107="Gider",$H1107,$E1107))</f>
        <v/>
      </c>
      <c r="O1107" s="226">
        <f>IF($C1107="","",DATE(YEAR($C1107),MONTH($C1107),1))</f>
        <v/>
      </c>
      <c r="P1107" s="113">
        <f>IF($C1107="","",IF(AND($D1107="Gelir",$L1107&lt;&gt;"",$T1107=""),"TANIMSIZ BORÇLU",IF($T1107&lt;&gt;"",IF(OR($E1107="",$G1107&lt;=0),"EKSİK",IF($I1107="Evet","TAHAKKUK NAKİT OLAMAZ",IF($C1107&gt;TODAY(),"İLERİ TARİH","TAHAKKUK"))),IF(AND($D1107&lt;&gt;"",$E1107&lt;&gt;"",$G1107&gt;0,$H1107&lt;&gt;"",$I1107&lt;&gt;""),IF($C1107&gt;TODAY(),"İLERİ TARİH",IF(COUNTIF($W$7:$W$1206,$W1107)&gt;1,"MÜKERRER?",IF($AD1107&gt;0,"KAPALI DÖNEM",IF($I1107="Hayır","ÖDENECEK","UYGUN")))),"EKSİK"))))</f>
        <v/>
      </c>
      <c r="Q1107" s="6" t="n"/>
      <c r="R1107" s="6" t="n"/>
      <c r="S1107" s="3">
        <f>IF($L1107="","",UPPER(SUBSTITUTE(SUBSTITUTE(SUBSTITUTE(SUBSTITUTE(SUBSTITUTE(SUBSTITUTE(SUBSTITUTE(SUBSTITUTE(SUBSTITUTE(SUBSTITUTE(SUBSTITUTE(SUBSTITUTE(SUBSTITUTE(SUBSTITUTE(SUBSTITUTE(SUBSTITUTE(SUBSTITUTE(SUBSTITUTE(TRIM($L1107),"'",""),"İ","I"),"ı","I"),"i","I"),"Ş","S"),"ş","S"),"Ğ","G"),"ğ","G"),"Ü","U"),"ü","U"),"Ö","O"),"ö","O"),"Ç","C"),"ç","C"),".",""),",","")," ",""),"-","")))</f>
        <v/>
      </c>
      <c r="T1107" s="3">
        <f>IF(OR($C1107="",$D1107&lt;&gt;"Gelir",$L1107=""),"",IFERROR(INDEX(MUSTERILER!$B$7:$B$106,MATCH($S1107,MUSTERILER!$T$7:$T$106,0)),""))</f>
        <v/>
      </c>
      <c r="U1107" s="3">
        <f>IF($T1107="","",$T1107&amp;"|"&amp;COUNTIFS($T$7:$T1107,$T1107))</f>
        <v/>
      </c>
      <c r="V1107" s="3">
        <f>IF($T1107="",0,1)</f>
        <v/>
      </c>
      <c r="W1107" s="3">
        <f>IF($C1107="","",$D1107&amp;"|"&amp;$E1107&amp;"|"&amp;TEXT($C1107,"0")&amp;"|"&amp;TEXT($G1107,"0")&amp;"|"&amp;$J1107)</f>
        <v/>
      </c>
      <c r="X1107" s="3" t="n"/>
      <c r="Y1107" s="3" t="n"/>
      <c r="Z1107" s="3" t="n"/>
      <c r="AA1107" s="3" t="n"/>
      <c r="AB1107" s="3" t="n"/>
      <c r="AC1107" s="3" t="n"/>
      <c r="AD1107" s="3">
        <f>IF($C1107="",0,SUMPRODUCT((AY_SONU!$O$7:$O$42="Evet")*(AY_SONU!$B$7:$B$42=DATE(YEAR($C1107),MONTH($C1107),1))))</f>
        <v/>
      </c>
    </row>
    <row r="1108">
      <c r="A1108" s="6" t="n"/>
      <c r="B1108" s="113">
        <f>IF($C1108="","","GG"&amp;TEXT(ROW()-6,"00000"))</f>
        <v/>
      </c>
      <c r="C1108" s="220" t="n"/>
      <c r="D1108" s="108" t="n"/>
      <c r="E1108" s="109" t="n"/>
      <c r="F1108" s="109" t="n"/>
      <c r="G1108" s="221" t="n"/>
      <c r="H1108" s="108" t="n"/>
      <c r="I1108" s="108" t="n"/>
      <c r="J1108" s="109" t="n"/>
      <c r="K1108" s="109" t="n"/>
      <c r="L1108" s="108" t="n"/>
      <c r="M1108" s="121">
        <f>IF($C1108="","",IF($D1108="Gider",$E1108,IF($L1108&lt;&gt;"",$L1108,$H1108)))</f>
        <v/>
      </c>
      <c r="N1108" s="121">
        <f>IF($C1108="","",IF($D1108="Gider",$H1108,$E1108))</f>
        <v/>
      </c>
      <c r="O1108" s="226">
        <f>IF($C1108="","",DATE(YEAR($C1108),MONTH($C1108),1))</f>
        <v/>
      </c>
      <c r="P1108" s="113">
        <f>IF($C1108="","",IF(AND($D1108="Gelir",$L1108&lt;&gt;"",$T1108=""),"TANIMSIZ BORÇLU",IF($T1108&lt;&gt;"",IF(OR($E1108="",$G1108&lt;=0),"EKSİK",IF($I1108="Evet","TAHAKKUK NAKİT OLAMAZ",IF($C1108&gt;TODAY(),"İLERİ TARİH","TAHAKKUK"))),IF(AND($D1108&lt;&gt;"",$E1108&lt;&gt;"",$G1108&gt;0,$H1108&lt;&gt;"",$I1108&lt;&gt;""),IF($C1108&gt;TODAY(),"İLERİ TARİH",IF(COUNTIF($W$7:$W$1206,$W1108)&gt;1,"MÜKERRER?",IF($AD1108&gt;0,"KAPALI DÖNEM",IF($I1108="Hayır","ÖDENECEK","UYGUN")))),"EKSİK"))))</f>
        <v/>
      </c>
      <c r="Q1108" s="6" t="n"/>
      <c r="R1108" s="6" t="n"/>
      <c r="S1108" s="3">
        <f>IF($L1108="","",UPPER(SUBSTITUTE(SUBSTITUTE(SUBSTITUTE(SUBSTITUTE(SUBSTITUTE(SUBSTITUTE(SUBSTITUTE(SUBSTITUTE(SUBSTITUTE(SUBSTITUTE(SUBSTITUTE(SUBSTITUTE(SUBSTITUTE(SUBSTITUTE(SUBSTITUTE(SUBSTITUTE(SUBSTITUTE(SUBSTITUTE(TRIM($L1108),"'",""),"İ","I"),"ı","I"),"i","I"),"Ş","S"),"ş","S"),"Ğ","G"),"ğ","G"),"Ü","U"),"ü","U"),"Ö","O"),"ö","O"),"Ç","C"),"ç","C"),".",""),",","")," ",""),"-","")))</f>
        <v/>
      </c>
      <c r="T1108" s="3">
        <f>IF(OR($C1108="",$D1108&lt;&gt;"Gelir",$L1108=""),"",IFERROR(INDEX(MUSTERILER!$B$7:$B$106,MATCH($S1108,MUSTERILER!$T$7:$T$106,0)),""))</f>
        <v/>
      </c>
      <c r="U1108" s="3">
        <f>IF($T1108="","",$T1108&amp;"|"&amp;COUNTIFS($T$7:$T1108,$T1108))</f>
        <v/>
      </c>
      <c r="V1108" s="3">
        <f>IF($T1108="",0,1)</f>
        <v/>
      </c>
      <c r="W1108" s="3">
        <f>IF($C1108="","",$D1108&amp;"|"&amp;$E1108&amp;"|"&amp;TEXT($C1108,"0")&amp;"|"&amp;TEXT($G1108,"0")&amp;"|"&amp;$J1108)</f>
        <v/>
      </c>
      <c r="X1108" s="3" t="n"/>
      <c r="Y1108" s="3" t="n"/>
      <c r="Z1108" s="3" t="n"/>
      <c r="AA1108" s="3" t="n"/>
      <c r="AB1108" s="3" t="n"/>
      <c r="AC1108" s="3" t="n"/>
      <c r="AD1108" s="3">
        <f>IF($C1108="",0,SUMPRODUCT((AY_SONU!$O$7:$O$42="Evet")*(AY_SONU!$B$7:$B$42=DATE(YEAR($C1108),MONTH($C1108),1))))</f>
        <v/>
      </c>
    </row>
    <row r="1109">
      <c r="A1109" s="6" t="n"/>
      <c r="B1109" s="113">
        <f>IF($C1109="","","GG"&amp;TEXT(ROW()-6,"00000"))</f>
        <v/>
      </c>
      <c r="C1109" s="220" t="n"/>
      <c r="D1109" s="108" t="n"/>
      <c r="E1109" s="109" t="n"/>
      <c r="F1109" s="109" t="n"/>
      <c r="G1109" s="221" t="n"/>
      <c r="H1109" s="108" t="n"/>
      <c r="I1109" s="108" t="n"/>
      <c r="J1109" s="109" t="n"/>
      <c r="K1109" s="109" t="n"/>
      <c r="L1109" s="108" t="n"/>
      <c r="M1109" s="121">
        <f>IF($C1109="","",IF($D1109="Gider",$E1109,IF($L1109&lt;&gt;"",$L1109,$H1109)))</f>
        <v/>
      </c>
      <c r="N1109" s="121">
        <f>IF($C1109="","",IF($D1109="Gider",$H1109,$E1109))</f>
        <v/>
      </c>
      <c r="O1109" s="226">
        <f>IF($C1109="","",DATE(YEAR($C1109),MONTH($C1109),1))</f>
        <v/>
      </c>
      <c r="P1109" s="113">
        <f>IF($C1109="","",IF(AND($D1109="Gelir",$L1109&lt;&gt;"",$T1109=""),"TANIMSIZ BORÇLU",IF($T1109&lt;&gt;"",IF(OR($E1109="",$G1109&lt;=0),"EKSİK",IF($I1109="Evet","TAHAKKUK NAKİT OLAMAZ",IF($C1109&gt;TODAY(),"İLERİ TARİH","TAHAKKUK"))),IF(AND($D1109&lt;&gt;"",$E1109&lt;&gt;"",$G1109&gt;0,$H1109&lt;&gt;"",$I1109&lt;&gt;""),IF($C1109&gt;TODAY(),"İLERİ TARİH",IF(COUNTIF($W$7:$W$1206,$W1109)&gt;1,"MÜKERRER?",IF($AD1109&gt;0,"KAPALI DÖNEM",IF($I1109="Hayır","ÖDENECEK","UYGUN")))),"EKSİK"))))</f>
        <v/>
      </c>
      <c r="Q1109" s="6" t="n"/>
      <c r="R1109" s="6" t="n"/>
      <c r="S1109" s="3">
        <f>IF($L1109="","",UPPER(SUBSTITUTE(SUBSTITUTE(SUBSTITUTE(SUBSTITUTE(SUBSTITUTE(SUBSTITUTE(SUBSTITUTE(SUBSTITUTE(SUBSTITUTE(SUBSTITUTE(SUBSTITUTE(SUBSTITUTE(SUBSTITUTE(SUBSTITUTE(SUBSTITUTE(SUBSTITUTE(SUBSTITUTE(SUBSTITUTE(TRIM($L1109),"'",""),"İ","I"),"ı","I"),"i","I"),"Ş","S"),"ş","S"),"Ğ","G"),"ğ","G"),"Ü","U"),"ü","U"),"Ö","O"),"ö","O"),"Ç","C"),"ç","C"),".",""),",","")," ",""),"-","")))</f>
        <v/>
      </c>
      <c r="T1109" s="3">
        <f>IF(OR($C1109="",$D1109&lt;&gt;"Gelir",$L1109=""),"",IFERROR(INDEX(MUSTERILER!$B$7:$B$106,MATCH($S1109,MUSTERILER!$T$7:$T$106,0)),""))</f>
        <v/>
      </c>
      <c r="U1109" s="3">
        <f>IF($T1109="","",$T1109&amp;"|"&amp;COUNTIFS($T$7:$T1109,$T1109))</f>
        <v/>
      </c>
      <c r="V1109" s="3">
        <f>IF($T1109="",0,1)</f>
        <v/>
      </c>
      <c r="W1109" s="3">
        <f>IF($C1109="","",$D1109&amp;"|"&amp;$E1109&amp;"|"&amp;TEXT($C1109,"0")&amp;"|"&amp;TEXT($G1109,"0")&amp;"|"&amp;$J1109)</f>
        <v/>
      </c>
      <c r="X1109" s="3" t="n"/>
      <c r="Y1109" s="3" t="n"/>
      <c r="Z1109" s="3" t="n"/>
      <c r="AA1109" s="3" t="n"/>
      <c r="AB1109" s="3" t="n"/>
      <c r="AC1109" s="3" t="n"/>
      <c r="AD1109" s="3">
        <f>IF($C1109="",0,SUMPRODUCT((AY_SONU!$O$7:$O$42="Evet")*(AY_SONU!$B$7:$B$42=DATE(YEAR($C1109),MONTH($C1109),1))))</f>
        <v/>
      </c>
    </row>
    <row r="1110">
      <c r="A1110" s="6" t="n"/>
      <c r="B1110" s="113">
        <f>IF($C1110="","","GG"&amp;TEXT(ROW()-6,"00000"))</f>
        <v/>
      </c>
      <c r="C1110" s="220" t="n"/>
      <c r="D1110" s="108" t="n"/>
      <c r="E1110" s="109" t="n"/>
      <c r="F1110" s="109" t="n"/>
      <c r="G1110" s="221" t="n"/>
      <c r="H1110" s="108" t="n"/>
      <c r="I1110" s="108" t="n"/>
      <c r="J1110" s="109" t="n"/>
      <c r="K1110" s="109" t="n"/>
      <c r="L1110" s="108" t="n"/>
      <c r="M1110" s="121">
        <f>IF($C1110="","",IF($D1110="Gider",$E1110,IF($L1110&lt;&gt;"",$L1110,$H1110)))</f>
        <v/>
      </c>
      <c r="N1110" s="121">
        <f>IF($C1110="","",IF($D1110="Gider",$H1110,$E1110))</f>
        <v/>
      </c>
      <c r="O1110" s="226">
        <f>IF($C1110="","",DATE(YEAR($C1110),MONTH($C1110),1))</f>
        <v/>
      </c>
      <c r="P1110" s="113">
        <f>IF($C1110="","",IF(AND($D1110="Gelir",$L1110&lt;&gt;"",$T1110=""),"TANIMSIZ BORÇLU",IF($T1110&lt;&gt;"",IF(OR($E1110="",$G1110&lt;=0),"EKSİK",IF($I1110="Evet","TAHAKKUK NAKİT OLAMAZ",IF($C1110&gt;TODAY(),"İLERİ TARİH","TAHAKKUK"))),IF(AND($D1110&lt;&gt;"",$E1110&lt;&gt;"",$G1110&gt;0,$H1110&lt;&gt;"",$I1110&lt;&gt;""),IF($C1110&gt;TODAY(),"İLERİ TARİH",IF(COUNTIF($W$7:$W$1206,$W1110)&gt;1,"MÜKERRER?",IF($AD1110&gt;0,"KAPALI DÖNEM",IF($I1110="Hayır","ÖDENECEK","UYGUN")))),"EKSİK"))))</f>
        <v/>
      </c>
      <c r="Q1110" s="6" t="n"/>
      <c r="R1110" s="6" t="n"/>
      <c r="S1110" s="3">
        <f>IF($L1110="","",UPPER(SUBSTITUTE(SUBSTITUTE(SUBSTITUTE(SUBSTITUTE(SUBSTITUTE(SUBSTITUTE(SUBSTITUTE(SUBSTITUTE(SUBSTITUTE(SUBSTITUTE(SUBSTITUTE(SUBSTITUTE(SUBSTITUTE(SUBSTITUTE(SUBSTITUTE(SUBSTITUTE(SUBSTITUTE(SUBSTITUTE(TRIM($L1110),"'",""),"İ","I"),"ı","I"),"i","I"),"Ş","S"),"ş","S"),"Ğ","G"),"ğ","G"),"Ü","U"),"ü","U"),"Ö","O"),"ö","O"),"Ç","C"),"ç","C"),".",""),",","")," ",""),"-","")))</f>
        <v/>
      </c>
      <c r="T1110" s="3">
        <f>IF(OR($C1110="",$D1110&lt;&gt;"Gelir",$L1110=""),"",IFERROR(INDEX(MUSTERILER!$B$7:$B$106,MATCH($S1110,MUSTERILER!$T$7:$T$106,0)),""))</f>
        <v/>
      </c>
      <c r="U1110" s="3">
        <f>IF($T1110="","",$T1110&amp;"|"&amp;COUNTIFS($T$7:$T1110,$T1110))</f>
        <v/>
      </c>
      <c r="V1110" s="3">
        <f>IF($T1110="",0,1)</f>
        <v/>
      </c>
      <c r="W1110" s="3">
        <f>IF($C1110="","",$D1110&amp;"|"&amp;$E1110&amp;"|"&amp;TEXT($C1110,"0")&amp;"|"&amp;TEXT($G1110,"0")&amp;"|"&amp;$J1110)</f>
        <v/>
      </c>
      <c r="X1110" s="3" t="n"/>
      <c r="Y1110" s="3" t="n"/>
      <c r="Z1110" s="3" t="n"/>
      <c r="AA1110" s="3" t="n"/>
      <c r="AB1110" s="3" t="n"/>
      <c r="AC1110" s="3" t="n"/>
      <c r="AD1110" s="3">
        <f>IF($C1110="",0,SUMPRODUCT((AY_SONU!$O$7:$O$42="Evet")*(AY_SONU!$B$7:$B$42=DATE(YEAR($C1110),MONTH($C1110),1))))</f>
        <v/>
      </c>
    </row>
    <row r="1111">
      <c r="A1111" s="6" t="n"/>
      <c r="B1111" s="113">
        <f>IF($C1111="","","GG"&amp;TEXT(ROW()-6,"00000"))</f>
        <v/>
      </c>
      <c r="C1111" s="220" t="n"/>
      <c r="D1111" s="108" t="n"/>
      <c r="E1111" s="109" t="n"/>
      <c r="F1111" s="109" t="n"/>
      <c r="G1111" s="221" t="n"/>
      <c r="H1111" s="108" t="n"/>
      <c r="I1111" s="108" t="n"/>
      <c r="J1111" s="109" t="n"/>
      <c r="K1111" s="109" t="n"/>
      <c r="L1111" s="108" t="n"/>
      <c r="M1111" s="121">
        <f>IF($C1111="","",IF($D1111="Gider",$E1111,IF($L1111&lt;&gt;"",$L1111,$H1111)))</f>
        <v/>
      </c>
      <c r="N1111" s="121">
        <f>IF($C1111="","",IF($D1111="Gider",$H1111,$E1111))</f>
        <v/>
      </c>
      <c r="O1111" s="226">
        <f>IF($C1111="","",DATE(YEAR($C1111),MONTH($C1111),1))</f>
        <v/>
      </c>
      <c r="P1111" s="113">
        <f>IF($C1111="","",IF(AND($D1111="Gelir",$L1111&lt;&gt;"",$T1111=""),"TANIMSIZ BORÇLU",IF($T1111&lt;&gt;"",IF(OR($E1111="",$G1111&lt;=0),"EKSİK",IF($I1111="Evet","TAHAKKUK NAKİT OLAMAZ",IF($C1111&gt;TODAY(),"İLERİ TARİH","TAHAKKUK"))),IF(AND($D1111&lt;&gt;"",$E1111&lt;&gt;"",$G1111&gt;0,$H1111&lt;&gt;"",$I1111&lt;&gt;""),IF($C1111&gt;TODAY(),"İLERİ TARİH",IF(COUNTIF($W$7:$W$1206,$W1111)&gt;1,"MÜKERRER?",IF($AD1111&gt;0,"KAPALI DÖNEM",IF($I1111="Hayır","ÖDENECEK","UYGUN")))),"EKSİK"))))</f>
        <v/>
      </c>
      <c r="Q1111" s="6" t="n"/>
      <c r="R1111" s="6" t="n"/>
      <c r="S1111" s="3">
        <f>IF($L1111="","",UPPER(SUBSTITUTE(SUBSTITUTE(SUBSTITUTE(SUBSTITUTE(SUBSTITUTE(SUBSTITUTE(SUBSTITUTE(SUBSTITUTE(SUBSTITUTE(SUBSTITUTE(SUBSTITUTE(SUBSTITUTE(SUBSTITUTE(SUBSTITUTE(SUBSTITUTE(SUBSTITUTE(SUBSTITUTE(SUBSTITUTE(TRIM($L1111),"'",""),"İ","I"),"ı","I"),"i","I"),"Ş","S"),"ş","S"),"Ğ","G"),"ğ","G"),"Ü","U"),"ü","U"),"Ö","O"),"ö","O"),"Ç","C"),"ç","C"),".",""),",","")," ",""),"-","")))</f>
        <v/>
      </c>
      <c r="T1111" s="3">
        <f>IF(OR($C1111="",$D1111&lt;&gt;"Gelir",$L1111=""),"",IFERROR(INDEX(MUSTERILER!$B$7:$B$106,MATCH($S1111,MUSTERILER!$T$7:$T$106,0)),""))</f>
        <v/>
      </c>
      <c r="U1111" s="3">
        <f>IF($T1111="","",$T1111&amp;"|"&amp;COUNTIFS($T$7:$T1111,$T1111))</f>
        <v/>
      </c>
      <c r="V1111" s="3">
        <f>IF($T1111="",0,1)</f>
        <v/>
      </c>
      <c r="W1111" s="3">
        <f>IF($C1111="","",$D1111&amp;"|"&amp;$E1111&amp;"|"&amp;TEXT($C1111,"0")&amp;"|"&amp;TEXT($G1111,"0")&amp;"|"&amp;$J1111)</f>
        <v/>
      </c>
      <c r="X1111" s="3" t="n"/>
      <c r="Y1111" s="3" t="n"/>
      <c r="Z1111" s="3" t="n"/>
      <c r="AA1111" s="3" t="n"/>
      <c r="AB1111" s="3" t="n"/>
      <c r="AC1111" s="3" t="n"/>
      <c r="AD1111" s="3">
        <f>IF($C1111="",0,SUMPRODUCT((AY_SONU!$O$7:$O$42="Evet")*(AY_SONU!$B$7:$B$42=DATE(YEAR($C1111),MONTH($C1111),1))))</f>
        <v/>
      </c>
    </row>
    <row r="1112">
      <c r="A1112" s="6" t="n"/>
      <c r="B1112" s="113">
        <f>IF($C1112="","","GG"&amp;TEXT(ROW()-6,"00000"))</f>
        <v/>
      </c>
      <c r="C1112" s="220" t="n"/>
      <c r="D1112" s="108" t="n"/>
      <c r="E1112" s="109" t="n"/>
      <c r="F1112" s="109" t="n"/>
      <c r="G1112" s="221" t="n"/>
      <c r="H1112" s="108" t="n"/>
      <c r="I1112" s="108" t="n"/>
      <c r="J1112" s="109" t="n"/>
      <c r="K1112" s="109" t="n"/>
      <c r="L1112" s="108" t="n"/>
      <c r="M1112" s="121">
        <f>IF($C1112="","",IF($D1112="Gider",$E1112,IF($L1112&lt;&gt;"",$L1112,$H1112)))</f>
        <v/>
      </c>
      <c r="N1112" s="121">
        <f>IF($C1112="","",IF($D1112="Gider",$H1112,$E1112))</f>
        <v/>
      </c>
      <c r="O1112" s="226">
        <f>IF($C1112="","",DATE(YEAR($C1112),MONTH($C1112),1))</f>
        <v/>
      </c>
      <c r="P1112" s="113">
        <f>IF($C1112="","",IF(AND($D1112="Gelir",$L1112&lt;&gt;"",$T1112=""),"TANIMSIZ BORÇLU",IF($T1112&lt;&gt;"",IF(OR($E1112="",$G1112&lt;=0),"EKSİK",IF($I1112="Evet","TAHAKKUK NAKİT OLAMAZ",IF($C1112&gt;TODAY(),"İLERİ TARİH","TAHAKKUK"))),IF(AND($D1112&lt;&gt;"",$E1112&lt;&gt;"",$G1112&gt;0,$H1112&lt;&gt;"",$I1112&lt;&gt;""),IF($C1112&gt;TODAY(),"İLERİ TARİH",IF(COUNTIF($W$7:$W$1206,$W1112)&gt;1,"MÜKERRER?",IF($AD1112&gt;0,"KAPALI DÖNEM",IF($I1112="Hayır","ÖDENECEK","UYGUN")))),"EKSİK"))))</f>
        <v/>
      </c>
      <c r="Q1112" s="6" t="n"/>
      <c r="R1112" s="6" t="n"/>
      <c r="S1112" s="3">
        <f>IF($L1112="","",UPPER(SUBSTITUTE(SUBSTITUTE(SUBSTITUTE(SUBSTITUTE(SUBSTITUTE(SUBSTITUTE(SUBSTITUTE(SUBSTITUTE(SUBSTITUTE(SUBSTITUTE(SUBSTITUTE(SUBSTITUTE(SUBSTITUTE(SUBSTITUTE(SUBSTITUTE(SUBSTITUTE(SUBSTITUTE(SUBSTITUTE(TRIM($L1112),"'",""),"İ","I"),"ı","I"),"i","I"),"Ş","S"),"ş","S"),"Ğ","G"),"ğ","G"),"Ü","U"),"ü","U"),"Ö","O"),"ö","O"),"Ç","C"),"ç","C"),".",""),",","")," ",""),"-","")))</f>
        <v/>
      </c>
      <c r="T1112" s="3">
        <f>IF(OR($C1112="",$D1112&lt;&gt;"Gelir",$L1112=""),"",IFERROR(INDEX(MUSTERILER!$B$7:$B$106,MATCH($S1112,MUSTERILER!$T$7:$T$106,0)),""))</f>
        <v/>
      </c>
      <c r="U1112" s="3">
        <f>IF($T1112="","",$T1112&amp;"|"&amp;COUNTIFS($T$7:$T1112,$T1112))</f>
        <v/>
      </c>
      <c r="V1112" s="3">
        <f>IF($T1112="",0,1)</f>
        <v/>
      </c>
      <c r="W1112" s="3">
        <f>IF($C1112="","",$D1112&amp;"|"&amp;$E1112&amp;"|"&amp;TEXT($C1112,"0")&amp;"|"&amp;TEXT($G1112,"0")&amp;"|"&amp;$J1112)</f>
        <v/>
      </c>
      <c r="X1112" s="3" t="n"/>
      <c r="Y1112" s="3" t="n"/>
      <c r="Z1112" s="3" t="n"/>
      <c r="AA1112" s="3" t="n"/>
      <c r="AB1112" s="3" t="n"/>
      <c r="AC1112" s="3" t="n"/>
      <c r="AD1112" s="3">
        <f>IF($C1112="",0,SUMPRODUCT((AY_SONU!$O$7:$O$42="Evet")*(AY_SONU!$B$7:$B$42=DATE(YEAR($C1112),MONTH($C1112),1))))</f>
        <v/>
      </c>
    </row>
    <row r="1113">
      <c r="A1113" s="6" t="n"/>
      <c r="B1113" s="113">
        <f>IF($C1113="","","GG"&amp;TEXT(ROW()-6,"00000"))</f>
        <v/>
      </c>
      <c r="C1113" s="220" t="n"/>
      <c r="D1113" s="108" t="n"/>
      <c r="E1113" s="109" t="n"/>
      <c r="F1113" s="109" t="n"/>
      <c r="G1113" s="221" t="n"/>
      <c r="H1113" s="108" t="n"/>
      <c r="I1113" s="108" t="n"/>
      <c r="J1113" s="109" t="n"/>
      <c r="K1113" s="109" t="n"/>
      <c r="L1113" s="108" t="n"/>
      <c r="M1113" s="121">
        <f>IF($C1113="","",IF($D1113="Gider",$E1113,IF($L1113&lt;&gt;"",$L1113,$H1113)))</f>
        <v/>
      </c>
      <c r="N1113" s="121">
        <f>IF($C1113="","",IF($D1113="Gider",$H1113,$E1113))</f>
        <v/>
      </c>
      <c r="O1113" s="226">
        <f>IF($C1113="","",DATE(YEAR($C1113),MONTH($C1113),1))</f>
        <v/>
      </c>
      <c r="P1113" s="113">
        <f>IF($C1113="","",IF(AND($D1113="Gelir",$L1113&lt;&gt;"",$T1113=""),"TANIMSIZ BORÇLU",IF($T1113&lt;&gt;"",IF(OR($E1113="",$G1113&lt;=0),"EKSİK",IF($I1113="Evet","TAHAKKUK NAKİT OLAMAZ",IF($C1113&gt;TODAY(),"İLERİ TARİH","TAHAKKUK"))),IF(AND($D1113&lt;&gt;"",$E1113&lt;&gt;"",$G1113&gt;0,$H1113&lt;&gt;"",$I1113&lt;&gt;""),IF($C1113&gt;TODAY(),"İLERİ TARİH",IF(COUNTIF($W$7:$W$1206,$W1113)&gt;1,"MÜKERRER?",IF($AD1113&gt;0,"KAPALI DÖNEM",IF($I1113="Hayır","ÖDENECEK","UYGUN")))),"EKSİK"))))</f>
        <v/>
      </c>
      <c r="Q1113" s="6" t="n"/>
      <c r="R1113" s="6" t="n"/>
      <c r="S1113" s="3">
        <f>IF($L1113="","",UPPER(SUBSTITUTE(SUBSTITUTE(SUBSTITUTE(SUBSTITUTE(SUBSTITUTE(SUBSTITUTE(SUBSTITUTE(SUBSTITUTE(SUBSTITUTE(SUBSTITUTE(SUBSTITUTE(SUBSTITUTE(SUBSTITUTE(SUBSTITUTE(SUBSTITUTE(SUBSTITUTE(SUBSTITUTE(SUBSTITUTE(TRIM($L1113),"'",""),"İ","I"),"ı","I"),"i","I"),"Ş","S"),"ş","S"),"Ğ","G"),"ğ","G"),"Ü","U"),"ü","U"),"Ö","O"),"ö","O"),"Ç","C"),"ç","C"),".",""),",","")," ",""),"-","")))</f>
        <v/>
      </c>
      <c r="T1113" s="3">
        <f>IF(OR($C1113="",$D1113&lt;&gt;"Gelir",$L1113=""),"",IFERROR(INDEX(MUSTERILER!$B$7:$B$106,MATCH($S1113,MUSTERILER!$T$7:$T$106,0)),""))</f>
        <v/>
      </c>
      <c r="U1113" s="3">
        <f>IF($T1113="","",$T1113&amp;"|"&amp;COUNTIFS($T$7:$T1113,$T1113))</f>
        <v/>
      </c>
      <c r="V1113" s="3">
        <f>IF($T1113="",0,1)</f>
        <v/>
      </c>
      <c r="W1113" s="3">
        <f>IF($C1113="","",$D1113&amp;"|"&amp;$E1113&amp;"|"&amp;TEXT($C1113,"0")&amp;"|"&amp;TEXT($G1113,"0")&amp;"|"&amp;$J1113)</f>
        <v/>
      </c>
      <c r="X1113" s="3" t="n"/>
      <c r="Y1113" s="3" t="n"/>
      <c r="Z1113" s="3" t="n"/>
      <c r="AA1113" s="3" t="n"/>
      <c r="AB1113" s="3" t="n"/>
      <c r="AC1113" s="3" t="n"/>
      <c r="AD1113" s="3">
        <f>IF($C1113="",0,SUMPRODUCT((AY_SONU!$O$7:$O$42="Evet")*(AY_SONU!$B$7:$B$42=DATE(YEAR($C1113),MONTH($C1113),1))))</f>
        <v/>
      </c>
    </row>
    <row r="1114">
      <c r="A1114" s="6" t="n"/>
      <c r="B1114" s="113">
        <f>IF($C1114="","","GG"&amp;TEXT(ROW()-6,"00000"))</f>
        <v/>
      </c>
      <c r="C1114" s="220" t="n"/>
      <c r="D1114" s="108" t="n"/>
      <c r="E1114" s="109" t="n"/>
      <c r="F1114" s="109" t="n"/>
      <c r="G1114" s="221" t="n"/>
      <c r="H1114" s="108" t="n"/>
      <c r="I1114" s="108" t="n"/>
      <c r="J1114" s="109" t="n"/>
      <c r="K1114" s="109" t="n"/>
      <c r="L1114" s="108" t="n"/>
      <c r="M1114" s="121">
        <f>IF($C1114="","",IF($D1114="Gider",$E1114,IF($L1114&lt;&gt;"",$L1114,$H1114)))</f>
        <v/>
      </c>
      <c r="N1114" s="121">
        <f>IF($C1114="","",IF($D1114="Gider",$H1114,$E1114))</f>
        <v/>
      </c>
      <c r="O1114" s="226">
        <f>IF($C1114="","",DATE(YEAR($C1114),MONTH($C1114),1))</f>
        <v/>
      </c>
      <c r="P1114" s="113">
        <f>IF($C1114="","",IF(AND($D1114="Gelir",$L1114&lt;&gt;"",$T1114=""),"TANIMSIZ BORÇLU",IF($T1114&lt;&gt;"",IF(OR($E1114="",$G1114&lt;=0),"EKSİK",IF($I1114="Evet","TAHAKKUK NAKİT OLAMAZ",IF($C1114&gt;TODAY(),"İLERİ TARİH","TAHAKKUK"))),IF(AND($D1114&lt;&gt;"",$E1114&lt;&gt;"",$G1114&gt;0,$H1114&lt;&gt;"",$I1114&lt;&gt;""),IF($C1114&gt;TODAY(),"İLERİ TARİH",IF(COUNTIF($W$7:$W$1206,$W1114)&gt;1,"MÜKERRER?",IF($AD1114&gt;0,"KAPALI DÖNEM",IF($I1114="Hayır","ÖDENECEK","UYGUN")))),"EKSİK"))))</f>
        <v/>
      </c>
      <c r="Q1114" s="6" t="n"/>
      <c r="R1114" s="6" t="n"/>
      <c r="S1114" s="3">
        <f>IF($L1114="","",UPPER(SUBSTITUTE(SUBSTITUTE(SUBSTITUTE(SUBSTITUTE(SUBSTITUTE(SUBSTITUTE(SUBSTITUTE(SUBSTITUTE(SUBSTITUTE(SUBSTITUTE(SUBSTITUTE(SUBSTITUTE(SUBSTITUTE(SUBSTITUTE(SUBSTITUTE(SUBSTITUTE(SUBSTITUTE(SUBSTITUTE(TRIM($L1114),"'",""),"İ","I"),"ı","I"),"i","I"),"Ş","S"),"ş","S"),"Ğ","G"),"ğ","G"),"Ü","U"),"ü","U"),"Ö","O"),"ö","O"),"Ç","C"),"ç","C"),".",""),",","")," ",""),"-","")))</f>
        <v/>
      </c>
      <c r="T1114" s="3">
        <f>IF(OR($C1114="",$D1114&lt;&gt;"Gelir",$L1114=""),"",IFERROR(INDEX(MUSTERILER!$B$7:$B$106,MATCH($S1114,MUSTERILER!$T$7:$T$106,0)),""))</f>
        <v/>
      </c>
      <c r="U1114" s="3">
        <f>IF($T1114="","",$T1114&amp;"|"&amp;COUNTIFS($T$7:$T1114,$T1114))</f>
        <v/>
      </c>
      <c r="V1114" s="3">
        <f>IF($T1114="",0,1)</f>
        <v/>
      </c>
      <c r="W1114" s="3">
        <f>IF($C1114="","",$D1114&amp;"|"&amp;$E1114&amp;"|"&amp;TEXT($C1114,"0")&amp;"|"&amp;TEXT($G1114,"0")&amp;"|"&amp;$J1114)</f>
        <v/>
      </c>
      <c r="X1114" s="3" t="n"/>
      <c r="Y1114" s="3" t="n"/>
      <c r="Z1114" s="3" t="n"/>
      <c r="AA1114" s="3" t="n"/>
      <c r="AB1114" s="3" t="n"/>
      <c r="AC1114" s="3" t="n"/>
      <c r="AD1114" s="3">
        <f>IF($C1114="",0,SUMPRODUCT((AY_SONU!$O$7:$O$42="Evet")*(AY_SONU!$B$7:$B$42=DATE(YEAR($C1114),MONTH($C1114),1))))</f>
        <v/>
      </c>
    </row>
    <row r="1115">
      <c r="A1115" s="6" t="n"/>
      <c r="B1115" s="113">
        <f>IF($C1115="","","GG"&amp;TEXT(ROW()-6,"00000"))</f>
        <v/>
      </c>
      <c r="C1115" s="220" t="n"/>
      <c r="D1115" s="108" t="n"/>
      <c r="E1115" s="109" t="n"/>
      <c r="F1115" s="109" t="n"/>
      <c r="G1115" s="221" t="n"/>
      <c r="H1115" s="108" t="n"/>
      <c r="I1115" s="108" t="n"/>
      <c r="J1115" s="109" t="n"/>
      <c r="K1115" s="109" t="n"/>
      <c r="L1115" s="108" t="n"/>
      <c r="M1115" s="121">
        <f>IF($C1115="","",IF($D1115="Gider",$E1115,IF($L1115&lt;&gt;"",$L1115,$H1115)))</f>
        <v/>
      </c>
      <c r="N1115" s="121">
        <f>IF($C1115="","",IF($D1115="Gider",$H1115,$E1115))</f>
        <v/>
      </c>
      <c r="O1115" s="226">
        <f>IF($C1115="","",DATE(YEAR($C1115),MONTH($C1115),1))</f>
        <v/>
      </c>
      <c r="P1115" s="113">
        <f>IF($C1115="","",IF(AND($D1115="Gelir",$L1115&lt;&gt;"",$T1115=""),"TANIMSIZ BORÇLU",IF($T1115&lt;&gt;"",IF(OR($E1115="",$G1115&lt;=0),"EKSİK",IF($I1115="Evet","TAHAKKUK NAKİT OLAMAZ",IF($C1115&gt;TODAY(),"İLERİ TARİH","TAHAKKUK"))),IF(AND($D1115&lt;&gt;"",$E1115&lt;&gt;"",$G1115&gt;0,$H1115&lt;&gt;"",$I1115&lt;&gt;""),IF($C1115&gt;TODAY(),"İLERİ TARİH",IF(COUNTIF($W$7:$W$1206,$W1115)&gt;1,"MÜKERRER?",IF($AD1115&gt;0,"KAPALI DÖNEM",IF($I1115="Hayır","ÖDENECEK","UYGUN")))),"EKSİK"))))</f>
        <v/>
      </c>
      <c r="Q1115" s="6" t="n"/>
      <c r="R1115" s="6" t="n"/>
      <c r="S1115" s="3">
        <f>IF($L1115="","",UPPER(SUBSTITUTE(SUBSTITUTE(SUBSTITUTE(SUBSTITUTE(SUBSTITUTE(SUBSTITUTE(SUBSTITUTE(SUBSTITUTE(SUBSTITUTE(SUBSTITUTE(SUBSTITUTE(SUBSTITUTE(SUBSTITUTE(SUBSTITUTE(SUBSTITUTE(SUBSTITUTE(SUBSTITUTE(SUBSTITUTE(TRIM($L1115),"'",""),"İ","I"),"ı","I"),"i","I"),"Ş","S"),"ş","S"),"Ğ","G"),"ğ","G"),"Ü","U"),"ü","U"),"Ö","O"),"ö","O"),"Ç","C"),"ç","C"),".",""),",","")," ",""),"-","")))</f>
        <v/>
      </c>
      <c r="T1115" s="3">
        <f>IF(OR($C1115="",$D1115&lt;&gt;"Gelir",$L1115=""),"",IFERROR(INDEX(MUSTERILER!$B$7:$B$106,MATCH($S1115,MUSTERILER!$T$7:$T$106,0)),""))</f>
        <v/>
      </c>
      <c r="U1115" s="3">
        <f>IF($T1115="","",$T1115&amp;"|"&amp;COUNTIFS($T$7:$T1115,$T1115))</f>
        <v/>
      </c>
      <c r="V1115" s="3">
        <f>IF($T1115="",0,1)</f>
        <v/>
      </c>
      <c r="W1115" s="3">
        <f>IF($C1115="","",$D1115&amp;"|"&amp;$E1115&amp;"|"&amp;TEXT($C1115,"0")&amp;"|"&amp;TEXT($G1115,"0")&amp;"|"&amp;$J1115)</f>
        <v/>
      </c>
      <c r="X1115" s="3" t="n"/>
      <c r="Y1115" s="3" t="n"/>
      <c r="Z1115" s="3" t="n"/>
      <c r="AA1115" s="3" t="n"/>
      <c r="AB1115" s="3" t="n"/>
      <c r="AC1115" s="3" t="n"/>
      <c r="AD1115" s="3">
        <f>IF($C1115="",0,SUMPRODUCT((AY_SONU!$O$7:$O$42="Evet")*(AY_SONU!$B$7:$B$42=DATE(YEAR($C1115),MONTH($C1115),1))))</f>
        <v/>
      </c>
    </row>
    <row r="1116">
      <c r="A1116" s="6" t="n"/>
      <c r="B1116" s="113">
        <f>IF($C1116="","","GG"&amp;TEXT(ROW()-6,"00000"))</f>
        <v/>
      </c>
      <c r="C1116" s="220" t="n"/>
      <c r="D1116" s="108" t="n"/>
      <c r="E1116" s="109" t="n"/>
      <c r="F1116" s="109" t="n"/>
      <c r="G1116" s="221" t="n"/>
      <c r="H1116" s="108" t="n"/>
      <c r="I1116" s="108" t="n"/>
      <c r="J1116" s="109" t="n"/>
      <c r="K1116" s="109" t="n"/>
      <c r="L1116" s="108" t="n"/>
      <c r="M1116" s="121">
        <f>IF($C1116="","",IF($D1116="Gider",$E1116,IF($L1116&lt;&gt;"",$L1116,$H1116)))</f>
        <v/>
      </c>
      <c r="N1116" s="121">
        <f>IF($C1116="","",IF($D1116="Gider",$H1116,$E1116))</f>
        <v/>
      </c>
      <c r="O1116" s="226">
        <f>IF($C1116="","",DATE(YEAR($C1116),MONTH($C1116),1))</f>
        <v/>
      </c>
      <c r="P1116" s="113">
        <f>IF($C1116="","",IF(AND($D1116="Gelir",$L1116&lt;&gt;"",$T1116=""),"TANIMSIZ BORÇLU",IF($T1116&lt;&gt;"",IF(OR($E1116="",$G1116&lt;=0),"EKSİK",IF($I1116="Evet","TAHAKKUK NAKİT OLAMAZ",IF($C1116&gt;TODAY(),"İLERİ TARİH","TAHAKKUK"))),IF(AND($D1116&lt;&gt;"",$E1116&lt;&gt;"",$G1116&gt;0,$H1116&lt;&gt;"",$I1116&lt;&gt;""),IF($C1116&gt;TODAY(),"İLERİ TARİH",IF(COUNTIF($W$7:$W$1206,$W1116)&gt;1,"MÜKERRER?",IF($AD1116&gt;0,"KAPALI DÖNEM",IF($I1116="Hayır","ÖDENECEK","UYGUN")))),"EKSİK"))))</f>
        <v/>
      </c>
      <c r="Q1116" s="6" t="n"/>
      <c r="R1116" s="6" t="n"/>
      <c r="S1116" s="3">
        <f>IF($L1116="","",UPPER(SUBSTITUTE(SUBSTITUTE(SUBSTITUTE(SUBSTITUTE(SUBSTITUTE(SUBSTITUTE(SUBSTITUTE(SUBSTITUTE(SUBSTITUTE(SUBSTITUTE(SUBSTITUTE(SUBSTITUTE(SUBSTITUTE(SUBSTITUTE(SUBSTITUTE(SUBSTITUTE(SUBSTITUTE(SUBSTITUTE(TRIM($L1116),"'",""),"İ","I"),"ı","I"),"i","I"),"Ş","S"),"ş","S"),"Ğ","G"),"ğ","G"),"Ü","U"),"ü","U"),"Ö","O"),"ö","O"),"Ç","C"),"ç","C"),".",""),",","")," ",""),"-","")))</f>
        <v/>
      </c>
      <c r="T1116" s="3">
        <f>IF(OR($C1116="",$D1116&lt;&gt;"Gelir",$L1116=""),"",IFERROR(INDEX(MUSTERILER!$B$7:$B$106,MATCH($S1116,MUSTERILER!$T$7:$T$106,0)),""))</f>
        <v/>
      </c>
      <c r="U1116" s="3">
        <f>IF($T1116="","",$T1116&amp;"|"&amp;COUNTIFS($T$7:$T1116,$T1116))</f>
        <v/>
      </c>
      <c r="V1116" s="3">
        <f>IF($T1116="",0,1)</f>
        <v/>
      </c>
      <c r="W1116" s="3">
        <f>IF($C1116="","",$D1116&amp;"|"&amp;$E1116&amp;"|"&amp;TEXT($C1116,"0")&amp;"|"&amp;TEXT($G1116,"0")&amp;"|"&amp;$J1116)</f>
        <v/>
      </c>
      <c r="X1116" s="3" t="n"/>
      <c r="Y1116" s="3" t="n"/>
      <c r="Z1116" s="3" t="n"/>
      <c r="AA1116" s="3" t="n"/>
      <c r="AB1116" s="3" t="n"/>
      <c r="AC1116" s="3" t="n"/>
      <c r="AD1116" s="3">
        <f>IF($C1116="",0,SUMPRODUCT((AY_SONU!$O$7:$O$42="Evet")*(AY_SONU!$B$7:$B$42=DATE(YEAR($C1116),MONTH($C1116),1))))</f>
        <v/>
      </c>
    </row>
    <row r="1117">
      <c r="A1117" s="6" t="n"/>
      <c r="B1117" s="113">
        <f>IF($C1117="","","GG"&amp;TEXT(ROW()-6,"00000"))</f>
        <v/>
      </c>
      <c r="C1117" s="220" t="n"/>
      <c r="D1117" s="108" t="n"/>
      <c r="E1117" s="109" t="n"/>
      <c r="F1117" s="109" t="n"/>
      <c r="G1117" s="221" t="n"/>
      <c r="H1117" s="108" t="n"/>
      <c r="I1117" s="108" t="n"/>
      <c r="J1117" s="109" t="n"/>
      <c r="K1117" s="109" t="n"/>
      <c r="L1117" s="108" t="n"/>
      <c r="M1117" s="121">
        <f>IF($C1117="","",IF($D1117="Gider",$E1117,IF($L1117&lt;&gt;"",$L1117,$H1117)))</f>
        <v/>
      </c>
      <c r="N1117" s="121">
        <f>IF($C1117="","",IF($D1117="Gider",$H1117,$E1117))</f>
        <v/>
      </c>
      <c r="O1117" s="226">
        <f>IF($C1117="","",DATE(YEAR($C1117),MONTH($C1117),1))</f>
        <v/>
      </c>
      <c r="P1117" s="113">
        <f>IF($C1117="","",IF(AND($D1117="Gelir",$L1117&lt;&gt;"",$T1117=""),"TANIMSIZ BORÇLU",IF($T1117&lt;&gt;"",IF(OR($E1117="",$G1117&lt;=0),"EKSİK",IF($I1117="Evet","TAHAKKUK NAKİT OLAMAZ",IF($C1117&gt;TODAY(),"İLERİ TARİH","TAHAKKUK"))),IF(AND($D1117&lt;&gt;"",$E1117&lt;&gt;"",$G1117&gt;0,$H1117&lt;&gt;"",$I1117&lt;&gt;""),IF($C1117&gt;TODAY(),"İLERİ TARİH",IF(COUNTIF($W$7:$W$1206,$W1117)&gt;1,"MÜKERRER?",IF($AD1117&gt;0,"KAPALI DÖNEM",IF($I1117="Hayır","ÖDENECEK","UYGUN")))),"EKSİK"))))</f>
        <v/>
      </c>
      <c r="Q1117" s="6" t="n"/>
      <c r="R1117" s="6" t="n"/>
      <c r="S1117" s="3">
        <f>IF($L1117="","",UPPER(SUBSTITUTE(SUBSTITUTE(SUBSTITUTE(SUBSTITUTE(SUBSTITUTE(SUBSTITUTE(SUBSTITUTE(SUBSTITUTE(SUBSTITUTE(SUBSTITUTE(SUBSTITUTE(SUBSTITUTE(SUBSTITUTE(SUBSTITUTE(SUBSTITUTE(SUBSTITUTE(SUBSTITUTE(SUBSTITUTE(TRIM($L1117),"'",""),"İ","I"),"ı","I"),"i","I"),"Ş","S"),"ş","S"),"Ğ","G"),"ğ","G"),"Ü","U"),"ü","U"),"Ö","O"),"ö","O"),"Ç","C"),"ç","C"),".",""),",","")," ",""),"-","")))</f>
        <v/>
      </c>
      <c r="T1117" s="3">
        <f>IF(OR($C1117="",$D1117&lt;&gt;"Gelir",$L1117=""),"",IFERROR(INDEX(MUSTERILER!$B$7:$B$106,MATCH($S1117,MUSTERILER!$T$7:$T$106,0)),""))</f>
        <v/>
      </c>
      <c r="U1117" s="3">
        <f>IF($T1117="","",$T1117&amp;"|"&amp;COUNTIFS($T$7:$T1117,$T1117))</f>
        <v/>
      </c>
      <c r="V1117" s="3">
        <f>IF($T1117="",0,1)</f>
        <v/>
      </c>
      <c r="W1117" s="3">
        <f>IF($C1117="","",$D1117&amp;"|"&amp;$E1117&amp;"|"&amp;TEXT($C1117,"0")&amp;"|"&amp;TEXT($G1117,"0")&amp;"|"&amp;$J1117)</f>
        <v/>
      </c>
      <c r="X1117" s="3" t="n"/>
      <c r="Y1117" s="3" t="n"/>
      <c r="Z1117" s="3" t="n"/>
      <c r="AA1117" s="3" t="n"/>
      <c r="AB1117" s="3" t="n"/>
      <c r="AC1117" s="3" t="n"/>
      <c r="AD1117" s="3">
        <f>IF($C1117="",0,SUMPRODUCT((AY_SONU!$O$7:$O$42="Evet")*(AY_SONU!$B$7:$B$42=DATE(YEAR($C1117),MONTH($C1117),1))))</f>
        <v/>
      </c>
    </row>
    <row r="1118">
      <c r="A1118" s="6" t="n"/>
      <c r="B1118" s="113">
        <f>IF($C1118="","","GG"&amp;TEXT(ROW()-6,"00000"))</f>
        <v/>
      </c>
      <c r="C1118" s="220" t="n"/>
      <c r="D1118" s="108" t="n"/>
      <c r="E1118" s="109" t="n"/>
      <c r="F1118" s="109" t="n"/>
      <c r="G1118" s="221" t="n"/>
      <c r="H1118" s="108" t="n"/>
      <c r="I1118" s="108" t="n"/>
      <c r="J1118" s="109" t="n"/>
      <c r="K1118" s="109" t="n"/>
      <c r="L1118" s="108" t="n"/>
      <c r="M1118" s="121">
        <f>IF($C1118="","",IF($D1118="Gider",$E1118,IF($L1118&lt;&gt;"",$L1118,$H1118)))</f>
        <v/>
      </c>
      <c r="N1118" s="121">
        <f>IF($C1118="","",IF($D1118="Gider",$H1118,$E1118))</f>
        <v/>
      </c>
      <c r="O1118" s="226">
        <f>IF($C1118="","",DATE(YEAR($C1118),MONTH($C1118),1))</f>
        <v/>
      </c>
      <c r="P1118" s="113">
        <f>IF($C1118="","",IF(AND($D1118="Gelir",$L1118&lt;&gt;"",$T1118=""),"TANIMSIZ BORÇLU",IF($T1118&lt;&gt;"",IF(OR($E1118="",$G1118&lt;=0),"EKSİK",IF($I1118="Evet","TAHAKKUK NAKİT OLAMAZ",IF($C1118&gt;TODAY(),"İLERİ TARİH","TAHAKKUK"))),IF(AND($D1118&lt;&gt;"",$E1118&lt;&gt;"",$G1118&gt;0,$H1118&lt;&gt;"",$I1118&lt;&gt;""),IF($C1118&gt;TODAY(),"İLERİ TARİH",IF(COUNTIF($W$7:$W$1206,$W1118)&gt;1,"MÜKERRER?",IF($AD1118&gt;0,"KAPALI DÖNEM",IF($I1118="Hayır","ÖDENECEK","UYGUN")))),"EKSİK"))))</f>
        <v/>
      </c>
      <c r="Q1118" s="6" t="n"/>
      <c r="R1118" s="6" t="n"/>
      <c r="S1118" s="3">
        <f>IF($L1118="","",UPPER(SUBSTITUTE(SUBSTITUTE(SUBSTITUTE(SUBSTITUTE(SUBSTITUTE(SUBSTITUTE(SUBSTITUTE(SUBSTITUTE(SUBSTITUTE(SUBSTITUTE(SUBSTITUTE(SUBSTITUTE(SUBSTITUTE(SUBSTITUTE(SUBSTITUTE(SUBSTITUTE(SUBSTITUTE(SUBSTITUTE(TRIM($L1118),"'",""),"İ","I"),"ı","I"),"i","I"),"Ş","S"),"ş","S"),"Ğ","G"),"ğ","G"),"Ü","U"),"ü","U"),"Ö","O"),"ö","O"),"Ç","C"),"ç","C"),".",""),",","")," ",""),"-","")))</f>
        <v/>
      </c>
      <c r="T1118" s="3">
        <f>IF(OR($C1118="",$D1118&lt;&gt;"Gelir",$L1118=""),"",IFERROR(INDEX(MUSTERILER!$B$7:$B$106,MATCH($S1118,MUSTERILER!$T$7:$T$106,0)),""))</f>
        <v/>
      </c>
      <c r="U1118" s="3">
        <f>IF($T1118="","",$T1118&amp;"|"&amp;COUNTIFS($T$7:$T1118,$T1118))</f>
        <v/>
      </c>
      <c r="V1118" s="3">
        <f>IF($T1118="",0,1)</f>
        <v/>
      </c>
      <c r="W1118" s="3">
        <f>IF($C1118="","",$D1118&amp;"|"&amp;$E1118&amp;"|"&amp;TEXT($C1118,"0")&amp;"|"&amp;TEXT($G1118,"0")&amp;"|"&amp;$J1118)</f>
        <v/>
      </c>
      <c r="X1118" s="3" t="n"/>
      <c r="Y1118" s="3" t="n"/>
      <c r="Z1118" s="3" t="n"/>
      <c r="AA1118" s="3" t="n"/>
      <c r="AB1118" s="3" t="n"/>
      <c r="AC1118" s="3" t="n"/>
      <c r="AD1118" s="3">
        <f>IF($C1118="",0,SUMPRODUCT((AY_SONU!$O$7:$O$42="Evet")*(AY_SONU!$B$7:$B$42=DATE(YEAR($C1118),MONTH($C1118),1))))</f>
        <v/>
      </c>
    </row>
    <row r="1119">
      <c r="A1119" s="6" t="n"/>
      <c r="B1119" s="113">
        <f>IF($C1119="","","GG"&amp;TEXT(ROW()-6,"00000"))</f>
        <v/>
      </c>
      <c r="C1119" s="220" t="n"/>
      <c r="D1119" s="108" t="n"/>
      <c r="E1119" s="109" t="n"/>
      <c r="F1119" s="109" t="n"/>
      <c r="G1119" s="221" t="n"/>
      <c r="H1119" s="108" t="n"/>
      <c r="I1119" s="108" t="n"/>
      <c r="J1119" s="109" t="n"/>
      <c r="K1119" s="109" t="n"/>
      <c r="L1119" s="108" t="n"/>
      <c r="M1119" s="121">
        <f>IF($C1119="","",IF($D1119="Gider",$E1119,IF($L1119&lt;&gt;"",$L1119,$H1119)))</f>
        <v/>
      </c>
      <c r="N1119" s="121">
        <f>IF($C1119="","",IF($D1119="Gider",$H1119,$E1119))</f>
        <v/>
      </c>
      <c r="O1119" s="226">
        <f>IF($C1119="","",DATE(YEAR($C1119),MONTH($C1119),1))</f>
        <v/>
      </c>
      <c r="P1119" s="113">
        <f>IF($C1119="","",IF(AND($D1119="Gelir",$L1119&lt;&gt;"",$T1119=""),"TANIMSIZ BORÇLU",IF($T1119&lt;&gt;"",IF(OR($E1119="",$G1119&lt;=0),"EKSİK",IF($I1119="Evet","TAHAKKUK NAKİT OLAMAZ",IF($C1119&gt;TODAY(),"İLERİ TARİH","TAHAKKUK"))),IF(AND($D1119&lt;&gt;"",$E1119&lt;&gt;"",$G1119&gt;0,$H1119&lt;&gt;"",$I1119&lt;&gt;""),IF($C1119&gt;TODAY(),"İLERİ TARİH",IF(COUNTIF($W$7:$W$1206,$W1119)&gt;1,"MÜKERRER?",IF($AD1119&gt;0,"KAPALI DÖNEM",IF($I1119="Hayır","ÖDENECEK","UYGUN")))),"EKSİK"))))</f>
        <v/>
      </c>
      <c r="Q1119" s="6" t="n"/>
      <c r="R1119" s="6" t="n"/>
      <c r="S1119" s="3">
        <f>IF($L1119="","",UPPER(SUBSTITUTE(SUBSTITUTE(SUBSTITUTE(SUBSTITUTE(SUBSTITUTE(SUBSTITUTE(SUBSTITUTE(SUBSTITUTE(SUBSTITUTE(SUBSTITUTE(SUBSTITUTE(SUBSTITUTE(SUBSTITUTE(SUBSTITUTE(SUBSTITUTE(SUBSTITUTE(SUBSTITUTE(SUBSTITUTE(TRIM($L1119),"'",""),"İ","I"),"ı","I"),"i","I"),"Ş","S"),"ş","S"),"Ğ","G"),"ğ","G"),"Ü","U"),"ü","U"),"Ö","O"),"ö","O"),"Ç","C"),"ç","C"),".",""),",","")," ",""),"-","")))</f>
        <v/>
      </c>
      <c r="T1119" s="3">
        <f>IF(OR($C1119="",$D1119&lt;&gt;"Gelir",$L1119=""),"",IFERROR(INDEX(MUSTERILER!$B$7:$B$106,MATCH($S1119,MUSTERILER!$T$7:$T$106,0)),""))</f>
        <v/>
      </c>
      <c r="U1119" s="3">
        <f>IF($T1119="","",$T1119&amp;"|"&amp;COUNTIFS($T$7:$T1119,$T1119))</f>
        <v/>
      </c>
      <c r="V1119" s="3">
        <f>IF($T1119="",0,1)</f>
        <v/>
      </c>
      <c r="W1119" s="3">
        <f>IF($C1119="","",$D1119&amp;"|"&amp;$E1119&amp;"|"&amp;TEXT($C1119,"0")&amp;"|"&amp;TEXT($G1119,"0")&amp;"|"&amp;$J1119)</f>
        <v/>
      </c>
      <c r="X1119" s="3" t="n"/>
      <c r="Y1119" s="3" t="n"/>
      <c r="Z1119" s="3" t="n"/>
      <c r="AA1119" s="3" t="n"/>
      <c r="AB1119" s="3" t="n"/>
      <c r="AC1119" s="3" t="n"/>
      <c r="AD1119" s="3">
        <f>IF($C1119="",0,SUMPRODUCT((AY_SONU!$O$7:$O$42="Evet")*(AY_SONU!$B$7:$B$42=DATE(YEAR($C1119),MONTH($C1119),1))))</f>
        <v/>
      </c>
    </row>
    <row r="1120">
      <c r="A1120" s="6" t="n"/>
      <c r="B1120" s="113">
        <f>IF($C1120="","","GG"&amp;TEXT(ROW()-6,"00000"))</f>
        <v/>
      </c>
      <c r="C1120" s="220" t="n"/>
      <c r="D1120" s="108" t="n"/>
      <c r="E1120" s="109" t="n"/>
      <c r="F1120" s="109" t="n"/>
      <c r="G1120" s="221" t="n"/>
      <c r="H1120" s="108" t="n"/>
      <c r="I1120" s="108" t="n"/>
      <c r="J1120" s="109" t="n"/>
      <c r="K1120" s="109" t="n"/>
      <c r="L1120" s="108" t="n"/>
      <c r="M1120" s="121">
        <f>IF($C1120="","",IF($D1120="Gider",$E1120,IF($L1120&lt;&gt;"",$L1120,$H1120)))</f>
        <v/>
      </c>
      <c r="N1120" s="121">
        <f>IF($C1120="","",IF($D1120="Gider",$H1120,$E1120))</f>
        <v/>
      </c>
      <c r="O1120" s="226">
        <f>IF($C1120="","",DATE(YEAR($C1120),MONTH($C1120),1))</f>
        <v/>
      </c>
      <c r="P1120" s="113">
        <f>IF($C1120="","",IF(AND($D1120="Gelir",$L1120&lt;&gt;"",$T1120=""),"TANIMSIZ BORÇLU",IF($T1120&lt;&gt;"",IF(OR($E1120="",$G1120&lt;=0),"EKSİK",IF($I1120="Evet","TAHAKKUK NAKİT OLAMAZ",IF($C1120&gt;TODAY(),"İLERİ TARİH","TAHAKKUK"))),IF(AND($D1120&lt;&gt;"",$E1120&lt;&gt;"",$G1120&gt;0,$H1120&lt;&gt;"",$I1120&lt;&gt;""),IF($C1120&gt;TODAY(),"İLERİ TARİH",IF(COUNTIF($W$7:$W$1206,$W1120)&gt;1,"MÜKERRER?",IF($AD1120&gt;0,"KAPALI DÖNEM",IF($I1120="Hayır","ÖDENECEK","UYGUN")))),"EKSİK"))))</f>
        <v/>
      </c>
      <c r="Q1120" s="6" t="n"/>
      <c r="R1120" s="6" t="n"/>
      <c r="S1120" s="3">
        <f>IF($L1120="","",UPPER(SUBSTITUTE(SUBSTITUTE(SUBSTITUTE(SUBSTITUTE(SUBSTITUTE(SUBSTITUTE(SUBSTITUTE(SUBSTITUTE(SUBSTITUTE(SUBSTITUTE(SUBSTITUTE(SUBSTITUTE(SUBSTITUTE(SUBSTITUTE(SUBSTITUTE(SUBSTITUTE(SUBSTITUTE(SUBSTITUTE(TRIM($L1120),"'",""),"İ","I"),"ı","I"),"i","I"),"Ş","S"),"ş","S"),"Ğ","G"),"ğ","G"),"Ü","U"),"ü","U"),"Ö","O"),"ö","O"),"Ç","C"),"ç","C"),".",""),",","")," ",""),"-","")))</f>
        <v/>
      </c>
      <c r="T1120" s="3">
        <f>IF(OR($C1120="",$D1120&lt;&gt;"Gelir",$L1120=""),"",IFERROR(INDEX(MUSTERILER!$B$7:$B$106,MATCH($S1120,MUSTERILER!$T$7:$T$106,0)),""))</f>
        <v/>
      </c>
      <c r="U1120" s="3">
        <f>IF($T1120="","",$T1120&amp;"|"&amp;COUNTIFS($T$7:$T1120,$T1120))</f>
        <v/>
      </c>
      <c r="V1120" s="3">
        <f>IF($T1120="",0,1)</f>
        <v/>
      </c>
      <c r="W1120" s="3">
        <f>IF($C1120="","",$D1120&amp;"|"&amp;$E1120&amp;"|"&amp;TEXT($C1120,"0")&amp;"|"&amp;TEXT($G1120,"0")&amp;"|"&amp;$J1120)</f>
        <v/>
      </c>
      <c r="X1120" s="3" t="n"/>
      <c r="Y1120" s="3" t="n"/>
      <c r="Z1120" s="3" t="n"/>
      <c r="AA1120" s="3" t="n"/>
      <c r="AB1120" s="3" t="n"/>
      <c r="AC1120" s="3" t="n"/>
      <c r="AD1120" s="3">
        <f>IF($C1120="",0,SUMPRODUCT((AY_SONU!$O$7:$O$42="Evet")*(AY_SONU!$B$7:$B$42=DATE(YEAR($C1120),MONTH($C1120),1))))</f>
        <v/>
      </c>
    </row>
    <row r="1121">
      <c r="A1121" s="6" t="n"/>
      <c r="B1121" s="113">
        <f>IF($C1121="","","GG"&amp;TEXT(ROW()-6,"00000"))</f>
        <v/>
      </c>
      <c r="C1121" s="220" t="n"/>
      <c r="D1121" s="108" t="n"/>
      <c r="E1121" s="109" t="n"/>
      <c r="F1121" s="109" t="n"/>
      <c r="G1121" s="221" t="n"/>
      <c r="H1121" s="108" t="n"/>
      <c r="I1121" s="108" t="n"/>
      <c r="J1121" s="109" t="n"/>
      <c r="K1121" s="109" t="n"/>
      <c r="L1121" s="108" t="n"/>
      <c r="M1121" s="121">
        <f>IF($C1121="","",IF($D1121="Gider",$E1121,IF($L1121&lt;&gt;"",$L1121,$H1121)))</f>
        <v/>
      </c>
      <c r="N1121" s="121">
        <f>IF($C1121="","",IF($D1121="Gider",$H1121,$E1121))</f>
        <v/>
      </c>
      <c r="O1121" s="226">
        <f>IF($C1121="","",DATE(YEAR($C1121),MONTH($C1121),1))</f>
        <v/>
      </c>
      <c r="P1121" s="113">
        <f>IF($C1121="","",IF(AND($D1121="Gelir",$L1121&lt;&gt;"",$T1121=""),"TANIMSIZ BORÇLU",IF($T1121&lt;&gt;"",IF(OR($E1121="",$G1121&lt;=0),"EKSİK",IF($I1121="Evet","TAHAKKUK NAKİT OLAMAZ",IF($C1121&gt;TODAY(),"İLERİ TARİH","TAHAKKUK"))),IF(AND($D1121&lt;&gt;"",$E1121&lt;&gt;"",$G1121&gt;0,$H1121&lt;&gt;"",$I1121&lt;&gt;""),IF($C1121&gt;TODAY(),"İLERİ TARİH",IF(COUNTIF($W$7:$W$1206,$W1121)&gt;1,"MÜKERRER?",IF($AD1121&gt;0,"KAPALI DÖNEM",IF($I1121="Hayır","ÖDENECEK","UYGUN")))),"EKSİK"))))</f>
        <v/>
      </c>
      <c r="Q1121" s="6" t="n"/>
      <c r="R1121" s="6" t="n"/>
      <c r="S1121" s="3">
        <f>IF($L1121="","",UPPER(SUBSTITUTE(SUBSTITUTE(SUBSTITUTE(SUBSTITUTE(SUBSTITUTE(SUBSTITUTE(SUBSTITUTE(SUBSTITUTE(SUBSTITUTE(SUBSTITUTE(SUBSTITUTE(SUBSTITUTE(SUBSTITUTE(SUBSTITUTE(SUBSTITUTE(SUBSTITUTE(SUBSTITUTE(SUBSTITUTE(TRIM($L1121),"'",""),"İ","I"),"ı","I"),"i","I"),"Ş","S"),"ş","S"),"Ğ","G"),"ğ","G"),"Ü","U"),"ü","U"),"Ö","O"),"ö","O"),"Ç","C"),"ç","C"),".",""),",","")," ",""),"-","")))</f>
        <v/>
      </c>
      <c r="T1121" s="3">
        <f>IF(OR($C1121="",$D1121&lt;&gt;"Gelir",$L1121=""),"",IFERROR(INDEX(MUSTERILER!$B$7:$B$106,MATCH($S1121,MUSTERILER!$T$7:$T$106,0)),""))</f>
        <v/>
      </c>
      <c r="U1121" s="3">
        <f>IF($T1121="","",$T1121&amp;"|"&amp;COUNTIFS($T$7:$T1121,$T1121))</f>
        <v/>
      </c>
      <c r="V1121" s="3">
        <f>IF($T1121="",0,1)</f>
        <v/>
      </c>
      <c r="W1121" s="3">
        <f>IF($C1121="","",$D1121&amp;"|"&amp;$E1121&amp;"|"&amp;TEXT($C1121,"0")&amp;"|"&amp;TEXT($G1121,"0")&amp;"|"&amp;$J1121)</f>
        <v/>
      </c>
      <c r="X1121" s="3" t="n"/>
      <c r="Y1121" s="3" t="n"/>
      <c r="Z1121" s="3" t="n"/>
      <c r="AA1121" s="3" t="n"/>
      <c r="AB1121" s="3" t="n"/>
      <c r="AC1121" s="3" t="n"/>
      <c r="AD1121" s="3">
        <f>IF($C1121="",0,SUMPRODUCT((AY_SONU!$O$7:$O$42="Evet")*(AY_SONU!$B$7:$B$42=DATE(YEAR($C1121),MONTH($C1121),1))))</f>
        <v/>
      </c>
    </row>
    <row r="1122">
      <c r="A1122" s="6" t="n"/>
      <c r="B1122" s="113">
        <f>IF($C1122="","","GG"&amp;TEXT(ROW()-6,"00000"))</f>
        <v/>
      </c>
      <c r="C1122" s="220" t="n"/>
      <c r="D1122" s="108" t="n"/>
      <c r="E1122" s="109" t="n"/>
      <c r="F1122" s="109" t="n"/>
      <c r="G1122" s="221" t="n"/>
      <c r="H1122" s="108" t="n"/>
      <c r="I1122" s="108" t="n"/>
      <c r="J1122" s="109" t="n"/>
      <c r="K1122" s="109" t="n"/>
      <c r="L1122" s="108" t="n"/>
      <c r="M1122" s="121">
        <f>IF($C1122="","",IF($D1122="Gider",$E1122,IF($L1122&lt;&gt;"",$L1122,$H1122)))</f>
        <v/>
      </c>
      <c r="N1122" s="121">
        <f>IF($C1122="","",IF($D1122="Gider",$H1122,$E1122))</f>
        <v/>
      </c>
      <c r="O1122" s="226">
        <f>IF($C1122="","",DATE(YEAR($C1122),MONTH($C1122),1))</f>
        <v/>
      </c>
      <c r="P1122" s="113">
        <f>IF($C1122="","",IF(AND($D1122="Gelir",$L1122&lt;&gt;"",$T1122=""),"TANIMSIZ BORÇLU",IF($T1122&lt;&gt;"",IF(OR($E1122="",$G1122&lt;=0),"EKSİK",IF($I1122="Evet","TAHAKKUK NAKİT OLAMAZ",IF($C1122&gt;TODAY(),"İLERİ TARİH","TAHAKKUK"))),IF(AND($D1122&lt;&gt;"",$E1122&lt;&gt;"",$G1122&gt;0,$H1122&lt;&gt;"",$I1122&lt;&gt;""),IF($C1122&gt;TODAY(),"İLERİ TARİH",IF(COUNTIF($W$7:$W$1206,$W1122)&gt;1,"MÜKERRER?",IF($AD1122&gt;0,"KAPALI DÖNEM",IF($I1122="Hayır","ÖDENECEK","UYGUN")))),"EKSİK"))))</f>
        <v/>
      </c>
      <c r="Q1122" s="6" t="n"/>
      <c r="R1122" s="6" t="n"/>
      <c r="S1122" s="3">
        <f>IF($L1122="","",UPPER(SUBSTITUTE(SUBSTITUTE(SUBSTITUTE(SUBSTITUTE(SUBSTITUTE(SUBSTITUTE(SUBSTITUTE(SUBSTITUTE(SUBSTITUTE(SUBSTITUTE(SUBSTITUTE(SUBSTITUTE(SUBSTITUTE(SUBSTITUTE(SUBSTITUTE(SUBSTITUTE(SUBSTITUTE(SUBSTITUTE(TRIM($L1122),"'",""),"İ","I"),"ı","I"),"i","I"),"Ş","S"),"ş","S"),"Ğ","G"),"ğ","G"),"Ü","U"),"ü","U"),"Ö","O"),"ö","O"),"Ç","C"),"ç","C"),".",""),",","")," ",""),"-","")))</f>
        <v/>
      </c>
      <c r="T1122" s="3">
        <f>IF(OR($C1122="",$D1122&lt;&gt;"Gelir",$L1122=""),"",IFERROR(INDEX(MUSTERILER!$B$7:$B$106,MATCH($S1122,MUSTERILER!$T$7:$T$106,0)),""))</f>
        <v/>
      </c>
      <c r="U1122" s="3">
        <f>IF($T1122="","",$T1122&amp;"|"&amp;COUNTIFS($T$7:$T1122,$T1122))</f>
        <v/>
      </c>
      <c r="V1122" s="3">
        <f>IF($T1122="",0,1)</f>
        <v/>
      </c>
      <c r="W1122" s="3">
        <f>IF($C1122="","",$D1122&amp;"|"&amp;$E1122&amp;"|"&amp;TEXT($C1122,"0")&amp;"|"&amp;TEXT($G1122,"0")&amp;"|"&amp;$J1122)</f>
        <v/>
      </c>
      <c r="X1122" s="3" t="n"/>
      <c r="Y1122" s="3" t="n"/>
      <c r="Z1122" s="3" t="n"/>
      <c r="AA1122" s="3" t="n"/>
      <c r="AB1122" s="3" t="n"/>
      <c r="AC1122" s="3" t="n"/>
      <c r="AD1122" s="3">
        <f>IF($C1122="",0,SUMPRODUCT((AY_SONU!$O$7:$O$42="Evet")*(AY_SONU!$B$7:$B$42=DATE(YEAR($C1122),MONTH($C1122),1))))</f>
        <v/>
      </c>
    </row>
    <row r="1123">
      <c r="A1123" s="6" t="n"/>
      <c r="B1123" s="113">
        <f>IF($C1123="","","GG"&amp;TEXT(ROW()-6,"00000"))</f>
        <v/>
      </c>
      <c r="C1123" s="220" t="n"/>
      <c r="D1123" s="108" t="n"/>
      <c r="E1123" s="109" t="n"/>
      <c r="F1123" s="109" t="n"/>
      <c r="G1123" s="221" t="n"/>
      <c r="H1123" s="108" t="n"/>
      <c r="I1123" s="108" t="n"/>
      <c r="J1123" s="109" t="n"/>
      <c r="K1123" s="109" t="n"/>
      <c r="L1123" s="108" t="n"/>
      <c r="M1123" s="121">
        <f>IF($C1123="","",IF($D1123="Gider",$E1123,IF($L1123&lt;&gt;"",$L1123,$H1123)))</f>
        <v/>
      </c>
      <c r="N1123" s="121">
        <f>IF($C1123="","",IF($D1123="Gider",$H1123,$E1123))</f>
        <v/>
      </c>
      <c r="O1123" s="226">
        <f>IF($C1123="","",DATE(YEAR($C1123),MONTH($C1123),1))</f>
        <v/>
      </c>
      <c r="P1123" s="113">
        <f>IF($C1123="","",IF(AND($D1123="Gelir",$L1123&lt;&gt;"",$T1123=""),"TANIMSIZ BORÇLU",IF($T1123&lt;&gt;"",IF(OR($E1123="",$G1123&lt;=0),"EKSİK",IF($I1123="Evet","TAHAKKUK NAKİT OLAMAZ",IF($C1123&gt;TODAY(),"İLERİ TARİH","TAHAKKUK"))),IF(AND($D1123&lt;&gt;"",$E1123&lt;&gt;"",$G1123&gt;0,$H1123&lt;&gt;"",$I1123&lt;&gt;""),IF($C1123&gt;TODAY(),"İLERİ TARİH",IF(COUNTIF($W$7:$W$1206,$W1123)&gt;1,"MÜKERRER?",IF($AD1123&gt;0,"KAPALI DÖNEM",IF($I1123="Hayır","ÖDENECEK","UYGUN")))),"EKSİK"))))</f>
        <v/>
      </c>
      <c r="Q1123" s="6" t="n"/>
      <c r="R1123" s="6" t="n"/>
      <c r="S1123" s="3">
        <f>IF($L1123="","",UPPER(SUBSTITUTE(SUBSTITUTE(SUBSTITUTE(SUBSTITUTE(SUBSTITUTE(SUBSTITUTE(SUBSTITUTE(SUBSTITUTE(SUBSTITUTE(SUBSTITUTE(SUBSTITUTE(SUBSTITUTE(SUBSTITUTE(SUBSTITUTE(SUBSTITUTE(SUBSTITUTE(SUBSTITUTE(SUBSTITUTE(TRIM($L1123),"'",""),"İ","I"),"ı","I"),"i","I"),"Ş","S"),"ş","S"),"Ğ","G"),"ğ","G"),"Ü","U"),"ü","U"),"Ö","O"),"ö","O"),"Ç","C"),"ç","C"),".",""),",","")," ",""),"-","")))</f>
        <v/>
      </c>
      <c r="T1123" s="3">
        <f>IF(OR($C1123="",$D1123&lt;&gt;"Gelir",$L1123=""),"",IFERROR(INDEX(MUSTERILER!$B$7:$B$106,MATCH($S1123,MUSTERILER!$T$7:$T$106,0)),""))</f>
        <v/>
      </c>
      <c r="U1123" s="3">
        <f>IF($T1123="","",$T1123&amp;"|"&amp;COUNTIFS($T$7:$T1123,$T1123))</f>
        <v/>
      </c>
      <c r="V1123" s="3">
        <f>IF($T1123="",0,1)</f>
        <v/>
      </c>
      <c r="W1123" s="3">
        <f>IF($C1123="","",$D1123&amp;"|"&amp;$E1123&amp;"|"&amp;TEXT($C1123,"0")&amp;"|"&amp;TEXT($G1123,"0")&amp;"|"&amp;$J1123)</f>
        <v/>
      </c>
      <c r="X1123" s="3" t="n"/>
      <c r="Y1123" s="3" t="n"/>
      <c r="Z1123" s="3" t="n"/>
      <c r="AA1123" s="3" t="n"/>
      <c r="AB1123" s="3" t="n"/>
      <c r="AC1123" s="3" t="n"/>
      <c r="AD1123" s="3">
        <f>IF($C1123="",0,SUMPRODUCT((AY_SONU!$O$7:$O$42="Evet")*(AY_SONU!$B$7:$B$42=DATE(YEAR($C1123),MONTH($C1123),1))))</f>
        <v/>
      </c>
    </row>
    <row r="1124">
      <c r="A1124" s="6" t="n"/>
      <c r="B1124" s="113">
        <f>IF($C1124="","","GG"&amp;TEXT(ROW()-6,"00000"))</f>
        <v/>
      </c>
      <c r="C1124" s="220" t="n"/>
      <c r="D1124" s="108" t="n"/>
      <c r="E1124" s="109" t="n"/>
      <c r="F1124" s="109" t="n"/>
      <c r="G1124" s="221" t="n"/>
      <c r="H1124" s="108" t="n"/>
      <c r="I1124" s="108" t="n"/>
      <c r="J1124" s="109" t="n"/>
      <c r="K1124" s="109" t="n"/>
      <c r="L1124" s="108" t="n"/>
      <c r="M1124" s="121">
        <f>IF($C1124="","",IF($D1124="Gider",$E1124,IF($L1124&lt;&gt;"",$L1124,$H1124)))</f>
        <v/>
      </c>
      <c r="N1124" s="121">
        <f>IF($C1124="","",IF($D1124="Gider",$H1124,$E1124))</f>
        <v/>
      </c>
      <c r="O1124" s="226">
        <f>IF($C1124="","",DATE(YEAR($C1124),MONTH($C1124),1))</f>
        <v/>
      </c>
      <c r="P1124" s="113">
        <f>IF($C1124="","",IF(AND($D1124="Gelir",$L1124&lt;&gt;"",$T1124=""),"TANIMSIZ BORÇLU",IF($T1124&lt;&gt;"",IF(OR($E1124="",$G1124&lt;=0),"EKSİK",IF($I1124="Evet","TAHAKKUK NAKİT OLAMAZ",IF($C1124&gt;TODAY(),"İLERİ TARİH","TAHAKKUK"))),IF(AND($D1124&lt;&gt;"",$E1124&lt;&gt;"",$G1124&gt;0,$H1124&lt;&gt;"",$I1124&lt;&gt;""),IF($C1124&gt;TODAY(),"İLERİ TARİH",IF(COUNTIF($W$7:$W$1206,$W1124)&gt;1,"MÜKERRER?",IF($AD1124&gt;0,"KAPALI DÖNEM",IF($I1124="Hayır","ÖDENECEK","UYGUN")))),"EKSİK"))))</f>
        <v/>
      </c>
      <c r="Q1124" s="6" t="n"/>
      <c r="R1124" s="6" t="n"/>
      <c r="S1124" s="3">
        <f>IF($L1124="","",UPPER(SUBSTITUTE(SUBSTITUTE(SUBSTITUTE(SUBSTITUTE(SUBSTITUTE(SUBSTITUTE(SUBSTITUTE(SUBSTITUTE(SUBSTITUTE(SUBSTITUTE(SUBSTITUTE(SUBSTITUTE(SUBSTITUTE(SUBSTITUTE(SUBSTITUTE(SUBSTITUTE(SUBSTITUTE(SUBSTITUTE(TRIM($L1124),"'",""),"İ","I"),"ı","I"),"i","I"),"Ş","S"),"ş","S"),"Ğ","G"),"ğ","G"),"Ü","U"),"ü","U"),"Ö","O"),"ö","O"),"Ç","C"),"ç","C"),".",""),",","")," ",""),"-","")))</f>
        <v/>
      </c>
      <c r="T1124" s="3">
        <f>IF(OR($C1124="",$D1124&lt;&gt;"Gelir",$L1124=""),"",IFERROR(INDEX(MUSTERILER!$B$7:$B$106,MATCH($S1124,MUSTERILER!$T$7:$T$106,0)),""))</f>
        <v/>
      </c>
      <c r="U1124" s="3">
        <f>IF($T1124="","",$T1124&amp;"|"&amp;COUNTIFS($T$7:$T1124,$T1124))</f>
        <v/>
      </c>
      <c r="V1124" s="3">
        <f>IF($T1124="",0,1)</f>
        <v/>
      </c>
      <c r="W1124" s="3">
        <f>IF($C1124="","",$D1124&amp;"|"&amp;$E1124&amp;"|"&amp;TEXT($C1124,"0")&amp;"|"&amp;TEXT($G1124,"0")&amp;"|"&amp;$J1124)</f>
        <v/>
      </c>
      <c r="X1124" s="3" t="n"/>
      <c r="Y1124" s="3" t="n"/>
      <c r="Z1124" s="3" t="n"/>
      <c r="AA1124" s="3" t="n"/>
      <c r="AB1124" s="3" t="n"/>
      <c r="AC1124" s="3" t="n"/>
      <c r="AD1124" s="3">
        <f>IF($C1124="",0,SUMPRODUCT((AY_SONU!$O$7:$O$42="Evet")*(AY_SONU!$B$7:$B$42=DATE(YEAR($C1124),MONTH($C1124),1))))</f>
        <v/>
      </c>
    </row>
    <row r="1125">
      <c r="A1125" s="6" t="n"/>
      <c r="B1125" s="113">
        <f>IF($C1125="","","GG"&amp;TEXT(ROW()-6,"00000"))</f>
        <v/>
      </c>
      <c r="C1125" s="220" t="n"/>
      <c r="D1125" s="108" t="n"/>
      <c r="E1125" s="109" t="n"/>
      <c r="F1125" s="109" t="n"/>
      <c r="G1125" s="221" t="n"/>
      <c r="H1125" s="108" t="n"/>
      <c r="I1125" s="108" t="n"/>
      <c r="J1125" s="109" t="n"/>
      <c r="K1125" s="109" t="n"/>
      <c r="L1125" s="108" t="n"/>
      <c r="M1125" s="121">
        <f>IF($C1125="","",IF($D1125="Gider",$E1125,IF($L1125&lt;&gt;"",$L1125,$H1125)))</f>
        <v/>
      </c>
      <c r="N1125" s="121">
        <f>IF($C1125="","",IF($D1125="Gider",$H1125,$E1125))</f>
        <v/>
      </c>
      <c r="O1125" s="226">
        <f>IF($C1125="","",DATE(YEAR($C1125),MONTH($C1125),1))</f>
        <v/>
      </c>
      <c r="P1125" s="113">
        <f>IF($C1125="","",IF(AND($D1125="Gelir",$L1125&lt;&gt;"",$T1125=""),"TANIMSIZ BORÇLU",IF($T1125&lt;&gt;"",IF(OR($E1125="",$G1125&lt;=0),"EKSİK",IF($I1125="Evet","TAHAKKUK NAKİT OLAMAZ",IF($C1125&gt;TODAY(),"İLERİ TARİH","TAHAKKUK"))),IF(AND($D1125&lt;&gt;"",$E1125&lt;&gt;"",$G1125&gt;0,$H1125&lt;&gt;"",$I1125&lt;&gt;""),IF($C1125&gt;TODAY(),"İLERİ TARİH",IF(COUNTIF($W$7:$W$1206,$W1125)&gt;1,"MÜKERRER?",IF($AD1125&gt;0,"KAPALI DÖNEM",IF($I1125="Hayır","ÖDENECEK","UYGUN")))),"EKSİK"))))</f>
        <v/>
      </c>
      <c r="Q1125" s="6" t="n"/>
      <c r="R1125" s="6" t="n"/>
      <c r="S1125" s="3">
        <f>IF($L1125="","",UPPER(SUBSTITUTE(SUBSTITUTE(SUBSTITUTE(SUBSTITUTE(SUBSTITUTE(SUBSTITUTE(SUBSTITUTE(SUBSTITUTE(SUBSTITUTE(SUBSTITUTE(SUBSTITUTE(SUBSTITUTE(SUBSTITUTE(SUBSTITUTE(SUBSTITUTE(SUBSTITUTE(SUBSTITUTE(SUBSTITUTE(TRIM($L1125),"'",""),"İ","I"),"ı","I"),"i","I"),"Ş","S"),"ş","S"),"Ğ","G"),"ğ","G"),"Ü","U"),"ü","U"),"Ö","O"),"ö","O"),"Ç","C"),"ç","C"),".",""),",","")," ",""),"-","")))</f>
        <v/>
      </c>
      <c r="T1125" s="3">
        <f>IF(OR($C1125="",$D1125&lt;&gt;"Gelir",$L1125=""),"",IFERROR(INDEX(MUSTERILER!$B$7:$B$106,MATCH($S1125,MUSTERILER!$T$7:$T$106,0)),""))</f>
        <v/>
      </c>
      <c r="U1125" s="3">
        <f>IF($T1125="","",$T1125&amp;"|"&amp;COUNTIFS($T$7:$T1125,$T1125))</f>
        <v/>
      </c>
      <c r="V1125" s="3">
        <f>IF($T1125="",0,1)</f>
        <v/>
      </c>
      <c r="W1125" s="3">
        <f>IF($C1125="","",$D1125&amp;"|"&amp;$E1125&amp;"|"&amp;TEXT($C1125,"0")&amp;"|"&amp;TEXT($G1125,"0")&amp;"|"&amp;$J1125)</f>
        <v/>
      </c>
      <c r="X1125" s="3" t="n"/>
      <c r="Y1125" s="3" t="n"/>
      <c r="Z1125" s="3" t="n"/>
      <c r="AA1125" s="3" t="n"/>
      <c r="AB1125" s="3" t="n"/>
      <c r="AC1125" s="3" t="n"/>
      <c r="AD1125" s="3">
        <f>IF($C1125="",0,SUMPRODUCT((AY_SONU!$O$7:$O$42="Evet")*(AY_SONU!$B$7:$B$42=DATE(YEAR($C1125),MONTH($C1125),1))))</f>
        <v/>
      </c>
    </row>
    <row r="1126">
      <c r="A1126" s="6" t="n"/>
      <c r="B1126" s="113">
        <f>IF($C1126="","","GG"&amp;TEXT(ROW()-6,"00000"))</f>
        <v/>
      </c>
      <c r="C1126" s="220" t="n"/>
      <c r="D1126" s="108" t="n"/>
      <c r="E1126" s="109" t="n"/>
      <c r="F1126" s="109" t="n"/>
      <c r="G1126" s="221" t="n"/>
      <c r="H1126" s="108" t="n"/>
      <c r="I1126" s="108" t="n"/>
      <c r="J1126" s="109" t="n"/>
      <c r="K1126" s="109" t="n"/>
      <c r="L1126" s="108" t="n"/>
      <c r="M1126" s="121">
        <f>IF($C1126="","",IF($D1126="Gider",$E1126,IF($L1126&lt;&gt;"",$L1126,$H1126)))</f>
        <v/>
      </c>
      <c r="N1126" s="121">
        <f>IF($C1126="","",IF($D1126="Gider",$H1126,$E1126))</f>
        <v/>
      </c>
      <c r="O1126" s="226">
        <f>IF($C1126="","",DATE(YEAR($C1126),MONTH($C1126),1))</f>
        <v/>
      </c>
      <c r="P1126" s="113">
        <f>IF($C1126="","",IF(AND($D1126="Gelir",$L1126&lt;&gt;"",$T1126=""),"TANIMSIZ BORÇLU",IF($T1126&lt;&gt;"",IF(OR($E1126="",$G1126&lt;=0),"EKSİK",IF($I1126="Evet","TAHAKKUK NAKİT OLAMAZ",IF($C1126&gt;TODAY(),"İLERİ TARİH","TAHAKKUK"))),IF(AND($D1126&lt;&gt;"",$E1126&lt;&gt;"",$G1126&gt;0,$H1126&lt;&gt;"",$I1126&lt;&gt;""),IF($C1126&gt;TODAY(),"İLERİ TARİH",IF(COUNTIF($W$7:$W$1206,$W1126)&gt;1,"MÜKERRER?",IF($AD1126&gt;0,"KAPALI DÖNEM",IF($I1126="Hayır","ÖDENECEK","UYGUN")))),"EKSİK"))))</f>
        <v/>
      </c>
      <c r="Q1126" s="6" t="n"/>
      <c r="R1126" s="6" t="n"/>
      <c r="S1126" s="3">
        <f>IF($L1126="","",UPPER(SUBSTITUTE(SUBSTITUTE(SUBSTITUTE(SUBSTITUTE(SUBSTITUTE(SUBSTITUTE(SUBSTITUTE(SUBSTITUTE(SUBSTITUTE(SUBSTITUTE(SUBSTITUTE(SUBSTITUTE(SUBSTITUTE(SUBSTITUTE(SUBSTITUTE(SUBSTITUTE(SUBSTITUTE(SUBSTITUTE(TRIM($L1126),"'",""),"İ","I"),"ı","I"),"i","I"),"Ş","S"),"ş","S"),"Ğ","G"),"ğ","G"),"Ü","U"),"ü","U"),"Ö","O"),"ö","O"),"Ç","C"),"ç","C"),".",""),",","")," ",""),"-","")))</f>
        <v/>
      </c>
      <c r="T1126" s="3">
        <f>IF(OR($C1126="",$D1126&lt;&gt;"Gelir",$L1126=""),"",IFERROR(INDEX(MUSTERILER!$B$7:$B$106,MATCH($S1126,MUSTERILER!$T$7:$T$106,0)),""))</f>
        <v/>
      </c>
      <c r="U1126" s="3">
        <f>IF($T1126="","",$T1126&amp;"|"&amp;COUNTIFS($T$7:$T1126,$T1126))</f>
        <v/>
      </c>
      <c r="V1126" s="3">
        <f>IF($T1126="",0,1)</f>
        <v/>
      </c>
      <c r="W1126" s="3">
        <f>IF($C1126="","",$D1126&amp;"|"&amp;$E1126&amp;"|"&amp;TEXT($C1126,"0")&amp;"|"&amp;TEXT($G1126,"0")&amp;"|"&amp;$J1126)</f>
        <v/>
      </c>
      <c r="X1126" s="3" t="n"/>
      <c r="Y1126" s="3" t="n"/>
      <c r="Z1126" s="3" t="n"/>
      <c r="AA1126" s="3" t="n"/>
      <c r="AB1126" s="3" t="n"/>
      <c r="AC1126" s="3" t="n"/>
      <c r="AD1126" s="3">
        <f>IF($C1126="",0,SUMPRODUCT((AY_SONU!$O$7:$O$42="Evet")*(AY_SONU!$B$7:$B$42=DATE(YEAR($C1126),MONTH($C1126),1))))</f>
        <v/>
      </c>
    </row>
    <row r="1127">
      <c r="A1127" s="6" t="n"/>
      <c r="B1127" s="113">
        <f>IF($C1127="","","GG"&amp;TEXT(ROW()-6,"00000"))</f>
        <v/>
      </c>
      <c r="C1127" s="220" t="n"/>
      <c r="D1127" s="108" t="n"/>
      <c r="E1127" s="109" t="n"/>
      <c r="F1127" s="109" t="n"/>
      <c r="G1127" s="221" t="n"/>
      <c r="H1127" s="108" t="n"/>
      <c r="I1127" s="108" t="n"/>
      <c r="J1127" s="109" t="n"/>
      <c r="K1127" s="109" t="n"/>
      <c r="L1127" s="108" t="n"/>
      <c r="M1127" s="121">
        <f>IF($C1127="","",IF($D1127="Gider",$E1127,IF($L1127&lt;&gt;"",$L1127,$H1127)))</f>
        <v/>
      </c>
      <c r="N1127" s="121">
        <f>IF($C1127="","",IF($D1127="Gider",$H1127,$E1127))</f>
        <v/>
      </c>
      <c r="O1127" s="226">
        <f>IF($C1127="","",DATE(YEAR($C1127),MONTH($C1127),1))</f>
        <v/>
      </c>
      <c r="P1127" s="113">
        <f>IF($C1127="","",IF(AND($D1127="Gelir",$L1127&lt;&gt;"",$T1127=""),"TANIMSIZ BORÇLU",IF($T1127&lt;&gt;"",IF(OR($E1127="",$G1127&lt;=0),"EKSİK",IF($I1127="Evet","TAHAKKUK NAKİT OLAMAZ",IF($C1127&gt;TODAY(),"İLERİ TARİH","TAHAKKUK"))),IF(AND($D1127&lt;&gt;"",$E1127&lt;&gt;"",$G1127&gt;0,$H1127&lt;&gt;"",$I1127&lt;&gt;""),IF($C1127&gt;TODAY(),"İLERİ TARİH",IF(COUNTIF($W$7:$W$1206,$W1127)&gt;1,"MÜKERRER?",IF($AD1127&gt;0,"KAPALI DÖNEM",IF($I1127="Hayır","ÖDENECEK","UYGUN")))),"EKSİK"))))</f>
        <v/>
      </c>
      <c r="Q1127" s="6" t="n"/>
      <c r="R1127" s="6" t="n"/>
      <c r="S1127" s="3">
        <f>IF($L1127="","",UPPER(SUBSTITUTE(SUBSTITUTE(SUBSTITUTE(SUBSTITUTE(SUBSTITUTE(SUBSTITUTE(SUBSTITUTE(SUBSTITUTE(SUBSTITUTE(SUBSTITUTE(SUBSTITUTE(SUBSTITUTE(SUBSTITUTE(SUBSTITUTE(SUBSTITUTE(SUBSTITUTE(SUBSTITUTE(SUBSTITUTE(TRIM($L1127),"'",""),"İ","I"),"ı","I"),"i","I"),"Ş","S"),"ş","S"),"Ğ","G"),"ğ","G"),"Ü","U"),"ü","U"),"Ö","O"),"ö","O"),"Ç","C"),"ç","C"),".",""),",","")," ",""),"-","")))</f>
        <v/>
      </c>
      <c r="T1127" s="3">
        <f>IF(OR($C1127="",$D1127&lt;&gt;"Gelir",$L1127=""),"",IFERROR(INDEX(MUSTERILER!$B$7:$B$106,MATCH($S1127,MUSTERILER!$T$7:$T$106,0)),""))</f>
        <v/>
      </c>
      <c r="U1127" s="3">
        <f>IF($T1127="","",$T1127&amp;"|"&amp;COUNTIFS($T$7:$T1127,$T1127))</f>
        <v/>
      </c>
      <c r="V1127" s="3">
        <f>IF($T1127="",0,1)</f>
        <v/>
      </c>
      <c r="W1127" s="3">
        <f>IF($C1127="","",$D1127&amp;"|"&amp;$E1127&amp;"|"&amp;TEXT($C1127,"0")&amp;"|"&amp;TEXT($G1127,"0")&amp;"|"&amp;$J1127)</f>
        <v/>
      </c>
      <c r="X1127" s="3" t="n"/>
      <c r="Y1127" s="3" t="n"/>
      <c r="Z1127" s="3" t="n"/>
      <c r="AA1127" s="3" t="n"/>
      <c r="AB1127" s="3" t="n"/>
      <c r="AC1127" s="3" t="n"/>
      <c r="AD1127" s="3">
        <f>IF($C1127="",0,SUMPRODUCT((AY_SONU!$O$7:$O$42="Evet")*(AY_SONU!$B$7:$B$42=DATE(YEAR($C1127),MONTH($C1127),1))))</f>
        <v/>
      </c>
    </row>
    <row r="1128">
      <c r="A1128" s="6" t="n"/>
      <c r="B1128" s="113">
        <f>IF($C1128="","","GG"&amp;TEXT(ROW()-6,"00000"))</f>
        <v/>
      </c>
      <c r="C1128" s="220" t="n"/>
      <c r="D1128" s="108" t="n"/>
      <c r="E1128" s="109" t="n"/>
      <c r="F1128" s="109" t="n"/>
      <c r="G1128" s="221" t="n"/>
      <c r="H1128" s="108" t="n"/>
      <c r="I1128" s="108" t="n"/>
      <c r="J1128" s="109" t="n"/>
      <c r="K1128" s="109" t="n"/>
      <c r="L1128" s="108" t="n"/>
      <c r="M1128" s="121">
        <f>IF($C1128="","",IF($D1128="Gider",$E1128,IF($L1128&lt;&gt;"",$L1128,$H1128)))</f>
        <v/>
      </c>
      <c r="N1128" s="121">
        <f>IF($C1128="","",IF($D1128="Gider",$H1128,$E1128))</f>
        <v/>
      </c>
      <c r="O1128" s="226">
        <f>IF($C1128="","",DATE(YEAR($C1128),MONTH($C1128),1))</f>
        <v/>
      </c>
      <c r="P1128" s="113">
        <f>IF($C1128="","",IF(AND($D1128="Gelir",$L1128&lt;&gt;"",$T1128=""),"TANIMSIZ BORÇLU",IF($T1128&lt;&gt;"",IF(OR($E1128="",$G1128&lt;=0),"EKSİK",IF($I1128="Evet","TAHAKKUK NAKİT OLAMAZ",IF($C1128&gt;TODAY(),"İLERİ TARİH","TAHAKKUK"))),IF(AND($D1128&lt;&gt;"",$E1128&lt;&gt;"",$G1128&gt;0,$H1128&lt;&gt;"",$I1128&lt;&gt;""),IF($C1128&gt;TODAY(),"İLERİ TARİH",IF(COUNTIF($W$7:$W$1206,$W1128)&gt;1,"MÜKERRER?",IF($AD1128&gt;0,"KAPALI DÖNEM",IF($I1128="Hayır","ÖDENECEK","UYGUN")))),"EKSİK"))))</f>
        <v/>
      </c>
      <c r="Q1128" s="6" t="n"/>
      <c r="R1128" s="6" t="n"/>
      <c r="S1128" s="3">
        <f>IF($L1128="","",UPPER(SUBSTITUTE(SUBSTITUTE(SUBSTITUTE(SUBSTITUTE(SUBSTITUTE(SUBSTITUTE(SUBSTITUTE(SUBSTITUTE(SUBSTITUTE(SUBSTITUTE(SUBSTITUTE(SUBSTITUTE(SUBSTITUTE(SUBSTITUTE(SUBSTITUTE(SUBSTITUTE(SUBSTITUTE(SUBSTITUTE(TRIM($L1128),"'",""),"İ","I"),"ı","I"),"i","I"),"Ş","S"),"ş","S"),"Ğ","G"),"ğ","G"),"Ü","U"),"ü","U"),"Ö","O"),"ö","O"),"Ç","C"),"ç","C"),".",""),",","")," ",""),"-","")))</f>
        <v/>
      </c>
      <c r="T1128" s="3">
        <f>IF(OR($C1128="",$D1128&lt;&gt;"Gelir",$L1128=""),"",IFERROR(INDEX(MUSTERILER!$B$7:$B$106,MATCH($S1128,MUSTERILER!$T$7:$T$106,0)),""))</f>
        <v/>
      </c>
      <c r="U1128" s="3">
        <f>IF($T1128="","",$T1128&amp;"|"&amp;COUNTIFS($T$7:$T1128,$T1128))</f>
        <v/>
      </c>
      <c r="V1128" s="3">
        <f>IF($T1128="",0,1)</f>
        <v/>
      </c>
      <c r="W1128" s="3">
        <f>IF($C1128="","",$D1128&amp;"|"&amp;$E1128&amp;"|"&amp;TEXT($C1128,"0")&amp;"|"&amp;TEXT($G1128,"0")&amp;"|"&amp;$J1128)</f>
        <v/>
      </c>
      <c r="X1128" s="3" t="n"/>
      <c r="Y1128" s="3" t="n"/>
      <c r="Z1128" s="3" t="n"/>
      <c r="AA1128" s="3" t="n"/>
      <c r="AB1128" s="3" t="n"/>
      <c r="AC1128" s="3" t="n"/>
      <c r="AD1128" s="3">
        <f>IF($C1128="",0,SUMPRODUCT((AY_SONU!$O$7:$O$42="Evet")*(AY_SONU!$B$7:$B$42=DATE(YEAR($C1128),MONTH($C1128),1))))</f>
        <v/>
      </c>
    </row>
    <row r="1129">
      <c r="A1129" s="6" t="n"/>
      <c r="B1129" s="113">
        <f>IF($C1129="","","GG"&amp;TEXT(ROW()-6,"00000"))</f>
        <v/>
      </c>
      <c r="C1129" s="220" t="n"/>
      <c r="D1129" s="108" t="n"/>
      <c r="E1129" s="109" t="n"/>
      <c r="F1129" s="109" t="n"/>
      <c r="G1129" s="221" t="n"/>
      <c r="H1129" s="108" t="n"/>
      <c r="I1129" s="108" t="n"/>
      <c r="J1129" s="109" t="n"/>
      <c r="K1129" s="109" t="n"/>
      <c r="L1129" s="108" t="n"/>
      <c r="M1129" s="121">
        <f>IF($C1129="","",IF($D1129="Gider",$E1129,IF($L1129&lt;&gt;"",$L1129,$H1129)))</f>
        <v/>
      </c>
      <c r="N1129" s="121">
        <f>IF($C1129="","",IF($D1129="Gider",$H1129,$E1129))</f>
        <v/>
      </c>
      <c r="O1129" s="226">
        <f>IF($C1129="","",DATE(YEAR($C1129),MONTH($C1129),1))</f>
        <v/>
      </c>
      <c r="P1129" s="113">
        <f>IF($C1129="","",IF(AND($D1129="Gelir",$L1129&lt;&gt;"",$T1129=""),"TANIMSIZ BORÇLU",IF($T1129&lt;&gt;"",IF(OR($E1129="",$G1129&lt;=0),"EKSİK",IF($I1129="Evet","TAHAKKUK NAKİT OLAMAZ",IF($C1129&gt;TODAY(),"İLERİ TARİH","TAHAKKUK"))),IF(AND($D1129&lt;&gt;"",$E1129&lt;&gt;"",$G1129&gt;0,$H1129&lt;&gt;"",$I1129&lt;&gt;""),IF($C1129&gt;TODAY(),"İLERİ TARİH",IF(COUNTIF($W$7:$W$1206,$W1129)&gt;1,"MÜKERRER?",IF($AD1129&gt;0,"KAPALI DÖNEM",IF($I1129="Hayır","ÖDENECEK","UYGUN")))),"EKSİK"))))</f>
        <v/>
      </c>
      <c r="Q1129" s="6" t="n"/>
      <c r="R1129" s="6" t="n"/>
      <c r="S1129" s="3">
        <f>IF($L1129="","",UPPER(SUBSTITUTE(SUBSTITUTE(SUBSTITUTE(SUBSTITUTE(SUBSTITUTE(SUBSTITUTE(SUBSTITUTE(SUBSTITUTE(SUBSTITUTE(SUBSTITUTE(SUBSTITUTE(SUBSTITUTE(SUBSTITUTE(SUBSTITUTE(SUBSTITUTE(SUBSTITUTE(SUBSTITUTE(SUBSTITUTE(TRIM($L1129),"'",""),"İ","I"),"ı","I"),"i","I"),"Ş","S"),"ş","S"),"Ğ","G"),"ğ","G"),"Ü","U"),"ü","U"),"Ö","O"),"ö","O"),"Ç","C"),"ç","C"),".",""),",","")," ",""),"-","")))</f>
        <v/>
      </c>
      <c r="T1129" s="3">
        <f>IF(OR($C1129="",$D1129&lt;&gt;"Gelir",$L1129=""),"",IFERROR(INDEX(MUSTERILER!$B$7:$B$106,MATCH($S1129,MUSTERILER!$T$7:$T$106,0)),""))</f>
        <v/>
      </c>
      <c r="U1129" s="3">
        <f>IF($T1129="","",$T1129&amp;"|"&amp;COUNTIFS($T$7:$T1129,$T1129))</f>
        <v/>
      </c>
      <c r="V1129" s="3">
        <f>IF($T1129="",0,1)</f>
        <v/>
      </c>
      <c r="W1129" s="3">
        <f>IF($C1129="","",$D1129&amp;"|"&amp;$E1129&amp;"|"&amp;TEXT($C1129,"0")&amp;"|"&amp;TEXT($G1129,"0")&amp;"|"&amp;$J1129)</f>
        <v/>
      </c>
      <c r="X1129" s="3" t="n"/>
      <c r="Y1129" s="3" t="n"/>
      <c r="Z1129" s="3" t="n"/>
      <c r="AA1129" s="3" t="n"/>
      <c r="AB1129" s="3" t="n"/>
      <c r="AC1129" s="3" t="n"/>
      <c r="AD1129" s="3">
        <f>IF($C1129="",0,SUMPRODUCT((AY_SONU!$O$7:$O$42="Evet")*(AY_SONU!$B$7:$B$42=DATE(YEAR($C1129),MONTH($C1129),1))))</f>
        <v/>
      </c>
    </row>
    <row r="1130">
      <c r="A1130" s="6" t="n"/>
      <c r="B1130" s="113">
        <f>IF($C1130="","","GG"&amp;TEXT(ROW()-6,"00000"))</f>
        <v/>
      </c>
      <c r="C1130" s="220" t="n"/>
      <c r="D1130" s="108" t="n"/>
      <c r="E1130" s="109" t="n"/>
      <c r="F1130" s="109" t="n"/>
      <c r="G1130" s="221" t="n"/>
      <c r="H1130" s="108" t="n"/>
      <c r="I1130" s="108" t="n"/>
      <c r="J1130" s="109" t="n"/>
      <c r="K1130" s="109" t="n"/>
      <c r="L1130" s="108" t="n"/>
      <c r="M1130" s="121">
        <f>IF($C1130="","",IF($D1130="Gider",$E1130,IF($L1130&lt;&gt;"",$L1130,$H1130)))</f>
        <v/>
      </c>
      <c r="N1130" s="121">
        <f>IF($C1130="","",IF($D1130="Gider",$H1130,$E1130))</f>
        <v/>
      </c>
      <c r="O1130" s="226">
        <f>IF($C1130="","",DATE(YEAR($C1130),MONTH($C1130),1))</f>
        <v/>
      </c>
      <c r="P1130" s="113">
        <f>IF($C1130="","",IF(AND($D1130="Gelir",$L1130&lt;&gt;"",$T1130=""),"TANIMSIZ BORÇLU",IF($T1130&lt;&gt;"",IF(OR($E1130="",$G1130&lt;=0),"EKSİK",IF($I1130="Evet","TAHAKKUK NAKİT OLAMAZ",IF($C1130&gt;TODAY(),"İLERİ TARİH","TAHAKKUK"))),IF(AND($D1130&lt;&gt;"",$E1130&lt;&gt;"",$G1130&gt;0,$H1130&lt;&gt;"",$I1130&lt;&gt;""),IF($C1130&gt;TODAY(),"İLERİ TARİH",IF(COUNTIF($W$7:$W$1206,$W1130)&gt;1,"MÜKERRER?",IF($AD1130&gt;0,"KAPALI DÖNEM",IF($I1130="Hayır","ÖDENECEK","UYGUN")))),"EKSİK"))))</f>
        <v/>
      </c>
      <c r="Q1130" s="6" t="n"/>
      <c r="R1130" s="6" t="n"/>
      <c r="S1130" s="3">
        <f>IF($L1130="","",UPPER(SUBSTITUTE(SUBSTITUTE(SUBSTITUTE(SUBSTITUTE(SUBSTITUTE(SUBSTITUTE(SUBSTITUTE(SUBSTITUTE(SUBSTITUTE(SUBSTITUTE(SUBSTITUTE(SUBSTITUTE(SUBSTITUTE(SUBSTITUTE(SUBSTITUTE(SUBSTITUTE(SUBSTITUTE(SUBSTITUTE(TRIM($L1130),"'",""),"İ","I"),"ı","I"),"i","I"),"Ş","S"),"ş","S"),"Ğ","G"),"ğ","G"),"Ü","U"),"ü","U"),"Ö","O"),"ö","O"),"Ç","C"),"ç","C"),".",""),",","")," ",""),"-","")))</f>
        <v/>
      </c>
      <c r="T1130" s="3">
        <f>IF(OR($C1130="",$D1130&lt;&gt;"Gelir",$L1130=""),"",IFERROR(INDEX(MUSTERILER!$B$7:$B$106,MATCH($S1130,MUSTERILER!$T$7:$T$106,0)),""))</f>
        <v/>
      </c>
      <c r="U1130" s="3">
        <f>IF($T1130="","",$T1130&amp;"|"&amp;COUNTIFS($T$7:$T1130,$T1130))</f>
        <v/>
      </c>
      <c r="V1130" s="3">
        <f>IF($T1130="",0,1)</f>
        <v/>
      </c>
      <c r="W1130" s="3">
        <f>IF($C1130="","",$D1130&amp;"|"&amp;$E1130&amp;"|"&amp;TEXT($C1130,"0")&amp;"|"&amp;TEXT($G1130,"0")&amp;"|"&amp;$J1130)</f>
        <v/>
      </c>
      <c r="X1130" s="3" t="n"/>
      <c r="Y1130" s="3" t="n"/>
      <c r="Z1130" s="3" t="n"/>
      <c r="AA1130" s="3" t="n"/>
      <c r="AB1130" s="3" t="n"/>
      <c r="AC1130" s="3" t="n"/>
      <c r="AD1130" s="3">
        <f>IF($C1130="",0,SUMPRODUCT((AY_SONU!$O$7:$O$42="Evet")*(AY_SONU!$B$7:$B$42=DATE(YEAR($C1130),MONTH($C1130),1))))</f>
        <v/>
      </c>
    </row>
    <row r="1131">
      <c r="A1131" s="6" t="n"/>
      <c r="B1131" s="113">
        <f>IF($C1131="","","GG"&amp;TEXT(ROW()-6,"00000"))</f>
        <v/>
      </c>
      <c r="C1131" s="220" t="n"/>
      <c r="D1131" s="108" t="n"/>
      <c r="E1131" s="109" t="n"/>
      <c r="F1131" s="109" t="n"/>
      <c r="G1131" s="221" t="n"/>
      <c r="H1131" s="108" t="n"/>
      <c r="I1131" s="108" t="n"/>
      <c r="J1131" s="109" t="n"/>
      <c r="K1131" s="109" t="n"/>
      <c r="L1131" s="108" t="n"/>
      <c r="M1131" s="121">
        <f>IF($C1131="","",IF($D1131="Gider",$E1131,IF($L1131&lt;&gt;"",$L1131,$H1131)))</f>
        <v/>
      </c>
      <c r="N1131" s="121">
        <f>IF($C1131="","",IF($D1131="Gider",$H1131,$E1131))</f>
        <v/>
      </c>
      <c r="O1131" s="226">
        <f>IF($C1131="","",DATE(YEAR($C1131),MONTH($C1131),1))</f>
        <v/>
      </c>
      <c r="P1131" s="113">
        <f>IF($C1131="","",IF(AND($D1131="Gelir",$L1131&lt;&gt;"",$T1131=""),"TANIMSIZ BORÇLU",IF($T1131&lt;&gt;"",IF(OR($E1131="",$G1131&lt;=0),"EKSİK",IF($I1131="Evet","TAHAKKUK NAKİT OLAMAZ",IF($C1131&gt;TODAY(),"İLERİ TARİH","TAHAKKUK"))),IF(AND($D1131&lt;&gt;"",$E1131&lt;&gt;"",$G1131&gt;0,$H1131&lt;&gt;"",$I1131&lt;&gt;""),IF($C1131&gt;TODAY(),"İLERİ TARİH",IF(COUNTIF($W$7:$W$1206,$W1131)&gt;1,"MÜKERRER?",IF($AD1131&gt;0,"KAPALI DÖNEM",IF($I1131="Hayır","ÖDENECEK","UYGUN")))),"EKSİK"))))</f>
        <v/>
      </c>
      <c r="Q1131" s="6" t="n"/>
      <c r="R1131" s="6" t="n"/>
      <c r="S1131" s="3">
        <f>IF($L1131="","",UPPER(SUBSTITUTE(SUBSTITUTE(SUBSTITUTE(SUBSTITUTE(SUBSTITUTE(SUBSTITUTE(SUBSTITUTE(SUBSTITUTE(SUBSTITUTE(SUBSTITUTE(SUBSTITUTE(SUBSTITUTE(SUBSTITUTE(SUBSTITUTE(SUBSTITUTE(SUBSTITUTE(SUBSTITUTE(SUBSTITUTE(TRIM($L1131),"'",""),"İ","I"),"ı","I"),"i","I"),"Ş","S"),"ş","S"),"Ğ","G"),"ğ","G"),"Ü","U"),"ü","U"),"Ö","O"),"ö","O"),"Ç","C"),"ç","C"),".",""),",","")," ",""),"-","")))</f>
        <v/>
      </c>
      <c r="T1131" s="3">
        <f>IF(OR($C1131="",$D1131&lt;&gt;"Gelir",$L1131=""),"",IFERROR(INDEX(MUSTERILER!$B$7:$B$106,MATCH($S1131,MUSTERILER!$T$7:$T$106,0)),""))</f>
        <v/>
      </c>
      <c r="U1131" s="3">
        <f>IF($T1131="","",$T1131&amp;"|"&amp;COUNTIFS($T$7:$T1131,$T1131))</f>
        <v/>
      </c>
      <c r="V1131" s="3">
        <f>IF($T1131="",0,1)</f>
        <v/>
      </c>
      <c r="W1131" s="3">
        <f>IF($C1131="","",$D1131&amp;"|"&amp;$E1131&amp;"|"&amp;TEXT($C1131,"0")&amp;"|"&amp;TEXT($G1131,"0")&amp;"|"&amp;$J1131)</f>
        <v/>
      </c>
      <c r="X1131" s="3" t="n"/>
      <c r="Y1131" s="3" t="n"/>
      <c r="Z1131" s="3" t="n"/>
      <c r="AA1131" s="3" t="n"/>
      <c r="AB1131" s="3" t="n"/>
      <c r="AC1131" s="3" t="n"/>
      <c r="AD1131" s="3">
        <f>IF($C1131="",0,SUMPRODUCT((AY_SONU!$O$7:$O$42="Evet")*(AY_SONU!$B$7:$B$42=DATE(YEAR($C1131),MONTH($C1131),1))))</f>
        <v/>
      </c>
    </row>
    <row r="1132">
      <c r="A1132" s="6" t="n"/>
      <c r="B1132" s="113">
        <f>IF($C1132="","","GG"&amp;TEXT(ROW()-6,"00000"))</f>
        <v/>
      </c>
      <c r="C1132" s="220" t="n"/>
      <c r="D1132" s="108" t="n"/>
      <c r="E1132" s="109" t="n"/>
      <c r="F1132" s="109" t="n"/>
      <c r="G1132" s="221" t="n"/>
      <c r="H1132" s="108" t="n"/>
      <c r="I1132" s="108" t="n"/>
      <c r="J1132" s="109" t="n"/>
      <c r="K1132" s="109" t="n"/>
      <c r="L1132" s="108" t="n"/>
      <c r="M1132" s="121">
        <f>IF($C1132="","",IF($D1132="Gider",$E1132,IF($L1132&lt;&gt;"",$L1132,$H1132)))</f>
        <v/>
      </c>
      <c r="N1132" s="121">
        <f>IF($C1132="","",IF($D1132="Gider",$H1132,$E1132))</f>
        <v/>
      </c>
      <c r="O1132" s="226">
        <f>IF($C1132="","",DATE(YEAR($C1132),MONTH($C1132),1))</f>
        <v/>
      </c>
      <c r="P1132" s="113">
        <f>IF($C1132="","",IF(AND($D1132="Gelir",$L1132&lt;&gt;"",$T1132=""),"TANIMSIZ BORÇLU",IF($T1132&lt;&gt;"",IF(OR($E1132="",$G1132&lt;=0),"EKSİK",IF($I1132="Evet","TAHAKKUK NAKİT OLAMAZ",IF($C1132&gt;TODAY(),"İLERİ TARİH","TAHAKKUK"))),IF(AND($D1132&lt;&gt;"",$E1132&lt;&gt;"",$G1132&gt;0,$H1132&lt;&gt;"",$I1132&lt;&gt;""),IF($C1132&gt;TODAY(),"İLERİ TARİH",IF(COUNTIF($W$7:$W$1206,$W1132)&gt;1,"MÜKERRER?",IF($AD1132&gt;0,"KAPALI DÖNEM",IF($I1132="Hayır","ÖDENECEK","UYGUN")))),"EKSİK"))))</f>
        <v/>
      </c>
      <c r="Q1132" s="6" t="n"/>
      <c r="R1132" s="6" t="n"/>
      <c r="S1132" s="3">
        <f>IF($L1132="","",UPPER(SUBSTITUTE(SUBSTITUTE(SUBSTITUTE(SUBSTITUTE(SUBSTITUTE(SUBSTITUTE(SUBSTITUTE(SUBSTITUTE(SUBSTITUTE(SUBSTITUTE(SUBSTITUTE(SUBSTITUTE(SUBSTITUTE(SUBSTITUTE(SUBSTITUTE(SUBSTITUTE(SUBSTITUTE(SUBSTITUTE(TRIM($L1132),"'",""),"İ","I"),"ı","I"),"i","I"),"Ş","S"),"ş","S"),"Ğ","G"),"ğ","G"),"Ü","U"),"ü","U"),"Ö","O"),"ö","O"),"Ç","C"),"ç","C"),".",""),",","")," ",""),"-","")))</f>
        <v/>
      </c>
      <c r="T1132" s="3">
        <f>IF(OR($C1132="",$D1132&lt;&gt;"Gelir",$L1132=""),"",IFERROR(INDEX(MUSTERILER!$B$7:$B$106,MATCH($S1132,MUSTERILER!$T$7:$T$106,0)),""))</f>
        <v/>
      </c>
      <c r="U1132" s="3">
        <f>IF($T1132="","",$T1132&amp;"|"&amp;COUNTIFS($T$7:$T1132,$T1132))</f>
        <v/>
      </c>
      <c r="V1132" s="3">
        <f>IF($T1132="",0,1)</f>
        <v/>
      </c>
      <c r="W1132" s="3">
        <f>IF($C1132="","",$D1132&amp;"|"&amp;$E1132&amp;"|"&amp;TEXT($C1132,"0")&amp;"|"&amp;TEXT($G1132,"0")&amp;"|"&amp;$J1132)</f>
        <v/>
      </c>
      <c r="X1132" s="3" t="n"/>
      <c r="Y1132" s="3" t="n"/>
      <c r="Z1132" s="3" t="n"/>
      <c r="AA1132" s="3" t="n"/>
      <c r="AB1132" s="3" t="n"/>
      <c r="AC1132" s="3" t="n"/>
      <c r="AD1132" s="3">
        <f>IF($C1132="",0,SUMPRODUCT((AY_SONU!$O$7:$O$42="Evet")*(AY_SONU!$B$7:$B$42=DATE(YEAR($C1132),MONTH($C1132),1))))</f>
        <v/>
      </c>
    </row>
    <row r="1133">
      <c r="A1133" s="6" t="n"/>
      <c r="B1133" s="113">
        <f>IF($C1133="","","GG"&amp;TEXT(ROW()-6,"00000"))</f>
        <v/>
      </c>
      <c r="C1133" s="220" t="n"/>
      <c r="D1133" s="108" t="n"/>
      <c r="E1133" s="109" t="n"/>
      <c r="F1133" s="109" t="n"/>
      <c r="G1133" s="221" t="n"/>
      <c r="H1133" s="108" t="n"/>
      <c r="I1133" s="108" t="n"/>
      <c r="J1133" s="109" t="n"/>
      <c r="K1133" s="109" t="n"/>
      <c r="L1133" s="108" t="n"/>
      <c r="M1133" s="121">
        <f>IF($C1133="","",IF($D1133="Gider",$E1133,IF($L1133&lt;&gt;"",$L1133,$H1133)))</f>
        <v/>
      </c>
      <c r="N1133" s="121">
        <f>IF($C1133="","",IF($D1133="Gider",$H1133,$E1133))</f>
        <v/>
      </c>
      <c r="O1133" s="226">
        <f>IF($C1133="","",DATE(YEAR($C1133),MONTH($C1133),1))</f>
        <v/>
      </c>
      <c r="P1133" s="113">
        <f>IF($C1133="","",IF(AND($D1133="Gelir",$L1133&lt;&gt;"",$T1133=""),"TANIMSIZ BORÇLU",IF($T1133&lt;&gt;"",IF(OR($E1133="",$G1133&lt;=0),"EKSİK",IF($I1133="Evet","TAHAKKUK NAKİT OLAMAZ",IF($C1133&gt;TODAY(),"İLERİ TARİH","TAHAKKUK"))),IF(AND($D1133&lt;&gt;"",$E1133&lt;&gt;"",$G1133&gt;0,$H1133&lt;&gt;"",$I1133&lt;&gt;""),IF($C1133&gt;TODAY(),"İLERİ TARİH",IF(COUNTIF($W$7:$W$1206,$W1133)&gt;1,"MÜKERRER?",IF($AD1133&gt;0,"KAPALI DÖNEM",IF($I1133="Hayır","ÖDENECEK","UYGUN")))),"EKSİK"))))</f>
        <v/>
      </c>
      <c r="Q1133" s="6" t="n"/>
      <c r="R1133" s="6" t="n"/>
      <c r="S1133" s="3">
        <f>IF($L1133="","",UPPER(SUBSTITUTE(SUBSTITUTE(SUBSTITUTE(SUBSTITUTE(SUBSTITUTE(SUBSTITUTE(SUBSTITUTE(SUBSTITUTE(SUBSTITUTE(SUBSTITUTE(SUBSTITUTE(SUBSTITUTE(SUBSTITUTE(SUBSTITUTE(SUBSTITUTE(SUBSTITUTE(SUBSTITUTE(SUBSTITUTE(TRIM($L1133),"'",""),"İ","I"),"ı","I"),"i","I"),"Ş","S"),"ş","S"),"Ğ","G"),"ğ","G"),"Ü","U"),"ü","U"),"Ö","O"),"ö","O"),"Ç","C"),"ç","C"),".",""),",","")," ",""),"-","")))</f>
        <v/>
      </c>
      <c r="T1133" s="3">
        <f>IF(OR($C1133="",$D1133&lt;&gt;"Gelir",$L1133=""),"",IFERROR(INDEX(MUSTERILER!$B$7:$B$106,MATCH($S1133,MUSTERILER!$T$7:$T$106,0)),""))</f>
        <v/>
      </c>
      <c r="U1133" s="3">
        <f>IF($T1133="","",$T1133&amp;"|"&amp;COUNTIFS($T$7:$T1133,$T1133))</f>
        <v/>
      </c>
      <c r="V1133" s="3">
        <f>IF($T1133="",0,1)</f>
        <v/>
      </c>
      <c r="W1133" s="3">
        <f>IF($C1133="","",$D1133&amp;"|"&amp;$E1133&amp;"|"&amp;TEXT($C1133,"0")&amp;"|"&amp;TEXT($G1133,"0")&amp;"|"&amp;$J1133)</f>
        <v/>
      </c>
      <c r="X1133" s="3" t="n"/>
      <c r="Y1133" s="3" t="n"/>
      <c r="Z1133" s="3" t="n"/>
      <c r="AA1133" s="3" t="n"/>
      <c r="AB1133" s="3" t="n"/>
      <c r="AC1133" s="3" t="n"/>
      <c r="AD1133" s="3">
        <f>IF($C1133="",0,SUMPRODUCT((AY_SONU!$O$7:$O$42="Evet")*(AY_SONU!$B$7:$B$42=DATE(YEAR($C1133),MONTH($C1133),1))))</f>
        <v/>
      </c>
    </row>
    <row r="1134">
      <c r="A1134" s="6" t="n"/>
      <c r="B1134" s="113">
        <f>IF($C1134="","","GG"&amp;TEXT(ROW()-6,"00000"))</f>
        <v/>
      </c>
      <c r="C1134" s="220" t="n"/>
      <c r="D1134" s="108" t="n"/>
      <c r="E1134" s="109" t="n"/>
      <c r="F1134" s="109" t="n"/>
      <c r="G1134" s="221" t="n"/>
      <c r="H1134" s="108" t="n"/>
      <c r="I1134" s="108" t="n"/>
      <c r="J1134" s="109" t="n"/>
      <c r="K1134" s="109" t="n"/>
      <c r="L1134" s="108" t="n"/>
      <c r="M1134" s="121">
        <f>IF($C1134="","",IF($D1134="Gider",$E1134,IF($L1134&lt;&gt;"",$L1134,$H1134)))</f>
        <v/>
      </c>
      <c r="N1134" s="121">
        <f>IF($C1134="","",IF($D1134="Gider",$H1134,$E1134))</f>
        <v/>
      </c>
      <c r="O1134" s="226">
        <f>IF($C1134="","",DATE(YEAR($C1134),MONTH($C1134),1))</f>
        <v/>
      </c>
      <c r="P1134" s="113">
        <f>IF($C1134="","",IF(AND($D1134="Gelir",$L1134&lt;&gt;"",$T1134=""),"TANIMSIZ BORÇLU",IF($T1134&lt;&gt;"",IF(OR($E1134="",$G1134&lt;=0),"EKSİK",IF($I1134="Evet","TAHAKKUK NAKİT OLAMAZ",IF($C1134&gt;TODAY(),"İLERİ TARİH","TAHAKKUK"))),IF(AND($D1134&lt;&gt;"",$E1134&lt;&gt;"",$G1134&gt;0,$H1134&lt;&gt;"",$I1134&lt;&gt;""),IF($C1134&gt;TODAY(),"İLERİ TARİH",IF(COUNTIF($W$7:$W$1206,$W1134)&gt;1,"MÜKERRER?",IF($AD1134&gt;0,"KAPALI DÖNEM",IF($I1134="Hayır","ÖDENECEK","UYGUN")))),"EKSİK"))))</f>
        <v/>
      </c>
      <c r="Q1134" s="6" t="n"/>
      <c r="R1134" s="6" t="n"/>
      <c r="S1134" s="3">
        <f>IF($L1134="","",UPPER(SUBSTITUTE(SUBSTITUTE(SUBSTITUTE(SUBSTITUTE(SUBSTITUTE(SUBSTITUTE(SUBSTITUTE(SUBSTITUTE(SUBSTITUTE(SUBSTITUTE(SUBSTITUTE(SUBSTITUTE(SUBSTITUTE(SUBSTITUTE(SUBSTITUTE(SUBSTITUTE(SUBSTITUTE(SUBSTITUTE(TRIM($L1134),"'",""),"İ","I"),"ı","I"),"i","I"),"Ş","S"),"ş","S"),"Ğ","G"),"ğ","G"),"Ü","U"),"ü","U"),"Ö","O"),"ö","O"),"Ç","C"),"ç","C"),".",""),",","")," ",""),"-","")))</f>
        <v/>
      </c>
      <c r="T1134" s="3">
        <f>IF(OR($C1134="",$D1134&lt;&gt;"Gelir",$L1134=""),"",IFERROR(INDEX(MUSTERILER!$B$7:$B$106,MATCH($S1134,MUSTERILER!$T$7:$T$106,0)),""))</f>
        <v/>
      </c>
      <c r="U1134" s="3">
        <f>IF($T1134="","",$T1134&amp;"|"&amp;COUNTIFS($T$7:$T1134,$T1134))</f>
        <v/>
      </c>
      <c r="V1134" s="3">
        <f>IF($T1134="",0,1)</f>
        <v/>
      </c>
      <c r="W1134" s="3">
        <f>IF($C1134="","",$D1134&amp;"|"&amp;$E1134&amp;"|"&amp;TEXT($C1134,"0")&amp;"|"&amp;TEXT($G1134,"0")&amp;"|"&amp;$J1134)</f>
        <v/>
      </c>
      <c r="X1134" s="3" t="n"/>
      <c r="Y1134" s="3" t="n"/>
      <c r="Z1134" s="3" t="n"/>
      <c r="AA1134" s="3" t="n"/>
      <c r="AB1134" s="3" t="n"/>
      <c r="AC1134" s="3" t="n"/>
      <c r="AD1134" s="3">
        <f>IF($C1134="",0,SUMPRODUCT((AY_SONU!$O$7:$O$42="Evet")*(AY_SONU!$B$7:$B$42=DATE(YEAR($C1134),MONTH($C1134),1))))</f>
        <v/>
      </c>
    </row>
    <row r="1135">
      <c r="A1135" s="6" t="n"/>
      <c r="B1135" s="113">
        <f>IF($C1135="","","GG"&amp;TEXT(ROW()-6,"00000"))</f>
        <v/>
      </c>
      <c r="C1135" s="220" t="n"/>
      <c r="D1135" s="108" t="n"/>
      <c r="E1135" s="109" t="n"/>
      <c r="F1135" s="109" t="n"/>
      <c r="G1135" s="221" t="n"/>
      <c r="H1135" s="108" t="n"/>
      <c r="I1135" s="108" t="n"/>
      <c r="J1135" s="109" t="n"/>
      <c r="K1135" s="109" t="n"/>
      <c r="L1135" s="108" t="n"/>
      <c r="M1135" s="121">
        <f>IF($C1135="","",IF($D1135="Gider",$E1135,IF($L1135&lt;&gt;"",$L1135,$H1135)))</f>
        <v/>
      </c>
      <c r="N1135" s="121">
        <f>IF($C1135="","",IF($D1135="Gider",$H1135,$E1135))</f>
        <v/>
      </c>
      <c r="O1135" s="226">
        <f>IF($C1135="","",DATE(YEAR($C1135),MONTH($C1135),1))</f>
        <v/>
      </c>
      <c r="P1135" s="113">
        <f>IF($C1135="","",IF(AND($D1135="Gelir",$L1135&lt;&gt;"",$T1135=""),"TANIMSIZ BORÇLU",IF($T1135&lt;&gt;"",IF(OR($E1135="",$G1135&lt;=0),"EKSİK",IF($I1135="Evet","TAHAKKUK NAKİT OLAMAZ",IF($C1135&gt;TODAY(),"İLERİ TARİH","TAHAKKUK"))),IF(AND($D1135&lt;&gt;"",$E1135&lt;&gt;"",$G1135&gt;0,$H1135&lt;&gt;"",$I1135&lt;&gt;""),IF($C1135&gt;TODAY(),"İLERİ TARİH",IF(COUNTIF($W$7:$W$1206,$W1135)&gt;1,"MÜKERRER?",IF($AD1135&gt;0,"KAPALI DÖNEM",IF($I1135="Hayır","ÖDENECEK","UYGUN")))),"EKSİK"))))</f>
        <v/>
      </c>
      <c r="Q1135" s="6" t="n"/>
      <c r="R1135" s="6" t="n"/>
      <c r="S1135" s="3">
        <f>IF($L1135="","",UPPER(SUBSTITUTE(SUBSTITUTE(SUBSTITUTE(SUBSTITUTE(SUBSTITUTE(SUBSTITUTE(SUBSTITUTE(SUBSTITUTE(SUBSTITUTE(SUBSTITUTE(SUBSTITUTE(SUBSTITUTE(SUBSTITUTE(SUBSTITUTE(SUBSTITUTE(SUBSTITUTE(SUBSTITUTE(SUBSTITUTE(TRIM($L1135),"'",""),"İ","I"),"ı","I"),"i","I"),"Ş","S"),"ş","S"),"Ğ","G"),"ğ","G"),"Ü","U"),"ü","U"),"Ö","O"),"ö","O"),"Ç","C"),"ç","C"),".",""),",","")," ",""),"-","")))</f>
        <v/>
      </c>
      <c r="T1135" s="3">
        <f>IF(OR($C1135="",$D1135&lt;&gt;"Gelir",$L1135=""),"",IFERROR(INDEX(MUSTERILER!$B$7:$B$106,MATCH($S1135,MUSTERILER!$T$7:$T$106,0)),""))</f>
        <v/>
      </c>
      <c r="U1135" s="3">
        <f>IF($T1135="","",$T1135&amp;"|"&amp;COUNTIFS($T$7:$T1135,$T1135))</f>
        <v/>
      </c>
      <c r="V1135" s="3">
        <f>IF($T1135="",0,1)</f>
        <v/>
      </c>
      <c r="W1135" s="3">
        <f>IF($C1135="","",$D1135&amp;"|"&amp;$E1135&amp;"|"&amp;TEXT($C1135,"0")&amp;"|"&amp;TEXT($G1135,"0")&amp;"|"&amp;$J1135)</f>
        <v/>
      </c>
      <c r="X1135" s="3" t="n"/>
      <c r="Y1135" s="3" t="n"/>
      <c r="Z1135" s="3" t="n"/>
      <c r="AA1135" s="3" t="n"/>
      <c r="AB1135" s="3" t="n"/>
      <c r="AC1135" s="3" t="n"/>
      <c r="AD1135" s="3">
        <f>IF($C1135="",0,SUMPRODUCT((AY_SONU!$O$7:$O$42="Evet")*(AY_SONU!$B$7:$B$42=DATE(YEAR($C1135),MONTH($C1135),1))))</f>
        <v/>
      </c>
    </row>
    <row r="1136">
      <c r="A1136" s="6" t="n"/>
      <c r="B1136" s="113">
        <f>IF($C1136="","","GG"&amp;TEXT(ROW()-6,"00000"))</f>
        <v/>
      </c>
      <c r="C1136" s="220" t="n"/>
      <c r="D1136" s="108" t="n"/>
      <c r="E1136" s="109" t="n"/>
      <c r="F1136" s="109" t="n"/>
      <c r="G1136" s="221" t="n"/>
      <c r="H1136" s="108" t="n"/>
      <c r="I1136" s="108" t="n"/>
      <c r="J1136" s="109" t="n"/>
      <c r="K1136" s="109" t="n"/>
      <c r="L1136" s="108" t="n"/>
      <c r="M1136" s="121">
        <f>IF($C1136="","",IF($D1136="Gider",$E1136,IF($L1136&lt;&gt;"",$L1136,$H1136)))</f>
        <v/>
      </c>
      <c r="N1136" s="121">
        <f>IF($C1136="","",IF($D1136="Gider",$H1136,$E1136))</f>
        <v/>
      </c>
      <c r="O1136" s="226">
        <f>IF($C1136="","",DATE(YEAR($C1136),MONTH($C1136),1))</f>
        <v/>
      </c>
      <c r="P1136" s="113">
        <f>IF($C1136="","",IF(AND($D1136="Gelir",$L1136&lt;&gt;"",$T1136=""),"TANIMSIZ BORÇLU",IF($T1136&lt;&gt;"",IF(OR($E1136="",$G1136&lt;=0),"EKSİK",IF($I1136="Evet","TAHAKKUK NAKİT OLAMAZ",IF($C1136&gt;TODAY(),"İLERİ TARİH","TAHAKKUK"))),IF(AND($D1136&lt;&gt;"",$E1136&lt;&gt;"",$G1136&gt;0,$H1136&lt;&gt;"",$I1136&lt;&gt;""),IF($C1136&gt;TODAY(),"İLERİ TARİH",IF(COUNTIF($W$7:$W$1206,$W1136)&gt;1,"MÜKERRER?",IF($AD1136&gt;0,"KAPALI DÖNEM",IF($I1136="Hayır","ÖDENECEK","UYGUN")))),"EKSİK"))))</f>
        <v/>
      </c>
      <c r="Q1136" s="6" t="n"/>
      <c r="R1136" s="6" t="n"/>
      <c r="S1136" s="3">
        <f>IF($L1136="","",UPPER(SUBSTITUTE(SUBSTITUTE(SUBSTITUTE(SUBSTITUTE(SUBSTITUTE(SUBSTITUTE(SUBSTITUTE(SUBSTITUTE(SUBSTITUTE(SUBSTITUTE(SUBSTITUTE(SUBSTITUTE(SUBSTITUTE(SUBSTITUTE(SUBSTITUTE(SUBSTITUTE(SUBSTITUTE(SUBSTITUTE(TRIM($L1136),"'",""),"İ","I"),"ı","I"),"i","I"),"Ş","S"),"ş","S"),"Ğ","G"),"ğ","G"),"Ü","U"),"ü","U"),"Ö","O"),"ö","O"),"Ç","C"),"ç","C"),".",""),",","")," ",""),"-","")))</f>
        <v/>
      </c>
      <c r="T1136" s="3">
        <f>IF(OR($C1136="",$D1136&lt;&gt;"Gelir",$L1136=""),"",IFERROR(INDEX(MUSTERILER!$B$7:$B$106,MATCH($S1136,MUSTERILER!$T$7:$T$106,0)),""))</f>
        <v/>
      </c>
      <c r="U1136" s="3">
        <f>IF($T1136="","",$T1136&amp;"|"&amp;COUNTIFS($T$7:$T1136,$T1136))</f>
        <v/>
      </c>
      <c r="V1136" s="3">
        <f>IF($T1136="",0,1)</f>
        <v/>
      </c>
      <c r="W1136" s="3">
        <f>IF($C1136="","",$D1136&amp;"|"&amp;$E1136&amp;"|"&amp;TEXT($C1136,"0")&amp;"|"&amp;TEXT($G1136,"0")&amp;"|"&amp;$J1136)</f>
        <v/>
      </c>
      <c r="X1136" s="3" t="n"/>
      <c r="Y1136" s="3" t="n"/>
      <c r="Z1136" s="3" t="n"/>
      <c r="AA1136" s="3" t="n"/>
      <c r="AB1136" s="3" t="n"/>
      <c r="AC1136" s="3" t="n"/>
      <c r="AD1136" s="3">
        <f>IF($C1136="",0,SUMPRODUCT((AY_SONU!$O$7:$O$42="Evet")*(AY_SONU!$B$7:$B$42=DATE(YEAR($C1136),MONTH($C1136),1))))</f>
        <v/>
      </c>
    </row>
    <row r="1137">
      <c r="A1137" s="6" t="n"/>
      <c r="B1137" s="113">
        <f>IF($C1137="","","GG"&amp;TEXT(ROW()-6,"00000"))</f>
        <v/>
      </c>
      <c r="C1137" s="220" t="n"/>
      <c r="D1137" s="108" t="n"/>
      <c r="E1137" s="109" t="n"/>
      <c r="F1137" s="109" t="n"/>
      <c r="G1137" s="221" t="n"/>
      <c r="H1137" s="108" t="n"/>
      <c r="I1137" s="108" t="n"/>
      <c r="J1137" s="109" t="n"/>
      <c r="K1137" s="109" t="n"/>
      <c r="L1137" s="108" t="n"/>
      <c r="M1137" s="121">
        <f>IF($C1137="","",IF($D1137="Gider",$E1137,IF($L1137&lt;&gt;"",$L1137,$H1137)))</f>
        <v/>
      </c>
      <c r="N1137" s="121">
        <f>IF($C1137="","",IF($D1137="Gider",$H1137,$E1137))</f>
        <v/>
      </c>
      <c r="O1137" s="226">
        <f>IF($C1137="","",DATE(YEAR($C1137),MONTH($C1137),1))</f>
        <v/>
      </c>
      <c r="P1137" s="113">
        <f>IF($C1137="","",IF(AND($D1137="Gelir",$L1137&lt;&gt;"",$T1137=""),"TANIMSIZ BORÇLU",IF($T1137&lt;&gt;"",IF(OR($E1137="",$G1137&lt;=0),"EKSİK",IF($I1137="Evet","TAHAKKUK NAKİT OLAMAZ",IF($C1137&gt;TODAY(),"İLERİ TARİH","TAHAKKUK"))),IF(AND($D1137&lt;&gt;"",$E1137&lt;&gt;"",$G1137&gt;0,$H1137&lt;&gt;"",$I1137&lt;&gt;""),IF($C1137&gt;TODAY(),"İLERİ TARİH",IF(COUNTIF($W$7:$W$1206,$W1137)&gt;1,"MÜKERRER?",IF($AD1137&gt;0,"KAPALI DÖNEM",IF($I1137="Hayır","ÖDENECEK","UYGUN")))),"EKSİK"))))</f>
        <v/>
      </c>
      <c r="Q1137" s="6" t="n"/>
      <c r="R1137" s="6" t="n"/>
      <c r="S1137" s="3">
        <f>IF($L1137="","",UPPER(SUBSTITUTE(SUBSTITUTE(SUBSTITUTE(SUBSTITUTE(SUBSTITUTE(SUBSTITUTE(SUBSTITUTE(SUBSTITUTE(SUBSTITUTE(SUBSTITUTE(SUBSTITUTE(SUBSTITUTE(SUBSTITUTE(SUBSTITUTE(SUBSTITUTE(SUBSTITUTE(SUBSTITUTE(SUBSTITUTE(TRIM($L1137),"'",""),"İ","I"),"ı","I"),"i","I"),"Ş","S"),"ş","S"),"Ğ","G"),"ğ","G"),"Ü","U"),"ü","U"),"Ö","O"),"ö","O"),"Ç","C"),"ç","C"),".",""),",","")," ",""),"-","")))</f>
        <v/>
      </c>
      <c r="T1137" s="3">
        <f>IF(OR($C1137="",$D1137&lt;&gt;"Gelir",$L1137=""),"",IFERROR(INDEX(MUSTERILER!$B$7:$B$106,MATCH($S1137,MUSTERILER!$T$7:$T$106,0)),""))</f>
        <v/>
      </c>
      <c r="U1137" s="3">
        <f>IF($T1137="","",$T1137&amp;"|"&amp;COUNTIFS($T$7:$T1137,$T1137))</f>
        <v/>
      </c>
      <c r="V1137" s="3">
        <f>IF($T1137="",0,1)</f>
        <v/>
      </c>
      <c r="W1137" s="3">
        <f>IF($C1137="","",$D1137&amp;"|"&amp;$E1137&amp;"|"&amp;TEXT($C1137,"0")&amp;"|"&amp;TEXT($G1137,"0")&amp;"|"&amp;$J1137)</f>
        <v/>
      </c>
      <c r="X1137" s="3" t="n"/>
      <c r="Y1137" s="3" t="n"/>
      <c r="Z1137" s="3" t="n"/>
      <c r="AA1137" s="3" t="n"/>
      <c r="AB1137" s="3" t="n"/>
      <c r="AC1137" s="3" t="n"/>
      <c r="AD1137" s="3">
        <f>IF($C1137="",0,SUMPRODUCT((AY_SONU!$O$7:$O$42="Evet")*(AY_SONU!$B$7:$B$42=DATE(YEAR($C1137),MONTH($C1137),1))))</f>
        <v/>
      </c>
    </row>
    <row r="1138">
      <c r="A1138" s="6" t="n"/>
      <c r="B1138" s="113">
        <f>IF($C1138="","","GG"&amp;TEXT(ROW()-6,"00000"))</f>
        <v/>
      </c>
      <c r="C1138" s="220" t="n"/>
      <c r="D1138" s="108" t="n"/>
      <c r="E1138" s="109" t="n"/>
      <c r="F1138" s="109" t="n"/>
      <c r="G1138" s="221" t="n"/>
      <c r="H1138" s="108" t="n"/>
      <c r="I1138" s="108" t="n"/>
      <c r="J1138" s="109" t="n"/>
      <c r="K1138" s="109" t="n"/>
      <c r="L1138" s="108" t="n"/>
      <c r="M1138" s="121">
        <f>IF($C1138="","",IF($D1138="Gider",$E1138,IF($L1138&lt;&gt;"",$L1138,$H1138)))</f>
        <v/>
      </c>
      <c r="N1138" s="121">
        <f>IF($C1138="","",IF($D1138="Gider",$H1138,$E1138))</f>
        <v/>
      </c>
      <c r="O1138" s="226">
        <f>IF($C1138="","",DATE(YEAR($C1138),MONTH($C1138),1))</f>
        <v/>
      </c>
      <c r="P1138" s="113">
        <f>IF($C1138="","",IF(AND($D1138="Gelir",$L1138&lt;&gt;"",$T1138=""),"TANIMSIZ BORÇLU",IF($T1138&lt;&gt;"",IF(OR($E1138="",$G1138&lt;=0),"EKSİK",IF($I1138="Evet","TAHAKKUK NAKİT OLAMAZ",IF($C1138&gt;TODAY(),"İLERİ TARİH","TAHAKKUK"))),IF(AND($D1138&lt;&gt;"",$E1138&lt;&gt;"",$G1138&gt;0,$H1138&lt;&gt;"",$I1138&lt;&gt;""),IF($C1138&gt;TODAY(),"İLERİ TARİH",IF(COUNTIF($W$7:$W$1206,$W1138)&gt;1,"MÜKERRER?",IF($AD1138&gt;0,"KAPALI DÖNEM",IF($I1138="Hayır","ÖDENECEK","UYGUN")))),"EKSİK"))))</f>
        <v/>
      </c>
      <c r="Q1138" s="6" t="n"/>
      <c r="R1138" s="6" t="n"/>
      <c r="S1138" s="3">
        <f>IF($L1138="","",UPPER(SUBSTITUTE(SUBSTITUTE(SUBSTITUTE(SUBSTITUTE(SUBSTITUTE(SUBSTITUTE(SUBSTITUTE(SUBSTITUTE(SUBSTITUTE(SUBSTITUTE(SUBSTITUTE(SUBSTITUTE(SUBSTITUTE(SUBSTITUTE(SUBSTITUTE(SUBSTITUTE(SUBSTITUTE(SUBSTITUTE(TRIM($L1138),"'",""),"İ","I"),"ı","I"),"i","I"),"Ş","S"),"ş","S"),"Ğ","G"),"ğ","G"),"Ü","U"),"ü","U"),"Ö","O"),"ö","O"),"Ç","C"),"ç","C"),".",""),",","")," ",""),"-","")))</f>
        <v/>
      </c>
      <c r="T1138" s="3">
        <f>IF(OR($C1138="",$D1138&lt;&gt;"Gelir",$L1138=""),"",IFERROR(INDEX(MUSTERILER!$B$7:$B$106,MATCH($S1138,MUSTERILER!$T$7:$T$106,0)),""))</f>
        <v/>
      </c>
      <c r="U1138" s="3">
        <f>IF($T1138="","",$T1138&amp;"|"&amp;COUNTIFS($T$7:$T1138,$T1138))</f>
        <v/>
      </c>
      <c r="V1138" s="3">
        <f>IF($T1138="",0,1)</f>
        <v/>
      </c>
      <c r="W1138" s="3">
        <f>IF($C1138="","",$D1138&amp;"|"&amp;$E1138&amp;"|"&amp;TEXT($C1138,"0")&amp;"|"&amp;TEXT($G1138,"0")&amp;"|"&amp;$J1138)</f>
        <v/>
      </c>
      <c r="X1138" s="3" t="n"/>
      <c r="Y1138" s="3" t="n"/>
      <c r="Z1138" s="3" t="n"/>
      <c r="AA1138" s="3" t="n"/>
      <c r="AB1138" s="3" t="n"/>
      <c r="AC1138" s="3" t="n"/>
      <c r="AD1138" s="3">
        <f>IF($C1138="",0,SUMPRODUCT((AY_SONU!$O$7:$O$42="Evet")*(AY_SONU!$B$7:$B$42=DATE(YEAR($C1138),MONTH($C1138),1))))</f>
        <v/>
      </c>
    </row>
    <row r="1139">
      <c r="A1139" s="6" t="n"/>
      <c r="B1139" s="113">
        <f>IF($C1139="","","GG"&amp;TEXT(ROW()-6,"00000"))</f>
        <v/>
      </c>
      <c r="C1139" s="220" t="n"/>
      <c r="D1139" s="108" t="n"/>
      <c r="E1139" s="109" t="n"/>
      <c r="F1139" s="109" t="n"/>
      <c r="G1139" s="221" t="n"/>
      <c r="H1139" s="108" t="n"/>
      <c r="I1139" s="108" t="n"/>
      <c r="J1139" s="109" t="n"/>
      <c r="K1139" s="109" t="n"/>
      <c r="L1139" s="108" t="n"/>
      <c r="M1139" s="121">
        <f>IF($C1139="","",IF($D1139="Gider",$E1139,IF($L1139&lt;&gt;"",$L1139,$H1139)))</f>
        <v/>
      </c>
      <c r="N1139" s="121">
        <f>IF($C1139="","",IF($D1139="Gider",$H1139,$E1139))</f>
        <v/>
      </c>
      <c r="O1139" s="226">
        <f>IF($C1139="","",DATE(YEAR($C1139),MONTH($C1139),1))</f>
        <v/>
      </c>
      <c r="P1139" s="113">
        <f>IF($C1139="","",IF(AND($D1139="Gelir",$L1139&lt;&gt;"",$T1139=""),"TANIMSIZ BORÇLU",IF($T1139&lt;&gt;"",IF(OR($E1139="",$G1139&lt;=0),"EKSİK",IF($I1139="Evet","TAHAKKUK NAKİT OLAMAZ",IF($C1139&gt;TODAY(),"İLERİ TARİH","TAHAKKUK"))),IF(AND($D1139&lt;&gt;"",$E1139&lt;&gt;"",$G1139&gt;0,$H1139&lt;&gt;"",$I1139&lt;&gt;""),IF($C1139&gt;TODAY(),"İLERİ TARİH",IF(COUNTIF($W$7:$W$1206,$W1139)&gt;1,"MÜKERRER?",IF($AD1139&gt;0,"KAPALI DÖNEM",IF($I1139="Hayır","ÖDENECEK","UYGUN")))),"EKSİK"))))</f>
        <v/>
      </c>
      <c r="Q1139" s="6" t="n"/>
      <c r="R1139" s="6" t="n"/>
      <c r="S1139" s="3">
        <f>IF($L1139="","",UPPER(SUBSTITUTE(SUBSTITUTE(SUBSTITUTE(SUBSTITUTE(SUBSTITUTE(SUBSTITUTE(SUBSTITUTE(SUBSTITUTE(SUBSTITUTE(SUBSTITUTE(SUBSTITUTE(SUBSTITUTE(SUBSTITUTE(SUBSTITUTE(SUBSTITUTE(SUBSTITUTE(SUBSTITUTE(SUBSTITUTE(TRIM($L1139),"'",""),"İ","I"),"ı","I"),"i","I"),"Ş","S"),"ş","S"),"Ğ","G"),"ğ","G"),"Ü","U"),"ü","U"),"Ö","O"),"ö","O"),"Ç","C"),"ç","C"),".",""),",","")," ",""),"-","")))</f>
        <v/>
      </c>
      <c r="T1139" s="3">
        <f>IF(OR($C1139="",$D1139&lt;&gt;"Gelir",$L1139=""),"",IFERROR(INDEX(MUSTERILER!$B$7:$B$106,MATCH($S1139,MUSTERILER!$T$7:$T$106,0)),""))</f>
        <v/>
      </c>
      <c r="U1139" s="3">
        <f>IF($T1139="","",$T1139&amp;"|"&amp;COUNTIFS($T$7:$T1139,$T1139))</f>
        <v/>
      </c>
      <c r="V1139" s="3">
        <f>IF($T1139="",0,1)</f>
        <v/>
      </c>
      <c r="W1139" s="3">
        <f>IF($C1139="","",$D1139&amp;"|"&amp;$E1139&amp;"|"&amp;TEXT($C1139,"0")&amp;"|"&amp;TEXT($G1139,"0")&amp;"|"&amp;$J1139)</f>
        <v/>
      </c>
      <c r="X1139" s="3" t="n"/>
      <c r="Y1139" s="3" t="n"/>
      <c r="Z1139" s="3" t="n"/>
      <c r="AA1139" s="3" t="n"/>
      <c r="AB1139" s="3" t="n"/>
      <c r="AC1139" s="3" t="n"/>
      <c r="AD1139" s="3">
        <f>IF($C1139="",0,SUMPRODUCT((AY_SONU!$O$7:$O$42="Evet")*(AY_SONU!$B$7:$B$42=DATE(YEAR($C1139),MONTH($C1139),1))))</f>
        <v/>
      </c>
    </row>
    <row r="1140">
      <c r="A1140" s="6" t="n"/>
      <c r="B1140" s="113">
        <f>IF($C1140="","","GG"&amp;TEXT(ROW()-6,"00000"))</f>
        <v/>
      </c>
      <c r="C1140" s="220" t="n"/>
      <c r="D1140" s="108" t="n"/>
      <c r="E1140" s="109" t="n"/>
      <c r="F1140" s="109" t="n"/>
      <c r="G1140" s="221" t="n"/>
      <c r="H1140" s="108" t="n"/>
      <c r="I1140" s="108" t="n"/>
      <c r="J1140" s="109" t="n"/>
      <c r="K1140" s="109" t="n"/>
      <c r="L1140" s="108" t="n"/>
      <c r="M1140" s="121">
        <f>IF($C1140="","",IF($D1140="Gider",$E1140,IF($L1140&lt;&gt;"",$L1140,$H1140)))</f>
        <v/>
      </c>
      <c r="N1140" s="121">
        <f>IF($C1140="","",IF($D1140="Gider",$H1140,$E1140))</f>
        <v/>
      </c>
      <c r="O1140" s="226">
        <f>IF($C1140="","",DATE(YEAR($C1140),MONTH($C1140),1))</f>
        <v/>
      </c>
      <c r="P1140" s="113">
        <f>IF($C1140="","",IF(AND($D1140="Gelir",$L1140&lt;&gt;"",$T1140=""),"TANIMSIZ BORÇLU",IF($T1140&lt;&gt;"",IF(OR($E1140="",$G1140&lt;=0),"EKSİK",IF($I1140="Evet","TAHAKKUK NAKİT OLAMAZ",IF($C1140&gt;TODAY(),"İLERİ TARİH","TAHAKKUK"))),IF(AND($D1140&lt;&gt;"",$E1140&lt;&gt;"",$G1140&gt;0,$H1140&lt;&gt;"",$I1140&lt;&gt;""),IF($C1140&gt;TODAY(),"İLERİ TARİH",IF(COUNTIF($W$7:$W$1206,$W1140)&gt;1,"MÜKERRER?",IF($AD1140&gt;0,"KAPALI DÖNEM",IF($I1140="Hayır","ÖDENECEK","UYGUN")))),"EKSİK"))))</f>
        <v/>
      </c>
      <c r="Q1140" s="6" t="n"/>
      <c r="R1140" s="6" t="n"/>
      <c r="S1140" s="3">
        <f>IF($L1140="","",UPPER(SUBSTITUTE(SUBSTITUTE(SUBSTITUTE(SUBSTITUTE(SUBSTITUTE(SUBSTITUTE(SUBSTITUTE(SUBSTITUTE(SUBSTITUTE(SUBSTITUTE(SUBSTITUTE(SUBSTITUTE(SUBSTITUTE(SUBSTITUTE(SUBSTITUTE(SUBSTITUTE(SUBSTITUTE(SUBSTITUTE(TRIM($L1140),"'",""),"İ","I"),"ı","I"),"i","I"),"Ş","S"),"ş","S"),"Ğ","G"),"ğ","G"),"Ü","U"),"ü","U"),"Ö","O"),"ö","O"),"Ç","C"),"ç","C"),".",""),",","")," ",""),"-","")))</f>
        <v/>
      </c>
      <c r="T1140" s="3">
        <f>IF(OR($C1140="",$D1140&lt;&gt;"Gelir",$L1140=""),"",IFERROR(INDEX(MUSTERILER!$B$7:$B$106,MATCH($S1140,MUSTERILER!$T$7:$T$106,0)),""))</f>
        <v/>
      </c>
      <c r="U1140" s="3">
        <f>IF($T1140="","",$T1140&amp;"|"&amp;COUNTIFS($T$7:$T1140,$T1140))</f>
        <v/>
      </c>
      <c r="V1140" s="3">
        <f>IF($T1140="",0,1)</f>
        <v/>
      </c>
      <c r="W1140" s="3">
        <f>IF($C1140="","",$D1140&amp;"|"&amp;$E1140&amp;"|"&amp;TEXT($C1140,"0")&amp;"|"&amp;TEXT($G1140,"0")&amp;"|"&amp;$J1140)</f>
        <v/>
      </c>
      <c r="X1140" s="3" t="n"/>
      <c r="Y1140" s="3" t="n"/>
      <c r="Z1140" s="3" t="n"/>
      <c r="AA1140" s="3" t="n"/>
      <c r="AB1140" s="3" t="n"/>
      <c r="AC1140" s="3" t="n"/>
      <c r="AD1140" s="3">
        <f>IF($C1140="",0,SUMPRODUCT((AY_SONU!$O$7:$O$42="Evet")*(AY_SONU!$B$7:$B$42=DATE(YEAR($C1140),MONTH($C1140),1))))</f>
        <v/>
      </c>
    </row>
    <row r="1141">
      <c r="A1141" s="6" t="n"/>
      <c r="B1141" s="113">
        <f>IF($C1141="","","GG"&amp;TEXT(ROW()-6,"00000"))</f>
        <v/>
      </c>
      <c r="C1141" s="220" t="n"/>
      <c r="D1141" s="108" t="n"/>
      <c r="E1141" s="109" t="n"/>
      <c r="F1141" s="109" t="n"/>
      <c r="G1141" s="221" t="n"/>
      <c r="H1141" s="108" t="n"/>
      <c r="I1141" s="108" t="n"/>
      <c r="J1141" s="109" t="n"/>
      <c r="K1141" s="109" t="n"/>
      <c r="L1141" s="108" t="n"/>
      <c r="M1141" s="121">
        <f>IF($C1141="","",IF($D1141="Gider",$E1141,IF($L1141&lt;&gt;"",$L1141,$H1141)))</f>
        <v/>
      </c>
      <c r="N1141" s="121">
        <f>IF($C1141="","",IF($D1141="Gider",$H1141,$E1141))</f>
        <v/>
      </c>
      <c r="O1141" s="226">
        <f>IF($C1141="","",DATE(YEAR($C1141),MONTH($C1141),1))</f>
        <v/>
      </c>
      <c r="P1141" s="113">
        <f>IF($C1141="","",IF(AND($D1141="Gelir",$L1141&lt;&gt;"",$T1141=""),"TANIMSIZ BORÇLU",IF($T1141&lt;&gt;"",IF(OR($E1141="",$G1141&lt;=0),"EKSİK",IF($I1141="Evet","TAHAKKUK NAKİT OLAMAZ",IF($C1141&gt;TODAY(),"İLERİ TARİH","TAHAKKUK"))),IF(AND($D1141&lt;&gt;"",$E1141&lt;&gt;"",$G1141&gt;0,$H1141&lt;&gt;"",$I1141&lt;&gt;""),IF($C1141&gt;TODAY(),"İLERİ TARİH",IF(COUNTIF($W$7:$W$1206,$W1141)&gt;1,"MÜKERRER?",IF($AD1141&gt;0,"KAPALI DÖNEM",IF($I1141="Hayır","ÖDENECEK","UYGUN")))),"EKSİK"))))</f>
        <v/>
      </c>
      <c r="Q1141" s="6" t="n"/>
      <c r="R1141" s="6" t="n"/>
      <c r="S1141" s="3">
        <f>IF($L1141="","",UPPER(SUBSTITUTE(SUBSTITUTE(SUBSTITUTE(SUBSTITUTE(SUBSTITUTE(SUBSTITUTE(SUBSTITUTE(SUBSTITUTE(SUBSTITUTE(SUBSTITUTE(SUBSTITUTE(SUBSTITUTE(SUBSTITUTE(SUBSTITUTE(SUBSTITUTE(SUBSTITUTE(SUBSTITUTE(SUBSTITUTE(TRIM($L1141),"'",""),"İ","I"),"ı","I"),"i","I"),"Ş","S"),"ş","S"),"Ğ","G"),"ğ","G"),"Ü","U"),"ü","U"),"Ö","O"),"ö","O"),"Ç","C"),"ç","C"),".",""),",","")," ",""),"-","")))</f>
        <v/>
      </c>
      <c r="T1141" s="3">
        <f>IF(OR($C1141="",$D1141&lt;&gt;"Gelir",$L1141=""),"",IFERROR(INDEX(MUSTERILER!$B$7:$B$106,MATCH($S1141,MUSTERILER!$T$7:$T$106,0)),""))</f>
        <v/>
      </c>
      <c r="U1141" s="3">
        <f>IF($T1141="","",$T1141&amp;"|"&amp;COUNTIFS($T$7:$T1141,$T1141))</f>
        <v/>
      </c>
      <c r="V1141" s="3">
        <f>IF($T1141="",0,1)</f>
        <v/>
      </c>
      <c r="W1141" s="3">
        <f>IF($C1141="","",$D1141&amp;"|"&amp;$E1141&amp;"|"&amp;TEXT($C1141,"0")&amp;"|"&amp;TEXT($G1141,"0")&amp;"|"&amp;$J1141)</f>
        <v/>
      </c>
      <c r="X1141" s="3" t="n"/>
      <c r="Y1141" s="3" t="n"/>
      <c r="Z1141" s="3" t="n"/>
      <c r="AA1141" s="3" t="n"/>
      <c r="AB1141" s="3" t="n"/>
      <c r="AC1141" s="3" t="n"/>
      <c r="AD1141" s="3">
        <f>IF($C1141="",0,SUMPRODUCT((AY_SONU!$O$7:$O$42="Evet")*(AY_SONU!$B$7:$B$42=DATE(YEAR($C1141),MONTH($C1141),1))))</f>
        <v/>
      </c>
    </row>
    <row r="1142">
      <c r="A1142" s="6" t="n"/>
      <c r="B1142" s="113">
        <f>IF($C1142="","","GG"&amp;TEXT(ROW()-6,"00000"))</f>
        <v/>
      </c>
      <c r="C1142" s="220" t="n"/>
      <c r="D1142" s="108" t="n"/>
      <c r="E1142" s="109" t="n"/>
      <c r="F1142" s="109" t="n"/>
      <c r="G1142" s="221" t="n"/>
      <c r="H1142" s="108" t="n"/>
      <c r="I1142" s="108" t="n"/>
      <c r="J1142" s="109" t="n"/>
      <c r="K1142" s="109" t="n"/>
      <c r="L1142" s="108" t="n"/>
      <c r="M1142" s="121">
        <f>IF($C1142="","",IF($D1142="Gider",$E1142,IF($L1142&lt;&gt;"",$L1142,$H1142)))</f>
        <v/>
      </c>
      <c r="N1142" s="121">
        <f>IF($C1142="","",IF($D1142="Gider",$H1142,$E1142))</f>
        <v/>
      </c>
      <c r="O1142" s="226">
        <f>IF($C1142="","",DATE(YEAR($C1142),MONTH($C1142),1))</f>
        <v/>
      </c>
      <c r="P1142" s="113">
        <f>IF($C1142="","",IF(AND($D1142="Gelir",$L1142&lt;&gt;"",$T1142=""),"TANIMSIZ BORÇLU",IF($T1142&lt;&gt;"",IF(OR($E1142="",$G1142&lt;=0),"EKSİK",IF($I1142="Evet","TAHAKKUK NAKİT OLAMAZ",IF($C1142&gt;TODAY(),"İLERİ TARİH","TAHAKKUK"))),IF(AND($D1142&lt;&gt;"",$E1142&lt;&gt;"",$G1142&gt;0,$H1142&lt;&gt;"",$I1142&lt;&gt;""),IF($C1142&gt;TODAY(),"İLERİ TARİH",IF(COUNTIF($W$7:$W$1206,$W1142)&gt;1,"MÜKERRER?",IF($AD1142&gt;0,"KAPALI DÖNEM",IF($I1142="Hayır","ÖDENECEK","UYGUN")))),"EKSİK"))))</f>
        <v/>
      </c>
      <c r="Q1142" s="6" t="n"/>
      <c r="R1142" s="6" t="n"/>
      <c r="S1142" s="3">
        <f>IF($L1142="","",UPPER(SUBSTITUTE(SUBSTITUTE(SUBSTITUTE(SUBSTITUTE(SUBSTITUTE(SUBSTITUTE(SUBSTITUTE(SUBSTITUTE(SUBSTITUTE(SUBSTITUTE(SUBSTITUTE(SUBSTITUTE(SUBSTITUTE(SUBSTITUTE(SUBSTITUTE(SUBSTITUTE(SUBSTITUTE(SUBSTITUTE(TRIM($L1142),"'",""),"İ","I"),"ı","I"),"i","I"),"Ş","S"),"ş","S"),"Ğ","G"),"ğ","G"),"Ü","U"),"ü","U"),"Ö","O"),"ö","O"),"Ç","C"),"ç","C"),".",""),",","")," ",""),"-","")))</f>
        <v/>
      </c>
      <c r="T1142" s="3">
        <f>IF(OR($C1142="",$D1142&lt;&gt;"Gelir",$L1142=""),"",IFERROR(INDEX(MUSTERILER!$B$7:$B$106,MATCH($S1142,MUSTERILER!$T$7:$T$106,0)),""))</f>
        <v/>
      </c>
      <c r="U1142" s="3">
        <f>IF($T1142="","",$T1142&amp;"|"&amp;COUNTIFS($T$7:$T1142,$T1142))</f>
        <v/>
      </c>
      <c r="V1142" s="3">
        <f>IF($T1142="",0,1)</f>
        <v/>
      </c>
      <c r="W1142" s="3">
        <f>IF($C1142="","",$D1142&amp;"|"&amp;$E1142&amp;"|"&amp;TEXT($C1142,"0")&amp;"|"&amp;TEXT($G1142,"0")&amp;"|"&amp;$J1142)</f>
        <v/>
      </c>
      <c r="X1142" s="3" t="n"/>
      <c r="Y1142" s="3" t="n"/>
      <c r="Z1142" s="3" t="n"/>
      <c r="AA1142" s="3" t="n"/>
      <c r="AB1142" s="3" t="n"/>
      <c r="AC1142" s="3" t="n"/>
      <c r="AD1142" s="3">
        <f>IF($C1142="",0,SUMPRODUCT((AY_SONU!$O$7:$O$42="Evet")*(AY_SONU!$B$7:$B$42=DATE(YEAR($C1142),MONTH($C1142),1))))</f>
        <v/>
      </c>
    </row>
    <row r="1143">
      <c r="A1143" s="6" t="n"/>
      <c r="B1143" s="113">
        <f>IF($C1143="","","GG"&amp;TEXT(ROW()-6,"00000"))</f>
        <v/>
      </c>
      <c r="C1143" s="220" t="n"/>
      <c r="D1143" s="108" t="n"/>
      <c r="E1143" s="109" t="n"/>
      <c r="F1143" s="109" t="n"/>
      <c r="G1143" s="221" t="n"/>
      <c r="H1143" s="108" t="n"/>
      <c r="I1143" s="108" t="n"/>
      <c r="J1143" s="109" t="n"/>
      <c r="K1143" s="109" t="n"/>
      <c r="L1143" s="108" t="n"/>
      <c r="M1143" s="121">
        <f>IF($C1143="","",IF($D1143="Gider",$E1143,IF($L1143&lt;&gt;"",$L1143,$H1143)))</f>
        <v/>
      </c>
      <c r="N1143" s="121">
        <f>IF($C1143="","",IF($D1143="Gider",$H1143,$E1143))</f>
        <v/>
      </c>
      <c r="O1143" s="226">
        <f>IF($C1143="","",DATE(YEAR($C1143),MONTH($C1143),1))</f>
        <v/>
      </c>
      <c r="P1143" s="113">
        <f>IF($C1143="","",IF(AND($D1143="Gelir",$L1143&lt;&gt;"",$T1143=""),"TANIMSIZ BORÇLU",IF($T1143&lt;&gt;"",IF(OR($E1143="",$G1143&lt;=0),"EKSİK",IF($I1143="Evet","TAHAKKUK NAKİT OLAMAZ",IF($C1143&gt;TODAY(),"İLERİ TARİH","TAHAKKUK"))),IF(AND($D1143&lt;&gt;"",$E1143&lt;&gt;"",$G1143&gt;0,$H1143&lt;&gt;"",$I1143&lt;&gt;""),IF($C1143&gt;TODAY(),"İLERİ TARİH",IF(COUNTIF($W$7:$W$1206,$W1143)&gt;1,"MÜKERRER?",IF($AD1143&gt;0,"KAPALI DÖNEM",IF($I1143="Hayır","ÖDENECEK","UYGUN")))),"EKSİK"))))</f>
        <v/>
      </c>
      <c r="Q1143" s="6" t="n"/>
      <c r="R1143" s="6" t="n"/>
      <c r="S1143" s="3">
        <f>IF($L1143="","",UPPER(SUBSTITUTE(SUBSTITUTE(SUBSTITUTE(SUBSTITUTE(SUBSTITUTE(SUBSTITUTE(SUBSTITUTE(SUBSTITUTE(SUBSTITUTE(SUBSTITUTE(SUBSTITUTE(SUBSTITUTE(SUBSTITUTE(SUBSTITUTE(SUBSTITUTE(SUBSTITUTE(SUBSTITUTE(SUBSTITUTE(TRIM($L1143),"'",""),"İ","I"),"ı","I"),"i","I"),"Ş","S"),"ş","S"),"Ğ","G"),"ğ","G"),"Ü","U"),"ü","U"),"Ö","O"),"ö","O"),"Ç","C"),"ç","C"),".",""),",","")," ",""),"-","")))</f>
        <v/>
      </c>
      <c r="T1143" s="3">
        <f>IF(OR($C1143="",$D1143&lt;&gt;"Gelir",$L1143=""),"",IFERROR(INDEX(MUSTERILER!$B$7:$B$106,MATCH($S1143,MUSTERILER!$T$7:$T$106,0)),""))</f>
        <v/>
      </c>
      <c r="U1143" s="3">
        <f>IF($T1143="","",$T1143&amp;"|"&amp;COUNTIFS($T$7:$T1143,$T1143))</f>
        <v/>
      </c>
      <c r="V1143" s="3">
        <f>IF($T1143="",0,1)</f>
        <v/>
      </c>
      <c r="W1143" s="3">
        <f>IF($C1143="","",$D1143&amp;"|"&amp;$E1143&amp;"|"&amp;TEXT($C1143,"0")&amp;"|"&amp;TEXT($G1143,"0")&amp;"|"&amp;$J1143)</f>
        <v/>
      </c>
      <c r="X1143" s="3" t="n"/>
      <c r="Y1143" s="3" t="n"/>
      <c r="Z1143" s="3" t="n"/>
      <c r="AA1143" s="3" t="n"/>
      <c r="AB1143" s="3" t="n"/>
      <c r="AC1143" s="3" t="n"/>
      <c r="AD1143" s="3">
        <f>IF($C1143="",0,SUMPRODUCT((AY_SONU!$O$7:$O$42="Evet")*(AY_SONU!$B$7:$B$42=DATE(YEAR($C1143),MONTH($C1143),1))))</f>
        <v/>
      </c>
    </row>
    <row r="1144">
      <c r="A1144" s="6" t="n"/>
      <c r="B1144" s="113">
        <f>IF($C1144="","","GG"&amp;TEXT(ROW()-6,"00000"))</f>
        <v/>
      </c>
      <c r="C1144" s="220" t="n"/>
      <c r="D1144" s="108" t="n"/>
      <c r="E1144" s="109" t="n"/>
      <c r="F1144" s="109" t="n"/>
      <c r="G1144" s="221" t="n"/>
      <c r="H1144" s="108" t="n"/>
      <c r="I1144" s="108" t="n"/>
      <c r="J1144" s="109" t="n"/>
      <c r="K1144" s="109" t="n"/>
      <c r="L1144" s="108" t="n"/>
      <c r="M1144" s="121">
        <f>IF($C1144="","",IF($D1144="Gider",$E1144,IF($L1144&lt;&gt;"",$L1144,$H1144)))</f>
        <v/>
      </c>
      <c r="N1144" s="121">
        <f>IF($C1144="","",IF($D1144="Gider",$H1144,$E1144))</f>
        <v/>
      </c>
      <c r="O1144" s="226">
        <f>IF($C1144="","",DATE(YEAR($C1144),MONTH($C1144),1))</f>
        <v/>
      </c>
      <c r="P1144" s="113">
        <f>IF($C1144="","",IF(AND($D1144="Gelir",$L1144&lt;&gt;"",$T1144=""),"TANIMSIZ BORÇLU",IF($T1144&lt;&gt;"",IF(OR($E1144="",$G1144&lt;=0),"EKSİK",IF($I1144="Evet","TAHAKKUK NAKİT OLAMAZ",IF($C1144&gt;TODAY(),"İLERİ TARİH","TAHAKKUK"))),IF(AND($D1144&lt;&gt;"",$E1144&lt;&gt;"",$G1144&gt;0,$H1144&lt;&gt;"",$I1144&lt;&gt;""),IF($C1144&gt;TODAY(),"İLERİ TARİH",IF(COUNTIF($W$7:$W$1206,$W1144)&gt;1,"MÜKERRER?",IF($AD1144&gt;0,"KAPALI DÖNEM",IF($I1144="Hayır","ÖDENECEK","UYGUN")))),"EKSİK"))))</f>
        <v/>
      </c>
      <c r="Q1144" s="6" t="n"/>
      <c r="R1144" s="6" t="n"/>
      <c r="S1144" s="3">
        <f>IF($L1144="","",UPPER(SUBSTITUTE(SUBSTITUTE(SUBSTITUTE(SUBSTITUTE(SUBSTITUTE(SUBSTITUTE(SUBSTITUTE(SUBSTITUTE(SUBSTITUTE(SUBSTITUTE(SUBSTITUTE(SUBSTITUTE(SUBSTITUTE(SUBSTITUTE(SUBSTITUTE(SUBSTITUTE(SUBSTITUTE(SUBSTITUTE(TRIM($L1144),"'",""),"İ","I"),"ı","I"),"i","I"),"Ş","S"),"ş","S"),"Ğ","G"),"ğ","G"),"Ü","U"),"ü","U"),"Ö","O"),"ö","O"),"Ç","C"),"ç","C"),".",""),",","")," ",""),"-","")))</f>
        <v/>
      </c>
      <c r="T1144" s="3">
        <f>IF(OR($C1144="",$D1144&lt;&gt;"Gelir",$L1144=""),"",IFERROR(INDEX(MUSTERILER!$B$7:$B$106,MATCH($S1144,MUSTERILER!$T$7:$T$106,0)),""))</f>
        <v/>
      </c>
      <c r="U1144" s="3">
        <f>IF($T1144="","",$T1144&amp;"|"&amp;COUNTIFS($T$7:$T1144,$T1144))</f>
        <v/>
      </c>
      <c r="V1144" s="3">
        <f>IF($T1144="",0,1)</f>
        <v/>
      </c>
      <c r="W1144" s="3">
        <f>IF($C1144="","",$D1144&amp;"|"&amp;$E1144&amp;"|"&amp;TEXT($C1144,"0")&amp;"|"&amp;TEXT($G1144,"0")&amp;"|"&amp;$J1144)</f>
        <v/>
      </c>
      <c r="X1144" s="3" t="n"/>
      <c r="Y1144" s="3" t="n"/>
      <c r="Z1144" s="3" t="n"/>
      <c r="AA1144" s="3" t="n"/>
      <c r="AB1144" s="3" t="n"/>
      <c r="AC1144" s="3" t="n"/>
      <c r="AD1144" s="3">
        <f>IF($C1144="",0,SUMPRODUCT((AY_SONU!$O$7:$O$42="Evet")*(AY_SONU!$B$7:$B$42=DATE(YEAR($C1144),MONTH($C1144),1))))</f>
        <v/>
      </c>
    </row>
    <row r="1145">
      <c r="A1145" s="6" t="n"/>
      <c r="B1145" s="113">
        <f>IF($C1145="","","GG"&amp;TEXT(ROW()-6,"00000"))</f>
        <v/>
      </c>
      <c r="C1145" s="220" t="n"/>
      <c r="D1145" s="108" t="n"/>
      <c r="E1145" s="109" t="n"/>
      <c r="F1145" s="109" t="n"/>
      <c r="G1145" s="221" t="n"/>
      <c r="H1145" s="108" t="n"/>
      <c r="I1145" s="108" t="n"/>
      <c r="J1145" s="109" t="n"/>
      <c r="K1145" s="109" t="n"/>
      <c r="L1145" s="108" t="n"/>
      <c r="M1145" s="121">
        <f>IF($C1145="","",IF($D1145="Gider",$E1145,IF($L1145&lt;&gt;"",$L1145,$H1145)))</f>
        <v/>
      </c>
      <c r="N1145" s="121">
        <f>IF($C1145="","",IF($D1145="Gider",$H1145,$E1145))</f>
        <v/>
      </c>
      <c r="O1145" s="226">
        <f>IF($C1145="","",DATE(YEAR($C1145),MONTH($C1145),1))</f>
        <v/>
      </c>
      <c r="P1145" s="113">
        <f>IF($C1145="","",IF(AND($D1145="Gelir",$L1145&lt;&gt;"",$T1145=""),"TANIMSIZ BORÇLU",IF($T1145&lt;&gt;"",IF(OR($E1145="",$G1145&lt;=0),"EKSİK",IF($I1145="Evet","TAHAKKUK NAKİT OLAMAZ",IF($C1145&gt;TODAY(),"İLERİ TARİH","TAHAKKUK"))),IF(AND($D1145&lt;&gt;"",$E1145&lt;&gt;"",$G1145&gt;0,$H1145&lt;&gt;"",$I1145&lt;&gt;""),IF($C1145&gt;TODAY(),"İLERİ TARİH",IF(COUNTIF($W$7:$W$1206,$W1145)&gt;1,"MÜKERRER?",IF($AD1145&gt;0,"KAPALI DÖNEM",IF($I1145="Hayır","ÖDENECEK","UYGUN")))),"EKSİK"))))</f>
        <v/>
      </c>
      <c r="Q1145" s="6" t="n"/>
      <c r="R1145" s="6" t="n"/>
      <c r="S1145" s="3">
        <f>IF($L1145="","",UPPER(SUBSTITUTE(SUBSTITUTE(SUBSTITUTE(SUBSTITUTE(SUBSTITUTE(SUBSTITUTE(SUBSTITUTE(SUBSTITUTE(SUBSTITUTE(SUBSTITUTE(SUBSTITUTE(SUBSTITUTE(SUBSTITUTE(SUBSTITUTE(SUBSTITUTE(SUBSTITUTE(SUBSTITUTE(SUBSTITUTE(TRIM($L1145),"'",""),"İ","I"),"ı","I"),"i","I"),"Ş","S"),"ş","S"),"Ğ","G"),"ğ","G"),"Ü","U"),"ü","U"),"Ö","O"),"ö","O"),"Ç","C"),"ç","C"),".",""),",","")," ",""),"-","")))</f>
        <v/>
      </c>
      <c r="T1145" s="3">
        <f>IF(OR($C1145="",$D1145&lt;&gt;"Gelir",$L1145=""),"",IFERROR(INDEX(MUSTERILER!$B$7:$B$106,MATCH($S1145,MUSTERILER!$T$7:$T$106,0)),""))</f>
        <v/>
      </c>
      <c r="U1145" s="3">
        <f>IF($T1145="","",$T1145&amp;"|"&amp;COUNTIFS($T$7:$T1145,$T1145))</f>
        <v/>
      </c>
      <c r="V1145" s="3">
        <f>IF($T1145="",0,1)</f>
        <v/>
      </c>
      <c r="W1145" s="3">
        <f>IF($C1145="","",$D1145&amp;"|"&amp;$E1145&amp;"|"&amp;TEXT($C1145,"0")&amp;"|"&amp;TEXT($G1145,"0")&amp;"|"&amp;$J1145)</f>
        <v/>
      </c>
      <c r="X1145" s="3" t="n"/>
      <c r="Y1145" s="3" t="n"/>
      <c r="Z1145" s="3" t="n"/>
      <c r="AA1145" s="3" t="n"/>
      <c r="AB1145" s="3" t="n"/>
      <c r="AC1145" s="3" t="n"/>
      <c r="AD1145" s="3">
        <f>IF($C1145="",0,SUMPRODUCT((AY_SONU!$O$7:$O$42="Evet")*(AY_SONU!$B$7:$B$42=DATE(YEAR($C1145),MONTH($C1145),1))))</f>
        <v/>
      </c>
    </row>
    <row r="1146">
      <c r="A1146" s="6" t="n"/>
      <c r="B1146" s="113">
        <f>IF($C1146="","","GG"&amp;TEXT(ROW()-6,"00000"))</f>
        <v/>
      </c>
      <c r="C1146" s="220" t="n"/>
      <c r="D1146" s="108" t="n"/>
      <c r="E1146" s="109" t="n"/>
      <c r="F1146" s="109" t="n"/>
      <c r="G1146" s="221" t="n"/>
      <c r="H1146" s="108" t="n"/>
      <c r="I1146" s="108" t="n"/>
      <c r="J1146" s="109" t="n"/>
      <c r="K1146" s="109" t="n"/>
      <c r="L1146" s="108" t="n"/>
      <c r="M1146" s="121">
        <f>IF($C1146="","",IF($D1146="Gider",$E1146,IF($L1146&lt;&gt;"",$L1146,$H1146)))</f>
        <v/>
      </c>
      <c r="N1146" s="121">
        <f>IF($C1146="","",IF($D1146="Gider",$H1146,$E1146))</f>
        <v/>
      </c>
      <c r="O1146" s="226">
        <f>IF($C1146="","",DATE(YEAR($C1146),MONTH($C1146),1))</f>
        <v/>
      </c>
      <c r="P1146" s="113">
        <f>IF($C1146="","",IF(AND($D1146="Gelir",$L1146&lt;&gt;"",$T1146=""),"TANIMSIZ BORÇLU",IF($T1146&lt;&gt;"",IF(OR($E1146="",$G1146&lt;=0),"EKSİK",IF($I1146="Evet","TAHAKKUK NAKİT OLAMAZ",IF($C1146&gt;TODAY(),"İLERİ TARİH","TAHAKKUK"))),IF(AND($D1146&lt;&gt;"",$E1146&lt;&gt;"",$G1146&gt;0,$H1146&lt;&gt;"",$I1146&lt;&gt;""),IF($C1146&gt;TODAY(),"İLERİ TARİH",IF(COUNTIF($W$7:$W$1206,$W1146)&gt;1,"MÜKERRER?",IF($AD1146&gt;0,"KAPALI DÖNEM",IF($I1146="Hayır","ÖDENECEK","UYGUN")))),"EKSİK"))))</f>
        <v/>
      </c>
      <c r="Q1146" s="6" t="n"/>
      <c r="R1146" s="6" t="n"/>
      <c r="S1146" s="3">
        <f>IF($L1146="","",UPPER(SUBSTITUTE(SUBSTITUTE(SUBSTITUTE(SUBSTITUTE(SUBSTITUTE(SUBSTITUTE(SUBSTITUTE(SUBSTITUTE(SUBSTITUTE(SUBSTITUTE(SUBSTITUTE(SUBSTITUTE(SUBSTITUTE(SUBSTITUTE(SUBSTITUTE(SUBSTITUTE(SUBSTITUTE(SUBSTITUTE(TRIM($L1146),"'",""),"İ","I"),"ı","I"),"i","I"),"Ş","S"),"ş","S"),"Ğ","G"),"ğ","G"),"Ü","U"),"ü","U"),"Ö","O"),"ö","O"),"Ç","C"),"ç","C"),".",""),",","")," ",""),"-","")))</f>
        <v/>
      </c>
      <c r="T1146" s="3">
        <f>IF(OR($C1146="",$D1146&lt;&gt;"Gelir",$L1146=""),"",IFERROR(INDEX(MUSTERILER!$B$7:$B$106,MATCH($S1146,MUSTERILER!$T$7:$T$106,0)),""))</f>
        <v/>
      </c>
      <c r="U1146" s="3">
        <f>IF($T1146="","",$T1146&amp;"|"&amp;COUNTIFS($T$7:$T1146,$T1146))</f>
        <v/>
      </c>
      <c r="V1146" s="3">
        <f>IF($T1146="",0,1)</f>
        <v/>
      </c>
      <c r="W1146" s="3">
        <f>IF($C1146="","",$D1146&amp;"|"&amp;$E1146&amp;"|"&amp;TEXT($C1146,"0")&amp;"|"&amp;TEXT($G1146,"0")&amp;"|"&amp;$J1146)</f>
        <v/>
      </c>
      <c r="X1146" s="3" t="n"/>
      <c r="Y1146" s="3" t="n"/>
      <c r="Z1146" s="3" t="n"/>
      <c r="AA1146" s="3" t="n"/>
      <c r="AB1146" s="3" t="n"/>
      <c r="AC1146" s="3" t="n"/>
      <c r="AD1146" s="3">
        <f>IF($C1146="",0,SUMPRODUCT((AY_SONU!$O$7:$O$42="Evet")*(AY_SONU!$B$7:$B$42=DATE(YEAR($C1146),MONTH($C1146),1))))</f>
        <v/>
      </c>
    </row>
    <row r="1147">
      <c r="A1147" s="6" t="n"/>
      <c r="B1147" s="113">
        <f>IF($C1147="","","GG"&amp;TEXT(ROW()-6,"00000"))</f>
        <v/>
      </c>
      <c r="C1147" s="220" t="n"/>
      <c r="D1147" s="108" t="n"/>
      <c r="E1147" s="109" t="n"/>
      <c r="F1147" s="109" t="n"/>
      <c r="G1147" s="221" t="n"/>
      <c r="H1147" s="108" t="n"/>
      <c r="I1147" s="108" t="n"/>
      <c r="J1147" s="109" t="n"/>
      <c r="K1147" s="109" t="n"/>
      <c r="L1147" s="108" t="n"/>
      <c r="M1147" s="121">
        <f>IF($C1147="","",IF($D1147="Gider",$E1147,IF($L1147&lt;&gt;"",$L1147,$H1147)))</f>
        <v/>
      </c>
      <c r="N1147" s="121">
        <f>IF($C1147="","",IF($D1147="Gider",$H1147,$E1147))</f>
        <v/>
      </c>
      <c r="O1147" s="226">
        <f>IF($C1147="","",DATE(YEAR($C1147),MONTH($C1147),1))</f>
        <v/>
      </c>
      <c r="P1147" s="113">
        <f>IF($C1147="","",IF(AND($D1147="Gelir",$L1147&lt;&gt;"",$T1147=""),"TANIMSIZ BORÇLU",IF($T1147&lt;&gt;"",IF(OR($E1147="",$G1147&lt;=0),"EKSİK",IF($I1147="Evet","TAHAKKUK NAKİT OLAMAZ",IF($C1147&gt;TODAY(),"İLERİ TARİH","TAHAKKUK"))),IF(AND($D1147&lt;&gt;"",$E1147&lt;&gt;"",$G1147&gt;0,$H1147&lt;&gt;"",$I1147&lt;&gt;""),IF($C1147&gt;TODAY(),"İLERİ TARİH",IF(COUNTIF($W$7:$W$1206,$W1147)&gt;1,"MÜKERRER?",IF($AD1147&gt;0,"KAPALI DÖNEM",IF($I1147="Hayır","ÖDENECEK","UYGUN")))),"EKSİK"))))</f>
        <v/>
      </c>
      <c r="Q1147" s="6" t="n"/>
      <c r="R1147" s="6" t="n"/>
      <c r="S1147" s="3">
        <f>IF($L1147="","",UPPER(SUBSTITUTE(SUBSTITUTE(SUBSTITUTE(SUBSTITUTE(SUBSTITUTE(SUBSTITUTE(SUBSTITUTE(SUBSTITUTE(SUBSTITUTE(SUBSTITUTE(SUBSTITUTE(SUBSTITUTE(SUBSTITUTE(SUBSTITUTE(SUBSTITUTE(SUBSTITUTE(SUBSTITUTE(SUBSTITUTE(TRIM($L1147),"'",""),"İ","I"),"ı","I"),"i","I"),"Ş","S"),"ş","S"),"Ğ","G"),"ğ","G"),"Ü","U"),"ü","U"),"Ö","O"),"ö","O"),"Ç","C"),"ç","C"),".",""),",","")," ",""),"-","")))</f>
        <v/>
      </c>
      <c r="T1147" s="3">
        <f>IF(OR($C1147="",$D1147&lt;&gt;"Gelir",$L1147=""),"",IFERROR(INDEX(MUSTERILER!$B$7:$B$106,MATCH($S1147,MUSTERILER!$T$7:$T$106,0)),""))</f>
        <v/>
      </c>
      <c r="U1147" s="3">
        <f>IF($T1147="","",$T1147&amp;"|"&amp;COUNTIFS($T$7:$T1147,$T1147))</f>
        <v/>
      </c>
      <c r="V1147" s="3">
        <f>IF($T1147="",0,1)</f>
        <v/>
      </c>
      <c r="W1147" s="3">
        <f>IF($C1147="","",$D1147&amp;"|"&amp;$E1147&amp;"|"&amp;TEXT($C1147,"0")&amp;"|"&amp;TEXT($G1147,"0")&amp;"|"&amp;$J1147)</f>
        <v/>
      </c>
      <c r="X1147" s="3" t="n"/>
      <c r="Y1147" s="3" t="n"/>
      <c r="Z1147" s="3" t="n"/>
      <c r="AA1147" s="3" t="n"/>
      <c r="AB1147" s="3" t="n"/>
      <c r="AC1147" s="3" t="n"/>
      <c r="AD1147" s="3">
        <f>IF($C1147="",0,SUMPRODUCT((AY_SONU!$O$7:$O$42="Evet")*(AY_SONU!$B$7:$B$42=DATE(YEAR($C1147),MONTH($C1147),1))))</f>
        <v/>
      </c>
    </row>
    <row r="1148">
      <c r="A1148" s="6" t="n"/>
      <c r="B1148" s="113">
        <f>IF($C1148="","","GG"&amp;TEXT(ROW()-6,"00000"))</f>
        <v/>
      </c>
      <c r="C1148" s="220" t="n"/>
      <c r="D1148" s="108" t="n"/>
      <c r="E1148" s="109" t="n"/>
      <c r="F1148" s="109" t="n"/>
      <c r="G1148" s="221" t="n"/>
      <c r="H1148" s="108" t="n"/>
      <c r="I1148" s="108" t="n"/>
      <c r="J1148" s="109" t="n"/>
      <c r="K1148" s="109" t="n"/>
      <c r="L1148" s="108" t="n"/>
      <c r="M1148" s="121">
        <f>IF($C1148="","",IF($D1148="Gider",$E1148,IF($L1148&lt;&gt;"",$L1148,$H1148)))</f>
        <v/>
      </c>
      <c r="N1148" s="121">
        <f>IF($C1148="","",IF($D1148="Gider",$H1148,$E1148))</f>
        <v/>
      </c>
      <c r="O1148" s="226">
        <f>IF($C1148="","",DATE(YEAR($C1148),MONTH($C1148),1))</f>
        <v/>
      </c>
      <c r="P1148" s="113">
        <f>IF($C1148="","",IF(AND($D1148="Gelir",$L1148&lt;&gt;"",$T1148=""),"TANIMSIZ BORÇLU",IF($T1148&lt;&gt;"",IF(OR($E1148="",$G1148&lt;=0),"EKSİK",IF($I1148="Evet","TAHAKKUK NAKİT OLAMAZ",IF($C1148&gt;TODAY(),"İLERİ TARİH","TAHAKKUK"))),IF(AND($D1148&lt;&gt;"",$E1148&lt;&gt;"",$G1148&gt;0,$H1148&lt;&gt;"",$I1148&lt;&gt;""),IF($C1148&gt;TODAY(),"İLERİ TARİH",IF(COUNTIF($W$7:$W$1206,$W1148)&gt;1,"MÜKERRER?",IF($AD1148&gt;0,"KAPALI DÖNEM",IF($I1148="Hayır","ÖDENECEK","UYGUN")))),"EKSİK"))))</f>
        <v/>
      </c>
      <c r="Q1148" s="6" t="n"/>
      <c r="R1148" s="6" t="n"/>
      <c r="S1148" s="3">
        <f>IF($L1148="","",UPPER(SUBSTITUTE(SUBSTITUTE(SUBSTITUTE(SUBSTITUTE(SUBSTITUTE(SUBSTITUTE(SUBSTITUTE(SUBSTITUTE(SUBSTITUTE(SUBSTITUTE(SUBSTITUTE(SUBSTITUTE(SUBSTITUTE(SUBSTITUTE(SUBSTITUTE(SUBSTITUTE(SUBSTITUTE(SUBSTITUTE(TRIM($L1148),"'",""),"İ","I"),"ı","I"),"i","I"),"Ş","S"),"ş","S"),"Ğ","G"),"ğ","G"),"Ü","U"),"ü","U"),"Ö","O"),"ö","O"),"Ç","C"),"ç","C"),".",""),",","")," ",""),"-","")))</f>
        <v/>
      </c>
      <c r="T1148" s="3">
        <f>IF(OR($C1148="",$D1148&lt;&gt;"Gelir",$L1148=""),"",IFERROR(INDEX(MUSTERILER!$B$7:$B$106,MATCH($S1148,MUSTERILER!$T$7:$T$106,0)),""))</f>
        <v/>
      </c>
      <c r="U1148" s="3">
        <f>IF($T1148="","",$T1148&amp;"|"&amp;COUNTIFS($T$7:$T1148,$T1148))</f>
        <v/>
      </c>
      <c r="V1148" s="3">
        <f>IF($T1148="",0,1)</f>
        <v/>
      </c>
      <c r="W1148" s="3">
        <f>IF($C1148="","",$D1148&amp;"|"&amp;$E1148&amp;"|"&amp;TEXT($C1148,"0")&amp;"|"&amp;TEXT($G1148,"0")&amp;"|"&amp;$J1148)</f>
        <v/>
      </c>
      <c r="X1148" s="3" t="n"/>
      <c r="Y1148" s="3" t="n"/>
      <c r="Z1148" s="3" t="n"/>
      <c r="AA1148" s="3" t="n"/>
      <c r="AB1148" s="3" t="n"/>
      <c r="AC1148" s="3" t="n"/>
      <c r="AD1148" s="3">
        <f>IF($C1148="",0,SUMPRODUCT((AY_SONU!$O$7:$O$42="Evet")*(AY_SONU!$B$7:$B$42=DATE(YEAR($C1148),MONTH($C1148),1))))</f>
        <v/>
      </c>
    </row>
    <row r="1149">
      <c r="A1149" s="6" t="n"/>
      <c r="B1149" s="113">
        <f>IF($C1149="","","GG"&amp;TEXT(ROW()-6,"00000"))</f>
        <v/>
      </c>
      <c r="C1149" s="220" t="n"/>
      <c r="D1149" s="108" t="n"/>
      <c r="E1149" s="109" t="n"/>
      <c r="F1149" s="109" t="n"/>
      <c r="G1149" s="221" t="n"/>
      <c r="H1149" s="108" t="n"/>
      <c r="I1149" s="108" t="n"/>
      <c r="J1149" s="109" t="n"/>
      <c r="K1149" s="109" t="n"/>
      <c r="L1149" s="108" t="n"/>
      <c r="M1149" s="121">
        <f>IF($C1149="","",IF($D1149="Gider",$E1149,IF($L1149&lt;&gt;"",$L1149,$H1149)))</f>
        <v/>
      </c>
      <c r="N1149" s="121">
        <f>IF($C1149="","",IF($D1149="Gider",$H1149,$E1149))</f>
        <v/>
      </c>
      <c r="O1149" s="226">
        <f>IF($C1149="","",DATE(YEAR($C1149),MONTH($C1149),1))</f>
        <v/>
      </c>
      <c r="P1149" s="113">
        <f>IF($C1149="","",IF(AND($D1149="Gelir",$L1149&lt;&gt;"",$T1149=""),"TANIMSIZ BORÇLU",IF($T1149&lt;&gt;"",IF(OR($E1149="",$G1149&lt;=0),"EKSİK",IF($I1149="Evet","TAHAKKUK NAKİT OLAMAZ",IF($C1149&gt;TODAY(),"İLERİ TARİH","TAHAKKUK"))),IF(AND($D1149&lt;&gt;"",$E1149&lt;&gt;"",$G1149&gt;0,$H1149&lt;&gt;"",$I1149&lt;&gt;""),IF($C1149&gt;TODAY(),"İLERİ TARİH",IF(COUNTIF($W$7:$W$1206,$W1149)&gt;1,"MÜKERRER?",IF($AD1149&gt;0,"KAPALI DÖNEM",IF($I1149="Hayır","ÖDENECEK","UYGUN")))),"EKSİK"))))</f>
        <v/>
      </c>
      <c r="Q1149" s="6" t="n"/>
      <c r="R1149" s="6" t="n"/>
      <c r="S1149" s="3">
        <f>IF($L1149="","",UPPER(SUBSTITUTE(SUBSTITUTE(SUBSTITUTE(SUBSTITUTE(SUBSTITUTE(SUBSTITUTE(SUBSTITUTE(SUBSTITUTE(SUBSTITUTE(SUBSTITUTE(SUBSTITUTE(SUBSTITUTE(SUBSTITUTE(SUBSTITUTE(SUBSTITUTE(SUBSTITUTE(SUBSTITUTE(SUBSTITUTE(TRIM($L1149),"'",""),"İ","I"),"ı","I"),"i","I"),"Ş","S"),"ş","S"),"Ğ","G"),"ğ","G"),"Ü","U"),"ü","U"),"Ö","O"),"ö","O"),"Ç","C"),"ç","C"),".",""),",","")," ",""),"-","")))</f>
        <v/>
      </c>
      <c r="T1149" s="3">
        <f>IF(OR($C1149="",$D1149&lt;&gt;"Gelir",$L1149=""),"",IFERROR(INDEX(MUSTERILER!$B$7:$B$106,MATCH($S1149,MUSTERILER!$T$7:$T$106,0)),""))</f>
        <v/>
      </c>
      <c r="U1149" s="3">
        <f>IF($T1149="","",$T1149&amp;"|"&amp;COUNTIFS($T$7:$T1149,$T1149))</f>
        <v/>
      </c>
      <c r="V1149" s="3">
        <f>IF($T1149="",0,1)</f>
        <v/>
      </c>
      <c r="W1149" s="3">
        <f>IF($C1149="","",$D1149&amp;"|"&amp;$E1149&amp;"|"&amp;TEXT($C1149,"0")&amp;"|"&amp;TEXT($G1149,"0")&amp;"|"&amp;$J1149)</f>
        <v/>
      </c>
      <c r="X1149" s="3" t="n"/>
      <c r="Y1149" s="3" t="n"/>
      <c r="Z1149" s="3" t="n"/>
      <c r="AA1149" s="3" t="n"/>
      <c r="AB1149" s="3" t="n"/>
      <c r="AC1149" s="3" t="n"/>
      <c r="AD1149" s="3">
        <f>IF($C1149="",0,SUMPRODUCT((AY_SONU!$O$7:$O$42="Evet")*(AY_SONU!$B$7:$B$42=DATE(YEAR($C1149),MONTH($C1149),1))))</f>
        <v/>
      </c>
    </row>
    <row r="1150">
      <c r="A1150" s="6" t="n"/>
      <c r="B1150" s="113">
        <f>IF($C1150="","","GG"&amp;TEXT(ROW()-6,"00000"))</f>
        <v/>
      </c>
      <c r="C1150" s="220" t="n"/>
      <c r="D1150" s="108" t="n"/>
      <c r="E1150" s="109" t="n"/>
      <c r="F1150" s="109" t="n"/>
      <c r="G1150" s="221" t="n"/>
      <c r="H1150" s="108" t="n"/>
      <c r="I1150" s="108" t="n"/>
      <c r="J1150" s="109" t="n"/>
      <c r="K1150" s="109" t="n"/>
      <c r="L1150" s="108" t="n"/>
      <c r="M1150" s="121">
        <f>IF($C1150="","",IF($D1150="Gider",$E1150,IF($L1150&lt;&gt;"",$L1150,$H1150)))</f>
        <v/>
      </c>
      <c r="N1150" s="121">
        <f>IF($C1150="","",IF($D1150="Gider",$H1150,$E1150))</f>
        <v/>
      </c>
      <c r="O1150" s="226">
        <f>IF($C1150="","",DATE(YEAR($C1150),MONTH($C1150),1))</f>
        <v/>
      </c>
      <c r="P1150" s="113">
        <f>IF($C1150="","",IF(AND($D1150="Gelir",$L1150&lt;&gt;"",$T1150=""),"TANIMSIZ BORÇLU",IF($T1150&lt;&gt;"",IF(OR($E1150="",$G1150&lt;=0),"EKSİK",IF($I1150="Evet","TAHAKKUK NAKİT OLAMAZ",IF($C1150&gt;TODAY(),"İLERİ TARİH","TAHAKKUK"))),IF(AND($D1150&lt;&gt;"",$E1150&lt;&gt;"",$G1150&gt;0,$H1150&lt;&gt;"",$I1150&lt;&gt;""),IF($C1150&gt;TODAY(),"İLERİ TARİH",IF(COUNTIF($W$7:$W$1206,$W1150)&gt;1,"MÜKERRER?",IF($AD1150&gt;0,"KAPALI DÖNEM",IF($I1150="Hayır","ÖDENECEK","UYGUN")))),"EKSİK"))))</f>
        <v/>
      </c>
      <c r="Q1150" s="6" t="n"/>
      <c r="R1150" s="6" t="n"/>
      <c r="S1150" s="3">
        <f>IF($L1150="","",UPPER(SUBSTITUTE(SUBSTITUTE(SUBSTITUTE(SUBSTITUTE(SUBSTITUTE(SUBSTITUTE(SUBSTITUTE(SUBSTITUTE(SUBSTITUTE(SUBSTITUTE(SUBSTITUTE(SUBSTITUTE(SUBSTITUTE(SUBSTITUTE(SUBSTITUTE(SUBSTITUTE(SUBSTITUTE(SUBSTITUTE(TRIM($L1150),"'",""),"İ","I"),"ı","I"),"i","I"),"Ş","S"),"ş","S"),"Ğ","G"),"ğ","G"),"Ü","U"),"ü","U"),"Ö","O"),"ö","O"),"Ç","C"),"ç","C"),".",""),",","")," ",""),"-","")))</f>
        <v/>
      </c>
      <c r="T1150" s="3">
        <f>IF(OR($C1150="",$D1150&lt;&gt;"Gelir",$L1150=""),"",IFERROR(INDEX(MUSTERILER!$B$7:$B$106,MATCH($S1150,MUSTERILER!$T$7:$T$106,0)),""))</f>
        <v/>
      </c>
      <c r="U1150" s="3">
        <f>IF($T1150="","",$T1150&amp;"|"&amp;COUNTIFS($T$7:$T1150,$T1150))</f>
        <v/>
      </c>
      <c r="V1150" s="3">
        <f>IF($T1150="",0,1)</f>
        <v/>
      </c>
      <c r="W1150" s="3">
        <f>IF($C1150="","",$D1150&amp;"|"&amp;$E1150&amp;"|"&amp;TEXT($C1150,"0")&amp;"|"&amp;TEXT($G1150,"0")&amp;"|"&amp;$J1150)</f>
        <v/>
      </c>
      <c r="X1150" s="3" t="n"/>
      <c r="Y1150" s="3" t="n"/>
      <c r="Z1150" s="3" t="n"/>
      <c r="AA1150" s="3" t="n"/>
      <c r="AB1150" s="3" t="n"/>
      <c r="AC1150" s="3" t="n"/>
      <c r="AD1150" s="3">
        <f>IF($C1150="",0,SUMPRODUCT((AY_SONU!$O$7:$O$42="Evet")*(AY_SONU!$B$7:$B$42=DATE(YEAR($C1150),MONTH($C1150),1))))</f>
        <v/>
      </c>
    </row>
    <row r="1151">
      <c r="A1151" s="6" t="n"/>
      <c r="B1151" s="113">
        <f>IF($C1151="","","GG"&amp;TEXT(ROW()-6,"00000"))</f>
        <v/>
      </c>
      <c r="C1151" s="220" t="n"/>
      <c r="D1151" s="108" t="n"/>
      <c r="E1151" s="109" t="n"/>
      <c r="F1151" s="109" t="n"/>
      <c r="G1151" s="221" t="n"/>
      <c r="H1151" s="108" t="n"/>
      <c r="I1151" s="108" t="n"/>
      <c r="J1151" s="109" t="n"/>
      <c r="K1151" s="109" t="n"/>
      <c r="L1151" s="108" t="n"/>
      <c r="M1151" s="121">
        <f>IF($C1151="","",IF($D1151="Gider",$E1151,IF($L1151&lt;&gt;"",$L1151,$H1151)))</f>
        <v/>
      </c>
      <c r="N1151" s="121">
        <f>IF($C1151="","",IF($D1151="Gider",$H1151,$E1151))</f>
        <v/>
      </c>
      <c r="O1151" s="226">
        <f>IF($C1151="","",DATE(YEAR($C1151),MONTH($C1151),1))</f>
        <v/>
      </c>
      <c r="P1151" s="113">
        <f>IF($C1151="","",IF(AND($D1151="Gelir",$L1151&lt;&gt;"",$T1151=""),"TANIMSIZ BORÇLU",IF($T1151&lt;&gt;"",IF(OR($E1151="",$G1151&lt;=0),"EKSİK",IF($I1151="Evet","TAHAKKUK NAKİT OLAMAZ",IF($C1151&gt;TODAY(),"İLERİ TARİH","TAHAKKUK"))),IF(AND($D1151&lt;&gt;"",$E1151&lt;&gt;"",$G1151&gt;0,$H1151&lt;&gt;"",$I1151&lt;&gt;""),IF($C1151&gt;TODAY(),"İLERİ TARİH",IF(COUNTIF($W$7:$W$1206,$W1151)&gt;1,"MÜKERRER?",IF($AD1151&gt;0,"KAPALI DÖNEM",IF($I1151="Hayır","ÖDENECEK","UYGUN")))),"EKSİK"))))</f>
        <v/>
      </c>
      <c r="Q1151" s="6" t="n"/>
      <c r="R1151" s="6" t="n"/>
      <c r="S1151" s="3">
        <f>IF($L1151="","",UPPER(SUBSTITUTE(SUBSTITUTE(SUBSTITUTE(SUBSTITUTE(SUBSTITUTE(SUBSTITUTE(SUBSTITUTE(SUBSTITUTE(SUBSTITUTE(SUBSTITUTE(SUBSTITUTE(SUBSTITUTE(SUBSTITUTE(SUBSTITUTE(SUBSTITUTE(SUBSTITUTE(SUBSTITUTE(SUBSTITUTE(TRIM($L1151),"'",""),"İ","I"),"ı","I"),"i","I"),"Ş","S"),"ş","S"),"Ğ","G"),"ğ","G"),"Ü","U"),"ü","U"),"Ö","O"),"ö","O"),"Ç","C"),"ç","C"),".",""),",","")," ",""),"-","")))</f>
        <v/>
      </c>
      <c r="T1151" s="3">
        <f>IF(OR($C1151="",$D1151&lt;&gt;"Gelir",$L1151=""),"",IFERROR(INDEX(MUSTERILER!$B$7:$B$106,MATCH($S1151,MUSTERILER!$T$7:$T$106,0)),""))</f>
        <v/>
      </c>
      <c r="U1151" s="3">
        <f>IF($T1151="","",$T1151&amp;"|"&amp;COUNTIFS($T$7:$T1151,$T1151))</f>
        <v/>
      </c>
      <c r="V1151" s="3">
        <f>IF($T1151="",0,1)</f>
        <v/>
      </c>
      <c r="W1151" s="3">
        <f>IF($C1151="","",$D1151&amp;"|"&amp;$E1151&amp;"|"&amp;TEXT($C1151,"0")&amp;"|"&amp;TEXT($G1151,"0")&amp;"|"&amp;$J1151)</f>
        <v/>
      </c>
      <c r="X1151" s="3" t="n"/>
      <c r="Y1151" s="3" t="n"/>
      <c r="Z1151" s="3" t="n"/>
      <c r="AA1151" s="3" t="n"/>
      <c r="AB1151" s="3" t="n"/>
      <c r="AC1151" s="3" t="n"/>
      <c r="AD1151" s="3">
        <f>IF($C1151="",0,SUMPRODUCT((AY_SONU!$O$7:$O$42="Evet")*(AY_SONU!$B$7:$B$42=DATE(YEAR($C1151),MONTH($C1151),1))))</f>
        <v/>
      </c>
    </row>
    <row r="1152">
      <c r="A1152" s="6" t="n"/>
      <c r="B1152" s="113">
        <f>IF($C1152="","","GG"&amp;TEXT(ROW()-6,"00000"))</f>
        <v/>
      </c>
      <c r="C1152" s="220" t="n"/>
      <c r="D1152" s="108" t="n"/>
      <c r="E1152" s="109" t="n"/>
      <c r="F1152" s="109" t="n"/>
      <c r="G1152" s="221" t="n"/>
      <c r="H1152" s="108" t="n"/>
      <c r="I1152" s="108" t="n"/>
      <c r="J1152" s="109" t="n"/>
      <c r="K1152" s="109" t="n"/>
      <c r="L1152" s="108" t="n"/>
      <c r="M1152" s="121">
        <f>IF($C1152="","",IF($D1152="Gider",$E1152,IF($L1152&lt;&gt;"",$L1152,$H1152)))</f>
        <v/>
      </c>
      <c r="N1152" s="121">
        <f>IF($C1152="","",IF($D1152="Gider",$H1152,$E1152))</f>
        <v/>
      </c>
      <c r="O1152" s="226">
        <f>IF($C1152="","",DATE(YEAR($C1152),MONTH($C1152),1))</f>
        <v/>
      </c>
      <c r="P1152" s="113">
        <f>IF($C1152="","",IF(AND($D1152="Gelir",$L1152&lt;&gt;"",$T1152=""),"TANIMSIZ BORÇLU",IF($T1152&lt;&gt;"",IF(OR($E1152="",$G1152&lt;=0),"EKSİK",IF($I1152="Evet","TAHAKKUK NAKİT OLAMAZ",IF($C1152&gt;TODAY(),"İLERİ TARİH","TAHAKKUK"))),IF(AND($D1152&lt;&gt;"",$E1152&lt;&gt;"",$G1152&gt;0,$H1152&lt;&gt;"",$I1152&lt;&gt;""),IF($C1152&gt;TODAY(),"İLERİ TARİH",IF(COUNTIF($W$7:$W$1206,$W1152)&gt;1,"MÜKERRER?",IF($AD1152&gt;0,"KAPALI DÖNEM",IF($I1152="Hayır","ÖDENECEK","UYGUN")))),"EKSİK"))))</f>
        <v/>
      </c>
      <c r="Q1152" s="6" t="n"/>
      <c r="R1152" s="6" t="n"/>
      <c r="S1152" s="3">
        <f>IF($L1152="","",UPPER(SUBSTITUTE(SUBSTITUTE(SUBSTITUTE(SUBSTITUTE(SUBSTITUTE(SUBSTITUTE(SUBSTITUTE(SUBSTITUTE(SUBSTITUTE(SUBSTITUTE(SUBSTITUTE(SUBSTITUTE(SUBSTITUTE(SUBSTITUTE(SUBSTITUTE(SUBSTITUTE(SUBSTITUTE(SUBSTITUTE(TRIM($L1152),"'",""),"İ","I"),"ı","I"),"i","I"),"Ş","S"),"ş","S"),"Ğ","G"),"ğ","G"),"Ü","U"),"ü","U"),"Ö","O"),"ö","O"),"Ç","C"),"ç","C"),".",""),",","")," ",""),"-","")))</f>
        <v/>
      </c>
      <c r="T1152" s="3">
        <f>IF(OR($C1152="",$D1152&lt;&gt;"Gelir",$L1152=""),"",IFERROR(INDEX(MUSTERILER!$B$7:$B$106,MATCH($S1152,MUSTERILER!$T$7:$T$106,0)),""))</f>
        <v/>
      </c>
      <c r="U1152" s="3">
        <f>IF($T1152="","",$T1152&amp;"|"&amp;COUNTIFS($T$7:$T1152,$T1152))</f>
        <v/>
      </c>
      <c r="V1152" s="3">
        <f>IF($T1152="",0,1)</f>
        <v/>
      </c>
      <c r="W1152" s="3">
        <f>IF($C1152="","",$D1152&amp;"|"&amp;$E1152&amp;"|"&amp;TEXT($C1152,"0")&amp;"|"&amp;TEXT($G1152,"0")&amp;"|"&amp;$J1152)</f>
        <v/>
      </c>
      <c r="X1152" s="3" t="n"/>
      <c r="Y1152" s="3" t="n"/>
      <c r="Z1152" s="3" t="n"/>
      <c r="AA1152" s="3" t="n"/>
      <c r="AB1152" s="3" t="n"/>
      <c r="AC1152" s="3" t="n"/>
      <c r="AD1152" s="3">
        <f>IF($C1152="",0,SUMPRODUCT((AY_SONU!$O$7:$O$42="Evet")*(AY_SONU!$B$7:$B$42=DATE(YEAR($C1152),MONTH($C1152),1))))</f>
        <v/>
      </c>
    </row>
    <row r="1153">
      <c r="A1153" s="6" t="n"/>
      <c r="B1153" s="113">
        <f>IF($C1153="","","GG"&amp;TEXT(ROW()-6,"00000"))</f>
        <v/>
      </c>
      <c r="C1153" s="220" t="n"/>
      <c r="D1153" s="108" t="n"/>
      <c r="E1153" s="109" t="n"/>
      <c r="F1153" s="109" t="n"/>
      <c r="G1153" s="221" t="n"/>
      <c r="H1153" s="108" t="n"/>
      <c r="I1153" s="108" t="n"/>
      <c r="J1153" s="109" t="n"/>
      <c r="K1153" s="109" t="n"/>
      <c r="L1153" s="108" t="n"/>
      <c r="M1153" s="121">
        <f>IF($C1153="","",IF($D1153="Gider",$E1153,IF($L1153&lt;&gt;"",$L1153,$H1153)))</f>
        <v/>
      </c>
      <c r="N1153" s="121">
        <f>IF($C1153="","",IF($D1153="Gider",$H1153,$E1153))</f>
        <v/>
      </c>
      <c r="O1153" s="226">
        <f>IF($C1153="","",DATE(YEAR($C1153),MONTH($C1153),1))</f>
        <v/>
      </c>
      <c r="P1153" s="113">
        <f>IF($C1153="","",IF(AND($D1153="Gelir",$L1153&lt;&gt;"",$T1153=""),"TANIMSIZ BORÇLU",IF($T1153&lt;&gt;"",IF(OR($E1153="",$G1153&lt;=0),"EKSİK",IF($I1153="Evet","TAHAKKUK NAKİT OLAMAZ",IF($C1153&gt;TODAY(),"İLERİ TARİH","TAHAKKUK"))),IF(AND($D1153&lt;&gt;"",$E1153&lt;&gt;"",$G1153&gt;0,$H1153&lt;&gt;"",$I1153&lt;&gt;""),IF($C1153&gt;TODAY(),"İLERİ TARİH",IF(COUNTIF($W$7:$W$1206,$W1153)&gt;1,"MÜKERRER?",IF($AD1153&gt;0,"KAPALI DÖNEM",IF($I1153="Hayır","ÖDENECEK","UYGUN")))),"EKSİK"))))</f>
        <v/>
      </c>
      <c r="Q1153" s="6" t="n"/>
      <c r="R1153" s="6" t="n"/>
      <c r="S1153" s="3">
        <f>IF($L1153="","",UPPER(SUBSTITUTE(SUBSTITUTE(SUBSTITUTE(SUBSTITUTE(SUBSTITUTE(SUBSTITUTE(SUBSTITUTE(SUBSTITUTE(SUBSTITUTE(SUBSTITUTE(SUBSTITUTE(SUBSTITUTE(SUBSTITUTE(SUBSTITUTE(SUBSTITUTE(SUBSTITUTE(SUBSTITUTE(SUBSTITUTE(TRIM($L1153),"'",""),"İ","I"),"ı","I"),"i","I"),"Ş","S"),"ş","S"),"Ğ","G"),"ğ","G"),"Ü","U"),"ü","U"),"Ö","O"),"ö","O"),"Ç","C"),"ç","C"),".",""),",","")," ",""),"-","")))</f>
        <v/>
      </c>
      <c r="T1153" s="3">
        <f>IF(OR($C1153="",$D1153&lt;&gt;"Gelir",$L1153=""),"",IFERROR(INDEX(MUSTERILER!$B$7:$B$106,MATCH($S1153,MUSTERILER!$T$7:$T$106,0)),""))</f>
        <v/>
      </c>
      <c r="U1153" s="3">
        <f>IF($T1153="","",$T1153&amp;"|"&amp;COUNTIFS($T$7:$T1153,$T1153))</f>
        <v/>
      </c>
      <c r="V1153" s="3">
        <f>IF($T1153="",0,1)</f>
        <v/>
      </c>
      <c r="W1153" s="3">
        <f>IF($C1153="","",$D1153&amp;"|"&amp;$E1153&amp;"|"&amp;TEXT($C1153,"0")&amp;"|"&amp;TEXT($G1153,"0")&amp;"|"&amp;$J1153)</f>
        <v/>
      </c>
      <c r="X1153" s="3" t="n"/>
      <c r="Y1153" s="3" t="n"/>
      <c r="Z1153" s="3" t="n"/>
      <c r="AA1153" s="3" t="n"/>
      <c r="AB1153" s="3" t="n"/>
      <c r="AC1153" s="3" t="n"/>
      <c r="AD1153" s="3">
        <f>IF($C1153="",0,SUMPRODUCT((AY_SONU!$O$7:$O$42="Evet")*(AY_SONU!$B$7:$B$42=DATE(YEAR($C1153),MONTH($C1153),1))))</f>
        <v/>
      </c>
    </row>
    <row r="1154">
      <c r="A1154" s="6" t="n"/>
      <c r="B1154" s="113">
        <f>IF($C1154="","","GG"&amp;TEXT(ROW()-6,"00000"))</f>
        <v/>
      </c>
      <c r="C1154" s="220" t="n"/>
      <c r="D1154" s="108" t="n"/>
      <c r="E1154" s="109" t="n"/>
      <c r="F1154" s="109" t="n"/>
      <c r="G1154" s="221" t="n"/>
      <c r="H1154" s="108" t="n"/>
      <c r="I1154" s="108" t="n"/>
      <c r="J1154" s="109" t="n"/>
      <c r="K1154" s="109" t="n"/>
      <c r="L1154" s="108" t="n"/>
      <c r="M1154" s="121">
        <f>IF($C1154="","",IF($D1154="Gider",$E1154,IF($L1154&lt;&gt;"",$L1154,$H1154)))</f>
        <v/>
      </c>
      <c r="N1154" s="121">
        <f>IF($C1154="","",IF($D1154="Gider",$H1154,$E1154))</f>
        <v/>
      </c>
      <c r="O1154" s="226">
        <f>IF($C1154="","",DATE(YEAR($C1154),MONTH($C1154),1))</f>
        <v/>
      </c>
      <c r="P1154" s="113">
        <f>IF($C1154="","",IF(AND($D1154="Gelir",$L1154&lt;&gt;"",$T1154=""),"TANIMSIZ BORÇLU",IF($T1154&lt;&gt;"",IF(OR($E1154="",$G1154&lt;=0),"EKSİK",IF($I1154="Evet","TAHAKKUK NAKİT OLAMAZ",IF($C1154&gt;TODAY(),"İLERİ TARİH","TAHAKKUK"))),IF(AND($D1154&lt;&gt;"",$E1154&lt;&gt;"",$G1154&gt;0,$H1154&lt;&gt;"",$I1154&lt;&gt;""),IF($C1154&gt;TODAY(),"İLERİ TARİH",IF(COUNTIF($W$7:$W$1206,$W1154)&gt;1,"MÜKERRER?",IF($AD1154&gt;0,"KAPALI DÖNEM",IF($I1154="Hayır","ÖDENECEK","UYGUN")))),"EKSİK"))))</f>
        <v/>
      </c>
      <c r="Q1154" s="6" t="n"/>
      <c r="R1154" s="6" t="n"/>
      <c r="S1154" s="3">
        <f>IF($L1154="","",UPPER(SUBSTITUTE(SUBSTITUTE(SUBSTITUTE(SUBSTITUTE(SUBSTITUTE(SUBSTITUTE(SUBSTITUTE(SUBSTITUTE(SUBSTITUTE(SUBSTITUTE(SUBSTITUTE(SUBSTITUTE(SUBSTITUTE(SUBSTITUTE(SUBSTITUTE(SUBSTITUTE(SUBSTITUTE(SUBSTITUTE(TRIM($L1154),"'",""),"İ","I"),"ı","I"),"i","I"),"Ş","S"),"ş","S"),"Ğ","G"),"ğ","G"),"Ü","U"),"ü","U"),"Ö","O"),"ö","O"),"Ç","C"),"ç","C"),".",""),",","")," ",""),"-","")))</f>
        <v/>
      </c>
      <c r="T1154" s="3">
        <f>IF(OR($C1154="",$D1154&lt;&gt;"Gelir",$L1154=""),"",IFERROR(INDEX(MUSTERILER!$B$7:$B$106,MATCH($S1154,MUSTERILER!$T$7:$T$106,0)),""))</f>
        <v/>
      </c>
      <c r="U1154" s="3">
        <f>IF($T1154="","",$T1154&amp;"|"&amp;COUNTIFS($T$7:$T1154,$T1154))</f>
        <v/>
      </c>
      <c r="V1154" s="3">
        <f>IF($T1154="",0,1)</f>
        <v/>
      </c>
      <c r="W1154" s="3">
        <f>IF($C1154="","",$D1154&amp;"|"&amp;$E1154&amp;"|"&amp;TEXT($C1154,"0")&amp;"|"&amp;TEXT($G1154,"0")&amp;"|"&amp;$J1154)</f>
        <v/>
      </c>
      <c r="X1154" s="3" t="n"/>
      <c r="Y1154" s="3" t="n"/>
      <c r="Z1154" s="3" t="n"/>
      <c r="AA1154" s="3" t="n"/>
      <c r="AB1154" s="3" t="n"/>
      <c r="AC1154" s="3" t="n"/>
      <c r="AD1154" s="3">
        <f>IF($C1154="",0,SUMPRODUCT((AY_SONU!$O$7:$O$42="Evet")*(AY_SONU!$B$7:$B$42=DATE(YEAR($C1154),MONTH($C1154),1))))</f>
        <v/>
      </c>
    </row>
    <row r="1155">
      <c r="A1155" s="6" t="n"/>
      <c r="B1155" s="113">
        <f>IF($C1155="","","GG"&amp;TEXT(ROW()-6,"00000"))</f>
        <v/>
      </c>
      <c r="C1155" s="220" t="n"/>
      <c r="D1155" s="108" t="n"/>
      <c r="E1155" s="109" t="n"/>
      <c r="F1155" s="109" t="n"/>
      <c r="G1155" s="221" t="n"/>
      <c r="H1155" s="108" t="n"/>
      <c r="I1155" s="108" t="n"/>
      <c r="J1155" s="109" t="n"/>
      <c r="K1155" s="109" t="n"/>
      <c r="L1155" s="108" t="n"/>
      <c r="M1155" s="121">
        <f>IF($C1155="","",IF($D1155="Gider",$E1155,IF($L1155&lt;&gt;"",$L1155,$H1155)))</f>
        <v/>
      </c>
      <c r="N1155" s="121">
        <f>IF($C1155="","",IF($D1155="Gider",$H1155,$E1155))</f>
        <v/>
      </c>
      <c r="O1155" s="226">
        <f>IF($C1155="","",DATE(YEAR($C1155),MONTH($C1155),1))</f>
        <v/>
      </c>
      <c r="P1155" s="113">
        <f>IF($C1155="","",IF(AND($D1155="Gelir",$L1155&lt;&gt;"",$T1155=""),"TANIMSIZ BORÇLU",IF($T1155&lt;&gt;"",IF(OR($E1155="",$G1155&lt;=0),"EKSİK",IF($I1155="Evet","TAHAKKUK NAKİT OLAMAZ",IF($C1155&gt;TODAY(),"İLERİ TARİH","TAHAKKUK"))),IF(AND($D1155&lt;&gt;"",$E1155&lt;&gt;"",$G1155&gt;0,$H1155&lt;&gt;"",$I1155&lt;&gt;""),IF($C1155&gt;TODAY(),"İLERİ TARİH",IF(COUNTIF($W$7:$W$1206,$W1155)&gt;1,"MÜKERRER?",IF($AD1155&gt;0,"KAPALI DÖNEM",IF($I1155="Hayır","ÖDENECEK","UYGUN")))),"EKSİK"))))</f>
        <v/>
      </c>
      <c r="Q1155" s="6" t="n"/>
      <c r="R1155" s="6" t="n"/>
      <c r="S1155" s="3">
        <f>IF($L1155="","",UPPER(SUBSTITUTE(SUBSTITUTE(SUBSTITUTE(SUBSTITUTE(SUBSTITUTE(SUBSTITUTE(SUBSTITUTE(SUBSTITUTE(SUBSTITUTE(SUBSTITUTE(SUBSTITUTE(SUBSTITUTE(SUBSTITUTE(SUBSTITUTE(SUBSTITUTE(SUBSTITUTE(SUBSTITUTE(SUBSTITUTE(TRIM($L1155),"'",""),"İ","I"),"ı","I"),"i","I"),"Ş","S"),"ş","S"),"Ğ","G"),"ğ","G"),"Ü","U"),"ü","U"),"Ö","O"),"ö","O"),"Ç","C"),"ç","C"),".",""),",","")," ",""),"-","")))</f>
        <v/>
      </c>
      <c r="T1155" s="3">
        <f>IF(OR($C1155="",$D1155&lt;&gt;"Gelir",$L1155=""),"",IFERROR(INDEX(MUSTERILER!$B$7:$B$106,MATCH($S1155,MUSTERILER!$T$7:$T$106,0)),""))</f>
        <v/>
      </c>
      <c r="U1155" s="3">
        <f>IF($T1155="","",$T1155&amp;"|"&amp;COUNTIFS($T$7:$T1155,$T1155))</f>
        <v/>
      </c>
      <c r="V1155" s="3">
        <f>IF($T1155="",0,1)</f>
        <v/>
      </c>
      <c r="W1155" s="3">
        <f>IF($C1155="","",$D1155&amp;"|"&amp;$E1155&amp;"|"&amp;TEXT($C1155,"0")&amp;"|"&amp;TEXT($G1155,"0")&amp;"|"&amp;$J1155)</f>
        <v/>
      </c>
      <c r="X1155" s="3" t="n"/>
      <c r="Y1155" s="3" t="n"/>
      <c r="Z1155" s="3" t="n"/>
      <c r="AA1155" s="3" t="n"/>
      <c r="AB1155" s="3" t="n"/>
      <c r="AC1155" s="3" t="n"/>
      <c r="AD1155" s="3">
        <f>IF($C1155="",0,SUMPRODUCT((AY_SONU!$O$7:$O$42="Evet")*(AY_SONU!$B$7:$B$42=DATE(YEAR($C1155),MONTH($C1155),1))))</f>
        <v/>
      </c>
    </row>
    <row r="1156">
      <c r="A1156" s="6" t="n"/>
      <c r="B1156" s="113">
        <f>IF($C1156="","","GG"&amp;TEXT(ROW()-6,"00000"))</f>
        <v/>
      </c>
      <c r="C1156" s="220" t="n"/>
      <c r="D1156" s="108" t="n"/>
      <c r="E1156" s="109" t="n"/>
      <c r="F1156" s="109" t="n"/>
      <c r="G1156" s="221" t="n"/>
      <c r="H1156" s="108" t="n"/>
      <c r="I1156" s="108" t="n"/>
      <c r="J1156" s="109" t="n"/>
      <c r="K1156" s="109" t="n"/>
      <c r="L1156" s="108" t="n"/>
      <c r="M1156" s="121">
        <f>IF($C1156="","",IF($D1156="Gider",$E1156,IF($L1156&lt;&gt;"",$L1156,$H1156)))</f>
        <v/>
      </c>
      <c r="N1156" s="121">
        <f>IF($C1156="","",IF($D1156="Gider",$H1156,$E1156))</f>
        <v/>
      </c>
      <c r="O1156" s="226">
        <f>IF($C1156="","",DATE(YEAR($C1156),MONTH($C1156),1))</f>
        <v/>
      </c>
      <c r="P1156" s="113">
        <f>IF($C1156="","",IF(AND($D1156="Gelir",$L1156&lt;&gt;"",$T1156=""),"TANIMSIZ BORÇLU",IF($T1156&lt;&gt;"",IF(OR($E1156="",$G1156&lt;=0),"EKSİK",IF($I1156="Evet","TAHAKKUK NAKİT OLAMAZ",IF($C1156&gt;TODAY(),"İLERİ TARİH","TAHAKKUK"))),IF(AND($D1156&lt;&gt;"",$E1156&lt;&gt;"",$G1156&gt;0,$H1156&lt;&gt;"",$I1156&lt;&gt;""),IF($C1156&gt;TODAY(),"İLERİ TARİH",IF(COUNTIF($W$7:$W$1206,$W1156)&gt;1,"MÜKERRER?",IF($AD1156&gt;0,"KAPALI DÖNEM",IF($I1156="Hayır","ÖDENECEK","UYGUN")))),"EKSİK"))))</f>
        <v/>
      </c>
      <c r="Q1156" s="6" t="n"/>
      <c r="R1156" s="6" t="n"/>
      <c r="S1156" s="3">
        <f>IF($L1156="","",UPPER(SUBSTITUTE(SUBSTITUTE(SUBSTITUTE(SUBSTITUTE(SUBSTITUTE(SUBSTITUTE(SUBSTITUTE(SUBSTITUTE(SUBSTITUTE(SUBSTITUTE(SUBSTITUTE(SUBSTITUTE(SUBSTITUTE(SUBSTITUTE(SUBSTITUTE(SUBSTITUTE(SUBSTITUTE(SUBSTITUTE(TRIM($L1156),"'",""),"İ","I"),"ı","I"),"i","I"),"Ş","S"),"ş","S"),"Ğ","G"),"ğ","G"),"Ü","U"),"ü","U"),"Ö","O"),"ö","O"),"Ç","C"),"ç","C"),".",""),",","")," ",""),"-","")))</f>
        <v/>
      </c>
      <c r="T1156" s="3">
        <f>IF(OR($C1156="",$D1156&lt;&gt;"Gelir",$L1156=""),"",IFERROR(INDEX(MUSTERILER!$B$7:$B$106,MATCH($S1156,MUSTERILER!$T$7:$T$106,0)),""))</f>
        <v/>
      </c>
      <c r="U1156" s="3">
        <f>IF($T1156="","",$T1156&amp;"|"&amp;COUNTIFS($T$7:$T1156,$T1156))</f>
        <v/>
      </c>
      <c r="V1156" s="3">
        <f>IF($T1156="",0,1)</f>
        <v/>
      </c>
      <c r="W1156" s="3">
        <f>IF($C1156="","",$D1156&amp;"|"&amp;$E1156&amp;"|"&amp;TEXT($C1156,"0")&amp;"|"&amp;TEXT($G1156,"0")&amp;"|"&amp;$J1156)</f>
        <v/>
      </c>
      <c r="X1156" s="3" t="n"/>
      <c r="Y1156" s="3" t="n"/>
      <c r="Z1156" s="3" t="n"/>
      <c r="AA1156" s="3" t="n"/>
      <c r="AB1156" s="3" t="n"/>
      <c r="AC1156" s="3" t="n"/>
      <c r="AD1156" s="3">
        <f>IF($C1156="",0,SUMPRODUCT((AY_SONU!$O$7:$O$42="Evet")*(AY_SONU!$B$7:$B$42=DATE(YEAR($C1156),MONTH($C1156),1))))</f>
        <v/>
      </c>
    </row>
    <row r="1157">
      <c r="A1157" s="6" t="n"/>
      <c r="B1157" s="113">
        <f>IF($C1157="","","GG"&amp;TEXT(ROW()-6,"00000"))</f>
        <v/>
      </c>
      <c r="C1157" s="220" t="n"/>
      <c r="D1157" s="108" t="n"/>
      <c r="E1157" s="109" t="n"/>
      <c r="F1157" s="109" t="n"/>
      <c r="G1157" s="221" t="n"/>
      <c r="H1157" s="108" t="n"/>
      <c r="I1157" s="108" t="n"/>
      <c r="J1157" s="109" t="n"/>
      <c r="K1157" s="109" t="n"/>
      <c r="L1157" s="108" t="n"/>
      <c r="M1157" s="121">
        <f>IF($C1157="","",IF($D1157="Gider",$E1157,IF($L1157&lt;&gt;"",$L1157,$H1157)))</f>
        <v/>
      </c>
      <c r="N1157" s="121">
        <f>IF($C1157="","",IF($D1157="Gider",$H1157,$E1157))</f>
        <v/>
      </c>
      <c r="O1157" s="226">
        <f>IF($C1157="","",DATE(YEAR($C1157),MONTH($C1157),1))</f>
        <v/>
      </c>
      <c r="P1157" s="113">
        <f>IF($C1157="","",IF(AND($D1157="Gelir",$L1157&lt;&gt;"",$T1157=""),"TANIMSIZ BORÇLU",IF($T1157&lt;&gt;"",IF(OR($E1157="",$G1157&lt;=0),"EKSİK",IF($I1157="Evet","TAHAKKUK NAKİT OLAMAZ",IF($C1157&gt;TODAY(),"İLERİ TARİH","TAHAKKUK"))),IF(AND($D1157&lt;&gt;"",$E1157&lt;&gt;"",$G1157&gt;0,$H1157&lt;&gt;"",$I1157&lt;&gt;""),IF($C1157&gt;TODAY(),"İLERİ TARİH",IF(COUNTIF($W$7:$W$1206,$W1157)&gt;1,"MÜKERRER?",IF($AD1157&gt;0,"KAPALI DÖNEM",IF($I1157="Hayır","ÖDENECEK","UYGUN")))),"EKSİK"))))</f>
        <v/>
      </c>
      <c r="Q1157" s="6" t="n"/>
      <c r="R1157" s="6" t="n"/>
      <c r="S1157" s="3">
        <f>IF($L1157="","",UPPER(SUBSTITUTE(SUBSTITUTE(SUBSTITUTE(SUBSTITUTE(SUBSTITUTE(SUBSTITUTE(SUBSTITUTE(SUBSTITUTE(SUBSTITUTE(SUBSTITUTE(SUBSTITUTE(SUBSTITUTE(SUBSTITUTE(SUBSTITUTE(SUBSTITUTE(SUBSTITUTE(SUBSTITUTE(SUBSTITUTE(TRIM($L1157),"'",""),"İ","I"),"ı","I"),"i","I"),"Ş","S"),"ş","S"),"Ğ","G"),"ğ","G"),"Ü","U"),"ü","U"),"Ö","O"),"ö","O"),"Ç","C"),"ç","C"),".",""),",","")," ",""),"-","")))</f>
        <v/>
      </c>
      <c r="T1157" s="3">
        <f>IF(OR($C1157="",$D1157&lt;&gt;"Gelir",$L1157=""),"",IFERROR(INDEX(MUSTERILER!$B$7:$B$106,MATCH($S1157,MUSTERILER!$T$7:$T$106,0)),""))</f>
        <v/>
      </c>
      <c r="U1157" s="3">
        <f>IF($T1157="","",$T1157&amp;"|"&amp;COUNTIFS($T$7:$T1157,$T1157))</f>
        <v/>
      </c>
      <c r="V1157" s="3">
        <f>IF($T1157="",0,1)</f>
        <v/>
      </c>
      <c r="W1157" s="3">
        <f>IF($C1157="","",$D1157&amp;"|"&amp;$E1157&amp;"|"&amp;TEXT($C1157,"0")&amp;"|"&amp;TEXT($G1157,"0")&amp;"|"&amp;$J1157)</f>
        <v/>
      </c>
      <c r="X1157" s="3" t="n"/>
      <c r="Y1157" s="3" t="n"/>
      <c r="Z1157" s="3" t="n"/>
      <c r="AA1157" s="3" t="n"/>
      <c r="AB1157" s="3" t="n"/>
      <c r="AC1157" s="3" t="n"/>
      <c r="AD1157" s="3">
        <f>IF($C1157="",0,SUMPRODUCT((AY_SONU!$O$7:$O$42="Evet")*(AY_SONU!$B$7:$B$42=DATE(YEAR($C1157),MONTH($C1157),1))))</f>
        <v/>
      </c>
    </row>
    <row r="1158">
      <c r="A1158" s="6" t="n"/>
      <c r="B1158" s="113">
        <f>IF($C1158="","","GG"&amp;TEXT(ROW()-6,"00000"))</f>
        <v/>
      </c>
      <c r="C1158" s="220" t="n"/>
      <c r="D1158" s="108" t="n"/>
      <c r="E1158" s="109" t="n"/>
      <c r="F1158" s="109" t="n"/>
      <c r="G1158" s="221" t="n"/>
      <c r="H1158" s="108" t="n"/>
      <c r="I1158" s="108" t="n"/>
      <c r="J1158" s="109" t="n"/>
      <c r="K1158" s="109" t="n"/>
      <c r="L1158" s="108" t="n"/>
      <c r="M1158" s="121">
        <f>IF($C1158="","",IF($D1158="Gider",$E1158,IF($L1158&lt;&gt;"",$L1158,$H1158)))</f>
        <v/>
      </c>
      <c r="N1158" s="121">
        <f>IF($C1158="","",IF($D1158="Gider",$H1158,$E1158))</f>
        <v/>
      </c>
      <c r="O1158" s="226">
        <f>IF($C1158="","",DATE(YEAR($C1158),MONTH($C1158),1))</f>
        <v/>
      </c>
      <c r="P1158" s="113">
        <f>IF($C1158="","",IF(AND($D1158="Gelir",$L1158&lt;&gt;"",$T1158=""),"TANIMSIZ BORÇLU",IF($T1158&lt;&gt;"",IF(OR($E1158="",$G1158&lt;=0),"EKSİK",IF($I1158="Evet","TAHAKKUK NAKİT OLAMAZ",IF($C1158&gt;TODAY(),"İLERİ TARİH","TAHAKKUK"))),IF(AND($D1158&lt;&gt;"",$E1158&lt;&gt;"",$G1158&gt;0,$H1158&lt;&gt;"",$I1158&lt;&gt;""),IF($C1158&gt;TODAY(),"İLERİ TARİH",IF(COUNTIF($W$7:$W$1206,$W1158)&gt;1,"MÜKERRER?",IF($AD1158&gt;0,"KAPALI DÖNEM",IF($I1158="Hayır","ÖDENECEK","UYGUN")))),"EKSİK"))))</f>
        <v/>
      </c>
      <c r="Q1158" s="6" t="n"/>
      <c r="R1158" s="6" t="n"/>
      <c r="S1158" s="3">
        <f>IF($L1158="","",UPPER(SUBSTITUTE(SUBSTITUTE(SUBSTITUTE(SUBSTITUTE(SUBSTITUTE(SUBSTITUTE(SUBSTITUTE(SUBSTITUTE(SUBSTITUTE(SUBSTITUTE(SUBSTITUTE(SUBSTITUTE(SUBSTITUTE(SUBSTITUTE(SUBSTITUTE(SUBSTITUTE(SUBSTITUTE(SUBSTITUTE(TRIM($L1158),"'",""),"İ","I"),"ı","I"),"i","I"),"Ş","S"),"ş","S"),"Ğ","G"),"ğ","G"),"Ü","U"),"ü","U"),"Ö","O"),"ö","O"),"Ç","C"),"ç","C"),".",""),",","")," ",""),"-","")))</f>
        <v/>
      </c>
      <c r="T1158" s="3">
        <f>IF(OR($C1158="",$D1158&lt;&gt;"Gelir",$L1158=""),"",IFERROR(INDEX(MUSTERILER!$B$7:$B$106,MATCH($S1158,MUSTERILER!$T$7:$T$106,0)),""))</f>
        <v/>
      </c>
      <c r="U1158" s="3">
        <f>IF($T1158="","",$T1158&amp;"|"&amp;COUNTIFS($T$7:$T1158,$T1158))</f>
        <v/>
      </c>
      <c r="V1158" s="3">
        <f>IF($T1158="",0,1)</f>
        <v/>
      </c>
      <c r="W1158" s="3">
        <f>IF($C1158="","",$D1158&amp;"|"&amp;$E1158&amp;"|"&amp;TEXT($C1158,"0")&amp;"|"&amp;TEXT($G1158,"0")&amp;"|"&amp;$J1158)</f>
        <v/>
      </c>
      <c r="X1158" s="3" t="n"/>
      <c r="Y1158" s="3" t="n"/>
      <c r="Z1158" s="3" t="n"/>
      <c r="AA1158" s="3" t="n"/>
      <c r="AB1158" s="3" t="n"/>
      <c r="AC1158" s="3" t="n"/>
      <c r="AD1158" s="3">
        <f>IF($C1158="",0,SUMPRODUCT((AY_SONU!$O$7:$O$42="Evet")*(AY_SONU!$B$7:$B$42=DATE(YEAR($C1158),MONTH($C1158),1))))</f>
        <v/>
      </c>
    </row>
    <row r="1159">
      <c r="A1159" s="6" t="n"/>
      <c r="B1159" s="113">
        <f>IF($C1159="","","GG"&amp;TEXT(ROW()-6,"00000"))</f>
        <v/>
      </c>
      <c r="C1159" s="220" t="n"/>
      <c r="D1159" s="108" t="n"/>
      <c r="E1159" s="109" t="n"/>
      <c r="F1159" s="109" t="n"/>
      <c r="G1159" s="221" t="n"/>
      <c r="H1159" s="108" t="n"/>
      <c r="I1159" s="108" t="n"/>
      <c r="J1159" s="109" t="n"/>
      <c r="K1159" s="109" t="n"/>
      <c r="L1159" s="108" t="n"/>
      <c r="M1159" s="121">
        <f>IF($C1159="","",IF($D1159="Gider",$E1159,IF($L1159&lt;&gt;"",$L1159,$H1159)))</f>
        <v/>
      </c>
      <c r="N1159" s="121">
        <f>IF($C1159="","",IF($D1159="Gider",$H1159,$E1159))</f>
        <v/>
      </c>
      <c r="O1159" s="226">
        <f>IF($C1159="","",DATE(YEAR($C1159),MONTH($C1159),1))</f>
        <v/>
      </c>
      <c r="P1159" s="113">
        <f>IF($C1159="","",IF(AND($D1159="Gelir",$L1159&lt;&gt;"",$T1159=""),"TANIMSIZ BORÇLU",IF($T1159&lt;&gt;"",IF(OR($E1159="",$G1159&lt;=0),"EKSİK",IF($I1159="Evet","TAHAKKUK NAKİT OLAMAZ",IF($C1159&gt;TODAY(),"İLERİ TARİH","TAHAKKUK"))),IF(AND($D1159&lt;&gt;"",$E1159&lt;&gt;"",$G1159&gt;0,$H1159&lt;&gt;"",$I1159&lt;&gt;""),IF($C1159&gt;TODAY(),"İLERİ TARİH",IF(COUNTIF($W$7:$W$1206,$W1159)&gt;1,"MÜKERRER?",IF($AD1159&gt;0,"KAPALI DÖNEM",IF($I1159="Hayır","ÖDENECEK","UYGUN")))),"EKSİK"))))</f>
        <v/>
      </c>
      <c r="Q1159" s="6" t="n"/>
      <c r="R1159" s="6" t="n"/>
      <c r="S1159" s="3">
        <f>IF($L1159="","",UPPER(SUBSTITUTE(SUBSTITUTE(SUBSTITUTE(SUBSTITUTE(SUBSTITUTE(SUBSTITUTE(SUBSTITUTE(SUBSTITUTE(SUBSTITUTE(SUBSTITUTE(SUBSTITUTE(SUBSTITUTE(SUBSTITUTE(SUBSTITUTE(SUBSTITUTE(SUBSTITUTE(SUBSTITUTE(SUBSTITUTE(TRIM($L1159),"'",""),"İ","I"),"ı","I"),"i","I"),"Ş","S"),"ş","S"),"Ğ","G"),"ğ","G"),"Ü","U"),"ü","U"),"Ö","O"),"ö","O"),"Ç","C"),"ç","C"),".",""),",","")," ",""),"-","")))</f>
        <v/>
      </c>
      <c r="T1159" s="3">
        <f>IF(OR($C1159="",$D1159&lt;&gt;"Gelir",$L1159=""),"",IFERROR(INDEX(MUSTERILER!$B$7:$B$106,MATCH($S1159,MUSTERILER!$T$7:$T$106,0)),""))</f>
        <v/>
      </c>
      <c r="U1159" s="3">
        <f>IF($T1159="","",$T1159&amp;"|"&amp;COUNTIFS($T$7:$T1159,$T1159))</f>
        <v/>
      </c>
      <c r="V1159" s="3">
        <f>IF($T1159="",0,1)</f>
        <v/>
      </c>
      <c r="W1159" s="3">
        <f>IF($C1159="","",$D1159&amp;"|"&amp;$E1159&amp;"|"&amp;TEXT($C1159,"0")&amp;"|"&amp;TEXT($G1159,"0")&amp;"|"&amp;$J1159)</f>
        <v/>
      </c>
      <c r="X1159" s="3" t="n"/>
      <c r="Y1159" s="3" t="n"/>
      <c r="Z1159" s="3" t="n"/>
      <c r="AA1159" s="3" t="n"/>
      <c r="AB1159" s="3" t="n"/>
      <c r="AC1159" s="3" t="n"/>
      <c r="AD1159" s="3">
        <f>IF($C1159="",0,SUMPRODUCT((AY_SONU!$O$7:$O$42="Evet")*(AY_SONU!$B$7:$B$42=DATE(YEAR($C1159),MONTH($C1159),1))))</f>
        <v/>
      </c>
    </row>
    <row r="1160">
      <c r="A1160" s="6" t="n"/>
      <c r="B1160" s="113">
        <f>IF($C1160="","","GG"&amp;TEXT(ROW()-6,"00000"))</f>
        <v/>
      </c>
      <c r="C1160" s="220" t="n"/>
      <c r="D1160" s="108" t="n"/>
      <c r="E1160" s="109" t="n"/>
      <c r="F1160" s="109" t="n"/>
      <c r="G1160" s="221" t="n"/>
      <c r="H1160" s="108" t="n"/>
      <c r="I1160" s="108" t="n"/>
      <c r="J1160" s="109" t="n"/>
      <c r="K1160" s="109" t="n"/>
      <c r="L1160" s="108" t="n"/>
      <c r="M1160" s="121">
        <f>IF($C1160="","",IF($D1160="Gider",$E1160,IF($L1160&lt;&gt;"",$L1160,$H1160)))</f>
        <v/>
      </c>
      <c r="N1160" s="121">
        <f>IF($C1160="","",IF($D1160="Gider",$H1160,$E1160))</f>
        <v/>
      </c>
      <c r="O1160" s="226">
        <f>IF($C1160="","",DATE(YEAR($C1160),MONTH($C1160),1))</f>
        <v/>
      </c>
      <c r="P1160" s="113">
        <f>IF($C1160="","",IF(AND($D1160="Gelir",$L1160&lt;&gt;"",$T1160=""),"TANIMSIZ BORÇLU",IF($T1160&lt;&gt;"",IF(OR($E1160="",$G1160&lt;=0),"EKSİK",IF($I1160="Evet","TAHAKKUK NAKİT OLAMAZ",IF($C1160&gt;TODAY(),"İLERİ TARİH","TAHAKKUK"))),IF(AND($D1160&lt;&gt;"",$E1160&lt;&gt;"",$G1160&gt;0,$H1160&lt;&gt;"",$I1160&lt;&gt;""),IF($C1160&gt;TODAY(),"İLERİ TARİH",IF(COUNTIF($W$7:$W$1206,$W1160)&gt;1,"MÜKERRER?",IF($AD1160&gt;0,"KAPALI DÖNEM",IF($I1160="Hayır","ÖDENECEK","UYGUN")))),"EKSİK"))))</f>
        <v/>
      </c>
      <c r="Q1160" s="6" t="n"/>
      <c r="R1160" s="6" t="n"/>
      <c r="S1160" s="3">
        <f>IF($L1160="","",UPPER(SUBSTITUTE(SUBSTITUTE(SUBSTITUTE(SUBSTITUTE(SUBSTITUTE(SUBSTITUTE(SUBSTITUTE(SUBSTITUTE(SUBSTITUTE(SUBSTITUTE(SUBSTITUTE(SUBSTITUTE(SUBSTITUTE(SUBSTITUTE(SUBSTITUTE(SUBSTITUTE(SUBSTITUTE(SUBSTITUTE(TRIM($L1160),"'",""),"İ","I"),"ı","I"),"i","I"),"Ş","S"),"ş","S"),"Ğ","G"),"ğ","G"),"Ü","U"),"ü","U"),"Ö","O"),"ö","O"),"Ç","C"),"ç","C"),".",""),",","")," ",""),"-","")))</f>
        <v/>
      </c>
      <c r="T1160" s="3">
        <f>IF(OR($C1160="",$D1160&lt;&gt;"Gelir",$L1160=""),"",IFERROR(INDEX(MUSTERILER!$B$7:$B$106,MATCH($S1160,MUSTERILER!$T$7:$T$106,0)),""))</f>
        <v/>
      </c>
      <c r="U1160" s="3">
        <f>IF($T1160="","",$T1160&amp;"|"&amp;COUNTIFS($T$7:$T1160,$T1160))</f>
        <v/>
      </c>
      <c r="V1160" s="3">
        <f>IF($T1160="",0,1)</f>
        <v/>
      </c>
      <c r="W1160" s="3">
        <f>IF($C1160="","",$D1160&amp;"|"&amp;$E1160&amp;"|"&amp;TEXT($C1160,"0")&amp;"|"&amp;TEXT($G1160,"0")&amp;"|"&amp;$J1160)</f>
        <v/>
      </c>
      <c r="X1160" s="3" t="n"/>
      <c r="Y1160" s="3" t="n"/>
      <c r="Z1160" s="3" t="n"/>
      <c r="AA1160" s="3" t="n"/>
      <c r="AB1160" s="3" t="n"/>
      <c r="AC1160" s="3" t="n"/>
      <c r="AD1160" s="3">
        <f>IF($C1160="",0,SUMPRODUCT((AY_SONU!$O$7:$O$42="Evet")*(AY_SONU!$B$7:$B$42=DATE(YEAR($C1160),MONTH($C1160),1))))</f>
        <v/>
      </c>
    </row>
    <row r="1161">
      <c r="A1161" s="6" t="n"/>
      <c r="B1161" s="113">
        <f>IF($C1161="","","GG"&amp;TEXT(ROW()-6,"00000"))</f>
        <v/>
      </c>
      <c r="C1161" s="220" t="n"/>
      <c r="D1161" s="108" t="n"/>
      <c r="E1161" s="109" t="n"/>
      <c r="F1161" s="109" t="n"/>
      <c r="G1161" s="221" t="n"/>
      <c r="H1161" s="108" t="n"/>
      <c r="I1161" s="108" t="n"/>
      <c r="J1161" s="109" t="n"/>
      <c r="K1161" s="109" t="n"/>
      <c r="L1161" s="108" t="n"/>
      <c r="M1161" s="121">
        <f>IF($C1161="","",IF($D1161="Gider",$E1161,IF($L1161&lt;&gt;"",$L1161,$H1161)))</f>
        <v/>
      </c>
      <c r="N1161" s="121">
        <f>IF($C1161="","",IF($D1161="Gider",$H1161,$E1161))</f>
        <v/>
      </c>
      <c r="O1161" s="226">
        <f>IF($C1161="","",DATE(YEAR($C1161),MONTH($C1161),1))</f>
        <v/>
      </c>
      <c r="P1161" s="113">
        <f>IF($C1161="","",IF(AND($D1161="Gelir",$L1161&lt;&gt;"",$T1161=""),"TANIMSIZ BORÇLU",IF($T1161&lt;&gt;"",IF(OR($E1161="",$G1161&lt;=0),"EKSİK",IF($I1161="Evet","TAHAKKUK NAKİT OLAMAZ",IF($C1161&gt;TODAY(),"İLERİ TARİH","TAHAKKUK"))),IF(AND($D1161&lt;&gt;"",$E1161&lt;&gt;"",$G1161&gt;0,$H1161&lt;&gt;"",$I1161&lt;&gt;""),IF($C1161&gt;TODAY(),"İLERİ TARİH",IF(COUNTIF($W$7:$W$1206,$W1161)&gt;1,"MÜKERRER?",IF($AD1161&gt;0,"KAPALI DÖNEM",IF($I1161="Hayır","ÖDENECEK","UYGUN")))),"EKSİK"))))</f>
        <v/>
      </c>
      <c r="Q1161" s="6" t="n"/>
      <c r="R1161" s="6" t="n"/>
      <c r="S1161" s="3">
        <f>IF($L1161="","",UPPER(SUBSTITUTE(SUBSTITUTE(SUBSTITUTE(SUBSTITUTE(SUBSTITUTE(SUBSTITUTE(SUBSTITUTE(SUBSTITUTE(SUBSTITUTE(SUBSTITUTE(SUBSTITUTE(SUBSTITUTE(SUBSTITUTE(SUBSTITUTE(SUBSTITUTE(SUBSTITUTE(SUBSTITUTE(SUBSTITUTE(TRIM($L1161),"'",""),"İ","I"),"ı","I"),"i","I"),"Ş","S"),"ş","S"),"Ğ","G"),"ğ","G"),"Ü","U"),"ü","U"),"Ö","O"),"ö","O"),"Ç","C"),"ç","C"),".",""),",","")," ",""),"-","")))</f>
        <v/>
      </c>
      <c r="T1161" s="3">
        <f>IF(OR($C1161="",$D1161&lt;&gt;"Gelir",$L1161=""),"",IFERROR(INDEX(MUSTERILER!$B$7:$B$106,MATCH($S1161,MUSTERILER!$T$7:$T$106,0)),""))</f>
        <v/>
      </c>
      <c r="U1161" s="3">
        <f>IF($T1161="","",$T1161&amp;"|"&amp;COUNTIFS($T$7:$T1161,$T1161))</f>
        <v/>
      </c>
      <c r="V1161" s="3">
        <f>IF($T1161="",0,1)</f>
        <v/>
      </c>
      <c r="W1161" s="3">
        <f>IF($C1161="","",$D1161&amp;"|"&amp;$E1161&amp;"|"&amp;TEXT($C1161,"0")&amp;"|"&amp;TEXT($G1161,"0")&amp;"|"&amp;$J1161)</f>
        <v/>
      </c>
      <c r="X1161" s="3" t="n"/>
      <c r="Y1161" s="3" t="n"/>
      <c r="Z1161" s="3" t="n"/>
      <c r="AA1161" s="3" t="n"/>
      <c r="AB1161" s="3" t="n"/>
      <c r="AC1161" s="3" t="n"/>
      <c r="AD1161" s="3">
        <f>IF($C1161="",0,SUMPRODUCT((AY_SONU!$O$7:$O$42="Evet")*(AY_SONU!$B$7:$B$42=DATE(YEAR($C1161),MONTH($C1161),1))))</f>
        <v/>
      </c>
    </row>
    <row r="1162">
      <c r="A1162" s="6" t="n"/>
      <c r="B1162" s="113">
        <f>IF($C1162="","","GG"&amp;TEXT(ROW()-6,"00000"))</f>
        <v/>
      </c>
      <c r="C1162" s="220" t="n"/>
      <c r="D1162" s="108" t="n"/>
      <c r="E1162" s="109" t="n"/>
      <c r="F1162" s="109" t="n"/>
      <c r="G1162" s="221" t="n"/>
      <c r="H1162" s="108" t="n"/>
      <c r="I1162" s="108" t="n"/>
      <c r="J1162" s="109" t="n"/>
      <c r="K1162" s="109" t="n"/>
      <c r="L1162" s="108" t="n"/>
      <c r="M1162" s="121">
        <f>IF($C1162="","",IF($D1162="Gider",$E1162,IF($L1162&lt;&gt;"",$L1162,$H1162)))</f>
        <v/>
      </c>
      <c r="N1162" s="121">
        <f>IF($C1162="","",IF($D1162="Gider",$H1162,$E1162))</f>
        <v/>
      </c>
      <c r="O1162" s="226">
        <f>IF($C1162="","",DATE(YEAR($C1162),MONTH($C1162),1))</f>
        <v/>
      </c>
      <c r="P1162" s="113">
        <f>IF($C1162="","",IF(AND($D1162="Gelir",$L1162&lt;&gt;"",$T1162=""),"TANIMSIZ BORÇLU",IF($T1162&lt;&gt;"",IF(OR($E1162="",$G1162&lt;=0),"EKSİK",IF($I1162="Evet","TAHAKKUK NAKİT OLAMAZ",IF($C1162&gt;TODAY(),"İLERİ TARİH","TAHAKKUK"))),IF(AND($D1162&lt;&gt;"",$E1162&lt;&gt;"",$G1162&gt;0,$H1162&lt;&gt;"",$I1162&lt;&gt;""),IF($C1162&gt;TODAY(),"İLERİ TARİH",IF(COUNTIF($W$7:$W$1206,$W1162)&gt;1,"MÜKERRER?",IF($AD1162&gt;0,"KAPALI DÖNEM",IF($I1162="Hayır","ÖDENECEK","UYGUN")))),"EKSİK"))))</f>
        <v/>
      </c>
      <c r="Q1162" s="6" t="n"/>
      <c r="R1162" s="6" t="n"/>
      <c r="S1162" s="3">
        <f>IF($L1162="","",UPPER(SUBSTITUTE(SUBSTITUTE(SUBSTITUTE(SUBSTITUTE(SUBSTITUTE(SUBSTITUTE(SUBSTITUTE(SUBSTITUTE(SUBSTITUTE(SUBSTITUTE(SUBSTITUTE(SUBSTITUTE(SUBSTITUTE(SUBSTITUTE(SUBSTITUTE(SUBSTITUTE(SUBSTITUTE(SUBSTITUTE(TRIM($L1162),"'",""),"İ","I"),"ı","I"),"i","I"),"Ş","S"),"ş","S"),"Ğ","G"),"ğ","G"),"Ü","U"),"ü","U"),"Ö","O"),"ö","O"),"Ç","C"),"ç","C"),".",""),",","")," ",""),"-","")))</f>
        <v/>
      </c>
      <c r="T1162" s="3">
        <f>IF(OR($C1162="",$D1162&lt;&gt;"Gelir",$L1162=""),"",IFERROR(INDEX(MUSTERILER!$B$7:$B$106,MATCH($S1162,MUSTERILER!$T$7:$T$106,0)),""))</f>
        <v/>
      </c>
      <c r="U1162" s="3">
        <f>IF($T1162="","",$T1162&amp;"|"&amp;COUNTIFS($T$7:$T1162,$T1162))</f>
        <v/>
      </c>
      <c r="V1162" s="3">
        <f>IF($T1162="",0,1)</f>
        <v/>
      </c>
      <c r="W1162" s="3">
        <f>IF($C1162="","",$D1162&amp;"|"&amp;$E1162&amp;"|"&amp;TEXT($C1162,"0")&amp;"|"&amp;TEXT($G1162,"0")&amp;"|"&amp;$J1162)</f>
        <v/>
      </c>
      <c r="X1162" s="3" t="n"/>
      <c r="Y1162" s="3" t="n"/>
      <c r="Z1162" s="3" t="n"/>
      <c r="AA1162" s="3" t="n"/>
      <c r="AB1162" s="3" t="n"/>
      <c r="AC1162" s="3" t="n"/>
      <c r="AD1162" s="3">
        <f>IF($C1162="",0,SUMPRODUCT((AY_SONU!$O$7:$O$42="Evet")*(AY_SONU!$B$7:$B$42=DATE(YEAR($C1162),MONTH($C1162),1))))</f>
        <v/>
      </c>
    </row>
    <row r="1163">
      <c r="A1163" s="6" t="n"/>
      <c r="B1163" s="113">
        <f>IF($C1163="","","GG"&amp;TEXT(ROW()-6,"00000"))</f>
        <v/>
      </c>
      <c r="C1163" s="220" t="n"/>
      <c r="D1163" s="108" t="n"/>
      <c r="E1163" s="109" t="n"/>
      <c r="F1163" s="109" t="n"/>
      <c r="G1163" s="221" t="n"/>
      <c r="H1163" s="108" t="n"/>
      <c r="I1163" s="108" t="n"/>
      <c r="J1163" s="109" t="n"/>
      <c r="K1163" s="109" t="n"/>
      <c r="L1163" s="108" t="n"/>
      <c r="M1163" s="121">
        <f>IF($C1163="","",IF($D1163="Gider",$E1163,IF($L1163&lt;&gt;"",$L1163,$H1163)))</f>
        <v/>
      </c>
      <c r="N1163" s="121">
        <f>IF($C1163="","",IF($D1163="Gider",$H1163,$E1163))</f>
        <v/>
      </c>
      <c r="O1163" s="226">
        <f>IF($C1163="","",DATE(YEAR($C1163),MONTH($C1163),1))</f>
        <v/>
      </c>
      <c r="P1163" s="113">
        <f>IF($C1163="","",IF(AND($D1163="Gelir",$L1163&lt;&gt;"",$T1163=""),"TANIMSIZ BORÇLU",IF($T1163&lt;&gt;"",IF(OR($E1163="",$G1163&lt;=0),"EKSİK",IF($I1163="Evet","TAHAKKUK NAKİT OLAMAZ",IF($C1163&gt;TODAY(),"İLERİ TARİH","TAHAKKUK"))),IF(AND($D1163&lt;&gt;"",$E1163&lt;&gt;"",$G1163&gt;0,$H1163&lt;&gt;"",$I1163&lt;&gt;""),IF($C1163&gt;TODAY(),"İLERİ TARİH",IF(COUNTIF($W$7:$W$1206,$W1163)&gt;1,"MÜKERRER?",IF($AD1163&gt;0,"KAPALI DÖNEM",IF($I1163="Hayır","ÖDENECEK","UYGUN")))),"EKSİK"))))</f>
        <v/>
      </c>
      <c r="Q1163" s="6" t="n"/>
      <c r="R1163" s="6" t="n"/>
      <c r="S1163" s="3">
        <f>IF($L1163="","",UPPER(SUBSTITUTE(SUBSTITUTE(SUBSTITUTE(SUBSTITUTE(SUBSTITUTE(SUBSTITUTE(SUBSTITUTE(SUBSTITUTE(SUBSTITUTE(SUBSTITUTE(SUBSTITUTE(SUBSTITUTE(SUBSTITUTE(SUBSTITUTE(SUBSTITUTE(SUBSTITUTE(SUBSTITUTE(SUBSTITUTE(TRIM($L1163),"'",""),"İ","I"),"ı","I"),"i","I"),"Ş","S"),"ş","S"),"Ğ","G"),"ğ","G"),"Ü","U"),"ü","U"),"Ö","O"),"ö","O"),"Ç","C"),"ç","C"),".",""),",","")," ",""),"-","")))</f>
        <v/>
      </c>
      <c r="T1163" s="3">
        <f>IF(OR($C1163="",$D1163&lt;&gt;"Gelir",$L1163=""),"",IFERROR(INDEX(MUSTERILER!$B$7:$B$106,MATCH($S1163,MUSTERILER!$T$7:$T$106,0)),""))</f>
        <v/>
      </c>
      <c r="U1163" s="3">
        <f>IF($T1163="","",$T1163&amp;"|"&amp;COUNTIFS($T$7:$T1163,$T1163))</f>
        <v/>
      </c>
      <c r="V1163" s="3">
        <f>IF($T1163="",0,1)</f>
        <v/>
      </c>
      <c r="W1163" s="3">
        <f>IF($C1163="","",$D1163&amp;"|"&amp;$E1163&amp;"|"&amp;TEXT($C1163,"0")&amp;"|"&amp;TEXT($G1163,"0")&amp;"|"&amp;$J1163)</f>
        <v/>
      </c>
      <c r="X1163" s="3" t="n"/>
      <c r="Y1163" s="3" t="n"/>
      <c r="Z1163" s="3" t="n"/>
      <c r="AA1163" s="3" t="n"/>
      <c r="AB1163" s="3" t="n"/>
      <c r="AC1163" s="3" t="n"/>
      <c r="AD1163" s="3">
        <f>IF($C1163="",0,SUMPRODUCT((AY_SONU!$O$7:$O$42="Evet")*(AY_SONU!$B$7:$B$42=DATE(YEAR($C1163),MONTH($C1163),1))))</f>
        <v/>
      </c>
    </row>
    <row r="1164">
      <c r="A1164" s="6" t="n"/>
      <c r="B1164" s="113">
        <f>IF($C1164="","","GG"&amp;TEXT(ROW()-6,"00000"))</f>
        <v/>
      </c>
      <c r="C1164" s="220" t="n"/>
      <c r="D1164" s="108" t="n"/>
      <c r="E1164" s="109" t="n"/>
      <c r="F1164" s="109" t="n"/>
      <c r="G1164" s="221" t="n"/>
      <c r="H1164" s="108" t="n"/>
      <c r="I1164" s="108" t="n"/>
      <c r="J1164" s="109" t="n"/>
      <c r="K1164" s="109" t="n"/>
      <c r="L1164" s="108" t="n"/>
      <c r="M1164" s="121">
        <f>IF($C1164="","",IF($D1164="Gider",$E1164,IF($L1164&lt;&gt;"",$L1164,$H1164)))</f>
        <v/>
      </c>
      <c r="N1164" s="121">
        <f>IF($C1164="","",IF($D1164="Gider",$H1164,$E1164))</f>
        <v/>
      </c>
      <c r="O1164" s="226">
        <f>IF($C1164="","",DATE(YEAR($C1164),MONTH($C1164),1))</f>
        <v/>
      </c>
      <c r="P1164" s="113">
        <f>IF($C1164="","",IF(AND($D1164="Gelir",$L1164&lt;&gt;"",$T1164=""),"TANIMSIZ BORÇLU",IF($T1164&lt;&gt;"",IF(OR($E1164="",$G1164&lt;=0),"EKSİK",IF($I1164="Evet","TAHAKKUK NAKİT OLAMAZ",IF($C1164&gt;TODAY(),"İLERİ TARİH","TAHAKKUK"))),IF(AND($D1164&lt;&gt;"",$E1164&lt;&gt;"",$G1164&gt;0,$H1164&lt;&gt;"",$I1164&lt;&gt;""),IF($C1164&gt;TODAY(),"İLERİ TARİH",IF(COUNTIF($W$7:$W$1206,$W1164)&gt;1,"MÜKERRER?",IF($AD1164&gt;0,"KAPALI DÖNEM",IF($I1164="Hayır","ÖDENECEK","UYGUN")))),"EKSİK"))))</f>
        <v/>
      </c>
      <c r="Q1164" s="6" t="n"/>
      <c r="R1164" s="6" t="n"/>
      <c r="S1164" s="3">
        <f>IF($L1164="","",UPPER(SUBSTITUTE(SUBSTITUTE(SUBSTITUTE(SUBSTITUTE(SUBSTITUTE(SUBSTITUTE(SUBSTITUTE(SUBSTITUTE(SUBSTITUTE(SUBSTITUTE(SUBSTITUTE(SUBSTITUTE(SUBSTITUTE(SUBSTITUTE(SUBSTITUTE(SUBSTITUTE(SUBSTITUTE(SUBSTITUTE(TRIM($L1164),"'",""),"İ","I"),"ı","I"),"i","I"),"Ş","S"),"ş","S"),"Ğ","G"),"ğ","G"),"Ü","U"),"ü","U"),"Ö","O"),"ö","O"),"Ç","C"),"ç","C"),".",""),",","")," ",""),"-","")))</f>
        <v/>
      </c>
      <c r="T1164" s="3">
        <f>IF(OR($C1164="",$D1164&lt;&gt;"Gelir",$L1164=""),"",IFERROR(INDEX(MUSTERILER!$B$7:$B$106,MATCH($S1164,MUSTERILER!$T$7:$T$106,0)),""))</f>
        <v/>
      </c>
      <c r="U1164" s="3">
        <f>IF($T1164="","",$T1164&amp;"|"&amp;COUNTIFS($T$7:$T1164,$T1164))</f>
        <v/>
      </c>
      <c r="V1164" s="3">
        <f>IF($T1164="",0,1)</f>
        <v/>
      </c>
      <c r="W1164" s="3">
        <f>IF($C1164="","",$D1164&amp;"|"&amp;$E1164&amp;"|"&amp;TEXT($C1164,"0")&amp;"|"&amp;TEXT($G1164,"0")&amp;"|"&amp;$J1164)</f>
        <v/>
      </c>
      <c r="X1164" s="3" t="n"/>
      <c r="Y1164" s="3" t="n"/>
      <c r="Z1164" s="3" t="n"/>
      <c r="AA1164" s="3" t="n"/>
      <c r="AB1164" s="3" t="n"/>
      <c r="AC1164" s="3" t="n"/>
      <c r="AD1164" s="3">
        <f>IF($C1164="",0,SUMPRODUCT((AY_SONU!$O$7:$O$42="Evet")*(AY_SONU!$B$7:$B$42=DATE(YEAR($C1164),MONTH($C1164),1))))</f>
        <v/>
      </c>
    </row>
    <row r="1165">
      <c r="A1165" s="6" t="n"/>
      <c r="B1165" s="113">
        <f>IF($C1165="","","GG"&amp;TEXT(ROW()-6,"00000"))</f>
        <v/>
      </c>
      <c r="C1165" s="220" t="n"/>
      <c r="D1165" s="108" t="n"/>
      <c r="E1165" s="109" t="n"/>
      <c r="F1165" s="109" t="n"/>
      <c r="G1165" s="221" t="n"/>
      <c r="H1165" s="108" t="n"/>
      <c r="I1165" s="108" t="n"/>
      <c r="J1165" s="109" t="n"/>
      <c r="K1165" s="109" t="n"/>
      <c r="L1165" s="108" t="n"/>
      <c r="M1165" s="121">
        <f>IF($C1165="","",IF($D1165="Gider",$E1165,IF($L1165&lt;&gt;"",$L1165,$H1165)))</f>
        <v/>
      </c>
      <c r="N1165" s="121">
        <f>IF($C1165="","",IF($D1165="Gider",$H1165,$E1165))</f>
        <v/>
      </c>
      <c r="O1165" s="226">
        <f>IF($C1165="","",DATE(YEAR($C1165),MONTH($C1165),1))</f>
        <v/>
      </c>
      <c r="P1165" s="113">
        <f>IF($C1165="","",IF(AND($D1165="Gelir",$L1165&lt;&gt;"",$T1165=""),"TANIMSIZ BORÇLU",IF($T1165&lt;&gt;"",IF(OR($E1165="",$G1165&lt;=0),"EKSİK",IF($I1165="Evet","TAHAKKUK NAKİT OLAMAZ",IF($C1165&gt;TODAY(),"İLERİ TARİH","TAHAKKUK"))),IF(AND($D1165&lt;&gt;"",$E1165&lt;&gt;"",$G1165&gt;0,$H1165&lt;&gt;"",$I1165&lt;&gt;""),IF($C1165&gt;TODAY(),"İLERİ TARİH",IF(COUNTIF($W$7:$W$1206,$W1165)&gt;1,"MÜKERRER?",IF($AD1165&gt;0,"KAPALI DÖNEM",IF($I1165="Hayır","ÖDENECEK","UYGUN")))),"EKSİK"))))</f>
        <v/>
      </c>
      <c r="Q1165" s="6" t="n"/>
      <c r="R1165" s="6" t="n"/>
      <c r="S1165" s="3">
        <f>IF($L1165="","",UPPER(SUBSTITUTE(SUBSTITUTE(SUBSTITUTE(SUBSTITUTE(SUBSTITUTE(SUBSTITUTE(SUBSTITUTE(SUBSTITUTE(SUBSTITUTE(SUBSTITUTE(SUBSTITUTE(SUBSTITUTE(SUBSTITUTE(SUBSTITUTE(SUBSTITUTE(SUBSTITUTE(SUBSTITUTE(SUBSTITUTE(TRIM($L1165),"'",""),"İ","I"),"ı","I"),"i","I"),"Ş","S"),"ş","S"),"Ğ","G"),"ğ","G"),"Ü","U"),"ü","U"),"Ö","O"),"ö","O"),"Ç","C"),"ç","C"),".",""),",","")," ",""),"-","")))</f>
        <v/>
      </c>
      <c r="T1165" s="3">
        <f>IF(OR($C1165="",$D1165&lt;&gt;"Gelir",$L1165=""),"",IFERROR(INDEX(MUSTERILER!$B$7:$B$106,MATCH($S1165,MUSTERILER!$T$7:$T$106,0)),""))</f>
        <v/>
      </c>
      <c r="U1165" s="3">
        <f>IF($T1165="","",$T1165&amp;"|"&amp;COUNTIFS($T$7:$T1165,$T1165))</f>
        <v/>
      </c>
      <c r="V1165" s="3">
        <f>IF($T1165="",0,1)</f>
        <v/>
      </c>
      <c r="W1165" s="3">
        <f>IF($C1165="","",$D1165&amp;"|"&amp;$E1165&amp;"|"&amp;TEXT($C1165,"0")&amp;"|"&amp;TEXT($G1165,"0")&amp;"|"&amp;$J1165)</f>
        <v/>
      </c>
      <c r="X1165" s="3" t="n"/>
      <c r="Y1165" s="3" t="n"/>
      <c r="Z1165" s="3" t="n"/>
      <c r="AA1165" s="3" t="n"/>
      <c r="AB1165" s="3" t="n"/>
      <c r="AC1165" s="3" t="n"/>
      <c r="AD1165" s="3">
        <f>IF($C1165="",0,SUMPRODUCT((AY_SONU!$O$7:$O$42="Evet")*(AY_SONU!$B$7:$B$42=DATE(YEAR($C1165),MONTH($C1165),1))))</f>
        <v/>
      </c>
    </row>
    <row r="1166">
      <c r="A1166" s="6" t="n"/>
      <c r="B1166" s="113">
        <f>IF($C1166="","","GG"&amp;TEXT(ROW()-6,"00000"))</f>
        <v/>
      </c>
      <c r="C1166" s="220" t="n"/>
      <c r="D1166" s="108" t="n"/>
      <c r="E1166" s="109" t="n"/>
      <c r="F1166" s="109" t="n"/>
      <c r="G1166" s="221" t="n"/>
      <c r="H1166" s="108" t="n"/>
      <c r="I1166" s="108" t="n"/>
      <c r="J1166" s="109" t="n"/>
      <c r="K1166" s="109" t="n"/>
      <c r="L1166" s="108" t="n"/>
      <c r="M1166" s="121">
        <f>IF($C1166="","",IF($D1166="Gider",$E1166,IF($L1166&lt;&gt;"",$L1166,$H1166)))</f>
        <v/>
      </c>
      <c r="N1166" s="121">
        <f>IF($C1166="","",IF($D1166="Gider",$H1166,$E1166))</f>
        <v/>
      </c>
      <c r="O1166" s="226">
        <f>IF($C1166="","",DATE(YEAR($C1166),MONTH($C1166),1))</f>
        <v/>
      </c>
      <c r="P1166" s="113">
        <f>IF($C1166="","",IF(AND($D1166="Gelir",$L1166&lt;&gt;"",$T1166=""),"TANIMSIZ BORÇLU",IF($T1166&lt;&gt;"",IF(OR($E1166="",$G1166&lt;=0),"EKSİK",IF($I1166="Evet","TAHAKKUK NAKİT OLAMAZ",IF($C1166&gt;TODAY(),"İLERİ TARİH","TAHAKKUK"))),IF(AND($D1166&lt;&gt;"",$E1166&lt;&gt;"",$G1166&gt;0,$H1166&lt;&gt;"",$I1166&lt;&gt;""),IF($C1166&gt;TODAY(),"İLERİ TARİH",IF(COUNTIF($W$7:$W$1206,$W1166)&gt;1,"MÜKERRER?",IF($AD1166&gt;0,"KAPALI DÖNEM",IF($I1166="Hayır","ÖDENECEK","UYGUN")))),"EKSİK"))))</f>
        <v/>
      </c>
      <c r="Q1166" s="6" t="n"/>
      <c r="R1166" s="6" t="n"/>
      <c r="S1166" s="3">
        <f>IF($L1166="","",UPPER(SUBSTITUTE(SUBSTITUTE(SUBSTITUTE(SUBSTITUTE(SUBSTITUTE(SUBSTITUTE(SUBSTITUTE(SUBSTITUTE(SUBSTITUTE(SUBSTITUTE(SUBSTITUTE(SUBSTITUTE(SUBSTITUTE(SUBSTITUTE(SUBSTITUTE(SUBSTITUTE(SUBSTITUTE(SUBSTITUTE(TRIM($L1166),"'",""),"İ","I"),"ı","I"),"i","I"),"Ş","S"),"ş","S"),"Ğ","G"),"ğ","G"),"Ü","U"),"ü","U"),"Ö","O"),"ö","O"),"Ç","C"),"ç","C"),".",""),",","")," ",""),"-","")))</f>
        <v/>
      </c>
      <c r="T1166" s="3">
        <f>IF(OR($C1166="",$D1166&lt;&gt;"Gelir",$L1166=""),"",IFERROR(INDEX(MUSTERILER!$B$7:$B$106,MATCH($S1166,MUSTERILER!$T$7:$T$106,0)),""))</f>
        <v/>
      </c>
      <c r="U1166" s="3">
        <f>IF($T1166="","",$T1166&amp;"|"&amp;COUNTIFS($T$7:$T1166,$T1166))</f>
        <v/>
      </c>
      <c r="V1166" s="3">
        <f>IF($T1166="",0,1)</f>
        <v/>
      </c>
      <c r="W1166" s="3">
        <f>IF($C1166="","",$D1166&amp;"|"&amp;$E1166&amp;"|"&amp;TEXT($C1166,"0")&amp;"|"&amp;TEXT($G1166,"0")&amp;"|"&amp;$J1166)</f>
        <v/>
      </c>
      <c r="X1166" s="3" t="n"/>
      <c r="Y1166" s="3" t="n"/>
      <c r="Z1166" s="3" t="n"/>
      <c r="AA1166" s="3" t="n"/>
      <c r="AB1166" s="3" t="n"/>
      <c r="AC1166" s="3" t="n"/>
      <c r="AD1166" s="3">
        <f>IF($C1166="",0,SUMPRODUCT((AY_SONU!$O$7:$O$42="Evet")*(AY_SONU!$B$7:$B$42=DATE(YEAR($C1166),MONTH($C1166),1))))</f>
        <v/>
      </c>
    </row>
    <row r="1167">
      <c r="A1167" s="6" t="n"/>
      <c r="B1167" s="113">
        <f>IF($C1167="","","GG"&amp;TEXT(ROW()-6,"00000"))</f>
        <v/>
      </c>
      <c r="C1167" s="220" t="n"/>
      <c r="D1167" s="108" t="n"/>
      <c r="E1167" s="109" t="n"/>
      <c r="F1167" s="109" t="n"/>
      <c r="G1167" s="221" t="n"/>
      <c r="H1167" s="108" t="n"/>
      <c r="I1167" s="108" t="n"/>
      <c r="J1167" s="109" t="n"/>
      <c r="K1167" s="109" t="n"/>
      <c r="L1167" s="108" t="n"/>
      <c r="M1167" s="121">
        <f>IF($C1167="","",IF($D1167="Gider",$E1167,IF($L1167&lt;&gt;"",$L1167,$H1167)))</f>
        <v/>
      </c>
      <c r="N1167" s="121">
        <f>IF($C1167="","",IF($D1167="Gider",$H1167,$E1167))</f>
        <v/>
      </c>
      <c r="O1167" s="226">
        <f>IF($C1167="","",DATE(YEAR($C1167),MONTH($C1167),1))</f>
        <v/>
      </c>
      <c r="P1167" s="113">
        <f>IF($C1167="","",IF(AND($D1167="Gelir",$L1167&lt;&gt;"",$T1167=""),"TANIMSIZ BORÇLU",IF($T1167&lt;&gt;"",IF(OR($E1167="",$G1167&lt;=0),"EKSİK",IF($I1167="Evet","TAHAKKUK NAKİT OLAMAZ",IF($C1167&gt;TODAY(),"İLERİ TARİH","TAHAKKUK"))),IF(AND($D1167&lt;&gt;"",$E1167&lt;&gt;"",$G1167&gt;0,$H1167&lt;&gt;"",$I1167&lt;&gt;""),IF($C1167&gt;TODAY(),"İLERİ TARİH",IF(COUNTIF($W$7:$W$1206,$W1167)&gt;1,"MÜKERRER?",IF($AD1167&gt;0,"KAPALI DÖNEM",IF($I1167="Hayır","ÖDENECEK","UYGUN")))),"EKSİK"))))</f>
        <v/>
      </c>
      <c r="Q1167" s="6" t="n"/>
      <c r="R1167" s="6" t="n"/>
      <c r="S1167" s="3">
        <f>IF($L1167="","",UPPER(SUBSTITUTE(SUBSTITUTE(SUBSTITUTE(SUBSTITUTE(SUBSTITUTE(SUBSTITUTE(SUBSTITUTE(SUBSTITUTE(SUBSTITUTE(SUBSTITUTE(SUBSTITUTE(SUBSTITUTE(SUBSTITUTE(SUBSTITUTE(SUBSTITUTE(SUBSTITUTE(SUBSTITUTE(SUBSTITUTE(TRIM($L1167),"'",""),"İ","I"),"ı","I"),"i","I"),"Ş","S"),"ş","S"),"Ğ","G"),"ğ","G"),"Ü","U"),"ü","U"),"Ö","O"),"ö","O"),"Ç","C"),"ç","C"),".",""),",","")," ",""),"-","")))</f>
        <v/>
      </c>
      <c r="T1167" s="3">
        <f>IF(OR($C1167="",$D1167&lt;&gt;"Gelir",$L1167=""),"",IFERROR(INDEX(MUSTERILER!$B$7:$B$106,MATCH($S1167,MUSTERILER!$T$7:$T$106,0)),""))</f>
        <v/>
      </c>
      <c r="U1167" s="3">
        <f>IF($T1167="","",$T1167&amp;"|"&amp;COUNTIFS($T$7:$T1167,$T1167))</f>
        <v/>
      </c>
      <c r="V1167" s="3">
        <f>IF($T1167="",0,1)</f>
        <v/>
      </c>
      <c r="W1167" s="3">
        <f>IF($C1167="","",$D1167&amp;"|"&amp;$E1167&amp;"|"&amp;TEXT($C1167,"0")&amp;"|"&amp;TEXT($G1167,"0")&amp;"|"&amp;$J1167)</f>
        <v/>
      </c>
      <c r="X1167" s="3" t="n"/>
      <c r="Y1167" s="3" t="n"/>
      <c r="Z1167" s="3" t="n"/>
      <c r="AA1167" s="3" t="n"/>
      <c r="AB1167" s="3" t="n"/>
      <c r="AC1167" s="3" t="n"/>
      <c r="AD1167" s="3">
        <f>IF($C1167="",0,SUMPRODUCT((AY_SONU!$O$7:$O$42="Evet")*(AY_SONU!$B$7:$B$42=DATE(YEAR($C1167),MONTH($C1167),1))))</f>
        <v/>
      </c>
    </row>
    <row r="1168">
      <c r="A1168" s="6" t="n"/>
      <c r="B1168" s="113">
        <f>IF($C1168="","","GG"&amp;TEXT(ROW()-6,"00000"))</f>
        <v/>
      </c>
      <c r="C1168" s="220" t="n"/>
      <c r="D1168" s="108" t="n"/>
      <c r="E1168" s="109" t="n"/>
      <c r="F1168" s="109" t="n"/>
      <c r="G1168" s="221" t="n"/>
      <c r="H1168" s="108" t="n"/>
      <c r="I1168" s="108" t="n"/>
      <c r="J1168" s="109" t="n"/>
      <c r="K1168" s="109" t="n"/>
      <c r="L1168" s="108" t="n"/>
      <c r="M1168" s="121">
        <f>IF($C1168="","",IF($D1168="Gider",$E1168,IF($L1168&lt;&gt;"",$L1168,$H1168)))</f>
        <v/>
      </c>
      <c r="N1168" s="121">
        <f>IF($C1168="","",IF($D1168="Gider",$H1168,$E1168))</f>
        <v/>
      </c>
      <c r="O1168" s="226">
        <f>IF($C1168="","",DATE(YEAR($C1168),MONTH($C1168),1))</f>
        <v/>
      </c>
      <c r="P1168" s="113">
        <f>IF($C1168="","",IF(AND($D1168="Gelir",$L1168&lt;&gt;"",$T1168=""),"TANIMSIZ BORÇLU",IF($T1168&lt;&gt;"",IF(OR($E1168="",$G1168&lt;=0),"EKSİK",IF($I1168="Evet","TAHAKKUK NAKİT OLAMAZ",IF($C1168&gt;TODAY(),"İLERİ TARİH","TAHAKKUK"))),IF(AND($D1168&lt;&gt;"",$E1168&lt;&gt;"",$G1168&gt;0,$H1168&lt;&gt;"",$I1168&lt;&gt;""),IF($C1168&gt;TODAY(),"İLERİ TARİH",IF(COUNTIF($W$7:$W$1206,$W1168)&gt;1,"MÜKERRER?",IF($AD1168&gt;0,"KAPALI DÖNEM",IF($I1168="Hayır","ÖDENECEK","UYGUN")))),"EKSİK"))))</f>
        <v/>
      </c>
      <c r="Q1168" s="6" t="n"/>
      <c r="R1168" s="6" t="n"/>
      <c r="S1168" s="3">
        <f>IF($L1168="","",UPPER(SUBSTITUTE(SUBSTITUTE(SUBSTITUTE(SUBSTITUTE(SUBSTITUTE(SUBSTITUTE(SUBSTITUTE(SUBSTITUTE(SUBSTITUTE(SUBSTITUTE(SUBSTITUTE(SUBSTITUTE(SUBSTITUTE(SUBSTITUTE(SUBSTITUTE(SUBSTITUTE(SUBSTITUTE(SUBSTITUTE(TRIM($L1168),"'",""),"İ","I"),"ı","I"),"i","I"),"Ş","S"),"ş","S"),"Ğ","G"),"ğ","G"),"Ü","U"),"ü","U"),"Ö","O"),"ö","O"),"Ç","C"),"ç","C"),".",""),",","")," ",""),"-","")))</f>
        <v/>
      </c>
      <c r="T1168" s="3">
        <f>IF(OR($C1168="",$D1168&lt;&gt;"Gelir",$L1168=""),"",IFERROR(INDEX(MUSTERILER!$B$7:$B$106,MATCH($S1168,MUSTERILER!$T$7:$T$106,0)),""))</f>
        <v/>
      </c>
      <c r="U1168" s="3">
        <f>IF($T1168="","",$T1168&amp;"|"&amp;COUNTIFS($T$7:$T1168,$T1168))</f>
        <v/>
      </c>
      <c r="V1168" s="3">
        <f>IF($T1168="",0,1)</f>
        <v/>
      </c>
      <c r="W1168" s="3">
        <f>IF($C1168="","",$D1168&amp;"|"&amp;$E1168&amp;"|"&amp;TEXT($C1168,"0")&amp;"|"&amp;TEXT($G1168,"0")&amp;"|"&amp;$J1168)</f>
        <v/>
      </c>
      <c r="X1168" s="3" t="n"/>
      <c r="Y1168" s="3" t="n"/>
      <c r="Z1168" s="3" t="n"/>
      <c r="AA1168" s="3" t="n"/>
      <c r="AB1168" s="3" t="n"/>
      <c r="AC1168" s="3" t="n"/>
      <c r="AD1168" s="3">
        <f>IF($C1168="",0,SUMPRODUCT((AY_SONU!$O$7:$O$42="Evet")*(AY_SONU!$B$7:$B$42=DATE(YEAR($C1168),MONTH($C1168),1))))</f>
        <v/>
      </c>
    </row>
    <row r="1169">
      <c r="A1169" s="6" t="n"/>
      <c r="B1169" s="113">
        <f>IF($C1169="","","GG"&amp;TEXT(ROW()-6,"00000"))</f>
        <v/>
      </c>
      <c r="C1169" s="220" t="n"/>
      <c r="D1169" s="108" t="n"/>
      <c r="E1169" s="109" t="n"/>
      <c r="F1169" s="109" t="n"/>
      <c r="G1169" s="221" t="n"/>
      <c r="H1169" s="108" t="n"/>
      <c r="I1169" s="108" t="n"/>
      <c r="J1169" s="109" t="n"/>
      <c r="K1169" s="109" t="n"/>
      <c r="L1169" s="108" t="n"/>
      <c r="M1169" s="121">
        <f>IF($C1169="","",IF($D1169="Gider",$E1169,IF($L1169&lt;&gt;"",$L1169,$H1169)))</f>
        <v/>
      </c>
      <c r="N1169" s="121">
        <f>IF($C1169="","",IF($D1169="Gider",$H1169,$E1169))</f>
        <v/>
      </c>
      <c r="O1169" s="226">
        <f>IF($C1169="","",DATE(YEAR($C1169),MONTH($C1169),1))</f>
        <v/>
      </c>
      <c r="P1169" s="113">
        <f>IF($C1169="","",IF(AND($D1169="Gelir",$L1169&lt;&gt;"",$T1169=""),"TANIMSIZ BORÇLU",IF($T1169&lt;&gt;"",IF(OR($E1169="",$G1169&lt;=0),"EKSİK",IF($I1169="Evet","TAHAKKUK NAKİT OLAMAZ",IF($C1169&gt;TODAY(),"İLERİ TARİH","TAHAKKUK"))),IF(AND($D1169&lt;&gt;"",$E1169&lt;&gt;"",$G1169&gt;0,$H1169&lt;&gt;"",$I1169&lt;&gt;""),IF($C1169&gt;TODAY(),"İLERİ TARİH",IF(COUNTIF($W$7:$W$1206,$W1169)&gt;1,"MÜKERRER?",IF($AD1169&gt;0,"KAPALI DÖNEM",IF($I1169="Hayır","ÖDENECEK","UYGUN")))),"EKSİK"))))</f>
        <v/>
      </c>
      <c r="Q1169" s="6" t="n"/>
      <c r="R1169" s="6" t="n"/>
      <c r="S1169" s="3">
        <f>IF($L1169="","",UPPER(SUBSTITUTE(SUBSTITUTE(SUBSTITUTE(SUBSTITUTE(SUBSTITUTE(SUBSTITUTE(SUBSTITUTE(SUBSTITUTE(SUBSTITUTE(SUBSTITUTE(SUBSTITUTE(SUBSTITUTE(SUBSTITUTE(SUBSTITUTE(SUBSTITUTE(SUBSTITUTE(SUBSTITUTE(SUBSTITUTE(TRIM($L1169),"'",""),"İ","I"),"ı","I"),"i","I"),"Ş","S"),"ş","S"),"Ğ","G"),"ğ","G"),"Ü","U"),"ü","U"),"Ö","O"),"ö","O"),"Ç","C"),"ç","C"),".",""),",","")," ",""),"-","")))</f>
        <v/>
      </c>
      <c r="T1169" s="3">
        <f>IF(OR($C1169="",$D1169&lt;&gt;"Gelir",$L1169=""),"",IFERROR(INDEX(MUSTERILER!$B$7:$B$106,MATCH($S1169,MUSTERILER!$T$7:$T$106,0)),""))</f>
        <v/>
      </c>
      <c r="U1169" s="3">
        <f>IF($T1169="","",$T1169&amp;"|"&amp;COUNTIFS($T$7:$T1169,$T1169))</f>
        <v/>
      </c>
      <c r="V1169" s="3">
        <f>IF($T1169="",0,1)</f>
        <v/>
      </c>
      <c r="W1169" s="3">
        <f>IF($C1169="","",$D1169&amp;"|"&amp;$E1169&amp;"|"&amp;TEXT($C1169,"0")&amp;"|"&amp;TEXT($G1169,"0")&amp;"|"&amp;$J1169)</f>
        <v/>
      </c>
      <c r="X1169" s="3" t="n"/>
      <c r="Y1169" s="3" t="n"/>
      <c r="Z1169" s="3" t="n"/>
      <c r="AA1169" s="3" t="n"/>
      <c r="AB1169" s="3" t="n"/>
      <c r="AC1169" s="3" t="n"/>
      <c r="AD1169" s="3">
        <f>IF($C1169="",0,SUMPRODUCT((AY_SONU!$O$7:$O$42="Evet")*(AY_SONU!$B$7:$B$42=DATE(YEAR($C1169),MONTH($C1169),1))))</f>
        <v/>
      </c>
    </row>
    <row r="1170">
      <c r="A1170" s="6" t="n"/>
      <c r="B1170" s="113">
        <f>IF($C1170="","","GG"&amp;TEXT(ROW()-6,"00000"))</f>
        <v/>
      </c>
      <c r="C1170" s="220" t="n"/>
      <c r="D1170" s="108" t="n"/>
      <c r="E1170" s="109" t="n"/>
      <c r="F1170" s="109" t="n"/>
      <c r="G1170" s="221" t="n"/>
      <c r="H1170" s="108" t="n"/>
      <c r="I1170" s="108" t="n"/>
      <c r="J1170" s="109" t="n"/>
      <c r="K1170" s="109" t="n"/>
      <c r="L1170" s="108" t="n"/>
      <c r="M1170" s="121">
        <f>IF($C1170="","",IF($D1170="Gider",$E1170,IF($L1170&lt;&gt;"",$L1170,$H1170)))</f>
        <v/>
      </c>
      <c r="N1170" s="121">
        <f>IF($C1170="","",IF($D1170="Gider",$H1170,$E1170))</f>
        <v/>
      </c>
      <c r="O1170" s="226">
        <f>IF($C1170="","",DATE(YEAR($C1170),MONTH($C1170),1))</f>
        <v/>
      </c>
      <c r="P1170" s="113">
        <f>IF($C1170="","",IF(AND($D1170="Gelir",$L1170&lt;&gt;"",$T1170=""),"TANIMSIZ BORÇLU",IF($T1170&lt;&gt;"",IF(OR($E1170="",$G1170&lt;=0),"EKSİK",IF($I1170="Evet","TAHAKKUK NAKİT OLAMAZ",IF($C1170&gt;TODAY(),"İLERİ TARİH","TAHAKKUK"))),IF(AND($D1170&lt;&gt;"",$E1170&lt;&gt;"",$G1170&gt;0,$H1170&lt;&gt;"",$I1170&lt;&gt;""),IF($C1170&gt;TODAY(),"İLERİ TARİH",IF(COUNTIF($W$7:$W$1206,$W1170)&gt;1,"MÜKERRER?",IF($AD1170&gt;0,"KAPALI DÖNEM",IF($I1170="Hayır","ÖDENECEK","UYGUN")))),"EKSİK"))))</f>
        <v/>
      </c>
      <c r="Q1170" s="6" t="n"/>
      <c r="R1170" s="6" t="n"/>
      <c r="S1170" s="3">
        <f>IF($L1170="","",UPPER(SUBSTITUTE(SUBSTITUTE(SUBSTITUTE(SUBSTITUTE(SUBSTITUTE(SUBSTITUTE(SUBSTITUTE(SUBSTITUTE(SUBSTITUTE(SUBSTITUTE(SUBSTITUTE(SUBSTITUTE(SUBSTITUTE(SUBSTITUTE(SUBSTITUTE(SUBSTITUTE(SUBSTITUTE(SUBSTITUTE(TRIM($L1170),"'",""),"İ","I"),"ı","I"),"i","I"),"Ş","S"),"ş","S"),"Ğ","G"),"ğ","G"),"Ü","U"),"ü","U"),"Ö","O"),"ö","O"),"Ç","C"),"ç","C"),".",""),",","")," ",""),"-","")))</f>
        <v/>
      </c>
      <c r="T1170" s="3">
        <f>IF(OR($C1170="",$D1170&lt;&gt;"Gelir",$L1170=""),"",IFERROR(INDEX(MUSTERILER!$B$7:$B$106,MATCH($S1170,MUSTERILER!$T$7:$T$106,0)),""))</f>
        <v/>
      </c>
      <c r="U1170" s="3">
        <f>IF($T1170="","",$T1170&amp;"|"&amp;COUNTIFS($T$7:$T1170,$T1170))</f>
        <v/>
      </c>
      <c r="V1170" s="3">
        <f>IF($T1170="",0,1)</f>
        <v/>
      </c>
      <c r="W1170" s="3">
        <f>IF($C1170="","",$D1170&amp;"|"&amp;$E1170&amp;"|"&amp;TEXT($C1170,"0")&amp;"|"&amp;TEXT($G1170,"0")&amp;"|"&amp;$J1170)</f>
        <v/>
      </c>
      <c r="X1170" s="3" t="n"/>
      <c r="Y1170" s="3" t="n"/>
      <c r="Z1170" s="3" t="n"/>
      <c r="AA1170" s="3" t="n"/>
      <c r="AB1170" s="3" t="n"/>
      <c r="AC1170" s="3" t="n"/>
      <c r="AD1170" s="3">
        <f>IF($C1170="",0,SUMPRODUCT((AY_SONU!$O$7:$O$42="Evet")*(AY_SONU!$B$7:$B$42=DATE(YEAR($C1170),MONTH($C1170),1))))</f>
        <v/>
      </c>
    </row>
    <row r="1171">
      <c r="A1171" s="6" t="n"/>
      <c r="B1171" s="113">
        <f>IF($C1171="","","GG"&amp;TEXT(ROW()-6,"00000"))</f>
        <v/>
      </c>
      <c r="C1171" s="220" t="n"/>
      <c r="D1171" s="108" t="n"/>
      <c r="E1171" s="109" t="n"/>
      <c r="F1171" s="109" t="n"/>
      <c r="G1171" s="221" t="n"/>
      <c r="H1171" s="108" t="n"/>
      <c r="I1171" s="108" t="n"/>
      <c r="J1171" s="109" t="n"/>
      <c r="K1171" s="109" t="n"/>
      <c r="L1171" s="108" t="n"/>
      <c r="M1171" s="121">
        <f>IF($C1171="","",IF($D1171="Gider",$E1171,IF($L1171&lt;&gt;"",$L1171,$H1171)))</f>
        <v/>
      </c>
      <c r="N1171" s="121">
        <f>IF($C1171="","",IF($D1171="Gider",$H1171,$E1171))</f>
        <v/>
      </c>
      <c r="O1171" s="226">
        <f>IF($C1171="","",DATE(YEAR($C1171),MONTH($C1171),1))</f>
        <v/>
      </c>
      <c r="P1171" s="113">
        <f>IF($C1171="","",IF(AND($D1171="Gelir",$L1171&lt;&gt;"",$T1171=""),"TANIMSIZ BORÇLU",IF($T1171&lt;&gt;"",IF(OR($E1171="",$G1171&lt;=0),"EKSİK",IF($I1171="Evet","TAHAKKUK NAKİT OLAMAZ",IF($C1171&gt;TODAY(),"İLERİ TARİH","TAHAKKUK"))),IF(AND($D1171&lt;&gt;"",$E1171&lt;&gt;"",$G1171&gt;0,$H1171&lt;&gt;"",$I1171&lt;&gt;""),IF($C1171&gt;TODAY(),"İLERİ TARİH",IF(COUNTIF($W$7:$W$1206,$W1171)&gt;1,"MÜKERRER?",IF($AD1171&gt;0,"KAPALI DÖNEM",IF($I1171="Hayır","ÖDENECEK","UYGUN")))),"EKSİK"))))</f>
        <v/>
      </c>
      <c r="Q1171" s="6" t="n"/>
      <c r="R1171" s="6" t="n"/>
      <c r="S1171" s="3">
        <f>IF($L1171="","",UPPER(SUBSTITUTE(SUBSTITUTE(SUBSTITUTE(SUBSTITUTE(SUBSTITUTE(SUBSTITUTE(SUBSTITUTE(SUBSTITUTE(SUBSTITUTE(SUBSTITUTE(SUBSTITUTE(SUBSTITUTE(SUBSTITUTE(SUBSTITUTE(SUBSTITUTE(SUBSTITUTE(SUBSTITUTE(SUBSTITUTE(TRIM($L1171),"'",""),"İ","I"),"ı","I"),"i","I"),"Ş","S"),"ş","S"),"Ğ","G"),"ğ","G"),"Ü","U"),"ü","U"),"Ö","O"),"ö","O"),"Ç","C"),"ç","C"),".",""),",","")," ",""),"-","")))</f>
        <v/>
      </c>
      <c r="T1171" s="3">
        <f>IF(OR($C1171="",$D1171&lt;&gt;"Gelir",$L1171=""),"",IFERROR(INDEX(MUSTERILER!$B$7:$B$106,MATCH($S1171,MUSTERILER!$T$7:$T$106,0)),""))</f>
        <v/>
      </c>
      <c r="U1171" s="3">
        <f>IF($T1171="","",$T1171&amp;"|"&amp;COUNTIFS($T$7:$T1171,$T1171))</f>
        <v/>
      </c>
      <c r="V1171" s="3">
        <f>IF($T1171="",0,1)</f>
        <v/>
      </c>
      <c r="W1171" s="3">
        <f>IF($C1171="","",$D1171&amp;"|"&amp;$E1171&amp;"|"&amp;TEXT($C1171,"0")&amp;"|"&amp;TEXT($G1171,"0")&amp;"|"&amp;$J1171)</f>
        <v/>
      </c>
      <c r="X1171" s="3" t="n"/>
      <c r="Y1171" s="3" t="n"/>
      <c r="Z1171" s="3" t="n"/>
      <c r="AA1171" s="3" t="n"/>
      <c r="AB1171" s="3" t="n"/>
      <c r="AC1171" s="3" t="n"/>
      <c r="AD1171" s="3">
        <f>IF($C1171="",0,SUMPRODUCT((AY_SONU!$O$7:$O$42="Evet")*(AY_SONU!$B$7:$B$42=DATE(YEAR($C1171),MONTH($C1171),1))))</f>
        <v/>
      </c>
    </row>
    <row r="1172">
      <c r="A1172" s="6" t="n"/>
      <c r="B1172" s="113">
        <f>IF($C1172="","","GG"&amp;TEXT(ROW()-6,"00000"))</f>
        <v/>
      </c>
      <c r="C1172" s="220" t="n"/>
      <c r="D1172" s="108" t="n"/>
      <c r="E1172" s="109" t="n"/>
      <c r="F1172" s="109" t="n"/>
      <c r="G1172" s="221" t="n"/>
      <c r="H1172" s="108" t="n"/>
      <c r="I1172" s="108" t="n"/>
      <c r="J1172" s="109" t="n"/>
      <c r="K1172" s="109" t="n"/>
      <c r="L1172" s="108" t="n"/>
      <c r="M1172" s="121">
        <f>IF($C1172="","",IF($D1172="Gider",$E1172,IF($L1172&lt;&gt;"",$L1172,$H1172)))</f>
        <v/>
      </c>
      <c r="N1172" s="121">
        <f>IF($C1172="","",IF($D1172="Gider",$H1172,$E1172))</f>
        <v/>
      </c>
      <c r="O1172" s="226">
        <f>IF($C1172="","",DATE(YEAR($C1172),MONTH($C1172),1))</f>
        <v/>
      </c>
      <c r="P1172" s="113">
        <f>IF($C1172="","",IF(AND($D1172="Gelir",$L1172&lt;&gt;"",$T1172=""),"TANIMSIZ BORÇLU",IF($T1172&lt;&gt;"",IF(OR($E1172="",$G1172&lt;=0),"EKSİK",IF($I1172="Evet","TAHAKKUK NAKİT OLAMAZ",IF($C1172&gt;TODAY(),"İLERİ TARİH","TAHAKKUK"))),IF(AND($D1172&lt;&gt;"",$E1172&lt;&gt;"",$G1172&gt;0,$H1172&lt;&gt;"",$I1172&lt;&gt;""),IF($C1172&gt;TODAY(),"İLERİ TARİH",IF(COUNTIF($W$7:$W$1206,$W1172)&gt;1,"MÜKERRER?",IF($AD1172&gt;0,"KAPALI DÖNEM",IF($I1172="Hayır","ÖDENECEK","UYGUN")))),"EKSİK"))))</f>
        <v/>
      </c>
      <c r="Q1172" s="6" t="n"/>
      <c r="R1172" s="6" t="n"/>
      <c r="S1172" s="3">
        <f>IF($L1172="","",UPPER(SUBSTITUTE(SUBSTITUTE(SUBSTITUTE(SUBSTITUTE(SUBSTITUTE(SUBSTITUTE(SUBSTITUTE(SUBSTITUTE(SUBSTITUTE(SUBSTITUTE(SUBSTITUTE(SUBSTITUTE(SUBSTITUTE(SUBSTITUTE(SUBSTITUTE(SUBSTITUTE(SUBSTITUTE(SUBSTITUTE(TRIM($L1172),"'",""),"İ","I"),"ı","I"),"i","I"),"Ş","S"),"ş","S"),"Ğ","G"),"ğ","G"),"Ü","U"),"ü","U"),"Ö","O"),"ö","O"),"Ç","C"),"ç","C"),".",""),",","")," ",""),"-","")))</f>
        <v/>
      </c>
      <c r="T1172" s="3">
        <f>IF(OR($C1172="",$D1172&lt;&gt;"Gelir",$L1172=""),"",IFERROR(INDEX(MUSTERILER!$B$7:$B$106,MATCH($S1172,MUSTERILER!$T$7:$T$106,0)),""))</f>
        <v/>
      </c>
      <c r="U1172" s="3">
        <f>IF($T1172="","",$T1172&amp;"|"&amp;COUNTIFS($T$7:$T1172,$T1172))</f>
        <v/>
      </c>
      <c r="V1172" s="3">
        <f>IF($T1172="",0,1)</f>
        <v/>
      </c>
      <c r="W1172" s="3">
        <f>IF($C1172="","",$D1172&amp;"|"&amp;$E1172&amp;"|"&amp;TEXT($C1172,"0")&amp;"|"&amp;TEXT($G1172,"0")&amp;"|"&amp;$J1172)</f>
        <v/>
      </c>
      <c r="X1172" s="3" t="n"/>
      <c r="Y1172" s="3" t="n"/>
      <c r="Z1172" s="3" t="n"/>
      <c r="AA1172" s="3" t="n"/>
      <c r="AB1172" s="3" t="n"/>
      <c r="AC1172" s="3" t="n"/>
      <c r="AD1172" s="3">
        <f>IF($C1172="",0,SUMPRODUCT((AY_SONU!$O$7:$O$42="Evet")*(AY_SONU!$B$7:$B$42=DATE(YEAR($C1172),MONTH($C1172),1))))</f>
        <v/>
      </c>
    </row>
    <row r="1173">
      <c r="A1173" s="6" t="n"/>
      <c r="B1173" s="113">
        <f>IF($C1173="","","GG"&amp;TEXT(ROW()-6,"00000"))</f>
        <v/>
      </c>
      <c r="C1173" s="220" t="n"/>
      <c r="D1173" s="108" t="n"/>
      <c r="E1173" s="109" t="n"/>
      <c r="F1173" s="109" t="n"/>
      <c r="G1173" s="221" t="n"/>
      <c r="H1173" s="108" t="n"/>
      <c r="I1173" s="108" t="n"/>
      <c r="J1173" s="109" t="n"/>
      <c r="K1173" s="109" t="n"/>
      <c r="L1173" s="108" t="n"/>
      <c r="M1173" s="121">
        <f>IF($C1173="","",IF($D1173="Gider",$E1173,IF($L1173&lt;&gt;"",$L1173,$H1173)))</f>
        <v/>
      </c>
      <c r="N1173" s="121">
        <f>IF($C1173="","",IF($D1173="Gider",$H1173,$E1173))</f>
        <v/>
      </c>
      <c r="O1173" s="226">
        <f>IF($C1173="","",DATE(YEAR($C1173),MONTH($C1173),1))</f>
        <v/>
      </c>
      <c r="P1173" s="113">
        <f>IF($C1173="","",IF(AND($D1173="Gelir",$L1173&lt;&gt;"",$T1173=""),"TANIMSIZ BORÇLU",IF($T1173&lt;&gt;"",IF(OR($E1173="",$G1173&lt;=0),"EKSİK",IF($I1173="Evet","TAHAKKUK NAKİT OLAMAZ",IF($C1173&gt;TODAY(),"İLERİ TARİH","TAHAKKUK"))),IF(AND($D1173&lt;&gt;"",$E1173&lt;&gt;"",$G1173&gt;0,$H1173&lt;&gt;"",$I1173&lt;&gt;""),IF($C1173&gt;TODAY(),"İLERİ TARİH",IF(COUNTIF($W$7:$W$1206,$W1173)&gt;1,"MÜKERRER?",IF($AD1173&gt;0,"KAPALI DÖNEM",IF($I1173="Hayır","ÖDENECEK","UYGUN")))),"EKSİK"))))</f>
        <v/>
      </c>
      <c r="Q1173" s="6" t="n"/>
      <c r="R1173" s="6" t="n"/>
      <c r="S1173" s="3">
        <f>IF($L1173="","",UPPER(SUBSTITUTE(SUBSTITUTE(SUBSTITUTE(SUBSTITUTE(SUBSTITUTE(SUBSTITUTE(SUBSTITUTE(SUBSTITUTE(SUBSTITUTE(SUBSTITUTE(SUBSTITUTE(SUBSTITUTE(SUBSTITUTE(SUBSTITUTE(SUBSTITUTE(SUBSTITUTE(SUBSTITUTE(SUBSTITUTE(TRIM($L1173),"'",""),"İ","I"),"ı","I"),"i","I"),"Ş","S"),"ş","S"),"Ğ","G"),"ğ","G"),"Ü","U"),"ü","U"),"Ö","O"),"ö","O"),"Ç","C"),"ç","C"),".",""),",","")," ",""),"-","")))</f>
        <v/>
      </c>
      <c r="T1173" s="3">
        <f>IF(OR($C1173="",$D1173&lt;&gt;"Gelir",$L1173=""),"",IFERROR(INDEX(MUSTERILER!$B$7:$B$106,MATCH($S1173,MUSTERILER!$T$7:$T$106,0)),""))</f>
        <v/>
      </c>
      <c r="U1173" s="3">
        <f>IF($T1173="","",$T1173&amp;"|"&amp;COUNTIFS($T$7:$T1173,$T1173))</f>
        <v/>
      </c>
      <c r="V1173" s="3">
        <f>IF($T1173="",0,1)</f>
        <v/>
      </c>
      <c r="W1173" s="3">
        <f>IF($C1173="","",$D1173&amp;"|"&amp;$E1173&amp;"|"&amp;TEXT($C1173,"0")&amp;"|"&amp;TEXT($G1173,"0")&amp;"|"&amp;$J1173)</f>
        <v/>
      </c>
      <c r="X1173" s="3" t="n"/>
      <c r="Y1173" s="3" t="n"/>
      <c r="Z1173" s="3" t="n"/>
      <c r="AA1173" s="3" t="n"/>
      <c r="AB1173" s="3" t="n"/>
      <c r="AC1173" s="3" t="n"/>
      <c r="AD1173" s="3">
        <f>IF($C1173="",0,SUMPRODUCT((AY_SONU!$O$7:$O$42="Evet")*(AY_SONU!$B$7:$B$42=DATE(YEAR($C1173),MONTH($C1173),1))))</f>
        <v/>
      </c>
    </row>
    <row r="1174">
      <c r="A1174" s="6" t="n"/>
      <c r="B1174" s="113">
        <f>IF($C1174="","","GG"&amp;TEXT(ROW()-6,"00000"))</f>
        <v/>
      </c>
      <c r="C1174" s="220" t="n"/>
      <c r="D1174" s="108" t="n"/>
      <c r="E1174" s="109" t="n"/>
      <c r="F1174" s="109" t="n"/>
      <c r="G1174" s="221" t="n"/>
      <c r="H1174" s="108" t="n"/>
      <c r="I1174" s="108" t="n"/>
      <c r="J1174" s="109" t="n"/>
      <c r="K1174" s="109" t="n"/>
      <c r="L1174" s="108" t="n"/>
      <c r="M1174" s="121">
        <f>IF($C1174="","",IF($D1174="Gider",$E1174,IF($L1174&lt;&gt;"",$L1174,$H1174)))</f>
        <v/>
      </c>
      <c r="N1174" s="121">
        <f>IF($C1174="","",IF($D1174="Gider",$H1174,$E1174))</f>
        <v/>
      </c>
      <c r="O1174" s="226">
        <f>IF($C1174="","",DATE(YEAR($C1174),MONTH($C1174),1))</f>
        <v/>
      </c>
      <c r="P1174" s="113">
        <f>IF($C1174="","",IF(AND($D1174="Gelir",$L1174&lt;&gt;"",$T1174=""),"TANIMSIZ BORÇLU",IF($T1174&lt;&gt;"",IF(OR($E1174="",$G1174&lt;=0),"EKSİK",IF($I1174="Evet","TAHAKKUK NAKİT OLAMAZ",IF($C1174&gt;TODAY(),"İLERİ TARİH","TAHAKKUK"))),IF(AND($D1174&lt;&gt;"",$E1174&lt;&gt;"",$G1174&gt;0,$H1174&lt;&gt;"",$I1174&lt;&gt;""),IF($C1174&gt;TODAY(),"İLERİ TARİH",IF(COUNTIF($W$7:$W$1206,$W1174)&gt;1,"MÜKERRER?",IF($AD1174&gt;0,"KAPALI DÖNEM",IF($I1174="Hayır","ÖDENECEK","UYGUN")))),"EKSİK"))))</f>
        <v/>
      </c>
      <c r="Q1174" s="6" t="n"/>
      <c r="R1174" s="6" t="n"/>
      <c r="S1174" s="3">
        <f>IF($L1174="","",UPPER(SUBSTITUTE(SUBSTITUTE(SUBSTITUTE(SUBSTITUTE(SUBSTITUTE(SUBSTITUTE(SUBSTITUTE(SUBSTITUTE(SUBSTITUTE(SUBSTITUTE(SUBSTITUTE(SUBSTITUTE(SUBSTITUTE(SUBSTITUTE(SUBSTITUTE(SUBSTITUTE(SUBSTITUTE(SUBSTITUTE(TRIM($L1174),"'",""),"İ","I"),"ı","I"),"i","I"),"Ş","S"),"ş","S"),"Ğ","G"),"ğ","G"),"Ü","U"),"ü","U"),"Ö","O"),"ö","O"),"Ç","C"),"ç","C"),".",""),",","")," ",""),"-","")))</f>
        <v/>
      </c>
      <c r="T1174" s="3">
        <f>IF(OR($C1174="",$D1174&lt;&gt;"Gelir",$L1174=""),"",IFERROR(INDEX(MUSTERILER!$B$7:$B$106,MATCH($S1174,MUSTERILER!$T$7:$T$106,0)),""))</f>
        <v/>
      </c>
      <c r="U1174" s="3">
        <f>IF($T1174="","",$T1174&amp;"|"&amp;COUNTIFS($T$7:$T1174,$T1174))</f>
        <v/>
      </c>
      <c r="V1174" s="3">
        <f>IF($T1174="",0,1)</f>
        <v/>
      </c>
      <c r="W1174" s="3">
        <f>IF($C1174="","",$D1174&amp;"|"&amp;$E1174&amp;"|"&amp;TEXT($C1174,"0")&amp;"|"&amp;TEXT($G1174,"0")&amp;"|"&amp;$J1174)</f>
        <v/>
      </c>
      <c r="X1174" s="3" t="n"/>
      <c r="Y1174" s="3" t="n"/>
      <c r="Z1174" s="3" t="n"/>
      <c r="AA1174" s="3" t="n"/>
      <c r="AB1174" s="3" t="n"/>
      <c r="AC1174" s="3" t="n"/>
      <c r="AD1174" s="3">
        <f>IF($C1174="",0,SUMPRODUCT((AY_SONU!$O$7:$O$42="Evet")*(AY_SONU!$B$7:$B$42=DATE(YEAR($C1174),MONTH($C1174),1))))</f>
        <v/>
      </c>
    </row>
    <row r="1175">
      <c r="A1175" s="6" t="n"/>
      <c r="B1175" s="113">
        <f>IF($C1175="","","GG"&amp;TEXT(ROW()-6,"00000"))</f>
        <v/>
      </c>
      <c r="C1175" s="220" t="n"/>
      <c r="D1175" s="108" t="n"/>
      <c r="E1175" s="109" t="n"/>
      <c r="F1175" s="109" t="n"/>
      <c r="G1175" s="221" t="n"/>
      <c r="H1175" s="108" t="n"/>
      <c r="I1175" s="108" t="n"/>
      <c r="J1175" s="109" t="n"/>
      <c r="K1175" s="109" t="n"/>
      <c r="L1175" s="108" t="n"/>
      <c r="M1175" s="121">
        <f>IF($C1175="","",IF($D1175="Gider",$E1175,IF($L1175&lt;&gt;"",$L1175,$H1175)))</f>
        <v/>
      </c>
      <c r="N1175" s="121">
        <f>IF($C1175="","",IF($D1175="Gider",$H1175,$E1175))</f>
        <v/>
      </c>
      <c r="O1175" s="226">
        <f>IF($C1175="","",DATE(YEAR($C1175),MONTH($C1175),1))</f>
        <v/>
      </c>
      <c r="P1175" s="113">
        <f>IF($C1175="","",IF(AND($D1175="Gelir",$L1175&lt;&gt;"",$T1175=""),"TANIMSIZ BORÇLU",IF($T1175&lt;&gt;"",IF(OR($E1175="",$G1175&lt;=0),"EKSİK",IF($I1175="Evet","TAHAKKUK NAKİT OLAMAZ",IF($C1175&gt;TODAY(),"İLERİ TARİH","TAHAKKUK"))),IF(AND($D1175&lt;&gt;"",$E1175&lt;&gt;"",$G1175&gt;0,$H1175&lt;&gt;"",$I1175&lt;&gt;""),IF($C1175&gt;TODAY(),"İLERİ TARİH",IF(COUNTIF($W$7:$W$1206,$W1175)&gt;1,"MÜKERRER?",IF($AD1175&gt;0,"KAPALI DÖNEM",IF($I1175="Hayır","ÖDENECEK","UYGUN")))),"EKSİK"))))</f>
        <v/>
      </c>
      <c r="Q1175" s="6" t="n"/>
      <c r="R1175" s="6" t="n"/>
      <c r="S1175" s="3">
        <f>IF($L1175="","",UPPER(SUBSTITUTE(SUBSTITUTE(SUBSTITUTE(SUBSTITUTE(SUBSTITUTE(SUBSTITUTE(SUBSTITUTE(SUBSTITUTE(SUBSTITUTE(SUBSTITUTE(SUBSTITUTE(SUBSTITUTE(SUBSTITUTE(SUBSTITUTE(SUBSTITUTE(SUBSTITUTE(SUBSTITUTE(SUBSTITUTE(TRIM($L1175),"'",""),"İ","I"),"ı","I"),"i","I"),"Ş","S"),"ş","S"),"Ğ","G"),"ğ","G"),"Ü","U"),"ü","U"),"Ö","O"),"ö","O"),"Ç","C"),"ç","C"),".",""),",","")," ",""),"-","")))</f>
        <v/>
      </c>
      <c r="T1175" s="3">
        <f>IF(OR($C1175="",$D1175&lt;&gt;"Gelir",$L1175=""),"",IFERROR(INDEX(MUSTERILER!$B$7:$B$106,MATCH($S1175,MUSTERILER!$T$7:$T$106,0)),""))</f>
        <v/>
      </c>
      <c r="U1175" s="3">
        <f>IF($T1175="","",$T1175&amp;"|"&amp;COUNTIFS($T$7:$T1175,$T1175))</f>
        <v/>
      </c>
      <c r="V1175" s="3">
        <f>IF($T1175="",0,1)</f>
        <v/>
      </c>
      <c r="W1175" s="3">
        <f>IF($C1175="","",$D1175&amp;"|"&amp;$E1175&amp;"|"&amp;TEXT($C1175,"0")&amp;"|"&amp;TEXT($G1175,"0")&amp;"|"&amp;$J1175)</f>
        <v/>
      </c>
      <c r="X1175" s="3" t="n"/>
      <c r="Y1175" s="3" t="n"/>
      <c r="Z1175" s="3" t="n"/>
      <c r="AA1175" s="3" t="n"/>
      <c r="AB1175" s="3" t="n"/>
      <c r="AC1175" s="3" t="n"/>
      <c r="AD1175" s="3">
        <f>IF($C1175="",0,SUMPRODUCT((AY_SONU!$O$7:$O$42="Evet")*(AY_SONU!$B$7:$B$42=DATE(YEAR($C1175),MONTH($C1175),1))))</f>
        <v/>
      </c>
    </row>
    <row r="1176">
      <c r="A1176" s="6" t="n"/>
      <c r="B1176" s="113">
        <f>IF($C1176="","","GG"&amp;TEXT(ROW()-6,"00000"))</f>
        <v/>
      </c>
      <c r="C1176" s="220" t="n"/>
      <c r="D1176" s="108" t="n"/>
      <c r="E1176" s="109" t="n"/>
      <c r="F1176" s="109" t="n"/>
      <c r="G1176" s="221" t="n"/>
      <c r="H1176" s="108" t="n"/>
      <c r="I1176" s="108" t="n"/>
      <c r="J1176" s="109" t="n"/>
      <c r="K1176" s="109" t="n"/>
      <c r="L1176" s="108" t="n"/>
      <c r="M1176" s="121">
        <f>IF($C1176="","",IF($D1176="Gider",$E1176,IF($L1176&lt;&gt;"",$L1176,$H1176)))</f>
        <v/>
      </c>
      <c r="N1176" s="121">
        <f>IF($C1176="","",IF($D1176="Gider",$H1176,$E1176))</f>
        <v/>
      </c>
      <c r="O1176" s="226">
        <f>IF($C1176="","",DATE(YEAR($C1176),MONTH($C1176),1))</f>
        <v/>
      </c>
      <c r="P1176" s="113">
        <f>IF($C1176="","",IF(AND($D1176="Gelir",$L1176&lt;&gt;"",$T1176=""),"TANIMSIZ BORÇLU",IF($T1176&lt;&gt;"",IF(OR($E1176="",$G1176&lt;=0),"EKSİK",IF($I1176="Evet","TAHAKKUK NAKİT OLAMAZ",IF($C1176&gt;TODAY(),"İLERİ TARİH","TAHAKKUK"))),IF(AND($D1176&lt;&gt;"",$E1176&lt;&gt;"",$G1176&gt;0,$H1176&lt;&gt;"",$I1176&lt;&gt;""),IF($C1176&gt;TODAY(),"İLERİ TARİH",IF(COUNTIF($W$7:$W$1206,$W1176)&gt;1,"MÜKERRER?",IF($AD1176&gt;0,"KAPALI DÖNEM",IF($I1176="Hayır","ÖDENECEK","UYGUN")))),"EKSİK"))))</f>
        <v/>
      </c>
      <c r="Q1176" s="6" t="n"/>
      <c r="R1176" s="6" t="n"/>
      <c r="S1176" s="3">
        <f>IF($L1176="","",UPPER(SUBSTITUTE(SUBSTITUTE(SUBSTITUTE(SUBSTITUTE(SUBSTITUTE(SUBSTITUTE(SUBSTITUTE(SUBSTITUTE(SUBSTITUTE(SUBSTITUTE(SUBSTITUTE(SUBSTITUTE(SUBSTITUTE(SUBSTITUTE(SUBSTITUTE(SUBSTITUTE(SUBSTITUTE(SUBSTITUTE(TRIM($L1176),"'",""),"İ","I"),"ı","I"),"i","I"),"Ş","S"),"ş","S"),"Ğ","G"),"ğ","G"),"Ü","U"),"ü","U"),"Ö","O"),"ö","O"),"Ç","C"),"ç","C"),".",""),",","")," ",""),"-","")))</f>
        <v/>
      </c>
      <c r="T1176" s="3">
        <f>IF(OR($C1176="",$D1176&lt;&gt;"Gelir",$L1176=""),"",IFERROR(INDEX(MUSTERILER!$B$7:$B$106,MATCH($S1176,MUSTERILER!$T$7:$T$106,0)),""))</f>
        <v/>
      </c>
      <c r="U1176" s="3">
        <f>IF($T1176="","",$T1176&amp;"|"&amp;COUNTIFS($T$7:$T1176,$T1176))</f>
        <v/>
      </c>
      <c r="V1176" s="3">
        <f>IF($T1176="",0,1)</f>
        <v/>
      </c>
      <c r="W1176" s="3">
        <f>IF($C1176="","",$D1176&amp;"|"&amp;$E1176&amp;"|"&amp;TEXT($C1176,"0")&amp;"|"&amp;TEXT($G1176,"0")&amp;"|"&amp;$J1176)</f>
        <v/>
      </c>
      <c r="X1176" s="3" t="n"/>
      <c r="Y1176" s="3" t="n"/>
      <c r="Z1176" s="3" t="n"/>
      <c r="AA1176" s="3" t="n"/>
      <c r="AB1176" s="3" t="n"/>
      <c r="AC1176" s="3" t="n"/>
      <c r="AD1176" s="3">
        <f>IF($C1176="",0,SUMPRODUCT((AY_SONU!$O$7:$O$42="Evet")*(AY_SONU!$B$7:$B$42=DATE(YEAR($C1176),MONTH($C1176),1))))</f>
        <v/>
      </c>
    </row>
    <row r="1177">
      <c r="A1177" s="6" t="n"/>
      <c r="B1177" s="113">
        <f>IF($C1177="","","GG"&amp;TEXT(ROW()-6,"00000"))</f>
        <v/>
      </c>
      <c r="C1177" s="220" t="n"/>
      <c r="D1177" s="108" t="n"/>
      <c r="E1177" s="109" t="n"/>
      <c r="F1177" s="109" t="n"/>
      <c r="G1177" s="221" t="n"/>
      <c r="H1177" s="108" t="n"/>
      <c r="I1177" s="108" t="n"/>
      <c r="J1177" s="109" t="n"/>
      <c r="K1177" s="109" t="n"/>
      <c r="L1177" s="108" t="n"/>
      <c r="M1177" s="121">
        <f>IF($C1177="","",IF($D1177="Gider",$E1177,IF($L1177&lt;&gt;"",$L1177,$H1177)))</f>
        <v/>
      </c>
      <c r="N1177" s="121">
        <f>IF($C1177="","",IF($D1177="Gider",$H1177,$E1177))</f>
        <v/>
      </c>
      <c r="O1177" s="226">
        <f>IF($C1177="","",DATE(YEAR($C1177),MONTH($C1177),1))</f>
        <v/>
      </c>
      <c r="P1177" s="113">
        <f>IF($C1177="","",IF(AND($D1177="Gelir",$L1177&lt;&gt;"",$T1177=""),"TANIMSIZ BORÇLU",IF($T1177&lt;&gt;"",IF(OR($E1177="",$G1177&lt;=0),"EKSİK",IF($I1177="Evet","TAHAKKUK NAKİT OLAMAZ",IF($C1177&gt;TODAY(),"İLERİ TARİH","TAHAKKUK"))),IF(AND($D1177&lt;&gt;"",$E1177&lt;&gt;"",$G1177&gt;0,$H1177&lt;&gt;"",$I1177&lt;&gt;""),IF($C1177&gt;TODAY(),"İLERİ TARİH",IF(COUNTIF($W$7:$W$1206,$W1177)&gt;1,"MÜKERRER?",IF($AD1177&gt;0,"KAPALI DÖNEM",IF($I1177="Hayır","ÖDENECEK","UYGUN")))),"EKSİK"))))</f>
        <v/>
      </c>
      <c r="Q1177" s="6" t="n"/>
      <c r="R1177" s="6" t="n"/>
      <c r="S1177" s="3">
        <f>IF($L1177="","",UPPER(SUBSTITUTE(SUBSTITUTE(SUBSTITUTE(SUBSTITUTE(SUBSTITUTE(SUBSTITUTE(SUBSTITUTE(SUBSTITUTE(SUBSTITUTE(SUBSTITUTE(SUBSTITUTE(SUBSTITUTE(SUBSTITUTE(SUBSTITUTE(SUBSTITUTE(SUBSTITUTE(SUBSTITUTE(SUBSTITUTE(TRIM($L1177),"'",""),"İ","I"),"ı","I"),"i","I"),"Ş","S"),"ş","S"),"Ğ","G"),"ğ","G"),"Ü","U"),"ü","U"),"Ö","O"),"ö","O"),"Ç","C"),"ç","C"),".",""),",","")," ",""),"-","")))</f>
        <v/>
      </c>
      <c r="T1177" s="3">
        <f>IF(OR($C1177="",$D1177&lt;&gt;"Gelir",$L1177=""),"",IFERROR(INDEX(MUSTERILER!$B$7:$B$106,MATCH($S1177,MUSTERILER!$T$7:$T$106,0)),""))</f>
        <v/>
      </c>
      <c r="U1177" s="3">
        <f>IF($T1177="","",$T1177&amp;"|"&amp;COUNTIFS($T$7:$T1177,$T1177))</f>
        <v/>
      </c>
      <c r="V1177" s="3">
        <f>IF($T1177="",0,1)</f>
        <v/>
      </c>
      <c r="W1177" s="3">
        <f>IF($C1177="","",$D1177&amp;"|"&amp;$E1177&amp;"|"&amp;TEXT($C1177,"0")&amp;"|"&amp;TEXT($G1177,"0")&amp;"|"&amp;$J1177)</f>
        <v/>
      </c>
      <c r="X1177" s="3" t="n"/>
      <c r="Y1177" s="3" t="n"/>
      <c r="Z1177" s="3" t="n"/>
      <c r="AA1177" s="3" t="n"/>
      <c r="AB1177" s="3" t="n"/>
      <c r="AC1177" s="3" t="n"/>
      <c r="AD1177" s="3">
        <f>IF($C1177="",0,SUMPRODUCT((AY_SONU!$O$7:$O$42="Evet")*(AY_SONU!$B$7:$B$42=DATE(YEAR($C1177),MONTH($C1177),1))))</f>
        <v/>
      </c>
    </row>
    <row r="1178">
      <c r="A1178" s="6" t="n"/>
      <c r="B1178" s="113">
        <f>IF($C1178="","","GG"&amp;TEXT(ROW()-6,"00000"))</f>
        <v/>
      </c>
      <c r="C1178" s="220" t="n"/>
      <c r="D1178" s="108" t="n"/>
      <c r="E1178" s="109" t="n"/>
      <c r="F1178" s="109" t="n"/>
      <c r="G1178" s="221" t="n"/>
      <c r="H1178" s="108" t="n"/>
      <c r="I1178" s="108" t="n"/>
      <c r="J1178" s="109" t="n"/>
      <c r="K1178" s="109" t="n"/>
      <c r="L1178" s="108" t="n"/>
      <c r="M1178" s="121">
        <f>IF($C1178="","",IF($D1178="Gider",$E1178,IF($L1178&lt;&gt;"",$L1178,$H1178)))</f>
        <v/>
      </c>
      <c r="N1178" s="121">
        <f>IF($C1178="","",IF($D1178="Gider",$H1178,$E1178))</f>
        <v/>
      </c>
      <c r="O1178" s="226">
        <f>IF($C1178="","",DATE(YEAR($C1178),MONTH($C1178),1))</f>
        <v/>
      </c>
      <c r="P1178" s="113">
        <f>IF($C1178="","",IF(AND($D1178="Gelir",$L1178&lt;&gt;"",$T1178=""),"TANIMSIZ BORÇLU",IF($T1178&lt;&gt;"",IF(OR($E1178="",$G1178&lt;=0),"EKSİK",IF($I1178="Evet","TAHAKKUK NAKİT OLAMAZ",IF($C1178&gt;TODAY(),"İLERİ TARİH","TAHAKKUK"))),IF(AND($D1178&lt;&gt;"",$E1178&lt;&gt;"",$G1178&gt;0,$H1178&lt;&gt;"",$I1178&lt;&gt;""),IF($C1178&gt;TODAY(),"İLERİ TARİH",IF(COUNTIF($W$7:$W$1206,$W1178)&gt;1,"MÜKERRER?",IF($AD1178&gt;0,"KAPALI DÖNEM",IF($I1178="Hayır","ÖDENECEK","UYGUN")))),"EKSİK"))))</f>
        <v/>
      </c>
      <c r="Q1178" s="6" t="n"/>
      <c r="R1178" s="6" t="n"/>
      <c r="S1178" s="3">
        <f>IF($L1178="","",UPPER(SUBSTITUTE(SUBSTITUTE(SUBSTITUTE(SUBSTITUTE(SUBSTITUTE(SUBSTITUTE(SUBSTITUTE(SUBSTITUTE(SUBSTITUTE(SUBSTITUTE(SUBSTITUTE(SUBSTITUTE(SUBSTITUTE(SUBSTITUTE(SUBSTITUTE(SUBSTITUTE(SUBSTITUTE(SUBSTITUTE(TRIM($L1178),"'",""),"İ","I"),"ı","I"),"i","I"),"Ş","S"),"ş","S"),"Ğ","G"),"ğ","G"),"Ü","U"),"ü","U"),"Ö","O"),"ö","O"),"Ç","C"),"ç","C"),".",""),",","")," ",""),"-","")))</f>
        <v/>
      </c>
      <c r="T1178" s="3">
        <f>IF(OR($C1178="",$D1178&lt;&gt;"Gelir",$L1178=""),"",IFERROR(INDEX(MUSTERILER!$B$7:$B$106,MATCH($S1178,MUSTERILER!$T$7:$T$106,0)),""))</f>
        <v/>
      </c>
      <c r="U1178" s="3">
        <f>IF($T1178="","",$T1178&amp;"|"&amp;COUNTIFS($T$7:$T1178,$T1178))</f>
        <v/>
      </c>
      <c r="V1178" s="3">
        <f>IF($T1178="",0,1)</f>
        <v/>
      </c>
      <c r="W1178" s="3">
        <f>IF($C1178="","",$D1178&amp;"|"&amp;$E1178&amp;"|"&amp;TEXT($C1178,"0")&amp;"|"&amp;TEXT($G1178,"0")&amp;"|"&amp;$J1178)</f>
        <v/>
      </c>
      <c r="X1178" s="3" t="n"/>
      <c r="Y1178" s="3" t="n"/>
      <c r="Z1178" s="3" t="n"/>
      <c r="AA1178" s="3" t="n"/>
      <c r="AB1178" s="3" t="n"/>
      <c r="AC1178" s="3" t="n"/>
      <c r="AD1178" s="3">
        <f>IF($C1178="",0,SUMPRODUCT((AY_SONU!$O$7:$O$42="Evet")*(AY_SONU!$B$7:$B$42=DATE(YEAR($C1178),MONTH($C1178),1))))</f>
        <v/>
      </c>
    </row>
    <row r="1179">
      <c r="A1179" s="6" t="n"/>
      <c r="B1179" s="113">
        <f>IF($C1179="","","GG"&amp;TEXT(ROW()-6,"00000"))</f>
        <v/>
      </c>
      <c r="C1179" s="220" t="n"/>
      <c r="D1179" s="108" t="n"/>
      <c r="E1179" s="109" t="n"/>
      <c r="F1179" s="109" t="n"/>
      <c r="G1179" s="221" t="n"/>
      <c r="H1179" s="108" t="n"/>
      <c r="I1179" s="108" t="n"/>
      <c r="J1179" s="109" t="n"/>
      <c r="K1179" s="109" t="n"/>
      <c r="L1179" s="108" t="n"/>
      <c r="M1179" s="121">
        <f>IF($C1179="","",IF($D1179="Gider",$E1179,IF($L1179&lt;&gt;"",$L1179,$H1179)))</f>
        <v/>
      </c>
      <c r="N1179" s="121">
        <f>IF($C1179="","",IF($D1179="Gider",$H1179,$E1179))</f>
        <v/>
      </c>
      <c r="O1179" s="226">
        <f>IF($C1179="","",DATE(YEAR($C1179),MONTH($C1179),1))</f>
        <v/>
      </c>
      <c r="P1179" s="113">
        <f>IF($C1179="","",IF(AND($D1179="Gelir",$L1179&lt;&gt;"",$T1179=""),"TANIMSIZ BORÇLU",IF($T1179&lt;&gt;"",IF(OR($E1179="",$G1179&lt;=0),"EKSİK",IF($I1179="Evet","TAHAKKUK NAKİT OLAMAZ",IF($C1179&gt;TODAY(),"İLERİ TARİH","TAHAKKUK"))),IF(AND($D1179&lt;&gt;"",$E1179&lt;&gt;"",$G1179&gt;0,$H1179&lt;&gt;"",$I1179&lt;&gt;""),IF($C1179&gt;TODAY(),"İLERİ TARİH",IF(COUNTIF($W$7:$W$1206,$W1179)&gt;1,"MÜKERRER?",IF($AD1179&gt;0,"KAPALI DÖNEM",IF($I1179="Hayır","ÖDENECEK","UYGUN")))),"EKSİK"))))</f>
        <v/>
      </c>
      <c r="Q1179" s="6" t="n"/>
      <c r="R1179" s="6" t="n"/>
      <c r="S1179" s="3">
        <f>IF($L1179="","",UPPER(SUBSTITUTE(SUBSTITUTE(SUBSTITUTE(SUBSTITUTE(SUBSTITUTE(SUBSTITUTE(SUBSTITUTE(SUBSTITUTE(SUBSTITUTE(SUBSTITUTE(SUBSTITUTE(SUBSTITUTE(SUBSTITUTE(SUBSTITUTE(SUBSTITUTE(SUBSTITUTE(SUBSTITUTE(SUBSTITUTE(TRIM($L1179),"'",""),"İ","I"),"ı","I"),"i","I"),"Ş","S"),"ş","S"),"Ğ","G"),"ğ","G"),"Ü","U"),"ü","U"),"Ö","O"),"ö","O"),"Ç","C"),"ç","C"),".",""),",","")," ",""),"-","")))</f>
        <v/>
      </c>
      <c r="T1179" s="3">
        <f>IF(OR($C1179="",$D1179&lt;&gt;"Gelir",$L1179=""),"",IFERROR(INDEX(MUSTERILER!$B$7:$B$106,MATCH($S1179,MUSTERILER!$T$7:$T$106,0)),""))</f>
        <v/>
      </c>
      <c r="U1179" s="3">
        <f>IF($T1179="","",$T1179&amp;"|"&amp;COUNTIFS($T$7:$T1179,$T1179))</f>
        <v/>
      </c>
      <c r="V1179" s="3">
        <f>IF($T1179="",0,1)</f>
        <v/>
      </c>
      <c r="W1179" s="3">
        <f>IF($C1179="","",$D1179&amp;"|"&amp;$E1179&amp;"|"&amp;TEXT($C1179,"0")&amp;"|"&amp;TEXT($G1179,"0")&amp;"|"&amp;$J1179)</f>
        <v/>
      </c>
      <c r="X1179" s="3" t="n"/>
      <c r="Y1179" s="3" t="n"/>
      <c r="Z1179" s="3" t="n"/>
      <c r="AA1179" s="3" t="n"/>
      <c r="AB1179" s="3" t="n"/>
      <c r="AC1179" s="3" t="n"/>
      <c r="AD1179" s="3">
        <f>IF($C1179="",0,SUMPRODUCT((AY_SONU!$O$7:$O$42="Evet")*(AY_SONU!$B$7:$B$42=DATE(YEAR($C1179),MONTH($C1179),1))))</f>
        <v/>
      </c>
    </row>
    <row r="1180">
      <c r="A1180" s="6" t="n"/>
      <c r="B1180" s="113">
        <f>IF($C1180="","","GG"&amp;TEXT(ROW()-6,"00000"))</f>
        <v/>
      </c>
      <c r="C1180" s="220" t="n"/>
      <c r="D1180" s="108" t="n"/>
      <c r="E1180" s="109" t="n"/>
      <c r="F1180" s="109" t="n"/>
      <c r="G1180" s="221" t="n"/>
      <c r="H1180" s="108" t="n"/>
      <c r="I1180" s="108" t="n"/>
      <c r="J1180" s="109" t="n"/>
      <c r="K1180" s="109" t="n"/>
      <c r="L1180" s="108" t="n"/>
      <c r="M1180" s="121">
        <f>IF($C1180="","",IF($D1180="Gider",$E1180,IF($L1180&lt;&gt;"",$L1180,$H1180)))</f>
        <v/>
      </c>
      <c r="N1180" s="121">
        <f>IF($C1180="","",IF($D1180="Gider",$H1180,$E1180))</f>
        <v/>
      </c>
      <c r="O1180" s="226">
        <f>IF($C1180="","",DATE(YEAR($C1180),MONTH($C1180),1))</f>
        <v/>
      </c>
      <c r="P1180" s="113">
        <f>IF($C1180="","",IF(AND($D1180="Gelir",$L1180&lt;&gt;"",$T1180=""),"TANIMSIZ BORÇLU",IF($T1180&lt;&gt;"",IF(OR($E1180="",$G1180&lt;=0),"EKSİK",IF($I1180="Evet","TAHAKKUK NAKİT OLAMAZ",IF($C1180&gt;TODAY(),"İLERİ TARİH","TAHAKKUK"))),IF(AND($D1180&lt;&gt;"",$E1180&lt;&gt;"",$G1180&gt;0,$H1180&lt;&gt;"",$I1180&lt;&gt;""),IF($C1180&gt;TODAY(),"İLERİ TARİH",IF(COUNTIF($W$7:$W$1206,$W1180)&gt;1,"MÜKERRER?",IF($AD1180&gt;0,"KAPALI DÖNEM",IF($I1180="Hayır","ÖDENECEK","UYGUN")))),"EKSİK"))))</f>
        <v/>
      </c>
      <c r="Q1180" s="6" t="n"/>
      <c r="R1180" s="6" t="n"/>
      <c r="S1180" s="3">
        <f>IF($L1180="","",UPPER(SUBSTITUTE(SUBSTITUTE(SUBSTITUTE(SUBSTITUTE(SUBSTITUTE(SUBSTITUTE(SUBSTITUTE(SUBSTITUTE(SUBSTITUTE(SUBSTITUTE(SUBSTITUTE(SUBSTITUTE(SUBSTITUTE(SUBSTITUTE(SUBSTITUTE(SUBSTITUTE(SUBSTITUTE(SUBSTITUTE(TRIM($L1180),"'",""),"İ","I"),"ı","I"),"i","I"),"Ş","S"),"ş","S"),"Ğ","G"),"ğ","G"),"Ü","U"),"ü","U"),"Ö","O"),"ö","O"),"Ç","C"),"ç","C"),".",""),",","")," ",""),"-","")))</f>
        <v/>
      </c>
      <c r="T1180" s="3">
        <f>IF(OR($C1180="",$D1180&lt;&gt;"Gelir",$L1180=""),"",IFERROR(INDEX(MUSTERILER!$B$7:$B$106,MATCH($S1180,MUSTERILER!$T$7:$T$106,0)),""))</f>
        <v/>
      </c>
      <c r="U1180" s="3">
        <f>IF($T1180="","",$T1180&amp;"|"&amp;COUNTIFS($T$7:$T1180,$T1180))</f>
        <v/>
      </c>
      <c r="V1180" s="3">
        <f>IF($T1180="",0,1)</f>
        <v/>
      </c>
      <c r="W1180" s="3">
        <f>IF($C1180="","",$D1180&amp;"|"&amp;$E1180&amp;"|"&amp;TEXT($C1180,"0")&amp;"|"&amp;TEXT($G1180,"0")&amp;"|"&amp;$J1180)</f>
        <v/>
      </c>
      <c r="X1180" s="3" t="n"/>
      <c r="Y1180" s="3" t="n"/>
      <c r="Z1180" s="3" t="n"/>
      <c r="AA1180" s="3" t="n"/>
      <c r="AB1180" s="3" t="n"/>
      <c r="AC1180" s="3" t="n"/>
      <c r="AD1180" s="3">
        <f>IF($C1180="",0,SUMPRODUCT((AY_SONU!$O$7:$O$42="Evet")*(AY_SONU!$B$7:$B$42=DATE(YEAR($C1180),MONTH($C1180),1))))</f>
        <v/>
      </c>
    </row>
    <row r="1181">
      <c r="A1181" s="6" t="n"/>
      <c r="B1181" s="113">
        <f>IF($C1181="","","GG"&amp;TEXT(ROW()-6,"00000"))</f>
        <v/>
      </c>
      <c r="C1181" s="220" t="n"/>
      <c r="D1181" s="108" t="n"/>
      <c r="E1181" s="109" t="n"/>
      <c r="F1181" s="109" t="n"/>
      <c r="G1181" s="221" t="n"/>
      <c r="H1181" s="108" t="n"/>
      <c r="I1181" s="108" t="n"/>
      <c r="J1181" s="109" t="n"/>
      <c r="K1181" s="109" t="n"/>
      <c r="L1181" s="108" t="n"/>
      <c r="M1181" s="121">
        <f>IF($C1181="","",IF($D1181="Gider",$E1181,IF($L1181&lt;&gt;"",$L1181,$H1181)))</f>
        <v/>
      </c>
      <c r="N1181" s="121">
        <f>IF($C1181="","",IF($D1181="Gider",$H1181,$E1181))</f>
        <v/>
      </c>
      <c r="O1181" s="226">
        <f>IF($C1181="","",DATE(YEAR($C1181),MONTH($C1181),1))</f>
        <v/>
      </c>
      <c r="P1181" s="113">
        <f>IF($C1181="","",IF(AND($D1181="Gelir",$L1181&lt;&gt;"",$T1181=""),"TANIMSIZ BORÇLU",IF($T1181&lt;&gt;"",IF(OR($E1181="",$G1181&lt;=0),"EKSİK",IF($I1181="Evet","TAHAKKUK NAKİT OLAMAZ",IF($C1181&gt;TODAY(),"İLERİ TARİH","TAHAKKUK"))),IF(AND($D1181&lt;&gt;"",$E1181&lt;&gt;"",$G1181&gt;0,$H1181&lt;&gt;"",$I1181&lt;&gt;""),IF($C1181&gt;TODAY(),"İLERİ TARİH",IF(COUNTIF($W$7:$W$1206,$W1181)&gt;1,"MÜKERRER?",IF($AD1181&gt;0,"KAPALI DÖNEM",IF($I1181="Hayır","ÖDENECEK","UYGUN")))),"EKSİK"))))</f>
        <v/>
      </c>
      <c r="Q1181" s="6" t="n"/>
      <c r="R1181" s="6" t="n"/>
      <c r="S1181" s="3">
        <f>IF($L1181="","",UPPER(SUBSTITUTE(SUBSTITUTE(SUBSTITUTE(SUBSTITUTE(SUBSTITUTE(SUBSTITUTE(SUBSTITUTE(SUBSTITUTE(SUBSTITUTE(SUBSTITUTE(SUBSTITUTE(SUBSTITUTE(SUBSTITUTE(SUBSTITUTE(SUBSTITUTE(SUBSTITUTE(SUBSTITUTE(SUBSTITUTE(TRIM($L1181),"'",""),"İ","I"),"ı","I"),"i","I"),"Ş","S"),"ş","S"),"Ğ","G"),"ğ","G"),"Ü","U"),"ü","U"),"Ö","O"),"ö","O"),"Ç","C"),"ç","C"),".",""),",","")," ",""),"-","")))</f>
        <v/>
      </c>
      <c r="T1181" s="3">
        <f>IF(OR($C1181="",$D1181&lt;&gt;"Gelir",$L1181=""),"",IFERROR(INDEX(MUSTERILER!$B$7:$B$106,MATCH($S1181,MUSTERILER!$T$7:$T$106,0)),""))</f>
        <v/>
      </c>
      <c r="U1181" s="3">
        <f>IF($T1181="","",$T1181&amp;"|"&amp;COUNTIFS($T$7:$T1181,$T1181))</f>
        <v/>
      </c>
      <c r="V1181" s="3">
        <f>IF($T1181="",0,1)</f>
        <v/>
      </c>
      <c r="W1181" s="3">
        <f>IF($C1181="","",$D1181&amp;"|"&amp;$E1181&amp;"|"&amp;TEXT($C1181,"0")&amp;"|"&amp;TEXT($G1181,"0")&amp;"|"&amp;$J1181)</f>
        <v/>
      </c>
      <c r="X1181" s="3" t="n"/>
      <c r="Y1181" s="3" t="n"/>
      <c r="Z1181" s="3" t="n"/>
      <c r="AA1181" s="3" t="n"/>
      <c r="AB1181" s="3" t="n"/>
      <c r="AC1181" s="3" t="n"/>
      <c r="AD1181" s="3">
        <f>IF($C1181="",0,SUMPRODUCT((AY_SONU!$O$7:$O$42="Evet")*(AY_SONU!$B$7:$B$42=DATE(YEAR($C1181),MONTH($C1181),1))))</f>
        <v/>
      </c>
    </row>
    <row r="1182">
      <c r="A1182" s="6" t="n"/>
      <c r="B1182" s="113">
        <f>IF($C1182="","","GG"&amp;TEXT(ROW()-6,"00000"))</f>
        <v/>
      </c>
      <c r="C1182" s="220" t="n"/>
      <c r="D1182" s="108" t="n"/>
      <c r="E1182" s="109" t="n"/>
      <c r="F1182" s="109" t="n"/>
      <c r="G1182" s="221" t="n"/>
      <c r="H1182" s="108" t="n"/>
      <c r="I1182" s="108" t="n"/>
      <c r="J1182" s="109" t="n"/>
      <c r="K1182" s="109" t="n"/>
      <c r="L1182" s="108" t="n"/>
      <c r="M1182" s="121">
        <f>IF($C1182="","",IF($D1182="Gider",$E1182,IF($L1182&lt;&gt;"",$L1182,$H1182)))</f>
        <v/>
      </c>
      <c r="N1182" s="121">
        <f>IF($C1182="","",IF($D1182="Gider",$H1182,$E1182))</f>
        <v/>
      </c>
      <c r="O1182" s="226">
        <f>IF($C1182="","",DATE(YEAR($C1182),MONTH($C1182),1))</f>
        <v/>
      </c>
      <c r="P1182" s="113">
        <f>IF($C1182="","",IF(AND($D1182="Gelir",$L1182&lt;&gt;"",$T1182=""),"TANIMSIZ BORÇLU",IF($T1182&lt;&gt;"",IF(OR($E1182="",$G1182&lt;=0),"EKSİK",IF($I1182="Evet","TAHAKKUK NAKİT OLAMAZ",IF($C1182&gt;TODAY(),"İLERİ TARİH","TAHAKKUK"))),IF(AND($D1182&lt;&gt;"",$E1182&lt;&gt;"",$G1182&gt;0,$H1182&lt;&gt;"",$I1182&lt;&gt;""),IF($C1182&gt;TODAY(),"İLERİ TARİH",IF(COUNTIF($W$7:$W$1206,$W1182)&gt;1,"MÜKERRER?",IF($AD1182&gt;0,"KAPALI DÖNEM",IF($I1182="Hayır","ÖDENECEK","UYGUN")))),"EKSİK"))))</f>
        <v/>
      </c>
      <c r="Q1182" s="6" t="n"/>
      <c r="R1182" s="6" t="n"/>
      <c r="S1182" s="3">
        <f>IF($L1182="","",UPPER(SUBSTITUTE(SUBSTITUTE(SUBSTITUTE(SUBSTITUTE(SUBSTITUTE(SUBSTITUTE(SUBSTITUTE(SUBSTITUTE(SUBSTITUTE(SUBSTITUTE(SUBSTITUTE(SUBSTITUTE(SUBSTITUTE(SUBSTITUTE(SUBSTITUTE(SUBSTITUTE(SUBSTITUTE(SUBSTITUTE(TRIM($L1182),"'",""),"İ","I"),"ı","I"),"i","I"),"Ş","S"),"ş","S"),"Ğ","G"),"ğ","G"),"Ü","U"),"ü","U"),"Ö","O"),"ö","O"),"Ç","C"),"ç","C"),".",""),",","")," ",""),"-","")))</f>
        <v/>
      </c>
      <c r="T1182" s="3">
        <f>IF(OR($C1182="",$D1182&lt;&gt;"Gelir",$L1182=""),"",IFERROR(INDEX(MUSTERILER!$B$7:$B$106,MATCH($S1182,MUSTERILER!$T$7:$T$106,0)),""))</f>
        <v/>
      </c>
      <c r="U1182" s="3">
        <f>IF($T1182="","",$T1182&amp;"|"&amp;COUNTIFS($T$7:$T1182,$T1182))</f>
        <v/>
      </c>
      <c r="V1182" s="3">
        <f>IF($T1182="",0,1)</f>
        <v/>
      </c>
      <c r="W1182" s="3">
        <f>IF($C1182="","",$D1182&amp;"|"&amp;$E1182&amp;"|"&amp;TEXT($C1182,"0")&amp;"|"&amp;TEXT($G1182,"0")&amp;"|"&amp;$J1182)</f>
        <v/>
      </c>
      <c r="X1182" s="3" t="n"/>
      <c r="Y1182" s="3" t="n"/>
      <c r="Z1182" s="3" t="n"/>
      <c r="AA1182" s="3" t="n"/>
      <c r="AB1182" s="3" t="n"/>
      <c r="AC1182" s="3" t="n"/>
      <c r="AD1182" s="3">
        <f>IF($C1182="",0,SUMPRODUCT((AY_SONU!$O$7:$O$42="Evet")*(AY_SONU!$B$7:$B$42=DATE(YEAR($C1182),MONTH($C1182),1))))</f>
        <v/>
      </c>
    </row>
    <row r="1183">
      <c r="A1183" s="6" t="n"/>
      <c r="B1183" s="113">
        <f>IF($C1183="","","GG"&amp;TEXT(ROW()-6,"00000"))</f>
        <v/>
      </c>
      <c r="C1183" s="220" t="n"/>
      <c r="D1183" s="108" t="n"/>
      <c r="E1183" s="109" t="n"/>
      <c r="F1183" s="109" t="n"/>
      <c r="G1183" s="221" t="n"/>
      <c r="H1183" s="108" t="n"/>
      <c r="I1183" s="108" t="n"/>
      <c r="J1183" s="109" t="n"/>
      <c r="K1183" s="109" t="n"/>
      <c r="L1183" s="108" t="n"/>
      <c r="M1183" s="121">
        <f>IF($C1183="","",IF($D1183="Gider",$E1183,IF($L1183&lt;&gt;"",$L1183,$H1183)))</f>
        <v/>
      </c>
      <c r="N1183" s="121">
        <f>IF($C1183="","",IF($D1183="Gider",$H1183,$E1183))</f>
        <v/>
      </c>
      <c r="O1183" s="226">
        <f>IF($C1183="","",DATE(YEAR($C1183),MONTH($C1183),1))</f>
        <v/>
      </c>
      <c r="P1183" s="113">
        <f>IF($C1183="","",IF(AND($D1183="Gelir",$L1183&lt;&gt;"",$T1183=""),"TANIMSIZ BORÇLU",IF($T1183&lt;&gt;"",IF(OR($E1183="",$G1183&lt;=0),"EKSİK",IF($I1183="Evet","TAHAKKUK NAKİT OLAMAZ",IF($C1183&gt;TODAY(),"İLERİ TARİH","TAHAKKUK"))),IF(AND($D1183&lt;&gt;"",$E1183&lt;&gt;"",$G1183&gt;0,$H1183&lt;&gt;"",$I1183&lt;&gt;""),IF($C1183&gt;TODAY(),"İLERİ TARİH",IF(COUNTIF($W$7:$W$1206,$W1183)&gt;1,"MÜKERRER?",IF($AD1183&gt;0,"KAPALI DÖNEM",IF($I1183="Hayır","ÖDENECEK","UYGUN")))),"EKSİK"))))</f>
        <v/>
      </c>
      <c r="Q1183" s="6" t="n"/>
      <c r="R1183" s="6" t="n"/>
      <c r="S1183" s="3">
        <f>IF($L1183="","",UPPER(SUBSTITUTE(SUBSTITUTE(SUBSTITUTE(SUBSTITUTE(SUBSTITUTE(SUBSTITUTE(SUBSTITUTE(SUBSTITUTE(SUBSTITUTE(SUBSTITUTE(SUBSTITUTE(SUBSTITUTE(SUBSTITUTE(SUBSTITUTE(SUBSTITUTE(SUBSTITUTE(SUBSTITUTE(SUBSTITUTE(TRIM($L1183),"'",""),"İ","I"),"ı","I"),"i","I"),"Ş","S"),"ş","S"),"Ğ","G"),"ğ","G"),"Ü","U"),"ü","U"),"Ö","O"),"ö","O"),"Ç","C"),"ç","C"),".",""),",","")," ",""),"-","")))</f>
        <v/>
      </c>
      <c r="T1183" s="3">
        <f>IF(OR($C1183="",$D1183&lt;&gt;"Gelir",$L1183=""),"",IFERROR(INDEX(MUSTERILER!$B$7:$B$106,MATCH($S1183,MUSTERILER!$T$7:$T$106,0)),""))</f>
        <v/>
      </c>
      <c r="U1183" s="3">
        <f>IF($T1183="","",$T1183&amp;"|"&amp;COUNTIFS($T$7:$T1183,$T1183))</f>
        <v/>
      </c>
      <c r="V1183" s="3">
        <f>IF($T1183="",0,1)</f>
        <v/>
      </c>
      <c r="W1183" s="3">
        <f>IF($C1183="","",$D1183&amp;"|"&amp;$E1183&amp;"|"&amp;TEXT($C1183,"0")&amp;"|"&amp;TEXT($G1183,"0")&amp;"|"&amp;$J1183)</f>
        <v/>
      </c>
      <c r="X1183" s="3" t="n"/>
      <c r="Y1183" s="3" t="n"/>
      <c r="Z1183" s="3" t="n"/>
      <c r="AA1183" s="3" t="n"/>
      <c r="AB1183" s="3" t="n"/>
      <c r="AC1183" s="3" t="n"/>
      <c r="AD1183" s="3">
        <f>IF($C1183="",0,SUMPRODUCT((AY_SONU!$O$7:$O$42="Evet")*(AY_SONU!$B$7:$B$42=DATE(YEAR($C1183),MONTH($C1183),1))))</f>
        <v/>
      </c>
    </row>
    <row r="1184">
      <c r="A1184" s="6" t="n"/>
      <c r="B1184" s="113">
        <f>IF($C1184="","","GG"&amp;TEXT(ROW()-6,"00000"))</f>
        <v/>
      </c>
      <c r="C1184" s="220" t="n"/>
      <c r="D1184" s="108" t="n"/>
      <c r="E1184" s="109" t="n"/>
      <c r="F1184" s="109" t="n"/>
      <c r="G1184" s="221" t="n"/>
      <c r="H1184" s="108" t="n"/>
      <c r="I1184" s="108" t="n"/>
      <c r="J1184" s="109" t="n"/>
      <c r="K1184" s="109" t="n"/>
      <c r="L1184" s="108" t="n"/>
      <c r="M1184" s="121">
        <f>IF($C1184="","",IF($D1184="Gider",$E1184,IF($L1184&lt;&gt;"",$L1184,$H1184)))</f>
        <v/>
      </c>
      <c r="N1184" s="121">
        <f>IF($C1184="","",IF($D1184="Gider",$H1184,$E1184))</f>
        <v/>
      </c>
      <c r="O1184" s="226">
        <f>IF($C1184="","",DATE(YEAR($C1184),MONTH($C1184),1))</f>
        <v/>
      </c>
      <c r="P1184" s="113">
        <f>IF($C1184="","",IF(AND($D1184="Gelir",$L1184&lt;&gt;"",$T1184=""),"TANIMSIZ BORÇLU",IF($T1184&lt;&gt;"",IF(OR($E1184="",$G1184&lt;=0),"EKSİK",IF($I1184="Evet","TAHAKKUK NAKİT OLAMAZ",IF($C1184&gt;TODAY(),"İLERİ TARİH","TAHAKKUK"))),IF(AND($D1184&lt;&gt;"",$E1184&lt;&gt;"",$G1184&gt;0,$H1184&lt;&gt;"",$I1184&lt;&gt;""),IF($C1184&gt;TODAY(),"İLERİ TARİH",IF(COUNTIF($W$7:$W$1206,$W1184)&gt;1,"MÜKERRER?",IF($AD1184&gt;0,"KAPALI DÖNEM",IF($I1184="Hayır","ÖDENECEK","UYGUN")))),"EKSİK"))))</f>
        <v/>
      </c>
      <c r="Q1184" s="6" t="n"/>
      <c r="R1184" s="6" t="n"/>
      <c r="S1184" s="3">
        <f>IF($L1184="","",UPPER(SUBSTITUTE(SUBSTITUTE(SUBSTITUTE(SUBSTITUTE(SUBSTITUTE(SUBSTITUTE(SUBSTITUTE(SUBSTITUTE(SUBSTITUTE(SUBSTITUTE(SUBSTITUTE(SUBSTITUTE(SUBSTITUTE(SUBSTITUTE(SUBSTITUTE(SUBSTITUTE(SUBSTITUTE(SUBSTITUTE(TRIM($L1184),"'",""),"İ","I"),"ı","I"),"i","I"),"Ş","S"),"ş","S"),"Ğ","G"),"ğ","G"),"Ü","U"),"ü","U"),"Ö","O"),"ö","O"),"Ç","C"),"ç","C"),".",""),",","")," ",""),"-","")))</f>
        <v/>
      </c>
      <c r="T1184" s="3">
        <f>IF(OR($C1184="",$D1184&lt;&gt;"Gelir",$L1184=""),"",IFERROR(INDEX(MUSTERILER!$B$7:$B$106,MATCH($S1184,MUSTERILER!$T$7:$T$106,0)),""))</f>
        <v/>
      </c>
      <c r="U1184" s="3">
        <f>IF($T1184="","",$T1184&amp;"|"&amp;COUNTIFS($T$7:$T1184,$T1184))</f>
        <v/>
      </c>
      <c r="V1184" s="3">
        <f>IF($T1184="",0,1)</f>
        <v/>
      </c>
      <c r="W1184" s="3">
        <f>IF($C1184="","",$D1184&amp;"|"&amp;$E1184&amp;"|"&amp;TEXT($C1184,"0")&amp;"|"&amp;TEXT($G1184,"0")&amp;"|"&amp;$J1184)</f>
        <v/>
      </c>
      <c r="X1184" s="3" t="n"/>
      <c r="Y1184" s="3" t="n"/>
      <c r="Z1184" s="3" t="n"/>
      <c r="AA1184" s="3" t="n"/>
      <c r="AB1184" s="3" t="n"/>
      <c r="AC1184" s="3" t="n"/>
      <c r="AD1184" s="3">
        <f>IF($C1184="",0,SUMPRODUCT((AY_SONU!$O$7:$O$42="Evet")*(AY_SONU!$B$7:$B$42=DATE(YEAR($C1184),MONTH($C1184),1))))</f>
        <v/>
      </c>
    </row>
    <row r="1185">
      <c r="A1185" s="6" t="n"/>
      <c r="B1185" s="113">
        <f>IF($C1185="","","GG"&amp;TEXT(ROW()-6,"00000"))</f>
        <v/>
      </c>
      <c r="C1185" s="220" t="n"/>
      <c r="D1185" s="108" t="n"/>
      <c r="E1185" s="109" t="n"/>
      <c r="F1185" s="109" t="n"/>
      <c r="G1185" s="221" t="n"/>
      <c r="H1185" s="108" t="n"/>
      <c r="I1185" s="108" t="n"/>
      <c r="J1185" s="109" t="n"/>
      <c r="K1185" s="109" t="n"/>
      <c r="L1185" s="108" t="n"/>
      <c r="M1185" s="121">
        <f>IF($C1185="","",IF($D1185="Gider",$E1185,IF($L1185&lt;&gt;"",$L1185,$H1185)))</f>
        <v/>
      </c>
      <c r="N1185" s="121">
        <f>IF($C1185="","",IF($D1185="Gider",$H1185,$E1185))</f>
        <v/>
      </c>
      <c r="O1185" s="226">
        <f>IF($C1185="","",DATE(YEAR($C1185),MONTH($C1185),1))</f>
        <v/>
      </c>
      <c r="P1185" s="113">
        <f>IF($C1185="","",IF(AND($D1185="Gelir",$L1185&lt;&gt;"",$T1185=""),"TANIMSIZ BORÇLU",IF($T1185&lt;&gt;"",IF(OR($E1185="",$G1185&lt;=0),"EKSİK",IF($I1185="Evet","TAHAKKUK NAKİT OLAMAZ",IF($C1185&gt;TODAY(),"İLERİ TARİH","TAHAKKUK"))),IF(AND($D1185&lt;&gt;"",$E1185&lt;&gt;"",$G1185&gt;0,$H1185&lt;&gt;"",$I1185&lt;&gt;""),IF($C1185&gt;TODAY(),"İLERİ TARİH",IF(COUNTIF($W$7:$W$1206,$W1185)&gt;1,"MÜKERRER?",IF($AD1185&gt;0,"KAPALI DÖNEM",IF($I1185="Hayır","ÖDENECEK","UYGUN")))),"EKSİK"))))</f>
        <v/>
      </c>
      <c r="Q1185" s="6" t="n"/>
      <c r="R1185" s="6" t="n"/>
      <c r="S1185" s="3">
        <f>IF($L1185="","",UPPER(SUBSTITUTE(SUBSTITUTE(SUBSTITUTE(SUBSTITUTE(SUBSTITUTE(SUBSTITUTE(SUBSTITUTE(SUBSTITUTE(SUBSTITUTE(SUBSTITUTE(SUBSTITUTE(SUBSTITUTE(SUBSTITUTE(SUBSTITUTE(SUBSTITUTE(SUBSTITUTE(SUBSTITUTE(SUBSTITUTE(TRIM($L1185),"'",""),"İ","I"),"ı","I"),"i","I"),"Ş","S"),"ş","S"),"Ğ","G"),"ğ","G"),"Ü","U"),"ü","U"),"Ö","O"),"ö","O"),"Ç","C"),"ç","C"),".",""),",","")," ",""),"-","")))</f>
        <v/>
      </c>
      <c r="T1185" s="3">
        <f>IF(OR($C1185="",$D1185&lt;&gt;"Gelir",$L1185=""),"",IFERROR(INDEX(MUSTERILER!$B$7:$B$106,MATCH($S1185,MUSTERILER!$T$7:$T$106,0)),""))</f>
        <v/>
      </c>
      <c r="U1185" s="3">
        <f>IF($T1185="","",$T1185&amp;"|"&amp;COUNTIFS($T$7:$T1185,$T1185))</f>
        <v/>
      </c>
      <c r="V1185" s="3">
        <f>IF($T1185="",0,1)</f>
        <v/>
      </c>
      <c r="W1185" s="3">
        <f>IF($C1185="","",$D1185&amp;"|"&amp;$E1185&amp;"|"&amp;TEXT($C1185,"0")&amp;"|"&amp;TEXT($G1185,"0")&amp;"|"&amp;$J1185)</f>
        <v/>
      </c>
      <c r="X1185" s="3" t="n"/>
      <c r="Y1185" s="3" t="n"/>
      <c r="Z1185" s="3" t="n"/>
      <c r="AA1185" s="3" t="n"/>
      <c r="AB1185" s="3" t="n"/>
      <c r="AC1185" s="3" t="n"/>
      <c r="AD1185" s="3">
        <f>IF($C1185="",0,SUMPRODUCT((AY_SONU!$O$7:$O$42="Evet")*(AY_SONU!$B$7:$B$42=DATE(YEAR($C1185),MONTH($C1185),1))))</f>
        <v/>
      </c>
    </row>
    <row r="1186">
      <c r="A1186" s="6" t="n"/>
      <c r="B1186" s="113">
        <f>IF($C1186="","","GG"&amp;TEXT(ROW()-6,"00000"))</f>
        <v/>
      </c>
      <c r="C1186" s="220" t="n"/>
      <c r="D1186" s="108" t="n"/>
      <c r="E1186" s="109" t="n"/>
      <c r="F1186" s="109" t="n"/>
      <c r="G1186" s="221" t="n"/>
      <c r="H1186" s="108" t="n"/>
      <c r="I1186" s="108" t="n"/>
      <c r="J1186" s="109" t="n"/>
      <c r="K1186" s="109" t="n"/>
      <c r="L1186" s="108" t="n"/>
      <c r="M1186" s="121">
        <f>IF($C1186="","",IF($D1186="Gider",$E1186,IF($L1186&lt;&gt;"",$L1186,$H1186)))</f>
        <v/>
      </c>
      <c r="N1186" s="121">
        <f>IF($C1186="","",IF($D1186="Gider",$H1186,$E1186))</f>
        <v/>
      </c>
      <c r="O1186" s="226">
        <f>IF($C1186="","",DATE(YEAR($C1186),MONTH($C1186),1))</f>
        <v/>
      </c>
      <c r="P1186" s="113">
        <f>IF($C1186="","",IF(AND($D1186="Gelir",$L1186&lt;&gt;"",$T1186=""),"TANIMSIZ BORÇLU",IF($T1186&lt;&gt;"",IF(OR($E1186="",$G1186&lt;=0),"EKSİK",IF($I1186="Evet","TAHAKKUK NAKİT OLAMAZ",IF($C1186&gt;TODAY(),"İLERİ TARİH","TAHAKKUK"))),IF(AND($D1186&lt;&gt;"",$E1186&lt;&gt;"",$G1186&gt;0,$H1186&lt;&gt;"",$I1186&lt;&gt;""),IF($C1186&gt;TODAY(),"İLERİ TARİH",IF(COUNTIF($W$7:$W$1206,$W1186)&gt;1,"MÜKERRER?",IF($AD1186&gt;0,"KAPALI DÖNEM",IF($I1186="Hayır","ÖDENECEK","UYGUN")))),"EKSİK"))))</f>
        <v/>
      </c>
      <c r="Q1186" s="6" t="n"/>
      <c r="R1186" s="6" t="n"/>
      <c r="S1186" s="3">
        <f>IF($L1186="","",UPPER(SUBSTITUTE(SUBSTITUTE(SUBSTITUTE(SUBSTITUTE(SUBSTITUTE(SUBSTITUTE(SUBSTITUTE(SUBSTITUTE(SUBSTITUTE(SUBSTITUTE(SUBSTITUTE(SUBSTITUTE(SUBSTITUTE(SUBSTITUTE(SUBSTITUTE(SUBSTITUTE(SUBSTITUTE(SUBSTITUTE(TRIM($L1186),"'",""),"İ","I"),"ı","I"),"i","I"),"Ş","S"),"ş","S"),"Ğ","G"),"ğ","G"),"Ü","U"),"ü","U"),"Ö","O"),"ö","O"),"Ç","C"),"ç","C"),".",""),",","")," ",""),"-","")))</f>
        <v/>
      </c>
      <c r="T1186" s="3">
        <f>IF(OR($C1186="",$D1186&lt;&gt;"Gelir",$L1186=""),"",IFERROR(INDEX(MUSTERILER!$B$7:$B$106,MATCH($S1186,MUSTERILER!$T$7:$T$106,0)),""))</f>
        <v/>
      </c>
      <c r="U1186" s="3">
        <f>IF($T1186="","",$T1186&amp;"|"&amp;COUNTIFS($T$7:$T1186,$T1186))</f>
        <v/>
      </c>
      <c r="V1186" s="3">
        <f>IF($T1186="",0,1)</f>
        <v/>
      </c>
      <c r="W1186" s="3">
        <f>IF($C1186="","",$D1186&amp;"|"&amp;$E1186&amp;"|"&amp;TEXT($C1186,"0")&amp;"|"&amp;TEXT($G1186,"0")&amp;"|"&amp;$J1186)</f>
        <v/>
      </c>
      <c r="X1186" s="3" t="n"/>
      <c r="Y1186" s="3" t="n"/>
      <c r="Z1186" s="3" t="n"/>
      <c r="AA1186" s="3" t="n"/>
      <c r="AB1186" s="3" t="n"/>
      <c r="AC1186" s="3" t="n"/>
      <c r="AD1186" s="3">
        <f>IF($C1186="",0,SUMPRODUCT((AY_SONU!$O$7:$O$42="Evet")*(AY_SONU!$B$7:$B$42=DATE(YEAR($C1186),MONTH($C1186),1))))</f>
        <v/>
      </c>
    </row>
    <row r="1187">
      <c r="A1187" s="6" t="n"/>
      <c r="B1187" s="113">
        <f>IF($C1187="","","GG"&amp;TEXT(ROW()-6,"00000"))</f>
        <v/>
      </c>
      <c r="C1187" s="220" t="n"/>
      <c r="D1187" s="108" t="n"/>
      <c r="E1187" s="109" t="n"/>
      <c r="F1187" s="109" t="n"/>
      <c r="G1187" s="221" t="n"/>
      <c r="H1187" s="108" t="n"/>
      <c r="I1187" s="108" t="n"/>
      <c r="J1187" s="109" t="n"/>
      <c r="K1187" s="109" t="n"/>
      <c r="L1187" s="108" t="n"/>
      <c r="M1187" s="121">
        <f>IF($C1187="","",IF($D1187="Gider",$E1187,IF($L1187&lt;&gt;"",$L1187,$H1187)))</f>
        <v/>
      </c>
      <c r="N1187" s="121">
        <f>IF($C1187="","",IF($D1187="Gider",$H1187,$E1187))</f>
        <v/>
      </c>
      <c r="O1187" s="226">
        <f>IF($C1187="","",DATE(YEAR($C1187),MONTH($C1187),1))</f>
        <v/>
      </c>
      <c r="P1187" s="113">
        <f>IF($C1187="","",IF(AND($D1187="Gelir",$L1187&lt;&gt;"",$T1187=""),"TANIMSIZ BORÇLU",IF($T1187&lt;&gt;"",IF(OR($E1187="",$G1187&lt;=0),"EKSİK",IF($I1187="Evet","TAHAKKUK NAKİT OLAMAZ",IF($C1187&gt;TODAY(),"İLERİ TARİH","TAHAKKUK"))),IF(AND($D1187&lt;&gt;"",$E1187&lt;&gt;"",$G1187&gt;0,$H1187&lt;&gt;"",$I1187&lt;&gt;""),IF($C1187&gt;TODAY(),"İLERİ TARİH",IF(COUNTIF($W$7:$W$1206,$W1187)&gt;1,"MÜKERRER?",IF($AD1187&gt;0,"KAPALI DÖNEM",IF($I1187="Hayır","ÖDENECEK","UYGUN")))),"EKSİK"))))</f>
        <v/>
      </c>
      <c r="Q1187" s="6" t="n"/>
      <c r="R1187" s="6" t="n"/>
      <c r="S1187" s="3">
        <f>IF($L1187="","",UPPER(SUBSTITUTE(SUBSTITUTE(SUBSTITUTE(SUBSTITUTE(SUBSTITUTE(SUBSTITUTE(SUBSTITUTE(SUBSTITUTE(SUBSTITUTE(SUBSTITUTE(SUBSTITUTE(SUBSTITUTE(SUBSTITUTE(SUBSTITUTE(SUBSTITUTE(SUBSTITUTE(SUBSTITUTE(SUBSTITUTE(TRIM($L1187),"'",""),"İ","I"),"ı","I"),"i","I"),"Ş","S"),"ş","S"),"Ğ","G"),"ğ","G"),"Ü","U"),"ü","U"),"Ö","O"),"ö","O"),"Ç","C"),"ç","C"),".",""),",","")," ",""),"-","")))</f>
        <v/>
      </c>
      <c r="T1187" s="3">
        <f>IF(OR($C1187="",$D1187&lt;&gt;"Gelir",$L1187=""),"",IFERROR(INDEX(MUSTERILER!$B$7:$B$106,MATCH($S1187,MUSTERILER!$T$7:$T$106,0)),""))</f>
        <v/>
      </c>
      <c r="U1187" s="3">
        <f>IF($T1187="","",$T1187&amp;"|"&amp;COUNTIFS($T$7:$T1187,$T1187))</f>
        <v/>
      </c>
      <c r="V1187" s="3">
        <f>IF($T1187="",0,1)</f>
        <v/>
      </c>
      <c r="W1187" s="3">
        <f>IF($C1187="","",$D1187&amp;"|"&amp;$E1187&amp;"|"&amp;TEXT($C1187,"0")&amp;"|"&amp;TEXT($G1187,"0")&amp;"|"&amp;$J1187)</f>
        <v/>
      </c>
      <c r="X1187" s="3" t="n"/>
      <c r="Y1187" s="3" t="n"/>
      <c r="Z1187" s="3" t="n"/>
      <c r="AA1187" s="3" t="n"/>
      <c r="AB1187" s="3" t="n"/>
      <c r="AC1187" s="3" t="n"/>
      <c r="AD1187" s="3">
        <f>IF($C1187="",0,SUMPRODUCT((AY_SONU!$O$7:$O$42="Evet")*(AY_SONU!$B$7:$B$42=DATE(YEAR($C1187),MONTH($C1187),1))))</f>
        <v/>
      </c>
    </row>
    <row r="1188">
      <c r="A1188" s="6" t="n"/>
      <c r="B1188" s="113">
        <f>IF($C1188="","","GG"&amp;TEXT(ROW()-6,"00000"))</f>
        <v/>
      </c>
      <c r="C1188" s="220" t="n"/>
      <c r="D1188" s="108" t="n"/>
      <c r="E1188" s="109" t="n"/>
      <c r="F1188" s="109" t="n"/>
      <c r="G1188" s="221" t="n"/>
      <c r="H1188" s="108" t="n"/>
      <c r="I1188" s="108" t="n"/>
      <c r="J1188" s="109" t="n"/>
      <c r="K1188" s="109" t="n"/>
      <c r="L1188" s="108" t="n"/>
      <c r="M1188" s="121">
        <f>IF($C1188="","",IF($D1188="Gider",$E1188,IF($L1188&lt;&gt;"",$L1188,$H1188)))</f>
        <v/>
      </c>
      <c r="N1188" s="121">
        <f>IF($C1188="","",IF($D1188="Gider",$H1188,$E1188))</f>
        <v/>
      </c>
      <c r="O1188" s="226">
        <f>IF($C1188="","",DATE(YEAR($C1188),MONTH($C1188),1))</f>
        <v/>
      </c>
      <c r="P1188" s="113">
        <f>IF($C1188="","",IF(AND($D1188="Gelir",$L1188&lt;&gt;"",$T1188=""),"TANIMSIZ BORÇLU",IF($T1188&lt;&gt;"",IF(OR($E1188="",$G1188&lt;=0),"EKSİK",IF($I1188="Evet","TAHAKKUK NAKİT OLAMAZ",IF($C1188&gt;TODAY(),"İLERİ TARİH","TAHAKKUK"))),IF(AND($D1188&lt;&gt;"",$E1188&lt;&gt;"",$G1188&gt;0,$H1188&lt;&gt;"",$I1188&lt;&gt;""),IF($C1188&gt;TODAY(),"İLERİ TARİH",IF(COUNTIF($W$7:$W$1206,$W1188)&gt;1,"MÜKERRER?",IF($AD1188&gt;0,"KAPALI DÖNEM",IF($I1188="Hayır","ÖDENECEK","UYGUN")))),"EKSİK"))))</f>
        <v/>
      </c>
      <c r="Q1188" s="6" t="n"/>
      <c r="R1188" s="6" t="n"/>
      <c r="S1188" s="3">
        <f>IF($L1188="","",UPPER(SUBSTITUTE(SUBSTITUTE(SUBSTITUTE(SUBSTITUTE(SUBSTITUTE(SUBSTITUTE(SUBSTITUTE(SUBSTITUTE(SUBSTITUTE(SUBSTITUTE(SUBSTITUTE(SUBSTITUTE(SUBSTITUTE(SUBSTITUTE(SUBSTITUTE(SUBSTITUTE(SUBSTITUTE(SUBSTITUTE(TRIM($L1188),"'",""),"İ","I"),"ı","I"),"i","I"),"Ş","S"),"ş","S"),"Ğ","G"),"ğ","G"),"Ü","U"),"ü","U"),"Ö","O"),"ö","O"),"Ç","C"),"ç","C"),".",""),",","")," ",""),"-","")))</f>
        <v/>
      </c>
      <c r="T1188" s="3">
        <f>IF(OR($C1188="",$D1188&lt;&gt;"Gelir",$L1188=""),"",IFERROR(INDEX(MUSTERILER!$B$7:$B$106,MATCH($S1188,MUSTERILER!$T$7:$T$106,0)),""))</f>
        <v/>
      </c>
      <c r="U1188" s="3">
        <f>IF($T1188="","",$T1188&amp;"|"&amp;COUNTIFS($T$7:$T1188,$T1188))</f>
        <v/>
      </c>
      <c r="V1188" s="3">
        <f>IF($T1188="",0,1)</f>
        <v/>
      </c>
      <c r="W1188" s="3">
        <f>IF($C1188="","",$D1188&amp;"|"&amp;$E1188&amp;"|"&amp;TEXT($C1188,"0")&amp;"|"&amp;TEXT($G1188,"0")&amp;"|"&amp;$J1188)</f>
        <v/>
      </c>
      <c r="X1188" s="3" t="n"/>
      <c r="Y1188" s="3" t="n"/>
      <c r="Z1188" s="3" t="n"/>
      <c r="AA1188" s="3" t="n"/>
      <c r="AB1188" s="3" t="n"/>
      <c r="AC1188" s="3" t="n"/>
      <c r="AD1188" s="3">
        <f>IF($C1188="",0,SUMPRODUCT((AY_SONU!$O$7:$O$42="Evet")*(AY_SONU!$B$7:$B$42=DATE(YEAR($C1188),MONTH($C1188),1))))</f>
        <v/>
      </c>
    </row>
    <row r="1189">
      <c r="A1189" s="6" t="n"/>
      <c r="B1189" s="113">
        <f>IF($C1189="","","GG"&amp;TEXT(ROW()-6,"00000"))</f>
        <v/>
      </c>
      <c r="C1189" s="220" t="n"/>
      <c r="D1189" s="108" t="n"/>
      <c r="E1189" s="109" t="n"/>
      <c r="F1189" s="109" t="n"/>
      <c r="G1189" s="221" t="n"/>
      <c r="H1189" s="108" t="n"/>
      <c r="I1189" s="108" t="n"/>
      <c r="J1189" s="109" t="n"/>
      <c r="K1189" s="109" t="n"/>
      <c r="L1189" s="108" t="n"/>
      <c r="M1189" s="121">
        <f>IF($C1189="","",IF($D1189="Gider",$E1189,IF($L1189&lt;&gt;"",$L1189,$H1189)))</f>
        <v/>
      </c>
      <c r="N1189" s="121">
        <f>IF($C1189="","",IF($D1189="Gider",$H1189,$E1189))</f>
        <v/>
      </c>
      <c r="O1189" s="226">
        <f>IF($C1189="","",DATE(YEAR($C1189),MONTH($C1189),1))</f>
        <v/>
      </c>
      <c r="P1189" s="113">
        <f>IF($C1189="","",IF(AND($D1189="Gelir",$L1189&lt;&gt;"",$T1189=""),"TANIMSIZ BORÇLU",IF($T1189&lt;&gt;"",IF(OR($E1189="",$G1189&lt;=0),"EKSİK",IF($I1189="Evet","TAHAKKUK NAKİT OLAMAZ",IF($C1189&gt;TODAY(),"İLERİ TARİH","TAHAKKUK"))),IF(AND($D1189&lt;&gt;"",$E1189&lt;&gt;"",$G1189&gt;0,$H1189&lt;&gt;"",$I1189&lt;&gt;""),IF($C1189&gt;TODAY(),"İLERİ TARİH",IF(COUNTIF($W$7:$W$1206,$W1189)&gt;1,"MÜKERRER?",IF($AD1189&gt;0,"KAPALI DÖNEM",IF($I1189="Hayır","ÖDENECEK","UYGUN")))),"EKSİK"))))</f>
        <v/>
      </c>
      <c r="Q1189" s="6" t="n"/>
      <c r="R1189" s="6" t="n"/>
      <c r="S1189" s="3">
        <f>IF($L1189="","",UPPER(SUBSTITUTE(SUBSTITUTE(SUBSTITUTE(SUBSTITUTE(SUBSTITUTE(SUBSTITUTE(SUBSTITUTE(SUBSTITUTE(SUBSTITUTE(SUBSTITUTE(SUBSTITUTE(SUBSTITUTE(SUBSTITUTE(SUBSTITUTE(SUBSTITUTE(SUBSTITUTE(SUBSTITUTE(SUBSTITUTE(TRIM($L1189),"'",""),"İ","I"),"ı","I"),"i","I"),"Ş","S"),"ş","S"),"Ğ","G"),"ğ","G"),"Ü","U"),"ü","U"),"Ö","O"),"ö","O"),"Ç","C"),"ç","C"),".",""),",","")," ",""),"-","")))</f>
        <v/>
      </c>
      <c r="T1189" s="3">
        <f>IF(OR($C1189="",$D1189&lt;&gt;"Gelir",$L1189=""),"",IFERROR(INDEX(MUSTERILER!$B$7:$B$106,MATCH($S1189,MUSTERILER!$T$7:$T$106,0)),""))</f>
        <v/>
      </c>
      <c r="U1189" s="3">
        <f>IF($T1189="","",$T1189&amp;"|"&amp;COUNTIFS($T$7:$T1189,$T1189))</f>
        <v/>
      </c>
      <c r="V1189" s="3">
        <f>IF($T1189="",0,1)</f>
        <v/>
      </c>
      <c r="W1189" s="3">
        <f>IF($C1189="","",$D1189&amp;"|"&amp;$E1189&amp;"|"&amp;TEXT($C1189,"0")&amp;"|"&amp;TEXT($G1189,"0")&amp;"|"&amp;$J1189)</f>
        <v/>
      </c>
      <c r="X1189" s="3" t="n"/>
      <c r="Y1189" s="3" t="n"/>
      <c r="Z1189" s="3" t="n"/>
      <c r="AA1189" s="3" t="n"/>
      <c r="AB1189" s="3" t="n"/>
      <c r="AC1189" s="3" t="n"/>
      <c r="AD1189" s="3">
        <f>IF($C1189="",0,SUMPRODUCT((AY_SONU!$O$7:$O$42="Evet")*(AY_SONU!$B$7:$B$42=DATE(YEAR($C1189),MONTH($C1189),1))))</f>
        <v/>
      </c>
    </row>
    <row r="1190">
      <c r="A1190" s="6" t="n"/>
      <c r="B1190" s="113">
        <f>IF($C1190="","","GG"&amp;TEXT(ROW()-6,"00000"))</f>
        <v/>
      </c>
      <c r="C1190" s="220" t="n"/>
      <c r="D1190" s="108" t="n"/>
      <c r="E1190" s="109" t="n"/>
      <c r="F1190" s="109" t="n"/>
      <c r="G1190" s="221" t="n"/>
      <c r="H1190" s="108" t="n"/>
      <c r="I1190" s="108" t="n"/>
      <c r="J1190" s="109" t="n"/>
      <c r="K1190" s="109" t="n"/>
      <c r="L1190" s="108" t="n"/>
      <c r="M1190" s="121">
        <f>IF($C1190="","",IF($D1190="Gider",$E1190,IF($L1190&lt;&gt;"",$L1190,$H1190)))</f>
        <v/>
      </c>
      <c r="N1190" s="121">
        <f>IF($C1190="","",IF($D1190="Gider",$H1190,$E1190))</f>
        <v/>
      </c>
      <c r="O1190" s="226">
        <f>IF($C1190="","",DATE(YEAR($C1190),MONTH($C1190),1))</f>
        <v/>
      </c>
      <c r="P1190" s="113">
        <f>IF($C1190="","",IF(AND($D1190="Gelir",$L1190&lt;&gt;"",$T1190=""),"TANIMSIZ BORÇLU",IF($T1190&lt;&gt;"",IF(OR($E1190="",$G1190&lt;=0),"EKSİK",IF($I1190="Evet","TAHAKKUK NAKİT OLAMAZ",IF($C1190&gt;TODAY(),"İLERİ TARİH","TAHAKKUK"))),IF(AND($D1190&lt;&gt;"",$E1190&lt;&gt;"",$G1190&gt;0,$H1190&lt;&gt;"",$I1190&lt;&gt;""),IF($C1190&gt;TODAY(),"İLERİ TARİH",IF(COUNTIF($W$7:$W$1206,$W1190)&gt;1,"MÜKERRER?",IF($AD1190&gt;0,"KAPALI DÖNEM",IF($I1190="Hayır","ÖDENECEK","UYGUN")))),"EKSİK"))))</f>
        <v/>
      </c>
      <c r="Q1190" s="6" t="n"/>
      <c r="R1190" s="6" t="n"/>
      <c r="S1190" s="3">
        <f>IF($L1190="","",UPPER(SUBSTITUTE(SUBSTITUTE(SUBSTITUTE(SUBSTITUTE(SUBSTITUTE(SUBSTITUTE(SUBSTITUTE(SUBSTITUTE(SUBSTITUTE(SUBSTITUTE(SUBSTITUTE(SUBSTITUTE(SUBSTITUTE(SUBSTITUTE(SUBSTITUTE(SUBSTITUTE(SUBSTITUTE(SUBSTITUTE(TRIM($L1190),"'",""),"İ","I"),"ı","I"),"i","I"),"Ş","S"),"ş","S"),"Ğ","G"),"ğ","G"),"Ü","U"),"ü","U"),"Ö","O"),"ö","O"),"Ç","C"),"ç","C"),".",""),",","")," ",""),"-","")))</f>
        <v/>
      </c>
      <c r="T1190" s="3">
        <f>IF(OR($C1190="",$D1190&lt;&gt;"Gelir",$L1190=""),"",IFERROR(INDEX(MUSTERILER!$B$7:$B$106,MATCH($S1190,MUSTERILER!$T$7:$T$106,0)),""))</f>
        <v/>
      </c>
      <c r="U1190" s="3">
        <f>IF($T1190="","",$T1190&amp;"|"&amp;COUNTIFS($T$7:$T1190,$T1190))</f>
        <v/>
      </c>
      <c r="V1190" s="3">
        <f>IF($T1190="",0,1)</f>
        <v/>
      </c>
      <c r="W1190" s="3">
        <f>IF($C1190="","",$D1190&amp;"|"&amp;$E1190&amp;"|"&amp;TEXT($C1190,"0")&amp;"|"&amp;TEXT($G1190,"0")&amp;"|"&amp;$J1190)</f>
        <v/>
      </c>
      <c r="X1190" s="3" t="n"/>
      <c r="Y1190" s="3" t="n"/>
      <c r="Z1190" s="3" t="n"/>
      <c r="AA1190" s="3" t="n"/>
      <c r="AB1190" s="3" t="n"/>
      <c r="AC1190" s="3" t="n"/>
      <c r="AD1190" s="3">
        <f>IF($C1190="",0,SUMPRODUCT((AY_SONU!$O$7:$O$42="Evet")*(AY_SONU!$B$7:$B$42=DATE(YEAR($C1190),MONTH($C1190),1))))</f>
        <v/>
      </c>
    </row>
    <row r="1191">
      <c r="A1191" s="6" t="n"/>
      <c r="B1191" s="113">
        <f>IF($C1191="","","GG"&amp;TEXT(ROW()-6,"00000"))</f>
        <v/>
      </c>
      <c r="C1191" s="220" t="n"/>
      <c r="D1191" s="108" t="n"/>
      <c r="E1191" s="109" t="n"/>
      <c r="F1191" s="109" t="n"/>
      <c r="G1191" s="221" t="n"/>
      <c r="H1191" s="108" t="n"/>
      <c r="I1191" s="108" t="n"/>
      <c r="J1191" s="109" t="n"/>
      <c r="K1191" s="109" t="n"/>
      <c r="L1191" s="108" t="n"/>
      <c r="M1191" s="121">
        <f>IF($C1191="","",IF($D1191="Gider",$E1191,IF($L1191&lt;&gt;"",$L1191,$H1191)))</f>
        <v/>
      </c>
      <c r="N1191" s="121">
        <f>IF($C1191="","",IF($D1191="Gider",$H1191,$E1191))</f>
        <v/>
      </c>
      <c r="O1191" s="226">
        <f>IF($C1191="","",DATE(YEAR($C1191),MONTH($C1191),1))</f>
        <v/>
      </c>
      <c r="P1191" s="113">
        <f>IF($C1191="","",IF(AND($D1191="Gelir",$L1191&lt;&gt;"",$T1191=""),"TANIMSIZ BORÇLU",IF($T1191&lt;&gt;"",IF(OR($E1191="",$G1191&lt;=0),"EKSİK",IF($I1191="Evet","TAHAKKUK NAKİT OLAMAZ",IF($C1191&gt;TODAY(),"İLERİ TARİH","TAHAKKUK"))),IF(AND($D1191&lt;&gt;"",$E1191&lt;&gt;"",$G1191&gt;0,$H1191&lt;&gt;"",$I1191&lt;&gt;""),IF($C1191&gt;TODAY(),"İLERİ TARİH",IF(COUNTIF($W$7:$W$1206,$W1191)&gt;1,"MÜKERRER?",IF($AD1191&gt;0,"KAPALI DÖNEM",IF($I1191="Hayır","ÖDENECEK","UYGUN")))),"EKSİK"))))</f>
        <v/>
      </c>
      <c r="Q1191" s="6" t="n"/>
      <c r="R1191" s="6" t="n"/>
      <c r="S1191" s="3">
        <f>IF($L1191="","",UPPER(SUBSTITUTE(SUBSTITUTE(SUBSTITUTE(SUBSTITUTE(SUBSTITUTE(SUBSTITUTE(SUBSTITUTE(SUBSTITUTE(SUBSTITUTE(SUBSTITUTE(SUBSTITUTE(SUBSTITUTE(SUBSTITUTE(SUBSTITUTE(SUBSTITUTE(SUBSTITUTE(SUBSTITUTE(SUBSTITUTE(TRIM($L1191),"'",""),"İ","I"),"ı","I"),"i","I"),"Ş","S"),"ş","S"),"Ğ","G"),"ğ","G"),"Ü","U"),"ü","U"),"Ö","O"),"ö","O"),"Ç","C"),"ç","C"),".",""),",","")," ",""),"-","")))</f>
        <v/>
      </c>
      <c r="T1191" s="3">
        <f>IF(OR($C1191="",$D1191&lt;&gt;"Gelir",$L1191=""),"",IFERROR(INDEX(MUSTERILER!$B$7:$B$106,MATCH($S1191,MUSTERILER!$T$7:$T$106,0)),""))</f>
        <v/>
      </c>
      <c r="U1191" s="3">
        <f>IF($T1191="","",$T1191&amp;"|"&amp;COUNTIFS($T$7:$T1191,$T1191))</f>
        <v/>
      </c>
      <c r="V1191" s="3">
        <f>IF($T1191="",0,1)</f>
        <v/>
      </c>
      <c r="W1191" s="3">
        <f>IF($C1191="","",$D1191&amp;"|"&amp;$E1191&amp;"|"&amp;TEXT($C1191,"0")&amp;"|"&amp;TEXT($G1191,"0")&amp;"|"&amp;$J1191)</f>
        <v/>
      </c>
      <c r="X1191" s="3" t="n"/>
      <c r="Y1191" s="3" t="n"/>
      <c r="Z1191" s="3" t="n"/>
      <c r="AA1191" s="3" t="n"/>
      <c r="AB1191" s="3" t="n"/>
      <c r="AC1191" s="3" t="n"/>
      <c r="AD1191" s="3">
        <f>IF($C1191="",0,SUMPRODUCT((AY_SONU!$O$7:$O$42="Evet")*(AY_SONU!$B$7:$B$42=DATE(YEAR($C1191),MONTH($C1191),1))))</f>
        <v/>
      </c>
    </row>
    <row r="1192">
      <c r="A1192" s="6" t="n"/>
      <c r="B1192" s="113">
        <f>IF($C1192="","","GG"&amp;TEXT(ROW()-6,"00000"))</f>
        <v/>
      </c>
      <c r="C1192" s="220" t="n"/>
      <c r="D1192" s="108" t="n"/>
      <c r="E1192" s="109" t="n"/>
      <c r="F1192" s="109" t="n"/>
      <c r="G1192" s="221" t="n"/>
      <c r="H1192" s="108" t="n"/>
      <c r="I1192" s="108" t="n"/>
      <c r="J1192" s="109" t="n"/>
      <c r="K1192" s="109" t="n"/>
      <c r="L1192" s="108" t="n"/>
      <c r="M1192" s="121">
        <f>IF($C1192="","",IF($D1192="Gider",$E1192,IF($L1192&lt;&gt;"",$L1192,$H1192)))</f>
        <v/>
      </c>
      <c r="N1192" s="121">
        <f>IF($C1192="","",IF($D1192="Gider",$H1192,$E1192))</f>
        <v/>
      </c>
      <c r="O1192" s="226">
        <f>IF($C1192="","",DATE(YEAR($C1192),MONTH($C1192),1))</f>
        <v/>
      </c>
      <c r="P1192" s="113">
        <f>IF($C1192="","",IF(AND($D1192="Gelir",$L1192&lt;&gt;"",$T1192=""),"TANIMSIZ BORÇLU",IF($T1192&lt;&gt;"",IF(OR($E1192="",$G1192&lt;=0),"EKSİK",IF($I1192="Evet","TAHAKKUK NAKİT OLAMAZ",IF($C1192&gt;TODAY(),"İLERİ TARİH","TAHAKKUK"))),IF(AND($D1192&lt;&gt;"",$E1192&lt;&gt;"",$G1192&gt;0,$H1192&lt;&gt;"",$I1192&lt;&gt;""),IF($C1192&gt;TODAY(),"İLERİ TARİH",IF(COUNTIF($W$7:$W$1206,$W1192)&gt;1,"MÜKERRER?",IF($AD1192&gt;0,"KAPALI DÖNEM",IF($I1192="Hayır","ÖDENECEK","UYGUN")))),"EKSİK"))))</f>
        <v/>
      </c>
      <c r="Q1192" s="6" t="n"/>
      <c r="R1192" s="6" t="n"/>
      <c r="S1192" s="3">
        <f>IF($L1192="","",UPPER(SUBSTITUTE(SUBSTITUTE(SUBSTITUTE(SUBSTITUTE(SUBSTITUTE(SUBSTITUTE(SUBSTITUTE(SUBSTITUTE(SUBSTITUTE(SUBSTITUTE(SUBSTITUTE(SUBSTITUTE(SUBSTITUTE(SUBSTITUTE(SUBSTITUTE(SUBSTITUTE(SUBSTITUTE(SUBSTITUTE(TRIM($L1192),"'",""),"İ","I"),"ı","I"),"i","I"),"Ş","S"),"ş","S"),"Ğ","G"),"ğ","G"),"Ü","U"),"ü","U"),"Ö","O"),"ö","O"),"Ç","C"),"ç","C"),".",""),",","")," ",""),"-","")))</f>
        <v/>
      </c>
      <c r="T1192" s="3">
        <f>IF(OR($C1192="",$D1192&lt;&gt;"Gelir",$L1192=""),"",IFERROR(INDEX(MUSTERILER!$B$7:$B$106,MATCH($S1192,MUSTERILER!$T$7:$T$106,0)),""))</f>
        <v/>
      </c>
      <c r="U1192" s="3">
        <f>IF($T1192="","",$T1192&amp;"|"&amp;COUNTIFS($T$7:$T1192,$T1192))</f>
        <v/>
      </c>
      <c r="V1192" s="3">
        <f>IF($T1192="",0,1)</f>
        <v/>
      </c>
      <c r="W1192" s="3">
        <f>IF($C1192="","",$D1192&amp;"|"&amp;$E1192&amp;"|"&amp;TEXT($C1192,"0")&amp;"|"&amp;TEXT($G1192,"0")&amp;"|"&amp;$J1192)</f>
        <v/>
      </c>
      <c r="X1192" s="3" t="n"/>
      <c r="Y1192" s="3" t="n"/>
      <c r="Z1192" s="3" t="n"/>
      <c r="AA1192" s="3" t="n"/>
      <c r="AB1192" s="3" t="n"/>
      <c r="AC1192" s="3" t="n"/>
      <c r="AD1192" s="3">
        <f>IF($C1192="",0,SUMPRODUCT((AY_SONU!$O$7:$O$42="Evet")*(AY_SONU!$B$7:$B$42=DATE(YEAR($C1192),MONTH($C1192),1))))</f>
        <v/>
      </c>
    </row>
    <row r="1193">
      <c r="A1193" s="6" t="n"/>
      <c r="B1193" s="113">
        <f>IF($C1193="","","GG"&amp;TEXT(ROW()-6,"00000"))</f>
        <v/>
      </c>
      <c r="C1193" s="220" t="n"/>
      <c r="D1193" s="108" t="n"/>
      <c r="E1193" s="109" t="n"/>
      <c r="F1193" s="109" t="n"/>
      <c r="G1193" s="221" t="n"/>
      <c r="H1193" s="108" t="n"/>
      <c r="I1193" s="108" t="n"/>
      <c r="J1193" s="109" t="n"/>
      <c r="K1193" s="109" t="n"/>
      <c r="L1193" s="108" t="n"/>
      <c r="M1193" s="121">
        <f>IF($C1193="","",IF($D1193="Gider",$E1193,IF($L1193&lt;&gt;"",$L1193,$H1193)))</f>
        <v/>
      </c>
      <c r="N1193" s="121">
        <f>IF($C1193="","",IF($D1193="Gider",$H1193,$E1193))</f>
        <v/>
      </c>
      <c r="O1193" s="226">
        <f>IF($C1193="","",DATE(YEAR($C1193),MONTH($C1193),1))</f>
        <v/>
      </c>
      <c r="P1193" s="113">
        <f>IF($C1193="","",IF(AND($D1193="Gelir",$L1193&lt;&gt;"",$T1193=""),"TANIMSIZ BORÇLU",IF($T1193&lt;&gt;"",IF(OR($E1193="",$G1193&lt;=0),"EKSİK",IF($I1193="Evet","TAHAKKUK NAKİT OLAMAZ",IF($C1193&gt;TODAY(),"İLERİ TARİH","TAHAKKUK"))),IF(AND($D1193&lt;&gt;"",$E1193&lt;&gt;"",$G1193&gt;0,$H1193&lt;&gt;"",$I1193&lt;&gt;""),IF($C1193&gt;TODAY(),"İLERİ TARİH",IF(COUNTIF($W$7:$W$1206,$W1193)&gt;1,"MÜKERRER?",IF($AD1193&gt;0,"KAPALI DÖNEM",IF($I1193="Hayır","ÖDENECEK","UYGUN")))),"EKSİK"))))</f>
        <v/>
      </c>
      <c r="Q1193" s="6" t="n"/>
      <c r="R1193" s="6" t="n"/>
      <c r="S1193" s="3">
        <f>IF($L1193="","",UPPER(SUBSTITUTE(SUBSTITUTE(SUBSTITUTE(SUBSTITUTE(SUBSTITUTE(SUBSTITUTE(SUBSTITUTE(SUBSTITUTE(SUBSTITUTE(SUBSTITUTE(SUBSTITUTE(SUBSTITUTE(SUBSTITUTE(SUBSTITUTE(SUBSTITUTE(SUBSTITUTE(SUBSTITUTE(SUBSTITUTE(TRIM($L1193),"'",""),"İ","I"),"ı","I"),"i","I"),"Ş","S"),"ş","S"),"Ğ","G"),"ğ","G"),"Ü","U"),"ü","U"),"Ö","O"),"ö","O"),"Ç","C"),"ç","C"),".",""),",","")," ",""),"-","")))</f>
        <v/>
      </c>
      <c r="T1193" s="3">
        <f>IF(OR($C1193="",$D1193&lt;&gt;"Gelir",$L1193=""),"",IFERROR(INDEX(MUSTERILER!$B$7:$B$106,MATCH($S1193,MUSTERILER!$T$7:$T$106,0)),""))</f>
        <v/>
      </c>
      <c r="U1193" s="3">
        <f>IF($T1193="","",$T1193&amp;"|"&amp;COUNTIFS($T$7:$T1193,$T1193))</f>
        <v/>
      </c>
      <c r="V1193" s="3">
        <f>IF($T1193="",0,1)</f>
        <v/>
      </c>
      <c r="W1193" s="3">
        <f>IF($C1193="","",$D1193&amp;"|"&amp;$E1193&amp;"|"&amp;TEXT($C1193,"0")&amp;"|"&amp;TEXT($G1193,"0")&amp;"|"&amp;$J1193)</f>
        <v/>
      </c>
      <c r="X1193" s="3" t="n"/>
      <c r="Y1193" s="3" t="n"/>
      <c r="Z1193" s="3" t="n"/>
      <c r="AA1193" s="3" t="n"/>
      <c r="AB1193" s="3" t="n"/>
      <c r="AC1193" s="3" t="n"/>
      <c r="AD1193" s="3">
        <f>IF($C1193="",0,SUMPRODUCT((AY_SONU!$O$7:$O$42="Evet")*(AY_SONU!$B$7:$B$42=DATE(YEAR($C1193),MONTH($C1193),1))))</f>
        <v/>
      </c>
    </row>
    <row r="1194">
      <c r="A1194" s="6" t="n"/>
      <c r="B1194" s="113">
        <f>IF($C1194="","","GG"&amp;TEXT(ROW()-6,"00000"))</f>
        <v/>
      </c>
      <c r="C1194" s="220" t="n"/>
      <c r="D1194" s="108" t="n"/>
      <c r="E1194" s="109" t="n"/>
      <c r="F1194" s="109" t="n"/>
      <c r="G1194" s="221" t="n"/>
      <c r="H1194" s="108" t="n"/>
      <c r="I1194" s="108" t="n"/>
      <c r="J1194" s="109" t="n"/>
      <c r="K1194" s="109" t="n"/>
      <c r="L1194" s="108" t="n"/>
      <c r="M1194" s="121">
        <f>IF($C1194="","",IF($D1194="Gider",$E1194,IF($L1194&lt;&gt;"",$L1194,$H1194)))</f>
        <v/>
      </c>
      <c r="N1194" s="121">
        <f>IF($C1194="","",IF($D1194="Gider",$H1194,$E1194))</f>
        <v/>
      </c>
      <c r="O1194" s="226">
        <f>IF($C1194="","",DATE(YEAR($C1194),MONTH($C1194),1))</f>
        <v/>
      </c>
      <c r="P1194" s="113">
        <f>IF($C1194="","",IF(AND($D1194="Gelir",$L1194&lt;&gt;"",$T1194=""),"TANIMSIZ BORÇLU",IF($T1194&lt;&gt;"",IF(OR($E1194="",$G1194&lt;=0),"EKSİK",IF($I1194="Evet","TAHAKKUK NAKİT OLAMAZ",IF($C1194&gt;TODAY(),"İLERİ TARİH","TAHAKKUK"))),IF(AND($D1194&lt;&gt;"",$E1194&lt;&gt;"",$G1194&gt;0,$H1194&lt;&gt;"",$I1194&lt;&gt;""),IF($C1194&gt;TODAY(),"İLERİ TARİH",IF(COUNTIF($W$7:$W$1206,$W1194)&gt;1,"MÜKERRER?",IF($AD1194&gt;0,"KAPALI DÖNEM",IF($I1194="Hayır","ÖDENECEK","UYGUN")))),"EKSİK"))))</f>
        <v/>
      </c>
      <c r="Q1194" s="6" t="n"/>
      <c r="R1194" s="6" t="n"/>
      <c r="S1194" s="3">
        <f>IF($L1194="","",UPPER(SUBSTITUTE(SUBSTITUTE(SUBSTITUTE(SUBSTITUTE(SUBSTITUTE(SUBSTITUTE(SUBSTITUTE(SUBSTITUTE(SUBSTITUTE(SUBSTITUTE(SUBSTITUTE(SUBSTITUTE(SUBSTITUTE(SUBSTITUTE(SUBSTITUTE(SUBSTITUTE(SUBSTITUTE(SUBSTITUTE(TRIM($L1194),"'",""),"İ","I"),"ı","I"),"i","I"),"Ş","S"),"ş","S"),"Ğ","G"),"ğ","G"),"Ü","U"),"ü","U"),"Ö","O"),"ö","O"),"Ç","C"),"ç","C"),".",""),",","")," ",""),"-","")))</f>
        <v/>
      </c>
      <c r="T1194" s="3">
        <f>IF(OR($C1194="",$D1194&lt;&gt;"Gelir",$L1194=""),"",IFERROR(INDEX(MUSTERILER!$B$7:$B$106,MATCH($S1194,MUSTERILER!$T$7:$T$106,0)),""))</f>
        <v/>
      </c>
      <c r="U1194" s="3">
        <f>IF($T1194="","",$T1194&amp;"|"&amp;COUNTIFS($T$7:$T1194,$T1194))</f>
        <v/>
      </c>
      <c r="V1194" s="3">
        <f>IF($T1194="",0,1)</f>
        <v/>
      </c>
      <c r="W1194" s="3">
        <f>IF($C1194="","",$D1194&amp;"|"&amp;$E1194&amp;"|"&amp;TEXT($C1194,"0")&amp;"|"&amp;TEXT($G1194,"0")&amp;"|"&amp;$J1194)</f>
        <v/>
      </c>
      <c r="X1194" s="3" t="n"/>
      <c r="Y1194" s="3" t="n"/>
      <c r="Z1194" s="3" t="n"/>
      <c r="AA1194" s="3" t="n"/>
      <c r="AB1194" s="3" t="n"/>
      <c r="AC1194" s="3" t="n"/>
      <c r="AD1194" s="3">
        <f>IF($C1194="",0,SUMPRODUCT((AY_SONU!$O$7:$O$42="Evet")*(AY_SONU!$B$7:$B$42=DATE(YEAR($C1194),MONTH($C1194),1))))</f>
        <v/>
      </c>
    </row>
    <row r="1195">
      <c r="A1195" s="6" t="n"/>
      <c r="B1195" s="113">
        <f>IF($C1195="","","GG"&amp;TEXT(ROW()-6,"00000"))</f>
        <v/>
      </c>
      <c r="C1195" s="220" t="n"/>
      <c r="D1195" s="108" t="n"/>
      <c r="E1195" s="109" t="n"/>
      <c r="F1195" s="109" t="n"/>
      <c r="G1195" s="221" t="n"/>
      <c r="H1195" s="108" t="n"/>
      <c r="I1195" s="108" t="n"/>
      <c r="J1195" s="109" t="n"/>
      <c r="K1195" s="109" t="n"/>
      <c r="L1195" s="108" t="n"/>
      <c r="M1195" s="121">
        <f>IF($C1195="","",IF($D1195="Gider",$E1195,IF($L1195&lt;&gt;"",$L1195,$H1195)))</f>
        <v/>
      </c>
      <c r="N1195" s="121">
        <f>IF($C1195="","",IF($D1195="Gider",$H1195,$E1195))</f>
        <v/>
      </c>
      <c r="O1195" s="226">
        <f>IF($C1195="","",DATE(YEAR($C1195),MONTH($C1195),1))</f>
        <v/>
      </c>
      <c r="P1195" s="113">
        <f>IF($C1195="","",IF(AND($D1195="Gelir",$L1195&lt;&gt;"",$T1195=""),"TANIMSIZ BORÇLU",IF($T1195&lt;&gt;"",IF(OR($E1195="",$G1195&lt;=0),"EKSİK",IF($I1195="Evet","TAHAKKUK NAKİT OLAMAZ",IF($C1195&gt;TODAY(),"İLERİ TARİH","TAHAKKUK"))),IF(AND($D1195&lt;&gt;"",$E1195&lt;&gt;"",$G1195&gt;0,$H1195&lt;&gt;"",$I1195&lt;&gt;""),IF($C1195&gt;TODAY(),"İLERİ TARİH",IF(COUNTIF($W$7:$W$1206,$W1195)&gt;1,"MÜKERRER?",IF($AD1195&gt;0,"KAPALI DÖNEM",IF($I1195="Hayır","ÖDENECEK","UYGUN")))),"EKSİK"))))</f>
        <v/>
      </c>
      <c r="Q1195" s="6" t="n"/>
      <c r="R1195" s="6" t="n"/>
      <c r="S1195" s="3">
        <f>IF($L1195="","",UPPER(SUBSTITUTE(SUBSTITUTE(SUBSTITUTE(SUBSTITUTE(SUBSTITUTE(SUBSTITUTE(SUBSTITUTE(SUBSTITUTE(SUBSTITUTE(SUBSTITUTE(SUBSTITUTE(SUBSTITUTE(SUBSTITUTE(SUBSTITUTE(SUBSTITUTE(SUBSTITUTE(SUBSTITUTE(SUBSTITUTE(TRIM($L1195),"'",""),"İ","I"),"ı","I"),"i","I"),"Ş","S"),"ş","S"),"Ğ","G"),"ğ","G"),"Ü","U"),"ü","U"),"Ö","O"),"ö","O"),"Ç","C"),"ç","C"),".",""),",","")," ",""),"-","")))</f>
        <v/>
      </c>
      <c r="T1195" s="3">
        <f>IF(OR($C1195="",$D1195&lt;&gt;"Gelir",$L1195=""),"",IFERROR(INDEX(MUSTERILER!$B$7:$B$106,MATCH($S1195,MUSTERILER!$T$7:$T$106,0)),""))</f>
        <v/>
      </c>
      <c r="U1195" s="3">
        <f>IF($T1195="","",$T1195&amp;"|"&amp;COUNTIFS($T$7:$T1195,$T1195))</f>
        <v/>
      </c>
      <c r="V1195" s="3">
        <f>IF($T1195="",0,1)</f>
        <v/>
      </c>
      <c r="W1195" s="3">
        <f>IF($C1195="","",$D1195&amp;"|"&amp;$E1195&amp;"|"&amp;TEXT($C1195,"0")&amp;"|"&amp;TEXT($G1195,"0")&amp;"|"&amp;$J1195)</f>
        <v/>
      </c>
      <c r="X1195" s="3" t="n"/>
      <c r="Y1195" s="3" t="n"/>
      <c r="Z1195" s="3" t="n"/>
      <c r="AA1195" s="3" t="n"/>
      <c r="AB1195" s="3" t="n"/>
      <c r="AC1195" s="3" t="n"/>
      <c r="AD1195" s="3">
        <f>IF($C1195="",0,SUMPRODUCT((AY_SONU!$O$7:$O$42="Evet")*(AY_SONU!$B$7:$B$42=DATE(YEAR($C1195),MONTH($C1195),1))))</f>
        <v/>
      </c>
    </row>
    <row r="1196">
      <c r="A1196" s="6" t="n"/>
      <c r="B1196" s="113">
        <f>IF($C1196="","","GG"&amp;TEXT(ROW()-6,"00000"))</f>
        <v/>
      </c>
      <c r="C1196" s="220" t="n"/>
      <c r="D1196" s="108" t="n"/>
      <c r="E1196" s="109" t="n"/>
      <c r="F1196" s="109" t="n"/>
      <c r="G1196" s="221" t="n"/>
      <c r="H1196" s="108" t="n"/>
      <c r="I1196" s="108" t="n"/>
      <c r="J1196" s="109" t="n"/>
      <c r="K1196" s="109" t="n"/>
      <c r="L1196" s="108" t="n"/>
      <c r="M1196" s="121">
        <f>IF($C1196="","",IF($D1196="Gider",$E1196,IF($L1196&lt;&gt;"",$L1196,$H1196)))</f>
        <v/>
      </c>
      <c r="N1196" s="121">
        <f>IF($C1196="","",IF($D1196="Gider",$H1196,$E1196))</f>
        <v/>
      </c>
      <c r="O1196" s="226">
        <f>IF($C1196="","",DATE(YEAR($C1196),MONTH($C1196),1))</f>
        <v/>
      </c>
      <c r="P1196" s="113">
        <f>IF($C1196="","",IF(AND($D1196="Gelir",$L1196&lt;&gt;"",$T1196=""),"TANIMSIZ BORÇLU",IF($T1196&lt;&gt;"",IF(OR($E1196="",$G1196&lt;=0),"EKSİK",IF($I1196="Evet","TAHAKKUK NAKİT OLAMAZ",IF($C1196&gt;TODAY(),"İLERİ TARİH","TAHAKKUK"))),IF(AND($D1196&lt;&gt;"",$E1196&lt;&gt;"",$G1196&gt;0,$H1196&lt;&gt;"",$I1196&lt;&gt;""),IF($C1196&gt;TODAY(),"İLERİ TARİH",IF(COUNTIF($W$7:$W$1206,$W1196)&gt;1,"MÜKERRER?",IF($AD1196&gt;0,"KAPALI DÖNEM",IF($I1196="Hayır","ÖDENECEK","UYGUN")))),"EKSİK"))))</f>
        <v/>
      </c>
      <c r="Q1196" s="6" t="n"/>
      <c r="R1196" s="6" t="n"/>
      <c r="S1196" s="3">
        <f>IF($L1196="","",UPPER(SUBSTITUTE(SUBSTITUTE(SUBSTITUTE(SUBSTITUTE(SUBSTITUTE(SUBSTITUTE(SUBSTITUTE(SUBSTITUTE(SUBSTITUTE(SUBSTITUTE(SUBSTITUTE(SUBSTITUTE(SUBSTITUTE(SUBSTITUTE(SUBSTITUTE(SUBSTITUTE(SUBSTITUTE(SUBSTITUTE(TRIM($L1196),"'",""),"İ","I"),"ı","I"),"i","I"),"Ş","S"),"ş","S"),"Ğ","G"),"ğ","G"),"Ü","U"),"ü","U"),"Ö","O"),"ö","O"),"Ç","C"),"ç","C"),".",""),",","")," ",""),"-","")))</f>
        <v/>
      </c>
      <c r="T1196" s="3">
        <f>IF(OR($C1196="",$D1196&lt;&gt;"Gelir",$L1196=""),"",IFERROR(INDEX(MUSTERILER!$B$7:$B$106,MATCH($S1196,MUSTERILER!$T$7:$T$106,0)),""))</f>
        <v/>
      </c>
      <c r="U1196" s="3">
        <f>IF($T1196="","",$T1196&amp;"|"&amp;COUNTIFS($T$7:$T1196,$T1196))</f>
        <v/>
      </c>
      <c r="V1196" s="3">
        <f>IF($T1196="",0,1)</f>
        <v/>
      </c>
      <c r="W1196" s="3">
        <f>IF($C1196="","",$D1196&amp;"|"&amp;$E1196&amp;"|"&amp;TEXT($C1196,"0")&amp;"|"&amp;TEXT($G1196,"0")&amp;"|"&amp;$J1196)</f>
        <v/>
      </c>
      <c r="X1196" s="3" t="n"/>
      <c r="Y1196" s="3" t="n"/>
      <c r="Z1196" s="3" t="n"/>
      <c r="AA1196" s="3" t="n"/>
      <c r="AB1196" s="3" t="n"/>
      <c r="AC1196" s="3" t="n"/>
      <c r="AD1196" s="3">
        <f>IF($C1196="",0,SUMPRODUCT((AY_SONU!$O$7:$O$42="Evet")*(AY_SONU!$B$7:$B$42=DATE(YEAR($C1196),MONTH($C1196),1))))</f>
        <v/>
      </c>
    </row>
    <row r="1197">
      <c r="A1197" s="6" t="n"/>
      <c r="B1197" s="113">
        <f>IF($C1197="","","GG"&amp;TEXT(ROW()-6,"00000"))</f>
        <v/>
      </c>
      <c r="C1197" s="220" t="n"/>
      <c r="D1197" s="108" t="n"/>
      <c r="E1197" s="109" t="n"/>
      <c r="F1197" s="109" t="n"/>
      <c r="G1197" s="221" t="n"/>
      <c r="H1197" s="108" t="n"/>
      <c r="I1197" s="108" t="n"/>
      <c r="J1197" s="109" t="n"/>
      <c r="K1197" s="109" t="n"/>
      <c r="L1197" s="108" t="n"/>
      <c r="M1197" s="121">
        <f>IF($C1197="","",IF($D1197="Gider",$E1197,IF($L1197&lt;&gt;"",$L1197,$H1197)))</f>
        <v/>
      </c>
      <c r="N1197" s="121">
        <f>IF($C1197="","",IF($D1197="Gider",$H1197,$E1197))</f>
        <v/>
      </c>
      <c r="O1197" s="226">
        <f>IF($C1197="","",DATE(YEAR($C1197),MONTH($C1197),1))</f>
        <v/>
      </c>
      <c r="P1197" s="113">
        <f>IF($C1197="","",IF(AND($D1197="Gelir",$L1197&lt;&gt;"",$T1197=""),"TANIMSIZ BORÇLU",IF($T1197&lt;&gt;"",IF(OR($E1197="",$G1197&lt;=0),"EKSİK",IF($I1197="Evet","TAHAKKUK NAKİT OLAMAZ",IF($C1197&gt;TODAY(),"İLERİ TARİH","TAHAKKUK"))),IF(AND($D1197&lt;&gt;"",$E1197&lt;&gt;"",$G1197&gt;0,$H1197&lt;&gt;"",$I1197&lt;&gt;""),IF($C1197&gt;TODAY(),"İLERİ TARİH",IF(COUNTIF($W$7:$W$1206,$W1197)&gt;1,"MÜKERRER?",IF($AD1197&gt;0,"KAPALI DÖNEM",IF($I1197="Hayır","ÖDENECEK","UYGUN")))),"EKSİK"))))</f>
        <v/>
      </c>
      <c r="Q1197" s="6" t="n"/>
      <c r="R1197" s="6" t="n"/>
      <c r="S1197" s="3">
        <f>IF($L1197="","",UPPER(SUBSTITUTE(SUBSTITUTE(SUBSTITUTE(SUBSTITUTE(SUBSTITUTE(SUBSTITUTE(SUBSTITUTE(SUBSTITUTE(SUBSTITUTE(SUBSTITUTE(SUBSTITUTE(SUBSTITUTE(SUBSTITUTE(SUBSTITUTE(SUBSTITUTE(SUBSTITUTE(SUBSTITUTE(SUBSTITUTE(TRIM($L1197),"'",""),"İ","I"),"ı","I"),"i","I"),"Ş","S"),"ş","S"),"Ğ","G"),"ğ","G"),"Ü","U"),"ü","U"),"Ö","O"),"ö","O"),"Ç","C"),"ç","C"),".",""),",","")," ",""),"-","")))</f>
        <v/>
      </c>
      <c r="T1197" s="3">
        <f>IF(OR($C1197="",$D1197&lt;&gt;"Gelir",$L1197=""),"",IFERROR(INDEX(MUSTERILER!$B$7:$B$106,MATCH($S1197,MUSTERILER!$T$7:$T$106,0)),""))</f>
        <v/>
      </c>
      <c r="U1197" s="3">
        <f>IF($T1197="","",$T1197&amp;"|"&amp;COUNTIFS($T$7:$T1197,$T1197))</f>
        <v/>
      </c>
      <c r="V1197" s="3">
        <f>IF($T1197="",0,1)</f>
        <v/>
      </c>
      <c r="W1197" s="3">
        <f>IF($C1197="","",$D1197&amp;"|"&amp;$E1197&amp;"|"&amp;TEXT($C1197,"0")&amp;"|"&amp;TEXT($G1197,"0")&amp;"|"&amp;$J1197)</f>
        <v/>
      </c>
      <c r="X1197" s="3" t="n"/>
      <c r="Y1197" s="3" t="n"/>
      <c r="Z1197" s="3" t="n"/>
      <c r="AA1197" s="3" t="n"/>
      <c r="AB1197" s="3" t="n"/>
      <c r="AC1197" s="3" t="n"/>
      <c r="AD1197" s="3">
        <f>IF($C1197="",0,SUMPRODUCT((AY_SONU!$O$7:$O$42="Evet")*(AY_SONU!$B$7:$B$42=DATE(YEAR($C1197),MONTH($C1197),1))))</f>
        <v/>
      </c>
    </row>
    <row r="1198">
      <c r="A1198" s="6" t="n"/>
      <c r="B1198" s="113">
        <f>IF($C1198="","","GG"&amp;TEXT(ROW()-6,"00000"))</f>
        <v/>
      </c>
      <c r="C1198" s="220" t="n"/>
      <c r="D1198" s="108" t="n"/>
      <c r="E1198" s="109" t="n"/>
      <c r="F1198" s="109" t="n"/>
      <c r="G1198" s="221" t="n"/>
      <c r="H1198" s="108" t="n"/>
      <c r="I1198" s="108" t="n"/>
      <c r="J1198" s="109" t="n"/>
      <c r="K1198" s="109" t="n"/>
      <c r="L1198" s="108" t="n"/>
      <c r="M1198" s="121">
        <f>IF($C1198="","",IF($D1198="Gider",$E1198,IF($L1198&lt;&gt;"",$L1198,$H1198)))</f>
        <v/>
      </c>
      <c r="N1198" s="121">
        <f>IF($C1198="","",IF($D1198="Gider",$H1198,$E1198))</f>
        <v/>
      </c>
      <c r="O1198" s="226">
        <f>IF($C1198="","",DATE(YEAR($C1198),MONTH($C1198),1))</f>
        <v/>
      </c>
      <c r="P1198" s="113">
        <f>IF($C1198="","",IF(AND($D1198="Gelir",$L1198&lt;&gt;"",$T1198=""),"TANIMSIZ BORÇLU",IF($T1198&lt;&gt;"",IF(OR($E1198="",$G1198&lt;=0),"EKSİK",IF($I1198="Evet","TAHAKKUK NAKİT OLAMAZ",IF($C1198&gt;TODAY(),"İLERİ TARİH","TAHAKKUK"))),IF(AND($D1198&lt;&gt;"",$E1198&lt;&gt;"",$G1198&gt;0,$H1198&lt;&gt;"",$I1198&lt;&gt;""),IF($C1198&gt;TODAY(),"İLERİ TARİH",IF(COUNTIF($W$7:$W$1206,$W1198)&gt;1,"MÜKERRER?",IF($AD1198&gt;0,"KAPALI DÖNEM",IF($I1198="Hayır","ÖDENECEK","UYGUN")))),"EKSİK"))))</f>
        <v/>
      </c>
      <c r="Q1198" s="6" t="n"/>
      <c r="R1198" s="6" t="n"/>
      <c r="S1198" s="3">
        <f>IF($L1198="","",UPPER(SUBSTITUTE(SUBSTITUTE(SUBSTITUTE(SUBSTITUTE(SUBSTITUTE(SUBSTITUTE(SUBSTITUTE(SUBSTITUTE(SUBSTITUTE(SUBSTITUTE(SUBSTITUTE(SUBSTITUTE(SUBSTITUTE(SUBSTITUTE(SUBSTITUTE(SUBSTITUTE(SUBSTITUTE(SUBSTITUTE(TRIM($L1198),"'",""),"İ","I"),"ı","I"),"i","I"),"Ş","S"),"ş","S"),"Ğ","G"),"ğ","G"),"Ü","U"),"ü","U"),"Ö","O"),"ö","O"),"Ç","C"),"ç","C"),".",""),",","")," ",""),"-","")))</f>
        <v/>
      </c>
      <c r="T1198" s="3">
        <f>IF(OR($C1198="",$D1198&lt;&gt;"Gelir",$L1198=""),"",IFERROR(INDEX(MUSTERILER!$B$7:$B$106,MATCH($S1198,MUSTERILER!$T$7:$T$106,0)),""))</f>
        <v/>
      </c>
      <c r="U1198" s="3">
        <f>IF($T1198="","",$T1198&amp;"|"&amp;COUNTIFS($T$7:$T1198,$T1198))</f>
        <v/>
      </c>
      <c r="V1198" s="3">
        <f>IF($T1198="",0,1)</f>
        <v/>
      </c>
      <c r="W1198" s="3">
        <f>IF($C1198="","",$D1198&amp;"|"&amp;$E1198&amp;"|"&amp;TEXT($C1198,"0")&amp;"|"&amp;TEXT($G1198,"0")&amp;"|"&amp;$J1198)</f>
        <v/>
      </c>
      <c r="X1198" s="3" t="n"/>
      <c r="Y1198" s="3" t="n"/>
      <c r="Z1198" s="3" t="n"/>
      <c r="AA1198" s="3" t="n"/>
      <c r="AB1198" s="3" t="n"/>
      <c r="AC1198" s="3" t="n"/>
      <c r="AD1198" s="3">
        <f>IF($C1198="",0,SUMPRODUCT((AY_SONU!$O$7:$O$42="Evet")*(AY_SONU!$B$7:$B$42=DATE(YEAR($C1198),MONTH($C1198),1))))</f>
        <v/>
      </c>
    </row>
    <row r="1199">
      <c r="A1199" s="6" t="n"/>
      <c r="B1199" s="113">
        <f>IF($C1199="","","GG"&amp;TEXT(ROW()-6,"00000"))</f>
        <v/>
      </c>
      <c r="C1199" s="220" t="n"/>
      <c r="D1199" s="108" t="n"/>
      <c r="E1199" s="109" t="n"/>
      <c r="F1199" s="109" t="n"/>
      <c r="G1199" s="221" t="n"/>
      <c r="H1199" s="108" t="n"/>
      <c r="I1199" s="108" t="n"/>
      <c r="J1199" s="109" t="n"/>
      <c r="K1199" s="109" t="n"/>
      <c r="L1199" s="108" t="n"/>
      <c r="M1199" s="121">
        <f>IF($C1199="","",IF($D1199="Gider",$E1199,IF($L1199&lt;&gt;"",$L1199,$H1199)))</f>
        <v/>
      </c>
      <c r="N1199" s="121">
        <f>IF($C1199="","",IF($D1199="Gider",$H1199,$E1199))</f>
        <v/>
      </c>
      <c r="O1199" s="226">
        <f>IF($C1199="","",DATE(YEAR($C1199),MONTH($C1199),1))</f>
        <v/>
      </c>
      <c r="P1199" s="113">
        <f>IF($C1199="","",IF(AND($D1199="Gelir",$L1199&lt;&gt;"",$T1199=""),"TANIMSIZ BORÇLU",IF($T1199&lt;&gt;"",IF(OR($E1199="",$G1199&lt;=0),"EKSİK",IF($I1199="Evet","TAHAKKUK NAKİT OLAMAZ",IF($C1199&gt;TODAY(),"İLERİ TARİH","TAHAKKUK"))),IF(AND($D1199&lt;&gt;"",$E1199&lt;&gt;"",$G1199&gt;0,$H1199&lt;&gt;"",$I1199&lt;&gt;""),IF($C1199&gt;TODAY(),"İLERİ TARİH",IF(COUNTIF($W$7:$W$1206,$W1199)&gt;1,"MÜKERRER?",IF($AD1199&gt;0,"KAPALI DÖNEM",IF($I1199="Hayır","ÖDENECEK","UYGUN")))),"EKSİK"))))</f>
        <v/>
      </c>
      <c r="Q1199" s="6" t="n"/>
      <c r="R1199" s="6" t="n"/>
      <c r="S1199" s="3">
        <f>IF($L1199="","",UPPER(SUBSTITUTE(SUBSTITUTE(SUBSTITUTE(SUBSTITUTE(SUBSTITUTE(SUBSTITUTE(SUBSTITUTE(SUBSTITUTE(SUBSTITUTE(SUBSTITUTE(SUBSTITUTE(SUBSTITUTE(SUBSTITUTE(SUBSTITUTE(SUBSTITUTE(SUBSTITUTE(SUBSTITUTE(SUBSTITUTE(TRIM($L1199),"'",""),"İ","I"),"ı","I"),"i","I"),"Ş","S"),"ş","S"),"Ğ","G"),"ğ","G"),"Ü","U"),"ü","U"),"Ö","O"),"ö","O"),"Ç","C"),"ç","C"),".",""),",","")," ",""),"-","")))</f>
        <v/>
      </c>
      <c r="T1199" s="3">
        <f>IF(OR($C1199="",$D1199&lt;&gt;"Gelir",$L1199=""),"",IFERROR(INDEX(MUSTERILER!$B$7:$B$106,MATCH($S1199,MUSTERILER!$T$7:$T$106,0)),""))</f>
        <v/>
      </c>
      <c r="U1199" s="3">
        <f>IF($T1199="","",$T1199&amp;"|"&amp;COUNTIFS($T$7:$T1199,$T1199))</f>
        <v/>
      </c>
      <c r="V1199" s="3">
        <f>IF($T1199="",0,1)</f>
        <v/>
      </c>
      <c r="W1199" s="3">
        <f>IF($C1199="","",$D1199&amp;"|"&amp;$E1199&amp;"|"&amp;TEXT($C1199,"0")&amp;"|"&amp;TEXT($G1199,"0")&amp;"|"&amp;$J1199)</f>
        <v/>
      </c>
      <c r="X1199" s="3" t="n"/>
      <c r="Y1199" s="3" t="n"/>
      <c r="Z1199" s="3" t="n"/>
      <c r="AA1199" s="3" t="n"/>
      <c r="AB1199" s="3" t="n"/>
      <c r="AC1199" s="3" t="n"/>
      <c r="AD1199" s="3">
        <f>IF($C1199="",0,SUMPRODUCT((AY_SONU!$O$7:$O$42="Evet")*(AY_SONU!$B$7:$B$42=DATE(YEAR($C1199),MONTH($C1199),1))))</f>
        <v/>
      </c>
    </row>
    <row r="1200">
      <c r="A1200" s="6" t="n"/>
      <c r="B1200" s="113">
        <f>IF($C1200="","","GG"&amp;TEXT(ROW()-6,"00000"))</f>
        <v/>
      </c>
      <c r="C1200" s="220" t="n"/>
      <c r="D1200" s="108" t="n"/>
      <c r="E1200" s="109" t="n"/>
      <c r="F1200" s="109" t="n"/>
      <c r="G1200" s="221" t="n"/>
      <c r="H1200" s="108" t="n"/>
      <c r="I1200" s="108" t="n"/>
      <c r="J1200" s="109" t="n"/>
      <c r="K1200" s="109" t="n"/>
      <c r="L1200" s="108" t="n"/>
      <c r="M1200" s="121">
        <f>IF($C1200="","",IF($D1200="Gider",$E1200,IF($L1200&lt;&gt;"",$L1200,$H1200)))</f>
        <v/>
      </c>
      <c r="N1200" s="121">
        <f>IF($C1200="","",IF($D1200="Gider",$H1200,$E1200))</f>
        <v/>
      </c>
      <c r="O1200" s="226">
        <f>IF($C1200="","",DATE(YEAR($C1200),MONTH($C1200),1))</f>
        <v/>
      </c>
      <c r="P1200" s="113">
        <f>IF($C1200="","",IF(AND($D1200="Gelir",$L1200&lt;&gt;"",$T1200=""),"TANIMSIZ BORÇLU",IF($T1200&lt;&gt;"",IF(OR($E1200="",$G1200&lt;=0),"EKSİK",IF($I1200="Evet","TAHAKKUK NAKİT OLAMAZ",IF($C1200&gt;TODAY(),"İLERİ TARİH","TAHAKKUK"))),IF(AND($D1200&lt;&gt;"",$E1200&lt;&gt;"",$G1200&gt;0,$H1200&lt;&gt;"",$I1200&lt;&gt;""),IF($C1200&gt;TODAY(),"İLERİ TARİH",IF(COUNTIF($W$7:$W$1206,$W1200)&gt;1,"MÜKERRER?",IF($AD1200&gt;0,"KAPALI DÖNEM",IF($I1200="Hayır","ÖDENECEK","UYGUN")))),"EKSİK"))))</f>
        <v/>
      </c>
      <c r="Q1200" s="6" t="n"/>
      <c r="R1200" s="6" t="n"/>
      <c r="S1200" s="3">
        <f>IF($L1200="","",UPPER(SUBSTITUTE(SUBSTITUTE(SUBSTITUTE(SUBSTITUTE(SUBSTITUTE(SUBSTITUTE(SUBSTITUTE(SUBSTITUTE(SUBSTITUTE(SUBSTITUTE(SUBSTITUTE(SUBSTITUTE(SUBSTITUTE(SUBSTITUTE(SUBSTITUTE(SUBSTITUTE(SUBSTITUTE(SUBSTITUTE(TRIM($L1200),"'",""),"İ","I"),"ı","I"),"i","I"),"Ş","S"),"ş","S"),"Ğ","G"),"ğ","G"),"Ü","U"),"ü","U"),"Ö","O"),"ö","O"),"Ç","C"),"ç","C"),".",""),",","")," ",""),"-","")))</f>
        <v/>
      </c>
      <c r="T1200" s="3">
        <f>IF(OR($C1200="",$D1200&lt;&gt;"Gelir",$L1200=""),"",IFERROR(INDEX(MUSTERILER!$B$7:$B$106,MATCH($S1200,MUSTERILER!$T$7:$T$106,0)),""))</f>
        <v/>
      </c>
      <c r="U1200" s="3">
        <f>IF($T1200="","",$T1200&amp;"|"&amp;COUNTIFS($T$7:$T1200,$T1200))</f>
        <v/>
      </c>
      <c r="V1200" s="3">
        <f>IF($T1200="",0,1)</f>
        <v/>
      </c>
      <c r="W1200" s="3">
        <f>IF($C1200="","",$D1200&amp;"|"&amp;$E1200&amp;"|"&amp;TEXT($C1200,"0")&amp;"|"&amp;TEXT($G1200,"0")&amp;"|"&amp;$J1200)</f>
        <v/>
      </c>
      <c r="X1200" s="3" t="n"/>
      <c r="Y1200" s="3" t="n"/>
      <c r="Z1200" s="3" t="n"/>
      <c r="AA1200" s="3" t="n"/>
      <c r="AB1200" s="3" t="n"/>
      <c r="AC1200" s="3" t="n"/>
      <c r="AD1200" s="3">
        <f>IF($C1200="",0,SUMPRODUCT((AY_SONU!$O$7:$O$42="Evet")*(AY_SONU!$B$7:$B$42=DATE(YEAR($C1200),MONTH($C1200),1))))</f>
        <v/>
      </c>
    </row>
    <row r="1201">
      <c r="A1201" s="6" t="n"/>
      <c r="B1201" s="113">
        <f>IF($C1201="","","GG"&amp;TEXT(ROW()-6,"00000"))</f>
        <v/>
      </c>
      <c r="C1201" s="220" t="n"/>
      <c r="D1201" s="108" t="n"/>
      <c r="E1201" s="109" t="n"/>
      <c r="F1201" s="109" t="n"/>
      <c r="G1201" s="221" t="n"/>
      <c r="H1201" s="108" t="n"/>
      <c r="I1201" s="108" t="n"/>
      <c r="J1201" s="109" t="n"/>
      <c r="K1201" s="109" t="n"/>
      <c r="L1201" s="108" t="n"/>
      <c r="M1201" s="121">
        <f>IF($C1201="","",IF($D1201="Gider",$E1201,IF($L1201&lt;&gt;"",$L1201,$H1201)))</f>
        <v/>
      </c>
      <c r="N1201" s="121">
        <f>IF($C1201="","",IF($D1201="Gider",$H1201,$E1201))</f>
        <v/>
      </c>
      <c r="O1201" s="226">
        <f>IF($C1201="","",DATE(YEAR($C1201),MONTH($C1201),1))</f>
        <v/>
      </c>
      <c r="P1201" s="113">
        <f>IF($C1201="","",IF(AND($D1201="Gelir",$L1201&lt;&gt;"",$T1201=""),"TANIMSIZ BORÇLU",IF($T1201&lt;&gt;"",IF(OR($E1201="",$G1201&lt;=0),"EKSİK",IF($I1201="Evet","TAHAKKUK NAKİT OLAMAZ",IF($C1201&gt;TODAY(),"İLERİ TARİH","TAHAKKUK"))),IF(AND($D1201&lt;&gt;"",$E1201&lt;&gt;"",$G1201&gt;0,$H1201&lt;&gt;"",$I1201&lt;&gt;""),IF($C1201&gt;TODAY(),"İLERİ TARİH",IF(COUNTIF($W$7:$W$1206,$W1201)&gt;1,"MÜKERRER?",IF($AD1201&gt;0,"KAPALI DÖNEM",IF($I1201="Hayır","ÖDENECEK","UYGUN")))),"EKSİK"))))</f>
        <v/>
      </c>
      <c r="Q1201" s="6" t="n"/>
      <c r="R1201" s="6" t="n"/>
      <c r="S1201" s="3">
        <f>IF($L1201="","",UPPER(SUBSTITUTE(SUBSTITUTE(SUBSTITUTE(SUBSTITUTE(SUBSTITUTE(SUBSTITUTE(SUBSTITUTE(SUBSTITUTE(SUBSTITUTE(SUBSTITUTE(SUBSTITUTE(SUBSTITUTE(SUBSTITUTE(SUBSTITUTE(SUBSTITUTE(SUBSTITUTE(SUBSTITUTE(SUBSTITUTE(TRIM($L1201),"'",""),"İ","I"),"ı","I"),"i","I"),"Ş","S"),"ş","S"),"Ğ","G"),"ğ","G"),"Ü","U"),"ü","U"),"Ö","O"),"ö","O"),"Ç","C"),"ç","C"),".",""),",","")," ",""),"-","")))</f>
        <v/>
      </c>
      <c r="T1201" s="3">
        <f>IF(OR($C1201="",$D1201&lt;&gt;"Gelir",$L1201=""),"",IFERROR(INDEX(MUSTERILER!$B$7:$B$106,MATCH($S1201,MUSTERILER!$T$7:$T$106,0)),""))</f>
        <v/>
      </c>
      <c r="U1201" s="3">
        <f>IF($T1201="","",$T1201&amp;"|"&amp;COUNTIFS($T$7:$T1201,$T1201))</f>
        <v/>
      </c>
      <c r="V1201" s="3">
        <f>IF($T1201="",0,1)</f>
        <v/>
      </c>
      <c r="W1201" s="3">
        <f>IF($C1201="","",$D1201&amp;"|"&amp;$E1201&amp;"|"&amp;TEXT($C1201,"0")&amp;"|"&amp;TEXT($G1201,"0")&amp;"|"&amp;$J1201)</f>
        <v/>
      </c>
      <c r="X1201" s="3" t="n"/>
      <c r="Y1201" s="3" t="n"/>
      <c r="Z1201" s="3" t="n"/>
      <c r="AA1201" s="3" t="n"/>
      <c r="AB1201" s="3" t="n"/>
      <c r="AC1201" s="3" t="n"/>
      <c r="AD1201" s="3">
        <f>IF($C1201="",0,SUMPRODUCT((AY_SONU!$O$7:$O$42="Evet")*(AY_SONU!$B$7:$B$42=DATE(YEAR($C1201),MONTH($C1201),1))))</f>
        <v/>
      </c>
    </row>
    <row r="1202">
      <c r="A1202" s="6" t="n"/>
      <c r="B1202" s="113">
        <f>IF($C1202="","","GG"&amp;TEXT(ROW()-6,"00000"))</f>
        <v/>
      </c>
      <c r="C1202" s="220" t="n"/>
      <c r="D1202" s="108" t="n"/>
      <c r="E1202" s="109" t="n"/>
      <c r="F1202" s="109" t="n"/>
      <c r="G1202" s="221" t="n"/>
      <c r="H1202" s="108" t="n"/>
      <c r="I1202" s="108" t="n"/>
      <c r="J1202" s="109" t="n"/>
      <c r="K1202" s="109" t="n"/>
      <c r="L1202" s="108" t="n"/>
      <c r="M1202" s="121">
        <f>IF($C1202="","",IF($D1202="Gider",$E1202,IF($L1202&lt;&gt;"",$L1202,$H1202)))</f>
        <v/>
      </c>
      <c r="N1202" s="121">
        <f>IF($C1202="","",IF($D1202="Gider",$H1202,$E1202))</f>
        <v/>
      </c>
      <c r="O1202" s="226">
        <f>IF($C1202="","",DATE(YEAR($C1202),MONTH($C1202),1))</f>
        <v/>
      </c>
      <c r="P1202" s="113">
        <f>IF($C1202="","",IF(AND($D1202="Gelir",$L1202&lt;&gt;"",$T1202=""),"TANIMSIZ BORÇLU",IF($T1202&lt;&gt;"",IF(OR($E1202="",$G1202&lt;=0),"EKSİK",IF($I1202="Evet","TAHAKKUK NAKİT OLAMAZ",IF($C1202&gt;TODAY(),"İLERİ TARİH","TAHAKKUK"))),IF(AND($D1202&lt;&gt;"",$E1202&lt;&gt;"",$G1202&gt;0,$H1202&lt;&gt;"",$I1202&lt;&gt;""),IF($C1202&gt;TODAY(),"İLERİ TARİH",IF(COUNTIF($W$7:$W$1206,$W1202)&gt;1,"MÜKERRER?",IF($AD1202&gt;0,"KAPALI DÖNEM",IF($I1202="Hayır","ÖDENECEK","UYGUN")))),"EKSİK"))))</f>
        <v/>
      </c>
      <c r="Q1202" s="6" t="n"/>
      <c r="R1202" s="6" t="n"/>
      <c r="S1202" s="3">
        <f>IF($L1202="","",UPPER(SUBSTITUTE(SUBSTITUTE(SUBSTITUTE(SUBSTITUTE(SUBSTITUTE(SUBSTITUTE(SUBSTITUTE(SUBSTITUTE(SUBSTITUTE(SUBSTITUTE(SUBSTITUTE(SUBSTITUTE(SUBSTITUTE(SUBSTITUTE(SUBSTITUTE(SUBSTITUTE(SUBSTITUTE(SUBSTITUTE(TRIM($L1202),"'",""),"İ","I"),"ı","I"),"i","I"),"Ş","S"),"ş","S"),"Ğ","G"),"ğ","G"),"Ü","U"),"ü","U"),"Ö","O"),"ö","O"),"Ç","C"),"ç","C"),".",""),",","")," ",""),"-","")))</f>
        <v/>
      </c>
      <c r="T1202" s="3">
        <f>IF(OR($C1202="",$D1202&lt;&gt;"Gelir",$L1202=""),"",IFERROR(INDEX(MUSTERILER!$B$7:$B$106,MATCH($S1202,MUSTERILER!$T$7:$T$106,0)),""))</f>
        <v/>
      </c>
      <c r="U1202" s="3">
        <f>IF($T1202="","",$T1202&amp;"|"&amp;COUNTIFS($T$7:$T1202,$T1202))</f>
        <v/>
      </c>
      <c r="V1202" s="3">
        <f>IF($T1202="",0,1)</f>
        <v/>
      </c>
      <c r="W1202" s="3">
        <f>IF($C1202="","",$D1202&amp;"|"&amp;$E1202&amp;"|"&amp;TEXT($C1202,"0")&amp;"|"&amp;TEXT($G1202,"0")&amp;"|"&amp;$J1202)</f>
        <v/>
      </c>
      <c r="X1202" s="3" t="n"/>
      <c r="Y1202" s="3" t="n"/>
      <c r="Z1202" s="3" t="n"/>
      <c r="AA1202" s="3" t="n"/>
      <c r="AB1202" s="3" t="n"/>
      <c r="AC1202" s="3" t="n"/>
      <c r="AD1202" s="3">
        <f>IF($C1202="",0,SUMPRODUCT((AY_SONU!$O$7:$O$42="Evet")*(AY_SONU!$B$7:$B$42=DATE(YEAR($C1202),MONTH($C1202),1))))</f>
        <v/>
      </c>
    </row>
    <row r="1203">
      <c r="A1203" s="6" t="n"/>
      <c r="B1203" s="113">
        <f>IF($C1203="","","GG"&amp;TEXT(ROW()-6,"00000"))</f>
        <v/>
      </c>
      <c r="C1203" s="220" t="n"/>
      <c r="D1203" s="108" t="n"/>
      <c r="E1203" s="109" t="n"/>
      <c r="F1203" s="109" t="n"/>
      <c r="G1203" s="221" t="n"/>
      <c r="H1203" s="108" t="n"/>
      <c r="I1203" s="108" t="n"/>
      <c r="J1203" s="109" t="n"/>
      <c r="K1203" s="109" t="n"/>
      <c r="L1203" s="108" t="n"/>
      <c r="M1203" s="121">
        <f>IF($C1203="","",IF($D1203="Gider",$E1203,IF($L1203&lt;&gt;"",$L1203,$H1203)))</f>
        <v/>
      </c>
      <c r="N1203" s="121">
        <f>IF($C1203="","",IF($D1203="Gider",$H1203,$E1203))</f>
        <v/>
      </c>
      <c r="O1203" s="226">
        <f>IF($C1203="","",DATE(YEAR($C1203),MONTH($C1203),1))</f>
        <v/>
      </c>
      <c r="P1203" s="113">
        <f>IF($C1203="","",IF(AND($D1203="Gelir",$L1203&lt;&gt;"",$T1203=""),"TANIMSIZ BORÇLU",IF($T1203&lt;&gt;"",IF(OR($E1203="",$G1203&lt;=0),"EKSİK",IF($I1203="Evet","TAHAKKUK NAKİT OLAMAZ",IF($C1203&gt;TODAY(),"İLERİ TARİH","TAHAKKUK"))),IF(AND($D1203&lt;&gt;"",$E1203&lt;&gt;"",$G1203&gt;0,$H1203&lt;&gt;"",$I1203&lt;&gt;""),IF($C1203&gt;TODAY(),"İLERİ TARİH",IF(COUNTIF($W$7:$W$1206,$W1203)&gt;1,"MÜKERRER?",IF($AD1203&gt;0,"KAPALI DÖNEM",IF($I1203="Hayır","ÖDENECEK","UYGUN")))),"EKSİK"))))</f>
        <v/>
      </c>
      <c r="Q1203" s="6" t="n"/>
      <c r="R1203" s="6" t="n"/>
      <c r="S1203" s="3">
        <f>IF($L1203="","",UPPER(SUBSTITUTE(SUBSTITUTE(SUBSTITUTE(SUBSTITUTE(SUBSTITUTE(SUBSTITUTE(SUBSTITUTE(SUBSTITUTE(SUBSTITUTE(SUBSTITUTE(SUBSTITUTE(SUBSTITUTE(SUBSTITUTE(SUBSTITUTE(SUBSTITUTE(SUBSTITUTE(SUBSTITUTE(SUBSTITUTE(TRIM($L1203),"'",""),"İ","I"),"ı","I"),"i","I"),"Ş","S"),"ş","S"),"Ğ","G"),"ğ","G"),"Ü","U"),"ü","U"),"Ö","O"),"ö","O"),"Ç","C"),"ç","C"),".",""),",","")," ",""),"-","")))</f>
        <v/>
      </c>
      <c r="T1203" s="3">
        <f>IF(OR($C1203="",$D1203&lt;&gt;"Gelir",$L1203=""),"",IFERROR(INDEX(MUSTERILER!$B$7:$B$106,MATCH($S1203,MUSTERILER!$T$7:$T$106,0)),""))</f>
        <v/>
      </c>
      <c r="U1203" s="3">
        <f>IF($T1203="","",$T1203&amp;"|"&amp;COUNTIFS($T$7:$T1203,$T1203))</f>
        <v/>
      </c>
      <c r="V1203" s="3">
        <f>IF($T1203="",0,1)</f>
        <v/>
      </c>
      <c r="W1203" s="3">
        <f>IF($C1203="","",$D1203&amp;"|"&amp;$E1203&amp;"|"&amp;TEXT($C1203,"0")&amp;"|"&amp;TEXT($G1203,"0")&amp;"|"&amp;$J1203)</f>
        <v/>
      </c>
      <c r="X1203" s="3" t="n"/>
      <c r="Y1203" s="3" t="n"/>
      <c r="Z1203" s="3" t="n"/>
      <c r="AA1203" s="3" t="n"/>
      <c r="AB1203" s="3" t="n"/>
      <c r="AC1203" s="3" t="n"/>
      <c r="AD1203" s="3">
        <f>IF($C1203="",0,SUMPRODUCT((AY_SONU!$O$7:$O$42="Evet")*(AY_SONU!$B$7:$B$42=DATE(YEAR($C1203),MONTH($C1203),1))))</f>
        <v/>
      </c>
    </row>
    <row r="1204">
      <c r="A1204" s="6" t="n"/>
      <c r="B1204" s="113">
        <f>IF($C1204="","","GG"&amp;TEXT(ROW()-6,"00000"))</f>
        <v/>
      </c>
      <c r="C1204" s="220" t="n"/>
      <c r="D1204" s="108" t="n"/>
      <c r="E1204" s="109" t="n"/>
      <c r="F1204" s="109" t="n"/>
      <c r="G1204" s="221" t="n"/>
      <c r="H1204" s="108" t="n"/>
      <c r="I1204" s="108" t="n"/>
      <c r="J1204" s="109" t="n"/>
      <c r="K1204" s="109" t="n"/>
      <c r="L1204" s="108" t="n"/>
      <c r="M1204" s="121">
        <f>IF($C1204="","",IF($D1204="Gider",$E1204,IF($L1204&lt;&gt;"",$L1204,$H1204)))</f>
        <v/>
      </c>
      <c r="N1204" s="121">
        <f>IF($C1204="","",IF($D1204="Gider",$H1204,$E1204))</f>
        <v/>
      </c>
      <c r="O1204" s="226">
        <f>IF($C1204="","",DATE(YEAR($C1204),MONTH($C1204),1))</f>
        <v/>
      </c>
      <c r="P1204" s="113">
        <f>IF($C1204="","",IF(AND($D1204="Gelir",$L1204&lt;&gt;"",$T1204=""),"TANIMSIZ BORÇLU",IF($T1204&lt;&gt;"",IF(OR($E1204="",$G1204&lt;=0),"EKSİK",IF($I1204="Evet","TAHAKKUK NAKİT OLAMAZ",IF($C1204&gt;TODAY(),"İLERİ TARİH","TAHAKKUK"))),IF(AND($D1204&lt;&gt;"",$E1204&lt;&gt;"",$G1204&gt;0,$H1204&lt;&gt;"",$I1204&lt;&gt;""),IF($C1204&gt;TODAY(),"İLERİ TARİH",IF(COUNTIF($W$7:$W$1206,$W1204)&gt;1,"MÜKERRER?",IF($AD1204&gt;0,"KAPALI DÖNEM",IF($I1204="Hayır","ÖDENECEK","UYGUN")))),"EKSİK"))))</f>
        <v/>
      </c>
      <c r="Q1204" s="6" t="n"/>
      <c r="R1204" s="6" t="n"/>
      <c r="S1204" s="3">
        <f>IF($L1204="","",UPPER(SUBSTITUTE(SUBSTITUTE(SUBSTITUTE(SUBSTITUTE(SUBSTITUTE(SUBSTITUTE(SUBSTITUTE(SUBSTITUTE(SUBSTITUTE(SUBSTITUTE(SUBSTITUTE(SUBSTITUTE(SUBSTITUTE(SUBSTITUTE(SUBSTITUTE(SUBSTITUTE(SUBSTITUTE(SUBSTITUTE(TRIM($L1204),"'",""),"İ","I"),"ı","I"),"i","I"),"Ş","S"),"ş","S"),"Ğ","G"),"ğ","G"),"Ü","U"),"ü","U"),"Ö","O"),"ö","O"),"Ç","C"),"ç","C"),".",""),",","")," ",""),"-","")))</f>
        <v/>
      </c>
      <c r="T1204" s="3">
        <f>IF(OR($C1204="",$D1204&lt;&gt;"Gelir",$L1204=""),"",IFERROR(INDEX(MUSTERILER!$B$7:$B$106,MATCH($S1204,MUSTERILER!$T$7:$T$106,0)),""))</f>
        <v/>
      </c>
      <c r="U1204" s="3">
        <f>IF($T1204="","",$T1204&amp;"|"&amp;COUNTIFS($T$7:$T1204,$T1204))</f>
        <v/>
      </c>
      <c r="V1204" s="3">
        <f>IF($T1204="",0,1)</f>
        <v/>
      </c>
      <c r="W1204" s="3">
        <f>IF($C1204="","",$D1204&amp;"|"&amp;$E1204&amp;"|"&amp;TEXT($C1204,"0")&amp;"|"&amp;TEXT($G1204,"0")&amp;"|"&amp;$J1204)</f>
        <v/>
      </c>
      <c r="X1204" s="3" t="n"/>
      <c r="Y1204" s="3" t="n"/>
      <c r="Z1204" s="3" t="n"/>
      <c r="AA1204" s="3" t="n"/>
      <c r="AB1204" s="3" t="n"/>
      <c r="AC1204" s="3" t="n"/>
      <c r="AD1204" s="3">
        <f>IF($C1204="",0,SUMPRODUCT((AY_SONU!$O$7:$O$42="Evet")*(AY_SONU!$B$7:$B$42=DATE(YEAR($C1204),MONTH($C1204),1))))</f>
        <v/>
      </c>
    </row>
    <row r="1205">
      <c r="A1205" s="6" t="n"/>
      <c r="B1205" s="113">
        <f>IF($C1205="","","GG"&amp;TEXT(ROW()-6,"00000"))</f>
        <v/>
      </c>
      <c r="C1205" s="220" t="n"/>
      <c r="D1205" s="108" t="n"/>
      <c r="E1205" s="109" t="n"/>
      <c r="F1205" s="109" t="n"/>
      <c r="G1205" s="221" t="n"/>
      <c r="H1205" s="108" t="n"/>
      <c r="I1205" s="108" t="n"/>
      <c r="J1205" s="109" t="n"/>
      <c r="K1205" s="109" t="n"/>
      <c r="L1205" s="108" t="n"/>
      <c r="M1205" s="121">
        <f>IF($C1205="","",IF($D1205="Gider",$E1205,IF($L1205&lt;&gt;"",$L1205,$H1205)))</f>
        <v/>
      </c>
      <c r="N1205" s="121">
        <f>IF($C1205="","",IF($D1205="Gider",$H1205,$E1205))</f>
        <v/>
      </c>
      <c r="O1205" s="226">
        <f>IF($C1205="","",DATE(YEAR($C1205),MONTH($C1205),1))</f>
        <v/>
      </c>
      <c r="P1205" s="113">
        <f>IF($C1205="","",IF(AND($D1205="Gelir",$L1205&lt;&gt;"",$T1205=""),"TANIMSIZ BORÇLU",IF($T1205&lt;&gt;"",IF(OR($E1205="",$G1205&lt;=0),"EKSİK",IF($I1205="Evet","TAHAKKUK NAKİT OLAMAZ",IF($C1205&gt;TODAY(),"İLERİ TARİH","TAHAKKUK"))),IF(AND($D1205&lt;&gt;"",$E1205&lt;&gt;"",$G1205&gt;0,$H1205&lt;&gt;"",$I1205&lt;&gt;""),IF($C1205&gt;TODAY(),"İLERİ TARİH",IF(COUNTIF($W$7:$W$1206,$W1205)&gt;1,"MÜKERRER?",IF($AD1205&gt;0,"KAPALI DÖNEM",IF($I1205="Hayır","ÖDENECEK","UYGUN")))),"EKSİK"))))</f>
        <v/>
      </c>
      <c r="Q1205" s="6" t="n"/>
      <c r="R1205" s="6" t="n"/>
      <c r="S1205" s="3">
        <f>IF($L1205="","",UPPER(SUBSTITUTE(SUBSTITUTE(SUBSTITUTE(SUBSTITUTE(SUBSTITUTE(SUBSTITUTE(SUBSTITUTE(SUBSTITUTE(SUBSTITUTE(SUBSTITUTE(SUBSTITUTE(SUBSTITUTE(SUBSTITUTE(SUBSTITUTE(SUBSTITUTE(SUBSTITUTE(SUBSTITUTE(SUBSTITUTE(TRIM($L1205),"'",""),"İ","I"),"ı","I"),"i","I"),"Ş","S"),"ş","S"),"Ğ","G"),"ğ","G"),"Ü","U"),"ü","U"),"Ö","O"),"ö","O"),"Ç","C"),"ç","C"),".",""),",","")," ",""),"-","")))</f>
        <v/>
      </c>
      <c r="T1205" s="3">
        <f>IF(OR($C1205="",$D1205&lt;&gt;"Gelir",$L1205=""),"",IFERROR(INDEX(MUSTERILER!$B$7:$B$106,MATCH($S1205,MUSTERILER!$T$7:$T$106,0)),""))</f>
        <v/>
      </c>
      <c r="U1205" s="3">
        <f>IF($T1205="","",$T1205&amp;"|"&amp;COUNTIFS($T$7:$T1205,$T1205))</f>
        <v/>
      </c>
      <c r="V1205" s="3">
        <f>IF($T1205="",0,1)</f>
        <v/>
      </c>
      <c r="W1205" s="3">
        <f>IF($C1205="","",$D1205&amp;"|"&amp;$E1205&amp;"|"&amp;TEXT($C1205,"0")&amp;"|"&amp;TEXT($G1205,"0")&amp;"|"&amp;$J1205)</f>
        <v/>
      </c>
      <c r="X1205" s="3" t="n"/>
      <c r="Y1205" s="3" t="n"/>
      <c r="Z1205" s="3" t="n"/>
      <c r="AA1205" s="3" t="n"/>
      <c r="AB1205" s="3" t="n"/>
      <c r="AC1205" s="3" t="n"/>
      <c r="AD1205" s="3">
        <f>IF($C1205="",0,SUMPRODUCT((AY_SONU!$O$7:$O$42="Evet")*(AY_SONU!$B$7:$B$42=DATE(YEAR($C1205),MONTH($C1205),1))))</f>
        <v/>
      </c>
    </row>
    <row r="1206">
      <c r="A1206" s="6" t="n"/>
      <c r="B1206" s="113">
        <f>IF($C1206="","","GG"&amp;TEXT(ROW()-6,"00000"))</f>
        <v/>
      </c>
      <c r="C1206" s="220" t="n"/>
      <c r="D1206" s="108" t="n"/>
      <c r="E1206" s="109" t="n"/>
      <c r="F1206" s="109" t="n"/>
      <c r="G1206" s="221" t="n"/>
      <c r="H1206" s="108" t="n"/>
      <c r="I1206" s="108" t="n"/>
      <c r="J1206" s="109" t="n"/>
      <c r="K1206" s="109" t="n"/>
      <c r="L1206" s="108" t="n"/>
      <c r="M1206" s="121">
        <f>IF($C1206="","",IF($D1206="Gider",$E1206,IF($L1206&lt;&gt;"",$L1206,$H1206)))</f>
        <v/>
      </c>
      <c r="N1206" s="121">
        <f>IF($C1206="","",IF($D1206="Gider",$H1206,$E1206))</f>
        <v/>
      </c>
      <c r="O1206" s="226">
        <f>IF($C1206="","",DATE(YEAR($C1206),MONTH($C1206),1))</f>
        <v/>
      </c>
      <c r="P1206" s="113">
        <f>IF($C1206="","",IF(AND($D1206="Gelir",$L1206&lt;&gt;"",$T1206=""),"TANIMSIZ BORÇLU",IF($T1206&lt;&gt;"",IF(OR($E1206="",$G1206&lt;=0),"EKSİK",IF($I1206="Evet","TAHAKKUK NAKİT OLAMAZ",IF($C1206&gt;TODAY(),"İLERİ TARİH","TAHAKKUK"))),IF(AND($D1206&lt;&gt;"",$E1206&lt;&gt;"",$G1206&gt;0,$H1206&lt;&gt;"",$I1206&lt;&gt;""),IF($C1206&gt;TODAY(),"İLERİ TARİH",IF(COUNTIF($W$7:$W$1206,$W1206)&gt;1,"MÜKERRER?",IF($AD1206&gt;0,"KAPALI DÖNEM",IF($I1206="Hayır","ÖDENECEK","UYGUN")))),"EKSİK"))))</f>
        <v/>
      </c>
      <c r="Q1206" s="6" t="n"/>
      <c r="R1206" s="6" t="n"/>
      <c r="S1206" s="3">
        <f>IF($L1206="","",UPPER(SUBSTITUTE(SUBSTITUTE(SUBSTITUTE(SUBSTITUTE(SUBSTITUTE(SUBSTITUTE(SUBSTITUTE(SUBSTITUTE(SUBSTITUTE(SUBSTITUTE(SUBSTITUTE(SUBSTITUTE(SUBSTITUTE(SUBSTITUTE(SUBSTITUTE(SUBSTITUTE(SUBSTITUTE(SUBSTITUTE(TRIM($L1206),"'",""),"İ","I"),"ı","I"),"i","I"),"Ş","S"),"ş","S"),"Ğ","G"),"ğ","G"),"Ü","U"),"ü","U"),"Ö","O"),"ö","O"),"Ç","C"),"ç","C"),".",""),",","")," ",""),"-","")))</f>
        <v/>
      </c>
      <c r="T1206" s="3">
        <f>IF(OR($C1206="",$D1206&lt;&gt;"Gelir",$L1206=""),"",IFERROR(INDEX(MUSTERILER!$B$7:$B$106,MATCH($S1206,MUSTERILER!$T$7:$T$106,0)),""))</f>
        <v/>
      </c>
      <c r="U1206" s="3">
        <f>IF($T1206="","",$T1206&amp;"|"&amp;COUNTIFS($T$7:$T1206,$T1206))</f>
        <v/>
      </c>
      <c r="V1206" s="3">
        <f>IF($T1206="",0,1)</f>
        <v/>
      </c>
      <c r="W1206" s="3">
        <f>IF($C1206="","",$D1206&amp;"|"&amp;$E1206&amp;"|"&amp;TEXT($C1206,"0")&amp;"|"&amp;TEXT($G1206,"0")&amp;"|"&amp;$J1206)</f>
        <v/>
      </c>
      <c r="X1206" s="3" t="n"/>
      <c r="Y1206" s="3" t="n"/>
      <c r="Z1206" s="3" t="n"/>
      <c r="AA1206" s="3" t="n"/>
      <c r="AB1206" s="3" t="n"/>
      <c r="AC1206" s="3" t="n"/>
      <c r="AD1206" s="3">
        <f>IF($C1206="",0,SUMPRODUCT((AY_SONU!$O$7:$O$42="Evet")*(AY_SONU!$B$7:$B$42=DATE(YEAR($C1206),MONTH($C1206),1))))</f>
        <v/>
      </c>
    </row>
    <row r="1207">
      <c r="A1207" s="6" t="n"/>
      <c r="B1207" s="3" t="n"/>
      <c r="C1207" s="3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  <c r="P1207" s="3" t="n"/>
      <c r="Q1207" s="6" t="n"/>
      <c r="R1207" s="6" t="n"/>
      <c r="S1207" s="3" t="n"/>
      <c r="T1207" s="3" t="n"/>
      <c r="U1207" s="3" t="n"/>
      <c r="V1207" s="3" t="n"/>
      <c r="W1207" s="3" t="n"/>
      <c r="X1207" s="3" t="n"/>
      <c r="Y1207" s="3" t="n"/>
      <c r="Z1207" s="3" t="n"/>
      <c r="AA1207" s="3" t="n"/>
      <c r="AB1207" s="3" t="n"/>
      <c r="AC1207" s="3" t="n"/>
      <c r="AD1207" s="3" t="n"/>
    </row>
    <row r="1208">
      <c r="A1208" s="6" t="n"/>
      <c r="B1208" s="3" t="n"/>
      <c r="C1208" s="3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  <c r="P1208" s="3" t="n"/>
      <c r="Q1208" s="6" t="n"/>
      <c r="R1208" s="6" t="n"/>
      <c r="S1208" s="3" t="n"/>
      <c r="T1208" s="3" t="n"/>
      <c r="U1208" s="3" t="n"/>
      <c r="V1208" s="3" t="n"/>
      <c r="W1208" s="3" t="n"/>
      <c r="X1208" s="3" t="n"/>
      <c r="Y1208" s="3" t="n"/>
      <c r="Z1208" s="3" t="n"/>
      <c r="AA1208" s="3" t="n"/>
      <c r="AB1208" s="3" t="n"/>
      <c r="AC1208" s="3" t="n"/>
      <c r="AD12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P1206"/>
  <mergeCells count="3">
    <mergeCell ref="A1:P1"/>
    <mergeCell ref="X5:AC5"/>
    <mergeCell ref="A2:P2"/>
  </mergeCells>
  <conditionalFormatting sqref="P7:P1206">
    <cfRule type="expression" priority="1" dxfId="3" stopIfTrue="1">
      <formula>EXACT($P7,"UYGUN")</formula>
    </cfRule>
    <cfRule type="expression" priority="2" dxfId="7" stopIfTrue="1">
      <formula>EXACT($P7,"TAHAKKUK")</formula>
    </cfRule>
    <cfRule type="expression" priority="3" dxfId="4" stopIfTrue="1">
      <formula>EXACT($P7,"ÖDENECEK")</formula>
    </cfRule>
    <cfRule type="expression" priority="4" dxfId="4" stopIfTrue="1">
      <formula>EXACT($P7,"EKSİK")</formula>
    </cfRule>
    <cfRule type="expression" priority="5" dxfId="5" stopIfTrue="1">
      <formula>EXACT($P7,"İLERİ TARİH")</formula>
    </cfRule>
    <cfRule type="expression" priority="6" dxfId="5" stopIfTrue="1">
      <formula>EXACT($P7,"MÜKERRER?")</formula>
    </cfRule>
    <cfRule type="expression" priority="7" dxfId="4" stopIfTrue="1">
      <formula>EXACT($P7,"KAPALI DÖNEM")</formula>
    </cfRule>
    <cfRule type="expression" priority="8" dxfId="5" stopIfTrue="1">
      <formula>EXACT($P7,"TAHAKKUK NAKİT OLAMAZ")</formula>
    </cfRule>
    <cfRule type="expression" priority="9" dxfId="5" stopIfTrue="1">
      <formula>EXACT($P7,"TANIMSIZ BORÇLU")</formula>
    </cfRule>
  </conditionalFormatting>
  <dataValidations count="5">
    <dataValidation sqref="D7:D1206" showDropDown="0" showInputMessage="0" showErrorMessage="1" allowBlank="1" errorTitle="Geçersiz tür" error="Gelir veya Gider seçin." promptTitle="Geçersiz tür" prompt="Gelir veya Gider seçin." type="list">
      <formula1>"Gelir,Gider"</formula1>
    </dataValidation>
    <dataValidation sqref="E7:E1206" showDropDown="0" showInputMessage="0" showErrorMessage="1" allowBlank="1" errorTitle="Kategori" error="Önce Tür seçin; liste Tür’e göre daraltılır." promptTitle="Kategori" prompt="Önce Tür seçin; liste Tür’e göre daraltılır." type="list">
      <formula1>INDIRECT(IF($D$7="Gelir","LST_KAT_GELIR","LST_KAT_GIDER"))</formula1>
    </dataValidation>
    <dataValidation sqref="L7:L1206" showDropDown="0" showInputMessage="1" showErrorMessage="0" allowBlank="1" errorTitle="Borçlu Taraf" error="Müşteri seçerseniz cari borç doğar; kasa/banka seçerseniz nakit gelir olur." promptTitle="Borçlu Taraf" prompt="Müşteri seçerseniz cari borç doğar; kasa/banka seçerseniz nakit gelir olur." type="list">
      <formula1>LST_BORCLU</formula1>
    </dataValidation>
    <dataValidation sqref="H7:H12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I7:I1206" showDropDown="0" showInputMessage="0" showErrorMessage="1" allowBlank="1" errorTitle="Geçersiz değer" error="Evet veya Hayır seçin." promptTitle="Geçersiz değer" prompt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L4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13" customWidth="1" min="3" max="3"/>
    <col width="22" customWidth="1" min="4" max="4"/>
    <col width="22" customWidth="1" min="5" max="5"/>
    <col width="16" customWidth="1" min="6" max="6"/>
    <col width="34" customWidth="1" min="7" max="7"/>
    <col width="14" customWidth="1" min="8" max="8"/>
    <col width="16" customWidth="1" min="9" max="9"/>
    <col width="15" customWidth="1" min="10" max="10"/>
    <col width="2.4" customWidth="1" min="11" max="11"/>
    <col width="2.4" customWidth="1" min="12" max="12"/>
  </cols>
  <sheetData>
    <row r="1" ht="38" customHeight="1">
      <c r="A1" s="1" t="inlineStr">
        <is>
          <t>KILIÇ MUHASEBE   │   KASA / BANKA ARASI VİRMAN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45" t="n"/>
    </row>
    <row r="2" ht="22" customHeight="1">
      <c r="A2" s="4" t="inlineStr">
        <is>
          <t>Hesaplar arası para geçişi gelir veya gider değildir │ Toplam nakit değişmez</t>
        </is>
      </c>
      <c r="L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 ht="20" customHeight="1">
      <c r="A4" s="6" t="n"/>
      <c r="B4" s="47">
        <f>HYPERLINK("#PANO!A1","←  PANO")</f>
        <v/>
      </c>
      <c r="C4" s="6" t="n"/>
      <c r="D4" s="99">
        <f>HYPERLINK("#HESAPLAR!A1","Hesaplar")</f>
        <v/>
      </c>
      <c r="E4" s="6" t="n"/>
      <c r="F4" s="100" t="inlineStr">
        <is>
          <t>Sarı hücreler veri girişidir. Beyaz hücreler sistem tarafından hesaplanır ve kilitlidir. Çıkan ve giren hesap aynı olamaz.</t>
        </is>
      </c>
      <c r="G4" s="6" t="n"/>
      <c r="H4" s="6" t="n"/>
      <c r="I4" s="6" t="n"/>
      <c r="J4" s="6" t="n"/>
      <c r="K4" s="6" t="n"/>
      <c r="L4" s="6" t="n"/>
    </row>
    <row r="5" ht="26" customHeight="1">
      <c r="A5" s="6" t="n"/>
      <c r="B5" s="101" t="n"/>
      <c r="C5" s="102" t="inlineStr">
        <is>
          <t>TOPLAM  │  Virman hacmi</t>
        </is>
      </c>
      <c r="D5" s="101" t="n"/>
      <c r="E5" s="101" t="n"/>
      <c r="F5" s="216">
        <f>SUM($F$7:$F$406)</f>
        <v/>
      </c>
      <c r="G5" s="101" t="n"/>
      <c r="H5" s="101" t="n"/>
      <c r="I5" s="101" t="n"/>
      <c r="J5" s="101" t="n"/>
      <c r="K5" s="6" t="n"/>
      <c r="L5" s="6" t="n"/>
    </row>
    <row r="6" ht="40" customHeight="1">
      <c r="A6" s="6" t="n"/>
      <c r="B6" s="105" t="inlineStr">
        <is>
          <t>İşlem No</t>
        </is>
      </c>
      <c r="C6" s="105" t="inlineStr">
        <is>
          <t>Tarih</t>
        </is>
      </c>
      <c r="D6" s="105" t="inlineStr">
        <is>
          <t>Para Çıkan Hesap</t>
        </is>
      </c>
      <c r="E6" s="105" t="inlineStr">
        <is>
          <t>Para Giren Hesap</t>
        </is>
      </c>
      <c r="F6" s="107" t="inlineStr">
        <is>
          <t>Tutar</t>
        </is>
      </c>
      <c r="G6" s="106" t="inlineStr">
        <is>
          <t>Açıklama</t>
        </is>
      </c>
      <c r="H6" s="106" t="inlineStr">
        <is>
          <t>Belge No</t>
        </is>
      </c>
      <c r="I6" s="106" t="inlineStr">
        <is>
          <t>İşlemi Giren</t>
        </is>
      </c>
      <c r="J6" s="105" t="inlineStr">
        <is>
          <t>Sistem Kontrolü</t>
        </is>
      </c>
      <c r="K6" s="6" t="n"/>
      <c r="L6" s="6" t="n"/>
    </row>
    <row r="7">
      <c r="A7" s="6" t="n"/>
      <c r="B7" s="113">
        <f>IF($C7="","","V"&amp;TEXT(ROW()-6,"00000"))</f>
        <v/>
      </c>
      <c r="C7" s="220" t="n">
        <v>46034</v>
      </c>
      <c r="D7" s="108" t="inlineStr">
        <is>
          <t>MERKEZ KASA</t>
        </is>
      </c>
      <c r="E7" s="108" t="inlineStr">
        <is>
          <t>ÖMER KARTAL</t>
        </is>
      </c>
      <c r="F7" s="221" t="n">
        <v>15000</v>
      </c>
      <c r="G7" s="109" t="inlineStr">
        <is>
          <t>GAZİNO TAHSİLATLARINDAN KALAN BAKİYE</t>
        </is>
      </c>
      <c r="H7" s="109" t="n"/>
      <c r="I7" s="109" t="n"/>
      <c r="J7" s="113">
        <f>IF($C7="","",IF(AND($D7&lt;&gt;"",$E7&lt;&gt;"",$D7&lt;&gt;$E7,$F7&gt;0),"UYGUN","HATA"))</f>
        <v/>
      </c>
      <c r="K7" s="6" t="n"/>
      <c r="L7" s="6" t="n"/>
    </row>
    <row r="8">
      <c r="A8" s="6" t="n"/>
      <c r="B8" s="113">
        <f>IF($C8="","","V"&amp;TEXT(ROW()-6,"00000"))</f>
        <v/>
      </c>
      <c r="C8" s="220" t="n">
        <v>46053</v>
      </c>
      <c r="D8" s="108" t="inlineStr">
        <is>
          <t>MERKEZ KASA</t>
        </is>
      </c>
      <c r="E8" s="108" t="inlineStr">
        <is>
          <t>ÖMER KARTAL</t>
        </is>
      </c>
      <c r="F8" s="221" t="n">
        <v>12000</v>
      </c>
      <c r="G8" s="109" t="inlineStr">
        <is>
          <t>PARİS GAZİNOSU SGK'LAR</t>
        </is>
      </c>
      <c r="H8" s="109" t="n"/>
      <c r="I8" s="109" t="n"/>
      <c r="J8" s="113">
        <f>IF($C8="","",IF(AND($D8&lt;&gt;"",$E8&lt;&gt;"",$D8&lt;&gt;$E8,$F8&gt;0),"UYGUN","HATA"))</f>
        <v/>
      </c>
      <c r="K8" s="6" t="n"/>
      <c r="L8" s="6" t="n"/>
    </row>
    <row r="9">
      <c r="A9" s="6" t="n"/>
      <c r="B9" s="113">
        <f>IF($C9="","","V"&amp;TEXT(ROW()-6,"00000"))</f>
        <v/>
      </c>
      <c r="C9" s="220" t="n">
        <v>46053</v>
      </c>
      <c r="D9" s="108" t="inlineStr">
        <is>
          <t>MERKEZ KASA</t>
        </is>
      </c>
      <c r="E9" s="108" t="inlineStr">
        <is>
          <t>ÖMER KARTAL</t>
        </is>
      </c>
      <c r="F9" s="221" t="n">
        <v>3000</v>
      </c>
      <c r="G9" s="109" t="inlineStr">
        <is>
          <t>HÜSEYİN ŞİMŞEK MUHASEBE ÜCRETİ</t>
        </is>
      </c>
      <c r="H9" s="109" t="n"/>
      <c r="I9" s="109" t="n"/>
      <c r="J9" s="113">
        <f>IF($C9="","",IF(AND($D9&lt;&gt;"",$E9&lt;&gt;"",$D9&lt;&gt;$E9,$F9&gt;0),"UYGUN","HATA"))</f>
        <v/>
      </c>
      <c r="K9" s="6" t="n"/>
      <c r="L9" s="6" t="n"/>
    </row>
    <row r="10">
      <c r="A10" s="6" t="n"/>
      <c r="B10" s="113">
        <f>IF($C10="","","V"&amp;TEXT(ROW()-6,"00000"))</f>
        <v/>
      </c>
      <c r="C10" s="220" t="n">
        <v>46053</v>
      </c>
      <c r="D10" s="108" t="inlineStr">
        <is>
          <t>MERKEZ KASA</t>
        </is>
      </c>
      <c r="E10" s="108" t="inlineStr">
        <is>
          <t>ÖMER KARTAL</t>
        </is>
      </c>
      <c r="F10" s="221" t="n">
        <v>2000</v>
      </c>
      <c r="G10" s="109" t="inlineStr">
        <is>
          <t>FADİME HORUZCU MUHASEBE ÜCRETİ</t>
        </is>
      </c>
      <c r="H10" s="109" t="n"/>
      <c r="I10" s="109" t="n"/>
      <c r="J10" s="113">
        <f>IF($C10="","",IF(AND($D10&lt;&gt;"",$E10&lt;&gt;"",$D10&lt;&gt;$E10,$F10&gt;0),"UYGUN","HATA"))</f>
        <v/>
      </c>
      <c r="K10" s="6" t="n"/>
      <c r="L10" s="6" t="n"/>
    </row>
    <row r="11">
      <c r="A11" s="6" t="n"/>
      <c r="B11" s="113">
        <f>IF($C11="","","V"&amp;TEXT(ROW()-6,"00000"))</f>
        <v/>
      </c>
      <c r="C11" s="220" t="n">
        <v>46053</v>
      </c>
      <c r="D11" s="108" t="inlineStr">
        <is>
          <t>MERKEZ KASA</t>
        </is>
      </c>
      <c r="E11" s="108" t="inlineStr">
        <is>
          <t>ÖMER KARTAL</t>
        </is>
      </c>
      <c r="F11" s="221" t="n">
        <v>15000</v>
      </c>
      <c r="G11" s="109" t="inlineStr">
        <is>
          <t>Onur'un Ömerden Alacağı Bakiye</t>
        </is>
      </c>
      <c r="H11" s="109" t="n"/>
      <c r="I11" s="109" t="n"/>
      <c r="J11" s="113">
        <f>IF($C11="","",IF(AND($D11&lt;&gt;"",$E11&lt;&gt;"",$D11&lt;&gt;$E11,$F11&gt;0),"UYGUN","HATA"))</f>
        <v/>
      </c>
      <c r="K11" s="6" t="n"/>
      <c r="L11" s="6" t="n"/>
    </row>
    <row r="12">
      <c r="A12" s="6" t="n"/>
      <c r="B12" s="113">
        <f>IF($C12="","","V"&amp;TEXT(ROW()-6,"00000"))</f>
        <v/>
      </c>
      <c r="C12" s="220" t="n">
        <v>46053</v>
      </c>
      <c r="D12" s="108" t="inlineStr">
        <is>
          <t>MERKEZ KASA</t>
        </is>
      </c>
      <c r="E12" s="108" t="inlineStr">
        <is>
          <t>ÖMER KARTAL</t>
        </is>
      </c>
      <c r="F12" s="221" t="n">
        <v>5000</v>
      </c>
      <c r="G12" s="109" t="inlineStr">
        <is>
          <t>ALİ KILIÇ TARAFINDAN HAVALE</t>
        </is>
      </c>
      <c r="H12" s="109" t="n"/>
      <c r="I12" s="109" t="n"/>
      <c r="J12" s="113">
        <f>IF($C12="","",IF(AND($D12&lt;&gt;"",$E12&lt;&gt;"",$D12&lt;&gt;$E12,$F12&gt;0),"UYGUN","HATA"))</f>
        <v/>
      </c>
      <c r="K12" s="6" t="n"/>
      <c r="L12" s="6" t="n"/>
    </row>
    <row r="13">
      <c r="A13" s="6" t="n"/>
      <c r="B13" s="113">
        <f>IF($C13="","","V"&amp;TEXT(ROW()-6,"00000"))</f>
        <v/>
      </c>
      <c r="C13" s="220" t="n">
        <v>46081</v>
      </c>
      <c r="D13" s="108" t="inlineStr">
        <is>
          <t>MERKEZ KASA</t>
        </is>
      </c>
      <c r="E13" s="108" t="inlineStr">
        <is>
          <t>ÖMER KARTAL</t>
        </is>
      </c>
      <c r="F13" s="221" t="n">
        <v>12000</v>
      </c>
      <c r="G13" s="109" t="inlineStr">
        <is>
          <t>PARİS GAZİNOSU SGK'LAR</t>
        </is>
      </c>
      <c r="H13" s="109" t="n"/>
      <c r="I13" s="109" t="n"/>
      <c r="J13" s="113">
        <f>IF($C13="","",IF(AND($D13&lt;&gt;"",$E13&lt;&gt;"",$D13&lt;&gt;$E13,$F13&gt;0),"UYGUN","HATA"))</f>
        <v/>
      </c>
      <c r="K13" s="6" t="n"/>
      <c r="L13" s="6" t="n"/>
    </row>
    <row r="14">
      <c r="A14" s="6" t="n"/>
      <c r="B14" s="113">
        <f>IF($C14="","","V"&amp;TEXT(ROW()-6,"00000"))</f>
        <v/>
      </c>
      <c r="C14" s="220" t="n">
        <v>46081</v>
      </c>
      <c r="D14" s="108" t="inlineStr">
        <is>
          <t>MERKEZ KASA</t>
        </is>
      </c>
      <c r="E14" s="108" t="inlineStr">
        <is>
          <t>ÖMER KARTAL</t>
        </is>
      </c>
      <c r="F14" s="221" t="n">
        <v>3000</v>
      </c>
      <c r="G14" s="109" t="inlineStr">
        <is>
          <t>HÜSEYİN ŞİMŞEK MUHASEBE ÜCRETİ</t>
        </is>
      </c>
      <c r="H14" s="109" t="n"/>
      <c r="I14" s="109" t="n"/>
      <c r="J14" s="113">
        <f>IF($C14="","",IF(AND($D14&lt;&gt;"",$E14&lt;&gt;"",$D14&lt;&gt;$E14,$F14&gt;0),"UYGUN","HATA"))</f>
        <v/>
      </c>
      <c r="K14" s="6" t="n"/>
      <c r="L14" s="6" t="n"/>
    </row>
    <row r="15">
      <c r="A15" s="6" t="n"/>
      <c r="B15" s="113">
        <f>IF($C15="","","V"&amp;TEXT(ROW()-6,"00000"))</f>
        <v/>
      </c>
      <c r="C15" s="220" t="n">
        <v>46081</v>
      </c>
      <c r="D15" s="108" t="inlineStr">
        <is>
          <t>MERKEZ KASA</t>
        </is>
      </c>
      <c r="E15" s="108" t="inlineStr">
        <is>
          <t>ÖMER KARTAL</t>
        </is>
      </c>
      <c r="F15" s="221" t="n">
        <v>2000</v>
      </c>
      <c r="G15" s="109" t="inlineStr">
        <is>
          <t>FADİME HORUZCU MUHASEBE ÜCRETİ</t>
        </is>
      </c>
      <c r="H15" s="109" t="n"/>
      <c r="I15" s="109" t="n"/>
      <c r="J15" s="113">
        <f>IF($C15="","",IF(AND($D15&lt;&gt;"",$E15&lt;&gt;"",$D15&lt;&gt;$E15,$F15&gt;0),"UYGUN","HATA"))</f>
        <v/>
      </c>
      <c r="K15" s="6" t="n"/>
      <c r="L15" s="6" t="n"/>
    </row>
    <row r="16">
      <c r="A16" s="6" t="n"/>
      <c r="B16" s="113">
        <f>IF($C16="","","V"&amp;TEXT(ROW()-6,"00000"))</f>
        <v/>
      </c>
      <c r="C16" s="220" t="n">
        <v>46087</v>
      </c>
      <c r="D16" s="108" t="inlineStr">
        <is>
          <t>ÖMER KARTAL</t>
        </is>
      </c>
      <c r="E16" s="108" t="inlineStr">
        <is>
          <t>MERKEZ KASA</t>
        </is>
      </c>
      <c r="F16" s="221" t="n">
        <v>15000</v>
      </c>
      <c r="G16" s="109" t="inlineStr">
        <is>
          <t xml:space="preserve">KASAYA NAKİT ÖDENEN </t>
        </is>
      </c>
      <c r="H16" s="109" t="n"/>
      <c r="I16" s="109" t="n"/>
      <c r="J16" s="113">
        <f>IF($C16="","",IF(AND($D16&lt;&gt;"",$E16&lt;&gt;"",$D16&lt;&gt;$E16,$F16&gt;0),"UYGUN","HATA"))</f>
        <v/>
      </c>
      <c r="K16" s="6" t="n"/>
      <c r="L16" s="6" t="n"/>
    </row>
    <row r="17">
      <c r="A17" s="6" t="n"/>
      <c r="B17" s="113">
        <f>IF($C17="","","V"&amp;TEXT(ROW()-6,"00000"))</f>
        <v/>
      </c>
      <c r="C17" s="220" t="n">
        <v>46112</v>
      </c>
      <c r="D17" s="108" t="inlineStr">
        <is>
          <t>MERKEZ KASA</t>
        </is>
      </c>
      <c r="E17" s="108" t="inlineStr">
        <is>
          <t>ÖMER KARTAL</t>
        </is>
      </c>
      <c r="F17" s="221" t="n">
        <v>12000</v>
      </c>
      <c r="G17" s="109" t="inlineStr">
        <is>
          <t>PARİS GAZİNOSU SGK'LAR</t>
        </is>
      </c>
      <c r="H17" s="109" t="n"/>
      <c r="I17" s="109" t="n"/>
      <c r="J17" s="113">
        <f>IF($C17="","",IF(AND($D17&lt;&gt;"",$E17&lt;&gt;"",$D17&lt;&gt;$E17,$F17&gt;0),"UYGUN","HATA"))</f>
        <v/>
      </c>
      <c r="K17" s="6" t="n"/>
      <c r="L17" s="6" t="n"/>
    </row>
    <row r="18">
      <c r="A18" s="6" t="n"/>
      <c r="B18" s="113">
        <f>IF($C18="","","V"&amp;TEXT(ROW()-6,"00000"))</f>
        <v/>
      </c>
      <c r="C18" s="220" t="n">
        <v>46112</v>
      </c>
      <c r="D18" s="108" t="inlineStr">
        <is>
          <t>MERKEZ KASA</t>
        </is>
      </c>
      <c r="E18" s="108" t="inlineStr">
        <is>
          <t>ÖMER KARTAL</t>
        </is>
      </c>
      <c r="F18" s="221" t="n">
        <v>2000</v>
      </c>
      <c r="G18" s="109" t="inlineStr">
        <is>
          <t>FADİME HORUZCU MUHASEBE ÜCRETİ</t>
        </is>
      </c>
      <c r="H18" s="109" t="n"/>
      <c r="I18" s="109" t="n"/>
      <c r="J18" s="113">
        <f>IF($C18="","",IF(AND($D18&lt;&gt;"",$E18&lt;&gt;"",$D18&lt;&gt;$E18,$F18&gt;0),"UYGUN","HATA"))</f>
        <v/>
      </c>
      <c r="K18" s="6" t="n"/>
      <c r="L18" s="6" t="n"/>
    </row>
    <row r="19">
      <c r="A19" s="6" t="n"/>
      <c r="B19" s="113">
        <f>IF($C19="","","V"&amp;TEXT(ROW()-6,"00000"))</f>
        <v/>
      </c>
      <c r="C19" s="220" t="n">
        <v>46137</v>
      </c>
      <c r="D19" s="108" t="inlineStr">
        <is>
          <t>MERKEZ KASA</t>
        </is>
      </c>
      <c r="E19" s="108" t="inlineStr">
        <is>
          <t>ÖMER KARTAL</t>
        </is>
      </c>
      <c r="F19" s="221" t="n">
        <v>20000</v>
      </c>
      <c r="G19" s="109" t="inlineStr">
        <is>
          <t>DAMLA SABANCI HAVALE</t>
        </is>
      </c>
      <c r="H19" s="109" t="n"/>
      <c r="I19" s="109" t="n"/>
      <c r="J19" s="113">
        <f>IF($C19="","",IF(AND($D19&lt;&gt;"",$E19&lt;&gt;"",$D19&lt;&gt;$E19,$F19&gt;0),"UYGUN","HATA"))</f>
        <v/>
      </c>
      <c r="K19" s="6" t="n"/>
      <c r="L19" s="6" t="n"/>
    </row>
    <row r="20">
      <c r="A20" s="6" t="n"/>
      <c r="B20" s="113">
        <f>IF($C20="","","V"&amp;TEXT(ROW()-6,"00000"))</f>
        <v/>
      </c>
      <c r="C20" s="220" t="n">
        <v>46142</v>
      </c>
      <c r="D20" s="108" t="inlineStr">
        <is>
          <t>MERKEZ KASA</t>
        </is>
      </c>
      <c r="E20" s="108" t="inlineStr">
        <is>
          <t>ÖMER KARTAL</t>
        </is>
      </c>
      <c r="F20" s="221" t="n">
        <v>12000</v>
      </c>
      <c r="G20" s="109" t="inlineStr">
        <is>
          <t>PARİS GAZİNOSU SGK'LAR</t>
        </is>
      </c>
      <c r="H20" s="109" t="n"/>
      <c r="I20" s="109" t="n"/>
      <c r="J20" s="113">
        <f>IF($C20="","",IF(AND($D20&lt;&gt;"",$E20&lt;&gt;"",$D20&lt;&gt;$E20,$F20&gt;0),"UYGUN","HATA"))</f>
        <v/>
      </c>
      <c r="K20" s="6" t="n"/>
      <c r="L20" s="6" t="n"/>
    </row>
    <row r="21">
      <c r="A21" s="6" t="n"/>
      <c r="B21" s="113">
        <f>IF($C21="","","V"&amp;TEXT(ROW()-6,"00000"))</f>
        <v/>
      </c>
      <c r="C21" s="220" t="n">
        <v>46142</v>
      </c>
      <c r="D21" s="108" t="inlineStr">
        <is>
          <t>MERKEZ KASA</t>
        </is>
      </c>
      <c r="E21" s="108" t="inlineStr">
        <is>
          <t>ÖMER KARTAL</t>
        </is>
      </c>
      <c r="F21" s="221" t="n">
        <v>2000</v>
      </c>
      <c r="G21" s="109" t="inlineStr">
        <is>
          <t>FADİME HORUZCU MUHASEBE ÜCRETİ</t>
        </is>
      </c>
      <c r="H21" s="109" t="n"/>
      <c r="I21" s="109" t="n"/>
      <c r="J21" s="113">
        <f>IF($C21="","",IF(AND($D21&lt;&gt;"",$E21&lt;&gt;"",$D21&lt;&gt;$E21,$F21&gt;0),"UYGUN","HATA"))</f>
        <v/>
      </c>
      <c r="K21" s="6" t="n"/>
      <c r="L21" s="6" t="n"/>
    </row>
    <row r="22">
      <c r="A22" s="6" t="n"/>
      <c r="B22" s="113">
        <f>IF($C22="","","V"&amp;TEXT(ROW()-6,"00000"))</f>
        <v/>
      </c>
      <c r="C22" s="220" t="n">
        <v>46144</v>
      </c>
      <c r="D22" s="108" t="inlineStr">
        <is>
          <t>MERKEZ KASA</t>
        </is>
      </c>
      <c r="E22" s="108" t="inlineStr">
        <is>
          <t>ÖMER KARTAL</t>
        </is>
      </c>
      <c r="F22" s="221" t="n">
        <v>1000</v>
      </c>
      <c r="G22" s="109" t="inlineStr">
        <is>
          <t>ÖMER NAKİT ÖDENEN ATO</t>
        </is>
      </c>
      <c r="H22" s="109" t="n"/>
      <c r="I22" s="109" t="n"/>
      <c r="J22" s="113">
        <f>IF($C22="","",IF(AND($D22&lt;&gt;"",$E22&lt;&gt;"",$D22&lt;&gt;$E22,$F22&gt;0),"UYGUN","HATA"))</f>
        <v/>
      </c>
      <c r="K22" s="6" t="n"/>
      <c r="L22" s="6" t="n"/>
    </row>
    <row r="23">
      <c r="A23" s="6" t="n"/>
      <c r="B23" s="113">
        <f>IF($C23="","","V"&amp;TEXT(ROW()-6,"00000"))</f>
        <v/>
      </c>
      <c r="C23" s="220" t="n">
        <v>46147</v>
      </c>
      <c r="D23" s="108" t="inlineStr">
        <is>
          <t>MERKEZ KASA</t>
        </is>
      </c>
      <c r="E23" s="108" t="inlineStr">
        <is>
          <t>ÖMER KARTAL</t>
        </is>
      </c>
      <c r="F23" s="221" t="n">
        <v>23600</v>
      </c>
      <c r="G23" s="109" t="inlineStr">
        <is>
          <t>GRAND 06 HASAN &amp; ÖMER BAKİYE</t>
        </is>
      </c>
      <c r="H23" s="109" t="n"/>
      <c r="I23" s="109" t="n"/>
      <c r="J23" s="113">
        <f>IF($C23="","",IF(AND($D23&lt;&gt;"",$E23&lt;&gt;"",$D23&lt;&gt;$E23,$F23&gt;0),"UYGUN","HATA"))</f>
        <v/>
      </c>
      <c r="K23" s="6" t="n"/>
      <c r="L23" s="6" t="n"/>
    </row>
    <row r="24">
      <c r="A24" s="6" t="n"/>
      <c r="B24" s="113">
        <f>IF($C24="","","V"&amp;TEXT(ROW()-6,"00000"))</f>
        <v/>
      </c>
      <c r="C24" s="220" t="n">
        <v>46173</v>
      </c>
      <c r="D24" s="108" t="inlineStr">
        <is>
          <t>MERKEZ KASA</t>
        </is>
      </c>
      <c r="E24" s="108" t="inlineStr">
        <is>
          <t>ÖMER KARTAL</t>
        </is>
      </c>
      <c r="F24" s="221" t="n">
        <v>17000</v>
      </c>
      <c r="G24" s="109" t="inlineStr">
        <is>
          <t xml:space="preserve">ÖMER TATİLDEYKEN HAVALE </t>
        </is>
      </c>
      <c r="H24" s="109" t="n"/>
      <c r="I24" s="109" t="n"/>
      <c r="J24" s="113">
        <f>IF($C24="","",IF(AND($D24&lt;&gt;"",$E24&lt;&gt;"",$D24&lt;&gt;$E24,$F24&gt;0),"UYGUN","HATA"))</f>
        <v/>
      </c>
      <c r="K24" s="6" t="n"/>
      <c r="L24" s="6" t="n"/>
    </row>
    <row r="25">
      <c r="A25" s="6" t="n"/>
      <c r="B25" s="113">
        <f>IF($C25="","","V"&amp;TEXT(ROW()-6,"00000"))</f>
        <v/>
      </c>
      <c r="C25" s="220" t="n">
        <v>46173</v>
      </c>
      <c r="D25" s="108" t="inlineStr">
        <is>
          <t>MERKEZ KASA</t>
        </is>
      </c>
      <c r="E25" s="108" t="inlineStr">
        <is>
          <t>ÖMER KARTAL</t>
        </is>
      </c>
      <c r="F25" s="221" t="n">
        <v>12000</v>
      </c>
      <c r="G25" s="109" t="inlineStr">
        <is>
          <t>PARİS GAZİNOSU SGK'LAR</t>
        </is>
      </c>
      <c r="H25" s="109" t="n"/>
      <c r="I25" s="109" t="n"/>
      <c r="J25" s="113">
        <f>IF($C25="","",IF(AND($D25&lt;&gt;"",$E25&lt;&gt;"",$D25&lt;&gt;$E25,$F25&gt;0),"UYGUN","HATA"))</f>
        <v/>
      </c>
      <c r="K25" s="6" t="n"/>
      <c r="L25" s="6" t="n"/>
    </row>
    <row r="26">
      <c r="A26" s="6" t="n"/>
      <c r="B26" s="113">
        <f>IF($C26="","","V"&amp;TEXT(ROW()-6,"00000"))</f>
        <v/>
      </c>
      <c r="C26" s="220" t="n">
        <v>46173</v>
      </c>
      <c r="D26" s="108" t="inlineStr">
        <is>
          <t>MERKEZ KASA</t>
        </is>
      </c>
      <c r="E26" s="108" t="inlineStr">
        <is>
          <t>ÖMER KARTAL</t>
        </is>
      </c>
      <c r="F26" s="221" t="n">
        <v>2000</v>
      </c>
      <c r="G26" s="109" t="inlineStr">
        <is>
          <t>FADİME HORUZCU MUHASEBE ÜCRETİ</t>
        </is>
      </c>
      <c r="H26" s="109" t="n"/>
      <c r="I26" s="109" t="n"/>
      <c r="J26" s="113">
        <f>IF($C26="","",IF(AND($D26&lt;&gt;"",$E26&lt;&gt;"",$D26&lt;&gt;$E26,$F26&gt;0),"UYGUN","HATA"))</f>
        <v/>
      </c>
      <c r="K26" s="6" t="n"/>
      <c r="L26" s="6" t="n"/>
    </row>
    <row r="27">
      <c r="A27" s="6" t="n"/>
      <c r="B27" s="113">
        <f>IF($C27="","","V"&amp;TEXT(ROW()-6,"00000"))</f>
        <v/>
      </c>
      <c r="C27" s="220" t="n">
        <v>46203</v>
      </c>
      <c r="D27" s="108" t="inlineStr">
        <is>
          <t>MERKEZ KASA</t>
        </is>
      </c>
      <c r="E27" s="108" t="inlineStr">
        <is>
          <t>ÖMER KARTAL</t>
        </is>
      </c>
      <c r="F27" s="221" t="n">
        <v>12000</v>
      </c>
      <c r="G27" s="109" t="inlineStr">
        <is>
          <t>PARİS GAZİNOSU SGK'LAR</t>
        </is>
      </c>
      <c r="H27" s="109" t="n"/>
      <c r="I27" s="109" t="n"/>
      <c r="J27" s="113">
        <f>IF($C27="","",IF(AND($D27&lt;&gt;"",$E27&lt;&gt;"",$D27&lt;&gt;$E27,$F27&gt;0),"UYGUN","HATA"))</f>
        <v/>
      </c>
      <c r="K27" s="6" t="n"/>
      <c r="L27" s="6" t="n"/>
    </row>
    <row r="28">
      <c r="A28" s="6" t="n"/>
      <c r="B28" s="113">
        <f>IF($C28="","","V"&amp;TEXT(ROW()-6,"00000"))</f>
        <v/>
      </c>
      <c r="C28" s="220" t="n">
        <v>46203</v>
      </c>
      <c r="D28" s="108" t="inlineStr">
        <is>
          <t>MERKEZ KASA</t>
        </is>
      </c>
      <c r="E28" s="108" t="inlineStr">
        <is>
          <t>ÖMER KARTAL</t>
        </is>
      </c>
      <c r="F28" s="221" t="n">
        <v>2000</v>
      </c>
      <c r="G28" s="109" t="inlineStr">
        <is>
          <t>FADİME HORUZCU MUHASEBE ÜCRETİ</t>
        </is>
      </c>
      <c r="H28" s="109" t="n"/>
      <c r="I28" s="109" t="n"/>
      <c r="J28" s="113">
        <f>IF($C28="","",IF(AND($D28&lt;&gt;"",$E28&lt;&gt;"",$D28&lt;&gt;$E28,$F28&gt;0),"UYGUN","HATA"))</f>
        <v/>
      </c>
      <c r="K28" s="6" t="n"/>
      <c r="L28" s="6" t="n"/>
    </row>
    <row r="29">
      <c r="A29" s="6" t="n"/>
      <c r="B29" s="113">
        <f>IF($C29="","","V"&amp;TEXT(ROW()-6,"00000"))</f>
        <v/>
      </c>
      <c r="C29" s="220" t="n">
        <v>46207</v>
      </c>
      <c r="D29" s="108" t="inlineStr">
        <is>
          <t>MERKEZ KASA</t>
        </is>
      </c>
      <c r="E29" s="108" t="inlineStr">
        <is>
          <t>ÖMER KARTAL</t>
        </is>
      </c>
      <c r="F29" s="221" t="n">
        <v>5000</v>
      </c>
      <c r="G29" s="109" t="inlineStr">
        <is>
          <t>YALIKENT HAFTALIK MENDERES MAHSUP</t>
        </is>
      </c>
      <c r="H29" s="109" t="n"/>
      <c r="I29" s="109" t="n"/>
      <c r="J29" s="113">
        <f>IF($C29="","",IF(AND($D29&lt;&gt;"",$E29&lt;&gt;"",$D29&lt;&gt;$E29,$F29&gt;0),"UYGUN","HATA"))</f>
        <v/>
      </c>
      <c r="K29" s="6" t="n"/>
      <c r="L29" s="6" t="n"/>
    </row>
    <row r="30">
      <c r="A30" s="6" t="n"/>
      <c r="B30" s="113">
        <f>IF($C30="","","V"&amp;TEXT(ROW()-6,"00000"))</f>
        <v/>
      </c>
      <c r="C30" s="220" t="n">
        <v>46214</v>
      </c>
      <c r="D30" s="108" t="inlineStr">
        <is>
          <t>MERKEZ KASA</t>
        </is>
      </c>
      <c r="E30" s="108" t="inlineStr">
        <is>
          <t>ÖMER KARTAL</t>
        </is>
      </c>
      <c r="F30" s="221" t="n">
        <v>5000</v>
      </c>
      <c r="G30" s="109" t="inlineStr">
        <is>
          <t>YALIKENT HAFTALIK MENDERES MAHSUP</t>
        </is>
      </c>
      <c r="H30" s="109" t="n"/>
      <c r="I30" s="109" t="n"/>
      <c r="J30" s="113">
        <f>IF($C30="","",IF(AND($D30&lt;&gt;"",$E30&lt;&gt;"",$D30&lt;&gt;$E30,$F30&gt;0),"UYGUN","HATA"))</f>
        <v/>
      </c>
      <c r="K30" s="6" t="n"/>
      <c r="L30" s="6" t="n"/>
    </row>
    <row r="31">
      <c r="A31" s="6" t="n"/>
      <c r="B31" s="113">
        <f>IF($C31="","","V"&amp;TEXT(ROW()-6,"00000"))</f>
        <v/>
      </c>
      <c r="C31" s="220" t="n">
        <v>46221</v>
      </c>
      <c r="D31" s="108" t="inlineStr">
        <is>
          <t>MERKEZ KASA</t>
        </is>
      </c>
      <c r="E31" s="108" t="inlineStr">
        <is>
          <t>ÖMER KARTAL</t>
        </is>
      </c>
      <c r="F31" s="221" t="n">
        <v>5000</v>
      </c>
      <c r="G31" s="109" t="inlineStr">
        <is>
          <t>YALIKENT HAFTALIK MENDERES MAHSUP</t>
        </is>
      </c>
      <c r="H31" s="109" t="n"/>
      <c r="I31" s="109" t="n"/>
      <c r="J31" s="113">
        <f>IF($C31="","",IF(AND($D31&lt;&gt;"",$E31&lt;&gt;"",$D31&lt;&gt;$E31,$F31&gt;0),"UYGUN","HATA"))</f>
        <v/>
      </c>
      <c r="K31" s="6" t="n"/>
      <c r="L31" s="6" t="n"/>
    </row>
    <row r="32">
      <c r="A32" s="6" t="n"/>
      <c r="B32" s="113">
        <f>IF($C32="","","V"&amp;TEXT(ROW()-6,"00000"))</f>
        <v/>
      </c>
      <c r="C32" s="220" t="n">
        <v>46228</v>
      </c>
      <c r="D32" s="108" t="inlineStr">
        <is>
          <t>MERKEZ KASA</t>
        </is>
      </c>
      <c r="E32" s="108" t="inlineStr">
        <is>
          <t>ÖMER KARTAL</t>
        </is>
      </c>
      <c r="F32" s="221" t="n">
        <v>5000</v>
      </c>
      <c r="G32" s="109" t="inlineStr">
        <is>
          <t>YALIKENT HAFTALIK MENDERES MAHSUP</t>
        </is>
      </c>
      <c r="H32" s="109" t="n"/>
      <c r="I32" s="109" t="n"/>
      <c r="J32" s="113">
        <f>IF($C32="","",IF(AND($D32&lt;&gt;"",$E32&lt;&gt;"",$D32&lt;&gt;$E32,$F32&gt;0),"UYGUN","HATA"))</f>
        <v/>
      </c>
      <c r="K32" s="6" t="n"/>
      <c r="L32" s="6" t="n"/>
    </row>
    <row r="33">
      <c r="A33" s="6" t="n"/>
      <c r="B33" s="113">
        <f>IF($C33="","","V"&amp;TEXT(ROW()-6,"00000"))</f>
        <v/>
      </c>
      <c r="C33" s="220" t="n">
        <v>46234</v>
      </c>
      <c r="D33" s="108" t="inlineStr">
        <is>
          <t>MERKEZ KASA</t>
        </is>
      </c>
      <c r="E33" s="108" t="inlineStr">
        <is>
          <t>ÖMER KARTAL</t>
        </is>
      </c>
      <c r="F33" s="221" t="n">
        <v>12000</v>
      </c>
      <c r="G33" s="109" t="inlineStr">
        <is>
          <t>PARİS GAZİNOSU SGK'LAR</t>
        </is>
      </c>
      <c r="H33" s="109" t="n"/>
      <c r="I33" s="109" t="n"/>
      <c r="J33" s="113">
        <f>IF($C33="","",IF(AND($D33&lt;&gt;"",$E33&lt;&gt;"",$D33&lt;&gt;$E33,$F33&gt;0),"UYGUN","HATA"))</f>
        <v/>
      </c>
      <c r="K33" s="6" t="n"/>
      <c r="L33" s="6" t="n"/>
    </row>
    <row r="34">
      <c r="A34" s="6" t="n"/>
      <c r="B34" s="113">
        <f>IF($C34="","","V"&amp;TEXT(ROW()-6,"00000"))</f>
        <v/>
      </c>
      <c r="C34" s="220" t="n">
        <v>46235</v>
      </c>
      <c r="D34" s="108" t="inlineStr">
        <is>
          <t>MERKEZ KASA</t>
        </is>
      </c>
      <c r="E34" s="108" t="inlineStr">
        <is>
          <t>ÖMER KARTAL</t>
        </is>
      </c>
      <c r="F34" s="221" t="n">
        <v>5000</v>
      </c>
      <c r="G34" s="109" t="inlineStr">
        <is>
          <t>YALIKENT HAFTALIK MENDERES MAHSUP</t>
        </is>
      </c>
      <c r="H34" s="109" t="n"/>
      <c r="I34" s="109" t="n"/>
      <c r="J34" s="113">
        <f>IF($C34="","",IF(AND($D34&lt;&gt;"",$E34&lt;&gt;"",$D34&lt;&gt;$E34,$F34&gt;0),"UYGUN","HATA"))</f>
        <v/>
      </c>
      <c r="K34" s="6" t="n"/>
      <c r="L34" s="6" t="n"/>
    </row>
    <row r="35">
      <c r="A35" s="6" t="n"/>
      <c r="B35" s="113">
        <f>IF($C35="","","V"&amp;TEXT(ROW()-6,"00000"))</f>
        <v/>
      </c>
      <c r="C35" s="220" t="n">
        <v>46243</v>
      </c>
      <c r="D35" s="108" t="inlineStr">
        <is>
          <t>MERKEZ KASA</t>
        </is>
      </c>
      <c r="E35" s="108" t="inlineStr">
        <is>
          <t>ÖMER KARTAL</t>
        </is>
      </c>
      <c r="F35" s="221" t="n">
        <v>9400</v>
      </c>
      <c r="G35" s="109" t="inlineStr">
        <is>
          <t>GRAND 06 ÖMER BAKİYE</t>
        </is>
      </c>
      <c r="H35" s="109" t="n"/>
      <c r="I35" s="109" t="n"/>
      <c r="J35" s="113">
        <f>IF($C35="","",IF(AND($D35&lt;&gt;"",$E35&lt;&gt;"",$D35&lt;&gt;$E35,$F35&gt;0),"UYGUN","HATA"))</f>
        <v/>
      </c>
      <c r="K35" s="6" t="n"/>
      <c r="L35" s="6" t="n"/>
    </row>
    <row r="36">
      <c r="A36" s="6" t="n"/>
      <c r="B36" s="113">
        <f>IF($C36="","","V"&amp;TEXT(ROW()-6,"00000"))</f>
        <v/>
      </c>
      <c r="C36" s="220" t="n">
        <v>46265</v>
      </c>
      <c r="D36" s="108" t="inlineStr">
        <is>
          <t>MERKEZ KASA</t>
        </is>
      </c>
      <c r="E36" s="108" t="inlineStr">
        <is>
          <t>ÖMER KARTAL</t>
        </is>
      </c>
      <c r="F36" s="221" t="n">
        <v>12000</v>
      </c>
      <c r="G36" s="109" t="inlineStr">
        <is>
          <t>PARİS GAZİNOSU SGK'LAR</t>
        </is>
      </c>
      <c r="H36" s="109" t="n"/>
      <c r="I36" s="109" t="n"/>
      <c r="J36" s="113">
        <f>IF($C36="","",IF(AND($D36&lt;&gt;"",$E36&lt;&gt;"",$D36&lt;&gt;$E36,$F36&gt;0),"UYGUN","HATA"))</f>
        <v/>
      </c>
      <c r="K36" s="6" t="n"/>
      <c r="L36" s="6" t="n"/>
    </row>
    <row r="37">
      <c r="A37" s="6" t="n"/>
      <c r="B37" s="113">
        <f>IF($C37="","","V"&amp;TEXT(ROW()-6,"00000"))</f>
        <v/>
      </c>
      <c r="C37" s="220" t="n"/>
      <c r="D37" s="108" t="n"/>
      <c r="E37" s="108" t="n"/>
      <c r="F37" s="221" t="n"/>
      <c r="G37" s="109" t="n"/>
      <c r="H37" s="109" t="n"/>
      <c r="I37" s="109" t="n"/>
      <c r="J37" s="113">
        <f>IF($C37="","",IF(AND($D37&lt;&gt;"",$E37&lt;&gt;"",$D37&lt;&gt;$E37,$F37&gt;0),"UYGUN","HATA"))</f>
        <v/>
      </c>
      <c r="K37" s="6" t="n"/>
      <c r="L37" s="6" t="n"/>
    </row>
    <row r="38">
      <c r="A38" s="6" t="n"/>
      <c r="B38" s="113">
        <f>IF($C38="","","V"&amp;TEXT(ROW()-6,"00000"))</f>
        <v/>
      </c>
      <c r="C38" s="220" t="n"/>
      <c r="D38" s="108" t="n"/>
      <c r="E38" s="108" t="n"/>
      <c r="F38" s="221" t="n"/>
      <c r="G38" s="109" t="n"/>
      <c r="H38" s="109" t="n"/>
      <c r="I38" s="109" t="n"/>
      <c r="J38" s="113">
        <f>IF($C38="","",IF(AND($D38&lt;&gt;"",$E38&lt;&gt;"",$D38&lt;&gt;$E38,$F38&gt;0),"UYGUN","HATA"))</f>
        <v/>
      </c>
      <c r="K38" s="6" t="n"/>
      <c r="L38" s="6" t="n"/>
    </row>
    <row r="39">
      <c r="A39" s="6" t="n"/>
      <c r="B39" s="113">
        <f>IF($C39="","","V"&amp;TEXT(ROW()-6,"00000"))</f>
        <v/>
      </c>
      <c r="C39" s="220" t="n"/>
      <c r="D39" s="108" t="n"/>
      <c r="E39" s="108" t="n"/>
      <c r="F39" s="221" t="n"/>
      <c r="G39" s="109" t="n"/>
      <c r="H39" s="109" t="n"/>
      <c r="I39" s="109" t="n"/>
      <c r="J39" s="113">
        <f>IF($C39="","",IF(AND($D39&lt;&gt;"",$E39&lt;&gt;"",$D39&lt;&gt;$E39,$F39&gt;0),"UYGUN","HATA"))</f>
        <v/>
      </c>
      <c r="K39" s="6" t="n"/>
      <c r="L39" s="6" t="n"/>
    </row>
    <row r="40">
      <c r="A40" s="6" t="n"/>
      <c r="B40" s="113">
        <f>IF($C40="","","V"&amp;TEXT(ROW()-6,"00000"))</f>
        <v/>
      </c>
      <c r="C40" s="220" t="n"/>
      <c r="D40" s="108" t="n"/>
      <c r="E40" s="108" t="n"/>
      <c r="F40" s="221" t="n"/>
      <c r="G40" s="109" t="n"/>
      <c r="H40" s="109" t="n"/>
      <c r="I40" s="109" t="n"/>
      <c r="J40" s="113">
        <f>IF($C40="","",IF(AND($D40&lt;&gt;"",$E40&lt;&gt;"",$D40&lt;&gt;$E40,$F40&gt;0),"UYGUN","HATA"))</f>
        <v/>
      </c>
      <c r="K40" s="6" t="n"/>
      <c r="L40" s="6" t="n"/>
    </row>
    <row r="41">
      <c r="A41" s="6" t="n"/>
      <c r="B41" s="113">
        <f>IF($C41="","","V"&amp;TEXT(ROW()-6,"00000"))</f>
        <v/>
      </c>
      <c r="C41" s="220" t="n"/>
      <c r="D41" s="108" t="n"/>
      <c r="E41" s="108" t="n"/>
      <c r="F41" s="221" t="n"/>
      <c r="G41" s="109" t="n"/>
      <c r="H41" s="109" t="n"/>
      <c r="I41" s="109" t="n"/>
      <c r="J41" s="113">
        <f>IF($C41="","",IF(AND($D41&lt;&gt;"",$E41&lt;&gt;"",$D41&lt;&gt;$E41,$F41&gt;0),"UYGUN","HATA"))</f>
        <v/>
      </c>
      <c r="K41" s="6" t="n"/>
      <c r="L41" s="6" t="n"/>
    </row>
    <row r="42">
      <c r="A42" s="6" t="n"/>
      <c r="B42" s="113">
        <f>IF($C42="","","V"&amp;TEXT(ROW()-6,"00000"))</f>
        <v/>
      </c>
      <c r="C42" s="220" t="n"/>
      <c r="D42" s="108" t="n"/>
      <c r="E42" s="108" t="n"/>
      <c r="F42" s="221" t="n"/>
      <c r="G42" s="109" t="n"/>
      <c r="H42" s="109" t="n"/>
      <c r="I42" s="109" t="n"/>
      <c r="J42" s="113">
        <f>IF($C42="","",IF(AND($D42&lt;&gt;"",$E42&lt;&gt;"",$D42&lt;&gt;$E42,$F42&gt;0),"UYGUN","HATA"))</f>
        <v/>
      </c>
      <c r="K42" s="6" t="n"/>
      <c r="L42" s="6" t="n"/>
    </row>
    <row r="43">
      <c r="A43" s="6" t="n"/>
      <c r="B43" s="113">
        <f>IF($C43="","","V"&amp;TEXT(ROW()-6,"00000"))</f>
        <v/>
      </c>
      <c r="C43" s="220" t="n"/>
      <c r="D43" s="108" t="n"/>
      <c r="E43" s="108" t="n"/>
      <c r="F43" s="221" t="n"/>
      <c r="G43" s="109" t="n"/>
      <c r="H43" s="109" t="n"/>
      <c r="I43" s="109" t="n"/>
      <c r="J43" s="113">
        <f>IF($C43="","",IF(AND($D43&lt;&gt;"",$E43&lt;&gt;"",$D43&lt;&gt;$E43,$F43&gt;0),"UYGUN","HATA"))</f>
        <v/>
      </c>
      <c r="K43" s="6" t="n"/>
      <c r="L43" s="6" t="n"/>
    </row>
    <row r="44">
      <c r="A44" s="6" t="n"/>
      <c r="B44" s="113">
        <f>IF($C44="","","V"&amp;TEXT(ROW()-6,"00000"))</f>
        <v/>
      </c>
      <c r="C44" s="220" t="n"/>
      <c r="D44" s="108" t="n"/>
      <c r="E44" s="108" t="n"/>
      <c r="F44" s="221" t="n"/>
      <c r="G44" s="109" t="n"/>
      <c r="H44" s="109" t="n"/>
      <c r="I44" s="109" t="n"/>
      <c r="J44" s="113">
        <f>IF($C44="","",IF(AND($D44&lt;&gt;"",$E44&lt;&gt;"",$D44&lt;&gt;$E44,$F44&gt;0),"UYGUN","HATA"))</f>
        <v/>
      </c>
      <c r="K44" s="6" t="n"/>
      <c r="L44" s="6" t="n"/>
    </row>
    <row r="45">
      <c r="A45" s="6" t="n"/>
      <c r="B45" s="113">
        <f>IF($C45="","","V"&amp;TEXT(ROW()-6,"00000"))</f>
        <v/>
      </c>
      <c r="C45" s="220" t="n"/>
      <c r="D45" s="108" t="n"/>
      <c r="E45" s="108" t="n"/>
      <c r="F45" s="221" t="n"/>
      <c r="G45" s="109" t="n"/>
      <c r="H45" s="109" t="n"/>
      <c r="I45" s="109" t="n"/>
      <c r="J45" s="113">
        <f>IF($C45="","",IF(AND($D45&lt;&gt;"",$E45&lt;&gt;"",$D45&lt;&gt;$E45,$F45&gt;0),"UYGUN","HATA"))</f>
        <v/>
      </c>
      <c r="K45" s="6" t="n"/>
      <c r="L45" s="6" t="n"/>
    </row>
    <row r="46">
      <c r="A46" s="6" t="n"/>
      <c r="B46" s="113">
        <f>IF($C46="","","V"&amp;TEXT(ROW()-6,"00000"))</f>
        <v/>
      </c>
      <c r="C46" s="220" t="n"/>
      <c r="D46" s="108" t="n"/>
      <c r="E46" s="108" t="n"/>
      <c r="F46" s="221" t="n"/>
      <c r="G46" s="109" t="n"/>
      <c r="H46" s="109" t="n"/>
      <c r="I46" s="109" t="n"/>
      <c r="J46" s="113">
        <f>IF($C46="","",IF(AND($D46&lt;&gt;"",$E46&lt;&gt;"",$D46&lt;&gt;$E46,$F46&gt;0),"UYGUN","HATA"))</f>
        <v/>
      </c>
      <c r="K46" s="6" t="n"/>
      <c r="L46" s="6" t="n"/>
    </row>
    <row r="47">
      <c r="A47" s="6" t="n"/>
      <c r="B47" s="113">
        <f>IF($C47="","","V"&amp;TEXT(ROW()-6,"00000"))</f>
        <v/>
      </c>
      <c r="C47" s="220" t="n"/>
      <c r="D47" s="108" t="n"/>
      <c r="E47" s="108" t="n"/>
      <c r="F47" s="221" t="n"/>
      <c r="G47" s="109" t="n"/>
      <c r="H47" s="109" t="n"/>
      <c r="I47" s="109" t="n"/>
      <c r="J47" s="113">
        <f>IF($C47="","",IF(AND($D47&lt;&gt;"",$E47&lt;&gt;"",$D47&lt;&gt;$E47,$F47&gt;0),"UYGUN","HATA"))</f>
        <v/>
      </c>
      <c r="K47" s="6" t="n"/>
      <c r="L47" s="6" t="n"/>
    </row>
    <row r="48">
      <c r="A48" s="6" t="n"/>
      <c r="B48" s="113">
        <f>IF($C48="","","V"&amp;TEXT(ROW()-6,"00000"))</f>
        <v/>
      </c>
      <c r="C48" s="220" t="n"/>
      <c r="D48" s="108" t="n"/>
      <c r="E48" s="108" t="n"/>
      <c r="F48" s="221" t="n"/>
      <c r="G48" s="109" t="n"/>
      <c r="H48" s="109" t="n"/>
      <c r="I48" s="109" t="n"/>
      <c r="J48" s="113">
        <f>IF($C48="","",IF(AND($D48&lt;&gt;"",$E48&lt;&gt;"",$D48&lt;&gt;$E48,$F48&gt;0),"UYGUN","HATA"))</f>
        <v/>
      </c>
      <c r="K48" s="6" t="n"/>
      <c r="L48" s="6" t="n"/>
    </row>
    <row r="49">
      <c r="A49" s="6" t="n"/>
      <c r="B49" s="113">
        <f>IF($C49="","","V"&amp;TEXT(ROW()-6,"00000"))</f>
        <v/>
      </c>
      <c r="C49" s="220" t="n"/>
      <c r="D49" s="108" t="n"/>
      <c r="E49" s="108" t="n"/>
      <c r="F49" s="221" t="n"/>
      <c r="G49" s="109" t="n"/>
      <c r="H49" s="109" t="n"/>
      <c r="I49" s="109" t="n"/>
      <c r="J49" s="113">
        <f>IF($C49="","",IF(AND($D49&lt;&gt;"",$E49&lt;&gt;"",$D49&lt;&gt;$E49,$F49&gt;0),"UYGUN","HATA"))</f>
        <v/>
      </c>
      <c r="K49" s="6" t="n"/>
      <c r="L49" s="6" t="n"/>
    </row>
    <row r="50">
      <c r="A50" s="6" t="n"/>
      <c r="B50" s="113">
        <f>IF($C50="","","V"&amp;TEXT(ROW()-6,"00000"))</f>
        <v/>
      </c>
      <c r="C50" s="220" t="n"/>
      <c r="D50" s="108" t="n"/>
      <c r="E50" s="108" t="n"/>
      <c r="F50" s="221" t="n"/>
      <c r="G50" s="109" t="n"/>
      <c r="H50" s="109" t="n"/>
      <c r="I50" s="109" t="n"/>
      <c r="J50" s="113">
        <f>IF($C50="","",IF(AND($D50&lt;&gt;"",$E50&lt;&gt;"",$D50&lt;&gt;$E50,$F50&gt;0),"UYGUN","HATA"))</f>
        <v/>
      </c>
      <c r="K50" s="6" t="n"/>
      <c r="L50" s="6" t="n"/>
    </row>
    <row r="51">
      <c r="A51" s="6" t="n"/>
      <c r="B51" s="113">
        <f>IF($C51="","","V"&amp;TEXT(ROW()-6,"00000"))</f>
        <v/>
      </c>
      <c r="C51" s="220" t="n"/>
      <c r="D51" s="108" t="n"/>
      <c r="E51" s="108" t="n"/>
      <c r="F51" s="221" t="n"/>
      <c r="G51" s="109" t="n"/>
      <c r="H51" s="109" t="n"/>
      <c r="I51" s="109" t="n"/>
      <c r="J51" s="113">
        <f>IF($C51="","",IF(AND($D51&lt;&gt;"",$E51&lt;&gt;"",$D51&lt;&gt;$E51,$F51&gt;0),"UYGUN","HATA"))</f>
        <v/>
      </c>
      <c r="K51" s="6" t="n"/>
      <c r="L51" s="6" t="n"/>
    </row>
    <row r="52">
      <c r="A52" s="6" t="n"/>
      <c r="B52" s="113">
        <f>IF($C52="","","V"&amp;TEXT(ROW()-6,"00000"))</f>
        <v/>
      </c>
      <c r="C52" s="220" t="n"/>
      <c r="D52" s="108" t="n"/>
      <c r="E52" s="108" t="n"/>
      <c r="F52" s="221" t="n"/>
      <c r="G52" s="109" t="n"/>
      <c r="H52" s="109" t="n"/>
      <c r="I52" s="109" t="n"/>
      <c r="J52" s="113">
        <f>IF($C52="","",IF(AND($D52&lt;&gt;"",$E52&lt;&gt;"",$D52&lt;&gt;$E52,$F52&gt;0),"UYGUN","HATA"))</f>
        <v/>
      </c>
      <c r="K52" s="6" t="n"/>
      <c r="L52" s="6" t="n"/>
    </row>
    <row r="53">
      <c r="A53" s="6" t="n"/>
      <c r="B53" s="113">
        <f>IF($C53="","","V"&amp;TEXT(ROW()-6,"00000"))</f>
        <v/>
      </c>
      <c r="C53" s="220" t="n"/>
      <c r="D53" s="108" t="n"/>
      <c r="E53" s="108" t="n"/>
      <c r="F53" s="221" t="n"/>
      <c r="G53" s="109" t="n"/>
      <c r="H53" s="109" t="n"/>
      <c r="I53" s="109" t="n"/>
      <c r="J53" s="113">
        <f>IF($C53="","",IF(AND($D53&lt;&gt;"",$E53&lt;&gt;"",$D53&lt;&gt;$E53,$F53&gt;0),"UYGUN","HATA"))</f>
        <v/>
      </c>
      <c r="K53" s="6" t="n"/>
      <c r="L53" s="6" t="n"/>
    </row>
    <row r="54">
      <c r="A54" s="6" t="n"/>
      <c r="B54" s="113">
        <f>IF($C54="","","V"&amp;TEXT(ROW()-6,"00000"))</f>
        <v/>
      </c>
      <c r="C54" s="220" t="n"/>
      <c r="D54" s="108" t="n"/>
      <c r="E54" s="108" t="n"/>
      <c r="F54" s="221" t="n"/>
      <c r="G54" s="109" t="n"/>
      <c r="H54" s="109" t="n"/>
      <c r="I54" s="109" t="n"/>
      <c r="J54" s="113">
        <f>IF($C54="","",IF(AND($D54&lt;&gt;"",$E54&lt;&gt;"",$D54&lt;&gt;$E54,$F54&gt;0),"UYGUN","HATA"))</f>
        <v/>
      </c>
      <c r="K54" s="6" t="n"/>
      <c r="L54" s="6" t="n"/>
    </row>
    <row r="55">
      <c r="A55" s="6" t="n"/>
      <c r="B55" s="113">
        <f>IF($C55="","","V"&amp;TEXT(ROW()-6,"00000"))</f>
        <v/>
      </c>
      <c r="C55" s="220" t="n"/>
      <c r="D55" s="108" t="n"/>
      <c r="E55" s="108" t="n"/>
      <c r="F55" s="221" t="n"/>
      <c r="G55" s="109" t="n"/>
      <c r="H55" s="109" t="n"/>
      <c r="I55" s="109" t="n"/>
      <c r="J55" s="113">
        <f>IF($C55="","",IF(AND($D55&lt;&gt;"",$E55&lt;&gt;"",$D55&lt;&gt;$E55,$F55&gt;0),"UYGUN","HATA"))</f>
        <v/>
      </c>
      <c r="K55" s="6" t="n"/>
      <c r="L55" s="6" t="n"/>
    </row>
    <row r="56">
      <c r="A56" s="6" t="n"/>
      <c r="B56" s="113">
        <f>IF($C56="","","V"&amp;TEXT(ROW()-6,"00000"))</f>
        <v/>
      </c>
      <c r="C56" s="220" t="n"/>
      <c r="D56" s="108" t="n"/>
      <c r="E56" s="108" t="n"/>
      <c r="F56" s="221" t="n"/>
      <c r="G56" s="109" t="n"/>
      <c r="H56" s="109" t="n"/>
      <c r="I56" s="109" t="n"/>
      <c r="J56" s="113">
        <f>IF($C56="","",IF(AND($D56&lt;&gt;"",$E56&lt;&gt;"",$D56&lt;&gt;$E56,$F56&gt;0),"UYGUN","HATA"))</f>
        <v/>
      </c>
      <c r="K56" s="6" t="n"/>
      <c r="L56" s="6" t="n"/>
    </row>
    <row r="57">
      <c r="A57" s="6" t="n"/>
      <c r="B57" s="113">
        <f>IF($C57="","","V"&amp;TEXT(ROW()-6,"00000"))</f>
        <v/>
      </c>
      <c r="C57" s="220" t="n"/>
      <c r="D57" s="108" t="n"/>
      <c r="E57" s="108" t="n"/>
      <c r="F57" s="221" t="n"/>
      <c r="G57" s="109" t="n"/>
      <c r="H57" s="109" t="n"/>
      <c r="I57" s="109" t="n"/>
      <c r="J57" s="113">
        <f>IF($C57="","",IF(AND($D57&lt;&gt;"",$E57&lt;&gt;"",$D57&lt;&gt;$E57,$F57&gt;0),"UYGUN","HATA"))</f>
        <v/>
      </c>
      <c r="K57" s="6" t="n"/>
      <c r="L57" s="6" t="n"/>
    </row>
    <row r="58">
      <c r="A58" s="6" t="n"/>
      <c r="B58" s="113">
        <f>IF($C58="","","V"&amp;TEXT(ROW()-6,"00000"))</f>
        <v/>
      </c>
      <c r="C58" s="220" t="n"/>
      <c r="D58" s="108" t="n"/>
      <c r="E58" s="108" t="n"/>
      <c r="F58" s="221" t="n"/>
      <c r="G58" s="109" t="n"/>
      <c r="H58" s="109" t="n"/>
      <c r="I58" s="109" t="n"/>
      <c r="J58" s="113">
        <f>IF($C58="","",IF(AND($D58&lt;&gt;"",$E58&lt;&gt;"",$D58&lt;&gt;$E58,$F58&gt;0),"UYGUN","HATA"))</f>
        <v/>
      </c>
      <c r="K58" s="6" t="n"/>
      <c r="L58" s="6" t="n"/>
    </row>
    <row r="59">
      <c r="A59" s="6" t="n"/>
      <c r="B59" s="113">
        <f>IF($C59="","","V"&amp;TEXT(ROW()-6,"00000"))</f>
        <v/>
      </c>
      <c r="C59" s="220" t="n"/>
      <c r="D59" s="108" t="n"/>
      <c r="E59" s="108" t="n"/>
      <c r="F59" s="221" t="n"/>
      <c r="G59" s="109" t="n"/>
      <c r="H59" s="109" t="n"/>
      <c r="I59" s="109" t="n"/>
      <c r="J59" s="113">
        <f>IF($C59="","",IF(AND($D59&lt;&gt;"",$E59&lt;&gt;"",$D59&lt;&gt;$E59,$F59&gt;0),"UYGUN","HATA"))</f>
        <v/>
      </c>
      <c r="K59" s="6" t="n"/>
      <c r="L59" s="6" t="n"/>
    </row>
    <row r="60">
      <c r="A60" s="6" t="n"/>
      <c r="B60" s="113">
        <f>IF($C60="","","V"&amp;TEXT(ROW()-6,"00000"))</f>
        <v/>
      </c>
      <c r="C60" s="220" t="n"/>
      <c r="D60" s="108" t="n"/>
      <c r="E60" s="108" t="n"/>
      <c r="F60" s="221" t="n"/>
      <c r="G60" s="109" t="n"/>
      <c r="H60" s="109" t="n"/>
      <c r="I60" s="109" t="n"/>
      <c r="J60" s="113">
        <f>IF($C60="","",IF(AND($D60&lt;&gt;"",$E60&lt;&gt;"",$D60&lt;&gt;$E60,$F60&gt;0),"UYGUN","HATA"))</f>
        <v/>
      </c>
      <c r="K60" s="6" t="n"/>
      <c r="L60" s="6" t="n"/>
    </row>
    <row r="61">
      <c r="A61" s="6" t="n"/>
      <c r="B61" s="113">
        <f>IF($C61="","","V"&amp;TEXT(ROW()-6,"00000"))</f>
        <v/>
      </c>
      <c r="C61" s="220" t="n"/>
      <c r="D61" s="108" t="n"/>
      <c r="E61" s="108" t="n"/>
      <c r="F61" s="221" t="n"/>
      <c r="G61" s="109" t="n"/>
      <c r="H61" s="109" t="n"/>
      <c r="I61" s="109" t="n"/>
      <c r="J61" s="113">
        <f>IF($C61="","",IF(AND($D61&lt;&gt;"",$E61&lt;&gt;"",$D61&lt;&gt;$E61,$F61&gt;0),"UYGUN","HATA"))</f>
        <v/>
      </c>
      <c r="K61" s="6" t="n"/>
      <c r="L61" s="6" t="n"/>
    </row>
    <row r="62">
      <c r="A62" s="6" t="n"/>
      <c r="B62" s="113">
        <f>IF($C62="","","V"&amp;TEXT(ROW()-6,"00000"))</f>
        <v/>
      </c>
      <c r="C62" s="220" t="n"/>
      <c r="D62" s="108" t="n"/>
      <c r="E62" s="108" t="n"/>
      <c r="F62" s="221" t="n"/>
      <c r="G62" s="109" t="n"/>
      <c r="H62" s="109" t="n"/>
      <c r="I62" s="109" t="n"/>
      <c r="J62" s="113">
        <f>IF($C62="","",IF(AND($D62&lt;&gt;"",$E62&lt;&gt;"",$D62&lt;&gt;$E62,$F62&gt;0),"UYGUN","HATA"))</f>
        <v/>
      </c>
      <c r="K62" s="6" t="n"/>
      <c r="L62" s="6" t="n"/>
    </row>
    <row r="63">
      <c r="A63" s="6" t="n"/>
      <c r="B63" s="113">
        <f>IF($C63="","","V"&amp;TEXT(ROW()-6,"00000"))</f>
        <v/>
      </c>
      <c r="C63" s="220" t="n"/>
      <c r="D63" s="108" t="n"/>
      <c r="E63" s="108" t="n"/>
      <c r="F63" s="221" t="n"/>
      <c r="G63" s="109" t="n"/>
      <c r="H63" s="109" t="n"/>
      <c r="I63" s="109" t="n"/>
      <c r="J63" s="113">
        <f>IF($C63="","",IF(AND($D63&lt;&gt;"",$E63&lt;&gt;"",$D63&lt;&gt;$E63,$F63&gt;0),"UYGUN","HATA"))</f>
        <v/>
      </c>
      <c r="K63" s="6" t="n"/>
      <c r="L63" s="6" t="n"/>
    </row>
    <row r="64">
      <c r="A64" s="6" t="n"/>
      <c r="B64" s="113">
        <f>IF($C64="","","V"&amp;TEXT(ROW()-6,"00000"))</f>
        <v/>
      </c>
      <c r="C64" s="220" t="n"/>
      <c r="D64" s="108" t="n"/>
      <c r="E64" s="108" t="n"/>
      <c r="F64" s="221" t="n"/>
      <c r="G64" s="109" t="n"/>
      <c r="H64" s="109" t="n"/>
      <c r="I64" s="109" t="n"/>
      <c r="J64" s="113">
        <f>IF($C64="","",IF(AND($D64&lt;&gt;"",$E64&lt;&gt;"",$D64&lt;&gt;$E64,$F64&gt;0),"UYGUN","HATA"))</f>
        <v/>
      </c>
      <c r="K64" s="6" t="n"/>
      <c r="L64" s="6" t="n"/>
    </row>
    <row r="65">
      <c r="A65" s="6" t="n"/>
      <c r="B65" s="113">
        <f>IF($C65="","","V"&amp;TEXT(ROW()-6,"00000"))</f>
        <v/>
      </c>
      <c r="C65" s="220" t="n"/>
      <c r="D65" s="108" t="n"/>
      <c r="E65" s="108" t="n"/>
      <c r="F65" s="221" t="n"/>
      <c r="G65" s="109" t="n"/>
      <c r="H65" s="109" t="n"/>
      <c r="I65" s="109" t="n"/>
      <c r="J65" s="113">
        <f>IF($C65="","",IF(AND($D65&lt;&gt;"",$E65&lt;&gt;"",$D65&lt;&gt;$E65,$F65&gt;0),"UYGUN","HATA"))</f>
        <v/>
      </c>
      <c r="K65" s="6" t="n"/>
      <c r="L65" s="6" t="n"/>
    </row>
    <row r="66">
      <c r="A66" s="6" t="n"/>
      <c r="B66" s="113">
        <f>IF($C66="","","V"&amp;TEXT(ROW()-6,"00000"))</f>
        <v/>
      </c>
      <c r="C66" s="220" t="n"/>
      <c r="D66" s="108" t="n"/>
      <c r="E66" s="108" t="n"/>
      <c r="F66" s="221" t="n"/>
      <c r="G66" s="109" t="n"/>
      <c r="H66" s="109" t="n"/>
      <c r="I66" s="109" t="n"/>
      <c r="J66" s="113">
        <f>IF($C66="","",IF(AND($D66&lt;&gt;"",$E66&lt;&gt;"",$D66&lt;&gt;$E66,$F66&gt;0),"UYGUN","HATA"))</f>
        <v/>
      </c>
      <c r="K66" s="6" t="n"/>
      <c r="L66" s="6" t="n"/>
    </row>
    <row r="67">
      <c r="A67" s="6" t="n"/>
      <c r="B67" s="113">
        <f>IF($C67="","","V"&amp;TEXT(ROW()-6,"00000"))</f>
        <v/>
      </c>
      <c r="C67" s="220" t="n"/>
      <c r="D67" s="108" t="n"/>
      <c r="E67" s="108" t="n"/>
      <c r="F67" s="221" t="n"/>
      <c r="G67" s="109" t="n"/>
      <c r="H67" s="109" t="n"/>
      <c r="I67" s="109" t="n"/>
      <c r="J67" s="113">
        <f>IF($C67="","",IF(AND($D67&lt;&gt;"",$E67&lt;&gt;"",$D67&lt;&gt;$E67,$F67&gt;0),"UYGUN","HATA"))</f>
        <v/>
      </c>
      <c r="K67" s="6" t="n"/>
      <c r="L67" s="6" t="n"/>
    </row>
    <row r="68">
      <c r="A68" s="6" t="n"/>
      <c r="B68" s="113">
        <f>IF($C68="","","V"&amp;TEXT(ROW()-6,"00000"))</f>
        <v/>
      </c>
      <c r="C68" s="220" t="n"/>
      <c r="D68" s="108" t="n"/>
      <c r="E68" s="108" t="n"/>
      <c r="F68" s="221" t="n"/>
      <c r="G68" s="109" t="n"/>
      <c r="H68" s="109" t="n"/>
      <c r="I68" s="109" t="n"/>
      <c r="J68" s="113">
        <f>IF($C68="","",IF(AND($D68&lt;&gt;"",$E68&lt;&gt;"",$D68&lt;&gt;$E68,$F68&gt;0),"UYGUN","HATA"))</f>
        <v/>
      </c>
      <c r="K68" s="6" t="n"/>
      <c r="L68" s="6" t="n"/>
    </row>
    <row r="69">
      <c r="A69" s="6" t="n"/>
      <c r="B69" s="113">
        <f>IF($C69="","","V"&amp;TEXT(ROW()-6,"00000"))</f>
        <v/>
      </c>
      <c r="C69" s="220" t="n"/>
      <c r="D69" s="108" t="n"/>
      <c r="E69" s="108" t="n"/>
      <c r="F69" s="221" t="n"/>
      <c r="G69" s="109" t="n"/>
      <c r="H69" s="109" t="n"/>
      <c r="I69" s="109" t="n"/>
      <c r="J69" s="113">
        <f>IF($C69="","",IF(AND($D69&lt;&gt;"",$E69&lt;&gt;"",$D69&lt;&gt;$E69,$F69&gt;0),"UYGUN","HATA"))</f>
        <v/>
      </c>
      <c r="K69" s="6" t="n"/>
      <c r="L69" s="6" t="n"/>
    </row>
    <row r="70">
      <c r="A70" s="6" t="n"/>
      <c r="B70" s="113">
        <f>IF($C70="","","V"&amp;TEXT(ROW()-6,"00000"))</f>
        <v/>
      </c>
      <c r="C70" s="220" t="n"/>
      <c r="D70" s="108" t="n"/>
      <c r="E70" s="108" t="n"/>
      <c r="F70" s="221" t="n"/>
      <c r="G70" s="109" t="n"/>
      <c r="H70" s="109" t="n"/>
      <c r="I70" s="109" t="n"/>
      <c r="J70" s="113">
        <f>IF($C70="","",IF(AND($D70&lt;&gt;"",$E70&lt;&gt;"",$D70&lt;&gt;$E70,$F70&gt;0),"UYGUN","HATA"))</f>
        <v/>
      </c>
      <c r="K70" s="6" t="n"/>
      <c r="L70" s="6" t="n"/>
    </row>
    <row r="71">
      <c r="A71" s="6" t="n"/>
      <c r="B71" s="113">
        <f>IF($C71="","","V"&amp;TEXT(ROW()-6,"00000"))</f>
        <v/>
      </c>
      <c r="C71" s="220" t="n"/>
      <c r="D71" s="108" t="n"/>
      <c r="E71" s="108" t="n"/>
      <c r="F71" s="221" t="n"/>
      <c r="G71" s="109" t="n"/>
      <c r="H71" s="109" t="n"/>
      <c r="I71" s="109" t="n"/>
      <c r="J71" s="113">
        <f>IF($C71="","",IF(AND($D71&lt;&gt;"",$E71&lt;&gt;"",$D71&lt;&gt;$E71,$F71&gt;0),"UYGUN","HATA"))</f>
        <v/>
      </c>
      <c r="K71" s="6" t="n"/>
      <c r="L71" s="6" t="n"/>
    </row>
    <row r="72">
      <c r="A72" s="6" t="n"/>
      <c r="B72" s="113">
        <f>IF($C72="","","V"&amp;TEXT(ROW()-6,"00000"))</f>
        <v/>
      </c>
      <c r="C72" s="220" t="n"/>
      <c r="D72" s="108" t="n"/>
      <c r="E72" s="108" t="n"/>
      <c r="F72" s="221" t="n"/>
      <c r="G72" s="109" t="n"/>
      <c r="H72" s="109" t="n"/>
      <c r="I72" s="109" t="n"/>
      <c r="J72" s="113">
        <f>IF($C72="","",IF(AND($D72&lt;&gt;"",$E72&lt;&gt;"",$D72&lt;&gt;$E72,$F72&gt;0),"UYGUN","HATA"))</f>
        <v/>
      </c>
      <c r="K72" s="6" t="n"/>
      <c r="L72" s="6" t="n"/>
    </row>
    <row r="73">
      <c r="A73" s="6" t="n"/>
      <c r="B73" s="113">
        <f>IF($C73="","","V"&amp;TEXT(ROW()-6,"00000"))</f>
        <v/>
      </c>
      <c r="C73" s="220" t="n"/>
      <c r="D73" s="108" t="n"/>
      <c r="E73" s="108" t="n"/>
      <c r="F73" s="221" t="n"/>
      <c r="G73" s="109" t="n"/>
      <c r="H73" s="109" t="n"/>
      <c r="I73" s="109" t="n"/>
      <c r="J73" s="113">
        <f>IF($C73="","",IF(AND($D73&lt;&gt;"",$E73&lt;&gt;"",$D73&lt;&gt;$E73,$F73&gt;0),"UYGUN","HATA"))</f>
        <v/>
      </c>
      <c r="K73" s="6" t="n"/>
      <c r="L73" s="6" t="n"/>
    </row>
    <row r="74">
      <c r="A74" s="6" t="n"/>
      <c r="B74" s="113">
        <f>IF($C74="","","V"&amp;TEXT(ROW()-6,"00000"))</f>
        <v/>
      </c>
      <c r="C74" s="220" t="n"/>
      <c r="D74" s="108" t="n"/>
      <c r="E74" s="108" t="n"/>
      <c r="F74" s="221" t="n"/>
      <c r="G74" s="109" t="n"/>
      <c r="H74" s="109" t="n"/>
      <c r="I74" s="109" t="n"/>
      <c r="J74" s="113">
        <f>IF($C74="","",IF(AND($D74&lt;&gt;"",$E74&lt;&gt;"",$D74&lt;&gt;$E74,$F74&gt;0),"UYGUN","HATA"))</f>
        <v/>
      </c>
      <c r="K74" s="6" t="n"/>
      <c r="L74" s="6" t="n"/>
    </row>
    <row r="75">
      <c r="A75" s="6" t="n"/>
      <c r="B75" s="113">
        <f>IF($C75="","","V"&amp;TEXT(ROW()-6,"00000"))</f>
        <v/>
      </c>
      <c r="C75" s="220" t="n"/>
      <c r="D75" s="108" t="n"/>
      <c r="E75" s="108" t="n"/>
      <c r="F75" s="221" t="n"/>
      <c r="G75" s="109" t="n"/>
      <c r="H75" s="109" t="n"/>
      <c r="I75" s="109" t="n"/>
      <c r="J75" s="113">
        <f>IF($C75="","",IF(AND($D75&lt;&gt;"",$E75&lt;&gt;"",$D75&lt;&gt;$E75,$F75&gt;0),"UYGUN","HATA"))</f>
        <v/>
      </c>
      <c r="K75" s="6" t="n"/>
      <c r="L75" s="6" t="n"/>
    </row>
    <row r="76">
      <c r="A76" s="6" t="n"/>
      <c r="B76" s="113">
        <f>IF($C76="","","V"&amp;TEXT(ROW()-6,"00000"))</f>
        <v/>
      </c>
      <c r="C76" s="220" t="n"/>
      <c r="D76" s="108" t="n"/>
      <c r="E76" s="108" t="n"/>
      <c r="F76" s="221" t="n"/>
      <c r="G76" s="109" t="n"/>
      <c r="H76" s="109" t="n"/>
      <c r="I76" s="109" t="n"/>
      <c r="J76" s="113">
        <f>IF($C76="","",IF(AND($D76&lt;&gt;"",$E76&lt;&gt;"",$D76&lt;&gt;$E76,$F76&gt;0),"UYGUN","HATA"))</f>
        <v/>
      </c>
      <c r="K76" s="6" t="n"/>
      <c r="L76" s="6" t="n"/>
    </row>
    <row r="77">
      <c r="A77" s="6" t="n"/>
      <c r="B77" s="113">
        <f>IF($C77="","","V"&amp;TEXT(ROW()-6,"00000"))</f>
        <v/>
      </c>
      <c r="C77" s="220" t="n"/>
      <c r="D77" s="108" t="n"/>
      <c r="E77" s="108" t="n"/>
      <c r="F77" s="221" t="n"/>
      <c r="G77" s="109" t="n"/>
      <c r="H77" s="109" t="n"/>
      <c r="I77" s="109" t="n"/>
      <c r="J77" s="113">
        <f>IF($C77="","",IF(AND($D77&lt;&gt;"",$E77&lt;&gt;"",$D77&lt;&gt;$E77,$F77&gt;0),"UYGUN","HATA"))</f>
        <v/>
      </c>
      <c r="K77" s="6" t="n"/>
      <c r="L77" s="6" t="n"/>
    </row>
    <row r="78">
      <c r="A78" s="6" t="n"/>
      <c r="B78" s="113">
        <f>IF($C78="","","V"&amp;TEXT(ROW()-6,"00000"))</f>
        <v/>
      </c>
      <c r="C78" s="220" t="n"/>
      <c r="D78" s="108" t="n"/>
      <c r="E78" s="108" t="n"/>
      <c r="F78" s="221" t="n"/>
      <c r="G78" s="109" t="n"/>
      <c r="H78" s="109" t="n"/>
      <c r="I78" s="109" t="n"/>
      <c r="J78" s="113">
        <f>IF($C78="","",IF(AND($D78&lt;&gt;"",$E78&lt;&gt;"",$D78&lt;&gt;$E78,$F78&gt;0),"UYGUN","HATA"))</f>
        <v/>
      </c>
      <c r="K78" s="6" t="n"/>
      <c r="L78" s="6" t="n"/>
    </row>
    <row r="79">
      <c r="A79" s="6" t="n"/>
      <c r="B79" s="113">
        <f>IF($C79="","","V"&amp;TEXT(ROW()-6,"00000"))</f>
        <v/>
      </c>
      <c r="C79" s="220" t="n"/>
      <c r="D79" s="108" t="n"/>
      <c r="E79" s="108" t="n"/>
      <c r="F79" s="221" t="n"/>
      <c r="G79" s="109" t="n"/>
      <c r="H79" s="109" t="n"/>
      <c r="I79" s="109" t="n"/>
      <c r="J79" s="113">
        <f>IF($C79="","",IF(AND($D79&lt;&gt;"",$E79&lt;&gt;"",$D79&lt;&gt;$E79,$F79&gt;0),"UYGUN","HATA"))</f>
        <v/>
      </c>
      <c r="K79" s="6" t="n"/>
      <c r="L79" s="6" t="n"/>
    </row>
    <row r="80">
      <c r="A80" s="6" t="n"/>
      <c r="B80" s="113">
        <f>IF($C80="","","V"&amp;TEXT(ROW()-6,"00000"))</f>
        <v/>
      </c>
      <c r="C80" s="220" t="n"/>
      <c r="D80" s="108" t="n"/>
      <c r="E80" s="108" t="n"/>
      <c r="F80" s="221" t="n"/>
      <c r="G80" s="109" t="n"/>
      <c r="H80" s="109" t="n"/>
      <c r="I80" s="109" t="n"/>
      <c r="J80" s="113">
        <f>IF($C80="","",IF(AND($D80&lt;&gt;"",$E80&lt;&gt;"",$D80&lt;&gt;$E80,$F80&gt;0),"UYGUN","HATA"))</f>
        <v/>
      </c>
      <c r="K80" s="6" t="n"/>
      <c r="L80" s="6" t="n"/>
    </row>
    <row r="81">
      <c r="A81" s="6" t="n"/>
      <c r="B81" s="113">
        <f>IF($C81="","","V"&amp;TEXT(ROW()-6,"00000"))</f>
        <v/>
      </c>
      <c r="C81" s="220" t="n"/>
      <c r="D81" s="108" t="n"/>
      <c r="E81" s="108" t="n"/>
      <c r="F81" s="221" t="n"/>
      <c r="G81" s="109" t="n"/>
      <c r="H81" s="109" t="n"/>
      <c r="I81" s="109" t="n"/>
      <c r="J81" s="113">
        <f>IF($C81="","",IF(AND($D81&lt;&gt;"",$E81&lt;&gt;"",$D81&lt;&gt;$E81,$F81&gt;0),"UYGUN","HATA"))</f>
        <v/>
      </c>
      <c r="K81" s="6" t="n"/>
      <c r="L81" s="6" t="n"/>
    </row>
    <row r="82">
      <c r="A82" s="6" t="n"/>
      <c r="B82" s="113">
        <f>IF($C82="","","V"&amp;TEXT(ROW()-6,"00000"))</f>
        <v/>
      </c>
      <c r="C82" s="220" t="n"/>
      <c r="D82" s="108" t="n"/>
      <c r="E82" s="108" t="n"/>
      <c r="F82" s="221" t="n"/>
      <c r="G82" s="109" t="n"/>
      <c r="H82" s="109" t="n"/>
      <c r="I82" s="109" t="n"/>
      <c r="J82" s="113">
        <f>IF($C82="","",IF(AND($D82&lt;&gt;"",$E82&lt;&gt;"",$D82&lt;&gt;$E82,$F82&gt;0),"UYGUN","HATA"))</f>
        <v/>
      </c>
      <c r="K82" s="6" t="n"/>
      <c r="L82" s="6" t="n"/>
    </row>
    <row r="83">
      <c r="A83" s="6" t="n"/>
      <c r="B83" s="113">
        <f>IF($C83="","","V"&amp;TEXT(ROW()-6,"00000"))</f>
        <v/>
      </c>
      <c r="C83" s="220" t="n"/>
      <c r="D83" s="108" t="n"/>
      <c r="E83" s="108" t="n"/>
      <c r="F83" s="221" t="n"/>
      <c r="G83" s="109" t="n"/>
      <c r="H83" s="109" t="n"/>
      <c r="I83" s="109" t="n"/>
      <c r="J83" s="113">
        <f>IF($C83="","",IF(AND($D83&lt;&gt;"",$E83&lt;&gt;"",$D83&lt;&gt;$E83,$F83&gt;0),"UYGUN","HATA"))</f>
        <v/>
      </c>
      <c r="K83" s="6" t="n"/>
      <c r="L83" s="6" t="n"/>
    </row>
    <row r="84">
      <c r="A84" s="6" t="n"/>
      <c r="B84" s="113">
        <f>IF($C84="","","V"&amp;TEXT(ROW()-6,"00000"))</f>
        <v/>
      </c>
      <c r="C84" s="220" t="n"/>
      <c r="D84" s="108" t="n"/>
      <c r="E84" s="108" t="n"/>
      <c r="F84" s="221" t="n"/>
      <c r="G84" s="109" t="n"/>
      <c r="H84" s="109" t="n"/>
      <c r="I84" s="109" t="n"/>
      <c r="J84" s="113">
        <f>IF($C84="","",IF(AND($D84&lt;&gt;"",$E84&lt;&gt;"",$D84&lt;&gt;$E84,$F84&gt;0),"UYGUN","HATA"))</f>
        <v/>
      </c>
      <c r="K84" s="6" t="n"/>
      <c r="L84" s="6" t="n"/>
    </row>
    <row r="85">
      <c r="A85" s="6" t="n"/>
      <c r="B85" s="113">
        <f>IF($C85="","","V"&amp;TEXT(ROW()-6,"00000"))</f>
        <v/>
      </c>
      <c r="C85" s="220" t="n"/>
      <c r="D85" s="108" t="n"/>
      <c r="E85" s="108" t="n"/>
      <c r="F85" s="221" t="n"/>
      <c r="G85" s="109" t="n"/>
      <c r="H85" s="109" t="n"/>
      <c r="I85" s="109" t="n"/>
      <c r="J85" s="113">
        <f>IF($C85="","",IF(AND($D85&lt;&gt;"",$E85&lt;&gt;"",$D85&lt;&gt;$E85,$F85&gt;0),"UYGUN","HATA"))</f>
        <v/>
      </c>
      <c r="K85" s="6" t="n"/>
      <c r="L85" s="6" t="n"/>
    </row>
    <row r="86">
      <c r="A86" s="6" t="n"/>
      <c r="B86" s="113">
        <f>IF($C86="","","V"&amp;TEXT(ROW()-6,"00000"))</f>
        <v/>
      </c>
      <c r="C86" s="220" t="n"/>
      <c r="D86" s="108" t="n"/>
      <c r="E86" s="108" t="n"/>
      <c r="F86" s="221" t="n"/>
      <c r="G86" s="109" t="n"/>
      <c r="H86" s="109" t="n"/>
      <c r="I86" s="109" t="n"/>
      <c r="J86" s="113">
        <f>IF($C86="","",IF(AND($D86&lt;&gt;"",$E86&lt;&gt;"",$D86&lt;&gt;$E86,$F86&gt;0),"UYGUN","HATA"))</f>
        <v/>
      </c>
      <c r="K86" s="6" t="n"/>
      <c r="L86" s="6" t="n"/>
    </row>
    <row r="87">
      <c r="A87" s="6" t="n"/>
      <c r="B87" s="113">
        <f>IF($C87="","","V"&amp;TEXT(ROW()-6,"00000"))</f>
        <v/>
      </c>
      <c r="C87" s="220" t="n"/>
      <c r="D87" s="108" t="n"/>
      <c r="E87" s="108" t="n"/>
      <c r="F87" s="221" t="n"/>
      <c r="G87" s="109" t="n"/>
      <c r="H87" s="109" t="n"/>
      <c r="I87" s="109" t="n"/>
      <c r="J87" s="113">
        <f>IF($C87="","",IF(AND($D87&lt;&gt;"",$E87&lt;&gt;"",$D87&lt;&gt;$E87,$F87&gt;0),"UYGUN","HATA"))</f>
        <v/>
      </c>
      <c r="K87" s="6" t="n"/>
      <c r="L87" s="6" t="n"/>
    </row>
    <row r="88">
      <c r="A88" s="6" t="n"/>
      <c r="B88" s="113">
        <f>IF($C88="","","V"&amp;TEXT(ROW()-6,"00000"))</f>
        <v/>
      </c>
      <c r="C88" s="220" t="n"/>
      <c r="D88" s="108" t="n"/>
      <c r="E88" s="108" t="n"/>
      <c r="F88" s="221" t="n"/>
      <c r="G88" s="109" t="n"/>
      <c r="H88" s="109" t="n"/>
      <c r="I88" s="109" t="n"/>
      <c r="J88" s="113">
        <f>IF($C88="","",IF(AND($D88&lt;&gt;"",$E88&lt;&gt;"",$D88&lt;&gt;$E88,$F88&gt;0),"UYGUN","HATA"))</f>
        <v/>
      </c>
      <c r="K88" s="6" t="n"/>
      <c r="L88" s="6" t="n"/>
    </row>
    <row r="89">
      <c r="A89" s="6" t="n"/>
      <c r="B89" s="113">
        <f>IF($C89="","","V"&amp;TEXT(ROW()-6,"00000"))</f>
        <v/>
      </c>
      <c r="C89" s="220" t="n"/>
      <c r="D89" s="108" t="n"/>
      <c r="E89" s="108" t="n"/>
      <c r="F89" s="221" t="n"/>
      <c r="G89" s="109" t="n"/>
      <c r="H89" s="109" t="n"/>
      <c r="I89" s="109" t="n"/>
      <c r="J89" s="113">
        <f>IF($C89="","",IF(AND($D89&lt;&gt;"",$E89&lt;&gt;"",$D89&lt;&gt;$E89,$F89&gt;0),"UYGUN","HATA"))</f>
        <v/>
      </c>
      <c r="K89" s="6" t="n"/>
      <c r="L89" s="6" t="n"/>
    </row>
    <row r="90">
      <c r="A90" s="6" t="n"/>
      <c r="B90" s="113">
        <f>IF($C90="","","V"&amp;TEXT(ROW()-6,"00000"))</f>
        <v/>
      </c>
      <c r="C90" s="220" t="n"/>
      <c r="D90" s="108" t="n"/>
      <c r="E90" s="108" t="n"/>
      <c r="F90" s="221" t="n"/>
      <c r="G90" s="109" t="n"/>
      <c r="H90" s="109" t="n"/>
      <c r="I90" s="109" t="n"/>
      <c r="J90" s="113">
        <f>IF($C90="","",IF(AND($D90&lt;&gt;"",$E90&lt;&gt;"",$D90&lt;&gt;$E90,$F90&gt;0),"UYGUN","HATA"))</f>
        <v/>
      </c>
      <c r="K90" s="6" t="n"/>
      <c r="L90" s="6" t="n"/>
    </row>
    <row r="91">
      <c r="A91" s="6" t="n"/>
      <c r="B91" s="113">
        <f>IF($C91="","","V"&amp;TEXT(ROW()-6,"00000"))</f>
        <v/>
      </c>
      <c r="C91" s="220" t="n"/>
      <c r="D91" s="108" t="n"/>
      <c r="E91" s="108" t="n"/>
      <c r="F91" s="221" t="n"/>
      <c r="G91" s="109" t="n"/>
      <c r="H91" s="109" t="n"/>
      <c r="I91" s="109" t="n"/>
      <c r="J91" s="113">
        <f>IF($C91="","",IF(AND($D91&lt;&gt;"",$E91&lt;&gt;"",$D91&lt;&gt;$E91,$F91&gt;0),"UYGUN","HATA"))</f>
        <v/>
      </c>
      <c r="K91" s="6" t="n"/>
      <c r="L91" s="6" t="n"/>
    </row>
    <row r="92">
      <c r="A92" s="6" t="n"/>
      <c r="B92" s="113">
        <f>IF($C92="","","V"&amp;TEXT(ROW()-6,"00000"))</f>
        <v/>
      </c>
      <c r="C92" s="220" t="n"/>
      <c r="D92" s="108" t="n"/>
      <c r="E92" s="108" t="n"/>
      <c r="F92" s="221" t="n"/>
      <c r="G92" s="109" t="n"/>
      <c r="H92" s="109" t="n"/>
      <c r="I92" s="109" t="n"/>
      <c r="J92" s="113">
        <f>IF($C92="","",IF(AND($D92&lt;&gt;"",$E92&lt;&gt;"",$D92&lt;&gt;$E92,$F92&gt;0),"UYGUN","HATA"))</f>
        <v/>
      </c>
      <c r="K92" s="6" t="n"/>
      <c r="L92" s="6" t="n"/>
    </row>
    <row r="93">
      <c r="A93" s="6" t="n"/>
      <c r="B93" s="113">
        <f>IF($C93="","","V"&amp;TEXT(ROW()-6,"00000"))</f>
        <v/>
      </c>
      <c r="C93" s="220" t="n"/>
      <c r="D93" s="108" t="n"/>
      <c r="E93" s="108" t="n"/>
      <c r="F93" s="221" t="n"/>
      <c r="G93" s="109" t="n"/>
      <c r="H93" s="109" t="n"/>
      <c r="I93" s="109" t="n"/>
      <c r="J93" s="113">
        <f>IF($C93="","",IF(AND($D93&lt;&gt;"",$E93&lt;&gt;"",$D93&lt;&gt;$E93,$F93&gt;0),"UYGUN","HATA"))</f>
        <v/>
      </c>
      <c r="K93" s="6" t="n"/>
      <c r="L93" s="6" t="n"/>
    </row>
    <row r="94">
      <c r="A94" s="6" t="n"/>
      <c r="B94" s="113">
        <f>IF($C94="","","V"&amp;TEXT(ROW()-6,"00000"))</f>
        <v/>
      </c>
      <c r="C94" s="220" t="n"/>
      <c r="D94" s="108" t="n"/>
      <c r="E94" s="108" t="n"/>
      <c r="F94" s="221" t="n"/>
      <c r="G94" s="109" t="n"/>
      <c r="H94" s="109" t="n"/>
      <c r="I94" s="109" t="n"/>
      <c r="J94" s="113">
        <f>IF($C94="","",IF(AND($D94&lt;&gt;"",$E94&lt;&gt;"",$D94&lt;&gt;$E94,$F94&gt;0),"UYGUN","HATA"))</f>
        <v/>
      </c>
      <c r="K94" s="6" t="n"/>
      <c r="L94" s="6" t="n"/>
    </row>
    <row r="95">
      <c r="A95" s="6" t="n"/>
      <c r="B95" s="113">
        <f>IF($C95="","","V"&amp;TEXT(ROW()-6,"00000"))</f>
        <v/>
      </c>
      <c r="C95" s="220" t="n"/>
      <c r="D95" s="108" t="n"/>
      <c r="E95" s="108" t="n"/>
      <c r="F95" s="221" t="n"/>
      <c r="G95" s="109" t="n"/>
      <c r="H95" s="109" t="n"/>
      <c r="I95" s="109" t="n"/>
      <c r="J95" s="113">
        <f>IF($C95="","",IF(AND($D95&lt;&gt;"",$E95&lt;&gt;"",$D95&lt;&gt;$E95,$F95&gt;0),"UYGUN","HATA"))</f>
        <v/>
      </c>
      <c r="K95" s="6" t="n"/>
      <c r="L95" s="6" t="n"/>
    </row>
    <row r="96">
      <c r="A96" s="6" t="n"/>
      <c r="B96" s="113">
        <f>IF($C96="","","V"&amp;TEXT(ROW()-6,"00000"))</f>
        <v/>
      </c>
      <c r="C96" s="220" t="n"/>
      <c r="D96" s="108" t="n"/>
      <c r="E96" s="108" t="n"/>
      <c r="F96" s="221" t="n"/>
      <c r="G96" s="109" t="n"/>
      <c r="H96" s="109" t="n"/>
      <c r="I96" s="109" t="n"/>
      <c r="J96" s="113">
        <f>IF($C96="","",IF(AND($D96&lt;&gt;"",$E96&lt;&gt;"",$D96&lt;&gt;$E96,$F96&gt;0),"UYGUN","HATA"))</f>
        <v/>
      </c>
      <c r="K96" s="6" t="n"/>
      <c r="L96" s="6" t="n"/>
    </row>
    <row r="97">
      <c r="A97" s="6" t="n"/>
      <c r="B97" s="113">
        <f>IF($C97="","","V"&amp;TEXT(ROW()-6,"00000"))</f>
        <v/>
      </c>
      <c r="C97" s="220" t="n"/>
      <c r="D97" s="108" t="n"/>
      <c r="E97" s="108" t="n"/>
      <c r="F97" s="221" t="n"/>
      <c r="G97" s="109" t="n"/>
      <c r="H97" s="109" t="n"/>
      <c r="I97" s="109" t="n"/>
      <c r="J97" s="113">
        <f>IF($C97="","",IF(AND($D97&lt;&gt;"",$E97&lt;&gt;"",$D97&lt;&gt;$E97,$F97&gt;0),"UYGUN","HATA"))</f>
        <v/>
      </c>
      <c r="K97" s="6" t="n"/>
      <c r="L97" s="6" t="n"/>
    </row>
    <row r="98">
      <c r="A98" s="6" t="n"/>
      <c r="B98" s="113">
        <f>IF($C98="","","V"&amp;TEXT(ROW()-6,"00000"))</f>
        <v/>
      </c>
      <c r="C98" s="220" t="n"/>
      <c r="D98" s="108" t="n"/>
      <c r="E98" s="108" t="n"/>
      <c r="F98" s="221" t="n"/>
      <c r="G98" s="109" t="n"/>
      <c r="H98" s="109" t="n"/>
      <c r="I98" s="109" t="n"/>
      <c r="J98" s="113">
        <f>IF($C98="","",IF(AND($D98&lt;&gt;"",$E98&lt;&gt;"",$D98&lt;&gt;$E98,$F98&gt;0),"UYGUN","HATA"))</f>
        <v/>
      </c>
      <c r="K98" s="6" t="n"/>
      <c r="L98" s="6" t="n"/>
    </row>
    <row r="99">
      <c r="A99" s="6" t="n"/>
      <c r="B99" s="113">
        <f>IF($C99="","","V"&amp;TEXT(ROW()-6,"00000"))</f>
        <v/>
      </c>
      <c r="C99" s="220" t="n"/>
      <c r="D99" s="108" t="n"/>
      <c r="E99" s="108" t="n"/>
      <c r="F99" s="221" t="n"/>
      <c r="G99" s="109" t="n"/>
      <c r="H99" s="109" t="n"/>
      <c r="I99" s="109" t="n"/>
      <c r="J99" s="113">
        <f>IF($C99="","",IF(AND($D99&lt;&gt;"",$E99&lt;&gt;"",$D99&lt;&gt;$E99,$F99&gt;0),"UYGUN","HATA"))</f>
        <v/>
      </c>
      <c r="K99" s="6" t="n"/>
      <c r="L99" s="6" t="n"/>
    </row>
    <row r="100">
      <c r="A100" s="6" t="n"/>
      <c r="B100" s="113">
        <f>IF($C100="","","V"&amp;TEXT(ROW()-6,"00000"))</f>
        <v/>
      </c>
      <c r="C100" s="220" t="n"/>
      <c r="D100" s="108" t="n"/>
      <c r="E100" s="108" t="n"/>
      <c r="F100" s="221" t="n"/>
      <c r="G100" s="109" t="n"/>
      <c r="H100" s="109" t="n"/>
      <c r="I100" s="109" t="n"/>
      <c r="J100" s="113">
        <f>IF($C100="","",IF(AND($D100&lt;&gt;"",$E100&lt;&gt;"",$D100&lt;&gt;$E100,$F100&gt;0),"UYGUN","HATA"))</f>
        <v/>
      </c>
      <c r="K100" s="6" t="n"/>
      <c r="L100" s="6" t="n"/>
    </row>
    <row r="101">
      <c r="A101" s="6" t="n"/>
      <c r="B101" s="113">
        <f>IF($C101="","","V"&amp;TEXT(ROW()-6,"00000"))</f>
        <v/>
      </c>
      <c r="C101" s="220" t="n"/>
      <c r="D101" s="108" t="n"/>
      <c r="E101" s="108" t="n"/>
      <c r="F101" s="221" t="n"/>
      <c r="G101" s="109" t="n"/>
      <c r="H101" s="109" t="n"/>
      <c r="I101" s="109" t="n"/>
      <c r="J101" s="113">
        <f>IF($C101="","",IF(AND($D101&lt;&gt;"",$E101&lt;&gt;"",$D101&lt;&gt;$E101,$F101&gt;0),"UYGUN","HATA"))</f>
        <v/>
      </c>
      <c r="K101" s="6" t="n"/>
      <c r="L101" s="6" t="n"/>
    </row>
    <row r="102">
      <c r="A102" s="6" t="n"/>
      <c r="B102" s="113">
        <f>IF($C102="","","V"&amp;TEXT(ROW()-6,"00000"))</f>
        <v/>
      </c>
      <c r="C102" s="220" t="n"/>
      <c r="D102" s="108" t="n"/>
      <c r="E102" s="108" t="n"/>
      <c r="F102" s="221" t="n"/>
      <c r="G102" s="109" t="n"/>
      <c r="H102" s="109" t="n"/>
      <c r="I102" s="109" t="n"/>
      <c r="J102" s="113">
        <f>IF($C102="","",IF(AND($D102&lt;&gt;"",$E102&lt;&gt;"",$D102&lt;&gt;$E102,$F102&gt;0),"UYGUN","HATA"))</f>
        <v/>
      </c>
      <c r="K102" s="6" t="n"/>
      <c r="L102" s="6" t="n"/>
    </row>
    <row r="103">
      <c r="A103" s="6" t="n"/>
      <c r="B103" s="113">
        <f>IF($C103="","","V"&amp;TEXT(ROW()-6,"00000"))</f>
        <v/>
      </c>
      <c r="C103" s="220" t="n"/>
      <c r="D103" s="108" t="n"/>
      <c r="E103" s="108" t="n"/>
      <c r="F103" s="221" t="n"/>
      <c r="G103" s="109" t="n"/>
      <c r="H103" s="109" t="n"/>
      <c r="I103" s="109" t="n"/>
      <c r="J103" s="113">
        <f>IF($C103="","",IF(AND($D103&lt;&gt;"",$E103&lt;&gt;"",$D103&lt;&gt;$E103,$F103&gt;0),"UYGUN","HATA"))</f>
        <v/>
      </c>
      <c r="K103" s="6" t="n"/>
      <c r="L103" s="6" t="n"/>
    </row>
    <row r="104">
      <c r="A104" s="6" t="n"/>
      <c r="B104" s="113">
        <f>IF($C104="","","V"&amp;TEXT(ROW()-6,"00000"))</f>
        <v/>
      </c>
      <c r="C104" s="220" t="n"/>
      <c r="D104" s="108" t="n"/>
      <c r="E104" s="108" t="n"/>
      <c r="F104" s="221" t="n"/>
      <c r="G104" s="109" t="n"/>
      <c r="H104" s="109" t="n"/>
      <c r="I104" s="109" t="n"/>
      <c r="J104" s="113">
        <f>IF($C104="","",IF(AND($D104&lt;&gt;"",$E104&lt;&gt;"",$D104&lt;&gt;$E104,$F104&gt;0),"UYGUN","HATA"))</f>
        <v/>
      </c>
      <c r="K104" s="6" t="n"/>
      <c r="L104" s="6" t="n"/>
    </row>
    <row r="105">
      <c r="A105" s="6" t="n"/>
      <c r="B105" s="113">
        <f>IF($C105="","","V"&amp;TEXT(ROW()-6,"00000"))</f>
        <v/>
      </c>
      <c r="C105" s="220" t="n"/>
      <c r="D105" s="108" t="n"/>
      <c r="E105" s="108" t="n"/>
      <c r="F105" s="221" t="n"/>
      <c r="G105" s="109" t="n"/>
      <c r="H105" s="109" t="n"/>
      <c r="I105" s="109" t="n"/>
      <c r="J105" s="113">
        <f>IF($C105="","",IF(AND($D105&lt;&gt;"",$E105&lt;&gt;"",$D105&lt;&gt;$E105,$F105&gt;0),"UYGUN","HATA"))</f>
        <v/>
      </c>
      <c r="K105" s="6" t="n"/>
      <c r="L105" s="6" t="n"/>
    </row>
    <row r="106">
      <c r="A106" s="6" t="n"/>
      <c r="B106" s="113">
        <f>IF($C106="","","V"&amp;TEXT(ROW()-6,"00000"))</f>
        <v/>
      </c>
      <c r="C106" s="220" t="n"/>
      <c r="D106" s="108" t="n"/>
      <c r="E106" s="108" t="n"/>
      <c r="F106" s="221" t="n"/>
      <c r="G106" s="109" t="n"/>
      <c r="H106" s="109" t="n"/>
      <c r="I106" s="109" t="n"/>
      <c r="J106" s="113">
        <f>IF($C106="","",IF(AND($D106&lt;&gt;"",$E106&lt;&gt;"",$D106&lt;&gt;$E106,$F106&gt;0),"UYGUN","HATA"))</f>
        <v/>
      </c>
      <c r="K106" s="6" t="n"/>
      <c r="L106" s="6" t="n"/>
    </row>
    <row r="107">
      <c r="A107" s="6" t="n"/>
      <c r="B107" s="113">
        <f>IF($C107="","","V"&amp;TEXT(ROW()-6,"00000"))</f>
        <v/>
      </c>
      <c r="C107" s="220" t="n"/>
      <c r="D107" s="108" t="n"/>
      <c r="E107" s="108" t="n"/>
      <c r="F107" s="221" t="n"/>
      <c r="G107" s="109" t="n"/>
      <c r="H107" s="109" t="n"/>
      <c r="I107" s="109" t="n"/>
      <c r="J107" s="113">
        <f>IF($C107="","",IF(AND($D107&lt;&gt;"",$E107&lt;&gt;"",$D107&lt;&gt;$E107,$F107&gt;0),"UYGUN","HATA"))</f>
        <v/>
      </c>
      <c r="K107" s="6" t="n"/>
      <c r="L107" s="6" t="n"/>
    </row>
    <row r="108">
      <c r="A108" s="6" t="n"/>
      <c r="B108" s="113">
        <f>IF($C108="","","V"&amp;TEXT(ROW()-6,"00000"))</f>
        <v/>
      </c>
      <c r="C108" s="220" t="n"/>
      <c r="D108" s="108" t="n"/>
      <c r="E108" s="108" t="n"/>
      <c r="F108" s="221" t="n"/>
      <c r="G108" s="109" t="n"/>
      <c r="H108" s="109" t="n"/>
      <c r="I108" s="109" t="n"/>
      <c r="J108" s="113">
        <f>IF($C108="","",IF(AND($D108&lt;&gt;"",$E108&lt;&gt;"",$D108&lt;&gt;$E108,$F108&gt;0),"UYGUN","HATA"))</f>
        <v/>
      </c>
      <c r="K108" s="6" t="n"/>
      <c r="L108" s="6" t="n"/>
    </row>
    <row r="109">
      <c r="A109" s="6" t="n"/>
      <c r="B109" s="113">
        <f>IF($C109="","","V"&amp;TEXT(ROW()-6,"00000"))</f>
        <v/>
      </c>
      <c r="C109" s="220" t="n"/>
      <c r="D109" s="108" t="n"/>
      <c r="E109" s="108" t="n"/>
      <c r="F109" s="221" t="n"/>
      <c r="G109" s="109" t="n"/>
      <c r="H109" s="109" t="n"/>
      <c r="I109" s="109" t="n"/>
      <c r="J109" s="113">
        <f>IF($C109="","",IF(AND($D109&lt;&gt;"",$E109&lt;&gt;"",$D109&lt;&gt;$E109,$F109&gt;0),"UYGUN","HATA"))</f>
        <v/>
      </c>
      <c r="K109" s="6" t="n"/>
      <c r="L109" s="6" t="n"/>
    </row>
    <row r="110">
      <c r="A110" s="6" t="n"/>
      <c r="B110" s="113">
        <f>IF($C110="","","V"&amp;TEXT(ROW()-6,"00000"))</f>
        <v/>
      </c>
      <c r="C110" s="220" t="n"/>
      <c r="D110" s="108" t="n"/>
      <c r="E110" s="108" t="n"/>
      <c r="F110" s="221" t="n"/>
      <c r="G110" s="109" t="n"/>
      <c r="H110" s="109" t="n"/>
      <c r="I110" s="109" t="n"/>
      <c r="J110" s="113">
        <f>IF($C110="","",IF(AND($D110&lt;&gt;"",$E110&lt;&gt;"",$D110&lt;&gt;$E110,$F110&gt;0),"UYGUN","HATA"))</f>
        <v/>
      </c>
      <c r="K110" s="6" t="n"/>
      <c r="L110" s="6" t="n"/>
    </row>
    <row r="111">
      <c r="A111" s="6" t="n"/>
      <c r="B111" s="113">
        <f>IF($C111="","","V"&amp;TEXT(ROW()-6,"00000"))</f>
        <v/>
      </c>
      <c r="C111" s="220" t="n"/>
      <c r="D111" s="108" t="n"/>
      <c r="E111" s="108" t="n"/>
      <c r="F111" s="221" t="n"/>
      <c r="G111" s="109" t="n"/>
      <c r="H111" s="109" t="n"/>
      <c r="I111" s="109" t="n"/>
      <c r="J111" s="113">
        <f>IF($C111="","",IF(AND($D111&lt;&gt;"",$E111&lt;&gt;"",$D111&lt;&gt;$E111,$F111&gt;0),"UYGUN","HATA"))</f>
        <v/>
      </c>
      <c r="K111" s="6" t="n"/>
      <c r="L111" s="6" t="n"/>
    </row>
    <row r="112">
      <c r="A112" s="6" t="n"/>
      <c r="B112" s="113">
        <f>IF($C112="","","V"&amp;TEXT(ROW()-6,"00000"))</f>
        <v/>
      </c>
      <c r="C112" s="220" t="n"/>
      <c r="D112" s="108" t="n"/>
      <c r="E112" s="108" t="n"/>
      <c r="F112" s="221" t="n"/>
      <c r="G112" s="109" t="n"/>
      <c r="H112" s="109" t="n"/>
      <c r="I112" s="109" t="n"/>
      <c r="J112" s="113">
        <f>IF($C112="","",IF(AND($D112&lt;&gt;"",$E112&lt;&gt;"",$D112&lt;&gt;$E112,$F112&gt;0),"UYGUN","HATA"))</f>
        <v/>
      </c>
      <c r="K112" s="6" t="n"/>
      <c r="L112" s="6" t="n"/>
    </row>
    <row r="113">
      <c r="A113" s="6" t="n"/>
      <c r="B113" s="113">
        <f>IF($C113="","","V"&amp;TEXT(ROW()-6,"00000"))</f>
        <v/>
      </c>
      <c r="C113" s="220" t="n"/>
      <c r="D113" s="108" t="n"/>
      <c r="E113" s="108" t="n"/>
      <c r="F113" s="221" t="n"/>
      <c r="G113" s="109" t="n"/>
      <c r="H113" s="109" t="n"/>
      <c r="I113" s="109" t="n"/>
      <c r="J113" s="113">
        <f>IF($C113="","",IF(AND($D113&lt;&gt;"",$E113&lt;&gt;"",$D113&lt;&gt;$E113,$F113&gt;0),"UYGUN","HATA"))</f>
        <v/>
      </c>
      <c r="K113" s="6" t="n"/>
      <c r="L113" s="6" t="n"/>
    </row>
    <row r="114">
      <c r="A114" s="6" t="n"/>
      <c r="B114" s="113">
        <f>IF($C114="","","V"&amp;TEXT(ROW()-6,"00000"))</f>
        <v/>
      </c>
      <c r="C114" s="220" t="n"/>
      <c r="D114" s="108" t="n"/>
      <c r="E114" s="108" t="n"/>
      <c r="F114" s="221" t="n"/>
      <c r="G114" s="109" t="n"/>
      <c r="H114" s="109" t="n"/>
      <c r="I114" s="109" t="n"/>
      <c r="J114" s="113">
        <f>IF($C114="","",IF(AND($D114&lt;&gt;"",$E114&lt;&gt;"",$D114&lt;&gt;$E114,$F114&gt;0),"UYGUN","HATA"))</f>
        <v/>
      </c>
      <c r="K114" s="6" t="n"/>
      <c r="L114" s="6" t="n"/>
    </row>
    <row r="115">
      <c r="A115" s="6" t="n"/>
      <c r="B115" s="113">
        <f>IF($C115="","","V"&amp;TEXT(ROW()-6,"00000"))</f>
        <v/>
      </c>
      <c r="C115" s="220" t="n"/>
      <c r="D115" s="108" t="n"/>
      <c r="E115" s="108" t="n"/>
      <c r="F115" s="221" t="n"/>
      <c r="G115" s="109" t="n"/>
      <c r="H115" s="109" t="n"/>
      <c r="I115" s="109" t="n"/>
      <c r="J115" s="113">
        <f>IF($C115="","",IF(AND($D115&lt;&gt;"",$E115&lt;&gt;"",$D115&lt;&gt;$E115,$F115&gt;0),"UYGUN","HATA"))</f>
        <v/>
      </c>
      <c r="K115" s="6" t="n"/>
      <c r="L115" s="6" t="n"/>
    </row>
    <row r="116">
      <c r="A116" s="6" t="n"/>
      <c r="B116" s="113">
        <f>IF($C116="","","V"&amp;TEXT(ROW()-6,"00000"))</f>
        <v/>
      </c>
      <c r="C116" s="220" t="n"/>
      <c r="D116" s="108" t="n"/>
      <c r="E116" s="108" t="n"/>
      <c r="F116" s="221" t="n"/>
      <c r="G116" s="109" t="n"/>
      <c r="H116" s="109" t="n"/>
      <c r="I116" s="109" t="n"/>
      <c r="J116" s="113">
        <f>IF($C116="","",IF(AND($D116&lt;&gt;"",$E116&lt;&gt;"",$D116&lt;&gt;$E116,$F116&gt;0),"UYGUN","HATA"))</f>
        <v/>
      </c>
      <c r="K116" s="6" t="n"/>
      <c r="L116" s="6" t="n"/>
    </row>
    <row r="117">
      <c r="A117" s="6" t="n"/>
      <c r="B117" s="113">
        <f>IF($C117="","","V"&amp;TEXT(ROW()-6,"00000"))</f>
        <v/>
      </c>
      <c r="C117" s="220" t="n"/>
      <c r="D117" s="108" t="n"/>
      <c r="E117" s="108" t="n"/>
      <c r="F117" s="221" t="n"/>
      <c r="G117" s="109" t="n"/>
      <c r="H117" s="109" t="n"/>
      <c r="I117" s="109" t="n"/>
      <c r="J117" s="113">
        <f>IF($C117="","",IF(AND($D117&lt;&gt;"",$E117&lt;&gt;"",$D117&lt;&gt;$E117,$F117&gt;0),"UYGUN","HATA"))</f>
        <v/>
      </c>
      <c r="K117" s="6" t="n"/>
      <c r="L117" s="6" t="n"/>
    </row>
    <row r="118">
      <c r="A118" s="6" t="n"/>
      <c r="B118" s="113">
        <f>IF($C118="","","V"&amp;TEXT(ROW()-6,"00000"))</f>
        <v/>
      </c>
      <c r="C118" s="220" t="n"/>
      <c r="D118" s="108" t="n"/>
      <c r="E118" s="108" t="n"/>
      <c r="F118" s="221" t="n"/>
      <c r="G118" s="109" t="n"/>
      <c r="H118" s="109" t="n"/>
      <c r="I118" s="109" t="n"/>
      <c r="J118" s="113">
        <f>IF($C118="","",IF(AND($D118&lt;&gt;"",$E118&lt;&gt;"",$D118&lt;&gt;$E118,$F118&gt;0),"UYGUN","HATA"))</f>
        <v/>
      </c>
      <c r="K118" s="6" t="n"/>
      <c r="L118" s="6" t="n"/>
    </row>
    <row r="119">
      <c r="A119" s="6" t="n"/>
      <c r="B119" s="113">
        <f>IF($C119="","","V"&amp;TEXT(ROW()-6,"00000"))</f>
        <v/>
      </c>
      <c r="C119" s="220" t="n"/>
      <c r="D119" s="108" t="n"/>
      <c r="E119" s="108" t="n"/>
      <c r="F119" s="221" t="n"/>
      <c r="G119" s="109" t="n"/>
      <c r="H119" s="109" t="n"/>
      <c r="I119" s="109" t="n"/>
      <c r="J119" s="113">
        <f>IF($C119="","",IF(AND($D119&lt;&gt;"",$E119&lt;&gt;"",$D119&lt;&gt;$E119,$F119&gt;0),"UYGUN","HATA"))</f>
        <v/>
      </c>
      <c r="K119" s="6" t="n"/>
      <c r="L119" s="6" t="n"/>
    </row>
    <row r="120">
      <c r="A120" s="6" t="n"/>
      <c r="B120" s="113">
        <f>IF($C120="","","V"&amp;TEXT(ROW()-6,"00000"))</f>
        <v/>
      </c>
      <c r="C120" s="220" t="n"/>
      <c r="D120" s="108" t="n"/>
      <c r="E120" s="108" t="n"/>
      <c r="F120" s="221" t="n"/>
      <c r="G120" s="109" t="n"/>
      <c r="H120" s="109" t="n"/>
      <c r="I120" s="109" t="n"/>
      <c r="J120" s="113">
        <f>IF($C120="","",IF(AND($D120&lt;&gt;"",$E120&lt;&gt;"",$D120&lt;&gt;$E120,$F120&gt;0),"UYGUN","HATA"))</f>
        <v/>
      </c>
      <c r="K120" s="6" t="n"/>
      <c r="L120" s="6" t="n"/>
    </row>
    <row r="121">
      <c r="A121" s="6" t="n"/>
      <c r="B121" s="113">
        <f>IF($C121="","","V"&amp;TEXT(ROW()-6,"00000"))</f>
        <v/>
      </c>
      <c r="C121" s="220" t="n"/>
      <c r="D121" s="108" t="n"/>
      <c r="E121" s="108" t="n"/>
      <c r="F121" s="221" t="n"/>
      <c r="G121" s="109" t="n"/>
      <c r="H121" s="109" t="n"/>
      <c r="I121" s="109" t="n"/>
      <c r="J121" s="113">
        <f>IF($C121="","",IF(AND($D121&lt;&gt;"",$E121&lt;&gt;"",$D121&lt;&gt;$E121,$F121&gt;0),"UYGUN","HATA"))</f>
        <v/>
      </c>
      <c r="K121" s="6" t="n"/>
      <c r="L121" s="6" t="n"/>
    </row>
    <row r="122">
      <c r="A122" s="6" t="n"/>
      <c r="B122" s="113">
        <f>IF($C122="","","V"&amp;TEXT(ROW()-6,"00000"))</f>
        <v/>
      </c>
      <c r="C122" s="220" t="n"/>
      <c r="D122" s="108" t="n"/>
      <c r="E122" s="108" t="n"/>
      <c r="F122" s="221" t="n"/>
      <c r="G122" s="109" t="n"/>
      <c r="H122" s="109" t="n"/>
      <c r="I122" s="109" t="n"/>
      <c r="J122" s="113">
        <f>IF($C122="","",IF(AND($D122&lt;&gt;"",$E122&lt;&gt;"",$D122&lt;&gt;$E122,$F122&gt;0),"UYGUN","HATA"))</f>
        <v/>
      </c>
      <c r="K122" s="6" t="n"/>
      <c r="L122" s="6" t="n"/>
    </row>
    <row r="123">
      <c r="A123" s="6" t="n"/>
      <c r="B123" s="113">
        <f>IF($C123="","","V"&amp;TEXT(ROW()-6,"00000"))</f>
        <v/>
      </c>
      <c r="C123" s="220" t="n"/>
      <c r="D123" s="108" t="n"/>
      <c r="E123" s="108" t="n"/>
      <c r="F123" s="221" t="n"/>
      <c r="G123" s="109" t="n"/>
      <c r="H123" s="109" t="n"/>
      <c r="I123" s="109" t="n"/>
      <c r="J123" s="113">
        <f>IF($C123="","",IF(AND($D123&lt;&gt;"",$E123&lt;&gt;"",$D123&lt;&gt;$E123,$F123&gt;0),"UYGUN","HATA"))</f>
        <v/>
      </c>
      <c r="K123" s="6" t="n"/>
      <c r="L123" s="6" t="n"/>
    </row>
    <row r="124">
      <c r="A124" s="6" t="n"/>
      <c r="B124" s="113">
        <f>IF($C124="","","V"&amp;TEXT(ROW()-6,"00000"))</f>
        <v/>
      </c>
      <c r="C124" s="220" t="n"/>
      <c r="D124" s="108" t="n"/>
      <c r="E124" s="108" t="n"/>
      <c r="F124" s="221" t="n"/>
      <c r="G124" s="109" t="n"/>
      <c r="H124" s="109" t="n"/>
      <c r="I124" s="109" t="n"/>
      <c r="J124" s="113">
        <f>IF($C124="","",IF(AND($D124&lt;&gt;"",$E124&lt;&gt;"",$D124&lt;&gt;$E124,$F124&gt;0),"UYGUN","HATA"))</f>
        <v/>
      </c>
      <c r="K124" s="6" t="n"/>
      <c r="L124" s="6" t="n"/>
    </row>
    <row r="125">
      <c r="A125" s="6" t="n"/>
      <c r="B125" s="113">
        <f>IF($C125="","","V"&amp;TEXT(ROW()-6,"00000"))</f>
        <v/>
      </c>
      <c r="C125" s="220" t="n"/>
      <c r="D125" s="108" t="n"/>
      <c r="E125" s="108" t="n"/>
      <c r="F125" s="221" t="n"/>
      <c r="G125" s="109" t="n"/>
      <c r="H125" s="109" t="n"/>
      <c r="I125" s="109" t="n"/>
      <c r="J125" s="113">
        <f>IF($C125="","",IF(AND($D125&lt;&gt;"",$E125&lt;&gt;"",$D125&lt;&gt;$E125,$F125&gt;0),"UYGUN","HATA"))</f>
        <v/>
      </c>
      <c r="K125" s="6" t="n"/>
      <c r="L125" s="6" t="n"/>
    </row>
    <row r="126">
      <c r="A126" s="6" t="n"/>
      <c r="B126" s="113">
        <f>IF($C126="","","V"&amp;TEXT(ROW()-6,"00000"))</f>
        <v/>
      </c>
      <c r="C126" s="220" t="n"/>
      <c r="D126" s="108" t="n"/>
      <c r="E126" s="108" t="n"/>
      <c r="F126" s="221" t="n"/>
      <c r="G126" s="109" t="n"/>
      <c r="H126" s="109" t="n"/>
      <c r="I126" s="109" t="n"/>
      <c r="J126" s="113">
        <f>IF($C126="","",IF(AND($D126&lt;&gt;"",$E126&lt;&gt;"",$D126&lt;&gt;$E126,$F126&gt;0),"UYGUN","HATA"))</f>
        <v/>
      </c>
      <c r="K126" s="6" t="n"/>
      <c r="L126" s="6" t="n"/>
    </row>
    <row r="127">
      <c r="A127" s="6" t="n"/>
      <c r="B127" s="113">
        <f>IF($C127="","","V"&amp;TEXT(ROW()-6,"00000"))</f>
        <v/>
      </c>
      <c r="C127" s="220" t="n"/>
      <c r="D127" s="108" t="n"/>
      <c r="E127" s="108" t="n"/>
      <c r="F127" s="221" t="n"/>
      <c r="G127" s="109" t="n"/>
      <c r="H127" s="109" t="n"/>
      <c r="I127" s="109" t="n"/>
      <c r="J127" s="113">
        <f>IF($C127="","",IF(AND($D127&lt;&gt;"",$E127&lt;&gt;"",$D127&lt;&gt;$E127,$F127&gt;0),"UYGUN","HATA"))</f>
        <v/>
      </c>
      <c r="K127" s="6" t="n"/>
      <c r="L127" s="6" t="n"/>
    </row>
    <row r="128">
      <c r="A128" s="6" t="n"/>
      <c r="B128" s="113">
        <f>IF($C128="","","V"&amp;TEXT(ROW()-6,"00000"))</f>
        <v/>
      </c>
      <c r="C128" s="220" t="n"/>
      <c r="D128" s="108" t="n"/>
      <c r="E128" s="108" t="n"/>
      <c r="F128" s="221" t="n"/>
      <c r="G128" s="109" t="n"/>
      <c r="H128" s="109" t="n"/>
      <c r="I128" s="109" t="n"/>
      <c r="J128" s="113">
        <f>IF($C128="","",IF(AND($D128&lt;&gt;"",$E128&lt;&gt;"",$D128&lt;&gt;$E128,$F128&gt;0),"UYGUN","HATA"))</f>
        <v/>
      </c>
      <c r="K128" s="6" t="n"/>
      <c r="L128" s="6" t="n"/>
    </row>
    <row r="129">
      <c r="A129" s="6" t="n"/>
      <c r="B129" s="113">
        <f>IF($C129="","","V"&amp;TEXT(ROW()-6,"00000"))</f>
        <v/>
      </c>
      <c r="C129" s="220" t="n"/>
      <c r="D129" s="108" t="n"/>
      <c r="E129" s="108" t="n"/>
      <c r="F129" s="221" t="n"/>
      <c r="G129" s="109" t="n"/>
      <c r="H129" s="109" t="n"/>
      <c r="I129" s="109" t="n"/>
      <c r="J129" s="113">
        <f>IF($C129="","",IF(AND($D129&lt;&gt;"",$E129&lt;&gt;"",$D129&lt;&gt;$E129,$F129&gt;0),"UYGUN","HATA"))</f>
        <v/>
      </c>
      <c r="K129" s="6" t="n"/>
      <c r="L129" s="6" t="n"/>
    </row>
    <row r="130">
      <c r="A130" s="6" t="n"/>
      <c r="B130" s="113">
        <f>IF($C130="","","V"&amp;TEXT(ROW()-6,"00000"))</f>
        <v/>
      </c>
      <c r="C130" s="220" t="n"/>
      <c r="D130" s="108" t="n"/>
      <c r="E130" s="108" t="n"/>
      <c r="F130" s="221" t="n"/>
      <c r="G130" s="109" t="n"/>
      <c r="H130" s="109" t="n"/>
      <c r="I130" s="109" t="n"/>
      <c r="J130" s="113">
        <f>IF($C130="","",IF(AND($D130&lt;&gt;"",$E130&lt;&gt;"",$D130&lt;&gt;$E130,$F130&gt;0),"UYGUN","HATA"))</f>
        <v/>
      </c>
      <c r="K130" s="6" t="n"/>
      <c r="L130" s="6" t="n"/>
    </row>
    <row r="131">
      <c r="A131" s="6" t="n"/>
      <c r="B131" s="113">
        <f>IF($C131="","","V"&amp;TEXT(ROW()-6,"00000"))</f>
        <v/>
      </c>
      <c r="C131" s="220" t="n"/>
      <c r="D131" s="108" t="n"/>
      <c r="E131" s="108" t="n"/>
      <c r="F131" s="221" t="n"/>
      <c r="G131" s="109" t="n"/>
      <c r="H131" s="109" t="n"/>
      <c r="I131" s="109" t="n"/>
      <c r="J131" s="113">
        <f>IF($C131="","",IF(AND($D131&lt;&gt;"",$E131&lt;&gt;"",$D131&lt;&gt;$E131,$F131&gt;0),"UYGUN","HATA"))</f>
        <v/>
      </c>
      <c r="K131" s="6" t="n"/>
      <c r="L131" s="6" t="n"/>
    </row>
    <row r="132">
      <c r="A132" s="6" t="n"/>
      <c r="B132" s="113">
        <f>IF($C132="","","V"&amp;TEXT(ROW()-6,"00000"))</f>
        <v/>
      </c>
      <c r="C132" s="220" t="n"/>
      <c r="D132" s="108" t="n"/>
      <c r="E132" s="108" t="n"/>
      <c r="F132" s="221" t="n"/>
      <c r="G132" s="109" t="n"/>
      <c r="H132" s="109" t="n"/>
      <c r="I132" s="109" t="n"/>
      <c r="J132" s="113">
        <f>IF($C132="","",IF(AND($D132&lt;&gt;"",$E132&lt;&gt;"",$D132&lt;&gt;$E132,$F132&gt;0),"UYGUN","HATA"))</f>
        <v/>
      </c>
      <c r="K132" s="6" t="n"/>
      <c r="L132" s="6" t="n"/>
    </row>
    <row r="133">
      <c r="A133" s="6" t="n"/>
      <c r="B133" s="113">
        <f>IF($C133="","","V"&amp;TEXT(ROW()-6,"00000"))</f>
        <v/>
      </c>
      <c r="C133" s="220" t="n"/>
      <c r="D133" s="108" t="n"/>
      <c r="E133" s="108" t="n"/>
      <c r="F133" s="221" t="n"/>
      <c r="G133" s="109" t="n"/>
      <c r="H133" s="109" t="n"/>
      <c r="I133" s="109" t="n"/>
      <c r="J133" s="113">
        <f>IF($C133="","",IF(AND($D133&lt;&gt;"",$E133&lt;&gt;"",$D133&lt;&gt;$E133,$F133&gt;0),"UYGUN","HATA"))</f>
        <v/>
      </c>
      <c r="K133" s="6" t="n"/>
      <c r="L133" s="6" t="n"/>
    </row>
    <row r="134">
      <c r="A134" s="6" t="n"/>
      <c r="B134" s="113">
        <f>IF($C134="","","V"&amp;TEXT(ROW()-6,"00000"))</f>
        <v/>
      </c>
      <c r="C134" s="220" t="n"/>
      <c r="D134" s="108" t="n"/>
      <c r="E134" s="108" t="n"/>
      <c r="F134" s="221" t="n"/>
      <c r="G134" s="109" t="n"/>
      <c r="H134" s="109" t="n"/>
      <c r="I134" s="109" t="n"/>
      <c r="J134" s="113">
        <f>IF($C134="","",IF(AND($D134&lt;&gt;"",$E134&lt;&gt;"",$D134&lt;&gt;$E134,$F134&gt;0),"UYGUN","HATA"))</f>
        <v/>
      </c>
      <c r="K134" s="6" t="n"/>
      <c r="L134" s="6" t="n"/>
    </row>
    <row r="135">
      <c r="A135" s="6" t="n"/>
      <c r="B135" s="113">
        <f>IF($C135="","","V"&amp;TEXT(ROW()-6,"00000"))</f>
        <v/>
      </c>
      <c r="C135" s="220" t="n"/>
      <c r="D135" s="108" t="n"/>
      <c r="E135" s="108" t="n"/>
      <c r="F135" s="221" t="n"/>
      <c r="G135" s="109" t="n"/>
      <c r="H135" s="109" t="n"/>
      <c r="I135" s="109" t="n"/>
      <c r="J135" s="113">
        <f>IF($C135="","",IF(AND($D135&lt;&gt;"",$E135&lt;&gt;"",$D135&lt;&gt;$E135,$F135&gt;0),"UYGUN","HATA"))</f>
        <v/>
      </c>
      <c r="K135" s="6" t="n"/>
      <c r="L135" s="6" t="n"/>
    </row>
    <row r="136">
      <c r="A136" s="6" t="n"/>
      <c r="B136" s="113">
        <f>IF($C136="","","V"&amp;TEXT(ROW()-6,"00000"))</f>
        <v/>
      </c>
      <c r="C136" s="220" t="n"/>
      <c r="D136" s="108" t="n"/>
      <c r="E136" s="108" t="n"/>
      <c r="F136" s="221" t="n"/>
      <c r="G136" s="109" t="n"/>
      <c r="H136" s="109" t="n"/>
      <c r="I136" s="109" t="n"/>
      <c r="J136" s="113">
        <f>IF($C136="","",IF(AND($D136&lt;&gt;"",$E136&lt;&gt;"",$D136&lt;&gt;$E136,$F136&gt;0),"UYGUN","HATA"))</f>
        <v/>
      </c>
      <c r="K136" s="6" t="n"/>
      <c r="L136" s="6" t="n"/>
    </row>
    <row r="137">
      <c r="A137" s="6" t="n"/>
      <c r="B137" s="113">
        <f>IF($C137="","","V"&amp;TEXT(ROW()-6,"00000"))</f>
        <v/>
      </c>
      <c r="C137" s="220" t="n"/>
      <c r="D137" s="108" t="n"/>
      <c r="E137" s="108" t="n"/>
      <c r="F137" s="221" t="n"/>
      <c r="G137" s="109" t="n"/>
      <c r="H137" s="109" t="n"/>
      <c r="I137" s="109" t="n"/>
      <c r="J137" s="113">
        <f>IF($C137="","",IF(AND($D137&lt;&gt;"",$E137&lt;&gt;"",$D137&lt;&gt;$E137,$F137&gt;0),"UYGUN","HATA"))</f>
        <v/>
      </c>
      <c r="K137" s="6" t="n"/>
      <c r="L137" s="6" t="n"/>
    </row>
    <row r="138">
      <c r="A138" s="6" t="n"/>
      <c r="B138" s="113">
        <f>IF($C138="","","V"&amp;TEXT(ROW()-6,"00000"))</f>
        <v/>
      </c>
      <c r="C138" s="220" t="n"/>
      <c r="D138" s="108" t="n"/>
      <c r="E138" s="108" t="n"/>
      <c r="F138" s="221" t="n"/>
      <c r="G138" s="109" t="n"/>
      <c r="H138" s="109" t="n"/>
      <c r="I138" s="109" t="n"/>
      <c r="J138" s="113">
        <f>IF($C138="","",IF(AND($D138&lt;&gt;"",$E138&lt;&gt;"",$D138&lt;&gt;$E138,$F138&gt;0),"UYGUN","HATA"))</f>
        <v/>
      </c>
      <c r="K138" s="6" t="n"/>
      <c r="L138" s="6" t="n"/>
    </row>
    <row r="139">
      <c r="A139" s="6" t="n"/>
      <c r="B139" s="113">
        <f>IF($C139="","","V"&amp;TEXT(ROW()-6,"00000"))</f>
        <v/>
      </c>
      <c r="C139" s="220" t="n"/>
      <c r="D139" s="108" t="n"/>
      <c r="E139" s="108" t="n"/>
      <c r="F139" s="221" t="n"/>
      <c r="G139" s="109" t="n"/>
      <c r="H139" s="109" t="n"/>
      <c r="I139" s="109" t="n"/>
      <c r="J139" s="113">
        <f>IF($C139="","",IF(AND($D139&lt;&gt;"",$E139&lt;&gt;"",$D139&lt;&gt;$E139,$F139&gt;0),"UYGUN","HATA"))</f>
        <v/>
      </c>
      <c r="K139" s="6" t="n"/>
      <c r="L139" s="6" t="n"/>
    </row>
    <row r="140">
      <c r="A140" s="6" t="n"/>
      <c r="B140" s="113">
        <f>IF($C140="","","V"&amp;TEXT(ROW()-6,"00000"))</f>
        <v/>
      </c>
      <c r="C140" s="220" t="n"/>
      <c r="D140" s="108" t="n"/>
      <c r="E140" s="108" t="n"/>
      <c r="F140" s="221" t="n"/>
      <c r="G140" s="109" t="n"/>
      <c r="H140" s="109" t="n"/>
      <c r="I140" s="109" t="n"/>
      <c r="J140" s="113">
        <f>IF($C140="","",IF(AND($D140&lt;&gt;"",$E140&lt;&gt;"",$D140&lt;&gt;$E140,$F140&gt;0),"UYGUN","HATA"))</f>
        <v/>
      </c>
      <c r="K140" s="6" t="n"/>
      <c r="L140" s="6" t="n"/>
    </row>
    <row r="141">
      <c r="A141" s="6" t="n"/>
      <c r="B141" s="113">
        <f>IF($C141="","","V"&amp;TEXT(ROW()-6,"00000"))</f>
        <v/>
      </c>
      <c r="C141" s="220" t="n"/>
      <c r="D141" s="108" t="n"/>
      <c r="E141" s="108" t="n"/>
      <c r="F141" s="221" t="n"/>
      <c r="G141" s="109" t="n"/>
      <c r="H141" s="109" t="n"/>
      <c r="I141" s="109" t="n"/>
      <c r="J141" s="113">
        <f>IF($C141="","",IF(AND($D141&lt;&gt;"",$E141&lt;&gt;"",$D141&lt;&gt;$E141,$F141&gt;0),"UYGUN","HATA"))</f>
        <v/>
      </c>
      <c r="K141" s="6" t="n"/>
      <c r="L141" s="6" t="n"/>
    </row>
    <row r="142">
      <c r="A142" s="6" t="n"/>
      <c r="B142" s="113">
        <f>IF($C142="","","V"&amp;TEXT(ROW()-6,"00000"))</f>
        <v/>
      </c>
      <c r="C142" s="220" t="n"/>
      <c r="D142" s="108" t="n"/>
      <c r="E142" s="108" t="n"/>
      <c r="F142" s="221" t="n"/>
      <c r="G142" s="109" t="n"/>
      <c r="H142" s="109" t="n"/>
      <c r="I142" s="109" t="n"/>
      <c r="J142" s="113">
        <f>IF($C142="","",IF(AND($D142&lt;&gt;"",$E142&lt;&gt;"",$D142&lt;&gt;$E142,$F142&gt;0),"UYGUN","HATA"))</f>
        <v/>
      </c>
      <c r="K142" s="6" t="n"/>
      <c r="L142" s="6" t="n"/>
    </row>
    <row r="143">
      <c r="A143" s="6" t="n"/>
      <c r="B143" s="113">
        <f>IF($C143="","","V"&amp;TEXT(ROW()-6,"00000"))</f>
        <v/>
      </c>
      <c r="C143" s="220" t="n"/>
      <c r="D143" s="108" t="n"/>
      <c r="E143" s="108" t="n"/>
      <c r="F143" s="221" t="n"/>
      <c r="G143" s="109" t="n"/>
      <c r="H143" s="109" t="n"/>
      <c r="I143" s="109" t="n"/>
      <c r="J143" s="113">
        <f>IF($C143="","",IF(AND($D143&lt;&gt;"",$E143&lt;&gt;"",$D143&lt;&gt;$E143,$F143&gt;0),"UYGUN","HATA"))</f>
        <v/>
      </c>
      <c r="K143" s="6" t="n"/>
      <c r="L143" s="6" t="n"/>
    </row>
    <row r="144">
      <c r="A144" s="6" t="n"/>
      <c r="B144" s="113">
        <f>IF($C144="","","V"&amp;TEXT(ROW()-6,"00000"))</f>
        <v/>
      </c>
      <c r="C144" s="220" t="n"/>
      <c r="D144" s="108" t="n"/>
      <c r="E144" s="108" t="n"/>
      <c r="F144" s="221" t="n"/>
      <c r="G144" s="109" t="n"/>
      <c r="H144" s="109" t="n"/>
      <c r="I144" s="109" t="n"/>
      <c r="J144" s="113">
        <f>IF($C144="","",IF(AND($D144&lt;&gt;"",$E144&lt;&gt;"",$D144&lt;&gt;$E144,$F144&gt;0),"UYGUN","HATA"))</f>
        <v/>
      </c>
      <c r="K144" s="6" t="n"/>
      <c r="L144" s="6" t="n"/>
    </row>
    <row r="145">
      <c r="A145" s="6" t="n"/>
      <c r="B145" s="113">
        <f>IF($C145="","","V"&amp;TEXT(ROW()-6,"00000"))</f>
        <v/>
      </c>
      <c r="C145" s="220" t="n"/>
      <c r="D145" s="108" t="n"/>
      <c r="E145" s="108" t="n"/>
      <c r="F145" s="221" t="n"/>
      <c r="G145" s="109" t="n"/>
      <c r="H145" s="109" t="n"/>
      <c r="I145" s="109" t="n"/>
      <c r="J145" s="113">
        <f>IF($C145="","",IF(AND($D145&lt;&gt;"",$E145&lt;&gt;"",$D145&lt;&gt;$E145,$F145&gt;0),"UYGUN","HATA"))</f>
        <v/>
      </c>
      <c r="K145" s="6" t="n"/>
      <c r="L145" s="6" t="n"/>
    </row>
    <row r="146">
      <c r="A146" s="6" t="n"/>
      <c r="B146" s="113">
        <f>IF($C146="","","V"&amp;TEXT(ROW()-6,"00000"))</f>
        <v/>
      </c>
      <c r="C146" s="220" t="n"/>
      <c r="D146" s="108" t="n"/>
      <c r="E146" s="108" t="n"/>
      <c r="F146" s="221" t="n"/>
      <c r="G146" s="109" t="n"/>
      <c r="H146" s="109" t="n"/>
      <c r="I146" s="109" t="n"/>
      <c r="J146" s="113">
        <f>IF($C146="","",IF(AND($D146&lt;&gt;"",$E146&lt;&gt;"",$D146&lt;&gt;$E146,$F146&gt;0),"UYGUN","HATA"))</f>
        <v/>
      </c>
      <c r="K146" s="6" t="n"/>
      <c r="L146" s="6" t="n"/>
    </row>
    <row r="147">
      <c r="A147" s="6" t="n"/>
      <c r="B147" s="113">
        <f>IF($C147="","","V"&amp;TEXT(ROW()-6,"00000"))</f>
        <v/>
      </c>
      <c r="C147" s="220" t="n"/>
      <c r="D147" s="108" t="n"/>
      <c r="E147" s="108" t="n"/>
      <c r="F147" s="221" t="n"/>
      <c r="G147" s="109" t="n"/>
      <c r="H147" s="109" t="n"/>
      <c r="I147" s="109" t="n"/>
      <c r="J147" s="113">
        <f>IF($C147="","",IF(AND($D147&lt;&gt;"",$E147&lt;&gt;"",$D147&lt;&gt;$E147,$F147&gt;0),"UYGUN","HATA"))</f>
        <v/>
      </c>
      <c r="K147" s="6" t="n"/>
      <c r="L147" s="6" t="n"/>
    </row>
    <row r="148">
      <c r="A148" s="6" t="n"/>
      <c r="B148" s="113">
        <f>IF($C148="","","V"&amp;TEXT(ROW()-6,"00000"))</f>
        <v/>
      </c>
      <c r="C148" s="220" t="n"/>
      <c r="D148" s="108" t="n"/>
      <c r="E148" s="108" t="n"/>
      <c r="F148" s="221" t="n"/>
      <c r="G148" s="109" t="n"/>
      <c r="H148" s="109" t="n"/>
      <c r="I148" s="109" t="n"/>
      <c r="J148" s="113">
        <f>IF($C148="","",IF(AND($D148&lt;&gt;"",$E148&lt;&gt;"",$D148&lt;&gt;$E148,$F148&gt;0),"UYGUN","HATA"))</f>
        <v/>
      </c>
      <c r="K148" s="6" t="n"/>
      <c r="L148" s="6" t="n"/>
    </row>
    <row r="149">
      <c r="A149" s="6" t="n"/>
      <c r="B149" s="113">
        <f>IF($C149="","","V"&amp;TEXT(ROW()-6,"00000"))</f>
        <v/>
      </c>
      <c r="C149" s="220" t="n"/>
      <c r="D149" s="108" t="n"/>
      <c r="E149" s="108" t="n"/>
      <c r="F149" s="221" t="n"/>
      <c r="G149" s="109" t="n"/>
      <c r="H149" s="109" t="n"/>
      <c r="I149" s="109" t="n"/>
      <c r="J149" s="113">
        <f>IF($C149="","",IF(AND($D149&lt;&gt;"",$E149&lt;&gt;"",$D149&lt;&gt;$E149,$F149&gt;0),"UYGUN","HATA"))</f>
        <v/>
      </c>
      <c r="K149" s="6" t="n"/>
      <c r="L149" s="6" t="n"/>
    </row>
    <row r="150">
      <c r="A150" s="6" t="n"/>
      <c r="B150" s="113">
        <f>IF($C150="","","V"&amp;TEXT(ROW()-6,"00000"))</f>
        <v/>
      </c>
      <c r="C150" s="220" t="n"/>
      <c r="D150" s="108" t="n"/>
      <c r="E150" s="108" t="n"/>
      <c r="F150" s="221" t="n"/>
      <c r="G150" s="109" t="n"/>
      <c r="H150" s="109" t="n"/>
      <c r="I150" s="109" t="n"/>
      <c r="J150" s="113">
        <f>IF($C150="","",IF(AND($D150&lt;&gt;"",$E150&lt;&gt;"",$D150&lt;&gt;$E150,$F150&gt;0),"UYGUN","HATA"))</f>
        <v/>
      </c>
      <c r="K150" s="6" t="n"/>
      <c r="L150" s="6" t="n"/>
    </row>
    <row r="151">
      <c r="A151" s="6" t="n"/>
      <c r="B151" s="113">
        <f>IF($C151="","","V"&amp;TEXT(ROW()-6,"00000"))</f>
        <v/>
      </c>
      <c r="C151" s="220" t="n"/>
      <c r="D151" s="108" t="n"/>
      <c r="E151" s="108" t="n"/>
      <c r="F151" s="221" t="n"/>
      <c r="G151" s="109" t="n"/>
      <c r="H151" s="109" t="n"/>
      <c r="I151" s="109" t="n"/>
      <c r="J151" s="113">
        <f>IF($C151="","",IF(AND($D151&lt;&gt;"",$E151&lt;&gt;"",$D151&lt;&gt;$E151,$F151&gt;0),"UYGUN","HATA"))</f>
        <v/>
      </c>
      <c r="K151" s="6" t="n"/>
      <c r="L151" s="6" t="n"/>
    </row>
    <row r="152">
      <c r="A152" s="6" t="n"/>
      <c r="B152" s="113">
        <f>IF($C152="","","V"&amp;TEXT(ROW()-6,"00000"))</f>
        <v/>
      </c>
      <c r="C152" s="220" t="n"/>
      <c r="D152" s="108" t="n"/>
      <c r="E152" s="108" t="n"/>
      <c r="F152" s="221" t="n"/>
      <c r="G152" s="109" t="n"/>
      <c r="H152" s="109" t="n"/>
      <c r="I152" s="109" t="n"/>
      <c r="J152" s="113">
        <f>IF($C152="","",IF(AND($D152&lt;&gt;"",$E152&lt;&gt;"",$D152&lt;&gt;$E152,$F152&gt;0),"UYGUN","HATA"))</f>
        <v/>
      </c>
      <c r="K152" s="6" t="n"/>
      <c r="L152" s="6" t="n"/>
    </row>
    <row r="153">
      <c r="A153" s="6" t="n"/>
      <c r="B153" s="113">
        <f>IF($C153="","","V"&amp;TEXT(ROW()-6,"00000"))</f>
        <v/>
      </c>
      <c r="C153" s="220" t="n"/>
      <c r="D153" s="108" t="n"/>
      <c r="E153" s="108" t="n"/>
      <c r="F153" s="221" t="n"/>
      <c r="G153" s="109" t="n"/>
      <c r="H153" s="109" t="n"/>
      <c r="I153" s="109" t="n"/>
      <c r="J153" s="113">
        <f>IF($C153="","",IF(AND($D153&lt;&gt;"",$E153&lt;&gt;"",$D153&lt;&gt;$E153,$F153&gt;0),"UYGUN","HATA"))</f>
        <v/>
      </c>
      <c r="K153" s="6" t="n"/>
      <c r="L153" s="6" t="n"/>
    </row>
    <row r="154">
      <c r="A154" s="6" t="n"/>
      <c r="B154" s="113">
        <f>IF($C154="","","V"&amp;TEXT(ROW()-6,"00000"))</f>
        <v/>
      </c>
      <c r="C154" s="220" t="n"/>
      <c r="D154" s="108" t="n"/>
      <c r="E154" s="108" t="n"/>
      <c r="F154" s="221" t="n"/>
      <c r="G154" s="109" t="n"/>
      <c r="H154" s="109" t="n"/>
      <c r="I154" s="109" t="n"/>
      <c r="J154" s="113">
        <f>IF($C154="","",IF(AND($D154&lt;&gt;"",$E154&lt;&gt;"",$D154&lt;&gt;$E154,$F154&gt;0),"UYGUN","HATA"))</f>
        <v/>
      </c>
      <c r="K154" s="6" t="n"/>
      <c r="L154" s="6" t="n"/>
    </row>
    <row r="155">
      <c r="A155" s="6" t="n"/>
      <c r="B155" s="113">
        <f>IF($C155="","","V"&amp;TEXT(ROW()-6,"00000"))</f>
        <v/>
      </c>
      <c r="C155" s="220" t="n"/>
      <c r="D155" s="108" t="n"/>
      <c r="E155" s="108" t="n"/>
      <c r="F155" s="221" t="n"/>
      <c r="G155" s="109" t="n"/>
      <c r="H155" s="109" t="n"/>
      <c r="I155" s="109" t="n"/>
      <c r="J155" s="113">
        <f>IF($C155="","",IF(AND($D155&lt;&gt;"",$E155&lt;&gt;"",$D155&lt;&gt;$E155,$F155&gt;0),"UYGUN","HATA"))</f>
        <v/>
      </c>
      <c r="K155" s="6" t="n"/>
      <c r="L155" s="6" t="n"/>
    </row>
    <row r="156">
      <c r="A156" s="6" t="n"/>
      <c r="B156" s="113">
        <f>IF($C156="","","V"&amp;TEXT(ROW()-6,"00000"))</f>
        <v/>
      </c>
      <c r="C156" s="220" t="n"/>
      <c r="D156" s="108" t="n"/>
      <c r="E156" s="108" t="n"/>
      <c r="F156" s="221" t="n"/>
      <c r="G156" s="109" t="n"/>
      <c r="H156" s="109" t="n"/>
      <c r="I156" s="109" t="n"/>
      <c r="J156" s="113">
        <f>IF($C156="","",IF(AND($D156&lt;&gt;"",$E156&lt;&gt;"",$D156&lt;&gt;$E156,$F156&gt;0),"UYGUN","HATA"))</f>
        <v/>
      </c>
      <c r="K156" s="6" t="n"/>
      <c r="L156" s="6" t="n"/>
    </row>
    <row r="157">
      <c r="A157" s="6" t="n"/>
      <c r="B157" s="113">
        <f>IF($C157="","","V"&amp;TEXT(ROW()-6,"00000"))</f>
        <v/>
      </c>
      <c r="C157" s="220" t="n"/>
      <c r="D157" s="108" t="n"/>
      <c r="E157" s="108" t="n"/>
      <c r="F157" s="221" t="n"/>
      <c r="G157" s="109" t="n"/>
      <c r="H157" s="109" t="n"/>
      <c r="I157" s="109" t="n"/>
      <c r="J157" s="113">
        <f>IF($C157="","",IF(AND($D157&lt;&gt;"",$E157&lt;&gt;"",$D157&lt;&gt;$E157,$F157&gt;0),"UYGUN","HATA"))</f>
        <v/>
      </c>
      <c r="K157" s="6" t="n"/>
      <c r="L157" s="6" t="n"/>
    </row>
    <row r="158">
      <c r="A158" s="6" t="n"/>
      <c r="B158" s="113">
        <f>IF($C158="","","V"&amp;TEXT(ROW()-6,"00000"))</f>
        <v/>
      </c>
      <c r="C158" s="220" t="n"/>
      <c r="D158" s="108" t="n"/>
      <c r="E158" s="108" t="n"/>
      <c r="F158" s="221" t="n"/>
      <c r="G158" s="109" t="n"/>
      <c r="H158" s="109" t="n"/>
      <c r="I158" s="109" t="n"/>
      <c r="J158" s="113">
        <f>IF($C158="","",IF(AND($D158&lt;&gt;"",$E158&lt;&gt;"",$D158&lt;&gt;$E158,$F158&gt;0),"UYGUN","HATA"))</f>
        <v/>
      </c>
      <c r="K158" s="6" t="n"/>
      <c r="L158" s="6" t="n"/>
    </row>
    <row r="159">
      <c r="A159" s="6" t="n"/>
      <c r="B159" s="113">
        <f>IF($C159="","","V"&amp;TEXT(ROW()-6,"00000"))</f>
        <v/>
      </c>
      <c r="C159" s="220" t="n"/>
      <c r="D159" s="108" t="n"/>
      <c r="E159" s="108" t="n"/>
      <c r="F159" s="221" t="n"/>
      <c r="G159" s="109" t="n"/>
      <c r="H159" s="109" t="n"/>
      <c r="I159" s="109" t="n"/>
      <c r="J159" s="113">
        <f>IF($C159="","",IF(AND($D159&lt;&gt;"",$E159&lt;&gt;"",$D159&lt;&gt;$E159,$F159&gt;0),"UYGUN","HATA"))</f>
        <v/>
      </c>
      <c r="K159" s="6" t="n"/>
      <c r="L159" s="6" t="n"/>
    </row>
    <row r="160">
      <c r="A160" s="6" t="n"/>
      <c r="B160" s="113">
        <f>IF($C160="","","V"&amp;TEXT(ROW()-6,"00000"))</f>
        <v/>
      </c>
      <c r="C160" s="220" t="n"/>
      <c r="D160" s="108" t="n"/>
      <c r="E160" s="108" t="n"/>
      <c r="F160" s="221" t="n"/>
      <c r="G160" s="109" t="n"/>
      <c r="H160" s="109" t="n"/>
      <c r="I160" s="109" t="n"/>
      <c r="J160" s="113">
        <f>IF($C160="","",IF(AND($D160&lt;&gt;"",$E160&lt;&gt;"",$D160&lt;&gt;$E160,$F160&gt;0),"UYGUN","HATA"))</f>
        <v/>
      </c>
      <c r="K160" s="6" t="n"/>
      <c r="L160" s="6" t="n"/>
    </row>
    <row r="161">
      <c r="A161" s="6" t="n"/>
      <c r="B161" s="113">
        <f>IF($C161="","","V"&amp;TEXT(ROW()-6,"00000"))</f>
        <v/>
      </c>
      <c r="C161" s="220" t="n"/>
      <c r="D161" s="108" t="n"/>
      <c r="E161" s="108" t="n"/>
      <c r="F161" s="221" t="n"/>
      <c r="G161" s="109" t="n"/>
      <c r="H161" s="109" t="n"/>
      <c r="I161" s="109" t="n"/>
      <c r="J161" s="113">
        <f>IF($C161="","",IF(AND($D161&lt;&gt;"",$E161&lt;&gt;"",$D161&lt;&gt;$E161,$F161&gt;0),"UYGUN","HATA"))</f>
        <v/>
      </c>
      <c r="K161" s="6" t="n"/>
      <c r="L161" s="6" t="n"/>
    </row>
    <row r="162">
      <c r="A162" s="6" t="n"/>
      <c r="B162" s="113">
        <f>IF($C162="","","V"&amp;TEXT(ROW()-6,"00000"))</f>
        <v/>
      </c>
      <c r="C162" s="220" t="n"/>
      <c r="D162" s="108" t="n"/>
      <c r="E162" s="108" t="n"/>
      <c r="F162" s="221" t="n"/>
      <c r="G162" s="109" t="n"/>
      <c r="H162" s="109" t="n"/>
      <c r="I162" s="109" t="n"/>
      <c r="J162" s="113">
        <f>IF($C162="","",IF(AND($D162&lt;&gt;"",$E162&lt;&gt;"",$D162&lt;&gt;$E162,$F162&gt;0),"UYGUN","HATA"))</f>
        <v/>
      </c>
      <c r="K162" s="6" t="n"/>
      <c r="L162" s="6" t="n"/>
    </row>
    <row r="163">
      <c r="A163" s="6" t="n"/>
      <c r="B163" s="113">
        <f>IF($C163="","","V"&amp;TEXT(ROW()-6,"00000"))</f>
        <v/>
      </c>
      <c r="C163" s="220" t="n"/>
      <c r="D163" s="108" t="n"/>
      <c r="E163" s="108" t="n"/>
      <c r="F163" s="221" t="n"/>
      <c r="G163" s="109" t="n"/>
      <c r="H163" s="109" t="n"/>
      <c r="I163" s="109" t="n"/>
      <c r="J163" s="113">
        <f>IF($C163="","",IF(AND($D163&lt;&gt;"",$E163&lt;&gt;"",$D163&lt;&gt;$E163,$F163&gt;0),"UYGUN","HATA"))</f>
        <v/>
      </c>
      <c r="K163" s="6" t="n"/>
      <c r="L163" s="6" t="n"/>
    </row>
    <row r="164">
      <c r="A164" s="6" t="n"/>
      <c r="B164" s="113">
        <f>IF($C164="","","V"&amp;TEXT(ROW()-6,"00000"))</f>
        <v/>
      </c>
      <c r="C164" s="220" t="n"/>
      <c r="D164" s="108" t="n"/>
      <c r="E164" s="108" t="n"/>
      <c r="F164" s="221" t="n"/>
      <c r="G164" s="109" t="n"/>
      <c r="H164" s="109" t="n"/>
      <c r="I164" s="109" t="n"/>
      <c r="J164" s="113">
        <f>IF($C164="","",IF(AND($D164&lt;&gt;"",$E164&lt;&gt;"",$D164&lt;&gt;$E164,$F164&gt;0),"UYGUN","HATA"))</f>
        <v/>
      </c>
      <c r="K164" s="6" t="n"/>
      <c r="L164" s="6" t="n"/>
    </row>
    <row r="165">
      <c r="A165" s="6" t="n"/>
      <c r="B165" s="113">
        <f>IF($C165="","","V"&amp;TEXT(ROW()-6,"00000"))</f>
        <v/>
      </c>
      <c r="C165" s="220" t="n"/>
      <c r="D165" s="108" t="n"/>
      <c r="E165" s="108" t="n"/>
      <c r="F165" s="221" t="n"/>
      <c r="G165" s="109" t="n"/>
      <c r="H165" s="109" t="n"/>
      <c r="I165" s="109" t="n"/>
      <c r="J165" s="113">
        <f>IF($C165="","",IF(AND($D165&lt;&gt;"",$E165&lt;&gt;"",$D165&lt;&gt;$E165,$F165&gt;0),"UYGUN","HATA"))</f>
        <v/>
      </c>
      <c r="K165" s="6" t="n"/>
      <c r="L165" s="6" t="n"/>
    </row>
    <row r="166">
      <c r="A166" s="6" t="n"/>
      <c r="B166" s="113">
        <f>IF($C166="","","V"&amp;TEXT(ROW()-6,"00000"))</f>
        <v/>
      </c>
      <c r="C166" s="220" t="n"/>
      <c r="D166" s="108" t="n"/>
      <c r="E166" s="108" t="n"/>
      <c r="F166" s="221" t="n"/>
      <c r="G166" s="109" t="n"/>
      <c r="H166" s="109" t="n"/>
      <c r="I166" s="109" t="n"/>
      <c r="J166" s="113">
        <f>IF($C166="","",IF(AND($D166&lt;&gt;"",$E166&lt;&gt;"",$D166&lt;&gt;$E166,$F166&gt;0),"UYGUN","HATA"))</f>
        <v/>
      </c>
      <c r="K166" s="6" t="n"/>
      <c r="L166" s="6" t="n"/>
    </row>
    <row r="167">
      <c r="A167" s="6" t="n"/>
      <c r="B167" s="113">
        <f>IF($C167="","","V"&amp;TEXT(ROW()-6,"00000"))</f>
        <v/>
      </c>
      <c r="C167" s="220" t="n"/>
      <c r="D167" s="108" t="n"/>
      <c r="E167" s="108" t="n"/>
      <c r="F167" s="221" t="n"/>
      <c r="G167" s="109" t="n"/>
      <c r="H167" s="109" t="n"/>
      <c r="I167" s="109" t="n"/>
      <c r="J167" s="113">
        <f>IF($C167="","",IF(AND($D167&lt;&gt;"",$E167&lt;&gt;"",$D167&lt;&gt;$E167,$F167&gt;0),"UYGUN","HATA"))</f>
        <v/>
      </c>
      <c r="K167" s="6" t="n"/>
      <c r="L167" s="6" t="n"/>
    </row>
    <row r="168">
      <c r="A168" s="6" t="n"/>
      <c r="B168" s="113">
        <f>IF($C168="","","V"&amp;TEXT(ROW()-6,"00000"))</f>
        <v/>
      </c>
      <c r="C168" s="220" t="n"/>
      <c r="D168" s="108" t="n"/>
      <c r="E168" s="108" t="n"/>
      <c r="F168" s="221" t="n"/>
      <c r="G168" s="109" t="n"/>
      <c r="H168" s="109" t="n"/>
      <c r="I168" s="109" t="n"/>
      <c r="J168" s="113">
        <f>IF($C168="","",IF(AND($D168&lt;&gt;"",$E168&lt;&gt;"",$D168&lt;&gt;$E168,$F168&gt;0),"UYGUN","HATA"))</f>
        <v/>
      </c>
      <c r="K168" s="6" t="n"/>
      <c r="L168" s="6" t="n"/>
    </row>
    <row r="169">
      <c r="A169" s="6" t="n"/>
      <c r="B169" s="113">
        <f>IF($C169="","","V"&amp;TEXT(ROW()-6,"00000"))</f>
        <v/>
      </c>
      <c r="C169" s="220" t="n"/>
      <c r="D169" s="108" t="n"/>
      <c r="E169" s="108" t="n"/>
      <c r="F169" s="221" t="n"/>
      <c r="G169" s="109" t="n"/>
      <c r="H169" s="109" t="n"/>
      <c r="I169" s="109" t="n"/>
      <c r="J169" s="113">
        <f>IF($C169="","",IF(AND($D169&lt;&gt;"",$E169&lt;&gt;"",$D169&lt;&gt;$E169,$F169&gt;0),"UYGUN","HATA"))</f>
        <v/>
      </c>
      <c r="K169" s="6" t="n"/>
      <c r="L169" s="6" t="n"/>
    </row>
    <row r="170">
      <c r="A170" s="6" t="n"/>
      <c r="B170" s="113">
        <f>IF($C170="","","V"&amp;TEXT(ROW()-6,"00000"))</f>
        <v/>
      </c>
      <c r="C170" s="220" t="n"/>
      <c r="D170" s="108" t="n"/>
      <c r="E170" s="108" t="n"/>
      <c r="F170" s="221" t="n"/>
      <c r="G170" s="109" t="n"/>
      <c r="H170" s="109" t="n"/>
      <c r="I170" s="109" t="n"/>
      <c r="J170" s="113">
        <f>IF($C170="","",IF(AND($D170&lt;&gt;"",$E170&lt;&gt;"",$D170&lt;&gt;$E170,$F170&gt;0),"UYGUN","HATA"))</f>
        <v/>
      </c>
      <c r="K170" s="6" t="n"/>
      <c r="L170" s="6" t="n"/>
    </row>
    <row r="171">
      <c r="A171" s="6" t="n"/>
      <c r="B171" s="113">
        <f>IF($C171="","","V"&amp;TEXT(ROW()-6,"00000"))</f>
        <v/>
      </c>
      <c r="C171" s="220" t="n"/>
      <c r="D171" s="108" t="n"/>
      <c r="E171" s="108" t="n"/>
      <c r="F171" s="221" t="n"/>
      <c r="G171" s="109" t="n"/>
      <c r="H171" s="109" t="n"/>
      <c r="I171" s="109" t="n"/>
      <c r="J171" s="113">
        <f>IF($C171="","",IF(AND($D171&lt;&gt;"",$E171&lt;&gt;"",$D171&lt;&gt;$E171,$F171&gt;0),"UYGUN","HATA"))</f>
        <v/>
      </c>
      <c r="K171" s="6" t="n"/>
      <c r="L171" s="6" t="n"/>
    </row>
    <row r="172">
      <c r="A172" s="6" t="n"/>
      <c r="B172" s="113">
        <f>IF($C172="","","V"&amp;TEXT(ROW()-6,"00000"))</f>
        <v/>
      </c>
      <c r="C172" s="220" t="n"/>
      <c r="D172" s="108" t="n"/>
      <c r="E172" s="108" t="n"/>
      <c r="F172" s="221" t="n"/>
      <c r="G172" s="109" t="n"/>
      <c r="H172" s="109" t="n"/>
      <c r="I172" s="109" t="n"/>
      <c r="J172" s="113">
        <f>IF($C172="","",IF(AND($D172&lt;&gt;"",$E172&lt;&gt;"",$D172&lt;&gt;$E172,$F172&gt;0),"UYGUN","HATA"))</f>
        <v/>
      </c>
      <c r="K172" s="6" t="n"/>
      <c r="L172" s="6" t="n"/>
    </row>
    <row r="173">
      <c r="A173" s="6" t="n"/>
      <c r="B173" s="113">
        <f>IF($C173="","","V"&amp;TEXT(ROW()-6,"00000"))</f>
        <v/>
      </c>
      <c r="C173" s="220" t="n"/>
      <c r="D173" s="108" t="n"/>
      <c r="E173" s="108" t="n"/>
      <c r="F173" s="221" t="n"/>
      <c r="G173" s="109" t="n"/>
      <c r="H173" s="109" t="n"/>
      <c r="I173" s="109" t="n"/>
      <c r="J173" s="113">
        <f>IF($C173="","",IF(AND($D173&lt;&gt;"",$E173&lt;&gt;"",$D173&lt;&gt;$E173,$F173&gt;0),"UYGUN","HATA"))</f>
        <v/>
      </c>
      <c r="K173" s="6" t="n"/>
      <c r="L173" s="6" t="n"/>
    </row>
    <row r="174">
      <c r="A174" s="6" t="n"/>
      <c r="B174" s="113">
        <f>IF($C174="","","V"&amp;TEXT(ROW()-6,"00000"))</f>
        <v/>
      </c>
      <c r="C174" s="220" t="n"/>
      <c r="D174" s="108" t="n"/>
      <c r="E174" s="108" t="n"/>
      <c r="F174" s="221" t="n"/>
      <c r="G174" s="109" t="n"/>
      <c r="H174" s="109" t="n"/>
      <c r="I174" s="109" t="n"/>
      <c r="J174" s="113">
        <f>IF($C174="","",IF(AND($D174&lt;&gt;"",$E174&lt;&gt;"",$D174&lt;&gt;$E174,$F174&gt;0),"UYGUN","HATA"))</f>
        <v/>
      </c>
      <c r="K174" s="6" t="n"/>
      <c r="L174" s="6" t="n"/>
    </row>
    <row r="175">
      <c r="A175" s="6" t="n"/>
      <c r="B175" s="113">
        <f>IF($C175="","","V"&amp;TEXT(ROW()-6,"00000"))</f>
        <v/>
      </c>
      <c r="C175" s="220" t="n"/>
      <c r="D175" s="108" t="n"/>
      <c r="E175" s="108" t="n"/>
      <c r="F175" s="221" t="n"/>
      <c r="G175" s="109" t="n"/>
      <c r="H175" s="109" t="n"/>
      <c r="I175" s="109" t="n"/>
      <c r="J175" s="113">
        <f>IF($C175="","",IF(AND($D175&lt;&gt;"",$E175&lt;&gt;"",$D175&lt;&gt;$E175,$F175&gt;0),"UYGUN","HATA"))</f>
        <v/>
      </c>
      <c r="K175" s="6" t="n"/>
      <c r="L175" s="6" t="n"/>
    </row>
    <row r="176">
      <c r="A176" s="6" t="n"/>
      <c r="B176" s="113">
        <f>IF($C176="","","V"&amp;TEXT(ROW()-6,"00000"))</f>
        <v/>
      </c>
      <c r="C176" s="220" t="n"/>
      <c r="D176" s="108" t="n"/>
      <c r="E176" s="108" t="n"/>
      <c r="F176" s="221" t="n"/>
      <c r="G176" s="109" t="n"/>
      <c r="H176" s="109" t="n"/>
      <c r="I176" s="109" t="n"/>
      <c r="J176" s="113">
        <f>IF($C176="","",IF(AND($D176&lt;&gt;"",$E176&lt;&gt;"",$D176&lt;&gt;$E176,$F176&gt;0),"UYGUN","HATA"))</f>
        <v/>
      </c>
      <c r="K176" s="6" t="n"/>
      <c r="L176" s="6" t="n"/>
    </row>
    <row r="177">
      <c r="A177" s="6" t="n"/>
      <c r="B177" s="113">
        <f>IF($C177="","","V"&amp;TEXT(ROW()-6,"00000"))</f>
        <v/>
      </c>
      <c r="C177" s="220" t="n"/>
      <c r="D177" s="108" t="n"/>
      <c r="E177" s="108" t="n"/>
      <c r="F177" s="221" t="n"/>
      <c r="G177" s="109" t="n"/>
      <c r="H177" s="109" t="n"/>
      <c r="I177" s="109" t="n"/>
      <c r="J177" s="113">
        <f>IF($C177="","",IF(AND($D177&lt;&gt;"",$E177&lt;&gt;"",$D177&lt;&gt;$E177,$F177&gt;0),"UYGUN","HATA"))</f>
        <v/>
      </c>
      <c r="K177" s="6" t="n"/>
      <c r="L177" s="6" t="n"/>
    </row>
    <row r="178">
      <c r="A178" s="6" t="n"/>
      <c r="B178" s="113">
        <f>IF($C178="","","V"&amp;TEXT(ROW()-6,"00000"))</f>
        <v/>
      </c>
      <c r="C178" s="220" t="n"/>
      <c r="D178" s="108" t="n"/>
      <c r="E178" s="108" t="n"/>
      <c r="F178" s="221" t="n"/>
      <c r="G178" s="109" t="n"/>
      <c r="H178" s="109" t="n"/>
      <c r="I178" s="109" t="n"/>
      <c r="J178" s="113">
        <f>IF($C178="","",IF(AND($D178&lt;&gt;"",$E178&lt;&gt;"",$D178&lt;&gt;$E178,$F178&gt;0),"UYGUN","HATA"))</f>
        <v/>
      </c>
      <c r="K178" s="6" t="n"/>
      <c r="L178" s="6" t="n"/>
    </row>
    <row r="179">
      <c r="A179" s="6" t="n"/>
      <c r="B179" s="113">
        <f>IF($C179="","","V"&amp;TEXT(ROW()-6,"00000"))</f>
        <v/>
      </c>
      <c r="C179" s="220" t="n"/>
      <c r="D179" s="108" t="n"/>
      <c r="E179" s="108" t="n"/>
      <c r="F179" s="221" t="n"/>
      <c r="G179" s="109" t="n"/>
      <c r="H179" s="109" t="n"/>
      <c r="I179" s="109" t="n"/>
      <c r="J179" s="113">
        <f>IF($C179="","",IF(AND($D179&lt;&gt;"",$E179&lt;&gt;"",$D179&lt;&gt;$E179,$F179&gt;0),"UYGUN","HATA"))</f>
        <v/>
      </c>
      <c r="K179" s="6" t="n"/>
      <c r="L179" s="6" t="n"/>
    </row>
    <row r="180">
      <c r="A180" s="6" t="n"/>
      <c r="B180" s="113">
        <f>IF($C180="","","V"&amp;TEXT(ROW()-6,"00000"))</f>
        <v/>
      </c>
      <c r="C180" s="220" t="n"/>
      <c r="D180" s="108" t="n"/>
      <c r="E180" s="108" t="n"/>
      <c r="F180" s="221" t="n"/>
      <c r="G180" s="109" t="n"/>
      <c r="H180" s="109" t="n"/>
      <c r="I180" s="109" t="n"/>
      <c r="J180" s="113">
        <f>IF($C180="","",IF(AND($D180&lt;&gt;"",$E180&lt;&gt;"",$D180&lt;&gt;$E180,$F180&gt;0),"UYGUN","HATA"))</f>
        <v/>
      </c>
      <c r="K180" s="6" t="n"/>
      <c r="L180" s="6" t="n"/>
    </row>
    <row r="181">
      <c r="A181" s="6" t="n"/>
      <c r="B181" s="113">
        <f>IF($C181="","","V"&amp;TEXT(ROW()-6,"00000"))</f>
        <v/>
      </c>
      <c r="C181" s="220" t="n"/>
      <c r="D181" s="108" t="n"/>
      <c r="E181" s="108" t="n"/>
      <c r="F181" s="221" t="n"/>
      <c r="G181" s="109" t="n"/>
      <c r="H181" s="109" t="n"/>
      <c r="I181" s="109" t="n"/>
      <c r="J181" s="113">
        <f>IF($C181="","",IF(AND($D181&lt;&gt;"",$E181&lt;&gt;"",$D181&lt;&gt;$E181,$F181&gt;0),"UYGUN","HATA"))</f>
        <v/>
      </c>
      <c r="K181" s="6" t="n"/>
      <c r="L181" s="6" t="n"/>
    </row>
    <row r="182">
      <c r="A182" s="6" t="n"/>
      <c r="B182" s="113">
        <f>IF($C182="","","V"&amp;TEXT(ROW()-6,"00000"))</f>
        <v/>
      </c>
      <c r="C182" s="220" t="n"/>
      <c r="D182" s="108" t="n"/>
      <c r="E182" s="108" t="n"/>
      <c r="F182" s="221" t="n"/>
      <c r="G182" s="109" t="n"/>
      <c r="H182" s="109" t="n"/>
      <c r="I182" s="109" t="n"/>
      <c r="J182" s="113">
        <f>IF($C182="","",IF(AND($D182&lt;&gt;"",$E182&lt;&gt;"",$D182&lt;&gt;$E182,$F182&gt;0),"UYGUN","HATA"))</f>
        <v/>
      </c>
      <c r="K182" s="6" t="n"/>
      <c r="L182" s="6" t="n"/>
    </row>
    <row r="183">
      <c r="A183" s="6" t="n"/>
      <c r="B183" s="113">
        <f>IF($C183="","","V"&amp;TEXT(ROW()-6,"00000"))</f>
        <v/>
      </c>
      <c r="C183" s="220" t="n"/>
      <c r="D183" s="108" t="n"/>
      <c r="E183" s="108" t="n"/>
      <c r="F183" s="221" t="n"/>
      <c r="G183" s="109" t="n"/>
      <c r="H183" s="109" t="n"/>
      <c r="I183" s="109" t="n"/>
      <c r="J183" s="113">
        <f>IF($C183="","",IF(AND($D183&lt;&gt;"",$E183&lt;&gt;"",$D183&lt;&gt;$E183,$F183&gt;0),"UYGUN","HATA"))</f>
        <v/>
      </c>
      <c r="K183" s="6" t="n"/>
      <c r="L183" s="6" t="n"/>
    </row>
    <row r="184">
      <c r="A184" s="6" t="n"/>
      <c r="B184" s="113">
        <f>IF($C184="","","V"&amp;TEXT(ROW()-6,"00000"))</f>
        <v/>
      </c>
      <c r="C184" s="220" t="n"/>
      <c r="D184" s="108" t="n"/>
      <c r="E184" s="108" t="n"/>
      <c r="F184" s="221" t="n"/>
      <c r="G184" s="109" t="n"/>
      <c r="H184" s="109" t="n"/>
      <c r="I184" s="109" t="n"/>
      <c r="J184" s="113">
        <f>IF($C184="","",IF(AND($D184&lt;&gt;"",$E184&lt;&gt;"",$D184&lt;&gt;$E184,$F184&gt;0),"UYGUN","HATA"))</f>
        <v/>
      </c>
      <c r="K184" s="6" t="n"/>
      <c r="L184" s="6" t="n"/>
    </row>
    <row r="185">
      <c r="A185" s="6" t="n"/>
      <c r="B185" s="113">
        <f>IF($C185="","","V"&amp;TEXT(ROW()-6,"00000"))</f>
        <v/>
      </c>
      <c r="C185" s="220" t="n"/>
      <c r="D185" s="108" t="n"/>
      <c r="E185" s="108" t="n"/>
      <c r="F185" s="221" t="n"/>
      <c r="G185" s="109" t="n"/>
      <c r="H185" s="109" t="n"/>
      <c r="I185" s="109" t="n"/>
      <c r="J185" s="113">
        <f>IF($C185="","",IF(AND($D185&lt;&gt;"",$E185&lt;&gt;"",$D185&lt;&gt;$E185,$F185&gt;0),"UYGUN","HATA"))</f>
        <v/>
      </c>
      <c r="K185" s="6" t="n"/>
      <c r="L185" s="6" t="n"/>
    </row>
    <row r="186">
      <c r="A186" s="6" t="n"/>
      <c r="B186" s="113">
        <f>IF($C186="","","V"&amp;TEXT(ROW()-6,"00000"))</f>
        <v/>
      </c>
      <c r="C186" s="220" t="n"/>
      <c r="D186" s="108" t="n"/>
      <c r="E186" s="108" t="n"/>
      <c r="F186" s="221" t="n"/>
      <c r="G186" s="109" t="n"/>
      <c r="H186" s="109" t="n"/>
      <c r="I186" s="109" t="n"/>
      <c r="J186" s="113">
        <f>IF($C186="","",IF(AND($D186&lt;&gt;"",$E186&lt;&gt;"",$D186&lt;&gt;$E186,$F186&gt;0),"UYGUN","HATA"))</f>
        <v/>
      </c>
      <c r="K186" s="6" t="n"/>
      <c r="L186" s="6" t="n"/>
    </row>
    <row r="187">
      <c r="A187" s="6" t="n"/>
      <c r="B187" s="113">
        <f>IF($C187="","","V"&amp;TEXT(ROW()-6,"00000"))</f>
        <v/>
      </c>
      <c r="C187" s="220" t="n"/>
      <c r="D187" s="108" t="n"/>
      <c r="E187" s="108" t="n"/>
      <c r="F187" s="221" t="n"/>
      <c r="G187" s="109" t="n"/>
      <c r="H187" s="109" t="n"/>
      <c r="I187" s="109" t="n"/>
      <c r="J187" s="113">
        <f>IF($C187="","",IF(AND($D187&lt;&gt;"",$E187&lt;&gt;"",$D187&lt;&gt;$E187,$F187&gt;0),"UYGUN","HATA"))</f>
        <v/>
      </c>
      <c r="K187" s="6" t="n"/>
      <c r="L187" s="6" t="n"/>
    </row>
    <row r="188">
      <c r="A188" s="6" t="n"/>
      <c r="B188" s="113">
        <f>IF($C188="","","V"&amp;TEXT(ROW()-6,"00000"))</f>
        <v/>
      </c>
      <c r="C188" s="220" t="n"/>
      <c r="D188" s="108" t="n"/>
      <c r="E188" s="108" t="n"/>
      <c r="F188" s="221" t="n"/>
      <c r="G188" s="109" t="n"/>
      <c r="H188" s="109" t="n"/>
      <c r="I188" s="109" t="n"/>
      <c r="J188" s="113">
        <f>IF($C188="","",IF(AND($D188&lt;&gt;"",$E188&lt;&gt;"",$D188&lt;&gt;$E188,$F188&gt;0),"UYGUN","HATA"))</f>
        <v/>
      </c>
      <c r="K188" s="6" t="n"/>
      <c r="L188" s="6" t="n"/>
    </row>
    <row r="189">
      <c r="A189" s="6" t="n"/>
      <c r="B189" s="113">
        <f>IF($C189="","","V"&amp;TEXT(ROW()-6,"00000"))</f>
        <v/>
      </c>
      <c r="C189" s="220" t="n"/>
      <c r="D189" s="108" t="n"/>
      <c r="E189" s="108" t="n"/>
      <c r="F189" s="221" t="n"/>
      <c r="G189" s="109" t="n"/>
      <c r="H189" s="109" t="n"/>
      <c r="I189" s="109" t="n"/>
      <c r="J189" s="113">
        <f>IF($C189="","",IF(AND($D189&lt;&gt;"",$E189&lt;&gt;"",$D189&lt;&gt;$E189,$F189&gt;0),"UYGUN","HATA"))</f>
        <v/>
      </c>
      <c r="K189" s="6" t="n"/>
      <c r="L189" s="6" t="n"/>
    </row>
    <row r="190">
      <c r="A190" s="6" t="n"/>
      <c r="B190" s="113">
        <f>IF($C190="","","V"&amp;TEXT(ROW()-6,"00000"))</f>
        <v/>
      </c>
      <c r="C190" s="220" t="n"/>
      <c r="D190" s="108" t="n"/>
      <c r="E190" s="108" t="n"/>
      <c r="F190" s="221" t="n"/>
      <c r="G190" s="109" t="n"/>
      <c r="H190" s="109" t="n"/>
      <c r="I190" s="109" t="n"/>
      <c r="J190" s="113">
        <f>IF($C190="","",IF(AND($D190&lt;&gt;"",$E190&lt;&gt;"",$D190&lt;&gt;$E190,$F190&gt;0),"UYGUN","HATA"))</f>
        <v/>
      </c>
      <c r="K190" s="6" t="n"/>
      <c r="L190" s="6" t="n"/>
    </row>
    <row r="191">
      <c r="A191" s="6" t="n"/>
      <c r="B191" s="113">
        <f>IF($C191="","","V"&amp;TEXT(ROW()-6,"00000"))</f>
        <v/>
      </c>
      <c r="C191" s="220" t="n"/>
      <c r="D191" s="108" t="n"/>
      <c r="E191" s="108" t="n"/>
      <c r="F191" s="221" t="n"/>
      <c r="G191" s="109" t="n"/>
      <c r="H191" s="109" t="n"/>
      <c r="I191" s="109" t="n"/>
      <c r="J191" s="113">
        <f>IF($C191="","",IF(AND($D191&lt;&gt;"",$E191&lt;&gt;"",$D191&lt;&gt;$E191,$F191&gt;0),"UYGUN","HATA"))</f>
        <v/>
      </c>
      <c r="K191" s="6" t="n"/>
      <c r="L191" s="6" t="n"/>
    </row>
    <row r="192">
      <c r="A192" s="6" t="n"/>
      <c r="B192" s="113">
        <f>IF($C192="","","V"&amp;TEXT(ROW()-6,"00000"))</f>
        <v/>
      </c>
      <c r="C192" s="220" t="n"/>
      <c r="D192" s="108" t="n"/>
      <c r="E192" s="108" t="n"/>
      <c r="F192" s="221" t="n"/>
      <c r="G192" s="109" t="n"/>
      <c r="H192" s="109" t="n"/>
      <c r="I192" s="109" t="n"/>
      <c r="J192" s="113">
        <f>IF($C192="","",IF(AND($D192&lt;&gt;"",$E192&lt;&gt;"",$D192&lt;&gt;$E192,$F192&gt;0),"UYGUN","HATA"))</f>
        <v/>
      </c>
      <c r="K192" s="6" t="n"/>
      <c r="L192" s="6" t="n"/>
    </row>
    <row r="193">
      <c r="A193" s="6" t="n"/>
      <c r="B193" s="113">
        <f>IF($C193="","","V"&amp;TEXT(ROW()-6,"00000"))</f>
        <v/>
      </c>
      <c r="C193" s="220" t="n"/>
      <c r="D193" s="108" t="n"/>
      <c r="E193" s="108" t="n"/>
      <c r="F193" s="221" t="n"/>
      <c r="G193" s="109" t="n"/>
      <c r="H193" s="109" t="n"/>
      <c r="I193" s="109" t="n"/>
      <c r="J193" s="113">
        <f>IF($C193="","",IF(AND($D193&lt;&gt;"",$E193&lt;&gt;"",$D193&lt;&gt;$E193,$F193&gt;0),"UYGUN","HATA"))</f>
        <v/>
      </c>
      <c r="K193" s="6" t="n"/>
      <c r="L193" s="6" t="n"/>
    </row>
    <row r="194">
      <c r="A194" s="6" t="n"/>
      <c r="B194" s="113">
        <f>IF($C194="","","V"&amp;TEXT(ROW()-6,"00000"))</f>
        <v/>
      </c>
      <c r="C194" s="220" t="n"/>
      <c r="D194" s="108" t="n"/>
      <c r="E194" s="108" t="n"/>
      <c r="F194" s="221" t="n"/>
      <c r="G194" s="109" t="n"/>
      <c r="H194" s="109" t="n"/>
      <c r="I194" s="109" t="n"/>
      <c r="J194" s="113">
        <f>IF($C194="","",IF(AND($D194&lt;&gt;"",$E194&lt;&gt;"",$D194&lt;&gt;$E194,$F194&gt;0),"UYGUN","HATA"))</f>
        <v/>
      </c>
      <c r="K194" s="6" t="n"/>
      <c r="L194" s="6" t="n"/>
    </row>
    <row r="195">
      <c r="A195" s="6" t="n"/>
      <c r="B195" s="113">
        <f>IF($C195="","","V"&amp;TEXT(ROW()-6,"00000"))</f>
        <v/>
      </c>
      <c r="C195" s="220" t="n"/>
      <c r="D195" s="108" t="n"/>
      <c r="E195" s="108" t="n"/>
      <c r="F195" s="221" t="n"/>
      <c r="G195" s="109" t="n"/>
      <c r="H195" s="109" t="n"/>
      <c r="I195" s="109" t="n"/>
      <c r="J195" s="113">
        <f>IF($C195="","",IF(AND($D195&lt;&gt;"",$E195&lt;&gt;"",$D195&lt;&gt;$E195,$F195&gt;0),"UYGUN","HATA"))</f>
        <v/>
      </c>
      <c r="K195" s="6" t="n"/>
      <c r="L195" s="6" t="n"/>
    </row>
    <row r="196">
      <c r="A196" s="6" t="n"/>
      <c r="B196" s="113">
        <f>IF($C196="","","V"&amp;TEXT(ROW()-6,"00000"))</f>
        <v/>
      </c>
      <c r="C196" s="220" t="n"/>
      <c r="D196" s="108" t="n"/>
      <c r="E196" s="108" t="n"/>
      <c r="F196" s="221" t="n"/>
      <c r="G196" s="109" t="n"/>
      <c r="H196" s="109" t="n"/>
      <c r="I196" s="109" t="n"/>
      <c r="J196" s="113">
        <f>IF($C196="","",IF(AND($D196&lt;&gt;"",$E196&lt;&gt;"",$D196&lt;&gt;$E196,$F196&gt;0),"UYGUN","HATA"))</f>
        <v/>
      </c>
      <c r="K196" s="6" t="n"/>
      <c r="L196" s="6" t="n"/>
    </row>
    <row r="197">
      <c r="A197" s="6" t="n"/>
      <c r="B197" s="113">
        <f>IF($C197="","","V"&amp;TEXT(ROW()-6,"00000"))</f>
        <v/>
      </c>
      <c r="C197" s="220" t="n"/>
      <c r="D197" s="108" t="n"/>
      <c r="E197" s="108" t="n"/>
      <c r="F197" s="221" t="n"/>
      <c r="G197" s="109" t="n"/>
      <c r="H197" s="109" t="n"/>
      <c r="I197" s="109" t="n"/>
      <c r="J197" s="113">
        <f>IF($C197="","",IF(AND($D197&lt;&gt;"",$E197&lt;&gt;"",$D197&lt;&gt;$E197,$F197&gt;0),"UYGUN","HATA"))</f>
        <v/>
      </c>
      <c r="K197" s="6" t="n"/>
      <c r="L197" s="6" t="n"/>
    </row>
    <row r="198">
      <c r="A198" s="6" t="n"/>
      <c r="B198" s="113">
        <f>IF($C198="","","V"&amp;TEXT(ROW()-6,"00000"))</f>
        <v/>
      </c>
      <c r="C198" s="220" t="n"/>
      <c r="D198" s="108" t="n"/>
      <c r="E198" s="108" t="n"/>
      <c r="F198" s="221" t="n"/>
      <c r="G198" s="109" t="n"/>
      <c r="H198" s="109" t="n"/>
      <c r="I198" s="109" t="n"/>
      <c r="J198" s="113">
        <f>IF($C198="","",IF(AND($D198&lt;&gt;"",$E198&lt;&gt;"",$D198&lt;&gt;$E198,$F198&gt;0),"UYGUN","HATA"))</f>
        <v/>
      </c>
      <c r="K198" s="6" t="n"/>
      <c r="L198" s="6" t="n"/>
    </row>
    <row r="199">
      <c r="A199" s="6" t="n"/>
      <c r="B199" s="113">
        <f>IF($C199="","","V"&amp;TEXT(ROW()-6,"00000"))</f>
        <v/>
      </c>
      <c r="C199" s="220" t="n"/>
      <c r="D199" s="108" t="n"/>
      <c r="E199" s="108" t="n"/>
      <c r="F199" s="221" t="n"/>
      <c r="G199" s="109" t="n"/>
      <c r="H199" s="109" t="n"/>
      <c r="I199" s="109" t="n"/>
      <c r="J199" s="113">
        <f>IF($C199="","",IF(AND($D199&lt;&gt;"",$E199&lt;&gt;"",$D199&lt;&gt;$E199,$F199&gt;0),"UYGUN","HATA"))</f>
        <v/>
      </c>
      <c r="K199" s="6" t="n"/>
      <c r="L199" s="6" t="n"/>
    </row>
    <row r="200">
      <c r="A200" s="6" t="n"/>
      <c r="B200" s="113">
        <f>IF($C200="","","V"&amp;TEXT(ROW()-6,"00000"))</f>
        <v/>
      </c>
      <c r="C200" s="220" t="n"/>
      <c r="D200" s="108" t="n"/>
      <c r="E200" s="108" t="n"/>
      <c r="F200" s="221" t="n"/>
      <c r="G200" s="109" t="n"/>
      <c r="H200" s="109" t="n"/>
      <c r="I200" s="109" t="n"/>
      <c r="J200" s="113">
        <f>IF($C200="","",IF(AND($D200&lt;&gt;"",$E200&lt;&gt;"",$D200&lt;&gt;$E200,$F200&gt;0),"UYGUN","HATA"))</f>
        <v/>
      </c>
      <c r="K200" s="6" t="n"/>
      <c r="L200" s="6" t="n"/>
    </row>
    <row r="201">
      <c r="A201" s="6" t="n"/>
      <c r="B201" s="113">
        <f>IF($C201="","","V"&amp;TEXT(ROW()-6,"00000"))</f>
        <v/>
      </c>
      <c r="C201" s="220" t="n"/>
      <c r="D201" s="108" t="n"/>
      <c r="E201" s="108" t="n"/>
      <c r="F201" s="221" t="n"/>
      <c r="G201" s="109" t="n"/>
      <c r="H201" s="109" t="n"/>
      <c r="I201" s="109" t="n"/>
      <c r="J201" s="113">
        <f>IF($C201="","",IF(AND($D201&lt;&gt;"",$E201&lt;&gt;"",$D201&lt;&gt;$E201,$F201&gt;0),"UYGUN","HATA"))</f>
        <v/>
      </c>
      <c r="K201" s="6" t="n"/>
      <c r="L201" s="6" t="n"/>
    </row>
    <row r="202">
      <c r="A202" s="6" t="n"/>
      <c r="B202" s="113">
        <f>IF($C202="","","V"&amp;TEXT(ROW()-6,"00000"))</f>
        <v/>
      </c>
      <c r="C202" s="220" t="n"/>
      <c r="D202" s="108" t="n"/>
      <c r="E202" s="108" t="n"/>
      <c r="F202" s="221" t="n"/>
      <c r="G202" s="109" t="n"/>
      <c r="H202" s="109" t="n"/>
      <c r="I202" s="109" t="n"/>
      <c r="J202" s="113">
        <f>IF($C202="","",IF(AND($D202&lt;&gt;"",$E202&lt;&gt;"",$D202&lt;&gt;$E202,$F202&gt;0),"UYGUN","HATA"))</f>
        <v/>
      </c>
      <c r="K202" s="6" t="n"/>
      <c r="L202" s="6" t="n"/>
    </row>
    <row r="203">
      <c r="A203" s="6" t="n"/>
      <c r="B203" s="113">
        <f>IF($C203="","","V"&amp;TEXT(ROW()-6,"00000"))</f>
        <v/>
      </c>
      <c r="C203" s="220" t="n"/>
      <c r="D203" s="108" t="n"/>
      <c r="E203" s="108" t="n"/>
      <c r="F203" s="221" t="n"/>
      <c r="G203" s="109" t="n"/>
      <c r="H203" s="109" t="n"/>
      <c r="I203" s="109" t="n"/>
      <c r="J203" s="113">
        <f>IF($C203="","",IF(AND($D203&lt;&gt;"",$E203&lt;&gt;"",$D203&lt;&gt;$E203,$F203&gt;0),"UYGUN","HATA"))</f>
        <v/>
      </c>
      <c r="K203" s="6" t="n"/>
      <c r="L203" s="6" t="n"/>
    </row>
    <row r="204">
      <c r="A204" s="6" t="n"/>
      <c r="B204" s="113">
        <f>IF($C204="","","V"&amp;TEXT(ROW()-6,"00000"))</f>
        <v/>
      </c>
      <c r="C204" s="220" t="n"/>
      <c r="D204" s="108" t="n"/>
      <c r="E204" s="108" t="n"/>
      <c r="F204" s="221" t="n"/>
      <c r="G204" s="109" t="n"/>
      <c r="H204" s="109" t="n"/>
      <c r="I204" s="109" t="n"/>
      <c r="J204" s="113">
        <f>IF($C204="","",IF(AND($D204&lt;&gt;"",$E204&lt;&gt;"",$D204&lt;&gt;$E204,$F204&gt;0),"UYGUN","HATA"))</f>
        <v/>
      </c>
      <c r="K204" s="6" t="n"/>
      <c r="L204" s="6" t="n"/>
    </row>
    <row r="205">
      <c r="A205" s="6" t="n"/>
      <c r="B205" s="113">
        <f>IF($C205="","","V"&amp;TEXT(ROW()-6,"00000"))</f>
        <v/>
      </c>
      <c r="C205" s="220" t="n"/>
      <c r="D205" s="108" t="n"/>
      <c r="E205" s="108" t="n"/>
      <c r="F205" s="221" t="n"/>
      <c r="G205" s="109" t="n"/>
      <c r="H205" s="109" t="n"/>
      <c r="I205" s="109" t="n"/>
      <c r="J205" s="113">
        <f>IF($C205="","",IF(AND($D205&lt;&gt;"",$E205&lt;&gt;"",$D205&lt;&gt;$E205,$F205&gt;0),"UYGUN","HATA"))</f>
        <v/>
      </c>
      <c r="K205" s="6" t="n"/>
      <c r="L205" s="6" t="n"/>
    </row>
    <row r="206">
      <c r="A206" s="6" t="n"/>
      <c r="B206" s="113">
        <f>IF($C206="","","V"&amp;TEXT(ROW()-6,"00000"))</f>
        <v/>
      </c>
      <c r="C206" s="220" t="n"/>
      <c r="D206" s="108" t="n"/>
      <c r="E206" s="108" t="n"/>
      <c r="F206" s="221" t="n"/>
      <c r="G206" s="109" t="n"/>
      <c r="H206" s="109" t="n"/>
      <c r="I206" s="109" t="n"/>
      <c r="J206" s="113">
        <f>IF($C206="","",IF(AND($D206&lt;&gt;"",$E206&lt;&gt;"",$D206&lt;&gt;$E206,$F206&gt;0),"UYGUN","HATA"))</f>
        <v/>
      </c>
      <c r="K206" s="6" t="n"/>
      <c r="L206" s="6" t="n"/>
    </row>
    <row r="207">
      <c r="A207" s="6" t="n"/>
      <c r="B207" s="113">
        <f>IF($C207="","","V"&amp;TEXT(ROW()-6,"00000"))</f>
        <v/>
      </c>
      <c r="C207" s="220" t="n"/>
      <c r="D207" s="108" t="n"/>
      <c r="E207" s="108" t="n"/>
      <c r="F207" s="221" t="n"/>
      <c r="G207" s="109" t="n"/>
      <c r="H207" s="109" t="n"/>
      <c r="I207" s="109" t="n"/>
      <c r="J207" s="113">
        <f>IF($C207="","",IF(AND($D207&lt;&gt;"",$E207&lt;&gt;"",$D207&lt;&gt;$E207,$F207&gt;0),"UYGUN","HATA"))</f>
        <v/>
      </c>
      <c r="K207" s="6" t="n"/>
      <c r="L207" s="6" t="n"/>
    </row>
    <row r="208">
      <c r="A208" s="6" t="n"/>
      <c r="B208" s="113">
        <f>IF($C208="","","V"&amp;TEXT(ROW()-6,"00000"))</f>
        <v/>
      </c>
      <c r="C208" s="220" t="n"/>
      <c r="D208" s="108" t="n"/>
      <c r="E208" s="108" t="n"/>
      <c r="F208" s="221" t="n"/>
      <c r="G208" s="109" t="n"/>
      <c r="H208" s="109" t="n"/>
      <c r="I208" s="109" t="n"/>
      <c r="J208" s="113">
        <f>IF($C208="","",IF(AND($D208&lt;&gt;"",$E208&lt;&gt;"",$D208&lt;&gt;$E208,$F208&gt;0),"UYGUN","HATA"))</f>
        <v/>
      </c>
      <c r="K208" s="6" t="n"/>
      <c r="L208" s="6" t="n"/>
    </row>
    <row r="209">
      <c r="A209" s="6" t="n"/>
      <c r="B209" s="113">
        <f>IF($C209="","","V"&amp;TEXT(ROW()-6,"00000"))</f>
        <v/>
      </c>
      <c r="C209" s="220" t="n"/>
      <c r="D209" s="108" t="n"/>
      <c r="E209" s="108" t="n"/>
      <c r="F209" s="221" t="n"/>
      <c r="G209" s="109" t="n"/>
      <c r="H209" s="109" t="n"/>
      <c r="I209" s="109" t="n"/>
      <c r="J209" s="113">
        <f>IF($C209="","",IF(AND($D209&lt;&gt;"",$E209&lt;&gt;"",$D209&lt;&gt;$E209,$F209&gt;0),"UYGUN","HATA"))</f>
        <v/>
      </c>
      <c r="K209" s="6" t="n"/>
      <c r="L209" s="6" t="n"/>
    </row>
    <row r="210">
      <c r="A210" s="6" t="n"/>
      <c r="B210" s="113">
        <f>IF($C210="","","V"&amp;TEXT(ROW()-6,"00000"))</f>
        <v/>
      </c>
      <c r="C210" s="220" t="n"/>
      <c r="D210" s="108" t="n"/>
      <c r="E210" s="108" t="n"/>
      <c r="F210" s="221" t="n"/>
      <c r="G210" s="109" t="n"/>
      <c r="H210" s="109" t="n"/>
      <c r="I210" s="109" t="n"/>
      <c r="J210" s="113">
        <f>IF($C210="","",IF(AND($D210&lt;&gt;"",$E210&lt;&gt;"",$D210&lt;&gt;$E210,$F210&gt;0),"UYGUN","HATA"))</f>
        <v/>
      </c>
      <c r="K210" s="6" t="n"/>
      <c r="L210" s="6" t="n"/>
    </row>
    <row r="211">
      <c r="A211" s="6" t="n"/>
      <c r="B211" s="113">
        <f>IF($C211="","","V"&amp;TEXT(ROW()-6,"00000"))</f>
        <v/>
      </c>
      <c r="C211" s="220" t="n"/>
      <c r="D211" s="108" t="n"/>
      <c r="E211" s="108" t="n"/>
      <c r="F211" s="221" t="n"/>
      <c r="G211" s="109" t="n"/>
      <c r="H211" s="109" t="n"/>
      <c r="I211" s="109" t="n"/>
      <c r="J211" s="113">
        <f>IF($C211="","",IF(AND($D211&lt;&gt;"",$E211&lt;&gt;"",$D211&lt;&gt;$E211,$F211&gt;0),"UYGUN","HATA"))</f>
        <v/>
      </c>
      <c r="K211" s="6" t="n"/>
      <c r="L211" s="6" t="n"/>
    </row>
    <row r="212">
      <c r="A212" s="6" t="n"/>
      <c r="B212" s="113">
        <f>IF($C212="","","V"&amp;TEXT(ROW()-6,"00000"))</f>
        <v/>
      </c>
      <c r="C212" s="220" t="n"/>
      <c r="D212" s="108" t="n"/>
      <c r="E212" s="108" t="n"/>
      <c r="F212" s="221" t="n"/>
      <c r="G212" s="109" t="n"/>
      <c r="H212" s="109" t="n"/>
      <c r="I212" s="109" t="n"/>
      <c r="J212" s="113">
        <f>IF($C212="","",IF(AND($D212&lt;&gt;"",$E212&lt;&gt;"",$D212&lt;&gt;$E212,$F212&gt;0),"UYGUN","HATA"))</f>
        <v/>
      </c>
      <c r="K212" s="6" t="n"/>
      <c r="L212" s="6" t="n"/>
    </row>
    <row r="213">
      <c r="A213" s="6" t="n"/>
      <c r="B213" s="113">
        <f>IF($C213="","","V"&amp;TEXT(ROW()-6,"00000"))</f>
        <v/>
      </c>
      <c r="C213" s="220" t="n"/>
      <c r="D213" s="108" t="n"/>
      <c r="E213" s="108" t="n"/>
      <c r="F213" s="221" t="n"/>
      <c r="G213" s="109" t="n"/>
      <c r="H213" s="109" t="n"/>
      <c r="I213" s="109" t="n"/>
      <c r="J213" s="113">
        <f>IF($C213="","",IF(AND($D213&lt;&gt;"",$E213&lt;&gt;"",$D213&lt;&gt;$E213,$F213&gt;0),"UYGUN","HATA"))</f>
        <v/>
      </c>
      <c r="K213" s="6" t="n"/>
      <c r="L213" s="6" t="n"/>
    </row>
    <row r="214">
      <c r="A214" s="6" t="n"/>
      <c r="B214" s="113">
        <f>IF($C214="","","V"&amp;TEXT(ROW()-6,"00000"))</f>
        <v/>
      </c>
      <c r="C214" s="220" t="n"/>
      <c r="D214" s="108" t="n"/>
      <c r="E214" s="108" t="n"/>
      <c r="F214" s="221" t="n"/>
      <c r="G214" s="109" t="n"/>
      <c r="H214" s="109" t="n"/>
      <c r="I214" s="109" t="n"/>
      <c r="J214" s="113">
        <f>IF($C214="","",IF(AND($D214&lt;&gt;"",$E214&lt;&gt;"",$D214&lt;&gt;$E214,$F214&gt;0),"UYGUN","HATA"))</f>
        <v/>
      </c>
      <c r="K214" s="6" t="n"/>
      <c r="L214" s="6" t="n"/>
    </row>
    <row r="215">
      <c r="A215" s="6" t="n"/>
      <c r="B215" s="113">
        <f>IF($C215="","","V"&amp;TEXT(ROW()-6,"00000"))</f>
        <v/>
      </c>
      <c r="C215" s="220" t="n"/>
      <c r="D215" s="108" t="n"/>
      <c r="E215" s="108" t="n"/>
      <c r="F215" s="221" t="n"/>
      <c r="G215" s="109" t="n"/>
      <c r="H215" s="109" t="n"/>
      <c r="I215" s="109" t="n"/>
      <c r="J215" s="113">
        <f>IF($C215="","",IF(AND($D215&lt;&gt;"",$E215&lt;&gt;"",$D215&lt;&gt;$E215,$F215&gt;0),"UYGUN","HATA"))</f>
        <v/>
      </c>
      <c r="K215" s="6" t="n"/>
      <c r="L215" s="6" t="n"/>
    </row>
    <row r="216">
      <c r="A216" s="6" t="n"/>
      <c r="B216" s="113">
        <f>IF($C216="","","V"&amp;TEXT(ROW()-6,"00000"))</f>
        <v/>
      </c>
      <c r="C216" s="220" t="n"/>
      <c r="D216" s="108" t="n"/>
      <c r="E216" s="108" t="n"/>
      <c r="F216" s="221" t="n"/>
      <c r="G216" s="109" t="n"/>
      <c r="H216" s="109" t="n"/>
      <c r="I216" s="109" t="n"/>
      <c r="J216" s="113">
        <f>IF($C216="","",IF(AND($D216&lt;&gt;"",$E216&lt;&gt;"",$D216&lt;&gt;$E216,$F216&gt;0),"UYGUN","HATA"))</f>
        <v/>
      </c>
      <c r="K216" s="6" t="n"/>
      <c r="L216" s="6" t="n"/>
    </row>
    <row r="217">
      <c r="A217" s="6" t="n"/>
      <c r="B217" s="113">
        <f>IF($C217="","","V"&amp;TEXT(ROW()-6,"00000"))</f>
        <v/>
      </c>
      <c r="C217" s="220" t="n"/>
      <c r="D217" s="108" t="n"/>
      <c r="E217" s="108" t="n"/>
      <c r="F217" s="221" t="n"/>
      <c r="G217" s="109" t="n"/>
      <c r="H217" s="109" t="n"/>
      <c r="I217" s="109" t="n"/>
      <c r="J217" s="113">
        <f>IF($C217="","",IF(AND($D217&lt;&gt;"",$E217&lt;&gt;"",$D217&lt;&gt;$E217,$F217&gt;0),"UYGUN","HATA"))</f>
        <v/>
      </c>
      <c r="K217" s="6" t="n"/>
      <c r="L217" s="6" t="n"/>
    </row>
    <row r="218">
      <c r="A218" s="6" t="n"/>
      <c r="B218" s="113">
        <f>IF($C218="","","V"&amp;TEXT(ROW()-6,"00000"))</f>
        <v/>
      </c>
      <c r="C218" s="220" t="n"/>
      <c r="D218" s="108" t="n"/>
      <c r="E218" s="108" t="n"/>
      <c r="F218" s="221" t="n"/>
      <c r="G218" s="109" t="n"/>
      <c r="H218" s="109" t="n"/>
      <c r="I218" s="109" t="n"/>
      <c r="J218" s="113">
        <f>IF($C218="","",IF(AND($D218&lt;&gt;"",$E218&lt;&gt;"",$D218&lt;&gt;$E218,$F218&gt;0),"UYGUN","HATA"))</f>
        <v/>
      </c>
      <c r="K218" s="6" t="n"/>
      <c r="L218" s="6" t="n"/>
    </row>
    <row r="219">
      <c r="A219" s="6" t="n"/>
      <c r="B219" s="113">
        <f>IF($C219="","","V"&amp;TEXT(ROW()-6,"00000"))</f>
        <v/>
      </c>
      <c r="C219" s="220" t="n"/>
      <c r="D219" s="108" t="n"/>
      <c r="E219" s="108" t="n"/>
      <c r="F219" s="221" t="n"/>
      <c r="G219" s="109" t="n"/>
      <c r="H219" s="109" t="n"/>
      <c r="I219" s="109" t="n"/>
      <c r="J219" s="113">
        <f>IF($C219="","",IF(AND($D219&lt;&gt;"",$E219&lt;&gt;"",$D219&lt;&gt;$E219,$F219&gt;0),"UYGUN","HATA"))</f>
        <v/>
      </c>
      <c r="K219" s="6" t="n"/>
      <c r="L219" s="6" t="n"/>
    </row>
    <row r="220">
      <c r="A220" s="6" t="n"/>
      <c r="B220" s="113">
        <f>IF($C220="","","V"&amp;TEXT(ROW()-6,"00000"))</f>
        <v/>
      </c>
      <c r="C220" s="220" t="n"/>
      <c r="D220" s="108" t="n"/>
      <c r="E220" s="108" t="n"/>
      <c r="F220" s="221" t="n"/>
      <c r="G220" s="109" t="n"/>
      <c r="H220" s="109" t="n"/>
      <c r="I220" s="109" t="n"/>
      <c r="J220" s="113">
        <f>IF($C220="","",IF(AND($D220&lt;&gt;"",$E220&lt;&gt;"",$D220&lt;&gt;$E220,$F220&gt;0),"UYGUN","HATA"))</f>
        <v/>
      </c>
      <c r="K220" s="6" t="n"/>
      <c r="L220" s="6" t="n"/>
    </row>
    <row r="221">
      <c r="A221" s="6" t="n"/>
      <c r="B221" s="113">
        <f>IF($C221="","","V"&amp;TEXT(ROW()-6,"00000"))</f>
        <v/>
      </c>
      <c r="C221" s="220" t="n"/>
      <c r="D221" s="108" t="n"/>
      <c r="E221" s="108" t="n"/>
      <c r="F221" s="221" t="n"/>
      <c r="G221" s="109" t="n"/>
      <c r="H221" s="109" t="n"/>
      <c r="I221" s="109" t="n"/>
      <c r="J221" s="113">
        <f>IF($C221="","",IF(AND($D221&lt;&gt;"",$E221&lt;&gt;"",$D221&lt;&gt;$E221,$F221&gt;0),"UYGUN","HATA"))</f>
        <v/>
      </c>
      <c r="K221" s="6" t="n"/>
      <c r="L221" s="6" t="n"/>
    </row>
    <row r="222">
      <c r="A222" s="6" t="n"/>
      <c r="B222" s="113">
        <f>IF($C222="","","V"&amp;TEXT(ROW()-6,"00000"))</f>
        <v/>
      </c>
      <c r="C222" s="220" t="n"/>
      <c r="D222" s="108" t="n"/>
      <c r="E222" s="108" t="n"/>
      <c r="F222" s="221" t="n"/>
      <c r="G222" s="109" t="n"/>
      <c r="H222" s="109" t="n"/>
      <c r="I222" s="109" t="n"/>
      <c r="J222" s="113">
        <f>IF($C222="","",IF(AND($D222&lt;&gt;"",$E222&lt;&gt;"",$D222&lt;&gt;$E222,$F222&gt;0),"UYGUN","HATA"))</f>
        <v/>
      </c>
      <c r="K222" s="6" t="n"/>
      <c r="L222" s="6" t="n"/>
    </row>
    <row r="223">
      <c r="A223" s="6" t="n"/>
      <c r="B223" s="113">
        <f>IF($C223="","","V"&amp;TEXT(ROW()-6,"00000"))</f>
        <v/>
      </c>
      <c r="C223" s="220" t="n"/>
      <c r="D223" s="108" t="n"/>
      <c r="E223" s="108" t="n"/>
      <c r="F223" s="221" t="n"/>
      <c r="G223" s="109" t="n"/>
      <c r="H223" s="109" t="n"/>
      <c r="I223" s="109" t="n"/>
      <c r="J223" s="113">
        <f>IF($C223="","",IF(AND($D223&lt;&gt;"",$E223&lt;&gt;"",$D223&lt;&gt;$E223,$F223&gt;0),"UYGUN","HATA"))</f>
        <v/>
      </c>
      <c r="K223" s="6" t="n"/>
      <c r="L223" s="6" t="n"/>
    </row>
    <row r="224">
      <c r="A224" s="6" t="n"/>
      <c r="B224" s="113">
        <f>IF($C224="","","V"&amp;TEXT(ROW()-6,"00000"))</f>
        <v/>
      </c>
      <c r="C224" s="220" t="n"/>
      <c r="D224" s="108" t="n"/>
      <c r="E224" s="108" t="n"/>
      <c r="F224" s="221" t="n"/>
      <c r="G224" s="109" t="n"/>
      <c r="H224" s="109" t="n"/>
      <c r="I224" s="109" t="n"/>
      <c r="J224" s="113">
        <f>IF($C224="","",IF(AND($D224&lt;&gt;"",$E224&lt;&gt;"",$D224&lt;&gt;$E224,$F224&gt;0),"UYGUN","HATA"))</f>
        <v/>
      </c>
      <c r="K224" s="6" t="n"/>
      <c r="L224" s="6" t="n"/>
    </row>
    <row r="225">
      <c r="A225" s="6" t="n"/>
      <c r="B225" s="113">
        <f>IF($C225="","","V"&amp;TEXT(ROW()-6,"00000"))</f>
        <v/>
      </c>
      <c r="C225" s="220" t="n"/>
      <c r="D225" s="108" t="n"/>
      <c r="E225" s="108" t="n"/>
      <c r="F225" s="221" t="n"/>
      <c r="G225" s="109" t="n"/>
      <c r="H225" s="109" t="n"/>
      <c r="I225" s="109" t="n"/>
      <c r="J225" s="113">
        <f>IF($C225="","",IF(AND($D225&lt;&gt;"",$E225&lt;&gt;"",$D225&lt;&gt;$E225,$F225&gt;0),"UYGUN","HATA"))</f>
        <v/>
      </c>
      <c r="K225" s="6" t="n"/>
      <c r="L225" s="6" t="n"/>
    </row>
    <row r="226">
      <c r="A226" s="6" t="n"/>
      <c r="B226" s="113">
        <f>IF($C226="","","V"&amp;TEXT(ROW()-6,"00000"))</f>
        <v/>
      </c>
      <c r="C226" s="220" t="n"/>
      <c r="D226" s="108" t="n"/>
      <c r="E226" s="108" t="n"/>
      <c r="F226" s="221" t="n"/>
      <c r="G226" s="109" t="n"/>
      <c r="H226" s="109" t="n"/>
      <c r="I226" s="109" t="n"/>
      <c r="J226" s="113">
        <f>IF($C226="","",IF(AND($D226&lt;&gt;"",$E226&lt;&gt;"",$D226&lt;&gt;$E226,$F226&gt;0),"UYGUN","HATA"))</f>
        <v/>
      </c>
      <c r="K226" s="6" t="n"/>
      <c r="L226" s="6" t="n"/>
    </row>
    <row r="227">
      <c r="A227" s="6" t="n"/>
      <c r="B227" s="113">
        <f>IF($C227="","","V"&amp;TEXT(ROW()-6,"00000"))</f>
        <v/>
      </c>
      <c r="C227" s="220" t="n"/>
      <c r="D227" s="108" t="n"/>
      <c r="E227" s="108" t="n"/>
      <c r="F227" s="221" t="n"/>
      <c r="G227" s="109" t="n"/>
      <c r="H227" s="109" t="n"/>
      <c r="I227" s="109" t="n"/>
      <c r="J227" s="113">
        <f>IF($C227="","",IF(AND($D227&lt;&gt;"",$E227&lt;&gt;"",$D227&lt;&gt;$E227,$F227&gt;0),"UYGUN","HATA"))</f>
        <v/>
      </c>
      <c r="K227" s="6" t="n"/>
      <c r="L227" s="6" t="n"/>
    </row>
    <row r="228">
      <c r="A228" s="6" t="n"/>
      <c r="B228" s="113">
        <f>IF($C228="","","V"&amp;TEXT(ROW()-6,"00000"))</f>
        <v/>
      </c>
      <c r="C228" s="220" t="n"/>
      <c r="D228" s="108" t="n"/>
      <c r="E228" s="108" t="n"/>
      <c r="F228" s="221" t="n"/>
      <c r="G228" s="109" t="n"/>
      <c r="H228" s="109" t="n"/>
      <c r="I228" s="109" t="n"/>
      <c r="J228" s="113">
        <f>IF($C228="","",IF(AND($D228&lt;&gt;"",$E228&lt;&gt;"",$D228&lt;&gt;$E228,$F228&gt;0),"UYGUN","HATA"))</f>
        <v/>
      </c>
      <c r="K228" s="6" t="n"/>
      <c r="L228" s="6" t="n"/>
    </row>
    <row r="229">
      <c r="A229" s="6" t="n"/>
      <c r="B229" s="113">
        <f>IF($C229="","","V"&amp;TEXT(ROW()-6,"00000"))</f>
        <v/>
      </c>
      <c r="C229" s="220" t="n"/>
      <c r="D229" s="108" t="n"/>
      <c r="E229" s="108" t="n"/>
      <c r="F229" s="221" t="n"/>
      <c r="G229" s="109" t="n"/>
      <c r="H229" s="109" t="n"/>
      <c r="I229" s="109" t="n"/>
      <c r="J229" s="113">
        <f>IF($C229="","",IF(AND($D229&lt;&gt;"",$E229&lt;&gt;"",$D229&lt;&gt;$E229,$F229&gt;0),"UYGUN","HATA"))</f>
        <v/>
      </c>
      <c r="K229" s="6" t="n"/>
      <c r="L229" s="6" t="n"/>
    </row>
    <row r="230">
      <c r="A230" s="6" t="n"/>
      <c r="B230" s="113">
        <f>IF($C230="","","V"&amp;TEXT(ROW()-6,"00000"))</f>
        <v/>
      </c>
      <c r="C230" s="220" t="n"/>
      <c r="D230" s="108" t="n"/>
      <c r="E230" s="108" t="n"/>
      <c r="F230" s="221" t="n"/>
      <c r="G230" s="109" t="n"/>
      <c r="H230" s="109" t="n"/>
      <c r="I230" s="109" t="n"/>
      <c r="J230" s="113">
        <f>IF($C230="","",IF(AND($D230&lt;&gt;"",$E230&lt;&gt;"",$D230&lt;&gt;$E230,$F230&gt;0),"UYGUN","HATA"))</f>
        <v/>
      </c>
      <c r="K230" s="6" t="n"/>
      <c r="L230" s="6" t="n"/>
    </row>
    <row r="231">
      <c r="A231" s="6" t="n"/>
      <c r="B231" s="113">
        <f>IF($C231="","","V"&amp;TEXT(ROW()-6,"00000"))</f>
        <v/>
      </c>
      <c r="C231" s="220" t="n"/>
      <c r="D231" s="108" t="n"/>
      <c r="E231" s="108" t="n"/>
      <c r="F231" s="221" t="n"/>
      <c r="G231" s="109" t="n"/>
      <c r="H231" s="109" t="n"/>
      <c r="I231" s="109" t="n"/>
      <c r="J231" s="113">
        <f>IF($C231="","",IF(AND($D231&lt;&gt;"",$E231&lt;&gt;"",$D231&lt;&gt;$E231,$F231&gt;0),"UYGUN","HATA"))</f>
        <v/>
      </c>
      <c r="K231" s="6" t="n"/>
      <c r="L231" s="6" t="n"/>
    </row>
    <row r="232">
      <c r="A232" s="6" t="n"/>
      <c r="B232" s="113">
        <f>IF($C232="","","V"&amp;TEXT(ROW()-6,"00000"))</f>
        <v/>
      </c>
      <c r="C232" s="220" t="n"/>
      <c r="D232" s="108" t="n"/>
      <c r="E232" s="108" t="n"/>
      <c r="F232" s="221" t="n"/>
      <c r="G232" s="109" t="n"/>
      <c r="H232" s="109" t="n"/>
      <c r="I232" s="109" t="n"/>
      <c r="J232" s="113">
        <f>IF($C232="","",IF(AND($D232&lt;&gt;"",$E232&lt;&gt;"",$D232&lt;&gt;$E232,$F232&gt;0),"UYGUN","HATA"))</f>
        <v/>
      </c>
      <c r="K232" s="6" t="n"/>
      <c r="L232" s="6" t="n"/>
    </row>
    <row r="233">
      <c r="A233" s="6" t="n"/>
      <c r="B233" s="113">
        <f>IF($C233="","","V"&amp;TEXT(ROW()-6,"00000"))</f>
        <v/>
      </c>
      <c r="C233" s="220" t="n"/>
      <c r="D233" s="108" t="n"/>
      <c r="E233" s="108" t="n"/>
      <c r="F233" s="221" t="n"/>
      <c r="G233" s="109" t="n"/>
      <c r="H233" s="109" t="n"/>
      <c r="I233" s="109" t="n"/>
      <c r="J233" s="113">
        <f>IF($C233="","",IF(AND($D233&lt;&gt;"",$E233&lt;&gt;"",$D233&lt;&gt;$E233,$F233&gt;0),"UYGUN","HATA"))</f>
        <v/>
      </c>
      <c r="K233" s="6" t="n"/>
      <c r="L233" s="6" t="n"/>
    </row>
    <row r="234">
      <c r="A234" s="6" t="n"/>
      <c r="B234" s="113">
        <f>IF($C234="","","V"&amp;TEXT(ROW()-6,"00000"))</f>
        <v/>
      </c>
      <c r="C234" s="220" t="n"/>
      <c r="D234" s="108" t="n"/>
      <c r="E234" s="108" t="n"/>
      <c r="F234" s="221" t="n"/>
      <c r="G234" s="109" t="n"/>
      <c r="H234" s="109" t="n"/>
      <c r="I234" s="109" t="n"/>
      <c r="J234" s="113">
        <f>IF($C234="","",IF(AND($D234&lt;&gt;"",$E234&lt;&gt;"",$D234&lt;&gt;$E234,$F234&gt;0),"UYGUN","HATA"))</f>
        <v/>
      </c>
      <c r="K234" s="6" t="n"/>
      <c r="L234" s="6" t="n"/>
    </row>
    <row r="235">
      <c r="A235" s="6" t="n"/>
      <c r="B235" s="113">
        <f>IF($C235="","","V"&amp;TEXT(ROW()-6,"00000"))</f>
        <v/>
      </c>
      <c r="C235" s="220" t="n"/>
      <c r="D235" s="108" t="n"/>
      <c r="E235" s="108" t="n"/>
      <c r="F235" s="221" t="n"/>
      <c r="G235" s="109" t="n"/>
      <c r="H235" s="109" t="n"/>
      <c r="I235" s="109" t="n"/>
      <c r="J235" s="113">
        <f>IF($C235="","",IF(AND($D235&lt;&gt;"",$E235&lt;&gt;"",$D235&lt;&gt;$E235,$F235&gt;0),"UYGUN","HATA"))</f>
        <v/>
      </c>
      <c r="K235" s="6" t="n"/>
      <c r="L235" s="6" t="n"/>
    </row>
    <row r="236">
      <c r="A236" s="6" t="n"/>
      <c r="B236" s="113">
        <f>IF($C236="","","V"&amp;TEXT(ROW()-6,"00000"))</f>
        <v/>
      </c>
      <c r="C236" s="220" t="n"/>
      <c r="D236" s="108" t="n"/>
      <c r="E236" s="108" t="n"/>
      <c r="F236" s="221" t="n"/>
      <c r="G236" s="109" t="n"/>
      <c r="H236" s="109" t="n"/>
      <c r="I236" s="109" t="n"/>
      <c r="J236" s="113">
        <f>IF($C236="","",IF(AND($D236&lt;&gt;"",$E236&lt;&gt;"",$D236&lt;&gt;$E236,$F236&gt;0),"UYGUN","HATA"))</f>
        <v/>
      </c>
      <c r="K236" s="6" t="n"/>
      <c r="L236" s="6" t="n"/>
    </row>
    <row r="237">
      <c r="A237" s="6" t="n"/>
      <c r="B237" s="113">
        <f>IF($C237="","","V"&amp;TEXT(ROW()-6,"00000"))</f>
        <v/>
      </c>
      <c r="C237" s="220" t="n"/>
      <c r="D237" s="108" t="n"/>
      <c r="E237" s="108" t="n"/>
      <c r="F237" s="221" t="n"/>
      <c r="G237" s="109" t="n"/>
      <c r="H237" s="109" t="n"/>
      <c r="I237" s="109" t="n"/>
      <c r="J237" s="113">
        <f>IF($C237="","",IF(AND($D237&lt;&gt;"",$E237&lt;&gt;"",$D237&lt;&gt;$E237,$F237&gt;0),"UYGUN","HATA"))</f>
        <v/>
      </c>
      <c r="K237" s="6" t="n"/>
      <c r="L237" s="6" t="n"/>
    </row>
    <row r="238">
      <c r="A238" s="6" t="n"/>
      <c r="B238" s="113">
        <f>IF($C238="","","V"&amp;TEXT(ROW()-6,"00000"))</f>
        <v/>
      </c>
      <c r="C238" s="220" t="n"/>
      <c r="D238" s="108" t="n"/>
      <c r="E238" s="108" t="n"/>
      <c r="F238" s="221" t="n"/>
      <c r="G238" s="109" t="n"/>
      <c r="H238" s="109" t="n"/>
      <c r="I238" s="109" t="n"/>
      <c r="J238" s="113">
        <f>IF($C238="","",IF(AND($D238&lt;&gt;"",$E238&lt;&gt;"",$D238&lt;&gt;$E238,$F238&gt;0),"UYGUN","HATA"))</f>
        <v/>
      </c>
      <c r="K238" s="6" t="n"/>
      <c r="L238" s="6" t="n"/>
    </row>
    <row r="239">
      <c r="A239" s="6" t="n"/>
      <c r="B239" s="113">
        <f>IF($C239="","","V"&amp;TEXT(ROW()-6,"00000"))</f>
        <v/>
      </c>
      <c r="C239" s="220" t="n"/>
      <c r="D239" s="108" t="n"/>
      <c r="E239" s="108" t="n"/>
      <c r="F239" s="221" t="n"/>
      <c r="G239" s="109" t="n"/>
      <c r="H239" s="109" t="n"/>
      <c r="I239" s="109" t="n"/>
      <c r="J239" s="113">
        <f>IF($C239="","",IF(AND($D239&lt;&gt;"",$E239&lt;&gt;"",$D239&lt;&gt;$E239,$F239&gt;0),"UYGUN","HATA"))</f>
        <v/>
      </c>
      <c r="K239" s="6" t="n"/>
      <c r="L239" s="6" t="n"/>
    </row>
    <row r="240">
      <c r="A240" s="6" t="n"/>
      <c r="B240" s="113">
        <f>IF($C240="","","V"&amp;TEXT(ROW()-6,"00000"))</f>
        <v/>
      </c>
      <c r="C240" s="220" t="n"/>
      <c r="D240" s="108" t="n"/>
      <c r="E240" s="108" t="n"/>
      <c r="F240" s="221" t="n"/>
      <c r="G240" s="109" t="n"/>
      <c r="H240" s="109" t="n"/>
      <c r="I240" s="109" t="n"/>
      <c r="J240" s="113">
        <f>IF($C240="","",IF(AND($D240&lt;&gt;"",$E240&lt;&gt;"",$D240&lt;&gt;$E240,$F240&gt;0),"UYGUN","HATA"))</f>
        <v/>
      </c>
      <c r="K240" s="6" t="n"/>
      <c r="L240" s="6" t="n"/>
    </row>
    <row r="241">
      <c r="A241" s="6" t="n"/>
      <c r="B241" s="113">
        <f>IF($C241="","","V"&amp;TEXT(ROW()-6,"00000"))</f>
        <v/>
      </c>
      <c r="C241" s="220" t="n"/>
      <c r="D241" s="108" t="n"/>
      <c r="E241" s="108" t="n"/>
      <c r="F241" s="221" t="n"/>
      <c r="G241" s="109" t="n"/>
      <c r="H241" s="109" t="n"/>
      <c r="I241" s="109" t="n"/>
      <c r="J241" s="113">
        <f>IF($C241="","",IF(AND($D241&lt;&gt;"",$E241&lt;&gt;"",$D241&lt;&gt;$E241,$F241&gt;0),"UYGUN","HATA"))</f>
        <v/>
      </c>
      <c r="K241" s="6" t="n"/>
      <c r="L241" s="6" t="n"/>
    </row>
    <row r="242">
      <c r="A242" s="6" t="n"/>
      <c r="B242" s="113">
        <f>IF($C242="","","V"&amp;TEXT(ROW()-6,"00000"))</f>
        <v/>
      </c>
      <c r="C242" s="220" t="n"/>
      <c r="D242" s="108" t="n"/>
      <c r="E242" s="108" t="n"/>
      <c r="F242" s="221" t="n"/>
      <c r="G242" s="109" t="n"/>
      <c r="H242" s="109" t="n"/>
      <c r="I242" s="109" t="n"/>
      <c r="J242" s="113">
        <f>IF($C242="","",IF(AND($D242&lt;&gt;"",$E242&lt;&gt;"",$D242&lt;&gt;$E242,$F242&gt;0),"UYGUN","HATA"))</f>
        <v/>
      </c>
      <c r="K242" s="6" t="n"/>
      <c r="L242" s="6" t="n"/>
    </row>
    <row r="243">
      <c r="A243" s="6" t="n"/>
      <c r="B243" s="113">
        <f>IF($C243="","","V"&amp;TEXT(ROW()-6,"00000"))</f>
        <v/>
      </c>
      <c r="C243" s="220" t="n"/>
      <c r="D243" s="108" t="n"/>
      <c r="E243" s="108" t="n"/>
      <c r="F243" s="221" t="n"/>
      <c r="G243" s="109" t="n"/>
      <c r="H243" s="109" t="n"/>
      <c r="I243" s="109" t="n"/>
      <c r="J243" s="113">
        <f>IF($C243="","",IF(AND($D243&lt;&gt;"",$E243&lt;&gt;"",$D243&lt;&gt;$E243,$F243&gt;0),"UYGUN","HATA"))</f>
        <v/>
      </c>
      <c r="K243" s="6" t="n"/>
      <c r="L243" s="6" t="n"/>
    </row>
    <row r="244">
      <c r="A244" s="6" t="n"/>
      <c r="B244" s="113">
        <f>IF($C244="","","V"&amp;TEXT(ROW()-6,"00000"))</f>
        <v/>
      </c>
      <c r="C244" s="220" t="n"/>
      <c r="D244" s="108" t="n"/>
      <c r="E244" s="108" t="n"/>
      <c r="F244" s="221" t="n"/>
      <c r="G244" s="109" t="n"/>
      <c r="H244" s="109" t="n"/>
      <c r="I244" s="109" t="n"/>
      <c r="J244" s="113">
        <f>IF($C244="","",IF(AND($D244&lt;&gt;"",$E244&lt;&gt;"",$D244&lt;&gt;$E244,$F244&gt;0),"UYGUN","HATA"))</f>
        <v/>
      </c>
      <c r="K244" s="6" t="n"/>
      <c r="L244" s="6" t="n"/>
    </row>
    <row r="245">
      <c r="A245" s="6" t="n"/>
      <c r="B245" s="113">
        <f>IF($C245="","","V"&amp;TEXT(ROW()-6,"00000"))</f>
        <v/>
      </c>
      <c r="C245" s="220" t="n"/>
      <c r="D245" s="108" t="n"/>
      <c r="E245" s="108" t="n"/>
      <c r="F245" s="221" t="n"/>
      <c r="G245" s="109" t="n"/>
      <c r="H245" s="109" t="n"/>
      <c r="I245" s="109" t="n"/>
      <c r="J245" s="113">
        <f>IF($C245="","",IF(AND($D245&lt;&gt;"",$E245&lt;&gt;"",$D245&lt;&gt;$E245,$F245&gt;0),"UYGUN","HATA"))</f>
        <v/>
      </c>
      <c r="K245" s="6" t="n"/>
      <c r="L245" s="6" t="n"/>
    </row>
    <row r="246">
      <c r="A246" s="6" t="n"/>
      <c r="B246" s="113">
        <f>IF($C246="","","V"&amp;TEXT(ROW()-6,"00000"))</f>
        <v/>
      </c>
      <c r="C246" s="220" t="n"/>
      <c r="D246" s="108" t="n"/>
      <c r="E246" s="108" t="n"/>
      <c r="F246" s="221" t="n"/>
      <c r="G246" s="109" t="n"/>
      <c r="H246" s="109" t="n"/>
      <c r="I246" s="109" t="n"/>
      <c r="J246" s="113">
        <f>IF($C246="","",IF(AND($D246&lt;&gt;"",$E246&lt;&gt;"",$D246&lt;&gt;$E246,$F246&gt;0),"UYGUN","HATA"))</f>
        <v/>
      </c>
      <c r="K246" s="6" t="n"/>
      <c r="L246" s="6" t="n"/>
    </row>
    <row r="247">
      <c r="A247" s="6" t="n"/>
      <c r="B247" s="113">
        <f>IF($C247="","","V"&amp;TEXT(ROW()-6,"00000"))</f>
        <v/>
      </c>
      <c r="C247" s="220" t="n"/>
      <c r="D247" s="108" t="n"/>
      <c r="E247" s="108" t="n"/>
      <c r="F247" s="221" t="n"/>
      <c r="G247" s="109" t="n"/>
      <c r="H247" s="109" t="n"/>
      <c r="I247" s="109" t="n"/>
      <c r="J247" s="113">
        <f>IF($C247="","",IF(AND($D247&lt;&gt;"",$E247&lt;&gt;"",$D247&lt;&gt;$E247,$F247&gt;0),"UYGUN","HATA"))</f>
        <v/>
      </c>
      <c r="K247" s="6" t="n"/>
      <c r="L247" s="6" t="n"/>
    </row>
    <row r="248">
      <c r="A248" s="6" t="n"/>
      <c r="B248" s="113">
        <f>IF($C248="","","V"&amp;TEXT(ROW()-6,"00000"))</f>
        <v/>
      </c>
      <c r="C248" s="220" t="n"/>
      <c r="D248" s="108" t="n"/>
      <c r="E248" s="108" t="n"/>
      <c r="F248" s="221" t="n"/>
      <c r="G248" s="109" t="n"/>
      <c r="H248" s="109" t="n"/>
      <c r="I248" s="109" t="n"/>
      <c r="J248" s="113">
        <f>IF($C248="","",IF(AND($D248&lt;&gt;"",$E248&lt;&gt;"",$D248&lt;&gt;$E248,$F248&gt;0),"UYGUN","HATA"))</f>
        <v/>
      </c>
      <c r="K248" s="6" t="n"/>
      <c r="L248" s="6" t="n"/>
    </row>
    <row r="249">
      <c r="A249" s="6" t="n"/>
      <c r="B249" s="113">
        <f>IF($C249="","","V"&amp;TEXT(ROW()-6,"00000"))</f>
        <v/>
      </c>
      <c r="C249" s="220" t="n"/>
      <c r="D249" s="108" t="n"/>
      <c r="E249" s="108" t="n"/>
      <c r="F249" s="221" t="n"/>
      <c r="G249" s="109" t="n"/>
      <c r="H249" s="109" t="n"/>
      <c r="I249" s="109" t="n"/>
      <c r="J249" s="113">
        <f>IF($C249="","",IF(AND($D249&lt;&gt;"",$E249&lt;&gt;"",$D249&lt;&gt;$E249,$F249&gt;0),"UYGUN","HATA"))</f>
        <v/>
      </c>
      <c r="K249" s="6" t="n"/>
      <c r="L249" s="6" t="n"/>
    </row>
    <row r="250">
      <c r="A250" s="6" t="n"/>
      <c r="B250" s="113">
        <f>IF($C250="","","V"&amp;TEXT(ROW()-6,"00000"))</f>
        <v/>
      </c>
      <c r="C250" s="220" t="n"/>
      <c r="D250" s="108" t="n"/>
      <c r="E250" s="108" t="n"/>
      <c r="F250" s="221" t="n"/>
      <c r="G250" s="109" t="n"/>
      <c r="H250" s="109" t="n"/>
      <c r="I250" s="109" t="n"/>
      <c r="J250" s="113">
        <f>IF($C250="","",IF(AND($D250&lt;&gt;"",$E250&lt;&gt;"",$D250&lt;&gt;$E250,$F250&gt;0),"UYGUN","HATA"))</f>
        <v/>
      </c>
      <c r="K250" s="6" t="n"/>
      <c r="L250" s="6" t="n"/>
    </row>
    <row r="251">
      <c r="A251" s="6" t="n"/>
      <c r="B251" s="113">
        <f>IF($C251="","","V"&amp;TEXT(ROW()-6,"00000"))</f>
        <v/>
      </c>
      <c r="C251" s="220" t="n"/>
      <c r="D251" s="108" t="n"/>
      <c r="E251" s="108" t="n"/>
      <c r="F251" s="221" t="n"/>
      <c r="G251" s="109" t="n"/>
      <c r="H251" s="109" t="n"/>
      <c r="I251" s="109" t="n"/>
      <c r="J251" s="113">
        <f>IF($C251="","",IF(AND($D251&lt;&gt;"",$E251&lt;&gt;"",$D251&lt;&gt;$E251,$F251&gt;0),"UYGUN","HATA"))</f>
        <v/>
      </c>
      <c r="K251" s="6" t="n"/>
      <c r="L251" s="6" t="n"/>
    </row>
    <row r="252">
      <c r="A252" s="6" t="n"/>
      <c r="B252" s="113">
        <f>IF($C252="","","V"&amp;TEXT(ROW()-6,"00000"))</f>
        <v/>
      </c>
      <c r="C252" s="220" t="n"/>
      <c r="D252" s="108" t="n"/>
      <c r="E252" s="108" t="n"/>
      <c r="F252" s="221" t="n"/>
      <c r="G252" s="109" t="n"/>
      <c r="H252" s="109" t="n"/>
      <c r="I252" s="109" t="n"/>
      <c r="J252" s="113">
        <f>IF($C252="","",IF(AND($D252&lt;&gt;"",$E252&lt;&gt;"",$D252&lt;&gt;$E252,$F252&gt;0),"UYGUN","HATA"))</f>
        <v/>
      </c>
      <c r="K252" s="6" t="n"/>
      <c r="L252" s="6" t="n"/>
    </row>
    <row r="253">
      <c r="A253" s="6" t="n"/>
      <c r="B253" s="113">
        <f>IF($C253="","","V"&amp;TEXT(ROW()-6,"00000"))</f>
        <v/>
      </c>
      <c r="C253" s="220" t="n"/>
      <c r="D253" s="108" t="n"/>
      <c r="E253" s="108" t="n"/>
      <c r="F253" s="221" t="n"/>
      <c r="G253" s="109" t="n"/>
      <c r="H253" s="109" t="n"/>
      <c r="I253" s="109" t="n"/>
      <c r="J253" s="113">
        <f>IF($C253="","",IF(AND($D253&lt;&gt;"",$E253&lt;&gt;"",$D253&lt;&gt;$E253,$F253&gt;0),"UYGUN","HATA"))</f>
        <v/>
      </c>
      <c r="K253" s="6" t="n"/>
      <c r="L253" s="6" t="n"/>
    </row>
    <row r="254">
      <c r="A254" s="6" t="n"/>
      <c r="B254" s="113">
        <f>IF($C254="","","V"&amp;TEXT(ROW()-6,"00000"))</f>
        <v/>
      </c>
      <c r="C254" s="220" t="n"/>
      <c r="D254" s="108" t="n"/>
      <c r="E254" s="108" t="n"/>
      <c r="F254" s="221" t="n"/>
      <c r="G254" s="109" t="n"/>
      <c r="H254" s="109" t="n"/>
      <c r="I254" s="109" t="n"/>
      <c r="J254" s="113">
        <f>IF($C254="","",IF(AND($D254&lt;&gt;"",$E254&lt;&gt;"",$D254&lt;&gt;$E254,$F254&gt;0),"UYGUN","HATA"))</f>
        <v/>
      </c>
      <c r="K254" s="6" t="n"/>
      <c r="L254" s="6" t="n"/>
    </row>
    <row r="255">
      <c r="A255" s="6" t="n"/>
      <c r="B255" s="113">
        <f>IF($C255="","","V"&amp;TEXT(ROW()-6,"00000"))</f>
        <v/>
      </c>
      <c r="C255" s="220" t="n"/>
      <c r="D255" s="108" t="n"/>
      <c r="E255" s="108" t="n"/>
      <c r="F255" s="221" t="n"/>
      <c r="G255" s="109" t="n"/>
      <c r="H255" s="109" t="n"/>
      <c r="I255" s="109" t="n"/>
      <c r="J255" s="113">
        <f>IF($C255="","",IF(AND($D255&lt;&gt;"",$E255&lt;&gt;"",$D255&lt;&gt;$E255,$F255&gt;0),"UYGUN","HATA"))</f>
        <v/>
      </c>
      <c r="K255" s="6" t="n"/>
      <c r="L255" s="6" t="n"/>
    </row>
    <row r="256">
      <c r="A256" s="6" t="n"/>
      <c r="B256" s="113">
        <f>IF($C256="","","V"&amp;TEXT(ROW()-6,"00000"))</f>
        <v/>
      </c>
      <c r="C256" s="220" t="n"/>
      <c r="D256" s="108" t="n"/>
      <c r="E256" s="108" t="n"/>
      <c r="F256" s="221" t="n"/>
      <c r="G256" s="109" t="n"/>
      <c r="H256" s="109" t="n"/>
      <c r="I256" s="109" t="n"/>
      <c r="J256" s="113">
        <f>IF($C256="","",IF(AND($D256&lt;&gt;"",$E256&lt;&gt;"",$D256&lt;&gt;$E256,$F256&gt;0),"UYGUN","HATA"))</f>
        <v/>
      </c>
      <c r="K256" s="6" t="n"/>
      <c r="L256" s="6" t="n"/>
    </row>
    <row r="257">
      <c r="A257" s="6" t="n"/>
      <c r="B257" s="113">
        <f>IF($C257="","","V"&amp;TEXT(ROW()-6,"00000"))</f>
        <v/>
      </c>
      <c r="C257" s="220" t="n"/>
      <c r="D257" s="108" t="n"/>
      <c r="E257" s="108" t="n"/>
      <c r="F257" s="221" t="n"/>
      <c r="G257" s="109" t="n"/>
      <c r="H257" s="109" t="n"/>
      <c r="I257" s="109" t="n"/>
      <c r="J257" s="113">
        <f>IF($C257="","",IF(AND($D257&lt;&gt;"",$E257&lt;&gt;"",$D257&lt;&gt;$E257,$F257&gt;0),"UYGUN","HATA"))</f>
        <v/>
      </c>
      <c r="K257" s="6" t="n"/>
      <c r="L257" s="6" t="n"/>
    </row>
    <row r="258">
      <c r="A258" s="6" t="n"/>
      <c r="B258" s="113">
        <f>IF($C258="","","V"&amp;TEXT(ROW()-6,"00000"))</f>
        <v/>
      </c>
      <c r="C258" s="220" t="n"/>
      <c r="D258" s="108" t="n"/>
      <c r="E258" s="108" t="n"/>
      <c r="F258" s="221" t="n"/>
      <c r="G258" s="109" t="n"/>
      <c r="H258" s="109" t="n"/>
      <c r="I258" s="109" t="n"/>
      <c r="J258" s="113">
        <f>IF($C258="","",IF(AND($D258&lt;&gt;"",$E258&lt;&gt;"",$D258&lt;&gt;$E258,$F258&gt;0),"UYGUN","HATA"))</f>
        <v/>
      </c>
      <c r="K258" s="6" t="n"/>
      <c r="L258" s="6" t="n"/>
    </row>
    <row r="259">
      <c r="A259" s="6" t="n"/>
      <c r="B259" s="113">
        <f>IF($C259="","","V"&amp;TEXT(ROW()-6,"00000"))</f>
        <v/>
      </c>
      <c r="C259" s="220" t="n"/>
      <c r="D259" s="108" t="n"/>
      <c r="E259" s="108" t="n"/>
      <c r="F259" s="221" t="n"/>
      <c r="G259" s="109" t="n"/>
      <c r="H259" s="109" t="n"/>
      <c r="I259" s="109" t="n"/>
      <c r="J259" s="113">
        <f>IF($C259="","",IF(AND($D259&lt;&gt;"",$E259&lt;&gt;"",$D259&lt;&gt;$E259,$F259&gt;0),"UYGUN","HATA"))</f>
        <v/>
      </c>
      <c r="K259" s="6" t="n"/>
      <c r="L259" s="6" t="n"/>
    </row>
    <row r="260">
      <c r="A260" s="6" t="n"/>
      <c r="B260" s="113">
        <f>IF($C260="","","V"&amp;TEXT(ROW()-6,"00000"))</f>
        <v/>
      </c>
      <c r="C260" s="220" t="n"/>
      <c r="D260" s="108" t="n"/>
      <c r="E260" s="108" t="n"/>
      <c r="F260" s="221" t="n"/>
      <c r="G260" s="109" t="n"/>
      <c r="H260" s="109" t="n"/>
      <c r="I260" s="109" t="n"/>
      <c r="J260" s="113">
        <f>IF($C260="","",IF(AND($D260&lt;&gt;"",$E260&lt;&gt;"",$D260&lt;&gt;$E260,$F260&gt;0),"UYGUN","HATA"))</f>
        <v/>
      </c>
      <c r="K260" s="6" t="n"/>
      <c r="L260" s="6" t="n"/>
    </row>
    <row r="261">
      <c r="A261" s="6" t="n"/>
      <c r="B261" s="113">
        <f>IF($C261="","","V"&amp;TEXT(ROW()-6,"00000"))</f>
        <v/>
      </c>
      <c r="C261" s="220" t="n"/>
      <c r="D261" s="108" t="n"/>
      <c r="E261" s="108" t="n"/>
      <c r="F261" s="221" t="n"/>
      <c r="G261" s="109" t="n"/>
      <c r="H261" s="109" t="n"/>
      <c r="I261" s="109" t="n"/>
      <c r="J261" s="113">
        <f>IF($C261="","",IF(AND($D261&lt;&gt;"",$E261&lt;&gt;"",$D261&lt;&gt;$E261,$F261&gt;0),"UYGUN","HATA"))</f>
        <v/>
      </c>
      <c r="K261" s="6" t="n"/>
      <c r="L261" s="6" t="n"/>
    </row>
    <row r="262">
      <c r="A262" s="6" t="n"/>
      <c r="B262" s="113">
        <f>IF($C262="","","V"&amp;TEXT(ROW()-6,"00000"))</f>
        <v/>
      </c>
      <c r="C262" s="220" t="n"/>
      <c r="D262" s="108" t="n"/>
      <c r="E262" s="108" t="n"/>
      <c r="F262" s="221" t="n"/>
      <c r="G262" s="109" t="n"/>
      <c r="H262" s="109" t="n"/>
      <c r="I262" s="109" t="n"/>
      <c r="J262" s="113">
        <f>IF($C262="","",IF(AND($D262&lt;&gt;"",$E262&lt;&gt;"",$D262&lt;&gt;$E262,$F262&gt;0),"UYGUN","HATA"))</f>
        <v/>
      </c>
      <c r="K262" s="6" t="n"/>
      <c r="L262" s="6" t="n"/>
    </row>
    <row r="263">
      <c r="A263" s="6" t="n"/>
      <c r="B263" s="113">
        <f>IF($C263="","","V"&amp;TEXT(ROW()-6,"00000"))</f>
        <v/>
      </c>
      <c r="C263" s="220" t="n"/>
      <c r="D263" s="108" t="n"/>
      <c r="E263" s="108" t="n"/>
      <c r="F263" s="221" t="n"/>
      <c r="G263" s="109" t="n"/>
      <c r="H263" s="109" t="n"/>
      <c r="I263" s="109" t="n"/>
      <c r="J263" s="113">
        <f>IF($C263="","",IF(AND($D263&lt;&gt;"",$E263&lt;&gt;"",$D263&lt;&gt;$E263,$F263&gt;0),"UYGUN","HATA"))</f>
        <v/>
      </c>
      <c r="K263" s="6" t="n"/>
      <c r="L263" s="6" t="n"/>
    </row>
    <row r="264">
      <c r="A264" s="6" t="n"/>
      <c r="B264" s="113">
        <f>IF($C264="","","V"&amp;TEXT(ROW()-6,"00000"))</f>
        <v/>
      </c>
      <c r="C264" s="220" t="n"/>
      <c r="D264" s="108" t="n"/>
      <c r="E264" s="108" t="n"/>
      <c r="F264" s="221" t="n"/>
      <c r="G264" s="109" t="n"/>
      <c r="H264" s="109" t="n"/>
      <c r="I264" s="109" t="n"/>
      <c r="J264" s="113">
        <f>IF($C264="","",IF(AND($D264&lt;&gt;"",$E264&lt;&gt;"",$D264&lt;&gt;$E264,$F264&gt;0),"UYGUN","HATA"))</f>
        <v/>
      </c>
      <c r="K264" s="6" t="n"/>
      <c r="L264" s="6" t="n"/>
    </row>
    <row r="265">
      <c r="A265" s="6" t="n"/>
      <c r="B265" s="113">
        <f>IF($C265="","","V"&amp;TEXT(ROW()-6,"00000"))</f>
        <v/>
      </c>
      <c r="C265" s="220" t="n"/>
      <c r="D265" s="108" t="n"/>
      <c r="E265" s="108" t="n"/>
      <c r="F265" s="221" t="n"/>
      <c r="G265" s="109" t="n"/>
      <c r="H265" s="109" t="n"/>
      <c r="I265" s="109" t="n"/>
      <c r="J265" s="113">
        <f>IF($C265="","",IF(AND($D265&lt;&gt;"",$E265&lt;&gt;"",$D265&lt;&gt;$E265,$F265&gt;0),"UYGUN","HATA"))</f>
        <v/>
      </c>
      <c r="K265" s="6" t="n"/>
      <c r="L265" s="6" t="n"/>
    </row>
    <row r="266">
      <c r="A266" s="6" t="n"/>
      <c r="B266" s="113">
        <f>IF($C266="","","V"&amp;TEXT(ROW()-6,"00000"))</f>
        <v/>
      </c>
      <c r="C266" s="220" t="n"/>
      <c r="D266" s="108" t="n"/>
      <c r="E266" s="108" t="n"/>
      <c r="F266" s="221" t="n"/>
      <c r="G266" s="109" t="n"/>
      <c r="H266" s="109" t="n"/>
      <c r="I266" s="109" t="n"/>
      <c r="J266" s="113">
        <f>IF($C266="","",IF(AND($D266&lt;&gt;"",$E266&lt;&gt;"",$D266&lt;&gt;$E266,$F266&gt;0),"UYGUN","HATA"))</f>
        <v/>
      </c>
      <c r="K266" s="6" t="n"/>
      <c r="L266" s="6" t="n"/>
    </row>
    <row r="267">
      <c r="A267" s="6" t="n"/>
      <c r="B267" s="113">
        <f>IF($C267="","","V"&amp;TEXT(ROW()-6,"00000"))</f>
        <v/>
      </c>
      <c r="C267" s="220" t="n"/>
      <c r="D267" s="108" t="n"/>
      <c r="E267" s="108" t="n"/>
      <c r="F267" s="221" t="n"/>
      <c r="G267" s="109" t="n"/>
      <c r="H267" s="109" t="n"/>
      <c r="I267" s="109" t="n"/>
      <c r="J267" s="113">
        <f>IF($C267="","",IF(AND($D267&lt;&gt;"",$E267&lt;&gt;"",$D267&lt;&gt;$E267,$F267&gt;0),"UYGUN","HATA"))</f>
        <v/>
      </c>
      <c r="K267" s="6" t="n"/>
      <c r="L267" s="6" t="n"/>
    </row>
    <row r="268">
      <c r="A268" s="6" t="n"/>
      <c r="B268" s="113">
        <f>IF($C268="","","V"&amp;TEXT(ROW()-6,"00000"))</f>
        <v/>
      </c>
      <c r="C268" s="220" t="n"/>
      <c r="D268" s="108" t="n"/>
      <c r="E268" s="108" t="n"/>
      <c r="F268" s="221" t="n"/>
      <c r="G268" s="109" t="n"/>
      <c r="H268" s="109" t="n"/>
      <c r="I268" s="109" t="n"/>
      <c r="J268" s="113">
        <f>IF($C268="","",IF(AND($D268&lt;&gt;"",$E268&lt;&gt;"",$D268&lt;&gt;$E268,$F268&gt;0),"UYGUN","HATA"))</f>
        <v/>
      </c>
      <c r="K268" s="6" t="n"/>
      <c r="L268" s="6" t="n"/>
    </row>
    <row r="269">
      <c r="A269" s="6" t="n"/>
      <c r="B269" s="113">
        <f>IF($C269="","","V"&amp;TEXT(ROW()-6,"00000"))</f>
        <v/>
      </c>
      <c r="C269" s="220" t="n"/>
      <c r="D269" s="108" t="n"/>
      <c r="E269" s="108" t="n"/>
      <c r="F269" s="221" t="n"/>
      <c r="G269" s="109" t="n"/>
      <c r="H269" s="109" t="n"/>
      <c r="I269" s="109" t="n"/>
      <c r="J269" s="113">
        <f>IF($C269="","",IF(AND($D269&lt;&gt;"",$E269&lt;&gt;"",$D269&lt;&gt;$E269,$F269&gt;0),"UYGUN","HATA"))</f>
        <v/>
      </c>
      <c r="K269" s="6" t="n"/>
      <c r="L269" s="6" t="n"/>
    </row>
    <row r="270">
      <c r="A270" s="6" t="n"/>
      <c r="B270" s="113">
        <f>IF($C270="","","V"&amp;TEXT(ROW()-6,"00000"))</f>
        <v/>
      </c>
      <c r="C270" s="220" t="n"/>
      <c r="D270" s="108" t="n"/>
      <c r="E270" s="108" t="n"/>
      <c r="F270" s="221" t="n"/>
      <c r="G270" s="109" t="n"/>
      <c r="H270" s="109" t="n"/>
      <c r="I270" s="109" t="n"/>
      <c r="J270" s="113">
        <f>IF($C270="","",IF(AND($D270&lt;&gt;"",$E270&lt;&gt;"",$D270&lt;&gt;$E270,$F270&gt;0),"UYGUN","HATA"))</f>
        <v/>
      </c>
      <c r="K270" s="6" t="n"/>
      <c r="L270" s="6" t="n"/>
    </row>
    <row r="271">
      <c r="A271" s="6" t="n"/>
      <c r="B271" s="113">
        <f>IF($C271="","","V"&amp;TEXT(ROW()-6,"00000"))</f>
        <v/>
      </c>
      <c r="C271" s="220" t="n"/>
      <c r="D271" s="108" t="n"/>
      <c r="E271" s="108" t="n"/>
      <c r="F271" s="221" t="n"/>
      <c r="G271" s="109" t="n"/>
      <c r="H271" s="109" t="n"/>
      <c r="I271" s="109" t="n"/>
      <c r="J271" s="113">
        <f>IF($C271="","",IF(AND($D271&lt;&gt;"",$E271&lt;&gt;"",$D271&lt;&gt;$E271,$F271&gt;0),"UYGUN","HATA"))</f>
        <v/>
      </c>
      <c r="K271" s="6" t="n"/>
      <c r="L271" s="6" t="n"/>
    </row>
    <row r="272">
      <c r="A272" s="6" t="n"/>
      <c r="B272" s="113">
        <f>IF($C272="","","V"&amp;TEXT(ROW()-6,"00000"))</f>
        <v/>
      </c>
      <c r="C272" s="220" t="n"/>
      <c r="D272" s="108" t="n"/>
      <c r="E272" s="108" t="n"/>
      <c r="F272" s="221" t="n"/>
      <c r="G272" s="109" t="n"/>
      <c r="H272" s="109" t="n"/>
      <c r="I272" s="109" t="n"/>
      <c r="J272" s="113">
        <f>IF($C272="","",IF(AND($D272&lt;&gt;"",$E272&lt;&gt;"",$D272&lt;&gt;$E272,$F272&gt;0),"UYGUN","HATA"))</f>
        <v/>
      </c>
      <c r="K272" s="6" t="n"/>
      <c r="L272" s="6" t="n"/>
    </row>
    <row r="273">
      <c r="A273" s="6" t="n"/>
      <c r="B273" s="113">
        <f>IF($C273="","","V"&amp;TEXT(ROW()-6,"00000"))</f>
        <v/>
      </c>
      <c r="C273" s="220" t="n"/>
      <c r="D273" s="108" t="n"/>
      <c r="E273" s="108" t="n"/>
      <c r="F273" s="221" t="n"/>
      <c r="G273" s="109" t="n"/>
      <c r="H273" s="109" t="n"/>
      <c r="I273" s="109" t="n"/>
      <c r="J273" s="113">
        <f>IF($C273="","",IF(AND($D273&lt;&gt;"",$E273&lt;&gt;"",$D273&lt;&gt;$E273,$F273&gt;0),"UYGUN","HATA"))</f>
        <v/>
      </c>
      <c r="K273" s="6" t="n"/>
      <c r="L273" s="6" t="n"/>
    </row>
    <row r="274">
      <c r="A274" s="6" t="n"/>
      <c r="B274" s="113">
        <f>IF($C274="","","V"&amp;TEXT(ROW()-6,"00000"))</f>
        <v/>
      </c>
      <c r="C274" s="220" t="n"/>
      <c r="D274" s="108" t="n"/>
      <c r="E274" s="108" t="n"/>
      <c r="F274" s="221" t="n"/>
      <c r="G274" s="109" t="n"/>
      <c r="H274" s="109" t="n"/>
      <c r="I274" s="109" t="n"/>
      <c r="J274" s="113">
        <f>IF($C274="","",IF(AND($D274&lt;&gt;"",$E274&lt;&gt;"",$D274&lt;&gt;$E274,$F274&gt;0),"UYGUN","HATA"))</f>
        <v/>
      </c>
      <c r="K274" s="6" t="n"/>
      <c r="L274" s="6" t="n"/>
    </row>
    <row r="275">
      <c r="A275" s="6" t="n"/>
      <c r="B275" s="113">
        <f>IF($C275="","","V"&amp;TEXT(ROW()-6,"00000"))</f>
        <v/>
      </c>
      <c r="C275" s="220" t="n"/>
      <c r="D275" s="108" t="n"/>
      <c r="E275" s="108" t="n"/>
      <c r="F275" s="221" t="n"/>
      <c r="G275" s="109" t="n"/>
      <c r="H275" s="109" t="n"/>
      <c r="I275" s="109" t="n"/>
      <c r="J275" s="113">
        <f>IF($C275="","",IF(AND($D275&lt;&gt;"",$E275&lt;&gt;"",$D275&lt;&gt;$E275,$F275&gt;0),"UYGUN","HATA"))</f>
        <v/>
      </c>
      <c r="K275" s="6" t="n"/>
      <c r="L275" s="6" t="n"/>
    </row>
    <row r="276">
      <c r="A276" s="6" t="n"/>
      <c r="B276" s="113">
        <f>IF($C276="","","V"&amp;TEXT(ROW()-6,"00000"))</f>
        <v/>
      </c>
      <c r="C276" s="220" t="n"/>
      <c r="D276" s="108" t="n"/>
      <c r="E276" s="108" t="n"/>
      <c r="F276" s="221" t="n"/>
      <c r="G276" s="109" t="n"/>
      <c r="H276" s="109" t="n"/>
      <c r="I276" s="109" t="n"/>
      <c r="J276" s="113">
        <f>IF($C276="","",IF(AND($D276&lt;&gt;"",$E276&lt;&gt;"",$D276&lt;&gt;$E276,$F276&gt;0),"UYGUN","HATA"))</f>
        <v/>
      </c>
      <c r="K276" s="6" t="n"/>
      <c r="L276" s="6" t="n"/>
    </row>
    <row r="277">
      <c r="A277" s="6" t="n"/>
      <c r="B277" s="113">
        <f>IF($C277="","","V"&amp;TEXT(ROW()-6,"00000"))</f>
        <v/>
      </c>
      <c r="C277" s="220" t="n"/>
      <c r="D277" s="108" t="n"/>
      <c r="E277" s="108" t="n"/>
      <c r="F277" s="221" t="n"/>
      <c r="G277" s="109" t="n"/>
      <c r="H277" s="109" t="n"/>
      <c r="I277" s="109" t="n"/>
      <c r="J277" s="113">
        <f>IF($C277="","",IF(AND($D277&lt;&gt;"",$E277&lt;&gt;"",$D277&lt;&gt;$E277,$F277&gt;0),"UYGUN","HATA"))</f>
        <v/>
      </c>
      <c r="K277" s="6" t="n"/>
      <c r="L277" s="6" t="n"/>
    </row>
    <row r="278">
      <c r="A278" s="6" t="n"/>
      <c r="B278" s="113">
        <f>IF($C278="","","V"&amp;TEXT(ROW()-6,"00000"))</f>
        <v/>
      </c>
      <c r="C278" s="220" t="n"/>
      <c r="D278" s="108" t="n"/>
      <c r="E278" s="108" t="n"/>
      <c r="F278" s="221" t="n"/>
      <c r="G278" s="109" t="n"/>
      <c r="H278" s="109" t="n"/>
      <c r="I278" s="109" t="n"/>
      <c r="J278" s="113">
        <f>IF($C278="","",IF(AND($D278&lt;&gt;"",$E278&lt;&gt;"",$D278&lt;&gt;$E278,$F278&gt;0),"UYGUN","HATA"))</f>
        <v/>
      </c>
      <c r="K278" s="6" t="n"/>
      <c r="L278" s="6" t="n"/>
    </row>
    <row r="279">
      <c r="A279" s="6" t="n"/>
      <c r="B279" s="113">
        <f>IF($C279="","","V"&amp;TEXT(ROW()-6,"00000"))</f>
        <v/>
      </c>
      <c r="C279" s="220" t="n"/>
      <c r="D279" s="108" t="n"/>
      <c r="E279" s="108" t="n"/>
      <c r="F279" s="221" t="n"/>
      <c r="G279" s="109" t="n"/>
      <c r="H279" s="109" t="n"/>
      <c r="I279" s="109" t="n"/>
      <c r="J279" s="113">
        <f>IF($C279="","",IF(AND($D279&lt;&gt;"",$E279&lt;&gt;"",$D279&lt;&gt;$E279,$F279&gt;0),"UYGUN","HATA"))</f>
        <v/>
      </c>
      <c r="K279" s="6" t="n"/>
      <c r="L279" s="6" t="n"/>
    </row>
    <row r="280">
      <c r="A280" s="6" t="n"/>
      <c r="B280" s="113">
        <f>IF($C280="","","V"&amp;TEXT(ROW()-6,"00000"))</f>
        <v/>
      </c>
      <c r="C280" s="220" t="n"/>
      <c r="D280" s="108" t="n"/>
      <c r="E280" s="108" t="n"/>
      <c r="F280" s="221" t="n"/>
      <c r="G280" s="109" t="n"/>
      <c r="H280" s="109" t="n"/>
      <c r="I280" s="109" t="n"/>
      <c r="J280" s="113">
        <f>IF($C280="","",IF(AND($D280&lt;&gt;"",$E280&lt;&gt;"",$D280&lt;&gt;$E280,$F280&gt;0),"UYGUN","HATA"))</f>
        <v/>
      </c>
      <c r="K280" s="6" t="n"/>
      <c r="L280" s="6" t="n"/>
    </row>
    <row r="281">
      <c r="A281" s="6" t="n"/>
      <c r="B281" s="113">
        <f>IF($C281="","","V"&amp;TEXT(ROW()-6,"00000"))</f>
        <v/>
      </c>
      <c r="C281" s="220" t="n"/>
      <c r="D281" s="108" t="n"/>
      <c r="E281" s="108" t="n"/>
      <c r="F281" s="221" t="n"/>
      <c r="G281" s="109" t="n"/>
      <c r="H281" s="109" t="n"/>
      <c r="I281" s="109" t="n"/>
      <c r="J281" s="113">
        <f>IF($C281="","",IF(AND($D281&lt;&gt;"",$E281&lt;&gt;"",$D281&lt;&gt;$E281,$F281&gt;0),"UYGUN","HATA"))</f>
        <v/>
      </c>
      <c r="K281" s="6" t="n"/>
      <c r="L281" s="6" t="n"/>
    </row>
    <row r="282">
      <c r="A282" s="6" t="n"/>
      <c r="B282" s="113">
        <f>IF($C282="","","V"&amp;TEXT(ROW()-6,"00000"))</f>
        <v/>
      </c>
      <c r="C282" s="220" t="n"/>
      <c r="D282" s="108" t="n"/>
      <c r="E282" s="108" t="n"/>
      <c r="F282" s="221" t="n"/>
      <c r="G282" s="109" t="n"/>
      <c r="H282" s="109" t="n"/>
      <c r="I282" s="109" t="n"/>
      <c r="J282" s="113">
        <f>IF($C282="","",IF(AND($D282&lt;&gt;"",$E282&lt;&gt;"",$D282&lt;&gt;$E282,$F282&gt;0),"UYGUN","HATA"))</f>
        <v/>
      </c>
      <c r="K282" s="6" t="n"/>
      <c r="L282" s="6" t="n"/>
    </row>
    <row r="283">
      <c r="A283" s="6" t="n"/>
      <c r="B283" s="113">
        <f>IF($C283="","","V"&amp;TEXT(ROW()-6,"00000"))</f>
        <v/>
      </c>
      <c r="C283" s="220" t="n"/>
      <c r="D283" s="108" t="n"/>
      <c r="E283" s="108" t="n"/>
      <c r="F283" s="221" t="n"/>
      <c r="G283" s="109" t="n"/>
      <c r="H283" s="109" t="n"/>
      <c r="I283" s="109" t="n"/>
      <c r="J283" s="113">
        <f>IF($C283="","",IF(AND($D283&lt;&gt;"",$E283&lt;&gt;"",$D283&lt;&gt;$E283,$F283&gt;0),"UYGUN","HATA"))</f>
        <v/>
      </c>
      <c r="K283" s="6" t="n"/>
      <c r="L283" s="6" t="n"/>
    </row>
    <row r="284">
      <c r="A284" s="6" t="n"/>
      <c r="B284" s="113">
        <f>IF($C284="","","V"&amp;TEXT(ROW()-6,"00000"))</f>
        <v/>
      </c>
      <c r="C284" s="220" t="n"/>
      <c r="D284" s="108" t="n"/>
      <c r="E284" s="108" t="n"/>
      <c r="F284" s="221" t="n"/>
      <c r="G284" s="109" t="n"/>
      <c r="H284" s="109" t="n"/>
      <c r="I284" s="109" t="n"/>
      <c r="J284" s="113">
        <f>IF($C284="","",IF(AND($D284&lt;&gt;"",$E284&lt;&gt;"",$D284&lt;&gt;$E284,$F284&gt;0),"UYGUN","HATA"))</f>
        <v/>
      </c>
      <c r="K284" s="6" t="n"/>
      <c r="L284" s="6" t="n"/>
    </row>
    <row r="285">
      <c r="A285" s="6" t="n"/>
      <c r="B285" s="113">
        <f>IF($C285="","","V"&amp;TEXT(ROW()-6,"00000"))</f>
        <v/>
      </c>
      <c r="C285" s="220" t="n"/>
      <c r="D285" s="108" t="n"/>
      <c r="E285" s="108" t="n"/>
      <c r="F285" s="221" t="n"/>
      <c r="G285" s="109" t="n"/>
      <c r="H285" s="109" t="n"/>
      <c r="I285" s="109" t="n"/>
      <c r="J285" s="113">
        <f>IF($C285="","",IF(AND($D285&lt;&gt;"",$E285&lt;&gt;"",$D285&lt;&gt;$E285,$F285&gt;0),"UYGUN","HATA"))</f>
        <v/>
      </c>
      <c r="K285" s="6" t="n"/>
      <c r="L285" s="6" t="n"/>
    </row>
    <row r="286">
      <c r="A286" s="6" t="n"/>
      <c r="B286" s="113">
        <f>IF($C286="","","V"&amp;TEXT(ROW()-6,"00000"))</f>
        <v/>
      </c>
      <c r="C286" s="220" t="n"/>
      <c r="D286" s="108" t="n"/>
      <c r="E286" s="108" t="n"/>
      <c r="F286" s="221" t="n"/>
      <c r="G286" s="109" t="n"/>
      <c r="H286" s="109" t="n"/>
      <c r="I286" s="109" t="n"/>
      <c r="J286" s="113">
        <f>IF($C286="","",IF(AND($D286&lt;&gt;"",$E286&lt;&gt;"",$D286&lt;&gt;$E286,$F286&gt;0),"UYGUN","HATA"))</f>
        <v/>
      </c>
      <c r="K286" s="6" t="n"/>
      <c r="L286" s="6" t="n"/>
    </row>
    <row r="287">
      <c r="A287" s="6" t="n"/>
      <c r="B287" s="113">
        <f>IF($C287="","","V"&amp;TEXT(ROW()-6,"00000"))</f>
        <v/>
      </c>
      <c r="C287" s="220" t="n"/>
      <c r="D287" s="108" t="n"/>
      <c r="E287" s="108" t="n"/>
      <c r="F287" s="221" t="n"/>
      <c r="G287" s="109" t="n"/>
      <c r="H287" s="109" t="n"/>
      <c r="I287" s="109" t="n"/>
      <c r="J287" s="113">
        <f>IF($C287="","",IF(AND($D287&lt;&gt;"",$E287&lt;&gt;"",$D287&lt;&gt;$E287,$F287&gt;0),"UYGUN","HATA"))</f>
        <v/>
      </c>
      <c r="K287" s="6" t="n"/>
      <c r="L287" s="6" t="n"/>
    </row>
    <row r="288">
      <c r="A288" s="6" t="n"/>
      <c r="B288" s="113">
        <f>IF($C288="","","V"&amp;TEXT(ROW()-6,"00000"))</f>
        <v/>
      </c>
      <c r="C288" s="220" t="n"/>
      <c r="D288" s="108" t="n"/>
      <c r="E288" s="108" t="n"/>
      <c r="F288" s="221" t="n"/>
      <c r="G288" s="109" t="n"/>
      <c r="H288" s="109" t="n"/>
      <c r="I288" s="109" t="n"/>
      <c r="J288" s="113">
        <f>IF($C288="","",IF(AND($D288&lt;&gt;"",$E288&lt;&gt;"",$D288&lt;&gt;$E288,$F288&gt;0),"UYGUN","HATA"))</f>
        <v/>
      </c>
      <c r="K288" s="6" t="n"/>
      <c r="L288" s="6" t="n"/>
    </row>
    <row r="289">
      <c r="A289" s="6" t="n"/>
      <c r="B289" s="113">
        <f>IF($C289="","","V"&amp;TEXT(ROW()-6,"00000"))</f>
        <v/>
      </c>
      <c r="C289" s="220" t="n"/>
      <c r="D289" s="108" t="n"/>
      <c r="E289" s="108" t="n"/>
      <c r="F289" s="221" t="n"/>
      <c r="G289" s="109" t="n"/>
      <c r="H289" s="109" t="n"/>
      <c r="I289" s="109" t="n"/>
      <c r="J289" s="113">
        <f>IF($C289="","",IF(AND($D289&lt;&gt;"",$E289&lt;&gt;"",$D289&lt;&gt;$E289,$F289&gt;0),"UYGUN","HATA"))</f>
        <v/>
      </c>
      <c r="K289" s="6" t="n"/>
      <c r="L289" s="6" t="n"/>
    </row>
    <row r="290">
      <c r="A290" s="6" t="n"/>
      <c r="B290" s="113">
        <f>IF($C290="","","V"&amp;TEXT(ROW()-6,"00000"))</f>
        <v/>
      </c>
      <c r="C290" s="220" t="n"/>
      <c r="D290" s="108" t="n"/>
      <c r="E290" s="108" t="n"/>
      <c r="F290" s="221" t="n"/>
      <c r="G290" s="109" t="n"/>
      <c r="H290" s="109" t="n"/>
      <c r="I290" s="109" t="n"/>
      <c r="J290" s="113">
        <f>IF($C290="","",IF(AND($D290&lt;&gt;"",$E290&lt;&gt;"",$D290&lt;&gt;$E290,$F290&gt;0),"UYGUN","HATA"))</f>
        <v/>
      </c>
      <c r="K290" s="6" t="n"/>
      <c r="L290" s="6" t="n"/>
    </row>
    <row r="291">
      <c r="A291" s="6" t="n"/>
      <c r="B291" s="113">
        <f>IF($C291="","","V"&amp;TEXT(ROW()-6,"00000"))</f>
        <v/>
      </c>
      <c r="C291" s="220" t="n"/>
      <c r="D291" s="108" t="n"/>
      <c r="E291" s="108" t="n"/>
      <c r="F291" s="221" t="n"/>
      <c r="G291" s="109" t="n"/>
      <c r="H291" s="109" t="n"/>
      <c r="I291" s="109" t="n"/>
      <c r="J291" s="113">
        <f>IF($C291="","",IF(AND($D291&lt;&gt;"",$E291&lt;&gt;"",$D291&lt;&gt;$E291,$F291&gt;0),"UYGUN","HATA"))</f>
        <v/>
      </c>
      <c r="K291" s="6" t="n"/>
      <c r="L291" s="6" t="n"/>
    </row>
    <row r="292">
      <c r="A292" s="6" t="n"/>
      <c r="B292" s="113">
        <f>IF($C292="","","V"&amp;TEXT(ROW()-6,"00000"))</f>
        <v/>
      </c>
      <c r="C292" s="220" t="n"/>
      <c r="D292" s="108" t="n"/>
      <c r="E292" s="108" t="n"/>
      <c r="F292" s="221" t="n"/>
      <c r="G292" s="109" t="n"/>
      <c r="H292" s="109" t="n"/>
      <c r="I292" s="109" t="n"/>
      <c r="J292" s="113">
        <f>IF($C292="","",IF(AND($D292&lt;&gt;"",$E292&lt;&gt;"",$D292&lt;&gt;$E292,$F292&gt;0),"UYGUN","HATA"))</f>
        <v/>
      </c>
      <c r="K292" s="6" t="n"/>
      <c r="L292" s="6" t="n"/>
    </row>
    <row r="293">
      <c r="A293" s="6" t="n"/>
      <c r="B293" s="113">
        <f>IF($C293="","","V"&amp;TEXT(ROW()-6,"00000"))</f>
        <v/>
      </c>
      <c r="C293" s="220" t="n"/>
      <c r="D293" s="108" t="n"/>
      <c r="E293" s="108" t="n"/>
      <c r="F293" s="221" t="n"/>
      <c r="G293" s="109" t="n"/>
      <c r="H293" s="109" t="n"/>
      <c r="I293" s="109" t="n"/>
      <c r="J293" s="113">
        <f>IF($C293="","",IF(AND($D293&lt;&gt;"",$E293&lt;&gt;"",$D293&lt;&gt;$E293,$F293&gt;0),"UYGUN","HATA"))</f>
        <v/>
      </c>
      <c r="K293" s="6" t="n"/>
      <c r="L293" s="6" t="n"/>
    </row>
    <row r="294">
      <c r="A294" s="6" t="n"/>
      <c r="B294" s="113">
        <f>IF($C294="","","V"&amp;TEXT(ROW()-6,"00000"))</f>
        <v/>
      </c>
      <c r="C294" s="220" t="n"/>
      <c r="D294" s="108" t="n"/>
      <c r="E294" s="108" t="n"/>
      <c r="F294" s="221" t="n"/>
      <c r="G294" s="109" t="n"/>
      <c r="H294" s="109" t="n"/>
      <c r="I294" s="109" t="n"/>
      <c r="J294" s="113">
        <f>IF($C294="","",IF(AND($D294&lt;&gt;"",$E294&lt;&gt;"",$D294&lt;&gt;$E294,$F294&gt;0),"UYGUN","HATA"))</f>
        <v/>
      </c>
      <c r="K294" s="6" t="n"/>
      <c r="L294" s="6" t="n"/>
    </row>
    <row r="295">
      <c r="A295" s="6" t="n"/>
      <c r="B295" s="113">
        <f>IF($C295="","","V"&amp;TEXT(ROW()-6,"00000"))</f>
        <v/>
      </c>
      <c r="C295" s="220" t="n"/>
      <c r="D295" s="108" t="n"/>
      <c r="E295" s="108" t="n"/>
      <c r="F295" s="221" t="n"/>
      <c r="G295" s="109" t="n"/>
      <c r="H295" s="109" t="n"/>
      <c r="I295" s="109" t="n"/>
      <c r="J295" s="113">
        <f>IF($C295="","",IF(AND($D295&lt;&gt;"",$E295&lt;&gt;"",$D295&lt;&gt;$E295,$F295&gt;0),"UYGUN","HATA"))</f>
        <v/>
      </c>
      <c r="K295" s="6" t="n"/>
      <c r="L295" s="6" t="n"/>
    </row>
    <row r="296">
      <c r="A296" s="6" t="n"/>
      <c r="B296" s="113">
        <f>IF($C296="","","V"&amp;TEXT(ROW()-6,"00000"))</f>
        <v/>
      </c>
      <c r="C296" s="220" t="n"/>
      <c r="D296" s="108" t="n"/>
      <c r="E296" s="108" t="n"/>
      <c r="F296" s="221" t="n"/>
      <c r="G296" s="109" t="n"/>
      <c r="H296" s="109" t="n"/>
      <c r="I296" s="109" t="n"/>
      <c r="J296" s="113">
        <f>IF($C296="","",IF(AND($D296&lt;&gt;"",$E296&lt;&gt;"",$D296&lt;&gt;$E296,$F296&gt;0),"UYGUN","HATA"))</f>
        <v/>
      </c>
      <c r="K296" s="6" t="n"/>
      <c r="L296" s="6" t="n"/>
    </row>
    <row r="297">
      <c r="A297" s="6" t="n"/>
      <c r="B297" s="113">
        <f>IF($C297="","","V"&amp;TEXT(ROW()-6,"00000"))</f>
        <v/>
      </c>
      <c r="C297" s="220" t="n"/>
      <c r="D297" s="108" t="n"/>
      <c r="E297" s="108" t="n"/>
      <c r="F297" s="221" t="n"/>
      <c r="G297" s="109" t="n"/>
      <c r="H297" s="109" t="n"/>
      <c r="I297" s="109" t="n"/>
      <c r="J297" s="113">
        <f>IF($C297="","",IF(AND($D297&lt;&gt;"",$E297&lt;&gt;"",$D297&lt;&gt;$E297,$F297&gt;0),"UYGUN","HATA"))</f>
        <v/>
      </c>
      <c r="K297" s="6" t="n"/>
      <c r="L297" s="6" t="n"/>
    </row>
    <row r="298">
      <c r="A298" s="6" t="n"/>
      <c r="B298" s="113">
        <f>IF($C298="","","V"&amp;TEXT(ROW()-6,"00000"))</f>
        <v/>
      </c>
      <c r="C298" s="220" t="n"/>
      <c r="D298" s="108" t="n"/>
      <c r="E298" s="108" t="n"/>
      <c r="F298" s="221" t="n"/>
      <c r="G298" s="109" t="n"/>
      <c r="H298" s="109" t="n"/>
      <c r="I298" s="109" t="n"/>
      <c r="J298" s="113">
        <f>IF($C298="","",IF(AND($D298&lt;&gt;"",$E298&lt;&gt;"",$D298&lt;&gt;$E298,$F298&gt;0),"UYGUN","HATA"))</f>
        <v/>
      </c>
      <c r="K298" s="6" t="n"/>
      <c r="L298" s="6" t="n"/>
    </row>
    <row r="299">
      <c r="A299" s="6" t="n"/>
      <c r="B299" s="113">
        <f>IF($C299="","","V"&amp;TEXT(ROW()-6,"00000"))</f>
        <v/>
      </c>
      <c r="C299" s="220" t="n"/>
      <c r="D299" s="108" t="n"/>
      <c r="E299" s="108" t="n"/>
      <c r="F299" s="221" t="n"/>
      <c r="G299" s="109" t="n"/>
      <c r="H299" s="109" t="n"/>
      <c r="I299" s="109" t="n"/>
      <c r="J299" s="113">
        <f>IF($C299="","",IF(AND($D299&lt;&gt;"",$E299&lt;&gt;"",$D299&lt;&gt;$E299,$F299&gt;0),"UYGUN","HATA"))</f>
        <v/>
      </c>
      <c r="K299" s="6" t="n"/>
      <c r="L299" s="6" t="n"/>
    </row>
    <row r="300">
      <c r="A300" s="6" t="n"/>
      <c r="B300" s="113">
        <f>IF($C300="","","V"&amp;TEXT(ROW()-6,"00000"))</f>
        <v/>
      </c>
      <c r="C300" s="220" t="n"/>
      <c r="D300" s="108" t="n"/>
      <c r="E300" s="108" t="n"/>
      <c r="F300" s="221" t="n"/>
      <c r="G300" s="109" t="n"/>
      <c r="H300" s="109" t="n"/>
      <c r="I300" s="109" t="n"/>
      <c r="J300" s="113">
        <f>IF($C300="","",IF(AND($D300&lt;&gt;"",$E300&lt;&gt;"",$D300&lt;&gt;$E300,$F300&gt;0),"UYGUN","HATA"))</f>
        <v/>
      </c>
      <c r="K300" s="6" t="n"/>
      <c r="L300" s="6" t="n"/>
    </row>
    <row r="301">
      <c r="A301" s="6" t="n"/>
      <c r="B301" s="113">
        <f>IF($C301="","","V"&amp;TEXT(ROW()-6,"00000"))</f>
        <v/>
      </c>
      <c r="C301" s="220" t="n"/>
      <c r="D301" s="108" t="n"/>
      <c r="E301" s="108" t="n"/>
      <c r="F301" s="221" t="n"/>
      <c r="G301" s="109" t="n"/>
      <c r="H301" s="109" t="n"/>
      <c r="I301" s="109" t="n"/>
      <c r="J301" s="113">
        <f>IF($C301="","",IF(AND($D301&lt;&gt;"",$E301&lt;&gt;"",$D301&lt;&gt;$E301,$F301&gt;0),"UYGUN","HATA"))</f>
        <v/>
      </c>
      <c r="K301" s="6" t="n"/>
      <c r="L301" s="6" t="n"/>
    </row>
    <row r="302">
      <c r="A302" s="6" t="n"/>
      <c r="B302" s="113">
        <f>IF($C302="","","V"&amp;TEXT(ROW()-6,"00000"))</f>
        <v/>
      </c>
      <c r="C302" s="220" t="n"/>
      <c r="D302" s="108" t="n"/>
      <c r="E302" s="108" t="n"/>
      <c r="F302" s="221" t="n"/>
      <c r="G302" s="109" t="n"/>
      <c r="H302" s="109" t="n"/>
      <c r="I302" s="109" t="n"/>
      <c r="J302" s="113">
        <f>IF($C302="","",IF(AND($D302&lt;&gt;"",$E302&lt;&gt;"",$D302&lt;&gt;$E302,$F302&gt;0),"UYGUN","HATA"))</f>
        <v/>
      </c>
      <c r="K302" s="6" t="n"/>
      <c r="L302" s="6" t="n"/>
    </row>
    <row r="303">
      <c r="A303" s="6" t="n"/>
      <c r="B303" s="113">
        <f>IF($C303="","","V"&amp;TEXT(ROW()-6,"00000"))</f>
        <v/>
      </c>
      <c r="C303" s="220" t="n"/>
      <c r="D303" s="108" t="n"/>
      <c r="E303" s="108" t="n"/>
      <c r="F303" s="221" t="n"/>
      <c r="G303" s="109" t="n"/>
      <c r="H303" s="109" t="n"/>
      <c r="I303" s="109" t="n"/>
      <c r="J303" s="113">
        <f>IF($C303="","",IF(AND($D303&lt;&gt;"",$E303&lt;&gt;"",$D303&lt;&gt;$E303,$F303&gt;0),"UYGUN","HATA"))</f>
        <v/>
      </c>
      <c r="K303" s="6" t="n"/>
      <c r="L303" s="6" t="n"/>
    </row>
    <row r="304">
      <c r="A304" s="6" t="n"/>
      <c r="B304" s="113">
        <f>IF($C304="","","V"&amp;TEXT(ROW()-6,"00000"))</f>
        <v/>
      </c>
      <c r="C304" s="220" t="n"/>
      <c r="D304" s="108" t="n"/>
      <c r="E304" s="108" t="n"/>
      <c r="F304" s="221" t="n"/>
      <c r="G304" s="109" t="n"/>
      <c r="H304" s="109" t="n"/>
      <c r="I304" s="109" t="n"/>
      <c r="J304" s="113">
        <f>IF($C304="","",IF(AND($D304&lt;&gt;"",$E304&lt;&gt;"",$D304&lt;&gt;$E304,$F304&gt;0),"UYGUN","HATA"))</f>
        <v/>
      </c>
      <c r="K304" s="6" t="n"/>
      <c r="L304" s="6" t="n"/>
    </row>
    <row r="305">
      <c r="A305" s="6" t="n"/>
      <c r="B305" s="113">
        <f>IF($C305="","","V"&amp;TEXT(ROW()-6,"00000"))</f>
        <v/>
      </c>
      <c r="C305" s="220" t="n"/>
      <c r="D305" s="108" t="n"/>
      <c r="E305" s="108" t="n"/>
      <c r="F305" s="221" t="n"/>
      <c r="G305" s="109" t="n"/>
      <c r="H305" s="109" t="n"/>
      <c r="I305" s="109" t="n"/>
      <c r="J305" s="113">
        <f>IF($C305="","",IF(AND($D305&lt;&gt;"",$E305&lt;&gt;"",$D305&lt;&gt;$E305,$F305&gt;0),"UYGUN","HATA"))</f>
        <v/>
      </c>
      <c r="K305" s="6" t="n"/>
      <c r="L305" s="6" t="n"/>
    </row>
    <row r="306">
      <c r="A306" s="6" t="n"/>
      <c r="B306" s="113">
        <f>IF($C306="","","V"&amp;TEXT(ROW()-6,"00000"))</f>
        <v/>
      </c>
      <c r="C306" s="220" t="n"/>
      <c r="D306" s="108" t="n"/>
      <c r="E306" s="108" t="n"/>
      <c r="F306" s="221" t="n"/>
      <c r="G306" s="109" t="n"/>
      <c r="H306" s="109" t="n"/>
      <c r="I306" s="109" t="n"/>
      <c r="J306" s="113">
        <f>IF($C306="","",IF(AND($D306&lt;&gt;"",$E306&lt;&gt;"",$D306&lt;&gt;$E306,$F306&gt;0),"UYGUN","HATA"))</f>
        <v/>
      </c>
      <c r="K306" s="6" t="n"/>
      <c r="L306" s="6" t="n"/>
    </row>
    <row r="307">
      <c r="A307" s="6" t="n"/>
      <c r="B307" s="113">
        <f>IF($C307="","","V"&amp;TEXT(ROW()-6,"00000"))</f>
        <v/>
      </c>
      <c r="C307" s="220" t="n"/>
      <c r="D307" s="108" t="n"/>
      <c r="E307" s="108" t="n"/>
      <c r="F307" s="221" t="n"/>
      <c r="G307" s="109" t="n"/>
      <c r="H307" s="109" t="n"/>
      <c r="I307" s="109" t="n"/>
      <c r="J307" s="113">
        <f>IF($C307="","",IF(AND($D307&lt;&gt;"",$E307&lt;&gt;"",$D307&lt;&gt;$E307,$F307&gt;0),"UYGUN","HATA"))</f>
        <v/>
      </c>
      <c r="K307" s="6" t="n"/>
      <c r="L307" s="6" t="n"/>
    </row>
    <row r="308">
      <c r="A308" s="6" t="n"/>
      <c r="B308" s="113">
        <f>IF($C308="","","V"&amp;TEXT(ROW()-6,"00000"))</f>
        <v/>
      </c>
      <c r="C308" s="220" t="n"/>
      <c r="D308" s="108" t="n"/>
      <c r="E308" s="108" t="n"/>
      <c r="F308" s="221" t="n"/>
      <c r="G308" s="109" t="n"/>
      <c r="H308" s="109" t="n"/>
      <c r="I308" s="109" t="n"/>
      <c r="J308" s="113">
        <f>IF($C308="","",IF(AND($D308&lt;&gt;"",$E308&lt;&gt;"",$D308&lt;&gt;$E308,$F308&gt;0),"UYGUN","HATA"))</f>
        <v/>
      </c>
      <c r="K308" s="6" t="n"/>
      <c r="L308" s="6" t="n"/>
    </row>
    <row r="309">
      <c r="A309" s="6" t="n"/>
      <c r="B309" s="113">
        <f>IF($C309="","","V"&amp;TEXT(ROW()-6,"00000"))</f>
        <v/>
      </c>
      <c r="C309" s="220" t="n"/>
      <c r="D309" s="108" t="n"/>
      <c r="E309" s="108" t="n"/>
      <c r="F309" s="221" t="n"/>
      <c r="G309" s="109" t="n"/>
      <c r="H309" s="109" t="n"/>
      <c r="I309" s="109" t="n"/>
      <c r="J309" s="113">
        <f>IF($C309="","",IF(AND($D309&lt;&gt;"",$E309&lt;&gt;"",$D309&lt;&gt;$E309,$F309&gt;0),"UYGUN","HATA"))</f>
        <v/>
      </c>
      <c r="K309" s="6" t="n"/>
      <c r="L309" s="6" t="n"/>
    </row>
    <row r="310">
      <c r="A310" s="6" t="n"/>
      <c r="B310" s="113">
        <f>IF($C310="","","V"&amp;TEXT(ROW()-6,"00000"))</f>
        <v/>
      </c>
      <c r="C310" s="220" t="n"/>
      <c r="D310" s="108" t="n"/>
      <c r="E310" s="108" t="n"/>
      <c r="F310" s="221" t="n"/>
      <c r="G310" s="109" t="n"/>
      <c r="H310" s="109" t="n"/>
      <c r="I310" s="109" t="n"/>
      <c r="J310" s="113">
        <f>IF($C310="","",IF(AND($D310&lt;&gt;"",$E310&lt;&gt;"",$D310&lt;&gt;$E310,$F310&gt;0),"UYGUN","HATA"))</f>
        <v/>
      </c>
      <c r="K310" s="6" t="n"/>
      <c r="L310" s="6" t="n"/>
    </row>
    <row r="311">
      <c r="A311" s="6" t="n"/>
      <c r="B311" s="113">
        <f>IF($C311="","","V"&amp;TEXT(ROW()-6,"00000"))</f>
        <v/>
      </c>
      <c r="C311" s="220" t="n"/>
      <c r="D311" s="108" t="n"/>
      <c r="E311" s="108" t="n"/>
      <c r="F311" s="221" t="n"/>
      <c r="G311" s="109" t="n"/>
      <c r="H311" s="109" t="n"/>
      <c r="I311" s="109" t="n"/>
      <c r="J311" s="113">
        <f>IF($C311="","",IF(AND($D311&lt;&gt;"",$E311&lt;&gt;"",$D311&lt;&gt;$E311,$F311&gt;0),"UYGUN","HATA"))</f>
        <v/>
      </c>
      <c r="K311" s="6" t="n"/>
      <c r="L311" s="6" t="n"/>
    </row>
    <row r="312">
      <c r="A312" s="6" t="n"/>
      <c r="B312" s="113">
        <f>IF($C312="","","V"&amp;TEXT(ROW()-6,"00000"))</f>
        <v/>
      </c>
      <c r="C312" s="220" t="n"/>
      <c r="D312" s="108" t="n"/>
      <c r="E312" s="108" t="n"/>
      <c r="F312" s="221" t="n"/>
      <c r="G312" s="109" t="n"/>
      <c r="H312" s="109" t="n"/>
      <c r="I312" s="109" t="n"/>
      <c r="J312" s="113">
        <f>IF($C312="","",IF(AND($D312&lt;&gt;"",$E312&lt;&gt;"",$D312&lt;&gt;$E312,$F312&gt;0),"UYGUN","HATA"))</f>
        <v/>
      </c>
      <c r="K312" s="6" t="n"/>
      <c r="L312" s="6" t="n"/>
    </row>
    <row r="313">
      <c r="A313" s="6" t="n"/>
      <c r="B313" s="113">
        <f>IF($C313="","","V"&amp;TEXT(ROW()-6,"00000"))</f>
        <v/>
      </c>
      <c r="C313" s="220" t="n"/>
      <c r="D313" s="108" t="n"/>
      <c r="E313" s="108" t="n"/>
      <c r="F313" s="221" t="n"/>
      <c r="G313" s="109" t="n"/>
      <c r="H313" s="109" t="n"/>
      <c r="I313" s="109" t="n"/>
      <c r="J313" s="113">
        <f>IF($C313="","",IF(AND($D313&lt;&gt;"",$E313&lt;&gt;"",$D313&lt;&gt;$E313,$F313&gt;0),"UYGUN","HATA"))</f>
        <v/>
      </c>
      <c r="K313" s="6" t="n"/>
      <c r="L313" s="6" t="n"/>
    </row>
    <row r="314">
      <c r="A314" s="6" t="n"/>
      <c r="B314" s="113">
        <f>IF($C314="","","V"&amp;TEXT(ROW()-6,"00000"))</f>
        <v/>
      </c>
      <c r="C314" s="220" t="n"/>
      <c r="D314" s="108" t="n"/>
      <c r="E314" s="108" t="n"/>
      <c r="F314" s="221" t="n"/>
      <c r="G314" s="109" t="n"/>
      <c r="H314" s="109" t="n"/>
      <c r="I314" s="109" t="n"/>
      <c r="J314" s="113">
        <f>IF($C314="","",IF(AND($D314&lt;&gt;"",$E314&lt;&gt;"",$D314&lt;&gt;$E314,$F314&gt;0),"UYGUN","HATA"))</f>
        <v/>
      </c>
      <c r="K314" s="6" t="n"/>
      <c r="L314" s="6" t="n"/>
    </row>
    <row r="315">
      <c r="A315" s="6" t="n"/>
      <c r="B315" s="113">
        <f>IF($C315="","","V"&amp;TEXT(ROW()-6,"00000"))</f>
        <v/>
      </c>
      <c r="C315" s="220" t="n"/>
      <c r="D315" s="108" t="n"/>
      <c r="E315" s="108" t="n"/>
      <c r="F315" s="221" t="n"/>
      <c r="G315" s="109" t="n"/>
      <c r="H315" s="109" t="n"/>
      <c r="I315" s="109" t="n"/>
      <c r="J315" s="113">
        <f>IF($C315="","",IF(AND($D315&lt;&gt;"",$E315&lt;&gt;"",$D315&lt;&gt;$E315,$F315&gt;0),"UYGUN","HATA"))</f>
        <v/>
      </c>
      <c r="K315" s="6" t="n"/>
      <c r="L315" s="6" t="n"/>
    </row>
    <row r="316">
      <c r="A316" s="6" t="n"/>
      <c r="B316" s="113">
        <f>IF($C316="","","V"&amp;TEXT(ROW()-6,"00000"))</f>
        <v/>
      </c>
      <c r="C316" s="220" t="n"/>
      <c r="D316" s="108" t="n"/>
      <c r="E316" s="108" t="n"/>
      <c r="F316" s="221" t="n"/>
      <c r="G316" s="109" t="n"/>
      <c r="H316" s="109" t="n"/>
      <c r="I316" s="109" t="n"/>
      <c r="J316" s="113">
        <f>IF($C316="","",IF(AND($D316&lt;&gt;"",$E316&lt;&gt;"",$D316&lt;&gt;$E316,$F316&gt;0),"UYGUN","HATA"))</f>
        <v/>
      </c>
      <c r="K316" s="6" t="n"/>
      <c r="L316" s="6" t="n"/>
    </row>
    <row r="317">
      <c r="A317" s="6" t="n"/>
      <c r="B317" s="113">
        <f>IF($C317="","","V"&amp;TEXT(ROW()-6,"00000"))</f>
        <v/>
      </c>
      <c r="C317" s="220" t="n"/>
      <c r="D317" s="108" t="n"/>
      <c r="E317" s="108" t="n"/>
      <c r="F317" s="221" t="n"/>
      <c r="G317" s="109" t="n"/>
      <c r="H317" s="109" t="n"/>
      <c r="I317" s="109" t="n"/>
      <c r="J317" s="113">
        <f>IF($C317="","",IF(AND($D317&lt;&gt;"",$E317&lt;&gt;"",$D317&lt;&gt;$E317,$F317&gt;0),"UYGUN","HATA"))</f>
        <v/>
      </c>
      <c r="K317" s="6" t="n"/>
      <c r="L317" s="6" t="n"/>
    </row>
    <row r="318">
      <c r="A318" s="6" t="n"/>
      <c r="B318" s="113">
        <f>IF($C318="","","V"&amp;TEXT(ROW()-6,"00000"))</f>
        <v/>
      </c>
      <c r="C318" s="220" t="n"/>
      <c r="D318" s="108" t="n"/>
      <c r="E318" s="108" t="n"/>
      <c r="F318" s="221" t="n"/>
      <c r="G318" s="109" t="n"/>
      <c r="H318" s="109" t="n"/>
      <c r="I318" s="109" t="n"/>
      <c r="J318" s="113">
        <f>IF($C318="","",IF(AND($D318&lt;&gt;"",$E318&lt;&gt;"",$D318&lt;&gt;$E318,$F318&gt;0),"UYGUN","HATA"))</f>
        <v/>
      </c>
      <c r="K318" s="6" t="n"/>
      <c r="L318" s="6" t="n"/>
    </row>
    <row r="319">
      <c r="A319" s="6" t="n"/>
      <c r="B319" s="113">
        <f>IF($C319="","","V"&amp;TEXT(ROW()-6,"00000"))</f>
        <v/>
      </c>
      <c r="C319" s="220" t="n"/>
      <c r="D319" s="108" t="n"/>
      <c r="E319" s="108" t="n"/>
      <c r="F319" s="221" t="n"/>
      <c r="G319" s="109" t="n"/>
      <c r="H319" s="109" t="n"/>
      <c r="I319" s="109" t="n"/>
      <c r="J319" s="113">
        <f>IF($C319="","",IF(AND($D319&lt;&gt;"",$E319&lt;&gt;"",$D319&lt;&gt;$E319,$F319&gt;0),"UYGUN","HATA"))</f>
        <v/>
      </c>
      <c r="K319" s="6" t="n"/>
      <c r="L319" s="6" t="n"/>
    </row>
    <row r="320">
      <c r="A320" s="6" t="n"/>
      <c r="B320" s="113">
        <f>IF($C320="","","V"&amp;TEXT(ROW()-6,"00000"))</f>
        <v/>
      </c>
      <c r="C320" s="220" t="n"/>
      <c r="D320" s="108" t="n"/>
      <c r="E320" s="108" t="n"/>
      <c r="F320" s="221" t="n"/>
      <c r="G320" s="109" t="n"/>
      <c r="H320" s="109" t="n"/>
      <c r="I320" s="109" t="n"/>
      <c r="J320" s="113">
        <f>IF($C320="","",IF(AND($D320&lt;&gt;"",$E320&lt;&gt;"",$D320&lt;&gt;$E320,$F320&gt;0),"UYGUN","HATA"))</f>
        <v/>
      </c>
      <c r="K320" s="6" t="n"/>
      <c r="L320" s="6" t="n"/>
    </row>
    <row r="321">
      <c r="A321" s="6" t="n"/>
      <c r="B321" s="113">
        <f>IF($C321="","","V"&amp;TEXT(ROW()-6,"00000"))</f>
        <v/>
      </c>
      <c r="C321" s="220" t="n"/>
      <c r="D321" s="108" t="n"/>
      <c r="E321" s="108" t="n"/>
      <c r="F321" s="221" t="n"/>
      <c r="G321" s="109" t="n"/>
      <c r="H321" s="109" t="n"/>
      <c r="I321" s="109" t="n"/>
      <c r="J321" s="113">
        <f>IF($C321="","",IF(AND($D321&lt;&gt;"",$E321&lt;&gt;"",$D321&lt;&gt;$E321,$F321&gt;0),"UYGUN","HATA"))</f>
        <v/>
      </c>
      <c r="K321" s="6" t="n"/>
      <c r="L321" s="6" t="n"/>
    </row>
    <row r="322">
      <c r="A322" s="6" t="n"/>
      <c r="B322" s="113">
        <f>IF($C322="","","V"&amp;TEXT(ROW()-6,"00000"))</f>
        <v/>
      </c>
      <c r="C322" s="220" t="n"/>
      <c r="D322" s="108" t="n"/>
      <c r="E322" s="108" t="n"/>
      <c r="F322" s="221" t="n"/>
      <c r="G322" s="109" t="n"/>
      <c r="H322" s="109" t="n"/>
      <c r="I322" s="109" t="n"/>
      <c r="J322" s="113">
        <f>IF($C322="","",IF(AND($D322&lt;&gt;"",$E322&lt;&gt;"",$D322&lt;&gt;$E322,$F322&gt;0),"UYGUN","HATA"))</f>
        <v/>
      </c>
      <c r="K322" s="6" t="n"/>
      <c r="L322" s="6" t="n"/>
    </row>
    <row r="323">
      <c r="A323" s="6" t="n"/>
      <c r="B323" s="113">
        <f>IF($C323="","","V"&amp;TEXT(ROW()-6,"00000"))</f>
        <v/>
      </c>
      <c r="C323" s="220" t="n"/>
      <c r="D323" s="108" t="n"/>
      <c r="E323" s="108" t="n"/>
      <c r="F323" s="221" t="n"/>
      <c r="G323" s="109" t="n"/>
      <c r="H323" s="109" t="n"/>
      <c r="I323" s="109" t="n"/>
      <c r="J323" s="113">
        <f>IF($C323="","",IF(AND($D323&lt;&gt;"",$E323&lt;&gt;"",$D323&lt;&gt;$E323,$F323&gt;0),"UYGUN","HATA"))</f>
        <v/>
      </c>
      <c r="K323" s="6" t="n"/>
      <c r="L323" s="6" t="n"/>
    </row>
    <row r="324">
      <c r="A324" s="6" t="n"/>
      <c r="B324" s="113">
        <f>IF($C324="","","V"&amp;TEXT(ROW()-6,"00000"))</f>
        <v/>
      </c>
      <c r="C324" s="220" t="n"/>
      <c r="D324" s="108" t="n"/>
      <c r="E324" s="108" t="n"/>
      <c r="F324" s="221" t="n"/>
      <c r="G324" s="109" t="n"/>
      <c r="H324" s="109" t="n"/>
      <c r="I324" s="109" t="n"/>
      <c r="J324" s="113">
        <f>IF($C324="","",IF(AND($D324&lt;&gt;"",$E324&lt;&gt;"",$D324&lt;&gt;$E324,$F324&gt;0),"UYGUN","HATA"))</f>
        <v/>
      </c>
      <c r="K324" s="6" t="n"/>
      <c r="L324" s="6" t="n"/>
    </row>
    <row r="325">
      <c r="A325" s="6" t="n"/>
      <c r="B325" s="113">
        <f>IF($C325="","","V"&amp;TEXT(ROW()-6,"00000"))</f>
        <v/>
      </c>
      <c r="C325" s="220" t="n"/>
      <c r="D325" s="108" t="n"/>
      <c r="E325" s="108" t="n"/>
      <c r="F325" s="221" t="n"/>
      <c r="G325" s="109" t="n"/>
      <c r="H325" s="109" t="n"/>
      <c r="I325" s="109" t="n"/>
      <c r="J325" s="113">
        <f>IF($C325="","",IF(AND($D325&lt;&gt;"",$E325&lt;&gt;"",$D325&lt;&gt;$E325,$F325&gt;0),"UYGUN","HATA"))</f>
        <v/>
      </c>
      <c r="K325" s="6" t="n"/>
      <c r="L325" s="6" t="n"/>
    </row>
    <row r="326">
      <c r="A326" s="6" t="n"/>
      <c r="B326" s="113">
        <f>IF($C326="","","V"&amp;TEXT(ROW()-6,"00000"))</f>
        <v/>
      </c>
      <c r="C326" s="220" t="n"/>
      <c r="D326" s="108" t="n"/>
      <c r="E326" s="108" t="n"/>
      <c r="F326" s="221" t="n"/>
      <c r="G326" s="109" t="n"/>
      <c r="H326" s="109" t="n"/>
      <c r="I326" s="109" t="n"/>
      <c r="J326" s="113">
        <f>IF($C326="","",IF(AND($D326&lt;&gt;"",$E326&lt;&gt;"",$D326&lt;&gt;$E326,$F326&gt;0),"UYGUN","HATA"))</f>
        <v/>
      </c>
      <c r="K326" s="6" t="n"/>
      <c r="L326" s="6" t="n"/>
    </row>
    <row r="327">
      <c r="A327" s="6" t="n"/>
      <c r="B327" s="113">
        <f>IF($C327="","","V"&amp;TEXT(ROW()-6,"00000"))</f>
        <v/>
      </c>
      <c r="C327" s="220" t="n"/>
      <c r="D327" s="108" t="n"/>
      <c r="E327" s="108" t="n"/>
      <c r="F327" s="221" t="n"/>
      <c r="G327" s="109" t="n"/>
      <c r="H327" s="109" t="n"/>
      <c r="I327" s="109" t="n"/>
      <c r="J327" s="113">
        <f>IF($C327="","",IF(AND($D327&lt;&gt;"",$E327&lt;&gt;"",$D327&lt;&gt;$E327,$F327&gt;0),"UYGUN","HATA"))</f>
        <v/>
      </c>
      <c r="K327" s="6" t="n"/>
      <c r="L327" s="6" t="n"/>
    </row>
    <row r="328">
      <c r="A328" s="6" t="n"/>
      <c r="B328" s="113">
        <f>IF($C328="","","V"&amp;TEXT(ROW()-6,"00000"))</f>
        <v/>
      </c>
      <c r="C328" s="220" t="n"/>
      <c r="D328" s="108" t="n"/>
      <c r="E328" s="108" t="n"/>
      <c r="F328" s="221" t="n"/>
      <c r="G328" s="109" t="n"/>
      <c r="H328" s="109" t="n"/>
      <c r="I328" s="109" t="n"/>
      <c r="J328" s="113">
        <f>IF($C328="","",IF(AND($D328&lt;&gt;"",$E328&lt;&gt;"",$D328&lt;&gt;$E328,$F328&gt;0),"UYGUN","HATA"))</f>
        <v/>
      </c>
      <c r="K328" s="6" t="n"/>
      <c r="L328" s="6" t="n"/>
    </row>
    <row r="329">
      <c r="A329" s="6" t="n"/>
      <c r="B329" s="113">
        <f>IF($C329="","","V"&amp;TEXT(ROW()-6,"00000"))</f>
        <v/>
      </c>
      <c r="C329" s="220" t="n"/>
      <c r="D329" s="108" t="n"/>
      <c r="E329" s="108" t="n"/>
      <c r="F329" s="221" t="n"/>
      <c r="G329" s="109" t="n"/>
      <c r="H329" s="109" t="n"/>
      <c r="I329" s="109" t="n"/>
      <c r="J329" s="113">
        <f>IF($C329="","",IF(AND($D329&lt;&gt;"",$E329&lt;&gt;"",$D329&lt;&gt;$E329,$F329&gt;0),"UYGUN","HATA"))</f>
        <v/>
      </c>
      <c r="K329" s="6" t="n"/>
      <c r="L329" s="6" t="n"/>
    </row>
    <row r="330">
      <c r="A330" s="6" t="n"/>
      <c r="B330" s="113">
        <f>IF($C330="","","V"&amp;TEXT(ROW()-6,"00000"))</f>
        <v/>
      </c>
      <c r="C330" s="220" t="n"/>
      <c r="D330" s="108" t="n"/>
      <c r="E330" s="108" t="n"/>
      <c r="F330" s="221" t="n"/>
      <c r="G330" s="109" t="n"/>
      <c r="H330" s="109" t="n"/>
      <c r="I330" s="109" t="n"/>
      <c r="J330" s="113">
        <f>IF($C330="","",IF(AND($D330&lt;&gt;"",$E330&lt;&gt;"",$D330&lt;&gt;$E330,$F330&gt;0),"UYGUN","HATA"))</f>
        <v/>
      </c>
      <c r="K330" s="6" t="n"/>
      <c r="L330" s="6" t="n"/>
    </row>
    <row r="331">
      <c r="A331" s="6" t="n"/>
      <c r="B331" s="113">
        <f>IF($C331="","","V"&amp;TEXT(ROW()-6,"00000"))</f>
        <v/>
      </c>
      <c r="C331" s="220" t="n"/>
      <c r="D331" s="108" t="n"/>
      <c r="E331" s="108" t="n"/>
      <c r="F331" s="221" t="n"/>
      <c r="G331" s="109" t="n"/>
      <c r="H331" s="109" t="n"/>
      <c r="I331" s="109" t="n"/>
      <c r="J331" s="113">
        <f>IF($C331="","",IF(AND($D331&lt;&gt;"",$E331&lt;&gt;"",$D331&lt;&gt;$E331,$F331&gt;0),"UYGUN","HATA"))</f>
        <v/>
      </c>
      <c r="K331" s="6" t="n"/>
      <c r="L331" s="6" t="n"/>
    </row>
    <row r="332">
      <c r="A332" s="6" t="n"/>
      <c r="B332" s="113">
        <f>IF($C332="","","V"&amp;TEXT(ROW()-6,"00000"))</f>
        <v/>
      </c>
      <c r="C332" s="220" t="n"/>
      <c r="D332" s="108" t="n"/>
      <c r="E332" s="108" t="n"/>
      <c r="F332" s="221" t="n"/>
      <c r="G332" s="109" t="n"/>
      <c r="H332" s="109" t="n"/>
      <c r="I332" s="109" t="n"/>
      <c r="J332" s="113">
        <f>IF($C332="","",IF(AND($D332&lt;&gt;"",$E332&lt;&gt;"",$D332&lt;&gt;$E332,$F332&gt;0),"UYGUN","HATA"))</f>
        <v/>
      </c>
      <c r="K332" s="6" t="n"/>
      <c r="L332" s="6" t="n"/>
    </row>
    <row r="333">
      <c r="A333" s="6" t="n"/>
      <c r="B333" s="113">
        <f>IF($C333="","","V"&amp;TEXT(ROW()-6,"00000"))</f>
        <v/>
      </c>
      <c r="C333" s="220" t="n"/>
      <c r="D333" s="108" t="n"/>
      <c r="E333" s="108" t="n"/>
      <c r="F333" s="221" t="n"/>
      <c r="G333" s="109" t="n"/>
      <c r="H333" s="109" t="n"/>
      <c r="I333" s="109" t="n"/>
      <c r="J333" s="113">
        <f>IF($C333="","",IF(AND($D333&lt;&gt;"",$E333&lt;&gt;"",$D333&lt;&gt;$E333,$F333&gt;0),"UYGUN","HATA"))</f>
        <v/>
      </c>
      <c r="K333" s="6" t="n"/>
      <c r="L333" s="6" t="n"/>
    </row>
    <row r="334">
      <c r="A334" s="6" t="n"/>
      <c r="B334" s="113">
        <f>IF($C334="","","V"&amp;TEXT(ROW()-6,"00000"))</f>
        <v/>
      </c>
      <c r="C334" s="220" t="n"/>
      <c r="D334" s="108" t="n"/>
      <c r="E334" s="108" t="n"/>
      <c r="F334" s="221" t="n"/>
      <c r="G334" s="109" t="n"/>
      <c r="H334" s="109" t="n"/>
      <c r="I334" s="109" t="n"/>
      <c r="J334" s="113">
        <f>IF($C334="","",IF(AND($D334&lt;&gt;"",$E334&lt;&gt;"",$D334&lt;&gt;$E334,$F334&gt;0),"UYGUN","HATA"))</f>
        <v/>
      </c>
      <c r="K334" s="6" t="n"/>
      <c r="L334" s="6" t="n"/>
    </row>
    <row r="335">
      <c r="A335" s="6" t="n"/>
      <c r="B335" s="113">
        <f>IF($C335="","","V"&amp;TEXT(ROW()-6,"00000"))</f>
        <v/>
      </c>
      <c r="C335" s="220" t="n"/>
      <c r="D335" s="108" t="n"/>
      <c r="E335" s="108" t="n"/>
      <c r="F335" s="221" t="n"/>
      <c r="G335" s="109" t="n"/>
      <c r="H335" s="109" t="n"/>
      <c r="I335" s="109" t="n"/>
      <c r="J335" s="113">
        <f>IF($C335="","",IF(AND($D335&lt;&gt;"",$E335&lt;&gt;"",$D335&lt;&gt;$E335,$F335&gt;0),"UYGUN","HATA"))</f>
        <v/>
      </c>
      <c r="K335" s="6" t="n"/>
      <c r="L335" s="6" t="n"/>
    </row>
    <row r="336">
      <c r="A336" s="6" t="n"/>
      <c r="B336" s="113">
        <f>IF($C336="","","V"&amp;TEXT(ROW()-6,"00000"))</f>
        <v/>
      </c>
      <c r="C336" s="220" t="n"/>
      <c r="D336" s="108" t="n"/>
      <c r="E336" s="108" t="n"/>
      <c r="F336" s="221" t="n"/>
      <c r="G336" s="109" t="n"/>
      <c r="H336" s="109" t="n"/>
      <c r="I336" s="109" t="n"/>
      <c r="J336" s="113">
        <f>IF($C336="","",IF(AND($D336&lt;&gt;"",$E336&lt;&gt;"",$D336&lt;&gt;$E336,$F336&gt;0),"UYGUN","HATA"))</f>
        <v/>
      </c>
      <c r="K336" s="6" t="n"/>
      <c r="L336" s="6" t="n"/>
    </row>
    <row r="337">
      <c r="A337" s="6" t="n"/>
      <c r="B337" s="113">
        <f>IF($C337="","","V"&amp;TEXT(ROW()-6,"00000"))</f>
        <v/>
      </c>
      <c r="C337" s="220" t="n"/>
      <c r="D337" s="108" t="n"/>
      <c r="E337" s="108" t="n"/>
      <c r="F337" s="221" t="n"/>
      <c r="G337" s="109" t="n"/>
      <c r="H337" s="109" t="n"/>
      <c r="I337" s="109" t="n"/>
      <c r="J337" s="113">
        <f>IF($C337="","",IF(AND($D337&lt;&gt;"",$E337&lt;&gt;"",$D337&lt;&gt;$E337,$F337&gt;0),"UYGUN","HATA"))</f>
        <v/>
      </c>
      <c r="K337" s="6" t="n"/>
      <c r="L337" s="6" t="n"/>
    </row>
    <row r="338">
      <c r="A338" s="6" t="n"/>
      <c r="B338" s="113">
        <f>IF($C338="","","V"&amp;TEXT(ROW()-6,"00000"))</f>
        <v/>
      </c>
      <c r="C338" s="220" t="n"/>
      <c r="D338" s="108" t="n"/>
      <c r="E338" s="108" t="n"/>
      <c r="F338" s="221" t="n"/>
      <c r="G338" s="109" t="n"/>
      <c r="H338" s="109" t="n"/>
      <c r="I338" s="109" t="n"/>
      <c r="J338" s="113">
        <f>IF($C338="","",IF(AND($D338&lt;&gt;"",$E338&lt;&gt;"",$D338&lt;&gt;$E338,$F338&gt;0),"UYGUN","HATA"))</f>
        <v/>
      </c>
      <c r="K338" s="6" t="n"/>
      <c r="L338" s="6" t="n"/>
    </row>
    <row r="339">
      <c r="A339" s="6" t="n"/>
      <c r="B339" s="113">
        <f>IF($C339="","","V"&amp;TEXT(ROW()-6,"00000"))</f>
        <v/>
      </c>
      <c r="C339" s="220" t="n"/>
      <c r="D339" s="108" t="n"/>
      <c r="E339" s="108" t="n"/>
      <c r="F339" s="221" t="n"/>
      <c r="G339" s="109" t="n"/>
      <c r="H339" s="109" t="n"/>
      <c r="I339" s="109" t="n"/>
      <c r="J339" s="113">
        <f>IF($C339="","",IF(AND($D339&lt;&gt;"",$E339&lt;&gt;"",$D339&lt;&gt;$E339,$F339&gt;0),"UYGUN","HATA"))</f>
        <v/>
      </c>
      <c r="K339" s="6" t="n"/>
      <c r="L339" s="6" t="n"/>
    </row>
    <row r="340">
      <c r="A340" s="6" t="n"/>
      <c r="B340" s="113">
        <f>IF($C340="","","V"&amp;TEXT(ROW()-6,"00000"))</f>
        <v/>
      </c>
      <c r="C340" s="220" t="n"/>
      <c r="D340" s="108" t="n"/>
      <c r="E340" s="108" t="n"/>
      <c r="F340" s="221" t="n"/>
      <c r="G340" s="109" t="n"/>
      <c r="H340" s="109" t="n"/>
      <c r="I340" s="109" t="n"/>
      <c r="J340" s="113">
        <f>IF($C340="","",IF(AND($D340&lt;&gt;"",$E340&lt;&gt;"",$D340&lt;&gt;$E340,$F340&gt;0),"UYGUN","HATA"))</f>
        <v/>
      </c>
      <c r="K340" s="6" t="n"/>
      <c r="L340" s="6" t="n"/>
    </row>
    <row r="341">
      <c r="A341" s="6" t="n"/>
      <c r="B341" s="113">
        <f>IF($C341="","","V"&amp;TEXT(ROW()-6,"00000"))</f>
        <v/>
      </c>
      <c r="C341" s="220" t="n"/>
      <c r="D341" s="108" t="n"/>
      <c r="E341" s="108" t="n"/>
      <c r="F341" s="221" t="n"/>
      <c r="G341" s="109" t="n"/>
      <c r="H341" s="109" t="n"/>
      <c r="I341" s="109" t="n"/>
      <c r="J341" s="113">
        <f>IF($C341="","",IF(AND($D341&lt;&gt;"",$E341&lt;&gt;"",$D341&lt;&gt;$E341,$F341&gt;0),"UYGUN","HATA"))</f>
        <v/>
      </c>
      <c r="K341" s="6" t="n"/>
      <c r="L341" s="6" t="n"/>
    </row>
    <row r="342">
      <c r="A342" s="6" t="n"/>
      <c r="B342" s="113">
        <f>IF($C342="","","V"&amp;TEXT(ROW()-6,"00000"))</f>
        <v/>
      </c>
      <c r="C342" s="220" t="n"/>
      <c r="D342" s="108" t="n"/>
      <c r="E342" s="108" t="n"/>
      <c r="F342" s="221" t="n"/>
      <c r="G342" s="109" t="n"/>
      <c r="H342" s="109" t="n"/>
      <c r="I342" s="109" t="n"/>
      <c r="J342" s="113">
        <f>IF($C342="","",IF(AND($D342&lt;&gt;"",$E342&lt;&gt;"",$D342&lt;&gt;$E342,$F342&gt;0),"UYGUN","HATA"))</f>
        <v/>
      </c>
      <c r="K342" s="6" t="n"/>
      <c r="L342" s="6" t="n"/>
    </row>
    <row r="343">
      <c r="A343" s="6" t="n"/>
      <c r="B343" s="113">
        <f>IF($C343="","","V"&amp;TEXT(ROW()-6,"00000"))</f>
        <v/>
      </c>
      <c r="C343" s="220" t="n"/>
      <c r="D343" s="108" t="n"/>
      <c r="E343" s="108" t="n"/>
      <c r="F343" s="221" t="n"/>
      <c r="G343" s="109" t="n"/>
      <c r="H343" s="109" t="n"/>
      <c r="I343" s="109" t="n"/>
      <c r="J343" s="113">
        <f>IF($C343="","",IF(AND($D343&lt;&gt;"",$E343&lt;&gt;"",$D343&lt;&gt;$E343,$F343&gt;0),"UYGUN","HATA"))</f>
        <v/>
      </c>
      <c r="K343" s="6" t="n"/>
      <c r="L343" s="6" t="n"/>
    </row>
    <row r="344">
      <c r="A344" s="6" t="n"/>
      <c r="B344" s="113">
        <f>IF($C344="","","V"&amp;TEXT(ROW()-6,"00000"))</f>
        <v/>
      </c>
      <c r="C344" s="220" t="n"/>
      <c r="D344" s="108" t="n"/>
      <c r="E344" s="108" t="n"/>
      <c r="F344" s="221" t="n"/>
      <c r="G344" s="109" t="n"/>
      <c r="H344" s="109" t="n"/>
      <c r="I344" s="109" t="n"/>
      <c r="J344" s="113">
        <f>IF($C344="","",IF(AND($D344&lt;&gt;"",$E344&lt;&gt;"",$D344&lt;&gt;$E344,$F344&gt;0),"UYGUN","HATA"))</f>
        <v/>
      </c>
      <c r="K344" s="6" t="n"/>
      <c r="L344" s="6" t="n"/>
    </row>
    <row r="345">
      <c r="A345" s="6" t="n"/>
      <c r="B345" s="113">
        <f>IF($C345="","","V"&amp;TEXT(ROW()-6,"00000"))</f>
        <v/>
      </c>
      <c r="C345" s="220" t="n"/>
      <c r="D345" s="108" t="n"/>
      <c r="E345" s="108" t="n"/>
      <c r="F345" s="221" t="n"/>
      <c r="G345" s="109" t="n"/>
      <c r="H345" s="109" t="n"/>
      <c r="I345" s="109" t="n"/>
      <c r="J345" s="113">
        <f>IF($C345="","",IF(AND($D345&lt;&gt;"",$E345&lt;&gt;"",$D345&lt;&gt;$E345,$F345&gt;0),"UYGUN","HATA"))</f>
        <v/>
      </c>
      <c r="K345" s="6" t="n"/>
      <c r="L345" s="6" t="n"/>
    </row>
    <row r="346">
      <c r="A346" s="6" t="n"/>
      <c r="B346" s="113">
        <f>IF($C346="","","V"&amp;TEXT(ROW()-6,"00000"))</f>
        <v/>
      </c>
      <c r="C346" s="220" t="n"/>
      <c r="D346" s="108" t="n"/>
      <c r="E346" s="108" t="n"/>
      <c r="F346" s="221" t="n"/>
      <c r="G346" s="109" t="n"/>
      <c r="H346" s="109" t="n"/>
      <c r="I346" s="109" t="n"/>
      <c r="J346" s="113">
        <f>IF($C346="","",IF(AND($D346&lt;&gt;"",$E346&lt;&gt;"",$D346&lt;&gt;$E346,$F346&gt;0),"UYGUN","HATA"))</f>
        <v/>
      </c>
      <c r="K346" s="6" t="n"/>
      <c r="L346" s="6" t="n"/>
    </row>
    <row r="347">
      <c r="A347" s="6" t="n"/>
      <c r="B347" s="113">
        <f>IF($C347="","","V"&amp;TEXT(ROW()-6,"00000"))</f>
        <v/>
      </c>
      <c r="C347" s="220" t="n"/>
      <c r="D347" s="108" t="n"/>
      <c r="E347" s="108" t="n"/>
      <c r="F347" s="221" t="n"/>
      <c r="G347" s="109" t="n"/>
      <c r="H347" s="109" t="n"/>
      <c r="I347" s="109" t="n"/>
      <c r="J347" s="113">
        <f>IF($C347="","",IF(AND($D347&lt;&gt;"",$E347&lt;&gt;"",$D347&lt;&gt;$E347,$F347&gt;0),"UYGUN","HATA"))</f>
        <v/>
      </c>
      <c r="K347" s="6" t="n"/>
      <c r="L347" s="6" t="n"/>
    </row>
    <row r="348">
      <c r="A348" s="6" t="n"/>
      <c r="B348" s="113">
        <f>IF($C348="","","V"&amp;TEXT(ROW()-6,"00000"))</f>
        <v/>
      </c>
      <c r="C348" s="220" t="n"/>
      <c r="D348" s="108" t="n"/>
      <c r="E348" s="108" t="n"/>
      <c r="F348" s="221" t="n"/>
      <c r="G348" s="109" t="n"/>
      <c r="H348" s="109" t="n"/>
      <c r="I348" s="109" t="n"/>
      <c r="J348" s="113">
        <f>IF($C348="","",IF(AND($D348&lt;&gt;"",$E348&lt;&gt;"",$D348&lt;&gt;$E348,$F348&gt;0),"UYGUN","HATA"))</f>
        <v/>
      </c>
      <c r="K348" s="6" t="n"/>
      <c r="L348" s="6" t="n"/>
    </row>
    <row r="349">
      <c r="A349" s="6" t="n"/>
      <c r="B349" s="113">
        <f>IF($C349="","","V"&amp;TEXT(ROW()-6,"00000"))</f>
        <v/>
      </c>
      <c r="C349" s="220" t="n"/>
      <c r="D349" s="108" t="n"/>
      <c r="E349" s="108" t="n"/>
      <c r="F349" s="221" t="n"/>
      <c r="G349" s="109" t="n"/>
      <c r="H349" s="109" t="n"/>
      <c r="I349" s="109" t="n"/>
      <c r="J349" s="113">
        <f>IF($C349="","",IF(AND($D349&lt;&gt;"",$E349&lt;&gt;"",$D349&lt;&gt;$E349,$F349&gt;0),"UYGUN","HATA"))</f>
        <v/>
      </c>
      <c r="K349" s="6" t="n"/>
      <c r="L349" s="6" t="n"/>
    </row>
    <row r="350">
      <c r="A350" s="6" t="n"/>
      <c r="B350" s="113">
        <f>IF($C350="","","V"&amp;TEXT(ROW()-6,"00000"))</f>
        <v/>
      </c>
      <c r="C350" s="220" t="n"/>
      <c r="D350" s="108" t="n"/>
      <c r="E350" s="108" t="n"/>
      <c r="F350" s="221" t="n"/>
      <c r="G350" s="109" t="n"/>
      <c r="H350" s="109" t="n"/>
      <c r="I350" s="109" t="n"/>
      <c r="J350" s="113">
        <f>IF($C350="","",IF(AND($D350&lt;&gt;"",$E350&lt;&gt;"",$D350&lt;&gt;$E350,$F350&gt;0),"UYGUN","HATA"))</f>
        <v/>
      </c>
      <c r="K350" s="6" t="n"/>
      <c r="L350" s="6" t="n"/>
    </row>
    <row r="351">
      <c r="A351" s="6" t="n"/>
      <c r="B351" s="113">
        <f>IF($C351="","","V"&amp;TEXT(ROW()-6,"00000"))</f>
        <v/>
      </c>
      <c r="C351" s="220" t="n"/>
      <c r="D351" s="108" t="n"/>
      <c r="E351" s="108" t="n"/>
      <c r="F351" s="221" t="n"/>
      <c r="G351" s="109" t="n"/>
      <c r="H351" s="109" t="n"/>
      <c r="I351" s="109" t="n"/>
      <c r="J351" s="113">
        <f>IF($C351="","",IF(AND($D351&lt;&gt;"",$E351&lt;&gt;"",$D351&lt;&gt;$E351,$F351&gt;0),"UYGUN","HATA"))</f>
        <v/>
      </c>
      <c r="K351" s="6" t="n"/>
      <c r="L351" s="6" t="n"/>
    </row>
    <row r="352">
      <c r="A352" s="6" t="n"/>
      <c r="B352" s="113">
        <f>IF($C352="","","V"&amp;TEXT(ROW()-6,"00000"))</f>
        <v/>
      </c>
      <c r="C352" s="220" t="n"/>
      <c r="D352" s="108" t="n"/>
      <c r="E352" s="108" t="n"/>
      <c r="F352" s="221" t="n"/>
      <c r="G352" s="109" t="n"/>
      <c r="H352" s="109" t="n"/>
      <c r="I352" s="109" t="n"/>
      <c r="J352" s="113">
        <f>IF($C352="","",IF(AND($D352&lt;&gt;"",$E352&lt;&gt;"",$D352&lt;&gt;$E352,$F352&gt;0),"UYGUN","HATA"))</f>
        <v/>
      </c>
      <c r="K352" s="6" t="n"/>
      <c r="L352" s="6" t="n"/>
    </row>
    <row r="353">
      <c r="A353" s="6" t="n"/>
      <c r="B353" s="113">
        <f>IF($C353="","","V"&amp;TEXT(ROW()-6,"00000"))</f>
        <v/>
      </c>
      <c r="C353" s="220" t="n"/>
      <c r="D353" s="108" t="n"/>
      <c r="E353" s="108" t="n"/>
      <c r="F353" s="221" t="n"/>
      <c r="G353" s="109" t="n"/>
      <c r="H353" s="109" t="n"/>
      <c r="I353" s="109" t="n"/>
      <c r="J353" s="113">
        <f>IF($C353="","",IF(AND($D353&lt;&gt;"",$E353&lt;&gt;"",$D353&lt;&gt;$E353,$F353&gt;0),"UYGUN","HATA"))</f>
        <v/>
      </c>
      <c r="K353" s="6" t="n"/>
      <c r="L353" s="6" t="n"/>
    </row>
    <row r="354">
      <c r="A354" s="6" t="n"/>
      <c r="B354" s="113">
        <f>IF($C354="","","V"&amp;TEXT(ROW()-6,"00000"))</f>
        <v/>
      </c>
      <c r="C354" s="220" t="n"/>
      <c r="D354" s="108" t="n"/>
      <c r="E354" s="108" t="n"/>
      <c r="F354" s="221" t="n"/>
      <c r="G354" s="109" t="n"/>
      <c r="H354" s="109" t="n"/>
      <c r="I354" s="109" t="n"/>
      <c r="J354" s="113">
        <f>IF($C354="","",IF(AND($D354&lt;&gt;"",$E354&lt;&gt;"",$D354&lt;&gt;$E354,$F354&gt;0),"UYGUN","HATA"))</f>
        <v/>
      </c>
      <c r="K354" s="6" t="n"/>
      <c r="L354" s="6" t="n"/>
    </row>
    <row r="355">
      <c r="A355" s="6" t="n"/>
      <c r="B355" s="113">
        <f>IF($C355="","","V"&amp;TEXT(ROW()-6,"00000"))</f>
        <v/>
      </c>
      <c r="C355" s="220" t="n"/>
      <c r="D355" s="108" t="n"/>
      <c r="E355" s="108" t="n"/>
      <c r="F355" s="221" t="n"/>
      <c r="G355" s="109" t="n"/>
      <c r="H355" s="109" t="n"/>
      <c r="I355" s="109" t="n"/>
      <c r="J355" s="113">
        <f>IF($C355="","",IF(AND($D355&lt;&gt;"",$E355&lt;&gt;"",$D355&lt;&gt;$E355,$F355&gt;0),"UYGUN","HATA"))</f>
        <v/>
      </c>
      <c r="K355" s="6" t="n"/>
      <c r="L355" s="6" t="n"/>
    </row>
    <row r="356">
      <c r="A356" s="6" t="n"/>
      <c r="B356" s="113">
        <f>IF($C356="","","V"&amp;TEXT(ROW()-6,"00000"))</f>
        <v/>
      </c>
      <c r="C356" s="220" t="n"/>
      <c r="D356" s="108" t="n"/>
      <c r="E356" s="108" t="n"/>
      <c r="F356" s="221" t="n"/>
      <c r="G356" s="109" t="n"/>
      <c r="H356" s="109" t="n"/>
      <c r="I356" s="109" t="n"/>
      <c r="J356" s="113">
        <f>IF($C356="","",IF(AND($D356&lt;&gt;"",$E356&lt;&gt;"",$D356&lt;&gt;$E356,$F356&gt;0),"UYGUN","HATA"))</f>
        <v/>
      </c>
      <c r="K356" s="6" t="n"/>
      <c r="L356" s="6" t="n"/>
    </row>
    <row r="357">
      <c r="A357" s="6" t="n"/>
      <c r="B357" s="113">
        <f>IF($C357="","","V"&amp;TEXT(ROW()-6,"00000"))</f>
        <v/>
      </c>
      <c r="C357" s="220" t="n"/>
      <c r="D357" s="108" t="n"/>
      <c r="E357" s="108" t="n"/>
      <c r="F357" s="221" t="n"/>
      <c r="G357" s="109" t="n"/>
      <c r="H357" s="109" t="n"/>
      <c r="I357" s="109" t="n"/>
      <c r="J357" s="113">
        <f>IF($C357="","",IF(AND($D357&lt;&gt;"",$E357&lt;&gt;"",$D357&lt;&gt;$E357,$F357&gt;0),"UYGUN","HATA"))</f>
        <v/>
      </c>
      <c r="K357" s="6" t="n"/>
      <c r="L357" s="6" t="n"/>
    </row>
    <row r="358">
      <c r="A358" s="6" t="n"/>
      <c r="B358" s="113">
        <f>IF($C358="","","V"&amp;TEXT(ROW()-6,"00000"))</f>
        <v/>
      </c>
      <c r="C358" s="220" t="n"/>
      <c r="D358" s="108" t="n"/>
      <c r="E358" s="108" t="n"/>
      <c r="F358" s="221" t="n"/>
      <c r="G358" s="109" t="n"/>
      <c r="H358" s="109" t="n"/>
      <c r="I358" s="109" t="n"/>
      <c r="J358" s="113">
        <f>IF($C358="","",IF(AND($D358&lt;&gt;"",$E358&lt;&gt;"",$D358&lt;&gt;$E358,$F358&gt;0),"UYGUN","HATA"))</f>
        <v/>
      </c>
      <c r="K358" s="6" t="n"/>
      <c r="L358" s="6" t="n"/>
    </row>
    <row r="359">
      <c r="A359" s="6" t="n"/>
      <c r="B359" s="113">
        <f>IF($C359="","","V"&amp;TEXT(ROW()-6,"00000"))</f>
        <v/>
      </c>
      <c r="C359" s="220" t="n"/>
      <c r="D359" s="108" t="n"/>
      <c r="E359" s="108" t="n"/>
      <c r="F359" s="221" t="n"/>
      <c r="G359" s="109" t="n"/>
      <c r="H359" s="109" t="n"/>
      <c r="I359" s="109" t="n"/>
      <c r="J359" s="113">
        <f>IF($C359="","",IF(AND($D359&lt;&gt;"",$E359&lt;&gt;"",$D359&lt;&gt;$E359,$F359&gt;0),"UYGUN","HATA"))</f>
        <v/>
      </c>
      <c r="K359" s="6" t="n"/>
      <c r="L359" s="6" t="n"/>
    </row>
    <row r="360">
      <c r="A360" s="6" t="n"/>
      <c r="B360" s="113">
        <f>IF($C360="","","V"&amp;TEXT(ROW()-6,"00000"))</f>
        <v/>
      </c>
      <c r="C360" s="220" t="n"/>
      <c r="D360" s="108" t="n"/>
      <c r="E360" s="108" t="n"/>
      <c r="F360" s="221" t="n"/>
      <c r="G360" s="109" t="n"/>
      <c r="H360" s="109" t="n"/>
      <c r="I360" s="109" t="n"/>
      <c r="J360" s="113">
        <f>IF($C360="","",IF(AND($D360&lt;&gt;"",$E360&lt;&gt;"",$D360&lt;&gt;$E360,$F360&gt;0),"UYGUN","HATA"))</f>
        <v/>
      </c>
      <c r="K360" s="6" t="n"/>
      <c r="L360" s="6" t="n"/>
    </row>
    <row r="361">
      <c r="A361" s="6" t="n"/>
      <c r="B361" s="113">
        <f>IF($C361="","","V"&amp;TEXT(ROW()-6,"00000"))</f>
        <v/>
      </c>
      <c r="C361" s="220" t="n"/>
      <c r="D361" s="108" t="n"/>
      <c r="E361" s="108" t="n"/>
      <c r="F361" s="221" t="n"/>
      <c r="G361" s="109" t="n"/>
      <c r="H361" s="109" t="n"/>
      <c r="I361" s="109" t="n"/>
      <c r="J361" s="113">
        <f>IF($C361="","",IF(AND($D361&lt;&gt;"",$E361&lt;&gt;"",$D361&lt;&gt;$E361,$F361&gt;0),"UYGUN","HATA"))</f>
        <v/>
      </c>
      <c r="K361" s="6" t="n"/>
      <c r="L361" s="6" t="n"/>
    </row>
    <row r="362">
      <c r="A362" s="6" t="n"/>
      <c r="B362" s="113">
        <f>IF($C362="","","V"&amp;TEXT(ROW()-6,"00000"))</f>
        <v/>
      </c>
      <c r="C362" s="220" t="n"/>
      <c r="D362" s="108" t="n"/>
      <c r="E362" s="108" t="n"/>
      <c r="F362" s="221" t="n"/>
      <c r="G362" s="109" t="n"/>
      <c r="H362" s="109" t="n"/>
      <c r="I362" s="109" t="n"/>
      <c r="J362" s="113">
        <f>IF($C362="","",IF(AND($D362&lt;&gt;"",$E362&lt;&gt;"",$D362&lt;&gt;$E362,$F362&gt;0),"UYGUN","HATA"))</f>
        <v/>
      </c>
      <c r="K362" s="6" t="n"/>
      <c r="L362" s="6" t="n"/>
    </row>
    <row r="363">
      <c r="A363" s="6" t="n"/>
      <c r="B363" s="113">
        <f>IF($C363="","","V"&amp;TEXT(ROW()-6,"00000"))</f>
        <v/>
      </c>
      <c r="C363" s="220" t="n"/>
      <c r="D363" s="108" t="n"/>
      <c r="E363" s="108" t="n"/>
      <c r="F363" s="221" t="n"/>
      <c r="G363" s="109" t="n"/>
      <c r="H363" s="109" t="n"/>
      <c r="I363" s="109" t="n"/>
      <c r="J363" s="113">
        <f>IF($C363="","",IF(AND($D363&lt;&gt;"",$E363&lt;&gt;"",$D363&lt;&gt;$E363,$F363&gt;0),"UYGUN","HATA"))</f>
        <v/>
      </c>
      <c r="K363" s="6" t="n"/>
      <c r="L363" s="6" t="n"/>
    </row>
    <row r="364">
      <c r="A364" s="6" t="n"/>
      <c r="B364" s="113">
        <f>IF($C364="","","V"&amp;TEXT(ROW()-6,"00000"))</f>
        <v/>
      </c>
      <c r="C364" s="220" t="n"/>
      <c r="D364" s="108" t="n"/>
      <c r="E364" s="108" t="n"/>
      <c r="F364" s="221" t="n"/>
      <c r="G364" s="109" t="n"/>
      <c r="H364" s="109" t="n"/>
      <c r="I364" s="109" t="n"/>
      <c r="J364" s="113">
        <f>IF($C364="","",IF(AND($D364&lt;&gt;"",$E364&lt;&gt;"",$D364&lt;&gt;$E364,$F364&gt;0),"UYGUN","HATA"))</f>
        <v/>
      </c>
      <c r="K364" s="6" t="n"/>
      <c r="L364" s="6" t="n"/>
    </row>
    <row r="365">
      <c r="A365" s="6" t="n"/>
      <c r="B365" s="113">
        <f>IF($C365="","","V"&amp;TEXT(ROW()-6,"00000"))</f>
        <v/>
      </c>
      <c r="C365" s="220" t="n"/>
      <c r="D365" s="108" t="n"/>
      <c r="E365" s="108" t="n"/>
      <c r="F365" s="221" t="n"/>
      <c r="G365" s="109" t="n"/>
      <c r="H365" s="109" t="n"/>
      <c r="I365" s="109" t="n"/>
      <c r="J365" s="113">
        <f>IF($C365="","",IF(AND($D365&lt;&gt;"",$E365&lt;&gt;"",$D365&lt;&gt;$E365,$F365&gt;0),"UYGUN","HATA"))</f>
        <v/>
      </c>
      <c r="K365" s="6" t="n"/>
      <c r="L365" s="6" t="n"/>
    </row>
    <row r="366">
      <c r="A366" s="6" t="n"/>
      <c r="B366" s="113">
        <f>IF($C366="","","V"&amp;TEXT(ROW()-6,"00000"))</f>
        <v/>
      </c>
      <c r="C366" s="220" t="n"/>
      <c r="D366" s="108" t="n"/>
      <c r="E366" s="108" t="n"/>
      <c r="F366" s="221" t="n"/>
      <c r="G366" s="109" t="n"/>
      <c r="H366" s="109" t="n"/>
      <c r="I366" s="109" t="n"/>
      <c r="J366" s="113">
        <f>IF($C366="","",IF(AND($D366&lt;&gt;"",$E366&lt;&gt;"",$D366&lt;&gt;$E366,$F366&gt;0),"UYGUN","HATA"))</f>
        <v/>
      </c>
      <c r="K366" s="6" t="n"/>
      <c r="L366" s="6" t="n"/>
    </row>
    <row r="367">
      <c r="A367" s="6" t="n"/>
      <c r="B367" s="113">
        <f>IF($C367="","","V"&amp;TEXT(ROW()-6,"00000"))</f>
        <v/>
      </c>
      <c r="C367" s="220" t="n"/>
      <c r="D367" s="108" t="n"/>
      <c r="E367" s="108" t="n"/>
      <c r="F367" s="221" t="n"/>
      <c r="G367" s="109" t="n"/>
      <c r="H367" s="109" t="n"/>
      <c r="I367" s="109" t="n"/>
      <c r="J367" s="113">
        <f>IF($C367="","",IF(AND($D367&lt;&gt;"",$E367&lt;&gt;"",$D367&lt;&gt;$E367,$F367&gt;0),"UYGUN","HATA"))</f>
        <v/>
      </c>
      <c r="K367" s="6" t="n"/>
      <c r="L367" s="6" t="n"/>
    </row>
    <row r="368">
      <c r="A368" s="6" t="n"/>
      <c r="B368" s="113">
        <f>IF($C368="","","V"&amp;TEXT(ROW()-6,"00000"))</f>
        <v/>
      </c>
      <c r="C368" s="220" t="n"/>
      <c r="D368" s="108" t="n"/>
      <c r="E368" s="108" t="n"/>
      <c r="F368" s="221" t="n"/>
      <c r="G368" s="109" t="n"/>
      <c r="H368" s="109" t="n"/>
      <c r="I368" s="109" t="n"/>
      <c r="J368" s="113">
        <f>IF($C368="","",IF(AND($D368&lt;&gt;"",$E368&lt;&gt;"",$D368&lt;&gt;$E368,$F368&gt;0),"UYGUN","HATA"))</f>
        <v/>
      </c>
      <c r="K368" s="6" t="n"/>
      <c r="L368" s="6" t="n"/>
    </row>
    <row r="369">
      <c r="A369" s="6" t="n"/>
      <c r="B369" s="113">
        <f>IF($C369="","","V"&amp;TEXT(ROW()-6,"00000"))</f>
        <v/>
      </c>
      <c r="C369" s="220" t="n"/>
      <c r="D369" s="108" t="n"/>
      <c r="E369" s="108" t="n"/>
      <c r="F369" s="221" t="n"/>
      <c r="G369" s="109" t="n"/>
      <c r="H369" s="109" t="n"/>
      <c r="I369" s="109" t="n"/>
      <c r="J369" s="113">
        <f>IF($C369="","",IF(AND($D369&lt;&gt;"",$E369&lt;&gt;"",$D369&lt;&gt;$E369,$F369&gt;0),"UYGUN","HATA"))</f>
        <v/>
      </c>
      <c r="K369" s="6" t="n"/>
      <c r="L369" s="6" t="n"/>
    </row>
    <row r="370">
      <c r="A370" s="6" t="n"/>
      <c r="B370" s="113">
        <f>IF($C370="","","V"&amp;TEXT(ROW()-6,"00000"))</f>
        <v/>
      </c>
      <c r="C370" s="220" t="n"/>
      <c r="D370" s="108" t="n"/>
      <c r="E370" s="108" t="n"/>
      <c r="F370" s="221" t="n"/>
      <c r="G370" s="109" t="n"/>
      <c r="H370" s="109" t="n"/>
      <c r="I370" s="109" t="n"/>
      <c r="J370" s="113">
        <f>IF($C370="","",IF(AND($D370&lt;&gt;"",$E370&lt;&gt;"",$D370&lt;&gt;$E370,$F370&gt;0),"UYGUN","HATA"))</f>
        <v/>
      </c>
      <c r="K370" s="6" t="n"/>
      <c r="L370" s="6" t="n"/>
    </row>
    <row r="371">
      <c r="A371" s="6" t="n"/>
      <c r="B371" s="113">
        <f>IF($C371="","","V"&amp;TEXT(ROW()-6,"00000"))</f>
        <v/>
      </c>
      <c r="C371" s="220" t="n"/>
      <c r="D371" s="108" t="n"/>
      <c r="E371" s="108" t="n"/>
      <c r="F371" s="221" t="n"/>
      <c r="G371" s="109" t="n"/>
      <c r="H371" s="109" t="n"/>
      <c r="I371" s="109" t="n"/>
      <c r="J371" s="113">
        <f>IF($C371="","",IF(AND($D371&lt;&gt;"",$E371&lt;&gt;"",$D371&lt;&gt;$E371,$F371&gt;0),"UYGUN","HATA"))</f>
        <v/>
      </c>
      <c r="K371" s="6" t="n"/>
      <c r="L371" s="6" t="n"/>
    </row>
    <row r="372">
      <c r="A372" s="6" t="n"/>
      <c r="B372" s="113">
        <f>IF($C372="","","V"&amp;TEXT(ROW()-6,"00000"))</f>
        <v/>
      </c>
      <c r="C372" s="220" t="n"/>
      <c r="D372" s="108" t="n"/>
      <c r="E372" s="108" t="n"/>
      <c r="F372" s="221" t="n"/>
      <c r="G372" s="109" t="n"/>
      <c r="H372" s="109" t="n"/>
      <c r="I372" s="109" t="n"/>
      <c r="J372" s="113">
        <f>IF($C372="","",IF(AND($D372&lt;&gt;"",$E372&lt;&gt;"",$D372&lt;&gt;$E372,$F372&gt;0),"UYGUN","HATA"))</f>
        <v/>
      </c>
      <c r="K372" s="6" t="n"/>
      <c r="L372" s="6" t="n"/>
    </row>
    <row r="373">
      <c r="A373" s="6" t="n"/>
      <c r="B373" s="113">
        <f>IF($C373="","","V"&amp;TEXT(ROW()-6,"00000"))</f>
        <v/>
      </c>
      <c r="C373" s="220" t="n"/>
      <c r="D373" s="108" t="n"/>
      <c r="E373" s="108" t="n"/>
      <c r="F373" s="221" t="n"/>
      <c r="G373" s="109" t="n"/>
      <c r="H373" s="109" t="n"/>
      <c r="I373" s="109" t="n"/>
      <c r="J373" s="113">
        <f>IF($C373="","",IF(AND($D373&lt;&gt;"",$E373&lt;&gt;"",$D373&lt;&gt;$E373,$F373&gt;0),"UYGUN","HATA"))</f>
        <v/>
      </c>
      <c r="K373" s="6" t="n"/>
      <c r="L373" s="6" t="n"/>
    </row>
    <row r="374">
      <c r="A374" s="6" t="n"/>
      <c r="B374" s="113">
        <f>IF($C374="","","V"&amp;TEXT(ROW()-6,"00000"))</f>
        <v/>
      </c>
      <c r="C374" s="220" t="n"/>
      <c r="D374" s="108" t="n"/>
      <c r="E374" s="108" t="n"/>
      <c r="F374" s="221" t="n"/>
      <c r="G374" s="109" t="n"/>
      <c r="H374" s="109" t="n"/>
      <c r="I374" s="109" t="n"/>
      <c r="J374" s="113">
        <f>IF($C374="","",IF(AND($D374&lt;&gt;"",$E374&lt;&gt;"",$D374&lt;&gt;$E374,$F374&gt;0),"UYGUN","HATA"))</f>
        <v/>
      </c>
      <c r="K374" s="6" t="n"/>
      <c r="L374" s="6" t="n"/>
    </row>
    <row r="375">
      <c r="A375" s="6" t="n"/>
      <c r="B375" s="113">
        <f>IF($C375="","","V"&amp;TEXT(ROW()-6,"00000"))</f>
        <v/>
      </c>
      <c r="C375" s="220" t="n"/>
      <c r="D375" s="108" t="n"/>
      <c r="E375" s="108" t="n"/>
      <c r="F375" s="221" t="n"/>
      <c r="G375" s="109" t="n"/>
      <c r="H375" s="109" t="n"/>
      <c r="I375" s="109" t="n"/>
      <c r="J375" s="113">
        <f>IF($C375="","",IF(AND($D375&lt;&gt;"",$E375&lt;&gt;"",$D375&lt;&gt;$E375,$F375&gt;0),"UYGUN","HATA"))</f>
        <v/>
      </c>
      <c r="K375" s="6" t="n"/>
      <c r="L375" s="6" t="n"/>
    </row>
    <row r="376">
      <c r="A376" s="6" t="n"/>
      <c r="B376" s="113">
        <f>IF($C376="","","V"&amp;TEXT(ROW()-6,"00000"))</f>
        <v/>
      </c>
      <c r="C376" s="220" t="n"/>
      <c r="D376" s="108" t="n"/>
      <c r="E376" s="108" t="n"/>
      <c r="F376" s="221" t="n"/>
      <c r="G376" s="109" t="n"/>
      <c r="H376" s="109" t="n"/>
      <c r="I376" s="109" t="n"/>
      <c r="J376" s="113">
        <f>IF($C376="","",IF(AND($D376&lt;&gt;"",$E376&lt;&gt;"",$D376&lt;&gt;$E376,$F376&gt;0),"UYGUN","HATA"))</f>
        <v/>
      </c>
      <c r="K376" s="6" t="n"/>
      <c r="L376" s="6" t="n"/>
    </row>
    <row r="377">
      <c r="A377" s="6" t="n"/>
      <c r="B377" s="113">
        <f>IF($C377="","","V"&amp;TEXT(ROW()-6,"00000"))</f>
        <v/>
      </c>
      <c r="C377" s="220" t="n"/>
      <c r="D377" s="108" t="n"/>
      <c r="E377" s="108" t="n"/>
      <c r="F377" s="221" t="n"/>
      <c r="G377" s="109" t="n"/>
      <c r="H377" s="109" t="n"/>
      <c r="I377" s="109" t="n"/>
      <c r="J377" s="113">
        <f>IF($C377="","",IF(AND($D377&lt;&gt;"",$E377&lt;&gt;"",$D377&lt;&gt;$E377,$F377&gt;0),"UYGUN","HATA"))</f>
        <v/>
      </c>
      <c r="K377" s="6" t="n"/>
      <c r="L377" s="6" t="n"/>
    </row>
    <row r="378">
      <c r="A378" s="6" t="n"/>
      <c r="B378" s="113">
        <f>IF($C378="","","V"&amp;TEXT(ROW()-6,"00000"))</f>
        <v/>
      </c>
      <c r="C378" s="220" t="n"/>
      <c r="D378" s="108" t="n"/>
      <c r="E378" s="108" t="n"/>
      <c r="F378" s="221" t="n"/>
      <c r="G378" s="109" t="n"/>
      <c r="H378" s="109" t="n"/>
      <c r="I378" s="109" t="n"/>
      <c r="J378" s="113">
        <f>IF($C378="","",IF(AND($D378&lt;&gt;"",$E378&lt;&gt;"",$D378&lt;&gt;$E378,$F378&gt;0),"UYGUN","HATA"))</f>
        <v/>
      </c>
      <c r="K378" s="6" t="n"/>
      <c r="L378" s="6" t="n"/>
    </row>
    <row r="379">
      <c r="A379" s="6" t="n"/>
      <c r="B379" s="113">
        <f>IF($C379="","","V"&amp;TEXT(ROW()-6,"00000"))</f>
        <v/>
      </c>
      <c r="C379" s="220" t="n"/>
      <c r="D379" s="108" t="n"/>
      <c r="E379" s="108" t="n"/>
      <c r="F379" s="221" t="n"/>
      <c r="G379" s="109" t="n"/>
      <c r="H379" s="109" t="n"/>
      <c r="I379" s="109" t="n"/>
      <c r="J379" s="113">
        <f>IF($C379="","",IF(AND($D379&lt;&gt;"",$E379&lt;&gt;"",$D379&lt;&gt;$E379,$F379&gt;0),"UYGUN","HATA"))</f>
        <v/>
      </c>
      <c r="K379" s="6" t="n"/>
      <c r="L379" s="6" t="n"/>
    </row>
    <row r="380">
      <c r="A380" s="6" t="n"/>
      <c r="B380" s="113">
        <f>IF($C380="","","V"&amp;TEXT(ROW()-6,"00000"))</f>
        <v/>
      </c>
      <c r="C380" s="220" t="n"/>
      <c r="D380" s="108" t="n"/>
      <c r="E380" s="108" t="n"/>
      <c r="F380" s="221" t="n"/>
      <c r="G380" s="109" t="n"/>
      <c r="H380" s="109" t="n"/>
      <c r="I380" s="109" t="n"/>
      <c r="J380" s="113">
        <f>IF($C380="","",IF(AND($D380&lt;&gt;"",$E380&lt;&gt;"",$D380&lt;&gt;$E380,$F380&gt;0),"UYGUN","HATA"))</f>
        <v/>
      </c>
      <c r="K380" s="6" t="n"/>
      <c r="L380" s="6" t="n"/>
    </row>
    <row r="381">
      <c r="A381" s="6" t="n"/>
      <c r="B381" s="113">
        <f>IF($C381="","","V"&amp;TEXT(ROW()-6,"00000"))</f>
        <v/>
      </c>
      <c r="C381" s="220" t="n"/>
      <c r="D381" s="108" t="n"/>
      <c r="E381" s="108" t="n"/>
      <c r="F381" s="221" t="n"/>
      <c r="G381" s="109" t="n"/>
      <c r="H381" s="109" t="n"/>
      <c r="I381" s="109" t="n"/>
      <c r="J381" s="113">
        <f>IF($C381="","",IF(AND($D381&lt;&gt;"",$E381&lt;&gt;"",$D381&lt;&gt;$E381,$F381&gt;0),"UYGUN","HATA"))</f>
        <v/>
      </c>
      <c r="K381" s="6" t="n"/>
      <c r="L381" s="6" t="n"/>
    </row>
    <row r="382">
      <c r="A382" s="6" t="n"/>
      <c r="B382" s="113">
        <f>IF($C382="","","V"&amp;TEXT(ROW()-6,"00000"))</f>
        <v/>
      </c>
      <c r="C382" s="220" t="n"/>
      <c r="D382" s="108" t="n"/>
      <c r="E382" s="108" t="n"/>
      <c r="F382" s="221" t="n"/>
      <c r="G382" s="109" t="n"/>
      <c r="H382" s="109" t="n"/>
      <c r="I382" s="109" t="n"/>
      <c r="J382" s="113">
        <f>IF($C382="","",IF(AND($D382&lt;&gt;"",$E382&lt;&gt;"",$D382&lt;&gt;$E382,$F382&gt;0),"UYGUN","HATA"))</f>
        <v/>
      </c>
      <c r="K382" s="6" t="n"/>
      <c r="L382" s="6" t="n"/>
    </row>
    <row r="383">
      <c r="A383" s="6" t="n"/>
      <c r="B383" s="113">
        <f>IF($C383="","","V"&amp;TEXT(ROW()-6,"00000"))</f>
        <v/>
      </c>
      <c r="C383" s="220" t="n"/>
      <c r="D383" s="108" t="n"/>
      <c r="E383" s="108" t="n"/>
      <c r="F383" s="221" t="n"/>
      <c r="G383" s="109" t="n"/>
      <c r="H383" s="109" t="n"/>
      <c r="I383" s="109" t="n"/>
      <c r="J383" s="113">
        <f>IF($C383="","",IF(AND($D383&lt;&gt;"",$E383&lt;&gt;"",$D383&lt;&gt;$E383,$F383&gt;0),"UYGUN","HATA"))</f>
        <v/>
      </c>
      <c r="K383" s="6" t="n"/>
      <c r="L383" s="6" t="n"/>
    </row>
    <row r="384">
      <c r="A384" s="6" t="n"/>
      <c r="B384" s="113">
        <f>IF($C384="","","V"&amp;TEXT(ROW()-6,"00000"))</f>
        <v/>
      </c>
      <c r="C384" s="220" t="n"/>
      <c r="D384" s="108" t="n"/>
      <c r="E384" s="108" t="n"/>
      <c r="F384" s="221" t="n"/>
      <c r="G384" s="109" t="n"/>
      <c r="H384" s="109" t="n"/>
      <c r="I384" s="109" t="n"/>
      <c r="J384" s="113">
        <f>IF($C384="","",IF(AND($D384&lt;&gt;"",$E384&lt;&gt;"",$D384&lt;&gt;$E384,$F384&gt;0),"UYGUN","HATA"))</f>
        <v/>
      </c>
      <c r="K384" s="6" t="n"/>
      <c r="L384" s="6" t="n"/>
    </row>
    <row r="385">
      <c r="A385" s="6" t="n"/>
      <c r="B385" s="113">
        <f>IF($C385="","","V"&amp;TEXT(ROW()-6,"00000"))</f>
        <v/>
      </c>
      <c r="C385" s="220" t="n"/>
      <c r="D385" s="108" t="n"/>
      <c r="E385" s="108" t="n"/>
      <c r="F385" s="221" t="n"/>
      <c r="G385" s="109" t="n"/>
      <c r="H385" s="109" t="n"/>
      <c r="I385" s="109" t="n"/>
      <c r="J385" s="113">
        <f>IF($C385="","",IF(AND($D385&lt;&gt;"",$E385&lt;&gt;"",$D385&lt;&gt;$E385,$F385&gt;0),"UYGUN","HATA"))</f>
        <v/>
      </c>
      <c r="K385" s="6" t="n"/>
      <c r="L385" s="6" t="n"/>
    </row>
    <row r="386">
      <c r="A386" s="6" t="n"/>
      <c r="B386" s="113">
        <f>IF($C386="","","V"&amp;TEXT(ROW()-6,"00000"))</f>
        <v/>
      </c>
      <c r="C386" s="220" t="n"/>
      <c r="D386" s="108" t="n"/>
      <c r="E386" s="108" t="n"/>
      <c r="F386" s="221" t="n"/>
      <c r="G386" s="109" t="n"/>
      <c r="H386" s="109" t="n"/>
      <c r="I386" s="109" t="n"/>
      <c r="J386" s="113">
        <f>IF($C386="","",IF(AND($D386&lt;&gt;"",$E386&lt;&gt;"",$D386&lt;&gt;$E386,$F386&gt;0),"UYGUN","HATA"))</f>
        <v/>
      </c>
      <c r="K386" s="6" t="n"/>
      <c r="L386" s="6" t="n"/>
    </row>
    <row r="387">
      <c r="A387" s="6" t="n"/>
      <c r="B387" s="113">
        <f>IF($C387="","","V"&amp;TEXT(ROW()-6,"00000"))</f>
        <v/>
      </c>
      <c r="C387" s="220" t="n"/>
      <c r="D387" s="108" t="n"/>
      <c r="E387" s="108" t="n"/>
      <c r="F387" s="221" t="n"/>
      <c r="G387" s="109" t="n"/>
      <c r="H387" s="109" t="n"/>
      <c r="I387" s="109" t="n"/>
      <c r="J387" s="113">
        <f>IF($C387="","",IF(AND($D387&lt;&gt;"",$E387&lt;&gt;"",$D387&lt;&gt;$E387,$F387&gt;0),"UYGUN","HATA"))</f>
        <v/>
      </c>
      <c r="K387" s="6" t="n"/>
      <c r="L387" s="6" t="n"/>
    </row>
    <row r="388">
      <c r="A388" s="6" t="n"/>
      <c r="B388" s="113">
        <f>IF($C388="","","V"&amp;TEXT(ROW()-6,"00000"))</f>
        <v/>
      </c>
      <c r="C388" s="220" t="n"/>
      <c r="D388" s="108" t="n"/>
      <c r="E388" s="108" t="n"/>
      <c r="F388" s="221" t="n"/>
      <c r="G388" s="109" t="n"/>
      <c r="H388" s="109" t="n"/>
      <c r="I388" s="109" t="n"/>
      <c r="J388" s="113">
        <f>IF($C388="","",IF(AND($D388&lt;&gt;"",$E388&lt;&gt;"",$D388&lt;&gt;$E388,$F388&gt;0),"UYGUN","HATA"))</f>
        <v/>
      </c>
      <c r="K388" s="6" t="n"/>
      <c r="L388" s="6" t="n"/>
    </row>
    <row r="389">
      <c r="A389" s="6" t="n"/>
      <c r="B389" s="113">
        <f>IF($C389="","","V"&amp;TEXT(ROW()-6,"00000"))</f>
        <v/>
      </c>
      <c r="C389" s="220" t="n"/>
      <c r="D389" s="108" t="n"/>
      <c r="E389" s="108" t="n"/>
      <c r="F389" s="221" t="n"/>
      <c r="G389" s="109" t="n"/>
      <c r="H389" s="109" t="n"/>
      <c r="I389" s="109" t="n"/>
      <c r="J389" s="113">
        <f>IF($C389="","",IF(AND($D389&lt;&gt;"",$E389&lt;&gt;"",$D389&lt;&gt;$E389,$F389&gt;0),"UYGUN","HATA"))</f>
        <v/>
      </c>
      <c r="K389" s="6" t="n"/>
      <c r="L389" s="6" t="n"/>
    </row>
    <row r="390">
      <c r="A390" s="6" t="n"/>
      <c r="B390" s="113">
        <f>IF($C390="","","V"&amp;TEXT(ROW()-6,"00000"))</f>
        <v/>
      </c>
      <c r="C390" s="220" t="n"/>
      <c r="D390" s="108" t="n"/>
      <c r="E390" s="108" t="n"/>
      <c r="F390" s="221" t="n"/>
      <c r="G390" s="109" t="n"/>
      <c r="H390" s="109" t="n"/>
      <c r="I390" s="109" t="n"/>
      <c r="J390" s="113">
        <f>IF($C390="","",IF(AND($D390&lt;&gt;"",$E390&lt;&gt;"",$D390&lt;&gt;$E390,$F390&gt;0),"UYGUN","HATA"))</f>
        <v/>
      </c>
      <c r="K390" s="6" t="n"/>
      <c r="L390" s="6" t="n"/>
    </row>
    <row r="391">
      <c r="A391" s="6" t="n"/>
      <c r="B391" s="113">
        <f>IF($C391="","","V"&amp;TEXT(ROW()-6,"00000"))</f>
        <v/>
      </c>
      <c r="C391" s="220" t="n"/>
      <c r="D391" s="108" t="n"/>
      <c r="E391" s="108" t="n"/>
      <c r="F391" s="221" t="n"/>
      <c r="G391" s="109" t="n"/>
      <c r="H391" s="109" t="n"/>
      <c r="I391" s="109" t="n"/>
      <c r="J391" s="113">
        <f>IF($C391="","",IF(AND($D391&lt;&gt;"",$E391&lt;&gt;"",$D391&lt;&gt;$E391,$F391&gt;0),"UYGUN","HATA"))</f>
        <v/>
      </c>
      <c r="K391" s="6" t="n"/>
      <c r="L391" s="6" t="n"/>
    </row>
    <row r="392">
      <c r="A392" s="6" t="n"/>
      <c r="B392" s="113">
        <f>IF($C392="","","V"&amp;TEXT(ROW()-6,"00000"))</f>
        <v/>
      </c>
      <c r="C392" s="220" t="n"/>
      <c r="D392" s="108" t="n"/>
      <c r="E392" s="108" t="n"/>
      <c r="F392" s="221" t="n"/>
      <c r="G392" s="109" t="n"/>
      <c r="H392" s="109" t="n"/>
      <c r="I392" s="109" t="n"/>
      <c r="J392" s="113">
        <f>IF($C392="","",IF(AND($D392&lt;&gt;"",$E392&lt;&gt;"",$D392&lt;&gt;$E392,$F392&gt;0),"UYGUN","HATA"))</f>
        <v/>
      </c>
      <c r="K392" s="6" t="n"/>
      <c r="L392" s="6" t="n"/>
    </row>
    <row r="393">
      <c r="A393" s="6" t="n"/>
      <c r="B393" s="113">
        <f>IF($C393="","","V"&amp;TEXT(ROW()-6,"00000"))</f>
        <v/>
      </c>
      <c r="C393" s="220" t="n"/>
      <c r="D393" s="108" t="n"/>
      <c r="E393" s="108" t="n"/>
      <c r="F393" s="221" t="n"/>
      <c r="G393" s="109" t="n"/>
      <c r="H393" s="109" t="n"/>
      <c r="I393" s="109" t="n"/>
      <c r="J393" s="113">
        <f>IF($C393="","",IF(AND($D393&lt;&gt;"",$E393&lt;&gt;"",$D393&lt;&gt;$E393,$F393&gt;0),"UYGUN","HATA"))</f>
        <v/>
      </c>
      <c r="K393" s="6" t="n"/>
      <c r="L393" s="6" t="n"/>
    </row>
    <row r="394">
      <c r="A394" s="6" t="n"/>
      <c r="B394" s="113">
        <f>IF($C394="","","V"&amp;TEXT(ROW()-6,"00000"))</f>
        <v/>
      </c>
      <c r="C394" s="220" t="n"/>
      <c r="D394" s="108" t="n"/>
      <c r="E394" s="108" t="n"/>
      <c r="F394" s="221" t="n"/>
      <c r="G394" s="109" t="n"/>
      <c r="H394" s="109" t="n"/>
      <c r="I394" s="109" t="n"/>
      <c r="J394" s="113">
        <f>IF($C394="","",IF(AND($D394&lt;&gt;"",$E394&lt;&gt;"",$D394&lt;&gt;$E394,$F394&gt;0),"UYGUN","HATA"))</f>
        <v/>
      </c>
      <c r="K394" s="6" t="n"/>
      <c r="L394" s="6" t="n"/>
    </row>
    <row r="395">
      <c r="A395" s="6" t="n"/>
      <c r="B395" s="113">
        <f>IF($C395="","","V"&amp;TEXT(ROW()-6,"00000"))</f>
        <v/>
      </c>
      <c r="C395" s="220" t="n"/>
      <c r="D395" s="108" t="n"/>
      <c r="E395" s="108" t="n"/>
      <c r="F395" s="221" t="n"/>
      <c r="G395" s="109" t="n"/>
      <c r="H395" s="109" t="n"/>
      <c r="I395" s="109" t="n"/>
      <c r="J395" s="113">
        <f>IF($C395="","",IF(AND($D395&lt;&gt;"",$E395&lt;&gt;"",$D395&lt;&gt;$E395,$F395&gt;0),"UYGUN","HATA"))</f>
        <v/>
      </c>
      <c r="K395" s="6" t="n"/>
      <c r="L395" s="6" t="n"/>
    </row>
    <row r="396">
      <c r="A396" s="6" t="n"/>
      <c r="B396" s="113">
        <f>IF($C396="","","V"&amp;TEXT(ROW()-6,"00000"))</f>
        <v/>
      </c>
      <c r="C396" s="220" t="n"/>
      <c r="D396" s="108" t="n"/>
      <c r="E396" s="108" t="n"/>
      <c r="F396" s="221" t="n"/>
      <c r="G396" s="109" t="n"/>
      <c r="H396" s="109" t="n"/>
      <c r="I396" s="109" t="n"/>
      <c r="J396" s="113">
        <f>IF($C396="","",IF(AND($D396&lt;&gt;"",$E396&lt;&gt;"",$D396&lt;&gt;$E396,$F396&gt;0),"UYGUN","HATA"))</f>
        <v/>
      </c>
      <c r="K396" s="6" t="n"/>
      <c r="L396" s="6" t="n"/>
    </row>
    <row r="397">
      <c r="A397" s="6" t="n"/>
      <c r="B397" s="113">
        <f>IF($C397="","","V"&amp;TEXT(ROW()-6,"00000"))</f>
        <v/>
      </c>
      <c r="C397" s="220" t="n"/>
      <c r="D397" s="108" t="n"/>
      <c r="E397" s="108" t="n"/>
      <c r="F397" s="221" t="n"/>
      <c r="G397" s="109" t="n"/>
      <c r="H397" s="109" t="n"/>
      <c r="I397" s="109" t="n"/>
      <c r="J397" s="113">
        <f>IF($C397="","",IF(AND($D397&lt;&gt;"",$E397&lt;&gt;"",$D397&lt;&gt;$E397,$F397&gt;0),"UYGUN","HATA"))</f>
        <v/>
      </c>
      <c r="K397" s="6" t="n"/>
      <c r="L397" s="6" t="n"/>
    </row>
    <row r="398">
      <c r="A398" s="6" t="n"/>
      <c r="B398" s="113">
        <f>IF($C398="","","V"&amp;TEXT(ROW()-6,"00000"))</f>
        <v/>
      </c>
      <c r="C398" s="220" t="n"/>
      <c r="D398" s="108" t="n"/>
      <c r="E398" s="108" t="n"/>
      <c r="F398" s="221" t="n"/>
      <c r="G398" s="109" t="n"/>
      <c r="H398" s="109" t="n"/>
      <c r="I398" s="109" t="n"/>
      <c r="J398" s="113">
        <f>IF($C398="","",IF(AND($D398&lt;&gt;"",$E398&lt;&gt;"",$D398&lt;&gt;$E398,$F398&gt;0),"UYGUN","HATA"))</f>
        <v/>
      </c>
      <c r="K398" s="6" t="n"/>
      <c r="L398" s="6" t="n"/>
    </row>
    <row r="399">
      <c r="A399" s="6" t="n"/>
      <c r="B399" s="113">
        <f>IF($C399="","","V"&amp;TEXT(ROW()-6,"00000"))</f>
        <v/>
      </c>
      <c r="C399" s="220" t="n"/>
      <c r="D399" s="108" t="n"/>
      <c r="E399" s="108" t="n"/>
      <c r="F399" s="221" t="n"/>
      <c r="G399" s="109" t="n"/>
      <c r="H399" s="109" t="n"/>
      <c r="I399" s="109" t="n"/>
      <c r="J399" s="113">
        <f>IF($C399="","",IF(AND($D399&lt;&gt;"",$E399&lt;&gt;"",$D399&lt;&gt;$E399,$F399&gt;0),"UYGUN","HATA"))</f>
        <v/>
      </c>
      <c r="K399" s="6" t="n"/>
      <c r="L399" s="6" t="n"/>
    </row>
    <row r="400">
      <c r="A400" s="6" t="n"/>
      <c r="B400" s="113">
        <f>IF($C400="","","V"&amp;TEXT(ROW()-6,"00000"))</f>
        <v/>
      </c>
      <c r="C400" s="220" t="n"/>
      <c r="D400" s="108" t="n"/>
      <c r="E400" s="108" t="n"/>
      <c r="F400" s="221" t="n"/>
      <c r="G400" s="109" t="n"/>
      <c r="H400" s="109" t="n"/>
      <c r="I400" s="109" t="n"/>
      <c r="J400" s="113">
        <f>IF($C400="","",IF(AND($D400&lt;&gt;"",$E400&lt;&gt;"",$D400&lt;&gt;$E400,$F400&gt;0),"UYGUN","HATA"))</f>
        <v/>
      </c>
      <c r="K400" s="6" t="n"/>
      <c r="L400" s="6" t="n"/>
    </row>
    <row r="401">
      <c r="A401" s="6" t="n"/>
      <c r="B401" s="113">
        <f>IF($C401="","","V"&amp;TEXT(ROW()-6,"00000"))</f>
        <v/>
      </c>
      <c r="C401" s="220" t="n"/>
      <c r="D401" s="108" t="n"/>
      <c r="E401" s="108" t="n"/>
      <c r="F401" s="221" t="n"/>
      <c r="G401" s="109" t="n"/>
      <c r="H401" s="109" t="n"/>
      <c r="I401" s="109" t="n"/>
      <c r="J401" s="113">
        <f>IF($C401="","",IF(AND($D401&lt;&gt;"",$E401&lt;&gt;"",$D401&lt;&gt;$E401,$F401&gt;0),"UYGUN","HATA"))</f>
        <v/>
      </c>
      <c r="K401" s="6" t="n"/>
      <c r="L401" s="6" t="n"/>
    </row>
    <row r="402">
      <c r="A402" s="6" t="n"/>
      <c r="B402" s="113">
        <f>IF($C402="","","V"&amp;TEXT(ROW()-6,"00000"))</f>
        <v/>
      </c>
      <c r="C402" s="220" t="n"/>
      <c r="D402" s="108" t="n"/>
      <c r="E402" s="108" t="n"/>
      <c r="F402" s="221" t="n"/>
      <c r="G402" s="109" t="n"/>
      <c r="H402" s="109" t="n"/>
      <c r="I402" s="109" t="n"/>
      <c r="J402" s="113">
        <f>IF($C402="","",IF(AND($D402&lt;&gt;"",$E402&lt;&gt;"",$D402&lt;&gt;$E402,$F402&gt;0),"UYGUN","HATA"))</f>
        <v/>
      </c>
      <c r="K402" s="6" t="n"/>
      <c r="L402" s="6" t="n"/>
    </row>
    <row r="403">
      <c r="A403" s="6" t="n"/>
      <c r="B403" s="113">
        <f>IF($C403="","","V"&amp;TEXT(ROW()-6,"00000"))</f>
        <v/>
      </c>
      <c r="C403" s="220" t="n"/>
      <c r="D403" s="108" t="n"/>
      <c r="E403" s="108" t="n"/>
      <c r="F403" s="221" t="n"/>
      <c r="G403" s="109" t="n"/>
      <c r="H403" s="109" t="n"/>
      <c r="I403" s="109" t="n"/>
      <c r="J403" s="113">
        <f>IF($C403="","",IF(AND($D403&lt;&gt;"",$E403&lt;&gt;"",$D403&lt;&gt;$E403,$F403&gt;0),"UYGUN","HATA"))</f>
        <v/>
      </c>
      <c r="K403" s="6" t="n"/>
      <c r="L403" s="6" t="n"/>
    </row>
    <row r="404">
      <c r="A404" s="6" t="n"/>
      <c r="B404" s="113">
        <f>IF($C404="","","V"&amp;TEXT(ROW()-6,"00000"))</f>
        <v/>
      </c>
      <c r="C404" s="220" t="n"/>
      <c r="D404" s="108" t="n"/>
      <c r="E404" s="108" t="n"/>
      <c r="F404" s="221" t="n"/>
      <c r="G404" s="109" t="n"/>
      <c r="H404" s="109" t="n"/>
      <c r="I404" s="109" t="n"/>
      <c r="J404" s="113">
        <f>IF($C404="","",IF(AND($D404&lt;&gt;"",$E404&lt;&gt;"",$D404&lt;&gt;$E404,$F404&gt;0),"UYGUN","HATA"))</f>
        <v/>
      </c>
      <c r="K404" s="6" t="n"/>
      <c r="L404" s="6" t="n"/>
    </row>
    <row r="405">
      <c r="A405" s="6" t="n"/>
      <c r="B405" s="113">
        <f>IF($C405="","","V"&amp;TEXT(ROW()-6,"00000"))</f>
        <v/>
      </c>
      <c r="C405" s="220" t="n"/>
      <c r="D405" s="108" t="n"/>
      <c r="E405" s="108" t="n"/>
      <c r="F405" s="221" t="n"/>
      <c r="G405" s="109" t="n"/>
      <c r="H405" s="109" t="n"/>
      <c r="I405" s="109" t="n"/>
      <c r="J405" s="113">
        <f>IF($C405="","",IF(AND($D405&lt;&gt;"",$E405&lt;&gt;"",$D405&lt;&gt;$E405,$F405&gt;0),"UYGUN","HATA"))</f>
        <v/>
      </c>
      <c r="K405" s="6" t="n"/>
      <c r="L405" s="6" t="n"/>
    </row>
    <row r="406">
      <c r="A406" s="6" t="n"/>
      <c r="B406" s="113">
        <f>IF($C406="","","V"&amp;TEXT(ROW()-6,"00000"))</f>
        <v/>
      </c>
      <c r="C406" s="220" t="n"/>
      <c r="D406" s="108" t="n"/>
      <c r="E406" s="108" t="n"/>
      <c r="F406" s="221" t="n"/>
      <c r="G406" s="109" t="n"/>
      <c r="H406" s="109" t="n"/>
      <c r="I406" s="109" t="n"/>
      <c r="J406" s="113">
        <f>IF($C406="","",IF(AND($D406&lt;&gt;"",$E406&lt;&gt;"",$D406&lt;&gt;$E406,$F406&gt;0),"UYGUN","HATA"))</f>
        <v/>
      </c>
      <c r="K406" s="6" t="n"/>
      <c r="L406" s="6" t="n"/>
    </row>
    <row r="407">
      <c r="A407" s="6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6" t="n"/>
      <c r="L407" s="6" t="n"/>
    </row>
    <row r="408">
      <c r="A408" s="6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6" t="n"/>
      <c r="L408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J406"/>
  <mergeCells count="2">
    <mergeCell ref="A2:K2"/>
    <mergeCell ref="A1:K1"/>
  </mergeCells>
  <conditionalFormatting sqref="J7:J406">
    <cfRule type="expression" priority="1" dxfId="3" stopIfTrue="1">
      <formula>EXACT($J7,"UYGUN")</formula>
    </cfRule>
    <cfRule type="expression" priority="2" dxfId="4" stopIfTrue="1">
      <formula>EXACT($J7,"EKSİK")</formula>
    </cfRule>
    <cfRule type="expression" priority="3" dxfId="5" stopIfTrue="1">
      <formula>EXACT($J7,"HATA")</formula>
    </cfRule>
    <cfRule type="expression" priority="4" dxfId="5" stopIfTrue="1">
      <formula>EXACT($J7,"İLERİ TARİH")</formula>
    </cfRule>
    <cfRule type="expression" priority="5" dxfId="6" stopIfTrue="1">
      <formula>EXACT($J7,"PASİF")</formula>
    </cfRule>
  </conditionalFormatting>
  <dataValidations count="2">
    <dataValidation sqref="D7:D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  <dataValidation sqref="E7:E406" showDropDown="0" showInputMessage="0" showErrorMessage="1" allowBlank="1" errorTitle="Tanımsız hesap" error="HESAPLAR ekranındaki bir hesabı seçin." promptTitle="Tanımsız hesap" prompt="HESAPLAR ekranındaki bir hesabı seçin." type="list">
      <formula1>LST_HESAP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 fitToPage="1"/>
  </sheetPr>
  <dimension ref="A1:U1008"/>
  <sheetViews>
    <sheetView showGridLines="0" tabSelected="0" zoomScale="100" workbookViewId="0">
      <pane xSplit="5" ySplit="6" topLeftCell="F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1" customWidth="1" min="2" max="2"/>
    <col width="12" customWidth="1" min="3" max="3"/>
    <col width="12" customWidth="1" min="4" max="4"/>
    <col width="30" customWidth="1" min="5" max="5"/>
    <col width="24" customWidth="1" min="6" max="6"/>
    <col width="14" customWidth="1" min="7" max="7"/>
    <col width="13" customWidth="1" min="8" max="8"/>
    <col width="15" customWidth="1" min="9" max="9"/>
    <col width="15" customWidth="1" min="10" max="10"/>
    <col width="12" customWidth="1" min="11" max="11"/>
    <col width="18" customWidth="1" min="12" max="12"/>
    <col width="34" customWidth="1" min="13" max="13"/>
    <col width="30" customWidth="1" min="14" max="14"/>
    <col width="13" customWidth="1" min="15" max="15"/>
    <col width="12" customWidth="1" min="16" max="16"/>
    <col width="16" customWidth="1" min="17" max="17"/>
    <col width="2.4" customWidth="1" min="18" max="18"/>
    <col width="2.4" customWidth="1" min="19" max="19"/>
    <col hidden="1" width="13" customWidth="1" min="21" max="21"/>
  </cols>
  <sheetData>
    <row r="1" ht="38" customHeight="1">
      <c r="A1" s="1" t="inlineStr">
        <is>
          <t>KILIÇ MUHASEBE   │   MÜŞTERİ AKTİVİTESİ  │  İşLER VE GÖRÜŞMELER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45" t="n"/>
      <c r="T1" s="3" t="n"/>
      <c r="U1" s="3" t="n"/>
    </row>
    <row r="2" ht="22" customHeight="1">
      <c r="A2" s="4" t="inlineStr">
        <is>
          <t>Beyanname, bildirim, telefon, toplantı │ Her kayıt son tarih ve sonraki adım üretir</t>
        </is>
      </c>
      <c r="S2" s="46" t="n"/>
      <c r="T2" s="3" t="n"/>
      <c r="U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3" t="n"/>
      <c r="U3" s="3" t="n"/>
    </row>
    <row r="4" ht="20" customHeight="1">
      <c r="A4" s="6" t="n"/>
      <c r="B4" s="47">
        <f>HYPERLINK("#PANO!A1","←  PANO")</f>
        <v/>
      </c>
      <c r="C4" s="6" t="n"/>
      <c r="D4" s="99">
        <f>HYPERLINK("#MUSTERILER!A1","Müşteriler")</f>
        <v/>
      </c>
      <c r="E4" s="6" t="n"/>
      <c r="F4" s="100" t="inlineStr">
        <is>
          <t>Sarı hücreler veri girişidir. Beyaz hücreler sistem tarafından hesaplanır ve kilitlidir. Tür = Görüşme seçildiğinde Sonraki İşlem zorunludur.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3" t="n"/>
      <c r="U4" s="3" t="n"/>
    </row>
    <row r="5" ht="26" customHeight="1">
      <c r="A5" s="6" t="n"/>
      <c r="B5" s="101" t="n"/>
      <c r="C5" s="102" t="inlineStr">
        <is>
          <t>TOPLAM  │  Açık iş ve gecikmiş uyarı</t>
        </is>
      </c>
      <c r="D5" s="101" t="n"/>
      <c r="E5" s="101" t="n"/>
      <c r="F5" s="101" t="n"/>
      <c r="G5" s="101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225">
        <f>COUNTIF($Q$7:$Q$1006,"GECİKMİŞ")</f>
        <v/>
      </c>
      <c r="R5" s="6" t="n"/>
      <c r="S5" s="6" t="n"/>
      <c r="T5" s="3" t="n"/>
      <c r="U5" s="3" t="n"/>
    </row>
    <row r="6" ht="40" customHeight="1">
      <c r="A6" s="6" t="n"/>
      <c r="B6" s="105" t="inlineStr">
        <is>
          <t>Kayıt No</t>
        </is>
      </c>
      <c r="C6" s="105" t="inlineStr">
        <is>
          <t>Tür</t>
        </is>
      </c>
      <c r="D6" s="105" t="inlineStr">
        <is>
          <t>Müşteri No</t>
        </is>
      </c>
      <c r="E6" s="106" t="inlineStr">
        <is>
          <t>Müşteri  (listeden seçin)</t>
        </is>
      </c>
      <c r="F6" s="106" t="inlineStr">
        <is>
          <t>Konu / İş Türü</t>
        </is>
      </c>
      <c r="G6" s="105" t="inlineStr">
        <is>
          <t>Dönem</t>
        </is>
      </c>
      <c r="H6" s="105" t="inlineStr">
        <is>
          <t>Kayıt Tarihi</t>
        </is>
      </c>
      <c r="I6" s="105" t="inlineStr">
        <is>
          <t>Son Tarih / Sonraki Temas</t>
        </is>
      </c>
      <c r="J6" s="105" t="inlineStr">
        <is>
          <t>Durum</t>
        </is>
      </c>
      <c r="K6" s="105" t="inlineStr">
        <is>
          <t>Öncelik</t>
        </is>
      </c>
      <c r="L6" s="106" t="inlineStr">
        <is>
          <t>Sorumlu Kişi</t>
        </is>
      </c>
      <c r="M6" s="106" t="inlineStr">
        <is>
          <t>Sonuç / Not</t>
        </is>
      </c>
      <c r="N6" s="106" t="inlineStr">
        <is>
          <t>Sonraki İşlem</t>
        </is>
      </c>
      <c r="O6" s="105" t="inlineStr">
        <is>
          <t>Tamamlanma</t>
        </is>
      </c>
      <c r="P6" s="105" t="inlineStr">
        <is>
          <t>Kalan Gün</t>
        </is>
      </c>
      <c r="Q6" s="105" t="inlineStr">
        <is>
          <t>Uyarı</t>
        </is>
      </c>
      <c r="R6" s="6" t="n"/>
      <c r="S6" s="6" t="n"/>
      <c r="T6" s="3" t="n"/>
      <c r="U6" s="3" t="n"/>
    </row>
    <row r="7">
      <c r="A7" s="6" t="n"/>
      <c r="B7" s="113">
        <f>IF($E7="","","A"&amp;TEXT(ROW()-6,"00000"))</f>
        <v/>
      </c>
      <c r="C7" s="108" t="n"/>
      <c r="D7" s="113">
        <f>IF($E7="","",IFERROR(INDEX(MUSTERILER!$B$7:$B$106,MATCH($U7,MUSTERILER!$T$7:$T$106,0)),IFERROR(INDEX(MUSTERILER!$B$7:$B$106,MATCH($E7,MUSTERILER!$B$7:$B$106,0)),IFERROR(INDEX(MUSTERILER!$B$7:$B$106,MATCH($U7&amp;"*",MUSTERILER!$T$7:$T$106,0)),"TANIMSIZ MÜŞTERİ"))))</f>
        <v/>
      </c>
      <c r="E7" s="109" t="n"/>
      <c r="F7" s="109" t="n"/>
      <c r="G7" s="108" t="n"/>
      <c r="H7" s="220" t="n"/>
      <c r="I7" s="220" t="n"/>
      <c r="J7" s="108" t="n"/>
      <c r="K7" s="108" t="n"/>
      <c r="L7" s="109" t="n"/>
      <c r="M7" s="109" t="n"/>
      <c r="N7" s="109" t="n"/>
      <c r="O7" s="220" t="n"/>
      <c r="P7" s="227">
        <f>IF(OR($E7="",$I7=""),"",IF(OR($J7="Tamamlandı",$J7="İptal"),"",$I7-TODAY()))</f>
        <v/>
      </c>
      <c r="Q7" s="113">
        <f>IF($E7="","",IF($D7="TANIMSIZ MÜŞTERİ","HATA",IF(OR($J7="Tamamlandı",$J7="İptal"),"KAPALI",IF(AND($C7="Görüşme",$N7=""),"SONRAKİ İŞLEM EKSİK",IF($I7="","TARİH EKSİK",IF($I7&lt;TODAY(),"GECİKMİŞ",IF($I7=TODAY(),"BUGÜN",IF($I7&lt;=TODAY()+7,"7 GÜN İÇİNDE","PLANLI"))))))))</f>
        <v/>
      </c>
      <c r="R7" s="6" t="n"/>
      <c r="S7" s="6" t="n"/>
      <c r="T7" s="3" t="n"/>
      <c r="U7" s="3">
        <f>IF($E7="","",UPPER(SUBSTITUTE(SUBSTITUTE(SUBSTITUTE(SUBSTITUTE(SUBSTITUTE(SUBSTITUTE(SUBSTITUTE(SUBSTITUTE(SUBSTITUTE(SUBSTITUTE(SUBSTITUTE(SUBSTITUTE(SUBSTITUTE(SUBSTITUTE(SUBSTITUTE(SUBSTITUTE(SUBSTITUTE(SUBSTITUTE(TRIM($E7),"'",""),"İ","I"),"ı","I"),"i","I"),"Ş","S"),"ş","S"),"Ğ","G"),"ğ","G"),"Ü","U"),"ü","U"),"Ö","O"),"ö","O"),"Ç","C"),"ç","C"),".",""),",","")," ",""),"-","")))</f>
        <v/>
      </c>
    </row>
    <row r="8">
      <c r="A8" s="6" t="n"/>
      <c r="B8" s="113">
        <f>IF($E8="","","A"&amp;TEXT(ROW()-6,"00000"))</f>
        <v/>
      </c>
      <c r="C8" s="108" t="n"/>
      <c r="D8" s="113">
        <f>IF($E8="","",IFERROR(INDEX(MUSTERILER!$B$7:$B$106,MATCH($U8,MUSTERILER!$T$7:$T$106,0)),IFERROR(INDEX(MUSTERILER!$B$7:$B$106,MATCH($E8,MUSTERILER!$B$7:$B$106,0)),IFERROR(INDEX(MUSTERILER!$B$7:$B$106,MATCH($U8&amp;"*",MUSTERILER!$T$7:$T$106,0)),"TANIMSIZ MÜŞTERİ"))))</f>
        <v/>
      </c>
      <c r="E8" s="109" t="n"/>
      <c r="F8" s="109" t="n"/>
      <c r="G8" s="108" t="n"/>
      <c r="H8" s="220" t="n"/>
      <c r="I8" s="220" t="n"/>
      <c r="J8" s="108" t="n"/>
      <c r="K8" s="108" t="n"/>
      <c r="L8" s="109" t="n"/>
      <c r="M8" s="109" t="n"/>
      <c r="N8" s="109" t="n"/>
      <c r="O8" s="220" t="n"/>
      <c r="P8" s="227">
        <f>IF(OR($E8="",$I8=""),"",IF(OR($J8="Tamamlandı",$J8="İptal"),"",$I8-TODAY()))</f>
        <v/>
      </c>
      <c r="Q8" s="113">
        <f>IF($E8="","",IF($D8="TANIMSIZ MÜŞTERİ","HATA",IF(OR($J8="Tamamlandı",$J8="İptal"),"KAPALI",IF(AND($C8="Görüşme",$N8=""),"SONRAKİ İŞLEM EKSİK",IF($I8="","TARİH EKSİK",IF($I8&lt;TODAY(),"GECİKMİŞ",IF($I8=TODAY(),"BUGÜN",IF($I8&lt;=TODAY()+7,"7 GÜN İÇİNDE","PLANLI"))))))))</f>
        <v/>
      </c>
      <c r="R8" s="6" t="n"/>
      <c r="S8" s="6" t="n"/>
      <c r="T8" s="3" t="n"/>
      <c r="U8" s="3">
        <f>IF($E8="","",UPPER(SUBSTITUTE(SUBSTITUTE(SUBSTITUTE(SUBSTITUTE(SUBSTITUTE(SUBSTITUTE(SUBSTITUTE(SUBSTITUTE(SUBSTITUTE(SUBSTITUTE(SUBSTITUTE(SUBSTITUTE(SUBSTITUTE(SUBSTITUTE(SUBSTITUTE(SUBSTITUTE(SUBSTITUTE(SUBSTITUTE(TRIM($E8),"'",""),"İ","I"),"ı","I"),"i","I"),"Ş","S"),"ş","S"),"Ğ","G"),"ğ","G"),"Ü","U"),"ü","U"),"Ö","O"),"ö","O"),"Ç","C"),"ç","C"),".",""),",","")," ",""),"-","")))</f>
        <v/>
      </c>
    </row>
    <row r="9">
      <c r="A9" s="6" t="n"/>
      <c r="B9" s="113">
        <f>IF($E9="","","A"&amp;TEXT(ROW()-6,"00000"))</f>
        <v/>
      </c>
      <c r="C9" s="108" t="n"/>
      <c r="D9" s="113">
        <f>IF($E9="","",IFERROR(INDEX(MUSTERILER!$B$7:$B$106,MATCH($U9,MUSTERILER!$T$7:$T$106,0)),IFERROR(INDEX(MUSTERILER!$B$7:$B$106,MATCH($E9,MUSTERILER!$B$7:$B$106,0)),IFERROR(INDEX(MUSTERILER!$B$7:$B$106,MATCH($U9&amp;"*",MUSTERILER!$T$7:$T$106,0)),"TANIMSIZ MÜŞTERİ"))))</f>
        <v/>
      </c>
      <c r="E9" s="109" t="n"/>
      <c r="F9" s="109" t="n"/>
      <c r="G9" s="108" t="n"/>
      <c r="H9" s="220" t="n"/>
      <c r="I9" s="220" t="n"/>
      <c r="J9" s="108" t="n"/>
      <c r="K9" s="108" t="n"/>
      <c r="L9" s="109" t="n"/>
      <c r="M9" s="109" t="n"/>
      <c r="N9" s="109" t="n"/>
      <c r="O9" s="220" t="n"/>
      <c r="P9" s="227">
        <f>IF(OR($E9="",$I9=""),"",IF(OR($J9="Tamamlandı",$J9="İptal"),"",$I9-TODAY()))</f>
        <v/>
      </c>
      <c r="Q9" s="113">
        <f>IF($E9="","",IF($D9="TANIMSIZ MÜŞTERİ","HATA",IF(OR($J9="Tamamlandı",$J9="İptal"),"KAPALI",IF(AND($C9="Görüşme",$N9=""),"SONRAKİ İŞLEM EKSİK",IF($I9="","TARİH EKSİK",IF($I9&lt;TODAY(),"GECİKMİŞ",IF($I9=TODAY(),"BUGÜN",IF($I9&lt;=TODAY()+7,"7 GÜN İÇİNDE","PLANLI"))))))))</f>
        <v/>
      </c>
      <c r="R9" s="6" t="n"/>
      <c r="S9" s="6" t="n"/>
      <c r="T9" s="3" t="n"/>
      <c r="U9" s="3">
        <f>IF($E9="","",UPPER(SUBSTITUTE(SUBSTITUTE(SUBSTITUTE(SUBSTITUTE(SUBSTITUTE(SUBSTITUTE(SUBSTITUTE(SUBSTITUTE(SUBSTITUTE(SUBSTITUTE(SUBSTITUTE(SUBSTITUTE(SUBSTITUTE(SUBSTITUTE(SUBSTITUTE(SUBSTITUTE(SUBSTITUTE(SUBSTITUTE(TRIM($E9),"'",""),"İ","I"),"ı","I"),"i","I"),"Ş","S"),"ş","S"),"Ğ","G"),"ğ","G"),"Ü","U"),"ü","U"),"Ö","O"),"ö","O"),"Ç","C"),"ç","C"),".",""),",","")," ",""),"-","")))</f>
        <v/>
      </c>
    </row>
    <row r="10">
      <c r="A10" s="6" t="n"/>
      <c r="B10" s="113">
        <f>IF($E10="","","A"&amp;TEXT(ROW()-6,"00000"))</f>
        <v/>
      </c>
      <c r="C10" s="108" t="n"/>
      <c r="D10" s="113">
        <f>IF($E10="","",IFERROR(INDEX(MUSTERILER!$B$7:$B$106,MATCH($U10,MUSTERILER!$T$7:$T$106,0)),IFERROR(INDEX(MUSTERILER!$B$7:$B$106,MATCH($E10,MUSTERILER!$B$7:$B$106,0)),IFERROR(INDEX(MUSTERILER!$B$7:$B$106,MATCH($U10&amp;"*",MUSTERILER!$T$7:$T$106,0)),"TANIMSIZ MÜŞTERİ"))))</f>
        <v/>
      </c>
      <c r="E10" s="109" t="n"/>
      <c r="F10" s="109" t="n"/>
      <c r="G10" s="108" t="n"/>
      <c r="H10" s="220" t="n"/>
      <c r="I10" s="220" t="n"/>
      <c r="J10" s="108" t="n"/>
      <c r="K10" s="108" t="n"/>
      <c r="L10" s="109" t="n"/>
      <c r="M10" s="109" t="n"/>
      <c r="N10" s="109" t="n"/>
      <c r="O10" s="220" t="n"/>
      <c r="P10" s="227">
        <f>IF(OR($E10="",$I10=""),"",IF(OR($J10="Tamamlandı",$J10="İptal"),"",$I10-TODAY()))</f>
        <v/>
      </c>
      <c r="Q10" s="113">
        <f>IF($E10="","",IF($D10="TANIMSIZ MÜŞTERİ","HATA",IF(OR($J10="Tamamlandı",$J10="İptal"),"KAPALI",IF(AND($C10="Görüşme",$N10=""),"SONRAKİ İŞLEM EKSİK",IF($I10="","TARİH EKSİK",IF($I10&lt;TODAY(),"GECİKMİŞ",IF($I10=TODAY(),"BUGÜN",IF($I10&lt;=TODAY()+7,"7 GÜN İÇİNDE","PLANLI"))))))))</f>
        <v/>
      </c>
      <c r="R10" s="6" t="n"/>
      <c r="S10" s="6" t="n"/>
      <c r="T10" s="3" t="n"/>
      <c r="U10" s="3">
        <f>IF($E10="","",UPPER(SUBSTITUTE(SUBSTITUTE(SUBSTITUTE(SUBSTITUTE(SUBSTITUTE(SUBSTITUTE(SUBSTITUTE(SUBSTITUTE(SUBSTITUTE(SUBSTITUTE(SUBSTITUTE(SUBSTITUTE(SUBSTITUTE(SUBSTITUTE(SUBSTITUTE(SUBSTITUTE(SUBSTITUTE(SUBSTITUTE(TRIM($E10),"'",""),"İ","I"),"ı","I"),"i","I"),"Ş","S"),"ş","S"),"Ğ","G"),"ğ","G"),"Ü","U"),"ü","U"),"Ö","O"),"ö","O"),"Ç","C"),"ç","C"),".",""),",","")," ",""),"-","")))</f>
        <v/>
      </c>
    </row>
    <row r="11">
      <c r="A11" s="6" t="n"/>
      <c r="B11" s="113">
        <f>IF($E11="","","A"&amp;TEXT(ROW()-6,"00000"))</f>
        <v/>
      </c>
      <c r="C11" s="108" t="n"/>
      <c r="D11" s="113">
        <f>IF($E11="","",IFERROR(INDEX(MUSTERILER!$B$7:$B$106,MATCH($U11,MUSTERILER!$T$7:$T$106,0)),IFERROR(INDEX(MUSTERILER!$B$7:$B$106,MATCH($E11,MUSTERILER!$B$7:$B$106,0)),IFERROR(INDEX(MUSTERILER!$B$7:$B$106,MATCH($U11&amp;"*",MUSTERILER!$T$7:$T$106,0)),"TANIMSIZ MÜŞTERİ"))))</f>
        <v/>
      </c>
      <c r="E11" s="109" t="n"/>
      <c r="F11" s="109" t="n"/>
      <c r="G11" s="108" t="n"/>
      <c r="H11" s="220" t="n"/>
      <c r="I11" s="220" t="n"/>
      <c r="J11" s="108" t="n"/>
      <c r="K11" s="108" t="n"/>
      <c r="L11" s="109" t="n"/>
      <c r="M11" s="109" t="n"/>
      <c r="N11" s="109" t="n"/>
      <c r="O11" s="220" t="n"/>
      <c r="P11" s="227">
        <f>IF(OR($E11="",$I11=""),"",IF(OR($J11="Tamamlandı",$J11="İptal"),"",$I11-TODAY()))</f>
        <v/>
      </c>
      <c r="Q11" s="113">
        <f>IF($E11="","",IF($D11="TANIMSIZ MÜŞTERİ","HATA",IF(OR($J11="Tamamlandı",$J11="İptal"),"KAPALI",IF(AND($C11="Görüşme",$N11=""),"SONRAKİ İŞLEM EKSİK",IF($I11="","TARİH EKSİK",IF($I11&lt;TODAY(),"GECİKMİŞ",IF($I11=TODAY(),"BUGÜN",IF($I11&lt;=TODAY()+7,"7 GÜN İÇİNDE","PLANLI"))))))))</f>
        <v/>
      </c>
      <c r="R11" s="6" t="n"/>
      <c r="S11" s="6" t="n"/>
      <c r="T11" s="3" t="n"/>
      <c r="U11" s="3">
        <f>IF($E11="","",UPPER(SUBSTITUTE(SUBSTITUTE(SUBSTITUTE(SUBSTITUTE(SUBSTITUTE(SUBSTITUTE(SUBSTITUTE(SUBSTITUTE(SUBSTITUTE(SUBSTITUTE(SUBSTITUTE(SUBSTITUTE(SUBSTITUTE(SUBSTITUTE(SUBSTITUTE(SUBSTITUTE(SUBSTITUTE(SUBSTITUTE(TRIM($E11),"'",""),"İ","I"),"ı","I"),"i","I"),"Ş","S"),"ş","S"),"Ğ","G"),"ğ","G"),"Ü","U"),"ü","U"),"Ö","O"),"ö","O"),"Ç","C"),"ç","C"),".",""),",","")," ",""),"-","")))</f>
        <v/>
      </c>
    </row>
    <row r="12">
      <c r="A12" s="6" t="n"/>
      <c r="B12" s="113">
        <f>IF($E12="","","A"&amp;TEXT(ROW()-6,"00000"))</f>
        <v/>
      </c>
      <c r="C12" s="108" t="n"/>
      <c r="D12" s="113">
        <f>IF($E12="","",IFERROR(INDEX(MUSTERILER!$B$7:$B$106,MATCH($U12,MUSTERILER!$T$7:$T$106,0)),IFERROR(INDEX(MUSTERILER!$B$7:$B$106,MATCH($E12,MUSTERILER!$B$7:$B$106,0)),IFERROR(INDEX(MUSTERILER!$B$7:$B$106,MATCH($U12&amp;"*",MUSTERILER!$T$7:$T$106,0)),"TANIMSIZ MÜŞTERİ"))))</f>
        <v/>
      </c>
      <c r="E12" s="109" t="n"/>
      <c r="F12" s="109" t="n"/>
      <c r="G12" s="108" t="n"/>
      <c r="H12" s="220" t="n"/>
      <c r="I12" s="220" t="n"/>
      <c r="J12" s="108" t="n"/>
      <c r="K12" s="108" t="n"/>
      <c r="L12" s="109" t="n"/>
      <c r="M12" s="109" t="n"/>
      <c r="N12" s="109" t="n"/>
      <c r="O12" s="220" t="n"/>
      <c r="P12" s="227">
        <f>IF(OR($E12="",$I12=""),"",IF(OR($J12="Tamamlandı",$J12="İptal"),"",$I12-TODAY()))</f>
        <v/>
      </c>
      <c r="Q12" s="113">
        <f>IF($E12="","",IF($D12="TANIMSIZ MÜŞTERİ","HATA",IF(OR($J12="Tamamlandı",$J12="İptal"),"KAPALI",IF(AND($C12="Görüşme",$N12=""),"SONRAKİ İŞLEM EKSİK",IF($I12="","TARİH EKSİK",IF($I12&lt;TODAY(),"GECİKMİŞ",IF($I12=TODAY(),"BUGÜN",IF($I12&lt;=TODAY()+7,"7 GÜN İÇİNDE","PLANLI"))))))))</f>
        <v/>
      </c>
      <c r="R12" s="6" t="n"/>
      <c r="S12" s="6" t="n"/>
      <c r="T12" s="3" t="n"/>
      <c r="U12" s="3">
        <f>IF($E12="","",UPPER(SUBSTITUTE(SUBSTITUTE(SUBSTITUTE(SUBSTITUTE(SUBSTITUTE(SUBSTITUTE(SUBSTITUTE(SUBSTITUTE(SUBSTITUTE(SUBSTITUTE(SUBSTITUTE(SUBSTITUTE(SUBSTITUTE(SUBSTITUTE(SUBSTITUTE(SUBSTITUTE(SUBSTITUTE(SUBSTITUTE(TRIM($E12),"'",""),"İ","I"),"ı","I"),"i","I"),"Ş","S"),"ş","S"),"Ğ","G"),"ğ","G"),"Ü","U"),"ü","U"),"Ö","O"),"ö","O"),"Ç","C"),"ç","C"),".",""),",","")," ",""),"-","")))</f>
        <v/>
      </c>
    </row>
    <row r="13">
      <c r="A13" s="6" t="n"/>
      <c r="B13" s="113">
        <f>IF($E13="","","A"&amp;TEXT(ROW()-6,"00000"))</f>
        <v/>
      </c>
      <c r="C13" s="108" t="n"/>
      <c r="D13" s="113">
        <f>IF($E13="","",IFERROR(INDEX(MUSTERILER!$B$7:$B$106,MATCH($U13,MUSTERILER!$T$7:$T$106,0)),IFERROR(INDEX(MUSTERILER!$B$7:$B$106,MATCH($E13,MUSTERILER!$B$7:$B$106,0)),IFERROR(INDEX(MUSTERILER!$B$7:$B$106,MATCH($U13&amp;"*",MUSTERILER!$T$7:$T$106,0)),"TANIMSIZ MÜŞTERİ"))))</f>
        <v/>
      </c>
      <c r="E13" s="109" t="n"/>
      <c r="F13" s="109" t="n"/>
      <c r="G13" s="108" t="n"/>
      <c r="H13" s="220" t="n"/>
      <c r="I13" s="220" t="n"/>
      <c r="J13" s="108" t="n"/>
      <c r="K13" s="108" t="n"/>
      <c r="L13" s="109" t="n"/>
      <c r="M13" s="109" t="n"/>
      <c r="N13" s="109" t="n"/>
      <c r="O13" s="220" t="n"/>
      <c r="P13" s="227">
        <f>IF(OR($E13="",$I13=""),"",IF(OR($J13="Tamamlandı",$J13="İptal"),"",$I13-TODAY()))</f>
        <v/>
      </c>
      <c r="Q13" s="113">
        <f>IF($E13="","",IF($D13="TANIMSIZ MÜŞTERİ","HATA",IF(OR($J13="Tamamlandı",$J13="İptal"),"KAPALI",IF(AND($C13="Görüşme",$N13=""),"SONRAKİ İŞLEM EKSİK",IF($I13="","TARİH EKSİK",IF($I13&lt;TODAY(),"GECİKMİŞ",IF($I13=TODAY(),"BUGÜN",IF($I13&lt;=TODAY()+7,"7 GÜN İÇİNDE","PLANLI"))))))))</f>
        <v/>
      </c>
      <c r="R13" s="6" t="n"/>
      <c r="S13" s="6" t="n"/>
      <c r="T13" s="3" t="n"/>
      <c r="U13" s="3">
        <f>IF($E13="","",UPPER(SUBSTITUTE(SUBSTITUTE(SUBSTITUTE(SUBSTITUTE(SUBSTITUTE(SUBSTITUTE(SUBSTITUTE(SUBSTITUTE(SUBSTITUTE(SUBSTITUTE(SUBSTITUTE(SUBSTITUTE(SUBSTITUTE(SUBSTITUTE(SUBSTITUTE(SUBSTITUTE(SUBSTITUTE(SUBSTITUTE(TRIM($E13),"'",""),"İ","I"),"ı","I"),"i","I"),"Ş","S"),"ş","S"),"Ğ","G"),"ğ","G"),"Ü","U"),"ü","U"),"Ö","O"),"ö","O"),"Ç","C"),"ç","C"),".",""),",","")," ",""),"-","")))</f>
        <v/>
      </c>
    </row>
    <row r="14">
      <c r="A14" s="6" t="n"/>
      <c r="B14" s="113">
        <f>IF($E14="","","A"&amp;TEXT(ROW()-6,"00000"))</f>
        <v/>
      </c>
      <c r="C14" s="108" t="n"/>
      <c r="D14" s="113">
        <f>IF($E14="","",IFERROR(INDEX(MUSTERILER!$B$7:$B$106,MATCH($U14,MUSTERILER!$T$7:$T$106,0)),IFERROR(INDEX(MUSTERILER!$B$7:$B$106,MATCH($E14,MUSTERILER!$B$7:$B$106,0)),IFERROR(INDEX(MUSTERILER!$B$7:$B$106,MATCH($U14&amp;"*",MUSTERILER!$T$7:$T$106,0)),"TANIMSIZ MÜŞTERİ"))))</f>
        <v/>
      </c>
      <c r="E14" s="109" t="n"/>
      <c r="F14" s="109" t="n"/>
      <c r="G14" s="108" t="n"/>
      <c r="H14" s="220" t="n"/>
      <c r="I14" s="220" t="n"/>
      <c r="J14" s="108" t="n"/>
      <c r="K14" s="108" t="n"/>
      <c r="L14" s="109" t="n"/>
      <c r="M14" s="109" t="n"/>
      <c r="N14" s="109" t="n"/>
      <c r="O14" s="220" t="n"/>
      <c r="P14" s="227">
        <f>IF(OR($E14="",$I14=""),"",IF(OR($J14="Tamamlandı",$J14="İptal"),"",$I14-TODAY()))</f>
        <v/>
      </c>
      <c r="Q14" s="113">
        <f>IF($E14="","",IF($D14="TANIMSIZ MÜŞTERİ","HATA",IF(OR($J14="Tamamlandı",$J14="İptal"),"KAPALI",IF(AND($C14="Görüşme",$N14=""),"SONRAKİ İŞLEM EKSİK",IF($I14="","TARİH EKSİK",IF($I14&lt;TODAY(),"GECİKMİŞ",IF($I14=TODAY(),"BUGÜN",IF($I14&lt;=TODAY()+7,"7 GÜN İÇİNDE","PLANLI"))))))))</f>
        <v/>
      </c>
      <c r="R14" s="6" t="n"/>
      <c r="S14" s="6" t="n"/>
      <c r="T14" s="3" t="n"/>
      <c r="U14" s="3">
        <f>IF($E14="","",UPPER(SUBSTITUTE(SUBSTITUTE(SUBSTITUTE(SUBSTITUTE(SUBSTITUTE(SUBSTITUTE(SUBSTITUTE(SUBSTITUTE(SUBSTITUTE(SUBSTITUTE(SUBSTITUTE(SUBSTITUTE(SUBSTITUTE(SUBSTITUTE(SUBSTITUTE(SUBSTITUTE(SUBSTITUTE(SUBSTITUTE(TRIM($E14),"'",""),"İ","I"),"ı","I"),"i","I"),"Ş","S"),"ş","S"),"Ğ","G"),"ğ","G"),"Ü","U"),"ü","U"),"Ö","O"),"ö","O"),"Ç","C"),"ç","C"),".",""),",","")," ",""),"-","")))</f>
        <v/>
      </c>
    </row>
    <row r="15">
      <c r="A15" s="6" t="n"/>
      <c r="B15" s="113">
        <f>IF($E15="","","A"&amp;TEXT(ROW()-6,"00000"))</f>
        <v/>
      </c>
      <c r="C15" s="108" t="n"/>
      <c r="D15" s="113">
        <f>IF($E15="","",IFERROR(INDEX(MUSTERILER!$B$7:$B$106,MATCH($U15,MUSTERILER!$T$7:$T$106,0)),IFERROR(INDEX(MUSTERILER!$B$7:$B$106,MATCH($E15,MUSTERILER!$B$7:$B$106,0)),IFERROR(INDEX(MUSTERILER!$B$7:$B$106,MATCH($U15&amp;"*",MUSTERILER!$T$7:$T$106,0)),"TANIMSIZ MÜŞTERİ"))))</f>
        <v/>
      </c>
      <c r="E15" s="109" t="n"/>
      <c r="F15" s="109" t="n"/>
      <c r="G15" s="108" t="n"/>
      <c r="H15" s="220" t="n"/>
      <c r="I15" s="220" t="n"/>
      <c r="J15" s="108" t="n"/>
      <c r="K15" s="108" t="n"/>
      <c r="L15" s="109" t="n"/>
      <c r="M15" s="109" t="n"/>
      <c r="N15" s="109" t="n"/>
      <c r="O15" s="220" t="n"/>
      <c r="P15" s="227">
        <f>IF(OR($E15="",$I15=""),"",IF(OR($J15="Tamamlandı",$J15="İptal"),"",$I15-TODAY()))</f>
        <v/>
      </c>
      <c r="Q15" s="113">
        <f>IF($E15="","",IF($D15="TANIMSIZ MÜŞTERİ","HATA",IF(OR($J15="Tamamlandı",$J15="İptal"),"KAPALI",IF(AND($C15="Görüşme",$N15=""),"SONRAKİ İŞLEM EKSİK",IF($I15="","TARİH EKSİK",IF($I15&lt;TODAY(),"GECİKMİŞ",IF($I15=TODAY(),"BUGÜN",IF($I15&lt;=TODAY()+7,"7 GÜN İÇİNDE","PLANLI"))))))))</f>
        <v/>
      </c>
      <c r="R15" s="6" t="n"/>
      <c r="S15" s="6" t="n"/>
      <c r="T15" s="3" t="n"/>
      <c r="U15" s="3">
        <f>IF($E15="","",UPPER(SUBSTITUTE(SUBSTITUTE(SUBSTITUTE(SUBSTITUTE(SUBSTITUTE(SUBSTITUTE(SUBSTITUTE(SUBSTITUTE(SUBSTITUTE(SUBSTITUTE(SUBSTITUTE(SUBSTITUTE(SUBSTITUTE(SUBSTITUTE(SUBSTITUTE(SUBSTITUTE(SUBSTITUTE(SUBSTITUTE(TRIM($E15),"'",""),"İ","I"),"ı","I"),"i","I"),"Ş","S"),"ş","S"),"Ğ","G"),"ğ","G"),"Ü","U"),"ü","U"),"Ö","O"),"ö","O"),"Ç","C"),"ç","C"),".",""),",","")," ",""),"-","")))</f>
        <v/>
      </c>
    </row>
    <row r="16">
      <c r="A16" s="6" t="n"/>
      <c r="B16" s="113">
        <f>IF($E16="","","A"&amp;TEXT(ROW()-6,"00000"))</f>
        <v/>
      </c>
      <c r="C16" s="108" t="n"/>
      <c r="D16" s="113">
        <f>IF($E16="","",IFERROR(INDEX(MUSTERILER!$B$7:$B$106,MATCH($U16,MUSTERILER!$T$7:$T$106,0)),IFERROR(INDEX(MUSTERILER!$B$7:$B$106,MATCH($E16,MUSTERILER!$B$7:$B$106,0)),IFERROR(INDEX(MUSTERILER!$B$7:$B$106,MATCH($U16&amp;"*",MUSTERILER!$T$7:$T$106,0)),"TANIMSIZ MÜŞTERİ"))))</f>
        <v/>
      </c>
      <c r="E16" s="109" t="n"/>
      <c r="F16" s="109" t="n"/>
      <c r="G16" s="108" t="n"/>
      <c r="H16" s="220" t="n"/>
      <c r="I16" s="220" t="n"/>
      <c r="J16" s="108" t="n"/>
      <c r="K16" s="108" t="n"/>
      <c r="L16" s="109" t="n"/>
      <c r="M16" s="109" t="n"/>
      <c r="N16" s="109" t="n"/>
      <c r="O16" s="220" t="n"/>
      <c r="P16" s="227">
        <f>IF(OR($E16="",$I16=""),"",IF(OR($J16="Tamamlandı",$J16="İptal"),"",$I16-TODAY()))</f>
        <v/>
      </c>
      <c r="Q16" s="113">
        <f>IF($E16="","",IF($D16="TANIMSIZ MÜŞTERİ","HATA",IF(OR($J16="Tamamlandı",$J16="İptal"),"KAPALI",IF(AND($C16="Görüşme",$N16=""),"SONRAKİ İŞLEM EKSİK",IF($I16="","TARİH EKSİK",IF($I16&lt;TODAY(),"GECİKMİŞ",IF($I16=TODAY(),"BUGÜN",IF($I16&lt;=TODAY()+7,"7 GÜN İÇİNDE","PLANLI"))))))))</f>
        <v/>
      </c>
      <c r="R16" s="6" t="n"/>
      <c r="S16" s="6" t="n"/>
      <c r="T16" s="3" t="n"/>
      <c r="U16" s="3">
        <f>IF($E16="","",UPPER(SUBSTITUTE(SUBSTITUTE(SUBSTITUTE(SUBSTITUTE(SUBSTITUTE(SUBSTITUTE(SUBSTITUTE(SUBSTITUTE(SUBSTITUTE(SUBSTITUTE(SUBSTITUTE(SUBSTITUTE(SUBSTITUTE(SUBSTITUTE(SUBSTITUTE(SUBSTITUTE(SUBSTITUTE(SUBSTITUTE(TRIM($E16),"'",""),"İ","I"),"ı","I"),"i","I"),"Ş","S"),"ş","S"),"Ğ","G"),"ğ","G"),"Ü","U"),"ü","U"),"Ö","O"),"ö","O"),"Ç","C"),"ç","C"),".",""),",","")," ",""),"-","")))</f>
        <v/>
      </c>
    </row>
    <row r="17">
      <c r="A17" s="6" t="n"/>
      <c r="B17" s="113">
        <f>IF($E17="","","A"&amp;TEXT(ROW()-6,"00000"))</f>
        <v/>
      </c>
      <c r="C17" s="108" t="n"/>
      <c r="D17" s="113">
        <f>IF($E17="","",IFERROR(INDEX(MUSTERILER!$B$7:$B$106,MATCH($U17,MUSTERILER!$T$7:$T$106,0)),IFERROR(INDEX(MUSTERILER!$B$7:$B$106,MATCH($E17,MUSTERILER!$B$7:$B$106,0)),IFERROR(INDEX(MUSTERILER!$B$7:$B$106,MATCH($U17&amp;"*",MUSTERILER!$T$7:$T$106,0)),"TANIMSIZ MÜŞTERİ"))))</f>
        <v/>
      </c>
      <c r="E17" s="109" t="n"/>
      <c r="F17" s="109" t="n"/>
      <c r="G17" s="108" t="n"/>
      <c r="H17" s="220" t="n"/>
      <c r="I17" s="220" t="n"/>
      <c r="J17" s="108" t="n"/>
      <c r="K17" s="108" t="n"/>
      <c r="L17" s="109" t="n"/>
      <c r="M17" s="109" t="n"/>
      <c r="N17" s="109" t="n"/>
      <c r="O17" s="220" t="n"/>
      <c r="P17" s="227">
        <f>IF(OR($E17="",$I17=""),"",IF(OR($J17="Tamamlandı",$J17="İptal"),"",$I17-TODAY()))</f>
        <v/>
      </c>
      <c r="Q17" s="113">
        <f>IF($E17="","",IF($D17="TANIMSIZ MÜŞTERİ","HATA",IF(OR($J17="Tamamlandı",$J17="İptal"),"KAPALI",IF(AND($C17="Görüşme",$N17=""),"SONRAKİ İŞLEM EKSİK",IF($I17="","TARİH EKSİK",IF($I17&lt;TODAY(),"GECİKMİŞ",IF($I17=TODAY(),"BUGÜN",IF($I17&lt;=TODAY()+7,"7 GÜN İÇİNDE","PLANLI"))))))))</f>
        <v/>
      </c>
      <c r="R17" s="6" t="n"/>
      <c r="S17" s="6" t="n"/>
      <c r="T17" s="3" t="n"/>
      <c r="U17" s="3">
        <f>IF($E17="","",UPPER(SUBSTITUTE(SUBSTITUTE(SUBSTITUTE(SUBSTITUTE(SUBSTITUTE(SUBSTITUTE(SUBSTITUTE(SUBSTITUTE(SUBSTITUTE(SUBSTITUTE(SUBSTITUTE(SUBSTITUTE(SUBSTITUTE(SUBSTITUTE(SUBSTITUTE(SUBSTITUTE(SUBSTITUTE(SUBSTITUTE(TRIM($E17),"'",""),"İ","I"),"ı","I"),"i","I"),"Ş","S"),"ş","S"),"Ğ","G"),"ğ","G"),"Ü","U"),"ü","U"),"Ö","O"),"ö","O"),"Ç","C"),"ç","C"),".",""),",","")," ",""),"-","")))</f>
        <v/>
      </c>
    </row>
    <row r="18">
      <c r="A18" s="6" t="n"/>
      <c r="B18" s="113">
        <f>IF($E18="","","A"&amp;TEXT(ROW()-6,"00000"))</f>
        <v/>
      </c>
      <c r="C18" s="108" t="n"/>
      <c r="D18" s="113">
        <f>IF($E18="","",IFERROR(INDEX(MUSTERILER!$B$7:$B$106,MATCH($U18,MUSTERILER!$T$7:$T$106,0)),IFERROR(INDEX(MUSTERILER!$B$7:$B$106,MATCH($E18,MUSTERILER!$B$7:$B$106,0)),IFERROR(INDEX(MUSTERILER!$B$7:$B$106,MATCH($U18&amp;"*",MUSTERILER!$T$7:$T$106,0)),"TANIMSIZ MÜŞTERİ"))))</f>
        <v/>
      </c>
      <c r="E18" s="109" t="n"/>
      <c r="F18" s="109" t="n"/>
      <c r="G18" s="108" t="n"/>
      <c r="H18" s="220" t="n"/>
      <c r="I18" s="220" t="n"/>
      <c r="J18" s="108" t="n"/>
      <c r="K18" s="108" t="n"/>
      <c r="L18" s="109" t="n"/>
      <c r="M18" s="109" t="n"/>
      <c r="N18" s="109" t="n"/>
      <c r="O18" s="220" t="n"/>
      <c r="P18" s="227">
        <f>IF(OR($E18="",$I18=""),"",IF(OR($J18="Tamamlandı",$J18="İptal"),"",$I18-TODAY()))</f>
        <v/>
      </c>
      <c r="Q18" s="113">
        <f>IF($E18="","",IF($D18="TANIMSIZ MÜŞTERİ","HATA",IF(OR($J18="Tamamlandı",$J18="İptal"),"KAPALI",IF(AND($C18="Görüşme",$N18=""),"SONRAKİ İŞLEM EKSİK",IF($I18="","TARİH EKSİK",IF($I18&lt;TODAY(),"GECİKMİŞ",IF($I18=TODAY(),"BUGÜN",IF($I18&lt;=TODAY()+7,"7 GÜN İÇİNDE","PLANLI"))))))))</f>
        <v/>
      </c>
      <c r="R18" s="6" t="n"/>
      <c r="S18" s="6" t="n"/>
      <c r="T18" s="3" t="n"/>
      <c r="U18" s="3">
        <f>IF($E18="","",UPPER(SUBSTITUTE(SUBSTITUTE(SUBSTITUTE(SUBSTITUTE(SUBSTITUTE(SUBSTITUTE(SUBSTITUTE(SUBSTITUTE(SUBSTITUTE(SUBSTITUTE(SUBSTITUTE(SUBSTITUTE(SUBSTITUTE(SUBSTITUTE(SUBSTITUTE(SUBSTITUTE(SUBSTITUTE(SUBSTITUTE(TRIM($E18),"'",""),"İ","I"),"ı","I"),"i","I"),"Ş","S"),"ş","S"),"Ğ","G"),"ğ","G"),"Ü","U"),"ü","U"),"Ö","O"),"ö","O"),"Ç","C"),"ç","C"),".",""),",","")," ",""),"-","")))</f>
        <v/>
      </c>
    </row>
    <row r="19">
      <c r="A19" s="6" t="n"/>
      <c r="B19" s="113">
        <f>IF($E19="","","A"&amp;TEXT(ROW()-6,"00000"))</f>
        <v/>
      </c>
      <c r="C19" s="108" t="n"/>
      <c r="D19" s="113">
        <f>IF($E19="","",IFERROR(INDEX(MUSTERILER!$B$7:$B$106,MATCH($U19,MUSTERILER!$T$7:$T$106,0)),IFERROR(INDEX(MUSTERILER!$B$7:$B$106,MATCH($E19,MUSTERILER!$B$7:$B$106,0)),IFERROR(INDEX(MUSTERILER!$B$7:$B$106,MATCH($U19&amp;"*",MUSTERILER!$T$7:$T$106,0)),"TANIMSIZ MÜŞTERİ"))))</f>
        <v/>
      </c>
      <c r="E19" s="109" t="n"/>
      <c r="F19" s="109" t="n"/>
      <c r="G19" s="108" t="n"/>
      <c r="H19" s="220" t="n"/>
      <c r="I19" s="220" t="n"/>
      <c r="J19" s="108" t="n"/>
      <c r="K19" s="108" t="n"/>
      <c r="L19" s="109" t="n"/>
      <c r="M19" s="109" t="n"/>
      <c r="N19" s="109" t="n"/>
      <c r="O19" s="220" t="n"/>
      <c r="P19" s="227">
        <f>IF(OR($E19="",$I19=""),"",IF(OR($J19="Tamamlandı",$J19="İptal"),"",$I19-TODAY()))</f>
        <v/>
      </c>
      <c r="Q19" s="113">
        <f>IF($E19="","",IF($D19="TANIMSIZ MÜŞTERİ","HATA",IF(OR($J19="Tamamlandı",$J19="İptal"),"KAPALI",IF(AND($C19="Görüşme",$N19=""),"SONRAKİ İŞLEM EKSİK",IF($I19="","TARİH EKSİK",IF($I19&lt;TODAY(),"GECİKMİŞ",IF($I19=TODAY(),"BUGÜN",IF($I19&lt;=TODAY()+7,"7 GÜN İÇİNDE","PLANLI"))))))))</f>
        <v/>
      </c>
      <c r="R19" s="6" t="n"/>
      <c r="S19" s="6" t="n"/>
      <c r="T19" s="3" t="n"/>
      <c r="U19" s="3">
        <f>IF($E19="","",UPPER(SUBSTITUTE(SUBSTITUTE(SUBSTITUTE(SUBSTITUTE(SUBSTITUTE(SUBSTITUTE(SUBSTITUTE(SUBSTITUTE(SUBSTITUTE(SUBSTITUTE(SUBSTITUTE(SUBSTITUTE(SUBSTITUTE(SUBSTITUTE(SUBSTITUTE(SUBSTITUTE(SUBSTITUTE(SUBSTITUTE(TRIM($E19),"'",""),"İ","I"),"ı","I"),"i","I"),"Ş","S"),"ş","S"),"Ğ","G"),"ğ","G"),"Ü","U"),"ü","U"),"Ö","O"),"ö","O"),"Ç","C"),"ç","C"),".",""),",","")," ",""),"-","")))</f>
        <v/>
      </c>
    </row>
    <row r="20">
      <c r="A20" s="6" t="n"/>
      <c r="B20" s="113">
        <f>IF($E20="","","A"&amp;TEXT(ROW()-6,"00000"))</f>
        <v/>
      </c>
      <c r="C20" s="108" t="n"/>
      <c r="D20" s="113">
        <f>IF($E20="","",IFERROR(INDEX(MUSTERILER!$B$7:$B$106,MATCH($U20,MUSTERILER!$T$7:$T$106,0)),IFERROR(INDEX(MUSTERILER!$B$7:$B$106,MATCH($E20,MUSTERILER!$B$7:$B$106,0)),IFERROR(INDEX(MUSTERILER!$B$7:$B$106,MATCH($U20&amp;"*",MUSTERILER!$T$7:$T$106,0)),"TANIMSIZ MÜŞTERİ"))))</f>
        <v/>
      </c>
      <c r="E20" s="109" t="n"/>
      <c r="F20" s="109" t="n"/>
      <c r="G20" s="108" t="n"/>
      <c r="H20" s="220" t="n"/>
      <c r="I20" s="220" t="n"/>
      <c r="J20" s="108" t="n"/>
      <c r="K20" s="108" t="n"/>
      <c r="L20" s="109" t="n"/>
      <c r="M20" s="109" t="n"/>
      <c r="N20" s="109" t="n"/>
      <c r="O20" s="220" t="n"/>
      <c r="P20" s="227">
        <f>IF(OR($E20="",$I20=""),"",IF(OR($J20="Tamamlandı",$J20="İptal"),"",$I20-TODAY()))</f>
        <v/>
      </c>
      <c r="Q20" s="113">
        <f>IF($E20="","",IF($D20="TANIMSIZ MÜŞTERİ","HATA",IF(OR($J20="Tamamlandı",$J20="İptal"),"KAPALI",IF(AND($C20="Görüşme",$N20=""),"SONRAKİ İŞLEM EKSİK",IF($I20="","TARİH EKSİK",IF($I20&lt;TODAY(),"GECİKMİŞ",IF($I20=TODAY(),"BUGÜN",IF($I20&lt;=TODAY()+7,"7 GÜN İÇİNDE","PLANLI"))))))))</f>
        <v/>
      </c>
      <c r="R20" s="6" t="n"/>
      <c r="S20" s="6" t="n"/>
      <c r="T20" s="3" t="n"/>
      <c r="U20" s="3">
        <f>IF($E20="","",UPPER(SUBSTITUTE(SUBSTITUTE(SUBSTITUTE(SUBSTITUTE(SUBSTITUTE(SUBSTITUTE(SUBSTITUTE(SUBSTITUTE(SUBSTITUTE(SUBSTITUTE(SUBSTITUTE(SUBSTITUTE(SUBSTITUTE(SUBSTITUTE(SUBSTITUTE(SUBSTITUTE(SUBSTITUTE(SUBSTITUTE(TRIM($E20),"'",""),"İ","I"),"ı","I"),"i","I"),"Ş","S"),"ş","S"),"Ğ","G"),"ğ","G"),"Ü","U"),"ü","U"),"Ö","O"),"ö","O"),"Ç","C"),"ç","C"),".",""),",","")," ",""),"-","")))</f>
        <v/>
      </c>
    </row>
    <row r="21">
      <c r="A21" s="6" t="n"/>
      <c r="B21" s="113">
        <f>IF($E21="","","A"&amp;TEXT(ROW()-6,"00000"))</f>
        <v/>
      </c>
      <c r="C21" s="108" t="n"/>
      <c r="D21" s="113">
        <f>IF($E21="","",IFERROR(INDEX(MUSTERILER!$B$7:$B$106,MATCH($U21,MUSTERILER!$T$7:$T$106,0)),IFERROR(INDEX(MUSTERILER!$B$7:$B$106,MATCH($E21,MUSTERILER!$B$7:$B$106,0)),IFERROR(INDEX(MUSTERILER!$B$7:$B$106,MATCH($U21&amp;"*",MUSTERILER!$T$7:$T$106,0)),"TANIMSIZ MÜŞTERİ"))))</f>
        <v/>
      </c>
      <c r="E21" s="109" t="n"/>
      <c r="F21" s="109" t="n"/>
      <c r="G21" s="108" t="n"/>
      <c r="H21" s="220" t="n"/>
      <c r="I21" s="220" t="n"/>
      <c r="J21" s="108" t="n"/>
      <c r="K21" s="108" t="n"/>
      <c r="L21" s="109" t="n"/>
      <c r="M21" s="109" t="n"/>
      <c r="N21" s="109" t="n"/>
      <c r="O21" s="220" t="n"/>
      <c r="P21" s="227">
        <f>IF(OR($E21="",$I21=""),"",IF(OR($J21="Tamamlandı",$J21="İptal"),"",$I21-TODAY()))</f>
        <v/>
      </c>
      <c r="Q21" s="113">
        <f>IF($E21="","",IF($D21="TANIMSIZ MÜŞTERİ","HATA",IF(OR($J21="Tamamlandı",$J21="İptal"),"KAPALI",IF(AND($C21="Görüşme",$N21=""),"SONRAKİ İŞLEM EKSİK",IF($I21="","TARİH EKSİK",IF($I21&lt;TODAY(),"GECİKMİŞ",IF($I21=TODAY(),"BUGÜN",IF($I21&lt;=TODAY()+7,"7 GÜN İÇİNDE","PLANLI"))))))))</f>
        <v/>
      </c>
      <c r="R21" s="6" t="n"/>
      <c r="S21" s="6" t="n"/>
      <c r="T21" s="3" t="n"/>
      <c r="U21" s="3">
        <f>IF($E21="","",UPPER(SUBSTITUTE(SUBSTITUTE(SUBSTITUTE(SUBSTITUTE(SUBSTITUTE(SUBSTITUTE(SUBSTITUTE(SUBSTITUTE(SUBSTITUTE(SUBSTITUTE(SUBSTITUTE(SUBSTITUTE(SUBSTITUTE(SUBSTITUTE(SUBSTITUTE(SUBSTITUTE(SUBSTITUTE(SUBSTITUTE(TRIM($E21),"'",""),"İ","I"),"ı","I"),"i","I"),"Ş","S"),"ş","S"),"Ğ","G"),"ğ","G"),"Ü","U"),"ü","U"),"Ö","O"),"ö","O"),"Ç","C"),"ç","C"),".",""),",","")," ",""),"-","")))</f>
        <v/>
      </c>
    </row>
    <row r="22">
      <c r="A22" s="6" t="n"/>
      <c r="B22" s="113">
        <f>IF($E22="","","A"&amp;TEXT(ROW()-6,"00000"))</f>
        <v/>
      </c>
      <c r="C22" s="108" t="n"/>
      <c r="D22" s="113">
        <f>IF($E22="","",IFERROR(INDEX(MUSTERILER!$B$7:$B$106,MATCH($U22,MUSTERILER!$T$7:$T$106,0)),IFERROR(INDEX(MUSTERILER!$B$7:$B$106,MATCH($E22,MUSTERILER!$B$7:$B$106,0)),IFERROR(INDEX(MUSTERILER!$B$7:$B$106,MATCH($U22&amp;"*",MUSTERILER!$T$7:$T$106,0)),"TANIMSIZ MÜŞTERİ"))))</f>
        <v/>
      </c>
      <c r="E22" s="109" t="n"/>
      <c r="F22" s="109" t="n"/>
      <c r="G22" s="108" t="n"/>
      <c r="H22" s="220" t="n"/>
      <c r="I22" s="220" t="n"/>
      <c r="J22" s="108" t="n"/>
      <c r="K22" s="108" t="n"/>
      <c r="L22" s="109" t="n"/>
      <c r="M22" s="109" t="n"/>
      <c r="N22" s="109" t="n"/>
      <c r="O22" s="220" t="n"/>
      <c r="P22" s="227">
        <f>IF(OR($E22="",$I22=""),"",IF(OR($J22="Tamamlandı",$J22="İptal"),"",$I22-TODAY()))</f>
        <v/>
      </c>
      <c r="Q22" s="113">
        <f>IF($E22="","",IF($D22="TANIMSIZ MÜŞTERİ","HATA",IF(OR($J22="Tamamlandı",$J22="İptal"),"KAPALI",IF(AND($C22="Görüşme",$N22=""),"SONRAKİ İŞLEM EKSİK",IF($I22="","TARİH EKSİK",IF($I22&lt;TODAY(),"GECİKMİŞ",IF($I22=TODAY(),"BUGÜN",IF($I22&lt;=TODAY()+7,"7 GÜN İÇİNDE","PLANLI"))))))))</f>
        <v/>
      </c>
      <c r="R22" s="6" t="n"/>
      <c r="S22" s="6" t="n"/>
      <c r="T22" s="3" t="n"/>
      <c r="U22" s="3">
        <f>IF($E22="","",UPPER(SUBSTITUTE(SUBSTITUTE(SUBSTITUTE(SUBSTITUTE(SUBSTITUTE(SUBSTITUTE(SUBSTITUTE(SUBSTITUTE(SUBSTITUTE(SUBSTITUTE(SUBSTITUTE(SUBSTITUTE(SUBSTITUTE(SUBSTITUTE(SUBSTITUTE(SUBSTITUTE(SUBSTITUTE(SUBSTITUTE(TRIM($E22),"'",""),"İ","I"),"ı","I"),"i","I"),"Ş","S"),"ş","S"),"Ğ","G"),"ğ","G"),"Ü","U"),"ü","U"),"Ö","O"),"ö","O"),"Ç","C"),"ç","C"),".",""),",","")," ",""),"-","")))</f>
        <v/>
      </c>
    </row>
    <row r="23">
      <c r="A23" s="6" t="n"/>
      <c r="B23" s="113">
        <f>IF($E23="","","A"&amp;TEXT(ROW()-6,"00000"))</f>
        <v/>
      </c>
      <c r="C23" s="108" t="n"/>
      <c r="D23" s="113">
        <f>IF($E23="","",IFERROR(INDEX(MUSTERILER!$B$7:$B$106,MATCH($U23,MUSTERILER!$T$7:$T$106,0)),IFERROR(INDEX(MUSTERILER!$B$7:$B$106,MATCH($E23,MUSTERILER!$B$7:$B$106,0)),IFERROR(INDEX(MUSTERILER!$B$7:$B$106,MATCH($U23&amp;"*",MUSTERILER!$T$7:$T$106,0)),"TANIMSIZ MÜŞTERİ"))))</f>
        <v/>
      </c>
      <c r="E23" s="109" t="n"/>
      <c r="F23" s="109" t="n"/>
      <c r="G23" s="108" t="n"/>
      <c r="H23" s="220" t="n"/>
      <c r="I23" s="220" t="n"/>
      <c r="J23" s="108" t="n"/>
      <c r="K23" s="108" t="n"/>
      <c r="L23" s="109" t="n"/>
      <c r="M23" s="109" t="n"/>
      <c r="N23" s="109" t="n"/>
      <c r="O23" s="220" t="n"/>
      <c r="P23" s="227">
        <f>IF(OR($E23="",$I23=""),"",IF(OR($J23="Tamamlandı",$J23="İptal"),"",$I23-TODAY()))</f>
        <v/>
      </c>
      <c r="Q23" s="113">
        <f>IF($E23="","",IF($D23="TANIMSIZ MÜŞTERİ","HATA",IF(OR($J23="Tamamlandı",$J23="İptal"),"KAPALI",IF(AND($C23="Görüşme",$N23=""),"SONRAKİ İŞLEM EKSİK",IF($I23="","TARİH EKSİK",IF($I23&lt;TODAY(),"GECİKMİŞ",IF($I23=TODAY(),"BUGÜN",IF($I23&lt;=TODAY()+7,"7 GÜN İÇİNDE","PLANLI"))))))))</f>
        <v/>
      </c>
      <c r="R23" s="6" t="n"/>
      <c r="S23" s="6" t="n"/>
      <c r="T23" s="3" t="n"/>
      <c r="U23" s="3">
        <f>IF($E23="","",UPPER(SUBSTITUTE(SUBSTITUTE(SUBSTITUTE(SUBSTITUTE(SUBSTITUTE(SUBSTITUTE(SUBSTITUTE(SUBSTITUTE(SUBSTITUTE(SUBSTITUTE(SUBSTITUTE(SUBSTITUTE(SUBSTITUTE(SUBSTITUTE(SUBSTITUTE(SUBSTITUTE(SUBSTITUTE(SUBSTITUTE(TRIM($E23),"'",""),"İ","I"),"ı","I"),"i","I"),"Ş","S"),"ş","S"),"Ğ","G"),"ğ","G"),"Ü","U"),"ü","U"),"Ö","O"),"ö","O"),"Ç","C"),"ç","C"),".",""),",","")," ",""),"-","")))</f>
        <v/>
      </c>
    </row>
    <row r="24">
      <c r="A24" s="6" t="n"/>
      <c r="B24" s="113">
        <f>IF($E24="","","A"&amp;TEXT(ROW()-6,"00000"))</f>
        <v/>
      </c>
      <c r="C24" s="108" t="n"/>
      <c r="D24" s="113">
        <f>IF($E24="","",IFERROR(INDEX(MUSTERILER!$B$7:$B$106,MATCH($U24,MUSTERILER!$T$7:$T$106,0)),IFERROR(INDEX(MUSTERILER!$B$7:$B$106,MATCH($E24,MUSTERILER!$B$7:$B$106,0)),IFERROR(INDEX(MUSTERILER!$B$7:$B$106,MATCH($U24&amp;"*",MUSTERILER!$T$7:$T$106,0)),"TANIMSIZ MÜŞTERİ"))))</f>
        <v/>
      </c>
      <c r="E24" s="109" t="n"/>
      <c r="F24" s="109" t="n"/>
      <c r="G24" s="108" t="n"/>
      <c r="H24" s="220" t="n"/>
      <c r="I24" s="220" t="n"/>
      <c r="J24" s="108" t="n"/>
      <c r="K24" s="108" t="n"/>
      <c r="L24" s="109" t="n"/>
      <c r="M24" s="109" t="n"/>
      <c r="N24" s="109" t="n"/>
      <c r="O24" s="220" t="n"/>
      <c r="P24" s="227">
        <f>IF(OR($E24="",$I24=""),"",IF(OR($J24="Tamamlandı",$J24="İptal"),"",$I24-TODAY()))</f>
        <v/>
      </c>
      <c r="Q24" s="113">
        <f>IF($E24="","",IF($D24="TANIMSIZ MÜŞTERİ","HATA",IF(OR($J24="Tamamlandı",$J24="İptal"),"KAPALI",IF(AND($C24="Görüşme",$N24=""),"SONRAKİ İŞLEM EKSİK",IF($I24="","TARİH EKSİK",IF($I24&lt;TODAY(),"GECİKMİŞ",IF($I24=TODAY(),"BUGÜN",IF($I24&lt;=TODAY()+7,"7 GÜN İÇİNDE","PLANLI"))))))))</f>
        <v/>
      </c>
      <c r="R24" s="6" t="n"/>
      <c r="S24" s="6" t="n"/>
      <c r="T24" s="3" t="n"/>
      <c r="U24" s="3">
        <f>IF($E24="","",UPPER(SUBSTITUTE(SUBSTITUTE(SUBSTITUTE(SUBSTITUTE(SUBSTITUTE(SUBSTITUTE(SUBSTITUTE(SUBSTITUTE(SUBSTITUTE(SUBSTITUTE(SUBSTITUTE(SUBSTITUTE(SUBSTITUTE(SUBSTITUTE(SUBSTITUTE(SUBSTITUTE(SUBSTITUTE(SUBSTITUTE(TRIM($E24),"'",""),"İ","I"),"ı","I"),"i","I"),"Ş","S"),"ş","S"),"Ğ","G"),"ğ","G"),"Ü","U"),"ü","U"),"Ö","O"),"ö","O"),"Ç","C"),"ç","C"),".",""),",","")," ",""),"-","")))</f>
        <v/>
      </c>
    </row>
    <row r="25">
      <c r="A25" s="6" t="n"/>
      <c r="B25" s="113">
        <f>IF($E25="","","A"&amp;TEXT(ROW()-6,"00000"))</f>
        <v/>
      </c>
      <c r="C25" s="108" t="n"/>
      <c r="D25" s="113">
        <f>IF($E25="","",IFERROR(INDEX(MUSTERILER!$B$7:$B$106,MATCH($U25,MUSTERILER!$T$7:$T$106,0)),IFERROR(INDEX(MUSTERILER!$B$7:$B$106,MATCH($E25,MUSTERILER!$B$7:$B$106,0)),IFERROR(INDEX(MUSTERILER!$B$7:$B$106,MATCH($U25&amp;"*",MUSTERILER!$T$7:$T$106,0)),"TANIMSIZ MÜŞTERİ"))))</f>
        <v/>
      </c>
      <c r="E25" s="109" t="n"/>
      <c r="F25" s="109" t="n"/>
      <c r="G25" s="108" t="n"/>
      <c r="H25" s="220" t="n"/>
      <c r="I25" s="220" t="n"/>
      <c r="J25" s="108" t="n"/>
      <c r="K25" s="108" t="n"/>
      <c r="L25" s="109" t="n"/>
      <c r="M25" s="109" t="n"/>
      <c r="N25" s="109" t="n"/>
      <c r="O25" s="220" t="n"/>
      <c r="P25" s="227">
        <f>IF(OR($E25="",$I25=""),"",IF(OR($J25="Tamamlandı",$J25="İptal"),"",$I25-TODAY()))</f>
        <v/>
      </c>
      <c r="Q25" s="113">
        <f>IF($E25="","",IF($D25="TANIMSIZ MÜŞTERİ","HATA",IF(OR($J25="Tamamlandı",$J25="İptal"),"KAPALI",IF(AND($C25="Görüşme",$N25=""),"SONRAKİ İŞLEM EKSİK",IF($I25="","TARİH EKSİK",IF($I25&lt;TODAY(),"GECİKMİŞ",IF($I25=TODAY(),"BUGÜN",IF($I25&lt;=TODAY()+7,"7 GÜN İÇİNDE","PLANLI"))))))))</f>
        <v/>
      </c>
      <c r="R25" s="6" t="n"/>
      <c r="S25" s="6" t="n"/>
      <c r="T25" s="3" t="n"/>
      <c r="U25" s="3">
        <f>IF($E25="","",UPPER(SUBSTITUTE(SUBSTITUTE(SUBSTITUTE(SUBSTITUTE(SUBSTITUTE(SUBSTITUTE(SUBSTITUTE(SUBSTITUTE(SUBSTITUTE(SUBSTITUTE(SUBSTITUTE(SUBSTITUTE(SUBSTITUTE(SUBSTITUTE(SUBSTITUTE(SUBSTITUTE(SUBSTITUTE(SUBSTITUTE(TRIM($E25),"'",""),"İ","I"),"ı","I"),"i","I"),"Ş","S"),"ş","S"),"Ğ","G"),"ğ","G"),"Ü","U"),"ü","U"),"Ö","O"),"ö","O"),"Ç","C"),"ç","C"),".",""),",","")," ",""),"-","")))</f>
        <v/>
      </c>
    </row>
    <row r="26">
      <c r="A26" s="6" t="n"/>
      <c r="B26" s="113">
        <f>IF($E26="","","A"&amp;TEXT(ROW()-6,"00000"))</f>
        <v/>
      </c>
      <c r="C26" s="108" t="n"/>
      <c r="D26" s="113">
        <f>IF($E26="","",IFERROR(INDEX(MUSTERILER!$B$7:$B$106,MATCH($U26,MUSTERILER!$T$7:$T$106,0)),IFERROR(INDEX(MUSTERILER!$B$7:$B$106,MATCH($E26,MUSTERILER!$B$7:$B$106,0)),IFERROR(INDEX(MUSTERILER!$B$7:$B$106,MATCH($U26&amp;"*",MUSTERILER!$T$7:$T$106,0)),"TANIMSIZ MÜŞTERİ"))))</f>
        <v/>
      </c>
      <c r="E26" s="109" t="n"/>
      <c r="F26" s="109" t="n"/>
      <c r="G26" s="108" t="n"/>
      <c r="H26" s="220" t="n"/>
      <c r="I26" s="220" t="n"/>
      <c r="J26" s="108" t="n"/>
      <c r="K26" s="108" t="n"/>
      <c r="L26" s="109" t="n"/>
      <c r="M26" s="109" t="n"/>
      <c r="N26" s="109" t="n"/>
      <c r="O26" s="220" t="n"/>
      <c r="P26" s="227">
        <f>IF(OR($E26="",$I26=""),"",IF(OR($J26="Tamamlandı",$J26="İptal"),"",$I26-TODAY()))</f>
        <v/>
      </c>
      <c r="Q26" s="113">
        <f>IF($E26="","",IF($D26="TANIMSIZ MÜŞTERİ","HATA",IF(OR($J26="Tamamlandı",$J26="İptal"),"KAPALI",IF(AND($C26="Görüşme",$N26=""),"SONRAKİ İŞLEM EKSİK",IF($I26="","TARİH EKSİK",IF($I26&lt;TODAY(),"GECİKMİŞ",IF($I26=TODAY(),"BUGÜN",IF($I26&lt;=TODAY()+7,"7 GÜN İÇİNDE","PLANLI"))))))))</f>
        <v/>
      </c>
      <c r="R26" s="6" t="n"/>
      <c r="S26" s="6" t="n"/>
      <c r="T26" s="3" t="n"/>
      <c r="U26" s="3">
        <f>IF($E26="","",UPPER(SUBSTITUTE(SUBSTITUTE(SUBSTITUTE(SUBSTITUTE(SUBSTITUTE(SUBSTITUTE(SUBSTITUTE(SUBSTITUTE(SUBSTITUTE(SUBSTITUTE(SUBSTITUTE(SUBSTITUTE(SUBSTITUTE(SUBSTITUTE(SUBSTITUTE(SUBSTITUTE(SUBSTITUTE(SUBSTITUTE(TRIM($E26),"'",""),"İ","I"),"ı","I"),"i","I"),"Ş","S"),"ş","S"),"Ğ","G"),"ğ","G"),"Ü","U"),"ü","U"),"Ö","O"),"ö","O"),"Ç","C"),"ç","C"),".",""),",","")," ",""),"-","")))</f>
        <v/>
      </c>
    </row>
    <row r="27">
      <c r="A27" s="6" t="n"/>
      <c r="B27" s="113">
        <f>IF($E27="","","A"&amp;TEXT(ROW()-6,"00000"))</f>
        <v/>
      </c>
      <c r="C27" s="108" t="n"/>
      <c r="D27" s="113">
        <f>IF($E27="","",IFERROR(INDEX(MUSTERILER!$B$7:$B$106,MATCH($U27,MUSTERILER!$T$7:$T$106,0)),IFERROR(INDEX(MUSTERILER!$B$7:$B$106,MATCH($E27,MUSTERILER!$B$7:$B$106,0)),IFERROR(INDEX(MUSTERILER!$B$7:$B$106,MATCH($U27&amp;"*",MUSTERILER!$T$7:$T$106,0)),"TANIMSIZ MÜŞTERİ"))))</f>
        <v/>
      </c>
      <c r="E27" s="109" t="n"/>
      <c r="F27" s="109" t="n"/>
      <c r="G27" s="108" t="n"/>
      <c r="H27" s="220" t="n"/>
      <c r="I27" s="220" t="n"/>
      <c r="J27" s="108" t="n"/>
      <c r="K27" s="108" t="n"/>
      <c r="L27" s="109" t="n"/>
      <c r="M27" s="109" t="n"/>
      <c r="N27" s="109" t="n"/>
      <c r="O27" s="220" t="n"/>
      <c r="P27" s="227">
        <f>IF(OR($E27="",$I27=""),"",IF(OR($J27="Tamamlandı",$J27="İptal"),"",$I27-TODAY()))</f>
        <v/>
      </c>
      <c r="Q27" s="113">
        <f>IF($E27="","",IF($D27="TANIMSIZ MÜŞTERİ","HATA",IF(OR($J27="Tamamlandı",$J27="İptal"),"KAPALI",IF(AND($C27="Görüşme",$N27=""),"SONRAKİ İŞLEM EKSİK",IF($I27="","TARİH EKSİK",IF($I27&lt;TODAY(),"GECİKMİŞ",IF($I27=TODAY(),"BUGÜN",IF($I27&lt;=TODAY()+7,"7 GÜN İÇİNDE","PLANLI"))))))))</f>
        <v/>
      </c>
      <c r="R27" s="6" t="n"/>
      <c r="S27" s="6" t="n"/>
      <c r="T27" s="3" t="n"/>
      <c r="U27" s="3">
        <f>IF($E27="","",UPPER(SUBSTITUTE(SUBSTITUTE(SUBSTITUTE(SUBSTITUTE(SUBSTITUTE(SUBSTITUTE(SUBSTITUTE(SUBSTITUTE(SUBSTITUTE(SUBSTITUTE(SUBSTITUTE(SUBSTITUTE(SUBSTITUTE(SUBSTITUTE(SUBSTITUTE(SUBSTITUTE(SUBSTITUTE(SUBSTITUTE(TRIM($E27),"'",""),"İ","I"),"ı","I"),"i","I"),"Ş","S"),"ş","S"),"Ğ","G"),"ğ","G"),"Ü","U"),"ü","U"),"Ö","O"),"ö","O"),"Ç","C"),"ç","C"),".",""),",","")," ",""),"-","")))</f>
        <v/>
      </c>
    </row>
    <row r="28">
      <c r="A28" s="6" t="n"/>
      <c r="B28" s="113">
        <f>IF($E28="","","A"&amp;TEXT(ROW()-6,"00000"))</f>
        <v/>
      </c>
      <c r="C28" s="108" t="n"/>
      <c r="D28" s="113">
        <f>IF($E28="","",IFERROR(INDEX(MUSTERILER!$B$7:$B$106,MATCH($U28,MUSTERILER!$T$7:$T$106,0)),IFERROR(INDEX(MUSTERILER!$B$7:$B$106,MATCH($E28,MUSTERILER!$B$7:$B$106,0)),IFERROR(INDEX(MUSTERILER!$B$7:$B$106,MATCH($U28&amp;"*",MUSTERILER!$T$7:$T$106,0)),"TANIMSIZ MÜŞTERİ"))))</f>
        <v/>
      </c>
      <c r="E28" s="109" t="n"/>
      <c r="F28" s="109" t="n"/>
      <c r="G28" s="108" t="n"/>
      <c r="H28" s="220" t="n"/>
      <c r="I28" s="220" t="n"/>
      <c r="J28" s="108" t="n"/>
      <c r="K28" s="108" t="n"/>
      <c r="L28" s="109" t="n"/>
      <c r="M28" s="109" t="n"/>
      <c r="N28" s="109" t="n"/>
      <c r="O28" s="220" t="n"/>
      <c r="P28" s="227">
        <f>IF(OR($E28="",$I28=""),"",IF(OR($J28="Tamamlandı",$J28="İptal"),"",$I28-TODAY()))</f>
        <v/>
      </c>
      <c r="Q28" s="113">
        <f>IF($E28="","",IF($D28="TANIMSIZ MÜŞTERİ","HATA",IF(OR($J28="Tamamlandı",$J28="İptal"),"KAPALI",IF(AND($C28="Görüşme",$N28=""),"SONRAKİ İŞLEM EKSİK",IF($I28="","TARİH EKSİK",IF($I28&lt;TODAY(),"GECİKMİŞ",IF($I28=TODAY(),"BUGÜN",IF($I28&lt;=TODAY()+7,"7 GÜN İÇİNDE","PLANLI"))))))))</f>
        <v/>
      </c>
      <c r="R28" s="6" t="n"/>
      <c r="S28" s="6" t="n"/>
      <c r="T28" s="3" t="n"/>
      <c r="U28" s="3">
        <f>IF($E28="","",UPPER(SUBSTITUTE(SUBSTITUTE(SUBSTITUTE(SUBSTITUTE(SUBSTITUTE(SUBSTITUTE(SUBSTITUTE(SUBSTITUTE(SUBSTITUTE(SUBSTITUTE(SUBSTITUTE(SUBSTITUTE(SUBSTITUTE(SUBSTITUTE(SUBSTITUTE(SUBSTITUTE(SUBSTITUTE(SUBSTITUTE(TRIM($E28),"'",""),"İ","I"),"ı","I"),"i","I"),"Ş","S"),"ş","S"),"Ğ","G"),"ğ","G"),"Ü","U"),"ü","U"),"Ö","O"),"ö","O"),"Ç","C"),"ç","C"),".",""),",","")," ",""),"-","")))</f>
        <v/>
      </c>
    </row>
    <row r="29">
      <c r="A29" s="6" t="n"/>
      <c r="B29" s="113">
        <f>IF($E29="","","A"&amp;TEXT(ROW()-6,"00000"))</f>
        <v/>
      </c>
      <c r="C29" s="108" t="n"/>
      <c r="D29" s="113">
        <f>IF($E29="","",IFERROR(INDEX(MUSTERILER!$B$7:$B$106,MATCH($U29,MUSTERILER!$T$7:$T$106,0)),IFERROR(INDEX(MUSTERILER!$B$7:$B$106,MATCH($E29,MUSTERILER!$B$7:$B$106,0)),IFERROR(INDEX(MUSTERILER!$B$7:$B$106,MATCH($U29&amp;"*",MUSTERILER!$T$7:$T$106,0)),"TANIMSIZ MÜŞTERİ"))))</f>
        <v/>
      </c>
      <c r="E29" s="109" t="n"/>
      <c r="F29" s="109" t="n"/>
      <c r="G29" s="108" t="n"/>
      <c r="H29" s="220" t="n"/>
      <c r="I29" s="220" t="n"/>
      <c r="J29" s="108" t="n"/>
      <c r="K29" s="108" t="n"/>
      <c r="L29" s="109" t="n"/>
      <c r="M29" s="109" t="n"/>
      <c r="N29" s="109" t="n"/>
      <c r="O29" s="220" t="n"/>
      <c r="P29" s="227">
        <f>IF(OR($E29="",$I29=""),"",IF(OR($J29="Tamamlandı",$J29="İptal"),"",$I29-TODAY()))</f>
        <v/>
      </c>
      <c r="Q29" s="113">
        <f>IF($E29="","",IF($D29="TANIMSIZ MÜŞTERİ","HATA",IF(OR($J29="Tamamlandı",$J29="İptal"),"KAPALI",IF(AND($C29="Görüşme",$N29=""),"SONRAKİ İŞLEM EKSİK",IF($I29="","TARİH EKSİK",IF($I29&lt;TODAY(),"GECİKMİŞ",IF($I29=TODAY(),"BUGÜN",IF($I29&lt;=TODAY()+7,"7 GÜN İÇİNDE","PLANLI"))))))))</f>
        <v/>
      </c>
      <c r="R29" s="6" t="n"/>
      <c r="S29" s="6" t="n"/>
      <c r="T29" s="3" t="n"/>
      <c r="U29" s="3">
        <f>IF($E29="","",UPPER(SUBSTITUTE(SUBSTITUTE(SUBSTITUTE(SUBSTITUTE(SUBSTITUTE(SUBSTITUTE(SUBSTITUTE(SUBSTITUTE(SUBSTITUTE(SUBSTITUTE(SUBSTITUTE(SUBSTITUTE(SUBSTITUTE(SUBSTITUTE(SUBSTITUTE(SUBSTITUTE(SUBSTITUTE(SUBSTITUTE(TRIM($E29),"'",""),"İ","I"),"ı","I"),"i","I"),"Ş","S"),"ş","S"),"Ğ","G"),"ğ","G"),"Ü","U"),"ü","U"),"Ö","O"),"ö","O"),"Ç","C"),"ç","C"),".",""),",","")," ",""),"-","")))</f>
        <v/>
      </c>
    </row>
    <row r="30">
      <c r="A30" s="6" t="n"/>
      <c r="B30" s="113">
        <f>IF($E30="","","A"&amp;TEXT(ROW()-6,"00000"))</f>
        <v/>
      </c>
      <c r="C30" s="108" t="n"/>
      <c r="D30" s="113">
        <f>IF($E30="","",IFERROR(INDEX(MUSTERILER!$B$7:$B$106,MATCH($U30,MUSTERILER!$T$7:$T$106,0)),IFERROR(INDEX(MUSTERILER!$B$7:$B$106,MATCH($E30,MUSTERILER!$B$7:$B$106,0)),IFERROR(INDEX(MUSTERILER!$B$7:$B$106,MATCH($U30&amp;"*",MUSTERILER!$T$7:$T$106,0)),"TANIMSIZ MÜŞTERİ"))))</f>
        <v/>
      </c>
      <c r="E30" s="109" t="n"/>
      <c r="F30" s="109" t="n"/>
      <c r="G30" s="108" t="n"/>
      <c r="H30" s="220" t="n"/>
      <c r="I30" s="220" t="n"/>
      <c r="J30" s="108" t="n"/>
      <c r="K30" s="108" t="n"/>
      <c r="L30" s="109" t="n"/>
      <c r="M30" s="109" t="n"/>
      <c r="N30" s="109" t="n"/>
      <c r="O30" s="220" t="n"/>
      <c r="P30" s="227">
        <f>IF(OR($E30="",$I30=""),"",IF(OR($J30="Tamamlandı",$J30="İptal"),"",$I30-TODAY()))</f>
        <v/>
      </c>
      <c r="Q30" s="113">
        <f>IF($E30="","",IF($D30="TANIMSIZ MÜŞTERİ","HATA",IF(OR($J30="Tamamlandı",$J30="İptal"),"KAPALI",IF(AND($C30="Görüşme",$N30=""),"SONRAKİ İŞLEM EKSİK",IF($I30="","TARİH EKSİK",IF($I30&lt;TODAY(),"GECİKMİŞ",IF($I30=TODAY(),"BUGÜN",IF($I30&lt;=TODAY()+7,"7 GÜN İÇİNDE","PLANLI"))))))))</f>
        <v/>
      </c>
      <c r="R30" s="6" t="n"/>
      <c r="S30" s="6" t="n"/>
      <c r="T30" s="3" t="n"/>
      <c r="U30" s="3">
        <f>IF($E30="","",UPPER(SUBSTITUTE(SUBSTITUTE(SUBSTITUTE(SUBSTITUTE(SUBSTITUTE(SUBSTITUTE(SUBSTITUTE(SUBSTITUTE(SUBSTITUTE(SUBSTITUTE(SUBSTITUTE(SUBSTITUTE(SUBSTITUTE(SUBSTITUTE(SUBSTITUTE(SUBSTITUTE(SUBSTITUTE(SUBSTITUTE(TRIM($E30),"'",""),"İ","I"),"ı","I"),"i","I"),"Ş","S"),"ş","S"),"Ğ","G"),"ğ","G"),"Ü","U"),"ü","U"),"Ö","O"),"ö","O"),"Ç","C"),"ç","C"),".",""),",","")," ",""),"-","")))</f>
        <v/>
      </c>
    </row>
    <row r="31">
      <c r="A31" s="6" t="n"/>
      <c r="B31" s="113">
        <f>IF($E31="","","A"&amp;TEXT(ROW()-6,"00000"))</f>
        <v/>
      </c>
      <c r="C31" s="108" t="n"/>
      <c r="D31" s="113">
        <f>IF($E31="","",IFERROR(INDEX(MUSTERILER!$B$7:$B$106,MATCH($U31,MUSTERILER!$T$7:$T$106,0)),IFERROR(INDEX(MUSTERILER!$B$7:$B$106,MATCH($E31,MUSTERILER!$B$7:$B$106,0)),IFERROR(INDEX(MUSTERILER!$B$7:$B$106,MATCH($U31&amp;"*",MUSTERILER!$T$7:$T$106,0)),"TANIMSIZ MÜŞTERİ"))))</f>
        <v/>
      </c>
      <c r="E31" s="109" t="n"/>
      <c r="F31" s="109" t="n"/>
      <c r="G31" s="108" t="n"/>
      <c r="H31" s="220" t="n"/>
      <c r="I31" s="220" t="n"/>
      <c r="J31" s="108" t="n"/>
      <c r="K31" s="108" t="n"/>
      <c r="L31" s="109" t="n"/>
      <c r="M31" s="109" t="n"/>
      <c r="N31" s="109" t="n"/>
      <c r="O31" s="220" t="n"/>
      <c r="P31" s="227">
        <f>IF(OR($E31="",$I31=""),"",IF(OR($J31="Tamamlandı",$J31="İptal"),"",$I31-TODAY()))</f>
        <v/>
      </c>
      <c r="Q31" s="113">
        <f>IF($E31="","",IF($D31="TANIMSIZ MÜŞTERİ","HATA",IF(OR($J31="Tamamlandı",$J31="İptal"),"KAPALI",IF(AND($C31="Görüşme",$N31=""),"SONRAKİ İŞLEM EKSİK",IF($I31="","TARİH EKSİK",IF($I31&lt;TODAY(),"GECİKMİŞ",IF($I31=TODAY(),"BUGÜN",IF($I31&lt;=TODAY()+7,"7 GÜN İÇİNDE","PLANLI"))))))))</f>
        <v/>
      </c>
      <c r="R31" s="6" t="n"/>
      <c r="S31" s="6" t="n"/>
      <c r="T31" s="3" t="n"/>
      <c r="U31" s="3">
        <f>IF($E31="","",UPPER(SUBSTITUTE(SUBSTITUTE(SUBSTITUTE(SUBSTITUTE(SUBSTITUTE(SUBSTITUTE(SUBSTITUTE(SUBSTITUTE(SUBSTITUTE(SUBSTITUTE(SUBSTITUTE(SUBSTITUTE(SUBSTITUTE(SUBSTITUTE(SUBSTITUTE(SUBSTITUTE(SUBSTITUTE(SUBSTITUTE(TRIM($E31),"'",""),"İ","I"),"ı","I"),"i","I"),"Ş","S"),"ş","S"),"Ğ","G"),"ğ","G"),"Ü","U"),"ü","U"),"Ö","O"),"ö","O"),"Ç","C"),"ç","C"),".",""),",","")," ",""),"-","")))</f>
        <v/>
      </c>
    </row>
    <row r="32">
      <c r="A32" s="6" t="n"/>
      <c r="B32" s="113">
        <f>IF($E32="","","A"&amp;TEXT(ROW()-6,"00000"))</f>
        <v/>
      </c>
      <c r="C32" s="108" t="n"/>
      <c r="D32" s="113">
        <f>IF($E32="","",IFERROR(INDEX(MUSTERILER!$B$7:$B$106,MATCH($U32,MUSTERILER!$T$7:$T$106,0)),IFERROR(INDEX(MUSTERILER!$B$7:$B$106,MATCH($E32,MUSTERILER!$B$7:$B$106,0)),IFERROR(INDEX(MUSTERILER!$B$7:$B$106,MATCH($U32&amp;"*",MUSTERILER!$T$7:$T$106,0)),"TANIMSIZ MÜŞTERİ"))))</f>
        <v/>
      </c>
      <c r="E32" s="109" t="n"/>
      <c r="F32" s="109" t="n"/>
      <c r="G32" s="108" t="n"/>
      <c r="H32" s="220" t="n"/>
      <c r="I32" s="220" t="n"/>
      <c r="J32" s="108" t="n"/>
      <c r="K32" s="108" t="n"/>
      <c r="L32" s="109" t="n"/>
      <c r="M32" s="109" t="n"/>
      <c r="N32" s="109" t="n"/>
      <c r="O32" s="220" t="n"/>
      <c r="P32" s="227">
        <f>IF(OR($E32="",$I32=""),"",IF(OR($J32="Tamamlandı",$J32="İptal"),"",$I32-TODAY()))</f>
        <v/>
      </c>
      <c r="Q32" s="113">
        <f>IF($E32="","",IF($D32="TANIMSIZ MÜŞTERİ","HATA",IF(OR($J32="Tamamlandı",$J32="İptal"),"KAPALI",IF(AND($C32="Görüşme",$N32=""),"SONRAKİ İŞLEM EKSİK",IF($I32="","TARİH EKSİK",IF($I32&lt;TODAY(),"GECİKMİŞ",IF($I32=TODAY(),"BUGÜN",IF($I32&lt;=TODAY()+7,"7 GÜN İÇİNDE","PLANLI"))))))))</f>
        <v/>
      </c>
      <c r="R32" s="6" t="n"/>
      <c r="S32" s="6" t="n"/>
      <c r="T32" s="3" t="n"/>
      <c r="U32" s="3">
        <f>IF($E32="","",UPPER(SUBSTITUTE(SUBSTITUTE(SUBSTITUTE(SUBSTITUTE(SUBSTITUTE(SUBSTITUTE(SUBSTITUTE(SUBSTITUTE(SUBSTITUTE(SUBSTITUTE(SUBSTITUTE(SUBSTITUTE(SUBSTITUTE(SUBSTITUTE(SUBSTITUTE(SUBSTITUTE(SUBSTITUTE(SUBSTITUTE(TRIM($E32),"'",""),"İ","I"),"ı","I"),"i","I"),"Ş","S"),"ş","S"),"Ğ","G"),"ğ","G"),"Ü","U"),"ü","U"),"Ö","O"),"ö","O"),"Ç","C"),"ç","C"),".",""),",","")," ",""),"-","")))</f>
        <v/>
      </c>
    </row>
    <row r="33">
      <c r="A33" s="6" t="n"/>
      <c r="B33" s="113">
        <f>IF($E33="","","A"&amp;TEXT(ROW()-6,"00000"))</f>
        <v/>
      </c>
      <c r="C33" s="108" t="n"/>
      <c r="D33" s="113">
        <f>IF($E33="","",IFERROR(INDEX(MUSTERILER!$B$7:$B$106,MATCH($U33,MUSTERILER!$T$7:$T$106,0)),IFERROR(INDEX(MUSTERILER!$B$7:$B$106,MATCH($E33,MUSTERILER!$B$7:$B$106,0)),IFERROR(INDEX(MUSTERILER!$B$7:$B$106,MATCH($U33&amp;"*",MUSTERILER!$T$7:$T$106,0)),"TANIMSIZ MÜŞTERİ"))))</f>
        <v/>
      </c>
      <c r="E33" s="109" t="n"/>
      <c r="F33" s="109" t="n"/>
      <c r="G33" s="108" t="n"/>
      <c r="H33" s="220" t="n"/>
      <c r="I33" s="220" t="n"/>
      <c r="J33" s="108" t="n"/>
      <c r="K33" s="108" t="n"/>
      <c r="L33" s="109" t="n"/>
      <c r="M33" s="109" t="n"/>
      <c r="N33" s="109" t="n"/>
      <c r="O33" s="220" t="n"/>
      <c r="P33" s="227">
        <f>IF(OR($E33="",$I33=""),"",IF(OR($J33="Tamamlandı",$J33="İptal"),"",$I33-TODAY()))</f>
        <v/>
      </c>
      <c r="Q33" s="113">
        <f>IF($E33="","",IF($D33="TANIMSIZ MÜŞTERİ","HATA",IF(OR($J33="Tamamlandı",$J33="İptal"),"KAPALI",IF(AND($C33="Görüşme",$N33=""),"SONRAKİ İŞLEM EKSİK",IF($I33="","TARİH EKSİK",IF($I33&lt;TODAY(),"GECİKMİŞ",IF($I33=TODAY(),"BUGÜN",IF($I33&lt;=TODAY()+7,"7 GÜN İÇİNDE","PLANLI"))))))))</f>
        <v/>
      </c>
      <c r="R33" s="6" t="n"/>
      <c r="S33" s="6" t="n"/>
      <c r="T33" s="3" t="n"/>
      <c r="U33" s="3">
        <f>IF($E33="","",UPPER(SUBSTITUTE(SUBSTITUTE(SUBSTITUTE(SUBSTITUTE(SUBSTITUTE(SUBSTITUTE(SUBSTITUTE(SUBSTITUTE(SUBSTITUTE(SUBSTITUTE(SUBSTITUTE(SUBSTITUTE(SUBSTITUTE(SUBSTITUTE(SUBSTITUTE(SUBSTITUTE(SUBSTITUTE(SUBSTITUTE(TRIM($E33),"'",""),"İ","I"),"ı","I"),"i","I"),"Ş","S"),"ş","S"),"Ğ","G"),"ğ","G"),"Ü","U"),"ü","U"),"Ö","O"),"ö","O"),"Ç","C"),"ç","C"),".",""),",","")," ",""),"-","")))</f>
        <v/>
      </c>
    </row>
    <row r="34">
      <c r="A34" s="6" t="n"/>
      <c r="B34" s="113">
        <f>IF($E34="","","A"&amp;TEXT(ROW()-6,"00000"))</f>
        <v/>
      </c>
      <c r="C34" s="108" t="n"/>
      <c r="D34" s="113">
        <f>IF($E34="","",IFERROR(INDEX(MUSTERILER!$B$7:$B$106,MATCH($U34,MUSTERILER!$T$7:$T$106,0)),IFERROR(INDEX(MUSTERILER!$B$7:$B$106,MATCH($E34,MUSTERILER!$B$7:$B$106,0)),IFERROR(INDEX(MUSTERILER!$B$7:$B$106,MATCH($U34&amp;"*",MUSTERILER!$T$7:$T$106,0)),"TANIMSIZ MÜŞTERİ"))))</f>
        <v/>
      </c>
      <c r="E34" s="109" t="n"/>
      <c r="F34" s="109" t="n"/>
      <c r="G34" s="108" t="n"/>
      <c r="H34" s="220" t="n"/>
      <c r="I34" s="220" t="n"/>
      <c r="J34" s="108" t="n"/>
      <c r="K34" s="108" t="n"/>
      <c r="L34" s="109" t="n"/>
      <c r="M34" s="109" t="n"/>
      <c r="N34" s="109" t="n"/>
      <c r="O34" s="220" t="n"/>
      <c r="P34" s="227">
        <f>IF(OR($E34="",$I34=""),"",IF(OR($J34="Tamamlandı",$J34="İptal"),"",$I34-TODAY()))</f>
        <v/>
      </c>
      <c r="Q34" s="113">
        <f>IF($E34="","",IF($D34="TANIMSIZ MÜŞTERİ","HATA",IF(OR($J34="Tamamlandı",$J34="İptal"),"KAPALI",IF(AND($C34="Görüşme",$N34=""),"SONRAKİ İŞLEM EKSİK",IF($I34="","TARİH EKSİK",IF($I34&lt;TODAY(),"GECİKMİŞ",IF($I34=TODAY(),"BUGÜN",IF($I34&lt;=TODAY()+7,"7 GÜN İÇİNDE","PLANLI"))))))))</f>
        <v/>
      </c>
      <c r="R34" s="6" t="n"/>
      <c r="S34" s="6" t="n"/>
      <c r="T34" s="3" t="n"/>
      <c r="U34" s="3">
        <f>IF($E34="","",UPPER(SUBSTITUTE(SUBSTITUTE(SUBSTITUTE(SUBSTITUTE(SUBSTITUTE(SUBSTITUTE(SUBSTITUTE(SUBSTITUTE(SUBSTITUTE(SUBSTITUTE(SUBSTITUTE(SUBSTITUTE(SUBSTITUTE(SUBSTITUTE(SUBSTITUTE(SUBSTITUTE(SUBSTITUTE(SUBSTITUTE(TRIM($E34),"'",""),"İ","I"),"ı","I"),"i","I"),"Ş","S"),"ş","S"),"Ğ","G"),"ğ","G"),"Ü","U"),"ü","U"),"Ö","O"),"ö","O"),"Ç","C"),"ç","C"),".",""),",","")," ",""),"-","")))</f>
        <v/>
      </c>
    </row>
    <row r="35">
      <c r="A35" s="6" t="n"/>
      <c r="B35" s="113">
        <f>IF($E35="","","A"&amp;TEXT(ROW()-6,"00000"))</f>
        <v/>
      </c>
      <c r="C35" s="108" t="n"/>
      <c r="D35" s="113">
        <f>IF($E35="","",IFERROR(INDEX(MUSTERILER!$B$7:$B$106,MATCH($U35,MUSTERILER!$T$7:$T$106,0)),IFERROR(INDEX(MUSTERILER!$B$7:$B$106,MATCH($E35,MUSTERILER!$B$7:$B$106,0)),IFERROR(INDEX(MUSTERILER!$B$7:$B$106,MATCH($U35&amp;"*",MUSTERILER!$T$7:$T$106,0)),"TANIMSIZ MÜŞTERİ"))))</f>
        <v/>
      </c>
      <c r="E35" s="109" t="n"/>
      <c r="F35" s="109" t="n"/>
      <c r="G35" s="108" t="n"/>
      <c r="H35" s="220" t="n"/>
      <c r="I35" s="220" t="n"/>
      <c r="J35" s="108" t="n"/>
      <c r="K35" s="108" t="n"/>
      <c r="L35" s="109" t="n"/>
      <c r="M35" s="109" t="n"/>
      <c r="N35" s="109" t="n"/>
      <c r="O35" s="220" t="n"/>
      <c r="P35" s="227">
        <f>IF(OR($E35="",$I35=""),"",IF(OR($J35="Tamamlandı",$J35="İptal"),"",$I35-TODAY()))</f>
        <v/>
      </c>
      <c r="Q35" s="113">
        <f>IF($E35="","",IF($D35="TANIMSIZ MÜŞTERİ","HATA",IF(OR($J35="Tamamlandı",$J35="İptal"),"KAPALI",IF(AND($C35="Görüşme",$N35=""),"SONRAKİ İŞLEM EKSİK",IF($I35="","TARİH EKSİK",IF($I35&lt;TODAY(),"GECİKMİŞ",IF($I35=TODAY(),"BUGÜN",IF($I35&lt;=TODAY()+7,"7 GÜN İÇİNDE","PLANLI"))))))))</f>
        <v/>
      </c>
      <c r="R35" s="6" t="n"/>
      <c r="S35" s="6" t="n"/>
      <c r="T35" s="3" t="n"/>
      <c r="U35" s="3">
        <f>IF($E35="","",UPPER(SUBSTITUTE(SUBSTITUTE(SUBSTITUTE(SUBSTITUTE(SUBSTITUTE(SUBSTITUTE(SUBSTITUTE(SUBSTITUTE(SUBSTITUTE(SUBSTITUTE(SUBSTITUTE(SUBSTITUTE(SUBSTITUTE(SUBSTITUTE(SUBSTITUTE(SUBSTITUTE(SUBSTITUTE(SUBSTITUTE(TRIM($E35),"'",""),"İ","I"),"ı","I"),"i","I"),"Ş","S"),"ş","S"),"Ğ","G"),"ğ","G"),"Ü","U"),"ü","U"),"Ö","O"),"ö","O"),"Ç","C"),"ç","C"),".",""),",","")," ",""),"-","")))</f>
        <v/>
      </c>
    </row>
    <row r="36">
      <c r="A36" s="6" t="n"/>
      <c r="B36" s="113">
        <f>IF($E36="","","A"&amp;TEXT(ROW()-6,"00000"))</f>
        <v/>
      </c>
      <c r="C36" s="108" t="n"/>
      <c r="D36" s="113">
        <f>IF($E36="","",IFERROR(INDEX(MUSTERILER!$B$7:$B$106,MATCH($U36,MUSTERILER!$T$7:$T$106,0)),IFERROR(INDEX(MUSTERILER!$B$7:$B$106,MATCH($E36,MUSTERILER!$B$7:$B$106,0)),IFERROR(INDEX(MUSTERILER!$B$7:$B$106,MATCH($U36&amp;"*",MUSTERILER!$T$7:$T$106,0)),"TANIMSIZ MÜŞTERİ"))))</f>
        <v/>
      </c>
      <c r="E36" s="109" t="n"/>
      <c r="F36" s="109" t="n"/>
      <c r="G36" s="108" t="n"/>
      <c r="H36" s="220" t="n"/>
      <c r="I36" s="220" t="n"/>
      <c r="J36" s="108" t="n"/>
      <c r="K36" s="108" t="n"/>
      <c r="L36" s="109" t="n"/>
      <c r="M36" s="109" t="n"/>
      <c r="N36" s="109" t="n"/>
      <c r="O36" s="220" t="n"/>
      <c r="P36" s="227">
        <f>IF(OR($E36="",$I36=""),"",IF(OR($J36="Tamamlandı",$J36="İptal"),"",$I36-TODAY()))</f>
        <v/>
      </c>
      <c r="Q36" s="113">
        <f>IF($E36="","",IF($D36="TANIMSIZ MÜŞTERİ","HATA",IF(OR($J36="Tamamlandı",$J36="İptal"),"KAPALI",IF(AND($C36="Görüşme",$N36=""),"SONRAKİ İŞLEM EKSİK",IF($I36="","TARİH EKSİK",IF($I36&lt;TODAY(),"GECİKMİŞ",IF($I36=TODAY(),"BUGÜN",IF($I36&lt;=TODAY()+7,"7 GÜN İÇİNDE","PLANLI"))))))))</f>
        <v/>
      </c>
      <c r="R36" s="6" t="n"/>
      <c r="S36" s="6" t="n"/>
      <c r="T36" s="3" t="n"/>
      <c r="U36" s="3">
        <f>IF($E36="","",UPPER(SUBSTITUTE(SUBSTITUTE(SUBSTITUTE(SUBSTITUTE(SUBSTITUTE(SUBSTITUTE(SUBSTITUTE(SUBSTITUTE(SUBSTITUTE(SUBSTITUTE(SUBSTITUTE(SUBSTITUTE(SUBSTITUTE(SUBSTITUTE(SUBSTITUTE(SUBSTITUTE(SUBSTITUTE(SUBSTITUTE(TRIM($E36),"'",""),"İ","I"),"ı","I"),"i","I"),"Ş","S"),"ş","S"),"Ğ","G"),"ğ","G"),"Ü","U"),"ü","U"),"Ö","O"),"ö","O"),"Ç","C"),"ç","C"),".",""),",","")," ",""),"-","")))</f>
        <v/>
      </c>
    </row>
    <row r="37">
      <c r="A37" s="6" t="n"/>
      <c r="B37" s="113">
        <f>IF($E37="","","A"&amp;TEXT(ROW()-6,"00000"))</f>
        <v/>
      </c>
      <c r="C37" s="108" t="n"/>
      <c r="D37" s="113">
        <f>IF($E37="","",IFERROR(INDEX(MUSTERILER!$B$7:$B$106,MATCH($U37,MUSTERILER!$T$7:$T$106,0)),IFERROR(INDEX(MUSTERILER!$B$7:$B$106,MATCH($E37,MUSTERILER!$B$7:$B$106,0)),IFERROR(INDEX(MUSTERILER!$B$7:$B$106,MATCH($U37&amp;"*",MUSTERILER!$T$7:$T$106,0)),"TANIMSIZ MÜŞTERİ"))))</f>
        <v/>
      </c>
      <c r="E37" s="109" t="n"/>
      <c r="F37" s="109" t="n"/>
      <c r="G37" s="108" t="n"/>
      <c r="H37" s="220" t="n"/>
      <c r="I37" s="220" t="n"/>
      <c r="J37" s="108" t="n"/>
      <c r="K37" s="108" t="n"/>
      <c r="L37" s="109" t="n"/>
      <c r="M37" s="109" t="n"/>
      <c r="N37" s="109" t="n"/>
      <c r="O37" s="220" t="n"/>
      <c r="P37" s="227">
        <f>IF(OR($E37="",$I37=""),"",IF(OR($J37="Tamamlandı",$J37="İptal"),"",$I37-TODAY()))</f>
        <v/>
      </c>
      <c r="Q37" s="113">
        <f>IF($E37="","",IF($D37="TANIMSIZ MÜŞTERİ","HATA",IF(OR($J37="Tamamlandı",$J37="İptal"),"KAPALI",IF(AND($C37="Görüşme",$N37=""),"SONRAKİ İŞLEM EKSİK",IF($I37="","TARİH EKSİK",IF($I37&lt;TODAY(),"GECİKMİŞ",IF($I37=TODAY(),"BUGÜN",IF($I37&lt;=TODAY()+7,"7 GÜN İÇİNDE","PLANLI"))))))))</f>
        <v/>
      </c>
      <c r="R37" s="6" t="n"/>
      <c r="S37" s="6" t="n"/>
      <c r="T37" s="3" t="n"/>
      <c r="U37" s="3">
        <f>IF($E37="","",UPPER(SUBSTITUTE(SUBSTITUTE(SUBSTITUTE(SUBSTITUTE(SUBSTITUTE(SUBSTITUTE(SUBSTITUTE(SUBSTITUTE(SUBSTITUTE(SUBSTITUTE(SUBSTITUTE(SUBSTITUTE(SUBSTITUTE(SUBSTITUTE(SUBSTITUTE(SUBSTITUTE(SUBSTITUTE(SUBSTITUTE(TRIM($E37),"'",""),"İ","I"),"ı","I"),"i","I"),"Ş","S"),"ş","S"),"Ğ","G"),"ğ","G"),"Ü","U"),"ü","U"),"Ö","O"),"ö","O"),"Ç","C"),"ç","C"),".",""),",","")," ",""),"-","")))</f>
        <v/>
      </c>
    </row>
    <row r="38">
      <c r="A38" s="6" t="n"/>
      <c r="B38" s="113">
        <f>IF($E38="","","A"&amp;TEXT(ROW()-6,"00000"))</f>
        <v/>
      </c>
      <c r="C38" s="108" t="n"/>
      <c r="D38" s="113">
        <f>IF($E38="","",IFERROR(INDEX(MUSTERILER!$B$7:$B$106,MATCH($U38,MUSTERILER!$T$7:$T$106,0)),IFERROR(INDEX(MUSTERILER!$B$7:$B$106,MATCH($E38,MUSTERILER!$B$7:$B$106,0)),IFERROR(INDEX(MUSTERILER!$B$7:$B$106,MATCH($U38&amp;"*",MUSTERILER!$T$7:$T$106,0)),"TANIMSIZ MÜŞTERİ"))))</f>
        <v/>
      </c>
      <c r="E38" s="109" t="n"/>
      <c r="F38" s="109" t="n"/>
      <c r="G38" s="108" t="n"/>
      <c r="H38" s="220" t="n"/>
      <c r="I38" s="220" t="n"/>
      <c r="J38" s="108" t="n"/>
      <c r="K38" s="108" t="n"/>
      <c r="L38" s="109" t="n"/>
      <c r="M38" s="109" t="n"/>
      <c r="N38" s="109" t="n"/>
      <c r="O38" s="220" t="n"/>
      <c r="P38" s="227">
        <f>IF(OR($E38="",$I38=""),"",IF(OR($J38="Tamamlandı",$J38="İptal"),"",$I38-TODAY()))</f>
        <v/>
      </c>
      <c r="Q38" s="113">
        <f>IF($E38="","",IF($D38="TANIMSIZ MÜŞTERİ","HATA",IF(OR($J38="Tamamlandı",$J38="İptal"),"KAPALI",IF(AND($C38="Görüşme",$N38=""),"SONRAKİ İŞLEM EKSİK",IF($I38="","TARİH EKSİK",IF($I38&lt;TODAY(),"GECİKMİŞ",IF($I38=TODAY(),"BUGÜN",IF($I38&lt;=TODAY()+7,"7 GÜN İÇİNDE","PLANLI"))))))))</f>
        <v/>
      </c>
      <c r="R38" s="6" t="n"/>
      <c r="S38" s="6" t="n"/>
      <c r="T38" s="3" t="n"/>
      <c r="U38" s="3">
        <f>IF($E38="","",UPPER(SUBSTITUTE(SUBSTITUTE(SUBSTITUTE(SUBSTITUTE(SUBSTITUTE(SUBSTITUTE(SUBSTITUTE(SUBSTITUTE(SUBSTITUTE(SUBSTITUTE(SUBSTITUTE(SUBSTITUTE(SUBSTITUTE(SUBSTITUTE(SUBSTITUTE(SUBSTITUTE(SUBSTITUTE(SUBSTITUTE(TRIM($E38),"'",""),"İ","I"),"ı","I"),"i","I"),"Ş","S"),"ş","S"),"Ğ","G"),"ğ","G"),"Ü","U"),"ü","U"),"Ö","O"),"ö","O"),"Ç","C"),"ç","C"),".",""),",","")," ",""),"-","")))</f>
        <v/>
      </c>
    </row>
    <row r="39">
      <c r="A39" s="6" t="n"/>
      <c r="B39" s="113">
        <f>IF($E39="","","A"&amp;TEXT(ROW()-6,"00000"))</f>
        <v/>
      </c>
      <c r="C39" s="108" t="n"/>
      <c r="D39" s="113">
        <f>IF($E39="","",IFERROR(INDEX(MUSTERILER!$B$7:$B$106,MATCH($U39,MUSTERILER!$T$7:$T$106,0)),IFERROR(INDEX(MUSTERILER!$B$7:$B$106,MATCH($E39,MUSTERILER!$B$7:$B$106,0)),IFERROR(INDEX(MUSTERILER!$B$7:$B$106,MATCH($U39&amp;"*",MUSTERILER!$T$7:$T$106,0)),"TANIMSIZ MÜŞTERİ"))))</f>
        <v/>
      </c>
      <c r="E39" s="109" t="n"/>
      <c r="F39" s="109" t="n"/>
      <c r="G39" s="108" t="n"/>
      <c r="H39" s="220" t="n"/>
      <c r="I39" s="220" t="n"/>
      <c r="J39" s="108" t="n"/>
      <c r="K39" s="108" t="n"/>
      <c r="L39" s="109" t="n"/>
      <c r="M39" s="109" t="n"/>
      <c r="N39" s="109" t="n"/>
      <c r="O39" s="220" t="n"/>
      <c r="P39" s="227">
        <f>IF(OR($E39="",$I39=""),"",IF(OR($J39="Tamamlandı",$J39="İptal"),"",$I39-TODAY()))</f>
        <v/>
      </c>
      <c r="Q39" s="113">
        <f>IF($E39="","",IF($D39="TANIMSIZ MÜŞTERİ","HATA",IF(OR($J39="Tamamlandı",$J39="İptal"),"KAPALI",IF(AND($C39="Görüşme",$N39=""),"SONRAKİ İŞLEM EKSİK",IF($I39="","TARİH EKSİK",IF($I39&lt;TODAY(),"GECİKMİŞ",IF($I39=TODAY(),"BUGÜN",IF($I39&lt;=TODAY()+7,"7 GÜN İÇİNDE","PLANLI"))))))))</f>
        <v/>
      </c>
      <c r="R39" s="6" t="n"/>
      <c r="S39" s="6" t="n"/>
      <c r="T39" s="3" t="n"/>
      <c r="U39" s="3">
        <f>IF($E39="","",UPPER(SUBSTITUTE(SUBSTITUTE(SUBSTITUTE(SUBSTITUTE(SUBSTITUTE(SUBSTITUTE(SUBSTITUTE(SUBSTITUTE(SUBSTITUTE(SUBSTITUTE(SUBSTITUTE(SUBSTITUTE(SUBSTITUTE(SUBSTITUTE(SUBSTITUTE(SUBSTITUTE(SUBSTITUTE(SUBSTITUTE(TRIM($E39),"'",""),"İ","I"),"ı","I"),"i","I"),"Ş","S"),"ş","S"),"Ğ","G"),"ğ","G"),"Ü","U"),"ü","U"),"Ö","O"),"ö","O"),"Ç","C"),"ç","C"),".",""),",","")," ",""),"-","")))</f>
        <v/>
      </c>
    </row>
    <row r="40">
      <c r="A40" s="6" t="n"/>
      <c r="B40" s="113">
        <f>IF($E40="","","A"&amp;TEXT(ROW()-6,"00000"))</f>
        <v/>
      </c>
      <c r="C40" s="108" t="n"/>
      <c r="D40" s="113">
        <f>IF($E40="","",IFERROR(INDEX(MUSTERILER!$B$7:$B$106,MATCH($U40,MUSTERILER!$T$7:$T$106,0)),IFERROR(INDEX(MUSTERILER!$B$7:$B$106,MATCH($E40,MUSTERILER!$B$7:$B$106,0)),IFERROR(INDEX(MUSTERILER!$B$7:$B$106,MATCH($U40&amp;"*",MUSTERILER!$T$7:$T$106,0)),"TANIMSIZ MÜŞTERİ"))))</f>
        <v/>
      </c>
      <c r="E40" s="109" t="n"/>
      <c r="F40" s="109" t="n"/>
      <c r="G40" s="108" t="n"/>
      <c r="H40" s="220" t="n"/>
      <c r="I40" s="220" t="n"/>
      <c r="J40" s="108" t="n"/>
      <c r="K40" s="108" t="n"/>
      <c r="L40" s="109" t="n"/>
      <c r="M40" s="109" t="n"/>
      <c r="N40" s="109" t="n"/>
      <c r="O40" s="220" t="n"/>
      <c r="P40" s="227">
        <f>IF(OR($E40="",$I40=""),"",IF(OR($J40="Tamamlandı",$J40="İptal"),"",$I40-TODAY()))</f>
        <v/>
      </c>
      <c r="Q40" s="113">
        <f>IF($E40="","",IF($D40="TANIMSIZ MÜŞTERİ","HATA",IF(OR($J40="Tamamlandı",$J40="İptal"),"KAPALI",IF(AND($C40="Görüşme",$N40=""),"SONRAKİ İŞLEM EKSİK",IF($I40="","TARİH EKSİK",IF($I40&lt;TODAY(),"GECİKMİŞ",IF($I40=TODAY(),"BUGÜN",IF($I40&lt;=TODAY()+7,"7 GÜN İÇİNDE","PLANLI"))))))))</f>
        <v/>
      </c>
      <c r="R40" s="6" t="n"/>
      <c r="S40" s="6" t="n"/>
      <c r="T40" s="3" t="n"/>
      <c r="U40" s="3">
        <f>IF($E40="","",UPPER(SUBSTITUTE(SUBSTITUTE(SUBSTITUTE(SUBSTITUTE(SUBSTITUTE(SUBSTITUTE(SUBSTITUTE(SUBSTITUTE(SUBSTITUTE(SUBSTITUTE(SUBSTITUTE(SUBSTITUTE(SUBSTITUTE(SUBSTITUTE(SUBSTITUTE(SUBSTITUTE(SUBSTITUTE(SUBSTITUTE(TRIM($E40),"'",""),"İ","I"),"ı","I"),"i","I"),"Ş","S"),"ş","S"),"Ğ","G"),"ğ","G"),"Ü","U"),"ü","U"),"Ö","O"),"ö","O"),"Ç","C"),"ç","C"),".",""),",","")," ",""),"-","")))</f>
        <v/>
      </c>
    </row>
    <row r="41">
      <c r="A41" s="6" t="n"/>
      <c r="B41" s="113">
        <f>IF($E41="","","A"&amp;TEXT(ROW()-6,"00000"))</f>
        <v/>
      </c>
      <c r="C41" s="108" t="n"/>
      <c r="D41" s="113">
        <f>IF($E41="","",IFERROR(INDEX(MUSTERILER!$B$7:$B$106,MATCH($U41,MUSTERILER!$T$7:$T$106,0)),IFERROR(INDEX(MUSTERILER!$B$7:$B$106,MATCH($E41,MUSTERILER!$B$7:$B$106,0)),IFERROR(INDEX(MUSTERILER!$B$7:$B$106,MATCH($U41&amp;"*",MUSTERILER!$T$7:$T$106,0)),"TANIMSIZ MÜŞTERİ"))))</f>
        <v/>
      </c>
      <c r="E41" s="109" t="n"/>
      <c r="F41" s="109" t="n"/>
      <c r="G41" s="108" t="n"/>
      <c r="H41" s="220" t="n"/>
      <c r="I41" s="220" t="n"/>
      <c r="J41" s="108" t="n"/>
      <c r="K41" s="108" t="n"/>
      <c r="L41" s="109" t="n"/>
      <c r="M41" s="109" t="n"/>
      <c r="N41" s="109" t="n"/>
      <c r="O41" s="220" t="n"/>
      <c r="P41" s="227">
        <f>IF(OR($E41="",$I41=""),"",IF(OR($J41="Tamamlandı",$J41="İptal"),"",$I41-TODAY()))</f>
        <v/>
      </c>
      <c r="Q41" s="113">
        <f>IF($E41="","",IF($D41="TANIMSIZ MÜŞTERİ","HATA",IF(OR($J41="Tamamlandı",$J41="İptal"),"KAPALI",IF(AND($C41="Görüşme",$N41=""),"SONRAKİ İŞLEM EKSİK",IF($I41="","TARİH EKSİK",IF($I41&lt;TODAY(),"GECİKMİŞ",IF($I41=TODAY(),"BUGÜN",IF($I41&lt;=TODAY()+7,"7 GÜN İÇİNDE","PLANLI"))))))))</f>
        <v/>
      </c>
      <c r="R41" s="6" t="n"/>
      <c r="S41" s="6" t="n"/>
      <c r="T41" s="3" t="n"/>
      <c r="U41" s="3">
        <f>IF($E41="","",UPPER(SUBSTITUTE(SUBSTITUTE(SUBSTITUTE(SUBSTITUTE(SUBSTITUTE(SUBSTITUTE(SUBSTITUTE(SUBSTITUTE(SUBSTITUTE(SUBSTITUTE(SUBSTITUTE(SUBSTITUTE(SUBSTITUTE(SUBSTITUTE(SUBSTITUTE(SUBSTITUTE(SUBSTITUTE(SUBSTITUTE(TRIM($E41),"'",""),"İ","I"),"ı","I"),"i","I"),"Ş","S"),"ş","S"),"Ğ","G"),"ğ","G"),"Ü","U"),"ü","U"),"Ö","O"),"ö","O"),"Ç","C"),"ç","C"),".",""),",","")," ",""),"-","")))</f>
        <v/>
      </c>
    </row>
    <row r="42">
      <c r="A42" s="6" t="n"/>
      <c r="B42" s="113">
        <f>IF($E42="","","A"&amp;TEXT(ROW()-6,"00000"))</f>
        <v/>
      </c>
      <c r="C42" s="108" t="n"/>
      <c r="D42" s="113">
        <f>IF($E42="","",IFERROR(INDEX(MUSTERILER!$B$7:$B$106,MATCH($U42,MUSTERILER!$T$7:$T$106,0)),IFERROR(INDEX(MUSTERILER!$B$7:$B$106,MATCH($E42,MUSTERILER!$B$7:$B$106,0)),IFERROR(INDEX(MUSTERILER!$B$7:$B$106,MATCH($U42&amp;"*",MUSTERILER!$T$7:$T$106,0)),"TANIMSIZ MÜŞTERİ"))))</f>
        <v/>
      </c>
      <c r="E42" s="109" t="n"/>
      <c r="F42" s="109" t="n"/>
      <c r="G42" s="108" t="n"/>
      <c r="H42" s="220" t="n"/>
      <c r="I42" s="220" t="n"/>
      <c r="J42" s="108" t="n"/>
      <c r="K42" s="108" t="n"/>
      <c r="L42" s="109" t="n"/>
      <c r="M42" s="109" t="n"/>
      <c r="N42" s="109" t="n"/>
      <c r="O42" s="220" t="n"/>
      <c r="P42" s="227">
        <f>IF(OR($E42="",$I42=""),"",IF(OR($J42="Tamamlandı",$J42="İptal"),"",$I42-TODAY()))</f>
        <v/>
      </c>
      <c r="Q42" s="113">
        <f>IF($E42="","",IF($D42="TANIMSIZ MÜŞTERİ","HATA",IF(OR($J42="Tamamlandı",$J42="İptal"),"KAPALI",IF(AND($C42="Görüşme",$N42=""),"SONRAKİ İŞLEM EKSİK",IF($I42="","TARİH EKSİK",IF($I42&lt;TODAY(),"GECİKMİŞ",IF($I42=TODAY(),"BUGÜN",IF($I42&lt;=TODAY()+7,"7 GÜN İÇİNDE","PLANLI"))))))))</f>
        <v/>
      </c>
      <c r="R42" s="6" t="n"/>
      <c r="S42" s="6" t="n"/>
      <c r="T42" s="3" t="n"/>
      <c r="U42" s="3">
        <f>IF($E42="","",UPPER(SUBSTITUTE(SUBSTITUTE(SUBSTITUTE(SUBSTITUTE(SUBSTITUTE(SUBSTITUTE(SUBSTITUTE(SUBSTITUTE(SUBSTITUTE(SUBSTITUTE(SUBSTITUTE(SUBSTITUTE(SUBSTITUTE(SUBSTITUTE(SUBSTITUTE(SUBSTITUTE(SUBSTITUTE(SUBSTITUTE(TRIM($E42),"'",""),"İ","I"),"ı","I"),"i","I"),"Ş","S"),"ş","S"),"Ğ","G"),"ğ","G"),"Ü","U"),"ü","U"),"Ö","O"),"ö","O"),"Ç","C"),"ç","C"),".",""),",","")," ",""),"-","")))</f>
        <v/>
      </c>
    </row>
    <row r="43">
      <c r="A43" s="6" t="n"/>
      <c r="B43" s="113">
        <f>IF($E43="","","A"&amp;TEXT(ROW()-6,"00000"))</f>
        <v/>
      </c>
      <c r="C43" s="108" t="n"/>
      <c r="D43" s="113">
        <f>IF($E43="","",IFERROR(INDEX(MUSTERILER!$B$7:$B$106,MATCH($U43,MUSTERILER!$T$7:$T$106,0)),IFERROR(INDEX(MUSTERILER!$B$7:$B$106,MATCH($E43,MUSTERILER!$B$7:$B$106,0)),IFERROR(INDEX(MUSTERILER!$B$7:$B$106,MATCH($U43&amp;"*",MUSTERILER!$T$7:$T$106,0)),"TANIMSIZ MÜŞTERİ"))))</f>
        <v/>
      </c>
      <c r="E43" s="109" t="n"/>
      <c r="F43" s="109" t="n"/>
      <c r="G43" s="108" t="n"/>
      <c r="H43" s="220" t="n"/>
      <c r="I43" s="220" t="n"/>
      <c r="J43" s="108" t="n"/>
      <c r="K43" s="108" t="n"/>
      <c r="L43" s="109" t="n"/>
      <c r="M43" s="109" t="n"/>
      <c r="N43" s="109" t="n"/>
      <c r="O43" s="220" t="n"/>
      <c r="P43" s="227">
        <f>IF(OR($E43="",$I43=""),"",IF(OR($J43="Tamamlandı",$J43="İptal"),"",$I43-TODAY()))</f>
        <v/>
      </c>
      <c r="Q43" s="113">
        <f>IF($E43="","",IF($D43="TANIMSIZ MÜŞTERİ","HATA",IF(OR($J43="Tamamlandı",$J43="İptal"),"KAPALI",IF(AND($C43="Görüşme",$N43=""),"SONRAKİ İŞLEM EKSİK",IF($I43="","TARİH EKSİK",IF($I43&lt;TODAY(),"GECİKMİŞ",IF($I43=TODAY(),"BUGÜN",IF($I43&lt;=TODAY()+7,"7 GÜN İÇİNDE","PLANLI"))))))))</f>
        <v/>
      </c>
      <c r="R43" s="6" t="n"/>
      <c r="S43" s="6" t="n"/>
      <c r="T43" s="3" t="n"/>
      <c r="U43" s="3">
        <f>IF($E43="","",UPPER(SUBSTITUTE(SUBSTITUTE(SUBSTITUTE(SUBSTITUTE(SUBSTITUTE(SUBSTITUTE(SUBSTITUTE(SUBSTITUTE(SUBSTITUTE(SUBSTITUTE(SUBSTITUTE(SUBSTITUTE(SUBSTITUTE(SUBSTITUTE(SUBSTITUTE(SUBSTITUTE(SUBSTITUTE(SUBSTITUTE(TRIM($E43),"'",""),"İ","I"),"ı","I"),"i","I"),"Ş","S"),"ş","S"),"Ğ","G"),"ğ","G"),"Ü","U"),"ü","U"),"Ö","O"),"ö","O"),"Ç","C"),"ç","C"),".",""),",","")," ",""),"-","")))</f>
        <v/>
      </c>
    </row>
    <row r="44">
      <c r="A44" s="6" t="n"/>
      <c r="B44" s="113">
        <f>IF($E44="","","A"&amp;TEXT(ROW()-6,"00000"))</f>
        <v/>
      </c>
      <c r="C44" s="108" t="n"/>
      <c r="D44" s="113">
        <f>IF($E44="","",IFERROR(INDEX(MUSTERILER!$B$7:$B$106,MATCH($U44,MUSTERILER!$T$7:$T$106,0)),IFERROR(INDEX(MUSTERILER!$B$7:$B$106,MATCH($E44,MUSTERILER!$B$7:$B$106,0)),IFERROR(INDEX(MUSTERILER!$B$7:$B$106,MATCH($U44&amp;"*",MUSTERILER!$T$7:$T$106,0)),"TANIMSIZ MÜŞTERİ"))))</f>
        <v/>
      </c>
      <c r="E44" s="109" t="n"/>
      <c r="F44" s="109" t="n"/>
      <c r="G44" s="108" t="n"/>
      <c r="H44" s="220" t="n"/>
      <c r="I44" s="220" t="n"/>
      <c r="J44" s="108" t="n"/>
      <c r="K44" s="108" t="n"/>
      <c r="L44" s="109" t="n"/>
      <c r="M44" s="109" t="n"/>
      <c r="N44" s="109" t="n"/>
      <c r="O44" s="220" t="n"/>
      <c r="P44" s="227">
        <f>IF(OR($E44="",$I44=""),"",IF(OR($J44="Tamamlandı",$J44="İptal"),"",$I44-TODAY()))</f>
        <v/>
      </c>
      <c r="Q44" s="113">
        <f>IF($E44="","",IF($D44="TANIMSIZ MÜŞTERİ","HATA",IF(OR($J44="Tamamlandı",$J44="İptal"),"KAPALI",IF(AND($C44="Görüşme",$N44=""),"SONRAKİ İŞLEM EKSİK",IF($I44="","TARİH EKSİK",IF($I44&lt;TODAY(),"GECİKMİŞ",IF($I44=TODAY(),"BUGÜN",IF($I44&lt;=TODAY()+7,"7 GÜN İÇİNDE","PLANLI"))))))))</f>
        <v/>
      </c>
      <c r="R44" s="6" t="n"/>
      <c r="S44" s="6" t="n"/>
      <c r="T44" s="3" t="n"/>
      <c r="U44" s="3">
        <f>IF($E44="","",UPPER(SUBSTITUTE(SUBSTITUTE(SUBSTITUTE(SUBSTITUTE(SUBSTITUTE(SUBSTITUTE(SUBSTITUTE(SUBSTITUTE(SUBSTITUTE(SUBSTITUTE(SUBSTITUTE(SUBSTITUTE(SUBSTITUTE(SUBSTITUTE(SUBSTITUTE(SUBSTITUTE(SUBSTITUTE(SUBSTITUTE(TRIM($E44),"'",""),"İ","I"),"ı","I"),"i","I"),"Ş","S"),"ş","S"),"Ğ","G"),"ğ","G"),"Ü","U"),"ü","U"),"Ö","O"),"ö","O"),"Ç","C"),"ç","C"),".",""),",","")," ",""),"-","")))</f>
        <v/>
      </c>
    </row>
    <row r="45">
      <c r="A45" s="6" t="n"/>
      <c r="B45" s="113">
        <f>IF($E45="","","A"&amp;TEXT(ROW()-6,"00000"))</f>
        <v/>
      </c>
      <c r="C45" s="108" t="n"/>
      <c r="D45" s="113">
        <f>IF($E45="","",IFERROR(INDEX(MUSTERILER!$B$7:$B$106,MATCH($U45,MUSTERILER!$T$7:$T$106,0)),IFERROR(INDEX(MUSTERILER!$B$7:$B$106,MATCH($E45,MUSTERILER!$B$7:$B$106,0)),IFERROR(INDEX(MUSTERILER!$B$7:$B$106,MATCH($U45&amp;"*",MUSTERILER!$T$7:$T$106,0)),"TANIMSIZ MÜŞTERİ"))))</f>
        <v/>
      </c>
      <c r="E45" s="109" t="n"/>
      <c r="F45" s="109" t="n"/>
      <c r="G45" s="108" t="n"/>
      <c r="H45" s="220" t="n"/>
      <c r="I45" s="220" t="n"/>
      <c r="J45" s="108" t="n"/>
      <c r="K45" s="108" t="n"/>
      <c r="L45" s="109" t="n"/>
      <c r="M45" s="109" t="n"/>
      <c r="N45" s="109" t="n"/>
      <c r="O45" s="220" t="n"/>
      <c r="P45" s="227">
        <f>IF(OR($E45="",$I45=""),"",IF(OR($J45="Tamamlandı",$J45="İptal"),"",$I45-TODAY()))</f>
        <v/>
      </c>
      <c r="Q45" s="113">
        <f>IF($E45="","",IF($D45="TANIMSIZ MÜŞTERİ","HATA",IF(OR($J45="Tamamlandı",$J45="İptal"),"KAPALI",IF(AND($C45="Görüşme",$N45=""),"SONRAKİ İŞLEM EKSİK",IF($I45="","TARİH EKSİK",IF($I45&lt;TODAY(),"GECİKMİŞ",IF($I45=TODAY(),"BUGÜN",IF($I45&lt;=TODAY()+7,"7 GÜN İÇİNDE","PLANLI"))))))))</f>
        <v/>
      </c>
      <c r="R45" s="6" t="n"/>
      <c r="S45" s="6" t="n"/>
      <c r="T45" s="3" t="n"/>
      <c r="U45" s="3">
        <f>IF($E45="","",UPPER(SUBSTITUTE(SUBSTITUTE(SUBSTITUTE(SUBSTITUTE(SUBSTITUTE(SUBSTITUTE(SUBSTITUTE(SUBSTITUTE(SUBSTITUTE(SUBSTITUTE(SUBSTITUTE(SUBSTITUTE(SUBSTITUTE(SUBSTITUTE(SUBSTITUTE(SUBSTITUTE(SUBSTITUTE(SUBSTITUTE(TRIM($E45),"'",""),"İ","I"),"ı","I"),"i","I"),"Ş","S"),"ş","S"),"Ğ","G"),"ğ","G"),"Ü","U"),"ü","U"),"Ö","O"),"ö","O"),"Ç","C"),"ç","C"),".",""),",","")," ",""),"-","")))</f>
        <v/>
      </c>
    </row>
    <row r="46">
      <c r="A46" s="6" t="n"/>
      <c r="B46" s="113">
        <f>IF($E46="","","A"&amp;TEXT(ROW()-6,"00000"))</f>
        <v/>
      </c>
      <c r="C46" s="108" t="n"/>
      <c r="D46" s="113">
        <f>IF($E46="","",IFERROR(INDEX(MUSTERILER!$B$7:$B$106,MATCH($U46,MUSTERILER!$T$7:$T$106,0)),IFERROR(INDEX(MUSTERILER!$B$7:$B$106,MATCH($E46,MUSTERILER!$B$7:$B$106,0)),IFERROR(INDEX(MUSTERILER!$B$7:$B$106,MATCH($U46&amp;"*",MUSTERILER!$T$7:$T$106,0)),"TANIMSIZ MÜŞTERİ"))))</f>
        <v/>
      </c>
      <c r="E46" s="109" t="n"/>
      <c r="F46" s="109" t="n"/>
      <c r="G46" s="108" t="n"/>
      <c r="H46" s="220" t="n"/>
      <c r="I46" s="220" t="n"/>
      <c r="J46" s="108" t="n"/>
      <c r="K46" s="108" t="n"/>
      <c r="L46" s="109" t="n"/>
      <c r="M46" s="109" t="n"/>
      <c r="N46" s="109" t="n"/>
      <c r="O46" s="220" t="n"/>
      <c r="P46" s="227">
        <f>IF(OR($E46="",$I46=""),"",IF(OR($J46="Tamamlandı",$J46="İptal"),"",$I46-TODAY()))</f>
        <v/>
      </c>
      <c r="Q46" s="113">
        <f>IF($E46="","",IF($D46="TANIMSIZ MÜŞTERİ","HATA",IF(OR($J46="Tamamlandı",$J46="İptal"),"KAPALI",IF(AND($C46="Görüşme",$N46=""),"SONRAKİ İŞLEM EKSİK",IF($I46="","TARİH EKSİK",IF($I46&lt;TODAY(),"GECİKMİŞ",IF($I46=TODAY(),"BUGÜN",IF($I46&lt;=TODAY()+7,"7 GÜN İÇİNDE","PLANLI"))))))))</f>
        <v/>
      </c>
      <c r="R46" s="6" t="n"/>
      <c r="S46" s="6" t="n"/>
      <c r="T46" s="3" t="n"/>
      <c r="U46" s="3">
        <f>IF($E46="","",UPPER(SUBSTITUTE(SUBSTITUTE(SUBSTITUTE(SUBSTITUTE(SUBSTITUTE(SUBSTITUTE(SUBSTITUTE(SUBSTITUTE(SUBSTITUTE(SUBSTITUTE(SUBSTITUTE(SUBSTITUTE(SUBSTITUTE(SUBSTITUTE(SUBSTITUTE(SUBSTITUTE(SUBSTITUTE(SUBSTITUTE(TRIM($E46),"'",""),"İ","I"),"ı","I"),"i","I"),"Ş","S"),"ş","S"),"Ğ","G"),"ğ","G"),"Ü","U"),"ü","U"),"Ö","O"),"ö","O"),"Ç","C"),"ç","C"),".",""),",","")," ",""),"-","")))</f>
        <v/>
      </c>
    </row>
    <row r="47">
      <c r="A47" s="6" t="n"/>
      <c r="B47" s="113">
        <f>IF($E47="","","A"&amp;TEXT(ROW()-6,"00000"))</f>
        <v/>
      </c>
      <c r="C47" s="108" t="n"/>
      <c r="D47" s="113">
        <f>IF($E47="","",IFERROR(INDEX(MUSTERILER!$B$7:$B$106,MATCH($U47,MUSTERILER!$T$7:$T$106,0)),IFERROR(INDEX(MUSTERILER!$B$7:$B$106,MATCH($E47,MUSTERILER!$B$7:$B$106,0)),IFERROR(INDEX(MUSTERILER!$B$7:$B$106,MATCH($U47&amp;"*",MUSTERILER!$T$7:$T$106,0)),"TANIMSIZ MÜŞTERİ"))))</f>
        <v/>
      </c>
      <c r="E47" s="109" t="n"/>
      <c r="F47" s="109" t="n"/>
      <c r="G47" s="108" t="n"/>
      <c r="H47" s="220" t="n"/>
      <c r="I47" s="220" t="n"/>
      <c r="J47" s="108" t="n"/>
      <c r="K47" s="108" t="n"/>
      <c r="L47" s="109" t="n"/>
      <c r="M47" s="109" t="n"/>
      <c r="N47" s="109" t="n"/>
      <c r="O47" s="220" t="n"/>
      <c r="P47" s="227">
        <f>IF(OR($E47="",$I47=""),"",IF(OR($J47="Tamamlandı",$J47="İptal"),"",$I47-TODAY()))</f>
        <v/>
      </c>
      <c r="Q47" s="113">
        <f>IF($E47="","",IF($D47="TANIMSIZ MÜŞTERİ","HATA",IF(OR($J47="Tamamlandı",$J47="İptal"),"KAPALI",IF(AND($C47="Görüşme",$N47=""),"SONRAKİ İŞLEM EKSİK",IF($I47="","TARİH EKSİK",IF($I47&lt;TODAY(),"GECİKMİŞ",IF($I47=TODAY(),"BUGÜN",IF($I47&lt;=TODAY()+7,"7 GÜN İÇİNDE","PLANLI"))))))))</f>
        <v/>
      </c>
      <c r="R47" s="6" t="n"/>
      <c r="S47" s="6" t="n"/>
      <c r="T47" s="3" t="n"/>
      <c r="U47" s="3">
        <f>IF($E47="","",UPPER(SUBSTITUTE(SUBSTITUTE(SUBSTITUTE(SUBSTITUTE(SUBSTITUTE(SUBSTITUTE(SUBSTITUTE(SUBSTITUTE(SUBSTITUTE(SUBSTITUTE(SUBSTITUTE(SUBSTITUTE(SUBSTITUTE(SUBSTITUTE(SUBSTITUTE(SUBSTITUTE(SUBSTITUTE(SUBSTITUTE(TRIM($E47),"'",""),"İ","I"),"ı","I"),"i","I"),"Ş","S"),"ş","S"),"Ğ","G"),"ğ","G"),"Ü","U"),"ü","U"),"Ö","O"),"ö","O"),"Ç","C"),"ç","C"),".",""),",","")," ",""),"-","")))</f>
        <v/>
      </c>
    </row>
    <row r="48">
      <c r="A48" s="6" t="n"/>
      <c r="B48" s="113">
        <f>IF($E48="","","A"&amp;TEXT(ROW()-6,"00000"))</f>
        <v/>
      </c>
      <c r="C48" s="108" t="n"/>
      <c r="D48" s="113">
        <f>IF($E48="","",IFERROR(INDEX(MUSTERILER!$B$7:$B$106,MATCH($U48,MUSTERILER!$T$7:$T$106,0)),IFERROR(INDEX(MUSTERILER!$B$7:$B$106,MATCH($E48,MUSTERILER!$B$7:$B$106,0)),IFERROR(INDEX(MUSTERILER!$B$7:$B$106,MATCH($U48&amp;"*",MUSTERILER!$T$7:$T$106,0)),"TANIMSIZ MÜŞTERİ"))))</f>
        <v/>
      </c>
      <c r="E48" s="109" t="n"/>
      <c r="F48" s="109" t="n"/>
      <c r="G48" s="108" t="n"/>
      <c r="H48" s="220" t="n"/>
      <c r="I48" s="220" t="n"/>
      <c r="J48" s="108" t="n"/>
      <c r="K48" s="108" t="n"/>
      <c r="L48" s="109" t="n"/>
      <c r="M48" s="109" t="n"/>
      <c r="N48" s="109" t="n"/>
      <c r="O48" s="220" t="n"/>
      <c r="P48" s="227">
        <f>IF(OR($E48="",$I48=""),"",IF(OR($J48="Tamamlandı",$J48="İptal"),"",$I48-TODAY()))</f>
        <v/>
      </c>
      <c r="Q48" s="113">
        <f>IF($E48="","",IF($D48="TANIMSIZ MÜŞTERİ","HATA",IF(OR($J48="Tamamlandı",$J48="İptal"),"KAPALI",IF(AND($C48="Görüşme",$N48=""),"SONRAKİ İŞLEM EKSİK",IF($I48="","TARİH EKSİK",IF($I48&lt;TODAY(),"GECİKMİŞ",IF($I48=TODAY(),"BUGÜN",IF($I48&lt;=TODAY()+7,"7 GÜN İÇİNDE","PLANLI"))))))))</f>
        <v/>
      </c>
      <c r="R48" s="6" t="n"/>
      <c r="S48" s="6" t="n"/>
      <c r="T48" s="3" t="n"/>
      <c r="U48" s="3">
        <f>IF($E48="","",UPPER(SUBSTITUTE(SUBSTITUTE(SUBSTITUTE(SUBSTITUTE(SUBSTITUTE(SUBSTITUTE(SUBSTITUTE(SUBSTITUTE(SUBSTITUTE(SUBSTITUTE(SUBSTITUTE(SUBSTITUTE(SUBSTITUTE(SUBSTITUTE(SUBSTITUTE(SUBSTITUTE(SUBSTITUTE(SUBSTITUTE(TRIM($E48),"'",""),"İ","I"),"ı","I"),"i","I"),"Ş","S"),"ş","S"),"Ğ","G"),"ğ","G"),"Ü","U"),"ü","U"),"Ö","O"),"ö","O"),"Ç","C"),"ç","C"),".",""),",","")," ",""),"-","")))</f>
        <v/>
      </c>
    </row>
    <row r="49">
      <c r="A49" s="6" t="n"/>
      <c r="B49" s="113">
        <f>IF($E49="","","A"&amp;TEXT(ROW()-6,"00000"))</f>
        <v/>
      </c>
      <c r="C49" s="108" t="n"/>
      <c r="D49" s="113">
        <f>IF($E49="","",IFERROR(INDEX(MUSTERILER!$B$7:$B$106,MATCH($U49,MUSTERILER!$T$7:$T$106,0)),IFERROR(INDEX(MUSTERILER!$B$7:$B$106,MATCH($E49,MUSTERILER!$B$7:$B$106,0)),IFERROR(INDEX(MUSTERILER!$B$7:$B$106,MATCH($U49&amp;"*",MUSTERILER!$T$7:$T$106,0)),"TANIMSIZ MÜŞTERİ"))))</f>
        <v/>
      </c>
      <c r="E49" s="109" t="n"/>
      <c r="F49" s="109" t="n"/>
      <c r="G49" s="108" t="n"/>
      <c r="H49" s="220" t="n"/>
      <c r="I49" s="220" t="n"/>
      <c r="J49" s="108" t="n"/>
      <c r="K49" s="108" t="n"/>
      <c r="L49" s="109" t="n"/>
      <c r="M49" s="109" t="n"/>
      <c r="N49" s="109" t="n"/>
      <c r="O49" s="220" t="n"/>
      <c r="P49" s="227">
        <f>IF(OR($E49="",$I49=""),"",IF(OR($J49="Tamamlandı",$J49="İptal"),"",$I49-TODAY()))</f>
        <v/>
      </c>
      <c r="Q49" s="113">
        <f>IF($E49="","",IF($D49="TANIMSIZ MÜŞTERİ","HATA",IF(OR($J49="Tamamlandı",$J49="İptal"),"KAPALI",IF(AND($C49="Görüşme",$N49=""),"SONRAKİ İŞLEM EKSİK",IF($I49="","TARİH EKSİK",IF($I49&lt;TODAY(),"GECİKMİŞ",IF($I49=TODAY(),"BUGÜN",IF($I49&lt;=TODAY()+7,"7 GÜN İÇİNDE","PLANLI"))))))))</f>
        <v/>
      </c>
      <c r="R49" s="6" t="n"/>
      <c r="S49" s="6" t="n"/>
      <c r="T49" s="3" t="n"/>
      <c r="U49" s="3">
        <f>IF($E49="","",UPPER(SUBSTITUTE(SUBSTITUTE(SUBSTITUTE(SUBSTITUTE(SUBSTITUTE(SUBSTITUTE(SUBSTITUTE(SUBSTITUTE(SUBSTITUTE(SUBSTITUTE(SUBSTITUTE(SUBSTITUTE(SUBSTITUTE(SUBSTITUTE(SUBSTITUTE(SUBSTITUTE(SUBSTITUTE(SUBSTITUTE(TRIM($E49),"'",""),"İ","I"),"ı","I"),"i","I"),"Ş","S"),"ş","S"),"Ğ","G"),"ğ","G"),"Ü","U"),"ü","U"),"Ö","O"),"ö","O"),"Ç","C"),"ç","C"),".",""),",","")," ",""),"-","")))</f>
        <v/>
      </c>
    </row>
    <row r="50">
      <c r="A50" s="6" t="n"/>
      <c r="B50" s="113">
        <f>IF($E50="","","A"&amp;TEXT(ROW()-6,"00000"))</f>
        <v/>
      </c>
      <c r="C50" s="108" t="n"/>
      <c r="D50" s="113">
        <f>IF($E50="","",IFERROR(INDEX(MUSTERILER!$B$7:$B$106,MATCH($U50,MUSTERILER!$T$7:$T$106,0)),IFERROR(INDEX(MUSTERILER!$B$7:$B$106,MATCH($E50,MUSTERILER!$B$7:$B$106,0)),IFERROR(INDEX(MUSTERILER!$B$7:$B$106,MATCH($U50&amp;"*",MUSTERILER!$T$7:$T$106,0)),"TANIMSIZ MÜŞTERİ"))))</f>
        <v/>
      </c>
      <c r="E50" s="109" t="n"/>
      <c r="F50" s="109" t="n"/>
      <c r="G50" s="108" t="n"/>
      <c r="H50" s="220" t="n"/>
      <c r="I50" s="220" t="n"/>
      <c r="J50" s="108" t="n"/>
      <c r="K50" s="108" t="n"/>
      <c r="L50" s="109" t="n"/>
      <c r="M50" s="109" t="n"/>
      <c r="N50" s="109" t="n"/>
      <c r="O50" s="220" t="n"/>
      <c r="P50" s="227">
        <f>IF(OR($E50="",$I50=""),"",IF(OR($J50="Tamamlandı",$J50="İptal"),"",$I50-TODAY()))</f>
        <v/>
      </c>
      <c r="Q50" s="113">
        <f>IF($E50="","",IF($D50="TANIMSIZ MÜŞTERİ","HATA",IF(OR($J50="Tamamlandı",$J50="İptal"),"KAPALI",IF(AND($C50="Görüşme",$N50=""),"SONRAKİ İŞLEM EKSİK",IF($I50="","TARİH EKSİK",IF($I50&lt;TODAY(),"GECİKMİŞ",IF($I50=TODAY(),"BUGÜN",IF($I50&lt;=TODAY()+7,"7 GÜN İÇİNDE","PLANLI"))))))))</f>
        <v/>
      </c>
      <c r="R50" s="6" t="n"/>
      <c r="S50" s="6" t="n"/>
      <c r="T50" s="3" t="n"/>
      <c r="U50" s="3">
        <f>IF($E50="","",UPPER(SUBSTITUTE(SUBSTITUTE(SUBSTITUTE(SUBSTITUTE(SUBSTITUTE(SUBSTITUTE(SUBSTITUTE(SUBSTITUTE(SUBSTITUTE(SUBSTITUTE(SUBSTITUTE(SUBSTITUTE(SUBSTITUTE(SUBSTITUTE(SUBSTITUTE(SUBSTITUTE(SUBSTITUTE(SUBSTITUTE(TRIM($E50),"'",""),"İ","I"),"ı","I"),"i","I"),"Ş","S"),"ş","S"),"Ğ","G"),"ğ","G"),"Ü","U"),"ü","U"),"Ö","O"),"ö","O"),"Ç","C"),"ç","C"),".",""),",","")," ",""),"-","")))</f>
        <v/>
      </c>
    </row>
    <row r="51">
      <c r="A51" s="6" t="n"/>
      <c r="B51" s="113">
        <f>IF($E51="","","A"&amp;TEXT(ROW()-6,"00000"))</f>
        <v/>
      </c>
      <c r="C51" s="108" t="n"/>
      <c r="D51" s="113">
        <f>IF($E51="","",IFERROR(INDEX(MUSTERILER!$B$7:$B$106,MATCH($U51,MUSTERILER!$T$7:$T$106,0)),IFERROR(INDEX(MUSTERILER!$B$7:$B$106,MATCH($E51,MUSTERILER!$B$7:$B$106,0)),IFERROR(INDEX(MUSTERILER!$B$7:$B$106,MATCH($U51&amp;"*",MUSTERILER!$T$7:$T$106,0)),"TANIMSIZ MÜŞTERİ"))))</f>
        <v/>
      </c>
      <c r="E51" s="109" t="n"/>
      <c r="F51" s="109" t="n"/>
      <c r="G51" s="108" t="n"/>
      <c r="H51" s="220" t="n"/>
      <c r="I51" s="220" t="n"/>
      <c r="J51" s="108" t="n"/>
      <c r="K51" s="108" t="n"/>
      <c r="L51" s="109" t="n"/>
      <c r="M51" s="109" t="n"/>
      <c r="N51" s="109" t="n"/>
      <c r="O51" s="220" t="n"/>
      <c r="P51" s="227">
        <f>IF(OR($E51="",$I51=""),"",IF(OR($J51="Tamamlandı",$J51="İptal"),"",$I51-TODAY()))</f>
        <v/>
      </c>
      <c r="Q51" s="113">
        <f>IF($E51="","",IF($D51="TANIMSIZ MÜŞTERİ","HATA",IF(OR($J51="Tamamlandı",$J51="İptal"),"KAPALI",IF(AND($C51="Görüşme",$N51=""),"SONRAKİ İŞLEM EKSİK",IF($I51="","TARİH EKSİK",IF($I51&lt;TODAY(),"GECİKMİŞ",IF($I51=TODAY(),"BUGÜN",IF($I51&lt;=TODAY()+7,"7 GÜN İÇİNDE","PLANLI"))))))))</f>
        <v/>
      </c>
      <c r="R51" s="6" t="n"/>
      <c r="S51" s="6" t="n"/>
      <c r="T51" s="3" t="n"/>
      <c r="U51" s="3">
        <f>IF($E51="","",UPPER(SUBSTITUTE(SUBSTITUTE(SUBSTITUTE(SUBSTITUTE(SUBSTITUTE(SUBSTITUTE(SUBSTITUTE(SUBSTITUTE(SUBSTITUTE(SUBSTITUTE(SUBSTITUTE(SUBSTITUTE(SUBSTITUTE(SUBSTITUTE(SUBSTITUTE(SUBSTITUTE(SUBSTITUTE(SUBSTITUTE(TRIM($E51),"'",""),"İ","I"),"ı","I"),"i","I"),"Ş","S"),"ş","S"),"Ğ","G"),"ğ","G"),"Ü","U"),"ü","U"),"Ö","O"),"ö","O"),"Ç","C"),"ç","C"),".",""),",","")," ",""),"-","")))</f>
        <v/>
      </c>
    </row>
    <row r="52">
      <c r="A52" s="6" t="n"/>
      <c r="B52" s="113">
        <f>IF($E52="","","A"&amp;TEXT(ROW()-6,"00000"))</f>
        <v/>
      </c>
      <c r="C52" s="108" t="n"/>
      <c r="D52" s="113">
        <f>IF($E52="","",IFERROR(INDEX(MUSTERILER!$B$7:$B$106,MATCH($U52,MUSTERILER!$T$7:$T$106,0)),IFERROR(INDEX(MUSTERILER!$B$7:$B$106,MATCH($E52,MUSTERILER!$B$7:$B$106,0)),IFERROR(INDEX(MUSTERILER!$B$7:$B$106,MATCH($U52&amp;"*",MUSTERILER!$T$7:$T$106,0)),"TANIMSIZ MÜŞTERİ"))))</f>
        <v/>
      </c>
      <c r="E52" s="109" t="n"/>
      <c r="F52" s="109" t="n"/>
      <c r="G52" s="108" t="n"/>
      <c r="H52" s="220" t="n"/>
      <c r="I52" s="220" t="n"/>
      <c r="J52" s="108" t="n"/>
      <c r="K52" s="108" t="n"/>
      <c r="L52" s="109" t="n"/>
      <c r="M52" s="109" t="n"/>
      <c r="N52" s="109" t="n"/>
      <c r="O52" s="220" t="n"/>
      <c r="P52" s="227">
        <f>IF(OR($E52="",$I52=""),"",IF(OR($J52="Tamamlandı",$J52="İptal"),"",$I52-TODAY()))</f>
        <v/>
      </c>
      <c r="Q52" s="113">
        <f>IF($E52="","",IF($D52="TANIMSIZ MÜŞTERİ","HATA",IF(OR($J52="Tamamlandı",$J52="İptal"),"KAPALI",IF(AND($C52="Görüşme",$N52=""),"SONRAKİ İŞLEM EKSİK",IF($I52="","TARİH EKSİK",IF($I52&lt;TODAY(),"GECİKMİŞ",IF($I52=TODAY(),"BUGÜN",IF($I52&lt;=TODAY()+7,"7 GÜN İÇİNDE","PLANLI"))))))))</f>
        <v/>
      </c>
      <c r="R52" s="6" t="n"/>
      <c r="S52" s="6" t="n"/>
      <c r="T52" s="3" t="n"/>
      <c r="U52" s="3">
        <f>IF($E52="","",UPPER(SUBSTITUTE(SUBSTITUTE(SUBSTITUTE(SUBSTITUTE(SUBSTITUTE(SUBSTITUTE(SUBSTITUTE(SUBSTITUTE(SUBSTITUTE(SUBSTITUTE(SUBSTITUTE(SUBSTITUTE(SUBSTITUTE(SUBSTITUTE(SUBSTITUTE(SUBSTITUTE(SUBSTITUTE(SUBSTITUTE(TRIM($E52),"'",""),"İ","I"),"ı","I"),"i","I"),"Ş","S"),"ş","S"),"Ğ","G"),"ğ","G"),"Ü","U"),"ü","U"),"Ö","O"),"ö","O"),"Ç","C"),"ç","C"),".",""),",","")," ",""),"-","")))</f>
        <v/>
      </c>
    </row>
    <row r="53">
      <c r="A53" s="6" t="n"/>
      <c r="B53" s="113">
        <f>IF($E53="","","A"&amp;TEXT(ROW()-6,"00000"))</f>
        <v/>
      </c>
      <c r="C53" s="108" t="n"/>
      <c r="D53" s="113">
        <f>IF($E53="","",IFERROR(INDEX(MUSTERILER!$B$7:$B$106,MATCH($U53,MUSTERILER!$T$7:$T$106,0)),IFERROR(INDEX(MUSTERILER!$B$7:$B$106,MATCH($E53,MUSTERILER!$B$7:$B$106,0)),IFERROR(INDEX(MUSTERILER!$B$7:$B$106,MATCH($U53&amp;"*",MUSTERILER!$T$7:$T$106,0)),"TANIMSIZ MÜŞTERİ"))))</f>
        <v/>
      </c>
      <c r="E53" s="109" t="n"/>
      <c r="F53" s="109" t="n"/>
      <c r="G53" s="108" t="n"/>
      <c r="H53" s="220" t="n"/>
      <c r="I53" s="220" t="n"/>
      <c r="J53" s="108" t="n"/>
      <c r="K53" s="108" t="n"/>
      <c r="L53" s="109" t="n"/>
      <c r="M53" s="109" t="n"/>
      <c r="N53" s="109" t="n"/>
      <c r="O53" s="220" t="n"/>
      <c r="P53" s="227">
        <f>IF(OR($E53="",$I53=""),"",IF(OR($J53="Tamamlandı",$J53="İptal"),"",$I53-TODAY()))</f>
        <v/>
      </c>
      <c r="Q53" s="113">
        <f>IF($E53="","",IF($D53="TANIMSIZ MÜŞTERİ","HATA",IF(OR($J53="Tamamlandı",$J53="İptal"),"KAPALI",IF(AND($C53="Görüşme",$N53=""),"SONRAKİ İŞLEM EKSİK",IF($I53="","TARİH EKSİK",IF($I53&lt;TODAY(),"GECİKMİŞ",IF($I53=TODAY(),"BUGÜN",IF($I53&lt;=TODAY()+7,"7 GÜN İÇİNDE","PLANLI"))))))))</f>
        <v/>
      </c>
      <c r="R53" s="6" t="n"/>
      <c r="S53" s="6" t="n"/>
      <c r="T53" s="3" t="n"/>
      <c r="U53" s="3">
        <f>IF($E53="","",UPPER(SUBSTITUTE(SUBSTITUTE(SUBSTITUTE(SUBSTITUTE(SUBSTITUTE(SUBSTITUTE(SUBSTITUTE(SUBSTITUTE(SUBSTITUTE(SUBSTITUTE(SUBSTITUTE(SUBSTITUTE(SUBSTITUTE(SUBSTITUTE(SUBSTITUTE(SUBSTITUTE(SUBSTITUTE(SUBSTITUTE(TRIM($E53),"'",""),"İ","I"),"ı","I"),"i","I"),"Ş","S"),"ş","S"),"Ğ","G"),"ğ","G"),"Ü","U"),"ü","U"),"Ö","O"),"ö","O"),"Ç","C"),"ç","C"),".",""),",","")," ",""),"-","")))</f>
        <v/>
      </c>
    </row>
    <row r="54">
      <c r="A54" s="6" t="n"/>
      <c r="B54" s="113">
        <f>IF($E54="","","A"&amp;TEXT(ROW()-6,"00000"))</f>
        <v/>
      </c>
      <c r="C54" s="108" t="n"/>
      <c r="D54" s="113">
        <f>IF($E54="","",IFERROR(INDEX(MUSTERILER!$B$7:$B$106,MATCH($U54,MUSTERILER!$T$7:$T$106,0)),IFERROR(INDEX(MUSTERILER!$B$7:$B$106,MATCH($E54,MUSTERILER!$B$7:$B$106,0)),IFERROR(INDEX(MUSTERILER!$B$7:$B$106,MATCH($U54&amp;"*",MUSTERILER!$T$7:$T$106,0)),"TANIMSIZ MÜŞTERİ"))))</f>
        <v/>
      </c>
      <c r="E54" s="109" t="n"/>
      <c r="F54" s="109" t="n"/>
      <c r="G54" s="108" t="n"/>
      <c r="H54" s="220" t="n"/>
      <c r="I54" s="220" t="n"/>
      <c r="J54" s="108" t="n"/>
      <c r="K54" s="108" t="n"/>
      <c r="L54" s="109" t="n"/>
      <c r="M54" s="109" t="n"/>
      <c r="N54" s="109" t="n"/>
      <c r="O54" s="220" t="n"/>
      <c r="P54" s="227">
        <f>IF(OR($E54="",$I54=""),"",IF(OR($J54="Tamamlandı",$J54="İptal"),"",$I54-TODAY()))</f>
        <v/>
      </c>
      <c r="Q54" s="113">
        <f>IF($E54="","",IF($D54="TANIMSIZ MÜŞTERİ","HATA",IF(OR($J54="Tamamlandı",$J54="İptal"),"KAPALI",IF(AND($C54="Görüşme",$N54=""),"SONRAKİ İŞLEM EKSİK",IF($I54="","TARİH EKSİK",IF($I54&lt;TODAY(),"GECİKMİŞ",IF($I54=TODAY(),"BUGÜN",IF($I54&lt;=TODAY()+7,"7 GÜN İÇİNDE","PLANLI"))))))))</f>
        <v/>
      </c>
      <c r="R54" s="6" t="n"/>
      <c r="S54" s="6" t="n"/>
      <c r="T54" s="3" t="n"/>
      <c r="U54" s="3">
        <f>IF($E54="","",UPPER(SUBSTITUTE(SUBSTITUTE(SUBSTITUTE(SUBSTITUTE(SUBSTITUTE(SUBSTITUTE(SUBSTITUTE(SUBSTITUTE(SUBSTITUTE(SUBSTITUTE(SUBSTITUTE(SUBSTITUTE(SUBSTITUTE(SUBSTITUTE(SUBSTITUTE(SUBSTITUTE(SUBSTITUTE(SUBSTITUTE(TRIM($E54),"'",""),"İ","I"),"ı","I"),"i","I"),"Ş","S"),"ş","S"),"Ğ","G"),"ğ","G"),"Ü","U"),"ü","U"),"Ö","O"),"ö","O"),"Ç","C"),"ç","C"),".",""),",","")," ",""),"-","")))</f>
        <v/>
      </c>
    </row>
    <row r="55">
      <c r="A55" s="6" t="n"/>
      <c r="B55" s="113">
        <f>IF($E55="","","A"&amp;TEXT(ROW()-6,"00000"))</f>
        <v/>
      </c>
      <c r="C55" s="108" t="n"/>
      <c r="D55" s="113">
        <f>IF($E55="","",IFERROR(INDEX(MUSTERILER!$B$7:$B$106,MATCH($U55,MUSTERILER!$T$7:$T$106,0)),IFERROR(INDEX(MUSTERILER!$B$7:$B$106,MATCH($E55,MUSTERILER!$B$7:$B$106,0)),IFERROR(INDEX(MUSTERILER!$B$7:$B$106,MATCH($U55&amp;"*",MUSTERILER!$T$7:$T$106,0)),"TANIMSIZ MÜŞTERİ"))))</f>
        <v/>
      </c>
      <c r="E55" s="109" t="n"/>
      <c r="F55" s="109" t="n"/>
      <c r="G55" s="108" t="n"/>
      <c r="H55" s="220" t="n"/>
      <c r="I55" s="220" t="n"/>
      <c r="J55" s="108" t="n"/>
      <c r="K55" s="108" t="n"/>
      <c r="L55" s="109" t="n"/>
      <c r="M55" s="109" t="n"/>
      <c r="N55" s="109" t="n"/>
      <c r="O55" s="220" t="n"/>
      <c r="P55" s="227">
        <f>IF(OR($E55="",$I55=""),"",IF(OR($J55="Tamamlandı",$J55="İptal"),"",$I55-TODAY()))</f>
        <v/>
      </c>
      <c r="Q55" s="113">
        <f>IF($E55="","",IF($D55="TANIMSIZ MÜŞTERİ","HATA",IF(OR($J55="Tamamlandı",$J55="İptal"),"KAPALI",IF(AND($C55="Görüşme",$N55=""),"SONRAKİ İŞLEM EKSİK",IF($I55="","TARİH EKSİK",IF($I55&lt;TODAY(),"GECİKMİŞ",IF($I55=TODAY(),"BUGÜN",IF($I55&lt;=TODAY()+7,"7 GÜN İÇİNDE","PLANLI"))))))))</f>
        <v/>
      </c>
      <c r="R55" s="6" t="n"/>
      <c r="S55" s="6" t="n"/>
      <c r="T55" s="3" t="n"/>
      <c r="U55" s="3">
        <f>IF($E55="","",UPPER(SUBSTITUTE(SUBSTITUTE(SUBSTITUTE(SUBSTITUTE(SUBSTITUTE(SUBSTITUTE(SUBSTITUTE(SUBSTITUTE(SUBSTITUTE(SUBSTITUTE(SUBSTITUTE(SUBSTITUTE(SUBSTITUTE(SUBSTITUTE(SUBSTITUTE(SUBSTITUTE(SUBSTITUTE(SUBSTITUTE(TRIM($E55),"'",""),"İ","I"),"ı","I"),"i","I"),"Ş","S"),"ş","S"),"Ğ","G"),"ğ","G"),"Ü","U"),"ü","U"),"Ö","O"),"ö","O"),"Ç","C"),"ç","C"),".",""),",","")," ",""),"-","")))</f>
        <v/>
      </c>
    </row>
    <row r="56">
      <c r="A56" s="6" t="n"/>
      <c r="B56" s="113">
        <f>IF($E56="","","A"&amp;TEXT(ROW()-6,"00000"))</f>
        <v/>
      </c>
      <c r="C56" s="108" t="n"/>
      <c r="D56" s="113">
        <f>IF($E56="","",IFERROR(INDEX(MUSTERILER!$B$7:$B$106,MATCH($U56,MUSTERILER!$T$7:$T$106,0)),IFERROR(INDEX(MUSTERILER!$B$7:$B$106,MATCH($E56,MUSTERILER!$B$7:$B$106,0)),IFERROR(INDEX(MUSTERILER!$B$7:$B$106,MATCH($U56&amp;"*",MUSTERILER!$T$7:$T$106,0)),"TANIMSIZ MÜŞTERİ"))))</f>
        <v/>
      </c>
      <c r="E56" s="109" t="n"/>
      <c r="F56" s="109" t="n"/>
      <c r="G56" s="108" t="n"/>
      <c r="H56" s="220" t="n"/>
      <c r="I56" s="220" t="n"/>
      <c r="J56" s="108" t="n"/>
      <c r="K56" s="108" t="n"/>
      <c r="L56" s="109" t="n"/>
      <c r="M56" s="109" t="n"/>
      <c r="N56" s="109" t="n"/>
      <c r="O56" s="220" t="n"/>
      <c r="P56" s="227">
        <f>IF(OR($E56="",$I56=""),"",IF(OR($J56="Tamamlandı",$J56="İptal"),"",$I56-TODAY()))</f>
        <v/>
      </c>
      <c r="Q56" s="113">
        <f>IF($E56="","",IF($D56="TANIMSIZ MÜŞTERİ","HATA",IF(OR($J56="Tamamlandı",$J56="İptal"),"KAPALI",IF(AND($C56="Görüşme",$N56=""),"SONRAKİ İŞLEM EKSİK",IF($I56="","TARİH EKSİK",IF($I56&lt;TODAY(),"GECİKMİŞ",IF($I56=TODAY(),"BUGÜN",IF($I56&lt;=TODAY()+7,"7 GÜN İÇİNDE","PLANLI"))))))))</f>
        <v/>
      </c>
      <c r="R56" s="6" t="n"/>
      <c r="S56" s="6" t="n"/>
      <c r="T56" s="3" t="n"/>
      <c r="U56" s="3">
        <f>IF($E56="","",UPPER(SUBSTITUTE(SUBSTITUTE(SUBSTITUTE(SUBSTITUTE(SUBSTITUTE(SUBSTITUTE(SUBSTITUTE(SUBSTITUTE(SUBSTITUTE(SUBSTITUTE(SUBSTITUTE(SUBSTITUTE(SUBSTITUTE(SUBSTITUTE(SUBSTITUTE(SUBSTITUTE(SUBSTITUTE(SUBSTITUTE(TRIM($E56),"'",""),"İ","I"),"ı","I"),"i","I"),"Ş","S"),"ş","S"),"Ğ","G"),"ğ","G"),"Ü","U"),"ü","U"),"Ö","O"),"ö","O"),"Ç","C"),"ç","C"),".",""),",","")," ",""),"-","")))</f>
        <v/>
      </c>
    </row>
    <row r="57">
      <c r="A57" s="6" t="n"/>
      <c r="B57" s="113">
        <f>IF($E57="","","A"&amp;TEXT(ROW()-6,"00000"))</f>
        <v/>
      </c>
      <c r="C57" s="108" t="n"/>
      <c r="D57" s="113">
        <f>IF($E57="","",IFERROR(INDEX(MUSTERILER!$B$7:$B$106,MATCH($U57,MUSTERILER!$T$7:$T$106,0)),IFERROR(INDEX(MUSTERILER!$B$7:$B$106,MATCH($E57,MUSTERILER!$B$7:$B$106,0)),IFERROR(INDEX(MUSTERILER!$B$7:$B$106,MATCH($U57&amp;"*",MUSTERILER!$T$7:$T$106,0)),"TANIMSIZ MÜŞTERİ"))))</f>
        <v/>
      </c>
      <c r="E57" s="109" t="n"/>
      <c r="F57" s="109" t="n"/>
      <c r="G57" s="108" t="n"/>
      <c r="H57" s="220" t="n"/>
      <c r="I57" s="220" t="n"/>
      <c r="J57" s="108" t="n"/>
      <c r="K57" s="108" t="n"/>
      <c r="L57" s="109" t="n"/>
      <c r="M57" s="109" t="n"/>
      <c r="N57" s="109" t="n"/>
      <c r="O57" s="220" t="n"/>
      <c r="P57" s="227">
        <f>IF(OR($E57="",$I57=""),"",IF(OR($J57="Tamamlandı",$J57="İptal"),"",$I57-TODAY()))</f>
        <v/>
      </c>
      <c r="Q57" s="113">
        <f>IF($E57="","",IF($D57="TANIMSIZ MÜŞTERİ","HATA",IF(OR($J57="Tamamlandı",$J57="İptal"),"KAPALI",IF(AND($C57="Görüşme",$N57=""),"SONRAKİ İŞLEM EKSİK",IF($I57="","TARİH EKSİK",IF($I57&lt;TODAY(),"GECİKMİŞ",IF($I57=TODAY(),"BUGÜN",IF($I57&lt;=TODAY()+7,"7 GÜN İÇİNDE","PLANLI"))))))))</f>
        <v/>
      </c>
      <c r="R57" s="6" t="n"/>
      <c r="S57" s="6" t="n"/>
      <c r="T57" s="3" t="n"/>
      <c r="U57" s="3">
        <f>IF($E57="","",UPPER(SUBSTITUTE(SUBSTITUTE(SUBSTITUTE(SUBSTITUTE(SUBSTITUTE(SUBSTITUTE(SUBSTITUTE(SUBSTITUTE(SUBSTITUTE(SUBSTITUTE(SUBSTITUTE(SUBSTITUTE(SUBSTITUTE(SUBSTITUTE(SUBSTITUTE(SUBSTITUTE(SUBSTITUTE(SUBSTITUTE(TRIM($E57),"'",""),"İ","I"),"ı","I"),"i","I"),"Ş","S"),"ş","S"),"Ğ","G"),"ğ","G"),"Ü","U"),"ü","U"),"Ö","O"),"ö","O"),"Ç","C"),"ç","C"),".",""),",","")," ",""),"-","")))</f>
        <v/>
      </c>
    </row>
    <row r="58">
      <c r="A58" s="6" t="n"/>
      <c r="B58" s="113">
        <f>IF($E58="","","A"&amp;TEXT(ROW()-6,"00000"))</f>
        <v/>
      </c>
      <c r="C58" s="108" t="n"/>
      <c r="D58" s="113">
        <f>IF($E58="","",IFERROR(INDEX(MUSTERILER!$B$7:$B$106,MATCH($U58,MUSTERILER!$T$7:$T$106,0)),IFERROR(INDEX(MUSTERILER!$B$7:$B$106,MATCH($E58,MUSTERILER!$B$7:$B$106,0)),IFERROR(INDEX(MUSTERILER!$B$7:$B$106,MATCH($U58&amp;"*",MUSTERILER!$T$7:$T$106,0)),"TANIMSIZ MÜŞTERİ"))))</f>
        <v/>
      </c>
      <c r="E58" s="109" t="n"/>
      <c r="F58" s="109" t="n"/>
      <c r="G58" s="108" t="n"/>
      <c r="H58" s="220" t="n"/>
      <c r="I58" s="220" t="n"/>
      <c r="J58" s="108" t="n"/>
      <c r="K58" s="108" t="n"/>
      <c r="L58" s="109" t="n"/>
      <c r="M58" s="109" t="n"/>
      <c r="N58" s="109" t="n"/>
      <c r="O58" s="220" t="n"/>
      <c r="P58" s="227">
        <f>IF(OR($E58="",$I58=""),"",IF(OR($J58="Tamamlandı",$J58="İptal"),"",$I58-TODAY()))</f>
        <v/>
      </c>
      <c r="Q58" s="113">
        <f>IF($E58="","",IF($D58="TANIMSIZ MÜŞTERİ","HATA",IF(OR($J58="Tamamlandı",$J58="İptal"),"KAPALI",IF(AND($C58="Görüşme",$N58=""),"SONRAKİ İŞLEM EKSİK",IF($I58="","TARİH EKSİK",IF($I58&lt;TODAY(),"GECİKMİŞ",IF($I58=TODAY(),"BUGÜN",IF($I58&lt;=TODAY()+7,"7 GÜN İÇİNDE","PLANLI"))))))))</f>
        <v/>
      </c>
      <c r="R58" s="6" t="n"/>
      <c r="S58" s="6" t="n"/>
      <c r="T58" s="3" t="n"/>
      <c r="U58" s="3">
        <f>IF($E58="","",UPPER(SUBSTITUTE(SUBSTITUTE(SUBSTITUTE(SUBSTITUTE(SUBSTITUTE(SUBSTITUTE(SUBSTITUTE(SUBSTITUTE(SUBSTITUTE(SUBSTITUTE(SUBSTITUTE(SUBSTITUTE(SUBSTITUTE(SUBSTITUTE(SUBSTITUTE(SUBSTITUTE(SUBSTITUTE(SUBSTITUTE(TRIM($E58),"'",""),"İ","I"),"ı","I"),"i","I"),"Ş","S"),"ş","S"),"Ğ","G"),"ğ","G"),"Ü","U"),"ü","U"),"Ö","O"),"ö","O"),"Ç","C"),"ç","C"),".",""),",","")," ",""),"-","")))</f>
        <v/>
      </c>
    </row>
    <row r="59">
      <c r="A59" s="6" t="n"/>
      <c r="B59" s="113">
        <f>IF($E59="","","A"&amp;TEXT(ROW()-6,"00000"))</f>
        <v/>
      </c>
      <c r="C59" s="108" t="n"/>
      <c r="D59" s="113">
        <f>IF($E59="","",IFERROR(INDEX(MUSTERILER!$B$7:$B$106,MATCH($U59,MUSTERILER!$T$7:$T$106,0)),IFERROR(INDEX(MUSTERILER!$B$7:$B$106,MATCH($E59,MUSTERILER!$B$7:$B$106,0)),IFERROR(INDEX(MUSTERILER!$B$7:$B$106,MATCH($U59&amp;"*",MUSTERILER!$T$7:$T$106,0)),"TANIMSIZ MÜŞTERİ"))))</f>
        <v/>
      </c>
      <c r="E59" s="109" t="n"/>
      <c r="F59" s="109" t="n"/>
      <c r="G59" s="108" t="n"/>
      <c r="H59" s="220" t="n"/>
      <c r="I59" s="220" t="n"/>
      <c r="J59" s="108" t="n"/>
      <c r="K59" s="108" t="n"/>
      <c r="L59" s="109" t="n"/>
      <c r="M59" s="109" t="n"/>
      <c r="N59" s="109" t="n"/>
      <c r="O59" s="220" t="n"/>
      <c r="P59" s="227">
        <f>IF(OR($E59="",$I59=""),"",IF(OR($J59="Tamamlandı",$J59="İptal"),"",$I59-TODAY()))</f>
        <v/>
      </c>
      <c r="Q59" s="113">
        <f>IF($E59="","",IF($D59="TANIMSIZ MÜŞTERİ","HATA",IF(OR($J59="Tamamlandı",$J59="İptal"),"KAPALI",IF(AND($C59="Görüşme",$N59=""),"SONRAKİ İŞLEM EKSİK",IF($I59="","TARİH EKSİK",IF($I59&lt;TODAY(),"GECİKMİŞ",IF($I59=TODAY(),"BUGÜN",IF($I59&lt;=TODAY()+7,"7 GÜN İÇİNDE","PLANLI"))))))))</f>
        <v/>
      </c>
      <c r="R59" s="6" t="n"/>
      <c r="S59" s="6" t="n"/>
      <c r="T59" s="3" t="n"/>
      <c r="U59" s="3">
        <f>IF($E59="","",UPPER(SUBSTITUTE(SUBSTITUTE(SUBSTITUTE(SUBSTITUTE(SUBSTITUTE(SUBSTITUTE(SUBSTITUTE(SUBSTITUTE(SUBSTITUTE(SUBSTITUTE(SUBSTITUTE(SUBSTITUTE(SUBSTITUTE(SUBSTITUTE(SUBSTITUTE(SUBSTITUTE(SUBSTITUTE(SUBSTITUTE(TRIM($E59),"'",""),"İ","I"),"ı","I"),"i","I"),"Ş","S"),"ş","S"),"Ğ","G"),"ğ","G"),"Ü","U"),"ü","U"),"Ö","O"),"ö","O"),"Ç","C"),"ç","C"),".",""),",","")," ",""),"-","")))</f>
        <v/>
      </c>
    </row>
    <row r="60">
      <c r="A60" s="6" t="n"/>
      <c r="B60" s="113">
        <f>IF($E60="","","A"&amp;TEXT(ROW()-6,"00000"))</f>
        <v/>
      </c>
      <c r="C60" s="108" t="n"/>
      <c r="D60" s="113">
        <f>IF($E60="","",IFERROR(INDEX(MUSTERILER!$B$7:$B$106,MATCH($U60,MUSTERILER!$T$7:$T$106,0)),IFERROR(INDEX(MUSTERILER!$B$7:$B$106,MATCH($E60,MUSTERILER!$B$7:$B$106,0)),IFERROR(INDEX(MUSTERILER!$B$7:$B$106,MATCH($U60&amp;"*",MUSTERILER!$T$7:$T$106,0)),"TANIMSIZ MÜŞTERİ"))))</f>
        <v/>
      </c>
      <c r="E60" s="109" t="n"/>
      <c r="F60" s="109" t="n"/>
      <c r="G60" s="108" t="n"/>
      <c r="H60" s="220" t="n"/>
      <c r="I60" s="220" t="n"/>
      <c r="J60" s="108" t="n"/>
      <c r="K60" s="108" t="n"/>
      <c r="L60" s="109" t="n"/>
      <c r="M60" s="109" t="n"/>
      <c r="N60" s="109" t="n"/>
      <c r="O60" s="220" t="n"/>
      <c r="P60" s="227">
        <f>IF(OR($E60="",$I60=""),"",IF(OR($J60="Tamamlandı",$J60="İptal"),"",$I60-TODAY()))</f>
        <v/>
      </c>
      <c r="Q60" s="113">
        <f>IF($E60="","",IF($D60="TANIMSIZ MÜŞTERİ","HATA",IF(OR($J60="Tamamlandı",$J60="İptal"),"KAPALI",IF(AND($C60="Görüşme",$N60=""),"SONRAKİ İŞLEM EKSİK",IF($I60="","TARİH EKSİK",IF($I60&lt;TODAY(),"GECİKMİŞ",IF($I60=TODAY(),"BUGÜN",IF($I60&lt;=TODAY()+7,"7 GÜN İÇİNDE","PLANLI"))))))))</f>
        <v/>
      </c>
      <c r="R60" s="6" t="n"/>
      <c r="S60" s="6" t="n"/>
      <c r="T60" s="3" t="n"/>
      <c r="U60" s="3">
        <f>IF($E60="","",UPPER(SUBSTITUTE(SUBSTITUTE(SUBSTITUTE(SUBSTITUTE(SUBSTITUTE(SUBSTITUTE(SUBSTITUTE(SUBSTITUTE(SUBSTITUTE(SUBSTITUTE(SUBSTITUTE(SUBSTITUTE(SUBSTITUTE(SUBSTITUTE(SUBSTITUTE(SUBSTITUTE(SUBSTITUTE(SUBSTITUTE(TRIM($E60),"'",""),"İ","I"),"ı","I"),"i","I"),"Ş","S"),"ş","S"),"Ğ","G"),"ğ","G"),"Ü","U"),"ü","U"),"Ö","O"),"ö","O"),"Ç","C"),"ç","C"),".",""),",","")," ",""),"-","")))</f>
        <v/>
      </c>
    </row>
    <row r="61">
      <c r="A61" s="6" t="n"/>
      <c r="B61" s="113">
        <f>IF($E61="","","A"&amp;TEXT(ROW()-6,"00000"))</f>
        <v/>
      </c>
      <c r="C61" s="108" t="n"/>
      <c r="D61" s="113">
        <f>IF($E61="","",IFERROR(INDEX(MUSTERILER!$B$7:$B$106,MATCH($U61,MUSTERILER!$T$7:$T$106,0)),IFERROR(INDEX(MUSTERILER!$B$7:$B$106,MATCH($E61,MUSTERILER!$B$7:$B$106,0)),IFERROR(INDEX(MUSTERILER!$B$7:$B$106,MATCH($U61&amp;"*",MUSTERILER!$T$7:$T$106,0)),"TANIMSIZ MÜŞTERİ"))))</f>
        <v/>
      </c>
      <c r="E61" s="109" t="n"/>
      <c r="F61" s="109" t="n"/>
      <c r="G61" s="108" t="n"/>
      <c r="H61" s="220" t="n"/>
      <c r="I61" s="220" t="n"/>
      <c r="J61" s="108" t="n"/>
      <c r="K61" s="108" t="n"/>
      <c r="L61" s="109" t="n"/>
      <c r="M61" s="109" t="n"/>
      <c r="N61" s="109" t="n"/>
      <c r="O61" s="220" t="n"/>
      <c r="P61" s="227">
        <f>IF(OR($E61="",$I61=""),"",IF(OR($J61="Tamamlandı",$J61="İptal"),"",$I61-TODAY()))</f>
        <v/>
      </c>
      <c r="Q61" s="113">
        <f>IF($E61="","",IF($D61="TANIMSIZ MÜŞTERİ","HATA",IF(OR($J61="Tamamlandı",$J61="İptal"),"KAPALI",IF(AND($C61="Görüşme",$N61=""),"SONRAKİ İŞLEM EKSİK",IF($I61="","TARİH EKSİK",IF($I61&lt;TODAY(),"GECİKMİŞ",IF($I61=TODAY(),"BUGÜN",IF($I61&lt;=TODAY()+7,"7 GÜN İÇİNDE","PLANLI"))))))))</f>
        <v/>
      </c>
      <c r="R61" s="6" t="n"/>
      <c r="S61" s="6" t="n"/>
      <c r="T61" s="3" t="n"/>
      <c r="U61" s="3">
        <f>IF($E61="","",UPPER(SUBSTITUTE(SUBSTITUTE(SUBSTITUTE(SUBSTITUTE(SUBSTITUTE(SUBSTITUTE(SUBSTITUTE(SUBSTITUTE(SUBSTITUTE(SUBSTITUTE(SUBSTITUTE(SUBSTITUTE(SUBSTITUTE(SUBSTITUTE(SUBSTITUTE(SUBSTITUTE(SUBSTITUTE(SUBSTITUTE(TRIM($E61),"'",""),"İ","I"),"ı","I"),"i","I"),"Ş","S"),"ş","S"),"Ğ","G"),"ğ","G"),"Ü","U"),"ü","U"),"Ö","O"),"ö","O"),"Ç","C"),"ç","C"),".",""),",","")," ",""),"-","")))</f>
        <v/>
      </c>
    </row>
    <row r="62">
      <c r="A62" s="6" t="n"/>
      <c r="B62" s="113">
        <f>IF($E62="","","A"&amp;TEXT(ROW()-6,"00000"))</f>
        <v/>
      </c>
      <c r="C62" s="108" t="n"/>
      <c r="D62" s="113">
        <f>IF($E62="","",IFERROR(INDEX(MUSTERILER!$B$7:$B$106,MATCH($U62,MUSTERILER!$T$7:$T$106,0)),IFERROR(INDEX(MUSTERILER!$B$7:$B$106,MATCH($E62,MUSTERILER!$B$7:$B$106,0)),IFERROR(INDEX(MUSTERILER!$B$7:$B$106,MATCH($U62&amp;"*",MUSTERILER!$T$7:$T$106,0)),"TANIMSIZ MÜŞTERİ"))))</f>
        <v/>
      </c>
      <c r="E62" s="109" t="n"/>
      <c r="F62" s="109" t="n"/>
      <c r="G62" s="108" t="n"/>
      <c r="H62" s="220" t="n"/>
      <c r="I62" s="220" t="n"/>
      <c r="J62" s="108" t="n"/>
      <c r="K62" s="108" t="n"/>
      <c r="L62" s="109" t="n"/>
      <c r="M62" s="109" t="n"/>
      <c r="N62" s="109" t="n"/>
      <c r="O62" s="220" t="n"/>
      <c r="P62" s="227">
        <f>IF(OR($E62="",$I62=""),"",IF(OR($J62="Tamamlandı",$J62="İptal"),"",$I62-TODAY()))</f>
        <v/>
      </c>
      <c r="Q62" s="113">
        <f>IF($E62="","",IF($D62="TANIMSIZ MÜŞTERİ","HATA",IF(OR($J62="Tamamlandı",$J62="İptal"),"KAPALI",IF(AND($C62="Görüşme",$N62=""),"SONRAKİ İŞLEM EKSİK",IF($I62="","TARİH EKSİK",IF($I62&lt;TODAY(),"GECİKMİŞ",IF($I62=TODAY(),"BUGÜN",IF($I62&lt;=TODAY()+7,"7 GÜN İÇİNDE","PLANLI"))))))))</f>
        <v/>
      </c>
      <c r="R62" s="6" t="n"/>
      <c r="S62" s="6" t="n"/>
      <c r="T62" s="3" t="n"/>
      <c r="U62" s="3">
        <f>IF($E62="","",UPPER(SUBSTITUTE(SUBSTITUTE(SUBSTITUTE(SUBSTITUTE(SUBSTITUTE(SUBSTITUTE(SUBSTITUTE(SUBSTITUTE(SUBSTITUTE(SUBSTITUTE(SUBSTITUTE(SUBSTITUTE(SUBSTITUTE(SUBSTITUTE(SUBSTITUTE(SUBSTITUTE(SUBSTITUTE(SUBSTITUTE(TRIM($E62),"'",""),"İ","I"),"ı","I"),"i","I"),"Ş","S"),"ş","S"),"Ğ","G"),"ğ","G"),"Ü","U"),"ü","U"),"Ö","O"),"ö","O"),"Ç","C"),"ç","C"),".",""),",","")," ",""),"-","")))</f>
        <v/>
      </c>
    </row>
    <row r="63">
      <c r="A63" s="6" t="n"/>
      <c r="B63" s="113">
        <f>IF($E63="","","A"&amp;TEXT(ROW()-6,"00000"))</f>
        <v/>
      </c>
      <c r="C63" s="108" t="n"/>
      <c r="D63" s="113">
        <f>IF($E63="","",IFERROR(INDEX(MUSTERILER!$B$7:$B$106,MATCH($U63,MUSTERILER!$T$7:$T$106,0)),IFERROR(INDEX(MUSTERILER!$B$7:$B$106,MATCH($E63,MUSTERILER!$B$7:$B$106,0)),IFERROR(INDEX(MUSTERILER!$B$7:$B$106,MATCH($U63&amp;"*",MUSTERILER!$T$7:$T$106,0)),"TANIMSIZ MÜŞTERİ"))))</f>
        <v/>
      </c>
      <c r="E63" s="109" t="n"/>
      <c r="F63" s="109" t="n"/>
      <c r="G63" s="108" t="n"/>
      <c r="H63" s="220" t="n"/>
      <c r="I63" s="220" t="n"/>
      <c r="J63" s="108" t="n"/>
      <c r="K63" s="108" t="n"/>
      <c r="L63" s="109" t="n"/>
      <c r="M63" s="109" t="n"/>
      <c r="N63" s="109" t="n"/>
      <c r="O63" s="220" t="n"/>
      <c r="P63" s="227">
        <f>IF(OR($E63="",$I63=""),"",IF(OR($J63="Tamamlandı",$J63="İptal"),"",$I63-TODAY()))</f>
        <v/>
      </c>
      <c r="Q63" s="113">
        <f>IF($E63="","",IF($D63="TANIMSIZ MÜŞTERİ","HATA",IF(OR($J63="Tamamlandı",$J63="İptal"),"KAPALI",IF(AND($C63="Görüşme",$N63=""),"SONRAKİ İŞLEM EKSİK",IF($I63="","TARİH EKSİK",IF($I63&lt;TODAY(),"GECİKMİŞ",IF($I63=TODAY(),"BUGÜN",IF($I63&lt;=TODAY()+7,"7 GÜN İÇİNDE","PLANLI"))))))))</f>
        <v/>
      </c>
      <c r="R63" s="6" t="n"/>
      <c r="S63" s="6" t="n"/>
      <c r="T63" s="3" t="n"/>
      <c r="U63" s="3">
        <f>IF($E63="","",UPPER(SUBSTITUTE(SUBSTITUTE(SUBSTITUTE(SUBSTITUTE(SUBSTITUTE(SUBSTITUTE(SUBSTITUTE(SUBSTITUTE(SUBSTITUTE(SUBSTITUTE(SUBSTITUTE(SUBSTITUTE(SUBSTITUTE(SUBSTITUTE(SUBSTITUTE(SUBSTITUTE(SUBSTITUTE(SUBSTITUTE(TRIM($E63),"'",""),"İ","I"),"ı","I"),"i","I"),"Ş","S"),"ş","S"),"Ğ","G"),"ğ","G"),"Ü","U"),"ü","U"),"Ö","O"),"ö","O"),"Ç","C"),"ç","C"),".",""),",","")," ",""),"-","")))</f>
        <v/>
      </c>
    </row>
    <row r="64">
      <c r="A64" s="6" t="n"/>
      <c r="B64" s="113">
        <f>IF($E64="","","A"&amp;TEXT(ROW()-6,"00000"))</f>
        <v/>
      </c>
      <c r="C64" s="108" t="n"/>
      <c r="D64" s="113">
        <f>IF($E64="","",IFERROR(INDEX(MUSTERILER!$B$7:$B$106,MATCH($U64,MUSTERILER!$T$7:$T$106,0)),IFERROR(INDEX(MUSTERILER!$B$7:$B$106,MATCH($E64,MUSTERILER!$B$7:$B$106,0)),IFERROR(INDEX(MUSTERILER!$B$7:$B$106,MATCH($U64&amp;"*",MUSTERILER!$T$7:$T$106,0)),"TANIMSIZ MÜŞTERİ"))))</f>
        <v/>
      </c>
      <c r="E64" s="109" t="n"/>
      <c r="F64" s="109" t="n"/>
      <c r="G64" s="108" t="n"/>
      <c r="H64" s="220" t="n"/>
      <c r="I64" s="220" t="n"/>
      <c r="J64" s="108" t="n"/>
      <c r="K64" s="108" t="n"/>
      <c r="L64" s="109" t="n"/>
      <c r="M64" s="109" t="n"/>
      <c r="N64" s="109" t="n"/>
      <c r="O64" s="220" t="n"/>
      <c r="P64" s="227">
        <f>IF(OR($E64="",$I64=""),"",IF(OR($J64="Tamamlandı",$J64="İptal"),"",$I64-TODAY()))</f>
        <v/>
      </c>
      <c r="Q64" s="113">
        <f>IF($E64="","",IF($D64="TANIMSIZ MÜŞTERİ","HATA",IF(OR($J64="Tamamlandı",$J64="İptal"),"KAPALI",IF(AND($C64="Görüşme",$N64=""),"SONRAKİ İŞLEM EKSİK",IF($I64="","TARİH EKSİK",IF($I64&lt;TODAY(),"GECİKMİŞ",IF($I64=TODAY(),"BUGÜN",IF($I64&lt;=TODAY()+7,"7 GÜN İÇİNDE","PLANLI"))))))))</f>
        <v/>
      </c>
      <c r="R64" s="6" t="n"/>
      <c r="S64" s="6" t="n"/>
      <c r="T64" s="3" t="n"/>
      <c r="U64" s="3">
        <f>IF($E64="","",UPPER(SUBSTITUTE(SUBSTITUTE(SUBSTITUTE(SUBSTITUTE(SUBSTITUTE(SUBSTITUTE(SUBSTITUTE(SUBSTITUTE(SUBSTITUTE(SUBSTITUTE(SUBSTITUTE(SUBSTITUTE(SUBSTITUTE(SUBSTITUTE(SUBSTITUTE(SUBSTITUTE(SUBSTITUTE(SUBSTITUTE(TRIM($E64),"'",""),"İ","I"),"ı","I"),"i","I"),"Ş","S"),"ş","S"),"Ğ","G"),"ğ","G"),"Ü","U"),"ü","U"),"Ö","O"),"ö","O"),"Ç","C"),"ç","C"),".",""),",","")," ",""),"-","")))</f>
        <v/>
      </c>
    </row>
    <row r="65">
      <c r="A65" s="6" t="n"/>
      <c r="B65" s="113">
        <f>IF($E65="","","A"&amp;TEXT(ROW()-6,"00000"))</f>
        <v/>
      </c>
      <c r="C65" s="108" t="n"/>
      <c r="D65" s="113">
        <f>IF($E65="","",IFERROR(INDEX(MUSTERILER!$B$7:$B$106,MATCH($U65,MUSTERILER!$T$7:$T$106,0)),IFERROR(INDEX(MUSTERILER!$B$7:$B$106,MATCH($E65,MUSTERILER!$B$7:$B$106,0)),IFERROR(INDEX(MUSTERILER!$B$7:$B$106,MATCH($U65&amp;"*",MUSTERILER!$T$7:$T$106,0)),"TANIMSIZ MÜŞTERİ"))))</f>
        <v/>
      </c>
      <c r="E65" s="109" t="n"/>
      <c r="F65" s="109" t="n"/>
      <c r="G65" s="108" t="n"/>
      <c r="H65" s="220" t="n"/>
      <c r="I65" s="220" t="n"/>
      <c r="J65" s="108" t="n"/>
      <c r="K65" s="108" t="n"/>
      <c r="L65" s="109" t="n"/>
      <c r="M65" s="109" t="n"/>
      <c r="N65" s="109" t="n"/>
      <c r="O65" s="220" t="n"/>
      <c r="P65" s="227">
        <f>IF(OR($E65="",$I65=""),"",IF(OR($J65="Tamamlandı",$J65="İptal"),"",$I65-TODAY()))</f>
        <v/>
      </c>
      <c r="Q65" s="113">
        <f>IF($E65="","",IF($D65="TANIMSIZ MÜŞTERİ","HATA",IF(OR($J65="Tamamlandı",$J65="İptal"),"KAPALI",IF(AND($C65="Görüşme",$N65=""),"SONRAKİ İŞLEM EKSİK",IF($I65="","TARİH EKSİK",IF($I65&lt;TODAY(),"GECİKMİŞ",IF($I65=TODAY(),"BUGÜN",IF($I65&lt;=TODAY()+7,"7 GÜN İÇİNDE","PLANLI"))))))))</f>
        <v/>
      </c>
      <c r="R65" s="6" t="n"/>
      <c r="S65" s="6" t="n"/>
      <c r="T65" s="3" t="n"/>
      <c r="U65" s="3">
        <f>IF($E65="","",UPPER(SUBSTITUTE(SUBSTITUTE(SUBSTITUTE(SUBSTITUTE(SUBSTITUTE(SUBSTITUTE(SUBSTITUTE(SUBSTITUTE(SUBSTITUTE(SUBSTITUTE(SUBSTITUTE(SUBSTITUTE(SUBSTITUTE(SUBSTITUTE(SUBSTITUTE(SUBSTITUTE(SUBSTITUTE(SUBSTITUTE(TRIM($E65),"'",""),"İ","I"),"ı","I"),"i","I"),"Ş","S"),"ş","S"),"Ğ","G"),"ğ","G"),"Ü","U"),"ü","U"),"Ö","O"),"ö","O"),"Ç","C"),"ç","C"),".",""),",","")," ",""),"-","")))</f>
        <v/>
      </c>
    </row>
    <row r="66">
      <c r="A66" s="6" t="n"/>
      <c r="B66" s="113">
        <f>IF($E66="","","A"&amp;TEXT(ROW()-6,"00000"))</f>
        <v/>
      </c>
      <c r="C66" s="108" t="n"/>
      <c r="D66" s="113">
        <f>IF($E66="","",IFERROR(INDEX(MUSTERILER!$B$7:$B$106,MATCH($U66,MUSTERILER!$T$7:$T$106,0)),IFERROR(INDEX(MUSTERILER!$B$7:$B$106,MATCH($E66,MUSTERILER!$B$7:$B$106,0)),IFERROR(INDEX(MUSTERILER!$B$7:$B$106,MATCH($U66&amp;"*",MUSTERILER!$T$7:$T$106,0)),"TANIMSIZ MÜŞTERİ"))))</f>
        <v/>
      </c>
      <c r="E66" s="109" t="n"/>
      <c r="F66" s="109" t="n"/>
      <c r="G66" s="108" t="n"/>
      <c r="H66" s="220" t="n"/>
      <c r="I66" s="220" t="n"/>
      <c r="J66" s="108" t="n"/>
      <c r="K66" s="108" t="n"/>
      <c r="L66" s="109" t="n"/>
      <c r="M66" s="109" t="n"/>
      <c r="N66" s="109" t="n"/>
      <c r="O66" s="220" t="n"/>
      <c r="P66" s="227">
        <f>IF(OR($E66="",$I66=""),"",IF(OR($J66="Tamamlandı",$J66="İptal"),"",$I66-TODAY()))</f>
        <v/>
      </c>
      <c r="Q66" s="113">
        <f>IF($E66="","",IF($D66="TANIMSIZ MÜŞTERİ","HATA",IF(OR($J66="Tamamlandı",$J66="İptal"),"KAPALI",IF(AND($C66="Görüşme",$N66=""),"SONRAKİ İŞLEM EKSİK",IF($I66="","TARİH EKSİK",IF($I66&lt;TODAY(),"GECİKMİŞ",IF($I66=TODAY(),"BUGÜN",IF($I66&lt;=TODAY()+7,"7 GÜN İÇİNDE","PLANLI"))))))))</f>
        <v/>
      </c>
      <c r="R66" s="6" t="n"/>
      <c r="S66" s="6" t="n"/>
      <c r="T66" s="3" t="n"/>
      <c r="U66" s="3">
        <f>IF($E66="","",UPPER(SUBSTITUTE(SUBSTITUTE(SUBSTITUTE(SUBSTITUTE(SUBSTITUTE(SUBSTITUTE(SUBSTITUTE(SUBSTITUTE(SUBSTITUTE(SUBSTITUTE(SUBSTITUTE(SUBSTITUTE(SUBSTITUTE(SUBSTITUTE(SUBSTITUTE(SUBSTITUTE(SUBSTITUTE(SUBSTITUTE(TRIM($E66),"'",""),"İ","I"),"ı","I"),"i","I"),"Ş","S"),"ş","S"),"Ğ","G"),"ğ","G"),"Ü","U"),"ü","U"),"Ö","O"),"ö","O"),"Ç","C"),"ç","C"),".",""),",","")," ",""),"-","")))</f>
        <v/>
      </c>
    </row>
    <row r="67">
      <c r="A67" s="6" t="n"/>
      <c r="B67" s="113">
        <f>IF($E67="","","A"&amp;TEXT(ROW()-6,"00000"))</f>
        <v/>
      </c>
      <c r="C67" s="108" t="n"/>
      <c r="D67" s="113">
        <f>IF($E67="","",IFERROR(INDEX(MUSTERILER!$B$7:$B$106,MATCH($U67,MUSTERILER!$T$7:$T$106,0)),IFERROR(INDEX(MUSTERILER!$B$7:$B$106,MATCH($E67,MUSTERILER!$B$7:$B$106,0)),IFERROR(INDEX(MUSTERILER!$B$7:$B$106,MATCH($U67&amp;"*",MUSTERILER!$T$7:$T$106,0)),"TANIMSIZ MÜŞTERİ"))))</f>
        <v/>
      </c>
      <c r="E67" s="109" t="n"/>
      <c r="F67" s="109" t="n"/>
      <c r="G67" s="108" t="n"/>
      <c r="H67" s="220" t="n"/>
      <c r="I67" s="220" t="n"/>
      <c r="J67" s="108" t="n"/>
      <c r="K67" s="108" t="n"/>
      <c r="L67" s="109" t="n"/>
      <c r="M67" s="109" t="n"/>
      <c r="N67" s="109" t="n"/>
      <c r="O67" s="220" t="n"/>
      <c r="P67" s="227">
        <f>IF(OR($E67="",$I67=""),"",IF(OR($J67="Tamamlandı",$J67="İptal"),"",$I67-TODAY()))</f>
        <v/>
      </c>
      <c r="Q67" s="113">
        <f>IF($E67="","",IF($D67="TANIMSIZ MÜŞTERİ","HATA",IF(OR($J67="Tamamlandı",$J67="İptal"),"KAPALI",IF(AND($C67="Görüşme",$N67=""),"SONRAKİ İŞLEM EKSİK",IF($I67="","TARİH EKSİK",IF($I67&lt;TODAY(),"GECİKMİŞ",IF($I67=TODAY(),"BUGÜN",IF($I67&lt;=TODAY()+7,"7 GÜN İÇİNDE","PLANLI"))))))))</f>
        <v/>
      </c>
      <c r="R67" s="6" t="n"/>
      <c r="S67" s="6" t="n"/>
      <c r="T67" s="3" t="n"/>
      <c r="U67" s="3">
        <f>IF($E67="","",UPPER(SUBSTITUTE(SUBSTITUTE(SUBSTITUTE(SUBSTITUTE(SUBSTITUTE(SUBSTITUTE(SUBSTITUTE(SUBSTITUTE(SUBSTITUTE(SUBSTITUTE(SUBSTITUTE(SUBSTITUTE(SUBSTITUTE(SUBSTITUTE(SUBSTITUTE(SUBSTITUTE(SUBSTITUTE(SUBSTITUTE(TRIM($E67),"'",""),"İ","I"),"ı","I"),"i","I"),"Ş","S"),"ş","S"),"Ğ","G"),"ğ","G"),"Ü","U"),"ü","U"),"Ö","O"),"ö","O"),"Ç","C"),"ç","C"),".",""),",","")," ",""),"-","")))</f>
        <v/>
      </c>
    </row>
    <row r="68">
      <c r="A68" s="6" t="n"/>
      <c r="B68" s="113">
        <f>IF($E68="","","A"&amp;TEXT(ROW()-6,"00000"))</f>
        <v/>
      </c>
      <c r="C68" s="108" t="n"/>
      <c r="D68" s="113">
        <f>IF($E68="","",IFERROR(INDEX(MUSTERILER!$B$7:$B$106,MATCH($U68,MUSTERILER!$T$7:$T$106,0)),IFERROR(INDEX(MUSTERILER!$B$7:$B$106,MATCH($E68,MUSTERILER!$B$7:$B$106,0)),IFERROR(INDEX(MUSTERILER!$B$7:$B$106,MATCH($U68&amp;"*",MUSTERILER!$T$7:$T$106,0)),"TANIMSIZ MÜŞTERİ"))))</f>
        <v/>
      </c>
      <c r="E68" s="109" t="n"/>
      <c r="F68" s="109" t="n"/>
      <c r="G68" s="108" t="n"/>
      <c r="H68" s="220" t="n"/>
      <c r="I68" s="220" t="n"/>
      <c r="J68" s="108" t="n"/>
      <c r="K68" s="108" t="n"/>
      <c r="L68" s="109" t="n"/>
      <c r="M68" s="109" t="n"/>
      <c r="N68" s="109" t="n"/>
      <c r="O68" s="220" t="n"/>
      <c r="P68" s="227">
        <f>IF(OR($E68="",$I68=""),"",IF(OR($J68="Tamamlandı",$J68="İptal"),"",$I68-TODAY()))</f>
        <v/>
      </c>
      <c r="Q68" s="113">
        <f>IF($E68="","",IF($D68="TANIMSIZ MÜŞTERİ","HATA",IF(OR($J68="Tamamlandı",$J68="İptal"),"KAPALI",IF(AND($C68="Görüşme",$N68=""),"SONRAKİ İŞLEM EKSİK",IF($I68="","TARİH EKSİK",IF($I68&lt;TODAY(),"GECİKMİŞ",IF($I68=TODAY(),"BUGÜN",IF($I68&lt;=TODAY()+7,"7 GÜN İÇİNDE","PLANLI"))))))))</f>
        <v/>
      </c>
      <c r="R68" s="6" t="n"/>
      <c r="S68" s="6" t="n"/>
      <c r="T68" s="3" t="n"/>
      <c r="U68" s="3">
        <f>IF($E68="","",UPPER(SUBSTITUTE(SUBSTITUTE(SUBSTITUTE(SUBSTITUTE(SUBSTITUTE(SUBSTITUTE(SUBSTITUTE(SUBSTITUTE(SUBSTITUTE(SUBSTITUTE(SUBSTITUTE(SUBSTITUTE(SUBSTITUTE(SUBSTITUTE(SUBSTITUTE(SUBSTITUTE(SUBSTITUTE(SUBSTITUTE(TRIM($E68),"'",""),"İ","I"),"ı","I"),"i","I"),"Ş","S"),"ş","S"),"Ğ","G"),"ğ","G"),"Ü","U"),"ü","U"),"Ö","O"),"ö","O"),"Ç","C"),"ç","C"),".",""),",","")," ",""),"-","")))</f>
        <v/>
      </c>
    </row>
    <row r="69">
      <c r="A69" s="6" t="n"/>
      <c r="B69" s="113">
        <f>IF($E69="","","A"&amp;TEXT(ROW()-6,"00000"))</f>
        <v/>
      </c>
      <c r="C69" s="108" t="n"/>
      <c r="D69" s="113">
        <f>IF($E69="","",IFERROR(INDEX(MUSTERILER!$B$7:$B$106,MATCH($U69,MUSTERILER!$T$7:$T$106,0)),IFERROR(INDEX(MUSTERILER!$B$7:$B$106,MATCH($E69,MUSTERILER!$B$7:$B$106,0)),IFERROR(INDEX(MUSTERILER!$B$7:$B$106,MATCH($U69&amp;"*",MUSTERILER!$T$7:$T$106,0)),"TANIMSIZ MÜŞTERİ"))))</f>
        <v/>
      </c>
      <c r="E69" s="109" t="n"/>
      <c r="F69" s="109" t="n"/>
      <c r="G69" s="108" t="n"/>
      <c r="H69" s="220" t="n"/>
      <c r="I69" s="220" t="n"/>
      <c r="J69" s="108" t="n"/>
      <c r="K69" s="108" t="n"/>
      <c r="L69" s="109" t="n"/>
      <c r="M69" s="109" t="n"/>
      <c r="N69" s="109" t="n"/>
      <c r="O69" s="220" t="n"/>
      <c r="P69" s="227">
        <f>IF(OR($E69="",$I69=""),"",IF(OR($J69="Tamamlandı",$J69="İptal"),"",$I69-TODAY()))</f>
        <v/>
      </c>
      <c r="Q69" s="113">
        <f>IF($E69="","",IF($D69="TANIMSIZ MÜŞTERİ","HATA",IF(OR($J69="Tamamlandı",$J69="İptal"),"KAPALI",IF(AND($C69="Görüşme",$N69=""),"SONRAKİ İŞLEM EKSİK",IF($I69="","TARİH EKSİK",IF($I69&lt;TODAY(),"GECİKMİŞ",IF($I69=TODAY(),"BUGÜN",IF($I69&lt;=TODAY()+7,"7 GÜN İÇİNDE","PLANLI"))))))))</f>
        <v/>
      </c>
      <c r="R69" s="6" t="n"/>
      <c r="S69" s="6" t="n"/>
      <c r="T69" s="3" t="n"/>
      <c r="U69" s="3">
        <f>IF($E69="","",UPPER(SUBSTITUTE(SUBSTITUTE(SUBSTITUTE(SUBSTITUTE(SUBSTITUTE(SUBSTITUTE(SUBSTITUTE(SUBSTITUTE(SUBSTITUTE(SUBSTITUTE(SUBSTITUTE(SUBSTITUTE(SUBSTITUTE(SUBSTITUTE(SUBSTITUTE(SUBSTITUTE(SUBSTITUTE(SUBSTITUTE(TRIM($E69),"'",""),"İ","I"),"ı","I"),"i","I"),"Ş","S"),"ş","S"),"Ğ","G"),"ğ","G"),"Ü","U"),"ü","U"),"Ö","O"),"ö","O"),"Ç","C"),"ç","C"),".",""),",","")," ",""),"-","")))</f>
        <v/>
      </c>
    </row>
    <row r="70">
      <c r="A70" s="6" t="n"/>
      <c r="B70" s="113">
        <f>IF($E70="","","A"&amp;TEXT(ROW()-6,"00000"))</f>
        <v/>
      </c>
      <c r="C70" s="108" t="n"/>
      <c r="D70" s="113">
        <f>IF($E70="","",IFERROR(INDEX(MUSTERILER!$B$7:$B$106,MATCH($U70,MUSTERILER!$T$7:$T$106,0)),IFERROR(INDEX(MUSTERILER!$B$7:$B$106,MATCH($E70,MUSTERILER!$B$7:$B$106,0)),IFERROR(INDEX(MUSTERILER!$B$7:$B$106,MATCH($U70&amp;"*",MUSTERILER!$T$7:$T$106,0)),"TANIMSIZ MÜŞTERİ"))))</f>
        <v/>
      </c>
      <c r="E70" s="109" t="n"/>
      <c r="F70" s="109" t="n"/>
      <c r="G70" s="108" t="n"/>
      <c r="H70" s="220" t="n"/>
      <c r="I70" s="220" t="n"/>
      <c r="J70" s="108" t="n"/>
      <c r="K70" s="108" t="n"/>
      <c r="L70" s="109" t="n"/>
      <c r="M70" s="109" t="n"/>
      <c r="N70" s="109" t="n"/>
      <c r="O70" s="220" t="n"/>
      <c r="P70" s="227">
        <f>IF(OR($E70="",$I70=""),"",IF(OR($J70="Tamamlandı",$J70="İptal"),"",$I70-TODAY()))</f>
        <v/>
      </c>
      <c r="Q70" s="113">
        <f>IF($E70="","",IF($D70="TANIMSIZ MÜŞTERİ","HATA",IF(OR($J70="Tamamlandı",$J70="İptal"),"KAPALI",IF(AND($C70="Görüşme",$N70=""),"SONRAKİ İŞLEM EKSİK",IF($I70="","TARİH EKSİK",IF($I70&lt;TODAY(),"GECİKMİŞ",IF($I70=TODAY(),"BUGÜN",IF($I70&lt;=TODAY()+7,"7 GÜN İÇİNDE","PLANLI"))))))))</f>
        <v/>
      </c>
      <c r="R70" s="6" t="n"/>
      <c r="S70" s="6" t="n"/>
      <c r="T70" s="3" t="n"/>
      <c r="U70" s="3">
        <f>IF($E70="","",UPPER(SUBSTITUTE(SUBSTITUTE(SUBSTITUTE(SUBSTITUTE(SUBSTITUTE(SUBSTITUTE(SUBSTITUTE(SUBSTITUTE(SUBSTITUTE(SUBSTITUTE(SUBSTITUTE(SUBSTITUTE(SUBSTITUTE(SUBSTITUTE(SUBSTITUTE(SUBSTITUTE(SUBSTITUTE(SUBSTITUTE(TRIM($E70),"'",""),"İ","I"),"ı","I"),"i","I"),"Ş","S"),"ş","S"),"Ğ","G"),"ğ","G"),"Ü","U"),"ü","U"),"Ö","O"),"ö","O"),"Ç","C"),"ç","C"),".",""),",","")," ",""),"-","")))</f>
        <v/>
      </c>
    </row>
    <row r="71">
      <c r="A71" s="6" t="n"/>
      <c r="B71" s="113">
        <f>IF($E71="","","A"&amp;TEXT(ROW()-6,"00000"))</f>
        <v/>
      </c>
      <c r="C71" s="108" t="n"/>
      <c r="D71" s="113">
        <f>IF($E71="","",IFERROR(INDEX(MUSTERILER!$B$7:$B$106,MATCH($U71,MUSTERILER!$T$7:$T$106,0)),IFERROR(INDEX(MUSTERILER!$B$7:$B$106,MATCH($E71,MUSTERILER!$B$7:$B$106,0)),IFERROR(INDEX(MUSTERILER!$B$7:$B$106,MATCH($U71&amp;"*",MUSTERILER!$T$7:$T$106,0)),"TANIMSIZ MÜŞTERİ"))))</f>
        <v/>
      </c>
      <c r="E71" s="109" t="n"/>
      <c r="F71" s="109" t="n"/>
      <c r="G71" s="108" t="n"/>
      <c r="H71" s="220" t="n"/>
      <c r="I71" s="220" t="n"/>
      <c r="J71" s="108" t="n"/>
      <c r="K71" s="108" t="n"/>
      <c r="L71" s="109" t="n"/>
      <c r="M71" s="109" t="n"/>
      <c r="N71" s="109" t="n"/>
      <c r="O71" s="220" t="n"/>
      <c r="P71" s="227">
        <f>IF(OR($E71="",$I71=""),"",IF(OR($J71="Tamamlandı",$J71="İptal"),"",$I71-TODAY()))</f>
        <v/>
      </c>
      <c r="Q71" s="113">
        <f>IF($E71="","",IF($D71="TANIMSIZ MÜŞTERİ","HATA",IF(OR($J71="Tamamlandı",$J71="İptal"),"KAPALI",IF(AND($C71="Görüşme",$N71=""),"SONRAKİ İŞLEM EKSİK",IF($I71="","TARİH EKSİK",IF($I71&lt;TODAY(),"GECİKMİŞ",IF($I71=TODAY(),"BUGÜN",IF($I71&lt;=TODAY()+7,"7 GÜN İÇİNDE","PLANLI"))))))))</f>
        <v/>
      </c>
      <c r="R71" s="6" t="n"/>
      <c r="S71" s="6" t="n"/>
      <c r="T71" s="3" t="n"/>
      <c r="U71" s="3">
        <f>IF($E71="","",UPPER(SUBSTITUTE(SUBSTITUTE(SUBSTITUTE(SUBSTITUTE(SUBSTITUTE(SUBSTITUTE(SUBSTITUTE(SUBSTITUTE(SUBSTITUTE(SUBSTITUTE(SUBSTITUTE(SUBSTITUTE(SUBSTITUTE(SUBSTITUTE(SUBSTITUTE(SUBSTITUTE(SUBSTITUTE(SUBSTITUTE(TRIM($E71),"'",""),"İ","I"),"ı","I"),"i","I"),"Ş","S"),"ş","S"),"Ğ","G"),"ğ","G"),"Ü","U"),"ü","U"),"Ö","O"),"ö","O"),"Ç","C"),"ç","C"),".",""),",","")," ",""),"-","")))</f>
        <v/>
      </c>
    </row>
    <row r="72">
      <c r="A72" s="6" t="n"/>
      <c r="B72" s="113">
        <f>IF($E72="","","A"&amp;TEXT(ROW()-6,"00000"))</f>
        <v/>
      </c>
      <c r="C72" s="108" t="n"/>
      <c r="D72" s="113">
        <f>IF($E72="","",IFERROR(INDEX(MUSTERILER!$B$7:$B$106,MATCH($U72,MUSTERILER!$T$7:$T$106,0)),IFERROR(INDEX(MUSTERILER!$B$7:$B$106,MATCH($E72,MUSTERILER!$B$7:$B$106,0)),IFERROR(INDEX(MUSTERILER!$B$7:$B$106,MATCH($U72&amp;"*",MUSTERILER!$T$7:$T$106,0)),"TANIMSIZ MÜŞTERİ"))))</f>
        <v/>
      </c>
      <c r="E72" s="109" t="n"/>
      <c r="F72" s="109" t="n"/>
      <c r="G72" s="108" t="n"/>
      <c r="H72" s="220" t="n"/>
      <c r="I72" s="220" t="n"/>
      <c r="J72" s="108" t="n"/>
      <c r="K72" s="108" t="n"/>
      <c r="L72" s="109" t="n"/>
      <c r="M72" s="109" t="n"/>
      <c r="N72" s="109" t="n"/>
      <c r="O72" s="220" t="n"/>
      <c r="P72" s="227">
        <f>IF(OR($E72="",$I72=""),"",IF(OR($J72="Tamamlandı",$J72="İptal"),"",$I72-TODAY()))</f>
        <v/>
      </c>
      <c r="Q72" s="113">
        <f>IF($E72="","",IF($D72="TANIMSIZ MÜŞTERİ","HATA",IF(OR($J72="Tamamlandı",$J72="İptal"),"KAPALI",IF(AND($C72="Görüşme",$N72=""),"SONRAKİ İŞLEM EKSİK",IF($I72="","TARİH EKSİK",IF($I72&lt;TODAY(),"GECİKMİŞ",IF($I72=TODAY(),"BUGÜN",IF($I72&lt;=TODAY()+7,"7 GÜN İÇİNDE","PLANLI"))))))))</f>
        <v/>
      </c>
      <c r="R72" s="6" t="n"/>
      <c r="S72" s="6" t="n"/>
      <c r="T72" s="3" t="n"/>
      <c r="U72" s="3">
        <f>IF($E72="","",UPPER(SUBSTITUTE(SUBSTITUTE(SUBSTITUTE(SUBSTITUTE(SUBSTITUTE(SUBSTITUTE(SUBSTITUTE(SUBSTITUTE(SUBSTITUTE(SUBSTITUTE(SUBSTITUTE(SUBSTITUTE(SUBSTITUTE(SUBSTITUTE(SUBSTITUTE(SUBSTITUTE(SUBSTITUTE(SUBSTITUTE(TRIM($E72),"'",""),"İ","I"),"ı","I"),"i","I"),"Ş","S"),"ş","S"),"Ğ","G"),"ğ","G"),"Ü","U"),"ü","U"),"Ö","O"),"ö","O"),"Ç","C"),"ç","C"),".",""),",","")," ",""),"-","")))</f>
        <v/>
      </c>
    </row>
    <row r="73">
      <c r="A73" s="6" t="n"/>
      <c r="B73" s="113">
        <f>IF($E73="","","A"&amp;TEXT(ROW()-6,"00000"))</f>
        <v/>
      </c>
      <c r="C73" s="108" t="n"/>
      <c r="D73" s="113">
        <f>IF($E73="","",IFERROR(INDEX(MUSTERILER!$B$7:$B$106,MATCH($U73,MUSTERILER!$T$7:$T$106,0)),IFERROR(INDEX(MUSTERILER!$B$7:$B$106,MATCH($E73,MUSTERILER!$B$7:$B$106,0)),IFERROR(INDEX(MUSTERILER!$B$7:$B$106,MATCH($U73&amp;"*",MUSTERILER!$T$7:$T$106,0)),"TANIMSIZ MÜŞTERİ"))))</f>
        <v/>
      </c>
      <c r="E73" s="109" t="n"/>
      <c r="F73" s="109" t="n"/>
      <c r="G73" s="108" t="n"/>
      <c r="H73" s="220" t="n"/>
      <c r="I73" s="220" t="n"/>
      <c r="J73" s="108" t="n"/>
      <c r="K73" s="108" t="n"/>
      <c r="L73" s="109" t="n"/>
      <c r="M73" s="109" t="n"/>
      <c r="N73" s="109" t="n"/>
      <c r="O73" s="220" t="n"/>
      <c r="P73" s="227">
        <f>IF(OR($E73="",$I73=""),"",IF(OR($J73="Tamamlandı",$J73="İptal"),"",$I73-TODAY()))</f>
        <v/>
      </c>
      <c r="Q73" s="113">
        <f>IF($E73="","",IF($D73="TANIMSIZ MÜŞTERİ","HATA",IF(OR($J73="Tamamlandı",$J73="İptal"),"KAPALI",IF(AND($C73="Görüşme",$N73=""),"SONRAKİ İŞLEM EKSİK",IF($I73="","TARİH EKSİK",IF($I73&lt;TODAY(),"GECİKMİŞ",IF($I73=TODAY(),"BUGÜN",IF($I73&lt;=TODAY()+7,"7 GÜN İÇİNDE","PLANLI"))))))))</f>
        <v/>
      </c>
      <c r="R73" s="6" t="n"/>
      <c r="S73" s="6" t="n"/>
      <c r="T73" s="3" t="n"/>
      <c r="U73" s="3">
        <f>IF($E73="","",UPPER(SUBSTITUTE(SUBSTITUTE(SUBSTITUTE(SUBSTITUTE(SUBSTITUTE(SUBSTITUTE(SUBSTITUTE(SUBSTITUTE(SUBSTITUTE(SUBSTITUTE(SUBSTITUTE(SUBSTITUTE(SUBSTITUTE(SUBSTITUTE(SUBSTITUTE(SUBSTITUTE(SUBSTITUTE(SUBSTITUTE(TRIM($E73),"'",""),"İ","I"),"ı","I"),"i","I"),"Ş","S"),"ş","S"),"Ğ","G"),"ğ","G"),"Ü","U"),"ü","U"),"Ö","O"),"ö","O"),"Ç","C"),"ç","C"),".",""),",","")," ",""),"-","")))</f>
        <v/>
      </c>
    </row>
    <row r="74">
      <c r="A74" s="6" t="n"/>
      <c r="B74" s="113">
        <f>IF($E74="","","A"&amp;TEXT(ROW()-6,"00000"))</f>
        <v/>
      </c>
      <c r="C74" s="108" t="n"/>
      <c r="D74" s="113">
        <f>IF($E74="","",IFERROR(INDEX(MUSTERILER!$B$7:$B$106,MATCH($U74,MUSTERILER!$T$7:$T$106,0)),IFERROR(INDEX(MUSTERILER!$B$7:$B$106,MATCH($E74,MUSTERILER!$B$7:$B$106,0)),IFERROR(INDEX(MUSTERILER!$B$7:$B$106,MATCH($U74&amp;"*",MUSTERILER!$T$7:$T$106,0)),"TANIMSIZ MÜŞTERİ"))))</f>
        <v/>
      </c>
      <c r="E74" s="109" t="n"/>
      <c r="F74" s="109" t="n"/>
      <c r="G74" s="108" t="n"/>
      <c r="H74" s="220" t="n"/>
      <c r="I74" s="220" t="n"/>
      <c r="J74" s="108" t="n"/>
      <c r="K74" s="108" t="n"/>
      <c r="L74" s="109" t="n"/>
      <c r="M74" s="109" t="n"/>
      <c r="N74" s="109" t="n"/>
      <c r="O74" s="220" t="n"/>
      <c r="P74" s="227">
        <f>IF(OR($E74="",$I74=""),"",IF(OR($J74="Tamamlandı",$J74="İptal"),"",$I74-TODAY()))</f>
        <v/>
      </c>
      <c r="Q74" s="113">
        <f>IF($E74="","",IF($D74="TANIMSIZ MÜŞTERİ","HATA",IF(OR($J74="Tamamlandı",$J74="İptal"),"KAPALI",IF(AND($C74="Görüşme",$N74=""),"SONRAKİ İŞLEM EKSİK",IF($I74="","TARİH EKSİK",IF($I74&lt;TODAY(),"GECİKMİŞ",IF($I74=TODAY(),"BUGÜN",IF($I74&lt;=TODAY()+7,"7 GÜN İÇİNDE","PLANLI"))))))))</f>
        <v/>
      </c>
      <c r="R74" s="6" t="n"/>
      <c r="S74" s="6" t="n"/>
      <c r="T74" s="3" t="n"/>
      <c r="U74" s="3">
        <f>IF($E74="","",UPPER(SUBSTITUTE(SUBSTITUTE(SUBSTITUTE(SUBSTITUTE(SUBSTITUTE(SUBSTITUTE(SUBSTITUTE(SUBSTITUTE(SUBSTITUTE(SUBSTITUTE(SUBSTITUTE(SUBSTITUTE(SUBSTITUTE(SUBSTITUTE(SUBSTITUTE(SUBSTITUTE(SUBSTITUTE(SUBSTITUTE(TRIM($E74),"'",""),"İ","I"),"ı","I"),"i","I"),"Ş","S"),"ş","S"),"Ğ","G"),"ğ","G"),"Ü","U"),"ü","U"),"Ö","O"),"ö","O"),"Ç","C"),"ç","C"),".",""),",","")," ",""),"-","")))</f>
        <v/>
      </c>
    </row>
    <row r="75">
      <c r="A75" s="6" t="n"/>
      <c r="B75" s="113">
        <f>IF($E75="","","A"&amp;TEXT(ROW()-6,"00000"))</f>
        <v/>
      </c>
      <c r="C75" s="108" t="n"/>
      <c r="D75" s="113">
        <f>IF($E75="","",IFERROR(INDEX(MUSTERILER!$B$7:$B$106,MATCH($U75,MUSTERILER!$T$7:$T$106,0)),IFERROR(INDEX(MUSTERILER!$B$7:$B$106,MATCH($E75,MUSTERILER!$B$7:$B$106,0)),IFERROR(INDEX(MUSTERILER!$B$7:$B$106,MATCH($U75&amp;"*",MUSTERILER!$T$7:$T$106,0)),"TANIMSIZ MÜŞTERİ"))))</f>
        <v/>
      </c>
      <c r="E75" s="109" t="n"/>
      <c r="F75" s="109" t="n"/>
      <c r="G75" s="108" t="n"/>
      <c r="H75" s="220" t="n"/>
      <c r="I75" s="220" t="n"/>
      <c r="J75" s="108" t="n"/>
      <c r="K75" s="108" t="n"/>
      <c r="L75" s="109" t="n"/>
      <c r="M75" s="109" t="n"/>
      <c r="N75" s="109" t="n"/>
      <c r="O75" s="220" t="n"/>
      <c r="P75" s="227">
        <f>IF(OR($E75="",$I75=""),"",IF(OR($J75="Tamamlandı",$J75="İptal"),"",$I75-TODAY()))</f>
        <v/>
      </c>
      <c r="Q75" s="113">
        <f>IF($E75="","",IF($D75="TANIMSIZ MÜŞTERİ","HATA",IF(OR($J75="Tamamlandı",$J75="İptal"),"KAPALI",IF(AND($C75="Görüşme",$N75=""),"SONRAKİ İŞLEM EKSİK",IF($I75="","TARİH EKSİK",IF($I75&lt;TODAY(),"GECİKMİŞ",IF($I75=TODAY(),"BUGÜN",IF($I75&lt;=TODAY()+7,"7 GÜN İÇİNDE","PLANLI"))))))))</f>
        <v/>
      </c>
      <c r="R75" s="6" t="n"/>
      <c r="S75" s="6" t="n"/>
      <c r="T75" s="3" t="n"/>
      <c r="U75" s="3">
        <f>IF($E75="","",UPPER(SUBSTITUTE(SUBSTITUTE(SUBSTITUTE(SUBSTITUTE(SUBSTITUTE(SUBSTITUTE(SUBSTITUTE(SUBSTITUTE(SUBSTITUTE(SUBSTITUTE(SUBSTITUTE(SUBSTITUTE(SUBSTITUTE(SUBSTITUTE(SUBSTITUTE(SUBSTITUTE(SUBSTITUTE(SUBSTITUTE(TRIM($E75),"'",""),"İ","I"),"ı","I"),"i","I"),"Ş","S"),"ş","S"),"Ğ","G"),"ğ","G"),"Ü","U"),"ü","U"),"Ö","O"),"ö","O"),"Ç","C"),"ç","C"),".",""),",","")," ",""),"-","")))</f>
        <v/>
      </c>
    </row>
    <row r="76">
      <c r="A76" s="6" t="n"/>
      <c r="B76" s="113">
        <f>IF($E76="","","A"&amp;TEXT(ROW()-6,"00000"))</f>
        <v/>
      </c>
      <c r="C76" s="108" t="n"/>
      <c r="D76" s="113">
        <f>IF($E76="","",IFERROR(INDEX(MUSTERILER!$B$7:$B$106,MATCH($U76,MUSTERILER!$T$7:$T$106,0)),IFERROR(INDEX(MUSTERILER!$B$7:$B$106,MATCH($E76,MUSTERILER!$B$7:$B$106,0)),IFERROR(INDEX(MUSTERILER!$B$7:$B$106,MATCH($U76&amp;"*",MUSTERILER!$T$7:$T$106,0)),"TANIMSIZ MÜŞTERİ"))))</f>
        <v/>
      </c>
      <c r="E76" s="109" t="n"/>
      <c r="F76" s="109" t="n"/>
      <c r="G76" s="108" t="n"/>
      <c r="H76" s="220" t="n"/>
      <c r="I76" s="220" t="n"/>
      <c r="J76" s="108" t="n"/>
      <c r="K76" s="108" t="n"/>
      <c r="L76" s="109" t="n"/>
      <c r="M76" s="109" t="n"/>
      <c r="N76" s="109" t="n"/>
      <c r="O76" s="220" t="n"/>
      <c r="P76" s="227">
        <f>IF(OR($E76="",$I76=""),"",IF(OR($J76="Tamamlandı",$J76="İptal"),"",$I76-TODAY()))</f>
        <v/>
      </c>
      <c r="Q76" s="113">
        <f>IF($E76="","",IF($D76="TANIMSIZ MÜŞTERİ","HATA",IF(OR($J76="Tamamlandı",$J76="İptal"),"KAPALI",IF(AND($C76="Görüşme",$N76=""),"SONRAKİ İŞLEM EKSİK",IF($I76="","TARİH EKSİK",IF($I76&lt;TODAY(),"GECİKMİŞ",IF($I76=TODAY(),"BUGÜN",IF($I76&lt;=TODAY()+7,"7 GÜN İÇİNDE","PLANLI"))))))))</f>
        <v/>
      </c>
      <c r="R76" s="6" t="n"/>
      <c r="S76" s="6" t="n"/>
      <c r="T76" s="3" t="n"/>
      <c r="U76" s="3">
        <f>IF($E76="","",UPPER(SUBSTITUTE(SUBSTITUTE(SUBSTITUTE(SUBSTITUTE(SUBSTITUTE(SUBSTITUTE(SUBSTITUTE(SUBSTITUTE(SUBSTITUTE(SUBSTITUTE(SUBSTITUTE(SUBSTITUTE(SUBSTITUTE(SUBSTITUTE(SUBSTITUTE(SUBSTITUTE(SUBSTITUTE(SUBSTITUTE(TRIM($E76),"'",""),"İ","I"),"ı","I"),"i","I"),"Ş","S"),"ş","S"),"Ğ","G"),"ğ","G"),"Ü","U"),"ü","U"),"Ö","O"),"ö","O"),"Ç","C"),"ç","C"),".",""),",","")," ",""),"-","")))</f>
        <v/>
      </c>
    </row>
    <row r="77">
      <c r="A77" s="6" t="n"/>
      <c r="B77" s="113">
        <f>IF($E77="","","A"&amp;TEXT(ROW()-6,"00000"))</f>
        <v/>
      </c>
      <c r="C77" s="108" t="n"/>
      <c r="D77" s="113">
        <f>IF($E77="","",IFERROR(INDEX(MUSTERILER!$B$7:$B$106,MATCH($U77,MUSTERILER!$T$7:$T$106,0)),IFERROR(INDEX(MUSTERILER!$B$7:$B$106,MATCH($E77,MUSTERILER!$B$7:$B$106,0)),IFERROR(INDEX(MUSTERILER!$B$7:$B$106,MATCH($U77&amp;"*",MUSTERILER!$T$7:$T$106,0)),"TANIMSIZ MÜŞTERİ"))))</f>
        <v/>
      </c>
      <c r="E77" s="109" t="n"/>
      <c r="F77" s="109" t="n"/>
      <c r="G77" s="108" t="n"/>
      <c r="H77" s="220" t="n"/>
      <c r="I77" s="220" t="n"/>
      <c r="J77" s="108" t="n"/>
      <c r="K77" s="108" t="n"/>
      <c r="L77" s="109" t="n"/>
      <c r="M77" s="109" t="n"/>
      <c r="N77" s="109" t="n"/>
      <c r="O77" s="220" t="n"/>
      <c r="P77" s="227">
        <f>IF(OR($E77="",$I77=""),"",IF(OR($J77="Tamamlandı",$J77="İptal"),"",$I77-TODAY()))</f>
        <v/>
      </c>
      <c r="Q77" s="113">
        <f>IF($E77="","",IF($D77="TANIMSIZ MÜŞTERİ","HATA",IF(OR($J77="Tamamlandı",$J77="İptal"),"KAPALI",IF(AND($C77="Görüşme",$N77=""),"SONRAKİ İŞLEM EKSİK",IF($I77="","TARİH EKSİK",IF($I77&lt;TODAY(),"GECİKMİŞ",IF($I77=TODAY(),"BUGÜN",IF($I77&lt;=TODAY()+7,"7 GÜN İÇİNDE","PLANLI"))))))))</f>
        <v/>
      </c>
      <c r="R77" s="6" t="n"/>
      <c r="S77" s="6" t="n"/>
      <c r="T77" s="3" t="n"/>
      <c r="U77" s="3">
        <f>IF($E77="","",UPPER(SUBSTITUTE(SUBSTITUTE(SUBSTITUTE(SUBSTITUTE(SUBSTITUTE(SUBSTITUTE(SUBSTITUTE(SUBSTITUTE(SUBSTITUTE(SUBSTITUTE(SUBSTITUTE(SUBSTITUTE(SUBSTITUTE(SUBSTITUTE(SUBSTITUTE(SUBSTITUTE(SUBSTITUTE(SUBSTITUTE(TRIM($E77),"'",""),"İ","I"),"ı","I"),"i","I"),"Ş","S"),"ş","S"),"Ğ","G"),"ğ","G"),"Ü","U"),"ü","U"),"Ö","O"),"ö","O"),"Ç","C"),"ç","C"),".",""),",","")," ",""),"-","")))</f>
        <v/>
      </c>
    </row>
    <row r="78">
      <c r="A78" s="6" t="n"/>
      <c r="B78" s="113">
        <f>IF($E78="","","A"&amp;TEXT(ROW()-6,"00000"))</f>
        <v/>
      </c>
      <c r="C78" s="108" t="n"/>
      <c r="D78" s="113">
        <f>IF($E78="","",IFERROR(INDEX(MUSTERILER!$B$7:$B$106,MATCH($U78,MUSTERILER!$T$7:$T$106,0)),IFERROR(INDEX(MUSTERILER!$B$7:$B$106,MATCH($E78,MUSTERILER!$B$7:$B$106,0)),IFERROR(INDEX(MUSTERILER!$B$7:$B$106,MATCH($U78&amp;"*",MUSTERILER!$T$7:$T$106,0)),"TANIMSIZ MÜŞTERİ"))))</f>
        <v/>
      </c>
      <c r="E78" s="109" t="n"/>
      <c r="F78" s="109" t="n"/>
      <c r="G78" s="108" t="n"/>
      <c r="H78" s="220" t="n"/>
      <c r="I78" s="220" t="n"/>
      <c r="J78" s="108" t="n"/>
      <c r="K78" s="108" t="n"/>
      <c r="L78" s="109" t="n"/>
      <c r="M78" s="109" t="n"/>
      <c r="N78" s="109" t="n"/>
      <c r="O78" s="220" t="n"/>
      <c r="P78" s="227">
        <f>IF(OR($E78="",$I78=""),"",IF(OR($J78="Tamamlandı",$J78="İptal"),"",$I78-TODAY()))</f>
        <v/>
      </c>
      <c r="Q78" s="113">
        <f>IF($E78="","",IF($D78="TANIMSIZ MÜŞTERİ","HATA",IF(OR($J78="Tamamlandı",$J78="İptal"),"KAPALI",IF(AND($C78="Görüşme",$N78=""),"SONRAKİ İŞLEM EKSİK",IF($I78="","TARİH EKSİK",IF($I78&lt;TODAY(),"GECİKMİŞ",IF($I78=TODAY(),"BUGÜN",IF($I78&lt;=TODAY()+7,"7 GÜN İÇİNDE","PLANLI"))))))))</f>
        <v/>
      </c>
      <c r="R78" s="6" t="n"/>
      <c r="S78" s="6" t="n"/>
      <c r="T78" s="3" t="n"/>
      <c r="U78" s="3">
        <f>IF($E78="","",UPPER(SUBSTITUTE(SUBSTITUTE(SUBSTITUTE(SUBSTITUTE(SUBSTITUTE(SUBSTITUTE(SUBSTITUTE(SUBSTITUTE(SUBSTITUTE(SUBSTITUTE(SUBSTITUTE(SUBSTITUTE(SUBSTITUTE(SUBSTITUTE(SUBSTITUTE(SUBSTITUTE(SUBSTITUTE(SUBSTITUTE(TRIM($E78),"'",""),"İ","I"),"ı","I"),"i","I"),"Ş","S"),"ş","S"),"Ğ","G"),"ğ","G"),"Ü","U"),"ü","U"),"Ö","O"),"ö","O"),"Ç","C"),"ç","C"),".",""),",","")," ",""),"-","")))</f>
        <v/>
      </c>
    </row>
    <row r="79">
      <c r="A79" s="6" t="n"/>
      <c r="B79" s="113">
        <f>IF($E79="","","A"&amp;TEXT(ROW()-6,"00000"))</f>
        <v/>
      </c>
      <c r="C79" s="108" t="n"/>
      <c r="D79" s="113">
        <f>IF($E79="","",IFERROR(INDEX(MUSTERILER!$B$7:$B$106,MATCH($U79,MUSTERILER!$T$7:$T$106,0)),IFERROR(INDEX(MUSTERILER!$B$7:$B$106,MATCH($E79,MUSTERILER!$B$7:$B$106,0)),IFERROR(INDEX(MUSTERILER!$B$7:$B$106,MATCH($U79&amp;"*",MUSTERILER!$T$7:$T$106,0)),"TANIMSIZ MÜŞTERİ"))))</f>
        <v/>
      </c>
      <c r="E79" s="109" t="n"/>
      <c r="F79" s="109" t="n"/>
      <c r="G79" s="108" t="n"/>
      <c r="H79" s="220" t="n"/>
      <c r="I79" s="220" t="n"/>
      <c r="J79" s="108" t="n"/>
      <c r="K79" s="108" t="n"/>
      <c r="L79" s="109" t="n"/>
      <c r="M79" s="109" t="n"/>
      <c r="N79" s="109" t="n"/>
      <c r="O79" s="220" t="n"/>
      <c r="P79" s="227">
        <f>IF(OR($E79="",$I79=""),"",IF(OR($J79="Tamamlandı",$J79="İptal"),"",$I79-TODAY()))</f>
        <v/>
      </c>
      <c r="Q79" s="113">
        <f>IF($E79="","",IF($D79="TANIMSIZ MÜŞTERİ","HATA",IF(OR($J79="Tamamlandı",$J79="İptal"),"KAPALI",IF(AND($C79="Görüşme",$N79=""),"SONRAKİ İŞLEM EKSİK",IF($I79="","TARİH EKSİK",IF($I79&lt;TODAY(),"GECİKMİŞ",IF($I79=TODAY(),"BUGÜN",IF($I79&lt;=TODAY()+7,"7 GÜN İÇİNDE","PLANLI"))))))))</f>
        <v/>
      </c>
      <c r="R79" s="6" t="n"/>
      <c r="S79" s="6" t="n"/>
      <c r="T79" s="3" t="n"/>
      <c r="U79" s="3">
        <f>IF($E79="","",UPPER(SUBSTITUTE(SUBSTITUTE(SUBSTITUTE(SUBSTITUTE(SUBSTITUTE(SUBSTITUTE(SUBSTITUTE(SUBSTITUTE(SUBSTITUTE(SUBSTITUTE(SUBSTITUTE(SUBSTITUTE(SUBSTITUTE(SUBSTITUTE(SUBSTITUTE(SUBSTITUTE(SUBSTITUTE(SUBSTITUTE(TRIM($E79),"'",""),"İ","I"),"ı","I"),"i","I"),"Ş","S"),"ş","S"),"Ğ","G"),"ğ","G"),"Ü","U"),"ü","U"),"Ö","O"),"ö","O"),"Ç","C"),"ç","C"),".",""),",","")," ",""),"-","")))</f>
        <v/>
      </c>
    </row>
    <row r="80">
      <c r="A80" s="6" t="n"/>
      <c r="B80" s="113">
        <f>IF($E80="","","A"&amp;TEXT(ROW()-6,"00000"))</f>
        <v/>
      </c>
      <c r="C80" s="108" t="n"/>
      <c r="D80" s="113">
        <f>IF($E80="","",IFERROR(INDEX(MUSTERILER!$B$7:$B$106,MATCH($U80,MUSTERILER!$T$7:$T$106,0)),IFERROR(INDEX(MUSTERILER!$B$7:$B$106,MATCH($E80,MUSTERILER!$B$7:$B$106,0)),IFERROR(INDEX(MUSTERILER!$B$7:$B$106,MATCH($U80&amp;"*",MUSTERILER!$T$7:$T$106,0)),"TANIMSIZ MÜŞTERİ"))))</f>
        <v/>
      </c>
      <c r="E80" s="109" t="n"/>
      <c r="F80" s="109" t="n"/>
      <c r="G80" s="108" t="n"/>
      <c r="H80" s="220" t="n"/>
      <c r="I80" s="220" t="n"/>
      <c r="J80" s="108" t="n"/>
      <c r="K80" s="108" t="n"/>
      <c r="L80" s="109" t="n"/>
      <c r="M80" s="109" t="n"/>
      <c r="N80" s="109" t="n"/>
      <c r="O80" s="220" t="n"/>
      <c r="P80" s="227">
        <f>IF(OR($E80="",$I80=""),"",IF(OR($J80="Tamamlandı",$J80="İptal"),"",$I80-TODAY()))</f>
        <v/>
      </c>
      <c r="Q80" s="113">
        <f>IF($E80="","",IF($D80="TANIMSIZ MÜŞTERİ","HATA",IF(OR($J80="Tamamlandı",$J80="İptal"),"KAPALI",IF(AND($C80="Görüşme",$N80=""),"SONRAKİ İŞLEM EKSİK",IF($I80="","TARİH EKSİK",IF($I80&lt;TODAY(),"GECİKMİŞ",IF($I80=TODAY(),"BUGÜN",IF($I80&lt;=TODAY()+7,"7 GÜN İÇİNDE","PLANLI"))))))))</f>
        <v/>
      </c>
      <c r="R80" s="6" t="n"/>
      <c r="S80" s="6" t="n"/>
      <c r="T80" s="3" t="n"/>
      <c r="U80" s="3">
        <f>IF($E80="","",UPPER(SUBSTITUTE(SUBSTITUTE(SUBSTITUTE(SUBSTITUTE(SUBSTITUTE(SUBSTITUTE(SUBSTITUTE(SUBSTITUTE(SUBSTITUTE(SUBSTITUTE(SUBSTITUTE(SUBSTITUTE(SUBSTITUTE(SUBSTITUTE(SUBSTITUTE(SUBSTITUTE(SUBSTITUTE(SUBSTITUTE(TRIM($E80),"'",""),"İ","I"),"ı","I"),"i","I"),"Ş","S"),"ş","S"),"Ğ","G"),"ğ","G"),"Ü","U"),"ü","U"),"Ö","O"),"ö","O"),"Ç","C"),"ç","C"),".",""),",","")," ",""),"-","")))</f>
        <v/>
      </c>
    </row>
    <row r="81">
      <c r="A81" s="6" t="n"/>
      <c r="B81" s="113">
        <f>IF($E81="","","A"&amp;TEXT(ROW()-6,"00000"))</f>
        <v/>
      </c>
      <c r="C81" s="108" t="n"/>
      <c r="D81" s="113">
        <f>IF($E81="","",IFERROR(INDEX(MUSTERILER!$B$7:$B$106,MATCH($U81,MUSTERILER!$T$7:$T$106,0)),IFERROR(INDEX(MUSTERILER!$B$7:$B$106,MATCH($E81,MUSTERILER!$B$7:$B$106,0)),IFERROR(INDEX(MUSTERILER!$B$7:$B$106,MATCH($U81&amp;"*",MUSTERILER!$T$7:$T$106,0)),"TANIMSIZ MÜŞTERİ"))))</f>
        <v/>
      </c>
      <c r="E81" s="109" t="n"/>
      <c r="F81" s="109" t="n"/>
      <c r="G81" s="108" t="n"/>
      <c r="H81" s="220" t="n"/>
      <c r="I81" s="220" t="n"/>
      <c r="J81" s="108" t="n"/>
      <c r="K81" s="108" t="n"/>
      <c r="L81" s="109" t="n"/>
      <c r="M81" s="109" t="n"/>
      <c r="N81" s="109" t="n"/>
      <c r="O81" s="220" t="n"/>
      <c r="P81" s="227">
        <f>IF(OR($E81="",$I81=""),"",IF(OR($J81="Tamamlandı",$J81="İptal"),"",$I81-TODAY()))</f>
        <v/>
      </c>
      <c r="Q81" s="113">
        <f>IF($E81="","",IF($D81="TANIMSIZ MÜŞTERİ","HATA",IF(OR($J81="Tamamlandı",$J81="İptal"),"KAPALI",IF(AND($C81="Görüşme",$N81=""),"SONRAKİ İŞLEM EKSİK",IF($I81="","TARİH EKSİK",IF($I81&lt;TODAY(),"GECİKMİŞ",IF($I81=TODAY(),"BUGÜN",IF($I81&lt;=TODAY()+7,"7 GÜN İÇİNDE","PLANLI"))))))))</f>
        <v/>
      </c>
      <c r="R81" s="6" t="n"/>
      <c r="S81" s="6" t="n"/>
      <c r="T81" s="3" t="n"/>
      <c r="U81" s="3">
        <f>IF($E81="","",UPPER(SUBSTITUTE(SUBSTITUTE(SUBSTITUTE(SUBSTITUTE(SUBSTITUTE(SUBSTITUTE(SUBSTITUTE(SUBSTITUTE(SUBSTITUTE(SUBSTITUTE(SUBSTITUTE(SUBSTITUTE(SUBSTITUTE(SUBSTITUTE(SUBSTITUTE(SUBSTITUTE(SUBSTITUTE(SUBSTITUTE(TRIM($E81),"'",""),"İ","I"),"ı","I"),"i","I"),"Ş","S"),"ş","S"),"Ğ","G"),"ğ","G"),"Ü","U"),"ü","U"),"Ö","O"),"ö","O"),"Ç","C"),"ç","C"),".",""),",","")," ",""),"-","")))</f>
        <v/>
      </c>
    </row>
    <row r="82">
      <c r="A82" s="6" t="n"/>
      <c r="B82" s="113">
        <f>IF($E82="","","A"&amp;TEXT(ROW()-6,"00000"))</f>
        <v/>
      </c>
      <c r="C82" s="108" t="n"/>
      <c r="D82" s="113">
        <f>IF($E82="","",IFERROR(INDEX(MUSTERILER!$B$7:$B$106,MATCH($U82,MUSTERILER!$T$7:$T$106,0)),IFERROR(INDEX(MUSTERILER!$B$7:$B$106,MATCH($E82,MUSTERILER!$B$7:$B$106,0)),IFERROR(INDEX(MUSTERILER!$B$7:$B$106,MATCH($U82&amp;"*",MUSTERILER!$T$7:$T$106,0)),"TANIMSIZ MÜŞTERİ"))))</f>
        <v/>
      </c>
      <c r="E82" s="109" t="n"/>
      <c r="F82" s="109" t="n"/>
      <c r="G82" s="108" t="n"/>
      <c r="H82" s="220" t="n"/>
      <c r="I82" s="220" t="n"/>
      <c r="J82" s="108" t="n"/>
      <c r="K82" s="108" t="n"/>
      <c r="L82" s="109" t="n"/>
      <c r="M82" s="109" t="n"/>
      <c r="N82" s="109" t="n"/>
      <c r="O82" s="220" t="n"/>
      <c r="P82" s="227">
        <f>IF(OR($E82="",$I82=""),"",IF(OR($J82="Tamamlandı",$J82="İptal"),"",$I82-TODAY()))</f>
        <v/>
      </c>
      <c r="Q82" s="113">
        <f>IF($E82="","",IF($D82="TANIMSIZ MÜŞTERİ","HATA",IF(OR($J82="Tamamlandı",$J82="İptal"),"KAPALI",IF(AND($C82="Görüşme",$N82=""),"SONRAKİ İŞLEM EKSİK",IF($I82="","TARİH EKSİK",IF($I82&lt;TODAY(),"GECİKMİŞ",IF($I82=TODAY(),"BUGÜN",IF($I82&lt;=TODAY()+7,"7 GÜN İÇİNDE","PLANLI"))))))))</f>
        <v/>
      </c>
      <c r="R82" s="6" t="n"/>
      <c r="S82" s="6" t="n"/>
      <c r="T82" s="3" t="n"/>
      <c r="U82" s="3">
        <f>IF($E82="","",UPPER(SUBSTITUTE(SUBSTITUTE(SUBSTITUTE(SUBSTITUTE(SUBSTITUTE(SUBSTITUTE(SUBSTITUTE(SUBSTITUTE(SUBSTITUTE(SUBSTITUTE(SUBSTITUTE(SUBSTITUTE(SUBSTITUTE(SUBSTITUTE(SUBSTITUTE(SUBSTITUTE(SUBSTITUTE(SUBSTITUTE(TRIM($E82),"'",""),"İ","I"),"ı","I"),"i","I"),"Ş","S"),"ş","S"),"Ğ","G"),"ğ","G"),"Ü","U"),"ü","U"),"Ö","O"),"ö","O"),"Ç","C"),"ç","C"),".",""),",","")," ",""),"-","")))</f>
        <v/>
      </c>
    </row>
    <row r="83">
      <c r="A83" s="6" t="n"/>
      <c r="B83" s="113">
        <f>IF($E83="","","A"&amp;TEXT(ROW()-6,"00000"))</f>
        <v/>
      </c>
      <c r="C83" s="108" t="n"/>
      <c r="D83" s="113">
        <f>IF($E83="","",IFERROR(INDEX(MUSTERILER!$B$7:$B$106,MATCH($U83,MUSTERILER!$T$7:$T$106,0)),IFERROR(INDEX(MUSTERILER!$B$7:$B$106,MATCH($E83,MUSTERILER!$B$7:$B$106,0)),IFERROR(INDEX(MUSTERILER!$B$7:$B$106,MATCH($U83&amp;"*",MUSTERILER!$T$7:$T$106,0)),"TANIMSIZ MÜŞTERİ"))))</f>
        <v/>
      </c>
      <c r="E83" s="109" t="n"/>
      <c r="F83" s="109" t="n"/>
      <c r="G83" s="108" t="n"/>
      <c r="H83" s="220" t="n"/>
      <c r="I83" s="220" t="n"/>
      <c r="J83" s="108" t="n"/>
      <c r="K83" s="108" t="n"/>
      <c r="L83" s="109" t="n"/>
      <c r="M83" s="109" t="n"/>
      <c r="N83" s="109" t="n"/>
      <c r="O83" s="220" t="n"/>
      <c r="P83" s="227">
        <f>IF(OR($E83="",$I83=""),"",IF(OR($J83="Tamamlandı",$J83="İptal"),"",$I83-TODAY()))</f>
        <v/>
      </c>
      <c r="Q83" s="113">
        <f>IF($E83="","",IF($D83="TANIMSIZ MÜŞTERİ","HATA",IF(OR($J83="Tamamlandı",$J83="İptal"),"KAPALI",IF(AND($C83="Görüşme",$N83=""),"SONRAKİ İŞLEM EKSİK",IF($I83="","TARİH EKSİK",IF($I83&lt;TODAY(),"GECİKMİŞ",IF($I83=TODAY(),"BUGÜN",IF($I83&lt;=TODAY()+7,"7 GÜN İÇİNDE","PLANLI"))))))))</f>
        <v/>
      </c>
      <c r="R83" s="6" t="n"/>
      <c r="S83" s="6" t="n"/>
      <c r="T83" s="3" t="n"/>
      <c r="U83" s="3">
        <f>IF($E83="","",UPPER(SUBSTITUTE(SUBSTITUTE(SUBSTITUTE(SUBSTITUTE(SUBSTITUTE(SUBSTITUTE(SUBSTITUTE(SUBSTITUTE(SUBSTITUTE(SUBSTITUTE(SUBSTITUTE(SUBSTITUTE(SUBSTITUTE(SUBSTITUTE(SUBSTITUTE(SUBSTITUTE(SUBSTITUTE(SUBSTITUTE(TRIM($E83),"'",""),"İ","I"),"ı","I"),"i","I"),"Ş","S"),"ş","S"),"Ğ","G"),"ğ","G"),"Ü","U"),"ü","U"),"Ö","O"),"ö","O"),"Ç","C"),"ç","C"),".",""),",","")," ",""),"-","")))</f>
        <v/>
      </c>
    </row>
    <row r="84">
      <c r="A84" s="6" t="n"/>
      <c r="B84" s="113">
        <f>IF($E84="","","A"&amp;TEXT(ROW()-6,"00000"))</f>
        <v/>
      </c>
      <c r="C84" s="108" t="n"/>
      <c r="D84" s="113">
        <f>IF($E84="","",IFERROR(INDEX(MUSTERILER!$B$7:$B$106,MATCH($U84,MUSTERILER!$T$7:$T$106,0)),IFERROR(INDEX(MUSTERILER!$B$7:$B$106,MATCH($E84,MUSTERILER!$B$7:$B$106,0)),IFERROR(INDEX(MUSTERILER!$B$7:$B$106,MATCH($U84&amp;"*",MUSTERILER!$T$7:$T$106,0)),"TANIMSIZ MÜŞTERİ"))))</f>
        <v/>
      </c>
      <c r="E84" s="109" t="n"/>
      <c r="F84" s="109" t="n"/>
      <c r="G84" s="108" t="n"/>
      <c r="H84" s="220" t="n"/>
      <c r="I84" s="220" t="n"/>
      <c r="J84" s="108" t="n"/>
      <c r="K84" s="108" t="n"/>
      <c r="L84" s="109" t="n"/>
      <c r="M84" s="109" t="n"/>
      <c r="N84" s="109" t="n"/>
      <c r="O84" s="220" t="n"/>
      <c r="P84" s="227">
        <f>IF(OR($E84="",$I84=""),"",IF(OR($J84="Tamamlandı",$J84="İptal"),"",$I84-TODAY()))</f>
        <v/>
      </c>
      <c r="Q84" s="113">
        <f>IF($E84="","",IF($D84="TANIMSIZ MÜŞTERİ","HATA",IF(OR($J84="Tamamlandı",$J84="İptal"),"KAPALI",IF(AND($C84="Görüşme",$N84=""),"SONRAKİ İŞLEM EKSİK",IF($I84="","TARİH EKSİK",IF($I84&lt;TODAY(),"GECİKMİŞ",IF($I84=TODAY(),"BUGÜN",IF($I84&lt;=TODAY()+7,"7 GÜN İÇİNDE","PLANLI"))))))))</f>
        <v/>
      </c>
      <c r="R84" s="6" t="n"/>
      <c r="S84" s="6" t="n"/>
      <c r="T84" s="3" t="n"/>
      <c r="U84" s="3">
        <f>IF($E84="","",UPPER(SUBSTITUTE(SUBSTITUTE(SUBSTITUTE(SUBSTITUTE(SUBSTITUTE(SUBSTITUTE(SUBSTITUTE(SUBSTITUTE(SUBSTITUTE(SUBSTITUTE(SUBSTITUTE(SUBSTITUTE(SUBSTITUTE(SUBSTITUTE(SUBSTITUTE(SUBSTITUTE(SUBSTITUTE(SUBSTITUTE(TRIM($E84),"'",""),"İ","I"),"ı","I"),"i","I"),"Ş","S"),"ş","S"),"Ğ","G"),"ğ","G"),"Ü","U"),"ü","U"),"Ö","O"),"ö","O"),"Ç","C"),"ç","C"),".",""),",","")," ",""),"-","")))</f>
        <v/>
      </c>
    </row>
    <row r="85">
      <c r="A85" s="6" t="n"/>
      <c r="B85" s="113">
        <f>IF($E85="","","A"&amp;TEXT(ROW()-6,"00000"))</f>
        <v/>
      </c>
      <c r="C85" s="108" t="n"/>
      <c r="D85" s="113">
        <f>IF($E85="","",IFERROR(INDEX(MUSTERILER!$B$7:$B$106,MATCH($U85,MUSTERILER!$T$7:$T$106,0)),IFERROR(INDEX(MUSTERILER!$B$7:$B$106,MATCH($E85,MUSTERILER!$B$7:$B$106,0)),IFERROR(INDEX(MUSTERILER!$B$7:$B$106,MATCH($U85&amp;"*",MUSTERILER!$T$7:$T$106,0)),"TANIMSIZ MÜŞTERİ"))))</f>
        <v/>
      </c>
      <c r="E85" s="109" t="n"/>
      <c r="F85" s="109" t="n"/>
      <c r="G85" s="108" t="n"/>
      <c r="H85" s="220" t="n"/>
      <c r="I85" s="220" t="n"/>
      <c r="J85" s="108" t="n"/>
      <c r="K85" s="108" t="n"/>
      <c r="L85" s="109" t="n"/>
      <c r="M85" s="109" t="n"/>
      <c r="N85" s="109" t="n"/>
      <c r="O85" s="220" t="n"/>
      <c r="P85" s="227">
        <f>IF(OR($E85="",$I85=""),"",IF(OR($J85="Tamamlandı",$J85="İptal"),"",$I85-TODAY()))</f>
        <v/>
      </c>
      <c r="Q85" s="113">
        <f>IF($E85="","",IF($D85="TANIMSIZ MÜŞTERİ","HATA",IF(OR($J85="Tamamlandı",$J85="İptal"),"KAPALI",IF(AND($C85="Görüşme",$N85=""),"SONRAKİ İŞLEM EKSİK",IF($I85="","TARİH EKSİK",IF($I85&lt;TODAY(),"GECİKMİŞ",IF($I85=TODAY(),"BUGÜN",IF($I85&lt;=TODAY()+7,"7 GÜN İÇİNDE","PLANLI"))))))))</f>
        <v/>
      </c>
      <c r="R85" s="6" t="n"/>
      <c r="S85" s="6" t="n"/>
      <c r="T85" s="3" t="n"/>
      <c r="U85" s="3">
        <f>IF($E85="","",UPPER(SUBSTITUTE(SUBSTITUTE(SUBSTITUTE(SUBSTITUTE(SUBSTITUTE(SUBSTITUTE(SUBSTITUTE(SUBSTITUTE(SUBSTITUTE(SUBSTITUTE(SUBSTITUTE(SUBSTITUTE(SUBSTITUTE(SUBSTITUTE(SUBSTITUTE(SUBSTITUTE(SUBSTITUTE(SUBSTITUTE(TRIM($E85),"'",""),"İ","I"),"ı","I"),"i","I"),"Ş","S"),"ş","S"),"Ğ","G"),"ğ","G"),"Ü","U"),"ü","U"),"Ö","O"),"ö","O"),"Ç","C"),"ç","C"),".",""),",","")," ",""),"-","")))</f>
        <v/>
      </c>
    </row>
    <row r="86">
      <c r="A86" s="6" t="n"/>
      <c r="B86" s="113">
        <f>IF($E86="","","A"&amp;TEXT(ROW()-6,"00000"))</f>
        <v/>
      </c>
      <c r="C86" s="108" t="n"/>
      <c r="D86" s="113">
        <f>IF($E86="","",IFERROR(INDEX(MUSTERILER!$B$7:$B$106,MATCH($U86,MUSTERILER!$T$7:$T$106,0)),IFERROR(INDEX(MUSTERILER!$B$7:$B$106,MATCH($E86,MUSTERILER!$B$7:$B$106,0)),IFERROR(INDEX(MUSTERILER!$B$7:$B$106,MATCH($U86&amp;"*",MUSTERILER!$T$7:$T$106,0)),"TANIMSIZ MÜŞTERİ"))))</f>
        <v/>
      </c>
      <c r="E86" s="109" t="n"/>
      <c r="F86" s="109" t="n"/>
      <c r="G86" s="108" t="n"/>
      <c r="H86" s="220" t="n"/>
      <c r="I86" s="220" t="n"/>
      <c r="J86" s="108" t="n"/>
      <c r="K86" s="108" t="n"/>
      <c r="L86" s="109" t="n"/>
      <c r="M86" s="109" t="n"/>
      <c r="N86" s="109" t="n"/>
      <c r="O86" s="220" t="n"/>
      <c r="P86" s="227">
        <f>IF(OR($E86="",$I86=""),"",IF(OR($J86="Tamamlandı",$J86="İptal"),"",$I86-TODAY()))</f>
        <v/>
      </c>
      <c r="Q86" s="113">
        <f>IF($E86="","",IF($D86="TANIMSIZ MÜŞTERİ","HATA",IF(OR($J86="Tamamlandı",$J86="İptal"),"KAPALI",IF(AND($C86="Görüşme",$N86=""),"SONRAKİ İŞLEM EKSİK",IF($I86="","TARİH EKSİK",IF($I86&lt;TODAY(),"GECİKMİŞ",IF($I86=TODAY(),"BUGÜN",IF($I86&lt;=TODAY()+7,"7 GÜN İÇİNDE","PLANLI"))))))))</f>
        <v/>
      </c>
      <c r="R86" s="6" t="n"/>
      <c r="S86" s="6" t="n"/>
      <c r="T86" s="3" t="n"/>
      <c r="U86" s="3">
        <f>IF($E86="","",UPPER(SUBSTITUTE(SUBSTITUTE(SUBSTITUTE(SUBSTITUTE(SUBSTITUTE(SUBSTITUTE(SUBSTITUTE(SUBSTITUTE(SUBSTITUTE(SUBSTITUTE(SUBSTITUTE(SUBSTITUTE(SUBSTITUTE(SUBSTITUTE(SUBSTITUTE(SUBSTITUTE(SUBSTITUTE(SUBSTITUTE(TRIM($E86),"'",""),"İ","I"),"ı","I"),"i","I"),"Ş","S"),"ş","S"),"Ğ","G"),"ğ","G"),"Ü","U"),"ü","U"),"Ö","O"),"ö","O"),"Ç","C"),"ç","C"),".",""),",","")," ",""),"-","")))</f>
        <v/>
      </c>
    </row>
    <row r="87">
      <c r="A87" s="6" t="n"/>
      <c r="B87" s="113">
        <f>IF($E87="","","A"&amp;TEXT(ROW()-6,"00000"))</f>
        <v/>
      </c>
      <c r="C87" s="108" t="n"/>
      <c r="D87" s="113">
        <f>IF($E87="","",IFERROR(INDEX(MUSTERILER!$B$7:$B$106,MATCH($U87,MUSTERILER!$T$7:$T$106,0)),IFERROR(INDEX(MUSTERILER!$B$7:$B$106,MATCH($E87,MUSTERILER!$B$7:$B$106,0)),IFERROR(INDEX(MUSTERILER!$B$7:$B$106,MATCH($U87&amp;"*",MUSTERILER!$T$7:$T$106,0)),"TANIMSIZ MÜŞTERİ"))))</f>
        <v/>
      </c>
      <c r="E87" s="109" t="n"/>
      <c r="F87" s="109" t="n"/>
      <c r="G87" s="108" t="n"/>
      <c r="H87" s="220" t="n"/>
      <c r="I87" s="220" t="n"/>
      <c r="J87" s="108" t="n"/>
      <c r="K87" s="108" t="n"/>
      <c r="L87" s="109" t="n"/>
      <c r="M87" s="109" t="n"/>
      <c r="N87" s="109" t="n"/>
      <c r="O87" s="220" t="n"/>
      <c r="P87" s="227">
        <f>IF(OR($E87="",$I87=""),"",IF(OR($J87="Tamamlandı",$J87="İptal"),"",$I87-TODAY()))</f>
        <v/>
      </c>
      <c r="Q87" s="113">
        <f>IF($E87="","",IF($D87="TANIMSIZ MÜŞTERİ","HATA",IF(OR($J87="Tamamlandı",$J87="İptal"),"KAPALI",IF(AND($C87="Görüşme",$N87=""),"SONRAKİ İŞLEM EKSİK",IF($I87="","TARİH EKSİK",IF($I87&lt;TODAY(),"GECİKMİŞ",IF($I87=TODAY(),"BUGÜN",IF($I87&lt;=TODAY()+7,"7 GÜN İÇİNDE","PLANLI"))))))))</f>
        <v/>
      </c>
      <c r="R87" s="6" t="n"/>
      <c r="S87" s="6" t="n"/>
      <c r="T87" s="3" t="n"/>
      <c r="U87" s="3">
        <f>IF($E87="","",UPPER(SUBSTITUTE(SUBSTITUTE(SUBSTITUTE(SUBSTITUTE(SUBSTITUTE(SUBSTITUTE(SUBSTITUTE(SUBSTITUTE(SUBSTITUTE(SUBSTITUTE(SUBSTITUTE(SUBSTITUTE(SUBSTITUTE(SUBSTITUTE(SUBSTITUTE(SUBSTITUTE(SUBSTITUTE(SUBSTITUTE(TRIM($E87),"'",""),"İ","I"),"ı","I"),"i","I"),"Ş","S"),"ş","S"),"Ğ","G"),"ğ","G"),"Ü","U"),"ü","U"),"Ö","O"),"ö","O"),"Ç","C"),"ç","C"),".",""),",","")," ",""),"-","")))</f>
        <v/>
      </c>
    </row>
    <row r="88">
      <c r="A88" s="6" t="n"/>
      <c r="B88" s="113">
        <f>IF($E88="","","A"&amp;TEXT(ROW()-6,"00000"))</f>
        <v/>
      </c>
      <c r="C88" s="108" t="n"/>
      <c r="D88" s="113">
        <f>IF($E88="","",IFERROR(INDEX(MUSTERILER!$B$7:$B$106,MATCH($U88,MUSTERILER!$T$7:$T$106,0)),IFERROR(INDEX(MUSTERILER!$B$7:$B$106,MATCH($E88,MUSTERILER!$B$7:$B$106,0)),IFERROR(INDEX(MUSTERILER!$B$7:$B$106,MATCH($U88&amp;"*",MUSTERILER!$T$7:$T$106,0)),"TANIMSIZ MÜŞTERİ"))))</f>
        <v/>
      </c>
      <c r="E88" s="109" t="n"/>
      <c r="F88" s="109" t="n"/>
      <c r="G88" s="108" t="n"/>
      <c r="H88" s="220" t="n"/>
      <c r="I88" s="220" t="n"/>
      <c r="J88" s="108" t="n"/>
      <c r="K88" s="108" t="n"/>
      <c r="L88" s="109" t="n"/>
      <c r="M88" s="109" t="n"/>
      <c r="N88" s="109" t="n"/>
      <c r="O88" s="220" t="n"/>
      <c r="P88" s="227">
        <f>IF(OR($E88="",$I88=""),"",IF(OR($J88="Tamamlandı",$J88="İptal"),"",$I88-TODAY()))</f>
        <v/>
      </c>
      <c r="Q88" s="113">
        <f>IF($E88="","",IF($D88="TANIMSIZ MÜŞTERİ","HATA",IF(OR($J88="Tamamlandı",$J88="İptal"),"KAPALI",IF(AND($C88="Görüşme",$N88=""),"SONRAKİ İŞLEM EKSİK",IF($I88="","TARİH EKSİK",IF($I88&lt;TODAY(),"GECİKMİŞ",IF($I88=TODAY(),"BUGÜN",IF($I88&lt;=TODAY()+7,"7 GÜN İÇİNDE","PLANLI"))))))))</f>
        <v/>
      </c>
      <c r="R88" s="6" t="n"/>
      <c r="S88" s="6" t="n"/>
      <c r="T88" s="3" t="n"/>
      <c r="U88" s="3">
        <f>IF($E88="","",UPPER(SUBSTITUTE(SUBSTITUTE(SUBSTITUTE(SUBSTITUTE(SUBSTITUTE(SUBSTITUTE(SUBSTITUTE(SUBSTITUTE(SUBSTITUTE(SUBSTITUTE(SUBSTITUTE(SUBSTITUTE(SUBSTITUTE(SUBSTITUTE(SUBSTITUTE(SUBSTITUTE(SUBSTITUTE(SUBSTITUTE(TRIM($E88),"'",""),"İ","I"),"ı","I"),"i","I"),"Ş","S"),"ş","S"),"Ğ","G"),"ğ","G"),"Ü","U"),"ü","U"),"Ö","O"),"ö","O"),"Ç","C"),"ç","C"),".",""),",","")," ",""),"-","")))</f>
        <v/>
      </c>
    </row>
    <row r="89">
      <c r="A89" s="6" t="n"/>
      <c r="B89" s="113">
        <f>IF($E89="","","A"&amp;TEXT(ROW()-6,"00000"))</f>
        <v/>
      </c>
      <c r="C89" s="108" t="n"/>
      <c r="D89" s="113">
        <f>IF($E89="","",IFERROR(INDEX(MUSTERILER!$B$7:$B$106,MATCH($U89,MUSTERILER!$T$7:$T$106,0)),IFERROR(INDEX(MUSTERILER!$B$7:$B$106,MATCH($E89,MUSTERILER!$B$7:$B$106,0)),IFERROR(INDEX(MUSTERILER!$B$7:$B$106,MATCH($U89&amp;"*",MUSTERILER!$T$7:$T$106,0)),"TANIMSIZ MÜŞTERİ"))))</f>
        <v/>
      </c>
      <c r="E89" s="109" t="n"/>
      <c r="F89" s="109" t="n"/>
      <c r="G89" s="108" t="n"/>
      <c r="H89" s="220" t="n"/>
      <c r="I89" s="220" t="n"/>
      <c r="J89" s="108" t="n"/>
      <c r="K89" s="108" t="n"/>
      <c r="L89" s="109" t="n"/>
      <c r="M89" s="109" t="n"/>
      <c r="N89" s="109" t="n"/>
      <c r="O89" s="220" t="n"/>
      <c r="P89" s="227">
        <f>IF(OR($E89="",$I89=""),"",IF(OR($J89="Tamamlandı",$J89="İptal"),"",$I89-TODAY()))</f>
        <v/>
      </c>
      <c r="Q89" s="113">
        <f>IF($E89="","",IF($D89="TANIMSIZ MÜŞTERİ","HATA",IF(OR($J89="Tamamlandı",$J89="İptal"),"KAPALI",IF(AND($C89="Görüşme",$N89=""),"SONRAKİ İŞLEM EKSİK",IF($I89="","TARİH EKSİK",IF($I89&lt;TODAY(),"GECİKMİŞ",IF($I89=TODAY(),"BUGÜN",IF($I89&lt;=TODAY()+7,"7 GÜN İÇİNDE","PLANLI"))))))))</f>
        <v/>
      </c>
      <c r="R89" s="6" t="n"/>
      <c r="S89" s="6" t="n"/>
      <c r="T89" s="3" t="n"/>
      <c r="U89" s="3">
        <f>IF($E89="","",UPPER(SUBSTITUTE(SUBSTITUTE(SUBSTITUTE(SUBSTITUTE(SUBSTITUTE(SUBSTITUTE(SUBSTITUTE(SUBSTITUTE(SUBSTITUTE(SUBSTITUTE(SUBSTITUTE(SUBSTITUTE(SUBSTITUTE(SUBSTITUTE(SUBSTITUTE(SUBSTITUTE(SUBSTITUTE(SUBSTITUTE(TRIM($E89),"'",""),"İ","I"),"ı","I"),"i","I"),"Ş","S"),"ş","S"),"Ğ","G"),"ğ","G"),"Ü","U"),"ü","U"),"Ö","O"),"ö","O"),"Ç","C"),"ç","C"),".",""),",","")," ",""),"-","")))</f>
        <v/>
      </c>
    </row>
    <row r="90">
      <c r="A90" s="6" t="n"/>
      <c r="B90" s="113">
        <f>IF($E90="","","A"&amp;TEXT(ROW()-6,"00000"))</f>
        <v/>
      </c>
      <c r="C90" s="108" t="n"/>
      <c r="D90" s="113">
        <f>IF($E90="","",IFERROR(INDEX(MUSTERILER!$B$7:$B$106,MATCH($U90,MUSTERILER!$T$7:$T$106,0)),IFERROR(INDEX(MUSTERILER!$B$7:$B$106,MATCH($E90,MUSTERILER!$B$7:$B$106,0)),IFERROR(INDEX(MUSTERILER!$B$7:$B$106,MATCH($U90&amp;"*",MUSTERILER!$T$7:$T$106,0)),"TANIMSIZ MÜŞTERİ"))))</f>
        <v/>
      </c>
      <c r="E90" s="109" t="n"/>
      <c r="F90" s="109" t="n"/>
      <c r="G90" s="108" t="n"/>
      <c r="H90" s="220" t="n"/>
      <c r="I90" s="220" t="n"/>
      <c r="J90" s="108" t="n"/>
      <c r="K90" s="108" t="n"/>
      <c r="L90" s="109" t="n"/>
      <c r="M90" s="109" t="n"/>
      <c r="N90" s="109" t="n"/>
      <c r="O90" s="220" t="n"/>
      <c r="P90" s="227">
        <f>IF(OR($E90="",$I90=""),"",IF(OR($J90="Tamamlandı",$J90="İptal"),"",$I90-TODAY()))</f>
        <v/>
      </c>
      <c r="Q90" s="113">
        <f>IF($E90="","",IF($D90="TANIMSIZ MÜŞTERİ","HATA",IF(OR($J90="Tamamlandı",$J90="İptal"),"KAPALI",IF(AND($C90="Görüşme",$N90=""),"SONRAKİ İŞLEM EKSİK",IF($I90="","TARİH EKSİK",IF($I90&lt;TODAY(),"GECİKMİŞ",IF($I90=TODAY(),"BUGÜN",IF($I90&lt;=TODAY()+7,"7 GÜN İÇİNDE","PLANLI"))))))))</f>
        <v/>
      </c>
      <c r="R90" s="6" t="n"/>
      <c r="S90" s="6" t="n"/>
      <c r="T90" s="3" t="n"/>
      <c r="U90" s="3">
        <f>IF($E90="","",UPPER(SUBSTITUTE(SUBSTITUTE(SUBSTITUTE(SUBSTITUTE(SUBSTITUTE(SUBSTITUTE(SUBSTITUTE(SUBSTITUTE(SUBSTITUTE(SUBSTITUTE(SUBSTITUTE(SUBSTITUTE(SUBSTITUTE(SUBSTITUTE(SUBSTITUTE(SUBSTITUTE(SUBSTITUTE(SUBSTITUTE(TRIM($E90),"'",""),"İ","I"),"ı","I"),"i","I"),"Ş","S"),"ş","S"),"Ğ","G"),"ğ","G"),"Ü","U"),"ü","U"),"Ö","O"),"ö","O"),"Ç","C"),"ç","C"),".",""),",","")," ",""),"-","")))</f>
        <v/>
      </c>
    </row>
    <row r="91">
      <c r="A91" s="6" t="n"/>
      <c r="B91" s="113">
        <f>IF($E91="","","A"&amp;TEXT(ROW()-6,"00000"))</f>
        <v/>
      </c>
      <c r="C91" s="108" t="n"/>
      <c r="D91" s="113">
        <f>IF($E91="","",IFERROR(INDEX(MUSTERILER!$B$7:$B$106,MATCH($U91,MUSTERILER!$T$7:$T$106,0)),IFERROR(INDEX(MUSTERILER!$B$7:$B$106,MATCH($E91,MUSTERILER!$B$7:$B$106,0)),IFERROR(INDEX(MUSTERILER!$B$7:$B$106,MATCH($U91&amp;"*",MUSTERILER!$T$7:$T$106,0)),"TANIMSIZ MÜŞTERİ"))))</f>
        <v/>
      </c>
      <c r="E91" s="109" t="n"/>
      <c r="F91" s="109" t="n"/>
      <c r="G91" s="108" t="n"/>
      <c r="H91" s="220" t="n"/>
      <c r="I91" s="220" t="n"/>
      <c r="J91" s="108" t="n"/>
      <c r="K91" s="108" t="n"/>
      <c r="L91" s="109" t="n"/>
      <c r="M91" s="109" t="n"/>
      <c r="N91" s="109" t="n"/>
      <c r="O91" s="220" t="n"/>
      <c r="P91" s="227">
        <f>IF(OR($E91="",$I91=""),"",IF(OR($J91="Tamamlandı",$J91="İptal"),"",$I91-TODAY()))</f>
        <v/>
      </c>
      <c r="Q91" s="113">
        <f>IF($E91="","",IF($D91="TANIMSIZ MÜŞTERİ","HATA",IF(OR($J91="Tamamlandı",$J91="İptal"),"KAPALI",IF(AND($C91="Görüşme",$N91=""),"SONRAKİ İŞLEM EKSİK",IF($I91="","TARİH EKSİK",IF($I91&lt;TODAY(),"GECİKMİŞ",IF($I91=TODAY(),"BUGÜN",IF($I91&lt;=TODAY()+7,"7 GÜN İÇİNDE","PLANLI"))))))))</f>
        <v/>
      </c>
      <c r="R91" s="6" t="n"/>
      <c r="S91" s="6" t="n"/>
      <c r="T91" s="3" t="n"/>
      <c r="U91" s="3">
        <f>IF($E91="","",UPPER(SUBSTITUTE(SUBSTITUTE(SUBSTITUTE(SUBSTITUTE(SUBSTITUTE(SUBSTITUTE(SUBSTITUTE(SUBSTITUTE(SUBSTITUTE(SUBSTITUTE(SUBSTITUTE(SUBSTITUTE(SUBSTITUTE(SUBSTITUTE(SUBSTITUTE(SUBSTITUTE(SUBSTITUTE(SUBSTITUTE(TRIM($E91),"'",""),"İ","I"),"ı","I"),"i","I"),"Ş","S"),"ş","S"),"Ğ","G"),"ğ","G"),"Ü","U"),"ü","U"),"Ö","O"),"ö","O"),"Ç","C"),"ç","C"),".",""),",","")," ",""),"-","")))</f>
        <v/>
      </c>
    </row>
    <row r="92">
      <c r="A92" s="6" t="n"/>
      <c r="B92" s="113">
        <f>IF($E92="","","A"&amp;TEXT(ROW()-6,"00000"))</f>
        <v/>
      </c>
      <c r="C92" s="108" t="n"/>
      <c r="D92" s="113">
        <f>IF($E92="","",IFERROR(INDEX(MUSTERILER!$B$7:$B$106,MATCH($U92,MUSTERILER!$T$7:$T$106,0)),IFERROR(INDEX(MUSTERILER!$B$7:$B$106,MATCH($E92,MUSTERILER!$B$7:$B$106,0)),IFERROR(INDEX(MUSTERILER!$B$7:$B$106,MATCH($U92&amp;"*",MUSTERILER!$T$7:$T$106,0)),"TANIMSIZ MÜŞTERİ"))))</f>
        <v/>
      </c>
      <c r="E92" s="109" t="n"/>
      <c r="F92" s="109" t="n"/>
      <c r="G92" s="108" t="n"/>
      <c r="H92" s="220" t="n"/>
      <c r="I92" s="220" t="n"/>
      <c r="J92" s="108" t="n"/>
      <c r="K92" s="108" t="n"/>
      <c r="L92" s="109" t="n"/>
      <c r="M92" s="109" t="n"/>
      <c r="N92" s="109" t="n"/>
      <c r="O92" s="220" t="n"/>
      <c r="P92" s="227">
        <f>IF(OR($E92="",$I92=""),"",IF(OR($J92="Tamamlandı",$J92="İptal"),"",$I92-TODAY()))</f>
        <v/>
      </c>
      <c r="Q92" s="113">
        <f>IF($E92="","",IF($D92="TANIMSIZ MÜŞTERİ","HATA",IF(OR($J92="Tamamlandı",$J92="İptal"),"KAPALI",IF(AND($C92="Görüşme",$N92=""),"SONRAKİ İŞLEM EKSİK",IF($I92="","TARİH EKSİK",IF($I92&lt;TODAY(),"GECİKMİŞ",IF($I92=TODAY(),"BUGÜN",IF($I92&lt;=TODAY()+7,"7 GÜN İÇİNDE","PLANLI"))))))))</f>
        <v/>
      </c>
      <c r="R92" s="6" t="n"/>
      <c r="S92" s="6" t="n"/>
      <c r="T92" s="3" t="n"/>
      <c r="U92" s="3">
        <f>IF($E92="","",UPPER(SUBSTITUTE(SUBSTITUTE(SUBSTITUTE(SUBSTITUTE(SUBSTITUTE(SUBSTITUTE(SUBSTITUTE(SUBSTITUTE(SUBSTITUTE(SUBSTITUTE(SUBSTITUTE(SUBSTITUTE(SUBSTITUTE(SUBSTITUTE(SUBSTITUTE(SUBSTITUTE(SUBSTITUTE(SUBSTITUTE(TRIM($E92),"'",""),"İ","I"),"ı","I"),"i","I"),"Ş","S"),"ş","S"),"Ğ","G"),"ğ","G"),"Ü","U"),"ü","U"),"Ö","O"),"ö","O"),"Ç","C"),"ç","C"),".",""),",","")," ",""),"-","")))</f>
        <v/>
      </c>
    </row>
    <row r="93">
      <c r="A93" s="6" t="n"/>
      <c r="B93" s="113">
        <f>IF($E93="","","A"&amp;TEXT(ROW()-6,"00000"))</f>
        <v/>
      </c>
      <c r="C93" s="108" t="n"/>
      <c r="D93" s="113">
        <f>IF($E93="","",IFERROR(INDEX(MUSTERILER!$B$7:$B$106,MATCH($U93,MUSTERILER!$T$7:$T$106,0)),IFERROR(INDEX(MUSTERILER!$B$7:$B$106,MATCH($E93,MUSTERILER!$B$7:$B$106,0)),IFERROR(INDEX(MUSTERILER!$B$7:$B$106,MATCH($U93&amp;"*",MUSTERILER!$T$7:$T$106,0)),"TANIMSIZ MÜŞTERİ"))))</f>
        <v/>
      </c>
      <c r="E93" s="109" t="n"/>
      <c r="F93" s="109" t="n"/>
      <c r="G93" s="108" t="n"/>
      <c r="H93" s="220" t="n"/>
      <c r="I93" s="220" t="n"/>
      <c r="J93" s="108" t="n"/>
      <c r="K93" s="108" t="n"/>
      <c r="L93" s="109" t="n"/>
      <c r="M93" s="109" t="n"/>
      <c r="N93" s="109" t="n"/>
      <c r="O93" s="220" t="n"/>
      <c r="P93" s="227">
        <f>IF(OR($E93="",$I93=""),"",IF(OR($J93="Tamamlandı",$J93="İptal"),"",$I93-TODAY()))</f>
        <v/>
      </c>
      <c r="Q93" s="113">
        <f>IF($E93="","",IF($D93="TANIMSIZ MÜŞTERİ","HATA",IF(OR($J93="Tamamlandı",$J93="İptal"),"KAPALI",IF(AND($C93="Görüşme",$N93=""),"SONRAKİ İŞLEM EKSİK",IF($I93="","TARİH EKSİK",IF($I93&lt;TODAY(),"GECİKMİŞ",IF($I93=TODAY(),"BUGÜN",IF($I93&lt;=TODAY()+7,"7 GÜN İÇİNDE","PLANLI"))))))))</f>
        <v/>
      </c>
      <c r="R93" s="6" t="n"/>
      <c r="S93" s="6" t="n"/>
      <c r="T93" s="3" t="n"/>
      <c r="U93" s="3">
        <f>IF($E93="","",UPPER(SUBSTITUTE(SUBSTITUTE(SUBSTITUTE(SUBSTITUTE(SUBSTITUTE(SUBSTITUTE(SUBSTITUTE(SUBSTITUTE(SUBSTITUTE(SUBSTITUTE(SUBSTITUTE(SUBSTITUTE(SUBSTITUTE(SUBSTITUTE(SUBSTITUTE(SUBSTITUTE(SUBSTITUTE(SUBSTITUTE(TRIM($E93),"'",""),"İ","I"),"ı","I"),"i","I"),"Ş","S"),"ş","S"),"Ğ","G"),"ğ","G"),"Ü","U"),"ü","U"),"Ö","O"),"ö","O"),"Ç","C"),"ç","C"),".",""),",","")," ",""),"-","")))</f>
        <v/>
      </c>
    </row>
    <row r="94">
      <c r="A94" s="6" t="n"/>
      <c r="B94" s="113">
        <f>IF($E94="","","A"&amp;TEXT(ROW()-6,"00000"))</f>
        <v/>
      </c>
      <c r="C94" s="108" t="n"/>
      <c r="D94" s="113">
        <f>IF($E94="","",IFERROR(INDEX(MUSTERILER!$B$7:$B$106,MATCH($U94,MUSTERILER!$T$7:$T$106,0)),IFERROR(INDEX(MUSTERILER!$B$7:$B$106,MATCH($E94,MUSTERILER!$B$7:$B$106,0)),IFERROR(INDEX(MUSTERILER!$B$7:$B$106,MATCH($U94&amp;"*",MUSTERILER!$T$7:$T$106,0)),"TANIMSIZ MÜŞTERİ"))))</f>
        <v/>
      </c>
      <c r="E94" s="109" t="n"/>
      <c r="F94" s="109" t="n"/>
      <c r="G94" s="108" t="n"/>
      <c r="H94" s="220" t="n"/>
      <c r="I94" s="220" t="n"/>
      <c r="J94" s="108" t="n"/>
      <c r="K94" s="108" t="n"/>
      <c r="L94" s="109" t="n"/>
      <c r="M94" s="109" t="n"/>
      <c r="N94" s="109" t="n"/>
      <c r="O94" s="220" t="n"/>
      <c r="P94" s="227">
        <f>IF(OR($E94="",$I94=""),"",IF(OR($J94="Tamamlandı",$J94="İptal"),"",$I94-TODAY()))</f>
        <v/>
      </c>
      <c r="Q94" s="113">
        <f>IF($E94="","",IF($D94="TANIMSIZ MÜŞTERİ","HATA",IF(OR($J94="Tamamlandı",$J94="İptal"),"KAPALI",IF(AND($C94="Görüşme",$N94=""),"SONRAKİ İŞLEM EKSİK",IF($I94="","TARİH EKSİK",IF($I94&lt;TODAY(),"GECİKMİŞ",IF($I94=TODAY(),"BUGÜN",IF($I94&lt;=TODAY()+7,"7 GÜN İÇİNDE","PLANLI"))))))))</f>
        <v/>
      </c>
      <c r="R94" s="6" t="n"/>
      <c r="S94" s="6" t="n"/>
      <c r="T94" s="3" t="n"/>
      <c r="U94" s="3">
        <f>IF($E94="","",UPPER(SUBSTITUTE(SUBSTITUTE(SUBSTITUTE(SUBSTITUTE(SUBSTITUTE(SUBSTITUTE(SUBSTITUTE(SUBSTITUTE(SUBSTITUTE(SUBSTITUTE(SUBSTITUTE(SUBSTITUTE(SUBSTITUTE(SUBSTITUTE(SUBSTITUTE(SUBSTITUTE(SUBSTITUTE(SUBSTITUTE(TRIM($E94),"'",""),"İ","I"),"ı","I"),"i","I"),"Ş","S"),"ş","S"),"Ğ","G"),"ğ","G"),"Ü","U"),"ü","U"),"Ö","O"),"ö","O"),"Ç","C"),"ç","C"),".",""),",","")," ",""),"-","")))</f>
        <v/>
      </c>
    </row>
    <row r="95">
      <c r="A95" s="6" t="n"/>
      <c r="B95" s="113">
        <f>IF($E95="","","A"&amp;TEXT(ROW()-6,"00000"))</f>
        <v/>
      </c>
      <c r="C95" s="108" t="n"/>
      <c r="D95" s="113">
        <f>IF($E95="","",IFERROR(INDEX(MUSTERILER!$B$7:$B$106,MATCH($U95,MUSTERILER!$T$7:$T$106,0)),IFERROR(INDEX(MUSTERILER!$B$7:$B$106,MATCH($E95,MUSTERILER!$B$7:$B$106,0)),IFERROR(INDEX(MUSTERILER!$B$7:$B$106,MATCH($U95&amp;"*",MUSTERILER!$T$7:$T$106,0)),"TANIMSIZ MÜŞTERİ"))))</f>
        <v/>
      </c>
      <c r="E95" s="109" t="n"/>
      <c r="F95" s="109" t="n"/>
      <c r="G95" s="108" t="n"/>
      <c r="H95" s="220" t="n"/>
      <c r="I95" s="220" t="n"/>
      <c r="J95" s="108" t="n"/>
      <c r="K95" s="108" t="n"/>
      <c r="L95" s="109" t="n"/>
      <c r="M95" s="109" t="n"/>
      <c r="N95" s="109" t="n"/>
      <c r="O95" s="220" t="n"/>
      <c r="P95" s="227">
        <f>IF(OR($E95="",$I95=""),"",IF(OR($J95="Tamamlandı",$J95="İptal"),"",$I95-TODAY()))</f>
        <v/>
      </c>
      <c r="Q95" s="113">
        <f>IF($E95="","",IF($D95="TANIMSIZ MÜŞTERİ","HATA",IF(OR($J95="Tamamlandı",$J95="İptal"),"KAPALI",IF(AND($C95="Görüşme",$N95=""),"SONRAKİ İŞLEM EKSİK",IF($I95="","TARİH EKSİK",IF($I95&lt;TODAY(),"GECİKMİŞ",IF($I95=TODAY(),"BUGÜN",IF($I95&lt;=TODAY()+7,"7 GÜN İÇİNDE","PLANLI"))))))))</f>
        <v/>
      </c>
      <c r="R95" s="6" t="n"/>
      <c r="S95" s="6" t="n"/>
      <c r="T95" s="3" t="n"/>
      <c r="U95" s="3">
        <f>IF($E95="","",UPPER(SUBSTITUTE(SUBSTITUTE(SUBSTITUTE(SUBSTITUTE(SUBSTITUTE(SUBSTITUTE(SUBSTITUTE(SUBSTITUTE(SUBSTITUTE(SUBSTITUTE(SUBSTITUTE(SUBSTITUTE(SUBSTITUTE(SUBSTITUTE(SUBSTITUTE(SUBSTITUTE(SUBSTITUTE(SUBSTITUTE(TRIM($E95),"'",""),"İ","I"),"ı","I"),"i","I"),"Ş","S"),"ş","S"),"Ğ","G"),"ğ","G"),"Ü","U"),"ü","U"),"Ö","O"),"ö","O"),"Ç","C"),"ç","C"),".",""),",","")," ",""),"-","")))</f>
        <v/>
      </c>
    </row>
    <row r="96">
      <c r="A96" s="6" t="n"/>
      <c r="B96" s="113">
        <f>IF($E96="","","A"&amp;TEXT(ROW()-6,"00000"))</f>
        <v/>
      </c>
      <c r="C96" s="108" t="n"/>
      <c r="D96" s="113">
        <f>IF($E96="","",IFERROR(INDEX(MUSTERILER!$B$7:$B$106,MATCH($U96,MUSTERILER!$T$7:$T$106,0)),IFERROR(INDEX(MUSTERILER!$B$7:$B$106,MATCH($E96,MUSTERILER!$B$7:$B$106,0)),IFERROR(INDEX(MUSTERILER!$B$7:$B$106,MATCH($U96&amp;"*",MUSTERILER!$T$7:$T$106,0)),"TANIMSIZ MÜŞTERİ"))))</f>
        <v/>
      </c>
      <c r="E96" s="109" t="n"/>
      <c r="F96" s="109" t="n"/>
      <c r="G96" s="108" t="n"/>
      <c r="H96" s="220" t="n"/>
      <c r="I96" s="220" t="n"/>
      <c r="J96" s="108" t="n"/>
      <c r="K96" s="108" t="n"/>
      <c r="L96" s="109" t="n"/>
      <c r="M96" s="109" t="n"/>
      <c r="N96" s="109" t="n"/>
      <c r="O96" s="220" t="n"/>
      <c r="P96" s="227">
        <f>IF(OR($E96="",$I96=""),"",IF(OR($J96="Tamamlandı",$J96="İptal"),"",$I96-TODAY()))</f>
        <v/>
      </c>
      <c r="Q96" s="113">
        <f>IF($E96="","",IF($D96="TANIMSIZ MÜŞTERİ","HATA",IF(OR($J96="Tamamlandı",$J96="İptal"),"KAPALI",IF(AND($C96="Görüşme",$N96=""),"SONRAKİ İŞLEM EKSİK",IF($I96="","TARİH EKSİK",IF($I96&lt;TODAY(),"GECİKMİŞ",IF($I96=TODAY(),"BUGÜN",IF($I96&lt;=TODAY()+7,"7 GÜN İÇİNDE","PLANLI"))))))))</f>
        <v/>
      </c>
      <c r="R96" s="6" t="n"/>
      <c r="S96" s="6" t="n"/>
      <c r="T96" s="3" t="n"/>
      <c r="U96" s="3">
        <f>IF($E96="","",UPPER(SUBSTITUTE(SUBSTITUTE(SUBSTITUTE(SUBSTITUTE(SUBSTITUTE(SUBSTITUTE(SUBSTITUTE(SUBSTITUTE(SUBSTITUTE(SUBSTITUTE(SUBSTITUTE(SUBSTITUTE(SUBSTITUTE(SUBSTITUTE(SUBSTITUTE(SUBSTITUTE(SUBSTITUTE(SUBSTITUTE(TRIM($E96),"'",""),"İ","I"),"ı","I"),"i","I"),"Ş","S"),"ş","S"),"Ğ","G"),"ğ","G"),"Ü","U"),"ü","U"),"Ö","O"),"ö","O"),"Ç","C"),"ç","C"),".",""),",","")," ",""),"-","")))</f>
        <v/>
      </c>
    </row>
    <row r="97">
      <c r="A97" s="6" t="n"/>
      <c r="B97" s="113">
        <f>IF($E97="","","A"&amp;TEXT(ROW()-6,"00000"))</f>
        <v/>
      </c>
      <c r="C97" s="108" t="n"/>
      <c r="D97" s="113">
        <f>IF($E97="","",IFERROR(INDEX(MUSTERILER!$B$7:$B$106,MATCH($U97,MUSTERILER!$T$7:$T$106,0)),IFERROR(INDEX(MUSTERILER!$B$7:$B$106,MATCH($E97,MUSTERILER!$B$7:$B$106,0)),IFERROR(INDEX(MUSTERILER!$B$7:$B$106,MATCH($U97&amp;"*",MUSTERILER!$T$7:$T$106,0)),"TANIMSIZ MÜŞTERİ"))))</f>
        <v/>
      </c>
      <c r="E97" s="109" t="n"/>
      <c r="F97" s="109" t="n"/>
      <c r="G97" s="108" t="n"/>
      <c r="H97" s="220" t="n"/>
      <c r="I97" s="220" t="n"/>
      <c r="J97" s="108" t="n"/>
      <c r="K97" s="108" t="n"/>
      <c r="L97" s="109" t="n"/>
      <c r="M97" s="109" t="n"/>
      <c r="N97" s="109" t="n"/>
      <c r="O97" s="220" t="n"/>
      <c r="P97" s="227">
        <f>IF(OR($E97="",$I97=""),"",IF(OR($J97="Tamamlandı",$J97="İptal"),"",$I97-TODAY()))</f>
        <v/>
      </c>
      <c r="Q97" s="113">
        <f>IF($E97="","",IF($D97="TANIMSIZ MÜŞTERİ","HATA",IF(OR($J97="Tamamlandı",$J97="İptal"),"KAPALI",IF(AND($C97="Görüşme",$N97=""),"SONRAKİ İŞLEM EKSİK",IF($I97="","TARİH EKSİK",IF($I97&lt;TODAY(),"GECİKMİŞ",IF($I97=TODAY(),"BUGÜN",IF($I97&lt;=TODAY()+7,"7 GÜN İÇİNDE","PLANLI"))))))))</f>
        <v/>
      </c>
      <c r="R97" s="6" t="n"/>
      <c r="S97" s="6" t="n"/>
      <c r="T97" s="3" t="n"/>
      <c r="U97" s="3">
        <f>IF($E97="","",UPPER(SUBSTITUTE(SUBSTITUTE(SUBSTITUTE(SUBSTITUTE(SUBSTITUTE(SUBSTITUTE(SUBSTITUTE(SUBSTITUTE(SUBSTITUTE(SUBSTITUTE(SUBSTITUTE(SUBSTITUTE(SUBSTITUTE(SUBSTITUTE(SUBSTITUTE(SUBSTITUTE(SUBSTITUTE(SUBSTITUTE(TRIM($E97),"'",""),"İ","I"),"ı","I"),"i","I"),"Ş","S"),"ş","S"),"Ğ","G"),"ğ","G"),"Ü","U"),"ü","U"),"Ö","O"),"ö","O"),"Ç","C"),"ç","C"),".",""),",","")," ",""),"-","")))</f>
        <v/>
      </c>
    </row>
    <row r="98">
      <c r="A98" s="6" t="n"/>
      <c r="B98" s="113">
        <f>IF($E98="","","A"&amp;TEXT(ROW()-6,"00000"))</f>
        <v/>
      </c>
      <c r="C98" s="108" t="n"/>
      <c r="D98" s="113">
        <f>IF($E98="","",IFERROR(INDEX(MUSTERILER!$B$7:$B$106,MATCH($U98,MUSTERILER!$T$7:$T$106,0)),IFERROR(INDEX(MUSTERILER!$B$7:$B$106,MATCH($E98,MUSTERILER!$B$7:$B$106,0)),IFERROR(INDEX(MUSTERILER!$B$7:$B$106,MATCH($U98&amp;"*",MUSTERILER!$T$7:$T$106,0)),"TANIMSIZ MÜŞTERİ"))))</f>
        <v/>
      </c>
      <c r="E98" s="109" t="n"/>
      <c r="F98" s="109" t="n"/>
      <c r="G98" s="108" t="n"/>
      <c r="H98" s="220" t="n"/>
      <c r="I98" s="220" t="n"/>
      <c r="J98" s="108" t="n"/>
      <c r="K98" s="108" t="n"/>
      <c r="L98" s="109" t="n"/>
      <c r="M98" s="109" t="n"/>
      <c r="N98" s="109" t="n"/>
      <c r="O98" s="220" t="n"/>
      <c r="P98" s="227">
        <f>IF(OR($E98="",$I98=""),"",IF(OR($J98="Tamamlandı",$J98="İptal"),"",$I98-TODAY()))</f>
        <v/>
      </c>
      <c r="Q98" s="113">
        <f>IF($E98="","",IF($D98="TANIMSIZ MÜŞTERİ","HATA",IF(OR($J98="Tamamlandı",$J98="İptal"),"KAPALI",IF(AND($C98="Görüşme",$N98=""),"SONRAKİ İŞLEM EKSİK",IF($I98="","TARİH EKSİK",IF($I98&lt;TODAY(),"GECİKMİŞ",IF($I98=TODAY(),"BUGÜN",IF($I98&lt;=TODAY()+7,"7 GÜN İÇİNDE","PLANLI"))))))))</f>
        <v/>
      </c>
      <c r="R98" s="6" t="n"/>
      <c r="S98" s="6" t="n"/>
      <c r="T98" s="3" t="n"/>
      <c r="U98" s="3">
        <f>IF($E98="","",UPPER(SUBSTITUTE(SUBSTITUTE(SUBSTITUTE(SUBSTITUTE(SUBSTITUTE(SUBSTITUTE(SUBSTITUTE(SUBSTITUTE(SUBSTITUTE(SUBSTITUTE(SUBSTITUTE(SUBSTITUTE(SUBSTITUTE(SUBSTITUTE(SUBSTITUTE(SUBSTITUTE(SUBSTITUTE(SUBSTITUTE(TRIM($E98),"'",""),"İ","I"),"ı","I"),"i","I"),"Ş","S"),"ş","S"),"Ğ","G"),"ğ","G"),"Ü","U"),"ü","U"),"Ö","O"),"ö","O"),"Ç","C"),"ç","C"),".",""),",","")," ",""),"-","")))</f>
        <v/>
      </c>
    </row>
    <row r="99">
      <c r="A99" s="6" t="n"/>
      <c r="B99" s="113">
        <f>IF($E99="","","A"&amp;TEXT(ROW()-6,"00000"))</f>
        <v/>
      </c>
      <c r="C99" s="108" t="n"/>
      <c r="D99" s="113">
        <f>IF($E99="","",IFERROR(INDEX(MUSTERILER!$B$7:$B$106,MATCH($U99,MUSTERILER!$T$7:$T$106,0)),IFERROR(INDEX(MUSTERILER!$B$7:$B$106,MATCH($E99,MUSTERILER!$B$7:$B$106,0)),IFERROR(INDEX(MUSTERILER!$B$7:$B$106,MATCH($U99&amp;"*",MUSTERILER!$T$7:$T$106,0)),"TANIMSIZ MÜŞTERİ"))))</f>
        <v/>
      </c>
      <c r="E99" s="109" t="n"/>
      <c r="F99" s="109" t="n"/>
      <c r="G99" s="108" t="n"/>
      <c r="H99" s="220" t="n"/>
      <c r="I99" s="220" t="n"/>
      <c r="J99" s="108" t="n"/>
      <c r="K99" s="108" t="n"/>
      <c r="L99" s="109" t="n"/>
      <c r="M99" s="109" t="n"/>
      <c r="N99" s="109" t="n"/>
      <c r="O99" s="220" t="n"/>
      <c r="P99" s="227">
        <f>IF(OR($E99="",$I99=""),"",IF(OR($J99="Tamamlandı",$J99="İptal"),"",$I99-TODAY()))</f>
        <v/>
      </c>
      <c r="Q99" s="113">
        <f>IF($E99="","",IF($D99="TANIMSIZ MÜŞTERİ","HATA",IF(OR($J99="Tamamlandı",$J99="İptal"),"KAPALI",IF(AND($C99="Görüşme",$N99=""),"SONRAKİ İŞLEM EKSİK",IF($I99="","TARİH EKSİK",IF($I99&lt;TODAY(),"GECİKMİŞ",IF($I99=TODAY(),"BUGÜN",IF($I99&lt;=TODAY()+7,"7 GÜN İÇİNDE","PLANLI"))))))))</f>
        <v/>
      </c>
      <c r="R99" s="6" t="n"/>
      <c r="S99" s="6" t="n"/>
      <c r="T99" s="3" t="n"/>
      <c r="U99" s="3">
        <f>IF($E99="","",UPPER(SUBSTITUTE(SUBSTITUTE(SUBSTITUTE(SUBSTITUTE(SUBSTITUTE(SUBSTITUTE(SUBSTITUTE(SUBSTITUTE(SUBSTITUTE(SUBSTITUTE(SUBSTITUTE(SUBSTITUTE(SUBSTITUTE(SUBSTITUTE(SUBSTITUTE(SUBSTITUTE(SUBSTITUTE(SUBSTITUTE(TRIM($E99),"'",""),"İ","I"),"ı","I"),"i","I"),"Ş","S"),"ş","S"),"Ğ","G"),"ğ","G"),"Ü","U"),"ü","U"),"Ö","O"),"ö","O"),"Ç","C"),"ç","C"),".",""),",","")," ",""),"-","")))</f>
        <v/>
      </c>
    </row>
    <row r="100">
      <c r="A100" s="6" t="n"/>
      <c r="B100" s="113">
        <f>IF($E100="","","A"&amp;TEXT(ROW()-6,"00000"))</f>
        <v/>
      </c>
      <c r="C100" s="108" t="n"/>
      <c r="D100" s="113">
        <f>IF($E100="","",IFERROR(INDEX(MUSTERILER!$B$7:$B$106,MATCH($U100,MUSTERILER!$T$7:$T$106,0)),IFERROR(INDEX(MUSTERILER!$B$7:$B$106,MATCH($E100,MUSTERILER!$B$7:$B$106,0)),IFERROR(INDEX(MUSTERILER!$B$7:$B$106,MATCH($U100&amp;"*",MUSTERILER!$T$7:$T$106,0)),"TANIMSIZ MÜŞTERİ"))))</f>
        <v/>
      </c>
      <c r="E100" s="109" t="n"/>
      <c r="F100" s="109" t="n"/>
      <c r="G100" s="108" t="n"/>
      <c r="H100" s="220" t="n"/>
      <c r="I100" s="220" t="n"/>
      <c r="J100" s="108" t="n"/>
      <c r="K100" s="108" t="n"/>
      <c r="L100" s="109" t="n"/>
      <c r="M100" s="109" t="n"/>
      <c r="N100" s="109" t="n"/>
      <c r="O100" s="220" t="n"/>
      <c r="P100" s="227">
        <f>IF(OR($E100="",$I100=""),"",IF(OR($J100="Tamamlandı",$J100="İptal"),"",$I100-TODAY()))</f>
        <v/>
      </c>
      <c r="Q100" s="113">
        <f>IF($E100="","",IF($D100="TANIMSIZ MÜŞTERİ","HATA",IF(OR($J100="Tamamlandı",$J100="İptal"),"KAPALI",IF(AND($C100="Görüşme",$N100=""),"SONRAKİ İŞLEM EKSİK",IF($I100="","TARİH EKSİK",IF($I100&lt;TODAY(),"GECİKMİŞ",IF($I100=TODAY(),"BUGÜN",IF($I100&lt;=TODAY()+7,"7 GÜN İÇİNDE","PLANLI"))))))))</f>
        <v/>
      </c>
      <c r="R100" s="6" t="n"/>
      <c r="S100" s="6" t="n"/>
      <c r="T100" s="3" t="n"/>
      <c r="U100" s="3">
        <f>IF($E100="","",UPPER(SUBSTITUTE(SUBSTITUTE(SUBSTITUTE(SUBSTITUTE(SUBSTITUTE(SUBSTITUTE(SUBSTITUTE(SUBSTITUTE(SUBSTITUTE(SUBSTITUTE(SUBSTITUTE(SUBSTITUTE(SUBSTITUTE(SUBSTITUTE(SUBSTITUTE(SUBSTITUTE(SUBSTITUTE(SUBSTITUTE(TRIM($E100),"'",""),"İ","I"),"ı","I"),"i","I"),"Ş","S"),"ş","S"),"Ğ","G"),"ğ","G"),"Ü","U"),"ü","U"),"Ö","O"),"ö","O"),"Ç","C"),"ç","C"),".",""),",","")," ",""),"-","")))</f>
        <v/>
      </c>
    </row>
    <row r="101">
      <c r="A101" s="6" t="n"/>
      <c r="B101" s="113">
        <f>IF($E101="","","A"&amp;TEXT(ROW()-6,"00000"))</f>
        <v/>
      </c>
      <c r="C101" s="108" t="n"/>
      <c r="D101" s="113">
        <f>IF($E101="","",IFERROR(INDEX(MUSTERILER!$B$7:$B$106,MATCH($U101,MUSTERILER!$T$7:$T$106,0)),IFERROR(INDEX(MUSTERILER!$B$7:$B$106,MATCH($E101,MUSTERILER!$B$7:$B$106,0)),IFERROR(INDEX(MUSTERILER!$B$7:$B$106,MATCH($U101&amp;"*",MUSTERILER!$T$7:$T$106,0)),"TANIMSIZ MÜŞTERİ"))))</f>
        <v/>
      </c>
      <c r="E101" s="109" t="n"/>
      <c r="F101" s="109" t="n"/>
      <c r="G101" s="108" t="n"/>
      <c r="H101" s="220" t="n"/>
      <c r="I101" s="220" t="n"/>
      <c r="J101" s="108" t="n"/>
      <c r="K101" s="108" t="n"/>
      <c r="L101" s="109" t="n"/>
      <c r="M101" s="109" t="n"/>
      <c r="N101" s="109" t="n"/>
      <c r="O101" s="220" t="n"/>
      <c r="P101" s="227">
        <f>IF(OR($E101="",$I101=""),"",IF(OR($J101="Tamamlandı",$J101="İptal"),"",$I101-TODAY()))</f>
        <v/>
      </c>
      <c r="Q101" s="113">
        <f>IF($E101="","",IF($D101="TANIMSIZ MÜŞTERİ","HATA",IF(OR($J101="Tamamlandı",$J101="İptal"),"KAPALI",IF(AND($C101="Görüşme",$N101=""),"SONRAKİ İŞLEM EKSİK",IF($I101="","TARİH EKSİK",IF($I101&lt;TODAY(),"GECİKMİŞ",IF($I101=TODAY(),"BUGÜN",IF($I101&lt;=TODAY()+7,"7 GÜN İÇİNDE","PLANLI"))))))))</f>
        <v/>
      </c>
      <c r="R101" s="6" t="n"/>
      <c r="S101" s="6" t="n"/>
      <c r="T101" s="3" t="n"/>
      <c r="U101" s="3">
        <f>IF($E101="","",UPPER(SUBSTITUTE(SUBSTITUTE(SUBSTITUTE(SUBSTITUTE(SUBSTITUTE(SUBSTITUTE(SUBSTITUTE(SUBSTITUTE(SUBSTITUTE(SUBSTITUTE(SUBSTITUTE(SUBSTITUTE(SUBSTITUTE(SUBSTITUTE(SUBSTITUTE(SUBSTITUTE(SUBSTITUTE(SUBSTITUTE(TRIM($E101),"'",""),"İ","I"),"ı","I"),"i","I"),"Ş","S"),"ş","S"),"Ğ","G"),"ğ","G"),"Ü","U"),"ü","U"),"Ö","O"),"ö","O"),"Ç","C"),"ç","C"),".",""),",","")," ",""),"-","")))</f>
        <v/>
      </c>
    </row>
    <row r="102">
      <c r="A102" s="6" t="n"/>
      <c r="B102" s="113">
        <f>IF($E102="","","A"&amp;TEXT(ROW()-6,"00000"))</f>
        <v/>
      </c>
      <c r="C102" s="108" t="n"/>
      <c r="D102" s="113">
        <f>IF($E102="","",IFERROR(INDEX(MUSTERILER!$B$7:$B$106,MATCH($U102,MUSTERILER!$T$7:$T$106,0)),IFERROR(INDEX(MUSTERILER!$B$7:$B$106,MATCH($E102,MUSTERILER!$B$7:$B$106,0)),IFERROR(INDEX(MUSTERILER!$B$7:$B$106,MATCH($U102&amp;"*",MUSTERILER!$T$7:$T$106,0)),"TANIMSIZ MÜŞTERİ"))))</f>
        <v/>
      </c>
      <c r="E102" s="109" t="n"/>
      <c r="F102" s="109" t="n"/>
      <c r="G102" s="108" t="n"/>
      <c r="H102" s="220" t="n"/>
      <c r="I102" s="220" t="n"/>
      <c r="J102" s="108" t="n"/>
      <c r="K102" s="108" t="n"/>
      <c r="L102" s="109" t="n"/>
      <c r="M102" s="109" t="n"/>
      <c r="N102" s="109" t="n"/>
      <c r="O102" s="220" t="n"/>
      <c r="P102" s="227">
        <f>IF(OR($E102="",$I102=""),"",IF(OR($J102="Tamamlandı",$J102="İptal"),"",$I102-TODAY()))</f>
        <v/>
      </c>
      <c r="Q102" s="113">
        <f>IF($E102="","",IF($D102="TANIMSIZ MÜŞTERİ","HATA",IF(OR($J102="Tamamlandı",$J102="İptal"),"KAPALI",IF(AND($C102="Görüşme",$N102=""),"SONRAKİ İŞLEM EKSİK",IF($I102="","TARİH EKSİK",IF($I102&lt;TODAY(),"GECİKMİŞ",IF($I102=TODAY(),"BUGÜN",IF($I102&lt;=TODAY()+7,"7 GÜN İÇİNDE","PLANLI"))))))))</f>
        <v/>
      </c>
      <c r="R102" s="6" t="n"/>
      <c r="S102" s="6" t="n"/>
      <c r="T102" s="3" t="n"/>
      <c r="U102" s="3">
        <f>IF($E102="","",UPPER(SUBSTITUTE(SUBSTITUTE(SUBSTITUTE(SUBSTITUTE(SUBSTITUTE(SUBSTITUTE(SUBSTITUTE(SUBSTITUTE(SUBSTITUTE(SUBSTITUTE(SUBSTITUTE(SUBSTITUTE(SUBSTITUTE(SUBSTITUTE(SUBSTITUTE(SUBSTITUTE(SUBSTITUTE(SUBSTITUTE(TRIM($E102),"'",""),"İ","I"),"ı","I"),"i","I"),"Ş","S"),"ş","S"),"Ğ","G"),"ğ","G"),"Ü","U"),"ü","U"),"Ö","O"),"ö","O"),"Ç","C"),"ç","C"),".",""),",","")," ",""),"-","")))</f>
        <v/>
      </c>
    </row>
    <row r="103">
      <c r="A103" s="6" t="n"/>
      <c r="B103" s="113">
        <f>IF($E103="","","A"&amp;TEXT(ROW()-6,"00000"))</f>
        <v/>
      </c>
      <c r="C103" s="108" t="n"/>
      <c r="D103" s="113">
        <f>IF($E103="","",IFERROR(INDEX(MUSTERILER!$B$7:$B$106,MATCH($U103,MUSTERILER!$T$7:$T$106,0)),IFERROR(INDEX(MUSTERILER!$B$7:$B$106,MATCH($E103,MUSTERILER!$B$7:$B$106,0)),IFERROR(INDEX(MUSTERILER!$B$7:$B$106,MATCH($U103&amp;"*",MUSTERILER!$T$7:$T$106,0)),"TANIMSIZ MÜŞTERİ"))))</f>
        <v/>
      </c>
      <c r="E103" s="109" t="n"/>
      <c r="F103" s="109" t="n"/>
      <c r="G103" s="108" t="n"/>
      <c r="H103" s="220" t="n"/>
      <c r="I103" s="220" t="n"/>
      <c r="J103" s="108" t="n"/>
      <c r="K103" s="108" t="n"/>
      <c r="L103" s="109" t="n"/>
      <c r="M103" s="109" t="n"/>
      <c r="N103" s="109" t="n"/>
      <c r="O103" s="220" t="n"/>
      <c r="P103" s="227">
        <f>IF(OR($E103="",$I103=""),"",IF(OR($J103="Tamamlandı",$J103="İptal"),"",$I103-TODAY()))</f>
        <v/>
      </c>
      <c r="Q103" s="113">
        <f>IF($E103="","",IF($D103="TANIMSIZ MÜŞTERİ","HATA",IF(OR($J103="Tamamlandı",$J103="İptal"),"KAPALI",IF(AND($C103="Görüşme",$N103=""),"SONRAKİ İŞLEM EKSİK",IF($I103="","TARİH EKSİK",IF($I103&lt;TODAY(),"GECİKMİŞ",IF($I103=TODAY(),"BUGÜN",IF($I103&lt;=TODAY()+7,"7 GÜN İÇİNDE","PLANLI"))))))))</f>
        <v/>
      </c>
      <c r="R103" s="6" t="n"/>
      <c r="S103" s="6" t="n"/>
      <c r="T103" s="3" t="n"/>
      <c r="U103" s="3">
        <f>IF($E103="","",UPPER(SUBSTITUTE(SUBSTITUTE(SUBSTITUTE(SUBSTITUTE(SUBSTITUTE(SUBSTITUTE(SUBSTITUTE(SUBSTITUTE(SUBSTITUTE(SUBSTITUTE(SUBSTITUTE(SUBSTITUTE(SUBSTITUTE(SUBSTITUTE(SUBSTITUTE(SUBSTITUTE(SUBSTITUTE(SUBSTITUTE(TRIM($E103),"'",""),"İ","I"),"ı","I"),"i","I"),"Ş","S"),"ş","S"),"Ğ","G"),"ğ","G"),"Ü","U"),"ü","U"),"Ö","O"),"ö","O"),"Ç","C"),"ç","C"),".",""),",","")," ",""),"-","")))</f>
        <v/>
      </c>
    </row>
    <row r="104">
      <c r="A104" s="6" t="n"/>
      <c r="B104" s="113">
        <f>IF($E104="","","A"&amp;TEXT(ROW()-6,"00000"))</f>
        <v/>
      </c>
      <c r="C104" s="108" t="n"/>
      <c r="D104" s="113">
        <f>IF($E104="","",IFERROR(INDEX(MUSTERILER!$B$7:$B$106,MATCH($U104,MUSTERILER!$T$7:$T$106,0)),IFERROR(INDEX(MUSTERILER!$B$7:$B$106,MATCH($E104,MUSTERILER!$B$7:$B$106,0)),IFERROR(INDEX(MUSTERILER!$B$7:$B$106,MATCH($U104&amp;"*",MUSTERILER!$T$7:$T$106,0)),"TANIMSIZ MÜŞTERİ"))))</f>
        <v/>
      </c>
      <c r="E104" s="109" t="n"/>
      <c r="F104" s="109" t="n"/>
      <c r="G104" s="108" t="n"/>
      <c r="H104" s="220" t="n"/>
      <c r="I104" s="220" t="n"/>
      <c r="J104" s="108" t="n"/>
      <c r="K104" s="108" t="n"/>
      <c r="L104" s="109" t="n"/>
      <c r="M104" s="109" t="n"/>
      <c r="N104" s="109" t="n"/>
      <c r="O104" s="220" t="n"/>
      <c r="P104" s="227">
        <f>IF(OR($E104="",$I104=""),"",IF(OR($J104="Tamamlandı",$J104="İptal"),"",$I104-TODAY()))</f>
        <v/>
      </c>
      <c r="Q104" s="113">
        <f>IF($E104="","",IF($D104="TANIMSIZ MÜŞTERİ","HATA",IF(OR($J104="Tamamlandı",$J104="İptal"),"KAPALI",IF(AND($C104="Görüşme",$N104=""),"SONRAKİ İŞLEM EKSİK",IF($I104="","TARİH EKSİK",IF($I104&lt;TODAY(),"GECİKMİŞ",IF($I104=TODAY(),"BUGÜN",IF($I104&lt;=TODAY()+7,"7 GÜN İÇİNDE","PLANLI"))))))))</f>
        <v/>
      </c>
      <c r="R104" s="6" t="n"/>
      <c r="S104" s="6" t="n"/>
      <c r="T104" s="3" t="n"/>
      <c r="U104" s="3">
        <f>IF($E104="","",UPPER(SUBSTITUTE(SUBSTITUTE(SUBSTITUTE(SUBSTITUTE(SUBSTITUTE(SUBSTITUTE(SUBSTITUTE(SUBSTITUTE(SUBSTITUTE(SUBSTITUTE(SUBSTITUTE(SUBSTITUTE(SUBSTITUTE(SUBSTITUTE(SUBSTITUTE(SUBSTITUTE(SUBSTITUTE(SUBSTITUTE(TRIM($E104),"'",""),"İ","I"),"ı","I"),"i","I"),"Ş","S"),"ş","S"),"Ğ","G"),"ğ","G"),"Ü","U"),"ü","U"),"Ö","O"),"ö","O"),"Ç","C"),"ç","C"),".",""),",","")," ",""),"-","")))</f>
        <v/>
      </c>
    </row>
    <row r="105">
      <c r="A105" s="6" t="n"/>
      <c r="B105" s="113">
        <f>IF($E105="","","A"&amp;TEXT(ROW()-6,"00000"))</f>
        <v/>
      </c>
      <c r="C105" s="108" t="n"/>
      <c r="D105" s="113">
        <f>IF($E105="","",IFERROR(INDEX(MUSTERILER!$B$7:$B$106,MATCH($U105,MUSTERILER!$T$7:$T$106,0)),IFERROR(INDEX(MUSTERILER!$B$7:$B$106,MATCH($E105,MUSTERILER!$B$7:$B$106,0)),IFERROR(INDEX(MUSTERILER!$B$7:$B$106,MATCH($U105&amp;"*",MUSTERILER!$T$7:$T$106,0)),"TANIMSIZ MÜŞTERİ"))))</f>
        <v/>
      </c>
      <c r="E105" s="109" t="n"/>
      <c r="F105" s="109" t="n"/>
      <c r="G105" s="108" t="n"/>
      <c r="H105" s="220" t="n"/>
      <c r="I105" s="220" t="n"/>
      <c r="J105" s="108" t="n"/>
      <c r="K105" s="108" t="n"/>
      <c r="L105" s="109" t="n"/>
      <c r="M105" s="109" t="n"/>
      <c r="N105" s="109" t="n"/>
      <c r="O105" s="220" t="n"/>
      <c r="P105" s="227">
        <f>IF(OR($E105="",$I105=""),"",IF(OR($J105="Tamamlandı",$J105="İptal"),"",$I105-TODAY()))</f>
        <v/>
      </c>
      <c r="Q105" s="113">
        <f>IF($E105="","",IF($D105="TANIMSIZ MÜŞTERİ","HATA",IF(OR($J105="Tamamlandı",$J105="İptal"),"KAPALI",IF(AND($C105="Görüşme",$N105=""),"SONRAKİ İŞLEM EKSİK",IF($I105="","TARİH EKSİK",IF($I105&lt;TODAY(),"GECİKMİŞ",IF($I105=TODAY(),"BUGÜN",IF($I105&lt;=TODAY()+7,"7 GÜN İÇİNDE","PLANLI"))))))))</f>
        <v/>
      </c>
      <c r="R105" s="6" t="n"/>
      <c r="S105" s="6" t="n"/>
      <c r="T105" s="3" t="n"/>
      <c r="U105" s="3">
        <f>IF($E105="","",UPPER(SUBSTITUTE(SUBSTITUTE(SUBSTITUTE(SUBSTITUTE(SUBSTITUTE(SUBSTITUTE(SUBSTITUTE(SUBSTITUTE(SUBSTITUTE(SUBSTITUTE(SUBSTITUTE(SUBSTITUTE(SUBSTITUTE(SUBSTITUTE(SUBSTITUTE(SUBSTITUTE(SUBSTITUTE(SUBSTITUTE(TRIM($E105),"'",""),"İ","I"),"ı","I"),"i","I"),"Ş","S"),"ş","S"),"Ğ","G"),"ğ","G"),"Ü","U"),"ü","U"),"Ö","O"),"ö","O"),"Ç","C"),"ç","C"),".",""),",","")," ",""),"-","")))</f>
        <v/>
      </c>
    </row>
    <row r="106">
      <c r="A106" s="6" t="n"/>
      <c r="B106" s="113">
        <f>IF($E106="","","A"&amp;TEXT(ROW()-6,"00000"))</f>
        <v/>
      </c>
      <c r="C106" s="108" t="n"/>
      <c r="D106" s="113">
        <f>IF($E106="","",IFERROR(INDEX(MUSTERILER!$B$7:$B$106,MATCH($U106,MUSTERILER!$T$7:$T$106,0)),IFERROR(INDEX(MUSTERILER!$B$7:$B$106,MATCH($E106,MUSTERILER!$B$7:$B$106,0)),IFERROR(INDEX(MUSTERILER!$B$7:$B$106,MATCH($U106&amp;"*",MUSTERILER!$T$7:$T$106,0)),"TANIMSIZ MÜŞTERİ"))))</f>
        <v/>
      </c>
      <c r="E106" s="109" t="n"/>
      <c r="F106" s="109" t="n"/>
      <c r="G106" s="108" t="n"/>
      <c r="H106" s="220" t="n"/>
      <c r="I106" s="220" t="n"/>
      <c r="J106" s="108" t="n"/>
      <c r="K106" s="108" t="n"/>
      <c r="L106" s="109" t="n"/>
      <c r="M106" s="109" t="n"/>
      <c r="N106" s="109" t="n"/>
      <c r="O106" s="220" t="n"/>
      <c r="P106" s="227">
        <f>IF(OR($E106="",$I106=""),"",IF(OR($J106="Tamamlandı",$J106="İptal"),"",$I106-TODAY()))</f>
        <v/>
      </c>
      <c r="Q106" s="113">
        <f>IF($E106="","",IF($D106="TANIMSIZ MÜŞTERİ","HATA",IF(OR($J106="Tamamlandı",$J106="İptal"),"KAPALI",IF(AND($C106="Görüşme",$N106=""),"SONRAKİ İŞLEM EKSİK",IF($I106="","TARİH EKSİK",IF($I106&lt;TODAY(),"GECİKMİŞ",IF($I106=TODAY(),"BUGÜN",IF($I106&lt;=TODAY()+7,"7 GÜN İÇİNDE","PLANLI"))))))))</f>
        <v/>
      </c>
      <c r="R106" s="6" t="n"/>
      <c r="S106" s="6" t="n"/>
      <c r="T106" s="3" t="n"/>
      <c r="U106" s="3">
        <f>IF($E106="","",UPPER(SUBSTITUTE(SUBSTITUTE(SUBSTITUTE(SUBSTITUTE(SUBSTITUTE(SUBSTITUTE(SUBSTITUTE(SUBSTITUTE(SUBSTITUTE(SUBSTITUTE(SUBSTITUTE(SUBSTITUTE(SUBSTITUTE(SUBSTITUTE(SUBSTITUTE(SUBSTITUTE(SUBSTITUTE(SUBSTITUTE(TRIM($E106),"'",""),"İ","I"),"ı","I"),"i","I"),"Ş","S"),"ş","S"),"Ğ","G"),"ğ","G"),"Ü","U"),"ü","U"),"Ö","O"),"ö","O"),"Ç","C"),"ç","C"),".",""),",","")," ",""),"-","")))</f>
        <v/>
      </c>
    </row>
    <row r="107">
      <c r="A107" s="6" t="n"/>
      <c r="B107" s="113">
        <f>IF($E107="","","A"&amp;TEXT(ROW()-6,"00000"))</f>
        <v/>
      </c>
      <c r="C107" s="108" t="n"/>
      <c r="D107" s="113">
        <f>IF($E107="","",IFERROR(INDEX(MUSTERILER!$B$7:$B$106,MATCH($U107,MUSTERILER!$T$7:$T$106,0)),IFERROR(INDEX(MUSTERILER!$B$7:$B$106,MATCH($E107,MUSTERILER!$B$7:$B$106,0)),IFERROR(INDEX(MUSTERILER!$B$7:$B$106,MATCH($U107&amp;"*",MUSTERILER!$T$7:$T$106,0)),"TANIMSIZ MÜŞTERİ"))))</f>
        <v/>
      </c>
      <c r="E107" s="109" t="n"/>
      <c r="F107" s="109" t="n"/>
      <c r="G107" s="108" t="n"/>
      <c r="H107" s="220" t="n"/>
      <c r="I107" s="220" t="n"/>
      <c r="J107" s="108" t="n"/>
      <c r="K107" s="108" t="n"/>
      <c r="L107" s="109" t="n"/>
      <c r="M107" s="109" t="n"/>
      <c r="N107" s="109" t="n"/>
      <c r="O107" s="220" t="n"/>
      <c r="P107" s="227">
        <f>IF(OR($E107="",$I107=""),"",IF(OR($J107="Tamamlandı",$J107="İptal"),"",$I107-TODAY()))</f>
        <v/>
      </c>
      <c r="Q107" s="113">
        <f>IF($E107="","",IF($D107="TANIMSIZ MÜŞTERİ","HATA",IF(OR($J107="Tamamlandı",$J107="İptal"),"KAPALI",IF(AND($C107="Görüşme",$N107=""),"SONRAKİ İŞLEM EKSİK",IF($I107="","TARİH EKSİK",IF($I107&lt;TODAY(),"GECİKMİŞ",IF($I107=TODAY(),"BUGÜN",IF($I107&lt;=TODAY()+7,"7 GÜN İÇİNDE","PLANLI"))))))))</f>
        <v/>
      </c>
      <c r="R107" s="6" t="n"/>
      <c r="S107" s="6" t="n"/>
      <c r="T107" s="3" t="n"/>
      <c r="U107" s="3">
        <f>IF($E107="","",UPPER(SUBSTITUTE(SUBSTITUTE(SUBSTITUTE(SUBSTITUTE(SUBSTITUTE(SUBSTITUTE(SUBSTITUTE(SUBSTITUTE(SUBSTITUTE(SUBSTITUTE(SUBSTITUTE(SUBSTITUTE(SUBSTITUTE(SUBSTITUTE(SUBSTITUTE(SUBSTITUTE(SUBSTITUTE(SUBSTITUTE(TRIM($E107),"'",""),"İ","I"),"ı","I"),"i","I"),"Ş","S"),"ş","S"),"Ğ","G"),"ğ","G"),"Ü","U"),"ü","U"),"Ö","O"),"ö","O"),"Ç","C"),"ç","C"),".",""),",","")," ",""),"-","")))</f>
        <v/>
      </c>
    </row>
    <row r="108">
      <c r="A108" s="6" t="n"/>
      <c r="B108" s="113">
        <f>IF($E108="","","A"&amp;TEXT(ROW()-6,"00000"))</f>
        <v/>
      </c>
      <c r="C108" s="108" t="n"/>
      <c r="D108" s="113">
        <f>IF($E108="","",IFERROR(INDEX(MUSTERILER!$B$7:$B$106,MATCH($U108,MUSTERILER!$T$7:$T$106,0)),IFERROR(INDEX(MUSTERILER!$B$7:$B$106,MATCH($E108,MUSTERILER!$B$7:$B$106,0)),IFERROR(INDEX(MUSTERILER!$B$7:$B$106,MATCH($U108&amp;"*",MUSTERILER!$T$7:$T$106,0)),"TANIMSIZ MÜŞTERİ"))))</f>
        <v/>
      </c>
      <c r="E108" s="109" t="n"/>
      <c r="F108" s="109" t="n"/>
      <c r="G108" s="108" t="n"/>
      <c r="H108" s="220" t="n"/>
      <c r="I108" s="220" t="n"/>
      <c r="J108" s="108" t="n"/>
      <c r="K108" s="108" t="n"/>
      <c r="L108" s="109" t="n"/>
      <c r="M108" s="109" t="n"/>
      <c r="N108" s="109" t="n"/>
      <c r="O108" s="220" t="n"/>
      <c r="P108" s="227">
        <f>IF(OR($E108="",$I108=""),"",IF(OR($J108="Tamamlandı",$J108="İptal"),"",$I108-TODAY()))</f>
        <v/>
      </c>
      <c r="Q108" s="113">
        <f>IF($E108="","",IF($D108="TANIMSIZ MÜŞTERİ","HATA",IF(OR($J108="Tamamlandı",$J108="İptal"),"KAPALI",IF(AND($C108="Görüşme",$N108=""),"SONRAKİ İŞLEM EKSİK",IF($I108="","TARİH EKSİK",IF($I108&lt;TODAY(),"GECİKMİŞ",IF($I108=TODAY(),"BUGÜN",IF($I108&lt;=TODAY()+7,"7 GÜN İÇİNDE","PLANLI"))))))))</f>
        <v/>
      </c>
      <c r="R108" s="6" t="n"/>
      <c r="S108" s="6" t="n"/>
      <c r="T108" s="3" t="n"/>
      <c r="U108" s="3">
        <f>IF($E108="","",UPPER(SUBSTITUTE(SUBSTITUTE(SUBSTITUTE(SUBSTITUTE(SUBSTITUTE(SUBSTITUTE(SUBSTITUTE(SUBSTITUTE(SUBSTITUTE(SUBSTITUTE(SUBSTITUTE(SUBSTITUTE(SUBSTITUTE(SUBSTITUTE(SUBSTITUTE(SUBSTITUTE(SUBSTITUTE(SUBSTITUTE(TRIM($E108),"'",""),"İ","I"),"ı","I"),"i","I"),"Ş","S"),"ş","S"),"Ğ","G"),"ğ","G"),"Ü","U"),"ü","U"),"Ö","O"),"ö","O"),"Ç","C"),"ç","C"),".",""),",","")," ",""),"-","")))</f>
        <v/>
      </c>
    </row>
    <row r="109">
      <c r="A109" s="6" t="n"/>
      <c r="B109" s="113">
        <f>IF($E109="","","A"&amp;TEXT(ROW()-6,"00000"))</f>
        <v/>
      </c>
      <c r="C109" s="108" t="n"/>
      <c r="D109" s="113">
        <f>IF($E109="","",IFERROR(INDEX(MUSTERILER!$B$7:$B$106,MATCH($U109,MUSTERILER!$T$7:$T$106,0)),IFERROR(INDEX(MUSTERILER!$B$7:$B$106,MATCH($E109,MUSTERILER!$B$7:$B$106,0)),IFERROR(INDEX(MUSTERILER!$B$7:$B$106,MATCH($U109&amp;"*",MUSTERILER!$T$7:$T$106,0)),"TANIMSIZ MÜŞTERİ"))))</f>
        <v/>
      </c>
      <c r="E109" s="109" t="n"/>
      <c r="F109" s="109" t="n"/>
      <c r="G109" s="108" t="n"/>
      <c r="H109" s="220" t="n"/>
      <c r="I109" s="220" t="n"/>
      <c r="J109" s="108" t="n"/>
      <c r="K109" s="108" t="n"/>
      <c r="L109" s="109" t="n"/>
      <c r="M109" s="109" t="n"/>
      <c r="N109" s="109" t="n"/>
      <c r="O109" s="220" t="n"/>
      <c r="P109" s="227">
        <f>IF(OR($E109="",$I109=""),"",IF(OR($J109="Tamamlandı",$J109="İptal"),"",$I109-TODAY()))</f>
        <v/>
      </c>
      <c r="Q109" s="113">
        <f>IF($E109="","",IF($D109="TANIMSIZ MÜŞTERİ","HATA",IF(OR($J109="Tamamlandı",$J109="İptal"),"KAPALI",IF(AND($C109="Görüşme",$N109=""),"SONRAKİ İŞLEM EKSİK",IF($I109="","TARİH EKSİK",IF($I109&lt;TODAY(),"GECİKMİŞ",IF($I109=TODAY(),"BUGÜN",IF($I109&lt;=TODAY()+7,"7 GÜN İÇİNDE","PLANLI"))))))))</f>
        <v/>
      </c>
      <c r="R109" s="6" t="n"/>
      <c r="S109" s="6" t="n"/>
      <c r="T109" s="3" t="n"/>
      <c r="U109" s="3">
        <f>IF($E109="","",UPPER(SUBSTITUTE(SUBSTITUTE(SUBSTITUTE(SUBSTITUTE(SUBSTITUTE(SUBSTITUTE(SUBSTITUTE(SUBSTITUTE(SUBSTITUTE(SUBSTITUTE(SUBSTITUTE(SUBSTITUTE(SUBSTITUTE(SUBSTITUTE(SUBSTITUTE(SUBSTITUTE(SUBSTITUTE(SUBSTITUTE(TRIM($E109),"'",""),"İ","I"),"ı","I"),"i","I"),"Ş","S"),"ş","S"),"Ğ","G"),"ğ","G"),"Ü","U"),"ü","U"),"Ö","O"),"ö","O"),"Ç","C"),"ç","C"),".",""),",","")," ",""),"-","")))</f>
        <v/>
      </c>
    </row>
    <row r="110">
      <c r="A110" s="6" t="n"/>
      <c r="B110" s="113">
        <f>IF($E110="","","A"&amp;TEXT(ROW()-6,"00000"))</f>
        <v/>
      </c>
      <c r="C110" s="108" t="n"/>
      <c r="D110" s="113">
        <f>IF($E110="","",IFERROR(INDEX(MUSTERILER!$B$7:$B$106,MATCH($U110,MUSTERILER!$T$7:$T$106,0)),IFERROR(INDEX(MUSTERILER!$B$7:$B$106,MATCH($E110,MUSTERILER!$B$7:$B$106,0)),IFERROR(INDEX(MUSTERILER!$B$7:$B$106,MATCH($U110&amp;"*",MUSTERILER!$T$7:$T$106,0)),"TANIMSIZ MÜŞTERİ"))))</f>
        <v/>
      </c>
      <c r="E110" s="109" t="n"/>
      <c r="F110" s="109" t="n"/>
      <c r="G110" s="108" t="n"/>
      <c r="H110" s="220" t="n"/>
      <c r="I110" s="220" t="n"/>
      <c r="J110" s="108" t="n"/>
      <c r="K110" s="108" t="n"/>
      <c r="L110" s="109" t="n"/>
      <c r="M110" s="109" t="n"/>
      <c r="N110" s="109" t="n"/>
      <c r="O110" s="220" t="n"/>
      <c r="P110" s="227">
        <f>IF(OR($E110="",$I110=""),"",IF(OR($J110="Tamamlandı",$J110="İptal"),"",$I110-TODAY()))</f>
        <v/>
      </c>
      <c r="Q110" s="113">
        <f>IF($E110="","",IF($D110="TANIMSIZ MÜŞTERİ","HATA",IF(OR($J110="Tamamlandı",$J110="İptal"),"KAPALI",IF(AND($C110="Görüşme",$N110=""),"SONRAKİ İŞLEM EKSİK",IF($I110="","TARİH EKSİK",IF($I110&lt;TODAY(),"GECİKMİŞ",IF($I110=TODAY(),"BUGÜN",IF($I110&lt;=TODAY()+7,"7 GÜN İÇİNDE","PLANLI"))))))))</f>
        <v/>
      </c>
      <c r="R110" s="6" t="n"/>
      <c r="S110" s="6" t="n"/>
      <c r="T110" s="3" t="n"/>
      <c r="U110" s="3">
        <f>IF($E110="","",UPPER(SUBSTITUTE(SUBSTITUTE(SUBSTITUTE(SUBSTITUTE(SUBSTITUTE(SUBSTITUTE(SUBSTITUTE(SUBSTITUTE(SUBSTITUTE(SUBSTITUTE(SUBSTITUTE(SUBSTITUTE(SUBSTITUTE(SUBSTITUTE(SUBSTITUTE(SUBSTITUTE(SUBSTITUTE(SUBSTITUTE(TRIM($E110),"'",""),"İ","I"),"ı","I"),"i","I"),"Ş","S"),"ş","S"),"Ğ","G"),"ğ","G"),"Ü","U"),"ü","U"),"Ö","O"),"ö","O"),"Ç","C"),"ç","C"),".",""),",","")," ",""),"-","")))</f>
        <v/>
      </c>
    </row>
    <row r="111">
      <c r="A111" s="6" t="n"/>
      <c r="B111" s="113">
        <f>IF($E111="","","A"&amp;TEXT(ROW()-6,"00000"))</f>
        <v/>
      </c>
      <c r="C111" s="108" t="n"/>
      <c r="D111" s="113">
        <f>IF($E111="","",IFERROR(INDEX(MUSTERILER!$B$7:$B$106,MATCH($U111,MUSTERILER!$T$7:$T$106,0)),IFERROR(INDEX(MUSTERILER!$B$7:$B$106,MATCH($E111,MUSTERILER!$B$7:$B$106,0)),IFERROR(INDEX(MUSTERILER!$B$7:$B$106,MATCH($U111&amp;"*",MUSTERILER!$T$7:$T$106,0)),"TANIMSIZ MÜŞTERİ"))))</f>
        <v/>
      </c>
      <c r="E111" s="109" t="n"/>
      <c r="F111" s="109" t="n"/>
      <c r="G111" s="108" t="n"/>
      <c r="H111" s="220" t="n"/>
      <c r="I111" s="220" t="n"/>
      <c r="J111" s="108" t="n"/>
      <c r="K111" s="108" t="n"/>
      <c r="L111" s="109" t="n"/>
      <c r="M111" s="109" t="n"/>
      <c r="N111" s="109" t="n"/>
      <c r="O111" s="220" t="n"/>
      <c r="P111" s="227">
        <f>IF(OR($E111="",$I111=""),"",IF(OR($J111="Tamamlandı",$J111="İptal"),"",$I111-TODAY()))</f>
        <v/>
      </c>
      <c r="Q111" s="113">
        <f>IF($E111="","",IF($D111="TANIMSIZ MÜŞTERİ","HATA",IF(OR($J111="Tamamlandı",$J111="İptal"),"KAPALI",IF(AND($C111="Görüşme",$N111=""),"SONRAKİ İŞLEM EKSİK",IF($I111="","TARİH EKSİK",IF($I111&lt;TODAY(),"GECİKMİŞ",IF($I111=TODAY(),"BUGÜN",IF($I111&lt;=TODAY()+7,"7 GÜN İÇİNDE","PLANLI"))))))))</f>
        <v/>
      </c>
      <c r="R111" s="6" t="n"/>
      <c r="S111" s="6" t="n"/>
      <c r="T111" s="3" t="n"/>
      <c r="U111" s="3">
        <f>IF($E111="","",UPPER(SUBSTITUTE(SUBSTITUTE(SUBSTITUTE(SUBSTITUTE(SUBSTITUTE(SUBSTITUTE(SUBSTITUTE(SUBSTITUTE(SUBSTITUTE(SUBSTITUTE(SUBSTITUTE(SUBSTITUTE(SUBSTITUTE(SUBSTITUTE(SUBSTITUTE(SUBSTITUTE(SUBSTITUTE(SUBSTITUTE(TRIM($E111),"'",""),"İ","I"),"ı","I"),"i","I"),"Ş","S"),"ş","S"),"Ğ","G"),"ğ","G"),"Ü","U"),"ü","U"),"Ö","O"),"ö","O"),"Ç","C"),"ç","C"),".",""),",","")," ",""),"-","")))</f>
        <v/>
      </c>
    </row>
    <row r="112">
      <c r="A112" s="6" t="n"/>
      <c r="B112" s="113">
        <f>IF($E112="","","A"&amp;TEXT(ROW()-6,"00000"))</f>
        <v/>
      </c>
      <c r="C112" s="108" t="n"/>
      <c r="D112" s="113">
        <f>IF($E112="","",IFERROR(INDEX(MUSTERILER!$B$7:$B$106,MATCH($U112,MUSTERILER!$T$7:$T$106,0)),IFERROR(INDEX(MUSTERILER!$B$7:$B$106,MATCH($E112,MUSTERILER!$B$7:$B$106,0)),IFERROR(INDEX(MUSTERILER!$B$7:$B$106,MATCH($U112&amp;"*",MUSTERILER!$T$7:$T$106,0)),"TANIMSIZ MÜŞTERİ"))))</f>
        <v/>
      </c>
      <c r="E112" s="109" t="n"/>
      <c r="F112" s="109" t="n"/>
      <c r="G112" s="108" t="n"/>
      <c r="H112" s="220" t="n"/>
      <c r="I112" s="220" t="n"/>
      <c r="J112" s="108" t="n"/>
      <c r="K112" s="108" t="n"/>
      <c r="L112" s="109" t="n"/>
      <c r="M112" s="109" t="n"/>
      <c r="N112" s="109" t="n"/>
      <c r="O112" s="220" t="n"/>
      <c r="P112" s="227">
        <f>IF(OR($E112="",$I112=""),"",IF(OR($J112="Tamamlandı",$J112="İptal"),"",$I112-TODAY()))</f>
        <v/>
      </c>
      <c r="Q112" s="113">
        <f>IF($E112="","",IF($D112="TANIMSIZ MÜŞTERİ","HATA",IF(OR($J112="Tamamlandı",$J112="İptal"),"KAPALI",IF(AND($C112="Görüşme",$N112=""),"SONRAKİ İŞLEM EKSİK",IF($I112="","TARİH EKSİK",IF($I112&lt;TODAY(),"GECİKMİŞ",IF($I112=TODAY(),"BUGÜN",IF($I112&lt;=TODAY()+7,"7 GÜN İÇİNDE","PLANLI"))))))))</f>
        <v/>
      </c>
      <c r="R112" s="6" t="n"/>
      <c r="S112" s="6" t="n"/>
      <c r="T112" s="3" t="n"/>
      <c r="U112" s="3">
        <f>IF($E112="","",UPPER(SUBSTITUTE(SUBSTITUTE(SUBSTITUTE(SUBSTITUTE(SUBSTITUTE(SUBSTITUTE(SUBSTITUTE(SUBSTITUTE(SUBSTITUTE(SUBSTITUTE(SUBSTITUTE(SUBSTITUTE(SUBSTITUTE(SUBSTITUTE(SUBSTITUTE(SUBSTITUTE(SUBSTITUTE(SUBSTITUTE(TRIM($E112),"'",""),"İ","I"),"ı","I"),"i","I"),"Ş","S"),"ş","S"),"Ğ","G"),"ğ","G"),"Ü","U"),"ü","U"),"Ö","O"),"ö","O"),"Ç","C"),"ç","C"),".",""),",","")," ",""),"-","")))</f>
        <v/>
      </c>
    </row>
    <row r="113">
      <c r="A113" s="6" t="n"/>
      <c r="B113" s="113">
        <f>IF($E113="","","A"&amp;TEXT(ROW()-6,"00000"))</f>
        <v/>
      </c>
      <c r="C113" s="108" t="n"/>
      <c r="D113" s="113">
        <f>IF($E113="","",IFERROR(INDEX(MUSTERILER!$B$7:$B$106,MATCH($U113,MUSTERILER!$T$7:$T$106,0)),IFERROR(INDEX(MUSTERILER!$B$7:$B$106,MATCH($E113,MUSTERILER!$B$7:$B$106,0)),IFERROR(INDEX(MUSTERILER!$B$7:$B$106,MATCH($U113&amp;"*",MUSTERILER!$T$7:$T$106,0)),"TANIMSIZ MÜŞTERİ"))))</f>
        <v/>
      </c>
      <c r="E113" s="109" t="n"/>
      <c r="F113" s="109" t="n"/>
      <c r="G113" s="108" t="n"/>
      <c r="H113" s="220" t="n"/>
      <c r="I113" s="220" t="n"/>
      <c r="J113" s="108" t="n"/>
      <c r="K113" s="108" t="n"/>
      <c r="L113" s="109" t="n"/>
      <c r="M113" s="109" t="n"/>
      <c r="N113" s="109" t="n"/>
      <c r="O113" s="220" t="n"/>
      <c r="P113" s="227">
        <f>IF(OR($E113="",$I113=""),"",IF(OR($J113="Tamamlandı",$J113="İptal"),"",$I113-TODAY()))</f>
        <v/>
      </c>
      <c r="Q113" s="113">
        <f>IF($E113="","",IF($D113="TANIMSIZ MÜŞTERİ","HATA",IF(OR($J113="Tamamlandı",$J113="İptal"),"KAPALI",IF(AND($C113="Görüşme",$N113=""),"SONRAKİ İŞLEM EKSİK",IF($I113="","TARİH EKSİK",IF($I113&lt;TODAY(),"GECİKMİŞ",IF($I113=TODAY(),"BUGÜN",IF($I113&lt;=TODAY()+7,"7 GÜN İÇİNDE","PLANLI"))))))))</f>
        <v/>
      </c>
      <c r="R113" s="6" t="n"/>
      <c r="S113" s="6" t="n"/>
      <c r="T113" s="3" t="n"/>
      <c r="U113" s="3">
        <f>IF($E113="","",UPPER(SUBSTITUTE(SUBSTITUTE(SUBSTITUTE(SUBSTITUTE(SUBSTITUTE(SUBSTITUTE(SUBSTITUTE(SUBSTITUTE(SUBSTITUTE(SUBSTITUTE(SUBSTITUTE(SUBSTITUTE(SUBSTITUTE(SUBSTITUTE(SUBSTITUTE(SUBSTITUTE(SUBSTITUTE(SUBSTITUTE(TRIM($E113),"'",""),"İ","I"),"ı","I"),"i","I"),"Ş","S"),"ş","S"),"Ğ","G"),"ğ","G"),"Ü","U"),"ü","U"),"Ö","O"),"ö","O"),"Ç","C"),"ç","C"),".",""),",","")," ",""),"-","")))</f>
        <v/>
      </c>
    </row>
    <row r="114">
      <c r="A114" s="6" t="n"/>
      <c r="B114" s="113">
        <f>IF($E114="","","A"&amp;TEXT(ROW()-6,"00000"))</f>
        <v/>
      </c>
      <c r="C114" s="108" t="n"/>
      <c r="D114" s="113">
        <f>IF($E114="","",IFERROR(INDEX(MUSTERILER!$B$7:$B$106,MATCH($U114,MUSTERILER!$T$7:$T$106,0)),IFERROR(INDEX(MUSTERILER!$B$7:$B$106,MATCH($E114,MUSTERILER!$B$7:$B$106,0)),IFERROR(INDEX(MUSTERILER!$B$7:$B$106,MATCH($U114&amp;"*",MUSTERILER!$T$7:$T$106,0)),"TANIMSIZ MÜŞTERİ"))))</f>
        <v/>
      </c>
      <c r="E114" s="109" t="n"/>
      <c r="F114" s="109" t="n"/>
      <c r="G114" s="108" t="n"/>
      <c r="H114" s="220" t="n"/>
      <c r="I114" s="220" t="n"/>
      <c r="J114" s="108" t="n"/>
      <c r="K114" s="108" t="n"/>
      <c r="L114" s="109" t="n"/>
      <c r="M114" s="109" t="n"/>
      <c r="N114" s="109" t="n"/>
      <c r="O114" s="220" t="n"/>
      <c r="P114" s="227">
        <f>IF(OR($E114="",$I114=""),"",IF(OR($J114="Tamamlandı",$J114="İptal"),"",$I114-TODAY()))</f>
        <v/>
      </c>
      <c r="Q114" s="113">
        <f>IF($E114="","",IF($D114="TANIMSIZ MÜŞTERİ","HATA",IF(OR($J114="Tamamlandı",$J114="İptal"),"KAPALI",IF(AND($C114="Görüşme",$N114=""),"SONRAKİ İŞLEM EKSİK",IF($I114="","TARİH EKSİK",IF($I114&lt;TODAY(),"GECİKMİŞ",IF($I114=TODAY(),"BUGÜN",IF($I114&lt;=TODAY()+7,"7 GÜN İÇİNDE","PLANLI"))))))))</f>
        <v/>
      </c>
      <c r="R114" s="6" t="n"/>
      <c r="S114" s="6" t="n"/>
      <c r="T114" s="3" t="n"/>
      <c r="U114" s="3">
        <f>IF($E114="","",UPPER(SUBSTITUTE(SUBSTITUTE(SUBSTITUTE(SUBSTITUTE(SUBSTITUTE(SUBSTITUTE(SUBSTITUTE(SUBSTITUTE(SUBSTITUTE(SUBSTITUTE(SUBSTITUTE(SUBSTITUTE(SUBSTITUTE(SUBSTITUTE(SUBSTITUTE(SUBSTITUTE(SUBSTITUTE(SUBSTITUTE(TRIM($E114),"'",""),"İ","I"),"ı","I"),"i","I"),"Ş","S"),"ş","S"),"Ğ","G"),"ğ","G"),"Ü","U"),"ü","U"),"Ö","O"),"ö","O"),"Ç","C"),"ç","C"),".",""),",","")," ",""),"-","")))</f>
        <v/>
      </c>
    </row>
    <row r="115">
      <c r="A115" s="6" t="n"/>
      <c r="B115" s="113">
        <f>IF($E115="","","A"&amp;TEXT(ROW()-6,"00000"))</f>
        <v/>
      </c>
      <c r="C115" s="108" t="n"/>
      <c r="D115" s="113">
        <f>IF($E115="","",IFERROR(INDEX(MUSTERILER!$B$7:$B$106,MATCH($U115,MUSTERILER!$T$7:$T$106,0)),IFERROR(INDEX(MUSTERILER!$B$7:$B$106,MATCH($E115,MUSTERILER!$B$7:$B$106,0)),IFERROR(INDEX(MUSTERILER!$B$7:$B$106,MATCH($U115&amp;"*",MUSTERILER!$T$7:$T$106,0)),"TANIMSIZ MÜŞTERİ"))))</f>
        <v/>
      </c>
      <c r="E115" s="109" t="n"/>
      <c r="F115" s="109" t="n"/>
      <c r="G115" s="108" t="n"/>
      <c r="H115" s="220" t="n"/>
      <c r="I115" s="220" t="n"/>
      <c r="J115" s="108" t="n"/>
      <c r="K115" s="108" t="n"/>
      <c r="L115" s="109" t="n"/>
      <c r="M115" s="109" t="n"/>
      <c r="N115" s="109" t="n"/>
      <c r="O115" s="220" t="n"/>
      <c r="P115" s="227">
        <f>IF(OR($E115="",$I115=""),"",IF(OR($J115="Tamamlandı",$J115="İptal"),"",$I115-TODAY()))</f>
        <v/>
      </c>
      <c r="Q115" s="113">
        <f>IF($E115="","",IF($D115="TANIMSIZ MÜŞTERİ","HATA",IF(OR($J115="Tamamlandı",$J115="İptal"),"KAPALI",IF(AND($C115="Görüşme",$N115=""),"SONRAKİ İŞLEM EKSİK",IF($I115="","TARİH EKSİK",IF($I115&lt;TODAY(),"GECİKMİŞ",IF($I115=TODAY(),"BUGÜN",IF($I115&lt;=TODAY()+7,"7 GÜN İÇİNDE","PLANLI"))))))))</f>
        <v/>
      </c>
      <c r="R115" s="6" t="n"/>
      <c r="S115" s="6" t="n"/>
      <c r="T115" s="3" t="n"/>
      <c r="U115" s="3">
        <f>IF($E115="","",UPPER(SUBSTITUTE(SUBSTITUTE(SUBSTITUTE(SUBSTITUTE(SUBSTITUTE(SUBSTITUTE(SUBSTITUTE(SUBSTITUTE(SUBSTITUTE(SUBSTITUTE(SUBSTITUTE(SUBSTITUTE(SUBSTITUTE(SUBSTITUTE(SUBSTITUTE(SUBSTITUTE(SUBSTITUTE(SUBSTITUTE(TRIM($E115),"'",""),"İ","I"),"ı","I"),"i","I"),"Ş","S"),"ş","S"),"Ğ","G"),"ğ","G"),"Ü","U"),"ü","U"),"Ö","O"),"ö","O"),"Ç","C"),"ç","C"),".",""),",","")," ",""),"-","")))</f>
        <v/>
      </c>
    </row>
    <row r="116">
      <c r="A116" s="6" t="n"/>
      <c r="B116" s="113">
        <f>IF($E116="","","A"&amp;TEXT(ROW()-6,"00000"))</f>
        <v/>
      </c>
      <c r="C116" s="108" t="n"/>
      <c r="D116" s="113">
        <f>IF($E116="","",IFERROR(INDEX(MUSTERILER!$B$7:$B$106,MATCH($U116,MUSTERILER!$T$7:$T$106,0)),IFERROR(INDEX(MUSTERILER!$B$7:$B$106,MATCH($E116,MUSTERILER!$B$7:$B$106,0)),IFERROR(INDEX(MUSTERILER!$B$7:$B$106,MATCH($U116&amp;"*",MUSTERILER!$T$7:$T$106,0)),"TANIMSIZ MÜŞTERİ"))))</f>
        <v/>
      </c>
      <c r="E116" s="109" t="n"/>
      <c r="F116" s="109" t="n"/>
      <c r="G116" s="108" t="n"/>
      <c r="H116" s="220" t="n"/>
      <c r="I116" s="220" t="n"/>
      <c r="J116" s="108" t="n"/>
      <c r="K116" s="108" t="n"/>
      <c r="L116" s="109" t="n"/>
      <c r="M116" s="109" t="n"/>
      <c r="N116" s="109" t="n"/>
      <c r="O116" s="220" t="n"/>
      <c r="P116" s="227">
        <f>IF(OR($E116="",$I116=""),"",IF(OR($J116="Tamamlandı",$J116="İptal"),"",$I116-TODAY()))</f>
        <v/>
      </c>
      <c r="Q116" s="113">
        <f>IF($E116="","",IF($D116="TANIMSIZ MÜŞTERİ","HATA",IF(OR($J116="Tamamlandı",$J116="İptal"),"KAPALI",IF(AND($C116="Görüşme",$N116=""),"SONRAKİ İŞLEM EKSİK",IF($I116="","TARİH EKSİK",IF($I116&lt;TODAY(),"GECİKMİŞ",IF($I116=TODAY(),"BUGÜN",IF($I116&lt;=TODAY()+7,"7 GÜN İÇİNDE","PLANLI"))))))))</f>
        <v/>
      </c>
      <c r="R116" s="6" t="n"/>
      <c r="S116" s="6" t="n"/>
      <c r="T116" s="3" t="n"/>
      <c r="U116" s="3">
        <f>IF($E116="","",UPPER(SUBSTITUTE(SUBSTITUTE(SUBSTITUTE(SUBSTITUTE(SUBSTITUTE(SUBSTITUTE(SUBSTITUTE(SUBSTITUTE(SUBSTITUTE(SUBSTITUTE(SUBSTITUTE(SUBSTITUTE(SUBSTITUTE(SUBSTITUTE(SUBSTITUTE(SUBSTITUTE(SUBSTITUTE(SUBSTITUTE(TRIM($E116),"'",""),"İ","I"),"ı","I"),"i","I"),"Ş","S"),"ş","S"),"Ğ","G"),"ğ","G"),"Ü","U"),"ü","U"),"Ö","O"),"ö","O"),"Ç","C"),"ç","C"),".",""),",","")," ",""),"-","")))</f>
        <v/>
      </c>
    </row>
    <row r="117">
      <c r="A117" s="6" t="n"/>
      <c r="B117" s="113">
        <f>IF($E117="","","A"&amp;TEXT(ROW()-6,"00000"))</f>
        <v/>
      </c>
      <c r="C117" s="108" t="n"/>
      <c r="D117" s="113">
        <f>IF($E117="","",IFERROR(INDEX(MUSTERILER!$B$7:$B$106,MATCH($U117,MUSTERILER!$T$7:$T$106,0)),IFERROR(INDEX(MUSTERILER!$B$7:$B$106,MATCH($E117,MUSTERILER!$B$7:$B$106,0)),IFERROR(INDEX(MUSTERILER!$B$7:$B$106,MATCH($U117&amp;"*",MUSTERILER!$T$7:$T$106,0)),"TANIMSIZ MÜŞTERİ"))))</f>
        <v/>
      </c>
      <c r="E117" s="109" t="n"/>
      <c r="F117" s="109" t="n"/>
      <c r="G117" s="108" t="n"/>
      <c r="H117" s="220" t="n"/>
      <c r="I117" s="220" t="n"/>
      <c r="J117" s="108" t="n"/>
      <c r="K117" s="108" t="n"/>
      <c r="L117" s="109" t="n"/>
      <c r="M117" s="109" t="n"/>
      <c r="N117" s="109" t="n"/>
      <c r="O117" s="220" t="n"/>
      <c r="P117" s="227">
        <f>IF(OR($E117="",$I117=""),"",IF(OR($J117="Tamamlandı",$J117="İptal"),"",$I117-TODAY()))</f>
        <v/>
      </c>
      <c r="Q117" s="113">
        <f>IF($E117="","",IF($D117="TANIMSIZ MÜŞTERİ","HATA",IF(OR($J117="Tamamlandı",$J117="İptal"),"KAPALI",IF(AND($C117="Görüşme",$N117=""),"SONRAKİ İŞLEM EKSİK",IF($I117="","TARİH EKSİK",IF($I117&lt;TODAY(),"GECİKMİŞ",IF($I117=TODAY(),"BUGÜN",IF($I117&lt;=TODAY()+7,"7 GÜN İÇİNDE","PLANLI"))))))))</f>
        <v/>
      </c>
      <c r="R117" s="6" t="n"/>
      <c r="S117" s="6" t="n"/>
      <c r="T117" s="3" t="n"/>
      <c r="U117" s="3">
        <f>IF($E117="","",UPPER(SUBSTITUTE(SUBSTITUTE(SUBSTITUTE(SUBSTITUTE(SUBSTITUTE(SUBSTITUTE(SUBSTITUTE(SUBSTITUTE(SUBSTITUTE(SUBSTITUTE(SUBSTITUTE(SUBSTITUTE(SUBSTITUTE(SUBSTITUTE(SUBSTITUTE(SUBSTITUTE(SUBSTITUTE(SUBSTITUTE(TRIM($E117),"'",""),"İ","I"),"ı","I"),"i","I"),"Ş","S"),"ş","S"),"Ğ","G"),"ğ","G"),"Ü","U"),"ü","U"),"Ö","O"),"ö","O"),"Ç","C"),"ç","C"),".",""),",","")," ",""),"-","")))</f>
        <v/>
      </c>
    </row>
    <row r="118">
      <c r="A118" s="6" t="n"/>
      <c r="B118" s="113">
        <f>IF($E118="","","A"&amp;TEXT(ROW()-6,"00000"))</f>
        <v/>
      </c>
      <c r="C118" s="108" t="n"/>
      <c r="D118" s="113">
        <f>IF($E118="","",IFERROR(INDEX(MUSTERILER!$B$7:$B$106,MATCH($U118,MUSTERILER!$T$7:$T$106,0)),IFERROR(INDEX(MUSTERILER!$B$7:$B$106,MATCH($E118,MUSTERILER!$B$7:$B$106,0)),IFERROR(INDEX(MUSTERILER!$B$7:$B$106,MATCH($U118&amp;"*",MUSTERILER!$T$7:$T$106,0)),"TANIMSIZ MÜŞTERİ"))))</f>
        <v/>
      </c>
      <c r="E118" s="109" t="n"/>
      <c r="F118" s="109" t="n"/>
      <c r="G118" s="108" t="n"/>
      <c r="H118" s="220" t="n"/>
      <c r="I118" s="220" t="n"/>
      <c r="J118" s="108" t="n"/>
      <c r="K118" s="108" t="n"/>
      <c r="L118" s="109" t="n"/>
      <c r="M118" s="109" t="n"/>
      <c r="N118" s="109" t="n"/>
      <c r="O118" s="220" t="n"/>
      <c r="P118" s="227">
        <f>IF(OR($E118="",$I118=""),"",IF(OR($J118="Tamamlandı",$J118="İptal"),"",$I118-TODAY()))</f>
        <v/>
      </c>
      <c r="Q118" s="113">
        <f>IF($E118="","",IF($D118="TANIMSIZ MÜŞTERİ","HATA",IF(OR($J118="Tamamlandı",$J118="İptal"),"KAPALI",IF(AND($C118="Görüşme",$N118=""),"SONRAKİ İŞLEM EKSİK",IF($I118="","TARİH EKSİK",IF($I118&lt;TODAY(),"GECİKMİŞ",IF($I118=TODAY(),"BUGÜN",IF($I118&lt;=TODAY()+7,"7 GÜN İÇİNDE","PLANLI"))))))))</f>
        <v/>
      </c>
      <c r="R118" s="6" t="n"/>
      <c r="S118" s="6" t="n"/>
      <c r="T118" s="3" t="n"/>
      <c r="U118" s="3">
        <f>IF($E118="","",UPPER(SUBSTITUTE(SUBSTITUTE(SUBSTITUTE(SUBSTITUTE(SUBSTITUTE(SUBSTITUTE(SUBSTITUTE(SUBSTITUTE(SUBSTITUTE(SUBSTITUTE(SUBSTITUTE(SUBSTITUTE(SUBSTITUTE(SUBSTITUTE(SUBSTITUTE(SUBSTITUTE(SUBSTITUTE(SUBSTITUTE(TRIM($E118),"'",""),"İ","I"),"ı","I"),"i","I"),"Ş","S"),"ş","S"),"Ğ","G"),"ğ","G"),"Ü","U"),"ü","U"),"Ö","O"),"ö","O"),"Ç","C"),"ç","C"),".",""),",","")," ",""),"-","")))</f>
        <v/>
      </c>
    </row>
    <row r="119">
      <c r="A119" s="6" t="n"/>
      <c r="B119" s="113">
        <f>IF($E119="","","A"&amp;TEXT(ROW()-6,"00000"))</f>
        <v/>
      </c>
      <c r="C119" s="108" t="n"/>
      <c r="D119" s="113">
        <f>IF($E119="","",IFERROR(INDEX(MUSTERILER!$B$7:$B$106,MATCH($U119,MUSTERILER!$T$7:$T$106,0)),IFERROR(INDEX(MUSTERILER!$B$7:$B$106,MATCH($E119,MUSTERILER!$B$7:$B$106,0)),IFERROR(INDEX(MUSTERILER!$B$7:$B$106,MATCH($U119&amp;"*",MUSTERILER!$T$7:$T$106,0)),"TANIMSIZ MÜŞTERİ"))))</f>
        <v/>
      </c>
      <c r="E119" s="109" t="n"/>
      <c r="F119" s="109" t="n"/>
      <c r="G119" s="108" t="n"/>
      <c r="H119" s="220" t="n"/>
      <c r="I119" s="220" t="n"/>
      <c r="J119" s="108" t="n"/>
      <c r="K119" s="108" t="n"/>
      <c r="L119" s="109" t="n"/>
      <c r="M119" s="109" t="n"/>
      <c r="N119" s="109" t="n"/>
      <c r="O119" s="220" t="n"/>
      <c r="P119" s="227">
        <f>IF(OR($E119="",$I119=""),"",IF(OR($J119="Tamamlandı",$J119="İptal"),"",$I119-TODAY()))</f>
        <v/>
      </c>
      <c r="Q119" s="113">
        <f>IF($E119="","",IF($D119="TANIMSIZ MÜŞTERİ","HATA",IF(OR($J119="Tamamlandı",$J119="İptal"),"KAPALI",IF(AND($C119="Görüşme",$N119=""),"SONRAKİ İŞLEM EKSİK",IF($I119="","TARİH EKSİK",IF($I119&lt;TODAY(),"GECİKMİŞ",IF($I119=TODAY(),"BUGÜN",IF($I119&lt;=TODAY()+7,"7 GÜN İÇİNDE","PLANLI"))))))))</f>
        <v/>
      </c>
      <c r="R119" s="6" t="n"/>
      <c r="S119" s="6" t="n"/>
      <c r="T119" s="3" t="n"/>
      <c r="U119" s="3">
        <f>IF($E119="","",UPPER(SUBSTITUTE(SUBSTITUTE(SUBSTITUTE(SUBSTITUTE(SUBSTITUTE(SUBSTITUTE(SUBSTITUTE(SUBSTITUTE(SUBSTITUTE(SUBSTITUTE(SUBSTITUTE(SUBSTITUTE(SUBSTITUTE(SUBSTITUTE(SUBSTITUTE(SUBSTITUTE(SUBSTITUTE(SUBSTITUTE(TRIM($E119),"'",""),"İ","I"),"ı","I"),"i","I"),"Ş","S"),"ş","S"),"Ğ","G"),"ğ","G"),"Ü","U"),"ü","U"),"Ö","O"),"ö","O"),"Ç","C"),"ç","C"),".",""),",","")," ",""),"-","")))</f>
        <v/>
      </c>
    </row>
    <row r="120">
      <c r="A120" s="6" t="n"/>
      <c r="B120" s="113">
        <f>IF($E120="","","A"&amp;TEXT(ROW()-6,"00000"))</f>
        <v/>
      </c>
      <c r="C120" s="108" t="n"/>
      <c r="D120" s="113">
        <f>IF($E120="","",IFERROR(INDEX(MUSTERILER!$B$7:$B$106,MATCH($U120,MUSTERILER!$T$7:$T$106,0)),IFERROR(INDEX(MUSTERILER!$B$7:$B$106,MATCH($E120,MUSTERILER!$B$7:$B$106,0)),IFERROR(INDEX(MUSTERILER!$B$7:$B$106,MATCH($U120&amp;"*",MUSTERILER!$T$7:$T$106,0)),"TANIMSIZ MÜŞTERİ"))))</f>
        <v/>
      </c>
      <c r="E120" s="109" t="n"/>
      <c r="F120" s="109" t="n"/>
      <c r="G120" s="108" t="n"/>
      <c r="H120" s="220" t="n"/>
      <c r="I120" s="220" t="n"/>
      <c r="J120" s="108" t="n"/>
      <c r="K120" s="108" t="n"/>
      <c r="L120" s="109" t="n"/>
      <c r="M120" s="109" t="n"/>
      <c r="N120" s="109" t="n"/>
      <c r="O120" s="220" t="n"/>
      <c r="P120" s="227">
        <f>IF(OR($E120="",$I120=""),"",IF(OR($J120="Tamamlandı",$J120="İptal"),"",$I120-TODAY()))</f>
        <v/>
      </c>
      <c r="Q120" s="113">
        <f>IF($E120="","",IF($D120="TANIMSIZ MÜŞTERİ","HATA",IF(OR($J120="Tamamlandı",$J120="İptal"),"KAPALI",IF(AND($C120="Görüşme",$N120=""),"SONRAKİ İŞLEM EKSİK",IF($I120="","TARİH EKSİK",IF($I120&lt;TODAY(),"GECİKMİŞ",IF($I120=TODAY(),"BUGÜN",IF($I120&lt;=TODAY()+7,"7 GÜN İÇİNDE","PLANLI"))))))))</f>
        <v/>
      </c>
      <c r="R120" s="6" t="n"/>
      <c r="S120" s="6" t="n"/>
      <c r="T120" s="3" t="n"/>
      <c r="U120" s="3">
        <f>IF($E120="","",UPPER(SUBSTITUTE(SUBSTITUTE(SUBSTITUTE(SUBSTITUTE(SUBSTITUTE(SUBSTITUTE(SUBSTITUTE(SUBSTITUTE(SUBSTITUTE(SUBSTITUTE(SUBSTITUTE(SUBSTITUTE(SUBSTITUTE(SUBSTITUTE(SUBSTITUTE(SUBSTITUTE(SUBSTITUTE(SUBSTITUTE(TRIM($E120),"'",""),"İ","I"),"ı","I"),"i","I"),"Ş","S"),"ş","S"),"Ğ","G"),"ğ","G"),"Ü","U"),"ü","U"),"Ö","O"),"ö","O"),"Ç","C"),"ç","C"),".",""),",","")," ",""),"-","")))</f>
        <v/>
      </c>
    </row>
    <row r="121">
      <c r="A121" s="6" t="n"/>
      <c r="B121" s="113">
        <f>IF($E121="","","A"&amp;TEXT(ROW()-6,"00000"))</f>
        <v/>
      </c>
      <c r="C121" s="108" t="n"/>
      <c r="D121" s="113">
        <f>IF($E121="","",IFERROR(INDEX(MUSTERILER!$B$7:$B$106,MATCH($U121,MUSTERILER!$T$7:$T$106,0)),IFERROR(INDEX(MUSTERILER!$B$7:$B$106,MATCH($E121,MUSTERILER!$B$7:$B$106,0)),IFERROR(INDEX(MUSTERILER!$B$7:$B$106,MATCH($U121&amp;"*",MUSTERILER!$T$7:$T$106,0)),"TANIMSIZ MÜŞTERİ"))))</f>
        <v/>
      </c>
      <c r="E121" s="109" t="n"/>
      <c r="F121" s="109" t="n"/>
      <c r="G121" s="108" t="n"/>
      <c r="H121" s="220" t="n"/>
      <c r="I121" s="220" t="n"/>
      <c r="J121" s="108" t="n"/>
      <c r="K121" s="108" t="n"/>
      <c r="L121" s="109" t="n"/>
      <c r="M121" s="109" t="n"/>
      <c r="N121" s="109" t="n"/>
      <c r="O121" s="220" t="n"/>
      <c r="P121" s="227">
        <f>IF(OR($E121="",$I121=""),"",IF(OR($J121="Tamamlandı",$J121="İptal"),"",$I121-TODAY()))</f>
        <v/>
      </c>
      <c r="Q121" s="113">
        <f>IF($E121="","",IF($D121="TANIMSIZ MÜŞTERİ","HATA",IF(OR($J121="Tamamlandı",$J121="İptal"),"KAPALI",IF(AND($C121="Görüşme",$N121=""),"SONRAKİ İŞLEM EKSİK",IF($I121="","TARİH EKSİK",IF($I121&lt;TODAY(),"GECİKMİŞ",IF($I121=TODAY(),"BUGÜN",IF($I121&lt;=TODAY()+7,"7 GÜN İÇİNDE","PLANLI"))))))))</f>
        <v/>
      </c>
      <c r="R121" s="6" t="n"/>
      <c r="S121" s="6" t="n"/>
      <c r="T121" s="3" t="n"/>
      <c r="U121" s="3">
        <f>IF($E121="","",UPPER(SUBSTITUTE(SUBSTITUTE(SUBSTITUTE(SUBSTITUTE(SUBSTITUTE(SUBSTITUTE(SUBSTITUTE(SUBSTITUTE(SUBSTITUTE(SUBSTITUTE(SUBSTITUTE(SUBSTITUTE(SUBSTITUTE(SUBSTITUTE(SUBSTITUTE(SUBSTITUTE(SUBSTITUTE(SUBSTITUTE(TRIM($E121),"'",""),"İ","I"),"ı","I"),"i","I"),"Ş","S"),"ş","S"),"Ğ","G"),"ğ","G"),"Ü","U"),"ü","U"),"Ö","O"),"ö","O"),"Ç","C"),"ç","C"),".",""),",","")," ",""),"-","")))</f>
        <v/>
      </c>
    </row>
    <row r="122">
      <c r="A122" s="6" t="n"/>
      <c r="B122" s="113">
        <f>IF($E122="","","A"&amp;TEXT(ROW()-6,"00000"))</f>
        <v/>
      </c>
      <c r="C122" s="108" t="n"/>
      <c r="D122" s="113">
        <f>IF($E122="","",IFERROR(INDEX(MUSTERILER!$B$7:$B$106,MATCH($U122,MUSTERILER!$T$7:$T$106,0)),IFERROR(INDEX(MUSTERILER!$B$7:$B$106,MATCH($E122,MUSTERILER!$B$7:$B$106,0)),IFERROR(INDEX(MUSTERILER!$B$7:$B$106,MATCH($U122&amp;"*",MUSTERILER!$T$7:$T$106,0)),"TANIMSIZ MÜŞTERİ"))))</f>
        <v/>
      </c>
      <c r="E122" s="109" t="n"/>
      <c r="F122" s="109" t="n"/>
      <c r="G122" s="108" t="n"/>
      <c r="H122" s="220" t="n"/>
      <c r="I122" s="220" t="n"/>
      <c r="J122" s="108" t="n"/>
      <c r="K122" s="108" t="n"/>
      <c r="L122" s="109" t="n"/>
      <c r="M122" s="109" t="n"/>
      <c r="N122" s="109" t="n"/>
      <c r="O122" s="220" t="n"/>
      <c r="P122" s="227">
        <f>IF(OR($E122="",$I122=""),"",IF(OR($J122="Tamamlandı",$J122="İptal"),"",$I122-TODAY()))</f>
        <v/>
      </c>
      <c r="Q122" s="113">
        <f>IF($E122="","",IF($D122="TANIMSIZ MÜŞTERİ","HATA",IF(OR($J122="Tamamlandı",$J122="İptal"),"KAPALI",IF(AND($C122="Görüşme",$N122=""),"SONRAKİ İŞLEM EKSİK",IF($I122="","TARİH EKSİK",IF($I122&lt;TODAY(),"GECİKMİŞ",IF($I122=TODAY(),"BUGÜN",IF($I122&lt;=TODAY()+7,"7 GÜN İÇİNDE","PLANLI"))))))))</f>
        <v/>
      </c>
      <c r="R122" s="6" t="n"/>
      <c r="S122" s="6" t="n"/>
      <c r="T122" s="3" t="n"/>
      <c r="U122" s="3">
        <f>IF($E122="","",UPPER(SUBSTITUTE(SUBSTITUTE(SUBSTITUTE(SUBSTITUTE(SUBSTITUTE(SUBSTITUTE(SUBSTITUTE(SUBSTITUTE(SUBSTITUTE(SUBSTITUTE(SUBSTITUTE(SUBSTITUTE(SUBSTITUTE(SUBSTITUTE(SUBSTITUTE(SUBSTITUTE(SUBSTITUTE(SUBSTITUTE(TRIM($E122),"'",""),"İ","I"),"ı","I"),"i","I"),"Ş","S"),"ş","S"),"Ğ","G"),"ğ","G"),"Ü","U"),"ü","U"),"Ö","O"),"ö","O"),"Ç","C"),"ç","C"),".",""),",","")," ",""),"-","")))</f>
        <v/>
      </c>
    </row>
    <row r="123">
      <c r="A123" s="6" t="n"/>
      <c r="B123" s="113">
        <f>IF($E123="","","A"&amp;TEXT(ROW()-6,"00000"))</f>
        <v/>
      </c>
      <c r="C123" s="108" t="n"/>
      <c r="D123" s="113">
        <f>IF($E123="","",IFERROR(INDEX(MUSTERILER!$B$7:$B$106,MATCH($U123,MUSTERILER!$T$7:$T$106,0)),IFERROR(INDEX(MUSTERILER!$B$7:$B$106,MATCH($E123,MUSTERILER!$B$7:$B$106,0)),IFERROR(INDEX(MUSTERILER!$B$7:$B$106,MATCH($U123&amp;"*",MUSTERILER!$T$7:$T$106,0)),"TANIMSIZ MÜŞTERİ"))))</f>
        <v/>
      </c>
      <c r="E123" s="109" t="n"/>
      <c r="F123" s="109" t="n"/>
      <c r="G123" s="108" t="n"/>
      <c r="H123" s="220" t="n"/>
      <c r="I123" s="220" t="n"/>
      <c r="J123" s="108" t="n"/>
      <c r="K123" s="108" t="n"/>
      <c r="L123" s="109" t="n"/>
      <c r="M123" s="109" t="n"/>
      <c r="N123" s="109" t="n"/>
      <c r="O123" s="220" t="n"/>
      <c r="P123" s="227">
        <f>IF(OR($E123="",$I123=""),"",IF(OR($J123="Tamamlandı",$J123="İptal"),"",$I123-TODAY()))</f>
        <v/>
      </c>
      <c r="Q123" s="113">
        <f>IF($E123="","",IF($D123="TANIMSIZ MÜŞTERİ","HATA",IF(OR($J123="Tamamlandı",$J123="İptal"),"KAPALI",IF(AND($C123="Görüşme",$N123=""),"SONRAKİ İŞLEM EKSİK",IF($I123="","TARİH EKSİK",IF($I123&lt;TODAY(),"GECİKMİŞ",IF($I123=TODAY(),"BUGÜN",IF($I123&lt;=TODAY()+7,"7 GÜN İÇİNDE","PLANLI"))))))))</f>
        <v/>
      </c>
      <c r="R123" s="6" t="n"/>
      <c r="S123" s="6" t="n"/>
      <c r="T123" s="3" t="n"/>
      <c r="U123" s="3">
        <f>IF($E123="","",UPPER(SUBSTITUTE(SUBSTITUTE(SUBSTITUTE(SUBSTITUTE(SUBSTITUTE(SUBSTITUTE(SUBSTITUTE(SUBSTITUTE(SUBSTITUTE(SUBSTITUTE(SUBSTITUTE(SUBSTITUTE(SUBSTITUTE(SUBSTITUTE(SUBSTITUTE(SUBSTITUTE(SUBSTITUTE(SUBSTITUTE(TRIM($E123),"'",""),"İ","I"),"ı","I"),"i","I"),"Ş","S"),"ş","S"),"Ğ","G"),"ğ","G"),"Ü","U"),"ü","U"),"Ö","O"),"ö","O"),"Ç","C"),"ç","C"),".",""),",","")," ",""),"-","")))</f>
        <v/>
      </c>
    </row>
    <row r="124">
      <c r="A124" s="6" t="n"/>
      <c r="B124" s="113">
        <f>IF($E124="","","A"&amp;TEXT(ROW()-6,"00000"))</f>
        <v/>
      </c>
      <c r="C124" s="108" t="n"/>
      <c r="D124" s="113">
        <f>IF($E124="","",IFERROR(INDEX(MUSTERILER!$B$7:$B$106,MATCH($U124,MUSTERILER!$T$7:$T$106,0)),IFERROR(INDEX(MUSTERILER!$B$7:$B$106,MATCH($E124,MUSTERILER!$B$7:$B$106,0)),IFERROR(INDEX(MUSTERILER!$B$7:$B$106,MATCH($U124&amp;"*",MUSTERILER!$T$7:$T$106,0)),"TANIMSIZ MÜŞTERİ"))))</f>
        <v/>
      </c>
      <c r="E124" s="109" t="n"/>
      <c r="F124" s="109" t="n"/>
      <c r="G124" s="108" t="n"/>
      <c r="H124" s="220" t="n"/>
      <c r="I124" s="220" t="n"/>
      <c r="J124" s="108" t="n"/>
      <c r="K124" s="108" t="n"/>
      <c r="L124" s="109" t="n"/>
      <c r="M124" s="109" t="n"/>
      <c r="N124" s="109" t="n"/>
      <c r="O124" s="220" t="n"/>
      <c r="P124" s="227">
        <f>IF(OR($E124="",$I124=""),"",IF(OR($J124="Tamamlandı",$J124="İptal"),"",$I124-TODAY()))</f>
        <v/>
      </c>
      <c r="Q124" s="113">
        <f>IF($E124="","",IF($D124="TANIMSIZ MÜŞTERİ","HATA",IF(OR($J124="Tamamlandı",$J124="İptal"),"KAPALI",IF(AND($C124="Görüşme",$N124=""),"SONRAKİ İŞLEM EKSİK",IF($I124="","TARİH EKSİK",IF($I124&lt;TODAY(),"GECİKMİŞ",IF($I124=TODAY(),"BUGÜN",IF($I124&lt;=TODAY()+7,"7 GÜN İÇİNDE","PLANLI"))))))))</f>
        <v/>
      </c>
      <c r="R124" s="6" t="n"/>
      <c r="S124" s="6" t="n"/>
      <c r="T124" s="3" t="n"/>
      <c r="U124" s="3">
        <f>IF($E124="","",UPPER(SUBSTITUTE(SUBSTITUTE(SUBSTITUTE(SUBSTITUTE(SUBSTITUTE(SUBSTITUTE(SUBSTITUTE(SUBSTITUTE(SUBSTITUTE(SUBSTITUTE(SUBSTITUTE(SUBSTITUTE(SUBSTITUTE(SUBSTITUTE(SUBSTITUTE(SUBSTITUTE(SUBSTITUTE(SUBSTITUTE(TRIM($E124),"'",""),"İ","I"),"ı","I"),"i","I"),"Ş","S"),"ş","S"),"Ğ","G"),"ğ","G"),"Ü","U"),"ü","U"),"Ö","O"),"ö","O"),"Ç","C"),"ç","C"),".",""),",","")," ",""),"-","")))</f>
        <v/>
      </c>
    </row>
    <row r="125">
      <c r="A125" s="6" t="n"/>
      <c r="B125" s="113">
        <f>IF($E125="","","A"&amp;TEXT(ROW()-6,"00000"))</f>
        <v/>
      </c>
      <c r="C125" s="108" t="n"/>
      <c r="D125" s="113">
        <f>IF($E125="","",IFERROR(INDEX(MUSTERILER!$B$7:$B$106,MATCH($U125,MUSTERILER!$T$7:$T$106,0)),IFERROR(INDEX(MUSTERILER!$B$7:$B$106,MATCH($E125,MUSTERILER!$B$7:$B$106,0)),IFERROR(INDEX(MUSTERILER!$B$7:$B$106,MATCH($U125&amp;"*",MUSTERILER!$T$7:$T$106,0)),"TANIMSIZ MÜŞTERİ"))))</f>
        <v/>
      </c>
      <c r="E125" s="109" t="n"/>
      <c r="F125" s="109" t="n"/>
      <c r="G125" s="108" t="n"/>
      <c r="H125" s="220" t="n"/>
      <c r="I125" s="220" t="n"/>
      <c r="J125" s="108" t="n"/>
      <c r="K125" s="108" t="n"/>
      <c r="L125" s="109" t="n"/>
      <c r="M125" s="109" t="n"/>
      <c r="N125" s="109" t="n"/>
      <c r="O125" s="220" t="n"/>
      <c r="P125" s="227">
        <f>IF(OR($E125="",$I125=""),"",IF(OR($J125="Tamamlandı",$J125="İptal"),"",$I125-TODAY()))</f>
        <v/>
      </c>
      <c r="Q125" s="113">
        <f>IF($E125="","",IF($D125="TANIMSIZ MÜŞTERİ","HATA",IF(OR($J125="Tamamlandı",$J125="İptal"),"KAPALI",IF(AND($C125="Görüşme",$N125=""),"SONRAKİ İŞLEM EKSİK",IF($I125="","TARİH EKSİK",IF($I125&lt;TODAY(),"GECİKMİŞ",IF($I125=TODAY(),"BUGÜN",IF($I125&lt;=TODAY()+7,"7 GÜN İÇİNDE","PLANLI"))))))))</f>
        <v/>
      </c>
      <c r="R125" s="6" t="n"/>
      <c r="S125" s="6" t="n"/>
      <c r="T125" s="3" t="n"/>
      <c r="U125" s="3">
        <f>IF($E125="","",UPPER(SUBSTITUTE(SUBSTITUTE(SUBSTITUTE(SUBSTITUTE(SUBSTITUTE(SUBSTITUTE(SUBSTITUTE(SUBSTITUTE(SUBSTITUTE(SUBSTITUTE(SUBSTITUTE(SUBSTITUTE(SUBSTITUTE(SUBSTITUTE(SUBSTITUTE(SUBSTITUTE(SUBSTITUTE(SUBSTITUTE(TRIM($E125),"'",""),"İ","I"),"ı","I"),"i","I"),"Ş","S"),"ş","S"),"Ğ","G"),"ğ","G"),"Ü","U"),"ü","U"),"Ö","O"),"ö","O"),"Ç","C"),"ç","C"),".",""),",","")," ",""),"-","")))</f>
        <v/>
      </c>
    </row>
    <row r="126">
      <c r="A126" s="6" t="n"/>
      <c r="B126" s="113">
        <f>IF($E126="","","A"&amp;TEXT(ROW()-6,"00000"))</f>
        <v/>
      </c>
      <c r="C126" s="108" t="n"/>
      <c r="D126" s="113">
        <f>IF($E126="","",IFERROR(INDEX(MUSTERILER!$B$7:$B$106,MATCH($U126,MUSTERILER!$T$7:$T$106,0)),IFERROR(INDEX(MUSTERILER!$B$7:$B$106,MATCH($E126,MUSTERILER!$B$7:$B$106,0)),IFERROR(INDEX(MUSTERILER!$B$7:$B$106,MATCH($U126&amp;"*",MUSTERILER!$T$7:$T$106,0)),"TANIMSIZ MÜŞTERİ"))))</f>
        <v/>
      </c>
      <c r="E126" s="109" t="n"/>
      <c r="F126" s="109" t="n"/>
      <c r="G126" s="108" t="n"/>
      <c r="H126" s="220" t="n"/>
      <c r="I126" s="220" t="n"/>
      <c r="J126" s="108" t="n"/>
      <c r="K126" s="108" t="n"/>
      <c r="L126" s="109" t="n"/>
      <c r="M126" s="109" t="n"/>
      <c r="N126" s="109" t="n"/>
      <c r="O126" s="220" t="n"/>
      <c r="P126" s="227">
        <f>IF(OR($E126="",$I126=""),"",IF(OR($J126="Tamamlandı",$J126="İptal"),"",$I126-TODAY()))</f>
        <v/>
      </c>
      <c r="Q126" s="113">
        <f>IF($E126="","",IF($D126="TANIMSIZ MÜŞTERİ","HATA",IF(OR($J126="Tamamlandı",$J126="İptal"),"KAPALI",IF(AND($C126="Görüşme",$N126=""),"SONRAKİ İŞLEM EKSİK",IF($I126="","TARİH EKSİK",IF($I126&lt;TODAY(),"GECİKMİŞ",IF($I126=TODAY(),"BUGÜN",IF($I126&lt;=TODAY()+7,"7 GÜN İÇİNDE","PLANLI"))))))))</f>
        <v/>
      </c>
      <c r="R126" s="6" t="n"/>
      <c r="S126" s="6" t="n"/>
      <c r="T126" s="3" t="n"/>
      <c r="U126" s="3">
        <f>IF($E126="","",UPPER(SUBSTITUTE(SUBSTITUTE(SUBSTITUTE(SUBSTITUTE(SUBSTITUTE(SUBSTITUTE(SUBSTITUTE(SUBSTITUTE(SUBSTITUTE(SUBSTITUTE(SUBSTITUTE(SUBSTITUTE(SUBSTITUTE(SUBSTITUTE(SUBSTITUTE(SUBSTITUTE(SUBSTITUTE(SUBSTITUTE(TRIM($E126),"'",""),"İ","I"),"ı","I"),"i","I"),"Ş","S"),"ş","S"),"Ğ","G"),"ğ","G"),"Ü","U"),"ü","U"),"Ö","O"),"ö","O"),"Ç","C"),"ç","C"),".",""),",","")," ",""),"-","")))</f>
        <v/>
      </c>
    </row>
    <row r="127">
      <c r="A127" s="6" t="n"/>
      <c r="B127" s="113">
        <f>IF($E127="","","A"&amp;TEXT(ROW()-6,"00000"))</f>
        <v/>
      </c>
      <c r="C127" s="108" t="n"/>
      <c r="D127" s="113">
        <f>IF($E127="","",IFERROR(INDEX(MUSTERILER!$B$7:$B$106,MATCH($U127,MUSTERILER!$T$7:$T$106,0)),IFERROR(INDEX(MUSTERILER!$B$7:$B$106,MATCH($E127,MUSTERILER!$B$7:$B$106,0)),IFERROR(INDEX(MUSTERILER!$B$7:$B$106,MATCH($U127&amp;"*",MUSTERILER!$T$7:$T$106,0)),"TANIMSIZ MÜŞTERİ"))))</f>
        <v/>
      </c>
      <c r="E127" s="109" t="n"/>
      <c r="F127" s="109" t="n"/>
      <c r="G127" s="108" t="n"/>
      <c r="H127" s="220" t="n"/>
      <c r="I127" s="220" t="n"/>
      <c r="J127" s="108" t="n"/>
      <c r="K127" s="108" t="n"/>
      <c r="L127" s="109" t="n"/>
      <c r="M127" s="109" t="n"/>
      <c r="N127" s="109" t="n"/>
      <c r="O127" s="220" t="n"/>
      <c r="P127" s="227">
        <f>IF(OR($E127="",$I127=""),"",IF(OR($J127="Tamamlandı",$J127="İptal"),"",$I127-TODAY()))</f>
        <v/>
      </c>
      <c r="Q127" s="113">
        <f>IF($E127="","",IF($D127="TANIMSIZ MÜŞTERİ","HATA",IF(OR($J127="Tamamlandı",$J127="İptal"),"KAPALI",IF(AND($C127="Görüşme",$N127=""),"SONRAKİ İŞLEM EKSİK",IF($I127="","TARİH EKSİK",IF($I127&lt;TODAY(),"GECİKMİŞ",IF($I127=TODAY(),"BUGÜN",IF($I127&lt;=TODAY()+7,"7 GÜN İÇİNDE","PLANLI"))))))))</f>
        <v/>
      </c>
      <c r="R127" s="6" t="n"/>
      <c r="S127" s="6" t="n"/>
      <c r="T127" s="3" t="n"/>
      <c r="U127" s="3">
        <f>IF($E127="","",UPPER(SUBSTITUTE(SUBSTITUTE(SUBSTITUTE(SUBSTITUTE(SUBSTITUTE(SUBSTITUTE(SUBSTITUTE(SUBSTITUTE(SUBSTITUTE(SUBSTITUTE(SUBSTITUTE(SUBSTITUTE(SUBSTITUTE(SUBSTITUTE(SUBSTITUTE(SUBSTITUTE(SUBSTITUTE(SUBSTITUTE(TRIM($E127),"'",""),"İ","I"),"ı","I"),"i","I"),"Ş","S"),"ş","S"),"Ğ","G"),"ğ","G"),"Ü","U"),"ü","U"),"Ö","O"),"ö","O"),"Ç","C"),"ç","C"),".",""),",","")," ",""),"-","")))</f>
        <v/>
      </c>
    </row>
    <row r="128">
      <c r="A128" s="6" t="n"/>
      <c r="B128" s="113">
        <f>IF($E128="","","A"&amp;TEXT(ROW()-6,"00000"))</f>
        <v/>
      </c>
      <c r="C128" s="108" t="n"/>
      <c r="D128" s="113">
        <f>IF($E128="","",IFERROR(INDEX(MUSTERILER!$B$7:$B$106,MATCH($U128,MUSTERILER!$T$7:$T$106,0)),IFERROR(INDEX(MUSTERILER!$B$7:$B$106,MATCH($E128,MUSTERILER!$B$7:$B$106,0)),IFERROR(INDEX(MUSTERILER!$B$7:$B$106,MATCH($U128&amp;"*",MUSTERILER!$T$7:$T$106,0)),"TANIMSIZ MÜŞTERİ"))))</f>
        <v/>
      </c>
      <c r="E128" s="109" t="n"/>
      <c r="F128" s="109" t="n"/>
      <c r="G128" s="108" t="n"/>
      <c r="H128" s="220" t="n"/>
      <c r="I128" s="220" t="n"/>
      <c r="J128" s="108" t="n"/>
      <c r="K128" s="108" t="n"/>
      <c r="L128" s="109" t="n"/>
      <c r="M128" s="109" t="n"/>
      <c r="N128" s="109" t="n"/>
      <c r="O128" s="220" t="n"/>
      <c r="P128" s="227">
        <f>IF(OR($E128="",$I128=""),"",IF(OR($J128="Tamamlandı",$J128="İptal"),"",$I128-TODAY()))</f>
        <v/>
      </c>
      <c r="Q128" s="113">
        <f>IF($E128="","",IF($D128="TANIMSIZ MÜŞTERİ","HATA",IF(OR($J128="Tamamlandı",$J128="İptal"),"KAPALI",IF(AND($C128="Görüşme",$N128=""),"SONRAKİ İŞLEM EKSİK",IF($I128="","TARİH EKSİK",IF($I128&lt;TODAY(),"GECİKMİŞ",IF($I128=TODAY(),"BUGÜN",IF($I128&lt;=TODAY()+7,"7 GÜN İÇİNDE","PLANLI"))))))))</f>
        <v/>
      </c>
      <c r="R128" s="6" t="n"/>
      <c r="S128" s="6" t="n"/>
      <c r="T128" s="3" t="n"/>
      <c r="U128" s="3">
        <f>IF($E128="","",UPPER(SUBSTITUTE(SUBSTITUTE(SUBSTITUTE(SUBSTITUTE(SUBSTITUTE(SUBSTITUTE(SUBSTITUTE(SUBSTITUTE(SUBSTITUTE(SUBSTITUTE(SUBSTITUTE(SUBSTITUTE(SUBSTITUTE(SUBSTITUTE(SUBSTITUTE(SUBSTITUTE(SUBSTITUTE(SUBSTITUTE(TRIM($E128),"'",""),"İ","I"),"ı","I"),"i","I"),"Ş","S"),"ş","S"),"Ğ","G"),"ğ","G"),"Ü","U"),"ü","U"),"Ö","O"),"ö","O"),"Ç","C"),"ç","C"),".",""),",","")," ",""),"-","")))</f>
        <v/>
      </c>
    </row>
    <row r="129">
      <c r="A129" s="6" t="n"/>
      <c r="B129" s="113">
        <f>IF($E129="","","A"&amp;TEXT(ROW()-6,"00000"))</f>
        <v/>
      </c>
      <c r="C129" s="108" t="n"/>
      <c r="D129" s="113">
        <f>IF($E129="","",IFERROR(INDEX(MUSTERILER!$B$7:$B$106,MATCH($U129,MUSTERILER!$T$7:$T$106,0)),IFERROR(INDEX(MUSTERILER!$B$7:$B$106,MATCH($E129,MUSTERILER!$B$7:$B$106,0)),IFERROR(INDEX(MUSTERILER!$B$7:$B$106,MATCH($U129&amp;"*",MUSTERILER!$T$7:$T$106,0)),"TANIMSIZ MÜŞTERİ"))))</f>
        <v/>
      </c>
      <c r="E129" s="109" t="n"/>
      <c r="F129" s="109" t="n"/>
      <c r="G129" s="108" t="n"/>
      <c r="H129" s="220" t="n"/>
      <c r="I129" s="220" t="n"/>
      <c r="J129" s="108" t="n"/>
      <c r="K129" s="108" t="n"/>
      <c r="L129" s="109" t="n"/>
      <c r="M129" s="109" t="n"/>
      <c r="N129" s="109" t="n"/>
      <c r="O129" s="220" t="n"/>
      <c r="P129" s="227">
        <f>IF(OR($E129="",$I129=""),"",IF(OR($J129="Tamamlandı",$J129="İptal"),"",$I129-TODAY()))</f>
        <v/>
      </c>
      <c r="Q129" s="113">
        <f>IF($E129="","",IF($D129="TANIMSIZ MÜŞTERİ","HATA",IF(OR($J129="Tamamlandı",$J129="İptal"),"KAPALI",IF(AND($C129="Görüşme",$N129=""),"SONRAKİ İŞLEM EKSİK",IF($I129="","TARİH EKSİK",IF($I129&lt;TODAY(),"GECİKMİŞ",IF($I129=TODAY(),"BUGÜN",IF($I129&lt;=TODAY()+7,"7 GÜN İÇİNDE","PLANLI"))))))))</f>
        <v/>
      </c>
      <c r="R129" s="6" t="n"/>
      <c r="S129" s="6" t="n"/>
      <c r="T129" s="3" t="n"/>
      <c r="U129" s="3">
        <f>IF($E129="","",UPPER(SUBSTITUTE(SUBSTITUTE(SUBSTITUTE(SUBSTITUTE(SUBSTITUTE(SUBSTITUTE(SUBSTITUTE(SUBSTITUTE(SUBSTITUTE(SUBSTITUTE(SUBSTITUTE(SUBSTITUTE(SUBSTITUTE(SUBSTITUTE(SUBSTITUTE(SUBSTITUTE(SUBSTITUTE(SUBSTITUTE(TRIM($E129),"'",""),"İ","I"),"ı","I"),"i","I"),"Ş","S"),"ş","S"),"Ğ","G"),"ğ","G"),"Ü","U"),"ü","U"),"Ö","O"),"ö","O"),"Ç","C"),"ç","C"),".",""),",","")," ",""),"-","")))</f>
        <v/>
      </c>
    </row>
    <row r="130">
      <c r="A130" s="6" t="n"/>
      <c r="B130" s="113">
        <f>IF($E130="","","A"&amp;TEXT(ROW()-6,"00000"))</f>
        <v/>
      </c>
      <c r="C130" s="108" t="n"/>
      <c r="D130" s="113">
        <f>IF($E130="","",IFERROR(INDEX(MUSTERILER!$B$7:$B$106,MATCH($U130,MUSTERILER!$T$7:$T$106,0)),IFERROR(INDEX(MUSTERILER!$B$7:$B$106,MATCH($E130,MUSTERILER!$B$7:$B$106,0)),IFERROR(INDEX(MUSTERILER!$B$7:$B$106,MATCH($U130&amp;"*",MUSTERILER!$T$7:$T$106,0)),"TANIMSIZ MÜŞTERİ"))))</f>
        <v/>
      </c>
      <c r="E130" s="109" t="n"/>
      <c r="F130" s="109" t="n"/>
      <c r="G130" s="108" t="n"/>
      <c r="H130" s="220" t="n"/>
      <c r="I130" s="220" t="n"/>
      <c r="J130" s="108" t="n"/>
      <c r="K130" s="108" t="n"/>
      <c r="L130" s="109" t="n"/>
      <c r="M130" s="109" t="n"/>
      <c r="N130" s="109" t="n"/>
      <c r="O130" s="220" t="n"/>
      <c r="P130" s="227">
        <f>IF(OR($E130="",$I130=""),"",IF(OR($J130="Tamamlandı",$J130="İptal"),"",$I130-TODAY()))</f>
        <v/>
      </c>
      <c r="Q130" s="113">
        <f>IF($E130="","",IF($D130="TANIMSIZ MÜŞTERİ","HATA",IF(OR($J130="Tamamlandı",$J130="İptal"),"KAPALI",IF(AND($C130="Görüşme",$N130=""),"SONRAKİ İŞLEM EKSİK",IF($I130="","TARİH EKSİK",IF($I130&lt;TODAY(),"GECİKMİŞ",IF($I130=TODAY(),"BUGÜN",IF($I130&lt;=TODAY()+7,"7 GÜN İÇİNDE","PLANLI"))))))))</f>
        <v/>
      </c>
      <c r="R130" s="6" t="n"/>
      <c r="S130" s="6" t="n"/>
      <c r="T130" s="3" t="n"/>
      <c r="U130" s="3">
        <f>IF($E130="","",UPPER(SUBSTITUTE(SUBSTITUTE(SUBSTITUTE(SUBSTITUTE(SUBSTITUTE(SUBSTITUTE(SUBSTITUTE(SUBSTITUTE(SUBSTITUTE(SUBSTITUTE(SUBSTITUTE(SUBSTITUTE(SUBSTITUTE(SUBSTITUTE(SUBSTITUTE(SUBSTITUTE(SUBSTITUTE(SUBSTITUTE(TRIM($E130),"'",""),"İ","I"),"ı","I"),"i","I"),"Ş","S"),"ş","S"),"Ğ","G"),"ğ","G"),"Ü","U"),"ü","U"),"Ö","O"),"ö","O"),"Ç","C"),"ç","C"),".",""),",","")," ",""),"-","")))</f>
        <v/>
      </c>
    </row>
    <row r="131">
      <c r="A131" s="6" t="n"/>
      <c r="B131" s="113">
        <f>IF($E131="","","A"&amp;TEXT(ROW()-6,"00000"))</f>
        <v/>
      </c>
      <c r="C131" s="108" t="n"/>
      <c r="D131" s="113">
        <f>IF($E131="","",IFERROR(INDEX(MUSTERILER!$B$7:$B$106,MATCH($U131,MUSTERILER!$T$7:$T$106,0)),IFERROR(INDEX(MUSTERILER!$B$7:$B$106,MATCH($E131,MUSTERILER!$B$7:$B$106,0)),IFERROR(INDEX(MUSTERILER!$B$7:$B$106,MATCH($U131&amp;"*",MUSTERILER!$T$7:$T$106,0)),"TANIMSIZ MÜŞTERİ"))))</f>
        <v/>
      </c>
      <c r="E131" s="109" t="n"/>
      <c r="F131" s="109" t="n"/>
      <c r="G131" s="108" t="n"/>
      <c r="H131" s="220" t="n"/>
      <c r="I131" s="220" t="n"/>
      <c r="J131" s="108" t="n"/>
      <c r="K131" s="108" t="n"/>
      <c r="L131" s="109" t="n"/>
      <c r="M131" s="109" t="n"/>
      <c r="N131" s="109" t="n"/>
      <c r="O131" s="220" t="n"/>
      <c r="P131" s="227">
        <f>IF(OR($E131="",$I131=""),"",IF(OR($J131="Tamamlandı",$J131="İptal"),"",$I131-TODAY()))</f>
        <v/>
      </c>
      <c r="Q131" s="113">
        <f>IF($E131="","",IF($D131="TANIMSIZ MÜŞTERİ","HATA",IF(OR($J131="Tamamlandı",$J131="İptal"),"KAPALI",IF(AND($C131="Görüşme",$N131=""),"SONRAKİ İŞLEM EKSİK",IF($I131="","TARİH EKSİK",IF($I131&lt;TODAY(),"GECİKMİŞ",IF($I131=TODAY(),"BUGÜN",IF($I131&lt;=TODAY()+7,"7 GÜN İÇİNDE","PLANLI"))))))))</f>
        <v/>
      </c>
      <c r="R131" s="6" t="n"/>
      <c r="S131" s="6" t="n"/>
      <c r="T131" s="3" t="n"/>
      <c r="U131" s="3">
        <f>IF($E131="","",UPPER(SUBSTITUTE(SUBSTITUTE(SUBSTITUTE(SUBSTITUTE(SUBSTITUTE(SUBSTITUTE(SUBSTITUTE(SUBSTITUTE(SUBSTITUTE(SUBSTITUTE(SUBSTITUTE(SUBSTITUTE(SUBSTITUTE(SUBSTITUTE(SUBSTITUTE(SUBSTITUTE(SUBSTITUTE(SUBSTITUTE(TRIM($E131),"'",""),"İ","I"),"ı","I"),"i","I"),"Ş","S"),"ş","S"),"Ğ","G"),"ğ","G"),"Ü","U"),"ü","U"),"Ö","O"),"ö","O"),"Ç","C"),"ç","C"),".",""),",","")," ",""),"-","")))</f>
        <v/>
      </c>
    </row>
    <row r="132">
      <c r="A132" s="6" t="n"/>
      <c r="B132" s="113">
        <f>IF($E132="","","A"&amp;TEXT(ROW()-6,"00000"))</f>
        <v/>
      </c>
      <c r="C132" s="108" t="n"/>
      <c r="D132" s="113">
        <f>IF($E132="","",IFERROR(INDEX(MUSTERILER!$B$7:$B$106,MATCH($U132,MUSTERILER!$T$7:$T$106,0)),IFERROR(INDEX(MUSTERILER!$B$7:$B$106,MATCH($E132,MUSTERILER!$B$7:$B$106,0)),IFERROR(INDEX(MUSTERILER!$B$7:$B$106,MATCH($U132&amp;"*",MUSTERILER!$T$7:$T$106,0)),"TANIMSIZ MÜŞTERİ"))))</f>
        <v/>
      </c>
      <c r="E132" s="109" t="n"/>
      <c r="F132" s="109" t="n"/>
      <c r="G132" s="108" t="n"/>
      <c r="H132" s="220" t="n"/>
      <c r="I132" s="220" t="n"/>
      <c r="J132" s="108" t="n"/>
      <c r="K132" s="108" t="n"/>
      <c r="L132" s="109" t="n"/>
      <c r="M132" s="109" t="n"/>
      <c r="N132" s="109" t="n"/>
      <c r="O132" s="220" t="n"/>
      <c r="P132" s="227">
        <f>IF(OR($E132="",$I132=""),"",IF(OR($J132="Tamamlandı",$J132="İptal"),"",$I132-TODAY()))</f>
        <v/>
      </c>
      <c r="Q132" s="113">
        <f>IF($E132="","",IF($D132="TANIMSIZ MÜŞTERİ","HATA",IF(OR($J132="Tamamlandı",$J132="İptal"),"KAPALI",IF(AND($C132="Görüşme",$N132=""),"SONRAKİ İŞLEM EKSİK",IF($I132="","TARİH EKSİK",IF($I132&lt;TODAY(),"GECİKMİŞ",IF($I132=TODAY(),"BUGÜN",IF($I132&lt;=TODAY()+7,"7 GÜN İÇİNDE","PLANLI"))))))))</f>
        <v/>
      </c>
      <c r="R132" s="6" t="n"/>
      <c r="S132" s="6" t="n"/>
      <c r="T132" s="3" t="n"/>
      <c r="U132" s="3">
        <f>IF($E132="","",UPPER(SUBSTITUTE(SUBSTITUTE(SUBSTITUTE(SUBSTITUTE(SUBSTITUTE(SUBSTITUTE(SUBSTITUTE(SUBSTITUTE(SUBSTITUTE(SUBSTITUTE(SUBSTITUTE(SUBSTITUTE(SUBSTITUTE(SUBSTITUTE(SUBSTITUTE(SUBSTITUTE(SUBSTITUTE(SUBSTITUTE(TRIM($E132),"'",""),"İ","I"),"ı","I"),"i","I"),"Ş","S"),"ş","S"),"Ğ","G"),"ğ","G"),"Ü","U"),"ü","U"),"Ö","O"),"ö","O"),"Ç","C"),"ç","C"),".",""),",","")," ",""),"-","")))</f>
        <v/>
      </c>
    </row>
    <row r="133">
      <c r="A133" s="6" t="n"/>
      <c r="B133" s="113">
        <f>IF($E133="","","A"&amp;TEXT(ROW()-6,"00000"))</f>
        <v/>
      </c>
      <c r="C133" s="108" t="n"/>
      <c r="D133" s="113">
        <f>IF($E133="","",IFERROR(INDEX(MUSTERILER!$B$7:$B$106,MATCH($U133,MUSTERILER!$T$7:$T$106,0)),IFERROR(INDEX(MUSTERILER!$B$7:$B$106,MATCH($E133,MUSTERILER!$B$7:$B$106,0)),IFERROR(INDEX(MUSTERILER!$B$7:$B$106,MATCH($U133&amp;"*",MUSTERILER!$T$7:$T$106,0)),"TANIMSIZ MÜŞTERİ"))))</f>
        <v/>
      </c>
      <c r="E133" s="109" t="n"/>
      <c r="F133" s="109" t="n"/>
      <c r="G133" s="108" t="n"/>
      <c r="H133" s="220" t="n"/>
      <c r="I133" s="220" t="n"/>
      <c r="J133" s="108" t="n"/>
      <c r="K133" s="108" t="n"/>
      <c r="L133" s="109" t="n"/>
      <c r="M133" s="109" t="n"/>
      <c r="N133" s="109" t="n"/>
      <c r="O133" s="220" t="n"/>
      <c r="P133" s="227">
        <f>IF(OR($E133="",$I133=""),"",IF(OR($J133="Tamamlandı",$J133="İptal"),"",$I133-TODAY()))</f>
        <v/>
      </c>
      <c r="Q133" s="113">
        <f>IF($E133="","",IF($D133="TANIMSIZ MÜŞTERİ","HATA",IF(OR($J133="Tamamlandı",$J133="İptal"),"KAPALI",IF(AND($C133="Görüşme",$N133=""),"SONRAKİ İŞLEM EKSİK",IF($I133="","TARİH EKSİK",IF($I133&lt;TODAY(),"GECİKMİŞ",IF($I133=TODAY(),"BUGÜN",IF($I133&lt;=TODAY()+7,"7 GÜN İÇİNDE","PLANLI"))))))))</f>
        <v/>
      </c>
      <c r="R133" s="6" t="n"/>
      <c r="S133" s="6" t="n"/>
      <c r="T133" s="3" t="n"/>
      <c r="U133" s="3">
        <f>IF($E133="","",UPPER(SUBSTITUTE(SUBSTITUTE(SUBSTITUTE(SUBSTITUTE(SUBSTITUTE(SUBSTITUTE(SUBSTITUTE(SUBSTITUTE(SUBSTITUTE(SUBSTITUTE(SUBSTITUTE(SUBSTITUTE(SUBSTITUTE(SUBSTITUTE(SUBSTITUTE(SUBSTITUTE(SUBSTITUTE(SUBSTITUTE(TRIM($E133),"'",""),"İ","I"),"ı","I"),"i","I"),"Ş","S"),"ş","S"),"Ğ","G"),"ğ","G"),"Ü","U"),"ü","U"),"Ö","O"),"ö","O"),"Ç","C"),"ç","C"),".",""),",","")," ",""),"-","")))</f>
        <v/>
      </c>
    </row>
    <row r="134">
      <c r="A134" s="6" t="n"/>
      <c r="B134" s="113">
        <f>IF($E134="","","A"&amp;TEXT(ROW()-6,"00000"))</f>
        <v/>
      </c>
      <c r="C134" s="108" t="n"/>
      <c r="D134" s="113">
        <f>IF($E134="","",IFERROR(INDEX(MUSTERILER!$B$7:$B$106,MATCH($U134,MUSTERILER!$T$7:$T$106,0)),IFERROR(INDEX(MUSTERILER!$B$7:$B$106,MATCH($E134,MUSTERILER!$B$7:$B$106,0)),IFERROR(INDEX(MUSTERILER!$B$7:$B$106,MATCH($U134&amp;"*",MUSTERILER!$T$7:$T$106,0)),"TANIMSIZ MÜŞTERİ"))))</f>
        <v/>
      </c>
      <c r="E134" s="109" t="n"/>
      <c r="F134" s="109" t="n"/>
      <c r="G134" s="108" t="n"/>
      <c r="H134" s="220" t="n"/>
      <c r="I134" s="220" t="n"/>
      <c r="J134" s="108" t="n"/>
      <c r="K134" s="108" t="n"/>
      <c r="L134" s="109" t="n"/>
      <c r="M134" s="109" t="n"/>
      <c r="N134" s="109" t="n"/>
      <c r="O134" s="220" t="n"/>
      <c r="P134" s="227">
        <f>IF(OR($E134="",$I134=""),"",IF(OR($J134="Tamamlandı",$J134="İptal"),"",$I134-TODAY()))</f>
        <v/>
      </c>
      <c r="Q134" s="113">
        <f>IF($E134="","",IF($D134="TANIMSIZ MÜŞTERİ","HATA",IF(OR($J134="Tamamlandı",$J134="İptal"),"KAPALI",IF(AND($C134="Görüşme",$N134=""),"SONRAKİ İŞLEM EKSİK",IF($I134="","TARİH EKSİK",IF($I134&lt;TODAY(),"GECİKMİŞ",IF($I134=TODAY(),"BUGÜN",IF($I134&lt;=TODAY()+7,"7 GÜN İÇİNDE","PLANLI"))))))))</f>
        <v/>
      </c>
      <c r="R134" s="6" t="n"/>
      <c r="S134" s="6" t="n"/>
      <c r="T134" s="3" t="n"/>
      <c r="U134" s="3">
        <f>IF($E134="","",UPPER(SUBSTITUTE(SUBSTITUTE(SUBSTITUTE(SUBSTITUTE(SUBSTITUTE(SUBSTITUTE(SUBSTITUTE(SUBSTITUTE(SUBSTITUTE(SUBSTITUTE(SUBSTITUTE(SUBSTITUTE(SUBSTITUTE(SUBSTITUTE(SUBSTITUTE(SUBSTITUTE(SUBSTITUTE(SUBSTITUTE(TRIM($E134),"'",""),"İ","I"),"ı","I"),"i","I"),"Ş","S"),"ş","S"),"Ğ","G"),"ğ","G"),"Ü","U"),"ü","U"),"Ö","O"),"ö","O"),"Ç","C"),"ç","C"),".",""),",","")," ",""),"-","")))</f>
        <v/>
      </c>
    </row>
    <row r="135">
      <c r="A135" s="6" t="n"/>
      <c r="B135" s="113">
        <f>IF($E135="","","A"&amp;TEXT(ROW()-6,"00000"))</f>
        <v/>
      </c>
      <c r="C135" s="108" t="n"/>
      <c r="D135" s="113">
        <f>IF($E135="","",IFERROR(INDEX(MUSTERILER!$B$7:$B$106,MATCH($U135,MUSTERILER!$T$7:$T$106,0)),IFERROR(INDEX(MUSTERILER!$B$7:$B$106,MATCH($E135,MUSTERILER!$B$7:$B$106,0)),IFERROR(INDEX(MUSTERILER!$B$7:$B$106,MATCH($U135&amp;"*",MUSTERILER!$T$7:$T$106,0)),"TANIMSIZ MÜŞTERİ"))))</f>
        <v/>
      </c>
      <c r="E135" s="109" t="n"/>
      <c r="F135" s="109" t="n"/>
      <c r="G135" s="108" t="n"/>
      <c r="H135" s="220" t="n"/>
      <c r="I135" s="220" t="n"/>
      <c r="J135" s="108" t="n"/>
      <c r="K135" s="108" t="n"/>
      <c r="L135" s="109" t="n"/>
      <c r="M135" s="109" t="n"/>
      <c r="N135" s="109" t="n"/>
      <c r="O135" s="220" t="n"/>
      <c r="P135" s="227">
        <f>IF(OR($E135="",$I135=""),"",IF(OR($J135="Tamamlandı",$J135="İptal"),"",$I135-TODAY()))</f>
        <v/>
      </c>
      <c r="Q135" s="113">
        <f>IF($E135="","",IF($D135="TANIMSIZ MÜŞTERİ","HATA",IF(OR($J135="Tamamlandı",$J135="İptal"),"KAPALI",IF(AND($C135="Görüşme",$N135=""),"SONRAKİ İŞLEM EKSİK",IF($I135="","TARİH EKSİK",IF($I135&lt;TODAY(),"GECİKMİŞ",IF($I135=TODAY(),"BUGÜN",IF($I135&lt;=TODAY()+7,"7 GÜN İÇİNDE","PLANLI"))))))))</f>
        <v/>
      </c>
      <c r="R135" s="6" t="n"/>
      <c r="S135" s="6" t="n"/>
      <c r="T135" s="3" t="n"/>
      <c r="U135" s="3">
        <f>IF($E135="","",UPPER(SUBSTITUTE(SUBSTITUTE(SUBSTITUTE(SUBSTITUTE(SUBSTITUTE(SUBSTITUTE(SUBSTITUTE(SUBSTITUTE(SUBSTITUTE(SUBSTITUTE(SUBSTITUTE(SUBSTITUTE(SUBSTITUTE(SUBSTITUTE(SUBSTITUTE(SUBSTITUTE(SUBSTITUTE(SUBSTITUTE(TRIM($E135),"'",""),"İ","I"),"ı","I"),"i","I"),"Ş","S"),"ş","S"),"Ğ","G"),"ğ","G"),"Ü","U"),"ü","U"),"Ö","O"),"ö","O"),"Ç","C"),"ç","C"),".",""),",","")," ",""),"-","")))</f>
        <v/>
      </c>
    </row>
    <row r="136">
      <c r="A136" s="6" t="n"/>
      <c r="B136" s="113">
        <f>IF($E136="","","A"&amp;TEXT(ROW()-6,"00000"))</f>
        <v/>
      </c>
      <c r="C136" s="108" t="n"/>
      <c r="D136" s="113">
        <f>IF($E136="","",IFERROR(INDEX(MUSTERILER!$B$7:$B$106,MATCH($U136,MUSTERILER!$T$7:$T$106,0)),IFERROR(INDEX(MUSTERILER!$B$7:$B$106,MATCH($E136,MUSTERILER!$B$7:$B$106,0)),IFERROR(INDEX(MUSTERILER!$B$7:$B$106,MATCH($U136&amp;"*",MUSTERILER!$T$7:$T$106,0)),"TANIMSIZ MÜŞTERİ"))))</f>
        <v/>
      </c>
      <c r="E136" s="109" t="n"/>
      <c r="F136" s="109" t="n"/>
      <c r="G136" s="108" t="n"/>
      <c r="H136" s="220" t="n"/>
      <c r="I136" s="220" t="n"/>
      <c r="J136" s="108" t="n"/>
      <c r="K136" s="108" t="n"/>
      <c r="L136" s="109" t="n"/>
      <c r="M136" s="109" t="n"/>
      <c r="N136" s="109" t="n"/>
      <c r="O136" s="220" t="n"/>
      <c r="P136" s="227">
        <f>IF(OR($E136="",$I136=""),"",IF(OR($J136="Tamamlandı",$J136="İptal"),"",$I136-TODAY()))</f>
        <v/>
      </c>
      <c r="Q136" s="113">
        <f>IF($E136="","",IF($D136="TANIMSIZ MÜŞTERİ","HATA",IF(OR($J136="Tamamlandı",$J136="İptal"),"KAPALI",IF(AND($C136="Görüşme",$N136=""),"SONRAKİ İŞLEM EKSİK",IF($I136="","TARİH EKSİK",IF($I136&lt;TODAY(),"GECİKMİŞ",IF($I136=TODAY(),"BUGÜN",IF($I136&lt;=TODAY()+7,"7 GÜN İÇİNDE","PLANLI"))))))))</f>
        <v/>
      </c>
      <c r="R136" s="6" t="n"/>
      <c r="S136" s="6" t="n"/>
      <c r="T136" s="3" t="n"/>
      <c r="U136" s="3">
        <f>IF($E136="","",UPPER(SUBSTITUTE(SUBSTITUTE(SUBSTITUTE(SUBSTITUTE(SUBSTITUTE(SUBSTITUTE(SUBSTITUTE(SUBSTITUTE(SUBSTITUTE(SUBSTITUTE(SUBSTITUTE(SUBSTITUTE(SUBSTITUTE(SUBSTITUTE(SUBSTITUTE(SUBSTITUTE(SUBSTITUTE(SUBSTITUTE(TRIM($E136),"'",""),"İ","I"),"ı","I"),"i","I"),"Ş","S"),"ş","S"),"Ğ","G"),"ğ","G"),"Ü","U"),"ü","U"),"Ö","O"),"ö","O"),"Ç","C"),"ç","C"),".",""),",","")," ",""),"-","")))</f>
        <v/>
      </c>
    </row>
    <row r="137">
      <c r="A137" s="6" t="n"/>
      <c r="B137" s="113">
        <f>IF($E137="","","A"&amp;TEXT(ROW()-6,"00000"))</f>
        <v/>
      </c>
      <c r="C137" s="108" t="n"/>
      <c r="D137" s="113">
        <f>IF($E137="","",IFERROR(INDEX(MUSTERILER!$B$7:$B$106,MATCH($U137,MUSTERILER!$T$7:$T$106,0)),IFERROR(INDEX(MUSTERILER!$B$7:$B$106,MATCH($E137,MUSTERILER!$B$7:$B$106,0)),IFERROR(INDEX(MUSTERILER!$B$7:$B$106,MATCH($U137&amp;"*",MUSTERILER!$T$7:$T$106,0)),"TANIMSIZ MÜŞTERİ"))))</f>
        <v/>
      </c>
      <c r="E137" s="109" t="n"/>
      <c r="F137" s="109" t="n"/>
      <c r="G137" s="108" t="n"/>
      <c r="H137" s="220" t="n"/>
      <c r="I137" s="220" t="n"/>
      <c r="J137" s="108" t="n"/>
      <c r="K137" s="108" t="n"/>
      <c r="L137" s="109" t="n"/>
      <c r="M137" s="109" t="n"/>
      <c r="N137" s="109" t="n"/>
      <c r="O137" s="220" t="n"/>
      <c r="P137" s="227">
        <f>IF(OR($E137="",$I137=""),"",IF(OR($J137="Tamamlandı",$J137="İptal"),"",$I137-TODAY()))</f>
        <v/>
      </c>
      <c r="Q137" s="113">
        <f>IF($E137="","",IF($D137="TANIMSIZ MÜŞTERİ","HATA",IF(OR($J137="Tamamlandı",$J137="İptal"),"KAPALI",IF(AND($C137="Görüşme",$N137=""),"SONRAKİ İŞLEM EKSİK",IF($I137="","TARİH EKSİK",IF($I137&lt;TODAY(),"GECİKMİŞ",IF($I137=TODAY(),"BUGÜN",IF($I137&lt;=TODAY()+7,"7 GÜN İÇİNDE","PLANLI"))))))))</f>
        <v/>
      </c>
      <c r="R137" s="6" t="n"/>
      <c r="S137" s="6" t="n"/>
      <c r="T137" s="3" t="n"/>
      <c r="U137" s="3">
        <f>IF($E137="","",UPPER(SUBSTITUTE(SUBSTITUTE(SUBSTITUTE(SUBSTITUTE(SUBSTITUTE(SUBSTITUTE(SUBSTITUTE(SUBSTITUTE(SUBSTITUTE(SUBSTITUTE(SUBSTITUTE(SUBSTITUTE(SUBSTITUTE(SUBSTITUTE(SUBSTITUTE(SUBSTITUTE(SUBSTITUTE(SUBSTITUTE(TRIM($E137),"'",""),"İ","I"),"ı","I"),"i","I"),"Ş","S"),"ş","S"),"Ğ","G"),"ğ","G"),"Ü","U"),"ü","U"),"Ö","O"),"ö","O"),"Ç","C"),"ç","C"),".",""),",","")," ",""),"-","")))</f>
        <v/>
      </c>
    </row>
    <row r="138">
      <c r="A138" s="6" t="n"/>
      <c r="B138" s="113">
        <f>IF($E138="","","A"&amp;TEXT(ROW()-6,"00000"))</f>
        <v/>
      </c>
      <c r="C138" s="108" t="n"/>
      <c r="D138" s="113">
        <f>IF($E138="","",IFERROR(INDEX(MUSTERILER!$B$7:$B$106,MATCH($U138,MUSTERILER!$T$7:$T$106,0)),IFERROR(INDEX(MUSTERILER!$B$7:$B$106,MATCH($E138,MUSTERILER!$B$7:$B$106,0)),IFERROR(INDEX(MUSTERILER!$B$7:$B$106,MATCH($U138&amp;"*",MUSTERILER!$T$7:$T$106,0)),"TANIMSIZ MÜŞTERİ"))))</f>
        <v/>
      </c>
      <c r="E138" s="109" t="n"/>
      <c r="F138" s="109" t="n"/>
      <c r="G138" s="108" t="n"/>
      <c r="H138" s="220" t="n"/>
      <c r="I138" s="220" t="n"/>
      <c r="J138" s="108" t="n"/>
      <c r="K138" s="108" t="n"/>
      <c r="L138" s="109" t="n"/>
      <c r="M138" s="109" t="n"/>
      <c r="N138" s="109" t="n"/>
      <c r="O138" s="220" t="n"/>
      <c r="P138" s="227">
        <f>IF(OR($E138="",$I138=""),"",IF(OR($J138="Tamamlandı",$J138="İptal"),"",$I138-TODAY()))</f>
        <v/>
      </c>
      <c r="Q138" s="113">
        <f>IF($E138="","",IF($D138="TANIMSIZ MÜŞTERİ","HATA",IF(OR($J138="Tamamlandı",$J138="İptal"),"KAPALI",IF(AND($C138="Görüşme",$N138=""),"SONRAKİ İŞLEM EKSİK",IF($I138="","TARİH EKSİK",IF($I138&lt;TODAY(),"GECİKMİŞ",IF($I138=TODAY(),"BUGÜN",IF($I138&lt;=TODAY()+7,"7 GÜN İÇİNDE","PLANLI"))))))))</f>
        <v/>
      </c>
      <c r="R138" s="6" t="n"/>
      <c r="S138" s="6" t="n"/>
      <c r="T138" s="3" t="n"/>
      <c r="U138" s="3">
        <f>IF($E138="","",UPPER(SUBSTITUTE(SUBSTITUTE(SUBSTITUTE(SUBSTITUTE(SUBSTITUTE(SUBSTITUTE(SUBSTITUTE(SUBSTITUTE(SUBSTITUTE(SUBSTITUTE(SUBSTITUTE(SUBSTITUTE(SUBSTITUTE(SUBSTITUTE(SUBSTITUTE(SUBSTITUTE(SUBSTITUTE(SUBSTITUTE(TRIM($E138),"'",""),"İ","I"),"ı","I"),"i","I"),"Ş","S"),"ş","S"),"Ğ","G"),"ğ","G"),"Ü","U"),"ü","U"),"Ö","O"),"ö","O"),"Ç","C"),"ç","C"),".",""),",","")," ",""),"-","")))</f>
        <v/>
      </c>
    </row>
    <row r="139">
      <c r="A139" s="6" t="n"/>
      <c r="B139" s="113">
        <f>IF($E139="","","A"&amp;TEXT(ROW()-6,"00000"))</f>
        <v/>
      </c>
      <c r="C139" s="108" t="n"/>
      <c r="D139" s="113">
        <f>IF($E139="","",IFERROR(INDEX(MUSTERILER!$B$7:$B$106,MATCH($U139,MUSTERILER!$T$7:$T$106,0)),IFERROR(INDEX(MUSTERILER!$B$7:$B$106,MATCH($E139,MUSTERILER!$B$7:$B$106,0)),IFERROR(INDEX(MUSTERILER!$B$7:$B$106,MATCH($U139&amp;"*",MUSTERILER!$T$7:$T$106,0)),"TANIMSIZ MÜŞTERİ"))))</f>
        <v/>
      </c>
      <c r="E139" s="109" t="n"/>
      <c r="F139" s="109" t="n"/>
      <c r="G139" s="108" t="n"/>
      <c r="H139" s="220" t="n"/>
      <c r="I139" s="220" t="n"/>
      <c r="J139" s="108" t="n"/>
      <c r="K139" s="108" t="n"/>
      <c r="L139" s="109" t="n"/>
      <c r="M139" s="109" t="n"/>
      <c r="N139" s="109" t="n"/>
      <c r="O139" s="220" t="n"/>
      <c r="P139" s="227">
        <f>IF(OR($E139="",$I139=""),"",IF(OR($J139="Tamamlandı",$J139="İptal"),"",$I139-TODAY()))</f>
        <v/>
      </c>
      <c r="Q139" s="113">
        <f>IF($E139="","",IF($D139="TANIMSIZ MÜŞTERİ","HATA",IF(OR($J139="Tamamlandı",$J139="İptal"),"KAPALI",IF(AND($C139="Görüşme",$N139=""),"SONRAKİ İŞLEM EKSİK",IF($I139="","TARİH EKSİK",IF($I139&lt;TODAY(),"GECİKMİŞ",IF($I139=TODAY(),"BUGÜN",IF($I139&lt;=TODAY()+7,"7 GÜN İÇİNDE","PLANLI"))))))))</f>
        <v/>
      </c>
      <c r="R139" s="6" t="n"/>
      <c r="S139" s="6" t="n"/>
      <c r="T139" s="3" t="n"/>
      <c r="U139" s="3">
        <f>IF($E139="","",UPPER(SUBSTITUTE(SUBSTITUTE(SUBSTITUTE(SUBSTITUTE(SUBSTITUTE(SUBSTITUTE(SUBSTITUTE(SUBSTITUTE(SUBSTITUTE(SUBSTITUTE(SUBSTITUTE(SUBSTITUTE(SUBSTITUTE(SUBSTITUTE(SUBSTITUTE(SUBSTITUTE(SUBSTITUTE(SUBSTITUTE(TRIM($E139),"'",""),"İ","I"),"ı","I"),"i","I"),"Ş","S"),"ş","S"),"Ğ","G"),"ğ","G"),"Ü","U"),"ü","U"),"Ö","O"),"ö","O"),"Ç","C"),"ç","C"),".",""),",","")," ",""),"-","")))</f>
        <v/>
      </c>
    </row>
    <row r="140">
      <c r="A140" s="6" t="n"/>
      <c r="B140" s="113">
        <f>IF($E140="","","A"&amp;TEXT(ROW()-6,"00000"))</f>
        <v/>
      </c>
      <c r="C140" s="108" t="n"/>
      <c r="D140" s="113">
        <f>IF($E140="","",IFERROR(INDEX(MUSTERILER!$B$7:$B$106,MATCH($U140,MUSTERILER!$T$7:$T$106,0)),IFERROR(INDEX(MUSTERILER!$B$7:$B$106,MATCH($E140,MUSTERILER!$B$7:$B$106,0)),IFERROR(INDEX(MUSTERILER!$B$7:$B$106,MATCH($U140&amp;"*",MUSTERILER!$T$7:$T$106,0)),"TANIMSIZ MÜŞTERİ"))))</f>
        <v/>
      </c>
      <c r="E140" s="109" t="n"/>
      <c r="F140" s="109" t="n"/>
      <c r="G140" s="108" t="n"/>
      <c r="H140" s="220" t="n"/>
      <c r="I140" s="220" t="n"/>
      <c r="J140" s="108" t="n"/>
      <c r="K140" s="108" t="n"/>
      <c r="L140" s="109" t="n"/>
      <c r="M140" s="109" t="n"/>
      <c r="N140" s="109" t="n"/>
      <c r="O140" s="220" t="n"/>
      <c r="P140" s="227">
        <f>IF(OR($E140="",$I140=""),"",IF(OR($J140="Tamamlandı",$J140="İptal"),"",$I140-TODAY()))</f>
        <v/>
      </c>
      <c r="Q140" s="113">
        <f>IF($E140="","",IF($D140="TANIMSIZ MÜŞTERİ","HATA",IF(OR($J140="Tamamlandı",$J140="İptal"),"KAPALI",IF(AND($C140="Görüşme",$N140=""),"SONRAKİ İŞLEM EKSİK",IF($I140="","TARİH EKSİK",IF($I140&lt;TODAY(),"GECİKMİŞ",IF($I140=TODAY(),"BUGÜN",IF($I140&lt;=TODAY()+7,"7 GÜN İÇİNDE","PLANLI"))))))))</f>
        <v/>
      </c>
      <c r="R140" s="6" t="n"/>
      <c r="S140" s="6" t="n"/>
      <c r="T140" s="3" t="n"/>
      <c r="U140" s="3">
        <f>IF($E140="","",UPPER(SUBSTITUTE(SUBSTITUTE(SUBSTITUTE(SUBSTITUTE(SUBSTITUTE(SUBSTITUTE(SUBSTITUTE(SUBSTITUTE(SUBSTITUTE(SUBSTITUTE(SUBSTITUTE(SUBSTITUTE(SUBSTITUTE(SUBSTITUTE(SUBSTITUTE(SUBSTITUTE(SUBSTITUTE(SUBSTITUTE(TRIM($E140),"'",""),"İ","I"),"ı","I"),"i","I"),"Ş","S"),"ş","S"),"Ğ","G"),"ğ","G"),"Ü","U"),"ü","U"),"Ö","O"),"ö","O"),"Ç","C"),"ç","C"),".",""),",","")," ",""),"-","")))</f>
        <v/>
      </c>
    </row>
    <row r="141">
      <c r="A141" s="6" t="n"/>
      <c r="B141" s="113">
        <f>IF($E141="","","A"&amp;TEXT(ROW()-6,"00000"))</f>
        <v/>
      </c>
      <c r="C141" s="108" t="n"/>
      <c r="D141" s="113">
        <f>IF($E141="","",IFERROR(INDEX(MUSTERILER!$B$7:$B$106,MATCH($U141,MUSTERILER!$T$7:$T$106,0)),IFERROR(INDEX(MUSTERILER!$B$7:$B$106,MATCH($E141,MUSTERILER!$B$7:$B$106,0)),IFERROR(INDEX(MUSTERILER!$B$7:$B$106,MATCH($U141&amp;"*",MUSTERILER!$T$7:$T$106,0)),"TANIMSIZ MÜŞTERİ"))))</f>
        <v/>
      </c>
      <c r="E141" s="109" t="n"/>
      <c r="F141" s="109" t="n"/>
      <c r="G141" s="108" t="n"/>
      <c r="H141" s="220" t="n"/>
      <c r="I141" s="220" t="n"/>
      <c r="J141" s="108" t="n"/>
      <c r="K141" s="108" t="n"/>
      <c r="L141" s="109" t="n"/>
      <c r="M141" s="109" t="n"/>
      <c r="N141" s="109" t="n"/>
      <c r="O141" s="220" t="n"/>
      <c r="P141" s="227">
        <f>IF(OR($E141="",$I141=""),"",IF(OR($J141="Tamamlandı",$J141="İptal"),"",$I141-TODAY()))</f>
        <v/>
      </c>
      <c r="Q141" s="113">
        <f>IF($E141="","",IF($D141="TANIMSIZ MÜŞTERİ","HATA",IF(OR($J141="Tamamlandı",$J141="İptal"),"KAPALI",IF(AND($C141="Görüşme",$N141=""),"SONRAKİ İŞLEM EKSİK",IF($I141="","TARİH EKSİK",IF($I141&lt;TODAY(),"GECİKMİŞ",IF($I141=TODAY(),"BUGÜN",IF($I141&lt;=TODAY()+7,"7 GÜN İÇİNDE","PLANLI"))))))))</f>
        <v/>
      </c>
      <c r="R141" s="6" t="n"/>
      <c r="S141" s="6" t="n"/>
      <c r="T141" s="3" t="n"/>
      <c r="U141" s="3">
        <f>IF($E141="","",UPPER(SUBSTITUTE(SUBSTITUTE(SUBSTITUTE(SUBSTITUTE(SUBSTITUTE(SUBSTITUTE(SUBSTITUTE(SUBSTITUTE(SUBSTITUTE(SUBSTITUTE(SUBSTITUTE(SUBSTITUTE(SUBSTITUTE(SUBSTITUTE(SUBSTITUTE(SUBSTITUTE(SUBSTITUTE(SUBSTITUTE(TRIM($E141),"'",""),"İ","I"),"ı","I"),"i","I"),"Ş","S"),"ş","S"),"Ğ","G"),"ğ","G"),"Ü","U"),"ü","U"),"Ö","O"),"ö","O"),"Ç","C"),"ç","C"),".",""),",","")," ",""),"-","")))</f>
        <v/>
      </c>
    </row>
    <row r="142">
      <c r="A142" s="6" t="n"/>
      <c r="B142" s="113">
        <f>IF($E142="","","A"&amp;TEXT(ROW()-6,"00000"))</f>
        <v/>
      </c>
      <c r="C142" s="108" t="n"/>
      <c r="D142" s="113">
        <f>IF($E142="","",IFERROR(INDEX(MUSTERILER!$B$7:$B$106,MATCH($U142,MUSTERILER!$T$7:$T$106,0)),IFERROR(INDEX(MUSTERILER!$B$7:$B$106,MATCH($E142,MUSTERILER!$B$7:$B$106,0)),IFERROR(INDEX(MUSTERILER!$B$7:$B$106,MATCH($U142&amp;"*",MUSTERILER!$T$7:$T$106,0)),"TANIMSIZ MÜŞTERİ"))))</f>
        <v/>
      </c>
      <c r="E142" s="109" t="n"/>
      <c r="F142" s="109" t="n"/>
      <c r="G142" s="108" t="n"/>
      <c r="H142" s="220" t="n"/>
      <c r="I142" s="220" t="n"/>
      <c r="J142" s="108" t="n"/>
      <c r="K142" s="108" t="n"/>
      <c r="L142" s="109" t="n"/>
      <c r="M142" s="109" t="n"/>
      <c r="N142" s="109" t="n"/>
      <c r="O142" s="220" t="n"/>
      <c r="P142" s="227">
        <f>IF(OR($E142="",$I142=""),"",IF(OR($J142="Tamamlandı",$J142="İptal"),"",$I142-TODAY()))</f>
        <v/>
      </c>
      <c r="Q142" s="113">
        <f>IF($E142="","",IF($D142="TANIMSIZ MÜŞTERİ","HATA",IF(OR($J142="Tamamlandı",$J142="İptal"),"KAPALI",IF(AND($C142="Görüşme",$N142=""),"SONRAKİ İŞLEM EKSİK",IF($I142="","TARİH EKSİK",IF($I142&lt;TODAY(),"GECİKMİŞ",IF($I142=TODAY(),"BUGÜN",IF($I142&lt;=TODAY()+7,"7 GÜN İÇİNDE","PLANLI"))))))))</f>
        <v/>
      </c>
      <c r="R142" s="6" t="n"/>
      <c r="S142" s="6" t="n"/>
      <c r="T142" s="3" t="n"/>
      <c r="U142" s="3">
        <f>IF($E142="","",UPPER(SUBSTITUTE(SUBSTITUTE(SUBSTITUTE(SUBSTITUTE(SUBSTITUTE(SUBSTITUTE(SUBSTITUTE(SUBSTITUTE(SUBSTITUTE(SUBSTITUTE(SUBSTITUTE(SUBSTITUTE(SUBSTITUTE(SUBSTITUTE(SUBSTITUTE(SUBSTITUTE(SUBSTITUTE(SUBSTITUTE(TRIM($E142),"'",""),"İ","I"),"ı","I"),"i","I"),"Ş","S"),"ş","S"),"Ğ","G"),"ğ","G"),"Ü","U"),"ü","U"),"Ö","O"),"ö","O"),"Ç","C"),"ç","C"),".",""),",","")," ",""),"-","")))</f>
        <v/>
      </c>
    </row>
    <row r="143">
      <c r="A143" s="6" t="n"/>
      <c r="B143" s="113">
        <f>IF($E143="","","A"&amp;TEXT(ROW()-6,"00000"))</f>
        <v/>
      </c>
      <c r="C143" s="108" t="n"/>
      <c r="D143" s="113">
        <f>IF($E143="","",IFERROR(INDEX(MUSTERILER!$B$7:$B$106,MATCH($U143,MUSTERILER!$T$7:$T$106,0)),IFERROR(INDEX(MUSTERILER!$B$7:$B$106,MATCH($E143,MUSTERILER!$B$7:$B$106,0)),IFERROR(INDEX(MUSTERILER!$B$7:$B$106,MATCH($U143&amp;"*",MUSTERILER!$T$7:$T$106,0)),"TANIMSIZ MÜŞTERİ"))))</f>
        <v/>
      </c>
      <c r="E143" s="109" t="n"/>
      <c r="F143" s="109" t="n"/>
      <c r="G143" s="108" t="n"/>
      <c r="H143" s="220" t="n"/>
      <c r="I143" s="220" t="n"/>
      <c r="J143" s="108" t="n"/>
      <c r="K143" s="108" t="n"/>
      <c r="L143" s="109" t="n"/>
      <c r="M143" s="109" t="n"/>
      <c r="N143" s="109" t="n"/>
      <c r="O143" s="220" t="n"/>
      <c r="P143" s="227">
        <f>IF(OR($E143="",$I143=""),"",IF(OR($J143="Tamamlandı",$J143="İptal"),"",$I143-TODAY()))</f>
        <v/>
      </c>
      <c r="Q143" s="113">
        <f>IF($E143="","",IF($D143="TANIMSIZ MÜŞTERİ","HATA",IF(OR($J143="Tamamlandı",$J143="İptal"),"KAPALI",IF(AND($C143="Görüşme",$N143=""),"SONRAKİ İŞLEM EKSİK",IF($I143="","TARİH EKSİK",IF($I143&lt;TODAY(),"GECİKMİŞ",IF($I143=TODAY(),"BUGÜN",IF($I143&lt;=TODAY()+7,"7 GÜN İÇİNDE","PLANLI"))))))))</f>
        <v/>
      </c>
      <c r="R143" s="6" t="n"/>
      <c r="S143" s="6" t="n"/>
      <c r="T143" s="3" t="n"/>
      <c r="U143" s="3">
        <f>IF($E143="","",UPPER(SUBSTITUTE(SUBSTITUTE(SUBSTITUTE(SUBSTITUTE(SUBSTITUTE(SUBSTITUTE(SUBSTITUTE(SUBSTITUTE(SUBSTITUTE(SUBSTITUTE(SUBSTITUTE(SUBSTITUTE(SUBSTITUTE(SUBSTITUTE(SUBSTITUTE(SUBSTITUTE(SUBSTITUTE(SUBSTITUTE(TRIM($E143),"'",""),"İ","I"),"ı","I"),"i","I"),"Ş","S"),"ş","S"),"Ğ","G"),"ğ","G"),"Ü","U"),"ü","U"),"Ö","O"),"ö","O"),"Ç","C"),"ç","C"),".",""),",","")," ",""),"-","")))</f>
        <v/>
      </c>
    </row>
    <row r="144">
      <c r="A144" s="6" t="n"/>
      <c r="B144" s="113">
        <f>IF($E144="","","A"&amp;TEXT(ROW()-6,"00000"))</f>
        <v/>
      </c>
      <c r="C144" s="108" t="n"/>
      <c r="D144" s="113">
        <f>IF($E144="","",IFERROR(INDEX(MUSTERILER!$B$7:$B$106,MATCH($U144,MUSTERILER!$T$7:$T$106,0)),IFERROR(INDEX(MUSTERILER!$B$7:$B$106,MATCH($E144,MUSTERILER!$B$7:$B$106,0)),IFERROR(INDEX(MUSTERILER!$B$7:$B$106,MATCH($U144&amp;"*",MUSTERILER!$T$7:$T$106,0)),"TANIMSIZ MÜŞTERİ"))))</f>
        <v/>
      </c>
      <c r="E144" s="109" t="n"/>
      <c r="F144" s="109" t="n"/>
      <c r="G144" s="108" t="n"/>
      <c r="H144" s="220" t="n"/>
      <c r="I144" s="220" t="n"/>
      <c r="J144" s="108" t="n"/>
      <c r="K144" s="108" t="n"/>
      <c r="L144" s="109" t="n"/>
      <c r="M144" s="109" t="n"/>
      <c r="N144" s="109" t="n"/>
      <c r="O144" s="220" t="n"/>
      <c r="P144" s="227">
        <f>IF(OR($E144="",$I144=""),"",IF(OR($J144="Tamamlandı",$J144="İptal"),"",$I144-TODAY()))</f>
        <v/>
      </c>
      <c r="Q144" s="113">
        <f>IF($E144="","",IF($D144="TANIMSIZ MÜŞTERİ","HATA",IF(OR($J144="Tamamlandı",$J144="İptal"),"KAPALI",IF(AND($C144="Görüşme",$N144=""),"SONRAKİ İŞLEM EKSİK",IF($I144="","TARİH EKSİK",IF($I144&lt;TODAY(),"GECİKMİŞ",IF($I144=TODAY(),"BUGÜN",IF($I144&lt;=TODAY()+7,"7 GÜN İÇİNDE","PLANLI"))))))))</f>
        <v/>
      </c>
      <c r="R144" s="6" t="n"/>
      <c r="S144" s="6" t="n"/>
      <c r="T144" s="3" t="n"/>
      <c r="U144" s="3">
        <f>IF($E144="","",UPPER(SUBSTITUTE(SUBSTITUTE(SUBSTITUTE(SUBSTITUTE(SUBSTITUTE(SUBSTITUTE(SUBSTITUTE(SUBSTITUTE(SUBSTITUTE(SUBSTITUTE(SUBSTITUTE(SUBSTITUTE(SUBSTITUTE(SUBSTITUTE(SUBSTITUTE(SUBSTITUTE(SUBSTITUTE(SUBSTITUTE(TRIM($E144),"'",""),"İ","I"),"ı","I"),"i","I"),"Ş","S"),"ş","S"),"Ğ","G"),"ğ","G"),"Ü","U"),"ü","U"),"Ö","O"),"ö","O"),"Ç","C"),"ç","C"),".",""),",","")," ",""),"-","")))</f>
        <v/>
      </c>
    </row>
    <row r="145">
      <c r="A145" s="6" t="n"/>
      <c r="B145" s="113">
        <f>IF($E145="","","A"&amp;TEXT(ROW()-6,"00000"))</f>
        <v/>
      </c>
      <c r="C145" s="108" t="n"/>
      <c r="D145" s="113">
        <f>IF($E145="","",IFERROR(INDEX(MUSTERILER!$B$7:$B$106,MATCH($U145,MUSTERILER!$T$7:$T$106,0)),IFERROR(INDEX(MUSTERILER!$B$7:$B$106,MATCH($E145,MUSTERILER!$B$7:$B$106,0)),IFERROR(INDEX(MUSTERILER!$B$7:$B$106,MATCH($U145&amp;"*",MUSTERILER!$T$7:$T$106,0)),"TANIMSIZ MÜŞTERİ"))))</f>
        <v/>
      </c>
      <c r="E145" s="109" t="n"/>
      <c r="F145" s="109" t="n"/>
      <c r="G145" s="108" t="n"/>
      <c r="H145" s="220" t="n"/>
      <c r="I145" s="220" t="n"/>
      <c r="J145" s="108" t="n"/>
      <c r="K145" s="108" t="n"/>
      <c r="L145" s="109" t="n"/>
      <c r="M145" s="109" t="n"/>
      <c r="N145" s="109" t="n"/>
      <c r="O145" s="220" t="n"/>
      <c r="P145" s="227">
        <f>IF(OR($E145="",$I145=""),"",IF(OR($J145="Tamamlandı",$J145="İptal"),"",$I145-TODAY()))</f>
        <v/>
      </c>
      <c r="Q145" s="113">
        <f>IF($E145="","",IF($D145="TANIMSIZ MÜŞTERİ","HATA",IF(OR($J145="Tamamlandı",$J145="İptal"),"KAPALI",IF(AND($C145="Görüşme",$N145=""),"SONRAKİ İŞLEM EKSİK",IF($I145="","TARİH EKSİK",IF($I145&lt;TODAY(),"GECİKMİŞ",IF($I145=TODAY(),"BUGÜN",IF($I145&lt;=TODAY()+7,"7 GÜN İÇİNDE","PLANLI"))))))))</f>
        <v/>
      </c>
      <c r="R145" s="6" t="n"/>
      <c r="S145" s="6" t="n"/>
      <c r="T145" s="3" t="n"/>
      <c r="U145" s="3">
        <f>IF($E145="","",UPPER(SUBSTITUTE(SUBSTITUTE(SUBSTITUTE(SUBSTITUTE(SUBSTITUTE(SUBSTITUTE(SUBSTITUTE(SUBSTITUTE(SUBSTITUTE(SUBSTITUTE(SUBSTITUTE(SUBSTITUTE(SUBSTITUTE(SUBSTITUTE(SUBSTITUTE(SUBSTITUTE(SUBSTITUTE(SUBSTITUTE(TRIM($E145),"'",""),"İ","I"),"ı","I"),"i","I"),"Ş","S"),"ş","S"),"Ğ","G"),"ğ","G"),"Ü","U"),"ü","U"),"Ö","O"),"ö","O"),"Ç","C"),"ç","C"),".",""),",","")," ",""),"-","")))</f>
        <v/>
      </c>
    </row>
    <row r="146">
      <c r="A146" s="6" t="n"/>
      <c r="B146" s="113">
        <f>IF($E146="","","A"&amp;TEXT(ROW()-6,"00000"))</f>
        <v/>
      </c>
      <c r="C146" s="108" t="n"/>
      <c r="D146" s="113">
        <f>IF($E146="","",IFERROR(INDEX(MUSTERILER!$B$7:$B$106,MATCH($U146,MUSTERILER!$T$7:$T$106,0)),IFERROR(INDEX(MUSTERILER!$B$7:$B$106,MATCH($E146,MUSTERILER!$B$7:$B$106,0)),IFERROR(INDEX(MUSTERILER!$B$7:$B$106,MATCH($U146&amp;"*",MUSTERILER!$T$7:$T$106,0)),"TANIMSIZ MÜŞTERİ"))))</f>
        <v/>
      </c>
      <c r="E146" s="109" t="n"/>
      <c r="F146" s="109" t="n"/>
      <c r="G146" s="108" t="n"/>
      <c r="H146" s="220" t="n"/>
      <c r="I146" s="220" t="n"/>
      <c r="J146" s="108" t="n"/>
      <c r="K146" s="108" t="n"/>
      <c r="L146" s="109" t="n"/>
      <c r="M146" s="109" t="n"/>
      <c r="N146" s="109" t="n"/>
      <c r="O146" s="220" t="n"/>
      <c r="P146" s="227">
        <f>IF(OR($E146="",$I146=""),"",IF(OR($J146="Tamamlandı",$J146="İptal"),"",$I146-TODAY()))</f>
        <v/>
      </c>
      <c r="Q146" s="113">
        <f>IF($E146="","",IF($D146="TANIMSIZ MÜŞTERİ","HATA",IF(OR($J146="Tamamlandı",$J146="İptal"),"KAPALI",IF(AND($C146="Görüşme",$N146=""),"SONRAKİ İŞLEM EKSİK",IF($I146="","TARİH EKSİK",IF($I146&lt;TODAY(),"GECİKMİŞ",IF($I146=TODAY(),"BUGÜN",IF($I146&lt;=TODAY()+7,"7 GÜN İÇİNDE","PLANLI"))))))))</f>
        <v/>
      </c>
      <c r="R146" s="6" t="n"/>
      <c r="S146" s="6" t="n"/>
      <c r="T146" s="3" t="n"/>
      <c r="U146" s="3">
        <f>IF($E146="","",UPPER(SUBSTITUTE(SUBSTITUTE(SUBSTITUTE(SUBSTITUTE(SUBSTITUTE(SUBSTITUTE(SUBSTITUTE(SUBSTITUTE(SUBSTITUTE(SUBSTITUTE(SUBSTITUTE(SUBSTITUTE(SUBSTITUTE(SUBSTITUTE(SUBSTITUTE(SUBSTITUTE(SUBSTITUTE(SUBSTITUTE(TRIM($E146),"'",""),"İ","I"),"ı","I"),"i","I"),"Ş","S"),"ş","S"),"Ğ","G"),"ğ","G"),"Ü","U"),"ü","U"),"Ö","O"),"ö","O"),"Ç","C"),"ç","C"),".",""),",","")," ",""),"-","")))</f>
        <v/>
      </c>
    </row>
    <row r="147">
      <c r="A147" s="6" t="n"/>
      <c r="B147" s="113">
        <f>IF($E147="","","A"&amp;TEXT(ROW()-6,"00000"))</f>
        <v/>
      </c>
      <c r="C147" s="108" t="n"/>
      <c r="D147" s="113">
        <f>IF($E147="","",IFERROR(INDEX(MUSTERILER!$B$7:$B$106,MATCH($U147,MUSTERILER!$T$7:$T$106,0)),IFERROR(INDEX(MUSTERILER!$B$7:$B$106,MATCH($E147,MUSTERILER!$B$7:$B$106,0)),IFERROR(INDEX(MUSTERILER!$B$7:$B$106,MATCH($U147&amp;"*",MUSTERILER!$T$7:$T$106,0)),"TANIMSIZ MÜŞTERİ"))))</f>
        <v/>
      </c>
      <c r="E147" s="109" t="n"/>
      <c r="F147" s="109" t="n"/>
      <c r="G147" s="108" t="n"/>
      <c r="H147" s="220" t="n"/>
      <c r="I147" s="220" t="n"/>
      <c r="J147" s="108" t="n"/>
      <c r="K147" s="108" t="n"/>
      <c r="L147" s="109" t="n"/>
      <c r="M147" s="109" t="n"/>
      <c r="N147" s="109" t="n"/>
      <c r="O147" s="220" t="n"/>
      <c r="P147" s="227">
        <f>IF(OR($E147="",$I147=""),"",IF(OR($J147="Tamamlandı",$J147="İptal"),"",$I147-TODAY()))</f>
        <v/>
      </c>
      <c r="Q147" s="113">
        <f>IF($E147="","",IF($D147="TANIMSIZ MÜŞTERİ","HATA",IF(OR($J147="Tamamlandı",$J147="İptal"),"KAPALI",IF(AND($C147="Görüşme",$N147=""),"SONRAKİ İŞLEM EKSİK",IF($I147="","TARİH EKSİK",IF($I147&lt;TODAY(),"GECİKMİŞ",IF($I147=TODAY(),"BUGÜN",IF($I147&lt;=TODAY()+7,"7 GÜN İÇİNDE","PLANLI"))))))))</f>
        <v/>
      </c>
      <c r="R147" s="6" t="n"/>
      <c r="S147" s="6" t="n"/>
      <c r="T147" s="3" t="n"/>
      <c r="U147" s="3">
        <f>IF($E147="","",UPPER(SUBSTITUTE(SUBSTITUTE(SUBSTITUTE(SUBSTITUTE(SUBSTITUTE(SUBSTITUTE(SUBSTITUTE(SUBSTITUTE(SUBSTITUTE(SUBSTITUTE(SUBSTITUTE(SUBSTITUTE(SUBSTITUTE(SUBSTITUTE(SUBSTITUTE(SUBSTITUTE(SUBSTITUTE(SUBSTITUTE(TRIM($E147),"'",""),"İ","I"),"ı","I"),"i","I"),"Ş","S"),"ş","S"),"Ğ","G"),"ğ","G"),"Ü","U"),"ü","U"),"Ö","O"),"ö","O"),"Ç","C"),"ç","C"),".",""),",","")," ",""),"-","")))</f>
        <v/>
      </c>
    </row>
    <row r="148">
      <c r="A148" s="6" t="n"/>
      <c r="B148" s="113">
        <f>IF($E148="","","A"&amp;TEXT(ROW()-6,"00000"))</f>
        <v/>
      </c>
      <c r="C148" s="108" t="n"/>
      <c r="D148" s="113">
        <f>IF($E148="","",IFERROR(INDEX(MUSTERILER!$B$7:$B$106,MATCH($U148,MUSTERILER!$T$7:$T$106,0)),IFERROR(INDEX(MUSTERILER!$B$7:$B$106,MATCH($E148,MUSTERILER!$B$7:$B$106,0)),IFERROR(INDEX(MUSTERILER!$B$7:$B$106,MATCH($U148&amp;"*",MUSTERILER!$T$7:$T$106,0)),"TANIMSIZ MÜŞTERİ"))))</f>
        <v/>
      </c>
      <c r="E148" s="109" t="n"/>
      <c r="F148" s="109" t="n"/>
      <c r="G148" s="108" t="n"/>
      <c r="H148" s="220" t="n"/>
      <c r="I148" s="220" t="n"/>
      <c r="J148" s="108" t="n"/>
      <c r="K148" s="108" t="n"/>
      <c r="L148" s="109" t="n"/>
      <c r="M148" s="109" t="n"/>
      <c r="N148" s="109" t="n"/>
      <c r="O148" s="220" t="n"/>
      <c r="P148" s="227">
        <f>IF(OR($E148="",$I148=""),"",IF(OR($J148="Tamamlandı",$J148="İptal"),"",$I148-TODAY()))</f>
        <v/>
      </c>
      <c r="Q148" s="113">
        <f>IF($E148="","",IF($D148="TANIMSIZ MÜŞTERİ","HATA",IF(OR($J148="Tamamlandı",$J148="İptal"),"KAPALI",IF(AND($C148="Görüşme",$N148=""),"SONRAKİ İŞLEM EKSİK",IF($I148="","TARİH EKSİK",IF($I148&lt;TODAY(),"GECİKMİŞ",IF($I148=TODAY(),"BUGÜN",IF($I148&lt;=TODAY()+7,"7 GÜN İÇİNDE","PLANLI"))))))))</f>
        <v/>
      </c>
      <c r="R148" s="6" t="n"/>
      <c r="S148" s="6" t="n"/>
      <c r="T148" s="3" t="n"/>
      <c r="U148" s="3">
        <f>IF($E148="","",UPPER(SUBSTITUTE(SUBSTITUTE(SUBSTITUTE(SUBSTITUTE(SUBSTITUTE(SUBSTITUTE(SUBSTITUTE(SUBSTITUTE(SUBSTITUTE(SUBSTITUTE(SUBSTITUTE(SUBSTITUTE(SUBSTITUTE(SUBSTITUTE(SUBSTITUTE(SUBSTITUTE(SUBSTITUTE(SUBSTITUTE(TRIM($E148),"'",""),"İ","I"),"ı","I"),"i","I"),"Ş","S"),"ş","S"),"Ğ","G"),"ğ","G"),"Ü","U"),"ü","U"),"Ö","O"),"ö","O"),"Ç","C"),"ç","C"),".",""),",","")," ",""),"-","")))</f>
        <v/>
      </c>
    </row>
    <row r="149">
      <c r="A149" s="6" t="n"/>
      <c r="B149" s="113">
        <f>IF($E149="","","A"&amp;TEXT(ROW()-6,"00000"))</f>
        <v/>
      </c>
      <c r="C149" s="108" t="n"/>
      <c r="D149" s="113">
        <f>IF($E149="","",IFERROR(INDEX(MUSTERILER!$B$7:$B$106,MATCH($U149,MUSTERILER!$T$7:$T$106,0)),IFERROR(INDEX(MUSTERILER!$B$7:$B$106,MATCH($E149,MUSTERILER!$B$7:$B$106,0)),IFERROR(INDEX(MUSTERILER!$B$7:$B$106,MATCH($U149&amp;"*",MUSTERILER!$T$7:$T$106,0)),"TANIMSIZ MÜŞTERİ"))))</f>
        <v/>
      </c>
      <c r="E149" s="109" t="n"/>
      <c r="F149" s="109" t="n"/>
      <c r="G149" s="108" t="n"/>
      <c r="H149" s="220" t="n"/>
      <c r="I149" s="220" t="n"/>
      <c r="J149" s="108" t="n"/>
      <c r="K149" s="108" t="n"/>
      <c r="L149" s="109" t="n"/>
      <c r="M149" s="109" t="n"/>
      <c r="N149" s="109" t="n"/>
      <c r="O149" s="220" t="n"/>
      <c r="P149" s="227">
        <f>IF(OR($E149="",$I149=""),"",IF(OR($J149="Tamamlandı",$J149="İptal"),"",$I149-TODAY()))</f>
        <v/>
      </c>
      <c r="Q149" s="113">
        <f>IF($E149="","",IF($D149="TANIMSIZ MÜŞTERİ","HATA",IF(OR($J149="Tamamlandı",$J149="İptal"),"KAPALI",IF(AND($C149="Görüşme",$N149=""),"SONRAKİ İŞLEM EKSİK",IF($I149="","TARİH EKSİK",IF($I149&lt;TODAY(),"GECİKMİŞ",IF($I149=TODAY(),"BUGÜN",IF($I149&lt;=TODAY()+7,"7 GÜN İÇİNDE","PLANLI"))))))))</f>
        <v/>
      </c>
      <c r="R149" s="6" t="n"/>
      <c r="S149" s="6" t="n"/>
      <c r="T149" s="3" t="n"/>
      <c r="U149" s="3">
        <f>IF($E149="","",UPPER(SUBSTITUTE(SUBSTITUTE(SUBSTITUTE(SUBSTITUTE(SUBSTITUTE(SUBSTITUTE(SUBSTITUTE(SUBSTITUTE(SUBSTITUTE(SUBSTITUTE(SUBSTITUTE(SUBSTITUTE(SUBSTITUTE(SUBSTITUTE(SUBSTITUTE(SUBSTITUTE(SUBSTITUTE(SUBSTITUTE(TRIM($E149),"'",""),"İ","I"),"ı","I"),"i","I"),"Ş","S"),"ş","S"),"Ğ","G"),"ğ","G"),"Ü","U"),"ü","U"),"Ö","O"),"ö","O"),"Ç","C"),"ç","C"),".",""),",","")," ",""),"-","")))</f>
        <v/>
      </c>
    </row>
    <row r="150">
      <c r="A150" s="6" t="n"/>
      <c r="B150" s="113">
        <f>IF($E150="","","A"&amp;TEXT(ROW()-6,"00000"))</f>
        <v/>
      </c>
      <c r="C150" s="108" t="n"/>
      <c r="D150" s="113">
        <f>IF($E150="","",IFERROR(INDEX(MUSTERILER!$B$7:$B$106,MATCH($U150,MUSTERILER!$T$7:$T$106,0)),IFERROR(INDEX(MUSTERILER!$B$7:$B$106,MATCH($E150,MUSTERILER!$B$7:$B$106,0)),IFERROR(INDEX(MUSTERILER!$B$7:$B$106,MATCH($U150&amp;"*",MUSTERILER!$T$7:$T$106,0)),"TANIMSIZ MÜŞTERİ"))))</f>
        <v/>
      </c>
      <c r="E150" s="109" t="n"/>
      <c r="F150" s="109" t="n"/>
      <c r="G150" s="108" t="n"/>
      <c r="H150" s="220" t="n"/>
      <c r="I150" s="220" t="n"/>
      <c r="J150" s="108" t="n"/>
      <c r="K150" s="108" t="n"/>
      <c r="L150" s="109" t="n"/>
      <c r="M150" s="109" t="n"/>
      <c r="N150" s="109" t="n"/>
      <c r="O150" s="220" t="n"/>
      <c r="P150" s="227">
        <f>IF(OR($E150="",$I150=""),"",IF(OR($J150="Tamamlandı",$J150="İptal"),"",$I150-TODAY()))</f>
        <v/>
      </c>
      <c r="Q150" s="113">
        <f>IF($E150="","",IF($D150="TANIMSIZ MÜŞTERİ","HATA",IF(OR($J150="Tamamlandı",$J150="İptal"),"KAPALI",IF(AND($C150="Görüşme",$N150=""),"SONRAKİ İŞLEM EKSİK",IF($I150="","TARİH EKSİK",IF($I150&lt;TODAY(),"GECİKMİŞ",IF($I150=TODAY(),"BUGÜN",IF($I150&lt;=TODAY()+7,"7 GÜN İÇİNDE","PLANLI"))))))))</f>
        <v/>
      </c>
      <c r="R150" s="6" t="n"/>
      <c r="S150" s="6" t="n"/>
      <c r="T150" s="3" t="n"/>
      <c r="U150" s="3">
        <f>IF($E150="","",UPPER(SUBSTITUTE(SUBSTITUTE(SUBSTITUTE(SUBSTITUTE(SUBSTITUTE(SUBSTITUTE(SUBSTITUTE(SUBSTITUTE(SUBSTITUTE(SUBSTITUTE(SUBSTITUTE(SUBSTITUTE(SUBSTITUTE(SUBSTITUTE(SUBSTITUTE(SUBSTITUTE(SUBSTITUTE(SUBSTITUTE(TRIM($E150),"'",""),"İ","I"),"ı","I"),"i","I"),"Ş","S"),"ş","S"),"Ğ","G"),"ğ","G"),"Ü","U"),"ü","U"),"Ö","O"),"ö","O"),"Ç","C"),"ç","C"),".",""),",","")," ",""),"-","")))</f>
        <v/>
      </c>
    </row>
    <row r="151">
      <c r="A151" s="6" t="n"/>
      <c r="B151" s="113">
        <f>IF($E151="","","A"&amp;TEXT(ROW()-6,"00000"))</f>
        <v/>
      </c>
      <c r="C151" s="108" t="n"/>
      <c r="D151" s="113">
        <f>IF($E151="","",IFERROR(INDEX(MUSTERILER!$B$7:$B$106,MATCH($U151,MUSTERILER!$T$7:$T$106,0)),IFERROR(INDEX(MUSTERILER!$B$7:$B$106,MATCH($E151,MUSTERILER!$B$7:$B$106,0)),IFERROR(INDEX(MUSTERILER!$B$7:$B$106,MATCH($U151&amp;"*",MUSTERILER!$T$7:$T$106,0)),"TANIMSIZ MÜŞTERİ"))))</f>
        <v/>
      </c>
      <c r="E151" s="109" t="n"/>
      <c r="F151" s="109" t="n"/>
      <c r="G151" s="108" t="n"/>
      <c r="H151" s="220" t="n"/>
      <c r="I151" s="220" t="n"/>
      <c r="J151" s="108" t="n"/>
      <c r="K151" s="108" t="n"/>
      <c r="L151" s="109" t="n"/>
      <c r="M151" s="109" t="n"/>
      <c r="N151" s="109" t="n"/>
      <c r="O151" s="220" t="n"/>
      <c r="P151" s="227">
        <f>IF(OR($E151="",$I151=""),"",IF(OR($J151="Tamamlandı",$J151="İptal"),"",$I151-TODAY()))</f>
        <v/>
      </c>
      <c r="Q151" s="113">
        <f>IF($E151="","",IF($D151="TANIMSIZ MÜŞTERİ","HATA",IF(OR($J151="Tamamlandı",$J151="İptal"),"KAPALI",IF(AND($C151="Görüşme",$N151=""),"SONRAKİ İŞLEM EKSİK",IF($I151="","TARİH EKSİK",IF($I151&lt;TODAY(),"GECİKMİŞ",IF($I151=TODAY(),"BUGÜN",IF($I151&lt;=TODAY()+7,"7 GÜN İÇİNDE","PLANLI"))))))))</f>
        <v/>
      </c>
      <c r="R151" s="6" t="n"/>
      <c r="S151" s="6" t="n"/>
      <c r="T151" s="3" t="n"/>
      <c r="U151" s="3">
        <f>IF($E151="","",UPPER(SUBSTITUTE(SUBSTITUTE(SUBSTITUTE(SUBSTITUTE(SUBSTITUTE(SUBSTITUTE(SUBSTITUTE(SUBSTITUTE(SUBSTITUTE(SUBSTITUTE(SUBSTITUTE(SUBSTITUTE(SUBSTITUTE(SUBSTITUTE(SUBSTITUTE(SUBSTITUTE(SUBSTITUTE(SUBSTITUTE(TRIM($E151),"'",""),"İ","I"),"ı","I"),"i","I"),"Ş","S"),"ş","S"),"Ğ","G"),"ğ","G"),"Ü","U"),"ü","U"),"Ö","O"),"ö","O"),"Ç","C"),"ç","C"),".",""),",","")," ",""),"-","")))</f>
        <v/>
      </c>
    </row>
    <row r="152">
      <c r="A152" s="6" t="n"/>
      <c r="B152" s="113">
        <f>IF($E152="","","A"&amp;TEXT(ROW()-6,"00000"))</f>
        <v/>
      </c>
      <c r="C152" s="108" t="n"/>
      <c r="D152" s="113">
        <f>IF($E152="","",IFERROR(INDEX(MUSTERILER!$B$7:$B$106,MATCH($U152,MUSTERILER!$T$7:$T$106,0)),IFERROR(INDEX(MUSTERILER!$B$7:$B$106,MATCH($E152,MUSTERILER!$B$7:$B$106,0)),IFERROR(INDEX(MUSTERILER!$B$7:$B$106,MATCH($U152&amp;"*",MUSTERILER!$T$7:$T$106,0)),"TANIMSIZ MÜŞTERİ"))))</f>
        <v/>
      </c>
      <c r="E152" s="109" t="n"/>
      <c r="F152" s="109" t="n"/>
      <c r="G152" s="108" t="n"/>
      <c r="H152" s="220" t="n"/>
      <c r="I152" s="220" t="n"/>
      <c r="J152" s="108" t="n"/>
      <c r="K152" s="108" t="n"/>
      <c r="L152" s="109" t="n"/>
      <c r="M152" s="109" t="n"/>
      <c r="N152" s="109" t="n"/>
      <c r="O152" s="220" t="n"/>
      <c r="P152" s="227">
        <f>IF(OR($E152="",$I152=""),"",IF(OR($J152="Tamamlandı",$J152="İptal"),"",$I152-TODAY()))</f>
        <v/>
      </c>
      <c r="Q152" s="113">
        <f>IF($E152="","",IF($D152="TANIMSIZ MÜŞTERİ","HATA",IF(OR($J152="Tamamlandı",$J152="İptal"),"KAPALI",IF(AND($C152="Görüşme",$N152=""),"SONRAKİ İŞLEM EKSİK",IF($I152="","TARİH EKSİK",IF($I152&lt;TODAY(),"GECİKMİŞ",IF($I152=TODAY(),"BUGÜN",IF($I152&lt;=TODAY()+7,"7 GÜN İÇİNDE","PLANLI"))))))))</f>
        <v/>
      </c>
      <c r="R152" s="6" t="n"/>
      <c r="S152" s="6" t="n"/>
      <c r="T152" s="3" t="n"/>
      <c r="U152" s="3">
        <f>IF($E152="","",UPPER(SUBSTITUTE(SUBSTITUTE(SUBSTITUTE(SUBSTITUTE(SUBSTITUTE(SUBSTITUTE(SUBSTITUTE(SUBSTITUTE(SUBSTITUTE(SUBSTITUTE(SUBSTITUTE(SUBSTITUTE(SUBSTITUTE(SUBSTITUTE(SUBSTITUTE(SUBSTITUTE(SUBSTITUTE(SUBSTITUTE(TRIM($E152),"'",""),"İ","I"),"ı","I"),"i","I"),"Ş","S"),"ş","S"),"Ğ","G"),"ğ","G"),"Ü","U"),"ü","U"),"Ö","O"),"ö","O"),"Ç","C"),"ç","C"),".",""),",","")," ",""),"-","")))</f>
        <v/>
      </c>
    </row>
    <row r="153">
      <c r="A153" s="6" t="n"/>
      <c r="B153" s="113">
        <f>IF($E153="","","A"&amp;TEXT(ROW()-6,"00000"))</f>
        <v/>
      </c>
      <c r="C153" s="108" t="n"/>
      <c r="D153" s="113">
        <f>IF($E153="","",IFERROR(INDEX(MUSTERILER!$B$7:$B$106,MATCH($U153,MUSTERILER!$T$7:$T$106,0)),IFERROR(INDEX(MUSTERILER!$B$7:$B$106,MATCH($E153,MUSTERILER!$B$7:$B$106,0)),IFERROR(INDEX(MUSTERILER!$B$7:$B$106,MATCH($U153&amp;"*",MUSTERILER!$T$7:$T$106,0)),"TANIMSIZ MÜŞTERİ"))))</f>
        <v/>
      </c>
      <c r="E153" s="109" t="n"/>
      <c r="F153" s="109" t="n"/>
      <c r="G153" s="108" t="n"/>
      <c r="H153" s="220" t="n"/>
      <c r="I153" s="220" t="n"/>
      <c r="J153" s="108" t="n"/>
      <c r="K153" s="108" t="n"/>
      <c r="L153" s="109" t="n"/>
      <c r="M153" s="109" t="n"/>
      <c r="N153" s="109" t="n"/>
      <c r="O153" s="220" t="n"/>
      <c r="P153" s="227">
        <f>IF(OR($E153="",$I153=""),"",IF(OR($J153="Tamamlandı",$J153="İptal"),"",$I153-TODAY()))</f>
        <v/>
      </c>
      <c r="Q153" s="113">
        <f>IF($E153="","",IF($D153="TANIMSIZ MÜŞTERİ","HATA",IF(OR($J153="Tamamlandı",$J153="İptal"),"KAPALI",IF(AND($C153="Görüşme",$N153=""),"SONRAKİ İŞLEM EKSİK",IF($I153="","TARİH EKSİK",IF($I153&lt;TODAY(),"GECİKMİŞ",IF($I153=TODAY(),"BUGÜN",IF($I153&lt;=TODAY()+7,"7 GÜN İÇİNDE","PLANLI"))))))))</f>
        <v/>
      </c>
      <c r="R153" s="6" t="n"/>
      <c r="S153" s="6" t="n"/>
      <c r="T153" s="3" t="n"/>
      <c r="U153" s="3">
        <f>IF($E153="","",UPPER(SUBSTITUTE(SUBSTITUTE(SUBSTITUTE(SUBSTITUTE(SUBSTITUTE(SUBSTITUTE(SUBSTITUTE(SUBSTITUTE(SUBSTITUTE(SUBSTITUTE(SUBSTITUTE(SUBSTITUTE(SUBSTITUTE(SUBSTITUTE(SUBSTITUTE(SUBSTITUTE(SUBSTITUTE(SUBSTITUTE(TRIM($E153),"'",""),"İ","I"),"ı","I"),"i","I"),"Ş","S"),"ş","S"),"Ğ","G"),"ğ","G"),"Ü","U"),"ü","U"),"Ö","O"),"ö","O"),"Ç","C"),"ç","C"),".",""),",","")," ",""),"-","")))</f>
        <v/>
      </c>
    </row>
    <row r="154">
      <c r="A154" s="6" t="n"/>
      <c r="B154" s="113">
        <f>IF($E154="","","A"&amp;TEXT(ROW()-6,"00000"))</f>
        <v/>
      </c>
      <c r="C154" s="108" t="n"/>
      <c r="D154" s="113">
        <f>IF($E154="","",IFERROR(INDEX(MUSTERILER!$B$7:$B$106,MATCH($U154,MUSTERILER!$T$7:$T$106,0)),IFERROR(INDEX(MUSTERILER!$B$7:$B$106,MATCH($E154,MUSTERILER!$B$7:$B$106,0)),IFERROR(INDEX(MUSTERILER!$B$7:$B$106,MATCH($U154&amp;"*",MUSTERILER!$T$7:$T$106,0)),"TANIMSIZ MÜŞTERİ"))))</f>
        <v/>
      </c>
      <c r="E154" s="109" t="n"/>
      <c r="F154" s="109" t="n"/>
      <c r="G154" s="108" t="n"/>
      <c r="H154" s="220" t="n"/>
      <c r="I154" s="220" t="n"/>
      <c r="J154" s="108" t="n"/>
      <c r="K154" s="108" t="n"/>
      <c r="L154" s="109" t="n"/>
      <c r="M154" s="109" t="n"/>
      <c r="N154" s="109" t="n"/>
      <c r="O154" s="220" t="n"/>
      <c r="P154" s="227">
        <f>IF(OR($E154="",$I154=""),"",IF(OR($J154="Tamamlandı",$J154="İptal"),"",$I154-TODAY()))</f>
        <v/>
      </c>
      <c r="Q154" s="113">
        <f>IF($E154="","",IF($D154="TANIMSIZ MÜŞTERİ","HATA",IF(OR($J154="Tamamlandı",$J154="İptal"),"KAPALI",IF(AND($C154="Görüşme",$N154=""),"SONRAKİ İŞLEM EKSİK",IF($I154="","TARİH EKSİK",IF($I154&lt;TODAY(),"GECİKMİŞ",IF($I154=TODAY(),"BUGÜN",IF($I154&lt;=TODAY()+7,"7 GÜN İÇİNDE","PLANLI"))))))))</f>
        <v/>
      </c>
      <c r="R154" s="6" t="n"/>
      <c r="S154" s="6" t="n"/>
      <c r="T154" s="3" t="n"/>
      <c r="U154" s="3">
        <f>IF($E154="","",UPPER(SUBSTITUTE(SUBSTITUTE(SUBSTITUTE(SUBSTITUTE(SUBSTITUTE(SUBSTITUTE(SUBSTITUTE(SUBSTITUTE(SUBSTITUTE(SUBSTITUTE(SUBSTITUTE(SUBSTITUTE(SUBSTITUTE(SUBSTITUTE(SUBSTITUTE(SUBSTITUTE(SUBSTITUTE(SUBSTITUTE(TRIM($E154),"'",""),"İ","I"),"ı","I"),"i","I"),"Ş","S"),"ş","S"),"Ğ","G"),"ğ","G"),"Ü","U"),"ü","U"),"Ö","O"),"ö","O"),"Ç","C"),"ç","C"),".",""),",","")," ",""),"-","")))</f>
        <v/>
      </c>
    </row>
    <row r="155">
      <c r="A155" s="6" t="n"/>
      <c r="B155" s="113">
        <f>IF($E155="","","A"&amp;TEXT(ROW()-6,"00000"))</f>
        <v/>
      </c>
      <c r="C155" s="108" t="n"/>
      <c r="D155" s="113">
        <f>IF($E155="","",IFERROR(INDEX(MUSTERILER!$B$7:$B$106,MATCH($U155,MUSTERILER!$T$7:$T$106,0)),IFERROR(INDEX(MUSTERILER!$B$7:$B$106,MATCH($E155,MUSTERILER!$B$7:$B$106,0)),IFERROR(INDEX(MUSTERILER!$B$7:$B$106,MATCH($U155&amp;"*",MUSTERILER!$T$7:$T$106,0)),"TANIMSIZ MÜŞTERİ"))))</f>
        <v/>
      </c>
      <c r="E155" s="109" t="n"/>
      <c r="F155" s="109" t="n"/>
      <c r="G155" s="108" t="n"/>
      <c r="H155" s="220" t="n"/>
      <c r="I155" s="220" t="n"/>
      <c r="J155" s="108" t="n"/>
      <c r="K155" s="108" t="n"/>
      <c r="L155" s="109" t="n"/>
      <c r="M155" s="109" t="n"/>
      <c r="N155" s="109" t="n"/>
      <c r="O155" s="220" t="n"/>
      <c r="P155" s="227">
        <f>IF(OR($E155="",$I155=""),"",IF(OR($J155="Tamamlandı",$J155="İptal"),"",$I155-TODAY()))</f>
        <v/>
      </c>
      <c r="Q155" s="113">
        <f>IF($E155="","",IF($D155="TANIMSIZ MÜŞTERİ","HATA",IF(OR($J155="Tamamlandı",$J155="İptal"),"KAPALI",IF(AND($C155="Görüşme",$N155=""),"SONRAKİ İŞLEM EKSİK",IF($I155="","TARİH EKSİK",IF($I155&lt;TODAY(),"GECİKMİŞ",IF($I155=TODAY(),"BUGÜN",IF($I155&lt;=TODAY()+7,"7 GÜN İÇİNDE","PLANLI"))))))))</f>
        <v/>
      </c>
      <c r="R155" s="6" t="n"/>
      <c r="S155" s="6" t="n"/>
      <c r="T155" s="3" t="n"/>
      <c r="U155" s="3">
        <f>IF($E155="","",UPPER(SUBSTITUTE(SUBSTITUTE(SUBSTITUTE(SUBSTITUTE(SUBSTITUTE(SUBSTITUTE(SUBSTITUTE(SUBSTITUTE(SUBSTITUTE(SUBSTITUTE(SUBSTITUTE(SUBSTITUTE(SUBSTITUTE(SUBSTITUTE(SUBSTITUTE(SUBSTITUTE(SUBSTITUTE(SUBSTITUTE(TRIM($E155),"'",""),"İ","I"),"ı","I"),"i","I"),"Ş","S"),"ş","S"),"Ğ","G"),"ğ","G"),"Ü","U"),"ü","U"),"Ö","O"),"ö","O"),"Ç","C"),"ç","C"),".",""),",","")," ",""),"-","")))</f>
        <v/>
      </c>
    </row>
    <row r="156">
      <c r="A156" s="6" t="n"/>
      <c r="B156" s="113">
        <f>IF($E156="","","A"&amp;TEXT(ROW()-6,"00000"))</f>
        <v/>
      </c>
      <c r="C156" s="108" t="n"/>
      <c r="D156" s="113">
        <f>IF($E156="","",IFERROR(INDEX(MUSTERILER!$B$7:$B$106,MATCH($U156,MUSTERILER!$T$7:$T$106,0)),IFERROR(INDEX(MUSTERILER!$B$7:$B$106,MATCH($E156,MUSTERILER!$B$7:$B$106,0)),IFERROR(INDEX(MUSTERILER!$B$7:$B$106,MATCH($U156&amp;"*",MUSTERILER!$T$7:$T$106,0)),"TANIMSIZ MÜŞTERİ"))))</f>
        <v/>
      </c>
      <c r="E156" s="109" t="n"/>
      <c r="F156" s="109" t="n"/>
      <c r="G156" s="108" t="n"/>
      <c r="H156" s="220" t="n"/>
      <c r="I156" s="220" t="n"/>
      <c r="J156" s="108" t="n"/>
      <c r="K156" s="108" t="n"/>
      <c r="L156" s="109" t="n"/>
      <c r="M156" s="109" t="n"/>
      <c r="N156" s="109" t="n"/>
      <c r="O156" s="220" t="n"/>
      <c r="P156" s="227">
        <f>IF(OR($E156="",$I156=""),"",IF(OR($J156="Tamamlandı",$J156="İptal"),"",$I156-TODAY()))</f>
        <v/>
      </c>
      <c r="Q156" s="113">
        <f>IF($E156="","",IF($D156="TANIMSIZ MÜŞTERİ","HATA",IF(OR($J156="Tamamlandı",$J156="İptal"),"KAPALI",IF(AND($C156="Görüşme",$N156=""),"SONRAKİ İŞLEM EKSİK",IF($I156="","TARİH EKSİK",IF($I156&lt;TODAY(),"GECİKMİŞ",IF($I156=TODAY(),"BUGÜN",IF($I156&lt;=TODAY()+7,"7 GÜN İÇİNDE","PLANLI"))))))))</f>
        <v/>
      </c>
      <c r="R156" s="6" t="n"/>
      <c r="S156" s="6" t="n"/>
      <c r="T156" s="3" t="n"/>
      <c r="U156" s="3">
        <f>IF($E156="","",UPPER(SUBSTITUTE(SUBSTITUTE(SUBSTITUTE(SUBSTITUTE(SUBSTITUTE(SUBSTITUTE(SUBSTITUTE(SUBSTITUTE(SUBSTITUTE(SUBSTITUTE(SUBSTITUTE(SUBSTITUTE(SUBSTITUTE(SUBSTITUTE(SUBSTITUTE(SUBSTITUTE(SUBSTITUTE(SUBSTITUTE(TRIM($E156),"'",""),"İ","I"),"ı","I"),"i","I"),"Ş","S"),"ş","S"),"Ğ","G"),"ğ","G"),"Ü","U"),"ü","U"),"Ö","O"),"ö","O"),"Ç","C"),"ç","C"),".",""),",","")," ",""),"-","")))</f>
        <v/>
      </c>
    </row>
    <row r="157">
      <c r="A157" s="6" t="n"/>
      <c r="B157" s="113">
        <f>IF($E157="","","A"&amp;TEXT(ROW()-6,"00000"))</f>
        <v/>
      </c>
      <c r="C157" s="108" t="n"/>
      <c r="D157" s="113">
        <f>IF($E157="","",IFERROR(INDEX(MUSTERILER!$B$7:$B$106,MATCH($U157,MUSTERILER!$T$7:$T$106,0)),IFERROR(INDEX(MUSTERILER!$B$7:$B$106,MATCH($E157,MUSTERILER!$B$7:$B$106,0)),IFERROR(INDEX(MUSTERILER!$B$7:$B$106,MATCH($U157&amp;"*",MUSTERILER!$T$7:$T$106,0)),"TANIMSIZ MÜŞTERİ"))))</f>
        <v/>
      </c>
      <c r="E157" s="109" t="n"/>
      <c r="F157" s="109" t="n"/>
      <c r="G157" s="108" t="n"/>
      <c r="H157" s="220" t="n"/>
      <c r="I157" s="220" t="n"/>
      <c r="J157" s="108" t="n"/>
      <c r="K157" s="108" t="n"/>
      <c r="L157" s="109" t="n"/>
      <c r="M157" s="109" t="n"/>
      <c r="N157" s="109" t="n"/>
      <c r="O157" s="220" t="n"/>
      <c r="P157" s="227">
        <f>IF(OR($E157="",$I157=""),"",IF(OR($J157="Tamamlandı",$J157="İptal"),"",$I157-TODAY()))</f>
        <v/>
      </c>
      <c r="Q157" s="113">
        <f>IF($E157="","",IF($D157="TANIMSIZ MÜŞTERİ","HATA",IF(OR($J157="Tamamlandı",$J157="İptal"),"KAPALI",IF(AND($C157="Görüşme",$N157=""),"SONRAKİ İŞLEM EKSİK",IF($I157="","TARİH EKSİK",IF($I157&lt;TODAY(),"GECİKMİŞ",IF($I157=TODAY(),"BUGÜN",IF($I157&lt;=TODAY()+7,"7 GÜN İÇİNDE","PLANLI"))))))))</f>
        <v/>
      </c>
      <c r="R157" s="6" t="n"/>
      <c r="S157" s="6" t="n"/>
      <c r="T157" s="3" t="n"/>
      <c r="U157" s="3">
        <f>IF($E157="","",UPPER(SUBSTITUTE(SUBSTITUTE(SUBSTITUTE(SUBSTITUTE(SUBSTITUTE(SUBSTITUTE(SUBSTITUTE(SUBSTITUTE(SUBSTITUTE(SUBSTITUTE(SUBSTITUTE(SUBSTITUTE(SUBSTITUTE(SUBSTITUTE(SUBSTITUTE(SUBSTITUTE(SUBSTITUTE(SUBSTITUTE(TRIM($E157),"'",""),"İ","I"),"ı","I"),"i","I"),"Ş","S"),"ş","S"),"Ğ","G"),"ğ","G"),"Ü","U"),"ü","U"),"Ö","O"),"ö","O"),"Ç","C"),"ç","C"),".",""),",","")," ",""),"-","")))</f>
        <v/>
      </c>
    </row>
    <row r="158">
      <c r="A158" s="6" t="n"/>
      <c r="B158" s="113">
        <f>IF($E158="","","A"&amp;TEXT(ROW()-6,"00000"))</f>
        <v/>
      </c>
      <c r="C158" s="108" t="n"/>
      <c r="D158" s="113">
        <f>IF($E158="","",IFERROR(INDEX(MUSTERILER!$B$7:$B$106,MATCH($U158,MUSTERILER!$T$7:$T$106,0)),IFERROR(INDEX(MUSTERILER!$B$7:$B$106,MATCH($E158,MUSTERILER!$B$7:$B$106,0)),IFERROR(INDEX(MUSTERILER!$B$7:$B$106,MATCH($U158&amp;"*",MUSTERILER!$T$7:$T$106,0)),"TANIMSIZ MÜŞTERİ"))))</f>
        <v/>
      </c>
      <c r="E158" s="109" t="n"/>
      <c r="F158" s="109" t="n"/>
      <c r="G158" s="108" t="n"/>
      <c r="H158" s="220" t="n"/>
      <c r="I158" s="220" t="n"/>
      <c r="J158" s="108" t="n"/>
      <c r="K158" s="108" t="n"/>
      <c r="L158" s="109" t="n"/>
      <c r="M158" s="109" t="n"/>
      <c r="N158" s="109" t="n"/>
      <c r="O158" s="220" t="n"/>
      <c r="P158" s="227">
        <f>IF(OR($E158="",$I158=""),"",IF(OR($J158="Tamamlandı",$J158="İptal"),"",$I158-TODAY()))</f>
        <v/>
      </c>
      <c r="Q158" s="113">
        <f>IF($E158="","",IF($D158="TANIMSIZ MÜŞTERİ","HATA",IF(OR($J158="Tamamlandı",$J158="İptal"),"KAPALI",IF(AND($C158="Görüşme",$N158=""),"SONRAKİ İŞLEM EKSİK",IF($I158="","TARİH EKSİK",IF($I158&lt;TODAY(),"GECİKMİŞ",IF($I158=TODAY(),"BUGÜN",IF($I158&lt;=TODAY()+7,"7 GÜN İÇİNDE","PLANLI"))))))))</f>
        <v/>
      </c>
      <c r="R158" s="6" t="n"/>
      <c r="S158" s="6" t="n"/>
      <c r="T158" s="3" t="n"/>
      <c r="U158" s="3">
        <f>IF($E158="","",UPPER(SUBSTITUTE(SUBSTITUTE(SUBSTITUTE(SUBSTITUTE(SUBSTITUTE(SUBSTITUTE(SUBSTITUTE(SUBSTITUTE(SUBSTITUTE(SUBSTITUTE(SUBSTITUTE(SUBSTITUTE(SUBSTITUTE(SUBSTITUTE(SUBSTITUTE(SUBSTITUTE(SUBSTITUTE(SUBSTITUTE(TRIM($E158),"'",""),"İ","I"),"ı","I"),"i","I"),"Ş","S"),"ş","S"),"Ğ","G"),"ğ","G"),"Ü","U"),"ü","U"),"Ö","O"),"ö","O"),"Ç","C"),"ç","C"),".",""),",","")," ",""),"-","")))</f>
        <v/>
      </c>
    </row>
    <row r="159">
      <c r="A159" s="6" t="n"/>
      <c r="B159" s="113">
        <f>IF($E159="","","A"&amp;TEXT(ROW()-6,"00000"))</f>
        <v/>
      </c>
      <c r="C159" s="108" t="n"/>
      <c r="D159" s="113">
        <f>IF($E159="","",IFERROR(INDEX(MUSTERILER!$B$7:$B$106,MATCH($U159,MUSTERILER!$T$7:$T$106,0)),IFERROR(INDEX(MUSTERILER!$B$7:$B$106,MATCH($E159,MUSTERILER!$B$7:$B$106,0)),IFERROR(INDEX(MUSTERILER!$B$7:$B$106,MATCH($U159&amp;"*",MUSTERILER!$T$7:$T$106,0)),"TANIMSIZ MÜŞTERİ"))))</f>
        <v/>
      </c>
      <c r="E159" s="109" t="n"/>
      <c r="F159" s="109" t="n"/>
      <c r="G159" s="108" t="n"/>
      <c r="H159" s="220" t="n"/>
      <c r="I159" s="220" t="n"/>
      <c r="J159" s="108" t="n"/>
      <c r="K159" s="108" t="n"/>
      <c r="L159" s="109" t="n"/>
      <c r="M159" s="109" t="n"/>
      <c r="N159" s="109" t="n"/>
      <c r="O159" s="220" t="n"/>
      <c r="P159" s="227">
        <f>IF(OR($E159="",$I159=""),"",IF(OR($J159="Tamamlandı",$J159="İptal"),"",$I159-TODAY()))</f>
        <v/>
      </c>
      <c r="Q159" s="113">
        <f>IF($E159="","",IF($D159="TANIMSIZ MÜŞTERİ","HATA",IF(OR($J159="Tamamlandı",$J159="İptal"),"KAPALI",IF(AND($C159="Görüşme",$N159=""),"SONRAKİ İŞLEM EKSİK",IF($I159="","TARİH EKSİK",IF($I159&lt;TODAY(),"GECİKMİŞ",IF($I159=TODAY(),"BUGÜN",IF($I159&lt;=TODAY()+7,"7 GÜN İÇİNDE","PLANLI"))))))))</f>
        <v/>
      </c>
      <c r="R159" s="6" t="n"/>
      <c r="S159" s="6" t="n"/>
      <c r="T159" s="3" t="n"/>
      <c r="U159" s="3">
        <f>IF($E159="","",UPPER(SUBSTITUTE(SUBSTITUTE(SUBSTITUTE(SUBSTITUTE(SUBSTITUTE(SUBSTITUTE(SUBSTITUTE(SUBSTITUTE(SUBSTITUTE(SUBSTITUTE(SUBSTITUTE(SUBSTITUTE(SUBSTITUTE(SUBSTITUTE(SUBSTITUTE(SUBSTITUTE(SUBSTITUTE(SUBSTITUTE(TRIM($E159),"'",""),"İ","I"),"ı","I"),"i","I"),"Ş","S"),"ş","S"),"Ğ","G"),"ğ","G"),"Ü","U"),"ü","U"),"Ö","O"),"ö","O"),"Ç","C"),"ç","C"),".",""),",","")," ",""),"-","")))</f>
        <v/>
      </c>
    </row>
    <row r="160">
      <c r="A160" s="6" t="n"/>
      <c r="B160" s="113">
        <f>IF($E160="","","A"&amp;TEXT(ROW()-6,"00000"))</f>
        <v/>
      </c>
      <c r="C160" s="108" t="n"/>
      <c r="D160" s="113">
        <f>IF($E160="","",IFERROR(INDEX(MUSTERILER!$B$7:$B$106,MATCH($U160,MUSTERILER!$T$7:$T$106,0)),IFERROR(INDEX(MUSTERILER!$B$7:$B$106,MATCH($E160,MUSTERILER!$B$7:$B$106,0)),IFERROR(INDEX(MUSTERILER!$B$7:$B$106,MATCH($U160&amp;"*",MUSTERILER!$T$7:$T$106,0)),"TANIMSIZ MÜŞTERİ"))))</f>
        <v/>
      </c>
      <c r="E160" s="109" t="n"/>
      <c r="F160" s="109" t="n"/>
      <c r="G160" s="108" t="n"/>
      <c r="H160" s="220" t="n"/>
      <c r="I160" s="220" t="n"/>
      <c r="J160" s="108" t="n"/>
      <c r="K160" s="108" t="n"/>
      <c r="L160" s="109" t="n"/>
      <c r="M160" s="109" t="n"/>
      <c r="N160" s="109" t="n"/>
      <c r="O160" s="220" t="n"/>
      <c r="P160" s="227">
        <f>IF(OR($E160="",$I160=""),"",IF(OR($J160="Tamamlandı",$J160="İptal"),"",$I160-TODAY()))</f>
        <v/>
      </c>
      <c r="Q160" s="113">
        <f>IF($E160="","",IF($D160="TANIMSIZ MÜŞTERİ","HATA",IF(OR($J160="Tamamlandı",$J160="İptal"),"KAPALI",IF(AND($C160="Görüşme",$N160=""),"SONRAKİ İŞLEM EKSİK",IF($I160="","TARİH EKSİK",IF($I160&lt;TODAY(),"GECİKMİŞ",IF($I160=TODAY(),"BUGÜN",IF($I160&lt;=TODAY()+7,"7 GÜN İÇİNDE","PLANLI"))))))))</f>
        <v/>
      </c>
      <c r="R160" s="6" t="n"/>
      <c r="S160" s="6" t="n"/>
      <c r="T160" s="3" t="n"/>
      <c r="U160" s="3">
        <f>IF($E160="","",UPPER(SUBSTITUTE(SUBSTITUTE(SUBSTITUTE(SUBSTITUTE(SUBSTITUTE(SUBSTITUTE(SUBSTITUTE(SUBSTITUTE(SUBSTITUTE(SUBSTITUTE(SUBSTITUTE(SUBSTITUTE(SUBSTITUTE(SUBSTITUTE(SUBSTITUTE(SUBSTITUTE(SUBSTITUTE(SUBSTITUTE(TRIM($E160),"'",""),"İ","I"),"ı","I"),"i","I"),"Ş","S"),"ş","S"),"Ğ","G"),"ğ","G"),"Ü","U"),"ü","U"),"Ö","O"),"ö","O"),"Ç","C"),"ç","C"),".",""),",","")," ",""),"-","")))</f>
        <v/>
      </c>
    </row>
    <row r="161">
      <c r="A161" s="6" t="n"/>
      <c r="B161" s="113">
        <f>IF($E161="","","A"&amp;TEXT(ROW()-6,"00000"))</f>
        <v/>
      </c>
      <c r="C161" s="108" t="n"/>
      <c r="D161" s="113">
        <f>IF($E161="","",IFERROR(INDEX(MUSTERILER!$B$7:$B$106,MATCH($U161,MUSTERILER!$T$7:$T$106,0)),IFERROR(INDEX(MUSTERILER!$B$7:$B$106,MATCH($E161,MUSTERILER!$B$7:$B$106,0)),IFERROR(INDEX(MUSTERILER!$B$7:$B$106,MATCH($U161&amp;"*",MUSTERILER!$T$7:$T$106,0)),"TANIMSIZ MÜŞTERİ"))))</f>
        <v/>
      </c>
      <c r="E161" s="109" t="n"/>
      <c r="F161" s="109" t="n"/>
      <c r="G161" s="108" t="n"/>
      <c r="H161" s="220" t="n"/>
      <c r="I161" s="220" t="n"/>
      <c r="J161" s="108" t="n"/>
      <c r="K161" s="108" t="n"/>
      <c r="L161" s="109" t="n"/>
      <c r="M161" s="109" t="n"/>
      <c r="N161" s="109" t="n"/>
      <c r="O161" s="220" t="n"/>
      <c r="P161" s="227">
        <f>IF(OR($E161="",$I161=""),"",IF(OR($J161="Tamamlandı",$J161="İptal"),"",$I161-TODAY()))</f>
        <v/>
      </c>
      <c r="Q161" s="113">
        <f>IF($E161="","",IF($D161="TANIMSIZ MÜŞTERİ","HATA",IF(OR($J161="Tamamlandı",$J161="İptal"),"KAPALI",IF(AND($C161="Görüşme",$N161=""),"SONRAKİ İŞLEM EKSİK",IF($I161="","TARİH EKSİK",IF($I161&lt;TODAY(),"GECİKMİŞ",IF($I161=TODAY(),"BUGÜN",IF($I161&lt;=TODAY()+7,"7 GÜN İÇİNDE","PLANLI"))))))))</f>
        <v/>
      </c>
      <c r="R161" s="6" t="n"/>
      <c r="S161" s="6" t="n"/>
      <c r="T161" s="3" t="n"/>
      <c r="U161" s="3">
        <f>IF($E161="","",UPPER(SUBSTITUTE(SUBSTITUTE(SUBSTITUTE(SUBSTITUTE(SUBSTITUTE(SUBSTITUTE(SUBSTITUTE(SUBSTITUTE(SUBSTITUTE(SUBSTITUTE(SUBSTITUTE(SUBSTITUTE(SUBSTITUTE(SUBSTITUTE(SUBSTITUTE(SUBSTITUTE(SUBSTITUTE(SUBSTITUTE(TRIM($E161),"'",""),"İ","I"),"ı","I"),"i","I"),"Ş","S"),"ş","S"),"Ğ","G"),"ğ","G"),"Ü","U"),"ü","U"),"Ö","O"),"ö","O"),"Ç","C"),"ç","C"),".",""),",","")," ",""),"-","")))</f>
        <v/>
      </c>
    </row>
    <row r="162">
      <c r="A162" s="6" t="n"/>
      <c r="B162" s="113">
        <f>IF($E162="","","A"&amp;TEXT(ROW()-6,"00000"))</f>
        <v/>
      </c>
      <c r="C162" s="108" t="n"/>
      <c r="D162" s="113">
        <f>IF($E162="","",IFERROR(INDEX(MUSTERILER!$B$7:$B$106,MATCH($U162,MUSTERILER!$T$7:$T$106,0)),IFERROR(INDEX(MUSTERILER!$B$7:$B$106,MATCH($E162,MUSTERILER!$B$7:$B$106,0)),IFERROR(INDEX(MUSTERILER!$B$7:$B$106,MATCH($U162&amp;"*",MUSTERILER!$T$7:$T$106,0)),"TANIMSIZ MÜŞTERİ"))))</f>
        <v/>
      </c>
      <c r="E162" s="109" t="n"/>
      <c r="F162" s="109" t="n"/>
      <c r="G162" s="108" t="n"/>
      <c r="H162" s="220" t="n"/>
      <c r="I162" s="220" t="n"/>
      <c r="J162" s="108" t="n"/>
      <c r="K162" s="108" t="n"/>
      <c r="L162" s="109" t="n"/>
      <c r="M162" s="109" t="n"/>
      <c r="N162" s="109" t="n"/>
      <c r="O162" s="220" t="n"/>
      <c r="P162" s="227">
        <f>IF(OR($E162="",$I162=""),"",IF(OR($J162="Tamamlandı",$J162="İptal"),"",$I162-TODAY()))</f>
        <v/>
      </c>
      <c r="Q162" s="113">
        <f>IF($E162="","",IF($D162="TANIMSIZ MÜŞTERİ","HATA",IF(OR($J162="Tamamlandı",$J162="İptal"),"KAPALI",IF(AND($C162="Görüşme",$N162=""),"SONRAKİ İŞLEM EKSİK",IF($I162="","TARİH EKSİK",IF($I162&lt;TODAY(),"GECİKMİŞ",IF($I162=TODAY(),"BUGÜN",IF($I162&lt;=TODAY()+7,"7 GÜN İÇİNDE","PLANLI"))))))))</f>
        <v/>
      </c>
      <c r="R162" s="6" t="n"/>
      <c r="S162" s="6" t="n"/>
      <c r="T162" s="3" t="n"/>
      <c r="U162" s="3">
        <f>IF($E162="","",UPPER(SUBSTITUTE(SUBSTITUTE(SUBSTITUTE(SUBSTITUTE(SUBSTITUTE(SUBSTITUTE(SUBSTITUTE(SUBSTITUTE(SUBSTITUTE(SUBSTITUTE(SUBSTITUTE(SUBSTITUTE(SUBSTITUTE(SUBSTITUTE(SUBSTITUTE(SUBSTITUTE(SUBSTITUTE(SUBSTITUTE(TRIM($E162),"'",""),"İ","I"),"ı","I"),"i","I"),"Ş","S"),"ş","S"),"Ğ","G"),"ğ","G"),"Ü","U"),"ü","U"),"Ö","O"),"ö","O"),"Ç","C"),"ç","C"),".",""),",","")," ",""),"-","")))</f>
        <v/>
      </c>
    </row>
    <row r="163">
      <c r="A163" s="6" t="n"/>
      <c r="B163" s="113">
        <f>IF($E163="","","A"&amp;TEXT(ROW()-6,"00000"))</f>
        <v/>
      </c>
      <c r="C163" s="108" t="n"/>
      <c r="D163" s="113">
        <f>IF($E163="","",IFERROR(INDEX(MUSTERILER!$B$7:$B$106,MATCH($U163,MUSTERILER!$T$7:$T$106,0)),IFERROR(INDEX(MUSTERILER!$B$7:$B$106,MATCH($E163,MUSTERILER!$B$7:$B$106,0)),IFERROR(INDEX(MUSTERILER!$B$7:$B$106,MATCH($U163&amp;"*",MUSTERILER!$T$7:$T$106,0)),"TANIMSIZ MÜŞTERİ"))))</f>
        <v/>
      </c>
      <c r="E163" s="109" t="n"/>
      <c r="F163" s="109" t="n"/>
      <c r="G163" s="108" t="n"/>
      <c r="H163" s="220" t="n"/>
      <c r="I163" s="220" t="n"/>
      <c r="J163" s="108" t="n"/>
      <c r="K163" s="108" t="n"/>
      <c r="L163" s="109" t="n"/>
      <c r="M163" s="109" t="n"/>
      <c r="N163" s="109" t="n"/>
      <c r="O163" s="220" t="n"/>
      <c r="P163" s="227">
        <f>IF(OR($E163="",$I163=""),"",IF(OR($J163="Tamamlandı",$J163="İptal"),"",$I163-TODAY()))</f>
        <v/>
      </c>
      <c r="Q163" s="113">
        <f>IF($E163="","",IF($D163="TANIMSIZ MÜŞTERİ","HATA",IF(OR($J163="Tamamlandı",$J163="İptal"),"KAPALI",IF(AND($C163="Görüşme",$N163=""),"SONRAKİ İŞLEM EKSİK",IF($I163="","TARİH EKSİK",IF($I163&lt;TODAY(),"GECİKMİŞ",IF($I163=TODAY(),"BUGÜN",IF($I163&lt;=TODAY()+7,"7 GÜN İÇİNDE","PLANLI"))))))))</f>
        <v/>
      </c>
      <c r="R163" s="6" t="n"/>
      <c r="S163" s="6" t="n"/>
      <c r="T163" s="3" t="n"/>
      <c r="U163" s="3">
        <f>IF($E163="","",UPPER(SUBSTITUTE(SUBSTITUTE(SUBSTITUTE(SUBSTITUTE(SUBSTITUTE(SUBSTITUTE(SUBSTITUTE(SUBSTITUTE(SUBSTITUTE(SUBSTITUTE(SUBSTITUTE(SUBSTITUTE(SUBSTITUTE(SUBSTITUTE(SUBSTITUTE(SUBSTITUTE(SUBSTITUTE(SUBSTITUTE(TRIM($E163),"'",""),"İ","I"),"ı","I"),"i","I"),"Ş","S"),"ş","S"),"Ğ","G"),"ğ","G"),"Ü","U"),"ü","U"),"Ö","O"),"ö","O"),"Ç","C"),"ç","C"),".",""),",","")," ",""),"-","")))</f>
        <v/>
      </c>
    </row>
    <row r="164">
      <c r="A164" s="6" t="n"/>
      <c r="B164" s="113">
        <f>IF($E164="","","A"&amp;TEXT(ROW()-6,"00000"))</f>
        <v/>
      </c>
      <c r="C164" s="108" t="n"/>
      <c r="D164" s="113">
        <f>IF($E164="","",IFERROR(INDEX(MUSTERILER!$B$7:$B$106,MATCH($U164,MUSTERILER!$T$7:$T$106,0)),IFERROR(INDEX(MUSTERILER!$B$7:$B$106,MATCH($E164,MUSTERILER!$B$7:$B$106,0)),IFERROR(INDEX(MUSTERILER!$B$7:$B$106,MATCH($U164&amp;"*",MUSTERILER!$T$7:$T$106,0)),"TANIMSIZ MÜŞTERİ"))))</f>
        <v/>
      </c>
      <c r="E164" s="109" t="n"/>
      <c r="F164" s="109" t="n"/>
      <c r="G164" s="108" t="n"/>
      <c r="H164" s="220" t="n"/>
      <c r="I164" s="220" t="n"/>
      <c r="J164" s="108" t="n"/>
      <c r="K164" s="108" t="n"/>
      <c r="L164" s="109" t="n"/>
      <c r="M164" s="109" t="n"/>
      <c r="N164" s="109" t="n"/>
      <c r="O164" s="220" t="n"/>
      <c r="P164" s="227">
        <f>IF(OR($E164="",$I164=""),"",IF(OR($J164="Tamamlandı",$J164="İptal"),"",$I164-TODAY()))</f>
        <v/>
      </c>
      <c r="Q164" s="113">
        <f>IF($E164="","",IF($D164="TANIMSIZ MÜŞTERİ","HATA",IF(OR($J164="Tamamlandı",$J164="İptal"),"KAPALI",IF(AND($C164="Görüşme",$N164=""),"SONRAKİ İŞLEM EKSİK",IF($I164="","TARİH EKSİK",IF($I164&lt;TODAY(),"GECİKMİŞ",IF($I164=TODAY(),"BUGÜN",IF($I164&lt;=TODAY()+7,"7 GÜN İÇİNDE","PLANLI"))))))))</f>
        <v/>
      </c>
      <c r="R164" s="6" t="n"/>
      <c r="S164" s="6" t="n"/>
      <c r="T164" s="3" t="n"/>
      <c r="U164" s="3">
        <f>IF($E164="","",UPPER(SUBSTITUTE(SUBSTITUTE(SUBSTITUTE(SUBSTITUTE(SUBSTITUTE(SUBSTITUTE(SUBSTITUTE(SUBSTITUTE(SUBSTITUTE(SUBSTITUTE(SUBSTITUTE(SUBSTITUTE(SUBSTITUTE(SUBSTITUTE(SUBSTITUTE(SUBSTITUTE(SUBSTITUTE(SUBSTITUTE(TRIM($E164),"'",""),"İ","I"),"ı","I"),"i","I"),"Ş","S"),"ş","S"),"Ğ","G"),"ğ","G"),"Ü","U"),"ü","U"),"Ö","O"),"ö","O"),"Ç","C"),"ç","C"),".",""),",","")," ",""),"-","")))</f>
        <v/>
      </c>
    </row>
    <row r="165">
      <c r="A165" s="6" t="n"/>
      <c r="B165" s="113">
        <f>IF($E165="","","A"&amp;TEXT(ROW()-6,"00000"))</f>
        <v/>
      </c>
      <c r="C165" s="108" t="n"/>
      <c r="D165" s="113">
        <f>IF($E165="","",IFERROR(INDEX(MUSTERILER!$B$7:$B$106,MATCH($U165,MUSTERILER!$T$7:$T$106,0)),IFERROR(INDEX(MUSTERILER!$B$7:$B$106,MATCH($E165,MUSTERILER!$B$7:$B$106,0)),IFERROR(INDEX(MUSTERILER!$B$7:$B$106,MATCH($U165&amp;"*",MUSTERILER!$T$7:$T$106,0)),"TANIMSIZ MÜŞTERİ"))))</f>
        <v/>
      </c>
      <c r="E165" s="109" t="n"/>
      <c r="F165" s="109" t="n"/>
      <c r="G165" s="108" t="n"/>
      <c r="H165" s="220" t="n"/>
      <c r="I165" s="220" t="n"/>
      <c r="J165" s="108" t="n"/>
      <c r="K165" s="108" t="n"/>
      <c r="L165" s="109" t="n"/>
      <c r="M165" s="109" t="n"/>
      <c r="N165" s="109" t="n"/>
      <c r="O165" s="220" t="n"/>
      <c r="P165" s="227">
        <f>IF(OR($E165="",$I165=""),"",IF(OR($J165="Tamamlandı",$J165="İptal"),"",$I165-TODAY()))</f>
        <v/>
      </c>
      <c r="Q165" s="113">
        <f>IF($E165="","",IF($D165="TANIMSIZ MÜŞTERİ","HATA",IF(OR($J165="Tamamlandı",$J165="İptal"),"KAPALI",IF(AND($C165="Görüşme",$N165=""),"SONRAKİ İŞLEM EKSİK",IF($I165="","TARİH EKSİK",IF($I165&lt;TODAY(),"GECİKMİŞ",IF($I165=TODAY(),"BUGÜN",IF($I165&lt;=TODAY()+7,"7 GÜN İÇİNDE","PLANLI"))))))))</f>
        <v/>
      </c>
      <c r="R165" s="6" t="n"/>
      <c r="S165" s="6" t="n"/>
      <c r="T165" s="3" t="n"/>
      <c r="U165" s="3">
        <f>IF($E165="","",UPPER(SUBSTITUTE(SUBSTITUTE(SUBSTITUTE(SUBSTITUTE(SUBSTITUTE(SUBSTITUTE(SUBSTITUTE(SUBSTITUTE(SUBSTITUTE(SUBSTITUTE(SUBSTITUTE(SUBSTITUTE(SUBSTITUTE(SUBSTITUTE(SUBSTITUTE(SUBSTITUTE(SUBSTITUTE(SUBSTITUTE(TRIM($E165),"'",""),"İ","I"),"ı","I"),"i","I"),"Ş","S"),"ş","S"),"Ğ","G"),"ğ","G"),"Ü","U"),"ü","U"),"Ö","O"),"ö","O"),"Ç","C"),"ç","C"),".",""),",","")," ",""),"-","")))</f>
        <v/>
      </c>
    </row>
    <row r="166">
      <c r="A166" s="6" t="n"/>
      <c r="B166" s="113">
        <f>IF($E166="","","A"&amp;TEXT(ROW()-6,"00000"))</f>
        <v/>
      </c>
      <c r="C166" s="108" t="n"/>
      <c r="D166" s="113">
        <f>IF($E166="","",IFERROR(INDEX(MUSTERILER!$B$7:$B$106,MATCH($U166,MUSTERILER!$T$7:$T$106,0)),IFERROR(INDEX(MUSTERILER!$B$7:$B$106,MATCH($E166,MUSTERILER!$B$7:$B$106,0)),IFERROR(INDEX(MUSTERILER!$B$7:$B$106,MATCH($U166&amp;"*",MUSTERILER!$T$7:$T$106,0)),"TANIMSIZ MÜŞTERİ"))))</f>
        <v/>
      </c>
      <c r="E166" s="109" t="n"/>
      <c r="F166" s="109" t="n"/>
      <c r="G166" s="108" t="n"/>
      <c r="H166" s="220" t="n"/>
      <c r="I166" s="220" t="n"/>
      <c r="J166" s="108" t="n"/>
      <c r="K166" s="108" t="n"/>
      <c r="L166" s="109" t="n"/>
      <c r="M166" s="109" t="n"/>
      <c r="N166" s="109" t="n"/>
      <c r="O166" s="220" t="n"/>
      <c r="P166" s="227">
        <f>IF(OR($E166="",$I166=""),"",IF(OR($J166="Tamamlandı",$J166="İptal"),"",$I166-TODAY()))</f>
        <v/>
      </c>
      <c r="Q166" s="113">
        <f>IF($E166="","",IF($D166="TANIMSIZ MÜŞTERİ","HATA",IF(OR($J166="Tamamlandı",$J166="İptal"),"KAPALI",IF(AND($C166="Görüşme",$N166=""),"SONRAKİ İŞLEM EKSİK",IF($I166="","TARİH EKSİK",IF($I166&lt;TODAY(),"GECİKMİŞ",IF($I166=TODAY(),"BUGÜN",IF($I166&lt;=TODAY()+7,"7 GÜN İÇİNDE","PLANLI"))))))))</f>
        <v/>
      </c>
      <c r="R166" s="6" t="n"/>
      <c r="S166" s="6" t="n"/>
      <c r="T166" s="3" t="n"/>
      <c r="U166" s="3">
        <f>IF($E166="","",UPPER(SUBSTITUTE(SUBSTITUTE(SUBSTITUTE(SUBSTITUTE(SUBSTITUTE(SUBSTITUTE(SUBSTITUTE(SUBSTITUTE(SUBSTITUTE(SUBSTITUTE(SUBSTITUTE(SUBSTITUTE(SUBSTITUTE(SUBSTITUTE(SUBSTITUTE(SUBSTITUTE(SUBSTITUTE(SUBSTITUTE(TRIM($E166),"'",""),"İ","I"),"ı","I"),"i","I"),"Ş","S"),"ş","S"),"Ğ","G"),"ğ","G"),"Ü","U"),"ü","U"),"Ö","O"),"ö","O"),"Ç","C"),"ç","C"),".",""),",","")," ",""),"-","")))</f>
        <v/>
      </c>
    </row>
    <row r="167">
      <c r="A167" s="6" t="n"/>
      <c r="B167" s="113">
        <f>IF($E167="","","A"&amp;TEXT(ROW()-6,"00000"))</f>
        <v/>
      </c>
      <c r="C167" s="108" t="n"/>
      <c r="D167" s="113">
        <f>IF($E167="","",IFERROR(INDEX(MUSTERILER!$B$7:$B$106,MATCH($U167,MUSTERILER!$T$7:$T$106,0)),IFERROR(INDEX(MUSTERILER!$B$7:$B$106,MATCH($E167,MUSTERILER!$B$7:$B$106,0)),IFERROR(INDEX(MUSTERILER!$B$7:$B$106,MATCH($U167&amp;"*",MUSTERILER!$T$7:$T$106,0)),"TANIMSIZ MÜŞTERİ"))))</f>
        <v/>
      </c>
      <c r="E167" s="109" t="n"/>
      <c r="F167" s="109" t="n"/>
      <c r="G167" s="108" t="n"/>
      <c r="H167" s="220" t="n"/>
      <c r="I167" s="220" t="n"/>
      <c r="J167" s="108" t="n"/>
      <c r="K167" s="108" t="n"/>
      <c r="L167" s="109" t="n"/>
      <c r="M167" s="109" t="n"/>
      <c r="N167" s="109" t="n"/>
      <c r="O167" s="220" t="n"/>
      <c r="P167" s="227">
        <f>IF(OR($E167="",$I167=""),"",IF(OR($J167="Tamamlandı",$J167="İptal"),"",$I167-TODAY()))</f>
        <v/>
      </c>
      <c r="Q167" s="113">
        <f>IF($E167="","",IF($D167="TANIMSIZ MÜŞTERİ","HATA",IF(OR($J167="Tamamlandı",$J167="İptal"),"KAPALI",IF(AND($C167="Görüşme",$N167=""),"SONRAKİ İŞLEM EKSİK",IF($I167="","TARİH EKSİK",IF($I167&lt;TODAY(),"GECİKMİŞ",IF($I167=TODAY(),"BUGÜN",IF($I167&lt;=TODAY()+7,"7 GÜN İÇİNDE","PLANLI"))))))))</f>
        <v/>
      </c>
      <c r="R167" s="6" t="n"/>
      <c r="S167" s="6" t="n"/>
      <c r="T167" s="3" t="n"/>
      <c r="U167" s="3">
        <f>IF($E167="","",UPPER(SUBSTITUTE(SUBSTITUTE(SUBSTITUTE(SUBSTITUTE(SUBSTITUTE(SUBSTITUTE(SUBSTITUTE(SUBSTITUTE(SUBSTITUTE(SUBSTITUTE(SUBSTITUTE(SUBSTITUTE(SUBSTITUTE(SUBSTITUTE(SUBSTITUTE(SUBSTITUTE(SUBSTITUTE(SUBSTITUTE(TRIM($E167),"'",""),"İ","I"),"ı","I"),"i","I"),"Ş","S"),"ş","S"),"Ğ","G"),"ğ","G"),"Ü","U"),"ü","U"),"Ö","O"),"ö","O"),"Ç","C"),"ç","C"),".",""),",","")," ",""),"-","")))</f>
        <v/>
      </c>
    </row>
    <row r="168">
      <c r="A168" s="6" t="n"/>
      <c r="B168" s="113">
        <f>IF($E168="","","A"&amp;TEXT(ROW()-6,"00000"))</f>
        <v/>
      </c>
      <c r="C168" s="108" t="n"/>
      <c r="D168" s="113">
        <f>IF($E168="","",IFERROR(INDEX(MUSTERILER!$B$7:$B$106,MATCH($U168,MUSTERILER!$T$7:$T$106,0)),IFERROR(INDEX(MUSTERILER!$B$7:$B$106,MATCH($E168,MUSTERILER!$B$7:$B$106,0)),IFERROR(INDEX(MUSTERILER!$B$7:$B$106,MATCH($U168&amp;"*",MUSTERILER!$T$7:$T$106,0)),"TANIMSIZ MÜŞTERİ"))))</f>
        <v/>
      </c>
      <c r="E168" s="109" t="n"/>
      <c r="F168" s="109" t="n"/>
      <c r="G168" s="108" t="n"/>
      <c r="H168" s="220" t="n"/>
      <c r="I168" s="220" t="n"/>
      <c r="J168" s="108" t="n"/>
      <c r="K168" s="108" t="n"/>
      <c r="L168" s="109" t="n"/>
      <c r="M168" s="109" t="n"/>
      <c r="N168" s="109" t="n"/>
      <c r="O168" s="220" t="n"/>
      <c r="P168" s="227">
        <f>IF(OR($E168="",$I168=""),"",IF(OR($J168="Tamamlandı",$J168="İptal"),"",$I168-TODAY()))</f>
        <v/>
      </c>
      <c r="Q168" s="113">
        <f>IF($E168="","",IF($D168="TANIMSIZ MÜŞTERİ","HATA",IF(OR($J168="Tamamlandı",$J168="İptal"),"KAPALI",IF(AND($C168="Görüşme",$N168=""),"SONRAKİ İŞLEM EKSİK",IF($I168="","TARİH EKSİK",IF($I168&lt;TODAY(),"GECİKMİŞ",IF($I168=TODAY(),"BUGÜN",IF($I168&lt;=TODAY()+7,"7 GÜN İÇİNDE","PLANLI"))))))))</f>
        <v/>
      </c>
      <c r="R168" s="6" t="n"/>
      <c r="S168" s="6" t="n"/>
      <c r="T168" s="3" t="n"/>
      <c r="U168" s="3">
        <f>IF($E168="","",UPPER(SUBSTITUTE(SUBSTITUTE(SUBSTITUTE(SUBSTITUTE(SUBSTITUTE(SUBSTITUTE(SUBSTITUTE(SUBSTITUTE(SUBSTITUTE(SUBSTITUTE(SUBSTITUTE(SUBSTITUTE(SUBSTITUTE(SUBSTITUTE(SUBSTITUTE(SUBSTITUTE(SUBSTITUTE(SUBSTITUTE(TRIM($E168),"'",""),"İ","I"),"ı","I"),"i","I"),"Ş","S"),"ş","S"),"Ğ","G"),"ğ","G"),"Ü","U"),"ü","U"),"Ö","O"),"ö","O"),"Ç","C"),"ç","C"),".",""),",","")," ",""),"-","")))</f>
        <v/>
      </c>
    </row>
    <row r="169">
      <c r="A169" s="6" t="n"/>
      <c r="B169" s="113">
        <f>IF($E169="","","A"&amp;TEXT(ROW()-6,"00000"))</f>
        <v/>
      </c>
      <c r="C169" s="108" t="n"/>
      <c r="D169" s="113">
        <f>IF($E169="","",IFERROR(INDEX(MUSTERILER!$B$7:$B$106,MATCH($U169,MUSTERILER!$T$7:$T$106,0)),IFERROR(INDEX(MUSTERILER!$B$7:$B$106,MATCH($E169,MUSTERILER!$B$7:$B$106,0)),IFERROR(INDEX(MUSTERILER!$B$7:$B$106,MATCH($U169&amp;"*",MUSTERILER!$T$7:$T$106,0)),"TANIMSIZ MÜŞTERİ"))))</f>
        <v/>
      </c>
      <c r="E169" s="109" t="n"/>
      <c r="F169" s="109" t="n"/>
      <c r="G169" s="108" t="n"/>
      <c r="H169" s="220" t="n"/>
      <c r="I169" s="220" t="n"/>
      <c r="J169" s="108" t="n"/>
      <c r="K169" s="108" t="n"/>
      <c r="L169" s="109" t="n"/>
      <c r="M169" s="109" t="n"/>
      <c r="N169" s="109" t="n"/>
      <c r="O169" s="220" t="n"/>
      <c r="P169" s="227">
        <f>IF(OR($E169="",$I169=""),"",IF(OR($J169="Tamamlandı",$J169="İptal"),"",$I169-TODAY()))</f>
        <v/>
      </c>
      <c r="Q169" s="113">
        <f>IF($E169="","",IF($D169="TANIMSIZ MÜŞTERİ","HATA",IF(OR($J169="Tamamlandı",$J169="İptal"),"KAPALI",IF(AND($C169="Görüşme",$N169=""),"SONRAKİ İŞLEM EKSİK",IF($I169="","TARİH EKSİK",IF($I169&lt;TODAY(),"GECİKMİŞ",IF($I169=TODAY(),"BUGÜN",IF($I169&lt;=TODAY()+7,"7 GÜN İÇİNDE","PLANLI"))))))))</f>
        <v/>
      </c>
      <c r="R169" s="6" t="n"/>
      <c r="S169" s="6" t="n"/>
      <c r="T169" s="3" t="n"/>
      <c r="U169" s="3">
        <f>IF($E169="","",UPPER(SUBSTITUTE(SUBSTITUTE(SUBSTITUTE(SUBSTITUTE(SUBSTITUTE(SUBSTITUTE(SUBSTITUTE(SUBSTITUTE(SUBSTITUTE(SUBSTITUTE(SUBSTITUTE(SUBSTITUTE(SUBSTITUTE(SUBSTITUTE(SUBSTITUTE(SUBSTITUTE(SUBSTITUTE(SUBSTITUTE(TRIM($E169),"'",""),"İ","I"),"ı","I"),"i","I"),"Ş","S"),"ş","S"),"Ğ","G"),"ğ","G"),"Ü","U"),"ü","U"),"Ö","O"),"ö","O"),"Ç","C"),"ç","C"),".",""),",","")," ",""),"-","")))</f>
        <v/>
      </c>
    </row>
    <row r="170">
      <c r="A170" s="6" t="n"/>
      <c r="B170" s="113">
        <f>IF($E170="","","A"&amp;TEXT(ROW()-6,"00000"))</f>
        <v/>
      </c>
      <c r="C170" s="108" t="n"/>
      <c r="D170" s="113">
        <f>IF($E170="","",IFERROR(INDEX(MUSTERILER!$B$7:$B$106,MATCH($U170,MUSTERILER!$T$7:$T$106,0)),IFERROR(INDEX(MUSTERILER!$B$7:$B$106,MATCH($E170,MUSTERILER!$B$7:$B$106,0)),IFERROR(INDEX(MUSTERILER!$B$7:$B$106,MATCH($U170&amp;"*",MUSTERILER!$T$7:$T$106,0)),"TANIMSIZ MÜŞTERİ"))))</f>
        <v/>
      </c>
      <c r="E170" s="109" t="n"/>
      <c r="F170" s="109" t="n"/>
      <c r="G170" s="108" t="n"/>
      <c r="H170" s="220" t="n"/>
      <c r="I170" s="220" t="n"/>
      <c r="J170" s="108" t="n"/>
      <c r="K170" s="108" t="n"/>
      <c r="L170" s="109" t="n"/>
      <c r="M170" s="109" t="n"/>
      <c r="N170" s="109" t="n"/>
      <c r="O170" s="220" t="n"/>
      <c r="P170" s="227">
        <f>IF(OR($E170="",$I170=""),"",IF(OR($J170="Tamamlandı",$J170="İptal"),"",$I170-TODAY()))</f>
        <v/>
      </c>
      <c r="Q170" s="113">
        <f>IF($E170="","",IF($D170="TANIMSIZ MÜŞTERİ","HATA",IF(OR($J170="Tamamlandı",$J170="İptal"),"KAPALI",IF(AND($C170="Görüşme",$N170=""),"SONRAKİ İŞLEM EKSİK",IF($I170="","TARİH EKSİK",IF($I170&lt;TODAY(),"GECİKMİŞ",IF($I170=TODAY(),"BUGÜN",IF($I170&lt;=TODAY()+7,"7 GÜN İÇİNDE","PLANLI"))))))))</f>
        <v/>
      </c>
      <c r="R170" s="6" t="n"/>
      <c r="S170" s="6" t="n"/>
      <c r="T170" s="3" t="n"/>
      <c r="U170" s="3">
        <f>IF($E170="","",UPPER(SUBSTITUTE(SUBSTITUTE(SUBSTITUTE(SUBSTITUTE(SUBSTITUTE(SUBSTITUTE(SUBSTITUTE(SUBSTITUTE(SUBSTITUTE(SUBSTITUTE(SUBSTITUTE(SUBSTITUTE(SUBSTITUTE(SUBSTITUTE(SUBSTITUTE(SUBSTITUTE(SUBSTITUTE(SUBSTITUTE(TRIM($E170),"'",""),"İ","I"),"ı","I"),"i","I"),"Ş","S"),"ş","S"),"Ğ","G"),"ğ","G"),"Ü","U"),"ü","U"),"Ö","O"),"ö","O"),"Ç","C"),"ç","C"),".",""),",","")," ",""),"-","")))</f>
        <v/>
      </c>
    </row>
    <row r="171">
      <c r="A171" s="6" t="n"/>
      <c r="B171" s="113">
        <f>IF($E171="","","A"&amp;TEXT(ROW()-6,"00000"))</f>
        <v/>
      </c>
      <c r="C171" s="108" t="n"/>
      <c r="D171" s="113">
        <f>IF($E171="","",IFERROR(INDEX(MUSTERILER!$B$7:$B$106,MATCH($U171,MUSTERILER!$T$7:$T$106,0)),IFERROR(INDEX(MUSTERILER!$B$7:$B$106,MATCH($E171,MUSTERILER!$B$7:$B$106,0)),IFERROR(INDEX(MUSTERILER!$B$7:$B$106,MATCH($U171&amp;"*",MUSTERILER!$T$7:$T$106,0)),"TANIMSIZ MÜŞTERİ"))))</f>
        <v/>
      </c>
      <c r="E171" s="109" t="n"/>
      <c r="F171" s="109" t="n"/>
      <c r="G171" s="108" t="n"/>
      <c r="H171" s="220" t="n"/>
      <c r="I171" s="220" t="n"/>
      <c r="J171" s="108" t="n"/>
      <c r="K171" s="108" t="n"/>
      <c r="L171" s="109" t="n"/>
      <c r="M171" s="109" t="n"/>
      <c r="N171" s="109" t="n"/>
      <c r="O171" s="220" t="n"/>
      <c r="P171" s="227">
        <f>IF(OR($E171="",$I171=""),"",IF(OR($J171="Tamamlandı",$J171="İptal"),"",$I171-TODAY()))</f>
        <v/>
      </c>
      <c r="Q171" s="113">
        <f>IF($E171="","",IF($D171="TANIMSIZ MÜŞTERİ","HATA",IF(OR($J171="Tamamlandı",$J171="İptal"),"KAPALI",IF(AND($C171="Görüşme",$N171=""),"SONRAKİ İŞLEM EKSİK",IF($I171="","TARİH EKSİK",IF($I171&lt;TODAY(),"GECİKMİŞ",IF($I171=TODAY(),"BUGÜN",IF($I171&lt;=TODAY()+7,"7 GÜN İÇİNDE","PLANLI"))))))))</f>
        <v/>
      </c>
      <c r="R171" s="6" t="n"/>
      <c r="S171" s="6" t="n"/>
      <c r="T171" s="3" t="n"/>
      <c r="U171" s="3">
        <f>IF($E171="","",UPPER(SUBSTITUTE(SUBSTITUTE(SUBSTITUTE(SUBSTITUTE(SUBSTITUTE(SUBSTITUTE(SUBSTITUTE(SUBSTITUTE(SUBSTITUTE(SUBSTITUTE(SUBSTITUTE(SUBSTITUTE(SUBSTITUTE(SUBSTITUTE(SUBSTITUTE(SUBSTITUTE(SUBSTITUTE(SUBSTITUTE(TRIM($E171),"'",""),"İ","I"),"ı","I"),"i","I"),"Ş","S"),"ş","S"),"Ğ","G"),"ğ","G"),"Ü","U"),"ü","U"),"Ö","O"),"ö","O"),"Ç","C"),"ç","C"),".",""),",","")," ",""),"-","")))</f>
        <v/>
      </c>
    </row>
    <row r="172">
      <c r="A172" s="6" t="n"/>
      <c r="B172" s="113">
        <f>IF($E172="","","A"&amp;TEXT(ROW()-6,"00000"))</f>
        <v/>
      </c>
      <c r="C172" s="108" t="n"/>
      <c r="D172" s="113">
        <f>IF($E172="","",IFERROR(INDEX(MUSTERILER!$B$7:$B$106,MATCH($U172,MUSTERILER!$T$7:$T$106,0)),IFERROR(INDEX(MUSTERILER!$B$7:$B$106,MATCH($E172,MUSTERILER!$B$7:$B$106,0)),IFERROR(INDEX(MUSTERILER!$B$7:$B$106,MATCH($U172&amp;"*",MUSTERILER!$T$7:$T$106,0)),"TANIMSIZ MÜŞTERİ"))))</f>
        <v/>
      </c>
      <c r="E172" s="109" t="n"/>
      <c r="F172" s="109" t="n"/>
      <c r="G172" s="108" t="n"/>
      <c r="H172" s="220" t="n"/>
      <c r="I172" s="220" t="n"/>
      <c r="J172" s="108" t="n"/>
      <c r="K172" s="108" t="n"/>
      <c r="L172" s="109" t="n"/>
      <c r="M172" s="109" t="n"/>
      <c r="N172" s="109" t="n"/>
      <c r="O172" s="220" t="n"/>
      <c r="P172" s="227">
        <f>IF(OR($E172="",$I172=""),"",IF(OR($J172="Tamamlandı",$J172="İptal"),"",$I172-TODAY()))</f>
        <v/>
      </c>
      <c r="Q172" s="113">
        <f>IF($E172="","",IF($D172="TANIMSIZ MÜŞTERİ","HATA",IF(OR($J172="Tamamlandı",$J172="İptal"),"KAPALI",IF(AND($C172="Görüşme",$N172=""),"SONRAKİ İŞLEM EKSİK",IF($I172="","TARİH EKSİK",IF($I172&lt;TODAY(),"GECİKMİŞ",IF($I172=TODAY(),"BUGÜN",IF($I172&lt;=TODAY()+7,"7 GÜN İÇİNDE","PLANLI"))))))))</f>
        <v/>
      </c>
      <c r="R172" s="6" t="n"/>
      <c r="S172" s="6" t="n"/>
      <c r="T172" s="3" t="n"/>
      <c r="U172" s="3">
        <f>IF($E172="","",UPPER(SUBSTITUTE(SUBSTITUTE(SUBSTITUTE(SUBSTITUTE(SUBSTITUTE(SUBSTITUTE(SUBSTITUTE(SUBSTITUTE(SUBSTITUTE(SUBSTITUTE(SUBSTITUTE(SUBSTITUTE(SUBSTITUTE(SUBSTITUTE(SUBSTITUTE(SUBSTITUTE(SUBSTITUTE(SUBSTITUTE(TRIM($E172),"'",""),"İ","I"),"ı","I"),"i","I"),"Ş","S"),"ş","S"),"Ğ","G"),"ğ","G"),"Ü","U"),"ü","U"),"Ö","O"),"ö","O"),"Ç","C"),"ç","C"),".",""),",","")," ",""),"-","")))</f>
        <v/>
      </c>
    </row>
    <row r="173">
      <c r="A173" s="6" t="n"/>
      <c r="B173" s="113">
        <f>IF($E173="","","A"&amp;TEXT(ROW()-6,"00000"))</f>
        <v/>
      </c>
      <c r="C173" s="108" t="n"/>
      <c r="D173" s="113">
        <f>IF($E173="","",IFERROR(INDEX(MUSTERILER!$B$7:$B$106,MATCH($U173,MUSTERILER!$T$7:$T$106,0)),IFERROR(INDEX(MUSTERILER!$B$7:$B$106,MATCH($E173,MUSTERILER!$B$7:$B$106,0)),IFERROR(INDEX(MUSTERILER!$B$7:$B$106,MATCH($U173&amp;"*",MUSTERILER!$T$7:$T$106,0)),"TANIMSIZ MÜŞTERİ"))))</f>
        <v/>
      </c>
      <c r="E173" s="109" t="n"/>
      <c r="F173" s="109" t="n"/>
      <c r="G173" s="108" t="n"/>
      <c r="H173" s="220" t="n"/>
      <c r="I173" s="220" t="n"/>
      <c r="J173" s="108" t="n"/>
      <c r="K173" s="108" t="n"/>
      <c r="L173" s="109" t="n"/>
      <c r="M173" s="109" t="n"/>
      <c r="N173" s="109" t="n"/>
      <c r="O173" s="220" t="n"/>
      <c r="P173" s="227">
        <f>IF(OR($E173="",$I173=""),"",IF(OR($J173="Tamamlandı",$J173="İptal"),"",$I173-TODAY()))</f>
        <v/>
      </c>
      <c r="Q173" s="113">
        <f>IF($E173="","",IF($D173="TANIMSIZ MÜŞTERİ","HATA",IF(OR($J173="Tamamlandı",$J173="İptal"),"KAPALI",IF(AND($C173="Görüşme",$N173=""),"SONRAKİ İŞLEM EKSİK",IF($I173="","TARİH EKSİK",IF($I173&lt;TODAY(),"GECİKMİŞ",IF($I173=TODAY(),"BUGÜN",IF($I173&lt;=TODAY()+7,"7 GÜN İÇİNDE","PLANLI"))))))))</f>
        <v/>
      </c>
      <c r="R173" s="6" t="n"/>
      <c r="S173" s="6" t="n"/>
      <c r="T173" s="3" t="n"/>
      <c r="U173" s="3">
        <f>IF($E173="","",UPPER(SUBSTITUTE(SUBSTITUTE(SUBSTITUTE(SUBSTITUTE(SUBSTITUTE(SUBSTITUTE(SUBSTITUTE(SUBSTITUTE(SUBSTITUTE(SUBSTITUTE(SUBSTITUTE(SUBSTITUTE(SUBSTITUTE(SUBSTITUTE(SUBSTITUTE(SUBSTITUTE(SUBSTITUTE(SUBSTITUTE(TRIM($E173),"'",""),"İ","I"),"ı","I"),"i","I"),"Ş","S"),"ş","S"),"Ğ","G"),"ğ","G"),"Ü","U"),"ü","U"),"Ö","O"),"ö","O"),"Ç","C"),"ç","C"),".",""),",","")," ",""),"-","")))</f>
        <v/>
      </c>
    </row>
    <row r="174">
      <c r="A174" s="6" t="n"/>
      <c r="B174" s="113">
        <f>IF($E174="","","A"&amp;TEXT(ROW()-6,"00000"))</f>
        <v/>
      </c>
      <c r="C174" s="108" t="n"/>
      <c r="D174" s="113">
        <f>IF($E174="","",IFERROR(INDEX(MUSTERILER!$B$7:$B$106,MATCH($U174,MUSTERILER!$T$7:$T$106,0)),IFERROR(INDEX(MUSTERILER!$B$7:$B$106,MATCH($E174,MUSTERILER!$B$7:$B$106,0)),IFERROR(INDEX(MUSTERILER!$B$7:$B$106,MATCH($U174&amp;"*",MUSTERILER!$T$7:$T$106,0)),"TANIMSIZ MÜŞTERİ"))))</f>
        <v/>
      </c>
      <c r="E174" s="109" t="n"/>
      <c r="F174" s="109" t="n"/>
      <c r="G174" s="108" t="n"/>
      <c r="H174" s="220" t="n"/>
      <c r="I174" s="220" t="n"/>
      <c r="J174" s="108" t="n"/>
      <c r="K174" s="108" t="n"/>
      <c r="L174" s="109" t="n"/>
      <c r="M174" s="109" t="n"/>
      <c r="N174" s="109" t="n"/>
      <c r="O174" s="220" t="n"/>
      <c r="P174" s="227">
        <f>IF(OR($E174="",$I174=""),"",IF(OR($J174="Tamamlandı",$J174="İptal"),"",$I174-TODAY()))</f>
        <v/>
      </c>
      <c r="Q174" s="113">
        <f>IF($E174="","",IF($D174="TANIMSIZ MÜŞTERİ","HATA",IF(OR($J174="Tamamlandı",$J174="İptal"),"KAPALI",IF(AND($C174="Görüşme",$N174=""),"SONRAKİ İŞLEM EKSİK",IF($I174="","TARİH EKSİK",IF($I174&lt;TODAY(),"GECİKMİŞ",IF($I174=TODAY(),"BUGÜN",IF($I174&lt;=TODAY()+7,"7 GÜN İÇİNDE","PLANLI"))))))))</f>
        <v/>
      </c>
      <c r="R174" s="6" t="n"/>
      <c r="S174" s="6" t="n"/>
      <c r="T174" s="3" t="n"/>
      <c r="U174" s="3">
        <f>IF($E174="","",UPPER(SUBSTITUTE(SUBSTITUTE(SUBSTITUTE(SUBSTITUTE(SUBSTITUTE(SUBSTITUTE(SUBSTITUTE(SUBSTITUTE(SUBSTITUTE(SUBSTITUTE(SUBSTITUTE(SUBSTITUTE(SUBSTITUTE(SUBSTITUTE(SUBSTITUTE(SUBSTITUTE(SUBSTITUTE(SUBSTITUTE(TRIM($E174),"'",""),"İ","I"),"ı","I"),"i","I"),"Ş","S"),"ş","S"),"Ğ","G"),"ğ","G"),"Ü","U"),"ü","U"),"Ö","O"),"ö","O"),"Ç","C"),"ç","C"),".",""),",","")," ",""),"-","")))</f>
        <v/>
      </c>
    </row>
    <row r="175">
      <c r="A175" s="6" t="n"/>
      <c r="B175" s="113">
        <f>IF($E175="","","A"&amp;TEXT(ROW()-6,"00000"))</f>
        <v/>
      </c>
      <c r="C175" s="108" t="n"/>
      <c r="D175" s="113">
        <f>IF($E175="","",IFERROR(INDEX(MUSTERILER!$B$7:$B$106,MATCH($U175,MUSTERILER!$T$7:$T$106,0)),IFERROR(INDEX(MUSTERILER!$B$7:$B$106,MATCH($E175,MUSTERILER!$B$7:$B$106,0)),IFERROR(INDEX(MUSTERILER!$B$7:$B$106,MATCH($U175&amp;"*",MUSTERILER!$T$7:$T$106,0)),"TANIMSIZ MÜŞTERİ"))))</f>
        <v/>
      </c>
      <c r="E175" s="109" t="n"/>
      <c r="F175" s="109" t="n"/>
      <c r="G175" s="108" t="n"/>
      <c r="H175" s="220" t="n"/>
      <c r="I175" s="220" t="n"/>
      <c r="J175" s="108" t="n"/>
      <c r="K175" s="108" t="n"/>
      <c r="L175" s="109" t="n"/>
      <c r="M175" s="109" t="n"/>
      <c r="N175" s="109" t="n"/>
      <c r="O175" s="220" t="n"/>
      <c r="P175" s="227">
        <f>IF(OR($E175="",$I175=""),"",IF(OR($J175="Tamamlandı",$J175="İptal"),"",$I175-TODAY()))</f>
        <v/>
      </c>
      <c r="Q175" s="113">
        <f>IF($E175="","",IF($D175="TANIMSIZ MÜŞTERİ","HATA",IF(OR($J175="Tamamlandı",$J175="İptal"),"KAPALI",IF(AND($C175="Görüşme",$N175=""),"SONRAKİ İŞLEM EKSİK",IF($I175="","TARİH EKSİK",IF($I175&lt;TODAY(),"GECİKMİŞ",IF($I175=TODAY(),"BUGÜN",IF($I175&lt;=TODAY()+7,"7 GÜN İÇİNDE","PLANLI"))))))))</f>
        <v/>
      </c>
      <c r="R175" s="6" t="n"/>
      <c r="S175" s="6" t="n"/>
      <c r="T175" s="3" t="n"/>
      <c r="U175" s="3">
        <f>IF($E175="","",UPPER(SUBSTITUTE(SUBSTITUTE(SUBSTITUTE(SUBSTITUTE(SUBSTITUTE(SUBSTITUTE(SUBSTITUTE(SUBSTITUTE(SUBSTITUTE(SUBSTITUTE(SUBSTITUTE(SUBSTITUTE(SUBSTITUTE(SUBSTITUTE(SUBSTITUTE(SUBSTITUTE(SUBSTITUTE(SUBSTITUTE(TRIM($E175),"'",""),"İ","I"),"ı","I"),"i","I"),"Ş","S"),"ş","S"),"Ğ","G"),"ğ","G"),"Ü","U"),"ü","U"),"Ö","O"),"ö","O"),"Ç","C"),"ç","C"),".",""),",","")," ",""),"-","")))</f>
        <v/>
      </c>
    </row>
    <row r="176">
      <c r="A176" s="6" t="n"/>
      <c r="B176" s="113">
        <f>IF($E176="","","A"&amp;TEXT(ROW()-6,"00000"))</f>
        <v/>
      </c>
      <c r="C176" s="108" t="n"/>
      <c r="D176" s="113">
        <f>IF($E176="","",IFERROR(INDEX(MUSTERILER!$B$7:$B$106,MATCH($U176,MUSTERILER!$T$7:$T$106,0)),IFERROR(INDEX(MUSTERILER!$B$7:$B$106,MATCH($E176,MUSTERILER!$B$7:$B$106,0)),IFERROR(INDEX(MUSTERILER!$B$7:$B$106,MATCH($U176&amp;"*",MUSTERILER!$T$7:$T$106,0)),"TANIMSIZ MÜŞTERİ"))))</f>
        <v/>
      </c>
      <c r="E176" s="109" t="n"/>
      <c r="F176" s="109" t="n"/>
      <c r="G176" s="108" t="n"/>
      <c r="H176" s="220" t="n"/>
      <c r="I176" s="220" t="n"/>
      <c r="J176" s="108" t="n"/>
      <c r="K176" s="108" t="n"/>
      <c r="L176" s="109" t="n"/>
      <c r="M176" s="109" t="n"/>
      <c r="N176" s="109" t="n"/>
      <c r="O176" s="220" t="n"/>
      <c r="P176" s="227">
        <f>IF(OR($E176="",$I176=""),"",IF(OR($J176="Tamamlandı",$J176="İptal"),"",$I176-TODAY()))</f>
        <v/>
      </c>
      <c r="Q176" s="113">
        <f>IF($E176="","",IF($D176="TANIMSIZ MÜŞTERİ","HATA",IF(OR($J176="Tamamlandı",$J176="İptal"),"KAPALI",IF(AND($C176="Görüşme",$N176=""),"SONRAKİ İŞLEM EKSİK",IF($I176="","TARİH EKSİK",IF($I176&lt;TODAY(),"GECİKMİŞ",IF($I176=TODAY(),"BUGÜN",IF($I176&lt;=TODAY()+7,"7 GÜN İÇİNDE","PLANLI"))))))))</f>
        <v/>
      </c>
      <c r="R176" s="6" t="n"/>
      <c r="S176" s="6" t="n"/>
      <c r="T176" s="3" t="n"/>
      <c r="U176" s="3">
        <f>IF($E176="","",UPPER(SUBSTITUTE(SUBSTITUTE(SUBSTITUTE(SUBSTITUTE(SUBSTITUTE(SUBSTITUTE(SUBSTITUTE(SUBSTITUTE(SUBSTITUTE(SUBSTITUTE(SUBSTITUTE(SUBSTITUTE(SUBSTITUTE(SUBSTITUTE(SUBSTITUTE(SUBSTITUTE(SUBSTITUTE(SUBSTITUTE(TRIM($E176),"'",""),"İ","I"),"ı","I"),"i","I"),"Ş","S"),"ş","S"),"Ğ","G"),"ğ","G"),"Ü","U"),"ü","U"),"Ö","O"),"ö","O"),"Ç","C"),"ç","C"),".",""),",","")," ",""),"-","")))</f>
        <v/>
      </c>
    </row>
    <row r="177">
      <c r="A177" s="6" t="n"/>
      <c r="B177" s="113">
        <f>IF($E177="","","A"&amp;TEXT(ROW()-6,"00000"))</f>
        <v/>
      </c>
      <c r="C177" s="108" t="n"/>
      <c r="D177" s="113">
        <f>IF($E177="","",IFERROR(INDEX(MUSTERILER!$B$7:$B$106,MATCH($U177,MUSTERILER!$T$7:$T$106,0)),IFERROR(INDEX(MUSTERILER!$B$7:$B$106,MATCH($E177,MUSTERILER!$B$7:$B$106,0)),IFERROR(INDEX(MUSTERILER!$B$7:$B$106,MATCH($U177&amp;"*",MUSTERILER!$T$7:$T$106,0)),"TANIMSIZ MÜŞTERİ"))))</f>
        <v/>
      </c>
      <c r="E177" s="109" t="n"/>
      <c r="F177" s="109" t="n"/>
      <c r="G177" s="108" t="n"/>
      <c r="H177" s="220" t="n"/>
      <c r="I177" s="220" t="n"/>
      <c r="J177" s="108" t="n"/>
      <c r="K177" s="108" t="n"/>
      <c r="L177" s="109" t="n"/>
      <c r="M177" s="109" t="n"/>
      <c r="N177" s="109" t="n"/>
      <c r="O177" s="220" t="n"/>
      <c r="P177" s="227">
        <f>IF(OR($E177="",$I177=""),"",IF(OR($J177="Tamamlandı",$J177="İptal"),"",$I177-TODAY()))</f>
        <v/>
      </c>
      <c r="Q177" s="113">
        <f>IF($E177="","",IF($D177="TANIMSIZ MÜŞTERİ","HATA",IF(OR($J177="Tamamlandı",$J177="İptal"),"KAPALI",IF(AND($C177="Görüşme",$N177=""),"SONRAKİ İŞLEM EKSİK",IF($I177="","TARİH EKSİK",IF($I177&lt;TODAY(),"GECİKMİŞ",IF($I177=TODAY(),"BUGÜN",IF($I177&lt;=TODAY()+7,"7 GÜN İÇİNDE","PLANLI"))))))))</f>
        <v/>
      </c>
      <c r="R177" s="6" t="n"/>
      <c r="S177" s="6" t="n"/>
      <c r="T177" s="3" t="n"/>
      <c r="U177" s="3">
        <f>IF($E177="","",UPPER(SUBSTITUTE(SUBSTITUTE(SUBSTITUTE(SUBSTITUTE(SUBSTITUTE(SUBSTITUTE(SUBSTITUTE(SUBSTITUTE(SUBSTITUTE(SUBSTITUTE(SUBSTITUTE(SUBSTITUTE(SUBSTITUTE(SUBSTITUTE(SUBSTITUTE(SUBSTITUTE(SUBSTITUTE(SUBSTITUTE(TRIM($E177),"'",""),"İ","I"),"ı","I"),"i","I"),"Ş","S"),"ş","S"),"Ğ","G"),"ğ","G"),"Ü","U"),"ü","U"),"Ö","O"),"ö","O"),"Ç","C"),"ç","C"),".",""),",","")," ",""),"-","")))</f>
        <v/>
      </c>
    </row>
    <row r="178">
      <c r="A178" s="6" t="n"/>
      <c r="B178" s="113">
        <f>IF($E178="","","A"&amp;TEXT(ROW()-6,"00000"))</f>
        <v/>
      </c>
      <c r="C178" s="108" t="n"/>
      <c r="D178" s="113">
        <f>IF($E178="","",IFERROR(INDEX(MUSTERILER!$B$7:$B$106,MATCH($U178,MUSTERILER!$T$7:$T$106,0)),IFERROR(INDEX(MUSTERILER!$B$7:$B$106,MATCH($E178,MUSTERILER!$B$7:$B$106,0)),IFERROR(INDEX(MUSTERILER!$B$7:$B$106,MATCH($U178&amp;"*",MUSTERILER!$T$7:$T$106,0)),"TANIMSIZ MÜŞTERİ"))))</f>
        <v/>
      </c>
      <c r="E178" s="109" t="n"/>
      <c r="F178" s="109" t="n"/>
      <c r="G178" s="108" t="n"/>
      <c r="H178" s="220" t="n"/>
      <c r="I178" s="220" t="n"/>
      <c r="J178" s="108" t="n"/>
      <c r="K178" s="108" t="n"/>
      <c r="L178" s="109" t="n"/>
      <c r="M178" s="109" t="n"/>
      <c r="N178" s="109" t="n"/>
      <c r="O178" s="220" t="n"/>
      <c r="P178" s="227">
        <f>IF(OR($E178="",$I178=""),"",IF(OR($J178="Tamamlandı",$J178="İptal"),"",$I178-TODAY()))</f>
        <v/>
      </c>
      <c r="Q178" s="113">
        <f>IF($E178="","",IF($D178="TANIMSIZ MÜŞTERİ","HATA",IF(OR($J178="Tamamlandı",$J178="İptal"),"KAPALI",IF(AND($C178="Görüşme",$N178=""),"SONRAKİ İŞLEM EKSİK",IF($I178="","TARİH EKSİK",IF($I178&lt;TODAY(),"GECİKMİŞ",IF($I178=TODAY(),"BUGÜN",IF($I178&lt;=TODAY()+7,"7 GÜN İÇİNDE","PLANLI"))))))))</f>
        <v/>
      </c>
      <c r="R178" s="6" t="n"/>
      <c r="S178" s="6" t="n"/>
      <c r="T178" s="3" t="n"/>
      <c r="U178" s="3">
        <f>IF($E178="","",UPPER(SUBSTITUTE(SUBSTITUTE(SUBSTITUTE(SUBSTITUTE(SUBSTITUTE(SUBSTITUTE(SUBSTITUTE(SUBSTITUTE(SUBSTITUTE(SUBSTITUTE(SUBSTITUTE(SUBSTITUTE(SUBSTITUTE(SUBSTITUTE(SUBSTITUTE(SUBSTITUTE(SUBSTITUTE(SUBSTITUTE(TRIM($E178),"'",""),"İ","I"),"ı","I"),"i","I"),"Ş","S"),"ş","S"),"Ğ","G"),"ğ","G"),"Ü","U"),"ü","U"),"Ö","O"),"ö","O"),"Ç","C"),"ç","C"),".",""),",","")," ",""),"-","")))</f>
        <v/>
      </c>
    </row>
    <row r="179">
      <c r="A179" s="6" t="n"/>
      <c r="B179" s="113">
        <f>IF($E179="","","A"&amp;TEXT(ROW()-6,"00000"))</f>
        <v/>
      </c>
      <c r="C179" s="108" t="n"/>
      <c r="D179" s="113">
        <f>IF($E179="","",IFERROR(INDEX(MUSTERILER!$B$7:$B$106,MATCH($U179,MUSTERILER!$T$7:$T$106,0)),IFERROR(INDEX(MUSTERILER!$B$7:$B$106,MATCH($E179,MUSTERILER!$B$7:$B$106,0)),IFERROR(INDEX(MUSTERILER!$B$7:$B$106,MATCH($U179&amp;"*",MUSTERILER!$T$7:$T$106,0)),"TANIMSIZ MÜŞTERİ"))))</f>
        <v/>
      </c>
      <c r="E179" s="109" t="n"/>
      <c r="F179" s="109" t="n"/>
      <c r="G179" s="108" t="n"/>
      <c r="H179" s="220" t="n"/>
      <c r="I179" s="220" t="n"/>
      <c r="J179" s="108" t="n"/>
      <c r="K179" s="108" t="n"/>
      <c r="L179" s="109" t="n"/>
      <c r="M179" s="109" t="n"/>
      <c r="N179" s="109" t="n"/>
      <c r="O179" s="220" t="n"/>
      <c r="P179" s="227">
        <f>IF(OR($E179="",$I179=""),"",IF(OR($J179="Tamamlandı",$J179="İptal"),"",$I179-TODAY()))</f>
        <v/>
      </c>
      <c r="Q179" s="113">
        <f>IF($E179="","",IF($D179="TANIMSIZ MÜŞTERİ","HATA",IF(OR($J179="Tamamlandı",$J179="İptal"),"KAPALI",IF(AND($C179="Görüşme",$N179=""),"SONRAKİ İŞLEM EKSİK",IF($I179="","TARİH EKSİK",IF($I179&lt;TODAY(),"GECİKMİŞ",IF($I179=TODAY(),"BUGÜN",IF($I179&lt;=TODAY()+7,"7 GÜN İÇİNDE","PLANLI"))))))))</f>
        <v/>
      </c>
      <c r="R179" s="6" t="n"/>
      <c r="S179" s="6" t="n"/>
      <c r="T179" s="3" t="n"/>
      <c r="U179" s="3">
        <f>IF($E179="","",UPPER(SUBSTITUTE(SUBSTITUTE(SUBSTITUTE(SUBSTITUTE(SUBSTITUTE(SUBSTITUTE(SUBSTITUTE(SUBSTITUTE(SUBSTITUTE(SUBSTITUTE(SUBSTITUTE(SUBSTITUTE(SUBSTITUTE(SUBSTITUTE(SUBSTITUTE(SUBSTITUTE(SUBSTITUTE(SUBSTITUTE(TRIM($E179),"'",""),"İ","I"),"ı","I"),"i","I"),"Ş","S"),"ş","S"),"Ğ","G"),"ğ","G"),"Ü","U"),"ü","U"),"Ö","O"),"ö","O"),"Ç","C"),"ç","C"),".",""),",","")," ",""),"-","")))</f>
        <v/>
      </c>
    </row>
    <row r="180">
      <c r="A180" s="6" t="n"/>
      <c r="B180" s="113">
        <f>IF($E180="","","A"&amp;TEXT(ROW()-6,"00000"))</f>
        <v/>
      </c>
      <c r="C180" s="108" t="n"/>
      <c r="D180" s="113">
        <f>IF($E180="","",IFERROR(INDEX(MUSTERILER!$B$7:$B$106,MATCH($U180,MUSTERILER!$T$7:$T$106,0)),IFERROR(INDEX(MUSTERILER!$B$7:$B$106,MATCH($E180,MUSTERILER!$B$7:$B$106,0)),IFERROR(INDEX(MUSTERILER!$B$7:$B$106,MATCH($U180&amp;"*",MUSTERILER!$T$7:$T$106,0)),"TANIMSIZ MÜŞTERİ"))))</f>
        <v/>
      </c>
      <c r="E180" s="109" t="n"/>
      <c r="F180" s="109" t="n"/>
      <c r="G180" s="108" t="n"/>
      <c r="H180" s="220" t="n"/>
      <c r="I180" s="220" t="n"/>
      <c r="J180" s="108" t="n"/>
      <c r="K180" s="108" t="n"/>
      <c r="L180" s="109" t="n"/>
      <c r="M180" s="109" t="n"/>
      <c r="N180" s="109" t="n"/>
      <c r="O180" s="220" t="n"/>
      <c r="P180" s="227">
        <f>IF(OR($E180="",$I180=""),"",IF(OR($J180="Tamamlandı",$J180="İptal"),"",$I180-TODAY()))</f>
        <v/>
      </c>
      <c r="Q180" s="113">
        <f>IF($E180="","",IF($D180="TANIMSIZ MÜŞTERİ","HATA",IF(OR($J180="Tamamlandı",$J180="İptal"),"KAPALI",IF(AND($C180="Görüşme",$N180=""),"SONRAKİ İŞLEM EKSİK",IF($I180="","TARİH EKSİK",IF($I180&lt;TODAY(),"GECİKMİŞ",IF($I180=TODAY(),"BUGÜN",IF($I180&lt;=TODAY()+7,"7 GÜN İÇİNDE","PLANLI"))))))))</f>
        <v/>
      </c>
      <c r="R180" s="6" t="n"/>
      <c r="S180" s="6" t="n"/>
      <c r="T180" s="3" t="n"/>
      <c r="U180" s="3">
        <f>IF($E180="","",UPPER(SUBSTITUTE(SUBSTITUTE(SUBSTITUTE(SUBSTITUTE(SUBSTITUTE(SUBSTITUTE(SUBSTITUTE(SUBSTITUTE(SUBSTITUTE(SUBSTITUTE(SUBSTITUTE(SUBSTITUTE(SUBSTITUTE(SUBSTITUTE(SUBSTITUTE(SUBSTITUTE(SUBSTITUTE(SUBSTITUTE(TRIM($E180),"'",""),"İ","I"),"ı","I"),"i","I"),"Ş","S"),"ş","S"),"Ğ","G"),"ğ","G"),"Ü","U"),"ü","U"),"Ö","O"),"ö","O"),"Ç","C"),"ç","C"),".",""),",","")," ",""),"-","")))</f>
        <v/>
      </c>
    </row>
    <row r="181">
      <c r="A181" s="6" t="n"/>
      <c r="B181" s="113">
        <f>IF($E181="","","A"&amp;TEXT(ROW()-6,"00000"))</f>
        <v/>
      </c>
      <c r="C181" s="108" t="n"/>
      <c r="D181" s="113">
        <f>IF($E181="","",IFERROR(INDEX(MUSTERILER!$B$7:$B$106,MATCH($U181,MUSTERILER!$T$7:$T$106,0)),IFERROR(INDEX(MUSTERILER!$B$7:$B$106,MATCH($E181,MUSTERILER!$B$7:$B$106,0)),IFERROR(INDEX(MUSTERILER!$B$7:$B$106,MATCH($U181&amp;"*",MUSTERILER!$T$7:$T$106,0)),"TANIMSIZ MÜŞTERİ"))))</f>
        <v/>
      </c>
      <c r="E181" s="109" t="n"/>
      <c r="F181" s="109" t="n"/>
      <c r="G181" s="108" t="n"/>
      <c r="H181" s="220" t="n"/>
      <c r="I181" s="220" t="n"/>
      <c r="J181" s="108" t="n"/>
      <c r="K181" s="108" t="n"/>
      <c r="L181" s="109" t="n"/>
      <c r="M181" s="109" t="n"/>
      <c r="N181" s="109" t="n"/>
      <c r="O181" s="220" t="n"/>
      <c r="P181" s="227">
        <f>IF(OR($E181="",$I181=""),"",IF(OR($J181="Tamamlandı",$J181="İptal"),"",$I181-TODAY()))</f>
        <v/>
      </c>
      <c r="Q181" s="113">
        <f>IF($E181="","",IF($D181="TANIMSIZ MÜŞTERİ","HATA",IF(OR($J181="Tamamlandı",$J181="İptal"),"KAPALI",IF(AND($C181="Görüşme",$N181=""),"SONRAKİ İŞLEM EKSİK",IF($I181="","TARİH EKSİK",IF($I181&lt;TODAY(),"GECİKMİŞ",IF($I181=TODAY(),"BUGÜN",IF($I181&lt;=TODAY()+7,"7 GÜN İÇİNDE","PLANLI"))))))))</f>
        <v/>
      </c>
      <c r="R181" s="6" t="n"/>
      <c r="S181" s="6" t="n"/>
      <c r="T181" s="3" t="n"/>
      <c r="U181" s="3">
        <f>IF($E181="","",UPPER(SUBSTITUTE(SUBSTITUTE(SUBSTITUTE(SUBSTITUTE(SUBSTITUTE(SUBSTITUTE(SUBSTITUTE(SUBSTITUTE(SUBSTITUTE(SUBSTITUTE(SUBSTITUTE(SUBSTITUTE(SUBSTITUTE(SUBSTITUTE(SUBSTITUTE(SUBSTITUTE(SUBSTITUTE(SUBSTITUTE(TRIM($E181),"'",""),"İ","I"),"ı","I"),"i","I"),"Ş","S"),"ş","S"),"Ğ","G"),"ğ","G"),"Ü","U"),"ü","U"),"Ö","O"),"ö","O"),"Ç","C"),"ç","C"),".",""),",","")," ",""),"-","")))</f>
        <v/>
      </c>
    </row>
    <row r="182">
      <c r="A182" s="6" t="n"/>
      <c r="B182" s="113">
        <f>IF($E182="","","A"&amp;TEXT(ROW()-6,"00000"))</f>
        <v/>
      </c>
      <c r="C182" s="108" t="n"/>
      <c r="D182" s="113">
        <f>IF($E182="","",IFERROR(INDEX(MUSTERILER!$B$7:$B$106,MATCH($U182,MUSTERILER!$T$7:$T$106,0)),IFERROR(INDEX(MUSTERILER!$B$7:$B$106,MATCH($E182,MUSTERILER!$B$7:$B$106,0)),IFERROR(INDEX(MUSTERILER!$B$7:$B$106,MATCH($U182&amp;"*",MUSTERILER!$T$7:$T$106,0)),"TANIMSIZ MÜŞTERİ"))))</f>
        <v/>
      </c>
      <c r="E182" s="109" t="n"/>
      <c r="F182" s="109" t="n"/>
      <c r="G182" s="108" t="n"/>
      <c r="H182" s="220" t="n"/>
      <c r="I182" s="220" t="n"/>
      <c r="J182" s="108" t="n"/>
      <c r="K182" s="108" t="n"/>
      <c r="L182" s="109" t="n"/>
      <c r="M182" s="109" t="n"/>
      <c r="N182" s="109" t="n"/>
      <c r="O182" s="220" t="n"/>
      <c r="P182" s="227">
        <f>IF(OR($E182="",$I182=""),"",IF(OR($J182="Tamamlandı",$J182="İptal"),"",$I182-TODAY()))</f>
        <v/>
      </c>
      <c r="Q182" s="113">
        <f>IF($E182="","",IF($D182="TANIMSIZ MÜŞTERİ","HATA",IF(OR($J182="Tamamlandı",$J182="İptal"),"KAPALI",IF(AND($C182="Görüşme",$N182=""),"SONRAKİ İŞLEM EKSİK",IF($I182="","TARİH EKSİK",IF($I182&lt;TODAY(),"GECİKMİŞ",IF($I182=TODAY(),"BUGÜN",IF($I182&lt;=TODAY()+7,"7 GÜN İÇİNDE","PLANLI"))))))))</f>
        <v/>
      </c>
      <c r="R182" s="6" t="n"/>
      <c r="S182" s="6" t="n"/>
      <c r="T182" s="3" t="n"/>
      <c r="U182" s="3">
        <f>IF($E182="","",UPPER(SUBSTITUTE(SUBSTITUTE(SUBSTITUTE(SUBSTITUTE(SUBSTITUTE(SUBSTITUTE(SUBSTITUTE(SUBSTITUTE(SUBSTITUTE(SUBSTITUTE(SUBSTITUTE(SUBSTITUTE(SUBSTITUTE(SUBSTITUTE(SUBSTITUTE(SUBSTITUTE(SUBSTITUTE(SUBSTITUTE(TRIM($E182),"'",""),"İ","I"),"ı","I"),"i","I"),"Ş","S"),"ş","S"),"Ğ","G"),"ğ","G"),"Ü","U"),"ü","U"),"Ö","O"),"ö","O"),"Ç","C"),"ç","C"),".",""),",","")," ",""),"-","")))</f>
        <v/>
      </c>
    </row>
    <row r="183">
      <c r="A183" s="6" t="n"/>
      <c r="B183" s="113">
        <f>IF($E183="","","A"&amp;TEXT(ROW()-6,"00000"))</f>
        <v/>
      </c>
      <c r="C183" s="108" t="n"/>
      <c r="D183" s="113">
        <f>IF($E183="","",IFERROR(INDEX(MUSTERILER!$B$7:$B$106,MATCH($U183,MUSTERILER!$T$7:$T$106,0)),IFERROR(INDEX(MUSTERILER!$B$7:$B$106,MATCH($E183,MUSTERILER!$B$7:$B$106,0)),IFERROR(INDEX(MUSTERILER!$B$7:$B$106,MATCH($U183&amp;"*",MUSTERILER!$T$7:$T$106,0)),"TANIMSIZ MÜŞTERİ"))))</f>
        <v/>
      </c>
      <c r="E183" s="109" t="n"/>
      <c r="F183" s="109" t="n"/>
      <c r="G183" s="108" t="n"/>
      <c r="H183" s="220" t="n"/>
      <c r="I183" s="220" t="n"/>
      <c r="J183" s="108" t="n"/>
      <c r="K183" s="108" t="n"/>
      <c r="L183" s="109" t="n"/>
      <c r="M183" s="109" t="n"/>
      <c r="N183" s="109" t="n"/>
      <c r="O183" s="220" t="n"/>
      <c r="P183" s="227">
        <f>IF(OR($E183="",$I183=""),"",IF(OR($J183="Tamamlandı",$J183="İptal"),"",$I183-TODAY()))</f>
        <v/>
      </c>
      <c r="Q183" s="113">
        <f>IF($E183="","",IF($D183="TANIMSIZ MÜŞTERİ","HATA",IF(OR($J183="Tamamlandı",$J183="İptal"),"KAPALI",IF(AND($C183="Görüşme",$N183=""),"SONRAKİ İŞLEM EKSİK",IF($I183="","TARİH EKSİK",IF($I183&lt;TODAY(),"GECİKMİŞ",IF($I183=TODAY(),"BUGÜN",IF($I183&lt;=TODAY()+7,"7 GÜN İÇİNDE","PLANLI"))))))))</f>
        <v/>
      </c>
      <c r="R183" s="6" t="n"/>
      <c r="S183" s="6" t="n"/>
      <c r="T183" s="3" t="n"/>
      <c r="U183" s="3">
        <f>IF($E183="","",UPPER(SUBSTITUTE(SUBSTITUTE(SUBSTITUTE(SUBSTITUTE(SUBSTITUTE(SUBSTITUTE(SUBSTITUTE(SUBSTITUTE(SUBSTITUTE(SUBSTITUTE(SUBSTITUTE(SUBSTITUTE(SUBSTITUTE(SUBSTITUTE(SUBSTITUTE(SUBSTITUTE(SUBSTITUTE(SUBSTITUTE(TRIM($E183),"'",""),"İ","I"),"ı","I"),"i","I"),"Ş","S"),"ş","S"),"Ğ","G"),"ğ","G"),"Ü","U"),"ü","U"),"Ö","O"),"ö","O"),"Ç","C"),"ç","C"),".",""),",","")," ",""),"-","")))</f>
        <v/>
      </c>
    </row>
    <row r="184">
      <c r="A184" s="6" t="n"/>
      <c r="B184" s="113">
        <f>IF($E184="","","A"&amp;TEXT(ROW()-6,"00000"))</f>
        <v/>
      </c>
      <c r="C184" s="108" t="n"/>
      <c r="D184" s="113">
        <f>IF($E184="","",IFERROR(INDEX(MUSTERILER!$B$7:$B$106,MATCH($U184,MUSTERILER!$T$7:$T$106,0)),IFERROR(INDEX(MUSTERILER!$B$7:$B$106,MATCH($E184,MUSTERILER!$B$7:$B$106,0)),IFERROR(INDEX(MUSTERILER!$B$7:$B$106,MATCH($U184&amp;"*",MUSTERILER!$T$7:$T$106,0)),"TANIMSIZ MÜŞTERİ"))))</f>
        <v/>
      </c>
      <c r="E184" s="109" t="n"/>
      <c r="F184" s="109" t="n"/>
      <c r="G184" s="108" t="n"/>
      <c r="H184" s="220" t="n"/>
      <c r="I184" s="220" t="n"/>
      <c r="J184" s="108" t="n"/>
      <c r="K184" s="108" t="n"/>
      <c r="L184" s="109" t="n"/>
      <c r="M184" s="109" t="n"/>
      <c r="N184" s="109" t="n"/>
      <c r="O184" s="220" t="n"/>
      <c r="P184" s="227">
        <f>IF(OR($E184="",$I184=""),"",IF(OR($J184="Tamamlandı",$J184="İptal"),"",$I184-TODAY()))</f>
        <v/>
      </c>
      <c r="Q184" s="113">
        <f>IF($E184="","",IF($D184="TANIMSIZ MÜŞTERİ","HATA",IF(OR($J184="Tamamlandı",$J184="İptal"),"KAPALI",IF(AND($C184="Görüşme",$N184=""),"SONRAKİ İŞLEM EKSİK",IF($I184="","TARİH EKSİK",IF($I184&lt;TODAY(),"GECİKMİŞ",IF($I184=TODAY(),"BUGÜN",IF($I184&lt;=TODAY()+7,"7 GÜN İÇİNDE","PLANLI"))))))))</f>
        <v/>
      </c>
      <c r="R184" s="6" t="n"/>
      <c r="S184" s="6" t="n"/>
      <c r="T184" s="3" t="n"/>
      <c r="U184" s="3">
        <f>IF($E184="","",UPPER(SUBSTITUTE(SUBSTITUTE(SUBSTITUTE(SUBSTITUTE(SUBSTITUTE(SUBSTITUTE(SUBSTITUTE(SUBSTITUTE(SUBSTITUTE(SUBSTITUTE(SUBSTITUTE(SUBSTITUTE(SUBSTITUTE(SUBSTITUTE(SUBSTITUTE(SUBSTITUTE(SUBSTITUTE(SUBSTITUTE(TRIM($E184),"'",""),"İ","I"),"ı","I"),"i","I"),"Ş","S"),"ş","S"),"Ğ","G"),"ğ","G"),"Ü","U"),"ü","U"),"Ö","O"),"ö","O"),"Ç","C"),"ç","C"),".",""),",","")," ",""),"-","")))</f>
        <v/>
      </c>
    </row>
    <row r="185">
      <c r="A185" s="6" t="n"/>
      <c r="B185" s="113">
        <f>IF($E185="","","A"&amp;TEXT(ROW()-6,"00000"))</f>
        <v/>
      </c>
      <c r="C185" s="108" t="n"/>
      <c r="D185" s="113">
        <f>IF($E185="","",IFERROR(INDEX(MUSTERILER!$B$7:$B$106,MATCH($U185,MUSTERILER!$T$7:$T$106,0)),IFERROR(INDEX(MUSTERILER!$B$7:$B$106,MATCH($E185,MUSTERILER!$B$7:$B$106,0)),IFERROR(INDEX(MUSTERILER!$B$7:$B$106,MATCH($U185&amp;"*",MUSTERILER!$T$7:$T$106,0)),"TANIMSIZ MÜŞTERİ"))))</f>
        <v/>
      </c>
      <c r="E185" s="109" t="n"/>
      <c r="F185" s="109" t="n"/>
      <c r="G185" s="108" t="n"/>
      <c r="H185" s="220" t="n"/>
      <c r="I185" s="220" t="n"/>
      <c r="J185" s="108" t="n"/>
      <c r="K185" s="108" t="n"/>
      <c r="L185" s="109" t="n"/>
      <c r="M185" s="109" t="n"/>
      <c r="N185" s="109" t="n"/>
      <c r="O185" s="220" t="n"/>
      <c r="P185" s="227">
        <f>IF(OR($E185="",$I185=""),"",IF(OR($J185="Tamamlandı",$J185="İptal"),"",$I185-TODAY()))</f>
        <v/>
      </c>
      <c r="Q185" s="113">
        <f>IF($E185="","",IF($D185="TANIMSIZ MÜŞTERİ","HATA",IF(OR($J185="Tamamlandı",$J185="İptal"),"KAPALI",IF(AND($C185="Görüşme",$N185=""),"SONRAKİ İŞLEM EKSİK",IF($I185="","TARİH EKSİK",IF($I185&lt;TODAY(),"GECİKMİŞ",IF($I185=TODAY(),"BUGÜN",IF($I185&lt;=TODAY()+7,"7 GÜN İÇİNDE","PLANLI"))))))))</f>
        <v/>
      </c>
      <c r="R185" s="6" t="n"/>
      <c r="S185" s="6" t="n"/>
      <c r="T185" s="3" t="n"/>
      <c r="U185" s="3">
        <f>IF($E185="","",UPPER(SUBSTITUTE(SUBSTITUTE(SUBSTITUTE(SUBSTITUTE(SUBSTITUTE(SUBSTITUTE(SUBSTITUTE(SUBSTITUTE(SUBSTITUTE(SUBSTITUTE(SUBSTITUTE(SUBSTITUTE(SUBSTITUTE(SUBSTITUTE(SUBSTITUTE(SUBSTITUTE(SUBSTITUTE(SUBSTITUTE(TRIM($E185),"'",""),"İ","I"),"ı","I"),"i","I"),"Ş","S"),"ş","S"),"Ğ","G"),"ğ","G"),"Ü","U"),"ü","U"),"Ö","O"),"ö","O"),"Ç","C"),"ç","C"),".",""),",","")," ",""),"-","")))</f>
        <v/>
      </c>
    </row>
    <row r="186">
      <c r="A186" s="6" t="n"/>
      <c r="B186" s="113">
        <f>IF($E186="","","A"&amp;TEXT(ROW()-6,"00000"))</f>
        <v/>
      </c>
      <c r="C186" s="108" t="n"/>
      <c r="D186" s="113">
        <f>IF($E186="","",IFERROR(INDEX(MUSTERILER!$B$7:$B$106,MATCH($U186,MUSTERILER!$T$7:$T$106,0)),IFERROR(INDEX(MUSTERILER!$B$7:$B$106,MATCH($E186,MUSTERILER!$B$7:$B$106,0)),IFERROR(INDEX(MUSTERILER!$B$7:$B$106,MATCH($U186&amp;"*",MUSTERILER!$T$7:$T$106,0)),"TANIMSIZ MÜŞTERİ"))))</f>
        <v/>
      </c>
      <c r="E186" s="109" t="n"/>
      <c r="F186" s="109" t="n"/>
      <c r="G186" s="108" t="n"/>
      <c r="H186" s="220" t="n"/>
      <c r="I186" s="220" t="n"/>
      <c r="J186" s="108" t="n"/>
      <c r="K186" s="108" t="n"/>
      <c r="L186" s="109" t="n"/>
      <c r="M186" s="109" t="n"/>
      <c r="N186" s="109" t="n"/>
      <c r="O186" s="220" t="n"/>
      <c r="P186" s="227">
        <f>IF(OR($E186="",$I186=""),"",IF(OR($J186="Tamamlandı",$J186="İptal"),"",$I186-TODAY()))</f>
        <v/>
      </c>
      <c r="Q186" s="113">
        <f>IF($E186="","",IF($D186="TANIMSIZ MÜŞTERİ","HATA",IF(OR($J186="Tamamlandı",$J186="İptal"),"KAPALI",IF(AND($C186="Görüşme",$N186=""),"SONRAKİ İŞLEM EKSİK",IF($I186="","TARİH EKSİK",IF($I186&lt;TODAY(),"GECİKMİŞ",IF($I186=TODAY(),"BUGÜN",IF($I186&lt;=TODAY()+7,"7 GÜN İÇİNDE","PLANLI"))))))))</f>
        <v/>
      </c>
      <c r="R186" s="6" t="n"/>
      <c r="S186" s="6" t="n"/>
      <c r="T186" s="3" t="n"/>
      <c r="U186" s="3">
        <f>IF($E186="","",UPPER(SUBSTITUTE(SUBSTITUTE(SUBSTITUTE(SUBSTITUTE(SUBSTITUTE(SUBSTITUTE(SUBSTITUTE(SUBSTITUTE(SUBSTITUTE(SUBSTITUTE(SUBSTITUTE(SUBSTITUTE(SUBSTITUTE(SUBSTITUTE(SUBSTITUTE(SUBSTITUTE(SUBSTITUTE(SUBSTITUTE(TRIM($E186),"'",""),"İ","I"),"ı","I"),"i","I"),"Ş","S"),"ş","S"),"Ğ","G"),"ğ","G"),"Ü","U"),"ü","U"),"Ö","O"),"ö","O"),"Ç","C"),"ç","C"),".",""),",","")," ",""),"-","")))</f>
        <v/>
      </c>
    </row>
    <row r="187">
      <c r="A187" s="6" t="n"/>
      <c r="B187" s="113">
        <f>IF($E187="","","A"&amp;TEXT(ROW()-6,"00000"))</f>
        <v/>
      </c>
      <c r="C187" s="108" t="n"/>
      <c r="D187" s="113">
        <f>IF($E187="","",IFERROR(INDEX(MUSTERILER!$B$7:$B$106,MATCH($U187,MUSTERILER!$T$7:$T$106,0)),IFERROR(INDEX(MUSTERILER!$B$7:$B$106,MATCH($E187,MUSTERILER!$B$7:$B$106,0)),IFERROR(INDEX(MUSTERILER!$B$7:$B$106,MATCH($U187&amp;"*",MUSTERILER!$T$7:$T$106,0)),"TANIMSIZ MÜŞTERİ"))))</f>
        <v/>
      </c>
      <c r="E187" s="109" t="n"/>
      <c r="F187" s="109" t="n"/>
      <c r="G187" s="108" t="n"/>
      <c r="H187" s="220" t="n"/>
      <c r="I187" s="220" t="n"/>
      <c r="J187" s="108" t="n"/>
      <c r="K187" s="108" t="n"/>
      <c r="L187" s="109" t="n"/>
      <c r="M187" s="109" t="n"/>
      <c r="N187" s="109" t="n"/>
      <c r="O187" s="220" t="n"/>
      <c r="P187" s="227">
        <f>IF(OR($E187="",$I187=""),"",IF(OR($J187="Tamamlandı",$J187="İptal"),"",$I187-TODAY()))</f>
        <v/>
      </c>
      <c r="Q187" s="113">
        <f>IF($E187="","",IF($D187="TANIMSIZ MÜŞTERİ","HATA",IF(OR($J187="Tamamlandı",$J187="İptal"),"KAPALI",IF(AND($C187="Görüşme",$N187=""),"SONRAKİ İŞLEM EKSİK",IF($I187="","TARİH EKSİK",IF($I187&lt;TODAY(),"GECİKMİŞ",IF($I187=TODAY(),"BUGÜN",IF($I187&lt;=TODAY()+7,"7 GÜN İÇİNDE","PLANLI"))))))))</f>
        <v/>
      </c>
      <c r="R187" s="6" t="n"/>
      <c r="S187" s="6" t="n"/>
      <c r="T187" s="3" t="n"/>
      <c r="U187" s="3">
        <f>IF($E187="","",UPPER(SUBSTITUTE(SUBSTITUTE(SUBSTITUTE(SUBSTITUTE(SUBSTITUTE(SUBSTITUTE(SUBSTITUTE(SUBSTITUTE(SUBSTITUTE(SUBSTITUTE(SUBSTITUTE(SUBSTITUTE(SUBSTITUTE(SUBSTITUTE(SUBSTITUTE(SUBSTITUTE(SUBSTITUTE(SUBSTITUTE(TRIM($E187),"'",""),"İ","I"),"ı","I"),"i","I"),"Ş","S"),"ş","S"),"Ğ","G"),"ğ","G"),"Ü","U"),"ü","U"),"Ö","O"),"ö","O"),"Ç","C"),"ç","C"),".",""),",","")," ",""),"-","")))</f>
        <v/>
      </c>
    </row>
    <row r="188">
      <c r="A188" s="6" t="n"/>
      <c r="B188" s="113">
        <f>IF($E188="","","A"&amp;TEXT(ROW()-6,"00000"))</f>
        <v/>
      </c>
      <c r="C188" s="108" t="n"/>
      <c r="D188" s="113">
        <f>IF($E188="","",IFERROR(INDEX(MUSTERILER!$B$7:$B$106,MATCH($U188,MUSTERILER!$T$7:$T$106,0)),IFERROR(INDEX(MUSTERILER!$B$7:$B$106,MATCH($E188,MUSTERILER!$B$7:$B$106,0)),IFERROR(INDEX(MUSTERILER!$B$7:$B$106,MATCH($U188&amp;"*",MUSTERILER!$T$7:$T$106,0)),"TANIMSIZ MÜŞTERİ"))))</f>
        <v/>
      </c>
      <c r="E188" s="109" t="n"/>
      <c r="F188" s="109" t="n"/>
      <c r="G188" s="108" t="n"/>
      <c r="H188" s="220" t="n"/>
      <c r="I188" s="220" t="n"/>
      <c r="J188" s="108" t="n"/>
      <c r="K188" s="108" t="n"/>
      <c r="L188" s="109" t="n"/>
      <c r="M188" s="109" t="n"/>
      <c r="N188" s="109" t="n"/>
      <c r="O188" s="220" t="n"/>
      <c r="P188" s="227">
        <f>IF(OR($E188="",$I188=""),"",IF(OR($J188="Tamamlandı",$J188="İptal"),"",$I188-TODAY()))</f>
        <v/>
      </c>
      <c r="Q188" s="113">
        <f>IF($E188="","",IF($D188="TANIMSIZ MÜŞTERİ","HATA",IF(OR($J188="Tamamlandı",$J188="İptal"),"KAPALI",IF(AND($C188="Görüşme",$N188=""),"SONRAKİ İŞLEM EKSİK",IF($I188="","TARİH EKSİK",IF($I188&lt;TODAY(),"GECİKMİŞ",IF($I188=TODAY(),"BUGÜN",IF($I188&lt;=TODAY()+7,"7 GÜN İÇİNDE","PLANLI"))))))))</f>
        <v/>
      </c>
      <c r="R188" s="6" t="n"/>
      <c r="S188" s="6" t="n"/>
      <c r="T188" s="3" t="n"/>
      <c r="U188" s="3">
        <f>IF($E188="","",UPPER(SUBSTITUTE(SUBSTITUTE(SUBSTITUTE(SUBSTITUTE(SUBSTITUTE(SUBSTITUTE(SUBSTITUTE(SUBSTITUTE(SUBSTITUTE(SUBSTITUTE(SUBSTITUTE(SUBSTITUTE(SUBSTITUTE(SUBSTITUTE(SUBSTITUTE(SUBSTITUTE(SUBSTITUTE(SUBSTITUTE(TRIM($E188),"'",""),"İ","I"),"ı","I"),"i","I"),"Ş","S"),"ş","S"),"Ğ","G"),"ğ","G"),"Ü","U"),"ü","U"),"Ö","O"),"ö","O"),"Ç","C"),"ç","C"),".",""),",","")," ",""),"-","")))</f>
        <v/>
      </c>
    </row>
    <row r="189">
      <c r="A189" s="6" t="n"/>
      <c r="B189" s="113">
        <f>IF($E189="","","A"&amp;TEXT(ROW()-6,"00000"))</f>
        <v/>
      </c>
      <c r="C189" s="108" t="n"/>
      <c r="D189" s="113">
        <f>IF($E189="","",IFERROR(INDEX(MUSTERILER!$B$7:$B$106,MATCH($U189,MUSTERILER!$T$7:$T$106,0)),IFERROR(INDEX(MUSTERILER!$B$7:$B$106,MATCH($E189,MUSTERILER!$B$7:$B$106,0)),IFERROR(INDEX(MUSTERILER!$B$7:$B$106,MATCH($U189&amp;"*",MUSTERILER!$T$7:$T$106,0)),"TANIMSIZ MÜŞTERİ"))))</f>
        <v/>
      </c>
      <c r="E189" s="109" t="n"/>
      <c r="F189" s="109" t="n"/>
      <c r="G189" s="108" t="n"/>
      <c r="H189" s="220" t="n"/>
      <c r="I189" s="220" t="n"/>
      <c r="J189" s="108" t="n"/>
      <c r="K189" s="108" t="n"/>
      <c r="L189" s="109" t="n"/>
      <c r="M189" s="109" t="n"/>
      <c r="N189" s="109" t="n"/>
      <c r="O189" s="220" t="n"/>
      <c r="P189" s="227">
        <f>IF(OR($E189="",$I189=""),"",IF(OR($J189="Tamamlandı",$J189="İptal"),"",$I189-TODAY()))</f>
        <v/>
      </c>
      <c r="Q189" s="113">
        <f>IF($E189="","",IF($D189="TANIMSIZ MÜŞTERİ","HATA",IF(OR($J189="Tamamlandı",$J189="İptal"),"KAPALI",IF(AND($C189="Görüşme",$N189=""),"SONRAKİ İŞLEM EKSİK",IF($I189="","TARİH EKSİK",IF($I189&lt;TODAY(),"GECİKMİŞ",IF($I189=TODAY(),"BUGÜN",IF($I189&lt;=TODAY()+7,"7 GÜN İÇİNDE","PLANLI"))))))))</f>
        <v/>
      </c>
      <c r="R189" s="6" t="n"/>
      <c r="S189" s="6" t="n"/>
      <c r="T189" s="3" t="n"/>
      <c r="U189" s="3">
        <f>IF($E189="","",UPPER(SUBSTITUTE(SUBSTITUTE(SUBSTITUTE(SUBSTITUTE(SUBSTITUTE(SUBSTITUTE(SUBSTITUTE(SUBSTITUTE(SUBSTITUTE(SUBSTITUTE(SUBSTITUTE(SUBSTITUTE(SUBSTITUTE(SUBSTITUTE(SUBSTITUTE(SUBSTITUTE(SUBSTITUTE(SUBSTITUTE(TRIM($E189),"'",""),"İ","I"),"ı","I"),"i","I"),"Ş","S"),"ş","S"),"Ğ","G"),"ğ","G"),"Ü","U"),"ü","U"),"Ö","O"),"ö","O"),"Ç","C"),"ç","C"),".",""),",","")," ",""),"-","")))</f>
        <v/>
      </c>
    </row>
    <row r="190">
      <c r="A190" s="6" t="n"/>
      <c r="B190" s="113">
        <f>IF($E190="","","A"&amp;TEXT(ROW()-6,"00000"))</f>
        <v/>
      </c>
      <c r="C190" s="108" t="n"/>
      <c r="D190" s="113">
        <f>IF($E190="","",IFERROR(INDEX(MUSTERILER!$B$7:$B$106,MATCH($U190,MUSTERILER!$T$7:$T$106,0)),IFERROR(INDEX(MUSTERILER!$B$7:$B$106,MATCH($E190,MUSTERILER!$B$7:$B$106,0)),IFERROR(INDEX(MUSTERILER!$B$7:$B$106,MATCH($U190&amp;"*",MUSTERILER!$T$7:$T$106,0)),"TANIMSIZ MÜŞTERİ"))))</f>
        <v/>
      </c>
      <c r="E190" s="109" t="n"/>
      <c r="F190" s="109" t="n"/>
      <c r="G190" s="108" t="n"/>
      <c r="H190" s="220" t="n"/>
      <c r="I190" s="220" t="n"/>
      <c r="J190" s="108" t="n"/>
      <c r="K190" s="108" t="n"/>
      <c r="L190" s="109" t="n"/>
      <c r="M190" s="109" t="n"/>
      <c r="N190" s="109" t="n"/>
      <c r="O190" s="220" t="n"/>
      <c r="P190" s="227">
        <f>IF(OR($E190="",$I190=""),"",IF(OR($J190="Tamamlandı",$J190="İptal"),"",$I190-TODAY()))</f>
        <v/>
      </c>
      <c r="Q190" s="113">
        <f>IF($E190="","",IF($D190="TANIMSIZ MÜŞTERİ","HATA",IF(OR($J190="Tamamlandı",$J190="İptal"),"KAPALI",IF(AND($C190="Görüşme",$N190=""),"SONRAKİ İŞLEM EKSİK",IF($I190="","TARİH EKSİK",IF($I190&lt;TODAY(),"GECİKMİŞ",IF($I190=TODAY(),"BUGÜN",IF($I190&lt;=TODAY()+7,"7 GÜN İÇİNDE","PLANLI"))))))))</f>
        <v/>
      </c>
      <c r="R190" s="6" t="n"/>
      <c r="S190" s="6" t="n"/>
      <c r="T190" s="3" t="n"/>
      <c r="U190" s="3">
        <f>IF($E190="","",UPPER(SUBSTITUTE(SUBSTITUTE(SUBSTITUTE(SUBSTITUTE(SUBSTITUTE(SUBSTITUTE(SUBSTITUTE(SUBSTITUTE(SUBSTITUTE(SUBSTITUTE(SUBSTITUTE(SUBSTITUTE(SUBSTITUTE(SUBSTITUTE(SUBSTITUTE(SUBSTITUTE(SUBSTITUTE(SUBSTITUTE(TRIM($E190),"'",""),"İ","I"),"ı","I"),"i","I"),"Ş","S"),"ş","S"),"Ğ","G"),"ğ","G"),"Ü","U"),"ü","U"),"Ö","O"),"ö","O"),"Ç","C"),"ç","C"),".",""),",","")," ",""),"-","")))</f>
        <v/>
      </c>
    </row>
    <row r="191">
      <c r="A191" s="6" t="n"/>
      <c r="B191" s="113">
        <f>IF($E191="","","A"&amp;TEXT(ROW()-6,"00000"))</f>
        <v/>
      </c>
      <c r="C191" s="108" t="n"/>
      <c r="D191" s="113">
        <f>IF($E191="","",IFERROR(INDEX(MUSTERILER!$B$7:$B$106,MATCH($U191,MUSTERILER!$T$7:$T$106,0)),IFERROR(INDEX(MUSTERILER!$B$7:$B$106,MATCH($E191,MUSTERILER!$B$7:$B$106,0)),IFERROR(INDEX(MUSTERILER!$B$7:$B$106,MATCH($U191&amp;"*",MUSTERILER!$T$7:$T$106,0)),"TANIMSIZ MÜŞTERİ"))))</f>
        <v/>
      </c>
      <c r="E191" s="109" t="n"/>
      <c r="F191" s="109" t="n"/>
      <c r="G191" s="108" t="n"/>
      <c r="H191" s="220" t="n"/>
      <c r="I191" s="220" t="n"/>
      <c r="J191" s="108" t="n"/>
      <c r="K191" s="108" t="n"/>
      <c r="L191" s="109" t="n"/>
      <c r="M191" s="109" t="n"/>
      <c r="N191" s="109" t="n"/>
      <c r="O191" s="220" t="n"/>
      <c r="P191" s="227">
        <f>IF(OR($E191="",$I191=""),"",IF(OR($J191="Tamamlandı",$J191="İptal"),"",$I191-TODAY()))</f>
        <v/>
      </c>
      <c r="Q191" s="113">
        <f>IF($E191="","",IF($D191="TANIMSIZ MÜŞTERİ","HATA",IF(OR($J191="Tamamlandı",$J191="İptal"),"KAPALI",IF(AND($C191="Görüşme",$N191=""),"SONRAKİ İŞLEM EKSİK",IF($I191="","TARİH EKSİK",IF($I191&lt;TODAY(),"GECİKMİŞ",IF($I191=TODAY(),"BUGÜN",IF($I191&lt;=TODAY()+7,"7 GÜN İÇİNDE","PLANLI"))))))))</f>
        <v/>
      </c>
      <c r="R191" s="6" t="n"/>
      <c r="S191" s="6" t="n"/>
      <c r="T191" s="3" t="n"/>
      <c r="U191" s="3">
        <f>IF($E191="","",UPPER(SUBSTITUTE(SUBSTITUTE(SUBSTITUTE(SUBSTITUTE(SUBSTITUTE(SUBSTITUTE(SUBSTITUTE(SUBSTITUTE(SUBSTITUTE(SUBSTITUTE(SUBSTITUTE(SUBSTITUTE(SUBSTITUTE(SUBSTITUTE(SUBSTITUTE(SUBSTITUTE(SUBSTITUTE(SUBSTITUTE(TRIM($E191),"'",""),"İ","I"),"ı","I"),"i","I"),"Ş","S"),"ş","S"),"Ğ","G"),"ğ","G"),"Ü","U"),"ü","U"),"Ö","O"),"ö","O"),"Ç","C"),"ç","C"),".",""),",","")," ",""),"-","")))</f>
        <v/>
      </c>
    </row>
    <row r="192">
      <c r="A192" s="6" t="n"/>
      <c r="B192" s="113">
        <f>IF($E192="","","A"&amp;TEXT(ROW()-6,"00000"))</f>
        <v/>
      </c>
      <c r="C192" s="108" t="n"/>
      <c r="D192" s="113">
        <f>IF($E192="","",IFERROR(INDEX(MUSTERILER!$B$7:$B$106,MATCH($U192,MUSTERILER!$T$7:$T$106,0)),IFERROR(INDEX(MUSTERILER!$B$7:$B$106,MATCH($E192,MUSTERILER!$B$7:$B$106,0)),IFERROR(INDEX(MUSTERILER!$B$7:$B$106,MATCH($U192&amp;"*",MUSTERILER!$T$7:$T$106,0)),"TANIMSIZ MÜŞTERİ"))))</f>
        <v/>
      </c>
      <c r="E192" s="109" t="n"/>
      <c r="F192" s="109" t="n"/>
      <c r="G192" s="108" t="n"/>
      <c r="H192" s="220" t="n"/>
      <c r="I192" s="220" t="n"/>
      <c r="J192" s="108" t="n"/>
      <c r="K192" s="108" t="n"/>
      <c r="L192" s="109" t="n"/>
      <c r="M192" s="109" t="n"/>
      <c r="N192" s="109" t="n"/>
      <c r="O192" s="220" t="n"/>
      <c r="P192" s="227">
        <f>IF(OR($E192="",$I192=""),"",IF(OR($J192="Tamamlandı",$J192="İptal"),"",$I192-TODAY()))</f>
        <v/>
      </c>
      <c r="Q192" s="113">
        <f>IF($E192="","",IF($D192="TANIMSIZ MÜŞTERİ","HATA",IF(OR($J192="Tamamlandı",$J192="İptal"),"KAPALI",IF(AND($C192="Görüşme",$N192=""),"SONRAKİ İŞLEM EKSİK",IF($I192="","TARİH EKSİK",IF($I192&lt;TODAY(),"GECİKMİŞ",IF($I192=TODAY(),"BUGÜN",IF($I192&lt;=TODAY()+7,"7 GÜN İÇİNDE","PLANLI"))))))))</f>
        <v/>
      </c>
      <c r="R192" s="6" t="n"/>
      <c r="S192" s="6" t="n"/>
      <c r="T192" s="3" t="n"/>
      <c r="U192" s="3">
        <f>IF($E192="","",UPPER(SUBSTITUTE(SUBSTITUTE(SUBSTITUTE(SUBSTITUTE(SUBSTITUTE(SUBSTITUTE(SUBSTITUTE(SUBSTITUTE(SUBSTITUTE(SUBSTITUTE(SUBSTITUTE(SUBSTITUTE(SUBSTITUTE(SUBSTITUTE(SUBSTITUTE(SUBSTITUTE(SUBSTITUTE(SUBSTITUTE(TRIM($E192),"'",""),"İ","I"),"ı","I"),"i","I"),"Ş","S"),"ş","S"),"Ğ","G"),"ğ","G"),"Ü","U"),"ü","U"),"Ö","O"),"ö","O"),"Ç","C"),"ç","C"),".",""),",","")," ",""),"-","")))</f>
        <v/>
      </c>
    </row>
    <row r="193">
      <c r="A193" s="6" t="n"/>
      <c r="B193" s="113">
        <f>IF($E193="","","A"&amp;TEXT(ROW()-6,"00000"))</f>
        <v/>
      </c>
      <c r="C193" s="108" t="n"/>
      <c r="D193" s="113">
        <f>IF($E193="","",IFERROR(INDEX(MUSTERILER!$B$7:$B$106,MATCH($U193,MUSTERILER!$T$7:$T$106,0)),IFERROR(INDEX(MUSTERILER!$B$7:$B$106,MATCH($E193,MUSTERILER!$B$7:$B$106,0)),IFERROR(INDEX(MUSTERILER!$B$7:$B$106,MATCH($U193&amp;"*",MUSTERILER!$T$7:$T$106,0)),"TANIMSIZ MÜŞTERİ"))))</f>
        <v/>
      </c>
      <c r="E193" s="109" t="n"/>
      <c r="F193" s="109" t="n"/>
      <c r="G193" s="108" t="n"/>
      <c r="H193" s="220" t="n"/>
      <c r="I193" s="220" t="n"/>
      <c r="J193" s="108" t="n"/>
      <c r="K193" s="108" t="n"/>
      <c r="L193" s="109" t="n"/>
      <c r="M193" s="109" t="n"/>
      <c r="N193" s="109" t="n"/>
      <c r="O193" s="220" t="n"/>
      <c r="P193" s="227">
        <f>IF(OR($E193="",$I193=""),"",IF(OR($J193="Tamamlandı",$J193="İptal"),"",$I193-TODAY()))</f>
        <v/>
      </c>
      <c r="Q193" s="113">
        <f>IF($E193="","",IF($D193="TANIMSIZ MÜŞTERİ","HATA",IF(OR($J193="Tamamlandı",$J193="İptal"),"KAPALI",IF(AND($C193="Görüşme",$N193=""),"SONRAKİ İŞLEM EKSİK",IF($I193="","TARİH EKSİK",IF($I193&lt;TODAY(),"GECİKMİŞ",IF($I193=TODAY(),"BUGÜN",IF($I193&lt;=TODAY()+7,"7 GÜN İÇİNDE","PLANLI"))))))))</f>
        <v/>
      </c>
      <c r="R193" s="6" t="n"/>
      <c r="S193" s="6" t="n"/>
      <c r="T193" s="3" t="n"/>
      <c r="U193" s="3">
        <f>IF($E193="","",UPPER(SUBSTITUTE(SUBSTITUTE(SUBSTITUTE(SUBSTITUTE(SUBSTITUTE(SUBSTITUTE(SUBSTITUTE(SUBSTITUTE(SUBSTITUTE(SUBSTITUTE(SUBSTITUTE(SUBSTITUTE(SUBSTITUTE(SUBSTITUTE(SUBSTITUTE(SUBSTITUTE(SUBSTITUTE(SUBSTITUTE(TRIM($E193),"'",""),"İ","I"),"ı","I"),"i","I"),"Ş","S"),"ş","S"),"Ğ","G"),"ğ","G"),"Ü","U"),"ü","U"),"Ö","O"),"ö","O"),"Ç","C"),"ç","C"),".",""),",","")," ",""),"-","")))</f>
        <v/>
      </c>
    </row>
    <row r="194">
      <c r="A194" s="6" t="n"/>
      <c r="B194" s="113">
        <f>IF($E194="","","A"&amp;TEXT(ROW()-6,"00000"))</f>
        <v/>
      </c>
      <c r="C194" s="108" t="n"/>
      <c r="D194" s="113">
        <f>IF($E194="","",IFERROR(INDEX(MUSTERILER!$B$7:$B$106,MATCH($U194,MUSTERILER!$T$7:$T$106,0)),IFERROR(INDEX(MUSTERILER!$B$7:$B$106,MATCH($E194,MUSTERILER!$B$7:$B$106,0)),IFERROR(INDEX(MUSTERILER!$B$7:$B$106,MATCH($U194&amp;"*",MUSTERILER!$T$7:$T$106,0)),"TANIMSIZ MÜŞTERİ"))))</f>
        <v/>
      </c>
      <c r="E194" s="109" t="n"/>
      <c r="F194" s="109" t="n"/>
      <c r="G194" s="108" t="n"/>
      <c r="H194" s="220" t="n"/>
      <c r="I194" s="220" t="n"/>
      <c r="J194" s="108" t="n"/>
      <c r="K194" s="108" t="n"/>
      <c r="L194" s="109" t="n"/>
      <c r="M194" s="109" t="n"/>
      <c r="N194" s="109" t="n"/>
      <c r="O194" s="220" t="n"/>
      <c r="P194" s="227">
        <f>IF(OR($E194="",$I194=""),"",IF(OR($J194="Tamamlandı",$J194="İptal"),"",$I194-TODAY()))</f>
        <v/>
      </c>
      <c r="Q194" s="113">
        <f>IF($E194="","",IF($D194="TANIMSIZ MÜŞTERİ","HATA",IF(OR($J194="Tamamlandı",$J194="İptal"),"KAPALI",IF(AND($C194="Görüşme",$N194=""),"SONRAKİ İŞLEM EKSİK",IF($I194="","TARİH EKSİK",IF($I194&lt;TODAY(),"GECİKMİŞ",IF($I194=TODAY(),"BUGÜN",IF($I194&lt;=TODAY()+7,"7 GÜN İÇİNDE","PLANLI"))))))))</f>
        <v/>
      </c>
      <c r="R194" s="6" t="n"/>
      <c r="S194" s="6" t="n"/>
      <c r="T194" s="3" t="n"/>
      <c r="U194" s="3">
        <f>IF($E194="","",UPPER(SUBSTITUTE(SUBSTITUTE(SUBSTITUTE(SUBSTITUTE(SUBSTITUTE(SUBSTITUTE(SUBSTITUTE(SUBSTITUTE(SUBSTITUTE(SUBSTITUTE(SUBSTITUTE(SUBSTITUTE(SUBSTITUTE(SUBSTITUTE(SUBSTITUTE(SUBSTITUTE(SUBSTITUTE(SUBSTITUTE(TRIM($E194),"'",""),"İ","I"),"ı","I"),"i","I"),"Ş","S"),"ş","S"),"Ğ","G"),"ğ","G"),"Ü","U"),"ü","U"),"Ö","O"),"ö","O"),"Ç","C"),"ç","C"),".",""),",","")," ",""),"-","")))</f>
        <v/>
      </c>
    </row>
    <row r="195">
      <c r="A195" s="6" t="n"/>
      <c r="B195" s="113">
        <f>IF($E195="","","A"&amp;TEXT(ROW()-6,"00000"))</f>
        <v/>
      </c>
      <c r="C195" s="108" t="n"/>
      <c r="D195" s="113">
        <f>IF($E195="","",IFERROR(INDEX(MUSTERILER!$B$7:$B$106,MATCH($U195,MUSTERILER!$T$7:$T$106,0)),IFERROR(INDEX(MUSTERILER!$B$7:$B$106,MATCH($E195,MUSTERILER!$B$7:$B$106,0)),IFERROR(INDEX(MUSTERILER!$B$7:$B$106,MATCH($U195&amp;"*",MUSTERILER!$T$7:$T$106,0)),"TANIMSIZ MÜŞTERİ"))))</f>
        <v/>
      </c>
      <c r="E195" s="109" t="n"/>
      <c r="F195" s="109" t="n"/>
      <c r="G195" s="108" t="n"/>
      <c r="H195" s="220" t="n"/>
      <c r="I195" s="220" t="n"/>
      <c r="J195" s="108" t="n"/>
      <c r="K195" s="108" t="n"/>
      <c r="L195" s="109" t="n"/>
      <c r="M195" s="109" t="n"/>
      <c r="N195" s="109" t="n"/>
      <c r="O195" s="220" t="n"/>
      <c r="P195" s="227">
        <f>IF(OR($E195="",$I195=""),"",IF(OR($J195="Tamamlandı",$J195="İptal"),"",$I195-TODAY()))</f>
        <v/>
      </c>
      <c r="Q195" s="113">
        <f>IF($E195="","",IF($D195="TANIMSIZ MÜŞTERİ","HATA",IF(OR($J195="Tamamlandı",$J195="İptal"),"KAPALI",IF(AND($C195="Görüşme",$N195=""),"SONRAKİ İŞLEM EKSİK",IF($I195="","TARİH EKSİK",IF($I195&lt;TODAY(),"GECİKMİŞ",IF($I195=TODAY(),"BUGÜN",IF($I195&lt;=TODAY()+7,"7 GÜN İÇİNDE","PLANLI"))))))))</f>
        <v/>
      </c>
      <c r="R195" s="6" t="n"/>
      <c r="S195" s="6" t="n"/>
      <c r="T195" s="3" t="n"/>
      <c r="U195" s="3">
        <f>IF($E195="","",UPPER(SUBSTITUTE(SUBSTITUTE(SUBSTITUTE(SUBSTITUTE(SUBSTITUTE(SUBSTITUTE(SUBSTITUTE(SUBSTITUTE(SUBSTITUTE(SUBSTITUTE(SUBSTITUTE(SUBSTITUTE(SUBSTITUTE(SUBSTITUTE(SUBSTITUTE(SUBSTITUTE(SUBSTITUTE(SUBSTITUTE(TRIM($E195),"'",""),"İ","I"),"ı","I"),"i","I"),"Ş","S"),"ş","S"),"Ğ","G"),"ğ","G"),"Ü","U"),"ü","U"),"Ö","O"),"ö","O"),"Ç","C"),"ç","C"),".",""),",","")," ",""),"-","")))</f>
        <v/>
      </c>
    </row>
    <row r="196">
      <c r="A196" s="6" t="n"/>
      <c r="B196" s="113">
        <f>IF($E196="","","A"&amp;TEXT(ROW()-6,"00000"))</f>
        <v/>
      </c>
      <c r="C196" s="108" t="n"/>
      <c r="D196" s="113">
        <f>IF($E196="","",IFERROR(INDEX(MUSTERILER!$B$7:$B$106,MATCH($U196,MUSTERILER!$T$7:$T$106,0)),IFERROR(INDEX(MUSTERILER!$B$7:$B$106,MATCH($E196,MUSTERILER!$B$7:$B$106,0)),IFERROR(INDEX(MUSTERILER!$B$7:$B$106,MATCH($U196&amp;"*",MUSTERILER!$T$7:$T$106,0)),"TANIMSIZ MÜŞTERİ"))))</f>
        <v/>
      </c>
      <c r="E196" s="109" t="n"/>
      <c r="F196" s="109" t="n"/>
      <c r="G196" s="108" t="n"/>
      <c r="H196" s="220" t="n"/>
      <c r="I196" s="220" t="n"/>
      <c r="J196" s="108" t="n"/>
      <c r="K196" s="108" t="n"/>
      <c r="L196" s="109" t="n"/>
      <c r="M196" s="109" t="n"/>
      <c r="N196" s="109" t="n"/>
      <c r="O196" s="220" t="n"/>
      <c r="P196" s="227">
        <f>IF(OR($E196="",$I196=""),"",IF(OR($J196="Tamamlandı",$J196="İptal"),"",$I196-TODAY()))</f>
        <v/>
      </c>
      <c r="Q196" s="113">
        <f>IF($E196="","",IF($D196="TANIMSIZ MÜŞTERİ","HATA",IF(OR($J196="Tamamlandı",$J196="İptal"),"KAPALI",IF(AND($C196="Görüşme",$N196=""),"SONRAKİ İŞLEM EKSİK",IF($I196="","TARİH EKSİK",IF($I196&lt;TODAY(),"GECİKMİŞ",IF($I196=TODAY(),"BUGÜN",IF($I196&lt;=TODAY()+7,"7 GÜN İÇİNDE","PLANLI"))))))))</f>
        <v/>
      </c>
      <c r="R196" s="6" t="n"/>
      <c r="S196" s="6" t="n"/>
      <c r="T196" s="3" t="n"/>
      <c r="U196" s="3">
        <f>IF($E196="","",UPPER(SUBSTITUTE(SUBSTITUTE(SUBSTITUTE(SUBSTITUTE(SUBSTITUTE(SUBSTITUTE(SUBSTITUTE(SUBSTITUTE(SUBSTITUTE(SUBSTITUTE(SUBSTITUTE(SUBSTITUTE(SUBSTITUTE(SUBSTITUTE(SUBSTITUTE(SUBSTITUTE(SUBSTITUTE(SUBSTITUTE(TRIM($E196),"'",""),"İ","I"),"ı","I"),"i","I"),"Ş","S"),"ş","S"),"Ğ","G"),"ğ","G"),"Ü","U"),"ü","U"),"Ö","O"),"ö","O"),"Ç","C"),"ç","C"),".",""),",","")," ",""),"-","")))</f>
        <v/>
      </c>
    </row>
    <row r="197">
      <c r="A197" s="6" t="n"/>
      <c r="B197" s="113">
        <f>IF($E197="","","A"&amp;TEXT(ROW()-6,"00000"))</f>
        <v/>
      </c>
      <c r="C197" s="108" t="n"/>
      <c r="D197" s="113">
        <f>IF($E197="","",IFERROR(INDEX(MUSTERILER!$B$7:$B$106,MATCH($U197,MUSTERILER!$T$7:$T$106,0)),IFERROR(INDEX(MUSTERILER!$B$7:$B$106,MATCH($E197,MUSTERILER!$B$7:$B$106,0)),IFERROR(INDEX(MUSTERILER!$B$7:$B$106,MATCH($U197&amp;"*",MUSTERILER!$T$7:$T$106,0)),"TANIMSIZ MÜŞTERİ"))))</f>
        <v/>
      </c>
      <c r="E197" s="109" t="n"/>
      <c r="F197" s="109" t="n"/>
      <c r="G197" s="108" t="n"/>
      <c r="H197" s="220" t="n"/>
      <c r="I197" s="220" t="n"/>
      <c r="J197" s="108" t="n"/>
      <c r="K197" s="108" t="n"/>
      <c r="L197" s="109" t="n"/>
      <c r="M197" s="109" t="n"/>
      <c r="N197" s="109" t="n"/>
      <c r="O197" s="220" t="n"/>
      <c r="P197" s="227">
        <f>IF(OR($E197="",$I197=""),"",IF(OR($J197="Tamamlandı",$J197="İptal"),"",$I197-TODAY()))</f>
        <v/>
      </c>
      <c r="Q197" s="113">
        <f>IF($E197="","",IF($D197="TANIMSIZ MÜŞTERİ","HATA",IF(OR($J197="Tamamlandı",$J197="İptal"),"KAPALI",IF(AND($C197="Görüşme",$N197=""),"SONRAKİ İŞLEM EKSİK",IF($I197="","TARİH EKSİK",IF($I197&lt;TODAY(),"GECİKMİŞ",IF($I197=TODAY(),"BUGÜN",IF($I197&lt;=TODAY()+7,"7 GÜN İÇİNDE","PLANLI"))))))))</f>
        <v/>
      </c>
      <c r="R197" s="6" t="n"/>
      <c r="S197" s="6" t="n"/>
      <c r="T197" s="3" t="n"/>
      <c r="U197" s="3">
        <f>IF($E197="","",UPPER(SUBSTITUTE(SUBSTITUTE(SUBSTITUTE(SUBSTITUTE(SUBSTITUTE(SUBSTITUTE(SUBSTITUTE(SUBSTITUTE(SUBSTITUTE(SUBSTITUTE(SUBSTITUTE(SUBSTITUTE(SUBSTITUTE(SUBSTITUTE(SUBSTITUTE(SUBSTITUTE(SUBSTITUTE(SUBSTITUTE(TRIM($E197),"'",""),"İ","I"),"ı","I"),"i","I"),"Ş","S"),"ş","S"),"Ğ","G"),"ğ","G"),"Ü","U"),"ü","U"),"Ö","O"),"ö","O"),"Ç","C"),"ç","C"),".",""),",","")," ",""),"-","")))</f>
        <v/>
      </c>
    </row>
    <row r="198">
      <c r="A198" s="6" t="n"/>
      <c r="B198" s="113">
        <f>IF($E198="","","A"&amp;TEXT(ROW()-6,"00000"))</f>
        <v/>
      </c>
      <c r="C198" s="108" t="n"/>
      <c r="D198" s="113">
        <f>IF($E198="","",IFERROR(INDEX(MUSTERILER!$B$7:$B$106,MATCH($U198,MUSTERILER!$T$7:$T$106,0)),IFERROR(INDEX(MUSTERILER!$B$7:$B$106,MATCH($E198,MUSTERILER!$B$7:$B$106,0)),IFERROR(INDEX(MUSTERILER!$B$7:$B$106,MATCH($U198&amp;"*",MUSTERILER!$T$7:$T$106,0)),"TANIMSIZ MÜŞTERİ"))))</f>
        <v/>
      </c>
      <c r="E198" s="109" t="n"/>
      <c r="F198" s="109" t="n"/>
      <c r="G198" s="108" t="n"/>
      <c r="H198" s="220" t="n"/>
      <c r="I198" s="220" t="n"/>
      <c r="J198" s="108" t="n"/>
      <c r="K198" s="108" t="n"/>
      <c r="L198" s="109" t="n"/>
      <c r="M198" s="109" t="n"/>
      <c r="N198" s="109" t="n"/>
      <c r="O198" s="220" t="n"/>
      <c r="P198" s="227">
        <f>IF(OR($E198="",$I198=""),"",IF(OR($J198="Tamamlandı",$J198="İptal"),"",$I198-TODAY()))</f>
        <v/>
      </c>
      <c r="Q198" s="113">
        <f>IF($E198="","",IF($D198="TANIMSIZ MÜŞTERİ","HATA",IF(OR($J198="Tamamlandı",$J198="İptal"),"KAPALI",IF(AND($C198="Görüşme",$N198=""),"SONRAKİ İŞLEM EKSİK",IF($I198="","TARİH EKSİK",IF($I198&lt;TODAY(),"GECİKMİŞ",IF($I198=TODAY(),"BUGÜN",IF($I198&lt;=TODAY()+7,"7 GÜN İÇİNDE","PLANLI"))))))))</f>
        <v/>
      </c>
      <c r="R198" s="6" t="n"/>
      <c r="S198" s="6" t="n"/>
      <c r="T198" s="3" t="n"/>
      <c r="U198" s="3">
        <f>IF($E198="","",UPPER(SUBSTITUTE(SUBSTITUTE(SUBSTITUTE(SUBSTITUTE(SUBSTITUTE(SUBSTITUTE(SUBSTITUTE(SUBSTITUTE(SUBSTITUTE(SUBSTITUTE(SUBSTITUTE(SUBSTITUTE(SUBSTITUTE(SUBSTITUTE(SUBSTITUTE(SUBSTITUTE(SUBSTITUTE(SUBSTITUTE(TRIM($E198),"'",""),"İ","I"),"ı","I"),"i","I"),"Ş","S"),"ş","S"),"Ğ","G"),"ğ","G"),"Ü","U"),"ü","U"),"Ö","O"),"ö","O"),"Ç","C"),"ç","C"),".",""),",","")," ",""),"-","")))</f>
        <v/>
      </c>
    </row>
    <row r="199">
      <c r="A199" s="6" t="n"/>
      <c r="B199" s="113">
        <f>IF($E199="","","A"&amp;TEXT(ROW()-6,"00000"))</f>
        <v/>
      </c>
      <c r="C199" s="108" t="n"/>
      <c r="D199" s="113">
        <f>IF($E199="","",IFERROR(INDEX(MUSTERILER!$B$7:$B$106,MATCH($U199,MUSTERILER!$T$7:$T$106,0)),IFERROR(INDEX(MUSTERILER!$B$7:$B$106,MATCH($E199,MUSTERILER!$B$7:$B$106,0)),IFERROR(INDEX(MUSTERILER!$B$7:$B$106,MATCH($U199&amp;"*",MUSTERILER!$T$7:$T$106,0)),"TANIMSIZ MÜŞTERİ"))))</f>
        <v/>
      </c>
      <c r="E199" s="109" t="n"/>
      <c r="F199" s="109" t="n"/>
      <c r="G199" s="108" t="n"/>
      <c r="H199" s="220" t="n"/>
      <c r="I199" s="220" t="n"/>
      <c r="J199" s="108" t="n"/>
      <c r="K199" s="108" t="n"/>
      <c r="L199" s="109" t="n"/>
      <c r="M199" s="109" t="n"/>
      <c r="N199" s="109" t="n"/>
      <c r="O199" s="220" t="n"/>
      <c r="P199" s="227">
        <f>IF(OR($E199="",$I199=""),"",IF(OR($J199="Tamamlandı",$J199="İptal"),"",$I199-TODAY()))</f>
        <v/>
      </c>
      <c r="Q199" s="113">
        <f>IF($E199="","",IF($D199="TANIMSIZ MÜŞTERİ","HATA",IF(OR($J199="Tamamlandı",$J199="İptal"),"KAPALI",IF(AND($C199="Görüşme",$N199=""),"SONRAKİ İŞLEM EKSİK",IF($I199="","TARİH EKSİK",IF($I199&lt;TODAY(),"GECİKMİŞ",IF($I199=TODAY(),"BUGÜN",IF($I199&lt;=TODAY()+7,"7 GÜN İÇİNDE","PLANLI"))))))))</f>
        <v/>
      </c>
      <c r="R199" s="6" t="n"/>
      <c r="S199" s="6" t="n"/>
      <c r="T199" s="3" t="n"/>
      <c r="U199" s="3">
        <f>IF($E199="","",UPPER(SUBSTITUTE(SUBSTITUTE(SUBSTITUTE(SUBSTITUTE(SUBSTITUTE(SUBSTITUTE(SUBSTITUTE(SUBSTITUTE(SUBSTITUTE(SUBSTITUTE(SUBSTITUTE(SUBSTITUTE(SUBSTITUTE(SUBSTITUTE(SUBSTITUTE(SUBSTITUTE(SUBSTITUTE(SUBSTITUTE(TRIM($E199),"'",""),"İ","I"),"ı","I"),"i","I"),"Ş","S"),"ş","S"),"Ğ","G"),"ğ","G"),"Ü","U"),"ü","U"),"Ö","O"),"ö","O"),"Ç","C"),"ç","C"),".",""),",","")," ",""),"-","")))</f>
        <v/>
      </c>
    </row>
    <row r="200">
      <c r="A200" s="6" t="n"/>
      <c r="B200" s="113">
        <f>IF($E200="","","A"&amp;TEXT(ROW()-6,"00000"))</f>
        <v/>
      </c>
      <c r="C200" s="108" t="n"/>
      <c r="D200" s="113">
        <f>IF($E200="","",IFERROR(INDEX(MUSTERILER!$B$7:$B$106,MATCH($U200,MUSTERILER!$T$7:$T$106,0)),IFERROR(INDEX(MUSTERILER!$B$7:$B$106,MATCH($E200,MUSTERILER!$B$7:$B$106,0)),IFERROR(INDEX(MUSTERILER!$B$7:$B$106,MATCH($U200&amp;"*",MUSTERILER!$T$7:$T$106,0)),"TANIMSIZ MÜŞTERİ"))))</f>
        <v/>
      </c>
      <c r="E200" s="109" t="n"/>
      <c r="F200" s="109" t="n"/>
      <c r="G200" s="108" t="n"/>
      <c r="H200" s="220" t="n"/>
      <c r="I200" s="220" t="n"/>
      <c r="J200" s="108" t="n"/>
      <c r="K200" s="108" t="n"/>
      <c r="L200" s="109" t="n"/>
      <c r="M200" s="109" t="n"/>
      <c r="N200" s="109" t="n"/>
      <c r="O200" s="220" t="n"/>
      <c r="P200" s="227">
        <f>IF(OR($E200="",$I200=""),"",IF(OR($J200="Tamamlandı",$J200="İptal"),"",$I200-TODAY()))</f>
        <v/>
      </c>
      <c r="Q200" s="113">
        <f>IF($E200="","",IF($D200="TANIMSIZ MÜŞTERİ","HATA",IF(OR($J200="Tamamlandı",$J200="İptal"),"KAPALI",IF(AND($C200="Görüşme",$N200=""),"SONRAKİ İŞLEM EKSİK",IF($I200="","TARİH EKSİK",IF($I200&lt;TODAY(),"GECİKMİŞ",IF($I200=TODAY(),"BUGÜN",IF($I200&lt;=TODAY()+7,"7 GÜN İÇİNDE","PLANLI"))))))))</f>
        <v/>
      </c>
      <c r="R200" s="6" t="n"/>
      <c r="S200" s="6" t="n"/>
      <c r="T200" s="3" t="n"/>
      <c r="U200" s="3">
        <f>IF($E200="","",UPPER(SUBSTITUTE(SUBSTITUTE(SUBSTITUTE(SUBSTITUTE(SUBSTITUTE(SUBSTITUTE(SUBSTITUTE(SUBSTITUTE(SUBSTITUTE(SUBSTITUTE(SUBSTITUTE(SUBSTITUTE(SUBSTITUTE(SUBSTITUTE(SUBSTITUTE(SUBSTITUTE(SUBSTITUTE(SUBSTITUTE(TRIM($E200),"'",""),"İ","I"),"ı","I"),"i","I"),"Ş","S"),"ş","S"),"Ğ","G"),"ğ","G"),"Ü","U"),"ü","U"),"Ö","O"),"ö","O"),"Ç","C"),"ç","C"),".",""),",","")," ",""),"-","")))</f>
        <v/>
      </c>
    </row>
    <row r="201">
      <c r="A201" s="6" t="n"/>
      <c r="B201" s="113">
        <f>IF($E201="","","A"&amp;TEXT(ROW()-6,"00000"))</f>
        <v/>
      </c>
      <c r="C201" s="108" t="n"/>
      <c r="D201" s="113">
        <f>IF($E201="","",IFERROR(INDEX(MUSTERILER!$B$7:$B$106,MATCH($U201,MUSTERILER!$T$7:$T$106,0)),IFERROR(INDEX(MUSTERILER!$B$7:$B$106,MATCH($E201,MUSTERILER!$B$7:$B$106,0)),IFERROR(INDEX(MUSTERILER!$B$7:$B$106,MATCH($U201&amp;"*",MUSTERILER!$T$7:$T$106,0)),"TANIMSIZ MÜŞTERİ"))))</f>
        <v/>
      </c>
      <c r="E201" s="109" t="n"/>
      <c r="F201" s="109" t="n"/>
      <c r="G201" s="108" t="n"/>
      <c r="H201" s="220" t="n"/>
      <c r="I201" s="220" t="n"/>
      <c r="J201" s="108" t="n"/>
      <c r="K201" s="108" t="n"/>
      <c r="L201" s="109" t="n"/>
      <c r="M201" s="109" t="n"/>
      <c r="N201" s="109" t="n"/>
      <c r="O201" s="220" t="n"/>
      <c r="P201" s="227">
        <f>IF(OR($E201="",$I201=""),"",IF(OR($J201="Tamamlandı",$J201="İptal"),"",$I201-TODAY()))</f>
        <v/>
      </c>
      <c r="Q201" s="113">
        <f>IF($E201="","",IF($D201="TANIMSIZ MÜŞTERİ","HATA",IF(OR($J201="Tamamlandı",$J201="İptal"),"KAPALI",IF(AND($C201="Görüşme",$N201=""),"SONRAKİ İŞLEM EKSİK",IF($I201="","TARİH EKSİK",IF($I201&lt;TODAY(),"GECİKMİŞ",IF($I201=TODAY(),"BUGÜN",IF($I201&lt;=TODAY()+7,"7 GÜN İÇİNDE","PLANLI"))))))))</f>
        <v/>
      </c>
      <c r="R201" s="6" t="n"/>
      <c r="S201" s="6" t="n"/>
      <c r="T201" s="3" t="n"/>
      <c r="U201" s="3">
        <f>IF($E201="","",UPPER(SUBSTITUTE(SUBSTITUTE(SUBSTITUTE(SUBSTITUTE(SUBSTITUTE(SUBSTITUTE(SUBSTITUTE(SUBSTITUTE(SUBSTITUTE(SUBSTITUTE(SUBSTITUTE(SUBSTITUTE(SUBSTITUTE(SUBSTITUTE(SUBSTITUTE(SUBSTITUTE(SUBSTITUTE(SUBSTITUTE(TRIM($E201),"'",""),"İ","I"),"ı","I"),"i","I"),"Ş","S"),"ş","S"),"Ğ","G"),"ğ","G"),"Ü","U"),"ü","U"),"Ö","O"),"ö","O"),"Ç","C"),"ç","C"),".",""),",","")," ",""),"-","")))</f>
        <v/>
      </c>
    </row>
    <row r="202">
      <c r="A202" s="6" t="n"/>
      <c r="B202" s="113">
        <f>IF($E202="","","A"&amp;TEXT(ROW()-6,"00000"))</f>
        <v/>
      </c>
      <c r="C202" s="108" t="n"/>
      <c r="D202" s="113">
        <f>IF($E202="","",IFERROR(INDEX(MUSTERILER!$B$7:$B$106,MATCH($U202,MUSTERILER!$T$7:$T$106,0)),IFERROR(INDEX(MUSTERILER!$B$7:$B$106,MATCH($E202,MUSTERILER!$B$7:$B$106,0)),IFERROR(INDEX(MUSTERILER!$B$7:$B$106,MATCH($U202&amp;"*",MUSTERILER!$T$7:$T$106,0)),"TANIMSIZ MÜŞTERİ"))))</f>
        <v/>
      </c>
      <c r="E202" s="109" t="n"/>
      <c r="F202" s="109" t="n"/>
      <c r="G202" s="108" t="n"/>
      <c r="H202" s="220" t="n"/>
      <c r="I202" s="220" t="n"/>
      <c r="J202" s="108" t="n"/>
      <c r="K202" s="108" t="n"/>
      <c r="L202" s="109" t="n"/>
      <c r="M202" s="109" t="n"/>
      <c r="N202" s="109" t="n"/>
      <c r="O202" s="220" t="n"/>
      <c r="P202" s="227">
        <f>IF(OR($E202="",$I202=""),"",IF(OR($J202="Tamamlandı",$J202="İptal"),"",$I202-TODAY()))</f>
        <v/>
      </c>
      <c r="Q202" s="113">
        <f>IF($E202="","",IF($D202="TANIMSIZ MÜŞTERİ","HATA",IF(OR($J202="Tamamlandı",$J202="İptal"),"KAPALI",IF(AND($C202="Görüşme",$N202=""),"SONRAKİ İŞLEM EKSİK",IF($I202="","TARİH EKSİK",IF($I202&lt;TODAY(),"GECİKMİŞ",IF($I202=TODAY(),"BUGÜN",IF($I202&lt;=TODAY()+7,"7 GÜN İÇİNDE","PLANLI"))))))))</f>
        <v/>
      </c>
      <c r="R202" s="6" t="n"/>
      <c r="S202" s="6" t="n"/>
      <c r="T202" s="3" t="n"/>
      <c r="U202" s="3">
        <f>IF($E202="","",UPPER(SUBSTITUTE(SUBSTITUTE(SUBSTITUTE(SUBSTITUTE(SUBSTITUTE(SUBSTITUTE(SUBSTITUTE(SUBSTITUTE(SUBSTITUTE(SUBSTITUTE(SUBSTITUTE(SUBSTITUTE(SUBSTITUTE(SUBSTITUTE(SUBSTITUTE(SUBSTITUTE(SUBSTITUTE(SUBSTITUTE(TRIM($E202),"'",""),"İ","I"),"ı","I"),"i","I"),"Ş","S"),"ş","S"),"Ğ","G"),"ğ","G"),"Ü","U"),"ü","U"),"Ö","O"),"ö","O"),"Ç","C"),"ç","C"),".",""),",","")," ",""),"-","")))</f>
        <v/>
      </c>
    </row>
    <row r="203">
      <c r="A203" s="6" t="n"/>
      <c r="B203" s="113">
        <f>IF($E203="","","A"&amp;TEXT(ROW()-6,"00000"))</f>
        <v/>
      </c>
      <c r="C203" s="108" t="n"/>
      <c r="D203" s="113">
        <f>IF($E203="","",IFERROR(INDEX(MUSTERILER!$B$7:$B$106,MATCH($U203,MUSTERILER!$T$7:$T$106,0)),IFERROR(INDEX(MUSTERILER!$B$7:$B$106,MATCH($E203,MUSTERILER!$B$7:$B$106,0)),IFERROR(INDEX(MUSTERILER!$B$7:$B$106,MATCH($U203&amp;"*",MUSTERILER!$T$7:$T$106,0)),"TANIMSIZ MÜŞTERİ"))))</f>
        <v/>
      </c>
      <c r="E203" s="109" t="n"/>
      <c r="F203" s="109" t="n"/>
      <c r="G203" s="108" t="n"/>
      <c r="H203" s="220" t="n"/>
      <c r="I203" s="220" t="n"/>
      <c r="J203" s="108" t="n"/>
      <c r="K203" s="108" t="n"/>
      <c r="L203" s="109" t="n"/>
      <c r="M203" s="109" t="n"/>
      <c r="N203" s="109" t="n"/>
      <c r="O203" s="220" t="n"/>
      <c r="P203" s="227">
        <f>IF(OR($E203="",$I203=""),"",IF(OR($J203="Tamamlandı",$J203="İptal"),"",$I203-TODAY()))</f>
        <v/>
      </c>
      <c r="Q203" s="113">
        <f>IF($E203="","",IF($D203="TANIMSIZ MÜŞTERİ","HATA",IF(OR($J203="Tamamlandı",$J203="İptal"),"KAPALI",IF(AND($C203="Görüşme",$N203=""),"SONRAKİ İŞLEM EKSİK",IF($I203="","TARİH EKSİK",IF($I203&lt;TODAY(),"GECİKMİŞ",IF($I203=TODAY(),"BUGÜN",IF($I203&lt;=TODAY()+7,"7 GÜN İÇİNDE","PLANLI"))))))))</f>
        <v/>
      </c>
      <c r="R203" s="6" t="n"/>
      <c r="S203" s="6" t="n"/>
      <c r="T203" s="3" t="n"/>
      <c r="U203" s="3">
        <f>IF($E203="","",UPPER(SUBSTITUTE(SUBSTITUTE(SUBSTITUTE(SUBSTITUTE(SUBSTITUTE(SUBSTITUTE(SUBSTITUTE(SUBSTITUTE(SUBSTITUTE(SUBSTITUTE(SUBSTITUTE(SUBSTITUTE(SUBSTITUTE(SUBSTITUTE(SUBSTITUTE(SUBSTITUTE(SUBSTITUTE(SUBSTITUTE(TRIM($E203),"'",""),"İ","I"),"ı","I"),"i","I"),"Ş","S"),"ş","S"),"Ğ","G"),"ğ","G"),"Ü","U"),"ü","U"),"Ö","O"),"ö","O"),"Ç","C"),"ç","C"),".",""),",","")," ",""),"-","")))</f>
        <v/>
      </c>
    </row>
    <row r="204">
      <c r="A204" s="6" t="n"/>
      <c r="B204" s="113">
        <f>IF($E204="","","A"&amp;TEXT(ROW()-6,"00000"))</f>
        <v/>
      </c>
      <c r="C204" s="108" t="n"/>
      <c r="D204" s="113">
        <f>IF($E204="","",IFERROR(INDEX(MUSTERILER!$B$7:$B$106,MATCH($U204,MUSTERILER!$T$7:$T$106,0)),IFERROR(INDEX(MUSTERILER!$B$7:$B$106,MATCH($E204,MUSTERILER!$B$7:$B$106,0)),IFERROR(INDEX(MUSTERILER!$B$7:$B$106,MATCH($U204&amp;"*",MUSTERILER!$T$7:$T$106,0)),"TANIMSIZ MÜŞTERİ"))))</f>
        <v/>
      </c>
      <c r="E204" s="109" t="n"/>
      <c r="F204" s="109" t="n"/>
      <c r="G204" s="108" t="n"/>
      <c r="H204" s="220" t="n"/>
      <c r="I204" s="220" t="n"/>
      <c r="J204" s="108" t="n"/>
      <c r="K204" s="108" t="n"/>
      <c r="L204" s="109" t="n"/>
      <c r="M204" s="109" t="n"/>
      <c r="N204" s="109" t="n"/>
      <c r="O204" s="220" t="n"/>
      <c r="P204" s="227">
        <f>IF(OR($E204="",$I204=""),"",IF(OR($J204="Tamamlandı",$J204="İptal"),"",$I204-TODAY()))</f>
        <v/>
      </c>
      <c r="Q204" s="113">
        <f>IF($E204="","",IF($D204="TANIMSIZ MÜŞTERİ","HATA",IF(OR($J204="Tamamlandı",$J204="İptal"),"KAPALI",IF(AND($C204="Görüşme",$N204=""),"SONRAKİ İŞLEM EKSİK",IF($I204="","TARİH EKSİK",IF($I204&lt;TODAY(),"GECİKMİŞ",IF($I204=TODAY(),"BUGÜN",IF($I204&lt;=TODAY()+7,"7 GÜN İÇİNDE","PLANLI"))))))))</f>
        <v/>
      </c>
      <c r="R204" s="6" t="n"/>
      <c r="S204" s="6" t="n"/>
      <c r="T204" s="3" t="n"/>
      <c r="U204" s="3">
        <f>IF($E204="","",UPPER(SUBSTITUTE(SUBSTITUTE(SUBSTITUTE(SUBSTITUTE(SUBSTITUTE(SUBSTITUTE(SUBSTITUTE(SUBSTITUTE(SUBSTITUTE(SUBSTITUTE(SUBSTITUTE(SUBSTITUTE(SUBSTITUTE(SUBSTITUTE(SUBSTITUTE(SUBSTITUTE(SUBSTITUTE(SUBSTITUTE(TRIM($E204),"'",""),"İ","I"),"ı","I"),"i","I"),"Ş","S"),"ş","S"),"Ğ","G"),"ğ","G"),"Ü","U"),"ü","U"),"Ö","O"),"ö","O"),"Ç","C"),"ç","C"),".",""),",","")," ",""),"-","")))</f>
        <v/>
      </c>
    </row>
    <row r="205">
      <c r="A205" s="6" t="n"/>
      <c r="B205" s="113">
        <f>IF($E205="","","A"&amp;TEXT(ROW()-6,"00000"))</f>
        <v/>
      </c>
      <c r="C205" s="108" t="n"/>
      <c r="D205" s="113">
        <f>IF($E205="","",IFERROR(INDEX(MUSTERILER!$B$7:$B$106,MATCH($U205,MUSTERILER!$T$7:$T$106,0)),IFERROR(INDEX(MUSTERILER!$B$7:$B$106,MATCH($E205,MUSTERILER!$B$7:$B$106,0)),IFERROR(INDEX(MUSTERILER!$B$7:$B$106,MATCH($U205&amp;"*",MUSTERILER!$T$7:$T$106,0)),"TANIMSIZ MÜŞTERİ"))))</f>
        <v/>
      </c>
      <c r="E205" s="109" t="n"/>
      <c r="F205" s="109" t="n"/>
      <c r="G205" s="108" t="n"/>
      <c r="H205" s="220" t="n"/>
      <c r="I205" s="220" t="n"/>
      <c r="J205" s="108" t="n"/>
      <c r="K205" s="108" t="n"/>
      <c r="L205" s="109" t="n"/>
      <c r="M205" s="109" t="n"/>
      <c r="N205" s="109" t="n"/>
      <c r="O205" s="220" t="n"/>
      <c r="P205" s="227">
        <f>IF(OR($E205="",$I205=""),"",IF(OR($J205="Tamamlandı",$J205="İptal"),"",$I205-TODAY()))</f>
        <v/>
      </c>
      <c r="Q205" s="113">
        <f>IF($E205="","",IF($D205="TANIMSIZ MÜŞTERİ","HATA",IF(OR($J205="Tamamlandı",$J205="İptal"),"KAPALI",IF(AND($C205="Görüşme",$N205=""),"SONRAKİ İŞLEM EKSİK",IF($I205="","TARİH EKSİK",IF($I205&lt;TODAY(),"GECİKMİŞ",IF($I205=TODAY(),"BUGÜN",IF($I205&lt;=TODAY()+7,"7 GÜN İÇİNDE","PLANLI"))))))))</f>
        <v/>
      </c>
      <c r="R205" s="6" t="n"/>
      <c r="S205" s="6" t="n"/>
      <c r="T205" s="3" t="n"/>
      <c r="U205" s="3">
        <f>IF($E205="","",UPPER(SUBSTITUTE(SUBSTITUTE(SUBSTITUTE(SUBSTITUTE(SUBSTITUTE(SUBSTITUTE(SUBSTITUTE(SUBSTITUTE(SUBSTITUTE(SUBSTITUTE(SUBSTITUTE(SUBSTITUTE(SUBSTITUTE(SUBSTITUTE(SUBSTITUTE(SUBSTITUTE(SUBSTITUTE(SUBSTITUTE(TRIM($E205),"'",""),"İ","I"),"ı","I"),"i","I"),"Ş","S"),"ş","S"),"Ğ","G"),"ğ","G"),"Ü","U"),"ü","U"),"Ö","O"),"ö","O"),"Ç","C"),"ç","C"),".",""),",","")," ",""),"-","")))</f>
        <v/>
      </c>
    </row>
    <row r="206">
      <c r="A206" s="6" t="n"/>
      <c r="B206" s="113">
        <f>IF($E206="","","A"&amp;TEXT(ROW()-6,"00000"))</f>
        <v/>
      </c>
      <c r="C206" s="108" t="n"/>
      <c r="D206" s="113">
        <f>IF($E206="","",IFERROR(INDEX(MUSTERILER!$B$7:$B$106,MATCH($U206,MUSTERILER!$T$7:$T$106,0)),IFERROR(INDEX(MUSTERILER!$B$7:$B$106,MATCH($E206,MUSTERILER!$B$7:$B$106,0)),IFERROR(INDEX(MUSTERILER!$B$7:$B$106,MATCH($U206&amp;"*",MUSTERILER!$T$7:$T$106,0)),"TANIMSIZ MÜŞTERİ"))))</f>
        <v/>
      </c>
      <c r="E206" s="109" t="n"/>
      <c r="F206" s="109" t="n"/>
      <c r="G206" s="108" t="n"/>
      <c r="H206" s="220" t="n"/>
      <c r="I206" s="220" t="n"/>
      <c r="J206" s="108" t="n"/>
      <c r="K206" s="108" t="n"/>
      <c r="L206" s="109" t="n"/>
      <c r="M206" s="109" t="n"/>
      <c r="N206" s="109" t="n"/>
      <c r="O206" s="220" t="n"/>
      <c r="P206" s="227">
        <f>IF(OR($E206="",$I206=""),"",IF(OR($J206="Tamamlandı",$J206="İptal"),"",$I206-TODAY()))</f>
        <v/>
      </c>
      <c r="Q206" s="113">
        <f>IF($E206="","",IF($D206="TANIMSIZ MÜŞTERİ","HATA",IF(OR($J206="Tamamlandı",$J206="İptal"),"KAPALI",IF(AND($C206="Görüşme",$N206=""),"SONRAKİ İŞLEM EKSİK",IF($I206="","TARİH EKSİK",IF($I206&lt;TODAY(),"GECİKMİŞ",IF($I206=TODAY(),"BUGÜN",IF($I206&lt;=TODAY()+7,"7 GÜN İÇİNDE","PLANLI"))))))))</f>
        <v/>
      </c>
      <c r="R206" s="6" t="n"/>
      <c r="S206" s="6" t="n"/>
      <c r="T206" s="3" t="n"/>
      <c r="U206" s="3">
        <f>IF($E206="","",UPPER(SUBSTITUTE(SUBSTITUTE(SUBSTITUTE(SUBSTITUTE(SUBSTITUTE(SUBSTITUTE(SUBSTITUTE(SUBSTITUTE(SUBSTITUTE(SUBSTITUTE(SUBSTITUTE(SUBSTITUTE(SUBSTITUTE(SUBSTITUTE(SUBSTITUTE(SUBSTITUTE(SUBSTITUTE(SUBSTITUTE(TRIM($E206),"'",""),"İ","I"),"ı","I"),"i","I"),"Ş","S"),"ş","S"),"Ğ","G"),"ğ","G"),"Ü","U"),"ü","U"),"Ö","O"),"ö","O"),"Ç","C"),"ç","C"),".",""),",","")," ",""),"-","")))</f>
        <v/>
      </c>
    </row>
    <row r="207">
      <c r="A207" s="6" t="n"/>
      <c r="B207" s="113">
        <f>IF($E207="","","A"&amp;TEXT(ROW()-6,"00000"))</f>
        <v/>
      </c>
      <c r="C207" s="108" t="n"/>
      <c r="D207" s="113">
        <f>IF($E207="","",IFERROR(INDEX(MUSTERILER!$B$7:$B$106,MATCH($U207,MUSTERILER!$T$7:$T$106,0)),IFERROR(INDEX(MUSTERILER!$B$7:$B$106,MATCH($E207,MUSTERILER!$B$7:$B$106,0)),IFERROR(INDEX(MUSTERILER!$B$7:$B$106,MATCH($U207&amp;"*",MUSTERILER!$T$7:$T$106,0)),"TANIMSIZ MÜŞTERİ"))))</f>
        <v/>
      </c>
      <c r="E207" s="109" t="n"/>
      <c r="F207" s="109" t="n"/>
      <c r="G207" s="108" t="n"/>
      <c r="H207" s="220" t="n"/>
      <c r="I207" s="220" t="n"/>
      <c r="J207" s="108" t="n"/>
      <c r="K207" s="108" t="n"/>
      <c r="L207" s="109" t="n"/>
      <c r="M207" s="109" t="n"/>
      <c r="N207" s="109" t="n"/>
      <c r="O207" s="220" t="n"/>
      <c r="P207" s="227">
        <f>IF(OR($E207="",$I207=""),"",IF(OR($J207="Tamamlandı",$J207="İptal"),"",$I207-TODAY()))</f>
        <v/>
      </c>
      <c r="Q207" s="113">
        <f>IF($E207="","",IF($D207="TANIMSIZ MÜŞTERİ","HATA",IF(OR($J207="Tamamlandı",$J207="İptal"),"KAPALI",IF(AND($C207="Görüşme",$N207=""),"SONRAKİ İŞLEM EKSİK",IF($I207="","TARİH EKSİK",IF($I207&lt;TODAY(),"GECİKMİŞ",IF($I207=TODAY(),"BUGÜN",IF($I207&lt;=TODAY()+7,"7 GÜN İÇİNDE","PLANLI"))))))))</f>
        <v/>
      </c>
      <c r="R207" s="6" t="n"/>
      <c r="S207" s="6" t="n"/>
      <c r="T207" s="3" t="n"/>
      <c r="U207" s="3">
        <f>IF($E207="","",UPPER(SUBSTITUTE(SUBSTITUTE(SUBSTITUTE(SUBSTITUTE(SUBSTITUTE(SUBSTITUTE(SUBSTITUTE(SUBSTITUTE(SUBSTITUTE(SUBSTITUTE(SUBSTITUTE(SUBSTITUTE(SUBSTITUTE(SUBSTITUTE(SUBSTITUTE(SUBSTITUTE(SUBSTITUTE(SUBSTITUTE(TRIM($E207),"'",""),"İ","I"),"ı","I"),"i","I"),"Ş","S"),"ş","S"),"Ğ","G"),"ğ","G"),"Ü","U"),"ü","U"),"Ö","O"),"ö","O"),"Ç","C"),"ç","C"),".",""),",","")," ",""),"-","")))</f>
        <v/>
      </c>
    </row>
    <row r="208">
      <c r="A208" s="6" t="n"/>
      <c r="B208" s="113">
        <f>IF($E208="","","A"&amp;TEXT(ROW()-6,"00000"))</f>
        <v/>
      </c>
      <c r="C208" s="108" t="n"/>
      <c r="D208" s="113">
        <f>IF($E208="","",IFERROR(INDEX(MUSTERILER!$B$7:$B$106,MATCH($U208,MUSTERILER!$T$7:$T$106,0)),IFERROR(INDEX(MUSTERILER!$B$7:$B$106,MATCH($E208,MUSTERILER!$B$7:$B$106,0)),IFERROR(INDEX(MUSTERILER!$B$7:$B$106,MATCH($U208&amp;"*",MUSTERILER!$T$7:$T$106,0)),"TANIMSIZ MÜŞTERİ"))))</f>
        <v/>
      </c>
      <c r="E208" s="109" t="n"/>
      <c r="F208" s="109" t="n"/>
      <c r="G208" s="108" t="n"/>
      <c r="H208" s="220" t="n"/>
      <c r="I208" s="220" t="n"/>
      <c r="J208" s="108" t="n"/>
      <c r="K208" s="108" t="n"/>
      <c r="L208" s="109" t="n"/>
      <c r="M208" s="109" t="n"/>
      <c r="N208" s="109" t="n"/>
      <c r="O208" s="220" t="n"/>
      <c r="P208" s="227">
        <f>IF(OR($E208="",$I208=""),"",IF(OR($J208="Tamamlandı",$J208="İptal"),"",$I208-TODAY()))</f>
        <v/>
      </c>
      <c r="Q208" s="113">
        <f>IF($E208="","",IF($D208="TANIMSIZ MÜŞTERİ","HATA",IF(OR($J208="Tamamlandı",$J208="İptal"),"KAPALI",IF(AND($C208="Görüşme",$N208=""),"SONRAKİ İŞLEM EKSİK",IF($I208="","TARİH EKSİK",IF($I208&lt;TODAY(),"GECİKMİŞ",IF($I208=TODAY(),"BUGÜN",IF($I208&lt;=TODAY()+7,"7 GÜN İÇİNDE","PLANLI"))))))))</f>
        <v/>
      </c>
      <c r="R208" s="6" t="n"/>
      <c r="S208" s="6" t="n"/>
      <c r="T208" s="3" t="n"/>
      <c r="U208" s="3">
        <f>IF($E208="","",UPPER(SUBSTITUTE(SUBSTITUTE(SUBSTITUTE(SUBSTITUTE(SUBSTITUTE(SUBSTITUTE(SUBSTITUTE(SUBSTITUTE(SUBSTITUTE(SUBSTITUTE(SUBSTITUTE(SUBSTITUTE(SUBSTITUTE(SUBSTITUTE(SUBSTITUTE(SUBSTITUTE(SUBSTITUTE(SUBSTITUTE(TRIM($E208),"'",""),"İ","I"),"ı","I"),"i","I"),"Ş","S"),"ş","S"),"Ğ","G"),"ğ","G"),"Ü","U"),"ü","U"),"Ö","O"),"ö","O"),"Ç","C"),"ç","C"),".",""),",","")," ",""),"-","")))</f>
        <v/>
      </c>
    </row>
    <row r="209">
      <c r="A209" s="6" t="n"/>
      <c r="B209" s="113">
        <f>IF($E209="","","A"&amp;TEXT(ROW()-6,"00000"))</f>
        <v/>
      </c>
      <c r="C209" s="108" t="n"/>
      <c r="D209" s="113">
        <f>IF($E209="","",IFERROR(INDEX(MUSTERILER!$B$7:$B$106,MATCH($U209,MUSTERILER!$T$7:$T$106,0)),IFERROR(INDEX(MUSTERILER!$B$7:$B$106,MATCH($E209,MUSTERILER!$B$7:$B$106,0)),IFERROR(INDEX(MUSTERILER!$B$7:$B$106,MATCH($U209&amp;"*",MUSTERILER!$T$7:$T$106,0)),"TANIMSIZ MÜŞTERİ"))))</f>
        <v/>
      </c>
      <c r="E209" s="109" t="n"/>
      <c r="F209" s="109" t="n"/>
      <c r="G209" s="108" t="n"/>
      <c r="H209" s="220" t="n"/>
      <c r="I209" s="220" t="n"/>
      <c r="J209" s="108" t="n"/>
      <c r="K209" s="108" t="n"/>
      <c r="L209" s="109" t="n"/>
      <c r="M209" s="109" t="n"/>
      <c r="N209" s="109" t="n"/>
      <c r="O209" s="220" t="n"/>
      <c r="P209" s="227">
        <f>IF(OR($E209="",$I209=""),"",IF(OR($J209="Tamamlandı",$J209="İptal"),"",$I209-TODAY()))</f>
        <v/>
      </c>
      <c r="Q209" s="113">
        <f>IF($E209="","",IF($D209="TANIMSIZ MÜŞTERİ","HATA",IF(OR($J209="Tamamlandı",$J209="İptal"),"KAPALI",IF(AND($C209="Görüşme",$N209=""),"SONRAKİ İŞLEM EKSİK",IF($I209="","TARİH EKSİK",IF($I209&lt;TODAY(),"GECİKMİŞ",IF($I209=TODAY(),"BUGÜN",IF($I209&lt;=TODAY()+7,"7 GÜN İÇİNDE","PLANLI"))))))))</f>
        <v/>
      </c>
      <c r="R209" s="6" t="n"/>
      <c r="S209" s="6" t="n"/>
      <c r="T209" s="3" t="n"/>
      <c r="U209" s="3">
        <f>IF($E209="","",UPPER(SUBSTITUTE(SUBSTITUTE(SUBSTITUTE(SUBSTITUTE(SUBSTITUTE(SUBSTITUTE(SUBSTITUTE(SUBSTITUTE(SUBSTITUTE(SUBSTITUTE(SUBSTITUTE(SUBSTITUTE(SUBSTITUTE(SUBSTITUTE(SUBSTITUTE(SUBSTITUTE(SUBSTITUTE(SUBSTITUTE(TRIM($E209),"'",""),"İ","I"),"ı","I"),"i","I"),"Ş","S"),"ş","S"),"Ğ","G"),"ğ","G"),"Ü","U"),"ü","U"),"Ö","O"),"ö","O"),"Ç","C"),"ç","C"),".",""),",","")," ",""),"-","")))</f>
        <v/>
      </c>
    </row>
    <row r="210">
      <c r="A210" s="6" t="n"/>
      <c r="B210" s="113">
        <f>IF($E210="","","A"&amp;TEXT(ROW()-6,"00000"))</f>
        <v/>
      </c>
      <c r="C210" s="108" t="n"/>
      <c r="D210" s="113">
        <f>IF($E210="","",IFERROR(INDEX(MUSTERILER!$B$7:$B$106,MATCH($U210,MUSTERILER!$T$7:$T$106,0)),IFERROR(INDEX(MUSTERILER!$B$7:$B$106,MATCH($E210,MUSTERILER!$B$7:$B$106,0)),IFERROR(INDEX(MUSTERILER!$B$7:$B$106,MATCH($U210&amp;"*",MUSTERILER!$T$7:$T$106,0)),"TANIMSIZ MÜŞTERİ"))))</f>
        <v/>
      </c>
      <c r="E210" s="109" t="n"/>
      <c r="F210" s="109" t="n"/>
      <c r="G210" s="108" t="n"/>
      <c r="H210" s="220" t="n"/>
      <c r="I210" s="220" t="n"/>
      <c r="J210" s="108" t="n"/>
      <c r="K210" s="108" t="n"/>
      <c r="L210" s="109" t="n"/>
      <c r="M210" s="109" t="n"/>
      <c r="N210" s="109" t="n"/>
      <c r="O210" s="220" t="n"/>
      <c r="P210" s="227">
        <f>IF(OR($E210="",$I210=""),"",IF(OR($J210="Tamamlandı",$J210="İptal"),"",$I210-TODAY()))</f>
        <v/>
      </c>
      <c r="Q210" s="113">
        <f>IF($E210="","",IF($D210="TANIMSIZ MÜŞTERİ","HATA",IF(OR($J210="Tamamlandı",$J210="İptal"),"KAPALI",IF(AND($C210="Görüşme",$N210=""),"SONRAKİ İŞLEM EKSİK",IF($I210="","TARİH EKSİK",IF($I210&lt;TODAY(),"GECİKMİŞ",IF($I210=TODAY(),"BUGÜN",IF($I210&lt;=TODAY()+7,"7 GÜN İÇİNDE","PLANLI"))))))))</f>
        <v/>
      </c>
      <c r="R210" s="6" t="n"/>
      <c r="S210" s="6" t="n"/>
      <c r="T210" s="3" t="n"/>
      <c r="U210" s="3">
        <f>IF($E210="","",UPPER(SUBSTITUTE(SUBSTITUTE(SUBSTITUTE(SUBSTITUTE(SUBSTITUTE(SUBSTITUTE(SUBSTITUTE(SUBSTITUTE(SUBSTITUTE(SUBSTITUTE(SUBSTITUTE(SUBSTITUTE(SUBSTITUTE(SUBSTITUTE(SUBSTITUTE(SUBSTITUTE(SUBSTITUTE(SUBSTITUTE(TRIM($E210),"'",""),"İ","I"),"ı","I"),"i","I"),"Ş","S"),"ş","S"),"Ğ","G"),"ğ","G"),"Ü","U"),"ü","U"),"Ö","O"),"ö","O"),"Ç","C"),"ç","C"),".",""),",","")," ",""),"-","")))</f>
        <v/>
      </c>
    </row>
    <row r="211">
      <c r="A211" s="6" t="n"/>
      <c r="B211" s="113">
        <f>IF($E211="","","A"&amp;TEXT(ROW()-6,"00000"))</f>
        <v/>
      </c>
      <c r="C211" s="108" t="n"/>
      <c r="D211" s="113">
        <f>IF($E211="","",IFERROR(INDEX(MUSTERILER!$B$7:$B$106,MATCH($U211,MUSTERILER!$T$7:$T$106,0)),IFERROR(INDEX(MUSTERILER!$B$7:$B$106,MATCH($E211,MUSTERILER!$B$7:$B$106,0)),IFERROR(INDEX(MUSTERILER!$B$7:$B$106,MATCH($U211&amp;"*",MUSTERILER!$T$7:$T$106,0)),"TANIMSIZ MÜŞTERİ"))))</f>
        <v/>
      </c>
      <c r="E211" s="109" t="n"/>
      <c r="F211" s="109" t="n"/>
      <c r="G211" s="108" t="n"/>
      <c r="H211" s="220" t="n"/>
      <c r="I211" s="220" t="n"/>
      <c r="J211" s="108" t="n"/>
      <c r="K211" s="108" t="n"/>
      <c r="L211" s="109" t="n"/>
      <c r="M211" s="109" t="n"/>
      <c r="N211" s="109" t="n"/>
      <c r="O211" s="220" t="n"/>
      <c r="P211" s="227">
        <f>IF(OR($E211="",$I211=""),"",IF(OR($J211="Tamamlandı",$J211="İptal"),"",$I211-TODAY()))</f>
        <v/>
      </c>
      <c r="Q211" s="113">
        <f>IF($E211="","",IF($D211="TANIMSIZ MÜŞTERİ","HATA",IF(OR($J211="Tamamlandı",$J211="İptal"),"KAPALI",IF(AND($C211="Görüşme",$N211=""),"SONRAKİ İŞLEM EKSİK",IF($I211="","TARİH EKSİK",IF($I211&lt;TODAY(),"GECİKMİŞ",IF($I211=TODAY(),"BUGÜN",IF($I211&lt;=TODAY()+7,"7 GÜN İÇİNDE","PLANLI"))))))))</f>
        <v/>
      </c>
      <c r="R211" s="6" t="n"/>
      <c r="S211" s="6" t="n"/>
      <c r="T211" s="3" t="n"/>
      <c r="U211" s="3">
        <f>IF($E211="","",UPPER(SUBSTITUTE(SUBSTITUTE(SUBSTITUTE(SUBSTITUTE(SUBSTITUTE(SUBSTITUTE(SUBSTITUTE(SUBSTITUTE(SUBSTITUTE(SUBSTITUTE(SUBSTITUTE(SUBSTITUTE(SUBSTITUTE(SUBSTITUTE(SUBSTITUTE(SUBSTITUTE(SUBSTITUTE(SUBSTITUTE(TRIM($E211),"'",""),"İ","I"),"ı","I"),"i","I"),"Ş","S"),"ş","S"),"Ğ","G"),"ğ","G"),"Ü","U"),"ü","U"),"Ö","O"),"ö","O"),"Ç","C"),"ç","C"),".",""),",","")," ",""),"-","")))</f>
        <v/>
      </c>
    </row>
    <row r="212">
      <c r="A212" s="6" t="n"/>
      <c r="B212" s="113">
        <f>IF($E212="","","A"&amp;TEXT(ROW()-6,"00000"))</f>
        <v/>
      </c>
      <c r="C212" s="108" t="n"/>
      <c r="D212" s="113">
        <f>IF($E212="","",IFERROR(INDEX(MUSTERILER!$B$7:$B$106,MATCH($U212,MUSTERILER!$T$7:$T$106,0)),IFERROR(INDEX(MUSTERILER!$B$7:$B$106,MATCH($E212,MUSTERILER!$B$7:$B$106,0)),IFERROR(INDEX(MUSTERILER!$B$7:$B$106,MATCH($U212&amp;"*",MUSTERILER!$T$7:$T$106,0)),"TANIMSIZ MÜŞTERİ"))))</f>
        <v/>
      </c>
      <c r="E212" s="109" t="n"/>
      <c r="F212" s="109" t="n"/>
      <c r="G212" s="108" t="n"/>
      <c r="H212" s="220" t="n"/>
      <c r="I212" s="220" t="n"/>
      <c r="J212" s="108" t="n"/>
      <c r="K212" s="108" t="n"/>
      <c r="L212" s="109" t="n"/>
      <c r="M212" s="109" t="n"/>
      <c r="N212" s="109" t="n"/>
      <c r="O212" s="220" t="n"/>
      <c r="P212" s="227">
        <f>IF(OR($E212="",$I212=""),"",IF(OR($J212="Tamamlandı",$J212="İptal"),"",$I212-TODAY()))</f>
        <v/>
      </c>
      <c r="Q212" s="113">
        <f>IF($E212="","",IF($D212="TANIMSIZ MÜŞTERİ","HATA",IF(OR($J212="Tamamlandı",$J212="İptal"),"KAPALI",IF(AND($C212="Görüşme",$N212=""),"SONRAKİ İŞLEM EKSİK",IF($I212="","TARİH EKSİK",IF($I212&lt;TODAY(),"GECİKMİŞ",IF($I212=TODAY(),"BUGÜN",IF($I212&lt;=TODAY()+7,"7 GÜN İÇİNDE","PLANLI"))))))))</f>
        <v/>
      </c>
      <c r="R212" s="6" t="n"/>
      <c r="S212" s="6" t="n"/>
      <c r="T212" s="3" t="n"/>
      <c r="U212" s="3">
        <f>IF($E212="","",UPPER(SUBSTITUTE(SUBSTITUTE(SUBSTITUTE(SUBSTITUTE(SUBSTITUTE(SUBSTITUTE(SUBSTITUTE(SUBSTITUTE(SUBSTITUTE(SUBSTITUTE(SUBSTITUTE(SUBSTITUTE(SUBSTITUTE(SUBSTITUTE(SUBSTITUTE(SUBSTITUTE(SUBSTITUTE(SUBSTITUTE(TRIM($E212),"'",""),"İ","I"),"ı","I"),"i","I"),"Ş","S"),"ş","S"),"Ğ","G"),"ğ","G"),"Ü","U"),"ü","U"),"Ö","O"),"ö","O"),"Ç","C"),"ç","C"),".",""),",","")," ",""),"-","")))</f>
        <v/>
      </c>
    </row>
    <row r="213">
      <c r="A213" s="6" t="n"/>
      <c r="B213" s="113">
        <f>IF($E213="","","A"&amp;TEXT(ROW()-6,"00000"))</f>
        <v/>
      </c>
      <c r="C213" s="108" t="n"/>
      <c r="D213" s="113">
        <f>IF($E213="","",IFERROR(INDEX(MUSTERILER!$B$7:$B$106,MATCH($U213,MUSTERILER!$T$7:$T$106,0)),IFERROR(INDEX(MUSTERILER!$B$7:$B$106,MATCH($E213,MUSTERILER!$B$7:$B$106,0)),IFERROR(INDEX(MUSTERILER!$B$7:$B$106,MATCH($U213&amp;"*",MUSTERILER!$T$7:$T$106,0)),"TANIMSIZ MÜŞTERİ"))))</f>
        <v/>
      </c>
      <c r="E213" s="109" t="n"/>
      <c r="F213" s="109" t="n"/>
      <c r="G213" s="108" t="n"/>
      <c r="H213" s="220" t="n"/>
      <c r="I213" s="220" t="n"/>
      <c r="J213" s="108" t="n"/>
      <c r="K213" s="108" t="n"/>
      <c r="L213" s="109" t="n"/>
      <c r="M213" s="109" t="n"/>
      <c r="N213" s="109" t="n"/>
      <c r="O213" s="220" t="n"/>
      <c r="P213" s="227">
        <f>IF(OR($E213="",$I213=""),"",IF(OR($J213="Tamamlandı",$J213="İptal"),"",$I213-TODAY()))</f>
        <v/>
      </c>
      <c r="Q213" s="113">
        <f>IF($E213="","",IF($D213="TANIMSIZ MÜŞTERİ","HATA",IF(OR($J213="Tamamlandı",$J213="İptal"),"KAPALI",IF(AND($C213="Görüşme",$N213=""),"SONRAKİ İŞLEM EKSİK",IF($I213="","TARİH EKSİK",IF($I213&lt;TODAY(),"GECİKMİŞ",IF($I213=TODAY(),"BUGÜN",IF($I213&lt;=TODAY()+7,"7 GÜN İÇİNDE","PLANLI"))))))))</f>
        <v/>
      </c>
      <c r="R213" s="6" t="n"/>
      <c r="S213" s="6" t="n"/>
      <c r="T213" s="3" t="n"/>
      <c r="U213" s="3">
        <f>IF($E213="","",UPPER(SUBSTITUTE(SUBSTITUTE(SUBSTITUTE(SUBSTITUTE(SUBSTITUTE(SUBSTITUTE(SUBSTITUTE(SUBSTITUTE(SUBSTITUTE(SUBSTITUTE(SUBSTITUTE(SUBSTITUTE(SUBSTITUTE(SUBSTITUTE(SUBSTITUTE(SUBSTITUTE(SUBSTITUTE(SUBSTITUTE(TRIM($E213),"'",""),"İ","I"),"ı","I"),"i","I"),"Ş","S"),"ş","S"),"Ğ","G"),"ğ","G"),"Ü","U"),"ü","U"),"Ö","O"),"ö","O"),"Ç","C"),"ç","C"),".",""),",","")," ",""),"-","")))</f>
        <v/>
      </c>
    </row>
    <row r="214">
      <c r="A214" s="6" t="n"/>
      <c r="B214" s="113">
        <f>IF($E214="","","A"&amp;TEXT(ROW()-6,"00000"))</f>
        <v/>
      </c>
      <c r="C214" s="108" t="n"/>
      <c r="D214" s="113">
        <f>IF($E214="","",IFERROR(INDEX(MUSTERILER!$B$7:$B$106,MATCH($U214,MUSTERILER!$T$7:$T$106,0)),IFERROR(INDEX(MUSTERILER!$B$7:$B$106,MATCH($E214,MUSTERILER!$B$7:$B$106,0)),IFERROR(INDEX(MUSTERILER!$B$7:$B$106,MATCH($U214&amp;"*",MUSTERILER!$T$7:$T$106,0)),"TANIMSIZ MÜŞTERİ"))))</f>
        <v/>
      </c>
      <c r="E214" s="109" t="n"/>
      <c r="F214" s="109" t="n"/>
      <c r="G214" s="108" t="n"/>
      <c r="H214" s="220" t="n"/>
      <c r="I214" s="220" t="n"/>
      <c r="J214" s="108" t="n"/>
      <c r="K214" s="108" t="n"/>
      <c r="L214" s="109" t="n"/>
      <c r="M214" s="109" t="n"/>
      <c r="N214" s="109" t="n"/>
      <c r="O214" s="220" t="n"/>
      <c r="P214" s="227">
        <f>IF(OR($E214="",$I214=""),"",IF(OR($J214="Tamamlandı",$J214="İptal"),"",$I214-TODAY()))</f>
        <v/>
      </c>
      <c r="Q214" s="113">
        <f>IF($E214="","",IF($D214="TANIMSIZ MÜŞTERİ","HATA",IF(OR($J214="Tamamlandı",$J214="İptal"),"KAPALI",IF(AND($C214="Görüşme",$N214=""),"SONRAKİ İŞLEM EKSİK",IF($I214="","TARİH EKSİK",IF($I214&lt;TODAY(),"GECİKMİŞ",IF($I214=TODAY(),"BUGÜN",IF($I214&lt;=TODAY()+7,"7 GÜN İÇİNDE","PLANLI"))))))))</f>
        <v/>
      </c>
      <c r="R214" s="6" t="n"/>
      <c r="S214" s="6" t="n"/>
      <c r="T214" s="3" t="n"/>
      <c r="U214" s="3">
        <f>IF($E214="","",UPPER(SUBSTITUTE(SUBSTITUTE(SUBSTITUTE(SUBSTITUTE(SUBSTITUTE(SUBSTITUTE(SUBSTITUTE(SUBSTITUTE(SUBSTITUTE(SUBSTITUTE(SUBSTITUTE(SUBSTITUTE(SUBSTITUTE(SUBSTITUTE(SUBSTITUTE(SUBSTITUTE(SUBSTITUTE(SUBSTITUTE(TRIM($E214),"'",""),"İ","I"),"ı","I"),"i","I"),"Ş","S"),"ş","S"),"Ğ","G"),"ğ","G"),"Ü","U"),"ü","U"),"Ö","O"),"ö","O"),"Ç","C"),"ç","C"),".",""),",","")," ",""),"-","")))</f>
        <v/>
      </c>
    </row>
    <row r="215">
      <c r="A215" s="6" t="n"/>
      <c r="B215" s="113">
        <f>IF($E215="","","A"&amp;TEXT(ROW()-6,"00000"))</f>
        <v/>
      </c>
      <c r="C215" s="108" t="n"/>
      <c r="D215" s="113">
        <f>IF($E215="","",IFERROR(INDEX(MUSTERILER!$B$7:$B$106,MATCH($U215,MUSTERILER!$T$7:$T$106,0)),IFERROR(INDEX(MUSTERILER!$B$7:$B$106,MATCH($E215,MUSTERILER!$B$7:$B$106,0)),IFERROR(INDEX(MUSTERILER!$B$7:$B$106,MATCH($U215&amp;"*",MUSTERILER!$T$7:$T$106,0)),"TANIMSIZ MÜŞTERİ"))))</f>
        <v/>
      </c>
      <c r="E215" s="109" t="n"/>
      <c r="F215" s="109" t="n"/>
      <c r="G215" s="108" t="n"/>
      <c r="H215" s="220" t="n"/>
      <c r="I215" s="220" t="n"/>
      <c r="J215" s="108" t="n"/>
      <c r="K215" s="108" t="n"/>
      <c r="L215" s="109" t="n"/>
      <c r="M215" s="109" t="n"/>
      <c r="N215" s="109" t="n"/>
      <c r="O215" s="220" t="n"/>
      <c r="P215" s="227">
        <f>IF(OR($E215="",$I215=""),"",IF(OR($J215="Tamamlandı",$J215="İptal"),"",$I215-TODAY()))</f>
        <v/>
      </c>
      <c r="Q215" s="113">
        <f>IF($E215="","",IF($D215="TANIMSIZ MÜŞTERİ","HATA",IF(OR($J215="Tamamlandı",$J215="İptal"),"KAPALI",IF(AND($C215="Görüşme",$N215=""),"SONRAKİ İŞLEM EKSİK",IF($I215="","TARİH EKSİK",IF($I215&lt;TODAY(),"GECİKMİŞ",IF($I215=TODAY(),"BUGÜN",IF($I215&lt;=TODAY()+7,"7 GÜN İÇİNDE","PLANLI"))))))))</f>
        <v/>
      </c>
      <c r="R215" s="6" t="n"/>
      <c r="S215" s="6" t="n"/>
      <c r="T215" s="3" t="n"/>
      <c r="U215" s="3">
        <f>IF($E215="","",UPPER(SUBSTITUTE(SUBSTITUTE(SUBSTITUTE(SUBSTITUTE(SUBSTITUTE(SUBSTITUTE(SUBSTITUTE(SUBSTITUTE(SUBSTITUTE(SUBSTITUTE(SUBSTITUTE(SUBSTITUTE(SUBSTITUTE(SUBSTITUTE(SUBSTITUTE(SUBSTITUTE(SUBSTITUTE(SUBSTITUTE(TRIM($E215),"'",""),"İ","I"),"ı","I"),"i","I"),"Ş","S"),"ş","S"),"Ğ","G"),"ğ","G"),"Ü","U"),"ü","U"),"Ö","O"),"ö","O"),"Ç","C"),"ç","C"),".",""),",","")," ",""),"-","")))</f>
        <v/>
      </c>
    </row>
    <row r="216">
      <c r="A216" s="6" t="n"/>
      <c r="B216" s="113">
        <f>IF($E216="","","A"&amp;TEXT(ROW()-6,"00000"))</f>
        <v/>
      </c>
      <c r="C216" s="108" t="n"/>
      <c r="D216" s="113">
        <f>IF($E216="","",IFERROR(INDEX(MUSTERILER!$B$7:$B$106,MATCH($U216,MUSTERILER!$T$7:$T$106,0)),IFERROR(INDEX(MUSTERILER!$B$7:$B$106,MATCH($E216,MUSTERILER!$B$7:$B$106,0)),IFERROR(INDEX(MUSTERILER!$B$7:$B$106,MATCH($U216&amp;"*",MUSTERILER!$T$7:$T$106,0)),"TANIMSIZ MÜŞTERİ"))))</f>
        <v/>
      </c>
      <c r="E216" s="109" t="n"/>
      <c r="F216" s="109" t="n"/>
      <c r="G216" s="108" t="n"/>
      <c r="H216" s="220" t="n"/>
      <c r="I216" s="220" t="n"/>
      <c r="J216" s="108" t="n"/>
      <c r="K216" s="108" t="n"/>
      <c r="L216" s="109" t="n"/>
      <c r="M216" s="109" t="n"/>
      <c r="N216" s="109" t="n"/>
      <c r="O216" s="220" t="n"/>
      <c r="P216" s="227">
        <f>IF(OR($E216="",$I216=""),"",IF(OR($J216="Tamamlandı",$J216="İptal"),"",$I216-TODAY()))</f>
        <v/>
      </c>
      <c r="Q216" s="113">
        <f>IF($E216="","",IF($D216="TANIMSIZ MÜŞTERİ","HATA",IF(OR($J216="Tamamlandı",$J216="İptal"),"KAPALI",IF(AND($C216="Görüşme",$N216=""),"SONRAKİ İŞLEM EKSİK",IF($I216="","TARİH EKSİK",IF($I216&lt;TODAY(),"GECİKMİŞ",IF($I216=TODAY(),"BUGÜN",IF($I216&lt;=TODAY()+7,"7 GÜN İÇİNDE","PLANLI"))))))))</f>
        <v/>
      </c>
      <c r="R216" s="6" t="n"/>
      <c r="S216" s="6" t="n"/>
      <c r="T216" s="3" t="n"/>
      <c r="U216" s="3">
        <f>IF($E216="","",UPPER(SUBSTITUTE(SUBSTITUTE(SUBSTITUTE(SUBSTITUTE(SUBSTITUTE(SUBSTITUTE(SUBSTITUTE(SUBSTITUTE(SUBSTITUTE(SUBSTITUTE(SUBSTITUTE(SUBSTITUTE(SUBSTITUTE(SUBSTITUTE(SUBSTITUTE(SUBSTITUTE(SUBSTITUTE(SUBSTITUTE(TRIM($E216),"'",""),"İ","I"),"ı","I"),"i","I"),"Ş","S"),"ş","S"),"Ğ","G"),"ğ","G"),"Ü","U"),"ü","U"),"Ö","O"),"ö","O"),"Ç","C"),"ç","C"),".",""),",","")," ",""),"-","")))</f>
        <v/>
      </c>
    </row>
    <row r="217">
      <c r="A217" s="6" t="n"/>
      <c r="B217" s="113">
        <f>IF($E217="","","A"&amp;TEXT(ROW()-6,"00000"))</f>
        <v/>
      </c>
      <c r="C217" s="108" t="n"/>
      <c r="D217" s="113">
        <f>IF($E217="","",IFERROR(INDEX(MUSTERILER!$B$7:$B$106,MATCH($U217,MUSTERILER!$T$7:$T$106,0)),IFERROR(INDEX(MUSTERILER!$B$7:$B$106,MATCH($E217,MUSTERILER!$B$7:$B$106,0)),IFERROR(INDEX(MUSTERILER!$B$7:$B$106,MATCH($U217&amp;"*",MUSTERILER!$T$7:$T$106,0)),"TANIMSIZ MÜŞTERİ"))))</f>
        <v/>
      </c>
      <c r="E217" s="109" t="n"/>
      <c r="F217" s="109" t="n"/>
      <c r="G217" s="108" t="n"/>
      <c r="H217" s="220" t="n"/>
      <c r="I217" s="220" t="n"/>
      <c r="J217" s="108" t="n"/>
      <c r="K217" s="108" t="n"/>
      <c r="L217" s="109" t="n"/>
      <c r="M217" s="109" t="n"/>
      <c r="N217" s="109" t="n"/>
      <c r="O217" s="220" t="n"/>
      <c r="P217" s="227">
        <f>IF(OR($E217="",$I217=""),"",IF(OR($J217="Tamamlandı",$J217="İptal"),"",$I217-TODAY()))</f>
        <v/>
      </c>
      <c r="Q217" s="113">
        <f>IF($E217="","",IF($D217="TANIMSIZ MÜŞTERİ","HATA",IF(OR($J217="Tamamlandı",$J217="İptal"),"KAPALI",IF(AND($C217="Görüşme",$N217=""),"SONRAKİ İŞLEM EKSİK",IF($I217="","TARİH EKSİK",IF($I217&lt;TODAY(),"GECİKMİŞ",IF($I217=TODAY(),"BUGÜN",IF($I217&lt;=TODAY()+7,"7 GÜN İÇİNDE","PLANLI"))))))))</f>
        <v/>
      </c>
      <c r="R217" s="6" t="n"/>
      <c r="S217" s="6" t="n"/>
      <c r="T217" s="3" t="n"/>
      <c r="U217" s="3">
        <f>IF($E217="","",UPPER(SUBSTITUTE(SUBSTITUTE(SUBSTITUTE(SUBSTITUTE(SUBSTITUTE(SUBSTITUTE(SUBSTITUTE(SUBSTITUTE(SUBSTITUTE(SUBSTITUTE(SUBSTITUTE(SUBSTITUTE(SUBSTITUTE(SUBSTITUTE(SUBSTITUTE(SUBSTITUTE(SUBSTITUTE(SUBSTITUTE(TRIM($E217),"'",""),"İ","I"),"ı","I"),"i","I"),"Ş","S"),"ş","S"),"Ğ","G"),"ğ","G"),"Ü","U"),"ü","U"),"Ö","O"),"ö","O"),"Ç","C"),"ç","C"),".",""),",","")," ",""),"-","")))</f>
        <v/>
      </c>
    </row>
    <row r="218">
      <c r="A218" s="6" t="n"/>
      <c r="B218" s="113">
        <f>IF($E218="","","A"&amp;TEXT(ROW()-6,"00000"))</f>
        <v/>
      </c>
      <c r="C218" s="108" t="n"/>
      <c r="D218" s="113">
        <f>IF($E218="","",IFERROR(INDEX(MUSTERILER!$B$7:$B$106,MATCH($U218,MUSTERILER!$T$7:$T$106,0)),IFERROR(INDEX(MUSTERILER!$B$7:$B$106,MATCH($E218,MUSTERILER!$B$7:$B$106,0)),IFERROR(INDEX(MUSTERILER!$B$7:$B$106,MATCH($U218&amp;"*",MUSTERILER!$T$7:$T$106,0)),"TANIMSIZ MÜŞTERİ"))))</f>
        <v/>
      </c>
      <c r="E218" s="109" t="n"/>
      <c r="F218" s="109" t="n"/>
      <c r="G218" s="108" t="n"/>
      <c r="H218" s="220" t="n"/>
      <c r="I218" s="220" t="n"/>
      <c r="J218" s="108" t="n"/>
      <c r="K218" s="108" t="n"/>
      <c r="L218" s="109" t="n"/>
      <c r="M218" s="109" t="n"/>
      <c r="N218" s="109" t="n"/>
      <c r="O218" s="220" t="n"/>
      <c r="P218" s="227">
        <f>IF(OR($E218="",$I218=""),"",IF(OR($J218="Tamamlandı",$J218="İptal"),"",$I218-TODAY()))</f>
        <v/>
      </c>
      <c r="Q218" s="113">
        <f>IF($E218="","",IF($D218="TANIMSIZ MÜŞTERİ","HATA",IF(OR($J218="Tamamlandı",$J218="İptal"),"KAPALI",IF(AND($C218="Görüşme",$N218=""),"SONRAKİ İŞLEM EKSİK",IF($I218="","TARİH EKSİK",IF($I218&lt;TODAY(),"GECİKMİŞ",IF($I218=TODAY(),"BUGÜN",IF($I218&lt;=TODAY()+7,"7 GÜN İÇİNDE","PLANLI"))))))))</f>
        <v/>
      </c>
      <c r="R218" s="6" t="n"/>
      <c r="S218" s="6" t="n"/>
      <c r="T218" s="3" t="n"/>
      <c r="U218" s="3">
        <f>IF($E218="","",UPPER(SUBSTITUTE(SUBSTITUTE(SUBSTITUTE(SUBSTITUTE(SUBSTITUTE(SUBSTITUTE(SUBSTITUTE(SUBSTITUTE(SUBSTITUTE(SUBSTITUTE(SUBSTITUTE(SUBSTITUTE(SUBSTITUTE(SUBSTITUTE(SUBSTITUTE(SUBSTITUTE(SUBSTITUTE(SUBSTITUTE(TRIM($E218),"'",""),"İ","I"),"ı","I"),"i","I"),"Ş","S"),"ş","S"),"Ğ","G"),"ğ","G"),"Ü","U"),"ü","U"),"Ö","O"),"ö","O"),"Ç","C"),"ç","C"),".",""),",","")," ",""),"-","")))</f>
        <v/>
      </c>
    </row>
    <row r="219">
      <c r="A219" s="6" t="n"/>
      <c r="B219" s="113">
        <f>IF($E219="","","A"&amp;TEXT(ROW()-6,"00000"))</f>
        <v/>
      </c>
      <c r="C219" s="108" t="n"/>
      <c r="D219" s="113">
        <f>IF($E219="","",IFERROR(INDEX(MUSTERILER!$B$7:$B$106,MATCH($U219,MUSTERILER!$T$7:$T$106,0)),IFERROR(INDEX(MUSTERILER!$B$7:$B$106,MATCH($E219,MUSTERILER!$B$7:$B$106,0)),IFERROR(INDEX(MUSTERILER!$B$7:$B$106,MATCH($U219&amp;"*",MUSTERILER!$T$7:$T$106,0)),"TANIMSIZ MÜŞTERİ"))))</f>
        <v/>
      </c>
      <c r="E219" s="109" t="n"/>
      <c r="F219" s="109" t="n"/>
      <c r="G219" s="108" t="n"/>
      <c r="H219" s="220" t="n"/>
      <c r="I219" s="220" t="n"/>
      <c r="J219" s="108" t="n"/>
      <c r="K219" s="108" t="n"/>
      <c r="L219" s="109" t="n"/>
      <c r="M219" s="109" t="n"/>
      <c r="N219" s="109" t="n"/>
      <c r="O219" s="220" t="n"/>
      <c r="P219" s="227">
        <f>IF(OR($E219="",$I219=""),"",IF(OR($J219="Tamamlandı",$J219="İptal"),"",$I219-TODAY()))</f>
        <v/>
      </c>
      <c r="Q219" s="113">
        <f>IF($E219="","",IF($D219="TANIMSIZ MÜŞTERİ","HATA",IF(OR($J219="Tamamlandı",$J219="İptal"),"KAPALI",IF(AND($C219="Görüşme",$N219=""),"SONRAKİ İŞLEM EKSİK",IF($I219="","TARİH EKSİK",IF($I219&lt;TODAY(),"GECİKMİŞ",IF($I219=TODAY(),"BUGÜN",IF($I219&lt;=TODAY()+7,"7 GÜN İÇİNDE","PLANLI"))))))))</f>
        <v/>
      </c>
      <c r="R219" s="6" t="n"/>
      <c r="S219" s="6" t="n"/>
      <c r="T219" s="3" t="n"/>
      <c r="U219" s="3">
        <f>IF($E219="","",UPPER(SUBSTITUTE(SUBSTITUTE(SUBSTITUTE(SUBSTITUTE(SUBSTITUTE(SUBSTITUTE(SUBSTITUTE(SUBSTITUTE(SUBSTITUTE(SUBSTITUTE(SUBSTITUTE(SUBSTITUTE(SUBSTITUTE(SUBSTITUTE(SUBSTITUTE(SUBSTITUTE(SUBSTITUTE(SUBSTITUTE(TRIM($E219),"'",""),"İ","I"),"ı","I"),"i","I"),"Ş","S"),"ş","S"),"Ğ","G"),"ğ","G"),"Ü","U"),"ü","U"),"Ö","O"),"ö","O"),"Ç","C"),"ç","C"),".",""),",","")," ",""),"-","")))</f>
        <v/>
      </c>
    </row>
    <row r="220">
      <c r="A220" s="6" t="n"/>
      <c r="B220" s="113">
        <f>IF($E220="","","A"&amp;TEXT(ROW()-6,"00000"))</f>
        <v/>
      </c>
      <c r="C220" s="108" t="n"/>
      <c r="D220" s="113">
        <f>IF($E220="","",IFERROR(INDEX(MUSTERILER!$B$7:$B$106,MATCH($U220,MUSTERILER!$T$7:$T$106,0)),IFERROR(INDEX(MUSTERILER!$B$7:$B$106,MATCH($E220,MUSTERILER!$B$7:$B$106,0)),IFERROR(INDEX(MUSTERILER!$B$7:$B$106,MATCH($U220&amp;"*",MUSTERILER!$T$7:$T$106,0)),"TANIMSIZ MÜŞTERİ"))))</f>
        <v/>
      </c>
      <c r="E220" s="109" t="n"/>
      <c r="F220" s="109" t="n"/>
      <c r="G220" s="108" t="n"/>
      <c r="H220" s="220" t="n"/>
      <c r="I220" s="220" t="n"/>
      <c r="J220" s="108" t="n"/>
      <c r="K220" s="108" t="n"/>
      <c r="L220" s="109" t="n"/>
      <c r="M220" s="109" t="n"/>
      <c r="N220" s="109" t="n"/>
      <c r="O220" s="220" t="n"/>
      <c r="P220" s="227">
        <f>IF(OR($E220="",$I220=""),"",IF(OR($J220="Tamamlandı",$J220="İptal"),"",$I220-TODAY()))</f>
        <v/>
      </c>
      <c r="Q220" s="113">
        <f>IF($E220="","",IF($D220="TANIMSIZ MÜŞTERİ","HATA",IF(OR($J220="Tamamlandı",$J220="İptal"),"KAPALI",IF(AND($C220="Görüşme",$N220=""),"SONRAKİ İŞLEM EKSİK",IF($I220="","TARİH EKSİK",IF($I220&lt;TODAY(),"GECİKMİŞ",IF($I220=TODAY(),"BUGÜN",IF($I220&lt;=TODAY()+7,"7 GÜN İÇİNDE","PLANLI"))))))))</f>
        <v/>
      </c>
      <c r="R220" s="6" t="n"/>
      <c r="S220" s="6" t="n"/>
      <c r="T220" s="3" t="n"/>
      <c r="U220" s="3">
        <f>IF($E220="","",UPPER(SUBSTITUTE(SUBSTITUTE(SUBSTITUTE(SUBSTITUTE(SUBSTITUTE(SUBSTITUTE(SUBSTITUTE(SUBSTITUTE(SUBSTITUTE(SUBSTITUTE(SUBSTITUTE(SUBSTITUTE(SUBSTITUTE(SUBSTITUTE(SUBSTITUTE(SUBSTITUTE(SUBSTITUTE(SUBSTITUTE(TRIM($E220),"'",""),"İ","I"),"ı","I"),"i","I"),"Ş","S"),"ş","S"),"Ğ","G"),"ğ","G"),"Ü","U"),"ü","U"),"Ö","O"),"ö","O"),"Ç","C"),"ç","C"),".",""),",","")," ",""),"-","")))</f>
        <v/>
      </c>
    </row>
    <row r="221">
      <c r="A221" s="6" t="n"/>
      <c r="B221" s="113">
        <f>IF($E221="","","A"&amp;TEXT(ROW()-6,"00000"))</f>
        <v/>
      </c>
      <c r="C221" s="108" t="n"/>
      <c r="D221" s="113">
        <f>IF($E221="","",IFERROR(INDEX(MUSTERILER!$B$7:$B$106,MATCH($U221,MUSTERILER!$T$7:$T$106,0)),IFERROR(INDEX(MUSTERILER!$B$7:$B$106,MATCH($E221,MUSTERILER!$B$7:$B$106,0)),IFERROR(INDEX(MUSTERILER!$B$7:$B$106,MATCH($U221&amp;"*",MUSTERILER!$T$7:$T$106,0)),"TANIMSIZ MÜŞTERİ"))))</f>
        <v/>
      </c>
      <c r="E221" s="109" t="n"/>
      <c r="F221" s="109" t="n"/>
      <c r="G221" s="108" t="n"/>
      <c r="H221" s="220" t="n"/>
      <c r="I221" s="220" t="n"/>
      <c r="J221" s="108" t="n"/>
      <c r="K221" s="108" t="n"/>
      <c r="L221" s="109" t="n"/>
      <c r="M221" s="109" t="n"/>
      <c r="N221" s="109" t="n"/>
      <c r="O221" s="220" t="n"/>
      <c r="P221" s="227">
        <f>IF(OR($E221="",$I221=""),"",IF(OR($J221="Tamamlandı",$J221="İptal"),"",$I221-TODAY()))</f>
        <v/>
      </c>
      <c r="Q221" s="113">
        <f>IF($E221="","",IF($D221="TANIMSIZ MÜŞTERİ","HATA",IF(OR($J221="Tamamlandı",$J221="İptal"),"KAPALI",IF(AND($C221="Görüşme",$N221=""),"SONRAKİ İŞLEM EKSİK",IF($I221="","TARİH EKSİK",IF($I221&lt;TODAY(),"GECİKMİŞ",IF($I221=TODAY(),"BUGÜN",IF($I221&lt;=TODAY()+7,"7 GÜN İÇİNDE","PLANLI"))))))))</f>
        <v/>
      </c>
      <c r="R221" s="6" t="n"/>
      <c r="S221" s="6" t="n"/>
      <c r="T221" s="3" t="n"/>
      <c r="U221" s="3">
        <f>IF($E221="","",UPPER(SUBSTITUTE(SUBSTITUTE(SUBSTITUTE(SUBSTITUTE(SUBSTITUTE(SUBSTITUTE(SUBSTITUTE(SUBSTITUTE(SUBSTITUTE(SUBSTITUTE(SUBSTITUTE(SUBSTITUTE(SUBSTITUTE(SUBSTITUTE(SUBSTITUTE(SUBSTITUTE(SUBSTITUTE(SUBSTITUTE(TRIM($E221),"'",""),"İ","I"),"ı","I"),"i","I"),"Ş","S"),"ş","S"),"Ğ","G"),"ğ","G"),"Ü","U"),"ü","U"),"Ö","O"),"ö","O"),"Ç","C"),"ç","C"),".",""),",","")," ",""),"-","")))</f>
        <v/>
      </c>
    </row>
    <row r="222">
      <c r="A222" s="6" t="n"/>
      <c r="B222" s="113">
        <f>IF($E222="","","A"&amp;TEXT(ROW()-6,"00000"))</f>
        <v/>
      </c>
      <c r="C222" s="108" t="n"/>
      <c r="D222" s="113">
        <f>IF($E222="","",IFERROR(INDEX(MUSTERILER!$B$7:$B$106,MATCH($U222,MUSTERILER!$T$7:$T$106,0)),IFERROR(INDEX(MUSTERILER!$B$7:$B$106,MATCH($E222,MUSTERILER!$B$7:$B$106,0)),IFERROR(INDEX(MUSTERILER!$B$7:$B$106,MATCH($U222&amp;"*",MUSTERILER!$T$7:$T$106,0)),"TANIMSIZ MÜŞTERİ"))))</f>
        <v/>
      </c>
      <c r="E222" s="109" t="n"/>
      <c r="F222" s="109" t="n"/>
      <c r="G222" s="108" t="n"/>
      <c r="H222" s="220" t="n"/>
      <c r="I222" s="220" t="n"/>
      <c r="J222" s="108" t="n"/>
      <c r="K222" s="108" t="n"/>
      <c r="L222" s="109" t="n"/>
      <c r="M222" s="109" t="n"/>
      <c r="N222" s="109" t="n"/>
      <c r="O222" s="220" t="n"/>
      <c r="P222" s="227">
        <f>IF(OR($E222="",$I222=""),"",IF(OR($J222="Tamamlandı",$J222="İptal"),"",$I222-TODAY()))</f>
        <v/>
      </c>
      <c r="Q222" s="113">
        <f>IF($E222="","",IF($D222="TANIMSIZ MÜŞTERİ","HATA",IF(OR($J222="Tamamlandı",$J222="İptal"),"KAPALI",IF(AND($C222="Görüşme",$N222=""),"SONRAKİ İŞLEM EKSİK",IF($I222="","TARİH EKSİK",IF($I222&lt;TODAY(),"GECİKMİŞ",IF($I222=TODAY(),"BUGÜN",IF($I222&lt;=TODAY()+7,"7 GÜN İÇİNDE","PLANLI"))))))))</f>
        <v/>
      </c>
      <c r="R222" s="6" t="n"/>
      <c r="S222" s="6" t="n"/>
      <c r="T222" s="3" t="n"/>
      <c r="U222" s="3">
        <f>IF($E222="","",UPPER(SUBSTITUTE(SUBSTITUTE(SUBSTITUTE(SUBSTITUTE(SUBSTITUTE(SUBSTITUTE(SUBSTITUTE(SUBSTITUTE(SUBSTITUTE(SUBSTITUTE(SUBSTITUTE(SUBSTITUTE(SUBSTITUTE(SUBSTITUTE(SUBSTITUTE(SUBSTITUTE(SUBSTITUTE(SUBSTITUTE(TRIM($E222),"'",""),"İ","I"),"ı","I"),"i","I"),"Ş","S"),"ş","S"),"Ğ","G"),"ğ","G"),"Ü","U"),"ü","U"),"Ö","O"),"ö","O"),"Ç","C"),"ç","C"),".",""),",","")," ",""),"-","")))</f>
        <v/>
      </c>
    </row>
    <row r="223">
      <c r="A223" s="6" t="n"/>
      <c r="B223" s="113">
        <f>IF($E223="","","A"&amp;TEXT(ROW()-6,"00000"))</f>
        <v/>
      </c>
      <c r="C223" s="108" t="n"/>
      <c r="D223" s="113">
        <f>IF($E223="","",IFERROR(INDEX(MUSTERILER!$B$7:$B$106,MATCH($U223,MUSTERILER!$T$7:$T$106,0)),IFERROR(INDEX(MUSTERILER!$B$7:$B$106,MATCH($E223,MUSTERILER!$B$7:$B$106,0)),IFERROR(INDEX(MUSTERILER!$B$7:$B$106,MATCH($U223&amp;"*",MUSTERILER!$T$7:$T$106,0)),"TANIMSIZ MÜŞTERİ"))))</f>
        <v/>
      </c>
      <c r="E223" s="109" t="n"/>
      <c r="F223" s="109" t="n"/>
      <c r="G223" s="108" t="n"/>
      <c r="H223" s="220" t="n"/>
      <c r="I223" s="220" t="n"/>
      <c r="J223" s="108" t="n"/>
      <c r="K223" s="108" t="n"/>
      <c r="L223" s="109" t="n"/>
      <c r="M223" s="109" t="n"/>
      <c r="N223" s="109" t="n"/>
      <c r="O223" s="220" t="n"/>
      <c r="P223" s="227">
        <f>IF(OR($E223="",$I223=""),"",IF(OR($J223="Tamamlandı",$J223="İptal"),"",$I223-TODAY()))</f>
        <v/>
      </c>
      <c r="Q223" s="113">
        <f>IF($E223="","",IF($D223="TANIMSIZ MÜŞTERİ","HATA",IF(OR($J223="Tamamlandı",$J223="İptal"),"KAPALI",IF(AND($C223="Görüşme",$N223=""),"SONRAKİ İŞLEM EKSİK",IF($I223="","TARİH EKSİK",IF($I223&lt;TODAY(),"GECİKMİŞ",IF($I223=TODAY(),"BUGÜN",IF($I223&lt;=TODAY()+7,"7 GÜN İÇİNDE","PLANLI"))))))))</f>
        <v/>
      </c>
      <c r="R223" s="6" t="n"/>
      <c r="S223" s="6" t="n"/>
      <c r="T223" s="3" t="n"/>
      <c r="U223" s="3">
        <f>IF($E223="","",UPPER(SUBSTITUTE(SUBSTITUTE(SUBSTITUTE(SUBSTITUTE(SUBSTITUTE(SUBSTITUTE(SUBSTITUTE(SUBSTITUTE(SUBSTITUTE(SUBSTITUTE(SUBSTITUTE(SUBSTITUTE(SUBSTITUTE(SUBSTITUTE(SUBSTITUTE(SUBSTITUTE(SUBSTITUTE(SUBSTITUTE(TRIM($E223),"'",""),"İ","I"),"ı","I"),"i","I"),"Ş","S"),"ş","S"),"Ğ","G"),"ğ","G"),"Ü","U"),"ü","U"),"Ö","O"),"ö","O"),"Ç","C"),"ç","C"),".",""),",","")," ",""),"-","")))</f>
        <v/>
      </c>
    </row>
    <row r="224">
      <c r="A224" s="6" t="n"/>
      <c r="B224" s="113">
        <f>IF($E224="","","A"&amp;TEXT(ROW()-6,"00000"))</f>
        <v/>
      </c>
      <c r="C224" s="108" t="n"/>
      <c r="D224" s="113">
        <f>IF($E224="","",IFERROR(INDEX(MUSTERILER!$B$7:$B$106,MATCH($U224,MUSTERILER!$T$7:$T$106,0)),IFERROR(INDEX(MUSTERILER!$B$7:$B$106,MATCH($E224,MUSTERILER!$B$7:$B$106,0)),IFERROR(INDEX(MUSTERILER!$B$7:$B$106,MATCH($U224&amp;"*",MUSTERILER!$T$7:$T$106,0)),"TANIMSIZ MÜŞTERİ"))))</f>
        <v/>
      </c>
      <c r="E224" s="109" t="n"/>
      <c r="F224" s="109" t="n"/>
      <c r="G224" s="108" t="n"/>
      <c r="H224" s="220" t="n"/>
      <c r="I224" s="220" t="n"/>
      <c r="J224" s="108" t="n"/>
      <c r="K224" s="108" t="n"/>
      <c r="L224" s="109" t="n"/>
      <c r="M224" s="109" t="n"/>
      <c r="N224" s="109" t="n"/>
      <c r="O224" s="220" t="n"/>
      <c r="P224" s="227">
        <f>IF(OR($E224="",$I224=""),"",IF(OR($J224="Tamamlandı",$J224="İptal"),"",$I224-TODAY()))</f>
        <v/>
      </c>
      <c r="Q224" s="113">
        <f>IF($E224="","",IF($D224="TANIMSIZ MÜŞTERİ","HATA",IF(OR($J224="Tamamlandı",$J224="İptal"),"KAPALI",IF(AND($C224="Görüşme",$N224=""),"SONRAKİ İŞLEM EKSİK",IF($I224="","TARİH EKSİK",IF($I224&lt;TODAY(),"GECİKMİŞ",IF($I224=TODAY(),"BUGÜN",IF($I224&lt;=TODAY()+7,"7 GÜN İÇİNDE","PLANLI"))))))))</f>
        <v/>
      </c>
      <c r="R224" s="6" t="n"/>
      <c r="S224" s="6" t="n"/>
      <c r="T224" s="3" t="n"/>
      <c r="U224" s="3">
        <f>IF($E224="","",UPPER(SUBSTITUTE(SUBSTITUTE(SUBSTITUTE(SUBSTITUTE(SUBSTITUTE(SUBSTITUTE(SUBSTITUTE(SUBSTITUTE(SUBSTITUTE(SUBSTITUTE(SUBSTITUTE(SUBSTITUTE(SUBSTITUTE(SUBSTITUTE(SUBSTITUTE(SUBSTITUTE(SUBSTITUTE(SUBSTITUTE(TRIM($E224),"'",""),"İ","I"),"ı","I"),"i","I"),"Ş","S"),"ş","S"),"Ğ","G"),"ğ","G"),"Ü","U"),"ü","U"),"Ö","O"),"ö","O"),"Ç","C"),"ç","C"),".",""),",","")," ",""),"-","")))</f>
        <v/>
      </c>
    </row>
    <row r="225">
      <c r="A225" s="6" t="n"/>
      <c r="B225" s="113">
        <f>IF($E225="","","A"&amp;TEXT(ROW()-6,"00000"))</f>
        <v/>
      </c>
      <c r="C225" s="108" t="n"/>
      <c r="D225" s="113">
        <f>IF($E225="","",IFERROR(INDEX(MUSTERILER!$B$7:$B$106,MATCH($U225,MUSTERILER!$T$7:$T$106,0)),IFERROR(INDEX(MUSTERILER!$B$7:$B$106,MATCH($E225,MUSTERILER!$B$7:$B$106,0)),IFERROR(INDEX(MUSTERILER!$B$7:$B$106,MATCH($U225&amp;"*",MUSTERILER!$T$7:$T$106,0)),"TANIMSIZ MÜŞTERİ"))))</f>
        <v/>
      </c>
      <c r="E225" s="109" t="n"/>
      <c r="F225" s="109" t="n"/>
      <c r="G225" s="108" t="n"/>
      <c r="H225" s="220" t="n"/>
      <c r="I225" s="220" t="n"/>
      <c r="J225" s="108" t="n"/>
      <c r="K225" s="108" t="n"/>
      <c r="L225" s="109" t="n"/>
      <c r="M225" s="109" t="n"/>
      <c r="N225" s="109" t="n"/>
      <c r="O225" s="220" t="n"/>
      <c r="P225" s="227">
        <f>IF(OR($E225="",$I225=""),"",IF(OR($J225="Tamamlandı",$J225="İptal"),"",$I225-TODAY()))</f>
        <v/>
      </c>
      <c r="Q225" s="113">
        <f>IF($E225="","",IF($D225="TANIMSIZ MÜŞTERİ","HATA",IF(OR($J225="Tamamlandı",$J225="İptal"),"KAPALI",IF(AND($C225="Görüşme",$N225=""),"SONRAKİ İŞLEM EKSİK",IF($I225="","TARİH EKSİK",IF($I225&lt;TODAY(),"GECİKMİŞ",IF($I225=TODAY(),"BUGÜN",IF($I225&lt;=TODAY()+7,"7 GÜN İÇİNDE","PLANLI"))))))))</f>
        <v/>
      </c>
      <c r="R225" s="6" t="n"/>
      <c r="S225" s="6" t="n"/>
      <c r="T225" s="3" t="n"/>
      <c r="U225" s="3">
        <f>IF($E225="","",UPPER(SUBSTITUTE(SUBSTITUTE(SUBSTITUTE(SUBSTITUTE(SUBSTITUTE(SUBSTITUTE(SUBSTITUTE(SUBSTITUTE(SUBSTITUTE(SUBSTITUTE(SUBSTITUTE(SUBSTITUTE(SUBSTITUTE(SUBSTITUTE(SUBSTITUTE(SUBSTITUTE(SUBSTITUTE(SUBSTITUTE(TRIM($E225),"'",""),"İ","I"),"ı","I"),"i","I"),"Ş","S"),"ş","S"),"Ğ","G"),"ğ","G"),"Ü","U"),"ü","U"),"Ö","O"),"ö","O"),"Ç","C"),"ç","C"),".",""),",","")," ",""),"-","")))</f>
        <v/>
      </c>
    </row>
    <row r="226">
      <c r="A226" s="6" t="n"/>
      <c r="B226" s="113">
        <f>IF($E226="","","A"&amp;TEXT(ROW()-6,"00000"))</f>
        <v/>
      </c>
      <c r="C226" s="108" t="n"/>
      <c r="D226" s="113">
        <f>IF($E226="","",IFERROR(INDEX(MUSTERILER!$B$7:$B$106,MATCH($U226,MUSTERILER!$T$7:$T$106,0)),IFERROR(INDEX(MUSTERILER!$B$7:$B$106,MATCH($E226,MUSTERILER!$B$7:$B$106,0)),IFERROR(INDEX(MUSTERILER!$B$7:$B$106,MATCH($U226&amp;"*",MUSTERILER!$T$7:$T$106,0)),"TANIMSIZ MÜŞTERİ"))))</f>
        <v/>
      </c>
      <c r="E226" s="109" t="n"/>
      <c r="F226" s="109" t="n"/>
      <c r="G226" s="108" t="n"/>
      <c r="H226" s="220" t="n"/>
      <c r="I226" s="220" t="n"/>
      <c r="J226" s="108" t="n"/>
      <c r="K226" s="108" t="n"/>
      <c r="L226" s="109" t="n"/>
      <c r="M226" s="109" t="n"/>
      <c r="N226" s="109" t="n"/>
      <c r="O226" s="220" t="n"/>
      <c r="P226" s="227">
        <f>IF(OR($E226="",$I226=""),"",IF(OR($J226="Tamamlandı",$J226="İptal"),"",$I226-TODAY()))</f>
        <v/>
      </c>
      <c r="Q226" s="113">
        <f>IF($E226="","",IF($D226="TANIMSIZ MÜŞTERİ","HATA",IF(OR($J226="Tamamlandı",$J226="İptal"),"KAPALI",IF(AND($C226="Görüşme",$N226=""),"SONRAKİ İŞLEM EKSİK",IF($I226="","TARİH EKSİK",IF($I226&lt;TODAY(),"GECİKMİŞ",IF($I226=TODAY(),"BUGÜN",IF($I226&lt;=TODAY()+7,"7 GÜN İÇİNDE","PLANLI"))))))))</f>
        <v/>
      </c>
      <c r="R226" s="6" t="n"/>
      <c r="S226" s="6" t="n"/>
      <c r="T226" s="3" t="n"/>
      <c r="U226" s="3">
        <f>IF($E226="","",UPPER(SUBSTITUTE(SUBSTITUTE(SUBSTITUTE(SUBSTITUTE(SUBSTITUTE(SUBSTITUTE(SUBSTITUTE(SUBSTITUTE(SUBSTITUTE(SUBSTITUTE(SUBSTITUTE(SUBSTITUTE(SUBSTITUTE(SUBSTITUTE(SUBSTITUTE(SUBSTITUTE(SUBSTITUTE(SUBSTITUTE(TRIM($E226),"'",""),"İ","I"),"ı","I"),"i","I"),"Ş","S"),"ş","S"),"Ğ","G"),"ğ","G"),"Ü","U"),"ü","U"),"Ö","O"),"ö","O"),"Ç","C"),"ç","C"),".",""),",","")," ",""),"-","")))</f>
        <v/>
      </c>
    </row>
    <row r="227">
      <c r="A227" s="6" t="n"/>
      <c r="B227" s="113">
        <f>IF($E227="","","A"&amp;TEXT(ROW()-6,"00000"))</f>
        <v/>
      </c>
      <c r="C227" s="108" t="n"/>
      <c r="D227" s="113">
        <f>IF($E227="","",IFERROR(INDEX(MUSTERILER!$B$7:$B$106,MATCH($U227,MUSTERILER!$T$7:$T$106,0)),IFERROR(INDEX(MUSTERILER!$B$7:$B$106,MATCH($E227,MUSTERILER!$B$7:$B$106,0)),IFERROR(INDEX(MUSTERILER!$B$7:$B$106,MATCH($U227&amp;"*",MUSTERILER!$T$7:$T$106,0)),"TANIMSIZ MÜŞTERİ"))))</f>
        <v/>
      </c>
      <c r="E227" s="109" t="n"/>
      <c r="F227" s="109" t="n"/>
      <c r="G227" s="108" t="n"/>
      <c r="H227" s="220" t="n"/>
      <c r="I227" s="220" t="n"/>
      <c r="J227" s="108" t="n"/>
      <c r="K227" s="108" t="n"/>
      <c r="L227" s="109" t="n"/>
      <c r="M227" s="109" t="n"/>
      <c r="N227" s="109" t="n"/>
      <c r="O227" s="220" t="n"/>
      <c r="P227" s="227">
        <f>IF(OR($E227="",$I227=""),"",IF(OR($J227="Tamamlandı",$J227="İptal"),"",$I227-TODAY()))</f>
        <v/>
      </c>
      <c r="Q227" s="113">
        <f>IF($E227="","",IF($D227="TANIMSIZ MÜŞTERİ","HATA",IF(OR($J227="Tamamlandı",$J227="İptal"),"KAPALI",IF(AND($C227="Görüşme",$N227=""),"SONRAKİ İŞLEM EKSİK",IF($I227="","TARİH EKSİK",IF($I227&lt;TODAY(),"GECİKMİŞ",IF($I227=TODAY(),"BUGÜN",IF($I227&lt;=TODAY()+7,"7 GÜN İÇİNDE","PLANLI"))))))))</f>
        <v/>
      </c>
      <c r="R227" s="6" t="n"/>
      <c r="S227" s="6" t="n"/>
      <c r="T227" s="3" t="n"/>
      <c r="U227" s="3">
        <f>IF($E227="","",UPPER(SUBSTITUTE(SUBSTITUTE(SUBSTITUTE(SUBSTITUTE(SUBSTITUTE(SUBSTITUTE(SUBSTITUTE(SUBSTITUTE(SUBSTITUTE(SUBSTITUTE(SUBSTITUTE(SUBSTITUTE(SUBSTITUTE(SUBSTITUTE(SUBSTITUTE(SUBSTITUTE(SUBSTITUTE(SUBSTITUTE(TRIM($E227),"'",""),"İ","I"),"ı","I"),"i","I"),"Ş","S"),"ş","S"),"Ğ","G"),"ğ","G"),"Ü","U"),"ü","U"),"Ö","O"),"ö","O"),"Ç","C"),"ç","C"),".",""),",","")," ",""),"-","")))</f>
        <v/>
      </c>
    </row>
    <row r="228">
      <c r="A228" s="6" t="n"/>
      <c r="B228" s="113">
        <f>IF($E228="","","A"&amp;TEXT(ROW()-6,"00000"))</f>
        <v/>
      </c>
      <c r="C228" s="108" t="n"/>
      <c r="D228" s="113">
        <f>IF($E228="","",IFERROR(INDEX(MUSTERILER!$B$7:$B$106,MATCH($U228,MUSTERILER!$T$7:$T$106,0)),IFERROR(INDEX(MUSTERILER!$B$7:$B$106,MATCH($E228,MUSTERILER!$B$7:$B$106,0)),IFERROR(INDEX(MUSTERILER!$B$7:$B$106,MATCH($U228&amp;"*",MUSTERILER!$T$7:$T$106,0)),"TANIMSIZ MÜŞTERİ"))))</f>
        <v/>
      </c>
      <c r="E228" s="109" t="n"/>
      <c r="F228" s="109" t="n"/>
      <c r="G228" s="108" t="n"/>
      <c r="H228" s="220" t="n"/>
      <c r="I228" s="220" t="n"/>
      <c r="J228" s="108" t="n"/>
      <c r="K228" s="108" t="n"/>
      <c r="L228" s="109" t="n"/>
      <c r="M228" s="109" t="n"/>
      <c r="N228" s="109" t="n"/>
      <c r="O228" s="220" t="n"/>
      <c r="P228" s="227">
        <f>IF(OR($E228="",$I228=""),"",IF(OR($J228="Tamamlandı",$J228="İptal"),"",$I228-TODAY()))</f>
        <v/>
      </c>
      <c r="Q228" s="113">
        <f>IF($E228="","",IF($D228="TANIMSIZ MÜŞTERİ","HATA",IF(OR($J228="Tamamlandı",$J228="İptal"),"KAPALI",IF(AND($C228="Görüşme",$N228=""),"SONRAKİ İŞLEM EKSİK",IF($I228="","TARİH EKSİK",IF($I228&lt;TODAY(),"GECİKMİŞ",IF($I228=TODAY(),"BUGÜN",IF($I228&lt;=TODAY()+7,"7 GÜN İÇİNDE","PLANLI"))))))))</f>
        <v/>
      </c>
      <c r="R228" s="6" t="n"/>
      <c r="S228" s="6" t="n"/>
      <c r="T228" s="3" t="n"/>
      <c r="U228" s="3">
        <f>IF($E228="","",UPPER(SUBSTITUTE(SUBSTITUTE(SUBSTITUTE(SUBSTITUTE(SUBSTITUTE(SUBSTITUTE(SUBSTITUTE(SUBSTITUTE(SUBSTITUTE(SUBSTITUTE(SUBSTITUTE(SUBSTITUTE(SUBSTITUTE(SUBSTITUTE(SUBSTITUTE(SUBSTITUTE(SUBSTITUTE(SUBSTITUTE(TRIM($E228),"'",""),"İ","I"),"ı","I"),"i","I"),"Ş","S"),"ş","S"),"Ğ","G"),"ğ","G"),"Ü","U"),"ü","U"),"Ö","O"),"ö","O"),"Ç","C"),"ç","C"),".",""),",","")," ",""),"-","")))</f>
        <v/>
      </c>
    </row>
    <row r="229">
      <c r="A229" s="6" t="n"/>
      <c r="B229" s="113">
        <f>IF($E229="","","A"&amp;TEXT(ROW()-6,"00000"))</f>
        <v/>
      </c>
      <c r="C229" s="108" t="n"/>
      <c r="D229" s="113">
        <f>IF($E229="","",IFERROR(INDEX(MUSTERILER!$B$7:$B$106,MATCH($U229,MUSTERILER!$T$7:$T$106,0)),IFERROR(INDEX(MUSTERILER!$B$7:$B$106,MATCH($E229,MUSTERILER!$B$7:$B$106,0)),IFERROR(INDEX(MUSTERILER!$B$7:$B$106,MATCH($U229&amp;"*",MUSTERILER!$T$7:$T$106,0)),"TANIMSIZ MÜŞTERİ"))))</f>
        <v/>
      </c>
      <c r="E229" s="109" t="n"/>
      <c r="F229" s="109" t="n"/>
      <c r="G229" s="108" t="n"/>
      <c r="H229" s="220" t="n"/>
      <c r="I229" s="220" t="n"/>
      <c r="J229" s="108" t="n"/>
      <c r="K229" s="108" t="n"/>
      <c r="L229" s="109" t="n"/>
      <c r="M229" s="109" t="n"/>
      <c r="N229" s="109" t="n"/>
      <c r="O229" s="220" t="n"/>
      <c r="P229" s="227">
        <f>IF(OR($E229="",$I229=""),"",IF(OR($J229="Tamamlandı",$J229="İptal"),"",$I229-TODAY()))</f>
        <v/>
      </c>
      <c r="Q229" s="113">
        <f>IF($E229="","",IF($D229="TANIMSIZ MÜŞTERİ","HATA",IF(OR($J229="Tamamlandı",$J229="İptal"),"KAPALI",IF(AND($C229="Görüşme",$N229=""),"SONRAKİ İŞLEM EKSİK",IF($I229="","TARİH EKSİK",IF($I229&lt;TODAY(),"GECİKMİŞ",IF($I229=TODAY(),"BUGÜN",IF($I229&lt;=TODAY()+7,"7 GÜN İÇİNDE","PLANLI"))))))))</f>
        <v/>
      </c>
      <c r="R229" s="6" t="n"/>
      <c r="S229" s="6" t="n"/>
      <c r="T229" s="3" t="n"/>
      <c r="U229" s="3">
        <f>IF($E229="","",UPPER(SUBSTITUTE(SUBSTITUTE(SUBSTITUTE(SUBSTITUTE(SUBSTITUTE(SUBSTITUTE(SUBSTITUTE(SUBSTITUTE(SUBSTITUTE(SUBSTITUTE(SUBSTITUTE(SUBSTITUTE(SUBSTITUTE(SUBSTITUTE(SUBSTITUTE(SUBSTITUTE(SUBSTITUTE(SUBSTITUTE(TRIM($E229),"'",""),"İ","I"),"ı","I"),"i","I"),"Ş","S"),"ş","S"),"Ğ","G"),"ğ","G"),"Ü","U"),"ü","U"),"Ö","O"),"ö","O"),"Ç","C"),"ç","C"),".",""),",","")," ",""),"-","")))</f>
        <v/>
      </c>
    </row>
    <row r="230">
      <c r="A230" s="6" t="n"/>
      <c r="B230" s="113">
        <f>IF($E230="","","A"&amp;TEXT(ROW()-6,"00000"))</f>
        <v/>
      </c>
      <c r="C230" s="108" t="n"/>
      <c r="D230" s="113">
        <f>IF($E230="","",IFERROR(INDEX(MUSTERILER!$B$7:$B$106,MATCH($U230,MUSTERILER!$T$7:$T$106,0)),IFERROR(INDEX(MUSTERILER!$B$7:$B$106,MATCH($E230,MUSTERILER!$B$7:$B$106,0)),IFERROR(INDEX(MUSTERILER!$B$7:$B$106,MATCH($U230&amp;"*",MUSTERILER!$T$7:$T$106,0)),"TANIMSIZ MÜŞTERİ"))))</f>
        <v/>
      </c>
      <c r="E230" s="109" t="n"/>
      <c r="F230" s="109" t="n"/>
      <c r="G230" s="108" t="n"/>
      <c r="H230" s="220" t="n"/>
      <c r="I230" s="220" t="n"/>
      <c r="J230" s="108" t="n"/>
      <c r="K230" s="108" t="n"/>
      <c r="L230" s="109" t="n"/>
      <c r="M230" s="109" t="n"/>
      <c r="N230" s="109" t="n"/>
      <c r="O230" s="220" t="n"/>
      <c r="P230" s="227">
        <f>IF(OR($E230="",$I230=""),"",IF(OR($J230="Tamamlandı",$J230="İptal"),"",$I230-TODAY()))</f>
        <v/>
      </c>
      <c r="Q230" s="113">
        <f>IF($E230="","",IF($D230="TANIMSIZ MÜŞTERİ","HATA",IF(OR($J230="Tamamlandı",$J230="İptal"),"KAPALI",IF(AND($C230="Görüşme",$N230=""),"SONRAKİ İŞLEM EKSİK",IF($I230="","TARİH EKSİK",IF($I230&lt;TODAY(),"GECİKMİŞ",IF($I230=TODAY(),"BUGÜN",IF($I230&lt;=TODAY()+7,"7 GÜN İÇİNDE","PLANLI"))))))))</f>
        <v/>
      </c>
      <c r="R230" s="6" t="n"/>
      <c r="S230" s="6" t="n"/>
      <c r="T230" s="3" t="n"/>
      <c r="U230" s="3">
        <f>IF($E230="","",UPPER(SUBSTITUTE(SUBSTITUTE(SUBSTITUTE(SUBSTITUTE(SUBSTITUTE(SUBSTITUTE(SUBSTITUTE(SUBSTITUTE(SUBSTITUTE(SUBSTITUTE(SUBSTITUTE(SUBSTITUTE(SUBSTITUTE(SUBSTITUTE(SUBSTITUTE(SUBSTITUTE(SUBSTITUTE(SUBSTITUTE(TRIM($E230),"'",""),"İ","I"),"ı","I"),"i","I"),"Ş","S"),"ş","S"),"Ğ","G"),"ğ","G"),"Ü","U"),"ü","U"),"Ö","O"),"ö","O"),"Ç","C"),"ç","C"),".",""),",","")," ",""),"-","")))</f>
        <v/>
      </c>
    </row>
    <row r="231">
      <c r="A231" s="6" t="n"/>
      <c r="B231" s="113">
        <f>IF($E231="","","A"&amp;TEXT(ROW()-6,"00000"))</f>
        <v/>
      </c>
      <c r="C231" s="108" t="n"/>
      <c r="D231" s="113">
        <f>IF($E231="","",IFERROR(INDEX(MUSTERILER!$B$7:$B$106,MATCH($U231,MUSTERILER!$T$7:$T$106,0)),IFERROR(INDEX(MUSTERILER!$B$7:$B$106,MATCH($E231,MUSTERILER!$B$7:$B$106,0)),IFERROR(INDEX(MUSTERILER!$B$7:$B$106,MATCH($U231&amp;"*",MUSTERILER!$T$7:$T$106,0)),"TANIMSIZ MÜŞTERİ"))))</f>
        <v/>
      </c>
      <c r="E231" s="109" t="n"/>
      <c r="F231" s="109" t="n"/>
      <c r="G231" s="108" t="n"/>
      <c r="H231" s="220" t="n"/>
      <c r="I231" s="220" t="n"/>
      <c r="J231" s="108" t="n"/>
      <c r="K231" s="108" t="n"/>
      <c r="L231" s="109" t="n"/>
      <c r="M231" s="109" t="n"/>
      <c r="N231" s="109" t="n"/>
      <c r="O231" s="220" t="n"/>
      <c r="P231" s="227">
        <f>IF(OR($E231="",$I231=""),"",IF(OR($J231="Tamamlandı",$J231="İptal"),"",$I231-TODAY()))</f>
        <v/>
      </c>
      <c r="Q231" s="113">
        <f>IF($E231="","",IF($D231="TANIMSIZ MÜŞTERİ","HATA",IF(OR($J231="Tamamlandı",$J231="İptal"),"KAPALI",IF(AND($C231="Görüşme",$N231=""),"SONRAKİ İŞLEM EKSİK",IF($I231="","TARİH EKSİK",IF($I231&lt;TODAY(),"GECİKMİŞ",IF($I231=TODAY(),"BUGÜN",IF($I231&lt;=TODAY()+7,"7 GÜN İÇİNDE","PLANLI"))))))))</f>
        <v/>
      </c>
      <c r="R231" s="6" t="n"/>
      <c r="S231" s="6" t="n"/>
      <c r="T231" s="3" t="n"/>
      <c r="U231" s="3">
        <f>IF($E231="","",UPPER(SUBSTITUTE(SUBSTITUTE(SUBSTITUTE(SUBSTITUTE(SUBSTITUTE(SUBSTITUTE(SUBSTITUTE(SUBSTITUTE(SUBSTITUTE(SUBSTITUTE(SUBSTITUTE(SUBSTITUTE(SUBSTITUTE(SUBSTITUTE(SUBSTITUTE(SUBSTITUTE(SUBSTITUTE(SUBSTITUTE(TRIM($E231),"'",""),"İ","I"),"ı","I"),"i","I"),"Ş","S"),"ş","S"),"Ğ","G"),"ğ","G"),"Ü","U"),"ü","U"),"Ö","O"),"ö","O"),"Ç","C"),"ç","C"),".",""),",","")," ",""),"-","")))</f>
        <v/>
      </c>
    </row>
    <row r="232">
      <c r="A232" s="6" t="n"/>
      <c r="B232" s="113">
        <f>IF($E232="","","A"&amp;TEXT(ROW()-6,"00000"))</f>
        <v/>
      </c>
      <c r="C232" s="108" t="n"/>
      <c r="D232" s="113">
        <f>IF($E232="","",IFERROR(INDEX(MUSTERILER!$B$7:$B$106,MATCH($U232,MUSTERILER!$T$7:$T$106,0)),IFERROR(INDEX(MUSTERILER!$B$7:$B$106,MATCH($E232,MUSTERILER!$B$7:$B$106,0)),IFERROR(INDEX(MUSTERILER!$B$7:$B$106,MATCH($U232&amp;"*",MUSTERILER!$T$7:$T$106,0)),"TANIMSIZ MÜŞTERİ"))))</f>
        <v/>
      </c>
      <c r="E232" s="109" t="n"/>
      <c r="F232" s="109" t="n"/>
      <c r="G232" s="108" t="n"/>
      <c r="H232" s="220" t="n"/>
      <c r="I232" s="220" t="n"/>
      <c r="J232" s="108" t="n"/>
      <c r="K232" s="108" t="n"/>
      <c r="L232" s="109" t="n"/>
      <c r="M232" s="109" t="n"/>
      <c r="N232" s="109" t="n"/>
      <c r="O232" s="220" t="n"/>
      <c r="P232" s="227">
        <f>IF(OR($E232="",$I232=""),"",IF(OR($J232="Tamamlandı",$J232="İptal"),"",$I232-TODAY()))</f>
        <v/>
      </c>
      <c r="Q232" s="113">
        <f>IF($E232="","",IF($D232="TANIMSIZ MÜŞTERİ","HATA",IF(OR($J232="Tamamlandı",$J232="İptal"),"KAPALI",IF(AND($C232="Görüşme",$N232=""),"SONRAKİ İŞLEM EKSİK",IF($I232="","TARİH EKSİK",IF($I232&lt;TODAY(),"GECİKMİŞ",IF($I232=TODAY(),"BUGÜN",IF($I232&lt;=TODAY()+7,"7 GÜN İÇİNDE","PLANLI"))))))))</f>
        <v/>
      </c>
      <c r="R232" s="6" t="n"/>
      <c r="S232" s="6" t="n"/>
      <c r="T232" s="3" t="n"/>
      <c r="U232" s="3">
        <f>IF($E232="","",UPPER(SUBSTITUTE(SUBSTITUTE(SUBSTITUTE(SUBSTITUTE(SUBSTITUTE(SUBSTITUTE(SUBSTITUTE(SUBSTITUTE(SUBSTITUTE(SUBSTITUTE(SUBSTITUTE(SUBSTITUTE(SUBSTITUTE(SUBSTITUTE(SUBSTITUTE(SUBSTITUTE(SUBSTITUTE(SUBSTITUTE(TRIM($E232),"'",""),"İ","I"),"ı","I"),"i","I"),"Ş","S"),"ş","S"),"Ğ","G"),"ğ","G"),"Ü","U"),"ü","U"),"Ö","O"),"ö","O"),"Ç","C"),"ç","C"),".",""),",","")," ",""),"-","")))</f>
        <v/>
      </c>
    </row>
    <row r="233">
      <c r="A233" s="6" t="n"/>
      <c r="B233" s="113">
        <f>IF($E233="","","A"&amp;TEXT(ROW()-6,"00000"))</f>
        <v/>
      </c>
      <c r="C233" s="108" t="n"/>
      <c r="D233" s="113">
        <f>IF($E233="","",IFERROR(INDEX(MUSTERILER!$B$7:$B$106,MATCH($U233,MUSTERILER!$T$7:$T$106,0)),IFERROR(INDEX(MUSTERILER!$B$7:$B$106,MATCH($E233,MUSTERILER!$B$7:$B$106,0)),IFERROR(INDEX(MUSTERILER!$B$7:$B$106,MATCH($U233&amp;"*",MUSTERILER!$T$7:$T$106,0)),"TANIMSIZ MÜŞTERİ"))))</f>
        <v/>
      </c>
      <c r="E233" s="109" t="n"/>
      <c r="F233" s="109" t="n"/>
      <c r="G233" s="108" t="n"/>
      <c r="H233" s="220" t="n"/>
      <c r="I233" s="220" t="n"/>
      <c r="J233" s="108" t="n"/>
      <c r="K233" s="108" t="n"/>
      <c r="L233" s="109" t="n"/>
      <c r="M233" s="109" t="n"/>
      <c r="N233" s="109" t="n"/>
      <c r="O233" s="220" t="n"/>
      <c r="P233" s="227">
        <f>IF(OR($E233="",$I233=""),"",IF(OR($J233="Tamamlandı",$J233="İptal"),"",$I233-TODAY()))</f>
        <v/>
      </c>
      <c r="Q233" s="113">
        <f>IF($E233="","",IF($D233="TANIMSIZ MÜŞTERİ","HATA",IF(OR($J233="Tamamlandı",$J233="İptal"),"KAPALI",IF(AND($C233="Görüşme",$N233=""),"SONRAKİ İŞLEM EKSİK",IF($I233="","TARİH EKSİK",IF($I233&lt;TODAY(),"GECİKMİŞ",IF($I233=TODAY(),"BUGÜN",IF($I233&lt;=TODAY()+7,"7 GÜN İÇİNDE","PLANLI"))))))))</f>
        <v/>
      </c>
      <c r="R233" s="6" t="n"/>
      <c r="S233" s="6" t="n"/>
      <c r="T233" s="3" t="n"/>
      <c r="U233" s="3">
        <f>IF($E233="","",UPPER(SUBSTITUTE(SUBSTITUTE(SUBSTITUTE(SUBSTITUTE(SUBSTITUTE(SUBSTITUTE(SUBSTITUTE(SUBSTITUTE(SUBSTITUTE(SUBSTITUTE(SUBSTITUTE(SUBSTITUTE(SUBSTITUTE(SUBSTITUTE(SUBSTITUTE(SUBSTITUTE(SUBSTITUTE(SUBSTITUTE(TRIM($E233),"'",""),"İ","I"),"ı","I"),"i","I"),"Ş","S"),"ş","S"),"Ğ","G"),"ğ","G"),"Ü","U"),"ü","U"),"Ö","O"),"ö","O"),"Ç","C"),"ç","C"),".",""),",","")," ",""),"-","")))</f>
        <v/>
      </c>
    </row>
    <row r="234">
      <c r="A234" s="6" t="n"/>
      <c r="B234" s="113">
        <f>IF($E234="","","A"&amp;TEXT(ROW()-6,"00000"))</f>
        <v/>
      </c>
      <c r="C234" s="108" t="n"/>
      <c r="D234" s="113">
        <f>IF($E234="","",IFERROR(INDEX(MUSTERILER!$B$7:$B$106,MATCH($U234,MUSTERILER!$T$7:$T$106,0)),IFERROR(INDEX(MUSTERILER!$B$7:$B$106,MATCH($E234,MUSTERILER!$B$7:$B$106,0)),IFERROR(INDEX(MUSTERILER!$B$7:$B$106,MATCH($U234&amp;"*",MUSTERILER!$T$7:$T$106,0)),"TANIMSIZ MÜŞTERİ"))))</f>
        <v/>
      </c>
      <c r="E234" s="109" t="n"/>
      <c r="F234" s="109" t="n"/>
      <c r="G234" s="108" t="n"/>
      <c r="H234" s="220" t="n"/>
      <c r="I234" s="220" t="n"/>
      <c r="J234" s="108" t="n"/>
      <c r="K234" s="108" t="n"/>
      <c r="L234" s="109" t="n"/>
      <c r="M234" s="109" t="n"/>
      <c r="N234" s="109" t="n"/>
      <c r="O234" s="220" t="n"/>
      <c r="P234" s="227">
        <f>IF(OR($E234="",$I234=""),"",IF(OR($J234="Tamamlandı",$J234="İptal"),"",$I234-TODAY()))</f>
        <v/>
      </c>
      <c r="Q234" s="113">
        <f>IF($E234="","",IF($D234="TANIMSIZ MÜŞTERİ","HATA",IF(OR($J234="Tamamlandı",$J234="İptal"),"KAPALI",IF(AND($C234="Görüşme",$N234=""),"SONRAKİ İŞLEM EKSİK",IF($I234="","TARİH EKSİK",IF($I234&lt;TODAY(),"GECİKMİŞ",IF($I234=TODAY(),"BUGÜN",IF($I234&lt;=TODAY()+7,"7 GÜN İÇİNDE","PLANLI"))))))))</f>
        <v/>
      </c>
      <c r="R234" s="6" t="n"/>
      <c r="S234" s="6" t="n"/>
      <c r="T234" s="3" t="n"/>
      <c r="U234" s="3">
        <f>IF($E234="","",UPPER(SUBSTITUTE(SUBSTITUTE(SUBSTITUTE(SUBSTITUTE(SUBSTITUTE(SUBSTITUTE(SUBSTITUTE(SUBSTITUTE(SUBSTITUTE(SUBSTITUTE(SUBSTITUTE(SUBSTITUTE(SUBSTITUTE(SUBSTITUTE(SUBSTITUTE(SUBSTITUTE(SUBSTITUTE(SUBSTITUTE(TRIM($E234),"'",""),"İ","I"),"ı","I"),"i","I"),"Ş","S"),"ş","S"),"Ğ","G"),"ğ","G"),"Ü","U"),"ü","U"),"Ö","O"),"ö","O"),"Ç","C"),"ç","C"),".",""),",","")," ",""),"-","")))</f>
        <v/>
      </c>
    </row>
    <row r="235">
      <c r="A235" s="6" t="n"/>
      <c r="B235" s="113">
        <f>IF($E235="","","A"&amp;TEXT(ROW()-6,"00000"))</f>
        <v/>
      </c>
      <c r="C235" s="108" t="n"/>
      <c r="D235" s="113">
        <f>IF($E235="","",IFERROR(INDEX(MUSTERILER!$B$7:$B$106,MATCH($U235,MUSTERILER!$T$7:$T$106,0)),IFERROR(INDEX(MUSTERILER!$B$7:$B$106,MATCH($E235,MUSTERILER!$B$7:$B$106,0)),IFERROR(INDEX(MUSTERILER!$B$7:$B$106,MATCH($U235&amp;"*",MUSTERILER!$T$7:$T$106,0)),"TANIMSIZ MÜŞTERİ"))))</f>
        <v/>
      </c>
      <c r="E235" s="109" t="n"/>
      <c r="F235" s="109" t="n"/>
      <c r="G235" s="108" t="n"/>
      <c r="H235" s="220" t="n"/>
      <c r="I235" s="220" t="n"/>
      <c r="J235" s="108" t="n"/>
      <c r="K235" s="108" t="n"/>
      <c r="L235" s="109" t="n"/>
      <c r="M235" s="109" t="n"/>
      <c r="N235" s="109" t="n"/>
      <c r="O235" s="220" t="n"/>
      <c r="P235" s="227">
        <f>IF(OR($E235="",$I235=""),"",IF(OR($J235="Tamamlandı",$J235="İptal"),"",$I235-TODAY()))</f>
        <v/>
      </c>
      <c r="Q235" s="113">
        <f>IF($E235="","",IF($D235="TANIMSIZ MÜŞTERİ","HATA",IF(OR($J235="Tamamlandı",$J235="İptal"),"KAPALI",IF(AND($C235="Görüşme",$N235=""),"SONRAKİ İŞLEM EKSİK",IF($I235="","TARİH EKSİK",IF($I235&lt;TODAY(),"GECİKMİŞ",IF($I235=TODAY(),"BUGÜN",IF($I235&lt;=TODAY()+7,"7 GÜN İÇİNDE","PLANLI"))))))))</f>
        <v/>
      </c>
      <c r="R235" s="6" t="n"/>
      <c r="S235" s="6" t="n"/>
      <c r="T235" s="3" t="n"/>
      <c r="U235" s="3">
        <f>IF($E235="","",UPPER(SUBSTITUTE(SUBSTITUTE(SUBSTITUTE(SUBSTITUTE(SUBSTITUTE(SUBSTITUTE(SUBSTITUTE(SUBSTITUTE(SUBSTITUTE(SUBSTITUTE(SUBSTITUTE(SUBSTITUTE(SUBSTITUTE(SUBSTITUTE(SUBSTITUTE(SUBSTITUTE(SUBSTITUTE(SUBSTITUTE(TRIM($E235),"'",""),"İ","I"),"ı","I"),"i","I"),"Ş","S"),"ş","S"),"Ğ","G"),"ğ","G"),"Ü","U"),"ü","U"),"Ö","O"),"ö","O"),"Ç","C"),"ç","C"),".",""),",","")," ",""),"-","")))</f>
        <v/>
      </c>
    </row>
    <row r="236">
      <c r="A236" s="6" t="n"/>
      <c r="B236" s="113">
        <f>IF($E236="","","A"&amp;TEXT(ROW()-6,"00000"))</f>
        <v/>
      </c>
      <c r="C236" s="108" t="n"/>
      <c r="D236" s="113">
        <f>IF($E236="","",IFERROR(INDEX(MUSTERILER!$B$7:$B$106,MATCH($U236,MUSTERILER!$T$7:$T$106,0)),IFERROR(INDEX(MUSTERILER!$B$7:$B$106,MATCH($E236,MUSTERILER!$B$7:$B$106,0)),IFERROR(INDEX(MUSTERILER!$B$7:$B$106,MATCH($U236&amp;"*",MUSTERILER!$T$7:$T$106,0)),"TANIMSIZ MÜŞTERİ"))))</f>
        <v/>
      </c>
      <c r="E236" s="109" t="n"/>
      <c r="F236" s="109" t="n"/>
      <c r="G236" s="108" t="n"/>
      <c r="H236" s="220" t="n"/>
      <c r="I236" s="220" t="n"/>
      <c r="J236" s="108" t="n"/>
      <c r="K236" s="108" t="n"/>
      <c r="L236" s="109" t="n"/>
      <c r="M236" s="109" t="n"/>
      <c r="N236" s="109" t="n"/>
      <c r="O236" s="220" t="n"/>
      <c r="P236" s="227">
        <f>IF(OR($E236="",$I236=""),"",IF(OR($J236="Tamamlandı",$J236="İptal"),"",$I236-TODAY()))</f>
        <v/>
      </c>
      <c r="Q236" s="113">
        <f>IF($E236="","",IF($D236="TANIMSIZ MÜŞTERİ","HATA",IF(OR($J236="Tamamlandı",$J236="İptal"),"KAPALI",IF(AND($C236="Görüşme",$N236=""),"SONRAKİ İŞLEM EKSİK",IF($I236="","TARİH EKSİK",IF($I236&lt;TODAY(),"GECİKMİŞ",IF($I236=TODAY(),"BUGÜN",IF($I236&lt;=TODAY()+7,"7 GÜN İÇİNDE","PLANLI"))))))))</f>
        <v/>
      </c>
      <c r="R236" s="6" t="n"/>
      <c r="S236" s="6" t="n"/>
      <c r="T236" s="3" t="n"/>
      <c r="U236" s="3">
        <f>IF($E236="","",UPPER(SUBSTITUTE(SUBSTITUTE(SUBSTITUTE(SUBSTITUTE(SUBSTITUTE(SUBSTITUTE(SUBSTITUTE(SUBSTITUTE(SUBSTITUTE(SUBSTITUTE(SUBSTITUTE(SUBSTITUTE(SUBSTITUTE(SUBSTITUTE(SUBSTITUTE(SUBSTITUTE(SUBSTITUTE(SUBSTITUTE(TRIM($E236),"'",""),"İ","I"),"ı","I"),"i","I"),"Ş","S"),"ş","S"),"Ğ","G"),"ğ","G"),"Ü","U"),"ü","U"),"Ö","O"),"ö","O"),"Ç","C"),"ç","C"),".",""),",","")," ",""),"-","")))</f>
        <v/>
      </c>
    </row>
    <row r="237">
      <c r="A237" s="6" t="n"/>
      <c r="B237" s="113">
        <f>IF($E237="","","A"&amp;TEXT(ROW()-6,"00000"))</f>
        <v/>
      </c>
      <c r="C237" s="108" t="n"/>
      <c r="D237" s="113">
        <f>IF($E237="","",IFERROR(INDEX(MUSTERILER!$B$7:$B$106,MATCH($U237,MUSTERILER!$T$7:$T$106,0)),IFERROR(INDEX(MUSTERILER!$B$7:$B$106,MATCH($E237,MUSTERILER!$B$7:$B$106,0)),IFERROR(INDEX(MUSTERILER!$B$7:$B$106,MATCH($U237&amp;"*",MUSTERILER!$T$7:$T$106,0)),"TANIMSIZ MÜŞTERİ"))))</f>
        <v/>
      </c>
      <c r="E237" s="109" t="n"/>
      <c r="F237" s="109" t="n"/>
      <c r="G237" s="108" t="n"/>
      <c r="H237" s="220" t="n"/>
      <c r="I237" s="220" t="n"/>
      <c r="J237" s="108" t="n"/>
      <c r="K237" s="108" t="n"/>
      <c r="L237" s="109" t="n"/>
      <c r="M237" s="109" t="n"/>
      <c r="N237" s="109" t="n"/>
      <c r="O237" s="220" t="n"/>
      <c r="P237" s="227">
        <f>IF(OR($E237="",$I237=""),"",IF(OR($J237="Tamamlandı",$J237="İptal"),"",$I237-TODAY()))</f>
        <v/>
      </c>
      <c r="Q237" s="113">
        <f>IF($E237="","",IF($D237="TANIMSIZ MÜŞTERİ","HATA",IF(OR($J237="Tamamlandı",$J237="İptal"),"KAPALI",IF(AND($C237="Görüşme",$N237=""),"SONRAKİ İŞLEM EKSİK",IF($I237="","TARİH EKSİK",IF($I237&lt;TODAY(),"GECİKMİŞ",IF($I237=TODAY(),"BUGÜN",IF($I237&lt;=TODAY()+7,"7 GÜN İÇİNDE","PLANLI"))))))))</f>
        <v/>
      </c>
      <c r="R237" s="6" t="n"/>
      <c r="S237" s="6" t="n"/>
      <c r="T237" s="3" t="n"/>
      <c r="U237" s="3">
        <f>IF($E237="","",UPPER(SUBSTITUTE(SUBSTITUTE(SUBSTITUTE(SUBSTITUTE(SUBSTITUTE(SUBSTITUTE(SUBSTITUTE(SUBSTITUTE(SUBSTITUTE(SUBSTITUTE(SUBSTITUTE(SUBSTITUTE(SUBSTITUTE(SUBSTITUTE(SUBSTITUTE(SUBSTITUTE(SUBSTITUTE(SUBSTITUTE(TRIM($E237),"'",""),"İ","I"),"ı","I"),"i","I"),"Ş","S"),"ş","S"),"Ğ","G"),"ğ","G"),"Ü","U"),"ü","U"),"Ö","O"),"ö","O"),"Ç","C"),"ç","C"),".",""),",","")," ",""),"-","")))</f>
        <v/>
      </c>
    </row>
    <row r="238">
      <c r="A238" s="6" t="n"/>
      <c r="B238" s="113">
        <f>IF($E238="","","A"&amp;TEXT(ROW()-6,"00000"))</f>
        <v/>
      </c>
      <c r="C238" s="108" t="n"/>
      <c r="D238" s="113">
        <f>IF($E238="","",IFERROR(INDEX(MUSTERILER!$B$7:$B$106,MATCH($U238,MUSTERILER!$T$7:$T$106,0)),IFERROR(INDEX(MUSTERILER!$B$7:$B$106,MATCH($E238,MUSTERILER!$B$7:$B$106,0)),IFERROR(INDEX(MUSTERILER!$B$7:$B$106,MATCH($U238&amp;"*",MUSTERILER!$T$7:$T$106,0)),"TANIMSIZ MÜŞTERİ"))))</f>
        <v/>
      </c>
      <c r="E238" s="109" t="n"/>
      <c r="F238" s="109" t="n"/>
      <c r="G238" s="108" t="n"/>
      <c r="H238" s="220" t="n"/>
      <c r="I238" s="220" t="n"/>
      <c r="J238" s="108" t="n"/>
      <c r="K238" s="108" t="n"/>
      <c r="L238" s="109" t="n"/>
      <c r="M238" s="109" t="n"/>
      <c r="N238" s="109" t="n"/>
      <c r="O238" s="220" t="n"/>
      <c r="P238" s="227">
        <f>IF(OR($E238="",$I238=""),"",IF(OR($J238="Tamamlandı",$J238="İptal"),"",$I238-TODAY()))</f>
        <v/>
      </c>
      <c r="Q238" s="113">
        <f>IF($E238="","",IF($D238="TANIMSIZ MÜŞTERİ","HATA",IF(OR($J238="Tamamlandı",$J238="İptal"),"KAPALI",IF(AND($C238="Görüşme",$N238=""),"SONRAKİ İŞLEM EKSİK",IF($I238="","TARİH EKSİK",IF($I238&lt;TODAY(),"GECİKMİŞ",IF($I238=TODAY(),"BUGÜN",IF($I238&lt;=TODAY()+7,"7 GÜN İÇİNDE","PLANLI"))))))))</f>
        <v/>
      </c>
      <c r="R238" s="6" t="n"/>
      <c r="S238" s="6" t="n"/>
      <c r="T238" s="3" t="n"/>
      <c r="U238" s="3">
        <f>IF($E238="","",UPPER(SUBSTITUTE(SUBSTITUTE(SUBSTITUTE(SUBSTITUTE(SUBSTITUTE(SUBSTITUTE(SUBSTITUTE(SUBSTITUTE(SUBSTITUTE(SUBSTITUTE(SUBSTITUTE(SUBSTITUTE(SUBSTITUTE(SUBSTITUTE(SUBSTITUTE(SUBSTITUTE(SUBSTITUTE(SUBSTITUTE(TRIM($E238),"'",""),"İ","I"),"ı","I"),"i","I"),"Ş","S"),"ş","S"),"Ğ","G"),"ğ","G"),"Ü","U"),"ü","U"),"Ö","O"),"ö","O"),"Ç","C"),"ç","C"),".",""),",","")," ",""),"-","")))</f>
        <v/>
      </c>
    </row>
    <row r="239">
      <c r="A239" s="6" t="n"/>
      <c r="B239" s="113">
        <f>IF($E239="","","A"&amp;TEXT(ROW()-6,"00000"))</f>
        <v/>
      </c>
      <c r="C239" s="108" t="n"/>
      <c r="D239" s="113">
        <f>IF($E239="","",IFERROR(INDEX(MUSTERILER!$B$7:$B$106,MATCH($U239,MUSTERILER!$T$7:$T$106,0)),IFERROR(INDEX(MUSTERILER!$B$7:$B$106,MATCH($E239,MUSTERILER!$B$7:$B$106,0)),IFERROR(INDEX(MUSTERILER!$B$7:$B$106,MATCH($U239&amp;"*",MUSTERILER!$T$7:$T$106,0)),"TANIMSIZ MÜŞTERİ"))))</f>
        <v/>
      </c>
      <c r="E239" s="109" t="n"/>
      <c r="F239" s="109" t="n"/>
      <c r="G239" s="108" t="n"/>
      <c r="H239" s="220" t="n"/>
      <c r="I239" s="220" t="n"/>
      <c r="J239" s="108" t="n"/>
      <c r="K239" s="108" t="n"/>
      <c r="L239" s="109" t="n"/>
      <c r="M239" s="109" t="n"/>
      <c r="N239" s="109" t="n"/>
      <c r="O239" s="220" t="n"/>
      <c r="P239" s="227">
        <f>IF(OR($E239="",$I239=""),"",IF(OR($J239="Tamamlandı",$J239="İptal"),"",$I239-TODAY()))</f>
        <v/>
      </c>
      <c r="Q239" s="113">
        <f>IF($E239="","",IF($D239="TANIMSIZ MÜŞTERİ","HATA",IF(OR($J239="Tamamlandı",$J239="İptal"),"KAPALI",IF(AND($C239="Görüşme",$N239=""),"SONRAKİ İŞLEM EKSİK",IF($I239="","TARİH EKSİK",IF($I239&lt;TODAY(),"GECİKMİŞ",IF($I239=TODAY(),"BUGÜN",IF($I239&lt;=TODAY()+7,"7 GÜN İÇİNDE","PLANLI"))))))))</f>
        <v/>
      </c>
      <c r="R239" s="6" t="n"/>
      <c r="S239" s="6" t="n"/>
      <c r="T239" s="3" t="n"/>
      <c r="U239" s="3">
        <f>IF($E239="","",UPPER(SUBSTITUTE(SUBSTITUTE(SUBSTITUTE(SUBSTITUTE(SUBSTITUTE(SUBSTITUTE(SUBSTITUTE(SUBSTITUTE(SUBSTITUTE(SUBSTITUTE(SUBSTITUTE(SUBSTITUTE(SUBSTITUTE(SUBSTITUTE(SUBSTITUTE(SUBSTITUTE(SUBSTITUTE(SUBSTITUTE(TRIM($E239),"'",""),"İ","I"),"ı","I"),"i","I"),"Ş","S"),"ş","S"),"Ğ","G"),"ğ","G"),"Ü","U"),"ü","U"),"Ö","O"),"ö","O"),"Ç","C"),"ç","C"),".",""),",","")," ",""),"-","")))</f>
        <v/>
      </c>
    </row>
    <row r="240">
      <c r="A240" s="6" t="n"/>
      <c r="B240" s="113">
        <f>IF($E240="","","A"&amp;TEXT(ROW()-6,"00000"))</f>
        <v/>
      </c>
      <c r="C240" s="108" t="n"/>
      <c r="D240" s="113">
        <f>IF($E240="","",IFERROR(INDEX(MUSTERILER!$B$7:$B$106,MATCH($U240,MUSTERILER!$T$7:$T$106,0)),IFERROR(INDEX(MUSTERILER!$B$7:$B$106,MATCH($E240,MUSTERILER!$B$7:$B$106,0)),IFERROR(INDEX(MUSTERILER!$B$7:$B$106,MATCH($U240&amp;"*",MUSTERILER!$T$7:$T$106,0)),"TANIMSIZ MÜŞTERİ"))))</f>
        <v/>
      </c>
      <c r="E240" s="109" t="n"/>
      <c r="F240" s="109" t="n"/>
      <c r="G240" s="108" t="n"/>
      <c r="H240" s="220" t="n"/>
      <c r="I240" s="220" t="n"/>
      <c r="J240" s="108" t="n"/>
      <c r="K240" s="108" t="n"/>
      <c r="L240" s="109" t="n"/>
      <c r="M240" s="109" t="n"/>
      <c r="N240" s="109" t="n"/>
      <c r="O240" s="220" t="n"/>
      <c r="P240" s="227">
        <f>IF(OR($E240="",$I240=""),"",IF(OR($J240="Tamamlandı",$J240="İptal"),"",$I240-TODAY()))</f>
        <v/>
      </c>
      <c r="Q240" s="113">
        <f>IF($E240="","",IF($D240="TANIMSIZ MÜŞTERİ","HATA",IF(OR($J240="Tamamlandı",$J240="İptal"),"KAPALI",IF(AND($C240="Görüşme",$N240=""),"SONRAKİ İŞLEM EKSİK",IF($I240="","TARİH EKSİK",IF($I240&lt;TODAY(),"GECİKMİŞ",IF($I240=TODAY(),"BUGÜN",IF($I240&lt;=TODAY()+7,"7 GÜN İÇİNDE","PLANLI"))))))))</f>
        <v/>
      </c>
      <c r="R240" s="6" t="n"/>
      <c r="S240" s="6" t="n"/>
      <c r="T240" s="3" t="n"/>
      <c r="U240" s="3">
        <f>IF($E240="","",UPPER(SUBSTITUTE(SUBSTITUTE(SUBSTITUTE(SUBSTITUTE(SUBSTITUTE(SUBSTITUTE(SUBSTITUTE(SUBSTITUTE(SUBSTITUTE(SUBSTITUTE(SUBSTITUTE(SUBSTITUTE(SUBSTITUTE(SUBSTITUTE(SUBSTITUTE(SUBSTITUTE(SUBSTITUTE(SUBSTITUTE(TRIM($E240),"'",""),"İ","I"),"ı","I"),"i","I"),"Ş","S"),"ş","S"),"Ğ","G"),"ğ","G"),"Ü","U"),"ü","U"),"Ö","O"),"ö","O"),"Ç","C"),"ç","C"),".",""),",","")," ",""),"-","")))</f>
        <v/>
      </c>
    </row>
    <row r="241">
      <c r="A241" s="6" t="n"/>
      <c r="B241" s="113">
        <f>IF($E241="","","A"&amp;TEXT(ROW()-6,"00000"))</f>
        <v/>
      </c>
      <c r="C241" s="108" t="n"/>
      <c r="D241" s="113">
        <f>IF($E241="","",IFERROR(INDEX(MUSTERILER!$B$7:$B$106,MATCH($U241,MUSTERILER!$T$7:$T$106,0)),IFERROR(INDEX(MUSTERILER!$B$7:$B$106,MATCH($E241,MUSTERILER!$B$7:$B$106,0)),IFERROR(INDEX(MUSTERILER!$B$7:$B$106,MATCH($U241&amp;"*",MUSTERILER!$T$7:$T$106,0)),"TANIMSIZ MÜŞTERİ"))))</f>
        <v/>
      </c>
      <c r="E241" s="109" t="n"/>
      <c r="F241" s="109" t="n"/>
      <c r="G241" s="108" t="n"/>
      <c r="H241" s="220" t="n"/>
      <c r="I241" s="220" t="n"/>
      <c r="J241" s="108" t="n"/>
      <c r="K241" s="108" t="n"/>
      <c r="L241" s="109" t="n"/>
      <c r="M241" s="109" t="n"/>
      <c r="N241" s="109" t="n"/>
      <c r="O241" s="220" t="n"/>
      <c r="P241" s="227">
        <f>IF(OR($E241="",$I241=""),"",IF(OR($J241="Tamamlandı",$J241="İptal"),"",$I241-TODAY()))</f>
        <v/>
      </c>
      <c r="Q241" s="113">
        <f>IF($E241="","",IF($D241="TANIMSIZ MÜŞTERİ","HATA",IF(OR($J241="Tamamlandı",$J241="İptal"),"KAPALI",IF(AND($C241="Görüşme",$N241=""),"SONRAKİ İŞLEM EKSİK",IF($I241="","TARİH EKSİK",IF($I241&lt;TODAY(),"GECİKMİŞ",IF($I241=TODAY(),"BUGÜN",IF($I241&lt;=TODAY()+7,"7 GÜN İÇİNDE","PLANLI"))))))))</f>
        <v/>
      </c>
      <c r="R241" s="6" t="n"/>
      <c r="S241" s="6" t="n"/>
      <c r="T241" s="3" t="n"/>
      <c r="U241" s="3">
        <f>IF($E241="","",UPPER(SUBSTITUTE(SUBSTITUTE(SUBSTITUTE(SUBSTITUTE(SUBSTITUTE(SUBSTITUTE(SUBSTITUTE(SUBSTITUTE(SUBSTITUTE(SUBSTITUTE(SUBSTITUTE(SUBSTITUTE(SUBSTITUTE(SUBSTITUTE(SUBSTITUTE(SUBSTITUTE(SUBSTITUTE(SUBSTITUTE(TRIM($E241),"'",""),"İ","I"),"ı","I"),"i","I"),"Ş","S"),"ş","S"),"Ğ","G"),"ğ","G"),"Ü","U"),"ü","U"),"Ö","O"),"ö","O"),"Ç","C"),"ç","C"),".",""),",","")," ",""),"-","")))</f>
        <v/>
      </c>
    </row>
    <row r="242">
      <c r="A242" s="6" t="n"/>
      <c r="B242" s="113">
        <f>IF($E242="","","A"&amp;TEXT(ROW()-6,"00000"))</f>
        <v/>
      </c>
      <c r="C242" s="108" t="n"/>
      <c r="D242" s="113">
        <f>IF($E242="","",IFERROR(INDEX(MUSTERILER!$B$7:$B$106,MATCH($U242,MUSTERILER!$T$7:$T$106,0)),IFERROR(INDEX(MUSTERILER!$B$7:$B$106,MATCH($E242,MUSTERILER!$B$7:$B$106,0)),IFERROR(INDEX(MUSTERILER!$B$7:$B$106,MATCH($U242&amp;"*",MUSTERILER!$T$7:$T$106,0)),"TANIMSIZ MÜŞTERİ"))))</f>
        <v/>
      </c>
      <c r="E242" s="109" t="n"/>
      <c r="F242" s="109" t="n"/>
      <c r="G242" s="108" t="n"/>
      <c r="H242" s="220" t="n"/>
      <c r="I242" s="220" t="n"/>
      <c r="J242" s="108" t="n"/>
      <c r="K242" s="108" t="n"/>
      <c r="L242" s="109" t="n"/>
      <c r="M242" s="109" t="n"/>
      <c r="N242" s="109" t="n"/>
      <c r="O242" s="220" t="n"/>
      <c r="P242" s="227">
        <f>IF(OR($E242="",$I242=""),"",IF(OR($J242="Tamamlandı",$J242="İptal"),"",$I242-TODAY()))</f>
        <v/>
      </c>
      <c r="Q242" s="113">
        <f>IF($E242="","",IF($D242="TANIMSIZ MÜŞTERİ","HATA",IF(OR($J242="Tamamlandı",$J242="İptal"),"KAPALI",IF(AND($C242="Görüşme",$N242=""),"SONRAKİ İŞLEM EKSİK",IF($I242="","TARİH EKSİK",IF($I242&lt;TODAY(),"GECİKMİŞ",IF($I242=TODAY(),"BUGÜN",IF($I242&lt;=TODAY()+7,"7 GÜN İÇİNDE","PLANLI"))))))))</f>
        <v/>
      </c>
      <c r="R242" s="6" t="n"/>
      <c r="S242" s="6" t="n"/>
      <c r="T242" s="3" t="n"/>
      <c r="U242" s="3">
        <f>IF($E242="","",UPPER(SUBSTITUTE(SUBSTITUTE(SUBSTITUTE(SUBSTITUTE(SUBSTITUTE(SUBSTITUTE(SUBSTITUTE(SUBSTITUTE(SUBSTITUTE(SUBSTITUTE(SUBSTITUTE(SUBSTITUTE(SUBSTITUTE(SUBSTITUTE(SUBSTITUTE(SUBSTITUTE(SUBSTITUTE(SUBSTITUTE(TRIM($E242),"'",""),"İ","I"),"ı","I"),"i","I"),"Ş","S"),"ş","S"),"Ğ","G"),"ğ","G"),"Ü","U"),"ü","U"),"Ö","O"),"ö","O"),"Ç","C"),"ç","C"),".",""),",","")," ",""),"-","")))</f>
        <v/>
      </c>
    </row>
    <row r="243">
      <c r="A243" s="6" t="n"/>
      <c r="B243" s="113">
        <f>IF($E243="","","A"&amp;TEXT(ROW()-6,"00000"))</f>
        <v/>
      </c>
      <c r="C243" s="108" t="n"/>
      <c r="D243" s="113">
        <f>IF($E243="","",IFERROR(INDEX(MUSTERILER!$B$7:$B$106,MATCH($U243,MUSTERILER!$T$7:$T$106,0)),IFERROR(INDEX(MUSTERILER!$B$7:$B$106,MATCH($E243,MUSTERILER!$B$7:$B$106,0)),IFERROR(INDEX(MUSTERILER!$B$7:$B$106,MATCH($U243&amp;"*",MUSTERILER!$T$7:$T$106,0)),"TANIMSIZ MÜŞTERİ"))))</f>
        <v/>
      </c>
      <c r="E243" s="109" t="n"/>
      <c r="F243" s="109" t="n"/>
      <c r="G243" s="108" t="n"/>
      <c r="H243" s="220" t="n"/>
      <c r="I243" s="220" t="n"/>
      <c r="J243" s="108" t="n"/>
      <c r="K243" s="108" t="n"/>
      <c r="L243" s="109" t="n"/>
      <c r="M243" s="109" t="n"/>
      <c r="N243" s="109" t="n"/>
      <c r="O243" s="220" t="n"/>
      <c r="P243" s="227">
        <f>IF(OR($E243="",$I243=""),"",IF(OR($J243="Tamamlandı",$J243="İptal"),"",$I243-TODAY()))</f>
        <v/>
      </c>
      <c r="Q243" s="113">
        <f>IF($E243="","",IF($D243="TANIMSIZ MÜŞTERİ","HATA",IF(OR($J243="Tamamlandı",$J243="İptal"),"KAPALI",IF(AND($C243="Görüşme",$N243=""),"SONRAKİ İŞLEM EKSİK",IF($I243="","TARİH EKSİK",IF($I243&lt;TODAY(),"GECİKMİŞ",IF($I243=TODAY(),"BUGÜN",IF($I243&lt;=TODAY()+7,"7 GÜN İÇİNDE","PLANLI"))))))))</f>
        <v/>
      </c>
      <c r="R243" s="6" t="n"/>
      <c r="S243" s="6" t="n"/>
      <c r="T243" s="3" t="n"/>
      <c r="U243" s="3">
        <f>IF($E243="","",UPPER(SUBSTITUTE(SUBSTITUTE(SUBSTITUTE(SUBSTITUTE(SUBSTITUTE(SUBSTITUTE(SUBSTITUTE(SUBSTITUTE(SUBSTITUTE(SUBSTITUTE(SUBSTITUTE(SUBSTITUTE(SUBSTITUTE(SUBSTITUTE(SUBSTITUTE(SUBSTITUTE(SUBSTITUTE(SUBSTITUTE(TRIM($E243),"'",""),"İ","I"),"ı","I"),"i","I"),"Ş","S"),"ş","S"),"Ğ","G"),"ğ","G"),"Ü","U"),"ü","U"),"Ö","O"),"ö","O"),"Ç","C"),"ç","C"),".",""),",","")," ",""),"-","")))</f>
        <v/>
      </c>
    </row>
    <row r="244">
      <c r="A244" s="6" t="n"/>
      <c r="B244" s="113">
        <f>IF($E244="","","A"&amp;TEXT(ROW()-6,"00000"))</f>
        <v/>
      </c>
      <c r="C244" s="108" t="n"/>
      <c r="D244" s="113">
        <f>IF($E244="","",IFERROR(INDEX(MUSTERILER!$B$7:$B$106,MATCH($U244,MUSTERILER!$T$7:$T$106,0)),IFERROR(INDEX(MUSTERILER!$B$7:$B$106,MATCH($E244,MUSTERILER!$B$7:$B$106,0)),IFERROR(INDEX(MUSTERILER!$B$7:$B$106,MATCH($U244&amp;"*",MUSTERILER!$T$7:$T$106,0)),"TANIMSIZ MÜŞTERİ"))))</f>
        <v/>
      </c>
      <c r="E244" s="109" t="n"/>
      <c r="F244" s="109" t="n"/>
      <c r="G244" s="108" t="n"/>
      <c r="H244" s="220" t="n"/>
      <c r="I244" s="220" t="n"/>
      <c r="J244" s="108" t="n"/>
      <c r="K244" s="108" t="n"/>
      <c r="L244" s="109" t="n"/>
      <c r="M244" s="109" t="n"/>
      <c r="N244" s="109" t="n"/>
      <c r="O244" s="220" t="n"/>
      <c r="P244" s="227">
        <f>IF(OR($E244="",$I244=""),"",IF(OR($J244="Tamamlandı",$J244="İptal"),"",$I244-TODAY()))</f>
        <v/>
      </c>
      <c r="Q244" s="113">
        <f>IF($E244="","",IF($D244="TANIMSIZ MÜŞTERİ","HATA",IF(OR($J244="Tamamlandı",$J244="İptal"),"KAPALI",IF(AND($C244="Görüşme",$N244=""),"SONRAKİ İŞLEM EKSİK",IF($I244="","TARİH EKSİK",IF($I244&lt;TODAY(),"GECİKMİŞ",IF($I244=TODAY(),"BUGÜN",IF($I244&lt;=TODAY()+7,"7 GÜN İÇİNDE","PLANLI"))))))))</f>
        <v/>
      </c>
      <c r="R244" s="6" t="n"/>
      <c r="S244" s="6" t="n"/>
      <c r="T244" s="3" t="n"/>
      <c r="U244" s="3">
        <f>IF($E244="","",UPPER(SUBSTITUTE(SUBSTITUTE(SUBSTITUTE(SUBSTITUTE(SUBSTITUTE(SUBSTITUTE(SUBSTITUTE(SUBSTITUTE(SUBSTITUTE(SUBSTITUTE(SUBSTITUTE(SUBSTITUTE(SUBSTITUTE(SUBSTITUTE(SUBSTITUTE(SUBSTITUTE(SUBSTITUTE(SUBSTITUTE(TRIM($E244),"'",""),"İ","I"),"ı","I"),"i","I"),"Ş","S"),"ş","S"),"Ğ","G"),"ğ","G"),"Ü","U"),"ü","U"),"Ö","O"),"ö","O"),"Ç","C"),"ç","C"),".",""),",","")," ",""),"-","")))</f>
        <v/>
      </c>
    </row>
    <row r="245">
      <c r="A245" s="6" t="n"/>
      <c r="B245" s="113">
        <f>IF($E245="","","A"&amp;TEXT(ROW()-6,"00000"))</f>
        <v/>
      </c>
      <c r="C245" s="108" t="n"/>
      <c r="D245" s="113">
        <f>IF($E245="","",IFERROR(INDEX(MUSTERILER!$B$7:$B$106,MATCH($U245,MUSTERILER!$T$7:$T$106,0)),IFERROR(INDEX(MUSTERILER!$B$7:$B$106,MATCH($E245,MUSTERILER!$B$7:$B$106,0)),IFERROR(INDEX(MUSTERILER!$B$7:$B$106,MATCH($U245&amp;"*",MUSTERILER!$T$7:$T$106,0)),"TANIMSIZ MÜŞTERİ"))))</f>
        <v/>
      </c>
      <c r="E245" s="109" t="n"/>
      <c r="F245" s="109" t="n"/>
      <c r="G245" s="108" t="n"/>
      <c r="H245" s="220" t="n"/>
      <c r="I245" s="220" t="n"/>
      <c r="J245" s="108" t="n"/>
      <c r="K245" s="108" t="n"/>
      <c r="L245" s="109" t="n"/>
      <c r="M245" s="109" t="n"/>
      <c r="N245" s="109" t="n"/>
      <c r="O245" s="220" t="n"/>
      <c r="P245" s="227">
        <f>IF(OR($E245="",$I245=""),"",IF(OR($J245="Tamamlandı",$J245="İptal"),"",$I245-TODAY()))</f>
        <v/>
      </c>
      <c r="Q245" s="113">
        <f>IF($E245="","",IF($D245="TANIMSIZ MÜŞTERİ","HATA",IF(OR($J245="Tamamlandı",$J245="İptal"),"KAPALI",IF(AND($C245="Görüşme",$N245=""),"SONRAKİ İŞLEM EKSİK",IF($I245="","TARİH EKSİK",IF($I245&lt;TODAY(),"GECİKMİŞ",IF($I245=TODAY(),"BUGÜN",IF($I245&lt;=TODAY()+7,"7 GÜN İÇİNDE","PLANLI"))))))))</f>
        <v/>
      </c>
      <c r="R245" s="6" t="n"/>
      <c r="S245" s="6" t="n"/>
      <c r="T245" s="3" t="n"/>
      <c r="U245" s="3">
        <f>IF($E245="","",UPPER(SUBSTITUTE(SUBSTITUTE(SUBSTITUTE(SUBSTITUTE(SUBSTITUTE(SUBSTITUTE(SUBSTITUTE(SUBSTITUTE(SUBSTITUTE(SUBSTITUTE(SUBSTITUTE(SUBSTITUTE(SUBSTITUTE(SUBSTITUTE(SUBSTITUTE(SUBSTITUTE(SUBSTITUTE(SUBSTITUTE(TRIM($E245),"'",""),"İ","I"),"ı","I"),"i","I"),"Ş","S"),"ş","S"),"Ğ","G"),"ğ","G"),"Ü","U"),"ü","U"),"Ö","O"),"ö","O"),"Ç","C"),"ç","C"),".",""),",","")," ",""),"-","")))</f>
        <v/>
      </c>
    </row>
    <row r="246">
      <c r="A246" s="6" t="n"/>
      <c r="B246" s="113">
        <f>IF($E246="","","A"&amp;TEXT(ROW()-6,"00000"))</f>
        <v/>
      </c>
      <c r="C246" s="108" t="n"/>
      <c r="D246" s="113">
        <f>IF($E246="","",IFERROR(INDEX(MUSTERILER!$B$7:$B$106,MATCH($U246,MUSTERILER!$T$7:$T$106,0)),IFERROR(INDEX(MUSTERILER!$B$7:$B$106,MATCH($E246,MUSTERILER!$B$7:$B$106,0)),IFERROR(INDEX(MUSTERILER!$B$7:$B$106,MATCH($U246&amp;"*",MUSTERILER!$T$7:$T$106,0)),"TANIMSIZ MÜŞTERİ"))))</f>
        <v/>
      </c>
      <c r="E246" s="109" t="n"/>
      <c r="F246" s="109" t="n"/>
      <c r="G246" s="108" t="n"/>
      <c r="H246" s="220" t="n"/>
      <c r="I246" s="220" t="n"/>
      <c r="J246" s="108" t="n"/>
      <c r="K246" s="108" t="n"/>
      <c r="L246" s="109" t="n"/>
      <c r="M246" s="109" t="n"/>
      <c r="N246" s="109" t="n"/>
      <c r="O246" s="220" t="n"/>
      <c r="P246" s="227">
        <f>IF(OR($E246="",$I246=""),"",IF(OR($J246="Tamamlandı",$J246="İptal"),"",$I246-TODAY()))</f>
        <v/>
      </c>
      <c r="Q246" s="113">
        <f>IF($E246="","",IF($D246="TANIMSIZ MÜŞTERİ","HATA",IF(OR($J246="Tamamlandı",$J246="İptal"),"KAPALI",IF(AND($C246="Görüşme",$N246=""),"SONRAKİ İŞLEM EKSİK",IF($I246="","TARİH EKSİK",IF($I246&lt;TODAY(),"GECİKMİŞ",IF($I246=TODAY(),"BUGÜN",IF($I246&lt;=TODAY()+7,"7 GÜN İÇİNDE","PLANLI"))))))))</f>
        <v/>
      </c>
      <c r="R246" s="6" t="n"/>
      <c r="S246" s="6" t="n"/>
      <c r="T246" s="3" t="n"/>
      <c r="U246" s="3">
        <f>IF($E246="","",UPPER(SUBSTITUTE(SUBSTITUTE(SUBSTITUTE(SUBSTITUTE(SUBSTITUTE(SUBSTITUTE(SUBSTITUTE(SUBSTITUTE(SUBSTITUTE(SUBSTITUTE(SUBSTITUTE(SUBSTITUTE(SUBSTITUTE(SUBSTITUTE(SUBSTITUTE(SUBSTITUTE(SUBSTITUTE(SUBSTITUTE(TRIM($E246),"'",""),"İ","I"),"ı","I"),"i","I"),"Ş","S"),"ş","S"),"Ğ","G"),"ğ","G"),"Ü","U"),"ü","U"),"Ö","O"),"ö","O"),"Ç","C"),"ç","C"),".",""),",","")," ",""),"-","")))</f>
        <v/>
      </c>
    </row>
    <row r="247">
      <c r="A247" s="6" t="n"/>
      <c r="B247" s="113">
        <f>IF($E247="","","A"&amp;TEXT(ROW()-6,"00000"))</f>
        <v/>
      </c>
      <c r="C247" s="108" t="n"/>
      <c r="D247" s="113">
        <f>IF($E247="","",IFERROR(INDEX(MUSTERILER!$B$7:$B$106,MATCH($U247,MUSTERILER!$T$7:$T$106,0)),IFERROR(INDEX(MUSTERILER!$B$7:$B$106,MATCH($E247,MUSTERILER!$B$7:$B$106,0)),IFERROR(INDEX(MUSTERILER!$B$7:$B$106,MATCH($U247&amp;"*",MUSTERILER!$T$7:$T$106,0)),"TANIMSIZ MÜŞTERİ"))))</f>
        <v/>
      </c>
      <c r="E247" s="109" t="n"/>
      <c r="F247" s="109" t="n"/>
      <c r="G247" s="108" t="n"/>
      <c r="H247" s="220" t="n"/>
      <c r="I247" s="220" t="n"/>
      <c r="J247" s="108" t="n"/>
      <c r="K247" s="108" t="n"/>
      <c r="L247" s="109" t="n"/>
      <c r="M247" s="109" t="n"/>
      <c r="N247" s="109" t="n"/>
      <c r="O247" s="220" t="n"/>
      <c r="P247" s="227">
        <f>IF(OR($E247="",$I247=""),"",IF(OR($J247="Tamamlandı",$J247="İptal"),"",$I247-TODAY()))</f>
        <v/>
      </c>
      <c r="Q247" s="113">
        <f>IF($E247="","",IF($D247="TANIMSIZ MÜŞTERİ","HATA",IF(OR($J247="Tamamlandı",$J247="İptal"),"KAPALI",IF(AND($C247="Görüşme",$N247=""),"SONRAKİ İŞLEM EKSİK",IF($I247="","TARİH EKSİK",IF($I247&lt;TODAY(),"GECİKMİŞ",IF($I247=TODAY(),"BUGÜN",IF($I247&lt;=TODAY()+7,"7 GÜN İÇİNDE","PLANLI"))))))))</f>
        <v/>
      </c>
      <c r="R247" s="6" t="n"/>
      <c r="S247" s="6" t="n"/>
      <c r="T247" s="3" t="n"/>
      <c r="U247" s="3">
        <f>IF($E247="","",UPPER(SUBSTITUTE(SUBSTITUTE(SUBSTITUTE(SUBSTITUTE(SUBSTITUTE(SUBSTITUTE(SUBSTITUTE(SUBSTITUTE(SUBSTITUTE(SUBSTITUTE(SUBSTITUTE(SUBSTITUTE(SUBSTITUTE(SUBSTITUTE(SUBSTITUTE(SUBSTITUTE(SUBSTITUTE(SUBSTITUTE(TRIM($E247),"'",""),"İ","I"),"ı","I"),"i","I"),"Ş","S"),"ş","S"),"Ğ","G"),"ğ","G"),"Ü","U"),"ü","U"),"Ö","O"),"ö","O"),"Ç","C"),"ç","C"),".",""),",","")," ",""),"-","")))</f>
        <v/>
      </c>
    </row>
    <row r="248">
      <c r="A248" s="6" t="n"/>
      <c r="B248" s="113">
        <f>IF($E248="","","A"&amp;TEXT(ROW()-6,"00000"))</f>
        <v/>
      </c>
      <c r="C248" s="108" t="n"/>
      <c r="D248" s="113">
        <f>IF($E248="","",IFERROR(INDEX(MUSTERILER!$B$7:$B$106,MATCH($U248,MUSTERILER!$T$7:$T$106,0)),IFERROR(INDEX(MUSTERILER!$B$7:$B$106,MATCH($E248,MUSTERILER!$B$7:$B$106,0)),IFERROR(INDEX(MUSTERILER!$B$7:$B$106,MATCH($U248&amp;"*",MUSTERILER!$T$7:$T$106,0)),"TANIMSIZ MÜŞTERİ"))))</f>
        <v/>
      </c>
      <c r="E248" s="109" t="n"/>
      <c r="F248" s="109" t="n"/>
      <c r="G248" s="108" t="n"/>
      <c r="H248" s="220" t="n"/>
      <c r="I248" s="220" t="n"/>
      <c r="J248" s="108" t="n"/>
      <c r="K248" s="108" t="n"/>
      <c r="L248" s="109" t="n"/>
      <c r="M248" s="109" t="n"/>
      <c r="N248" s="109" t="n"/>
      <c r="O248" s="220" t="n"/>
      <c r="P248" s="227">
        <f>IF(OR($E248="",$I248=""),"",IF(OR($J248="Tamamlandı",$J248="İptal"),"",$I248-TODAY()))</f>
        <v/>
      </c>
      <c r="Q248" s="113">
        <f>IF($E248="","",IF($D248="TANIMSIZ MÜŞTERİ","HATA",IF(OR($J248="Tamamlandı",$J248="İptal"),"KAPALI",IF(AND($C248="Görüşme",$N248=""),"SONRAKİ İŞLEM EKSİK",IF($I248="","TARİH EKSİK",IF($I248&lt;TODAY(),"GECİKMİŞ",IF($I248=TODAY(),"BUGÜN",IF($I248&lt;=TODAY()+7,"7 GÜN İÇİNDE","PLANLI"))))))))</f>
        <v/>
      </c>
      <c r="R248" s="6" t="n"/>
      <c r="S248" s="6" t="n"/>
      <c r="T248" s="3" t="n"/>
      <c r="U248" s="3">
        <f>IF($E248="","",UPPER(SUBSTITUTE(SUBSTITUTE(SUBSTITUTE(SUBSTITUTE(SUBSTITUTE(SUBSTITUTE(SUBSTITUTE(SUBSTITUTE(SUBSTITUTE(SUBSTITUTE(SUBSTITUTE(SUBSTITUTE(SUBSTITUTE(SUBSTITUTE(SUBSTITUTE(SUBSTITUTE(SUBSTITUTE(SUBSTITUTE(TRIM($E248),"'",""),"İ","I"),"ı","I"),"i","I"),"Ş","S"),"ş","S"),"Ğ","G"),"ğ","G"),"Ü","U"),"ü","U"),"Ö","O"),"ö","O"),"Ç","C"),"ç","C"),".",""),",","")," ",""),"-","")))</f>
        <v/>
      </c>
    </row>
    <row r="249">
      <c r="A249" s="6" t="n"/>
      <c r="B249" s="113">
        <f>IF($E249="","","A"&amp;TEXT(ROW()-6,"00000"))</f>
        <v/>
      </c>
      <c r="C249" s="108" t="n"/>
      <c r="D249" s="113">
        <f>IF($E249="","",IFERROR(INDEX(MUSTERILER!$B$7:$B$106,MATCH($U249,MUSTERILER!$T$7:$T$106,0)),IFERROR(INDEX(MUSTERILER!$B$7:$B$106,MATCH($E249,MUSTERILER!$B$7:$B$106,0)),IFERROR(INDEX(MUSTERILER!$B$7:$B$106,MATCH($U249&amp;"*",MUSTERILER!$T$7:$T$106,0)),"TANIMSIZ MÜŞTERİ"))))</f>
        <v/>
      </c>
      <c r="E249" s="109" t="n"/>
      <c r="F249" s="109" t="n"/>
      <c r="G249" s="108" t="n"/>
      <c r="H249" s="220" t="n"/>
      <c r="I249" s="220" t="n"/>
      <c r="J249" s="108" t="n"/>
      <c r="K249" s="108" t="n"/>
      <c r="L249" s="109" t="n"/>
      <c r="M249" s="109" t="n"/>
      <c r="N249" s="109" t="n"/>
      <c r="O249" s="220" t="n"/>
      <c r="P249" s="227">
        <f>IF(OR($E249="",$I249=""),"",IF(OR($J249="Tamamlandı",$J249="İptal"),"",$I249-TODAY()))</f>
        <v/>
      </c>
      <c r="Q249" s="113">
        <f>IF($E249="","",IF($D249="TANIMSIZ MÜŞTERİ","HATA",IF(OR($J249="Tamamlandı",$J249="İptal"),"KAPALI",IF(AND($C249="Görüşme",$N249=""),"SONRAKİ İŞLEM EKSİK",IF($I249="","TARİH EKSİK",IF($I249&lt;TODAY(),"GECİKMİŞ",IF($I249=TODAY(),"BUGÜN",IF($I249&lt;=TODAY()+7,"7 GÜN İÇİNDE","PLANLI"))))))))</f>
        <v/>
      </c>
      <c r="R249" s="6" t="n"/>
      <c r="S249" s="6" t="n"/>
      <c r="T249" s="3" t="n"/>
      <c r="U249" s="3">
        <f>IF($E249="","",UPPER(SUBSTITUTE(SUBSTITUTE(SUBSTITUTE(SUBSTITUTE(SUBSTITUTE(SUBSTITUTE(SUBSTITUTE(SUBSTITUTE(SUBSTITUTE(SUBSTITUTE(SUBSTITUTE(SUBSTITUTE(SUBSTITUTE(SUBSTITUTE(SUBSTITUTE(SUBSTITUTE(SUBSTITUTE(SUBSTITUTE(TRIM($E249),"'",""),"İ","I"),"ı","I"),"i","I"),"Ş","S"),"ş","S"),"Ğ","G"),"ğ","G"),"Ü","U"),"ü","U"),"Ö","O"),"ö","O"),"Ç","C"),"ç","C"),".",""),",","")," ",""),"-","")))</f>
        <v/>
      </c>
    </row>
    <row r="250">
      <c r="A250" s="6" t="n"/>
      <c r="B250" s="113">
        <f>IF($E250="","","A"&amp;TEXT(ROW()-6,"00000"))</f>
        <v/>
      </c>
      <c r="C250" s="108" t="n"/>
      <c r="D250" s="113">
        <f>IF($E250="","",IFERROR(INDEX(MUSTERILER!$B$7:$B$106,MATCH($U250,MUSTERILER!$T$7:$T$106,0)),IFERROR(INDEX(MUSTERILER!$B$7:$B$106,MATCH($E250,MUSTERILER!$B$7:$B$106,0)),IFERROR(INDEX(MUSTERILER!$B$7:$B$106,MATCH($U250&amp;"*",MUSTERILER!$T$7:$T$106,0)),"TANIMSIZ MÜŞTERİ"))))</f>
        <v/>
      </c>
      <c r="E250" s="109" t="n"/>
      <c r="F250" s="109" t="n"/>
      <c r="G250" s="108" t="n"/>
      <c r="H250" s="220" t="n"/>
      <c r="I250" s="220" t="n"/>
      <c r="J250" s="108" t="n"/>
      <c r="K250" s="108" t="n"/>
      <c r="L250" s="109" t="n"/>
      <c r="M250" s="109" t="n"/>
      <c r="N250" s="109" t="n"/>
      <c r="O250" s="220" t="n"/>
      <c r="P250" s="227">
        <f>IF(OR($E250="",$I250=""),"",IF(OR($J250="Tamamlandı",$J250="İptal"),"",$I250-TODAY()))</f>
        <v/>
      </c>
      <c r="Q250" s="113">
        <f>IF($E250="","",IF($D250="TANIMSIZ MÜŞTERİ","HATA",IF(OR($J250="Tamamlandı",$J250="İptal"),"KAPALI",IF(AND($C250="Görüşme",$N250=""),"SONRAKİ İŞLEM EKSİK",IF($I250="","TARİH EKSİK",IF($I250&lt;TODAY(),"GECİKMİŞ",IF($I250=TODAY(),"BUGÜN",IF($I250&lt;=TODAY()+7,"7 GÜN İÇİNDE","PLANLI"))))))))</f>
        <v/>
      </c>
      <c r="R250" s="6" t="n"/>
      <c r="S250" s="6" t="n"/>
      <c r="T250" s="3" t="n"/>
      <c r="U250" s="3">
        <f>IF($E250="","",UPPER(SUBSTITUTE(SUBSTITUTE(SUBSTITUTE(SUBSTITUTE(SUBSTITUTE(SUBSTITUTE(SUBSTITUTE(SUBSTITUTE(SUBSTITUTE(SUBSTITUTE(SUBSTITUTE(SUBSTITUTE(SUBSTITUTE(SUBSTITUTE(SUBSTITUTE(SUBSTITUTE(SUBSTITUTE(SUBSTITUTE(TRIM($E250),"'",""),"İ","I"),"ı","I"),"i","I"),"Ş","S"),"ş","S"),"Ğ","G"),"ğ","G"),"Ü","U"),"ü","U"),"Ö","O"),"ö","O"),"Ç","C"),"ç","C"),".",""),",","")," ",""),"-","")))</f>
        <v/>
      </c>
    </row>
    <row r="251">
      <c r="A251" s="6" t="n"/>
      <c r="B251" s="113">
        <f>IF($E251="","","A"&amp;TEXT(ROW()-6,"00000"))</f>
        <v/>
      </c>
      <c r="C251" s="108" t="n"/>
      <c r="D251" s="113">
        <f>IF($E251="","",IFERROR(INDEX(MUSTERILER!$B$7:$B$106,MATCH($U251,MUSTERILER!$T$7:$T$106,0)),IFERROR(INDEX(MUSTERILER!$B$7:$B$106,MATCH($E251,MUSTERILER!$B$7:$B$106,0)),IFERROR(INDEX(MUSTERILER!$B$7:$B$106,MATCH($U251&amp;"*",MUSTERILER!$T$7:$T$106,0)),"TANIMSIZ MÜŞTERİ"))))</f>
        <v/>
      </c>
      <c r="E251" s="109" t="n"/>
      <c r="F251" s="109" t="n"/>
      <c r="G251" s="108" t="n"/>
      <c r="H251" s="220" t="n"/>
      <c r="I251" s="220" t="n"/>
      <c r="J251" s="108" t="n"/>
      <c r="K251" s="108" t="n"/>
      <c r="L251" s="109" t="n"/>
      <c r="M251" s="109" t="n"/>
      <c r="N251" s="109" t="n"/>
      <c r="O251" s="220" t="n"/>
      <c r="P251" s="227">
        <f>IF(OR($E251="",$I251=""),"",IF(OR($J251="Tamamlandı",$J251="İptal"),"",$I251-TODAY()))</f>
        <v/>
      </c>
      <c r="Q251" s="113">
        <f>IF($E251="","",IF($D251="TANIMSIZ MÜŞTERİ","HATA",IF(OR($J251="Tamamlandı",$J251="İptal"),"KAPALI",IF(AND($C251="Görüşme",$N251=""),"SONRAKİ İŞLEM EKSİK",IF($I251="","TARİH EKSİK",IF($I251&lt;TODAY(),"GECİKMİŞ",IF($I251=TODAY(),"BUGÜN",IF($I251&lt;=TODAY()+7,"7 GÜN İÇİNDE","PLANLI"))))))))</f>
        <v/>
      </c>
      <c r="R251" s="6" t="n"/>
      <c r="S251" s="6" t="n"/>
      <c r="T251" s="3" t="n"/>
      <c r="U251" s="3">
        <f>IF($E251="","",UPPER(SUBSTITUTE(SUBSTITUTE(SUBSTITUTE(SUBSTITUTE(SUBSTITUTE(SUBSTITUTE(SUBSTITUTE(SUBSTITUTE(SUBSTITUTE(SUBSTITUTE(SUBSTITUTE(SUBSTITUTE(SUBSTITUTE(SUBSTITUTE(SUBSTITUTE(SUBSTITUTE(SUBSTITUTE(SUBSTITUTE(TRIM($E251),"'",""),"İ","I"),"ı","I"),"i","I"),"Ş","S"),"ş","S"),"Ğ","G"),"ğ","G"),"Ü","U"),"ü","U"),"Ö","O"),"ö","O"),"Ç","C"),"ç","C"),".",""),",","")," ",""),"-","")))</f>
        <v/>
      </c>
    </row>
    <row r="252">
      <c r="A252" s="6" t="n"/>
      <c r="B252" s="113">
        <f>IF($E252="","","A"&amp;TEXT(ROW()-6,"00000"))</f>
        <v/>
      </c>
      <c r="C252" s="108" t="n"/>
      <c r="D252" s="113">
        <f>IF($E252="","",IFERROR(INDEX(MUSTERILER!$B$7:$B$106,MATCH($U252,MUSTERILER!$T$7:$T$106,0)),IFERROR(INDEX(MUSTERILER!$B$7:$B$106,MATCH($E252,MUSTERILER!$B$7:$B$106,0)),IFERROR(INDEX(MUSTERILER!$B$7:$B$106,MATCH($U252&amp;"*",MUSTERILER!$T$7:$T$106,0)),"TANIMSIZ MÜŞTERİ"))))</f>
        <v/>
      </c>
      <c r="E252" s="109" t="n"/>
      <c r="F252" s="109" t="n"/>
      <c r="G252" s="108" t="n"/>
      <c r="H252" s="220" t="n"/>
      <c r="I252" s="220" t="n"/>
      <c r="J252" s="108" t="n"/>
      <c r="K252" s="108" t="n"/>
      <c r="L252" s="109" t="n"/>
      <c r="M252" s="109" t="n"/>
      <c r="N252" s="109" t="n"/>
      <c r="O252" s="220" t="n"/>
      <c r="P252" s="227">
        <f>IF(OR($E252="",$I252=""),"",IF(OR($J252="Tamamlandı",$J252="İptal"),"",$I252-TODAY()))</f>
        <v/>
      </c>
      <c r="Q252" s="113">
        <f>IF($E252="","",IF($D252="TANIMSIZ MÜŞTERİ","HATA",IF(OR($J252="Tamamlandı",$J252="İptal"),"KAPALI",IF(AND($C252="Görüşme",$N252=""),"SONRAKİ İŞLEM EKSİK",IF($I252="","TARİH EKSİK",IF($I252&lt;TODAY(),"GECİKMİŞ",IF($I252=TODAY(),"BUGÜN",IF($I252&lt;=TODAY()+7,"7 GÜN İÇİNDE","PLANLI"))))))))</f>
        <v/>
      </c>
      <c r="R252" s="6" t="n"/>
      <c r="S252" s="6" t="n"/>
      <c r="T252" s="3" t="n"/>
      <c r="U252" s="3">
        <f>IF($E252="","",UPPER(SUBSTITUTE(SUBSTITUTE(SUBSTITUTE(SUBSTITUTE(SUBSTITUTE(SUBSTITUTE(SUBSTITUTE(SUBSTITUTE(SUBSTITUTE(SUBSTITUTE(SUBSTITUTE(SUBSTITUTE(SUBSTITUTE(SUBSTITUTE(SUBSTITUTE(SUBSTITUTE(SUBSTITUTE(SUBSTITUTE(TRIM($E252),"'",""),"İ","I"),"ı","I"),"i","I"),"Ş","S"),"ş","S"),"Ğ","G"),"ğ","G"),"Ü","U"),"ü","U"),"Ö","O"),"ö","O"),"Ç","C"),"ç","C"),".",""),",","")," ",""),"-","")))</f>
        <v/>
      </c>
    </row>
    <row r="253">
      <c r="A253" s="6" t="n"/>
      <c r="B253" s="113">
        <f>IF($E253="","","A"&amp;TEXT(ROW()-6,"00000"))</f>
        <v/>
      </c>
      <c r="C253" s="108" t="n"/>
      <c r="D253" s="113">
        <f>IF($E253="","",IFERROR(INDEX(MUSTERILER!$B$7:$B$106,MATCH($U253,MUSTERILER!$T$7:$T$106,0)),IFERROR(INDEX(MUSTERILER!$B$7:$B$106,MATCH($E253,MUSTERILER!$B$7:$B$106,0)),IFERROR(INDEX(MUSTERILER!$B$7:$B$106,MATCH($U253&amp;"*",MUSTERILER!$T$7:$T$106,0)),"TANIMSIZ MÜŞTERİ"))))</f>
        <v/>
      </c>
      <c r="E253" s="109" t="n"/>
      <c r="F253" s="109" t="n"/>
      <c r="G253" s="108" t="n"/>
      <c r="H253" s="220" t="n"/>
      <c r="I253" s="220" t="n"/>
      <c r="J253" s="108" t="n"/>
      <c r="K253" s="108" t="n"/>
      <c r="L253" s="109" t="n"/>
      <c r="M253" s="109" t="n"/>
      <c r="N253" s="109" t="n"/>
      <c r="O253" s="220" t="n"/>
      <c r="P253" s="227">
        <f>IF(OR($E253="",$I253=""),"",IF(OR($J253="Tamamlandı",$J253="İptal"),"",$I253-TODAY()))</f>
        <v/>
      </c>
      <c r="Q253" s="113">
        <f>IF($E253="","",IF($D253="TANIMSIZ MÜŞTERİ","HATA",IF(OR($J253="Tamamlandı",$J253="İptal"),"KAPALI",IF(AND($C253="Görüşme",$N253=""),"SONRAKİ İŞLEM EKSİK",IF($I253="","TARİH EKSİK",IF($I253&lt;TODAY(),"GECİKMİŞ",IF($I253=TODAY(),"BUGÜN",IF($I253&lt;=TODAY()+7,"7 GÜN İÇİNDE","PLANLI"))))))))</f>
        <v/>
      </c>
      <c r="R253" s="6" t="n"/>
      <c r="S253" s="6" t="n"/>
      <c r="T253" s="3" t="n"/>
      <c r="U253" s="3">
        <f>IF($E253="","",UPPER(SUBSTITUTE(SUBSTITUTE(SUBSTITUTE(SUBSTITUTE(SUBSTITUTE(SUBSTITUTE(SUBSTITUTE(SUBSTITUTE(SUBSTITUTE(SUBSTITUTE(SUBSTITUTE(SUBSTITUTE(SUBSTITUTE(SUBSTITUTE(SUBSTITUTE(SUBSTITUTE(SUBSTITUTE(SUBSTITUTE(TRIM($E253),"'",""),"İ","I"),"ı","I"),"i","I"),"Ş","S"),"ş","S"),"Ğ","G"),"ğ","G"),"Ü","U"),"ü","U"),"Ö","O"),"ö","O"),"Ç","C"),"ç","C"),".",""),",","")," ",""),"-","")))</f>
        <v/>
      </c>
    </row>
    <row r="254">
      <c r="A254" s="6" t="n"/>
      <c r="B254" s="113">
        <f>IF($E254="","","A"&amp;TEXT(ROW()-6,"00000"))</f>
        <v/>
      </c>
      <c r="C254" s="108" t="n"/>
      <c r="D254" s="113">
        <f>IF($E254="","",IFERROR(INDEX(MUSTERILER!$B$7:$B$106,MATCH($U254,MUSTERILER!$T$7:$T$106,0)),IFERROR(INDEX(MUSTERILER!$B$7:$B$106,MATCH($E254,MUSTERILER!$B$7:$B$106,0)),IFERROR(INDEX(MUSTERILER!$B$7:$B$106,MATCH($U254&amp;"*",MUSTERILER!$T$7:$T$106,0)),"TANIMSIZ MÜŞTERİ"))))</f>
        <v/>
      </c>
      <c r="E254" s="109" t="n"/>
      <c r="F254" s="109" t="n"/>
      <c r="G254" s="108" t="n"/>
      <c r="H254" s="220" t="n"/>
      <c r="I254" s="220" t="n"/>
      <c r="J254" s="108" t="n"/>
      <c r="K254" s="108" t="n"/>
      <c r="L254" s="109" t="n"/>
      <c r="M254" s="109" t="n"/>
      <c r="N254" s="109" t="n"/>
      <c r="O254" s="220" t="n"/>
      <c r="P254" s="227">
        <f>IF(OR($E254="",$I254=""),"",IF(OR($J254="Tamamlandı",$J254="İptal"),"",$I254-TODAY()))</f>
        <v/>
      </c>
      <c r="Q254" s="113">
        <f>IF($E254="","",IF($D254="TANIMSIZ MÜŞTERİ","HATA",IF(OR($J254="Tamamlandı",$J254="İptal"),"KAPALI",IF(AND($C254="Görüşme",$N254=""),"SONRAKİ İŞLEM EKSİK",IF($I254="","TARİH EKSİK",IF($I254&lt;TODAY(),"GECİKMİŞ",IF($I254=TODAY(),"BUGÜN",IF($I254&lt;=TODAY()+7,"7 GÜN İÇİNDE","PLANLI"))))))))</f>
        <v/>
      </c>
      <c r="R254" s="6" t="n"/>
      <c r="S254" s="6" t="n"/>
      <c r="T254" s="3" t="n"/>
      <c r="U254" s="3">
        <f>IF($E254="","",UPPER(SUBSTITUTE(SUBSTITUTE(SUBSTITUTE(SUBSTITUTE(SUBSTITUTE(SUBSTITUTE(SUBSTITUTE(SUBSTITUTE(SUBSTITUTE(SUBSTITUTE(SUBSTITUTE(SUBSTITUTE(SUBSTITUTE(SUBSTITUTE(SUBSTITUTE(SUBSTITUTE(SUBSTITUTE(SUBSTITUTE(TRIM($E254),"'",""),"İ","I"),"ı","I"),"i","I"),"Ş","S"),"ş","S"),"Ğ","G"),"ğ","G"),"Ü","U"),"ü","U"),"Ö","O"),"ö","O"),"Ç","C"),"ç","C"),".",""),",","")," ",""),"-","")))</f>
        <v/>
      </c>
    </row>
    <row r="255">
      <c r="A255" s="6" t="n"/>
      <c r="B255" s="113">
        <f>IF($E255="","","A"&amp;TEXT(ROW()-6,"00000"))</f>
        <v/>
      </c>
      <c r="C255" s="108" t="n"/>
      <c r="D255" s="113">
        <f>IF($E255="","",IFERROR(INDEX(MUSTERILER!$B$7:$B$106,MATCH($U255,MUSTERILER!$T$7:$T$106,0)),IFERROR(INDEX(MUSTERILER!$B$7:$B$106,MATCH($E255,MUSTERILER!$B$7:$B$106,0)),IFERROR(INDEX(MUSTERILER!$B$7:$B$106,MATCH($U255&amp;"*",MUSTERILER!$T$7:$T$106,0)),"TANIMSIZ MÜŞTERİ"))))</f>
        <v/>
      </c>
      <c r="E255" s="109" t="n"/>
      <c r="F255" s="109" t="n"/>
      <c r="G255" s="108" t="n"/>
      <c r="H255" s="220" t="n"/>
      <c r="I255" s="220" t="n"/>
      <c r="J255" s="108" t="n"/>
      <c r="K255" s="108" t="n"/>
      <c r="L255" s="109" t="n"/>
      <c r="M255" s="109" t="n"/>
      <c r="N255" s="109" t="n"/>
      <c r="O255" s="220" t="n"/>
      <c r="P255" s="227">
        <f>IF(OR($E255="",$I255=""),"",IF(OR($J255="Tamamlandı",$J255="İptal"),"",$I255-TODAY()))</f>
        <v/>
      </c>
      <c r="Q255" s="113">
        <f>IF($E255="","",IF($D255="TANIMSIZ MÜŞTERİ","HATA",IF(OR($J255="Tamamlandı",$J255="İptal"),"KAPALI",IF(AND($C255="Görüşme",$N255=""),"SONRAKİ İŞLEM EKSİK",IF($I255="","TARİH EKSİK",IF($I255&lt;TODAY(),"GECİKMİŞ",IF($I255=TODAY(),"BUGÜN",IF($I255&lt;=TODAY()+7,"7 GÜN İÇİNDE","PLANLI"))))))))</f>
        <v/>
      </c>
      <c r="R255" s="6" t="n"/>
      <c r="S255" s="6" t="n"/>
      <c r="T255" s="3" t="n"/>
      <c r="U255" s="3">
        <f>IF($E255="","",UPPER(SUBSTITUTE(SUBSTITUTE(SUBSTITUTE(SUBSTITUTE(SUBSTITUTE(SUBSTITUTE(SUBSTITUTE(SUBSTITUTE(SUBSTITUTE(SUBSTITUTE(SUBSTITUTE(SUBSTITUTE(SUBSTITUTE(SUBSTITUTE(SUBSTITUTE(SUBSTITUTE(SUBSTITUTE(SUBSTITUTE(TRIM($E255),"'",""),"İ","I"),"ı","I"),"i","I"),"Ş","S"),"ş","S"),"Ğ","G"),"ğ","G"),"Ü","U"),"ü","U"),"Ö","O"),"ö","O"),"Ç","C"),"ç","C"),".",""),",","")," ",""),"-","")))</f>
        <v/>
      </c>
    </row>
    <row r="256">
      <c r="A256" s="6" t="n"/>
      <c r="B256" s="113">
        <f>IF($E256="","","A"&amp;TEXT(ROW()-6,"00000"))</f>
        <v/>
      </c>
      <c r="C256" s="108" t="n"/>
      <c r="D256" s="113">
        <f>IF($E256="","",IFERROR(INDEX(MUSTERILER!$B$7:$B$106,MATCH($U256,MUSTERILER!$T$7:$T$106,0)),IFERROR(INDEX(MUSTERILER!$B$7:$B$106,MATCH($E256,MUSTERILER!$B$7:$B$106,0)),IFERROR(INDEX(MUSTERILER!$B$7:$B$106,MATCH($U256&amp;"*",MUSTERILER!$T$7:$T$106,0)),"TANIMSIZ MÜŞTERİ"))))</f>
        <v/>
      </c>
      <c r="E256" s="109" t="n"/>
      <c r="F256" s="109" t="n"/>
      <c r="G256" s="108" t="n"/>
      <c r="H256" s="220" t="n"/>
      <c r="I256" s="220" t="n"/>
      <c r="J256" s="108" t="n"/>
      <c r="K256" s="108" t="n"/>
      <c r="L256" s="109" t="n"/>
      <c r="M256" s="109" t="n"/>
      <c r="N256" s="109" t="n"/>
      <c r="O256" s="220" t="n"/>
      <c r="P256" s="227">
        <f>IF(OR($E256="",$I256=""),"",IF(OR($J256="Tamamlandı",$J256="İptal"),"",$I256-TODAY()))</f>
        <v/>
      </c>
      <c r="Q256" s="113">
        <f>IF($E256="","",IF($D256="TANIMSIZ MÜŞTERİ","HATA",IF(OR($J256="Tamamlandı",$J256="İptal"),"KAPALI",IF(AND($C256="Görüşme",$N256=""),"SONRAKİ İŞLEM EKSİK",IF($I256="","TARİH EKSİK",IF($I256&lt;TODAY(),"GECİKMİŞ",IF($I256=TODAY(),"BUGÜN",IF($I256&lt;=TODAY()+7,"7 GÜN İÇİNDE","PLANLI"))))))))</f>
        <v/>
      </c>
      <c r="R256" s="6" t="n"/>
      <c r="S256" s="6" t="n"/>
      <c r="T256" s="3" t="n"/>
      <c r="U256" s="3">
        <f>IF($E256="","",UPPER(SUBSTITUTE(SUBSTITUTE(SUBSTITUTE(SUBSTITUTE(SUBSTITUTE(SUBSTITUTE(SUBSTITUTE(SUBSTITUTE(SUBSTITUTE(SUBSTITUTE(SUBSTITUTE(SUBSTITUTE(SUBSTITUTE(SUBSTITUTE(SUBSTITUTE(SUBSTITUTE(SUBSTITUTE(SUBSTITUTE(TRIM($E256),"'",""),"İ","I"),"ı","I"),"i","I"),"Ş","S"),"ş","S"),"Ğ","G"),"ğ","G"),"Ü","U"),"ü","U"),"Ö","O"),"ö","O"),"Ç","C"),"ç","C"),".",""),",","")," ",""),"-","")))</f>
        <v/>
      </c>
    </row>
    <row r="257">
      <c r="A257" s="6" t="n"/>
      <c r="B257" s="113">
        <f>IF($E257="","","A"&amp;TEXT(ROW()-6,"00000"))</f>
        <v/>
      </c>
      <c r="C257" s="108" t="n"/>
      <c r="D257" s="113">
        <f>IF($E257="","",IFERROR(INDEX(MUSTERILER!$B$7:$B$106,MATCH($U257,MUSTERILER!$T$7:$T$106,0)),IFERROR(INDEX(MUSTERILER!$B$7:$B$106,MATCH($E257,MUSTERILER!$B$7:$B$106,0)),IFERROR(INDEX(MUSTERILER!$B$7:$B$106,MATCH($U257&amp;"*",MUSTERILER!$T$7:$T$106,0)),"TANIMSIZ MÜŞTERİ"))))</f>
        <v/>
      </c>
      <c r="E257" s="109" t="n"/>
      <c r="F257" s="109" t="n"/>
      <c r="G257" s="108" t="n"/>
      <c r="H257" s="220" t="n"/>
      <c r="I257" s="220" t="n"/>
      <c r="J257" s="108" t="n"/>
      <c r="K257" s="108" t="n"/>
      <c r="L257" s="109" t="n"/>
      <c r="M257" s="109" t="n"/>
      <c r="N257" s="109" t="n"/>
      <c r="O257" s="220" t="n"/>
      <c r="P257" s="227">
        <f>IF(OR($E257="",$I257=""),"",IF(OR($J257="Tamamlandı",$J257="İptal"),"",$I257-TODAY()))</f>
        <v/>
      </c>
      <c r="Q257" s="113">
        <f>IF($E257="","",IF($D257="TANIMSIZ MÜŞTERİ","HATA",IF(OR($J257="Tamamlandı",$J257="İptal"),"KAPALI",IF(AND($C257="Görüşme",$N257=""),"SONRAKİ İŞLEM EKSİK",IF($I257="","TARİH EKSİK",IF($I257&lt;TODAY(),"GECİKMİŞ",IF($I257=TODAY(),"BUGÜN",IF($I257&lt;=TODAY()+7,"7 GÜN İÇİNDE","PLANLI"))))))))</f>
        <v/>
      </c>
      <c r="R257" s="6" t="n"/>
      <c r="S257" s="6" t="n"/>
      <c r="T257" s="3" t="n"/>
      <c r="U257" s="3">
        <f>IF($E257="","",UPPER(SUBSTITUTE(SUBSTITUTE(SUBSTITUTE(SUBSTITUTE(SUBSTITUTE(SUBSTITUTE(SUBSTITUTE(SUBSTITUTE(SUBSTITUTE(SUBSTITUTE(SUBSTITUTE(SUBSTITUTE(SUBSTITUTE(SUBSTITUTE(SUBSTITUTE(SUBSTITUTE(SUBSTITUTE(SUBSTITUTE(TRIM($E257),"'",""),"İ","I"),"ı","I"),"i","I"),"Ş","S"),"ş","S"),"Ğ","G"),"ğ","G"),"Ü","U"),"ü","U"),"Ö","O"),"ö","O"),"Ç","C"),"ç","C"),".",""),",","")," ",""),"-","")))</f>
        <v/>
      </c>
    </row>
    <row r="258">
      <c r="A258" s="6" t="n"/>
      <c r="B258" s="113">
        <f>IF($E258="","","A"&amp;TEXT(ROW()-6,"00000"))</f>
        <v/>
      </c>
      <c r="C258" s="108" t="n"/>
      <c r="D258" s="113">
        <f>IF($E258="","",IFERROR(INDEX(MUSTERILER!$B$7:$B$106,MATCH($U258,MUSTERILER!$T$7:$T$106,0)),IFERROR(INDEX(MUSTERILER!$B$7:$B$106,MATCH($E258,MUSTERILER!$B$7:$B$106,0)),IFERROR(INDEX(MUSTERILER!$B$7:$B$106,MATCH($U258&amp;"*",MUSTERILER!$T$7:$T$106,0)),"TANIMSIZ MÜŞTERİ"))))</f>
        <v/>
      </c>
      <c r="E258" s="109" t="n"/>
      <c r="F258" s="109" t="n"/>
      <c r="G258" s="108" t="n"/>
      <c r="H258" s="220" t="n"/>
      <c r="I258" s="220" t="n"/>
      <c r="J258" s="108" t="n"/>
      <c r="K258" s="108" t="n"/>
      <c r="L258" s="109" t="n"/>
      <c r="M258" s="109" t="n"/>
      <c r="N258" s="109" t="n"/>
      <c r="O258" s="220" t="n"/>
      <c r="P258" s="227">
        <f>IF(OR($E258="",$I258=""),"",IF(OR($J258="Tamamlandı",$J258="İptal"),"",$I258-TODAY()))</f>
        <v/>
      </c>
      <c r="Q258" s="113">
        <f>IF($E258="","",IF($D258="TANIMSIZ MÜŞTERİ","HATA",IF(OR($J258="Tamamlandı",$J258="İptal"),"KAPALI",IF(AND($C258="Görüşme",$N258=""),"SONRAKİ İŞLEM EKSİK",IF($I258="","TARİH EKSİK",IF($I258&lt;TODAY(),"GECİKMİŞ",IF($I258=TODAY(),"BUGÜN",IF($I258&lt;=TODAY()+7,"7 GÜN İÇİNDE","PLANLI"))))))))</f>
        <v/>
      </c>
      <c r="R258" s="6" t="n"/>
      <c r="S258" s="6" t="n"/>
      <c r="T258" s="3" t="n"/>
      <c r="U258" s="3">
        <f>IF($E258="","",UPPER(SUBSTITUTE(SUBSTITUTE(SUBSTITUTE(SUBSTITUTE(SUBSTITUTE(SUBSTITUTE(SUBSTITUTE(SUBSTITUTE(SUBSTITUTE(SUBSTITUTE(SUBSTITUTE(SUBSTITUTE(SUBSTITUTE(SUBSTITUTE(SUBSTITUTE(SUBSTITUTE(SUBSTITUTE(SUBSTITUTE(TRIM($E258),"'",""),"İ","I"),"ı","I"),"i","I"),"Ş","S"),"ş","S"),"Ğ","G"),"ğ","G"),"Ü","U"),"ü","U"),"Ö","O"),"ö","O"),"Ç","C"),"ç","C"),".",""),",","")," ",""),"-","")))</f>
        <v/>
      </c>
    </row>
    <row r="259">
      <c r="A259" s="6" t="n"/>
      <c r="B259" s="113">
        <f>IF($E259="","","A"&amp;TEXT(ROW()-6,"00000"))</f>
        <v/>
      </c>
      <c r="C259" s="108" t="n"/>
      <c r="D259" s="113">
        <f>IF($E259="","",IFERROR(INDEX(MUSTERILER!$B$7:$B$106,MATCH($U259,MUSTERILER!$T$7:$T$106,0)),IFERROR(INDEX(MUSTERILER!$B$7:$B$106,MATCH($E259,MUSTERILER!$B$7:$B$106,0)),IFERROR(INDEX(MUSTERILER!$B$7:$B$106,MATCH($U259&amp;"*",MUSTERILER!$T$7:$T$106,0)),"TANIMSIZ MÜŞTERİ"))))</f>
        <v/>
      </c>
      <c r="E259" s="109" t="n"/>
      <c r="F259" s="109" t="n"/>
      <c r="G259" s="108" t="n"/>
      <c r="H259" s="220" t="n"/>
      <c r="I259" s="220" t="n"/>
      <c r="J259" s="108" t="n"/>
      <c r="K259" s="108" t="n"/>
      <c r="L259" s="109" t="n"/>
      <c r="M259" s="109" t="n"/>
      <c r="N259" s="109" t="n"/>
      <c r="O259" s="220" t="n"/>
      <c r="P259" s="227">
        <f>IF(OR($E259="",$I259=""),"",IF(OR($J259="Tamamlandı",$J259="İptal"),"",$I259-TODAY()))</f>
        <v/>
      </c>
      <c r="Q259" s="113">
        <f>IF($E259="","",IF($D259="TANIMSIZ MÜŞTERİ","HATA",IF(OR($J259="Tamamlandı",$J259="İptal"),"KAPALI",IF(AND($C259="Görüşme",$N259=""),"SONRAKİ İŞLEM EKSİK",IF($I259="","TARİH EKSİK",IF($I259&lt;TODAY(),"GECİKMİŞ",IF($I259=TODAY(),"BUGÜN",IF($I259&lt;=TODAY()+7,"7 GÜN İÇİNDE","PLANLI"))))))))</f>
        <v/>
      </c>
      <c r="R259" s="6" t="n"/>
      <c r="S259" s="6" t="n"/>
      <c r="T259" s="3" t="n"/>
      <c r="U259" s="3">
        <f>IF($E259="","",UPPER(SUBSTITUTE(SUBSTITUTE(SUBSTITUTE(SUBSTITUTE(SUBSTITUTE(SUBSTITUTE(SUBSTITUTE(SUBSTITUTE(SUBSTITUTE(SUBSTITUTE(SUBSTITUTE(SUBSTITUTE(SUBSTITUTE(SUBSTITUTE(SUBSTITUTE(SUBSTITUTE(SUBSTITUTE(SUBSTITUTE(TRIM($E259),"'",""),"İ","I"),"ı","I"),"i","I"),"Ş","S"),"ş","S"),"Ğ","G"),"ğ","G"),"Ü","U"),"ü","U"),"Ö","O"),"ö","O"),"Ç","C"),"ç","C"),".",""),",","")," ",""),"-","")))</f>
        <v/>
      </c>
    </row>
    <row r="260">
      <c r="A260" s="6" t="n"/>
      <c r="B260" s="113">
        <f>IF($E260="","","A"&amp;TEXT(ROW()-6,"00000"))</f>
        <v/>
      </c>
      <c r="C260" s="108" t="n"/>
      <c r="D260" s="113">
        <f>IF($E260="","",IFERROR(INDEX(MUSTERILER!$B$7:$B$106,MATCH($U260,MUSTERILER!$T$7:$T$106,0)),IFERROR(INDEX(MUSTERILER!$B$7:$B$106,MATCH($E260,MUSTERILER!$B$7:$B$106,0)),IFERROR(INDEX(MUSTERILER!$B$7:$B$106,MATCH($U260&amp;"*",MUSTERILER!$T$7:$T$106,0)),"TANIMSIZ MÜŞTERİ"))))</f>
        <v/>
      </c>
      <c r="E260" s="109" t="n"/>
      <c r="F260" s="109" t="n"/>
      <c r="G260" s="108" t="n"/>
      <c r="H260" s="220" t="n"/>
      <c r="I260" s="220" t="n"/>
      <c r="J260" s="108" t="n"/>
      <c r="K260" s="108" t="n"/>
      <c r="L260" s="109" t="n"/>
      <c r="M260" s="109" t="n"/>
      <c r="N260" s="109" t="n"/>
      <c r="O260" s="220" t="n"/>
      <c r="P260" s="227">
        <f>IF(OR($E260="",$I260=""),"",IF(OR($J260="Tamamlandı",$J260="İptal"),"",$I260-TODAY()))</f>
        <v/>
      </c>
      <c r="Q260" s="113">
        <f>IF($E260="","",IF($D260="TANIMSIZ MÜŞTERİ","HATA",IF(OR($J260="Tamamlandı",$J260="İptal"),"KAPALI",IF(AND($C260="Görüşme",$N260=""),"SONRAKİ İŞLEM EKSİK",IF($I260="","TARİH EKSİK",IF($I260&lt;TODAY(),"GECİKMİŞ",IF($I260=TODAY(),"BUGÜN",IF($I260&lt;=TODAY()+7,"7 GÜN İÇİNDE","PLANLI"))))))))</f>
        <v/>
      </c>
      <c r="R260" s="6" t="n"/>
      <c r="S260" s="6" t="n"/>
      <c r="T260" s="3" t="n"/>
      <c r="U260" s="3">
        <f>IF($E260="","",UPPER(SUBSTITUTE(SUBSTITUTE(SUBSTITUTE(SUBSTITUTE(SUBSTITUTE(SUBSTITUTE(SUBSTITUTE(SUBSTITUTE(SUBSTITUTE(SUBSTITUTE(SUBSTITUTE(SUBSTITUTE(SUBSTITUTE(SUBSTITUTE(SUBSTITUTE(SUBSTITUTE(SUBSTITUTE(SUBSTITUTE(TRIM($E260),"'",""),"İ","I"),"ı","I"),"i","I"),"Ş","S"),"ş","S"),"Ğ","G"),"ğ","G"),"Ü","U"),"ü","U"),"Ö","O"),"ö","O"),"Ç","C"),"ç","C"),".",""),",","")," ",""),"-","")))</f>
        <v/>
      </c>
    </row>
    <row r="261">
      <c r="A261" s="6" t="n"/>
      <c r="B261" s="113">
        <f>IF($E261="","","A"&amp;TEXT(ROW()-6,"00000"))</f>
        <v/>
      </c>
      <c r="C261" s="108" t="n"/>
      <c r="D261" s="113">
        <f>IF($E261="","",IFERROR(INDEX(MUSTERILER!$B$7:$B$106,MATCH($U261,MUSTERILER!$T$7:$T$106,0)),IFERROR(INDEX(MUSTERILER!$B$7:$B$106,MATCH($E261,MUSTERILER!$B$7:$B$106,0)),IFERROR(INDEX(MUSTERILER!$B$7:$B$106,MATCH($U261&amp;"*",MUSTERILER!$T$7:$T$106,0)),"TANIMSIZ MÜŞTERİ"))))</f>
        <v/>
      </c>
      <c r="E261" s="109" t="n"/>
      <c r="F261" s="109" t="n"/>
      <c r="G261" s="108" t="n"/>
      <c r="H261" s="220" t="n"/>
      <c r="I261" s="220" t="n"/>
      <c r="J261" s="108" t="n"/>
      <c r="K261" s="108" t="n"/>
      <c r="L261" s="109" t="n"/>
      <c r="M261" s="109" t="n"/>
      <c r="N261" s="109" t="n"/>
      <c r="O261" s="220" t="n"/>
      <c r="P261" s="227">
        <f>IF(OR($E261="",$I261=""),"",IF(OR($J261="Tamamlandı",$J261="İptal"),"",$I261-TODAY()))</f>
        <v/>
      </c>
      <c r="Q261" s="113">
        <f>IF($E261="","",IF($D261="TANIMSIZ MÜŞTERİ","HATA",IF(OR($J261="Tamamlandı",$J261="İptal"),"KAPALI",IF(AND($C261="Görüşme",$N261=""),"SONRAKİ İŞLEM EKSİK",IF($I261="","TARİH EKSİK",IF($I261&lt;TODAY(),"GECİKMİŞ",IF($I261=TODAY(),"BUGÜN",IF($I261&lt;=TODAY()+7,"7 GÜN İÇİNDE","PLANLI"))))))))</f>
        <v/>
      </c>
      <c r="R261" s="6" t="n"/>
      <c r="S261" s="6" t="n"/>
      <c r="T261" s="3" t="n"/>
      <c r="U261" s="3">
        <f>IF($E261="","",UPPER(SUBSTITUTE(SUBSTITUTE(SUBSTITUTE(SUBSTITUTE(SUBSTITUTE(SUBSTITUTE(SUBSTITUTE(SUBSTITUTE(SUBSTITUTE(SUBSTITUTE(SUBSTITUTE(SUBSTITUTE(SUBSTITUTE(SUBSTITUTE(SUBSTITUTE(SUBSTITUTE(SUBSTITUTE(SUBSTITUTE(TRIM($E261),"'",""),"İ","I"),"ı","I"),"i","I"),"Ş","S"),"ş","S"),"Ğ","G"),"ğ","G"),"Ü","U"),"ü","U"),"Ö","O"),"ö","O"),"Ç","C"),"ç","C"),".",""),",","")," ",""),"-","")))</f>
        <v/>
      </c>
    </row>
    <row r="262">
      <c r="A262" s="6" t="n"/>
      <c r="B262" s="113">
        <f>IF($E262="","","A"&amp;TEXT(ROW()-6,"00000"))</f>
        <v/>
      </c>
      <c r="C262" s="108" t="n"/>
      <c r="D262" s="113">
        <f>IF($E262="","",IFERROR(INDEX(MUSTERILER!$B$7:$B$106,MATCH($U262,MUSTERILER!$T$7:$T$106,0)),IFERROR(INDEX(MUSTERILER!$B$7:$B$106,MATCH($E262,MUSTERILER!$B$7:$B$106,0)),IFERROR(INDEX(MUSTERILER!$B$7:$B$106,MATCH($U262&amp;"*",MUSTERILER!$T$7:$T$106,0)),"TANIMSIZ MÜŞTERİ"))))</f>
        <v/>
      </c>
      <c r="E262" s="109" t="n"/>
      <c r="F262" s="109" t="n"/>
      <c r="G262" s="108" t="n"/>
      <c r="H262" s="220" t="n"/>
      <c r="I262" s="220" t="n"/>
      <c r="J262" s="108" t="n"/>
      <c r="K262" s="108" t="n"/>
      <c r="L262" s="109" t="n"/>
      <c r="M262" s="109" t="n"/>
      <c r="N262" s="109" t="n"/>
      <c r="O262" s="220" t="n"/>
      <c r="P262" s="227">
        <f>IF(OR($E262="",$I262=""),"",IF(OR($J262="Tamamlandı",$J262="İptal"),"",$I262-TODAY()))</f>
        <v/>
      </c>
      <c r="Q262" s="113">
        <f>IF($E262="","",IF($D262="TANIMSIZ MÜŞTERİ","HATA",IF(OR($J262="Tamamlandı",$J262="İptal"),"KAPALI",IF(AND($C262="Görüşme",$N262=""),"SONRAKİ İŞLEM EKSİK",IF($I262="","TARİH EKSİK",IF($I262&lt;TODAY(),"GECİKMİŞ",IF($I262=TODAY(),"BUGÜN",IF($I262&lt;=TODAY()+7,"7 GÜN İÇİNDE","PLANLI"))))))))</f>
        <v/>
      </c>
      <c r="R262" s="6" t="n"/>
      <c r="S262" s="6" t="n"/>
      <c r="T262" s="3" t="n"/>
      <c r="U262" s="3">
        <f>IF($E262="","",UPPER(SUBSTITUTE(SUBSTITUTE(SUBSTITUTE(SUBSTITUTE(SUBSTITUTE(SUBSTITUTE(SUBSTITUTE(SUBSTITUTE(SUBSTITUTE(SUBSTITUTE(SUBSTITUTE(SUBSTITUTE(SUBSTITUTE(SUBSTITUTE(SUBSTITUTE(SUBSTITUTE(SUBSTITUTE(SUBSTITUTE(TRIM($E262),"'",""),"İ","I"),"ı","I"),"i","I"),"Ş","S"),"ş","S"),"Ğ","G"),"ğ","G"),"Ü","U"),"ü","U"),"Ö","O"),"ö","O"),"Ç","C"),"ç","C"),".",""),",","")," ",""),"-","")))</f>
        <v/>
      </c>
    </row>
    <row r="263">
      <c r="A263" s="6" t="n"/>
      <c r="B263" s="113">
        <f>IF($E263="","","A"&amp;TEXT(ROW()-6,"00000"))</f>
        <v/>
      </c>
      <c r="C263" s="108" t="n"/>
      <c r="D263" s="113">
        <f>IF($E263="","",IFERROR(INDEX(MUSTERILER!$B$7:$B$106,MATCH($U263,MUSTERILER!$T$7:$T$106,0)),IFERROR(INDEX(MUSTERILER!$B$7:$B$106,MATCH($E263,MUSTERILER!$B$7:$B$106,0)),IFERROR(INDEX(MUSTERILER!$B$7:$B$106,MATCH($U263&amp;"*",MUSTERILER!$T$7:$T$106,0)),"TANIMSIZ MÜŞTERİ"))))</f>
        <v/>
      </c>
      <c r="E263" s="109" t="n"/>
      <c r="F263" s="109" t="n"/>
      <c r="G263" s="108" t="n"/>
      <c r="H263" s="220" t="n"/>
      <c r="I263" s="220" t="n"/>
      <c r="J263" s="108" t="n"/>
      <c r="K263" s="108" t="n"/>
      <c r="L263" s="109" t="n"/>
      <c r="M263" s="109" t="n"/>
      <c r="N263" s="109" t="n"/>
      <c r="O263" s="220" t="n"/>
      <c r="P263" s="227">
        <f>IF(OR($E263="",$I263=""),"",IF(OR($J263="Tamamlandı",$J263="İptal"),"",$I263-TODAY()))</f>
        <v/>
      </c>
      <c r="Q263" s="113">
        <f>IF($E263="","",IF($D263="TANIMSIZ MÜŞTERİ","HATA",IF(OR($J263="Tamamlandı",$J263="İptal"),"KAPALI",IF(AND($C263="Görüşme",$N263=""),"SONRAKİ İŞLEM EKSİK",IF($I263="","TARİH EKSİK",IF($I263&lt;TODAY(),"GECİKMİŞ",IF($I263=TODAY(),"BUGÜN",IF($I263&lt;=TODAY()+7,"7 GÜN İÇİNDE","PLANLI"))))))))</f>
        <v/>
      </c>
      <c r="R263" s="6" t="n"/>
      <c r="S263" s="6" t="n"/>
      <c r="T263" s="3" t="n"/>
      <c r="U263" s="3">
        <f>IF($E263="","",UPPER(SUBSTITUTE(SUBSTITUTE(SUBSTITUTE(SUBSTITUTE(SUBSTITUTE(SUBSTITUTE(SUBSTITUTE(SUBSTITUTE(SUBSTITUTE(SUBSTITUTE(SUBSTITUTE(SUBSTITUTE(SUBSTITUTE(SUBSTITUTE(SUBSTITUTE(SUBSTITUTE(SUBSTITUTE(SUBSTITUTE(TRIM($E263),"'",""),"İ","I"),"ı","I"),"i","I"),"Ş","S"),"ş","S"),"Ğ","G"),"ğ","G"),"Ü","U"),"ü","U"),"Ö","O"),"ö","O"),"Ç","C"),"ç","C"),".",""),",","")," ",""),"-","")))</f>
        <v/>
      </c>
    </row>
    <row r="264">
      <c r="A264" s="6" t="n"/>
      <c r="B264" s="113">
        <f>IF($E264="","","A"&amp;TEXT(ROW()-6,"00000"))</f>
        <v/>
      </c>
      <c r="C264" s="108" t="n"/>
      <c r="D264" s="113">
        <f>IF($E264="","",IFERROR(INDEX(MUSTERILER!$B$7:$B$106,MATCH($U264,MUSTERILER!$T$7:$T$106,0)),IFERROR(INDEX(MUSTERILER!$B$7:$B$106,MATCH($E264,MUSTERILER!$B$7:$B$106,0)),IFERROR(INDEX(MUSTERILER!$B$7:$B$106,MATCH($U264&amp;"*",MUSTERILER!$T$7:$T$106,0)),"TANIMSIZ MÜŞTERİ"))))</f>
        <v/>
      </c>
      <c r="E264" s="109" t="n"/>
      <c r="F264" s="109" t="n"/>
      <c r="G264" s="108" t="n"/>
      <c r="H264" s="220" t="n"/>
      <c r="I264" s="220" t="n"/>
      <c r="J264" s="108" t="n"/>
      <c r="K264" s="108" t="n"/>
      <c r="L264" s="109" t="n"/>
      <c r="M264" s="109" t="n"/>
      <c r="N264" s="109" t="n"/>
      <c r="O264" s="220" t="n"/>
      <c r="P264" s="227">
        <f>IF(OR($E264="",$I264=""),"",IF(OR($J264="Tamamlandı",$J264="İptal"),"",$I264-TODAY()))</f>
        <v/>
      </c>
      <c r="Q264" s="113">
        <f>IF($E264="","",IF($D264="TANIMSIZ MÜŞTERİ","HATA",IF(OR($J264="Tamamlandı",$J264="İptal"),"KAPALI",IF(AND($C264="Görüşme",$N264=""),"SONRAKİ İŞLEM EKSİK",IF($I264="","TARİH EKSİK",IF($I264&lt;TODAY(),"GECİKMİŞ",IF($I264=TODAY(),"BUGÜN",IF($I264&lt;=TODAY()+7,"7 GÜN İÇİNDE","PLANLI"))))))))</f>
        <v/>
      </c>
      <c r="R264" s="6" t="n"/>
      <c r="S264" s="6" t="n"/>
      <c r="T264" s="3" t="n"/>
      <c r="U264" s="3">
        <f>IF($E264="","",UPPER(SUBSTITUTE(SUBSTITUTE(SUBSTITUTE(SUBSTITUTE(SUBSTITUTE(SUBSTITUTE(SUBSTITUTE(SUBSTITUTE(SUBSTITUTE(SUBSTITUTE(SUBSTITUTE(SUBSTITUTE(SUBSTITUTE(SUBSTITUTE(SUBSTITUTE(SUBSTITUTE(SUBSTITUTE(SUBSTITUTE(TRIM($E264),"'",""),"İ","I"),"ı","I"),"i","I"),"Ş","S"),"ş","S"),"Ğ","G"),"ğ","G"),"Ü","U"),"ü","U"),"Ö","O"),"ö","O"),"Ç","C"),"ç","C"),".",""),",","")," ",""),"-","")))</f>
        <v/>
      </c>
    </row>
    <row r="265">
      <c r="A265" s="6" t="n"/>
      <c r="B265" s="113">
        <f>IF($E265="","","A"&amp;TEXT(ROW()-6,"00000"))</f>
        <v/>
      </c>
      <c r="C265" s="108" t="n"/>
      <c r="D265" s="113">
        <f>IF($E265="","",IFERROR(INDEX(MUSTERILER!$B$7:$B$106,MATCH($U265,MUSTERILER!$T$7:$T$106,0)),IFERROR(INDEX(MUSTERILER!$B$7:$B$106,MATCH($E265,MUSTERILER!$B$7:$B$106,0)),IFERROR(INDEX(MUSTERILER!$B$7:$B$106,MATCH($U265&amp;"*",MUSTERILER!$T$7:$T$106,0)),"TANIMSIZ MÜŞTERİ"))))</f>
        <v/>
      </c>
      <c r="E265" s="109" t="n"/>
      <c r="F265" s="109" t="n"/>
      <c r="G265" s="108" t="n"/>
      <c r="H265" s="220" t="n"/>
      <c r="I265" s="220" t="n"/>
      <c r="J265" s="108" t="n"/>
      <c r="K265" s="108" t="n"/>
      <c r="L265" s="109" t="n"/>
      <c r="M265" s="109" t="n"/>
      <c r="N265" s="109" t="n"/>
      <c r="O265" s="220" t="n"/>
      <c r="P265" s="227">
        <f>IF(OR($E265="",$I265=""),"",IF(OR($J265="Tamamlandı",$J265="İptal"),"",$I265-TODAY()))</f>
        <v/>
      </c>
      <c r="Q265" s="113">
        <f>IF($E265="","",IF($D265="TANIMSIZ MÜŞTERİ","HATA",IF(OR($J265="Tamamlandı",$J265="İptal"),"KAPALI",IF(AND($C265="Görüşme",$N265=""),"SONRAKİ İŞLEM EKSİK",IF($I265="","TARİH EKSİK",IF($I265&lt;TODAY(),"GECİKMİŞ",IF($I265=TODAY(),"BUGÜN",IF($I265&lt;=TODAY()+7,"7 GÜN İÇİNDE","PLANLI"))))))))</f>
        <v/>
      </c>
      <c r="R265" s="6" t="n"/>
      <c r="S265" s="6" t="n"/>
      <c r="T265" s="3" t="n"/>
      <c r="U265" s="3">
        <f>IF($E265="","",UPPER(SUBSTITUTE(SUBSTITUTE(SUBSTITUTE(SUBSTITUTE(SUBSTITUTE(SUBSTITUTE(SUBSTITUTE(SUBSTITUTE(SUBSTITUTE(SUBSTITUTE(SUBSTITUTE(SUBSTITUTE(SUBSTITUTE(SUBSTITUTE(SUBSTITUTE(SUBSTITUTE(SUBSTITUTE(SUBSTITUTE(TRIM($E265),"'",""),"İ","I"),"ı","I"),"i","I"),"Ş","S"),"ş","S"),"Ğ","G"),"ğ","G"),"Ü","U"),"ü","U"),"Ö","O"),"ö","O"),"Ç","C"),"ç","C"),".",""),",","")," ",""),"-","")))</f>
        <v/>
      </c>
    </row>
    <row r="266">
      <c r="A266" s="6" t="n"/>
      <c r="B266" s="113">
        <f>IF($E266="","","A"&amp;TEXT(ROW()-6,"00000"))</f>
        <v/>
      </c>
      <c r="C266" s="108" t="n"/>
      <c r="D266" s="113">
        <f>IF($E266="","",IFERROR(INDEX(MUSTERILER!$B$7:$B$106,MATCH($U266,MUSTERILER!$T$7:$T$106,0)),IFERROR(INDEX(MUSTERILER!$B$7:$B$106,MATCH($E266,MUSTERILER!$B$7:$B$106,0)),IFERROR(INDEX(MUSTERILER!$B$7:$B$106,MATCH($U266&amp;"*",MUSTERILER!$T$7:$T$106,0)),"TANIMSIZ MÜŞTERİ"))))</f>
        <v/>
      </c>
      <c r="E266" s="109" t="n"/>
      <c r="F266" s="109" t="n"/>
      <c r="G266" s="108" t="n"/>
      <c r="H266" s="220" t="n"/>
      <c r="I266" s="220" t="n"/>
      <c r="J266" s="108" t="n"/>
      <c r="K266" s="108" t="n"/>
      <c r="L266" s="109" t="n"/>
      <c r="M266" s="109" t="n"/>
      <c r="N266" s="109" t="n"/>
      <c r="O266" s="220" t="n"/>
      <c r="P266" s="227">
        <f>IF(OR($E266="",$I266=""),"",IF(OR($J266="Tamamlandı",$J266="İptal"),"",$I266-TODAY()))</f>
        <v/>
      </c>
      <c r="Q266" s="113">
        <f>IF($E266="","",IF($D266="TANIMSIZ MÜŞTERİ","HATA",IF(OR($J266="Tamamlandı",$J266="İptal"),"KAPALI",IF(AND($C266="Görüşme",$N266=""),"SONRAKİ İŞLEM EKSİK",IF($I266="","TARİH EKSİK",IF($I266&lt;TODAY(),"GECİKMİŞ",IF($I266=TODAY(),"BUGÜN",IF($I266&lt;=TODAY()+7,"7 GÜN İÇİNDE","PLANLI"))))))))</f>
        <v/>
      </c>
      <c r="R266" s="6" t="n"/>
      <c r="S266" s="6" t="n"/>
      <c r="T266" s="3" t="n"/>
      <c r="U266" s="3">
        <f>IF($E266="","",UPPER(SUBSTITUTE(SUBSTITUTE(SUBSTITUTE(SUBSTITUTE(SUBSTITUTE(SUBSTITUTE(SUBSTITUTE(SUBSTITUTE(SUBSTITUTE(SUBSTITUTE(SUBSTITUTE(SUBSTITUTE(SUBSTITUTE(SUBSTITUTE(SUBSTITUTE(SUBSTITUTE(SUBSTITUTE(SUBSTITUTE(TRIM($E266),"'",""),"İ","I"),"ı","I"),"i","I"),"Ş","S"),"ş","S"),"Ğ","G"),"ğ","G"),"Ü","U"),"ü","U"),"Ö","O"),"ö","O"),"Ç","C"),"ç","C"),".",""),",","")," ",""),"-","")))</f>
        <v/>
      </c>
    </row>
    <row r="267">
      <c r="A267" s="6" t="n"/>
      <c r="B267" s="113">
        <f>IF($E267="","","A"&amp;TEXT(ROW()-6,"00000"))</f>
        <v/>
      </c>
      <c r="C267" s="108" t="n"/>
      <c r="D267" s="113">
        <f>IF($E267="","",IFERROR(INDEX(MUSTERILER!$B$7:$B$106,MATCH($U267,MUSTERILER!$T$7:$T$106,0)),IFERROR(INDEX(MUSTERILER!$B$7:$B$106,MATCH($E267,MUSTERILER!$B$7:$B$106,0)),IFERROR(INDEX(MUSTERILER!$B$7:$B$106,MATCH($U267&amp;"*",MUSTERILER!$T$7:$T$106,0)),"TANIMSIZ MÜŞTERİ"))))</f>
        <v/>
      </c>
      <c r="E267" s="109" t="n"/>
      <c r="F267" s="109" t="n"/>
      <c r="G267" s="108" t="n"/>
      <c r="H267" s="220" t="n"/>
      <c r="I267" s="220" t="n"/>
      <c r="J267" s="108" t="n"/>
      <c r="K267" s="108" t="n"/>
      <c r="L267" s="109" t="n"/>
      <c r="M267" s="109" t="n"/>
      <c r="N267" s="109" t="n"/>
      <c r="O267" s="220" t="n"/>
      <c r="P267" s="227">
        <f>IF(OR($E267="",$I267=""),"",IF(OR($J267="Tamamlandı",$J267="İptal"),"",$I267-TODAY()))</f>
        <v/>
      </c>
      <c r="Q267" s="113">
        <f>IF($E267="","",IF($D267="TANIMSIZ MÜŞTERİ","HATA",IF(OR($J267="Tamamlandı",$J267="İptal"),"KAPALI",IF(AND($C267="Görüşme",$N267=""),"SONRAKİ İŞLEM EKSİK",IF($I267="","TARİH EKSİK",IF($I267&lt;TODAY(),"GECİKMİŞ",IF($I267=TODAY(),"BUGÜN",IF($I267&lt;=TODAY()+7,"7 GÜN İÇİNDE","PLANLI"))))))))</f>
        <v/>
      </c>
      <c r="R267" s="6" t="n"/>
      <c r="S267" s="6" t="n"/>
      <c r="T267" s="3" t="n"/>
      <c r="U267" s="3">
        <f>IF($E267="","",UPPER(SUBSTITUTE(SUBSTITUTE(SUBSTITUTE(SUBSTITUTE(SUBSTITUTE(SUBSTITUTE(SUBSTITUTE(SUBSTITUTE(SUBSTITUTE(SUBSTITUTE(SUBSTITUTE(SUBSTITUTE(SUBSTITUTE(SUBSTITUTE(SUBSTITUTE(SUBSTITUTE(SUBSTITUTE(SUBSTITUTE(TRIM($E267),"'",""),"İ","I"),"ı","I"),"i","I"),"Ş","S"),"ş","S"),"Ğ","G"),"ğ","G"),"Ü","U"),"ü","U"),"Ö","O"),"ö","O"),"Ç","C"),"ç","C"),".",""),",","")," ",""),"-","")))</f>
        <v/>
      </c>
    </row>
    <row r="268">
      <c r="A268" s="6" t="n"/>
      <c r="B268" s="113">
        <f>IF($E268="","","A"&amp;TEXT(ROW()-6,"00000"))</f>
        <v/>
      </c>
      <c r="C268" s="108" t="n"/>
      <c r="D268" s="113">
        <f>IF($E268="","",IFERROR(INDEX(MUSTERILER!$B$7:$B$106,MATCH($U268,MUSTERILER!$T$7:$T$106,0)),IFERROR(INDEX(MUSTERILER!$B$7:$B$106,MATCH($E268,MUSTERILER!$B$7:$B$106,0)),IFERROR(INDEX(MUSTERILER!$B$7:$B$106,MATCH($U268&amp;"*",MUSTERILER!$T$7:$T$106,0)),"TANIMSIZ MÜŞTERİ"))))</f>
        <v/>
      </c>
      <c r="E268" s="109" t="n"/>
      <c r="F268" s="109" t="n"/>
      <c r="G268" s="108" t="n"/>
      <c r="H268" s="220" t="n"/>
      <c r="I268" s="220" t="n"/>
      <c r="J268" s="108" t="n"/>
      <c r="K268" s="108" t="n"/>
      <c r="L268" s="109" t="n"/>
      <c r="M268" s="109" t="n"/>
      <c r="N268" s="109" t="n"/>
      <c r="O268" s="220" t="n"/>
      <c r="P268" s="227">
        <f>IF(OR($E268="",$I268=""),"",IF(OR($J268="Tamamlandı",$J268="İptal"),"",$I268-TODAY()))</f>
        <v/>
      </c>
      <c r="Q268" s="113">
        <f>IF($E268="","",IF($D268="TANIMSIZ MÜŞTERİ","HATA",IF(OR($J268="Tamamlandı",$J268="İptal"),"KAPALI",IF(AND($C268="Görüşme",$N268=""),"SONRAKİ İŞLEM EKSİK",IF($I268="","TARİH EKSİK",IF($I268&lt;TODAY(),"GECİKMİŞ",IF($I268=TODAY(),"BUGÜN",IF($I268&lt;=TODAY()+7,"7 GÜN İÇİNDE","PLANLI"))))))))</f>
        <v/>
      </c>
      <c r="R268" s="6" t="n"/>
      <c r="S268" s="6" t="n"/>
      <c r="T268" s="3" t="n"/>
      <c r="U268" s="3">
        <f>IF($E268="","",UPPER(SUBSTITUTE(SUBSTITUTE(SUBSTITUTE(SUBSTITUTE(SUBSTITUTE(SUBSTITUTE(SUBSTITUTE(SUBSTITUTE(SUBSTITUTE(SUBSTITUTE(SUBSTITUTE(SUBSTITUTE(SUBSTITUTE(SUBSTITUTE(SUBSTITUTE(SUBSTITUTE(SUBSTITUTE(SUBSTITUTE(TRIM($E268),"'",""),"İ","I"),"ı","I"),"i","I"),"Ş","S"),"ş","S"),"Ğ","G"),"ğ","G"),"Ü","U"),"ü","U"),"Ö","O"),"ö","O"),"Ç","C"),"ç","C"),".",""),",","")," ",""),"-","")))</f>
        <v/>
      </c>
    </row>
    <row r="269">
      <c r="A269" s="6" t="n"/>
      <c r="B269" s="113">
        <f>IF($E269="","","A"&amp;TEXT(ROW()-6,"00000"))</f>
        <v/>
      </c>
      <c r="C269" s="108" t="n"/>
      <c r="D269" s="113">
        <f>IF($E269="","",IFERROR(INDEX(MUSTERILER!$B$7:$B$106,MATCH($U269,MUSTERILER!$T$7:$T$106,0)),IFERROR(INDEX(MUSTERILER!$B$7:$B$106,MATCH($E269,MUSTERILER!$B$7:$B$106,0)),IFERROR(INDEX(MUSTERILER!$B$7:$B$106,MATCH($U269&amp;"*",MUSTERILER!$T$7:$T$106,0)),"TANIMSIZ MÜŞTERİ"))))</f>
        <v/>
      </c>
      <c r="E269" s="109" t="n"/>
      <c r="F269" s="109" t="n"/>
      <c r="G269" s="108" t="n"/>
      <c r="H269" s="220" t="n"/>
      <c r="I269" s="220" t="n"/>
      <c r="J269" s="108" t="n"/>
      <c r="K269" s="108" t="n"/>
      <c r="L269" s="109" t="n"/>
      <c r="M269" s="109" t="n"/>
      <c r="N269" s="109" t="n"/>
      <c r="O269" s="220" t="n"/>
      <c r="P269" s="227">
        <f>IF(OR($E269="",$I269=""),"",IF(OR($J269="Tamamlandı",$J269="İptal"),"",$I269-TODAY()))</f>
        <v/>
      </c>
      <c r="Q269" s="113">
        <f>IF($E269="","",IF($D269="TANIMSIZ MÜŞTERİ","HATA",IF(OR($J269="Tamamlandı",$J269="İptal"),"KAPALI",IF(AND($C269="Görüşme",$N269=""),"SONRAKİ İŞLEM EKSİK",IF($I269="","TARİH EKSİK",IF($I269&lt;TODAY(),"GECİKMİŞ",IF($I269=TODAY(),"BUGÜN",IF($I269&lt;=TODAY()+7,"7 GÜN İÇİNDE","PLANLI"))))))))</f>
        <v/>
      </c>
      <c r="R269" s="6" t="n"/>
      <c r="S269" s="6" t="n"/>
      <c r="T269" s="3" t="n"/>
      <c r="U269" s="3">
        <f>IF($E269="","",UPPER(SUBSTITUTE(SUBSTITUTE(SUBSTITUTE(SUBSTITUTE(SUBSTITUTE(SUBSTITUTE(SUBSTITUTE(SUBSTITUTE(SUBSTITUTE(SUBSTITUTE(SUBSTITUTE(SUBSTITUTE(SUBSTITUTE(SUBSTITUTE(SUBSTITUTE(SUBSTITUTE(SUBSTITUTE(SUBSTITUTE(TRIM($E269),"'",""),"İ","I"),"ı","I"),"i","I"),"Ş","S"),"ş","S"),"Ğ","G"),"ğ","G"),"Ü","U"),"ü","U"),"Ö","O"),"ö","O"),"Ç","C"),"ç","C"),".",""),",","")," ",""),"-","")))</f>
        <v/>
      </c>
    </row>
    <row r="270">
      <c r="A270" s="6" t="n"/>
      <c r="B270" s="113">
        <f>IF($E270="","","A"&amp;TEXT(ROW()-6,"00000"))</f>
        <v/>
      </c>
      <c r="C270" s="108" t="n"/>
      <c r="D270" s="113">
        <f>IF($E270="","",IFERROR(INDEX(MUSTERILER!$B$7:$B$106,MATCH($U270,MUSTERILER!$T$7:$T$106,0)),IFERROR(INDEX(MUSTERILER!$B$7:$B$106,MATCH($E270,MUSTERILER!$B$7:$B$106,0)),IFERROR(INDEX(MUSTERILER!$B$7:$B$106,MATCH($U270&amp;"*",MUSTERILER!$T$7:$T$106,0)),"TANIMSIZ MÜŞTERİ"))))</f>
        <v/>
      </c>
      <c r="E270" s="109" t="n"/>
      <c r="F270" s="109" t="n"/>
      <c r="G270" s="108" t="n"/>
      <c r="H270" s="220" t="n"/>
      <c r="I270" s="220" t="n"/>
      <c r="J270" s="108" t="n"/>
      <c r="K270" s="108" t="n"/>
      <c r="L270" s="109" t="n"/>
      <c r="M270" s="109" t="n"/>
      <c r="N270" s="109" t="n"/>
      <c r="O270" s="220" t="n"/>
      <c r="P270" s="227">
        <f>IF(OR($E270="",$I270=""),"",IF(OR($J270="Tamamlandı",$J270="İptal"),"",$I270-TODAY()))</f>
        <v/>
      </c>
      <c r="Q270" s="113">
        <f>IF($E270="","",IF($D270="TANIMSIZ MÜŞTERİ","HATA",IF(OR($J270="Tamamlandı",$J270="İptal"),"KAPALI",IF(AND($C270="Görüşme",$N270=""),"SONRAKİ İŞLEM EKSİK",IF($I270="","TARİH EKSİK",IF($I270&lt;TODAY(),"GECİKMİŞ",IF($I270=TODAY(),"BUGÜN",IF($I270&lt;=TODAY()+7,"7 GÜN İÇİNDE","PLANLI"))))))))</f>
        <v/>
      </c>
      <c r="R270" s="6" t="n"/>
      <c r="S270" s="6" t="n"/>
      <c r="T270" s="3" t="n"/>
      <c r="U270" s="3">
        <f>IF($E270="","",UPPER(SUBSTITUTE(SUBSTITUTE(SUBSTITUTE(SUBSTITUTE(SUBSTITUTE(SUBSTITUTE(SUBSTITUTE(SUBSTITUTE(SUBSTITUTE(SUBSTITUTE(SUBSTITUTE(SUBSTITUTE(SUBSTITUTE(SUBSTITUTE(SUBSTITUTE(SUBSTITUTE(SUBSTITUTE(SUBSTITUTE(TRIM($E270),"'",""),"İ","I"),"ı","I"),"i","I"),"Ş","S"),"ş","S"),"Ğ","G"),"ğ","G"),"Ü","U"),"ü","U"),"Ö","O"),"ö","O"),"Ç","C"),"ç","C"),".",""),",","")," ",""),"-","")))</f>
        <v/>
      </c>
    </row>
    <row r="271">
      <c r="A271" s="6" t="n"/>
      <c r="B271" s="113">
        <f>IF($E271="","","A"&amp;TEXT(ROW()-6,"00000"))</f>
        <v/>
      </c>
      <c r="C271" s="108" t="n"/>
      <c r="D271" s="113">
        <f>IF($E271="","",IFERROR(INDEX(MUSTERILER!$B$7:$B$106,MATCH($U271,MUSTERILER!$T$7:$T$106,0)),IFERROR(INDEX(MUSTERILER!$B$7:$B$106,MATCH($E271,MUSTERILER!$B$7:$B$106,0)),IFERROR(INDEX(MUSTERILER!$B$7:$B$106,MATCH($U271&amp;"*",MUSTERILER!$T$7:$T$106,0)),"TANIMSIZ MÜŞTERİ"))))</f>
        <v/>
      </c>
      <c r="E271" s="109" t="n"/>
      <c r="F271" s="109" t="n"/>
      <c r="G271" s="108" t="n"/>
      <c r="H271" s="220" t="n"/>
      <c r="I271" s="220" t="n"/>
      <c r="J271" s="108" t="n"/>
      <c r="K271" s="108" t="n"/>
      <c r="L271" s="109" t="n"/>
      <c r="M271" s="109" t="n"/>
      <c r="N271" s="109" t="n"/>
      <c r="O271" s="220" t="n"/>
      <c r="P271" s="227">
        <f>IF(OR($E271="",$I271=""),"",IF(OR($J271="Tamamlandı",$J271="İptal"),"",$I271-TODAY()))</f>
        <v/>
      </c>
      <c r="Q271" s="113">
        <f>IF($E271="","",IF($D271="TANIMSIZ MÜŞTERİ","HATA",IF(OR($J271="Tamamlandı",$J271="İptal"),"KAPALI",IF(AND($C271="Görüşme",$N271=""),"SONRAKİ İŞLEM EKSİK",IF($I271="","TARİH EKSİK",IF($I271&lt;TODAY(),"GECİKMİŞ",IF($I271=TODAY(),"BUGÜN",IF($I271&lt;=TODAY()+7,"7 GÜN İÇİNDE","PLANLI"))))))))</f>
        <v/>
      </c>
      <c r="R271" s="6" t="n"/>
      <c r="S271" s="6" t="n"/>
      <c r="T271" s="3" t="n"/>
      <c r="U271" s="3">
        <f>IF($E271="","",UPPER(SUBSTITUTE(SUBSTITUTE(SUBSTITUTE(SUBSTITUTE(SUBSTITUTE(SUBSTITUTE(SUBSTITUTE(SUBSTITUTE(SUBSTITUTE(SUBSTITUTE(SUBSTITUTE(SUBSTITUTE(SUBSTITUTE(SUBSTITUTE(SUBSTITUTE(SUBSTITUTE(SUBSTITUTE(SUBSTITUTE(TRIM($E271),"'",""),"İ","I"),"ı","I"),"i","I"),"Ş","S"),"ş","S"),"Ğ","G"),"ğ","G"),"Ü","U"),"ü","U"),"Ö","O"),"ö","O"),"Ç","C"),"ç","C"),".",""),",","")," ",""),"-","")))</f>
        <v/>
      </c>
    </row>
    <row r="272">
      <c r="A272" s="6" t="n"/>
      <c r="B272" s="113">
        <f>IF($E272="","","A"&amp;TEXT(ROW()-6,"00000"))</f>
        <v/>
      </c>
      <c r="C272" s="108" t="n"/>
      <c r="D272" s="113">
        <f>IF($E272="","",IFERROR(INDEX(MUSTERILER!$B$7:$B$106,MATCH($U272,MUSTERILER!$T$7:$T$106,0)),IFERROR(INDEX(MUSTERILER!$B$7:$B$106,MATCH($E272,MUSTERILER!$B$7:$B$106,0)),IFERROR(INDEX(MUSTERILER!$B$7:$B$106,MATCH($U272&amp;"*",MUSTERILER!$T$7:$T$106,0)),"TANIMSIZ MÜŞTERİ"))))</f>
        <v/>
      </c>
      <c r="E272" s="109" t="n"/>
      <c r="F272" s="109" t="n"/>
      <c r="G272" s="108" t="n"/>
      <c r="H272" s="220" t="n"/>
      <c r="I272" s="220" t="n"/>
      <c r="J272" s="108" t="n"/>
      <c r="K272" s="108" t="n"/>
      <c r="L272" s="109" t="n"/>
      <c r="M272" s="109" t="n"/>
      <c r="N272" s="109" t="n"/>
      <c r="O272" s="220" t="n"/>
      <c r="P272" s="227">
        <f>IF(OR($E272="",$I272=""),"",IF(OR($J272="Tamamlandı",$J272="İptal"),"",$I272-TODAY()))</f>
        <v/>
      </c>
      <c r="Q272" s="113">
        <f>IF($E272="","",IF($D272="TANIMSIZ MÜŞTERİ","HATA",IF(OR($J272="Tamamlandı",$J272="İptal"),"KAPALI",IF(AND($C272="Görüşme",$N272=""),"SONRAKİ İŞLEM EKSİK",IF($I272="","TARİH EKSİK",IF($I272&lt;TODAY(),"GECİKMİŞ",IF($I272=TODAY(),"BUGÜN",IF($I272&lt;=TODAY()+7,"7 GÜN İÇİNDE","PLANLI"))))))))</f>
        <v/>
      </c>
      <c r="R272" s="6" t="n"/>
      <c r="S272" s="6" t="n"/>
      <c r="T272" s="3" t="n"/>
      <c r="U272" s="3">
        <f>IF($E272="","",UPPER(SUBSTITUTE(SUBSTITUTE(SUBSTITUTE(SUBSTITUTE(SUBSTITUTE(SUBSTITUTE(SUBSTITUTE(SUBSTITUTE(SUBSTITUTE(SUBSTITUTE(SUBSTITUTE(SUBSTITUTE(SUBSTITUTE(SUBSTITUTE(SUBSTITUTE(SUBSTITUTE(SUBSTITUTE(SUBSTITUTE(TRIM($E272),"'",""),"İ","I"),"ı","I"),"i","I"),"Ş","S"),"ş","S"),"Ğ","G"),"ğ","G"),"Ü","U"),"ü","U"),"Ö","O"),"ö","O"),"Ç","C"),"ç","C"),".",""),",","")," ",""),"-","")))</f>
        <v/>
      </c>
    </row>
    <row r="273">
      <c r="A273" s="6" t="n"/>
      <c r="B273" s="113">
        <f>IF($E273="","","A"&amp;TEXT(ROW()-6,"00000"))</f>
        <v/>
      </c>
      <c r="C273" s="108" t="n"/>
      <c r="D273" s="113">
        <f>IF($E273="","",IFERROR(INDEX(MUSTERILER!$B$7:$B$106,MATCH($U273,MUSTERILER!$T$7:$T$106,0)),IFERROR(INDEX(MUSTERILER!$B$7:$B$106,MATCH($E273,MUSTERILER!$B$7:$B$106,0)),IFERROR(INDEX(MUSTERILER!$B$7:$B$106,MATCH($U273&amp;"*",MUSTERILER!$T$7:$T$106,0)),"TANIMSIZ MÜŞTERİ"))))</f>
        <v/>
      </c>
      <c r="E273" s="109" t="n"/>
      <c r="F273" s="109" t="n"/>
      <c r="G273" s="108" t="n"/>
      <c r="H273" s="220" t="n"/>
      <c r="I273" s="220" t="n"/>
      <c r="J273" s="108" t="n"/>
      <c r="K273" s="108" t="n"/>
      <c r="L273" s="109" t="n"/>
      <c r="M273" s="109" t="n"/>
      <c r="N273" s="109" t="n"/>
      <c r="O273" s="220" t="n"/>
      <c r="P273" s="227">
        <f>IF(OR($E273="",$I273=""),"",IF(OR($J273="Tamamlandı",$J273="İptal"),"",$I273-TODAY()))</f>
        <v/>
      </c>
      <c r="Q273" s="113">
        <f>IF($E273="","",IF($D273="TANIMSIZ MÜŞTERİ","HATA",IF(OR($J273="Tamamlandı",$J273="İptal"),"KAPALI",IF(AND($C273="Görüşme",$N273=""),"SONRAKİ İŞLEM EKSİK",IF($I273="","TARİH EKSİK",IF($I273&lt;TODAY(),"GECİKMİŞ",IF($I273=TODAY(),"BUGÜN",IF($I273&lt;=TODAY()+7,"7 GÜN İÇİNDE","PLANLI"))))))))</f>
        <v/>
      </c>
      <c r="R273" s="6" t="n"/>
      <c r="S273" s="6" t="n"/>
      <c r="T273" s="3" t="n"/>
      <c r="U273" s="3">
        <f>IF($E273="","",UPPER(SUBSTITUTE(SUBSTITUTE(SUBSTITUTE(SUBSTITUTE(SUBSTITUTE(SUBSTITUTE(SUBSTITUTE(SUBSTITUTE(SUBSTITUTE(SUBSTITUTE(SUBSTITUTE(SUBSTITUTE(SUBSTITUTE(SUBSTITUTE(SUBSTITUTE(SUBSTITUTE(SUBSTITUTE(SUBSTITUTE(TRIM($E273),"'",""),"İ","I"),"ı","I"),"i","I"),"Ş","S"),"ş","S"),"Ğ","G"),"ğ","G"),"Ü","U"),"ü","U"),"Ö","O"),"ö","O"),"Ç","C"),"ç","C"),".",""),",","")," ",""),"-","")))</f>
        <v/>
      </c>
    </row>
    <row r="274">
      <c r="A274" s="6" t="n"/>
      <c r="B274" s="113">
        <f>IF($E274="","","A"&amp;TEXT(ROW()-6,"00000"))</f>
        <v/>
      </c>
      <c r="C274" s="108" t="n"/>
      <c r="D274" s="113">
        <f>IF($E274="","",IFERROR(INDEX(MUSTERILER!$B$7:$B$106,MATCH($U274,MUSTERILER!$T$7:$T$106,0)),IFERROR(INDEX(MUSTERILER!$B$7:$B$106,MATCH($E274,MUSTERILER!$B$7:$B$106,0)),IFERROR(INDEX(MUSTERILER!$B$7:$B$106,MATCH($U274&amp;"*",MUSTERILER!$T$7:$T$106,0)),"TANIMSIZ MÜŞTERİ"))))</f>
        <v/>
      </c>
      <c r="E274" s="109" t="n"/>
      <c r="F274" s="109" t="n"/>
      <c r="G274" s="108" t="n"/>
      <c r="H274" s="220" t="n"/>
      <c r="I274" s="220" t="n"/>
      <c r="J274" s="108" t="n"/>
      <c r="K274" s="108" t="n"/>
      <c r="L274" s="109" t="n"/>
      <c r="M274" s="109" t="n"/>
      <c r="N274" s="109" t="n"/>
      <c r="O274" s="220" t="n"/>
      <c r="P274" s="227">
        <f>IF(OR($E274="",$I274=""),"",IF(OR($J274="Tamamlandı",$J274="İptal"),"",$I274-TODAY()))</f>
        <v/>
      </c>
      <c r="Q274" s="113">
        <f>IF($E274="","",IF($D274="TANIMSIZ MÜŞTERİ","HATA",IF(OR($J274="Tamamlandı",$J274="İptal"),"KAPALI",IF(AND($C274="Görüşme",$N274=""),"SONRAKİ İŞLEM EKSİK",IF($I274="","TARİH EKSİK",IF($I274&lt;TODAY(),"GECİKMİŞ",IF($I274=TODAY(),"BUGÜN",IF($I274&lt;=TODAY()+7,"7 GÜN İÇİNDE","PLANLI"))))))))</f>
        <v/>
      </c>
      <c r="R274" s="6" t="n"/>
      <c r="S274" s="6" t="n"/>
      <c r="T274" s="3" t="n"/>
      <c r="U274" s="3">
        <f>IF($E274="","",UPPER(SUBSTITUTE(SUBSTITUTE(SUBSTITUTE(SUBSTITUTE(SUBSTITUTE(SUBSTITUTE(SUBSTITUTE(SUBSTITUTE(SUBSTITUTE(SUBSTITUTE(SUBSTITUTE(SUBSTITUTE(SUBSTITUTE(SUBSTITUTE(SUBSTITUTE(SUBSTITUTE(SUBSTITUTE(SUBSTITUTE(TRIM($E274),"'",""),"İ","I"),"ı","I"),"i","I"),"Ş","S"),"ş","S"),"Ğ","G"),"ğ","G"),"Ü","U"),"ü","U"),"Ö","O"),"ö","O"),"Ç","C"),"ç","C"),".",""),",","")," ",""),"-","")))</f>
        <v/>
      </c>
    </row>
    <row r="275">
      <c r="A275" s="6" t="n"/>
      <c r="B275" s="113">
        <f>IF($E275="","","A"&amp;TEXT(ROW()-6,"00000"))</f>
        <v/>
      </c>
      <c r="C275" s="108" t="n"/>
      <c r="D275" s="113">
        <f>IF($E275="","",IFERROR(INDEX(MUSTERILER!$B$7:$B$106,MATCH($U275,MUSTERILER!$T$7:$T$106,0)),IFERROR(INDEX(MUSTERILER!$B$7:$B$106,MATCH($E275,MUSTERILER!$B$7:$B$106,0)),IFERROR(INDEX(MUSTERILER!$B$7:$B$106,MATCH($U275&amp;"*",MUSTERILER!$T$7:$T$106,0)),"TANIMSIZ MÜŞTERİ"))))</f>
        <v/>
      </c>
      <c r="E275" s="109" t="n"/>
      <c r="F275" s="109" t="n"/>
      <c r="G275" s="108" t="n"/>
      <c r="H275" s="220" t="n"/>
      <c r="I275" s="220" t="n"/>
      <c r="J275" s="108" t="n"/>
      <c r="K275" s="108" t="n"/>
      <c r="L275" s="109" t="n"/>
      <c r="M275" s="109" t="n"/>
      <c r="N275" s="109" t="n"/>
      <c r="O275" s="220" t="n"/>
      <c r="P275" s="227">
        <f>IF(OR($E275="",$I275=""),"",IF(OR($J275="Tamamlandı",$J275="İptal"),"",$I275-TODAY()))</f>
        <v/>
      </c>
      <c r="Q275" s="113">
        <f>IF($E275="","",IF($D275="TANIMSIZ MÜŞTERİ","HATA",IF(OR($J275="Tamamlandı",$J275="İptal"),"KAPALI",IF(AND($C275="Görüşme",$N275=""),"SONRAKİ İŞLEM EKSİK",IF($I275="","TARİH EKSİK",IF($I275&lt;TODAY(),"GECİKMİŞ",IF($I275=TODAY(),"BUGÜN",IF($I275&lt;=TODAY()+7,"7 GÜN İÇİNDE","PLANLI"))))))))</f>
        <v/>
      </c>
      <c r="R275" s="6" t="n"/>
      <c r="S275" s="6" t="n"/>
      <c r="T275" s="3" t="n"/>
      <c r="U275" s="3">
        <f>IF($E275="","",UPPER(SUBSTITUTE(SUBSTITUTE(SUBSTITUTE(SUBSTITUTE(SUBSTITUTE(SUBSTITUTE(SUBSTITUTE(SUBSTITUTE(SUBSTITUTE(SUBSTITUTE(SUBSTITUTE(SUBSTITUTE(SUBSTITUTE(SUBSTITUTE(SUBSTITUTE(SUBSTITUTE(SUBSTITUTE(SUBSTITUTE(TRIM($E275),"'",""),"İ","I"),"ı","I"),"i","I"),"Ş","S"),"ş","S"),"Ğ","G"),"ğ","G"),"Ü","U"),"ü","U"),"Ö","O"),"ö","O"),"Ç","C"),"ç","C"),".",""),",","")," ",""),"-","")))</f>
        <v/>
      </c>
    </row>
    <row r="276">
      <c r="A276" s="6" t="n"/>
      <c r="B276" s="113">
        <f>IF($E276="","","A"&amp;TEXT(ROW()-6,"00000"))</f>
        <v/>
      </c>
      <c r="C276" s="108" t="n"/>
      <c r="D276" s="113">
        <f>IF($E276="","",IFERROR(INDEX(MUSTERILER!$B$7:$B$106,MATCH($U276,MUSTERILER!$T$7:$T$106,0)),IFERROR(INDEX(MUSTERILER!$B$7:$B$106,MATCH($E276,MUSTERILER!$B$7:$B$106,0)),IFERROR(INDEX(MUSTERILER!$B$7:$B$106,MATCH($U276&amp;"*",MUSTERILER!$T$7:$T$106,0)),"TANIMSIZ MÜŞTERİ"))))</f>
        <v/>
      </c>
      <c r="E276" s="109" t="n"/>
      <c r="F276" s="109" t="n"/>
      <c r="G276" s="108" t="n"/>
      <c r="H276" s="220" t="n"/>
      <c r="I276" s="220" t="n"/>
      <c r="J276" s="108" t="n"/>
      <c r="K276" s="108" t="n"/>
      <c r="L276" s="109" t="n"/>
      <c r="M276" s="109" t="n"/>
      <c r="N276" s="109" t="n"/>
      <c r="O276" s="220" t="n"/>
      <c r="P276" s="227">
        <f>IF(OR($E276="",$I276=""),"",IF(OR($J276="Tamamlandı",$J276="İptal"),"",$I276-TODAY()))</f>
        <v/>
      </c>
      <c r="Q276" s="113">
        <f>IF($E276="","",IF($D276="TANIMSIZ MÜŞTERİ","HATA",IF(OR($J276="Tamamlandı",$J276="İptal"),"KAPALI",IF(AND($C276="Görüşme",$N276=""),"SONRAKİ İŞLEM EKSİK",IF($I276="","TARİH EKSİK",IF($I276&lt;TODAY(),"GECİKMİŞ",IF($I276=TODAY(),"BUGÜN",IF($I276&lt;=TODAY()+7,"7 GÜN İÇİNDE","PLANLI"))))))))</f>
        <v/>
      </c>
      <c r="R276" s="6" t="n"/>
      <c r="S276" s="6" t="n"/>
      <c r="T276" s="3" t="n"/>
      <c r="U276" s="3">
        <f>IF($E276="","",UPPER(SUBSTITUTE(SUBSTITUTE(SUBSTITUTE(SUBSTITUTE(SUBSTITUTE(SUBSTITUTE(SUBSTITUTE(SUBSTITUTE(SUBSTITUTE(SUBSTITUTE(SUBSTITUTE(SUBSTITUTE(SUBSTITUTE(SUBSTITUTE(SUBSTITUTE(SUBSTITUTE(SUBSTITUTE(SUBSTITUTE(TRIM($E276),"'",""),"İ","I"),"ı","I"),"i","I"),"Ş","S"),"ş","S"),"Ğ","G"),"ğ","G"),"Ü","U"),"ü","U"),"Ö","O"),"ö","O"),"Ç","C"),"ç","C"),".",""),",","")," ",""),"-","")))</f>
        <v/>
      </c>
    </row>
    <row r="277">
      <c r="A277" s="6" t="n"/>
      <c r="B277" s="113">
        <f>IF($E277="","","A"&amp;TEXT(ROW()-6,"00000"))</f>
        <v/>
      </c>
      <c r="C277" s="108" t="n"/>
      <c r="D277" s="113">
        <f>IF($E277="","",IFERROR(INDEX(MUSTERILER!$B$7:$B$106,MATCH($U277,MUSTERILER!$T$7:$T$106,0)),IFERROR(INDEX(MUSTERILER!$B$7:$B$106,MATCH($E277,MUSTERILER!$B$7:$B$106,0)),IFERROR(INDEX(MUSTERILER!$B$7:$B$106,MATCH($U277&amp;"*",MUSTERILER!$T$7:$T$106,0)),"TANIMSIZ MÜŞTERİ"))))</f>
        <v/>
      </c>
      <c r="E277" s="109" t="n"/>
      <c r="F277" s="109" t="n"/>
      <c r="G277" s="108" t="n"/>
      <c r="H277" s="220" t="n"/>
      <c r="I277" s="220" t="n"/>
      <c r="J277" s="108" t="n"/>
      <c r="K277" s="108" t="n"/>
      <c r="L277" s="109" t="n"/>
      <c r="M277" s="109" t="n"/>
      <c r="N277" s="109" t="n"/>
      <c r="O277" s="220" t="n"/>
      <c r="P277" s="227">
        <f>IF(OR($E277="",$I277=""),"",IF(OR($J277="Tamamlandı",$J277="İptal"),"",$I277-TODAY()))</f>
        <v/>
      </c>
      <c r="Q277" s="113">
        <f>IF($E277="","",IF($D277="TANIMSIZ MÜŞTERİ","HATA",IF(OR($J277="Tamamlandı",$J277="İptal"),"KAPALI",IF(AND($C277="Görüşme",$N277=""),"SONRAKİ İŞLEM EKSİK",IF($I277="","TARİH EKSİK",IF($I277&lt;TODAY(),"GECİKMİŞ",IF($I277=TODAY(),"BUGÜN",IF($I277&lt;=TODAY()+7,"7 GÜN İÇİNDE","PLANLI"))))))))</f>
        <v/>
      </c>
      <c r="R277" s="6" t="n"/>
      <c r="S277" s="6" t="n"/>
      <c r="T277" s="3" t="n"/>
      <c r="U277" s="3">
        <f>IF($E277="","",UPPER(SUBSTITUTE(SUBSTITUTE(SUBSTITUTE(SUBSTITUTE(SUBSTITUTE(SUBSTITUTE(SUBSTITUTE(SUBSTITUTE(SUBSTITUTE(SUBSTITUTE(SUBSTITUTE(SUBSTITUTE(SUBSTITUTE(SUBSTITUTE(SUBSTITUTE(SUBSTITUTE(SUBSTITUTE(SUBSTITUTE(TRIM($E277),"'",""),"İ","I"),"ı","I"),"i","I"),"Ş","S"),"ş","S"),"Ğ","G"),"ğ","G"),"Ü","U"),"ü","U"),"Ö","O"),"ö","O"),"Ç","C"),"ç","C"),".",""),",","")," ",""),"-","")))</f>
        <v/>
      </c>
    </row>
    <row r="278">
      <c r="A278" s="6" t="n"/>
      <c r="B278" s="113">
        <f>IF($E278="","","A"&amp;TEXT(ROW()-6,"00000"))</f>
        <v/>
      </c>
      <c r="C278" s="108" t="n"/>
      <c r="D278" s="113">
        <f>IF($E278="","",IFERROR(INDEX(MUSTERILER!$B$7:$B$106,MATCH($U278,MUSTERILER!$T$7:$T$106,0)),IFERROR(INDEX(MUSTERILER!$B$7:$B$106,MATCH($E278,MUSTERILER!$B$7:$B$106,0)),IFERROR(INDEX(MUSTERILER!$B$7:$B$106,MATCH($U278&amp;"*",MUSTERILER!$T$7:$T$106,0)),"TANIMSIZ MÜŞTERİ"))))</f>
        <v/>
      </c>
      <c r="E278" s="109" t="n"/>
      <c r="F278" s="109" t="n"/>
      <c r="G278" s="108" t="n"/>
      <c r="H278" s="220" t="n"/>
      <c r="I278" s="220" t="n"/>
      <c r="J278" s="108" t="n"/>
      <c r="K278" s="108" t="n"/>
      <c r="L278" s="109" t="n"/>
      <c r="M278" s="109" t="n"/>
      <c r="N278" s="109" t="n"/>
      <c r="O278" s="220" t="n"/>
      <c r="P278" s="227">
        <f>IF(OR($E278="",$I278=""),"",IF(OR($J278="Tamamlandı",$J278="İptal"),"",$I278-TODAY()))</f>
        <v/>
      </c>
      <c r="Q278" s="113">
        <f>IF($E278="","",IF($D278="TANIMSIZ MÜŞTERİ","HATA",IF(OR($J278="Tamamlandı",$J278="İptal"),"KAPALI",IF(AND($C278="Görüşme",$N278=""),"SONRAKİ İŞLEM EKSİK",IF($I278="","TARİH EKSİK",IF($I278&lt;TODAY(),"GECİKMİŞ",IF($I278=TODAY(),"BUGÜN",IF($I278&lt;=TODAY()+7,"7 GÜN İÇİNDE","PLANLI"))))))))</f>
        <v/>
      </c>
      <c r="R278" s="6" t="n"/>
      <c r="S278" s="6" t="n"/>
      <c r="T278" s="3" t="n"/>
      <c r="U278" s="3">
        <f>IF($E278="","",UPPER(SUBSTITUTE(SUBSTITUTE(SUBSTITUTE(SUBSTITUTE(SUBSTITUTE(SUBSTITUTE(SUBSTITUTE(SUBSTITUTE(SUBSTITUTE(SUBSTITUTE(SUBSTITUTE(SUBSTITUTE(SUBSTITUTE(SUBSTITUTE(SUBSTITUTE(SUBSTITUTE(SUBSTITUTE(SUBSTITUTE(TRIM($E278),"'",""),"İ","I"),"ı","I"),"i","I"),"Ş","S"),"ş","S"),"Ğ","G"),"ğ","G"),"Ü","U"),"ü","U"),"Ö","O"),"ö","O"),"Ç","C"),"ç","C"),".",""),",","")," ",""),"-","")))</f>
        <v/>
      </c>
    </row>
    <row r="279">
      <c r="A279" s="6" t="n"/>
      <c r="B279" s="113">
        <f>IF($E279="","","A"&amp;TEXT(ROW()-6,"00000"))</f>
        <v/>
      </c>
      <c r="C279" s="108" t="n"/>
      <c r="D279" s="113">
        <f>IF($E279="","",IFERROR(INDEX(MUSTERILER!$B$7:$B$106,MATCH($U279,MUSTERILER!$T$7:$T$106,0)),IFERROR(INDEX(MUSTERILER!$B$7:$B$106,MATCH($E279,MUSTERILER!$B$7:$B$106,0)),IFERROR(INDEX(MUSTERILER!$B$7:$B$106,MATCH($U279&amp;"*",MUSTERILER!$T$7:$T$106,0)),"TANIMSIZ MÜŞTERİ"))))</f>
        <v/>
      </c>
      <c r="E279" s="109" t="n"/>
      <c r="F279" s="109" t="n"/>
      <c r="G279" s="108" t="n"/>
      <c r="H279" s="220" t="n"/>
      <c r="I279" s="220" t="n"/>
      <c r="J279" s="108" t="n"/>
      <c r="K279" s="108" t="n"/>
      <c r="L279" s="109" t="n"/>
      <c r="M279" s="109" t="n"/>
      <c r="N279" s="109" t="n"/>
      <c r="O279" s="220" t="n"/>
      <c r="P279" s="227">
        <f>IF(OR($E279="",$I279=""),"",IF(OR($J279="Tamamlandı",$J279="İptal"),"",$I279-TODAY()))</f>
        <v/>
      </c>
      <c r="Q279" s="113">
        <f>IF($E279="","",IF($D279="TANIMSIZ MÜŞTERİ","HATA",IF(OR($J279="Tamamlandı",$J279="İptal"),"KAPALI",IF(AND($C279="Görüşme",$N279=""),"SONRAKİ İŞLEM EKSİK",IF($I279="","TARİH EKSİK",IF($I279&lt;TODAY(),"GECİKMİŞ",IF($I279=TODAY(),"BUGÜN",IF($I279&lt;=TODAY()+7,"7 GÜN İÇİNDE","PLANLI"))))))))</f>
        <v/>
      </c>
      <c r="R279" s="6" t="n"/>
      <c r="S279" s="6" t="n"/>
      <c r="T279" s="3" t="n"/>
      <c r="U279" s="3">
        <f>IF($E279="","",UPPER(SUBSTITUTE(SUBSTITUTE(SUBSTITUTE(SUBSTITUTE(SUBSTITUTE(SUBSTITUTE(SUBSTITUTE(SUBSTITUTE(SUBSTITUTE(SUBSTITUTE(SUBSTITUTE(SUBSTITUTE(SUBSTITUTE(SUBSTITUTE(SUBSTITUTE(SUBSTITUTE(SUBSTITUTE(SUBSTITUTE(TRIM($E279),"'",""),"İ","I"),"ı","I"),"i","I"),"Ş","S"),"ş","S"),"Ğ","G"),"ğ","G"),"Ü","U"),"ü","U"),"Ö","O"),"ö","O"),"Ç","C"),"ç","C"),".",""),",","")," ",""),"-","")))</f>
        <v/>
      </c>
    </row>
    <row r="280">
      <c r="A280" s="6" t="n"/>
      <c r="B280" s="113">
        <f>IF($E280="","","A"&amp;TEXT(ROW()-6,"00000"))</f>
        <v/>
      </c>
      <c r="C280" s="108" t="n"/>
      <c r="D280" s="113">
        <f>IF($E280="","",IFERROR(INDEX(MUSTERILER!$B$7:$B$106,MATCH($U280,MUSTERILER!$T$7:$T$106,0)),IFERROR(INDEX(MUSTERILER!$B$7:$B$106,MATCH($E280,MUSTERILER!$B$7:$B$106,0)),IFERROR(INDEX(MUSTERILER!$B$7:$B$106,MATCH($U280&amp;"*",MUSTERILER!$T$7:$T$106,0)),"TANIMSIZ MÜŞTERİ"))))</f>
        <v/>
      </c>
      <c r="E280" s="109" t="n"/>
      <c r="F280" s="109" t="n"/>
      <c r="G280" s="108" t="n"/>
      <c r="H280" s="220" t="n"/>
      <c r="I280" s="220" t="n"/>
      <c r="J280" s="108" t="n"/>
      <c r="K280" s="108" t="n"/>
      <c r="L280" s="109" t="n"/>
      <c r="M280" s="109" t="n"/>
      <c r="N280" s="109" t="n"/>
      <c r="O280" s="220" t="n"/>
      <c r="P280" s="227">
        <f>IF(OR($E280="",$I280=""),"",IF(OR($J280="Tamamlandı",$J280="İptal"),"",$I280-TODAY()))</f>
        <v/>
      </c>
      <c r="Q280" s="113">
        <f>IF($E280="","",IF($D280="TANIMSIZ MÜŞTERİ","HATA",IF(OR($J280="Tamamlandı",$J280="İptal"),"KAPALI",IF(AND($C280="Görüşme",$N280=""),"SONRAKİ İŞLEM EKSİK",IF($I280="","TARİH EKSİK",IF($I280&lt;TODAY(),"GECİKMİŞ",IF($I280=TODAY(),"BUGÜN",IF($I280&lt;=TODAY()+7,"7 GÜN İÇİNDE","PLANLI"))))))))</f>
        <v/>
      </c>
      <c r="R280" s="6" t="n"/>
      <c r="S280" s="6" t="n"/>
      <c r="T280" s="3" t="n"/>
      <c r="U280" s="3">
        <f>IF($E280="","",UPPER(SUBSTITUTE(SUBSTITUTE(SUBSTITUTE(SUBSTITUTE(SUBSTITUTE(SUBSTITUTE(SUBSTITUTE(SUBSTITUTE(SUBSTITUTE(SUBSTITUTE(SUBSTITUTE(SUBSTITUTE(SUBSTITUTE(SUBSTITUTE(SUBSTITUTE(SUBSTITUTE(SUBSTITUTE(SUBSTITUTE(TRIM($E280),"'",""),"İ","I"),"ı","I"),"i","I"),"Ş","S"),"ş","S"),"Ğ","G"),"ğ","G"),"Ü","U"),"ü","U"),"Ö","O"),"ö","O"),"Ç","C"),"ç","C"),".",""),",","")," ",""),"-","")))</f>
        <v/>
      </c>
    </row>
    <row r="281">
      <c r="A281" s="6" t="n"/>
      <c r="B281" s="113">
        <f>IF($E281="","","A"&amp;TEXT(ROW()-6,"00000"))</f>
        <v/>
      </c>
      <c r="C281" s="108" t="n"/>
      <c r="D281" s="113">
        <f>IF($E281="","",IFERROR(INDEX(MUSTERILER!$B$7:$B$106,MATCH($U281,MUSTERILER!$T$7:$T$106,0)),IFERROR(INDEX(MUSTERILER!$B$7:$B$106,MATCH($E281,MUSTERILER!$B$7:$B$106,0)),IFERROR(INDEX(MUSTERILER!$B$7:$B$106,MATCH($U281&amp;"*",MUSTERILER!$T$7:$T$106,0)),"TANIMSIZ MÜŞTERİ"))))</f>
        <v/>
      </c>
      <c r="E281" s="109" t="n"/>
      <c r="F281" s="109" t="n"/>
      <c r="G281" s="108" t="n"/>
      <c r="H281" s="220" t="n"/>
      <c r="I281" s="220" t="n"/>
      <c r="J281" s="108" t="n"/>
      <c r="K281" s="108" t="n"/>
      <c r="L281" s="109" t="n"/>
      <c r="M281" s="109" t="n"/>
      <c r="N281" s="109" t="n"/>
      <c r="O281" s="220" t="n"/>
      <c r="P281" s="227">
        <f>IF(OR($E281="",$I281=""),"",IF(OR($J281="Tamamlandı",$J281="İptal"),"",$I281-TODAY()))</f>
        <v/>
      </c>
      <c r="Q281" s="113">
        <f>IF($E281="","",IF($D281="TANIMSIZ MÜŞTERİ","HATA",IF(OR($J281="Tamamlandı",$J281="İptal"),"KAPALI",IF(AND($C281="Görüşme",$N281=""),"SONRAKİ İŞLEM EKSİK",IF($I281="","TARİH EKSİK",IF($I281&lt;TODAY(),"GECİKMİŞ",IF($I281=TODAY(),"BUGÜN",IF($I281&lt;=TODAY()+7,"7 GÜN İÇİNDE","PLANLI"))))))))</f>
        <v/>
      </c>
      <c r="R281" s="6" t="n"/>
      <c r="S281" s="6" t="n"/>
      <c r="T281" s="3" t="n"/>
      <c r="U281" s="3">
        <f>IF($E281="","",UPPER(SUBSTITUTE(SUBSTITUTE(SUBSTITUTE(SUBSTITUTE(SUBSTITUTE(SUBSTITUTE(SUBSTITUTE(SUBSTITUTE(SUBSTITUTE(SUBSTITUTE(SUBSTITUTE(SUBSTITUTE(SUBSTITUTE(SUBSTITUTE(SUBSTITUTE(SUBSTITUTE(SUBSTITUTE(SUBSTITUTE(TRIM($E281),"'",""),"İ","I"),"ı","I"),"i","I"),"Ş","S"),"ş","S"),"Ğ","G"),"ğ","G"),"Ü","U"),"ü","U"),"Ö","O"),"ö","O"),"Ç","C"),"ç","C"),".",""),",","")," ",""),"-","")))</f>
        <v/>
      </c>
    </row>
    <row r="282">
      <c r="A282" s="6" t="n"/>
      <c r="B282" s="113">
        <f>IF($E282="","","A"&amp;TEXT(ROW()-6,"00000"))</f>
        <v/>
      </c>
      <c r="C282" s="108" t="n"/>
      <c r="D282" s="113">
        <f>IF($E282="","",IFERROR(INDEX(MUSTERILER!$B$7:$B$106,MATCH($U282,MUSTERILER!$T$7:$T$106,0)),IFERROR(INDEX(MUSTERILER!$B$7:$B$106,MATCH($E282,MUSTERILER!$B$7:$B$106,0)),IFERROR(INDEX(MUSTERILER!$B$7:$B$106,MATCH($U282&amp;"*",MUSTERILER!$T$7:$T$106,0)),"TANIMSIZ MÜŞTERİ"))))</f>
        <v/>
      </c>
      <c r="E282" s="109" t="n"/>
      <c r="F282" s="109" t="n"/>
      <c r="G282" s="108" t="n"/>
      <c r="H282" s="220" t="n"/>
      <c r="I282" s="220" t="n"/>
      <c r="J282" s="108" t="n"/>
      <c r="K282" s="108" t="n"/>
      <c r="L282" s="109" t="n"/>
      <c r="M282" s="109" t="n"/>
      <c r="N282" s="109" t="n"/>
      <c r="O282" s="220" t="n"/>
      <c r="P282" s="227">
        <f>IF(OR($E282="",$I282=""),"",IF(OR($J282="Tamamlandı",$J282="İptal"),"",$I282-TODAY()))</f>
        <v/>
      </c>
      <c r="Q282" s="113">
        <f>IF($E282="","",IF($D282="TANIMSIZ MÜŞTERİ","HATA",IF(OR($J282="Tamamlandı",$J282="İptal"),"KAPALI",IF(AND($C282="Görüşme",$N282=""),"SONRAKİ İŞLEM EKSİK",IF($I282="","TARİH EKSİK",IF($I282&lt;TODAY(),"GECİKMİŞ",IF($I282=TODAY(),"BUGÜN",IF($I282&lt;=TODAY()+7,"7 GÜN İÇİNDE","PLANLI"))))))))</f>
        <v/>
      </c>
      <c r="R282" s="6" t="n"/>
      <c r="S282" s="6" t="n"/>
      <c r="T282" s="3" t="n"/>
      <c r="U282" s="3">
        <f>IF($E282="","",UPPER(SUBSTITUTE(SUBSTITUTE(SUBSTITUTE(SUBSTITUTE(SUBSTITUTE(SUBSTITUTE(SUBSTITUTE(SUBSTITUTE(SUBSTITUTE(SUBSTITUTE(SUBSTITUTE(SUBSTITUTE(SUBSTITUTE(SUBSTITUTE(SUBSTITUTE(SUBSTITUTE(SUBSTITUTE(SUBSTITUTE(TRIM($E282),"'",""),"İ","I"),"ı","I"),"i","I"),"Ş","S"),"ş","S"),"Ğ","G"),"ğ","G"),"Ü","U"),"ü","U"),"Ö","O"),"ö","O"),"Ç","C"),"ç","C"),".",""),",","")," ",""),"-","")))</f>
        <v/>
      </c>
    </row>
    <row r="283">
      <c r="A283" s="6" t="n"/>
      <c r="B283" s="113">
        <f>IF($E283="","","A"&amp;TEXT(ROW()-6,"00000"))</f>
        <v/>
      </c>
      <c r="C283" s="108" t="n"/>
      <c r="D283" s="113">
        <f>IF($E283="","",IFERROR(INDEX(MUSTERILER!$B$7:$B$106,MATCH($U283,MUSTERILER!$T$7:$T$106,0)),IFERROR(INDEX(MUSTERILER!$B$7:$B$106,MATCH($E283,MUSTERILER!$B$7:$B$106,0)),IFERROR(INDEX(MUSTERILER!$B$7:$B$106,MATCH($U283&amp;"*",MUSTERILER!$T$7:$T$106,0)),"TANIMSIZ MÜŞTERİ"))))</f>
        <v/>
      </c>
      <c r="E283" s="109" t="n"/>
      <c r="F283" s="109" t="n"/>
      <c r="G283" s="108" t="n"/>
      <c r="H283" s="220" t="n"/>
      <c r="I283" s="220" t="n"/>
      <c r="J283" s="108" t="n"/>
      <c r="K283" s="108" t="n"/>
      <c r="L283" s="109" t="n"/>
      <c r="M283" s="109" t="n"/>
      <c r="N283" s="109" t="n"/>
      <c r="O283" s="220" t="n"/>
      <c r="P283" s="227">
        <f>IF(OR($E283="",$I283=""),"",IF(OR($J283="Tamamlandı",$J283="İptal"),"",$I283-TODAY()))</f>
        <v/>
      </c>
      <c r="Q283" s="113">
        <f>IF($E283="","",IF($D283="TANIMSIZ MÜŞTERİ","HATA",IF(OR($J283="Tamamlandı",$J283="İptal"),"KAPALI",IF(AND($C283="Görüşme",$N283=""),"SONRAKİ İŞLEM EKSİK",IF($I283="","TARİH EKSİK",IF($I283&lt;TODAY(),"GECİKMİŞ",IF($I283=TODAY(),"BUGÜN",IF($I283&lt;=TODAY()+7,"7 GÜN İÇİNDE","PLANLI"))))))))</f>
        <v/>
      </c>
      <c r="R283" s="6" t="n"/>
      <c r="S283" s="6" t="n"/>
      <c r="T283" s="3" t="n"/>
      <c r="U283" s="3">
        <f>IF($E283="","",UPPER(SUBSTITUTE(SUBSTITUTE(SUBSTITUTE(SUBSTITUTE(SUBSTITUTE(SUBSTITUTE(SUBSTITUTE(SUBSTITUTE(SUBSTITUTE(SUBSTITUTE(SUBSTITUTE(SUBSTITUTE(SUBSTITUTE(SUBSTITUTE(SUBSTITUTE(SUBSTITUTE(SUBSTITUTE(SUBSTITUTE(TRIM($E283),"'",""),"İ","I"),"ı","I"),"i","I"),"Ş","S"),"ş","S"),"Ğ","G"),"ğ","G"),"Ü","U"),"ü","U"),"Ö","O"),"ö","O"),"Ç","C"),"ç","C"),".",""),",","")," ",""),"-","")))</f>
        <v/>
      </c>
    </row>
    <row r="284">
      <c r="A284" s="6" t="n"/>
      <c r="B284" s="113">
        <f>IF($E284="","","A"&amp;TEXT(ROW()-6,"00000"))</f>
        <v/>
      </c>
      <c r="C284" s="108" t="n"/>
      <c r="D284" s="113">
        <f>IF($E284="","",IFERROR(INDEX(MUSTERILER!$B$7:$B$106,MATCH($U284,MUSTERILER!$T$7:$T$106,0)),IFERROR(INDEX(MUSTERILER!$B$7:$B$106,MATCH($E284,MUSTERILER!$B$7:$B$106,0)),IFERROR(INDEX(MUSTERILER!$B$7:$B$106,MATCH($U284&amp;"*",MUSTERILER!$T$7:$T$106,0)),"TANIMSIZ MÜŞTERİ"))))</f>
        <v/>
      </c>
      <c r="E284" s="109" t="n"/>
      <c r="F284" s="109" t="n"/>
      <c r="G284" s="108" t="n"/>
      <c r="H284" s="220" t="n"/>
      <c r="I284" s="220" t="n"/>
      <c r="J284" s="108" t="n"/>
      <c r="K284" s="108" t="n"/>
      <c r="L284" s="109" t="n"/>
      <c r="M284" s="109" t="n"/>
      <c r="N284" s="109" t="n"/>
      <c r="O284" s="220" t="n"/>
      <c r="P284" s="227">
        <f>IF(OR($E284="",$I284=""),"",IF(OR($J284="Tamamlandı",$J284="İptal"),"",$I284-TODAY()))</f>
        <v/>
      </c>
      <c r="Q284" s="113">
        <f>IF($E284="","",IF($D284="TANIMSIZ MÜŞTERİ","HATA",IF(OR($J284="Tamamlandı",$J284="İptal"),"KAPALI",IF(AND($C284="Görüşme",$N284=""),"SONRAKİ İŞLEM EKSİK",IF($I284="","TARİH EKSİK",IF($I284&lt;TODAY(),"GECİKMİŞ",IF($I284=TODAY(),"BUGÜN",IF($I284&lt;=TODAY()+7,"7 GÜN İÇİNDE","PLANLI"))))))))</f>
        <v/>
      </c>
      <c r="R284" s="6" t="n"/>
      <c r="S284" s="6" t="n"/>
      <c r="T284" s="3" t="n"/>
      <c r="U284" s="3">
        <f>IF($E284="","",UPPER(SUBSTITUTE(SUBSTITUTE(SUBSTITUTE(SUBSTITUTE(SUBSTITUTE(SUBSTITUTE(SUBSTITUTE(SUBSTITUTE(SUBSTITUTE(SUBSTITUTE(SUBSTITUTE(SUBSTITUTE(SUBSTITUTE(SUBSTITUTE(SUBSTITUTE(SUBSTITUTE(SUBSTITUTE(SUBSTITUTE(TRIM($E284),"'",""),"İ","I"),"ı","I"),"i","I"),"Ş","S"),"ş","S"),"Ğ","G"),"ğ","G"),"Ü","U"),"ü","U"),"Ö","O"),"ö","O"),"Ç","C"),"ç","C"),".",""),",","")," ",""),"-","")))</f>
        <v/>
      </c>
    </row>
    <row r="285">
      <c r="A285" s="6" t="n"/>
      <c r="B285" s="113">
        <f>IF($E285="","","A"&amp;TEXT(ROW()-6,"00000"))</f>
        <v/>
      </c>
      <c r="C285" s="108" t="n"/>
      <c r="D285" s="113">
        <f>IF($E285="","",IFERROR(INDEX(MUSTERILER!$B$7:$B$106,MATCH($U285,MUSTERILER!$T$7:$T$106,0)),IFERROR(INDEX(MUSTERILER!$B$7:$B$106,MATCH($E285,MUSTERILER!$B$7:$B$106,0)),IFERROR(INDEX(MUSTERILER!$B$7:$B$106,MATCH($U285&amp;"*",MUSTERILER!$T$7:$T$106,0)),"TANIMSIZ MÜŞTERİ"))))</f>
        <v/>
      </c>
      <c r="E285" s="109" t="n"/>
      <c r="F285" s="109" t="n"/>
      <c r="G285" s="108" t="n"/>
      <c r="H285" s="220" t="n"/>
      <c r="I285" s="220" t="n"/>
      <c r="J285" s="108" t="n"/>
      <c r="K285" s="108" t="n"/>
      <c r="L285" s="109" t="n"/>
      <c r="M285" s="109" t="n"/>
      <c r="N285" s="109" t="n"/>
      <c r="O285" s="220" t="n"/>
      <c r="P285" s="227">
        <f>IF(OR($E285="",$I285=""),"",IF(OR($J285="Tamamlandı",$J285="İptal"),"",$I285-TODAY()))</f>
        <v/>
      </c>
      <c r="Q285" s="113">
        <f>IF($E285="","",IF($D285="TANIMSIZ MÜŞTERİ","HATA",IF(OR($J285="Tamamlandı",$J285="İptal"),"KAPALI",IF(AND($C285="Görüşme",$N285=""),"SONRAKİ İŞLEM EKSİK",IF($I285="","TARİH EKSİK",IF($I285&lt;TODAY(),"GECİKMİŞ",IF($I285=TODAY(),"BUGÜN",IF($I285&lt;=TODAY()+7,"7 GÜN İÇİNDE","PLANLI"))))))))</f>
        <v/>
      </c>
      <c r="R285" s="6" t="n"/>
      <c r="S285" s="6" t="n"/>
      <c r="T285" s="3" t="n"/>
      <c r="U285" s="3">
        <f>IF($E285="","",UPPER(SUBSTITUTE(SUBSTITUTE(SUBSTITUTE(SUBSTITUTE(SUBSTITUTE(SUBSTITUTE(SUBSTITUTE(SUBSTITUTE(SUBSTITUTE(SUBSTITUTE(SUBSTITUTE(SUBSTITUTE(SUBSTITUTE(SUBSTITUTE(SUBSTITUTE(SUBSTITUTE(SUBSTITUTE(SUBSTITUTE(TRIM($E285),"'",""),"İ","I"),"ı","I"),"i","I"),"Ş","S"),"ş","S"),"Ğ","G"),"ğ","G"),"Ü","U"),"ü","U"),"Ö","O"),"ö","O"),"Ç","C"),"ç","C"),".",""),",","")," ",""),"-","")))</f>
        <v/>
      </c>
    </row>
    <row r="286">
      <c r="A286" s="6" t="n"/>
      <c r="B286" s="113">
        <f>IF($E286="","","A"&amp;TEXT(ROW()-6,"00000"))</f>
        <v/>
      </c>
      <c r="C286" s="108" t="n"/>
      <c r="D286" s="113">
        <f>IF($E286="","",IFERROR(INDEX(MUSTERILER!$B$7:$B$106,MATCH($U286,MUSTERILER!$T$7:$T$106,0)),IFERROR(INDEX(MUSTERILER!$B$7:$B$106,MATCH($E286,MUSTERILER!$B$7:$B$106,0)),IFERROR(INDEX(MUSTERILER!$B$7:$B$106,MATCH($U286&amp;"*",MUSTERILER!$T$7:$T$106,0)),"TANIMSIZ MÜŞTERİ"))))</f>
        <v/>
      </c>
      <c r="E286" s="109" t="n"/>
      <c r="F286" s="109" t="n"/>
      <c r="G286" s="108" t="n"/>
      <c r="H286" s="220" t="n"/>
      <c r="I286" s="220" t="n"/>
      <c r="J286" s="108" t="n"/>
      <c r="K286" s="108" t="n"/>
      <c r="L286" s="109" t="n"/>
      <c r="M286" s="109" t="n"/>
      <c r="N286" s="109" t="n"/>
      <c r="O286" s="220" t="n"/>
      <c r="P286" s="227">
        <f>IF(OR($E286="",$I286=""),"",IF(OR($J286="Tamamlandı",$J286="İptal"),"",$I286-TODAY()))</f>
        <v/>
      </c>
      <c r="Q286" s="113">
        <f>IF($E286="","",IF($D286="TANIMSIZ MÜŞTERİ","HATA",IF(OR($J286="Tamamlandı",$J286="İptal"),"KAPALI",IF(AND($C286="Görüşme",$N286=""),"SONRAKİ İŞLEM EKSİK",IF($I286="","TARİH EKSİK",IF($I286&lt;TODAY(),"GECİKMİŞ",IF($I286=TODAY(),"BUGÜN",IF($I286&lt;=TODAY()+7,"7 GÜN İÇİNDE","PLANLI"))))))))</f>
        <v/>
      </c>
      <c r="R286" s="6" t="n"/>
      <c r="S286" s="6" t="n"/>
      <c r="T286" s="3" t="n"/>
      <c r="U286" s="3">
        <f>IF($E286="","",UPPER(SUBSTITUTE(SUBSTITUTE(SUBSTITUTE(SUBSTITUTE(SUBSTITUTE(SUBSTITUTE(SUBSTITUTE(SUBSTITUTE(SUBSTITUTE(SUBSTITUTE(SUBSTITUTE(SUBSTITUTE(SUBSTITUTE(SUBSTITUTE(SUBSTITUTE(SUBSTITUTE(SUBSTITUTE(SUBSTITUTE(TRIM($E286),"'",""),"İ","I"),"ı","I"),"i","I"),"Ş","S"),"ş","S"),"Ğ","G"),"ğ","G"),"Ü","U"),"ü","U"),"Ö","O"),"ö","O"),"Ç","C"),"ç","C"),".",""),",","")," ",""),"-","")))</f>
        <v/>
      </c>
    </row>
    <row r="287">
      <c r="A287" s="6" t="n"/>
      <c r="B287" s="113">
        <f>IF($E287="","","A"&amp;TEXT(ROW()-6,"00000"))</f>
        <v/>
      </c>
      <c r="C287" s="108" t="n"/>
      <c r="D287" s="113">
        <f>IF($E287="","",IFERROR(INDEX(MUSTERILER!$B$7:$B$106,MATCH($U287,MUSTERILER!$T$7:$T$106,0)),IFERROR(INDEX(MUSTERILER!$B$7:$B$106,MATCH($E287,MUSTERILER!$B$7:$B$106,0)),IFERROR(INDEX(MUSTERILER!$B$7:$B$106,MATCH($U287&amp;"*",MUSTERILER!$T$7:$T$106,0)),"TANIMSIZ MÜŞTERİ"))))</f>
        <v/>
      </c>
      <c r="E287" s="109" t="n"/>
      <c r="F287" s="109" t="n"/>
      <c r="G287" s="108" t="n"/>
      <c r="H287" s="220" t="n"/>
      <c r="I287" s="220" t="n"/>
      <c r="J287" s="108" t="n"/>
      <c r="K287" s="108" t="n"/>
      <c r="L287" s="109" t="n"/>
      <c r="M287" s="109" t="n"/>
      <c r="N287" s="109" t="n"/>
      <c r="O287" s="220" t="n"/>
      <c r="P287" s="227">
        <f>IF(OR($E287="",$I287=""),"",IF(OR($J287="Tamamlandı",$J287="İptal"),"",$I287-TODAY()))</f>
        <v/>
      </c>
      <c r="Q287" s="113">
        <f>IF($E287="","",IF($D287="TANIMSIZ MÜŞTERİ","HATA",IF(OR($J287="Tamamlandı",$J287="İptal"),"KAPALI",IF(AND($C287="Görüşme",$N287=""),"SONRAKİ İŞLEM EKSİK",IF($I287="","TARİH EKSİK",IF($I287&lt;TODAY(),"GECİKMİŞ",IF($I287=TODAY(),"BUGÜN",IF($I287&lt;=TODAY()+7,"7 GÜN İÇİNDE","PLANLI"))))))))</f>
        <v/>
      </c>
      <c r="R287" s="6" t="n"/>
      <c r="S287" s="6" t="n"/>
      <c r="T287" s="3" t="n"/>
      <c r="U287" s="3">
        <f>IF($E287="","",UPPER(SUBSTITUTE(SUBSTITUTE(SUBSTITUTE(SUBSTITUTE(SUBSTITUTE(SUBSTITUTE(SUBSTITUTE(SUBSTITUTE(SUBSTITUTE(SUBSTITUTE(SUBSTITUTE(SUBSTITUTE(SUBSTITUTE(SUBSTITUTE(SUBSTITUTE(SUBSTITUTE(SUBSTITUTE(SUBSTITUTE(TRIM($E287),"'",""),"İ","I"),"ı","I"),"i","I"),"Ş","S"),"ş","S"),"Ğ","G"),"ğ","G"),"Ü","U"),"ü","U"),"Ö","O"),"ö","O"),"Ç","C"),"ç","C"),".",""),",","")," ",""),"-","")))</f>
        <v/>
      </c>
    </row>
    <row r="288">
      <c r="A288" s="6" t="n"/>
      <c r="B288" s="113">
        <f>IF($E288="","","A"&amp;TEXT(ROW()-6,"00000"))</f>
        <v/>
      </c>
      <c r="C288" s="108" t="n"/>
      <c r="D288" s="113">
        <f>IF($E288="","",IFERROR(INDEX(MUSTERILER!$B$7:$B$106,MATCH($U288,MUSTERILER!$T$7:$T$106,0)),IFERROR(INDEX(MUSTERILER!$B$7:$B$106,MATCH($E288,MUSTERILER!$B$7:$B$106,0)),IFERROR(INDEX(MUSTERILER!$B$7:$B$106,MATCH($U288&amp;"*",MUSTERILER!$T$7:$T$106,0)),"TANIMSIZ MÜŞTERİ"))))</f>
        <v/>
      </c>
      <c r="E288" s="109" t="n"/>
      <c r="F288" s="109" t="n"/>
      <c r="G288" s="108" t="n"/>
      <c r="H288" s="220" t="n"/>
      <c r="I288" s="220" t="n"/>
      <c r="J288" s="108" t="n"/>
      <c r="K288" s="108" t="n"/>
      <c r="L288" s="109" t="n"/>
      <c r="M288" s="109" t="n"/>
      <c r="N288" s="109" t="n"/>
      <c r="O288" s="220" t="n"/>
      <c r="P288" s="227">
        <f>IF(OR($E288="",$I288=""),"",IF(OR($J288="Tamamlandı",$J288="İptal"),"",$I288-TODAY()))</f>
        <v/>
      </c>
      <c r="Q288" s="113">
        <f>IF($E288="","",IF($D288="TANIMSIZ MÜŞTERİ","HATA",IF(OR($J288="Tamamlandı",$J288="İptal"),"KAPALI",IF(AND($C288="Görüşme",$N288=""),"SONRAKİ İŞLEM EKSİK",IF($I288="","TARİH EKSİK",IF($I288&lt;TODAY(),"GECİKMİŞ",IF($I288=TODAY(),"BUGÜN",IF($I288&lt;=TODAY()+7,"7 GÜN İÇİNDE","PLANLI"))))))))</f>
        <v/>
      </c>
      <c r="R288" s="6" t="n"/>
      <c r="S288" s="6" t="n"/>
      <c r="T288" s="3" t="n"/>
      <c r="U288" s="3">
        <f>IF($E288="","",UPPER(SUBSTITUTE(SUBSTITUTE(SUBSTITUTE(SUBSTITUTE(SUBSTITUTE(SUBSTITUTE(SUBSTITUTE(SUBSTITUTE(SUBSTITUTE(SUBSTITUTE(SUBSTITUTE(SUBSTITUTE(SUBSTITUTE(SUBSTITUTE(SUBSTITUTE(SUBSTITUTE(SUBSTITUTE(SUBSTITUTE(TRIM($E288),"'",""),"İ","I"),"ı","I"),"i","I"),"Ş","S"),"ş","S"),"Ğ","G"),"ğ","G"),"Ü","U"),"ü","U"),"Ö","O"),"ö","O"),"Ç","C"),"ç","C"),".",""),",","")," ",""),"-","")))</f>
        <v/>
      </c>
    </row>
    <row r="289">
      <c r="A289" s="6" t="n"/>
      <c r="B289" s="113">
        <f>IF($E289="","","A"&amp;TEXT(ROW()-6,"00000"))</f>
        <v/>
      </c>
      <c r="C289" s="108" t="n"/>
      <c r="D289" s="113">
        <f>IF($E289="","",IFERROR(INDEX(MUSTERILER!$B$7:$B$106,MATCH($U289,MUSTERILER!$T$7:$T$106,0)),IFERROR(INDEX(MUSTERILER!$B$7:$B$106,MATCH($E289,MUSTERILER!$B$7:$B$106,0)),IFERROR(INDEX(MUSTERILER!$B$7:$B$106,MATCH($U289&amp;"*",MUSTERILER!$T$7:$T$106,0)),"TANIMSIZ MÜŞTERİ"))))</f>
        <v/>
      </c>
      <c r="E289" s="109" t="n"/>
      <c r="F289" s="109" t="n"/>
      <c r="G289" s="108" t="n"/>
      <c r="H289" s="220" t="n"/>
      <c r="I289" s="220" t="n"/>
      <c r="J289" s="108" t="n"/>
      <c r="K289" s="108" t="n"/>
      <c r="L289" s="109" t="n"/>
      <c r="M289" s="109" t="n"/>
      <c r="N289" s="109" t="n"/>
      <c r="O289" s="220" t="n"/>
      <c r="P289" s="227">
        <f>IF(OR($E289="",$I289=""),"",IF(OR($J289="Tamamlandı",$J289="İptal"),"",$I289-TODAY()))</f>
        <v/>
      </c>
      <c r="Q289" s="113">
        <f>IF($E289="","",IF($D289="TANIMSIZ MÜŞTERİ","HATA",IF(OR($J289="Tamamlandı",$J289="İptal"),"KAPALI",IF(AND($C289="Görüşme",$N289=""),"SONRAKİ İŞLEM EKSİK",IF($I289="","TARİH EKSİK",IF($I289&lt;TODAY(),"GECİKMİŞ",IF($I289=TODAY(),"BUGÜN",IF($I289&lt;=TODAY()+7,"7 GÜN İÇİNDE","PLANLI"))))))))</f>
        <v/>
      </c>
      <c r="R289" s="6" t="n"/>
      <c r="S289" s="6" t="n"/>
      <c r="T289" s="3" t="n"/>
      <c r="U289" s="3">
        <f>IF($E289="","",UPPER(SUBSTITUTE(SUBSTITUTE(SUBSTITUTE(SUBSTITUTE(SUBSTITUTE(SUBSTITUTE(SUBSTITUTE(SUBSTITUTE(SUBSTITUTE(SUBSTITUTE(SUBSTITUTE(SUBSTITUTE(SUBSTITUTE(SUBSTITUTE(SUBSTITUTE(SUBSTITUTE(SUBSTITUTE(SUBSTITUTE(TRIM($E289),"'",""),"İ","I"),"ı","I"),"i","I"),"Ş","S"),"ş","S"),"Ğ","G"),"ğ","G"),"Ü","U"),"ü","U"),"Ö","O"),"ö","O"),"Ç","C"),"ç","C"),".",""),",","")," ",""),"-","")))</f>
        <v/>
      </c>
    </row>
    <row r="290">
      <c r="A290" s="6" t="n"/>
      <c r="B290" s="113">
        <f>IF($E290="","","A"&amp;TEXT(ROW()-6,"00000"))</f>
        <v/>
      </c>
      <c r="C290" s="108" t="n"/>
      <c r="D290" s="113">
        <f>IF($E290="","",IFERROR(INDEX(MUSTERILER!$B$7:$B$106,MATCH($U290,MUSTERILER!$T$7:$T$106,0)),IFERROR(INDEX(MUSTERILER!$B$7:$B$106,MATCH($E290,MUSTERILER!$B$7:$B$106,0)),IFERROR(INDEX(MUSTERILER!$B$7:$B$106,MATCH($U290&amp;"*",MUSTERILER!$T$7:$T$106,0)),"TANIMSIZ MÜŞTERİ"))))</f>
        <v/>
      </c>
      <c r="E290" s="109" t="n"/>
      <c r="F290" s="109" t="n"/>
      <c r="G290" s="108" t="n"/>
      <c r="H290" s="220" t="n"/>
      <c r="I290" s="220" t="n"/>
      <c r="J290" s="108" t="n"/>
      <c r="K290" s="108" t="n"/>
      <c r="L290" s="109" t="n"/>
      <c r="M290" s="109" t="n"/>
      <c r="N290" s="109" t="n"/>
      <c r="O290" s="220" t="n"/>
      <c r="P290" s="227">
        <f>IF(OR($E290="",$I290=""),"",IF(OR($J290="Tamamlandı",$J290="İptal"),"",$I290-TODAY()))</f>
        <v/>
      </c>
      <c r="Q290" s="113">
        <f>IF($E290="","",IF($D290="TANIMSIZ MÜŞTERİ","HATA",IF(OR($J290="Tamamlandı",$J290="İptal"),"KAPALI",IF(AND($C290="Görüşme",$N290=""),"SONRAKİ İŞLEM EKSİK",IF($I290="","TARİH EKSİK",IF($I290&lt;TODAY(),"GECİKMİŞ",IF($I290=TODAY(),"BUGÜN",IF($I290&lt;=TODAY()+7,"7 GÜN İÇİNDE","PLANLI"))))))))</f>
        <v/>
      </c>
      <c r="R290" s="6" t="n"/>
      <c r="S290" s="6" t="n"/>
      <c r="T290" s="3" t="n"/>
      <c r="U290" s="3">
        <f>IF($E290="","",UPPER(SUBSTITUTE(SUBSTITUTE(SUBSTITUTE(SUBSTITUTE(SUBSTITUTE(SUBSTITUTE(SUBSTITUTE(SUBSTITUTE(SUBSTITUTE(SUBSTITUTE(SUBSTITUTE(SUBSTITUTE(SUBSTITUTE(SUBSTITUTE(SUBSTITUTE(SUBSTITUTE(SUBSTITUTE(SUBSTITUTE(TRIM($E290),"'",""),"İ","I"),"ı","I"),"i","I"),"Ş","S"),"ş","S"),"Ğ","G"),"ğ","G"),"Ü","U"),"ü","U"),"Ö","O"),"ö","O"),"Ç","C"),"ç","C"),".",""),",","")," ",""),"-","")))</f>
        <v/>
      </c>
    </row>
    <row r="291">
      <c r="A291" s="6" t="n"/>
      <c r="B291" s="113">
        <f>IF($E291="","","A"&amp;TEXT(ROW()-6,"00000"))</f>
        <v/>
      </c>
      <c r="C291" s="108" t="n"/>
      <c r="D291" s="113">
        <f>IF($E291="","",IFERROR(INDEX(MUSTERILER!$B$7:$B$106,MATCH($U291,MUSTERILER!$T$7:$T$106,0)),IFERROR(INDEX(MUSTERILER!$B$7:$B$106,MATCH($E291,MUSTERILER!$B$7:$B$106,0)),IFERROR(INDEX(MUSTERILER!$B$7:$B$106,MATCH($U291&amp;"*",MUSTERILER!$T$7:$T$106,0)),"TANIMSIZ MÜŞTERİ"))))</f>
        <v/>
      </c>
      <c r="E291" s="109" t="n"/>
      <c r="F291" s="109" t="n"/>
      <c r="G291" s="108" t="n"/>
      <c r="H291" s="220" t="n"/>
      <c r="I291" s="220" t="n"/>
      <c r="J291" s="108" t="n"/>
      <c r="K291" s="108" t="n"/>
      <c r="L291" s="109" t="n"/>
      <c r="M291" s="109" t="n"/>
      <c r="N291" s="109" t="n"/>
      <c r="O291" s="220" t="n"/>
      <c r="P291" s="227">
        <f>IF(OR($E291="",$I291=""),"",IF(OR($J291="Tamamlandı",$J291="İptal"),"",$I291-TODAY()))</f>
        <v/>
      </c>
      <c r="Q291" s="113">
        <f>IF($E291="","",IF($D291="TANIMSIZ MÜŞTERİ","HATA",IF(OR($J291="Tamamlandı",$J291="İptal"),"KAPALI",IF(AND($C291="Görüşme",$N291=""),"SONRAKİ İŞLEM EKSİK",IF($I291="","TARİH EKSİK",IF($I291&lt;TODAY(),"GECİKMİŞ",IF($I291=TODAY(),"BUGÜN",IF($I291&lt;=TODAY()+7,"7 GÜN İÇİNDE","PLANLI"))))))))</f>
        <v/>
      </c>
      <c r="R291" s="6" t="n"/>
      <c r="S291" s="6" t="n"/>
      <c r="T291" s="3" t="n"/>
      <c r="U291" s="3">
        <f>IF($E291="","",UPPER(SUBSTITUTE(SUBSTITUTE(SUBSTITUTE(SUBSTITUTE(SUBSTITUTE(SUBSTITUTE(SUBSTITUTE(SUBSTITUTE(SUBSTITUTE(SUBSTITUTE(SUBSTITUTE(SUBSTITUTE(SUBSTITUTE(SUBSTITUTE(SUBSTITUTE(SUBSTITUTE(SUBSTITUTE(SUBSTITUTE(TRIM($E291),"'",""),"İ","I"),"ı","I"),"i","I"),"Ş","S"),"ş","S"),"Ğ","G"),"ğ","G"),"Ü","U"),"ü","U"),"Ö","O"),"ö","O"),"Ç","C"),"ç","C"),".",""),",","")," ",""),"-","")))</f>
        <v/>
      </c>
    </row>
    <row r="292">
      <c r="A292" s="6" t="n"/>
      <c r="B292" s="113">
        <f>IF($E292="","","A"&amp;TEXT(ROW()-6,"00000"))</f>
        <v/>
      </c>
      <c r="C292" s="108" t="n"/>
      <c r="D292" s="113">
        <f>IF($E292="","",IFERROR(INDEX(MUSTERILER!$B$7:$B$106,MATCH($U292,MUSTERILER!$T$7:$T$106,0)),IFERROR(INDEX(MUSTERILER!$B$7:$B$106,MATCH($E292,MUSTERILER!$B$7:$B$106,0)),IFERROR(INDEX(MUSTERILER!$B$7:$B$106,MATCH($U292&amp;"*",MUSTERILER!$T$7:$T$106,0)),"TANIMSIZ MÜŞTERİ"))))</f>
        <v/>
      </c>
      <c r="E292" s="109" t="n"/>
      <c r="F292" s="109" t="n"/>
      <c r="G292" s="108" t="n"/>
      <c r="H292" s="220" t="n"/>
      <c r="I292" s="220" t="n"/>
      <c r="J292" s="108" t="n"/>
      <c r="K292" s="108" t="n"/>
      <c r="L292" s="109" t="n"/>
      <c r="M292" s="109" t="n"/>
      <c r="N292" s="109" t="n"/>
      <c r="O292" s="220" t="n"/>
      <c r="P292" s="227">
        <f>IF(OR($E292="",$I292=""),"",IF(OR($J292="Tamamlandı",$J292="İptal"),"",$I292-TODAY()))</f>
        <v/>
      </c>
      <c r="Q292" s="113">
        <f>IF($E292="","",IF($D292="TANIMSIZ MÜŞTERİ","HATA",IF(OR($J292="Tamamlandı",$J292="İptal"),"KAPALI",IF(AND($C292="Görüşme",$N292=""),"SONRAKİ İŞLEM EKSİK",IF($I292="","TARİH EKSİK",IF($I292&lt;TODAY(),"GECİKMİŞ",IF($I292=TODAY(),"BUGÜN",IF($I292&lt;=TODAY()+7,"7 GÜN İÇİNDE","PLANLI"))))))))</f>
        <v/>
      </c>
      <c r="R292" s="6" t="n"/>
      <c r="S292" s="6" t="n"/>
      <c r="T292" s="3" t="n"/>
      <c r="U292" s="3">
        <f>IF($E292="","",UPPER(SUBSTITUTE(SUBSTITUTE(SUBSTITUTE(SUBSTITUTE(SUBSTITUTE(SUBSTITUTE(SUBSTITUTE(SUBSTITUTE(SUBSTITUTE(SUBSTITUTE(SUBSTITUTE(SUBSTITUTE(SUBSTITUTE(SUBSTITUTE(SUBSTITUTE(SUBSTITUTE(SUBSTITUTE(SUBSTITUTE(TRIM($E292),"'",""),"İ","I"),"ı","I"),"i","I"),"Ş","S"),"ş","S"),"Ğ","G"),"ğ","G"),"Ü","U"),"ü","U"),"Ö","O"),"ö","O"),"Ç","C"),"ç","C"),".",""),",","")," ",""),"-","")))</f>
        <v/>
      </c>
    </row>
    <row r="293">
      <c r="A293" s="6" t="n"/>
      <c r="B293" s="113">
        <f>IF($E293="","","A"&amp;TEXT(ROW()-6,"00000"))</f>
        <v/>
      </c>
      <c r="C293" s="108" t="n"/>
      <c r="D293" s="113">
        <f>IF($E293="","",IFERROR(INDEX(MUSTERILER!$B$7:$B$106,MATCH($U293,MUSTERILER!$T$7:$T$106,0)),IFERROR(INDEX(MUSTERILER!$B$7:$B$106,MATCH($E293,MUSTERILER!$B$7:$B$106,0)),IFERROR(INDEX(MUSTERILER!$B$7:$B$106,MATCH($U293&amp;"*",MUSTERILER!$T$7:$T$106,0)),"TANIMSIZ MÜŞTERİ"))))</f>
        <v/>
      </c>
      <c r="E293" s="109" t="n"/>
      <c r="F293" s="109" t="n"/>
      <c r="G293" s="108" t="n"/>
      <c r="H293" s="220" t="n"/>
      <c r="I293" s="220" t="n"/>
      <c r="J293" s="108" t="n"/>
      <c r="K293" s="108" t="n"/>
      <c r="L293" s="109" t="n"/>
      <c r="M293" s="109" t="n"/>
      <c r="N293" s="109" t="n"/>
      <c r="O293" s="220" t="n"/>
      <c r="P293" s="227">
        <f>IF(OR($E293="",$I293=""),"",IF(OR($J293="Tamamlandı",$J293="İptal"),"",$I293-TODAY()))</f>
        <v/>
      </c>
      <c r="Q293" s="113">
        <f>IF($E293="","",IF($D293="TANIMSIZ MÜŞTERİ","HATA",IF(OR($J293="Tamamlandı",$J293="İptal"),"KAPALI",IF(AND($C293="Görüşme",$N293=""),"SONRAKİ İŞLEM EKSİK",IF($I293="","TARİH EKSİK",IF($I293&lt;TODAY(),"GECİKMİŞ",IF($I293=TODAY(),"BUGÜN",IF($I293&lt;=TODAY()+7,"7 GÜN İÇİNDE","PLANLI"))))))))</f>
        <v/>
      </c>
      <c r="R293" s="6" t="n"/>
      <c r="S293" s="6" t="n"/>
      <c r="T293" s="3" t="n"/>
      <c r="U293" s="3">
        <f>IF($E293="","",UPPER(SUBSTITUTE(SUBSTITUTE(SUBSTITUTE(SUBSTITUTE(SUBSTITUTE(SUBSTITUTE(SUBSTITUTE(SUBSTITUTE(SUBSTITUTE(SUBSTITUTE(SUBSTITUTE(SUBSTITUTE(SUBSTITUTE(SUBSTITUTE(SUBSTITUTE(SUBSTITUTE(SUBSTITUTE(SUBSTITUTE(TRIM($E293),"'",""),"İ","I"),"ı","I"),"i","I"),"Ş","S"),"ş","S"),"Ğ","G"),"ğ","G"),"Ü","U"),"ü","U"),"Ö","O"),"ö","O"),"Ç","C"),"ç","C"),".",""),",","")," ",""),"-","")))</f>
        <v/>
      </c>
    </row>
    <row r="294">
      <c r="A294" s="6" t="n"/>
      <c r="B294" s="113">
        <f>IF($E294="","","A"&amp;TEXT(ROW()-6,"00000"))</f>
        <v/>
      </c>
      <c r="C294" s="108" t="n"/>
      <c r="D294" s="113">
        <f>IF($E294="","",IFERROR(INDEX(MUSTERILER!$B$7:$B$106,MATCH($U294,MUSTERILER!$T$7:$T$106,0)),IFERROR(INDEX(MUSTERILER!$B$7:$B$106,MATCH($E294,MUSTERILER!$B$7:$B$106,0)),IFERROR(INDEX(MUSTERILER!$B$7:$B$106,MATCH($U294&amp;"*",MUSTERILER!$T$7:$T$106,0)),"TANIMSIZ MÜŞTERİ"))))</f>
        <v/>
      </c>
      <c r="E294" s="109" t="n"/>
      <c r="F294" s="109" t="n"/>
      <c r="G294" s="108" t="n"/>
      <c r="H294" s="220" t="n"/>
      <c r="I294" s="220" t="n"/>
      <c r="J294" s="108" t="n"/>
      <c r="K294" s="108" t="n"/>
      <c r="L294" s="109" t="n"/>
      <c r="M294" s="109" t="n"/>
      <c r="N294" s="109" t="n"/>
      <c r="O294" s="220" t="n"/>
      <c r="P294" s="227">
        <f>IF(OR($E294="",$I294=""),"",IF(OR($J294="Tamamlandı",$J294="İptal"),"",$I294-TODAY()))</f>
        <v/>
      </c>
      <c r="Q294" s="113">
        <f>IF($E294="","",IF($D294="TANIMSIZ MÜŞTERİ","HATA",IF(OR($J294="Tamamlandı",$J294="İptal"),"KAPALI",IF(AND($C294="Görüşme",$N294=""),"SONRAKİ İŞLEM EKSİK",IF($I294="","TARİH EKSİK",IF($I294&lt;TODAY(),"GECİKMİŞ",IF($I294=TODAY(),"BUGÜN",IF($I294&lt;=TODAY()+7,"7 GÜN İÇİNDE","PLANLI"))))))))</f>
        <v/>
      </c>
      <c r="R294" s="6" t="n"/>
      <c r="S294" s="6" t="n"/>
      <c r="T294" s="3" t="n"/>
      <c r="U294" s="3">
        <f>IF($E294="","",UPPER(SUBSTITUTE(SUBSTITUTE(SUBSTITUTE(SUBSTITUTE(SUBSTITUTE(SUBSTITUTE(SUBSTITUTE(SUBSTITUTE(SUBSTITUTE(SUBSTITUTE(SUBSTITUTE(SUBSTITUTE(SUBSTITUTE(SUBSTITUTE(SUBSTITUTE(SUBSTITUTE(SUBSTITUTE(SUBSTITUTE(TRIM($E294),"'",""),"İ","I"),"ı","I"),"i","I"),"Ş","S"),"ş","S"),"Ğ","G"),"ğ","G"),"Ü","U"),"ü","U"),"Ö","O"),"ö","O"),"Ç","C"),"ç","C"),".",""),",","")," ",""),"-","")))</f>
        <v/>
      </c>
    </row>
    <row r="295">
      <c r="A295" s="6" t="n"/>
      <c r="B295" s="113">
        <f>IF($E295="","","A"&amp;TEXT(ROW()-6,"00000"))</f>
        <v/>
      </c>
      <c r="C295" s="108" t="n"/>
      <c r="D295" s="113">
        <f>IF($E295="","",IFERROR(INDEX(MUSTERILER!$B$7:$B$106,MATCH($U295,MUSTERILER!$T$7:$T$106,0)),IFERROR(INDEX(MUSTERILER!$B$7:$B$106,MATCH($E295,MUSTERILER!$B$7:$B$106,0)),IFERROR(INDEX(MUSTERILER!$B$7:$B$106,MATCH($U295&amp;"*",MUSTERILER!$T$7:$T$106,0)),"TANIMSIZ MÜŞTERİ"))))</f>
        <v/>
      </c>
      <c r="E295" s="109" t="n"/>
      <c r="F295" s="109" t="n"/>
      <c r="G295" s="108" t="n"/>
      <c r="H295" s="220" t="n"/>
      <c r="I295" s="220" t="n"/>
      <c r="J295" s="108" t="n"/>
      <c r="K295" s="108" t="n"/>
      <c r="L295" s="109" t="n"/>
      <c r="M295" s="109" t="n"/>
      <c r="N295" s="109" t="n"/>
      <c r="O295" s="220" t="n"/>
      <c r="P295" s="227">
        <f>IF(OR($E295="",$I295=""),"",IF(OR($J295="Tamamlandı",$J295="İptal"),"",$I295-TODAY()))</f>
        <v/>
      </c>
      <c r="Q295" s="113">
        <f>IF($E295="","",IF($D295="TANIMSIZ MÜŞTERİ","HATA",IF(OR($J295="Tamamlandı",$J295="İptal"),"KAPALI",IF(AND($C295="Görüşme",$N295=""),"SONRAKİ İŞLEM EKSİK",IF($I295="","TARİH EKSİK",IF($I295&lt;TODAY(),"GECİKMİŞ",IF($I295=TODAY(),"BUGÜN",IF($I295&lt;=TODAY()+7,"7 GÜN İÇİNDE","PLANLI"))))))))</f>
        <v/>
      </c>
      <c r="R295" s="6" t="n"/>
      <c r="S295" s="6" t="n"/>
      <c r="T295" s="3" t="n"/>
      <c r="U295" s="3">
        <f>IF($E295="","",UPPER(SUBSTITUTE(SUBSTITUTE(SUBSTITUTE(SUBSTITUTE(SUBSTITUTE(SUBSTITUTE(SUBSTITUTE(SUBSTITUTE(SUBSTITUTE(SUBSTITUTE(SUBSTITUTE(SUBSTITUTE(SUBSTITUTE(SUBSTITUTE(SUBSTITUTE(SUBSTITUTE(SUBSTITUTE(SUBSTITUTE(TRIM($E295),"'",""),"İ","I"),"ı","I"),"i","I"),"Ş","S"),"ş","S"),"Ğ","G"),"ğ","G"),"Ü","U"),"ü","U"),"Ö","O"),"ö","O"),"Ç","C"),"ç","C"),".",""),",","")," ",""),"-","")))</f>
        <v/>
      </c>
    </row>
    <row r="296">
      <c r="A296" s="6" t="n"/>
      <c r="B296" s="113">
        <f>IF($E296="","","A"&amp;TEXT(ROW()-6,"00000"))</f>
        <v/>
      </c>
      <c r="C296" s="108" t="n"/>
      <c r="D296" s="113">
        <f>IF($E296="","",IFERROR(INDEX(MUSTERILER!$B$7:$B$106,MATCH($U296,MUSTERILER!$T$7:$T$106,0)),IFERROR(INDEX(MUSTERILER!$B$7:$B$106,MATCH($E296,MUSTERILER!$B$7:$B$106,0)),IFERROR(INDEX(MUSTERILER!$B$7:$B$106,MATCH($U296&amp;"*",MUSTERILER!$T$7:$T$106,0)),"TANIMSIZ MÜŞTERİ"))))</f>
        <v/>
      </c>
      <c r="E296" s="109" t="n"/>
      <c r="F296" s="109" t="n"/>
      <c r="G296" s="108" t="n"/>
      <c r="H296" s="220" t="n"/>
      <c r="I296" s="220" t="n"/>
      <c r="J296" s="108" t="n"/>
      <c r="K296" s="108" t="n"/>
      <c r="L296" s="109" t="n"/>
      <c r="M296" s="109" t="n"/>
      <c r="N296" s="109" t="n"/>
      <c r="O296" s="220" t="n"/>
      <c r="P296" s="227">
        <f>IF(OR($E296="",$I296=""),"",IF(OR($J296="Tamamlandı",$J296="İptal"),"",$I296-TODAY()))</f>
        <v/>
      </c>
      <c r="Q296" s="113">
        <f>IF($E296="","",IF($D296="TANIMSIZ MÜŞTERİ","HATA",IF(OR($J296="Tamamlandı",$J296="İptal"),"KAPALI",IF(AND($C296="Görüşme",$N296=""),"SONRAKİ İŞLEM EKSİK",IF($I296="","TARİH EKSİK",IF($I296&lt;TODAY(),"GECİKMİŞ",IF($I296=TODAY(),"BUGÜN",IF($I296&lt;=TODAY()+7,"7 GÜN İÇİNDE","PLANLI"))))))))</f>
        <v/>
      </c>
      <c r="R296" s="6" t="n"/>
      <c r="S296" s="6" t="n"/>
      <c r="T296" s="3" t="n"/>
      <c r="U296" s="3">
        <f>IF($E296="","",UPPER(SUBSTITUTE(SUBSTITUTE(SUBSTITUTE(SUBSTITUTE(SUBSTITUTE(SUBSTITUTE(SUBSTITUTE(SUBSTITUTE(SUBSTITUTE(SUBSTITUTE(SUBSTITUTE(SUBSTITUTE(SUBSTITUTE(SUBSTITUTE(SUBSTITUTE(SUBSTITUTE(SUBSTITUTE(SUBSTITUTE(TRIM($E296),"'",""),"İ","I"),"ı","I"),"i","I"),"Ş","S"),"ş","S"),"Ğ","G"),"ğ","G"),"Ü","U"),"ü","U"),"Ö","O"),"ö","O"),"Ç","C"),"ç","C"),".",""),",","")," ",""),"-","")))</f>
        <v/>
      </c>
    </row>
    <row r="297">
      <c r="A297" s="6" t="n"/>
      <c r="B297" s="113">
        <f>IF($E297="","","A"&amp;TEXT(ROW()-6,"00000"))</f>
        <v/>
      </c>
      <c r="C297" s="108" t="n"/>
      <c r="D297" s="113">
        <f>IF($E297="","",IFERROR(INDEX(MUSTERILER!$B$7:$B$106,MATCH($U297,MUSTERILER!$T$7:$T$106,0)),IFERROR(INDEX(MUSTERILER!$B$7:$B$106,MATCH($E297,MUSTERILER!$B$7:$B$106,0)),IFERROR(INDEX(MUSTERILER!$B$7:$B$106,MATCH($U297&amp;"*",MUSTERILER!$T$7:$T$106,0)),"TANIMSIZ MÜŞTERİ"))))</f>
        <v/>
      </c>
      <c r="E297" s="109" t="n"/>
      <c r="F297" s="109" t="n"/>
      <c r="G297" s="108" t="n"/>
      <c r="H297" s="220" t="n"/>
      <c r="I297" s="220" t="n"/>
      <c r="J297" s="108" t="n"/>
      <c r="K297" s="108" t="n"/>
      <c r="L297" s="109" t="n"/>
      <c r="M297" s="109" t="n"/>
      <c r="N297" s="109" t="n"/>
      <c r="O297" s="220" t="n"/>
      <c r="P297" s="227">
        <f>IF(OR($E297="",$I297=""),"",IF(OR($J297="Tamamlandı",$J297="İptal"),"",$I297-TODAY()))</f>
        <v/>
      </c>
      <c r="Q297" s="113">
        <f>IF($E297="","",IF($D297="TANIMSIZ MÜŞTERİ","HATA",IF(OR($J297="Tamamlandı",$J297="İptal"),"KAPALI",IF(AND($C297="Görüşme",$N297=""),"SONRAKİ İŞLEM EKSİK",IF($I297="","TARİH EKSİK",IF($I297&lt;TODAY(),"GECİKMİŞ",IF($I297=TODAY(),"BUGÜN",IF($I297&lt;=TODAY()+7,"7 GÜN İÇİNDE","PLANLI"))))))))</f>
        <v/>
      </c>
      <c r="R297" s="6" t="n"/>
      <c r="S297" s="6" t="n"/>
      <c r="T297" s="3" t="n"/>
      <c r="U297" s="3">
        <f>IF($E297="","",UPPER(SUBSTITUTE(SUBSTITUTE(SUBSTITUTE(SUBSTITUTE(SUBSTITUTE(SUBSTITUTE(SUBSTITUTE(SUBSTITUTE(SUBSTITUTE(SUBSTITUTE(SUBSTITUTE(SUBSTITUTE(SUBSTITUTE(SUBSTITUTE(SUBSTITUTE(SUBSTITUTE(SUBSTITUTE(SUBSTITUTE(TRIM($E297),"'",""),"İ","I"),"ı","I"),"i","I"),"Ş","S"),"ş","S"),"Ğ","G"),"ğ","G"),"Ü","U"),"ü","U"),"Ö","O"),"ö","O"),"Ç","C"),"ç","C"),".",""),",","")," ",""),"-","")))</f>
        <v/>
      </c>
    </row>
    <row r="298">
      <c r="A298" s="6" t="n"/>
      <c r="B298" s="113">
        <f>IF($E298="","","A"&amp;TEXT(ROW()-6,"00000"))</f>
        <v/>
      </c>
      <c r="C298" s="108" t="n"/>
      <c r="D298" s="113">
        <f>IF($E298="","",IFERROR(INDEX(MUSTERILER!$B$7:$B$106,MATCH($U298,MUSTERILER!$T$7:$T$106,0)),IFERROR(INDEX(MUSTERILER!$B$7:$B$106,MATCH($E298,MUSTERILER!$B$7:$B$106,0)),IFERROR(INDEX(MUSTERILER!$B$7:$B$106,MATCH($U298&amp;"*",MUSTERILER!$T$7:$T$106,0)),"TANIMSIZ MÜŞTERİ"))))</f>
        <v/>
      </c>
      <c r="E298" s="109" t="n"/>
      <c r="F298" s="109" t="n"/>
      <c r="G298" s="108" t="n"/>
      <c r="H298" s="220" t="n"/>
      <c r="I298" s="220" t="n"/>
      <c r="J298" s="108" t="n"/>
      <c r="K298" s="108" t="n"/>
      <c r="L298" s="109" t="n"/>
      <c r="M298" s="109" t="n"/>
      <c r="N298" s="109" t="n"/>
      <c r="O298" s="220" t="n"/>
      <c r="P298" s="227">
        <f>IF(OR($E298="",$I298=""),"",IF(OR($J298="Tamamlandı",$J298="İptal"),"",$I298-TODAY()))</f>
        <v/>
      </c>
      <c r="Q298" s="113">
        <f>IF($E298="","",IF($D298="TANIMSIZ MÜŞTERİ","HATA",IF(OR($J298="Tamamlandı",$J298="İptal"),"KAPALI",IF(AND($C298="Görüşme",$N298=""),"SONRAKİ İŞLEM EKSİK",IF($I298="","TARİH EKSİK",IF($I298&lt;TODAY(),"GECİKMİŞ",IF($I298=TODAY(),"BUGÜN",IF($I298&lt;=TODAY()+7,"7 GÜN İÇİNDE","PLANLI"))))))))</f>
        <v/>
      </c>
      <c r="R298" s="6" t="n"/>
      <c r="S298" s="6" t="n"/>
      <c r="T298" s="3" t="n"/>
      <c r="U298" s="3">
        <f>IF($E298="","",UPPER(SUBSTITUTE(SUBSTITUTE(SUBSTITUTE(SUBSTITUTE(SUBSTITUTE(SUBSTITUTE(SUBSTITUTE(SUBSTITUTE(SUBSTITUTE(SUBSTITUTE(SUBSTITUTE(SUBSTITUTE(SUBSTITUTE(SUBSTITUTE(SUBSTITUTE(SUBSTITUTE(SUBSTITUTE(SUBSTITUTE(TRIM($E298),"'",""),"İ","I"),"ı","I"),"i","I"),"Ş","S"),"ş","S"),"Ğ","G"),"ğ","G"),"Ü","U"),"ü","U"),"Ö","O"),"ö","O"),"Ç","C"),"ç","C"),".",""),",","")," ",""),"-","")))</f>
        <v/>
      </c>
    </row>
    <row r="299">
      <c r="A299" s="6" t="n"/>
      <c r="B299" s="113">
        <f>IF($E299="","","A"&amp;TEXT(ROW()-6,"00000"))</f>
        <v/>
      </c>
      <c r="C299" s="108" t="n"/>
      <c r="D299" s="113">
        <f>IF($E299="","",IFERROR(INDEX(MUSTERILER!$B$7:$B$106,MATCH($U299,MUSTERILER!$T$7:$T$106,0)),IFERROR(INDEX(MUSTERILER!$B$7:$B$106,MATCH($E299,MUSTERILER!$B$7:$B$106,0)),IFERROR(INDEX(MUSTERILER!$B$7:$B$106,MATCH($U299&amp;"*",MUSTERILER!$T$7:$T$106,0)),"TANIMSIZ MÜŞTERİ"))))</f>
        <v/>
      </c>
      <c r="E299" s="109" t="n"/>
      <c r="F299" s="109" t="n"/>
      <c r="G299" s="108" t="n"/>
      <c r="H299" s="220" t="n"/>
      <c r="I299" s="220" t="n"/>
      <c r="J299" s="108" t="n"/>
      <c r="K299" s="108" t="n"/>
      <c r="L299" s="109" t="n"/>
      <c r="M299" s="109" t="n"/>
      <c r="N299" s="109" t="n"/>
      <c r="O299" s="220" t="n"/>
      <c r="P299" s="227">
        <f>IF(OR($E299="",$I299=""),"",IF(OR($J299="Tamamlandı",$J299="İptal"),"",$I299-TODAY()))</f>
        <v/>
      </c>
      <c r="Q299" s="113">
        <f>IF($E299="","",IF($D299="TANIMSIZ MÜŞTERİ","HATA",IF(OR($J299="Tamamlandı",$J299="İptal"),"KAPALI",IF(AND($C299="Görüşme",$N299=""),"SONRAKİ İŞLEM EKSİK",IF($I299="","TARİH EKSİK",IF($I299&lt;TODAY(),"GECİKMİŞ",IF($I299=TODAY(),"BUGÜN",IF($I299&lt;=TODAY()+7,"7 GÜN İÇİNDE","PLANLI"))))))))</f>
        <v/>
      </c>
      <c r="R299" s="6" t="n"/>
      <c r="S299" s="6" t="n"/>
      <c r="T299" s="3" t="n"/>
      <c r="U299" s="3">
        <f>IF($E299="","",UPPER(SUBSTITUTE(SUBSTITUTE(SUBSTITUTE(SUBSTITUTE(SUBSTITUTE(SUBSTITUTE(SUBSTITUTE(SUBSTITUTE(SUBSTITUTE(SUBSTITUTE(SUBSTITUTE(SUBSTITUTE(SUBSTITUTE(SUBSTITUTE(SUBSTITUTE(SUBSTITUTE(SUBSTITUTE(SUBSTITUTE(TRIM($E299),"'",""),"İ","I"),"ı","I"),"i","I"),"Ş","S"),"ş","S"),"Ğ","G"),"ğ","G"),"Ü","U"),"ü","U"),"Ö","O"),"ö","O"),"Ç","C"),"ç","C"),".",""),",","")," ",""),"-","")))</f>
        <v/>
      </c>
    </row>
    <row r="300">
      <c r="A300" s="6" t="n"/>
      <c r="B300" s="113">
        <f>IF($E300="","","A"&amp;TEXT(ROW()-6,"00000"))</f>
        <v/>
      </c>
      <c r="C300" s="108" t="n"/>
      <c r="D300" s="113">
        <f>IF($E300="","",IFERROR(INDEX(MUSTERILER!$B$7:$B$106,MATCH($U300,MUSTERILER!$T$7:$T$106,0)),IFERROR(INDEX(MUSTERILER!$B$7:$B$106,MATCH($E300,MUSTERILER!$B$7:$B$106,0)),IFERROR(INDEX(MUSTERILER!$B$7:$B$106,MATCH($U300&amp;"*",MUSTERILER!$T$7:$T$106,0)),"TANIMSIZ MÜŞTERİ"))))</f>
        <v/>
      </c>
      <c r="E300" s="109" t="n"/>
      <c r="F300" s="109" t="n"/>
      <c r="G300" s="108" t="n"/>
      <c r="H300" s="220" t="n"/>
      <c r="I300" s="220" t="n"/>
      <c r="J300" s="108" t="n"/>
      <c r="K300" s="108" t="n"/>
      <c r="L300" s="109" t="n"/>
      <c r="M300" s="109" t="n"/>
      <c r="N300" s="109" t="n"/>
      <c r="O300" s="220" t="n"/>
      <c r="P300" s="227">
        <f>IF(OR($E300="",$I300=""),"",IF(OR($J300="Tamamlandı",$J300="İptal"),"",$I300-TODAY()))</f>
        <v/>
      </c>
      <c r="Q300" s="113">
        <f>IF($E300="","",IF($D300="TANIMSIZ MÜŞTERİ","HATA",IF(OR($J300="Tamamlandı",$J300="İptal"),"KAPALI",IF(AND($C300="Görüşme",$N300=""),"SONRAKİ İŞLEM EKSİK",IF($I300="","TARİH EKSİK",IF($I300&lt;TODAY(),"GECİKMİŞ",IF($I300=TODAY(),"BUGÜN",IF($I300&lt;=TODAY()+7,"7 GÜN İÇİNDE","PLANLI"))))))))</f>
        <v/>
      </c>
      <c r="R300" s="6" t="n"/>
      <c r="S300" s="6" t="n"/>
      <c r="T300" s="3" t="n"/>
      <c r="U300" s="3">
        <f>IF($E300="","",UPPER(SUBSTITUTE(SUBSTITUTE(SUBSTITUTE(SUBSTITUTE(SUBSTITUTE(SUBSTITUTE(SUBSTITUTE(SUBSTITUTE(SUBSTITUTE(SUBSTITUTE(SUBSTITUTE(SUBSTITUTE(SUBSTITUTE(SUBSTITUTE(SUBSTITUTE(SUBSTITUTE(SUBSTITUTE(SUBSTITUTE(TRIM($E300),"'",""),"İ","I"),"ı","I"),"i","I"),"Ş","S"),"ş","S"),"Ğ","G"),"ğ","G"),"Ü","U"),"ü","U"),"Ö","O"),"ö","O"),"Ç","C"),"ç","C"),".",""),",","")," ",""),"-","")))</f>
        <v/>
      </c>
    </row>
    <row r="301">
      <c r="A301" s="6" t="n"/>
      <c r="B301" s="113">
        <f>IF($E301="","","A"&amp;TEXT(ROW()-6,"00000"))</f>
        <v/>
      </c>
      <c r="C301" s="108" t="n"/>
      <c r="D301" s="113">
        <f>IF($E301="","",IFERROR(INDEX(MUSTERILER!$B$7:$B$106,MATCH($U301,MUSTERILER!$T$7:$T$106,0)),IFERROR(INDEX(MUSTERILER!$B$7:$B$106,MATCH($E301,MUSTERILER!$B$7:$B$106,0)),IFERROR(INDEX(MUSTERILER!$B$7:$B$106,MATCH($U301&amp;"*",MUSTERILER!$T$7:$T$106,0)),"TANIMSIZ MÜŞTERİ"))))</f>
        <v/>
      </c>
      <c r="E301" s="109" t="n"/>
      <c r="F301" s="109" t="n"/>
      <c r="G301" s="108" t="n"/>
      <c r="H301" s="220" t="n"/>
      <c r="I301" s="220" t="n"/>
      <c r="J301" s="108" t="n"/>
      <c r="K301" s="108" t="n"/>
      <c r="L301" s="109" t="n"/>
      <c r="M301" s="109" t="n"/>
      <c r="N301" s="109" t="n"/>
      <c r="O301" s="220" t="n"/>
      <c r="P301" s="227">
        <f>IF(OR($E301="",$I301=""),"",IF(OR($J301="Tamamlandı",$J301="İptal"),"",$I301-TODAY()))</f>
        <v/>
      </c>
      <c r="Q301" s="113">
        <f>IF($E301="","",IF($D301="TANIMSIZ MÜŞTERİ","HATA",IF(OR($J301="Tamamlandı",$J301="İptal"),"KAPALI",IF(AND($C301="Görüşme",$N301=""),"SONRAKİ İŞLEM EKSİK",IF($I301="","TARİH EKSİK",IF($I301&lt;TODAY(),"GECİKMİŞ",IF($I301=TODAY(),"BUGÜN",IF($I301&lt;=TODAY()+7,"7 GÜN İÇİNDE","PLANLI"))))))))</f>
        <v/>
      </c>
      <c r="R301" s="6" t="n"/>
      <c r="S301" s="6" t="n"/>
      <c r="T301" s="3" t="n"/>
      <c r="U301" s="3">
        <f>IF($E301="","",UPPER(SUBSTITUTE(SUBSTITUTE(SUBSTITUTE(SUBSTITUTE(SUBSTITUTE(SUBSTITUTE(SUBSTITUTE(SUBSTITUTE(SUBSTITUTE(SUBSTITUTE(SUBSTITUTE(SUBSTITUTE(SUBSTITUTE(SUBSTITUTE(SUBSTITUTE(SUBSTITUTE(SUBSTITUTE(SUBSTITUTE(TRIM($E301),"'",""),"İ","I"),"ı","I"),"i","I"),"Ş","S"),"ş","S"),"Ğ","G"),"ğ","G"),"Ü","U"),"ü","U"),"Ö","O"),"ö","O"),"Ç","C"),"ç","C"),".",""),",","")," ",""),"-","")))</f>
        <v/>
      </c>
    </row>
    <row r="302">
      <c r="A302" s="6" t="n"/>
      <c r="B302" s="113">
        <f>IF($E302="","","A"&amp;TEXT(ROW()-6,"00000"))</f>
        <v/>
      </c>
      <c r="C302" s="108" t="n"/>
      <c r="D302" s="113">
        <f>IF($E302="","",IFERROR(INDEX(MUSTERILER!$B$7:$B$106,MATCH($U302,MUSTERILER!$T$7:$T$106,0)),IFERROR(INDEX(MUSTERILER!$B$7:$B$106,MATCH($E302,MUSTERILER!$B$7:$B$106,0)),IFERROR(INDEX(MUSTERILER!$B$7:$B$106,MATCH($U302&amp;"*",MUSTERILER!$T$7:$T$106,0)),"TANIMSIZ MÜŞTERİ"))))</f>
        <v/>
      </c>
      <c r="E302" s="109" t="n"/>
      <c r="F302" s="109" t="n"/>
      <c r="G302" s="108" t="n"/>
      <c r="H302" s="220" t="n"/>
      <c r="I302" s="220" t="n"/>
      <c r="J302" s="108" t="n"/>
      <c r="K302" s="108" t="n"/>
      <c r="L302" s="109" t="n"/>
      <c r="M302" s="109" t="n"/>
      <c r="N302" s="109" t="n"/>
      <c r="O302" s="220" t="n"/>
      <c r="P302" s="227">
        <f>IF(OR($E302="",$I302=""),"",IF(OR($J302="Tamamlandı",$J302="İptal"),"",$I302-TODAY()))</f>
        <v/>
      </c>
      <c r="Q302" s="113">
        <f>IF($E302="","",IF($D302="TANIMSIZ MÜŞTERİ","HATA",IF(OR($J302="Tamamlandı",$J302="İptal"),"KAPALI",IF(AND($C302="Görüşme",$N302=""),"SONRAKİ İŞLEM EKSİK",IF($I302="","TARİH EKSİK",IF($I302&lt;TODAY(),"GECİKMİŞ",IF($I302=TODAY(),"BUGÜN",IF($I302&lt;=TODAY()+7,"7 GÜN İÇİNDE","PLANLI"))))))))</f>
        <v/>
      </c>
      <c r="R302" s="6" t="n"/>
      <c r="S302" s="6" t="n"/>
      <c r="T302" s="3" t="n"/>
      <c r="U302" s="3">
        <f>IF($E302="","",UPPER(SUBSTITUTE(SUBSTITUTE(SUBSTITUTE(SUBSTITUTE(SUBSTITUTE(SUBSTITUTE(SUBSTITUTE(SUBSTITUTE(SUBSTITUTE(SUBSTITUTE(SUBSTITUTE(SUBSTITUTE(SUBSTITUTE(SUBSTITUTE(SUBSTITUTE(SUBSTITUTE(SUBSTITUTE(SUBSTITUTE(TRIM($E302),"'",""),"İ","I"),"ı","I"),"i","I"),"Ş","S"),"ş","S"),"Ğ","G"),"ğ","G"),"Ü","U"),"ü","U"),"Ö","O"),"ö","O"),"Ç","C"),"ç","C"),".",""),",","")," ",""),"-","")))</f>
        <v/>
      </c>
    </row>
    <row r="303">
      <c r="A303" s="6" t="n"/>
      <c r="B303" s="113">
        <f>IF($E303="","","A"&amp;TEXT(ROW()-6,"00000"))</f>
        <v/>
      </c>
      <c r="C303" s="108" t="n"/>
      <c r="D303" s="113">
        <f>IF($E303="","",IFERROR(INDEX(MUSTERILER!$B$7:$B$106,MATCH($U303,MUSTERILER!$T$7:$T$106,0)),IFERROR(INDEX(MUSTERILER!$B$7:$B$106,MATCH($E303,MUSTERILER!$B$7:$B$106,0)),IFERROR(INDEX(MUSTERILER!$B$7:$B$106,MATCH($U303&amp;"*",MUSTERILER!$T$7:$T$106,0)),"TANIMSIZ MÜŞTERİ"))))</f>
        <v/>
      </c>
      <c r="E303" s="109" t="n"/>
      <c r="F303" s="109" t="n"/>
      <c r="G303" s="108" t="n"/>
      <c r="H303" s="220" t="n"/>
      <c r="I303" s="220" t="n"/>
      <c r="J303" s="108" t="n"/>
      <c r="K303" s="108" t="n"/>
      <c r="L303" s="109" t="n"/>
      <c r="M303" s="109" t="n"/>
      <c r="N303" s="109" t="n"/>
      <c r="O303" s="220" t="n"/>
      <c r="P303" s="227">
        <f>IF(OR($E303="",$I303=""),"",IF(OR($J303="Tamamlandı",$J303="İptal"),"",$I303-TODAY()))</f>
        <v/>
      </c>
      <c r="Q303" s="113">
        <f>IF($E303="","",IF($D303="TANIMSIZ MÜŞTERİ","HATA",IF(OR($J303="Tamamlandı",$J303="İptal"),"KAPALI",IF(AND($C303="Görüşme",$N303=""),"SONRAKİ İŞLEM EKSİK",IF($I303="","TARİH EKSİK",IF($I303&lt;TODAY(),"GECİKMİŞ",IF($I303=TODAY(),"BUGÜN",IF($I303&lt;=TODAY()+7,"7 GÜN İÇİNDE","PLANLI"))))))))</f>
        <v/>
      </c>
      <c r="R303" s="6" t="n"/>
      <c r="S303" s="6" t="n"/>
      <c r="T303" s="3" t="n"/>
      <c r="U303" s="3">
        <f>IF($E303="","",UPPER(SUBSTITUTE(SUBSTITUTE(SUBSTITUTE(SUBSTITUTE(SUBSTITUTE(SUBSTITUTE(SUBSTITUTE(SUBSTITUTE(SUBSTITUTE(SUBSTITUTE(SUBSTITUTE(SUBSTITUTE(SUBSTITUTE(SUBSTITUTE(SUBSTITUTE(SUBSTITUTE(SUBSTITUTE(SUBSTITUTE(TRIM($E303),"'",""),"İ","I"),"ı","I"),"i","I"),"Ş","S"),"ş","S"),"Ğ","G"),"ğ","G"),"Ü","U"),"ü","U"),"Ö","O"),"ö","O"),"Ç","C"),"ç","C"),".",""),",","")," ",""),"-","")))</f>
        <v/>
      </c>
    </row>
    <row r="304">
      <c r="A304" s="6" t="n"/>
      <c r="B304" s="113">
        <f>IF($E304="","","A"&amp;TEXT(ROW()-6,"00000"))</f>
        <v/>
      </c>
      <c r="C304" s="108" t="n"/>
      <c r="D304" s="113">
        <f>IF($E304="","",IFERROR(INDEX(MUSTERILER!$B$7:$B$106,MATCH($U304,MUSTERILER!$T$7:$T$106,0)),IFERROR(INDEX(MUSTERILER!$B$7:$B$106,MATCH($E304,MUSTERILER!$B$7:$B$106,0)),IFERROR(INDEX(MUSTERILER!$B$7:$B$106,MATCH($U304&amp;"*",MUSTERILER!$T$7:$T$106,0)),"TANIMSIZ MÜŞTERİ"))))</f>
        <v/>
      </c>
      <c r="E304" s="109" t="n"/>
      <c r="F304" s="109" t="n"/>
      <c r="G304" s="108" t="n"/>
      <c r="H304" s="220" t="n"/>
      <c r="I304" s="220" t="n"/>
      <c r="J304" s="108" t="n"/>
      <c r="K304" s="108" t="n"/>
      <c r="L304" s="109" t="n"/>
      <c r="M304" s="109" t="n"/>
      <c r="N304" s="109" t="n"/>
      <c r="O304" s="220" t="n"/>
      <c r="P304" s="227">
        <f>IF(OR($E304="",$I304=""),"",IF(OR($J304="Tamamlandı",$J304="İptal"),"",$I304-TODAY()))</f>
        <v/>
      </c>
      <c r="Q304" s="113">
        <f>IF($E304="","",IF($D304="TANIMSIZ MÜŞTERİ","HATA",IF(OR($J304="Tamamlandı",$J304="İptal"),"KAPALI",IF(AND($C304="Görüşme",$N304=""),"SONRAKİ İŞLEM EKSİK",IF($I304="","TARİH EKSİK",IF($I304&lt;TODAY(),"GECİKMİŞ",IF($I304=TODAY(),"BUGÜN",IF($I304&lt;=TODAY()+7,"7 GÜN İÇİNDE","PLANLI"))))))))</f>
        <v/>
      </c>
      <c r="R304" s="6" t="n"/>
      <c r="S304" s="6" t="n"/>
      <c r="T304" s="3" t="n"/>
      <c r="U304" s="3">
        <f>IF($E304="","",UPPER(SUBSTITUTE(SUBSTITUTE(SUBSTITUTE(SUBSTITUTE(SUBSTITUTE(SUBSTITUTE(SUBSTITUTE(SUBSTITUTE(SUBSTITUTE(SUBSTITUTE(SUBSTITUTE(SUBSTITUTE(SUBSTITUTE(SUBSTITUTE(SUBSTITUTE(SUBSTITUTE(SUBSTITUTE(SUBSTITUTE(TRIM($E304),"'",""),"İ","I"),"ı","I"),"i","I"),"Ş","S"),"ş","S"),"Ğ","G"),"ğ","G"),"Ü","U"),"ü","U"),"Ö","O"),"ö","O"),"Ç","C"),"ç","C"),".",""),",","")," ",""),"-","")))</f>
        <v/>
      </c>
    </row>
    <row r="305">
      <c r="A305" s="6" t="n"/>
      <c r="B305" s="113">
        <f>IF($E305="","","A"&amp;TEXT(ROW()-6,"00000"))</f>
        <v/>
      </c>
      <c r="C305" s="108" t="n"/>
      <c r="D305" s="113">
        <f>IF($E305="","",IFERROR(INDEX(MUSTERILER!$B$7:$B$106,MATCH($U305,MUSTERILER!$T$7:$T$106,0)),IFERROR(INDEX(MUSTERILER!$B$7:$B$106,MATCH($E305,MUSTERILER!$B$7:$B$106,0)),IFERROR(INDEX(MUSTERILER!$B$7:$B$106,MATCH($U305&amp;"*",MUSTERILER!$T$7:$T$106,0)),"TANIMSIZ MÜŞTERİ"))))</f>
        <v/>
      </c>
      <c r="E305" s="109" t="n"/>
      <c r="F305" s="109" t="n"/>
      <c r="G305" s="108" t="n"/>
      <c r="H305" s="220" t="n"/>
      <c r="I305" s="220" t="n"/>
      <c r="J305" s="108" t="n"/>
      <c r="K305" s="108" t="n"/>
      <c r="L305" s="109" t="n"/>
      <c r="M305" s="109" t="n"/>
      <c r="N305" s="109" t="n"/>
      <c r="O305" s="220" t="n"/>
      <c r="P305" s="227">
        <f>IF(OR($E305="",$I305=""),"",IF(OR($J305="Tamamlandı",$J305="İptal"),"",$I305-TODAY()))</f>
        <v/>
      </c>
      <c r="Q305" s="113">
        <f>IF($E305="","",IF($D305="TANIMSIZ MÜŞTERİ","HATA",IF(OR($J305="Tamamlandı",$J305="İptal"),"KAPALI",IF(AND($C305="Görüşme",$N305=""),"SONRAKİ İŞLEM EKSİK",IF($I305="","TARİH EKSİK",IF($I305&lt;TODAY(),"GECİKMİŞ",IF($I305=TODAY(),"BUGÜN",IF($I305&lt;=TODAY()+7,"7 GÜN İÇİNDE","PLANLI"))))))))</f>
        <v/>
      </c>
      <c r="R305" s="6" t="n"/>
      <c r="S305" s="6" t="n"/>
      <c r="T305" s="3" t="n"/>
      <c r="U305" s="3">
        <f>IF($E305="","",UPPER(SUBSTITUTE(SUBSTITUTE(SUBSTITUTE(SUBSTITUTE(SUBSTITUTE(SUBSTITUTE(SUBSTITUTE(SUBSTITUTE(SUBSTITUTE(SUBSTITUTE(SUBSTITUTE(SUBSTITUTE(SUBSTITUTE(SUBSTITUTE(SUBSTITUTE(SUBSTITUTE(SUBSTITUTE(SUBSTITUTE(TRIM($E305),"'",""),"İ","I"),"ı","I"),"i","I"),"Ş","S"),"ş","S"),"Ğ","G"),"ğ","G"),"Ü","U"),"ü","U"),"Ö","O"),"ö","O"),"Ç","C"),"ç","C"),".",""),",","")," ",""),"-","")))</f>
        <v/>
      </c>
    </row>
    <row r="306">
      <c r="A306" s="6" t="n"/>
      <c r="B306" s="113">
        <f>IF($E306="","","A"&amp;TEXT(ROW()-6,"00000"))</f>
        <v/>
      </c>
      <c r="C306" s="108" t="n"/>
      <c r="D306" s="113">
        <f>IF($E306="","",IFERROR(INDEX(MUSTERILER!$B$7:$B$106,MATCH($U306,MUSTERILER!$T$7:$T$106,0)),IFERROR(INDEX(MUSTERILER!$B$7:$B$106,MATCH($E306,MUSTERILER!$B$7:$B$106,0)),IFERROR(INDEX(MUSTERILER!$B$7:$B$106,MATCH($U306&amp;"*",MUSTERILER!$T$7:$T$106,0)),"TANIMSIZ MÜŞTERİ"))))</f>
        <v/>
      </c>
      <c r="E306" s="109" t="n"/>
      <c r="F306" s="109" t="n"/>
      <c r="G306" s="108" t="n"/>
      <c r="H306" s="220" t="n"/>
      <c r="I306" s="220" t="n"/>
      <c r="J306" s="108" t="n"/>
      <c r="K306" s="108" t="n"/>
      <c r="L306" s="109" t="n"/>
      <c r="M306" s="109" t="n"/>
      <c r="N306" s="109" t="n"/>
      <c r="O306" s="220" t="n"/>
      <c r="P306" s="227">
        <f>IF(OR($E306="",$I306=""),"",IF(OR($J306="Tamamlandı",$J306="İptal"),"",$I306-TODAY()))</f>
        <v/>
      </c>
      <c r="Q306" s="113">
        <f>IF($E306="","",IF($D306="TANIMSIZ MÜŞTERİ","HATA",IF(OR($J306="Tamamlandı",$J306="İptal"),"KAPALI",IF(AND($C306="Görüşme",$N306=""),"SONRAKİ İŞLEM EKSİK",IF($I306="","TARİH EKSİK",IF($I306&lt;TODAY(),"GECİKMİŞ",IF($I306=TODAY(),"BUGÜN",IF($I306&lt;=TODAY()+7,"7 GÜN İÇİNDE","PLANLI"))))))))</f>
        <v/>
      </c>
      <c r="R306" s="6" t="n"/>
      <c r="S306" s="6" t="n"/>
      <c r="T306" s="3" t="n"/>
      <c r="U306" s="3">
        <f>IF($E306="","",UPPER(SUBSTITUTE(SUBSTITUTE(SUBSTITUTE(SUBSTITUTE(SUBSTITUTE(SUBSTITUTE(SUBSTITUTE(SUBSTITUTE(SUBSTITUTE(SUBSTITUTE(SUBSTITUTE(SUBSTITUTE(SUBSTITUTE(SUBSTITUTE(SUBSTITUTE(SUBSTITUTE(SUBSTITUTE(SUBSTITUTE(TRIM($E306),"'",""),"İ","I"),"ı","I"),"i","I"),"Ş","S"),"ş","S"),"Ğ","G"),"ğ","G"),"Ü","U"),"ü","U"),"Ö","O"),"ö","O"),"Ç","C"),"ç","C"),".",""),",","")," ",""),"-","")))</f>
        <v/>
      </c>
    </row>
    <row r="307">
      <c r="A307" s="6" t="n"/>
      <c r="B307" s="113">
        <f>IF($E307="","","A"&amp;TEXT(ROW()-6,"00000"))</f>
        <v/>
      </c>
      <c r="C307" s="108" t="n"/>
      <c r="D307" s="113">
        <f>IF($E307="","",IFERROR(INDEX(MUSTERILER!$B$7:$B$106,MATCH($U307,MUSTERILER!$T$7:$T$106,0)),IFERROR(INDEX(MUSTERILER!$B$7:$B$106,MATCH($E307,MUSTERILER!$B$7:$B$106,0)),IFERROR(INDEX(MUSTERILER!$B$7:$B$106,MATCH($U307&amp;"*",MUSTERILER!$T$7:$T$106,0)),"TANIMSIZ MÜŞTERİ"))))</f>
        <v/>
      </c>
      <c r="E307" s="109" t="n"/>
      <c r="F307" s="109" t="n"/>
      <c r="G307" s="108" t="n"/>
      <c r="H307" s="220" t="n"/>
      <c r="I307" s="220" t="n"/>
      <c r="J307" s="108" t="n"/>
      <c r="K307" s="108" t="n"/>
      <c r="L307" s="109" t="n"/>
      <c r="M307" s="109" t="n"/>
      <c r="N307" s="109" t="n"/>
      <c r="O307" s="220" t="n"/>
      <c r="P307" s="227">
        <f>IF(OR($E307="",$I307=""),"",IF(OR($J307="Tamamlandı",$J307="İptal"),"",$I307-TODAY()))</f>
        <v/>
      </c>
      <c r="Q307" s="113">
        <f>IF($E307="","",IF($D307="TANIMSIZ MÜŞTERİ","HATA",IF(OR($J307="Tamamlandı",$J307="İptal"),"KAPALI",IF(AND($C307="Görüşme",$N307=""),"SONRAKİ İŞLEM EKSİK",IF($I307="","TARİH EKSİK",IF($I307&lt;TODAY(),"GECİKMİŞ",IF($I307=TODAY(),"BUGÜN",IF($I307&lt;=TODAY()+7,"7 GÜN İÇİNDE","PLANLI"))))))))</f>
        <v/>
      </c>
      <c r="R307" s="6" t="n"/>
      <c r="S307" s="6" t="n"/>
      <c r="T307" s="3" t="n"/>
      <c r="U307" s="3">
        <f>IF($E307="","",UPPER(SUBSTITUTE(SUBSTITUTE(SUBSTITUTE(SUBSTITUTE(SUBSTITUTE(SUBSTITUTE(SUBSTITUTE(SUBSTITUTE(SUBSTITUTE(SUBSTITUTE(SUBSTITUTE(SUBSTITUTE(SUBSTITUTE(SUBSTITUTE(SUBSTITUTE(SUBSTITUTE(SUBSTITUTE(SUBSTITUTE(TRIM($E307),"'",""),"İ","I"),"ı","I"),"i","I"),"Ş","S"),"ş","S"),"Ğ","G"),"ğ","G"),"Ü","U"),"ü","U"),"Ö","O"),"ö","O"),"Ç","C"),"ç","C"),".",""),",","")," ",""),"-","")))</f>
        <v/>
      </c>
    </row>
    <row r="308">
      <c r="A308" s="6" t="n"/>
      <c r="B308" s="113">
        <f>IF($E308="","","A"&amp;TEXT(ROW()-6,"00000"))</f>
        <v/>
      </c>
      <c r="C308" s="108" t="n"/>
      <c r="D308" s="113">
        <f>IF($E308="","",IFERROR(INDEX(MUSTERILER!$B$7:$B$106,MATCH($U308,MUSTERILER!$T$7:$T$106,0)),IFERROR(INDEX(MUSTERILER!$B$7:$B$106,MATCH($E308,MUSTERILER!$B$7:$B$106,0)),IFERROR(INDEX(MUSTERILER!$B$7:$B$106,MATCH($U308&amp;"*",MUSTERILER!$T$7:$T$106,0)),"TANIMSIZ MÜŞTERİ"))))</f>
        <v/>
      </c>
      <c r="E308" s="109" t="n"/>
      <c r="F308" s="109" t="n"/>
      <c r="G308" s="108" t="n"/>
      <c r="H308" s="220" t="n"/>
      <c r="I308" s="220" t="n"/>
      <c r="J308" s="108" t="n"/>
      <c r="K308" s="108" t="n"/>
      <c r="L308" s="109" t="n"/>
      <c r="M308" s="109" t="n"/>
      <c r="N308" s="109" t="n"/>
      <c r="O308" s="220" t="n"/>
      <c r="P308" s="227">
        <f>IF(OR($E308="",$I308=""),"",IF(OR($J308="Tamamlandı",$J308="İptal"),"",$I308-TODAY()))</f>
        <v/>
      </c>
      <c r="Q308" s="113">
        <f>IF($E308="","",IF($D308="TANIMSIZ MÜŞTERİ","HATA",IF(OR($J308="Tamamlandı",$J308="İptal"),"KAPALI",IF(AND($C308="Görüşme",$N308=""),"SONRAKİ İŞLEM EKSİK",IF($I308="","TARİH EKSİK",IF($I308&lt;TODAY(),"GECİKMİŞ",IF($I308=TODAY(),"BUGÜN",IF($I308&lt;=TODAY()+7,"7 GÜN İÇİNDE","PLANLI"))))))))</f>
        <v/>
      </c>
      <c r="R308" s="6" t="n"/>
      <c r="S308" s="6" t="n"/>
      <c r="T308" s="3" t="n"/>
      <c r="U308" s="3">
        <f>IF($E308="","",UPPER(SUBSTITUTE(SUBSTITUTE(SUBSTITUTE(SUBSTITUTE(SUBSTITUTE(SUBSTITUTE(SUBSTITUTE(SUBSTITUTE(SUBSTITUTE(SUBSTITUTE(SUBSTITUTE(SUBSTITUTE(SUBSTITUTE(SUBSTITUTE(SUBSTITUTE(SUBSTITUTE(SUBSTITUTE(SUBSTITUTE(TRIM($E308),"'",""),"İ","I"),"ı","I"),"i","I"),"Ş","S"),"ş","S"),"Ğ","G"),"ğ","G"),"Ü","U"),"ü","U"),"Ö","O"),"ö","O"),"Ç","C"),"ç","C"),".",""),",","")," ",""),"-","")))</f>
        <v/>
      </c>
    </row>
    <row r="309">
      <c r="A309" s="6" t="n"/>
      <c r="B309" s="113">
        <f>IF($E309="","","A"&amp;TEXT(ROW()-6,"00000"))</f>
        <v/>
      </c>
      <c r="C309" s="108" t="n"/>
      <c r="D309" s="113">
        <f>IF($E309="","",IFERROR(INDEX(MUSTERILER!$B$7:$B$106,MATCH($U309,MUSTERILER!$T$7:$T$106,0)),IFERROR(INDEX(MUSTERILER!$B$7:$B$106,MATCH($E309,MUSTERILER!$B$7:$B$106,0)),IFERROR(INDEX(MUSTERILER!$B$7:$B$106,MATCH($U309&amp;"*",MUSTERILER!$T$7:$T$106,0)),"TANIMSIZ MÜŞTERİ"))))</f>
        <v/>
      </c>
      <c r="E309" s="109" t="n"/>
      <c r="F309" s="109" t="n"/>
      <c r="G309" s="108" t="n"/>
      <c r="H309" s="220" t="n"/>
      <c r="I309" s="220" t="n"/>
      <c r="J309" s="108" t="n"/>
      <c r="K309" s="108" t="n"/>
      <c r="L309" s="109" t="n"/>
      <c r="M309" s="109" t="n"/>
      <c r="N309" s="109" t="n"/>
      <c r="O309" s="220" t="n"/>
      <c r="P309" s="227">
        <f>IF(OR($E309="",$I309=""),"",IF(OR($J309="Tamamlandı",$J309="İptal"),"",$I309-TODAY()))</f>
        <v/>
      </c>
      <c r="Q309" s="113">
        <f>IF($E309="","",IF($D309="TANIMSIZ MÜŞTERİ","HATA",IF(OR($J309="Tamamlandı",$J309="İptal"),"KAPALI",IF(AND($C309="Görüşme",$N309=""),"SONRAKİ İŞLEM EKSİK",IF($I309="","TARİH EKSİK",IF($I309&lt;TODAY(),"GECİKMİŞ",IF($I309=TODAY(),"BUGÜN",IF($I309&lt;=TODAY()+7,"7 GÜN İÇİNDE","PLANLI"))))))))</f>
        <v/>
      </c>
      <c r="R309" s="6" t="n"/>
      <c r="S309" s="6" t="n"/>
      <c r="T309" s="3" t="n"/>
      <c r="U309" s="3">
        <f>IF($E309="","",UPPER(SUBSTITUTE(SUBSTITUTE(SUBSTITUTE(SUBSTITUTE(SUBSTITUTE(SUBSTITUTE(SUBSTITUTE(SUBSTITUTE(SUBSTITUTE(SUBSTITUTE(SUBSTITUTE(SUBSTITUTE(SUBSTITUTE(SUBSTITUTE(SUBSTITUTE(SUBSTITUTE(SUBSTITUTE(SUBSTITUTE(TRIM($E309),"'",""),"İ","I"),"ı","I"),"i","I"),"Ş","S"),"ş","S"),"Ğ","G"),"ğ","G"),"Ü","U"),"ü","U"),"Ö","O"),"ö","O"),"Ç","C"),"ç","C"),".",""),",","")," ",""),"-","")))</f>
        <v/>
      </c>
    </row>
    <row r="310">
      <c r="A310" s="6" t="n"/>
      <c r="B310" s="113">
        <f>IF($E310="","","A"&amp;TEXT(ROW()-6,"00000"))</f>
        <v/>
      </c>
      <c r="C310" s="108" t="n"/>
      <c r="D310" s="113">
        <f>IF($E310="","",IFERROR(INDEX(MUSTERILER!$B$7:$B$106,MATCH($U310,MUSTERILER!$T$7:$T$106,0)),IFERROR(INDEX(MUSTERILER!$B$7:$B$106,MATCH($E310,MUSTERILER!$B$7:$B$106,0)),IFERROR(INDEX(MUSTERILER!$B$7:$B$106,MATCH($U310&amp;"*",MUSTERILER!$T$7:$T$106,0)),"TANIMSIZ MÜŞTERİ"))))</f>
        <v/>
      </c>
      <c r="E310" s="109" t="n"/>
      <c r="F310" s="109" t="n"/>
      <c r="G310" s="108" t="n"/>
      <c r="H310" s="220" t="n"/>
      <c r="I310" s="220" t="n"/>
      <c r="J310" s="108" t="n"/>
      <c r="K310" s="108" t="n"/>
      <c r="L310" s="109" t="n"/>
      <c r="M310" s="109" t="n"/>
      <c r="N310" s="109" t="n"/>
      <c r="O310" s="220" t="n"/>
      <c r="P310" s="227">
        <f>IF(OR($E310="",$I310=""),"",IF(OR($J310="Tamamlandı",$J310="İptal"),"",$I310-TODAY()))</f>
        <v/>
      </c>
      <c r="Q310" s="113">
        <f>IF($E310="","",IF($D310="TANIMSIZ MÜŞTERİ","HATA",IF(OR($J310="Tamamlandı",$J310="İptal"),"KAPALI",IF(AND($C310="Görüşme",$N310=""),"SONRAKİ İŞLEM EKSİK",IF($I310="","TARİH EKSİK",IF($I310&lt;TODAY(),"GECİKMİŞ",IF($I310=TODAY(),"BUGÜN",IF($I310&lt;=TODAY()+7,"7 GÜN İÇİNDE","PLANLI"))))))))</f>
        <v/>
      </c>
      <c r="R310" s="6" t="n"/>
      <c r="S310" s="6" t="n"/>
      <c r="T310" s="3" t="n"/>
      <c r="U310" s="3">
        <f>IF($E310="","",UPPER(SUBSTITUTE(SUBSTITUTE(SUBSTITUTE(SUBSTITUTE(SUBSTITUTE(SUBSTITUTE(SUBSTITUTE(SUBSTITUTE(SUBSTITUTE(SUBSTITUTE(SUBSTITUTE(SUBSTITUTE(SUBSTITUTE(SUBSTITUTE(SUBSTITUTE(SUBSTITUTE(SUBSTITUTE(SUBSTITUTE(TRIM($E310),"'",""),"İ","I"),"ı","I"),"i","I"),"Ş","S"),"ş","S"),"Ğ","G"),"ğ","G"),"Ü","U"),"ü","U"),"Ö","O"),"ö","O"),"Ç","C"),"ç","C"),".",""),",","")," ",""),"-","")))</f>
        <v/>
      </c>
    </row>
    <row r="311">
      <c r="A311" s="6" t="n"/>
      <c r="B311" s="113">
        <f>IF($E311="","","A"&amp;TEXT(ROW()-6,"00000"))</f>
        <v/>
      </c>
      <c r="C311" s="108" t="n"/>
      <c r="D311" s="113">
        <f>IF($E311="","",IFERROR(INDEX(MUSTERILER!$B$7:$B$106,MATCH($U311,MUSTERILER!$T$7:$T$106,0)),IFERROR(INDEX(MUSTERILER!$B$7:$B$106,MATCH($E311,MUSTERILER!$B$7:$B$106,0)),IFERROR(INDEX(MUSTERILER!$B$7:$B$106,MATCH($U311&amp;"*",MUSTERILER!$T$7:$T$106,0)),"TANIMSIZ MÜŞTERİ"))))</f>
        <v/>
      </c>
      <c r="E311" s="109" t="n"/>
      <c r="F311" s="109" t="n"/>
      <c r="G311" s="108" t="n"/>
      <c r="H311" s="220" t="n"/>
      <c r="I311" s="220" t="n"/>
      <c r="J311" s="108" t="n"/>
      <c r="K311" s="108" t="n"/>
      <c r="L311" s="109" t="n"/>
      <c r="M311" s="109" t="n"/>
      <c r="N311" s="109" t="n"/>
      <c r="O311" s="220" t="n"/>
      <c r="P311" s="227">
        <f>IF(OR($E311="",$I311=""),"",IF(OR($J311="Tamamlandı",$J311="İptal"),"",$I311-TODAY()))</f>
        <v/>
      </c>
      <c r="Q311" s="113">
        <f>IF($E311="","",IF($D311="TANIMSIZ MÜŞTERİ","HATA",IF(OR($J311="Tamamlandı",$J311="İptal"),"KAPALI",IF(AND($C311="Görüşme",$N311=""),"SONRAKİ İŞLEM EKSİK",IF($I311="","TARİH EKSİK",IF($I311&lt;TODAY(),"GECİKMİŞ",IF($I311=TODAY(),"BUGÜN",IF($I311&lt;=TODAY()+7,"7 GÜN İÇİNDE","PLANLI"))))))))</f>
        <v/>
      </c>
      <c r="R311" s="6" t="n"/>
      <c r="S311" s="6" t="n"/>
      <c r="T311" s="3" t="n"/>
      <c r="U311" s="3">
        <f>IF($E311="","",UPPER(SUBSTITUTE(SUBSTITUTE(SUBSTITUTE(SUBSTITUTE(SUBSTITUTE(SUBSTITUTE(SUBSTITUTE(SUBSTITUTE(SUBSTITUTE(SUBSTITUTE(SUBSTITUTE(SUBSTITUTE(SUBSTITUTE(SUBSTITUTE(SUBSTITUTE(SUBSTITUTE(SUBSTITUTE(SUBSTITUTE(TRIM($E311),"'",""),"İ","I"),"ı","I"),"i","I"),"Ş","S"),"ş","S"),"Ğ","G"),"ğ","G"),"Ü","U"),"ü","U"),"Ö","O"),"ö","O"),"Ç","C"),"ç","C"),".",""),",","")," ",""),"-","")))</f>
        <v/>
      </c>
    </row>
    <row r="312">
      <c r="A312" s="6" t="n"/>
      <c r="B312" s="113">
        <f>IF($E312="","","A"&amp;TEXT(ROW()-6,"00000"))</f>
        <v/>
      </c>
      <c r="C312" s="108" t="n"/>
      <c r="D312" s="113">
        <f>IF($E312="","",IFERROR(INDEX(MUSTERILER!$B$7:$B$106,MATCH($U312,MUSTERILER!$T$7:$T$106,0)),IFERROR(INDEX(MUSTERILER!$B$7:$B$106,MATCH($E312,MUSTERILER!$B$7:$B$106,0)),IFERROR(INDEX(MUSTERILER!$B$7:$B$106,MATCH($U312&amp;"*",MUSTERILER!$T$7:$T$106,0)),"TANIMSIZ MÜŞTERİ"))))</f>
        <v/>
      </c>
      <c r="E312" s="109" t="n"/>
      <c r="F312" s="109" t="n"/>
      <c r="G312" s="108" t="n"/>
      <c r="H312" s="220" t="n"/>
      <c r="I312" s="220" t="n"/>
      <c r="J312" s="108" t="n"/>
      <c r="K312" s="108" t="n"/>
      <c r="L312" s="109" t="n"/>
      <c r="M312" s="109" t="n"/>
      <c r="N312" s="109" t="n"/>
      <c r="O312" s="220" t="n"/>
      <c r="P312" s="227">
        <f>IF(OR($E312="",$I312=""),"",IF(OR($J312="Tamamlandı",$J312="İptal"),"",$I312-TODAY()))</f>
        <v/>
      </c>
      <c r="Q312" s="113">
        <f>IF($E312="","",IF($D312="TANIMSIZ MÜŞTERİ","HATA",IF(OR($J312="Tamamlandı",$J312="İptal"),"KAPALI",IF(AND($C312="Görüşme",$N312=""),"SONRAKİ İŞLEM EKSİK",IF($I312="","TARİH EKSİK",IF($I312&lt;TODAY(),"GECİKMİŞ",IF($I312=TODAY(),"BUGÜN",IF($I312&lt;=TODAY()+7,"7 GÜN İÇİNDE","PLANLI"))))))))</f>
        <v/>
      </c>
      <c r="R312" s="6" t="n"/>
      <c r="S312" s="6" t="n"/>
      <c r="T312" s="3" t="n"/>
      <c r="U312" s="3">
        <f>IF($E312="","",UPPER(SUBSTITUTE(SUBSTITUTE(SUBSTITUTE(SUBSTITUTE(SUBSTITUTE(SUBSTITUTE(SUBSTITUTE(SUBSTITUTE(SUBSTITUTE(SUBSTITUTE(SUBSTITUTE(SUBSTITUTE(SUBSTITUTE(SUBSTITUTE(SUBSTITUTE(SUBSTITUTE(SUBSTITUTE(SUBSTITUTE(TRIM($E312),"'",""),"İ","I"),"ı","I"),"i","I"),"Ş","S"),"ş","S"),"Ğ","G"),"ğ","G"),"Ü","U"),"ü","U"),"Ö","O"),"ö","O"),"Ç","C"),"ç","C"),".",""),",","")," ",""),"-","")))</f>
        <v/>
      </c>
    </row>
    <row r="313">
      <c r="A313" s="6" t="n"/>
      <c r="B313" s="113">
        <f>IF($E313="","","A"&amp;TEXT(ROW()-6,"00000"))</f>
        <v/>
      </c>
      <c r="C313" s="108" t="n"/>
      <c r="D313" s="113">
        <f>IF($E313="","",IFERROR(INDEX(MUSTERILER!$B$7:$B$106,MATCH($U313,MUSTERILER!$T$7:$T$106,0)),IFERROR(INDEX(MUSTERILER!$B$7:$B$106,MATCH($E313,MUSTERILER!$B$7:$B$106,0)),IFERROR(INDEX(MUSTERILER!$B$7:$B$106,MATCH($U313&amp;"*",MUSTERILER!$T$7:$T$106,0)),"TANIMSIZ MÜŞTERİ"))))</f>
        <v/>
      </c>
      <c r="E313" s="109" t="n"/>
      <c r="F313" s="109" t="n"/>
      <c r="G313" s="108" t="n"/>
      <c r="H313" s="220" t="n"/>
      <c r="I313" s="220" t="n"/>
      <c r="J313" s="108" t="n"/>
      <c r="K313" s="108" t="n"/>
      <c r="L313" s="109" t="n"/>
      <c r="M313" s="109" t="n"/>
      <c r="N313" s="109" t="n"/>
      <c r="O313" s="220" t="n"/>
      <c r="P313" s="227">
        <f>IF(OR($E313="",$I313=""),"",IF(OR($J313="Tamamlandı",$J313="İptal"),"",$I313-TODAY()))</f>
        <v/>
      </c>
      <c r="Q313" s="113">
        <f>IF($E313="","",IF($D313="TANIMSIZ MÜŞTERİ","HATA",IF(OR($J313="Tamamlandı",$J313="İptal"),"KAPALI",IF(AND($C313="Görüşme",$N313=""),"SONRAKİ İŞLEM EKSİK",IF($I313="","TARİH EKSİK",IF($I313&lt;TODAY(),"GECİKMİŞ",IF($I313=TODAY(),"BUGÜN",IF($I313&lt;=TODAY()+7,"7 GÜN İÇİNDE","PLANLI"))))))))</f>
        <v/>
      </c>
      <c r="R313" s="6" t="n"/>
      <c r="S313" s="6" t="n"/>
      <c r="T313" s="3" t="n"/>
      <c r="U313" s="3">
        <f>IF($E313="","",UPPER(SUBSTITUTE(SUBSTITUTE(SUBSTITUTE(SUBSTITUTE(SUBSTITUTE(SUBSTITUTE(SUBSTITUTE(SUBSTITUTE(SUBSTITUTE(SUBSTITUTE(SUBSTITUTE(SUBSTITUTE(SUBSTITUTE(SUBSTITUTE(SUBSTITUTE(SUBSTITUTE(SUBSTITUTE(SUBSTITUTE(TRIM($E313),"'",""),"İ","I"),"ı","I"),"i","I"),"Ş","S"),"ş","S"),"Ğ","G"),"ğ","G"),"Ü","U"),"ü","U"),"Ö","O"),"ö","O"),"Ç","C"),"ç","C"),".",""),",","")," ",""),"-","")))</f>
        <v/>
      </c>
    </row>
    <row r="314">
      <c r="A314" s="6" t="n"/>
      <c r="B314" s="113">
        <f>IF($E314="","","A"&amp;TEXT(ROW()-6,"00000"))</f>
        <v/>
      </c>
      <c r="C314" s="108" t="n"/>
      <c r="D314" s="113">
        <f>IF($E314="","",IFERROR(INDEX(MUSTERILER!$B$7:$B$106,MATCH($U314,MUSTERILER!$T$7:$T$106,0)),IFERROR(INDEX(MUSTERILER!$B$7:$B$106,MATCH($E314,MUSTERILER!$B$7:$B$106,0)),IFERROR(INDEX(MUSTERILER!$B$7:$B$106,MATCH($U314&amp;"*",MUSTERILER!$T$7:$T$106,0)),"TANIMSIZ MÜŞTERİ"))))</f>
        <v/>
      </c>
      <c r="E314" s="109" t="n"/>
      <c r="F314" s="109" t="n"/>
      <c r="G314" s="108" t="n"/>
      <c r="H314" s="220" t="n"/>
      <c r="I314" s="220" t="n"/>
      <c r="J314" s="108" t="n"/>
      <c r="K314" s="108" t="n"/>
      <c r="L314" s="109" t="n"/>
      <c r="M314" s="109" t="n"/>
      <c r="N314" s="109" t="n"/>
      <c r="O314" s="220" t="n"/>
      <c r="P314" s="227">
        <f>IF(OR($E314="",$I314=""),"",IF(OR($J314="Tamamlandı",$J314="İptal"),"",$I314-TODAY()))</f>
        <v/>
      </c>
      <c r="Q314" s="113">
        <f>IF($E314="","",IF($D314="TANIMSIZ MÜŞTERİ","HATA",IF(OR($J314="Tamamlandı",$J314="İptal"),"KAPALI",IF(AND($C314="Görüşme",$N314=""),"SONRAKİ İŞLEM EKSİK",IF($I314="","TARİH EKSİK",IF($I314&lt;TODAY(),"GECİKMİŞ",IF($I314=TODAY(),"BUGÜN",IF($I314&lt;=TODAY()+7,"7 GÜN İÇİNDE","PLANLI"))))))))</f>
        <v/>
      </c>
      <c r="R314" s="6" t="n"/>
      <c r="S314" s="6" t="n"/>
      <c r="T314" s="3" t="n"/>
      <c r="U314" s="3">
        <f>IF($E314="","",UPPER(SUBSTITUTE(SUBSTITUTE(SUBSTITUTE(SUBSTITUTE(SUBSTITUTE(SUBSTITUTE(SUBSTITUTE(SUBSTITUTE(SUBSTITUTE(SUBSTITUTE(SUBSTITUTE(SUBSTITUTE(SUBSTITUTE(SUBSTITUTE(SUBSTITUTE(SUBSTITUTE(SUBSTITUTE(SUBSTITUTE(TRIM($E314),"'",""),"İ","I"),"ı","I"),"i","I"),"Ş","S"),"ş","S"),"Ğ","G"),"ğ","G"),"Ü","U"),"ü","U"),"Ö","O"),"ö","O"),"Ç","C"),"ç","C"),".",""),",","")," ",""),"-","")))</f>
        <v/>
      </c>
    </row>
    <row r="315">
      <c r="A315" s="6" t="n"/>
      <c r="B315" s="113">
        <f>IF($E315="","","A"&amp;TEXT(ROW()-6,"00000"))</f>
        <v/>
      </c>
      <c r="C315" s="108" t="n"/>
      <c r="D315" s="113">
        <f>IF($E315="","",IFERROR(INDEX(MUSTERILER!$B$7:$B$106,MATCH($U315,MUSTERILER!$T$7:$T$106,0)),IFERROR(INDEX(MUSTERILER!$B$7:$B$106,MATCH($E315,MUSTERILER!$B$7:$B$106,0)),IFERROR(INDEX(MUSTERILER!$B$7:$B$106,MATCH($U315&amp;"*",MUSTERILER!$T$7:$T$106,0)),"TANIMSIZ MÜŞTERİ"))))</f>
        <v/>
      </c>
      <c r="E315" s="109" t="n"/>
      <c r="F315" s="109" t="n"/>
      <c r="G315" s="108" t="n"/>
      <c r="H315" s="220" t="n"/>
      <c r="I315" s="220" t="n"/>
      <c r="J315" s="108" t="n"/>
      <c r="K315" s="108" t="n"/>
      <c r="L315" s="109" t="n"/>
      <c r="M315" s="109" t="n"/>
      <c r="N315" s="109" t="n"/>
      <c r="O315" s="220" t="n"/>
      <c r="P315" s="227">
        <f>IF(OR($E315="",$I315=""),"",IF(OR($J315="Tamamlandı",$J315="İptal"),"",$I315-TODAY()))</f>
        <v/>
      </c>
      <c r="Q315" s="113">
        <f>IF($E315="","",IF($D315="TANIMSIZ MÜŞTERİ","HATA",IF(OR($J315="Tamamlandı",$J315="İptal"),"KAPALI",IF(AND($C315="Görüşme",$N315=""),"SONRAKİ İŞLEM EKSİK",IF($I315="","TARİH EKSİK",IF($I315&lt;TODAY(),"GECİKMİŞ",IF($I315=TODAY(),"BUGÜN",IF($I315&lt;=TODAY()+7,"7 GÜN İÇİNDE","PLANLI"))))))))</f>
        <v/>
      </c>
      <c r="R315" s="6" t="n"/>
      <c r="S315" s="6" t="n"/>
      <c r="T315" s="3" t="n"/>
      <c r="U315" s="3">
        <f>IF($E315="","",UPPER(SUBSTITUTE(SUBSTITUTE(SUBSTITUTE(SUBSTITUTE(SUBSTITUTE(SUBSTITUTE(SUBSTITUTE(SUBSTITUTE(SUBSTITUTE(SUBSTITUTE(SUBSTITUTE(SUBSTITUTE(SUBSTITUTE(SUBSTITUTE(SUBSTITUTE(SUBSTITUTE(SUBSTITUTE(SUBSTITUTE(TRIM($E315),"'",""),"İ","I"),"ı","I"),"i","I"),"Ş","S"),"ş","S"),"Ğ","G"),"ğ","G"),"Ü","U"),"ü","U"),"Ö","O"),"ö","O"),"Ç","C"),"ç","C"),".",""),",","")," ",""),"-","")))</f>
        <v/>
      </c>
    </row>
    <row r="316">
      <c r="A316" s="6" t="n"/>
      <c r="B316" s="113">
        <f>IF($E316="","","A"&amp;TEXT(ROW()-6,"00000"))</f>
        <v/>
      </c>
      <c r="C316" s="108" t="n"/>
      <c r="D316" s="113">
        <f>IF($E316="","",IFERROR(INDEX(MUSTERILER!$B$7:$B$106,MATCH($U316,MUSTERILER!$T$7:$T$106,0)),IFERROR(INDEX(MUSTERILER!$B$7:$B$106,MATCH($E316,MUSTERILER!$B$7:$B$106,0)),IFERROR(INDEX(MUSTERILER!$B$7:$B$106,MATCH($U316&amp;"*",MUSTERILER!$T$7:$T$106,0)),"TANIMSIZ MÜŞTERİ"))))</f>
        <v/>
      </c>
      <c r="E316" s="109" t="n"/>
      <c r="F316" s="109" t="n"/>
      <c r="G316" s="108" t="n"/>
      <c r="H316" s="220" t="n"/>
      <c r="I316" s="220" t="n"/>
      <c r="J316" s="108" t="n"/>
      <c r="K316" s="108" t="n"/>
      <c r="L316" s="109" t="n"/>
      <c r="M316" s="109" t="n"/>
      <c r="N316" s="109" t="n"/>
      <c r="O316" s="220" t="n"/>
      <c r="P316" s="227">
        <f>IF(OR($E316="",$I316=""),"",IF(OR($J316="Tamamlandı",$J316="İptal"),"",$I316-TODAY()))</f>
        <v/>
      </c>
      <c r="Q316" s="113">
        <f>IF($E316="","",IF($D316="TANIMSIZ MÜŞTERİ","HATA",IF(OR($J316="Tamamlandı",$J316="İptal"),"KAPALI",IF(AND($C316="Görüşme",$N316=""),"SONRAKİ İŞLEM EKSİK",IF($I316="","TARİH EKSİK",IF($I316&lt;TODAY(),"GECİKMİŞ",IF($I316=TODAY(),"BUGÜN",IF($I316&lt;=TODAY()+7,"7 GÜN İÇİNDE","PLANLI"))))))))</f>
        <v/>
      </c>
      <c r="R316" s="6" t="n"/>
      <c r="S316" s="6" t="n"/>
      <c r="T316" s="3" t="n"/>
      <c r="U316" s="3">
        <f>IF($E316="","",UPPER(SUBSTITUTE(SUBSTITUTE(SUBSTITUTE(SUBSTITUTE(SUBSTITUTE(SUBSTITUTE(SUBSTITUTE(SUBSTITUTE(SUBSTITUTE(SUBSTITUTE(SUBSTITUTE(SUBSTITUTE(SUBSTITUTE(SUBSTITUTE(SUBSTITUTE(SUBSTITUTE(SUBSTITUTE(SUBSTITUTE(TRIM($E316),"'",""),"İ","I"),"ı","I"),"i","I"),"Ş","S"),"ş","S"),"Ğ","G"),"ğ","G"),"Ü","U"),"ü","U"),"Ö","O"),"ö","O"),"Ç","C"),"ç","C"),".",""),",","")," ",""),"-","")))</f>
        <v/>
      </c>
    </row>
    <row r="317">
      <c r="A317" s="6" t="n"/>
      <c r="B317" s="113">
        <f>IF($E317="","","A"&amp;TEXT(ROW()-6,"00000"))</f>
        <v/>
      </c>
      <c r="C317" s="108" t="n"/>
      <c r="D317" s="113">
        <f>IF($E317="","",IFERROR(INDEX(MUSTERILER!$B$7:$B$106,MATCH($U317,MUSTERILER!$T$7:$T$106,0)),IFERROR(INDEX(MUSTERILER!$B$7:$B$106,MATCH($E317,MUSTERILER!$B$7:$B$106,0)),IFERROR(INDEX(MUSTERILER!$B$7:$B$106,MATCH($U317&amp;"*",MUSTERILER!$T$7:$T$106,0)),"TANIMSIZ MÜŞTERİ"))))</f>
        <v/>
      </c>
      <c r="E317" s="109" t="n"/>
      <c r="F317" s="109" t="n"/>
      <c r="G317" s="108" t="n"/>
      <c r="H317" s="220" t="n"/>
      <c r="I317" s="220" t="n"/>
      <c r="J317" s="108" t="n"/>
      <c r="K317" s="108" t="n"/>
      <c r="L317" s="109" t="n"/>
      <c r="M317" s="109" t="n"/>
      <c r="N317" s="109" t="n"/>
      <c r="O317" s="220" t="n"/>
      <c r="P317" s="227">
        <f>IF(OR($E317="",$I317=""),"",IF(OR($J317="Tamamlandı",$J317="İptal"),"",$I317-TODAY()))</f>
        <v/>
      </c>
      <c r="Q317" s="113">
        <f>IF($E317="","",IF($D317="TANIMSIZ MÜŞTERİ","HATA",IF(OR($J317="Tamamlandı",$J317="İptal"),"KAPALI",IF(AND($C317="Görüşme",$N317=""),"SONRAKİ İŞLEM EKSİK",IF($I317="","TARİH EKSİK",IF($I317&lt;TODAY(),"GECİKMİŞ",IF($I317=TODAY(),"BUGÜN",IF($I317&lt;=TODAY()+7,"7 GÜN İÇİNDE","PLANLI"))))))))</f>
        <v/>
      </c>
      <c r="R317" s="6" t="n"/>
      <c r="S317" s="6" t="n"/>
      <c r="T317" s="3" t="n"/>
      <c r="U317" s="3">
        <f>IF($E317="","",UPPER(SUBSTITUTE(SUBSTITUTE(SUBSTITUTE(SUBSTITUTE(SUBSTITUTE(SUBSTITUTE(SUBSTITUTE(SUBSTITUTE(SUBSTITUTE(SUBSTITUTE(SUBSTITUTE(SUBSTITUTE(SUBSTITUTE(SUBSTITUTE(SUBSTITUTE(SUBSTITUTE(SUBSTITUTE(SUBSTITUTE(TRIM($E317),"'",""),"İ","I"),"ı","I"),"i","I"),"Ş","S"),"ş","S"),"Ğ","G"),"ğ","G"),"Ü","U"),"ü","U"),"Ö","O"),"ö","O"),"Ç","C"),"ç","C"),".",""),",","")," ",""),"-","")))</f>
        <v/>
      </c>
    </row>
    <row r="318">
      <c r="A318" s="6" t="n"/>
      <c r="B318" s="113">
        <f>IF($E318="","","A"&amp;TEXT(ROW()-6,"00000"))</f>
        <v/>
      </c>
      <c r="C318" s="108" t="n"/>
      <c r="D318" s="113">
        <f>IF($E318="","",IFERROR(INDEX(MUSTERILER!$B$7:$B$106,MATCH($U318,MUSTERILER!$T$7:$T$106,0)),IFERROR(INDEX(MUSTERILER!$B$7:$B$106,MATCH($E318,MUSTERILER!$B$7:$B$106,0)),IFERROR(INDEX(MUSTERILER!$B$7:$B$106,MATCH($U318&amp;"*",MUSTERILER!$T$7:$T$106,0)),"TANIMSIZ MÜŞTERİ"))))</f>
        <v/>
      </c>
      <c r="E318" s="109" t="n"/>
      <c r="F318" s="109" t="n"/>
      <c r="G318" s="108" t="n"/>
      <c r="H318" s="220" t="n"/>
      <c r="I318" s="220" t="n"/>
      <c r="J318" s="108" t="n"/>
      <c r="K318" s="108" t="n"/>
      <c r="L318" s="109" t="n"/>
      <c r="M318" s="109" t="n"/>
      <c r="N318" s="109" t="n"/>
      <c r="O318" s="220" t="n"/>
      <c r="P318" s="227">
        <f>IF(OR($E318="",$I318=""),"",IF(OR($J318="Tamamlandı",$J318="İptal"),"",$I318-TODAY()))</f>
        <v/>
      </c>
      <c r="Q318" s="113">
        <f>IF($E318="","",IF($D318="TANIMSIZ MÜŞTERİ","HATA",IF(OR($J318="Tamamlandı",$J318="İptal"),"KAPALI",IF(AND($C318="Görüşme",$N318=""),"SONRAKİ İŞLEM EKSİK",IF($I318="","TARİH EKSİK",IF($I318&lt;TODAY(),"GECİKMİŞ",IF($I318=TODAY(),"BUGÜN",IF($I318&lt;=TODAY()+7,"7 GÜN İÇİNDE","PLANLI"))))))))</f>
        <v/>
      </c>
      <c r="R318" s="6" t="n"/>
      <c r="S318" s="6" t="n"/>
      <c r="T318" s="3" t="n"/>
      <c r="U318" s="3">
        <f>IF($E318="","",UPPER(SUBSTITUTE(SUBSTITUTE(SUBSTITUTE(SUBSTITUTE(SUBSTITUTE(SUBSTITUTE(SUBSTITUTE(SUBSTITUTE(SUBSTITUTE(SUBSTITUTE(SUBSTITUTE(SUBSTITUTE(SUBSTITUTE(SUBSTITUTE(SUBSTITUTE(SUBSTITUTE(SUBSTITUTE(SUBSTITUTE(TRIM($E318),"'",""),"İ","I"),"ı","I"),"i","I"),"Ş","S"),"ş","S"),"Ğ","G"),"ğ","G"),"Ü","U"),"ü","U"),"Ö","O"),"ö","O"),"Ç","C"),"ç","C"),".",""),",","")," ",""),"-","")))</f>
        <v/>
      </c>
    </row>
    <row r="319">
      <c r="A319" s="6" t="n"/>
      <c r="B319" s="113">
        <f>IF($E319="","","A"&amp;TEXT(ROW()-6,"00000"))</f>
        <v/>
      </c>
      <c r="C319" s="108" t="n"/>
      <c r="D319" s="113">
        <f>IF($E319="","",IFERROR(INDEX(MUSTERILER!$B$7:$B$106,MATCH($U319,MUSTERILER!$T$7:$T$106,0)),IFERROR(INDEX(MUSTERILER!$B$7:$B$106,MATCH($E319,MUSTERILER!$B$7:$B$106,0)),IFERROR(INDEX(MUSTERILER!$B$7:$B$106,MATCH($U319&amp;"*",MUSTERILER!$T$7:$T$106,0)),"TANIMSIZ MÜŞTERİ"))))</f>
        <v/>
      </c>
      <c r="E319" s="109" t="n"/>
      <c r="F319" s="109" t="n"/>
      <c r="G319" s="108" t="n"/>
      <c r="H319" s="220" t="n"/>
      <c r="I319" s="220" t="n"/>
      <c r="J319" s="108" t="n"/>
      <c r="K319" s="108" t="n"/>
      <c r="L319" s="109" t="n"/>
      <c r="M319" s="109" t="n"/>
      <c r="N319" s="109" t="n"/>
      <c r="O319" s="220" t="n"/>
      <c r="P319" s="227">
        <f>IF(OR($E319="",$I319=""),"",IF(OR($J319="Tamamlandı",$J319="İptal"),"",$I319-TODAY()))</f>
        <v/>
      </c>
      <c r="Q319" s="113">
        <f>IF($E319="","",IF($D319="TANIMSIZ MÜŞTERİ","HATA",IF(OR($J319="Tamamlandı",$J319="İptal"),"KAPALI",IF(AND($C319="Görüşme",$N319=""),"SONRAKİ İŞLEM EKSİK",IF($I319="","TARİH EKSİK",IF($I319&lt;TODAY(),"GECİKMİŞ",IF($I319=TODAY(),"BUGÜN",IF($I319&lt;=TODAY()+7,"7 GÜN İÇİNDE","PLANLI"))))))))</f>
        <v/>
      </c>
      <c r="R319" s="6" t="n"/>
      <c r="S319" s="6" t="n"/>
      <c r="T319" s="3" t="n"/>
      <c r="U319" s="3">
        <f>IF($E319="","",UPPER(SUBSTITUTE(SUBSTITUTE(SUBSTITUTE(SUBSTITUTE(SUBSTITUTE(SUBSTITUTE(SUBSTITUTE(SUBSTITUTE(SUBSTITUTE(SUBSTITUTE(SUBSTITUTE(SUBSTITUTE(SUBSTITUTE(SUBSTITUTE(SUBSTITUTE(SUBSTITUTE(SUBSTITUTE(SUBSTITUTE(TRIM($E319),"'",""),"İ","I"),"ı","I"),"i","I"),"Ş","S"),"ş","S"),"Ğ","G"),"ğ","G"),"Ü","U"),"ü","U"),"Ö","O"),"ö","O"),"Ç","C"),"ç","C"),".",""),",","")," ",""),"-","")))</f>
        <v/>
      </c>
    </row>
    <row r="320">
      <c r="A320" s="6" t="n"/>
      <c r="B320" s="113">
        <f>IF($E320="","","A"&amp;TEXT(ROW()-6,"00000"))</f>
        <v/>
      </c>
      <c r="C320" s="108" t="n"/>
      <c r="D320" s="113">
        <f>IF($E320="","",IFERROR(INDEX(MUSTERILER!$B$7:$B$106,MATCH($U320,MUSTERILER!$T$7:$T$106,0)),IFERROR(INDEX(MUSTERILER!$B$7:$B$106,MATCH($E320,MUSTERILER!$B$7:$B$106,0)),IFERROR(INDEX(MUSTERILER!$B$7:$B$106,MATCH($U320&amp;"*",MUSTERILER!$T$7:$T$106,0)),"TANIMSIZ MÜŞTERİ"))))</f>
        <v/>
      </c>
      <c r="E320" s="109" t="n"/>
      <c r="F320" s="109" t="n"/>
      <c r="G320" s="108" t="n"/>
      <c r="H320" s="220" t="n"/>
      <c r="I320" s="220" t="n"/>
      <c r="J320" s="108" t="n"/>
      <c r="K320" s="108" t="n"/>
      <c r="L320" s="109" t="n"/>
      <c r="M320" s="109" t="n"/>
      <c r="N320" s="109" t="n"/>
      <c r="O320" s="220" t="n"/>
      <c r="P320" s="227">
        <f>IF(OR($E320="",$I320=""),"",IF(OR($J320="Tamamlandı",$J320="İptal"),"",$I320-TODAY()))</f>
        <v/>
      </c>
      <c r="Q320" s="113">
        <f>IF($E320="","",IF($D320="TANIMSIZ MÜŞTERİ","HATA",IF(OR($J320="Tamamlandı",$J320="İptal"),"KAPALI",IF(AND($C320="Görüşme",$N320=""),"SONRAKİ İŞLEM EKSİK",IF($I320="","TARİH EKSİK",IF($I320&lt;TODAY(),"GECİKMİŞ",IF($I320=TODAY(),"BUGÜN",IF($I320&lt;=TODAY()+7,"7 GÜN İÇİNDE","PLANLI"))))))))</f>
        <v/>
      </c>
      <c r="R320" s="6" t="n"/>
      <c r="S320" s="6" t="n"/>
      <c r="T320" s="3" t="n"/>
      <c r="U320" s="3">
        <f>IF($E320="","",UPPER(SUBSTITUTE(SUBSTITUTE(SUBSTITUTE(SUBSTITUTE(SUBSTITUTE(SUBSTITUTE(SUBSTITUTE(SUBSTITUTE(SUBSTITUTE(SUBSTITUTE(SUBSTITUTE(SUBSTITUTE(SUBSTITUTE(SUBSTITUTE(SUBSTITUTE(SUBSTITUTE(SUBSTITUTE(SUBSTITUTE(TRIM($E320),"'",""),"İ","I"),"ı","I"),"i","I"),"Ş","S"),"ş","S"),"Ğ","G"),"ğ","G"),"Ü","U"),"ü","U"),"Ö","O"),"ö","O"),"Ç","C"),"ç","C"),".",""),",","")," ",""),"-","")))</f>
        <v/>
      </c>
    </row>
    <row r="321">
      <c r="A321" s="6" t="n"/>
      <c r="B321" s="113">
        <f>IF($E321="","","A"&amp;TEXT(ROW()-6,"00000"))</f>
        <v/>
      </c>
      <c r="C321" s="108" t="n"/>
      <c r="D321" s="113">
        <f>IF($E321="","",IFERROR(INDEX(MUSTERILER!$B$7:$B$106,MATCH($U321,MUSTERILER!$T$7:$T$106,0)),IFERROR(INDEX(MUSTERILER!$B$7:$B$106,MATCH($E321,MUSTERILER!$B$7:$B$106,0)),IFERROR(INDEX(MUSTERILER!$B$7:$B$106,MATCH($U321&amp;"*",MUSTERILER!$T$7:$T$106,0)),"TANIMSIZ MÜŞTERİ"))))</f>
        <v/>
      </c>
      <c r="E321" s="109" t="n"/>
      <c r="F321" s="109" t="n"/>
      <c r="G321" s="108" t="n"/>
      <c r="H321" s="220" t="n"/>
      <c r="I321" s="220" t="n"/>
      <c r="J321" s="108" t="n"/>
      <c r="K321" s="108" t="n"/>
      <c r="L321" s="109" t="n"/>
      <c r="M321" s="109" t="n"/>
      <c r="N321" s="109" t="n"/>
      <c r="O321" s="220" t="n"/>
      <c r="P321" s="227">
        <f>IF(OR($E321="",$I321=""),"",IF(OR($J321="Tamamlandı",$J321="İptal"),"",$I321-TODAY()))</f>
        <v/>
      </c>
      <c r="Q321" s="113">
        <f>IF($E321="","",IF($D321="TANIMSIZ MÜŞTERİ","HATA",IF(OR($J321="Tamamlandı",$J321="İptal"),"KAPALI",IF(AND($C321="Görüşme",$N321=""),"SONRAKİ İŞLEM EKSİK",IF($I321="","TARİH EKSİK",IF($I321&lt;TODAY(),"GECİKMİŞ",IF($I321=TODAY(),"BUGÜN",IF($I321&lt;=TODAY()+7,"7 GÜN İÇİNDE","PLANLI"))))))))</f>
        <v/>
      </c>
      <c r="R321" s="6" t="n"/>
      <c r="S321" s="6" t="n"/>
      <c r="T321" s="3" t="n"/>
      <c r="U321" s="3">
        <f>IF($E321="","",UPPER(SUBSTITUTE(SUBSTITUTE(SUBSTITUTE(SUBSTITUTE(SUBSTITUTE(SUBSTITUTE(SUBSTITUTE(SUBSTITUTE(SUBSTITUTE(SUBSTITUTE(SUBSTITUTE(SUBSTITUTE(SUBSTITUTE(SUBSTITUTE(SUBSTITUTE(SUBSTITUTE(SUBSTITUTE(SUBSTITUTE(TRIM($E321),"'",""),"İ","I"),"ı","I"),"i","I"),"Ş","S"),"ş","S"),"Ğ","G"),"ğ","G"),"Ü","U"),"ü","U"),"Ö","O"),"ö","O"),"Ç","C"),"ç","C"),".",""),",","")," ",""),"-","")))</f>
        <v/>
      </c>
    </row>
    <row r="322">
      <c r="A322" s="6" t="n"/>
      <c r="B322" s="113">
        <f>IF($E322="","","A"&amp;TEXT(ROW()-6,"00000"))</f>
        <v/>
      </c>
      <c r="C322" s="108" t="n"/>
      <c r="D322" s="113">
        <f>IF($E322="","",IFERROR(INDEX(MUSTERILER!$B$7:$B$106,MATCH($U322,MUSTERILER!$T$7:$T$106,0)),IFERROR(INDEX(MUSTERILER!$B$7:$B$106,MATCH($E322,MUSTERILER!$B$7:$B$106,0)),IFERROR(INDEX(MUSTERILER!$B$7:$B$106,MATCH($U322&amp;"*",MUSTERILER!$T$7:$T$106,0)),"TANIMSIZ MÜŞTERİ"))))</f>
        <v/>
      </c>
      <c r="E322" s="109" t="n"/>
      <c r="F322" s="109" t="n"/>
      <c r="G322" s="108" t="n"/>
      <c r="H322" s="220" t="n"/>
      <c r="I322" s="220" t="n"/>
      <c r="J322" s="108" t="n"/>
      <c r="K322" s="108" t="n"/>
      <c r="L322" s="109" t="n"/>
      <c r="M322" s="109" t="n"/>
      <c r="N322" s="109" t="n"/>
      <c r="O322" s="220" t="n"/>
      <c r="P322" s="227">
        <f>IF(OR($E322="",$I322=""),"",IF(OR($J322="Tamamlandı",$J322="İptal"),"",$I322-TODAY()))</f>
        <v/>
      </c>
      <c r="Q322" s="113">
        <f>IF($E322="","",IF($D322="TANIMSIZ MÜŞTERİ","HATA",IF(OR($J322="Tamamlandı",$J322="İptal"),"KAPALI",IF(AND($C322="Görüşme",$N322=""),"SONRAKİ İŞLEM EKSİK",IF($I322="","TARİH EKSİK",IF($I322&lt;TODAY(),"GECİKMİŞ",IF($I322=TODAY(),"BUGÜN",IF($I322&lt;=TODAY()+7,"7 GÜN İÇİNDE","PLANLI"))))))))</f>
        <v/>
      </c>
      <c r="R322" s="6" t="n"/>
      <c r="S322" s="6" t="n"/>
      <c r="T322" s="3" t="n"/>
      <c r="U322" s="3">
        <f>IF($E322="","",UPPER(SUBSTITUTE(SUBSTITUTE(SUBSTITUTE(SUBSTITUTE(SUBSTITUTE(SUBSTITUTE(SUBSTITUTE(SUBSTITUTE(SUBSTITUTE(SUBSTITUTE(SUBSTITUTE(SUBSTITUTE(SUBSTITUTE(SUBSTITUTE(SUBSTITUTE(SUBSTITUTE(SUBSTITUTE(SUBSTITUTE(TRIM($E322),"'",""),"İ","I"),"ı","I"),"i","I"),"Ş","S"),"ş","S"),"Ğ","G"),"ğ","G"),"Ü","U"),"ü","U"),"Ö","O"),"ö","O"),"Ç","C"),"ç","C"),".",""),",","")," ",""),"-","")))</f>
        <v/>
      </c>
    </row>
    <row r="323">
      <c r="A323" s="6" t="n"/>
      <c r="B323" s="113">
        <f>IF($E323="","","A"&amp;TEXT(ROW()-6,"00000"))</f>
        <v/>
      </c>
      <c r="C323" s="108" t="n"/>
      <c r="D323" s="113">
        <f>IF($E323="","",IFERROR(INDEX(MUSTERILER!$B$7:$B$106,MATCH($U323,MUSTERILER!$T$7:$T$106,0)),IFERROR(INDEX(MUSTERILER!$B$7:$B$106,MATCH($E323,MUSTERILER!$B$7:$B$106,0)),IFERROR(INDEX(MUSTERILER!$B$7:$B$106,MATCH($U323&amp;"*",MUSTERILER!$T$7:$T$106,0)),"TANIMSIZ MÜŞTERİ"))))</f>
        <v/>
      </c>
      <c r="E323" s="109" t="n"/>
      <c r="F323" s="109" t="n"/>
      <c r="G323" s="108" t="n"/>
      <c r="H323" s="220" t="n"/>
      <c r="I323" s="220" t="n"/>
      <c r="J323" s="108" t="n"/>
      <c r="K323" s="108" t="n"/>
      <c r="L323" s="109" t="n"/>
      <c r="M323" s="109" t="n"/>
      <c r="N323" s="109" t="n"/>
      <c r="O323" s="220" t="n"/>
      <c r="P323" s="227">
        <f>IF(OR($E323="",$I323=""),"",IF(OR($J323="Tamamlandı",$J323="İptal"),"",$I323-TODAY()))</f>
        <v/>
      </c>
      <c r="Q323" s="113">
        <f>IF($E323="","",IF($D323="TANIMSIZ MÜŞTERİ","HATA",IF(OR($J323="Tamamlandı",$J323="İptal"),"KAPALI",IF(AND($C323="Görüşme",$N323=""),"SONRAKİ İŞLEM EKSİK",IF($I323="","TARİH EKSİK",IF($I323&lt;TODAY(),"GECİKMİŞ",IF($I323=TODAY(),"BUGÜN",IF($I323&lt;=TODAY()+7,"7 GÜN İÇİNDE","PLANLI"))))))))</f>
        <v/>
      </c>
      <c r="R323" s="6" t="n"/>
      <c r="S323" s="6" t="n"/>
      <c r="T323" s="3" t="n"/>
      <c r="U323" s="3">
        <f>IF($E323="","",UPPER(SUBSTITUTE(SUBSTITUTE(SUBSTITUTE(SUBSTITUTE(SUBSTITUTE(SUBSTITUTE(SUBSTITUTE(SUBSTITUTE(SUBSTITUTE(SUBSTITUTE(SUBSTITUTE(SUBSTITUTE(SUBSTITUTE(SUBSTITUTE(SUBSTITUTE(SUBSTITUTE(SUBSTITUTE(SUBSTITUTE(TRIM($E323),"'",""),"İ","I"),"ı","I"),"i","I"),"Ş","S"),"ş","S"),"Ğ","G"),"ğ","G"),"Ü","U"),"ü","U"),"Ö","O"),"ö","O"),"Ç","C"),"ç","C"),".",""),",","")," ",""),"-","")))</f>
        <v/>
      </c>
    </row>
    <row r="324">
      <c r="A324" s="6" t="n"/>
      <c r="B324" s="113">
        <f>IF($E324="","","A"&amp;TEXT(ROW()-6,"00000"))</f>
        <v/>
      </c>
      <c r="C324" s="108" t="n"/>
      <c r="D324" s="113">
        <f>IF($E324="","",IFERROR(INDEX(MUSTERILER!$B$7:$B$106,MATCH($U324,MUSTERILER!$T$7:$T$106,0)),IFERROR(INDEX(MUSTERILER!$B$7:$B$106,MATCH($E324,MUSTERILER!$B$7:$B$106,0)),IFERROR(INDEX(MUSTERILER!$B$7:$B$106,MATCH($U324&amp;"*",MUSTERILER!$T$7:$T$106,0)),"TANIMSIZ MÜŞTERİ"))))</f>
        <v/>
      </c>
      <c r="E324" s="109" t="n"/>
      <c r="F324" s="109" t="n"/>
      <c r="G324" s="108" t="n"/>
      <c r="H324" s="220" t="n"/>
      <c r="I324" s="220" t="n"/>
      <c r="J324" s="108" t="n"/>
      <c r="K324" s="108" t="n"/>
      <c r="L324" s="109" t="n"/>
      <c r="M324" s="109" t="n"/>
      <c r="N324" s="109" t="n"/>
      <c r="O324" s="220" t="n"/>
      <c r="P324" s="227">
        <f>IF(OR($E324="",$I324=""),"",IF(OR($J324="Tamamlandı",$J324="İptal"),"",$I324-TODAY()))</f>
        <v/>
      </c>
      <c r="Q324" s="113">
        <f>IF($E324="","",IF($D324="TANIMSIZ MÜŞTERİ","HATA",IF(OR($J324="Tamamlandı",$J324="İptal"),"KAPALI",IF(AND($C324="Görüşme",$N324=""),"SONRAKİ İŞLEM EKSİK",IF($I324="","TARİH EKSİK",IF($I324&lt;TODAY(),"GECİKMİŞ",IF($I324=TODAY(),"BUGÜN",IF($I324&lt;=TODAY()+7,"7 GÜN İÇİNDE","PLANLI"))))))))</f>
        <v/>
      </c>
      <c r="R324" s="6" t="n"/>
      <c r="S324" s="6" t="n"/>
      <c r="T324" s="3" t="n"/>
      <c r="U324" s="3">
        <f>IF($E324="","",UPPER(SUBSTITUTE(SUBSTITUTE(SUBSTITUTE(SUBSTITUTE(SUBSTITUTE(SUBSTITUTE(SUBSTITUTE(SUBSTITUTE(SUBSTITUTE(SUBSTITUTE(SUBSTITUTE(SUBSTITUTE(SUBSTITUTE(SUBSTITUTE(SUBSTITUTE(SUBSTITUTE(SUBSTITUTE(SUBSTITUTE(TRIM($E324),"'",""),"İ","I"),"ı","I"),"i","I"),"Ş","S"),"ş","S"),"Ğ","G"),"ğ","G"),"Ü","U"),"ü","U"),"Ö","O"),"ö","O"),"Ç","C"),"ç","C"),".",""),",","")," ",""),"-","")))</f>
        <v/>
      </c>
    </row>
    <row r="325">
      <c r="A325" s="6" t="n"/>
      <c r="B325" s="113">
        <f>IF($E325="","","A"&amp;TEXT(ROW()-6,"00000"))</f>
        <v/>
      </c>
      <c r="C325" s="108" t="n"/>
      <c r="D325" s="113">
        <f>IF($E325="","",IFERROR(INDEX(MUSTERILER!$B$7:$B$106,MATCH($U325,MUSTERILER!$T$7:$T$106,0)),IFERROR(INDEX(MUSTERILER!$B$7:$B$106,MATCH($E325,MUSTERILER!$B$7:$B$106,0)),IFERROR(INDEX(MUSTERILER!$B$7:$B$106,MATCH($U325&amp;"*",MUSTERILER!$T$7:$T$106,0)),"TANIMSIZ MÜŞTERİ"))))</f>
        <v/>
      </c>
      <c r="E325" s="109" t="n"/>
      <c r="F325" s="109" t="n"/>
      <c r="G325" s="108" t="n"/>
      <c r="H325" s="220" t="n"/>
      <c r="I325" s="220" t="n"/>
      <c r="J325" s="108" t="n"/>
      <c r="K325" s="108" t="n"/>
      <c r="L325" s="109" t="n"/>
      <c r="M325" s="109" t="n"/>
      <c r="N325" s="109" t="n"/>
      <c r="O325" s="220" t="n"/>
      <c r="P325" s="227">
        <f>IF(OR($E325="",$I325=""),"",IF(OR($J325="Tamamlandı",$J325="İptal"),"",$I325-TODAY()))</f>
        <v/>
      </c>
      <c r="Q325" s="113">
        <f>IF($E325="","",IF($D325="TANIMSIZ MÜŞTERİ","HATA",IF(OR($J325="Tamamlandı",$J325="İptal"),"KAPALI",IF(AND($C325="Görüşme",$N325=""),"SONRAKİ İŞLEM EKSİK",IF($I325="","TARİH EKSİK",IF($I325&lt;TODAY(),"GECİKMİŞ",IF($I325=TODAY(),"BUGÜN",IF($I325&lt;=TODAY()+7,"7 GÜN İÇİNDE","PLANLI"))))))))</f>
        <v/>
      </c>
      <c r="R325" s="6" t="n"/>
      <c r="S325" s="6" t="n"/>
      <c r="T325" s="3" t="n"/>
      <c r="U325" s="3">
        <f>IF($E325="","",UPPER(SUBSTITUTE(SUBSTITUTE(SUBSTITUTE(SUBSTITUTE(SUBSTITUTE(SUBSTITUTE(SUBSTITUTE(SUBSTITUTE(SUBSTITUTE(SUBSTITUTE(SUBSTITUTE(SUBSTITUTE(SUBSTITUTE(SUBSTITUTE(SUBSTITUTE(SUBSTITUTE(SUBSTITUTE(SUBSTITUTE(TRIM($E325),"'",""),"İ","I"),"ı","I"),"i","I"),"Ş","S"),"ş","S"),"Ğ","G"),"ğ","G"),"Ü","U"),"ü","U"),"Ö","O"),"ö","O"),"Ç","C"),"ç","C"),".",""),",","")," ",""),"-","")))</f>
        <v/>
      </c>
    </row>
    <row r="326">
      <c r="A326" s="6" t="n"/>
      <c r="B326" s="113">
        <f>IF($E326="","","A"&amp;TEXT(ROW()-6,"00000"))</f>
        <v/>
      </c>
      <c r="C326" s="108" t="n"/>
      <c r="D326" s="113">
        <f>IF($E326="","",IFERROR(INDEX(MUSTERILER!$B$7:$B$106,MATCH($U326,MUSTERILER!$T$7:$T$106,0)),IFERROR(INDEX(MUSTERILER!$B$7:$B$106,MATCH($E326,MUSTERILER!$B$7:$B$106,0)),IFERROR(INDEX(MUSTERILER!$B$7:$B$106,MATCH($U326&amp;"*",MUSTERILER!$T$7:$T$106,0)),"TANIMSIZ MÜŞTERİ"))))</f>
        <v/>
      </c>
      <c r="E326" s="109" t="n"/>
      <c r="F326" s="109" t="n"/>
      <c r="G326" s="108" t="n"/>
      <c r="H326" s="220" t="n"/>
      <c r="I326" s="220" t="n"/>
      <c r="J326" s="108" t="n"/>
      <c r="K326" s="108" t="n"/>
      <c r="L326" s="109" t="n"/>
      <c r="M326" s="109" t="n"/>
      <c r="N326" s="109" t="n"/>
      <c r="O326" s="220" t="n"/>
      <c r="P326" s="227">
        <f>IF(OR($E326="",$I326=""),"",IF(OR($J326="Tamamlandı",$J326="İptal"),"",$I326-TODAY()))</f>
        <v/>
      </c>
      <c r="Q326" s="113">
        <f>IF($E326="","",IF($D326="TANIMSIZ MÜŞTERİ","HATA",IF(OR($J326="Tamamlandı",$J326="İptal"),"KAPALI",IF(AND($C326="Görüşme",$N326=""),"SONRAKİ İŞLEM EKSİK",IF($I326="","TARİH EKSİK",IF($I326&lt;TODAY(),"GECİKMİŞ",IF($I326=TODAY(),"BUGÜN",IF($I326&lt;=TODAY()+7,"7 GÜN İÇİNDE","PLANLI"))))))))</f>
        <v/>
      </c>
      <c r="R326" s="6" t="n"/>
      <c r="S326" s="6" t="n"/>
      <c r="T326" s="3" t="n"/>
      <c r="U326" s="3">
        <f>IF($E326="","",UPPER(SUBSTITUTE(SUBSTITUTE(SUBSTITUTE(SUBSTITUTE(SUBSTITUTE(SUBSTITUTE(SUBSTITUTE(SUBSTITUTE(SUBSTITUTE(SUBSTITUTE(SUBSTITUTE(SUBSTITUTE(SUBSTITUTE(SUBSTITUTE(SUBSTITUTE(SUBSTITUTE(SUBSTITUTE(SUBSTITUTE(TRIM($E326),"'",""),"İ","I"),"ı","I"),"i","I"),"Ş","S"),"ş","S"),"Ğ","G"),"ğ","G"),"Ü","U"),"ü","U"),"Ö","O"),"ö","O"),"Ç","C"),"ç","C"),".",""),",","")," ",""),"-","")))</f>
        <v/>
      </c>
    </row>
    <row r="327">
      <c r="A327" s="6" t="n"/>
      <c r="B327" s="113">
        <f>IF($E327="","","A"&amp;TEXT(ROW()-6,"00000"))</f>
        <v/>
      </c>
      <c r="C327" s="108" t="n"/>
      <c r="D327" s="113">
        <f>IF($E327="","",IFERROR(INDEX(MUSTERILER!$B$7:$B$106,MATCH($U327,MUSTERILER!$T$7:$T$106,0)),IFERROR(INDEX(MUSTERILER!$B$7:$B$106,MATCH($E327,MUSTERILER!$B$7:$B$106,0)),IFERROR(INDEX(MUSTERILER!$B$7:$B$106,MATCH($U327&amp;"*",MUSTERILER!$T$7:$T$106,0)),"TANIMSIZ MÜŞTERİ"))))</f>
        <v/>
      </c>
      <c r="E327" s="109" t="n"/>
      <c r="F327" s="109" t="n"/>
      <c r="G327" s="108" t="n"/>
      <c r="H327" s="220" t="n"/>
      <c r="I327" s="220" t="n"/>
      <c r="J327" s="108" t="n"/>
      <c r="K327" s="108" t="n"/>
      <c r="L327" s="109" t="n"/>
      <c r="M327" s="109" t="n"/>
      <c r="N327" s="109" t="n"/>
      <c r="O327" s="220" t="n"/>
      <c r="P327" s="227">
        <f>IF(OR($E327="",$I327=""),"",IF(OR($J327="Tamamlandı",$J327="İptal"),"",$I327-TODAY()))</f>
        <v/>
      </c>
      <c r="Q327" s="113">
        <f>IF($E327="","",IF($D327="TANIMSIZ MÜŞTERİ","HATA",IF(OR($J327="Tamamlandı",$J327="İptal"),"KAPALI",IF(AND($C327="Görüşme",$N327=""),"SONRAKİ İŞLEM EKSİK",IF($I327="","TARİH EKSİK",IF($I327&lt;TODAY(),"GECİKMİŞ",IF($I327=TODAY(),"BUGÜN",IF($I327&lt;=TODAY()+7,"7 GÜN İÇİNDE","PLANLI"))))))))</f>
        <v/>
      </c>
      <c r="R327" s="6" t="n"/>
      <c r="S327" s="6" t="n"/>
      <c r="T327" s="3" t="n"/>
      <c r="U327" s="3">
        <f>IF($E327="","",UPPER(SUBSTITUTE(SUBSTITUTE(SUBSTITUTE(SUBSTITUTE(SUBSTITUTE(SUBSTITUTE(SUBSTITUTE(SUBSTITUTE(SUBSTITUTE(SUBSTITUTE(SUBSTITUTE(SUBSTITUTE(SUBSTITUTE(SUBSTITUTE(SUBSTITUTE(SUBSTITUTE(SUBSTITUTE(SUBSTITUTE(TRIM($E327),"'",""),"İ","I"),"ı","I"),"i","I"),"Ş","S"),"ş","S"),"Ğ","G"),"ğ","G"),"Ü","U"),"ü","U"),"Ö","O"),"ö","O"),"Ç","C"),"ç","C"),".",""),",","")," ",""),"-","")))</f>
        <v/>
      </c>
    </row>
    <row r="328">
      <c r="A328" s="6" t="n"/>
      <c r="B328" s="113">
        <f>IF($E328="","","A"&amp;TEXT(ROW()-6,"00000"))</f>
        <v/>
      </c>
      <c r="C328" s="108" t="n"/>
      <c r="D328" s="113">
        <f>IF($E328="","",IFERROR(INDEX(MUSTERILER!$B$7:$B$106,MATCH($U328,MUSTERILER!$T$7:$T$106,0)),IFERROR(INDEX(MUSTERILER!$B$7:$B$106,MATCH($E328,MUSTERILER!$B$7:$B$106,0)),IFERROR(INDEX(MUSTERILER!$B$7:$B$106,MATCH($U328&amp;"*",MUSTERILER!$T$7:$T$106,0)),"TANIMSIZ MÜŞTERİ"))))</f>
        <v/>
      </c>
      <c r="E328" s="109" t="n"/>
      <c r="F328" s="109" t="n"/>
      <c r="G328" s="108" t="n"/>
      <c r="H328" s="220" t="n"/>
      <c r="I328" s="220" t="n"/>
      <c r="J328" s="108" t="n"/>
      <c r="K328" s="108" t="n"/>
      <c r="L328" s="109" t="n"/>
      <c r="M328" s="109" t="n"/>
      <c r="N328" s="109" t="n"/>
      <c r="O328" s="220" t="n"/>
      <c r="P328" s="227">
        <f>IF(OR($E328="",$I328=""),"",IF(OR($J328="Tamamlandı",$J328="İptal"),"",$I328-TODAY()))</f>
        <v/>
      </c>
      <c r="Q328" s="113">
        <f>IF($E328="","",IF($D328="TANIMSIZ MÜŞTERİ","HATA",IF(OR($J328="Tamamlandı",$J328="İptal"),"KAPALI",IF(AND($C328="Görüşme",$N328=""),"SONRAKİ İŞLEM EKSİK",IF($I328="","TARİH EKSİK",IF($I328&lt;TODAY(),"GECİKMİŞ",IF($I328=TODAY(),"BUGÜN",IF($I328&lt;=TODAY()+7,"7 GÜN İÇİNDE","PLANLI"))))))))</f>
        <v/>
      </c>
      <c r="R328" s="6" t="n"/>
      <c r="S328" s="6" t="n"/>
      <c r="T328" s="3" t="n"/>
      <c r="U328" s="3">
        <f>IF($E328="","",UPPER(SUBSTITUTE(SUBSTITUTE(SUBSTITUTE(SUBSTITUTE(SUBSTITUTE(SUBSTITUTE(SUBSTITUTE(SUBSTITUTE(SUBSTITUTE(SUBSTITUTE(SUBSTITUTE(SUBSTITUTE(SUBSTITUTE(SUBSTITUTE(SUBSTITUTE(SUBSTITUTE(SUBSTITUTE(SUBSTITUTE(TRIM($E328),"'",""),"İ","I"),"ı","I"),"i","I"),"Ş","S"),"ş","S"),"Ğ","G"),"ğ","G"),"Ü","U"),"ü","U"),"Ö","O"),"ö","O"),"Ç","C"),"ç","C"),".",""),",","")," ",""),"-","")))</f>
        <v/>
      </c>
    </row>
    <row r="329">
      <c r="A329" s="6" t="n"/>
      <c r="B329" s="113">
        <f>IF($E329="","","A"&amp;TEXT(ROW()-6,"00000"))</f>
        <v/>
      </c>
      <c r="C329" s="108" t="n"/>
      <c r="D329" s="113">
        <f>IF($E329="","",IFERROR(INDEX(MUSTERILER!$B$7:$B$106,MATCH($U329,MUSTERILER!$T$7:$T$106,0)),IFERROR(INDEX(MUSTERILER!$B$7:$B$106,MATCH($E329,MUSTERILER!$B$7:$B$106,0)),IFERROR(INDEX(MUSTERILER!$B$7:$B$106,MATCH($U329&amp;"*",MUSTERILER!$T$7:$T$106,0)),"TANIMSIZ MÜŞTERİ"))))</f>
        <v/>
      </c>
      <c r="E329" s="109" t="n"/>
      <c r="F329" s="109" t="n"/>
      <c r="G329" s="108" t="n"/>
      <c r="H329" s="220" t="n"/>
      <c r="I329" s="220" t="n"/>
      <c r="J329" s="108" t="n"/>
      <c r="K329" s="108" t="n"/>
      <c r="L329" s="109" t="n"/>
      <c r="M329" s="109" t="n"/>
      <c r="N329" s="109" t="n"/>
      <c r="O329" s="220" t="n"/>
      <c r="P329" s="227">
        <f>IF(OR($E329="",$I329=""),"",IF(OR($J329="Tamamlandı",$J329="İptal"),"",$I329-TODAY()))</f>
        <v/>
      </c>
      <c r="Q329" s="113">
        <f>IF($E329="","",IF($D329="TANIMSIZ MÜŞTERİ","HATA",IF(OR($J329="Tamamlandı",$J329="İptal"),"KAPALI",IF(AND($C329="Görüşme",$N329=""),"SONRAKİ İŞLEM EKSİK",IF($I329="","TARİH EKSİK",IF($I329&lt;TODAY(),"GECİKMİŞ",IF($I329=TODAY(),"BUGÜN",IF($I329&lt;=TODAY()+7,"7 GÜN İÇİNDE","PLANLI"))))))))</f>
        <v/>
      </c>
      <c r="R329" s="6" t="n"/>
      <c r="S329" s="6" t="n"/>
      <c r="T329" s="3" t="n"/>
      <c r="U329" s="3">
        <f>IF($E329="","",UPPER(SUBSTITUTE(SUBSTITUTE(SUBSTITUTE(SUBSTITUTE(SUBSTITUTE(SUBSTITUTE(SUBSTITUTE(SUBSTITUTE(SUBSTITUTE(SUBSTITUTE(SUBSTITUTE(SUBSTITUTE(SUBSTITUTE(SUBSTITUTE(SUBSTITUTE(SUBSTITUTE(SUBSTITUTE(SUBSTITUTE(TRIM($E329),"'",""),"İ","I"),"ı","I"),"i","I"),"Ş","S"),"ş","S"),"Ğ","G"),"ğ","G"),"Ü","U"),"ü","U"),"Ö","O"),"ö","O"),"Ç","C"),"ç","C"),".",""),",","")," ",""),"-","")))</f>
        <v/>
      </c>
    </row>
    <row r="330">
      <c r="A330" s="6" t="n"/>
      <c r="B330" s="113">
        <f>IF($E330="","","A"&amp;TEXT(ROW()-6,"00000"))</f>
        <v/>
      </c>
      <c r="C330" s="108" t="n"/>
      <c r="D330" s="113">
        <f>IF($E330="","",IFERROR(INDEX(MUSTERILER!$B$7:$B$106,MATCH($U330,MUSTERILER!$T$7:$T$106,0)),IFERROR(INDEX(MUSTERILER!$B$7:$B$106,MATCH($E330,MUSTERILER!$B$7:$B$106,0)),IFERROR(INDEX(MUSTERILER!$B$7:$B$106,MATCH($U330&amp;"*",MUSTERILER!$T$7:$T$106,0)),"TANIMSIZ MÜŞTERİ"))))</f>
        <v/>
      </c>
      <c r="E330" s="109" t="n"/>
      <c r="F330" s="109" t="n"/>
      <c r="G330" s="108" t="n"/>
      <c r="H330" s="220" t="n"/>
      <c r="I330" s="220" t="n"/>
      <c r="J330" s="108" t="n"/>
      <c r="K330" s="108" t="n"/>
      <c r="L330" s="109" t="n"/>
      <c r="M330" s="109" t="n"/>
      <c r="N330" s="109" t="n"/>
      <c r="O330" s="220" t="n"/>
      <c r="P330" s="227">
        <f>IF(OR($E330="",$I330=""),"",IF(OR($J330="Tamamlandı",$J330="İptal"),"",$I330-TODAY()))</f>
        <v/>
      </c>
      <c r="Q330" s="113">
        <f>IF($E330="","",IF($D330="TANIMSIZ MÜŞTERİ","HATA",IF(OR($J330="Tamamlandı",$J330="İptal"),"KAPALI",IF(AND($C330="Görüşme",$N330=""),"SONRAKİ İŞLEM EKSİK",IF($I330="","TARİH EKSİK",IF($I330&lt;TODAY(),"GECİKMİŞ",IF($I330=TODAY(),"BUGÜN",IF($I330&lt;=TODAY()+7,"7 GÜN İÇİNDE","PLANLI"))))))))</f>
        <v/>
      </c>
      <c r="R330" s="6" t="n"/>
      <c r="S330" s="6" t="n"/>
      <c r="T330" s="3" t="n"/>
      <c r="U330" s="3">
        <f>IF($E330="","",UPPER(SUBSTITUTE(SUBSTITUTE(SUBSTITUTE(SUBSTITUTE(SUBSTITUTE(SUBSTITUTE(SUBSTITUTE(SUBSTITUTE(SUBSTITUTE(SUBSTITUTE(SUBSTITUTE(SUBSTITUTE(SUBSTITUTE(SUBSTITUTE(SUBSTITUTE(SUBSTITUTE(SUBSTITUTE(SUBSTITUTE(TRIM($E330),"'",""),"İ","I"),"ı","I"),"i","I"),"Ş","S"),"ş","S"),"Ğ","G"),"ğ","G"),"Ü","U"),"ü","U"),"Ö","O"),"ö","O"),"Ç","C"),"ç","C"),".",""),",","")," ",""),"-","")))</f>
        <v/>
      </c>
    </row>
    <row r="331">
      <c r="A331" s="6" t="n"/>
      <c r="B331" s="113">
        <f>IF($E331="","","A"&amp;TEXT(ROW()-6,"00000"))</f>
        <v/>
      </c>
      <c r="C331" s="108" t="n"/>
      <c r="D331" s="113">
        <f>IF($E331="","",IFERROR(INDEX(MUSTERILER!$B$7:$B$106,MATCH($U331,MUSTERILER!$T$7:$T$106,0)),IFERROR(INDEX(MUSTERILER!$B$7:$B$106,MATCH($E331,MUSTERILER!$B$7:$B$106,0)),IFERROR(INDEX(MUSTERILER!$B$7:$B$106,MATCH($U331&amp;"*",MUSTERILER!$T$7:$T$106,0)),"TANIMSIZ MÜŞTERİ"))))</f>
        <v/>
      </c>
      <c r="E331" s="109" t="n"/>
      <c r="F331" s="109" t="n"/>
      <c r="G331" s="108" t="n"/>
      <c r="H331" s="220" t="n"/>
      <c r="I331" s="220" t="n"/>
      <c r="J331" s="108" t="n"/>
      <c r="K331" s="108" t="n"/>
      <c r="L331" s="109" t="n"/>
      <c r="M331" s="109" t="n"/>
      <c r="N331" s="109" t="n"/>
      <c r="O331" s="220" t="n"/>
      <c r="P331" s="227">
        <f>IF(OR($E331="",$I331=""),"",IF(OR($J331="Tamamlandı",$J331="İptal"),"",$I331-TODAY()))</f>
        <v/>
      </c>
      <c r="Q331" s="113">
        <f>IF($E331="","",IF($D331="TANIMSIZ MÜŞTERİ","HATA",IF(OR($J331="Tamamlandı",$J331="İptal"),"KAPALI",IF(AND($C331="Görüşme",$N331=""),"SONRAKİ İŞLEM EKSİK",IF($I331="","TARİH EKSİK",IF($I331&lt;TODAY(),"GECİKMİŞ",IF($I331=TODAY(),"BUGÜN",IF($I331&lt;=TODAY()+7,"7 GÜN İÇİNDE","PLANLI"))))))))</f>
        <v/>
      </c>
      <c r="R331" s="6" t="n"/>
      <c r="S331" s="6" t="n"/>
      <c r="T331" s="3" t="n"/>
      <c r="U331" s="3">
        <f>IF($E331="","",UPPER(SUBSTITUTE(SUBSTITUTE(SUBSTITUTE(SUBSTITUTE(SUBSTITUTE(SUBSTITUTE(SUBSTITUTE(SUBSTITUTE(SUBSTITUTE(SUBSTITUTE(SUBSTITUTE(SUBSTITUTE(SUBSTITUTE(SUBSTITUTE(SUBSTITUTE(SUBSTITUTE(SUBSTITUTE(SUBSTITUTE(TRIM($E331),"'",""),"İ","I"),"ı","I"),"i","I"),"Ş","S"),"ş","S"),"Ğ","G"),"ğ","G"),"Ü","U"),"ü","U"),"Ö","O"),"ö","O"),"Ç","C"),"ç","C"),".",""),",","")," ",""),"-","")))</f>
        <v/>
      </c>
    </row>
    <row r="332">
      <c r="A332" s="6" t="n"/>
      <c r="B332" s="113">
        <f>IF($E332="","","A"&amp;TEXT(ROW()-6,"00000"))</f>
        <v/>
      </c>
      <c r="C332" s="108" t="n"/>
      <c r="D332" s="113">
        <f>IF($E332="","",IFERROR(INDEX(MUSTERILER!$B$7:$B$106,MATCH($U332,MUSTERILER!$T$7:$T$106,0)),IFERROR(INDEX(MUSTERILER!$B$7:$B$106,MATCH($E332,MUSTERILER!$B$7:$B$106,0)),IFERROR(INDEX(MUSTERILER!$B$7:$B$106,MATCH($U332&amp;"*",MUSTERILER!$T$7:$T$106,0)),"TANIMSIZ MÜŞTERİ"))))</f>
        <v/>
      </c>
      <c r="E332" s="109" t="n"/>
      <c r="F332" s="109" t="n"/>
      <c r="G332" s="108" t="n"/>
      <c r="H332" s="220" t="n"/>
      <c r="I332" s="220" t="n"/>
      <c r="J332" s="108" t="n"/>
      <c r="K332" s="108" t="n"/>
      <c r="L332" s="109" t="n"/>
      <c r="M332" s="109" t="n"/>
      <c r="N332" s="109" t="n"/>
      <c r="O332" s="220" t="n"/>
      <c r="P332" s="227">
        <f>IF(OR($E332="",$I332=""),"",IF(OR($J332="Tamamlandı",$J332="İptal"),"",$I332-TODAY()))</f>
        <v/>
      </c>
      <c r="Q332" s="113">
        <f>IF($E332="","",IF($D332="TANIMSIZ MÜŞTERİ","HATA",IF(OR($J332="Tamamlandı",$J332="İptal"),"KAPALI",IF(AND($C332="Görüşme",$N332=""),"SONRAKİ İŞLEM EKSİK",IF($I332="","TARİH EKSİK",IF($I332&lt;TODAY(),"GECİKMİŞ",IF($I332=TODAY(),"BUGÜN",IF($I332&lt;=TODAY()+7,"7 GÜN İÇİNDE","PLANLI"))))))))</f>
        <v/>
      </c>
      <c r="R332" s="6" t="n"/>
      <c r="S332" s="6" t="n"/>
      <c r="T332" s="3" t="n"/>
      <c r="U332" s="3">
        <f>IF($E332="","",UPPER(SUBSTITUTE(SUBSTITUTE(SUBSTITUTE(SUBSTITUTE(SUBSTITUTE(SUBSTITUTE(SUBSTITUTE(SUBSTITUTE(SUBSTITUTE(SUBSTITUTE(SUBSTITUTE(SUBSTITUTE(SUBSTITUTE(SUBSTITUTE(SUBSTITUTE(SUBSTITUTE(SUBSTITUTE(SUBSTITUTE(TRIM($E332),"'",""),"İ","I"),"ı","I"),"i","I"),"Ş","S"),"ş","S"),"Ğ","G"),"ğ","G"),"Ü","U"),"ü","U"),"Ö","O"),"ö","O"),"Ç","C"),"ç","C"),".",""),",","")," ",""),"-","")))</f>
        <v/>
      </c>
    </row>
    <row r="333">
      <c r="A333" s="6" t="n"/>
      <c r="B333" s="113">
        <f>IF($E333="","","A"&amp;TEXT(ROW()-6,"00000"))</f>
        <v/>
      </c>
      <c r="C333" s="108" t="n"/>
      <c r="D333" s="113">
        <f>IF($E333="","",IFERROR(INDEX(MUSTERILER!$B$7:$B$106,MATCH($U333,MUSTERILER!$T$7:$T$106,0)),IFERROR(INDEX(MUSTERILER!$B$7:$B$106,MATCH($E333,MUSTERILER!$B$7:$B$106,0)),IFERROR(INDEX(MUSTERILER!$B$7:$B$106,MATCH($U333&amp;"*",MUSTERILER!$T$7:$T$106,0)),"TANIMSIZ MÜŞTERİ"))))</f>
        <v/>
      </c>
      <c r="E333" s="109" t="n"/>
      <c r="F333" s="109" t="n"/>
      <c r="G333" s="108" t="n"/>
      <c r="H333" s="220" t="n"/>
      <c r="I333" s="220" t="n"/>
      <c r="J333" s="108" t="n"/>
      <c r="K333" s="108" t="n"/>
      <c r="L333" s="109" t="n"/>
      <c r="M333" s="109" t="n"/>
      <c r="N333" s="109" t="n"/>
      <c r="O333" s="220" t="n"/>
      <c r="P333" s="227">
        <f>IF(OR($E333="",$I333=""),"",IF(OR($J333="Tamamlandı",$J333="İptal"),"",$I333-TODAY()))</f>
        <v/>
      </c>
      <c r="Q333" s="113">
        <f>IF($E333="","",IF($D333="TANIMSIZ MÜŞTERİ","HATA",IF(OR($J333="Tamamlandı",$J333="İptal"),"KAPALI",IF(AND($C333="Görüşme",$N333=""),"SONRAKİ İŞLEM EKSİK",IF($I333="","TARİH EKSİK",IF($I333&lt;TODAY(),"GECİKMİŞ",IF($I333=TODAY(),"BUGÜN",IF($I333&lt;=TODAY()+7,"7 GÜN İÇİNDE","PLANLI"))))))))</f>
        <v/>
      </c>
      <c r="R333" s="6" t="n"/>
      <c r="S333" s="6" t="n"/>
      <c r="T333" s="3" t="n"/>
      <c r="U333" s="3">
        <f>IF($E333="","",UPPER(SUBSTITUTE(SUBSTITUTE(SUBSTITUTE(SUBSTITUTE(SUBSTITUTE(SUBSTITUTE(SUBSTITUTE(SUBSTITUTE(SUBSTITUTE(SUBSTITUTE(SUBSTITUTE(SUBSTITUTE(SUBSTITUTE(SUBSTITUTE(SUBSTITUTE(SUBSTITUTE(SUBSTITUTE(SUBSTITUTE(TRIM($E333),"'",""),"İ","I"),"ı","I"),"i","I"),"Ş","S"),"ş","S"),"Ğ","G"),"ğ","G"),"Ü","U"),"ü","U"),"Ö","O"),"ö","O"),"Ç","C"),"ç","C"),".",""),",","")," ",""),"-","")))</f>
        <v/>
      </c>
    </row>
    <row r="334">
      <c r="A334" s="6" t="n"/>
      <c r="B334" s="113">
        <f>IF($E334="","","A"&amp;TEXT(ROW()-6,"00000"))</f>
        <v/>
      </c>
      <c r="C334" s="108" t="n"/>
      <c r="D334" s="113">
        <f>IF($E334="","",IFERROR(INDEX(MUSTERILER!$B$7:$B$106,MATCH($U334,MUSTERILER!$T$7:$T$106,0)),IFERROR(INDEX(MUSTERILER!$B$7:$B$106,MATCH($E334,MUSTERILER!$B$7:$B$106,0)),IFERROR(INDEX(MUSTERILER!$B$7:$B$106,MATCH($U334&amp;"*",MUSTERILER!$T$7:$T$106,0)),"TANIMSIZ MÜŞTERİ"))))</f>
        <v/>
      </c>
      <c r="E334" s="109" t="n"/>
      <c r="F334" s="109" t="n"/>
      <c r="G334" s="108" t="n"/>
      <c r="H334" s="220" t="n"/>
      <c r="I334" s="220" t="n"/>
      <c r="J334" s="108" t="n"/>
      <c r="K334" s="108" t="n"/>
      <c r="L334" s="109" t="n"/>
      <c r="M334" s="109" t="n"/>
      <c r="N334" s="109" t="n"/>
      <c r="O334" s="220" t="n"/>
      <c r="P334" s="227">
        <f>IF(OR($E334="",$I334=""),"",IF(OR($J334="Tamamlandı",$J334="İptal"),"",$I334-TODAY()))</f>
        <v/>
      </c>
      <c r="Q334" s="113">
        <f>IF($E334="","",IF($D334="TANIMSIZ MÜŞTERİ","HATA",IF(OR($J334="Tamamlandı",$J334="İptal"),"KAPALI",IF(AND($C334="Görüşme",$N334=""),"SONRAKİ İŞLEM EKSİK",IF($I334="","TARİH EKSİK",IF($I334&lt;TODAY(),"GECİKMİŞ",IF($I334=TODAY(),"BUGÜN",IF($I334&lt;=TODAY()+7,"7 GÜN İÇİNDE","PLANLI"))))))))</f>
        <v/>
      </c>
      <c r="R334" s="6" t="n"/>
      <c r="S334" s="6" t="n"/>
      <c r="T334" s="3" t="n"/>
      <c r="U334" s="3">
        <f>IF($E334="","",UPPER(SUBSTITUTE(SUBSTITUTE(SUBSTITUTE(SUBSTITUTE(SUBSTITUTE(SUBSTITUTE(SUBSTITUTE(SUBSTITUTE(SUBSTITUTE(SUBSTITUTE(SUBSTITUTE(SUBSTITUTE(SUBSTITUTE(SUBSTITUTE(SUBSTITUTE(SUBSTITUTE(SUBSTITUTE(SUBSTITUTE(TRIM($E334),"'",""),"İ","I"),"ı","I"),"i","I"),"Ş","S"),"ş","S"),"Ğ","G"),"ğ","G"),"Ü","U"),"ü","U"),"Ö","O"),"ö","O"),"Ç","C"),"ç","C"),".",""),",","")," ",""),"-","")))</f>
        <v/>
      </c>
    </row>
    <row r="335">
      <c r="A335" s="6" t="n"/>
      <c r="B335" s="113">
        <f>IF($E335="","","A"&amp;TEXT(ROW()-6,"00000"))</f>
        <v/>
      </c>
      <c r="C335" s="108" t="n"/>
      <c r="D335" s="113">
        <f>IF($E335="","",IFERROR(INDEX(MUSTERILER!$B$7:$B$106,MATCH($U335,MUSTERILER!$T$7:$T$106,0)),IFERROR(INDEX(MUSTERILER!$B$7:$B$106,MATCH($E335,MUSTERILER!$B$7:$B$106,0)),IFERROR(INDEX(MUSTERILER!$B$7:$B$106,MATCH($U335&amp;"*",MUSTERILER!$T$7:$T$106,0)),"TANIMSIZ MÜŞTERİ"))))</f>
        <v/>
      </c>
      <c r="E335" s="109" t="n"/>
      <c r="F335" s="109" t="n"/>
      <c r="G335" s="108" t="n"/>
      <c r="H335" s="220" t="n"/>
      <c r="I335" s="220" t="n"/>
      <c r="J335" s="108" t="n"/>
      <c r="K335" s="108" t="n"/>
      <c r="L335" s="109" t="n"/>
      <c r="M335" s="109" t="n"/>
      <c r="N335" s="109" t="n"/>
      <c r="O335" s="220" t="n"/>
      <c r="P335" s="227">
        <f>IF(OR($E335="",$I335=""),"",IF(OR($J335="Tamamlandı",$J335="İptal"),"",$I335-TODAY()))</f>
        <v/>
      </c>
      <c r="Q335" s="113">
        <f>IF($E335="","",IF($D335="TANIMSIZ MÜŞTERİ","HATA",IF(OR($J335="Tamamlandı",$J335="İptal"),"KAPALI",IF(AND($C335="Görüşme",$N335=""),"SONRAKİ İŞLEM EKSİK",IF($I335="","TARİH EKSİK",IF($I335&lt;TODAY(),"GECİKMİŞ",IF($I335=TODAY(),"BUGÜN",IF($I335&lt;=TODAY()+7,"7 GÜN İÇİNDE","PLANLI"))))))))</f>
        <v/>
      </c>
      <c r="R335" s="6" t="n"/>
      <c r="S335" s="6" t="n"/>
      <c r="T335" s="3" t="n"/>
      <c r="U335" s="3">
        <f>IF($E335="","",UPPER(SUBSTITUTE(SUBSTITUTE(SUBSTITUTE(SUBSTITUTE(SUBSTITUTE(SUBSTITUTE(SUBSTITUTE(SUBSTITUTE(SUBSTITUTE(SUBSTITUTE(SUBSTITUTE(SUBSTITUTE(SUBSTITUTE(SUBSTITUTE(SUBSTITUTE(SUBSTITUTE(SUBSTITUTE(SUBSTITUTE(TRIM($E335),"'",""),"İ","I"),"ı","I"),"i","I"),"Ş","S"),"ş","S"),"Ğ","G"),"ğ","G"),"Ü","U"),"ü","U"),"Ö","O"),"ö","O"),"Ç","C"),"ç","C"),".",""),",","")," ",""),"-","")))</f>
        <v/>
      </c>
    </row>
    <row r="336">
      <c r="A336" s="6" t="n"/>
      <c r="B336" s="113">
        <f>IF($E336="","","A"&amp;TEXT(ROW()-6,"00000"))</f>
        <v/>
      </c>
      <c r="C336" s="108" t="n"/>
      <c r="D336" s="113">
        <f>IF($E336="","",IFERROR(INDEX(MUSTERILER!$B$7:$B$106,MATCH($U336,MUSTERILER!$T$7:$T$106,0)),IFERROR(INDEX(MUSTERILER!$B$7:$B$106,MATCH($E336,MUSTERILER!$B$7:$B$106,0)),IFERROR(INDEX(MUSTERILER!$B$7:$B$106,MATCH($U336&amp;"*",MUSTERILER!$T$7:$T$106,0)),"TANIMSIZ MÜŞTERİ"))))</f>
        <v/>
      </c>
      <c r="E336" s="109" t="n"/>
      <c r="F336" s="109" t="n"/>
      <c r="G336" s="108" t="n"/>
      <c r="H336" s="220" t="n"/>
      <c r="I336" s="220" t="n"/>
      <c r="J336" s="108" t="n"/>
      <c r="K336" s="108" t="n"/>
      <c r="L336" s="109" t="n"/>
      <c r="M336" s="109" t="n"/>
      <c r="N336" s="109" t="n"/>
      <c r="O336" s="220" t="n"/>
      <c r="P336" s="227">
        <f>IF(OR($E336="",$I336=""),"",IF(OR($J336="Tamamlandı",$J336="İptal"),"",$I336-TODAY()))</f>
        <v/>
      </c>
      <c r="Q336" s="113">
        <f>IF($E336="","",IF($D336="TANIMSIZ MÜŞTERİ","HATA",IF(OR($J336="Tamamlandı",$J336="İptal"),"KAPALI",IF(AND($C336="Görüşme",$N336=""),"SONRAKİ İŞLEM EKSİK",IF($I336="","TARİH EKSİK",IF($I336&lt;TODAY(),"GECİKMİŞ",IF($I336=TODAY(),"BUGÜN",IF($I336&lt;=TODAY()+7,"7 GÜN İÇİNDE","PLANLI"))))))))</f>
        <v/>
      </c>
      <c r="R336" s="6" t="n"/>
      <c r="S336" s="6" t="n"/>
      <c r="T336" s="3" t="n"/>
      <c r="U336" s="3">
        <f>IF($E336="","",UPPER(SUBSTITUTE(SUBSTITUTE(SUBSTITUTE(SUBSTITUTE(SUBSTITUTE(SUBSTITUTE(SUBSTITUTE(SUBSTITUTE(SUBSTITUTE(SUBSTITUTE(SUBSTITUTE(SUBSTITUTE(SUBSTITUTE(SUBSTITUTE(SUBSTITUTE(SUBSTITUTE(SUBSTITUTE(SUBSTITUTE(TRIM($E336),"'",""),"İ","I"),"ı","I"),"i","I"),"Ş","S"),"ş","S"),"Ğ","G"),"ğ","G"),"Ü","U"),"ü","U"),"Ö","O"),"ö","O"),"Ç","C"),"ç","C"),".",""),",","")," ",""),"-","")))</f>
        <v/>
      </c>
    </row>
    <row r="337">
      <c r="A337" s="6" t="n"/>
      <c r="B337" s="113">
        <f>IF($E337="","","A"&amp;TEXT(ROW()-6,"00000"))</f>
        <v/>
      </c>
      <c r="C337" s="108" t="n"/>
      <c r="D337" s="113">
        <f>IF($E337="","",IFERROR(INDEX(MUSTERILER!$B$7:$B$106,MATCH($U337,MUSTERILER!$T$7:$T$106,0)),IFERROR(INDEX(MUSTERILER!$B$7:$B$106,MATCH($E337,MUSTERILER!$B$7:$B$106,0)),IFERROR(INDEX(MUSTERILER!$B$7:$B$106,MATCH($U337&amp;"*",MUSTERILER!$T$7:$T$106,0)),"TANIMSIZ MÜŞTERİ"))))</f>
        <v/>
      </c>
      <c r="E337" s="109" t="n"/>
      <c r="F337" s="109" t="n"/>
      <c r="G337" s="108" t="n"/>
      <c r="H337" s="220" t="n"/>
      <c r="I337" s="220" t="n"/>
      <c r="J337" s="108" t="n"/>
      <c r="K337" s="108" t="n"/>
      <c r="L337" s="109" t="n"/>
      <c r="M337" s="109" t="n"/>
      <c r="N337" s="109" t="n"/>
      <c r="O337" s="220" t="n"/>
      <c r="P337" s="227">
        <f>IF(OR($E337="",$I337=""),"",IF(OR($J337="Tamamlandı",$J337="İptal"),"",$I337-TODAY()))</f>
        <v/>
      </c>
      <c r="Q337" s="113">
        <f>IF($E337="","",IF($D337="TANIMSIZ MÜŞTERİ","HATA",IF(OR($J337="Tamamlandı",$J337="İptal"),"KAPALI",IF(AND($C337="Görüşme",$N337=""),"SONRAKİ İŞLEM EKSİK",IF($I337="","TARİH EKSİK",IF($I337&lt;TODAY(),"GECİKMİŞ",IF($I337=TODAY(),"BUGÜN",IF($I337&lt;=TODAY()+7,"7 GÜN İÇİNDE","PLANLI"))))))))</f>
        <v/>
      </c>
      <c r="R337" s="6" t="n"/>
      <c r="S337" s="6" t="n"/>
      <c r="T337" s="3" t="n"/>
      <c r="U337" s="3">
        <f>IF($E337="","",UPPER(SUBSTITUTE(SUBSTITUTE(SUBSTITUTE(SUBSTITUTE(SUBSTITUTE(SUBSTITUTE(SUBSTITUTE(SUBSTITUTE(SUBSTITUTE(SUBSTITUTE(SUBSTITUTE(SUBSTITUTE(SUBSTITUTE(SUBSTITUTE(SUBSTITUTE(SUBSTITUTE(SUBSTITUTE(SUBSTITUTE(TRIM($E337),"'",""),"İ","I"),"ı","I"),"i","I"),"Ş","S"),"ş","S"),"Ğ","G"),"ğ","G"),"Ü","U"),"ü","U"),"Ö","O"),"ö","O"),"Ç","C"),"ç","C"),".",""),",","")," ",""),"-","")))</f>
        <v/>
      </c>
    </row>
    <row r="338">
      <c r="A338" s="6" t="n"/>
      <c r="B338" s="113">
        <f>IF($E338="","","A"&amp;TEXT(ROW()-6,"00000"))</f>
        <v/>
      </c>
      <c r="C338" s="108" t="n"/>
      <c r="D338" s="113">
        <f>IF($E338="","",IFERROR(INDEX(MUSTERILER!$B$7:$B$106,MATCH($U338,MUSTERILER!$T$7:$T$106,0)),IFERROR(INDEX(MUSTERILER!$B$7:$B$106,MATCH($E338,MUSTERILER!$B$7:$B$106,0)),IFERROR(INDEX(MUSTERILER!$B$7:$B$106,MATCH($U338&amp;"*",MUSTERILER!$T$7:$T$106,0)),"TANIMSIZ MÜŞTERİ"))))</f>
        <v/>
      </c>
      <c r="E338" s="109" t="n"/>
      <c r="F338" s="109" t="n"/>
      <c r="G338" s="108" t="n"/>
      <c r="H338" s="220" t="n"/>
      <c r="I338" s="220" t="n"/>
      <c r="J338" s="108" t="n"/>
      <c r="K338" s="108" t="n"/>
      <c r="L338" s="109" t="n"/>
      <c r="M338" s="109" t="n"/>
      <c r="N338" s="109" t="n"/>
      <c r="O338" s="220" t="n"/>
      <c r="P338" s="227">
        <f>IF(OR($E338="",$I338=""),"",IF(OR($J338="Tamamlandı",$J338="İptal"),"",$I338-TODAY()))</f>
        <v/>
      </c>
      <c r="Q338" s="113">
        <f>IF($E338="","",IF($D338="TANIMSIZ MÜŞTERİ","HATA",IF(OR($J338="Tamamlandı",$J338="İptal"),"KAPALI",IF(AND($C338="Görüşme",$N338=""),"SONRAKİ İŞLEM EKSİK",IF($I338="","TARİH EKSİK",IF($I338&lt;TODAY(),"GECİKMİŞ",IF($I338=TODAY(),"BUGÜN",IF($I338&lt;=TODAY()+7,"7 GÜN İÇİNDE","PLANLI"))))))))</f>
        <v/>
      </c>
      <c r="R338" s="6" t="n"/>
      <c r="S338" s="6" t="n"/>
      <c r="T338" s="3" t="n"/>
      <c r="U338" s="3">
        <f>IF($E338="","",UPPER(SUBSTITUTE(SUBSTITUTE(SUBSTITUTE(SUBSTITUTE(SUBSTITUTE(SUBSTITUTE(SUBSTITUTE(SUBSTITUTE(SUBSTITUTE(SUBSTITUTE(SUBSTITUTE(SUBSTITUTE(SUBSTITUTE(SUBSTITUTE(SUBSTITUTE(SUBSTITUTE(SUBSTITUTE(SUBSTITUTE(TRIM($E338),"'",""),"İ","I"),"ı","I"),"i","I"),"Ş","S"),"ş","S"),"Ğ","G"),"ğ","G"),"Ü","U"),"ü","U"),"Ö","O"),"ö","O"),"Ç","C"),"ç","C"),".",""),",","")," ",""),"-","")))</f>
        <v/>
      </c>
    </row>
    <row r="339">
      <c r="A339" s="6" t="n"/>
      <c r="B339" s="113">
        <f>IF($E339="","","A"&amp;TEXT(ROW()-6,"00000"))</f>
        <v/>
      </c>
      <c r="C339" s="108" t="n"/>
      <c r="D339" s="113">
        <f>IF($E339="","",IFERROR(INDEX(MUSTERILER!$B$7:$B$106,MATCH($U339,MUSTERILER!$T$7:$T$106,0)),IFERROR(INDEX(MUSTERILER!$B$7:$B$106,MATCH($E339,MUSTERILER!$B$7:$B$106,0)),IFERROR(INDEX(MUSTERILER!$B$7:$B$106,MATCH($U339&amp;"*",MUSTERILER!$T$7:$T$106,0)),"TANIMSIZ MÜŞTERİ"))))</f>
        <v/>
      </c>
      <c r="E339" s="109" t="n"/>
      <c r="F339" s="109" t="n"/>
      <c r="G339" s="108" t="n"/>
      <c r="H339" s="220" t="n"/>
      <c r="I339" s="220" t="n"/>
      <c r="J339" s="108" t="n"/>
      <c r="K339" s="108" t="n"/>
      <c r="L339" s="109" t="n"/>
      <c r="M339" s="109" t="n"/>
      <c r="N339" s="109" t="n"/>
      <c r="O339" s="220" t="n"/>
      <c r="P339" s="227">
        <f>IF(OR($E339="",$I339=""),"",IF(OR($J339="Tamamlandı",$J339="İptal"),"",$I339-TODAY()))</f>
        <v/>
      </c>
      <c r="Q339" s="113">
        <f>IF($E339="","",IF($D339="TANIMSIZ MÜŞTERİ","HATA",IF(OR($J339="Tamamlandı",$J339="İptal"),"KAPALI",IF(AND($C339="Görüşme",$N339=""),"SONRAKİ İŞLEM EKSİK",IF($I339="","TARİH EKSİK",IF($I339&lt;TODAY(),"GECİKMİŞ",IF($I339=TODAY(),"BUGÜN",IF($I339&lt;=TODAY()+7,"7 GÜN İÇİNDE","PLANLI"))))))))</f>
        <v/>
      </c>
      <c r="R339" s="6" t="n"/>
      <c r="S339" s="6" t="n"/>
      <c r="T339" s="3" t="n"/>
      <c r="U339" s="3">
        <f>IF($E339="","",UPPER(SUBSTITUTE(SUBSTITUTE(SUBSTITUTE(SUBSTITUTE(SUBSTITUTE(SUBSTITUTE(SUBSTITUTE(SUBSTITUTE(SUBSTITUTE(SUBSTITUTE(SUBSTITUTE(SUBSTITUTE(SUBSTITUTE(SUBSTITUTE(SUBSTITUTE(SUBSTITUTE(SUBSTITUTE(SUBSTITUTE(TRIM($E339),"'",""),"İ","I"),"ı","I"),"i","I"),"Ş","S"),"ş","S"),"Ğ","G"),"ğ","G"),"Ü","U"),"ü","U"),"Ö","O"),"ö","O"),"Ç","C"),"ç","C"),".",""),",","")," ",""),"-","")))</f>
        <v/>
      </c>
    </row>
    <row r="340">
      <c r="A340" s="6" t="n"/>
      <c r="B340" s="113">
        <f>IF($E340="","","A"&amp;TEXT(ROW()-6,"00000"))</f>
        <v/>
      </c>
      <c r="C340" s="108" t="n"/>
      <c r="D340" s="113">
        <f>IF($E340="","",IFERROR(INDEX(MUSTERILER!$B$7:$B$106,MATCH($U340,MUSTERILER!$T$7:$T$106,0)),IFERROR(INDEX(MUSTERILER!$B$7:$B$106,MATCH($E340,MUSTERILER!$B$7:$B$106,0)),IFERROR(INDEX(MUSTERILER!$B$7:$B$106,MATCH($U340&amp;"*",MUSTERILER!$T$7:$T$106,0)),"TANIMSIZ MÜŞTERİ"))))</f>
        <v/>
      </c>
      <c r="E340" s="109" t="n"/>
      <c r="F340" s="109" t="n"/>
      <c r="G340" s="108" t="n"/>
      <c r="H340" s="220" t="n"/>
      <c r="I340" s="220" t="n"/>
      <c r="J340" s="108" t="n"/>
      <c r="K340" s="108" t="n"/>
      <c r="L340" s="109" t="n"/>
      <c r="M340" s="109" t="n"/>
      <c r="N340" s="109" t="n"/>
      <c r="O340" s="220" t="n"/>
      <c r="P340" s="227">
        <f>IF(OR($E340="",$I340=""),"",IF(OR($J340="Tamamlandı",$J340="İptal"),"",$I340-TODAY()))</f>
        <v/>
      </c>
      <c r="Q340" s="113">
        <f>IF($E340="","",IF($D340="TANIMSIZ MÜŞTERİ","HATA",IF(OR($J340="Tamamlandı",$J340="İptal"),"KAPALI",IF(AND($C340="Görüşme",$N340=""),"SONRAKİ İŞLEM EKSİK",IF($I340="","TARİH EKSİK",IF($I340&lt;TODAY(),"GECİKMİŞ",IF($I340=TODAY(),"BUGÜN",IF($I340&lt;=TODAY()+7,"7 GÜN İÇİNDE","PLANLI"))))))))</f>
        <v/>
      </c>
      <c r="R340" s="6" t="n"/>
      <c r="S340" s="6" t="n"/>
      <c r="T340" s="3" t="n"/>
      <c r="U340" s="3">
        <f>IF($E340="","",UPPER(SUBSTITUTE(SUBSTITUTE(SUBSTITUTE(SUBSTITUTE(SUBSTITUTE(SUBSTITUTE(SUBSTITUTE(SUBSTITUTE(SUBSTITUTE(SUBSTITUTE(SUBSTITUTE(SUBSTITUTE(SUBSTITUTE(SUBSTITUTE(SUBSTITUTE(SUBSTITUTE(SUBSTITUTE(SUBSTITUTE(TRIM($E340),"'",""),"İ","I"),"ı","I"),"i","I"),"Ş","S"),"ş","S"),"Ğ","G"),"ğ","G"),"Ü","U"),"ü","U"),"Ö","O"),"ö","O"),"Ç","C"),"ç","C"),".",""),",","")," ",""),"-","")))</f>
        <v/>
      </c>
    </row>
    <row r="341">
      <c r="A341" s="6" t="n"/>
      <c r="B341" s="113">
        <f>IF($E341="","","A"&amp;TEXT(ROW()-6,"00000"))</f>
        <v/>
      </c>
      <c r="C341" s="108" t="n"/>
      <c r="D341" s="113">
        <f>IF($E341="","",IFERROR(INDEX(MUSTERILER!$B$7:$B$106,MATCH($U341,MUSTERILER!$T$7:$T$106,0)),IFERROR(INDEX(MUSTERILER!$B$7:$B$106,MATCH($E341,MUSTERILER!$B$7:$B$106,0)),IFERROR(INDEX(MUSTERILER!$B$7:$B$106,MATCH($U341&amp;"*",MUSTERILER!$T$7:$T$106,0)),"TANIMSIZ MÜŞTERİ"))))</f>
        <v/>
      </c>
      <c r="E341" s="109" t="n"/>
      <c r="F341" s="109" t="n"/>
      <c r="G341" s="108" t="n"/>
      <c r="H341" s="220" t="n"/>
      <c r="I341" s="220" t="n"/>
      <c r="J341" s="108" t="n"/>
      <c r="K341" s="108" t="n"/>
      <c r="L341" s="109" t="n"/>
      <c r="M341" s="109" t="n"/>
      <c r="N341" s="109" t="n"/>
      <c r="O341" s="220" t="n"/>
      <c r="P341" s="227">
        <f>IF(OR($E341="",$I341=""),"",IF(OR($J341="Tamamlandı",$J341="İptal"),"",$I341-TODAY()))</f>
        <v/>
      </c>
      <c r="Q341" s="113">
        <f>IF($E341="","",IF($D341="TANIMSIZ MÜŞTERİ","HATA",IF(OR($J341="Tamamlandı",$J341="İptal"),"KAPALI",IF(AND($C341="Görüşme",$N341=""),"SONRAKİ İŞLEM EKSİK",IF($I341="","TARİH EKSİK",IF($I341&lt;TODAY(),"GECİKMİŞ",IF($I341=TODAY(),"BUGÜN",IF($I341&lt;=TODAY()+7,"7 GÜN İÇİNDE","PLANLI"))))))))</f>
        <v/>
      </c>
      <c r="R341" s="6" t="n"/>
      <c r="S341" s="6" t="n"/>
      <c r="T341" s="3" t="n"/>
      <c r="U341" s="3">
        <f>IF($E341="","",UPPER(SUBSTITUTE(SUBSTITUTE(SUBSTITUTE(SUBSTITUTE(SUBSTITUTE(SUBSTITUTE(SUBSTITUTE(SUBSTITUTE(SUBSTITUTE(SUBSTITUTE(SUBSTITUTE(SUBSTITUTE(SUBSTITUTE(SUBSTITUTE(SUBSTITUTE(SUBSTITUTE(SUBSTITUTE(SUBSTITUTE(TRIM($E341),"'",""),"İ","I"),"ı","I"),"i","I"),"Ş","S"),"ş","S"),"Ğ","G"),"ğ","G"),"Ü","U"),"ü","U"),"Ö","O"),"ö","O"),"Ç","C"),"ç","C"),".",""),",","")," ",""),"-","")))</f>
        <v/>
      </c>
    </row>
    <row r="342">
      <c r="A342" s="6" t="n"/>
      <c r="B342" s="113">
        <f>IF($E342="","","A"&amp;TEXT(ROW()-6,"00000"))</f>
        <v/>
      </c>
      <c r="C342" s="108" t="n"/>
      <c r="D342" s="113">
        <f>IF($E342="","",IFERROR(INDEX(MUSTERILER!$B$7:$B$106,MATCH($U342,MUSTERILER!$T$7:$T$106,0)),IFERROR(INDEX(MUSTERILER!$B$7:$B$106,MATCH($E342,MUSTERILER!$B$7:$B$106,0)),IFERROR(INDEX(MUSTERILER!$B$7:$B$106,MATCH($U342&amp;"*",MUSTERILER!$T$7:$T$106,0)),"TANIMSIZ MÜŞTERİ"))))</f>
        <v/>
      </c>
      <c r="E342" s="109" t="n"/>
      <c r="F342" s="109" t="n"/>
      <c r="G342" s="108" t="n"/>
      <c r="H342" s="220" t="n"/>
      <c r="I342" s="220" t="n"/>
      <c r="J342" s="108" t="n"/>
      <c r="K342" s="108" t="n"/>
      <c r="L342" s="109" t="n"/>
      <c r="M342" s="109" t="n"/>
      <c r="N342" s="109" t="n"/>
      <c r="O342" s="220" t="n"/>
      <c r="P342" s="227">
        <f>IF(OR($E342="",$I342=""),"",IF(OR($J342="Tamamlandı",$J342="İptal"),"",$I342-TODAY()))</f>
        <v/>
      </c>
      <c r="Q342" s="113">
        <f>IF($E342="","",IF($D342="TANIMSIZ MÜŞTERİ","HATA",IF(OR($J342="Tamamlandı",$J342="İptal"),"KAPALI",IF(AND($C342="Görüşme",$N342=""),"SONRAKİ İŞLEM EKSİK",IF($I342="","TARİH EKSİK",IF($I342&lt;TODAY(),"GECİKMİŞ",IF($I342=TODAY(),"BUGÜN",IF($I342&lt;=TODAY()+7,"7 GÜN İÇİNDE","PLANLI"))))))))</f>
        <v/>
      </c>
      <c r="R342" s="6" t="n"/>
      <c r="S342" s="6" t="n"/>
      <c r="T342" s="3" t="n"/>
      <c r="U342" s="3">
        <f>IF($E342="","",UPPER(SUBSTITUTE(SUBSTITUTE(SUBSTITUTE(SUBSTITUTE(SUBSTITUTE(SUBSTITUTE(SUBSTITUTE(SUBSTITUTE(SUBSTITUTE(SUBSTITUTE(SUBSTITUTE(SUBSTITUTE(SUBSTITUTE(SUBSTITUTE(SUBSTITUTE(SUBSTITUTE(SUBSTITUTE(SUBSTITUTE(TRIM($E342),"'",""),"İ","I"),"ı","I"),"i","I"),"Ş","S"),"ş","S"),"Ğ","G"),"ğ","G"),"Ü","U"),"ü","U"),"Ö","O"),"ö","O"),"Ç","C"),"ç","C"),".",""),",","")," ",""),"-","")))</f>
        <v/>
      </c>
    </row>
    <row r="343">
      <c r="A343" s="6" t="n"/>
      <c r="B343" s="113">
        <f>IF($E343="","","A"&amp;TEXT(ROW()-6,"00000"))</f>
        <v/>
      </c>
      <c r="C343" s="108" t="n"/>
      <c r="D343" s="113">
        <f>IF($E343="","",IFERROR(INDEX(MUSTERILER!$B$7:$B$106,MATCH($U343,MUSTERILER!$T$7:$T$106,0)),IFERROR(INDEX(MUSTERILER!$B$7:$B$106,MATCH($E343,MUSTERILER!$B$7:$B$106,0)),IFERROR(INDEX(MUSTERILER!$B$7:$B$106,MATCH($U343&amp;"*",MUSTERILER!$T$7:$T$106,0)),"TANIMSIZ MÜŞTERİ"))))</f>
        <v/>
      </c>
      <c r="E343" s="109" t="n"/>
      <c r="F343" s="109" t="n"/>
      <c r="G343" s="108" t="n"/>
      <c r="H343" s="220" t="n"/>
      <c r="I343" s="220" t="n"/>
      <c r="J343" s="108" t="n"/>
      <c r="K343" s="108" t="n"/>
      <c r="L343" s="109" t="n"/>
      <c r="M343" s="109" t="n"/>
      <c r="N343" s="109" t="n"/>
      <c r="O343" s="220" t="n"/>
      <c r="P343" s="227">
        <f>IF(OR($E343="",$I343=""),"",IF(OR($J343="Tamamlandı",$J343="İptal"),"",$I343-TODAY()))</f>
        <v/>
      </c>
      <c r="Q343" s="113">
        <f>IF($E343="","",IF($D343="TANIMSIZ MÜŞTERİ","HATA",IF(OR($J343="Tamamlandı",$J343="İptal"),"KAPALI",IF(AND($C343="Görüşme",$N343=""),"SONRAKİ İŞLEM EKSİK",IF($I343="","TARİH EKSİK",IF($I343&lt;TODAY(),"GECİKMİŞ",IF($I343=TODAY(),"BUGÜN",IF($I343&lt;=TODAY()+7,"7 GÜN İÇİNDE","PLANLI"))))))))</f>
        <v/>
      </c>
      <c r="R343" s="6" t="n"/>
      <c r="S343" s="6" t="n"/>
      <c r="T343" s="3" t="n"/>
      <c r="U343" s="3">
        <f>IF($E343="","",UPPER(SUBSTITUTE(SUBSTITUTE(SUBSTITUTE(SUBSTITUTE(SUBSTITUTE(SUBSTITUTE(SUBSTITUTE(SUBSTITUTE(SUBSTITUTE(SUBSTITUTE(SUBSTITUTE(SUBSTITUTE(SUBSTITUTE(SUBSTITUTE(SUBSTITUTE(SUBSTITUTE(SUBSTITUTE(SUBSTITUTE(TRIM($E343),"'",""),"İ","I"),"ı","I"),"i","I"),"Ş","S"),"ş","S"),"Ğ","G"),"ğ","G"),"Ü","U"),"ü","U"),"Ö","O"),"ö","O"),"Ç","C"),"ç","C"),".",""),",","")," ",""),"-","")))</f>
        <v/>
      </c>
    </row>
    <row r="344">
      <c r="A344" s="6" t="n"/>
      <c r="B344" s="113">
        <f>IF($E344="","","A"&amp;TEXT(ROW()-6,"00000"))</f>
        <v/>
      </c>
      <c r="C344" s="108" t="n"/>
      <c r="D344" s="113">
        <f>IF($E344="","",IFERROR(INDEX(MUSTERILER!$B$7:$B$106,MATCH($U344,MUSTERILER!$T$7:$T$106,0)),IFERROR(INDEX(MUSTERILER!$B$7:$B$106,MATCH($E344,MUSTERILER!$B$7:$B$106,0)),IFERROR(INDEX(MUSTERILER!$B$7:$B$106,MATCH($U344&amp;"*",MUSTERILER!$T$7:$T$106,0)),"TANIMSIZ MÜŞTERİ"))))</f>
        <v/>
      </c>
      <c r="E344" s="109" t="n"/>
      <c r="F344" s="109" t="n"/>
      <c r="G344" s="108" t="n"/>
      <c r="H344" s="220" t="n"/>
      <c r="I344" s="220" t="n"/>
      <c r="J344" s="108" t="n"/>
      <c r="K344" s="108" t="n"/>
      <c r="L344" s="109" t="n"/>
      <c r="M344" s="109" t="n"/>
      <c r="N344" s="109" t="n"/>
      <c r="O344" s="220" t="n"/>
      <c r="P344" s="227">
        <f>IF(OR($E344="",$I344=""),"",IF(OR($J344="Tamamlandı",$J344="İptal"),"",$I344-TODAY()))</f>
        <v/>
      </c>
      <c r="Q344" s="113">
        <f>IF($E344="","",IF($D344="TANIMSIZ MÜŞTERİ","HATA",IF(OR($J344="Tamamlandı",$J344="İptal"),"KAPALI",IF(AND($C344="Görüşme",$N344=""),"SONRAKİ İŞLEM EKSİK",IF($I344="","TARİH EKSİK",IF($I344&lt;TODAY(),"GECİKMİŞ",IF($I344=TODAY(),"BUGÜN",IF($I344&lt;=TODAY()+7,"7 GÜN İÇİNDE","PLANLI"))))))))</f>
        <v/>
      </c>
      <c r="R344" s="6" t="n"/>
      <c r="S344" s="6" t="n"/>
      <c r="T344" s="3" t="n"/>
      <c r="U344" s="3">
        <f>IF($E344="","",UPPER(SUBSTITUTE(SUBSTITUTE(SUBSTITUTE(SUBSTITUTE(SUBSTITUTE(SUBSTITUTE(SUBSTITUTE(SUBSTITUTE(SUBSTITUTE(SUBSTITUTE(SUBSTITUTE(SUBSTITUTE(SUBSTITUTE(SUBSTITUTE(SUBSTITUTE(SUBSTITUTE(SUBSTITUTE(SUBSTITUTE(TRIM($E344),"'",""),"İ","I"),"ı","I"),"i","I"),"Ş","S"),"ş","S"),"Ğ","G"),"ğ","G"),"Ü","U"),"ü","U"),"Ö","O"),"ö","O"),"Ç","C"),"ç","C"),".",""),",","")," ",""),"-","")))</f>
        <v/>
      </c>
    </row>
    <row r="345">
      <c r="A345" s="6" t="n"/>
      <c r="B345" s="113">
        <f>IF($E345="","","A"&amp;TEXT(ROW()-6,"00000"))</f>
        <v/>
      </c>
      <c r="C345" s="108" t="n"/>
      <c r="D345" s="113">
        <f>IF($E345="","",IFERROR(INDEX(MUSTERILER!$B$7:$B$106,MATCH($U345,MUSTERILER!$T$7:$T$106,0)),IFERROR(INDEX(MUSTERILER!$B$7:$B$106,MATCH($E345,MUSTERILER!$B$7:$B$106,0)),IFERROR(INDEX(MUSTERILER!$B$7:$B$106,MATCH($U345&amp;"*",MUSTERILER!$T$7:$T$106,0)),"TANIMSIZ MÜŞTERİ"))))</f>
        <v/>
      </c>
      <c r="E345" s="109" t="n"/>
      <c r="F345" s="109" t="n"/>
      <c r="G345" s="108" t="n"/>
      <c r="H345" s="220" t="n"/>
      <c r="I345" s="220" t="n"/>
      <c r="J345" s="108" t="n"/>
      <c r="K345" s="108" t="n"/>
      <c r="L345" s="109" t="n"/>
      <c r="M345" s="109" t="n"/>
      <c r="N345" s="109" t="n"/>
      <c r="O345" s="220" t="n"/>
      <c r="P345" s="227">
        <f>IF(OR($E345="",$I345=""),"",IF(OR($J345="Tamamlandı",$J345="İptal"),"",$I345-TODAY()))</f>
        <v/>
      </c>
      <c r="Q345" s="113">
        <f>IF($E345="","",IF($D345="TANIMSIZ MÜŞTERİ","HATA",IF(OR($J345="Tamamlandı",$J345="İptal"),"KAPALI",IF(AND($C345="Görüşme",$N345=""),"SONRAKİ İŞLEM EKSİK",IF($I345="","TARİH EKSİK",IF($I345&lt;TODAY(),"GECİKMİŞ",IF($I345=TODAY(),"BUGÜN",IF($I345&lt;=TODAY()+7,"7 GÜN İÇİNDE","PLANLI"))))))))</f>
        <v/>
      </c>
      <c r="R345" s="6" t="n"/>
      <c r="S345" s="6" t="n"/>
      <c r="T345" s="3" t="n"/>
      <c r="U345" s="3">
        <f>IF($E345="","",UPPER(SUBSTITUTE(SUBSTITUTE(SUBSTITUTE(SUBSTITUTE(SUBSTITUTE(SUBSTITUTE(SUBSTITUTE(SUBSTITUTE(SUBSTITUTE(SUBSTITUTE(SUBSTITUTE(SUBSTITUTE(SUBSTITUTE(SUBSTITUTE(SUBSTITUTE(SUBSTITUTE(SUBSTITUTE(SUBSTITUTE(TRIM($E345),"'",""),"İ","I"),"ı","I"),"i","I"),"Ş","S"),"ş","S"),"Ğ","G"),"ğ","G"),"Ü","U"),"ü","U"),"Ö","O"),"ö","O"),"Ç","C"),"ç","C"),".",""),",","")," ",""),"-","")))</f>
        <v/>
      </c>
    </row>
    <row r="346">
      <c r="A346" s="6" t="n"/>
      <c r="B346" s="113">
        <f>IF($E346="","","A"&amp;TEXT(ROW()-6,"00000"))</f>
        <v/>
      </c>
      <c r="C346" s="108" t="n"/>
      <c r="D346" s="113">
        <f>IF($E346="","",IFERROR(INDEX(MUSTERILER!$B$7:$B$106,MATCH($U346,MUSTERILER!$T$7:$T$106,0)),IFERROR(INDEX(MUSTERILER!$B$7:$B$106,MATCH($E346,MUSTERILER!$B$7:$B$106,0)),IFERROR(INDEX(MUSTERILER!$B$7:$B$106,MATCH($U346&amp;"*",MUSTERILER!$T$7:$T$106,0)),"TANIMSIZ MÜŞTERİ"))))</f>
        <v/>
      </c>
      <c r="E346" s="109" t="n"/>
      <c r="F346" s="109" t="n"/>
      <c r="G346" s="108" t="n"/>
      <c r="H346" s="220" t="n"/>
      <c r="I346" s="220" t="n"/>
      <c r="J346" s="108" t="n"/>
      <c r="K346" s="108" t="n"/>
      <c r="L346" s="109" t="n"/>
      <c r="M346" s="109" t="n"/>
      <c r="N346" s="109" t="n"/>
      <c r="O346" s="220" t="n"/>
      <c r="P346" s="227">
        <f>IF(OR($E346="",$I346=""),"",IF(OR($J346="Tamamlandı",$J346="İptal"),"",$I346-TODAY()))</f>
        <v/>
      </c>
      <c r="Q346" s="113">
        <f>IF($E346="","",IF($D346="TANIMSIZ MÜŞTERİ","HATA",IF(OR($J346="Tamamlandı",$J346="İptal"),"KAPALI",IF(AND($C346="Görüşme",$N346=""),"SONRAKİ İŞLEM EKSİK",IF($I346="","TARİH EKSİK",IF($I346&lt;TODAY(),"GECİKMİŞ",IF($I346=TODAY(),"BUGÜN",IF($I346&lt;=TODAY()+7,"7 GÜN İÇİNDE","PLANLI"))))))))</f>
        <v/>
      </c>
      <c r="R346" s="6" t="n"/>
      <c r="S346" s="6" t="n"/>
      <c r="T346" s="3" t="n"/>
      <c r="U346" s="3">
        <f>IF($E346="","",UPPER(SUBSTITUTE(SUBSTITUTE(SUBSTITUTE(SUBSTITUTE(SUBSTITUTE(SUBSTITUTE(SUBSTITUTE(SUBSTITUTE(SUBSTITUTE(SUBSTITUTE(SUBSTITUTE(SUBSTITUTE(SUBSTITUTE(SUBSTITUTE(SUBSTITUTE(SUBSTITUTE(SUBSTITUTE(SUBSTITUTE(TRIM($E346),"'",""),"İ","I"),"ı","I"),"i","I"),"Ş","S"),"ş","S"),"Ğ","G"),"ğ","G"),"Ü","U"),"ü","U"),"Ö","O"),"ö","O"),"Ç","C"),"ç","C"),".",""),",","")," ",""),"-","")))</f>
        <v/>
      </c>
    </row>
    <row r="347">
      <c r="A347" s="6" t="n"/>
      <c r="B347" s="113">
        <f>IF($E347="","","A"&amp;TEXT(ROW()-6,"00000"))</f>
        <v/>
      </c>
      <c r="C347" s="108" t="n"/>
      <c r="D347" s="113">
        <f>IF($E347="","",IFERROR(INDEX(MUSTERILER!$B$7:$B$106,MATCH($U347,MUSTERILER!$T$7:$T$106,0)),IFERROR(INDEX(MUSTERILER!$B$7:$B$106,MATCH($E347,MUSTERILER!$B$7:$B$106,0)),IFERROR(INDEX(MUSTERILER!$B$7:$B$106,MATCH($U347&amp;"*",MUSTERILER!$T$7:$T$106,0)),"TANIMSIZ MÜŞTERİ"))))</f>
        <v/>
      </c>
      <c r="E347" s="109" t="n"/>
      <c r="F347" s="109" t="n"/>
      <c r="G347" s="108" t="n"/>
      <c r="H347" s="220" t="n"/>
      <c r="I347" s="220" t="n"/>
      <c r="J347" s="108" t="n"/>
      <c r="K347" s="108" t="n"/>
      <c r="L347" s="109" t="n"/>
      <c r="M347" s="109" t="n"/>
      <c r="N347" s="109" t="n"/>
      <c r="O347" s="220" t="n"/>
      <c r="P347" s="227">
        <f>IF(OR($E347="",$I347=""),"",IF(OR($J347="Tamamlandı",$J347="İptal"),"",$I347-TODAY()))</f>
        <v/>
      </c>
      <c r="Q347" s="113">
        <f>IF($E347="","",IF($D347="TANIMSIZ MÜŞTERİ","HATA",IF(OR($J347="Tamamlandı",$J347="İptal"),"KAPALI",IF(AND($C347="Görüşme",$N347=""),"SONRAKİ İŞLEM EKSİK",IF($I347="","TARİH EKSİK",IF($I347&lt;TODAY(),"GECİKMİŞ",IF($I347=TODAY(),"BUGÜN",IF($I347&lt;=TODAY()+7,"7 GÜN İÇİNDE","PLANLI"))))))))</f>
        <v/>
      </c>
      <c r="R347" s="6" t="n"/>
      <c r="S347" s="6" t="n"/>
      <c r="T347" s="3" t="n"/>
      <c r="U347" s="3">
        <f>IF($E347="","",UPPER(SUBSTITUTE(SUBSTITUTE(SUBSTITUTE(SUBSTITUTE(SUBSTITUTE(SUBSTITUTE(SUBSTITUTE(SUBSTITUTE(SUBSTITUTE(SUBSTITUTE(SUBSTITUTE(SUBSTITUTE(SUBSTITUTE(SUBSTITUTE(SUBSTITUTE(SUBSTITUTE(SUBSTITUTE(SUBSTITUTE(TRIM($E347),"'",""),"İ","I"),"ı","I"),"i","I"),"Ş","S"),"ş","S"),"Ğ","G"),"ğ","G"),"Ü","U"),"ü","U"),"Ö","O"),"ö","O"),"Ç","C"),"ç","C"),".",""),",","")," ",""),"-","")))</f>
        <v/>
      </c>
    </row>
    <row r="348">
      <c r="A348" s="6" t="n"/>
      <c r="B348" s="113">
        <f>IF($E348="","","A"&amp;TEXT(ROW()-6,"00000"))</f>
        <v/>
      </c>
      <c r="C348" s="108" t="n"/>
      <c r="D348" s="113">
        <f>IF($E348="","",IFERROR(INDEX(MUSTERILER!$B$7:$B$106,MATCH($U348,MUSTERILER!$T$7:$T$106,0)),IFERROR(INDEX(MUSTERILER!$B$7:$B$106,MATCH($E348,MUSTERILER!$B$7:$B$106,0)),IFERROR(INDEX(MUSTERILER!$B$7:$B$106,MATCH($U348&amp;"*",MUSTERILER!$T$7:$T$106,0)),"TANIMSIZ MÜŞTERİ"))))</f>
        <v/>
      </c>
      <c r="E348" s="109" t="n"/>
      <c r="F348" s="109" t="n"/>
      <c r="G348" s="108" t="n"/>
      <c r="H348" s="220" t="n"/>
      <c r="I348" s="220" t="n"/>
      <c r="J348" s="108" t="n"/>
      <c r="K348" s="108" t="n"/>
      <c r="L348" s="109" t="n"/>
      <c r="M348" s="109" t="n"/>
      <c r="N348" s="109" t="n"/>
      <c r="O348" s="220" t="n"/>
      <c r="P348" s="227">
        <f>IF(OR($E348="",$I348=""),"",IF(OR($J348="Tamamlandı",$J348="İptal"),"",$I348-TODAY()))</f>
        <v/>
      </c>
      <c r="Q348" s="113">
        <f>IF($E348="","",IF($D348="TANIMSIZ MÜŞTERİ","HATA",IF(OR($J348="Tamamlandı",$J348="İptal"),"KAPALI",IF(AND($C348="Görüşme",$N348=""),"SONRAKİ İŞLEM EKSİK",IF($I348="","TARİH EKSİK",IF($I348&lt;TODAY(),"GECİKMİŞ",IF($I348=TODAY(),"BUGÜN",IF($I348&lt;=TODAY()+7,"7 GÜN İÇİNDE","PLANLI"))))))))</f>
        <v/>
      </c>
      <c r="R348" s="6" t="n"/>
      <c r="S348" s="6" t="n"/>
      <c r="T348" s="3" t="n"/>
      <c r="U348" s="3">
        <f>IF($E348="","",UPPER(SUBSTITUTE(SUBSTITUTE(SUBSTITUTE(SUBSTITUTE(SUBSTITUTE(SUBSTITUTE(SUBSTITUTE(SUBSTITUTE(SUBSTITUTE(SUBSTITUTE(SUBSTITUTE(SUBSTITUTE(SUBSTITUTE(SUBSTITUTE(SUBSTITUTE(SUBSTITUTE(SUBSTITUTE(SUBSTITUTE(TRIM($E348),"'",""),"İ","I"),"ı","I"),"i","I"),"Ş","S"),"ş","S"),"Ğ","G"),"ğ","G"),"Ü","U"),"ü","U"),"Ö","O"),"ö","O"),"Ç","C"),"ç","C"),".",""),",","")," ",""),"-","")))</f>
        <v/>
      </c>
    </row>
    <row r="349">
      <c r="A349" s="6" t="n"/>
      <c r="B349" s="113">
        <f>IF($E349="","","A"&amp;TEXT(ROW()-6,"00000"))</f>
        <v/>
      </c>
      <c r="C349" s="108" t="n"/>
      <c r="D349" s="113">
        <f>IF($E349="","",IFERROR(INDEX(MUSTERILER!$B$7:$B$106,MATCH($U349,MUSTERILER!$T$7:$T$106,0)),IFERROR(INDEX(MUSTERILER!$B$7:$B$106,MATCH($E349,MUSTERILER!$B$7:$B$106,0)),IFERROR(INDEX(MUSTERILER!$B$7:$B$106,MATCH($U349&amp;"*",MUSTERILER!$T$7:$T$106,0)),"TANIMSIZ MÜŞTERİ"))))</f>
        <v/>
      </c>
      <c r="E349" s="109" t="n"/>
      <c r="F349" s="109" t="n"/>
      <c r="G349" s="108" t="n"/>
      <c r="H349" s="220" t="n"/>
      <c r="I349" s="220" t="n"/>
      <c r="J349" s="108" t="n"/>
      <c r="K349" s="108" t="n"/>
      <c r="L349" s="109" t="n"/>
      <c r="M349" s="109" t="n"/>
      <c r="N349" s="109" t="n"/>
      <c r="O349" s="220" t="n"/>
      <c r="P349" s="227">
        <f>IF(OR($E349="",$I349=""),"",IF(OR($J349="Tamamlandı",$J349="İptal"),"",$I349-TODAY()))</f>
        <v/>
      </c>
      <c r="Q349" s="113">
        <f>IF($E349="","",IF($D349="TANIMSIZ MÜŞTERİ","HATA",IF(OR($J349="Tamamlandı",$J349="İptal"),"KAPALI",IF(AND($C349="Görüşme",$N349=""),"SONRAKİ İŞLEM EKSİK",IF($I349="","TARİH EKSİK",IF($I349&lt;TODAY(),"GECİKMİŞ",IF($I349=TODAY(),"BUGÜN",IF($I349&lt;=TODAY()+7,"7 GÜN İÇİNDE","PLANLI"))))))))</f>
        <v/>
      </c>
      <c r="R349" s="6" t="n"/>
      <c r="S349" s="6" t="n"/>
      <c r="T349" s="3" t="n"/>
      <c r="U349" s="3">
        <f>IF($E349="","",UPPER(SUBSTITUTE(SUBSTITUTE(SUBSTITUTE(SUBSTITUTE(SUBSTITUTE(SUBSTITUTE(SUBSTITUTE(SUBSTITUTE(SUBSTITUTE(SUBSTITUTE(SUBSTITUTE(SUBSTITUTE(SUBSTITUTE(SUBSTITUTE(SUBSTITUTE(SUBSTITUTE(SUBSTITUTE(SUBSTITUTE(TRIM($E349),"'",""),"İ","I"),"ı","I"),"i","I"),"Ş","S"),"ş","S"),"Ğ","G"),"ğ","G"),"Ü","U"),"ü","U"),"Ö","O"),"ö","O"),"Ç","C"),"ç","C"),".",""),",","")," ",""),"-","")))</f>
        <v/>
      </c>
    </row>
    <row r="350">
      <c r="A350" s="6" t="n"/>
      <c r="B350" s="113">
        <f>IF($E350="","","A"&amp;TEXT(ROW()-6,"00000"))</f>
        <v/>
      </c>
      <c r="C350" s="108" t="n"/>
      <c r="D350" s="113">
        <f>IF($E350="","",IFERROR(INDEX(MUSTERILER!$B$7:$B$106,MATCH($U350,MUSTERILER!$T$7:$T$106,0)),IFERROR(INDEX(MUSTERILER!$B$7:$B$106,MATCH($E350,MUSTERILER!$B$7:$B$106,0)),IFERROR(INDEX(MUSTERILER!$B$7:$B$106,MATCH($U350&amp;"*",MUSTERILER!$T$7:$T$106,0)),"TANIMSIZ MÜŞTERİ"))))</f>
        <v/>
      </c>
      <c r="E350" s="109" t="n"/>
      <c r="F350" s="109" t="n"/>
      <c r="G350" s="108" t="n"/>
      <c r="H350" s="220" t="n"/>
      <c r="I350" s="220" t="n"/>
      <c r="J350" s="108" t="n"/>
      <c r="K350" s="108" t="n"/>
      <c r="L350" s="109" t="n"/>
      <c r="M350" s="109" t="n"/>
      <c r="N350" s="109" t="n"/>
      <c r="O350" s="220" t="n"/>
      <c r="P350" s="227">
        <f>IF(OR($E350="",$I350=""),"",IF(OR($J350="Tamamlandı",$J350="İptal"),"",$I350-TODAY()))</f>
        <v/>
      </c>
      <c r="Q350" s="113">
        <f>IF($E350="","",IF($D350="TANIMSIZ MÜŞTERİ","HATA",IF(OR($J350="Tamamlandı",$J350="İptal"),"KAPALI",IF(AND($C350="Görüşme",$N350=""),"SONRAKİ İŞLEM EKSİK",IF($I350="","TARİH EKSİK",IF($I350&lt;TODAY(),"GECİKMİŞ",IF($I350=TODAY(),"BUGÜN",IF($I350&lt;=TODAY()+7,"7 GÜN İÇİNDE","PLANLI"))))))))</f>
        <v/>
      </c>
      <c r="R350" s="6" t="n"/>
      <c r="S350" s="6" t="n"/>
      <c r="T350" s="3" t="n"/>
      <c r="U350" s="3">
        <f>IF($E350="","",UPPER(SUBSTITUTE(SUBSTITUTE(SUBSTITUTE(SUBSTITUTE(SUBSTITUTE(SUBSTITUTE(SUBSTITUTE(SUBSTITUTE(SUBSTITUTE(SUBSTITUTE(SUBSTITUTE(SUBSTITUTE(SUBSTITUTE(SUBSTITUTE(SUBSTITUTE(SUBSTITUTE(SUBSTITUTE(SUBSTITUTE(TRIM($E350),"'",""),"İ","I"),"ı","I"),"i","I"),"Ş","S"),"ş","S"),"Ğ","G"),"ğ","G"),"Ü","U"),"ü","U"),"Ö","O"),"ö","O"),"Ç","C"),"ç","C"),".",""),",","")," ",""),"-","")))</f>
        <v/>
      </c>
    </row>
    <row r="351">
      <c r="A351" s="6" t="n"/>
      <c r="B351" s="113">
        <f>IF($E351="","","A"&amp;TEXT(ROW()-6,"00000"))</f>
        <v/>
      </c>
      <c r="C351" s="108" t="n"/>
      <c r="D351" s="113">
        <f>IF($E351="","",IFERROR(INDEX(MUSTERILER!$B$7:$B$106,MATCH($U351,MUSTERILER!$T$7:$T$106,0)),IFERROR(INDEX(MUSTERILER!$B$7:$B$106,MATCH($E351,MUSTERILER!$B$7:$B$106,0)),IFERROR(INDEX(MUSTERILER!$B$7:$B$106,MATCH($U351&amp;"*",MUSTERILER!$T$7:$T$106,0)),"TANIMSIZ MÜŞTERİ"))))</f>
        <v/>
      </c>
      <c r="E351" s="109" t="n"/>
      <c r="F351" s="109" t="n"/>
      <c r="G351" s="108" t="n"/>
      <c r="H351" s="220" t="n"/>
      <c r="I351" s="220" t="n"/>
      <c r="J351" s="108" t="n"/>
      <c r="K351" s="108" t="n"/>
      <c r="L351" s="109" t="n"/>
      <c r="M351" s="109" t="n"/>
      <c r="N351" s="109" t="n"/>
      <c r="O351" s="220" t="n"/>
      <c r="P351" s="227">
        <f>IF(OR($E351="",$I351=""),"",IF(OR($J351="Tamamlandı",$J351="İptal"),"",$I351-TODAY()))</f>
        <v/>
      </c>
      <c r="Q351" s="113">
        <f>IF($E351="","",IF($D351="TANIMSIZ MÜŞTERİ","HATA",IF(OR($J351="Tamamlandı",$J351="İptal"),"KAPALI",IF(AND($C351="Görüşme",$N351=""),"SONRAKİ İŞLEM EKSİK",IF($I351="","TARİH EKSİK",IF($I351&lt;TODAY(),"GECİKMİŞ",IF($I351=TODAY(),"BUGÜN",IF($I351&lt;=TODAY()+7,"7 GÜN İÇİNDE","PLANLI"))))))))</f>
        <v/>
      </c>
      <c r="R351" s="6" t="n"/>
      <c r="S351" s="6" t="n"/>
      <c r="T351" s="3" t="n"/>
      <c r="U351" s="3">
        <f>IF($E351="","",UPPER(SUBSTITUTE(SUBSTITUTE(SUBSTITUTE(SUBSTITUTE(SUBSTITUTE(SUBSTITUTE(SUBSTITUTE(SUBSTITUTE(SUBSTITUTE(SUBSTITUTE(SUBSTITUTE(SUBSTITUTE(SUBSTITUTE(SUBSTITUTE(SUBSTITUTE(SUBSTITUTE(SUBSTITUTE(SUBSTITUTE(TRIM($E351),"'",""),"İ","I"),"ı","I"),"i","I"),"Ş","S"),"ş","S"),"Ğ","G"),"ğ","G"),"Ü","U"),"ü","U"),"Ö","O"),"ö","O"),"Ç","C"),"ç","C"),".",""),",","")," ",""),"-","")))</f>
        <v/>
      </c>
    </row>
    <row r="352">
      <c r="A352" s="6" t="n"/>
      <c r="B352" s="113">
        <f>IF($E352="","","A"&amp;TEXT(ROW()-6,"00000"))</f>
        <v/>
      </c>
      <c r="C352" s="108" t="n"/>
      <c r="D352" s="113">
        <f>IF($E352="","",IFERROR(INDEX(MUSTERILER!$B$7:$B$106,MATCH($U352,MUSTERILER!$T$7:$T$106,0)),IFERROR(INDEX(MUSTERILER!$B$7:$B$106,MATCH($E352,MUSTERILER!$B$7:$B$106,0)),IFERROR(INDEX(MUSTERILER!$B$7:$B$106,MATCH($U352&amp;"*",MUSTERILER!$T$7:$T$106,0)),"TANIMSIZ MÜŞTERİ"))))</f>
        <v/>
      </c>
      <c r="E352" s="109" t="n"/>
      <c r="F352" s="109" t="n"/>
      <c r="G352" s="108" t="n"/>
      <c r="H352" s="220" t="n"/>
      <c r="I352" s="220" t="n"/>
      <c r="J352" s="108" t="n"/>
      <c r="K352" s="108" t="n"/>
      <c r="L352" s="109" t="n"/>
      <c r="M352" s="109" t="n"/>
      <c r="N352" s="109" t="n"/>
      <c r="O352" s="220" t="n"/>
      <c r="P352" s="227">
        <f>IF(OR($E352="",$I352=""),"",IF(OR($J352="Tamamlandı",$J352="İptal"),"",$I352-TODAY()))</f>
        <v/>
      </c>
      <c r="Q352" s="113">
        <f>IF($E352="","",IF($D352="TANIMSIZ MÜŞTERİ","HATA",IF(OR($J352="Tamamlandı",$J352="İptal"),"KAPALI",IF(AND($C352="Görüşme",$N352=""),"SONRAKİ İŞLEM EKSİK",IF($I352="","TARİH EKSİK",IF($I352&lt;TODAY(),"GECİKMİŞ",IF($I352=TODAY(),"BUGÜN",IF($I352&lt;=TODAY()+7,"7 GÜN İÇİNDE","PLANLI"))))))))</f>
        <v/>
      </c>
      <c r="R352" s="6" t="n"/>
      <c r="S352" s="6" t="n"/>
      <c r="T352" s="3" t="n"/>
      <c r="U352" s="3">
        <f>IF($E352="","",UPPER(SUBSTITUTE(SUBSTITUTE(SUBSTITUTE(SUBSTITUTE(SUBSTITUTE(SUBSTITUTE(SUBSTITUTE(SUBSTITUTE(SUBSTITUTE(SUBSTITUTE(SUBSTITUTE(SUBSTITUTE(SUBSTITUTE(SUBSTITUTE(SUBSTITUTE(SUBSTITUTE(SUBSTITUTE(SUBSTITUTE(TRIM($E352),"'",""),"İ","I"),"ı","I"),"i","I"),"Ş","S"),"ş","S"),"Ğ","G"),"ğ","G"),"Ü","U"),"ü","U"),"Ö","O"),"ö","O"),"Ç","C"),"ç","C"),".",""),",","")," ",""),"-","")))</f>
        <v/>
      </c>
    </row>
    <row r="353">
      <c r="A353" s="6" t="n"/>
      <c r="B353" s="113">
        <f>IF($E353="","","A"&amp;TEXT(ROW()-6,"00000"))</f>
        <v/>
      </c>
      <c r="C353" s="108" t="n"/>
      <c r="D353" s="113">
        <f>IF($E353="","",IFERROR(INDEX(MUSTERILER!$B$7:$B$106,MATCH($U353,MUSTERILER!$T$7:$T$106,0)),IFERROR(INDEX(MUSTERILER!$B$7:$B$106,MATCH($E353,MUSTERILER!$B$7:$B$106,0)),IFERROR(INDEX(MUSTERILER!$B$7:$B$106,MATCH($U353&amp;"*",MUSTERILER!$T$7:$T$106,0)),"TANIMSIZ MÜŞTERİ"))))</f>
        <v/>
      </c>
      <c r="E353" s="109" t="n"/>
      <c r="F353" s="109" t="n"/>
      <c r="G353" s="108" t="n"/>
      <c r="H353" s="220" t="n"/>
      <c r="I353" s="220" t="n"/>
      <c r="J353" s="108" t="n"/>
      <c r="K353" s="108" t="n"/>
      <c r="L353" s="109" t="n"/>
      <c r="M353" s="109" t="n"/>
      <c r="N353" s="109" t="n"/>
      <c r="O353" s="220" t="n"/>
      <c r="P353" s="227">
        <f>IF(OR($E353="",$I353=""),"",IF(OR($J353="Tamamlandı",$J353="İptal"),"",$I353-TODAY()))</f>
        <v/>
      </c>
      <c r="Q353" s="113">
        <f>IF($E353="","",IF($D353="TANIMSIZ MÜŞTERİ","HATA",IF(OR($J353="Tamamlandı",$J353="İptal"),"KAPALI",IF(AND($C353="Görüşme",$N353=""),"SONRAKİ İŞLEM EKSİK",IF($I353="","TARİH EKSİK",IF($I353&lt;TODAY(),"GECİKMİŞ",IF($I353=TODAY(),"BUGÜN",IF($I353&lt;=TODAY()+7,"7 GÜN İÇİNDE","PLANLI"))))))))</f>
        <v/>
      </c>
      <c r="R353" s="6" t="n"/>
      <c r="S353" s="6" t="n"/>
      <c r="T353" s="3" t="n"/>
      <c r="U353" s="3">
        <f>IF($E353="","",UPPER(SUBSTITUTE(SUBSTITUTE(SUBSTITUTE(SUBSTITUTE(SUBSTITUTE(SUBSTITUTE(SUBSTITUTE(SUBSTITUTE(SUBSTITUTE(SUBSTITUTE(SUBSTITUTE(SUBSTITUTE(SUBSTITUTE(SUBSTITUTE(SUBSTITUTE(SUBSTITUTE(SUBSTITUTE(SUBSTITUTE(TRIM($E353),"'",""),"İ","I"),"ı","I"),"i","I"),"Ş","S"),"ş","S"),"Ğ","G"),"ğ","G"),"Ü","U"),"ü","U"),"Ö","O"),"ö","O"),"Ç","C"),"ç","C"),".",""),",","")," ",""),"-","")))</f>
        <v/>
      </c>
    </row>
    <row r="354">
      <c r="A354" s="6" t="n"/>
      <c r="B354" s="113">
        <f>IF($E354="","","A"&amp;TEXT(ROW()-6,"00000"))</f>
        <v/>
      </c>
      <c r="C354" s="108" t="n"/>
      <c r="D354" s="113">
        <f>IF($E354="","",IFERROR(INDEX(MUSTERILER!$B$7:$B$106,MATCH($U354,MUSTERILER!$T$7:$T$106,0)),IFERROR(INDEX(MUSTERILER!$B$7:$B$106,MATCH($E354,MUSTERILER!$B$7:$B$106,0)),IFERROR(INDEX(MUSTERILER!$B$7:$B$106,MATCH($U354&amp;"*",MUSTERILER!$T$7:$T$106,0)),"TANIMSIZ MÜŞTERİ"))))</f>
        <v/>
      </c>
      <c r="E354" s="109" t="n"/>
      <c r="F354" s="109" t="n"/>
      <c r="G354" s="108" t="n"/>
      <c r="H354" s="220" t="n"/>
      <c r="I354" s="220" t="n"/>
      <c r="J354" s="108" t="n"/>
      <c r="K354" s="108" t="n"/>
      <c r="L354" s="109" t="n"/>
      <c r="M354" s="109" t="n"/>
      <c r="N354" s="109" t="n"/>
      <c r="O354" s="220" t="n"/>
      <c r="P354" s="227">
        <f>IF(OR($E354="",$I354=""),"",IF(OR($J354="Tamamlandı",$J354="İptal"),"",$I354-TODAY()))</f>
        <v/>
      </c>
      <c r="Q354" s="113">
        <f>IF($E354="","",IF($D354="TANIMSIZ MÜŞTERİ","HATA",IF(OR($J354="Tamamlandı",$J354="İptal"),"KAPALI",IF(AND($C354="Görüşme",$N354=""),"SONRAKİ İŞLEM EKSİK",IF($I354="","TARİH EKSİK",IF($I354&lt;TODAY(),"GECİKMİŞ",IF($I354=TODAY(),"BUGÜN",IF($I354&lt;=TODAY()+7,"7 GÜN İÇİNDE","PLANLI"))))))))</f>
        <v/>
      </c>
      <c r="R354" s="6" t="n"/>
      <c r="S354" s="6" t="n"/>
      <c r="T354" s="3" t="n"/>
      <c r="U354" s="3">
        <f>IF($E354="","",UPPER(SUBSTITUTE(SUBSTITUTE(SUBSTITUTE(SUBSTITUTE(SUBSTITUTE(SUBSTITUTE(SUBSTITUTE(SUBSTITUTE(SUBSTITUTE(SUBSTITUTE(SUBSTITUTE(SUBSTITUTE(SUBSTITUTE(SUBSTITUTE(SUBSTITUTE(SUBSTITUTE(SUBSTITUTE(SUBSTITUTE(TRIM($E354),"'",""),"İ","I"),"ı","I"),"i","I"),"Ş","S"),"ş","S"),"Ğ","G"),"ğ","G"),"Ü","U"),"ü","U"),"Ö","O"),"ö","O"),"Ç","C"),"ç","C"),".",""),",","")," ",""),"-","")))</f>
        <v/>
      </c>
    </row>
    <row r="355">
      <c r="A355" s="6" t="n"/>
      <c r="B355" s="113">
        <f>IF($E355="","","A"&amp;TEXT(ROW()-6,"00000"))</f>
        <v/>
      </c>
      <c r="C355" s="108" t="n"/>
      <c r="D355" s="113">
        <f>IF($E355="","",IFERROR(INDEX(MUSTERILER!$B$7:$B$106,MATCH($U355,MUSTERILER!$T$7:$T$106,0)),IFERROR(INDEX(MUSTERILER!$B$7:$B$106,MATCH($E355,MUSTERILER!$B$7:$B$106,0)),IFERROR(INDEX(MUSTERILER!$B$7:$B$106,MATCH($U355&amp;"*",MUSTERILER!$T$7:$T$106,0)),"TANIMSIZ MÜŞTERİ"))))</f>
        <v/>
      </c>
      <c r="E355" s="109" t="n"/>
      <c r="F355" s="109" t="n"/>
      <c r="G355" s="108" t="n"/>
      <c r="H355" s="220" t="n"/>
      <c r="I355" s="220" t="n"/>
      <c r="J355" s="108" t="n"/>
      <c r="K355" s="108" t="n"/>
      <c r="L355" s="109" t="n"/>
      <c r="M355" s="109" t="n"/>
      <c r="N355" s="109" t="n"/>
      <c r="O355" s="220" t="n"/>
      <c r="P355" s="227">
        <f>IF(OR($E355="",$I355=""),"",IF(OR($J355="Tamamlandı",$J355="İptal"),"",$I355-TODAY()))</f>
        <v/>
      </c>
      <c r="Q355" s="113">
        <f>IF($E355="","",IF($D355="TANIMSIZ MÜŞTERİ","HATA",IF(OR($J355="Tamamlandı",$J355="İptal"),"KAPALI",IF(AND($C355="Görüşme",$N355=""),"SONRAKİ İŞLEM EKSİK",IF($I355="","TARİH EKSİK",IF($I355&lt;TODAY(),"GECİKMİŞ",IF($I355=TODAY(),"BUGÜN",IF($I355&lt;=TODAY()+7,"7 GÜN İÇİNDE","PLANLI"))))))))</f>
        <v/>
      </c>
      <c r="R355" s="6" t="n"/>
      <c r="S355" s="6" t="n"/>
      <c r="T355" s="3" t="n"/>
      <c r="U355" s="3">
        <f>IF($E355="","",UPPER(SUBSTITUTE(SUBSTITUTE(SUBSTITUTE(SUBSTITUTE(SUBSTITUTE(SUBSTITUTE(SUBSTITUTE(SUBSTITUTE(SUBSTITUTE(SUBSTITUTE(SUBSTITUTE(SUBSTITUTE(SUBSTITUTE(SUBSTITUTE(SUBSTITUTE(SUBSTITUTE(SUBSTITUTE(SUBSTITUTE(TRIM($E355),"'",""),"İ","I"),"ı","I"),"i","I"),"Ş","S"),"ş","S"),"Ğ","G"),"ğ","G"),"Ü","U"),"ü","U"),"Ö","O"),"ö","O"),"Ç","C"),"ç","C"),".",""),",","")," ",""),"-","")))</f>
        <v/>
      </c>
    </row>
    <row r="356">
      <c r="A356" s="6" t="n"/>
      <c r="B356" s="113">
        <f>IF($E356="","","A"&amp;TEXT(ROW()-6,"00000"))</f>
        <v/>
      </c>
      <c r="C356" s="108" t="n"/>
      <c r="D356" s="113">
        <f>IF($E356="","",IFERROR(INDEX(MUSTERILER!$B$7:$B$106,MATCH($U356,MUSTERILER!$T$7:$T$106,0)),IFERROR(INDEX(MUSTERILER!$B$7:$B$106,MATCH($E356,MUSTERILER!$B$7:$B$106,0)),IFERROR(INDEX(MUSTERILER!$B$7:$B$106,MATCH($U356&amp;"*",MUSTERILER!$T$7:$T$106,0)),"TANIMSIZ MÜŞTERİ"))))</f>
        <v/>
      </c>
      <c r="E356" s="109" t="n"/>
      <c r="F356" s="109" t="n"/>
      <c r="G356" s="108" t="n"/>
      <c r="H356" s="220" t="n"/>
      <c r="I356" s="220" t="n"/>
      <c r="J356" s="108" t="n"/>
      <c r="K356" s="108" t="n"/>
      <c r="L356" s="109" t="n"/>
      <c r="M356" s="109" t="n"/>
      <c r="N356" s="109" t="n"/>
      <c r="O356" s="220" t="n"/>
      <c r="P356" s="227">
        <f>IF(OR($E356="",$I356=""),"",IF(OR($J356="Tamamlandı",$J356="İptal"),"",$I356-TODAY()))</f>
        <v/>
      </c>
      <c r="Q356" s="113">
        <f>IF($E356="","",IF($D356="TANIMSIZ MÜŞTERİ","HATA",IF(OR($J356="Tamamlandı",$J356="İptal"),"KAPALI",IF(AND($C356="Görüşme",$N356=""),"SONRAKİ İŞLEM EKSİK",IF($I356="","TARİH EKSİK",IF($I356&lt;TODAY(),"GECİKMİŞ",IF($I356=TODAY(),"BUGÜN",IF($I356&lt;=TODAY()+7,"7 GÜN İÇİNDE","PLANLI"))))))))</f>
        <v/>
      </c>
      <c r="R356" s="6" t="n"/>
      <c r="S356" s="6" t="n"/>
      <c r="T356" s="3" t="n"/>
      <c r="U356" s="3">
        <f>IF($E356="","",UPPER(SUBSTITUTE(SUBSTITUTE(SUBSTITUTE(SUBSTITUTE(SUBSTITUTE(SUBSTITUTE(SUBSTITUTE(SUBSTITUTE(SUBSTITUTE(SUBSTITUTE(SUBSTITUTE(SUBSTITUTE(SUBSTITUTE(SUBSTITUTE(SUBSTITUTE(SUBSTITUTE(SUBSTITUTE(SUBSTITUTE(TRIM($E356),"'",""),"İ","I"),"ı","I"),"i","I"),"Ş","S"),"ş","S"),"Ğ","G"),"ğ","G"),"Ü","U"),"ü","U"),"Ö","O"),"ö","O"),"Ç","C"),"ç","C"),".",""),",","")," ",""),"-","")))</f>
        <v/>
      </c>
    </row>
    <row r="357">
      <c r="A357" s="6" t="n"/>
      <c r="B357" s="113">
        <f>IF($E357="","","A"&amp;TEXT(ROW()-6,"00000"))</f>
        <v/>
      </c>
      <c r="C357" s="108" t="n"/>
      <c r="D357" s="113">
        <f>IF($E357="","",IFERROR(INDEX(MUSTERILER!$B$7:$B$106,MATCH($U357,MUSTERILER!$T$7:$T$106,0)),IFERROR(INDEX(MUSTERILER!$B$7:$B$106,MATCH($E357,MUSTERILER!$B$7:$B$106,0)),IFERROR(INDEX(MUSTERILER!$B$7:$B$106,MATCH($U357&amp;"*",MUSTERILER!$T$7:$T$106,0)),"TANIMSIZ MÜŞTERİ"))))</f>
        <v/>
      </c>
      <c r="E357" s="109" t="n"/>
      <c r="F357" s="109" t="n"/>
      <c r="G357" s="108" t="n"/>
      <c r="H357" s="220" t="n"/>
      <c r="I357" s="220" t="n"/>
      <c r="J357" s="108" t="n"/>
      <c r="K357" s="108" t="n"/>
      <c r="L357" s="109" t="n"/>
      <c r="M357" s="109" t="n"/>
      <c r="N357" s="109" t="n"/>
      <c r="O357" s="220" t="n"/>
      <c r="P357" s="227">
        <f>IF(OR($E357="",$I357=""),"",IF(OR($J357="Tamamlandı",$J357="İptal"),"",$I357-TODAY()))</f>
        <v/>
      </c>
      <c r="Q357" s="113">
        <f>IF($E357="","",IF($D357="TANIMSIZ MÜŞTERİ","HATA",IF(OR($J357="Tamamlandı",$J357="İptal"),"KAPALI",IF(AND($C357="Görüşme",$N357=""),"SONRAKİ İŞLEM EKSİK",IF($I357="","TARİH EKSİK",IF($I357&lt;TODAY(),"GECİKMİŞ",IF($I357=TODAY(),"BUGÜN",IF($I357&lt;=TODAY()+7,"7 GÜN İÇİNDE","PLANLI"))))))))</f>
        <v/>
      </c>
      <c r="R357" s="6" t="n"/>
      <c r="S357" s="6" t="n"/>
      <c r="T357" s="3" t="n"/>
      <c r="U357" s="3">
        <f>IF($E357="","",UPPER(SUBSTITUTE(SUBSTITUTE(SUBSTITUTE(SUBSTITUTE(SUBSTITUTE(SUBSTITUTE(SUBSTITUTE(SUBSTITUTE(SUBSTITUTE(SUBSTITUTE(SUBSTITUTE(SUBSTITUTE(SUBSTITUTE(SUBSTITUTE(SUBSTITUTE(SUBSTITUTE(SUBSTITUTE(SUBSTITUTE(TRIM($E357),"'",""),"İ","I"),"ı","I"),"i","I"),"Ş","S"),"ş","S"),"Ğ","G"),"ğ","G"),"Ü","U"),"ü","U"),"Ö","O"),"ö","O"),"Ç","C"),"ç","C"),".",""),",","")," ",""),"-","")))</f>
        <v/>
      </c>
    </row>
    <row r="358">
      <c r="A358" s="6" t="n"/>
      <c r="B358" s="113">
        <f>IF($E358="","","A"&amp;TEXT(ROW()-6,"00000"))</f>
        <v/>
      </c>
      <c r="C358" s="108" t="n"/>
      <c r="D358" s="113">
        <f>IF($E358="","",IFERROR(INDEX(MUSTERILER!$B$7:$B$106,MATCH($U358,MUSTERILER!$T$7:$T$106,0)),IFERROR(INDEX(MUSTERILER!$B$7:$B$106,MATCH($E358,MUSTERILER!$B$7:$B$106,0)),IFERROR(INDEX(MUSTERILER!$B$7:$B$106,MATCH($U358&amp;"*",MUSTERILER!$T$7:$T$106,0)),"TANIMSIZ MÜŞTERİ"))))</f>
        <v/>
      </c>
      <c r="E358" s="109" t="n"/>
      <c r="F358" s="109" t="n"/>
      <c r="G358" s="108" t="n"/>
      <c r="H358" s="220" t="n"/>
      <c r="I358" s="220" t="n"/>
      <c r="J358" s="108" t="n"/>
      <c r="K358" s="108" t="n"/>
      <c r="L358" s="109" t="n"/>
      <c r="M358" s="109" t="n"/>
      <c r="N358" s="109" t="n"/>
      <c r="O358" s="220" t="n"/>
      <c r="P358" s="227">
        <f>IF(OR($E358="",$I358=""),"",IF(OR($J358="Tamamlandı",$J358="İptal"),"",$I358-TODAY()))</f>
        <v/>
      </c>
      <c r="Q358" s="113">
        <f>IF($E358="","",IF($D358="TANIMSIZ MÜŞTERİ","HATA",IF(OR($J358="Tamamlandı",$J358="İptal"),"KAPALI",IF(AND($C358="Görüşme",$N358=""),"SONRAKİ İŞLEM EKSİK",IF($I358="","TARİH EKSİK",IF($I358&lt;TODAY(),"GECİKMİŞ",IF($I358=TODAY(),"BUGÜN",IF($I358&lt;=TODAY()+7,"7 GÜN İÇİNDE","PLANLI"))))))))</f>
        <v/>
      </c>
      <c r="R358" s="6" t="n"/>
      <c r="S358" s="6" t="n"/>
      <c r="T358" s="3" t="n"/>
      <c r="U358" s="3">
        <f>IF($E358="","",UPPER(SUBSTITUTE(SUBSTITUTE(SUBSTITUTE(SUBSTITUTE(SUBSTITUTE(SUBSTITUTE(SUBSTITUTE(SUBSTITUTE(SUBSTITUTE(SUBSTITUTE(SUBSTITUTE(SUBSTITUTE(SUBSTITUTE(SUBSTITUTE(SUBSTITUTE(SUBSTITUTE(SUBSTITUTE(SUBSTITUTE(TRIM($E358),"'",""),"İ","I"),"ı","I"),"i","I"),"Ş","S"),"ş","S"),"Ğ","G"),"ğ","G"),"Ü","U"),"ü","U"),"Ö","O"),"ö","O"),"Ç","C"),"ç","C"),".",""),",","")," ",""),"-","")))</f>
        <v/>
      </c>
    </row>
    <row r="359">
      <c r="A359" s="6" t="n"/>
      <c r="B359" s="113">
        <f>IF($E359="","","A"&amp;TEXT(ROW()-6,"00000"))</f>
        <v/>
      </c>
      <c r="C359" s="108" t="n"/>
      <c r="D359" s="113">
        <f>IF($E359="","",IFERROR(INDEX(MUSTERILER!$B$7:$B$106,MATCH($U359,MUSTERILER!$T$7:$T$106,0)),IFERROR(INDEX(MUSTERILER!$B$7:$B$106,MATCH($E359,MUSTERILER!$B$7:$B$106,0)),IFERROR(INDEX(MUSTERILER!$B$7:$B$106,MATCH($U359&amp;"*",MUSTERILER!$T$7:$T$106,0)),"TANIMSIZ MÜŞTERİ"))))</f>
        <v/>
      </c>
      <c r="E359" s="109" t="n"/>
      <c r="F359" s="109" t="n"/>
      <c r="G359" s="108" t="n"/>
      <c r="H359" s="220" t="n"/>
      <c r="I359" s="220" t="n"/>
      <c r="J359" s="108" t="n"/>
      <c r="K359" s="108" t="n"/>
      <c r="L359" s="109" t="n"/>
      <c r="M359" s="109" t="n"/>
      <c r="N359" s="109" t="n"/>
      <c r="O359" s="220" t="n"/>
      <c r="P359" s="227">
        <f>IF(OR($E359="",$I359=""),"",IF(OR($J359="Tamamlandı",$J359="İptal"),"",$I359-TODAY()))</f>
        <v/>
      </c>
      <c r="Q359" s="113">
        <f>IF($E359="","",IF($D359="TANIMSIZ MÜŞTERİ","HATA",IF(OR($J359="Tamamlandı",$J359="İptal"),"KAPALI",IF(AND($C359="Görüşme",$N359=""),"SONRAKİ İŞLEM EKSİK",IF($I359="","TARİH EKSİK",IF($I359&lt;TODAY(),"GECİKMİŞ",IF($I359=TODAY(),"BUGÜN",IF($I359&lt;=TODAY()+7,"7 GÜN İÇİNDE","PLANLI"))))))))</f>
        <v/>
      </c>
      <c r="R359" s="6" t="n"/>
      <c r="S359" s="6" t="n"/>
      <c r="T359" s="3" t="n"/>
      <c r="U359" s="3">
        <f>IF($E359="","",UPPER(SUBSTITUTE(SUBSTITUTE(SUBSTITUTE(SUBSTITUTE(SUBSTITUTE(SUBSTITUTE(SUBSTITUTE(SUBSTITUTE(SUBSTITUTE(SUBSTITUTE(SUBSTITUTE(SUBSTITUTE(SUBSTITUTE(SUBSTITUTE(SUBSTITUTE(SUBSTITUTE(SUBSTITUTE(SUBSTITUTE(TRIM($E359),"'",""),"İ","I"),"ı","I"),"i","I"),"Ş","S"),"ş","S"),"Ğ","G"),"ğ","G"),"Ü","U"),"ü","U"),"Ö","O"),"ö","O"),"Ç","C"),"ç","C"),".",""),",","")," ",""),"-","")))</f>
        <v/>
      </c>
    </row>
    <row r="360">
      <c r="A360" s="6" t="n"/>
      <c r="B360" s="113">
        <f>IF($E360="","","A"&amp;TEXT(ROW()-6,"00000"))</f>
        <v/>
      </c>
      <c r="C360" s="108" t="n"/>
      <c r="D360" s="113">
        <f>IF($E360="","",IFERROR(INDEX(MUSTERILER!$B$7:$B$106,MATCH($U360,MUSTERILER!$T$7:$T$106,0)),IFERROR(INDEX(MUSTERILER!$B$7:$B$106,MATCH($E360,MUSTERILER!$B$7:$B$106,0)),IFERROR(INDEX(MUSTERILER!$B$7:$B$106,MATCH($U360&amp;"*",MUSTERILER!$T$7:$T$106,0)),"TANIMSIZ MÜŞTERİ"))))</f>
        <v/>
      </c>
      <c r="E360" s="109" t="n"/>
      <c r="F360" s="109" t="n"/>
      <c r="G360" s="108" t="n"/>
      <c r="H360" s="220" t="n"/>
      <c r="I360" s="220" t="n"/>
      <c r="J360" s="108" t="n"/>
      <c r="K360" s="108" t="n"/>
      <c r="L360" s="109" t="n"/>
      <c r="M360" s="109" t="n"/>
      <c r="N360" s="109" t="n"/>
      <c r="O360" s="220" t="n"/>
      <c r="P360" s="227">
        <f>IF(OR($E360="",$I360=""),"",IF(OR($J360="Tamamlandı",$J360="İptal"),"",$I360-TODAY()))</f>
        <v/>
      </c>
      <c r="Q360" s="113">
        <f>IF($E360="","",IF($D360="TANIMSIZ MÜŞTERİ","HATA",IF(OR($J360="Tamamlandı",$J360="İptal"),"KAPALI",IF(AND($C360="Görüşme",$N360=""),"SONRAKİ İŞLEM EKSİK",IF($I360="","TARİH EKSİK",IF($I360&lt;TODAY(),"GECİKMİŞ",IF($I360=TODAY(),"BUGÜN",IF($I360&lt;=TODAY()+7,"7 GÜN İÇİNDE","PLANLI"))))))))</f>
        <v/>
      </c>
      <c r="R360" s="6" t="n"/>
      <c r="S360" s="6" t="n"/>
      <c r="T360" s="3" t="n"/>
      <c r="U360" s="3">
        <f>IF($E360="","",UPPER(SUBSTITUTE(SUBSTITUTE(SUBSTITUTE(SUBSTITUTE(SUBSTITUTE(SUBSTITUTE(SUBSTITUTE(SUBSTITUTE(SUBSTITUTE(SUBSTITUTE(SUBSTITUTE(SUBSTITUTE(SUBSTITUTE(SUBSTITUTE(SUBSTITUTE(SUBSTITUTE(SUBSTITUTE(SUBSTITUTE(TRIM($E360),"'",""),"İ","I"),"ı","I"),"i","I"),"Ş","S"),"ş","S"),"Ğ","G"),"ğ","G"),"Ü","U"),"ü","U"),"Ö","O"),"ö","O"),"Ç","C"),"ç","C"),".",""),",","")," ",""),"-","")))</f>
        <v/>
      </c>
    </row>
    <row r="361">
      <c r="A361" s="6" t="n"/>
      <c r="B361" s="113">
        <f>IF($E361="","","A"&amp;TEXT(ROW()-6,"00000"))</f>
        <v/>
      </c>
      <c r="C361" s="108" t="n"/>
      <c r="D361" s="113">
        <f>IF($E361="","",IFERROR(INDEX(MUSTERILER!$B$7:$B$106,MATCH($U361,MUSTERILER!$T$7:$T$106,0)),IFERROR(INDEX(MUSTERILER!$B$7:$B$106,MATCH($E361,MUSTERILER!$B$7:$B$106,0)),IFERROR(INDEX(MUSTERILER!$B$7:$B$106,MATCH($U361&amp;"*",MUSTERILER!$T$7:$T$106,0)),"TANIMSIZ MÜŞTERİ"))))</f>
        <v/>
      </c>
      <c r="E361" s="109" t="n"/>
      <c r="F361" s="109" t="n"/>
      <c r="G361" s="108" t="n"/>
      <c r="H361" s="220" t="n"/>
      <c r="I361" s="220" t="n"/>
      <c r="J361" s="108" t="n"/>
      <c r="K361" s="108" t="n"/>
      <c r="L361" s="109" t="n"/>
      <c r="M361" s="109" t="n"/>
      <c r="N361" s="109" t="n"/>
      <c r="O361" s="220" t="n"/>
      <c r="P361" s="227">
        <f>IF(OR($E361="",$I361=""),"",IF(OR($J361="Tamamlandı",$J361="İptal"),"",$I361-TODAY()))</f>
        <v/>
      </c>
      <c r="Q361" s="113">
        <f>IF($E361="","",IF($D361="TANIMSIZ MÜŞTERİ","HATA",IF(OR($J361="Tamamlandı",$J361="İptal"),"KAPALI",IF(AND($C361="Görüşme",$N361=""),"SONRAKİ İŞLEM EKSİK",IF($I361="","TARİH EKSİK",IF($I361&lt;TODAY(),"GECİKMİŞ",IF($I361=TODAY(),"BUGÜN",IF($I361&lt;=TODAY()+7,"7 GÜN İÇİNDE","PLANLI"))))))))</f>
        <v/>
      </c>
      <c r="R361" s="6" t="n"/>
      <c r="S361" s="6" t="n"/>
      <c r="T361" s="3" t="n"/>
      <c r="U361" s="3">
        <f>IF($E361="","",UPPER(SUBSTITUTE(SUBSTITUTE(SUBSTITUTE(SUBSTITUTE(SUBSTITUTE(SUBSTITUTE(SUBSTITUTE(SUBSTITUTE(SUBSTITUTE(SUBSTITUTE(SUBSTITUTE(SUBSTITUTE(SUBSTITUTE(SUBSTITUTE(SUBSTITUTE(SUBSTITUTE(SUBSTITUTE(SUBSTITUTE(TRIM($E361),"'",""),"İ","I"),"ı","I"),"i","I"),"Ş","S"),"ş","S"),"Ğ","G"),"ğ","G"),"Ü","U"),"ü","U"),"Ö","O"),"ö","O"),"Ç","C"),"ç","C"),".",""),",","")," ",""),"-","")))</f>
        <v/>
      </c>
    </row>
    <row r="362">
      <c r="A362" s="6" t="n"/>
      <c r="B362" s="113">
        <f>IF($E362="","","A"&amp;TEXT(ROW()-6,"00000"))</f>
        <v/>
      </c>
      <c r="C362" s="108" t="n"/>
      <c r="D362" s="113">
        <f>IF($E362="","",IFERROR(INDEX(MUSTERILER!$B$7:$B$106,MATCH($U362,MUSTERILER!$T$7:$T$106,0)),IFERROR(INDEX(MUSTERILER!$B$7:$B$106,MATCH($E362,MUSTERILER!$B$7:$B$106,0)),IFERROR(INDEX(MUSTERILER!$B$7:$B$106,MATCH($U362&amp;"*",MUSTERILER!$T$7:$T$106,0)),"TANIMSIZ MÜŞTERİ"))))</f>
        <v/>
      </c>
      <c r="E362" s="109" t="n"/>
      <c r="F362" s="109" t="n"/>
      <c r="G362" s="108" t="n"/>
      <c r="H362" s="220" t="n"/>
      <c r="I362" s="220" t="n"/>
      <c r="J362" s="108" t="n"/>
      <c r="K362" s="108" t="n"/>
      <c r="L362" s="109" t="n"/>
      <c r="M362" s="109" t="n"/>
      <c r="N362" s="109" t="n"/>
      <c r="O362" s="220" t="n"/>
      <c r="P362" s="227">
        <f>IF(OR($E362="",$I362=""),"",IF(OR($J362="Tamamlandı",$J362="İptal"),"",$I362-TODAY()))</f>
        <v/>
      </c>
      <c r="Q362" s="113">
        <f>IF($E362="","",IF($D362="TANIMSIZ MÜŞTERİ","HATA",IF(OR($J362="Tamamlandı",$J362="İptal"),"KAPALI",IF(AND($C362="Görüşme",$N362=""),"SONRAKİ İŞLEM EKSİK",IF($I362="","TARİH EKSİK",IF($I362&lt;TODAY(),"GECİKMİŞ",IF($I362=TODAY(),"BUGÜN",IF($I362&lt;=TODAY()+7,"7 GÜN İÇİNDE","PLANLI"))))))))</f>
        <v/>
      </c>
      <c r="R362" s="6" t="n"/>
      <c r="S362" s="6" t="n"/>
      <c r="T362" s="3" t="n"/>
      <c r="U362" s="3">
        <f>IF($E362="","",UPPER(SUBSTITUTE(SUBSTITUTE(SUBSTITUTE(SUBSTITUTE(SUBSTITUTE(SUBSTITUTE(SUBSTITUTE(SUBSTITUTE(SUBSTITUTE(SUBSTITUTE(SUBSTITUTE(SUBSTITUTE(SUBSTITUTE(SUBSTITUTE(SUBSTITUTE(SUBSTITUTE(SUBSTITUTE(SUBSTITUTE(TRIM($E362),"'",""),"İ","I"),"ı","I"),"i","I"),"Ş","S"),"ş","S"),"Ğ","G"),"ğ","G"),"Ü","U"),"ü","U"),"Ö","O"),"ö","O"),"Ç","C"),"ç","C"),".",""),",","")," ",""),"-","")))</f>
        <v/>
      </c>
    </row>
    <row r="363">
      <c r="A363" s="6" t="n"/>
      <c r="B363" s="113">
        <f>IF($E363="","","A"&amp;TEXT(ROW()-6,"00000"))</f>
        <v/>
      </c>
      <c r="C363" s="108" t="n"/>
      <c r="D363" s="113">
        <f>IF($E363="","",IFERROR(INDEX(MUSTERILER!$B$7:$B$106,MATCH($U363,MUSTERILER!$T$7:$T$106,0)),IFERROR(INDEX(MUSTERILER!$B$7:$B$106,MATCH($E363,MUSTERILER!$B$7:$B$106,0)),IFERROR(INDEX(MUSTERILER!$B$7:$B$106,MATCH($U363&amp;"*",MUSTERILER!$T$7:$T$106,0)),"TANIMSIZ MÜŞTERİ"))))</f>
        <v/>
      </c>
      <c r="E363" s="109" t="n"/>
      <c r="F363" s="109" t="n"/>
      <c r="G363" s="108" t="n"/>
      <c r="H363" s="220" t="n"/>
      <c r="I363" s="220" t="n"/>
      <c r="J363" s="108" t="n"/>
      <c r="K363" s="108" t="n"/>
      <c r="L363" s="109" t="n"/>
      <c r="M363" s="109" t="n"/>
      <c r="N363" s="109" t="n"/>
      <c r="O363" s="220" t="n"/>
      <c r="P363" s="227">
        <f>IF(OR($E363="",$I363=""),"",IF(OR($J363="Tamamlandı",$J363="İptal"),"",$I363-TODAY()))</f>
        <v/>
      </c>
      <c r="Q363" s="113">
        <f>IF($E363="","",IF($D363="TANIMSIZ MÜŞTERİ","HATA",IF(OR($J363="Tamamlandı",$J363="İptal"),"KAPALI",IF(AND($C363="Görüşme",$N363=""),"SONRAKİ İŞLEM EKSİK",IF($I363="","TARİH EKSİK",IF($I363&lt;TODAY(),"GECİKMİŞ",IF($I363=TODAY(),"BUGÜN",IF($I363&lt;=TODAY()+7,"7 GÜN İÇİNDE","PLANLI"))))))))</f>
        <v/>
      </c>
      <c r="R363" s="6" t="n"/>
      <c r="S363" s="6" t="n"/>
      <c r="T363" s="3" t="n"/>
      <c r="U363" s="3">
        <f>IF($E363="","",UPPER(SUBSTITUTE(SUBSTITUTE(SUBSTITUTE(SUBSTITUTE(SUBSTITUTE(SUBSTITUTE(SUBSTITUTE(SUBSTITUTE(SUBSTITUTE(SUBSTITUTE(SUBSTITUTE(SUBSTITUTE(SUBSTITUTE(SUBSTITUTE(SUBSTITUTE(SUBSTITUTE(SUBSTITUTE(SUBSTITUTE(TRIM($E363),"'",""),"İ","I"),"ı","I"),"i","I"),"Ş","S"),"ş","S"),"Ğ","G"),"ğ","G"),"Ü","U"),"ü","U"),"Ö","O"),"ö","O"),"Ç","C"),"ç","C"),".",""),",","")," ",""),"-","")))</f>
        <v/>
      </c>
    </row>
    <row r="364">
      <c r="A364" s="6" t="n"/>
      <c r="B364" s="113">
        <f>IF($E364="","","A"&amp;TEXT(ROW()-6,"00000"))</f>
        <v/>
      </c>
      <c r="C364" s="108" t="n"/>
      <c r="D364" s="113">
        <f>IF($E364="","",IFERROR(INDEX(MUSTERILER!$B$7:$B$106,MATCH($U364,MUSTERILER!$T$7:$T$106,0)),IFERROR(INDEX(MUSTERILER!$B$7:$B$106,MATCH($E364,MUSTERILER!$B$7:$B$106,0)),IFERROR(INDEX(MUSTERILER!$B$7:$B$106,MATCH($U364&amp;"*",MUSTERILER!$T$7:$T$106,0)),"TANIMSIZ MÜŞTERİ"))))</f>
        <v/>
      </c>
      <c r="E364" s="109" t="n"/>
      <c r="F364" s="109" t="n"/>
      <c r="G364" s="108" t="n"/>
      <c r="H364" s="220" t="n"/>
      <c r="I364" s="220" t="n"/>
      <c r="J364" s="108" t="n"/>
      <c r="K364" s="108" t="n"/>
      <c r="L364" s="109" t="n"/>
      <c r="M364" s="109" t="n"/>
      <c r="N364" s="109" t="n"/>
      <c r="O364" s="220" t="n"/>
      <c r="P364" s="227">
        <f>IF(OR($E364="",$I364=""),"",IF(OR($J364="Tamamlandı",$J364="İptal"),"",$I364-TODAY()))</f>
        <v/>
      </c>
      <c r="Q364" s="113">
        <f>IF($E364="","",IF($D364="TANIMSIZ MÜŞTERİ","HATA",IF(OR($J364="Tamamlandı",$J364="İptal"),"KAPALI",IF(AND($C364="Görüşme",$N364=""),"SONRAKİ İŞLEM EKSİK",IF($I364="","TARİH EKSİK",IF($I364&lt;TODAY(),"GECİKMİŞ",IF($I364=TODAY(),"BUGÜN",IF($I364&lt;=TODAY()+7,"7 GÜN İÇİNDE","PLANLI"))))))))</f>
        <v/>
      </c>
      <c r="R364" s="6" t="n"/>
      <c r="S364" s="6" t="n"/>
      <c r="T364" s="3" t="n"/>
      <c r="U364" s="3">
        <f>IF($E364="","",UPPER(SUBSTITUTE(SUBSTITUTE(SUBSTITUTE(SUBSTITUTE(SUBSTITUTE(SUBSTITUTE(SUBSTITUTE(SUBSTITUTE(SUBSTITUTE(SUBSTITUTE(SUBSTITUTE(SUBSTITUTE(SUBSTITUTE(SUBSTITUTE(SUBSTITUTE(SUBSTITUTE(SUBSTITUTE(SUBSTITUTE(TRIM($E364),"'",""),"İ","I"),"ı","I"),"i","I"),"Ş","S"),"ş","S"),"Ğ","G"),"ğ","G"),"Ü","U"),"ü","U"),"Ö","O"),"ö","O"),"Ç","C"),"ç","C"),".",""),",","")," ",""),"-","")))</f>
        <v/>
      </c>
    </row>
    <row r="365">
      <c r="A365" s="6" t="n"/>
      <c r="B365" s="113">
        <f>IF($E365="","","A"&amp;TEXT(ROW()-6,"00000"))</f>
        <v/>
      </c>
      <c r="C365" s="108" t="n"/>
      <c r="D365" s="113">
        <f>IF($E365="","",IFERROR(INDEX(MUSTERILER!$B$7:$B$106,MATCH($U365,MUSTERILER!$T$7:$T$106,0)),IFERROR(INDEX(MUSTERILER!$B$7:$B$106,MATCH($E365,MUSTERILER!$B$7:$B$106,0)),IFERROR(INDEX(MUSTERILER!$B$7:$B$106,MATCH($U365&amp;"*",MUSTERILER!$T$7:$T$106,0)),"TANIMSIZ MÜŞTERİ"))))</f>
        <v/>
      </c>
      <c r="E365" s="109" t="n"/>
      <c r="F365" s="109" t="n"/>
      <c r="G365" s="108" t="n"/>
      <c r="H365" s="220" t="n"/>
      <c r="I365" s="220" t="n"/>
      <c r="J365" s="108" t="n"/>
      <c r="K365" s="108" t="n"/>
      <c r="L365" s="109" t="n"/>
      <c r="M365" s="109" t="n"/>
      <c r="N365" s="109" t="n"/>
      <c r="O365" s="220" t="n"/>
      <c r="P365" s="227">
        <f>IF(OR($E365="",$I365=""),"",IF(OR($J365="Tamamlandı",$J365="İptal"),"",$I365-TODAY()))</f>
        <v/>
      </c>
      <c r="Q365" s="113">
        <f>IF($E365="","",IF($D365="TANIMSIZ MÜŞTERİ","HATA",IF(OR($J365="Tamamlandı",$J365="İptal"),"KAPALI",IF(AND($C365="Görüşme",$N365=""),"SONRAKİ İŞLEM EKSİK",IF($I365="","TARİH EKSİK",IF($I365&lt;TODAY(),"GECİKMİŞ",IF($I365=TODAY(),"BUGÜN",IF($I365&lt;=TODAY()+7,"7 GÜN İÇİNDE","PLANLI"))))))))</f>
        <v/>
      </c>
      <c r="R365" s="6" t="n"/>
      <c r="S365" s="6" t="n"/>
      <c r="T365" s="3" t="n"/>
      <c r="U365" s="3">
        <f>IF($E365="","",UPPER(SUBSTITUTE(SUBSTITUTE(SUBSTITUTE(SUBSTITUTE(SUBSTITUTE(SUBSTITUTE(SUBSTITUTE(SUBSTITUTE(SUBSTITUTE(SUBSTITUTE(SUBSTITUTE(SUBSTITUTE(SUBSTITUTE(SUBSTITUTE(SUBSTITUTE(SUBSTITUTE(SUBSTITUTE(SUBSTITUTE(TRIM($E365),"'",""),"İ","I"),"ı","I"),"i","I"),"Ş","S"),"ş","S"),"Ğ","G"),"ğ","G"),"Ü","U"),"ü","U"),"Ö","O"),"ö","O"),"Ç","C"),"ç","C"),".",""),",","")," ",""),"-","")))</f>
        <v/>
      </c>
    </row>
    <row r="366">
      <c r="A366" s="6" t="n"/>
      <c r="B366" s="113">
        <f>IF($E366="","","A"&amp;TEXT(ROW()-6,"00000"))</f>
        <v/>
      </c>
      <c r="C366" s="108" t="n"/>
      <c r="D366" s="113">
        <f>IF($E366="","",IFERROR(INDEX(MUSTERILER!$B$7:$B$106,MATCH($U366,MUSTERILER!$T$7:$T$106,0)),IFERROR(INDEX(MUSTERILER!$B$7:$B$106,MATCH($E366,MUSTERILER!$B$7:$B$106,0)),IFERROR(INDEX(MUSTERILER!$B$7:$B$106,MATCH($U366&amp;"*",MUSTERILER!$T$7:$T$106,0)),"TANIMSIZ MÜŞTERİ"))))</f>
        <v/>
      </c>
      <c r="E366" s="109" t="n"/>
      <c r="F366" s="109" t="n"/>
      <c r="G366" s="108" t="n"/>
      <c r="H366" s="220" t="n"/>
      <c r="I366" s="220" t="n"/>
      <c r="J366" s="108" t="n"/>
      <c r="K366" s="108" t="n"/>
      <c r="L366" s="109" t="n"/>
      <c r="M366" s="109" t="n"/>
      <c r="N366" s="109" t="n"/>
      <c r="O366" s="220" t="n"/>
      <c r="P366" s="227">
        <f>IF(OR($E366="",$I366=""),"",IF(OR($J366="Tamamlandı",$J366="İptal"),"",$I366-TODAY()))</f>
        <v/>
      </c>
      <c r="Q366" s="113">
        <f>IF($E366="","",IF($D366="TANIMSIZ MÜŞTERİ","HATA",IF(OR($J366="Tamamlandı",$J366="İptal"),"KAPALI",IF(AND($C366="Görüşme",$N366=""),"SONRAKİ İŞLEM EKSİK",IF($I366="","TARİH EKSİK",IF($I366&lt;TODAY(),"GECİKMİŞ",IF($I366=TODAY(),"BUGÜN",IF($I366&lt;=TODAY()+7,"7 GÜN İÇİNDE","PLANLI"))))))))</f>
        <v/>
      </c>
      <c r="R366" s="6" t="n"/>
      <c r="S366" s="6" t="n"/>
      <c r="T366" s="3" t="n"/>
      <c r="U366" s="3">
        <f>IF($E366="","",UPPER(SUBSTITUTE(SUBSTITUTE(SUBSTITUTE(SUBSTITUTE(SUBSTITUTE(SUBSTITUTE(SUBSTITUTE(SUBSTITUTE(SUBSTITUTE(SUBSTITUTE(SUBSTITUTE(SUBSTITUTE(SUBSTITUTE(SUBSTITUTE(SUBSTITUTE(SUBSTITUTE(SUBSTITUTE(SUBSTITUTE(TRIM($E366),"'",""),"İ","I"),"ı","I"),"i","I"),"Ş","S"),"ş","S"),"Ğ","G"),"ğ","G"),"Ü","U"),"ü","U"),"Ö","O"),"ö","O"),"Ç","C"),"ç","C"),".",""),",","")," ",""),"-","")))</f>
        <v/>
      </c>
    </row>
    <row r="367">
      <c r="A367" s="6" t="n"/>
      <c r="B367" s="113">
        <f>IF($E367="","","A"&amp;TEXT(ROW()-6,"00000"))</f>
        <v/>
      </c>
      <c r="C367" s="108" t="n"/>
      <c r="D367" s="113">
        <f>IF($E367="","",IFERROR(INDEX(MUSTERILER!$B$7:$B$106,MATCH($U367,MUSTERILER!$T$7:$T$106,0)),IFERROR(INDEX(MUSTERILER!$B$7:$B$106,MATCH($E367,MUSTERILER!$B$7:$B$106,0)),IFERROR(INDEX(MUSTERILER!$B$7:$B$106,MATCH($U367&amp;"*",MUSTERILER!$T$7:$T$106,0)),"TANIMSIZ MÜŞTERİ"))))</f>
        <v/>
      </c>
      <c r="E367" s="109" t="n"/>
      <c r="F367" s="109" t="n"/>
      <c r="G367" s="108" t="n"/>
      <c r="H367" s="220" t="n"/>
      <c r="I367" s="220" t="n"/>
      <c r="J367" s="108" t="n"/>
      <c r="K367" s="108" t="n"/>
      <c r="L367" s="109" t="n"/>
      <c r="M367" s="109" t="n"/>
      <c r="N367" s="109" t="n"/>
      <c r="O367" s="220" t="n"/>
      <c r="P367" s="227">
        <f>IF(OR($E367="",$I367=""),"",IF(OR($J367="Tamamlandı",$J367="İptal"),"",$I367-TODAY()))</f>
        <v/>
      </c>
      <c r="Q367" s="113">
        <f>IF($E367="","",IF($D367="TANIMSIZ MÜŞTERİ","HATA",IF(OR($J367="Tamamlandı",$J367="İptal"),"KAPALI",IF(AND($C367="Görüşme",$N367=""),"SONRAKİ İŞLEM EKSİK",IF($I367="","TARİH EKSİK",IF($I367&lt;TODAY(),"GECİKMİŞ",IF($I367=TODAY(),"BUGÜN",IF($I367&lt;=TODAY()+7,"7 GÜN İÇİNDE","PLANLI"))))))))</f>
        <v/>
      </c>
      <c r="R367" s="6" t="n"/>
      <c r="S367" s="6" t="n"/>
      <c r="T367" s="3" t="n"/>
      <c r="U367" s="3">
        <f>IF($E367="","",UPPER(SUBSTITUTE(SUBSTITUTE(SUBSTITUTE(SUBSTITUTE(SUBSTITUTE(SUBSTITUTE(SUBSTITUTE(SUBSTITUTE(SUBSTITUTE(SUBSTITUTE(SUBSTITUTE(SUBSTITUTE(SUBSTITUTE(SUBSTITUTE(SUBSTITUTE(SUBSTITUTE(SUBSTITUTE(SUBSTITUTE(TRIM($E367),"'",""),"İ","I"),"ı","I"),"i","I"),"Ş","S"),"ş","S"),"Ğ","G"),"ğ","G"),"Ü","U"),"ü","U"),"Ö","O"),"ö","O"),"Ç","C"),"ç","C"),".",""),",","")," ",""),"-","")))</f>
        <v/>
      </c>
    </row>
    <row r="368">
      <c r="A368" s="6" t="n"/>
      <c r="B368" s="113">
        <f>IF($E368="","","A"&amp;TEXT(ROW()-6,"00000"))</f>
        <v/>
      </c>
      <c r="C368" s="108" t="n"/>
      <c r="D368" s="113">
        <f>IF($E368="","",IFERROR(INDEX(MUSTERILER!$B$7:$B$106,MATCH($U368,MUSTERILER!$T$7:$T$106,0)),IFERROR(INDEX(MUSTERILER!$B$7:$B$106,MATCH($E368,MUSTERILER!$B$7:$B$106,0)),IFERROR(INDEX(MUSTERILER!$B$7:$B$106,MATCH($U368&amp;"*",MUSTERILER!$T$7:$T$106,0)),"TANIMSIZ MÜŞTERİ"))))</f>
        <v/>
      </c>
      <c r="E368" s="109" t="n"/>
      <c r="F368" s="109" t="n"/>
      <c r="G368" s="108" t="n"/>
      <c r="H368" s="220" t="n"/>
      <c r="I368" s="220" t="n"/>
      <c r="J368" s="108" t="n"/>
      <c r="K368" s="108" t="n"/>
      <c r="L368" s="109" t="n"/>
      <c r="M368" s="109" t="n"/>
      <c r="N368" s="109" t="n"/>
      <c r="O368" s="220" t="n"/>
      <c r="P368" s="227">
        <f>IF(OR($E368="",$I368=""),"",IF(OR($J368="Tamamlandı",$J368="İptal"),"",$I368-TODAY()))</f>
        <v/>
      </c>
      <c r="Q368" s="113">
        <f>IF($E368="","",IF($D368="TANIMSIZ MÜŞTERİ","HATA",IF(OR($J368="Tamamlandı",$J368="İptal"),"KAPALI",IF(AND($C368="Görüşme",$N368=""),"SONRAKİ İŞLEM EKSİK",IF($I368="","TARİH EKSİK",IF($I368&lt;TODAY(),"GECİKMİŞ",IF($I368=TODAY(),"BUGÜN",IF($I368&lt;=TODAY()+7,"7 GÜN İÇİNDE","PLANLI"))))))))</f>
        <v/>
      </c>
      <c r="R368" s="6" t="n"/>
      <c r="S368" s="6" t="n"/>
      <c r="T368" s="3" t="n"/>
      <c r="U368" s="3">
        <f>IF($E368="","",UPPER(SUBSTITUTE(SUBSTITUTE(SUBSTITUTE(SUBSTITUTE(SUBSTITUTE(SUBSTITUTE(SUBSTITUTE(SUBSTITUTE(SUBSTITUTE(SUBSTITUTE(SUBSTITUTE(SUBSTITUTE(SUBSTITUTE(SUBSTITUTE(SUBSTITUTE(SUBSTITUTE(SUBSTITUTE(SUBSTITUTE(TRIM($E368),"'",""),"İ","I"),"ı","I"),"i","I"),"Ş","S"),"ş","S"),"Ğ","G"),"ğ","G"),"Ü","U"),"ü","U"),"Ö","O"),"ö","O"),"Ç","C"),"ç","C"),".",""),",","")," ",""),"-","")))</f>
        <v/>
      </c>
    </row>
    <row r="369">
      <c r="A369" s="6" t="n"/>
      <c r="B369" s="113">
        <f>IF($E369="","","A"&amp;TEXT(ROW()-6,"00000"))</f>
        <v/>
      </c>
      <c r="C369" s="108" t="n"/>
      <c r="D369" s="113">
        <f>IF($E369="","",IFERROR(INDEX(MUSTERILER!$B$7:$B$106,MATCH($U369,MUSTERILER!$T$7:$T$106,0)),IFERROR(INDEX(MUSTERILER!$B$7:$B$106,MATCH($E369,MUSTERILER!$B$7:$B$106,0)),IFERROR(INDEX(MUSTERILER!$B$7:$B$106,MATCH($U369&amp;"*",MUSTERILER!$T$7:$T$106,0)),"TANIMSIZ MÜŞTERİ"))))</f>
        <v/>
      </c>
      <c r="E369" s="109" t="n"/>
      <c r="F369" s="109" t="n"/>
      <c r="G369" s="108" t="n"/>
      <c r="H369" s="220" t="n"/>
      <c r="I369" s="220" t="n"/>
      <c r="J369" s="108" t="n"/>
      <c r="K369" s="108" t="n"/>
      <c r="L369" s="109" t="n"/>
      <c r="M369" s="109" t="n"/>
      <c r="N369" s="109" t="n"/>
      <c r="O369" s="220" t="n"/>
      <c r="P369" s="227">
        <f>IF(OR($E369="",$I369=""),"",IF(OR($J369="Tamamlandı",$J369="İptal"),"",$I369-TODAY()))</f>
        <v/>
      </c>
      <c r="Q369" s="113">
        <f>IF($E369="","",IF($D369="TANIMSIZ MÜŞTERİ","HATA",IF(OR($J369="Tamamlandı",$J369="İptal"),"KAPALI",IF(AND($C369="Görüşme",$N369=""),"SONRAKİ İŞLEM EKSİK",IF($I369="","TARİH EKSİK",IF($I369&lt;TODAY(),"GECİKMİŞ",IF($I369=TODAY(),"BUGÜN",IF($I369&lt;=TODAY()+7,"7 GÜN İÇİNDE","PLANLI"))))))))</f>
        <v/>
      </c>
      <c r="R369" s="6" t="n"/>
      <c r="S369" s="6" t="n"/>
      <c r="T369" s="3" t="n"/>
      <c r="U369" s="3">
        <f>IF($E369="","",UPPER(SUBSTITUTE(SUBSTITUTE(SUBSTITUTE(SUBSTITUTE(SUBSTITUTE(SUBSTITUTE(SUBSTITUTE(SUBSTITUTE(SUBSTITUTE(SUBSTITUTE(SUBSTITUTE(SUBSTITUTE(SUBSTITUTE(SUBSTITUTE(SUBSTITUTE(SUBSTITUTE(SUBSTITUTE(SUBSTITUTE(TRIM($E369),"'",""),"İ","I"),"ı","I"),"i","I"),"Ş","S"),"ş","S"),"Ğ","G"),"ğ","G"),"Ü","U"),"ü","U"),"Ö","O"),"ö","O"),"Ç","C"),"ç","C"),".",""),",","")," ",""),"-","")))</f>
        <v/>
      </c>
    </row>
    <row r="370">
      <c r="A370" s="6" t="n"/>
      <c r="B370" s="113">
        <f>IF($E370="","","A"&amp;TEXT(ROW()-6,"00000"))</f>
        <v/>
      </c>
      <c r="C370" s="108" t="n"/>
      <c r="D370" s="113">
        <f>IF($E370="","",IFERROR(INDEX(MUSTERILER!$B$7:$B$106,MATCH($U370,MUSTERILER!$T$7:$T$106,0)),IFERROR(INDEX(MUSTERILER!$B$7:$B$106,MATCH($E370,MUSTERILER!$B$7:$B$106,0)),IFERROR(INDEX(MUSTERILER!$B$7:$B$106,MATCH($U370&amp;"*",MUSTERILER!$T$7:$T$106,0)),"TANIMSIZ MÜŞTERİ"))))</f>
        <v/>
      </c>
      <c r="E370" s="109" t="n"/>
      <c r="F370" s="109" t="n"/>
      <c r="G370" s="108" t="n"/>
      <c r="H370" s="220" t="n"/>
      <c r="I370" s="220" t="n"/>
      <c r="J370" s="108" t="n"/>
      <c r="K370" s="108" t="n"/>
      <c r="L370" s="109" t="n"/>
      <c r="M370" s="109" t="n"/>
      <c r="N370" s="109" t="n"/>
      <c r="O370" s="220" t="n"/>
      <c r="P370" s="227">
        <f>IF(OR($E370="",$I370=""),"",IF(OR($J370="Tamamlandı",$J370="İptal"),"",$I370-TODAY()))</f>
        <v/>
      </c>
      <c r="Q370" s="113">
        <f>IF($E370="","",IF($D370="TANIMSIZ MÜŞTERİ","HATA",IF(OR($J370="Tamamlandı",$J370="İptal"),"KAPALI",IF(AND($C370="Görüşme",$N370=""),"SONRAKİ İŞLEM EKSİK",IF($I370="","TARİH EKSİK",IF($I370&lt;TODAY(),"GECİKMİŞ",IF($I370=TODAY(),"BUGÜN",IF($I370&lt;=TODAY()+7,"7 GÜN İÇİNDE","PLANLI"))))))))</f>
        <v/>
      </c>
      <c r="R370" s="6" t="n"/>
      <c r="S370" s="6" t="n"/>
      <c r="T370" s="3" t="n"/>
      <c r="U370" s="3">
        <f>IF($E370="","",UPPER(SUBSTITUTE(SUBSTITUTE(SUBSTITUTE(SUBSTITUTE(SUBSTITUTE(SUBSTITUTE(SUBSTITUTE(SUBSTITUTE(SUBSTITUTE(SUBSTITUTE(SUBSTITUTE(SUBSTITUTE(SUBSTITUTE(SUBSTITUTE(SUBSTITUTE(SUBSTITUTE(SUBSTITUTE(SUBSTITUTE(TRIM($E370),"'",""),"İ","I"),"ı","I"),"i","I"),"Ş","S"),"ş","S"),"Ğ","G"),"ğ","G"),"Ü","U"),"ü","U"),"Ö","O"),"ö","O"),"Ç","C"),"ç","C"),".",""),",","")," ",""),"-","")))</f>
        <v/>
      </c>
    </row>
    <row r="371">
      <c r="A371" s="6" t="n"/>
      <c r="B371" s="113">
        <f>IF($E371="","","A"&amp;TEXT(ROW()-6,"00000"))</f>
        <v/>
      </c>
      <c r="C371" s="108" t="n"/>
      <c r="D371" s="113">
        <f>IF($E371="","",IFERROR(INDEX(MUSTERILER!$B$7:$B$106,MATCH($U371,MUSTERILER!$T$7:$T$106,0)),IFERROR(INDEX(MUSTERILER!$B$7:$B$106,MATCH($E371,MUSTERILER!$B$7:$B$106,0)),IFERROR(INDEX(MUSTERILER!$B$7:$B$106,MATCH($U371&amp;"*",MUSTERILER!$T$7:$T$106,0)),"TANIMSIZ MÜŞTERİ"))))</f>
        <v/>
      </c>
      <c r="E371" s="109" t="n"/>
      <c r="F371" s="109" t="n"/>
      <c r="G371" s="108" t="n"/>
      <c r="H371" s="220" t="n"/>
      <c r="I371" s="220" t="n"/>
      <c r="J371" s="108" t="n"/>
      <c r="K371" s="108" t="n"/>
      <c r="L371" s="109" t="n"/>
      <c r="M371" s="109" t="n"/>
      <c r="N371" s="109" t="n"/>
      <c r="O371" s="220" t="n"/>
      <c r="P371" s="227">
        <f>IF(OR($E371="",$I371=""),"",IF(OR($J371="Tamamlandı",$J371="İptal"),"",$I371-TODAY()))</f>
        <v/>
      </c>
      <c r="Q371" s="113">
        <f>IF($E371="","",IF($D371="TANIMSIZ MÜŞTERİ","HATA",IF(OR($J371="Tamamlandı",$J371="İptal"),"KAPALI",IF(AND($C371="Görüşme",$N371=""),"SONRAKİ İŞLEM EKSİK",IF($I371="","TARİH EKSİK",IF($I371&lt;TODAY(),"GECİKMİŞ",IF($I371=TODAY(),"BUGÜN",IF($I371&lt;=TODAY()+7,"7 GÜN İÇİNDE","PLANLI"))))))))</f>
        <v/>
      </c>
      <c r="R371" s="6" t="n"/>
      <c r="S371" s="6" t="n"/>
      <c r="T371" s="3" t="n"/>
      <c r="U371" s="3">
        <f>IF($E371="","",UPPER(SUBSTITUTE(SUBSTITUTE(SUBSTITUTE(SUBSTITUTE(SUBSTITUTE(SUBSTITUTE(SUBSTITUTE(SUBSTITUTE(SUBSTITUTE(SUBSTITUTE(SUBSTITUTE(SUBSTITUTE(SUBSTITUTE(SUBSTITUTE(SUBSTITUTE(SUBSTITUTE(SUBSTITUTE(SUBSTITUTE(TRIM($E371),"'",""),"İ","I"),"ı","I"),"i","I"),"Ş","S"),"ş","S"),"Ğ","G"),"ğ","G"),"Ü","U"),"ü","U"),"Ö","O"),"ö","O"),"Ç","C"),"ç","C"),".",""),",","")," ",""),"-","")))</f>
        <v/>
      </c>
    </row>
    <row r="372">
      <c r="A372" s="6" t="n"/>
      <c r="B372" s="113">
        <f>IF($E372="","","A"&amp;TEXT(ROW()-6,"00000"))</f>
        <v/>
      </c>
      <c r="C372" s="108" t="n"/>
      <c r="D372" s="113">
        <f>IF($E372="","",IFERROR(INDEX(MUSTERILER!$B$7:$B$106,MATCH($U372,MUSTERILER!$T$7:$T$106,0)),IFERROR(INDEX(MUSTERILER!$B$7:$B$106,MATCH($E372,MUSTERILER!$B$7:$B$106,0)),IFERROR(INDEX(MUSTERILER!$B$7:$B$106,MATCH($U372&amp;"*",MUSTERILER!$T$7:$T$106,0)),"TANIMSIZ MÜŞTERİ"))))</f>
        <v/>
      </c>
      <c r="E372" s="109" t="n"/>
      <c r="F372" s="109" t="n"/>
      <c r="G372" s="108" t="n"/>
      <c r="H372" s="220" t="n"/>
      <c r="I372" s="220" t="n"/>
      <c r="J372" s="108" t="n"/>
      <c r="K372" s="108" t="n"/>
      <c r="L372" s="109" t="n"/>
      <c r="M372" s="109" t="n"/>
      <c r="N372" s="109" t="n"/>
      <c r="O372" s="220" t="n"/>
      <c r="P372" s="227">
        <f>IF(OR($E372="",$I372=""),"",IF(OR($J372="Tamamlandı",$J372="İptal"),"",$I372-TODAY()))</f>
        <v/>
      </c>
      <c r="Q372" s="113">
        <f>IF($E372="","",IF($D372="TANIMSIZ MÜŞTERİ","HATA",IF(OR($J372="Tamamlandı",$J372="İptal"),"KAPALI",IF(AND($C372="Görüşme",$N372=""),"SONRAKİ İŞLEM EKSİK",IF($I372="","TARİH EKSİK",IF($I372&lt;TODAY(),"GECİKMİŞ",IF($I372=TODAY(),"BUGÜN",IF($I372&lt;=TODAY()+7,"7 GÜN İÇİNDE","PLANLI"))))))))</f>
        <v/>
      </c>
      <c r="R372" s="6" t="n"/>
      <c r="S372" s="6" t="n"/>
      <c r="T372" s="3" t="n"/>
      <c r="U372" s="3">
        <f>IF($E372="","",UPPER(SUBSTITUTE(SUBSTITUTE(SUBSTITUTE(SUBSTITUTE(SUBSTITUTE(SUBSTITUTE(SUBSTITUTE(SUBSTITUTE(SUBSTITUTE(SUBSTITUTE(SUBSTITUTE(SUBSTITUTE(SUBSTITUTE(SUBSTITUTE(SUBSTITUTE(SUBSTITUTE(SUBSTITUTE(SUBSTITUTE(TRIM($E372),"'",""),"İ","I"),"ı","I"),"i","I"),"Ş","S"),"ş","S"),"Ğ","G"),"ğ","G"),"Ü","U"),"ü","U"),"Ö","O"),"ö","O"),"Ç","C"),"ç","C"),".",""),",","")," ",""),"-","")))</f>
        <v/>
      </c>
    </row>
    <row r="373">
      <c r="A373" s="6" t="n"/>
      <c r="B373" s="113">
        <f>IF($E373="","","A"&amp;TEXT(ROW()-6,"00000"))</f>
        <v/>
      </c>
      <c r="C373" s="108" t="n"/>
      <c r="D373" s="113">
        <f>IF($E373="","",IFERROR(INDEX(MUSTERILER!$B$7:$B$106,MATCH($U373,MUSTERILER!$T$7:$T$106,0)),IFERROR(INDEX(MUSTERILER!$B$7:$B$106,MATCH($E373,MUSTERILER!$B$7:$B$106,0)),IFERROR(INDEX(MUSTERILER!$B$7:$B$106,MATCH($U373&amp;"*",MUSTERILER!$T$7:$T$106,0)),"TANIMSIZ MÜŞTERİ"))))</f>
        <v/>
      </c>
      <c r="E373" s="109" t="n"/>
      <c r="F373" s="109" t="n"/>
      <c r="G373" s="108" t="n"/>
      <c r="H373" s="220" t="n"/>
      <c r="I373" s="220" t="n"/>
      <c r="J373" s="108" t="n"/>
      <c r="K373" s="108" t="n"/>
      <c r="L373" s="109" t="n"/>
      <c r="M373" s="109" t="n"/>
      <c r="N373" s="109" t="n"/>
      <c r="O373" s="220" t="n"/>
      <c r="P373" s="227">
        <f>IF(OR($E373="",$I373=""),"",IF(OR($J373="Tamamlandı",$J373="İptal"),"",$I373-TODAY()))</f>
        <v/>
      </c>
      <c r="Q373" s="113">
        <f>IF($E373="","",IF($D373="TANIMSIZ MÜŞTERİ","HATA",IF(OR($J373="Tamamlandı",$J373="İptal"),"KAPALI",IF(AND($C373="Görüşme",$N373=""),"SONRAKİ İŞLEM EKSİK",IF($I373="","TARİH EKSİK",IF($I373&lt;TODAY(),"GECİKMİŞ",IF($I373=TODAY(),"BUGÜN",IF($I373&lt;=TODAY()+7,"7 GÜN İÇİNDE","PLANLI"))))))))</f>
        <v/>
      </c>
      <c r="R373" s="6" t="n"/>
      <c r="S373" s="6" t="n"/>
      <c r="T373" s="3" t="n"/>
      <c r="U373" s="3">
        <f>IF($E373="","",UPPER(SUBSTITUTE(SUBSTITUTE(SUBSTITUTE(SUBSTITUTE(SUBSTITUTE(SUBSTITUTE(SUBSTITUTE(SUBSTITUTE(SUBSTITUTE(SUBSTITUTE(SUBSTITUTE(SUBSTITUTE(SUBSTITUTE(SUBSTITUTE(SUBSTITUTE(SUBSTITUTE(SUBSTITUTE(SUBSTITUTE(TRIM($E373),"'",""),"İ","I"),"ı","I"),"i","I"),"Ş","S"),"ş","S"),"Ğ","G"),"ğ","G"),"Ü","U"),"ü","U"),"Ö","O"),"ö","O"),"Ç","C"),"ç","C"),".",""),",","")," ",""),"-","")))</f>
        <v/>
      </c>
    </row>
    <row r="374">
      <c r="A374" s="6" t="n"/>
      <c r="B374" s="113">
        <f>IF($E374="","","A"&amp;TEXT(ROW()-6,"00000"))</f>
        <v/>
      </c>
      <c r="C374" s="108" t="n"/>
      <c r="D374" s="113">
        <f>IF($E374="","",IFERROR(INDEX(MUSTERILER!$B$7:$B$106,MATCH($U374,MUSTERILER!$T$7:$T$106,0)),IFERROR(INDEX(MUSTERILER!$B$7:$B$106,MATCH($E374,MUSTERILER!$B$7:$B$106,0)),IFERROR(INDEX(MUSTERILER!$B$7:$B$106,MATCH($U374&amp;"*",MUSTERILER!$T$7:$T$106,0)),"TANIMSIZ MÜŞTERİ"))))</f>
        <v/>
      </c>
      <c r="E374" s="109" t="n"/>
      <c r="F374" s="109" t="n"/>
      <c r="G374" s="108" t="n"/>
      <c r="H374" s="220" t="n"/>
      <c r="I374" s="220" t="n"/>
      <c r="J374" s="108" t="n"/>
      <c r="K374" s="108" t="n"/>
      <c r="L374" s="109" t="n"/>
      <c r="M374" s="109" t="n"/>
      <c r="N374" s="109" t="n"/>
      <c r="O374" s="220" t="n"/>
      <c r="P374" s="227">
        <f>IF(OR($E374="",$I374=""),"",IF(OR($J374="Tamamlandı",$J374="İptal"),"",$I374-TODAY()))</f>
        <v/>
      </c>
      <c r="Q374" s="113">
        <f>IF($E374="","",IF($D374="TANIMSIZ MÜŞTERİ","HATA",IF(OR($J374="Tamamlandı",$J374="İptal"),"KAPALI",IF(AND($C374="Görüşme",$N374=""),"SONRAKİ İŞLEM EKSİK",IF($I374="","TARİH EKSİK",IF($I374&lt;TODAY(),"GECİKMİŞ",IF($I374=TODAY(),"BUGÜN",IF($I374&lt;=TODAY()+7,"7 GÜN İÇİNDE","PLANLI"))))))))</f>
        <v/>
      </c>
      <c r="R374" s="6" t="n"/>
      <c r="S374" s="6" t="n"/>
      <c r="T374" s="3" t="n"/>
      <c r="U374" s="3">
        <f>IF($E374="","",UPPER(SUBSTITUTE(SUBSTITUTE(SUBSTITUTE(SUBSTITUTE(SUBSTITUTE(SUBSTITUTE(SUBSTITUTE(SUBSTITUTE(SUBSTITUTE(SUBSTITUTE(SUBSTITUTE(SUBSTITUTE(SUBSTITUTE(SUBSTITUTE(SUBSTITUTE(SUBSTITUTE(SUBSTITUTE(SUBSTITUTE(TRIM($E374),"'",""),"İ","I"),"ı","I"),"i","I"),"Ş","S"),"ş","S"),"Ğ","G"),"ğ","G"),"Ü","U"),"ü","U"),"Ö","O"),"ö","O"),"Ç","C"),"ç","C"),".",""),",","")," ",""),"-","")))</f>
        <v/>
      </c>
    </row>
    <row r="375">
      <c r="A375" s="6" t="n"/>
      <c r="B375" s="113">
        <f>IF($E375="","","A"&amp;TEXT(ROW()-6,"00000"))</f>
        <v/>
      </c>
      <c r="C375" s="108" t="n"/>
      <c r="D375" s="113">
        <f>IF($E375="","",IFERROR(INDEX(MUSTERILER!$B$7:$B$106,MATCH($U375,MUSTERILER!$T$7:$T$106,0)),IFERROR(INDEX(MUSTERILER!$B$7:$B$106,MATCH($E375,MUSTERILER!$B$7:$B$106,0)),IFERROR(INDEX(MUSTERILER!$B$7:$B$106,MATCH($U375&amp;"*",MUSTERILER!$T$7:$T$106,0)),"TANIMSIZ MÜŞTERİ"))))</f>
        <v/>
      </c>
      <c r="E375" s="109" t="n"/>
      <c r="F375" s="109" t="n"/>
      <c r="G375" s="108" t="n"/>
      <c r="H375" s="220" t="n"/>
      <c r="I375" s="220" t="n"/>
      <c r="J375" s="108" t="n"/>
      <c r="K375" s="108" t="n"/>
      <c r="L375" s="109" t="n"/>
      <c r="M375" s="109" t="n"/>
      <c r="N375" s="109" t="n"/>
      <c r="O375" s="220" t="n"/>
      <c r="P375" s="227">
        <f>IF(OR($E375="",$I375=""),"",IF(OR($J375="Tamamlandı",$J375="İptal"),"",$I375-TODAY()))</f>
        <v/>
      </c>
      <c r="Q375" s="113">
        <f>IF($E375="","",IF($D375="TANIMSIZ MÜŞTERİ","HATA",IF(OR($J375="Tamamlandı",$J375="İptal"),"KAPALI",IF(AND($C375="Görüşme",$N375=""),"SONRAKİ İŞLEM EKSİK",IF($I375="","TARİH EKSİK",IF($I375&lt;TODAY(),"GECİKMİŞ",IF($I375=TODAY(),"BUGÜN",IF($I375&lt;=TODAY()+7,"7 GÜN İÇİNDE","PLANLI"))))))))</f>
        <v/>
      </c>
      <c r="R375" s="6" t="n"/>
      <c r="S375" s="6" t="n"/>
      <c r="T375" s="3" t="n"/>
      <c r="U375" s="3">
        <f>IF($E375="","",UPPER(SUBSTITUTE(SUBSTITUTE(SUBSTITUTE(SUBSTITUTE(SUBSTITUTE(SUBSTITUTE(SUBSTITUTE(SUBSTITUTE(SUBSTITUTE(SUBSTITUTE(SUBSTITUTE(SUBSTITUTE(SUBSTITUTE(SUBSTITUTE(SUBSTITUTE(SUBSTITUTE(SUBSTITUTE(SUBSTITUTE(TRIM($E375),"'",""),"İ","I"),"ı","I"),"i","I"),"Ş","S"),"ş","S"),"Ğ","G"),"ğ","G"),"Ü","U"),"ü","U"),"Ö","O"),"ö","O"),"Ç","C"),"ç","C"),".",""),",","")," ",""),"-","")))</f>
        <v/>
      </c>
    </row>
    <row r="376">
      <c r="A376" s="6" t="n"/>
      <c r="B376" s="113">
        <f>IF($E376="","","A"&amp;TEXT(ROW()-6,"00000"))</f>
        <v/>
      </c>
      <c r="C376" s="108" t="n"/>
      <c r="D376" s="113">
        <f>IF($E376="","",IFERROR(INDEX(MUSTERILER!$B$7:$B$106,MATCH($U376,MUSTERILER!$T$7:$T$106,0)),IFERROR(INDEX(MUSTERILER!$B$7:$B$106,MATCH($E376,MUSTERILER!$B$7:$B$106,0)),IFERROR(INDEX(MUSTERILER!$B$7:$B$106,MATCH($U376&amp;"*",MUSTERILER!$T$7:$T$106,0)),"TANIMSIZ MÜŞTERİ"))))</f>
        <v/>
      </c>
      <c r="E376" s="109" t="n"/>
      <c r="F376" s="109" t="n"/>
      <c r="G376" s="108" t="n"/>
      <c r="H376" s="220" t="n"/>
      <c r="I376" s="220" t="n"/>
      <c r="J376" s="108" t="n"/>
      <c r="K376" s="108" t="n"/>
      <c r="L376" s="109" t="n"/>
      <c r="M376" s="109" t="n"/>
      <c r="N376" s="109" t="n"/>
      <c r="O376" s="220" t="n"/>
      <c r="P376" s="227">
        <f>IF(OR($E376="",$I376=""),"",IF(OR($J376="Tamamlandı",$J376="İptal"),"",$I376-TODAY()))</f>
        <v/>
      </c>
      <c r="Q376" s="113">
        <f>IF($E376="","",IF($D376="TANIMSIZ MÜŞTERİ","HATA",IF(OR($J376="Tamamlandı",$J376="İptal"),"KAPALI",IF(AND($C376="Görüşme",$N376=""),"SONRAKİ İŞLEM EKSİK",IF($I376="","TARİH EKSİK",IF($I376&lt;TODAY(),"GECİKMİŞ",IF($I376=TODAY(),"BUGÜN",IF($I376&lt;=TODAY()+7,"7 GÜN İÇİNDE","PLANLI"))))))))</f>
        <v/>
      </c>
      <c r="R376" s="6" t="n"/>
      <c r="S376" s="6" t="n"/>
      <c r="T376" s="3" t="n"/>
      <c r="U376" s="3">
        <f>IF($E376="","",UPPER(SUBSTITUTE(SUBSTITUTE(SUBSTITUTE(SUBSTITUTE(SUBSTITUTE(SUBSTITUTE(SUBSTITUTE(SUBSTITUTE(SUBSTITUTE(SUBSTITUTE(SUBSTITUTE(SUBSTITUTE(SUBSTITUTE(SUBSTITUTE(SUBSTITUTE(SUBSTITUTE(SUBSTITUTE(SUBSTITUTE(TRIM($E376),"'",""),"İ","I"),"ı","I"),"i","I"),"Ş","S"),"ş","S"),"Ğ","G"),"ğ","G"),"Ü","U"),"ü","U"),"Ö","O"),"ö","O"),"Ç","C"),"ç","C"),".",""),",","")," ",""),"-","")))</f>
        <v/>
      </c>
    </row>
    <row r="377">
      <c r="A377" s="6" t="n"/>
      <c r="B377" s="113">
        <f>IF($E377="","","A"&amp;TEXT(ROW()-6,"00000"))</f>
        <v/>
      </c>
      <c r="C377" s="108" t="n"/>
      <c r="D377" s="113">
        <f>IF($E377="","",IFERROR(INDEX(MUSTERILER!$B$7:$B$106,MATCH($U377,MUSTERILER!$T$7:$T$106,0)),IFERROR(INDEX(MUSTERILER!$B$7:$B$106,MATCH($E377,MUSTERILER!$B$7:$B$106,0)),IFERROR(INDEX(MUSTERILER!$B$7:$B$106,MATCH($U377&amp;"*",MUSTERILER!$T$7:$T$106,0)),"TANIMSIZ MÜŞTERİ"))))</f>
        <v/>
      </c>
      <c r="E377" s="109" t="n"/>
      <c r="F377" s="109" t="n"/>
      <c r="G377" s="108" t="n"/>
      <c r="H377" s="220" t="n"/>
      <c r="I377" s="220" t="n"/>
      <c r="J377" s="108" t="n"/>
      <c r="K377" s="108" t="n"/>
      <c r="L377" s="109" t="n"/>
      <c r="M377" s="109" t="n"/>
      <c r="N377" s="109" t="n"/>
      <c r="O377" s="220" t="n"/>
      <c r="P377" s="227">
        <f>IF(OR($E377="",$I377=""),"",IF(OR($J377="Tamamlandı",$J377="İptal"),"",$I377-TODAY()))</f>
        <v/>
      </c>
      <c r="Q377" s="113">
        <f>IF($E377="","",IF($D377="TANIMSIZ MÜŞTERİ","HATA",IF(OR($J377="Tamamlandı",$J377="İptal"),"KAPALI",IF(AND($C377="Görüşme",$N377=""),"SONRAKİ İŞLEM EKSİK",IF($I377="","TARİH EKSİK",IF($I377&lt;TODAY(),"GECİKMİŞ",IF($I377=TODAY(),"BUGÜN",IF($I377&lt;=TODAY()+7,"7 GÜN İÇİNDE","PLANLI"))))))))</f>
        <v/>
      </c>
      <c r="R377" s="6" t="n"/>
      <c r="S377" s="6" t="n"/>
      <c r="T377" s="3" t="n"/>
      <c r="U377" s="3">
        <f>IF($E377="","",UPPER(SUBSTITUTE(SUBSTITUTE(SUBSTITUTE(SUBSTITUTE(SUBSTITUTE(SUBSTITUTE(SUBSTITUTE(SUBSTITUTE(SUBSTITUTE(SUBSTITUTE(SUBSTITUTE(SUBSTITUTE(SUBSTITUTE(SUBSTITUTE(SUBSTITUTE(SUBSTITUTE(SUBSTITUTE(SUBSTITUTE(TRIM($E377),"'",""),"İ","I"),"ı","I"),"i","I"),"Ş","S"),"ş","S"),"Ğ","G"),"ğ","G"),"Ü","U"),"ü","U"),"Ö","O"),"ö","O"),"Ç","C"),"ç","C"),".",""),",","")," ",""),"-","")))</f>
        <v/>
      </c>
    </row>
    <row r="378">
      <c r="A378" s="6" t="n"/>
      <c r="B378" s="113">
        <f>IF($E378="","","A"&amp;TEXT(ROW()-6,"00000"))</f>
        <v/>
      </c>
      <c r="C378" s="108" t="n"/>
      <c r="D378" s="113">
        <f>IF($E378="","",IFERROR(INDEX(MUSTERILER!$B$7:$B$106,MATCH($U378,MUSTERILER!$T$7:$T$106,0)),IFERROR(INDEX(MUSTERILER!$B$7:$B$106,MATCH($E378,MUSTERILER!$B$7:$B$106,0)),IFERROR(INDEX(MUSTERILER!$B$7:$B$106,MATCH($U378&amp;"*",MUSTERILER!$T$7:$T$106,0)),"TANIMSIZ MÜŞTERİ"))))</f>
        <v/>
      </c>
      <c r="E378" s="109" t="n"/>
      <c r="F378" s="109" t="n"/>
      <c r="G378" s="108" t="n"/>
      <c r="H378" s="220" t="n"/>
      <c r="I378" s="220" t="n"/>
      <c r="J378" s="108" t="n"/>
      <c r="K378" s="108" t="n"/>
      <c r="L378" s="109" t="n"/>
      <c r="M378" s="109" t="n"/>
      <c r="N378" s="109" t="n"/>
      <c r="O378" s="220" t="n"/>
      <c r="P378" s="227">
        <f>IF(OR($E378="",$I378=""),"",IF(OR($J378="Tamamlandı",$J378="İptal"),"",$I378-TODAY()))</f>
        <v/>
      </c>
      <c r="Q378" s="113">
        <f>IF($E378="","",IF($D378="TANIMSIZ MÜŞTERİ","HATA",IF(OR($J378="Tamamlandı",$J378="İptal"),"KAPALI",IF(AND($C378="Görüşme",$N378=""),"SONRAKİ İŞLEM EKSİK",IF($I378="","TARİH EKSİK",IF($I378&lt;TODAY(),"GECİKMİŞ",IF($I378=TODAY(),"BUGÜN",IF($I378&lt;=TODAY()+7,"7 GÜN İÇİNDE","PLANLI"))))))))</f>
        <v/>
      </c>
      <c r="R378" s="6" t="n"/>
      <c r="S378" s="6" t="n"/>
      <c r="T378" s="3" t="n"/>
      <c r="U378" s="3">
        <f>IF($E378="","",UPPER(SUBSTITUTE(SUBSTITUTE(SUBSTITUTE(SUBSTITUTE(SUBSTITUTE(SUBSTITUTE(SUBSTITUTE(SUBSTITUTE(SUBSTITUTE(SUBSTITUTE(SUBSTITUTE(SUBSTITUTE(SUBSTITUTE(SUBSTITUTE(SUBSTITUTE(SUBSTITUTE(SUBSTITUTE(SUBSTITUTE(TRIM($E378),"'",""),"İ","I"),"ı","I"),"i","I"),"Ş","S"),"ş","S"),"Ğ","G"),"ğ","G"),"Ü","U"),"ü","U"),"Ö","O"),"ö","O"),"Ç","C"),"ç","C"),".",""),",","")," ",""),"-","")))</f>
        <v/>
      </c>
    </row>
    <row r="379">
      <c r="A379" s="6" t="n"/>
      <c r="B379" s="113">
        <f>IF($E379="","","A"&amp;TEXT(ROW()-6,"00000"))</f>
        <v/>
      </c>
      <c r="C379" s="108" t="n"/>
      <c r="D379" s="113">
        <f>IF($E379="","",IFERROR(INDEX(MUSTERILER!$B$7:$B$106,MATCH($U379,MUSTERILER!$T$7:$T$106,0)),IFERROR(INDEX(MUSTERILER!$B$7:$B$106,MATCH($E379,MUSTERILER!$B$7:$B$106,0)),IFERROR(INDEX(MUSTERILER!$B$7:$B$106,MATCH($U379&amp;"*",MUSTERILER!$T$7:$T$106,0)),"TANIMSIZ MÜŞTERİ"))))</f>
        <v/>
      </c>
      <c r="E379" s="109" t="n"/>
      <c r="F379" s="109" t="n"/>
      <c r="G379" s="108" t="n"/>
      <c r="H379" s="220" t="n"/>
      <c r="I379" s="220" t="n"/>
      <c r="J379" s="108" t="n"/>
      <c r="K379" s="108" t="n"/>
      <c r="L379" s="109" t="n"/>
      <c r="M379" s="109" t="n"/>
      <c r="N379" s="109" t="n"/>
      <c r="O379" s="220" t="n"/>
      <c r="P379" s="227">
        <f>IF(OR($E379="",$I379=""),"",IF(OR($J379="Tamamlandı",$J379="İptal"),"",$I379-TODAY()))</f>
        <v/>
      </c>
      <c r="Q379" s="113">
        <f>IF($E379="","",IF($D379="TANIMSIZ MÜŞTERİ","HATA",IF(OR($J379="Tamamlandı",$J379="İptal"),"KAPALI",IF(AND($C379="Görüşme",$N379=""),"SONRAKİ İŞLEM EKSİK",IF($I379="","TARİH EKSİK",IF($I379&lt;TODAY(),"GECİKMİŞ",IF($I379=TODAY(),"BUGÜN",IF($I379&lt;=TODAY()+7,"7 GÜN İÇİNDE","PLANLI"))))))))</f>
        <v/>
      </c>
      <c r="R379" s="6" t="n"/>
      <c r="S379" s="6" t="n"/>
      <c r="T379" s="3" t="n"/>
      <c r="U379" s="3">
        <f>IF($E379="","",UPPER(SUBSTITUTE(SUBSTITUTE(SUBSTITUTE(SUBSTITUTE(SUBSTITUTE(SUBSTITUTE(SUBSTITUTE(SUBSTITUTE(SUBSTITUTE(SUBSTITUTE(SUBSTITUTE(SUBSTITUTE(SUBSTITUTE(SUBSTITUTE(SUBSTITUTE(SUBSTITUTE(SUBSTITUTE(SUBSTITUTE(TRIM($E379),"'",""),"İ","I"),"ı","I"),"i","I"),"Ş","S"),"ş","S"),"Ğ","G"),"ğ","G"),"Ü","U"),"ü","U"),"Ö","O"),"ö","O"),"Ç","C"),"ç","C"),".",""),",","")," ",""),"-","")))</f>
        <v/>
      </c>
    </row>
    <row r="380">
      <c r="A380" s="6" t="n"/>
      <c r="B380" s="113">
        <f>IF($E380="","","A"&amp;TEXT(ROW()-6,"00000"))</f>
        <v/>
      </c>
      <c r="C380" s="108" t="n"/>
      <c r="D380" s="113">
        <f>IF($E380="","",IFERROR(INDEX(MUSTERILER!$B$7:$B$106,MATCH($U380,MUSTERILER!$T$7:$T$106,0)),IFERROR(INDEX(MUSTERILER!$B$7:$B$106,MATCH($E380,MUSTERILER!$B$7:$B$106,0)),IFERROR(INDEX(MUSTERILER!$B$7:$B$106,MATCH($U380&amp;"*",MUSTERILER!$T$7:$T$106,0)),"TANIMSIZ MÜŞTERİ"))))</f>
        <v/>
      </c>
      <c r="E380" s="109" t="n"/>
      <c r="F380" s="109" t="n"/>
      <c r="G380" s="108" t="n"/>
      <c r="H380" s="220" t="n"/>
      <c r="I380" s="220" t="n"/>
      <c r="J380" s="108" t="n"/>
      <c r="K380" s="108" t="n"/>
      <c r="L380" s="109" t="n"/>
      <c r="M380" s="109" t="n"/>
      <c r="N380" s="109" t="n"/>
      <c r="O380" s="220" t="n"/>
      <c r="P380" s="227">
        <f>IF(OR($E380="",$I380=""),"",IF(OR($J380="Tamamlandı",$J380="İptal"),"",$I380-TODAY()))</f>
        <v/>
      </c>
      <c r="Q380" s="113">
        <f>IF($E380="","",IF($D380="TANIMSIZ MÜŞTERİ","HATA",IF(OR($J380="Tamamlandı",$J380="İptal"),"KAPALI",IF(AND($C380="Görüşme",$N380=""),"SONRAKİ İŞLEM EKSİK",IF($I380="","TARİH EKSİK",IF($I380&lt;TODAY(),"GECİKMİŞ",IF($I380=TODAY(),"BUGÜN",IF($I380&lt;=TODAY()+7,"7 GÜN İÇİNDE","PLANLI"))))))))</f>
        <v/>
      </c>
      <c r="R380" s="6" t="n"/>
      <c r="S380" s="6" t="n"/>
      <c r="T380" s="3" t="n"/>
      <c r="U380" s="3">
        <f>IF($E380="","",UPPER(SUBSTITUTE(SUBSTITUTE(SUBSTITUTE(SUBSTITUTE(SUBSTITUTE(SUBSTITUTE(SUBSTITUTE(SUBSTITUTE(SUBSTITUTE(SUBSTITUTE(SUBSTITUTE(SUBSTITUTE(SUBSTITUTE(SUBSTITUTE(SUBSTITUTE(SUBSTITUTE(SUBSTITUTE(SUBSTITUTE(TRIM($E380),"'",""),"İ","I"),"ı","I"),"i","I"),"Ş","S"),"ş","S"),"Ğ","G"),"ğ","G"),"Ü","U"),"ü","U"),"Ö","O"),"ö","O"),"Ç","C"),"ç","C"),".",""),",","")," ",""),"-","")))</f>
        <v/>
      </c>
    </row>
    <row r="381">
      <c r="A381" s="6" t="n"/>
      <c r="B381" s="113">
        <f>IF($E381="","","A"&amp;TEXT(ROW()-6,"00000"))</f>
        <v/>
      </c>
      <c r="C381" s="108" t="n"/>
      <c r="D381" s="113">
        <f>IF($E381="","",IFERROR(INDEX(MUSTERILER!$B$7:$B$106,MATCH($U381,MUSTERILER!$T$7:$T$106,0)),IFERROR(INDEX(MUSTERILER!$B$7:$B$106,MATCH($E381,MUSTERILER!$B$7:$B$106,0)),IFERROR(INDEX(MUSTERILER!$B$7:$B$106,MATCH($U381&amp;"*",MUSTERILER!$T$7:$T$106,0)),"TANIMSIZ MÜŞTERİ"))))</f>
        <v/>
      </c>
      <c r="E381" s="109" t="n"/>
      <c r="F381" s="109" t="n"/>
      <c r="G381" s="108" t="n"/>
      <c r="H381" s="220" t="n"/>
      <c r="I381" s="220" t="n"/>
      <c r="J381" s="108" t="n"/>
      <c r="K381" s="108" t="n"/>
      <c r="L381" s="109" t="n"/>
      <c r="M381" s="109" t="n"/>
      <c r="N381" s="109" t="n"/>
      <c r="O381" s="220" t="n"/>
      <c r="P381" s="227">
        <f>IF(OR($E381="",$I381=""),"",IF(OR($J381="Tamamlandı",$J381="İptal"),"",$I381-TODAY()))</f>
        <v/>
      </c>
      <c r="Q381" s="113">
        <f>IF($E381="","",IF($D381="TANIMSIZ MÜŞTERİ","HATA",IF(OR($J381="Tamamlandı",$J381="İptal"),"KAPALI",IF(AND($C381="Görüşme",$N381=""),"SONRAKİ İŞLEM EKSİK",IF($I381="","TARİH EKSİK",IF($I381&lt;TODAY(),"GECİKMİŞ",IF($I381=TODAY(),"BUGÜN",IF($I381&lt;=TODAY()+7,"7 GÜN İÇİNDE","PLANLI"))))))))</f>
        <v/>
      </c>
      <c r="R381" s="6" t="n"/>
      <c r="S381" s="6" t="n"/>
      <c r="T381" s="3" t="n"/>
      <c r="U381" s="3">
        <f>IF($E381="","",UPPER(SUBSTITUTE(SUBSTITUTE(SUBSTITUTE(SUBSTITUTE(SUBSTITUTE(SUBSTITUTE(SUBSTITUTE(SUBSTITUTE(SUBSTITUTE(SUBSTITUTE(SUBSTITUTE(SUBSTITUTE(SUBSTITUTE(SUBSTITUTE(SUBSTITUTE(SUBSTITUTE(SUBSTITUTE(SUBSTITUTE(TRIM($E381),"'",""),"İ","I"),"ı","I"),"i","I"),"Ş","S"),"ş","S"),"Ğ","G"),"ğ","G"),"Ü","U"),"ü","U"),"Ö","O"),"ö","O"),"Ç","C"),"ç","C"),".",""),",","")," ",""),"-","")))</f>
        <v/>
      </c>
    </row>
    <row r="382">
      <c r="A382" s="6" t="n"/>
      <c r="B382" s="113">
        <f>IF($E382="","","A"&amp;TEXT(ROW()-6,"00000"))</f>
        <v/>
      </c>
      <c r="C382" s="108" t="n"/>
      <c r="D382" s="113">
        <f>IF($E382="","",IFERROR(INDEX(MUSTERILER!$B$7:$B$106,MATCH($U382,MUSTERILER!$T$7:$T$106,0)),IFERROR(INDEX(MUSTERILER!$B$7:$B$106,MATCH($E382,MUSTERILER!$B$7:$B$106,0)),IFERROR(INDEX(MUSTERILER!$B$7:$B$106,MATCH($U382&amp;"*",MUSTERILER!$T$7:$T$106,0)),"TANIMSIZ MÜŞTERİ"))))</f>
        <v/>
      </c>
      <c r="E382" s="109" t="n"/>
      <c r="F382" s="109" t="n"/>
      <c r="G382" s="108" t="n"/>
      <c r="H382" s="220" t="n"/>
      <c r="I382" s="220" t="n"/>
      <c r="J382" s="108" t="n"/>
      <c r="K382" s="108" t="n"/>
      <c r="L382" s="109" t="n"/>
      <c r="M382" s="109" t="n"/>
      <c r="N382" s="109" t="n"/>
      <c r="O382" s="220" t="n"/>
      <c r="P382" s="227">
        <f>IF(OR($E382="",$I382=""),"",IF(OR($J382="Tamamlandı",$J382="İptal"),"",$I382-TODAY()))</f>
        <v/>
      </c>
      <c r="Q382" s="113">
        <f>IF($E382="","",IF($D382="TANIMSIZ MÜŞTERİ","HATA",IF(OR($J382="Tamamlandı",$J382="İptal"),"KAPALI",IF(AND($C382="Görüşme",$N382=""),"SONRAKİ İŞLEM EKSİK",IF($I382="","TARİH EKSİK",IF($I382&lt;TODAY(),"GECİKMİŞ",IF($I382=TODAY(),"BUGÜN",IF($I382&lt;=TODAY()+7,"7 GÜN İÇİNDE","PLANLI"))))))))</f>
        <v/>
      </c>
      <c r="R382" s="6" t="n"/>
      <c r="S382" s="6" t="n"/>
      <c r="T382" s="3" t="n"/>
      <c r="U382" s="3">
        <f>IF($E382="","",UPPER(SUBSTITUTE(SUBSTITUTE(SUBSTITUTE(SUBSTITUTE(SUBSTITUTE(SUBSTITUTE(SUBSTITUTE(SUBSTITUTE(SUBSTITUTE(SUBSTITUTE(SUBSTITUTE(SUBSTITUTE(SUBSTITUTE(SUBSTITUTE(SUBSTITUTE(SUBSTITUTE(SUBSTITUTE(SUBSTITUTE(TRIM($E382),"'",""),"İ","I"),"ı","I"),"i","I"),"Ş","S"),"ş","S"),"Ğ","G"),"ğ","G"),"Ü","U"),"ü","U"),"Ö","O"),"ö","O"),"Ç","C"),"ç","C"),".",""),",","")," ",""),"-","")))</f>
        <v/>
      </c>
    </row>
    <row r="383">
      <c r="A383" s="6" t="n"/>
      <c r="B383" s="113">
        <f>IF($E383="","","A"&amp;TEXT(ROW()-6,"00000"))</f>
        <v/>
      </c>
      <c r="C383" s="108" t="n"/>
      <c r="D383" s="113">
        <f>IF($E383="","",IFERROR(INDEX(MUSTERILER!$B$7:$B$106,MATCH($U383,MUSTERILER!$T$7:$T$106,0)),IFERROR(INDEX(MUSTERILER!$B$7:$B$106,MATCH($E383,MUSTERILER!$B$7:$B$106,0)),IFERROR(INDEX(MUSTERILER!$B$7:$B$106,MATCH($U383&amp;"*",MUSTERILER!$T$7:$T$106,0)),"TANIMSIZ MÜŞTERİ"))))</f>
        <v/>
      </c>
      <c r="E383" s="109" t="n"/>
      <c r="F383" s="109" t="n"/>
      <c r="G383" s="108" t="n"/>
      <c r="H383" s="220" t="n"/>
      <c r="I383" s="220" t="n"/>
      <c r="J383" s="108" t="n"/>
      <c r="K383" s="108" t="n"/>
      <c r="L383" s="109" t="n"/>
      <c r="M383" s="109" t="n"/>
      <c r="N383" s="109" t="n"/>
      <c r="O383" s="220" t="n"/>
      <c r="P383" s="227">
        <f>IF(OR($E383="",$I383=""),"",IF(OR($J383="Tamamlandı",$J383="İptal"),"",$I383-TODAY()))</f>
        <v/>
      </c>
      <c r="Q383" s="113">
        <f>IF($E383="","",IF($D383="TANIMSIZ MÜŞTERİ","HATA",IF(OR($J383="Tamamlandı",$J383="İptal"),"KAPALI",IF(AND($C383="Görüşme",$N383=""),"SONRAKİ İŞLEM EKSİK",IF($I383="","TARİH EKSİK",IF($I383&lt;TODAY(),"GECİKMİŞ",IF($I383=TODAY(),"BUGÜN",IF($I383&lt;=TODAY()+7,"7 GÜN İÇİNDE","PLANLI"))))))))</f>
        <v/>
      </c>
      <c r="R383" s="6" t="n"/>
      <c r="S383" s="6" t="n"/>
      <c r="T383" s="3" t="n"/>
      <c r="U383" s="3">
        <f>IF($E383="","",UPPER(SUBSTITUTE(SUBSTITUTE(SUBSTITUTE(SUBSTITUTE(SUBSTITUTE(SUBSTITUTE(SUBSTITUTE(SUBSTITUTE(SUBSTITUTE(SUBSTITUTE(SUBSTITUTE(SUBSTITUTE(SUBSTITUTE(SUBSTITUTE(SUBSTITUTE(SUBSTITUTE(SUBSTITUTE(SUBSTITUTE(TRIM($E383),"'",""),"İ","I"),"ı","I"),"i","I"),"Ş","S"),"ş","S"),"Ğ","G"),"ğ","G"),"Ü","U"),"ü","U"),"Ö","O"),"ö","O"),"Ç","C"),"ç","C"),".",""),",","")," ",""),"-","")))</f>
        <v/>
      </c>
    </row>
    <row r="384">
      <c r="A384" s="6" t="n"/>
      <c r="B384" s="113">
        <f>IF($E384="","","A"&amp;TEXT(ROW()-6,"00000"))</f>
        <v/>
      </c>
      <c r="C384" s="108" t="n"/>
      <c r="D384" s="113">
        <f>IF($E384="","",IFERROR(INDEX(MUSTERILER!$B$7:$B$106,MATCH($U384,MUSTERILER!$T$7:$T$106,0)),IFERROR(INDEX(MUSTERILER!$B$7:$B$106,MATCH($E384,MUSTERILER!$B$7:$B$106,0)),IFERROR(INDEX(MUSTERILER!$B$7:$B$106,MATCH($U384&amp;"*",MUSTERILER!$T$7:$T$106,0)),"TANIMSIZ MÜŞTERİ"))))</f>
        <v/>
      </c>
      <c r="E384" s="109" t="n"/>
      <c r="F384" s="109" t="n"/>
      <c r="G384" s="108" t="n"/>
      <c r="H384" s="220" t="n"/>
      <c r="I384" s="220" t="n"/>
      <c r="J384" s="108" t="n"/>
      <c r="K384" s="108" t="n"/>
      <c r="L384" s="109" t="n"/>
      <c r="M384" s="109" t="n"/>
      <c r="N384" s="109" t="n"/>
      <c r="O384" s="220" t="n"/>
      <c r="P384" s="227">
        <f>IF(OR($E384="",$I384=""),"",IF(OR($J384="Tamamlandı",$J384="İptal"),"",$I384-TODAY()))</f>
        <v/>
      </c>
      <c r="Q384" s="113">
        <f>IF($E384="","",IF($D384="TANIMSIZ MÜŞTERİ","HATA",IF(OR($J384="Tamamlandı",$J384="İptal"),"KAPALI",IF(AND($C384="Görüşme",$N384=""),"SONRAKİ İŞLEM EKSİK",IF($I384="","TARİH EKSİK",IF($I384&lt;TODAY(),"GECİKMİŞ",IF($I384=TODAY(),"BUGÜN",IF($I384&lt;=TODAY()+7,"7 GÜN İÇİNDE","PLANLI"))))))))</f>
        <v/>
      </c>
      <c r="R384" s="6" t="n"/>
      <c r="S384" s="6" t="n"/>
      <c r="T384" s="3" t="n"/>
      <c r="U384" s="3">
        <f>IF($E384="","",UPPER(SUBSTITUTE(SUBSTITUTE(SUBSTITUTE(SUBSTITUTE(SUBSTITUTE(SUBSTITUTE(SUBSTITUTE(SUBSTITUTE(SUBSTITUTE(SUBSTITUTE(SUBSTITUTE(SUBSTITUTE(SUBSTITUTE(SUBSTITUTE(SUBSTITUTE(SUBSTITUTE(SUBSTITUTE(SUBSTITUTE(TRIM($E384),"'",""),"İ","I"),"ı","I"),"i","I"),"Ş","S"),"ş","S"),"Ğ","G"),"ğ","G"),"Ü","U"),"ü","U"),"Ö","O"),"ö","O"),"Ç","C"),"ç","C"),".",""),",","")," ",""),"-","")))</f>
        <v/>
      </c>
    </row>
    <row r="385">
      <c r="A385" s="6" t="n"/>
      <c r="B385" s="113">
        <f>IF($E385="","","A"&amp;TEXT(ROW()-6,"00000"))</f>
        <v/>
      </c>
      <c r="C385" s="108" t="n"/>
      <c r="D385" s="113">
        <f>IF($E385="","",IFERROR(INDEX(MUSTERILER!$B$7:$B$106,MATCH($U385,MUSTERILER!$T$7:$T$106,0)),IFERROR(INDEX(MUSTERILER!$B$7:$B$106,MATCH($E385,MUSTERILER!$B$7:$B$106,0)),IFERROR(INDEX(MUSTERILER!$B$7:$B$106,MATCH($U385&amp;"*",MUSTERILER!$T$7:$T$106,0)),"TANIMSIZ MÜŞTERİ"))))</f>
        <v/>
      </c>
      <c r="E385" s="109" t="n"/>
      <c r="F385" s="109" t="n"/>
      <c r="G385" s="108" t="n"/>
      <c r="H385" s="220" t="n"/>
      <c r="I385" s="220" t="n"/>
      <c r="J385" s="108" t="n"/>
      <c r="K385" s="108" t="n"/>
      <c r="L385" s="109" t="n"/>
      <c r="M385" s="109" t="n"/>
      <c r="N385" s="109" t="n"/>
      <c r="O385" s="220" t="n"/>
      <c r="P385" s="227">
        <f>IF(OR($E385="",$I385=""),"",IF(OR($J385="Tamamlandı",$J385="İptal"),"",$I385-TODAY()))</f>
        <v/>
      </c>
      <c r="Q385" s="113">
        <f>IF($E385="","",IF($D385="TANIMSIZ MÜŞTERİ","HATA",IF(OR($J385="Tamamlandı",$J385="İptal"),"KAPALI",IF(AND($C385="Görüşme",$N385=""),"SONRAKİ İŞLEM EKSİK",IF($I385="","TARİH EKSİK",IF($I385&lt;TODAY(),"GECİKMİŞ",IF($I385=TODAY(),"BUGÜN",IF($I385&lt;=TODAY()+7,"7 GÜN İÇİNDE","PLANLI"))))))))</f>
        <v/>
      </c>
      <c r="R385" s="6" t="n"/>
      <c r="S385" s="6" t="n"/>
      <c r="T385" s="3" t="n"/>
      <c r="U385" s="3">
        <f>IF($E385="","",UPPER(SUBSTITUTE(SUBSTITUTE(SUBSTITUTE(SUBSTITUTE(SUBSTITUTE(SUBSTITUTE(SUBSTITUTE(SUBSTITUTE(SUBSTITUTE(SUBSTITUTE(SUBSTITUTE(SUBSTITUTE(SUBSTITUTE(SUBSTITUTE(SUBSTITUTE(SUBSTITUTE(SUBSTITUTE(SUBSTITUTE(TRIM($E385),"'",""),"İ","I"),"ı","I"),"i","I"),"Ş","S"),"ş","S"),"Ğ","G"),"ğ","G"),"Ü","U"),"ü","U"),"Ö","O"),"ö","O"),"Ç","C"),"ç","C"),".",""),",","")," ",""),"-","")))</f>
        <v/>
      </c>
    </row>
    <row r="386">
      <c r="A386" s="6" t="n"/>
      <c r="B386" s="113">
        <f>IF($E386="","","A"&amp;TEXT(ROW()-6,"00000"))</f>
        <v/>
      </c>
      <c r="C386" s="108" t="n"/>
      <c r="D386" s="113">
        <f>IF($E386="","",IFERROR(INDEX(MUSTERILER!$B$7:$B$106,MATCH($U386,MUSTERILER!$T$7:$T$106,0)),IFERROR(INDEX(MUSTERILER!$B$7:$B$106,MATCH($E386,MUSTERILER!$B$7:$B$106,0)),IFERROR(INDEX(MUSTERILER!$B$7:$B$106,MATCH($U386&amp;"*",MUSTERILER!$T$7:$T$106,0)),"TANIMSIZ MÜŞTERİ"))))</f>
        <v/>
      </c>
      <c r="E386" s="109" t="n"/>
      <c r="F386" s="109" t="n"/>
      <c r="G386" s="108" t="n"/>
      <c r="H386" s="220" t="n"/>
      <c r="I386" s="220" t="n"/>
      <c r="J386" s="108" t="n"/>
      <c r="K386" s="108" t="n"/>
      <c r="L386" s="109" t="n"/>
      <c r="M386" s="109" t="n"/>
      <c r="N386" s="109" t="n"/>
      <c r="O386" s="220" t="n"/>
      <c r="P386" s="227">
        <f>IF(OR($E386="",$I386=""),"",IF(OR($J386="Tamamlandı",$J386="İptal"),"",$I386-TODAY()))</f>
        <v/>
      </c>
      <c r="Q386" s="113">
        <f>IF($E386="","",IF($D386="TANIMSIZ MÜŞTERİ","HATA",IF(OR($J386="Tamamlandı",$J386="İptal"),"KAPALI",IF(AND($C386="Görüşme",$N386=""),"SONRAKİ İŞLEM EKSİK",IF($I386="","TARİH EKSİK",IF($I386&lt;TODAY(),"GECİKMİŞ",IF($I386=TODAY(),"BUGÜN",IF($I386&lt;=TODAY()+7,"7 GÜN İÇİNDE","PLANLI"))))))))</f>
        <v/>
      </c>
      <c r="R386" s="6" t="n"/>
      <c r="S386" s="6" t="n"/>
      <c r="T386" s="3" t="n"/>
      <c r="U386" s="3">
        <f>IF($E386="","",UPPER(SUBSTITUTE(SUBSTITUTE(SUBSTITUTE(SUBSTITUTE(SUBSTITUTE(SUBSTITUTE(SUBSTITUTE(SUBSTITUTE(SUBSTITUTE(SUBSTITUTE(SUBSTITUTE(SUBSTITUTE(SUBSTITUTE(SUBSTITUTE(SUBSTITUTE(SUBSTITUTE(SUBSTITUTE(SUBSTITUTE(TRIM($E386),"'",""),"İ","I"),"ı","I"),"i","I"),"Ş","S"),"ş","S"),"Ğ","G"),"ğ","G"),"Ü","U"),"ü","U"),"Ö","O"),"ö","O"),"Ç","C"),"ç","C"),".",""),",","")," ",""),"-","")))</f>
        <v/>
      </c>
    </row>
    <row r="387">
      <c r="A387" s="6" t="n"/>
      <c r="B387" s="113">
        <f>IF($E387="","","A"&amp;TEXT(ROW()-6,"00000"))</f>
        <v/>
      </c>
      <c r="C387" s="108" t="n"/>
      <c r="D387" s="113">
        <f>IF($E387="","",IFERROR(INDEX(MUSTERILER!$B$7:$B$106,MATCH($U387,MUSTERILER!$T$7:$T$106,0)),IFERROR(INDEX(MUSTERILER!$B$7:$B$106,MATCH($E387,MUSTERILER!$B$7:$B$106,0)),IFERROR(INDEX(MUSTERILER!$B$7:$B$106,MATCH($U387&amp;"*",MUSTERILER!$T$7:$T$106,0)),"TANIMSIZ MÜŞTERİ"))))</f>
        <v/>
      </c>
      <c r="E387" s="109" t="n"/>
      <c r="F387" s="109" t="n"/>
      <c r="G387" s="108" t="n"/>
      <c r="H387" s="220" t="n"/>
      <c r="I387" s="220" t="n"/>
      <c r="J387" s="108" t="n"/>
      <c r="K387" s="108" t="n"/>
      <c r="L387" s="109" t="n"/>
      <c r="M387" s="109" t="n"/>
      <c r="N387" s="109" t="n"/>
      <c r="O387" s="220" t="n"/>
      <c r="P387" s="227">
        <f>IF(OR($E387="",$I387=""),"",IF(OR($J387="Tamamlandı",$J387="İptal"),"",$I387-TODAY()))</f>
        <v/>
      </c>
      <c r="Q387" s="113">
        <f>IF($E387="","",IF($D387="TANIMSIZ MÜŞTERİ","HATA",IF(OR($J387="Tamamlandı",$J387="İptal"),"KAPALI",IF(AND($C387="Görüşme",$N387=""),"SONRAKİ İŞLEM EKSİK",IF($I387="","TARİH EKSİK",IF($I387&lt;TODAY(),"GECİKMİŞ",IF($I387=TODAY(),"BUGÜN",IF($I387&lt;=TODAY()+7,"7 GÜN İÇİNDE","PLANLI"))))))))</f>
        <v/>
      </c>
      <c r="R387" s="6" t="n"/>
      <c r="S387" s="6" t="n"/>
      <c r="T387" s="3" t="n"/>
      <c r="U387" s="3">
        <f>IF($E387="","",UPPER(SUBSTITUTE(SUBSTITUTE(SUBSTITUTE(SUBSTITUTE(SUBSTITUTE(SUBSTITUTE(SUBSTITUTE(SUBSTITUTE(SUBSTITUTE(SUBSTITUTE(SUBSTITUTE(SUBSTITUTE(SUBSTITUTE(SUBSTITUTE(SUBSTITUTE(SUBSTITUTE(SUBSTITUTE(SUBSTITUTE(TRIM($E387),"'",""),"İ","I"),"ı","I"),"i","I"),"Ş","S"),"ş","S"),"Ğ","G"),"ğ","G"),"Ü","U"),"ü","U"),"Ö","O"),"ö","O"),"Ç","C"),"ç","C"),".",""),",","")," ",""),"-","")))</f>
        <v/>
      </c>
    </row>
    <row r="388">
      <c r="A388" s="6" t="n"/>
      <c r="B388" s="113">
        <f>IF($E388="","","A"&amp;TEXT(ROW()-6,"00000"))</f>
        <v/>
      </c>
      <c r="C388" s="108" t="n"/>
      <c r="D388" s="113">
        <f>IF($E388="","",IFERROR(INDEX(MUSTERILER!$B$7:$B$106,MATCH($U388,MUSTERILER!$T$7:$T$106,0)),IFERROR(INDEX(MUSTERILER!$B$7:$B$106,MATCH($E388,MUSTERILER!$B$7:$B$106,0)),IFERROR(INDEX(MUSTERILER!$B$7:$B$106,MATCH($U388&amp;"*",MUSTERILER!$T$7:$T$106,0)),"TANIMSIZ MÜŞTERİ"))))</f>
        <v/>
      </c>
      <c r="E388" s="109" t="n"/>
      <c r="F388" s="109" t="n"/>
      <c r="G388" s="108" t="n"/>
      <c r="H388" s="220" t="n"/>
      <c r="I388" s="220" t="n"/>
      <c r="J388" s="108" t="n"/>
      <c r="K388" s="108" t="n"/>
      <c r="L388" s="109" t="n"/>
      <c r="M388" s="109" t="n"/>
      <c r="N388" s="109" t="n"/>
      <c r="O388" s="220" t="n"/>
      <c r="P388" s="227">
        <f>IF(OR($E388="",$I388=""),"",IF(OR($J388="Tamamlandı",$J388="İptal"),"",$I388-TODAY()))</f>
        <v/>
      </c>
      <c r="Q388" s="113">
        <f>IF($E388="","",IF($D388="TANIMSIZ MÜŞTERİ","HATA",IF(OR($J388="Tamamlandı",$J388="İptal"),"KAPALI",IF(AND($C388="Görüşme",$N388=""),"SONRAKİ İŞLEM EKSİK",IF($I388="","TARİH EKSİK",IF($I388&lt;TODAY(),"GECİKMİŞ",IF($I388=TODAY(),"BUGÜN",IF($I388&lt;=TODAY()+7,"7 GÜN İÇİNDE","PLANLI"))))))))</f>
        <v/>
      </c>
      <c r="R388" s="6" t="n"/>
      <c r="S388" s="6" t="n"/>
      <c r="T388" s="3" t="n"/>
      <c r="U388" s="3">
        <f>IF($E388="","",UPPER(SUBSTITUTE(SUBSTITUTE(SUBSTITUTE(SUBSTITUTE(SUBSTITUTE(SUBSTITUTE(SUBSTITUTE(SUBSTITUTE(SUBSTITUTE(SUBSTITUTE(SUBSTITUTE(SUBSTITUTE(SUBSTITUTE(SUBSTITUTE(SUBSTITUTE(SUBSTITUTE(SUBSTITUTE(SUBSTITUTE(TRIM($E388),"'",""),"İ","I"),"ı","I"),"i","I"),"Ş","S"),"ş","S"),"Ğ","G"),"ğ","G"),"Ü","U"),"ü","U"),"Ö","O"),"ö","O"),"Ç","C"),"ç","C"),".",""),",","")," ",""),"-","")))</f>
        <v/>
      </c>
    </row>
    <row r="389">
      <c r="A389" s="6" t="n"/>
      <c r="B389" s="113">
        <f>IF($E389="","","A"&amp;TEXT(ROW()-6,"00000"))</f>
        <v/>
      </c>
      <c r="C389" s="108" t="n"/>
      <c r="D389" s="113">
        <f>IF($E389="","",IFERROR(INDEX(MUSTERILER!$B$7:$B$106,MATCH($U389,MUSTERILER!$T$7:$T$106,0)),IFERROR(INDEX(MUSTERILER!$B$7:$B$106,MATCH($E389,MUSTERILER!$B$7:$B$106,0)),IFERROR(INDEX(MUSTERILER!$B$7:$B$106,MATCH($U389&amp;"*",MUSTERILER!$T$7:$T$106,0)),"TANIMSIZ MÜŞTERİ"))))</f>
        <v/>
      </c>
      <c r="E389" s="109" t="n"/>
      <c r="F389" s="109" t="n"/>
      <c r="G389" s="108" t="n"/>
      <c r="H389" s="220" t="n"/>
      <c r="I389" s="220" t="n"/>
      <c r="J389" s="108" t="n"/>
      <c r="K389" s="108" t="n"/>
      <c r="L389" s="109" t="n"/>
      <c r="M389" s="109" t="n"/>
      <c r="N389" s="109" t="n"/>
      <c r="O389" s="220" t="n"/>
      <c r="P389" s="227">
        <f>IF(OR($E389="",$I389=""),"",IF(OR($J389="Tamamlandı",$J389="İptal"),"",$I389-TODAY()))</f>
        <v/>
      </c>
      <c r="Q389" s="113">
        <f>IF($E389="","",IF($D389="TANIMSIZ MÜŞTERİ","HATA",IF(OR($J389="Tamamlandı",$J389="İptal"),"KAPALI",IF(AND($C389="Görüşme",$N389=""),"SONRAKİ İŞLEM EKSİK",IF($I389="","TARİH EKSİK",IF($I389&lt;TODAY(),"GECİKMİŞ",IF($I389=TODAY(),"BUGÜN",IF($I389&lt;=TODAY()+7,"7 GÜN İÇİNDE","PLANLI"))))))))</f>
        <v/>
      </c>
      <c r="R389" s="6" t="n"/>
      <c r="S389" s="6" t="n"/>
      <c r="T389" s="3" t="n"/>
      <c r="U389" s="3">
        <f>IF($E389="","",UPPER(SUBSTITUTE(SUBSTITUTE(SUBSTITUTE(SUBSTITUTE(SUBSTITUTE(SUBSTITUTE(SUBSTITUTE(SUBSTITUTE(SUBSTITUTE(SUBSTITUTE(SUBSTITUTE(SUBSTITUTE(SUBSTITUTE(SUBSTITUTE(SUBSTITUTE(SUBSTITUTE(SUBSTITUTE(SUBSTITUTE(TRIM($E389),"'",""),"İ","I"),"ı","I"),"i","I"),"Ş","S"),"ş","S"),"Ğ","G"),"ğ","G"),"Ü","U"),"ü","U"),"Ö","O"),"ö","O"),"Ç","C"),"ç","C"),".",""),",","")," ",""),"-","")))</f>
        <v/>
      </c>
    </row>
    <row r="390">
      <c r="A390" s="6" t="n"/>
      <c r="B390" s="113">
        <f>IF($E390="","","A"&amp;TEXT(ROW()-6,"00000"))</f>
        <v/>
      </c>
      <c r="C390" s="108" t="n"/>
      <c r="D390" s="113">
        <f>IF($E390="","",IFERROR(INDEX(MUSTERILER!$B$7:$B$106,MATCH($U390,MUSTERILER!$T$7:$T$106,0)),IFERROR(INDEX(MUSTERILER!$B$7:$B$106,MATCH($E390,MUSTERILER!$B$7:$B$106,0)),IFERROR(INDEX(MUSTERILER!$B$7:$B$106,MATCH($U390&amp;"*",MUSTERILER!$T$7:$T$106,0)),"TANIMSIZ MÜŞTERİ"))))</f>
        <v/>
      </c>
      <c r="E390" s="109" t="n"/>
      <c r="F390" s="109" t="n"/>
      <c r="G390" s="108" t="n"/>
      <c r="H390" s="220" t="n"/>
      <c r="I390" s="220" t="n"/>
      <c r="J390" s="108" t="n"/>
      <c r="K390" s="108" t="n"/>
      <c r="L390" s="109" t="n"/>
      <c r="M390" s="109" t="n"/>
      <c r="N390" s="109" t="n"/>
      <c r="O390" s="220" t="n"/>
      <c r="P390" s="227">
        <f>IF(OR($E390="",$I390=""),"",IF(OR($J390="Tamamlandı",$J390="İptal"),"",$I390-TODAY()))</f>
        <v/>
      </c>
      <c r="Q390" s="113">
        <f>IF($E390="","",IF($D390="TANIMSIZ MÜŞTERİ","HATA",IF(OR($J390="Tamamlandı",$J390="İptal"),"KAPALI",IF(AND($C390="Görüşme",$N390=""),"SONRAKİ İŞLEM EKSİK",IF($I390="","TARİH EKSİK",IF($I390&lt;TODAY(),"GECİKMİŞ",IF($I390=TODAY(),"BUGÜN",IF($I390&lt;=TODAY()+7,"7 GÜN İÇİNDE","PLANLI"))))))))</f>
        <v/>
      </c>
      <c r="R390" s="6" t="n"/>
      <c r="S390" s="6" t="n"/>
      <c r="T390" s="3" t="n"/>
      <c r="U390" s="3">
        <f>IF($E390="","",UPPER(SUBSTITUTE(SUBSTITUTE(SUBSTITUTE(SUBSTITUTE(SUBSTITUTE(SUBSTITUTE(SUBSTITUTE(SUBSTITUTE(SUBSTITUTE(SUBSTITUTE(SUBSTITUTE(SUBSTITUTE(SUBSTITUTE(SUBSTITUTE(SUBSTITUTE(SUBSTITUTE(SUBSTITUTE(SUBSTITUTE(TRIM($E390),"'",""),"İ","I"),"ı","I"),"i","I"),"Ş","S"),"ş","S"),"Ğ","G"),"ğ","G"),"Ü","U"),"ü","U"),"Ö","O"),"ö","O"),"Ç","C"),"ç","C"),".",""),",","")," ",""),"-","")))</f>
        <v/>
      </c>
    </row>
    <row r="391">
      <c r="A391" s="6" t="n"/>
      <c r="B391" s="113">
        <f>IF($E391="","","A"&amp;TEXT(ROW()-6,"00000"))</f>
        <v/>
      </c>
      <c r="C391" s="108" t="n"/>
      <c r="D391" s="113">
        <f>IF($E391="","",IFERROR(INDEX(MUSTERILER!$B$7:$B$106,MATCH($U391,MUSTERILER!$T$7:$T$106,0)),IFERROR(INDEX(MUSTERILER!$B$7:$B$106,MATCH($E391,MUSTERILER!$B$7:$B$106,0)),IFERROR(INDEX(MUSTERILER!$B$7:$B$106,MATCH($U391&amp;"*",MUSTERILER!$T$7:$T$106,0)),"TANIMSIZ MÜŞTERİ"))))</f>
        <v/>
      </c>
      <c r="E391" s="109" t="n"/>
      <c r="F391" s="109" t="n"/>
      <c r="G391" s="108" t="n"/>
      <c r="H391" s="220" t="n"/>
      <c r="I391" s="220" t="n"/>
      <c r="J391" s="108" t="n"/>
      <c r="K391" s="108" t="n"/>
      <c r="L391" s="109" t="n"/>
      <c r="M391" s="109" t="n"/>
      <c r="N391" s="109" t="n"/>
      <c r="O391" s="220" t="n"/>
      <c r="P391" s="227">
        <f>IF(OR($E391="",$I391=""),"",IF(OR($J391="Tamamlandı",$J391="İptal"),"",$I391-TODAY()))</f>
        <v/>
      </c>
      <c r="Q391" s="113">
        <f>IF($E391="","",IF($D391="TANIMSIZ MÜŞTERİ","HATA",IF(OR($J391="Tamamlandı",$J391="İptal"),"KAPALI",IF(AND($C391="Görüşme",$N391=""),"SONRAKİ İŞLEM EKSİK",IF($I391="","TARİH EKSİK",IF($I391&lt;TODAY(),"GECİKMİŞ",IF($I391=TODAY(),"BUGÜN",IF($I391&lt;=TODAY()+7,"7 GÜN İÇİNDE","PLANLI"))))))))</f>
        <v/>
      </c>
      <c r="R391" s="6" t="n"/>
      <c r="S391" s="6" t="n"/>
      <c r="T391" s="3" t="n"/>
      <c r="U391" s="3">
        <f>IF($E391="","",UPPER(SUBSTITUTE(SUBSTITUTE(SUBSTITUTE(SUBSTITUTE(SUBSTITUTE(SUBSTITUTE(SUBSTITUTE(SUBSTITUTE(SUBSTITUTE(SUBSTITUTE(SUBSTITUTE(SUBSTITUTE(SUBSTITUTE(SUBSTITUTE(SUBSTITUTE(SUBSTITUTE(SUBSTITUTE(SUBSTITUTE(TRIM($E391),"'",""),"İ","I"),"ı","I"),"i","I"),"Ş","S"),"ş","S"),"Ğ","G"),"ğ","G"),"Ü","U"),"ü","U"),"Ö","O"),"ö","O"),"Ç","C"),"ç","C"),".",""),",","")," ",""),"-","")))</f>
        <v/>
      </c>
    </row>
    <row r="392">
      <c r="A392" s="6" t="n"/>
      <c r="B392" s="113">
        <f>IF($E392="","","A"&amp;TEXT(ROW()-6,"00000"))</f>
        <v/>
      </c>
      <c r="C392" s="108" t="n"/>
      <c r="D392" s="113">
        <f>IF($E392="","",IFERROR(INDEX(MUSTERILER!$B$7:$B$106,MATCH($U392,MUSTERILER!$T$7:$T$106,0)),IFERROR(INDEX(MUSTERILER!$B$7:$B$106,MATCH($E392,MUSTERILER!$B$7:$B$106,0)),IFERROR(INDEX(MUSTERILER!$B$7:$B$106,MATCH($U392&amp;"*",MUSTERILER!$T$7:$T$106,0)),"TANIMSIZ MÜŞTERİ"))))</f>
        <v/>
      </c>
      <c r="E392" s="109" t="n"/>
      <c r="F392" s="109" t="n"/>
      <c r="G392" s="108" t="n"/>
      <c r="H392" s="220" t="n"/>
      <c r="I392" s="220" t="n"/>
      <c r="J392" s="108" t="n"/>
      <c r="K392" s="108" t="n"/>
      <c r="L392" s="109" t="n"/>
      <c r="M392" s="109" t="n"/>
      <c r="N392" s="109" t="n"/>
      <c r="O392" s="220" t="n"/>
      <c r="P392" s="227">
        <f>IF(OR($E392="",$I392=""),"",IF(OR($J392="Tamamlandı",$J392="İptal"),"",$I392-TODAY()))</f>
        <v/>
      </c>
      <c r="Q392" s="113">
        <f>IF($E392="","",IF($D392="TANIMSIZ MÜŞTERİ","HATA",IF(OR($J392="Tamamlandı",$J392="İptal"),"KAPALI",IF(AND($C392="Görüşme",$N392=""),"SONRAKİ İŞLEM EKSİK",IF($I392="","TARİH EKSİK",IF($I392&lt;TODAY(),"GECİKMİŞ",IF($I392=TODAY(),"BUGÜN",IF($I392&lt;=TODAY()+7,"7 GÜN İÇİNDE","PLANLI"))))))))</f>
        <v/>
      </c>
      <c r="R392" s="6" t="n"/>
      <c r="S392" s="6" t="n"/>
      <c r="T392" s="3" t="n"/>
      <c r="U392" s="3">
        <f>IF($E392="","",UPPER(SUBSTITUTE(SUBSTITUTE(SUBSTITUTE(SUBSTITUTE(SUBSTITUTE(SUBSTITUTE(SUBSTITUTE(SUBSTITUTE(SUBSTITUTE(SUBSTITUTE(SUBSTITUTE(SUBSTITUTE(SUBSTITUTE(SUBSTITUTE(SUBSTITUTE(SUBSTITUTE(SUBSTITUTE(SUBSTITUTE(TRIM($E392),"'",""),"İ","I"),"ı","I"),"i","I"),"Ş","S"),"ş","S"),"Ğ","G"),"ğ","G"),"Ü","U"),"ü","U"),"Ö","O"),"ö","O"),"Ç","C"),"ç","C"),".",""),",","")," ",""),"-","")))</f>
        <v/>
      </c>
    </row>
    <row r="393">
      <c r="A393" s="6" t="n"/>
      <c r="B393" s="113">
        <f>IF($E393="","","A"&amp;TEXT(ROW()-6,"00000"))</f>
        <v/>
      </c>
      <c r="C393" s="108" t="n"/>
      <c r="D393" s="113">
        <f>IF($E393="","",IFERROR(INDEX(MUSTERILER!$B$7:$B$106,MATCH($U393,MUSTERILER!$T$7:$T$106,0)),IFERROR(INDEX(MUSTERILER!$B$7:$B$106,MATCH($E393,MUSTERILER!$B$7:$B$106,0)),IFERROR(INDEX(MUSTERILER!$B$7:$B$106,MATCH($U393&amp;"*",MUSTERILER!$T$7:$T$106,0)),"TANIMSIZ MÜŞTERİ"))))</f>
        <v/>
      </c>
      <c r="E393" s="109" t="n"/>
      <c r="F393" s="109" t="n"/>
      <c r="G393" s="108" t="n"/>
      <c r="H393" s="220" t="n"/>
      <c r="I393" s="220" t="n"/>
      <c r="J393" s="108" t="n"/>
      <c r="K393" s="108" t="n"/>
      <c r="L393" s="109" t="n"/>
      <c r="M393" s="109" t="n"/>
      <c r="N393" s="109" t="n"/>
      <c r="O393" s="220" t="n"/>
      <c r="P393" s="227">
        <f>IF(OR($E393="",$I393=""),"",IF(OR($J393="Tamamlandı",$J393="İptal"),"",$I393-TODAY()))</f>
        <v/>
      </c>
      <c r="Q393" s="113">
        <f>IF($E393="","",IF($D393="TANIMSIZ MÜŞTERİ","HATA",IF(OR($J393="Tamamlandı",$J393="İptal"),"KAPALI",IF(AND($C393="Görüşme",$N393=""),"SONRAKİ İŞLEM EKSİK",IF($I393="","TARİH EKSİK",IF($I393&lt;TODAY(),"GECİKMİŞ",IF($I393=TODAY(),"BUGÜN",IF($I393&lt;=TODAY()+7,"7 GÜN İÇİNDE","PLANLI"))))))))</f>
        <v/>
      </c>
      <c r="R393" s="6" t="n"/>
      <c r="S393" s="6" t="n"/>
      <c r="T393" s="3" t="n"/>
      <c r="U393" s="3">
        <f>IF($E393="","",UPPER(SUBSTITUTE(SUBSTITUTE(SUBSTITUTE(SUBSTITUTE(SUBSTITUTE(SUBSTITUTE(SUBSTITUTE(SUBSTITUTE(SUBSTITUTE(SUBSTITUTE(SUBSTITUTE(SUBSTITUTE(SUBSTITUTE(SUBSTITUTE(SUBSTITUTE(SUBSTITUTE(SUBSTITUTE(SUBSTITUTE(TRIM($E393),"'",""),"İ","I"),"ı","I"),"i","I"),"Ş","S"),"ş","S"),"Ğ","G"),"ğ","G"),"Ü","U"),"ü","U"),"Ö","O"),"ö","O"),"Ç","C"),"ç","C"),".",""),",","")," ",""),"-","")))</f>
        <v/>
      </c>
    </row>
    <row r="394">
      <c r="A394" s="6" t="n"/>
      <c r="B394" s="113">
        <f>IF($E394="","","A"&amp;TEXT(ROW()-6,"00000"))</f>
        <v/>
      </c>
      <c r="C394" s="108" t="n"/>
      <c r="D394" s="113">
        <f>IF($E394="","",IFERROR(INDEX(MUSTERILER!$B$7:$B$106,MATCH($U394,MUSTERILER!$T$7:$T$106,0)),IFERROR(INDEX(MUSTERILER!$B$7:$B$106,MATCH($E394,MUSTERILER!$B$7:$B$106,0)),IFERROR(INDEX(MUSTERILER!$B$7:$B$106,MATCH($U394&amp;"*",MUSTERILER!$T$7:$T$106,0)),"TANIMSIZ MÜŞTERİ"))))</f>
        <v/>
      </c>
      <c r="E394" s="109" t="n"/>
      <c r="F394" s="109" t="n"/>
      <c r="G394" s="108" t="n"/>
      <c r="H394" s="220" t="n"/>
      <c r="I394" s="220" t="n"/>
      <c r="J394" s="108" t="n"/>
      <c r="K394" s="108" t="n"/>
      <c r="L394" s="109" t="n"/>
      <c r="M394" s="109" t="n"/>
      <c r="N394" s="109" t="n"/>
      <c r="O394" s="220" t="n"/>
      <c r="P394" s="227">
        <f>IF(OR($E394="",$I394=""),"",IF(OR($J394="Tamamlandı",$J394="İptal"),"",$I394-TODAY()))</f>
        <v/>
      </c>
      <c r="Q394" s="113">
        <f>IF($E394="","",IF($D394="TANIMSIZ MÜŞTERİ","HATA",IF(OR($J394="Tamamlandı",$J394="İptal"),"KAPALI",IF(AND($C394="Görüşme",$N394=""),"SONRAKİ İŞLEM EKSİK",IF($I394="","TARİH EKSİK",IF($I394&lt;TODAY(),"GECİKMİŞ",IF($I394=TODAY(),"BUGÜN",IF($I394&lt;=TODAY()+7,"7 GÜN İÇİNDE","PLANLI"))))))))</f>
        <v/>
      </c>
      <c r="R394" s="6" t="n"/>
      <c r="S394" s="6" t="n"/>
      <c r="T394" s="3" t="n"/>
      <c r="U394" s="3">
        <f>IF($E394="","",UPPER(SUBSTITUTE(SUBSTITUTE(SUBSTITUTE(SUBSTITUTE(SUBSTITUTE(SUBSTITUTE(SUBSTITUTE(SUBSTITUTE(SUBSTITUTE(SUBSTITUTE(SUBSTITUTE(SUBSTITUTE(SUBSTITUTE(SUBSTITUTE(SUBSTITUTE(SUBSTITUTE(SUBSTITUTE(SUBSTITUTE(TRIM($E394),"'",""),"İ","I"),"ı","I"),"i","I"),"Ş","S"),"ş","S"),"Ğ","G"),"ğ","G"),"Ü","U"),"ü","U"),"Ö","O"),"ö","O"),"Ç","C"),"ç","C"),".",""),",","")," ",""),"-","")))</f>
        <v/>
      </c>
    </row>
    <row r="395">
      <c r="A395" s="6" t="n"/>
      <c r="B395" s="113">
        <f>IF($E395="","","A"&amp;TEXT(ROW()-6,"00000"))</f>
        <v/>
      </c>
      <c r="C395" s="108" t="n"/>
      <c r="D395" s="113">
        <f>IF($E395="","",IFERROR(INDEX(MUSTERILER!$B$7:$B$106,MATCH($U395,MUSTERILER!$T$7:$T$106,0)),IFERROR(INDEX(MUSTERILER!$B$7:$B$106,MATCH($E395,MUSTERILER!$B$7:$B$106,0)),IFERROR(INDEX(MUSTERILER!$B$7:$B$106,MATCH($U395&amp;"*",MUSTERILER!$T$7:$T$106,0)),"TANIMSIZ MÜŞTERİ"))))</f>
        <v/>
      </c>
      <c r="E395" s="109" t="n"/>
      <c r="F395" s="109" t="n"/>
      <c r="G395" s="108" t="n"/>
      <c r="H395" s="220" t="n"/>
      <c r="I395" s="220" t="n"/>
      <c r="J395" s="108" t="n"/>
      <c r="K395" s="108" t="n"/>
      <c r="L395" s="109" t="n"/>
      <c r="M395" s="109" t="n"/>
      <c r="N395" s="109" t="n"/>
      <c r="O395" s="220" t="n"/>
      <c r="P395" s="227">
        <f>IF(OR($E395="",$I395=""),"",IF(OR($J395="Tamamlandı",$J395="İptal"),"",$I395-TODAY()))</f>
        <v/>
      </c>
      <c r="Q395" s="113">
        <f>IF($E395="","",IF($D395="TANIMSIZ MÜŞTERİ","HATA",IF(OR($J395="Tamamlandı",$J395="İptal"),"KAPALI",IF(AND($C395="Görüşme",$N395=""),"SONRAKİ İŞLEM EKSİK",IF($I395="","TARİH EKSİK",IF($I395&lt;TODAY(),"GECİKMİŞ",IF($I395=TODAY(),"BUGÜN",IF($I395&lt;=TODAY()+7,"7 GÜN İÇİNDE","PLANLI"))))))))</f>
        <v/>
      </c>
      <c r="R395" s="6" t="n"/>
      <c r="S395" s="6" t="n"/>
      <c r="T395" s="3" t="n"/>
      <c r="U395" s="3">
        <f>IF($E395="","",UPPER(SUBSTITUTE(SUBSTITUTE(SUBSTITUTE(SUBSTITUTE(SUBSTITUTE(SUBSTITUTE(SUBSTITUTE(SUBSTITUTE(SUBSTITUTE(SUBSTITUTE(SUBSTITUTE(SUBSTITUTE(SUBSTITUTE(SUBSTITUTE(SUBSTITUTE(SUBSTITUTE(SUBSTITUTE(SUBSTITUTE(TRIM($E395),"'",""),"İ","I"),"ı","I"),"i","I"),"Ş","S"),"ş","S"),"Ğ","G"),"ğ","G"),"Ü","U"),"ü","U"),"Ö","O"),"ö","O"),"Ç","C"),"ç","C"),".",""),",","")," ",""),"-","")))</f>
        <v/>
      </c>
    </row>
    <row r="396">
      <c r="A396" s="6" t="n"/>
      <c r="B396" s="113">
        <f>IF($E396="","","A"&amp;TEXT(ROW()-6,"00000"))</f>
        <v/>
      </c>
      <c r="C396" s="108" t="n"/>
      <c r="D396" s="113">
        <f>IF($E396="","",IFERROR(INDEX(MUSTERILER!$B$7:$B$106,MATCH($U396,MUSTERILER!$T$7:$T$106,0)),IFERROR(INDEX(MUSTERILER!$B$7:$B$106,MATCH($E396,MUSTERILER!$B$7:$B$106,0)),IFERROR(INDEX(MUSTERILER!$B$7:$B$106,MATCH($U396&amp;"*",MUSTERILER!$T$7:$T$106,0)),"TANIMSIZ MÜŞTERİ"))))</f>
        <v/>
      </c>
      <c r="E396" s="109" t="n"/>
      <c r="F396" s="109" t="n"/>
      <c r="G396" s="108" t="n"/>
      <c r="H396" s="220" t="n"/>
      <c r="I396" s="220" t="n"/>
      <c r="J396" s="108" t="n"/>
      <c r="K396" s="108" t="n"/>
      <c r="L396" s="109" t="n"/>
      <c r="M396" s="109" t="n"/>
      <c r="N396" s="109" t="n"/>
      <c r="O396" s="220" t="n"/>
      <c r="P396" s="227">
        <f>IF(OR($E396="",$I396=""),"",IF(OR($J396="Tamamlandı",$J396="İptal"),"",$I396-TODAY()))</f>
        <v/>
      </c>
      <c r="Q396" s="113">
        <f>IF($E396="","",IF($D396="TANIMSIZ MÜŞTERİ","HATA",IF(OR($J396="Tamamlandı",$J396="İptal"),"KAPALI",IF(AND($C396="Görüşme",$N396=""),"SONRAKİ İŞLEM EKSİK",IF($I396="","TARİH EKSİK",IF($I396&lt;TODAY(),"GECİKMİŞ",IF($I396=TODAY(),"BUGÜN",IF($I396&lt;=TODAY()+7,"7 GÜN İÇİNDE","PLANLI"))))))))</f>
        <v/>
      </c>
      <c r="R396" s="6" t="n"/>
      <c r="S396" s="6" t="n"/>
      <c r="T396" s="3" t="n"/>
      <c r="U396" s="3">
        <f>IF($E396="","",UPPER(SUBSTITUTE(SUBSTITUTE(SUBSTITUTE(SUBSTITUTE(SUBSTITUTE(SUBSTITUTE(SUBSTITUTE(SUBSTITUTE(SUBSTITUTE(SUBSTITUTE(SUBSTITUTE(SUBSTITUTE(SUBSTITUTE(SUBSTITUTE(SUBSTITUTE(SUBSTITUTE(SUBSTITUTE(SUBSTITUTE(TRIM($E396),"'",""),"İ","I"),"ı","I"),"i","I"),"Ş","S"),"ş","S"),"Ğ","G"),"ğ","G"),"Ü","U"),"ü","U"),"Ö","O"),"ö","O"),"Ç","C"),"ç","C"),".",""),",","")," ",""),"-","")))</f>
        <v/>
      </c>
    </row>
    <row r="397">
      <c r="A397" s="6" t="n"/>
      <c r="B397" s="113">
        <f>IF($E397="","","A"&amp;TEXT(ROW()-6,"00000"))</f>
        <v/>
      </c>
      <c r="C397" s="108" t="n"/>
      <c r="D397" s="113">
        <f>IF($E397="","",IFERROR(INDEX(MUSTERILER!$B$7:$B$106,MATCH($U397,MUSTERILER!$T$7:$T$106,0)),IFERROR(INDEX(MUSTERILER!$B$7:$B$106,MATCH($E397,MUSTERILER!$B$7:$B$106,0)),IFERROR(INDEX(MUSTERILER!$B$7:$B$106,MATCH($U397&amp;"*",MUSTERILER!$T$7:$T$106,0)),"TANIMSIZ MÜŞTERİ"))))</f>
        <v/>
      </c>
      <c r="E397" s="109" t="n"/>
      <c r="F397" s="109" t="n"/>
      <c r="G397" s="108" t="n"/>
      <c r="H397" s="220" t="n"/>
      <c r="I397" s="220" t="n"/>
      <c r="J397" s="108" t="n"/>
      <c r="K397" s="108" t="n"/>
      <c r="L397" s="109" t="n"/>
      <c r="M397" s="109" t="n"/>
      <c r="N397" s="109" t="n"/>
      <c r="O397" s="220" t="n"/>
      <c r="P397" s="227">
        <f>IF(OR($E397="",$I397=""),"",IF(OR($J397="Tamamlandı",$J397="İptal"),"",$I397-TODAY()))</f>
        <v/>
      </c>
      <c r="Q397" s="113">
        <f>IF($E397="","",IF($D397="TANIMSIZ MÜŞTERİ","HATA",IF(OR($J397="Tamamlandı",$J397="İptal"),"KAPALI",IF(AND($C397="Görüşme",$N397=""),"SONRAKİ İŞLEM EKSİK",IF($I397="","TARİH EKSİK",IF($I397&lt;TODAY(),"GECİKMİŞ",IF($I397=TODAY(),"BUGÜN",IF($I397&lt;=TODAY()+7,"7 GÜN İÇİNDE","PLANLI"))))))))</f>
        <v/>
      </c>
      <c r="R397" s="6" t="n"/>
      <c r="S397" s="6" t="n"/>
      <c r="T397" s="3" t="n"/>
      <c r="U397" s="3">
        <f>IF($E397="","",UPPER(SUBSTITUTE(SUBSTITUTE(SUBSTITUTE(SUBSTITUTE(SUBSTITUTE(SUBSTITUTE(SUBSTITUTE(SUBSTITUTE(SUBSTITUTE(SUBSTITUTE(SUBSTITUTE(SUBSTITUTE(SUBSTITUTE(SUBSTITUTE(SUBSTITUTE(SUBSTITUTE(SUBSTITUTE(SUBSTITUTE(TRIM($E397),"'",""),"İ","I"),"ı","I"),"i","I"),"Ş","S"),"ş","S"),"Ğ","G"),"ğ","G"),"Ü","U"),"ü","U"),"Ö","O"),"ö","O"),"Ç","C"),"ç","C"),".",""),",","")," ",""),"-","")))</f>
        <v/>
      </c>
    </row>
    <row r="398">
      <c r="A398" s="6" t="n"/>
      <c r="B398" s="113">
        <f>IF($E398="","","A"&amp;TEXT(ROW()-6,"00000"))</f>
        <v/>
      </c>
      <c r="C398" s="108" t="n"/>
      <c r="D398" s="113">
        <f>IF($E398="","",IFERROR(INDEX(MUSTERILER!$B$7:$B$106,MATCH($U398,MUSTERILER!$T$7:$T$106,0)),IFERROR(INDEX(MUSTERILER!$B$7:$B$106,MATCH($E398,MUSTERILER!$B$7:$B$106,0)),IFERROR(INDEX(MUSTERILER!$B$7:$B$106,MATCH($U398&amp;"*",MUSTERILER!$T$7:$T$106,0)),"TANIMSIZ MÜŞTERİ"))))</f>
        <v/>
      </c>
      <c r="E398" s="109" t="n"/>
      <c r="F398" s="109" t="n"/>
      <c r="G398" s="108" t="n"/>
      <c r="H398" s="220" t="n"/>
      <c r="I398" s="220" t="n"/>
      <c r="J398" s="108" t="n"/>
      <c r="K398" s="108" t="n"/>
      <c r="L398" s="109" t="n"/>
      <c r="M398" s="109" t="n"/>
      <c r="N398" s="109" t="n"/>
      <c r="O398" s="220" t="n"/>
      <c r="P398" s="227">
        <f>IF(OR($E398="",$I398=""),"",IF(OR($J398="Tamamlandı",$J398="İptal"),"",$I398-TODAY()))</f>
        <v/>
      </c>
      <c r="Q398" s="113">
        <f>IF($E398="","",IF($D398="TANIMSIZ MÜŞTERİ","HATA",IF(OR($J398="Tamamlandı",$J398="İptal"),"KAPALI",IF(AND($C398="Görüşme",$N398=""),"SONRAKİ İŞLEM EKSİK",IF($I398="","TARİH EKSİK",IF($I398&lt;TODAY(),"GECİKMİŞ",IF($I398=TODAY(),"BUGÜN",IF($I398&lt;=TODAY()+7,"7 GÜN İÇİNDE","PLANLI"))))))))</f>
        <v/>
      </c>
      <c r="R398" s="6" t="n"/>
      <c r="S398" s="6" t="n"/>
      <c r="T398" s="3" t="n"/>
      <c r="U398" s="3">
        <f>IF($E398="","",UPPER(SUBSTITUTE(SUBSTITUTE(SUBSTITUTE(SUBSTITUTE(SUBSTITUTE(SUBSTITUTE(SUBSTITUTE(SUBSTITUTE(SUBSTITUTE(SUBSTITUTE(SUBSTITUTE(SUBSTITUTE(SUBSTITUTE(SUBSTITUTE(SUBSTITUTE(SUBSTITUTE(SUBSTITUTE(SUBSTITUTE(TRIM($E398),"'",""),"İ","I"),"ı","I"),"i","I"),"Ş","S"),"ş","S"),"Ğ","G"),"ğ","G"),"Ü","U"),"ü","U"),"Ö","O"),"ö","O"),"Ç","C"),"ç","C"),".",""),",","")," ",""),"-","")))</f>
        <v/>
      </c>
    </row>
    <row r="399">
      <c r="A399" s="6" t="n"/>
      <c r="B399" s="113">
        <f>IF($E399="","","A"&amp;TEXT(ROW()-6,"00000"))</f>
        <v/>
      </c>
      <c r="C399" s="108" t="n"/>
      <c r="D399" s="113">
        <f>IF($E399="","",IFERROR(INDEX(MUSTERILER!$B$7:$B$106,MATCH($U399,MUSTERILER!$T$7:$T$106,0)),IFERROR(INDEX(MUSTERILER!$B$7:$B$106,MATCH($E399,MUSTERILER!$B$7:$B$106,0)),IFERROR(INDEX(MUSTERILER!$B$7:$B$106,MATCH($U399&amp;"*",MUSTERILER!$T$7:$T$106,0)),"TANIMSIZ MÜŞTERİ"))))</f>
        <v/>
      </c>
      <c r="E399" s="109" t="n"/>
      <c r="F399" s="109" t="n"/>
      <c r="G399" s="108" t="n"/>
      <c r="H399" s="220" t="n"/>
      <c r="I399" s="220" t="n"/>
      <c r="J399" s="108" t="n"/>
      <c r="K399" s="108" t="n"/>
      <c r="L399" s="109" t="n"/>
      <c r="M399" s="109" t="n"/>
      <c r="N399" s="109" t="n"/>
      <c r="O399" s="220" t="n"/>
      <c r="P399" s="227">
        <f>IF(OR($E399="",$I399=""),"",IF(OR($J399="Tamamlandı",$J399="İptal"),"",$I399-TODAY()))</f>
        <v/>
      </c>
      <c r="Q399" s="113">
        <f>IF($E399="","",IF($D399="TANIMSIZ MÜŞTERİ","HATA",IF(OR($J399="Tamamlandı",$J399="İptal"),"KAPALI",IF(AND($C399="Görüşme",$N399=""),"SONRAKİ İŞLEM EKSİK",IF($I399="","TARİH EKSİK",IF($I399&lt;TODAY(),"GECİKMİŞ",IF($I399=TODAY(),"BUGÜN",IF($I399&lt;=TODAY()+7,"7 GÜN İÇİNDE","PLANLI"))))))))</f>
        <v/>
      </c>
      <c r="R399" s="6" t="n"/>
      <c r="S399" s="6" t="n"/>
      <c r="T399" s="3" t="n"/>
      <c r="U399" s="3">
        <f>IF($E399="","",UPPER(SUBSTITUTE(SUBSTITUTE(SUBSTITUTE(SUBSTITUTE(SUBSTITUTE(SUBSTITUTE(SUBSTITUTE(SUBSTITUTE(SUBSTITUTE(SUBSTITUTE(SUBSTITUTE(SUBSTITUTE(SUBSTITUTE(SUBSTITUTE(SUBSTITUTE(SUBSTITUTE(SUBSTITUTE(SUBSTITUTE(TRIM($E399),"'",""),"İ","I"),"ı","I"),"i","I"),"Ş","S"),"ş","S"),"Ğ","G"),"ğ","G"),"Ü","U"),"ü","U"),"Ö","O"),"ö","O"),"Ç","C"),"ç","C"),".",""),",","")," ",""),"-","")))</f>
        <v/>
      </c>
    </row>
    <row r="400">
      <c r="A400" s="6" t="n"/>
      <c r="B400" s="113">
        <f>IF($E400="","","A"&amp;TEXT(ROW()-6,"00000"))</f>
        <v/>
      </c>
      <c r="C400" s="108" t="n"/>
      <c r="D400" s="113">
        <f>IF($E400="","",IFERROR(INDEX(MUSTERILER!$B$7:$B$106,MATCH($U400,MUSTERILER!$T$7:$T$106,0)),IFERROR(INDEX(MUSTERILER!$B$7:$B$106,MATCH($E400,MUSTERILER!$B$7:$B$106,0)),IFERROR(INDEX(MUSTERILER!$B$7:$B$106,MATCH($U400&amp;"*",MUSTERILER!$T$7:$T$106,0)),"TANIMSIZ MÜŞTERİ"))))</f>
        <v/>
      </c>
      <c r="E400" s="109" t="n"/>
      <c r="F400" s="109" t="n"/>
      <c r="G400" s="108" t="n"/>
      <c r="H400" s="220" t="n"/>
      <c r="I400" s="220" t="n"/>
      <c r="J400" s="108" t="n"/>
      <c r="K400" s="108" t="n"/>
      <c r="L400" s="109" t="n"/>
      <c r="M400" s="109" t="n"/>
      <c r="N400" s="109" t="n"/>
      <c r="O400" s="220" t="n"/>
      <c r="P400" s="227">
        <f>IF(OR($E400="",$I400=""),"",IF(OR($J400="Tamamlandı",$J400="İptal"),"",$I400-TODAY()))</f>
        <v/>
      </c>
      <c r="Q400" s="113">
        <f>IF($E400="","",IF($D400="TANIMSIZ MÜŞTERİ","HATA",IF(OR($J400="Tamamlandı",$J400="İptal"),"KAPALI",IF(AND($C400="Görüşme",$N400=""),"SONRAKİ İŞLEM EKSİK",IF($I400="","TARİH EKSİK",IF($I400&lt;TODAY(),"GECİKMİŞ",IF($I400=TODAY(),"BUGÜN",IF($I400&lt;=TODAY()+7,"7 GÜN İÇİNDE","PLANLI"))))))))</f>
        <v/>
      </c>
      <c r="R400" s="6" t="n"/>
      <c r="S400" s="6" t="n"/>
      <c r="T400" s="3" t="n"/>
      <c r="U400" s="3">
        <f>IF($E400="","",UPPER(SUBSTITUTE(SUBSTITUTE(SUBSTITUTE(SUBSTITUTE(SUBSTITUTE(SUBSTITUTE(SUBSTITUTE(SUBSTITUTE(SUBSTITUTE(SUBSTITUTE(SUBSTITUTE(SUBSTITUTE(SUBSTITUTE(SUBSTITUTE(SUBSTITUTE(SUBSTITUTE(SUBSTITUTE(SUBSTITUTE(TRIM($E400),"'",""),"İ","I"),"ı","I"),"i","I"),"Ş","S"),"ş","S"),"Ğ","G"),"ğ","G"),"Ü","U"),"ü","U"),"Ö","O"),"ö","O"),"Ç","C"),"ç","C"),".",""),",","")," ",""),"-","")))</f>
        <v/>
      </c>
    </row>
    <row r="401">
      <c r="A401" s="6" t="n"/>
      <c r="B401" s="113">
        <f>IF($E401="","","A"&amp;TEXT(ROW()-6,"00000"))</f>
        <v/>
      </c>
      <c r="C401" s="108" t="n"/>
      <c r="D401" s="113">
        <f>IF($E401="","",IFERROR(INDEX(MUSTERILER!$B$7:$B$106,MATCH($U401,MUSTERILER!$T$7:$T$106,0)),IFERROR(INDEX(MUSTERILER!$B$7:$B$106,MATCH($E401,MUSTERILER!$B$7:$B$106,0)),IFERROR(INDEX(MUSTERILER!$B$7:$B$106,MATCH($U401&amp;"*",MUSTERILER!$T$7:$T$106,0)),"TANIMSIZ MÜŞTERİ"))))</f>
        <v/>
      </c>
      <c r="E401" s="109" t="n"/>
      <c r="F401" s="109" t="n"/>
      <c r="G401" s="108" t="n"/>
      <c r="H401" s="220" t="n"/>
      <c r="I401" s="220" t="n"/>
      <c r="J401" s="108" t="n"/>
      <c r="K401" s="108" t="n"/>
      <c r="L401" s="109" t="n"/>
      <c r="M401" s="109" t="n"/>
      <c r="N401" s="109" t="n"/>
      <c r="O401" s="220" t="n"/>
      <c r="P401" s="227">
        <f>IF(OR($E401="",$I401=""),"",IF(OR($J401="Tamamlandı",$J401="İptal"),"",$I401-TODAY()))</f>
        <v/>
      </c>
      <c r="Q401" s="113">
        <f>IF($E401="","",IF($D401="TANIMSIZ MÜŞTERİ","HATA",IF(OR($J401="Tamamlandı",$J401="İptal"),"KAPALI",IF(AND($C401="Görüşme",$N401=""),"SONRAKİ İŞLEM EKSİK",IF($I401="","TARİH EKSİK",IF($I401&lt;TODAY(),"GECİKMİŞ",IF($I401=TODAY(),"BUGÜN",IF($I401&lt;=TODAY()+7,"7 GÜN İÇİNDE","PLANLI"))))))))</f>
        <v/>
      </c>
      <c r="R401" s="6" t="n"/>
      <c r="S401" s="6" t="n"/>
      <c r="T401" s="3" t="n"/>
      <c r="U401" s="3">
        <f>IF($E401="","",UPPER(SUBSTITUTE(SUBSTITUTE(SUBSTITUTE(SUBSTITUTE(SUBSTITUTE(SUBSTITUTE(SUBSTITUTE(SUBSTITUTE(SUBSTITUTE(SUBSTITUTE(SUBSTITUTE(SUBSTITUTE(SUBSTITUTE(SUBSTITUTE(SUBSTITUTE(SUBSTITUTE(SUBSTITUTE(SUBSTITUTE(TRIM($E401),"'",""),"İ","I"),"ı","I"),"i","I"),"Ş","S"),"ş","S"),"Ğ","G"),"ğ","G"),"Ü","U"),"ü","U"),"Ö","O"),"ö","O"),"Ç","C"),"ç","C"),".",""),",","")," ",""),"-","")))</f>
        <v/>
      </c>
    </row>
    <row r="402">
      <c r="A402" s="6" t="n"/>
      <c r="B402" s="113">
        <f>IF($E402="","","A"&amp;TEXT(ROW()-6,"00000"))</f>
        <v/>
      </c>
      <c r="C402" s="108" t="n"/>
      <c r="D402" s="113">
        <f>IF($E402="","",IFERROR(INDEX(MUSTERILER!$B$7:$B$106,MATCH($U402,MUSTERILER!$T$7:$T$106,0)),IFERROR(INDEX(MUSTERILER!$B$7:$B$106,MATCH($E402,MUSTERILER!$B$7:$B$106,0)),IFERROR(INDEX(MUSTERILER!$B$7:$B$106,MATCH($U402&amp;"*",MUSTERILER!$T$7:$T$106,0)),"TANIMSIZ MÜŞTERİ"))))</f>
        <v/>
      </c>
      <c r="E402" s="109" t="n"/>
      <c r="F402" s="109" t="n"/>
      <c r="G402" s="108" t="n"/>
      <c r="H402" s="220" t="n"/>
      <c r="I402" s="220" t="n"/>
      <c r="J402" s="108" t="n"/>
      <c r="K402" s="108" t="n"/>
      <c r="L402" s="109" t="n"/>
      <c r="M402" s="109" t="n"/>
      <c r="N402" s="109" t="n"/>
      <c r="O402" s="220" t="n"/>
      <c r="P402" s="227">
        <f>IF(OR($E402="",$I402=""),"",IF(OR($J402="Tamamlandı",$J402="İptal"),"",$I402-TODAY()))</f>
        <v/>
      </c>
      <c r="Q402" s="113">
        <f>IF($E402="","",IF($D402="TANIMSIZ MÜŞTERİ","HATA",IF(OR($J402="Tamamlandı",$J402="İptal"),"KAPALI",IF(AND($C402="Görüşme",$N402=""),"SONRAKİ İŞLEM EKSİK",IF($I402="","TARİH EKSİK",IF($I402&lt;TODAY(),"GECİKMİŞ",IF($I402=TODAY(),"BUGÜN",IF($I402&lt;=TODAY()+7,"7 GÜN İÇİNDE","PLANLI"))))))))</f>
        <v/>
      </c>
      <c r="R402" s="6" t="n"/>
      <c r="S402" s="6" t="n"/>
      <c r="T402" s="3" t="n"/>
      <c r="U402" s="3">
        <f>IF($E402="","",UPPER(SUBSTITUTE(SUBSTITUTE(SUBSTITUTE(SUBSTITUTE(SUBSTITUTE(SUBSTITUTE(SUBSTITUTE(SUBSTITUTE(SUBSTITUTE(SUBSTITUTE(SUBSTITUTE(SUBSTITUTE(SUBSTITUTE(SUBSTITUTE(SUBSTITUTE(SUBSTITUTE(SUBSTITUTE(SUBSTITUTE(TRIM($E402),"'",""),"İ","I"),"ı","I"),"i","I"),"Ş","S"),"ş","S"),"Ğ","G"),"ğ","G"),"Ü","U"),"ü","U"),"Ö","O"),"ö","O"),"Ç","C"),"ç","C"),".",""),",","")," ",""),"-","")))</f>
        <v/>
      </c>
    </row>
    <row r="403">
      <c r="A403" s="6" t="n"/>
      <c r="B403" s="113">
        <f>IF($E403="","","A"&amp;TEXT(ROW()-6,"00000"))</f>
        <v/>
      </c>
      <c r="C403" s="108" t="n"/>
      <c r="D403" s="113">
        <f>IF($E403="","",IFERROR(INDEX(MUSTERILER!$B$7:$B$106,MATCH($U403,MUSTERILER!$T$7:$T$106,0)),IFERROR(INDEX(MUSTERILER!$B$7:$B$106,MATCH($E403,MUSTERILER!$B$7:$B$106,0)),IFERROR(INDEX(MUSTERILER!$B$7:$B$106,MATCH($U403&amp;"*",MUSTERILER!$T$7:$T$106,0)),"TANIMSIZ MÜŞTERİ"))))</f>
        <v/>
      </c>
      <c r="E403" s="109" t="n"/>
      <c r="F403" s="109" t="n"/>
      <c r="G403" s="108" t="n"/>
      <c r="H403" s="220" t="n"/>
      <c r="I403" s="220" t="n"/>
      <c r="J403" s="108" t="n"/>
      <c r="K403" s="108" t="n"/>
      <c r="L403" s="109" t="n"/>
      <c r="M403" s="109" t="n"/>
      <c r="N403" s="109" t="n"/>
      <c r="O403" s="220" t="n"/>
      <c r="P403" s="227">
        <f>IF(OR($E403="",$I403=""),"",IF(OR($J403="Tamamlandı",$J403="İptal"),"",$I403-TODAY()))</f>
        <v/>
      </c>
      <c r="Q403" s="113">
        <f>IF($E403="","",IF($D403="TANIMSIZ MÜŞTERİ","HATA",IF(OR($J403="Tamamlandı",$J403="İptal"),"KAPALI",IF(AND($C403="Görüşme",$N403=""),"SONRAKİ İŞLEM EKSİK",IF($I403="","TARİH EKSİK",IF($I403&lt;TODAY(),"GECİKMİŞ",IF($I403=TODAY(),"BUGÜN",IF($I403&lt;=TODAY()+7,"7 GÜN İÇİNDE","PLANLI"))))))))</f>
        <v/>
      </c>
      <c r="R403" s="6" t="n"/>
      <c r="S403" s="6" t="n"/>
      <c r="T403" s="3" t="n"/>
      <c r="U403" s="3">
        <f>IF($E403="","",UPPER(SUBSTITUTE(SUBSTITUTE(SUBSTITUTE(SUBSTITUTE(SUBSTITUTE(SUBSTITUTE(SUBSTITUTE(SUBSTITUTE(SUBSTITUTE(SUBSTITUTE(SUBSTITUTE(SUBSTITUTE(SUBSTITUTE(SUBSTITUTE(SUBSTITUTE(SUBSTITUTE(SUBSTITUTE(SUBSTITUTE(TRIM($E403),"'",""),"İ","I"),"ı","I"),"i","I"),"Ş","S"),"ş","S"),"Ğ","G"),"ğ","G"),"Ü","U"),"ü","U"),"Ö","O"),"ö","O"),"Ç","C"),"ç","C"),".",""),",","")," ",""),"-","")))</f>
        <v/>
      </c>
    </row>
    <row r="404">
      <c r="A404" s="6" t="n"/>
      <c r="B404" s="113">
        <f>IF($E404="","","A"&amp;TEXT(ROW()-6,"00000"))</f>
        <v/>
      </c>
      <c r="C404" s="108" t="n"/>
      <c r="D404" s="113">
        <f>IF($E404="","",IFERROR(INDEX(MUSTERILER!$B$7:$B$106,MATCH($U404,MUSTERILER!$T$7:$T$106,0)),IFERROR(INDEX(MUSTERILER!$B$7:$B$106,MATCH($E404,MUSTERILER!$B$7:$B$106,0)),IFERROR(INDEX(MUSTERILER!$B$7:$B$106,MATCH($U404&amp;"*",MUSTERILER!$T$7:$T$106,0)),"TANIMSIZ MÜŞTERİ"))))</f>
        <v/>
      </c>
      <c r="E404" s="109" t="n"/>
      <c r="F404" s="109" t="n"/>
      <c r="G404" s="108" t="n"/>
      <c r="H404" s="220" t="n"/>
      <c r="I404" s="220" t="n"/>
      <c r="J404" s="108" t="n"/>
      <c r="K404" s="108" t="n"/>
      <c r="L404" s="109" t="n"/>
      <c r="M404" s="109" t="n"/>
      <c r="N404" s="109" t="n"/>
      <c r="O404" s="220" t="n"/>
      <c r="P404" s="227">
        <f>IF(OR($E404="",$I404=""),"",IF(OR($J404="Tamamlandı",$J404="İptal"),"",$I404-TODAY()))</f>
        <v/>
      </c>
      <c r="Q404" s="113">
        <f>IF($E404="","",IF($D404="TANIMSIZ MÜŞTERİ","HATA",IF(OR($J404="Tamamlandı",$J404="İptal"),"KAPALI",IF(AND($C404="Görüşme",$N404=""),"SONRAKİ İŞLEM EKSİK",IF($I404="","TARİH EKSİK",IF($I404&lt;TODAY(),"GECİKMİŞ",IF($I404=TODAY(),"BUGÜN",IF($I404&lt;=TODAY()+7,"7 GÜN İÇİNDE","PLANLI"))))))))</f>
        <v/>
      </c>
      <c r="R404" s="6" t="n"/>
      <c r="S404" s="6" t="n"/>
      <c r="T404" s="3" t="n"/>
      <c r="U404" s="3">
        <f>IF($E404="","",UPPER(SUBSTITUTE(SUBSTITUTE(SUBSTITUTE(SUBSTITUTE(SUBSTITUTE(SUBSTITUTE(SUBSTITUTE(SUBSTITUTE(SUBSTITUTE(SUBSTITUTE(SUBSTITUTE(SUBSTITUTE(SUBSTITUTE(SUBSTITUTE(SUBSTITUTE(SUBSTITUTE(SUBSTITUTE(SUBSTITUTE(TRIM($E404),"'",""),"İ","I"),"ı","I"),"i","I"),"Ş","S"),"ş","S"),"Ğ","G"),"ğ","G"),"Ü","U"),"ü","U"),"Ö","O"),"ö","O"),"Ç","C"),"ç","C"),".",""),",","")," ",""),"-","")))</f>
        <v/>
      </c>
    </row>
    <row r="405">
      <c r="A405" s="6" t="n"/>
      <c r="B405" s="113">
        <f>IF($E405="","","A"&amp;TEXT(ROW()-6,"00000"))</f>
        <v/>
      </c>
      <c r="C405" s="108" t="n"/>
      <c r="D405" s="113">
        <f>IF($E405="","",IFERROR(INDEX(MUSTERILER!$B$7:$B$106,MATCH($U405,MUSTERILER!$T$7:$T$106,0)),IFERROR(INDEX(MUSTERILER!$B$7:$B$106,MATCH($E405,MUSTERILER!$B$7:$B$106,0)),IFERROR(INDEX(MUSTERILER!$B$7:$B$106,MATCH($U405&amp;"*",MUSTERILER!$T$7:$T$106,0)),"TANIMSIZ MÜŞTERİ"))))</f>
        <v/>
      </c>
      <c r="E405" s="109" t="n"/>
      <c r="F405" s="109" t="n"/>
      <c r="G405" s="108" t="n"/>
      <c r="H405" s="220" t="n"/>
      <c r="I405" s="220" t="n"/>
      <c r="J405" s="108" t="n"/>
      <c r="K405" s="108" t="n"/>
      <c r="L405" s="109" t="n"/>
      <c r="M405" s="109" t="n"/>
      <c r="N405" s="109" t="n"/>
      <c r="O405" s="220" t="n"/>
      <c r="P405" s="227">
        <f>IF(OR($E405="",$I405=""),"",IF(OR($J405="Tamamlandı",$J405="İptal"),"",$I405-TODAY()))</f>
        <v/>
      </c>
      <c r="Q405" s="113">
        <f>IF($E405="","",IF($D405="TANIMSIZ MÜŞTERİ","HATA",IF(OR($J405="Tamamlandı",$J405="İptal"),"KAPALI",IF(AND($C405="Görüşme",$N405=""),"SONRAKİ İŞLEM EKSİK",IF($I405="","TARİH EKSİK",IF($I405&lt;TODAY(),"GECİKMİŞ",IF($I405=TODAY(),"BUGÜN",IF($I405&lt;=TODAY()+7,"7 GÜN İÇİNDE","PLANLI"))))))))</f>
        <v/>
      </c>
      <c r="R405" s="6" t="n"/>
      <c r="S405" s="6" t="n"/>
      <c r="T405" s="3" t="n"/>
      <c r="U405" s="3">
        <f>IF($E405="","",UPPER(SUBSTITUTE(SUBSTITUTE(SUBSTITUTE(SUBSTITUTE(SUBSTITUTE(SUBSTITUTE(SUBSTITUTE(SUBSTITUTE(SUBSTITUTE(SUBSTITUTE(SUBSTITUTE(SUBSTITUTE(SUBSTITUTE(SUBSTITUTE(SUBSTITUTE(SUBSTITUTE(SUBSTITUTE(SUBSTITUTE(TRIM($E405),"'",""),"İ","I"),"ı","I"),"i","I"),"Ş","S"),"ş","S"),"Ğ","G"),"ğ","G"),"Ü","U"),"ü","U"),"Ö","O"),"ö","O"),"Ç","C"),"ç","C"),".",""),",","")," ",""),"-","")))</f>
        <v/>
      </c>
    </row>
    <row r="406">
      <c r="A406" s="6" t="n"/>
      <c r="B406" s="113">
        <f>IF($E406="","","A"&amp;TEXT(ROW()-6,"00000"))</f>
        <v/>
      </c>
      <c r="C406" s="108" t="n"/>
      <c r="D406" s="113">
        <f>IF($E406="","",IFERROR(INDEX(MUSTERILER!$B$7:$B$106,MATCH($U406,MUSTERILER!$T$7:$T$106,0)),IFERROR(INDEX(MUSTERILER!$B$7:$B$106,MATCH($E406,MUSTERILER!$B$7:$B$106,0)),IFERROR(INDEX(MUSTERILER!$B$7:$B$106,MATCH($U406&amp;"*",MUSTERILER!$T$7:$T$106,0)),"TANIMSIZ MÜŞTERİ"))))</f>
        <v/>
      </c>
      <c r="E406" s="109" t="n"/>
      <c r="F406" s="109" t="n"/>
      <c r="G406" s="108" t="n"/>
      <c r="H406" s="220" t="n"/>
      <c r="I406" s="220" t="n"/>
      <c r="J406" s="108" t="n"/>
      <c r="K406" s="108" t="n"/>
      <c r="L406" s="109" t="n"/>
      <c r="M406" s="109" t="n"/>
      <c r="N406" s="109" t="n"/>
      <c r="O406" s="220" t="n"/>
      <c r="P406" s="227">
        <f>IF(OR($E406="",$I406=""),"",IF(OR($J406="Tamamlandı",$J406="İptal"),"",$I406-TODAY()))</f>
        <v/>
      </c>
      <c r="Q406" s="113">
        <f>IF($E406="","",IF($D406="TANIMSIZ MÜŞTERİ","HATA",IF(OR($J406="Tamamlandı",$J406="İptal"),"KAPALI",IF(AND($C406="Görüşme",$N406=""),"SONRAKİ İŞLEM EKSİK",IF($I406="","TARİH EKSİK",IF($I406&lt;TODAY(),"GECİKMİŞ",IF($I406=TODAY(),"BUGÜN",IF($I406&lt;=TODAY()+7,"7 GÜN İÇİNDE","PLANLI"))))))))</f>
        <v/>
      </c>
      <c r="R406" s="6" t="n"/>
      <c r="S406" s="6" t="n"/>
      <c r="T406" s="3" t="n"/>
      <c r="U406" s="3">
        <f>IF($E406="","",UPPER(SUBSTITUTE(SUBSTITUTE(SUBSTITUTE(SUBSTITUTE(SUBSTITUTE(SUBSTITUTE(SUBSTITUTE(SUBSTITUTE(SUBSTITUTE(SUBSTITUTE(SUBSTITUTE(SUBSTITUTE(SUBSTITUTE(SUBSTITUTE(SUBSTITUTE(SUBSTITUTE(SUBSTITUTE(SUBSTITUTE(TRIM($E406),"'",""),"İ","I"),"ı","I"),"i","I"),"Ş","S"),"ş","S"),"Ğ","G"),"ğ","G"),"Ü","U"),"ü","U"),"Ö","O"),"ö","O"),"Ç","C"),"ç","C"),".",""),",","")," ",""),"-","")))</f>
        <v/>
      </c>
    </row>
    <row r="407">
      <c r="A407" s="6" t="n"/>
      <c r="B407" s="113">
        <f>IF($E407="","","A"&amp;TEXT(ROW()-6,"00000"))</f>
        <v/>
      </c>
      <c r="C407" s="108" t="n"/>
      <c r="D407" s="113">
        <f>IF($E407="","",IFERROR(INDEX(MUSTERILER!$B$7:$B$106,MATCH($U407,MUSTERILER!$T$7:$T$106,0)),IFERROR(INDEX(MUSTERILER!$B$7:$B$106,MATCH($E407,MUSTERILER!$B$7:$B$106,0)),IFERROR(INDEX(MUSTERILER!$B$7:$B$106,MATCH($U407&amp;"*",MUSTERILER!$T$7:$T$106,0)),"TANIMSIZ MÜŞTERİ"))))</f>
        <v/>
      </c>
      <c r="E407" s="109" t="n"/>
      <c r="F407" s="109" t="n"/>
      <c r="G407" s="108" t="n"/>
      <c r="H407" s="220" t="n"/>
      <c r="I407" s="220" t="n"/>
      <c r="J407" s="108" t="n"/>
      <c r="K407" s="108" t="n"/>
      <c r="L407" s="109" t="n"/>
      <c r="M407" s="109" t="n"/>
      <c r="N407" s="109" t="n"/>
      <c r="O407" s="220" t="n"/>
      <c r="P407" s="227">
        <f>IF(OR($E407="",$I407=""),"",IF(OR($J407="Tamamlandı",$J407="İptal"),"",$I407-TODAY()))</f>
        <v/>
      </c>
      <c r="Q407" s="113">
        <f>IF($E407="","",IF($D407="TANIMSIZ MÜŞTERİ","HATA",IF(OR($J407="Tamamlandı",$J407="İptal"),"KAPALI",IF(AND($C407="Görüşme",$N407=""),"SONRAKİ İŞLEM EKSİK",IF($I407="","TARİH EKSİK",IF($I407&lt;TODAY(),"GECİKMİŞ",IF($I407=TODAY(),"BUGÜN",IF($I407&lt;=TODAY()+7,"7 GÜN İÇİNDE","PLANLI"))))))))</f>
        <v/>
      </c>
      <c r="R407" s="6" t="n"/>
      <c r="S407" s="6" t="n"/>
      <c r="T407" s="3" t="n"/>
      <c r="U407" s="3">
        <f>IF($E407="","",UPPER(SUBSTITUTE(SUBSTITUTE(SUBSTITUTE(SUBSTITUTE(SUBSTITUTE(SUBSTITUTE(SUBSTITUTE(SUBSTITUTE(SUBSTITUTE(SUBSTITUTE(SUBSTITUTE(SUBSTITUTE(SUBSTITUTE(SUBSTITUTE(SUBSTITUTE(SUBSTITUTE(SUBSTITUTE(SUBSTITUTE(TRIM($E407),"'",""),"İ","I"),"ı","I"),"i","I"),"Ş","S"),"ş","S"),"Ğ","G"),"ğ","G"),"Ü","U"),"ü","U"),"Ö","O"),"ö","O"),"Ç","C"),"ç","C"),".",""),",","")," ",""),"-","")))</f>
        <v/>
      </c>
    </row>
    <row r="408">
      <c r="A408" s="6" t="n"/>
      <c r="B408" s="113">
        <f>IF($E408="","","A"&amp;TEXT(ROW()-6,"00000"))</f>
        <v/>
      </c>
      <c r="C408" s="108" t="n"/>
      <c r="D408" s="113">
        <f>IF($E408="","",IFERROR(INDEX(MUSTERILER!$B$7:$B$106,MATCH($U408,MUSTERILER!$T$7:$T$106,0)),IFERROR(INDEX(MUSTERILER!$B$7:$B$106,MATCH($E408,MUSTERILER!$B$7:$B$106,0)),IFERROR(INDEX(MUSTERILER!$B$7:$B$106,MATCH($U408&amp;"*",MUSTERILER!$T$7:$T$106,0)),"TANIMSIZ MÜŞTERİ"))))</f>
        <v/>
      </c>
      <c r="E408" s="109" t="n"/>
      <c r="F408" s="109" t="n"/>
      <c r="G408" s="108" t="n"/>
      <c r="H408" s="220" t="n"/>
      <c r="I408" s="220" t="n"/>
      <c r="J408" s="108" t="n"/>
      <c r="K408" s="108" t="n"/>
      <c r="L408" s="109" t="n"/>
      <c r="M408" s="109" t="n"/>
      <c r="N408" s="109" t="n"/>
      <c r="O408" s="220" t="n"/>
      <c r="P408" s="227">
        <f>IF(OR($E408="",$I408=""),"",IF(OR($J408="Tamamlandı",$J408="İptal"),"",$I408-TODAY()))</f>
        <v/>
      </c>
      <c r="Q408" s="113">
        <f>IF($E408="","",IF($D408="TANIMSIZ MÜŞTERİ","HATA",IF(OR($J408="Tamamlandı",$J408="İptal"),"KAPALI",IF(AND($C408="Görüşme",$N408=""),"SONRAKİ İŞLEM EKSİK",IF($I408="","TARİH EKSİK",IF($I408&lt;TODAY(),"GECİKMİŞ",IF($I408=TODAY(),"BUGÜN",IF($I408&lt;=TODAY()+7,"7 GÜN İÇİNDE","PLANLI"))))))))</f>
        <v/>
      </c>
      <c r="R408" s="6" t="n"/>
      <c r="S408" s="6" t="n"/>
      <c r="T408" s="3" t="n"/>
      <c r="U408" s="3">
        <f>IF($E408="","",UPPER(SUBSTITUTE(SUBSTITUTE(SUBSTITUTE(SUBSTITUTE(SUBSTITUTE(SUBSTITUTE(SUBSTITUTE(SUBSTITUTE(SUBSTITUTE(SUBSTITUTE(SUBSTITUTE(SUBSTITUTE(SUBSTITUTE(SUBSTITUTE(SUBSTITUTE(SUBSTITUTE(SUBSTITUTE(SUBSTITUTE(TRIM($E408),"'",""),"İ","I"),"ı","I"),"i","I"),"Ş","S"),"ş","S"),"Ğ","G"),"ğ","G"),"Ü","U"),"ü","U"),"Ö","O"),"ö","O"),"Ç","C"),"ç","C"),".",""),",","")," ",""),"-","")))</f>
        <v/>
      </c>
    </row>
    <row r="409">
      <c r="A409" s="6" t="n"/>
      <c r="B409" s="113">
        <f>IF($E409="","","A"&amp;TEXT(ROW()-6,"00000"))</f>
        <v/>
      </c>
      <c r="C409" s="108" t="n"/>
      <c r="D409" s="113">
        <f>IF($E409="","",IFERROR(INDEX(MUSTERILER!$B$7:$B$106,MATCH($U409,MUSTERILER!$T$7:$T$106,0)),IFERROR(INDEX(MUSTERILER!$B$7:$B$106,MATCH($E409,MUSTERILER!$B$7:$B$106,0)),IFERROR(INDEX(MUSTERILER!$B$7:$B$106,MATCH($U409&amp;"*",MUSTERILER!$T$7:$T$106,0)),"TANIMSIZ MÜŞTERİ"))))</f>
        <v/>
      </c>
      <c r="E409" s="109" t="n"/>
      <c r="F409" s="109" t="n"/>
      <c r="G409" s="108" t="n"/>
      <c r="H409" s="220" t="n"/>
      <c r="I409" s="220" t="n"/>
      <c r="J409" s="108" t="n"/>
      <c r="K409" s="108" t="n"/>
      <c r="L409" s="109" t="n"/>
      <c r="M409" s="109" t="n"/>
      <c r="N409" s="109" t="n"/>
      <c r="O409" s="220" t="n"/>
      <c r="P409" s="227">
        <f>IF(OR($E409="",$I409=""),"",IF(OR($J409="Tamamlandı",$J409="İptal"),"",$I409-TODAY()))</f>
        <v/>
      </c>
      <c r="Q409" s="113">
        <f>IF($E409="","",IF($D409="TANIMSIZ MÜŞTERİ","HATA",IF(OR($J409="Tamamlandı",$J409="İptal"),"KAPALI",IF(AND($C409="Görüşme",$N409=""),"SONRAKİ İŞLEM EKSİK",IF($I409="","TARİH EKSİK",IF($I409&lt;TODAY(),"GECİKMİŞ",IF($I409=TODAY(),"BUGÜN",IF($I409&lt;=TODAY()+7,"7 GÜN İÇİNDE","PLANLI"))))))))</f>
        <v/>
      </c>
      <c r="R409" s="6" t="n"/>
      <c r="S409" s="6" t="n"/>
      <c r="T409" s="3" t="n"/>
      <c r="U409" s="3">
        <f>IF($E409="","",UPPER(SUBSTITUTE(SUBSTITUTE(SUBSTITUTE(SUBSTITUTE(SUBSTITUTE(SUBSTITUTE(SUBSTITUTE(SUBSTITUTE(SUBSTITUTE(SUBSTITUTE(SUBSTITUTE(SUBSTITUTE(SUBSTITUTE(SUBSTITUTE(SUBSTITUTE(SUBSTITUTE(SUBSTITUTE(SUBSTITUTE(TRIM($E409),"'",""),"İ","I"),"ı","I"),"i","I"),"Ş","S"),"ş","S"),"Ğ","G"),"ğ","G"),"Ü","U"),"ü","U"),"Ö","O"),"ö","O"),"Ç","C"),"ç","C"),".",""),",","")," ",""),"-","")))</f>
        <v/>
      </c>
    </row>
    <row r="410">
      <c r="A410" s="6" t="n"/>
      <c r="B410" s="113">
        <f>IF($E410="","","A"&amp;TEXT(ROW()-6,"00000"))</f>
        <v/>
      </c>
      <c r="C410" s="108" t="n"/>
      <c r="D410" s="113">
        <f>IF($E410="","",IFERROR(INDEX(MUSTERILER!$B$7:$B$106,MATCH($U410,MUSTERILER!$T$7:$T$106,0)),IFERROR(INDEX(MUSTERILER!$B$7:$B$106,MATCH($E410,MUSTERILER!$B$7:$B$106,0)),IFERROR(INDEX(MUSTERILER!$B$7:$B$106,MATCH($U410&amp;"*",MUSTERILER!$T$7:$T$106,0)),"TANIMSIZ MÜŞTERİ"))))</f>
        <v/>
      </c>
      <c r="E410" s="109" t="n"/>
      <c r="F410" s="109" t="n"/>
      <c r="G410" s="108" t="n"/>
      <c r="H410" s="220" t="n"/>
      <c r="I410" s="220" t="n"/>
      <c r="J410" s="108" t="n"/>
      <c r="K410" s="108" t="n"/>
      <c r="L410" s="109" t="n"/>
      <c r="M410" s="109" t="n"/>
      <c r="N410" s="109" t="n"/>
      <c r="O410" s="220" t="n"/>
      <c r="P410" s="227">
        <f>IF(OR($E410="",$I410=""),"",IF(OR($J410="Tamamlandı",$J410="İptal"),"",$I410-TODAY()))</f>
        <v/>
      </c>
      <c r="Q410" s="113">
        <f>IF($E410="","",IF($D410="TANIMSIZ MÜŞTERİ","HATA",IF(OR($J410="Tamamlandı",$J410="İptal"),"KAPALI",IF(AND($C410="Görüşme",$N410=""),"SONRAKİ İŞLEM EKSİK",IF($I410="","TARİH EKSİK",IF($I410&lt;TODAY(),"GECİKMİŞ",IF($I410=TODAY(),"BUGÜN",IF($I410&lt;=TODAY()+7,"7 GÜN İÇİNDE","PLANLI"))))))))</f>
        <v/>
      </c>
      <c r="R410" s="6" t="n"/>
      <c r="S410" s="6" t="n"/>
      <c r="T410" s="3" t="n"/>
      <c r="U410" s="3">
        <f>IF($E410="","",UPPER(SUBSTITUTE(SUBSTITUTE(SUBSTITUTE(SUBSTITUTE(SUBSTITUTE(SUBSTITUTE(SUBSTITUTE(SUBSTITUTE(SUBSTITUTE(SUBSTITUTE(SUBSTITUTE(SUBSTITUTE(SUBSTITUTE(SUBSTITUTE(SUBSTITUTE(SUBSTITUTE(SUBSTITUTE(SUBSTITUTE(TRIM($E410),"'",""),"İ","I"),"ı","I"),"i","I"),"Ş","S"),"ş","S"),"Ğ","G"),"ğ","G"),"Ü","U"),"ü","U"),"Ö","O"),"ö","O"),"Ç","C"),"ç","C"),".",""),",","")," ",""),"-","")))</f>
        <v/>
      </c>
    </row>
    <row r="411">
      <c r="A411" s="6" t="n"/>
      <c r="B411" s="113">
        <f>IF($E411="","","A"&amp;TEXT(ROW()-6,"00000"))</f>
        <v/>
      </c>
      <c r="C411" s="108" t="n"/>
      <c r="D411" s="113">
        <f>IF($E411="","",IFERROR(INDEX(MUSTERILER!$B$7:$B$106,MATCH($U411,MUSTERILER!$T$7:$T$106,0)),IFERROR(INDEX(MUSTERILER!$B$7:$B$106,MATCH($E411,MUSTERILER!$B$7:$B$106,0)),IFERROR(INDEX(MUSTERILER!$B$7:$B$106,MATCH($U411&amp;"*",MUSTERILER!$T$7:$T$106,0)),"TANIMSIZ MÜŞTERİ"))))</f>
        <v/>
      </c>
      <c r="E411" s="109" t="n"/>
      <c r="F411" s="109" t="n"/>
      <c r="G411" s="108" t="n"/>
      <c r="H411" s="220" t="n"/>
      <c r="I411" s="220" t="n"/>
      <c r="J411" s="108" t="n"/>
      <c r="K411" s="108" t="n"/>
      <c r="L411" s="109" t="n"/>
      <c r="M411" s="109" t="n"/>
      <c r="N411" s="109" t="n"/>
      <c r="O411" s="220" t="n"/>
      <c r="P411" s="227">
        <f>IF(OR($E411="",$I411=""),"",IF(OR($J411="Tamamlandı",$J411="İptal"),"",$I411-TODAY()))</f>
        <v/>
      </c>
      <c r="Q411" s="113">
        <f>IF($E411="","",IF($D411="TANIMSIZ MÜŞTERİ","HATA",IF(OR($J411="Tamamlandı",$J411="İptal"),"KAPALI",IF(AND($C411="Görüşme",$N411=""),"SONRAKİ İŞLEM EKSİK",IF($I411="","TARİH EKSİK",IF($I411&lt;TODAY(),"GECİKMİŞ",IF($I411=TODAY(),"BUGÜN",IF($I411&lt;=TODAY()+7,"7 GÜN İÇİNDE","PLANLI"))))))))</f>
        <v/>
      </c>
      <c r="R411" s="6" t="n"/>
      <c r="S411" s="6" t="n"/>
      <c r="T411" s="3" t="n"/>
      <c r="U411" s="3">
        <f>IF($E411="","",UPPER(SUBSTITUTE(SUBSTITUTE(SUBSTITUTE(SUBSTITUTE(SUBSTITUTE(SUBSTITUTE(SUBSTITUTE(SUBSTITUTE(SUBSTITUTE(SUBSTITUTE(SUBSTITUTE(SUBSTITUTE(SUBSTITUTE(SUBSTITUTE(SUBSTITUTE(SUBSTITUTE(SUBSTITUTE(SUBSTITUTE(TRIM($E411),"'",""),"İ","I"),"ı","I"),"i","I"),"Ş","S"),"ş","S"),"Ğ","G"),"ğ","G"),"Ü","U"),"ü","U"),"Ö","O"),"ö","O"),"Ç","C"),"ç","C"),".",""),",","")," ",""),"-","")))</f>
        <v/>
      </c>
    </row>
    <row r="412">
      <c r="A412" s="6" t="n"/>
      <c r="B412" s="113">
        <f>IF($E412="","","A"&amp;TEXT(ROW()-6,"00000"))</f>
        <v/>
      </c>
      <c r="C412" s="108" t="n"/>
      <c r="D412" s="113">
        <f>IF($E412="","",IFERROR(INDEX(MUSTERILER!$B$7:$B$106,MATCH($U412,MUSTERILER!$T$7:$T$106,0)),IFERROR(INDEX(MUSTERILER!$B$7:$B$106,MATCH($E412,MUSTERILER!$B$7:$B$106,0)),IFERROR(INDEX(MUSTERILER!$B$7:$B$106,MATCH($U412&amp;"*",MUSTERILER!$T$7:$T$106,0)),"TANIMSIZ MÜŞTERİ"))))</f>
        <v/>
      </c>
      <c r="E412" s="109" t="n"/>
      <c r="F412" s="109" t="n"/>
      <c r="G412" s="108" t="n"/>
      <c r="H412" s="220" t="n"/>
      <c r="I412" s="220" t="n"/>
      <c r="J412" s="108" t="n"/>
      <c r="K412" s="108" t="n"/>
      <c r="L412" s="109" t="n"/>
      <c r="M412" s="109" t="n"/>
      <c r="N412" s="109" t="n"/>
      <c r="O412" s="220" t="n"/>
      <c r="P412" s="227">
        <f>IF(OR($E412="",$I412=""),"",IF(OR($J412="Tamamlandı",$J412="İptal"),"",$I412-TODAY()))</f>
        <v/>
      </c>
      <c r="Q412" s="113">
        <f>IF($E412="","",IF($D412="TANIMSIZ MÜŞTERİ","HATA",IF(OR($J412="Tamamlandı",$J412="İptal"),"KAPALI",IF(AND($C412="Görüşme",$N412=""),"SONRAKİ İŞLEM EKSİK",IF($I412="","TARİH EKSİK",IF($I412&lt;TODAY(),"GECİKMİŞ",IF($I412=TODAY(),"BUGÜN",IF($I412&lt;=TODAY()+7,"7 GÜN İÇİNDE","PLANLI"))))))))</f>
        <v/>
      </c>
      <c r="R412" s="6" t="n"/>
      <c r="S412" s="6" t="n"/>
      <c r="T412" s="3" t="n"/>
      <c r="U412" s="3">
        <f>IF($E412="","",UPPER(SUBSTITUTE(SUBSTITUTE(SUBSTITUTE(SUBSTITUTE(SUBSTITUTE(SUBSTITUTE(SUBSTITUTE(SUBSTITUTE(SUBSTITUTE(SUBSTITUTE(SUBSTITUTE(SUBSTITUTE(SUBSTITUTE(SUBSTITUTE(SUBSTITUTE(SUBSTITUTE(SUBSTITUTE(SUBSTITUTE(TRIM($E412),"'",""),"İ","I"),"ı","I"),"i","I"),"Ş","S"),"ş","S"),"Ğ","G"),"ğ","G"),"Ü","U"),"ü","U"),"Ö","O"),"ö","O"),"Ç","C"),"ç","C"),".",""),",","")," ",""),"-","")))</f>
        <v/>
      </c>
    </row>
    <row r="413">
      <c r="A413" s="6" t="n"/>
      <c r="B413" s="113">
        <f>IF($E413="","","A"&amp;TEXT(ROW()-6,"00000"))</f>
        <v/>
      </c>
      <c r="C413" s="108" t="n"/>
      <c r="D413" s="113">
        <f>IF($E413="","",IFERROR(INDEX(MUSTERILER!$B$7:$B$106,MATCH($U413,MUSTERILER!$T$7:$T$106,0)),IFERROR(INDEX(MUSTERILER!$B$7:$B$106,MATCH($E413,MUSTERILER!$B$7:$B$106,0)),IFERROR(INDEX(MUSTERILER!$B$7:$B$106,MATCH($U413&amp;"*",MUSTERILER!$T$7:$T$106,0)),"TANIMSIZ MÜŞTERİ"))))</f>
        <v/>
      </c>
      <c r="E413" s="109" t="n"/>
      <c r="F413" s="109" t="n"/>
      <c r="G413" s="108" t="n"/>
      <c r="H413" s="220" t="n"/>
      <c r="I413" s="220" t="n"/>
      <c r="J413" s="108" t="n"/>
      <c r="K413" s="108" t="n"/>
      <c r="L413" s="109" t="n"/>
      <c r="M413" s="109" t="n"/>
      <c r="N413" s="109" t="n"/>
      <c r="O413" s="220" t="n"/>
      <c r="P413" s="227">
        <f>IF(OR($E413="",$I413=""),"",IF(OR($J413="Tamamlandı",$J413="İptal"),"",$I413-TODAY()))</f>
        <v/>
      </c>
      <c r="Q413" s="113">
        <f>IF($E413="","",IF($D413="TANIMSIZ MÜŞTERİ","HATA",IF(OR($J413="Tamamlandı",$J413="İptal"),"KAPALI",IF(AND($C413="Görüşme",$N413=""),"SONRAKİ İŞLEM EKSİK",IF($I413="","TARİH EKSİK",IF($I413&lt;TODAY(),"GECİKMİŞ",IF($I413=TODAY(),"BUGÜN",IF($I413&lt;=TODAY()+7,"7 GÜN İÇİNDE","PLANLI"))))))))</f>
        <v/>
      </c>
      <c r="R413" s="6" t="n"/>
      <c r="S413" s="6" t="n"/>
      <c r="T413" s="3" t="n"/>
      <c r="U413" s="3">
        <f>IF($E413="","",UPPER(SUBSTITUTE(SUBSTITUTE(SUBSTITUTE(SUBSTITUTE(SUBSTITUTE(SUBSTITUTE(SUBSTITUTE(SUBSTITUTE(SUBSTITUTE(SUBSTITUTE(SUBSTITUTE(SUBSTITUTE(SUBSTITUTE(SUBSTITUTE(SUBSTITUTE(SUBSTITUTE(SUBSTITUTE(SUBSTITUTE(TRIM($E413),"'",""),"İ","I"),"ı","I"),"i","I"),"Ş","S"),"ş","S"),"Ğ","G"),"ğ","G"),"Ü","U"),"ü","U"),"Ö","O"),"ö","O"),"Ç","C"),"ç","C"),".",""),",","")," ",""),"-","")))</f>
        <v/>
      </c>
    </row>
    <row r="414">
      <c r="A414" s="6" t="n"/>
      <c r="B414" s="113">
        <f>IF($E414="","","A"&amp;TEXT(ROW()-6,"00000"))</f>
        <v/>
      </c>
      <c r="C414" s="108" t="n"/>
      <c r="D414" s="113">
        <f>IF($E414="","",IFERROR(INDEX(MUSTERILER!$B$7:$B$106,MATCH($U414,MUSTERILER!$T$7:$T$106,0)),IFERROR(INDEX(MUSTERILER!$B$7:$B$106,MATCH($E414,MUSTERILER!$B$7:$B$106,0)),IFERROR(INDEX(MUSTERILER!$B$7:$B$106,MATCH($U414&amp;"*",MUSTERILER!$T$7:$T$106,0)),"TANIMSIZ MÜŞTERİ"))))</f>
        <v/>
      </c>
      <c r="E414" s="109" t="n"/>
      <c r="F414" s="109" t="n"/>
      <c r="G414" s="108" t="n"/>
      <c r="H414" s="220" t="n"/>
      <c r="I414" s="220" t="n"/>
      <c r="J414" s="108" t="n"/>
      <c r="K414" s="108" t="n"/>
      <c r="L414" s="109" t="n"/>
      <c r="M414" s="109" t="n"/>
      <c r="N414" s="109" t="n"/>
      <c r="O414" s="220" t="n"/>
      <c r="P414" s="227">
        <f>IF(OR($E414="",$I414=""),"",IF(OR($J414="Tamamlandı",$J414="İptal"),"",$I414-TODAY()))</f>
        <v/>
      </c>
      <c r="Q414" s="113">
        <f>IF($E414="","",IF($D414="TANIMSIZ MÜŞTERİ","HATA",IF(OR($J414="Tamamlandı",$J414="İptal"),"KAPALI",IF(AND($C414="Görüşme",$N414=""),"SONRAKİ İŞLEM EKSİK",IF($I414="","TARİH EKSİK",IF($I414&lt;TODAY(),"GECİKMİŞ",IF($I414=TODAY(),"BUGÜN",IF($I414&lt;=TODAY()+7,"7 GÜN İÇİNDE","PLANLI"))))))))</f>
        <v/>
      </c>
      <c r="R414" s="6" t="n"/>
      <c r="S414" s="6" t="n"/>
      <c r="T414" s="3" t="n"/>
      <c r="U414" s="3">
        <f>IF($E414="","",UPPER(SUBSTITUTE(SUBSTITUTE(SUBSTITUTE(SUBSTITUTE(SUBSTITUTE(SUBSTITUTE(SUBSTITUTE(SUBSTITUTE(SUBSTITUTE(SUBSTITUTE(SUBSTITUTE(SUBSTITUTE(SUBSTITUTE(SUBSTITUTE(SUBSTITUTE(SUBSTITUTE(SUBSTITUTE(SUBSTITUTE(TRIM($E414),"'",""),"İ","I"),"ı","I"),"i","I"),"Ş","S"),"ş","S"),"Ğ","G"),"ğ","G"),"Ü","U"),"ü","U"),"Ö","O"),"ö","O"),"Ç","C"),"ç","C"),".",""),",","")," ",""),"-","")))</f>
        <v/>
      </c>
    </row>
    <row r="415">
      <c r="A415" s="6" t="n"/>
      <c r="B415" s="113">
        <f>IF($E415="","","A"&amp;TEXT(ROW()-6,"00000"))</f>
        <v/>
      </c>
      <c r="C415" s="108" t="n"/>
      <c r="D415" s="113">
        <f>IF($E415="","",IFERROR(INDEX(MUSTERILER!$B$7:$B$106,MATCH($U415,MUSTERILER!$T$7:$T$106,0)),IFERROR(INDEX(MUSTERILER!$B$7:$B$106,MATCH($E415,MUSTERILER!$B$7:$B$106,0)),IFERROR(INDEX(MUSTERILER!$B$7:$B$106,MATCH($U415&amp;"*",MUSTERILER!$T$7:$T$106,0)),"TANIMSIZ MÜŞTERİ"))))</f>
        <v/>
      </c>
      <c r="E415" s="109" t="n"/>
      <c r="F415" s="109" t="n"/>
      <c r="G415" s="108" t="n"/>
      <c r="H415" s="220" t="n"/>
      <c r="I415" s="220" t="n"/>
      <c r="J415" s="108" t="n"/>
      <c r="K415" s="108" t="n"/>
      <c r="L415" s="109" t="n"/>
      <c r="M415" s="109" t="n"/>
      <c r="N415" s="109" t="n"/>
      <c r="O415" s="220" t="n"/>
      <c r="P415" s="227">
        <f>IF(OR($E415="",$I415=""),"",IF(OR($J415="Tamamlandı",$J415="İptal"),"",$I415-TODAY()))</f>
        <v/>
      </c>
      <c r="Q415" s="113">
        <f>IF($E415="","",IF($D415="TANIMSIZ MÜŞTERİ","HATA",IF(OR($J415="Tamamlandı",$J415="İptal"),"KAPALI",IF(AND($C415="Görüşme",$N415=""),"SONRAKİ İŞLEM EKSİK",IF($I415="","TARİH EKSİK",IF($I415&lt;TODAY(),"GECİKMİŞ",IF($I415=TODAY(),"BUGÜN",IF($I415&lt;=TODAY()+7,"7 GÜN İÇİNDE","PLANLI"))))))))</f>
        <v/>
      </c>
      <c r="R415" s="6" t="n"/>
      <c r="S415" s="6" t="n"/>
      <c r="T415" s="3" t="n"/>
      <c r="U415" s="3">
        <f>IF($E415="","",UPPER(SUBSTITUTE(SUBSTITUTE(SUBSTITUTE(SUBSTITUTE(SUBSTITUTE(SUBSTITUTE(SUBSTITUTE(SUBSTITUTE(SUBSTITUTE(SUBSTITUTE(SUBSTITUTE(SUBSTITUTE(SUBSTITUTE(SUBSTITUTE(SUBSTITUTE(SUBSTITUTE(SUBSTITUTE(SUBSTITUTE(TRIM($E415),"'",""),"İ","I"),"ı","I"),"i","I"),"Ş","S"),"ş","S"),"Ğ","G"),"ğ","G"),"Ü","U"),"ü","U"),"Ö","O"),"ö","O"),"Ç","C"),"ç","C"),".",""),",","")," ",""),"-","")))</f>
        <v/>
      </c>
    </row>
    <row r="416">
      <c r="A416" s="6" t="n"/>
      <c r="B416" s="113">
        <f>IF($E416="","","A"&amp;TEXT(ROW()-6,"00000"))</f>
        <v/>
      </c>
      <c r="C416" s="108" t="n"/>
      <c r="D416" s="113">
        <f>IF($E416="","",IFERROR(INDEX(MUSTERILER!$B$7:$B$106,MATCH($U416,MUSTERILER!$T$7:$T$106,0)),IFERROR(INDEX(MUSTERILER!$B$7:$B$106,MATCH($E416,MUSTERILER!$B$7:$B$106,0)),IFERROR(INDEX(MUSTERILER!$B$7:$B$106,MATCH($U416&amp;"*",MUSTERILER!$T$7:$T$106,0)),"TANIMSIZ MÜŞTERİ"))))</f>
        <v/>
      </c>
      <c r="E416" s="109" t="n"/>
      <c r="F416" s="109" t="n"/>
      <c r="G416" s="108" t="n"/>
      <c r="H416" s="220" t="n"/>
      <c r="I416" s="220" t="n"/>
      <c r="J416" s="108" t="n"/>
      <c r="K416" s="108" t="n"/>
      <c r="L416" s="109" t="n"/>
      <c r="M416" s="109" t="n"/>
      <c r="N416" s="109" t="n"/>
      <c r="O416" s="220" t="n"/>
      <c r="P416" s="227">
        <f>IF(OR($E416="",$I416=""),"",IF(OR($J416="Tamamlandı",$J416="İptal"),"",$I416-TODAY()))</f>
        <v/>
      </c>
      <c r="Q416" s="113">
        <f>IF($E416="","",IF($D416="TANIMSIZ MÜŞTERİ","HATA",IF(OR($J416="Tamamlandı",$J416="İptal"),"KAPALI",IF(AND($C416="Görüşme",$N416=""),"SONRAKİ İŞLEM EKSİK",IF($I416="","TARİH EKSİK",IF($I416&lt;TODAY(),"GECİKMİŞ",IF($I416=TODAY(),"BUGÜN",IF($I416&lt;=TODAY()+7,"7 GÜN İÇİNDE","PLANLI"))))))))</f>
        <v/>
      </c>
      <c r="R416" s="6" t="n"/>
      <c r="S416" s="6" t="n"/>
      <c r="T416" s="3" t="n"/>
      <c r="U416" s="3">
        <f>IF($E416="","",UPPER(SUBSTITUTE(SUBSTITUTE(SUBSTITUTE(SUBSTITUTE(SUBSTITUTE(SUBSTITUTE(SUBSTITUTE(SUBSTITUTE(SUBSTITUTE(SUBSTITUTE(SUBSTITUTE(SUBSTITUTE(SUBSTITUTE(SUBSTITUTE(SUBSTITUTE(SUBSTITUTE(SUBSTITUTE(SUBSTITUTE(TRIM($E416),"'",""),"İ","I"),"ı","I"),"i","I"),"Ş","S"),"ş","S"),"Ğ","G"),"ğ","G"),"Ü","U"),"ü","U"),"Ö","O"),"ö","O"),"Ç","C"),"ç","C"),".",""),",","")," ",""),"-","")))</f>
        <v/>
      </c>
    </row>
    <row r="417">
      <c r="A417" s="6" t="n"/>
      <c r="B417" s="113">
        <f>IF($E417="","","A"&amp;TEXT(ROW()-6,"00000"))</f>
        <v/>
      </c>
      <c r="C417" s="108" t="n"/>
      <c r="D417" s="113">
        <f>IF($E417="","",IFERROR(INDEX(MUSTERILER!$B$7:$B$106,MATCH($U417,MUSTERILER!$T$7:$T$106,0)),IFERROR(INDEX(MUSTERILER!$B$7:$B$106,MATCH($E417,MUSTERILER!$B$7:$B$106,0)),IFERROR(INDEX(MUSTERILER!$B$7:$B$106,MATCH($U417&amp;"*",MUSTERILER!$T$7:$T$106,0)),"TANIMSIZ MÜŞTERİ"))))</f>
        <v/>
      </c>
      <c r="E417" s="109" t="n"/>
      <c r="F417" s="109" t="n"/>
      <c r="G417" s="108" t="n"/>
      <c r="H417" s="220" t="n"/>
      <c r="I417" s="220" t="n"/>
      <c r="J417" s="108" t="n"/>
      <c r="K417" s="108" t="n"/>
      <c r="L417" s="109" t="n"/>
      <c r="M417" s="109" t="n"/>
      <c r="N417" s="109" t="n"/>
      <c r="O417" s="220" t="n"/>
      <c r="P417" s="227">
        <f>IF(OR($E417="",$I417=""),"",IF(OR($J417="Tamamlandı",$J417="İptal"),"",$I417-TODAY()))</f>
        <v/>
      </c>
      <c r="Q417" s="113">
        <f>IF($E417="","",IF($D417="TANIMSIZ MÜŞTERİ","HATA",IF(OR($J417="Tamamlandı",$J417="İptal"),"KAPALI",IF(AND($C417="Görüşme",$N417=""),"SONRAKİ İŞLEM EKSİK",IF($I417="","TARİH EKSİK",IF($I417&lt;TODAY(),"GECİKMİŞ",IF($I417=TODAY(),"BUGÜN",IF($I417&lt;=TODAY()+7,"7 GÜN İÇİNDE","PLANLI"))))))))</f>
        <v/>
      </c>
      <c r="R417" s="6" t="n"/>
      <c r="S417" s="6" t="n"/>
      <c r="T417" s="3" t="n"/>
      <c r="U417" s="3">
        <f>IF($E417="","",UPPER(SUBSTITUTE(SUBSTITUTE(SUBSTITUTE(SUBSTITUTE(SUBSTITUTE(SUBSTITUTE(SUBSTITUTE(SUBSTITUTE(SUBSTITUTE(SUBSTITUTE(SUBSTITUTE(SUBSTITUTE(SUBSTITUTE(SUBSTITUTE(SUBSTITUTE(SUBSTITUTE(SUBSTITUTE(SUBSTITUTE(TRIM($E417),"'",""),"İ","I"),"ı","I"),"i","I"),"Ş","S"),"ş","S"),"Ğ","G"),"ğ","G"),"Ü","U"),"ü","U"),"Ö","O"),"ö","O"),"Ç","C"),"ç","C"),".",""),",","")," ",""),"-","")))</f>
        <v/>
      </c>
    </row>
    <row r="418">
      <c r="A418" s="6" t="n"/>
      <c r="B418" s="113">
        <f>IF($E418="","","A"&amp;TEXT(ROW()-6,"00000"))</f>
        <v/>
      </c>
      <c r="C418" s="108" t="n"/>
      <c r="D418" s="113">
        <f>IF($E418="","",IFERROR(INDEX(MUSTERILER!$B$7:$B$106,MATCH($U418,MUSTERILER!$T$7:$T$106,0)),IFERROR(INDEX(MUSTERILER!$B$7:$B$106,MATCH($E418,MUSTERILER!$B$7:$B$106,0)),IFERROR(INDEX(MUSTERILER!$B$7:$B$106,MATCH($U418&amp;"*",MUSTERILER!$T$7:$T$106,0)),"TANIMSIZ MÜŞTERİ"))))</f>
        <v/>
      </c>
      <c r="E418" s="109" t="n"/>
      <c r="F418" s="109" t="n"/>
      <c r="G418" s="108" t="n"/>
      <c r="H418" s="220" t="n"/>
      <c r="I418" s="220" t="n"/>
      <c r="J418" s="108" t="n"/>
      <c r="K418" s="108" t="n"/>
      <c r="L418" s="109" t="n"/>
      <c r="M418" s="109" t="n"/>
      <c r="N418" s="109" t="n"/>
      <c r="O418" s="220" t="n"/>
      <c r="P418" s="227">
        <f>IF(OR($E418="",$I418=""),"",IF(OR($J418="Tamamlandı",$J418="İptal"),"",$I418-TODAY()))</f>
        <v/>
      </c>
      <c r="Q418" s="113">
        <f>IF($E418="","",IF($D418="TANIMSIZ MÜŞTERİ","HATA",IF(OR($J418="Tamamlandı",$J418="İptal"),"KAPALI",IF(AND($C418="Görüşme",$N418=""),"SONRAKİ İŞLEM EKSİK",IF($I418="","TARİH EKSİK",IF($I418&lt;TODAY(),"GECİKMİŞ",IF($I418=TODAY(),"BUGÜN",IF($I418&lt;=TODAY()+7,"7 GÜN İÇİNDE","PLANLI"))))))))</f>
        <v/>
      </c>
      <c r="R418" s="6" t="n"/>
      <c r="S418" s="6" t="n"/>
      <c r="T418" s="3" t="n"/>
      <c r="U418" s="3">
        <f>IF($E418="","",UPPER(SUBSTITUTE(SUBSTITUTE(SUBSTITUTE(SUBSTITUTE(SUBSTITUTE(SUBSTITUTE(SUBSTITUTE(SUBSTITUTE(SUBSTITUTE(SUBSTITUTE(SUBSTITUTE(SUBSTITUTE(SUBSTITUTE(SUBSTITUTE(SUBSTITUTE(SUBSTITUTE(SUBSTITUTE(SUBSTITUTE(TRIM($E418),"'",""),"İ","I"),"ı","I"),"i","I"),"Ş","S"),"ş","S"),"Ğ","G"),"ğ","G"),"Ü","U"),"ü","U"),"Ö","O"),"ö","O"),"Ç","C"),"ç","C"),".",""),",","")," ",""),"-","")))</f>
        <v/>
      </c>
    </row>
    <row r="419">
      <c r="A419" s="6" t="n"/>
      <c r="B419" s="113">
        <f>IF($E419="","","A"&amp;TEXT(ROW()-6,"00000"))</f>
        <v/>
      </c>
      <c r="C419" s="108" t="n"/>
      <c r="D419" s="113">
        <f>IF($E419="","",IFERROR(INDEX(MUSTERILER!$B$7:$B$106,MATCH($U419,MUSTERILER!$T$7:$T$106,0)),IFERROR(INDEX(MUSTERILER!$B$7:$B$106,MATCH($E419,MUSTERILER!$B$7:$B$106,0)),IFERROR(INDEX(MUSTERILER!$B$7:$B$106,MATCH($U419&amp;"*",MUSTERILER!$T$7:$T$106,0)),"TANIMSIZ MÜŞTERİ"))))</f>
        <v/>
      </c>
      <c r="E419" s="109" t="n"/>
      <c r="F419" s="109" t="n"/>
      <c r="G419" s="108" t="n"/>
      <c r="H419" s="220" t="n"/>
      <c r="I419" s="220" t="n"/>
      <c r="J419" s="108" t="n"/>
      <c r="K419" s="108" t="n"/>
      <c r="L419" s="109" t="n"/>
      <c r="M419" s="109" t="n"/>
      <c r="N419" s="109" t="n"/>
      <c r="O419" s="220" t="n"/>
      <c r="P419" s="227">
        <f>IF(OR($E419="",$I419=""),"",IF(OR($J419="Tamamlandı",$J419="İptal"),"",$I419-TODAY()))</f>
        <v/>
      </c>
      <c r="Q419" s="113">
        <f>IF($E419="","",IF($D419="TANIMSIZ MÜŞTERİ","HATA",IF(OR($J419="Tamamlandı",$J419="İptal"),"KAPALI",IF(AND($C419="Görüşme",$N419=""),"SONRAKİ İŞLEM EKSİK",IF($I419="","TARİH EKSİK",IF($I419&lt;TODAY(),"GECİKMİŞ",IF($I419=TODAY(),"BUGÜN",IF($I419&lt;=TODAY()+7,"7 GÜN İÇİNDE","PLANLI"))))))))</f>
        <v/>
      </c>
      <c r="R419" s="6" t="n"/>
      <c r="S419" s="6" t="n"/>
      <c r="T419" s="3" t="n"/>
      <c r="U419" s="3">
        <f>IF($E419="","",UPPER(SUBSTITUTE(SUBSTITUTE(SUBSTITUTE(SUBSTITUTE(SUBSTITUTE(SUBSTITUTE(SUBSTITUTE(SUBSTITUTE(SUBSTITUTE(SUBSTITUTE(SUBSTITUTE(SUBSTITUTE(SUBSTITUTE(SUBSTITUTE(SUBSTITUTE(SUBSTITUTE(SUBSTITUTE(SUBSTITUTE(TRIM($E419),"'",""),"İ","I"),"ı","I"),"i","I"),"Ş","S"),"ş","S"),"Ğ","G"),"ğ","G"),"Ü","U"),"ü","U"),"Ö","O"),"ö","O"),"Ç","C"),"ç","C"),".",""),",","")," ",""),"-","")))</f>
        <v/>
      </c>
    </row>
    <row r="420">
      <c r="A420" s="6" t="n"/>
      <c r="B420" s="113">
        <f>IF($E420="","","A"&amp;TEXT(ROW()-6,"00000"))</f>
        <v/>
      </c>
      <c r="C420" s="108" t="n"/>
      <c r="D420" s="113">
        <f>IF($E420="","",IFERROR(INDEX(MUSTERILER!$B$7:$B$106,MATCH($U420,MUSTERILER!$T$7:$T$106,0)),IFERROR(INDEX(MUSTERILER!$B$7:$B$106,MATCH($E420,MUSTERILER!$B$7:$B$106,0)),IFERROR(INDEX(MUSTERILER!$B$7:$B$106,MATCH($U420&amp;"*",MUSTERILER!$T$7:$T$106,0)),"TANIMSIZ MÜŞTERİ"))))</f>
        <v/>
      </c>
      <c r="E420" s="109" t="n"/>
      <c r="F420" s="109" t="n"/>
      <c r="G420" s="108" t="n"/>
      <c r="H420" s="220" t="n"/>
      <c r="I420" s="220" t="n"/>
      <c r="J420" s="108" t="n"/>
      <c r="K420" s="108" t="n"/>
      <c r="L420" s="109" t="n"/>
      <c r="M420" s="109" t="n"/>
      <c r="N420" s="109" t="n"/>
      <c r="O420" s="220" t="n"/>
      <c r="P420" s="227">
        <f>IF(OR($E420="",$I420=""),"",IF(OR($J420="Tamamlandı",$J420="İptal"),"",$I420-TODAY()))</f>
        <v/>
      </c>
      <c r="Q420" s="113">
        <f>IF($E420="","",IF($D420="TANIMSIZ MÜŞTERİ","HATA",IF(OR($J420="Tamamlandı",$J420="İptal"),"KAPALI",IF(AND($C420="Görüşme",$N420=""),"SONRAKİ İŞLEM EKSİK",IF($I420="","TARİH EKSİK",IF($I420&lt;TODAY(),"GECİKMİŞ",IF($I420=TODAY(),"BUGÜN",IF($I420&lt;=TODAY()+7,"7 GÜN İÇİNDE","PLANLI"))))))))</f>
        <v/>
      </c>
      <c r="R420" s="6" t="n"/>
      <c r="S420" s="6" t="n"/>
      <c r="T420" s="3" t="n"/>
      <c r="U420" s="3">
        <f>IF($E420="","",UPPER(SUBSTITUTE(SUBSTITUTE(SUBSTITUTE(SUBSTITUTE(SUBSTITUTE(SUBSTITUTE(SUBSTITUTE(SUBSTITUTE(SUBSTITUTE(SUBSTITUTE(SUBSTITUTE(SUBSTITUTE(SUBSTITUTE(SUBSTITUTE(SUBSTITUTE(SUBSTITUTE(SUBSTITUTE(SUBSTITUTE(TRIM($E420),"'",""),"İ","I"),"ı","I"),"i","I"),"Ş","S"),"ş","S"),"Ğ","G"),"ğ","G"),"Ü","U"),"ü","U"),"Ö","O"),"ö","O"),"Ç","C"),"ç","C"),".",""),",","")," ",""),"-","")))</f>
        <v/>
      </c>
    </row>
    <row r="421">
      <c r="A421" s="6" t="n"/>
      <c r="B421" s="113">
        <f>IF($E421="","","A"&amp;TEXT(ROW()-6,"00000"))</f>
        <v/>
      </c>
      <c r="C421" s="108" t="n"/>
      <c r="D421" s="113">
        <f>IF($E421="","",IFERROR(INDEX(MUSTERILER!$B$7:$B$106,MATCH($U421,MUSTERILER!$T$7:$T$106,0)),IFERROR(INDEX(MUSTERILER!$B$7:$B$106,MATCH($E421,MUSTERILER!$B$7:$B$106,0)),IFERROR(INDEX(MUSTERILER!$B$7:$B$106,MATCH($U421&amp;"*",MUSTERILER!$T$7:$T$106,0)),"TANIMSIZ MÜŞTERİ"))))</f>
        <v/>
      </c>
      <c r="E421" s="109" t="n"/>
      <c r="F421" s="109" t="n"/>
      <c r="G421" s="108" t="n"/>
      <c r="H421" s="220" t="n"/>
      <c r="I421" s="220" t="n"/>
      <c r="J421" s="108" t="n"/>
      <c r="K421" s="108" t="n"/>
      <c r="L421" s="109" t="n"/>
      <c r="M421" s="109" t="n"/>
      <c r="N421" s="109" t="n"/>
      <c r="O421" s="220" t="n"/>
      <c r="P421" s="227">
        <f>IF(OR($E421="",$I421=""),"",IF(OR($J421="Tamamlandı",$J421="İptal"),"",$I421-TODAY()))</f>
        <v/>
      </c>
      <c r="Q421" s="113">
        <f>IF($E421="","",IF($D421="TANIMSIZ MÜŞTERİ","HATA",IF(OR($J421="Tamamlandı",$J421="İptal"),"KAPALI",IF(AND($C421="Görüşme",$N421=""),"SONRAKİ İŞLEM EKSİK",IF($I421="","TARİH EKSİK",IF($I421&lt;TODAY(),"GECİKMİŞ",IF($I421=TODAY(),"BUGÜN",IF($I421&lt;=TODAY()+7,"7 GÜN İÇİNDE","PLANLI"))))))))</f>
        <v/>
      </c>
      <c r="R421" s="6" t="n"/>
      <c r="S421" s="6" t="n"/>
      <c r="T421" s="3" t="n"/>
      <c r="U421" s="3">
        <f>IF($E421="","",UPPER(SUBSTITUTE(SUBSTITUTE(SUBSTITUTE(SUBSTITUTE(SUBSTITUTE(SUBSTITUTE(SUBSTITUTE(SUBSTITUTE(SUBSTITUTE(SUBSTITUTE(SUBSTITUTE(SUBSTITUTE(SUBSTITUTE(SUBSTITUTE(SUBSTITUTE(SUBSTITUTE(SUBSTITUTE(SUBSTITUTE(TRIM($E421),"'",""),"İ","I"),"ı","I"),"i","I"),"Ş","S"),"ş","S"),"Ğ","G"),"ğ","G"),"Ü","U"),"ü","U"),"Ö","O"),"ö","O"),"Ç","C"),"ç","C"),".",""),",","")," ",""),"-","")))</f>
        <v/>
      </c>
    </row>
    <row r="422">
      <c r="A422" s="6" t="n"/>
      <c r="B422" s="113">
        <f>IF($E422="","","A"&amp;TEXT(ROW()-6,"00000"))</f>
        <v/>
      </c>
      <c r="C422" s="108" t="n"/>
      <c r="D422" s="113">
        <f>IF($E422="","",IFERROR(INDEX(MUSTERILER!$B$7:$B$106,MATCH($U422,MUSTERILER!$T$7:$T$106,0)),IFERROR(INDEX(MUSTERILER!$B$7:$B$106,MATCH($E422,MUSTERILER!$B$7:$B$106,0)),IFERROR(INDEX(MUSTERILER!$B$7:$B$106,MATCH($U422&amp;"*",MUSTERILER!$T$7:$T$106,0)),"TANIMSIZ MÜŞTERİ"))))</f>
        <v/>
      </c>
      <c r="E422" s="109" t="n"/>
      <c r="F422" s="109" t="n"/>
      <c r="G422" s="108" t="n"/>
      <c r="H422" s="220" t="n"/>
      <c r="I422" s="220" t="n"/>
      <c r="J422" s="108" t="n"/>
      <c r="K422" s="108" t="n"/>
      <c r="L422" s="109" t="n"/>
      <c r="M422" s="109" t="n"/>
      <c r="N422" s="109" t="n"/>
      <c r="O422" s="220" t="n"/>
      <c r="P422" s="227">
        <f>IF(OR($E422="",$I422=""),"",IF(OR($J422="Tamamlandı",$J422="İptal"),"",$I422-TODAY()))</f>
        <v/>
      </c>
      <c r="Q422" s="113">
        <f>IF($E422="","",IF($D422="TANIMSIZ MÜŞTERİ","HATA",IF(OR($J422="Tamamlandı",$J422="İptal"),"KAPALI",IF(AND($C422="Görüşme",$N422=""),"SONRAKİ İŞLEM EKSİK",IF($I422="","TARİH EKSİK",IF($I422&lt;TODAY(),"GECİKMİŞ",IF($I422=TODAY(),"BUGÜN",IF($I422&lt;=TODAY()+7,"7 GÜN İÇİNDE","PLANLI"))))))))</f>
        <v/>
      </c>
      <c r="R422" s="6" t="n"/>
      <c r="S422" s="6" t="n"/>
      <c r="T422" s="3" t="n"/>
      <c r="U422" s="3">
        <f>IF($E422="","",UPPER(SUBSTITUTE(SUBSTITUTE(SUBSTITUTE(SUBSTITUTE(SUBSTITUTE(SUBSTITUTE(SUBSTITUTE(SUBSTITUTE(SUBSTITUTE(SUBSTITUTE(SUBSTITUTE(SUBSTITUTE(SUBSTITUTE(SUBSTITUTE(SUBSTITUTE(SUBSTITUTE(SUBSTITUTE(SUBSTITUTE(TRIM($E422),"'",""),"İ","I"),"ı","I"),"i","I"),"Ş","S"),"ş","S"),"Ğ","G"),"ğ","G"),"Ü","U"),"ü","U"),"Ö","O"),"ö","O"),"Ç","C"),"ç","C"),".",""),",","")," ",""),"-","")))</f>
        <v/>
      </c>
    </row>
    <row r="423">
      <c r="A423" s="6" t="n"/>
      <c r="B423" s="113">
        <f>IF($E423="","","A"&amp;TEXT(ROW()-6,"00000"))</f>
        <v/>
      </c>
      <c r="C423" s="108" t="n"/>
      <c r="D423" s="113">
        <f>IF($E423="","",IFERROR(INDEX(MUSTERILER!$B$7:$B$106,MATCH($U423,MUSTERILER!$T$7:$T$106,0)),IFERROR(INDEX(MUSTERILER!$B$7:$B$106,MATCH($E423,MUSTERILER!$B$7:$B$106,0)),IFERROR(INDEX(MUSTERILER!$B$7:$B$106,MATCH($U423&amp;"*",MUSTERILER!$T$7:$T$106,0)),"TANIMSIZ MÜŞTERİ"))))</f>
        <v/>
      </c>
      <c r="E423" s="109" t="n"/>
      <c r="F423" s="109" t="n"/>
      <c r="G423" s="108" t="n"/>
      <c r="H423" s="220" t="n"/>
      <c r="I423" s="220" t="n"/>
      <c r="J423" s="108" t="n"/>
      <c r="K423" s="108" t="n"/>
      <c r="L423" s="109" t="n"/>
      <c r="M423" s="109" t="n"/>
      <c r="N423" s="109" t="n"/>
      <c r="O423" s="220" t="n"/>
      <c r="P423" s="227">
        <f>IF(OR($E423="",$I423=""),"",IF(OR($J423="Tamamlandı",$J423="İptal"),"",$I423-TODAY()))</f>
        <v/>
      </c>
      <c r="Q423" s="113">
        <f>IF($E423="","",IF($D423="TANIMSIZ MÜŞTERİ","HATA",IF(OR($J423="Tamamlandı",$J423="İptal"),"KAPALI",IF(AND($C423="Görüşme",$N423=""),"SONRAKİ İŞLEM EKSİK",IF($I423="","TARİH EKSİK",IF($I423&lt;TODAY(),"GECİKMİŞ",IF($I423=TODAY(),"BUGÜN",IF($I423&lt;=TODAY()+7,"7 GÜN İÇİNDE","PLANLI"))))))))</f>
        <v/>
      </c>
      <c r="R423" s="6" t="n"/>
      <c r="S423" s="6" t="n"/>
      <c r="T423" s="3" t="n"/>
      <c r="U423" s="3">
        <f>IF($E423="","",UPPER(SUBSTITUTE(SUBSTITUTE(SUBSTITUTE(SUBSTITUTE(SUBSTITUTE(SUBSTITUTE(SUBSTITUTE(SUBSTITUTE(SUBSTITUTE(SUBSTITUTE(SUBSTITUTE(SUBSTITUTE(SUBSTITUTE(SUBSTITUTE(SUBSTITUTE(SUBSTITUTE(SUBSTITUTE(SUBSTITUTE(TRIM($E423),"'",""),"İ","I"),"ı","I"),"i","I"),"Ş","S"),"ş","S"),"Ğ","G"),"ğ","G"),"Ü","U"),"ü","U"),"Ö","O"),"ö","O"),"Ç","C"),"ç","C"),".",""),",","")," ",""),"-","")))</f>
        <v/>
      </c>
    </row>
    <row r="424">
      <c r="A424" s="6" t="n"/>
      <c r="B424" s="113">
        <f>IF($E424="","","A"&amp;TEXT(ROW()-6,"00000"))</f>
        <v/>
      </c>
      <c r="C424" s="108" t="n"/>
      <c r="D424" s="113">
        <f>IF($E424="","",IFERROR(INDEX(MUSTERILER!$B$7:$B$106,MATCH($U424,MUSTERILER!$T$7:$T$106,0)),IFERROR(INDEX(MUSTERILER!$B$7:$B$106,MATCH($E424,MUSTERILER!$B$7:$B$106,0)),IFERROR(INDEX(MUSTERILER!$B$7:$B$106,MATCH($U424&amp;"*",MUSTERILER!$T$7:$T$106,0)),"TANIMSIZ MÜŞTERİ"))))</f>
        <v/>
      </c>
      <c r="E424" s="109" t="n"/>
      <c r="F424" s="109" t="n"/>
      <c r="G424" s="108" t="n"/>
      <c r="H424" s="220" t="n"/>
      <c r="I424" s="220" t="n"/>
      <c r="J424" s="108" t="n"/>
      <c r="K424" s="108" t="n"/>
      <c r="L424" s="109" t="n"/>
      <c r="M424" s="109" t="n"/>
      <c r="N424" s="109" t="n"/>
      <c r="O424" s="220" t="n"/>
      <c r="P424" s="227">
        <f>IF(OR($E424="",$I424=""),"",IF(OR($J424="Tamamlandı",$J424="İptal"),"",$I424-TODAY()))</f>
        <v/>
      </c>
      <c r="Q424" s="113">
        <f>IF($E424="","",IF($D424="TANIMSIZ MÜŞTERİ","HATA",IF(OR($J424="Tamamlandı",$J424="İptal"),"KAPALI",IF(AND($C424="Görüşme",$N424=""),"SONRAKİ İŞLEM EKSİK",IF($I424="","TARİH EKSİK",IF($I424&lt;TODAY(),"GECİKMİŞ",IF($I424=TODAY(),"BUGÜN",IF($I424&lt;=TODAY()+7,"7 GÜN İÇİNDE","PLANLI"))))))))</f>
        <v/>
      </c>
      <c r="R424" s="6" t="n"/>
      <c r="S424" s="6" t="n"/>
      <c r="T424" s="3" t="n"/>
      <c r="U424" s="3">
        <f>IF($E424="","",UPPER(SUBSTITUTE(SUBSTITUTE(SUBSTITUTE(SUBSTITUTE(SUBSTITUTE(SUBSTITUTE(SUBSTITUTE(SUBSTITUTE(SUBSTITUTE(SUBSTITUTE(SUBSTITUTE(SUBSTITUTE(SUBSTITUTE(SUBSTITUTE(SUBSTITUTE(SUBSTITUTE(SUBSTITUTE(SUBSTITUTE(TRIM($E424),"'",""),"İ","I"),"ı","I"),"i","I"),"Ş","S"),"ş","S"),"Ğ","G"),"ğ","G"),"Ü","U"),"ü","U"),"Ö","O"),"ö","O"),"Ç","C"),"ç","C"),".",""),",","")," ",""),"-","")))</f>
        <v/>
      </c>
    </row>
    <row r="425">
      <c r="A425" s="6" t="n"/>
      <c r="B425" s="113">
        <f>IF($E425="","","A"&amp;TEXT(ROW()-6,"00000"))</f>
        <v/>
      </c>
      <c r="C425" s="108" t="n"/>
      <c r="D425" s="113">
        <f>IF($E425="","",IFERROR(INDEX(MUSTERILER!$B$7:$B$106,MATCH($U425,MUSTERILER!$T$7:$T$106,0)),IFERROR(INDEX(MUSTERILER!$B$7:$B$106,MATCH($E425,MUSTERILER!$B$7:$B$106,0)),IFERROR(INDEX(MUSTERILER!$B$7:$B$106,MATCH($U425&amp;"*",MUSTERILER!$T$7:$T$106,0)),"TANIMSIZ MÜŞTERİ"))))</f>
        <v/>
      </c>
      <c r="E425" s="109" t="n"/>
      <c r="F425" s="109" t="n"/>
      <c r="G425" s="108" t="n"/>
      <c r="H425" s="220" t="n"/>
      <c r="I425" s="220" t="n"/>
      <c r="J425" s="108" t="n"/>
      <c r="K425" s="108" t="n"/>
      <c r="L425" s="109" t="n"/>
      <c r="M425" s="109" t="n"/>
      <c r="N425" s="109" t="n"/>
      <c r="O425" s="220" t="n"/>
      <c r="P425" s="227">
        <f>IF(OR($E425="",$I425=""),"",IF(OR($J425="Tamamlandı",$J425="İptal"),"",$I425-TODAY()))</f>
        <v/>
      </c>
      <c r="Q425" s="113">
        <f>IF($E425="","",IF($D425="TANIMSIZ MÜŞTERİ","HATA",IF(OR($J425="Tamamlandı",$J425="İptal"),"KAPALI",IF(AND($C425="Görüşme",$N425=""),"SONRAKİ İŞLEM EKSİK",IF($I425="","TARİH EKSİK",IF($I425&lt;TODAY(),"GECİKMİŞ",IF($I425=TODAY(),"BUGÜN",IF($I425&lt;=TODAY()+7,"7 GÜN İÇİNDE","PLANLI"))))))))</f>
        <v/>
      </c>
      <c r="R425" s="6" t="n"/>
      <c r="S425" s="6" t="n"/>
      <c r="T425" s="3" t="n"/>
      <c r="U425" s="3">
        <f>IF($E425="","",UPPER(SUBSTITUTE(SUBSTITUTE(SUBSTITUTE(SUBSTITUTE(SUBSTITUTE(SUBSTITUTE(SUBSTITUTE(SUBSTITUTE(SUBSTITUTE(SUBSTITUTE(SUBSTITUTE(SUBSTITUTE(SUBSTITUTE(SUBSTITUTE(SUBSTITUTE(SUBSTITUTE(SUBSTITUTE(SUBSTITUTE(TRIM($E425),"'",""),"İ","I"),"ı","I"),"i","I"),"Ş","S"),"ş","S"),"Ğ","G"),"ğ","G"),"Ü","U"),"ü","U"),"Ö","O"),"ö","O"),"Ç","C"),"ç","C"),".",""),",","")," ",""),"-","")))</f>
        <v/>
      </c>
    </row>
    <row r="426">
      <c r="A426" s="6" t="n"/>
      <c r="B426" s="113">
        <f>IF($E426="","","A"&amp;TEXT(ROW()-6,"00000"))</f>
        <v/>
      </c>
      <c r="C426" s="108" t="n"/>
      <c r="D426" s="113">
        <f>IF($E426="","",IFERROR(INDEX(MUSTERILER!$B$7:$B$106,MATCH($U426,MUSTERILER!$T$7:$T$106,0)),IFERROR(INDEX(MUSTERILER!$B$7:$B$106,MATCH($E426,MUSTERILER!$B$7:$B$106,0)),IFERROR(INDEX(MUSTERILER!$B$7:$B$106,MATCH($U426&amp;"*",MUSTERILER!$T$7:$T$106,0)),"TANIMSIZ MÜŞTERİ"))))</f>
        <v/>
      </c>
      <c r="E426" s="109" t="n"/>
      <c r="F426" s="109" t="n"/>
      <c r="G426" s="108" t="n"/>
      <c r="H426" s="220" t="n"/>
      <c r="I426" s="220" t="n"/>
      <c r="J426" s="108" t="n"/>
      <c r="K426" s="108" t="n"/>
      <c r="L426" s="109" t="n"/>
      <c r="M426" s="109" t="n"/>
      <c r="N426" s="109" t="n"/>
      <c r="O426" s="220" t="n"/>
      <c r="P426" s="227">
        <f>IF(OR($E426="",$I426=""),"",IF(OR($J426="Tamamlandı",$J426="İptal"),"",$I426-TODAY()))</f>
        <v/>
      </c>
      <c r="Q426" s="113">
        <f>IF($E426="","",IF($D426="TANIMSIZ MÜŞTERİ","HATA",IF(OR($J426="Tamamlandı",$J426="İptal"),"KAPALI",IF(AND($C426="Görüşme",$N426=""),"SONRAKİ İŞLEM EKSİK",IF($I426="","TARİH EKSİK",IF($I426&lt;TODAY(),"GECİKMİŞ",IF($I426=TODAY(),"BUGÜN",IF($I426&lt;=TODAY()+7,"7 GÜN İÇİNDE","PLANLI"))))))))</f>
        <v/>
      </c>
      <c r="R426" s="6" t="n"/>
      <c r="S426" s="6" t="n"/>
      <c r="T426" s="3" t="n"/>
      <c r="U426" s="3">
        <f>IF($E426="","",UPPER(SUBSTITUTE(SUBSTITUTE(SUBSTITUTE(SUBSTITUTE(SUBSTITUTE(SUBSTITUTE(SUBSTITUTE(SUBSTITUTE(SUBSTITUTE(SUBSTITUTE(SUBSTITUTE(SUBSTITUTE(SUBSTITUTE(SUBSTITUTE(SUBSTITUTE(SUBSTITUTE(SUBSTITUTE(SUBSTITUTE(TRIM($E426),"'",""),"İ","I"),"ı","I"),"i","I"),"Ş","S"),"ş","S"),"Ğ","G"),"ğ","G"),"Ü","U"),"ü","U"),"Ö","O"),"ö","O"),"Ç","C"),"ç","C"),".",""),",","")," ",""),"-","")))</f>
        <v/>
      </c>
    </row>
    <row r="427">
      <c r="A427" s="6" t="n"/>
      <c r="B427" s="113">
        <f>IF($E427="","","A"&amp;TEXT(ROW()-6,"00000"))</f>
        <v/>
      </c>
      <c r="C427" s="108" t="n"/>
      <c r="D427" s="113">
        <f>IF($E427="","",IFERROR(INDEX(MUSTERILER!$B$7:$B$106,MATCH($U427,MUSTERILER!$T$7:$T$106,0)),IFERROR(INDEX(MUSTERILER!$B$7:$B$106,MATCH($E427,MUSTERILER!$B$7:$B$106,0)),IFERROR(INDEX(MUSTERILER!$B$7:$B$106,MATCH($U427&amp;"*",MUSTERILER!$T$7:$T$106,0)),"TANIMSIZ MÜŞTERİ"))))</f>
        <v/>
      </c>
      <c r="E427" s="109" t="n"/>
      <c r="F427" s="109" t="n"/>
      <c r="G427" s="108" t="n"/>
      <c r="H427" s="220" t="n"/>
      <c r="I427" s="220" t="n"/>
      <c r="J427" s="108" t="n"/>
      <c r="K427" s="108" t="n"/>
      <c r="L427" s="109" t="n"/>
      <c r="M427" s="109" t="n"/>
      <c r="N427" s="109" t="n"/>
      <c r="O427" s="220" t="n"/>
      <c r="P427" s="227">
        <f>IF(OR($E427="",$I427=""),"",IF(OR($J427="Tamamlandı",$J427="İptal"),"",$I427-TODAY()))</f>
        <v/>
      </c>
      <c r="Q427" s="113">
        <f>IF($E427="","",IF($D427="TANIMSIZ MÜŞTERİ","HATA",IF(OR($J427="Tamamlandı",$J427="İptal"),"KAPALI",IF(AND($C427="Görüşme",$N427=""),"SONRAKİ İŞLEM EKSİK",IF($I427="","TARİH EKSİK",IF($I427&lt;TODAY(),"GECİKMİŞ",IF($I427=TODAY(),"BUGÜN",IF($I427&lt;=TODAY()+7,"7 GÜN İÇİNDE","PLANLI"))))))))</f>
        <v/>
      </c>
      <c r="R427" s="6" t="n"/>
      <c r="S427" s="6" t="n"/>
      <c r="T427" s="3" t="n"/>
      <c r="U427" s="3">
        <f>IF($E427="","",UPPER(SUBSTITUTE(SUBSTITUTE(SUBSTITUTE(SUBSTITUTE(SUBSTITUTE(SUBSTITUTE(SUBSTITUTE(SUBSTITUTE(SUBSTITUTE(SUBSTITUTE(SUBSTITUTE(SUBSTITUTE(SUBSTITUTE(SUBSTITUTE(SUBSTITUTE(SUBSTITUTE(SUBSTITUTE(SUBSTITUTE(TRIM($E427),"'",""),"İ","I"),"ı","I"),"i","I"),"Ş","S"),"ş","S"),"Ğ","G"),"ğ","G"),"Ü","U"),"ü","U"),"Ö","O"),"ö","O"),"Ç","C"),"ç","C"),".",""),",","")," ",""),"-","")))</f>
        <v/>
      </c>
    </row>
    <row r="428">
      <c r="A428" s="6" t="n"/>
      <c r="B428" s="113">
        <f>IF($E428="","","A"&amp;TEXT(ROW()-6,"00000"))</f>
        <v/>
      </c>
      <c r="C428" s="108" t="n"/>
      <c r="D428" s="113">
        <f>IF($E428="","",IFERROR(INDEX(MUSTERILER!$B$7:$B$106,MATCH($U428,MUSTERILER!$T$7:$T$106,0)),IFERROR(INDEX(MUSTERILER!$B$7:$B$106,MATCH($E428,MUSTERILER!$B$7:$B$106,0)),IFERROR(INDEX(MUSTERILER!$B$7:$B$106,MATCH($U428&amp;"*",MUSTERILER!$T$7:$T$106,0)),"TANIMSIZ MÜŞTERİ"))))</f>
        <v/>
      </c>
      <c r="E428" s="109" t="n"/>
      <c r="F428" s="109" t="n"/>
      <c r="G428" s="108" t="n"/>
      <c r="H428" s="220" t="n"/>
      <c r="I428" s="220" t="n"/>
      <c r="J428" s="108" t="n"/>
      <c r="K428" s="108" t="n"/>
      <c r="L428" s="109" t="n"/>
      <c r="M428" s="109" t="n"/>
      <c r="N428" s="109" t="n"/>
      <c r="O428" s="220" t="n"/>
      <c r="P428" s="227">
        <f>IF(OR($E428="",$I428=""),"",IF(OR($J428="Tamamlandı",$J428="İptal"),"",$I428-TODAY()))</f>
        <v/>
      </c>
      <c r="Q428" s="113">
        <f>IF($E428="","",IF($D428="TANIMSIZ MÜŞTERİ","HATA",IF(OR($J428="Tamamlandı",$J428="İptal"),"KAPALI",IF(AND($C428="Görüşme",$N428=""),"SONRAKİ İŞLEM EKSİK",IF($I428="","TARİH EKSİK",IF($I428&lt;TODAY(),"GECİKMİŞ",IF($I428=TODAY(),"BUGÜN",IF($I428&lt;=TODAY()+7,"7 GÜN İÇİNDE","PLANLI"))))))))</f>
        <v/>
      </c>
      <c r="R428" s="6" t="n"/>
      <c r="S428" s="6" t="n"/>
      <c r="T428" s="3" t="n"/>
      <c r="U428" s="3">
        <f>IF($E428="","",UPPER(SUBSTITUTE(SUBSTITUTE(SUBSTITUTE(SUBSTITUTE(SUBSTITUTE(SUBSTITUTE(SUBSTITUTE(SUBSTITUTE(SUBSTITUTE(SUBSTITUTE(SUBSTITUTE(SUBSTITUTE(SUBSTITUTE(SUBSTITUTE(SUBSTITUTE(SUBSTITUTE(SUBSTITUTE(SUBSTITUTE(TRIM($E428),"'",""),"İ","I"),"ı","I"),"i","I"),"Ş","S"),"ş","S"),"Ğ","G"),"ğ","G"),"Ü","U"),"ü","U"),"Ö","O"),"ö","O"),"Ç","C"),"ç","C"),".",""),",","")," ",""),"-","")))</f>
        <v/>
      </c>
    </row>
    <row r="429">
      <c r="A429" s="6" t="n"/>
      <c r="B429" s="113">
        <f>IF($E429="","","A"&amp;TEXT(ROW()-6,"00000"))</f>
        <v/>
      </c>
      <c r="C429" s="108" t="n"/>
      <c r="D429" s="113">
        <f>IF($E429="","",IFERROR(INDEX(MUSTERILER!$B$7:$B$106,MATCH($U429,MUSTERILER!$T$7:$T$106,0)),IFERROR(INDEX(MUSTERILER!$B$7:$B$106,MATCH($E429,MUSTERILER!$B$7:$B$106,0)),IFERROR(INDEX(MUSTERILER!$B$7:$B$106,MATCH($U429&amp;"*",MUSTERILER!$T$7:$T$106,0)),"TANIMSIZ MÜŞTERİ"))))</f>
        <v/>
      </c>
      <c r="E429" s="109" t="n"/>
      <c r="F429" s="109" t="n"/>
      <c r="G429" s="108" t="n"/>
      <c r="H429" s="220" t="n"/>
      <c r="I429" s="220" t="n"/>
      <c r="J429" s="108" t="n"/>
      <c r="K429" s="108" t="n"/>
      <c r="L429" s="109" t="n"/>
      <c r="M429" s="109" t="n"/>
      <c r="N429" s="109" t="n"/>
      <c r="O429" s="220" t="n"/>
      <c r="P429" s="227">
        <f>IF(OR($E429="",$I429=""),"",IF(OR($J429="Tamamlandı",$J429="İptal"),"",$I429-TODAY()))</f>
        <v/>
      </c>
      <c r="Q429" s="113">
        <f>IF($E429="","",IF($D429="TANIMSIZ MÜŞTERİ","HATA",IF(OR($J429="Tamamlandı",$J429="İptal"),"KAPALI",IF(AND($C429="Görüşme",$N429=""),"SONRAKİ İŞLEM EKSİK",IF($I429="","TARİH EKSİK",IF($I429&lt;TODAY(),"GECİKMİŞ",IF($I429=TODAY(),"BUGÜN",IF($I429&lt;=TODAY()+7,"7 GÜN İÇİNDE","PLANLI"))))))))</f>
        <v/>
      </c>
      <c r="R429" s="6" t="n"/>
      <c r="S429" s="6" t="n"/>
      <c r="T429" s="3" t="n"/>
      <c r="U429" s="3">
        <f>IF($E429="","",UPPER(SUBSTITUTE(SUBSTITUTE(SUBSTITUTE(SUBSTITUTE(SUBSTITUTE(SUBSTITUTE(SUBSTITUTE(SUBSTITUTE(SUBSTITUTE(SUBSTITUTE(SUBSTITUTE(SUBSTITUTE(SUBSTITUTE(SUBSTITUTE(SUBSTITUTE(SUBSTITUTE(SUBSTITUTE(SUBSTITUTE(TRIM($E429),"'",""),"İ","I"),"ı","I"),"i","I"),"Ş","S"),"ş","S"),"Ğ","G"),"ğ","G"),"Ü","U"),"ü","U"),"Ö","O"),"ö","O"),"Ç","C"),"ç","C"),".",""),",","")," ",""),"-","")))</f>
        <v/>
      </c>
    </row>
    <row r="430">
      <c r="A430" s="6" t="n"/>
      <c r="B430" s="113">
        <f>IF($E430="","","A"&amp;TEXT(ROW()-6,"00000"))</f>
        <v/>
      </c>
      <c r="C430" s="108" t="n"/>
      <c r="D430" s="113">
        <f>IF($E430="","",IFERROR(INDEX(MUSTERILER!$B$7:$B$106,MATCH($U430,MUSTERILER!$T$7:$T$106,0)),IFERROR(INDEX(MUSTERILER!$B$7:$B$106,MATCH($E430,MUSTERILER!$B$7:$B$106,0)),IFERROR(INDEX(MUSTERILER!$B$7:$B$106,MATCH($U430&amp;"*",MUSTERILER!$T$7:$T$106,0)),"TANIMSIZ MÜŞTERİ"))))</f>
        <v/>
      </c>
      <c r="E430" s="109" t="n"/>
      <c r="F430" s="109" t="n"/>
      <c r="G430" s="108" t="n"/>
      <c r="H430" s="220" t="n"/>
      <c r="I430" s="220" t="n"/>
      <c r="J430" s="108" t="n"/>
      <c r="K430" s="108" t="n"/>
      <c r="L430" s="109" t="n"/>
      <c r="M430" s="109" t="n"/>
      <c r="N430" s="109" t="n"/>
      <c r="O430" s="220" t="n"/>
      <c r="P430" s="227">
        <f>IF(OR($E430="",$I430=""),"",IF(OR($J430="Tamamlandı",$J430="İptal"),"",$I430-TODAY()))</f>
        <v/>
      </c>
      <c r="Q430" s="113">
        <f>IF($E430="","",IF($D430="TANIMSIZ MÜŞTERİ","HATA",IF(OR($J430="Tamamlandı",$J430="İptal"),"KAPALI",IF(AND($C430="Görüşme",$N430=""),"SONRAKİ İŞLEM EKSİK",IF($I430="","TARİH EKSİK",IF($I430&lt;TODAY(),"GECİKMİŞ",IF($I430=TODAY(),"BUGÜN",IF($I430&lt;=TODAY()+7,"7 GÜN İÇİNDE","PLANLI"))))))))</f>
        <v/>
      </c>
      <c r="R430" s="6" t="n"/>
      <c r="S430" s="6" t="n"/>
      <c r="T430" s="3" t="n"/>
      <c r="U430" s="3">
        <f>IF($E430="","",UPPER(SUBSTITUTE(SUBSTITUTE(SUBSTITUTE(SUBSTITUTE(SUBSTITUTE(SUBSTITUTE(SUBSTITUTE(SUBSTITUTE(SUBSTITUTE(SUBSTITUTE(SUBSTITUTE(SUBSTITUTE(SUBSTITUTE(SUBSTITUTE(SUBSTITUTE(SUBSTITUTE(SUBSTITUTE(SUBSTITUTE(TRIM($E430),"'",""),"İ","I"),"ı","I"),"i","I"),"Ş","S"),"ş","S"),"Ğ","G"),"ğ","G"),"Ü","U"),"ü","U"),"Ö","O"),"ö","O"),"Ç","C"),"ç","C"),".",""),",","")," ",""),"-","")))</f>
        <v/>
      </c>
    </row>
    <row r="431">
      <c r="A431" s="6" t="n"/>
      <c r="B431" s="113">
        <f>IF($E431="","","A"&amp;TEXT(ROW()-6,"00000"))</f>
        <v/>
      </c>
      <c r="C431" s="108" t="n"/>
      <c r="D431" s="113">
        <f>IF($E431="","",IFERROR(INDEX(MUSTERILER!$B$7:$B$106,MATCH($U431,MUSTERILER!$T$7:$T$106,0)),IFERROR(INDEX(MUSTERILER!$B$7:$B$106,MATCH($E431,MUSTERILER!$B$7:$B$106,0)),IFERROR(INDEX(MUSTERILER!$B$7:$B$106,MATCH($U431&amp;"*",MUSTERILER!$T$7:$T$106,0)),"TANIMSIZ MÜŞTERİ"))))</f>
        <v/>
      </c>
      <c r="E431" s="109" t="n"/>
      <c r="F431" s="109" t="n"/>
      <c r="G431" s="108" t="n"/>
      <c r="H431" s="220" t="n"/>
      <c r="I431" s="220" t="n"/>
      <c r="J431" s="108" t="n"/>
      <c r="K431" s="108" t="n"/>
      <c r="L431" s="109" t="n"/>
      <c r="M431" s="109" t="n"/>
      <c r="N431" s="109" t="n"/>
      <c r="O431" s="220" t="n"/>
      <c r="P431" s="227">
        <f>IF(OR($E431="",$I431=""),"",IF(OR($J431="Tamamlandı",$J431="İptal"),"",$I431-TODAY()))</f>
        <v/>
      </c>
      <c r="Q431" s="113">
        <f>IF($E431="","",IF($D431="TANIMSIZ MÜŞTERİ","HATA",IF(OR($J431="Tamamlandı",$J431="İptal"),"KAPALI",IF(AND($C431="Görüşme",$N431=""),"SONRAKİ İŞLEM EKSİK",IF($I431="","TARİH EKSİK",IF($I431&lt;TODAY(),"GECİKMİŞ",IF($I431=TODAY(),"BUGÜN",IF($I431&lt;=TODAY()+7,"7 GÜN İÇİNDE","PLANLI"))))))))</f>
        <v/>
      </c>
      <c r="R431" s="6" t="n"/>
      <c r="S431" s="6" t="n"/>
      <c r="T431" s="3" t="n"/>
      <c r="U431" s="3">
        <f>IF($E431="","",UPPER(SUBSTITUTE(SUBSTITUTE(SUBSTITUTE(SUBSTITUTE(SUBSTITUTE(SUBSTITUTE(SUBSTITUTE(SUBSTITUTE(SUBSTITUTE(SUBSTITUTE(SUBSTITUTE(SUBSTITUTE(SUBSTITUTE(SUBSTITUTE(SUBSTITUTE(SUBSTITUTE(SUBSTITUTE(SUBSTITUTE(TRIM($E431),"'",""),"İ","I"),"ı","I"),"i","I"),"Ş","S"),"ş","S"),"Ğ","G"),"ğ","G"),"Ü","U"),"ü","U"),"Ö","O"),"ö","O"),"Ç","C"),"ç","C"),".",""),",","")," ",""),"-","")))</f>
        <v/>
      </c>
    </row>
    <row r="432">
      <c r="A432" s="6" t="n"/>
      <c r="B432" s="113">
        <f>IF($E432="","","A"&amp;TEXT(ROW()-6,"00000"))</f>
        <v/>
      </c>
      <c r="C432" s="108" t="n"/>
      <c r="D432" s="113">
        <f>IF($E432="","",IFERROR(INDEX(MUSTERILER!$B$7:$B$106,MATCH($U432,MUSTERILER!$T$7:$T$106,0)),IFERROR(INDEX(MUSTERILER!$B$7:$B$106,MATCH($E432,MUSTERILER!$B$7:$B$106,0)),IFERROR(INDEX(MUSTERILER!$B$7:$B$106,MATCH($U432&amp;"*",MUSTERILER!$T$7:$T$106,0)),"TANIMSIZ MÜŞTERİ"))))</f>
        <v/>
      </c>
      <c r="E432" s="109" t="n"/>
      <c r="F432" s="109" t="n"/>
      <c r="G432" s="108" t="n"/>
      <c r="H432" s="220" t="n"/>
      <c r="I432" s="220" t="n"/>
      <c r="J432" s="108" t="n"/>
      <c r="K432" s="108" t="n"/>
      <c r="L432" s="109" t="n"/>
      <c r="M432" s="109" t="n"/>
      <c r="N432" s="109" t="n"/>
      <c r="O432" s="220" t="n"/>
      <c r="P432" s="227">
        <f>IF(OR($E432="",$I432=""),"",IF(OR($J432="Tamamlandı",$J432="İptal"),"",$I432-TODAY()))</f>
        <v/>
      </c>
      <c r="Q432" s="113">
        <f>IF($E432="","",IF($D432="TANIMSIZ MÜŞTERİ","HATA",IF(OR($J432="Tamamlandı",$J432="İptal"),"KAPALI",IF(AND($C432="Görüşme",$N432=""),"SONRAKİ İŞLEM EKSİK",IF($I432="","TARİH EKSİK",IF($I432&lt;TODAY(),"GECİKMİŞ",IF($I432=TODAY(),"BUGÜN",IF($I432&lt;=TODAY()+7,"7 GÜN İÇİNDE","PLANLI"))))))))</f>
        <v/>
      </c>
      <c r="R432" s="6" t="n"/>
      <c r="S432" s="6" t="n"/>
      <c r="T432" s="3" t="n"/>
      <c r="U432" s="3">
        <f>IF($E432="","",UPPER(SUBSTITUTE(SUBSTITUTE(SUBSTITUTE(SUBSTITUTE(SUBSTITUTE(SUBSTITUTE(SUBSTITUTE(SUBSTITUTE(SUBSTITUTE(SUBSTITUTE(SUBSTITUTE(SUBSTITUTE(SUBSTITUTE(SUBSTITUTE(SUBSTITUTE(SUBSTITUTE(SUBSTITUTE(SUBSTITUTE(TRIM($E432),"'",""),"İ","I"),"ı","I"),"i","I"),"Ş","S"),"ş","S"),"Ğ","G"),"ğ","G"),"Ü","U"),"ü","U"),"Ö","O"),"ö","O"),"Ç","C"),"ç","C"),".",""),",","")," ",""),"-","")))</f>
        <v/>
      </c>
    </row>
    <row r="433">
      <c r="A433" s="6" t="n"/>
      <c r="B433" s="113">
        <f>IF($E433="","","A"&amp;TEXT(ROW()-6,"00000"))</f>
        <v/>
      </c>
      <c r="C433" s="108" t="n"/>
      <c r="D433" s="113">
        <f>IF($E433="","",IFERROR(INDEX(MUSTERILER!$B$7:$B$106,MATCH($U433,MUSTERILER!$T$7:$T$106,0)),IFERROR(INDEX(MUSTERILER!$B$7:$B$106,MATCH($E433,MUSTERILER!$B$7:$B$106,0)),IFERROR(INDEX(MUSTERILER!$B$7:$B$106,MATCH($U433&amp;"*",MUSTERILER!$T$7:$T$106,0)),"TANIMSIZ MÜŞTERİ"))))</f>
        <v/>
      </c>
      <c r="E433" s="109" t="n"/>
      <c r="F433" s="109" t="n"/>
      <c r="G433" s="108" t="n"/>
      <c r="H433" s="220" t="n"/>
      <c r="I433" s="220" t="n"/>
      <c r="J433" s="108" t="n"/>
      <c r="K433" s="108" t="n"/>
      <c r="L433" s="109" t="n"/>
      <c r="M433" s="109" t="n"/>
      <c r="N433" s="109" t="n"/>
      <c r="O433" s="220" t="n"/>
      <c r="P433" s="227">
        <f>IF(OR($E433="",$I433=""),"",IF(OR($J433="Tamamlandı",$J433="İptal"),"",$I433-TODAY()))</f>
        <v/>
      </c>
      <c r="Q433" s="113">
        <f>IF($E433="","",IF($D433="TANIMSIZ MÜŞTERİ","HATA",IF(OR($J433="Tamamlandı",$J433="İptal"),"KAPALI",IF(AND($C433="Görüşme",$N433=""),"SONRAKİ İŞLEM EKSİK",IF($I433="","TARİH EKSİK",IF($I433&lt;TODAY(),"GECİKMİŞ",IF($I433=TODAY(),"BUGÜN",IF($I433&lt;=TODAY()+7,"7 GÜN İÇİNDE","PLANLI"))))))))</f>
        <v/>
      </c>
      <c r="R433" s="6" t="n"/>
      <c r="S433" s="6" t="n"/>
      <c r="T433" s="3" t="n"/>
      <c r="U433" s="3">
        <f>IF($E433="","",UPPER(SUBSTITUTE(SUBSTITUTE(SUBSTITUTE(SUBSTITUTE(SUBSTITUTE(SUBSTITUTE(SUBSTITUTE(SUBSTITUTE(SUBSTITUTE(SUBSTITUTE(SUBSTITUTE(SUBSTITUTE(SUBSTITUTE(SUBSTITUTE(SUBSTITUTE(SUBSTITUTE(SUBSTITUTE(SUBSTITUTE(TRIM($E433),"'",""),"İ","I"),"ı","I"),"i","I"),"Ş","S"),"ş","S"),"Ğ","G"),"ğ","G"),"Ü","U"),"ü","U"),"Ö","O"),"ö","O"),"Ç","C"),"ç","C"),".",""),",","")," ",""),"-","")))</f>
        <v/>
      </c>
    </row>
    <row r="434">
      <c r="A434" s="6" t="n"/>
      <c r="B434" s="113">
        <f>IF($E434="","","A"&amp;TEXT(ROW()-6,"00000"))</f>
        <v/>
      </c>
      <c r="C434" s="108" t="n"/>
      <c r="D434" s="113">
        <f>IF($E434="","",IFERROR(INDEX(MUSTERILER!$B$7:$B$106,MATCH($U434,MUSTERILER!$T$7:$T$106,0)),IFERROR(INDEX(MUSTERILER!$B$7:$B$106,MATCH($E434,MUSTERILER!$B$7:$B$106,0)),IFERROR(INDEX(MUSTERILER!$B$7:$B$106,MATCH($U434&amp;"*",MUSTERILER!$T$7:$T$106,0)),"TANIMSIZ MÜŞTERİ"))))</f>
        <v/>
      </c>
      <c r="E434" s="109" t="n"/>
      <c r="F434" s="109" t="n"/>
      <c r="G434" s="108" t="n"/>
      <c r="H434" s="220" t="n"/>
      <c r="I434" s="220" t="n"/>
      <c r="J434" s="108" t="n"/>
      <c r="K434" s="108" t="n"/>
      <c r="L434" s="109" t="n"/>
      <c r="M434" s="109" t="n"/>
      <c r="N434" s="109" t="n"/>
      <c r="O434" s="220" t="n"/>
      <c r="P434" s="227">
        <f>IF(OR($E434="",$I434=""),"",IF(OR($J434="Tamamlandı",$J434="İptal"),"",$I434-TODAY()))</f>
        <v/>
      </c>
      <c r="Q434" s="113">
        <f>IF($E434="","",IF($D434="TANIMSIZ MÜŞTERİ","HATA",IF(OR($J434="Tamamlandı",$J434="İptal"),"KAPALI",IF(AND($C434="Görüşme",$N434=""),"SONRAKİ İŞLEM EKSİK",IF($I434="","TARİH EKSİK",IF($I434&lt;TODAY(),"GECİKMİŞ",IF($I434=TODAY(),"BUGÜN",IF($I434&lt;=TODAY()+7,"7 GÜN İÇİNDE","PLANLI"))))))))</f>
        <v/>
      </c>
      <c r="R434" s="6" t="n"/>
      <c r="S434" s="6" t="n"/>
      <c r="T434" s="3" t="n"/>
      <c r="U434" s="3">
        <f>IF($E434="","",UPPER(SUBSTITUTE(SUBSTITUTE(SUBSTITUTE(SUBSTITUTE(SUBSTITUTE(SUBSTITUTE(SUBSTITUTE(SUBSTITUTE(SUBSTITUTE(SUBSTITUTE(SUBSTITUTE(SUBSTITUTE(SUBSTITUTE(SUBSTITUTE(SUBSTITUTE(SUBSTITUTE(SUBSTITUTE(SUBSTITUTE(TRIM($E434),"'",""),"İ","I"),"ı","I"),"i","I"),"Ş","S"),"ş","S"),"Ğ","G"),"ğ","G"),"Ü","U"),"ü","U"),"Ö","O"),"ö","O"),"Ç","C"),"ç","C"),".",""),",","")," ",""),"-","")))</f>
        <v/>
      </c>
    </row>
    <row r="435">
      <c r="A435" s="6" t="n"/>
      <c r="B435" s="113">
        <f>IF($E435="","","A"&amp;TEXT(ROW()-6,"00000"))</f>
        <v/>
      </c>
      <c r="C435" s="108" t="n"/>
      <c r="D435" s="113">
        <f>IF($E435="","",IFERROR(INDEX(MUSTERILER!$B$7:$B$106,MATCH($U435,MUSTERILER!$T$7:$T$106,0)),IFERROR(INDEX(MUSTERILER!$B$7:$B$106,MATCH($E435,MUSTERILER!$B$7:$B$106,0)),IFERROR(INDEX(MUSTERILER!$B$7:$B$106,MATCH($U435&amp;"*",MUSTERILER!$T$7:$T$106,0)),"TANIMSIZ MÜŞTERİ"))))</f>
        <v/>
      </c>
      <c r="E435" s="109" t="n"/>
      <c r="F435" s="109" t="n"/>
      <c r="G435" s="108" t="n"/>
      <c r="H435" s="220" t="n"/>
      <c r="I435" s="220" t="n"/>
      <c r="J435" s="108" t="n"/>
      <c r="K435" s="108" t="n"/>
      <c r="L435" s="109" t="n"/>
      <c r="M435" s="109" t="n"/>
      <c r="N435" s="109" t="n"/>
      <c r="O435" s="220" t="n"/>
      <c r="P435" s="227">
        <f>IF(OR($E435="",$I435=""),"",IF(OR($J435="Tamamlandı",$J435="İptal"),"",$I435-TODAY()))</f>
        <v/>
      </c>
      <c r="Q435" s="113">
        <f>IF($E435="","",IF($D435="TANIMSIZ MÜŞTERİ","HATA",IF(OR($J435="Tamamlandı",$J435="İptal"),"KAPALI",IF(AND($C435="Görüşme",$N435=""),"SONRAKİ İŞLEM EKSİK",IF($I435="","TARİH EKSİK",IF($I435&lt;TODAY(),"GECİKMİŞ",IF($I435=TODAY(),"BUGÜN",IF($I435&lt;=TODAY()+7,"7 GÜN İÇİNDE","PLANLI"))))))))</f>
        <v/>
      </c>
      <c r="R435" s="6" t="n"/>
      <c r="S435" s="6" t="n"/>
      <c r="T435" s="3" t="n"/>
      <c r="U435" s="3">
        <f>IF($E435="","",UPPER(SUBSTITUTE(SUBSTITUTE(SUBSTITUTE(SUBSTITUTE(SUBSTITUTE(SUBSTITUTE(SUBSTITUTE(SUBSTITUTE(SUBSTITUTE(SUBSTITUTE(SUBSTITUTE(SUBSTITUTE(SUBSTITUTE(SUBSTITUTE(SUBSTITUTE(SUBSTITUTE(SUBSTITUTE(SUBSTITUTE(TRIM($E435),"'",""),"İ","I"),"ı","I"),"i","I"),"Ş","S"),"ş","S"),"Ğ","G"),"ğ","G"),"Ü","U"),"ü","U"),"Ö","O"),"ö","O"),"Ç","C"),"ç","C"),".",""),",","")," ",""),"-","")))</f>
        <v/>
      </c>
    </row>
    <row r="436">
      <c r="A436" s="6" t="n"/>
      <c r="B436" s="113">
        <f>IF($E436="","","A"&amp;TEXT(ROW()-6,"00000"))</f>
        <v/>
      </c>
      <c r="C436" s="108" t="n"/>
      <c r="D436" s="113">
        <f>IF($E436="","",IFERROR(INDEX(MUSTERILER!$B$7:$B$106,MATCH($U436,MUSTERILER!$T$7:$T$106,0)),IFERROR(INDEX(MUSTERILER!$B$7:$B$106,MATCH($E436,MUSTERILER!$B$7:$B$106,0)),IFERROR(INDEX(MUSTERILER!$B$7:$B$106,MATCH($U436&amp;"*",MUSTERILER!$T$7:$T$106,0)),"TANIMSIZ MÜŞTERİ"))))</f>
        <v/>
      </c>
      <c r="E436" s="109" t="n"/>
      <c r="F436" s="109" t="n"/>
      <c r="G436" s="108" t="n"/>
      <c r="H436" s="220" t="n"/>
      <c r="I436" s="220" t="n"/>
      <c r="J436" s="108" t="n"/>
      <c r="K436" s="108" t="n"/>
      <c r="L436" s="109" t="n"/>
      <c r="M436" s="109" t="n"/>
      <c r="N436" s="109" t="n"/>
      <c r="O436" s="220" t="n"/>
      <c r="P436" s="227">
        <f>IF(OR($E436="",$I436=""),"",IF(OR($J436="Tamamlandı",$J436="İptal"),"",$I436-TODAY()))</f>
        <v/>
      </c>
      <c r="Q436" s="113">
        <f>IF($E436="","",IF($D436="TANIMSIZ MÜŞTERİ","HATA",IF(OR($J436="Tamamlandı",$J436="İptal"),"KAPALI",IF(AND($C436="Görüşme",$N436=""),"SONRAKİ İŞLEM EKSİK",IF($I436="","TARİH EKSİK",IF($I436&lt;TODAY(),"GECİKMİŞ",IF($I436=TODAY(),"BUGÜN",IF($I436&lt;=TODAY()+7,"7 GÜN İÇİNDE","PLANLI"))))))))</f>
        <v/>
      </c>
      <c r="R436" s="6" t="n"/>
      <c r="S436" s="6" t="n"/>
      <c r="T436" s="3" t="n"/>
      <c r="U436" s="3">
        <f>IF($E436="","",UPPER(SUBSTITUTE(SUBSTITUTE(SUBSTITUTE(SUBSTITUTE(SUBSTITUTE(SUBSTITUTE(SUBSTITUTE(SUBSTITUTE(SUBSTITUTE(SUBSTITUTE(SUBSTITUTE(SUBSTITUTE(SUBSTITUTE(SUBSTITUTE(SUBSTITUTE(SUBSTITUTE(SUBSTITUTE(SUBSTITUTE(TRIM($E436),"'",""),"İ","I"),"ı","I"),"i","I"),"Ş","S"),"ş","S"),"Ğ","G"),"ğ","G"),"Ü","U"),"ü","U"),"Ö","O"),"ö","O"),"Ç","C"),"ç","C"),".",""),",","")," ",""),"-","")))</f>
        <v/>
      </c>
    </row>
    <row r="437">
      <c r="A437" s="6" t="n"/>
      <c r="B437" s="113">
        <f>IF($E437="","","A"&amp;TEXT(ROW()-6,"00000"))</f>
        <v/>
      </c>
      <c r="C437" s="108" t="n"/>
      <c r="D437" s="113">
        <f>IF($E437="","",IFERROR(INDEX(MUSTERILER!$B$7:$B$106,MATCH($U437,MUSTERILER!$T$7:$T$106,0)),IFERROR(INDEX(MUSTERILER!$B$7:$B$106,MATCH($E437,MUSTERILER!$B$7:$B$106,0)),IFERROR(INDEX(MUSTERILER!$B$7:$B$106,MATCH($U437&amp;"*",MUSTERILER!$T$7:$T$106,0)),"TANIMSIZ MÜŞTERİ"))))</f>
        <v/>
      </c>
      <c r="E437" s="109" t="n"/>
      <c r="F437" s="109" t="n"/>
      <c r="G437" s="108" t="n"/>
      <c r="H437" s="220" t="n"/>
      <c r="I437" s="220" t="n"/>
      <c r="J437" s="108" t="n"/>
      <c r="K437" s="108" t="n"/>
      <c r="L437" s="109" t="n"/>
      <c r="M437" s="109" t="n"/>
      <c r="N437" s="109" t="n"/>
      <c r="O437" s="220" t="n"/>
      <c r="P437" s="227">
        <f>IF(OR($E437="",$I437=""),"",IF(OR($J437="Tamamlandı",$J437="İptal"),"",$I437-TODAY()))</f>
        <v/>
      </c>
      <c r="Q437" s="113">
        <f>IF($E437="","",IF($D437="TANIMSIZ MÜŞTERİ","HATA",IF(OR($J437="Tamamlandı",$J437="İptal"),"KAPALI",IF(AND($C437="Görüşme",$N437=""),"SONRAKİ İŞLEM EKSİK",IF($I437="","TARİH EKSİK",IF($I437&lt;TODAY(),"GECİKMİŞ",IF($I437=TODAY(),"BUGÜN",IF($I437&lt;=TODAY()+7,"7 GÜN İÇİNDE","PLANLI"))))))))</f>
        <v/>
      </c>
      <c r="R437" s="6" t="n"/>
      <c r="S437" s="6" t="n"/>
      <c r="T437" s="3" t="n"/>
      <c r="U437" s="3">
        <f>IF($E437="","",UPPER(SUBSTITUTE(SUBSTITUTE(SUBSTITUTE(SUBSTITUTE(SUBSTITUTE(SUBSTITUTE(SUBSTITUTE(SUBSTITUTE(SUBSTITUTE(SUBSTITUTE(SUBSTITUTE(SUBSTITUTE(SUBSTITUTE(SUBSTITUTE(SUBSTITUTE(SUBSTITUTE(SUBSTITUTE(SUBSTITUTE(TRIM($E437),"'",""),"İ","I"),"ı","I"),"i","I"),"Ş","S"),"ş","S"),"Ğ","G"),"ğ","G"),"Ü","U"),"ü","U"),"Ö","O"),"ö","O"),"Ç","C"),"ç","C"),".",""),",","")," ",""),"-","")))</f>
        <v/>
      </c>
    </row>
    <row r="438">
      <c r="A438" s="6" t="n"/>
      <c r="B438" s="113">
        <f>IF($E438="","","A"&amp;TEXT(ROW()-6,"00000"))</f>
        <v/>
      </c>
      <c r="C438" s="108" t="n"/>
      <c r="D438" s="113">
        <f>IF($E438="","",IFERROR(INDEX(MUSTERILER!$B$7:$B$106,MATCH($U438,MUSTERILER!$T$7:$T$106,0)),IFERROR(INDEX(MUSTERILER!$B$7:$B$106,MATCH($E438,MUSTERILER!$B$7:$B$106,0)),IFERROR(INDEX(MUSTERILER!$B$7:$B$106,MATCH($U438&amp;"*",MUSTERILER!$T$7:$T$106,0)),"TANIMSIZ MÜŞTERİ"))))</f>
        <v/>
      </c>
      <c r="E438" s="109" t="n"/>
      <c r="F438" s="109" t="n"/>
      <c r="G438" s="108" t="n"/>
      <c r="H438" s="220" t="n"/>
      <c r="I438" s="220" t="n"/>
      <c r="J438" s="108" t="n"/>
      <c r="K438" s="108" t="n"/>
      <c r="L438" s="109" t="n"/>
      <c r="M438" s="109" t="n"/>
      <c r="N438" s="109" t="n"/>
      <c r="O438" s="220" t="n"/>
      <c r="P438" s="227">
        <f>IF(OR($E438="",$I438=""),"",IF(OR($J438="Tamamlandı",$J438="İptal"),"",$I438-TODAY()))</f>
        <v/>
      </c>
      <c r="Q438" s="113">
        <f>IF($E438="","",IF($D438="TANIMSIZ MÜŞTERİ","HATA",IF(OR($J438="Tamamlandı",$J438="İptal"),"KAPALI",IF(AND($C438="Görüşme",$N438=""),"SONRAKİ İŞLEM EKSİK",IF($I438="","TARİH EKSİK",IF($I438&lt;TODAY(),"GECİKMİŞ",IF($I438=TODAY(),"BUGÜN",IF($I438&lt;=TODAY()+7,"7 GÜN İÇİNDE","PLANLI"))))))))</f>
        <v/>
      </c>
      <c r="R438" s="6" t="n"/>
      <c r="S438" s="6" t="n"/>
      <c r="T438" s="3" t="n"/>
      <c r="U438" s="3">
        <f>IF($E438="","",UPPER(SUBSTITUTE(SUBSTITUTE(SUBSTITUTE(SUBSTITUTE(SUBSTITUTE(SUBSTITUTE(SUBSTITUTE(SUBSTITUTE(SUBSTITUTE(SUBSTITUTE(SUBSTITUTE(SUBSTITUTE(SUBSTITUTE(SUBSTITUTE(SUBSTITUTE(SUBSTITUTE(SUBSTITUTE(SUBSTITUTE(TRIM($E438),"'",""),"İ","I"),"ı","I"),"i","I"),"Ş","S"),"ş","S"),"Ğ","G"),"ğ","G"),"Ü","U"),"ü","U"),"Ö","O"),"ö","O"),"Ç","C"),"ç","C"),".",""),",","")," ",""),"-","")))</f>
        <v/>
      </c>
    </row>
    <row r="439">
      <c r="A439" s="6" t="n"/>
      <c r="B439" s="113">
        <f>IF($E439="","","A"&amp;TEXT(ROW()-6,"00000"))</f>
        <v/>
      </c>
      <c r="C439" s="108" t="n"/>
      <c r="D439" s="113">
        <f>IF($E439="","",IFERROR(INDEX(MUSTERILER!$B$7:$B$106,MATCH($U439,MUSTERILER!$T$7:$T$106,0)),IFERROR(INDEX(MUSTERILER!$B$7:$B$106,MATCH($E439,MUSTERILER!$B$7:$B$106,0)),IFERROR(INDEX(MUSTERILER!$B$7:$B$106,MATCH($U439&amp;"*",MUSTERILER!$T$7:$T$106,0)),"TANIMSIZ MÜŞTERİ"))))</f>
        <v/>
      </c>
      <c r="E439" s="109" t="n"/>
      <c r="F439" s="109" t="n"/>
      <c r="G439" s="108" t="n"/>
      <c r="H439" s="220" t="n"/>
      <c r="I439" s="220" t="n"/>
      <c r="J439" s="108" t="n"/>
      <c r="K439" s="108" t="n"/>
      <c r="L439" s="109" t="n"/>
      <c r="M439" s="109" t="n"/>
      <c r="N439" s="109" t="n"/>
      <c r="O439" s="220" t="n"/>
      <c r="P439" s="227">
        <f>IF(OR($E439="",$I439=""),"",IF(OR($J439="Tamamlandı",$J439="İptal"),"",$I439-TODAY()))</f>
        <v/>
      </c>
      <c r="Q439" s="113">
        <f>IF($E439="","",IF($D439="TANIMSIZ MÜŞTERİ","HATA",IF(OR($J439="Tamamlandı",$J439="İptal"),"KAPALI",IF(AND($C439="Görüşme",$N439=""),"SONRAKİ İŞLEM EKSİK",IF($I439="","TARİH EKSİK",IF($I439&lt;TODAY(),"GECİKMİŞ",IF($I439=TODAY(),"BUGÜN",IF($I439&lt;=TODAY()+7,"7 GÜN İÇİNDE","PLANLI"))))))))</f>
        <v/>
      </c>
      <c r="R439" s="6" t="n"/>
      <c r="S439" s="6" t="n"/>
      <c r="T439" s="3" t="n"/>
      <c r="U439" s="3">
        <f>IF($E439="","",UPPER(SUBSTITUTE(SUBSTITUTE(SUBSTITUTE(SUBSTITUTE(SUBSTITUTE(SUBSTITUTE(SUBSTITUTE(SUBSTITUTE(SUBSTITUTE(SUBSTITUTE(SUBSTITUTE(SUBSTITUTE(SUBSTITUTE(SUBSTITUTE(SUBSTITUTE(SUBSTITUTE(SUBSTITUTE(SUBSTITUTE(TRIM($E439),"'",""),"İ","I"),"ı","I"),"i","I"),"Ş","S"),"ş","S"),"Ğ","G"),"ğ","G"),"Ü","U"),"ü","U"),"Ö","O"),"ö","O"),"Ç","C"),"ç","C"),".",""),",","")," ",""),"-","")))</f>
        <v/>
      </c>
    </row>
    <row r="440">
      <c r="A440" s="6" t="n"/>
      <c r="B440" s="113">
        <f>IF($E440="","","A"&amp;TEXT(ROW()-6,"00000"))</f>
        <v/>
      </c>
      <c r="C440" s="108" t="n"/>
      <c r="D440" s="113">
        <f>IF($E440="","",IFERROR(INDEX(MUSTERILER!$B$7:$B$106,MATCH($U440,MUSTERILER!$T$7:$T$106,0)),IFERROR(INDEX(MUSTERILER!$B$7:$B$106,MATCH($E440,MUSTERILER!$B$7:$B$106,0)),IFERROR(INDEX(MUSTERILER!$B$7:$B$106,MATCH($U440&amp;"*",MUSTERILER!$T$7:$T$106,0)),"TANIMSIZ MÜŞTERİ"))))</f>
        <v/>
      </c>
      <c r="E440" s="109" t="n"/>
      <c r="F440" s="109" t="n"/>
      <c r="G440" s="108" t="n"/>
      <c r="H440" s="220" t="n"/>
      <c r="I440" s="220" t="n"/>
      <c r="J440" s="108" t="n"/>
      <c r="K440" s="108" t="n"/>
      <c r="L440" s="109" t="n"/>
      <c r="M440" s="109" t="n"/>
      <c r="N440" s="109" t="n"/>
      <c r="O440" s="220" t="n"/>
      <c r="P440" s="227">
        <f>IF(OR($E440="",$I440=""),"",IF(OR($J440="Tamamlandı",$J440="İptal"),"",$I440-TODAY()))</f>
        <v/>
      </c>
      <c r="Q440" s="113">
        <f>IF($E440="","",IF($D440="TANIMSIZ MÜŞTERİ","HATA",IF(OR($J440="Tamamlandı",$J440="İptal"),"KAPALI",IF(AND($C440="Görüşme",$N440=""),"SONRAKİ İŞLEM EKSİK",IF($I440="","TARİH EKSİK",IF($I440&lt;TODAY(),"GECİKMİŞ",IF($I440=TODAY(),"BUGÜN",IF($I440&lt;=TODAY()+7,"7 GÜN İÇİNDE","PLANLI"))))))))</f>
        <v/>
      </c>
      <c r="R440" s="6" t="n"/>
      <c r="S440" s="6" t="n"/>
      <c r="T440" s="3" t="n"/>
      <c r="U440" s="3">
        <f>IF($E440="","",UPPER(SUBSTITUTE(SUBSTITUTE(SUBSTITUTE(SUBSTITUTE(SUBSTITUTE(SUBSTITUTE(SUBSTITUTE(SUBSTITUTE(SUBSTITUTE(SUBSTITUTE(SUBSTITUTE(SUBSTITUTE(SUBSTITUTE(SUBSTITUTE(SUBSTITUTE(SUBSTITUTE(SUBSTITUTE(SUBSTITUTE(TRIM($E440),"'",""),"İ","I"),"ı","I"),"i","I"),"Ş","S"),"ş","S"),"Ğ","G"),"ğ","G"),"Ü","U"),"ü","U"),"Ö","O"),"ö","O"),"Ç","C"),"ç","C"),".",""),",","")," ",""),"-","")))</f>
        <v/>
      </c>
    </row>
    <row r="441">
      <c r="A441" s="6" t="n"/>
      <c r="B441" s="113">
        <f>IF($E441="","","A"&amp;TEXT(ROW()-6,"00000"))</f>
        <v/>
      </c>
      <c r="C441" s="108" t="n"/>
      <c r="D441" s="113">
        <f>IF($E441="","",IFERROR(INDEX(MUSTERILER!$B$7:$B$106,MATCH($U441,MUSTERILER!$T$7:$T$106,0)),IFERROR(INDEX(MUSTERILER!$B$7:$B$106,MATCH($E441,MUSTERILER!$B$7:$B$106,0)),IFERROR(INDEX(MUSTERILER!$B$7:$B$106,MATCH($U441&amp;"*",MUSTERILER!$T$7:$T$106,0)),"TANIMSIZ MÜŞTERİ"))))</f>
        <v/>
      </c>
      <c r="E441" s="109" t="n"/>
      <c r="F441" s="109" t="n"/>
      <c r="G441" s="108" t="n"/>
      <c r="H441" s="220" t="n"/>
      <c r="I441" s="220" t="n"/>
      <c r="J441" s="108" t="n"/>
      <c r="K441" s="108" t="n"/>
      <c r="L441" s="109" t="n"/>
      <c r="M441" s="109" t="n"/>
      <c r="N441" s="109" t="n"/>
      <c r="O441" s="220" t="n"/>
      <c r="P441" s="227">
        <f>IF(OR($E441="",$I441=""),"",IF(OR($J441="Tamamlandı",$J441="İptal"),"",$I441-TODAY()))</f>
        <v/>
      </c>
      <c r="Q441" s="113">
        <f>IF($E441="","",IF($D441="TANIMSIZ MÜŞTERİ","HATA",IF(OR($J441="Tamamlandı",$J441="İptal"),"KAPALI",IF(AND($C441="Görüşme",$N441=""),"SONRAKİ İŞLEM EKSİK",IF($I441="","TARİH EKSİK",IF($I441&lt;TODAY(),"GECİKMİŞ",IF($I441=TODAY(),"BUGÜN",IF($I441&lt;=TODAY()+7,"7 GÜN İÇİNDE","PLANLI"))))))))</f>
        <v/>
      </c>
      <c r="R441" s="6" t="n"/>
      <c r="S441" s="6" t="n"/>
      <c r="T441" s="3" t="n"/>
      <c r="U441" s="3">
        <f>IF($E441="","",UPPER(SUBSTITUTE(SUBSTITUTE(SUBSTITUTE(SUBSTITUTE(SUBSTITUTE(SUBSTITUTE(SUBSTITUTE(SUBSTITUTE(SUBSTITUTE(SUBSTITUTE(SUBSTITUTE(SUBSTITUTE(SUBSTITUTE(SUBSTITUTE(SUBSTITUTE(SUBSTITUTE(SUBSTITUTE(SUBSTITUTE(TRIM($E441),"'",""),"İ","I"),"ı","I"),"i","I"),"Ş","S"),"ş","S"),"Ğ","G"),"ğ","G"),"Ü","U"),"ü","U"),"Ö","O"),"ö","O"),"Ç","C"),"ç","C"),".",""),",","")," ",""),"-","")))</f>
        <v/>
      </c>
    </row>
    <row r="442">
      <c r="A442" s="6" t="n"/>
      <c r="B442" s="113">
        <f>IF($E442="","","A"&amp;TEXT(ROW()-6,"00000"))</f>
        <v/>
      </c>
      <c r="C442" s="108" t="n"/>
      <c r="D442" s="113">
        <f>IF($E442="","",IFERROR(INDEX(MUSTERILER!$B$7:$B$106,MATCH($U442,MUSTERILER!$T$7:$T$106,0)),IFERROR(INDEX(MUSTERILER!$B$7:$B$106,MATCH($E442,MUSTERILER!$B$7:$B$106,0)),IFERROR(INDEX(MUSTERILER!$B$7:$B$106,MATCH($U442&amp;"*",MUSTERILER!$T$7:$T$106,0)),"TANIMSIZ MÜŞTERİ"))))</f>
        <v/>
      </c>
      <c r="E442" s="109" t="n"/>
      <c r="F442" s="109" t="n"/>
      <c r="G442" s="108" t="n"/>
      <c r="H442" s="220" t="n"/>
      <c r="I442" s="220" t="n"/>
      <c r="J442" s="108" t="n"/>
      <c r="K442" s="108" t="n"/>
      <c r="L442" s="109" t="n"/>
      <c r="M442" s="109" t="n"/>
      <c r="N442" s="109" t="n"/>
      <c r="O442" s="220" t="n"/>
      <c r="P442" s="227">
        <f>IF(OR($E442="",$I442=""),"",IF(OR($J442="Tamamlandı",$J442="İptal"),"",$I442-TODAY()))</f>
        <v/>
      </c>
      <c r="Q442" s="113">
        <f>IF($E442="","",IF($D442="TANIMSIZ MÜŞTERİ","HATA",IF(OR($J442="Tamamlandı",$J442="İptal"),"KAPALI",IF(AND($C442="Görüşme",$N442=""),"SONRAKİ İŞLEM EKSİK",IF($I442="","TARİH EKSİK",IF($I442&lt;TODAY(),"GECİKMİŞ",IF($I442=TODAY(),"BUGÜN",IF($I442&lt;=TODAY()+7,"7 GÜN İÇİNDE","PLANLI"))))))))</f>
        <v/>
      </c>
      <c r="R442" s="6" t="n"/>
      <c r="S442" s="6" t="n"/>
      <c r="T442" s="3" t="n"/>
      <c r="U442" s="3">
        <f>IF($E442="","",UPPER(SUBSTITUTE(SUBSTITUTE(SUBSTITUTE(SUBSTITUTE(SUBSTITUTE(SUBSTITUTE(SUBSTITUTE(SUBSTITUTE(SUBSTITUTE(SUBSTITUTE(SUBSTITUTE(SUBSTITUTE(SUBSTITUTE(SUBSTITUTE(SUBSTITUTE(SUBSTITUTE(SUBSTITUTE(SUBSTITUTE(TRIM($E442),"'",""),"İ","I"),"ı","I"),"i","I"),"Ş","S"),"ş","S"),"Ğ","G"),"ğ","G"),"Ü","U"),"ü","U"),"Ö","O"),"ö","O"),"Ç","C"),"ç","C"),".",""),",","")," ",""),"-","")))</f>
        <v/>
      </c>
    </row>
    <row r="443">
      <c r="A443" s="6" t="n"/>
      <c r="B443" s="113">
        <f>IF($E443="","","A"&amp;TEXT(ROW()-6,"00000"))</f>
        <v/>
      </c>
      <c r="C443" s="108" t="n"/>
      <c r="D443" s="113">
        <f>IF($E443="","",IFERROR(INDEX(MUSTERILER!$B$7:$B$106,MATCH($U443,MUSTERILER!$T$7:$T$106,0)),IFERROR(INDEX(MUSTERILER!$B$7:$B$106,MATCH($E443,MUSTERILER!$B$7:$B$106,0)),IFERROR(INDEX(MUSTERILER!$B$7:$B$106,MATCH($U443&amp;"*",MUSTERILER!$T$7:$T$106,0)),"TANIMSIZ MÜŞTERİ"))))</f>
        <v/>
      </c>
      <c r="E443" s="109" t="n"/>
      <c r="F443" s="109" t="n"/>
      <c r="G443" s="108" t="n"/>
      <c r="H443" s="220" t="n"/>
      <c r="I443" s="220" t="n"/>
      <c r="J443" s="108" t="n"/>
      <c r="K443" s="108" t="n"/>
      <c r="L443" s="109" t="n"/>
      <c r="M443" s="109" t="n"/>
      <c r="N443" s="109" t="n"/>
      <c r="O443" s="220" t="n"/>
      <c r="P443" s="227">
        <f>IF(OR($E443="",$I443=""),"",IF(OR($J443="Tamamlandı",$J443="İptal"),"",$I443-TODAY()))</f>
        <v/>
      </c>
      <c r="Q443" s="113">
        <f>IF($E443="","",IF($D443="TANIMSIZ MÜŞTERİ","HATA",IF(OR($J443="Tamamlandı",$J443="İptal"),"KAPALI",IF(AND($C443="Görüşme",$N443=""),"SONRAKİ İŞLEM EKSİK",IF($I443="","TARİH EKSİK",IF($I443&lt;TODAY(),"GECİKMİŞ",IF($I443=TODAY(),"BUGÜN",IF($I443&lt;=TODAY()+7,"7 GÜN İÇİNDE","PLANLI"))))))))</f>
        <v/>
      </c>
      <c r="R443" s="6" t="n"/>
      <c r="S443" s="6" t="n"/>
      <c r="T443" s="3" t="n"/>
      <c r="U443" s="3">
        <f>IF($E443="","",UPPER(SUBSTITUTE(SUBSTITUTE(SUBSTITUTE(SUBSTITUTE(SUBSTITUTE(SUBSTITUTE(SUBSTITUTE(SUBSTITUTE(SUBSTITUTE(SUBSTITUTE(SUBSTITUTE(SUBSTITUTE(SUBSTITUTE(SUBSTITUTE(SUBSTITUTE(SUBSTITUTE(SUBSTITUTE(SUBSTITUTE(TRIM($E443),"'",""),"İ","I"),"ı","I"),"i","I"),"Ş","S"),"ş","S"),"Ğ","G"),"ğ","G"),"Ü","U"),"ü","U"),"Ö","O"),"ö","O"),"Ç","C"),"ç","C"),".",""),",","")," ",""),"-","")))</f>
        <v/>
      </c>
    </row>
    <row r="444">
      <c r="A444" s="6" t="n"/>
      <c r="B444" s="113">
        <f>IF($E444="","","A"&amp;TEXT(ROW()-6,"00000"))</f>
        <v/>
      </c>
      <c r="C444" s="108" t="n"/>
      <c r="D444" s="113">
        <f>IF($E444="","",IFERROR(INDEX(MUSTERILER!$B$7:$B$106,MATCH($U444,MUSTERILER!$T$7:$T$106,0)),IFERROR(INDEX(MUSTERILER!$B$7:$B$106,MATCH($E444,MUSTERILER!$B$7:$B$106,0)),IFERROR(INDEX(MUSTERILER!$B$7:$B$106,MATCH($U444&amp;"*",MUSTERILER!$T$7:$T$106,0)),"TANIMSIZ MÜŞTERİ"))))</f>
        <v/>
      </c>
      <c r="E444" s="109" t="n"/>
      <c r="F444" s="109" t="n"/>
      <c r="G444" s="108" t="n"/>
      <c r="H444" s="220" t="n"/>
      <c r="I444" s="220" t="n"/>
      <c r="J444" s="108" t="n"/>
      <c r="K444" s="108" t="n"/>
      <c r="L444" s="109" t="n"/>
      <c r="M444" s="109" t="n"/>
      <c r="N444" s="109" t="n"/>
      <c r="O444" s="220" t="n"/>
      <c r="P444" s="227">
        <f>IF(OR($E444="",$I444=""),"",IF(OR($J444="Tamamlandı",$J444="İptal"),"",$I444-TODAY()))</f>
        <v/>
      </c>
      <c r="Q444" s="113">
        <f>IF($E444="","",IF($D444="TANIMSIZ MÜŞTERİ","HATA",IF(OR($J444="Tamamlandı",$J444="İptal"),"KAPALI",IF(AND($C444="Görüşme",$N444=""),"SONRAKİ İŞLEM EKSİK",IF($I444="","TARİH EKSİK",IF($I444&lt;TODAY(),"GECİKMİŞ",IF($I444=TODAY(),"BUGÜN",IF($I444&lt;=TODAY()+7,"7 GÜN İÇİNDE","PLANLI"))))))))</f>
        <v/>
      </c>
      <c r="R444" s="6" t="n"/>
      <c r="S444" s="6" t="n"/>
      <c r="T444" s="3" t="n"/>
      <c r="U444" s="3">
        <f>IF($E444="","",UPPER(SUBSTITUTE(SUBSTITUTE(SUBSTITUTE(SUBSTITUTE(SUBSTITUTE(SUBSTITUTE(SUBSTITUTE(SUBSTITUTE(SUBSTITUTE(SUBSTITUTE(SUBSTITUTE(SUBSTITUTE(SUBSTITUTE(SUBSTITUTE(SUBSTITUTE(SUBSTITUTE(SUBSTITUTE(SUBSTITUTE(TRIM($E444),"'",""),"İ","I"),"ı","I"),"i","I"),"Ş","S"),"ş","S"),"Ğ","G"),"ğ","G"),"Ü","U"),"ü","U"),"Ö","O"),"ö","O"),"Ç","C"),"ç","C"),".",""),",","")," ",""),"-","")))</f>
        <v/>
      </c>
    </row>
    <row r="445">
      <c r="A445" s="6" t="n"/>
      <c r="B445" s="113">
        <f>IF($E445="","","A"&amp;TEXT(ROW()-6,"00000"))</f>
        <v/>
      </c>
      <c r="C445" s="108" t="n"/>
      <c r="D445" s="113">
        <f>IF($E445="","",IFERROR(INDEX(MUSTERILER!$B$7:$B$106,MATCH($U445,MUSTERILER!$T$7:$T$106,0)),IFERROR(INDEX(MUSTERILER!$B$7:$B$106,MATCH($E445,MUSTERILER!$B$7:$B$106,0)),IFERROR(INDEX(MUSTERILER!$B$7:$B$106,MATCH($U445&amp;"*",MUSTERILER!$T$7:$T$106,0)),"TANIMSIZ MÜŞTERİ"))))</f>
        <v/>
      </c>
      <c r="E445" s="109" t="n"/>
      <c r="F445" s="109" t="n"/>
      <c r="G445" s="108" t="n"/>
      <c r="H445" s="220" t="n"/>
      <c r="I445" s="220" t="n"/>
      <c r="J445" s="108" t="n"/>
      <c r="K445" s="108" t="n"/>
      <c r="L445" s="109" t="n"/>
      <c r="M445" s="109" t="n"/>
      <c r="N445" s="109" t="n"/>
      <c r="O445" s="220" t="n"/>
      <c r="P445" s="227">
        <f>IF(OR($E445="",$I445=""),"",IF(OR($J445="Tamamlandı",$J445="İptal"),"",$I445-TODAY()))</f>
        <v/>
      </c>
      <c r="Q445" s="113">
        <f>IF($E445="","",IF($D445="TANIMSIZ MÜŞTERİ","HATA",IF(OR($J445="Tamamlandı",$J445="İptal"),"KAPALI",IF(AND($C445="Görüşme",$N445=""),"SONRAKİ İŞLEM EKSİK",IF($I445="","TARİH EKSİK",IF($I445&lt;TODAY(),"GECİKMİŞ",IF($I445=TODAY(),"BUGÜN",IF($I445&lt;=TODAY()+7,"7 GÜN İÇİNDE","PLANLI"))))))))</f>
        <v/>
      </c>
      <c r="R445" s="6" t="n"/>
      <c r="S445" s="6" t="n"/>
      <c r="T445" s="3" t="n"/>
      <c r="U445" s="3">
        <f>IF($E445="","",UPPER(SUBSTITUTE(SUBSTITUTE(SUBSTITUTE(SUBSTITUTE(SUBSTITUTE(SUBSTITUTE(SUBSTITUTE(SUBSTITUTE(SUBSTITUTE(SUBSTITUTE(SUBSTITUTE(SUBSTITUTE(SUBSTITUTE(SUBSTITUTE(SUBSTITUTE(SUBSTITUTE(SUBSTITUTE(SUBSTITUTE(TRIM($E445),"'",""),"İ","I"),"ı","I"),"i","I"),"Ş","S"),"ş","S"),"Ğ","G"),"ğ","G"),"Ü","U"),"ü","U"),"Ö","O"),"ö","O"),"Ç","C"),"ç","C"),".",""),",","")," ",""),"-","")))</f>
        <v/>
      </c>
    </row>
    <row r="446">
      <c r="A446" s="6" t="n"/>
      <c r="B446" s="113">
        <f>IF($E446="","","A"&amp;TEXT(ROW()-6,"00000"))</f>
        <v/>
      </c>
      <c r="C446" s="108" t="n"/>
      <c r="D446" s="113">
        <f>IF($E446="","",IFERROR(INDEX(MUSTERILER!$B$7:$B$106,MATCH($U446,MUSTERILER!$T$7:$T$106,0)),IFERROR(INDEX(MUSTERILER!$B$7:$B$106,MATCH($E446,MUSTERILER!$B$7:$B$106,0)),IFERROR(INDEX(MUSTERILER!$B$7:$B$106,MATCH($U446&amp;"*",MUSTERILER!$T$7:$T$106,0)),"TANIMSIZ MÜŞTERİ"))))</f>
        <v/>
      </c>
      <c r="E446" s="109" t="n"/>
      <c r="F446" s="109" t="n"/>
      <c r="G446" s="108" t="n"/>
      <c r="H446" s="220" t="n"/>
      <c r="I446" s="220" t="n"/>
      <c r="J446" s="108" t="n"/>
      <c r="K446" s="108" t="n"/>
      <c r="L446" s="109" t="n"/>
      <c r="M446" s="109" t="n"/>
      <c r="N446" s="109" t="n"/>
      <c r="O446" s="220" t="n"/>
      <c r="P446" s="227">
        <f>IF(OR($E446="",$I446=""),"",IF(OR($J446="Tamamlandı",$J446="İptal"),"",$I446-TODAY()))</f>
        <v/>
      </c>
      <c r="Q446" s="113">
        <f>IF($E446="","",IF($D446="TANIMSIZ MÜŞTERİ","HATA",IF(OR($J446="Tamamlandı",$J446="İptal"),"KAPALI",IF(AND($C446="Görüşme",$N446=""),"SONRAKİ İŞLEM EKSİK",IF($I446="","TARİH EKSİK",IF($I446&lt;TODAY(),"GECİKMİŞ",IF($I446=TODAY(),"BUGÜN",IF($I446&lt;=TODAY()+7,"7 GÜN İÇİNDE","PLANLI"))))))))</f>
        <v/>
      </c>
      <c r="R446" s="6" t="n"/>
      <c r="S446" s="6" t="n"/>
      <c r="T446" s="3" t="n"/>
      <c r="U446" s="3">
        <f>IF($E446="","",UPPER(SUBSTITUTE(SUBSTITUTE(SUBSTITUTE(SUBSTITUTE(SUBSTITUTE(SUBSTITUTE(SUBSTITUTE(SUBSTITUTE(SUBSTITUTE(SUBSTITUTE(SUBSTITUTE(SUBSTITUTE(SUBSTITUTE(SUBSTITUTE(SUBSTITUTE(SUBSTITUTE(SUBSTITUTE(SUBSTITUTE(TRIM($E446),"'",""),"İ","I"),"ı","I"),"i","I"),"Ş","S"),"ş","S"),"Ğ","G"),"ğ","G"),"Ü","U"),"ü","U"),"Ö","O"),"ö","O"),"Ç","C"),"ç","C"),".",""),",","")," ",""),"-","")))</f>
        <v/>
      </c>
    </row>
    <row r="447">
      <c r="A447" s="6" t="n"/>
      <c r="B447" s="113">
        <f>IF($E447="","","A"&amp;TEXT(ROW()-6,"00000"))</f>
        <v/>
      </c>
      <c r="C447" s="108" t="n"/>
      <c r="D447" s="113">
        <f>IF($E447="","",IFERROR(INDEX(MUSTERILER!$B$7:$B$106,MATCH($U447,MUSTERILER!$T$7:$T$106,0)),IFERROR(INDEX(MUSTERILER!$B$7:$B$106,MATCH($E447,MUSTERILER!$B$7:$B$106,0)),IFERROR(INDEX(MUSTERILER!$B$7:$B$106,MATCH($U447&amp;"*",MUSTERILER!$T$7:$T$106,0)),"TANIMSIZ MÜŞTERİ"))))</f>
        <v/>
      </c>
      <c r="E447" s="109" t="n"/>
      <c r="F447" s="109" t="n"/>
      <c r="G447" s="108" t="n"/>
      <c r="H447" s="220" t="n"/>
      <c r="I447" s="220" t="n"/>
      <c r="J447" s="108" t="n"/>
      <c r="K447" s="108" t="n"/>
      <c r="L447" s="109" t="n"/>
      <c r="M447" s="109" t="n"/>
      <c r="N447" s="109" t="n"/>
      <c r="O447" s="220" t="n"/>
      <c r="P447" s="227">
        <f>IF(OR($E447="",$I447=""),"",IF(OR($J447="Tamamlandı",$J447="İptal"),"",$I447-TODAY()))</f>
        <v/>
      </c>
      <c r="Q447" s="113">
        <f>IF($E447="","",IF($D447="TANIMSIZ MÜŞTERİ","HATA",IF(OR($J447="Tamamlandı",$J447="İptal"),"KAPALI",IF(AND($C447="Görüşme",$N447=""),"SONRAKİ İŞLEM EKSİK",IF($I447="","TARİH EKSİK",IF($I447&lt;TODAY(),"GECİKMİŞ",IF($I447=TODAY(),"BUGÜN",IF($I447&lt;=TODAY()+7,"7 GÜN İÇİNDE","PLANLI"))))))))</f>
        <v/>
      </c>
      <c r="R447" s="6" t="n"/>
      <c r="S447" s="6" t="n"/>
      <c r="T447" s="3" t="n"/>
      <c r="U447" s="3">
        <f>IF($E447="","",UPPER(SUBSTITUTE(SUBSTITUTE(SUBSTITUTE(SUBSTITUTE(SUBSTITUTE(SUBSTITUTE(SUBSTITUTE(SUBSTITUTE(SUBSTITUTE(SUBSTITUTE(SUBSTITUTE(SUBSTITUTE(SUBSTITUTE(SUBSTITUTE(SUBSTITUTE(SUBSTITUTE(SUBSTITUTE(SUBSTITUTE(TRIM($E447),"'",""),"İ","I"),"ı","I"),"i","I"),"Ş","S"),"ş","S"),"Ğ","G"),"ğ","G"),"Ü","U"),"ü","U"),"Ö","O"),"ö","O"),"Ç","C"),"ç","C"),".",""),",","")," ",""),"-","")))</f>
        <v/>
      </c>
    </row>
    <row r="448">
      <c r="A448" s="6" t="n"/>
      <c r="B448" s="113">
        <f>IF($E448="","","A"&amp;TEXT(ROW()-6,"00000"))</f>
        <v/>
      </c>
      <c r="C448" s="108" t="n"/>
      <c r="D448" s="113">
        <f>IF($E448="","",IFERROR(INDEX(MUSTERILER!$B$7:$B$106,MATCH($U448,MUSTERILER!$T$7:$T$106,0)),IFERROR(INDEX(MUSTERILER!$B$7:$B$106,MATCH($E448,MUSTERILER!$B$7:$B$106,0)),IFERROR(INDEX(MUSTERILER!$B$7:$B$106,MATCH($U448&amp;"*",MUSTERILER!$T$7:$T$106,0)),"TANIMSIZ MÜŞTERİ"))))</f>
        <v/>
      </c>
      <c r="E448" s="109" t="n"/>
      <c r="F448" s="109" t="n"/>
      <c r="G448" s="108" t="n"/>
      <c r="H448" s="220" t="n"/>
      <c r="I448" s="220" t="n"/>
      <c r="J448" s="108" t="n"/>
      <c r="K448" s="108" t="n"/>
      <c r="L448" s="109" t="n"/>
      <c r="M448" s="109" t="n"/>
      <c r="N448" s="109" t="n"/>
      <c r="O448" s="220" t="n"/>
      <c r="P448" s="227">
        <f>IF(OR($E448="",$I448=""),"",IF(OR($J448="Tamamlandı",$J448="İptal"),"",$I448-TODAY()))</f>
        <v/>
      </c>
      <c r="Q448" s="113">
        <f>IF($E448="","",IF($D448="TANIMSIZ MÜŞTERİ","HATA",IF(OR($J448="Tamamlandı",$J448="İptal"),"KAPALI",IF(AND($C448="Görüşme",$N448=""),"SONRAKİ İŞLEM EKSİK",IF($I448="","TARİH EKSİK",IF($I448&lt;TODAY(),"GECİKMİŞ",IF($I448=TODAY(),"BUGÜN",IF($I448&lt;=TODAY()+7,"7 GÜN İÇİNDE","PLANLI"))))))))</f>
        <v/>
      </c>
      <c r="R448" s="6" t="n"/>
      <c r="S448" s="6" t="n"/>
      <c r="T448" s="3" t="n"/>
      <c r="U448" s="3">
        <f>IF($E448="","",UPPER(SUBSTITUTE(SUBSTITUTE(SUBSTITUTE(SUBSTITUTE(SUBSTITUTE(SUBSTITUTE(SUBSTITUTE(SUBSTITUTE(SUBSTITUTE(SUBSTITUTE(SUBSTITUTE(SUBSTITUTE(SUBSTITUTE(SUBSTITUTE(SUBSTITUTE(SUBSTITUTE(SUBSTITUTE(SUBSTITUTE(TRIM($E448),"'",""),"İ","I"),"ı","I"),"i","I"),"Ş","S"),"ş","S"),"Ğ","G"),"ğ","G"),"Ü","U"),"ü","U"),"Ö","O"),"ö","O"),"Ç","C"),"ç","C"),".",""),",","")," ",""),"-","")))</f>
        <v/>
      </c>
    </row>
    <row r="449">
      <c r="A449" s="6" t="n"/>
      <c r="B449" s="113">
        <f>IF($E449="","","A"&amp;TEXT(ROW()-6,"00000"))</f>
        <v/>
      </c>
      <c r="C449" s="108" t="n"/>
      <c r="D449" s="113">
        <f>IF($E449="","",IFERROR(INDEX(MUSTERILER!$B$7:$B$106,MATCH($U449,MUSTERILER!$T$7:$T$106,0)),IFERROR(INDEX(MUSTERILER!$B$7:$B$106,MATCH($E449,MUSTERILER!$B$7:$B$106,0)),IFERROR(INDEX(MUSTERILER!$B$7:$B$106,MATCH($U449&amp;"*",MUSTERILER!$T$7:$T$106,0)),"TANIMSIZ MÜŞTERİ"))))</f>
        <v/>
      </c>
      <c r="E449" s="109" t="n"/>
      <c r="F449" s="109" t="n"/>
      <c r="G449" s="108" t="n"/>
      <c r="H449" s="220" t="n"/>
      <c r="I449" s="220" t="n"/>
      <c r="J449" s="108" t="n"/>
      <c r="K449" s="108" t="n"/>
      <c r="L449" s="109" t="n"/>
      <c r="M449" s="109" t="n"/>
      <c r="N449" s="109" t="n"/>
      <c r="O449" s="220" t="n"/>
      <c r="P449" s="227">
        <f>IF(OR($E449="",$I449=""),"",IF(OR($J449="Tamamlandı",$J449="İptal"),"",$I449-TODAY()))</f>
        <v/>
      </c>
      <c r="Q449" s="113">
        <f>IF($E449="","",IF($D449="TANIMSIZ MÜŞTERİ","HATA",IF(OR($J449="Tamamlandı",$J449="İptal"),"KAPALI",IF(AND($C449="Görüşme",$N449=""),"SONRAKİ İŞLEM EKSİK",IF($I449="","TARİH EKSİK",IF($I449&lt;TODAY(),"GECİKMİŞ",IF($I449=TODAY(),"BUGÜN",IF($I449&lt;=TODAY()+7,"7 GÜN İÇİNDE","PLANLI"))))))))</f>
        <v/>
      </c>
      <c r="R449" s="6" t="n"/>
      <c r="S449" s="6" t="n"/>
      <c r="T449" s="3" t="n"/>
      <c r="U449" s="3">
        <f>IF($E449="","",UPPER(SUBSTITUTE(SUBSTITUTE(SUBSTITUTE(SUBSTITUTE(SUBSTITUTE(SUBSTITUTE(SUBSTITUTE(SUBSTITUTE(SUBSTITUTE(SUBSTITUTE(SUBSTITUTE(SUBSTITUTE(SUBSTITUTE(SUBSTITUTE(SUBSTITUTE(SUBSTITUTE(SUBSTITUTE(SUBSTITUTE(TRIM($E449),"'",""),"İ","I"),"ı","I"),"i","I"),"Ş","S"),"ş","S"),"Ğ","G"),"ğ","G"),"Ü","U"),"ü","U"),"Ö","O"),"ö","O"),"Ç","C"),"ç","C"),".",""),",","")," ",""),"-","")))</f>
        <v/>
      </c>
    </row>
    <row r="450">
      <c r="A450" s="6" t="n"/>
      <c r="B450" s="113">
        <f>IF($E450="","","A"&amp;TEXT(ROW()-6,"00000"))</f>
        <v/>
      </c>
      <c r="C450" s="108" t="n"/>
      <c r="D450" s="113">
        <f>IF($E450="","",IFERROR(INDEX(MUSTERILER!$B$7:$B$106,MATCH($U450,MUSTERILER!$T$7:$T$106,0)),IFERROR(INDEX(MUSTERILER!$B$7:$B$106,MATCH($E450,MUSTERILER!$B$7:$B$106,0)),IFERROR(INDEX(MUSTERILER!$B$7:$B$106,MATCH($U450&amp;"*",MUSTERILER!$T$7:$T$106,0)),"TANIMSIZ MÜŞTERİ"))))</f>
        <v/>
      </c>
      <c r="E450" s="109" t="n"/>
      <c r="F450" s="109" t="n"/>
      <c r="G450" s="108" t="n"/>
      <c r="H450" s="220" t="n"/>
      <c r="I450" s="220" t="n"/>
      <c r="J450" s="108" t="n"/>
      <c r="K450" s="108" t="n"/>
      <c r="L450" s="109" t="n"/>
      <c r="M450" s="109" t="n"/>
      <c r="N450" s="109" t="n"/>
      <c r="O450" s="220" t="n"/>
      <c r="P450" s="227">
        <f>IF(OR($E450="",$I450=""),"",IF(OR($J450="Tamamlandı",$J450="İptal"),"",$I450-TODAY()))</f>
        <v/>
      </c>
      <c r="Q450" s="113">
        <f>IF($E450="","",IF($D450="TANIMSIZ MÜŞTERİ","HATA",IF(OR($J450="Tamamlandı",$J450="İptal"),"KAPALI",IF(AND($C450="Görüşme",$N450=""),"SONRAKİ İŞLEM EKSİK",IF($I450="","TARİH EKSİK",IF($I450&lt;TODAY(),"GECİKMİŞ",IF($I450=TODAY(),"BUGÜN",IF($I450&lt;=TODAY()+7,"7 GÜN İÇİNDE","PLANLI"))))))))</f>
        <v/>
      </c>
      <c r="R450" s="6" t="n"/>
      <c r="S450" s="6" t="n"/>
      <c r="T450" s="3" t="n"/>
      <c r="U450" s="3">
        <f>IF($E450="","",UPPER(SUBSTITUTE(SUBSTITUTE(SUBSTITUTE(SUBSTITUTE(SUBSTITUTE(SUBSTITUTE(SUBSTITUTE(SUBSTITUTE(SUBSTITUTE(SUBSTITUTE(SUBSTITUTE(SUBSTITUTE(SUBSTITUTE(SUBSTITUTE(SUBSTITUTE(SUBSTITUTE(SUBSTITUTE(SUBSTITUTE(TRIM($E450),"'",""),"İ","I"),"ı","I"),"i","I"),"Ş","S"),"ş","S"),"Ğ","G"),"ğ","G"),"Ü","U"),"ü","U"),"Ö","O"),"ö","O"),"Ç","C"),"ç","C"),".",""),",","")," ",""),"-","")))</f>
        <v/>
      </c>
    </row>
    <row r="451">
      <c r="A451" s="6" t="n"/>
      <c r="B451" s="113">
        <f>IF($E451="","","A"&amp;TEXT(ROW()-6,"00000"))</f>
        <v/>
      </c>
      <c r="C451" s="108" t="n"/>
      <c r="D451" s="113">
        <f>IF($E451="","",IFERROR(INDEX(MUSTERILER!$B$7:$B$106,MATCH($U451,MUSTERILER!$T$7:$T$106,0)),IFERROR(INDEX(MUSTERILER!$B$7:$B$106,MATCH($E451,MUSTERILER!$B$7:$B$106,0)),IFERROR(INDEX(MUSTERILER!$B$7:$B$106,MATCH($U451&amp;"*",MUSTERILER!$T$7:$T$106,0)),"TANIMSIZ MÜŞTERİ"))))</f>
        <v/>
      </c>
      <c r="E451" s="109" t="n"/>
      <c r="F451" s="109" t="n"/>
      <c r="G451" s="108" t="n"/>
      <c r="H451" s="220" t="n"/>
      <c r="I451" s="220" t="n"/>
      <c r="J451" s="108" t="n"/>
      <c r="K451" s="108" t="n"/>
      <c r="L451" s="109" t="n"/>
      <c r="M451" s="109" t="n"/>
      <c r="N451" s="109" t="n"/>
      <c r="O451" s="220" t="n"/>
      <c r="P451" s="227">
        <f>IF(OR($E451="",$I451=""),"",IF(OR($J451="Tamamlandı",$J451="İptal"),"",$I451-TODAY()))</f>
        <v/>
      </c>
      <c r="Q451" s="113">
        <f>IF($E451="","",IF($D451="TANIMSIZ MÜŞTERİ","HATA",IF(OR($J451="Tamamlandı",$J451="İptal"),"KAPALI",IF(AND($C451="Görüşme",$N451=""),"SONRAKİ İŞLEM EKSİK",IF($I451="","TARİH EKSİK",IF($I451&lt;TODAY(),"GECİKMİŞ",IF($I451=TODAY(),"BUGÜN",IF($I451&lt;=TODAY()+7,"7 GÜN İÇİNDE","PLANLI"))))))))</f>
        <v/>
      </c>
      <c r="R451" s="6" t="n"/>
      <c r="S451" s="6" t="n"/>
      <c r="T451" s="3" t="n"/>
      <c r="U451" s="3">
        <f>IF($E451="","",UPPER(SUBSTITUTE(SUBSTITUTE(SUBSTITUTE(SUBSTITUTE(SUBSTITUTE(SUBSTITUTE(SUBSTITUTE(SUBSTITUTE(SUBSTITUTE(SUBSTITUTE(SUBSTITUTE(SUBSTITUTE(SUBSTITUTE(SUBSTITUTE(SUBSTITUTE(SUBSTITUTE(SUBSTITUTE(SUBSTITUTE(TRIM($E451),"'",""),"İ","I"),"ı","I"),"i","I"),"Ş","S"),"ş","S"),"Ğ","G"),"ğ","G"),"Ü","U"),"ü","U"),"Ö","O"),"ö","O"),"Ç","C"),"ç","C"),".",""),",","")," ",""),"-","")))</f>
        <v/>
      </c>
    </row>
    <row r="452">
      <c r="A452" s="6" t="n"/>
      <c r="B452" s="113">
        <f>IF($E452="","","A"&amp;TEXT(ROW()-6,"00000"))</f>
        <v/>
      </c>
      <c r="C452" s="108" t="n"/>
      <c r="D452" s="113">
        <f>IF($E452="","",IFERROR(INDEX(MUSTERILER!$B$7:$B$106,MATCH($U452,MUSTERILER!$T$7:$T$106,0)),IFERROR(INDEX(MUSTERILER!$B$7:$B$106,MATCH($E452,MUSTERILER!$B$7:$B$106,0)),IFERROR(INDEX(MUSTERILER!$B$7:$B$106,MATCH($U452&amp;"*",MUSTERILER!$T$7:$T$106,0)),"TANIMSIZ MÜŞTERİ"))))</f>
        <v/>
      </c>
      <c r="E452" s="109" t="n"/>
      <c r="F452" s="109" t="n"/>
      <c r="G452" s="108" t="n"/>
      <c r="H452" s="220" t="n"/>
      <c r="I452" s="220" t="n"/>
      <c r="J452" s="108" t="n"/>
      <c r="K452" s="108" t="n"/>
      <c r="L452" s="109" t="n"/>
      <c r="M452" s="109" t="n"/>
      <c r="N452" s="109" t="n"/>
      <c r="O452" s="220" t="n"/>
      <c r="P452" s="227">
        <f>IF(OR($E452="",$I452=""),"",IF(OR($J452="Tamamlandı",$J452="İptal"),"",$I452-TODAY()))</f>
        <v/>
      </c>
      <c r="Q452" s="113">
        <f>IF($E452="","",IF($D452="TANIMSIZ MÜŞTERİ","HATA",IF(OR($J452="Tamamlandı",$J452="İptal"),"KAPALI",IF(AND($C452="Görüşme",$N452=""),"SONRAKİ İŞLEM EKSİK",IF($I452="","TARİH EKSİK",IF($I452&lt;TODAY(),"GECİKMİŞ",IF($I452=TODAY(),"BUGÜN",IF($I452&lt;=TODAY()+7,"7 GÜN İÇİNDE","PLANLI"))))))))</f>
        <v/>
      </c>
      <c r="R452" s="6" t="n"/>
      <c r="S452" s="6" t="n"/>
      <c r="T452" s="3" t="n"/>
      <c r="U452" s="3">
        <f>IF($E452="","",UPPER(SUBSTITUTE(SUBSTITUTE(SUBSTITUTE(SUBSTITUTE(SUBSTITUTE(SUBSTITUTE(SUBSTITUTE(SUBSTITUTE(SUBSTITUTE(SUBSTITUTE(SUBSTITUTE(SUBSTITUTE(SUBSTITUTE(SUBSTITUTE(SUBSTITUTE(SUBSTITUTE(SUBSTITUTE(SUBSTITUTE(TRIM($E452),"'",""),"İ","I"),"ı","I"),"i","I"),"Ş","S"),"ş","S"),"Ğ","G"),"ğ","G"),"Ü","U"),"ü","U"),"Ö","O"),"ö","O"),"Ç","C"),"ç","C"),".",""),",","")," ",""),"-","")))</f>
        <v/>
      </c>
    </row>
    <row r="453">
      <c r="A453" s="6" t="n"/>
      <c r="B453" s="113">
        <f>IF($E453="","","A"&amp;TEXT(ROW()-6,"00000"))</f>
        <v/>
      </c>
      <c r="C453" s="108" t="n"/>
      <c r="D453" s="113">
        <f>IF($E453="","",IFERROR(INDEX(MUSTERILER!$B$7:$B$106,MATCH($U453,MUSTERILER!$T$7:$T$106,0)),IFERROR(INDEX(MUSTERILER!$B$7:$B$106,MATCH($E453,MUSTERILER!$B$7:$B$106,0)),IFERROR(INDEX(MUSTERILER!$B$7:$B$106,MATCH($U453&amp;"*",MUSTERILER!$T$7:$T$106,0)),"TANIMSIZ MÜŞTERİ"))))</f>
        <v/>
      </c>
      <c r="E453" s="109" t="n"/>
      <c r="F453" s="109" t="n"/>
      <c r="G453" s="108" t="n"/>
      <c r="H453" s="220" t="n"/>
      <c r="I453" s="220" t="n"/>
      <c r="J453" s="108" t="n"/>
      <c r="K453" s="108" t="n"/>
      <c r="L453" s="109" t="n"/>
      <c r="M453" s="109" t="n"/>
      <c r="N453" s="109" t="n"/>
      <c r="O453" s="220" t="n"/>
      <c r="P453" s="227">
        <f>IF(OR($E453="",$I453=""),"",IF(OR($J453="Tamamlandı",$J453="İptal"),"",$I453-TODAY()))</f>
        <v/>
      </c>
      <c r="Q453" s="113">
        <f>IF($E453="","",IF($D453="TANIMSIZ MÜŞTERİ","HATA",IF(OR($J453="Tamamlandı",$J453="İptal"),"KAPALI",IF(AND($C453="Görüşme",$N453=""),"SONRAKİ İŞLEM EKSİK",IF($I453="","TARİH EKSİK",IF($I453&lt;TODAY(),"GECİKMİŞ",IF($I453=TODAY(),"BUGÜN",IF($I453&lt;=TODAY()+7,"7 GÜN İÇİNDE","PLANLI"))))))))</f>
        <v/>
      </c>
      <c r="R453" s="6" t="n"/>
      <c r="S453" s="6" t="n"/>
      <c r="T453" s="3" t="n"/>
      <c r="U453" s="3">
        <f>IF($E453="","",UPPER(SUBSTITUTE(SUBSTITUTE(SUBSTITUTE(SUBSTITUTE(SUBSTITUTE(SUBSTITUTE(SUBSTITUTE(SUBSTITUTE(SUBSTITUTE(SUBSTITUTE(SUBSTITUTE(SUBSTITUTE(SUBSTITUTE(SUBSTITUTE(SUBSTITUTE(SUBSTITUTE(SUBSTITUTE(SUBSTITUTE(TRIM($E453),"'",""),"İ","I"),"ı","I"),"i","I"),"Ş","S"),"ş","S"),"Ğ","G"),"ğ","G"),"Ü","U"),"ü","U"),"Ö","O"),"ö","O"),"Ç","C"),"ç","C"),".",""),",","")," ",""),"-","")))</f>
        <v/>
      </c>
    </row>
    <row r="454">
      <c r="A454" s="6" t="n"/>
      <c r="B454" s="113">
        <f>IF($E454="","","A"&amp;TEXT(ROW()-6,"00000"))</f>
        <v/>
      </c>
      <c r="C454" s="108" t="n"/>
      <c r="D454" s="113">
        <f>IF($E454="","",IFERROR(INDEX(MUSTERILER!$B$7:$B$106,MATCH($U454,MUSTERILER!$T$7:$T$106,0)),IFERROR(INDEX(MUSTERILER!$B$7:$B$106,MATCH($E454,MUSTERILER!$B$7:$B$106,0)),IFERROR(INDEX(MUSTERILER!$B$7:$B$106,MATCH($U454&amp;"*",MUSTERILER!$T$7:$T$106,0)),"TANIMSIZ MÜŞTERİ"))))</f>
        <v/>
      </c>
      <c r="E454" s="109" t="n"/>
      <c r="F454" s="109" t="n"/>
      <c r="G454" s="108" t="n"/>
      <c r="H454" s="220" t="n"/>
      <c r="I454" s="220" t="n"/>
      <c r="J454" s="108" t="n"/>
      <c r="K454" s="108" t="n"/>
      <c r="L454" s="109" t="n"/>
      <c r="M454" s="109" t="n"/>
      <c r="N454" s="109" t="n"/>
      <c r="O454" s="220" t="n"/>
      <c r="P454" s="227">
        <f>IF(OR($E454="",$I454=""),"",IF(OR($J454="Tamamlandı",$J454="İptal"),"",$I454-TODAY()))</f>
        <v/>
      </c>
      <c r="Q454" s="113">
        <f>IF($E454="","",IF($D454="TANIMSIZ MÜŞTERİ","HATA",IF(OR($J454="Tamamlandı",$J454="İptal"),"KAPALI",IF(AND($C454="Görüşme",$N454=""),"SONRAKİ İŞLEM EKSİK",IF($I454="","TARİH EKSİK",IF($I454&lt;TODAY(),"GECİKMİŞ",IF($I454=TODAY(),"BUGÜN",IF($I454&lt;=TODAY()+7,"7 GÜN İÇİNDE","PLANLI"))))))))</f>
        <v/>
      </c>
      <c r="R454" s="6" t="n"/>
      <c r="S454" s="6" t="n"/>
      <c r="T454" s="3" t="n"/>
      <c r="U454" s="3">
        <f>IF($E454="","",UPPER(SUBSTITUTE(SUBSTITUTE(SUBSTITUTE(SUBSTITUTE(SUBSTITUTE(SUBSTITUTE(SUBSTITUTE(SUBSTITUTE(SUBSTITUTE(SUBSTITUTE(SUBSTITUTE(SUBSTITUTE(SUBSTITUTE(SUBSTITUTE(SUBSTITUTE(SUBSTITUTE(SUBSTITUTE(SUBSTITUTE(TRIM($E454),"'",""),"İ","I"),"ı","I"),"i","I"),"Ş","S"),"ş","S"),"Ğ","G"),"ğ","G"),"Ü","U"),"ü","U"),"Ö","O"),"ö","O"),"Ç","C"),"ç","C"),".",""),",","")," ",""),"-","")))</f>
        <v/>
      </c>
    </row>
    <row r="455">
      <c r="A455" s="6" t="n"/>
      <c r="B455" s="113">
        <f>IF($E455="","","A"&amp;TEXT(ROW()-6,"00000"))</f>
        <v/>
      </c>
      <c r="C455" s="108" t="n"/>
      <c r="D455" s="113">
        <f>IF($E455="","",IFERROR(INDEX(MUSTERILER!$B$7:$B$106,MATCH($U455,MUSTERILER!$T$7:$T$106,0)),IFERROR(INDEX(MUSTERILER!$B$7:$B$106,MATCH($E455,MUSTERILER!$B$7:$B$106,0)),IFERROR(INDEX(MUSTERILER!$B$7:$B$106,MATCH($U455&amp;"*",MUSTERILER!$T$7:$T$106,0)),"TANIMSIZ MÜŞTERİ"))))</f>
        <v/>
      </c>
      <c r="E455" s="109" t="n"/>
      <c r="F455" s="109" t="n"/>
      <c r="G455" s="108" t="n"/>
      <c r="H455" s="220" t="n"/>
      <c r="I455" s="220" t="n"/>
      <c r="J455" s="108" t="n"/>
      <c r="K455" s="108" t="n"/>
      <c r="L455" s="109" t="n"/>
      <c r="M455" s="109" t="n"/>
      <c r="N455" s="109" t="n"/>
      <c r="O455" s="220" t="n"/>
      <c r="P455" s="227">
        <f>IF(OR($E455="",$I455=""),"",IF(OR($J455="Tamamlandı",$J455="İptal"),"",$I455-TODAY()))</f>
        <v/>
      </c>
      <c r="Q455" s="113">
        <f>IF($E455="","",IF($D455="TANIMSIZ MÜŞTERİ","HATA",IF(OR($J455="Tamamlandı",$J455="İptal"),"KAPALI",IF(AND($C455="Görüşme",$N455=""),"SONRAKİ İŞLEM EKSİK",IF($I455="","TARİH EKSİK",IF($I455&lt;TODAY(),"GECİKMİŞ",IF($I455=TODAY(),"BUGÜN",IF($I455&lt;=TODAY()+7,"7 GÜN İÇİNDE","PLANLI"))))))))</f>
        <v/>
      </c>
      <c r="R455" s="6" t="n"/>
      <c r="S455" s="6" t="n"/>
      <c r="T455" s="3" t="n"/>
      <c r="U455" s="3">
        <f>IF($E455="","",UPPER(SUBSTITUTE(SUBSTITUTE(SUBSTITUTE(SUBSTITUTE(SUBSTITUTE(SUBSTITUTE(SUBSTITUTE(SUBSTITUTE(SUBSTITUTE(SUBSTITUTE(SUBSTITUTE(SUBSTITUTE(SUBSTITUTE(SUBSTITUTE(SUBSTITUTE(SUBSTITUTE(SUBSTITUTE(SUBSTITUTE(TRIM($E455),"'",""),"İ","I"),"ı","I"),"i","I"),"Ş","S"),"ş","S"),"Ğ","G"),"ğ","G"),"Ü","U"),"ü","U"),"Ö","O"),"ö","O"),"Ç","C"),"ç","C"),".",""),",","")," ",""),"-","")))</f>
        <v/>
      </c>
    </row>
    <row r="456">
      <c r="A456" s="6" t="n"/>
      <c r="B456" s="113">
        <f>IF($E456="","","A"&amp;TEXT(ROW()-6,"00000"))</f>
        <v/>
      </c>
      <c r="C456" s="108" t="n"/>
      <c r="D456" s="113">
        <f>IF($E456="","",IFERROR(INDEX(MUSTERILER!$B$7:$B$106,MATCH($U456,MUSTERILER!$T$7:$T$106,0)),IFERROR(INDEX(MUSTERILER!$B$7:$B$106,MATCH($E456,MUSTERILER!$B$7:$B$106,0)),IFERROR(INDEX(MUSTERILER!$B$7:$B$106,MATCH($U456&amp;"*",MUSTERILER!$T$7:$T$106,0)),"TANIMSIZ MÜŞTERİ"))))</f>
        <v/>
      </c>
      <c r="E456" s="109" t="n"/>
      <c r="F456" s="109" t="n"/>
      <c r="G456" s="108" t="n"/>
      <c r="H456" s="220" t="n"/>
      <c r="I456" s="220" t="n"/>
      <c r="J456" s="108" t="n"/>
      <c r="K456" s="108" t="n"/>
      <c r="L456" s="109" t="n"/>
      <c r="M456" s="109" t="n"/>
      <c r="N456" s="109" t="n"/>
      <c r="O456" s="220" t="n"/>
      <c r="P456" s="227">
        <f>IF(OR($E456="",$I456=""),"",IF(OR($J456="Tamamlandı",$J456="İptal"),"",$I456-TODAY()))</f>
        <v/>
      </c>
      <c r="Q456" s="113">
        <f>IF($E456="","",IF($D456="TANIMSIZ MÜŞTERİ","HATA",IF(OR($J456="Tamamlandı",$J456="İptal"),"KAPALI",IF(AND($C456="Görüşme",$N456=""),"SONRAKİ İŞLEM EKSİK",IF($I456="","TARİH EKSİK",IF($I456&lt;TODAY(),"GECİKMİŞ",IF($I456=TODAY(),"BUGÜN",IF($I456&lt;=TODAY()+7,"7 GÜN İÇİNDE","PLANLI"))))))))</f>
        <v/>
      </c>
      <c r="R456" s="6" t="n"/>
      <c r="S456" s="6" t="n"/>
      <c r="T456" s="3" t="n"/>
      <c r="U456" s="3">
        <f>IF($E456="","",UPPER(SUBSTITUTE(SUBSTITUTE(SUBSTITUTE(SUBSTITUTE(SUBSTITUTE(SUBSTITUTE(SUBSTITUTE(SUBSTITUTE(SUBSTITUTE(SUBSTITUTE(SUBSTITUTE(SUBSTITUTE(SUBSTITUTE(SUBSTITUTE(SUBSTITUTE(SUBSTITUTE(SUBSTITUTE(SUBSTITUTE(TRIM($E456),"'",""),"İ","I"),"ı","I"),"i","I"),"Ş","S"),"ş","S"),"Ğ","G"),"ğ","G"),"Ü","U"),"ü","U"),"Ö","O"),"ö","O"),"Ç","C"),"ç","C"),".",""),",","")," ",""),"-","")))</f>
        <v/>
      </c>
    </row>
    <row r="457">
      <c r="A457" s="6" t="n"/>
      <c r="B457" s="113">
        <f>IF($E457="","","A"&amp;TEXT(ROW()-6,"00000"))</f>
        <v/>
      </c>
      <c r="C457" s="108" t="n"/>
      <c r="D457" s="113">
        <f>IF($E457="","",IFERROR(INDEX(MUSTERILER!$B$7:$B$106,MATCH($U457,MUSTERILER!$T$7:$T$106,0)),IFERROR(INDEX(MUSTERILER!$B$7:$B$106,MATCH($E457,MUSTERILER!$B$7:$B$106,0)),IFERROR(INDEX(MUSTERILER!$B$7:$B$106,MATCH($U457&amp;"*",MUSTERILER!$T$7:$T$106,0)),"TANIMSIZ MÜŞTERİ"))))</f>
        <v/>
      </c>
      <c r="E457" s="109" t="n"/>
      <c r="F457" s="109" t="n"/>
      <c r="G457" s="108" t="n"/>
      <c r="H457" s="220" t="n"/>
      <c r="I457" s="220" t="n"/>
      <c r="J457" s="108" t="n"/>
      <c r="K457" s="108" t="n"/>
      <c r="L457" s="109" t="n"/>
      <c r="M457" s="109" t="n"/>
      <c r="N457" s="109" t="n"/>
      <c r="O457" s="220" t="n"/>
      <c r="P457" s="227">
        <f>IF(OR($E457="",$I457=""),"",IF(OR($J457="Tamamlandı",$J457="İptal"),"",$I457-TODAY()))</f>
        <v/>
      </c>
      <c r="Q457" s="113">
        <f>IF($E457="","",IF($D457="TANIMSIZ MÜŞTERİ","HATA",IF(OR($J457="Tamamlandı",$J457="İptal"),"KAPALI",IF(AND($C457="Görüşme",$N457=""),"SONRAKİ İŞLEM EKSİK",IF($I457="","TARİH EKSİK",IF($I457&lt;TODAY(),"GECİKMİŞ",IF($I457=TODAY(),"BUGÜN",IF($I457&lt;=TODAY()+7,"7 GÜN İÇİNDE","PLANLI"))))))))</f>
        <v/>
      </c>
      <c r="R457" s="6" t="n"/>
      <c r="S457" s="6" t="n"/>
      <c r="T457" s="3" t="n"/>
      <c r="U457" s="3">
        <f>IF($E457="","",UPPER(SUBSTITUTE(SUBSTITUTE(SUBSTITUTE(SUBSTITUTE(SUBSTITUTE(SUBSTITUTE(SUBSTITUTE(SUBSTITUTE(SUBSTITUTE(SUBSTITUTE(SUBSTITUTE(SUBSTITUTE(SUBSTITUTE(SUBSTITUTE(SUBSTITUTE(SUBSTITUTE(SUBSTITUTE(SUBSTITUTE(TRIM($E457),"'",""),"İ","I"),"ı","I"),"i","I"),"Ş","S"),"ş","S"),"Ğ","G"),"ğ","G"),"Ü","U"),"ü","U"),"Ö","O"),"ö","O"),"Ç","C"),"ç","C"),".",""),",","")," ",""),"-","")))</f>
        <v/>
      </c>
    </row>
    <row r="458">
      <c r="A458" s="6" t="n"/>
      <c r="B458" s="113">
        <f>IF($E458="","","A"&amp;TEXT(ROW()-6,"00000"))</f>
        <v/>
      </c>
      <c r="C458" s="108" t="n"/>
      <c r="D458" s="113">
        <f>IF($E458="","",IFERROR(INDEX(MUSTERILER!$B$7:$B$106,MATCH($U458,MUSTERILER!$T$7:$T$106,0)),IFERROR(INDEX(MUSTERILER!$B$7:$B$106,MATCH($E458,MUSTERILER!$B$7:$B$106,0)),IFERROR(INDEX(MUSTERILER!$B$7:$B$106,MATCH($U458&amp;"*",MUSTERILER!$T$7:$T$106,0)),"TANIMSIZ MÜŞTERİ"))))</f>
        <v/>
      </c>
      <c r="E458" s="109" t="n"/>
      <c r="F458" s="109" t="n"/>
      <c r="G458" s="108" t="n"/>
      <c r="H458" s="220" t="n"/>
      <c r="I458" s="220" t="n"/>
      <c r="J458" s="108" t="n"/>
      <c r="K458" s="108" t="n"/>
      <c r="L458" s="109" t="n"/>
      <c r="M458" s="109" t="n"/>
      <c r="N458" s="109" t="n"/>
      <c r="O458" s="220" t="n"/>
      <c r="P458" s="227">
        <f>IF(OR($E458="",$I458=""),"",IF(OR($J458="Tamamlandı",$J458="İptal"),"",$I458-TODAY()))</f>
        <v/>
      </c>
      <c r="Q458" s="113">
        <f>IF($E458="","",IF($D458="TANIMSIZ MÜŞTERİ","HATA",IF(OR($J458="Tamamlandı",$J458="İptal"),"KAPALI",IF(AND($C458="Görüşme",$N458=""),"SONRAKİ İŞLEM EKSİK",IF($I458="","TARİH EKSİK",IF($I458&lt;TODAY(),"GECİKMİŞ",IF($I458=TODAY(),"BUGÜN",IF($I458&lt;=TODAY()+7,"7 GÜN İÇİNDE","PLANLI"))))))))</f>
        <v/>
      </c>
      <c r="R458" s="6" t="n"/>
      <c r="S458" s="6" t="n"/>
      <c r="T458" s="3" t="n"/>
      <c r="U458" s="3">
        <f>IF($E458="","",UPPER(SUBSTITUTE(SUBSTITUTE(SUBSTITUTE(SUBSTITUTE(SUBSTITUTE(SUBSTITUTE(SUBSTITUTE(SUBSTITUTE(SUBSTITUTE(SUBSTITUTE(SUBSTITUTE(SUBSTITUTE(SUBSTITUTE(SUBSTITUTE(SUBSTITUTE(SUBSTITUTE(SUBSTITUTE(SUBSTITUTE(TRIM($E458),"'",""),"İ","I"),"ı","I"),"i","I"),"Ş","S"),"ş","S"),"Ğ","G"),"ğ","G"),"Ü","U"),"ü","U"),"Ö","O"),"ö","O"),"Ç","C"),"ç","C"),".",""),",","")," ",""),"-","")))</f>
        <v/>
      </c>
    </row>
    <row r="459">
      <c r="A459" s="6" t="n"/>
      <c r="B459" s="113">
        <f>IF($E459="","","A"&amp;TEXT(ROW()-6,"00000"))</f>
        <v/>
      </c>
      <c r="C459" s="108" t="n"/>
      <c r="D459" s="113">
        <f>IF($E459="","",IFERROR(INDEX(MUSTERILER!$B$7:$B$106,MATCH($U459,MUSTERILER!$T$7:$T$106,0)),IFERROR(INDEX(MUSTERILER!$B$7:$B$106,MATCH($E459,MUSTERILER!$B$7:$B$106,0)),IFERROR(INDEX(MUSTERILER!$B$7:$B$106,MATCH($U459&amp;"*",MUSTERILER!$T$7:$T$106,0)),"TANIMSIZ MÜŞTERİ"))))</f>
        <v/>
      </c>
      <c r="E459" s="109" t="n"/>
      <c r="F459" s="109" t="n"/>
      <c r="G459" s="108" t="n"/>
      <c r="H459" s="220" t="n"/>
      <c r="I459" s="220" t="n"/>
      <c r="J459" s="108" t="n"/>
      <c r="K459" s="108" t="n"/>
      <c r="L459" s="109" t="n"/>
      <c r="M459" s="109" t="n"/>
      <c r="N459" s="109" t="n"/>
      <c r="O459" s="220" t="n"/>
      <c r="P459" s="227">
        <f>IF(OR($E459="",$I459=""),"",IF(OR($J459="Tamamlandı",$J459="İptal"),"",$I459-TODAY()))</f>
        <v/>
      </c>
      <c r="Q459" s="113">
        <f>IF($E459="","",IF($D459="TANIMSIZ MÜŞTERİ","HATA",IF(OR($J459="Tamamlandı",$J459="İptal"),"KAPALI",IF(AND($C459="Görüşme",$N459=""),"SONRAKİ İŞLEM EKSİK",IF($I459="","TARİH EKSİK",IF($I459&lt;TODAY(),"GECİKMİŞ",IF($I459=TODAY(),"BUGÜN",IF($I459&lt;=TODAY()+7,"7 GÜN İÇİNDE","PLANLI"))))))))</f>
        <v/>
      </c>
      <c r="R459" s="6" t="n"/>
      <c r="S459" s="6" t="n"/>
      <c r="T459" s="3" t="n"/>
      <c r="U459" s="3">
        <f>IF($E459="","",UPPER(SUBSTITUTE(SUBSTITUTE(SUBSTITUTE(SUBSTITUTE(SUBSTITUTE(SUBSTITUTE(SUBSTITUTE(SUBSTITUTE(SUBSTITUTE(SUBSTITUTE(SUBSTITUTE(SUBSTITUTE(SUBSTITUTE(SUBSTITUTE(SUBSTITUTE(SUBSTITUTE(SUBSTITUTE(SUBSTITUTE(TRIM($E459),"'",""),"İ","I"),"ı","I"),"i","I"),"Ş","S"),"ş","S"),"Ğ","G"),"ğ","G"),"Ü","U"),"ü","U"),"Ö","O"),"ö","O"),"Ç","C"),"ç","C"),".",""),",","")," ",""),"-","")))</f>
        <v/>
      </c>
    </row>
    <row r="460">
      <c r="A460" s="6" t="n"/>
      <c r="B460" s="113">
        <f>IF($E460="","","A"&amp;TEXT(ROW()-6,"00000"))</f>
        <v/>
      </c>
      <c r="C460" s="108" t="n"/>
      <c r="D460" s="113">
        <f>IF($E460="","",IFERROR(INDEX(MUSTERILER!$B$7:$B$106,MATCH($U460,MUSTERILER!$T$7:$T$106,0)),IFERROR(INDEX(MUSTERILER!$B$7:$B$106,MATCH($E460,MUSTERILER!$B$7:$B$106,0)),IFERROR(INDEX(MUSTERILER!$B$7:$B$106,MATCH($U460&amp;"*",MUSTERILER!$T$7:$T$106,0)),"TANIMSIZ MÜŞTERİ"))))</f>
        <v/>
      </c>
      <c r="E460" s="109" t="n"/>
      <c r="F460" s="109" t="n"/>
      <c r="G460" s="108" t="n"/>
      <c r="H460" s="220" t="n"/>
      <c r="I460" s="220" t="n"/>
      <c r="J460" s="108" t="n"/>
      <c r="K460" s="108" t="n"/>
      <c r="L460" s="109" t="n"/>
      <c r="M460" s="109" t="n"/>
      <c r="N460" s="109" t="n"/>
      <c r="O460" s="220" t="n"/>
      <c r="P460" s="227">
        <f>IF(OR($E460="",$I460=""),"",IF(OR($J460="Tamamlandı",$J460="İptal"),"",$I460-TODAY()))</f>
        <v/>
      </c>
      <c r="Q460" s="113">
        <f>IF($E460="","",IF($D460="TANIMSIZ MÜŞTERİ","HATA",IF(OR($J460="Tamamlandı",$J460="İptal"),"KAPALI",IF(AND($C460="Görüşme",$N460=""),"SONRAKİ İŞLEM EKSİK",IF($I460="","TARİH EKSİK",IF($I460&lt;TODAY(),"GECİKMİŞ",IF($I460=TODAY(),"BUGÜN",IF($I460&lt;=TODAY()+7,"7 GÜN İÇİNDE","PLANLI"))))))))</f>
        <v/>
      </c>
      <c r="R460" s="6" t="n"/>
      <c r="S460" s="6" t="n"/>
      <c r="T460" s="3" t="n"/>
      <c r="U460" s="3">
        <f>IF($E460="","",UPPER(SUBSTITUTE(SUBSTITUTE(SUBSTITUTE(SUBSTITUTE(SUBSTITUTE(SUBSTITUTE(SUBSTITUTE(SUBSTITUTE(SUBSTITUTE(SUBSTITUTE(SUBSTITUTE(SUBSTITUTE(SUBSTITUTE(SUBSTITUTE(SUBSTITUTE(SUBSTITUTE(SUBSTITUTE(SUBSTITUTE(TRIM($E460),"'",""),"İ","I"),"ı","I"),"i","I"),"Ş","S"),"ş","S"),"Ğ","G"),"ğ","G"),"Ü","U"),"ü","U"),"Ö","O"),"ö","O"),"Ç","C"),"ç","C"),".",""),",","")," ",""),"-","")))</f>
        <v/>
      </c>
    </row>
    <row r="461">
      <c r="A461" s="6" t="n"/>
      <c r="B461" s="113">
        <f>IF($E461="","","A"&amp;TEXT(ROW()-6,"00000"))</f>
        <v/>
      </c>
      <c r="C461" s="108" t="n"/>
      <c r="D461" s="113">
        <f>IF($E461="","",IFERROR(INDEX(MUSTERILER!$B$7:$B$106,MATCH($U461,MUSTERILER!$T$7:$T$106,0)),IFERROR(INDEX(MUSTERILER!$B$7:$B$106,MATCH($E461,MUSTERILER!$B$7:$B$106,0)),IFERROR(INDEX(MUSTERILER!$B$7:$B$106,MATCH($U461&amp;"*",MUSTERILER!$T$7:$T$106,0)),"TANIMSIZ MÜŞTERİ"))))</f>
        <v/>
      </c>
      <c r="E461" s="109" t="n"/>
      <c r="F461" s="109" t="n"/>
      <c r="G461" s="108" t="n"/>
      <c r="H461" s="220" t="n"/>
      <c r="I461" s="220" t="n"/>
      <c r="J461" s="108" t="n"/>
      <c r="K461" s="108" t="n"/>
      <c r="L461" s="109" t="n"/>
      <c r="M461" s="109" t="n"/>
      <c r="N461" s="109" t="n"/>
      <c r="O461" s="220" t="n"/>
      <c r="P461" s="227">
        <f>IF(OR($E461="",$I461=""),"",IF(OR($J461="Tamamlandı",$J461="İptal"),"",$I461-TODAY()))</f>
        <v/>
      </c>
      <c r="Q461" s="113">
        <f>IF($E461="","",IF($D461="TANIMSIZ MÜŞTERİ","HATA",IF(OR($J461="Tamamlandı",$J461="İptal"),"KAPALI",IF(AND($C461="Görüşme",$N461=""),"SONRAKİ İŞLEM EKSİK",IF($I461="","TARİH EKSİK",IF($I461&lt;TODAY(),"GECİKMİŞ",IF($I461=TODAY(),"BUGÜN",IF($I461&lt;=TODAY()+7,"7 GÜN İÇİNDE","PLANLI"))))))))</f>
        <v/>
      </c>
      <c r="R461" s="6" t="n"/>
      <c r="S461" s="6" t="n"/>
      <c r="T461" s="3" t="n"/>
      <c r="U461" s="3">
        <f>IF($E461="","",UPPER(SUBSTITUTE(SUBSTITUTE(SUBSTITUTE(SUBSTITUTE(SUBSTITUTE(SUBSTITUTE(SUBSTITUTE(SUBSTITUTE(SUBSTITUTE(SUBSTITUTE(SUBSTITUTE(SUBSTITUTE(SUBSTITUTE(SUBSTITUTE(SUBSTITUTE(SUBSTITUTE(SUBSTITUTE(SUBSTITUTE(TRIM($E461),"'",""),"İ","I"),"ı","I"),"i","I"),"Ş","S"),"ş","S"),"Ğ","G"),"ğ","G"),"Ü","U"),"ü","U"),"Ö","O"),"ö","O"),"Ç","C"),"ç","C"),".",""),",","")," ",""),"-","")))</f>
        <v/>
      </c>
    </row>
    <row r="462">
      <c r="A462" s="6" t="n"/>
      <c r="B462" s="113">
        <f>IF($E462="","","A"&amp;TEXT(ROW()-6,"00000"))</f>
        <v/>
      </c>
      <c r="C462" s="108" t="n"/>
      <c r="D462" s="113">
        <f>IF($E462="","",IFERROR(INDEX(MUSTERILER!$B$7:$B$106,MATCH($U462,MUSTERILER!$T$7:$T$106,0)),IFERROR(INDEX(MUSTERILER!$B$7:$B$106,MATCH($E462,MUSTERILER!$B$7:$B$106,0)),IFERROR(INDEX(MUSTERILER!$B$7:$B$106,MATCH($U462&amp;"*",MUSTERILER!$T$7:$T$106,0)),"TANIMSIZ MÜŞTERİ"))))</f>
        <v/>
      </c>
      <c r="E462" s="109" t="n"/>
      <c r="F462" s="109" t="n"/>
      <c r="G462" s="108" t="n"/>
      <c r="H462" s="220" t="n"/>
      <c r="I462" s="220" t="n"/>
      <c r="J462" s="108" t="n"/>
      <c r="K462" s="108" t="n"/>
      <c r="L462" s="109" t="n"/>
      <c r="M462" s="109" t="n"/>
      <c r="N462" s="109" t="n"/>
      <c r="O462" s="220" t="n"/>
      <c r="P462" s="227">
        <f>IF(OR($E462="",$I462=""),"",IF(OR($J462="Tamamlandı",$J462="İptal"),"",$I462-TODAY()))</f>
        <v/>
      </c>
      <c r="Q462" s="113">
        <f>IF($E462="","",IF($D462="TANIMSIZ MÜŞTERİ","HATA",IF(OR($J462="Tamamlandı",$J462="İptal"),"KAPALI",IF(AND($C462="Görüşme",$N462=""),"SONRAKİ İŞLEM EKSİK",IF($I462="","TARİH EKSİK",IF($I462&lt;TODAY(),"GECİKMİŞ",IF($I462=TODAY(),"BUGÜN",IF($I462&lt;=TODAY()+7,"7 GÜN İÇİNDE","PLANLI"))))))))</f>
        <v/>
      </c>
      <c r="R462" s="6" t="n"/>
      <c r="S462" s="6" t="n"/>
      <c r="T462" s="3" t="n"/>
      <c r="U462" s="3">
        <f>IF($E462="","",UPPER(SUBSTITUTE(SUBSTITUTE(SUBSTITUTE(SUBSTITUTE(SUBSTITUTE(SUBSTITUTE(SUBSTITUTE(SUBSTITUTE(SUBSTITUTE(SUBSTITUTE(SUBSTITUTE(SUBSTITUTE(SUBSTITUTE(SUBSTITUTE(SUBSTITUTE(SUBSTITUTE(SUBSTITUTE(SUBSTITUTE(TRIM($E462),"'",""),"İ","I"),"ı","I"),"i","I"),"Ş","S"),"ş","S"),"Ğ","G"),"ğ","G"),"Ü","U"),"ü","U"),"Ö","O"),"ö","O"),"Ç","C"),"ç","C"),".",""),",","")," ",""),"-","")))</f>
        <v/>
      </c>
    </row>
    <row r="463">
      <c r="A463" s="6" t="n"/>
      <c r="B463" s="113">
        <f>IF($E463="","","A"&amp;TEXT(ROW()-6,"00000"))</f>
        <v/>
      </c>
      <c r="C463" s="108" t="n"/>
      <c r="D463" s="113">
        <f>IF($E463="","",IFERROR(INDEX(MUSTERILER!$B$7:$B$106,MATCH($U463,MUSTERILER!$T$7:$T$106,0)),IFERROR(INDEX(MUSTERILER!$B$7:$B$106,MATCH($E463,MUSTERILER!$B$7:$B$106,0)),IFERROR(INDEX(MUSTERILER!$B$7:$B$106,MATCH($U463&amp;"*",MUSTERILER!$T$7:$T$106,0)),"TANIMSIZ MÜŞTERİ"))))</f>
        <v/>
      </c>
      <c r="E463" s="109" t="n"/>
      <c r="F463" s="109" t="n"/>
      <c r="G463" s="108" t="n"/>
      <c r="H463" s="220" t="n"/>
      <c r="I463" s="220" t="n"/>
      <c r="J463" s="108" t="n"/>
      <c r="K463" s="108" t="n"/>
      <c r="L463" s="109" t="n"/>
      <c r="M463" s="109" t="n"/>
      <c r="N463" s="109" t="n"/>
      <c r="O463" s="220" t="n"/>
      <c r="P463" s="227">
        <f>IF(OR($E463="",$I463=""),"",IF(OR($J463="Tamamlandı",$J463="İptal"),"",$I463-TODAY()))</f>
        <v/>
      </c>
      <c r="Q463" s="113">
        <f>IF($E463="","",IF($D463="TANIMSIZ MÜŞTERİ","HATA",IF(OR($J463="Tamamlandı",$J463="İptal"),"KAPALI",IF(AND($C463="Görüşme",$N463=""),"SONRAKİ İŞLEM EKSİK",IF($I463="","TARİH EKSİK",IF($I463&lt;TODAY(),"GECİKMİŞ",IF($I463=TODAY(),"BUGÜN",IF($I463&lt;=TODAY()+7,"7 GÜN İÇİNDE","PLANLI"))))))))</f>
        <v/>
      </c>
      <c r="R463" s="6" t="n"/>
      <c r="S463" s="6" t="n"/>
      <c r="T463" s="3" t="n"/>
      <c r="U463" s="3">
        <f>IF($E463="","",UPPER(SUBSTITUTE(SUBSTITUTE(SUBSTITUTE(SUBSTITUTE(SUBSTITUTE(SUBSTITUTE(SUBSTITUTE(SUBSTITUTE(SUBSTITUTE(SUBSTITUTE(SUBSTITUTE(SUBSTITUTE(SUBSTITUTE(SUBSTITUTE(SUBSTITUTE(SUBSTITUTE(SUBSTITUTE(SUBSTITUTE(TRIM($E463),"'",""),"İ","I"),"ı","I"),"i","I"),"Ş","S"),"ş","S"),"Ğ","G"),"ğ","G"),"Ü","U"),"ü","U"),"Ö","O"),"ö","O"),"Ç","C"),"ç","C"),".",""),",","")," ",""),"-","")))</f>
        <v/>
      </c>
    </row>
    <row r="464">
      <c r="A464" s="6" t="n"/>
      <c r="B464" s="113">
        <f>IF($E464="","","A"&amp;TEXT(ROW()-6,"00000"))</f>
        <v/>
      </c>
      <c r="C464" s="108" t="n"/>
      <c r="D464" s="113">
        <f>IF($E464="","",IFERROR(INDEX(MUSTERILER!$B$7:$B$106,MATCH($U464,MUSTERILER!$T$7:$T$106,0)),IFERROR(INDEX(MUSTERILER!$B$7:$B$106,MATCH($E464,MUSTERILER!$B$7:$B$106,0)),IFERROR(INDEX(MUSTERILER!$B$7:$B$106,MATCH($U464&amp;"*",MUSTERILER!$T$7:$T$106,0)),"TANIMSIZ MÜŞTERİ"))))</f>
        <v/>
      </c>
      <c r="E464" s="109" t="n"/>
      <c r="F464" s="109" t="n"/>
      <c r="G464" s="108" t="n"/>
      <c r="H464" s="220" t="n"/>
      <c r="I464" s="220" t="n"/>
      <c r="J464" s="108" t="n"/>
      <c r="K464" s="108" t="n"/>
      <c r="L464" s="109" t="n"/>
      <c r="M464" s="109" t="n"/>
      <c r="N464" s="109" t="n"/>
      <c r="O464" s="220" t="n"/>
      <c r="P464" s="227">
        <f>IF(OR($E464="",$I464=""),"",IF(OR($J464="Tamamlandı",$J464="İptal"),"",$I464-TODAY()))</f>
        <v/>
      </c>
      <c r="Q464" s="113">
        <f>IF($E464="","",IF($D464="TANIMSIZ MÜŞTERİ","HATA",IF(OR($J464="Tamamlandı",$J464="İptal"),"KAPALI",IF(AND($C464="Görüşme",$N464=""),"SONRAKİ İŞLEM EKSİK",IF($I464="","TARİH EKSİK",IF($I464&lt;TODAY(),"GECİKMİŞ",IF($I464=TODAY(),"BUGÜN",IF($I464&lt;=TODAY()+7,"7 GÜN İÇİNDE","PLANLI"))))))))</f>
        <v/>
      </c>
      <c r="R464" s="6" t="n"/>
      <c r="S464" s="6" t="n"/>
      <c r="T464" s="3" t="n"/>
      <c r="U464" s="3">
        <f>IF($E464="","",UPPER(SUBSTITUTE(SUBSTITUTE(SUBSTITUTE(SUBSTITUTE(SUBSTITUTE(SUBSTITUTE(SUBSTITUTE(SUBSTITUTE(SUBSTITUTE(SUBSTITUTE(SUBSTITUTE(SUBSTITUTE(SUBSTITUTE(SUBSTITUTE(SUBSTITUTE(SUBSTITUTE(SUBSTITUTE(SUBSTITUTE(TRIM($E464),"'",""),"İ","I"),"ı","I"),"i","I"),"Ş","S"),"ş","S"),"Ğ","G"),"ğ","G"),"Ü","U"),"ü","U"),"Ö","O"),"ö","O"),"Ç","C"),"ç","C"),".",""),",","")," ",""),"-","")))</f>
        <v/>
      </c>
    </row>
    <row r="465">
      <c r="A465" s="6" t="n"/>
      <c r="B465" s="113">
        <f>IF($E465="","","A"&amp;TEXT(ROW()-6,"00000"))</f>
        <v/>
      </c>
      <c r="C465" s="108" t="n"/>
      <c r="D465" s="113">
        <f>IF($E465="","",IFERROR(INDEX(MUSTERILER!$B$7:$B$106,MATCH($U465,MUSTERILER!$T$7:$T$106,0)),IFERROR(INDEX(MUSTERILER!$B$7:$B$106,MATCH($E465,MUSTERILER!$B$7:$B$106,0)),IFERROR(INDEX(MUSTERILER!$B$7:$B$106,MATCH($U465&amp;"*",MUSTERILER!$T$7:$T$106,0)),"TANIMSIZ MÜŞTERİ"))))</f>
        <v/>
      </c>
      <c r="E465" s="109" t="n"/>
      <c r="F465" s="109" t="n"/>
      <c r="G465" s="108" t="n"/>
      <c r="H465" s="220" t="n"/>
      <c r="I465" s="220" t="n"/>
      <c r="J465" s="108" t="n"/>
      <c r="K465" s="108" t="n"/>
      <c r="L465" s="109" t="n"/>
      <c r="M465" s="109" t="n"/>
      <c r="N465" s="109" t="n"/>
      <c r="O465" s="220" t="n"/>
      <c r="P465" s="227">
        <f>IF(OR($E465="",$I465=""),"",IF(OR($J465="Tamamlandı",$J465="İptal"),"",$I465-TODAY()))</f>
        <v/>
      </c>
      <c r="Q465" s="113">
        <f>IF($E465="","",IF($D465="TANIMSIZ MÜŞTERİ","HATA",IF(OR($J465="Tamamlandı",$J465="İptal"),"KAPALI",IF(AND($C465="Görüşme",$N465=""),"SONRAKİ İŞLEM EKSİK",IF($I465="","TARİH EKSİK",IF($I465&lt;TODAY(),"GECİKMİŞ",IF($I465=TODAY(),"BUGÜN",IF($I465&lt;=TODAY()+7,"7 GÜN İÇİNDE","PLANLI"))))))))</f>
        <v/>
      </c>
      <c r="R465" s="6" t="n"/>
      <c r="S465" s="6" t="n"/>
      <c r="T465" s="3" t="n"/>
      <c r="U465" s="3">
        <f>IF($E465="","",UPPER(SUBSTITUTE(SUBSTITUTE(SUBSTITUTE(SUBSTITUTE(SUBSTITUTE(SUBSTITUTE(SUBSTITUTE(SUBSTITUTE(SUBSTITUTE(SUBSTITUTE(SUBSTITUTE(SUBSTITUTE(SUBSTITUTE(SUBSTITUTE(SUBSTITUTE(SUBSTITUTE(SUBSTITUTE(SUBSTITUTE(TRIM($E465),"'",""),"İ","I"),"ı","I"),"i","I"),"Ş","S"),"ş","S"),"Ğ","G"),"ğ","G"),"Ü","U"),"ü","U"),"Ö","O"),"ö","O"),"Ç","C"),"ç","C"),".",""),",","")," ",""),"-","")))</f>
        <v/>
      </c>
    </row>
    <row r="466">
      <c r="A466" s="6" t="n"/>
      <c r="B466" s="113">
        <f>IF($E466="","","A"&amp;TEXT(ROW()-6,"00000"))</f>
        <v/>
      </c>
      <c r="C466" s="108" t="n"/>
      <c r="D466" s="113">
        <f>IF($E466="","",IFERROR(INDEX(MUSTERILER!$B$7:$B$106,MATCH($U466,MUSTERILER!$T$7:$T$106,0)),IFERROR(INDEX(MUSTERILER!$B$7:$B$106,MATCH($E466,MUSTERILER!$B$7:$B$106,0)),IFERROR(INDEX(MUSTERILER!$B$7:$B$106,MATCH($U466&amp;"*",MUSTERILER!$T$7:$T$106,0)),"TANIMSIZ MÜŞTERİ"))))</f>
        <v/>
      </c>
      <c r="E466" s="109" t="n"/>
      <c r="F466" s="109" t="n"/>
      <c r="G466" s="108" t="n"/>
      <c r="H466" s="220" t="n"/>
      <c r="I466" s="220" t="n"/>
      <c r="J466" s="108" t="n"/>
      <c r="K466" s="108" t="n"/>
      <c r="L466" s="109" t="n"/>
      <c r="M466" s="109" t="n"/>
      <c r="N466" s="109" t="n"/>
      <c r="O466" s="220" t="n"/>
      <c r="P466" s="227">
        <f>IF(OR($E466="",$I466=""),"",IF(OR($J466="Tamamlandı",$J466="İptal"),"",$I466-TODAY()))</f>
        <v/>
      </c>
      <c r="Q466" s="113">
        <f>IF($E466="","",IF($D466="TANIMSIZ MÜŞTERİ","HATA",IF(OR($J466="Tamamlandı",$J466="İptal"),"KAPALI",IF(AND($C466="Görüşme",$N466=""),"SONRAKİ İŞLEM EKSİK",IF($I466="","TARİH EKSİK",IF($I466&lt;TODAY(),"GECİKMİŞ",IF($I466=TODAY(),"BUGÜN",IF($I466&lt;=TODAY()+7,"7 GÜN İÇİNDE","PLANLI"))))))))</f>
        <v/>
      </c>
      <c r="R466" s="6" t="n"/>
      <c r="S466" s="6" t="n"/>
      <c r="T466" s="3" t="n"/>
      <c r="U466" s="3">
        <f>IF($E466="","",UPPER(SUBSTITUTE(SUBSTITUTE(SUBSTITUTE(SUBSTITUTE(SUBSTITUTE(SUBSTITUTE(SUBSTITUTE(SUBSTITUTE(SUBSTITUTE(SUBSTITUTE(SUBSTITUTE(SUBSTITUTE(SUBSTITUTE(SUBSTITUTE(SUBSTITUTE(SUBSTITUTE(SUBSTITUTE(SUBSTITUTE(TRIM($E466),"'",""),"İ","I"),"ı","I"),"i","I"),"Ş","S"),"ş","S"),"Ğ","G"),"ğ","G"),"Ü","U"),"ü","U"),"Ö","O"),"ö","O"),"Ç","C"),"ç","C"),".",""),",","")," ",""),"-","")))</f>
        <v/>
      </c>
    </row>
    <row r="467">
      <c r="A467" s="6" t="n"/>
      <c r="B467" s="113">
        <f>IF($E467="","","A"&amp;TEXT(ROW()-6,"00000"))</f>
        <v/>
      </c>
      <c r="C467" s="108" t="n"/>
      <c r="D467" s="113">
        <f>IF($E467="","",IFERROR(INDEX(MUSTERILER!$B$7:$B$106,MATCH($U467,MUSTERILER!$T$7:$T$106,0)),IFERROR(INDEX(MUSTERILER!$B$7:$B$106,MATCH($E467,MUSTERILER!$B$7:$B$106,0)),IFERROR(INDEX(MUSTERILER!$B$7:$B$106,MATCH($U467&amp;"*",MUSTERILER!$T$7:$T$106,0)),"TANIMSIZ MÜŞTERİ"))))</f>
        <v/>
      </c>
      <c r="E467" s="109" t="n"/>
      <c r="F467" s="109" t="n"/>
      <c r="G467" s="108" t="n"/>
      <c r="H467" s="220" t="n"/>
      <c r="I467" s="220" t="n"/>
      <c r="J467" s="108" t="n"/>
      <c r="K467" s="108" t="n"/>
      <c r="L467" s="109" t="n"/>
      <c r="M467" s="109" t="n"/>
      <c r="N467" s="109" t="n"/>
      <c r="O467" s="220" t="n"/>
      <c r="P467" s="227">
        <f>IF(OR($E467="",$I467=""),"",IF(OR($J467="Tamamlandı",$J467="İptal"),"",$I467-TODAY()))</f>
        <v/>
      </c>
      <c r="Q467" s="113">
        <f>IF($E467="","",IF($D467="TANIMSIZ MÜŞTERİ","HATA",IF(OR($J467="Tamamlandı",$J467="İptal"),"KAPALI",IF(AND($C467="Görüşme",$N467=""),"SONRAKİ İŞLEM EKSİK",IF($I467="","TARİH EKSİK",IF($I467&lt;TODAY(),"GECİKMİŞ",IF($I467=TODAY(),"BUGÜN",IF($I467&lt;=TODAY()+7,"7 GÜN İÇİNDE","PLANLI"))))))))</f>
        <v/>
      </c>
      <c r="R467" s="6" t="n"/>
      <c r="S467" s="6" t="n"/>
      <c r="T467" s="3" t="n"/>
      <c r="U467" s="3">
        <f>IF($E467="","",UPPER(SUBSTITUTE(SUBSTITUTE(SUBSTITUTE(SUBSTITUTE(SUBSTITUTE(SUBSTITUTE(SUBSTITUTE(SUBSTITUTE(SUBSTITUTE(SUBSTITUTE(SUBSTITUTE(SUBSTITUTE(SUBSTITUTE(SUBSTITUTE(SUBSTITUTE(SUBSTITUTE(SUBSTITUTE(SUBSTITUTE(TRIM($E467),"'",""),"İ","I"),"ı","I"),"i","I"),"Ş","S"),"ş","S"),"Ğ","G"),"ğ","G"),"Ü","U"),"ü","U"),"Ö","O"),"ö","O"),"Ç","C"),"ç","C"),".",""),",","")," ",""),"-","")))</f>
        <v/>
      </c>
    </row>
    <row r="468">
      <c r="A468" s="6" t="n"/>
      <c r="B468" s="113">
        <f>IF($E468="","","A"&amp;TEXT(ROW()-6,"00000"))</f>
        <v/>
      </c>
      <c r="C468" s="108" t="n"/>
      <c r="D468" s="113">
        <f>IF($E468="","",IFERROR(INDEX(MUSTERILER!$B$7:$B$106,MATCH($U468,MUSTERILER!$T$7:$T$106,0)),IFERROR(INDEX(MUSTERILER!$B$7:$B$106,MATCH($E468,MUSTERILER!$B$7:$B$106,0)),IFERROR(INDEX(MUSTERILER!$B$7:$B$106,MATCH($U468&amp;"*",MUSTERILER!$T$7:$T$106,0)),"TANIMSIZ MÜŞTERİ"))))</f>
        <v/>
      </c>
      <c r="E468" s="109" t="n"/>
      <c r="F468" s="109" t="n"/>
      <c r="G468" s="108" t="n"/>
      <c r="H468" s="220" t="n"/>
      <c r="I468" s="220" t="n"/>
      <c r="J468" s="108" t="n"/>
      <c r="K468" s="108" t="n"/>
      <c r="L468" s="109" t="n"/>
      <c r="M468" s="109" t="n"/>
      <c r="N468" s="109" t="n"/>
      <c r="O468" s="220" t="n"/>
      <c r="P468" s="227">
        <f>IF(OR($E468="",$I468=""),"",IF(OR($J468="Tamamlandı",$J468="İptal"),"",$I468-TODAY()))</f>
        <v/>
      </c>
      <c r="Q468" s="113">
        <f>IF($E468="","",IF($D468="TANIMSIZ MÜŞTERİ","HATA",IF(OR($J468="Tamamlandı",$J468="İptal"),"KAPALI",IF(AND($C468="Görüşme",$N468=""),"SONRAKİ İŞLEM EKSİK",IF($I468="","TARİH EKSİK",IF($I468&lt;TODAY(),"GECİKMİŞ",IF($I468=TODAY(),"BUGÜN",IF($I468&lt;=TODAY()+7,"7 GÜN İÇİNDE","PLANLI"))))))))</f>
        <v/>
      </c>
      <c r="R468" s="6" t="n"/>
      <c r="S468" s="6" t="n"/>
      <c r="T468" s="3" t="n"/>
      <c r="U468" s="3">
        <f>IF($E468="","",UPPER(SUBSTITUTE(SUBSTITUTE(SUBSTITUTE(SUBSTITUTE(SUBSTITUTE(SUBSTITUTE(SUBSTITUTE(SUBSTITUTE(SUBSTITUTE(SUBSTITUTE(SUBSTITUTE(SUBSTITUTE(SUBSTITUTE(SUBSTITUTE(SUBSTITUTE(SUBSTITUTE(SUBSTITUTE(SUBSTITUTE(TRIM($E468),"'",""),"İ","I"),"ı","I"),"i","I"),"Ş","S"),"ş","S"),"Ğ","G"),"ğ","G"),"Ü","U"),"ü","U"),"Ö","O"),"ö","O"),"Ç","C"),"ç","C"),".",""),",","")," ",""),"-","")))</f>
        <v/>
      </c>
    </row>
    <row r="469">
      <c r="A469" s="6" t="n"/>
      <c r="B469" s="113">
        <f>IF($E469="","","A"&amp;TEXT(ROW()-6,"00000"))</f>
        <v/>
      </c>
      <c r="C469" s="108" t="n"/>
      <c r="D469" s="113">
        <f>IF($E469="","",IFERROR(INDEX(MUSTERILER!$B$7:$B$106,MATCH($U469,MUSTERILER!$T$7:$T$106,0)),IFERROR(INDEX(MUSTERILER!$B$7:$B$106,MATCH($E469,MUSTERILER!$B$7:$B$106,0)),IFERROR(INDEX(MUSTERILER!$B$7:$B$106,MATCH($U469&amp;"*",MUSTERILER!$T$7:$T$106,0)),"TANIMSIZ MÜŞTERİ"))))</f>
        <v/>
      </c>
      <c r="E469" s="109" t="n"/>
      <c r="F469" s="109" t="n"/>
      <c r="G469" s="108" t="n"/>
      <c r="H469" s="220" t="n"/>
      <c r="I469" s="220" t="n"/>
      <c r="J469" s="108" t="n"/>
      <c r="K469" s="108" t="n"/>
      <c r="L469" s="109" t="n"/>
      <c r="M469" s="109" t="n"/>
      <c r="N469" s="109" t="n"/>
      <c r="O469" s="220" t="n"/>
      <c r="P469" s="227">
        <f>IF(OR($E469="",$I469=""),"",IF(OR($J469="Tamamlandı",$J469="İptal"),"",$I469-TODAY()))</f>
        <v/>
      </c>
      <c r="Q469" s="113">
        <f>IF($E469="","",IF($D469="TANIMSIZ MÜŞTERİ","HATA",IF(OR($J469="Tamamlandı",$J469="İptal"),"KAPALI",IF(AND($C469="Görüşme",$N469=""),"SONRAKİ İŞLEM EKSİK",IF($I469="","TARİH EKSİK",IF($I469&lt;TODAY(),"GECİKMİŞ",IF($I469=TODAY(),"BUGÜN",IF($I469&lt;=TODAY()+7,"7 GÜN İÇİNDE","PLANLI"))))))))</f>
        <v/>
      </c>
      <c r="R469" s="6" t="n"/>
      <c r="S469" s="6" t="n"/>
      <c r="T469" s="3" t="n"/>
      <c r="U469" s="3">
        <f>IF($E469="","",UPPER(SUBSTITUTE(SUBSTITUTE(SUBSTITUTE(SUBSTITUTE(SUBSTITUTE(SUBSTITUTE(SUBSTITUTE(SUBSTITUTE(SUBSTITUTE(SUBSTITUTE(SUBSTITUTE(SUBSTITUTE(SUBSTITUTE(SUBSTITUTE(SUBSTITUTE(SUBSTITUTE(SUBSTITUTE(SUBSTITUTE(TRIM($E469),"'",""),"İ","I"),"ı","I"),"i","I"),"Ş","S"),"ş","S"),"Ğ","G"),"ğ","G"),"Ü","U"),"ü","U"),"Ö","O"),"ö","O"),"Ç","C"),"ç","C"),".",""),",","")," ",""),"-","")))</f>
        <v/>
      </c>
    </row>
    <row r="470">
      <c r="A470" s="6" t="n"/>
      <c r="B470" s="113">
        <f>IF($E470="","","A"&amp;TEXT(ROW()-6,"00000"))</f>
        <v/>
      </c>
      <c r="C470" s="108" t="n"/>
      <c r="D470" s="113">
        <f>IF($E470="","",IFERROR(INDEX(MUSTERILER!$B$7:$B$106,MATCH($U470,MUSTERILER!$T$7:$T$106,0)),IFERROR(INDEX(MUSTERILER!$B$7:$B$106,MATCH($E470,MUSTERILER!$B$7:$B$106,0)),IFERROR(INDEX(MUSTERILER!$B$7:$B$106,MATCH($U470&amp;"*",MUSTERILER!$T$7:$T$106,0)),"TANIMSIZ MÜŞTERİ"))))</f>
        <v/>
      </c>
      <c r="E470" s="109" t="n"/>
      <c r="F470" s="109" t="n"/>
      <c r="G470" s="108" t="n"/>
      <c r="H470" s="220" t="n"/>
      <c r="I470" s="220" t="n"/>
      <c r="J470" s="108" t="n"/>
      <c r="K470" s="108" t="n"/>
      <c r="L470" s="109" t="n"/>
      <c r="M470" s="109" t="n"/>
      <c r="N470" s="109" t="n"/>
      <c r="O470" s="220" t="n"/>
      <c r="P470" s="227">
        <f>IF(OR($E470="",$I470=""),"",IF(OR($J470="Tamamlandı",$J470="İptal"),"",$I470-TODAY()))</f>
        <v/>
      </c>
      <c r="Q470" s="113">
        <f>IF($E470="","",IF($D470="TANIMSIZ MÜŞTERİ","HATA",IF(OR($J470="Tamamlandı",$J470="İptal"),"KAPALI",IF(AND($C470="Görüşme",$N470=""),"SONRAKİ İŞLEM EKSİK",IF($I470="","TARİH EKSİK",IF($I470&lt;TODAY(),"GECİKMİŞ",IF($I470=TODAY(),"BUGÜN",IF($I470&lt;=TODAY()+7,"7 GÜN İÇİNDE","PLANLI"))))))))</f>
        <v/>
      </c>
      <c r="R470" s="6" t="n"/>
      <c r="S470" s="6" t="n"/>
      <c r="T470" s="3" t="n"/>
      <c r="U470" s="3">
        <f>IF($E470="","",UPPER(SUBSTITUTE(SUBSTITUTE(SUBSTITUTE(SUBSTITUTE(SUBSTITUTE(SUBSTITUTE(SUBSTITUTE(SUBSTITUTE(SUBSTITUTE(SUBSTITUTE(SUBSTITUTE(SUBSTITUTE(SUBSTITUTE(SUBSTITUTE(SUBSTITUTE(SUBSTITUTE(SUBSTITUTE(SUBSTITUTE(TRIM($E470),"'",""),"İ","I"),"ı","I"),"i","I"),"Ş","S"),"ş","S"),"Ğ","G"),"ğ","G"),"Ü","U"),"ü","U"),"Ö","O"),"ö","O"),"Ç","C"),"ç","C"),".",""),",","")," ",""),"-","")))</f>
        <v/>
      </c>
    </row>
    <row r="471">
      <c r="A471" s="6" t="n"/>
      <c r="B471" s="113">
        <f>IF($E471="","","A"&amp;TEXT(ROW()-6,"00000"))</f>
        <v/>
      </c>
      <c r="C471" s="108" t="n"/>
      <c r="D471" s="113">
        <f>IF($E471="","",IFERROR(INDEX(MUSTERILER!$B$7:$B$106,MATCH($U471,MUSTERILER!$T$7:$T$106,0)),IFERROR(INDEX(MUSTERILER!$B$7:$B$106,MATCH($E471,MUSTERILER!$B$7:$B$106,0)),IFERROR(INDEX(MUSTERILER!$B$7:$B$106,MATCH($U471&amp;"*",MUSTERILER!$T$7:$T$106,0)),"TANIMSIZ MÜŞTERİ"))))</f>
        <v/>
      </c>
      <c r="E471" s="109" t="n"/>
      <c r="F471" s="109" t="n"/>
      <c r="G471" s="108" t="n"/>
      <c r="H471" s="220" t="n"/>
      <c r="I471" s="220" t="n"/>
      <c r="J471" s="108" t="n"/>
      <c r="K471" s="108" t="n"/>
      <c r="L471" s="109" t="n"/>
      <c r="M471" s="109" t="n"/>
      <c r="N471" s="109" t="n"/>
      <c r="O471" s="220" t="n"/>
      <c r="P471" s="227">
        <f>IF(OR($E471="",$I471=""),"",IF(OR($J471="Tamamlandı",$J471="İptal"),"",$I471-TODAY()))</f>
        <v/>
      </c>
      <c r="Q471" s="113">
        <f>IF($E471="","",IF($D471="TANIMSIZ MÜŞTERİ","HATA",IF(OR($J471="Tamamlandı",$J471="İptal"),"KAPALI",IF(AND($C471="Görüşme",$N471=""),"SONRAKİ İŞLEM EKSİK",IF($I471="","TARİH EKSİK",IF($I471&lt;TODAY(),"GECİKMİŞ",IF($I471=TODAY(),"BUGÜN",IF($I471&lt;=TODAY()+7,"7 GÜN İÇİNDE","PLANLI"))))))))</f>
        <v/>
      </c>
      <c r="R471" s="6" t="n"/>
      <c r="S471" s="6" t="n"/>
      <c r="T471" s="3" t="n"/>
      <c r="U471" s="3">
        <f>IF($E471="","",UPPER(SUBSTITUTE(SUBSTITUTE(SUBSTITUTE(SUBSTITUTE(SUBSTITUTE(SUBSTITUTE(SUBSTITUTE(SUBSTITUTE(SUBSTITUTE(SUBSTITUTE(SUBSTITUTE(SUBSTITUTE(SUBSTITUTE(SUBSTITUTE(SUBSTITUTE(SUBSTITUTE(SUBSTITUTE(SUBSTITUTE(TRIM($E471),"'",""),"İ","I"),"ı","I"),"i","I"),"Ş","S"),"ş","S"),"Ğ","G"),"ğ","G"),"Ü","U"),"ü","U"),"Ö","O"),"ö","O"),"Ç","C"),"ç","C"),".",""),",","")," ",""),"-","")))</f>
        <v/>
      </c>
    </row>
    <row r="472">
      <c r="A472" s="6" t="n"/>
      <c r="B472" s="113">
        <f>IF($E472="","","A"&amp;TEXT(ROW()-6,"00000"))</f>
        <v/>
      </c>
      <c r="C472" s="108" t="n"/>
      <c r="D472" s="113">
        <f>IF($E472="","",IFERROR(INDEX(MUSTERILER!$B$7:$B$106,MATCH($U472,MUSTERILER!$T$7:$T$106,0)),IFERROR(INDEX(MUSTERILER!$B$7:$B$106,MATCH($E472,MUSTERILER!$B$7:$B$106,0)),IFERROR(INDEX(MUSTERILER!$B$7:$B$106,MATCH($U472&amp;"*",MUSTERILER!$T$7:$T$106,0)),"TANIMSIZ MÜŞTERİ"))))</f>
        <v/>
      </c>
      <c r="E472" s="109" t="n"/>
      <c r="F472" s="109" t="n"/>
      <c r="G472" s="108" t="n"/>
      <c r="H472" s="220" t="n"/>
      <c r="I472" s="220" t="n"/>
      <c r="J472" s="108" t="n"/>
      <c r="K472" s="108" t="n"/>
      <c r="L472" s="109" t="n"/>
      <c r="M472" s="109" t="n"/>
      <c r="N472" s="109" t="n"/>
      <c r="O472" s="220" t="n"/>
      <c r="P472" s="227">
        <f>IF(OR($E472="",$I472=""),"",IF(OR($J472="Tamamlandı",$J472="İptal"),"",$I472-TODAY()))</f>
        <v/>
      </c>
      <c r="Q472" s="113">
        <f>IF($E472="","",IF($D472="TANIMSIZ MÜŞTERİ","HATA",IF(OR($J472="Tamamlandı",$J472="İptal"),"KAPALI",IF(AND($C472="Görüşme",$N472=""),"SONRAKİ İŞLEM EKSİK",IF($I472="","TARİH EKSİK",IF($I472&lt;TODAY(),"GECİKMİŞ",IF($I472=TODAY(),"BUGÜN",IF($I472&lt;=TODAY()+7,"7 GÜN İÇİNDE","PLANLI"))))))))</f>
        <v/>
      </c>
      <c r="R472" s="6" t="n"/>
      <c r="S472" s="6" t="n"/>
      <c r="T472" s="3" t="n"/>
      <c r="U472" s="3">
        <f>IF($E472="","",UPPER(SUBSTITUTE(SUBSTITUTE(SUBSTITUTE(SUBSTITUTE(SUBSTITUTE(SUBSTITUTE(SUBSTITUTE(SUBSTITUTE(SUBSTITUTE(SUBSTITUTE(SUBSTITUTE(SUBSTITUTE(SUBSTITUTE(SUBSTITUTE(SUBSTITUTE(SUBSTITUTE(SUBSTITUTE(SUBSTITUTE(TRIM($E472),"'",""),"İ","I"),"ı","I"),"i","I"),"Ş","S"),"ş","S"),"Ğ","G"),"ğ","G"),"Ü","U"),"ü","U"),"Ö","O"),"ö","O"),"Ç","C"),"ç","C"),".",""),",","")," ",""),"-","")))</f>
        <v/>
      </c>
    </row>
    <row r="473">
      <c r="A473" s="6" t="n"/>
      <c r="B473" s="113">
        <f>IF($E473="","","A"&amp;TEXT(ROW()-6,"00000"))</f>
        <v/>
      </c>
      <c r="C473" s="108" t="n"/>
      <c r="D473" s="113">
        <f>IF($E473="","",IFERROR(INDEX(MUSTERILER!$B$7:$B$106,MATCH($U473,MUSTERILER!$T$7:$T$106,0)),IFERROR(INDEX(MUSTERILER!$B$7:$B$106,MATCH($E473,MUSTERILER!$B$7:$B$106,0)),IFERROR(INDEX(MUSTERILER!$B$7:$B$106,MATCH($U473&amp;"*",MUSTERILER!$T$7:$T$106,0)),"TANIMSIZ MÜŞTERİ"))))</f>
        <v/>
      </c>
      <c r="E473" s="109" t="n"/>
      <c r="F473" s="109" t="n"/>
      <c r="G473" s="108" t="n"/>
      <c r="H473" s="220" t="n"/>
      <c r="I473" s="220" t="n"/>
      <c r="J473" s="108" t="n"/>
      <c r="K473" s="108" t="n"/>
      <c r="L473" s="109" t="n"/>
      <c r="M473" s="109" t="n"/>
      <c r="N473" s="109" t="n"/>
      <c r="O473" s="220" t="n"/>
      <c r="P473" s="227">
        <f>IF(OR($E473="",$I473=""),"",IF(OR($J473="Tamamlandı",$J473="İptal"),"",$I473-TODAY()))</f>
        <v/>
      </c>
      <c r="Q473" s="113">
        <f>IF($E473="","",IF($D473="TANIMSIZ MÜŞTERİ","HATA",IF(OR($J473="Tamamlandı",$J473="İptal"),"KAPALI",IF(AND($C473="Görüşme",$N473=""),"SONRAKİ İŞLEM EKSİK",IF($I473="","TARİH EKSİK",IF($I473&lt;TODAY(),"GECİKMİŞ",IF($I473=TODAY(),"BUGÜN",IF($I473&lt;=TODAY()+7,"7 GÜN İÇİNDE","PLANLI"))))))))</f>
        <v/>
      </c>
      <c r="R473" s="6" t="n"/>
      <c r="S473" s="6" t="n"/>
      <c r="T473" s="3" t="n"/>
      <c r="U473" s="3">
        <f>IF($E473="","",UPPER(SUBSTITUTE(SUBSTITUTE(SUBSTITUTE(SUBSTITUTE(SUBSTITUTE(SUBSTITUTE(SUBSTITUTE(SUBSTITUTE(SUBSTITUTE(SUBSTITUTE(SUBSTITUTE(SUBSTITUTE(SUBSTITUTE(SUBSTITUTE(SUBSTITUTE(SUBSTITUTE(SUBSTITUTE(SUBSTITUTE(TRIM($E473),"'",""),"İ","I"),"ı","I"),"i","I"),"Ş","S"),"ş","S"),"Ğ","G"),"ğ","G"),"Ü","U"),"ü","U"),"Ö","O"),"ö","O"),"Ç","C"),"ç","C"),".",""),",","")," ",""),"-","")))</f>
        <v/>
      </c>
    </row>
    <row r="474">
      <c r="A474" s="6" t="n"/>
      <c r="B474" s="113">
        <f>IF($E474="","","A"&amp;TEXT(ROW()-6,"00000"))</f>
        <v/>
      </c>
      <c r="C474" s="108" t="n"/>
      <c r="D474" s="113">
        <f>IF($E474="","",IFERROR(INDEX(MUSTERILER!$B$7:$B$106,MATCH($U474,MUSTERILER!$T$7:$T$106,0)),IFERROR(INDEX(MUSTERILER!$B$7:$B$106,MATCH($E474,MUSTERILER!$B$7:$B$106,0)),IFERROR(INDEX(MUSTERILER!$B$7:$B$106,MATCH($U474&amp;"*",MUSTERILER!$T$7:$T$106,0)),"TANIMSIZ MÜŞTERİ"))))</f>
        <v/>
      </c>
      <c r="E474" s="109" t="n"/>
      <c r="F474" s="109" t="n"/>
      <c r="G474" s="108" t="n"/>
      <c r="H474" s="220" t="n"/>
      <c r="I474" s="220" t="n"/>
      <c r="J474" s="108" t="n"/>
      <c r="K474" s="108" t="n"/>
      <c r="L474" s="109" t="n"/>
      <c r="M474" s="109" t="n"/>
      <c r="N474" s="109" t="n"/>
      <c r="O474" s="220" t="n"/>
      <c r="P474" s="227">
        <f>IF(OR($E474="",$I474=""),"",IF(OR($J474="Tamamlandı",$J474="İptal"),"",$I474-TODAY()))</f>
        <v/>
      </c>
      <c r="Q474" s="113">
        <f>IF($E474="","",IF($D474="TANIMSIZ MÜŞTERİ","HATA",IF(OR($J474="Tamamlandı",$J474="İptal"),"KAPALI",IF(AND($C474="Görüşme",$N474=""),"SONRAKİ İŞLEM EKSİK",IF($I474="","TARİH EKSİK",IF($I474&lt;TODAY(),"GECİKMİŞ",IF($I474=TODAY(),"BUGÜN",IF($I474&lt;=TODAY()+7,"7 GÜN İÇİNDE","PLANLI"))))))))</f>
        <v/>
      </c>
      <c r="R474" s="6" t="n"/>
      <c r="S474" s="6" t="n"/>
      <c r="T474" s="3" t="n"/>
      <c r="U474" s="3">
        <f>IF($E474="","",UPPER(SUBSTITUTE(SUBSTITUTE(SUBSTITUTE(SUBSTITUTE(SUBSTITUTE(SUBSTITUTE(SUBSTITUTE(SUBSTITUTE(SUBSTITUTE(SUBSTITUTE(SUBSTITUTE(SUBSTITUTE(SUBSTITUTE(SUBSTITUTE(SUBSTITUTE(SUBSTITUTE(SUBSTITUTE(SUBSTITUTE(TRIM($E474),"'",""),"İ","I"),"ı","I"),"i","I"),"Ş","S"),"ş","S"),"Ğ","G"),"ğ","G"),"Ü","U"),"ü","U"),"Ö","O"),"ö","O"),"Ç","C"),"ç","C"),".",""),",","")," ",""),"-","")))</f>
        <v/>
      </c>
    </row>
    <row r="475">
      <c r="A475" s="6" t="n"/>
      <c r="B475" s="113">
        <f>IF($E475="","","A"&amp;TEXT(ROW()-6,"00000"))</f>
        <v/>
      </c>
      <c r="C475" s="108" t="n"/>
      <c r="D475" s="113">
        <f>IF($E475="","",IFERROR(INDEX(MUSTERILER!$B$7:$B$106,MATCH($U475,MUSTERILER!$T$7:$T$106,0)),IFERROR(INDEX(MUSTERILER!$B$7:$B$106,MATCH($E475,MUSTERILER!$B$7:$B$106,0)),IFERROR(INDEX(MUSTERILER!$B$7:$B$106,MATCH($U475&amp;"*",MUSTERILER!$T$7:$T$106,0)),"TANIMSIZ MÜŞTERİ"))))</f>
        <v/>
      </c>
      <c r="E475" s="109" t="n"/>
      <c r="F475" s="109" t="n"/>
      <c r="G475" s="108" t="n"/>
      <c r="H475" s="220" t="n"/>
      <c r="I475" s="220" t="n"/>
      <c r="J475" s="108" t="n"/>
      <c r="K475" s="108" t="n"/>
      <c r="L475" s="109" t="n"/>
      <c r="M475" s="109" t="n"/>
      <c r="N475" s="109" t="n"/>
      <c r="O475" s="220" t="n"/>
      <c r="P475" s="227">
        <f>IF(OR($E475="",$I475=""),"",IF(OR($J475="Tamamlandı",$J475="İptal"),"",$I475-TODAY()))</f>
        <v/>
      </c>
      <c r="Q475" s="113">
        <f>IF($E475="","",IF($D475="TANIMSIZ MÜŞTERİ","HATA",IF(OR($J475="Tamamlandı",$J475="İptal"),"KAPALI",IF(AND($C475="Görüşme",$N475=""),"SONRAKİ İŞLEM EKSİK",IF($I475="","TARİH EKSİK",IF($I475&lt;TODAY(),"GECİKMİŞ",IF($I475=TODAY(),"BUGÜN",IF($I475&lt;=TODAY()+7,"7 GÜN İÇİNDE","PLANLI"))))))))</f>
        <v/>
      </c>
      <c r="R475" s="6" t="n"/>
      <c r="S475" s="6" t="n"/>
      <c r="T475" s="3" t="n"/>
      <c r="U475" s="3">
        <f>IF($E475="","",UPPER(SUBSTITUTE(SUBSTITUTE(SUBSTITUTE(SUBSTITUTE(SUBSTITUTE(SUBSTITUTE(SUBSTITUTE(SUBSTITUTE(SUBSTITUTE(SUBSTITUTE(SUBSTITUTE(SUBSTITUTE(SUBSTITUTE(SUBSTITUTE(SUBSTITUTE(SUBSTITUTE(SUBSTITUTE(SUBSTITUTE(TRIM($E475),"'",""),"İ","I"),"ı","I"),"i","I"),"Ş","S"),"ş","S"),"Ğ","G"),"ğ","G"),"Ü","U"),"ü","U"),"Ö","O"),"ö","O"),"Ç","C"),"ç","C"),".",""),",","")," ",""),"-","")))</f>
        <v/>
      </c>
    </row>
    <row r="476">
      <c r="A476" s="6" t="n"/>
      <c r="B476" s="113">
        <f>IF($E476="","","A"&amp;TEXT(ROW()-6,"00000"))</f>
        <v/>
      </c>
      <c r="C476" s="108" t="n"/>
      <c r="D476" s="113">
        <f>IF($E476="","",IFERROR(INDEX(MUSTERILER!$B$7:$B$106,MATCH($U476,MUSTERILER!$T$7:$T$106,0)),IFERROR(INDEX(MUSTERILER!$B$7:$B$106,MATCH($E476,MUSTERILER!$B$7:$B$106,0)),IFERROR(INDEX(MUSTERILER!$B$7:$B$106,MATCH($U476&amp;"*",MUSTERILER!$T$7:$T$106,0)),"TANIMSIZ MÜŞTERİ"))))</f>
        <v/>
      </c>
      <c r="E476" s="109" t="n"/>
      <c r="F476" s="109" t="n"/>
      <c r="G476" s="108" t="n"/>
      <c r="H476" s="220" t="n"/>
      <c r="I476" s="220" t="n"/>
      <c r="J476" s="108" t="n"/>
      <c r="K476" s="108" t="n"/>
      <c r="L476" s="109" t="n"/>
      <c r="M476" s="109" t="n"/>
      <c r="N476" s="109" t="n"/>
      <c r="O476" s="220" t="n"/>
      <c r="P476" s="227">
        <f>IF(OR($E476="",$I476=""),"",IF(OR($J476="Tamamlandı",$J476="İptal"),"",$I476-TODAY()))</f>
        <v/>
      </c>
      <c r="Q476" s="113">
        <f>IF($E476="","",IF($D476="TANIMSIZ MÜŞTERİ","HATA",IF(OR($J476="Tamamlandı",$J476="İptal"),"KAPALI",IF(AND($C476="Görüşme",$N476=""),"SONRAKİ İŞLEM EKSİK",IF($I476="","TARİH EKSİK",IF($I476&lt;TODAY(),"GECİKMİŞ",IF($I476=TODAY(),"BUGÜN",IF($I476&lt;=TODAY()+7,"7 GÜN İÇİNDE","PLANLI"))))))))</f>
        <v/>
      </c>
      <c r="R476" s="6" t="n"/>
      <c r="S476" s="6" t="n"/>
      <c r="T476" s="3" t="n"/>
      <c r="U476" s="3">
        <f>IF($E476="","",UPPER(SUBSTITUTE(SUBSTITUTE(SUBSTITUTE(SUBSTITUTE(SUBSTITUTE(SUBSTITUTE(SUBSTITUTE(SUBSTITUTE(SUBSTITUTE(SUBSTITUTE(SUBSTITUTE(SUBSTITUTE(SUBSTITUTE(SUBSTITUTE(SUBSTITUTE(SUBSTITUTE(SUBSTITUTE(SUBSTITUTE(TRIM($E476),"'",""),"İ","I"),"ı","I"),"i","I"),"Ş","S"),"ş","S"),"Ğ","G"),"ğ","G"),"Ü","U"),"ü","U"),"Ö","O"),"ö","O"),"Ç","C"),"ç","C"),".",""),",","")," ",""),"-","")))</f>
        <v/>
      </c>
    </row>
    <row r="477">
      <c r="A477" s="6" t="n"/>
      <c r="B477" s="113">
        <f>IF($E477="","","A"&amp;TEXT(ROW()-6,"00000"))</f>
        <v/>
      </c>
      <c r="C477" s="108" t="n"/>
      <c r="D477" s="113">
        <f>IF($E477="","",IFERROR(INDEX(MUSTERILER!$B$7:$B$106,MATCH($U477,MUSTERILER!$T$7:$T$106,0)),IFERROR(INDEX(MUSTERILER!$B$7:$B$106,MATCH($E477,MUSTERILER!$B$7:$B$106,0)),IFERROR(INDEX(MUSTERILER!$B$7:$B$106,MATCH($U477&amp;"*",MUSTERILER!$T$7:$T$106,0)),"TANIMSIZ MÜŞTERİ"))))</f>
        <v/>
      </c>
      <c r="E477" s="109" t="n"/>
      <c r="F477" s="109" t="n"/>
      <c r="G477" s="108" t="n"/>
      <c r="H477" s="220" t="n"/>
      <c r="I477" s="220" t="n"/>
      <c r="J477" s="108" t="n"/>
      <c r="K477" s="108" t="n"/>
      <c r="L477" s="109" t="n"/>
      <c r="M477" s="109" t="n"/>
      <c r="N477" s="109" t="n"/>
      <c r="O477" s="220" t="n"/>
      <c r="P477" s="227">
        <f>IF(OR($E477="",$I477=""),"",IF(OR($J477="Tamamlandı",$J477="İptal"),"",$I477-TODAY()))</f>
        <v/>
      </c>
      <c r="Q477" s="113">
        <f>IF($E477="","",IF($D477="TANIMSIZ MÜŞTERİ","HATA",IF(OR($J477="Tamamlandı",$J477="İptal"),"KAPALI",IF(AND($C477="Görüşme",$N477=""),"SONRAKİ İŞLEM EKSİK",IF($I477="","TARİH EKSİK",IF($I477&lt;TODAY(),"GECİKMİŞ",IF($I477=TODAY(),"BUGÜN",IF($I477&lt;=TODAY()+7,"7 GÜN İÇİNDE","PLANLI"))))))))</f>
        <v/>
      </c>
      <c r="R477" s="6" t="n"/>
      <c r="S477" s="6" t="n"/>
      <c r="T477" s="3" t="n"/>
      <c r="U477" s="3">
        <f>IF($E477="","",UPPER(SUBSTITUTE(SUBSTITUTE(SUBSTITUTE(SUBSTITUTE(SUBSTITUTE(SUBSTITUTE(SUBSTITUTE(SUBSTITUTE(SUBSTITUTE(SUBSTITUTE(SUBSTITUTE(SUBSTITUTE(SUBSTITUTE(SUBSTITUTE(SUBSTITUTE(SUBSTITUTE(SUBSTITUTE(SUBSTITUTE(TRIM($E477),"'",""),"İ","I"),"ı","I"),"i","I"),"Ş","S"),"ş","S"),"Ğ","G"),"ğ","G"),"Ü","U"),"ü","U"),"Ö","O"),"ö","O"),"Ç","C"),"ç","C"),".",""),",","")," ",""),"-","")))</f>
        <v/>
      </c>
    </row>
    <row r="478">
      <c r="A478" s="6" t="n"/>
      <c r="B478" s="113">
        <f>IF($E478="","","A"&amp;TEXT(ROW()-6,"00000"))</f>
        <v/>
      </c>
      <c r="C478" s="108" t="n"/>
      <c r="D478" s="113">
        <f>IF($E478="","",IFERROR(INDEX(MUSTERILER!$B$7:$B$106,MATCH($U478,MUSTERILER!$T$7:$T$106,0)),IFERROR(INDEX(MUSTERILER!$B$7:$B$106,MATCH($E478,MUSTERILER!$B$7:$B$106,0)),IFERROR(INDEX(MUSTERILER!$B$7:$B$106,MATCH($U478&amp;"*",MUSTERILER!$T$7:$T$106,0)),"TANIMSIZ MÜŞTERİ"))))</f>
        <v/>
      </c>
      <c r="E478" s="109" t="n"/>
      <c r="F478" s="109" t="n"/>
      <c r="G478" s="108" t="n"/>
      <c r="H478" s="220" t="n"/>
      <c r="I478" s="220" t="n"/>
      <c r="J478" s="108" t="n"/>
      <c r="K478" s="108" t="n"/>
      <c r="L478" s="109" t="n"/>
      <c r="M478" s="109" t="n"/>
      <c r="N478" s="109" t="n"/>
      <c r="O478" s="220" t="n"/>
      <c r="P478" s="227">
        <f>IF(OR($E478="",$I478=""),"",IF(OR($J478="Tamamlandı",$J478="İptal"),"",$I478-TODAY()))</f>
        <v/>
      </c>
      <c r="Q478" s="113">
        <f>IF($E478="","",IF($D478="TANIMSIZ MÜŞTERİ","HATA",IF(OR($J478="Tamamlandı",$J478="İptal"),"KAPALI",IF(AND($C478="Görüşme",$N478=""),"SONRAKİ İŞLEM EKSİK",IF($I478="","TARİH EKSİK",IF($I478&lt;TODAY(),"GECİKMİŞ",IF($I478=TODAY(),"BUGÜN",IF($I478&lt;=TODAY()+7,"7 GÜN İÇİNDE","PLANLI"))))))))</f>
        <v/>
      </c>
      <c r="R478" s="6" t="n"/>
      <c r="S478" s="6" t="n"/>
      <c r="T478" s="3" t="n"/>
      <c r="U478" s="3">
        <f>IF($E478="","",UPPER(SUBSTITUTE(SUBSTITUTE(SUBSTITUTE(SUBSTITUTE(SUBSTITUTE(SUBSTITUTE(SUBSTITUTE(SUBSTITUTE(SUBSTITUTE(SUBSTITUTE(SUBSTITUTE(SUBSTITUTE(SUBSTITUTE(SUBSTITUTE(SUBSTITUTE(SUBSTITUTE(SUBSTITUTE(SUBSTITUTE(TRIM($E478),"'",""),"İ","I"),"ı","I"),"i","I"),"Ş","S"),"ş","S"),"Ğ","G"),"ğ","G"),"Ü","U"),"ü","U"),"Ö","O"),"ö","O"),"Ç","C"),"ç","C"),".",""),",","")," ",""),"-","")))</f>
        <v/>
      </c>
    </row>
    <row r="479">
      <c r="A479" s="6" t="n"/>
      <c r="B479" s="113">
        <f>IF($E479="","","A"&amp;TEXT(ROW()-6,"00000"))</f>
        <v/>
      </c>
      <c r="C479" s="108" t="n"/>
      <c r="D479" s="113">
        <f>IF($E479="","",IFERROR(INDEX(MUSTERILER!$B$7:$B$106,MATCH($U479,MUSTERILER!$T$7:$T$106,0)),IFERROR(INDEX(MUSTERILER!$B$7:$B$106,MATCH($E479,MUSTERILER!$B$7:$B$106,0)),IFERROR(INDEX(MUSTERILER!$B$7:$B$106,MATCH($U479&amp;"*",MUSTERILER!$T$7:$T$106,0)),"TANIMSIZ MÜŞTERİ"))))</f>
        <v/>
      </c>
      <c r="E479" s="109" t="n"/>
      <c r="F479" s="109" t="n"/>
      <c r="G479" s="108" t="n"/>
      <c r="H479" s="220" t="n"/>
      <c r="I479" s="220" t="n"/>
      <c r="J479" s="108" t="n"/>
      <c r="K479" s="108" t="n"/>
      <c r="L479" s="109" t="n"/>
      <c r="M479" s="109" t="n"/>
      <c r="N479" s="109" t="n"/>
      <c r="O479" s="220" t="n"/>
      <c r="P479" s="227">
        <f>IF(OR($E479="",$I479=""),"",IF(OR($J479="Tamamlandı",$J479="İptal"),"",$I479-TODAY()))</f>
        <v/>
      </c>
      <c r="Q479" s="113">
        <f>IF($E479="","",IF($D479="TANIMSIZ MÜŞTERİ","HATA",IF(OR($J479="Tamamlandı",$J479="İptal"),"KAPALI",IF(AND($C479="Görüşme",$N479=""),"SONRAKİ İŞLEM EKSİK",IF($I479="","TARİH EKSİK",IF($I479&lt;TODAY(),"GECİKMİŞ",IF($I479=TODAY(),"BUGÜN",IF($I479&lt;=TODAY()+7,"7 GÜN İÇİNDE","PLANLI"))))))))</f>
        <v/>
      </c>
      <c r="R479" s="6" t="n"/>
      <c r="S479" s="6" t="n"/>
      <c r="T479" s="3" t="n"/>
      <c r="U479" s="3">
        <f>IF($E479="","",UPPER(SUBSTITUTE(SUBSTITUTE(SUBSTITUTE(SUBSTITUTE(SUBSTITUTE(SUBSTITUTE(SUBSTITUTE(SUBSTITUTE(SUBSTITUTE(SUBSTITUTE(SUBSTITUTE(SUBSTITUTE(SUBSTITUTE(SUBSTITUTE(SUBSTITUTE(SUBSTITUTE(SUBSTITUTE(SUBSTITUTE(TRIM($E479),"'",""),"İ","I"),"ı","I"),"i","I"),"Ş","S"),"ş","S"),"Ğ","G"),"ğ","G"),"Ü","U"),"ü","U"),"Ö","O"),"ö","O"),"Ç","C"),"ç","C"),".",""),",","")," ",""),"-","")))</f>
        <v/>
      </c>
    </row>
    <row r="480">
      <c r="A480" s="6" t="n"/>
      <c r="B480" s="113">
        <f>IF($E480="","","A"&amp;TEXT(ROW()-6,"00000"))</f>
        <v/>
      </c>
      <c r="C480" s="108" t="n"/>
      <c r="D480" s="113">
        <f>IF($E480="","",IFERROR(INDEX(MUSTERILER!$B$7:$B$106,MATCH($U480,MUSTERILER!$T$7:$T$106,0)),IFERROR(INDEX(MUSTERILER!$B$7:$B$106,MATCH($E480,MUSTERILER!$B$7:$B$106,0)),IFERROR(INDEX(MUSTERILER!$B$7:$B$106,MATCH($U480&amp;"*",MUSTERILER!$T$7:$T$106,0)),"TANIMSIZ MÜŞTERİ"))))</f>
        <v/>
      </c>
      <c r="E480" s="109" t="n"/>
      <c r="F480" s="109" t="n"/>
      <c r="G480" s="108" t="n"/>
      <c r="H480" s="220" t="n"/>
      <c r="I480" s="220" t="n"/>
      <c r="J480" s="108" t="n"/>
      <c r="K480" s="108" t="n"/>
      <c r="L480" s="109" t="n"/>
      <c r="M480" s="109" t="n"/>
      <c r="N480" s="109" t="n"/>
      <c r="O480" s="220" t="n"/>
      <c r="P480" s="227">
        <f>IF(OR($E480="",$I480=""),"",IF(OR($J480="Tamamlandı",$J480="İptal"),"",$I480-TODAY()))</f>
        <v/>
      </c>
      <c r="Q480" s="113">
        <f>IF($E480="","",IF($D480="TANIMSIZ MÜŞTERİ","HATA",IF(OR($J480="Tamamlandı",$J480="İptal"),"KAPALI",IF(AND($C480="Görüşme",$N480=""),"SONRAKİ İŞLEM EKSİK",IF($I480="","TARİH EKSİK",IF($I480&lt;TODAY(),"GECİKMİŞ",IF($I480=TODAY(),"BUGÜN",IF($I480&lt;=TODAY()+7,"7 GÜN İÇİNDE","PLANLI"))))))))</f>
        <v/>
      </c>
      <c r="R480" s="6" t="n"/>
      <c r="S480" s="6" t="n"/>
      <c r="T480" s="3" t="n"/>
      <c r="U480" s="3">
        <f>IF($E480="","",UPPER(SUBSTITUTE(SUBSTITUTE(SUBSTITUTE(SUBSTITUTE(SUBSTITUTE(SUBSTITUTE(SUBSTITUTE(SUBSTITUTE(SUBSTITUTE(SUBSTITUTE(SUBSTITUTE(SUBSTITUTE(SUBSTITUTE(SUBSTITUTE(SUBSTITUTE(SUBSTITUTE(SUBSTITUTE(SUBSTITUTE(TRIM($E480),"'",""),"İ","I"),"ı","I"),"i","I"),"Ş","S"),"ş","S"),"Ğ","G"),"ğ","G"),"Ü","U"),"ü","U"),"Ö","O"),"ö","O"),"Ç","C"),"ç","C"),".",""),",","")," ",""),"-","")))</f>
        <v/>
      </c>
    </row>
    <row r="481">
      <c r="A481" s="6" t="n"/>
      <c r="B481" s="113">
        <f>IF($E481="","","A"&amp;TEXT(ROW()-6,"00000"))</f>
        <v/>
      </c>
      <c r="C481" s="108" t="n"/>
      <c r="D481" s="113">
        <f>IF($E481="","",IFERROR(INDEX(MUSTERILER!$B$7:$B$106,MATCH($U481,MUSTERILER!$T$7:$T$106,0)),IFERROR(INDEX(MUSTERILER!$B$7:$B$106,MATCH($E481,MUSTERILER!$B$7:$B$106,0)),IFERROR(INDEX(MUSTERILER!$B$7:$B$106,MATCH($U481&amp;"*",MUSTERILER!$T$7:$T$106,0)),"TANIMSIZ MÜŞTERİ"))))</f>
        <v/>
      </c>
      <c r="E481" s="109" t="n"/>
      <c r="F481" s="109" t="n"/>
      <c r="G481" s="108" t="n"/>
      <c r="H481" s="220" t="n"/>
      <c r="I481" s="220" t="n"/>
      <c r="J481" s="108" t="n"/>
      <c r="K481" s="108" t="n"/>
      <c r="L481" s="109" t="n"/>
      <c r="M481" s="109" t="n"/>
      <c r="N481" s="109" t="n"/>
      <c r="O481" s="220" t="n"/>
      <c r="P481" s="227">
        <f>IF(OR($E481="",$I481=""),"",IF(OR($J481="Tamamlandı",$J481="İptal"),"",$I481-TODAY()))</f>
        <v/>
      </c>
      <c r="Q481" s="113">
        <f>IF($E481="","",IF($D481="TANIMSIZ MÜŞTERİ","HATA",IF(OR($J481="Tamamlandı",$J481="İptal"),"KAPALI",IF(AND($C481="Görüşme",$N481=""),"SONRAKİ İŞLEM EKSİK",IF($I481="","TARİH EKSİK",IF($I481&lt;TODAY(),"GECİKMİŞ",IF($I481=TODAY(),"BUGÜN",IF($I481&lt;=TODAY()+7,"7 GÜN İÇİNDE","PLANLI"))))))))</f>
        <v/>
      </c>
      <c r="R481" s="6" t="n"/>
      <c r="S481" s="6" t="n"/>
      <c r="T481" s="3" t="n"/>
      <c r="U481" s="3">
        <f>IF($E481="","",UPPER(SUBSTITUTE(SUBSTITUTE(SUBSTITUTE(SUBSTITUTE(SUBSTITUTE(SUBSTITUTE(SUBSTITUTE(SUBSTITUTE(SUBSTITUTE(SUBSTITUTE(SUBSTITUTE(SUBSTITUTE(SUBSTITUTE(SUBSTITUTE(SUBSTITUTE(SUBSTITUTE(SUBSTITUTE(SUBSTITUTE(TRIM($E481),"'",""),"İ","I"),"ı","I"),"i","I"),"Ş","S"),"ş","S"),"Ğ","G"),"ğ","G"),"Ü","U"),"ü","U"),"Ö","O"),"ö","O"),"Ç","C"),"ç","C"),".",""),",","")," ",""),"-","")))</f>
        <v/>
      </c>
    </row>
    <row r="482">
      <c r="A482" s="6" t="n"/>
      <c r="B482" s="113">
        <f>IF($E482="","","A"&amp;TEXT(ROW()-6,"00000"))</f>
        <v/>
      </c>
      <c r="C482" s="108" t="n"/>
      <c r="D482" s="113">
        <f>IF($E482="","",IFERROR(INDEX(MUSTERILER!$B$7:$B$106,MATCH($U482,MUSTERILER!$T$7:$T$106,0)),IFERROR(INDEX(MUSTERILER!$B$7:$B$106,MATCH($E482,MUSTERILER!$B$7:$B$106,0)),IFERROR(INDEX(MUSTERILER!$B$7:$B$106,MATCH($U482&amp;"*",MUSTERILER!$T$7:$T$106,0)),"TANIMSIZ MÜŞTERİ"))))</f>
        <v/>
      </c>
      <c r="E482" s="109" t="n"/>
      <c r="F482" s="109" t="n"/>
      <c r="G482" s="108" t="n"/>
      <c r="H482" s="220" t="n"/>
      <c r="I482" s="220" t="n"/>
      <c r="J482" s="108" t="n"/>
      <c r="K482" s="108" t="n"/>
      <c r="L482" s="109" t="n"/>
      <c r="M482" s="109" t="n"/>
      <c r="N482" s="109" t="n"/>
      <c r="O482" s="220" t="n"/>
      <c r="P482" s="227">
        <f>IF(OR($E482="",$I482=""),"",IF(OR($J482="Tamamlandı",$J482="İptal"),"",$I482-TODAY()))</f>
        <v/>
      </c>
      <c r="Q482" s="113">
        <f>IF($E482="","",IF($D482="TANIMSIZ MÜŞTERİ","HATA",IF(OR($J482="Tamamlandı",$J482="İptal"),"KAPALI",IF(AND($C482="Görüşme",$N482=""),"SONRAKİ İŞLEM EKSİK",IF($I482="","TARİH EKSİK",IF($I482&lt;TODAY(),"GECİKMİŞ",IF($I482=TODAY(),"BUGÜN",IF($I482&lt;=TODAY()+7,"7 GÜN İÇİNDE","PLANLI"))))))))</f>
        <v/>
      </c>
      <c r="R482" s="6" t="n"/>
      <c r="S482" s="6" t="n"/>
      <c r="T482" s="3" t="n"/>
      <c r="U482" s="3">
        <f>IF($E482="","",UPPER(SUBSTITUTE(SUBSTITUTE(SUBSTITUTE(SUBSTITUTE(SUBSTITUTE(SUBSTITUTE(SUBSTITUTE(SUBSTITUTE(SUBSTITUTE(SUBSTITUTE(SUBSTITUTE(SUBSTITUTE(SUBSTITUTE(SUBSTITUTE(SUBSTITUTE(SUBSTITUTE(SUBSTITUTE(SUBSTITUTE(TRIM($E482),"'",""),"İ","I"),"ı","I"),"i","I"),"Ş","S"),"ş","S"),"Ğ","G"),"ğ","G"),"Ü","U"),"ü","U"),"Ö","O"),"ö","O"),"Ç","C"),"ç","C"),".",""),",","")," ",""),"-","")))</f>
        <v/>
      </c>
    </row>
    <row r="483">
      <c r="A483" s="6" t="n"/>
      <c r="B483" s="113">
        <f>IF($E483="","","A"&amp;TEXT(ROW()-6,"00000"))</f>
        <v/>
      </c>
      <c r="C483" s="108" t="n"/>
      <c r="D483" s="113">
        <f>IF($E483="","",IFERROR(INDEX(MUSTERILER!$B$7:$B$106,MATCH($U483,MUSTERILER!$T$7:$T$106,0)),IFERROR(INDEX(MUSTERILER!$B$7:$B$106,MATCH($E483,MUSTERILER!$B$7:$B$106,0)),IFERROR(INDEX(MUSTERILER!$B$7:$B$106,MATCH($U483&amp;"*",MUSTERILER!$T$7:$T$106,0)),"TANIMSIZ MÜŞTERİ"))))</f>
        <v/>
      </c>
      <c r="E483" s="109" t="n"/>
      <c r="F483" s="109" t="n"/>
      <c r="G483" s="108" t="n"/>
      <c r="H483" s="220" t="n"/>
      <c r="I483" s="220" t="n"/>
      <c r="J483" s="108" t="n"/>
      <c r="K483" s="108" t="n"/>
      <c r="L483" s="109" t="n"/>
      <c r="M483" s="109" t="n"/>
      <c r="N483" s="109" t="n"/>
      <c r="O483" s="220" t="n"/>
      <c r="P483" s="227">
        <f>IF(OR($E483="",$I483=""),"",IF(OR($J483="Tamamlandı",$J483="İptal"),"",$I483-TODAY()))</f>
        <v/>
      </c>
      <c r="Q483" s="113">
        <f>IF($E483="","",IF($D483="TANIMSIZ MÜŞTERİ","HATA",IF(OR($J483="Tamamlandı",$J483="İptal"),"KAPALI",IF(AND($C483="Görüşme",$N483=""),"SONRAKİ İŞLEM EKSİK",IF($I483="","TARİH EKSİK",IF($I483&lt;TODAY(),"GECİKMİŞ",IF($I483=TODAY(),"BUGÜN",IF($I483&lt;=TODAY()+7,"7 GÜN İÇİNDE","PLANLI"))))))))</f>
        <v/>
      </c>
      <c r="R483" s="6" t="n"/>
      <c r="S483" s="6" t="n"/>
      <c r="T483" s="3" t="n"/>
      <c r="U483" s="3">
        <f>IF($E483="","",UPPER(SUBSTITUTE(SUBSTITUTE(SUBSTITUTE(SUBSTITUTE(SUBSTITUTE(SUBSTITUTE(SUBSTITUTE(SUBSTITUTE(SUBSTITUTE(SUBSTITUTE(SUBSTITUTE(SUBSTITUTE(SUBSTITUTE(SUBSTITUTE(SUBSTITUTE(SUBSTITUTE(SUBSTITUTE(SUBSTITUTE(TRIM($E483),"'",""),"İ","I"),"ı","I"),"i","I"),"Ş","S"),"ş","S"),"Ğ","G"),"ğ","G"),"Ü","U"),"ü","U"),"Ö","O"),"ö","O"),"Ç","C"),"ç","C"),".",""),",","")," ",""),"-","")))</f>
        <v/>
      </c>
    </row>
    <row r="484">
      <c r="A484" s="6" t="n"/>
      <c r="B484" s="113">
        <f>IF($E484="","","A"&amp;TEXT(ROW()-6,"00000"))</f>
        <v/>
      </c>
      <c r="C484" s="108" t="n"/>
      <c r="D484" s="113">
        <f>IF($E484="","",IFERROR(INDEX(MUSTERILER!$B$7:$B$106,MATCH($U484,MUSTERILER!$T$7:$T$106,0)),IFERROR(INDEX(MUSTERILER!$B$7:$B$106,MATCH($E484,MUSTERILER!$B$7:$B$106,0)),IFERROR(INDEX(MUSTERILER!$B$7:$B$106,MATCH($U484&amp;"*",MUSTERILER!$T$7:$T$106,0)),"TANIMSIZ MÜŞTERİ"))))</f>
        <v/>
      </c>
      <c r="E484" s="109" t="n"/>
      <c r="F484" s="109" t="n"/>
      <c r="G484" s="108" t="n"/>
      <c r="H484" s="220" t="n"/>
      <c r="I484" s="220" t="n"/>
      <c r="J484" s="108" t="n"/>
      <c r="K484" s="108" t="n"/>
      <c r="L484" s="109" t="n"/>
      <c r="M484" s="109" t="n"/>
      <c r="N484" s="109" t="n"/>
      <c r="O484" s="220" t="n"/>
      <c r="P484" s="227">
        <f>IF(OR($E484="",$I484=""),"",IF(OR($J484="Tamamlandı",$J484="İptal"),"",$I484-TODAY()))</f>
        <v/>
      </c>
      <c r="Q484" s="113">
        <f>IF($E484="","",IF($D484="TANIMSIZ MÜŞTERİ","HATA",IF(OR($J484="Tamamlandı",$J484="İptal"),"KAPALI",IF(AND($C484="Görüşme",$N484=""),"SONRAKİ İŞLEM EKSİK",IF($I484="","TARİH EKSİK",IF($I484&lt;TODAY(),"GECİKMİŞ",IF($I484=TODAY(),"BUGÜN",IF($I484&lt;=TODAY()+7,"7 GÜN İÇİNDE","PLANLI"))))))))</f>
        <v/>
      </c>
      <c r="R484" s="6" t="n"/>
      <c r="S484" s="6" t="n"/>
      <c r="T484" s="3" t="n"/>
      <c r="U484" s="3">
        <f>IF($E484="","",UPPER(SUBSTITUTE(SUBSTITUTE(SUBSTITUTE(SUBSTITUTE(SUBSTITUTE(SUBSTITUTE(SUBSTITUTE(SUBSTITUTE(SUBSTITUTE(SUBSTITUTE(SUBSTITUTE(SUBSTITUTE(SUBSTITUTE(SUBSTITUTE(SUBSTITUTE(SUBSTITUTE(SUBSTITUTE(SUBSTITUTE(TRIM($E484),"'",""),"İ","I"),"ı","I"),"i","I"),"Ş","S"),"ş","S"),"Ğ","G"),"ğ","G"),"Ü","U"),"ü","U"),"Ö","O"),"ö","O"),"Ç","C"),"ç","C"),".",""),",","")," ",""),"-","")))</f>
        <v/>
      </c>
    </row>
    <row r="485">
      <c r="A485" s="6" t="n"/>
      <c r="B485" s="113">
        <f>IF($E485="","","A"&amp;TEXT(ROW()-6,"00000"))</f>
        <v/>
      </c>
      <c r="C485" s="108" t="n"/>
      <c r="D485" s="113">
        <f>IF($E485="","",IFERROR(INDEX(MUSTERILER!$B$7:$B$106,MATCH($U485,MUSTERILER!$T$7:$T$106,0)),IFERROR(INDEX(MUSTERILER!$B$7:$B$106,MATCH($E485,MUSTERILER!$B$7:$B$106,0)),IFERROR(INDEX(MUSTERILER!$B$7:$B$106,MATCH($U485&amp;"*",MUSTERILER!$T$7:$T$106,0)),"TANIMSIZ MÜŞTERİ"))))</f>
        <v/>
      </c>
      <c r="E485" s="109" t="n"/>
      <c r="F485" s="109" t="n"/>
      <c r="G485" s="108" t="n"/>
      <c r="H485" s="220" t="n"/>
      <c r="I485" s="220" t="n"/>
      <c r="J485" s="108" t="n"/>
      <c r="K485" s="108" t="n"/>
      <c r="L485" s="109" t="n"/>
      <c r="M485" s="109" t="n"/>
      <c r="N485" s="109" t="n"/>
      <c r="O485" s="220" t="n"/>
      <c r="P485" s="227">
        <f>IF(OR($E485="",$I485=""),"",IF(OR($J485="Tamamlandı",$J485="İptal"),"",$I485-TODAY()))</f>
        <v/>
      </c>
      <c r="Q485" s="113">
        <f>IF($E485="","",IF($D485="TANIMSIZ MÜŞTERİ","HATA",IF(OR($J485="Tamamlandı",$J485="İptal"),"KAPALI",IF(AND($C485="Görüşme",$N485=""),"SONRAKİ İŞLEM EKSİK",IF($I485="","TARİH EKSİK",IF($I485&lt;TODAY(),"GECİKMİŞ",IF($I485=TODAY(),"BUGÜN",IF($I485&lt;=TODAY()+7,"7 GÜN İÇİNDE","PLANLI"))))))))</f>
        <v/>
      </c>
      <c r="R485" s="6" t="n"/>
      <c r="S485" s="6" t="n"/>
      <c r="T485" s="3" t="n"/>
      <c r="U485" s="3">
        <f>IF($E485="","",UPPER(SUBSTITUTE(SUBSTITUTE(SUBSTITUTE(SUBSTITUTE(SUBSTITUTE(SUBSTITUTE(SUBSTITUTE(SUBSTITUTE(SUBSTITUTE(SUBSTITUTE(SUBSTITUTE(SUBSTITUTE(SUBSTITUTE(SUBSTITUTE(SUBSTITUTE(SUBSTITUTE(SUBSTITUTE(SUBSTITUTE(TRIM($E485),"'",""),"İ","I"),"ı","I"),"i","I"),"Ş","S"),"ş","S"),"Ğ","G"),"ğ","G"),"Ü","U"),"ü","U"),"Ö","O"),"ö","O"),"Ç","C"),"ç","C"),".",""),",","")," ",""),"-","")))</f>
        <v/>
      </c>
    </row>
    <row r="486">
      <c r="A486" s="6" t="n"/>
      <c r="B486" s="113">
        <f>IF($E486="","","A"&amp;TEXT(ROW()-6,"00000"))</f>
        <v/>
      </c>
      <c r="C486" s="108" t="n"/>
      <c r="D486" s="113">
        <f>IF($E486="","",IFERROR(INDEX(MUSTERILER!$B$7:$B$106,MATCH($U486,MUSTERILER!$T$7:$T$106,0)),IFERROR(INDEX(MUSTERILER!$B$7:$B$106,MATCH($E486,MUSTERILER!$B$7:$B$106,0)),IFERROR(INDEX(MUSTERILER!$B$7:$B$106,MATCH($U486&amp;"*",MUSTERILER!$T$7:$T$106,0)),"TANIMSIZ MÜŞTERİ"))))</f>
        <v/>
      </c>
      <c r="E486" s="109" t="n"/>
      <c r="F486" s="109" t="n"/>
      <c r="G486" s="108" t="n"/>
      <c r="H486" s="220" t="n"/>
      <c r="I486" s="220" t="n"/>
      <c r="J486" s="108" t="n"/>
      <c r="K486" s="108" t="n"/>
      <c r="L486" s="109" t="n"/>
      <c r="M486" s="109" t="n"/>
      <c r="N486" s="109" t="n"/>
      <c r="O486" s="220" t="n"/>
      <c r="P486" s="227">
        <f>IF(OR($E486="",$I486=""),"",IF(OR($J486="Tamamlandı",$J486="İptal"),"",$I486-TODAY()))</f>
        <v/>
      </c>
      <c r="Q486" s="113">
        <f>IF($E486="","",IF($D486="TANIMSIZ MÜŞTERİ","HATA",IF(OR($J486="Tamamlandı",$J486="İptal"),"KAPALI",IF(AND($C486="Görüşme",$N486=""),"SONRAKİ İŞLEM EKSİK",IF($I486="","TARİH EKSİK",IF($I486&lt;TODAY(),"GECİKMİŞ",IF($I486=TODAY(),"BUGÜN",IF($I486&lt;=TODAY()+7,"7 GÜN İÇİNDE","PLANLI"))))))))</f>
        <v/>
      </c>
      <c r="R486" s="6" t="n"/>
      <c r="S486" s="6" t="n"/>
      <c r="T486" s="3" t="n"/>
      <c r="U486" s="3">
        <f>IF($E486="","",UPPER(SUBSTITUTE(SUBSTITUTE(SUBSTITUTE(SUBSTITUTE(SUBSTITUTE(SUBSTITUTE(SUBSTITUTE(SUBSTITUTE(SUBSTITUTE(SUBSTITUTE(SUBSTITUTE(SUBSTITUTE(SUBSTITUTE(SUBSTITUTE(SUBSTITUTE(SUBSTITUTE(SUBSTITUTE(SUBSTITUTE(TRIM($E486),"'",""),"İ","I"),"ı","I"),"i","I"),"Ş","S"),"ş","S"),"Ğ","G"),"ğ","G"),"Ü","U"),"ü","U"),"Ö","O"),"ö","O"),"Ç","C"),"ç","C"),".",""),",","")," ",""),"-","")))</f>
        <v/>
      </c>
    </row>
    <row r="487">
      <c r="A487" s="6" t="n"/>
      <c r="B487" s="113">
        <f>IF($E487="","","A"&amp;TEXT(ROW()-6,"00000"))</f>
        <v/>
      </c>
      <c r="C487" s="108" t="n"/>
      <c r="D487" s="113">
        <f>IF($E487="","",IFERROR(INDEX(MUSTERILER!$B$7:$B$106,MATCH($U487,MUSTERILER!$T$7:$T$106,0)),IFERROR(INDEX(MUSTERILER!$B$7:$B$106,MATCH($E487,MUSTERILER!$B$7:$B$106,0)),IFERROR(INDEX(MUSTERILER!$B$7:$B$106,MATCH($U487&amp;"*",MUSTERILER!$T$7:$T$106,0)),"TANIMSIZ MÜŞTERİ"))))</f>
        <v/>
      </c>
      <c r="E487" s="109" t="n"/>
      <c r="F487" s="109" t="n"/>
      <c r="G487" s="108" t="n"/>
      <c r="H487" s="220" t="n"/>
      <c r="I487" s="220" t="n"/>
      <c r="J487" s="108" t="n"/>
      <c r="K487" s="108" t="n"/>
      <c r="L487" s="109" t="n"/>
      <c r="M487" s="109" t="n"/>
      <c r="N487" s="109" t="n"/>
      <c r="O487" s="220" t="n"/>
      <c r="P487" s="227">
        <f>IF(OR($E487="",$I487=""),"",IF(OR($J487="Tamamlandı",$J487="İptal"),"",$I487-TODAY()))</f>
        <v/>
      </c>
      <c r="Q487" s="113">
        <f>IF($E487="","",IF($D487="TANIMSIZ MÜŞTERİ","HATA",IF(OR($J487="Tamamlandı",$J487="İptal"),"KAPALI",IF(AND($C487="Görüşme",$N487=""),"SONRAKİ İŞLEM EKSİK",IF($I487="","TARİH EKSİK",IF($I487&lt;TODAY(),"GECİKMİŞ",IF($I487=TODAY(),"BUGÜN",IF($I487&lt;=TODAY()+7,"7 GÜN İÇİNDE","PLANLI"))))))))</f>
        <v/>
      </c>
      <c r="R487" s="6" t="n"/>
      <c r="S487" s="6" t="n"/>
      <c r="T487" s="3" t="n"/>
      <c r="U487" s="3">
        <f>IF($E487="","",UPPER(SUBSTITUTE(SUBSTITUTE(SUBSTITUTE(SUBSTITUTE(SUBSTITUTE(SUBSTITUTE(SUBSTITUTE(SUBSTITUTE(SUBSTITUTE(SUBSTITUTE(SUBSTITUTE(SUBSTITUTE(SUBSTITUTE(SUBSTITUTE(SUBSTITUTE(SUBSTITUTE(SUBSTITUTE(SUBSTITUTE(TRIM($E487),"'",""),"İ","I"),"ı","I"),"i","I"),"Ş","S"),"ş","S"),"Ğ","G"),"ğ","G"),"Ü","U"),"ü","U"),"Ö","O"),"ö","O"),"Ç","C"),"ç","C"),".",""),",","")," ",""),"-","")))</f>
        <v/>
      </c>
    </row>
    <row r="488">
      <c r="A488" s="6" t="n"/>
      <c r="B488" s="113">
        <f>IF($E488="","","A"&amp;TEXT(ROW()-6,"00000"))</f>
        <v/>
      </c>
      <c r="C488" s="108" t="n"/>
      <c r="D488" s="113">
        <f>IF($E488="","",IFERROR(INDEX(MUSTERILER!$B$7:$B$106,MATCH($U488,MUSTERILER!$T$7:$T$106,0)),IFERROR(INDEX(MUSTERILER!$B$7:$B$106,MATCH($E488,MUSTERILER!$B$7:$B$106,0)),IFERROR(INDEX(MUSTERILER!$B$7:$B$106,MATCH($U488&amp;"*",MUSTERILER!$T$7:$T$106,0)),"TANIMSIZ MÜŞTERİ"))))</f>
        <v/>
      </c>
      <c r="E488" s="109" t="n"/>
      <c r="F488" s="109" t="n"/>
      <c r="G488" s="108" t="n"/>
      <c r="H488" s="220" t="n"/>
      <c r="I488" s="220" t="n"/>
      <c r="J488" s="108" t="n"/>
      <c r="K488" s="108" t="n"/>
      <c r="L488" s="109" t="n"/>
      <c r="M488" s="109" t="n"/>
      <c r="N488" s="109" t="n"/>
      <c r="O488" s="220" t="n"/>
      <c r="P488" s="227">
        <f>IF(OR($E488="",$I488=""),"",IF(OR($J488="Tamamlandı",$J488="İptal"),"",$I488-TODAY()))</f>
        <v/>
      </c>
      <c r="Q488" s="113">
        <f>IF($E488="","",IF($D488="TANIMSIZ MÜŞTERİ","HATA",IF(OR($J488="Tamamlandı",$J488="İptal"),"KAPALI",IF(AND($C488="Görüşme",$N488=""),"SONRAKİ İŞLEM EKSİK",IF($I488="","TARİH EKSİK",IF($I488&lt;TODAY(),"GECİKMİŞ",IF($I488=TODAY(),"BUGÜN",IF($I488&lt;=TODAY()+7,"7 GÜN İÇİNDE","PLANLI"))))))))</f>
        <v/>
      </c>
      <c r="R488" s="6" t="n"/>
      <c r="S488" s="6" t="n"/>
      <c r="T488" s="3" t="n"/>
      <c r="U488" s="3">
        <f>IF($E488="","",UPPER(SUBSTITUTE(SUBSTITUTE(SUBSTITUTE(SUBSTITUTE(SUBSTITUTE(SUBSTITUTE(SUBSTITUTE(SUBSTITUTE(SUBSTITUTE(SUBSTITUTE(SUBSTITUTE(SUBSTITUTE(SUBSTITUTE(SUBSTITUTE(SUBSTITUTE(SUBSTITUTE(SUBSTITUTE(SUBSTITUTE(TRIM($E488),"'",""),"İ","I"),"ı","I"),"i","I"),"Ş","S"),"ş","S"),"Ğ","G"),"ğ","G"),"Ü","U"),"ü","U"),"Ö","O"),"ö","O"),"Ç","C"),"ç","C"),".",""),",","")," ",""),"-","")))</f>
        <v/>
      </c>
    </row>
    <row r="489">
      <c r="A489" s="6" t="n"/>
      <c r="B489" s="113">
        <f>IF($E489="","","A"&amp;TEXT(ROW()-6,"00000"))</f>
        <v/>
      </c>
      <c r="C489" s="108" t="n"/>
      <c r="D489" s="113">
        <f>IF($E489="","",IFERROR(INDEX(MUSTERILER!$B$7:$B$106,MATCH($U489,MUSTERILER!$T$7:$T$106,0)),IFERROR(INDEX(MUSTERILER!$B$7:$B$106,MATCH($E489,MUSTERILER!$B$7:$B$106,0)),IFERROR(INDEX(MUSTERILER!$B$7:$B$106,MATCH($U489&amp;"*",MUSTERILER!$T$7:$T$106,0)),"TANIMSIZ MÜŞTERİ"))))</f>
        <v/>
      </c>
      <c r="E489" s="109" t="n"/>
      <c r="F489" s="109" t="n"/>
      <c r="G489" s="108" t="n"/>
      <c r="H489" s="220" t="n"/>
      <c r="I489" s="220" t="n"/>
      <c r="J489" s="108" t="n"/>
      <c r="K489" s="108" t="n"/>
      <c r="L489" s="109" t="n"/>
      <c r="M489" s="109" t="n"/>
      <c r="N489" s="109" t="n"/>
      <c r="O489" s="220" t="n"/>
      <c r="P489" s="227">
        <f>IF(OR($E489="",$I489=""),"",IF(OR($J489="Tamamlandı",$J489="İptal"),"",$I489-TODAY()))</f>
        <v/>
      </c>
      <c r="Q489" s="113">
        <f>IF($E489="","",IF($D489="TANIMSIZ MÜŞTERİ","HATA",IF(OR($J489="Tamamlandı",$J489="İptal"),"KAPALI",IF(AND($C489="Görüşme",$N489=""),"SONRAKİ İŞLEM EKSİK",IF($I489="","TARİH EKSİK",IF($I489&lt;TODAY(),"GECİKMİŞ",IF($I489=TODAY(),"BUGÜN",IF($I489&lt;=TODAY()+7,"7 GÜN İÇİNDE","PLANLI"))))))))</f>
        <v/>
      </c>
      <c r="R489" s="6" t="n"/>
      <c r="S489" s="6" t="n"/>
      <c r="T489" s="3" t="n"/>
      <c r="U489" s="3">
        <f>IF($E489="","",UPPER(SUBSTITUTE(SUBSTITUTE(SUBSTITUTE(SUBSTITUTE(SUBSTITUTE(SUBSTITUTE(SUBSTITUTE(SUBSTITUTE(SUBSTITUTE(SUBSTITUTE(SUBSTITUTE(SUBSTITUTE(SUBSTITUTE(SUBSTITUTE(SUBSTITUTE(SUBSTITUTE(SUBSTITUTE(SUBSTITUTE(TRIM($E489),"'",""),"İ","I"),"ı","I"),"i","I"),"Ş","S"),"ş","S"),"Ğ","G"),"ğ","G"),"Ü","U"),"ü","U"),"Ö","O"),"ö","O"),"Ç","C"),"ç","C"),".",""),",","")," ",""),"-","")))</f>
        <v/>
      </c>
    </row>
    <row r="490">
      <c r="A490" s="6" t="n"/>
      <c r="B490" s="113">
        <f>IF($E490="","","A"&amp;TEXT(ROW()-6,"00000"))</f>
        <v/>
      </c>
      <c r="C490" s="108" t="n"/>
      <c r="D490" s="113">
        <f>IF($E490="","",IFERROR(INDEX(MUSTERILER!$B$7:$B$106,MATCH($U490,MUSTERILER!$T$7:$T$106,0)),IFERROR(INDEX(MUSTERILER!$B$7:$B$106,MATCH($E490,MUSTERILER!$B$7:$B$106,0)),IFERROR(INDEX(MUSTERILER!$B$7:$B$106,MATCH($U490&amp;"*",MUSTERILER!$T$7:$T$106,0)),"TANIMSIZ MÜŞTERİ"))))</f>
        <v/>
      </c>
      <c r="E490" s="109" t="n"/>
      <c r="F490" s="109" t="n"/>
      <c r="G490" s="108" t="n"/>
      <c r="H490" s="220" t="n"/>
      <c r="I490" s="220" t="n"/>
      <c r="J490" s="108" t="n"/>
      <c r="K490" s="108" t="n"/>
      <c r="L490" s="109" t="n"/>
      <c r="M490" s="109" t="n"/>
      <c r="N490" s="109" t="n"/>
      <c r="O490" s="220" t="n"/>
      <c r="P490" s="227">
        <f>IF(OR($E490="",$I490=""),"",IF(OR($J490="Tamamlandı",$J490="İptal"),"",$I490-TODAY()))</f>
        <v/>
      </c>
      <c r="Q490" s="113">
        <f>IF($E490="","",IF($D490="TANIMSIZ MÜŞTERİ","HATA",IF(OR($J490="Tamamlandı",$J490="İptal"),"KAPALI",IF(AND($C490="Görüşme",$N490=""),"SONRAKİ İŞLEM EKSİK",IF($I490="","TARİH EKSİK",IF($I490&lt;TODAY(),"GECİKMİŞ",IF($I490=TODAY(),"BUGÜN",IF($I490&lt;=TODAY()+7,"7 GÜN İÇİNDE","PLANLI"))))))))</f>
        <v/>
      </c>
      <c r="R490" s="6" t="n"/>
      <c r="S490" s="6" t="n"/>
      <c r="T490" s="3" t="n"/>
      <c r="U490" s="3">
        <f>IF($E490="","",UPPER(SUBSTITUTE(SUBSTITUTE(SUBSTITUTE(SUBSTITUTE(SUBSTITUTE(SUBSTITUTE(SUBSTITUTE(SUBSTITUTE(SUBSTITUTE(SUBSTITUTE(SUBSTITUTE(SUBSTITUTE(SUBSTITUTE(SUBSTITUTE(SUBSTITUTE(SUBSTITUTE(SUBSTITUTE(SUBSTITUTE(TRIM($E490),"'",""),"İ","I"),"ı","I"),"i","I"),"Ş","S"),"ş","S"),"Ğ","G"),"ğ","G"),"Ü","U"),"ü","U"),"Ö","O"),"ö","O"),"Ç","C"),"ç","C"),".",""),",","")," ",""),"-","")))</f>
        <v/>
      </c>
    </row>
    <row r="491">
      <c r="A491" s="6" t="n"/>
      <c r="B491" s="113">
        <f>IF($E491="","","A"&amp;TEXT(ROW()-6,"00000"))</f>
        <v/>
      </c>
      <c r="C491" s="108" t="n"/>
      <c r="D491" s="113">
        <f>IF($E491="","",IFERROR(INDEX(MUSTERILER!$B$7:$B$106,MATCH($U491,MUSTERILER!$T$7:$T$106,0)),IFERROR(INDEX(MUSTERILER!$B$7:$B$106,MATCH($E491,MUSTERILER!$B$7:$B$106,0)),IFERROR(INDEX(MUSTERILER!$B$7:$B$106,MATCH($U491&amp;"*",MUSTERILER!$T$7:$T$106,0)),"TANIMSIZ MÜŞTERİ"))))</f>
        <v/>
      </c>
      <c r="E491" s="109" t="n"/>
      <c r="F491" s="109" t="n"/>
      <c r="G491" s="108" t="n"/>
      <c r="H491" s="220" t="n"/>
      <c r="I491" s="220" t="n"/>
      <c r="J491" s="108" t="n"/>
      <c r="K491" s="108" t="n"/>
      <c r="L491" s="109" t="n"/>
      <c r="M491" s="109" t="n"/>
      <c r="N491" s="109" t="n"/>
      <c r="O491" s="220" t="n"/>
      <c r="P491" s="227">
        <f>IF(OR($E491="",$I491=""),"",IF(OR($J491="Tamamlandı",$J491="İptal"),"",$I491-TODAY()))</f>
        <v/>
      </c>
      <c r="Q491" s="113">
        <f>IF($E491="","",IF($D491="TANIMSIZ MÜŞTERİ","HATA",IF(OR($J491="Tamamlandı",$J491="İptal"),"KAPALI",IF(AND($C491="Görüşme",$N491=""),"SONRAKİ İŞLEM EKSİK",IF($I491="","TARİH EKSİK",IF($I491&lt;TODAY(),"GECİKMİŞ",IF($I491=TODAY(),"BUGÜN",IF($I491&lt;=TODAY()+7,"7 GÜN İÇİNDE","PLANLI"))))))))</f>
        <v/>
      </c>
      <c r="R491" s="6" t="n"/>
      <c r="S491" s="6" t="n"/>
      <c r="T491" s="3" t="n"/>
      <c r="U491" s="3">
        <f>IF($E491="","",UPPER(SUBSTITUTE(SUBSTITUTE(SUBSTITUTE(SUBSTITUTE(SUBSTITUTE(SUBSTITUTE(SUBSTITUTE(SUBSTITUTE(SUBSTITUTE(SUBSTITUTE(SUBSTITUTE(SUBSTITUTE(SUBSTITUTE(SUBSTITUTE(SUBSTITUTE(SUBSTITUTE(SUBSTITUTE(SUBSTITUTE(TRIM($E491),"'",""),"İ","I"),"ı","I"),"i","I"),"Ş","S"),"ş","S"),"Ğ","G"),"ğ","G"),"Ü","U"),"ü","U"),"Ö","O"),"ö","O"),"Ç","C"),"ç","C"),".",""),",","")," ",""),"-","")))</f>
        <v/>
      </c>
    </row>
    <row r="492">
      <c r="A492" s="6" t="n"/>
      <c r="B492" s="113">
        <f>IF($E492="","","A"&amp;TEXT(ROW()-6,"00000"))</f>
        <v/>
      </c>
      <c r="C492" s="108" t="n"/>
      <c r="D492" s="113">
        <f>IF($E492="","",IFERROR(INDEX(MUSTERILER!$B$7:$B$106,MATCH($U492,MUSTERILER!$T$7:$T$106,0)),IFERROR(INDEX(MUSTERILER!$B$7:$B$106,MATCH($E492,MUSTERILER!$B$7:$B$106,0)),IFERROR(INDEX(MUSTERILER!$B$7:$B$106,MATCH($U492&amp;"*",MUSTERILER!$T$7:$T$106,0)),"TANIMSIZ MÜŞTERİ"))))</f>
        <v/>
      </c>
      <c r="E492" s="109" t="n"/>
      <c r="F492" s="109" t="n"/>
      <c r="G492" s="108" t="n"/>
      <c r="H492" s="220" t="n"/>
      <c r="I492" s="220" t="n"/>
      <c r="J492" s="108" t="n"/>
      <c r="K492" s="108" t="n"/>
      <c r="L492" s="109" t="n"/>
      <c r="M492" s="109" t="n"/>
      <c r="N492" s="109" t="n"/>
      <c r="O492" s="220" t="n"/>
      <c r="P492" s="227">
        <f>IF(OR($E492="",$I492=""),"",IF(OR($J492="Tamamlandı",$J492="İptal"),"",$I492-TODAY()))</f>
        <v/>
      </c>
      <c r="Q492" s="113">
        <f>IF($E492="","",IF($D492="TANIMSIZ MÜŞTERİ","HATA",IF(OR($J492="Tamamlandı",$J492="İptal"),"KAPALI",IF(AND($C492="Görüşme",$N492=""),"SONRAKİ İŞLEM EKSİK",IF($I492="","TARİH EKSİK",IF($I492&lt;TODAY(),"GECİKMİŞ",IF($I492=TODAY(),"BUGÜN",IF($I492&lt;=TODAY()+7,"7 GÜN İÇİNDE","PLANLI"))))))))</f>
        <v/>
      </c>
      <c r="R492" s="6" t="n"/>
      <c r="S492" s="6" t="n"/>
      <c r="T492" s="3" t="n"/>
      <c r="U492" s="3">
        <f>IF($E492="","",UPPER(SUBSTITUTE(SUBSTITUTE(SUBSTITUTE(SUBSTITUTE(SUBSTITUTE(SUBSTITUTE(SUBSTITUTE(SUBSTITUTE(SUBSTITUTE(SUBSTITUTE(SUBSTITUTE(SUBSTITUTE(SUBSTITUTE(SUBSTITUTE(SUBSTITUTE(SUBSTITUTE(SUBSTITUTE(SUBSTITUTE(TRIM($E492),"'",""),"İ","I"),"ı","I"),"i","I"),"Ş","S"),"ş","S"),"Ğ","G"),"ğ","G"),"Ü","U"),"ü","U"),"Ö","O"),"ö","O"),"Ç","C"),"ç","C"),".",""),",","")," ",""),"-","")))</f>
        <v/>
      </c>
    </row>
    <row r="493">
      <c r="A493" s="6" t="n"/>
      <c r="B493" s="113">
        <f>IF($E493="","","A"&amp;TEXT(ROW()-6,"00000"))</f>
        <v/>
      </c>
      <c r="C493" s="108" t="n"/>
      <c r="D493" s="113">
        <f>IF($E493="","",IFERROR(INDEX(MUSTERILER!$B$7:$B$106,MATCH($U493,MUSTERILER!$T$7:$T$106,0)),IFERROR(INDEX(MUSTERILER!$B$7:$B$106,MATCH($E493,MUSTERILER!$B$7:$B$106,0)),IFERROR(INDEX(MUSTERILER!$B$7:$B$106,MATCH($U493&amp;"*",MUSTERILER!$T$7:$T$106,0)),"TANIMSIZ MÜŞTERİ"))))</f>
        <v/>
      </c>
      <c r="E493" s="109" t="n"/>
      <c r="F493" s="109" t="n"/>
      <c r="G493" s="108" t="n"/>
      <c r="H493" s="220" t="n"/>
      <c r="I493" s="220" t="n"/>
      <c r="J493" s="108" t="n"/>
      <c r="K493" s="108" t="n"/>
      <c r="L493" s="109" t="n"/>
      <c r="M493" s="109" t="n"/>
      <c r="N493" s="109" t="n"/>
      <c r="O493" s="220" t="n"/>
      <c r="P493" s="227">
        <f>IF(OR($E493="",$I493=""),"",IF(OR($J493="Tamamlandı",$J493="İptal"),"",$I493-TODAY()))</f>
        <v/>
      </c>
      <c r="Q493" s="113">
        <f>IF($E493="","",IF($D493="TANIMSIZ MÜŞTERİ","HATA",IF(OR($J493="Tamamlandı",$J493="İptal"),"KAPALI",IF(AND($C493="Görüşme",$N493=""),"SONRAKİ İŞLEM EKSİK",IF($I493="","TARİH EKSİK",IF($I493&lt;TODAY(),"GECİKMİŞ",IF($I493=TODAY(),"BUGÜN",IF($I493&lt;=TODAY()+7,"7 GÜN İÇİNDE","PLANLI"))))))))</f>
        <v/>
      </c>
      <c r="R493" s="6" t="n"/>
      <c r="S493" s="6" t="n"/>
      <c r="T493" s="3" t="n"/>
      <c r="U493" s="3">
        <f>IF($E493="","",UPPER(SUBSTITUTE(SUBSTITUTE(SUBSTITUTE(SUBSTITUTE(SUBSTITUTE(SUBSTITUTE(SUBSTITUTE(SUBSTITUTE(SUBSTITUTE(SUBSTITUTE(SUBSTITUTE(SUBSTITUTE(SUBSTITUTE(SUBSTITUTE(SUBSTITUTE(SUBSTITUTE(SUBSTITUTE(SUBSTITUTE(TRIM($E493),"'",""),"İ","I"),"ı","I"),"i","I"),"Ş","S"),"ş","S"),"Ğ","G"),"ğ","G"),"Ü","U"),"ü","U"),"Ö","O"),"ö","O"),"Ç","C"),"ç","C"),".",""),",","")," ",""),"-","")))</f>
        <v/>
      </c>
    </row>
    <row r="494">
      <c r="A494" s="6" t="n"/>
      <c r="B494" s="113">
        <f>IF($E494="","","A"&amp;TEXT(ROW()-6,"00000"))</f>
        <v/>
      </c>
      <c r="C494" s="108" t="n"/>
      <c r="D494" s="113">
        <f>IF($E494="","",IFERROR(INDEX(MUSTERILER!$B$7:$B$106,MATCH($U494,MUSTERILER!$T$7:$T$106,0)),IFERROR(INDEX(MUSTERILER!$B$7:$B$106,MATCH($E494,MUSTERILER!$B$7:$B$106,0)),IFERROR(INDEX(MUSTERILER!$B$7:$B$106,MATCH($U494&amp;"*",MUSTERILER!$T$7:$T$106,0)),"TANIMSIZ MÜŞTERİ"))))</f>
        <v/>
      </c>
      <c r="E494" s="109" t="n"/>
      <c r="F494" s="109" t="n"/>
      <c r="G494" s="108" t="n"/>
      <c r="H494" s="220" t="n"/>
      <c r="I494" s="220" t="n"/>
      <c r="J494" s="108" t="n"/>
      <c r="K494" s="108" t="n"/>
      <c r="L494" s="109" t="n"/>
      <c r="M494" s="109" t="n"/>
      <c r="N494" s="109" t="n"/>
      <c r="O494" s="220" t="n"/>
      <c r="P494" s="227">
        <f>IF(OR($E494="",$I494=""),"",IF(OR($J494="Tamamlandı",$J494="İptal"),"",$I494-TODAY()))</f>
        <v/>
      </c>
      <c r="Q494" s="113">
        <f>IF($E494="","",IF($D494="TANIMSIZ MÜŞTERİ","HATA",IF(OR($J494="Tamamlandı",$J494="İptal"),"KAPALI",IF(AND($C494="Görüşme",$N494=""),"SONRAKİ İŞLEM EKSİK",IF($I494="","TARİH EKSİK",IF($I494&lt;TODAY(),"GECİKMİŞ",IF($I494=TODAY(),"BUGÜN",IF($I494&lt;=TODAY()+7,"7 GÜN İÇİNDE","PLANLI"))))))))</f>
        <v/>
      </c>
      <c r="R494" s="6" t="n"/>
      <c r="S494" s="6" t="n"/>
      <c r="T494" s="3" t="n"/>
      <c r="U494" s="3">
        <f>IF($E494="","",UPPER(SUBSTITUTE(SUBSTITUTE(SUBSTITUTE(SUBSTITUTE(SUBSTITUTE(SUBSTITUTE(SUBSTITUTE(SUBSTITUTE(SUBSTITUTE(SUBSTITUTE(SUBSTITUTE(SUBSTITUTE(SUBSTITUTE(SUBSTITUTE(SUBSTITUTE(SUBSTITUTE(SUBSTITUTE(SUBSTITUTE(TRIM($E494),"'",""),"İ","I"),"ı","I"),"i","I"),"Ş","S"),"ş","S"),"Ğ","G"),"ğ","G"),"Ü","U"),"ü","U"),"Ö","O"),"ö","O"),"Ç","C"),"ç","C"),".",""),",","")," ",""),"-","")))</f>
        <v/>
      </c>
    </row>
    <row r="495">
      <c r="A495" s="6" t="n"/>
      <c r="B495" s="113">
        <f>IF($E495="","","A"&amp;TEXT(ROW()-6,"00000"))</f>
        <v/>
      </c>
      <c r="C495" s="108" t="n"/>
      <c r="D495" s="113">
        <f>IF($E495="","",IFERROR(INDEX(MUSTERILER!$B$7:$B$106,MATCH($U495,MUSTERILER!$T$7:$T$106,0)),IFERROR(INDEX(MUSTERILER!$B$7:$B$106,MATCH($E495,MUSTERILER!$B$7:$B$106,0)),IFERROR(INDEX(MUSTERILER!$B$7:$B$106,MATCH($U495&amp;"*",MUSTERILER!$T$7:$T$106,0)),"TANIMSIZ MÜŞTERİ"))))</f>
        <v/>
      </c>
      <c r="E495" s="109" t="n"/>
      <c r="F495" s="109" t="n"/>
      <c r="G495" s="108" t="n"/>
      <c r="H495" s="220" t="n"/>
      <c r="I495" s="220" t="n"/>
      <c r="J495" s="108" t="n"/>
      <c r="K495" s="108" t="n"/>
      <c r="L495" s="109" t="n"/>
      <c r="M495" s="109" t="n"/>
      <c r="N495" s="109" t="n"/>
      <c r="O495" s="220" t="n"/>
      <c r="P495" s="227">
        <f>IF(OR($E495="",$I495=""),"",IF(OR($J495="Tamamlandı",$J495="İptal"),"",$I495-TODAY()))</f>
        <v/>
      </c>
      <c r="Q495" s="113">
        <f>IF($E495="","",IF($D495="TANIMSIZ MÜŞTERİ","HATA",IF(OR($J495="Tamamlandı",$J495="İptal"),"KAPALI",IF(AND($C495="Görüşme",$N495=""),"SONRAKİ İŞLEM EKSİK",IF($I495="","TARİH EKSİK",IF($I495&lt;TODAY(),"GECİKMİŞ",IF($I495=TODAY(),"BUGÜN",IF($I495&lt;=TODAY()+7,"7 GÜN İÇİNDE","PLANLI"))))))))</f>
        <v/>
      </c>
      <c r="R495" s="6" t="n"/>
      <c r="S495" s="6" t="n"/>
      <c r="T495" s="3" t="n"/>
      <c r="U495" s="3">
        <f>IF($E495="","",UPPER(SUBSTITUTE(SUBSTITUTE(SUBSTITUTE(SUBSTITUTE(SUBSTITUTE(SUBSTITUTE(SUBSTITUTE(SUBSTITUTE(SUBSTITUTE(SUBSTITUTE(SUBSTITUTE(SUBSTITUTE(SUBSTITUTE(SUBSTITUTE(SUBSTITUTE(SUBSTITUTE(SUBSTITUTE(SUBSTITUTE(TRIM($E495),"'",""),"İ","I"),"ı","I"),"i","I"),"Ş","S"),"ş","S"),"Ğ","G"),"ğ","G"),"Ü","U"),"ü","U"),"Ö","O"),"ö","O"),"Ç","C"),"ç","C"),".",""),",","")," ",""),"-","")))</f>
        <v/>
      </c>
    </row>
    <row r="496">
      <c r="A496" s="6" t="n"/>
      <c r="B496" s="113">
        <f>IF($E496="","","A"&amp;TEXT(ROW()-6,"00000"))</f>
        <v/>
      </c>
      <c r="C496" s="108" t="n"/>
      <c r="D496" s="113">
        <f>IF($E496="","",IFERROR(INDEX(MUSTERILER!$B$7:$B$106,MATCH($U496,MUSTERILER!$T$7:$T$106,0)),IFERROR(INDEX(MUSTERILER!$B$7:$B$106,MATCH($E496,MUSTERILER!$B$7:$B$106,0)),IFERROR(INDEX(MUSTERILER!$B$7:$B$106,MATCH($U496&amp;"*",MUSTERILER!$T$7:$T$106,0)),"TANIMSIZ MÜŞTERİ"))))</f>
        <v/>
      </c>
      <c r="E496" s="109" t="n"/>
      <c r="F496" s="109" t="n"/>
      <c r="G496" s="108" t="n"/>
      <c r="H496" s="220" t="n"/>
      <c r="I496" s="220" t="n"/>
      <c r="J496" s="108" t="n"/>
      <c r="K496" s="108" t="n"/>
      <c r="L496" s="109" t="n"/>
      <c r="M496" s="109" t="n"/>
      <c r="N496" s="109" t="n"/>
      <c r="O496" s="220" t="n"/>
      <c r="P496" s="227">
        <f>IF(OR($E496="",$I496=""),"",IF(OR($J496="Tamamlandı",$J496="İptal"),"",$I496-TODAY()))</f>
        <v/>
      </c>
      <c r="Q496" s="113">
        <f>IF($E496="","",IF($D496="TANIMSIZ MÜŞTERİ","HATA",IF(OR($J496="Tamamlandı",$J496="İptal"),"KAPALI",IF(AND($C496="Görüşme",$N496=""),"SONRAKİ İŞLEM EKSİK",IF($I496="","TARİH EKSİK",IF($I496&lt;TODAY(),"GECİKMİŞ",IF($I496=TODAY(),"BUGÜN",IF($I496&lt;=TODAY()+7,"7 GÜN İÇİNDE","PLANLI"))))))))</f>
        <v/>
      </c>
      <c r="R496" s="6" t="n"/>
      <c r="S496" s="6" t="n"/>
      <c r="T496" s="3" t="n"/>
      <c r="U496" s="3">
        <f>IF($E496="","",UPPER(SUBSTITUTE(SUBSTITUTE(SUBSTITUTE(SUBSTITUTE(SUBSTITUTE(SUBSTITUTE(SUBSTITUTE(SUBSTITUTE(SUBSTITUTE(SUBSTITUTE(SUBSTITUTE(SUBSTITUTE(SUBSTITUTE(SUBSTITUTE(SUBSTITUTE(SUBSTITUTE(SUBSTITUTE(SUBSTITUTE(TRIM($E496),"'",""),"İ","I"),"ı","I"),"i","I"),"Ş","S"),"ş","S"),"Ğ","G"),"ğ","G"),"Ü","U"),"ü","U"),"Ö","O"),"ö","O"),"Ç","C"),"ç","C"),".",""),",","")," ",""),"-","")))</f>
        <v/>
      </c>
    </row>
    <row r="497">
      <c r="A497" s="6" t="n"/>
      <c r="B497" s="113">
        <f>IF($E497="","","A"&amp;TEXT(ROW()-6,"00000"))</f>
        <v/>
      </c>
      <c r="C497" s="108" t="n"/>
      <c r="D497" s="113">
        <f>IF($E497="","",IFERROR(INDEX(MUSTERILER!$B$7:$B$106,MATCH($U497,MUSTERILER!$T$7:$T$106,0)),IFERROR(INDEX(MUSTERILER!$B$7:$B$106,MATCH($E497,MUSTERILER!$B$7:$B$106,0)),IFERROR(INDEX(MUSTERILER!$B$7:$B$106,MATCH($U497&amp;"*",MUSTERILER!$T$7:$T$106,0)),"TANIMSIZ MÜŞTERİ"))))</f>
        <v/>
      </c>
      <c r="E497" s="109" t="n"/>
      <c r="F497" s="109" t="n"/>
      <c r="G497" s="108" t="n"/>
      <c r="H497" s="220" t="n"/>
      <c r="I497" s="220" t="n"/>
      <c r="J497" s="108" t="n"/>
      <c r="K497" s="108" t="n"/>
      <c r="L497" s="109" t="n"/>
      <c r="M497" s="109" t="n"/>
      <c r="N497" s="109" t="n"/>
      <c r="O497" s="220" t="n"/>
      <c r="P497" s="227">
        <f>IF(OR($E497="",$I497=""),"",IF(OR($J497="Tamamlandı",$J497="İptal"),"",$I497-TODAY()))</f>
        <v/>
      </c>
      <c r="Q497" s="113">
        <f>IF($E497="","",IF($D497="TANIMSIZ MÜŞTERİ","HATA",IF(OR($J497="Tamamlandı",$J497="İptal"),"KAPALI",IF(AND($C497="Görüşme",$N497=""),"SONRAKİ İŞLEM EKSİK",IF($I497="","TARİH EKSİK",IF($I497&lt;TODAY(),"GECİKMİŞ",IF($I497=TODAY(),"BUGÜN",IF($I497&lt;=TODAY()+7,"7 GÜN İÇİNDE","PLANLI"))))))))</f>
        <v/>
      </c>
      <c r="R497" s="6" t="n"/>
      <c r="S497" s="6" t="n"/>
      <c r="T497" s="3" t="n"/>
      <c r="U497" s="3">
        <f>IF($E497="","",UPPER(SUBSTITUTE(SUBSTITUTE(SUBSTITUTE(SUBSTITUTE(SUBSTITUTE(SUBSTITUTE(SUBSTITUTE(SUBSTITUTE(SUBSTITUTE(SUBSTITUTE(SUBSTITUTE(SUBSTITUTE(SUBSTITUTE(SUBSTITUTE(SUBSTITUTE(SUBSTITUTE(SUBSTITUTE(SUBSTITUTE(TRIM($E497),"'",""),"İ","I"),"ı","I"),"i","I"),"Ş","S"),"ş","S"),"Ğ","G"),"ğ","G"),"Ü","U"),"ü","U"),"Ö","O"),"ö","O"),"Ç","C"),"ç","C"),".",""),",","")," ",""),"-","")))</f>
        <v/>
      </c>
    </row>
    <row r="498">
      <c r="A498" s="6" t="n"/>
      <c r="B498" s="113">
        <f>IF($E498="","","A"&amp;TEXT(ROW()-6,"00000"))</f>
        <v/>
      </c>
      <c r="C498" s="108" t="n"/>
      <c r="D498" s="113">
        <f>IF($E498="","",IFERROR(INDEX(MUSTERILER!$B$7:$B$106,MATCH($U498,MUSTERILER!$T$7:$T$106,0)),IFERROR(INDEX(MUSTERILER!$B$7:$B$106,MATCH($E498,MUSTERILER!$B$7:$B$106,0)),IFERROR(INDEX(MUSTERILER!$B$7:$B$106,MATCH($U498&amp;"*",MUSTERILER!$T$7:$T$106,0)),"TANIMSIZ MÜŞTERİ"))))</f>
        <v/>
      </c>
      <c r="E498" s="109" t="n"/>
      <c r="F498" s="109" t="n"/>
      <c r="G498" s="108" t="n"/>
      <c r="H498" s="220" t="n"/>
      <c r="I498" s="220" t="n"/>
      <c r="J498" s="108" t="n"/>
      <c r="K498" s="108" t="n"/>
      <c r="L498" s="109" t="n"/>
      <c r="M498" s="109" t="n"/>
      <c r="N498" s="109" t="n"/>
      <c r="O498" s="220" t="n"/>
      <c r="P498" s="227">
        <f>IF(OR($E498="",$I498=""),"",IF(OR($J498="Tamamlandı",$J498="İptal"),"",$I498-TODAY()))</f>
        <v/>
      </c>
      <c r="Q498" s="113">
        <f>IF($E498="","",IF($D498="TANIMSIZ MÜŞTERİ","HATA",IF(OR($J498="Tamamlandı",$J498="İptal"),"KAPALI",IF(AND($C498="Görüşme",$N498=""),"SONRAKİ İŞLEM EKSİK",IF($I498="","TARİH EKSİK",IF($I498&lt;TODAY(),"GECİKMİŞ",IF($I498=TODAY(),"BUGÜN",IF($I498&lt;=TODAY()+7,"7 GÜN İÇİNDE","PLANLI"))))))))</f>
        <v/>
      </c>
      <c r="R498" s="6" t="n"/>
      <c r="S498" s="6" t="n"/>
      <c r="T498" s="3" t="n"/>
      <c r="U498" s="3">
        <f>IF($E498="","",UPPER(SUBSTITUTE(SUBSTITUTE(SUBSTITUTE(SUBSTITUTE(SUBSTITUTE(SUBSTITUTE(SUBSTITUTE(SUBSTITUTE(SUBSTITUTE(SUBSTITUTE(SUBSTITUTE(SUBSTITUTE(SUBSTITUTE(SUBSTITUTE(SUBSTITUTE(SUBSTITUTE(SUBSTITUTE(SUBSTITUTE(TRIM($E498),"'",""),"İ","I"),"ı","I"),"i","I"),"Ş","S"),"ş","S"),"Ğ","G"),"ğ","G"),"Ü","U"),"ü","U"),"Ö","O"),"ö","O"),"Ç","C"),"ç","C"),".",""),",","")," ",""),"-","")))</f>
        <v/>
      </c>
    </row>
    <row r="499">
      <c r="A499" s="6" t="n"/>
      <c r="B499" s="113">
        <f>IF($E499="","","A"&amp;TEXT(ROW()-6,"00000"))</f>
        <v/>
      </c>
      <c r="C499" s="108" t="n"/>
      <c r="D499" s="113">
        <f>IF($E499="","",IFERROR(INDEX(MUSTERILER!$B$7:$B$106,MATCH($U499,MUSTERILER!$T$7:$T$106,0)),IFERROR(INDEX(MUSTERILER!$B$7:$B$106,MATCH($E499,MUSTERILER!$B$7:$B$106,0)),IFERROR(INDEX(MUSTERILER!$B$7:$B$106,MATCH($U499&amp;"*",MUSTERILER!$T$7:$T$106,0)),"TANIMSIZ MÜŞTERİ"))))</f>
        <v/>
      </c>
      <c r="E499" s="109" t="n"/>
      <c r="F499" s="109" t="n"/>
      <c r="G499" s="108" t="n"/>
      <c r="H499" s="220" t="n"/>
      <c r="I499" s="220" t="n"/>
      <c r="J499" s="108" t="n"/>
      <c r="K499" s="108" t="n"/>
      <c r="L499" s="109" t="n"/>
      <c r="M499" s="109" t="n"/>
      <c r="N499" s="109" t="n"/>
      <c r="O499" s="220" t="n"/>
      <c r="P499" s="227">
        <f>IF(OR($E499="",$I499=""),"",IF(OR($J499="Tamamlandı",$J499="İptal"),"",$I499-TODAY()))</f>
        <v/>
      </c>
      <c r="Q499" s="113">
        <f>IF($E499="","",IF($D499="TANIMSIZ MÜŞTERİ","HATA",IF(OR($J499="Tamamlandı",$J499="İptal"),"KAPALI",IF(AND($C499="Görüşme",$N499=""),"SONRAKİ İŞLEM EKSİK",IF($I499="","TARİH EKSİK",IF($I499&lt;TODAY(),"GECİKMİŞ",IF($I499=TODAY(),"BUGÜN",IF($I499&lt;=TODAY()+7,"7 GÜN İÇİNDE","PLANLI"))))))))</f>
        <v/>
      </c>
      <c r="R499" s="6" t="n"/>
      <c r="S499" s="6" t="n"/>
      <c r="T499" s="3" t="n"/>
      <c r="U499" s="3">
        <f>IF($E499="","",UPPER(SUBSTITUTE(SUBSTITUTE(SUBSTITUTE(SUBSTITUTE(SUBSTITUTE(SUBSTITUTE(SUBSTITUTE(SUBSTITUTE(SUBSTITUTE(SUBSTITUTE(SUBSTITUTE(SUBSTITUTE(SUBSTITUTE(SUBSTITUTE(SUBSTITUTE(SUBSTITUTE(SUBSTITUTE(SUBSTITUTE(TRIM($E499),"'",""),"İ","I"),"ı","I"),"i","I"),"Ş","S"),"ş","S"),"Ğ","G"),"ğ","G"),"Ü","U"),"ü","U"),"Ö","O"),"ö","O"),"Ç","C"),"ç","C"),".",""),",","")," ",""),"-","")))</f>
        <v/>
      </c>
    </row>
    <row r="500">
      <c r="A500" s="6" t="n"/>
      <c r="B500" s="113">
        <f>IF($E500="","","A"&amp;TEXT(ROW()-6,"00000"))</f>
        <v/>
      </c>
      <c r="C500" s="108" t="n"/>
      <c r="D500" s="113">
        <f>IF($E500="","",IFERROR(INDEX(MUSTERILER!$B$7:$B$106,MATCH($U500,MUSTERILER!$T$7:$T$106,0)),IFERROR(INDEX(MUSTERILER!$B$7:$B$106,MATCH($E500,MUSTERILER!$B$7:$B$106,0)),IFERROR(INDEX(MUSTERILER!$B$7:$B$106,MATCH($U500&amp;"*",MUSTERILER!$T$7:$T$106,0)),"TANIMSIZ MÜŞTERİ"))))</f>
        <v/>
      </c>
      <c r="E500" s="109" t="n"/>
      <c r="F500" s="109" t="n"/>
      <c r="G500" s="108" t="n"/>
      <c r="H500" s="220" t="n"/>
      <c r="I500" s="220" t="n"/>
      <c r="J500" s="108" t="n"/>
      <c r="K500" s="108" t="n"/>
      <c r="L500" s="109" t="n"/>
      <c r="M500" s="109" t="n"/>
      <c r="N500" s="109" t="n"/>
      <c r="O500" s="220" t="n"/>
      <c r="P500" s="227">
        <f>IF(OR($E500="",$I500=""),"",IF(OR($J500="Tamamlandı",$J500="İptal"),"",$I500-TODAY()))</f>
        <v/>
      </c>
      <c r="Q500" s="113">
        <f>IF($E500="","",IF($D500="TANIMSIZ MÜŞTERİ","HATA",IF(OR($J500="Tamamlandı",$J500="İptal"),"KAPALI",IF(AND($C500="Görüşme",$N500=""),"SONRAKİ İŞLEM EKSİK",IF($I500="","TARİH EKSİK",IF($I500&lt;TODAY(),"GECİKMİŞ",IF($I500=TODAY(),"BUGÜN",IF($I500&lt;=TODAY()+7,"7 GÜN İÇİNDE","PLANLI"))))))))</f>
        <v/>
      </c>
      <c r="R500" s="6" t="n"/>
      <c r="S500" s="6" t="n"/>
      <c r="T500" s="3" t="n"/>
      <c r="U500" s="3">
        <f>IF($E500="","",UPPER(SUBSTITUTE(SUBSTITUTE(SUBSTITUTE(SUBSTITUTE(SUBSTITUTE(SUBSTITUTE(SUBSTITUTE(SUBSTITUTE(SUBSTITUTE(SUBSTITUTE(SUBSTITUTE(SUBSTITUTE(SUBSTITUTE(SUBSTITUTE(SUBSTITUTE(SUBSTITUTE(SUBSTITUTE(SUBSTITUTE(TRIM($E500),"'",""),"İ","I"),"ı","I"),"i","I"),"Ş","S"),"ş","S"),"Ğ","G"),"ğ","G"),"Ü","U"),"ü","U"),"Ö","O"),"ö","O"),"Ç","C"),"ç","C"),".",""),",","")," ",""),"-","")))</f>
        <v/>
      </c>
    </row>
    <row r="501">
      <c r="A501" s="6" t="n"/>
      <c r="B501" s="113">
        <f>IF($E501="","","A"&amp;TEXT(ROW()-6,"00000"))</f>
        <v/>
      </c>
      <c r="C501" s="108" t="n"/>
      <c r="D501" s="113">
        <f>IF($E501="","",IFERROR(INDEX(MUSTERILER!$B$7:$B$106,MATCH($U501,MUSTERILER!$T$7:$T$106,0)),IFERROR(INDEX(MUSTERILER!$B$7:$B$106,MATCH($E501,MUSTERILER!$B$7:$B$106,0)),IFERROR(INDEX(MUSTERILER!$B$7:$B$106,MATCH($U501&amp;"*",MUSTERILER!$T$7:$T$106,0)),"TANIMSIZ MÜŞTERİ"))))</f>
        <v/>
      </c>
      <c r="E501" s="109" t="n"/>
      <c r="F501" s="109" t="n"/>
      <c r="G501" s="108" t="n"/>
      <c r="H501" s="220" t="n"/>
      <c r="I501" s="220" t="n"/>
      <c r="J501" s="108" t="n"/>
      <c r="K501" s="108" t="n"/>
      <c r="L501" s="109" t="n"/>
      <c r="M501" s="109" t="n"/>
      <c r="N501" s="109" t="n"/>
      <c r="O501" s="220" t="n"/>
      <c r="P501" s="227">
        <f>IF(OR($E501="",$I501=""),"",IF(OR($J501="Tamamlandı",$J501="İptal"),"",$I501-TODAY()))</f>
        <v/>
      </c>
      <c r="Q501" s="113">
        <f>IF($E501="","",IF($D501="TANIMSIZ MÜŞTERİ","HATA",IF(OR($J501="Tamamlandı",$J501="İptal"),"KAPALI",IF(AND($C501="Görüşme",$N501=""),"SONRAKİ İŞLEM EKSİK",IF($I501="","TARİH EKSİK",IF($I501&lt;TODAY(),"GECİKMİŞ",IF($I501=TODAY(),"BUGÜN",IF($I501&lt;=TODAY()+7,"7 GÜN İÇİNDE","PLANLI"))))))))</f>
        <v/>
      </c>
      <c r="R501" s="6" t="n"/>
      <c r="S501" s="6" t="n"/>
      <c r="T501" s="3" t="n"/>
      <c r="U501" s="3">
        <f>IF($E501="","",UPPER(SUBSTITUTE(SUBSTITUTE(SUBSTITUTE(SUBSTITUTE(SUBSTITUTE(SUBSTITUTE(SUBSTITUTE(SUBSTITUTE(SUBSTITUTE(SUBSTITUTE(SUBSTITUTE(SUBSTITUTE(SUBSTITUTE(SUBSTITUTE(SUBSTITUTE(SUBSTITUTE(SUBSTITUTE(SUBSTITUTE(TRIM($E501),"'",""),"İ","I"),"ı","I"),"i","I"),"Ş","S"),"ş","S"),"Ğ","G"),"ğ","G"),"Ü","U"),"ü","U"),"Ö","O"),"ö","O"),"Ç","C"),"ç","C"),".",""),",","")," ",""),"-","")))</f>
        <v/>
      </c>
    </row>
    <row r="502">
      <c r="A502" s="6" t="n"/>
      <c r="B502" s="113">
        <f>IF($E502="","","A"&amp;TEXT(ROW()-6,"00000"))</f>
        <v/>
      </c>
      <c r="C502" s="108" t="n"/>
      <c r="D502" s="113">
        <f>IF($E502="","",IFERROR(INDEX(MUSTERILER!$B$7:$B$106,MATCH($U502,MUSTERILER!$T$7:$T$106,0)),IFERROR(INDEX(MUSTERILER!$B$7:$B$106,MATCH($E502,MUSTERILER!$B$7:$B$106,0)),IFERROR(INDEX(MUSTERILER!$B$7:$B$106,MATCH($U502&amp;"*",MUSTERILER!$T$7:$T$106,0)),"TANIMSIZ MÜŞTERİ"))))</f>
        <v/>
      </c>
      <c r="E502" s="109" t="n"/>
      <c r="F502" s="109" t="n"/>
      <c r="G502" s="108" t="n"/>
      <c r="H502" s="220" t="n"/>
      <c r="I502" s="220" t="n"/>
      <c r="J502" s="108" t="n"/>
      <c r="K502" s="108" t="n"/>
      <c r="L502" s="109" t="n"/>
      <c r="M502" s="109" t="n"/>
      <c r="N502" s="109" t="n"/>
      <c r="O502" s="220" t="n"/>
      <c r="P502" s="227">
        <f>IF(OR($E502="",$I502=""),"",IF(OR($J502="Tamamlandı",$J502="İptal"),"",$I502-TODAY()))</f>
        <v/>
      </c>
      <c r="Q502" s="113">
        <f>IF($E502="","",IF($D502="TANIMSIZ MÜŞTERİ","HATA",IF(OR($J502="Tamamlandı",$J502="İptal"),"KAPALI",IF(AND($C502="Görüşme",$N502=""),"SONRAKİ İŞLEM EKSİK",IF($I502="","TARİH EKSİK",IF($I502&lt;TODAY(),"GECİKMİŞ",IF($I502=TODAY(),"BUGÜN",IF($I502&lt;=TODAY()+7,"7 GÜN İÇİNDE","PLANLI"))))))))</f>
        <v/>
      </c>
      <c r="R502" s="6" t="n"/>
      <c r="S502" s="6" t="n"/>
      <c r="T502" s="3" t="n"/>
      <c r="U502" s="3">
        <f>IF($E502="","",UPPER(SUBSTITUTE(SUBSTITUTE(SUBSTITUTE(SUBSTITUTE(SUBSTITUTE(SUBSTITUTE(SUBSTITUTE(SUBSTITUTE(SUBSTITUTE(SUBSTITUTE(SUBSTITUTE(SUBSTITUTE(SUBSTITUTE(SUBSTITUTE(SUBSTITUTE(SUBSTITUTE(SUBSTITUTE(SUBSTITUTE(TRIM($E502),"'",""),"İ","I"),"ı","I"),"i","I"),"Ş","S"),"ş","S"),"Ğ","G"),"ğ","G"),"Ü","U"),"ü","U"),"Ö","O"),"ö","O"),"Ç","C"),"ç","C"),".",""),",","")," ",""),"-","")))</f>
        <v/>
      </c>
    </row>
    <row r="503">
      <c r="A503" s="6" t="n"/>
      <c r="B503" s="113">
        <f>IF($E503="","","A"&amp;TEXT(ROW()-6,"00000"))</f>
        <v/>
      </c>
      <c r="C503" s="108" t="n"/>
      <c r="D503" s="113">
        <f>IF($E503="","",IFERROR(INDEX(MUSTERILER!$B$7:$B$106,MATCH($U503,MUSTERILER!$T$7:$T$106,0)),IFERROR(INDEX(MUSTERILER!$B$7:$B$106,MATCH($E503,MUSTERILER!$B$7:$B$106,0)),IFERROR(INDEX(MUSTERILER!$B$7:$B$106,MATCH($U503&amp;"*",MUSTERILER!$T$7:$T$106,0)),"TANIMSIZ MÜŞTERİ"))))</f>
        <v/>
      </c>
      <c r="E503" s="109" t="n"/>
      <c r="F503" s="109" t="n"/>
      <c r="G503" s="108" t="n"/>
      <c r="H503" s="220" t="n"/>
      <c r="I503" s="220" t="n"/>
      <c r="J503" s="108" t="n"/>
      <c r="K503" s="108" t="n"/>
      <c r="L503" s="109" t="n"/>
      <c r="M503" s="109" t="n"/>
      <c r="N503" s="109" t="n"/>
      <c r="O503" s="220" t="n"/>
      <c r="P503" s="227">
        <f>IF(OR($E503="",$I503=""),"",IF(OR($J503="Tamamlandı",$J503="İptal"),"",$I503-TODAY()))</f>
        <v/>
      </c>
      <c r="Q503" s="113">
        <f>IF($E503="","",IF($D503="TANIMSIZ MÜŞTERİ","HATA",IF(OR($J503="Tamamlandı",$J503="İptal"),"KAPALI",IF(AND($C503="Görüşme",$N503=""),"SONRAKİ İŞLEM EKSİK",IF($I503="","TARİH EKSİK",IF($I503&lt;TODAY(),"GECİKMİŞ",IF($I503=TODAY(),"BUGÜN",IF($I503&lt;=TODAY()+7,"7 GÜN İÇİNDE","PLANLI"))))))))</f>
        <v/>
      </c>
      <c r="R503" s="6" t="n"/>
      <c r="S503" s="6" t="n"/>
      <c r="T503" s="3" t="n"/>
      <c r="U503" s="3">
        <f>IF($E503="","",UPPER(SUBSTITUTE(SUBSTITUTE(SUBSTITUTE(SUBSTITUTE(SUBSTITUTE(SUBSTITUTE(SUBSTITUTE(SUBSTITUTE(SUBSTITUTE(SUBSTITUTE(SUBSTITUTE(SUBSTITUTE(SUBSTITUTE(SUBSTITUTE(SUBSTITUTE(SUBSTITUTE(SUBSTITUTE(SUBSTITUTE(TRIM($E503),"'",""),"İ","I"),"ı","I"),"i","I"),"Ş","S"),"ş","S"),"Ğ","G"),"ğ","G"),"Ü","U"),"ü","U"),"Ö","O"),"ö","O"),"Ç","C"),"ç","C"),".",""),",","")," ",""),"-","")))</f>
        <v/>
      </c>
    </row>
    <row r="504">
      <c r="A504" s="6" t="n"/>
      <c r="B504" s="113">
        <f>IF($E504="","","A"&amp;TEXT(ROW()-6,"00000"))</f>
        <v/>
      </c>
      <c r="C504" s="108" t="n"/>
      <c r="D504" s="113">
        <f>IF($E504="","",IFERROR(INDEX(MUSTERILER!$B$7:$B$106,MATCH($U504,MUSTERILER!$T$7:$T$106,0)),IFERROR(INDEX(MUSTERILER!$B$7:$B$106,MATCH($E504,MUSTERILER!$B$7:$B$106,0)),IFERROR(INDEX(MUSTERILER!$B$7:$B$106,MATCH($U504&amp;"*",MUSTERILER!$T$7:$T$106,0)),"TANIMSIZ MÜŞTERİ"))))</f>
        <v/>
      </c>
      <c r="E504" s="109" t="n"/>
      <c r="F504" s="109" t="n"/>
      <c r="G504" s="108" t="n"/>
      <c r="H504" s="220" t="n"/>
      <c r="I504" s="220" t="n"/>
      <c r="J504" s="108" t="n"/>
      <c r="K504" s="108" t="n"/>
      <c r="L504" s="109" t="n"/>
      <c r="M504" s="109" t="n"/>
      <c r="N504" s="109" t="n"/>
      <c r="O504" s="220" t="n"/>
      <c r="P504" s="227">
        <f>IF(OR($E504="",$I504=""),"",IF(OR($J504="Tamamlandı",$J504="İptal"),"",$I504-TODAY()))</f>
        <v/>
      </c>
      <c r="Q504" s="113">
        <f>IF($E504="","",IF($D504="TANIMSIZ MÜŞTERİ","HATA",IF(OR($J504="Tamamlandı",$J504="İptal"),"KAPALI",IF(AND($C504="Görüşme",$N504=""),"SONRAKİ İŞLEM EKSİK",IF($I504="","TARİH EKSİK",IF($I504&lt;TODAY(),"GECİKMİŞ",IF($I504=TODAY(),"BUGÜN",IF($I504&lt;=TODAY()+7,"7 GÜN İÇİNDE","PLANLI"))))))))</f>
        <v/>
      </c>
      <c r="R504" s="6" t="n"/>
      <c r="S504" s="6" t="n"/>
      <c r="T504" s="3" t="n"/>
      <c r="U504" s="3">
        <f>IF($E504="","",UPPER(SUBSTITUTE(SUBSTITUTE(SUBSTITUTE(SUBSTITUTE(SUBSTITUTE(SUBSTITUTE(SUBSTITUTE(SUBSTITUTE(SUBSTITUTE(SUBSTITUTE(SUBSTITUTE(SUBSTITUTE(SUBSTITUTE(SUBSTITUTE(SUBSTITUTE(SUBSTITUTE(SUBSTITUTE(SUBSTITUTE(TRIM($E504),"'",""),"İ","I"),"ı","I"),"i","I"),"Ş","S"),"ş","S"),"Ğ","G"),"ğ","G"),"Ü","U"),"ü","U"),"Ö","O"),"ö","O"),"Ç","C"),"ç","C"),".",""),",","")," ",""),"-","")))</f>
        <v/>
      </c>
    </row>
    <row r="505">
      <c r="A505" s="6" t="n"/>
      <c r="B505" s="113">
        <f>IF($E505="","","A"&amp;TEXT(ROW()-6,"00000"))</f>
        <v/>
      </c>
      <c r="C505" s="108" t="n"/>
      <c r="D505" s="113">
        <f>IF($E505="","",IFERROR(INDEX(MUSTERILER!$B$7:$B$106,MATCH($U505,MUSTERILER!$T$7:$T$106,0)),IFERROR(INDEX(MUSTERILER!$B$7:$B$106,MATCH($E505,MUSTERILER!$B$7:$B$106,0)),IFERROR(INDEX(MUSTERILER!$B$7:$B$106,MATCH($U505&amp;"*",MUSTERILER!$T$7:$T$106,0)),"TANIMSIZ MÜŞTERİ"))))</f>
        <v/>
      </c>
      <c r="E505" s="109" t="n"/>
      <c r="F505" s="109" t="n"/>
      <c r="G505" s="108" t="n"/>
      <c r="H505" s="220" t="n"/>
      <c r="I505" s="220" t="n"/>
      <c r="J505" s="108" t="n"/>
      <c r="K505" s="108" t="n"/>
      <c r="L505" s="109" t="n"/>
      <c r="M505" s="109" t="n"/>
      <c r="N505" s="109" t="n"/>
      <c r="O505" s="220" t="n"/>
      <c r="P505" s="227">
        <f>IF(OR($E505="",$I505=""),"",IF(OR($J505="Tamamlandı",$J505="İptal"),"",$I505-TODAY()))</f>
        <v/>
      </c>
      <c r="Q505" s="113">
        <f>IF($E505="","",IF($D505="TANIMSIZ MÜŞTERİ","HATA",IF(OR($J505="Tamamlandı",$J505="İptal"),"KAPALI",IF(AND($C505="Görüşme",$N505=""),"SONRAKİ İŞLEM EKSİK",IF($I505="","TARİH EKSİK",IF($I505&lt;TODAY(),"GECİKMİŞ",IF($I505=TODAY(),"BUGÜN",IF($I505&lt;=TODAY()+7,"7 GÜN İÇİNDE","PLANLI"))))))))</f>
        <v/>
      </c>
      <c r="R505" s="6" t="n"/>
      <c r="S505" s="6" t="n"/>
      <c r="T505" s="3" t="n"/>
      <c r="U505" s="3">
        <f>IF($E505="","",UPPER(SUBSTITUTE(SUBSTITUTE(SUBSTITUTE(SUBSTITUTE(SUBSTITUTE(SUBSTITUTE(SUBSTITUTE(SUBSTITUTE(SUBSTITUTE(SUBSTITUTE(SUBSTITUTE(SUBSTITUTE(SUBSTITUTE(SUBSTITUTE(SUBSTITUTE(SUBSTITUTE(SUBSTITUTE(SUBSTITUTE(TRIM($E505),"'",""),"İ","I"),"ı","I"),"i","I"),"Ş","S"),"ş","S"),"Ğ","G"),"ğ","G"),"Ü","U"),"ü","U"),"Ö","O"),"ö","O"),"Ç","C"),"ç","C"),".",""),",","")," ",""),"-","")))</f>
        <v/>
      </c>
    </row>
    <row r="506">
      <c r="A506" s="6" t="n"/>
      <c r="B506" s="113">
        <f>IF($E506="","","A"&amp;TEXT(ROW()-6,"00000"))</f>
        <v/>
      </c>
      <c r="C506" s="108" t="n"/>
      <c r="D506" s="113">
        <f>IF($E506="","",IFERROR(INDEX(MUSTERILER!$B$7:$B$106,MATCH($U506,MUSTERILER!$T$7:$T$106,0)),IFERROR(INDEX(MUSTERILER!$B$7:$B$106,MATCH($E506,MUSTERILER!$B$7:$B$106,0)),IFERROR(INDEX(MUSTERILER!$B$7:$B$106,MATCH($U506&amp;"*",MUSTERILER!$T$7:$T$106,0)),"TANIMSIZ MÜŞTERİ"))))</f>
        <v/>
      </c>
      <c r="E506" s="109" t="n"/>
      <c r="F506" s="109" t="n"/>
      <c r="G506" s="108" t="n"/>
      <c r="H506" s="220" t="n"/>
      <c r="I506" s="220" t="n"/>
      <c r="J506" s="108" t="n"/>
      <c r="K506" s="108" t="n"/>
      <c r="L506" s="109" t="n"/>
      <c r="M506" s="109" t="n"/>
      <c r="N506" s="109" t="n"/>
      <c r="O506" s="220" t="n"/>
      <c r="P506" s="227">
        <f>IF(OR($E506="",$I506=""),"",IF(OR($J506="Tamamlandı",$J506="İptal"),"",$I506-TODAY()))</f>
        <v/>
      </c>
      <c r="Q506" s="113">
        <f>IF($E506="","",IF($D506="TANIMSIZ MÜŞTERİ","HATA",IF(OR($J506="Tamamlandı",$J506="İptal"),"KAPALI",IF(AND($C506="Görüşme",$N506=""),"SONRAKİ İŞLEM EKSİK",IF($I506="","TARİH EKSİK",IF($I506&lt;TODAY(),"GECİKMİŞ",IF($I506=TODAY(),"BUGÜN",IF($I506&lt;=TODAY()+7,"7 GÜN İÇİNDE","PLANLI"))))))))</f>
        <v/>
      </c>
      <c r="R506" s="6" t="n"/>
      <c r="S506" s="6" t="n"/>
      <c r="T506" s="3" t="n"/>
      <c r="U506" s="3">
        <f>IF($E506="","",UPPER(SUBSTITUTE(SUBSTITUTE(SUBSTITUTE(SUBSTITUTE(SUBSTITUTE(SUBSTITUTE(SUBSTITUTE(SUBSTITUTE(SUBSTITUTE(SUBSTITUTE(SUBSTITUTE(SUBSTITUTE(SUBSTITUTE(SUBSTITUTE(SUBSTITUTE(SUBSTITUTE(SUBSTITUTE(SUBSTITUTE(TRIM($E506),"'",""),"İ","I"),"ı","I"),"i","I"),"Ş","S"),"ş","S"),"Ğ","G"),"ğ","G"),"Ü","U"),"ü","U"),"Ö","O"),"ö","O"),"Ç","C"),"ç","C"),".",""),",","")," ",""),"-","")))</f>
        <v/>
      </c>
    </row>
    <row r="507">
      <c r="A507" s="6" t="n"/>
      <c r="B507" s="113">
        <f>IF($E507="","","A"&amp;TEXT(ROW()-6,"00000"))</f>
        <v/>
      </c>
      <c r="C507" s="108" t="n"/>
      <c r="D507" s="113">
        <f>IF($E507="","",IFERROR(INDEX(MUSTERILER!$B$7:$B$106,MATCH($U507,MUSTERILER!$T$7:$T$106,0)),IFERROR(INDEX(MUSTERILER!$B$7:$B$106,MATCH($E507,MUSTERILER!$B$7:$B$106,0)),IFERROR(INDEX(MUSTERILER!$B$7:$B$106,MATCH($U507&amp;"*",MUSTERILER!$T$7:$T$106,0)),"TANIMSIZ MÜŞTERİ"))))</f>
        <v/>
      </c>
      <c r="E507" s="109" t="n"/>
      <c r="F507" s="109" t="n"/>
      <c r="G507" s="108" t="n"/>
      <c r="H507" s="220" t="n"/>
      <c r="I507" s="220" t="n"/>
      <c r="J507" s="108" t="n"/>
      <c r="K507" s="108" t="n"/>
      <c r="L507" s="109" t="n"/>
      <c r="M507" s="109" t="n"/>
      <c r="N507" s="109" t="n"/>
      <c r="O507" s="220" t="n"/>
      <c r="P507" s="227">
        <f>IF(OR($E507="",$I507=""),"",IF(OR($J507="Tamamlandı",$J507="İptal"),"",$I507-TODAY()))</f>
        <v/>
      </c>
      <c r="Q507" s="113">
        <f>IF($E507="","",IF($D507="TANIMSIZ MÜŞTERİ","HATA",IF(OR($J507="Tamamlandı",$J507="İptal"),"KAPALI",IF(AND($C507="Görüşme",$N507=""),"SONRAKİ İŞLEM EKSİK",IF($I507="","TARİH EKSİK",IF($I507&lt;TODAY(),"GECİKMİŞ",IF($I507=TODAY(),"BUGÜN",IF($I507&lt;=TODAY()+7,"7 GÜN İÇİNDE","PLANLI"))))))))</f>
        <v/>
      </c>
      <c r="R507" s="6" t="n"/>
      <c r="S507" s="6" t="n"/>
      <c r="T507" s="3" t="n"/>
      <c r="U507" s="3">
        <f>IF($E507="","",UPPER(SUBSTITUTE(SUBSTITUTE(SUBSTITUTE(SUBSTITUTE(SUBSTITUTE(SUBSTITUTE(SUBSTITUTE(SUBSTITUTE(SUBSTITUTE(SUBSTITUTE(SUBSTITUTE(SUBSTITUTE(SUBSTITUTE(SUBSTITUTE(SUBSTITUTE(SUBSTITUTE(SUBSTITUTE(SUBSTITUTE(TRIM($E507),"'",""),"İ","I"),"ı","I"),"i","I"),"Ş","S"),"ş","S"),"Ğ","G"),"ğ","G"),"Ü","U"),"ü","U"),"Ö","O"),"ö","O"),"Ç","C"),"ç","C"),".",""),",","")," ",""),"-","")))</f>
        <v/>
      </c>
    </row>
    <row r="508">
      <c r="A508" s="6" t="n"/>
      <c r="B508" s="113">
        <f>IF($E508="","","A"&amp;TEXT(ROW()-6,"00000"))</f>
        <v/>
      </c>
      <c r="C508" s="108" t="n"/>
      <c r="D508" s="113">
        <f>IF($E508="","",IFERROR(INDEX(MUSTERILER!$B$7:$B$106,MATCH($U508,MUSTERILER!$T$7:$T$106,0)),IFERROR(INDEX(MUSTERILER!$B$7:$B$106,MATCH($E508,MUSTERILER!$B$7:$B$106,0)),IFERROR(INDEX(MUSTERILER!$B$7:$B$106,MATCH($U508&amp;"*",MUSTERILER!$T$7:$T$106,0)),"TANIMSIZ MÜŞTERİ"))))</f>
        <v/>
      </c>
      <c r="E508" s="109" t="n"/>
      <c r="F508" s="109" t="n"/>
      <c r="G508" s="108" t="n"/>
      <c r="H508" s="220" t="n"/>
      <c r="I508" s="220" t="n"/>
      <c r="J508" s="108" t="n"/>
      <c r="K508" s="108" t="n"/>
      <c r="L508" s="109" t="n"/>
      <c r="M508" s="109" t="n"/>
      <c r="N508" s="109" t="n"/>
      <c r="O508" s="220" t="n"/>
      <c r="P508" s="227">
        <f>IF(OR($E508="",$I508=""),"",IF(OR($J508="Tamamlandı",$J508="İptal"),"",$I508-TODAY()))</f>
        <v/>
      </c>
      <c r="Q508" s="113">
        <f>IF($E508="","",IF($D508="TANIMSIZ MÜŞTERİ","HATA",IF(OR($J508="Tamamlandı",$J508="İptal"),"KAPALI",IF(AND($C508="Görüşme",$N508=""),"SONRAKİ İŞLEM EKSİK",IF($I508="","TARİH EKSİK",IF($I508&lt;TODAY(),"GECİKMİŞ",IF($I508=TODAY(),"BUGÜN",IF($I508&lt;=TODAY()+7,"7 GÜN İÇİNDE","PLANLI"))))))))</f>
        <v/>
      </c>
      <c r="R508" s="6" t="n"/>
      <c r="S508" s="6" t="n"/>
      <c r="T508" s="3" t="n"/>
      <c r="U508" s="3">
        <f>IF($E508="","",UPPER(SUBSTITUTE(SUBSTITUTE(SUBSTITUTE(SUBSTITUTE(SUBSTITUTE(SUBSTITUTE(SUBSTITUTE(SUBSTITUTE(SUBSTITUTE(SUBSTITUTE(SUBSTITUTE(SUBSTITUTE(SUBSTITUTE(SUBSTITUTE(SUBSTITUTE(SUBSTITUTE(SUBSTITUTE(SUBSTITUTE(TRIM($E508),"'",""),"İ","I"),"ı","I"),"i","I"),"Ş","S"),"ş","S"),"Ğ","G"),"ğ","G"),"Ü","U"),"ü","U"),"Ö","O"),"ö","O"),"Ç","C"),"ç","C"),".",""),",","")," ",""),"-","")))</f>
        <v/>
      </c>
    </row>
    <row r="509">
      <c r="A509" s="6" t="n"/>
      <c r="B509" s="113">
        <f>IF($E509="","","A"&amp;TEXT(ROW()-6,"00000"))</f>
        <v/>
      </c>
      <c r="C509" s="108" t="n"/>
      <c r="D509" s="113">
        <f>IF($E509="","",IFERROR(INDEX(MUSTERILER!$B$7:$B$106,MATCH($U509,MUSTERILER!$T$7:$T$106,0)),IFERROR(INDEX(MUSTERILER!$B$7:$B$106,MATCH($E509,MUSTERILER!$B$7:$B$106,0)),IFERROR(INDEX(MUSTERILER!$B$7:$B$106,MATCH($U509&amp;"*",MUSTERILER!$T$7:$T$106,0)),"TANIMSIZ MÜŞTERİ"))))</f>
        <v/>
      </c>
      <c r="E509" s="109" t="n"/>
      <c r="F509" s="109" t="n"/>
      <c r="G509" s="108" t="n"/>
      <c r="H509" s="220" t="n"/>
      <c r="I509" s="220" t="n"/>
      <c r="J509" s="108" t="n"/>
      <c r="K509" s="108" t="n"/>
      <c r="L509" s="109" t="n"/>
      <c r="M509" s="109" t="n"/>
      <c r="N509" s="109" t="n"/>
      <c r="O509" s="220" t="n"/>
      <c r="P509" s="227">
        <f>IF(OR($E509="",$I509=""),"",IF(OR($J509="Tamamlandı",$J509="İptal"),"",$I509-TODAY()))</f>
        <v/>
      </c>
      <c r="Q509" s="113">
        <f>IF($E509="","",IF($D509="TANIMSIZ MÜŞTERİ","HATA",IF(OR($J509="Tamamlandı",$J509="İptal"),"KAPALI",IF(AND($C509="Görüşme",$N509=""),"SONRAKİ İŞLEM EKSİK",IF($I509="","TARİH EKSİK",IF($I509&lt;TODAY(),"GECİKMİŞ",IF($I509=TODAY(),"BUGÜN",IF($I509&lt;=TODAY()+7,"7 GÜN İÇİNDE","PLANLI"))))))))</f>
        <v/>
      </c>
      <c r="R509" s="6" t="n"/>
      <c r="S509" s="6" t="n"/>
      <c r="T509" s="3" t="n"/>
      <c r="U509" s="3">
        <f>IF($E509="","",UPPER(SUBSTITUTE(SUBSTITUTE(SUBSTITUTE(SUBSTITUTE(SUBSTITUTE(SUBSTITUTE(SUBSTITUTE(SUBSTITUTE(SUBSTITUTE(SUBSTITUTE(SUBSTITUTE(SUBSTITUTE(SUBSTITUTE(SUBSTITUTE(SUBSTITUTE(SUBSTITUTE(SUBSTITUTE(SUBSTITUTE(TRIM($E509),"'",""),"İ","I"),"ı","I"),"i","I"),"Ş","S"),"ş","S"),"Ğ","G"),"ğ","G"),"Ü","U"),"ü","U"),"Ö","O"),"ö","O"),"Ç","C"),"ç","C"),".",""),",","")," ",""),"-","")))</f>
        <v/>
      </c>
    </row>
    <row r="510">
      <c r="A510" s="6" t="n"/>
      <c r="B510" s="113">
        <f>IF($E510="","","A"&amp;TEXT(ROW()-6,"00000"))</f>
        <v/>
      </c>
      <c r="C510" s="108" t="n"/>
      <c r="D510" s="113">
        <f>IF($E510="","",IFERROR(INDEX(MUSTERILER!$B$7:$B$106,MATCH($U510,MUSTERILER!$T$7:$T$106,0)),IFERROR(INDEX(MUSTERILER!$B$7:$B$106,MATCH($E510,MUSTERILER!$B$7:$B$106,0)),IFERROR(INDEX(MUSTERILER!$B$7:$B$106,MATCH($U510&amp;"*",MUSTERILER!$T$7:$T$106,0)),"TANIMSIZ MÜŞTERİ"))))</f>
        <v/>
      </c>
      <c r="E510" s="109" t="n"/>
      <c r="F510" s="109" t="n"/>
      <c r="G510" s="108" t="n"/>
      <c r="H510" s="220" t="n"/>
      <c r="I510" s="220" t="n"/>
      <c r="J510" s="108" t="n"/>
      <c r="K510" s="108" t="n"/>
      <c r="L510" s="109" t="n"/>
      <c r="M510" s="109" t="n"/>
      <c r="N510" s="109" t="n"/>
      <c r="O510" s="220" t="n"/>
      <c r="P510" s="227">
        <f>IF(OR($E510="",$I510=""),"",IF(OR($J510="Tamamlandı",$J510="İptal"),"",$I510-TODAY()))</f>
        <v/>
      </c>
      <c r="Q510" s="113">
        <f>IF($E510="","",IF($D510="TANIMSIZ MÜŞTERİ","HATA",IF(OR($J510="Tamamlandı",$J510="İptal"),"KAPALI",IF(AND($C510="Görüşme",$N510=""),"SONRAKİ İŞLEM EKSİK",IF($I510="","TARİH EKSİK",IF($I510&lt;TODAY(),"GECİKMİŞ",IF($I510=TODAY(),"BUGÜN",IF($I510&lt;=TODAY()+7,"7 GÜN İÇİNDE","PLANLI"))))))))</f>
        <v/>
      </c>
      <c r="R510" s="6" t="n"/>
      <c r="S510" s="6" t="n"/>
      <c r="T510" s="3" t="n"/>
      <c r="U510" s="3">
        <f>IF($E510="","",UPPER(SUBSTITUTE(SUBSTITUTE(SUBSTITUTE(SUBSTITUTE(SUBSTITUTE(SUBSTITUTE(SUBSTITUTE(SUBSTITUTE(SUBSTITUTE(SUBSTITUTE(SUBSTITUTE(SUBSTITUTE(SUBSTITUTE(SUBSTITUTE(SUBSTITUTE(SUBSTITUTE(SUBSTITUTE(SUBSTITUTE(TRIM($E510),"'",""),"İ","I"),"ı","I"),"i","I"),"Ş","S"),"ş","S"),"Ğ","G"),"ğ","G"),"Ü","U"),"ü","U"),"Ö","O"),"ö","O"),"Ç","C"),"ç","C"),".",""),",","")," ",""),"-","")))</f>
        <v/>
      </c>
    </row>
    <row r="511">
      <c r="A511" s="6" t="n"/>
      <c r="B511" s="113">
        <f>IF($E511="","","A"&amp;TEXT(ROW()-6,"00000"))</f>
        <v/>
      </c>
      <c r="C511" s="108" t="n"/>
      <c r="D511" s="113">
        <f>IF($E511="","",IFERROR(INDEX(MUSTERILER!$B$7:$B$106,MATCH($U511,MUSTERILER!$T$7:$T$106,0)),IFERROR(INDEX(MUSTERILER!$B$7:$B$106,MATCH($E511,MUSTERILER!$B$7:$B$106,0)),IFERROR(INDEX(MUSTERILER!$B$7:$B$106,MATCH($U511&amp;"*",MUSTERILER!$T$7:$T$106,0)),"TANIMSIZ MÜŞTERİ"))))</f>
        <v/>
      </c>
      <c r="E511" s="109" t="n"/>
      <c r="F511" s="109" t="n"/>
      <c r="G511" s="108" t="n"/>
      <c r="H511" s="220" t="n"/>
      <c r="I511" s="220" t="n"/>
      <c r="J511" s="108" t="n"/>
      <c r="K511" s="108" t="n"/>
      <c r="L511" s="109" t="n"/>
      <c r="M511" s="109" t="n"/>
      <c r="N511" s="109" t="n"/>
      <c r="O511" s="220" t="n"/>
      <c r="P511" s="227">
        <f>IF(OR($E511="",$I511=""),"",IF(OR($J511="Tamamlandı",$J511="İptal"),"",$I511-TODAY()))</f>
        <v/>
      </c>
      <c r="Q511" s="113">
        <f>IF($E511="","",IF($D511="TANIMSIZ MÜŞTERİ","HATA",IF(OR($J511="Tamamlandı",$J511="İptal"),"KAPALI",IF(AND($C511="Görüşme",$N511=""),"SONRAKİ İŞLEM EKSİK",IF($I511="","TARİH EKSİK",IF($I511&lt;TODAY(),"GECİKMİŞ",IF($I511=TODAY(),"BUGÜN",IF($I511&lt;=TODAY()+7,"7 GÜN İÇİNDE","PLANLI"))))))))</f>
        <v/>
      </c>
      <c r="R511" s="6" t="n"/>
      <c r="S511" s="6" t="n"/>
      <c r="T511" s="3" t="n"/>
      <c r="U511" s="3">
        <f>IF($E511="","",UPPER(SUBSTITUTE(SUBSTITUTE(SUBSTITUTE(SUBSTITUTE(SUBSTITUTE(SUBSTITUTE(SUBSTITUTE(SUBSTITUTE(SUBSTITUTE(SUBSTITUTE(SUBSTITUTE(SUBSTITUTE(SUBSTITUTE(SUBSTITUTE(SUBSTITUTE(SUBSTITUTE(SUBSTITUTE(SUBSTITUTE(TRIM($E511),"'",""),"İ","I"),"ı","I"),"i","I"),"Ş","S"),"ş","S"),"Ğ","G"),"ğ","G"),"Ü","U"),"ü","U"),"Ö","O"),"ö","O"),"Ç","C"),"ç","C"),".",""),",","")," ",""),"-","")))</f>
        <v/>
      </c>
    </row>
    <row r="512">
      <c r="A512" s="6" t="n"/>
      <c r="B512" s="113">
        <f>IF($E512="","","A"&amp;TEXT(ROW()-6,"00000"))</f>
        <v/>
      </c>
      <c r="C512" s="108" t="n"/>
      <c r="D512" s="113">
        <f>IF($E512="","",IFERROR(INDEX(MUSTERILER!$B$7:$B$106,MATCH($U512,MUSTERILER!$T$7:$T$106,0)),IFERROR(INDEX(MUSTERILER!$B$7:$B$106,MATCH($E512,MUSTERILER!$B$7:$B$106,0)),IFERROR(INDEX(MUSTERILER!$B$7:$B$106,MATCH($U512&amp;"*",MUSTERILER!$T$7:$T$106,0)),"TANIMSIZ MÜŞTERİ"))))</f>
        <v/>
      </c>
      <c r="E512" s="109" t="n"/>
      <c r="F512" s="109" t="n"/>
      <c r="G512" s="108" t="n"/>
      <c r="H512" s="220" t="n"/>
      <c r="I512" s="220" t="n"/>
      <c r="J512" s="108" t="n"/>
      <c r="K512" s="108" t="n"/>
      <c r="L512" s="109" t="n"/>
      <c r="M512" s="109" t="n"/>
      <c r="N512" s="109" t="n"/>
      <c r="O512" s="220" t="n"/>
      <c r="P512" s="227">
        <f>IF(OR($E512="",$I512=""),"",IF(OR($J512="Tamamlandı",$J512="İptal"),"",$I512-TODAY()))</f>
        <v/>
      </c>
      <c r="Q512" s="113">
        <f>IF($E512="","",IF($D512="TANIMSIZ MÜŞTERİ","HATA",IF(OR($J512="Tamamlandı",$J512="İptal"),"KAPALI",IF(AND($C512="Görüşme",$N512=""),"SONRAKİ İŞLEM EKSİK",IF($I512="","TARİH EKSİK",IF($I512&lt;TODAY(),"GECİKMİŞ",IF($I512=TODAY(),"BUGÜN",IF($I512&lt;=TODAY()+7,"7 GÜN İÇİNDE","PLANLI"))))))))</f>
        <v/>
      </c>
      <c r="R512" s="6" t="n"/>
      <c r="S512" s="6" t="n"/>
      <c r="T512" s="3" t="n"/>
      <c r="U512" s="3">
        <f>IF($E512="","",UPPER(SUBSTITUTE(SUBSTITUTE(SUBSTITUTE(SUBSTITUTE(SUBSTITUTE(SUBSTITUTE(SUBSTITUTE(SUBSTITUTE(SUBSTITUTE(SUBSTITUTE(SUBSTITUTE(SUBSTITUTE(SUBSTITUTE(SUBSTITUTE(SUBSTITUTE(SUBSTITUTE(SUBSTITUTE(SUBSTITUTE(TRIM($E512),"'",""),"İ","I"),"ı","I"),"i","I"),"Ş","S"),"ş","S"),"Ğ","G"),"ğ","G"),"Ü","U"),"ü","U"),"Ö","O"),"ö","O"),"Ç","C"),"ç","C"),".",""),",","")," ",""),"-","")))</f>
        <v/>
      </c>
    </row>
    <row r="513">
      <c r="A513" s="6" t="n"/>
      <c r="B513" s="113">
        <f>IF($E513="","","A"&amp;TEXT(ROW()-6,"00000"))</f>
        <v/>
      </c>
      <c r="C513" s="108" t="n"/>
      <c r="D513" s="113">
        <f>IF($E513="","",IFERROR(INDEX(MUSTERILER!$B$7:$B$106,MATCH($U513,MUSTERILER!$T$7:$T$106,0)),IFERROR(INDEX(MUSTERILER!$B$7:$B$106,MATCH($E513,MUSTERILER!$B$7:$B$106,0)),IFERROR(INDEX(MUSTERILER!$B$7:$B$106,MATCH($U513&amp;"*",MUSTERILER!$T$7:$T$106,0)),"TANIMSIZ MÜŞTERİ"))))</f>
        <v/>
      </c>
      <c r="E513" s="109" t="n"/>
      <c r="F513" s="109" t="n"/>
      <c r="G513" s="108" t="n"/>
      <c r="H513" s="220" t="n"/>
      <c r="I513" s="220" t="n"/>
      <c r="J513" s="108" t="n"/>
      <c r="K513" s="108" t="n"/>
      <c r="L513" s="109" t="n"/>
      <c r="M513" s="109" t="n"/>
      <c r="N513" s="109" t="n"/>
      <c r="O513" s="220" t="n"/>
      <c r="P513" s="227">
        <f>IF(OR($E513="",$I513=""),"",IF(OR($J513="Tamamlandı",$J513="İptal"),"",$I513-TODAY()))</f>
        <v/>
      </c>
      <c r="Q513" s="113">
        <f>IF($E513="","",IF($D513="TANIMSIZ MÜŞTERİ","HATA",IF(OR($J513="Tamamlandı",$J513="İptal"),"KAPALI",IF(AND($C513="Görüşme",$N513=""),"SONRAKİ İŞLEM EKSİK",IF($I513="","TARİH EKSİK",IF($I513&lt;TODAY(),"GECİKMİŞ",IF($I513=TODAY(),"BUGÜN",IF($I513&lt;=TODAY()+7,"7 GÜN İÇİNDE","PLANLI"))))))))</f>
        <v/>
      </c>
      <c r="R513" s="6" t="n"/>
      <c r="S513" s="6" t="n"/>
      <c r="T513" s="3" t="n"/>
      <c r="U513" s="3">
        <f>IF($E513="","",UPPER(SUBSTITUTE(SUBSTITUTE(SUBSTITUTE(SUBSTITUTE(SUBSTITUTE(SUBSTITUTE(SUBSTITUTE(SUBSTITUTE(SUBSTITUTE(SUBSTITUTE(SUBSTITUTE(SUBSTITUTE(SUBSTITUTE(SUBSTITUTE(SUBSTITUTE(SUBSTITUTE(SUBSTITUTE(SUBSTITUTE(TRIM($E513),"'",""),"İ","I"),"ı","I"),"i","I"),"Ş","S"),"ş","S"),"Ğ","G"),"ğ","G"),"Ü","U"),"ü","U"),"Ö","O"),"ö","O"),"Ç","C"),"ç","C"),".",""),",","")," ",""),"-","")))</f>
        <v/>
      </c>
    </row>
    <row r="514">
      <c r="A514" s="6" t="n"/>
      <c r="B514" s="113">
        <f>IF($E514="","","A"&amp;TEXT(ROW()-6,"00000"))</f>
        <v/>
      </c>
      <c r="C514" s="108" t="n"/>
      <c r="D514" s="113">
        <f>IF($E514="","",IFERROR(INDEX(MUSTERILER!$B$7:$B$106,MATCH($U514,MUSTERILER!$T$7:$T$106,0)),IFERROR(INDEX(MUSTERILER!$B$7:$B$106,MATCH($E514,MUSTERILER!$B$7:$B$106,0)),IFERROR(INDEX(MUSTERILER!$B$7:$B$106,MATCH($U514&amp;"*",MUSTERILER!$T$7:$T$106,0)),"TANIMSIZ MÜŞTERİ"))))</f>
        <v/>
      </c>
      <c r="E514" s="109" t="n"/>
      <c r="F514" s="109" t="n"/>
      <c r="G514" s="108" t="n"/>
      <c r="H514" s="220" t="n"/>
      <c r="I514" s="220" t="n"/>
      <c r="J514" s="108" t="n"/>
      <c r="K514" s="108" t="n"/>
      <c r="L514" s="109" t="n"/>
      <c r="M514" s="109" t="n"/>
      <c r="N514" s="109" t="n"/>
      <c r="O514" s="220" t="n"/>
      <c r="P514" s="227">
        <f>IF(OR($E514="",$I514=""),"",IF(OR($J514="Tamamlandı",$J514="İptal"),"",$I514-TODAY()))</f>
        <v/>
      </c>
      <c r="Q514" s="113">
        <f>IF($E514="","",IF($D514="TANIMSIZ MÜŞTERİ","HATA",IF(OR($J514="Tamamlandı",$J514="İptal"),"KAPALI",IF(AND($C514="Görüşme",$N514=""),"SONRAKİ İŞLEM EKSİK",IF($I514="","TARİH EKSİK",IF($I514&lt;TODAY(),"GECİKMİŞ",IF($I514=TODAY(),"BUGÜN",IF($I514&lt;=TODAY()+7,"7 GÜN İÇİNDE","PLANLI"))))))))</f>
        <v/>
      </c>
      <c r="R514" s="6" t="n"/>
      <c r="S514" s="6" t="n"/>
      <c r="T514" s="3" t="n"/>
      <c r="U514" s="3">
        <f>IF($E514="","",UPPER(SUBSTITUTE(SUBSTITUTE(SUBSTITUTE(SUBSTITUTE(SUBSTITUTE(SUBSTITUTE(SUBSTITUTE(SUBSTITUTE(SUBSTITUTE(SUBSTITUTE(SUBSTITUTE(SUBSTITUTE(SUBSTITUTE(SUBSTITUTE(SUBSTITUTE(SUBSTITUTE(SUBSTITUTE(SUBSTITUTE(TRIM($E514),"'",""),"İ","I"),"ı","I"),"i","I"),"Ş","S"),"ş","S"),"Ğ","G"),"ğ","G"),"Ü","U"),"ü","U"),"Ö","O"),"ö","O"),"Ç","C"),"ç","C"),".",""),",","")," ",""),"-","")))</f>
        <v/>
      </c>
    </row>
    <row r="515">
      <c r="A515" s="6" t="n"/>
      <c r="B515" s="113">
        <f>IF($E515="","","A"&amp;TEXT(ROW()-6,"00000"))</f>
        <v/>
      </c>
      <c r="C515" s="108" t="n"/>
      <c r="D515" s="113">
        <f>IF($E515="","",IFERROR(INDEX(MUSTERILER!$B$7:$B$106,MATCH($U515,MUSTERILER!$T$7:$T$106,0)),IFERROR(INDEX(MUSTERILER!$B$7:$B$106,MATCH($E515,MUSTERILER!$B$7:$B$106,0)),IFERROR(INDEX(MUSTERILER!$B$7:$B$106,MATCH($U515&amp;"*",MUSTERILER!$T$7:$T$106,0)),"TANIMSIZ MÜŞTERİ"))))</f>
        <v/>
      </c>
      <c r="E515" s="109" t="n"/>
      <c r="F515" s="109" t="n"/>
      <c r="G515" s="108" t="n"/>
      <c r="H515" s="220" t="n"/>
      <c r="I515" s="220" t="n"/>
      <c r="J515" s="108" t="n"/>
      <c r="K515" s="108" t="n"/>
      <c r="L515" s="109" t="n"/>
      <c r="M515" s="109" t="n"/>
      <c r="N515" s="109" t="n"/>
      <c r="O515" s="220" t="n"/>
      <c r="P515" s="227">
        <f>IF(OR($E515="",$I515=""),"",IF(OR($J515="Tamamlandı",$J515="İptal"),"",$I515-TODAY()))</f>
        <v/>
      </c>
      <c r="Q515" s="113">
        <f>IF($E515="","",IF($D515="TANIMSIZ MÜŞTERİ","HATA",IF(OR($J515="Tamamlandı",$J515="İptal"),"KAPALI",IF(AND($C515="Görüşme",$N515=""),"SONRAKİ İŞLEM EKSİK",IF($I515="","TARİH EKSİK",IF($I515&lt;TODAY(),"GECİKMİŞ",IF($I515=TODAY(),"BUGÜN",IF($I515&lt;=TODAY()+7,"7 GÜN İÇİNDE","PLANLI"))))))))</f>
        <v/>
      </c>
      <c r="R515" s="6" t="n"/>
      <c r="S515" s="6" t="n"/>
      <c r="T515" s="3" t="n"/>
      <c r="U515" s="3">
        <f>IF($E515="","",UPPER(SUBSTITUTE(SUBSTITUTE(SUBSTITUTE(SUBSTITUTE(SUBSTITUTE(SUBSTITUTE(SUBSTITUTE(SUBSTITUTE(SUBSTITUTE(SUBSTITUTE(SUBSTITUTE(SUBSTITUTE(SUBSTITUTE(SUBSTITUTE(SUBSTITUTE(SUBSTITUTE(SUBSTITUTE(SUBSTITUTE(TRIM($E515),"'",""),"İ","I"),"ı","I"),"i","I"),"Ş","S"),"ş","S"),"Ğ","G"),"ğ","G"),"Ü","U"),"ü","U"),"Ö","O"),"ö","O"),"Ç","C"),"ç","C"),".",""),",","")," ",""),"-","")))</f>
        <v/>
      </c>
    </row>
    <row r="516">
      <c r="A516" s="6" t="n"/>
      <c r="B516" s="113">
        <f>IF($E516="","","A"&amp;TEXT(ROW()-6,"00000"))</f>
        <v/>
      </c>
      <c r="C516" s="108" t="n"/>
      <c r="D516" s="113">
        <f>IF($E516="","",IFERROR(INDEX(MUSTERILER!$B$7:$B$106,MATCH($U516,MUSTERILER!$T$7:$T$106,0)),IFERROR(INDEX(MUSTERILER!$B$7:$B$106,MATCH($E516,MUSTERILER!$B$7:$B$106,0)),IFERROR(INDEX(MUSTERILER!$B$7:$B$106,MATCH($U516&amp;"*",MUSTERILER!$T$7:$T$106,0)),"TANIMSIZ MÜŞTERİ"))))</f>
        <v/>
      </c>
      <c r="E516" s="109" t="n"/>
      <c r="F516" s="109" t="n"/>
      <c r="G516" s="108" t="n"/>
      <c r="H516" s="220" t="n"/>
      <c r="I516" s="220" t="n"/>
      <c r="J516" s="108" t="n"/>
      <c r="K516" s="108" t="n"/>
      <c r="L516" s="109" t="n"/>
      <c r="M516" s="109" t="n"/>
      <c r="N516" s="109" t="n"/>
      <c r="O516" s="220" t="n"/>
      <c r="P516" s="227">
        <f>IF(OR($E516="",$I516=""),"",IF(OR($J516="Tamamlandı",$J516="İptal"),"",$I516-TODAY()))</f>
        <v/>
      </c>
      <c r="Q516" s="113">
        <f>IF($E516="","",IF($D516="TANIMSIZ MÜŞTERİ","HATA",IF(OR($J516="Tamamlandı",$J516="İptal"),"KAPALI",IF(AND($C516="Görüşme",$N516=""),"SONRAKİ İŞLEM EKSİK",IF($I516="","TARİH EKSİK",IF($I516&lt;TODAY(),"GECİKMİŞ",IF($I516=TODAY(),"BUGÜN",IF($I516&lt;=TODAY()+7,"7 GÜN İÇİNDE","PLANLI"))))))))</f>
        <v/>
      </c>
      <c r="R516" s="6" t="n"/>
      <c r="S516" s="6" t="n"/>
      <c r="T516" s="3" t="n"/>
      <c r="U516" s="3">
        <f>IF($E516="","",UPPER(SUBSTITUTE(SUBSTITUTE(SUBSTITUTE(SUBSTITUTE(SUBSTITUTE(SUBSTITUTE(SUBSTITUTE(SUBSTITUTE(SUBSTITUTE(SUBSTITUTE(SUBSTITUTE(SUBSTITUTE(SUBSTITUTE(SUBSTITUTE(SUBSTITUTE(SUBSTITUTE(SUBSTITUTE(SUBSTITUTE(TRIM($E516),"'",""),"İ","I"),"ı","I"),"i","I"),"Ş","S"),"ş","S"),"Ğ","G"),"ğ","G"),"Ü","U"),"ü","U"),"Ö","O"),"ö","O"),"Ç","C"),"ç","C"),".",""),",","")," ",""),"-","")))</f>
        <v/>
      </c>
    </row>
    <row r="517">
      <c r="A517" s="6" t="n"/>
      <c r="B517" s="113">
        <f>IF($E517="","","A"&amp;TEXT(ROW()-6,"00000"))</f>
        <v/>
      </c>
      <c r="C517" s="108" t="n"/>
      <c r="D517" s="113">
        <f>IF($E517="","",IFERROR(INDEX(MUSTERILER!$B$7:$B$106,MATCH($U517,MUSTERILER!$T$7:$T$106,0)),IFERROR(INDEX(MUSTERILER!$B$7:$B$106,MATCH($E517,MUSTERILER!$B$7:$B$106,0)),IFERROR(INDEX(MUSTERILER!$B$7:$B$106,MATCH($U517&amp;"*",MUSTERILER!$T$7:$T$106,0)),"TANIMSIZ MÜŞTERİ"))))</f>
        <v/>
      </c>
      <c r="E517" s="109" t="n"/>
      <c r="F517" s="109" t="n"/>
      <c r="G517" s="108" t="n"/>
      <c r="H517" s="220" t="n"/>
      <c r="I517" s="220" t="n"/>
      <c r="J517" s="108" t="n"/>
      <c r="K517" s="108" t="n"/>
      <c r="L517" s="109" t="n"/>
      <c r="M517" s="109" t="n"/>
      <c r="N517" s="109" t="n"/>
      <c r="O517" s="220" t="n"/>
      <c r="P517" s="227">
        <f>IF(OR($E517="",$I517=""),"",IF(OR($J517="Tamamlandı",$J517="İptal"),"",$I517-TODAY()))</f>
        <v/>
      </c>
      <c r="Q517" s="113">
        <f>IF($E517="","",IF($D517="TANIMSIZ MÜŞTERİ","HATA",IF(OR($J517="Tamamlandı",$J517="İptal"),"KAPALI",IF(AND($C517="Görüşme",$N517=""),"SONRAKİ İŞLEM EKSİK",IF($I517="","TARİH EKSİK",IF($I517&lt;TODAY(),"GECİKMİŞ",IF($I517=TODAY(),"BUGÜN",IF($I517&lt;=TODAY()+7,"7 GÜN İÇİNDE","PLANLI"))))))))</f>
        <v/>
      </c>
      <c r="R517" s="6" t="n"/>
      <c r="S517" s="6" t="n"/>
      <c r="T517" s="3" t="n"/>
      <c r="U517" s="3">
        <f>IF($E517="","",UPPER(SUBSTITUTE(SUBSTITUTE(SUBSTITUTE(SUBSTITUTE(SUBSTITUTE(SUBSTITUTE(SUBSTITUTE(SUBSTITUTE(SUBSTITUTE(SUBSTITUTE(SUBSTITUTE(SUBSTITUTE(SUBSTITUTE(SUBSTITUTE(SUBSTITUTE(SUBSTITUTE(SUBSTITUTE(SUBSTITUTE(TRIM($E517),"'",""),"İ","I"),"ı","I"),"i","I"),"Ş","S"),"ş","S"),"Ğ","G"),"ğ","G"),"Ü","U"),"ü","U"),"Ö","O"),"ö","O"),"Ç","C"),"ç","C"),".",""),",","")," ",""),"-","")))</f>
        <v/>
      </c>
    </row>
    <row r="518">
      <c r="A518" s="6" t="n"/>
      <c r="B518" s="113">
        <f>IF($E518="","","A"&amp;TEXT(ROW()-6,"00000"))</f>
        <v/>
      </c>
      <c r="C518" s="108" t="n"/>
      <c r="D518" s="113">
        <f>IF($E518="","",IFERROR(INDEX(MUSTERILER!$B$7:$B$106,MATCH($U518,MUSTERILER!$T$7:$T$106,0)),IFERROR(INDEX(MUSTERILER!$B$7:$B$106,MATCH($E518,MUSTERILER!$B$7:$B$106,0)),IFERROR(INDEX(MUSTERILER!$B$7:$B$106,MATCH($U518&amp;"*",MUSTERILER!$T$7:$T$106,0)),"TANIMSIZ MÜŞTERİ"))))</f>
        <v/>
      </c>
      <c r="E518" s="109" t="n"/>
      <c r="F518" s="109" t="n"/>
      <c r="G518" s="108" t="n"/>
      <c r="H518" s="220" t="n"/>
      <c r="I518" s="220" t="n"/>
      <c r="J518" s="108" t="n"/>
      <c r="K518" s="108" t="n"/>
      <c r="L518" s="109" t="n"/>
      <c r="M518" s="109" t="n"/>
      <c r="N518" s="109" t="n"/>
      <c r="O518" s="220" t="n"/>
      <c r="P518" s="227">
        <f>IF(OR($E518="",$I518=""),"",IF(OR($J518="Tamamlandı",$J518="İptal"),"",$I518-TODAY()))</f>
        <v/>
      </c>
      <c r="Q518" s="113">
        <f>IF($E518="","",IF($D518="TANIMSIZ MÜŞTERİ","HATA",IF(OR($J518="Tamamlandı",$J518="İptal"),"KAPALI",IF(AND($C518="Görüşme",$N518=""),"SONRAKİ İŞLEM EKSİK",IF($I518="","TARİH EKSİK",IF($I518&lt;TODAY(),"GECİKMİŞ",IF($I518=TODAY(),"BUGÜN",IF($I518&lt;=TODAY()+7,"7 GÜN İÇİNDE","PLANLI"))))))))</f>
        <v/>
      </c>
      <c r="R518" s="6" t="n"/>
      <c r="S518" s="6" t="n"/>
      <c r="T518" s="3" t="n"/>
      <c r="U518" s="3">
        <f>IF($E518="","",UPPER(SUBSTITUTE(SUBSTITUTE(SUBSTITUTE(SUBSTITUTE(SUBSTITUTE(SUBSTITUTE(SUBSTITUTE(SUBSTITUTE(SUBSTITUTE(SUBSTITUTE(SUBSTITUTE(SUBSTITUTE(SUBSTITUTE(SUBSTITUTE(SUBSTITUTE(SUBSTITUTE(SUBSTITUTE(SUBSTITUTE(TRIM($E518),"'",""),"İ","I"),"ı","I"),"i","I"),"Ş","S"),"ş","S"),"Ğ","G"),"ğ","G"),"Ü","U"),"ü","U"),"Ö","O"),"ö","O"),"Ç","C"),"ç","C"),".",""),",","")," ",""),"-","")))</f>
        <v/>
      </c>
    </row>
    <row r="519">
      <c r="A519" s="6" t="n"/>
      <c r="B519" s="113">
        <f>IF($E519="","","A"&amp;TEXT(ROW()-6,"00000"))</f>
        <v/>
      </c>
      <c r="C519" s="108" t="n"/>
      <c r="D519" s="113">
        <f>IF($E519="","",IFERROR(INDEX(MUSTERILER!$B$7:$B$106,MATCH($U519,MUSTERILER!$T$7:$T$106,0)),IFERROR(INDEX(MUSTERILER!$B$7:$B$106,MATCH($E519,MUSTERILER!$B$7:$B$106,0)),IFERROR(INDEX(MUSTERILER!$B$7:$B$106,MATCH($U519&amp;"*",MUSTERILER!$T$7:$T$106,0)),"TANIMSIZ MÜŞTERİ"))))</f>
        <v/>
      </c>
      <c r="E519" s="109" t="n"/>
      <c r="F519" s="109" t="n"/>
      <c r="G519" s="108" t="n"/>
      <c r="H519" s="220" t="n"/>
      <c r="I519" s="220" t="n"/>
      <c r="J519" s="108" t="n"/>
      <c r="K519" s="108" t="n"/>
      <c r="L519" s="109" t="n"/>
      <c r="M519" s="109" t="n"/>
      <c r="N519" s="109" t="n"/>
      <c r="O519" s="220" t="n"/>
      <c r="P519" s="227">
        <f>IF(OR($E519="",$I519=""),"",IF(OR($J519="Tamamlandı",$J519="İptal"),"",$I519-TODAY()))</f>
        <v/>
      </c>
      <c r="Q519" s="113">
        <f>IF($E519="","",IF($D519="TANIMSIZ MÜŞTERİ","HATA",IF(OR($J519="Tamamlandı",$J519="İptal"),"KAPALI",IF(AND($C519="Görüşme",$N519=""),"SONRAKİ İŞLEM EKSİK",IF($I519="","TARİH EKSİK",IF($I519&lt;TODAY(),"GECİKMİŞ",IF($I519=TODAY(),"BUGÜN",IF($I519&lt;=TODAY()+7,"7 GÜN İÇİNDE","PLANLI"))))))))</f>
        <v/>
      </c>
      <c r="R519" s="6" t="n"/>
      <c r="S519" s="6" t="n"/>
      <c r="T519" s="3" t="n"/>
      <c r="U519" s="3">
        <f>IF($E519="","",UPPER(SUBSTITUTE(SUBSTITUTE(SUBSTITUTE(SUBSTITUTE(SUBSTITUTE(SUBSTITUTE(SUBSTITUTE(SUBSTITUTE(SUBSTITUTE(SUBSTITUTE(SUBSTITUTE(SUBSTITUTE(SUBSTITUTE(SUBSTITUTE(SUBSTITUTE(SUBSTITUTE(SUBSTITUTE(SUBSTITUTE(TRIM($E519),"'",""),"İ","I"),"ı","I"),"i","I"),"Ş","S"),"ş","S"),"Ğ","G"),"ğ","G"),"Ü","U"),"ü","U"),"Ö","O"),"ö","O"),"Ç","C"),"ç","C"),".",""),",","")," ",""),"-","")))</f>
        <v/>
      </c>
    </row>
    <row r="520">
      <c r="A520" s="6" t="n"/>
      <c r="B520" s="113">
        <f>IF($E520="","","A"&amp;TEXT(ROW()-6,"00000"))</f>
        <v/>
      </c>
      <c r="C520" s="108" t="n"/>
      <c r="D520" s="113">
        <f>IF($E520="","",IFERROR(INDEX(MUSTERILER!$B$7:$B$106,MATCH($U520,MUSTERILER!$T$7:$T$106,0)),IFERROR(INDEX(MUSTERILER!$B$7:$B$106,MATCH($E520,MUSTERILER!$B$7:$B$106,0)),IFERROR(INDEX(MUSTERILER!$B$7:$B$106,MATCH($U520&amp;"*",MUSTERILER!$T$7:$T$106,0)),"TANIMSIZ MÜŞTERİ"))))</f>
        <v/>
      </c>
      <c r="E520" s="109" t="n"/>
      <c r="F520" s="109" t="n"/>
      <c r="G520" s="108" t="n"/>
      <c r="H520" s="220" t="n"/>
      <c r="I520" s="220" t="n"/>
      <c r="J520" s="108" t="n"/>
      <c r="K520" s="108" t="n"/>
      <c r="L520" s="109" t="n"/>
      <c r="M520" s="109" t="n"/>
      <c r="N520" s="109" t="n"/>
      <c r="O520" s="220" t="n"/>
      <c r="P520" s="227">
        <f>IF(OR($E520="",$I520=""),"",IF(OR($J520="Tamamlandı",$J520="İptal"),"",$I520-TODAY()))</f>
        <v/>
      </c>
      <c r="Q520" s="113">
        <f>IF($E520="","",IF($D520="TANIMSIZ MÜŞTERİ","HATA",IF(OR($J520="Tamamlandı",$J520="İptal"),"KAPALI",IF(AND($C520="Görüşme",$N520=""),"SONRAKİ İŞLEM EKSİK",IF($I520="","TARİH EKSİK",IF($I520&lt;TODAY(),"GECİKMİŞ",IF($I520=TODAY(),"BUGÜN",IF($I520&lt;=TODAY()+7,"7 GÜN İÇİNDE","PLANLI"))))))))</f>
        <v/>
      </c>
      <c r="R520" s="6" t="n"/>
      <c r="S520" s="6" t="n"/>
      <c r="T520" s="3" t="n"/>
      <c r="U520" s="3">
        <f>IF($E520="","",UPPER(SUBSTITUTE(SUBSTITUTE(SUBSTITUTE(SUBSTITUTE(SUBSTITUTE(SUBSTITUTE(SUBSTITUTE(SUBSTITUTE(SUBSTITUTE(SUBSTITUTE(SUBSTITUTE(SUBSTITUTE(SUBSTITUTE(SUBSTITUTE(SUBSTITUTE(SUBSTITUTE(SUBSTITUTE(SUBSTITUTE(TRIM($E520),"'",""),"İ","I"),"ı","I"),"i","I"),"Ş","S"),"ş","S"),"Ğ","G"),"ğ","G"),"Ü","U"),"ü","U"),"Ö","O"),"ö","O"),"Ç","C"),"ç","C"),".",""),",","")," ",""),"-","")))</f>
        <v/>
      </c>
    </row>
    <row r="521">
      <c r="A521" s="6" t="n"/>
      <c r="B521" s="113">
        <f>IF($E521="","","A"&amp;TEXT(ROW()-6,"00000"))</f>
        <v/>
      </c>
      <c r="C521" s="108" t="n"/>
      <c r="D521" s="113">
        <f>IF($E521="","",IFERROR(INDEX(MUSTERILER!$B$7:$B$106,MATCH($U521,MUSTERILER!$T$7:$T$106,0)),IFERROR(INDEX(MUSTERILER!$B$7:$B$106,MATCH($E521,MUSTERILER!$B$7:$B$106,0)),IFERROR(INDEX(MUSTERILER!$B$7:$B$106,MATCH($U521&amp;"*",MUSTERILER!$T$7:$T$106,0)),"TANIMSIZ MÜŞTERİ"))))</f>
        <v/>
      </c>
      <c r="E521" s="109" t="n"/>
      <c r="F521" s="109" t="n"/>
      <c r="G521" s="108" t="n"/>
      <c r="H521" s="220" t="n"/>
      <c r="I521" s="220" t="n"/>
      <c r="J521" s="108" t="n"/>
      <c r="K521" s="108" t="n"/>
      <c r="L521" s="109" t="n"/>
      <c r="M521" s="109" t="n"/>
      <c r="N521" s="109" t="n"/>
      <c r="O521" s="220" t="n"/>
      <c r="P521" s="227">
        <f>IF(OR($E521="",$I521=""),"",IF(OR($J521="Tamamlandı",$J521="İptal"),"",$I521-TODAY()))</f>
        <v/>
      </c>
      <c r="Q521" s="113">
        <f>IF($E521="","",IF($D521="TANIMSIZ MÜŞTERİ","HATA",IF(OR($J521="Tamamlandı",$J521="İptal"),"KAPALI",IF(AND($C521="Görüşme",$N521=""),"SONRAKİ İŞLEM EKSİK",IF($I521="","TARİH EKSİK",IF($I521&lt;TODAY(),"GECİKMİŞ",IF($I521=TODAY(),"BUGÜN",IF($I521&lt;=TODAY()+7,"7 GÜN İÇİNDE","PLANLI"))))))))</f>
        <v/>
      </c>
      <c r="R521" s="6" t="n"/>
      <c r="S521" s="6" t="n"/>
      <c r="T521" s="3" t="n"/>
      <c r="U521" s="3">
        <f>IF($E521="","",UPPER(SUBSTITUTE(SUBSTITUTE(SUBSTITUTE(SUBSTITUTE(SUBSTITUTE(SUBSTITUTE(SUBSTITUTE(SUBSTITUTE(SUBSTITUTE(SUBSTITUTE(SUBSTITUTE(SUBSTITUTE(SUBSTITUTE(SUBSTITUTE(SUBSTITUTE(SUBSTITUTE(SUBSTITUTE(SUBSTITUTE(TRIM($E521),"'",""),"İ","I"),"ı","I"),"i","I"),"Ş","S"),"ş","S"),"Ğ","G"),"ğ","G"),"Ü","U"),"ü","U"),"Ö","O"),"ö","O"),"Ç","C"),"ç","C"),".",""),",","")," ",""),"-","")))</f>
        <v/>
      </c>
    </row>
    <row r="522">
      <c r="A522" s="6" t="n"/>
      <c r="B522" s="113">
        <f>IF($E522="","","A"&amp;TEXT(ROW()-6,"00000"))</f>
        <v/>
      </c>
      <c r="C522" s="108" t="n"/>
      <c r="D522" s="113">
        <f>IF($E522="","",IFERROR(INDEX(MUSTERILER!$B$7:$B$106,MATCH($U522,MUSTERILER!$T$7:$T$106,0)),IFERROR(INDEX(MUSTERILER!$B$7:$B$106,MATCH($E522,MUSTERILER!$B$7:$B$106,0)),IFERROR(INDEX(MUSTERILER!$B$7:$B$106,MATCH($U522&amp;"*",MUSTERILER!$T$7:$T$106,0)),"TANIMSIZ MÜŞTERİ"))))</f>
        <v/>
      </c>
      <c r="E522" s="109" t="n"/>
      <c r="F522" s="109" t="n"/>
      <c r="G522" s="108" t="n"/>
      <c r="H522" s="220" t="n"/>
      <c r="I522" s="220" t="n"/>
      <c r="J522" s="108" t="n"/>
      <c r="K522" s="108" t="n"/>
      <c r="L522" s="109" t="n"/>
      <c r="M522" s="109" t="n"/>
      <c r="N522" s="109" t="n"/>
      <c r="O522" s="220" t="n"/>
      <c r="P522" s="227">
        <f>IF(OR($E522="",$I522=""),"",IF(OR($J522="Tamamlandı",$J522="İptal"),"",$I522-TODAY()))</f>
        <v/>
      </c>
      <c r="Q522" s="113">
        <f>IF($E522="","",IF($D522="TANIMSIZ MÜŞTERİ","HATA",IF(OR($J522="Tamamlandı",$J522="İptal"),"KAPALI",IF(AND($C522="Görüşme",$N522=""),"SONRAKİ İŞLEM EKSİK",IF($I522="","TARİH EKSİK",IF($I522&lt;TODAY(),"GECİKMİŞ",IF($I522=TODAY(),"BUGÜN",IF($I522&lt;=TODAY()+7,"7 GÜN İÇİNDE","PLANLI"))))))))</f>
        <v/>
      </c>
      <c r="R522" s="6" t="n"/>
      <c r="S522" s="6" t="n"/>
      <c r="T522" s="3" t="n"/>
      <c r="U522" s="3">
        <f>IF($E522="","",UPPER(SUBSTITUTE(SUBSTITUTE(SUBSTITUTE(SUBSTITUTE(SUBSTITUTE(SUBSTITUTE(SUBSTITUTE(SUBSTITUTE(SUBSTITUTE(SUBSTITUTE(SUBSTITUTE(SUBSTITUTE(SUBSTITUTE(SUBSTITUTE(SUBSTITUTE(SUBSTITUTE(SUBSTITUTE(SUBSTITUTE(TRIM($E522),"'",""),"İ","I"),"ı","I"),"i","I"),"Ş","S"),"ş","S"),"Ğ","G"),"ğ","G"),"Ü","U"),"ü","U"),"Ö","O"),"ö","O"),"Ç","C"),"ç","C"),".",""),",","")," ",""),"-","")))</f>
        <v/>
      </c>
    </row>
    <row r="523">
      <c r="A523" s="6" t="n"/>
      <c r="B523" s="113">
        <f>IF($E523="","","A"&amp;TEXT(ROW()-6,"00000"))</f>
        <v/>
      </c>
      <c r="C523" s="108" t="n"/>
      <c r="D523" s="113">
        <f>IF($E523="","",IFERROR(INDEX(MUSTERILER!$B$7:$B$106,MATCH($U523,MUSTERILER!$T$7:$T$106,0)),IFERROR(INDEX(MUSTERILER!$B$7:$B$106,MATCH($E523,MUSTERILER!$B$7:$B$106,0)),IFERROR(INDEX(MUSTERILER!$B$7:$B$106,MATCH($U523&amp;"*",MUSTERILER!$T$7:$T$106,0)),"TANIMSIZ MÜŞTERİ"))))</f>
        <v/>
      </c>
      <c r="E523" s="109" t="n"/>
      <c r="F523" s="109" t="n"/>
      <c r="G523" s="108" t="n"/>
      <c r="H523" s="220" t="n"/>
      <c r="I523" s="220" t="n"/>
      <c r="J523" s="108" t="n"/>
      <c r="K523" s="108" t="n"/>
      <c r="L523" s="109" t="n"/>
      <c r="M523" s="109" t="n"/>
      <c r="N523" s="109" t="n"/>
      <c r="O523" s="220" t="n"/>
      <c r="P523" s="227">
        <f>IF(OR($E523="",$I523=""),"",IF(OR($J523="Tamamlandı",$J523="İptal"),"",$I523-TODAY()))</f>
        <v/>
      </c>
      <c r="Q523" s="113">
        <f>IF($E523="","",IF($D523="TANIMSIZ MÜŞTERİ","HATA",IF(OR($J523="Tamamlandı",$J523="İptal"),"KAPALI",IF(AND($C523="Görüşme",$N523=""),"SONRAKİ İŞLEM EKSİK",IF($I523="","TARİH EKSİK",IF($I523&lt;TODAY(),"GECİKMİŞ",IF($I523=TODAY(),"BUGÜN",IF($I523&lt;=TODAY()+7,"7 GÜN İÇİNDE","PLANLI"))))))))</f>
        <v/>
      </c>
      <c r="R523" s="6" t="n"/>
      <c r="S523" s="6" t="n"/>
      <c r="T523" s="3" t="n"/>
      <c r="U523" s="3">
        <f>IF($E523="","",UPPER(SUBSTITUTE(SUBSTITUTE(SUBSTITUTE(SUBSTITUTE(SUBSTITUTE(SUBSTITUTE(SUBSTITUTE(SUBSTITUTE(SUBSTITUTE(SUBSTITUTE(SUBSTITUTE(SUBSTITUTE(SUBSTITUTE(SUBSTITUTE(SUBSTITUTE(SUBSTITUTE(SUBSTITUTE(SUBSTITUTE(TRIM($E523),"'",""),"İ","I"),"ı","I"),"i","I"),"Ş","S"),"ş","S"),"Ğ","G"),"ğ","G"),"Ü","U"),"ü","U"),"Ö","O"),"ö","O"),"Ç","C"),"ç","C"),".",""),",","")," ",""),"-","")))</f>
        <v/>
      </c>
    </row>
    <row r="524">
      <c r="A524" s="6" t="n"/>
      <c r="B524" s="113">
        <f>IF($E524="","","A"&amp;TEXT(ROW()-6,"00000"))</f>
        <v/>
      </c>
      <c r="C524" s="108" t="n"/>
      <c r="D524" s="113">
        <f>IF($E524="","",IFERROR(INDEX(MUSTERILER!$B$7:$B$106,MATCH($U524,MUSTERILER!$T$7:$T$106,0)),IFERROR(INDEX(MUSTERILER!$B$7:$B$106,MATCH($E524,MUSTERILER!$B$7:$B$106,0)),IFERROR(INDEX(MUSTERILER!$B$7:$B$106,MATCH($U524&amp;"*",MUSTERILER!$T$7:$T$106,0)),"TANIMSIZ MÜŞTERİ"))))</f>
        <v/>
      </c>
      <c r="E524" s="109" t="n"/>
      <c r="F524" s="109" t="n"/>
      <c r="G524" s="108" t="n"/>
      <c r="H524" s="220" t="n"/>
      <c r="I524" s="220" t="n"/>
      <c r="J524" s="108" t="n"/>
      <c r="K524" s="108" t="n"/>
      <c r="L524" s="109" t="n"/>
      <c r="M524" s="109" t="n"/>
      <c r="N524" s="109" t="n"/>
      <c r="O524" s="220" t="n"/>
      <c r="P524" s="227">
        <f>IF(OR($E524="",$I524=""),"",IF(OR($J524="Tamamlandı",$J524="İptal"),"",$I524-TODAY()))</f>
        <v/>
      </c>
      <c r="Q524" s="113">
        <f>IF($E524="","",IF($D524="TANIMSIZ MÜŞTERİ","HATA",IF(OR($J524="Tamamlandı",$J524="İptal"),"KAPALI",IF(AND($C524="Görüşme",$N524=""),"SONRAKİ İŞLEM EKSİK",IF($I524="","TARİH EKSİK",IF($I524&lt;TODAY(),"GECİKMİŞ",IF($I524=TODAY(),"BUGÜN",IF($I524&lt;=TODAY()+7,"7 GÜN İÇİNDE","PLANLI"))))))))</f>
        <v/>
      </c>
      <c r="R524" s="6" t="n"/>
      <c r="S524" s="6" t="n"/>
      <c r="T524" s="3" t="n"/>
      <c r="U524" s="3">
        <f>IF($E524="","",UPPER(SUBSTITUTE(SUBSTITUTE(SUBSTITUTE(SUBSTITUTE(SUBSTITUTE(SUBSTITUTE(SUBSTITUTE(SUBSTITUTE(SUBSTITUTE(SUBSTITUTE(SUBSTITUTE(SUBSTITUTE(SUBSTITUTE(SUBSTITUTE(SUBSTITUTE(SUBSTITUTE(SUBSTITUTE(SUBSTITUTE(TRIM($E524),"'",""),"İ","I"),"ı","I"),"i","I"),"Ş","S"),"ş","S"),"Ğ","G"),"ğ","G"),"Ü","U"),"ü","U"),"Ö","O"),"ö","O"),"Ç","C"),"ç","C"),".",""),",","")," ",""),"-","")))</f>
        <v/>
      </c>
    </row>
    <row r="525">
      <c r="A525" s="6" t="n"/>
      <c r="B525" s="113">
        <f>IF($E525="","","A"&amp;TEXT(ROW()-6,"00000"))</f>
        <v/>
      </c>
      <c r="C525" s="108" t="n"/>
      <c r="D525" s="113">
        <f>IF($E525="","",IFERROR(INDEX(MUSTERILER!$B$7:$B$106,MATCH($U525,MUSTERILER!$T$7:$T$106,0)),IFERROR(INDEX(MUSTERILER!$B$7:$B$106,MATCH($E525,MUSTERILER!$B$7:$B$106,0)),IFERROR(INDEX(MUSTERILER!$B$7:$B$106,MATCH($U525&amp;"*",MUSTERILER!$T$7:$T$106,0)),"TANIMSIZ MÜŞTERİ"))))</f>
        <v/>
      </c>
      <c r="E525" s="109" t="n"/>
      <c r="F525" s="109" t="n"/>
      <c r="G525" s="108" t="n"/>
      <c r="H525" s="220" t="n"/>
      <c r="I525" s="220" t="n"/>
      <c r="J525" s="108" t="n"/>
      <c r="K525" s="108" t="n"/>
      <c r="L525" s="109" t="n"/>
      <c r="M525" s="109" t="n"/>
      <c r="N525" s="109" t="n"/>
      <c r="O525" s="220" t="n"/>
      <c r="P525" s="227">
        <f>IF(OR($E525="",$I525=""),"",IF(OR($J525="Tamamlandı",$J525="İptal"),"",$I525-TODAY()))</f>
        <v/>
      </c>
      <c r="Q525" s="113">
        <f>IF($E525="","",IF($D525="TANIMSIZ MÜŞTERİ","HATA",IF(OR($J525="Tamamlandı",$J525="İptal"),"KAPALI",IF(AND($C525="Görüşme",$N525=""),"SONRAKİ İŞLEM EKSİK",IF($I525="","TARİH EKSİK",IF($I525&lt;TODAY(),"GECİKMİŞ",IF($I525=TODAY(),"BUGÜN",IF($I525&lt;=TODAY()+7,"7 GÜN İÇİNDE","PLANLI"))))))))</f>
        <v/>
      </c>
      <c r="R525" s="6" t="n"/>
      <c r="S525" s="6" t="n"/>
      <c r="T525" s="3" t="n"/>
      <c r="U525" s="3">
        <f>IF($E525="","",UPPER(SUBSTITUTE(SUBSTITUTE(SUBSTITUTE(SUBSTITUTE(SUBSTITUTE(SUBSTITUTE(SUBSTITUTE(SUBSTITUTE(SUBSTITUTE(SUBSTITUTE(SUBSTITUTE(SUBSTITUTE(SUBSTITUTE(SUBSTITUTE(SUBSTITUTE(SUBSTITUTE(SUBSTITUTE(SUBSTITUTE(TRIM($E525),"'",""),"İ","I"),"ı","I"),"i","I"),"Ş","S"),"ş","S"),"Ğ","G"),"ğ","G"),"Ü","U"),"ü","U"),"Ö","O"),"ö","O"),"Ç","C"),"ç","C"),".",""),",","")," ",""),"-","")))</f>
        <v/>
      </c>
    </row>
    <row r="526">
      <c r="A526" s="6" t="n"/>
      <c r="B526" s="113">
        <f>IF($E526="","","A"&amp;TEXT(ROW()-6,"00000"))</f>
        <v/>
      </c>
      <c r="C526" s="108" t="n"/>
      <c r="D526" s="113">
        <f>IF($E526="","",IFERROR(INDEX(MUSTERILER!$B$7:$B$106,MATCH($U526,MUSTERILER!$T$7:$T$106,0)),IFERROR(INDEX(MUSTERILER!$B$7:$B$106,MATCH($E526,MUSTERILER!$B$7:$B$106,0)),IFERROR(INDEX(MUSTERILER!$B$7:$B$106,MATCH($U526&amp;"*",MUSTERILER!$T$7:$T$106,0)),"TANIMSIZ MÜŞTERİ"))))</f>
        <v/>
      </c>
      <c r="E526" s="109" t="n"/>
      <c r="F526" s="109" t="n"/>
      <c r="G526" s="108" t="n"/>
      <c r="H526" s="220" t="n"/>
      <c r="I526" s="220" t="n"/>
      <c r="J526" s="108" t="n"/>
      <c r="K526" s="108" t="n"/>
      <c r="L526" s="109" t="n"/>
      <c r="M526" s="109" t="n"/>
      <c r="N526" s="109" t="n"/>
      <c r="O526" s="220" t="n"/>
      <c r="P526" s="227">
        <f>IF(OR($E526="",$I526=""),"",IF(OR($J526="Tamamlandı",$J526="İptal"),"",$I526-TODAY()))</f>
        <v/>
      </c>
      <c r="Q526" s="113">
        <f>IF($E526="","",IF($D526="TANIMSIZ MÜŞTERİ","HATA",IF(OR($J526="Tamamlandı",$J526="İptal"),"KAPALI",IF(AND($C526="Görüşme",$N526=""),"SONRAKİ İŞLEM EKSİK",IF($I526="","TARİH EKSİK",IF($I526&lt;TODAY(),"GECİKMİŞ",IF($I526=TODAY(),"BUGÜN",IF($I526&lt;=TODAY()+7,"7 GÜN İÇİNDE","PLANLI"))))))))</f>
        <v/>
      </c>
      <c r="R526" s="6" t="n"/>
      <c r="S526" s="6" t="n"/>
      <c r="T526" s="3" t="n"/>
      <c r="U526" s="3">
        <f>IF($E526="","",UPPER(SUBSTITUTE(SUBSTITUTE(SUBSTITUTE(SUBSTITUTE(SUBSTITUTE(SUBSTITUTE(SUBSTITUTE(SUBSTITUTE(SUBSTITUTE(SUBSTITUTE(SUBSTITUTE(SUBSTITUTE(SUBSTITUTE(SUBSTITUTE(SUBSTITUTE(SUBSTITUTE(SUBSTITUTE(SUBSTITUTE(TRIM($E526),"'",""),"İ","I"),"ı","I"),"i","I"),"Ş","S"),"ş","S"),"Ğ","G"),"ğ","G"),"Ü","U"),"ü","U"),"Ö","O"),"ö","O"),"Ç","C"),"ç","C"),".",""),",","")," ",""),"-","")))</f>
        <v/>
      </c>
    </row>
    <row r="527">
      <c r="A527" s="6" t="n"/>
      <c r="B527" s="113">
        <f>IF($E527="","","A"&amp;TEXT(ROW()-6,"00000"))</f>
        <v/>
      </c>
      <c r="C527" s="108" t="n"/>
      <c r="D527" s="113">
        <f>IF($E527="","",IFERROR(INDEX(MUSTERILER!$B$7:$B$106,MATCH($U527,MUSTERILER!$T$7:$T$106,0)),IFERROR(INDEX(MUSTERILER!$B$7:$B$106,MATCH($E527,MUSTERILER!$B$7:$B$106,0)),IFERROR(INDEX(MUSTERILER!$B$7:$B$106,MATCH($U527&amp;"*",MUSTERILER!$T$7:$T$106,0)),"TANIMSIZ MÜŞTERİ"))))</f>
        <v/>
      </c>
      <c r="E527" s="109" t="n"/>
      <c r="F527" s="109" t="n"/>
      <c r="G527" s="108" t="n"/>
      <c r="H527" s="220" t="n"/>
      <c r="I527" s="220" t="n"/>
      <c r="J527" s="108" t="n"/>
      <c r="K527" s="108" t="n"/>
      <c r="L527" s="109" t="n"/>
      <c r="M527" s="109" t="n"/>
      <c r="N527" s="109" t="n"/>
      <c r="O527" s="220" t="n"/>
      <c r="P527" s="227">
        <f>IF(OR($E527="",$I527=""),"",IF(OR($J527="Tamamlandı",$J527="İptal"),"",$I527-TODAY()))</f>
        <v/>
      </c>
      <c r="Q527" s="113">
        <f>IF($E527="","",IF($D527="TANIMSIZ MÜŞTERİ","HATA",IF(OR($J527="Tamamlandı",$J527="İptal"),"KAPALI",IF(AND($C527="Görüşme",$N527=""),"SONRAKİ İŞLEM EKSİK",IF($I527="","TARİH EKSİK",IF($I527&lt;TODAY(),"GECİKMİŞ",IF($I527=TODAY(),"BUGÜN",IF($I527&lt;=TODAY()+7,"7 GÜN İÇİNDE","PLANLI"))))))))</f>
        <v/>
      </c>
      <c r="R527" s="6" t="n"/>
      <c r="S527" s="6" t="n"/>
      <c r="T527" s="3" t="n"/>
      <c r="U527" s="3">
        <f>IF($E527="","",UPPER(SUBSTITUTE(SUBSTITUTE(SUBSTITUTE(SUBSTITUTE(SUBSTITUTE(SUBSTITUTE(SUBSTITUTE(SUBSTITUTE(SUBSTITUTE(SUBSTITUTE(SUBSTITUTE(SUBSTITUTE(SUBSTITUTE(SUBSTITUTE(SUBSTITUTE(SUBSTITUTE(SUBSTITUTE(SUBSTITUTE(TRIM($E527),"'",""),"İ","I"),"ı","I"),"i","I"),"Ş","S"),"ş","S"),"Ğ","G"),"ğ","G"),"Ü","U"),"ü","U"),"Ö","O"),"ö","O"),"Ç","C"),"ç","C"),".",""),",","")," ",""),"-","")))</f>
        <v/>
      </c>
    </row>
    <row r="528">
      <c r="A528" s="6" t="n"/>
      <c r="B528" s="113">
        <f>IF($E528="","","A"&amp;TEXT(ROW()-6,"00000"))</f>
        <v/>
      </c>
      <c r="C528" s="108" t="n"/>
      <c r="D528" s="113">
        <f>IF($E528="","",IFERROR(INDEX(MUSTERILER!$B$7:$B$106,MATCH($U528,MUSTERILER!$T$7:$T$106,0)),IFERROR(INDEX(MUSTERILER!$B$7:$B$106,MATCH($E528,MUSTERILER!$B$7:$B$106,0)),IFERROR(INDEX(MUSTERILER!$B$7:$B$106,MATCH($U528&amp;"*",MUSTERILER!$T$7:$T$106,0)),"TANIMSIZ MÜŞTERİ"))))</f>
        <v/>
      </c>
      <c r="E528" s="109" t="n"/>
      <c r="F528" s="109" t="n"/>
      <c r="G528" s="108" t="n"/>
      <c r="H528" s="220" t="n"/>
      <c r="I528" s="220" t="n"/>
      <c r="J528" s="108" t="n"/>
      <c r="K528" s="108" t="n"/>
      <c r="L528" s="109" t="n"/>
      <c r="M528" s="109" t="n"/>
      <c r="N528" s="109" t="n"/>
      <c r="O528" s="220" t="n"/>
      <c r="P528" s="227">
        <f>IF(OR($E528="",$I528=""),"",IF(OR($J528="Tamamlandı",$J528="İptal"),"",$I528-TODAY()))</f>
        <v/>
      </c>
      <c r="Q528" s="113">
        <f>IF($E528="","",IF($D528="TANIMSIZ MÜŞTERİ","HATA",IF(OR($J528="Tamamlandı",$J528="İptal"),"KAPALI",IF(AND($C528="Görüşme",$N528=""),"SONRAKİ İŞLEM EKSİK",IF($I528="","TARİH EKSİK",IF($I528&lt;TODAY(),"GECİKMİŞ",IF($I528=TODAY(),"BUGÜN",IF($I528&lt;=TODAY()+7,"7 GÜN İÇİNDE","PLANLI"))))))))</f>
        <v/>
      </c>
      <c r="R528" s="6" t="n"/>
      <c r="S528" s="6" t="n"/>
      <c r="T528" s="3" t="n"/>
      <c r="U528" s="3">
        <f>IF($E528="","",UPPER(SUBSTITUTE(SUBSTITUTE(SUBSTITUTE(SUBSTITUTE(SUBSTITUTE(SUBSTITUTE(SUBSTITUTE(SUBSTITUTE(SUBSTITUTE(SUBSTITUTE(SUBSTITUTE(SUBSTITUTE(SUBSTITUTE(SUBSTITUTE(SUBSTITUTE(SUBSTITUTE(SUBSTITUTE(SUBSTITUTE(TRIM($E528),"'",""),"İ","I"),"ı","I"),"i","I"),"Ş","S"),"ş","S"),"Ğ","G"),"ğ","G"),"Ü","U"),"ü","U"),"Ö","O"),"ö","O"),"Ç","C"),"ç","C"),".",""),",","")," ",""),"-","")))</f>
        <v/>
      </c>
    </row>
    <row r="529">
      <c r="A529" s="6" t="n"/>
      <c r="B529" s="113">
        <f>IF($E529="","","A"&amp;TEXT(ROW()-6,"00000"))</f>
        <v/>
      </c>
      <c r="C529" s="108" t="n"/>
      <c r="D529" s="113">
        <f>IF($E529="","",IFERROR(INDEX(MUSTERILER!$B$7:$B$106,MATCH($U529,MUSTERILER!$T$7:$T$106,0)),IFERROR(INDEX(MUSTERILER!$B$7:$B$106,MATCH($E529,MUSTERILER!$B$7:$B$106,0)),IFERROR(INDEX(MUSTERILER!$B$7:$B$106,MATCH($U529&amp;"*",MUSTERILER!$T$7:$T$106,0)),"TANIMSIZ MÜŞTERİ"))))</f>
        <v/>
      </c>
      <c r="E529" s="109" t="n"/>
      <c r="F529" s="109" t="n"/>
      <c r="G529" s="108" t="n"/>
      <c r="H529" s="220" t="n"/>
      <c r="I529" s="220" t="n"/>
      <c r="J529" s="108" t="n"/>
      <c r="K529" s="108" t="n"/>
      <c r="L529" s="109" t="n"/>
      <c r="M529" s="109" t="n"/>
      <c r="N529" s="109" t="n"/>
      <c r="O529" s="220" t="n"/>
      <c r="P529" s="227">
        <f>IF(OR($E529="",$I529=""),"",IF(OR($J529="Tamamlandı",$J529="İptal"),"",$I529-TODAY()))</f>
        <v/>
      </c>
      <c r="Q529" s="113">
        <f>IF($E529="","",IF($D529="TANIMSIZ MÜŞTERİ","HATA",IF(OR($J529="Tamamlandı",$J529="İptal"),"KAPALI",IF(AND($C529="Görüşme",$N529=""),"SONRAKİ İŞLEM EKSİK",IF($I529="","TARİH EKSİK",IF($I529&lt;TODAY(),"GECİKMİŞ",IF($I529=TODAY(),"BUGÜN",IF($I529&lt;=TODAY()+7,"7 GÜN İÇİNDE","PLANLI"))))))))</f>
        <v/>
      </c>
      <c r="R529" s="6" t="n"/>
      <c r="S529" s="6" t="n"/>
      <c r="T529" s="3" t="n"/>
      <c r="U529" s="3">
        <f>IF($E529="","",UPPER(SUBSTITUTE(SUBSTITUTE(SUBSTITUTE(SUBSTITUTE(SUBSTITUTE(SUBSTITUTE(SUBSTITUTE(SUBSTITUTE(SUBSTITUTE(SUBSTITUTE(SUBSTITUTE(SUBSTITUTE(SUBSTITUTE(SUBSTITUTE(SUBSTITUTE(SUBSTITUTE(SUBSTITUTE(SUBSTITUTE(TRIM($E529),"'",""),"İ","I"),"ı","I"),"i","I"),"Ş","S"),"ş","S"),"Ğ","G"),"ğ","G"),"Ü","U"),"ü","U"),"Ö","O"),"ö","O"),"Ç","C"),"ç","C"),".",""),",","")," ",""),"-","")))</f>
        <v/>
      </c>
    </row>
    <row r="530">
      <c r="A530" s="6" t="n"/>
      <c r="B530" s="113">
        <f>IF($E530="","","A"&amp;TEXT(ROW()-6,"00000"))</f>
        <v/>
      </c>
      <c r="C530" s="108" t="n"/>
      <c r="D530" s="113">
        <f>IF($E530="","",IFERROR(INDEX(MUSTERILER!$B$7:$B$106,MATCH($U530,MUSTERILER!$T$7:$T$106,0)),IFERROR(INDEX(MUSTERILER!$B$7:$B$106,MATCH($E530,MUSTERILER!$B$7:$B$106,0)),IFERROR(INDEX(MUSTERILER!$B$7:$B$106,MATCH($U530&amp;"*",MUSTERILER!$T$7:$T$106,0)),"TANIMSIZ MÜŞTERİ"))))</f>
        <v/>
      </c>
      <c r="E530" s="109" t="n"/>
      <c r="F530" s="109" t="n"/>
      <c r="G530" s="108" t="n"/>
      <c r="H530" s="220" t="n"/>
      <c r="I530" s="220" t="n"/>
      <c r="J530" s="108" t="n"/>
      <c r="K530" s="108" t="n"/>
      <c r="L530" s="109" t="n"/>
      <c r="M530" s="109" t="n"/>
      <c r="N530" s="109" t="n"/>
      <c r="O530" s="220" t="n"/>
      <c r="P530" s="227">
        <f>IF(OR($E530="",$I530=""),"",IF(OR($J530="Tamamlandı",$J530="İptal"),"",$I530-TODAY()))</f>
        <v/>
      </c>
      <c r="Q530" s="113">
        <f>IF($E530="","",IF($D530="TANIMSIZ MÜŞTERİ","HATA",IF(OR($J530="Tamamlandı",$J530="İptal"),"KAPALI",IF(AND($C530="Görüşme",$N530=""),"SONRAKİ İŞLEM EKSİK",IF($I530="","TARİH EKSİK",IF($I530&lt;TODAY(),"GECİKMİŞ",IF($I530=TODAY(),"BUGÜN",IF($I530&lt;=TODAY()+7,"7 GÜN İÇİNDE","PLANLI"))))))))</f>
        <v/>
      </c>
      <c r="R530" s="6" t="n"/>
      <c r="S530" s="6" t="n"/>
      <c r="T530" s="3" t="n"/>
      <c r="U530" s="3">
        <f>IF($E530="","",UPPER(SUBSTITUTE(SUBSTITUTE(SUBSTITUTE(SUBSTITUTE(SUBSTITUTE(SUBSTITUTE(SUBSTITUTE(SUBSTITUTE(SUBSTITUTE(SUBSTITUTE(SUBSTITUTE(SUBSTITUTE(SUBSTITUTE(SUBSTITUTE(SUBSTITUTE(SUBSTITUTE(SUBSTITUTE(SUBSTITUTE(TRIM($E530),"'",""),"İ","I"),"ı","I"),"i","I"),"Ş","S"),"ş","S"),"Ğ","G"),"ğ","G"),"Ü","U"),"ü","U"),"Ö","O"),"ö","O"),"Ç","C"),"ç","C"),".",""),",","")," ",""),"-","")))</f>
        <v/>
      </c>
    </row>
    <row r="531">
      <c r="A531" s="6" t="n"/>
      <c r="B531" s="113">
        <f>IF($E531="","","A"&amp;TEXT(ROW()-6,"00000"))</f>
        <v/>
      </c>
      <c r="C531" s="108" t="n"/>
      <c r="D531" s="113">
        <f>IF($E531="","",IFERROR(INDEX(MUSTERILER!$B$7:$B$106,MATCH($U531,MUSTERILER!$T$7:$T$106,0)),IFERROR(INDEX(MUSTERILER!$B$7:$B$106,MATCH($E531,MUSTERILER!$B$7:$B$106,0)),IFERROR(INDEX(MUSTERILER!$B$7:$B$106,MATCH($U531&amp;"*",MUSTERILER!$T$7:$T$106,0)),"TANIMSIZ MÜŞTERİ"))))</f>
        <v/>
      </c>
      <c r="E531" s="109" t="n"/>
      <c r="F531" s="109" t="n"/>
      <c r="G531" s="108" t="n"/>
      <c r="H531" s="220" t="n"/>
      <c r="I531" s="220" t="n"/>
      <c r="J531" s="108" t="n"/>
      <c r="K531" s="108" t="n"/>
      <c r="L531" s="109" t="n"/>
      <c r="M531" s="109" t="n"/>
      <c r="N531" s="109" t="n"/>
      <c r="O531" s="220" t="n"/>
      <c r="P531" s="227">
        <f>IF(OR($E531="",$I531=""),"",IF(OR($J531="Tamamlandı",$J531="İptal"),"",$I531-TODAY()))</f>
        <v/>
      </c>
      <c r="Q531" s="113">
        <f>IF($E531="","",IF($D531="TANIMSIZ MÜŞTERİ","HATA",IF(OR($J531="Tamamlandı",$J531="İptal"),"KAPALI",IF(AND($C531="Görüşme",$N531=""),"SONRAKİ İŞLEM EKSİK",IF($I531="","TARİH EKSİK",IF($I531&lt;TODAY(),"GECİKMİŞ",IF($I531=TODAY(),"BUGÜN",IF($I531&lt;=TODAY()+7,"7 GÜN İÇİNDE","PLANLI"))))))))</f>
        <v/>
      </c>
      <c r="R531" s="6" t="n"/>
      <c r="S531" s="6" t="n"/>
      <c r="T531" s="3" t="n"/>
      <c r="U531" s="3">
        <f>IF($E531="","",UPPER(SUBSTITUTE(SUBSTITUTE(SUBSTITUTE(SUBSTITUTE(SUBSTITUTE(SUBSTITUTE(SUBSTITUTE(SUBSTITUTE(SUBSTITUTE(SUBSTITUTE(SUBSTITUTE(SUBSTITUTE(SUBSTITUTE(SUBSTITUTE(SUBSTITUTE(SUBSTITUTE(SUBSTITUTE(SUBSTITUTE(TRIM($E531),"'",""),"İ","I"),"ı","I"),"i","I"),"Ş","S"),"ş","S"),"Ğ","G"),"ğ","G"),"Ü","U"),"ü","U"),"Ö","O"),"ö","O"),"Ç","C"),"ç","C"),".",""),",","")," ",""),"-","")))</f>
        <v/>
      </c>
    </row>
    <row r="532">
      <c r="A532" s="6" t="n"/>
      <c r="B532" s="113">
        <f>IF($E532="","","A"&amp;TEXT(ROW()-6,"00000"))</f>
        <v/>
      </c>
      <c r="C532" s="108" t="n"/>
      <c r="D532" s="113">
        <f>IF($E532="","",IFERROR(INDEX(MUSTERILER!$B$7:$B$106,MATCH($U532,MUSTERILER!$T$7:$T$106,0)),IFERROR(INDEX(MUSTERILER!$B$7:$B$106,MATCH($E532,MUSTERILER!$B$7:$B$106,0)),IFERROR(INDEX(MUSTERILER!$B$7:$B$106,MATCH($U532&amp;"*",MUSTERILER!$T$7:$T$106,0)),"TANIMSIZ MÜŞTERİ"))))</f>
        <v/>
      </c>
      <c r="E532" s="109" t="n"/>
      <c r="F532" s="109" t="n"/>
      <c r="G532" s="108" t="n"/>
      <c r="H532" s="220" t="n"/>
      <c r="I532" s="220" t="n"/>
      <c r="J532" s="108" t="n"/>
      <c r="K532" s="108" t="n"/>
      <c r="L532" s="109" t="n"/>
      <c r="M532" s="109" t="n"/>
      <c r="N532" s="109" t="n"/>
      <c r="O532" s="220" t="n"/>
      <c r="P532" s="227">
        <f>IF(OR($E532="",$I532=""),"",IF(OR($J532="Tamamlandı",$J532="İptal"),"",$I532-TODAY()))</f>
        <v/>
      </c>
      <c r="Q532" s="113">
        <f>IF($E532="","",IF($D532="TANIMSIZ MÜŞTERİ","HATA",IF(OR($J532="Tamamlandı",$J532="İptal"),"KAPALI",IF(AND($C532="Görüşme",$N532=""),"SONRAKİ İŞLEM EKSİK",IF($I532="","TARİH EKSİK",IF($I532&lt;TODAY(),"GECİKMİŞ",IF($I532=TODAY(),"BUGÜN",IF($I532&lt;=TODAY()+7,"7 GÜN İÇİNDE","PLANLI"))))))))</f>
        <v/>
      </c>
      <c r="R532" s="6" t="n"/>
      <c r="S532" s="6" t="n"/>
      <c r="T532" s="3" t="n"/>
      <c r="U532" s="3">
        <f>IF($E532="","",UPPER(SUBSTITUTE(SUBSTITUTE(SUBSTITUTE(SUBSTITUTE(SUBSTITUTE(SUBSTITUTE(SUBSTITUTE(SUBSTITUTE(SUBSTITUTE(SUBSTITUTE(SUBSTITUTE(SUBSTITUTE(SUBSTITUTE(SUBSTITUTE(SUBSTITUTE(SUBSTITUTE(SUBSTITUTE(SUBSTITUTE(TRIM($E532),"'",""),"İ","I"),"ı","I"),"i","I"),"Ş","S"),"ş","S"),"Ğ","G"),"ğ","G"),"Ü","U"),"ü","U"),"Ö","O"),"ö","O"),"Ç","C"),"ç","C"),".",""),",","")," ",""),"-","")))</f>
        <v/>
      </c>
    </row>
    <row r="533">
      <c r="A533" s="6" t="n"/>
      <c r="B533" s="113">
        <f>IF($E533="","","A"&amp;TEXT(ROW()-6,"00000"))</f>
        <v/>
      </c>
      <c r="C533" s="108" t="n"/>
      <c r="D533" s="113">
        <f>IF($E533="","",IFERROR(INDEX(MUSTERILER!$B$7:$B$106,MATCH($U533,MUSTERILER!$T$7:$T$106,0)),IFERROR(INDEX(MUSTERILER!$B$7:$B$106,MATCH($E533,MUSTERILER!$B$7:$B$106,0)),IFERROR(INDEX(MUSTERILER!$B$7:$B$106,MATCH($U533&amp;"*",MUSTERILER!$T$7:$T$106,0)),"TANIMSIZ MÜŞTERİ"))))</f>
        <v/>
      </c>
      <c r="E533" s="109" t="n"/>
      <c r="F533" s="109" t="n"/>
      <c r="G533" s="108" t="n"/>
      <c r="H533" s="220" t="n"/>
      <c r="I533" s="220" t="n"/>
      <c r="J533" s="108" t="n"/>
      <c r="K533" s="108" t="n"/>
      <c r="L533" s="109" t="n"/>
      <c r="M533" s="109" t="n"/>
      <c r="N533" s="109" t="n"/>
      <c r="O533" s="220" t="n"/>
      <c r="P533" s="227">
        <f>IF(OR($E533="",$I533=""),"",IF(OR($J533="Tamamlandı",$J533="İptal"),"",$I533-TODAY()))</f>
        <v/>
      </c>
      <c r="Q533" s="113">
        <f>IF($E533="","",IF($D533="TANIMSIZ MÜŞTERİ","HATA",IF(OR($J533="Tamamlandı",$J533="İptal"),"KAPALI",IF(AND($C533="Görüşme",$N533=""),"SONRAKİ İŞLEM EKSİK",IF($I533="","TARİH EKSİK",IF($I533&lt;TODAY(),"GECİKMİŞ",IF($I533=TODAY(),"BUGÜN",IF($I533&lt;=TODAY()+7,"7 GÜN İÇİNDE","PLANLI"))))))))</f>
        <v/>
      </c>
      <c r="R533" s="6" t="n"/>
      <c r="S533" s="6" t="n"/>
      <c r="T533" s="3" t="n"/>
      <c r="U533" s="3">
        <f>IF($E533="","",UPPER(SUBSTITUTE(SUBSTITUTE(SUBSTITUTE(SUBSTITUTE(SUBSTITUTE(SUBSTITUTE(SUBSTITUTE(SUBSTITUTE(SUBSTITUTE(SUBSTITUTE(SUBSTITUTE(SUBSTITUTE(SUBSTITUTE(SUBSTITUTE(SUBSTITUTE(SUBSTITUTE(SUBSTITUTE(SUBSTITUTE(TRIM($E533),"'",""),"İ","I"),"ı","I"),"i","I"),"Ş","S"),"ş","S"),"Ğ","G"),"ğ","G"),"Ü","U"),"ü","U"),"Ö","O"),"ö","O"),"Ç","C"),"ç","C"),".",""),",","")," ",""),"-","")))</f>
        <v/>
      </c>
    </row>
    <row r="534">
      <c r="A534" s="6" t="n"/>
      <c r="B534" s="113">
        <f>IF($E534="","","A"&amp;TEXT(ROW()-6,"00000"))</f>
        <v/>
      </c>
      <c r="C534" s="108" t="n"/>
      <c r="D534" s="113">
        <f>IF($E534="","",IFERROR(INDEX(MUSTERILER!$B$7:$B$106,MATCH($U534,MUSTERILER!$T$7:$T$106,0)),IFERROR(INDEX(MUSTERILER!$B$7:$B$106,MATCH($E534,MUSTERILER!$B$7:$B$106,0)),IFERROR(INDEX(MUSTERILER!$B$7:$B$106,MATCH($U534&amp;"*",MUSTERILER!$T$7:$T$106,0)),"TANIMSIZ MÜŞTERİ"))))</f>
        <v/>
      </c>
      <c r="E534" s="109" t="n"/>
      <c r="F534" s="109" t="n"/>
      <c r="G534" s="108" t="n"/>
      <c r="H534" s="220" t="n"/>
      <c r="I534" s="220" t="n"/>
      <c r="J534" s="108" t="n"/>
      <c r="K534" s="108" t="n"/>
      <c r="L534" s="109" t="n"/>
      <c r="M534" s="109" t="n"/>
      <c r="N534" s="109" t="n"/>
      <c r="O534" s="220" t="n"/>
      <c r="P534" s="227">
        <f>IF(OR($E534="",$I534=""),"",IF(OR($J534="Tamamlandı",$J534="İptal"),"",$I534-TODAY()))</f>
        <v/>
      </c>
      <c r="Q534" s="113">
        <f>IF($E534="","",IF($D534="TANIMSIZ MÜŞTERİ","HATA",IF(OR($J534="Tamamlandı",$J534="İptal"),"KAPALI",IF(AND($C534="Görüşme",$N534=""),"SONRAKİ İŞLEM EKSİK",IF($I534="","TARİH EKSİK",IF($I534&lt;TODAY(),"GECİKMİŞ",IF($I534=TODAY(),"BUGÜN",IF($I534&lt;=TODAY()+7,"7 GÜN İÇİNDE","PLANLI"))))))))</f>
        <v/>
      </c>
      <c r="R534" s="6" t="n"/>
      <c r="S534" s="6" t="n"/>
      <c r="T534" s="3" t="n"/>
      <c r="U534" s="3">
        <f>IF($E534="","",UPPER(SUBSTITUTE(SUBSTITUTE(SUBSTITUTE(SUBSTITUTE(SUBSTITUTE(SUBSTITUTE(SUBSTITUTE(SUBSTITUTE(SUBSTITUTE(SUBSTITUTE(SUBSTITUTE(SUBSTITUTE(SUBSTITUTE(SUBSTITUTE(SUBSTITUTE(SUBSTITUTE(SUBSTITUTE(SUBSTITUTE(TRIM($E534),"'",""),"İ","I"),"ı","I"),"i","I"),"Ş","S"),"ş","S"),"Ğ","G"),"ğ","G"),"Ü","U"),"ü","U"),"Ö","O"),"ö","O"),"Ç","C"),"ç","C"),".",""),",","")," ",""),"-","")))</f>
        <v/>
      </c>
    </row>
    <row r="535">
      <c r="A535" s="6" t="n"/>
      <c r="B535" s="113">
        <f>IF($E535="","","A"&amp;TEXT(ROW()-6,"00000"))</f>
        <v/>
      </c>
      <c r="C535" s="108" t="n"/>
      <c r="D535" s="113">
        <f>IF($E535="","",IFERROR(INDEX(MUSTERILER!$B$7:$B$106,MATCH($U535,MUSTERILER!$T$7:$T$106,0)),IFERROR(INDEX(MUSTERILER!$B$7:$B$106,MATCH($E535,MUSTERILER!$B$7:$B$106,0)),IFERROR(INDEX(MUSTERILER!$B$7:$B$106,MATCH($U535&amp;"*",MUSTERILER!$T$7:$T$106,0)),"TANIMSIZ MÜŞTERİ"))))</f>
        <v/>
      </c>
      <c r="E535" s="109" t="n"/>
      <c r="F535" s="109" t="n"/>
      <c r="G535" s="108" t="n"/>
      <c r="H535" s="220" t="n"/>
      <c r="I535" s="220" t="n"/>
      <c r="J535" s="108" t="n"/>
      <c r="K535" s="108" t="n"/>
      <c r="L535" s="109" t="n"/>
      <c r="M535" s="109" t="n"/>
      <c r="N535" s="109" t="n"/>
      <c r="O535" s="220" t="n"/>
      <c r="P535" s="227">
        <f>IF(OR($E535="",$I535=""),"",IF(OR($J535="Tamamlandı",$J535="İptal"),"",$I535-TODAY()))</f>
        <v/>
      </c>
      <c r="Q535" s="113">
        <f>IF($E535="","",IF($D535="TANIMSIZ MÜŞTERİ","HATA",IF(OR($J535="Tamamlandı",$J535="İptal"),"KAPALI",IF(AND($C535="Görüşme",$N535=""),"SONRAKİ İŞLEM EKSİK",IF($I535="","TARİH EKSİK",IF($I535&lt;TODAY(),"GECİKMİŞ",IF($I535=TODAY(),"BUGÜN",IF($I535&lt;=TODAY()+7,"7 GÜN İÇİNDE","PLANLI"))))))))</f>
        <v/>
      </c>
      <c r="R535" s="6" t="n"/>
      <c r="S535" s="6" t="n"/>
      <c r="T535" s="3" t="n"/>
      <c r="U535" s="3">
        <f>IF($E535="","",UPPER(SUBSTITUTE(SUBSTITUTE(SUBSTITUTE(SUBSTITUTE(SUBSTITUTE(SUBSTITUTE(SUBSTITUTE(SUBSTITUTE(SUBSTITUTE(SUBSTITUTE(SUBSTITUTE(SUBSTITUTE(SUBSTITUTE(SUBSTITUTE(SUBSTITUTE(SUBSTITUTE(SUBSTITUTE(SUBSTITUTE(TRIM($E535),"'",""),"İ","I"),"ı","I"),"i","I"),"Ş","S"),"ş","S"),"Ğ","G"),"ğ","G"),"Ü","U"),"ü","U"),"Ö","O"),"ö","O"),"Ç","C"),"ç","C"),".",""),",","")," ",""),"-","")))</f>
        <v/>
      </c>
    </row>
    <row r="536">
      <c r="A536" s="6" t="n"/>
      <c r="B536" s="113">
        <f>IF($E536="","","A"&amp;TEXT(ROW()-6,"00000"))</f>
        <v/>
      </c>
      <c r="C536" s="108" t="n"/>
      <c r="D536" s="113">
        <f>IF($E536="","",IFERROR(INDEX(MUSTERILER!$B$7:$B$106,MATCH($U536,MUSTERILER!$T$7:$T$106,0)),IFERROR(INDEX(MUSTERILER!$B$7:$B$106,MATCH($E536,MUSTERILER!$B$7:$B$106,0)),IFERROR(INDEX(MUSTERILER!$B$7:$B$106,MATCH($U536&amp;"*",MUSTERILER!$T$7:$T$106,0)),"TANIMSIZ MÜŞTERİ"))))</f>
        <v/>
      </c>
      <c r="E536" s="109" t="n"/>
      <c r="F536" s="109" t="n"/>
      <c r="G536" s="108" t="n"/>
      <c r="H536" s="220" t="n"/>
      <c r="I536" s="220" t="n"/>
      <c r="J536" s="108" t="n"/>
      <c r="K536" s="108" t="n"/>
      <c r="L536" s="109" t="n"/>
      <c r="M536" s="109" t="n"/>
      <c r="N536" s="109" t="n"/>
      <c r="O536" s="220" t="n"/>
      <c r="P536" s="227">
        <f>IF(OR($E536="",$I536=""),"",IF(OR($J536="Tamamlandı",$J536="İptal"),"",$I536-TODAY()))</f>
        <v/>
      </c>
      <c r="Q536" s="113">
        <f>IF($E536="","",IF($D536="TANIMSIZ MÜŞTERİ","HATA",IF(OR($J536="Tamamlandı",$J536="İptal"),"KAPALI",IF(AND($C536="Görüşme",$N536=""),"SONRAKİ İŞLEM EKSİK",IF($I536="","TARİH EKSİK",IF($I536&lt;TODAY(),"GECİKMİŞ",IF($I536=TODAY(),"BUGÜN",IF($I536&lt;=TODAY()+7,"7 GÜN İÇİNDE","PLANLI"))))))))</f>
        <v/>
      </c>
      <c r="R536" s="6" t="n"/>
      <c r="S536" s="6" t="n"/>
      <c r="T536" s="3" t="n"/>
      <c r="U536" s="3">
        <f>IF($E536="","",UPPER(SUBSTITUTE(SUBSTITUTE(SUBSTITUTE(SUBSTITUTE(SUBSTITUTE(SUBSTITUTE(SUBSTITUTE(SUBSTITUTE(SUBSTITUTE(SUBSTITUTE(SUBSTITUTE(SUBSTITUTE(SUBSTITUTE(SUBSTITUTE(SUBSTITUTE(SUBSTITUTE(SUBSTITUTE(SUBSTITUTE(TRIM($E536),"'",""),"İ","I"),"ı","I"),"i","I"),"Ş","S"),"ş","S"),"Ğ","G"),"ğ","G"),"Ü","U"),"ü","U"),"Ö","O"),"ö","O"),"Ç","C"),"ç","C"),".",""),",","")," ",""),"-","")))</f>
        <v/>
      </c>
    </row>
    <row r="537">
      <c r="A537" s="6" t="n"/>
      <c r="B537" s="113">
        <f>IF($E537="","","A"&amp;TEXT(ROW()-6,"00000"))</f>
        <v/>
      </c>
      <c r="C537" s="108" t="n"/>
      <c r="D537" s="113">
        <f>IF($E537="","",IFERROR(INDEX(MUSTERILER!$B$7:$B$106,MATCH($U537,MUSTERILER!$T$7:$T$106,0)),IFERROR(INDEX(MUSTERILER!$B$7:$B$106,MATCH($E537,MUSTERILER!$B$7:$B$106,0)),IFERROR(INDEX(MUSTERILER!$B$7:$B$106,MATCH($U537&amp;"*",MUSTERILER!$T$7:$T$106,0)),"TANIMSIZ MÜŞTERİ"))))</f>
        <v/>
      </c>
      <c r="E537" s="109" t="n"/>
      <c r="F537" s="109" t="n"/>
      <c r="G537" s="108" t="n"/>
      <c r="H537" s="220" t="n"/>
      <c r="I537" s="220" t="n"/>
      <c r="J537" s="108" t="n"/>
      <c r="K537" s="108" t="n"/>
      <c r="L537" s="109" t="n"/>
      <c r="M537" s="109" t="n"/>
      <c r="N537" s="109" t="n"/>
      <c r="O537" s="220" t="n"/>
      <c r="P537" s="227">
        <f>IF(OR($E537="",$I537=""),"",IF(OR($J537="Tamamlandı",$J537="İptal"),"",$I537-TODAY()))</f>
        <v/>
      </c>
      <c r="Q537" s="113">
        <f>IF($E537="","",IF($D537="TANIMSIZ MÜŞTERİ","HATA",IF(OR($J537="Tamamlandı",$J537="İptal"),"KAPALI",IF(AND($C537="Görüşme",$N537=""),"SONRAKİ İŞLEM EKSİK",IF($I537="","TARİH EKSİK",IF($I537&lt;TODAY(),"GECİKMİŞ",IF($I537=TODAY(),"BUGÜN",IF($I537&lt;=TODAY()+7,"7 GÜN İÇİNDE","PLANLI"))))))))</f>
        <v/>
      </c>
      <c r="R537" s="6" t="n"/>
      <c r="S537" s="6" t="n"/>
      <c r="T537" s="3" t="n"/>
      <c r="U537" s="3">
        <f>IF($E537="","",UPPER(SUBSTITUTE(SUBSTITUTE(SUBSTITUTE(SUBSTITUTE(SUBSTITUTE(SUBSTITUTE(SUBSTITUTE(SUBSTITUTE(SUBSTITUTE(SUBSTITUTE(SUBSTITUTE(SUBSTITUTE(SUBSTITUTE(SUBSTITUTE(SUBSTITUTE(SUBSTITUTE(SUBSTITUTE(SUBSTITUTE(TRIM($E537),"'",""),"İ","I"),"ı","I"),"i","I"),"Ş","S"),"ş","S"),"Ğ","G"),"ğ","G"),"Ü","U"),"ü","U"),"Ö","O"),"ö","O"),"Ç","C"),"ç","C"),".",""),",","")," ",""),"-","")))</f>
        <v/>
      </c>
    </row>
    <row r="538">
      <c r="A538" s="6" t="n"/>
      <c r="B538" s="113">
        <f>IF($E538="","","A"&amp;TEXT(ROW()-6,"00000"))</f>
        <v/>
      </c>
      <c r="C538" s="108" t="n"/>
      <c r="D538" s="113">
        <f>IF($E538="","",IFERROR(INDEX(MUSTERILER!$B$7:$B$106,MATCH($U538,MUSTERILER!$T$7:$T$106,0)),IFERROR(INDEX(MUSTERILER!$B$7:$B$106,MATCH($E538,MUSTERILER!$B$7:$B$106,0)),IFERROR(INDEX(MUSTERILER!$B$7:$B$106,MATCH($U538&amp;"*",MUSTERILER!$T$7:$T$106,0)),"TANIMSIZ MÜŞTERİ"))))</f>
        <v/>
      </c>
      <c r="E538" s="109" t="n"/>
      <c r="F538" s="109" t="n"/>
      <c r="G538" s="108" t="n"/>
      <c r="H538" s="220" t="n"/>
      <c r="I538" s="220" t="n"/>
      <c r="J538" s="108" t="n"/>
      <c r="K538" s="108" t="n"/>
      <c r="L538" s="109" t="n"/>
      <c r="M538" s="109" t="n"/>
      <c r="N538" s="109" t="n"/>
      <c r="O538" s="220" t="n"/>
      <c r="P538" s="227">
        <f>IF(OR($E538="",$I538=""),"",IF(OR($J538="Tamamlandı",$J538="İptal"),"",$I538-TODAY()))</f>
        <v/>
      </c>
      <c r="Q538" s="113">
        <f>IF($E538="","",IF($D538="TANIMSIZ MÜŞTERİ","HATA",IF(OR($J538="Tamamlandı",$J538="İptal"),"KAPALI",IF(AND($C538="Görüşme",$N538=""),"SONRAKİ İŞLEM EKSİK",IF($I538="","TARİH EKSİK",IF($I538&lt;TODAY(),"GECİKMİŞ",IF($I538=TODAY(),"BUGÜN",IF($I538&lt;=TODAY()+7,"7 GÜN İÇİNDE","PLANLI"))))))))</f>
        <v/>
      </c>
      <c r="R538" s="6" t="n"/>
      <c r="S538" s="6" t="n"/>
      <c r="T538" s="3" t="n"/>
      <c r="U538" s="3">
        <f>IF($E538="","",UPPER(SUBSTITUTE(SUBSTITUTE(SUBSTITUTE(SUBSTITUTE(SUBSTITUTE(SUBSTITUTE(SUBSTITUTE(SUBSTITUTE(SUBSTITUTE(SUBSTITUTE(SUBSTITUTE(SUBSTITUTE(SUBSTITUTE(SUBSTITUTE(SUBSTITUTE(SUBSTITUTE(SUBSTITUTE(SUBSTITUTE(TRIM($E538),"'",""),"İ","I"),"ı","I"),"i","I"),"Ş","S"),"ş","S"),"Ğ","G"),"ğ","G"),"Ü","U"),"ü","U"),"Ö","O"),"ö","O"),"Ç","C"),"ç","C"),".",""),",","")," ",""),"-","")))</f>
        <v/>
      </c>
    </row>
    <row r="539">
      <c r="A539" s="6" t="n"/>
      <c r="B539" s="113">
        <f>IF($E539="","","A"&amp;TEXT(ROW()-6,"00000"))</f>
        <v/>
      </c>
      <c r="C539" s="108" t="n"/>
      <c r="D539" s="113">
        <f>IF($E539="","",IFERROR(INDEX(MUSTERILER!$B$7:$B$106,MATCH($U539,MUSTERILER!$T$7:$T$106,0)),IFERROR(INDEX(MUSTERILER!$B$7:$B$106,MATCH($E539,MUSTERILER!$B$7:$B$106,0)),IFERROR(INDEX(MUSTERILER!$B$7:$B$106,MATCH($U539&amp;"*",MUSTERILER!$T$7:$T$106,0)),"TANIMSIZ MÜŞTERİ"))))</f>
        <v/>
      </c>
      <c r="E539" s="109" t="n"/>
      <c r="F539" s="109" t="n"/>
      <c r="G539" s="108" t="n"/>
      <c r="H539" s="220" t="n"/>
      <c r="I539" s="220" t="n"/>
      <c r="J539" s="108" t="n"/>
      <c r="K539" s="108" t="n"/>
      <c r="L539" s="109" t="n"/>
      <c r="M539" s="109" t="n"/>
      <c r="N539" s="109" t="n"/>
      <c r="O539" s="220" t="n"/>
      <c r="P539" s="227">
        <f>IF(OR($E539="",$I539=""),"",IF(OR($J539="Tamamlandı",$J539="İptal"),"",$I539-TODAY()))</f>
        <v/>
      </c>
      <c r="Q539" s="113">
        <f>IF($E539="","",IF($D539="TANIMSIZ MÜŞTERİ","HATA",IF(OR($J539="Tamamlandı",$J539="İptal"),"KAPALI",IF(AND($C539="Görüşme",$N539=""),"SONRAKİ İŞLEM EKSİK",IF($I539="","TARİH EKSİK",IF($I539&lt;TODAY(),"GECİKMİŞ",IF($I539=TODAY(),"BUGÜN",IF($I539&lt;=TODAY()+7,"7 GÜN İÇİNDE","PLANLI"))))))))</f>
        <v/>
      </c>
      <c r="R539" s="6" t="n"/>
      <c r="S539" s="6" t="n"/>
      <c r="T539" s="3" t="n"/>
      <c r="U539" s="3">
        <f>IF($E539="","",UPPER(SUBSTITUTE(SUBSTITUTE(SUBSTITUTE(SUBSTITUTE(SUBSTITUTE(SUBSTITUTE(SUBSTITUTE(SUBSTITUTE(SUBSTITUTE(SUBSTITUTE(SUBSTITUTE(SUBSTITUTE(SUBSTITUTE(SUBSTITUTE(SUBSTITUTE(SUBSTITUTE(SUBSTITUTE(SUBSTITUTE(TRIM($E539),"'",""),"İ","I"),"ı","I"),"i","I"),"Ş","S"),"ş","S"),"Ğ","G"),"ğ","G"),"Ü","U"),"ü","U"),"Ö","O"),"ö","O"),"Ç","C"),"ç","C"),".",""),",","")," ",""),"-","")))</f>
        <v/>
      </c>
    </row>
    <row r="540">
      <c r="A540" s="6" t="n"/>
      <c r="B540" s="113">
        <f>IF($E540="","","A"&amp;TEXT(ROW()-6,"00000"))</f>
        <v/>
      </c>
      <c r="C540" s="108" t="n"/>
      <c r="D540" s="113">
        <f>IF($E540="","",IFERROR(INDEX(MUSTERILER!$B$7:$B$106,MATCH($U540,MUSTERILER!$T$7:$T$106,0)),IFERROR(INDEX(MUSTERILER!$B$7:$B$106,MATCH($E540,MUSTERILER!$B$7:$B$106,0)),IFERROR(INDEX(MUSTERILER!$B$7:$B$106,MATCH($U540&amp;"*",MUSTERILER!$T$7:$T$106,0)),"TANIMSIZ MÜŞTERİ"))))</f>
        <v/>
      </c>
      <c r="E540" s="109" t="n"/>
      <c r="F540" s="109" t="n"/>
      <c r="G540" s="108" t="n"/>
      <c r="H540" s="220" t="n"/>
      <c r="I540" s="220" t="n"/>
      <c r="J540" s="108" t="n"/>
      <c r="K540" s="108" t="n"/>
      <c r="L540" s="109" t="n"/>
      <c r="M540" s="109" t="n"/>
      <c r="N540" s="109" t="n"/>
      <c r="O540" s="220" t="n"/>
      <c r="P540" s="227">
        <f>IF(OR($E540="",$I540=""),"",IF(OR($J540="Tamamlandı",$J540="İptal"),"",$I540-TODAY()))</f>
        <v/>
      </c>
      <c r="Q540" s="113">
        <f>IF($E540="","",IF($D540="TANIMSIZ MÜŞTERİ","HATA",IF(OR($J540="Tamamlandı",$J540="İptal"),"KAPALI",IF(AND($C540="Görüşme",$N540=""),"SONRAKİ İŞLEM EKSİK",IF($I540="","TARİH EKSİK",IF($I540&lt;TODAY(),"GECİKMİŞ",IF($I540=TODAY(),"BUGÜN",IF($I540&lt;=TODAY()+7,"7 GÜN İÇİNDE","PLANLI"))))))))</f>
        <v/>
      </c>
      <c r="R540" s="6" t="n"/>
      <c r="S540" s="6" t="n"/>
      <c r="T540" s="3" t="n"/>
      <c r="U540" s="3">
        <f>IF($E540="","",UPPER(SUBSTITUTE(SUBSTITUTE(SUBSTITUTE(SUBSTITUTE(SUBSTITUTE(SUBSTITUTE(SUBSTITUTE(SUBSTITUTE(SUBSTITUTE(SUBSTITUTE(SUBSTITUTE(SUBSTITUTE(SUBSTITUTE(SUBSTITUTE(SUBSTITUTE(SUBSTITUTE(SUBSTITUTE(SUBSTITUTE(TRIM($E540),"'",""),"İ","I"),"ı","I"),"i","I"),"Ş","S"),"ş","S"),"Ğ","G"),"ğ","G"),"Ü","U"),"ü","U"),"Ö","O"),"ö","O"),"Ç","C"),"ç","C"),".",""),",","")," ",""),"-","")))</f>
        <v/>
      </c>
    </row>
    <row r="541">
      <c r="A541" s="6" t="n"/>
      <c r="B541" s="113">
        <f>IF($E541="","","A"&amp;TEXT(ROW()-6,"00000"))</f>
        <v/>
      </c>
      <c r="C541" s="108" t="n"/>
      <c r="D541" s="113">
        <f>IF($E541="","",IFERROR(INDEX(MUSTERILER!$B$7:$B$106,MATCH($U541,MUSTERILER!$T$7:$T$106,0)),IFERROR(INDEX(MUSTERILER!$B$7:$B$106,MATCH($E541,MUSTERILER!$B$7:$B$106,0)),IFERROR(INDEX(MUSTERILER!$B$7:$B$106,MATCH($U541&amp;"*",MUSTERILER!$T$7:$T$106,0)),"TANIMSIZ MÜŞTERİ"))))</f>
        <v/>
      </c>
      <c r="E541" s="109" t="n"/>
      <c r="F541" s="109" t="n"/>
      <c r="G541" s="108" t="n"/>
      <c r="H541" s="220" t="n"/>
      <c r="I541" s="220" t="n"/>
      <c r="J541" s="108" t="n"/>
      <c r="K541" s="108" t="n"/>
      <c r="L541" s="109" t="n"/>
      <c r="M541" s="109" t="n"/>
      <c r="N541" s="109" t="n"/>
      <c r="O541" s="220" t="n"/>
      <c r="P541" s="227">
        <f>IF(OR($E541="",$I541=""),"",IF(OR($J541="Tamamlandı",$J541="İptal"),"",$I541-TODAY()))</f>
        <v/>
      </c>
      <c r="Q541" s="113">
        <f>IF($E541="","",IF($D541="TANIMSIZ MÜŞTERİ","HATA",IF(OR($J541="Tamamlandı",$J541="İptal"),"KAPALI",IF(AND($C541="Görüşme",$N541=""),"SONRAKİ İŞLEM EKSİK",IF($I541="","TARİH EKSİK",IF($I541&lt;TODAY(),"GECİKMİŞ",IF($I541=TODAY(),"BUGÜN",IF($I541&lt;=TODAY()+7,"7 GÜN İÇİNDE","PLANLI"))))))))</f>
        <v/>
      </c>
      <c r="R541" s="6" t="n"/>
      <c r="S541" s="6" t="n"/>
      <c r="T541" s="3" t="n"/>
      <c r="U541" s="3">
        <f>IF($E541="","",UPPER(SUBSTITUTE(SUBSTITUTE(SUBSTITUTE(SUBSTITUTE(SUBSTITUTE(SUBSTITUTE(SUBSTITUTE(SUBSTITUTE(SUBSTITUTE(SUBSTITUTE(SUBSTITUTE(SUBSTITUTE(SUBSTITUTE(SUBSTITUTE(SUBSTITUTE(SUBSTITUTE(SUBSTITUTE(SUBSTITUTE(TRIM($E541),"'",""),"İ","I"),"ı","I"),"i","I"),"Ş","S"),"ş","S"),"Ğ","G"),"ğ","G"),"Ü","U"),"ü","U"),"Ö","O"),"ö","O"),"Ç","C"),"ç","C"),".",""),",","")," ",""),"-","")))</f>
        <v/>
      </c>
    </row>
    <row r="542">
      <c r="A542" s="6" t="n"/>
      <c r="B542" s="113">
        <f>IF($E542="","","A"&amp;TEXT(ROW()-6,"00000"))</f>
        <v/>
      </c>
      <c r="C542" s="108" t="n"/>
      <c r="D542" s="113">
        <f>IF($E542="","",IFERROR(INDEX(MUSTERILER!$B$7:$B$106,MATCH($U542,MUSTERILER!$T$7:$T$106,0)),IFERROR(INDEX(MUSTERILER!$B$7:$B$106,MATCH($E542,MUSTERILER!$B$7:$B$106,0)),IFERROR(INDEX(MUSTERILER!$B$7:$B$106,MATCH($U542&amp;"*",MUSTERILER!$T$7:$T$106,0)),"TANIMSIZ MÜŞTERİ"))))</f>
        <v/>
      </c>
      <c r="E542" s="109" t="n"/>
      <c r="F542" s="109" t="n"/>
      <c r="G542" s="108" t="n"/>
      <c r="H542" s="220" t="n"/>
      <c r="I542" s="220" t="n"/>
      <c r="J542" s="108" t="n"/>
      <c r="K542" s="108" t="n"/>
      <c r="L542" s="109" t="n"/>
      <c r="M542" s="109" t="n"/>
      <c r="N542" s="109" t="n"/>
      <c r="O542" s="220" t="n"/>
      <c r="P542" s="227">
        <f>IF(OR($E542="",$I542=""),"",IF(OR($J542="Tamamlandı",$J542="İptal"),"",$I542-TODAY()))</f>
        <v/>
      </c>
      <c r="Q542" s="113">
        <f>IF($E542="","",IF($D542="TANIMSIZ MÜŞTERİ","HATA",IF(OR($J542="Tamamlandı",$J542="İptal"),"KAPALI",IF(AND($C542="Görüşme",$N542=""),"SONRAKİ İŞLEM EKSİK",IF($I542="","TARİH EKSİK",IF($I542&lt;TODAY(),"GECİKMİŞ",IF($I542=TODAY(),"BUGÜN",IF($I542&lt;=TODAY()+7,"7 GÜN İÇİNDE","PLANLI"))))))))</f>
        <v/>
      </c>
      <c r="R542" s="6" t="n"/>
      <c r="S542" s="6" t="n"/>
      <c r="T542" s="3" t="n"/>
      <c r="U542" s="3">
        <f>IF($E542="","",UPPER(SUBSTITUTE(SUBSTITUTE(SUBSTITUTE(SUBSTITUTE(SUBSTITUTE(SUBSTITUTE(SUBSTITUTE(SUBSTITUTE(SUBSTITUTE(SUBSTITUTE(SUBSTITUTE(SUBSTITUTE(SUBSTITUTE(SUBSTITUTE(SUBSTITUTE(SUBSTITUTE(SUBSTITUTE(SUBSTITUTE(TRIM($E542),"'",""),"İ","I"),"ı","I"),"i","I"),"Ş","S"),"ş","S"),"Ğ","G"),"ğ","G"),"Ü","U"),"ü","U"),"Ö","O"),"ö","O"),"Ç","C"),"ç","C"),".",""),",","")," ",""),"-","")))</f>
        <v/>
      </c>
    </row>
    <row r="543">
      <c r="A543" s="6" t="n"/>
      <c r="B543" s="113">
        <f>IF($E543="","","A"&amp;TEXT(ROW()-6,"00000"))</f>
        <v/>
      </c>
      <c r="C543" s="108" t="n"/>
      <c r="D543" s="113">
        <f>IF($E543="","",IFERROR(INDEX(MUSTERILER!$B$7:$B$106,MATCH($U543,MUSTERILER!$T$7:$T$106,0)),IFERROR(INDEX(MUSTERILER!$B$7:$B$106,MATCH($E543,MUSTERILER!$B$7:$B$106,0)),IFERROR(INDEX(MUSTERILER!$B$7:$B$106,MATCH($U543&amp;"*",MUSTERILER!$T$7:$T$106,0)),"TANIMSIZ MÜŞTERİ"))))</f>
        <v/>
      </c>
      <c r="E543" s="109" t="n"/>
      <c r="F543" s="109" t="n"/>
      <c r="G543" s="108" t="n"/>
      <c r="H543" s="220" t="n"/>
      <c r="I543" s="220" t="n"/>
      <c r="J543" s="108" t="n"/>
      <c r="K543" s="108" t="n"/>
      <c r="L543" s="109" t="n"/>
      <c r="M543" s="109" t="n"/>
      <c r="N543" s="109" t="n"/>
      <c r="O543" s="220" t="n"/>
      <c r="P543" s="227">
        <f>IF(OR($E543="",$I543=""),"",IF(OR($J543="Tamamlandı",$J543="İptal"),"",$I543-TODAY()))</f>
        <v/>
      </c>
      <c r="Q543" s="113">
        <f>IF($E543="","",IF($D543="TANIMSIZ MÜŞTERİ","HATA",IF(OR($J543="Tamamlandı",$J543="İptal"),"KAPALI",IF(AND($C543="Görüşme",$N543=""),"SONRAKİ İŞLEM EKSİK",IF($I543="","TARİH EKSİK",IF($I543&lt;TODAY(),"GECİKMİŞ",IF($I543=TODAY(),"BUGÜN",IF($I543&lt;=TODAY()+7,"7 GÜN İÇİNDE","PLANLI"))))))))</f>
        <v/>
      </c>
      <c r="R543" s="6" t="n"/>
      <c r="S543" s="6" t="n"/>
      <c r="T543" s="3" t="n"/>
      <c r="U543" s="3">
        <f>IF($E543="","",UPPER(SUBSTITUTE(SUBSTITUTE(SUBSTITUTE(SUBSTITUTE(SUBSTITUTE(SUBSTITUTE(SUBSTITUTE(SUBSTITUTE(SUBSTITUTE(SUBSTITUTE(SUBSTITUTE(SUBSTITUTE(SUBSTITUTE(SUBSTITUTE(SUBSTITUTE(SUBSTITUTE(SUBSTITUTE(SUBSTITUTE(TRIM($E543),"'",""),"İ","I"),"ı","I"),"i","I"),"Ş","S"),"ş","S"),"Ğ","G"),"ğ","G"),"Ü","U"),"ü","U"),"Ö","O"),"ö","O"),"Ç","C"),"ç","C"),".",""),",","")," ",""),"-","")))</f>
        <v/>
      </c>
    </row>
    <row r="544">
      <c r="A544" s="6" t="n"/>
      <c r="B544" s="113">
        <f>IF($E544="","","A"&amp;TEXT(ROW()-6,"00000"))</f>
        <v/>
      </c>
      <c r="C544" s="108" t="n"/>
      <c r="D544" s="113">
        <f>IF($E544="","",IFERROR(INDEX(MUSTERILER!$B$7:$B$106,MATCH($U544,MUSTERILER!$T$7:$T$106,0)),IFERROR(INDEX(MUSTERILER!$B$7:$B$106,MATCH($E544,MUSTERILER!$B$7:$B$106,0)),IFERROR(INDEX(MUSTERILER!$B$7:$B$106,MATCH($U544&amp;"*",MUSTERILER!$T$7:$T$106,0)),"TANIMSIZ MÜŞTERİ"))))</f>
        <v/>
      </c>
      <c r="E544" s="109" t="n"/>
      <c r="F544" s="109" t="n"/>
      <c r="G544" s="108" t="n"/>
      <c r="H544" s="220" t="n"/>
      <c r="I544" s="220" t="n"/>
      <c r="J544" s="108" t="n"/>
      <c r="K544" s="108" t="n"/>
      <c r="L544" s="109" t="n"/>
      <c r="M544" s="109" t="n"/>
      <c r="N544" s="109" t="n"/>
      <c r="O544" s="220" t="n"/>
      <c r="P544" s="227">
        <f>IF(OR($E544="",$I544=""),"",IF(OR($J544="Tamamlandı",$J544="İptal"),"",$I544-TODAY()))</f>
        <v/>
      </c>
      <c r="Q544" s="113">
        <f>IF($E544="","",IF($D544="TANIMSIZ MÜŞTERİ","HATA",IF(OR($J544="Tamamlandı",$J544="İptal"),"KAPALI",IF(AND($C544="Görüşme",$N544=""),"SONRAKİ İŞLEM EKSİK",IF($I544="","TARİH EKSİK",IF($I544&lt;TODAY(),"GECİKMİŞ",IF($I544=TODAY(),"BUGÜN",IF($I544&lt;=TODAY()+7,"7 GÜN İÇİNDE","PLANLI"))))))))</f>
        <v/>
      </c>
      <c r="R544" s="6" t="n"/>
      <c r="S544" s="6" t="n"/>
      <c r="T544" s="3" t="n"/>
      <c r="U544" s="3">
        <f>IF($E544="","",UPPER(SUBSTITUTE(SUBSTITUTE(SUBSTITUTE(SUBSTITUTE(SUBSTITUTE(SUBSTITUTE(SUBSTITUTE(SUBSTITUTE(SUBSTITUTE(SUBSTITUTE(SUBSTITUTE(SUBSTITUTE(SUBSTITUTE(SUBSTITUTE(SUBSTITUTE(SUBSTITUTE(SUBSTITUTE(SUBSTITUTE(TRIM($E544),"'",""),"İ","I"),"ı","I"),"i","I"),"Ş","S"),"ş","S"),"Ğ","G"),"ğ","G"),"Ü","U"),"ü","U"),"Ö","O"),"ö","O"),"Ç","C"),"ç","C"),".",""),",","")," ",""),"-","")))</f>
        <v/>
      </c>
    </row>
    <row r="545">
      <c r="A545" s="6" t="n"/>
      <c r="B545" s="113">
        <f>IF($E545="","","A"&amp;TEXT(ROW()-6,"00000"))</f>
        <v/>
      </c>
      <c r="C545" s="108" t="n"/>
      <c r="D545" s="113">
        <f>IF($E545="","",IFERROR(INDEX(MUSTERILER!$B$7:$B$106,MATCH($U545,MUSTERILER!$T$7:$T$106,0)),IFERROR(INDEX(MUSTERILER!$B$7:$B$106,MATCH($E545,MUSTERILER!$B$7:$B$106,0)),IFERROR(INDEX(MUSTERILER!$B$7:$B$106,MATCH($U545&amp;"*",MUSTERILER!$T$7:$T$106,0)),"TANIMSIZ MÜŞTERİ"))))</f>
        <v/>
      </c>
      <c r="E545" s="109" t="n"/>
      <c r="F545" s="109" t="n"/>
      <c r="G545" s="108" t="n"/>
      <c r="H545" s="220" t="n"/>
      <c r="I545" s="220" t="n"/>
      <c r="J545" s="108" t="n"/>
      <c r="K545" s="108" t="n"/>
      <c r="L545" s="109" t="n"/>
      <c r="M545" s="109" t="n"/>
      <c r="N545" s="109" t="n"/>
      <c r="O545" s="220" t="n"/>
      <c r="P545" s="227">
        <f>IF(OR($E545="",$I545=""),"",IF(OR($J545="Tamamlandı",$J545="İptal"),"",$I545-TODAY()))</f>
        <v/>
      </c>
      <c r="Q545" s="113">
        <f>IF($E545="","",IF($D545="TANIMSIZ MÜŞTERİ","HATA",IF(OR($J545="Tamamlandı",$J545="İptal"),"KAPALI",IF(AND($C545="Görüşme",$N545=""),"SONRAKİ İŞLEM EKSİK",IF($I545="","TARİH EKSİK",IF($I545&lt;TODAY(),"GECİKMİŞ",IF($I545=TODAY(),"BUGÜN",IF($I545&lt;=TODAY()+7,"7 GÜN İÇİNDE","PLANLI"))))))))</f>
        <v/>
      </c>
      <c r="R545" s="6" t="n"/>
      <c r="S545" s="6" t="n"/>
      <c r="T545" s="3" t="n"/>
      <c r="U545" s="3">
        <f>IF($E545="","",UPPER(SUBSTITUTE(SUBSTITUTE(SUBSTITUTE(SUBSTITUTE(SUBSTITUTE(SUBSTITUTE(SUBSTITUTE(SUBSTITUTE(SUBSTITUTE(SUBSTITUTE(SUBSTITUTE(SUBSTITUTE(SUBSTITUTE(SUBSTITUTE(SUBSTITUTE(SUBSTITUTE(SUBSTITUTE(SUBSTITUTE(TRIM($E545),"'",""),"İ","I"),"ı","I"),"i","I"),"Ş","S"),"ş","S"),"Ğ","G"),"ğ","G"),"Ü","U"),"ü","U"),"Ö","O"),"ö","O"),"Ç","C"),"ç","C"),".",""),",","")," ",""),"-","")))</f>
        <v/>
      </c>
    </row>
    <row r="546">
      <c r="A546" s="6" t="n"/>
      <c r="B546" s="113">
        <f>IF($E546="","","A"&amp;TEXT(ROW()-6,"00000"))</f>
        <v/>
      </c>
      <c r="C546" s="108" t="n"/>
      <c r="D546" s="113">
        <f>IF($E546="","",IFERROR(INDEX(MUSTERILER!$B$7:$B$106,MATCH($U546,MUSTERILER!$T$7:$T$106,0)),IFERROR(INDEX(MUSTERILER!$B$7:$B$106,MATCH($E546,MUSTERILER!$B$7:$B$106,0)),IFERROR(INDEX(MUSTERILER!$B$7:$B$106,MATCH($U546&amp;"*",MUSTERILER!$T$7:$T$106,0)),"TANIMSIZ MÜŞTERİ"))))</f>
        <v/>
      </c>
      <c r="E546" s="109" t="n"/>
      <c r="F546" s="109" t="n"/>
      <c r="G546" s="108" t="n"/>
      <c r="H546" s="220" t="n"/>
      <c r="I546" s="220" t="n"/>
      <c r="J546" s="108" t="n"/>
      <c r="K546" s="108" t="n"/>
      <c r="L546" s="109" t="n"/>
      <c r="M546" s="109" t="n"/>
      <c r="N546" s="109" t="n"/>
      <c r="O546" s="220" t="n"/>
      <c r="P546" s="227">
        <f>IF(OR($E546="",$I546=""),"",IF(OR($J546="Tamamlandı",$J546="İptal"),"",$I546-TODAY()))</f>
        <v/>
      </c>
      <c r="Q546" s="113">
        <f>IF($E546="","",IF($D546="TANIMSIZ MÜŞTERİ","HATA",IF(OR($J546="Tamamlandı",$J546="İptal"),"KAPALI",IF(AND($C546="Görüşme",$N546=""),"SONRAKİ İŞLEM EKSİK",IF($I546="","TARİH EKSİK",IF($I546&lt;TODAY(),"GECİKMİŞ",IF($I546=TODAY(),"BUGÜN",IF($I546&lt;=TODAY()+7,"7 GÜN İÇİNDE","PLANLI"))))))))</f>
        <v/>
      </c>
      <c r="R546" s="6" t="n"/>
      <c r="S546" s="6" t="n"/>
      <c r="T546" s="3" t="n"/>
      <c r="U546" s="3">
        <f>IF($E546="","",UPPER(SUBSTITUTE(SUBSTITUTE(SUBSTITUTE(SUBSTITUTE(SUBSTITUTE(SUBSTITUTE(SUBSTITUTE(SUBSTITUTE(SUBSTITUTE(SUBSTITUTE(SUBSTITUTE(SUBSTITUTE(SUBSTITUTE(SUBSTITUTE(SUBSTITUTE(SUBSTITUTE(SUBSTITUTE(SUBSTITUTE(TRIM($E546),"'",""),"İ","I"),"ı","I"),"i","I"),"Ş","S"),"ş","S"),"Ğ","G"),"ğ","G"),"Ü","U"),"ü","U"),"Ö","O"),"ö","O"),"Ç","C"),"ç","C"),".",""),",","")," ",""),"-","")))</f>
        <v/>
      </c>
    </row>
    <row r="547">
      <c r="A547" s="6" t="n"/>
      <c r="B547" s="113">
        <f>IF($E547="","","A"&amp;TEXT(ROW()-6,"00000"))</f>
        <v/>
      </c>
      <c r="C547" s="108" t="n"/>
      <c r="D547" s="113">
        <f>IF($E547="","",IFERROR(INDEX(MUSTERILER!$B$7:$B$106,MATCH($U547,MUSTERILER!$T$7:$T$106,0)),IFERROR(INDEX(MUSTERILER!$B$7:$B$106,MATCH($E547,MUSTERILER!$B$7:$B$106,0)),IFERROR(INDEX(MUSTERILER!$B$7:$B$106,MATCH($U547&amp;"*",MUSTERILER!$T$7:$T$106,0)),"TANIMSIZ MÜŞTERİ"))))</f>
        <v/>
      </c>
      <c r="E547" s="109" t="n"/>
      <c r="F547" s="109" t="n"/>
      <c r="G547" s="108" t="n"/>
      <c r="H547" s="220" t="n"/>
      <c r="I547" s="220" t="n"/>
      <c r="J547" s="108" t="n"/>
      <c r="K547" s="108" t="n"/>
      <c r="L547" s="109" t="n"/>
      <c r="M547" s="109" t="n"/>
      <c r="N547" s="109" t="n"/>
      <c r="O547" s="220" t="n"/>
      <c r="P547" s="227">
        <f>IF(OR($E547="",$I547=""),"",IF(OR($J547="Tamamlandı",$J547="İptal"),"",$I547-TODAY()))</f>
        <v/>
      </c>
      <c r="Q547" s="113">
        <f>IF($E547="","",IF($D547="TANIMSIZ MÜŞTERİ","HATA",IF(OR($J547="Tamamlandı",$J547="İptal"),"KAPALI",IF(AND($C547="Görüşme",$N547=""),"SONRAKİ İŞLEM EKSİK",IF($I547="","TARİH EKSİK",IF($I547&lt;TODAY(),"GECİKMİŞ",IF($I547=TODAY(),"BUGÜN",IF($I547&lt;=TODAY()+7,"7 GÜN İÇİNDE","PLANLI"))))))))</f>
        <v/>
      </c>
      <c r="R547" s="6" t="n"/>
      <c r="S547" s="6" t="n"/>
      <c r="T547" s="3" t="n"/>
      <c r="U547" s="3">
        <f>IF($E547="","",UPPER(SUBSTITUTE(SUBSTITUTE(SUBSTITUTE(SUBSTITUTE(SUBSTITUTE(SUBSTITUTE(SUBSTITUTE(SUBSTITUTE(SUBSTITUTE(SUBSTITUTE(SUBSTITUTE(SUBSTITUTE(SUBSTITUTE(SUBSTITUTE(SUBSTITUTE(SUBSTITUTE(SUBSTITUTE(SUBSTITUTE(TRIM($E547),"'",""),"İ","I"),"ı","I"),"i","I"),"Ş","S"),"ş","S"),"Ğ","G"),"ğ","G"),"Ü","U"),"ü","U"),"Ö","O"),"ö","O"),"Ç","C"),"ç","C"),".",""),",","")," ",""),"-","")))</f>
        <v/>
      </c>
    </row>
    <row r="548">
      <c r="A548" s="6" t="n"/>
      <c r="B548" s="113">
        <f>IF($E548="","","A"&amp;TEXT(ROW()-6,"00000"))</f>
        <v/>
      </c>
      <c r="C548" s="108" t="n"/>
      <c r="D548" s="113">
        <f>IF($E548="","",IFERROR(INDEX(MUSTERILER!$B$7:$B$106,MATCH($U548,MUSTERILER!$T$7:$T$106,0)),IFERROR(INDEX(MUSTERILER!$B$7:$B$106,MATCH($E548,MUSTERILER!$B$7:$B$106,0)),IFERROR(INDEX(MUSTERILER!$B$7:$B$106,MATCH($U548&amp;"*",MUSTERILER!$T$7:$T$106,0)),"TANIMSIZ MÜŞTERİ"))))</f>
        <v/>
      </c>
      <c r="E548" s="109" t="n"/>
      <c r="F548" s="109" t="n"/>
      <c r="G548" s="108" t="n"/>
      <c r="H548" s="220" t="n"/>
      <c r="I548" s="220" t="n"/>
      <c r="J548" s="108" t="n"/>
      <c r="K548" s="108" t="n"/>
      <c r="L548" s="109" t="n"/>
      <c r="M548" s="109" t="n"/>
      <c r="N548" s="109" t="n"/>
      <c r="O548" s="220" t="n"/>
      <c r="P548" s="227">
        <f>IF(OR($E548="",$I548=""),"",IF(OR($J548="Tamamlandı",$J548="İptal"),"",$I548-TODAY()))</f>
        <v/>
      </c>
      <c r="Q548" s="113">
        <f>IF($E548="","",IF($D548="TANIMSIZ MÜŞTERİ","HATA",IF(OR($J548="Tamamlandı",$J548="İptal"),"KAPALI",IF(AND($C548="Görüşme",$N548=""),"SONRAKİ İŞLEM EKSİK",IF($I548="","TARİH EKSİK",IF($I548&lt;TODAY(),"GECİKMİŞ",IF($I548=TODAY(),"BUGÜN",IF($I548&lt;=TODAY()+7,"7 GÜN İÇİNDE","PLANLI"))))))))</f>
        <v/>
      </c>
      <c r="R548" s="6" t="n"/>
      <c r="S548" s="6" t="n"/>
      <c r="T548" s="3" t="n"/>
      <c r="U548" s="3">
        <f>IF($E548="","",UPPER(SUBSTITUTE(SUBSTITUTE(SUBSTITUTE(SUBSTITUTE(SUBSTITUTE(SUBSTITUTE(SUBSTITUTE(SUBSTITUTE(SUBSTITUTE(SUBSTITUTE(SUBSTITUTE(SUBSTITUTE(SUBSTITUTE(SUBSTITUTE(SUBSTITUTE(SUBSTITUTE(SUBSTITUTE(SUBSTITUTE(TRIM($E548),"'",""),"İ","I"),"ı","I"),"i","I"),"Ş","S"),"ş","S"),"Ğ","G"),"ğ","G"),"Ü","U"),"ü","U"),"Ö","O"),"ö","O"),"Ç","C"),"ç","C"),".",""),",","")," ",""),"-","")))</f>
        <v/>
      </c>
    </row>
    <row r="549">
      <c r="A549" s="6" t="n"/>
      <c r="B549" s="113">
        <f>IF($E549="","","A"&amp;TEXT(ROW()-6,"00000"))</f>
        <v/>
      </c>
      <c r="C549" s="108" t="n"/>
      <c r="D549" s="113">
        <f>IF($E549="","",IFERROR(INDEX(MUSTERILER!$B$7:$B$106,MATCH($U549,MUSTERILER!$T$7:$T$106,0)),IFERROR(INDEX(MUSTERILER!$B$7:$B$106,MATCH($E549,MUSTERILER!$B$7:$B$106,0)),IFERROR(INDEX(MUSTERILER!$B$7:$B$106,MATCH($U549&amp;"*",MUSTERILER!$T$7:$T$106,0)),"TANIMSIZ MÜŞTERİ"))))</f>
        <v/>
      </c>
      <c r="E549" s="109" t="n"/>
      <c r="F549" s="109" t="n"/>
      <c r="G549" s="108" t="n"/>
      <c r="H549" s="220" t="n"/>
      <c r="I549" s="220" t="n"/>
      <c r="J549" s="108" t="n"/>
      <c r="K549" s="108" t="n"/>
      <c r="L549" s="109" t="n"/>
      <c r="M549" s="109" t="n"/>
      <c r="N549" s="109" t="n"/>
      <c r="O549" s="220" t="n"/>
      <c r="P549" s="227">
        <f>IF(OR($E549="",$I549=""),"",IF(OR($J549="Tamamlandı",$J549="İptal"),"",$I549-TODAY()))</f>
        <v/>
      </c>
      <c r="Q549" s="113">
        <f>IF($E549="","",IF($D549="TANIMSIZ MÜŞTERİ","HATA",IF(OR($J549="Tamamlandı",$J549="İptal"),"KAPALI",IF(AND($C549="Görüşme",$N549=""),"SONRAKİ İŞLEM EKSİK",IF($I549="","TARİH EKSİK",IF($I549&lt;TODAY(),"GECİKMİŞ",IF($I549=TODAY(),"BUGÜN",IF($I549&lt;=TODAY()+7,"7 GÜN İÇİNDE","PLANLI"))))))))</f>
        <v/>
      </c>
      <c r="R549" s="6" t="n"/>
      <c r="S549" s="6" t="n"/>
      <c r="T549" s="3" t="n"/>
      <c r="U549" s="3">
        <f>IF($E549="","",UPPER(SUBSTITUTE(SUBSTITUTE(SUBSTITUTE(SUBSTITUTE(SUBSTITUTE(SUBSTITUTE(SUBSTITUTE(SUBSTITUTE(SUBSTITUTE(SUBSTITUTE(SUBSTITUTE(SUBSTITUTE(SUBSTITUTE(SUBSTITUTE(SUBSTITUTE(SUBSTITUTE(SUBSTITUTE(SUBSTITUTE(TRIM($E549),"'",""),"İ","I"),"ı","I"),"i","I"),"Ş","S"),"ş","S"),"Ğ","G"),"ğ","G"),"Ü","U"),"ü","U"),"Ö","O"),"ö","O"),"Ç","C"),"ç","C"),".",""),",","")," ",""),"-","")))</f>
        <v/>
      </c>
    </row>
    <row r="550">
      <c r="A550" s="6" t="n"/>
      <c r="B550" s="113">
        <f>IF($E550="","","A"&amp;TEXT(ROW()-6,"00000"))</f>
        <v/>
      </c>
      <c r="C550" s="108" t="n"/>
      <c r="D550" s="113">
        <f>IF($E550="","",IFERROR(INDEX(MUSTERILER!$B$7:$B$106,MATCH($U550,MUSTERILER!$T$7:$T$106,0)),IFERROR(INDEX(MUSTERILER!$B$7:$B$106,MATCH($E550,MUSTERILER!$B$7:$B$106,0)),IFERROR(INDEX(MUSTERILER!$B$7:$B$106,MATCH($U550&amp;"*",MUSTERILER!$T$7:$T$106,0)),"TANIMSIZ MÜŞTERİ"))))</f>
        <v/>
      </c>
      <c r="E550" s="109" t="n"/>
      <c r="F550" s="109" t="n"/>
      <c r="G550" s="108" t="n"/>
      <c r="H550" s="220" t="n"/>
      <c r="I550" s="220" t="n"/>
      <c r="J550" s="108" t="n"/>
      <c r="K550" s="108" t="n"/>
      <c r="L550" s="109" t="n"/>
      <c r="M550" s="109" t="n"/>
      <c r="N550" s="109" t="n"/>
      <c r="O550" s="220" t="n"/>
      <c r="P550" s="227">
        <f>IF(OR($E550="",$I550=""),"",IF(OR($J550="Tamamlandı",$J550="İptal"),"",$I550-TODAY()))</f>
        <v/>
      </c>
      <c r="Q550" s="113">
        <f>IF($E550="","",IF($D550="TANIMSIZ MÜŞTERİ","HATA",IF(OR($J550="Tamamlandı",$J550="İptal"),"KAPALI",IF(AND($C550="Görüşme",$N550=""),"SONRAKİ İŞLEM EKSİK",IF($I550="","TARİH EKSİK",IF($I550&lt;TODAY(),"GECİKMİŞ",IF($I550=TODAY(),"BUGÜN",IF($I550&lt;=TODAY()+7,"7 GÜN İÇİNDE","PLANLI"))))))))</f>
        <v/>
      </c>
      <c r="R550" s="6" t="n"/>
      <c r="S550" s="6" t="n"/>
      <c r="T550" s="3" t="n"/>
      <c r="U550" s="3">
        <f>IF($E550="","",UPPER(SUBSTITUTE(SUBSTITUTE(SUBSTITUTE(SUBSTITUTE(SUBSTITUTE(SUBSTITUTE(SUBSTITUTE(SUBSTITUTE(SUBSTITUTE(SUBSTITUTE(SUBSTITUTE(SUBSTITUTE(SUBSTITUTE(SUBSTITUTE(SUBSTITUTE(SUBSTITUTE(SUBSTITUTE(SUBSTITUTE(TRIM($E550),"'",""),"İ","I"),"ı","I"),"i","I"),"Ş","S"),"ş","S"),"Ğ","G"),"ğ","G"),"Ü","U"),"ü","U"),"Ö","O"),"ö","O"),"Ç","C"),"ç","C"),".",""),",","")," ",""),"-","")))</f>
        <v/>
      </c>
    </row>
    <row r="551">
      <c r="A551" s="6" t="n"/>
      <c r="B551" s="113">
        <f>IF($E551="","","A"&amp;TEXT(ROW()-6,"00000"))</f>
        <v/>
      </c>
      <c r="C551" s="108" t="n"/>
      <c r="D551" s="113">
        <f>IF($E551="","",IFERROR(INDEX(MUSTERILER!$B$7:$B$106,MATCH($U551,MUSTERILER!$T$7:$T$106,0)),IFERROR(INDEX(MUSTERILER!$B$7:$B$106,MATCH($E551,MUSTERILER!$B$7:$B$106,0)),IFERROR(INDEX(MUSTERILER!$B$7:$B$106,MATCH($U551&amp;"*",MUSTERILER!$T$7:$T$106,0)),"TANIMSIZ MÜŞTERİ"))))</f>
        <v/>
      </c>
      <c r="E551" s="109" t="n"/>
      <c r="F551" s="109" t="n"/>
      <c r="G551" s="108" t="n"/>
      <c r="H551" s="220" t="n"/>
      <c r="I551" s="220" t="n"/>
      <c r="J551" s="108" t="n"/>
      <c r="K551" s="108" t="n"/>
      <c r="L551" s="109" t="n"/>
      <c r="M551" s="109" t="n"/>
      <c r="N551" s="109" t="n"/>
      <c r="O551" s="220" t="n"/>
      <c r="P551" s="227">
        <f>IF(OR($E551="",$I551=""),"",IF(OR($J551="Tamamlandı",$J551="İptal"),"",$I551-TODAY()))</f>
        <v/>
      </c>
      <c r="Q551" s="113">
        <f>IF($E551="","",IF($D551="TANIMSIZ MÜŞTERİ","HATA",IF(OR($J551="Tamamlandı",$J551="İptal"),"KAPALI",IF(AND($C551="Görüşme",$N551=""),"SONRAKİ İŞLEM EKSİK",IF($I551="","TARİH EKSİK",IF($I551&lt;TODAY(),"GECİKMİŞ",IF($I551=TODAY(),"BUGÜN",IF($I551&lt;=TODAY()+7,"7 GÜN İÇİNDE","PLANLI"))))))))</f>
        <v/>
      </c>
      <c r="R551" s="6" t="n"/>
      <c r="S551" s="6" t="n"/>
      <c r="T551" s="3" t="n"/>
      <c r="U551" s="3">
        <f>IF($E551="","",UPPER(SUBSTITUTE(SUBSTITUTE(SUBSTITUTE(SUBSTITUTE(SUBSTITUTE(SUBSTITUTE(SUBSTITUTE(SUBSTITUTE(SUBSTITUTE(SUBSTITUTE(SUBSTITUTE(SUBSTITUTE(SUBSTITUTE(SUBSTITUTE(SUBSTITUTE(SUBSTITUTE(SUBSTITUTE(SUBSTITUTE(TRIM($E551),"'",""),"İ","I"),"ı","I"),"i","I"),"Ş","S"),"ş","S"),"Ğ","G"),"ğ","G"),"Ü","U"),"ü","U"),"Ö","O"),"ö","O"),"Ç","C"),"ç","C"),".",""),",","")," ",""),"-","")))</f>
        <v/>
      </c>
    </row>
    <row r="552">
      <c r="A552" s="6" t="n"/>
      <c r="B552" s="113">
        <f>IF($E552="","","A"&amp;TEXT(ROW()-6,"00000"))</f>
        <v/>
      </c>
      <c r="C552" s="108" t="n"/>
      <c r="D552" s="113">
        <f>IF($E552="","",IFERROR(INDEX(MUSTERILER!$B$7:$B$106,MATCH($U552,MUSTERILER!$T$7:$T$106,0)),IFERROR(INDEX(MUSTERILER!$B$7:$B$106,MATCH($E552,MUSTERILER!$B$7:$B$106,0)),IFERROR(INDEX(MUSTERILER!$B$7:$B$106,MATCH($U552&amp;"*",MUSTERILER!$T$7:$T$106,0)),"TANIMSIZ MÜŞTERİ"))))</f>
        <v/>
      </c>
      <c r="E552" s="109" t="n"/>
      <c r="F552" s="109" t="n"/>
      <c r="G552" s="108" t="n"/>
      <c r="H552" s="220" t="n"/>
      <c r="I552" s="220" t="n"/>
      <c r="J552" s="108" t="n"/>
      <c r="K552" s="108" t="n"/>
      <c r="L552" s="109" t="n"/>
      <c r="M552" s="109" t="n"/>
      <c r="N552" s="109" t="n"/>
      <c r="O552" s="220" t="n"/>
      <c r="P552" s="227">
        <f>IF(OR($E552="",$I552=""),"",IF(OR($J552="Tamamlandı",$J552="İptal"),"",$I552-TODAY()))</f>
        <v/>
      </c>
      <c r="Q552" s="113">
        <f>IF($E552="","",IF($D552="TANIMSIZ MÜŞTERİ","HATA",IF(OR($J552="Tamamlandı",$J552="İptal"),"KAPALI",IF(AND($C552="Görüşme",$N552=""),"SONRAKİ İŞLEM EKSİK",IF($I552="","TARİH EKSİK",IF($I552&lt;TODAY(),"GECİKMİŞ",IF($I552=TODAY(),"BUGÜN",IF($I552&lt;=TODAY()+7,"7 GÜN İÇİNDE","PLANLI"))))))))</f>
        <v/>
      </c>
      <c r="R552" s="6" t="n"/>
      <c r="S552" s="6" t="n"/>
      <c r="T552" s="3" t="n"/>
      <c r="U552" s="3">
        <f>IF($E552="","",UPPER(SUBSTITUTE(SUBSTITUTE(SUBSTITUTE(SUBSTITUTE(SUBSTITUTE(SUBSTITUTE(SUBSTITUTE(SUBSTITUTE(SUBSTITUTE(SUBSTITUTE(SUBSTITUTE(SUBSTITUTE(SUBSTITUTE(SUBSTITUTE(SUBSTITUTE(SUBSTITUTE(SUBSTITUTE(SUBSTITUTE(TRIM($E552),"'",""),"İ","I"),"ı","I"),"i","I"),"Ş","S"),"ş","S"),"Ğ","G"),"ğ","G"),"Ü","U"),"ü","U"),"Ö","O"),"ö","O"),"Ç","C"),"ç","C"),".",""),",","")," ",""),"-","")))</f>
        <v/>
      </c>
    </row>
    <row r="553">
      <c r="A553" s="6" t="n"/>
      <c r="B553" s="113">
        <f>IF($E553="","","A"&amp;TEXT(ROW()-6,"00000"))</f>
        <v/>
      </c>
      <c r="C553" s="108" t="n"/>
      <c r="D553" s="113">
        <f>IF($E553="","",IFERROR(INDEX(MUSTERILER!$B$7:$B$106,MATCH($U553,MUSTERILER!$T$7:$T$106,0)),IFERROR(INDEX(MUSTERILER!$B$7:$B$106,MATCH($E553,MUSTERILER!$B$7:$B$106,0)),IFERROR(INDEX(MUSTERILER!$B$7:$B$106,MATCH($U553&amp;"*",MUSTERILER!$T$7:$T$106,0)),"TANIMSIZ MÜŞTERİ"))))</f>
        <v/>
      </c>
      <c r="E553" s="109" t="n"/>
      <c r="F553" s="109" t="n"/>
      <c r="G553" s="108" t="n"/>
      <c r="H553" s="220" t="n"/>
      <c r="I553" s="220" t="n"/>
      <c r="J553" s="108" t="n"/>
      <c r="K553" s="108" t="n"/>
      <c r="L553" s="109" t="n"/>
      <c r="M553" s="109" t="n"/>
      <c r="N553" s="109" t="n"/>
      <c r="O553" s="220" t="n"/>
      <c r="P553" s="227">
        <f>IF(OR($E553="",$I553=""),"",IF(OR($J553="Tamamlandı",$J553="İptal"),"",$I553-TODAY()))</f>
        <v/>
      </c>
      <c r="Q553" s="113">
        <f>IF($E553="","",IF($D553="TANIMSIZ MÜŞTERİ","HATA",IF(OR($J553="Tamamlandı",$J553="İptal"),"KAPALI",IF(AND($C553="Görüşme",$N553=""),"SONRAKİ İŞLEM EKSİK",IF($I553="","TARİH EKSİK",IF($I553&lt;TODAY(),"GECİKMİŞ",IF($I553=TODAY(),"BUGÜN",IF($I553&lt;=TODAY()+7,"7 GÜN İÇİNDE","PLANLI"))))))))</f>
        <v/>
      </c>
      <c r="R553" s="6" t="n"/>
      <c r="S553" s="6" t="n"/>
      <c r="T553" s="3" t="n"/>
      <c r="U553" s="3">
        <f>IF($E553="","",UPPER(SUBSTITUTE(SUBSTITUTE(SUBSTITUTE(SUBSTITUTE(SUBSTITUTE(SUBSTITUTE(SUBSTITUTE(SUBSTITUTE(SUBSTITUTE(SUBSTITUTE(SUBSTITUTE(SUBSTITUTE(SUBSTITUTE(SUBSTITUTE(SUBSTITUTE(SUBSTITUTE(SUBSTITUTE(SUBSTITUTE(TRIM($E553),"'",""),"İ","I"),"ı","I"),"i","I"),"Ş","S"),"ş","S"),"Ğ","G"),"ğ","G"),"Ü","U"),"ü","U"),"Ö","O"),"ö","O"),"Ç","C"),"ç","C"),".",""),",","")," ",""),"-","")))</f>
        <v/>
      </c>
    </row>
    <row r="554">
      <c r="A554" s="6" t="n"/>
      <c r="B554" s="113">
        <f>IF($E554="","","A"&amp;TEXT(ROW()-6,"00000"))</f>
        <v/>
      </c>
      <c r="C554" s="108" t="n"/>
      <c r="D554" s="113">
        <f>IF($E554="","",IFERROR(INDEX(MUSTERILER!$B$7:$B$106,MATCH($U554,MUSTERILER!$T$7:$T$106,0)),IFERROR(INDEX(MUSTERILER!$B$7:$B$106,MATCH($E554,MUSTERILER!$B$7:$B$106,0)),IFERROR(INDEX(MUSTERILER!$B$7:$B$106,MATCH($U554&amp;"*",MUSTERILER!$T$7:$T$106,0)),"TANIMSIZ MÜŞTERİ"))))</f>
        <v/>
      </c>
      <c r="E554" s="109" t="n"/>
      <c r="F554" s="109" t="n"/>
      <c r="G554" s="108" t="n"/>
      <c r="H554" s="220" t="n"/>
      <c r="I554" s="220" t="n"/>
      <c r="J554" s="108" t="n"/>
      <c r="K554" s="108" t="n"/>
      <c r="L554" s="109" t="n"/>
      <c r="M554" s="109" t="n"/>
      <c r="N554" s="109" t="n"/>
      <c r="O554" s="220" t="n"/>
      <c r="P554" s="227">
        <f>IF(OR($E554="",$I554=""),"",IF(OR($J554="Tamamlandı",$J554="İptal"),"",$I554-TODAY()))</f>
        <v/>
      </c>
      <c r="Q554" s="113">
        <f>IF($E554="","",IF($D554="TANIMSIZ MÜŞTERİ","HATA",IF(OR($J554="Tamamlandı",$J554="İptal"),"KAPALI",IF(AND($C554="Görüşme",$N554=""),"SONRAKİ İŞLEM EKSİK",IF($I554="","TARİH EKSİK",IF($I554&lt;TODAY(),"GECİKMİŞ",IF($I554=TODAY(),"BUGÜN",IF($I554&lt;=TODAY()+7,"7 GÜN İÇİNDE","PLANLI"))))))))</f>
        <v/>
      </c>
      <c r="R554" s="6" t="n"/>
      <c r="S554" s="6" t="n"/>
      <c r="T554" s="3" t="n"/>
      <c r="U554" s="3">
        <f>IF($E554="","",UPPER(SUBSTITUTE(SUBSTITUTE(SUBSTITUTE(SUBSTITUTE(SUBSTITUTE(SUBSTITUTE(SUBSTITUTE(SUBSTITUTE(SUBSTITUTE(SUBSTITUTE(SUBSTITUTE(SUBSTITUTE(SUBSTITUTE(SUBSTITUTE(SUBSTITUTE(SUBSTITUTE(SUBSTITUTE(SUBSTITUTE(TRIM($E554),"'",""),"İ","I"),"ı","I"),"i","I"),"Ş","S"),"ş","S"),"Ğ","G"),"ğ","G"),"Ü","U"),"ü","U"),"Ö","O"),"ö","O"),"Ç","C"),"ç","C"),".",""),",","")," ",""),"-","")))</f>
        <v/>
      </c>
    </row>
    <row r="555">
      <c r="A555" s="6" t="n"/>
      <c r="B555" s="113">
        <f>IF($E555="","","A"&amp;TEXT(ROW()-6,"00000"))</f>
        <v/>
      </c>
      <c r="C555" s="108" t="n"/>
      <c r="D555" s="113">
        <f>IF($E555="","",IFERROR(INDEX(MUSTERILER!$B$7:$B$106,MATCH($U555,MUSTERILER!$T$7:$T$106,0)),IFERROR(INDEX(MUSTERILER!$B$7:$B$106,MATCH($E555,MUSTERILER!$B$7:$B$106,0)),IFERROR(INDEX(MUSTERILER!$B$7:$B$106,MATCH($U555&amp;"*",MUSTERILER!$T$7:$T$106,0)),"TANIMSIZ MÜŞTERİ"))))</f>
        <v/>
      </c>
      <c r="E555" s="109" t="n"/>
      <c r="F555" s="109" t="n"/>
      <c r="G555" s="108" t="n"/>
      <c r="H555" s="220" t="n"/>
      <c r="I555" s="220" t="n"/>
      <c r="J555" s="108" t="n"/>
      <c r="K555" s="108" t="n"/>
      <c r="L555" s="109" t="n"/>
      <c r="M555" s="109" t="n"/>
      <c r="N555" s="109" t="n"/>
      <c r="O555" s="220" t="n"/>
      <c r="P555" s="227">
        <f>IF(OR($E555="",$I555=""),"",IF(OR($J555="Tamamlandı",$J555="İptal"),"",$I555-TODAY()))</f>
        <v/>
      </c>
      <c r="Q555" s="113">
        <f>IF($E555="","",IF($D555="TANIMSIZ MÜŞTERİ","HATA",IF(OR($J555="Tamamlandı",$J555="İptal"),"KAPALI",IF(AND($C555="Görüşme",$N555=""),"SONRAKİ İŞLEM EKSİK",IF($I555="","TARİH EKSİK",IF($I555&lt;TODAY(),"GECİKMİŞ",IF($I555=TODAY(),"BUGÜN",IF($I555&lt;=TODAY()+7,"7 GÜN İÇİNDE","PLANLI"))))))))</f>
        <v/>
      </c>
      <c r="R555" s="6" t="n"/>
      <c r="S555" s="6" t="n"/>
      <c r="T555" s="3" t="n"/>
      <c r="U555" s="3">
        <f>IF($E555="","",UPPER(SUBSTITUTE(SUBSTITUTE(SUBSTITUTE(SUBSTITUTE(SUBSTITUTE(SUBSTITUTE(SUBSTITUTE(SUBSTITUTE(SUBSTITUTE(SUBSTITUTE(SUBSTITUTE(SUBSTITUTE(SUBSTITUTE(SUBSTITUTE(SUBSTITUTE(SUBSTITUTE(SUBSTITUTE(SUBSTITUTE(TRIM($E555),"'",""),"İ","I"),"ı","I"),"i","I"),"Ş","S"),"ş","S"),"Ğ","G"),"ğ","G"),"Ü","U"),"ü","U"),"Ö","O"),"ö","O"),"Ç","C"),"ç","C"),".",""),",","")," ",""),"-","")))</f>
        <v/>
      </c>
    </row>
    <row r="556">
      <c r="A556" s="6" t="n"/>
      <c r="B556" s="113">
        <f>IF($E556="","","A"&amp;TEXT(ROW()-6,"00000"))</f>
        <v/>
      </c>
      <c r="C556" s="108" t="n"/>
      <c r="D556" s="113">
        <f>IF($E556="","",IFERROR(INDEX(MUSTERILER!$B$7:$B$106,MATCH($U556,MUSTERILER!$T$7:$T$106,0)),IFERROR(INDEX(MUSTERILER!$B$7:$B$106,MATCH($E556,MUSTERILER!$B$7:$B$106,0)),IFERROR(INDEX(MUSTERILER!$B$7:$B$106,MATCH($U556&amp;"*",MUSTERILER!$T$7:$T$106,0)),"TANIMSIZ MÜŞTERİ"))))</f>
        <v/>
      </c>
      <c r="E556" s="109" t="n"/>
      <c r="F556" s="109" t="n"/>
      <c r="G556" s="108" t="n"/>
      <c r="H556" s="220" t="n"/>
      <c r="I556" s="220" t="n"/>
      <c r="J556" s="108" t="n"/>
      <c r="K556" s="108" t="n"/>
      <c r="L556" s="109" t="n"/>
      <c r="M556" s="109" t="n"/>
      <c r="N556" s="109" t="n"/>
      <c r="O556" s="220" t="n"/>
      <c r="P556" s="227">
        <f>IF(OR($E556="",$I556=""),"",IF(OR($J556="Tamamlandı",$J556="İptal"),"",$I556-TODAY()))</f>
        <v/>
      </c>
      <c r="Q556" s="113">
        <f>IF($E556="","",IF($D556="TANIMSIZ MÜŞTERİ","HATA",IF(OR($J556="Tamamlandı",$J556="İptal"),"KAPALI",IF(AND($C556="Görüşme",$N556=""),"SONRAKİ İŞLEM EKSİK",IF($I556="","TARİH EKSİK",IF($I556&lt;TODAY(),"GECİKMİŞ",IF($I556=TODAY(),"BUGÜN",IF($I556&lt;=TODAY()+7,"7 GÜN İÇİNDE","PLANLI"))))))))</f>
        <v/>
      </c>
      <c r="R556" s="6" t="n"/>
      <c r="S556" s="6" t="n"/>
      <c r="T556" s="3" t="n"/>
      <c r="U556" s="3">
        <f>IF($E556="","",UPPER(SUBSTITUTE(SUBSTITUTE(SUBSTITUTE(SUBSTITUTE(SUBSTITUTE(SUBSTITUTE(SUBSTITUTE(SUBSTITUTE(SUBSTITUTE(SUBSTITUTE(SUBSTITUTE(SUBSTITUTE(SUBSTITUTE(SUBSTITUTE(SUBSTITUTE(SUBSTITUTE(SUBSTITUTE(SUBSTITUTE(TRIM($E556),"'",""),"İ","I"),"ı","I"),"i","I"),"Ş","S"),"ş","S"),"Ğ","G"),"ğ","G"),"Ü","U"),"ü","U"),"Ö","O"),"ö","O"),"Ç","C"),"ç","C"),".",""),",","")," ",""),"-","")))</f>
        <v/>
      </c>
    </row>
    <row r="557">
      <c r="A557" s="6" t="n"/>
      <c r="B557" s="113">
        <f>IF($E557="","","A"&amp;TEXT(ROW()-6,"00000"))</f>
        <v/>
      </c>
      <c r="C557" s="108" t="n"/>
      <c r="D557" s="113">
        <f>IF($E557="","",IFERROR(INDEX(MUSTERILER!$B$7:$B$106,MATCH($U557,MUSTERILER!$T$7:$T$106,0)),IFERROR(INDEX(MUSTERILER!$B$7:$B$106,MATCH($E557,MUSTERILER!$B$7:$B$106,0)),IFERROR(INDEX(MUSTERILER!$B$7:$B$106,MATCH($U557&amp;"*",MUSTERILER!$T$7:$T$106,0)),"TANIMSIZ MÜŞTERİ"))))</f>
        <v/>
      </c>
      <c r="E557" s="109" t="n"/>
      <c r="F557" s="109" t="n"/>
      <c r="G557" s="108" t="n"/>
      <c r="H557" s="220" t="n"/>
      <c r="I557" s="220" t="n"/>
      <c r="J557" s="108" t="n"/>
      <c r="K557" s="108" t="n"/>
      <c r="L557" s="109" t="n"/>
      <c r="M557" s="109" t="n"/>
      <c r="N557" s="109" t="n"/>
      <c r="O557" s="220" t="n"/>
      <c r="P557" s="227">
        <f>IF(OR($E557="",$I557=""),"",IF(OR($J557="Tamamlandı",$J557="İptal"),"",$I557-TODAY()))</f>
        <v/>
      </c>
      <c r="Q557" s="113">
        <f>IF($E557="","",IF($D557="TANIMSIZ MÜŞTERİ","HATA",IF(OR($J557="Tamamlandı",$J557="İptal"),"KAPALI",IF(AND($C557="Görüşme",$N557=""),"SONRAKİ İŞLEM EKSİK",IF($I557="","TARİH EKSİK",IF($I557&lt;TODAY(),"GECİKMİŞ",IF($I557=TODAY(),"BUGÜN",IF($I557&lt;=TODAY()+7,"7 GÜN İÇİNDE","PLANLI"))))))))</f>
        <v/>
      </c>
      <c r="R557" s="6" t="n"/>
      <c r="S557" s="6" t="n"/>
      <c r="T557" s="3" t="n"/>
      <c r="U557" s="3">
        <f>IF($E557="","",UPPER(SUBSTITUTE(SUBSTITUTE(SUBSTITUTE(SUBSTITUTE(SUBSTITUTE(SUBSTITUTE(SUBSTITUTE(SUBSTITUTE(SUBSTITUTE(SUBSTITUTE(SUBSTITUTE(SUBSTITUTE(SUBSTITUTE(SUBSTITUTE(SUBSTITUTE(SUBSTITUTE(SUBSTITUTE(SUBSTITUTE(TRIM($E557),"'",""),"İ","I"),"ı","I"),"i","I"),"Ş","S"),"ş","S"),"Ğ","G"),"ğ","G"),"Ü","U"),"ü","U"),"Ö","O"),"ö","O"),"Ç","C"),"ç","C"),".",""),",","")," ",""),"-","")))</f>
        <v/>
      </c>
    </row>
    <row r="558">
      <c r="A558" s="6" t="n"/>
      <c r="B558" s="113">
        <f>IF($E558="","","A"&amp;TEXT(ROW()-6,"00000"))</f>
        <v/>
      </c>
      <c r="C558" s="108" t="n"/>
      <c r="D558" s="113">
        <f>IF($E558="","",IFERROR(INDEX(MUSTERILER!$B$7:$B$106,MATCH($U558,MUSTERILER!$T$7:$T$106,0)),IFERROR(INDEX(MUSTERILER!$B$7:$B$106,MATCH($E558,MUSTERILER!$B$7:$B$106,0)),IFERROR(INDEX(MUSTERILER!$B$7:$B$106,MATCH($U558&amp;"*",MUSTERILER!$T$7:$T$106,0)),"TANIMSIZ MÜŞTERİ"))))</f>
        <v/>
      </c>
      <c r="E558" s="109" t="n"/>
      <c r="F558" s="109" t="n"/>
      <c r="G558" s="108" t="n"/>
      <c r="H558" s="220" t="n"/>
      <c r="I558" s="220" t="n"/>
      <c r="J558" s="108" t="n"/>
      <c r="K558" s="108" t="n"/>
      <c r="L558" s="109" t="n"/>
      <c r="M558" s="109" t="n"/>
      <c r="N558" s="109" t="n"/>
      <c r="O558" s="220" t="n"/>
      <c r="P558" s="227">
        <f>IF(OR($E558="",$I558=""),"",IF(OR($J558="Tamamlandı",$J558="İptal"),"",$I558-TODAY()))</f>
        <v/>
      </c>
      <c r="Q558" s="113">
        <f>IF($E558="","",IF($D558="TANIMSIZ MÜŞTERİ","HATA",IF(OR($J558="Tamamlandı",$J558="İptal"),"KAPALI",IF(AND($C558="Görüşme",$N558=""),"SONRAKİ İŞLEM EKSİK",IF($I558="","TARİH EKSİK",IF($I558&lt;TODAY(),"GECİKMİŞ",IF($I558=TODAY(),"BUGÜN",IF($I558&lt;=TODAY()+7,"7 GÜN İÇİNDE","PLANLI"))))))))</f>
        <v/>
      </c>
      <c r="R558" s="6" t="n"/>
      <c r="S558" s="6" t="n"/>
      <c r="T558" s="3" t="n"/>
      <c r="U558" s="3">
        <f>IF($E558="","",UPPER(SUBSTITUTE(SUBSTITUTE(SUBSTITUTE(SUBSTITUTE(SUBSTITUTE(SUBSTITUTE(SUBSTITUTE(SUBSTITUTE(SUBSTITUTE(SUBSTITUTE(SUBSTITUTE(SUBSTITUTE(SUBSTITUTE(SUBSTITUTE(SUBSTITUTE(SUBSTITUTE(SUBSTITUTE(SUBSTITUTE(TRIM($E558),"'",""),"İ","I"),"ı","I"),"i","I"),"Ş","S"),"ş","S"),"Ğ","G"),"ğ","G"),"Ü","U"),"ü","U"),"Ö","O"),"ö","O"),"Ç","C"),"ç","C"),".",""),",","")," ",""),"-","")))</f>
        <v/>
      </c>
    </row>
    <row r="559">
      <c r="A559" s="6" t="n"/>
      <c r="B559" s="113">
        <f>IF($E559="","","A"&amp;TEXT(ROW()-6,"00000"))</f>
        <v/>
      </c>
      <c r="C559" s="108" t="n"/>
      <c r="D559" s="113">
        <f>IF($E559="","",IFERROR(INDEX(MUSTERILER!$B$7:$B$106,MATCH($U559,MUSTERILER!$T$7:$T$106,0)),IFERROR(INDEX(MUSTERILER!$B$7:$B$106,MATCH($E559,MUSTERILER!$B$7:$B$106,0)),IFERROR(INDEX(MUSTERILER!$B$7:$B$106,MATCH($U559&amp;"*",MUSTERILER!$T$7:$T$106,0)),"TANIMSIZ MÜŞTERİ"))))</f>
        <v/>
      </c>
      <c r="E559" s="109" t="n"/>
      <c r="F559" s="109" t="n"/>
      <c r="G559" s="108" t="n"/>
      <c r="H559" s="220" t="n"/>
      <c r="I559" s="220" t="n"/>
      <c r="J559" s="108" t="n"/>
      <c r="K559" s="108" t="n"/>
      <c r="L559" s="109" t="n"/>
      <c r="M559" s="109" t="n"/>
      <c r="N559" s="109" t="n"/>
      <c r="O559" s="220" t="n"/>
      <c r="P559" s="227">
        <f>IF(OR($E559="",$I559=""),"",IF(OR($J559="Tamamlandı",$J559="İptal"),"",$I559-TODAY()))</f>
        <v/>
      </c>
      <c r="Q559" s="113">
        <f>IF($E559="","",IF($D559="TANIMSIZ MÜŞTERİ","HATA",IF(OR($J559="Tamamlandı",$J559="İptal"),"KAPALI",IF(AND($C559="Görüşme",$N559=""),"SONRAKİ İŞLEM EKSİK",IF($I559="","TARİH EKSİK",IF($I559&lt;TODAY(),"GECİKMİŞ",IF($I559=TODAY(),"BUGÜN",IF($I559&lt;=TODAY()+7,"7 GÜN İÇİNDE","PLANLI"))))))))</f>
        <v/>
      </c>
      <c r="R559" s="6" t="n"/>
      <c r="S559" s="6" t="n"/>
      <c r="T559" s="3" t="n"/>
      <c r="U559" s="3">
        <f>IF($E559="","",UPPER(SUBSTITUTE(SUBSTITUTE(SUBSTITUTE(SUBSTITUTE(SUBSTITUTE(SUBSTITUTE(SUBSTITUTE(SUBSTITUTE(SUBSTITUTE(SUBSTITUTE(SUBSTITUTE(SUBSTITUTE(SUBSTITUTE(SUBSTITUTE(SUBSTITUTE(SUBSTITUTE(SUBSTITUTE(SUBSTITUTE(TRIM($E559),"'",""),"İ","I"),"ı","I"),"i","I"),"Ş","S"),"ş","S"),"Ğ","G"),"ğ","G"),"Ü","U"),"ü","U"),"Ö","O"),"ö","O"),"Ç","C"),"ç","C"),".",""),",","")," ",""),"-","")))</f>
        <v/>
      </c>
    </row>
    <row r="560">
      <c r="A560" s="6" t="n"/>
      <c r="B560" s="113">
        <f>IF($E560="","","A"&amp;TEXT(ROW()-6,"00000"))</f>
        <v/>
      </c>
      <c r="C560" s="108" t="n"/>
      <c r="D560" s="113">
        <f>IF($E560="","",IFERROR(INDEX(MUSTERILER!$B$7:$B$106,MATCH($U560,MUSTERILER!$T$7:$T$106,0)),IFERROR(INDEX(MUSTERILER!$B$7:$B$106,MATCH($E560,MUSTERILER!$B$7:$B$106,0)),IFERROR(INDEX(MUSTERILER!$B$7:$B$106,MATCH($U560&amp;"*",MUSTERILER!$T$7:$T$106,0)),"TANIMSIZ MÜŞTERİ"))))</f>
        <v/>
      </c>
      <c r="E560" s="109" t="n"/>
      <c r="F560" s="109" t="n"/>
      <c r="G560" s="108" t="n"/>
      <c r="H560" s="220" t="n"/>
      <c r="I560" s="220" t="n"/>
      <c r="J560" s="108" t="n"/>
      <c r="K560" s="108" t="n"/>
      <c r="L560" s="109" t="n"/>
      <c r="M560" s="109" t="n"/>
      <c r="N560" s="109" t="n"/>
      <c r="O560" s="220" t="n"/>
      <c r="P560" s="227">
        <f>IF(OR($E560="",$I560=""),"",IF(OR($J560="Tamamlandı",$J560="İptal"),"",$I560-TODAY()))</f>
        <v/>
      </c>
      <c r="Q560" s="113">
        <f>IF($E560="","",IF($D560="TANIMSIZ MÜŞTERİ","HATA",IF(OR($J560="Tamamlandı",$J560="İptal"),"KAPALI",IF(AND($C560="Görüşme",$N560=""),"SONRAKİ İŞLEM EKSİK",IF($I560="","TARİH EKSİK",IF($I560&lt;TODAY(),"GECİKMİŞ",IF($I560=TODAY(),"BUGÜN",IF($I560&lt;=TODAY()+7,"7 GÜN İÇİNDE","PLANLI"))))))))</f>
        <v/>
      </c>
      <c r="R560" s="6" t="n"/>
      <c r="S560" s="6" t="n"/>
      <c r="T560" s="3" t="n"/>
      <c r="U560" s="3">
        <f>IF($E560="","",UPPER(SUBSTITUTE(SUBSTITUTE(SUBSTITUTE(SUBSTITUTE(SUBSTITUTE(SUBSTITUTE(SUBSTITUTE(SUBSTITUTE(SUBSTITUTE(SUBSTITUTE(SUBSTITUTE(SUBSTITUTE(SUBSTITUTE(SUBSTITUTE(SUBSTITUTE(SUBSTITUTE(SUBSTITUTE(SUBSTITUTE(TRIM($E560),"'",""),"İ","I"),"ı","I"),"i","I"),"Ş","S"),"ş","S"),"Ğ","G"),"ğ","G"),"Ü","U"),"ü","U"),"Ö","O"),"ö","O"),"Ç","C"),"ç","C"),".",""),",","")," ",""),"-","")))</f>
        <v/>
      </c>
    </row>
    <row r="561">
      <c r="A561" s="6" t="n"/>
      <c r="B561" s="113">
        <f>IF($E561="","","A"&amp;TEXT(ROW()-6,"00000"))</f>
        <v/>
      </c>
      <c r="C561" s="108" t="n"/>
      <c r="D561" s="113">
        <f>IF($E561="","",IFERROR(INDEX(MUSTERILER!$B$7:$B$106,MATCH($U561,MUSTERILER!$T$7:$T$106,0)),IFERROR(INDEX(MUSTERILER!$B$7:$B$106,MATCH($E561,MUSTERILER!$B$7:$B$106,0)),IFERROR(INDEX(MUSTERILER!$B$7:$B$106,MATCH($U561&amp;"*",MUSTERILER!$T$7:$T$106,0)),"TANIMSIZ MÜŞTERİ"))))</f>
        <v/>
      </c>
      <c r="E561" s="109" t="n"/>
      <c r="F561" s="109" t="n"/>
      <c r="G561" s="108" t="n"/>
      <c r="H561" s="220" t="n"/>
      <c r="I561" s="220" t="n"/>
      <c r="J561" s="108" t="n"/>
      <c r="K561" s="108" t="n"/>
      <c r="L561" s="109" t="n"/>
      <c r="M561" s="109" t="n"/>
      <c r="N561" s="109" t="n"/>
      <c r="O561" s="220" t="n"/>
      <c r="P561" s="227">
        <f>IF(OR($E561="",$I561=""),"",IF(OR($J561="Tamamlandı",$J561="İptal"),"",$I561-TODAY()))</f>
        <v/>
      </c>
      <c r="Q561" s="113">
        <f>IF($E561="","",IF($D561="TANIMSIZ MÜŞTERİ","HATA",IF(OR($J561="Tamamlandı",$J561="İptal"),"KAPALI",IF(AND($C561="Görüşme",$N561=""),"SONRAKİ İŞLEM EKSİK",IF($I561="","TARİH EKSİK",IF($I561&lt;TODAY(),"GECİKMİŞ",IF($I561=TODAY(),"BUGÜN",IF($I561&lt;=TODAY()+7,"7 GÜN İÇİNDE","PLANLI"))))))))</f>
        <v/>
      </c>
      <c r="R561" s="6" t="n"/>
      <c r="S561" s="6" t="n"/>
      <c r="T561" s="3" t="n"/>
      <c r="U561" s="3">
        <f>IF($E561="","",UPPER(SUBSTITUTE(SUBSTITUTE(SUBSTITUTE(SUBSTITUTE(SUBSTITUTE(SUBSTITUTE(SUBSTITUTE(SUBSTITUTE(SUBSTITUTE(SUBSTITUTE(SUBSTITUTE(SUBSTITUTE(SUBSTITUTE(SUBSTITUTE(SUBSTITUTE(SUBSTITUTE(SUBSTITUTE(SUBSTITUTE(TRIM($E561),"'",""),"İ","I"),"ı","I"),"i","I"),"Ş","S"),"ş","S"),"Ğ","G"),"ğ","G"),"Ü","U"),"ü","U"),"Ö","O"),"ö","O"),"Ç","C"),"ç","C"),".",""),",","")," ",""),"-","")))</f>
        <v/>
      </c>
    </row>
    <row r="562">
      <c r="A562" s="6" t="n"/>
      <c r="B562" s="113">
        <f>IF($E562="","","A"&amp;TEXT(ROW()-6,"00000"))</f>
        <v/>
      </c>
      <c r="C562" s="108" t="n"/>
      <c r="D562" s="113">
        <f>IF($E562="","",IFERROR(INDEX(MUSTERILER!$B$7:$B$106,MATCH($U562,MUSTERILER!$T$7:$T$106,0)),IFERROR(INDEX(MUSTERILER!$B$7:$B$106,MATCH($E562,MUSTERILER!$B$7:$B$106,0)),IFERROR(INDEX(MUSTERILER!$B$7:$B$106,MATCH($U562&amp;"*",MUSTERILER!$T$7:$T$106,0)),"TANIMSIZ MÜŞTERİ"))))</f>
        <v/>
      </c>
      <c r="E562" s="109" t="n"/>
      <c r="F562" s="109" t="n"/>
      <c r="G562" s="108" t="n"/>
      <c r="H562" s="220" t="n"/>
      <c r="I562" s="220" t="n"/>
      <c r="J562" s="108" t="n"/>
      <c r="K562" s="108" t="n"/>
      <c r="L562" s="109" t="n"/>
      <c r="M562" s="109" t="n"/>
      <c r="N562" s="109" t="n"/>
      <c r="O562" s="220" t="n"/>
      <c r="P562" s="227">
        <f>IF(OR($E562="",$I562=""),"",IF(OR($J562="Tamamlandı",$J562="İptal"),"",$I562-TODAY()))</f>
        <v/>
      </c>
      <c r="Q562" s="113">
        <f>IF($E562="","",IF($D562="TANIMSIZ MÜŞTERİ","HATA",IF(OR($J562="Tamamlandı",$J562="İptal"),"KAPALI",IF(AND($C562="Görüşme",$N562=""),"SONRAKİ İŞLEM EKSİK",IF($I562="","TARİH EKSİK",IF($I562&lt;TODAY(),"GECİKMİŞ",IF($I562=TODAY(),"BUGÜN",IF($I562&lt;=TODAY()+7,"7 GÜN İÇİNDE","PLANLI"))))))))</f>
        <v/>
      </c>
      <c r="R562" s="6" t="n"/>
      <c r="S562" s="6" t="n"/>
      <c r="T562" s="3" t="n"/>
      <c r="U562" s="3">
        <f>IF($E562="","",UPPER(SUBSTITUTE(SUBSTITUTE(SUBSTITUTE(SUBSTITUTE(SUBSTITUTE(SUBSTITUTE(SUBSTITUTE(SUBSTITUTE(SUBSTITUTE(SUBSTITUTE(SUBSTITUTE(SUBSTITUTE(SUBSTITUTE(SUBSTITUTE(SUBSTITUTE(SUBSTITUTE(SUBSTITUTE(SUBSTITUTE(TRIM($E562),"'",""),"İ","I"),"ı","I"),"i","I"),"Ş","S"),"ş","S"),"Ğ","G"),"ğ","G"),"Ü","U"),"ü","U"),"Ö","O"),"ö","O"),"Ç","C"),"ç","C"),".",""),",","")," ",""),"-","")))</f>
        <v/>
      </c>
    </row>
    <row r="563">
      <c r="A563" s="6" t="n"/>
      <c r="B563" s="113">
        <f>IF($E563="","","A"&amp;TEXT(ROW()-6,"00000"))</f>
        <v/>
      </c>
      <c r="C563" s="108" t="n"/>
      <c r="D563" s="113">
        <f>IF($E563="","",IFERROR(INDEX(MUSTERILER!$B$7:$B$106,MATCH($U563,MUSTERILER!$T$7:$T$106,0)),IFERROR(INDEX(MUSTERILER!$B$7:$B$106,MATCH($E563,MUSTERILER!$B$7:$B$106,0)),IFERROR(INDEX(MUSTERILER!$B$7:$B$106,MATCH($U563&amp;"*",MUSTERILER!$T$7:$T$106,0)),"TANIMSIZ MÜŞTERİ"))))</f>
        <v/>
      </c>
      <c r="E563" s="109" t="n"/>
      <c r="F563" s="109" t="n"/>
      <c r="G563" s="108" t="n"/>
      <c r="H563" s="220" t="n"/>
      <c r="I563" s="220" t="n"/>
      <c r="J563" s="108" t="n"/>
      <c r="K563" s="108" t="n"/>
      <c r="L563" s="109" t="n"/>
      <c r="M563" s="109" t="n"/>
      <c r="N563" s="109" t="n"/>
      <c r="O563" s="220" t="n"/>
      <c r="P563" s="227">
        <f>IF(OR($E563="",$I563=""),"",IF(OR($J563="Tamamlandı",$J563="İptal"),"",$I563-TODAY()))</f>
        <v/>
      </c>
      <c r="Q563" s="113">
        <f>IF($E563="","",IF($D563="TANIMSIZ MÜŞTERİ","HATA",IF(OR($J563="Tamamlandı",$J563="İptal"),"KAPALI",IF(AND($C563="Görüşme",$N563=""),"SONRAKİ İŞLEM EKSİK",IF($I563="","TARİH EKSİK",IF($I563&lt;TODAY(),"GECİKMİŞ",IF($I563=TODAY(),"BUGÜN",IF($I563&lt;=TODAY()+7,"7 GÜN İÇİNDE","PLANLI"))))))))</f>
        <v/>
      </c>
      <c r="R563" s="6" t="n"/>
      <c r="S563" s="6" t="n"/>
      <c r="T563" s="3" t="n"/>
      <c r="U563" s="3">
        <f>IF($E563="","",UPPER(SUBSTITUTE(SUBSTITUTE(SUBSTITUTE(SUBSTITUTE(SUBSTITUTE(SUBSTITUTE(SUBSTITUTE(SUBSTITUTE(SUBSTITUTE(SUBSTITUTE(SUBSTITUTE(SUBSTITUTE(SUBSTITUTE(SUBSTITUTE(SUBSTITUTE(SUBSTITUTE(SUBSTITUTE(SUBSTITUTE(TRIM($E563),"'",""),"İ","I"),"ı","I"),"i","I"),"Ş","S"),"ş","S"),"Ğ","G"),"ğ","G"),"Ü","U"),"ü","U"),"Ö","O"),"ö","O"),"Ç","C"),"ç","C"),".",""),",","")," ",""),"-","")))</f>
        <v/>
      </c>
    </row>
    <row r="564">
      <c r="A564" s="6" t="n"/>
      <c r="B564" s="113">
        <f>IF($E564="","","A"&amp;TEXT(ROW()-6,"00000"))</f>
        <v/>
      </c>
      <c r="C564" s="108" t="n"/>
      <c r="D564" s="113">
        <f>IF($E564="","",IFERROR(INDEX(MUSTERILER!$B$7:$B$106,MATCH($U564,MUSTERILER!$T$7:$T$106,0)),IFERROR(INDEX(MUSTERILER!$B$7:$B$106,MATCH($E564,MUSTERILER!$B$7:$B$106,0)),IFERROR(INDEX(MUSTERILER!$B$7:$B$106,MATCH($U564&amp;"*",MUSTERILER!$T$7:$T$106,0)),"TANIMSIZ MÜŞTERİ"))))</f>
        <v/>
      </c>
      <c r="E564" s="109" t="n"/>
      <c r="F564" s="109" t="n"/>
      <c r="G564" s="108" t="n"/>
      <c r="H564" s="220" t="n"/>
      <c r="I564" s="220" t="n"/>
      <c r="J564" s="108" t="n"/>
      <c r="K564" s="108" t="n"/>
      <c r="L564" s="109" t="n"/>
      <c r="M564" s="109" t="n"/>
      <c r="N564" s="109" t="n"/>
      <c r="O564" s="220" t="n"/>
      <c r="P564" s="227">
        <f>IF(OR($E564="",$I564=""),"",IF(OR($J564="Tamamlandı",$J564="İptal"),"",$I564-TODAY()))</f>
        <v/>
      </c>
      <c r="Q564" s="113">
        <f>IF($E564="","",IF($D564="TANIMSIZ MÜŞTERİ","HATA",IF(OR($J564="Tamamlandı",$J564="İptal"),"KAPALI",IF(AND($C564="Görüşme",$N564=""),"SONRAKİ İŞLEM EKSİK",IF($I564="","TARİH EKSİK",IF($I564&lt;TODAY(),"GECİKMİŞ",IF($I564=TODAY(),"BUGÜN",IF($I564&lt;=TODAY()+7,"7 GÜN İÇİNDE","PLANLI"))))))))</f>
        <v/>
      </c>
      <c r="R564" s="6" t="n"/>
      <c r="S564" s="6" t="n"/>
      <c r="T564" s="3" t="n"/>
      <c r="U564" s="3">
        <f>IF($E564="","",UPPER(SUBSTITUTE(SUBSTITUTE(SUBSTITUTE(SUBSTITUTE(SUBSTITUTE(SUBSTITUTE(SUBSTITUTE(SUBSTITUTE(SUBSTITUTE(SUBSTITUTE(SUBSTITUTE(SUBSTITUTE(SUBSTITUTE(SUBSTITUTE(SUBSTITUTE(SUBSTITUTE(SUBSTITUTE(SUBSTITUTE(TRIM($E564),"'",""),"İ","I"),"ı","I"),"i","I"),"Ş","S"),"ş","S"),"Ğ","G"),"ğ","G"),"Ü","U"),"ü","U"),"Ö","O"),"ö","O"),"Ç","C"),"ç","C"),".",""),",","")," ",""),"-","")))</f>
        <v/>
      </c>
    </row>
    <row r="565">
      <c r="A565" s="6" t="n"/>
      <c r="B565" s="113">
        <f>IF($E565="","","A"&amp;TEXT(ROW()-6,"00000"))</f>
        <v/>
      </c>
      <c r="C565" s="108" t="n"/>
      <c r="D565" s="113">
        <f>IF($E565="","",IFERROR(INDEX(MUSTERILER!$B$7:$B$106,MATCH($U565,MUSTERILER!$T$7:$T$106,0)),IFERROR(INDEX(MUSTERILER!$B$7:$B$106,MATCH($E565,MUSTERILER!$B$7:$B$106,0)),IFERROR(INDEX(MUSTERILER!$B$7:$B$106,MATCH($U565&amp;"*",MUSTERILER!$T$7:$T$106,0)),"TANIMSIZ MÜŞTERİ"))))</f>
        <v/>
      </c>
      <c r="E565" s="109" t="n"/>
      <c r="F565" s="109" t="n"/>
      <c r="G565" s="108" t="n"/>
      <c r="H565" s="220" t="n"/>
      <c r="I565" s="220" t="n"/>
      <c r="J565" s="108" t="n"/>
      <c r="K565" s="108" t="n"/>
      <c r="L565" s="109" t="n"/>
      <c r="M565" s="109" t="n"/>
      <c r="N565" s="109" t="n"/>
      <c r="O565" s="220" t="n"/>
      <c r="P565" s="227">
        <f>IF(OR($E565="",$I565=""),"",IF(OR($J565="Tamamlandı",$J565="İptal"),"",$I565-TODAY()))</f>
        <v/>
      </c>
      <c r="Q565" s="113">
        <f>IF($E565="","",IF($D565="TANIMSIZ MÜŞTERİ","HATA",IF(OR($J565="Tamamlandı",$J565="İptal"),"KAPALI",IF(AND($C565="Görüşme",$N565=""),"SONRAKİ İŞLEM EKSİK",IF($I565="","TARİH EKSİK",IF($I565&lt;TODAY(),"GECİKMİŞ",IF($I565=TODAY(),"BUGÜN",IF($I565&lt;=TODAY()+7,"7 GÜN İÇİNDE","PLANLI"))))))))</f>
        <v/>
      </c>
      <c r="R565" s="6" t="n"/>
      <c r="S565" s="6" t="n"/>
      <c r="T565" s="3" t="n"/>
      <c r="U565" s="3">
        <f>IF($E565="","",UPPER(SUBSTITUTE(SUBSTITUTE(SUBSTITUTE(SUBSTITUTE(SUBSTITUTE(SUBSTITUTE(SUBSTITUTE(SUBSTITUTE(SUBSTITUTE(SUBSTITUTE(SUBSTITUTE(SUBSTITUTE(SUBSTITUTE(SUBSTITUTE(SUBSTITUTE(SUBSTITUTE(SUBSTITUTE(SUBSTITUTE(TRIM($E565),"'",""),"İ","I"),"ı","I"),"i","I"),"Ş","S"),"ş","S"),"Ğ","G"),"ğ","G"),"Ü","U"),"ü","U"),"Ö","O"),"ö","O"),"Ç","C"),"ç","C"),".",""),",","")," ",""),"-","")))</f>
        <v/>
      </c>
    </row>
    <row r="566">
      <c r="A566" s="6" t="n"/>
      <c r="B566" s="113">
        <f>IF($E566="","","A"&amp;TEXT(ROW()-6,"00000"))</f>
        <v/>
      </c>
      <c r="C566" s="108" t="n"/>
      <c r="D566" s="113">
        <f>IF($E566="","",IFERROR(INDEX(MUSTERILER!$B$7:$B$106,MATCH($U566,MUSTERILER!$T$7:$T$106,0)),IFERROR(INDEX(MUSTERILER!$B$7:$B$106,MATCH($E566,MUSTERILER!$B$7:$B$106,0)),IFERROR(INDEX(MUSTERILER!$B$7:$B$106,MATCH($U566&amp;"*",MUSTERILER!$T$7:$T$106,0)),"TANIMSIZ MÜŞTERİ"))))</f>
        <v/>
      </c>
      <c r="E566" s="109" t="n"/>
      <c r="F566" s="109" t="n"/>
      <c r="G566" s="108" t="n"/>
      <c r="H566" s="220" t="n"/>
      <c r="I566" s="220" t="n"/>
      <c r="J566" s="108" t="n"/>
      <c r="K566" s="108" t="n"/>
      <c r="L566" s="109" t="n"/>
      <c r="M566" s="109" t="n"/>
      <c r="N566" s="109" t="n"/>
      <c r="O566" s="220" t="n"/>
      <c r="P566" s="227">
        <f>IF(OR($E566="",$I566=""),"",IF(OR($J566="Tamamlandı",$J566="İptal"),"",$I566-TODAY()))</f>
        <v/>
      </c>
      <c r="Q566" s="113">
        <f>IF($E566="","",IF($D566="TANIMSIZ MÜŞTERİ","HATA",IF(OR($J566="Tamamlandı",$J566="İptal"),"KAPALI",IF(AND($C566="Görüşme",$N566=""),"SONRAKİ İŞLEM EKSİK",IF($I566="","TARİH EKSİK",IF($I566&lt;TODAY(),"GECİKMİŞ",IF($I566=TODAY(),"BUGÜN",IF($I566&lt;=TODAY()+7,"7 GÜN İÇİNDE","PLANLI"))))))))</f>
        <v/>
      </c>
      <c r="R566" s="6" t="n"/>
      <c r="S566" s="6" t="n"/>
      <c r="T566" s="3" t="n"/>
      <c r="U566" s="3">
        <f>IF($E566="","",UPPER(SUBSTITUTE(SUBSTITUTE(SUBSTITUTE(SUBSTITUTE(SUBSTITUTE(SUBSTITUTE(SUBSTITUTE(SUBSTITUTE(SUBSTITUTE(SUBSTITUTE(SUBSTITUTE(SUBSTITUTE(SUBSTITUTE(SUBSTITUTE(SUBSTITUTE(SUBSTITUTE(SUBSTITUTE(SUBSTITUTE(TRIM($E566),"'",""),"İ","I"),"ı","I"),"i","I"),"Ş","S"),"ş","S"),"Ğ","G"),"ğ","G"),"Ü","U"),"ü","U"),"Ö","O"),"ö","O"),"Ç","C"),"ç","C"),".",""),",","")," ",""),"-","")))</f>
        <v/>
      </c>
    </row>
    <row r="567">
      <c r="A567" s="6" t="n"/>
      <c r="B567" s="113">
        <f>IF($E567="","","A"&amp;TEXT(ROW()-6,"00000"))</f>
        <v/>
      </c>
      <c r="C567" s="108" t="n"/>
      <c r="D567" s="113">
        <f>IF($E567="","",IFERROR(INDEX(MUSTERILER!$B$7:$B$106,MATCH($U567,MUSTERILER!$T$7:$T$106,0)),IFERROR(INDEX(MUSTERILER!$B$7:$B$106,MATCH($E567,MUSTERILER!$B$7:$B$106,0)),IFERROR(INDEX(MUSTERILER!$B$7:$B$106,MATCH($U567&amp;"*",MUSTERILER!$T$7:$T$106,0)),"TANIMSIZ MÜŞTERİ"))))</f>
        <v/>
      </c>
      <c r="E567" s="109" t="n"/>
      <c r="F567" s="109" t="n"/>
      <c r="G567" s="108" t="n"/>
      <c r="H567" s="220" t="n"/>
      <c r="I567" s="220" t="n"/>
      <c r="J567" s="108" t="n"/>
      <c r="K567" s="108" t="n"/>
      <c r="L567" s="109" t="n"/>
      <c r="M567" s="109" t="n"/>
      <c r="N567" s="109" t="n"/>
      <c r="O567" s="220" t="n"/>
      <c r="P567" s="227">
        <f>IF(OR($E567="",$I567=""),"",IF(OR($J567="Tamamlandı",$J567="İptal"),"",$I567-TODAY()))</f>
        <v/>
      </c>
      <c r="Q567" s="113">
        <f>IF($E567="","",IF($D567="TANIMSIZ MÜŞTERİ","HATA",IF(OR($J567="Tamamlandı",$J567="İptal"),"KAPALI",IF(AND($C567="Görüşme",$N567=""),"SONRAKİ İŞLEM EKSİK",IF($I567="","TARİH EKSİK",IF($I567&lt;TODAY(),"GECİKMİŞ",IF($I567=TODAY(),"BUGÜN",IF($I567&lt;=TODAY()+7,"7 GÜN İÇİNDE","PLANLI"))))))))</f>
        <v/>
      </c>
      <c r="R567" s="6" t="n"/>
      <c r="S567" s="6" t="n"/>
      <c r="T567" s="3" t="n"/>
      <c r="U567" s="3">
        <f>IF($E567="","",UPPER(SUBSTITUTE(SUBSTITUTE(SUBSTITUTE(SUBSTITUTE(SUBSTITUTE(SUBSTITUTE(SUBSTITUTE(SUBSTITUTE(SUBSTITUTE(SUBSTITUTE(SUBSTITUTE(SUBSTITUTE(SUBSTITUTE(SUBSTITUTE(SUBSTITUTE(SUBSTITUTE(SUBSTITUTE(SUBSTITUTE(TRIM($E567),"'",""),"İ","I"),"ı","I"),"i","I"),"Ş","S"),"ş","S"),"Ğ","G"),"ğ","G"),"Ü","U"),"ü","U"),"Ö","O"),"ö","O"),"Ç","C"),"ç","C"),".",""),",","")," ",""),"-","")))</f>
        <v/>
      </c>
    </row>
    <row r="568">
      <c r="A568" s="6" t="n"/>
      <c r="B568" s="113">
        <f>IF($E568="","","A"&amp;TEXT(ROW()-6,"00000"))</f>
        <v/>
      </c>
      <c r="C568" s="108" t="n"/>
      <c r="D568" s="113">
        <f>IF($E568="","",IFERROR(INDEX(MUSTERILER!$B$7:$B$106,MATCH($U568,MUSTERILER!$T$7:$T$106,0)),IFERROR(INDEX(MUSTERILER!$B$7:$B$106,MATCH($E568,MUSTERILER!$B$7:$B$106,0)),IFERROR(INDEX(MUSTERILER!$B$7:$B$106,MATCH($U568&amp;"*",MUSTERILER!$T$7:$T$106,0)),"TANIMSIZ MÜŞTERİ"))))</f>
        <v/>
      </c>
      <c r="E568" s="109" t="n"/>
      <c r="F568" s="109" t="n"/>
      <c r="G568" s="108" t="n"/>
      <c r="H568" s="220" t="n"/>
      <c r="I568" s="220" t="n"/>
      <c r="J568" s="108" t="n"/>
      <c r="K568" s="108" t="n"/>
      <c r="L568" s="109" t="n"/>
      <c r="M568" s="109" t="n"/>
      <c r="N568" s="109" t="n"/>
      <c r="O568" s="220" t="n"/>
      <c r="P568" s="227">
        <f>IF(OR($E568="",$I568=""),"",IF(OR($J568="Tamamlandı",$J568="İptal"),"",$I568-TODAY()))</f>
        <v/>
      </c>
      <c r="Q568" s="113">
        <f>IF($E568="","",IF($D568="TANIMSIZ MÜŞTERİ","HATA",IF(OR($J568="Tamamlandı",$J568="İptal"),"KAPALI",IF(AND($C568="Görüşme",$N568=""),"SONRAKİ İŞLEM EKSİK",IF($I568="","TARİH EKSİK",IF($I568&lt;TODAY(),"GECİKMİŞ",IF($I568=TODAY(),"BUGÜN",IF($I568&lt;=TODAY()+7,"7 GÜN İÇİNDE","PLANLI"))))))))</f>
        <v/>
      </c>
      <c r="R568" s="6" t="n"/>
      <c r="S568" s="6" t="n"/>
      <c r="T568" s="3" t="n"/>
      <c r="U568" s="3">
        <f>IF($E568="","",UPPER(SUBSTITUTE(SUBSTITUTE(SUBSTITUTE(SUBSTITUTE(SUBSTITUTE(SUBSTITUTE(SUBSTITUTE(SUBSTITUTE(SUBSTITUTE(SUBSTITUTE(SUBSTITUTE(SUBSTITUTE(SUBSTITUTE(SUBSTITUTE(SUBSTITUTE(SUBSTITUTE(SUBSTITUTE(SUBSTITUTE(TRIM($E568),"'",""),"İ","I"),"ı","I"),"i","I"),"Ş","S"),"ş","S"),"Ğ","G"),"ğ","G"),"Ü","U"),"ü","U"),"Ö","O"),"ö","O"),"Ç","C"),"ç","C"),".",""),",","")," ",""),"-","")))</f>
        <v/>
      </c>
    </row>
    <row r="569">
      <c r="A569" s="6" t="n"/>
      <c r="B569" s="113">
        <f>IF($E569="","","A"&amp;TEXT(ROW()-6,"00000"))</f>
        <v/>
      </c>
      <c r="C569" s="108" t="n"/>
      <c r="D569" s="113">
        <f>IF($E569="","",IFERROR(INDEX(MUSTERILER!$B$7:$B$106,MATCH($U569,MUSTERILER!$T$7:$T$106,0)),IFERROR(INDEX(MUSTERILER!$B$7:$B$106,MATCH($E569,MUSTERILER!$B$7:$B$106,0)),IFERROR(INDEX(MUSTERILER!$B$7:$B$106,MATCH($U569&amp;"*",MUSTERILER!$T$7:$T$106,0)),"TANIMSIZ MÜŞTERİ"))))</f>
        <v/>
      </c>
      <c r="E569" s="109" t="n"/>
      <c r="F569" s="109" t="n"/>
      <c r="G569" s="108" t="n"/>
      <c r="H569" s="220" t="n"/>
      <c r="I569" s="220" t="n"/>
      <c r="J569" s="108" t="n"/>
      <c r="K569" s="108" t="n"/>
      <c r="L569" s="109" t="n"/>
      <c r="M569" s="109" t="n"/>
      <c r="N569" s="109" t="n"/>
      <c r="O569" s="220" t="n"/>
      <c r="P569" s="227">
        <f>IF(OR($E569="",$I569=""),"",IF(OR($J569="Tamamlandı",$J569="İptal"),"",$I569-TODAY()))</f>
        <v/>
      </c>
      <c r="Q569" s="113">
        <f>IF($E569="","",IF($D569="TANIMSIZ MÜŞTERİ","HATA",IF(OR($J569="Tamamlandı",$J569="İptal"),"KAPALI",IF(AND($C569="Görüşme",$N569=""),"SONRAKİ İŞLEM EKSİK",IF($I569="","TARİH EKSİK",IF($I569&lt;TODAY(),"GECİKMİŞ",IF($I569=TODAY(),"BUGÜN",IF($I569&lt;=TODAY()+7,"7 GÜN İÇİNDE","PLANLI"))))))))</f>
        <v/>
      </c>
      <c r="R569" s="6" t="n"/>
      <c r="S569" s="6" t="n"/>
      <c r="T569" s="3" t="n"/>
      <c r="U569" s="3">
        <f>IF($E569="","",UPPER(SUBSTITUTE(SUBSTITUTE(SUBSTITUTE(SUBSTITUTE(SUBSTITUTE(SUBSTITUTE(SUBSTITUTE(SUBSTITUTE(SUBSTITUTE(SUBSTITUTE(SUBSTITUTE(SUBSTITUTE(SUBSTITUTE(SUBSTITUTE(SUBSTITUTE(SUBSTITUTE(SUBSTITUTE(SUBSTITUTE(TRIM($E569),"'",""),"İ","I"),"ı","I"),"i","I"),"Ş","S"),"ş","S"),"Ğ","G"),"ğ","G"),"Ü","U"),"ü","U"),"Ö","O"),"ö","O"),"Ç","C"),"ç","C"),".",""),",","")," ",""),"-","")))</f>
        <v/>
      </c>
    </row>
    <row r="570">
      <c r="A570" s="6" t="n"/>
      <c r="B570" s="113">
        <f>IF($E570="","","A"&amp;TEXT(ROW()-6,"00000"))</f>
        <v/>
      </c>
      <c r="C570" s="108" t="n"/>
      <c r="D570" s="113">
        <f>IF($E570="","",IFERROR(INDEX(MUSTERILER!$B$7:$B$106,MATCH($U570,MUSTERILER!$T$7:$T$106,0)),IFERROR(INDEX(MUSTERILER!$B$7:$B$106,MATCH($E570,MUSTERILER!$B$7:$B$106,0)),IFERROR(INDEX(MUSTERILER!$B$7:$B$106,MATCH($U570&amp;"*",MUSTERILER!$T$7:$T$106,0)),"TANIMSIZ MÜŞTERİ"))))</f>
        <v/>
      </c>
      <c r="E570" s="109" t="n"/>
      <c r="F570" s="109" t="n"/>
      <c r="G570" s="108" t="n"/>
      <c r="H570" s="220" t="n"/>
      <c r="I570" s="220" t="n"/>
      <c r="J570" s="108" t="n"/>
      <c r="K570" s="108" t="n"/>
      <c r="L570" s="109" t="n"/>
      <c r="M570" s="109" t="n"/>
      <c r="N570" s="109" t="n"/>
      <c r="O570" s="220" t="n"/>
      <c r="P570" s="227">
        <f>IF(OR($E570="",$I570=""),"",IF(OR($J570="Tamamlandı",$J570="İptal"),"",$I570-TODAY()))</f>
        <v/>
      </c>
      <c r="Q570" s="113">
        <f>IF($E570="","",IF($D570="TANIMSIZ MÜŞTERİ","HATA",IF(OR($J570="Tamamlandı",$J570="İptal"),"KAPALI",IF(AND($C570="Görüşme",$N570=""),"SONRAKİ İŞLEM EKSİK",IF($I570="","TARİH EKSİK",IF($I570&lt;TODAY(),"GECİKMİŞ",IF($I570=TODAY(),"BUGÜN",IF($I570&lt;=TODAY()+7,"7 GÜN İÇİNDE","PLANLI"))))))))</f>
        <v/>
      </c>
      <c r="R570" s="6" t="n"/>
      <c r="S570" s="6" t="n"/>
      <c r="T570" s="3" t="n"/>
      <c r="U570" s="3">
        <f>IF($E570="","",UPPER(SUBSTITUTE(SUBSTITUTE(SUBSTITUTE(SUBSTITUTE(SUBSTITUTE(SUBSTITUTE(SUBSTITUTE(SUBSTITUTE(SUBSTITUTE(SUBSTITUTE(SUBSTITUTE(SUBSTITUTE(SUBSTITUTE(SUBSTITUTE(SUBSTITUTE(SUBSTITUTE(SUBSTITUTE(SUBSTITUTE(TRIM($E570),"'",""),"İ","I"),"ı","I"),"i","I"),"Ş","S"),"ş","S"),"Ğ","G"),"ğ","G"),"Ü","U"),"ü","U"),"Ö","O"),"ö","O"),"Ç","C"),"ç","C"),".",""),",","")," ",""),"-","")))</f>
        <v/>
      </c>
    </row>
    <row r="571">
      <c r="A571" s="6" t="n"/>
      <c r="B571" s="113">
        <f>IF($E571="","","A"&amp;TEXT(ROW()-6,"00000"))</f>
        <v/>
      </c>
      <c r="C571" s="108" t="n"/>
      <c r="D571" s="113">
        <f>IF($E571="","",IFERROR(INDEX(MUSTERILER!$B$7:$B$106,MATCH($U571,MUSTERILER!$T$7:$T$106,0)),IFERROR(INDEX(MUSTERILER!$B$7:$B$106,MATCH($E571,MUSTERILER!$B$7:$B$106,0)),IFERROR(INDEX(MUSTERILER!$B$7:$B$106,MATCH($U571&amp;"*",MUSTERILER!$T$7:$T$106,0)),"TANIMSIZ MÜŞTERİ"))))</f>
        <v/>
      </c>
      <c r="E571" s="109" t="n"/>
      <c r="F571" s="109" t="n"/>
      <c r="G571" s="108" t="n"/>
      <c r="H571" s="220" t="n"/>
      <c r="I571" s="220" t="n"/>
      <c r="J571" s="108" t="n"/>
      <c r="K571" s="108" t="n"/>
      <c r="L571" s="109" t="n"/>
      <c r="M571" s="109" t="n"/>
      <c r="N571" s="109" t="n"/>
      <c r="O571" s="220" t="n"/>
      <c r="P571" s="227">
        <f>IF(OR($E571="",$I571=""),"",IF(OR($J571="Tamamlandı",$J571="İptal"),"",$I571-TODAY()))</f>
        <v/>
      </c>
      <c r="Q571" s="113">
        <f>IF($E571="","",IF($D571="TANIMSIZ MÜŞTERİ","HATA",IF(OR($J571="Tamamlandı",$J571="İptal"),"KAPALI",IF(AND($C571="Görüşme",$N571=""),"SONRAKİ İŞLEM EKSİK",IF($I571="","TARİH EKSİK",IF($I571&lt;TODAY(),"GECİKMİŞ",IF($I571=TODAY(),"BUGÜN",IF($I571&lt;=TODAY()+7,"7 GÜN İÇİNDE","PLANLI"))))))))</f>
        <v/>
      </c>
      <c r="R571" s="6" t="n"/>
      <c r="S571" s="6" t="n"/>
      <c r="T571" s="3" t="n"/>
      <c r="U571" s="3">
        <f>IF($E571="","",UPPER(SUBSTITUTE(SUBSTITUTE(SUBSTITUTE(SUBSTITUTE(SUBSTITUTE(SUBSTITUTE(SUBSTITUTE(SUBSTITUTE(SUBSTITUTE(SUBSTITUTE(SUBSTITUTE(SUBSTITUTE(SUBSTITUTE(SUBSTITUTE(SUBSTITUTE(SUBSTITUTE(SUBSTITUTE(SUBSTITUTE(TRIM($E571),"'",""),"İ","I"),"ı","I"),"i","I"),"Ş","S"),"ş","S"),"Ğ","G"),"ğ","G"),"Ü","U"),"ü","U"),"Ö","O"),"ö","O"),"Ç","C"),"ç","C"),".",""),",","")," ",""),"-","")))</f>
        <v/>
      </c>
    </row>
    <row r="572">
      <c r="A572" s="6" t="n"/>
      <c r="B572" s="113">
        <f>IF($E572="","","A"&amp;TEXT(ROW()-6,"00000"))</f>
        <v/>
      </c>
      <c r="C572" s="108" t="n"/>
      <c r="D572" s="113">
        <f>IF($E572="","",IFERROR(INDEX(MUSTERILER!$B$7:$B$106,MATCH($U572,MUSTERILER!$T$7:$T$106,0)),IFERROR(INDEX(MUSTERILER!$B$7:$B$106,MATCH($E572,MUSTERILER!$B$7:$B$106,0)),IFERROR(INDEX(MUSTERILER!$B$7:$B$106,MATCH($U572&amp;"*",MUSTERILER!$T$7:$T$106,0)),"TANIMSIZ MÜŞTERİ"))))</f>
        <v/>
      </c>
      <c r="E572" s="109" t="n"/>
      <c r="F572" s="109" t="n"/>
      <c r="G572" s="108" t="n"/>
      <c r="H572" s="220" t="n"/>
      <c r="I572" s="220" t="n"/>
      <c r="J572" s="108" t="n"/>
      <c r="K572" s="108" t="n"/>
      <c r="L572" s="109" t="n"/>
      <c r="M572" s="109" t="n"/>
      <c r="N572" s="109" t="n"/>
      <c r="O572" s="220" t="n"/>
      <c r="P572" s="227">
        <f>IF(OR($E572="",$I572=""),"",IF(OR($J572="Tamamlandı",$J572="İptal"),"",$I572-TODAY()))</f>
        <v/>
      </c>
      <c r="Q572" s="113">
        <f>IF($E572="","",IF($D572="TANIMSIZ MÜŞTERİ","HATA",IF(OR($J572="Tamamlandı",$J572="İptal"),"KAPALI",IF(AND($C572="Görüşme",$N572=""),"SONRAKİ İŞLEM EKSİK",IF($I572="","TARİH EKSİK",IF($I572&lt;TODAY(),"GECİKMİŞ",IF($I572=TODAY(),"BUGÜN",IF($I572&lt;=TODAY()+7,"7 GÜN İÇİNDE","PLANLI"))))))))</f>
        <v/>
      </c>
      <c r="R572" s="6" t="n"/>
      <c r="S572" s="6" t="n"/>
      <c r="T572" s="3" t="n"/>
      <c r="U572" s="3">
        <f>IF($E572="","",UPPER(SUBSTITUTE(SUBSTITUTE(SUBSTITUTE(SUBSTITUTE(SUBSTITUTE(SUBSTITUTE(SUBSTITUTE(SUBSTITUTE(SUBSTITUTE(SUBSTITUTE(SUBSTITUTE(SUBSTITUTE(SUBSTITUTE(SUBSTITUTE(SUBSTITUTE(SUBSTITUTE(SUBSTITUTE(SUBSTITUTE(TRIM($E572),"'",""),"İ","I"),"ı","I"),"i","I"),"Ş","S"),"ş","S"),"Ğ","G"),"ğ","G"),"Ü","U"),"ü","U"),"Ö","O"),"ö","O"),"Ç","C"),"ç","C"),".",""),",","")," ",""),"-","")))</f>
        <v/>
      </c>
    </row>
    <row r="573">
      <c r="A573" s="6" t="n"/>
      <c r="B573" s="113">
        <f>IF($E573="","","A"&amp;TEXT(ROW()-6,"00000"))</f>
        <v/>
      </c>
      <c r="C573" s="108" t="n"/>
      <c r="D573" s="113">
        <f>IF($E573="","",IFERROR(INDEX(MUSTERILER!$B$7:$B$106,MATCH($U573,MUSTERILER!$T$7:$T$106,0)),IFERROR(INDEX(MUSTERILER!$B$7:$B$106,MATCH($E573,MUSTERILER!$B$7:$B$106,0)),IFERROR(INDEX(MUSTERILER!$B$7:$B$106,MATCH($U573&amp;"*",MUSTERILER!$T$7:$T$106,0)),"TANIMSIZ MÜŞTERİ"))))</f>
        <v/>
      </c>
      <c r="E573" s="109" t="n"/>
      <c r="F573" s="109" t="n"/>
      <c r="G573" s="108" t="n"/>
      <c r="H573" s="220" t="n"/>
      <c r="I573" s="220" t="n"/>
      <c r="J573" s="108" t="n"/>
      <c r="K573" s="108" t="n"/>
      <c r="L573" s="109" t="n"/>
      <c r="M573" s="109" t="n"/>
      <c r="N573" s="109" t="n"/>
      <c r="O573" s="220" t="n"/>
      <c r="P573" s="227">
        <f>IF(OR($E573="",$I573=""),"",IF(OR($J573="Tamamlandı",$J573="İptal"),"",$I573-TODAY()))</f>
        <v/>
      </c>
      <c r="Q573" s="113">
        <f>IF($E573="","",IF($D573="TANIMSIZ MÜŞTERİ","HATA",IF(OR($J573="Tamamlandı",$J573="İptal"),"KAPALI",IF(AND($C573="Görüşme",$N573=""),"SONRAKİ İŞLEM EKSİK",IF($I573="","TARİH EKSİK",IF($I573&lt;TODAY(),"GECİKMİŞ",IF($I573=TODAY(),"BUGÜN",IF($I573&lt;=TODAY()+7,"7 GÜN İÇİNDE","PLANLI"))))))))</f>
        <v/>
      </c>
      <c r="R573" s="6" t="n"/>
      <c r="S573" s="6" t="n"/>
      <c r="T573" s="3" t="n"/>
      <c r="U573" s="3">
        <f>IF($E573="","",UPPER(SUBSTITUTE(SUBSTITUTE(SUBSTITUTE(SUBSTITUTE(SUBSTITUTE(SUBSTITUTE(SUBSTITUTE(SUBSTITUTE(SUBSTITUTE(SUBSTITUTE(SUBSTITUTE(SUBSTITUTE(SUBSTITUTE(SUBSTITUTE(SUBSTITUTE(SUBSTITUTE(SUBSTITUTE(SUBSTITUTE(TRIM($E573),"'",""),"İ","I"),"ı","I"),"i","I"),"Ş","S"),"ş","S"),"Ğ","G"),"ğ","G"),"Ü","U"),"ü","U"),"Ö","O"),"ö","O"),"Ç","C"),"ç","C"),".",""),",","")," ",""),"-","")))</f>
        <v/>
      </c>
    </row>
    <row r="574">
      <c r="A574" s="6" t="n"/>
      <c r="B574" s="113">
        <f>IF($E574="","","A"&amp;TEXT(ROW()-6,"00000"))</f>
        <v/>
      </c>
      <c r="C574" s="108" t="n"/>
      <c r="D574" s="113">
        <f>IF($E574="","",IFERROR(INDEX(MUSTERILER!$B$7:$B$106,MATCH($U574,MUSTERILER!$T$7:$T$106,0)),IFERROR(INDEX(MUSTERILER!$B$7:$B$106,MATCH($E574,MUSTERILER!$B$7:$B$106,0)),IFERROR(INDEX(MUSTERILER!$B$7:$B$106,MATCH($U574&amp;"*",MUSTERILER!$T$7:$T$106,0)),"TANIMSIZ MÜŞTERİ"))))</f>
        <v/>
      </c>
      <c r="E574" s="109" t="n"/>
      <c r="F574" s="109" t="n"/>
      <c r="G574" s="108" t="n"/>
      <c r="H574" s="220" t="n"/>
      <c r="I574" s="220" t="n"/>
      <c r="J574" s="108" t="n"/>
      <c r="K574" s="108" t="n"/>
      <c r="L574" s="109" t="n"/>
      <c r="M574" s="109" t="n"/>
      <c r="N574" s="109" t="n"/>
      <c r="O574" s="220" t="n"/>
      <c r="P574" s="227">
        <f>IF(OR($E574="",$I574=""),"",IF(OR($J574="Tamamlandı",$J574="İptal"),"",$I574-TODAY()))</f>
        <v/>
      </c>
      <c r="Q574" s="113">
        <f>IF($E574="","",IF($D574="TANIMSIZ MÜŞTERİ","HATA",IF(OR($J574="Tamamlandı",$J574="İptal"),"KAPALI",IF(AND($C574="Görüşme",$N574=""),"SONRAKİ İŞLEM EKSİK",IF($I574="","TARİH EKSİK",IF($I574&lt;TODAY(),"GECİKMİŞ",IF($I574=TODAY(),"BUGÜN",IF($I574&lt;=TODAY()+7,"7 GÜN İÇİNDE","PLANLI"))))))))</f>
        <v/>
      </c>
      <c r="R574" s="6" t="n"/>
      <c r="S574" s="6" t="n"/>
      <c r="T574" s="3" t="n"/>
      <c r="U574" s="3">
        <f>IF($E574="","",UPPER(SUBSTITUTE(SUBSTITUTE(SUBSTITUTE(SUBSTITUTE(SUBSTITUTE(SUBSTITUTE(SUBSTITUTE(SUBSTITUTE(SUBSTITUTE(SUBSTITUTE(SUBSTITUTE(SUBSTITUTE(SUBSTITUTE(SUBSTITUTE(SUBSTITUTE(SUBSTITUTE(SUBSTITUTE(SUBSTITUTE(TRIM($E574),"'",""),"İ","I"),"ı","I"),"i","I"),"Ş","S"),"ş","S"),"Ğ","G"),"ğ","G"),"Ü","U"),"ü","U"),"Ö","O"),"ö","O"),"Ç","C"),"ç","C"),".",""),",","")," ",""),"-","")))</f>
        <v/>
      </c>
    </row>
    <row r="575">
      <c r="A575" s="6" t="n"/>
      <c r="B575" s="113">
        <f>IF($E575="","","A"&amp;TEXT(ROW()-6,"00000"))</f>
        <v/>
      </c>
      <c r="C575" s="108" t="n"/>
      <c r="D575" s="113">
        <f>IF($E575="","",IFERROR(INDEX(MUSTERILER!$B$7:$B$106,MATCH($U575,MUSTERILER!$T$7:$T$106,0)),IFERROR(INDEX(MUSTERILER!$B$7:$B$106,MATCH($E575,MUSTERILER!$B$7:$B$106,0)),IFERROR(INDEX(MUSTERILER!$B$7:$B$106,MATCH($U575&amp;"*",MUSTERILER!$T$7:$T$106,0)),"TANIMSIZ MÜŞTERİ"))))</f>
        <v/>
      </c>
      <c r="E575" s="109" t="n"/>
      <c r="F575" s="109" t="n"/>
      <c r="G575" s="108" t="n"/>
      <c r="H575" s="220" t="n"/>
      <c r="I575" s="220" t="n"/>
      <c r="J575" s="108" t="n"/>
      <c r="K575" s="108" t="n"/>
      <c r="L575" s="109" t="n"/>
      <c r="M575" s="109" t="n"/>
      <c r="N575" s="109" t="n"/>
      <c r="O575" s="220" t="n"/>
      <c r="P575" s="227">
        <f>IF(OR($E575="",$I575=""),"",IF(OR($J575="Tamamlandı",$J575="İptal"),"",$I575-TODAY()))</f>
        <v/>
      </c>
      <c r="Q575" s="113">
        <f>IF($E575="","",IF($D575="TANIMSIZ MÜŞTERİ","HATA",IF(OR($J575="Tamamlandı",$J575="İptal"),"KAPALI",IF(AND($C575="Görüşme",$N575=""),"SONRAKİ İŞLEM EKSİK",IF($I575="","TARİH EKSİK",IF($I575&lt;TODAY(),"GECİKMİŞ",IF($I575=TODAY(),"BUGÜN",IF($I575&lt;=TODAY()+7,"7 GÜN İÇİNDE","PLANLI"))))))))</f>
        <v/>
      </c>
      <c r="R575" s="6" t="n"/>
      <c r="S575" s="6" t="n"/>
      <c r="T575" s="3" t="n"/>
      <c r="U575" s="3">
        <f>IF($E575="","",UPPER(SUBSTITUTE(SUBSTITUTE(SUBSTITUTE(SUBSTITUTE(SUBSTITUTE(SUBSTITUTE(SUBSTITUTE(SUBSTITUTE(SUBSTITUTE(SUBSTITUTE(SUBSTITUTE(SUBSTITUTE(SUBSTITUTE(SUBSTITUTE(SUBSTITUTE(SUBSTITUTE(SUBSTITUTE(SUBSTITUTE(TRIM($E575),"'",""),"İ","I"),"ı","I"),"i","I"),"Ş","S"),"ş","S"),"Ğ","G"),"ğ","G"),"Ü","U"),"ü","U"),"Ö","O"),"ö","O"),"Ç","C"),"ç","C"),".",""),",","")," ",""),"-","")))</f>
        <v/>
      </c>
    </row>
    <row r="576">
      <c r="A576" s="6" t="n"/>
      <c r="B576" s="113">
        <f>IF($E576="","","A"&amp;TEXT(ROW()-6,"00000"))</f>
        <v/>
      </c>
      <c r="C576" s="108" t="n"/>
      <c r="D576" s="113">
        <f>IF($E576="","",IFERROR(INDEX(MUSTERILER!$B$7:$B$106,MATCH($U576,MUSTERILER!$T$7:$T$106,0)),IFERROR(INDEX(MUSTERILER!$B$7:$B$106,MATCH($E576,MUSTERILER!$B$7:$B$106,0)),IFERROR(INDEX(MUSTERILER!$B$7:$B$106,MATCH($U576&amp;"*",MUSTERILER!$T$7:$T$106,0)),"TANIMSIZ MÜŞTERİ"))))</f>
        <v/>
      </c>
      <c r="E576" s="109" t="n"/>
      <c r="F576" s="109" t="n"/>
      <c r="G576" s="108" t="n"/>
      <c r="H576" s="220" t="n"/>
      <c r="I576" s="220" t="n"/>
      <c r="J576" s="108" t="n"/>
      <c r="K576" s="108" t="n"/>
      <c r="L576" s="109" t="n"/>
      <c r="M576" s="109" t="n"/>
      <c r="N576" s="109" t="n"/>
      <c r="O576" s="220" t="n"/>
      <c r="P576" s="227">
        <f>IF(OR($E576="",$I576=""),"",IF(OR($J576="Tamamlandı",$J576="İptal"),"",$I576-TODAY()))</f>
        <v/>
      </c>
      <c r="Q576" s="113">
        <f>IF($E576="","",IF($D576="TANIMSIZ MÜŞTERİ","HATA",IF(OR($J576="Tamamlandı",$J576="İptal"),"KAPALI",IF(AND($C576="Görüşme",$N576=""),"SONRAKİ İŞLEM EKSİK",IF($I576="","TARİH EKSİK",IF($I576&lt;TODAY(),"GECİKMİŞ",IF($I576=TODAY(),"BUGÜN",IF($I576&lt;=TODAY()+7,"7 GÜN İÇİNDE","PLANLI"))))))))</f>
        <v/>
      </c>
      <c r="R576" s="6" t="n"/>
      <c r="S576" s="6" t="n"/>
      <c r="T576" s="3" t="n"/>
      <c r="U576" s="3">
        <f>IF($E576="","",UPPER(SUBSTITUTE(SUBSTITUTE(SUBSTITUTE(SUBSTITUTE(SUBSTITUTE(SUBSTITUTE(SUBSTITUTE(SUBSTITUTE(SUBSTITUTE(SUBSTITUTE(SUBSTITUTE(SUBSTITUTE(SUBSTITUTE(SUBSTITUTE(SUBSTITUTE(SUBSTITUTE(SUBSTITUTE(SUBSTITUTE(TRIM($E576),"'",""),"İ","I"),"ı","I"),"i","I"),"Ş","S"),"ş","S"),"Ğ","G"),"ğ","G"),"Ü","U"),"ü","U"),"Ö","O"),"ö","O"),"Ç","C"),"ç","C"),".",""),",","")," ",""),"-","")))</f>
        <v/>
      </c>
    </row>
    <row r="577">
      <c r="A577" s="6" t="n"/>
      <c r="B577" s="113">
        <f>IF($E577="","","A"&amp;TEXT(ROW()-6,"00000"))</f>
        <v/>
      </c>
      <c r="C577" s="108" t="n"/>
      <c r="D577" s="113">
        <f>IF($E577="","",IFERROR(INDEX(MUSTERILER!$B$7:$B$106,MATCH($U577,MUSTERILER!$T$7:$T$106,0)),IFERROR(INDEX(MUSTERILER!$B$7:$B$106,MATCH($E577,MUSTERILER!$B$7:$B$106,0)),IFERROR(INDEX(MUSTERILER!$B$7:$B$106,MATCH($U577&amp;"*",MUSTERILER!$T$7:$T$106,0)),"TANIMSIZ MÜŞTERİ"))))</f>
        <v/>
      </c>
      <c r="E577" s="109" t="n"/>
      <c r="F577" s="109" t="n"/>
      <c r="G577" s="108" t="n"/>
      <c r="H577" s="220" t="n"/>
      <c r="I577" s="220" t="n"/>
      <c r="J577" s="108" t="n"/>
      <c r="K577" s="108" t="n"/>
      <c r="L577" s="109" t="n"/>
      <c r="M577" s="109" t="n"/>
      <c r="N577" s="109" t="n"/>
      <c r="O577" s="220" t="n"/>
      <c r="P577" s="227">
        <f>IF(OR($E577="",$I577=""),"",IF(OR($J577="Tamamlandı",$J577="İptal"),"",$I577-TODAY()))</f>
        <v/>
      </c>
      <c r="Q577" s="113">
        <f>IF($E577="","",IF($D577="TANIMSIZ MÜŞTERİ","HATA",IF(OR($J577="Tamamlandı",$J577="İptal"),"KAPALI",IF(AND($C577="Görüşme",$N577=""),"SONRAKİ İŞLEM EKSİK",IF($I577="","TARİH EKSİK",IF($I577&lt;TODAY(),"GECİKMİŞ",IF($I577=TODAY(),"BUGÜN",IF($I577&lt;=TODAY()+7,"7 GÜN İÇİNDE","PLANLI"))))))))</f>
        <v/>
      </c>
      <c r="R577" s="6" t="n"/>
      <c r="S577" s="6" t="n"/>
      <c r="T577" s="3" t="n"/>
      <c r="U577" s="3">
        <f>IF($E577="","",UPPER(SUBSTITUTE(SUBSTITUTE(SUBSTITUTE(SUBSTITUTE(SUBSTITUTE(SUBSTITUTE(SUBSTITUTE(SUBSTITUTE(SUBSTITUTE(SUBSTITUTE(SUBSTITUTE(SUBSTITUTE(SUBSTITUTE(SUBSTITUTE(SUBSTITUTE(SUBSTITUTE(SUBSTITUTE(SUBSTITUTE(TRIM($E577),"'",""),"İ","I"),"ı","I"),"i","I"),"Ş","S"),"ş","S"),"Ğ","G"),"ğ","G"),"Ü","U"),"ü","U"),"Ö","O"),"ö","O"),"Ç","C"),"ç","C"),".",""),",","")," ",""),"-","")))</f>
        <v/>
      </c>
    </row>
    <row r="578">
      <c r="A578" s="6" t="n"/>
      <c r="B578" s="113">
        <f>IF($E578="","","A"&amp;TEXT(ROW()-6,"00000"))</f>
        <v/>
      </c>
      <c r="C578" s="108" t="n"/>
      <c r="D578" s="113">
        <f>IF($E578="","",IFERROR(INDEX(MUSTERILER!$B$7:$B$106,MATCH($U578,MUSTERILER!$T$7:$T$106,0)),IFERROR(INDEX(MUSTERILER!$B$7:$B$106,MATCH($E578,MUSTERILER!$B$7:$B$106,0)),IFERROR(INDEX(MUSTERILER!$B$7:$B$106,MATCH($U578&amp;"*",MUSTERILER!$T$7:$T$106,0)),"TANIMSIZ MÜŞTERİ"))))</f>
        <v/>
      </c>
      <c r="E578" s="109" t="n"/>
      <c r="F578" s="109" t="n"/>
      <c r="G578" s="108" t="n"/>
      <c r="H578" s="220" t="n"/>
      <c r="I578" s="220" t="n"/>
      <c r="J578" s="108" t="n"/>
      <c r="K578" s="108" t="n"/>
      <c r="L578" s="109" t="n"/>
      <c r="M578" s="109" t="n"/>
      <c r="N578" s="109" t="n"/>
      <c r="O578" s="220" t="n"/>
      <c r="P578" s="227">
        <f>IF(OR($E578="",$I578=""),"",IF(OR($J578="Tamamlandı",$J578="İptal"),"",$I578-TODAY()))</f>
        <v/>
      </c>
      <c r="Q578" s="113">
        <f>IF($E578="","",IF($D578="TANIMSIZ MÜŞTERİ","HATA",IF(OR($J578="Tamamlandı",$J578="İptal"),"KAPALI",IF(AND($C578="Görüşme",$N578=""),"SONRAKİ İŞLEM EKSİK",IF($I578="","TARİH EKSİK",IF($I578&lt;TODAY(),"GECİKMİŞ",IF($I578=TODAY(),"BUGÜN",IF($I578&lt;=TODAY()+7,"7 GÜN İÇİNDE","PLANLI"))))))))</f>
        <v/>
      </c>
      <c r="R578" s="6" t="n"/>
      <c r="S578" s="6" t="n"/>
      <c r="T578" s="3" t="n"/>
      <c r="U578" s="3">
        <f>IF($E578="","",UPPER(SUBSTITUTE(SUBSTITUTE(SUBSTITUTE(SUBSTITUTE(SUBSTITUTE(SUBSTITUTE(SUBSTITUTE(SUBSTITUTE(SUBSTITUTE(SUBSTITUTE(SUBSTITUTE(SUBSTITUTE(SUBSTITUTE(SUBSTITUTE(SUBSTITUTE(SUBSTITUTE(SUBSTITUTE(SUBSTITUTE(TRIM($E578),"'",""),"İ","I"),"ı","I"),"i","I"),"Ş","S"),"ş","S"),"Ğ","G"),"ğ","G"),"Ü","U"),"ü","U"),"Ö","O"),"ö","O"),"Ç","C"),"ç","C"),".",""),",","")," ",""),"-","")))</f>
        <v/>
      </c>
    </row>
    <row r="579">
      <c r="A579" s="6" t="n"/>
      <c r="B579" s="113">
        <f>IF($E579="","","A"&amp;TEXT(ROW()-6,"00000"))</f>
        <v/>
      </c>
      <c r="C579" s="108" t="n"/>
      <c r="D579" s="113">
        <f>IF($E579="","",IFERROR(INDEX(MUSTERILER!$B$7:$B$106,MATCH($U579,MUSTERILER!$T$7:$T$106,0)),IFERROR(INDEX(MUSTERILER!$B$7:$B$106,MATCH($E579,MUSTERILER!$B$7:$B$106,0)),IFERROR(INDEX(MUSTERILER!$B$7:$B$106,MATCH($U579&amp;"*",MUSTERILER!$T$7:$T$106,0)),"TANIMSIZ MÜŞTERİ"))))</f>
        <v/>
      </c>
      <c r="E579" s="109" t="n"/>
      <c r="F579" s="109" t="n"/>
      <c r="G579" s="108" t="n"/>
      <c r="H579" s="220" t="n"/>
      <c r="I579" s="220" t="n"/>
      <c r="J579" s="108" t="n"/>
      <c r="K579" s="108" t="n"/>
      <c r="L579" s="109" t="n"/>
      <c r="M579" s="109" t="n"/>
      <c r="N579" s="109" t="n"/>
      <c r="O579" s="220" t="n"/>
      <c r="P579" s="227">
        <f>IF(OR($E579="",$I579=""),"",IF(OR($J579="Tamamlandı",$J579="İptal"),"",$I579-TODAY()))</f>
        <v/>
      </c>
      <c r="Q579" s="113">
        <f>IF($E579="","",IF($D579="TANIMSIZ MÜŞTERİ","HATA",IF(OR($J579="Tamamlandı",$J579="İptal"),"KAPALI",IF(AND($C579="Görüşme",$N579=""),"SONRAKİ İŞLEM EKSİK",IF($I579="","TARİH EKSİK",IF($I579&lt;TODAY(),"GECİKMİŞ",IF($I579=TODAY(),"BUGÜN",IF($I579&lt;=TODAY()+7,"7 GÜN İÇİNDE","PLANLI"))))))))</f>
        <v/>
      </c>
      <c r="R579" s="6" t="n"/>
      <c r="S579" s="6" t="n"/>
      <c r="T579" s="3" t="n"/>
      <c r="U579" s="3">
        <f>IF($E579="","",UPPER(SUBSTITUTE(SUBSTITUTE(SUBSTITUTE(SUBSTITUTE(SUBSTITUTE(SUBSTITUTE(SUBSTITUTE(SUBSTITUTE(SUBSTITUTE(SUBSTITUTE(SUBSTITUTE(SUBSTITUTE(SUBSTITUTE(SUBSTITUTE(SUBSTITUTE(SUBSTITUTE(SUBSTITUTE(SUBSTITUTE(TRIM($E579),"'",""),"İ","I"),"ı","I"),"i","I"),"Ş","S"),"ş","S"),"Ğ","G"),"ğ","G"),"Ü","U"),"ü","U"),"Ö","O"),"ö","O"),"Ç","C"),"ç","C"),".",""),",","")," ",""),"-","")))</f>
        <v/>
      </c>
    </row>
    <row r="580">
      <c r="A580" s="6" t="n"/>
      <c r="B580" s="113">
        <f>IF($E580="","","A"&amp;TEXT(ROW()-6,"00000"))</f>
        <v/>
      </c>
      <c r="C580" s="108" t="n"/>
      <c r="D580" s="113">
        <f>IF($E580="","",IFERROR(INDEX(MUSTERILER!$B$7:$B$106,MATCH($U580,MUSTERILER!$T$7:$T$106,0)),IFERROR(INDEX(MUSTERILER!$B$7:$B$106,MATCH($E580,MUSTERILER!$B$7:$B$106,0)),IFERROR(INDEX(MUSTERILER!$B$7:$B$106,MATCH($U580&amp;"*",MUSTERILER!$T$7:$T$106,0)),"TANIMSIZ MÜŞTERİ"))))</f>
        <v/>
      </c>
      <c r="E580" s="109" t="n"/>
      <c r="F580" s="109" t="n"/>
      <c r="G580" s="108" t="n"/>
      <c r="H580" s="220" t="n"/>
      <c r="I580" s="220" t="n"/>
      <c r="J580" s="108" t="n"/>
      <c r="K580" s="108" t="n"/>
      <c r="L580" s="109" t="n"/>
      <c r="M580" s="109" t="n"/>
      <c r="N580" s="109" t="n"/>
      <c r="O580" s="220" t="n"/>
      <c r="P580" s="227">
        <f>IF(OR($E580="",$I580=""),"",IF(OR($J580="Tamamlandı",$J580="İptal"),"",$I580-TODAY()))</f>
        <v/>
      </c>
      <c r="Q580" s="113">
        <f>IF($E580="","",IF($D580="TANIMSIZ MÜŞTERİ","HATA",IF(OR($J580="Tamamlandı",$J580="İptal"),"KAPALI",IF(AND($C580="Görüşme",$N580=""),"SONRAKİ İŞLEM EKSİK",IF($I580="","TARİH EKSİK",IF($I580&lt;TODAY(),"GECİKMİŞ",IF($I580=TODAY(),"BUGÜN",IF($I580&lt;=TODAY()+7,"7 GÜN İÇİNDE","PLANLI"))))))))</f>
        <v/>
      </c>
      <c r="R580" s="6" t="n"/>
      <c r="S580" s="6" t="n"/>
      <c r="T580" s="3" t="n"/>
      <c r="U580" s="3">
        <f>IF($E580="","",UPPER(SUBSTITUTE(SUBSTITUTE(SUBSTITUTE(SUBSTITUTE(SUBSTITUTE(SUBSTITUTE(SUBSTITUTE(SUBSTITUTE(SUBSTITUTE(SUBSTITUTE(SUBSTITUTE(SUBSTITUTE(SUBSTITUTE(SUBSTITUTE(SUBSTITUTE(SUBSTITUTE(SUBSTITUTE(SUBSTITUTE(TRIM($E580),"'",""),"İ","I"),"ı","I"),"i","I"),"Ş","S"),"ş","S"),"Ğ","G"),"ğ","G"),"Ü","U"),"ü","U"),"Ö","O"),"ö","O"),"Ç","C"),"ç","C"),".",""),",","")," ",""),"-","")))</f>
        <v/>
      </c>
    </row>
    <row r="581">
      <c r="A581" s="6" t="n"/>
      <c r="B581" s="113">
        <f>IF($E581="","","A"&amp;TEXT(ROW()-6,"00000"))</f>
        <v/>
      </c>
      <c r="C581" s="108" t="n"/>
      <c r="D581" s="113">
        <f>IF($E581="","",IFERROR(INDEX(MUSTERILER!$B$7:$B$106,MATCH($U581,MUSTERILER!$T$7:$T$106,0)),IFERROR(INDEX(MUSTERILER!$B$7:$B$106,MATCH($E581,MUSTERILER!$B$7:$B$106,0)),IFERROR(INDEX(MUSTERILER!$B$7:$B$106,MATCH($U581&amp;"*",MUSTERILER!$T$7:$T$106,0)),"TANIMSIZ MÜŞTERİ"))))</f>
        <v/>
      </c>
      <c r="E581" s="109" t="n"/>
      <c r="F581" s="109" t="n"/>
      <c r="G581" s="108" t="n"/>
      <c r="H581" s="220" t="n"/>
      <c r="I581" s="220" t="n"/>
      <c r="J581" s="108" t="n"/>
      <c r="K581" s="108" t="n"/>
      <c r="L581" s="109" t="n"/>
      <c r="M581" s="109" t="n"/>
      <c r="N581" s="109" t="n"/>
      <c r="O581" s="220" t="n"/>
      <c r="P581" s="227">
        <f>IF(OR($E581="",$I581=""),"",IF(OR($J581="Tamamlandı",$J581="İptal"),"",$I581-TODAY()))</f>
        <v/>
      </c>
      <c r="Q581" s="113">
        <f>IF($E581="","",IF($D581="TANIMSIZ MÜŞTERİ","HATA",IF(OR($J581="Tamamlandı",$J581="İptal"),"KAPALI",IF(AND($C581="Görüşme",$N581=""),"SONRAKİ İŞLEM EKSİK",IF($I581="","TARİH EKSİK",IF($I581&lt;TODAY(),"GECİKMİŞ",IF($I581=TODAY(),"BUGÜN",IF($I581&lt;=TODAY()+7,"7 GÜN İÇİNDE","PLANLI"))))))))</f>
        <v/>
      </c>
      <c r="R581" s="6" t="n"/>
      <c r="S581" s="6" t="n"/>
      <c r="T581" s="3" t="n"/>
      <c r="U581" s="3">
        <f>IF($E581="","",UPPER(SUBSTITUTE(SUBSTITUTE(SUBSTITUTE(SUBSTITUTE(SUBSTITUTE(SUBSTITUTE(SUBSTITUTE(SUBSTITUTE(SUBSTITUTE(SUBSTITUTE(SUBSTITUTE(SUBSTITUTE(SUBSTITUTE(SUBSTITUTE(SUBSTITUTE(SUBSTITUTE(SUBSTITUTE(SUBSTITUTE(TRIM($E581),"'",""),"İ","I"),"ı","I"),"i","I"),"Ş","S"),"ş","S"),"Ğ","G"),"ğ","G"),"Ü","U"),"ü","U"),"Ö","O"),"ö","O"),"Ç","C"),"ç","C"),".",""),",","")," ",""),"-","")))</f>
        <v/>
      </c>
    </row>
    <row r="582">
      <c r="A582" s="6" t="n"/>
      <c r="B582" s="113">
        <f>IF($E582="","","A"&amp;TEXT(ROW()-6,"00000"))</f>
        <v/>
      </c>
      <c r="C582" s="108" t="n"/>
      <c r="D582" s="113">
        <f>IF($E582="","",IFERROR(INDEX(MUSTERILER!$B$7:$B$106,MATCH($U582,MUSTERILER!$T$7:$T$106,0)),IFERROR(INDEX(MUSTERILER!$B$7:$B$106,MATCH($E582,MUSTERILER!$B$7:$B$106,0)),IFERROR(INDEX(MUSTERILER!$B$7:$B$106,MATCH($U582&amp;"*",MUSTERILER!$T$7:$T$106,0)),"TANIMSIZ MÜŞTERİ"))))</f>
        <v/>
      </c>
      <c r="E582" s="109" t="n"/>
      <c r="F582" s="109" t="n"/>
      <c r="G582" s="108" t="n"/>
      <c r="H582" s="220" t="n"/>
      <c r="I582" s="220" t="n"/>
      <c r="J582" s="108" t="n"/>
      <c r="K582" s="108" t="n"/>
      <c r="L582" s="109" t="n"/>
      <c r="M582" s="109" t="n"/>
      <c r="N582" s="109" t="n"/>
      <c r="O582" s="220" t="n"/>
      <c r="P582" s="227">
        <f>IF(OR($E582="",$I582=""),"",IF(OR($J582="Tamamlandı",$J582="İptal"),"",$I582-TODAY()))</f>
        <v/>
      </c>
      <c r="Q582" s="113">
        <f>IF($E582="","",IF($D582="TANIMSIZ MÜŞTERİ","HATA",IF(OR($J582="Tamamlandı",$J582="İptal"),"KAPALI",IF(AND($C582="Görüşme",$N582=""),"SONRAKİ İŞLEM EKSİK",IF($I582="","TARİH EKSİK",IF($I582&lt;TODAY(),"GECİKMİŞ",IF($I582=TODAY(),"BUGÜN",IF($I582&lt;=TODAY()+7,"7 GÜN İÇİNDE","PLANLI"))))))))</f>
        <v/>
      </c>
      <c r="R582" s="6" t="n"/>
      <c r="S582" s="6" t="n"/>
      <c r="T582" s="3" t="n"/>
      <c r="U582" s="3">
        <f>IF($E582="","",UPPER(SUBSTITUTE(SUBSTITUTE(SUBSTITUTE(SUBSTITUTE(SUBSTITUTE(SUBSTITUTE(SUBSTITUTE(SUBSTITUTE(SUBSTITUTE(SUBSTITUTE(SUBSTITUTE(SUBSTITUTE(SUBSTITUTE(SUBSTITUTE(SUBSTITUTE(SUBSTITUTE(SUBSTITUTE(SUBSTITUTE(TRIM($E582),"'",""),"İ","I"),"ı","I"),"i","I"),"Ş","S"),"ş","S"),"Ğ","G"),"ğ","G"),"Ü","U"),"ü","U"),"Ö","O"),"ö","O"),"Ç","C"),"ç","C"),".",""),",","")," ",""),"-","")))</f>
        <v/>
      </c>
    </row>
    <row r="583">
      <c r="A583" s="6" t="n"/>
      <c r="B583" s="113">
        <f>IF($E583="","","A"&amp;TEXT(ROW()-6,"00000"))</f>
        <v/>
      </c>
      <c r="C583" s="108" t="n"/>
      <c r="D583" s="113">
        <f>IF($E583="","",IFERROR(INDEX(MUSTERILER!$B$7:$B$106,MATCH($U583,MUSTERILER!$T$7:$T$106,0)),IFERROR(INDEX(MUSTERILER!$B$7:$B$106,MATCH($E583,MUSTERILER!$B$7:$B$106,0)),IFERROR(INDEX(MUSTERILER!$B$7:$B$106,MATCH($U583&amp;"*",MUSTERILER!$T$7:$T$106,0)),"TANIMSIZ MÜŞTERİ"))))</f>
        <v/>
      </c>
      <c r="E583" s="109" t="n"/>
      <c r="F583" s="109" t="n"/>
      <c r="G583" s="108" t="n"/>
      <c r="H583" s="220" t="n"/>
      <c r="I583" s="220" t="n"/>
      <c r="J583" s="108" t="n"/>
      <c r="K583" s="108" t="n"/>
      <c r="L583" s="109" t="n"/>
      <c r="M583" s="109" t="n"/>
      <c r="N583" s="109" t="n"/>
      <c r="O583" s="220" t="n"/>
      <c r="P583" s="227">
        <f>IF(OR($E583="",$I583=""),"",IF(OR($J583="Tamamlandı",$J583="İptal"),"",$I583-TODAY()))</f>
        <v/>
      </c>
      <c r="Q583" s="113">
        <f>IF($E583="","",IF($D583="TANIMSIZ MÜŞTERİ","HATA",IF(OR($J583="Tamamlandı",$J583="İptal"),"KAPALI",IF(AND($C583="Görüşme",$N583=""),"SONRAKİ İŞLEM EKSİK",IF($I583="","TARİH EKSİK",IF($I583&lt;TODAY(),"GECİKMİŞ",IF($I583=TODAY(),"BUGÜN",IF($I583&lt;=TODAY()+7,"7 GÜN İÇİNDE","PLANLI"))))))))</f>
        <v/>
      </c>
      <c r="R583" s="6" t="n"/>
      <c r="S583" s="6" t="n"/>
      <c r="T583" s="3" t="n"/>
      <c r="U583" s="3">
        <f>IF($E583="","",UPPER(SUBSTITUTE(SUBSTITUTE(SUBSTITUTE(SUBSTITUTE(SUBSTITUTE(SUBSTITUTE(SUBSTITUTE(SUBSTITUTE(SUBSTITUTE(SUBSTITUTE(SUBSTITUTE(SUBSTITUTE(SUBSTITUTE(SUBSTITUTE(SUBSTITUTE(SUBSTITUTE(SUBSTITUTE(SUBSTITUTE(TRIM($E583),"'",""),"İ","I"),"ı","I"),"i","I"),"Ş","S"),"ş","S"),"Ğ","G"),"ğ","G"),"Ü","U"),"ü","U"),"Ö","O"),"ö","O"),"Ç","C"),"ç","C"),".",""),",","")," ",""),"-","")))</f>
        <v/>
      </c>
    </row>
    <row r="584">
      <c r="A584" s="6" t="n"/>
      <c r="B584" s="113">
        <f>IF($E584="","","A"&amp;TEXT(ROW()-6,"00000"))</f>
        <v/>
      </c>
      <c r="C584" s="108" t="n"/>
      <c r="D584" s="113">
        <f>IF($E584="","",IFERROR(INDEX(MUSTERILER!$B$7:$B$106,MATCH($U584,MUSTERILER!$T$7:$T$106,0)),IFERROR(INDEX(MUSTERILER!$B$7:$B$106,MATCH($E584,MUSTERILER!$B$7:$B$106,0)),IFERROR(INDEX(MUSTERILER!$B$7:$B$106,MATCH($U584&amp;"*",MUSTERILER!$T$7:$T$106,0)),"TANIMSIZ MÜŞTERİ"))))</f>
        <v/>
      </c>
      <c r="E584" s="109" t="n"/>
      <c r="F584" s="109" t="n"/>
      <c r="G584" s="108" t="n"/>
      <c r="H584" s="220" t="n"/>
      <c r="I584" s="220" t="n"/>
      <c r="J584" s="108" t="n"/>
      <c r="K584" s="108" t="n"/>
      <c r="L584" s="109" t="n"/>
      <c r="M584" s="109" t="n"/>
      <c r="N584" s="109" t="n"/>
      <c r="O584" s="220" t="n"/>
      <c r="P584" s="227">
        <f>IF(OR($E584="",$I584=""),"",IF(OR($J584="Tamamlandı",$J584="İptal"),"",$I584-TODAY()))</f>
        <v/>
      </c>
      <c r="Q584" s="113">
        <f>IF($E584="","",IF($D584="TANIMSIZ MÜŞTERİ","HATA",IF(OR($J584="Tamamlandı",$J584="İptal"),"KAPALI",IF(AND($C584="Görüşme",$N584=""),"SONRAKİ İŞLEM EKSİK",IF($I584="","TARİH EKSİK",IF($I584&lt;TODAY(),"GECİKMİŞ",IF($I584=TODAY(),"BUGÜN",IF($I584&lt;=TODAY()+7,"7 GÜN İÇİNDE","PLANLI"))))))))</f>
        <v/>
      </c>
      <c r="R584" s="6" t="n"/>
      <c r="S584" s="6" t="n"/>
      <c r="T584" s="3" t="n"/>
      <c r="U584" s="3">
        <f>IF($E584="","",UPPER(SUBSTITUTE(SUBSTITUTE(SUBSTITUTE(SUBSTITUTE(SUBSTITUTE(SUBSTITUTE(SUBSTITUTE(SUBSTITUTE(SUBSTITUTE(SUBSTITUTE(SUBSTITUTE(SUBSTITUTE(SUBSTITUTE(SUBSTITUTE(SUBSTITUTE(SUBSTITUTE(SUBSTITUTE(SUBSTITUTE(TRIM($E584),"'",""),"İ","I"),"ı","I"),"i","I"),"Ş","S"),"ş","S"),"Ğ","G"),"ğ","G"),"Ü","U"),"ü","U"),"Ö","O"),"ö","O"),"Ç","C"),"ç","C"),".",""),",","")," ",""),"-","")))</f>
        <v/>
      </c>
    </row>
    <row r="585">
      <c r="A585" s="6" t="n"/>
      <c r="B585" s="113">
        <f>IF($E585="","","A"&amp;TEXT(ROW()-6,"00000"))</f>
        <v/>
      </c>
      <c r="C585" s="108" t="n"/>
      <c r="D585" s="113">
        <f>IF($E585="","",IFERROR(INDEX(MUSTERILER!$B$7:$B$106,MATCH($U585,MUSTERILER!$T$7:$T$106,0)),IFERROR(INDEX(MUSTERILER!$B$7:$B$106,MATCH($E585,MUSTERILER!$B$7:$B$106,0)),IFERROR(INDEX(MUSTERILER!$B$7:$B$106,MATCH($U585&amp;"*",MUSTERILER!$T$7:$T$106,0)),"TANIMSIZ MÜŞTERİ"))))</f>
        <v/>
      </c>
      <c r="E585" s="109" t="n"/>
      <c r="F585" s="109" t="n"/>
      <c r="G585" s="108" t="n"/>
      <c r="H585" s="220" t="n"/>
      <c r="I585" s="220" t="n"/>
      <c r="J585" s="108" t="n"/>
      <c r="K585" s="108" t="n"/>
      <c r="L585" s="109" t="n"/>
      <c r="M585" s="109" t="n"/>
      <c r="N585" s="109" t="n"/>
      <c r="O585" s="220" t="n"/>
      <c r="P585" s="227">
        <f>IF(OR($E585="",$I585=""),"",IF(OR($J585="Tamamlandı",$J585="İptal"),"",$I585-TODAY()))</f>
        <v/>
      </c>
      <c r="Q585" s="113">
        <f>IF($E585="","",IF($D585="TANIMSIZ MÜŞTERİ","HATA",IF(OR($J585="Tamamlandı",$J585="İptal"),"KAPALI",IF(AND($C585="Görüşme",$N585=""),"SONRAKİ İŞLEM EKSİK",IF($I585="","TARİH EKSİK",IF($I585&lt;TODAY(),"GECİKMİŞ",IF($I585=TODAY(),"BUGÜN",IF($I585&lt;=TODAY()+7,"7 GÜN İÇİNDE","PLANLI"))))))))</f>
        <v/>
      </c>
      <c r="R585" s="6" t="n"/>
      <c r="S585" s="6" t="n"/>
      <c r="T585" s="3" t="n"/>
      <c r="U585" s="3">
        <f>IF($E585="","",UPPER(SUBSTITUTE(SUBSTITUTE(SUBSTITUTE(SUBSTITUTE(SUBSTITUTE(SUBSTITUTE(SUBSTITUTE(SUBSTITUTE(SUBSTITUTE(SUBSTITUTE(SUBSTITUTE(SUBSTITUTE(SUBSTITUTE(SUBSTITUTE(SUBSTITUTE(SUBSTITUTE(SUBSTITUTE(SUBSTITUTE(TRIM($E585),"'",""),"İ","I"),"ı","I"),"i","I"),"Ş","S"),"ş","S"),"Ğ","G"),"ğ","G"),"Ü","U"),"ü","U"),"Ö","O"),"ö","O"),"Ç","C"),"ç","C"),".",""),",","")," ",""),"-","")))</f>
        <v/>
      </c>
    </row>
    <row r="586">
      <c r="A586" s="6" t="n"/>
      <c r="B586" s="113">
        <f>IF($E586="","","A"&amp;TEXT(ROW()-6,"00000"))</f>
        <v/>
      </c>
      <c r="C586" s="108" t="n"/>
      <c r="D586" s="113">
        <f>IF($E586="","",IFERROR(INDEX(MUSTERILER!$B$7:$B$106,MATCH($U586,MUSTERILER!$T$7:$T$106,0)),IFERROR(INDEX(MUSTERILER!$B$7:$B$106,MATCH($E586,MUSTERILER!$B$7:$B$106,0)),IFERROR(INDEX(MUSTERILER!$B$7:$B$106,MATCH($U586&amp;"*",MUSTERILER!$T$7:$T$106,0)),"TANIMSIZ MÜŞTERİ"))))</f>
        <v/>
      </c>
      <c r="E586" s="109" t="n"/>
      <c r="F586" s="109" t="n"/>
      <c r="G586" s="108" t="n"/>
      <c r="H586" s="220" t="n"/>
      <c r="I586" s="220" t="n"/>
      <c r="J586" s="108" t="n"/>
      <c r="K586" s="108" t="n"/>
      <c r="L586" s="109" t="n"/>
      <c r="M586" s="109" t="n"/>
      <c r="N586" s="109" t="n"/>
      <c r="O586" s="220" t="n"/>
      <c r="P586" s="227">
        <f>IF(OR($E586="",$I586=""),"",IF(OR($J586="Tamamlandı",$J586="İptal"),"",$I586-TODAY()))</f>
        <v/>
      </c>
      <c r="Q586" s="113">
        <f>IF($E586="","",IF($D586="TANIMSIZ MÜŞTERİ","HATA",IF(OR($J586="Tamamlandı",$J586="İptal"),"KAPALI",IF(AND($C586="Görüşme",$N586=""),"SONRAKİ İŞLEM EKSİK",IF($I586="","TARİH EKSİK",IF($I586&lt;TODAY(),"GECİKMİŞ",IF($I586=TODAY(),"BUGÜN",IF($I586&lt;=TODAY()+7,"7 GÜN İÇİNDE","PLANLI"))))))))</f>
        <v/>
      </c>
      <c r="R586" s="6" t="n"/>
      <c r="S586" s="6" t="n"/>
      <c r="T586" s="3" t="n"/>
      <c r="U586" s="3">
        <f>IF($E586="","",UPPER(SUBSTITUTE(SUBSTITUTE(SUBSTITUTE(SUBSTITUTE(SUBSTITUTE(SUBSTITUTE(SUBSTITUTE(SUBSTITUTE(SUBSTITUTE(SUBSTITUTE(SUBSTITUTE(SUBSTITUTE(SUBSTITUTE(SUBSTITUTE(SUBSTITUTE(SUBSTITUTE(SUBSTITUTE(SUBSTITUTE(TRIM($E586),"'",""),"İ","I"),"ı","I"),"i","I"),"Ş","S"),"ş","S"),"Ğ","G"),"ğ","G"),"Ü","U"),"ü","U"),"Ö","O"),"ö","O"),"Ç","C"),"ç","C"),".",""),",","")," ",""),"-","")))</f>
        <v/>
      </c>
    </row>
    <row r="587">
      <c r="A587" s="6" t="n"/>
      <c r="B587" s="113">
        <f>IF($E587="","","A"&amp;TEXT(ROW()-6,"00000"))</f>
        <v/>
      </c>
      <c r="C587" s="108" t="n"/>
      <c r="D587" s="113">
        <f>IF($E587="","",IFERROR(INDEX(MUSTERILER!$B$7:$B$106,MATCH($U587,MUSTERILER!$T$7:$T$106,0)),IFERROR(INDEX(MUSTERILER!$B$7:$B$106,MATCH($E587,MUSTERILER!$B$7:$B$106,0)),IFERROR(INDEX(MUSTERILER!$B$7:$B$106,MATCH($U587&amp;"*",MUSTERILER!$T$7:$T$106,0)),"TANIMSIZ MÜŞTERİ"))))</f>
        <v/>
      </c>
      <c r="E587" s="109" t="n"/>
      <c r="F587" s="109" t="n"/>
      <c r="G587" s="108" t="n"/>
      <c r="H587" s="220" t="n"/>
      <c r="I587" s="220" t="n"/>
      <c r="J587" s="108" t="n"/>
      <c r="K587" s="108" t="n"/>
      <c r="L587" s="109" t="n"/>
      <c r="M587" s="109" t="n"/>
      <c r="N587" s="109" t="n"/>
      <c r="O587" s="220" t="n"/>
      <c r="P587" s="227">
        <f>IF(OR($E587="",$I587=""),"",IF(OR($J587="Tamamlandı",$J587="İptal"),"",$I587-TODAY()))</f>
        <v/>
      </c>
      <c r="Q587" s="113">
        <f>IF($E587="","",IF($D587="TANIMSIZ MÜŞTERİ","HATA",IF(OR($J587="Tamamlandı",$J587="İptal"),"KAPALI",IF(AND($C587="Görüşme",$N587=""),"SONRAKİ İŞLEM EKSİK",IF($I587="","TARİH EKSİK",IF($I587&lt;TODAY(),"GECİKMİŞ",IF($I587=TODAY(),"BUGÜN",IF($I587&lt;=TODAY()+7,"7 GÜN İÇİNDE","PLANLI"))))))))</f>
        <v/>
      </c>
      <c r="R587" s="6" t="n"/>
      <c r="S587" s="6" t="n"/>
      <c r="T587" s="3" t="n"/>
      <c r="U587" s="3">
        <f>IF($E587="","",UPPER(SUBSTITUTE(SUBSTITUTE(SUBSTITUTE(SUBSTITUTE(SUBSTITUTE(SUBSTITUTE(SUBSTITUTE(SUBSTITUTE(SUBSTITUTE(SUBSTITUTE(SUBSTITUTE(SUBSTITUTE(SUBSTITUTE(SUBSTITUTE(SUBSTITUTE(SUBSTITUTE(SUBSTITUTE(SUBSTITUTE(TRIM($E587),"'",""),"İ","I"),"ı","I"),"i","I"),"Ş","S"),"ş","S"),"Ğ","G"),"ğ","G"),"Ü","U"),"ü","U"),"Ö","O"),"ö","O"),"Ç","C"),"ç","C"),".",""),",","")," ",""),"-","")))</f>
        <v/>
      </c>
    </row>
    <row r="588">
      <c r="A588" s="6" t="n"/>
      <c r="B588" s="113">
        <f>IF($E588="","","A"&amp;TEXT(ROW()-6,"00000"))</f>
        <v/>
      </c>
      <c r="C588" s="108" t="n"/>
      <c r="D588" s="113">
        <f>IF($E588="","",IFERROR(INDEX(MUSTERILER!$B$7:$B$106,MATCH($U588,MUSTERILER!$T$7:$T$106,0)),IFERROR(INDEX(MUSTERILER!$B$7:$B$106,MATCH($E588,MUSTERILER!$B$7:$B$106,0)),IFERROR(INDEX(MUSTERILER!$B$7:$B$106,MATCH($U588&amp;"*",MUSTERILER!$T$7:$T$106,0)),"TANIMSIZ MÜŞTERİ"))))</f>
        <v/>
      </c>
      <c r="E588" s="109" t="n"/>
      <c r="F588" s="109" t="n"/>
      <c r="G588" s="108" t="n"/>
      <c r="H588" s="220" t="n"/>
      <c r="I588" s="220" t="n"/>
      <c r="J588" s="108" t="n"/>
      <c r="K588" s="108" t="n"/>
      <c r="L588" s="109" t="n"/>
      <c r="M588" s="109" t="n"/>
      <c r="N588" s="109" t="n"/>
      <c r="O588" s="220" t="n"/>
      <c r="P588" s="227">
        <f>IF(OR($E588="",$I588=""),"",IF(OR($J588="Tamamlandı",$J588="İptal"),"",$I588-TODAY()))</f>
        <v/>
      </c>
      <c r="Q588" s="113">
        <f>IF($E588="","",IF($D588="TANIMSIZ MÜŞTERİ","HATA",IF(OR($J588="Tamamlandı",$J588="İptal"),"KAPALI",IF(AND($C588="Görüşme",$N588=""),"SONRAKİ İŞLEM EKSİK",IF($I588="","TARİH EKSİK",IF($I588&lt;TODAY(),"GECİKMİŞ",IF($I588=TODAY(),"BUGÜN",IF($I588&lt;=TODAY()+7,"7 GÜN İÇİNDE","PLANLI"))))))))</f>
        <v/>
      </c>
      <c r="R588" s="6" t="n"/>
      <c r="S588" s="6" t="n"/>
      <c r="T588" s="3" t="n"/>
      <c r="U588" s="3">
        <f>IF($E588="","",UPPER(SUBSTITUTE(SUBSTITUTE(SUBSTITUTE(SUBSTITUTE(SUBSTITUTE(SUBSTITUTE(SUBSTITUTE(SUBSTITUTE(SUBSTITUTE(SUBSTITUTE(SUBSTITUTE(SUBSTITUTE(SUBSTITUTE(SUBSTITUTE(SUBSTITUTE(SUBSTITUTE(SUBSTITUTE(SUBSTITUTE(TRIM($E588),"'",""),"İ","I"),"ı","I"),"i","I"),"Ş","S"),"ş","S"),"Ğ","G"),"ğ","G"),"Ü","U"),"ü","U"),"Ö","O"),"ö","O"),"Ç","C"),"ç","C"),".",""),",","")," ",""),"-","")))</f>
        <v/>
      </c>
    </row>
    <row r="589">
      <c r="A589" s="6" t="n"/>
      <c r="B589" s="113">
        <f>IF($E589="","","A"&amp;TEXT(ROW()-6,"00000"))</f>
        <v/>
      </c>
      <c r="C589" s="108" t="n"/>
      <c r="D589" s="113">
        <f>IF($E589="","",IFERROR(INDEX(MUSTERILER!$B$7:$B$106,MATCH($U589,MUSTERILER!$T$7:$T$106,0)),IFERROR(INDEX(MUSTERILER!$B$7:$B$106,MATCH($E589,MUSTERILER!$B$7:$B$106,0)),IFERROR(INDEX(MUSTERILER!$B$7:$B$106,MATCH($U589&amp;"*",MUSTERILER!$T$7:$T$106,0)),"TANIMSIZ MÜŞTERİ"))))</f>
        <v/>
      </c>
      <c r="E589" s="109" t="n"/>
      <c r="F589" s="109" t="n"/>
      <c r="G589" s="108" t="n"/>
      <c r="H589" s="220" t="n"/>
      <c r="I589" s="220" t="n"/>
      <c r="J589" s="108" t="n"/>
      <c r="K589" s="108" t="n"/>
      <c r="L589" s="109" t="n"/>
      <c r="M589" s="109" t="n"/>
      <c r="N589" s="109" t="n"/>
      <c r="O589" s="220" t="n"/>
      <c r="P589" s="227">
        <f>IF(OR($E589="",$I589=""),"",IF(OR($J589="Tamamlandı",$J589="İptal"),"",$I589-TODAY()))</f>
        <v/>
      </c>
      <c r="Q589" s="113">
        <f>IF($E589="","",IF($D589="TANIMSIZ MÜŞTERİ","HATA",IF(OR($J589="Tamamlandı",$J589="İptal"),"KAPALI",IF(AND($C589="Görüşme",$N589=""),"SONRAKİ İŞLEM EKSİK",IF($I589="","TARİH EKSİK",IF($I589&lt;TODAY(),"GECİKMİŞ",IF($I589=TODAY(),"BUGÜN",IF($I589&lt;=TODAY()+7,"7 GÜN İÇİNDE","PLANLI"))))))))</f>
        <v/>
      </c>
      <c r="R589" s="6" t="n"/>
      <c r="S589" s="6" t="n"/>
      <c r="T589" s="3" t="n"/>
      <c r="U589" s="3">
        <f>IF($E589="","",UPPER(SUBSTITUTE(SUBSTITUTE(SUBSTITUTE(SUBSTITUTE(SUBSTITUTE(SUBSTITUTE(SUBSTITUTE(SUBSTITUTE(SUBSTITUTE(SUBSTITUTE(SUBSTITUTE(SUBSTITUTE(SUBSTITUTE(SUBSTITUTE(SUBSTITUTE(SUBSTITUTE(SUBSTITUTE(SUBSTITUTE(TRIM($E589),"'",""),"İ","I"),"ı","I"),"i","I"),"Ş","S"),"ş","S"),"Ğ","G"),"ğ","G"),"Ü","U"),"ü","U"),"Ö","O"),"ö","O"),"Ç","C"),"ç","C"),".",""),",","")," ",""),"-","")))</f>
        <v/>
      </c>
    </row>
    <row r="590">
      <c r="A590" s="6" t="n"/>
      <c r="B590" s="113">
        <f>IF($E590="","","A"&amp;TEXT(ROW()-6,"00000"))</f>
        <v/>
      </c>
      <c r="C590" s="108" t="n"/>
      <c r="D590" s="113">
        <f>IF($E590="","",IFERROR(INDEX(MUSTERILER!$B$7:$B$106,MATCH($U590,MUSTERILER!$T$7:$T$106,0)),IFERROR(INDEX(MUSTERILER!$B$7:$B$106,MATCH($E590,MUSTERILER!$B$7:$B$106,0)),IFERROR(INDEX(MUSTERILER!$B$7:$B$106,MATCH($U590&amp;"*",MUSTERILER!$T$7:$T$106,0)),"TANIMSIZ MÜŞTERİ"))))</f>
        <v/>
      </c>
      <c r="E590" s="109" t="n"/>
      <c r="F590" s="109" t="n"/>
      <c r="G590" s="108" t="n"/>
      <c r="H590" s="220" t="n"/>
      <c r="I590" s="220" t="n"/>
      <c r="J590" s="108" t="n"/>
      <c r="K590" s="108" t="n"/>
      <c r="L590" s="109" t="n"/>
      <c r="M590" s="109" t="n"/>
      <c r="N590" s="109" t="n"/>
      <c r="O590" s="220" t="n"/>
      <c r="P590" s="227">
        <f>IF(OR($E590="",$I590=""),"",IF(OR($J590="Tamamlandı",$J590="İptal"),"",$I590-TODAY()))</f>
        <v/>
      </c>
      <c r="Q590" s="113">
        <f>IF($E590="","",IF($D590="TANIMSIZ MÜŞTERİ","HATA",IF(OR($J590="Tamamlandı",$J590="İptal"),"KAPALI",IF(AND($C590="Görüşme",$N590=""),"SONRAKİ İŞLEM EKSİK",IF($I590="","TARİH EKSİK",IF($I590&lt;TODAY(),"GECİKMİŞ",IF($I590=TODAY(),"BUGÜN",IF($I590&lt;=TODAY()+7,"7 GÜN İÇİNDE","PLANLI"))))))))</f>
        <v/>
      </c>
      <c r="R590" s="6" t="n"/>
      <c r="S590" s="6" t="n"/>
      <c r="T590" s="3" t="n"/>
      <c r="U590" s="3">
        <f>IF($E590="","",UPPER(SUBSTITUTE(SUBSTITUTE(SUBSTITUTE(SUBSTITUTE(SUBSTITUTE(SUBSTITUTE(SUBSTITUTE(SUBSTITUTE(SUBSTITUTE(SUBSTITUTE(SUBSTITUTE(SUBSTITUTE(SUBSTITUTE(SUBSTITUTE(SUBSTITUTE(SUBSTITUTE(SUBSTITUTE(SUBSTITUTE(TRIM($E590),"'",""),"İ","I"),"ı","I"),"i","I"),"Ş","S"),"ş","S"),"Ğ","G"),"ğ","G"),"Ü","U"),"ü","U"),"Ö","O"),"ö","O"),"Ç","C"),"ç","C"),".",""),",","")," ",""),"-","")))</f>
        <v/>
      </c>
    </row>
    <row r="591">
      <c r="A591" s="6" t="n"/>
      <c r="B591" s="113">
        <f>IF($E591="","","A"&amp;TEXT(ROW()-6,"00000"))</f>
        <v/>
      </c>
      <c r="C591" s="108" t="n"/>
      <c r="D591" s="113">
        <f>IF($E591="","",IFERROR(INDEX(MUSTERILER!$B$7:$B$106,MATCH($U591,MUSTERILER!$T$7:$T$106,0)),IFERROR(INDEX(MUSTERILER!$B$7:$B$106,MATCH($E591,MUSTERILER!$B$7:$B$106,0)),IFERROR(INDEX(MUSTERILER!$B$7:$B$106,MATCH($U591&amp;"*",MUSTERILER!$T$7:$T$106,0)),"TANIMSIZ MÜŞTERİ"))))</f>
        <v/>
      </c>
      <c r="E591" s="109" t="n"/>
      <c r="F591" s="109" t="n"/>
      <c r="G591" s="108" t="n"/>
      <c r="H591" s="220" t="n"/>
      <c r="I591" s="220" t="n"/>
      <c r="J591" s="108" t="n"/>
      <c r="K591" s="108" t="n"/>
      <c r="L591" s="109" t="n"/>
      <c r="M591" s="109" t="n"/>
      <c r="N591" s="109" t="n"/>
      <c r="O591" s="220" t="n"/>
      <c r="P591" s="227">
        <f>IF(OR($E591="",$I591=""),"",IF(OR($J591="Tamamlandı",$J591="İptal"),"",$I591-TODAY()))</f>
        <v/>
      </c>
      <c r="Q591" s="113">
        <f>IF($E591="","",IF($D591="TANIMSIZ MÜŞTERİ","HATA",IF(OR($J591="Tamamlandı",$J591="İptal"),"KAPALI",IF(AND($C591="Görüşme",$N591=""),"SONRAKİ İŞLEM EKSİK",IF($I591="","TARİH EKSİK",IF($I591&lt;TODAY(),"GECİKMİŞ",IF($I591=TODAY(),"BUGÜN",IF($I591&lt;=TODAY()+7,"7 GÜN İÇİNDE","PLANLI"))))))))</f>
        <v/>
      </c>
      <c r="R591" s="6" t="n"/>
      <c r="S591" s="6" t="n"/>
      <c r="T591" s="3" t="n"/>
      <c r="U591" s="3">
        <f>IF($E591="","",UPPER(SUBSTITUTE(SUBSTITUTE(SUBSTITUTE(SUBSTITUTE(SUBSTITUTE(SUBSTITUTE(SUBSTITUTE(SUBSTITUTE(SUBSTITUTE(SUBSTITUTE(SUBSTITUTE(SUBSTITUTE(SUBSTITUTE(SUBSTITUTE(SUBSTITUTE(SUBSTITUTE(SUBSTITUTE(SUBSTITUTE(TRIM($E591),"'",""),"İ","I"),"ı","I"),"i","I"),"Ş","S"),"ş","S"),"Ğ","G"),"ğ","G"),"Ü","U"),"ü","U"),"Ö","O"),"ö","O"),"Ç","C"),"ç","C"),".",""),",","")," ",""),"-","")))</f>
        <v/>
      </c>
    </row>
    <row r="592">
      <c r="A592" s="6" t="n"/>
      <c r="B592" s="113">
        <f>IF($E592="","","A"&amp;TEXT(ROW()-6,"00000"))</f>
        <v/>
      </c>
      <c r="C592" s="108" t="n"/>
      <c r="D592" s="113">
        <f>IF($E592="","",IFERROR(INDEX(MUSTERILER!$B$7:$B$106,MATCH($U592,MUSTERILER!$T$7:$T$106,0)),IFERROR(INDEX(MUSTERILER!$B$7:$B$106,MATCH($E592,MUSTERILER!$B$7:$B$106,0)),IFERROR(INDEX(MUSTERILER!$B$7:$B$106,MATCH($U592&amp;"*",MUSTERILER!$T$7:$T$106,0)),"TANIMSIZ MÜŞTERİ"))))</f>
        <v/>
      </c>
      <c r="E592" s="109" t="n"/>
      <c r="F592" s="109" t="n"/>
      <c r="G592" s="108" t="n"/>
      <c r="H592" s="220" t="n"/>
      <c r="I592" s="220" t="n"/>
      <c r="J592" s="108" t="n"/>
      <c r="K592" s="108" t="n"/>
      <c r="L592" s="109" t="n"/>
      <c r="M592" s="109" t="n"/>
      <c r="N592" s="109" t="n"/>
      <c r="O592" s="220" t="n"/>
      <c r="P592" s="227">
        <f>IF(OR($E592="",$I592=""),"",IF(OR($J592="Tamamlandı",$J592="İptal"),"",$I592-TODAY()))</f>
        <v/>
      </c>
      <c r="Q592" s="113">
        <f>IF($E592="","",IF($D592="TANIMSIZ MÜŞTERİ","HATA",IF(OR($J592="Tamamlandı",$J592="İptal"),"KAPALI",IF(AND($C592="Görüşme",$N592=""),"SONRAKİ İŞLEM EKSİK",IF($I592="","TARİH EKSİK",IF($I592&lt;TODAY(),"GECİKMİŞ",IF($I592=TODAY(),"BUGÜN",IF($I592&lt;=TODAY()+7,"7 GÜN İÇİNDE","PLANLI"))))))))</f>
        <v/>
      </c>
      <c r="R592" s="6" t="n"/>
      <c r="S592" s="6" t="n"/>
      <c r="T592" s="3" t="n"/>
      <c r="U592" s="3">
        <f>IF($E592="","",UPPER(SUBSTITUTE(SUBSTITUTE(SUBSTITUTE(SUBSTITUTE(SUBSTITUTE(SUBSTITUTE(SUBSTITUTE(SUBSTITUTE(SUBSTITUTE(SUBSTITUTE(SUBSTITUTE(SUBSTITUTE(SUBSTITUTE(SUBSTITUTE(SUBSTITUTE(SUBSTITUTE(SUBSTITUTE(SUBSTITUTE(TRIM($E592),"'",""),"İ","I"),"ı","I"),"i","I"),"Ş","S"),"ş","S"),"Ğ","G"),"ğ","G"),"Ü","U"),"ü","U"),"Ö","O"),"ö","O"),"Ç","C"),"ç","C"),".",""),",","")," ",""),"-","")))</f>
        <v/>
      </c>
    </row>
    <row r="593">
      <c r="A593" s="6" t="n"/>
      <c r="B593" s="113">
        <f>IF($E593="","","A"&amp;TEXT(ROW()-6,"00000"))</f>
        <v/>
      </c>
      <c r="C593" s="108" t="n"/>
      <c r="D593" s="113">
        <f>IF($E593="","",IFERROR(INDEX(MUSTERILER!$B$7:$B$106,MATCH($U593,MUSTERILER!$T$7:$T$106,0)),IFERROR(INDEX(MUSTERILER!$B$7:$B$106,MATCH($E593,MUSTERILER!$B$7:$B$106,0)),IFERROR(INDEX(MUSTERILER!$B$7:$B$106,MATCH($U593&amp;"*",MUSTERILER!$T$7:$T$106,0)),"TANIMSIZ MÜŞTERİ"))))</f>
        <v/>
      </c>
      <c r="E593" s="109" t="n"/>
      <c r="F593" s="109" t="n"/>
      <c r="G593" s="108" t="n"/>
      <c r="H593" s="220" t="n"/>
      <c r="I593" s="220" t="n"/>
      <c r="J593" s="108" t="n"/>
      <c r="K593" s="108" t="n"/>
      <c r="L593" s="109" t="n"/>
      <c r="M593" s="109" t="n"/>
      <c r="N593" s="109" t="n"/>
      <c r="O593" s="220" t="n"/>
      <c r="P593" s="227">
        <f>IF(OR($E593="",$I593=""),"",IF(OR($J593="Tamamlandı",$J593="İptal"),"",$I593-TODAY()))</f>
        <v/>
      </c>
      <c r="Q593" s="113">
        <f>IF($E593="","",IF($D593="TANIMSIZ MÜŞTERİ","HATA",IF(OR($J593="Tamamlandı",$J593="İptal"),"KAPALI",IF(AND($C593="Görüşme",$N593=""),"SONRAKİ İŞLEM EKSİK",IF($I593="","TARİH EKSİK",IF($I593&lt;TODAY(),"GECİKMİŞ",IF($I593=TODAY(),"BUGÜN",IF($I593&lt;=TODAY()+7,"7 GÜN İÇİNDE","PLANLI"))))))))</f>
        <v/>
      </c>
      <c r="R593" s="6" t="n"/>
      <c r="S593" s="6" t="n"/>
      <c r="T593" s="3" t="n"/>
      <c r="U593" s="3">
        <f>IF($E593="","",UPPER(SUBSTITUTE(SUBSTITUTE(SUBSTITUTE(SUBSTITUTE(SUBSTITUTE(SUBSTITUTE(SUBSTITUTE(SUBSTITUTE(SUBSTITUTE(SUBSTITUTE(SUBSTITUTE(SUBSTITUTE(SUBSTITUTE(SUBSTITUTE(SUBSTITUTE(SUBSTITUTE(SUBSTITUTE(SUBSTITUTE(TRIM($E593),"'",""),"İ","I"),"ı","I"),"i","I"),"Ş","S"),"ş","S"),"Ğ","G"),"ğ","G"),"Ü","U"),"ü","U"),"Ö","O"),"ö","O"),"Ç","C"),"ç","C"),".",""),",","")," ",""),"-","")))</f>
        <v/>
      </c>
    </row>
    <row r="594">
      <c r="A594" s="6" t="n"/>
      <c r="B594" s="113">
        <f>IF($E594="","","A"&amp;TEXT(ROW()-6,"00000"))</f>
        <v/>
      </c>
      <c r="C594" s="108" t="n"/>
      <c r="D594" s="113">
        <f>IF($E594="","",IFERROR(INDEX(MUSTERILER!$B$7:$B$106,MATCH($U594,MUSTERILER!$T$7:$T$106,0)),IFERROR(INDEX(MUSTERILER!$B$7:$B$106,MATCH($E594,MUSTERILER!$B$7:$B$106,0)),IFERROR(INDEX(MUSTERILER!$B$7:$B$106,MATCH($U594&amp;"*",MUSTERILER!$T$7:$T$106,0)),"TANIMSIZ MÜŞTERİ"))))</f>
        <v/>
      </c>
      <c r="E594" s="109" t="n"/>
      <c r="F594" s="109" t="n"/>
      <c r="G594" s="108" t="n"/>
      <c r="H594" s="220" t="n"/>
      <c r="I594" s="220" t="n"/>
      <c r="J594" s="108" t="n"/>
      <c r="K594" s="108" t="n"/>
      <c r="L594" s="109" t="n"/>
      <c r="M594" s="109" t="n"/>
      <c r="N594" s="109" t="n"/>
      <c r="O594" s="220" t="n"/>
      <c r="P594" s="227">
        <f>IF(OR($E594="",$I594=""),"",IF(OR($J594="Tamamlandı",$J594="İptal"),"",$I594-TODAY()))</f>
        <v/>
      </c>
      <c r="Q594" s="113">
        <f>IF($E594="","",IF($D594="TANIMSIZ MÜŞTERİ","HATA",IF(OR($J594="Tamamlandı",$J594="İptal"),"KAPALI",IF(AND($C594="Görüşme",$N594=""),"SONRAKİ İŞLEM EKSİK",IF($I594="","TARİH EKSİK",IF($I594&lt;TODAY(),"GECİKMİŞ",IF($I594=TODAY(),"BUGÜN",IF($I594&lt;=TODAY()+7,"7 GÜN İÇİNDE","PLANLI"))))))))</f>
        <v/>
      </c>
      <c r="R594" s="6" t="n"/>
      <c r="S594" s="6" t="n"/>
      <c r="T594" s="3" t="n"/>
      <c r="U594" s="3">
        <f>IF($E594="","",UPPER(SUBSTITUTE(SUBSTITUTE(SUBSTITUTE(SUBSTITUTE(SUBSTITUTE(SUBSTITUTE(SUBSTITUTE(SUBSTITUTE(SUBSTITUTE(SUBSTITUTE(SUBSTITUTE(SUBSTITUTE(SUBSTITUTE(SUBSTITUTE(SUBSTITUTE(SUBSTITUTE(SUBSTITUTE(SUBSTITUTE(TRIM($E594),"'",""),"İ","I"),"ı","I"),"i","I"),"Ş","S"),"ş","S"),"Ğ","G"),"ğ","G"),"Ü","U"),"ü","U"),"Ö","O"),"ö","O"),"Ç","C"),"ç","C"),".",""),",","")," ",""),"-","")))</f>
        <v/>
      </c>
    </row>
    <row r="595">
      <c r="A595" s="6" t="n"/>
      <c r="B595" s="113">
        <f>IF($E595="","","A"&amp;TEXT(ROW()-6,"00000"))</f>
        <v/>
      </c>
      <c r="C595" s="108" t="n"/>
      <c r="D595" s="113">
        <f>IF($E595="","",IFERROR(INDEX(MUSTERILER!$B$7:$B$106,MATCH($U595,MUSTERILER!$T$7:$T$106,0)),IFERROR(INDEX(MUSTERILER!$B$7:$B$106,MATCH($E595,MUSTERILER!$B$7:$B$106,0)),IFERROR(INDEX(MUSTERILER!$B$7:$B$106,MATCH($U595&amp;"*",MUSTERILER!$T$7:$T$106,0)),"TANIMSIZ MÜŞTERİ"))))</f>
        <v/>
      </c>
      <c r="E595" s="109" t="n"/>
      <c r="F595" s="109" t="n"/>
      <c r="G595" s="108" t="n"/>
      <c r="H595" s="220" t="n"/>
      <c r="I595" s="220" t="n"/>
      <c r="J595" s="108" t="n"/>
      <c r="K595" s="108" t="n"/>
      <c r="L595" s="109" t="n"/>
      <c r="M595" s="109" t="n"/>
      <c r="N595" s="109" t="n"/>
      <c r="O595" s="220" t="n"/>
      <c r="P595" s="227">
        <f>IF(OR($E595="",$I595=""),"",IF(OR($J595="Tamamlandı",$J595="İptal"),"",$I595-TODAY()))</f>
        <v/>
      </c>
      <c r="Q595" s="113">
        <f>IF($E595="","",IF($D595="TANIMSIZ MÜŞTERİ","HATA",IF(OR($J595="Tamamlandı",$J595="İptal"),"KAPALI",IF(AND($C595="Görüşme",$N595=""),"SONRAKİ İŞLEM EKSİK",IF($I595="","TARİH EKSİK",IF($I595&lt;TODAY(),"GECİKMİŞ",IF($I595=TODAY(),"BUGÜN",IF($I595&lt;=TODAY()+7,"7 GÜN İÇİNDE","PLANLI"))))))))</f>
        <v/>
      </c>
      <c r="R595" s="6" t="n"/>
      <c r="S595" s="6" t="n"/>
      <c r="T595" s="3" t="n"/>
      <c r="U595" s="3">
        <f>IF($E595="","",UPPER(SUBSTITUTE(SUBSTITUTE(SUBSTITUTE(SUBSTITUTE(SUBSTITUTE(SUBSTITUTE(SUBSTITUTE(SUBSTITUTE(SUBSTITUTE(SUBSTITUTE(SUBSTITUTE(SUBSTITUTE(SUBSTITUTE(SUBSTITUTE(SUBSTITUTE(SUBSTITUTE(SUBSTITUTE(SUBSTITUTE(TRIM($E595),"'",""),"İ","I"),"ı","I"),"i","I"),"Ş","S"),"ş","S"),"Ğ","G"),"ğ","G"),"Ü","U"),"ü","U"),"Ö","O"),"ö","O"),"Ç","C"),"ç","C"),".",""),",","")," ",""),"-","")))</f>
        <v/>
      </c>
    </row>
    <row r="596">
      <c r="A596" s="6" t="n"/>
      <c r="B596" s="113">
        <f>IF($E596="","","A"&amp;TEXT(ROW()-6,"00000"))</f>
        <v/>
      </c>
      <c r="C596" s="108" t="n"/>
      <c r="D596" s="113">
        <f>IF($E596="","",IFERROR(INDEX(MUSTERILER!$B$7:$B$106,MATCH($U596,MUSTERILER!$T$7:$T$106,0)),IFERROR(INDEX(MUSTERILER!$B$7:$B$106,MATCH($E596,MUSTERILER!$B$7:$B$106,0)),IFERROR(INDEX(MUSTERILER!$B$7:$B$106,MATCH($U596&amp;"*",MUSTERILER!$T$7:$T$106,0)),"TANIMSIZ MÜŞTERİ"))))</f>
        <v/>
      </c>
      <c r="E596" s="109" t="n"/>
      <c r="F596" s="109" t="n"/>
      <c r="G596" s="108" t="n"/>
      <c r="H596" s="220" t="n"/>
      <c r="I596" s="220" t="n"/>
      <c r="J596" s="108" t="n"/>
      <c r="K596" s="108" t="n"/>
      <c r="L596" s="109" t="n"/>
      <c r="M596" s="109" t="n"/>
      <c r="N596" s="109" t="n"/>
      <c r="O596" s="220" t="n"/>
      <c r="P596" s="227">
        <f>IF(OR($E596="",$I596=""),"",IF(OR($J596="Tamamlandı",$J596="İptal"),"",$I596-TODAY()))</f>
        <v/>
      </c>
      <c r="Q596" s="113">
        <f>IF($E596="","",IF($D596="TANIMSIZ MÜŞTERİ","HATA",IF(OR($J596="Tamamlandı",$J596="İptal"),"KAPALI",IF(AND($C596="Görüşme",$N596=""),"SONRAKİ İŞLEM EKSİK",IF($I596="","TARİH EKSİK",IF($I596&lt;TODAY(),"GECİKMİŞ",IF($I596=TODAY(),"BUGÜN",IF($I596&lt;=TODAY()+7,"7 GÜN İÇİNDE","PLANLI"))))))))</f>
        <v/>
      </c>
      <c r="R596" s="6" t="n"/>
      <c r="S596" s="6" t="n"/>
      <c r="T596" s="3" t="n"/>
      <c r="U596" s="3">
        <f>IF($E596="","",UPPER(SUBSTITUTE(SUBSTITUTE(SUBSTITUTE(SUBSTITUTE(SUBSTITUTE(SUBSTITUTE(SUBSTITUTE(SUBSTITUTE(SUBSTITUTE(SUBSTITUTE(SUBSTITUTE(SUBSTITUTE(SUBSTITUTE(SUBSTITUTE(SUBSTITUTE(SUBSTITUTE(SUBSTITUTE(SUBSTITUTE(TRIM($E596),"'",""),"İ","I"),"ı","I"),"i","I"),"Ş","S"),"ş","S"),"Ğ","G"),"ğ","G"),"Ü","U"),"ü","U"),"Ö","O"),"ö","O"),"Ç","C"),"ç","C"),".",""),",","")," ",""),"-","")))</f>
        <v/>
      </c>
    </row>
    <row r="597">
      <c r="A597" s="6" t="n"/>
      <c r="B597" s="113">
        <f>IF($E597="","","A"&amp;TEXT(ROW()-6,"00000"))</f>
        <v/>
      </c>
      <c r="C597" s="108" t="n"/>
      <c r="D597" s="113">
        <f>IF($E597="","",IFERROR(INDEX(MUSTERILER!$B$7:$B$106,MATCH($U597,MUSTERILER!$T$7:$T$106,0)),IFERROR(INDEX(MUSTERILER!$B$7:$B$106,MATCH($E597,MUSTERILER!$B$7:$B$106,0)),IFERROR(INDEX(MUSTERILER!$B$7:$B$106,MATCH($U597&amp;"*",MUSTERILER!$T$7:$T$106,0)),"TANIMSIZ MÜŞTERİ"))))</f>
        <v/>
      </c>
      <c r="E597" s="109" t="n"/>
      <c r="F597" s="109" t="n"/>
      <c r="G597" s="108" t="n"/>
      <c r="H597" s="220" t="n"/>
      <c r="I597" s="220" t="n"/>
      <c r="J597" s="108" t="n"/>
      <c r="K597" s="108" t="n"/>
      <c r="L597" s="109" t="n"/>
      <c r="M597" s="109" t="n"/>
      <c r="N597" s="109" t="n"/>
      <c r="O597" s="220" t="n"/>
      <c r="P597" s="227">
        <f>IF(OR($E597="",$I597=""),"",IF(OR($J597="Tamamlandı",$J597="İptal"),"",$I597-TODAY()))</f>
        <v/>
      </c>
      <c r="Q597" s="113">
        <f>IF($E597="","",IF($D597="TANIMSIZ MÜŞTERİ","HATA",IF(OR($J597="Tamamlandı",$J597="İptal"),"KAPALI",IF(AND($C597="Görüşme",$N597=""),"SONRAKİ İŞLEM EKSİK",IF($I597="","TARİH EKSİK",IF($I597&lt;TODAY(),"GECİKMİŞ",IF($I597=TODAY(),"BUGÜN",IF($I597&lt;=TODAY()+7,"7 GÜN İÇİNDE","PLANLI"))))))))</f>
        <v/>
      </c>
      <c r="R597" s="6" t="n"/>
      <c r="S597" s="6" t="n"/>
      <c r="T597" s="3" t="n"/>
      <c r="U597" s="3">
        <f>IF($E597="","",UPPER(SUBSTITUTE(SUBSTITUTE(SUBSTITUTE(SUBSTITUTE(SUBSTITUTE(SUBSTITUTE(SUBSTITUTE(SUBSTITUTE(SUBSTITUTE(SUBSTITUTE(SUBSTITUTE(SUBSTITUTE(SUBSTITUTE(SUBSTITUTE(SUBSTITUTE(SUBSTITUTE(SUBSTITUTE(SUBSTITUTE(TRIM($E597),"'",""),"İ","I"),"ı","I"),"i","I"),"Ş","S"),"ş","S"),"Ğ","G"),"ğ","G"),"Ü","U"),"ü","U"),"Ö","O"),"ö","O"),"Ç","C"),"ç","C"),".",""),",","")," ",""),"-","")))</f>
        <v/>
      </c>
    </row>
    <row r="598">
      <c r="A598" s="6" t="n"/>
      <c r="B598" s="113">
        <f>IF($E598="","","A"&amp;TEXT(ROW()-6,"00000"))</f>
        <v/>
      </c>
      <c r="C598" s="108" t="n"/>
      <c r="D598" s="113">
        <f>IF($E598="","",IFERROR(INDEX(MUSTERILER!$B$7:$B$106,MATCH($U598,MUSTERILER!$T$7:$T$106,0)),IFERROR(INDEX(MUSTERILER!$B$7:$B$106,MATCH($E598,MUSTERILER!$B$7:$B$106,0)),IFERROR(INDEX(MUSTERILER!$B$7:$B$106,MATCH($U598&amp;"*",MUSTERILER!$T$7:$T$106,0)),"TANIMSIZ MÜŞTERİ"))))</f>
        <v/>
      </c>
      <c r="E598" s="109" t="n"/>
      <c r="F598" s="109" t="n"/>
      <c r="G598" s="108" t="n"/>
      <c r="H598" s="220" t="n"/>
      <c r="I598" s="220" t="n"/>
      <c r="J598" s="108" t="n"/>
      <c r="K598" s="108" t="n"/>
      <c r="L598" s="109" t="n"/>
      <c r="M598" s="109" t="n"/>
      <c r="N598" s="109" t="n"/>
      <c r="O598" s="220" t="n"/>
      <c r="P598" s="227">
        <f>IF(OR($E598="",$I598=""),"",IF(OR($J598="Tamamlandı",$J598="İptal"),"",$I598-TODAY()))</f>
        <v/>
      </c>
      <c r="Q598" s="113">
        <f>IF($E598="","",IF($D598="TANIMSIZ MÜŞTERİ","HATA",IF(OR($J598="Tamamlandı",$J598="İptal"),"KAPALI",IF(AND($C598="Görüşme",$N598=""),"SONRAKİ İŞLEM EKSİK",IF($I598="","TARİH EKSİK",IF($I598&lt;TODAY(),"GECİKMİŞ",IF($I598=TODAY(),"BUGÜN",IF($I598&lt;=TODAY()+7,"7 GÜN İÇİNDE","PLANLI"))))))))</f>
        <v/>
      </c>
      <c r="R598" s="6" t="n"/>
      <c r="S598" s="6" t="n"/>
      <c r="T598" s="3" t="n"/>
      <c r="U598" s="3">
        <f>IF($E598="","",UPPER(SUBSTITUTE(SUBSTITUTE(SUBSTITUTE(SUBSTITUTE(SUBSTITUTE(SUBSTITUTE(SUBSTITUTE(SUBSTITUTE(SUBSTITUTE(SUBSTITUTE(SUBSTITUTE(SUBSTITUTE(SUBSTITUTE(SUBSTITUTE(SUBSTITUTE(SUBSTITUTE(SUBSTITUTE(SUBSTITUTE(TRIM($E598),"'",""),"İ","I"),"ı","I"),"i","I"),"Ş","S"),"ş","S"),"Ğ","G"),"ğ","G"),"Ü","U"),"ü","U"),"Ö","O"),"ö","O"),"Ç","C"),"ç","C"),".",""),",","")," ",""),"-","")))</f>
        <v/>
      </c>
    </row>
    <row r="599">
      <c r="A599" s="6" t="n"/>
      <c r="B599" s="113">
        <f>IF($E599="","","A"&amp;TEXT(ROW()-6,"00000"))</f>
        <v/>
      </c>
      <c r="C599" s="108" t="n"/>
      <c r="D599" s="113">
        <f>IF($E599="","",IFERROR(INDEX(MUSTERILER!$B$7:$B$106,MATCH($U599,MUSTERILER!$T$7:$T$106,0)),IFERROR(INDEX(MUSTERILER!$B$7:$B$106,MATCH($E599,MUSTERILER!$B$7:$B$106,0)),IFERROR(INDEX(MUSTERILER!$B$7:$B$106,MATCH($U599&amp;"*",MUSTERILER!$T$7:$T$106,0)),"TANIMSIZ MÜŞTERİ"))))</f>
        <v/>
      </c>
      <c r="E599" s="109" t="n"/>
      <c r="F599" s="109" t="n"/>
      <c r="G599" s="108" t="n"/>
      <c r="H599" s="220" t="n"/>
      <c r="I599" s="220" t="n"/>
      <c r="J599" s="108" t="n"/>
      <c r="K599" s="108" t="n"/>
      <c r="L599" s="109" t="n"/>
      <c r="M599" s="109" t="n"/>
      <c r="N599" s="109" t="n"/>
      <c r="O599" s="220" t="n"/>
      <c r="P599" s="227">
        <f>IF(OR($E599="",$I599=""),"",IF(OR($J599="Tamamlandı",$J599="İptal"),"",$I599-TODAY()))</f>
        <v/>
      </c>
      <c r="Q599" s="113">
        <f>IF($E599="","",IF($D599="TANIMSIZ MÜŞTERİ","HATA",IF(OR($J599="Tamamlandı",$J599="İptal"),"KAPALI",IF(AND($C599="Görüşme",$N599=""),"SONRAKİ İŞLEM EKSİK",IF($I599="","TARİH EKSİK",IF($I599&lt;TODAY(),"GECİKMİŞ",IF($I599=TODAY(),"BUGÜN",IF($I599&lt;=TODAY()+7,"7 GÜN İÇİNDE","PLANLI"))))))))</f>
        <v/>
      </c>
      <c r="R599" s="6" t="n"/>
      <c r="S599" s="6" t="n"/>
      <c r="T599" s="3" t="n"/>
      <c r="U599" s="3">
        <f>IF($E599="","",UPPER(SUBSTITUTE(SUBSTITUTE(SUBSTITUTE(SUBSTITUTE(SUBSTITUTE(SUBSTITUTE(SUBSTITUTE(SUBSTITUTE(SUBSTITUTE(SUBSTITUTE(SUBSTITUTE(SUBSTITUTE(SUBSTITUTE(SUBSTITUTE(SUBSTITUTE(SUBSTITUTE(SUBSTITUTE(SUBSTITUTE(TRIM($E599),"'",""),"İ","I"),"ı","I"),"i","I"),"Ş","S"),"ş","S"),"Ğ","G"),"ğ","G"),"Ü","U"),"ü","U"),"Ö","O"),"ö","O"),"Ç","C"),"ç","C"),".",""),",","")," ",""),"-","")))</f>
        <v/>
      </c>
    </row>
    <row r="600">
      <c r="A600" s="6" t="n"/>
      <c r="B600" s="113">
        <f>IF($E600="","","A"&amp;TEXT(ROW()-6,"00000"))</f>
        <v/>
      </c>
      <c r="C600" s="108" t="n"/>
      <c r="D600" s="113">
        <f>IF($E600="","",IFERROR(INDEX(MUSTERILER!$B$7:$B$106,MATCH($U600,MUSTERILER!$T$7:$T$106,0)),IFERROR(INDEX(MUSTERILER!$B$7:$B$106,MATCH($E600,MUSTERILER!$B$7:$B$106,0)),IFERROR(INDEX(MUSTERILER!$B$7:$B$106,MATCH($U600&amp;"*",MUSTERILER!$T$7:$T$106,0)),"TANIMSIZ MÜŞTERİ"))))</f>
        <v/>
      </c>
      <c r="E600" s="109" t="n"/>
      <c r="F600" s="109" t="n"/>
      <c r="G600" s="108" t="n"/>
      <c r="H600" s="220" t="n"/>
      <c r="I600" s="220" t="n"/>
      <c r="J600" s="108" t="n"/>
      <c r="K600" s="108" t="n"/>
      <c r="L600" s="109" t="n"/>
      <c r="M600" s="109" t="n"/>
      <c r="N600" s="109" t="n"/>
      <c r="O600" s="220" t="n"/>
      <c r="P600" s="227">
        <f>IF(OR($E600="",$I600=""),"",IF(OR($J600="Tamamlandı",$J600="İptal"),"",$I600-TODAY()))</f>
        <v/>
      </c>
      <c r="Q600" s="113">
        <f>IF($E600="","",IF($D600="TANIMSIZ MÜŞTERİ","HATA",IF(OR($J600="Tamamlandı",$J600="İptal"),"KAPALI",IF(AND($C600="Görüşme",$N600=""),"SONRAKİ İŞLEM EKSİK",IF($I600="","TARİH EKSİK",IF($I600&lt;TODAY(),"GECİKMİŞ",IF($I600=TODAY(),"BUGÜN",IF($I600&lt;=TODAY()+7,"7 GÜN İÇİNDE","PLANLI"))))))))</f>
        <v/>
      </c>
      <c r="R600" s="6" t="n"/>
      <c r="S600" s="6" t="n"/>
      <c r="T600" s="3" t="n"/>
      <c r="U600" s="3">
        <f>IF($E600="","",UPPER(SUBSTITUTE(SUBSTITUTE(SUBSTITUTE(SUBSTITUTE(SUBSTITUTE(SUBSTITUTE(SUBSTITUTE(SUBSTITUTE(SUBSTITUTE(SUBSTITUTE(SUBSTITUTE(SUBSTITUTE(SUBSTITUTE(SUBSTITUTE(SUBSTITUTE(SUBSTITUTE(SUBSTITUTE(SUBSTITUTE(TRIM($E600),"'",""),"İ","I"),"ı","I"),"i","I"),"Ş","S"),"ş","S"),"Ğ","G"),"ğ","G"),"Ü","U"),"ü","U"),"Ö","O"),"ö","O"),"Ç","C"),"ç","C"),".",""),",","")," ",""),"-","")))</f>
        <v/>
      </c>
    </row>
    <row r="601">
      <c r="A601" s="6" t="n"/>
      <c r="B601" s="113">
        <f>IF($E601="","","A"&amp;TEXT(ROW()-6,"00000"))</f>
        <v/>
      </c>
      <c r="C601" s="108" t="n"/>
      <c r="D601" s="113">
        <f>IF($E601="","",IFERROR(INDEX(MUSTERILER!$B$7:$B$106,MATCH($U601,MUSTERILER!$T$7:$T$106,0)),IFERROR(INDEX(MUSTERILER!$B$7:$B$106,MATCH($E601,MUSTERILER!$B$7:$B$106,0)),IFERROR(INDEX(MUSTERILER!$B$7:$B$106,MATCH($U601&amp;"*",MUSTERILER!$T$7:$T$106,0)),"TANIMSIZ MÜŞTERİ"))))</f>
        <v/>
      </c>
      <c r="E601" s="109" t="n"/>
      <c r="F601" s="109" t="n"/>
      <c r="G601" s="108" t="n"/>
      <c r="H601" s="220" t="n"/>
      <c r="I601" s="220" t="n"/>
      <c r="J601" s="108" t="n"/>
      <c r="K601" s="108" t="n"/>
      <c r="L601" s="109" t="n"/>
      <c r="M601" s="109" t="n"/>
      <c r="N601" s="109" t="n"/>
      <c r="O601" s="220" t="n"/>
      <c r="P601" s="227">
        <f>IF(OR($E601="",$I601=""),"",IF(OR($J601="Tamamlandı",$J601="İptal"),"",$I601-TODAY()))</f>
        <v/>
      </c>
      <c r="Q601" s="113">
        <f>IF($E601="","",IF($D601="TANIMSIZ MÜŞTERİ","HATA",IF(OR($J601="Tamamlandı",$J601="İptal"),"KAPALI",IF(AND($C601="Görüşme",$N601=""),"SONRAKİ İŞLEM EKSİK",IF($I601="","TARİH EKSİK",IF($I601&lt;TODAY(),"GECİKMİŞ",IF($I601=TODAY(),"BUGÜN",IF($I601&lt;=TODAY()+7,"7 GÜN İÇİNDE","PLANLI"))))))))</f>
        <v/>
      </c>
      <c r="R601" s="6" t="n"/>
      <c r="S601" s="6" t="n"/>
      <c r="T601" s="3" t="n"/>
      <c r="U601" s="3">
        <f>IF($E601="","",UPPER(SUBSTITUTE(SUBSTITUTE(SUBSTITUTE(SUBSTITUTE(SUBSTITUTE(SUBSTITUTE(SUBSTITUTE(SUBSTITUTE(SUBSTITUTE(SUBSTITUTE(SUBSTITUTE(SUBSTITUTE(SUBSTITUTE(SUBSTITUTE(SUBSTITUTE(SUBSTITUTE(SUBSTITUTE(SUBSTITUTE(TRIM($E601),"'",""),"İ","I"),"ı","I"),"i","I"),"Ş","S"),"ş","S"),"Ğ","G"),"ğ","G"),"Ü","U"),"ü","U"),"Ö","O"),"ö","O"),"Ç","C"),"ç","C"),".",""),",","")," ",""),"-","")))</f>
        <v/>
      </c>
    </row>
    <row r="602">
      <c r="A602" s="6" t="n"/>
      <c r="B602" s="113">
        <f>IF($E602="","","A"&amp;TEXT(ROW()-6,"00000"))</f>
        <v/>
      </c>
      <c r="C602" s="108" t="n"/>
      <c r="D602" s="113">
        <f>IF($E602="","",IFERROR(INDEX(MUSTERILER!$B$7:$B$106,MATCH($U602,MUSTERILER!$T$7:$T$106,0)),IFERROR(INDEX(MUSTERILER!$B$7:$B$106,MATCH($E602,MUSTERILER!$B$7:$B$106,0)),IFERROR(INDEX(MUSTERILER!$B$7:$B$106,MATCH($U602&amp;"*",MUSTERILER!$T$7:$T$106,0)),"TANIMSIZ MÜŞTERİ"))))</f>
        <v/>
      </c>
      <c r="E602" s="109" t="n"/>
      <c r="F602" s="109" t="n"/>
      <c r="G602" s="108" t="n"/>
      <c r="H602" s="220" t="n"/>
      <c r="I602" s="220" t="n"/>
      <c r="J602" s="108" t="n"/>
      <c r="K602" s="108" t="n"/>
      <c r="L602" s="109" t="n"/>
      <c r="M602" s="109" t="n"/>
      <c r="N602" s="109" t="n"/>
      <c r="O602" s="220" t="n"/>
      <c r="P602" s="227">
        <f>IF(OR($E602="",$I602=""),"",IF(OR($J602="Tamamlandı",$J602="İptal"),"",$I602-TODAY()))</f>
        <v/>
      </c>
      <c r="Q602" s="113">
        <f>IF($E602="","",IF($D602="TANIMSIZ MÜŞTERİ","HATA",IF(OR($J602="Tamamlandı",$J602="İptal"),"KAPALI",IF(AND($C602="Görüşme",$N602=""),"SONRAKİ İŞLEM EKSİK",IF($I602="","TARİH EKSİK",IF($I602&lt;TODAY(),"GECİKMİŞ",IF($I602=TODAY(),"BUGÜN",IF($I602&lt;=TODAY()+7,"7 GÜN İÇİNDE","PLANLI"))))))))</f>
        <v/>
      </c>
      <c r="R602" s="6" t="n"/>
      <c r="S602" s="6" t="n"/>
      <c r="T602" s="3" t="n"/>
      <c r="U602" s="3">
        <f>IF($E602="","",UPPER(SUBSTITUTE(SUBSTITUTE(SUBSTITUTE(SUBSTITUTE(SUBSTITUTE(SUBSTITUTE(SUBSTITUTE(SUBSTITUTE(SUBSTITUTE(SUBSTITUTE(SUBSTITUTE(SUBSTITUTE(SUBSTITUTE(SUBSTITUTE(SUBSTITUTE(SUBSTITUTE(SUBSTITUTE(SUBSTITUTE(TRIM($E602),"'",""),"İ","I"),"ı","I"),"i","I"),"Ş","S"),"ş","S"),"Ğ","G"),"ğ","G"),"Ü","U"),"ü","U"),"Ö","O"),"ö","O"),"Ç","C"),"ç","C"),".",""),",","")," ",""),"-","")))</f>
        <v/>
      </c>
    </row>
    <row r="603">
      <c r="A603" s="6" t="n"/>
      <c r="B603" s="113">
        <f>IF($E603="","","A"&amp;TEXT(ROW()-6,"00000"))</f>
        <v/>
      </c>
      <c r="C603" s="108" t="n"/>
      <c r="D603" s="113">
        <f>IF($E603="","",IFERROR(INDEX(MUSTERILER!$B$7:$B$106,MATCH($U603,MUSTERILER!$T$7:$T$106,0)),IFERROR(INDEX(MUSTERILER!$B$7:$B$106,MATCH($E603,MUSTERILER!$B$7:$B$106,0)),IFERROR(INDEX(MUSTERILER!$B$7:$B$106,MATCH($U603&amp;"*",MUSTERILER!$T$7:$T$106,0)),"TANIMSIZ MÜŞTERİ"))))</f>
        <v/>
      </c>
      <c r="E603" s="109" t="n"/>
      <c r="F603" s="109" t="n"/>
      <c r="G603" s="108" t="n"/>
      <c r="H603" s="220" t="n"/>
      <c r="I603" s="220" t="n"/>
      <c r="J603" s="108" t="n"/>
      <c r="K603" s="108" t="n"/>
      <c r="L603" s="109" t="n"/>
      <c r="M603" s="109" t="n"/>
      <c r="N603" s="109" t="n"/>
      <c r="O603" s="220" t="n"/>
      <c r="P603" s="227">
        <f>IF(OR($E603="",$I603=""),"",IF(OR($J603="Tamamlandı",$J603="İptal"),"",$I603-TODAY()))</f>
        <v/>
      </c>
      <c r="Q603" s="113">
        <f>IF($E603="","",IF($D603="TANIMSIZ MÜŞTERİ","HATA",IF(OR($J603="Tamamlandı",$J603="İptal"),"KAPALI",IF(AND($C603="Görüşme",$N603=""),"SONRAKİ İŞLEM EKSİK",IF($I603="","TARİH EKSİK",IF($I603&lt;TODAY(),"GECİKMİŞ",IF($I603=TODAY(),"BUGÜN",IF($I603&lt;=TODAY()+7,"7 GÜN İÇİNDE","PLANLI"))))))))</f>
        <v/>
      </c>
      <c r="R603" s="6" t="n"/>
      <c r="S603" s="6" t="n"/>
      <c r="T603" s="3" t="n"/>
      <c r="U603" s="3">
        <f>IF($E603="","",UPPER(SUBSTITUTE(SUBSTITUTE(SUBSTITUTE(SUBSTITUTE(SUBSTITUTE(SUBSTITUTE(SUBSTITUTE(SUBSTITUTE(SUBSTITUTE(SUBSTITUTE(SUBSTITUTE(SUBSTITUTE(SUBSTITUTE(SUBSTITUTE(SUBSTITUTE(SUBSTITUTE(SUBSTITUTE(SUBSTITUTE(TRIM($E603),"'",""),"İ","I"),"ı","I"),"i","I"),"Ş","S"),"ş","S"),"Ğ","G"),"ğ","G"),"Ü","U"),"ü","U"),"Ö","O"),"ö","O"),"Ç","C"),"ç","C"),".",""),",","")," ",""),"-","")))</f>
        <v/>
      </c>
    </row>
    <row r="604">
      <c r="A604" s="6" t="n"/>
      <c r="B604" s="113">
        <f>IF($E604="","","A"&amp;TEXT(ROW()-6,"00000"))</f>
        <v/>
      </c>
      <c r="C604" s="108" t="n"/>
      <c r="D604" s="113">
        <f>IF($E604="","",IFERROR(INDEX(MUSTERILER!$B$7:$B$106,MATCH($U604,MUSTERILER!$T$7:$T$106,0)),IFERROR(INDEX(MUSTERILER!$B$7:$B$106,MATCH($E604,MUSTERILER!$B$7:$B$106,0)),IFERROR(INDEX(MUSTERILER!$B$7:$B$106,MATCH($U604&amp;"*",MUSTERILER!$T$7:$T$106,0)),"TANIMSIZ MÜŞTERİ"))))</f>
        <v/>
      </c>
      <c r="E604" s="109" t="n"/>
      <c r="F604" s="109" t="n"/>
      <c r="G604" s="108" t="n"/>
      <c r="H604" s="220" t="n"/>
      <c r="I604" s="220" t="n"/>
      <c r="J604" s="108" t="n"/>
      <c r="K604" s="108" t="n"/>
      <c r="L604" s="109" t="n"/>
      <c r="M604" s="109" t="n"/>
      <c r="N604" s="109" t="n"/>
      <c r="O604" s="220" t="n"/>
      <c r="P604" s="227">
        <f>IF(OR($E604="",$I604=""),"",IF(OR($J604="Tamamlandı",$J604="İptal"),"",$I604-TODAY()))</f>
        <v/>
      </c>
      <c r="Q604" s="113">
        <f>IF($E604="","",IF($D604="TANIMSIZ MÜŞTERİ","HATA",IF(OR($J604="Tamamlandı",$J604="İptal"),"KAPALI",IF(AND($C604="Görüşme",$N604=""),"SONRAKİ İŞLEM EKSİK",IF($I604="","TARİH EKSİK",IF($I604&lt;TODAY(),"GECİKMİŞ",IF($I604=TODAY(),"BUGÜN",IF($I604&lt;=TODAY()+7,"7 GÜN İÇİNDE","PLANLI"))))))))</f>
        <v/>
      </c>
      <c r="R604" s="6" t="n"/>
      <c r="S604" s="6" t="n"/>
      <c r="T604" s="3" t="n"/>
      <c r="U604" s="3">
        <f>IF($E604="","",UPPER(SUBSTITUTE(SUBSTITUTE(SUBSTITUTE(SUBSTITUTE(SUBSTITUTE(SUBSTITUTE(SUBSTITUTE(SUBSTITUTE(SUBSTITUTE(SUBSTITUTE(SUBSTITUTE(SUBSTITUTE(SUBSTITUTE(SUBSTITUTE(SUBSTITUTE(SUBSTITUTE(SUBSTITUTE(SUBSTITUTE(TRIM($E604),"'",""),"İ","I"),"ı","I"),"i","I"),"Ş","S"),"ş","S"),"Ğ","G"),"ğ","G"),"Ü","U"),"ü","U"),"Ö","O"),"ö","O"),"Ç","C"),"ç","C"),".",""),",","")," ",""),"-","")))</f>
        <v/>
      </c>
    </row>
    <row r="605">
      <c r="A605" s="6" t="n"/>
      <c r="B605" s="113">
        <f>IF($E605="","","A"&amp;TEXT(ROW()-6,"00000"))</f>
        <v/>
      </c>
      <c r="C605" s="108" t="n"/>
      <c r="D605" s="113">
        <f>IF($E605="","",IFERROR(INDEX(MUSTERILER!$B$7:$B$106,MATCH($U605,MUSTERILER!$T$7:$T$106,0)),IFERROR(INDEX(MUSTERILER!$B$7:$B$106,MATCH($E605,MUSTERILER!$B$7:$B$106,0)),IFERROR(INDEX(MUSTERILER!$B$7:$B$106,MATCH($U605&amp;"*",MUSTERILER!$T$7:$T$106,0)),"TANIMSIZ MÜŞTERİ"))))</f>
        <v/>
      </c>
      <c r="E605" s="109" t="n"/>
      <c r="F605" s="109" t="n"/>
      <c r="G605" s="108" t="n"/>
      <c r="H605" s="220" t="n"/>
      <c r="I605" s="220" t="n"/>
      <c r="J605" s="108" t="n"/>
      <c r="K605" s="108" t="n"/>
      <c r="L605" s="109" t="n"/>
      <c r="M605" s="109" t="n"/>
      <c r="N605" s="109" t="n"/>
      <c r="O605" s="220" t="n"/>
      <c r="P605" s="227">
        <f>IF(OR($E605="",$I605=""),"",IF(OR($J605="Tamamlandı",$J605="İptal"),"",$I605-TODAY()))</f>
        <v/>
      </c>
      <c r="Q605" s="113">
        <f>IF($E605="","",IF($D605="TANIMSIZ MÜŞTERİ","HATA",IF(OR($J605="Tamamlandı",$J605="İptal"),"KAPALI",IF(AND($C605="Görüşme",$N605=""),"SONRAKİ İŞLEM EKSİK",IF($I605="","TARİH EKSİK",IF($I605&lt;TODAY(),"GECİKMİŞ",IF($I605=TODAY(),"BUGÜN",IF($I605&lt;=TODAY()+7,"7 GÜN İÇİNDE","PLANLI"))))))))</f>
        <v/>
      </c>
      <c r="R605" s="6" t="n"/>
      <c r="S605" s="6" t="n"/>
      <c r="T605" s="3" t="n"/>
      <c r="U605" s="3">
        <f>IF($E605="","",UPPER(SUBSTITUTE(SUBSTITUTE(SUBSTITUTE(SUBSTITUTE(SUBSTITUTE(SUBSTITUTE(SUBSTITUTE(SUBSTITUTE(SUBSTITUTE(SUBSTITUTE(SUBSTITUTE(SUBSTITUTE(SUBSTITUTE(SUBSTITUTE(SUBSTITUTE(SUBSTITUTE(SUBSTITUTE(SUBSTITUTE(TRIM($E605),"'",""),"İ","I"),"ı","I"),"i","I"),"Ş","S"),"ş","S"),"Ğ","G"),"ğ","G"),"Ü","U"),"ü","U"),"Ö","O"),"ö","O"),"Ç","C"),"ç","C"),".",""),",","")," ",""),"-","")))</f>
        <v/>
      </c>
    </row>
    <row r="606">
      <c r="A606" s="6" t="n"/>
      <c r="B606" s="113">
        <f>IF($E606="","","A"&amp;TEXT(ROW()-6,"00000"))</f>
        <v/>
      </c>
      <c r="C606" s="108" t="n"/>
      <c r="D606" s="113">
        <f>IF($E606="","",IFERROR(INDEX(MUSTERILER!$B$7:$B$106,MATCH($U606,MUSTERILER!$T$7:$T$106,0)),IFERROR(INDEX(MUSTERILER!$B$7:$B$106,MATCH($E606,MUSTERILER!$B$7:$B$106,0)),IFERROR(INDEX(MUSTERILER!$B$7:$B$106,MATCH($U606&amp;"*",MUSTERILER!$T$7:$T$106,0)),"TANIMSIZ MÜŞTERİ"))))</f>
        <v/>
      </c>
      <c r="E606" s="109" t="n"/>
      <c r="F606" s="109" t="n"/>
      <c r="G606" s="108" t="n"/>
      <c r="H606" s="220" t="n"/>
      <c r="I606" s="220" t="n"/>
      <c r="J606" s="108" t="n"/>
      <c r="K606" s="108" t="n"/>
      <c r="L606" s="109" t="n"/>
      <c r="M606" s="109" t="n"/>
      <c r="N606" s="109" t="n"/>
      <c r="O606" s="220" t="n"/>
      <c r="P606" s="227">
        <f>IF(OR($E606="",$I606=""),"",IF(OR($J606="Tamamlandı",$J606="İptal"),"",$I606-TODAY()))</f>
        <v/>
      </c>
      <c r="Q606" s="113">
        <f>IF($E606="","",IF($D606="TANIMSIZ MÜŞTERİ","HATA",IF(OR($J606="Tamamlandı",$J606="İptal"),"KAPALI",IF(AND($C606="Görüşme",$N606=""),"SONRAKİ İŞLEM EKSİK",IF($I606="","TARİH EKSİK",IF($I606&lt;TODAY(),"GECİKMİŞ",IF($I606=TODAY(),"BUGÜN",IF($I606&lt;=TODAY()+7,"7 GÜN İÇİNDE","PLANLI"))))))))</f>
        <v/>
      </c>
      <c r="R606" s="6" t="n"/>
      <c r="S606" s="6" t="n"/>
      <c r="T606" s="3" t="n"/>
      <c r="U606" s="3">
        <f>IF($E606="","",UPPER(SUBSTITUTE(SUBSTITUTE(SUBSTITUTE(SUBSTITUTE(SUBSTITUTE(SUBSTITUTE(SUBSTITUTE(SUBSTITUTE(SUBSTITUTE(SUBSTITUTE(SUBSTITUTE(SUBSTITUTE(SUBSTITUTE(SUBSTITUTE(SUBSTITUTE(SUBSTITUTE(SUBSTITUTE(SUBSTITUTE(TRIM($E606),"'",""),"İ","I"),"ı","I"),"i","I"),"Ş","S"),"ş","S"),"Ğ","G"),"ğ","G"),"Ü","U"),"ü","U"),"Ö","O"),"ö","O"),"Ç","C"),"ç","C"),".",""),",","")," ",""),"-","")))</f>
        <v/>
      </c>
    </row>
    <row r="607">
      <c r="A607" s="6" t="n"/>
      <c r="B607" s="113">
        <f>IF($E607="","","A"&amp;TEXT(ROW()-6,"00000"))</f>
        <v/>
      </c>
      <c r="C607" s="108" t="n"/>
      <c r="D607" s="113">
        <f>IF($E607="","",IFERROR(INDEX(MUSTERILER!$B$7:$B$106,MATCH($U607,MUSTERILER!$T$7:$T$106,0)),IFERROR(INDEX(MUSTERILER!$B$7:$B$106,MATCH($E607,MUSTERILER!$B$7:$B$106,0)),IFERROR(INDEX(MUSTERILER!$B$7:$B$106,MATCH($U607&amp;"*",MUSTERILER!$T$7:$T$106,0)),"TANIMSIZ MÜŞTERİ"))))</f>
        <v/>
      </c>
      <c r="E607" s="109" t="n"/>
      <c r="F607" s="109" t="n"/>
      <c r="G607" s="108" t="n"/>
      <c r="H607" s="220" t="n"/>
      <c r="I607" s="220" t="n"/>
      <c r="J607" s="108" t="n"/>
      <c r="K607" s="108" t="n"/>
      <c r="L607" s="109" t="n"/>
      <c r="M607" s="109" t="n"/>
      <c r="N607" s="109" t="n"/>
      <c r="O607" s="220" t="n"/>
      <c r="P607" s="227">
        <f>IF(OR($E607="",$I607=""),"",IF(OR($J607="Tamamlandı",$J607="İptal"),"",$I607-TODAY()))</f>
        <v/>
      </c>
      <c r="Q607" s="113">
        <f>IF($E607="","",IF($D607="TANIMSIZ MÜŞTERİ","HATA",IF(OR($J607="Tamamlandı",$J607="İptal"),"KAPALI",IF(AND($C607="Görüşme",$N607=""),"SONRAKİ İŞLEM EKSİK",IF($I607="","TARİH EKSİK",IF($I607&lt;TODAY(),"GECİKMİŞ",IF($I607=TODAY(),"BUGÜN",IF($I607&lt;=TODAY()+7,"7 GÜN İÇİNDE","PLANLI"))))))))</f>
        <v/>
      </c>
      <c r="R607" s="6" t="n"/>
      <c r="S607" s="6" t="n"/>
      <c r="T607" s="3" t="n"/>
      <c r="U607" s="3">
        <f>IF($E607="","",UPPER(SUBSTITUTE(SUBSTITUTE(SUBSTITUTE(SUBSTITUTE(SUBSTITUTE(SUBSTITUTE(SUBSTITUTE(SUBSTITUTE(SUBSTITUTE(SUBSTITUTE(SUBSTITUTE(SUBSTITUTE(SUBSTITUTE(SUBSTITUTE(SUBSTITUTE(SUBSTITUTE(SUBSTITUTE(SUBSTITUTE(TRIM($E607),"'",""),"İ","I"),"ı","I"),"i","I"),"Ş","S"),"ş","S"),"Ğ","G"),"ğ","G"),"Ü","U"),"ü","U"),"Ö","O"),"ö","O"),"Ç","C"),"ç","C"),".",""),",","")," ",""),"-","")))</f>
        <v/>
      </c>
    </row>
    <row r="608">
      <c r="A608" s="6" t="n"/>
      <c r="B608" s="113">
        <f>IF($E608="","","A"&amp;TEXT(ROW()-6,"00000"))</f>
        <v/>
      </c>
      <c r="C608" s="108" t="n"/>
      <c r="D608" s="113">
        <f>IF($E608="","",IFERROR(INDEX(MUSTERILER!$B$7:$B$106,MATCH($U608,MUSTERILER!$T$7:$T$106,0)),IFERROR(INDEX(MUSTERILER!$B$7:$B$106,MATCH($E608,MUSTERILER!$B$7:$B$106,0)),IFERROR(INDEX(MUSTERILER!$B$7:$B$106,MATCH($U608&amp;"*",MUSTERILER!$T$7:$T$106,0)),"TANIMSIZ MÜŞTERİ"))))</f>
        <v/>
      </c>
      <c r="E608" s="109" t="n"/>
      <c r="F608" s="109" t="n"/>
      <c r="G608" s="108" t="n"/>
      <c r="H608" s="220" t="n"/>
      <c r="I608" s="220" t="n"/>
      <c r="J608" s="108" t="n"/>
      <c r="K608" s="108" t="n"/>
      <c r="L608" s="109" t="n"/>
      <c r="M608" s="109" t="n"/>
      <c r="N608" s="109" t="n"/>
      <c r="O608" s="220" t="n"/>
      <c r="P608" s="227">
        <f>IF(OR($E608="",$I608=""),"",IF(OR($J608="Tamamlandı",$J608="İptal"),"",$I608-TODAY()))</f>
        <v/>
      </c>
      <c r="Q608" s="113">
        <f>IF($E608="","",IF($D608="TANIMSIZ MÜŞTERİ","HATA",IF(OR($J608="Tamamlandı",$J608="İptal"),"KAPALI",IF(AND($C608="Görüşme",$N608=""),"SONRAKİ İŞLEM EKSİK",IF($I608="","TARİH EKSİK",IF($I608&lt;TODAY(),"GECİKMİŞ",IF($I608=TODAY(),"BUGÜN",IF($I608&lt;=TODAY()+7,"7 GÜN İÇİNDE","PLANLI"))))))))</f>
        <v/>
      </c>
      <c r="R608" s="6" t="n"/>
      <c r="S608" s="6" t="n"/>
      <c r="T608" s="3" t="n"/>
      <c r="U608" s="3">
        <f>IF($E608="","",UPPER(SUBSTITUTE(SUBSTITUTE(SUBSTITUTE(SUBSTITUTE(SUBSTITUTE(SUBSTITUTE(SUBSTITUTE(SUBSTITUTE(SUBSTITUTE(SUBSTITUTE(SUBSTITUTE(SUBSTITUTE(SUBSTITUTE(SUBSTITUTE(SUBSTITUTE(SUBSTITUTE(SUBSTITUTE(SUBSTITUTE(TRIM($E608),"'",""),"İ","I"),"ı","I"),"i","I"),"Ş","S"),"ş","S"),"Ğ","G"),"ğ","G"),"Ü","U"),"ü","U"),"Ö","O"),"ö","O"),"Ç","C"),"ç","C"),".",""),",","")," ",""),"-","")))</f>
        <v/>
      </c>
    </row>
    <row r="609">
      <c r="A609" s="6" t="n"/>
      <c r="B609" s="113">
        <f>IF($E609="","","A"&amp;TEXT(ROW()-6,"00000"))</f>
        <v/>
      </c>
      <c r="C609" s="108" t="n"/>
      <c r="D609" s="113">
        <f>IF($E609="","",IFERROR(INDEX(MUSTERILER!$B$7:$B$106,MATCH($U609,MUSTERILER!$T$7:$T$106,0)),IFERROR(INDEX(MUSTERILER!$B$7:$B$106,MATCH($E609,MUSTERILER!$B$7:$B$106,0)),IFERROR(INDEX(MUSTERILER!$B$7:$B$106,MATCH($U609&amp;"*",MUSTERILER!$T$7:$T$106,0)),"TANIMSIZ MÜŞTERİ"))))</f>
        <v/>
      </c>
      <c r="E609" s="109" t="n"/>
      <c r="F609" s="109" t="n"/>
      <c r="G609" s="108" t="n"/>
      <c r="H609" s="220" t="n"/>
      <c r="I609" s="220" t="n"/>
      <c r="J609" s="108" t="n"/>
      <c r="K609" s="108" t="n"/>
      <c r="L609" s="109" t="n"/>
      <c r="M609" s="109" t="n"/>
      <c r="N609" s="109" t="n"/>
      <c r="O609" s="220" t="n"/>
      <c r="P609" s="227">
        <f>IF(OR($E609="",$I609=""),"",IF(OR($J609="Tamamlandı",$J609="İptal"),"",$I609-TODAY()))</f>
        <v/>
      </c>
      <c r="Q609" s="113">
        <f>IF($E609="","",IF($D609="TANIMSIZ MÜŞTERİ","HATA",IF(OR($J609="Tamamlandı",$J609="İptal"),"KAPALI",IF(AND($C609="Görüşme",$N609=""),"SONRAKİ İŞLEM EKSİK",IF($I609="","TARİH EKSİK",IF($I609&lt;TODAY(),"GECİKMİŞ",IF($I609=TODAY(),"BUGÜN",IF($I609&lt;=TODAY()+7,"7 GÜN İÇİNDE","PLANLI"))))))))</f>
        <v/>
      </c>
      <c r="R609" s="6" t="n"/>
      <c r="S609" s="6" t="n"/>
      <c r="T609" s="3" t="n"/>
      <c r="U609" s="3">
        <f>IF($E609="","",UPPER(SUBSTITUTE(SUBSTITUTE(SUBSTITUTE(SUBSTITUTE(SUBSTITUTE(SUBSTITUTE(SUBSTITUTE(SUBSTITUTE(SUBSTITUTE(SUBSTITUTE(SUBSTITUTE(SUBSTITUTE(SUBSTITUTE(SUBSTITUTE(SUBSTITUTE(SUBSTITUTE(SUBSTITUTE(SUBSTITUTE(TRIM($E609),"'",""),"İ","I"),"ı","I"),"i","I"),"Ş","S"),"ş","S"),"Ğ","G"),"ğ","G"),"Ü","U"),"ü","U"),"Ö","O"),"ö","O"),"Ç","C"),"ç","C"),".",""),",","")," ",""),"-","")))</f>
        <v/>
      </c>
    </row>
    <row r="610">
      <c r="A610" s="6" t="n"/>
      <c r="B610" s="113">
        <f>IF($E610="","","A"&amp;TEXT(ROW()-6,"00000"))</f>
        <v/>
      </c>
      <c r="C610" s="108" t="n"/>
      <c r="D610" s="113">
        <f>IF($E610="","",IFERROR(INDEX(MUSTERILER!$B$7:$B$106,MATCH($U610,MUSTERILER!$T$7:$T$106,0)),IFERROR(INDEX(MUSTERILER!$B$7:$B$106,MATCH($E610,MUSTERILER!$B$7:$B$106,0)),IFERROR(INDEX(MUSTERILER!$B$7:$B$106,MATCH($U610&amp;"*",MUSTERILER!$T$7:$T$106,0)),"TANIMSIZ MÜŞTERİ"))))</f>
        <v/>
      </c>
      <c r="E610" s="109" t="n"/>
      <c r="F610" s="109" t="n"/>
      <c r="G610" s="108" t="n"/>
      <c r="H610" s="220" t="n"/>
      <c r="I610" s="220" t="n"/>
      <c r="J610" s="108" t="n"/>
      <c r="K610" s="108" t="n"/>
      <c r="L610" s="109" t="n"/>
      <c r="M610" s="109" t="n"/>
      <c r="N610" s="109" t="n"/>
      <c r="O610" s="220" t="n"/>
      <c r="P610" s="227">
        <f>IF(OR($E610="",$I610=""),"",IF(OR($J610="Tamamlandı",$J610="İptal"),"",$I610-TODAY()))</f>
        <v/>
      </c>
      <c r="Q610" s="113">
        <f>IF($E610="","",IF($D610="TANIMSIZ MÜŞTERİ","HATA",IF(OR($J610="Tamamlandı",$J610="İptal"),"KAPALI",IF(AND($C610="Görüşme",$N610=""),"SONRAKİ İŞLEM EKSİK",IF($I610="","TARİH EKSİK",IF($I610&lt;TODAY(),"GECİKMİŞ",IF($I610=TODAY(),"BUGÜN",IF($I610&lt;=TODAY()+7,"7 GÜN İÇİNDE","PLANLI"))))))))</f>
        <v/>
      </c>
      <c r="R610" s="6" t="n"/>
      <c r="S610" s="6" t="n"/>
      <c r="T610" s="3" t="n"/>
      <c r="U610" s="3">
        <f>IF($E610="","",UPPER(SUBSTITUTE(SUBSTITUTE(SUBSTITUTE(SUBSTITUTE(SUBSTITUTE(SUBSTITUTE(SUBSTITUTE(SUBSTITUTE(SUBSTITUTE(SUBSTITUTE(SUBSTITUTE(SUBSTITUTE(SUBSTITUTE(SUBSTITUTE(SUBSTITUTE(SUBSTITUTE(SUBSTITUTE(SUBSTITUTE(TRIM($E610),"'",""),"İ","I"),"ı","I"),"i","I"),"Ş","S"),"ş","S"),"Ğ","G"),"ğ","G"),"Ü","U"),"ü","U"),"Ö","O"),"ö","O"),"Ç","C"),"ç","C"),".",""),",","")," ",""),"-","")))</f>
        <v/>
      </c>
    </row>
    <row r="611">
      <c r="A611" s="6" t="n"/>
      <c r="B611" s="113">
        <f>IF($E611="","","A"&amp;TEXT(ROW()-6,"00000"))</f>
        <v/>
      </c>
      <c r="C611" s="108" t="n"/>
      <c r="D611" s="113">
        <f>IF($E611="","",IFERROR(INDEX(MUSTERILER!$B$7:$B$106,MATCH($U611,MUSTERILER!$T$7:$T$106,0)),IFERROR(INDEX(MUSTERILER!$B$7:$B$106,MATCH($E611,MUSTERILER!$B$7:$B$106,0)),IFERROR(INDEX(MUSTERILER!$B$7:$B$106,MATCH($U611&amp;"*",MUSTERILER!$T$7:$T$106,0)),"TANIMSIZ MÜŞTERİ"))))</f>
        <v/>
      </c>
      <c r="E611" s="109" t="n"/>
      <c r="F611" s="109" t="n"/>
      <c r="G611" s="108" t="n"/>
      <c r="H611" s="220" t="n"/>
      <c r="I611" s="220" t="n"/>
      <c r="J611" s="108" t="n"/>
      <c r="K611" s="108" t="n"/>
      <c r="L611" s="109" t="n"/>
      <c r="M611" s="109" t="n"/>
      <c r="N611" s="109" t="n"/>
      <c r="O611" s="220" t="n"/>
      <c r="P611" s="227">
        <f>IF(OR($E611="",$I611=""),"",IF(OR($J611="Tamamlandı",$J611="İptal"),"",$I611-TODAY()))</f>
        <v/>
      </c>
      <c r="Q611" s="113">
        <f>IF($E611="","",IF($D611="TANIMSIZ MÜŞTERİ","HATA",IF(OR($J611="Tamamlandı",$J611="İptal"),"KAPALI",IF(AND($C611="Görüşme",$N611=""),"SONRAKİ İŞLEM EKSİK",IF($I611="","TARİH EKSİK",IF($I611&lt;TODAY(),"GECİKMİŞ",IF($I611=TODAY(),"BUGÜN",IF($I611&lt;=TODAY()+7,"7 GÜN İÇİNDE","PLANLI"))))))))</f>
        <v/>
      </c>
      <c r="R611" s="6" t="n"/>
      <c r="S611" s="6" t="n"/>
      <c r="T611" s="3" t="n"/>
      <c r="U611" s="3">
        <f>IF($E611="","",UPPER(SUBSTITUTE(SUBSTITUTE(SUBSTITUTE(SUBSTITUTE(SUBSTITUTE(SUBSTITUTE(SUBSTITUTE(SUBSTITUTE(SUBSTITUTE(SUBSTITUTE(SUBSTITUTE(SUBSTITUTE(SUBSTITUTE(SUBSTITUTE(SUBSTITUTE(SUBSTITUTE(SUBSTITUTE(SUBSTITUTE(TRIM($E611),"'",""),"İ","I"),"ı","I"),"i","I"),"Ş","S"),"ş","S"),"Ğ","G"),"ğ","G"),"Ü","U"),"ü","U"),"Ö","O"),"ö","O"),"Ç","C"),"ç","C"),".",""),",","")," ",""),"-","")))</f>
        <v/>
      </c>
    </row>
    <row r="612">
      <c r="A612" s="6" t="n"/>
      <c r="B612" s="113">
        <f>IF($E612="","","A"&amp;TEXT(ROW()-6,"00000"))</f>
        <v/>
      </c>
      <c r="C612" s="108" t="n"/>
      <c r="D612" s="113">
        <f>IF($E612="","",IFERROR(INDEX(MUSTERILER!$B$7:$B$106,MATCH($U612,MUSTERILER!$T$7:$T$106,0)),IFERROR(INDEX(MUSTERILER!$B$7:$B$106,MATCH($E612,MUSTERILER!$B$7:$B$106,0)),IFERROR(INDEX(MUSTERILER!$B$7:$B$106,MATCH($U612&amp;"*",MUSTERILER!$T$7:$T$106,0)),"TANIMSIZ MÜŞTERİ"))))</f>
        <v/>
      </c>
      <c r="E612" s="109" t="n"/>
      <c r="F612" s="109" t="n"/>
      <c r="G612" s="108" t="n"/>
      <c r="H612" s="220" t="n"/>
      <c r="I612" s="220" t="n"/>
      <c r="J612" s="108" t="n"/>
      <c r="K612" s="108" t="n"/>
      <c r="L612" s="109" t="n"/>
      <c r="M612" s="109" t="n"/>
      <c r="N612" s="109" t="n"/>
      <c r="O612" s="220" t="n"/>
      <c r="P612" s="227">
        <f>IF(OR($E612="",$I612=""),"",IF(OR($J612="Tamamlandı",$J612="İptal"),"",$I612-TODAY()))</f>
        <v/>
      </c>
      <c r="Q612" s="113">
        <f>IF($E612="","",IF($D612="TANIMSIZ MÜŞTERİ","HATA",IF(OR($J612="Tamamlandı",$J612="İptal"),"KAPALI",IF(AND($C612="Görüşme",$N612=""),"SONRAKİ İŞLEM EKSİK",IF($I612="","TARİH EKSİK",IF($I612&lt;TODAY(),"GECİKMİŞ",IF($I612=TODAY(),"BUGÜN",IF($I612&lt;=TODAY()+7,"7 GÜN İÇİNDE","PLANLI"))))))))</f>
        <v/>
      </c>
      <c r="R612" s="6" t="n"/>
      <c r="S612" s="6" t="n"/>
      <c r="T612" s="3" t="n"/>
      <c r="U612" s="3">
        <f>IF($E612="","",UPPER(SUBSTITUTE(SUBSTITUTE(SUBSTITUTE(SUBSTITUTE(SUBSTITUTE(SUBSTITUTE(SUBSTITUTE(SUBSTITUTE(SUBSTITUTE(SUBSTITUTE(SUBSTITUTE(SUBSTITUTE(SUBSTITUTE(SUBSTITUTE(SUBSTITUTE(SUBSTITUTE(SUBSTITUTE(SUBSTITUTE(TRIM($E612),"'",""),"İ","I"),"ı","I"),"i","I"),"Ş","S"),"ş","S"),"Ğ","G"),"ğ","G"),"Ü","U"),"ü","U"),"Ö","O"),"ö","O"),"Ç","C"),"ç","C"),".",""),",","")," ",""),"-","")))</f>
        <v/>
      </c>
    </row>
    <row r="613">
      <c r="A613" s="6" t="n"/>
      <c r="B613" s="113">
        <f>IF($E613="","","A"&amp;TEXT(ROW()-6,"00000"))</f>
        <v/>
      </c>
      <c r="C613" s="108" t="n"/>
      <c r="D613" s="113">
        <f>IF($E613="","",IFERROR(INDEX(MUSTERILER!$B$7:$B$106,MATCH($U613,MUSTERILER!$T$7:$T$106,0)),IFERROR(INDEX(MUSTERILER!$B$7:$B$106,MATCH($E613,MUSTERILER!$B$7:$B$106,0)),IFERROR(INDEX(MUSTERILER!$B$7:$B$106,MATCH($U613&amp;"*",MUSTERILER!$T$7:$T$106,0)),"TANIMSIZ MÜŞTERİ"))))</f>
        <v/>
      </c>
      <c r="E613" s="109" t="n"/>
      <c r="F613" s="109" t="n"/>
      <c r="G613" s="108" t="n"/>
      <c r="H613" s="220" t="n"/>
      <c r="I613" s="220" t="n"/>
      <c r="J613" s="108" t="n"/>
      <c r="K613" s="108" t="n"/>
      <c r="L613" s="109" t="n"/>
      <c r="M613" s="109" t="n"/>
      <c r="N613" s="109" t="n"/>
      <c r="O613" s="220" t="n"/>
      <c r="P613" s="227">
        <f>IF(OR($E613="",$I613=""),"",IF(OR($J613="Tamamlandı",$J613="İptal"),"",$I613-TODAY()))</f>
        <v/>
      </c>
      <c r="Q613" s="113">
        <f>IF($E613="","",IF($D613="TANIMSIZ MÜŞTERİ","HATA",IF(OR($J613="Tamamlandı",$J613="İptal"),"KAPALI",IF(AND($C613="Görüşme",$N613=""),"SONRAKİ İŞLEM EKSİK",IF($I613="","TARİH EKSİK",IF($I613&lt;TODAY(),"GECİKMİŞ",IF($I613=TODAY(),"BUGÜN",IF($I613&lt;=TODAY()+7,"7 GÜN İÇİNDE","PLANLI"))))))))</f>
        <v/>
      </c>
      <c r="R613" s="6" t="n"/>
      <c r="S613" s="6" t="n"/>
      <c r="T613" s="3" t="n"/>
      <c r="U613" s="3">
        <f>IF($E613="","",UPPER(SUBSTITUTE(SUBSTITUTE(SUBSTITUTE(SUBSTITUTE(SUBSTITUTE(SUBSTITUTE(SUBSTITUTE(SUBSTITUTE(SUBSTITUTE(SUBSTITUTE(SUBSTITUTE(SUBSTITUTE(SUBSTITUTE(SUBSTITUTE(SUBSTITUTE(SUBSTITUTE(SUBSTITUTE(SUBSTITUTE(TRIM($E613),"'",""),"İ","I"),"ı","I"),"i","I"),"Ş","S"),"ş","S"),"Ğ","G"),"ğ","G"),"Ü","U"),"ü","U"),"Ö","O"),"ö","O"),"Ç","C"),"ç","C"),".",""),",","")," ",""),"-","")))</f>
        <v/>
      </c>
    </row>
    <row r="614">
      <c r="A614" s="6" t="n"/>
      <c r="B614" s="113">
        <f>IF($E614="","","A"&amp;TEXT(ROW()-6,"00000"))</f>
        <v/>
      </c>
      <c r="C614" s="108" t="n"/>
      <c r="D614" s="113">
        <f>IF($E614="","",IFERROR(INDEX(MUSTERILER!$B$7:$B$106,MATCH($U614,MUSTERILER!$T$7:$T$106,0)),IFERROR(INDEX(MUSTERILER!$B$7:$B$106,MATCH($E614,MUSTERILER!$B$7:$B$106,0)),IFERROR(INDEX(MUSTERILER!$B$7:$B$106,MATCH($U614&amp;"*",MUSTERILER!$T$7:$T$106,0)),"TANIMSIZ MÜŞTERİ"))))</f>
        <v/>
      </c>
      <c r="E614" s="109" t="n"/>
      <c r="F614" s="109" t="n"/>
      <c r="G614" s="108" t="n"/>
      <c r="H614" s="220" t="n"/>
      <c r="I614" s="220" t="n"/>
      <c r="J614" s="108" t="n"/>
      <c r="K614" s="108" t="n"/>
      <c r="L614" s="109" t="n"/>
      <c r="M614" s="109" t="n"/>
      <c r="N614" s="109" t="n"/>
      <c r="O614" s="220" t="n"/>
      <c r="P614" s="227">
        <f>IF(OR($E614="",$I614=""),"",IF(OR($J614="Tamamlandı",$J614="İptal"),"",$I614-TODAY()))</f>
        <v/>
      </c>
      <c r="Q614" s="113">
        <f>IF($E614="","",IF($D614="TANIMSIZ MÜŞTERİ","HATA",IF(OR($J614="Tamamlandı",$J614="İptal"),"KAPALI",IF(AND($C614="Görüşme",$N614=""),"SONRAKİ İŞLEM EKSİK",IF($I614="","TARİH EKSİK",IF($I614&lt;TODAY(),"GECİKMİŞ",IF($I614=TODAY(),"BUGÜN",IF($I614&lt;=TODAY()+7,"7 GÜN İÇİNDE","PLANLI"))))))))</f>
        <v/>
      </c>
      <c r="R614" s="6" t="n"/>
      <c r="S614" s="6" t="n"/>
      <c r="T614" s="3" t="n"/>
      <c r="U614" s="3">
        <f>IF($E614="","",UPPER(SUBSTITUTE(SUBSTITUTE(SUBSTITUTE(SUBSTITUTE(SUBSTITUTE(SUBSTITUTE(SUBSTITUTE(SUBSTITUTE(SUBSTITUTE(SUBSTITUTE(SUBSTITUTE(SUBSTITUTE(SUBSTITUTE(SUBSTITUTE(SUBSTITUTE(SUBSTITUTE(SUBSTITUTE(SUBSTITUTE(TRIM($E614),"'",""),"İ","I"),"ı","I"),"i","I"),"Ş","S"),"ş","S"),"Ğ","G"),"ğ","G"),"Ü","U"),"ü","U"),"Ö","O"),"ö","O"),"Ç","C"),"ç","C"),".",""),",","")," ",""),"-","")))</f>
        <v/>
      </c>
    </row>
    <row r="615">
      <c r="A615" s="6" t="n"/>
      <c r="B615" s="113">
        <f>IF($E615="","","A"&amp;TEXT(ROW()-6,"00000"))</f>
        <v/>
      </c>
      <c r="C615" s="108" t="n"/>
      <c r="D615" s="113">
        <f>IF($E615="","",IFERROR(INDEX(MUSTERILER!$B$7:$B$106,MATCH($U615,MUSTERILER!$T$7:$T$106,0)),IFERROR(INDEX(MUSTERILER!$B$7:$B$106,MATCH($E615,MUSTERILER!$B$7:$B$106,0)),IFERROR(INDEX(MUSTERILER!$B$7:$B$106,MATCH($U615&amp;"*",MUSTERILER!$T$7:$T$106,0)),"TANIMSIZ MÜŞTERİ"))))</f>
        <v/>
      </c>
      <c r="E615" s="109" t="n"/>
      <c r="F615" s="109" t="n"/>
      <c r="G615" s="108" t="n"/>
      <c r="H615" s="220" t="n"/>
      <c r="I615" s="220" t="n"/>
      <c r="J615" s="108" t="n"/>
      <c r="K615" s="108" t="n"/>
      <c r="L615" s="109" t="n"/>
      <c r="M615" s="109" t="n"/>
      <c r="N615" s="109" t="n"/>
      <c r="O615" s="220" t="n"/>
      <c r="P615" s="227">
        <f>IF(OR($E615="",$I615=""),"",IF(OR($J615="Tamamlandı",$J615="İptal"),"",$I615-TODAY()))</f>
        <v/>
      </c>
      <c r="Q615" s="113">
        <f>IF($E615="","",IF($D615="TANIMSIZ MÜŞTERİ","HATA",IF(OR($J615="Tamamlandı",$J615="İptal"),"KAPALI",IF(AND($C615="Görüşme",$N615=""),"SONRAKİ İŞLEM EKSİK",IF($I615="","TARİH EKSİK",IF($I615&lt;TODAY(),"GECİKMİŞ",IF($I615=TODAY(),"BUGÜN",IF($I615&lt;=TODAY()+7,"7 GÜN İÇİNDE","PLANLI"))))))))</f>
        <v/>
      </c>
      <c r="R615" s="6" t="n"/>
      <c r="S615" s="6" t="n"/>
      <c r="T615" s="3" t="n"/>
      <c r="U615" s="3">
        <f>IF($E615="","",UPPER(SUBSTITUTE(SUBSTITUTE(SUBSTITUTE(SUBSTITUTE(SUBSTITUTE(SUBSTITUTE(SUBSTITUTE(SUBSTITUTE(SUBSTITUTE(SUBSTITUTE(SUBSTITUTE(SUBSTITUTE(SUBSTITUTE(SUBSTITUTE(SUBSTITUTE(SUBSTITUTE(SUBSTITUTE(SUBSTITUTE(TRIM($E615),"'",""),"İ","I"),"ı","I"),"i","I"),"Ş","S"),"ş","S"),"Ğ","G"),"ğ","G"),"Ü","U"),"ü","U"),"Ö","O"),"ö","O"),"Ç","C"),"ç","C"),".",""),",","")," ",""),"-","")))</f>
        <v/>
      </c>
    </row>
    <row r="616">
      <c r="A616" s="6" t="n"/>
      <c r="B616" s="113">
        <f>IF($E616="","","A"&amp;TEXT(ROW()-6,"00000"))</f>
        <v/>
      </c>
      <c r="C616" s="108" t="n"/>
      <c r="D616" s="113">
        <f>IF($E616="","",IFERROR(INDEX(MUSTERILER!$B$7:$B$106,MATCH($U616,MUSTERILER!$T$7:$T$106,0)),IFERROR(INDEX(MUSTERILER!$B$7:$B$106,MATCH($E616,MUSTERILER!$B$7:$B$106,0)),IFERROR(INDEX(MUSTERILER!$B$7:$B$106,MATCH($U616&amp;"*",MUSTERILER!$T$7:$T$106,0)),"TANIMSIZ MÜŞTERİ"))))</f>
        <v/>
      </c>
      <c r="E616" s="109" t="n"/>
      <c r="F616" s="109" t="n"/>
      <c r="G616" s="108" t="n"/>
      <c r="H616" s="220" t="n"/>
      <c r="I616" s="220" t="n"/>
      <c r="J616" s="108" t="n"/>
      <c r="K616" s="108" t="n"/>
      <c r="L616" s="109" t="n"/>
      <c r="M616" s="109" t="n"/>
      <c r="N616" s="109" t="n"/>
      <c r="O616" s="220" t="n"/>
      <c r="P616" s="227">
        <f>IF(OR($E616="",$I616=""),"",IF(OR($J616="Tamamlandı",$J616="İptal"),"",$I616-TODAY()))</f>
        <v/>
      </c>
      <c r="Q616" s="113">
        <f>IF($E616="","",IF($D616="TANIMSIZ MÜŞTERİ","HATA",IF(OR($J616="Tamamlandı",$J616="İptal"),"KAPALI",IF(AND($C616="Görüşme",$N616=""),"SONRAKİ İŞLEM EKSİK",IF($I616="","TARİH EKSİK",IF($I616&lt;TODAY(),"GECİKMİŞ",IF($I616=TODAY(),"BUGÜN",IF($I616&lt;=TODAY()+7,"7 GÜN İÇİNDE","PLANLI"))))))))</f>
        <v/>
      </c>
      <c r="R616" s="6" t="n"/>
      <c r="S616" s="6" t="n"/>
      <c r="T616" s="3" t="n"/>
      <c r="U616" s="3">
        <f>IF($E616="","",UPPER(SUBSTITUTE(SUBSTITUTE(SUBSTITUTE(SUBSTITUTE(SUBSTITUTE(SUBSTITUTE(SUBSTITUTE(SUBSTITUTE(SUBSTITUTE(SUBSTITUTE(SUBSTITUTE(SUBSTITUTE(SUBSTITUTE(SUBSTITUTE(SUBSTITUTE(SUBSTITUTE(SUBSTITUTE(SUBSTITUTE(TRIM($E616),"'",""),"İ","I"),"ı","I"),"i","I"),"Ş","S"),"ş","S"),"Ğ","G"),"ğ","G"),"Ü","U"),"ü","U"),"Ö","O"),"ö","O"),"Ç","C"),"ç","C"),".",""),",","")," ",""),"-","")))</f>
        <v/>
      </c>
    </row>
    <row r="617">
      <c r="A617" s="6" t="n"/>
      <c r="B617" s="113">
        <f>IF($E617="","","A"&amp;TEXT(ROW()-6,"00000"))</f>
        <v/>
      </c>
      <c r="C617" s="108" t="n"/>
      <c r="D617" s="113">
        <f>IF($E617="","",IFERROR(INDEX(MUSTERILER!$B$7:$B$106,MATCH($U617,MUSTERILER!$T$7:$T$106,0)),IFERROR(INDEX(MUSTERILER!$B$7:$B$106,MATCH($E617,MUSTERILER!$B$7:$B$106,0)),IFERROR(INDEX(MUSTERILER!$B$7:$B$106,MATCH($U617&amp;"*",MUSTERILER!$T$7:$T$106,0)),"TANIMSIZ MÜŞTERİ"))))</f>
        <v/>
      </c>
      <c r="E617" s="109" t="n"/>
      <c r="F617" s="109" t="n"/>
      <c r="G617" s="108" t="n"/>
      <c r="H617" s="220" t="n"/>
      <c r="I617" s="220" t="n"/>
      <c r="J617" s="108" t="n"/>
      <c r="K617" s="108" t="n"/>
      <c r="L617" s="109" t="n"/>
      <c r="M617" s="109" t="n"/>
      <c r="N617" s="109" t="n"/>
      <c r="O617" s="220" t="n"/>
      <c r="P617" s="227">
        <f>IF(OR($E617="",$I617=""),"",IF(OR($J617="Tamamlandı",$J617="İptal"),"",$I617-TODAY()))</f>
        <v/>
      </c>
      <c r="Q617" s="113">
        <f>IF($E617="","",IF($D617="TANIMSIZ MÜŞTERİ","HATA",IF(OR($J617="Tamamlandı",$J617="İptal"),"KAPALI",IF(AND($C617="Görüşme",$N617=""),"SONRAKİ İŞLEM EKSİK",IF($I617="","TARİH EKSİK",IF($I617&lt;TODAY(),"GECİKMİŞ",IF($I617=TODAY(),"BUGÜN",IF($I617&lt;=TODAY()+7,"7 GÜN İÇİNDE","PLANLI"))))))))</f>
        <v/>
      </c>
      <c r="R617" s="6" t="n"/>
      <c r="S617" s="6" t="n"/>
      <c r="T617" s="3" t="n"/>
      <c r="U617" s="3">
        <f>IF($E617="","",UPPER(SUBSTITUTE(SUBSTITUTE(SUBSTITUTE(SUBSTITUTE(SUBSTITUTE(SUBSTITUTE(SUBSTITUTE(SUBSTITUTE(SUBSTITUTE(SUBSTITUTE(SUBSTITUTE(SUBSTITUTE(SUBSTITUTE(SUBSTITUTE(SUBSTITUTE(SUBSTITUTE(SUBSTITUTE(SUBSTITUTE(TRIM($E617),"'",""),"İ","I"),"ı","I"),"i","I"),"Ş","S"),"ş","S"),"Ğ","G"),"ğ","G"),"Ü","U"),"ü","U"),"Ö","O"),"ö","O"),"Ç","C"),"ç","C"),".",""),",","")," ",""),"-","")))</f>
        <v/>
      </c>
    </row>
    <row r="618">
      <c r="A618" s="6" t="n"/>
      <c r="B618" s="113">
        <f>IF($E618="","","A"&amp;TEXT(ROW()-6,"00000"))</f>
        <v/>
      </c>
      <c r="C618" s="108" t="n"/>
      <c r="D618" s="113">
        <f>IF($E618="","",IFERROR(INDEX(MUSTERILER!$B$7:$B$106,MATCH($U618,MUSTERILER!$T$7:$T$106,0)),IFERROR(INDEX(MUSTERILER!$B$7:$B$106,MATCH($E618,MUSTERILER!$B$7:$B$106,0)),IFERROR(INDEX(MUSTERILER!$B$7:$B$106,MATCH($U618&amp;"*",MUSTERILER!$T$7:$T$106,0)),"TANIMSIZ MÜŞTERİ"))))</f>
        <v/>
      </c>
      <c r="E618" s="109" t="n"/>
      <c r="F618" s="109" t="n"/>
      <c r="G618" s="108" t="n"/>
      <c r="H618" s="220" t="n"/>
      <c r="I618" s="220" t="n"/>
      <c r="J618" s="108" t="n"/>
      <c r="K618" s="108" t="n"/>
      <c r="L618" s="109" t="n"/>
      <c r="M618" s="109" t="n"/>
      <c r="N618" s="109" t="n"/>
      <c r="O618" s="220" t="n"/>
      <c r="P618" s="227">
        <f>IF(OR($E618="",$I618=""),"",IF(OR($J618="Tamamlandı",$J618="İptal"),"",$I618-TODAY()))</f>
        <v/>
      </c>
      <c r="Q618" s="113">
        <f>IF($E618="","",IF($D618="TANIMSIZ MÜŞTERİ","HATA",IF(OR($J618="Tamamlandı",$J618="İptal"),"KAPALI",IF(AND($C618="Görüşme",$N618=""),"SONRAKİ İŞLEM EKSİK",IF($I618="","TARİH EKSİK",IF($I618&lt;TODAY(),"GECİKMİŞ",IF($I618=TODAY(),"BUGÜN",IF($I618&lt;=TODAY()+7,"7 GÜN İÇİNDE","PLANLI"))))))))</f>
        <v/>
      </c>
      <c r="R618" s="6" t="n"/>
      <c r="S618" s="6" t="n"/>
      <c r="T618" s="3" t="n"/>
      <c r="U618" s="3">
        <f>IF($E618="","",UPPER(SUBSTITUTE(SUBSTITUTE(SUBSTITUTE(SUBSTITUTE(SUBSTITUTE(SUBSTITUTE(SUBSTITUTE(SUBSTITUTE(SUBSTITUTE(SUBSTITUTE(SUBSTITUTE(SUBSTITUTE(SUBSTITUTE(SUBSTITUTE(SUBSTITUTE(SUBSTITUTE(SUBSTITUTE(SUBSTITUTE(TRIM($E618),"'",""),"İ","I"),"ı","I"),"i","I"),"Ş","S"),"ş","S"),"Ğ","G"),"ğ","G"),"Ü","U"),"ü","U"),"Ö","O"),"ö","O"),"Ç","C"),"ç","C"),".",""),",","")," ",""),"-","")))</f>
        <v/>
      </c>
    </row>
    <row r="619">
      <c r="A619" s="6" t="n"/>
      <c r="B619" s="113">
        <f>IF($E619="","","A"&amp;TEXT(ROW()-6,"00000"))</f>
        <v/>
      </c>
      <c r="C619" s="108" t="n"/>
      <c r="D619" s="113">
        <f>IF($E619="","",IFERROR(INDEX(MUSTERILER!$B$7:$B$106,MATCH($U619,MUSTERILER!$T$7:$T$106,0)),IFERROR(INDEX(MUSTERILER!$B$7:$B$106,MATCH($E619,MUSTERILER!$B$7:$B$106,0)),IFERROR(INDEX(MUSTERILER!$B$7:$B$106,MATCH($U619&amp;"*",MUSTERILER!$T$7:$T$106,0)),"TANIMSIZ MÜŞTERİ"))))</f>
        <v/>
      </c>
      <c r="E619" s="109" t="n"/>
      <c r="F619" s="109" t="n"/>
      <c r="G619" s="108" t="n"/>
      <c r="H619" s="220" t="n"/>
      <c r="I619" s="220" t="n"/>
      <c r="J619" s="108" t="n"/>
      <c r="K619" s="108" t="n"/>
      <c r="L619" s="109" t="n"/>
      <c r="M619" s="109" t="n"/>
      <c r="N619" s="109" t="n"/>
      <c r="O619" s="220" t="n"/>
      <c r="P619" s="227">
        <f>IF(OR($E619="",$I619=""),"",IF(OR($J619="Tamamlandı",$J619="İptal"),"",$I619-TODAY()))</f>
        <v/>
      </c>
      <c r="Q619" s="113">
        <f>IF($E619="","",IF($D619="TANIMSIZ MÜŞTERİ","HATA",IF(OR($J619="Tamamlandı",$J619="İptal"),"KAPALI",IF(AND($C619="Görüşme",$N619=""),"SONRAKİ İŞLEM EKSİK",IF($I619="","TARİH EKSİK",IF($I619&lt;TODAY(),"GECİKMİŞ",IF($I619=TODAY(),"BUGÜN",IF($I619&lt;=TODAY()+7,"7 GÜN İÇİNDE","PLANLI"))))))))</f>
        <v/>
      </c>
      <c r="R619" s="6" t="n"/>
      <c r="S619" s="6" t="n"/>
      <c r="T619" s="3" t="n"/>
      <c r="U619" s="3">
        <f>IF($E619="","",UPPER(SUBSTITUTE(SUBSTITUTE(SUBSTITUTE(SUBSTITUTE(SUBSTITUTE(SUBSTITUTE(SUBSTITUTE(SUBSTITUTE(SUBSTITUTE(SUBSTITUTE(SUBSTITUTE(SUBSTITUTE(SUBSTITUTE(SUBSTITUTE(SUBSTITUTE(SUBSTITUTE(SUBSTITUTE(SUBSTITUTE(TRIM($E619),"'",""),"İ","I"),"ı","I"),"i","I"),"Ş","S"),"ş","S"),"Ğ","G"),"ğ","G"),"Ü","U"),"ü","U"),"Ö","O"),"ö","O"),"Ç","C"),"ç","C"),".",""),",","")," ",""),"-","")))</f>
        <v/>
      </c>
    </row>
    <row r="620">
      <c r="A620" s="6" t="n"/>
      <c r="B620" s="113">
        <f>IF($E620="","","A"&amp;TEXT(ROW()-6,"00000"))</f>
        <v/>
      </c>
      <c r="C620" s="108" t="n"/>
      <c r="D620" s="113">
        <f>IF($E620="","",IFERROR(INDEX(MUSTERILER!$B$7:$B$106,MATCH($U620,MUSTERILER!$T$7:$T$106,0)),IFERROR(INDEX(MUSTERILER!$B$7:$B$106,MATCH($E620,MUSTERILER!$B$7:$B$106,0)),IFERROR(INDEX(MUSTERILER!$B$7:$B$106,MATCH($U620&amp;"*",MUSTERILER!$T$7:$T$106,0)),"TANIMSIZ MÜŞTERİ"))))</f>
        <v/>
      </c>
      <c r="E620" s="109" t="n"/>
      <c r="F620" s="109" t="n"/>
      <c r="G620" s="108" t="n"/>
      <c r="H620" s="220" t="n"/>
      <c r="I620" s="220" t="n"/>
      <c r="J620" s="108" t="n"/>
      <c r="K620" s="108" t="n"/>
      <c r="L620" s="109" t="n"/>
      <c r="M620" s="109" t="n"/>
      <c r="N620" s="109" t="n"/>
      <c r="O620" s="220" t="n"/>
      <c r="P620" s="227">
        <f>IF(OR($E620="",$I620=""),"",IF(OR($J620="Tamamlandı",$J620="İptal"),"",$I620-TODAY()))</f>
        <v/>
      </c>
      <c r="Q620" s="113">
        <f>IF($E620="","",IF($D620="TANIMSIZ MÜŞTERİ","HATA",IF(OR($J620="Tamamlandı",$J620="İptal"),"KAPALI",IF(AND($C620="Görüşme",$N620=""),"SONRAKİ İŞLEM EKSİK",IF($I620="","TARİH EKSİK",IF($I620&lt;TODAY(),"GECİKMİŞ",IF($I620=TODAY(),"BUGÜN",IF($I620&lt;=TODAY()+7,"7 GÜN İÇİNDE","PLANLI"))))))))</f>
        <v/>
      </c>
      <c r="R620" s="6" t="n"/>
      <c r="S620" s="6" t="n"/>
      <c r="T620" s="3" t="n"/>
      <c r="U620" s="3">
        <f>IF($E620="","",UPPER(SUBSTITUTE(SUBSTITUTE(SUBSTITUTE(SUBSTITUTE(SUBSTITUTE(SUBSTITUTE(SUBSTITUTE(SUBSTITUTE(SUBSTITUTE(SUBSTITUTE(SUBSTITUTE(SUBSTITUTE(SUBSTITUTE(SUBSTITUTE(SUBSTITUTE(SUBSTITUTE(SUBSTITUTE(SUBSTITUTE(TRIM($E620),"'",""),"İ","I"),"ı","I"),"i","I"),"Ş","S"),"ş","S"),"Ğ","G"),"ğ","G"),"Ü","U"),"ü","U"),"Ö","O"),"ö","O"),"Ç","C"),"ç","C"),".",""),",","")," ",""),"-","")))</f>
        <v/>
      </c>
    </row>
    <row r="621">
      <c r="A621" s="6" t="n"/>
      <c r="B621" s="113">
        <f>IF($E621="","","A"&amp;TEXT(ROW()-6,"00000"))</f>
        <v/>
      </c>
      <c r="C621" s="108" t="n"/>
      <c r="D621" s="113">
        <f>IF($E621="","",IFERROR(INDEX(MUSTERILER!$B$7:$B$106,MATCH($U621,MUSTERILER!$T$7:$T$106,0)),IFERROR(INDEX(MUSTERILER!$B$7:$B$106,MATCH($E621,MUSTERILER!$B$7:$B$106,0)),IFERROR(INDEX(MUSTERILER!$B$7:$B$106,MATCH($U621&amp;"*",MUSTERILER!$T$7:$T$106,0)),"TANIMSIZ MÜŞTERİ"))))</f>
        <v/>
      </c>
      <c r="E621" s="109" t="n"/>
      <c r="F621" s="109" t="n"/>
      <c r="G621" s="108" t="n"/>
      <c r="H621" s="220" t="n"/>
      <c r="I621" s="220" t="n"/>
      <c r="J621" s="108" t="n"/>
      <c r="K621" s="108" t="n"/>
      <c r="L621" s="109" t="n"/>
      <c r="M621" s="109" t="n"/>
      <c r="N621" s="109" t="n"/>
      <c r="O621" s="220" t="n"/>
      <c r="P621" s="227">
        <f>IF(OR($E621="",$I621=""),"",IF(OR($J621="Tamamlandı",$J621="İptal"),"",$I621-TODAY()))</f>
        <v/>
      </c>
      <c r="Q621" s="113">
        <f>IF($E621="","",IF($D621="TANIMSIZ MÜŞTERİ","HATA",IF(OR($J621="Tamamlandı",$J621="İptal"),"KAPALI",IF(AND($C621="Görüşme",$N621=""),"SONRAKİ İŞLEM EKSİK",IF($I621="","TARİH EKSİK",IF($I621&lt;TODAY(),"GECİKMİŞ",IF($I621=TODAY(),"BUGÜN",IF($I621&lt;=TODAY()+7,"7 GÜN İÇİNDE","PLANLI"))))))))</f>
        <v/>
      </c>
      <c r="R621" s="6" t="n"/>
      <c r="S621" s="6" t="n"/>
      <c r="T621" s="3" t="n"/>
      <c r="U621" s="3">
        <f>IF($E621="","",UPPER(SUBSTITUTE(SUBSTITUTE(SUBSTITUTE(SUBSTITUTE(SUBSTITUTE(SUBSTITUTE(SUBSTITUTE(SUBSTITUTE(SUBSTITUTE(SUBSTITUTE(SUBSTITUTE(SUBSTITUTE(SUBSTITUTE(SUBSTITUTE(SUBSTITUTE(SUBSTITUTE(SUBSTITUTE(SUBSTITUTE(TRIM($E621),"'",""),"İ","I"),"ı","I"),"i","I"),"Ş","S"),"ş","S"),"Ğ","G"),"ğ","G"),"Ü","U"),"ü","U"),"Ö","O"),"ö","O"),"Ç","C"),"ç","C"),".",""),",","")," ",""),"-","")))</f>
        <v/>
      </c>
    </row>
    <row r="622">
      <c r="A622" s="6" t="n"/>
      <c r="B622" s="113">
        <f>IF($E622="","","A"&amp;TEXT(ROW()-6,"00000"))</f>
        <v/>
      </c>
      <c r="C622" s="108" t="n"/>
      <c r="D622" s="113">
        <f>IF($E622="","",IFERROR(INDEX(MUSTERILER!$B$7:$B$106,MATCH($U622,MUSTERILER!$T$7:$T$106,0)),IFERROR(INDEX(MUSTERILER!$B$7:$B$106,MATCH($E622,MUSTERILER!$B$7:$B$106,0)),IFERROR(INDEX(MUSTERILER!$B$7:$B$106,MATCH($U622&amp;"*",MUSTERILER!$T$7:$T$106,0)),"TANIMSIZ MÜŞTERİ"))))</f>
        <v/>
      </c>
      <c r="E622" s="109" t="n"/>
      <c r="F622" s="109" t="n"/>
      <c r="G622" s="108" t="n"/>
      <c r="H622" s="220" t="n"/>
      <c r="I622" s="220" t="n"/>
      <c r="J622" s="108" t="n"/>
      <c r="K622" s="108" t="n"/>
      <c r="L622" s="109" t="n"/>
      <c r="M622" s="109" t="n"/>
      <c r="N622" s="109" t="n"/>
      <c r="O622" s="220" t="n"/>
      <c r="P622" s="227">
        <f>IF(OR($E622="",$I622=""),"",IF(OR($J622="Tamamlandı",$J622="İptal"),"",$I622-TODAY()))</f>
        <v/>
      </c>
      <c r="Q622" s="113">
        <f>IF($E622="","",IF($D622="TANIMSIZ MÜŞTERİ","HATA",IF(OR($J622="Tamamlandı",$J622="İptal"),"KAPALI",IF(AND($C622="Görüşme",$N622=""),"SONRAKİ İŞLEM EKSİK",IF($I622="","TARİH EKSİK",IF($I622&lt;TODAY(),"GECİKMİŞ",IF($I622=TODAY(),"BUGÜN",IF($I622&lt;=TODAY()+7,"7 GÜN İÇİNDE","PLANLI"))))))))</f>
        <v/>
      </c>
      <c r="R622" s="6" t="n"/>
      <c r="S622" s="6" t="n"/>
      <c r="T622" s="3" t="n"/>
      <c r="U622" s="3">
        <f>IF($E622="","",UPPER(SUBSTITUTE(SUBSTITUTE(SUBSTITUTE(SUBSTITUTE(SUBSTITUTE(SUBSTITUTE(SUBSTITUTE(SUBSTITUTE(SUBSTITUTE(SUBSTITUTE(SUBSTITUTE(SUBSTITUTE(SUBSTITUTE(SUBSTITUTE(SUBSTITUTE(SUBSTITUTE(SUBSTITUTE(SUBSTITUTE(TRIM($E622),"'",""),"İ","I"),"ı","I"),"i","I"),"Ş","S"),"ş","S"),"Ğ","G"),"ğ","G"),"Ü","U"),"ü","U"),"Ö","O"),"ö","O"),"Ç","C"),"ç","C"),".",""),",","")," ",""),"-","")))</f>
        <v/>
      </c>
    </row>
    <row r="623">
      <c r="A623" s="6" t="n"/>
      <c r="B623" s="113">
        <f>IF($E623="","","A"&amp;TEXT(ROW()-6,"00000"))</f>
        <v/>
      </c>
      <c r="C623" s="108" t="n"/>
      <c r="D623" s="113">
        <f>IF($E623="","",IFERROR(INDEX(MUSTERILER!$B$7:$B$106,MATCH($U623,MUSTERILER!$T$7:$T$106,0)),IFERROR(INDEX(MUSTERILER!$B$7:$B$106,MATCH($E623,MUSTERILER!$B$7:$B$106,0)),IFERROR(INDEX(MUSTERILER!$B$7:$B$106,MATCH($U623&amp;"*",MUSTERILER!$T$7:$T$106,0)),"TANIMSIZ MÜŞTERİ"))))</f>
        <v/>
      </c>
      <c r="E623" s="109" t="n"/>
      <c r="F623" s="109" t="n"/>
      <c r="G623" s="108" t="n"/>
      <c r="H623" s="220" t="n"/>
      <c r="I623" s="220" t="n"/>
      <c r="J623" s="108" t="n"/>
      <c r="K623" s="108" t="n"/>
      <c r="L623" s="109" t="n"/>
      <c r="M623" s="109" t="n"/>
      <c r="N623" s="109" t="n"/>
      <c r="O623" s="220" t="n"/>
      <c r="P623" s="227">
        <f>IF(OR($E623="",$I623=""),"",IF(OR($J623="Tamamlandı",$J623="İptal"),"",$I623-TODAY()))</f>
        <v/>
      </c>
      <c r="Q623" s="113">
        <f>IF($E623="","",IF($D623="TANIMSIZ MÜŞTERİ","HATA",IF(OR($J623="Tamamlandı",$J623="İptal"),"KAPALI",IF(AND($C623="Görüşme",$N623=""),"SONRAKİ İŞLEM EKSİK",IF($I623="","TARİH EKSİK",IF($I623&lt;TODAY(),"GECİKMİŞ",IF($I623=TODAY(),"BUGÜN",IF($I623&lt;=TODAY()+7,"7 GÜN İÇİNDE","PLANLI"))))))))</f>
        <v/>
      </c>
      <c r="R623" s="6" t="n"/>
      <c r="S623" s="6" t="n"/>
      <c r="T623" s="3" t="n"/>
      <c r="U623" s="3">
        <f>IF($E623="","",UPPER(SUBSTITUTE(SUBSTITUTE(SUBSTITUTE(SUBSTITUTE(SUBSTITUTE(SUBSTITUTE(SUBSTITUTE(SUBSTITUTE(SUBSTITUTE(SUBSTITUTE(SUBSTITUTE(SUBSTITUTE(SUBSTITUTE(SUBSTITUTE(SUBSTITUTE(SUBSTITUTE(SUBSTITUTE(SUBSTITUTE(TRIM($E623),"'",""),"İ","I"),"ı","I"),"i","I"),"Ş","S"),"ş","S"),"Ğ","G"),"ğ","G"),"Ü","U"),"ü","U"),"Ö","O"),"ö","O"),"Ç","C"),"ç","C"),".",""),",","")," ",""),"-","")))</f>
        <v/>
      </c>
    </row>
    <row r="624">
      <c r="A624" s="6" t="n"/>
      <c r="B624" s="113">
        <f>IF($E624="","","A"&amp;TEXT(ROW()-6,"00000"))</f>
        <v/>
      </c>
      <c r="C624" s="108" t="n"/>
      <c r="D624" s="113">
        <f>IF($E624="","",IFERROR(INDEX(MUSTERILER!$B$7:$B$106,MATCH($U624,MUSTERILER!$T$7:$T$106,0)),IFERROR(INDEX(MUSTERILER!$B$7:$B$106,MATCH($E624,MUSTERILER!$B$7:$B$106,0)),IFERROR(INDEX(MUSTERILER!$B$7:$B$106,MATCH($U624&amp;"*",MUSTERILER!$T$7:$T$106,0)),"TANIMSIZ MÜŞTERİ"))))</f>
        <v/>
      </c>
      <c r="E624" s="109" t="n"/>
      <c r="F624" s="109" t="n"/>
      <c r="G624" s="108" t="n"/>
      <c r="H624" s="220" t="n"/>
      <c r="I624" s="220" t="n"/>
      <c r="J624" s="108" t="n"/>
      <c r="K624" s="108" t="n"/>
      <c r="L624" s="109" t="n"/>
      <c r="M624" s="109" t="n"/>
      <c r="N624" s="109" t="n"/>
      <c r="O624" s="220" t="n"/>
      <c r="P624" s="227">
        <f>IF(OR($E624="",$I624=""),"",IF(OR($J624="Tamamlandı",$J624="İptal"),"",$I624-TODAY()))</f>
        <v/>
      </c>
      <c r="Q624" s="113">
        <f>IF($E624="","",IF($D624="TANIMSIZ MÜŞTERİ","HATA",IF(OR($J624="Tamamlandı",$J624="İptal"),"KAPALI",IF(AND($C624="Görüşme",$N624=""),"SONRAKİ İŞLEM EKSİK",IF($I624="","TARİH EKSİK",IF($I624&lt;TODAY(),"GECİKMİŞ",IF($I624=TODAY(),"BUGÜN",IF($I624&lt;=TODAY()+7,"7 GÜN İÇİNDE","PLANLI"))))))))</f>
        <v/>
      </c>
      <c r="R624" s="6" t="n"/>
      <c r="S624" s="6" t="n"/>
      <c r="T624" s="3" t="n"/>
      <c r="U624" s="3">
        <f>IF($E624="","",UPPER(SUBSTITUTE(SUBSTITUTE(SUBSTITUTE(SUBSTITUTE(SUBSTITUTE(SUBSTITUTE(SUBSTITUTE(SUBSTITUTE(SUBSTITUTE(SUBSTITUTE(SUBSTITUTE(SUBSTITUTE(SUBSTITUTE(SUBSTITUTE(SUBSTITUTE(SUBSTITUTE(SUBSTITUTE(SUBSTITUTE(TRIM($E624),"'",""),"İ","I"),"ı","I"),"i","I"),"Ş","S"),"ş","S"),"Ğ","G"),"ğ","G"),"Ü","U"),"ü","U"),"Ö","O"),"ö","O"),"Ç","C"),"ç","C"),".",""),",","")," ",""),"-","")))</f>
        <v/>
      </c>
    </row>
    <row r="625">
      <c r="A625" s="6" t="n"/>
      <c r="B625" s="113">
        <f>IF($E625="","","A"&amp;TEXT(ROW()-6,"00000"))</f>
        <v/>
      </c>
      <c r="C625" s="108" t="n"/>
      <c r="D625" s="113">
        <f>IF($E625="","",IFERROR(INDEX(MUSTERILER!$B$7:$B$106,MATCH($U625,MUSTERILER!$T$7:$T$106,0)),IFERROR(INDEX(MUSTERILER!$B$7:$B$106,MATCH($E625,MUSTERILER!$B$7:$B$106,0)),IFERROR(INDEX(MUSTERILER!$B$7:$B$106,MATCH($U625&amp;"*",MUSTERILER!$T$7:$T$106,0)),"TANIMSIZ MÜŞTERİ"))))</f>
        <v/>
      </c>
      <c r="E625" s="109" t="n"/>
      <c r="F625" s="109" t="n"/>
      <c r="G625" s="108" t="n"/>
      <c r="H625" s="220" t="n"/>
      <c r="I625" s="220" t="n"/>
      <c r="J625" s="108" t="n"/>
      <c r="K625" s="108" t="n"/>
      <c r="L625" s="109" t="n"/>
      <c r="M625" s="109" t="n"/>
      <c r="N625" s="109" t="n"/>
      <c r="O625" s="220" t="n"/>
      <c r="P625" s="227">
        <f>IF(OR($E625="",$I625=""),"",IF(OR($J625="Tamamlandı",$J625="İptal"),"",$I625-TODAY()))</f>
        <v/>
      </c>
      <c r="Q625" s="113">
        <f>IF($E625="","",IF($D625="TANIMSIZ MÜŞTERİ","HATA",IF(OR($J625="Tamamlandı",$J625="İptal"),"KAPALI",IF(AND($C625="Görüşme",$N625=""),"SONRAKİ İŞLEM EKSİK",IF($I625="","TARİH EKSİK",IF($I625&lt;TODAY(),"GECİKMİŞ",IF($I625=TODAY(),"BUGÜN",IF($I625&lt;=TODAY()+7,"7 GÜN İÇİNDE","PLANLI"))))))))</f>
        <v/>
      </c>
      <c r="R625" s="6" t="n"/>
      <c r="S625" s="6" t="n"/>
      <c r="T625" s="3" t="n"/>
      <c r="U625" s="3">
        <f>IF($E625="","",UPPER(SUBSTITUTE(SUBSTITUTE(SUBSTITUTE(SUBSTITUTE(SUBSTITUTE(SUBSTITUTE(SUBSTITUTE(SUBSTITUTE(SUBSTITUTE(SUBSTITUTE(SUBSTITUTE(SUBSTITUTE(SUBSTITUTE(SUBSTITUTE(SUBSTITUTE(SUBSTITUTE(SUBSTITUTE(SUBSTITUTE(TRIM($E625),"'",""),"İ","I"),"ı","I"),"i","I"),"Ş","S"),"ş","S"),"Ğ","G"),"ğ","G"),"Ü","U"),"ü","U"),"Ö","O"),"ö","O"),"Ç","C"),"ç","C"),".",""),",","")," ",""),"-","")))</f>
        <v/>
      </c>
    </row>
    <row r="626">
      <c r="A626" s="6" t="n"/>
      <c r="B626" s="113">
        <f>IF($E626="","","A"&amp;TEXT(ROW()-6,"00000"))</f>
        <v/>
      </c>
      <c r="C626" s="108" t="n"/>
      <c r="D626" s="113">
        <f>IF($E626="","",IFERROR(INDEX(MUSTERILER!$B$7:$B$106,MATCH($U626,MUSTERILER!$T$7:$T$106,0)),IFERROR(INDEX(MUSTERILER!$B$7:$B$106,MATCH($E626,MUSTERILER!$B$7:$B$106,0)),IFERROR(INDEX(MUSTERILER!$B$7:$B$106,MATCH($U626&amp;"*",MUSTERILER!$T$7:$T$106,0)),"TANIMSIZ MÜŞTERİ"))))</f>
        <v/>
      </c>
      <c r="E626" s="109" t="n"/>
      <c r="F626" s="109" t="n"/>
      <c r="G626" s="108" t="n"/>
      <c r="H626" s="220" t="n"/>
      <c r="I626" s="220" t="n"/>
      <c r="J626" s="108" t="n"/>
      <c r="K626" s="108" t="n"/>
      <c r="L626" s="109" t="n"/>
      <c r="M626" s="109" t="n"/>
      <c r="N626" s="109" t="n"/>
      <c r="O626" s="220" t="n"/>
      <c r="P626" s="227">
        <f>IF(OR($E626="",$I626=""),"",IF(OR($J626="Tamamlandı",$J626="İptal"),"",$I626-TODAY()))</f>
        <v/>
      </c>
      <c r="Q626" s="113">
        <f>IF($E626="","",IF($D626="TANIMSIZ MÜŞTERİ","HATA",IF(OR($J626="Tamamlandı",$J626="İptal"),"KAPALI",IF(AND($C626="Görüşme",$N626=""),"SONRAKİ İŞLEM EKSİK",IF($I626="","TARİH EKSİK",IF($I626&lt;TODAY(),"GECİKMİŞ",IF($I626=TODAY(),"BUGÜN",IF($I626&lt;=TODAY()+7,"7 GÜN İÇİNDE","PLANLI"))))))))</f>
        <v/>
      </c>
      <c r="R626" s="6" t="n"/>
      <c r="S626" s="6" t="n"/>
      <c r="T626" s="3" t="n"/>
      <c r="U626" s="3">
        <f>IF($E626="","",UPPER(SUBSTITUTE(SUBSTITUTE(SUBSTITUTE(SUBSTITUTE(SUBSTITUTE(SUBSTITUTE(SUBSTITUTE(SUBSTITUTE(SUBSTITUTE(SUBSTITUTE(SUBSTITUTE(SUBSTITUTE(SUBSTITUTE(SUBSTITUTE(SUBSTITUTE(SUBSTITUTE(SUBSTITUTE(SUBSTITUTE(TRIM($E626),"'",""),"İ","I"),"ı","I"),"i","I"),"Ş","S"),"ş","S"),"Ğ","G"),"ğ","G"),"Ü","U"),"ü","U"),"Ö","O"),"ö","O"),"Ç","C"),"ç","C"),".",""),",","")," ",""),"-","")))</f>
        <v/>
      </c>
    </row>
    <row r="627">
      <c r="A627" s="6" t="n"/>
      <c r="B627" s="113">
        <f>IF($E627="","","A"&amp;TEXT(ROW()-6,"00000"))</f>
        <v/>
      </c>
      <c r="C627" s="108" t="n"/>
      <c r="D627" s="113">
        <f>IF($E627="","",IFERROR(INDEX(MUSTERILER!$B$7:$B$106,MATCH($U627,MUSTERILER!$T$7:$T$106,0)),IFERROR(INDEX(MUSTERILER!$B$7:$B$106,MATCH($E627,MUSTERILER!$B$7:$B$106,0)),IFERROR(INDEX(MUSTERILER!$B$7:$B$106,MATCH($U627&amp;"*",MUSTERILER!$T$7:$T$106,0)),"TANIMSIZ MÜŞTERİ"))))</f>
        <v/>
      </c>
      <c r="E627" s="109" t="n"/>
      <c r="F627" s="109" t="n"/>
      <c r="G627" s="108" t="n"/>
      <c r="H627" s="220" t="n"/>
      <c r="I627" s="220" t="n"/>
      <c r="J627" s="108" t="n"/>
      <c r="K627" s="108" t="n"/>
      <c r="L627" s="109" t="n"/>
      <c r="M627" s="109" t="n"/>
      <c r="N627" s="109" t="n"/>
      <c r="O627" s="220" t="n"/>
      <c r="P627" s="227">
        <f>IF(OR($E627="",$I627=""),"",IF(OR($J627="Tamamlandı",$J627="İptal"),"",$I627-TODAY()))</f>
        <v/>
      </c>
      <c r="Q627" s="113">
        <f>IF($E627="","",IF($D627="TANIMSIZ MÜŞTERİ","HATA",IF(OR($J627="Tamamlandı",$J627="İptal"),"KAPALI",IF(AND($C627="Görüşme",$N627=""),"SONRAKİ İŞLEM EKSİK",IF($I627="","TARİH EKSİK",IF($I627&lt;TODAY(),"GECİKMİŞ",IF($I627=TODAY(),"BUGÜN",IF($I627&lt;=TODAY()+7,"7 GÜN İÇİNDE","PLANLI"))))))))</f>
        <v/>
      </c>
      <c r="R627" s="6" t="n"/>
      <c r="S627" s="6" t="n"/>
      <c r="T627" s="3" t="n"/>
      <c r="U627" s="3">
        <f>IF($E627="","",UPPER(SUBSTITUTE(SUBSTITUTE(SUBSTITUTE(SUBSTITUTE(SUBSTITUTE(SUBSTITUTE(SUBSTITUTE(SUBSTITUTE(SUBSTITUTE(SUBSTITUTE(SUBSTITUTE(SUBSTITUTE(SUBSTITUTE(SUBSTITUTE(SUBSTITUTE(SUBSTITUTE(SUBSTITUTE(SUBSTITUTE(TRIM($E627),"'",""),"İ","I"),"ı","I"),"i","I"),"Ş","S"),"ş","S"),"Ğ","G"),"ğ","G"),"Ü","U"),"ü","U"),"Ö","O"),"ö","O"),"Ç","C"),"ç","C"),".",""),",","")," ",""),"-","")))</f>
        <v/>
      </c>
    </row>
    <row r="628">
      <c r="A628" s="6" t="n"/>
      <c r="B628" s="113">
        <f>IF($E628="","","A"&amp;TEXT(ROW()-6,"00000"))</f>
        <v/>
      </c>
      <c r="C628" s="108" t="n"/>
      <c r="D628" s="113">
        <f>IF($E628="","",IFERROR(INDEX(MUSTERILER!$B$7:$B$106,MATCH($U628,MUSTERILER!$T$7:$T$106,0)),IFERROR(INDEX(MUSTERILER!$B$7:$B$106,MATCH($E628,MUSTERILER!$B$7:$B$106,0)),IFERROR(INDEX(MUSTERILER!$B$7:$B$106,MATCH($U628&amp;"*",MUSTERILER!$T$7:$T$106,0)),"TANIMSIZ MÜŞTERİ"))))</f>
        <v/>
      </c>
      <c r="E628" s="109" t="n"/>
      <c r="F628" s="109" t="n"/>
      <c r="G628" s="108" t="n"/>
      <c r="H628" s="220" t="n"/>
      <c r="I628" s="220" t="n"/>
      <c r="J628" s="108" t="n"/>
      <c r="K628" s="108" t="n"/>
      <c r="L628" s="109" t="n"/>
      <c r="M628" s="109" t="n"/>
      <c r="N628" s="109" t="n"/>
      <c r="O628" s="220" t="n"/>
      <c r="P628" s="227">
        <f>IF(OR($E628="",$I628=""),"",IF(OR($J628="Tamamlandı",$J628="İptal"),"",$I628-TODAY()))</f>
        <v/>
      </c>
      <c r="Q628" s="113">
        <f>IF($E628="","",IF($D628="TANIMSIZ MÜŞTERİ","HATA",IF(OR($J628="Tamamlandı",$J628="İptal"),"KAPALI",IF(AND($C628="Görüşme",$N628=""),"SONRAKİ İŞLEM EKSİK",IF($I628="","TARİH EKSİK",IF($I628&lt;TODAY(),"GECİKMİŞ",IF($I628=TODAY(),"BUGÜN",IF($I628&lt;=TODAY()+7,"7 GÜN İÇİNDE","PLANLI"))))))))</f>
        <v/>
      </c>
      <c r="R628" s="6" t="n"/>
      <c r="S628" s="6" t="n"/>
      <c r="T628" s="3" t="n"/>
      <c r="U628" s="3">
        <f>IF($E628="","",UPPER(SUBSTITUTE(SUBSTITUTE(SUBSTITUTE(SUBSTITUTE(SUBSTITUTE(SUBSTITUTE(SUBSTITUTE(SUBSTITUTE(SUBSTITUTE(SUBSTITUTE(SUBSTITUTE(SUBSTITUTE(SUBSTITUTE(SUBSTITUTE(SUBSTITUTE(SUBSTITUTE(SUBSTITUTE(SUBSTITUTE(TRIM($E628),"'",""),"İ","I"),"ı","I"),"i","I"),"Ş","S"),"ş","S"),"Ğ","G"),"ğ","G"),"Ü","U"),"ü","U"),"Ö","O"),"ö","O"),"Ç","C"),"ç","C"),".",""),",","")," ",""),"-","")))</f>
        <v/>
      </c>
    </row>
    <row r="629">
      <c r="A629" s="6" t="n"/>
      <c r="B629" s="113">
        <f>IF($E629="","","A"&amp;TEXT(ROW()-6,"00000"))</f>
        <v/>
      </c>
      <c r="C629" s="108" t="n"/>
      <c r="D629" s="113">
        <f>IF($E629="","",IFERROR(INDEX(MUSTERILER!$B$7:$B$106,MATCH($U629,MUSTERILER!$T$7:$T$106,0)),IFERROR(INDEX(MUSTERILER!$B$7:$B$106,MATCH($E629,MUSTERILER!$B$7:$B$106,0)),IFERROR(INDEX(MUSTERILER!$B$7:$B$106,MATCH($U629&amp;"*",MUSTERILER!$T$7:$T$106,0)),"TANIMSIZ MÜŞTERİ"))))</f>
        <v/>
      </c>
      <c r="E629" s="109" t="n"/>
      <c r="F629" s="109" t="n"/>
      <c r="G629" s="108" t="n"/>
      <c r="H629" s="220" t="n"/>
      <c r="I629" s="220" t="n"/>
      <c r="J629" s="108" t="n"/>
      <c r="K629" s="108" t="n"/>
      <c r="L629" s="109" t="n"/>
      <c r="M629" s="109" t="n"/>
      <c r="N629" s="109" t="n"/>
      <c r="O629" s="220" t="n"/>
      <c r="P629" s="227">
        <f>IF(OR($E629="",$I629=""),"",IF(OR($J629="Tamamlandı",$J629="İptal"),"",$I629-TODAY()))</f>
        <v/>
      </c>
      <c r="Q629" s="113">
        <f>IF($E629="","",IF($D629="TANIMSIZ MÜŞTERİ","HATA",IF(OR($J629="Tamamlandı",$J629="İptal"),"KAPALI",IF(AND($C629="Görüşme",$N629=""),"SONRAKİ İŞLEM EKSİK",IF($I629="","TARİH EKSİK",IF($I629&lt;TODAY(),"GECİKMİŞ",IF($I629=TODAY(),"BUGÜN",IF($I629&lt;=TODAY()+7,"7 GÜN İÇİNDE","PLANLI"))))))))</f>
        <v/>
      </c>
      <c r="R629" s="6" t="n"/>
      <c r="S629" s="6" t="n"/>
      <c r="T629" s="3" t="n"/>
      <c r="U629" s="3">
        <f>IF($E629="","",UPPER(SUBSTITUTE(SUBSTITUTE(SUBSTITUTE(SUBSTITUTE(SUBSTITUTE(SUBSTITUTE(SUBSTITUTE(SUBSTITUTE(SUBSTITUTE(SUBSTITUTE(SUBSTITUTE(SUBSTITUTE(SUBSTITUTE(SUBSTITUTE(SUBSTITUTE(SUBSTITUTE(SUBSTITUTE(SUBSTITUTE(TRIM($E629),"'",""),"İ","I"),"ı","I"),"i","I"),"Ş","S"),"ş","S"),"Ğ","G"),"ğ","G"),"Ü","U"),"ü","U"),"Ö","O"),"ö","O"),"Ç","C"),"ç","C"),".",""),",","")," ",""),"-","")))</f>
        <v/>
      </c>
    </row>
    <row r="630">
      <c r="A630" s="6" t="n"/>
      <c r="B630" s="113">
        <f>IF($E630="","","A"&amp;TEXT(ROW()-6,"00000"))</f>
        <v/>
      </c>
      <c r="C630" s="108" t="n"/>
      <c r="D630" s="113">
        <f>IF($E630="","",IFERROR(INDEX(MUSTERILER!$B$7:$B$106,MATCH($U630,MUSTERILER!$T$7:$T$106,0)),IFERROR(INDEX(MUSTERILER!$B$7:$B$106,MATCH($E630,MUSTERILER!$B$7:$B$106,0)),IFERROR(INDEX(MUSTERILER!$B$7:$B$106,MATCH($U630&amp;"*",MUSTERILER!$T$7:$T$106,0)),"TANIMSIZ MÜŞTERİ"))))</f>
        <v/>
      </c>
      <c r="E630" s="109" t="n"/>
      <c r="F630" s="109" t="n"/>
      <c r="G630" s="108" t="n"/>
      <c r="H630" s="220" t="n"/>
      <c r="I630" s="220" t="n"/>
      <c r="J630" s="108" t="n"/>
      <c r="K630" s="108" t="n"/>
      <c r="L630" s="109" t="n"/>
      <c r="M630" s="109" t="n"/>
      <c r="N630" s="109" t="n"/>
      <c r="O630" s="220" t="n"/>
      <c r="P630" s="227">
        <f>IF(OR($E630="",$I630=""),"",IF(OR($J630="Tamamlandı",$J630="İptal"),"",$I630-TODAY()))</f>
        <v/>
      </c>
      <c r="Q630" s="113">
        <f>IF($E630="","",IF($D630="TANIMSIZ MÜŞTERİ","HATA",IF(OR($J630="Tamamlandı",$J630="İptal"),"KAPALI",IF(AND($C630="Görüşme",$N630=""),"SONRAKİ İŞLEM EKSİK",IF($I630="","TARİH EKSİK",IF($I630&lt;TODAY(),"GECİKMİŞ",IF($I630=TODAY(),"BUGÜN",IF($I630&lt;=TODAY()+7,"7 GÜN İÇİNDE","PLANLI"))))))))</f>
        <v/>
      </c>
      <c r="R630" s="6" t="n"/>
      <c r="S630" s="6" t="n"/>
      <c r="T630" s="3" t="n"/>
      <c r="U630" s="3">
        <f>IF($E630="","",UPPER(SUBSTITUTE(SUBSTITUTE(SUBSTITUTE(SUBSTITUTE(SUBSTITUTE(SUBSTITUTE(SUBSTITUTE(SUBSTITUTE(SUBSTITUTE(SUBSTITUTE(SUBSTITUTE(SUBSTITUTE(SUBSTITUTE(SUBSTITUTE(SUBSTITUTE(SUBSTITUTE(SUBSTITUTE(SUBSTITUTE(TRIM($E630),"'",""),"İ","I"),"ı","I"),"i","I"),"Ş","S"),"ş","S"),"Ğ","G"),"ğ","G"),"Ü","U"),"ü","U"),"Ö","O"),"ö","O"),"Ç","C"),"ç","C"),".",""),",","")," ",""),"-","")))</f>
        <v/>
      </c>
    </row>
    <row r="631">
      <c r="A631" s="6" t="n"/>
      <c r="B631" s="113">
        <f>IF($E631="","","A"&amp;TEXT(ROW()-6,"00000"))</f>
        <v/>
      </c>
      <c r="C631" s="108" t="n"/>
      <c r="D631" s="113">
        <f>IF($E631="","",IFERROR(INDEX(MUSTERILER!$B$7:$B$106,MATCH($U631,MUSTERILER!$T$7:$T$106,0)),IFERROR(INDEX(MUSTERILER!$B$7:$B$106,MATCH($E631,MUSTERILER!$B$7:$B$106,0)),IFERROR(INDEX(MUSTERILER!$B$7:$B$106,MATCH($U631&amp;"*",MUSTERILER!$T$7:$T$106,0)),"TANIMSIZ MÜŞTERİ"))))</f>
        <v/>
      </c>
      <c r="E631" s="109" t="n"/>
      <c r="F631" s="109" t="n"/>
      <c r="G631" s="108" t="n"/>
      <c r="H631" s="220" t="n"/>
      <c r="I631" s="220" t="n"/>
      <c r="J631" s="108" t="n"/>
      <c r="K631" s="108" t="n"/>
      <c r="L631" s="109" t="n"/>
      <c r="M631" s="109" t="n"/>
      <c r="N631" s="109" t="n"/>
      <c r="O631" s="220" t="n"/>
      <c r="P631" s="227">
        <f>IF(OR($E631="",$I631=""),"",IF(OR($J631="Tamamlandı",$J631="İptal"),"",$I631-TODAY()))</f>
        <v/>
      </c>
      <c r="Q631" s="113">
        <f>IF($E631="","",IF($D631="TANIMSIZ MÜŞTERİ","HATA",IF(OR($J631="Tamamlandı",$J631="İptal"),"KAPALI",IF(AND($C631="Görüşme",$N631=""),"SONRAKİ İŞLEM EKSİK",IF($I631="","TARİH EKSİK",IF($I631&lt;TODAY(),"GECİKMİŞ",IF($I631=TODAY(),"BUGÜN",IF($I631&lt;=TODAY()+7,"7 GÜN İÇİNDE","PLANLI"))))))))</f>
        <v/>
      </c>
      <c r="R631" s="6" t="n"/>
      <c r="S631" s="6" t="n"/>
      <c r="T631" s="3" t="n"/>
      <c r="U631" s="3">
        <f>IF($E631="","",UPPER(SUBSTITUTE(SUBSTITUTE(SUBSTITUTE(SUBSTITUTE(SUBSTITUTE(SUBSTITUTE(SUBSTITUTE(SUBSTITUTE(SUBSTITUTE(SUBSTITUTE(SUBSTITUTE(SUBSTITUTE(SUBSTITUTE(SUBSTITUTE(SUBSTITUTE(SUBSTITUTE(SUBSTITUTE(SUBSTITUTE(TRIM($E631),"'",""),"İ","I"),"ı","I"),"i","I"),"Ş","S"),"ş","S"),"Ğ","G"),"ğ","G"),"Ü","U"),"ü","U"),"Ö","O"),"ö","O"),"Ç","C"),"ç","C"),".",""),",","")," ",""),"-","")))</f>
        <v/>
      </c>
    </row>
    <row r="632">
      <c r="A632" s="6" t="n"/>
      <c r="B632" s="113">
        <f>IF($E632="","","A"&amp;TEXT(ROW()-6,"00000"))</f>
        <v/>
      </c>
      <c r="C632" s="108" t="n"/>
      <c r="D632" s="113">
        <f>IF($E632="","",IFERROR(INDEX(MUSTERILER!$B$7:$B$106,MATCH($U632,MUSTERILER!$T$7:$T$106,0)),IFERROR(INDEX(MUSTERILER!$B$7:$B$106,MATCH($E632,MUSTERILER!$B$7:$B$106,0)),IFERROR(INDEX(MUSTERILER!$B$7:$B$106,MATCH($U632&amp;"*",MUSTERILER!$T$7:$T$106,0)),"TANIMSIZ MÜŞTERİ"))))</f>
        <v/>
      </c>
      <c r="E632" s="109" t="n"/>
      <c r="F632" s="109" t="n"/>
      <c r="G632" s="108" t="n"/>
      <c r="H632" s="220" t="n"/>
      <c r="I632" s="220" t="n"/>
      <c r="J632" s="108" t="n"/>
      <c r="K632" s="108" t="n"/>
      <c r="L632" s="109" t="n"/>
      <c r="M632" s="109" t="n"/>
      <c r="N632" s="109" t="n"/>
      <c r="O632" s="220" t="n"/>
      <c r="P632" s="227">
        <f>IF(OR($E632="",$I632=""),"",IF(OR($J632="Tamamlandı",$J632="İptal"),"",$I632-TODAY()))</f>
        <v/>
      </c>
      <c r="Q632" s="113">
        <f>IF($E632="","",IF($D632="TANIMSIZ MÜŞTERİ","HATA",IF(OR($J632="Tamamlandı",$J632="İptal"),"KAPALI",IF(AND($C632="Görüşme",$N632=""),"SONRAKİ İŞLEM EKSİK",IF($I632="","TARİH EKSİK",IF($I632&lt;TODAY(),"GECİKMİŞ",IF($I632=TODAY(),"BUGÜN",IF($I632&lt;=TODAY()+7,"7 GÜN İÇİNDE","PLANLI"))))))))</f>
        <v/>
      </c>
      <c r="R632" s="6" t="n"/>
      <c r="S632" s="6" t="n"/>
      <c r="T632" s="3" t="n"/>
      <c r="U632" s="3">
        <f>IF($E632="","",UPPER(SUBSTITUTE(SUBSTITUTE(SUBSTITUTE(SUBSTITUTE(SUBSTITUTE(SUBSTITUTE(SUBSTITUTE(SUBSTITUTE(SUBSTITUTE(SUBSTITUTE(SUBSTITUTE(SUBSTITUTE(SUBSTITUTE(SUBSTITUTE(SUBSTITUTE(SUBSTITUTE(SUBSTITUTE(SUBSTITUTE(TRIM($E632),"'",""),"İ","I"),"ı","I"),"i","I"),"Ş","S"),"ş","S"),"Ğ","G"),"ğ","G"),"Ü","U"),"ü","U"),"Ö","O"),"ö","O"),"Ç","C"),"ç","C"),".",""),",","")," ",""),"-","")))</f>
        <v/>
      </c>
    </row>
    <row r="633">
      <c r="A633" s="6" t="n"/>
      <c r="B633" s="113">
        <f>IF($E633="","","A"&amp;TEXT(ROW()-6,"00000"))</f>
        <v/>
      </c>
      <c r="C633" s="108" t="n"/>
      <c r="D633" s="113">
        <f>IF($E633="","",IFERROR(INDEX(MUSTERILER!$B$7:$B$106,MATCH($U633,MUSTERILER!$T$7:$T$106,0)),IFERROR(INDEX(MUSTERILER!$B$7:$B$106,MATCH($E633,MUSTERILER!$B$7:$B$106,0)),IFERROR(INDEX(MUSTERILER!$B$7:$B$106,MATCH($U633&amp;"*",MUSTERILER!$T$7:$T$106,0)),"TANIMSIZ MÜŞTERİ"))))</f>
        <v/>
      </c>
      <c r="E633" s="109" t="n"/>
      <c r="F633" s="109" t="n"/>
      <c r="G633" s="108" t="n"/>
      <c r="H633" s="220" t="n"/>
      <c r="I633" s="220" t="n"/>
      <c r="J633" s="108" t="n"/>
      <c r="K633" s="108" t="n"/>
      <c r="L633" s="109" t="n"/>
      <c r="M633" s="109" t="n"/>
      <c r="N633" s="109" t="n"/>
      <c r="O633" s="220" t="n"/>
      <c r="P633" s="227">
        <f>IF(OR($E633="",$I633=""),"",IF(OR($J633="Tamamlandı",$J633="İptal"),"",$I633-TODAY()))</f>
        <v/>
      </c>
      <c r="Q633" s="113">
        <f>IF($E633="","",IF($D633="TANIMSIZ MÜŞTERİ","HATA",IF(OR($J633="Tamamlandı",$J633="İptal"),"KAPALI",IF(AND($C633="Görüşme",$N633=""),"SONRAKİ İŞLEM EKSİK",IF($I633="","TARİH EKSİK",IF($I633&lt;TODAY(),"GECİKMİŞ",IF($I633=TODAY(),"BUGÜN",IF($I633&lt;=TODAY()+7,"7 GÜN İÇİNDE","PLANLI"))))))))</f>
        <v/>
      </c>
      <c r="R633" s="6" t="n"/>
      <c r="S633" s="6" t="n"/>
      <c r="T633" s="3" t="n"/>
      <c r="U633" s="3">
        <f>IF($E633="","",UPPER(SUBSTITUTE(SUBSTITUTE(SUBSTITUTE(SUBSTITUTE(SUBSTITUTE(SUBSTITUTE(SUBSTITUTE(SUBSTITUTE(SUBSTITUTE(SUBSTITUTE(SUBSTITUTE(SUBSTITUTE(SUBSTITUTE(SUBSTITUTE(SUBSTITUTE(SUBSTITUTE(SUBSTITUTE(SUBSTITUTE(TRIM($E633),"'",""),"İ","I"),"ı","I"),"i","I"),"Ş","S"),"ş","S"),"Ğ","G"),"ğ","G"),"Ü","U"),"ü","U"),"Ö","O"),"ö","O"),"Ç","C"),"ç","C"),".",""),",","")," ",""),"-","")))</f>
        <v/>
      </c>
    </row>
    <row r="634">
      <c r="A634" s="6" t="n"/>
      <c r="B634" s="113">
        <f>IF($E634="","","A"&amp;TEXT(ROW()-6,"00000"))</f>
        <v/>
      </c>
      <c r="C634" s="108" t="n"/>
      <c r="D634" s="113">
        <f>IF($E634="","",IFERROR(INDEX(MUSTERILER!$B$7:$B$106,MATCH($U634,MUSTERILER!$T$7:$T$106,0)),IFERROR(INDEX(MUSTERILER!$B$7:$B$106,MATCH($E634,MUSTERILER!$B$7:$B$106,0)),IFERROR(INDEX(MUSTERILER!$B$7:$B$106,MATCH($U634&amp;"*",MUSTERILER!$T$7:$T$106,0)),"TANIMSIZ MÜŞTERİ"))))</f>
        <v/>
      </c>
      <c r="E634" s="109" t="n"/>
      <c r="F634" s="109" t="n"/>
      <c r="G634" s="108" t="n"/>
      <c r="H634" s="220" t="n"/>
      <c r="I634" s="220" t="n"/>
      <c r="J634" s="108" t="n"/>
      <c r="K634" s="108" t="n"/>
      <c r="L634" s="109" t="n"/>
      <c r="M634" s="109" t="n"/>
      <c r="N634" s="109" t="n"/>
      <c r="O634" s="220" t="n"/>
      <c r="P634" s="227">
        <f>IF(OR($E634="",$I634=""),"",IF(OR($J634="Tamamlandı",$J634="İptal"),"",$I634-TODAY()))</f>
        <v/>
      </c>
      <c r="Q634" s="113">
        <f>IF($E634="","",IF($D634="TANIMSIZ MÜŞTERİ","HATA",IF(OR($J634="Tamamlandı",$J634="İptal"),"KAPALI",IF(AND($C634="Görüşme",$N634=""),"SONRAKİ İŞLEM EKSİK",IF($I634="","TARİH EKSİK",IF($I634&lt;TODAY(),"GECİKMİŞ",IF($I634=TODAY(),"BUGÜN",IF($I634&lt;=TODAY()+7,"7 GÜN İÇİNDE","PLANLI"))))))))</f>
        <v/>
      </c>
      <c r="R634" s="6" t="n"/>
      <c r="S634" s="6" t="n"/>
      <c r="T634" s="3" t="n"/>
      <c r="U634" s="3">
        <f>IF($E634="","",UPPER(SUBSTITUTE(SUBSTITUTE(SUBSTITUTE(SUBSTITUTE(SUBSTITUTE(SUBSTITUTE(SUBSTITUTE(SUBSTITUTE(SUBSTITUTE(SUBSTITUTE(SUBSTITUTE(SUBSTITUTE(SUBSTITUTE(SUBSTITUTE(SUBSTITUTE(SUBSTITUTE(SUBSTITUTE(SUBSTITUTE(TRIM($E634),"'",""),"İ","I"),"ı","I"),"i","I"),"Ş","S"),"ş","S"),"Ğ","G"),"ğ","G"),"Ü","U"),"ü","U"),"Ö","O"),"ö","O"),"Ç","C"),"ç","C"),".",""),",","")," ",""),"-","")))</f>
        <v/>
      </c>
    </row>
    <row r="635">
      <c r="A635" s="6" t="n"/>
      <c r="B635" s="113">
        <f>IF($E635="","","A"&amp;TEXT(ROW()-6,"00000"))</f>
        <v/>
      </c>
      <c r="C635" s="108" t="n"/>
      <c r="D635" s="113">
        <f>IF($E635="","",IFERROR(INDEX(MUSTERILER!$B$7:$B$106,MATCH($U635,MUSTERILER!$T$7:$T$106,0)),IFERROR(INDEX(MUSTERILER!$B$7:$B$106,MATCH($E635,MUSTERILER!$B$7:$B$106,0)),IFERROR(INDEX(MUSTERILER!$B$7:$B$106,MATCH($U635&amp;"*",MUSTERILER!$T$7:$T$106,0)),"TANIMSIZ MÜŞTERİ"))))</f>
        <v/>
      </c>
      <c r="E635" s="109" t="n"/>
      <c r="F635" s="109" t="n"/>
      <c r="G635" s="108" t="n"/>
      <c r="H635" s="220" t="n"/>
      <c r="I635" s="220" t="n"/>
      <c r="J635" s="108" t="n"/>
      <c r="K635" s="108" t="n"/>
      <c r="L635" s="109" t="n"/>
      <c r="M635" s="109" t="n"/>
      <c r="N635" s="109" t="n"/>
      <c r="O635" s="220" t="n"/>
      <c r="P635" s="227">
        <f>IF(OR($E635="",$I635=""),"",IF(OR($J635="Tamamlandı",$J635="İptal"),"",$I635-TODAY()))</f>
        <v/>
      </c>
      <c r="Q635" s="113">
        <f>IF($E635="","",IF($D635="TANIMSIZ MÜŞTERİ","HATA",IF(OR($J635="Tamamlandı",$J635="İptal"),"KAPALI",IF(AND($C635="Görüşme",$N635=""),"SONRAKİ İŞLEM EKSİK",IF($I635="","TARİH EKSİK",IF($I635&lt;TODAY(),"GECİKMİŞ",IF($I635=TODAY(),"BUGÜN",IF($I635&lt;=TODAY()+7,"7 GÜN İÇİNDE","PLANLI"))))))))</f>
        <v/>
      </c>
      <c r="R635" s="6" t="n"/>
      <c r="S635" s="6" t="n"/>
      <c r="T635" s="3" t="n"/>
      <c r="U635" s="3">
        <f>IF($E635="","",UPPER(SUBSTITUTE(SUBSTITUTE(SUBSTITUTE(SUBSTITUTE(SUBSTITUTE(SUBSTITUTE(SUBSTITUTE(SUBSTITUTE(SUBSTITUTE(SUBSTITUTE(SUBSTITUTE(SUBSTITUTE(SUBSTITUTE(SUBSTITUTE(SUBSTITUTE(SUBSTITUTE(SUBSTITUTE(SUBSTITUTE(TRIM($E635),"'",""),"İ","I"),"ı","I"),"i","I"),"Ş","S"),"ş","S"),"Ğ","G"),"ğ","G"),"Ü","U"),"ü","U"),"Ö","O"),"ö","O"),"Ç","C"),"ç","C"),".",""),",","")," ",""),"-","")))</f>
        <v/>
      </c>
    </row>
    <row r="636">
      <c r="A636" s="6" t="n"/>
      <c r="B636" s="113">
        <f>IF($E636="","","A"&amp;TEXT(ROW()-6,"00000"))</f>
        <v/>
      </c>
      <c r="C636" s="108" t="n"/>
      <c r="D636" s="113">
        <f>IF($E636="","",IFERROR(INDEX(MUSTERILER!$B$7:$B$106,MATCH($U636,MUSTERILER!$T$7:$T$106,0)),IFERROR(INDEX(MUSTERILER!$B$7:$B$106,MATCH($E636,MUSTERILER!$B$7:$B$106,0)),IFERROR(INDEX(MUSTERILER!$B$7:$B$106,MATCH($U636&amp;"*",MUSTERILER!$T$7:$T$106,0)),"TANIMSIZ MÜŞTERİ"))))</f>
        <v/>
      </c>
      <c r="E636" s="109" t="n"/>
      <c r="F636" s="109" t="n"/>
      <c r="G636" s="108" t="n"/>
      <c r="H636" s="220" t="n"/>
      <c r="I636" s="220" t="n"/>
      <c r="J636" s="108" t="n"/>
      <c r="K636" s="108" t="n"/>
      <c r="L636" s="109" t="n"/>
      <c r="M636" s="109" t="n"/>
      <c r="N636" s="109" t="n"/>
      <c r="O636" s="220" t="n"/>
      <c r="P636" s="227">
        <f>IF(OR($E636="",$I636=""),"",IF(OR($J636="Tamamlandı",$J636="İptal"),"",$I636-TODAY()))</f>
        <v/>
      </c>
      <c r="Q636" s="113">
        <f>IF($E636="","",IF($D636="TANIMSIZ MÜŞTERİ","HATA",IF(OR($J636="Tamamlandı",$J636="İptal"),"KAPALI",IF(AND($C636="Görüşme",$N636=""),"SONRAKİ İŞLEM EKSİK",IF($I636="","TARİH EKSİK",IF($I636&lt;TODAY(),"GECİKMİŞ",IF($I636=TODAY(),"BUGÜN",IF($I636&lt;=TODAY()+7,"7 GÜN İÇİNDE","PLANLI"))))))))</f>
        <v/>
      </c>
      <c r="R636" s="6" t="n"/>
      <c r="S636" s="6" t="n"/>
      <c r="T636" s="3" t="n"/>
      <c r="U636" s="3">
        <f>IF($E636="","",UPPER(SUBSTITUTE(SUBSTITUTE(SUBSTITUTE(SUBSTITUTE(SUBSTITUTE(SUBSTITUTE(SUBSTITUTE(SUBSTITUTE(SUBSTITUTE(SUBSTITUTE(SUBSTITUTE(SUBSTITUTE(SUBSTITUTE(SUBSTITUTE(SUBSTITUTE(SUBSTITUTE(SUBSTITUTE(SUBSTITUTE(TRIM($E636),"'",""),"İ","I"),"ı","I"),"i","I"),"Ş","S"),"ş","S"),"Ğ","G"),"ğ","G"),"Ü","U"),"ü","U"),"Ö","O"),"ö","O"),"Ç","C"),"ç","C"),".",""),",","")," ",""),"-","")))</f>
        <v/>
      </c>
    </row>
    <row r="637">
      <c r="A637" s="6" t="n"/>
      <c r="B637" s="113">
        <f>IF($E637="","","A"&amp;TEXT(ROW()-6,"00000"))</f>
        <v/>
      </c>
      <c r="C637" s="108" t="n"/>
      <c r="D637" s="113">
        <f>IF($E637="","",IFERROR(INDEX(MUSTERILER!$B$7:$B$106,MATCH($U637,MUSTERILER!$T$7:$T$106,0)),IFERROR(INDEX(MUSTERILER!$B$7:$B$106,MATCH($E637,MUSTERILER!$B$7:$B$106,0)),IFERROR(INDEX(MUSTERILER!$B$7:$B$106,MATCH($U637&amp;"*",MUSTERILER!$T$7:$T$106,0)),"TANIMSIZ MÜŞTERİ"))))</f>
        <v/>
      </c>
      <c r="E637" s="109" t="n"/>
      <c r="F637" s="109" t="n"/>
      <c r="G637" s="108" t="n"/>
      <c r="H637" s="220" t="n"/>
      <c r="I637" s="220" t="n"/>
      <c r="J637" s="108" t="n"/>
      <c r="K637" s="108" t="n"/>
      <c r="L637" s="109" t="n"/>
      <c r="M637" s="109" t="n"/>
      <c r="N637" s="109" t="n"/>
      <c r="O637" s="220" t="n"/>
      <c r="P637" s="227">
        <f>IF(OR($E637="",$I637=""),"",IF(OR($J637="Tamamlandı",$J637="İptal"),"",$I637-TODAY()))</f>
        <v/>
      </c>
      <c r="Q637" s="113">
        <f>IF($E637="","",IF($D637="TANIMSIZ MÜŞTERİ","HATA",IF(OR($J637="Tamamlandı",$J637="İptal"),"KAPALI",IF(AND($C637="Görüşme",$N637=""),"SONRAKİ İŞLEM EKSİK",IF($I637="","TARİH EKSİK",IF($I637&lt;TODAY(),"GECİKMİŞ",IF($I637=TODAY(),"BUGÜN",IF($I637&lt;=TODAY()+7,"7 GÜN İÇİNDE","PLANLI"))))))))</f>
        <v/>
      </c>
      <c r="R637" s="6" t="n"/>
      <c r="S637" s="6" t="n"/>
      <c r="T637" s="3" t="n"/>
      <c r="U637" s="3">
        <f>IF($E637="","",UPPER(SUBSTITUTE(SUBSTITUTE(SUBSTITUTE(SUBSTITUTE(SUBSTITUTE(SUBSTITUTE(SUBSTITUTE(SUBSTITUTE(SUBSTITUTE(SUBSTITUTE(SUBSTITUTE(SUBSTITUTE(SUBSTITUTE(SUBSTITUTE(SUBSTITUTE(SUBSTITUTE(SUBSTITUTE(SUBSTITUTE(TRIM($E637),"'",""),"İ","I"),"ı","I"),"i","I"),"Ş","S"),"ş","S"),"Ğ","G"),"ğ","G"),"Ü","U"),"ü","U"),"Ö","O"),"ö","O"),"Ç","C"),"ç","C"),".",""),",","")," ",""),"-","")))</f>
        <v/>
      </c>
    </row>
    <row r="638">
      <c r="A638" s="6" t="n"/>
      <c r="B638" s="113">
        <f>IF($E638="","","A"&amp;TEXT(ROW()-6,"00000"))</f>
        <v/>
      </c>
      <c r="C638" s="108" t="n"/>
      <c r="D638" s="113">
        <f>IF($E638="","",IFERROR(INDEX(MUSTERILER!$B$7:$B$106,MATCH($U638,MUSTERILER!$T$7:$T$106,0)),IFERROR(INDEX(MUSTERILER!$B$7:$B$106,MATCH($E638,MUSTERILER!$B$7:$B$106,0)),IFERROR(INDEX(MUSTERILER!$B$7:$B$106,MATCH($U638&amp;"*",MUSTERILER!$T$7:$T$106,0)),"TANIMSIZ MÜŞTERİ"))))</f>
        <v/>
      </c>
      <c r="E638" s="109" t="n"/>
      <c r="F638" s="109" t="n"/>
      <c r="G638" s="108" t="n"/>
      <c r="H638" s="220" t="n"/>
      <c r="I638" s="220" t="n"/>
      <c r="J638" s="108" t="n"/>
      <c r="K638" s="108" t="n"/>
      <c r="L638" s="109" t="n"/>
      <c r="M638" s="109" t="n"/>
      <c r="N638" s="109" t="n"/>
      <c r="O638" s="220" t="n"/>
      <c r="P638" s="227">
        <f>IF(OR($E638="",$I638=""),"",IF(OR($J638="Tamamlandı",$J638="İptal"),"",$I638-TODAY()))</f>
        <v/>
      </c>
      <c r="Q638" s="113">
        <f>IF($E638="","",IF($D638="TANIMSIZ MÜŞTERİ","HATA",IF(OR($J638="Tamamlandı",$J638="İptal"),"KAPALI",IF(AND($C638="Görüşme",$N638=""),"SONRAKİ İŞLEM EKSİK",IF($I638="","TARİH EKSİK",IF($I638&lt;TODAY(),"GECİKMİŞ",IF($I638=TODAY(),"BUGÜN",IF($I638&lt;=TODAY()+7,"7 GÜN İÇİNDE","PLANLI"))))))))</f>
        <v/>
      </c>
      <c r="R638" s="6" t="n"/>
      <c r="S638" s="6" t="n"/>
      <c r="T638" s="3" t="n"/>
      <c r="U638" s="3">
        <f>IF($E638="","",UPPER(SUBSTITUTE(SUBSTITUTE(SUBSTITUTE(SUBSTITUTE(SUBSTITUTE(SUBSTITUTE(SUBSTITUTE(SUBSTITUTE(SUBSTITUTE(SUBSTITUTE(SUBSTITUTE(SUBSTITUTE(SUBSTITUTE(SUBSTITUTE(SUBSTITUTE(SUBSTITUTE(SUBSTITUTE(SUBSTITUTE(TRIM($E638),"'",""),"İ","I"),"ı","I"),"i","I"),"Ş","S"),"ş","S"),"Ğ","G"),"ğ","G"),"Ü","U"),"ü","U"),"Ö","O"),"ö","O"),"Ç","C"),"ç","C"),".",""),",","")," ",""),"-","")))</f>
        <v/>
      </c>
    </row>
    <row r="639">
      <c r="A639" s="6" t="n"/>
      <c r="B639" s="113">
        <f>IF($E639="","","A"&amp;TEXT(ROW()-6,"00000"))</f>
        <v/>
      </c>
      <c r="C639" s="108" t="n"/>
      <c r="D639" s="113">
        <f>IF($E639="","",IFERROR(INDEX(MUSTERILER!$B$7:$B$106,MATCH($U639,MUSTERILER!$T$7:$T$106,0)),IFERROR(INDEX(MUSTERILER!$B$7:$B$106,MATCH($E639,MUSTERILER!$B$7:$B$106,0)),IFERROR(INDEX(MUSTERILER!$B$7:$B$106,MATCH($U639&amp;"*",MUSTERILER!$T$7:$T$106,0)),"TANIMSIZ MÜŞTERİ"))))</f>
        <v/>
      </c>
      <c r="E639" s="109" t="n"/>
      <c r="F639" s="109" t="n"/>
      <c r="G639" s="108" t="n"/>
      <c r="H639" s="220" t="n"/>
      <c r="I639" s="220" t="n"/>
      <c r="J639" s="108" t="n"/>
      <c r="K639" s="108" t="n"/>
      <c r="L639" s="109" t="n"/>
      <c r="M639" s="109" t="n"/>
      <c r="N639" s="109" t="n"/>
      <c r="O639" s="220" t="n"/>
      <c r="P639" s="227">
        <f>IF(OR($E639="",$I639=""),"",IF(OR($J639="Tamamlandı",$J639="İptal"),"",$I639-TODAY()))</f>
        <v/>
      </c>
      <c r="Q639" s="113">
        <f>IF($E639="","",IF($D639="TANIMSIZ MÜŞTERİ","HATA",IF(OR($J639="Tamamlandı",$J639="İptal"),"KAPALI",IF(AND($C639="Görüşme",$N639=""),"SONRAKİ İŞLEM EKSİK",IF($I639="","TARİH EKSİK",IF($I639&lt;TODAY(),"GECİKMİŞ",IF($I639=TODAY(),"BUGÜN",IF($I639&lt;=TODAY()+7,"7 GÜN İÇİNDE","PLANLI"))))))))</f>
        <v/>
      </c>
      <c r="R639" s="6" t="n"/>
      <c r="S639" s="6" t="n"/>
      <c r="T639" s="3" t="n"/>
      <c r="U639" s="3">
        <f>IF($E639="","",UPPER(SUBSTITUTE(SUBSTITUTE(SUBSTITUTE(SUBSTITUTE(SUBSTITUTE(SUBSTITUTE(SUBSTITUTE(SUBSTITUTE(SUBSTITUTE(SUBSTITUTE(SUBSTITUTE(SUBSTITUTE(SUBSTITUTE(SUBSTITUTE(SUBSTITUTE(SUBSTITUTE(SUBSTITUTE(SUBSTITUTE(TRIM($E639),"'",""),"İ","I"),"ı","I"),"i","I"),"Ş","S"),"ş","S"),"Ğ","G"),"ğ","G"),"Ü","U"),"ü","U"),"Ö","O"),"ö","O"),"Ç","C"),"ç","C"),".",""),",","")," ",""),"-","")))</f>
        <v/>
      </c>
    </row>
    <row r="640">
      <c r="A640" s="6" t="n"/>
      <c r="B640" s="113">
        <f>IF($E640="","","A"&amp;TEXT(ROW()-6,"00000"))</f>
        <v/>
      </c>
      <c r="C640" s="108" t="n"/>
      <c r="D640" s="113">
        <f>IF($E640="","",IFERROR(INDEX(MUSTERILER!$B$7:$B$106,MATCH($U640,MUSTERILER!$T$7:$T$106,0)),IFERROR(INDEX(MUSTERILER!$B$7:$B$106,MATCH($E640,MUSTERILER!$B$7:$B$106,0)),IFERROR(INDEX(MUSTERILER!$B$7:$B$106,MATCH($U640&amp;"*",MUSTERILER!$T$7:$T$106,0)),"TANIMSIZ MÜŞTERİ"))))</f>
        <v/>
      </c>
      <c r="E640" s="109" t="n"/>
      <c r="F640" s="109" t="n"/>
      <c r="G640" s="108" t="n"/>
      <c r="H640" s="220" t="n"/>
      <c r="I640" s="220" t="n"/>
      <c r="J640" s="108" t="n"/>
      <c r="K640" s="108" t="n"/>
      <c r="L640" s="109" t="n"/>
      <c r="M640" s="109" t="n"/>
      <c r="N640" s="109" t="n"/>
      <c r="O640" s="220" t="n"/>
      <c r="P640" s="227">
        <f>IF(OR($E640="",$I640=""),"",IF(OR($J640="Tamamlandı",$J640="İptal"),"",$I640-TODAY()))</f>
        <v/>
      </c>
      <c r="Q640" s="113">
        <f>IF($E640="","",IF($D640="TANIMSIZ MÜŞTERİ","HATA",IF(OR($J640="Tamamlandı",$J640="İptal"),"KAPALI",IF(AND($C640="Görüşme",$N640=""),"SONRAKİ İŞLEM EKSİK",IF($I640="","TARİH EKSİK",IF($I640&lt;TODAY(),"GECİKMİŞ",IF($I640=TODAY(),"BUGÜN",IF($I640&lt;=TODAY()+7,"7 GÜN İÇİNDE","PLANLI"))))))))</f>
        <v/>
      </c>
      <c r="R640" s="6" t="n"/>
      <c r="S640" s="6" t="n"/>
      <c r="T640" s="3" t="n"/>
      <c r="U640" s="3">
        <f>IF($E640="","",UPPER(SUBSTITUTE(SUBSTITUTE(SUBSTITUTE(SUBSTITUTE(SUBSTITUTE(SUBSTITUTE(SUBSTITUTE(SUBSTITUTE(SUBSTITUTE(SUBSTITUTE(SUBSTITUTE(SUBSTITUTE(SUBSTITUTE(SUBSTITUTE(SUBSTITUTE(SUBSTITUTE(SUBSTITUTE(SUBSTITUTE(TRIM($E640),"'",""),"İ","I"),"ı","I"),"i","I"),"Ş","S"),"ş","S"),"Ğ","G"),"ğ","G"),"Ü","U"),"ü","U"),"Ö","O"),"ö","O"),"Ç","C"),"ç","C"),".",""),",","")," ",""),"-","")))</f>
        <v/>
      </c>
    </row>
    <row r="641">
      <c r="A641" s="6" t="n"/>
      <c r="B641" s="113">
        <f>IF($E641="","","A"&amp;TEXT(ROW()-6,"00000"))</f>
        <v/>
      </c>
      <c r="C641" s="108" t="n"/>
      <c r="D641" s="113">
        <f>IF($E641="","",IFERROR(INDEX(MUSTERILER!$B$7:$B$106,MATCH($U641,MUSTERILER!$T$7:$T$106,0)),IFERROR(INDEX(MUSTERILER!$B$7:$B$106,MATCH($E641,MUSTERILER!$B$7:$B$106,0)),IFERROR(INDEX(MUSTERILER!$B$7:$B$106,MATCH($U641&amp;"*",MUSTERILER!$T$7:$T$106,0)),"TANIMSIZ MÜŞTERİ"))))</f>
        <v/>
      </c>
      <c r="E641" s="109" t="n"/>
      <c r="F641" s="109" t="n"/>
      <c r="G641" s="108" t="n"/>
      <c r="H641" s="220" t="n"/>
      <c r="I641" s="220" t="n"/>
      <c r="J641" s="108" t="n"/>
      <c r="K641" s="108" t="n"/>
      <c r="L641" s="109" t="n"/>
      <c r="M641" s="109" t="n"/>
      <c r="N641" s="109" t="n"/>
      <c r="O641" s="220" t="n"/>
      <c r="P641" s="227">
        <f>IF(OR($E641="",$I641=""),"",IF(OR($J641="Tamamlandı",$J641="İptal"),"",$I641-TODAY()))</f>
        <v/>
      </c>
      <c r="Q641" s="113">
        <f>IF($E641="","",IF($D641="TANIMSIZ MÜŞTERİ","HATA",IF(OR($J641="Tamamlandı",$J641="İptal"),"KAPALI",IF(AND($C641="Görüşme",$N641=""),"SONRAKİ İŞLEM EKSİK",IF($I641="","TARİH EKSİK",IF($I641&lt;TODAY(),"GECİKMİŞ",IF($I641=TODAY(),"BUGÜN",IF($I641&lt;=TODAY()+7,"7 GÜN İÇİNDE","PLANLI"))))))))</f>
        <v/>
      </c>
      <c r="R641" s="6" t="n"/>
      <c r="S641" s="6" t="n"/>
      <c r="T641" s="3" t="n"/>
      <c r="U641" s="3">
        <f>IF($E641="","",UPPER(SUBSTITUTE(SUBSTITUTE(SUBSTITUTE(SUBSTITUTE(SUBSTITUTE(SUBSTITUTE(SUBSTITUTE(SUBSTITUTE(SUBSTITUTE(SUBSTITUTE(SUBSTITUTE(SUBSTITUTE(SUBSTITUTE(SUBSTITUTE(SUBSTITUTE(SUBSTITUTE(SUBSTITUTE(SUBSTITUTE(TRIM($E641),"'",""),"İ","I"),"ı","I"),"i","I"),"Ş","S"),"ş","S"),"Ğ","G"),"ğ","G"),"Ü","U"),"ü","U"),"Ö","O"),"ö","O"),"Ç","C"),"ç","C"),".",""),",","")," ",""),"-","")))</f>
        <v/>
      </c>
    </row>
    <row r="642">
      <c r="A642" s="6" t="n"/>
      <c r="B642" s="113">
        <f>IF($E642="","","A"&amp;TEXT(ROW()-6,"00000"))</f>
        <v/>
      </c>
      <c r="C642" s="108" t="n"/>
      <c r="D642" s="113">
        <f>IF($E642="","",IFERROR(INDEX(MUSTERILER!$B$7:$B$106,MATCH($U642,MUSTERILER!$T$7:$T$106,0)),IFERROR(INDEX(MUSTERILER!$B$7:$B$106,MATCH($E642,MUSTERILER!$B$7:$B$106,0)),IFERROR(INDEX(MUSTERILER!$B$7:$B$106,MATCH($U642&amp;"*",MUSTERILER!$T$7:$T$106,0)),"TANIMSIZ MÜŞTERİ"))))</f>
        <v/>
      </c>
      <c r="E642" s="109" t="n"/>
      <c r="F642" s="109" t="n"/>
      <c r="G642" s="108" t="n"/>
      <c r="H642" s="220" t="n"/>
      <c r="I642" s="220" t="n"/>
      <c r="J642" s="108" t="n"/>
      <c r="K642" s="108" t="n"/>
      <c r="L642" s="109" t="n"/>
      <c r="M642" s="109" t="n"/>
      <c r="N642" s="109" t="n"/>
      <c r="O642" s="220" t="n"/>
      <c r="P642" s="227">
        <f>IF(OR($E642="",$I642=""),"",IF(OR($J642="Tamamlandı",$J642="İptal"),"",$I642-TODAY()))</f>
        <v/>
      </c>
      <c r="Q642" s="113">
        <f>IF($E642="","",IF($D642="TANIMSIZ MÜŞTERİ","HATA",IF(OR($J642="Tamamlandı",$J642="İptal"),"KAPALI",IF(AND($C642="Görüşme",$N642=""),"SONRAKİ İŞLEM EKSİK",IF($I642="","TARİH EKSİK",IF($I642&lt;TODAY(),"GECİKMİŞ",IF($I642=TODAY(),"BUGÜN",IF($I642&lt;=TODAY()+7,"7 GÜN İÇİNDE","PLANLI"))))))))</f>
        <v/>
      </c>
      <c r="R642" s="6" t="n"/>
      <c r="S642" s="6" t="n"/>
      <c r="T642" s="3" t="n"/>
      <c r="U642" s="3">
        <f>IF($E642="","",UPPER(SUBSTITUTE(SUBSTITUTE(SUBSTITUTE(SUBSTITUTE(SUBSTITUTE(SUBSTITUTE(SUBSTITUTE(SUBSTITUTE(SUBSTITUTE(SUBSTITUTE(SUBSTITUTE(SUBSTITUTE(SUBSTITUTE(SUBSTITUTE(SUBSTITUTE(SUBSTITUTE(SUBSTITUTE(SUBSTITUTE(TRIM($E642),"'",""),"İ","I"),"ı","I"),"i","I"),"Ş","S"),"ş","S"),"Ğ","G"),"ğ","G"),"Ü","U"),"ü","U"),"Ö","O"),"ö","O"),"Ç","C"),"ç","C"),".",""),",","")," ",""),"-","")))</f>
        <v/>
      </c>
    </row>
    <row r="643">
      <c r="A643" s="6" t="n"/>
      <c r="B643" s="113">
        <f>IF($E643="","","A"&amp;TEXT(ROW()-6,"00000"))</f>
        <v/>
      </c>
      <c r="C643" s="108" t="n"/>
      <c r="D643" s="113">
        <f>IF($E643="","",IFERROR(INDEX(MUSTERILER!$B$7:$B$106,MATCH($U643,MUSTERILER!$T$7:$T$106,0)),IFERROR(INDEX(MUSTERILER!$B$7:$B$106,MATCH($E643,MUSTERILER!$B$7:$B$106,0)),IFERROR(INDEX(MUSTERILER!$B$7:$B$106,MATCH($U643&amp;"*",MUSTERILER!$T$7:$T$106,0)),"TANIMSIZ MÜŞTERİ"))))</f>
        <v/>
      </c>
      <c r="E643" s="109" t="n"/>
      <c r="F643" s="109" t="n"/>
      <c r="G643" s="108" t="n"/>
      <c r="H643" s="220" t="n"/>
      <c r="I643" s="220" t="n"/>
      <c r="J643" s="108" t="n"/>
      <c r="K643" s="108" t="n"/>
      <c r="L643" s="109" t="n"/>
      <c r="M643" s="109" t="n"/>
      <c r="N643" s="109" t="n"/>
      <c r="O643" s="220" t="n"/>
      <c r="P643" s="227">
        <f>IF(OR($E643="",$I643=""),"",IF(OR($J643="Tamamlandı",$J643="İptal"),"",$I643-TODAY()))</f>
        <v/>
      </c>
      <c r="Q643" s="113">
        <f>IF($E643="","",IF($D643="TANIMSIZ MÜŞTERİ","HATA",IF(OR($J643="Tamamlandı",$J643="İptal"),"KAPALI",IF(AND($C643="Görüşme",$N643=""),"SONRAKİ İŞLEM EKSİK",IF($I643="","TARİH EKSİK",IF($I643&lt;TODAY(),"GECİKMİŞ",IF($I643=TODAY(),"BUGÜN",IF($I643&lt;=TODAY()+7,"7 GÜN İÇİNDE","PLANLI"))))))))</f>
        <v/>
      </c>
      <c r="R643" s="6" t="n"/>
      <c r="S643" s="6" t="n"/>
      <c r="T643" s="3" t="n"/>
      <c r="U643" s="3">
        <f>IF($E643="","",UPPER(SUBSTITUTE(SUBSTITUTE(SUBSTITUTE(SUBSTITUTE(SUBSTITUTE(SUBSTITUTE(SUBSTITUTE(SUBSTITUTE(SUBSTITUTE(SUBSTITUTE(SUBSTITUTE(SUBSTITUTE(SUBSTITUTE(SUBSTITUTE(SUBSTITUTE(SUBSTITUTE(SUBSTITUTE(SUBSTITUTE(TRIM($E643),"'",""),"İ","I"),"ı","I"),"i","I"),"Ş","S"),"ş","S"),"Ğ","G"),"ğ","G"),"Ü","U"),"ü","U"),"Ö","O"),"ö","O"),"Ç","C"),"ç","C"),".",""),",","")," ",""),"-","")))</f>
        <v/>
      </c>
    </row>
    <row r="644">
      <c r="A644" s="6" t="n"/>
      <c r="B644" s="113">
        <f>IF($E644="","","A"&amp;TEXT(ROW()-6,"00000"))</f>
        <v/>
      </c>
      <c r="C644" s="108" t="n"/>
      <c r="D644" s="113">
        <f>IF($E644="","",IFERROR(INDEX(MUSTERILER!$B$7:$B$106,MATCH($U644,MUSTERILER!$T$7:$T$106,0)),IFERROR(INDEX(MUSTERILER!$B$7:$B$106,MATCH($E644,MUSTERILER!$B$7:$B$106,0)),IFERROR(INDEX(MUSTERILER!$B$7:$B$106,MATCH($U644&amp;"*",MUSTERILER!$T$7:$T$106,0)),"TANIMSIZ MÜŞTERİ"))))</f>
        <v/>
      </c>
      <c r="E644" s="109" t="n"/>
      <c r="F644" s="109" t="n"/>
      <c r="G644" s="108" t="n"/>
      <c r="H644" s="220" t="n"/>
      <c r="I644" s="220" t="n"/>
      <c r="J644" s="108" t="n"/>
      <c r="K644" s="108" t="n"/>
      <c r="L644" s="109" t="n"/>
      <c r="M644" s="109" t="n"/>
      <c r="N644" s="109" t="n"/>
      <c r="O644" s="220" t="n"/>
      <c r="P644" s="227">
        <f>IF(OR($E644="",$I644=""),"",IF(OR($J644="Tamamlandı",$J644="İptal"),"",$I644-TODAY()))</f>
        <v/>
      </c>
      <c r="Q644" s="113">
        <f>IF($E644="","",IF($D644="TANIMSIZ MÜŞTERİ","HATA",IF(OR($J644="Tamamlandı",$J644="İptal"),"KAPALI",IF(AND($C644="Görüşme",$N644=""),"SONRAKİ İŞLEM EKSİK",IF($I644="","TARİH EKSİK",IF($I644&lt;TODAY(),"GECİKMİŞ",IF($I644=TODAY(),"BUGÜN",IF($I644&lt;=TODAY()+7,"7 GÜN İÇİNDE","PLANLI"))))))))</f>
        <v/>
      </c>
      <c r="R644" s="6" t="n"/>
      <c r="S644" s="6" t="n"/>
      <c r="T644" s="3" t="n"/>
      <c r="U644" s="3">
        <f>IF($E644="","",UPPER(SUBSTITUTE(SUBSTITUTE(SUBSTITUTE(SUBSTITUTE(SUBSTITUTE(SUBSTITUTE(SUBSTITUTE(SUBSTITUTE(SUBSTITUTE(SUBSTITUTE(SUBSTITUTE(SUBSTITUTE(SUBSTITUTE(SUBSTITUTE(SUBSTITUTE(SUBSTITUTE(SUBSTITUTE(SUBSTITUTE(TRIM($E644),"'",""),"İ","I"),"ı","I"),"i","I"),"Ş","S"),"ş","S"),"Ğ","G"),"ğ","G"),"Ü","U"),"ü","U"),"Ö","O"),"ö","O"),"Ç","C"),"ç","C"),".",""),",","")," ",""),"-","")))</f>
        <v/>
      </c>
    </row>
    <row r="645">
      <c r="A645" s="6" t="n"/>
      <c r="B645" s="113">
        <f>IF($E645="","","A"&amp;TEXT(ROW()-6,"00000"))</f>
        <v/>
      </c>
      <c r="C645" s="108" t="n"/>
      <c r="D645" s="113">
        <f>IF($E645="","",IFERROR(INDEX(MUSTERILER!$B$7:$B$106,MATCH($U645,MUSTERILER!$T$7:$T$106,0)),IFERROR(INDEX(MUSTERILER!$B$7:$B$106,MATCH($E645,MUSTERILER!$B$7:$B$106,0)),IFERROR(INDEX(MUSTERILER!$B$7:$B$106,MATCH($U645&amp;"*",MUSTERILER!$T$7:$T$106,0)),"TANIMSIZ MÜŞTERİ"))))</f>
        <v/>
      </c>
      <c r="E645" s="109" t="n"/>
      <c r="F645" s="109" t="n"/>
      <c r="G645" s="108" t="n"/>
      <c r="H645" s="220" t="n"/>
      <c r="I645" s="220" t="n"/>
      <c r="J645" s="108" t="n"/>
      <c r="K645" s="108" t="n"/>
      <c r="L645" s="109" t="n"/>
      <c r="M645" s="109" t="n"/>
      <c r="N645" s="109" t="n"/>
      <c r="O645" s="220" t="n"/>
      <c r="P645" s="227">
        <f>IF(OR($E645="",$I645=""),"",IF(OR($J645="Tamamlandı",$J645="İptal"),"",$I645-TODAY()))</f>
        <v/>
      </c>
      <c r="Q645" s="113">
        <f>IF($E645="","",IF($D645="TANIMSIZ MÜŞTERİ","HATA",IF(OR($J645="Tamamlandı",$J645="İptal"),"KAPALI",IF(AND($C645="Görüşme",$N645=""),"SONRAKİ İŞLEM EKSİK",IF($I645="","TARİH EKSİK",IF($I645&lt;TODAY(),"GECİKMİŞ",IF($I645=TODAY(),"BUGÜN",IF($I645&lt;=TODAY()+7,"7 GÜN İÇİNDE","PLANLI"))))))))</f>
        <v/>
      </c>
      <c r="R645" s="6" t="n"/>
      <c r="S645" s="6" t="n"/>
      <c r="T645" s="3" t="n"/>
      <c r="U645" s="3">
        <f>IF($E645="","",UPPER(SUBSTITUTE(SUBSTITUTE(SUBSTITUTE(SUBSTITUTE(SUBSTITUTE(SUBSTITUTE(SUBSTITUTE(SUBSTITUTE(SUBSTITUTE(SUBSTITUTE(SUBSTITUTE(SUBSTITUTE(SUBSTITUTE(SUBSTITUTE(SUBSTITUTE(SUBSTITUTE(SUBSTITUTE(SUBSTITUTE(TRIM($E645),"'",""),"İ","I"),"ı","I"),"i","I"),"Ş","S"),"ş","S"),"Ğ","G"),"ğ","G"),"Ü","U"),"ü","U"),"Ö","O"),"ö","O"),"Ç","C"),"ç","C"),".",""),",","")," ",""),"-","")))</f>
        <v/>
      </c>
    </row>
    <row r="646">
      <c r="A646" s="6" t="n"/>
      <c r="B646" s="113">
        <f>IF($E646="","","A"&amp;TEXT(ROW()-6,"00000"))</f>
        <v/>
      </c>
      <c r="C646" s="108" t="n"/>
      <c r="D646" s="113">
        <f>IF($E646="","",IFERROR(INDEX(MUSTERILER!$B$7:$B$106,MATCH($U646,MUSTERILER!$T$7:$T$106,0)),IFERROR(INDEX(MUSTERILER!$B$7:$B$106,MATCH($E646,MUSTERILER!$B$7:$B$106,0)),IFERROR(INDEX(MUSTERILER!$B$7:$B$106,MATCH($U646&amp;"*",MUSTERILER!$T$7:$T$106,0)),"TANIMSIZ MÜŞTERİ"))))</f>
        <v/>
      </c>
      <c r="E646" s="109" t="n"/>
      <c r="F646" s="109" t="n"/>
      <c r="G646" s="108" t="n"/>
      <c r="H646" s="220" t="n"/>
      <c r="I646" s="220" t="n"/>
      <c r="J646" s="108" t="n"/>
      <c r="K646" s="108" t="n"/>
      <c r="L646" s="109" t="n"/>
      <c r="M646" s="109" t="n"/>
      <c r="N646" s="109" t="n"/>
      <c r="O646" s="220" t="n"/>
      <c r="P646" s="227">
        <f>IF(OR($E646="",$I646=""),"",IF(OR($J646="Tamamlandı",$J646="İptal"),"",$I646-TODAY()))</f>
        <v/>
      </c>
      <c r="Q646" s="113">
        <f>IF($E646="","",IF($D646="TANIMSIZ MÜŞTERİ","HATA",IF(OR($J646="Tamamlandı",$J646="İptal"),"KAPALI",IF(AND($C646="Görüşme",$N646=""),"SONRAKİ İŞLEM EKSİK",IF($I646="","TARİH EKSİK",IF($I646&lt;TODAY(),"GECİKMİŞ",IF($I646=TODAY(),"BUGÜN",IF($I646&lt;=TODAY()+7,"7 GÜN İÇİNDE","PLANLI"))))))))</f>
        <v/>
      </c>
      <c r="R646" s="6" t="n"/>
      <c r="S646" s="6" t="n"/>
      <c r="T646" s="3" t="n"/>
      <c r="U646" s="3">
        <f>IF($E646="","",UPPER(SUBSTITUTE(SUBSTITUTE(SUBSTITUTE(SUBSTITUTE(SUBSTITUTE(SUBSTITUTE(SUBSTITUTE(SUBSTITUTE(SUBSTITUTE(SUBSTITUTE(SUBSTITUTE(SUBSTITUTE(SUBSTITUTE(SUBSTITUTE(SUBSTITUTE(SUBSTITUTE(SUBSTITUTE(SUBSTITUTE(TRIM($E646),"'",""),"İ","I"),"ı","I"),"i","I"),"Ş","S"),"ş","S"),"Ğ","G"),"ğ","G"),"Ü","U"),"ü","U"),"Ö","O"),"ö","O"),"Ç","C"),"ç","C"),".",""),",","")," ",""),"-","")))</f>
        <v/>
      </c>
    </row>
    <row r="647">
      <c r="A647" s="6" t="n"/>
      <c r="B647" s="113">
        <f>IF($E647="","","A"&amp;TEXT(ROW()-6,"00000"))</f>
        <v/>
      </c>
      <c r="C647" s="108" t="n"/>
      <c r="D647" s="113">
        <f>IF($E647="","",IFERROR(INDEX(MUSTERILER!$B$7:$B$106,MATCH($U647,MUSTERILER!$T$7:$T$106,0)),IFERROR(INDEX(MUSTERILER!$B$7:$B$106,MATCH($E647,MUSTERILER!$B$7:$B$106,0)),IFERROR(INDEX(MUSTERILER!$B$7:$B$106,MATCH($U647&amp;"*",MUSTERILER!$T$7:$T$106,0)),"TANIMSIZ MÜŞTERİ"))))</f>
        <v/>
      </c>
      <c r="E647" s="109" t="n"/>
      <c r="F647" s="109" t="n"/>
      <c r="G647" s="108" t="n"/>
      <c r="H647" s="220" t="n"/>
      <c r="I647" s="220" t="n"/>
      <c r="J647" s="108" t="n"/>
      <c r="K647" s="108" t="n"/>
      <c r="L647" s="109" t="n"/>
      <c r="M647" s="109" t="n"/>
      <c r="N647" s="109" t="n"/>
      <c r="O647" s="220" t="n"/>
      <c r="P647" s="227">
        <f>IF(OR($E647="",$I647=""),"",IF(OR($J647="Tamamlandı",$J647="İptal"),"",$I647-TODAY()))</f>
        <v/>
      </c>
      <c r="Q647" s="113">
        <f>IF($E647="","",IF($D647="TANIMSIZ MÜŞTERİ","HATA",IF(OR($J647="Tamamlandı",$J647="İptal"),"KAPALI",IF(AND($C647="Görüşme",$N647=""),"SONRAKİ İŞLEM EKSİK",IF($I647="","TARİH EKSİK",IF($I647&lt;TODAY(),"GECİKMİŞ",IF($I647=TODAY(),"BUGÜN",IF($I647&lt;=TODAY()+7,"7 GÜN İÇİNDE","PLANLI"))))))))</f>
        <v/>
      </c>
      <c r="R647" s="6" t="n"/>
      <c r="S647" s="6" t="n"/>
      <c r="T647" s="3" t="n"/>
      <c r="U647" s="3">
        <f>IF($E647="","",UPPER(SUBSTITUTE(SUBSTITUTE(SUBSTITUTE(SUBSTITUTE(SUBSTITUTE(SUBSTITUTE(SUBSTITUTE(SUBSTITUTE(SUBSTITUTE(SUBSTITUTE(SUBSTITUTE(SUBSTITUTE(SUBSTITUTE(SUBSTITUTE(SUBSTITUTE(SUBSTITUTE(SUBSTITUTE(SUBSTITUTE(TRIM($E647),"'",""),"İ","I"),"ı","I"),"i","I"),"Ş","S"),"ş","S"),"Ğ","G"),"ğ","G"),"Ü","U"),"ü","U"),"Ö","O"),"ö","O"),"Ç","C"),"ç","C"),".",""),",","")," ",""),"-","")))</f>
        <v/>
      </c>
    </row>
    <row r="648">
      <c r="A648" s="6" t="n"/>
      <c r="B648" s="113">
        <f>IF($E648="","","A"&amp;TEXT(ROW()-6,"00000"))</f>
        <v/>
      </c>
      <c r="C648" s="108" t="n"/>
      <c r="D648" s="113">
        <f>IF($E648="","",IFERROR(INDEX(MUSTERILER!$B$7:$B$106,MATCH($U648,MUSTERILER!$T$7:$T$106,0)),IFERROR(INDEX(MUSTERILER!$B$7:$B$106,MATCH($E648,MUSTERILER!$B$7:$B$106,0)),IFERROR(INDEX(MUSTERILER!$B$7:$B$106,MATCH($U648&amp;"*",MUSTERILER!$T$7:$T$106,0)),"TANIMSIZ MÜŞTERİ"))))</f>
        <v/>
      </c>
      <c r="E648" s="109" t="n"/>
      <c r="F648" s="109" t="n"/>
      <c r="G648" s="108" t="n"/>
      <c r="H648" s="220" t="n"/>
      <c r="I648" s="220" t="n"/>
      <c r="J648" s="108" t="n"/>
      <c r="K648" s="108" t="n"/>
      <c r="L648" s="109" t="n"/>
      <c r="M648" s="109" t="n"/>
      <c r="N648" s="109" t="n"/>
      <c r="O648" s="220" t="n"/>
      <c r="P648" s="227">
        <f>IF(OR($E648="",$I648=""),"",IF(OR($J648="Tamamlandı",$J648="İptal"),"",$I648-TODAY()))</f>
        <v/>
      </c>
      <c r="Q648" s="113">
        <f>IF($E648="","",IF($D648="TANIMSIZ MÜŞTERİ","HATA",IF(OR($J648="Tamamlandı",$J648="İptal"),"KAPALI",IF(AND($C648="Görüşme",$N648=""),"SONRAKİ İŞLEM EKSİK",IF($I648="","TARİH EKSİK",IF($I648&lt;TODAY(),"GECİKMİŞ",IF($I648=TODAY(),"BUGÜN",IF($I648&lt;=TODAY()+7,"7 GÜN İÇİNDE","PLANLI"))))))))</f>
        <v/>
      </c>
      <c r="R648" s="6" t="n"/>
      <c r="S648" s="6" t="n"/>
      <c r="T648" s="3" t="n"/>
      <c r="U648" s="3">
        <f>IF($E648="","",UPPER(SUBSTITUTE(SUBSTITUTE(SUBSTITUTE(SUBSTITUTE(SUBSTITUTE(SUBSTITUTE(SUBSTITUTE(SUBSTITUTE(SUBSTITUTE(SUBSTITUTE(SUBSTITUTE(SUBSTITUTE(SUBSTITUTE(SUBSTITUTE(SUBSTITUTE(SUBSTITUTE(SUBSTITUTE(SUBSTITUTE(TRIM($E648),"'",""),"İ","I"),"ı","I"),"i","I"),"Ş","S"),"ş","S"),"Ğ","G"),"ğ","G"),"Ü","U"),"ü","U"),"Ö","O"),"ö","O"),"Ç","C"),"ç","C"),".",""),",","")," ",""),"-","")))</f>
        <v/>
      </c>
    </row>
    <row r="649">
      <c r="A649" s="6" t="n"/>
      <c r="B649" s="113">
        <f>IF($E649="","","A"&amp;TEXT(ROW()-6,"00000"))</f>
        <v/>
      </c>
      <c r="C649" s="108" t="n"/>
      <c r="D649" s="113">
        <f>IF($E649="","",IFERROR(INDEX(MUSTERILER!$B$7:$B$106,MATCH($U649,MUSTERILER!$T$7:$T$106,0)),IFERROR(INDEX(MUSTERILER!$B$7:$B$106,MATCH($E649,MUSTERILER!$B$7:$B$106,0)),IFERROR(INDEX(MUSTERILER!$B$7:$B$106,MATCH($U649&amp;"*",MUSTERILER!$T$7:$T$106,0)),"TANIMSIZ MÜŞTERİ"))))</f>
        <v/>
      </c>
      <c r="E649" s="109" t="n"/>
      <c r="F649" s="109" t="n"/>
      <c r="G649" s="108" t="n"/>
      <c r="H649" s="220" t="n"/>
      <c r="I649" s="220" t="n"/>
      <c r="J649" s="108" t="n"/>
      <c r="K649" s="108" t="n"/>
      <c r="L649" s="109" t="n"/>
      <c r="M649" s="109" t="n"/>
      <c r="N649" s="109" t="n"/>
      <c r="O649" s="220" t="n"/>
      <c r="P649" s="227">
        <f>IF(OR($E649="",$I649=""),"",IF(OR($J649="Tamamlandı",$J649="İptal"),"",$I649-TODAY()))</f>
        <v/>
      </c>
      <c r="Q649" s="113">
        <f>IF($E649="","",IF($D649="TANIMSIZ MÜŞTERİ","HATA",IF(OR($J649="Tamamlandı",$J649="İptal"),"KAPALI",IF(AND($C649="Görüşme",$N649=""),"SONRAKİ İŞLEM EKSİK",IF($I649="","TARİH EKSİK",IF($I649&lt;TODAY(),"GECİKMİŞ",IF($I649=TODAY(),"BUGÜN",IF($I649&lt;=TODAY()+7,"7 GÜN İÇİNDE","PLANLI"))))))))</f>
        <v/>
      </c>
      <c r="R649" s="6" t="n"/>
      <c r="S649" s="6" t="n"/>
      <c r="T649" s="3" t="n"/>
      <c r="U649" s="3">
        <f>IF($E649="","",UPPER(SUBSTITUTE(SUBSTITUTE(SUBSTITUTE(SUBSTITUTE(SUBSTITUTE(SUBSTITUTE(SUBSTITUTE(SUBSTITUTE(SUBSTITUTE(SUBSTITUTE(SUBSTITUTE(SUBSTITUTE(SUBSTITUTE(SUBSTITUTE(SUBSTITUTE(SUBSTITUTE(SUBSTITUTE(SUBSTITUTE(TRIM($E649),"'",""),"İ","I"),"ı","I"),"i","I"),"Ş","S"),"ş","S"),"Ğ","G"),"ğ","G"),"Ü","U"),"ü","U"),"Ö","O"),"ö","O"),"Ç","C"),"ç","C"),".",""),",","")," ",""),"-","")))</f>
        <v/>
      </c>
    </row>
    <row r="650">
      <c r="A650" s="6" t="n"/>
      <c r="B650" s="113">
        <f>IF($E650="","","A"&amp;TEXT(ROW()-6,"00000"))</f>
        <v/>
      </c>
      <c r="C650" s="108" t="n"/>
      <c r="D650" s="113">
        <f>IF($E650="","",IFERROR(INDEX(MUSTERILER!$B$7:$B$106,MATCH($U650,MUSTERILER!$T$7:$T$106,0)),IFERROR(INDEX(MUSTERILER!$B$7:$B$106,MATCH($E650,MUSTERILER!$B$7:$B$106,0)),IFERROR(INDEX(MUSTERILER!$B$7:$B$106,MATCH($U650&amp;"*",MUSTERILER!$T$7:$T$106,0)),"TANIMSIZ MÜŞTERİ"))))</f>
        <v/>
      </c>
      <c r="E650" s="109" t="n"/>
      <c r="F650" s="109" t="n"/>
      <c r="G650" s="108" t="n"/>
      <c r="H650" s="220" t="n"/>
      <c r="I650" s="220" t="n"/>
      <c r="J650" s="108" t="n"/>
      <c r="K650" s="108" t="n"/>
      <c r="L650" s="109" t="n"/>
      <c r="M650" s="109" t="n"/>
      <c r="N650" s="109" t="n"/>
      <c r="O650" s="220" t="n"/>
      <c r="P650" s="227">
        <f>IF(OR($E650="",$I650=""),"",IF(OR($J650="Tamamlandı",$J650="İptal"),"",$I650-TODAY()))</f>
        <v/>
      </c>
      <c r="Q650" s="113">
        <f>IF($E650="","",IF($D650="TANIMSIZ MÜŞTERİ","HATA",IF(OR($J650="Tamamlandı",$J650="İptal"),"KAPALI",IF(AND($C650="Görüşme",$N650=""),"SONRAKİ İŞLEM EKSİK",IF($I650="","TARİH EKSİK",IF($I650&lt;TODAY(),"GECİKMİŞ",IF($I650=TODAY(),"BUGÜN",IF($I650&lt;=TODAY()+7,"7 GÜN İÇİNDE","PLANLI"))))))))</f>
        <v/>
      </c>
      <c r="R650" s="6" t="n"/>
      <c r="S650" s="6" t="n"/>
      <c r="T650" s="3" t="n"/>
      <c r="U650" s="3">
        <f>IF($E650="","",UPPER(SUBSTITUTE(SUBSTITUTE(SUBSTITUTE(SUBSTITUTE(SUBSTITUTE(SUBSTITUTE(SUBSTITUTE(SUBSTITUTE(SUBSTITUTE(SUBSTITUTE(SUBSTITUTE(SUBSTITUTE(SUBSTITUTE(SUBSTITUTE(SUBSTITUTE(SUBSTITUTE(SUBSTITUTE(SUBSTITUTE(TRIM($E650),"'",""),"İ","I"),"ı","I"),"i","I"),"Ş","S"),"ş","S"),"Ğ","G"),"ğ","G"),"Ü","U"),"ü","U"),"Ö","O"),"ö","O"),"Ç","C"),"ç","C"),".",""),",","")," ",""),"-","")))</f>
        <v/>
      </c>
    </row>
    <row r="651">
      <c r="A651" s="6" t="n"/>
      <c r="B651" s="113">
        <f>IF($E651="","","A"&amp;TEXT(ROW()-6,"00000"))</f>
        <v/>
      </c>
      <c r="C651" s="108" t="n"/>
      <c r="D651" s="113">
        <f>IF($E651="","",IFERROR(INDEX(MUSTERILER!$B$7:$B$106,MATCH($U651,MUSTERILER!$T$7:$T$106,0)),IFERROR(INDEX(MUSTERILER!$B$7:$B$106,MATCH($E651,MUSTERILER!$B$7:$B$106,0)),IFERROR(INDEX(MUSTERILER!$B$7:$B$106,MATCH($U651&amp;"*",MUSTERILER!$T$7:$T$106,0)),"TANIMSIZ MÜŞTERİ"))))</f>
        <v/>
      </c>
      <c r="E651" s="109" t="n"/>
      <c r="F651" s="109" t="n"/>
      <c r="G651" s="108" t="n"/>
      <c r="H651" s="220" t="n"/>
      <c r="I651" s="220" t="n"/>
      <c r="J651" s="108" t="n"/>
      <c r="K651" s="108" t="n"/>
      <c r="L651" s="109" t="n"/>
      <c r="M651" s="109" t="n"/>
      <c r="N651" s="109" t="n"/>
      <c r="O651" s="220" t="n"/>
      <c r="P651" s="227">
        <f>IF(OR($E651="",$I651=""),"",IF(OR($J651="Tamamlandı",$J651="İptal"),"",$I651-TODAY()))</f>
        <v/>
      </c>
      <c r="Q651" s="113">
        <f>IF($E651="","",IF($D651="TANIMSIZ MÜŞTERİ","HATA",IF(OR($J651="Tamamlandı",$J651="İptal"),"KAPALI",IF(AND($C651="Görüşme",$N651=""),"SONRAKİ İŞLEM EKSİK",IF($I651="","TARİH EKSİK",IF($I651&lt;TODAY(),"GECİKMİŞ",IF($I651=TODAY(),"BUGÜN",IF($I651&lt;=TODAY()+7,"7 GÜN İÇİNDE","PLANLI"))))))))</f>
        <v/>
      </c>
      <c r="R651" s="6" t="n"/>
      <c r="S651" s="6" t="n"/>
      <c r="T651" s="3" t="n"/>
      <c r="U651" s="3">
        <f>IF($E651="","",UPPER(SUBSTITUTE(SUBSTITUTE(SUBSTITUTE(SUBSTITUTE(SUBSTITUTE(SUBSTITUTE(SUBSTITUTE(SUBSTITUTE(SUBSTITUTE(SUBSTITUTE(SUBSTITUTE(SUBSTITUTE(SUBSTITUTE(SUBSTITUTE(SUBSTITUTE(SUBSTITUTE(SUBSTITUTE(SUBSTITUTE(TRIM($E651),"'",""),"İ","I"),"ı","I"),"i","I"),"Ş","S"),"ş","S"),"Ğ","G"),"ğ","G"),"Ü","U"),"ü","U"),"Ö","O"),"ö","O"),"Ç","C"),"ç","C"),".",""),",","")," ",""),"-","")))</f>
        <v/>
      </c>
    </row>
    <row r="652">
      <c r="A652" s="6" t="n"/>
      <c r="B652" s="113">
        <f>IF($E652="","","A"&amp;TEXT(ROW()-6,"00000"))</f>
        <v/>
      </c>
      <c r="C652" s="108" t="n"/>
      <c r="D652" s="113">
        <f>IF($E652="","",IFERROR(INDEX(MUSTERILER!$B$7:$B$106,MATCH($U652,MUSTERILER!$T$7:$T$106,0)),IFERROR(INDEX(MUSTERILER!$B$7:$B$106,MATCH($E652,MUSTERILER!$B$7:$B$106,0)),IFERROR(INDEX(MUSTERILER!$B$7:$B$106,MATCH($U652&amp;"*",MUSTERILER!$T$7:$T$106,0)),"TANIMSIZ MÜŞTERİ"))))</f>
        <v/>
      </c>
      <c r="E652" s="109" t="n"/>
      <c r="F652" s="109" t="n"/>
      <c r="G652" s="108" t="n"/>
      <c r="H652" s="220" t="n"/>
      <c r="I652" s="220" t="n"/>
      <c r="J652" s="108" t="n"/>
      <c r="K652" s="108" t="n"/>
      <c r="L652" s="109" t="n"/>
      <c r="M652" s="109" t="n"/>
      <c r="N652" s="109" t="n"/>
      <c r="O652" s="220" t="n"/>
      <c r="P652" s="227">
        <f>IF(OR($E652="",$I652=""),"",IF(OR($J652="Tamamlandı",$J652="İptal"),"",$I652-TODAY()))</f>
        <v/>
      </c>
      <c r="Q652" s="113">
        <f>IF($E652="","",IF($D652="TANIMSIZ MÜŞTERİ","HATA",IF(OR($J652="Tamamlandı",$J652="İptal"),"KAPALI",IF(AND($C652="Görüşme",$N652=""),"SONRAKİ İŞLEM EKSİK",IF($I652="","TARİH EKSİK",IF($I652&lt;TODAY(),"GECİKMİŞ",IF($I652=TODAY(),"BUGÜN",IF($I652&lt;=TODAY()+7,"7 GÜN İÇİNDE","PLANLI"))))))))</f>
        <v/>
      </c>
      <c r="R652" s="6" t="n"/>
      <c r="S652" s="6" t="n"/>
      <c r="T652" s="3" t="n"/>
      <c r="U652" s="3">
        <f>IF($E652="","",UPPER(SUBSTITUTE(SUBSTITUTE(SUBSTITUTE(SUBSTITUTE(SUBSTITUTE(SUBSTITUTE(SUBSTITUTE(SUBSTITUTE(SUBSTITUTE(SUBSTITUTE(SUBSTITUTE(SUBSTITUTE(SUBSTITUTE(SUBSTITUTE(SUBSTITUTE(SUBSTITUTE(SUBSTITUTE(SUBSTITUTE(TRIM($E652),"'",""),"İ","I"),"ı","I"),"i","I"),"Ş","S"),"ş","S"),"Ğ","G"),"ğ","G"),"Ü","U"),"ü","U"),"Ö","O"),"ö","O"),"Ç","C"),"ç","C"),".",""),",","")," ",""),"-","")))</f>
        <v/>
      </c>
    </row>
    <row r="653">
      <c r="A653" s="6" t="n"/>
      <c r="B653" s="113">
        <f>IF($E653="","","A"&amp;TEXT(ROW()-6,"00000"))</f>
        <v/>
      </c>
      <c r="C653" s="108" t="n"/>
      <c r="D653" s="113">
        <f>IF($E653="","",IFERROR(INDEX(MUSTERILER!$B$7:$B$106,MATCH($U653,MUSTERILER!$T$7:$T$106,0)),IFERROR(INDEX(MUSTERILER!$B$7:$B$106,MATCH($E653,MUSTERILER!$B$7:$B$106,0)),IFERROR(INDEX(MUSTERILER!$B$7:$B$106,MATCH($U653&amp;"*",MUSTERILER!$T$7:$T$106,0)),"TANIMSIZ MÜŞTERİ"))))</f>
        <v/>
      </c>
      <c r="E653" s="109" t="n"/>
      <c r="F653" s="109" t="n"/>
      <c r="G653" s="108" t="n"/>
      <c r="H653" s="220" t="n"/>
      <c r="I653" s="220" t="n"/>
      <c r="J653" s="108" t="n"/>
      <c r="K653" s="108" t="n"/>
      <c r="L653" s="109" t="n"/>
      <c r="M653" s="109" t="n"/>
      <c r="N653" s="109" t="n"/>
      <c r="O653" s="220" t="n"/>
      <c r="P653" s="227">
        <f>IF(OR($E653="",$I653=""),"",IF(OR($J653="Tamamlandı",$J653="İptal"),"",$I653-TODAY()))</f>
        <v/>
      </c>
      <c r="Q653" s="113">
        <f>IF($E653="","",IF($D653="TANIMSIZ MÜŞTERİ","HATA",IF(OR($J653="Tamamlandı",$J653="İptal"),"KAPALI",IF(AND($C653="Görüşme",$N653=""),"SONRAKİ İŞLEM EKSİK",IF($I653="","TARİH EKSİK",IF($I653&lt;TODAY(),"GECİKMİŞ",IF($I653=TODAY(),"BUGÜN",IF($I653&lt;=TODAY()+7,"7 GÜN İÇİNDE","PLANLI"))))))))</f>
        <v/>
      </c>
      <c r="R653" s="6" t="n"/>
      <c r="S653" s="6" t="n"/>
      <c r="T653" s="3" t="n"/>
      <c r="U653" s="3">
        <f>IF($E653="","",UPPER(SUBSTITUTE(SUBSTITUTE(SUBSTITUTE(SUBSTITUTE(SUBSTITUTE(SUBSTITUTE(SUBSTITUTE(SUBSTITUTE(SUBSTITUTE(SUBSTITUTE(SUBSTITUTE(SUBSTITUTE(SUBSTITUTE(SUBSTITUTE(SUBSTITUTE(SUBSTITUTE(SUBSTITUTE(SUBSTITUTE(TRIM($E653),"'",""),"İ","I"),"ı","I"),"i","I"),"Ş","S"),"ş","S"),"Ğ","G"),"ğ","G"),"Ü","U"),"ü","U"),"Ö","O"),"ö","O"),"Ç","C"),"ç","C"),".",""),",","")," ",""),"-","")))</f>
        <v/>
      </c>
    </row>
    <row r="654">
      <c r="A654" s="6" t="n"/>
      <c r="B654" s="113">
        <f>IF($E654="","","A"&amp;TEXT(ROW()-6,"00000"))</f>
        <v/>
      </c>
      <c r="C654" s="108" t="n"/>
      <c r="D654" s="113">
        <f>IF($E654="","",IFERROR(INDEX(MUSTERILER!$B$7:$B$106,MATCH($U654,MUSTERILER!$T$7:$T$106,0)),IFERROR(INDEX(MUSTERILER!$B$7:$B$106,MATCH($E654,MUSTERILER!$B$7:$B$106,0)),IFERROR(INDEX(MUSTERILER!$B$7:$B$106,MATCH($U654&amp;"*",MUSTERILER!$T$7:$T$106,0)),"TANIMSIZ MÜŞTERİ"))))</f>
        <v/>
      </c>
      <c r="E654" s="109" t="n"/>
      <c r="F654" s="109" t="n"/>
      <c r="G654" s="108" t="n"/>
      <c r="H654" s="220" t="n"/>
      <c r="I654" s="220" t="n"/>
      <c r="J654" s="108" t="n"/>
      <c r="K654" s="108" t="n"/>
      <c r="L654" s="109" t="n"/>
      <c r="M654" s="109" t="n"/>
      <c r="N654" s="109" t="n"/>
      <c r="O654" s="220" t="n"/>
      <c r="P654" s="227">
        <f>IF(OR($E654="",$I654=""),"",IF(OR($J654="Tamamlandı",$J654="İptal"),"",$I654-TODAY()))</f>
        <v/>
      </c>
      <c r="Q654" s="113">
        <f>IF($E654="","",IF($D654="TANIMSIZ MÜŞTERİ","HATA",IF(OR($J654="Tamamlandı",$J654="İptal"),"KAPALI",IF(AND($C654="Görüşme",$N654=""),"SONRAKİ İŞLEM EKSİK",IF($I654="","TARİH EKSİK",IF($I654&lt;TODAY(),"GECİKMİŞ",IF($I654=TODAY(),"BUGÜN",IF($I654&lt;=TODAY()+7,"7 GÜN İÇİNDE","PLANLI"))))))))</f>
        <v/>
      </c>
      <c r="R654" s="6" t="n"/>
      <c r="S654" s="6" t="n"/>
      <c r="T654" s="3" t="n"/>
      <c r="U654" s="3">
        <f>IF($E654="","",UPPER(SUBSTITUTE(SUBSTITUTE(SUBSTITUTE(SUBSTITUTE(SUBSTITUTE(SUBSTITUTE(SUBSTITUTE(SUBSTITUTE(SUBSTITUTE(SUBSTITUTE(SUBSTITUTE(SUBSTITUTE(SUBSTITUTE(SUBSTITUTE(SUBSTITUTE(SUBSTITUTE(SUBSTITUTE(SUBSTITUTE(TRIM($E654),"'",""),"İ","I"),"ı","I"),"i","I"),"Ş","S"),"ş","S"),"Ğ","G"),"ğ","G"),"Ü","U"),"ü","U"),"Ö","O"),"ö","O"),"Ç","C"),"ç","C"),".",""),",","")," ",""),"-","")))</f>
        <v/>
      </c>
    </row>
    <row r="655">
      <c r="A655" s="6" t="n"/>
      <c r="B655" s="113">
        <f>IF($E655="","","A"&amp;TEXT(ROW()-6,"00000"))</f>
        <v/>
      </c>
      <c r="C655" s="108" t="n"/>
      <c r="D655" s="113">
        <f>IF($E655="","",IFERROR(INDEX(MUSTERILER!$B$7:$B$106,MATCH($U655,MUSTERILER!$T$7:$T$106,0)),IFERROR(INDEX(MUSTERILER!$B$7:$B$106,MATCH($E655,MUSTERILER!$B$7:$B$106,0)),IFERROR(INDEX(MUSTERILER!$B$7:$B$106,MATCH($U655&amp;"*",MUSTERILER!$T$7:$T$106,0)),"TANIMSIZ MÜŞTERİ"))))</f>
        <v/>
      </c>
      <c r="E655" s="109" t="n"/>
      <c r="F655" s="109" t="n"/>
      <c r="G655" s="108" t="n"/>
      <c r="H655" s="220" t="n"/>
      <c r="I655" s="220" t="n"/>
      <c r="J655" s="108" t="n"/>
      <c r="K655" s="108" t="n"/>
      <c r="L655" s="109" t="n"/>
      <c r="M655" s="109" t="n"/>
      <c r="N655" s="109" t="n"/>
      <c r="O655" s="220" t="n"/>
      <c r="P655" s="227">
        <f>IF(OR($E655="",$I655=""),"",IF(OR($J655="Tamamlandı",$J655="İptal"),"",$I655-TODAY()))</f>
        <v/>
      </c>
      <c r="Q655" s="113">
        <f>IF($E655="","",IF($D655="TANIMSIZ MÜŞTERİ","HATA",IF(OR($J655="Tamamlandı",$J655="İptal"),"KAPALI",IF(AND($C655="Görüşme",$N655=""),"SONRAKİ İŞLEM EKSİK",IF($I655="","TARİH EKSİK",IF($I655&lt;TODAY(),"GECİKMİŞ",IF($I655=TODAY(),"BUGÜN",IF($I655&lt;=TODAY()+7,"7 GÜN İÇİNDE","PLANLI"))))))))</f>
        <v/>
      </c>
      <c r="R655" s="6" t="n"/>
      <c r="S655" s="6" t="n"/>
      <c r="T655" s="3" t="n"/>
      <c r="U655" s="3">
        <f>IF($E655="","",UPPER(SUBSTITUTE(SUBSTITUTE(SUBSTITUTE(SUBSTITUTE(SUBSTITUTE(SUBSTITUTE(SUBSTITUTE(SUBSTITUTE(SUBSTITUTE(SUBSTITUTE(SUBSTITUTE(SUBSTITUTE(SUBSTITUTE(SUBSTITUTE(SUBSTITUTE(SUBSTITUTE(SUBSTITUTE(SUBSTITUTE(TRIM($E655),"'",""),"İ","I"),"ı","I"),"i","I"),"Ş","S"),"ş","S"),"Ğ","G"),"ğ","G"),"Ü","U"),"ü","U"),"Ö","O"),"ö","O"),"Ç","C"),"ç","C"),".",""),",","")," ",""),"-","")))</f>
        <v/>
      </c>
    </row>
    <row r="656">
      <c r="A656" s="6" t="n"/>
      <c r="B656" s="113">
        <f>IF($E656="","","A"&amp;TEXT(ROW()-6,"00000"))</f>
        <v/>
      </c>
      <c r="C656" s="108" t="n"/>
      <c r="D656" s="113">
        <f>IF($E656="","",IFERROR(INDEX(MUSTERILER!$B$7:$B$106,MATCH($U656,MUSTERILER!$T$7:$T$106,0)),IFERROR(INDEX(MUSTERILER!$B$7:$B$106,MATCH($E656,MUSTERILER!$B$7:$B$106,0)),IFERROR(INDEX(MUSTERILER!$B$7:$B$106,MATCH($U656&amp;"*",MUSTERILER!$T$7:$T$106,0)),"TANIMSIZ MÜŞTERİ"))))</f>
        <v/>
      </c>
      <c r="E656" s="109" t="n"/>
      <c r="F656" s="109" t="n"/>
      <c r="G656" s="108" t="n"/>
      <c r="H656" s="220" t="n"/>
      <c r="I656" s="220" t="n"/>
      <c r="J656" s="108" t="n"/>
      <c r="K656" s="108" t="n"/>
      <c r="L656" s="109" t="n"/>
      <c r="M656" s="109" t="n"/>
      <c r="N656" s="109" t="n"/>
      <c r="O656" s="220" t="n"/>
      <c r="P656" s="227">
        <f>IF(OR($E656="",$I656=""),"",IF(OR($J656="Tamamlandı",$J656="İptal"),"",$I656-TODAY()))</f>
        <v/>
      </c>
      <c r="Q656" s="113">
        <f>IF($E656="","",IF($D656="TANIMSIZ MÜŞTERİ","HATA",IF(OR($J656="Tamamlandı",$J656="İptal"),"KAPALI",IF(AND($C656="Görüşme",$N656=""),"SONRAKİ İŞLEM EKSİK",IF($I656="","TARİH EKSİK",IF($I656&lt;TODAY(),"GECİKMİŞ",IF($I656=TODAY(),"BUGÜN",IF($I656&lt;=TODAY()+7,"7 GÜN İÇİNDE","PLANLI"))))))))</f>
        <v/>
      </c>
      <c r="R656" s="6" t="n"/>
      <c r="S656" s="6" t="n"/>
      <c r="T656" s="3" t="n"/>
      <c r="U656" s="3">
        <f>IF($E656="","",UPPER(SUBSTITUTE(SUBSTITUTE(SUBSTITUTE(SUBSTITUTE(SUBSTITUTE(SUBSTITUTE(SUBSTITUTE(SUBSTITUTE(SUBSTITUTE(SUBSTITUTE(SUBSTITUTE(SUBSTITUTE(SUBSTITUTE(SUBSTITUTE(SUBSTITUTE(SUBSTITUTE(SUBSTITUTE(SUBSTITUTE(TRIM($E656),"'",""),"İ","I"),"ı","I"),"i","I"),"Ş","S"),"ş","S"),"Ğ","G"),"ğ","G"),"Ü","U"),"ü","U"),"Ö","O"),"ö","O"),"Ç","C"),"ç","C"),".",""),",","")," ",""),"-","")))</f>
        <v/>
      </c>
    </row>
    <row r="657">
      <c r="A657" s="6" t="n"/>
      <c r="B657" s="113">
        <f>IF($E657="","","A"&amp;TEXT(ROW()-6,"00000"))</f>
        <v/>
      </c>
      <c r="C657" s="108" t="n"/>
      <c r="D657" s="113">
        <f>IF($E657="","",IFERROR(INDEX(MUSTERILER!$B$7:$B$106,MATCH($U657,MUSTERILER!$T$7:$T$106,0)),IFERROR(INDEX(MUSTERILER!$B$7:$B$106,MATCH($E657,MUSTERILER!$B$7:$B$106,0)),IFERROR(INDEX(MUSTERILER!$B$7:$B$106,MATCH($U657&amp;"*",MUSTERILER!$T$7:$T$106,0)),"TANIMSIZ MÜŞTERİ"))))</f>
        <v/>
      </c>
      <c r="E657" s="109" t="n"/>
      <c r="F657" s="109" t="n"/>
      <c r="G657" s="108" t="n"/>
      <c r="H657" s="220" t="n"/>
      <c r="I657" s="220" t="n"/>
      <c r="J657" s="108" t="n"/>
      <c r="K657" s="108" t="n"/>
      <c r="L657" s="109" t="n"/>
      <c r="M657" s="109" t="n"/>
      <c r="N657" s="109" t="n"/>
      <c r="O657" s="220" t="n"/>
      <c r="P657" s="227">
        <f>IF(OR($E657="",$I657=""),"",IF(OR($J657="Tamamlandı",$J657="İptal"),"",$I657-TODAY()))</f>
        <v/>
      </c>
      <c r="Q657" s="113">
        <f>IF($E657="","",IF($D657="TANIMSIZ MÜŞTERİ","HATA",IF(OR($J657="Tamamlandı",$J657="İptal"),"KAPALI",IF(AND($C657="Görüşme",$N657=""),"SONRAKİ İŞLEM EKSİK",IF($I657="","TARİH EKSİK",IF($I657&lt;TODAY(),"GECİKMİŞ",IF($I657=TODAY(),"BUGÜN",IF($I657&lt;=TODAY()+7,"7 GÜN İÇİNDE","PLANLI"))))))))</f>
        <v/>
      </c>
      <c r="R657" s="6" t="n"/>
      <c r="S657" s="6" t="n"/>
      <c r="T657" s="3" t="n"/>
      <c r="U657" s="3">
        <f>IF($E657="","",UPPER(SUBSTITUTE(SUBSTITUTE(SUBSTITUTE(SUBSTITUTE(SUBSTITUTE(SUBSTITUTE(SUBSTITUTE(SUBSTITUTE(SUBSTITUTE(SUBSTITUTE(SUBSTITUTE(SUBSTITUTE(SUBSTITUTE(SUBSTITUTE(SUBSTITUTE(SUBSTITUTE(SUBSTITUTE(SUBSTITUTE(TRIM($E657),"'",""),"İ","I"),"ı","I"),"i","I"),"Ş","S"),"ş","S"),"Ğ","G"),"ğ","G"),"Ü","U"),"ü","U"),"Ö","O"),"ö","O"),"Ç","C"),"ç","C"),".",""),",","")," ",""),"-","")))</f>
        <v/>
      </c>
    </row>
    <row r="658">
      <c r="A658" s="6" t="n"/>
      <c r="B658" s="113">
        <f>IF($E658="","","A"&amp;TEXT(ROW()-6,"00000"))</f>
        <v/>
      </c>
      <c r="C658" s="108" t="n"/>
      <c r="D658" s="113">
        <f>IF($E658="","",IFERROR(INDEX(MUSTERILER!$B$7:$B$106,MATCH($U658,MUSTERILER!$T$7:$T$106,0)),IFERROR(INDEX(MUSTERILER!$B$7:$B$106,MATCH($E658,MUSTERILER!$B$7:$B$106,0)),IFERROR(INDEX(MUSTERILER!$B$7:$B$106,MATCH($U658&amp;"*",MUSTERILER!$T$7:$T$106,0)),"TANIMSIZ MÜŞTERİ"))))</f>
        <v/>
      </c>
      <c r="E658" s="109" t="n"/>
      <c r="F658" s="109" t="n"/>
      <c r="G658" s="108" t="n"/>
      <c r="H658" s="220" t="n"/>
      <c r="I658" s="220" t="n"/>
      <c r="J658" s="108" t="n"/>
      <c r="K658" s="108" t="n"/>
      <c r="L658" s="109" t="n"/>
      <c r="M658" s="109" t="n"/>
      <c r="N658" s="109" t="n"/>
      <c r="O658" s="220" t="n"/>
      <c r="P658" s="227">
        <f>IF(OR($E658="",$I658=""),"",IF(OR($J658="Tamamlandı",$J658="İptal"),"",$I658-TODAY()))</f>
        <v/>
      </c>
      <c r="Q658" s="113">
        <f>IF($E658="","",IF($D658="TANIMSIZ MÜŞTERİ","HATA",IF(OR($J658="Tamamlandı",$J658="İptal"),"KAPALI",IF(AND($C658="Görüşme",$N658=""),"SONRAKİ İŞLEM EKSİK",IF($I658="","TARİH EKSİK",IF($I658&lt;TODAY(),"GECİKMİŞ",IF($I658=TODAY(),"BUGÜN",IF($I658&lt;=TODAY()+7,"7 GÜN İÇİNDE","PLANLI"))))))))</f>
        <v/>
      </c>
      <c r="R658" s="6" t="n"/>
      <c r="S658" s="6" t="n"/>
      <c r="T658" s="3" t="n"/>
      <c r="U658" s="3">
        <f>IF($E658="","",UPPER(SUBSTITUTE(SUBSTITUTE(SUBSTITUTE(SUBSTITUTE(SUBSTITUTE(SUBSTITUTE(SUBSTITUTE(SUBSTITUTE(SUBSTITUTE(SUBSTITUTE(SUBSTITUTE(SUBSTITUTE(SUBSTITUTE(SUBSTITUTE(SUBSTITUTE(SUBSTITUTE(SUBSTITUTE(SUBSTITUTE(TRIM($E658),"'",""),"İ","I"),"ı","I"),"i","I"),"Ş","S"),"ş","S"),"Ğ","G"),"ğ","G"),"Ü","U"),"ü","U"),"Ö","O"),"ö","O"),"Ç","C"),"ç","C"),".",""),",","")," ",""),"-","")))</f>
        <v/>
      </c>
    </row>
    <row r="659">
      <c r="A659" s="6" t="n"/>
      <c r="B659" s="113">
        <f>IF($E659="","","A"&amp;TEXT(ROW()-6,"00000"))</f>
        <v/>
      </c>
      <c r="C659" s="108" t="n"/>
      <c r="D659" s="113">
        <f>IF($E659="","",IFERROR(INDEX(MUSTERILER!$B$7:$B$106,MATCH($U659,MUSTERILER!$T$7:$T$106,0)),IFERROR(INDEX(MUSTERILER!$B$7:$B$106,MATCH($E659,MUSTERILER!$B$7:$B$106,0)),IFERROR(INDEX(MUSTERILER!$B$7:$B$106,MATCH($U659&amp;"*",MUSTERILER!$T$7:$T$106,0)),"TANIMSIZ MÜŞTERİ"))))</f>
        <v/>
      </c>
      <c r="E659" s="109" t="n"/>
      <c r="F659" s="109" t="n"/>
      <c r="G659" s="108" t="n"/>
      <c r="H659" s="220" t="n"/>
      <c r="I659" s="220" t="n"/>
      <c r="J659" s="108" t="n"/>
      <c r="K659" s="108" t="n"/>
      <c r="L659" s="109" t="n"/>
      <c r="M659" s="109" t="n"/>
      <c r="N659" s="109" t="n"/>
      <c r="O659" s="220" t="n"/>
      <c r="P659" s="227">
        <f>IF(OR($E659="",$I659=""),"",IF(OR($J659="Tamamlandı",$J659="İptal"),"",$I659-TODAY()))</f>
        <v/>
      </c>
      <c r="Q659" s="113">
        <f>IF($E659="","",IF($D659="TANIMSIZ MÜŞTERİ","HATA",IF(OR($J659="Tamamlandı",$J659="İptal"),"KAPALI",IF(AND($C659="Görüşme",$N659=""),"SONRAKİ İŞLEM EKSİK",IF($I659="","TARİH EKSİK",IF($I659&lt;TODAY(),"GECİKMİŞ",IF($I659=TODAY(),"BUGÜN",IF($I659&lt;=TODAY()+7,"7 GÜN İÇİNDE","PLANLI"))))))))</f>
        <v/>
      </c>
      <c r="R659" s="6" t="n"/>
      <c r="S659" s="6" t="n"/>
      <c r="T659" s="3" t="n"/>
      <c r="U659" s="3">
        <f>IF($E659="","",UPPER(SUBSTITUTE(SUBSTITUTE(SUBSTITUTE(SUBSTITUTE(SUBSTITUTE(SUBSTITUTE(SUBSTITUTE(SUBSTITUTE(SUBSTITUTE(SUBSTITUTE(SUBSTITUTE(SUBSTITUTE(SUBSTITUTE(SUBSTITUTE(SUBSTITUTE(SUBSTITUTE(SUBSTITUTE(SUBSTITUTE(TRIM($E659),"'",""),"İ","I"),"ı","I"),"i","I"),"Ş","S"),"ş","S"),"Ğ","G"),"ğ","G"),"Ü","U"),"ü","U"),"Ö","O"),"ö","O"),"Ç","C"),"ç","C"),".",""),",","")," ",""),"-","")))</f>
        <v/>
      </c>
    </row>
    <row r="660">
      <c r="A660" s="6" t="n"/>
      <c r="B660" s="113">
        <f>IF($E660="","","A"&amp;TEXT(ROW()-6,"00000"))</f>
        <v/>
      </c>
      <c r="C660" s="108" t="n"/>
      <c r="D660" s="113">
        <f>IF($E660="","",IFERROR(INDEX(MUSTERILER!$B$7:$B$106,MATCH($U660,MUSTERILER!$T$7:$T$106,0)),IFERROR(INDEX(MUSTERILER!$B$7:$B$106,MATCH($E660,MUSTERILER!$B$7:$B$106,0)),IFERROR(INDEX(MUSTERILER!$B$7:$B$106,MATCH($U660&amp;"*",MUSTERILER!$T$7:$T$106,0)),"TANIMSIZ MÜŞTERİ"))))</f>
        <v/>
      </c>
      <c r="E660" s="109" t="n"/>
      <c r="F660" s="109" t="n"/>
      <c r="G660" s="108" t="n"/>
      <c r="H660" s="220" t="n"/>
      <c r="I660" s="220" t="n"/>
      <c r="J660" s="108" t="n"/>
      <c r="K660" s="108" t="n"/>
      <c r="L660" s="109" t="n"/>
      <c r="M660" s="109" t="n"/>
      <c r="N660" s="109" t="n"/>
      <c r="O660" s="220" t="n"/>
      <c r="P660" s="227">
        <f>IF(OR($E660="",$I660=""),"",IF(OR($J660="Tamamlandı",$J660="İptal"),"",$I660-TODAY()))</f>
        <v/>
      </c>
      <c r="Q660" s="113">
        <f>IF($E660="","",IF($D660="TANIMSIZ MÜŞTERİ","HATA",IF(OR($J660="Tamamlandı",$J660="İptal"),"KAPALI",IF(AND($C660="Görüşme",$N660=""),"SONRAKİ İŞLEM EKSİK",IF($I660="","TARİH EKSİK",IF($I660&lt;TODAY(),"GECİKMİŞ",IF($I660=TODAY(),"BUGÜN",IF($I660&lt;=TODAY()+7,"7 GÜN İÇİNDE","PLANLI"))))))))</f>
        <v/>
      </c>
      <c r="R660" s="6" t="n"/>
      <c r="S660" s="6" t="n"/>
      <c r="T660" s="3" t="n"/>
      <c r="U660" s="3">
        <f>IF($E660="","",UPPER(SUBSTITUTE(SUBSTITUTE(SUBSTITUTE(SUBSTITUTE(SUBSTITUTE(SUBSTITUTE(SUBSTITUTE(SUBSTITUTE(SUBSTITUTE(SUBSTITUTE(SUBSTITUTE(SUBSTITUTE(SUBSTITUTE(SUBSTITUTE(SUBSTITUTE(SUBSTITUTE(SUBSTITUTE(SUBSTITUTE(TRIM($E660),"'",""),"İ","I"),"ı","I"),"i","I"),"Ş","S"),"ş","S"),"Ğ","G"),"ğ","G"),"Ü","U"),"ü","U"),"Ö","O"),"ö","O"),"Ç","C"),"ç","C"),".",""),",","")," ",""),"-","")))</f>
        <v/>
      </c>
    </row>
    <row r="661">
      <c r="A661" s="6" t="n"/>
      <c r="B661" s="113">
        <f>IF($E661="","","A"&amp;TEXT(ROW()-6,"00000"))</f>
        <v/>
      </c>
      <c r="C661" s="108" t="n"/>
      <c r="D661" s="113">
        <f>IF($E661="","",IFERROR(INDEX(MUSTERILER!$B$7:$B$106,MATCH($U661,MUSTERILER!$T$7:$T$106,0)),IFERROR(INDEX(MUSTERILER!$B$7:$B$106,MATCH($E661,MUSTERILER!$B$7:$B$106,0)),IFERROR(INDEX(MUSTERILER!$B$7:$B$106,MATCH($U661&amp;"*",MUSTERILER!$T$7:$T$106,0)),"TANIMSIZ MÜŞTERİ"))))</f>
        <v/>
      </c>
      <c r="E661" s="109" t="n"/>
      <c r="F661" s="109" t="n"/>
      <c r="G661" s="108" t="n"/>
      <c r="H661" s="220" t="n"/>
      <c r="I661" s="220" t="n"/>
      <c r="J661" s="108" t="n"/>
      <c r="K661" s="108" t="n"/>
      <c r="L661" s="109" t="n"/>
      <c r="M661" s="109" t="n"/>
      <c r="N661" s="109" t="n"/>
      <c r="O661" s="220" t="n"/>
      <c r="P661" s="227">
        <f>IF(OR($E661="",$I661=""),"",IF(OR($J661="Tamamlandı",$J661="İptal"),"",$I661-TODAY()))</f>
        <v/>
      </c>
      <c r="Q661" s="113">
        <f>IF($E661="","",IF($D661="TANIMSIZ MÜŞTERİ","HATA",IF(OR($J661="Tamamlandı",$J661="İptal"),"KAPALI",IF(AND($C661="Görüşme",$N661=""),"SONRAKİ İŞLEM EKSİK",IF($I661="","TARİH EKSİK",IF($I661&lt;TODAY(),"GECİKMİŞ",IF($I661=TODAY(),"BUGÜN",IF($I661&lt;=TODAY()+7,"7 GÜN İÇİNDE","PLANLI"))))))))</f>
        <v/>
      </c>
      <c r="R661" s="6" t="n"/>
      <c r="S661" s="6" t="n"/>
      <c r="T661" s="3" t="n"/>
      <c r="U661" s="3">
        <f>IF($E661="","",UPPER(SUBSTITUTE(SUBSTITUTE(SUBSTITUTE(SUBSTITUTE(SUBSTITUTE(SUBSTITUTE(SUBSTITUTE(SUBSTITUTE(SUBSTITUTE(SUBSTITUTE(SUBSTITUTE(SUBSTITUTE(SUBSTITUTE(SUBSTITUTE(SUBSTITUTE(SUBSTITUTE(SUBSTITUTE(SUBSTITUTE(TRIM($E661),"'",""),"İ","I"),"ı","I"),"i","I"),"Ş","S"),"ş","S"),"Ğ","G"),"ğ","G"),"Ü","U"),"ü","U"),"Ö","O"),"ö","O"),"Ç","C"),"ç","C"),".",""),",","")," ",""),"-","")))</f>
        <v/>
      </c>
    </row>
    <row r="662">
      <c r="A662" s="6" t="n"/>
      <c r="B662" s="113">
        <f>IF($E662="","","A"&amp;TEXT(ROW()-6,"00000"))</f>
        <v/>
      </c>
      <c r="C662" s="108" t="n"/>
      <c r="D662" s="113">
        <f>IF($E662="","",IFERROR(INDEX(MUSTERILER!$B$7:$B$106,MATCH($U662,MUSTERILER!$T$7:$T$106,0)),IFERROR(INDEX(MUSTERILER!$B$7:$B$106,MATCH($E662,MUSTERILER!$B$7:$B$106,0)),IFERROR(INDEX(MUSTERILER!$B$7:$B$106,MATCH($U662&amp;"*",MUSTERILER!$T$7:$T$106,0)),"TANIMSIZ MÜŞTERİ"))))</f>
        <v/>
      </c>
      <c r="E662" s="109" t="n"/>
      <c r="F662" s="109" t="n"/>
      <c r="G662" s="108" t="n"/>
      <c r="H662" s="220" t="n"/>
      <c r="I662" s="220" t="n"/>
      <c r="J662" s="108" t="n"/>
      <c r="K662" s="108" t="n"/>
      <c r="L662" s="109" t="n"/>
      <c r="M662" s="109" t="n"/>
      <c r="N662" s="109" t="n"/>
      <c r="O662" s="220" t="n"/>
      <c r="P662" s="227">
        <f>IF(OR($E662="",$I662=""),"",IF(OR($J662="Tamamlandı",$J662="İptal"),"",$I662-TODAY()))</f>
        <v/>
      </c>
      <c r="Q662" s="113">
        <f>IF($E662="","",IF($D662="TANIMSIZ MÜŞTERİ","HATA",IF(OR($J662="Tamamlandı",$J662="İptal"),"KAPALI",IF(AND($C662="Görüşme",$N662=""),"SONRAKİ İŞLEM EKSİK",IF($I662="","TARİH EKSİK",IF($I662&lt;TODAY(),"GECİKMİŞ",IF($I662=TODAY(),"BUGÜN",IF($I662&lt;=TODAY()+7,"7 GÜN İÇİNDE","PLANLI"))))))))</f>
        <v/>
      </c>
      <c r="R662" s="6" t="n"/>
      <c r="S662" s="6" t="n"/>
      <c r="T662" s="3" t="n"/>
      <c r="U662" s="3">
        <f>IF($E662="","",UPPER(SUBSTITUTE(SUBSTITUTE(SUBSTITUTE(SUBSTITUTE(SUBSTITUTE(SUBSTITUTE(SUBSTITUTE(SUBSTITUTE(SUBSTITUTE(SUBSTITUTE(SUBSTITUTE(SUBSTITUTE(SUBSTITUTE(SUBSTITUTE(SUBSTITUTE(SUBSTITUTE(SUBSTITUTE(SUBSTITUTE(TRIM($E662),"'",""),"İ","I"),"ı","I"),"i","I"),"Ş","S"),"ş","S"),"Ğ","G"),"ğ","G"),"Ü","U"),"ü","U"),"Ö","O"),"ö","O"),"Ç","C"),"ç","C"),".",""),",","")," ",""),"-","")))</f>
        <v/>
      </c>
    </row>
    <row r="663">
      <c r="A663" s="6" t="n"/>
      <c r="B663" s="113">
        <f>IF($E663="","","A"&amp;TEXT(ROW()-6,"00000"))</f>
        <v/>
      </c>
      <c r="C663" s="108" t="n"/>
      <c r="D663" s="113">
        <f>IF($E663="","",IFERROR(INDEX(MUSTERILER!$B$7:$B$106,MATCH($U663,MUSTERILER!$T$7:$T$106,0)),IFERROR(INDEX(MUSTERILER!$B$7:$B$106,MATCH($E663,MUSTERILER!$B$7:$B$106,0)),IFERROR(INDEX(MUSTERILER!$B$7:$B$106,MATCH($U663&amp;"*",MUSTERILER!$T$7:$T$106,0)),"TANIMSIZ MÜŞTERİ"))))</f>
        <v/>
      </c>
      <c r="E663" s="109" t="n"/>
      <c r="F663" s="109" t="n"/>
      <c r="G663" s="108" t="n"/>
      <c r="H663" s="220" t="n"/>
      <c r="I663" s="220" t="n"/>
      <c r="J663" s="108" t="n"/>
      <c r="K663" s="108" t="n"/>
      <c r="L663" s="109" t="n"/>
      <c r="M663" s="109" t="n"/>
      <c r="N663" s="109" t="n"/>
      <c r="O663" s="220" t="n"/>
      <c r="P663" s="227">
        <f>IF(OR($E663="",$I663=""),"",IF(OR($J663="Tamamlandı",$J663="İptal"),"",$I663-TODAY()))</f>
        <v/>
      </c>
      <c r="Q663" s="113">
        <f>IF($E663="","",IF($D663="TANIMSIZ MÜŞTERİ","HATA",IF(OR($J663="Tamamlandı",$J663="İptal"),"KAPALI",IF(AND($C663="Görüşme",$N663=""),"SONRAKİ İŞLEM EKSİK",IF($I663="","TARİH EKSİK",IF($I663&lt;TODAY(),"GECİKMİŞ",IF($I663=TODAY(),"BUGÜN",IF($I663&lt;=TODAY()+7,"7 GÜN İÇİNDE","PLANLI"))))))))</f>
        <v/>
      </c>
      <c r="R663" s="6" t="n"/>
      <c r="S663" s="6" t="n"/>
      <c r="T663" s="3" t="n"/>
      <c r="U663" s="3">
        <f>IF($E663="","",UPPER(SUBSTITUTE(SUBSTITUTE(SUBSTITUTE(SUBSTITUTE(SUBSTITUTE(SUBSTITUTE(SUBSTITUTE(SUBSTITUTE(SUBSTITUTE(SUBSTITUTE(SUBSTITUTE(SUBSTITUTE(SUBSTITUTE(SUBSTITUTE(SUBSTITUTE(SUBSTITUTE(SUBSTITUTE(SUBSTITUTE(TRIM($E663),"'",""),"İ","I"),"ı","I"),"i","I"),"Ş","S"),"ş","S"),"Ğ","G"),"ğ","G"),"Ü","U"),"ü","U"),"Ö","O"),"ö","O"),"Ç","C"),"ç","C"),".",""),",","")," ",""),"-","")))</f>
        <v/>
      </c>
    </row>
    <row r="664">
      <c r="A664" s="6" t="n"/>
      <c r="B664" s="113">
        <f>IF($E664="","","A"&amp;TEXT(ROW()-6,"00000"))</f>
        <v/>
      </c>
      <c r="C664" s="108" t="n"/>
      <c r="D664" s="113">
        <f>IF($E664="","",IFERROR(INDEX(MUSTERILER!$B$7:$B$106,MATCH($U664,MUSTERILER!$T$7:$T$106,0)),IFERROR(INDEX(MUSTERILER!$B$7:$B$106,MATCH($E664,MUSTERILER!$B$7:$B$106,0)),IFERROR(INDEX(MUSTERILER!$B$7:$B$106,MATCH($U664&amp;"*",MUSTERILER!$T$7:$T$106,0)),"TANIMSIZ MÜŞTERİ"))))</f>
        <v/>
      </c>
      <c r="E664" s="109" t="n"/>
      <c r="F664" s="109" t="n"/>
      <c r="G664" s="108" t="n"/>
      <c r="H664" s="220" t="n"/>
      <c r="I664" s="220" t="n"/>
      <c r="J664" s="108" t="n"/>
      <c r="K664" s="108" t="n"/>
      <c r="L664" s="109" t="n"/>
      <c r="M664" s="109" t="n"/>
      <c r="N664" s="109" t="n"/>
      <c r="O664" s="220" t="n"/>
      <c r="P664" s="227">
        <f>IF(OR($E664="",$I664=""),"",IF(OR($J664="Tamamlandı",$J664="İptal"),"",$I664-TODAY()))</f>
        <v/>
      </c>
      <c r="Q664" s="113">
        <f>IF($E664="","",IF($D664="TANIMSIZ MÜŞTERİ","HATA",IF(OR($J664="Tamamlandı",$J664="İptal"),"KAPALI",IF(AND($C664="Görüşme",$N664=""),"SONRAKİ İŞLEM EKSİK",IF($I664="","TARİH EKSİK",IF($I664&lt;TODAY(),"GECİKMİŞ",IF($I664=TODAY(),"BUGÜN",IF($I664&lt;=TODAY()+7,"7 GÜN İÇİNDE","PLANLI"))))))))</f>
        <v/>
      </c>
      <c r="R664" s="6" t="n"/>
      <c r="S664" s="6" t="n"/>
      <c r="T664" s="3" t="n"/>
      <c r="U664" s="3">
        <f>IF($E664="","",UPPER(SUBSTITUTE(SUBSTITUTE(SUBSTITUTE(SUBSTITUTE(SUBSTITUTE(SUBSTITUTE(SUBSTITUTE(SUBSTITUTE(SUBSTITUTE(SUBSTITUTE(SUBSTITUTE(SUBSTITUTE(SUBSTITUTE(SUBSTITUTE(SUBSTITUTE(SUBSTITUTE(SUBSTITUTE(SUBSTITUTE(TRIM($E664),"'",""),"İ","I"),"ı","I"),"i","I"),"Ş","S"),"ş","S"),"Ğ","G"),"ğ","G"),"Ü","U"),"ü","U"),"Ö","O"),"ö","O"),"Ç","C"),"ç","C"),".",""),",","")," ",""),"-","")))</f>
        <v/>
      </c>
    </row>
    <row r="665">
      <c r="A665" s="6" t="n"/>
      <c r="B665" s="113">
        <f>IF($E665="","","A"&amp;TEXT(ROW()-6,"00000"))</f>
        <v/>
      </c>
      <c r="C665" s="108" t="n"/>
      <c r="D665" s="113">
        <f>IF($E665="","",IFERROR(INDEX(MUSTERILER!$B$7:$B$106,MATCH($U665,MUSTERILER!$T$7:$T$106,0)),IFERROR(INDEX(MUSTERILER!$B$7:$B$106,MATCH($E665,MUSTERILER!$B$7:$B$106,0)),IFERROR(INDEX(MUSTERILER!$B$7:$B$106,MATCH($U665&amp;"*",MUSTERILER!$T$7:$T$106,0)),"TANIMSIZ MÜŞTERİ"))))</f>
        <v/>
      </c>
      <c r="E665" s="109" t="n"/>
      <c r="F665" s="109" t="n"/>
      <c r="G665" s="108" t="n"/>
      <c r="H665" s="220" t="n"/>
      <c r="I665" s="220" t="n"/>
      <c r="J665" s="108" t="n"/>
      <c r="K665" s="108" t="n"/>
      <c r="L665" s="109" t="n"/>
      <c r="M665" s="109" t="n"/>
      <c r="N665" s="109" t="n"/>
      <c r="O665" s="220" t="n"/>
      <c r="P665" s="227">
        <f>IF(OR($E665="",$I665=""),"",IF(OR($J665="Tamamlandı",$J665="İptal"),"",$I665-TODAY()))</f>
        <v/>
      </c>
      <c r="Q665" s="113">
        <f>IF($E665="","",IF($D665="TANIMSIZ MÜŞTERİ","HATA",IF(OR($J665="Tamamlandı",$J665="İptal"),"KAPALI",IF(AND($C665="Görüşme",$N665=""),"SONRAKİ İŞLEM EKSİK",IF($I665="","TARİH EKSİK",IF($I665&lt;TODAY(),"GECİKMİŞ",IF($I665=TODAY(),"BUGÜN",IF($I665&lt;=TODAY()+7,"7 GÜN İÇİNDE","PLANLI"))))))))</f>
        <v/>
      </c>
      <c r="R665" s="6" t="n"/>
      <c r="S665" s="6" t="n"/>
      <c r="T665" s="3" t="n"/>
      <c r="U665" s="3">
        <f>IF($E665="","",UPPER(SUBSTITUTE(SUBSTITUTE(SUBSTITUTE(SUBSTITUTE(SUBSTITUTE(SUBSTITUTE(SUBSTITUTE(SUBSTITUTE(SUBSTITUTE(SUBSTITUTE(SUBSTITUTE(SUBSTITUTE(SUBSTITUTE(SUBSTITUTE(SUBSTITUTE(SUBSTITUTE(SUBSTITUTE(SUBSTITUTE(TRIM($E665),"'",""),"İ","I"),"ı","I"),"i","I"),"Ş","S"),"ş","S"),"Ğ","G"),"ğ","G"),"Ü","U"),"ü","U"),"Ö","O"),"ö","O"),"Ç","C"),"ç","C"),".",""),",","")," ",""),"-","")))</f>
        <v/>
      </c>
    </row>
    <row r="666">
      <c r="A666" s="6" t="n"/>
      <c r="B666" s="113">
        <f>IF($E666="","","A"&amp;TEXT(ROW()-6,"00000"))</f>
        <v/>
      </c>
      <c r="C666" s="108" t="n"/>
      <c r="D666" s="113">
        <f>IF($E666="","",IFERROR(INDEX(MUSTERILER!$B$7:$B$106,MATCH($U666,MUSTERILER!$T$7:$T$106,0)),IFERROR(INDEX(MUSTERILER!$B$7:$B$106,MATCH($E666,MUSTERILER!$B$7:$B$106,0)),IFERROR(INDEX(MUSTERILER!$B$7:$B$106,MATCH($U666&amp;"*",MUSTERILER!$T$7:$T$106,0)),"TANIMSIZ MÜŞTERİ"))))</f>
        <v/>
      </c>
      <c r="E666" s="109" t="n"/>
      <c r="F666" s="109" t="n"/>
      <c r="G666" s="108" t="n"/>
      <c r="H666" s="220" t="n"/>
      <c r="I666" s="220" t="n"/>
      <c r="J666" s="108" t="n"/>
      <c r="K666" s="108" t="n"/>
      <c r="L666" s="109" t="n"/>
      <c r="M666" s="109" t="n"/>
      <c r="N666" s="109" t="n"/>
      <c r="O666" s="220" t="n"/>
      <c r="P666" s="227">
        <f>IF(OR($E666="",$I666=""),"",IF(OR($J666="Tamamlandı",$J666="İptal"),"",$I666-TODAY()))</f>
        <v/>
      </c>
      <c r="Q666" s="113">
        <f>IF($E666="","",IF($D666="TANIMSIZ MÜŞTERİ","HATA",IF(OR($J666="Tamamlandı",$J666="İptal"),"KAPALI",IF(AND($C666="Görüşme",$N666=""),"SONRAKİ İŞLEM EKSİK",IF($I666="","TARİH EKSİK",IF($I666&lt;TODAY(),"GECİKMİŞ",IF($I666=TODAY(),"BUGÜN",IF($I666&lt;=TODAY()+7,"7 GÜN İÇİNDE","PLANLI"))))))))</f>
        <v/>
      </c>
      <c r="R666" s="6" t="n"/>
      <c r="S666" s="6" t="n"/>
      <c r="T666" s="3" t="n"/>
      <c r="U666" s="3">
        <f>IF($E666="","",UPPER(SUBSTITUTE(SUBSTITUTE(SUBSTITUTE(SUBSTITUTE(SUBSTITUTE(SUBSTITUTE(SUBSTITUTE(SUBSTITUTE(SUBSTITUTE(SUBSTITUTE(SUBSTITUTE(SUBSTITUTE(SUBSTITUTE(SUBSTITUTE(SUBSTITUTE(SUBSTITUTE(SUBSTITUTE(SUBSTITUTE(TRIM($E666),"'",""),"İ","I"),"ı","I"),"i","I"),"Ş","S"),"ş","S"),"Ğ","G"),"ğ","G"),"Ü","U"),"ü","U"),"Ö","O"),"ö","O"),"Ç","C"),"ç","C"),".",""),",","")," ",""),"-","")))</f>
        <v/>
      </c>
    </row>
    <row r="667">
      <c r="A667" s="6" t="n"/>
      <c r="B667" s="113">
        <f>IF($E667="","","A"&amp;TEXT(ROW()-6,"00000"))</f>
        <v/>
      </c>
      <c r="C667" s="108" t="n"/>
      <c r="D667" s="113">
        <f>IF($E667="","",IFERROR(INDEX(MUSTERILER!$B$7:$B$106,MATCH($U667,MUSTERILER!$T$7:$T$106,0)),IFERROR(INDEX(MUSTERILER!$B$7:$B$106,MATCH($E667,MUSTERILER!$B$7:$B$106,0)),IFERROR(INDEX(MUSTERILER!$B$7:$B$106,MATCH($U667&amp;"*",MUSTERILER!$T$7:$T$106,0)),"TANIMSIZ MÜŞTERİ"))))</f>
        <v/>
      </c>
      <c r="E667" s="109" t="n"/>
      <c r="F667" s="109" t="n"/>
      <c r="G667" s="108" t="n"/>
      <c r="H667" s="220" t="n"/>
      <c r="I667" s="220" t="n"/>
      <c r="J667" s="108" t="n"/>
      <c r="K667" s="108" t="n"/>
      <c r="L667" s="109" t="n"/>
      <c r="M667" s="109" t="n"/>
      <c r="N667" s="109" t="n"/>
      <c r="O667" s="220" t="n"/>
      <c r="P667" s="227">
        <f>IF(OR($E667="",$I667=""),"",IF(OR($J667="Tamamlandı",$J667="İptal"),"",$I667-TODAY()))</f>
        <v/>
      </c>
      <c r="Q667" s="113">
        <f>IF($E667="","",IF($D667="TANIMSIZ MÜŞTERİ","HATA",IF(OR($J667="Tamamlandı",$J667="İptal"),"KAPALI",IF(AND($C667="Görüşme",$N667=""),"SONRAKİ İŞLEM EKSİK",IF($I667="","TARİH EKSİK",IF($I667&lt;TODAY(),"GECİKMİŞ",IF($I667=TODAY(),"BUGÜN",IF($I667&lt;=TODAY()+7,"7 GÜN İÇİNDE","PLANLI"))))))))</f>
        <v/>
      </c>
      <c r="R667" s="6" t="n"/>
      <c r="S667" s="6" t="n"/>
      <c r="T667" s="3" t="n"/>
      <c r="U667" s="3">
        <f>IF($E667="","",UPPER(SUBSTITUTE(SUBSTITUTE(SUBSTITUTE(SUBSTITUTE(SUBSTITUTE(SUBSTITUTE(SUBSTITUTE(SUBSTITUTE(SUBSTITUTE(SUBSTITUTE(SUBSTITUTE(SUBSTITUTE(SUBSTITUTE(SUBSTITUTE(SUBSTITUTE(SUBSTITUTE(SUBSTITUTE(SUBSTITUTE(TRIM($E667),"'",""),"İ","I"),"ı","I"),"i","I"),"Ş","S"),"ş","S"),"Ğ","G"),"ğ","G"),"Ü","U"),"ü","U"),"Ö","O"),"ö","O"),"Ç","C"),"ç","C"),".",""),",","")," ",""),"-","")))</f>
        <v/>
      </c>
    </row>
    <row r="668">
      <c r="A668" s="6" t="n"/>
      <c r="B668" s="113">
        <f>IF($E668="","","A"&amp;TEXT(ROW()-6,"00000"))</f>
        <v/>
      </c>
      <c r="C668" s="108" t="n"/>
      <c r="D668" s="113">
        <f>IF($E668="","",IFERROR(INDEX(MUSTERILER!$B$7:$B$106,MATCH($U668,MUSTERILER!$T$7:$T$106,0)),IFERROR(INDEX(MUSTERILER!$B$7:$B$106,MATCH($E668,MUSTERILER!$B$7:$B$106,0)),IFERROR(INDEX(MUSTERILER!$B$7:$B$106,MATCH($U668&amp;"*",MUSTERILER!$T$7:$T$106,0)),"TANIMSIZ MÜŞTERİ"))))</f>
        <v/>
      </c>
      <c r="E668" s="109" t="n"/>
      <c r="F668" s="109" t="n"/>
      <c r="G668" s="108" t="n"/>
      <c r="H668" s="220" t="n"/>
      <c r="I668" s="220" t="n"/>
      <c r="J668" s="108" t="n"/>
      <c r="K668" s="108" t="n"/>
      <c r="L668" s="109" t="n"/>
      <c r="M668" s="109" t="n"/>
      <c r="N668" s="109" t="n"/>
      <c r="O668" s="220" t="n"/>
      <c r="P668" s="227">
        <f>IF(OR($E668="",$I668=""),"",IF(OR($J668="Tamamlandı",$J668="İptal"),"",$I668-TODAY()))</f>
        <v/>
      </c>
      <c r="Q668" s="113">
        <f>IF($E668="","",IF($D668="TANIMSIZ MÜŞTERİ","HATA",IF(OR($J668="Tamamlandı",$J668="İptal"),"KAPALI",IF(AND($C668="Görüşme",$N668=""),"SONRAKİ İŞLEM EKSİK",IF($I668="","TARİH EKSİK",IF($I668&lt;TODAY(),"GECİKMİŞ",IF($I668=TODAY(),"BUGÜN",IF($I668&lt;=TODAY()+7,"7 GÜN İÇİNDE","PLANLI"))))))))</f>
        <v/>
      </c>
      <c r="R668" s="6" t="n"/>
      <c r="S668" s="6" t="n"/>
      <c r="T668" s="3" t="n"/>
      <c r="U668" s="3">
        <f>IF($E668="","",UPPER(SUBSTITUTE(SUBSTITUTE(SUBSTITUTE(SUBSTITUTE(SUBSTITUTE(SUBSTITUTE(SUBSTITUTE(SUBSTITUTE(SUBSTITUTE(SUBSTITUTE(SUBSTITUTE(SUBSTITUTE(SUBSTITUTE(SUBSTITUTE(SUBSTITUTE(SUBSTITUTE(SUBSTITUTE(SUBSTITUTE(TRIM($E668),"'",""),"İ","I"),"ı","I"),"i","I"),"Ş","S"),"ş","S"),"Ğ","G"),"ğ","G"),"Ü","U"),"ü","U"),"Ö","O"),"ö","O"),"Ç","C"),"ç","C"),".",""),",","")," ",""),"-","")))</f>
        <v/>
      </c>
    </row>
    <row r="669">
      <c r="A669" s="6" t="n"/>
      <c r="B669" s="113">
        <f>IF($E669="","","A"&amp;TEXT(ROW()-6,"00000"))</f>
        <v/>
      </c>
      <c r="C669" s="108" t="n"/>
      <c r="D669" s="113">
        <f>IF($E669="","",IFERROR(INDEX(MUSTERILER!$B$7:$B$106,MATCH($U669,MUSTERILER!$T$7:$T$106,0)),IFERROR(INDEX(MUSTERILER!$B$7:$B$106,MATCH($E669,MUSTERILER!$B$7:$B$106,0)),IFERROR(INDEX(MUSTERILER!$B$7:$B$106,MATCH($U669&amp;"*",MUSTERILER!$T$7:$T$106,0)),"TANIMSIZ MÜŞTERİ"))))</f>
        <v/>
      </c>
      <c r="E669" s="109" t="n"/>
      <c r="F669" s="109" t="n"/>
      <c r="G669" s="108" t="n"/>
      <c r="H669" s="220" t="n"/>
      <c r="I669" s="220" t="n"/>
      <c r="J669" s="108" t="n"/>
      <c r="K669" s="108" t="n"/>
      <c r="L669" s="109" t="n"/>
      <c r="M669" s="109" t="n"/>
      <c r="N669" s="109" t="n"/>
      <c r="O669" s="220" t="n"/>
      <c r="P669" s="227">
        <f>IF(OR($E669="",$I669=""),"",IF(OR($J669="Tamamlandı",$J669="İptal"),"",$I669-TODAY()))</f>
        <v/>
      </c>
      <c r="Q669" s="113">
        <f>IF($E669="","",IF($D669="TANIMSIZ MÜŞTERİ","HATA",IF(OR($J669="Tamamlandı",$J669="İptal"),"KAPALI",IF(AND($C669="Görüşme",$N669=""),"SONRAKİ İŞLEM EKSİK",IF($I669="","TARİH EKSİK",IF($I669&lt;TODAY(),"GECİKMİŞ",IF($I669=TODAY(),"BUGÜN",IF($I669&lt;=TODAY()+7,"7 GÜN İÇİNDE","PLANLI"))))))))</f>
        <v/>
      </c>
      <c r="R669" s="6" t="n"/>
      <c r="S669" s="6" t="n"/>
      <c r="T669" s="3" t="n"/>
      <c r="U669" s="3">
        <f>IF($E669="","",UPPER(SUBSTITUTE(SUBSTITUTE(SUBSTITUTE(SUBSTITUTE(SUBSTITUTE(SUBSTITUTE(SUBSTITUTE(SUBSTITUTE(SUBSTITUTE(SUBSTITUTE(SUBSTITUTE(SUBSTITUTE(SUBSTITUTE(SUBSTITUTE(SUBSTITUTE(SUBSTITUTE(SUBSTITUTE(SUBSTITUTE(TRIM($E669),"'",""),"İ","I"),"ı","I"),"i","I"),"Ş","S"),"ş","S"),"Ğ","G"),"ğ","G"),"Ü","U"),"ü","U"),"Ö","O"),"ö","O"),"Ç","C"),"ç","C"),".",""),",","")," ",""),"-","")))</f>
        <v/>
      </c>
    </row>
    <row r="670">
      <c r="A670" s="6" t="n"/>
      <c r="B670" s="113">
        <f>IF($E670="","","A"&amp;TEXT(ROW()-6,"00000"))</f>
        <v/>
      </c>
      <c r="C670" s="108" t="n"/>
      <c r="D670" s="113">
        <f>IF($E670="","",IFERROR(INDEX(MUSTERILER!$B$7:$B$106,MATCH($U670,MUSTERILER!$T$7:$T$106,0)),IFERROR(INDEX(MUSTERILER!$B$7:$B$106,MATCH($E670,MUSTERILER!$B$7:$B$106,0)),IFERROR(INDEX(MUSTERILER!$B$7:$B$106,MATCH($U670&amp;"*",MUSTERILER!$T$7:$T$106,0)),"TANIMSIZ MÜŞTERİ"))))</f>
        <v/>
      </c>
      <c r="E670" s="109" t="n"/>
      <c r="F670" s="109" t="n"/>
      <c r="G670" s="108" t="n"/>
      <c r="H670" s="220" t="n"/>
      <c r="I670" s="220" t="n"/>
      <c r="J670" s="108" t="n"/>
      <c r="K670" s="108" t="n"/>
      <c r="L670" s="109" t="n"/>
      <c r="M670" s="109" t="n"/>
      <c r="N670" s="109" t="n"/>
      <c r="O670" s="220" t="n"/>
      <c r="P670" s="227">
        <f>IF(OR($E670="",$I670=""),"",IF(OR($J670="Tamamlandı",$J670="İptal"),"",$I670-TODAY()))</f>
        <v/>
      </c>
      <c r="Q670" s="113">
        <f>IF($E670="","",IF($D670="TANIMSIZ MÜŞTERİ","HATA",IF(OR($J670="Tamamlandı",$J670="İptal"),"KAPALI",IF(AND($C670="Görüşme",$N670=""),"SONRAKİ İŞLEM EKSİK",IF($I670="","TARİH EKSİK",IF($I670&lt;TODAY(),"GECİKMİŞ",IF($I670=TODAY(),"BUGÜN",IF($I670&lt;=TODAY()+7,"7 GÜN İÇİNDE","PLANLI"))))))))</f>
        <v/>
      </c>
      <c r="R670" s="6" t="n"/>
      <c r="S670" s="6" t="n"/>
      <c r="T670" s="3" t="n"/>
      <c r="U670" s="3">
        <f>IF($E670="","",UPPER(SUBSTITUTE(SUBSTITUTE(SUBSTITUTE(SUBSTITUTE(SUBSTITUTE(SUBSTITUTE(SUBSTITUTE(SUBSTITUTE(SUBSTITUTE(SUBSTITUTE(SUBSTITUTE(SUBSTITUTE(SUBSTITUTE(SUBSTITUTE(SUBSTITUTE(SUBSTITUTE(SUBSTITUTE(SUBSTITUTE(TRIM($E670),"'",""),"İ","I"),"ı","I"),"i","I"),"Ş","S"),"ş","S"),"Ğ","G"),"ğ","G"),"Ü","U"),"ü","U"),"Ö","O"),"ö","O"),"Ç","C"),"ç","C"),".",""),",","")," ",""),"-","")))</f>
        <v/>
      </c>
    </row>
    <row r="671">
      <c r="A671" s="6" t="n"/>
      <c r="B671" s="113">
        <f>IF($E671="","","A"&amp;TEXT(ROW()-6,"00000"))</f>
        <v/>
      </c>
      <c r="C671" s="108" t="n"/>
      <c r="D671" s="113">
        <f>IF($E671="","",IFERROR(INDEX(MUSTERILER!$B$7:$B$106,MATCH($U671,MUSTERILER!$T$7:$T$106,0)),IFERROR(INDEX(MUSTERILER!$B$7:$B$106,MATCH($E671,MUSTERILER!$B$7:$B$106,0)),IFERROR(INDEX(MUSTERILER!$B$7:$B$106,MATCH($U671&amp;"*",MUSTERILER!$T$7:$T$106,0)),"TANIMSIZ MÜŞTERİ"))))</f>
        <v/>
      </c>
      <c r="E671" s="109" t="n"/>
      <c r="F671" s="109" t="n"/>
      <c r="G671" s="108" t="n"/>
      <c r="H671" s="220" t="n"/>
      <c r="I671" s="220" t="n"/>
      <c r="J671" s="108" t="n"/>
      <c r="K671" s="108" t="n"/>
      <c r="L671" s="109" t="n"/>
      <c r="M671" s="109" t="n"/>
      <c r="N671" s="109" t="n"/>
      <c r="O671" s="220" t="n"/>
      <c r="P671" s="227">
        <f>IF(OR($E671="",$I671=""),"",IF(OR($J671="Tamamlandı",$J671="İptal"),"",$I671-TODAY()))</f>
        <v/>
      </c>
      <c r="Q671" s="113">
        <f>IF($E671="","",IF($D671="TANIMSIZ MÜŞTERİ","HATA",IF(OR($J671="Tamamlandı",$J671="İptal"),"KAPALI",IF(AND($C671="Görüşme",$N671=""),"SONRAKİ İŞLEM EKSİK",IF($I671="","TARİH EKSİK",IF($I671&lt;TODAY(),"GECİKMİŞ",IF($I671=TODAY(),"BUGÜN",IF($I671&lt;=TODAY()+7,"7 GÜN İÇİNDE","PLANLI"))))))))</f>
        <v/>
      </c>
      <c r="R671" s="6" t="n"/>
      <c r="S671" s="6" t="n"/>
      <c r="T671" s="3" t="n"/>
      <c r="U671" s="3">
        <f>IF($E671="","",UPPER(SUBSTITUTE(SUBSTITUTE(SUBSTITUTE(SUBSTITUTE(SUBSTITUTE(SUBSTITUTE(SUBSTITUTE(SUBSTITUTE(SUBSTITUTE(SUBSTITUTE(SUBSTITUTE(SUBSTITUTE(SUBSTITUTE(SUBSTITUTE(SUBSTITUTE(SUBSTITUTE(SUBSTITUTE(SUBSTITUTE(TRIM($E671),"'",""),"İ","I"),"ı","I"),"i","I"),"Ş","S"),"ş","S"),"Ğ","G"),"ğ","G"),"Ü","U"),"ü","U"),"Ö","O"),"ö","O"),"Ç","C"),"ç","C"),".",""),",","")," ",""),"-","")))</f>
        <v/>
      </c>
    </row>
    <row r="672">
      <c r="A672" s="6" t="n"/>
      <c r="B672" s="113">
        <f>IF($E672="","","A"&amp;TEXT(ROW()-6,"00000"))</f>
        <v/>
      </c>
      <c r="C672" s="108" t="n"/>
      <c r="D672" s="113">
        <f>IF($E672="","",IFERROR(INDEX(MUSTERILER!$B$7:$B$106,MATCH($U672,MUSTERILER!$T$7:$T$106,0)),IFERROR(INDEX(MUSTERILER!$B$7:$B$106,MATCH($E672,MUSTERILER!$B$7:$B$106,0)),IFERROR(INDEX(MUSTERILER!$B$7:$B$106,MATCH($U672&amp;"*",MUSTERILER!$T$7:$T$106,0)),"TANIMSIZ MÜŞTERİ"))))</f>
        <v/>
      </c>
      <c r="E672" s="109" t="n"/>
      <c r="F672" s="109" t="n"/>
      <c r="G672" s="108" t="n"/>
      <c r="H672" s="220" t="n"/>
      <c r="I672" s="220" t="n"/>
      <c r="J672" s="108" t="n"/>
      <c r="K672" s="108" t="n"/>
      <c r="L672" s="109" t="n"/>
      <c r="M672" s="109" t="n"/>
      <c r="N672" s="109" t="n"/>
      <c r="O672" s="220" t="n"/>
      <c r="P672" s="227">
        <f>IF(OR($E672="",$I672=""),"",IF(OR($J672="Tamamlandı",$J672="İptal"),"",$I672-TODAY()))</f>
        <v/>
      </c>
      <c r="Q672" s="113">
        <f>IF($E672="","",IF($D672="TANIMSIZ MÜŞTERİ","HATA",IF(OR($J672="Tamamlandı",$J672="İptal"),"KAPALI",IF(AND($C672="Görüşme",$N672=""),"SONRAKİ İŞLEM EKSİK",IF($I672="","TARİH EKSİK",IF($I672&lt;TODAY(),"GECİKMİŞ",IF($I672=TODAY(),"BUGÜN",IF($I672&lt;=TODAY()+7,"7 GÜN İÇİNDE","PLANLI"))))))))</f>
        <v/>
      </c>
      <c r="R672" s="6" t="n"/>
      <c r="S672" s="6" t="n"/>
      <c r="T672" s="3" t="n"/>
      <c r="U672" s="3">
        <f>IF($E672="","",UPPER(SUBSTITUTE(SUBSTITUTE(SUBSTITUTE(SUBSTITUTE(SUBSTITUTE(SUBSTITUTE(SUBSTITUTE(SUBSTITUTE(SUBSTITUTE(SUBSTITUTE(SUBSTITUTE(SUBSTITUTE(SUBSTITUTE(SUBSTITUTE(SUBSTITUTE(SUBSTITUTE(SUBSTITUTE(SUBSTITUTE(TRIM($E672),"'",""),"İ","I"),"ı","I"),"i","I"),"Ş","S"),"ş","S"),"Ğ","G"),"ğ","G"),"Ü","U"),"ü","U"),"Ö","O"),"ö","O"),"Ç","C"),"ç","C"),".",""),",","")," ",""),"-","")))</f>
        <v/>
      </c>
    </row>
    <row r="673">
      <c r="A673" s="6" t="n"/>
      <c r="B673" s="113">
        <f>IF($E673="","","A"&amp;TEXT(ROW()-6,"00000"))</f>
        <v/>
      </c>
      <c r="C673" s="108" t="n"/>
      <c r="D673" s="113">
        <f>IF($E673="","",IFERROR(INDEX(MUSTERILER!$B$7:$B$106,MATCH($U673,MUSTERILER!$T$7:$T$106,0)),IFERROR(INDEX(MUSTERILER!$B$7:$B$106,MATCH($E673,MUSTERILER!$B$7:$B$106,0)),IFERROR(INDEX(MUSTERILER!$B$7:$B$106,MATCH($U673&amp;"*",MUSTERILER!$T$7:$T$106,0)),"TANIMSIZ MÜŞTERİ"))))</f>
        <v/>
      </c>
      <c r="E673" s="109" t="n"/>
      <c r="F673" s="109" t="n"/>
      <c r="G673" s="108" t="n"/>
      <c r="H673" s="220" t="n"/>
      <c r="I673" s="220" t="n"/>
      <c r="J673" s="108" t="n"/>
      <c r="K673" s="108" t="n"/>
      <c r="L673" s="109" t="n"/>
      <c r="M673" s="109" t="n"/>
      <c r="N673" s="109" t="n"/>
      <c r="O673" s="220" t="n"/>
      <c r="P673" s="227">
        <f>IF(OR($E673="",$I673=""),"",IF(OR($J673="Tamamlandı",$J673="İptal"),"",$I673-TODAY()))</f>
        <v/>
      </c>
      <c r="Q673" s="113">
        <f>IF($E673="","",IF($D673="TANIMSIZ MÜŞTERİ","HATA",IF(OR($J673="Tamamlandı",$J673="İptal"),"KAPALI",IF(AND($C673="Görüşme",$N673=""),"SONRAKİ İŞLEM EKSİK",IF($I673="","TARİH EKSİK",IF($I673&lt;TODAY(),"GECİKMİŞ",IF($I673=TODAY(),"BUGÜN",IF($I673&lt;=TODAY()+7,"7 GÜN İÇİNDE","PLANLI"))))))))</f>
        <v/>
      </c>
      <c r="R673" s="6" t="n"/>
      <c r="S673" s="6" t="n"/>
      <c r="T673" s="3" t="n"/>
      <c r="U673" s="3">
        <f>IF($E673="","",UPPER(SUBSTITUTE(SUBSTITUTE(SUBSTITUTE(SUBSTITUTE(SUBSTITUTE(SUBSTITUTE(SUBSTITUTE(SUBSTITUTE(SUBSTITUTE(SUBSTITUTE(SUBSTITUTE(SUBSTITUTE(SUBSTITUTE(SUBSTITUTE(SUBSTITUTE(SUBSTITUTE(SUBSTITUTE(SUBSTITUTE(TRIM($E673),"'",""),"İ","I"),"ı","I"),"i","I"),"Ş","S"),"ş","S"),"Ğ","G"),"ğ","G"),"Ü","U"),"ü","U"),"Ö","O"),"ö","O"),"Ç","C"),"ç","C"),".",""),",","")," ",""),"-","")))</f>
        <v/>
      </c>
    </row>
    <row r="674">
      <c r="A674" s="6" t="n"/>
      <c r="B674" s="113">
        <f>IF($E674="","","A"&amp;TEXT(ROW()-6,"00000"))</f>
        <v/>
      </c>
      <c r="C674" s="108" t="n"/>
      <c r="D674" s="113">
        <f>IF($E674="","",IFERROR(INDEX(MUSTERILER!$B$7:$B$106,MATCH($U674,MUSTERILER!$T$7:$T$106,0)),IFERROR(INDEX(MUSTERILER!$B$7:$B$106,MATCH($E674,MUSTERILER!$B$7:$B$106,0)),IFERROR(INDEX(MUSTERILER!$B$7:$B$106,MATCH($U674&amp;"*",MUSTERILER!$T$7:$T$106,0)),"TANIMSIZ MÜŞTERİ"))))</f>
        <v/>
      </c>
      <c r="E674" s="109" t="n"/>
      <c r="F674" s="109" t="n"/>
      <c r="G674" s="108" t="n"/>
      <c r="H674" s="220" t="n"/>
      <c r="I674" s="220" t="n"/>
      <c r="J674" s="108" t="n"/>
      <c r="K674" s="108" t="n"/>
      <c r="L674" s="109" t="n"/>
      <c r="M674" s="109" t="n"/>
      <c r="N674" s="109" t="n"/>
      <c r="O674" s="220" t="n"/>
      <c r="P674" s="227">
        <f>IF(OR($E674="",$I674=""),"",IF(OR($J674="Tamamlandı",$J674="İptal"),"",$I674-TODAY()))</f>
        <v/>
      </c>
      <c r="Q674" s="113">
        <f>IF($E674="","",IF($D674="TANIMSIZ MÜŞTERİ","HATA",IF(OR($J674="Tamamlandı",$J674="İptal"),"KAPALI",IF(AND($C674="Görüşme",$N674=""),"SONRAKİ İŞLEM EKSİK",IF($I674="","TARİH EKSİK",IF($I674&lt;TODAY(),"GECİKMİŞ",IF($I674=TODAY(),"BUGÜN",IF($I674&lt;=TODAY()+7,"7 GÜN İÇİNDE","PLANLI"))))))))</f>
        <v/>
      </c>
      <c r="R674" s="6" t="n"/>
      <c r="S674" s="6" t="n"/>
      <c r="T674" s="3" t="n"/>
      <c r="U674" s="3">
        <f>IF($E674="","",UPPER(SUBSTITUTE(SUBSTITUTE(SUBSTITUTE(SUBSTITUTE(SUBSTITUTE(SUBSTITUTE(SUBSTITUTE(SUBSTITUTE(SUBSTITUTE(SUBSTITUTE(SUBSTITUTE(SUBSTITUTE(SUBSTITUTE(SUBSTITUTE(SUBSTITUTE(SUBSTITUTE(SUBSTITUTE(SUBSTITUTE(TRIM($E674),"'",""),"İ","I"),"ı","I"),"i","I"),"Ş","S"),"ş","S"),"Ğ","G"),"ğ","G"),"Ü","U"),"ü","U"),"Ö","O"),"ö","O"),"Ç","C"),"ç","C"),".",""),",","")," ",""),"-","")))</f>
        <v/>
      </c>
    </row>
    <row r="675">
      <c r="A675" s="6" t="n"/>
      <c r="B675" s="113">
        <f>IF($E675="","","A"&amp;TEXT(ROW()-6,"00000"))</f>
        <v/>
      </c>
      <c r="C675" s="108" t="n"/>
      <c r="D675" s="113">
        <f>IF($E675="","",IFERROR(INDEX(MUSTERILER!$B$7:$B$106,MATCH($U675,MUSTERILER!$T$7:$T$106,0)),IFERROR(INDEX(MUSTERILER!$B$7:$B$106,MATCH($E675,MUSTERILER!$B$7:$B$106,0)),IFERROR(INDEX(MUSTERILER!$B$7:$B$106,MATCH($U675&amp;"*",MUSTERILER!$T$7:$T$106,0)),"TANIMSIZ MÜŞTERİ"))))</f>
        <v/>
      </c>
      <c r="E675" s="109" t="n"/>
      <c r="F675" s="109" t="n"/>
      <c r="G675" s="108" t="n"/>
      <c r="H675" s="220" t="n"/>
      <c r="I675" s="220" t="n"/>
      <c r="J675" s="108" t="n"/>
      <c r="K675" s="108" t="n"/>
      <c r="L675" s="109" t="n"/>
      <c r="M675" s="109" t="n"/>
      <c r="N675" s="109" t="n"/>
      <c r="O675" s="220" t="n"/>
      <c r="P675" s="227">
        <f>IF(OR($E675="",$I675=""),"",IF(OR($J675="Tamamlandı",$J675="İptal"),"",$I675-TODAY()))</f>
        <v/>
      </c>
      <c r="Q675" s="113">
        <f>IF($E675="","",IF($D675="TANIMSIZ MÜŞTERİ","HATA",IF(OR($J675="Tamamlandı",$J675="İptal"),"KAPALI",IF(AND($C675="Görüşme",$N675=""),"SONRAKİ İŞLEM EKSİK",IF($I675="","TARİH EKSİK",IF($I675&lt;TODAY(),"GECİKMİŞ",IF($I675=TODAY(),"BUGÜN",IF($I675&lt;=TODAY()+7,"7 GÜN İÇİNDE","PLANLI"))))))))</f>
        <v/>
      </c>
      <c r="R675" s="6" t="n"/>
      <c r="S675" s="6" t="n"/>
      <c r="T675" s="3" t="n"/>
      <c r="U675" s="3">
        <f>IF($E675="","",UPPER(SUBSTITUTE(SUBSTITUTE(SUBSTITUTE(SUBSTITUTE(SUBSTITUTE(SUBSTITUTE(SUBSTITUTE(SUBSTITUTE(SUBSTITUTE(SUBSTITUTE(SUBSTITUTE(SUBSTITUTE(SUBSTITUTE(SUBSTITUTE(SUBSTITUTE(SUBSTITUTE(SUBSTITUTE(SUBSTITUTE(TRIM($E675),"'",""),"İ","I"),"ı","I"),"i","I"),"Ş","S"),"ş","S"),"Ğ","G"),"ğ","G"),"Ü","U"),"ü","U"),"Ö","O"),"ö","O"),"Ç","C"),"ç","C"),".",""),",","")," ",""),"-","")))</f>
        <v/>
      </c>
    </row>
    <row r="676">
      <c r="A676" s="6" t="n"/>
      <c r="B676" s="113">
        <f>IF($E676="","","A"&amp;TEXT(ROW()-6,"00000"))</f>
        <v/>
      </c>
      <c r="C676" s="108" t="n"/>
      <c r="D676" s="113">
        <f>IF($E676="","",IFERROR(INDEX(MUSTERILER!$B$7:$B$106,MATCH($U676,MUSTERILER!$T$7:$T$106,0)),IFERROR(INDEX(MUSTERILER!$B$7:$B$106,MATCH($E676,MUSTERILER!$B$7:$B$106,0)),IFERROR(INDEX(MUSTERILER!$B$7:$B$106,MATCH($U676&amp;"*",MUSTERILER!$T$7:$T$106,0)),"TANIMSIZ MÜŞTERİ"))))</f>
        <v/>
      </c>
      <c r="E676" s="109" t="n"/>
      <c r="F676" s="109" t="n"/>
      <c r="G676" s="108" t="n"/>
      <c r="H676" s="220" t="n"/>
      <c r="I676" s="220" t="n"/>
      <c r="J676" s="108" t="n"/>
      <c r="K676" s="108" t="n"/>
      <c r="L676" s="109" t="n"/>
      <c r="M676" s="109" t="n"/>
      <c r="N676" s="109" t="n"/>
      <c r="O676" s="220" t="n"/>
      <c r="P676" s="227">
        <f>IF(OR($E676="",$I676=""),"",IF(OR($J676="Tamamlandı",$J676="İptal"),"",$I676-TODAY()))</f>
        <v/>
      </c>
      <c r="Q676" s="113">
        <f>IF($E676="","",IF($D676="TANIMSIZ MÜŞTERİ","HATA",IF(OR($J676="Tamamlandı",$J676="İptal"),"KAPALI",IF(AND($C676="Görüşme",$N676=""),"SONRAKİ İŞLEM EKSİK",IF($I676="","TARİH EKSİK",IF($I676&lt;TODAY(),"GECİKMİŞ",IF($I676=TODAY(),"BUGÜN",IF($I676&lt;=TODAY()+7,"7 GÜN İÇİNDE","PLANLI"))))))))</f>
        <v/>
      </c>
      <c r="R676" s="6" t="n"/>
      <c r="S676" s="6" t="n"/>
      <c r="T676" s="3" t="n"/>
      <c r="U676" s="3">
        <f>IF($E676="","",UPPER(SUBSTITUTE(SUBSTITUTE(SUBSTITUTE(SUBSTITUTE(SUBSTITUTE(SUBSTITUTE(SUBSTITUTE(SUBSTITUTE(SUBSTITUTE(SUBSTITUTE(SUBSTITUTE(SUBSTITUTE(SUBSTITUTE(SUBSTITUTE(SUBSTITUTE(SUBSTITUTE(SUBSTITUTE(SUBSTITUTE(TRIM($E676),"'",""),"İ","I"),"ı","I"),"i","I"),"Ş","S"),"ş","S"),"Ğ","G"),"ğ","G"),"Ü","U"),"ü","U"),"Ö","O"),"ö","O"),"Ç","C"),"ç","C"),".",""),",","")," ",""),"-","")))</f>
        <v/>
      </c>
    </row>
    <row r="677">
      <c r="A677" s="6" t="n"/>
      <c r="B677" s="113">
        <f>IF($E677="","","A"&amp;TEXT(ROW()-6,"00000"))</f>
        <v/>
      </c>
      <c r="C677" s="108" t="n"/>
      <c r="D677" s="113">
        <f>IF($E677="","",IFERROR(INDEX(MUSTERILER!$B$7:$B$106,MATCH($U677,MUSTERILER!$T$7:$T$106,0)),IFERROR(INDEX(MUSTERILER!$B$7:$B$106,MATCH($E677,MUSTERILER!$B$7:$B$106,0)),IFERROR(INDEX(MUSTERILER!$B$7:$B$106,MATCH($U677&amp;"*",MUSTERILER!$T$7:$T$106,0)),"TANIMSIZ MÜŞTERİ"))))</f>
        <v/>
      </c>
      <c r="E677" s="109" t="n"/>
      <c r="F677" s="109" t="n"/>
      <c r="G677" s="108" t="n"/>
      <c r="H677" s="220" t="n"/>
      <c r="I677" s="220" t="n"/>
      <c r="J677" s="108" t="n"/>
      <c r="K677" s="108" t="n"/>
      <c r="L677" s="109" t="n"/>
      <c r="M677" s="109" t="n"/>
      <c r="N677" s="109" t="n"/>
      <c r="O677" s="220" t="n"/>
      <c r="P677" s="227">
        <f>IF(OR($E677="",$I677=""),"",IF(OR($J677="Tamamlandı",$J677="İptal"),"",$I677-TODAY()))</f>
        <v/>
      </c>
      <c r="Q677" s="113">
        <f>IF($E677="","",IF($D677="TANIMSIZ MÜŞTERİ","HATA",IF(OR($J677="Tamamlandı",$J677="İptal"),"KAPALI",IF(AND($C677="Görüşme",$N677=""),"SONRAKİ İŞLEM EKSİK",IF($I677="","TARİH EKSİK",IF($I677&lt;TODAY(),"GECİKMİŞ",IF($I677=TODAY(),"BUGÜN",IF($I677&lt;=TODAY()+7,"7 GÜN İÇİNDE","PLANLI"))))))))</f>
        <v/>
      </c>
      <c r="R677" s="6" t="n"/>
      <c r="S677" s="6" t="n"/>
      <c r="T677" s="3" t="n"/>
      <c r="U677" s="3">
        <f>IF($E677="","",UPPER(SUBSTITUTE(SUBSTITUTE(SUBSTITUTE(SUBSTITUTE(SUBSTITUTE(SUBSTITUTE(SUBSTITUTE(SUBSTITUTE(SUBSTITUTE(SUBSTITUTE(SUBSTITUTE(SUBSTITUTE(SUBSTITUTE(SUBSTITUTE(SUBSTITUTE(SUBSTITUTE(SUBSTITUTE(SUBSTITUTE(TRIM($E677),"'",""),"İ","I"),"ı","I"),"i","I"),"Ş","S"),"ş","S"),"Ğ","G"),"ğ","G"),"Ü","U"),"ü","U"),"Ö","O"),"ö","O"),"Ç","C"),"ç","C"),".",""),",","")," ",""),"-","")))</f>
        <v/>
      </c>
    </row>
    <row r="678">
      <c r="A678" s="6" t="n"/>
      <c r="B678" s="113">
        <f>IF($E678="","","A"&amp;TEXT(ROW()-6,"00000"))</f>
        <v/>
      </c>
      <c r="C678" s="108" t="n"/>
      <c r="D678" s="113">
        <f>IF($E678="","",IFERROR(INDEX(MUSTERILER!$B$7:$B$106,MATCH($U678,MUSTERILER!$T$7:$T$106,0)),IFERROR(INDEX(MUSTERILER!$B$7:$B$106,MATCH($E678,MUSTERILER!$B$7:$B$106,0)),IFERROR(INDEX(MUSTERILER!$B$7:$B$106,MATCH($U678&amp;"*",MUSTERILER!$T$7:$T$106,0)),"TANIMSIZ MÜŞTERİ"))))</f>
        <v/>
      </c>
      <c r="E678" s="109" t="n"/>
      <c r="F678" s="109" t="n"/>
      <c r="G678" s="108" t="n"/>
      <c r="H678" s="220" t="n"/>
      <c r="I678" s="220" t="n"/>
      <c r="J678" s="108" t="n"/>
      <c r="K678" s="108" t="n"/>
      <c r="L678" s="109" t="n"/>
      <c r="M678" s="109" t="n"/>
      <c r="N678" s="109" t="n"/>
      <c r="O678" s="220" t="n"/>
      <c r="P678" s="227">
        <f>IF(OR($E678="",$I678=""),"",IF(OR($J678="Tamamlandı",$J678="İptal"),"",$I678-TODAY()))</f>
        <v/>
      </c>
      <c r="Q678" s="113">
        <f>IF($E678="","",IF($D678="TANIMSIZ MÜŞTERİ","HATA",IF(OR($J678="Tamamlandı",$J678="İptal"),"KAPALI",IF(AND($C678="Görüşme",$N678=""),"SONRAKİ İŞLEM EKSİK",IF($I678="","TARİH EKSİK",IF($I678&lt;TODAY(),"GECİKMİŞ",IF($I678=TODAY(),"BUGÜN",IF($I678&lt;=TODAY()+7,"7 GÜN İÇİNDE","PLANLI"))))))))</f>
        <v/>
      </c>
      <c r="R678" s="6" t="n"/>
      <c r="S678" s="6" t="n"/>
      <c r="T678" s="3" t="n"/>
      <c r="U678" s="3">
        <f>IF($E678="","",UPPER(SUBSTITUTE(SUBSTITUTE(SUBSTITUTE(SUBSTITUTE(SUBSTITUTE(SUBSTITUTE(SUBSTITUTE(SUBSTITUTE(SUBSTITUTE(SUBSTITUTE(SUBSTITUTE(SUBSTITUTE(SUBSTITUTE(SUBSTITUTE(SUBSTITUTE(SUBSTITUTE(SUBSTITUTE(SUBSTITUTE(TRIM($E678),"'",""),"İ","I"),"ı","I"),"i","I"),"Ş","S"),"ş","S"),"Ğ","G"),"ğ","G"),"Ü","U"),"ü","U"),"Ö","O"),"ö","O"),"Ç","C"),"ç","C"),".",""),",","")," ",""),"-","")))</f>
        <v/>
      </c>
    </row>
    <row r="679">
      <c r="A679" s="6" t="n"/>
      <c r="B679" s="113">
        <f>IF($E679="","","A"&amp;TEXT(ROW()-6,"00000"))</f>
        <v/>
      </c>
      <c r="C679" s="108" t="n"/>
      <c r="D679" s="113">
        <f>IF($E679="","",IFERROR(INDEX(MUSTERILER!$B$7:$B$106,MATCH($U679,MUSTERILER!$T$7:$T$106,0)),IFERROR(INDEX(MUSTERILER!$B$7:$B$106,MATCH($E679,MUSTERILER!$B$7:$B$106,0)),IFERROR(INDEX(MUSTERILER!$B$7:$B$106,MATCH($U679&amp;"*",MUSTERILER!$T$7:$T$106,0)),"TANIMSIZ MÜŞTERİ"))))</f>
        <v/>
      </c>
      <c r="E679" s="109" t="n"/>
      <c r="F679" s="109" t="n"/>
      <c r="G679" s="108" t="n"/>
      <c r="H679" s="220" t="n"/>
      <c r="I679" s="220" t="n"/>
      <c r="J679" s="108" t="n"/>
      <c r="K679" s="108" t="n"/>
      <c r="L679" s="109" t="n"/>
      <c r="M679" s="109" t="n"/>
      <c r="N679" s="109" t="n"/>
      <c r="O679" s="220" t="n"/>
      <c r="P679" s="227">
        <f>IF(OR($E679="",$I679=""),"",IF(OR($J679="Tamamlandı",$J679="İptal"),"",$I679-TODAY()))</f>
        <v/>
      </c>
      <c r="Q679" s="113">
        <f>IF($E679="","",IF($D679="TANIMSIZ MÜŞTERİ","HATA",IF(OR($J679="Tamamlandı",$J679="İptal"),"KAPALI",IF(AND($C679="Görüşme",$N679=""),"SONRAKİ İŞLEM EKSİK",IF($I679="","TARİH EKSİK",IF($I679&lt;TODAY(),"GECİKMİŞ",IF($I679=TODAY(),"BUGÜN",IF($I679&lt;=TODAY()+7,"7 GÜN İÇİNDE","PLANLI"))))))))</f>
        <v/>
      </c>
      <c r="R679" s="6" t="n"/>
      <c r="S679" s="6" t="n"/>
      <c r="T679" s="3" t="n"/>
      <c r="U679" s="3">
        <f>IF($E679="","",UPPER(SUBSTITUTE(SUBSTITUTE(SUBSTITUTE(SUBSTITUTE(SUBSTITUTE(SUBSTITUTE(SUBSTITUTE(SUBSTITUTE(SUBSTITUTE(SUBSTITUTE(SUBSTITUTE(SUBSTITUTE(SUBSTITUTE(SUBSTITUTE(SUBSTITUTE(SUBSTITUTE(SUBSTITUTE(SUBSTITUTE(TRIM($E679),"'",""),"İ","I"),"ı","I"),"i","I"),"Ş","S"),"ş","S"),"Ğ","G"),"ğ","G"),"Ü","U"),"ü","U"),"Ö","O"),"ö","O"),"Ç","C"),"ç","C"),".",""),",","")," ",""),"-","")))</f>
        <v/>
      </c>
    </row>
    <row r="680">
      <c r="A680" s="6" t="n"/>
      <c r="B680" s="113">
        <f>IF($E680="","","A"&amp;TEXT(ROW()-6,"00000"))</f>
        <v/>
      </c>
      <c r="C680" s="108" t="n"/>
      <c r="D680" s="113">
        <f>IF($E680="","",IFERROR(INDEX(MUSTERILER!$B$7:$B$106,MATCH($U680,MUSTERILER!$T$7:$T$106,0)),IFERROR(INDEX(MUSTERILER!$B$7:$B$106,MATCH($E680,MUSTERILER!$B$7:$B$106,0)),IFERROR(INDEX(MUSTERILER!$B$7:$B$106,MATCH($U680&amp;"*",MUSTERILER!$T$7:$T$106,0)),"TANIMSIZ MÜŞTERİ"))))</f>
        <v/>
      </c>
      <c r="E680" s="109" t="n"/>
      <c r="F680" s="109" t="n"/>
      <c r="G680" s="108" t="n"/>
      <c r="H680" s="220" t="n"/>
      <c r="I680" s="220" t="n"/>
      <c r="J680" s="108" t="n"/>
      <c r="K680" s="108" t="n"/>
      <c r="L680" s="109" t="n"/>
      <c r="M680" s="109" t="n"/>
      <c r="N680" s="109" t="n"/>
      <c r="O680" s="220" t="n"/>
      <c r="P680" s="227">
        <f>IF(OR($E680="",$I680=""),"",IF(OR($J680="Tamamlandı",$J680="İptal"),"",$I680-TODAY()))</f>
        <v/>
      </c>
      <c r="Q680" s="113">
        <f>IF($E680="","",IF($D680="TANIMSIZ MÜŞTERİ","HATA",IF(OR($J680="Tamamlandı",$J680="İptal"),"KAPALI",IF(AND($C680="Görüşme",$N680=""),"SONRAKİ İŞLEM EKSİK",IF($I680="","TARİH EKSİK",IF($I680&lt;TODAY(),"GECİKMİŞ",IF($I680=TODAY(),"BUGÜN",IF($I680&lt;=TODAY()+7,"7 GÜN İÇİNDE","PLANLI"))))))))</f>
        <v/>
      </c>
      <c r="R680" s="6" t="n"/>
      <c r="S680" s="6" t="n"/>
      <c r="T680" s="3" t="n"/>
      <c r="U680" s="3">
        <f>IF($E680="","",UPPER(SUBSTITUTE(SUBSTITUTE(SUBSTITUTE(SUBSTITUTE(SUBSTITUTE(SUBSTITUTE(SUBSTITUTE(SUBSTITUTE(SUBSTITUTE(SUBSTITUTE(SUBSTITUTE(SUBSTITUTE(SUBSTITUTE(SUBSTITUTE(SUBSTITUTE(SUBSTITUTE(SUBSTITUTE(SUBSTITUTE(TRIM($E680),"'",""),"İ","I"),"ı","I"),"i","I"),"Ş","S"),"ş","S"),"Ğ","G"),"ğ","G"),"Ü","U"),"ü","U"),"Ö","O"),"ö","O"),"Ç","C"),"ç","C"),".",""),",","")," ",""),"-","")))</f>
        <v/>
      </c>
    </row>
    <row r="681">
      <c r="A681" s="6" t="n"/>
      <c r="B681" s="113">
        <f>IF($E681="","","A"&amp;TEXT(ROW()-6,"00000"))</f>
        <v/>
      </c>
      <c r="C681" s="108" t="n"/>
      <c r="D681" s="113">
        <f>IF($E681="","",IFERROR(INDEX(MUSTERILER!$B$7:$B$106,MATCH($U681,MUSTERILER!$T$7:$T$106,0)),IFERROR(INDEX(MUSTERILER!$B$7:$B$106,MATCH($E681,MUSTERILER!$B$7:$B$106,0)),IFERROR(INDEX(MUSTERILER!$B$7:$B$106,MATCH($U681&amp;"*",MUSTERILER!$T$7:$T$106,0)),"TANIMSIZ MÜŞTERİ"))))</f>
        <v/>
      </c>
      <c r="E681" s="109" t="n"/>
      <c r="F681" s="109" t="n"/>
      <c r="G681" s="108" t="n"/>
      <c r="H681" s="220" t="n"/>
      <c r="I681" s="220" t="n"/>
      <c r="J681" s="108" t="n"/>
      <c r="K681" s="108" t="n"/>
      <c r="L681" s="109" t="n"/>
      <c r="M681" s="109" t="n"/>
      <c r="N681" s="109" t="n"/>
      <c r="O681" s="220" t="n"/>
      <c r="P681" s="227">
        <f>IF(OR($E681="",$I681=""),"",IF(OR($J681="Tamamlandı",$J681="İptal"),"",$I681-TODAY()))</f>
        <v/>
      </c>
      <c r="Q681" s="113">
        <f>IF($E681="","",IF($D681="TANIMSIZ MÜŞTERİ","HATA",IF(OR($J681="Tamamlandı",$J681="İptal"),"KAPALI",IF(AND($C681="Görüşme",$N681=""),"SONRAKİ İŞLEM EKSİK",IF($I681="","TARİH EKSİK",IF($I681&lt;TODAY(),"GECİKMİŞ",IF($I681=TODAY(),"BUGÜN",IF($I681&lt;=TODAY()+7,"7 GÜN İÇİNDE","PLANLI"))))))))</f>
        <v/>
      </c>
      <c r="R681" s="6" t="n"/>
      <c r="S681" s="6" t="n"/>
      <c r="T681" s="3" t="n"/>
      <c r="U681" s="3">
        <f>IF($E681="","",UPPER(SUBSTITUTE(SUBSTITUTE(SUBSTITUTE(SUBSTITUTE(SUBSTITUTE(SUBSTITUTE(SUBSTITUTE(SUBSTITUTE(SUBSTITUTE(SUBSTITUTE(SUBSTITUTE(SUBSTITUTE(SUBSTITUTE(SUBSTITUTE(SUBSTITUTE(SUBSTITUTE(SUBSTITUTE(SUBSTITUTE(TRIM($E681),"'",""),"İ","I"),"ı","I"),"i","I"),"Ş","S"),"ş","S"),"Ğ","G"),"ğ","G"),"Ü","U"),"ü","U"),"Ö","O"),"ö","O"),"Ç","C"),"ç","C"),".",""),",","")," ",""),"-","")))</f>
        <v/>
      </c>
    </row>
    <row r="682">
      <c r="A682" s="6" t="n"/>
      <c r="B682" s="113">
        <f>IF($E682="","","A"&amp;TEXT(ROW()-6,"00000"))</f>
        <v/>
      </c>
      <c r="C682" s="108" t="n"/>
      <c r="D682" s="113">
        <f>IF($E682="","",IFERROR(INDEX(MUSTERILER!$B$7:$B$106,MATCH($U682,MUSTERILER!$T$7:$T$106,0)),IFERROR(INDEX(MUSTERILER!$B$7:$B$106,MATCH($E682,MUSTERILER!$B$7:$B$106,0)),IFERROR(INDEX(MUSTERILER!$B$7:$B$106,MATCH($U682&amp;"*",MUSTERILER!$T$7:$T$106,0)),"TANIMSIZ MÜŞTERİ"))))</f>
        <v/>
      </c>
      <c r="E682" s="109" t="n"/>
      <c r="F682" s="109" t="n"/>
      <c r="G682" s="108" t="n"/>
      <c r="H682" s="220" t="n"/>
      <c r="I682" s="220" t="n"/>
      <c r="J682" s="108" t="n"/>
      <c r="K682" s="108" t="n"/>
      <c r="L682" s="109" t="n"/>
      <c r="M682" s="109" t="n"/>
      <c r="N682" s="109" t="n"/>
      <c r="O682" s="220" t="n"/>
      <c r="P682" s="227">
        <f>IF(OR($E682="",$I682=""),"",IF(OR($J682="Tamamlandı",$J682="İptal"),"",$I682-TODAY()))</f>
        <v/>
      </c>
      <c r="Q682" s="113">
        <f>IF($E682="","",IF($D682="TANIMSIZ MÜŞTERİ","HATA",IF(OR($J682="Tamamlandı",$J682="İptal"),"KAPALI",IF(AND($C682="Görüşme",$N682=""),"SONRAKİ İŞLEM EKSİK",IF($I682="","TARİH EKSİK",IF($I682&lt;TODAY(),"GECİKMİŞ",IF($I682=TODAY(),"BUGÜN",IF($I682&lt;=TODAY()+7,"7 GÜN İÇİNDE","PLANLI"))))))))</f>
        <v/>
      </c>
      <c r="R682" s="6" t="n"/>
      <c r="S682" s="6" t="n"/>
      <c r="T682" s="3" t="n"/>
      <c r="U682" s="3">
        <f>IF($E682="","",UPPER(SUBSTITUTE(SUBSTITUTE(SUBSTITUTE(SUBSTITUTE(SUBSTITUTE(SUBSTITUTE(SUBSTITUTE(SUBSTITUTE(SUBSTITUTE(SUBSTITUTE(SUBSTITUTE(SUBSTITUTE(SUBSTITUTE(SUBSTITUTE(SUBSTITUTE(SUBSTITUTE(SUBSTITUTE(SUBSTITUTE(TRIM($E682),"'",""),"İ","I"),"ı","I"),"i","I"),"Ş","S"),"ş","S"),"Ğ","G"),"ğ","G"),"Ü","U"),"ü","U"),"Ö","O"),"ö","O"),"Ç","C"),"ç","C"),".",""),",","")," ",""),"-","")))</f>
        <v/>
      </c>
    </row>
    <row r="683">
      <c r="A683" s="6" t="n"/>
      <c r="B683" s="113">
        <f>IF($E683="","","A"&amp;TEXT(ROW()-6,"00000"))</f>
        <v/>
      </c>
      <c r="C683" s="108" t="n"/>
      <c r="D683" s="113">
        <f>IF($E683="","",IFERROR(INDEX(MUSTERILER!$B$7:$B$106,MATCH($U683,MUSTERILER!$T$7:$T$106,0)),IFERROR(INDEX(MUSTERILER!$B$7:$B$106,MATCH($E683,MUSTERILER!$B$7:$B$106,0)),IFERROR(INDEX(MUSTERILER!$B$7:$B$106,MATCH($U683&amp;"*",MUSTERILER!$T$7:$T$106,0)),"TANIMSIZ MÜŞTERİ"))))</f>
        <v/>
      </c>
      <c r="E683" s="109" t="n"/>
      <c r="F683" s="109" t="n"/>
      <c r="G683" s="108" t="n"/>
      <c r="H683" s="220" t="n"/>
      <c r="I683" s="220" t="n"/>
      <c r="J683" s="108" t="n"/>
      <c r="K683" s="108" t="n"/>
      <c r="L683" s="109" t="n"/>
      <c r="M683" s="109" t="n"/>
      <c r="N683" s="109" t="n"/>
      <c r="O683" s="220" t="n"/>
      <c r="P683" s="227">
        <f>IF(OR($E683="",$I683=""),"",IF(OR($J683="Tamamlandı",$J683="İptal"),"",$I683-TODAY()))</f>
        <v/>
      </c>
      <c r="Q683" s="113">
        <f>IF($E683="","",IF($D683="TANIMSIZ MÜŞTERİ","HATA",IF(OR($J683="Tamamlandı",$J683="İptal"),"KAPALI",IF(AND($C683="Görüşme",$N683=""),"SONRAKİ İŞLEM EKSİK",IF($I683="","TARİH EKSİK",IF($I683&lt;TODAY(),"GECİKMİŞ",IF($I683=TODAY(),"BUGÜN",IF($I683&lt;=TODAY()+7,"7 GÜN İÇİNDE","PLANLI"))))))))</f>
        <v/>
      </c>
      <c r="R683" s="6" t="n"/>
      <c r="S683" s="6" t="n"/>
      <c r="T683" s="3" t="n"/>
      <c r="U683" s="3">
        <f>IF($E683="","",UPPER(SUBSTITUTE(SUBSTITUTE(SUBSTITUTE(SUBSTITUTE(SUBSTITUTE(SUBSTITUTE(SUBSTITUTE(SUBSTITUTE(SUBSTITUTE(SUBSTITUTE(SUBSTITUTE(SUBSTITUTE(SUBSTITUTE(SUBSTITUTE(SUBSTITUTE(SUBSTITUTE(SUBSTITUTE(SUBSTITUTE(TRIM($E683),"'",""),"İ","I"),"ı","I"),"i","I"),"Ş","S"),"ş","S"),"Ğ","G"),"ğ","G"),"Ü","U"),"ü","U"),"Ö","O"),"ö","O"),"Ç","C"),"ç","C"),".",""),",","")," ",""),"-","")))</f>
        <v/>
      </c>
    </row>
    <row r="684">
      <c r="A684" s="6" t="n"/>
      <c r="B684" s="113">
        <f>IF($E684="","","A"&amp;TEXT(ROW()-6,"00000"))</f>
        <v/>
      </c>
      <c r="C684" s="108" t="n"/>
      <c r="D684" s="113">
        <f>IF($E684="","",IFERROR(INDEX(MUSTERILER!$B$7:$B$106,MATCH($U684,MUSTERILER!$T$7:$T$106,0)),IFERROR(INDEX(MUSTERILER!$B$7:$B$106,MATCH($E684,MUSTERILER!$B$7:$B$106,0)),IFERROR(INDEX(MUSTERILER!$B$7:$B$106,MATCH($U684&amp;"*",MUSTERILER!$T$7:$T$106,0)),"TANIMSIZ MÜŞTERİ"))))</f>
        <v/>
      </c>
      <c r="E684" s="109" t="n"/>
      <c r="F684" s="109" t="n"/>
      <c r="G684" s="108" t="n"/>
      <c r="H684" s="220" t="n"/>
      <c r="I684" s="220" t="n"/>
      <c r="J684" s="108" t="n"/>
      <c r="K684" s="108" t="n"/>
      <c r="L684" s="109" t="n"/>
      <c r="M684" s="109" t="n"/>
      <c r="N684" s="109" t="n"/>
      <c r="O684" s="220" t="n"/>
      <c r="P684" s="227">
        <f>IF(OR($E684="",$I684=""),"",IF(OR($J684="Tamamlandı",$J684="İptal"),"",$I684-TODAY()))</f>
        <v/>
      </c>
      <c r="Q684" s="113">
        <f>IF($E684="","",IF($D684="TANIMSIZ MÜŞTERİ","HATA",IF(OR($J684="Tamamlandı",$J684="İptal"),"KAPALI",IF(AND($C684="Görüşme",$N684=""),"SONRAKİ İŞLEM EKSİK",IF($I684="","TARİH EKSİK",IF($I684&lt;TODAY(),"GECİKMİŞ",IF($I684=TODAY(),"BUGÜN",IF($I684&lt;=TODAY()+7,"7 GÜN İÇİNDE","PLANLI"))))))))</f>
        <v/>
      </c>
      <c r="R684" s="6" t="n"/>
      <c r="S684" s="6" t="n"/>
      <c r="T684" s="3" t="n"/>
      <c r="U684" s="3">
        <f>IF($E684="","",UPPER(SUBSTITUTE(SUBSTITUTE(SUBSTITUTE(SUBSTITUTE(SUBSTITUTE(SUBSTITUTE(SUBSTITUTE(SUBSTITUTE(SUBSTITUTE(SUBSTITUTE(SUBSTITUTE(SUBSTITUTE(SUBSTITUTE(SUBSTITUTE(SUBSTITUTE(SUBSTITUTE(SUBSTITUTE(SUBSTITUTE(TRIM($E684),"'",""),"İ","I"),"ı","I"),"i","I"),"Ş","S"),"ş","S"),"Ğ","G"),"ğ","G"),"Ü","U"),"ü","U"),"Ö","O"),"ö","O"),"Ç","C"),"ç","C"),".",""),",","")," ",""),"-","")))</f>
        <v/>
      </c>
    </row>
    <row r="685">
      <c r="A685" s="6" t="n"/>
      <c r="B685" s="113">
        <f>IF($E685="","","A"&amp;TEXT(ROW()-6,"00000"))</f>
        <v/>
      </c>
      <c r="C685" s="108" t="n"/>
      <c r="D685" s="113">
        <f>IF($E685="","",IFERROR(INDEX(MUSTERILER!$B$7:$B$106,MATCH($U685,MUSTERILER!$T$7:$T$106,0)),IFERROR(INDEX(MUSTERILER!$B$7:$B$106,MATCH($E685,MUSTERILER!$B$7:$B$106,0)),IFERROR(INDEX(MUSTERILER!$B$7:$B$106,MATCH($U685&amp;"*",MUSTERILER!$T$7:$T$106,0)),"TANIMSIZ MÜŞTERİ"))))</f>
        <v/>
      </c>
      <c r="E685" s="109" t="n"/>
      <c r="F685" s="109" t="n"/>
      <c r="G685" s="108" t="n"/>
      <c r="H685" s="220" t="n"/>
      <c r="I685" s="220" t="n"/>
      <c r="J685" s="108" t="n"/>
      <c r="K685" s="108" t="n"/>
      <c r="L685" s="109" t="n"/>
      <c r="M685" s="109" t="n"/>
      <c r="N685" s="109" t="n"/>
      <c r="O685" s="220" t="n"/>
      <c r="P685" s="227">
        <f>IF(OR($E685="",$I685=""),"",IF(OR($J685="Tamamlandı",$J685="İptal"),"",$I685-TODAY()))</f>
        <v/>
      </c>
      <c r="Q685" s="113">
        <f>IF($E685="","",IF($D685="TANIMSIZ MÜŞTERİ","HATA",IF(OR($J685="Tamamlandı",$J685="İptal"),"KAPALI",IF(AND($C685="Görüşme",$N685=""),"SONRAKİ İŞLEM EKSİK",IF($I685="","TARİH EKSİK",IF($I685&lt;TODAY(),"GECİKMİŞ",IF($I685=TODAY(),"BUGÜN",IF($I685&lt;=TODAY()+7,"7 GÜN İÇİNDE","PLANLI"))))))))</f>
        <v/>
      </c>
      <c r="R685" s="6" t="n"/>
      <c r="S685" s="6" t="n"/>
      <c r="T685" s="3" t="n"/>
      <c r="U685" s="3">
        <f>IF($E685="","",UPPER(SUBSTITUTE(SUBSTITUTE(SUBSTITUTE(SUBSTITUTE(SUBSTITUTE(SUBSTITUTE(SUBSTITUTE(SUBSTITUTE(SUBSTITUTE(SUBSTITUTE(SUBSTITUTE(SUBSTITUTE(SUBSTITUTE(SUBSTITUTE(SUBSTITUTE(SUBSTITUTE(SUBSTITUTE(SUBSTITUTE(TRIM($E685),"'",""),"İ","I"),"ı","I"),"i","I"),"Ş","S"),"ş","S"),"Ğ","G"),"ğ","G"),"Ü","U"),"ü","U"),"Ö","O"),"ö","O"),"Ç","C"),"ç","C"),".",""),",","")," ",""),"-","")))</f>
        <v/>
      </c>
    </row>
    <row r="686">
      <c r="A686" s="6" t="n"/>
      <c r="B686" s="113">
        <f>IF($E686="","","A"&amp;TEXT(ROW()-6,"00000"))</f>
        <v/>
      </c>
      <c r="C686" s="108" t="n"/>
      <c r="D686" s="113">
        <f>IF($E686="","",IFERROR(INDEX(MUSTERILER!$B$7:$B$106,MATCH($U686,MUSTERILER!$T$7:$T$106,0)),IFERROR(INDEX(MUSTERILER!$B$7:$B$106,MATCH($E686,MUSTERILER!$B$7:$B$106,0)),IFERROR(INDEX(MUSTERILER!$B$7:$B$106,MATCH($U686&amp;"*",MUSTERILER!$T$7:$T$106,0)),"TANIMSIZ MÜŞTERİ"))))</f>
        <v/>
      </c>
      <c r="E686" s="109" t="n"/>
      <c r="F686" s="109" t="n"/>
      <c r="G686" s="108" t="n"/>
      <c r="H686" s="220" t="n"/>
      <c r="I686" s="220" t="n"/>
      <c r="J686" s="108" t="n"/>
      <c r="K686" s="108" t="n"/>
      <c r="L686" s="109" t="n"/>
      <c r="M686" s="109" t="n"/>
      <c r="N686" s="109" t="n"/>
      <c r="O686" s="220" t="n"/>
      <c r="P686" s="227">
        <f>IF(OR($E686="",$I686=""),"",IF(OR($J686="Tamamlandı",$J686="İptal"),"",$I686-TODAY()))</f>
        <v/>
      </c>
      <c r="Q686" s="113">
        <f>IF($E686="","",IF($D686="TANIMSIZ MÜŞTERİ","HATA",IF(OR($J686="Tamamlandı",$J686="İptal"),"KAPALI",IF(AND($C686="Görüşme",$N686=""),"SONRAKİ İŞLEM EKSİK",IF($I686="","TARİH EKSİK",IF($I686&lt;TODAY(),"GECİKMİŞ",IF($I686=TODAY(),"BUGÜN",IF($I686&lt;=TODAY()+7,"7 GÜN İÇİNDE","PLANLI"))))))))</f>
        <v/>
      </c>
      <c r="R686" s="6" t="n"/>
      <c r="S686" s="6" t="n"/>
      <c r="T686" s="3" t="n"/>
      <c r="U686" s="3">
        <f>IF($E686="","",UPPER(SUBSTITUTE(SUBSTITUTE(SUBSTITUTE(SUBSTITUTE(SUBSTITUTE(SUBSTITUTE(SUBSTITUTE(SUBSTITUTE(SUBSTITUTE(SUBSTITUTE(SUBSTITUTE(SUBSTITUTE(SUBSTITUTE(SUBSTITUTE(SUBSTITUTE(SUBSTITUTE(SUBSTITUTE(SUBSTITUTE(TRIM($E686),"'",""),"İ","I"),"ı","I"),"i","I"),"Ş","S"),"ş","S"),"Ğ","G"),"ğ","G"),"Ü","U"),"ü","U"),"Ö","O"),"ö","O"),"Ç","C"),"ç","C"),".",""),",","")," ",""),"-","")))</f>
        <v/>
      </c>
    </row>
    <row r="687">
      <c r="A687" s="6" t="n"/>
      <c r="B687" s="113">
        <f>IF($E687="","","A"&amp;TEXT(ROW()-6,"00000"))</f>
        <v/>
      </c>
      <c r="C687" s="108" t="n"/>
      <c r="D687" s="113">
        <f>IF($E687="","",IFERROR(INDEX(MUSTERILER!$B$7:$B$106,MATCH($U687,MUSTERILER!$T$7:$T$106,0)),IFERROR(INDEX(MUSTERILER!$B$7:$B$106,MATCH($E687,MUSTERILER!$B$7:$B$106,0)),IFERROR(INDEX(MUSTERILER!$B$7:$B$106,MATCH($U687&amp;"*",MUSTERILER!$T$7:$T$106,0)),"TANIMSIZ MÜŞTERİ"))))</f>
        <v/>
      </c>
      <c r="E687" s="109" t="n"/>
      <c r="F687" s="109" t="n"/>
      <c r="G687" s="108" t="n"/>
      <c r="H687" s="220" t="n"/>
      <c r="I687" s="220" t="n"/>
      <c r="J687" s="108" t="n"/>
      <c r="K687" s="108" t="n"/>
      <c r="L687" s="109" t="n"/>
      <c r="M687" s="109" t="n"/>
      <c r="N687" s="109" t="n"/>
      <c r="O687" s="220" t="n"/>
      <c r="P687" s="227">
        <f>IF(OR($E687="",$I687=""),"",IF(OR($J687="Tamamlandı",$J687="İptal"),"",$I687-TODAY()))</f>
        <v/>
      </c>
      <c r="Q687" s="113">
        <f>IF($E687="","",IF($D687="TANIMSIZ MÜŞTERİ","HATA",IF(OR($J687="Tamamlandı",$J687="İptal"),"KAPALI",IF(AND($C687="Görüşme",$N687=""),"SONRAKİ İŞLEM EKSİK",IF($I687="","TARİH EKSİK",IF($I687&lt;TODAY(),"GECİKMİŞ",IF($I687=TODAY(),"BUGÜN",IF($I687&lt;=TODAY()+7,"7 GÜN İÇİNDE","PLANLI"))))))))</f>
        <v/>
      </c>
      <c r="R687" s="6" t="n"/>
      <c r="S687" s="6" t="n"/>
      <c r="T687" s="3" t="n"/>
      <c r="U687" s="3">
        <f>IF($E687="","",UPPER(SUBSTITUTE(SUBSTITUTE(SUBSTITUTE(SUBSTITUTE(SUBSTITUTE(SUBSTITUTE(SUBSTITUTE(SUBSTITUTE(SUBSTITUTE(SUBSTITUTE(SUBSTITUTE(SUBSTITUTE(SUBSTITUTE(SUBSTITUTE(SUBSTITUTE(SUBSTITUTE(SUBSTITUTE(SUBSTITUTE(TRIM($E687),"'",""),"İ","I"),"ı","I"),"i","I"),"Ş","S"),"ş","S"),"Ğ","G"),"ğ","G"),"Ü","U"),"ü","U"),"Ö","O"),"ö","O"),"Ç","C"),"ç","C"),".",""),",","")," ",""),"-","")))</f>
        <v/>
      </c>
    </row>
    <row r="688">
      <c r="A688" s="6" t="n"/>
      <c r="B688" s="113">
        <f>IF($E688="","","A"&amp;TEXT(ROW()-6,"00000"))</f>
        <v/>
      </c>
      <c r="C688" s="108" t="n"/>
      <c r="D688" s="113">
        <f>IF($E688="","",IFERROR(INDEX(MUSTERILER!$B$7:$B$106,MATCH($U688,MUSTERILER!$T$7:$T$106,0)),IFERROR(INDEX(MUSTERILER!$B$7:$B$106,MATCH($E688,MUSTERILER!$B$7:$B$106,0)),IFERROR(INDEX(MUSTERILER!$B$7:$B$106,MATCH($U688&amp;"*",MUSTERILER!$T$7:$T$106,0)),"TANIMSIZ MÜŞTERİ"))))</f>
        <v/>
      </c>
      <c r="E688" s="109" t="n"/>
      <c r="F688" s="109" t="n"/>
      <c r="G688" s="108" t="n"/>
      <c r="H688" s="220" t="n"/>
      <c r="I688" s="220" t="n"/>
      <c r="J688" s="108" t="n"/>
      <c r="K688" s="108" t="n"/>
      <c r="L688" s="109" t="n"/>
      <c r="M688" s="109" t="n"/>
      <c r="N688" s="109" t="n"/>
      <c r="O688" s="220" t="n"/>
      <c r="P688" s="227">
        <f>IF(OR($E688="",$I688=""),"",IF(OR($J688="Tamamlandı",$J688="İptal"),"",$I688-TODAY()))</f>
        <v/>
      </c>
      <c r="Q688" s="113">
        <f>IF($E688="","",IF($D688="TANIMSIZ MÜŞTERİ","HATA",IF(OR($J688="Tamamlandı",$J688="İptal"),"KAPALI",IF(AND($C688="Görüşme",$N688=""),"SONRAKİ İŞLEM EKSİK",IF($I688="","TARİH EKSİK",IF($I688&lt;TODAY(),"GECİKMİŞ",IF($I688=TODAY(),"BUGÜN",IF($I688&lt;=TODAY()+7,"7 GÜN İÇİNDE","PLANLI"))))))))</f>
        <v/>
      </c>
      <c r="R688" s="6" t="n"/>
      <c r="S688" s="6" t="n"/>
      <c r="T688" s="3" t="n"/>
      <c r="U688" s="3">
        <f>IF($E688="","",UPPER(SUBSTITUTE(SUBSTITUTE(SUBSTITUTE(SUBSTITUTE(SUBSTITUTE(SUBSTITUTE(SUBSTITUTE(SUBSTITUTE(SUBSTITUTE(SUBSTITUTE(SUBSTITUTE(SUBSTITUTE(SUBSTITUTE(SUBSTITUTE(SUBSTITUTE(SUBSTITUTE(SUBSTITUTE(SUBSTITUTE(TRIM($E688),"'",""),"İ","I"),"ı","I"),"i","I"),"Ş","S"),"ş","S"),"Ğ","G"),"ğ","G"),"Ü","U"),"ü","U"),"Ö","O"),"ö","O"),"Ç","C"),"ç","C"),".",""),",","")," ",""),"-","")))</f>
        <v/>
      </c>
    </row>
    <row r="689">
      <c r="A689" s="6" t="n"/>
      <c r="B689" s="113">
        <f>IF($E689="","","A"&amp;TEXT(ROW()-6,"00000"))</f>
        <v/>
      </c>
      <c r="C689" s="108" t="n"/>
      <c r="D689" s="113">
        <f>IF($E689="","",IFERROR(INDEX(MUSTERILER!$B$7:$B$106,MATCH($U689,MUSTERILER!$T$7:$T$106,0)),IFERROR(INDEX(MUSTERILER!$B$7:$B$106,MATCH($E689,MUSTERILER!$B$7:$B$106,0)),IFERROR(INDEX(MUSTERILER!$B$7:$B$106,MATCH($U689&amp;"*",MUSTERILER!$T$7:$T$106,0)),"TANIMSIZ MÜŞTERİ"))))</f>
        <v/>
      </c>
      <c r="E689" s="109" t="n"/>
      <c r="F689" s="109" t="n"/>
      <c r="G689" s="108" t="n"/>
      <c r="H689" s="220" t="n"/>
      <c r="I689" s="220" t="n"/>
      <c r="J689" s="108" t="n"/>
      <c r="K689" s="108" t="n"/>
      <c r="L689" s="109" t="n"/>
      <c r="M689" s="109" t="n"/>
      <c r="N689" s="109" t="n"/>
      <c r="O689" s="220" t="n"/>
      <c r="P689" s="227">
        <f>IF(OR($E689="",$I689=""),"",IF(OR($J689="Tamamlandı",$J689="İptal"),"",$I689-TODAY()))</f>
        <v/>
      </c>
      <c r="Q689" s="113">
        <f>IF($E689="","",IF($D689="TANIMSIZ MÜŞTERİ","HATA",IF(OR($J689="Tamamlandı",$J689="İptal"),"KAPALI",IF(AND($C689="Görüşme",$N689=""),"SONRAKİ İŞLEM EKSİK",IF($I689="","TARİH EKSİK",IF($I689&lt;TODAY(),"GECİKMİŞ",IF($I689=TODAY(),"BUGÜN",IF($I689&lt;=TODAY()+7,"7 GÜN İÇİNDE","PLANLI"))))))))</f>
        <v/>
      </c>
      <c r="R689" s="6" t="n"/>
      <c r="S689" s="6" t="n"/>
      <c r="T689" s="3" t="n"/>
      <c r="U689" s="3">
        <f>IF($E689="","",UPPER(SUBSTITUTE(SUBSTITUTE(SUBSTITUTE(SUBSTITUTE(SUBSTITUTE(SUBSTITUTE(SUBSTITUTE(SUBSTITUTE(SUBSTITUTE(SUBSTITUTE(SUBSTITUTE(SUBSTITUTE(SUBSTITUTE(SUBSTITUTE(SUBSTITUTE(SUBSTITUTE(SUBSTITUTE(SUBSTITUTE(TRIM($E689),"'",""),"İ","I"),"ı","I"),"i","I"),"Ş","S"),"ş","S"),"Ğ","G"),"ğ","G"),"Ü","U"),"ü","U"),"Ö","O"),"ö","O"),"Ç","C"),"ç","C"),".",""),",","")," ",""),"-","")))</f>
        <v/>
      </c>
    </row>
    <row r="690">
      <c r="A690" s="6" t="n"/>
      <c r="B690" s="113">
        <f>IF($E690="","","A"&amp;TEXT(ROW()-6,"00000"))</f>
        <v/>
      </c>
      <c r="C690" s="108" t="n"/>
      <c r="D690" s="113">
        <f>IF($E690="","",IFERROR(INDEX(MUSTERILER!$B$7:$B$106,MATCH($U690,MUSTERILER!$T$7:$T$106,0)),IFERROR(INDEX(MUSTERILER!$B$7:$B$106,MATCH($E690,MUSTERILER!$B$7:$B$106,0)),IFERROR(INDEX(MUSTERILER!$B$7:$B$106,MATCH($U690&amp;"*",MUSTERILER!$T$7:$T$106,0)),"TANIMSIZ MÜŞTERİ"))))</f>
        <v/>
      </c>
      <c r="E690" s="109" t="n"/>
      <c r="F690" s="109" t="n"/>
      <c r="G690" s="108" t="n"/>
      <c r="H690" s="220" t="n"/>
      <c r="I690" s="220" t="n"/>
      <c r="J690" s="108" t="n"/>
      <c r="K690" s="108" t="n"/>
      <c r="L690" s="109" t="n"/>
      <c r="M690" s="109" t="n"/>
      <c r="N690" s="109" t="n"/>
      <c r="O690" s="220" t="n"/>
      <c r="P690" s="227">
        <f>IF(OR($E690="",$I690=""),"",IF(OR($J690="Tamamlandı",$J690="İptal"),"",$I690-TODAY()))</f>
        <v/>
      </c>
      <c r="Q690" s="113">
        <f>IF($E690="","",IF($D690="TANIMSIZ MÜŞTERİ","HATA",IF(OR($J690="Tamamlandı",$J690="İptal"),"KAPALI",IF(AND($C690="Görüşme",$N690=""),"SONRAKİ İŞLEM EKSİK",IF($I690="","TARİH EKSİK",IF($I690&lt;TODAY(),"GECİKMİŞ",IF($I690=TODAY(),"BUGÜN",IF($I690&lt;=TODAY()+7,"7 GÜN İÇİNDE","PLANLI"))))))))</f>
        <v/>
      </c>
      <c r="R690" s="6" t="n"/>
      <c r="S690" s="6" t="n"/>
      <c r="T690" s="3" t="n"/>
      <c r="U690" s="3">
        <f>IF($E690="","",UPPER(SUBSTITUTE(SUBSTITUTE(SUBSTITUTE(SUBSTITUTE(SUBSTITUTE(SUBSTITUTE(SUBSTITUTE(SUBSTITUTE(SUBSTITUTE(SUBSTITUTE(SUBSTITUTE(SUBSTITUTE(SUBSTITUTE(SUBSTITUTE(SUBSTITUTE(SUBSTITUTE(SUBSTITUTE(SUBSTITUTE(TRIM($E690),"'",""),"İ","I"),"ı","I"),"i","I"),"Ş","S"),"ş","S"),"Ğ","G"),"ğ","G"),"Ü","U"),"ü","U"),"Ö","O"),"ö","O"),"Ç","C"),"ç","C"),".",""),",","")," ",""),"-","")))</f>
        <v/>
      </c>
    </row>
    <row r="691">
      <c r="A691" s="6" t="n"/>
      <c r="B691" s="113">
        <f>IF($E691="","","A"&amp;TEXT(ROW()-6,"00000"))</f>
        <v/>
      </c>
      <c r="C691" s="108" t="n"/>
      <c r="D691" s="113">
        <f>IF($E691="","",IFERROR(INDEX(MUSTERILER!$B$7:$B$106,MATCH($U691,MUSTERILER!$T$7:$T$106,0)),IFERROR(INDEX(MUSTERILER!$B$7:$B$106,MATCH($E691,MUSTERILER!$B$7:$B$106,0)),IFERROR(INDEX(MUSTERILER!$B$7:$B$106,MATCH($U691&amp;"*",MUSTERILER!$T$7:$T$106,0)),"TANIMSIZ MÜŞTERİ"))))</f>
        <v/>
      </c>
      <c r="E691" s="109" t="n"/>
      <c r="F691" s="109" t="n"/>
      <c r="G691" s="108" t="n"/>
      <c r="H691" s="220" t="n"/>
      <c r="I691" s="220" t="n"/>
      <c r="J691" s="108" t="n"/>
      <c r="K691" s="108" t="n"/>
      <c r="L691" s="109" t="n"/>
      <c r="M691" s="109" t="n"/>
      <c r="N691" s="109" t="n"/>
      <c r="O691" s="220" t="n"/>
      <c r="P691" s="227">
        <f>IF(OR($E691="",$I691=""),"",IF(OR($J691="Tamamlandı",$J691="İptal"),"",$I691-TODAY()))</f>
        <v/>
      </c>
      <c r="Q691" s="113">
        <f>IF($E691="","",IF($D691="TANIMSIZ MÜŞTERİ","HATA",IF(OR($J691="Tamamlandı",$J691="İptal"),"KAPALI",IF(AND($C691="Görüşme",$N691=""),"SONRAKİ İŞLEM EKSİK",IF($I691="","TARİH EKSİK",IF($I691&lt;TODAY(),"GECİKMİŞ",IF($I691=TODAY(),"BUGÜN",IF($I691&lt;=TODAY()+7,"7 GÜN İÇİNDE","PLANLI"))))))))</f>
        <v/>
      </c>
      <c r="R691" s="6" t="n"/>
      <c r="S691" s="6" t="n"/>
      <c r="T691" s="3" t="n"/>
      <c r="U691" s="3">
        <f>IF($E691="","",UPPER(SUBSTITUTE(SUBSTITUTE(SUBSTITUTE(SUBSTITUTE(SUBSTITUTE(SUBSTITUTE(SUBSTITUTE(SUBSTITUTE(SUBSTITUTE(SUBSTITUTE(SUBSTITUTE(SUBSTITUTE(SUBSTITUTE(SUBSTITUTE(SUBSTITUTE(SUBSTITUTE(SUBSTITUTE(SUBSTITUTE(TRIM($E691),"'",""),"İ","I"),"ı","I"),"i","I"),"Ş","S"),"ş","S"),"Ğ","G"),"ğ","G"),"Ü","U"),"ü","U"),"Ö","O"),"ö","O"),"Ç","C"),"ç","C"),".",""),",","")," ",""),"-","")))</f>
        <v/>
      </c>
    </row>
    <row r="692">
      <c r="A692" s="6" t="n"/>
      <c r="B692" s="113">
        <f>IF($E692="","","A"&amp;TEXT(ROW()-6,"00000"))</f>
        <v/>
      </c>
      <c r="C692" s="108" t="n"/>
      <c r="D692" s="113">
        <f>IF($E692="","",IFERROR(INDEX(MUSTERILER!$B$7:$B$106,MATCH($U692,MUSTERILER!$T$7:$T$106,0)),IFERROR(INDEX(MUSTERILER!$B$7:$B$106,MATCH($E692,MUSTERILER!$B$7:$B$106,0)),IFERROR(INDEX(MUSTERILER!$B$7:$B$106,MATCH($U692&amp;"*",MUSTERILER!$T$7:$T$106,0)),"TANIMSIZ MÜŞTERİ"))))</f>
        <v/>
      </c>
      <c r="E692" s="109" t="n"/>
      <c r="F692" s="109" t="n"/>
      <c r="G692" s="108" t="n"/>
      <c r="H692" s="220" t="n"/>
      <c r="I692" s="220" t="n"/>
      <c r="J692" s="108" t="n"/>
      <c r="K692" s="108" t="n"/>
      <c r="L692" s="109" t="n"/>
      <c r="M692" s="109" t="n"/>
      <c r="N692" s="109" t="n"/>
      <c r="O692" s="220" t="n"/>
      <c r="P692" s="227">
        <f>IF(OR($E692="",$I692=""),"",IF(OR($J692="Tamamlandı",$J692="İptal"),"",$I692-TODAY()))</f>
        <v/>
      </c>
      <c r="Q692" s="113">
        <f>IF($E692="","",IF($D692="TANIMSIZ MÜŞTERİ","HATA",IF(OR($J692="Tamamlandı",$J692="İptal"),"KAPALI",IF(AND($C692="Görüşme",$N692=""),"SONRAKİ İŞLEM EKSİK",IF($I692="","TARİH EKSİK",IF($I692&lt;TODAY(),"GECİKMİŞ",IF($I692=TODAY(),"BUGÜN",IF($I692&lt;=TODAY()+7,"7 GÜN İÇİNDE","PLANLI"))))))))</f>
        <v/>
      </c>
      <c r="R692" s="6" t="n"/>
      <c r="S692" s="6" t="n"/>
      <c r="T692" s="3" t="n"/>
      <c r="U692" s="3">
        <f>IF($E692="","",UPPER(SUBSTITUTE(SUBSTITUTE(SUBSTITUTE(SUBSTITUTE(SUBSTITUTE(SUBSTITUTE(SUBSTITUTE(SUBSTITUTE(SUBSTITUTE(SUBSTITUTE(SUBSTITUTE(SUBSTITUTE(SUBSTITUTE(SUBSTITUTE(SUBSTITUTE(SUBSTITUTE(SUBSTITUTE(SUBSTITUTE(TRIM($E692),"'",""),"İ","I"),"ı","I"),"i","I"),"Ş","S"),"ş","S"),"Ğ","G"),"ğ","G"),"Ü","U"),"ü","U"),"Ö","O"),"ö","O"),"Ç","C"),"ç","C"),".",""),",","")," ",""),"-","")))</f>
        <v/>
      </c>
    </row>
    <row r="693">
      <c r="A693" s="6" t="n"/>
      <c r="B693" s="113">
        <f>IF($E693="","","A"&amp;TEXT(ROW()-6,"00000"))</f>
        <v/>
      </c>
      <c r="C693" s="108" t="n"/>
      <c r="D693" s="113">
        <f>IF($E693="","",IFERROR(INDEX(MUSTERILER!$B$7:$B$106,MATCH($U693,MUSTERILER!$T$7:$T$106,0)),IFERROR(INDEX(MUSTERILER!$B$7:$B$106,MATCH($E693,MUSTERILER!$B$7:$B$106,0)),IFERROR(INDEX(MUSTERILER!$B$7:$B$106,MATCH($U693&amp;"*",MUSTERILER!$T$7:$T$106,0)),"TANIMSIZ MÜŞTERİ"))))</f>
        <v/>
      </c>
      <c r="E693" s="109" t="n"/>
      <c r="F693" s="109" t="n"/>
      <c r="G693" s="108" t="n"/>
      <c r="H693" s="220" t="n"/>
      <c r="I693" s="220" t="n"/>
      <c r="J693" s="108" t="n"/>
      <c r="K693" s="108" t="n"/>
      <c r="L693" s="109" t="n"/>
      <c r="M693" s="109" t="n"/>
      <c r="N693" s="109" t="n"/>
      <c r="O693" s="220" t="n"/>
      <c r="P693" s="227">
        <f>IF(OR($E693="",$I693=""),"",IF(OR($J693="Tamamlandı",$J693="İptal"),"",$I693-TODAY()))</f>
        <v/>
      </c>
      <c r="Q693" s="113">
        <f>IF($E693="","",IF($D693="TANIMSIZ MÜŞTERİ","HATA",IF(OR($J693="Tamamlandı",$J693="İptal"),"KAPALI",IF(AND($C693="Görüşme",$N693=""),"SONRAKİ İŞLEM EKSİK",IF($I693="","TARİH EKSİK",IF($I693&lt;TODAY(),"GECİKMİŞ",IF($I693=TODAY(),"BUGÜN",IF($I693&lt;=TODAY()+7,"7 GÜN İÇİNDE","PLANLI"))))))))</f>
        <v/>
      </c>
      <c r="R693" s="6" t="n"/>
      <c r="S693" s="6" t="n"/>
      <c r="T693" s="3" t="n"/>
      <c r="U693" s="3">
        <f>IF($E693="","",UPPER(SUBSTITUTE(SUBSTITUTE(SUBSTITUTE(SUBSTITUTE(SUBSTITUTE(SUBSTITUTE(SUBSTITUTE(SUBSTITUTE(SUBSTITUTE(SUBSTITUTE(SUBSTITUTE(SUBSTITUTE(SUBSTITUTE(SUBSTITUTE(SUBSTITUTE(SUBSTITUTE(SUBSTITUTE(SUBSTITUTE(TRIM($E693),"'",""),"İ","I"),"ı","I"),"i","I"),"Ş","S"),"ş","S"),"Ğ","G"),"ğ","G"),"Ü","U"),"ü","U"),"Ö","O"),"ö","O"),"Ç","C"),"ç","C"),".",""),",","")," ",""),"-","")))</f>
        <v/>
      </c>
    </row>
    <row r="694">
      <c r="A694" s="6" t="n"/>
      <c r="B694" s="113">
        <f>IF($E694="","","A"&amp;TEXT(ROW()-6,"00000"))</f>
        <v/>
      </c>
      <c r="C694" s="108" t="n"/>
      <c r="D694" s="113">
        <f>IF($E694="","",IFERROR(INDEX(MUSTERILER!$B$7:$B$106,MATCH($U694,MUSTERILER!$T$7:$T$106,0)),IFERROR(INDEX(MUSTERILER!$B$7:$B$106,MATCH($E694,MUSTERILER!$B$7:$B$106,0)),IFERROR(INDEX(MUSTERILER!$B$7:$B$106,MATCH($U694&amp;"*",MUSTERILER!$T$7:$T$106,0)),"TANIMSIZ MÜŞTERİ"))))</f>
        <v/>
      </c>
      <c r="E694" s="109" t="n"/>
      <c r="F694" s="109" t="n"/>
      <c r="G694" s="108" t="n"/>
      <c r="H694" s="220" t="n"/>
      <c r="I694" s="220" t="n"/>
      <c r="J694" s="108" t="n"/>
      <c r="K694" s="108" t="n"/>
      <c r="L694" s="109" t="n"/>
      <c r="M694" s="109" t="n"/>
      <c r="N694" s="109" t="n"/>
      <c r="O694" s="220" t="n"/>
      <c r="P694" s="227">
        <f>IF(OR($E694="",$I694=""),"",IF(OR($J694="Tamamlandı",$J694="İptal"),"",$I694-TODAY()))</f>
        <v/>
      </c>
      <c r="Q694" s="113">
        <f>IF($E694="","",IF($D694="TANIMSIZ MÜŞTERİ","HATA",IF(OR($J694="Tamamlandı",$J694="İptal"),"KAPALI",IF(AND($C694="Görüşme",$N694=""),"SONRAKİ İŞLEM EKSİK",IF($I694="","TARİH EKSİK",IF($I694&lt;TODAY(),"GECİKMİŞ",IF($I694=TODAY(),"BUGÜN",IF($I694&lt;=TODAY()+7,"7 GÜN İÇİNDE","PLANLI"))))))))</f>
        <v/>
      </c>
      <c r="R694" s="6" t="n"/>
      <c r="S694" s="6" t="n"/>
      <c r="T694" s="3" t="n"/>
      <c r="U694" s="3">
        <f>IF($E694="","",UPPER(SUBSTITUTE(SUBSTITUTE(SUBSTITUTE(SUBSTITUTE(SUBSTITUTE(SUBSTITUTE(SUBSTITUTE(SUBSTITUTE(SUBSTITUTE(SUBSTITUTE(SUBSTITUTE(SUBSTITUTE(SUBSTITUTE(SUBSTITUTE(SUBSTITUTE(SUBSTITUTE(SUBSTITUTE(SUBSTITUTE(TRIM($E694),"'",""),"İ","I"),"ı","I"),"i","I"),"Ş","S"),"ş","S"),"Ğ","G"),"ğ","G"),"Ü","U"),"ü","U"),"Ö","O"),"ö","O"),"Ç","C"),"ç","C"),".",""),",","")," ",""),"-","")))</f>
        <v/>
      </c>
    </row>
    <row r="695">
      <c r="A695" s="6" t="n"/>
      <c r="B695" s="113">
        <f>IF($E695="","","A"&amp;TEXT(ROW()-6,"00000"))</f>
        <v/>
      </c>
      <c r="C695" s="108" t="n"/>
      <c r="D695" s="113">
        <f>IF($E695="","",IFERROR(INDEX(MUSTERILER!$B$7:$B$106,MATCH($U695,MUSTERILER!$T$7:$T$106,0)),IFERROR(INDEX(MUSTERILER!$B$7:$B$106,MATCH($E695,MUSTERILER!$B$7:$B$106,0)),IFERROR(INDEX(MUSTERILER!$B$7:$B$106,MATCH($U695&amp;"*",MUSTERILER!$T$7:$T$106,0)),"TANIMSIZ MÜŞTERİ"))))</f>
        <v/>
      </c>
      <c r="E695" s="109" t="n"/>
      <c r="F695" s="109" t="n"/>
      <c r="G695" s="108" t="n"/>
      <c r="H695" s="220" t="n"/>
      <c r="I695" s="220" t="n"/>
      <c r="J695" s="108" t="n"/>
      <c r="K695" s="108" t="n"/>
      <c r="L695" s="109" t="n"/>
      <c r="M695" s="109" t="n"/>
      <c r="N695" s="109" t="n"/>
      <c r="O695" s="220" t="n"/>
      <c r="P695" s="227">
        <f>IF(OR($E695="",$I695=""),"",IF(OR($J695="Tamamlandı",$J695="İptal"),"",$I695-TODAY()))</f>
        <v/>
      </c>
      <c r="Q695" s="113">
        <f>IF($E695="","",IF($D695="TANIMSIZ MÜŞTERİ","HATA",IF(OR($J695="Tamamlandı",$J695="İptal"),"KAPALI",IF(AND($C695="Görüşme",$N695=""),"SONRAKİ İŞLEM EKSİK",IF($I695="","TARİH EKSİK",IF($I695&lt;TODAY(),"GECİKMİŞ",IF($I695=TODAY(),"BUGÜN",IF($I695&lt;=TODAY()+7,"7 GÜN İÇİNDE","PLANLI"))))))))</f>
        <v/>
      </c>
      <c r="R695" s="6" t="n"/>
      <c r="S695" s="6" t="n"/>
      <c r="T695" s="3" t="n"/>
      <c r="U695" s="3">
        <f>IF($E695="","",UPPER(SUBSTITUTE(SUBSTITUTE(SUBSTITUTE(SUBSTITUTE(SUBSTITUTE(SUBSTITUTE(SUBSTITUTE(SUBSTITUTE(SUBSTITUTE(SUBSTITUTE(SUBSTITUTE(SUBSTITUTE(SUBSTITUTE(SUBSTITUTE(SUBSTITUTE(SUBSTITUTE(SUBSTITUTE(SUBSTITUTE(TRIM($E695),"'",""),"İ","I"),"ı","I"),"i","I"),"Ş","S"),"ş","S"),"Ğ","G"),"ğ","G"),"Ü","U"),"ü","U"),"Ö","O"),"ö","O"),"Ç","C"),"ç","C"),".",""),",","")," ",""),"-","")))</f>
        <v/>
      </c>
    </row>
    <row r="696">
      <c r="A696" s="6" t="n"/>
      <c r="B696" s="113">
        <f>IF($E696="","","A"&amp;TEXT(ROW()-6,"00000"))</f>
        <v/>
      </c>
      <c r="C696" s="108" t="n"/>
      <c r="D696" s="113">
        <f>IF($E696="","",IFERROR(INDEX(MUSTERILER!$B$7:$B$106,MATCH($U696,MUSTERILER!$T$7:$T$106,0)),IFERROR(INDEX(MUSTERILER!$B$7:$B$106,MATCH($E696,MUSTERILER!$B$7:$B$106,0)),IFERROR(INDEX(MUSTERILER!$B$7:$B$106,MATCH($U696&amp;"*",MUSTERILER!$T$7:$T$106,0)),"TANIMSIZ MÜŞTERİ"))))</f>
        <v/>
      </c>
      <c r="E696" s="109" t="n"/>
      <c r="F696" s="109" t="n"/>
      <c r="G696" s="108" t="n"/>
      <c r="H696" s="220" t="n"/>
      <c r="I696" s="220" t="n"/>
      <c r="J696" s="108" t="n"/>
      <c r="K696" s="108" t="n"/>
      <c r="L696" s="109" t="n"/>
      <c r="M696" s="109" t="n"/>
      <c r="N696" s="109" t="n"/>
      <c r="O696" s="220" t="n"/>
      <c r="P696" s="227">
        <f>IF(OR($E696="",$I696=""),"",IF(OR($J696="Tamamlandı",$J696="İptal"),"",$I696-TODAY()))</f>
        <v/>
      </c>
      <c r="Q696" s="113">
        <f>IF($E696="","",IF($D696="TANIMSIZ MÜŞTERİ","HATA",IF(OR($J696="Tamamlandı",$J696="İptal"),"KAPALI",IF(AND($C696="Görüşme",$N696=""),"SONRAKİ İŞLEM EKSİK",IF($I696="","TARİH EKSİK",IF($I696&lt;TODAY(),"GECİKMİŞ",IF($I696=TODAY(),"BUGÜN",IF($I696&lt;=TODAY()+7,"7 GÜN İÇİNDE","PLANLI"))))))))</f>
        <v/>
      </c>
      <c r="R696" s="6" t="n"/>
      <c r="S696" s="6" t="n"/>
      <c r="T696" s="3" t="n"/>
      <c r="U696" s="3">
        <f>IF($E696="","",UPPER(SUBSTITUTE(SUBSTITUTE(SUBSTITUTE(SUBSTITUTE(SUBSTITUTE(SUBSTITUTE(SUBSTITUTE(SUBSTITUTE(SUBSTITUTE(SUBSTITUTE(SUBSTITUTE(SUBSTITUTE(SUBSTITUTE(SUBSTITUTE(SUBSTITUTE(SUBSTITUTE(SUBSTITUTE(SUBSTITUTE(TRIM($E696),"'",""),"İ","I"),"ı","I"),"i","I"),"Ş","S"),"ş","S"),"Ğ","G"),"ğ","G"),"Ü","U"),"ü","U"),"Ö","O"),"ö","O"),"Ç","C"),"ç","C"),".",""),",","")," ",""),"-","")))</f>
        <v/>
      </c>
    </row>
    <row r="697">
      <c r="A697" s="6" t="n"/>
      <c r="B697" s="113">
        <f>IF($E697="","","A"&amp;TEXT(ROW()-6,"00000"))</f>
        <v/>
      </c>
      <c r="C697" s="108" t="n"/>
      <c r="D697" s="113">
        <f>IF($E697="","",IFERROR(INDEX(MUSTERILER!$B$7:$B$106,MATCH($U697,MUSTERILER!$T$7:$T$106,0)),IFERROR(INDEX(MUSTERILER!$B$7:$B$106,MATCH($E697,MUSTERILER!$B$7:$B$106,0)),IFERROR(INDEX(MUSTERILER!$B$7:$B$106,MATCH($U697&amp;"*",MUSTERILER!$T$7:$T$106,0)),"TANIMSIZ MÜŞTERİ"))))</f>
        <v/>
      </c>
      <c r="E697" s="109" t="n"/>
      <c r="F697" s="109" t="n"/>
      <c r="G697" s="108" t="n"/>
      <c r="H697" s="220" t="n"/>
      <c r="I697" s="220" t="n"/>
      <c r="J697" s="108" t="n"/>
      <c r="K697" s="108" t="n"/>
      <c r="L697" s="109" t="n"/>
      <c r="M697" s="109" t="n"/>
      <c r="N697" s="109" t="n"/>
      <c r="O697" s="220" t="n"/>
      <c r="P697" s="227">
        <f>IF(OR($E697="",$I697=""),"",IF(OR($J697="Tamamlandı",$J697="İptal"),"",$I697-TODAY()))</f>
        <v/>
      </c>
      <c r="Q697" s="113">
        <f>IF($E697="","",IF($D697="TANIMSIZ MÜŞTERİ","HATA",IF(OR($J697="Tamamlandı",$J697="İptal"),"KAPALI",IF(AND($C697="Görüşme",$N697=""),"SONRAKİ İŞLEM EKSİK",IF($I697="","TARİH EKSİK",IF($I697&lt;TODAY(),"GECİKMİŞ",IF($I697=TODAY(),"BUGÜN",IF($I697&lt;=TODAY()+7,"7 GÜN İÇİNDE","PLANLI"))))))))</f>
        <v/>
      </c>
      <c r="R697" s="6" t="n"/>
      <c r="S697" s="6" t="n"/>
      <c r="T697" s="3" t="n"/>
      <c r="U697" s="3">
        <f>IF($E697="","",UPPER(SUBSTITUTE(SUBSTITUTE(SUBSTITUTE(SUBSTITUTE(SUBSTITUTE(SUBSTITUTE(SUBSTITUTE(SUBSTITUTE(SUBSTITUTE(SUBSTITUTE(SUBSTITUTE(SUBSTITUTE(SUBSTITUTE(SUBSTITUTE(SUBSTITUTE(SUBSTITUTE(SUBSTITUTE(SUBSTITUTE(TRIM($E697),"'",""),"İ","I"),"ı","I"),"i","I"),"Ş","S"),"ş","S"),"Ğ","G"),"ğ","G"),"Ü","U"),"ü","U"),"Ö","O"),"ö","O"),"Ç","C"),"ç","C"),".",""),",","")," ",""),"-","")))</f>
        <v/>
      </c>
    </row>
    <row r="698">
      <c r="A698" s="6" t="n"/>
      <c r="B698" s="113">
        <f>IF($E698="","","A"&amp;TEXT(ROW()-6,"00000"))</f>
        <v/>
      </c>
      <c r="C698" s="108" t="n"/>
      <c r="D698" s="113">
        <f>IF($E698="","",IFERROR(INDEX(MUSTERILER!$B$7:$B$106,MATCH($U698,MUSTERILER!$T$7:$T$106,0)),IFERROR(INDEX(MUSTERILER!$B$7:$B$106,MATCH($E698,MUSTERILER!$B$7:$B$106,0)),IFERROR(INDEX(MUSTERILER!$B$7:$B$106,MATCH($U698&amp;"*",MUSTERILER!$T$7:$T$106,0)),"TANIMSIZ MÜŞTERİ"))))</f>
        <v/>
      </c>
      <c r="E698" s="109" t="n"/>
      <c r="F698" s="109" t="n"/>
      <c r="G698" s="108" t="n"/>
      <c r="H698" s="220" t="n"/>
      <c r="I698" s="220" t="n"/>
      <c r="J698" s="108" t="n"/>
      <c r="K698" s="108" t="n"/>
      <c r="L698" s="109" t="n"/>
      <c r="M698" s="109" t="n"/>
      <c r="N698" s="109" t="n"/>
      <c r="O698" s="220" t="n"/>
      <c r="P698" s="227">
        <f>IF(OR($E698="",$I698=""),"",IF(OR($J698="Tamamlandı",$J698="İptal"),"",$I698-TODAY()))</f>
        <v/>
      </c>
      <c r="Q698" s="113">
        <f>IF($E698="","",IF($D698="TANIMSIZ MÜŞTERİ","HATA",IF(OR($J698="Tamamlandı",$J698="İptal"),"KAPALI",IF(AND($C698="Görüşme",$N698=""),"SONRAKİ İŞLEM EKSİK",IF($I698="","TARİH EKSİK",IF($I698&lt;TODAY(),"GECİKMİŞ",IF($I698=TODAY(),"BUGÜN",IF($I698&lt;=TODAY()+7,"7 GÜN İÇİNDE","PLANLI"))))))))</f>
        <v/>
      </c>
      <c r="R698" s="6" t="n"/>
      <c r="S698" s="6" t="n"/>
      <c r="T698" s="3" t="n"/>
      <c r="U698" s="3">
        <f>IF($E698="","",UPPER(SUBSTITUTE(SUBSTITUTE(SUBSTITUTE(SUBSTITUTE(SUBSTITUTE(SUBSTITUTE(SUBSTITUTE(SUBSTITUTE(SUBSTITUTE(SUBSTITUTE(SUBSTITUTE(SUBSTITUTE(SUBSTITUTE(SUBSTITUTE(SUBSTITUTE(SUBSTITUTE(SUBSTITUTE(SUBSTITUTE(TRIM($E698),"'",""),"İ","I"),"ı","I"),"i","I"),"Ş","S"),"ş","S"),"Ğ","G"),"ğ","G"),"Ü","U"),"ü","U"),"Ö","O"),"ö","O"),"Ç","C"),"ç","C"),".",""),",","")," ",""),"-","")))</f>
        <v/>
      </c>
    </row>
    <row r="699">
      <c r="A699" s="6" t="n"/>
      <c r="B699" s="113">
        <f>IF($E699="","","A"&amp;TEXT(ROW()-6,"00000"))</f>
        <v/>
      </c>
      <c r="C699" s="108" t="n"/>
      <c r="D699" s="113">
        <f>IF($E699="","",IFERROR(INDEX(MUSTERILER!$B$7:$B$106,MATCH($U699,MUSTERILER!$T$7:$T$106,0)),IFERROR(INDEX(MUSTERILER!$B$7:$B$106,MATCH($E699,MUSTERILER!$B$7:$B$106,0)),IFERROR(INDEX(MUSTERILER!$B$7:$B$106,MATCH($U699&amp;"*",MUSTERILER!$T$7:$T$106,0)),"TANIMSIZ MÜŞTERİ"))))</f>
        <v/>
      </c>
      <c r="E699" s="109" t="n"/>
      <c r="F699" s="109" t="n"/>
      <c r="G699" s="108" t="n"/>
      <c r="H699" s="220" t="n"/>
      <c r="I699" s="220" t="n"/>
      <c r="J699" s="108" t="n"/>
      <c r="K699" s="108" t="n"/>
      <c r="L699" s="109" t="n"/>
      <c r="M699" s="109" t="n"/>
      <c r="N699" s="109" t="n"/>
      <c r="O699" s="220" t="n"/>
      <c r="P699" s="227">
        <f>IF(OR($E699="",$I699=""),"",IF(OR($J699="Tamamlandı",$J699="İptal"),"",$I699-TODAY()))</f>
        <v/>
      </c>
      <c r="Q699" s="113">
        <f>IF($E699="","",IF($D699="TANIMSIZ MÜŞTERİ","HATA",IF(OR($J699="Tamamlandı",$J699="İptal"),"KAPALI",IF(AND($C699="Görüşme",$N699=""),"SONRAKİ İŞLEM EKSİK",IF($I699="","TARİH EKSİK",IF($I699&lt;TODAY(),"GECİKMİŞ",IF($I699=TODAY(),"BUGÜN",IF($I699&lt;=TODAY()+7,"7 GÜN İÇİNDE","PLANLI"))))))))</f>
        <v/>
      </c>
      <c r="R699" s="6" t="n"/>
      <c r="S699" s="6" t="n"/>
      <c r="T699" s="3" t="n"/>
      <c r="U699" s="3">
        <f>IF($E699="","",UPPER(SUBSTITUTE(SUBSTITUTE(SUBSTITUTE(SUBSTITUTE(SUBSTITUTE(SUBSTITUTE(SUBSTITUTE(SUBSTITUTE(SUBSTITUTE(SUBSTITUTE(SUBSTITUTE(SUBSTITUTE(SUBSTITUTE(SUBSTITUTE(SUBSTITUTE(SUBSTITUTE(SUBSTITUTE(SUBSTITUTE(TRIM($E699),"'",""),"İ","I"),"ı","I"),"i","I"),"Ş","S"),"ş","S"),"Ğ","G"),"ğ","G"),"Ü","U"),"ü","U"),"Ö","O"),"ö","O"),"Ç","C"),"ç","C"),".",""),",","")," ",""),"-","")))</f>
        <v/>
      </c>
    </row>
    <row r="700">
      <c r="A700" s="6" t="n"/>
      <c r="B700" s="113">
        <f>IF($E700="","","A"&amp;TEXT(ROW()-6,"00000"))</f>
        <v/>
      </c>
      <c r="C700" s="108" t="n"/>
      <c r="D700" s="113">
        <f>IF($E700="","",IFERROR(INDEX(MUSTERILER!$B$7:$B$106,MATCH($U700,MUSTERILER!$T$7:$T$106,0)),IFERROR(INDEX(MUSTERILER!$B$7:$B$106,MATCH($E700,MUSTERILER!$B$7:$B$106,0)),IFERROR(INDEX(MUSTERILER!$B$7:$B$106,MATCH($U700&amp;"*",MUSTERILER!$T$7:$T$106,0)),"TANIMSIZ MÜŞTERİ"))))</f>
        <v/>
      </c>
      <c r="E700" s="109" t="n"/>
      <c r="F700" s="109" t="n"/>
      <c r="G700" s="108" t="n"/>
      <c r="H700" s="220" t="n"/>
      <c r="I700" s="220" t="n"/>
      <c r="J700" s="108" t="n"/>
      <c r="K700" s="108" t="n"/>
      <c r="L700" s="109" t="n"/>
      <c r="M700" s="109" t="n"/>
      <c r="N700" s="109" t="n"/>
      <c r="O700" s="220" t="n"/>
      <c r="P700" s="227">
        <f>IF(OR($E700="",$I700=""),"",IF(OR($J700="Tamamlandı",$J700="İptal"),"",$I700-TODAY()))</f>
        <v/>
      </c>
      <c r="Q700" s="113">
        <f>IF($E700="","",IF($D700="TANIMSIZ MÜŞTERİ","HATA",IF(OR($J700="Tamamlandı",$J700="İptal"),"KAPALI",IF(AND($C700="Görüşme",$N700=""),"SONRAKİ İŞLEM EKSİK",IF($I700="","TARİH EKSİK",IF($I700&lt;TODAY(),"GECİKMİŞ",IF($I700=TODAY(),"BUGÜN",IF($I700&lt;=TODAY()+7,"7 GÜN İÇİNDE","PLANLI"))))))))</f>
        <v/>
      </c>
      <c r="R700" s="6" t="n"/>
      <c r="S700" s="6" t="n"/>
      <c r="T700" s="3" t="n"/>
      <c r="U700" s="3">
        <f>IF($E700="","",UPPER(SUBSTITUTE(SUBSTITUTE(SUBSTITUTE(SUBSTITUTE(SUBSTITUTE(SUBSTITUTE(SUBSTITUTE(SUBSTITUTE(SUBSTITUTE(SUBSTITUTE(SUBSTITUTE(SUBSTITUTE(SUBSTITUTE(SUBSTITUTE(SUBSTITUTE(SUBSTITUTE(SUBSTITUTE(SUBSTITUTE(TRIM($E700),"'",""),"İ","I"),"ı","I"),"i","I"),"Ş","S"),"ş","S"),"Ğ","G"),"ğ","G"),"Ü","U"),"ü","U"),"Ö","O"),"ö","O"),"Ç","C"),"ç","C"),".",""),",","")," ",""),"-","")))</f>
        <v/>
      </c>
    </row>
    <row r="701">
      <c r="A701" s="6" t="n"/>
      <c r="B701" s="113">
        <f>IF($E701="","","A"&amp;TEXT(ROW()-6,"00000"))</f>
        <v/>
      </c>
      <c r="C701" s="108" t="n"/>
      <c r="D701" s="113">
        <f>IF($E701="","",IFERROR(INDEX(MUSTERILER!$B$7:$B$106,MATCH($U701,MUSTERILER!$T$7:$T$106,0)),IFERROR(INDEX(MUSTERILER!$B$7:$B$106,MATCH($E701,MUSTERILER!$B$7:$B$106,0)),IFERROR(INDEX(MUSTERILER!$B$7:$B$106,MATCH($U701&amp;"*",MUSTERILER!$T$7:$T$106,0)),"TANIMSIZ MÜŞTERİ"))))</f>
        <v/>
      </c>
      <c r="E701" s="109" t="n"/>
      <c r="F701" s="109" t="n"/>
      <c r="G701" s="108" t="n"/>
      <c r="H701" s="220" t="n"/>
      <c r="I701" s="220" t="n"/>
      <c r="J701" s="108" t="n"/>
      <c r="K701" s="108" t="n"/>
      <c r="L701" s="109" t="n"/>
      <c r="M701" s="109" t="n"/>
      <c r="N701" s="109" t="n"/>
      <c r="O701" s="220" t="n"/>
      <c r="P701" s="227">
        <f>IF(OR($E701="",$I701=""),"",IF(OR($J701="Tamamlandı",$J701="İptal"),"",$I701-TODAY()))</f>
        <v/>
      </c>
      <c r="Q701" s="113">
        <f>IF($E701="","",IF($D701="TANIMSIZ MÜŞTERİ","HATA",IF(OR($J701="Tamamlandı",$J701="İptal"),"KAPALI",IF(AND($C701="Görüşme",$N701=""),"SONRAKİ İŞLEM EKSİK",IF($I701="","TARİH EKSİK",IF($I701&lt;TODAY(),"GECİKMİŞ",IF($I701=TODAY(),"BUGÜN",IF($I701&lt;=TODAY()+7,"7 GÜN İÇİNDE","PLANLI"))))))))</f>
        <v/>
      </c>
      <c r="R701" s="6" t="n"/>
      <c r="S701" s="6" t="n"/>
      <c r="T701" s="3" t="n"/>
      <c r="U701" s="3">
        <f>IF($E701="","",UPPER(SUBSTITUTE(SUBSTITUTE(SUBSTITUTE(SUBSTITUTE(SUBSTITUTE(SUBSTITUTE(SUBSTITUTE(SUBSTITUTE(SUBSTITUTE(SUBSTITUTE(SUBSTITUTE(SUBSTITUTE(SUBSTITUTE(SUBSTITUTE(SUBSTITUTE(SUBSTITUTE(SUBSTITUTE(SUBSTITUTE(TRIM($E701),"'",""),"İ","I"),"ı","I"),"i","I"),"Ş","S"),"ş","S"),"Ğ","G"),"ğ","G"),"Ü","U"),"ü","U"),"Ö","O"),"ö","O"),"Ç","C"),"ç","C"),".",""),",","")," ",""),"-","")))</f>
        <v/>
      </c>
    </row>
    <row r="702">
      <c r="A702" s="6" t="n"/>
      <c r="B702" s="113">
        <f>IF($E702="","","A"&amp;TEXT(ROW()-6,"00000"))</f>
        <v/>
      </c>
      <c r="C702" s="108" t="n"/>
      <c r="D702" s="113">
        <f>IF($E702="","",IFERROR(INDEX(MUSTERILER!$B$7:$B$106,MATCH($U702,MUSTERILER!$T$7:$T$106,0)),IFERROR(INDEX(MUSTERILER!$B$7:$B$106,MATCH($E702,MUSTERILER!$B$7:$B$106,0)),IFERROR(INDEX(MUSTERILER!$B$7:$B$106,MATCH($U702&amp;"*",MUSTERILER!$T$7:$T$106,0)),"TANIMSIZ MÜŞTERİ"))))</f>
        <v/>
      </c>
      <c r="E702" s="109" t="n"/>
      <c r="F702" s="109" t="n"/>
      <c r="G702" s="108" t="n"/>
      <c r="H702" s="220" t="n"/>
      <c r="I702" s="220" t="n"/>
      <c r="J702" s="108" t="n"/>
      <c r="K702" s="108" t="n"/>
      <c r="L702" s="109" t="n"/>
      <c r="M702" s="109" t="n"/>
      <c r="N702" s="109" t="n"/>
      <c r="O702" s="220" t="n"/>
      <c r="P702" s="227">
        <f>IF(OR($E702="",$I702=""),"",IF(OR($J702="Tamamlandı",$J702="İptal"),"",$I702-TODAY()))</f>
        <v/>
      </c>
      <c r="Q702" s="113">
        <f>IF($E702="","",IF($D702="TANIMSIZ MÜŞTERİ","HATA",IF(OR($J702="Tamamlandı",$J702="İptal"),"KAPALI",IF(AND($C702="Görüşme",$N702=""),"SONRAKİ İŞLEM EKSİK",IF($I702="","TARİH EKSİK",IF($I702&lt;TODAY(),"GECİKMİŞ",IF($I702=TODAY(),"BUGÜN",IF($I702&lt;=TODAY()+7,"7 GÜN İÇİNDE","PLANLI"))))))))</f>
        <v/>
      </c>
      <c r="R702" s="6" t="n"/>
      <c r="S702" s="6" t="n"/>
      <c r="T702" s="3" t="n"/>
      <c r="U702" s="3">
        <f>IF($E702="","",UPPER(SUBSTITUTE(SUBSTITUTE(SUBSTITUTE(SUBSTITUTE(SUBSTITUTE(SUBSTITUTE(SUBSTITUTE(SUBSTITUTE(SUBSTITUTE(SUBSTITUTE(SUBSTITUTE(SUBSTITUTE(SUBSTITUTE(SUBSTITUTE(SUBSTITUTE(SUBSTITUTE(SUBSTITUTE(SUBSTITUTE(TRIM($E702),"'",""),"İ","I"),"ı","I"),"i","I"),"Ş","S"),"ş","S"),"Ğ","G"),"ğ","G"),"Ü","U"),"ü","U"),"Ö","O"),"ö","O"),"Ç","C"),"ç","C"),".",""),",","")," ",""),"-","")))</f>
        <v/>
      </c>
    </row>
    <row r="703">
      <c r="A703" s="6" t="n"/>
      <c r="B703" s="113">
        <f>IF($E703="","","A"&amp;TEXT(ROW()-6,"00000"))</f>
        <v/>
      </c>
      <c r="C703" s="108" t="n"/>
      <c r="D703" s="113">
        <f>IF($E703="","",IFERROR(INDEX(MUSTERILER!$B$7:$B$106,MATCH($U703,MUSTERILER!$T$7:$T$106,0)),IFERROR(INDEX(MUSTERILER!$B$7:$B$106,MATCH($E703,MUSTERILER!$B$7:$B$106,0)),IFERROR(INDEX(MUSTERILER!$B$7:$B$106,MATCH($U703&amp;"*",MUSTERILER!$T$7:$T$106,0)),"TANIMSIZ MÜŞTERİ"))))</f>
        <v/>
      </c>
      <c r="E703" s="109" t="n"/>
      <c r="F703" s="109" t="n"/>
      <c r="G703" s="108" t="n"/>
      <c r="H703" s="220" t="n"/>
      <c r="I703" s="220" t="n"/>
      <c r="J703" s="108" t="n"/>
      <c r="K703" s="108" t="n"/>
      <c r="L703" s="109" t="n"/>
      <c r="M703" s="109" t="n"/>
      <c r="N703" s="109" t="n"/>
      <c r="O703" s="220" t="n"/>
      <c r="P703" s="227">
        <f>IF(OR($E703="",$I703=""),"",IF(OR($J703="Tamamlandı",$J703="İptal"),"",$I703-TODAY()))</f>
        <v/>
      </c>
      <c r="Q703" s="113">
        <f>IF($E703="","",IF($D703="TANIMSIZ MÜŞTERİ","HATA",IF(OR($J703="Tamamlandı",$J703="İptal"),"KAPALI",IF(AND($C703="Görüşme",$N703=""),"SONRAKİ İŞLEM EKSİK",IF($I703="","TARİH EKSİK",IF($I703&lt;TODAY(),"GECİKMİŞ",IF($I703=TODAY(),"BUGÜN",IF($I703&lt;=TODAY()+7,"7 GÜN İÇİNDE","PLANLI"))))))))</f>
        <v/>
      </c>
      <c r="R703" s="6" t="n"/>
      <c r="S703" s="6" t="n"/>
      <c r="T703" s="3" t="n"/>
      <c r="U703" s="3">
        <f>IF($E703="","",UPPER(SUBSTITUTE(SUBSTITUTE(SUBSTITUTE(SUBSTITUTE(SUBSTITUTE(SUBSTITUTE(SUBSTITUTE(SUBSTITUTE(SUBSTITUTE(SUBSTITUTE(SUBSTITUTE(SUBSTITUTE(SUBSTITUTE(SUBSTITUTE(SUBSTITUTE(SUBSTITUTE(SUBSTITUTE(SUBSTITUTE(TRIM($E703),"'",""),"İ","I"),"ı","I"),"i","I"),"Ş","S"),"ş","S"),"Ğ","G"),"ğ","G"),"Ü","U"),"ü","U"),"Ö","O"),"ö","O"),"Ç","C"),"ç","C"),".",""),",","")," ",""),"-","")))</f>
        <v/>
      </c>
    </row>
    <row r="704">
      <c r="A704" s="6" t="n"/>
      <c r="B704" s="113">
        <f>IF($E704="","","A"&amp;TEXT(ROW()-6,"00000"))</f>
        <v/>
      </c>
      <c r="C704" s="108" t="n"/>
      <c r="D704" s="113">
        <f>IF($E704="","",IFERROR(INDEX(MUSTERILER!$B$7:$B$106,MATCH($U704,MUSTERILER!$T$7:$T$106,0)),IFERROR(INDEX(MUSTERILER!$B$7:$B$106,MATCH($E704,MUSTERILER!$B$7:$B$106,0)),IFERROR(INDEX(MUSTERILER!$B$7:$B$106,MATCH($U704&amp;"*",MUSTERILER!$T$7:$T$106,0)),"TANIMSIZ MÜŞTERİ"))))</f>
        <v/>
      </c>
      <c r="E704" s="109" t="n"/>
      <c r="F704" s="109" t="n"/>
      <c r="G704" s="108" t="n"/>
      <c r="H704" s="220" t="n"/>
      <c r="I704" s="220" t="n"/>
      <c r="J704" s="108" t="n"/>
      <c r="K704" s="108" t="n"/>
      <c r="L704" s="109" t="n"/>
      <c r="M704" s="109" t="n"/>
      <c r="N704" s="109" t="n"/>
      <c r="O704" s="220" t="n"/>
      <c r="P704" s="227">
        <f>IF(OR($E704="",$I704=""),"",IF(OR($J704="Tamamlandı",$J704="İptal"),"",$I704-TODAY()))</f>
        <v/>
      </c>
      <c r="Q704" s="113">
        <f>IF($E704="","",IF($D704="TANIMSIZ MÜŞTERİ","HATA",IF(OR($J704="Tamamlandı",$J704="İptal"),"KAPALI",IF(AND($C704="Görüşme",$N704=""),"SONRAKİ İŞLEM EKSİK",IF($I704="","TARİH EKSİK",IF($I704&lt;TODAY(),"GECİKMİŞ",IF($I704=TODAY(),"BUGÜN",IF($I704&lt;=TODAY()+7,"7 GÜN İÇİNDE","PLANLI"))))))))</f>
        <v/>
      </c>
      <c r="R704" s="6" t="n"/>
      <c r="S704" s="6" t="n"/>
      <c r="T704" s="3" t="n"/>
      <c r="U704" s="3">
        <f>IF($E704="","",UPPER(SUBSTITUTE(SUBSTITUTE(SUBSTITUTE(SUBSTITUTE(SUBSTITUTE(SUBSTITUTE(SUBSTITUTE(SUBSTITUTE(SUBSTITUTE(SUBSTITUTE(SUBSTITUTE(SUBSTITUTE(SUBSTITUTE(SUBSTITUTE(SUBSTITUTE(SUBSTITUTE(SUBSTITUTE(SUBSTITUTE(TRIM($E704),"'",""),"İ","I"),"ı","I"),"i","I"),"Ş","S"),"ş","S"),"Ğ","G"),"ğ","G"),"Ü","U"),"ü","U"),"Ö","O"),"ö","O"),"Ç","C"),"ç","C"),".",""),",","")," ",""),"-","")))</f>
        <v/>
      </c>
    </row>
    <row r="705">
      <c r="A705" s="6" t="n"/>
      <c r="B705" s="113">
        <f>IF($E705="","","A"&amp;TEXT(ROW()-6,"00000"))</f>
        <v/>
      </c>
      <c r="C705" s="108" t="n"/>
      <c r="D705" s="113">
        <f>IF($E705="","",IFERROR(INDEX(MUSTERILER!$B$7:$B$106,MATCH($U705,MUSTERILER!$T$7:$T$106,0)),IFERROR(INDEX(MUSTERILER!$B$7:$B$106,MATCH($E705,MUSTERILER!$B$7:$B$106,0)),IFERROR(INDEX(MUSTERILER!$B$7:$B$106,MATCH($U705&amp;"*",MUSTERILER!$T$7:$T$106,0)),"TANIMSIZ MÜŞTERİ"))))</f>
        <v/>
      </c>
      <c r="E705" s="109" t="n"/>
      <c r="F705" s="109" t="n"/>
      <c r="G705" s="108" t="n"/>
      <c r="H705" s="220" t="n"/>
      <c r="I705" s="220" t="n"/>
      <c r="J705" s="108" t="n"/>
      <c r="K705" s="108" t="n"/>
      <c r="L705" s="109" t="n"/>
      <c r="M705" s="109" t="n"/>
      <c r="N705" s="109" t="n"/>
      <c r="O705" s="220" t="n"/>
      <c r="P705" s="227">
        <f>IF(OR($E705="",$I705=""),"",IF(OR($J705="Tamamlandı",$J705="İptal"),"",$I705-TODAY()))</f>
        <v/>
      </c>
      <c r="Q705" s="113">
        <f>IF($E705="","",IF($D705="TANIMSIZ MÜŞTERİ","HATA",IF(OR($J705="Tamamlandı",$J705="İptal"),"KAPALI",IF(AND($C705="Görüşme",$N705=""),"SONRAKİ İŞLEM EKSİK",IF($I705="","TARİH EKSİK",IF($I705&lt;TODAY(),"GECİKMİŞ",IF($I705=TODAY(),"BUGÜN",IF($I705&lt;=TODAY()+7,"7 GÜN İÇİNDE","PLANLI"))))))))</f>
        <v/>
      </c>
      <c r="R705" s="6" t="n"/>
      <c r="S705" s="6" t="n"/>
      <c r="T705" s="3" t="n"/>
      <c r="U705" s="3">
        <f>IF($E705="","",UPPER(SUBSTITUTE(SUBSTITUTE(SUBSTITUTE(SUBSTITUTE(SUBSTITUTE(SUBSTITUTE(SUBSTITUTE(SUBSTITUTE(SUBSTITUTE(SUBSTITUTE(SUBSTITUTE(SUBSTITUTE(SUBSTITUTE(SUBSTITUTE(SUBSTITUTE(SUBSTITUTE(SUBSTITUTE(SUBSTITUTE(TRIM($E705),"'",""),"İ","I"),"ı","I"),"i","I"),"Ş","S"),"ş","S"),"Ğ","G"),"ğ","G"),"Ü","U"),"ü","U"),"Ö","O"),"ö","O"),"Ç","C"),"ç","C"),".",""),",","")," ",""),"-","")))</f>
        <v/>
      </c>
    </row>
    <row r="706">
      <c r="A706" s="6" t="n"/>
      <c r="B706" s="113">
        <f>IF($E706="","","A"&amp;TEXT(ROW()-6,"00000"))</f>
        <v/>
      </c>
      <c r="C706" s="108" t="n"/>
      <c r="D706" s="113">
        <f>IF($E706="","",IFERROR(INDEX(MUSTERILER!$B$7:$B$106,MATCH($U706,MUSTERILER!$T$7:$T$106,0)),IFERROR(INDEX(MUSTERILER!$B$7:$B$106,MATCH($E706,MUSTERILER!$B$7:$B$106,0)),IFERROR(INDEX(MUSTERILER!$B$7:$B$106,MATCH($U706&amp;"*",MUSTERILER!$T$7:$T$106,0)),"TANIMSIZ MÜŞTERİ"))))</f>
        <v/>
      </c>
      <c r="E706" s="109" t="n"/>
      <c r="F706" s="109" t="n"/>
      <c r="G706" s="108" t="n"/>
      <c r="H706" s="220" t="n"/>
      <c r="I706" s="220" t="n"/>
      <c r="J706" s="108" t="n"/>
      <c r="K706" s="108" t="n"/>
      <c r="L706" s="109" t="n"/>
      <c r="M706" s="109" t="n"/>
      <c r="N706" s="109" t="n"/>
      <c r="O706" s="220" t="n"/>
      <c r="P706" s="227">
        <f>IF(OR($E706="",$I706=""),"",IF(OR($J706="Tamamlandı",$J706="İptal"),"",$I706-TODAY()))</f>
        <v/>
      </c>
      <c r="Q706" s="113">
        <f>IF($E706="","",IF($D706="TANIMSIZ MÜŞTERİ","HATA",IF(OR($J706="Tamamlandı",$J706="İptal"),"KAPALI",IF(AND($C706="Görüşme",$N706=""),"SONRAKİ İŞLEM EKSİK",IF($I706="","TARİH EKSİK",IF($I706&lt;TODAY(),"GECİKMİŞ",IF($I706=TODAY(),"BUGÜN",IF($I706&lt;=TODAY()+7,"7 GÜN İÇİNDE","PLANLI"))))))))</f>
        <v/>
      </c>
      <c r="R706" s="6" t="n"/>
      <c r="S706" s="6" t="n"/>
      <c r="T706" s="3" t="n"/>
      <c r="U706" s="3">
        <f>IF($E706="","",UPPER(SUBSTITUTE(SUBSTITUTE(SUBSTITUTE(SUBSTITUTE(SUBSTITUTE(SUBSTITUTE(SUBSTITUTE(SUBSTITUTE(SUBSTITUTE(SUBSTITUTE(SUBSTITUTE(SUBSTITUTE(SUBSTITUTE(SUBSTITUTE(SUBSTITUTE(SUBSTITUTE(SUBSTITUTE(SUBSTITUTE(TRIM($E706),"'",""),"İ","I"),"ı","I"),"i","I"),"Ş","S"),"ş","S"),"Ğ","G"),"ğ","G"),"Ü","U"),"ü","U"),"Ö","O"),"ö","O"),"Ç","C"),"ç","C"),".",""),",","")," ",""),"-","")))</f>
        <v/>
      </c>
    </row>
    <row r="707">
      <c r="A707" s="6" t="n"/>
      <c r="B707" s="113">
        <f>IF($E707="","","A"&amp;TEXT(ROW()-6,"00000"))</f>
        <v/>
      </c>
      <c r="C707" s="108" t="n"/>
      <c r="D707" s="113">
        <f>IF($E707="","",IFERROR(INDEX(MUSTERILER!$B$7:$B$106,MATCH($U707,MUSTERILER!$T$7:$T$106,0)),IFERROR(INDEX(MUSTERILER!$B$7:$B$106,MATCH($E707,MUSTERILER!$B$7:$B$106,0)),IFERROR(INDEX(MUSTERILER!$B$7:$B$106,MATCH($U707&amp;"*",MUSTERILER!$T$7:$T$106,0)),"TANIMSIZ MÜŞTERİ"))))</f>
        <v/>
      </c>
      <c r="E707" s="109" t="n"/>
      <c r="F707" s="109" t="n"/>
      <c r="G707" s="108" t="n"/>
      <c r="H707" s="220" t="n"/>
      <c r="I707" s="220" t="n"/>
      <c r="J707" s="108" t="n"/>
      <c r="K707" s="108" t="n"/>
      <c r="L707" s="109" t="n"/>
      <c r="M707" s="109" t="n"/>
      <c r="N707" s="109" t="n"/>
      <c r="O707" s="220" t="n"/>
      <c r="P707" s="227">
        <f>IF(OR($E707="",$I707=""),"",IF(OR($J707="Tamamlandı",$J707="İptal"),"",$I707-TODAY()))</f>
        <v/>
      </c>
      <c r="Q707" s="113">
        <f>IF($E707="","",IF($D707="TANIMSIZ MÜŞTERİ","HATA",IF(OR($J707="Tamamlandı",$J707="İptal"),"KAPALI",IF(AND($C707="Görüşme",$N707=""),"SONRAKİ İŞLEM EKSİK",IF($I707="","TARİH EKSİK",IF($I707&lt;TODAY(),"GECİKMİŞ",IF($I707=TODAY(),"BUGÜN",IF($I707&lt;=TODAY()+7,"7 GÜN İÇİNDE","PLANLI"))))))))</f>
        <v/>
      </c>
      <c r="R707" s="6" t="n"/>
      <c r="S707" s="6" t="n"/>
      <c r="T707" s="3" t="n"/>
      <c r="U707" s="3">
        <f>IF($E707="","",UPPER(SUBSTITUTE(SUBSTITUTE(SUBSTITUTE(SUBSTITUTE(SUBSTITUTE(SUBSTITUTE(SUBSTITUTE(SUBSTITUTE(SUBSTITUTE(SUBSTITUTE(SUBSTITUTE(SUBSTITUTE(SUBSTITUTE(SUBSTITUTE(SUBSTITUTE(SUBSTITUTE(SUBSTITUTE(SUBSTITUTE(TRIM($E707),"'",""),"İ","I"),"ı","I"),"i","I"),"Ş","S"),"ş","S"),"Ğ","G"),"ğ","G"),"Ü","U"),"ü","U"),"Ö","O"),"ö","O"),"Ç","C"),"ç","C"),".",""),",","")," ",""),"-","")))</f>
        <v/>
      </c>
    </row>
    <row r="708">
      <c r="A708" s="6" t="n"/>
      <c r="B708" s="113">
        <f>IF($E708="","","A"&amp;TEXT(ROW()-6,"00000"))</f>
        <v/>
      </c>
      <c r="C708" s="108" t="n"/>
      <c r="D708" s="113">
        <f>IF($E708="","",IFERROR(INDEX(MUSTERILER!$B$7:$B$106,MATCH($U708,MUSTERILER!$T$7:$T$106,0)),IFERROR(INDEX(MUSTERILER!$B$7:$B$106,MATCH($E708,MUSTERILER!$B$7:$B$106,0)),IFERROR(INDEX(MUSTERILER!$B$7:$B$106,MATCH($U708&amp;"*",MUSTERILER!$T$7:$T$106,0)),"TANIMSIZ MÜŞTERİ"))))</f>
        <v/>
      </c>
      <c r="E708" s="109" t="n"/>
      <c r="F708" s="109" t="n"/>
      <c r="G708" s="108" t="n"/>
      <c r="H708" s="220" t="n"/>
      <c r="I708" s="220" t="n"/>
      <c r="J708" s="108" t="n"/>
      <c r="K708" s="108" t="n"/>
      <c r="L708" s="109" t="n"/>
      <c r="M708" s="109" t="n"/>
      <c r="N708" s="109" t="n"/>
      <c r="O708" s="220" t="n"/>
      <c r="P708" s="227">
        <f>IF(OR($E708="",$I708=""),"",IF(OR($J708="Tamamlandı",$J708="İptal"),"",$I708-TODAY()))</f>
        <v/>
      </c>
      <c r="Q708" s="113">
        <f>IF($E708="","",IF($D708="TANIMSIZ MÜŞTERİ","HATA",IF(OR($J708="Tamamlandı",$J708="İptal"),"KAPALI",IF(AND($C708="Görüşme",$N708=""),"SONRAKİ İŞLEM EKSİK",IF($I708="","TARİH EKSİK",IF($I708&lt;TODAY(),"GECİKMİŞ",IF($I708=TODAY(),"BUGÜN",IF($I708&lt;=TODAY()+7,"7 GÜN İÇİNDE","PLANLI"))))))))</f>
        <v/>
      </c>
      <c r="R708" s="6" t="n"/>
      <c r="S708" s="6" t="n"/>
      <c r="T708" s="3" t="n"/>
      <c r="U708" s="3">
        <f>IF($E708="","",UPPER(SUBSTITUTE(SUBSTITUTE(SUBSTITUTE(SUBSTITUTE(SUBSTITUTE(SUBSTITUTE(SUBSTITUTE(SUBSTITUTE(SUBSTITUTE(SUBSTITUTE(SUBSTITUTE(SUBSTITUTE(SUBSTITUTE(SUBSTITUTE(SUBSTITUTE(SUBSTITUTE(SUBSTITUTE(SUBSTITUTE(TRIM($E708),"'",""),"İ","I"),"ı","I"),"i","I"),"Ş","S"),"ş","S"),"Ğ","G"),"ğ","G"),"Ü","U"),"ü","U"),"Ö","O"),"ö","O"),"Ç","C"),"ç","C"),".",""),",","")," ",""),"-","")))</f>
        <v/>
      </c>
    </row>
    <row r="709">
      <c r="A709" s="6" t="n"/>
      <c r="B709" s="113">
        <f>IF($E709="","","A"&amp;TEXT(ROW()-6,"00000"))</f>
        <v/>
      </c>
      <c r="C709" s="108" t="n"/>
      <c r="D709" s="113">
        <f>IF($E709="","",IFERROR(INDEX(MUSTERILER!$B$7:$B$106,MATCH($U709,MUSTERILER!$T$7:$T$106,0)),IFERROR(INDEX(MUSTERILER!$B$7:$B$106,MATCH($E709,MUSTERILER!$B$7:$B$106,0)),IFERROR(INDEX(MUSTERILER!$B$7:$B$106,MATCH($U709&amp;"*",MUSTERILER!$T$7:$T$106,0)),"TANIMSIZ MÜŞTERİ"))))</f>
        <v/>
      </c>
      <c r="E709" s="109" t="n"/>
      <c r="F709" s="109" t="n"/>
      <c r="G709" s="108" t="n"/>
      <c r="H709" s="220" t="n"/>
      <c r="I709" s="220" t="n"/>
      <c r="J709" s="108" t="n"/>
      <c r="K709" s="108" t="n"/>
      <c r="L709" s="109" t="n"/>
      <c r="M709" s="109" t="n"/>
      <c r="N709" s="109" t="n"/>
      <c r="O709" s="220" t="n"/>
      <c r="P709" s="227">
        <f>IF(OR($E709="",$I709=""),"",IF(OR($J709="Tamamlandı",$J709="İptal"),"",$I709-TODAY()))</f>
        <v/>
      </c>
      <c r="Q709" s="113">
        <f>IF($E709="","",IF($D709="TANIMSIZ MÜŞTERİ","HATA",IF(OR($J709="Tamamlandı",$J709="İptal"),"KAPALI",IF(AND($C709="Görüşme",$N709=""),"SONRAKİ İŞLEM EKSİK",IF($I709="","TARİH EKSİK",IF($I709&lt;TODAY(),"GECİKMİŞ",IF($I709=TODAY(),"BUGÜN",IF($I709&lt;=TODAY()+7,"7 GÜN İÇİNDE","PLANLI"))))))))</f>
        <v/>
      </c>
      <c r="R709" s="6" t="n"/>
      <c r="S709" s="6" t="n"/>
      <c r="T709" s="3" t="n"/>
      <c r="U709" s="3">
        <f>IF($E709="","",UPPER(SUBSTITUTE(SUBSTITUTE(SUBSTITUTE(SUBSTITUTE(SUBSTITUTE(SUBSTITUTE(SUBSTITUTE(SUBSTITUTE(SUBSTITUTE(SUBSTITUTE(SUBSTITUTE(SUBSTITUTE(SUBSTITUTE(SUBSTITUTE(SUBSTITUTE(SUBSTITUTE(SUBSTITUTE(SUBSTITUTE(TRIM($E709),"'",""),"İ","I"),"ı","I"),"i","I"),"Ş","S"),"ş","S"),"Ğ","G"),"ğ","G"),"Ü","U"),"ü","U"),"Ö","O"),"ö","O"),"Ç","C"),"ç","C"),".",""),",","")," ",""),"-","")))</f>
        <v/>
      </c>
    </row>
    <row r="710">
      <c r="A710" s="6" t="n"/>
      <c r="B710" s="113">
        <f>IF($E710="","","A"&amp;TEXT(ROW()-6,"00000"))</f>
        <v/>
      </c>
      <c r="C710" s="108" t="n"/>
      <c r="D710" s="113">
        <f>IF($E710="","",IFERROR(INDEX(MUSTERILER!$B$7:$B$106,MATCH($U710,MUSTERILER!$T$7:$T$106,0)),IFERROR(INDEX(MUSTERILER!$B$7:$B$106,MATCH($E710,MUSTERILER!$B$7:$B$106,0)),IFERROR(INDEX(MUSTERILER!$B$7:$B$106,MATCH($U710&amp;"*",MUSTERILER!$T$7:$T$106,0)),"TANIMSIZ MÜŞTERİ"))))</f>
        <v/>
      </c>
      <c r="E710" s="109" t="n"/>
      <c r="F710" s="109" t="n"/>
      <c r="G710" s="108" t="n"/>
      <c r="H710" s="220" t="n"/>
      <c r="I710" s="220" t="n"/>
      <c r="J710" s="108" t="n"/>
      <c r="K710" s="108" t="n"/>
      <c r="L710" s="109" t="n"/>
      <c r="M710" s="109" t="n"/>
      <c r="N710" s="109" t="n"/>
      <c r="O710" s="220" t="n"/>
      <c r="P710" s="227">
        <f>IF(OR($E710="",$I710=""),"",IF(OR($J710="Tamamlandı",$J710="İptal"),"",$I710-TODAY()))</f>
        <v/>
      </c>
      <c r="Q710" s="113">
        <f>IF($E710="","",IF($D710="TANIMSIZ MÜŞTERİ","HATA",IF(OR($J710="Tamamlandı",$J710="İptal"),"KAPALI",IF(AND($C710="Görüşme",$N710=""),"SONRAKİ İŞLEM EKSİK",IF($I710="","TARİH EKSİK",IF($I710&lt;TODAY(),"GECİKMİŞ",IF($I710=TODAY(),"BUGÜN",IF($I710&lt;=TODAY()+7,"7 GÜN İÇİNDE","PLANLI"))))))))</f>
        <v/>
      </c>
      <c r="R710" s="6" t="n"/>
      <c r="S710" s="6" t="n"/>
      <c r="T710" s="3" t="n"/>
      <c r="U710" s="3">
        <f>IF($E710="","",UPPER(SUBSTITUTE(SUBSTITUTE(SUBSTITUTE(SUBSTITUTE(SUBSTITUTE(SUBSTITUTE(SUBSTITUTE(SUBSTITUTE(SUBSTITUTE(SUBSTITUTE(SUBSTITUTE(SUBSTITUTE(SUBSTITUTE(SUBSTITUTE(SUBSTITUTE(SUBSTITUTE(SUBSTITUTE(SUBSTITUTE(TRIM($E710),"'",""),"İ","I"),"ı","I"),"i","I"),"Ş","S"),"ş","S"),"Ğ","G"),"ğ","G"),"Ü","U"),"ü","U"),"Ö","O"),"ö","O"),"Ç","C"),"ç","C"),".",""),",","")," ",""),"-","")))</f>
        <v/>
      </c>
    </row>
    <row r="711">
      <c r="A711" s="6" t="n"/>
      <c r="B711" s="113">
        <f>IF($E711="","","A"&amp;TEXT(ROW()-6,"00000"))</f>
        <v/>
      </c>
      <c r="C711" s="108" t="n"/>
      <c r="D711" s="113">
        <f>IF($E711="","",IFERROR(INDEX(MUSTERILER!$B$7:$B$106,MATCH($U711,MUSTERILER!$T$7:$T$106,0)),IFERROR(INDEX(MUSTERILER!$B$7:$B$106,MATCH($E711,MUSTERILER!$B$7:$B$106,0)),IFERROR(INDEX(MUSTERILER!$B$7:$B$106,MATCH($U711&amp;"*",MUSTERILER!$T$7:$T$106,0)),"TANIMSIZ MÜŞTERİ"))))</f>
        <v/>
      </c>
      <c r="E711" s="109" t="n"/>
      <c r="F711" s="109" t="n"/>
      <c r="G711" s="108" t="n"/>
      <c r="H711" s="220" t="n"/>
      <c r="I711" s="220" t="n"/>
      <c r="J711" s="108" t="n"/>
      <c r="K711" s="108" t="n"/>
      <c r="L711" s="109" t="n"/>
      <c r="M711" s="109" t="n"/>
      <c r="N711" s="109" t="n"/>
      <c r="O711" s="220" t="n"/>
      <c r="P711" s="227">
        <f>IF(OR($E711="",$I711=""),"",IF(OR($J711="Tamamlandı",$J711="İptal"),"",$I711-TODAY()))</f>
        <v/>
      </c>
      <c r="Q711" s="113">
        <f>IF($E711="","",IF($D711="TANIMSIZ MÜŞTERİ","HATA",IF(OR($J711="Tamamlandı",$J711="İptal"),"KAPALI",IF(AND($C711="Görüşme",$N711=""),"SONRAKİ İŞLEM EKSİK",IF($I711="","TARİH EKSİK",IF($I711&lt;TODAY(),"GECİKMİŞ",IF($I711=TODAY(),"BUGÜN",IF($I711&lt;=TODAY()+7,"7 GÜN İÇİNDE","PLANLI"))))))))</f>
        <v/>
      </c>
      <c r="R711" s="6" t="n"/>
      <c r="S711" s="6" t="n"/>
      <c r="T711" s="3" t="n"/>
      <c r="U711" s="3">
        <f>IF($E711="","",UPPER(SUBSTITUTE(SUBSTITUTE(SUBSTITUTE(SUBSTITUTE(SUBSTITUTE(SUBSTITUTE(SUBSTITUTE(SUBSTITUTE(SUBSTITUTE(SUBSTITUTE(SUBSTITUTE(SUBSTITUTE(SUBSTITUTE(SUBSTITUTE(SUBSTITUTE(SUBSTITUTE(SUBSTITUTE(SUBSTITUTE(TRIM($E711),"'",""),"İ","I"),"ı","I"),"i","I"),"Ş","S"),"ş","S"),"Ğ","G"),"ğ","G"),"Ü","U"),"ü","U"),"Ö","O"),"ö","O"),"Ç","C"),"ç","C"),".",""),",","")," ",""),"-","")))</f>
        <v/>
      </c>
    </row>
    <row r="712">
      <c r="A712" s="6" t="n"/>
      <c r="B712" s="113">
        <f>IF($E712="","","A"&amp;TEXT(ROW()-6,"00000"))</f>
        <v/>
      </c>
      <c r="C712" s="108" t="n"/>
      <c r="D712" s="113">
        <f>IF($E712="","",IFERROR(INDEX(MUSTERILER!$B$7:$B$106,MATCH($U712,MUSTERILER!$T$7:$T$106,0)),IFERROR(INDEX(MUSTERILER!$B$7:$B$106,MATCH($E712,MUSTERILER!$B$7:$B$106,0)),IFERROR(INDEX(MUSTERILER!$B$7:$B$106,MATCH($U712&amp;"*",MUSTERILER!$T$7:$T$106,0)),"TANIMSIZ MÜŞTERİ"))))</f>
        <v/>
      </c>
      <c r="E712" s="109" t="n"/>
      <c r="F712" s="109" t="n"/>
      <c r="G712" s="108" t="n"/>
      <c r="H712" s="220" t="n"/>
      <c r="I712" s="220" t="n"/>
      <c r="J712" s="108" t="n"/>
      <c r="K712" s="108" t="n"/>
      <c r="L712" s="109" t="n"/>
      <c r="M712" s="109" t="n"/>
      <c r="N712" s="109" t="n"/>
      <c r="O712" s="220" t="n"/>
      <c r="P712" s="227">
        <f>IF(OR($E712="",$I712=""),"",IF(OR($J712="Tamamlandı",$J712="İptal"),"",$I712-TODAY()))</f>
        <v/>
      </c>
      <c r="Q712" s="113">
        <f>IF($E712="","",IF($D712="TANIMSIZ MÜŞTERİ","HATA",IF(OR($J712="Tamamlandı",$J712="İptal"),"KAPALI",IF(AND($C712="Görüşme",$N712=""),"SONRAKİ İŞLEM EKSİK",IF($I712="","TARİH EKSİK",IF($I712&lt;TODAY(),"GECİKMİŞ",IF($I712=TODAY(),"BUGÜN",IF($I712&lt;=TODAY()+7,"7 GÜN İÇİNDE","PLANLI"))))))))</f>
        <v/>
      </c>
      <c r="R712" s="6" t="n"/>
      <c r="S712" s="6" t="n"/>
      <c r="T712" s="3" t="n"/>
      <c r="U712" s="3">
        <f>IF($E712="","",UPPER(SUBSTITUTE(SUBSTITUTE(SUBSTITUTE(SUBSTITUTE(SUBSTITUTE(SUBSTITUTE(SUBSTITUTE(SUBSTITUTE(SUBSTITUTE(SUBSTITUTE(SUBSTITUTE(SUBSTITUTE(SUBSTITUTE(SUBSTITUTE(SUBSTITUTE(SUBSTITUTE(SUBSTITUTE(SUBSTITUTE(TRIM($E712),"'",""),"İ","I"),"ı","I"),"i","I"),"Ş","S"),"ş","S"),"Ğ","G"),"ğ","G"),"Ü","U"),"ü","U"),"Ö","O"),"ö","O"),"Ç","C"),"ç","C"),".",""),",","")," ",""),"-","")))</f>
        <v/>
      </c>
    </row>
    <row r="713">
      <c r="A713" s="6" t="n"/>
      <c r="B713" s="113">
        <f>IF($E713="","","A"&amp;TEXT(ROW()-6,"00000"))</f>
        <v/>
      </c>
      <c r="C713" s="108" t="n"/>
      <c r="D713" s="113">
        <f>IF($E713="","",IFERROR(INDEX(MUSTERILER!$B$7:$B$106,MATCH($U713,MUSTERILER!$T$7:$T$106,0)),IFERROR(INDEX(MUSTERILER!$B$7:$B$106,MATCH($E713,MUSTERILER!$B$7:$B$106,0)),IFERROR(INDEX(MUSTERILER!$B$7:$B$106,MATCH($U713&amp;"*",MUSTERILER!$T$7:$T$106,0)),"TANIMSIZ MÜŞTERİ"))))</f>
        <v/>
      </c>
      <c r="E713" s="109" t="n"/>
      <c r="F713" s="109" t="n"/>
      <c r="G713" s="108" t="n"/>
      <c r="H713" s="220" t="n"/>
      <c r="I713" s="220" t="n"/>
      <c r="J713" s="108" t="n"/>
      <c r="K713" s="108" t="n"/>
      <c r="L713" s="109" t="n"/>
      <c r="M713" s="109" t="n"/>
      <c r="N713" s="109" t="n"/>
      <c r="O713" s="220" t="n"/>
      <c r="P713" s="227">
        <f>IF(OR($E713="",$I713=""),"",IF(OR($J713="Tamamlandı",$J713="İptal"),"",$I713-TODAY()))</f>
        <v/>
      </c>
      <c r="Q713" s="113">
        <f>IF($E713="","",IF($D713="TANIMSIZ MÜŞTERİ","HATA",IF(OR($J713="Tamamlandı",$J713="İptal"),"KAPALI",IF(AND($C713="Görüşme",$N713=""),"SONRAKİ İŞLEM EKSİK",IF($I713="","TARİH EKSİK",IF($I713&lt;TODAY(),"GECİKMİŞ",IF($I713=TODAY(),"BUGÜN",IF($I713&lt;=TODAY()+7,"7 GÜN İÇİNDE","PLANLI"))))))))</f>
        <v/>
      </c>
      <c r="R713" s="6" t="n"/>
      <c r="S713" s="6" t="n"/>
      <c r="T713" s="3" t="n"/>
      <c r="U713" s="3">
        <f>IF($E713="","",UPPER(SUBSTITUTE(SUBSTITUTE(SUBSTITUTE(SUBSTITUTE(SUBSTITUTE(SUBSTITUTE(SUBSTITUTE(SUBSTITUTE(SUBSTITUTE(SUBSTITUTE(SUBSTITUTE(SUBSTITUTE(SUBSTITUTE(SUBSTITUTE(SUBSTITUTE(SUBSTITUTE(SUBSTITUTE(SUBSTITUTE(TRIM($E713),"'",""),"İ","I"),"ı","I"),"i","I"),"Ş","S"),"ş","S"),"Ğ","G"),"ğ","G"),"Ü","U"),"ü","U"),"Ö","O"),"ö","O"),"Ç","C"),"ç","C"),".",""),",","")," ",""),"-","")))</f>
        <v/>
      </c>
    </row>
    <row r="714">
      <c r="A714" s="6" t="n"/>
      <c r="B714" s="113">
        <f>IF($E714="","","A"&amp;TEXT(ROW()-6,"00000"))</f>
        <v/>
      </c>
      <c r="C714" s="108" t="n"/>
      <c r="D714" s="113">
        <f>IF($E714="","",IFERROR(INDEX(MUSTERILER!$B$7:$B$106,MATCH($U714,MUSTERILER!$T$7:$T$106,0)),IFERROR(INDEX(MUSTERILER!$B$7:$B$106,MATCH($E714,MUSTERILER!$B$7:$B$106,0)),IFERROR(INDEX(MUSTERILER!$B$7:$B$106,MATCH($U714&amp;"*",MUSTERILER!$T$7:$T$106,0)),"TANIMSIZ MÜŞTERİ"))))</f>
        <v/>
      </c>
      <c r="E714" s="109" t="n"/>
      <c r="F714" s="109" t="n"/>
      <c r="G714" s="108" t="n"/>
      <c r="H714" s="220" t="n"/>
      <c r="I714" s="220" t="n"/>
      <c r="J714" s="108" t="n"/>
      <c r="K714" s="108" t="n"/>
      <c r="L714" s="109" t="n"/>
      <c r="M714" s="109" t="n"/>
      <c r="N714" s="109" t="n"/>
      <c r="O714" s="220" t="n"/>
      <c r="P714" s="227">
        <f>IF(OR($E714="",$I714=""),"",IF(OR($J714="Tamamlandı",$J714="İptal"),"",$I714-TODAY()))</f>
        <v/>
      </c>
      <c r="Q714" s="113">
        <f>IF($E714="","",IF($D714="TANIMSIZ MÜŞTERİ","HATA",IF(OR($J714="Tamamlandı",$J714="İptal"),"KAPALI",IF(AND($C714="Görüşme",$N714=""),"SONRAKİ İŞLEM EKSİK",IF($I714="","TARİH EKSİK",IF($I714&lt;TODAY(),"GECİKMİŞ",IF($I714=TODAY(),"BUGÜN",IF($I714&lt;=TODAY()+7,"7 GÜN İÇİNDE","PLANLI"))))))))</f>
        <v/>
      </c>
      <c r="R714" s="6" t="n"/>
      <c r="S714" s="6" t="n"/>
      <c r="T714" s="3" t="n"/>
      <c r="U714" s="3">
        <f>IF($E714="","",UPPER(SUBSTITUTE(SUBSTITUTE(SUBSTITUTE(SUBSTITUTE(SUBSTITUTE(SUBSTITUTE(SUBSTITUTE(SUBSTITUTE(SUBSTITUTE(SUBSTITUTE(SUBSTITUTE(SUBSTITUTE(SUBSTITUTE(SUBSTITUTE(SUBSTITUTE(SUBSTITUTE(SUBSTITUTE(SUBSTITUTE(TRIM($E714),"'",""),"İ","I"),"ı","I"),"i","I"),"Ş","S"),"ş","S"),"Ğ","G"),"ğ","G"),"Ü","U"),"ü","U"),"Ö","O"),"ö","O"),"Ç","C"),"ç","C"),".",""),",","")," ",""),"-","")))</f>
        <v/>
      </c>
    </row>
    <row r="715">
      <c r="A715" s="6" t="n"/>
      <c r="B715" s="113">
        <f>IF($E715="","","A"&amp;TEXT(ROW()-6,"00000"))</f>
        <v/>
      </c>
      <c r="C715" s="108" t="n"/>
      <c r="D715" s="113">
        <f>IF($E715="","",IFERROR(INDEX(MUSTERILER!$B$7:$B$106,MATCH($U715,MUSTERILER!$T$7:$T$106,0)),IFERROR(INDEX(MUSTERILER!$B$7:$B$106,MATCH($E715,MUSTERILER!$B$7:$B$106,0)),IFERROR(INDEX(MUSTERILER!$B$7:$B$106,MATCH($U715&amp;"*",MUSTERILER!$T$7:$T$106,0)),"TANIMSIZ MÜŞTERİ"))))</f>
        <v/>
      </c>
      <c r="E715" s="109" t="n"/>
      <c r="F715" s="109" t="n"/>
      <c r="G715" s="108" t="n"/>
      <c r="H715" s="220" t="n"/>
      <c r="I715" s="220" t="n"/>
      <c r="J715" s="108" t="n"/>
      <c r="K715" s="108" t="n"/>
      <c r="L715" s="109" t="n"/>
      <c r="M715" s="109" t="n"/>
      <c r="N715" s="109" t="n"/>
      <c r="O715" s="220" t="n"/>
      <c r="P715" s="227">
        <f>IF(OR($E715="",$I715=""),"",IF(OR($J715="Tamamlandı",$J715="İptal"),"",$I715-TODAY()))</f>
        <v/>
      </c>
      <c r="Q715" s="113">
        <f>IF($E715="","",IF($D715="TANIMSIZ MÜŞTERİ","HATA",IF(OR($J715="Tamamlandı",$J715="İptal"),"KAPALI",IF(AND($C715="Görüşme",$N715=""),"SONRAKİ İŞLEM EKSİK",IF($I715="","TARİH EKSİK",IF($I715&lt;TODAY(),"GECİKMİŞ",IF($I715=TODAY(),"BUGÜN",IF($I715&lt;=TODAY()+7,"7 GÜN İÇİNDE","PLANLI"))))))))</f>
        <v/>
      </c>
      <c r="R715" s="6" t="n"/>
      <c r="S715" s="6" t="n"/>
      <c r="T715" s="3" t="n"/>
      <c r="U715" s="3">
        <f>IF($E715="","",UPPER(SUBSTITUTE(SUBSTITUTE(SUBSTITUTE(SUBSTITUTE(SUBSTITUTE(SUBSTITUTE(SUBSTITUTE(SUBSTITUTE(SUBSTITUTE(SUBSTITUTE(SUBSTITUTE(SUBSTITUTE(SUBSTITUTE(SUBSTITUTE(SUBSTITUTE(SUBSTITUTE(SUBSTITUTE(SUBSTITUTE(TRIM($E715),"'",""),"İ","I"),"ı","I"),"i","I"),"Ş","S"),"ş","S"),"Ğ","G"),"ğ","G"),"Ü","U"),"ü","U"),"Ö","O"),"ö","O"),"Ç","C"),"ç","C"),".",""),",","")," ",""),"-","")))</f>
        <v/>
      </c>
    </row>
    <row r="716">
      <c r="A716" s="6" t="n"/>
      <c r="B716" s="113">
        <f>IF($E716="","","A"&amp;TEXT(ROW()-6,"00000"))</f>
        <v/>
      </c>
      <c r="C716" s="108" t="n"/>
      <c r="D716" s="113">
        <f>IF($E716="","",IFERROR(INDEX(MUSTERILER!$B$7:$B$106,MATCH($U716,MUSTERILER!$T$7:$T$106,0)),IFERROR(INDEX(MUSTERILER!$B$7:$B$106,MATCH($E716,MUSTERILER!$B$7:$B$106,0)),IFERROR(INDEX(MUSTERILER!$B$7:$B$106,MATCH($U716&amp;"*",MUSTERILER!$T$7:$T$106,0)),"TANIMSIZ MÜŞTERİ"))))</f>
        <v/>
      </c>
      <c r="E716" s="109" t="n"/>
      <c r="F716" s="109" t="n"/>
      <c r="G716" s="108" t="n"/>
      <c r="H716" s="220" t="n"/>
      <c r="I716" s="220" t="n"/>
      <c r="J716" s="108" t="n"/>
      <c r="K716" s="108" t="n"/>
      <c r="L716" s="109" t="n"/>
      <c r="M716" s="109" t="n"/>
      <c r="N716" s="109" t="n"/>
      <c r="O716" s="220" t="n"/>
      <c r="P716" s="227">
        <f>IF(OR($E716="",$I716=""),"",IF(OR($J716="Tamamlandı",$J716="İptal"),"",$I716-TODAY()))</f>
        <v/>
      </c>
      <c r="Q716" s="113">
        <f>IF($E716="","",IF($D716="TANIMSIZ MÜŞTERİ","HATA",IF(OR($J716="Tamamlandı",$J716="İptal"),"KAPALI",IF(AND($C716="Görüşme",$N716=""),"SONRAKİ İŞLEM EKSİK",IF($I716="","TARİH EKSİK",IF($I716&lt;TODAY(),"GECİKMİŞ",IF($I716=TODAY(),"BUGÜN",IF($I716&lt;=TODAY()+7,"7 GÜN İÇİNDE","PLANLI"))))))))</f>
        <v/>
      </c>
      <c r="R716" s="6" t="n"/>
      <c r="S716" s="6" t="n"/>
      <c r="T716" s="3" t="n"/>
      <c r="U716" s="3">
        <f>IF($E716="","",UPPER(SUBSTITUTE(SUBSTITUTE(SUBSTITUTE(SUBSTITUTE(SUBSTITUTE(SUBSTITUTE(SUBSTITUTE(SUBSTITUTE(SUBSTITUTE(SUBSTITUTE(SUBSTITUTE(SUBSTITUTE(SUBSTITUTE(SUBSTITUTE(SUBSTITUTE(SUBSTITUTE(SUBSTITUTE(SUBSTITUTE(TRIM($E716),"'",""),"İ","I"),"ı","I"),"i","I"),"Ş","S"),"ş","S"),"Ğ","G"),"ğ","G"),"Ü","U"),"ü","U"),"Ö","O"),"ö","O"),"Ç","C"),"ç","C"),".",""),",","")," ",""),"-","")))</f>
        <v/>
      </c>
    </row>
    <row r="717">
      <c r="A717" s="6" t="n"/>
      <c r="B717" s="113">
        <f>IF($E717="","","A"&amp;TEXT(ROW()-6,"00000"))</f>
        <v/>
      </c>
      <c r="C717" s="108" t="n"/>
      <c r="D717" s="113">
        <f>IF($E717="","",IFERROR(INDEX(MUSTERILER!$B$7:$B$106,MATCH($U717,MUSTERILER!$T$7:$T$106,0)),IFERROR(INDEX(MUSTERILER!$B$7:$B$106,MATCH($E717,MUSTERILER!$B$7:$B$106,0)),IFERROR(INDEX(MUSTERILER!$B$7:$B$106,MATCH($U717&amp;"*",MUSTERILER!$T$7:$T$106,0)),"TANIMSIZ MÜŞTERİ"))))</f>
        <v/>
      </c>
      <c r="E717" s="109" t="n"/>
      <c r="F717" s="109" t="n"/>
      <c r="G717" s="108" t="n"/>
      <c r="H717" s="220" t="n"/>
      <c r="I717" s="220" t="n"/>
      <c r="J717" s="108" t="n"/>
      <c r="K717" s="108" t="n"/>
      <c r="L717" s="109" t="n"/>
      <c r="M717" s="109" t="n"/>
      <c r="N717" s="109" t="n"/>
      <c r="O717" s="220" t="n"/>
      <c r="P717" s="227">
        <f>IF(OR($E717="",$I717=""),"",IF(OR($J717="Tamamlandı",$J717="İptal"),"",$I717-TODAY()))</f>
        <v/>
      </c>
      <c r="Q717" s="113">
        <f>IF($E717="","",IF($D717="TANIMSIZ MÜŞTERİ","HATA",IF(OR($J717="Tamamlandı",$J717="İptal"),"KAPALI",IF(AND($C717="Görüşme",$N717=""),"SONRAKİ İŞLEM EKSİK",IF($I717="","TARİH EKSİK",IF($I717&lt;TODAY(),"GECİKMİŞ",IF($I717=TODAY(),"BUGÜN",IF($I717&lt;=TODAY()+7,"7 GÜN İÇİNDE","PLANLI"))))))))</f>
        <v/>
      </c>
      <c r="R717" s="6" t="n"/>
      <c r="S717" s="6" t="n"/>
      <c r="T717" s="3" t="n"/>
      <c r="U717" s="3">
        <f>IF($E717="","",UPPER(SUBSTITUTE(SUBSTITUTE(SUBSTITUTE(SUBSTITUTE(SUBSTITUTE(SUBSTITUTE(SUBSTITUTE(SUBSTITUTE(SUBSTITUTE(SUBSTITUTE(SUBSTITUTE(SUBSTITUTE(SUBSTITUTE(SUBSTITUTE(SUBSTITUTE(SUBSTITUTE(SUBSTITUTE(SUBSTITUTE(TRIM($E717),"'",""),"İ","I"),"ı","I"),"i","I"),"Ş","S"),"ş","S"),"Ğ","G"),"ğ","G"),"Ü","U"),"ü","U"),"Ö","O"),"ö","O"),"Ç","C"),"ç","C"),".",""),",","")," ",""),"-","")))</f>
        <v/>
      </c>
    </row>
    <row r="718">
      <c r="A718" s="6" t="n"/>
      <c r="B718" s="113">
        <f>IF($E718="","","A"&amp;TEXT(ROW()-6,"00000"))</f>
        <v/>
      </c>
      <c r="C718" s="108" t="n"/>
      <c r="D718" s="113">
        <f>IF($E718="","",IFERROR(INDEX(MUSTERILER!$B$7:$B$106,MATCH($U718,MUSTERILER!$T$7:$T$106,0)),IFERROR(INDEX(MUSTERILER!$B$7:$B$106,MATCH($E718,MUSTERILER!$B$7:$B$106,0)),IFERROR(INDEX(MUSTERILER!$B$7:$B$106,MATCH($U718&amp;"*",MUSTERILER!$T$7:$T$106,0)),"TANIMSIZ MÜŞTERİ"))))</f>
        <v/>
      </c>
      <c r="E718" s="109" t="n"/>
      <c r="F718" s="109" t="n"/>
      <c r="G718" s="108" t="n"/>
      <c r="H718" s="220" t="n"/>
      <c r="I718" s="220" t="n"/>
      <c r="J718" s="108" t="n"/>
      <c r="K718" s="108" t="n"/>
      <c r="L718" s="109" t="n"/>
      <c r="M718" s="109" t="n"/>
      <c r="N718" s="109" t="n"/>
      <c r="O718" s="220" t="n"/>
      <c r="P718" s="227">
        <f>IF(OR($E718="",$I718=""),"",IF(OR($J718="Tamamlandı",$J718="İptal"),"",$I718-TODAY()))</f>
        <v/>
      </c>
      <c r="Q718" s="113">
        <f>IF($E718="","",IF($D718="TANIMSIZ MÜŞTERİ","HATA",IF(OR($J718="Tamamlandı",$J718="İptal"),"KAPALI",IF(AND($C718="Görüşme",$N718=""),"SONRAKİ İŞLEM EKSİK",IF($I718="","TARİH EKSİK",IF($I718&lt;TODAY(),"GECİKMİŞ",IF($I718=TODAY(),"BUGÜN",IF($I718&lt;=TODAY()+7,"7 GÜN İÇİNDE","PLANLI"))))))))</f>
        <v/>
      </c>
      <c r="R718" s="6" t="n"/>
      <c r="S718" s="6" t="n"/>
      <c r="T718" s="3" t="n"/>
      <c r="U718" s="3">
        <f>IF($E718="","",UPPER(SUBSTITUTE(SUBSTITUTE(SUBSTITUTE(SUBSTITUTE(SUBSTITUTE(SUBSTITUTE(SUBSTITUTE(SUBSTITUTE(SUBSTITUTE(SUBSTITUTE(SUBSTITUTE(SUBSTITUTE(SUBSTITUTE(SUBSTITUTE(SUBSTITUTE(SUBSTITUTE(SUBSTITUTE(SUBSTITUTE(TRIM($E718),"'",""),"İ","I"),"ı","I"),"i","I"),"Ş","S"),"ş","S"),"Ğ","G"),"ğ","G"),"Ü","U"),"ü","U"),"Ö","O"),"ö","O"),"Ç","C"),"ç","C"),".",""),",","")," ",""),"-","")))</f>
        <v/>
      </c>
    </row>
    <row r="719">
      <c r="A719" s="6" t="n"/>
      <c r="B719" s="113">
        <f>IF($E719="","","A"&amp;TEXT(ROW()-6,"00000"))</f>
        <v/>
      </c>
      <c r="C719" s="108" t="n"/>
      <c r="D719" s="113">
        <f>IF($E719="","",IFERROR(INDEX(MUSTERILER!$B$7:$B$106,MATCH($U719,MUSTERILER!$T$7:$T$106,0)),IFERROR(INDEX(MUSTERILER!$B$7:$B$106,MATCH($E719,MUSTERILER!$B$7:$B$106,0)),IFERROR(INDEX(MUSTERILER!$B$7:$B$106,MATCH($U719&amp;"*",MUSTERILER!$T$7:$T$106,0)),"TANIMSIZ MÜŞTERİ"))))</f>
        <v/>
      </c>
      <c r="E719" s="109" t="n"/>
      <c r="F719" s="109" t="n"/>
      <c r="G719" s="108" t="n"/>
      <c r="H719" s="220" t="n"/>
      <c r="I719" s="220" t="n"/>
      <c r="J719" s="108" t="n"/>
      <c r="K719" s="108" t="n"/>
      <c r="L719" s="109" t="n"/>
      <c r="M719" s="109" t="n"/>
      <c r="N719" s="109" t="n"/>
      <c r="O719" s="220" t="n"/>
      <c r="P719" s="227">
        <f>IF(OR($E719="",$I719=""),"",IF(OR($J719="Tamamlandı",$J719="İptal"),"",$I719-TODAY()))</f>
        <v/>
      </c>
      <c r="Q719" s="113">
        <f>IF($E719="","",IF($D719="TANIMSIZ MÜŞTERİ","HATA",IF(OR($J719="Tamamlandı",$J719="İptal"),"KAPALI",IF(AND($C719="Görüşme",$N719=""),"SONRAKİ İŞLEM EKSİK",IF($I719="","TARİH EKSİK",IF($I719&lt;TODAY(),"GECİKMİŞ",IF($I719=TODAY(),"BUGÜN",IF($I719&lt;=TODAY()+7,"7 GÜN İÇİNDE","PLANLI"))))))))</f>
        <v/>
      </c>
      <c r="R719" s="6" t="n"/>
      <c r="S719" s="6" t="n"/>
      <c r="T719" s="3" t="n"/>
      <c r="U719" s="3">
        <f>IF($E719="","",UPPER(SUBSTITUTE(SUBSTITUTE(SUBSTITUTE(SUBSTITUTE(SUBSTITUTE(SUBSTITUTE(SUBSTITUTE(SUBSTITUTE(SUBSTITUTE(SUBSTITUTE(SUBSTITUTE(SUBSTITUTE(SUBSTITUTE(SUBSTITUTE(SUBSTITUTE(SUBSTITUTE(SUBSTITUTE(SUBSTITUTE(TRIM($E719),"'",""),"İ","I"),"ı","I"),"i","I"),"Ş","S"),"ş","S"),"Ğ","G"),"ğ","G"),"Ü","U"),"ü","U"),"Ö","O"),"ö","O"),"Ç","C"),"ç","C"),".",""),",","")," ",""),"-","")))</f>
        <v/>
      </c>
    </row>
    <row r="720">
      <c r="A720" s="6" t="n"/>
      <c r="B720" s="113">
        <f>IF($E720="","","A"&amp;TEXT(ROW()-6,"00000"))</f>
        <v/>
      </c>
      <c r="C720" s="108" t="n"/>
      <c r="D720" s="113">
        <f>IF($E720="","",IFERROR(INDEX(MUSTERILER!$B$7:$B$106,MATCH($U720,MUSTERILER!$T$7:$T$106,0)),IFERROR(INDEX(MUSTERILER!$B$7:$B$106,MATCH($E720,MUSTERILER!$B$7:$B$106,0)),IFERROR(INDEX(MUSTERILER!$B$7:$B$106,MATCH($U720&amp;"*",MUSTERILER!$T$7:$T$106,0)),"TANIMSIZ MÜŞTERİ"))))</f>
        <v/>
      </c>
      <c r="E720" s="109" t="n"/>
      <c r="F720" s="109" t="n"/>
      <c r="G720" s="108" t="n"/>
      <c r="H720" s="220" t="n"/>
      <c r="I720" s="220" t="n"/>
      <c r="J720" s="108" t="n"/>
      <c r="K720" s="108" t="n"/>
      <c r="L720" s="109" t="n"/>
      <c r="M720" s="109" t="n"/>
      <c r="N720" s="109" t="n"/>
      <c r="O720" s="220" t="n"/>
      <c r="P720" s="227">
        <f>IF(OR($E720="",$I720=""),"",IF(OR($J720="Tamamlandı",$J720="İptal"),"",$I720-TODAY()))</f>
        <v/>
      </c>
      <c r="Q720" s="113">
        <f>IF($E720="","",IF($D720="TANIMSIZ MÜŞTERİ","HATA",IF(OR($J720="Tamamlandı",$J720="İptal"),"KAPALI",IF(AND($C720="Görüşme",$N720=""),"SONRAKİ İŞLEM EKSİK",IF($I720="","TARİH EKSİK",IF($I720&lt;TODAY(),"GECİKMİŞ",IF($I720=TODAY(),"BUGÜN",IF($I720&lt;=TODAY()+7,"7 GÜN İÇİNDE","PLANLI"))))))))</f>
        <v/>
      </c>
      <c r="R720" s="6" t="n"/>
      <c r="S720" s="6" t="n"/>
      <c r="T720" s="3" t="n"/>
      <c r="U720" s="3">
        <f>IF($E720="","",UPPER(SUBSTITUTE(SUBSTITUTE(SUBSTITUTE(SUBSTITUTE(SUBSTITUTE(SUBSTITUTE(SUBSTITUTE(SUBSTITUTE(SUBSTITUTE(SUBSTITUTE(SUBSTITUTE(SUBSTITUTE(SUBSTITUTE(SUBSTITUTE(SUBSTITUTE(SUBSTITUTE(SUBSTITUTE(SUBSTITUTE(TRIM($E720),"'",""),"İ","I"),"ı","I"),"i","I"),"Ş","S"),"ş","S"),"Ğ","G"),"ğ","G"),"Ü","U"),"ü","U"),"Ö","O"),"ö","O"),"Ç","C"),"ç","C"),".",""),",","")," ",""),"-","")))</f>
        <v/>
      </c>
    </row>
    <row r="721">
      <c r="A721" s="6" t="n"/>
      <c r="B721" s="113">
        <f>IF($E721="","","A"&amp;TEXT(ROW()-6,"00000"))</f>
        <v/>
      </c>
      <c r="C721" s="108" t="n"/>
      <c r="D721" s="113">
        <f>IF($E721="","",IFERROR(INDEX(MUSTERILER!$B$7:$B$106,MATCH($U721,MUSTERILER!$T$7:$T$106,0)),IFERROR(INDEX(MUSTERILER!$B$7:$B$106,MATCH($E721,MUSTERILER!$B$7:$B$106,0)),IFERROR(INDEX(MUSTERILER!$B$7:$B$106,MATCH($U721&amp;"*",MUSTERILER!$T$7:$T$106,0)),"TANIMSIZ MÜŞTERİ"))))</f>
        <v/>
      </c>
      <c r="E721" s="109" t="n"/>
      <c r="F721" s="109" t="n"/>
      <c r="G721" s="108" t="n"/>
      <c r="H721" s="220" t="n"/>
      <c r="I721" s="220" t="n"/>
      <c r="J721" s="108" t="n"/>
      <c r="K721" s="108" t="n"/>
      <c r="L721" s="109" t="n"/>
      <c r="M721" s="109" t="n"/>
      <c r="N721" s="109" t="n"/>
      <c r="O721" s="220" t="n"/>
      <c r="P721" s="227">
        <f>IF(OR($E721="",$I721=""),"",IF(OR($J721="Tamamlandı",$J721="İptal"),"",$I721-TODAY()))</f>
        <v/>
      </c>
      <c r="Q721" s="113">
        <f>IF($E721="","",IF($D721="TANIMSIZ MÜŞTERİ","HATA",IF(OR($J721="Tamamlandı",$J721="İptal"),"KAPALI",IF(AND($C721="Görüşme",$N721=""),"SONRAKİ İŞLEM EKSİK",IF($I721="","TARİH EKSİK",IF($I721&lt;TODAY(),"GECİKMİŞ",IF($I721=TODAY(),"BUGÜN",IF($I721&lt;=TODAY()+7,"7 GÜN İÇİNDE","PLANLI"))))))))</f>
        <v/>
      </c>
      <c r="R721" s="6" t="n"/>
      <c r="S721" s="6" t="n"/>
      <c r="T721" s="3" t="n"/>
      <c r="U721" s="3">
        <f>IF($E721="","",UPPER(SUBSTITUTE(SUBSTITUTE(SUBSTITUTE(SUBSTITUTE(SUBSTITUTE(SUBSTITUTE(SUBSTITUTE(SUBSTITUTE(SUBSTITUTE(SUBSTITUTE(SUBSTITUTE(SUBSTITUTE(SUBSTITUTE(SUBSTITUTE(SUBSTITUTE(SUBSTITUTE(SUBSTITUTE(SUBSTITUTE(TRIM($E721),"'",""),"İ","I"),"ı","I"),"i","I"),"Ş","S"),"ş","S"),"Ğ","G"),"ğ","G"),"Ü","U"),"ü","U"),"Ö","O"),"ö","O"),"Ç","C"),"ç","C"),".",""),",","")," ",""),"-","")))</f>
        <v/>
      </c>
    </row>
    <row r="722">
      <c r="A722" s="6" t="n"/>
      <c r="B722" s="113">
        <f>IF($E722="","","A"&amp;TEXT(ROW()-6,"00000"))</f>
        <v/>
      </c>
      <c r="C722" s="108" t="n"/>
      <c r="D722" s="113">
        <f>IF($E722="","",IFERROR(INDEX(MUSTERILER!$B$7:$B$106,MATCH($U722,MUSTERILER!$T$7:$T$106,0)),IFERROR(INDEX(MUSTERILER!$B$7:$B$106,MATCH($E722,MUSTERILER!$B$7:$B$106,0)),IFERROR(INDEX(MUSTERILER!$B$7:$B$106,MATCH($U722&amp;"*",MUSTERILER!$T$7:$T$106,0)),"TANIMSIZ MÜŞTERİ"))))</f>
        <v/>
      </c>
      <c r="E722" s="109" t="n"/>
      <c r="F722" s="109" t="n"/>
      <c r="G722" s="108" t="n"/>
      <c r="H722" s="220" t="n"/>
      <c r="I722" s="220" t="n"/>
      <c r="J722" s="108" t="n"/>
      <c r="K722" s="108" t="n"/>
      <c r="L722" s="109" t="n"/>
      <c r="M722" s="109" t="n"/>
      <c r="N722" s="109" t="n"/>
      <c r="O722" s="220" t="n"/>
      <c r="P722" s="227">
        <f>IF(OR($E722="",$I722=""),"",IF(OR($J722="Tamamlandı",$J722="İptal"),"",$I722-TODAY()))</f>
        <v/>
      </c>
      <c r="Q722" s="113">
        <f>IF($E722="","",IF($D722="TANIMSIZ MÜŞTERİ","HATA",IF(OR($J722="Tamamlandı",$J722="İptal"),"KAPALI",IF(AND($C722="Görüşme",$N722=""),"SONRAKİ İŞLEM EKSİK",IF($I722="","TARİH EKSİK",IF($I722&lt;TODAY(),"GECİKMİŞ",IF($I722=TODAY(),"BUGÜN",IF($I722&lt;=TODAY()+7,"7 GÜN İÇİNDE","PLANLI"))))))))</f>
        <v/>
      </c>
      <c r="R722" s="6" t="n"/>
      <c r="S722" s="6" t="n"/>
      <c r="T722" s="3" t="n"/>
      <c r="U722" s="3">
        <f>IF($E722="","",UPPER(SUBSTITUTE(SUBSTITUTE(SUBSTITUTE(SUBSTITUTE(SUBSTITUTE(SUBSTITUTE(SUBSTITUTE(SUBSTITUTE(SUBSTITUTE(SUBSTITUTE(SUBSTITUTE(SUBSTITUTE(SUBSTITUTE(SUBSTITUTE(SUBSTITUTE(SUBSTITUTE(SUBSTITUTE(SUBSTITUTE(TRIM($E722),"'",""),"İ","I"),"ı","I"),"i","I"),"Ş","S"),"ş","S"),"Ğ","G"),"ğ","G"),"Ü","U"),"ü","U"),"Ö","O"),"ö","O"),"Ç","C"),"ç","C"),".",""),",","")," ",""),"-","")))</f>
        <v/>
      </c>
    </row>
    <row r="723">
      <c r="A723" s="6" t="n"/>
      <c r="B723" s="113">
        <f>IF($E723="","","A"&amp;TEXT(ROW()-6,"00000"))</f>
        <v/>
      </c>
      <c r="C723" s="108" t="n"/>
      <c r="D723" s="113">
        <f>IF($E723="","",IFERROR(INDEX(MUSTERILER!$B$7:$B$106,MATCH($U723,MUSTERILER!$T$7:$T$106,0)),IFERROR(INDEX(MUSTERILER!$B$7:$B$106,MATCH($E723,MUSTERILER!$B$7:$B$106,0)),IFERROR(INDEX(MUSTERILER!$B$7:$B$106,MATCH($U723&amp;"*",MUSTERILER!$T$7:$T$106,0)),"TANIMSIZ MÜŞTERİ"))))</f>
        <v/>
      </c>
      <c r="E723" s="109" t="n"/>
      <c r="F723" s="109" t="n"/>
      <c r="G723" s="108" t="n"/>
      <c r="H723" s="220" t="n"/>
      <c r="I723" s="220" t="n"/>
      <c r="J723" s="108" t="n"/>
      <c r="K723" s="108" t="n"/>
      <c r="L723" s="109" t="n"/>
      <c r="M723" s="109" t="n"/>
      <c r="N723" s="109" t="n"/>
      <c r="O723" s="220" t="n"/>
      <c r="P723" s="227">
        <f>IF(OR($E723="",$I723=""),"",IF(OR($J723="Tamamlandı",$J723="İptal"),"",$I723-TODAY()))</f>
        <v/>
      </c>
      <c r="Q723" s="113">
        <f>IF($E723="","",IF($D723="TANIMSIZ MÜŞTERİ","HATA",IF(OR($J723="Tamamlandı",$J723="İptal"),"KAPALI",IF(AND($C723="Görüşme",$N723=""),"SONRAKİ İŞLEM EKSİK",IF($I723="","TARİH EKSİK",IF($I723&lt;TODAY(),"GECİKMİŞ",IF($I723=TODAY(),"BUGÜN",IF($I723&lt;=TODAY()+7,"7 GÜN İÇİNDE","PLANLI"))))))))</f>
        <v/>
      </c>
      <c r="R723" s="6" t="n"/>
      <c r="S723" s="6" t="n"/>
      <c r="T723" s="3" t="n"/>
      <c r="U723" s="3">
        <f>IF($E723="","",UPPER(SUBSTITUTE(SUBSTITUTE(SUBSTITUTE(SUBSTITUTE(SUBSTITUTE(SUBSTITUTE(SUBSTITUTE(SUBSTITUTE(SUBSTITUTE(SUBSTITUTE(SUBSTITUTE(SUBSTITUTE(SUBSTITUTE(SUBSTITUTE(SUBSTITUTE(SUBSTITUTE(SUBSTITUTE(SUBSTITUTE(TRIM($E723),"'",""),"İ","I"),"ı","I"),"i","I"),"Ş","S"),"ş","S"),"Ğ","G"),"ğ","G"),"Ü","U"),"ü","U"),"Ö","O"),"ö","O"),"Ç","C"),"ç","C"),".",""),",","")," ",""),"-","")))</f>
        <v/>
      </c>
    </row>
    <row r="724">
      <c r="A724" s="6" t="n"/>
      <c r="B724" s="113">
        <f>IF($E724="","","A"&amp;TEXT(ROW()-6,"00000"))</f>
        <v/>
      </c>
      <c r="C724" s="108" t="n"/>
      <c r="D724" s="113">
        <f>IF($E724="","",IFERROR(INDEX(MUSTERILER!$B$7:$B$106,MATCH($U724,MUSTERILER!$T$7:$T$106,0)),IFERROR(INDEX(MUSTERILER!$B$7:$B$106,MATCH($E724,MUSTERILER!$B$7:$B$106,0)),IFERROR(INDEX(MUSTERILER!$B$7:$B$106,MATCH($U724&amp;"*",MUSTERILER!$T$7:$T$106,0)),"TANIMSIZ MÜŞTERİ"))))</f>
        <v/>
      </c>
      <c r="E724" s="109" t="n"/>
      <c r="F724" s="109" t="n"/>
      <c r="G724" s="108" t="n"/>
      <c r="H724" s="220" t="n"/>
      <c r="I724" s="220" t="n"/>
      <c r="J724" s="108" t="n"/>
      <c r="K724" s="108" t="n"/>
      <c r="L724" s="109" t="n"/>
      <c r="M724" s="109" t="n"/>
      <c r="N724" s="109" t="n"/>
      <c r="O724" s="220" t="n"/>
      <c r="P724" s="227">
        <f>IF(OR($E724="",$I724=""),"",IF(OR($J724="Tamamlandı",$J724="İptal"),"",$I724-TODAY()))</f>
        <v/>
      </c>
      <c r="Q724" s="113">
        <f>IF($E724="","",IF($D724="TANIMSIZ MÜŞTERİ","HATA",IF(OR($J724="Tamamlandı",$J724="İptal"),"KAPALI",IF(AND($C724="Görüşme",$N724=""),"SONRAKİ İŞLEM EKSİK",IF($I724="","TARİH EKSİK",IF($I724&lt;TODAY(),"GECİKMİŞ",IF($I724=TODAY(),"BUGÜN",IF($I724&lt;=TODAY()+7,"7 GÜN İÇİNDE","PLANLI"))))))))</f>
        <v/>
      </c>
      <c r="R724" s="6" t="n"/>
      <c r="S724" s="6" t="n"/>
      <c r="T724" s="3" t="n"/>
      <c r="U724" s="3">
        <f>IF($E724="","",UPPER(SUBSTITUTE(SUBSTITUTE(SUBSTITUTE(SUBSTITUTE(SUBSTITUTE(SUBSTITUTE(SUBSTITUTE(SUBSTITUTE(SUBSTITUTE(SUBSTITUTE(SUBSTITUTE(SUBSTITUTE(SUBSTITUTE(SUBSTITUTE(SUBSTITUTE(SUBSTITUTE(SUBSTITUTE(SUBSTITUTE(TRIM($E724),"'",""),"İ","I"),"ı","I"),"i","I"),"Ş","S"),"ş","S"),"Ğ","G"),"ğ","G"),"Ü","U"),"ü","U"),"Ö","O"),"ö","O"),"Ç","C"),"ç","C"),".",""),",","")," ",""),"-","")))</f>
        <v/>
      </c>
    </row>
    <row r="725">
      <c r="A725" s="6" t="n"/>
      <c r="B725" s="113">
        <f>IF($E725="","","A"&amp;TEXT(ROW()-6,"00000"))</f>
        <v/>
      </c>
      <c r="C725" s="108" t="n"/>
      <c r="D725" s="113">
        <f>IF($E725="","",IFERROR(INDEX(MUSTERILER!$B$7:$B$106,MATCH($U725,MUSTERILER!$T$7:$T$106,0)),IFERROR(INDEX(MUSTERILER!$B$7:$B$106,MATCH($E725,MUSTERILER!$B$7:$B$106,0)),IFERROR(INDEX(MUSTERILER!$B$7:$B$106,MATCH($U725&amp;"*",MUSTERILER!$T$7:$T$106,0)),"TANIMSIZ MÜŞTERİ"))))</f>
        <v/>
      </c>
      <c r="E725" s="109" t="n"/>
      <c r="F725" s="109" t="n"/>
      <c r="G725" s="108" t="n"/>
      <c r="H725" s="220" t="n"/>
      <c r="I725" s="220" t="n"/>
      <c r="J725" s="108" t="n"/>
      <c r="K725" s="108" t="n"/>
      <c r="L725" s="109" t="n"/>
      <c r="M725" s="109" t="n"/>
      <c r="N725" s="109" t="n"/>
      <c r="O725" s="220" t="n"/>
      <c r="P725" s="227">
        <f>IF(OR($E725="",$I725=""),"",IF(OR($J725="Tamamlandı",$J725="İptal"),"",$I725-TODAY()))</f>
        <v/>
      </c>
      <c r="Q725" s="113">
        <f>IF($E725="","",IF($D725="TANIMSIZ MÜŞTERİ","HATA",IF(OR($J725="Tamamlandı",$J725="İptal"),"KAPALI",IF(AND($C725="Görüşme",$N725=""),"SONRAKİ İŞLEM EKSİK",IF($I725="","TARİH EKSİK",IF($I725&lt;TODAY(),"GECİKMİŞ",IF($I725=TODAY(),"BUGÜN",IF($I725&lt;=TODAY()+7,"7 GÜN İÇİNDE","PLANLI"))))))))</f>
        <v/>
      </c>
      <c r="R725" s="6" t="n"/>
      <c r="S725" s="6" t="n"/>
      <c r="T725" s="3" t="n"/>
      <c r="U725" s="3">
        <f>IF($E725="","",UPPER(SUBSTITUTE(SUBSTITUTE(SUBSTITUTE(SUBSTITUTE(SUBSTITUTE(SUBSTITUTE(SUBSTITUTE(SUBSTITUTE(SUBSTITUTE(SUBSTITUTE(SUBSTITUTE(SUBSTITUTE(SUBSTITUTE(SUBSTITUTE(SUBSTITUTE(SUBSTITUTE(SUBSTITUTE(SUBSTITUTE(TRIM($E725),"'",""),"İ","I"),"ı","I"),"i","I"),"Ş","S"),"ş","S"),"Ğ","G"),"ğ","G"),"Ü","U"),"ü","U"),"Ö","O"),"ö","O"),"Ç","C"),"ç","C"),".",""),",","")," ",""),"-","")))</f>
        <v/>
      </c>
    </row>
    <row r="726">
      <c r="A726" s="6" t="n"/>
      <c r="B726" s="113">
        <f>IF($E726="","","A"&amp;TEXT(ROW()-6,"00000"))</f>
        <v/>
      </c>
      <c r="C726" s="108" t="n"/>
      <c r="D726" s="113">
        <f>IF($E726="","",IFERROR(INDEX(MUSTERILER!$B$7:$B$106,MATCH($U726,MUSTERILER!$T$7:$T$106,0)),IFERROR(INDEX(MUSTERILER!$B$7:$B$106,MATCH($E726,MUSTERILER!$B$7:$B$106,0)),IFERROR(INDEX(MUSTERILER!$B$7:$B$106,MATCH($U726&amp;"*",MUSTERILER!$T$7:$T$106,0)),"TANIMSIZ MÜŞTERİ"))))</f>
        <v/>
      </c>
      <c r="E726" s="109" t="n"/>
      <c r="F726" s="109" t="n"/>
      <c r="G726" s="108" t="n"/>
      <c r="H726" s="220" t="n"/>
      <c r="I726" s="220" t="n"/>
      <c r="J726" s="108" t="n"/>
      <c r="K726" s="108" t="n"/>
      <c r="L726" s="109" t="n"/>
      <c r="M726" s="109" t="n"/>
      <c r="N726" s="109" t="n"/>
      <c r="O726" s="220" t="n"/>
      <c r="P726" s="227">
        <f>IF(OR($E726="",$I726=""),"",IF(OR($J726="Tamamlandı",$J726="İptal"),"",$I726-TODAY()))</f>
        <v/>
      </c>
      <c r="Q726" s="113">
        <f>IF($E726="","",IF($D726="TANIMSIZ MÜŞTERİ","HATA",IF(OR($J726="Tamamlandı",$J726="İptal"),"KAPALI",IF(AND($C726="Görüşme",$N726=""),"SONRAKİ İŞLEM EKSİK",IF($I726="","TARİH EKSİK",IF($I726&lt;TODAY(),"GECİKMİŞ",IF($I726=TODAY(),"BUGÜN",IF($I726&lt;=TODAY()+7,"7 GÜN İÇİNDE","PLANLI"))))))))</f>
        <v/>
      </c>
      <c r="R726" s="6" t="n"/>
      <c r="S726" s="6" t="n"/>
      <c r="T726" s="3" t="n"/>
      <c r="U726" s="3">
        <f>IF($E726="","",UPPER(SUBSTITUTE(SUBSTITUTE(SUBSTITUTE(SUBSTITUTE(SUBSTITUTE(SUBSTITUTE(SUBSTITUTE(SUBSTITUTE(SUBSTITUTE(SUBSTITUTE(SUBSTITUTE(SUBSTITUTE(SUBSTITUTE(SUBSTITUTE(SUBSTITUTE(SUBSTITUTE(SUBSTITUTE(SUBSTITUTE(TRIM($E726),"'",""),"İ","I"),"ı","I"),"i","I"),"Ş","S"),"ş","S"),"Ğ","G"),"ğ","G"),"Ü","U"),"ü","U"),"Ö","O"),"ö","O"),"Ç","C"),"ç","C"),".",""),",","")," ",""),"-","")))</f>
        <v/>
      </c>
    </row>
    <row r="727">
      <c r="A727" s="6" t="n"/>
      <c r="B727" s="113">
        <f>IF($E727="","","A"&amp;TEXT(ROW()-6,"00000"))</f>
        <v/>
      </c>
      <c r="C727" s="108" t="n"/>
      <c r="D727" s="113">
        <f>IF($E727="","",IFERROR(INDEX(MUSTERILER!$B$7:$B$106,MATCH($U727,MUSTERILER!$T$7:$T$106,0)),IFERROR(INDEX(MUSTERILER!$B$7:$B$106,MATCH($E727,MUSTERILER!$B$7:$B$106,0)),IFERROR(INDEX(MUSTERILER!$B$7:$B$106,MATCH($U727&amp;"*",MUSTERILER!$T$7:$T$106,0)),"TANIMSIZ MÜŞTERİ"))))</f>
        <v/>
      </c>
      <c r="E727" s="109" t="n"/>
      <c r="F727" s="109" t="n"/>
      <c r="G727" s="108" t="n"/>
      <c r="H727" s="220" t="n"/>
      <c r="I727" s="220" t="n"/>
      <c r="J727" s="108" t="n"/>
      <c r="K727" s="108" t="n"/>
      <c r="L727" s="109" t="n"/>
      <c r="M727" s="109" t="n"/>
      <c r="N727" s="109" t="n"/>
      <c r="O727" s="220" t="n"/>
      <c r="P727" s="227">
        <f>IF(OR($E727="",$I727=""),"",IF(OR($J727="Tamamlandı",$J727="İptal"),"",$I727-TODAY()))</f>
        <v/>
      </c>
      <c r="Q727" s="113">
        <f>IF($E727="","",IF($D727="TANIMSIZ MÜŞTERİ","HATA",IF(OR($J727="Tamamlandı",$J727="İptal"),"KAPALI",IF(AND($C727="Görüşme",$N727=""),"SONRAKİ İŞLEM EKSİK",IF($I727="","TARİH EKSİK",IF($I727&lt;TODAY(),"GECİKMİŞ",IF($I727=TODAY(),"BUGÜN",IF($I727&lt;=TODAY()+7,"7 GÜN İÇİNDE","PLANLI"))))))))</f>
        <v/>
      </c>
      <c r="R727" s="6" t="n"/>
      <c r="S727" s="6" t="n"/>
      <c r="T727" s="3" t="n"/>
      <c r="U727" s="3">
        <f>IF($E727="","",UPPER(SUBSTITUTE(SUBSTITUTE(SUBSTITUTE(SUBSTITUTE(SUBSTITUTE(SUBSTITUTE(SUBSTITUTE(SUBSTITUTE(SUBSTITUTE(SUBSTITUTE(SUBSTITUTE(SUBSTITUTE(SUBSTITUTE(SUBSTITUTE(SUBSTITUTE(SUBSTITUTE(SUBSTITUTE(SUBSTITUTE(TRIM($E727),"'",""),"İ","I"),"ı","I"),"i","I"),"Ş","S"),"ş","S"),"Ğ","G"),"ğ","G"),"Ü","U"),"ü","U"),"Ö","O"),"ö","O"),"Ç","C"),"ç","C"),".",""),",","")," ",""),"-","")))</f>
        <v/>
      </c>
    </row>
    <row r="728">
      <c r="A728" s="6" t="n"/>
      <c r="B728" s="113">
        <f>IF($E728="","","A"&amp;TEXT(ROW()-6,"00000"))</f>
        <v/>
      </c>
      <c r="C728" s="108" t="n"/>
      <c r="D728" s="113">
        <f>IF($E728="","",IFERROR(INDEX(MUSTERILER!$B$7:$B$106,MATCH($U728,MUSTERILER!$T$7:$T$106,0)),IFERROR(INDEX(MUSTERILER!$B$7:$B$106,MATCH($E728,MUSTERILER!$B$7:$B$106,0)),IFERROR(INDEX(MUSTERILER!$B$7:$B$106,MATCH($U728&amp;"*",MUSTERILER!$T$7:$T$106,0)),"TANIMSIZ MÜŞTERİ"))))</f>
        <v/>
      </c>
      <c r="E728" s="109" t="n"/>
      <c r="F728" s="109" t="n"/>
      <c r="G728" s="108" t="n"/>
      <c r="H728" s="220" t="n"/>
      <c r="I728" s="220" t="n"/>
      <c r="J728" s="108" t="n"/>
      <c r="K728" s="108" t="n"/>
      <c r="L728" s="109" t="n"/>
      <c r="M728" s="109" t="n"/>
      <c r="N728" s="109" t="n"/>
      <c r="O728" s="220" t="n"/>
      <c r="P728" s="227">
        <f>IF(OR($E728="",$I728=""),"",IF(OR($J728="Tamamlandı",$J728="İptal"),"",$I728-TODAY()))</f>
        <v/>
      </c>
      <c r="Q728" s="113">
        <f>IF($E728="","",IF($D728="TANIMSIZ MÜŞTERİ","HATA",IF(OR($J728="Tamamlandı",$J728="İptal"),"KAPALI",IF(AND($C728="Görüşme",$N728=""),"SONRAKİ İŞLEM EKSİK",IF($I728="","TARİH EKSİK",IF($I728&lt;TODAY(),"GECİKMİŞ",IF($I728=TODAY(),"BUGÜN",IF($I728&lt;=TODAY()+7,"7 GÜN İÇİNDE","PLANLI"))))))))</f>
        <v/>
      </c>
      <c r="R728" s="6" t="n"/>
      <c r="S728" s="6" t="n"/>
      <c r="T728" s="3" t="n"/>
      <c r="U728" s="3">
        <f>IF($E728="","",UPPER(SUBSTITUTE(SUBSTITUTE(SUBSTITUTE(SUBSTITUTE(SUBSTITUTE(SUBSTITUTE(SUBSTITUTE(SUBSTITUTE(SUBSTITUTE(SUBSTITUTE(SUBSTITUTE(SUBSTITUTE(SUBSTITUTE(SUBSTITUTE(SUBSTITUTE(SUBSTITUTE(SUBSTITUTE(SUBSTITUTE(TRIM($E728),"'",""),"İ","I"),"ı","I"),"i","I"),"Ş","S"),"ş","S"),"Ğ","G"),"ğ","G"),"Ü","U"),"ü","U"),"Ö","O"),"ö","O"),"Ç","C"),"ç","C"),".",""),",","")," ",""),"-","")))</f>
        <v/>
      </c>
    </row>
    <row r="729">
      <c r="A729" s="6" t="n"/>
      <c r="B729" s="113">
        <f>IF($E729="","","A"&amp;TEXT(ROW()-6,"00000"))</f>
        <v/>
      </c>
      <c r="C729" s="108" t="n"/>
      <c r="D729" s="113">
        <f>IF($E729="","",IFERROR(INDEX(MUSTERILER!$B$7:$B$106,MATCH($U729,MUSTERILER!$T$7:$T$106,0)),IFERROR(INDEX(MUSTERILER!$B$7:$B$106,MATCH($E729,MUSTERILER!$B$7:$B$106,0)),IFERROR(INDEX(MUSTERILER!$B$7:$B$106,MATCH($U729&amp;"*",MUSTERILER!$T$7:$T$106,0)),"TANIMSIZ MÜŞTERİ"))))</f>
        <v/>
      </c>
      <c r="E729" s="109" t="n"/>
      <c r="F729" s="109" t="n"/>
      <c r="G729" s="108" t="n"/>
      <c r="H729" s="220" t="n"/>
      <c r="I729" s="220" t="n"/>
      <c r="J729" s="108" t="n"/>
      <c r="K729" s="108" t="n"/>
      <c r="L729" s="109" t="n"/>
      <c r="M729" s="109" t="n"/>
      <c r="N729" s="109" t="n"/>
      <c r="O729" s="220" t="n"/>
      <c r="P729" s="227">
        <f>IF(OR($E729="",$I729=""),"",IF(OR($J729="Tamamlandı",$J729="İptal"),"",$I729-TODAY()))</f>
        <v/>
      </c>
      <c r="Q729" s="113">
        <f>IF($E729="","",IF($D729="TANIMSIZ MÜŞTERİ","HATA",IF(OR($J729="Tamamlandı",$J729="İptal"),"KAPALI",IF(AND($C729="Görüşme",$N729=""),"SONRAKİ İŞLEM EKSİK",IF($I729="","TARİH EKSİK",IF($I729&lt;TODAY(),"GECİKMİŞ",IF($I729=TODAY(),"BUGÜN",IF($I729&lt;=TODAY()+7,"7 GÜN İÇİNDE","PLANLI"))))))))</f>
        <v/>
      </c>
      <c r="R729" s="6" t="n"/>
      <c r="S729" s="6" t="n"/>
      <c r="T729" s="3" t="n"/>
      <c r="U729" s="3">
        <f>IF($E729="","",UPPER(SUBSTITUTE(SUBSTITUTE(SUBSTITUTE(SUBSTITUTE(SUBSTITUTE(SUBSTITUTE(SUBSTITUTE(SUBSTITUTE(SUBSTITUTE(SUBSTITUTE(SUBSTITUTE(SUBSTITUTE(SUBSTITUTE(SUBSTITUTE(SUBSTITUTE(SUBSTITUTE(SUBSTITUTE(SUBSTITUTE(TRIM($E729),"'",""),"İ","I"),"ı","I"),"i","I"),"Ş","S"),"ş","S"),"Ğ","G"),"ğ","G"),"Ü","U"),"ü","U"),"Ö","O"),"ö","O"),"Ç","C"),"ç","C"),".",""),",","")," ",""),"-","")))</f>
        <v/>
      </c>
    </row>
    <row r="730">
      <c r="A730" s="6" t="n"/>
      <c r="B730" s="113">
        <f>IF($E730="","","A"&amp;TEXT(ROW()-6,"00000"))</f>
        <v/>
      </c>
      <c r="C730" s="108" t="n"/>
      <c r="D730" s="113">
        <f>IF($E730="","",IFERROR(INDEX(MUSTERILER!$B$7:$B$106,MATCH($U730,MUSTERILER!$T$7:$T$106,0)),IFERROR(INDEX(MUSTERILER!$B$7:$B$106,MATCH($E730,MUSTERILER!$B$7:$B$106,0)),IFERROR(INDEX(MUSTERILER!$B$7:$B$106,MATCH($U730&amp;"*",MUSTERILER!$T$7:$T$106,0)),"TANIMSIZ MÜŞTERİ"))))</f>
        <v/>
      </c>
      <c r="E730" s="109" t="n"/>
      <c r="F730" s="109" t="n"/>
      <c r="G730" s="108" t="n"/>
      <c r="H730" s="220" t="n"/>
      <c r="I730" s="220" t="n"/>
      <c r="J730" s="108" t="n"/>
      <c r="K730" s="108" t="n"/>
      <c r="L730" s="109" t="n"/>
      <c r="M730" s="109" t="n"/>
      <c r="N730" s="109" t="n"/>
      <c r="O730" s="220" t="n"/>
      <c r="P730" s="227">
        <f>IF(OR($E730="",$I730=""),"",IF(OR($J730="Tamamlandı",$J730="İptal"),"",$I730-TODAY()))</f>
        <v/>
      </c>
      <c r="Q730" s="113">
        <f>IF($E730="","",IF($D730="TANIMSIZ MÜŞTERİ","HATA",IF(OR($J730="Tamamlandı",$J730="İptal"),"KAPALI",IF(AND($C730="Görüşme",$N730=""),"SONRAKİ İŞLEM EKSİK",IF($I730="","TARİH EKSİK",IF($I730&lt;TODAY(),"GECİKMİŞ",IF($I730=TODAY(),"BUGÜN",IF($I730&lt;=TODAY()+7,"7 GÜN İÇİNDE","PLANLI"))))))))</f>
        <v/>
      </c>
      <c r="R730" s="6" t="n"/>
      <c r="S730" s="6" t="n"/>
      <c r="T730" s="3" t="n"/>
      <c r="U730" s="3">
        <f>IF($E730="","",UPPER(SUBSTITUTE(SUBSTITUTE(SUBSTITUTE(SUBSTITUTE(SUBSTITUTE(SUBSTITUTE(SUBSTITUTE(SUBSTITUTE(SUBSTITUTE(SUBSTITUTE(SUBSTITUTE(SUBSTITUTE(SUBSTITUTE(SUBSTITUTE(SUBSTITUTE(SUBSTITUTE(SUBSTITUTE(SUBSTITUTE(TRIM($E730),"'",""),"İ","I"),"ı","I"),"i","I"),"Ş","S"),"ş","S"),"Ğ","G"),"ğ","G"),"Ü","U"),"ü","U"),"Ö","O"),"ö","O"),"Ç","C"),"ç","C"),".",""),",","")," ",""),"-","")))</f>
        <v/>
      </c>
    </row>
    <row r="731">
      <c r="A731" s="6" t="n"/>
      <c r="B731" s="113">
        <f>IF($E731="","","A"&amp;TEXT(ROW()-6,"00000"))</f>
        <v/>
      </c>
      <c r="C731" s="108" t="n"/>
      <c r="D731" s="113">
        <f>IF($E731="","",IFERROR(INDEX(MUSTERILER!$B$7:$B$106,MATCH($U731,MUSTERILER!$T$7:$T$106,0)),IFERROR(INDEX(MUSTERILER!$B$7:$B$106,MATCH($E731,MUSTERILER!$B$7:$B$106,0)),IFERROR(INDEX(MUSTERILER!$B$7:$B$106,MATCH($U731&amp;"*",MUSTERILER!$T$7:$T$106,0)),"TANIMSIZ MÜŞTERİ"))))</f>
        <v/>
      </c>
      <c r="E731" s="109" t="n"/>
      <c r="F731" s="109" t="n"/>
      <c r="G731" s="108" t="n"/>
      <c r="H731" s="220" t="n"/>
      <c r="I731" s="220" t="n"/>
      <c r="J731" s="108" t="n"/>
      <c r="K731" s="108" t="n"/>
      <c r="L731" s="109" t="n"/>
      <c r="M731" s="109" t="n"/>
      <c r="N731" s="109" t="n"/>
      <c r="O731" s="220" t="n"/>
      <c r="P731" s="227">
        <f>IF(OR($E731="",$I731=""),"",IF(OR($J731="Tamamlandı",$J731="İptal"),"",$I731-TODAY()))</f>
        <v/>
      </c>
      <c r="Q731" s="113">
        <f>IF($E731="","",IF($D731="TANIMSIZ MÜŞTERİ","HATA",IF(OR($J731="Tamamlandı",$J731="İptal"),"KAPALI",IF(AND($C731="Görüşme",$N731=""),"SONRAKİ İŞLEM EKSİK",IF($I731="","TARİH EKSİK",IF($I731&lt;TODAY(),"GECİKMİŞ",IF($I731=TODAY(),"BUGÜN",IF($I731&lt;=TODAY()+7,"7 GÜN İÇİNDE","PLANLI"))))))))</f>
        <v/>
      </c>
      <c r="R731" s="6" t="n"/>
      <c r="S731" s="6" t="n"/>
      <c r="T731" s="3" t="n"/>
      <c r="U731" s="3">
        <f>IF($E731="","",UPPER(SUBSTITUTE(SUBSTITUTE(SUBSTITUTE(SUBSTITUTE(SUBSTITUTE(SUBSTITUTE(SUBSTITUTE(SUBSTITUTE(SUBSTITUTE(SUBSTITUTE(SUBSTITUTE(SUBSTITUTE(SUBSTITUTE(SUBSTITUTE(SUBSTITUTE(SUBSTITUTE(SUBSTITUTE(SUBSTITUTE(TRIM($E731),"'",""),"İ","I"),"ı","I"),"i","I"),"Ş","S"),"ş","S"),"Ğ","G"),"ğ","G"),"Ü","U"),"ü","U"),"Ö","O"),"ö","O"),"Ç","C"),"ç","C"),".",""),",","")," ",""),"-","")))</f>
        <v/>
      </c>
    </row>
    <row r="732">
      <c r="A732" s="6" t="n"/>
      <c r="B732" s="113">
        <f>IF($E732="","","A"&amp;TEXT(ROW()-6,"00000"))</f>
        <v/>
      </c>
      <c r="C732" s="108" t="n"/>
      <c r="D732" s="113">
        <f>IF($E732="","",IFERROR(INDEX(MUSTERILER!$B$7:$B$106,MATCH($U732,MUSTERILER!$T$7:$T$106,0)),IFERROR(INDEX(MUSTERILER!$B$7:$B$106,MATCH($E732,MUSTERILER!$B$7:$B$106,0)),IFERROR(INDEX(MUSTERILER!$B$7:$B$106,MATCH($U732&amp;"*",MUSTERILER!$T$7:$T$106,0)),"TANIMSIZ MÜŞTERİ"))))</f>
        <v/>
      </c>
      <c r="E732" s="109" t="n"/>
      <c r="F732" s="109" t="n"/>
      <c r="G732" s="108" t="n"/>
      <c r="H732" s="220" t="n"/>
      <c r="I732" s="220" t="n"/>
      <c r="J732" s="108" t="n"/>
      <c r="K732" s="108" t="n"/>
      <c r="L732" s="109" t="n"/>
      <c r="M732" s="109" t="n"/>
      <c r="N732" s="109" t="n"/>
      <c r="O732" s="220" t="n"/>
      <c r="P732" s="227">
        <f>IF(OR($E732="",$I732=""),"",IF(OR($J732="Tamamlandı",$J732="İptal"),"",$I732-TODAY()))</f>
        <v/>
      </c>
      <c r="Q732" s="113">
        <f>IF($E732="","",IF($D732="TANIMSIZ MÜŞTERİ","HATA",IF(OR($J732="Tamamlandı",$J732="İptal"),"KAPALI",IF(AND($C732="Görüşme",$N732=""),"SONRAKİ İŞLEM EKSİK",IF($I732="","TARİH EKSİK",IF($I732&lt;TODAY(),"GECİKMİŞ",IF($I732=TODAY(),"BUGÜN",IF($I732&lt;=TODAY()+7,"7 GÜN İÇİNDE","PLANLI"))))))))</f>
        <v/>
      </c>
      <c r="R732" s="6" t="n"/>
      <c r="S732" s="6" t="n"/>
      <c r="T732" s="3" t="n"/>
      <c r="U732" s="3">
        <f>IF($E732="","",UPPER(SUBSTITUTE(SUBSTITUTE(SUBSTITUTE(SUBSTITUTE(SUBSTITUTE(SUBSTITUTE(SUBSTITUTE(SUBSTITUTE(SUBSTITUTE(SUBSTITUTE(SUBSTITUTE(SUBSTITUTE(SUBSTITUTE(SUBSTITUTE(SUBSTITUTE(SUBSTITUTE(SUBSTITUTE(SUBSTITUTE(TRIM($E732),"'",""),"İ","I"),"ı","I"),"i","I"),"Ş","S"),"ş","S"),"Ğ","G"),"ğ","G"),"Ü","U"),"ü","U"),"Ö","O"),"ö","O"),"Ç","C"),"ç","C"),".",""),",","")," ",""),"-","")))</f>
        <v/>
      </c>
    </row>
    <row r="733">
      <c r="A733" s="6" t="n"/>
      <c r="B733" s="113">
        <f>IF($E733="","","A"&amp;TEXT(ROW()-6,"00000"))</f>
        <v/>
      </c>
      <c r="C733" s="108" t="n"/>
      <c r="D733" s="113">
        <f>IF($E733="","",IFERROR(INDEX(MUSTERILER!$B$7:$B$106,MATCH($U733,MUSTERILER!$T$7:$T$106,0)),IFERROR(INDEX(MUSTERILER!$B$7:$B$106,MATCH($E733,MUSTERILER!$B$7:$B$106,0)),IFERROR(INDEX(MUSTERILER!$B$7:$B$106,MATCH($U733&amp;"*",MUSTERILER!$T$7:$T$106,0)),"TANIMSIZ MÜŞTERİ"))))</f>
        <v/>
      </c>
      <c r="E733" s="109" t="n"/>
      <c r="F733" s="109" t="n"/>
      <c r="G733" s="108" t="n"/>
      <c r="H733" s="220" t="n"/>
      <c r="I733" s="220" t="n"/>
      <c r="J733" s="108" t="n"/>
      <c r="K733" s="108" t="n"/>
      <c r="L733" s="109" t="n"/>
      <c r="M733" s="109" t="n"/>
      <c r="N733" s="109" t="n"/>
      <c r="O733" s="220" t="n"/>
      <c r="P733" s="227">
        <f>IF(OR($E733="",$I733=""),"",IF(OR($J733="Tamamlandı",$J733="İptal"),"",$I733-TODAY()))</f>
        <v/>
      </c>
      <c r="Q733" s="113">
        <f>IF($E733="","",IF($D733="TANIMSIZ MÜŞTERİ","HATA",IF(OR($J733="Tamamlandı",$J733="İptal"),"KAPALI",IF(AND($C733="Görüşme",$N733=""),"SONRAKİ İŞLEM EKSİK",IF($I733="","TARİH EKSİK",IF($I733&lt;TODAY(),"GECİKMİŞ",IF($I733=TODAY(),"BUGÜN",IF($I733&lt;=TODAY()+7,"7 GÜN İÇİNDE","PLANLI"))))))))</f>
        <v/>
      </c>
      <c r="R733" s="6" t="n"/>
      <c r="S733" s="6" t="n"/>
      <c r="T733" s="3" t="n"/>
      <c r="U733" s="3">
        <f>IF($E733="","",UPPER(SUBSTITUTE(SUBSTITUTE(SUBSTITUTE(SUBSTITUTE(SUBSTITUTE(SUBSTITUTE(SUBSTITUTE(SUBSTITUTE(SUBSTITUTE(SUBSTITUTE(SUBSTITUTE(SUBSTITUTE(SUBSTITUTE(SUBSTITUTE(SUBSTITUTE(SUBSTITUTE(SUBSTITUTE(SUBSTITUTE(TRIM($E733),"'",""),"İ","I"),"ı","I"),"i","I"),"Ş","S"),"ş","S"),"Ğ","G"),"ğ","G"),"Ü","U"),"ü","U"),"Ö","O"),"ö","O"),"Ç","C"),"ç","C"),".",""),",","")," ",""),"-","")))</f>
        <v/>
      </c>
    </row>
    <row r="734">
      <c r="A734" s="6" t="n"/>
      <c r="B734" s="113">
        <f>IF($E734="","","A"&amp;TEXT(ROW()-6,"00000"))</f>
        <v/>
      </c>
      <c r="C734" s="108" t="n"/>
      <c r="D734" s="113">
        <f>IF($E734="","",IFERROR(INDEX(MUSTERILER!$B$7:$B$106,MATCH($U734,MUSTERILER!$T$7:$T$106,0)),IFERROR(INDEX(MUSTERILER!$B$7:$B$106,MATCH($E734,MUSTERILER!$B$7:$B$106,0)),IFERROR(INDEX(MUSTERILER!$B$7:$B$106,MATCH($U734&amp;"*",MUSTERILER!$T$7:$T$106,0)),"TANIMSIZ MÜŞTERİ"))))</f>
        <v/>
      </c>
      <c r="E734" s="109" t="n"/>
      <c r="F734" s="109" t="n"/>
      <c r="G734" s="108" t="n"/>
      <c r="H734" s="220" t="n"/>
      <c r="I734" s="220" t="n"/>
      <c r="J734" s="108" t="n"/>
      <c r="K734" s="108" t="n"/>
      <c r="L734" s="109" t="n"/>
      <c r="M734" s="109" t="n"/>
      <c r="N734" s="109" t="n"/>
      <c r="O734" s="220" t="n"/>
      <c r="P734" s="227">
        <f>IF(OR($E734="",$I734=""),"",IF(OR($J734="Tamamlandı",$J734="İptal"),"",$I734-TODAY()))</f>
        <v/>
      </c>
      <c r="Q734" s="113">
        <f>IF($E734="","",IF($D734="TANIMSIZ MÜŞTERİ","HATA",IF(OR($J734="Tamamlandı",$J734="İptal"),"KAPALI",IF(AND($C734="Görüşme",$N734=""),"SONRAKİ İŞLEM EKSİK",IF($I734="","TARİH EKSİK",IF($I734&lt;TODAY(),"GECİKMİŞ",IF($I734=TODAY(),"BUGÜN",IF($I734&lt;=TODAY()+7,"7 GÜN İÇİNDE","PLANLI"))))))))</f>
        <v/>
      </c>
      <c r="R734" s="6" t="n"/>
      <c r="S734" s="6" t="n"/>
      <c r="T734" s="3" t="n"/>
      <c r="U734" s="3">
        <f>IF($E734="","",UPPER(SUBSTITUTE(SUBSTITUTE(SUBSTITUTE(SUBSTITUTE(SUBSTITUTE(SUBSTITUTE(SUBSTITUTE(SUBSTITUTE(SUBSTITUTE(SUBSTITUTE(SUBSTITUTE(SUBSTITUTE(SUBSTITUTE(SUBSTITUTE(SUBSTITUTE(SUBSTITUTE(SUBSTITUTE(SUBSTITUTE(TRIM($E734),"'",""),"İ","I"),"ı","I"),"i","I"),"Ş","S"),"ş","S"),"Ğ","G"),"ğ","G"),"Ü","U"),"ü","U"),"Ö","O"),"ö","O"),"Ç","C"),"ç","C"),".",""),",","")," ",""),"-","")))</f>
        <v/>
      </c>
    </row>
    <row r="735">
      <c r="A735" s="6" t="n"/>
      <c r="B735" s="113">
        <f>IF($E735="","","A"&amp;TEXT(ROW()-6,"00000"))</f>
        <v/>
      </c>
      <c r="C735" s="108" t="n"/>
      <c r="D735" s="113">
        <f>IF($E735="","",IFERROR(INDEX(MUSTERILER!$B$7:$B$106,MATCH($U735,MUSTERILER!$T$7:$T$106,0)),IFERROR(INDEX(MUSTERILER!$B$7:$B$106,MATCH($E735,MUSTERILER!$B$7:$B$106,0)),IFERROR(INDEX(MUSTERILER!$B$7:$B$106,MATCH($U735&amp;"*",MUSTERILER!$T$7:$T$106,0)),"TANIMSIZ MÜŞTERİ"))))</f>
        <v/>
      </c>
      <c r="E735" s="109" t="n"/>
      <c r="F735" s="109" t="n"/>
      <c r="G735" s="108" t="n"/>
      <c r="H735" s="220" t="n"/>
      <c r="I735" s="220" t="n"/>
      <c r="J735" s="108" t="n"/>
      <c r="K735" s="108" t="n"/>
      <c r="L735" s="109" t="n"/>
      <c r="M735" s="109" t="n"/>
      <c r="N735" s="109" t="n"/>
      <c r="O735" s="220" t="n"/>
      <c r="P735" s="227">
        <f>IF(OR($E735="",$I735=""),"",IF(OR($J735="Tamamlandı",$J735="İptal"),"",$I735-TODAY()))</f>
        <v/>
      </c>
      <c r="Q735" s="113">
        <f>IF($E735="","",IF($D735="TANIMSIZ MÜŞTERİ","HATA",IF(OR($J735="Tamamlandı",$J735="İptal"),"KAPALI",IF(AND($C735="Görüşme",$N735=""),"SONRAKİ İŞLEM EKSİK",IF($I735="","TARİH EKSİK",IF($I735&lt;TODAY(),"GECİKMİŞ",IF($I735=TODAY(),"BUGÜN",IF($I735&lt;=TODAY()+7,"7 GÜN İÇİNDE","PLANLI"))))))))</f>
        <v/>
      </c>
      <c r="R735" s="6" t="n"/>
      <c r="S735" s="6" t="n"/>
      <c r="T735" s="3" t="n"/>
      <c r="U735" s="3">
        <f>IF($E735="","",UPPER(SUBSTITUTE(SUBSTITUTE(SUBSTITUTE(SUBSTITUTE(SUBSTITUTE(SUBSTITUTE(SUBSTITUTE(SUBSTITUTE(SUBSTITUTE(SUBSTITUTE(SUBSTITUTE(SUBSTITUTE(SUBSTITUTE(SUBSTITUTE(SUBSTITUTE(SUBSTITUTE(SUBSTITUTE(SUBSTITUTE(TRIM($E735),"'",""),"İ","I"),"ı","I"),"i","I"),"Ş","S"),"ş","S"),"Ğ","G"),"ğ","G"),"Ü","U"),"ü","U"),"Ö","O"),"ö","O"),"Ç","C"),"ç","C"),".",""),",","")," ",""),"-","")))</f>
        <v/>
      </c>
    </row>
    <row r="736">
      <c r="A736" s="6" t="n"/>
      <c r="B736" s="113">
        <f>IF($E736="","","A"&amp;TEXT(ROW()-6,"00000"))</f>
        <v/>
      </c>
      <c r="C736" s="108" t="n"/>
      <c r="D736" s="113">
        <f>IF($E736="","",IFERROR(INDEX(MUSTERILER!$B$7:$B$106,MATCH($U736,MUSTERILER!$T$7:$T$106,0)),IFERROR(INDEX(MUSTERILER!$B$7:$B$106,MATCH($E736,MUSTERILER!$B$7:$B$106,0)),IFERROR(INDEX(MUSTERILER!$B$7:$B$106,MATCH($U736&amp;"*",MUSTERILER!$T$7:$T$106,0)),"TANIMSIZ MÜŞTERİ"))))</f>
        <v/>
      </c>
      <c r="E736" s="109" t="n"/>
      <c r="F736" s="109" t="n"/>
      <c r="G736" s="108" t="n"/>
      <c r="H736" s="220" t="n"/>
      <c r="I736" s="220" t="n"/>
      <c r="J736" s="108" t="n"/>
      <c r="K736" s="108" t="n"/>
      <c r="L736" s="109" t="n"/>
      <c r="M736" s="109" t="n"/>
      <c r="N736" s="109" t="n"/>
      <c r="O736" s="220" t="n"/>
      <c r="P736" s="227">
        <f>IF(OR($E736="",$I736=""),"",IF(OR($J736="Tamamlandı",$J736="İptal"),"",$I736-TODAY()))</f>
        <v/>
      </c>
      <c r="Q736" s="113">
        <f>IF($E736="","",IF($D736="TANIMSIZ MÜŞTERİ","HATA",IF(OR($J736="Tamamlandı",$J736="İptal"),"KAPALI",IF(AND($C736="Görüşme",$N736=""),"SONRAKİ İŞLEM EKSİK",IF($I736="","TARİH EKSİK",IF($I736&lt;TODAY(),"GECİKMİŞ",IF($I736=TODAY(),"BUGÜN",IF($I736&lt;=TODAY()+7,"7 GÜN İÇİNDE","PLANLI"))))))))</f>
        <v/>
      </c>
      <c r="R736" s="6" t="n"/>
      <c r="S736" s="6" t="n"/>
      <c r="T736" s="3" t="n"/>
      <c r="U736" s="3">
        <f>IF($E736="","",UPPER(SUBSTITUTE(SUBSTITUTE(SUBSTITUTE(SUBSTITUTE(SUBSTITUTE(SUBSTITUTE(SUBSTITUTE(SUBSTITUTE(SUBSTITUTE(SUBSTITUTE(SUBSTITUTE(SUBSTITUTE(SUBSTITUTE(SUBSTITUTE(SUBSTITUTE(SUBSTITUTE(SUBSTITUTE(SUBSTITUTE(TRIM($E736),"'",""),"İ","I"),"ı","I"),"i","I"),"Ş","S"),"ş","S"),"Ğ","G"),"ğ","G"),"Ü","U"),"ü","U"),"Ö","O"),"ö","O"),"Ç","C"),"ç","C"),".",""),",","")," ",""),"-","")))</f>
        <v/>
      </c>
    </row>
    <row r="737">
      <c r="A737" s="6" t="n"/>
      <c r="B737" s="113">
        <f>IF($E737="","","A"&amp;TEXT(ROW()-6,"00000"))</f>
        <v/>
      </c>
      <c r="C737" s="108" t="n"/>
      <c r="D737" s="113">
        <f>IF($E737="","",IFERROR(INDEX(MUSTERILER!$B$7:$B$106,MATCH($U737,MUSTERILER!$T$7:$T$106,0)),IFERROR(INDEX(MUSTERILER!$B$7:$B$106,MATCH($E737,MUSTERILER!$B$7:$B$106,0)),IFERROR(INDEX(MUSTERILER!$B$7:$B$106,MATCH($U737&amp;"*",MUSTERILER!$T$7:$T$106,0)),"TANIMSIZ MÜŞTERİ"))))</f>
        <v/>
      </c>
      <c r="E737" s="109" t="n"/>
      <c r="F737" s="109" t="n"/>
      <c r="G737" s="108" t="n"/>
      <c r="H737" s="220" t="n"/>
      <c r="I737" s="220" t="n"/>
      <c r="J737" s="108" t="n"/>
      <c r="K737" s="108" t="n"/>
      <c r="L737" s="109" t="n"/>
      <c r="M737" s="109" t="n"/>
      <c r="N737" s="109" t="n"/>
      <c r="O737" s="220" t="n"/>
      <c r="P737" s="227">
        <f>IF(OR($E737="",$I737=""),"",IF(OR($J737="Tamamlandı",$J737="İptal"),"",$I737-TODAY()))</f>
        <v/>
      </c>
      <c r="Q737" s="113">
        <f>IF($E737="","",IF($D737="TANIMSIZ MÜŞTERİ","HATA",IF(OR($J737="Tamamlandı",$J737="İptal"),"KAPALI",IF(AND($C737="Görüşme",$N737=""),"SONRAKİ İŞLEM EKSİK",IF($I737="","TARİH EKSİK",IF($I737&lt;TODAY(),"GECİKMİŞ",IF($I737=TODAY(),"BUGÜN",IF($I737&lt;=TODAY()+7,"7 GÜN İÇİNDE","PLANLI"))))))))</f>
        <v/>
      </c>
      <c r="R737" s="6" t="n"/>
      <c r="S737" s="6" t="n"/>
      <c r="T737" s="3" t="n"/>
      <c r="U737" s="3">
        <f>IF($E737="","",UPPER(SUBSTITUTE(SUBSTITUTE(SUBSTITUTE(SUBSTITUTE(SUBSTITUTE(SUBSTITUTE(SUBSTITUTE(SUBSTITUTE(SUBSTITUTE(SUBSTITUTE(SUBSTITUTE(SUBSTITUTE(SUBSTITUTE(SUBSTITUTE(SUBSTITUTE(SUBSTITUTE(SUBSTITUTE(SUBSTITUTE(TRIM($E737),"'",""),"İ","I"),"ı","I"),"i","I"),"Ş","S"),"ş","S"),"Ğ","G"),"ğ","G"),"Ü","U"),"ü","U"),"Ö","O"),"ö","O"),"Ç","C"),"ç","C"),".",""),",","")," ",""),"-","")))</f>
        <v/>
      </c>
    </row>
    <row r="738">
      <c r="A738" s="6" t="n"/>
      <c r="B738" s="113">
        <f>IF($E738="","","A"&amp;TEXT(ROW()-6,"00000"))</f>
        <v/>
      </c>
      <c r="C738" s="108" t="n"/>
      <c r="D738" s="113">
        <f>IF($E738="","",IFERROR(INDEX(MUSTERILER!$B$7:$B$106,MATCH($U738,MUSTERILER!$T$7:$T$106,0)),IFERROR(INDEX(MUSTERILER!$B$7:$B$106,MATCH($E738,MUSTERILER!$B$7:$B$106,0)),IFERROR(INDEX(MUSTERILER!$B$7:$B$106,MATCH($U738&amp;"*",MUSTERILER!$T$7:$T$106,0)),"TANIMSIZ MÜŞTERİ"))))</f>
        <v/>
      </c>
      <c r="E738" s="109" t="n"/>
      <c r="F738" s="109" t="n"/>
      <c r="G738" s="108" t="n"/>
      <c r="H738" s="220" t="n"/>
      <c r="I738" s="220" t="n"/>
      <c r="J738" s="108" t="n"/>
      <c r="K738" s="108" t="n"/>
      <c r="L738" s="109" t="n"/>
      <c r="M738" s="109" t="n"/>
      <c r="N738" s="109" t="n"/>
      <c r="O738" s="220" t="n"/>
      <c r="P738" s="227">
        <f>IF(OR($E738="",$I738=""),"",IF(OR($J738="Tamamlandı",$J738="İptal"),"",$I738-TODAY()))</f>
        <v/>
      </c>
      <c r="Q738" s="113">
        <f>IF($E738="","",IF($D738="TANIMSIZ MÜŞTERİ","HATA",IF(OR($J738="Tamamlandı",$J738="İptal"),"KAPALI",IF(AND($C738="Görüşme",$N738=""),"SONRAKİ İŞLEM EKSİK",IF($I738="","TARİH EKSİK",IF($I738&lt;TODAY(),"GECİKMİŞ",IF($I738=TODAY(),"BUGÜN",IF($I738&lt;=TODAY()+7,"7 GÜN İÇİNDE","PLANLI"))))))))</f>
        <v/>
      </c>
      <c r="R738" s="6" t="n"/>
      <c r="S738" s="6" t="n"/>
      <c r="T738" s="3" t="n"/>
      <c r="U738" s="3">
        <f>IF($E738="","",UPPER(SUBSTITUTE(SUBSTITUTE(SUBSTITUTE(SUBSTITUTE(SUBSTITUTE(SUBSTITUTE(SUBSTITUTE(SUBSTITUTE(SUBSTITUTE(SUBSTITUTE(SUBSTITUTE(SUBSTITUTE(SUBSTITUTE(SUBSTITUTE(SUBSTITUTE(SUBSTITUTE(SUBSTITUTE(SUBSTITUTE(TRIM($E738),"'",""),"İ","I"),"ı","I"),"i","I"),"Ş","S"),"ş","S"),"Ğ","G"),"ğ","G"),"Ü","U"),"ü","U"),"Ö","O"),"ö","O"),"Ç","C"),"ç","C"),".",""),",","")," ",""),"-","")))</f>
        <v/>
      </c>
    </row>
    <row r="739">
      <c r="A739" s="6" t="n"/>
      <c r="B739" s="113">
        <f>IF($E739="","","A"&amp;TEXT(ROW()-6,"00000"))</f>
        <v/>
      </c>
      <c r="C739" s="108" t="n"/>
      <c r="D739" s="113">
        <f>IF($E739="","",IFERROR(INDEX(MUSTERILER!$B$7:$B$106,MATCH($U739,MUSTERILER!$T$7:$T$106,0)),IFERROR(INDEX(MUSTERILER!$B$7:$B$106,MATCH($E739,MUSTERILER!$B$7:$B$106,0)),IFERROR(INDEX(MUSTERILER!$B$7:$B$106,MATCH($U739&amp;"*",MUSTERILER!$T$7:$T$106,0)),"TANIMSIZ MÜŞTERİ"))))</f>
        <v/>
      </c>
      <c r="E739" s="109" t="n"/>
      <c r="F739" s="109" t="n"/>
      <c r="G739" s="108" t="n"/>
      <c r="H739" s="220" t="n"/>
      <c r="I739" s="220" t="n"/>
      <c r="J739" s="108" t="n"/>
      <c r="K739" s="108" t="n"/>
      <c r="L739" s="109" t="n"/>
      <c r="M739" s="109" t="n"/>
      <c r="N739" s="109" t="n"/>
      <c r="O739" s="220" t="n"/>
      <c r="P739" s="227">
        <f>IF(OR($E739="",$I739=""),"",IF(OR($J739="Tamamlandı",$J739="İptal"),"",$I739-TODAY()))</f>
        <v/>
      </c>
      <c r="Q739" s="113">
        <f>IF($E739="","",IF($D739="TANIMSIZ MÜŞTERİ","HATA",IF(OR($J739="Tamamlandı",$J739="İptal"),"KAPALI",IF(AND($C739="Görüşme",$N739=""),"SONRAKİ İŞLEM EKSİK",IF($I739="","TARİH EKSİK",IF($I739&lt;TODAY(),"GECİKMİŞ",IF($I739=TODAY(),"BUGÜN",IF($I739&lt;=TODAY()+7,"7 GÜN İÇİNDE","PLANLI"))))))))</f>
        <v/>
      </c>
      <c r="R739" s="6" t="n"/>
      <c r="S739" s="6" t="n"/>
      <c r="T739" s="3" t="n"/>
      <c r="U739" s="3">
        <f>IF($E739="","",UPPER(SUBSTITUTE(SUBSTITUTE(SUBSTITUTE(SUBSTITUTE(SUBSTITUTE(SUBSTITUTE(SUBSTITUTE(SUBSTITUTE(SUBSTITUTE(SUBSTITUTE(SUBSTITUTE(SUBSTITUTE(SUBSTITUTE(SUBSTITUTE(SUBSTITUTE(SUBSTITUTE(SUBSTITUTE(SUBSTITUTE(TRIM($E739),"'",""),"İ","I"),"ı","I"),"i","I"),"Ş","S"),"ş","S"),"Ğ","G"),"ğ","G"),"Ü","U"),"ü","U"),"Ö","O"),"ö","O"),"Ç","C"),"ç","C"),".",""),",","")," ",""),"-","")))</f>
        <v/>
      </c>
    </row>
    <row r="740">
      <c r="A740" s="6" t="n"/>
      <c r="B740" s="113">
        <f>IF($E740="","","A"&amp;TEXT(ROW()-6,"00000"))</f>
        <v/>
      </c>
      <c r="C740" s="108" t="n"/>
      <c r="D740" s="113">
        <f>IF($E740="","",IFERROR(INDEX(MUSTERILER!$B$7:$B$106,MATCH($U740,MUSTERILER!$T$7:$T$106,0)),IFERROR(INDEX(MUSTERILER!$B$7:$B$106,MATCH($E740,MUSTERILER!$B$7:$B$106,0)),IFERROR(INDEX(MUSTERILER!$B$7:$B$106,MATCH($U740&amp;"*",MUSTERILER!$T$7:$T$106,0)),"TANIMSIZ MÜŞTERİ"))))</f>
        <v/>
      </c>
      <c r="E740" s="109" t="n"/>
      <c r="F740" s="109" t="n"/>
      <c r="G740" s="108" t="n"/>
      <c r="H740" s="220" t="n"/>
      <c r="I740" s="220" t="n"/>
      <c r="J740" s="108" t="n"/>
      <c r="K740" s="108" t="n"/>
      <c r="L740" s="109" t="n"/>
      <c r="M740" s="109" t="n"/>
      <c r="N740" s="109" t="n"/>
      <c r="O740" s="220" t="n"/>
      <c r="P740" s="227">
        <f>IF(OR($E740="",$I740=""),"",IF(OR($J740="Tamamlandı",$J740="İptal"),"",$I740-TODAY()))</f>
        <v/>
      </c>
      <c r="Q740" s="113">
        <f>IF($E740="","",IF($D740="TANIMSIZ MÜŞTERİ","HATA",IF(OR($J740="Tamamlandı",$J740="İptal"),"KAPALI",IF(AND($C740="Görüşme",$N740=""),"SONRAKİ İŞLEM EKSİK",IF($I740="","TARİH EKSİK",IF($I740&lt;TODAY(),"GECİKMİŞ",IF($I740=TODAY(),"BUGÜN",IF($I740&lt;=TODAY()+7,"7 GÜN İÇİNDE","PLANLI"))))))))</f>
        <v/>
      </c>
      <c r="R740" s="6" t="n"/>
      <c r="S740" s="6" t="n"/>
      <c r="T740" s="3" t="n"/>
      <c r="U740" s="3">
        <f>IF($E740="","",UPPER(SUBSTITUTE(SUBSTITUTE(SUBSTITUTE(SUBSTITUTE(SUBSTITUTE(SUBSTITUTE(SUBSTITUTE(SUBSTITUTE(SUBSTITUTE(SUBSTITUTE(SUBSTITUTE(SUBSTITUTE(SUBSTITUTE(SUBSTITUTE(SUBSTITUTE(SUBSTITUTE(SUBSTITUTE(SUBSTITUTE(TRIM($E740),"'",""),"İ","I"),"ı","I"),"i","I"),"Ş","S"),"ş","S"),"Ğ","G"),"ğ","G"),"Ü","U"),"ü","U"),"Ö","O"),"ö","O"),"Ç","C"),"ç","C"),".",""),",","")," ",""),"-","")))</f>
        <v/>
      </c>
    </row>
    <row r="741">
      <c r="A741" s="6" t="n"/>
      <c r="B741" s="113">
        <f>IF($E741="","","A"&amp;TEXT(ROW()-6,"00000"))</f>
        <v/>
      </c>
      <c r="C741" s="108" t="n"/>
      <c r="D741" s="113">
        <f>IF($E741="","",IFERROR(INDEX(MUSTERILER!$B$7:$B$106,MATCH($U741,MUSTERILER!$T$7:$T$106,0)),IFERROR(INDEX(MUSTERILER!$B$7:$B$106,MATCH($E741,MUSTERILER!$B$7:$B$106,0)),IFERROR(INDEX(MUSTERILER!$B$7:$B$106,MATCH($U741&amp;"*",MUSTERILER!$T$7:$T$106,0)),"TANIMSIZ MÜŞTERİ"))))</f>
        <v/>
      </c>
      <c r="E741" s="109" t="n"/>
      <c r="F741" s="109" t="n"/>
      <c r="G741" s="108" t="n"/>
      <c r="H741" s="220" t="n"/>
      <c r="I741" s="220" t="n"/>
      <c r="J741" s="108" t="n"/>
      <c r="K741" s="108" t="n"/>
      <c r="L741" s="109" t="n"/>
      <c r="M741" s="109" t="n"/>
      <c r="N741" s="109" t="n"/>
      <c r="O741" s="220" t="n"/>
      <c r="P741" s="227">
        <f>IF(OR($E741="",$I741=""),"",IF(OR($J741="Tamamlandı",$J741="İptal"),"",$I741-TODAY()))</f>
        <v/>
      </c>
      <c r="Q741" s="113">
        <f>IF($E741="","",IF($D741="TANIMSIZ MÜŞTERİ","HATA",IF(OR($J741="Tamamlandı",$J741="İptal"),"KAPALI",IF(AND($C741="Görüşme",$N741=""),"SONRAKİ İŞLEM EKSİK",IF($I741="","TARİH EKSİK",IF($I741&lt;TODAY(),"GECİKMİŞ",IF($I741=TODAY(),"BUGÜN",IF($I741&lt;=TODAY()+7,"7 GÜN İÇİNDE","PLANLI"))))))))</f>
        <v/>
      </c>
      <c r="R741" s="6" t="n"/>
      <c r="S741" s="6" t="n"/>
      <c r="T741" s="3" t="n"/>
      <c r="U741" s="3">
        <f>IF($E741="","",UPPER(SUBSTITUTE(SUBSTITUTE(SUBSTITUTE(SUBSTITUTE(SUBSTITUTE(SUBSTITUTE(SUBSTITUTE(SUBSTITUTE(SUBSTITUTE(SUBSTITUTE(SUBSTITUTE(SUBSTITUTE(SUBSTITUTE(SUBSTITUTE(SUBSTITUTE(SUBSTITUTE(SUBSTITUTE(SUBSTITUTE(TRIM($E741),"'",""),"İ","I"),"ı","I"),"i","I"),"Ş","S"),"ş","S"),"Ğ","G"),"ğ","G"),"Ü","U"),"ü","U"),"Ö","O"),"ö","O"),"Ç","C"),"ç","C"),".",""),",","")," ",""),"-","")))</f>
        <v/>
      </c>
    </row>
    <row r="742">
      <c r="A742" s="6" t="n"/>
      <c r="B742" s="113">
        <f>IF($E742="","","A"&amp;TEXT(ROW()-6,"00000"))</f>
        <v/>
      </c>
      <c r="C742" s="108" t="n"/>
      <c r="D742" s="113">
        <f>IF($E742="","",IFERROR(INDEX(MUSTERILER!$B$7:$B$106,MATCH($U742,MUSTERILER!$T$7:$T$106,0)),IFERROR(INDEX(MUSTERILER!$B$7:$B$106,MATCH($E742,MUSTERILER!$B$7:$B$106,0)),IFERROR(INDEX(MUSTERILER!$B$7:$B$106,MATCH($U742&amp;"*",MUSTERILER!$T$7:$T$106,0)),"TANIMSIZ MÜŞTERİ"))))</f>
        <v/>
      </c>
      <c r="E742" s="109" t="n"/>
      <c r="F742" s="109" t="n"/>
      <c r="G742" s="108" t="n"/>
      <c r="H742" s="220" t="n"/>
      <c r="I742" s="220" t="n"/>
      <c r="J742" s="108" t="n"/>
      <c r="K742" s="108" t="n"/>
      <c r="L742" s="109" t="n"/>
      <c r="M742" s="109" t="n"/>
      <c r="N742" s="109" t="n"/>
      <c r="O742" s="220" t="n"/>
      <c r="P742" s="227">
        <f>IF(OR($E742="",$I742=""),"",IF(OR($J742="Tamamlandı",$J742="İptal"),"",$I742-TODAY()))</f>
        <v/>
      </c>
      <c r="Q742" s="113">
        <f>IF($E742="","",IF($D742="TANIMSIZ MÜŞTERİ","HATA",IF(OR($J742="Tamamlandı",$J742="İptal"),"KAPALI",IF(AND($C742="Görüşme",$N742=""),"SONRAKİ İŞLEM EKSİK",IF($I742="","TARİH EKSİK",IF($I742&lt;TODAY(),"GECİKMİŞ",IF($I742=TODAY(),"BUGÜN",IF($I742&lt;=TODAY()+7,"7 GÜN İÇİNDE","PLANLI"))))))))</f>
        <v/>
      </c>
      <c r="R742" s="6" t="n"/>
      <c r="S742" s="6" t="n"/>
      <c r="T742" s="3" t="n"/>
      <c r="U742" s="3">
        <f>IF($E742="","",UPPER(SUBSTITUTE(SUBSTITUTE(SUBSTITUTE(SUBSTITUTE(SUBSTITUTE(SUBSTITUTE(SUBSTITUTE(SUBSTITUTE(SUBSTITUTE(SUBSTITUTE(SUBSTITUTE(SUBSTITUTE(SUBSTITUTE(SUBSTITUTE(SUBSTITUTE(SUBSTITUTE(SUBSTITUTE(SUBSTITUTE(TRIM($E742),"'",""),"İ","I"),"ı","I"),"i","I"),"Ş","S"),"ş","S"),"Ğ","G"),"ğ","G"),"Ü","U"),"ü","U"),"Ö","O"),"ö","O"),"Ç","C"),"ç","C"),".",""),",","")," ",""),"-","")))</f>
        <v/>
      </c>
    </row>
    <row r="743">
      <c r="A743" s="6" t="n"/>
      <c r="B743" s="113">
        <f>IF($E743="","","A"&amp;TEXT(ROW()-6,"00000"))</f>
        <v/>
      </c>
      <c r="C743" s="108" t="n"/>
      <c r="D743" s="113">
        <f>IF($E743="","",IFERROR(INDEX(MUSTERILER!$B$7:$B$106,MATCH($U743,MUSTERILER!$T$7:$T$106,0)),IFERROR(INDEX(MUSTERILER!$B$7:$B$106,MATCH($E743,MUSTERILER!$B$7:$B$106,0)),IFERROR(INDEX(MUSTERILER!$B$7:$B$106,MATCH($U743&amp;"*",MUSTERILER!$T$7:$T$106,0)),"TANIMSIZ MÜŞTERİ"))))</f>
        <v/>
      </c>
      <c r="E743" s="109" t="n"/>
      <c r="F743" s="109" t="n"/>
      <c r="G743" s="108" t="n"/>
      <c r="H743" s="220" t="n"/>
      <c r="I743" s="220" t="n"/>
      <c r="J743" s="108" t="n"/>
      <c r="K743" s="108" t="n"/>
      <c r="L743" s="109" t="n"/>
      <c r="M743" s="109" t="n"/>
      <c r="N743" s="109" t="n"/>
      <c r="O743" s="220" t="n"/>
      <c r="P743" s="227">
        <f>IF(OR($E743="",$I743=""),"",IF(OR($J743="Tamamlandı",$J743="İptal"),"",$I743-TODAY()))</f>
        <v/>
      </c>
      <c r="Q743" s="113">
        <f>IF($E743="","",IF($D743="TANIMSIZ MÜŞTERİ","HATA",IF(OR($J743="Tamamlandı",$J743="İptal"),"KAPALI",IF(AND($C743="Görüşme",$N743=""),"SONRAKİ İŞLEM EKSİK",IF($I743="","TARİH EKSİK",IF($I743&lt;TODAY(),"GECİKMİŞ",IF($I743=TODAY(),"BUGÜN",IF($I743&lt;=TODAY()+7,"7 GÜN İÇİNDE","PLANLI"))))))))</f>
        <v/>
      </c>
      <c r="R743" s="6" t="n"/>
      <c r="S743" s="6" t="n"/>
      <c r="T743" s="3" t="n"/>
      <c r="U743" s="3">
        <f>IF($E743="","",UPPER(SUBSTITUTE(SUBSTITUTE(SUBSTITUTE(SUBSTITUTE(SUBSTITUTE(SUBSTITUTE(SUBSTITUTE(SUBSTITUTE(SUBSTITUTE(SUBSTITUTE(SUBSTITUTE(SUBSTITUTE(SUBSTITUTE(SUBSTITUTE(SUBSTITUTE(SUBSTITUTE(SUBSTITUTE(SUBSTITUTE(TRIM($E743),"'",""),"İ","I"),"ı","I"),"i","I"),"Ş","S"),"ş","S"),"Ğ","G"),"ğ","G"),"Ü","U"),"ü","U"),"Ö","O"),"ö","O"),"Ç","C"),"ç","C"),".",""),",","")," ",""),"-","")))</f>
        <v/>
      </c>
    </row>
    <row r="744">
      <c r="A744" s="6" t="n"/>
      <c r="B744" s="113">
        <f>IF($E744="","","A"&amp;TEXT(ROW()-6,"00000"))</f>
        <v/>
      </c>
      <c r="C744" s="108" t="n"/>
      <c r="D744" s="113">
        <f>IF($E744="","",IFERROR(INDEX(MUSTERILER!$B$7:$B$106,MATCH($U744,MUSTERILER!$T$7:$T$106,0)),IFERROR(INDEX(MUSTERILER!$B$7:$B$106,MATCH($E744,MUSTERILER!$B$7:$B$106,0)),IFERROR(INDEX(MUSTERILER!$B$7:$B$106,MATCH($U744&amp;"*",MUSTERILER!$T$7:$T$106,0)),"TANIMSIZ MÜŞTERİ"))))</f>
        <v/>
      </c>
      <c r="E744" s="109" t="n"/>
      <c r="F744" s="109" t="n"/>
      <c r="G744" s="108" t="n"/>
      <c r="H744" s="220" t="n"/>
      <c r="I744" s="220" t="n"/>
      <c r="J744" s="108" t="n"/>
      <c r="K744" s="108" t="n"/>
      <c r="L744" s="109" t="n"/>
      <c r="M744" s="109" t="n"/>
      <c r="N744" s="109" t="n"/>
      <c r="O744" s="220" t="n"/>
      <c r="P744" s="227">
        <f>IF(OR($E744="",$I744=""),"",IF(OR($J744="Tamamlandı",$J744="İptal"),"",$I744-TODAY()))</f>
        <v/>
      </c>
      <c r="Q744" s="113">
        <f>IF($E744="","",IF($D744="TANIMSIZ MÜŞTERİ","HATA",IF(OR($J744="Tamamlandı",$J744="İptal"),"KAPALI",IF(AND($C744="Görüşme",$N744=""),"SONRAKİ İŞLEM EKSİK",IF($I744="","TARİH EKSİK",IF($I744&lt;TODAY(),"GECİKMİŞ",IF($I744=TODAY(),"BUGÜN",IF($I744&lt;=TODAY()+7,"7 GÜN İÇİNDE","PLANLI"))))))))</f>
        <v/>
      </c>
      <c r="R744" s="6" t="n"/>
      <c r="S744" s="6" t="n"/>
      <c r="T744" s="3" t="n"/>
      <c r="U744" s="3">
        <f>IF($E744="","",UPPER(SUBSTITUTE(SUBSTITUTE(SUBSTITUTE(SUBSTITUTE(SUBSTITUTE(SUBSTITUTE(SUBSTITUTE(SUBSTITUTE(SUBSTITUTE(SUBSTITUTE(SUBSTITUTE(SUBSTITUTE(SUBSTITUTE(SUBSTITUTE(SUBSTITUTE(SUBSTITUTE(SUBSTITUTE(SUBSTITUTE(TRIM($E744),"'",""),"İ","I"),"ı","I"),"i","I"),"Ş","S"),"ş","S"),"Ğ","G"),"ğ","G"),"Ü","U"),"ü","U"),"Ö","O"),"ö","O"),"Ç","C"),"ç","C"),".",""),",","")," ",""),"-","")))</f>
        <v/>
      </c>
    </row>
    <row r="745">
      <c r="A745" s="6" t="n"/>
      <c r="B745" s="113">
        <f>IF($E745="","","A"&amp;TEXT(ROW()-6,"00000"))</f>
        <v/>
      </c>
      <c r="C745" s="108" t="n"/>
      <c r="D745" s="113">
        <f>IF($E745="","",IFERROR(INDEX(MUSTERILER!$B$7:$B$106,MATCH($U745,MUSTERILER!$T$7:$T$106,0)),IFERROR(INDEX(MUSTERILER!$B$7:$B$106,MATCH($E745,MUSTERILER!$B$7:$B$106,0)),IFERROR(INDEX(MUSTERILER!$B$7:$B$106,MATCH($U745&amp;"*",MUSTERILER!$T$7:$T$106,0)),"TANIMSIZ MÜŞTERİ"))))</f>
        <v/>
      </c>
      <c r="E745" s="109" t="n"/>
      <c r="F745" s="109" t="n"/>
      <c r="G745" s="108" t="n"/>
      <c r="H745" s="220" t="n"/>
      <c r="I745" s="220" t="n"/>
      <c r="J745" s="108" t="n"/>
      <c r="K745" s="108" t="n"/>
      <c r="L745" s="109" t="n"/>
      <c r="M745" s="109" t="n"/>
      <c r="N745" s="109" t="n"/>
      <c r="O745" s="220" t="n"/>
      <c r="P745" s="227">
        <f>IF(OR($E745="",$I745=""),"",IF(OR($J745="Tamamlandı",$J745="İptal"),"",$I745-TODAY()))</f>
        <v/>
      </c>
      <c r="Q745" s="113">
        <f>IF($E745="","",IF($D745="TANIMSIZ MÜŞTERİ","HATA",IF(OR($J745="Tamamlandı",$J745="İptal"),"KAPALI",IF(AND($C745="Görüşme",$N745=""),"SONRAKİ İŞLEM EKSİK",IF($I745="","TARİH EKSİK",IF($I745&lt;TODAY(),"GECİKMİŞ",IF($I745=TODAY(),"BUGÜN",IF($I745&lt;=TODAY()+7,"7 GÜN İÇİNDE","PLANLI"))))))))</f>
        <v/>
      </c>
      <c r="R745" s="6" t="n"/>
      <c r="S745" s="6" t="n"/>
      <c r="T745" s="3" t="n"/>
      <c r="U745" s="3">
        <f>IF($E745="","",UPPER(SUBSTITUTE(SUBSTITUTE(SUBSTITUTE(SUBSTITUTE(SUBSTITUTE(SUBSTITUTE(SUBSTITUTE(SUBSTITUTE(SUBSTITUTE(SUBSTITUTE(SUBSTITUTE(SUBSTITUTE(SUBSTITUTE(SUBSTITUTE(SUBSTITUTE(SUBSTITUTE(SUBSTITUTE(SUBSTITUTE(TRIM($E745),"'",""),"İ","I"),"ı","I"),"i","I"),"Ş","S"),"ş","S"),"Ğ","G"),"ğ","G"),"Ü","U"),"ü","U"),"Ö","O"),"ö","O"),"Ç","C"),"ç","C"),".",""),",","")," ",""),"-","")))</f>
        <v/>
      </c>
    </row>
    <row r="746">
      <c r="A746" s="6" t="n"/>
      <c r="B746" s="113">
        <f>IF($E746="","","A"&amp;TEXT(ROW()-6,"00000"))</f>
        <v/>
      </c>
      <c r="C746" s="108" t="n"/>
      <c r="D746" s="113">
        <f>IF($E746="","",IFERROR(INDEX(MUSTERILER!$B$7:$B$106,MATCH($U746,MUSTERILER!$T$7:$T$106,0)),IFERROR(INDEX(MUSTERILER!$B$7:$B$106,MATCH($E746,MUSTERILER!$B$7:$B$106,0)),IFERROR(INDEX(MUSTERILER!$B$7:$B$106,MATCH($U746&amp;"*",MUSTERILER!$T$7:$T$106,0)),"TANIMSIZ MÜŞTERİ"))))</f>
        <v/>
      </c>
      <c r="E746" s="109" t="n"/>
      <c r="F746" s="109" t="n"/>
      <c r="G746" s="108" t="n"/>
      <c r="H746" s="220" t="n"/>
      <c r="I746" s="220" t="n"/>
      <c r="J746" s="108" t="n"/>
      <c r="K746" s="108" t="n"/>
      <c r="L746" s="109" t="n"/>
      <c r="M746" s="109" t="n"/>
      <c r="N746" s="109" t="n"/>
      <c r="O746" s="220" t="n"/>
      <c r="P746" s="227">
        <f>IF(OR($E746="",$I746=""),"",IF(OR($J746="Tamamlandı",$J746="İptal"),"",$I746-TODAY()))</f>
        <v/>
      </c>
      <c r="Q746" s="113">
        <f>IF($E746="","",IF($D746="TANIMSIZ MÜŞTERİ","HATA",IF(OR($J746="Tamamlandı",$J746="İptal"),"KAPALI",IF(AND($C746="Görüşme",$N746=""),"SONRAKİ İŞLEM EKSİK",IF($I746="","TARİH EKSİK",IF($I746&lt;TODAY(),"GECİKMİŞ",IF($I746=TODAY(),"BUGÜN",IF($I746&lt;=TODAY()+7,"7 GÜN İÇİNDE","PLANLI"))))))))</f>
        <v/>
      </c>
      <c r="R746" s="6" t="n"/>
      <c r="S746" s="6" t="n"/>
      <c r="T746" s="3" t="n"/>
      <c r="U746" s="3">
        <f>IF($E746="","",UPPER(SUBSTITUTE(SUBSTITUTE(SUBSTITUTE(SUBSTITUTE(SUBSTITUTE(SUBSTITUTE(SUBSTITUTE(SUBSTITUTE(SUBSTITUTE(SUBSTITUTE(SUBSTITUTE(SUBSTITUTE(SUBSTITUTE(SUBSTITUTE(SUBSTITUTE(SUBSTITUTE(SUBSTITUTE(SUBSTITUTE(TRIM($E746),"'",""),"İ","I"),"ı","I"),"i","I"),"Ş","S"),"ş","S"),"Ğ","G"),"ğ","G"),"Ü","U"),"ü","U"),"Ö","O"),"ö","O"),"Ç","C"),"ç","C"),".",""),",","")," ",""),"-","")))</f>
        <v/>
      </c>
    </row>
    <row r="747">
      <c r="A747" s="6" t="n"/>
      <c r="B747" s="113">
        <f>IF($E747="","","A"&amp;TEXT(ROW()-6,"00000"))</f>
        <v/>
      </c>
      <c r="C747" s="108" t="n"/>
      <c r="D747" s="113">
        <f>IF($E747="","",IFERROR(INDEX(MUSTERILER!$B$7:$B$106,MATCH($U747,MUSTERILER!$T$7:$T$106,0)),IFERROR(INDEX(MUSTERILER!$B$7:$B$106,MATCH($E747,MUSTERILER!$B$7:$B$106,0)),IFERROR(INDEX(MUSTERILER!$B$7:$B$106,MATCH($U747&amp;"*",MUSTERILER!$T$7:$T$106,0)),"TANIMSIZ MÜŞTERİ"))))</f>
        <v/>
      </c>
      <c r="E747" s="109" t="n"/>
      <c r="F747" s="109" t="n"/>
      <c r="G747" s="108" t="n"/>
      <c r="H747" s="220" t="n"/>
      <c r="I747" s="220" t="n"/>
      <c r="J747" s="108" t="n"/>
      <c r="K747" s="108" t="n"/>
      <c r="L747" s="109" t="n"/>
      <c r="M747" s="109" t="n"/>
      <c r="N747" s="109" t="n"/>
      <c r="O747" s="220" t="n"/>
      <c r="P747" s="227">
        <f>IF(OR($E747="",$I747=""),"",IF(OR($J747="Tamamlandı",$J747="İptal"),"",$I747-TODAY()))</f>
        <v/>
      </c>
      <c r="Q747" s="113">
        <f>IF($E747="","",IF($D747="TANIMSIZ MÜŞTERİ","HATA",IF(OR($J747="Tamamlandı",$J747="İptal"),"KAPALI",IF(AND($C747="Görüşme",$N747=""),"SONRAKİ İŞLEM EKSİK",IF($I747="","TARİH EKSİK",IF($I747&lt;TODAY(),"GECİKMİŞ",IF($I747=TODAY(),"BUGÜN",IF($I747&lt;=TODAY()+7,"7 GÜN İÇİNDE","PLANLI"))))))))</f>
        <v/>
      </c>
      <c r="R747" s="6" t="n"/>
      <c r="S747" s="6" t="n"/>
      <c r="T747" s="3" t="n"/>
      <c r="U747" s="3">
        <f>IF($E747="","",UPPER(SUBSTITUTE(SUBSTITUTE(SUBSTITUTE(SUBSTITUTE(SUBSTITUTE(SUBSTITUTE(SUBSTITUTE(SUBSTITUTE(SUBSTITUTE(SUBSTITUTE(SUBSTITUTE(SUBSTITUTE(SUBSTITUTE(SUBSTITUTE(SUBSTITUTE(SUBSTITUTE(SUBSTITUTE(SUBSTITUTE(TRIM($E747),"'",""),"İ","I"),"ı","I"),"i","I"),"Ş","S"),"ş","S"),"Ğ","G"),"ğ","G"),"Ü","U"),"ü","U"),"Ö","O"),"ö","O"),"Ç","C"),"ç","C"),".",""),",","")," ",""),"-","")))</f>
        <v/>
      </c>
    </row>
    <row r="748">
      <c r="A748" s="6" t="n"/>
      <c r="B748" s="113">
        <f>IF($E748="","","A"&amp;TEXT(ROW()-6,"00000"))</f>
        <v/>
      </c>
      <c r="C748" s="108" t="n"/>
      <c r="D748" s="113">
        <f>IF($E748="","",IFERROR(INDEX(MUSTERILER!$B$7:$B$106,MATCH($U748,MUSTERILER!$T$7:$T$106,0)),IFERROR(INDEX(MUSTERILER!$B$7:$B$106,MATCH($E748,MUSTERILER!$B$7:$B$106,0)),IFERROR(INDEX(MUSTERILER!$B$7:$B$106,MATCH($U748&amp;"*",MUSTERILER!$T$7:$T$106,0)),"TANIMSIZ MÜŞTERİ"))))</f>
        <v/>
      </c>
      <c r="E748" s="109" t="n"/>
      <c r="F748" s="109" t="n"/>
      <c r="G748" s="108" t="n"/>
      <c r="H748" s="220" t="n"/>
      <c r="I748" s="220" t="n"/>
      <c r="J748" s="108" t="n"/>
      <c r="K748" s="108" t="n"/>
      <c r="L748" s="109" t="n"/>
      <c r="M748" s="109" t="n"/>
      <c r="N748" s="109" t="n"/>
      <c r="O748" s="220" t="n"/>
      <c r="P748" s="227">
        <f>IF(OR($E748="",$I748=""),"",IF(OR($J748="Tamamlandı",$J748="İptal"),"",$I748-TODAY()))</f>
        <v/>
      </c>
      <c r="Q748" s="113">
        <f>IF($E748="","",IF($D748="TANIMSIZ MÜŞTERİ","HATA",IF(OR($J748="Tamamlandı",$J748="İptal"),"KAPALI",IF(AND($C748="Görüşme",$N748=""),"SONRAKİ İŞLEM EKSİK",IF($I748="","TARİH EKSİK",IF($I748&lt;TODAY(),"GECİKMİŞ",IF($I748=TODAY(),"BUGÜN",IF($I748&lt;=TODAY()+7,"7 GÜN İÇİNDE","PLANLI"))))))))</f>
        <v/>
      </c>
      <c r="R748" s="6" t="n"/>
      <c r="S748" s="6" t="n"/>
      <c r="T748" s="3" t="n"/>
      <c r="U748" s="3">
        <f>IF($E748="","",UPPER(SUBSTITUTE(SUBSTITUTE(SUBSTITUTE(SUBSTITUTE(SUBSTITUTE(SUBSTITUTE(SUBSTITUTE(SUBSTITUTE(SUBSTITUTE(SUBSTITUTE(SUBSTITUTE(SUBSTITUTE(SUBSTITUTE(SUBSTITUTE(SUBSTITUTE(SUBSTITUTE(SUBSTITUTE(SUBSTITUTE(TRIM($E748),"'",""),"İ","I"),"ı","I"),"i","I"),"Ş","S"),"ş","S"),"Ğ","G"),"ğ","G"),"Ü","U"),"ü","U"),"Ö","O"),"ö","O"),"Ç","C"),"ç","C"),".",""),",","")," ",""),"-","")))</f>
        <v/>
      </c>
    </row>
    <row r="749">
      <c r="A749" s="6" t="n"/>
      <c r="B749" s="113">
        <f>IF($E749="","","A"&amp;TEXT(ROW()-6,"00000"))</f>
        <v/>
      </c>
      <c r="C749" s="108" t="n"/>
      <c r="D749" s="113">
        <f>IF($E749="","",IFERROR(INDEX(MUSTERILER!$B$7:$B$106,MATCH($U749,MUSTERILER!$T$7:$T$106,0)),IFERROR(INDEX(MUSTERILER!$B$7:$B$106,MATCH($E749,MUSTERILER!$B$7:$B$106,0)),IFERROR(INDEX(MUSTERILER!$B$7:$B$106,MATCH($U749&amp;"*",MUSTERILER!$T$7:$T$106,0)),"TANIMSIZ MÜŞTERİ"))))</f>
        <v/>
      </c>
      <c r="E749" s="109" t="n"/>
      <c r="F749" s="109" t="n"/>
      <c r="G749" s="108" t="n"/>
      <c r="H749" s="220" t="n"/>
      <c r="I749" s="220" t="n"/>
      <c r="J749" s="108" t="n"/>
      <c r="K749" s="108" t="n"/>
      <c r="L749" s="109" t="n"/>
      <c r="M749" s="109" t="n"/>
      <c r="N749" s="109" t="n"/>
      <c r="O749" s="220" t="n"/>
      <c r="P749" s="227">
        <f>IF(OR($E749="",$I749=""),"",IF(OR($J749="Tamamlandı",$J749="İptal"),"",$I749-TODAY()))</f>
        <v/>
      </c>
      <c r="Q749" s="113">
        <f>IF($E749="","",IF($D749="TANIMSIZ MÜŞTERİ","HATA",IF(OR($J749="Tamamlandı",$J749="İptal"),"KAPALI",IF(AND($C749="Görüşme",$N749=""),"SONRAKİ İŞLEM EKSİK",IF($I749="","TARİH EKSİK",IF($I749&lt;TODAY(),"GECİKMİŞ",IF($I749=TODAY(),"BUGÜN",IF($I749&lt;=TODAY()+7,"7 GÜN İÇİNDE","PLANLI"))))))))</f>
        <v/>
      </c>
      <c r="R749" s="6" t="n"/>
      <c r="S749" s="6" t="n"/>
      <c r="T749" s="3" t="n"/>
      <c r="U749" s="3">
        <f>IF($E749="","",UPPER(SUBSTITUTE(SUBSTITUTE(SUBSTITUTE(SUBSTITUTE(SUBSTITUTE(SUBSTITUTE(SUBSTITUTE(SUBSTITUTE(SUBSTITUTE(SUBSTITUTE(SUBSTITUTE(SUBSTITUTE(SUBSTITUTE(SUBSTITUTE(SUBSTITUTE(SUBSTITUTE(SUBSTITUTE(SUBSTITUTE(TRIM($E749),"'",""),"İ","I"),"ı","I"),"i","I"),"Ş","S"),"ş","S"),"Ğ","G"),"ğ","G"),"Ü","U"),"ü","U"),"Ö","O"),"ö","O"),"Ç","C"),"ç","C"),".",""),",","")," ",""),"-","")))</f>
        <v/>
      </c>
    </row>
    <row r="750">
      <c r="A750" s="6" t="n"/>
      <c r="B750" s="113">
        <f>IF($E750="","","A"&amp;TEXT(ROW()-6,"00000"))</f>
        <v/>
      </c>
      <c r="C750" s="108" t="n"/>
      <c r="D750" s="113">
        <f>IF($E750="","",IFERROR(INDEX(MUSTERILER!$B$7:$B$106,MATCH($U750,MUSTERILER!$T$7:$T$106,0)),IFERROR(INDEX(MUSTERILER!$B$7:$B$106,MATCH($E750,MUSTERILER!$B$7:$B$106,0)),IFERROR(INDEX(MUSTERILER!$B$7:$B$106,MATCH($U750&amp;"*",MUSTERILER!$T$7:$T$106,0)),"TANIMSIZ MÜŞTERİ"))))</f>
        <v/>
      </c>
      <c r="E750" s="109" t="n"/>
      <c r="F750" s="109" t="n"/>
      <c r="G750" s="108" t="n"/>
      <c r="H750" s="220" t="n"/>
      <c r="I750" s="220" t="n"/>
      <c r="J750" s="108" t="n"/>
      <c r="K750" s="108" t="n"/>
      <c r="L750" s="109" t="n"/>
      <c r="M750" s="109" t="n"/>
      <c r="N750" s="109" t="n"/>
      <c r="O750" s="220" t="n"/>
      <c r="P750" s="227">
        <f>IF(OR($E750="",$I750=""),"",IF(OR($J750="Tamamlandı",$J750="İptal"),"",$I750-TODAY()))</f>
        <v/>
      </c>
      <c r="Q750" s="113">
        <f>IF($E750="","",IF($D750="TANIMSIZ MÜŞTERİ","HATA",IF(OR($J750="Tamamlandı",$J750="İptal"),"KAPALI",IF(AND($C750="Görüşme",$N750=""),"SONRAKİ İŞLEM EKSİK",IF($I750="","TARİH EKSİK",IF($I750&lt;TODAY(),"GECİKMİŞ",IF($I750=TODAY(),"BUGÜN",IF($I750&lt;=TODAY()+7,"7 GÜN İÇİNDE","PLANLI"))))))))</f>
        <v/>
      </c>
      <c r="R750" s="6" t="n"/>
      <c r="S750" s="6" t="n"/>
      <c r="T750" s="3" t="n"/>
      <c r="U750" s="3">
        <f>IF($E750="","",UPPER(SUBSTITUTE(SUBSTITUTE(SUBSTITUTE(SUBSTITUTE(SUBSTITUTE(SUBSTITUTE(SUBSTITUTE(SUBSTITUTE(SUBSTITUTE(SUBSTITUTE(SUBSTITUTE(SUBSTITUTE(SUBSTITUTE(SUBSTITUTE(SUBSTITUTE(SUBSTITUTE(SUBSTITUTE(SUBSTITUTE(TRIM($E750),"'",""),"İ","I"),"ı","I"),"i","I"),"Ş","S"),"ş","S"),"Ğ","G"),"ğ","G"),"Ü","U"),"ü","U"),"Ö","O"),"ö","O"),"Ç","C"),"ç","C"),".",""),",","")," ",""),"-","")))</f>
        <v/>
      </c>
    </row>
    <row r="751">
      <c r="A751" s="6" t="n"/>
      <c r="B751" s="113">
        <f>IF($E751="","","A"&amp;TEXT(ROW()-6,"00000"))</f>
        <v/>
      </c>
      <c r="C751" s="108" t="n"/>
      <c r="D751" s="113">
        <f>IF($E751="","",IFERROR(INDEX(MUSTERILER!$B$7:$B$106,MATCH($U751,MUSTERILER!$T$7:$T$106,0)),IFERROR(INDEX(MUSTERILER!$B$7:$B$106,MATCH($E751,MUSTERILER!$B$7:$B$106,0)),IFERROR(INDEX(MUSTERILER!$B$7:$B$106,MATCH($U751&amp;"*",MUSTERILER!$T$7:$T$106,0)),"TANIMSIZ MÜŞTERİ"))))</f>
        <v/>
      </c>
      <c r="E751" s="109" t="n"/>
      <c r="F751" s="109" t="n"/>
      <c r="G751" s="108" t="n"/>
      <c r="H751" s="220" t="n"/>
      <c r="I751" s="220" t="n"/>
      <c r="J751" s="108" t="n"/>
      <c r="K751" s="108" t="n"/>
      <c r="L751" s="109" t="n"/>
      <c r="M751" s="109" t="n"/>
      <c r="N751" s="109" t="n"/>
      <c r="O751" s="220" t="n"/>
      <c r="P751" s="227">
        <f>IF(OR($E751="",$I751=""),"",IF(OR($J751="Tamamlandı",$J751="İptal"),"",$I751-TODAY()))</f>
        <v/>
      </c>
      <c r="Q751" s="113">
        <f>IF($E751="","",IF($D751="TANIMSIZ MÜŞTERİ","HATA",IF(OR($J751="Tamamlandı",$J751="İptal"),"KAPALI",IF(AND($C751="Görüşme",$N751=""),"SONRAKİ İŞLEM EKSİK",IF($I751="","TARİH EKSİK",IF($I751&lt;TODAY(),"GECİKMİŞ",IF($I751=TODAY(),"BUGÜN",IF($I751&lt;=TODAY()+7,"7 GÜN İÇİNDE","PLANLI"))))))))</f>
        <v/>
      </c>
      <c r="R751" s="6" t="n"/>
      <c r="S751" s="6" t="n"/>
      <c r="T751" s="3" t="n"/>
      <c r="U751" s="3">
        <f>IF($E751="","",UPPER(SUBSTITUTE(SUBSTITUTE(SUBSTITUTE(SUBSTITUTE(SUBSTITUTE(SUBSTITUTE(SUBSTITUTE(SUBSTITUTE(SUBSTITUTE(SUBSTITUTE(SUBSTITUTE(SUBSTITUTE(SUBSTITUTE(SUBSTITUTE(SUBSTITUTE(SUBSTITUTE(SUBSTITUTE(SUBSTITUTE(TRIM($E751),"'",""),"İ","I"),"ı","I"),"i","I"),"Ş","S"),"ş","S"),"Ğ","G"),"ğ","G"),"Ü","U"),"ü","U"),"Ö","O"),"ö","O"),"Ç","C"),"ç","C"),".",""),",","")," ",""),"-","")))</f>
        <v/>
      </c>
    </row>
    <row r="752">
      <c r="A752" s="6" t="n"/>
      <c r="B752" s="113">
        <f>IF($E752="","","A"&amp;TEXT(ROW()-6,"00000"))</f>
        <v/>
      </c>
      <c r="C752" s="108" t="n"/>
      <c r="D752" s="113">
        <f>IF($E752="","",IFERROR(INDEX(MUSTERILER!$B$7:$B$106,MATCH($U752,MUSTERILER!$T$7:$T$106,0)),IFERROR(INDEX(MUSTERILER!$B$7:$B$106,MATCH($E752,MUSTERILER!$B$7:$B$106,0)),IFERROR(INDEX(MUSTERILER!$B$7:$B$106,MATCH($U752&amp;"*",MUSTERILER!$T$7:$T$106,0)),"TANIMSIZ MÜŞTERİ"))))</f>
        <v/>
      </c>
      <c r="E752" s="109" t="n"/>
      <c r="F752" s="109" t="n"/>
      <c r="G752" s="108" t="n"/>
      <c r="H752" s="220" t="n"/>
      <c r="I752" s="220" t="n"/>
      <c r="J752" s="108" t="n"/>
      <c r="K752" s="108" t="n"/>
      <c r="L752" s="109" t="n"/>
      <c r="M752" s="109" t="n"/>
      <c r="N752" s="109" t="n"/>
      <c r="O752" s="220" t="n"/>
      <c r="P752" s="227">
        <f>IF(OR($E752="",$I752=""),"",IF(OR($J752="Tamamlandı",$J752="İptal"),"",$I752-TODAY()))</f>
        <v/>
      </c>
      <c r="Q752" s="113">
        <f>IF($E752="","",IF($D752="TANIMSIZ MÜŞTERİ","HATA",IF(OR($J752="Tamamlandı",$J752="İptal"),"KAPALI",IF(AND($C752="Görüşme",$N752=""),"SONRAKİ İŞLEM EKSİK",IF($I752="","TARİH EKSİK",IF($I752&lt;TODAY(),"GECİKMİŞ",IF($I752=TODAY(),"BUGÜN",IF($I752&lt;=TODAY()+7,"7 GÜN İÇİNDE","PLANLI"))))))))</f>
        <v/>
      </c>
      <c r="R752" s="6" t="n"/>
      <c r="S752" s="6" t="n"/>
      <c r="T752" s="3" t="n"/>
      <c r="U752" s="3">
        <f>IF($E752="","",UPPER(SUBSTITUTE(SUBSTITUTE(SUBSTITUTE(SUBSTITUTE(SUBSTITUTE(SUBSTITUTE(SUBSTITUTE(SUBSTITUTE(SUBSTITUTE(SUBSTITUTE(SUBSTITUTE(SUBSTITUTE(SUBSTITUTE(SUBSTITUTE(SUBSTITUTE(SUBSTITUTE(SUBSTITUTE(SUBSTITUTE(TRIM($E752),"'",""),"İ","I"),"ı","I"),"i","I"),"Ş","S"),"ş","S"),"Ğ","G"),"ğ","G"),"Ü","U"),"ü","U"),"Ö","O"),"ö","O"),"Ç","C"),"ç","C"),".",""),",","")," ",""),"-","")))</f>
        <v/>
      </c>
    </row>
    <row r="753">
      <c r="A753" s="6" t="n"/>
      <c r="B753" s="113">
        <f>IF($E753="","","A"&amp;TEXT(ROW()-6,"00000"))</f>
        <v/>
      </c>
      <c r="C753" s="108" t="n"/>
      <c r="D753" s="113">
        <f>IF($E753="","",IFERROR(INDEX(MUSTERILER!$B$7:$B$106,MATCH($U753,MUSTERILER!$T$7:$T$106,0)),IFERROR(INDEX(MUSTERILER!$B$7:$B$106,MATCH($E753,MUSTERILER!$B$7:$B$106,0)),IFERROR(INDEX(MUSTERILER!$B$7:$B$106,MATCH($U753&amp;"*",MUSTERILER!$T$7:$T$106,0)),"TANIMSIZ MÜŞTERİ"))))</f>
        <v/>
      </c>
      <c r="E753" s="109" t="n"/>
      <c r="F753" s="109" t="n"/>
      <c r="G753" s="108" t="n"/>
      <c r="H753" s="220" t="n"/>
      <c r="I753" s="220" t="n"/>
      <c r="J753" s="108" t="n"/>
      <c r="K753" s="108" t="n"/>
      <c r="L753" s="109" t="n"/>
      <c r="M753" s="109" t="n"/>
      <c r="N753" s="109" t="n"/>
      <c r="O753" s="220" t="n"/>
      <c r="P753" s="227">
        <f>IF(OR($E753="",$I753=""),"",IF(OR($J753="Tamamlandı",$J753="İptal"),"",$I753-TODAY()))</f>
        <v/>
      </c>
      <c r="Q753" s="113">
        <f>IF($E753="","",IF($D753="TANIMSIZ MÜŞTERİ","HATA",IF(OR($J753="Tamamlandı",$J753="İptal"),"KAPALI",IF(AND($C753="Görüşme",$N753=""),"SONRAKİ İŞLEM EKSİK",IF($I753="","TARİH EKSİK",IF($I753&lt;TODAY(),"GECİKMİŞ",IF($I753=TODAY(),"BUGÜN",IF($I753&lt;=TODAY()+7,"7 GÜN İÇİNDE","PLANLI"))))))))</f>
        <v/>
      </c>
      <c r="R753" s="6" t="n"/>
      <c r="S753" s="6" t="n"/>
      <c r="T753" s="3" t="n"/>
      <c r="U753" s="3">
        <f>IF($E753="","",UPPER(SUBSTITUTE(SUBSTITUTE(SUBSTITUTE(SUBSTITUTE(SUBSTITUTE(SUBSTITUTE(SUBSTITUTE(SUBSTITUTE(SUBSTITUTE(SUBSTITUTE(SUBSTITUTE(SUBSTITUTE(SUBSTITUTE(SUBSTITUTE(SUBSTITUTE(SUBSTITUTE(SUBSTITUTE(SUBSTITUTE(TRIM($E753),"'",""),"İ","I"),"ı","I"),"i","I"),"Ş","S"),"ş","S"),"Ğ","G"),"ğ","G"),"Ü","U"),"ü","U"),"Ö","O"),"ö","O"),"Ç","C"),"ç","C"),".",""),",","")," ",""),"-","")))</f>
        <v/>
      </c>
    </row>
    <row r="754">
      <c r="A754" s="6" t="n"/>
      <c r="B754" s="113">
        <f>IF($E754="","","A"&amp;TEXT(ROW()-6,"00000"))</f>
        <v/>
      </c>
      <c r="C754" s="108" t="n"/>
      <c r="D754" s="113">
        <f>IF($E754="","",IFERROR(INDEX(MUSTERILER!$B$7:$B$106,MATCH($U754,MUSTERILER!$T$7:$T$106,0)),IFERROR(INDEX(MUSTERILER!$B$7:$B$106,MATCH($E754,MUSTERILER!$B$7:$B$106,0)),IFERROR(INDEX(MUSTERILER!$B$7:$B$106,MATCH($U754&amp;"*",MUSTERILER!$T$7:$T$106,0)),"TANIMSIZ MÜŞTERİ"))))</f>
        <v/>
      </c>
      <c r="E754" s="109" t="n"/>
      <c r="F754" s="109" t="n"/>
      <c r="G754" s="108" t="n"/>
      <c r="H754" s="220" t="n"/>
      <c r="I754" s="220" t="n"/>
      <c r="J754" s="108" t="n"/>
      <c r="K754" s="108" t="n"/>
      <c r="L754" s="109" t="n"/>
      <c r="M754" s="109" t="n"/>
      <c r="N754" s="109" t="n"/>
      <c r="O754" s="220" t="n"/>
      <c r="P754" s="227">
        <f>IF(OR($E754="",$I754=""),"",IF(OR($J754="Tamamlandı",$J754="İptal"),"",$I754-TODAY()))</f>
        <v/>
      </c>
      <c r="Q754" s="113">
        <f>IF($E754="","",IF($D754="TANIMSIZ MÜŞTERİ","HATA",IF(OR($J754="Tamamlandı",$J754="İptal"),"KAPALI",IF(AND($C754="Görüşme",$N754=""),"SONRAKİ İŞLEM EKSİK",IF($I754="","TARİH EKSİK",IF($I754&lt;TODAY(),"GECİKMİŞ",IF($I754=TODAY(),"BUGÜN",IF($I754&lt;=TODAY()+7,"7 GÜN İÇİNDE","PLANLI"))))))))</f>
        <v/>
      </c>
      <c r="R754" s="6" t="n"/>
      <c r="S754" s="6" t="n"/>
      <c r="T754" s="3" t="n"/>
      <c r="U754" s="3">
        <f>IF($E754="","",UPPER(SUBSTITUTE(SUBSTITUTE(SUBSTITUTE(SUBSTITUTE(SUBSTITUTE(SUBSTITUTE(SUBSTITUTE(SUBSTITUTE(SUBSTITUTE(SUBSTITUTE(SUBSTITUTE(SUBSTITUTE(SUBSTITUTE(SUBSTITUTE(SUBSTITUTE(SUBSTITUTE(SUBSTITUTE(SUBSTITUTE(TRIM($E754),"'",""),"İ","I"),"ı","I"),"i","I"),"Ş","S"),"ş","S"),"Ğ","G"),"ğ","G"),"Ü","U"),"ü","U"),"Ö","O"),"ö","O"),"Ç","C"),"ç","C"),".",""),",","")," ",""),"-","")))</f>
        <v/>
      </c>
    </row>
    <row r="755">
      <c r="A755" s="6" t="n"/>
      <c r="B755" s="113">
        <f>IF($E755="","","A"&amp;TEXT(ROW()-6,"00000"))</f>
        <v/>
      </c>
      <c r="C755" s="108" t="n"/>
      <c r="D755" s="113">
        <f>IF($E755="","",IFERROR(INDEX(MUSTERILER!$B$7:$B$106,MATCH($U755,MUSTERILER!$T$7:$T$106,0)),IFERROR(INDEX(MUSTERILER!$B$7:$B$106,MATCH($E755,MUSTERILER!$B$7:$B$106,0)),IFERROR(INDEX(MUSTERILER!$B$7:$B$106,MATCH($U755&amp;"*",MUSTERILER!$T$7:$T$106,0)),"TANIMSIZ MÜŞTERİ"))))</f>
        <v/>
      </c>
      <c r="E755" s="109" t="n"/>
      <c r="F755" s="109" t="n"/>
      <c r="G755" s="108" t="n"/>
      <c r="H755" s="220" t="n"/>
      <c r="I755" s="220" t="n"/>
      <c r="J755" s="108" t="n"/>
      <c r="K755" s="108" t="n"/>
      <c r="L755" s="109" t="n"/>
      <c r="M755" s="109" t="n"/>
      <c r="N755" s="109" t="n"/>
      <c r="O755" s="220" t="n"/>
      <c r="P755" s="227">
        <f>IF(OR($E755="",$I755=""),"",IF(OR($J755="Tamamlandı",$J755="İptal"),"",$I755-TODAY()))</f>
        <v/>
      </c>
      <c r="Q755" s="113">
        <f>IF($E755="","",IF($D755="TANIMSIZ MÜŞTERİ","HATA",IF(OR($J755="Tamamlandı",$J755="İptal"),"KAPALI",IF(AND($C755="Görüşme",$N755=""),"SONRAKİ İŞLEM EKSİK",IF($I755="","TARİH EKSİK",IF($I755&lt;TODAY(),"GECİKMİŞ",IF($I755=TODAY(),"BUGÜN",IF($I755&lt;=TODAY()+7,"7 GÜN İÇİNDE","PLANLI"))))))))</f>
        <v/>
      </c>
      <c r="R755" s="6" t="n"/>
      <c r="S755" s="6" t="n"/>
      <c r="T755" s="3" t="n"/>
      <c r="U755" s="3">
        <f>IF($E755="","",UPPER(SUBSTITUTE(SUBSTITUTE(SUBSTITUTE(SUBSTITUTE(SUBSTITUTE(SUBSTITUTE(SUBSTITUTE(SUBSTITUTE(SUBSTITUTE(SUBSTITUTE(SUBSTITUTE(SUBSTITUTE(SUBSTITUTE(SUBSTITUTE(SUBSTITUTE(SUBSTITUTE(SUBSTITUTE(SUBSTITUTE(TRIM($E755),"'",""),"İ","I"),"ı","I"),"i","I"),"Ş","S"),"ş","S"),"Ğ","G"),"ğ","G"),"Ü","U"),"ü","U"),"Ö","O"),"ö","O"),"Ç","C"),"ç","C"),".",""),",","")," ",""),"-","")))</f>
        <v/>
      </c>
    </row>
    <row r="756">
      <c r="A756" s="6" t="n"/>
      <c r="B756" s="113">
        <f>IF($E756="","","A"&amp;TEXT(ROW()-6,"00000"))</f>
        <v/>
      </c>
      <c r="C756" s="108" t="n"/>
      <c r="D756" s="113">
        <f>IF($E756="","",IFERROR(INDEX(MUSTERILER!$B$7:$B$106,MATCH($U756,MUSTERILER!$T$7:$T$106,0)),IFERROR(INDEX(MUSTERILER!$B$7:$B$106,MATCH($E756,MUSTERILER!$B$7:$B$106,0)),IFERROR(INDEX(MUSTERILER!$B$7:$B$106,MATCH($U756&amp;"*",MUSTERILER!$T$7:$T$106,0)),"TANIMSIZ MÜŞTERİ"))))</f>
        <v/>
      </c>
      <c r="E756" s="109" t="n"/>
      <c r="F756" s="109" t="n"/>
      <c r="G756" s="108" t="n"/>
      <c r="H756" s="220" t="n"/>
      <c r="I756" s="220" t="n"/>
      <c r="J756" s="108" t="n"/>
      <c r="K756" s="108" t="n"/>
      <c r="L756" s="109" t="n"/>
      <c r="M756" s="109" t="n"/>
      <c r="N756" s="109" t="n"/>
      <c r="O756" s="220" t="n"/>
      <c r="P756" s="227">
        <f>IF(OR($E756="",$I756=""),"",IF(OR($J756="Tamamlandı",$J756="İptal"),"",$I756-TODAY()))</f>
        <v/>
      </c>
      <c r="Q756" s="113">
        <f>IF($E756="","",IF($D756="TANIMSIZ MÜŞTERİ","HATA",IF(OR($J756="Tamamlandı",$J756="İptal"),"KAPALI",IF(AND($C756="Görüşme",$N756=""),"SONRAKİ İŞLEM EKSİK",IF($I756="","TARİH EKSİK",IF($I756&lt;TODAY(),"GECİKMİŞ",IF($I756=TODAY(),"BUGÜN",IF($I756&lt;=TODAY()+7,"7 GÜN İÇİNDE","PLANLI"))))))))</f>
        <v/>
      </c>
      <c r="R756" s="6" t="n"/>
      <c r="S756" s="6" t="n"/>
      <c r="T756" s="3" t="n"/>
      <c r="U756" s="3">
        <f>IF($E756="","",UPPER(SUBSTITUTE(SUBSTITUTE(SUBSTITUTE(SUBSTITUTE(SUBSTITUTE(SUBSTITUTE(SUBSTITUTE(SUBSTITUTE(SUBSTITUTE(SUBSTITUTE(SUBSTITUTE(SUBSTITUTE(SUBSTITUTE(SUBSTITUTE(SUBSTITUTE(SUBSTITUTE(SUBSTITUTE(SUBSTITUTE(TRIM($E756),"'",""),"İ","I"),"ı","I"),"i","I"),"Ş","S"),"ş","S"),"Ğ","G"),"ğ","G"),"Ü","U"),"ü","U"),"Ö","O"),"ö","O"),"Ç","C"),"ç","C"),".",""),",","")," ",""),"-","")))</f>
        <v/>
      </c>
    </row>
    <row r="757">
      <c r="A757" s="6" t="n"/>
      <c r="B757" s="113">
        <f>IF($E757="","","A"&amp;TEXT(ROW()-6,"00000"))</f>
        <v/>
      </c>
      <c r="C757" s="108" t="n"/>
      <c r="D757" s="113">
        <f>IF($E757="","",IFERROR(INDEX(MUSTERILER!$B$7:$B$106,MATCH($U757,MUSTERILER!$T$7:$T$106,0)),IFERROR(INDEX(MUSTERILER!$B$7:$B$106,MATCH($E757,MUSTERILER!$B$7:$B$106,0)),IFERROR(INDEX(MUSTERILER!$B$7:$B$106,MATCH($U757&amp;"*",MUSTERILER!$T$7:$T$106,0)),"TANIMSIZ MÜŞTERİ"))))</f>
        <v/>
      </c>
      <c r="E757" s="109" t="n"/>
      <c r="F757" s="109" t="n"/>
      <c r="G757" s="108" t="n"/>
      <c r="H757" s="220" t="n"/>
      <c r="I757" s="220" t="n"/>
      <c r="J757" s="108" t="n"/>
      <c r="K757" s="108" t="n"/>
      <c r="L757" s="109" t="n"/>
      <c r="M757" s="109" t="n"/>
      <c r="N757" s="109" t="n"/>
      <c r="O757" s="220" t="n"/>
      <c r="P757" s="227">
        <f>IF(OR($E757="",$I757=""),"",IF(OR($J757="Tamamlandı",$J757="İptal"),"",$I757-TODAY()))</f>
        <v/>
      </c>
      <c r="Q757" s="113">
        <f>IF($E757="","",IF($D757="TANIMSIZ MÜŞTERİ","HATA",IF(OR($J757="Tamamlandı",$J757="İptal"),"KAPALI",IF(AND($C757="Görüşme",$N757=""),"SONRAKİ İŞLEM EKSİK",IF($I757="","TARİH EKSİK",IF($I757&lt;TODAY(),"GECİKMİŞ",IF($I757=TODAY(),"BUGÜN",IF($I757&lt;=TODAY()+7,"7 GÜN İÇİNDE","PLANLI"))))))))</f>
        <v/>
      </c>
      <c r="R757" s="6" t="n"/>
      <c r="S757" s="6" t="n"/>
      <c r="T757" s="3" t="n"/>
      <c r="U757" s="3">
        <f>IF($E757="","",UPPER(SUBSTITUTE(SUBSTITUTE(SUBSTITUTE(SUBSTITUTE(SUBSTITUTE(SUBSTITUTE(SUBSTITUTE(SUBSTITUTE(SUBSTITUTE(SUBSTITUTE(SUBSTITUTE(SUBSTITUTE(SUBSTITUTE(SUBSTITUTE(SUBSTITUTE(SUBSTITUTE(SUBSTITUTE(SUBSTITUTE(TRIM($E757),"'",""),"İ","I"),"ı","I"),"i","I"),"Ş","S"),"ş","S"),"Ğ","G"),"ğ","G"),"Ü","U"),"ü","U"),"Ö","O"),"ö","O"),"Ç","C"),"ç","C"),".",""),",","")," ",""),"-","")))</f>
        <v/>
      </c>
    </row>
    <row r="758">
      <c r="A758" s="6" t="n"/>
      <c r="B758" s="113">
        <f>IF($E758="","","A"&amp;TEXT(ROW()-6,"00000"))</f>
        <v/>
      </c>
      <c r="C758" s="108" t="n"/>
      <c r="D758" s="113">
        <f>IF($E758="","",IFERROR(INDEX(MUSTERILER!$B$7:$B$106,MATCH($U758,MUSTERILER!$T$7:$T$106,0)),IFERROR(INDEX(MUSTERILER!$B$7:$B$106,MATCH($E758,MUSTERILER!$B$7:$B$106,0)),IFERROR(INDEX(MUSTERILER!$B$7:$B$106,MATCH($U758&amp;"*",MUSTERILER!$T$7:$T$106,0)),"TANIMSIZ MÜŞTERİ"))))</f>
        <v/>
      </c>
      <c r="E758" s="109" t="n"/>
      <c r="F758" s="109" t="n"/>
      <c r="G758" s="108" t="n"/>
      <c r="H758" s="220" t="n"/>
      <c r="I758" s="220" t="n"/>
      <c r="J758" s="108" t="n"/>
      <c r="K758" s="108" t="n"/>
      <c r="L758" s="109" t="n"/>
      <c r="M758" s="109" t="n"/>
      <c r="N758" s="109" t="n"/>
      <c r="O758" s="220" t="n"/>
      <c r="P758" s="227">
        <f>IF(OR($E758="",$I758=""),"",IF(OR($J758="Tamamlandı",$J758="İptal"),"",$I758-TODAY()))</f>
        <v/>
      </c>
      <c r="Q758" s="113">
        <f>IF($E758="","",IF($D758="TANIMSIZ MÜŞTERİ","HATA",IF(OR($J758="Tamamlandı",$J758="İptal"),"KAPALI",IF(AND($C758="Görüşme",$N758=""),"SONRAKİ İŞLEM EKSİK",IF($I758="","TARİH EKSİK",IF($I758&lt;TODAY(),"GECİKMİŞ",IF($I758=TODAY(),"BUGÜN",IF($I758&lt;=TODAY()+7,"7 GÜN İÇİNDE","PLANLI"))))))))</f>
        <v/>
      </c>
      <c r="R758" s="6" t="n"/>
      <c r="S758" s="6" t="n"/>
      <c r="T758" s="3" t="n"/>
      <c r="U758" s="3">
        <f>IF($E758="","",UPPER(SUBSTITUTE(SUBSTITUTE(SUBSTITUTE(SUBSTITUTE(SUBSTITUTE(SUBSTITUTE(SUBSTITUTE(SUBSTITUTE(SUBSTITUTE(SUBSTITUTE(SUBSTITUTE(SUBSTITUTE(SUBSTITUTE(SUBSTITUTE(SUBSTITUTE(SUBSTITUTE(SUBSTITUTE(SUBSTITUTE(TRIM($E758),"'",""),"İ","I"),"ı","I"),"i","I"),"Ş","S"),"ş","S"),"Ğ","G"),"ğ","G"),"Ü","U"),"ü","U"),"Ö","O"),"ö","O"),"Ç","C"),"ç","C"),".",""),",","")," ",""),"-","")))</f>
        <v/>
      </c>
    </row>
    <row r="759">
      <c r="A759" s="6" t="n"/>
      <c r="B759" s="113">
        <f>IF($E759="","","A"&amp;TEXT(ROW()-6,"00000"))</f>
        <v/>
      </c>
      <c r="C759" s="108" t="n"/>
      <c r="D759" s="113">
        <f>IF($E759="","",IFERROR(INDEX(MUSTERILER!$B$7:$B$106,MATCH($U759,MUSTERILER!$T$7:$T$106,0)),IFERROR(INDEX(MUSTERILER!$B$7:$B$106,MATCH($E759,MUSTERILER!$B$7:$B$106,0)),IFERROR(INDEX(MUSTERILER!$B$7:$B$106,MATCH($U759&amp;"*",MUSTERILER!$T$7:$T$106,0)),"TANIMSIZ MÜŞTERİ"))))</f>
        <v/>
      </c>
      <c r="E759" s="109" t="n"/>
      <c r="F759" s="109" t="n"/>
      <c r="G759" s="108" t="n"/>
      <c r="H759" s="220" t="n"/>
      <c r="I759" s="220" t="n"/>
      <c r="J759" s="108" t="n"/>
      <c r="K759" s="108" t="n"/>
      <c r="L759" s="109" t="n"/>
      <c r="M759" s="109" t="n"/>
      <c r="N759" s="109" t="n"/>
      <c r="O759" s="220" t="n"/>
      <c r="P759" s="227">
        <f>IF(OR($E759="",$I759=""),"",IF(OR($J759="Tamamlandı",$J759="İptal"),"",$I759-TODAY()))</f>
        <v/>
      </c>
      <c r="Q759" s="113">
        <f>IF($E759="","",IF($D759="TANIMSIZ MÜŞTERİ","HATA",IF(OR($J759="Tamamlandı",$J759="İptal"),"KAPALI",IF(AND($C759="Görüşme",$N759=""),"SONRAKİ İŞLEM EKSİK",IF($I759="","TARİH EKSİK",IF($I759&lt;TODAY(),"GECİKMİŞ",IF($I759=TODAY(),"BUGÜN",IF($I759&lt;=TODAY()+7,"7 GÜN İÇİNDE","PLANLI"))))))))</f>
        <v/>
      </c>
      <c r="R759" s="6" t="n"/>
      <c r="S759" s="6" t="n"/>
      <c r="T759" s="3" t="n"/>
      <c r="U759" s="3">
        <f>IF($E759="","",UPPER(SUBSTITUTE(SUBSTITUTE(SUBSTITUTE(SUBSTITUTE(SUBSTITUTE(SUBSTITUTE(SUBSTITUTE(SUBSTITUTE(SUBSTITUTE(SUBSTITUTE(SUBSTITUTE(SUBSTITUTE(SUBSTITUTE(SUBSTITUTE(SUBSTITUTE(SUBSTITUTE(SUBSTITUTE(SUBSTITUTE(TRIM($E759),"'",""),"İ","I"),"ı","I"),"i","I"),"Ş","S"),"ş","S"),"Ğ","G"),"ğ","G"),"Ü","U"),"ü","U"),"Ö","O"),"ö","O"),"Ç","C"),"ç","C"),".",""),",","")," ",""),"-","")))</f>
        <v/>
      </c>
    </row>
    <row r="760">
      <c r="A760" s="6" t="n"/>
      <c r="B760" s="113">
        <f>IF($E760="","","A"&amp;TEXT(ROW()-6,"00000"))</f>
        <v/>
      </c>
      <c r="C760" s="108" t="n"/>
      <c r="D760" s="113">
        <f>IF($E760="","",IFERROR(INDEX(MUSTERILER!$B$7:$B$106,MATCH($U760,MUSTERILER!$T$7:$T$106,0)),IFERROR(INDEX(MUSTERILER!$B$7:$B$106,MATCH($E760,MUSTERILER!$B$7:$B$106,0)),IFERROR(INDEX(MUSTERILER!$B$7:$B$106,MATCH($U760&amp;"*",MUSTERILER!$T$7:$T$106,0)),"TANIMSIZ MÜŞTERİ"))))</f>
        <v/>
      </c>
      <c r="E760" s="109" t="n"/>
      <c r="F760" s="109" t="n"/>
      <c r="G760" s="108" t="n"/>
      <c r="H760" s="220" t="n"/>
      <c r="I760" s="220" t="n"/>
      <c r="J760" s="108" t="n"/>
      <c r="K760" s="108" t="n"/>
      <c r="L760" s="109" t="n"/>
      <c r="M760" s="109" t="n"/>
      <c r="N760" s="109" t="n"/>
      <c r="O760" s="220" t="n"/>
      <c r="P760" s="227">
        <f>IF(OR($E760="",$I760=""),"",IF(OR($J760="Tamamlandı",$J760="İptal"),"",$I760-TODAY()))</f>
        <v/>
      </c>
      <c r="Q760" s="113">
        <f>IF($E760="","",IF($D760="TANIMSIZ MÜŞTERİ","HATA",IF(OR($J760="Tamamlandı",$J760="İptal"),"KAPALI",IF(AND($C760="Görüşme",$N760=""),"SONRAKİ İŞLEM EKSİK",IF($I760="","TARİH EKSİK",IF($I760&lt;TODAY(),"GECİKMİŞ",IF($I760=TODAY(),"BUGÜN",IF($I760&lt;=TODAY()+7,"7 GÜN İÇİNDE","PLANLI"))))))))</f>
        <v/>
      </c>
      <c r="R760" s="6" t="n"/>
      <c r="S760" s="6" t="n"/>
      <c r="T760" s="3" t="n"/>
      <c r="U760" s="3">
        <f>IF($E760="","",UPPER(SUBSTITUTE(SUBSTITUTE(SUBSTITUTE(SUBSTITUTE(SUBSTITUTE(SUBSTITUTE(SUBSTITUTE(SUBSTITUTE(SUBSTITUTE(SUBSTITUTE(SUBSTITUTE(SUBSTITUTE(SUBSTITUTE(SUBSTITUTE(SUBSTITUTE(SUBSTITUTE(SUBSTITUTE(SUBSTITUTE(TRIM($E760),"'",""),"İ","I"),"ı","I"),"i","I"),"Ş","S"),"ş","S"),"Ğ","G"),"ğ","G"),"Ü","U"),"ü","U"),"Ö","O"),"ö","O"),"Ç","C"),"ç","C"),".",""),",","")," ",""),"-","")))</f>
        <v/>
      </c>
    </row>
    <row r="761">
      <c r="A761" s="6" t="n"/>
      <c r="B761" s="113">
        <f>IF($E761="","","A"&amp;TEXT(ROW()-6,"00000"))</f>
        <v/>
      </c>
      <c r="C761" s="108" t="n"/>
      <c r="D761" s="113">
        <f>IF($E761="","",IFERROR(INDEX(MUSTERILER!$B$7:$B$106,MATCH($U761,MUSTERILER!$T$7:$T$106,0)),IFERROR(INDEX(MUSTERILER!$B$7:$B$106,MATCH($E761,MUSTERILER!$B$7:$B$106,0)),IFERROR(INDEX(MUSTERILER!$B$7:$B$106,MATCH($U761&amp;"*",MUSTERILER!$T$7:$T$106,0)),"TANIMSIZ MÜŞTERİ"))))</f>
        <v/>
      </c>
      <c r="E761" s="109" t="n"/>
      <c r="F761" s="109" t="n"/>
      <c r="G761" s="108" t="n"/>
      <c r="H761" s="220" t="n"/>
      <c r="I761" s="220" t="n"/>
      <c r="J761" s="108" t="n"/>
      <c r="K761" s="108" t="n"/>
      <c r="L761" s="109" t="n"/>
      <c r="M761" s="109" t="n"/>
      <c r="N761" s="109" t="n"/>
      <c r="O761" s="220" t="n"/>
      <c r="P761" s="227">
        <f>IF(OR($E761="",$I761=""),"",IF(OR($J761="Tamamlandı",$J761="İptal"),"",$I761-TODAY()))</f>
        <v/>
      </c>
      <c r="Q761" s="113">
        <f>IF($E761="","",IF($D761="TANIMSIZ MÜŞTERİ","HATA",IF(OR($J761="Tamamlandı",$J761="İptal"),"KAPALI",IF(AND($C761="Görüşme",$N761=""),"SONRAKİ İŞLEM EKSİK",IF($I761="","TARİH EKSİK",IF($I761&lt;TODAY(),"GECİKMİŞ",IF($I761=TODAY(),"BUGÜN",IF($I761&lt;=TODAY()+7,"7 GÜN İÇİNDE","PLANLI"))))))))</f>
        <v/>
      </c>
      <c r="R761" s="6" t="n"/>
      <c r="S761" s="6" t="n"/>
      <c r="T761" s="3" t="n"/>
      <c r="U761" s="3">
        <f>IF($E761="","",UPPER(SUBSTITUTE(SUBSTITUTE(SUBSTITUTE(SUBSTITUTE(SUBSTITUTE(SUBSTITUTE(SUBSTITUTE(SUBSTITUTE(SUBSTITUTE(SUBSTITUTE(SUBSTITUTE(SUBSTITUTE(SUBSTITUTE(SUBSTITUTE(SUBSTITUTE(SUBSTITUTE(SUBSTITUTE(SUBSTITUTE(TRIM($E761),"'",""),"İ","I"),"ı","I"),"i","I"),"Ş","S"),"ş","S"),"Ğ","G"),"ğ","G"),"Ü","U"),"ü","U"),"Ö","O"),"ö","O"),"Ç","C"),"ç","C"),".",""),",","")," ",""),"-","")))</f>
        <v/>
      </c>
    </row>
    <row r="762">
      <c r="A762" s="6" t="n"/>
      <c r="B762" s="113">
        <f>IF($E762="","","A"&amp;TEXT(ROW()-6,"00000"))</f>
        <v/>
      </c>
      <c r="C762" s="108" t="n"/>
      <c r="D762" s="113">
        <f>IF($E762="","",IFERROR(INDEX(MUSTERILER!$B$7:$B$106,MATCH($U762,MUSTERILER!$T$7:$T$106,0)),IFERROR(INDEX(MUSTERILER!$B$7:$B$106,MATCH($E762,MUSTERILER!$B$7:$B$106,0)),IFERROR(INDEX(MUSTERILER!$B$7:$B$106,MATCH($U762&amp;"*",MUSTERILER!$T$7:$T$106,0)),"TANIMSIZ MÜŞTERİ"))))</f>
        <v/>
      </c>
      <c r="E762" s="109" t="n"/>
      <c r="F762" s="109" t="n"/>
      <c r="G762" s="108" t="n"/>
      <c r="H762" s="220" t="n"/>
      <c r="I762" s="220" t="n"/>
      <c r="J762" s="108" t="n"/>
      <c r="K762" s="108" t="n"/>
      <c r="L762" s="109" t="n"/>
      <c r="M762" s="109" t="n"/>
      <c r="N762" s="109" t="n"/>
      <c r="O762" s="220" t="n"/>
      <c r="P762" s="227">
        <f>IF(OR($E762="",$I762=""),"",IF(OR($J762="Tamamlandı",$J762="İptal"),"",$I762-TODAY()))</f>
        <v/>
      </c>
      <c r="Q762" s="113">
        <f>IF($E762="","",IF($D762="TANIMSIZ MÜŞTERİ","HATA",IF(OR($J762="Tamamlandı",$J762="İptal"),"KAPALI",IF(AND($C762="Görüşme",$N762=""),"SONRAKİ İŞLEM EKSİK",IF($I762="","TARİH EKSİK",IF($I762&lt;TODAY(),"GECİKMİŞ",IF($I762=TODAY(),"BUGÜN",IF($I762&lt;=TODAY()+7,"7 GÜN İÇİNDE","PLANLI"))))))))</f>
        <v/>
      </c>
      <c r="R762" s="6" t="n"/>
      <c r="S762" s="6" t="n"/>
      <c r="T762" s="3" t="n"/>
      <c r="U762" s="3">
        <f>IF($E762="","",UPPER(SUBSTITUTE(SUBSTITUTE(SUBSTITUTE(SUBSTITUTE(SUBSTITUTE(SUBSTITUTE(SUBSTITUTE(SUBSTITUTE(SUBSTITUTE(SUBSTITUTE(SUBSTITUTE(SUBSTITUTE(SUBSTITUTE(SUBSTITUTE(SUBSTITUTE(SUBSTITUTE(SUBSTITUTE(SUBSTITUTE(TRIM($E762),"'",""),"İ","I"),"ı","I"),"i","I"),"Ş","S"),"ş","S"),"Ğ","G"),"ğ","G"),"Ü","U"),"ü","U"),"Ö","O"),"ö","O"),"Ç","C"),"ç","C"),".",""),",","")," ",""),"-","")))</f>
        <v/>
      </c>
    </row>
    <row r="763">
      <c r="A763" s="6" t="n"/>
      <c r="B763" s="113">
        <f>IF($E763="","","A"&amp;TEXT(ROW()-6,"00000"))</f>
        <v/>
      </c>
      <c r="C763" s="108" t="n"/>
      <c r="D763" s="113">
        <f>IF($E763="","",IFERROR(INDEX(MUSTERILER!$B$7:$B$106,MATCH($U763,MUSTERILER!$T$7:$T$106,0)),IFERROR(INDEX(MUSTERILER!$B$7:$B$106,MATCH($E763,MUSTERILER!$B$7:$B$106,0)),IFERROR(INDEX(MUSTERILER!$B$7:$B$106,MATCH($U763&amp;"*",MUSTERILER!$T$7:$T$106,0)),"TANIMSIZ MÜŞTERİ"))))</f>
        <v/>
      </c>
      <c r="E763" s="109" t="n"/>
      <c r="F763" s="109" t="n"/>
      <c r="G763" s="108" t="n"/>
      <c r="H763" s="220" t="n"/>
      <c r="I763" s="220" t="n"/>
      <c r="J763" s="108" t="n"/>
      <c r="K763" s="108" t="n"/>
      <c r="L763" s="109" t="n"/>
      <c r="M763" s="109" t="n"/>
      <c r="N763" s="109" t="n"/>
      <c r="O763" s="220" t="n"/>
      <c r="P763" s="227">
        <f>IF(OR($E763="",$I763=""),"",IF(OR($J763="Tamamlandı",$J763="İptal"),"",$I763-TODAY()))</f>
        <v/>
      </c>
      <c r="Q763" s="113">
        <f>IF($E763="","",IF($D763="TANIMSIZ MÜŞTERİ","HATA",IF(OR($J763="Tamamlandı",$J763="İptal"),"KAPALI",IF(AND($C763="Görüşme",$N763=""),"SONRAKİ İŞLEM EKSİK",IF($I763="","TARİH EKSİK",IF($I763&lt;TODAY(),"GECİKMİŞ",IF($I763=TODAY(),"BUGÜN",IF($I763&lt;=TODAY()+7,"7 GÜN İÇİNDE","PLANLI"))))))))</f>
        <v/>
      </c>
      <c r="R763" s="6" t="n"/>
      <c r="S763" s="6" t="n"/>
      <c r="T763" s="3" t="n"/>
      <c r="U763" s="3">
        <f>IF($E763="","",UPPER(SUBSTITUTE(SUBSTITUTE(SUBSTITUTE(SUBSTITUTE(SUBSTITUTE(SUBSTITUTE(SUBSTITUTE(SUBSTITUTE(SUBSTITUTE(SUBSTITUTE(SUBSTITUTE(SUBSTITUTE(SUBSTITUTE(SUBSTITUTE(SUBSTITUTE(SUBSTITUTE(SUBSTITUTE(SUBSTITUTE(TRIM($E763),"'",""),"İ","I"),"ı","I"),"i","I"),"Ş","S"),"ş","S"),"Ğ","G"),"ğ","G"),"Ü","U"),"ü","U"),"Ö","O"),"ö","O"),"Ç","C"),"ç","C"),".",""),",","")," ",""),"-","")))</f>
        <v/>
      </c>
    </row>
    <row r="764">
      <c r="A764" s="6" t="n"/>
      <c r="B764" s="113">
        <f>IF($E764="","","A"&amp;TEXT(ROW()-6,"00000"))</f>
        <v/>
      </c>
      <c r="C764" s="108" t="n"/>
      <c r="D764" s="113">
        <f>IF($E764="","",IFERROR(INDEX(MUSTERILER!$B$7:$B$106,MATCH($U764,MUSTERILER!$T$7:$T$106,0)),IFERROR(INDEX(MUSTERILER!$B$7:$B$106,MATCH($E764,MUSTERILER!$B$7:$B$106,0)),IFERROR(INDEX(MUSTERILER!$B$7:$B$106,MATCH($U764&amp;"*",MUSTERILER!$T$7:$T$106,0)),"TANIMSIZ MÜŞTERİ"))))</f>
        <v/>
      </c>
      <c r="E764" s="109" t="n"/>
      <c r="F764" s="109" t="n"/>
      <c r="G764" s="108" t="n"/>
      <c r="H764" s="220" t="n"/>
      <c r="I764" s="220" t="n"/>
      <c r="J764" s="108" t="n"/>
      <c r="K764" s="108" t="n"/>
      <c r="L764" s="109" t="n"/>
      <c r="M764" s="109" t="n"/>
      <c r="N764" s="109" t="n"/>
      <c r="O764" s="220" t="n"/>
      <c r="P764" s="227">
        <f>IF(OR($E764="",$I764=""),"",IF(OR($J764="Tamamlandı",$J764="İptal"),"",$I764-TODAY()))</f>
        <v/>
      </c>
      <c r="Q764" s="113">
        <f>IF($E764="","",IF($D764="TANIMSIZ MÜŞTERİ","HATA",IF(OR($J764="Tamamlandı",$J764="İptal"),"KAPALI",IF(AND($C764="Görüşme",$N764=""),"SONRAKİ İŞLEM EKSİK",IF($I764="","TARİH EKSİK",IF($I764&lt;TODAY(),"GECİKMİŞ",IF($I764=TODAY(),"BUGÜN",IF($I764&lt;=TODAY()+7,"7 GÜN İÇİNDE","PLANLI"))))))))</f>
        <v/>
      </c>
      <c r="R764" s="6" t="n"/>
      <c r="S764" s="6" t="n"/>
      <c r="T764" s="3" t="n"/>
      <c r="U764" s="3">
        <f>IF($E764="","",UPPER(SUBSTITUTE(SUBSTITUTE(SUBSTITUTE(SUBSTITUTE(SUBSTITUTE(SUBSTITUTE(SUBSTITUTE(SUBSTITUTE(SUBSTITUTE(SUBSTITUTE(SUBSTITUTE(SUBSTITUTE(SUBSTITUTE(SUBSTITUTE(SUBSTITUTE(SUBSTITUTE(SUBSTITUTE(SUBSTITUTE(TRIM($E764),"'",""),"İ","I"),"ı","I"),"i","I"),"Ş","S"),"ş","S"),"Ğ","G"),"ğ","G"),"Ü","U"),"ü","U"),"Ö","O"),"ö","O"),"Ç","C"),"ç","C"),".",""),",","")," ",""),"-","")))</f>
        <v/>
      </c>
    </row>
    <row r="765">
      <c r="A765" s="6" t="n"/>
      <c r="B765" s="113">
        <f>IF($E765="","","A"&amp;TEXT(ROW()-6,"00000"))</f>
        <v/>
      </c>
      <c r="C765" s="108" t="n"/>
      <c r="D765" s="113">
        <f>IF($E765="","",IFERROR(INDEX(MUSTERILER!$B$7:$B$106,MATCH($U765,MUSTERILER!$T$7:$T$106,0)),IFERROR(INDEX(MUSTERILER!$B$7:$B$106,MATCH($E765,MUSTERILER!$B$7:$B$106,0)),IFERROR(INDEX(MUSTERILER!$B$7:$B$106,MATCH($U765&amp;"*",MUSTERILER!$T$7:$T$106,0)),"TANIMSIZ MÜŞTERİ"))))</f>
        <v/>
      </c>
      <c r="E765" s="109" t="n"/>
      <c r="F765" s="109" t="n"/>
      <c r="G765" s="108" t="n"/>
      <c r="H765" s="220" t="n"/>
      <c r="I765" s="220" t="n"/>
      <c r="J765" s="108" t="n"/>
      <c r="K765" s="108" t="n"/>
      <c r="L765" s="109" t="n"/>
      <c r="M765" s="109" t="n"/>
      <c r="N765" s="109" t="n"/>
      <c r="O765" s="220" t="n"/>
      <c r="P765" s="227">
        <f>IF(OR($E765="",$I765=""),"",IF(OR($J765="Tamamlandı",$J765="İptal"),"",$I765-TODAY()))</f>
        <v/>
      </c>
      <c r="Q765" s="113">
        <f>IF($E765="","",IF($D765="TANIMSIZ MÜŞTERİ","HATA",IF(OR($J765="Tamamlandı",$J765="İptal"),"KAPALI",IF(AND($C765="Görüşme",$N765=""),"SONRAKİ İŞLEM EKSİK",IF($I765="","TARİH EKSİK",IF($I765&lt;TODAY(),"GECİKMİŞ",IF($I765=TODAY(),"BUGÜN",IF($I765&lt;=TODAY()+7,"7 GÜN İÇİNDE","PLANLI"))))))))</f>
        <v/>
      </c>
      <c r="R765" s="6" t="n"/>
      <c r="S765" s="6" t="n"/>
      <c r="T765" s="3" t="n"/>
      <c r="U765" s="3">
        <f>IF($E765="","",UPPER(SUBSTITUTE(SUBSTITUTE(SUBSTITUTE(SUBSTITUTE(SUBSTITUTE(SUBSTITUTE(SUBSTITUTE(SUBSTITUTE(SUBSTITUTE(SUBSTITUTE(SUBSTITUTE(SUBSTITUTE(SUBSTITUTE(SUBSTITUTE(SUBSTITUTE(SUBSTITUTE(SUBSTITUTE(SUBSTITUTE(TRIM($E765),"'",""),"İ","I"),"ı","I"),"i","I"),"Ş","S"),"ş","S"),"Ğ","G"),"ğ","G"),"Ü","U"),"ü","U"),"Ö","O"),"ö","O"),"Ç","C"),"ç","C"),".",""),",","")," ",""),"-","")))</f>
        <v/>
      </c>
    </row>
    <row r="766">
      <c r="A766" s="6" t="n"/>
      <c r="B766" s="113">
        <f>IF($E766="","","A"&amp;TEXT(ROW()-6,"00000"))</f>
        <v/>
      </c>
      <c r="C766" s="108" t="n"/>
      <c r="D766" s="113">
        <f>IF($E766="","",IFERROR(INDEX(MUSTERILER!$B$7:$B$106,MATCH($U766,MUSTERILER!$T$7:$T$106,0)),IFERROR(INDEX(MUSTERILER!$B$7:$B$106,MATCH($E766,MUSTERILER!$B$7:$B$106,0)),IFERROR(INDEX(MUSTERILER!$B$7:$B$106,MATCH($U766&amp;"*",MUSTERILER!$T$7:$T$106,0)),"TANIMSIZ MÜŞTERİ"))))</f>
        <v/>
      </c>
      <c r="E766" s="109" t="n"/>
      <c r="F766" s="109" t="n"/>
      <c r="G766" s="108" t="n"/>
      <c r="H766" s="220" t="n"/>
      <c r="I766" s="220" t="n"/>
      <c r="J766" s="108" t="n"/>
      <c r="K766" s="108" t="n"/>
      <c r="L766" s="109" t="n"/>
      <c r="M766" s="109" t="n"/>
      <c r="N766" s="109" t="n"/>
      <c r="O766" s="220" t="n"/>
      <c r="P766" s="227">
        <f>IF(OR($E766="",$I766=""),"",IF(OR($J766="Tamamlandı",$J766="İptal"),"",$I766-TODAY()))</f>
        <v/>
      </c>
      <c r="Q766" s="113">
        <f>IF($E766="","",IF($D766="TANIMSIZ MÜŞTERİ","HATA",IF(OR($J766="Tamamlandı",$J766="İptal"),"KAPALI",IF(AND($C766="Görüşme",$N766=""),"SONRAKİ İŞLEM EKSİK",IF($I766="","TARİH EKSİK",IF($I766&lt;TODAY(),"GECİKMİŞ",IF($I766=TODAY(),"BUGÜN",IF($I766&lt;=TODAY()+7,"7 GÜN İÇİNDE","PLANLI"))))))))</f>
        <v/>
      </c>
      <c r="R766" s="6" t="n"/>
      <c r="S766" s="6" t="n"/>
      <c r="T766" s="3" t="n"/>
      <c r="U766" s="3">
        <f>IF($E766="","",UPPER(SUBSTITUTE(SUBSTITUTE(SUBSTITUTE(SUBSTITUTE(SUBSTITUTE(SUBSTITUTE(SUBSTITUTE(SUBSTITUTE(SUBSTITUTE(SUBSTITUTE(SUBSTITUTE(SUBSTITUTE(SUBSTITUTE(SUBSTITUTE(SUBSTITUTE(SUBSTITUTE(SUBSTITUTE(SUBSTITUTE(TRIM($E766),"'",""),"İ","I"),"ı","I"),"i","I"),"Ş","S"),"ş","S"),"Ğ","G"),"ğ","G"),"Ü","U"),"ü","U"),"Ö","O"),"ö","O"),"Ç","C"),"ç","C"),".",""),",","")," ",""),"-","")))</f>
        <v/>
      </c>
    </row>
    <row r="767">
      <c r="A767" s="6" t="n"/>
      <c r="B767" s="113">
        <f>IF($E767="","","A"&amp;TEXT(ROW()-6,"00000"))</f>
        <v/>
      </c>
      <c r="C767" s="108" t="n"/>
      <c r="D767" s="113">
        <f>IF($E767="","",IFERROR(INDEX(MUSTERILER!$B$7:$B$106,MATCH($U767,MUSTERILER!$T$7:$T$106,0)),IFERROR(INDEX(MUSTERILER!$B$7:$B$106,MATCH($E767,MUSTERILER!$B$7:$B$106,0)),IFERROR(INDEX(MUSTERILER!$B$7:$B$106,MATCH($U767&amp;"*",MUSTERILER!$T$7:$T$106,0)),"TANIMSIZ MÜŞTERİ"))))</f>
        <v/>
      </c>
      <c r="E767" s="109" t="n"/>
      <c r="F767" s="109" t="n"/>
      <c r="G767" s="108" t="n"/>
      <c r="H767" s="220" t="n"/>
      <c r="I767" s="220" t="n"/>
      <c r="J767" s="108" t="n"/>
      <c r="K767" s="108" t="n"/>
      <c r="L767" s="109" t="n"/>
      <c r="M767" s="109" t="n"/>
      <c r="N767" s="109" t="n"/>
      <c r="O767" s="220" t="n"/>
      <c r="P767" s="227">
        <f>IF(OR($E767="",$I767=""),"",IF(OR($J767="Tamamlandı",$J767="İptal"),"",$I767-TODAY()))</f>
        <v/>
      </c>
      <c r="Q767" s="113">
        <f>IF($E767="","",IF($D767="TANIMSIZ MÜŞTERİ","HATA",IF(OR($J767="Tamamlandı",$J767="İptal"),"KAPALI",IF(AND($C767="Görüşme",$N767=""),"SONRAKİ İŞLEM EKSİK",IF($I767="","TARİH EKSİK",IF($I767&lt;TODAY(),"GECİKMİŞ",IF($I767=TODAY(),"BUGÜN",IF($I767&lt;=TODAY()+7,"7 GÜN İÇİNDE","PLANLI"))))))))</f>
        <v/>
      </c>
      <c r="R767" s="6" t="n"/>
      <c r="S767" s="6" t="n"/>
      <c r="T767" s="3" t="n"/>
      <c r="U767" s="3">
        <f>IF($E767="","",UPPER(SUBSTITUTE(SUBSTITUTE(SUBSTITUTE(SUBSTITUTE(SUBSTITUTE(SUBSTITUTE(SUBSTITUTE(SUBSTITUTE(SUBSTITUTE(SUBSTITUTE(SUBSTITUTE(SUBSTITUTE(SUBSTITUTE(SUBSTITUTE(SUBSTITUTE(SUBSTITUTE(SUBSTITUTE(SUBSTITUTE(TRIM($E767),"'",""),"İ","I"),"ı","I"),"i","I"),"Ş","S"),"ş","S"),"Ğ","G"),"ğ","G"),"Ü","U"),"ü","U"),"Ö","O"),"ö","O"),"Ç","C"),"ç","C"),".",""),",","")," ",""),"-","")))</f>
        <v/>
      </c>
    </row>
    <row r="768">
      <c r="A768" s="6" t="n"/>
      <c r="B768" s="113">
        <f>IF($E768="","","A"&amp;TEXT(ROW()-6,"00000"))</f>
        <v/>
      </c>
      <c r="C768" s="108" t="n"/>
      <c r="D768" s="113">
        <f>IF($E768="","",IFERROR(INDEX(MUSTERILER!$B$7:$B$106,MATCH($U768,MUSTERILER!$T$7:$T$106,0)),IFERROR(INDEX(MUSTERILER!$B$7:$B$106,MATCH($E768,MUSTERILER!$B$7:$B$106,0)),IFERROR(INDEX(MUSTERILER!$B$7:$B$106,MATCH($U768&amp;"*",MUSTERILER!$T$7:$T$106,0)),"TANIMSIZ MÜŞTERİ"))))</f>
        <v/>
      </c>
      <c r="E768" s="109" t="n"/>
      <c r="F768" s="109" t="n"/>
      <c r="G768" s="108" t="n"/>
      <c r="H768" s="220" t="n"/>
      <c r="I768" s="220" t="n"/>
      <c r="J768" s="108" t="n"/>
      <c r="K768" s="108" t="n"/>
      <c r="L768" s="109" t="n"/>
      <c r="M768" s="109" t="n"/>
      <c r="N768" s="109" t="n"/>
      <c r="O768" s="220" t="n"/>
      <c r="P768" s="227">
        <f>IF(OR($E768="",$I768=""),"",IF(OR($J768="Tamamlandı",$J768="İptal"),"",$I768-TODAY()))</f>
        <v/>
      </c>
      <c r="Q768" s="113">
        <f>IF($E768="","",IF($D768="TANIMSIZ MÜŞTERİ","HATA",IF(OR($J768="Tamamlandı",$J768="İptal"),"KAPALI",IF(AND($C768="Görüşme",$N768=""),"SONRAKİ İŞLEM EKSİK",IF($I768="","TARİH EKSİK",IF($I768&lt;TODAY(),"GECİKMİŞ",IF($I768=TODAY(),"BUGÜN",IF($I768&lt;=TODAY()+7,"7 GÜN İÇİNDE","PLANLI"))))))))</f>
        <v/>
      </c>
      <c r="R768" s="6" t="n"/>
      <c r="S768" s="6" t="n"/>
      <c r="T768" s="3" t="n"/>
      <c r="U768" s="3">
        <f>IF($E768="","",UPPER(SUBSTITUTE(SUBSTITUTE(SUBSTITUTE(SUBSTITUTE(SUBSTITUTE(SUBSTITUTE(SUBSTITUTE(SUBSTITUTE(SUBSTITUTE(SUBSTITUTE(SUBSTITUTE(SUBSTITUTE(SUBSTITUTE(SUBSTITUTE(SUBSTITUTE(SUBSTITUTE(SUBSTITUTE(SUBSTITUTE(TRIM($E768),"'",""),"İ","I"),"ı","I"),"i","I"),"Ş","S"),"ş","S"),"Ğ","G"),"ğ","G"),"Ü","U"),"ü","U"),"Ö","O"),"ö","O"),"Ç","C"),"ç","C"),".",""),",","")," ",""),"-","")))</f>
        <v/>
      </c>
    </row>
    <row r="769">
      <c r="A769" s="6" t="n"/>
      <c r="B769" s="113">
        <f>IF($E769="","","A"&amp;TEXT(ROW()-6,"00000"))</f>
        <v/>
      </c>
      <c r="C769" s="108" t="n"/>
      <c r="D769" s="113">
        <f>IF($E769="","",IFERROR(INDEX(MUSTERILER!$B$7:$B$106,MATCH($U769,MUSTERILER!$T$7:$T$106,0)),IFERROR(INDEX(MUSTERILER!$B$7:$B$106,MATCH($E769,MUSTERILER!$B$7:$B$106,0)),IFERROR(INDEX(MUSTERILER!$B$7:$B$106,MATCH($U769&amp;"*",MUSTERILER!$T$7:$T$106,0)),"TANIMSIZ MÜŞTERİ"))))</f>
        <v/>
      </c>
      <c r="E769" s="109" t="n"/>
      <c r="F769" s="109" t="n"/>
      <c r="G769" s="108" t="n"/>
      <c r="H769" s="220" t="n"/>
      <c r="I769" s="220" t="n"/>
      <c r="J769" s="108" t="n"/>
      <c r="K769" s="108" t="n"/>
      <c r="L769" s="109" t="n"/>
      <c r="M769" s="109" t="n"/>
      <c r="N769" s="109" t="n"/>
      <c r="O769" s="220" t="n"/>
      <c r="P769" s="227">
        <f>IF(OR($E769="",$I769=""),"",IF(OR($J769="Tamamlandı",$J769="İptal"),"",$I769-TODAY()))</f>
        <v/>
      </c>
      <c r="Q769" s="113">
        <f>IF($E769="","",IF($D769="TANIMSIZ MÜŞTERİ","HATA",IF(OR($J769="Tamamlandı",$J769="İptal"),"KAPALI",IF(AND($C769="Görüşme",$N769=""),"SONRAKİ İŞLEM EKSİK",IF($I769="","TARİH EKSİK",IF($I769&lt;TODAY(),"GECİKMİŞ",IF($I769=TODAY(),"BUGÜN",IF($I769&lt;=TODAY()+7,"7 GÜN İÇİNDE","PLANLI"))))))))</f>
        <v/>
      </c>
      <c r="R769" s="6" t="n"/>
      <c r="S769" s="6" t="n"/>
      <c r="T769" s="3" t="n"/>
      <c r="U769" s="3">
        <f>IF($E769="","",UPPER(SUBSTITUTE(SUBSTITUTE(SUBSTITUTE(SUBSTITUTE(SUBSTITUTE(SUBSTITUTE(SUBSTITUTE(SUBSTITUTE(SUBSTITUTE(SUBSTITUTE(SUBSTITUTE(SUBSTITUTE(SUBSTITUTE(SUBSTITUTE(SUBSTITUTE(SUBSTITUTE(SUBSTITUTE(SUBSTITUTE(TRIM($E769),"'",""),"İ","I"),"ı","I"),"i","I"),"Ş","S"),"ş","S"),"Ğ","G"),"ğ","G"),"Ü","U"),"ü","U"),"Ö","O"),"ö","O"),"Ç","C"),"ç","C"),".",""),",","")," ",""),"-","")))</f>
        <v/>
      </c>
    </row>
    <row r="770">
      <c r="A770" s="6" t="n"/>
      <c r="B770" s="113">
        <f>IF($E770="","","A"&amp;TEXT(ROW()-6,"00000"))</f>
        <v/>
      </c>
      <c r="C770" s="108" t="n"/>
      <c r="D770" s="113">
        <f>IF($E770="","",IFERROR(INDEX(MUSTERILER!$B$7:$B$106,MATCH($U770,MUSTERILER!$T$7:$T$106,0)),IFERROR(INDEX(MUSTERILER!$B$7:$B$106,MATCH($E770,MUSTERILER!$B$7:$B$106,0)),IFERROR(INDEX(MUSTERILER!$B$7:$B$106,MATCH($U770&amp;"*",MUSTERILER!$T$7:$T$106,0)),"TANIMSIZ MÜŞTERİ"))))</f>
        <v/>
      </c>
      <c r="E770" s="109" t="n"/>
      <c r="F770" s="109" t="n"/>
      <c r="G770" s="108" t="n"/>
      <c r="H770" s="220" t="n"/>
      <c r="I770" s="220" t="n"/>
      <c r="J770" s="108" t="n"/>
      <c r="K770" s="108" t="n"/>
      <c r="L770" s="109" t="n"/>
      <c r="M770" s="109" t="n"/>
      <c r="N770" s="109" t="n"/>
      <c r="O770" s="220" t="n"/>
      <c r="P770" s="227">
        <f>IF(OR($E770="",$I770=""),"",IF(OR($J770="Tamamlandı",$J770="İptal"),"",$I770-TODAY()))</f>
        <v/>
      </c>
      <c r="Q770" s="113">
        <f>IF($E770="","",IF($D770="TANIMSIZ MÜŞTERİ","HATA",IF(OR($J770="Tamamlandı",$J770="İptal"),"KAPALI",IF(AND($C770="Görüşme",$N770=""),"SONRAKİ İŞLEM EKSİK",IF($I770="","TARİH EKSİK",IF($I770&lt;TODAY(),"GECİKMİŞ",IF($I770=TODAY(),"BUGÜN",IF($I770&lt;=TODAY()+7,"7 GÜN İÇİNDE","PLANLI"))))))))</f>
        <v/>
      </c>
      <c r="R770" s="6" t="n"/>
      <c r="S770" s="6" t="n"/>
      <c r="T770" s="3" t="n"/>
      <c r="U770" s="3">
        <f>IF($E770="","",UPPER(SUBSTITUTE(SUBSTITUTE(SUBSTITUTE(SUBSTITUTE(SUBSTITUTE(SUBSTITUTE(SUBSTITUTE(SUBSTITUTE(SUBSTITUTE(SUBSTITUTE(SUBSTITUTE(SUBSTITUTE(SUBSTITUTE(SUBSTITUTE(SUBSTITUTE(SUBSTITUTE(SUBSTITUTE(SUBSTITUTE(TRIM($E770),"'",""),"İ","I"),"ı","I"),"i","I"),"Ş","S"),"ş","S"),"Ğ","G"),"ğ","G"),"Ü","U"),"ü","U"),"Ö","O"),"ö","O"),"Ç","C"),"ç","C"),".",""),",","")," ",""),"-","")))</f>
        <v/>
      </c>
    </row>
    <row r="771">
      <c r="A771" s="6" t="n"/>
      <c r="B771" s="113">
        <f>IF($E771="","","A"&amp;TEXT(ROW()-6,"00000"))</f>
        <v/>
      </c>
      <c r="C771" s="108" t="n"/>
      <c r="D771" s="113">
        <f>IF($E771="","",IFERROR(INDEX(MUSTERILER!$B$7:$B$106,MATCH($U771,MUSTERILER!$T$7:$T$106,0)),IFERROR(INDEX(MUSTERILER!$B$7:$B$106,MATCH($E771,MUSTERILER!$B$7:$B$106,0)),IFERROR(INDEX(MUSTERILER!$B$7:$B$106,MATCH($U771&amp;"*",MUSTERILER!$T$7:$T$106,0)),"TANIMSIZ MÜŞTERİ"))))</f>
        <v/>
      </c>
      <c r="E771" s="109" t="n"/>
      <c r="F771" s="109" t="n"/>
      <c r="G771" s="108" t="n"/>
      <c r="H771" s="220" t="n"/>
      <c r="I771" s="220" t="n"/>
      <c r="J771" s="108" t="n"/>
      <c r="K771" s="108" t="n"/>
      <c r="L771" s="109" t="n"/>
      <c r="M771" s="109" t="n"/>
      <c r="N771" s="109" t="n"/>
      <c r="O771" s="220" t="n"/>
      <c r="P771" s="227">
        <f>IF(OR($E771="",$I771=""),"",IF(OR($J771="Tamamlandı",$J771="İptal"),"",$I771-TODAY()))</f>
        <v/>
      </c>
      <c r="Q771" s="113">
        <f>IF($E771="","",IF($D771="TANIMSIZ MÜŞTERİ","HATA",IF(OR($J771="Tamamlandı",$J771="İptal"),"KAPALI",IF(AND($C771="Görüşme",$N771=""),"SONRAKİ İŞLEM EKSİK",IF($I771="","TARİH EKSİK",IF($I771&lt;TODAY(),"GECİKMİŞ",IF($I771=TODAY(),"BUGÜN",IF($I771&lt;=TODAY()+7,"7 GÜN İÇİNDE","PLANLI"))))))))</f>
        <v/>
      </c>
      <c r="R771" s="6" t="n"/>
      <c r="S771" s="6" t="n"/>
      <c r="T771" s="3" t="n"/>
      <c r="U771" s="3">
        <f>IF($E771="","",UPPER(SUBSTITUTE(SUBSTITUTE(SUBSTITUTE(SUBSTITUTE(SUBSTITUTE(SUBSTITUTE(SUBSTITUTE(SUBSTITUTE(SUBSTITUTE(SUBSTITUTE(SUBSTITUTE(SUBSTITUTE(SUBSTITUTE(SUBSTITUTE(SUBSTITUTE(SUBSTITUTE(SUBSTITUTE(SUBSTITUTE(TRIM($E771),"'",""),"İ","I"),"ı","I"),"i","I"),"Ş","S"),"ş","S"),"Ğ","G"),"ğ","G"),"Ü","U"),"ü","U"),"Ö","O"),"ö","O"),"Ç","C"),"ç","C"),".",""),",","")," ",""),"-","")))</f>
        <v/>
      </c>
    </row>
    <row r="772">
      <c r="A772" s="6" t="n"/>
      <c r="B772" s="113">
        <f>IF($E772="","","A"&amp;TEXT(ROW()-6,"00000"))</f>
        <v/>
      </c>
      <c r="C772" s="108" t="n"/>
      <c r="D772" s="113">
        <f>IF($E772="","",IFERROR(INDEX(MUSTERILER!$B$7:$B$106,MATCH($U772,MUSTERILER!$T$7:$T$106,0)),IFERROR(INDEX(MUSTERILER!$B$7:$B$106,MATCH($E772,MUSTERILER!$B$7:$B$106,0)),IFERROR(INDEX(MUSTERILER!$B$7:$B$106,MATCH($U772&amp;"*",MUSTERILER!$T$7:$T$106,0)),"TANIMSIZ MÜŞTERİ"))))</f>
        <v/>
      </c>
      <c r="E772" s="109" t="n"/>
      <c r="F772" s="109" t="n"/>
      <c r="G772" s="108" t="n"/>
      <c r="H772" s="220" t="n"/>
      <c r="I772" s="220" t="n"/>
      <c r="J772" s="108" t="n"/>
      <c r="K772" s="108" t="n"/>
      <c r="L772" s="109" t="n"/>
      <c r="M772" s="109" t="n"/>
      <c r="N772" s="109" t="n"/>
      <c r="O772" s="220" t="n"/>
      <c r="P772" s="227">
        <f>IF(OR($E772="",$I772=""),"",IF(OR($J772="Tamamlandı",$J772="İptal"),"",$I772-TODAY()))</f>
        <v/>
      </c>
      <c r="Q772" s="113">
        <f>IF($E772="","",IF($D772="TANIMSIZ MÜŞTERİ","HATA",IF(OR($J772="Tamamlandı",$J772="İptal"),"KAPALI",IF(AND($C772="Görüşme",$N772=""),"SONRAKİ İŞLEM EKSİK",IF($I772="","TARİH EKSİK",IF($I772&lt;TODAY(),"GECİKMİŞ",IF($I772=TODAY(),"BUGÜN",IF($I772&lt;=TODAY()+7,"7 GÜN İÇİNDE","PLANLI"))))))))</f>
        <v/>
      </c>
      <c r="R772" s="6" t="n"/>
      <c r="S772" s="6" t="n"/>
      <c r="T772" s="3" t="n"/>
      <c r="U772" s="3">
        <f>IF($E772="","",UPPER(SUBSTITUTE(SUBSTITUTE(SUBSTITUTE(SUBSTITUTE(SUBSTITUTE(SUBSTITUTE(SUBSTITUTE(SUBSTITUTE(SUBSTITUTE(SUBSTITUTE(SUBSTITUTE(SUBSTITUTE(SUBSTITUTE(SUBSTITUTE(SUBSTITUTE(SUBSTITUTE(SUBSTITUTE(SUBSTITUTE(TRIM($E772),"'",""),"İ","I"),"ı","I"),"i","I"),"Ş","S"),"ş","S"),"Ğ","G"),"ğ","G"),"Ü","U"),"ü","U"),"Ö","O"),"ö","O"),"Ç","C"),"ç","C"),".",""),",","")," ",""),"-","")))</f>
        <v/>
      </c>
    </row>
    <row r="773">
      <c r="A773" s="6" t="n"/>
      <c r="B773" s="113">
        <f>IF($E773="","","A"&amp;TEXT(ROW()-6,"00000"))</f>
        <v/>
      </c>
      <c r="C773" s="108" t="n"/>
      <c r="D773" s="113">
        <f>IF($E773="","",IFERROR(INDEX(MUSTERILER!$B$7:$B$106,MATCH($U773,MUSTERILER!$T$7:$T$106,0)),IFERROR(INDEX(MUSTERILER!$B$7:$B$106,MATCH($E773,MUSTERILER!$B$7:$B$106,0)),IFERROR(INDEX(MUSTERILER!$B$7:$B$106,MATCH($U773&amp;"*",MUSTERILER!$T$7:$T$106,0)),"TANIMSIZ MÜŞTERİ"))))</f>
        <v/>
      </c>
      <c r="E773" s="109" t="n"/>
      <c r="F773" s="109" t="n"/>
      <c r="G773" s="108" t="n"/>
      <c r="H773" s="220" t="n"/>
      <c r="I773" s="220" t="n"/>
      <c r="J773" s="108" t="n"/>
      <c r="K773" s="108" t="n"/>
      <c r="L773" s="109" t="n"/>
      <c r="M773" s="109" t="n"/>
      <c r="N773" s="109" t="n"/>
      <c r="O773" s="220" t="n"/>
      <c r="P773" s="227">
        <f>IF(OR($E773="",$I773=""),"",IF(OR($J773="Tamamlandı",$J773="İptal"),"",$I773-TODAY()))</f>
        <v/>
      </c>
      <c r="Q773" s="113">
        <f>IF($E773="","",IF($D773="TANIMSIZ MÜŞTERİ","HATA",IF(OR($J773="Tamamlandı",$J773="İptal"),"KAPALI",IF(AND($C773="Görüşme",$N773=""),"SONRAKİ İŞLEM EKSİK",IF($I773="","TARİH EKSİK",IF($I773&lt;TODAY(),"GECİKMİŞ",IF($I773=TODAY(),"BUGÜN",IF($I773&lt;=TODAY()+7,"7 GÜN İÇİNDE","PLANLI"))))))))</f>
        <v/>
      </c>
      <c r="R773" s="6" t="n"/>
      <c r="S773" s="6" t="n"/>
      <c r="T773" s="3" t="n"/>
      <c r="U773" s="3">
        <f>IF($E773="","",UPPER(SUBSTITUTE(SUBSTITUTE(SUBSTITUTE(SUBSTITUTE(SUBSTITUTE(SUBSTITUTE(SUBSTITUTE(SUBSTITUTE(SUBSTITUTE(SUBSTITUTE(SUBSTITUTE(SUBSTITUTE(SUBSTITUTE(SUBSTITUTE(SUBSTITUTE(SUBSTITUTE(SUBSTITUTE(SUBSTITUTE(TRIM($E773),"'",""),"İ","I"),"ı","I"),"i","I"),"Ş","S"),"ş","S"),"Ğ","G"),"ğ","G"),"Ü","U"),"ü","U"),"Ö","O"),"ö","O"),"Ç","C"),"ç","C"),".",""),",","")," ",""),"-","")))</f>
        <v/>
      </c>
    </row>
    <row r="774">
      <c r="A774" s="6" t="n"/>
      <c r="B774" s="113">
        <f>IF($E774="","","A"&amp;TEXT(ROW()-6,"00000"))</f>
        <v/>
      </c>
      <c r="C774" s="108" t="n"/>
      <c r="D774" s="113">
        <f>IF($E774="","",IFERROR(INDEX(MUSTERILER!$B$7:$B$106,MATCH($U774,MUSTERILER!$T$7:$T$106,0)),IFERROR(INDEX(MUSTERILER!$B$7:$B$106,MATCH($E774,MUSTERILER!$B$7:$B$106,0)),IFERROR(INDEX(MUSTERILER!$B$7:$B$106,MATCH($U774&amp;"*",MUSTERILER!$T$7:$T$106,0)),"TANIMSIZ MÜŞTERİ"))))</f>
        <v/>
      </c>
      <c r="E774" s="109" t="n"/>
      <c r="F774" s="109" t="n"/>
      <c r="G774" s="108" t="n"/>
      <c r="H774" s="220" t="n"/>
      <c r="I774" s="220" t="n"/>
      <c r="J774" s="108" t="n"/>
      <c r="K774" s="108" t="n"/>
      <c r="L774" s="109" t="n"/>
      <c r="M774" s="109" t="n"/>
      <c r="N774" s="109" t="n"/>
      <c r="O774" s="220" t="n"/>
      <c r="P774" s="227">
        <f>IF(OR($E774="",$I774=""),"",IF(OR($J774="Tamamlandı",$J774="İptal"),"",$I774-TODAY()))</f>
        <v/>
      </c>
      <c r="Q774" s="113">
        <f>IF($E774="","",IF($D774="TANIMSIZ MÜŞTERİ","HATA",IF(OR($J774="Tamamlandı",$J774="İptal"),"KAPALI",IF(AND($C774="Görüşme",$N774=""),"SONRAKİ İŞLEM EKSİK",IF($I774="","TARİH EKSİK",IF($I774&lt;TODAY(),"GECİKMİŞ",IF($I774=TODAY(),"BUGÜN",IF($I774&lt;=TODAY()+7,"7 GÜN İÇİNDE","PLANLI"))))))))</f>
        <v/>
      </c>
      <c r="R774" s="6" t="n"/>
      <c r="S774" s="6" t="n"/>
      <c r="T774" s="3" t="n"/>
      <c r="U774" s="3">
        <f>IF($E774="","",UPPER(SUBSTITUTE(SUBSTITUTE(SUBSTITUTE(SUBSTITUTE(SUBSTITUTE(SUBSTITUTE(SUBSTITUTE(SUBSTITUTE(SUBSTITUTE(SUBSTITUTE(SUBSTITUTE(SUBSTITUTE(SUBSTITUTE(SUBSTITUTE(SUBSTITUTE(SUBSTITUTE(SUBSTITUTE(SUBSTITUTE(TRIM($E774),"'",""),"İ","I"),"ı","I"),"i","I"),"Ş","S"),"ş","S"),"Ğ","G"),"ğ","G"),"Ü","U"),"ü","U"),"Ö","O"),"ö","O"),"Ç","C"),"ç","C"),".",""),",","")," ",""),"-","")))</f>
        <v/>
      </c>
    </row>
    <row r="775">
      <c r="A775" s="6" t="n"/>
      <c r="B775" s="113">
        <f>IF($E775="","","A"&amp;TEXT(ROW()-6,"00000"))</f>
        <v/>
      </c>
      <c r="C775" s="108" t="n"/>
      <c r="D775" s="113">
        <f>IF($E775="","",IFERROR(INDEX(MUSTERILER!$B$7:$B$106,MATCH($U775,MUSTERILER!$T$7:$T$106,0)),IFERROR(INDEX(MUSTERILER!$B$7:$B$106,MATCH($E775,MUSTERILER!$B$7:$B$106,0)),IFERROR(INDEX(MUSTERILER!$B$7:$B$106,MATCH($U775&amp;"*",MUSTERILER!$T$7:$T$106,0)),"TANIMSIZ MÜŞTERİ"))))</f>
        <v/>
      </c>
      <c r="E775" s="109" t="n"/>
      <c r="F775" s="109" t="n"/>
      <c r="G775" s="108" t="n"/>
      <c r="H775" s="220" t="n"/>
      <c r="I775" s="220" t="n"/>
      <c r="J775" s="108" t="n"/>
      <c r="K775" s="108" t="n"/>
      <c r="L775" s="109" t="n"/>
      <c r="M775" s="109" t="n"/>
      <c r="N775" s="109" t="n"/>
      <c r="O775" s="220" t="n"/>
      <c r="P775" s="227">
        <f>IF(OR($E775="",$I775=""),"",IF(OR($J775="Tamamlandı",$J775="İptal"),"",$I775-TODAY()))</f>
        <v/>
      </c>
      <c r="Q775" s="113">
        <f>IF($E775="","",IF($D775="TANIMSIZ MÜŞTERİ","HATA",IF(OR($J775="Tamamlandı",$J775="İptal"),"KAPALI",IF(AND($C775="Görüşme",$N775=""),"SONRAKİ İŞLEM EKSİK",IF($I775="","TARİH EKSİK",IF($I775&lt;TODAY(),"GECİKMİŞ",IF($I775=TODAY(),"BUGÜN",IF($I775&lt;=TODAY()+7,"7 GÜN İÇİNDE","PLANLI"))))))))</f>
        <v/>
      </c>
      <c r="R775" s="6" t="n"/>
      <c r="S775" s="6" t="n"/>
      <c r="T775" s="3" t="n"/>
      <c r="U775" s="3">
        <f>IF($E775="","",UPPER(SUBSTITUTE(SUBSTITUTE(SUBSTITUTE(SUBSTITUTE(SUBSTITUTE(SUBSTITUTE(SUBSTITUTE(SUBSTITUTE(SUBSTITUTE(SUBSTITUTE(SUBSTITUTE(SUBSTITUTE(SUBSTITUTE(SUBSTITUTE(SUBSTITUTE(SUBSTITUTE(SUBSTITUTE(SUBSTITUTE(TRIM($E775),"'",""),"İ","I"),"ı","I"),"i","I"),"Ş","S"),"ş","S"),"Ğ","G"),"ğ","G"),"Ü","U"),"ü","U"),"Ö","O"),"ö","O"),"Ç","C"),"ç","C"),".",""),",","")," ",""),"-","")))</f>
        <v/>
      </c>
    </row>
    <row r="776">
      <c r="A776" s="6" t="n"/>
      <c r="B776" s="113">
        <f>IF($E776="","","A"&amp;TEXT(ROW()-6,"00000"))</f>
        <v/>
      </c>
      <c r="C776" s="108" t="n"/>
      <c r="D776" s="113">
        <f>IF($E776="","",IFERROR(INDEX(MUSTERILER!$B$7:$B$106,MATCH($U776,MUSTERILER!$T$7:$T$106,0)),IFERROR(INDEX(MUSTERILER!$B$7:$B$106,MATCH($E776,MUSTERILER!$B$7:$B$106,0)),IFERROR(INDEX(MUSTERILER!$B$7:$B$106,MATCH($U776&amp;"*",MUSTERILER!$T$7:$T$106,0)),"TANIMSIZ MÜŞTERİ"))))</f>
        <v/>
      </c>
      <c r="E776" s="109" t="n"/>
      <c r="F776" s="109" t="n"/>
      <c r="G776" s="108" t="n"/>
      <c r="H776" s="220" t="n"/>
      <c r="I776" s="220" t="n"/>
      <c r="J776" s="108" t="n"/>
      <c r="K776" s="108" t="n"/>
      <c r="L776" s="109" t="n"/>
      <c r="M776" s="109" t="n"/>
      <c r="N776" s="109" t="n"/>
      <c r="O776" s="220" t="n"/>
      <c r="P776" s="227">
        <f>IF(OR($E776="",$I776=""),"",IF(OR($J776="Tamamlandı",$J776="İptal"),"",$I776-TODAY()))</f>
        <v/>
      </c>
      <c r="Q776" s="113">
        <f>IF($E776="","",IF($D776="TANIMSIZ MÜŞTERİ","HATA",IF(OR($J776="Tamamlandı",$J776="İptal"),"KAPALI",IF(AND($C776="Görüşme",$N776=""),"SONRAKİ İŞLEM EKSİK",IF($I776="","TARİH EKSİK",IF($I776&lt;TODAY(),"GECİKMİŞ",IF($I776=TODAY(),"BUGÜN",IF($I776&lt;=TODAY()+7,"7 GÜN İÇİNDE","PLANLI"))))))))</f>
        <v/>
      </c>
      <c r="R776" s="6" t="n"/>
      <c r="S776" s="6" t="n"/>
      <c r="T776" s="3" t="n"/>
      <c r="U776" s="3">
        <f>IF($E776="","",UPPER(SUBSTITUTE(SUBSTITUTE(SUBSTITUTE(SUBSTITUTE(SUBSTITUTE(SUBSTITUTE(SUBSTITUTE(SUBSTITUTE(SUBSTITUTE(SUBSTITUTE(SUBSTITUTE(SUBSTITUTE(SUBSTITUTE(SUBSTITUTE(SUBSTITUTE(SUBSTITUTE(SUBSTITUTE(SUBSTITUTE(TRIM($E776),"'",""),"İ","I"),"ı","I"),"i","I"),"Ş","S"),"ş","S"),"Ğ","G"),"ğ","G"),"Ü","U"),"ü","U"),"Ö","O"),"ö","O"),"Ç","C"),"ç","C"),".",""),",","")," ",""),"-","")))</f>
        <v/>
      </c>
    </row>
    <row r="777">
      <c r="A777" s="6" t="n"/>
      <c r="B777" s="113">
        <f>IF($E777="","","A"&amp;TEXT(ROW()-6,"00000"))</f>
        <v/>
      </c>
      <c r="C777" s="108" t="n"/>
      <c r="D777" s="113">
        <f>IF($E777="","",IFERROR(INDEX(MUSTERILER!$B$7:$B$106,MATCH($U777,MUSTERILER!$T$7:$T$106,0)),IFERROR(INDEX(MUSTERILER!$B$7:$B$106,MATCH($E777,MUSTERILER!$B$7:$B$106,0)),IFERROR(INDEX(MUSTERILER!$B$7:$B$106,MATCH($U777&amp;"*",MUSTERILER!$T$7:$T$106,0)),"TANIMSIZ MÜŞTERİ"))))</f>
        <v/>
      </c>
      <c r="E777" s="109" t="n"/>
      <c r="F777" s="109" t="n"/>
      <c r="G777" s="108" t="n"/>
      <c r="H777" s="220" t="n"/>
      <c r="I777" s="220" t="n"/>
      <c r="J777" s="108" t="n"/>
      <c r="K777" s="108" t="n"/>
      <c r="L777" s="109" t="n"/>
      <c r="M777" s="109" t="n"/>
      <c r="N777" s="109" t="n"/>
      <c r="O777" s="220" t="n"/>
      <c r="P777" s="227">
        <f>IF(OR($E777="",$I777=""),"",IF(OR($J777="Tamamlandı",$J777="İptal"),"",$I777-TODAY()))</f>
        <v/>
      </c>
      <c r="Q777" s="113">
        <f>IF($E777="","",IF($D777="TANIMSIZ MÜŞTERİ","HATA",IF(OR($J777="Tamamlandı",$J777="İptal"),"KAPALI",IF(AND($C777="Görüşme",$N777=""),"SONRAKİ İŞLEM EKSİK",IF($I777="","TARİH EKSİK",IF($I777&lt;TODAY(),"GECİKMİŞ",IF($I777=TODAY(),"BUGÜN",IF($I777&lt;=TODAY()+7,"7 GÜN İÇİNDE","PLANLI"))))))))</f>
        <v/>
      </c>
      <c r="R777" s="6" t="n"/>
      <c r="S777" s="6" t="n"/>
      <c r="T777" s="3" t="n"/>
      <c r="U777" s="3">
        <f>IF($E777="","",UPPER(SUBSTITUTE(SUBSTITUTE(SUBSTITUTE(SUBSTITUTE(SUBSTITUTE(SUBSTITUTE(SUBSTITUTE(SUBSTITUTE(SUBSTITUTE(SUBSTITUTE(SUBSTITUTE(SUBSTITUTE(SUBSTITUTE(SUBSTITUTE(SUBSTITUTE(SUBSTITUTE(SUBSTITUTE(SUBSTITUTE(TRIM($E777),"'",""),"İ","I"),"ı","I"),"i","I"),"Ş","S"),"ş","S"),"Ğ","G"),"ğ","G"),"Ü","U"),"ü","U"),"Ö","O"),"ö","O"),"Ç","C"),"ç","C"),".",""),",","")," ",""),"-","")))</f>
        <v/>
      </c>
    </row>
    <row r="778">
      <c r="A778" s="6" t="n"/>
      <c r="B778" s="113">
        <f>IF($E778="","","A"&amp;TEXT(ROW()-6,"00000"))</f>
        <v/>
      </c>
      <c r="C778" s="108" t="n"/>
      <c r="D778" s="113">
        <f>IF($E778="","",IFERROR(INDEX(MUSTERILER!$B$7:$B$106,MATCH($U778,MUSTERILER!$T$7:$T$106,0)),IFERROR(INDEX(MUSTERILER!$B$7:$B$106,MATCH($E778,MUSTERILER!$B$7:$B$106,0)),IFERROR(INDEX(MUSTERILER!$B$7:$B$106,MATCH($U778&amp;"*",MUSTERILER!$T$7:$T$106,0)),"TANIMSIZ MÜŞTERİ"))))</f>
        <v/>
      </c>
      <c r="E778" s="109" t="n"/>
      <c r="F778" s="109" t="n"/>
      <c r="G778" s="108" t="n"/>
      <c r="H778" s="220" t="n"/>
      <c r="I778" s="220" t="n"/>
      <c r="J778" s="108" t="n"/>
      <c r="K778" s="108" t="n"/>
      <c r="L778" s="109" t="n"/>
      <c r="M778" s="109" t="n"/>
      <c r="N778" s="109" t="n"/>
      <c r="O778" s="220" t="n"/>
      <c r="P778" s="227">
        <f>IF(OR($E778="",$I778=""),"",IF(OR($J778="Tamamlandı",$J778="İptal"),"",$I778-TODAY()))</f>
        <v/>
      </c>
      <c r="Q778" s="113">
        <f>IF($E778="","",IF($D778="TANIMSIZ MÜŞTERİ","HATA",IF(OR($J778="Tamamlandı",$J778="İptal"),"KAPALI",IF(AND($C778="Görüşme",$N778=""),"SONRAKİ İŞLEM EKSİK",IF($I778="","TARİH EKSİK",IF($I778&lt;TODAY(),"GECİKMİŞ",IF($I778=TODAY(),"BUGÜN",IF($I778&lt;=TODAY()+7,"7 GÜN İÇİNDE","PLANLI"))))))))</f>
        <v/>
      </c>
      <c r="R778" s="6" t="n"/>
      <c r="S778" s="6" t="n"/>
      <c r="T778" s="3" t="n"/>
      <c r="U778" s="3">
        <f>IF($E778="","",UPPER(SUBSTITUTE(SUBSTITUTE(SUBSTITUTE(SUBSTITUTE(SUBSTITUTE(SUBSTITUTE(SUBSTITUTE(SUBSTITUTE(SUBSTITUTE(SUBSTITUTE(SUBSTITUTE(SUBSTITUTE(SUBSTITUTE(SUBSTITUTE(SUBSTITUTE(SUBSTITUTE(SUBSTITUTE(SUBSTITUTE(TRIM($E778),"'",""),"İ","I"),"ı","I"),"i","I"),"Ş","S"),"ş","S"),"Ğ","G"),"ğ","G"),"Ü","U"),"ü","U"),"Ö","O"),"ö","O"),"Ç","C"),"ç","C"),".",""),",","")," ",""),"-","")))</f>
        <v/>
      </c>
    </row>
    <row r="779">
      <c r="A779" s="6" t="n"/>
      <c r="B779" s="113">
        <f>IF($E779="","","A"&amp;TEXT(ROW()-6,"00000"))</f>
        <v/>
      </c>
      <c r="C779" s="108" t="n"/>
      <c r="D779" s="113">
        <f>IF($E779="","",IFERROR(INDEX(MUSTERILER!$B$7:$B$106,MATCH($U779,MUSTERILER!$T$7:$T$106,0)),IFERROR(INDEX(MUSTERILER!$B$7:$B$106,MATCH($E779,MUSTERILER!$B$7:$B$106,0)),IFERROR(INDEX(MUSTERILER!$B$7:$B$106,MATCH($U779&amp;"*",MUSTERILER!$T$7:$T$106,0)),"TANIMSIZ MÜŞTERİ"))))</f>
        <v/>
      </c>
      <c r="E779" s="109" t="n"/>
      <c r="F779" s="109" t="n"/>
      <c r="G779" s="108" t="n"/>
      <c r="H779" s="220" t="n"/>
      <c r="I779" s="220" t="n"/>
      <c r="J779" s="108" t="n"/>
      <c r="K779" s="108" t="n"/>
      <c r="L779" s="109" t="n"/>
      <c r="M779" s="109" t="n"/>
      <c r="N779" s="109" t="n"/>
      <c r="O779" s="220" t="n"/>
      <c r="P779" s="227">
        <f>IF(OR($E779="",$I779=""),"",IF(OR($J779="Tamamlandı",$J779="İptal"),"",$I779-TODAY()))</f>
        <v/>
      </c>
      <c r="Q779" s="113">
        <f>IF($E779="","",IF($D779="TANIMSIZ MÜŞTERİ","HATA",IF(OR($J779="Tamamlandı",$J779="İptal"),"KAPALI",IF(AND($C779="Görüşme",$N779=""),"SONRAKİ İŞLEM EKSİK",IF($I779="","TARİH EKSİK",IF($I779&lt;TODAY(),"GECİKMİŞ",IF($I779=TODAY(),"BUGÜN",IF($I779&lt;=TODAY()+7,"7 GÜN İÇİNDE","PLANLI"))))))))</f>
        <v/>
      </c>
      <c r="R779" s="6" t="n"/>
      <c r="S779" s="6" t="n"/>
      <c r="T779" s="3" t="n"/>
      <c r="U779" s="3">
        <f>IF($E779="","",UPPER(SUBSTITUTE(SUBSTITUTE(SUBSTITUTE(SUBSTITUTE(SUBSTITUTE(SUBSTITUTE(SUBSTITUTE(SUBSTITUTE(SUBSTITUTE(SUBSTITUTE(SUBSTITUTE(SUBSTITUTE(SUBSTITUTE(SUBSTITUTE(SUBSTITUTE(SUBSTITUTE(SUBSTITUTE(SUBSTITUTE(TRIM($E779),"'",""),"İ","I"),"ı","I"),"i","I"),"Ş","S"),"ş","S"),"Ğ","G"),"ğ","G"),"Ü","U"),"ü","U"),"Ö","O"),"ö","O"),"Ç","C"),"ç","C"),".",""),",","")," ",""),"-","")))</f>
        <v/>
      </c>
    </row>
    <row r="780">
      <c r="A780" s="6" t="n"/>
      <c r="B780" s="113">
        <f>IF($E780="","","A"&amp;TEXT(ROW()-6,"00000"))</f>
        <v/>
      </c>
      <c r="C780" s="108" t="n"/>
      <c r="D780" s="113">
        <f>IF($E780="","",IFERROR(INDEX(MUSTERILER!$B$7:$B$106,MATCH($U780,MUSTERILER!$T$7:$T$106,0)),IFERROR(INDEX(MUSTERILER!$B$7:$B$106,MATCH($E780,MUSTERILER!$B$7:$B$106,0)),IFERROR(INDEX(MUSTERILER!$B$7:$B$106,MATCH($U780&amp;"*",MUSTERILER!$T$7:$T$106,0)),"TANIMSIZ MÜŞTERİ"))))</f>
        <v/>
      </c>
      <c r="E780" s="109" t="n"/>
      <c r="F780" s="109" t="n"/>
      <c r="G780" s="108" t="n"/>
      <c r="H780" s="220" t="n"/>
      <c r="I780" s="220" t="n"/>
      <c r="J780" s="108" t="n"/>
      <c r="K780" s="108" t="n"/>
      <c r="L780" s="109" t="n"/>
      <c r="M780" s="109" t="n"/>
      <c r="N780" s="109" t="n"/>
      <c r="O780" s="220" t="n"/>
      <c r="P780" s="227">
        <f>IF(OR($E780="",$I780=""),"",IF(OR($J780="Tamamlandı",$J780="İptal"),"",$I780-TODAY()))</f>
        <v/>
      </c>
      <c r="Q780" s="113">
        <f>IF($E780="","",IF($D780="TANIMSIZ MÜŞTERİ","HATA",IF(OR($J780="Tamamlandı",$J780="İptal"),"KAPALI",IF(AND($C780="Görüşme",$N780=""),"SONRAKİ İŞLEM EKSİK",IF($I780="","TARİH EKSİK",IF($I780&lt;TODAY(),"GECİKMİŞ",IF($I780=TODAY(),"BUGÜN",IF($I780&lt;=TODAY()+7,"7 GÜN İÇİNDE","PLANLI"))))))))</f>
        <v/>
      </c>
      <c r="R780" s="6" t="n"/>
      <c r="S780" s="6" t="n"/>
      <c r="T780" s="3" t="n"/>
      <c r="U780" s="3">
        <f>IF($E780="","",UPPER(SUBSTITUTE(SUBSTITUTE(SUBSTITUTE(SUBSTITUTE(SUBSTITUTE(SUBSTITUTE(SUBSTITUTE(SUBSTITUTE(SUBSTITUTE(SUBSTITUTE(SUBSTITUTE(SUBSTITUTE(SUBSTITUTE(SUBSTITUTE(SUBSTITUTE(SUBSTITUTE(SUBSTITUTE(SUBSTITUTE(TRIM($E780),"'",""),"İ","I"),"ı","I"),"i","I"),"Ş","S"),"ş","S"),"Ğ","G"),"ğ","G"),"Ü","U"),"ü","U"),"Ö","O"),"ö","O"),"Ç","C"),"ç","C"),".",""),",","")," ",""),"-","")))</f>
        <v/>
      </c>
    </row>
    <row r="781">
      <c r="A781" s="6" t="n"/>
      <c r="B781" s="113">
        <f>IF($E781="","","A"&amp;TEXT(ROW()-6,"00000"))</f>
        <v/>
      </c>
      <c r="C781" s="108" t="n"/>
      <c r="D781" s="113">
        <f>IF($E781="","",IFERROR(INDEX(MUSTERILER!$B$7:$B$106,MATCH($U781,MUSTERILER!$T$7:$T$106,0)),IFERROR(INDEX(MUSTERILER!$B$7:$B$106,MATCH($E781,MUSTERILER!$B$7:$B$106,0)),IFERROR(INDEX(MUSTERILER!$B$7:$B$106,MATCH($U781&amp;"*",MUSTERILER!$T$7:$T$106,0)),"TANIMSIZ MÜŞTERİ"))))</f>
        <v/>
      </c>
      <c r="E781" s="109" t="n"/>
      <c r="F781" s="109" t="n"/>
      <c r="G781" s="108" t="n"/>
      <c r="H781" s="220" t="n"/>
      <c r="I781" s="220" t="n"/>
      <c r="J781" s="108" t="n"/>
      <c r="K781" s="108" t="n"/>
      <c r="L781" s="109" t="n"/>
      <c r="M781" s="109" t="n"/>
      <c r="N781" s="109" t="n"/>
      <c r="O781" s="220" t="n"/>
      <c r="P781" s="227">
        <f>IF(OR($E781="",$I781=""),"",IF(OR($J781="Tamamlandı",$J781="İptal"),"",$I781-TODAY()))</f>
        <v/>
      </c>
      <c r="Q781" s="113">
        <f>IF($E781="","",IF($D781="TANIMSIZ MÜŞTERİ","HATA",IF(OR($J781="Tamamlandı",$J781="İptal"),"KAPALI",IF(AND($C781="Görüşme",$N781=""),"SONRAKİ İŞLEM EKSİK",IF($I781="","TARİH EKSİK",IF($I781&lt;TODAY(),"GECİKMİŞ",IF($I781=TODAY(),"BUGÜN",IF($I781&lt;=TODAY()+7,"7 GÜN İÇİNDE","PLANLI"))))))))</f>
        <v/>
      </c>
      <c r="R781" s="6" t="n"/>
      <c r="S781" s="6" t="n"/>
      <c r="T781" s="3" t="n"/>
      <c r="U781" s="3">
        <f>IF($E781="","",UPPER(SUBSTITUTE(SUBSTITUTE(SUBSTITUTE(SUBSTITUTE(SUBSTITUTE(SUBSTITUTE(SUBSTITUTE(SUBSTITUTE(SUBSTITUTE(SUBSTITUTE(SUBSTITUTE(SUBSTITUTE(SUBSTITUTE(SUBSTITUTE(SUBSTITUTE(SUBSTITUTE(SUBSTITUTE(SUBSTITUTE(TRIM($E781),"'",""),"İ","I"),"ı","I"),"i","I"),"Ş","S"),"ş","S"),"Ğ","G"),"ğ","G"),"Ü","U"),"ü","U"),"Ö","O"),"ö","O"),"Ç","C"),"ç","C"),".",""),",","")," ",""),"-","")))</f>
        <v/>
      </c>
    </row>
    <row r="782">
      <c r="A782" s="6" t="n"/>
      <c r="B782" s="113">
        <f>IF($E782="","","A"&amp;TEXT(ROW()-6,"00000"))</f>
        <v/>
      </c>
      <c r="C782" s="108" t="n"/>
      <c r="D782" s="113">
        <f>IF($E782="","",IFERROR(INDEX(MUSTERILER!$B$7:$B$106,MATCH($U782,MUSTERILER!$T$7:$T$106,0)),IFERROR(INDEX(MUSTERILER!$B$7:$B$106,MATCH($E782,MUSTERILER!$B$7:$B$106,0)),IFERROR(INDEX(MUSTERILER!$B$7:$B$106,MATCH($U782&amp;"*",MUSTERILER!$T$7:$T$106,0)),"TANIMSIZ MÜŞTERİ"))))</f>
        <v/>
      </c>
      <c r="E782" s="109" t="n"/>
      <c r="F782" s="109" t="n"/>
      <c r="G782" s="108" t="n"/>
      <c r="H782" s="220" t="n"/>
      <c r="I782" s="220" t="n"/>
      <c r="J782" s="108" t="n"/>
      <c r="K782" s="108" t="n"/>
      <c r="L782" s="109" t="n"/>
      <c r="M782" s="109" t="n"/>
      <c r="N782" s="109" t="n"/>
      <c r="O782" s="220" t="n"/>
      <c r="P782" s="227">
        <f>IF(OR($E782="",$I782=""),"",IF(OR($J782="Tamamlandı",$J782="İptal"),"",$I782-TODAY()))</f>
        <v/>
      </c>
      <c r="Q782" s="113">
        <f>IF($E782="","",IF($D782="TANIMSIZ MÜŞTERİ","HATA",IF(OR($J782="Tamamlandı",$J782="İptal"),"KAPALI",IF(AND($C782="Görüşme",$N782=""),"SONRAKİ İŞLEM EKSİK",IF($I782="","TARİH EKSİK",IF($I782&lt;TODAY(),"GECİKMİŞ",IF($I782=TODAY(),"BUGÜN",IF($I782&lt;=TODAY()+7,"7 GÜN İÇİNDE","PLANLI"))))))))</f>
        <v/>
      </c>
      <c r="R782" s="6" t="n"/>
      <c r="S782" s="6" t="n"/>
      <c r="T782" s="3" t="n"/>
      <c r="U782" s="3">
        <f>IF($E782="","",UPPER(SUBSTITUTE(SUBSTITUTE(SUBSTITUTE(SUBSTITUTE(SUBSTITUTE(SUBSTITUTE(SUBSTITUTE(SUBSTITUTE(SUBSTITUTE(SUBSTITUTE(SUBSTITUTE(SUBSTITUTE(SUBSTITUTE(SUBSTITUTE(SUBSTITUTE(SUBSTITUTE(SUBSTITUTE(SUBSTITUTE(TRIM($E782),"'",""),"İ","I"),"ı","I"),"i","I"),"Ş","S"),"ş","S"),"Ğ","G"),"ğ","G"),"Ü","U"),"ü","U"),"Ö","O"),"ö","O"),"Ç","C"),"ç","C"),".",""),",","")," ",""),"-","")))</f>
        <v/>
      </c>
    </row>
    <row r="783">
      <c r="A783" s="6" t="n"/>
      <c r="B783" s="113">
        <f>IF($E783="","","A"&amp;TEXT(ROW()-6,"00000"))</f>
        <v/>
      </c>
      <c r="C783" s="108" t="n"/>
      <c r="D783" s="113">
        <f>IF($E783="","",IFERROR(INDEX(MUSTERILER!$B$7:$B$106,MATCH($U783,MUSTERILER!$T$7:$T$106,0)),IFERROR(INDEX(MUSTERILER!$B$7:$B$106,MATCH($E783,MUSTERILER!$B$7:$B$106,0)),IFERROR(INDEX(MUSTERILER!$B$7:$B$106,MATCH($U783&amp;"*",MUSTERILER!$T$7:$T$106,0)),"TANIMSIZ MÜŞTERİ"))))</f>
        <v/>
      </c>
      <c r="E783" s="109" t="n"/>
      <c r="F783" s="109" t="n"/>
      <c r="G783" s="108" t="n"/>
      <c r="H783" s="220" t="n"/>
      <c r="I783" s="220" t="n"/>
      <c r="J783" s="108" t="n"/>
      <c r="K783" s="108" t="n"/>
      <c r="L783" s="109" t="n"/>
      <c r="M783" s="109" t="n"/>
      <c r="N783" s="109" t="n"/>
      <c r="O783" s="220" t="n"/>
      <c r="P783" s="227">
        <f>IF(OR($E783="",$I783=""),"",IF(OR($J783="Tamamlandı",$J783="İptal"),"",$I783-TODAY()))</f>
        <v/>
      </c>
      <c r="Q783" s="113">
        <f>IF($E783="","",IF($D783="TANIMSIZ MÜŞTERİ","HATA",IF(OR($J783="Tamamlandı",$J783="İptal"),"KAPALI",IF(AND($C783="Görüşme",$N783=""),"SONRAKİ İŞLEM EKSİK",IF($I783="","TARİH EKSİK",IF($I783&lt;TODAY(),"GECİKMİŞ",IF($I783=TODAY(),"BUGÜN",IF($I783&lt;=TODAY()+7,"7 GÜN İÇİNDE","PLANLI"))))))))</f>
        <v/>
      </c>
      <c r="R783" s="6" t="n"/>
      <c r="S783" s="6" t="n"/>
      <c r="T783" s="3" t="n"/>
      <c r="U783" s="3">
        <f>IF($E783="","",UPPER(SUBSTITUTE(SUBSTITUTE(SUBSTITUTE(SUBSTITUTE(SUBSTITUTE(SUBSTITUTE(SUBSTITUTE(SUBSTITUTE(SUBSTITUTE(SUBSTITUTE(SUBSTITUTE(SUBSTITUTE(SUBSTITUTE(SUBSTITUTE(SUBSTITUTE(SUBSTITUTE(SUBSTITUTE(SUBSTITUTE(TRIM($E783),"'",""),"İ","I"),"ı","I"),"i","I"),"Ş","S"),"ş","S"),"Ğ","G"),"ğ","G"),"Ü","U"),"ü","U"),"Ö","O"),"ö","O"),"Ç","C"),"ç","C"),".",""),",","")," ",""),"-","")))</f>
        <v/>
      </c>
    </row>
    <row r="784">
      <c r="A784" s="6" t="n"/>
      <c r="B784" s="113">
        <f>IF($E784="","","A"&amp;TEXT(ROW()-6,"00000"))</f>
        <v/>
      </c>
      <c r="C784" s="108" t="n"/>
      <c r="D784" s="113">
        <f>IF($E784="","",IFERROR(INDEX(MUSTERILER!$B$7:$B$106,MATCH($U784,MUSTERILER!$T$7:$T$106,0)),IFERROR(INDEX(MUSTERILER!$B$7:$B$106,MATCH($E784,MUSTERILER!$B$7:$B$106,0)),IFERROR(INDEX(MUSTERILER!$B$7:$B$106,MATCH($U784&amp;"*",MUSTERILER!$T$7:$T$106,0)),"TANIMSIZ MÜŞTERİ"))))</f>
        <v/>
      </c>
      <c r="E784" s="109" t="n"/>
      <c r="F784" s="109" t="n"/>
      <c r="G784" s="108" t="n"/>
      <c r="H784" s="220" t="n"/>
      <c r="I784" s="220" t="n"/>
      <c r="J784" s="108" t="n"/>
      <c r="K784" s="108" t="n"/>
      <c r="L784" s="109" t="n"/>
      <c r="M784" s="109" t="n"/>
      <c r="N784" s="109" t="n"/>
      <c r="O784" s="220" t="n"/>
      <c r="P784" s="227">
        <f>IF(OR($E784="",$I784=""),"",IF(OR($J784="Tamamlandı",$J784="İptal"),"",$I784-TODAY()))</f>
        <v/>
      </c>
      <c r="Q784" s="113">
        <f>IF($E784="","",IF($D784="TANIMSIZ MÜŞTERİ","HATA",IF(OR($J784="Tamamlandı",$J784="İptal"),"KAPALI",IF(AND($C784="Görüşme",$N784=""),"SONRAKİ İŞLEM EKSİK",IF($I784="","TARİH EKSİK",IF($I784&lt;TODAY(),"GECİKMİŞ",IF($I784=TODAY(),"BUGÜN",IF($I784&lt;=TODAY()+7,"7 GÜN İÇİNDE","PLANLI"))))))))</f>
        <v/>
      </c>
      <c r="R784" s="6" t="n"/>
      <c r="S784" s="6" t="n"/>
      <c r="T784" s="3" t="n"/>
      <c r="U784" s="3">
        <f>IF($E784="","",UPPER(SUBSTITUTE(SUBSTITUTE(SUBSTITUTE(SUBSTITUTE(SUBSTITUTE(SUBSTITUTE(SUBSTITUTE(SUBSTITUTE(SUBSTITUTE(SUBSTITUTE(SUBSTITUTE(SUBSTITUTE(SUBSTITUTE(SUBSTITUTE(SUBSTITUTE(SUBSTITUTE(SUBSTITUTE(SUBSTITUTE(TRIM($E784),"'",""),"İ","I"),"ı","I"),"i","I"),"Ş","S"),"ş","S"),"Ğ","G"),"ğ","G"),"Ü","U"),"ü","U"),"Ö","O"),"ö","O"),"Ç","C"),"ç","C"),".",""),",","")," ",""),"-","")))</f>
        <v/>
      </c>
    </row>
    <row r="785">
      <c r="A785" s="6" t="n"/>
      <c r="B785" s="113">
        <f>IF($E785="","","A"&amp;TEXT(ROW()-6,"00000"))</f>
        <v/>
      </c>
      <c r="C785" s="108" t="n"/>
      <c r="D785" s="113">
        <f>IF($E785="","",IFERROR(INDEX(MUSTERILER!$B$7:$B$106,MATCH($U785,MUSTERILER!$T$7:$T$106,0)),IFERROR(INDEX(MUSTERILER!$B$7:$B$106,MATCH($E785,MUSTERILER!$B$7:$B$106,0)),IFERROR(INDEX(MUSTERILER!$B$7:$B$106,MATCH($U785&amp;"*",MUSTERILER!$T$7:$T$106,0)),"TANIMSIZ MÜŞTERİ"))))</f>
        <v/>
      </c>
      <c r="E785" s="109" t="n"/>
      <c r="F785" s="109" t="n"/>
      <c r="G785" s="108" t="n"/>
      <c r="H785" s="220" t="n"/>
      <c r="I785" s="220" t="n"/>
      <c r="J785" s="108" t="n"/>
      <c r="K785" s="108" t="n"/>
      <c r="L785" s="109" t="n"/>
      <c r="M785" s="109" t="n"/>
      <c r="N785" s="109" t="n"/>
      <c r="O785" s="220" t="n"/>
      <c r="P785" s="227">
        <f>IF(OR($E785="",$I785=""),"",IF(OR($J785="Tamamlandı",$J785="İptal"),"",$I785-TODAY()))</f>
        <v/>
      </c>
      <c r="Q785" s="113">
        <f>IF($E785="","",IF($D785="TANIMSIZ MÜŞTERİ","HATA",IF(OR($J785="Tamamlandı",$J785="İptal"),"KAPALI",IF(AND($C785="Görüşme",$N785=""),"SONRAKİ İŞLEM EKSİK",IF($I785="","TARİH EKSİK",IF($I785&lt;TODAY(),"GECİKMİŞ",IF($I785=TODAY(),"BUGÜN",IF($I785&lt;=TODAY()+7,"7 GÜN İÇİNDE","PLANLI"))))))))</f>
        <v/>
      </c>
      <c r="R785" s="6" t="n"/>
      <c r="S785" s="6" t="n"/>
      <c r="T785" s="3" t="n"/>
      <c r="U785" s="3">
        <f>IF($E785="","",UPPER(SUBSTITUTE(SUBSTITUTE(SUBSTITUTE(SUBSTITUTE(SUBSTITUTE(SUBSTITUTE(SUBSTITUTE(SUBSTITUTE(SUBSTITUTE(SUBSTITUTE(SUBSTITUTE(SUBSTITUTE(SUBSTITUTE(SUBSTITUTE(SUBSTITUTE(SUBSTITUTE(SUBSTITUTE(SUBSTITUTE(TRIM($E785),"'",""),"İ","I"),"ı","I"),"i","I"),"Ş","S"),"ş","S"),"Ğ","G"),"ğ","G"),"Ü","U"),"ü","U"),"Ö","O"),"ö","O"),"Ç","C"),"ç","C"),".",""),",","")," ",""),"-","")))</f>
        <v/>
      </c>
    </row>
    <row r="786">
      <c r="A786" s="6" t="n"/>
      <c r="B786" s="113">
        <f>IF($E786="","","A"&amp;TEXT(ROW()-6,"00000"))</f>
        <v/>
      </c>
      <c r="C786" s="108" t="n"/>
      <c r="D786" s="113">
        <f>IF($E786="","",IFERROR(INDEX(MUSTERILER!$B$7:$B$106,MATCH($U786,MUSTERILER!$T$7:$T$106,0)),IFERROR(INDEX(MUSTERILER!$B$7:$B$106,MATCH($E786,MUSTERILER!$B$7:$B$106,0)),IFERROR(INDEX(MUSTERILER!$B$7:$B$106,MATCH($U786&amp;"*",MUSTERILER!$T$7:$T$106,0)),"TANIMSIZ MÜŞTERİ"))))</f>
        <v/>
      </c>
      <c r="E786" s="109" t="n"/>
      <c r="F786" s="109" t="n"/>
      <c r="G786" s="108" t="n"/>
      <c r="H786" s="220" t="n"/>
      <c r="I786" s="220" t="n"/>
      <c r="J786" s="108" t="n"/>
      <c r="K786" s="108" t="n"/>
      <c r="L786" s="109" t="n"/>
      <c r="M786" s="109" t="n"/>
      <c r="N786" s="109" t="n"/>
      <c r="O786" s="220" t="n"/>
      <c r="P786" s="227">
        <f>IF(OR($E786="",$I786=""),"",IF(OR($J786="Tamamlandı",$J786="İptal"),"",$I786-TODAY()))</f>
        <v/>
      </c>
      <c r="Q786" s="113">
        <f>IF($E786="","",IF($D786="TANIMSIZ MÜŞTERİ","HATA",IF(OR($J786="Tamamlandı",$J786="İptal"),"KAPALI",IF(AND($C786="Görüşme",$N786=""),"SONRAKİ İŞLEM EKSİK",IF($I786="","TARİH EKSİK",IF($I786&lt;TODAY(),"GECİKMİŞ",IF($I786=TODAY(),"BUGÜN",IF($I786&lt;=TODAY()+7,"7 GÜN İÇİNDE","PLANLI"))))))))</f>
        <v/>
      </c>
      <c r="R786" s="6" t="n"/>
      <c r="S786" s="6" t="n"/>
      <c r="T786" s="3" t="n"/>
      <c r="U786" s="3">
        <f>IF($E786="","",UPPER(SUBSTITUTE(SUBSTITUTE(SUBSTITUTE(SUBSTITUTE(SUBSTITUTE(SUBSTITUTE(SUBSTITUTE(SUBSTITUTE(SUBSTITUTE(SUBSTITUTE(SUBSTITUTE(SUBSTITUTE(SUBSTITUTE(SUBSTITUTE(SUBSTITUTE(SUBSTITUTE(SUBSTITUTE(SUBSTITUTE(TRIM($E786),"'",""),"İ","I"),"ı","I"),"i","I"),"Ş","S"),"ş","S"),"Ğ","G"),"ğ","G"),"Ü","U"),"ü","U"),"Ö","O"),"ö","O"),"Ç","C"),"ç","C"),".",""),",","")," ",""),"-","")))</f>
        <v/>
      </c>
    </row>
    <row r="787">
      <c r="A787" s="6" t="n"/>
      <c r="B787" s="113">
        <f>IF($E787="","","A"&amp;TEXT(ROW()-6,"00000"))</f>
        <v/>
      </c>
      <c r="C787" s="108" t="n"/>
      <c r="D787" s="113">
        <f>IF($E787="","",IFERROR(INDEX(MUSTERILER!$B$7:$B$106,MATCH($U787,MUSTERILER!$T$7:$T$106,0)),IFERROR(INDEX(MUSTERILER!$B$7:$B$106,MATCH($E787,MUSTERILER!$B$7:$B$106,0)),IFERROR(INDEX(MUSTERILER!$B$7:$B$106,MATCH($U787&amp;"*",MUSTERILER!$T$7:$T$106,0)),"TANIMSIZ MÜŞTERİ"))))</f>
        <v/>
      </c>
      <c r="E787" s="109" t="n"/>
      <c r="F787" s="109" t="n"/>
      <c r="G787" s="108" t="n"/>
      <c r="H787" s="220" t="n"/>
      <c r="I787" s="220" t="n"/>
      <c r="J787" s="108" t="n"/>
      <c r="K787" s="108" t="n"/>
      <c r="L787" s="109" t="n"/>
      <c r="M787" s="109" t="n"/>
      <c r="N787" s="109" t="n"/>
      <c r="O787" s="220" t="n"/>
      <c r="P787" s="227">
        <f>IF(OR($E787="",$I787=""),"",IF(OR($J787="Tamamlandı",$J787="İptal"),"",$I787-TODAY()))</f>
        <v/>
      </c>
      <c r="Q787" s="113">
        <f>IF($E787="","",IF($D787="TANIMSIZ MÜŞTERİ","HATA",IF(OR($J787="Tamamlandı",$J787="İptal"),"KAPALI",IF(AND($C787="Görüşme",$N787=""),"SONRAKİ İŞLEM EKSİK",IF($I787="","TARİH EKSİK",IF($I787&lt;TODAY(),"GECİKMİŞ",IF($I787=TODAY(),"BUGÜN",IF($I787&lt;=TODAY()+7,"7 GÜN İÇİNDE","PLANLI"))))))))</f>
        <v/>
      </c>
      <c r="R787" s="6" t="n"/>
      <c r="S787" s="6" t="n"/>
      <c r="T787" s="3" t="n"/>
      <c r="U787" s="3">
        <f>IF($E787="","",UPPER(SUBSTITUTE(SUBSTITUTE(SUBSTITUTE(SUBSTITUTE(SUBSTITUTE(SUBSTITUTE(SUBSTITUTE(SUBSTITUTE(SUBSTITUTE(SUBSTITUTE(SUBSTITUTE(SUBSTITUTE(SUBSTITUTE(SUBSTITUTE(SUBSTITUTE(SUBSTITUTE(SUBSTITUTE(SUBSTITUTE(TRIM($E787),"'",""),"İ","I"),"ı","I"),"i","I"),"Ş","S"),"ş","S"),"Ğ","G"),"ğ","G"),"Ü","U"),"ü","U"),"Ö","O"),"ö","O"),"Ç","C"),"ç","C"),".",""),",","")," ",""),"-","")))</f>
        <v/>
      </c>
    </row>
    <row r="788">
      <c r="A788" s="6" t="n"/>
      <c r="B788" s="113">
        <f>IF($E788="","","A"&amp;TEXT(ROW()-6,"00000"))</f>
        <v/>
      </c>
      <c r="C788" s="108" t="n"/>
      <c r="D788" s="113">
        <f>IF($E788="","",IFERROR(INDEX(MUSTERILER!$B$7:$B$106,MATCH($U788,MUSTERILER!$T$7:$T$106,0)),IFERROR(INDEX(MUSTERILER!$B$7:$B$106,MATCH($E788,MUSTERILER!$B$7:$B$106,0)),IFERROR(INDEX(MUSTERILER!$B$7:$B$106,MATCH($U788&amp;"*",MUSTERILER!$T$7:$T$106,0)),"TANIMSIZ MÜŞTERİ"))))</f>
        <v/>
      </c>
      <c r="E788" s="109" t="n"/>
      <c r="F788" s="109" t="n"/>
      <c r="G788" s="108" t="n"/>
      <c r="H788" s="220" t="n"/>
      <c r="I788" s="220" t="n"/>
      <c r="J788" s="108" t="n"/>
      <c r="K788" s="108" t="n"/>
      <c r="L788" s="109" t="n"/>
      <c r="M788" s="109" t="n"/>
      <c r="N788" s="109" t="n"/>
      <c r="O788" s="220" t="n"/>
      <c r="P788" s="227">
        <f>IF(OR($E788="",$I788=""),"",IF(OR($J788="Tamamlandı",$J788="İptal"),"",$I788-TODAY()))</f>
        <v/>
      </c>
      <c r="Q788" s="113">
        <f>IF($E788="","",IF($D788="TANIMSIZ MÜŞTERİ","HATA",IF(OR($J788="Tamamlandı",$J788="İptal"),"KAPALI",IF(AND($C788="Görüşme",$N788=""),"SONRAKİ İŞLEM EKSİK",IF($I788="","TARİH EKSİK",IF($I788&lt;TODAY(),"GECİKMİŞ",IF($I788=TODAY(),"BUGÜN",IF($I788&lt;=TODAY()+7,"7 GÜN İÇİNDE","PLANLI"))))))))</f>
        <v/>
      </c>
      <c r="R788" s="6" t="n"/>
      <c r="S788" s="6" t="n"/>
      <c r="T788" s="3" t="n"/>
      <c r="U788" s="3">
        <f>IF($E788="","",UPPER(SUBSTITUTE(SUBSTITUTE(SUBSTITUTE(SUBSTITUTE(SUBSTITUTE(SUBSTITUTE(SUBSTITUTE(SUBSTITUTE(SUBSTITUTE(SUBSTITUTE(SUBSTITUTE(SUBSTITUTE(SUBSTITUTE(SUBSTITUTE(SUBSTITUTE(SUBSTITUTE(SUBSTITUTE(SUBSTITUTE(TRIM($E788),"'",""),"İ","I"),"ı","I"),"i","I"),"Ş","S"),"ş","S"),"Ğ","G"),"ğ","G"),"Ü","U"),"ü","U"),"Ö","O"),"ö","O"),"Ç","C"),"ç","C"),".",""),",","")," ",""),"-","")))</f>
        <v/>
      </c>
    </row>
    <row r="789">
      <c r="A789" s="6" t="n"/>
      <c r="B789" s="113">
        <f>IF($E789="","","A"&amp;TEXT(ROW()-6,"00000"))</f>
        <v/>
      </c>
      <c r="C789" s="108" t="n"/>
      <c r="D789" s="113">
        <f>IF($E789="","",IFERROR(INDEX(MUSTERILER!$B$7:$B$106,MATCH($U789,MUSTERILER!$T$7:$T$106,0)),IFERROR(INDEX(MUSTERILER!$B$7:$B$106,MATCH($E789,MUSTERILER!$B$7:$B$106,0)),IFERROR(INDEX(MUSTERILER!$B$7:$B$106,MATCH($U789&amp;"*",MUSTERILER!$T$7:$T$106,0)),"TANIMSIZ MÜŞTERİ"))))</f>
        <v/>
      </c>
      <c r="E789" s="109" t="n"/>
      <c r="F789" s="109" t="n"/>
      <c r="G789" s="108" t="n"/>
      <c r="H789" s="220" t="n"/>
      <c r="I789" s="220" t="n"/>
      <c r="J789" s="108" t="n"/>
      <c r="K789" s="108" t="n"/>
      <c r="L789" s="109" t="n"/>
      <c r="M789" s="109" t="n"/>
      <c r="N789" s="109" t="n"/>
      <c r="O789" s="220" t="n"/>
      <c r="P789" s="227">
        <f>IF(OR($E789="",$I789=""),"",IF(OR($J789="Tamamlandı",$J789="İptal"),"",$I789-TODAY()))</f>
        <v/>
      </c>
      <c r="Q789" s="113">
        <f>IF($E789="","",IF($D789="TANIMSIZ MÜŞTERİ","HATA",IF(OR($J789="Tamamlandı",$J789="İptal"),"KAPALI",IF(AND($C789="Görüşme",$N789=""),"SONRAKİ İŞLEM EKSİK",IF($I789="","TARİH EKSİK",IF($I789&lt;TODAY(),"GECİKMİŞ",IF($I789=TODAY(),"BUGÜN",IF($I789&lt;=TODAY()+7,"7 GÜN İÇİNDE","PLANLI"))))))))</f>
        <v/>
      </c>
      <c r="R789" s="6" t="n"/>
      <c r="S789" s="6" t="n"/>
      <c r="T789" s="3" t="n"/>
      <c r="U789" s="3">
        <f>IF($E789="","",UPPER(SUBSTITUTE(SUBSTITUTE(SUBSTITUTE(SUBSTITUTE(SUBSTITUTE(SUBSTITUTE(SUBSTITUTE(SUBSTITUTE(SUBSTITUTE(SUBSTITUTE(SUBSTITUTE(SUBSTITUTE(SUBSTITUTE(SUBSTITUTE(SUBSTITUTE(SUBSTITUTE(SUBSTITUTE(SUBSTITUTE(TRIM($E789),"'",""),"İ","I"),"ı","I"),"i","I"),"Ş","S"),"ş","S"),"Ğ","G"),"ğ","G"),"Ü","U"),"ü","U"),"Ö","O"),"ö","O"),"Ç","C"),"ç","C"),".",""),",","")," ",""),"-","")))</f>
        <v/>
      </c>
    </row>
    <row r="790">
      <c r="A790" s="6" t="n"/>
      <c r="B790" s="113">
        <f>IF($E790="","","A"&amp;TEXT(ROW()-6,"00000"))</f>
        <v/>
      </c>
      <c r="C790" s="108" t="n"/>
      <c r="D790" s="113">
        <f>IF($E790="","",IFERROR(INDEX(MUSTERILER!$B$7:$B$106,MATCH($U790,MUSTERILER!$T$7:$T$106,0)),IFERROR(INDEX(MUSTERILER!$B$7:$B$106,MATCH($E790,MUSTERILER!$B$7:$B$106,0)),IFERROR(INDEX(MUSTERILER!$B$7:$B$106,MATCH($U790&amp;"*",MUSTERILER!$T$7:$T$106,0)),"TANIMSIZ MÜŞTERİ"))))</f>
        <v/>
      </c>
      <c r="E790" s="109" t="n"/>
      <c r="F790" s="109" t="n"/>
      <c r="G790" s="108" t="n"/>
      <c r="H790" s="220" t="n"/>
      <c r="I790" s="220" t="n"/>
      <c r="J790" s="108" t="n"/>
      <c r="K790" s="108" t="n"/>
      <c r="L790" s="109" t="n"/>
      <c r="M790" s="109" t="n"/>
      <c r="N790" s="109" t="n"/>
      <c r="O790" s="220" t="n"/>
      <c r="P790" s="227">
        <f>IF(OR($E790="",$I790=""),"",IF(OR($J790="Tamamlandı",$J790="İptal"),"",$I790-TODAY()))</f>
        <v/>
      </c>
      <c r="Q790" s="113">
        <f>IF($E790="","",IF($D790="TANIMSIZ MÜŞTERİ","HATA",IF(OR($J790="Tamamlandı",$J790="İptal"),"KAPALI",IF(AND($C790="Görüşme",$N790=""),"SONRAKİ İŞLEM EKSİK",IF($I790="","TARİH EKSİK",IF($I790&lt;TODAY(),"GECİKMİŞ",IF($I790=TODAY(),"BUGÜN",IF($I790&lt;=TODAY()+7,"7 GÜN İÇİNDE","PLANLI"))))))))</f>
        <v/>
      </c>
      <c r="R790" s="6" t="n"/>
      <c r="S790" s="6" t="n"/>
      <c r="T790" s="3" t="n"/>
      <c r="U790" s="3">
        <f>IF($E790="","",UPPER(SUBSTITUTE(SUBSTITUTE(SUBSTITUTE(SUBSTITUTE(SUBSTITUTE(SUBSTITUTE(SUBSTITUTE(SUBSTITUTE(SUBSTITUTE(SUBSTITUTE(SUBSTITUTE(SUBSTITUTE(SUBSTITUTE(SUBSTITUTE(SUBSTITUTE(SUBSTITUTE(SUBSTITUTE(SUBSTITUTE(TRIM($E790),"'",""),"İ","I"),"ı","I"),"i","I"),"Ş","S"),"ş","S"),"Ğ","G"),"ğ","G"),"Ü","U"),"ü","U"),"Ö","O"),"ö","O"),"Ç","C"),"ç","C"),".",""),",","")," ",""),"-","")))</f>
        <v/>
      </c>
    </row>
    <row r="791">
      <c r="A791" s="6" t="n"/>
      <c r="B791" s="113">
        <f>IF($E791="","","A"&amp;TEXT(ROW()-6,"00000"))</f>
        <v/>
      </c>
      <c r="C791" s="108" t="n"/>
      <c r="D791" s="113">
        <f>IF($E791="","",IFERROR(INDEX(MUSTERILER!$B$7:$B$106,MATCH($U791,MUSTERILER!$T$7:$T$106,0)),IFERROR(INDEX(MUSTERILER!$B$7:$B$106,MATCH($E791,MUSTERILER!$B$7:$B$106,0)),IFERROR(INDEX(MUSTERILER!$B$7:$B$106,MATCH($U791&amp;"*",MUSTERILER!$T$7:$T$106,0)),"TANIMSIZ MÜŞTERİ"))))</f>
        <v/>
      </c>
      <c r="E791" s="109" t="n"/>
      <c r="F791" s="109" t="n"/>
      <c r="G791" s="108" t="n"/>
      <c r="H791" s="220" t="n"/>
      <c r="I791" s="220" t="n"/>
      <c r="J791" s="108" t="n"/>
      <c r="K791" s="108" t="n"/>
      <c r="L791" s="109" t="n"/>
      <c r="M791" s="109" t="n"/>
      <c r="N791" s="109" t="n"/>
      <c r="O791" s="220" t="n"/>
      <c r="P791" s="227">
        <f>IF(OR($E791="",$I791=""),"",IF(OR($J791="Tamamlandı",$J791="İptal"),"",$I791-TODAY()))</f>
        <v/>
      </c>
      <c r="Q791" s="113">
        <f>IF($E791="","",IF($D791="TANIMSIZ MÜŞTERİ","HATA",IF(OR($J791="Tamamlandı",$J791="İptal"),"KAPALI",IF(AND($C791="Görüşme",$N791=""),"SONRAKİ İŞLEM EKSİK",IF($I791="","TARİH EKSİK",IF($I791&lt;TODAY(),"GECİKMİŞ",IF($I791=TODAY(),"BUGÜN",IF($I791&lt;=TODAY()+7,"7 GÜN İÇİNDE","PLANLI"))))))))</f>
        <v/>
      </c>
      <c r="R791" s="6" t="n"/>
      <c r="S791" s="6" t="n"/>
      <c r="T791" s="3" t="n"/>
      <c r="U791" s="3">
        <f>IF($E791="","",UPPER(SUBSTITUTE(SUBSTITUTE(SUBSTITUTE(SUBSTITUTE(SUBSTITUTE(SUBSTITUTE(SUBSTITUTE(SUBSTITUTE(SUBSTITUTE(SUBSTITUTE(SUBSTITUTE(SUBSTITUTE(SUBSTITUTE(SUBSTITUTE(SUBSTITUTE(SUBSTITUTE(SUBSTITUTE(SUBSTITUTE(TRIM($E791),"'",""),"İ","I"),"ı","I"),"i","I"),"Ş","S"),"ş","S"),"Ğ","G"),"ğ","G"),"Ü","U"),"ü","U"),"Ö","O"),"ö","O"),"Ç","C"),"ç","C"),".",""),",","")," ",""),"-","")))</f>
        <v/>
      </c>
    </row>
    <row r="792">
      <c r="A792" s="6" t="n"/>
      <c r="B792" s="113">
        <f>IF($E792="","","A"&amp;TEXT(ROW()-6,"00000"))</f>
        <v/>
      </c>
      <c r="C792" s="108" t="n"/>
      <c r="D792" s="113">
        <f>IF($E792="","",IFERROR(INDEX(MUSTERILER!$B$7:$B$106,MATCH($U792,MUSTERILER!$T$7:$T$106,0)),IFERROR(INDEX(MUSTERILER!$B$7:$B$106,MATCH($E792,MUSTERILER!$B$7:$B$106,0)),IFERROR(INDEX(MUSTERILER!$B$7:$B$106,MATCH($U792&amp;"*",MUSTERILER!$T$7:$T$106,0)),"TANIMSIZ MÜŞTERİ"))))</f>
        <v/>
      </c>
      <c r="E792" s="109" t="n"/>
      <c r="F792" s="109" t="n"/>
      <c r="G792" s="108" t="n"/>
      <c r="H792" s="220" t="n"/>
      <c r="I792" s="220" t="n"/>
      <c r="J792" s="108" t="n"/>
      <c r="K792" s="108" t="n"/>
      <c r="L792" s="109" t="n"/>
      <c r="M792" s="109" t="n"/>
      <c r="N792" s="109" t="n"/>
      <c r="O792" s="220" t="n"/>
      <c r="P792" s="227">
        <f>IF(OR($E792="",$I792=""),"",IF(OR($J792="Tamamlandı",$J792="İptal"),"",$I792-TODAY()))</f>
        <v/>
      </c>
      <c r="Q792" s="113">
        <f>IF($E792="","",IF($D792="TANIMSIZ MÜŞTERİ","HATA",IF(OR($J792="Tamamlandı",$J792="İptal"),"KAPALI",IF(AND($C792="Görüşme",$N792=""),"SONRAKİ İŞLEM EKSİK",IF($I792="","TARİH EKSİK",IF($I792&lt;TODAY(),"GECİKMİŞ",IF($I792=TODAY(),"BUGÜN",IF($I792&lt;=TODAY()+7,"7 GÜN İÇİNDE","PLANLI"))))))))</f>
        <v/>
      </c>
      <c r="R792" s="6" t="n"/>
      <c r="S792" s="6" t="n"/>
      <c r="T792" s="3" t="n"/>
      <c r="U792" s="3">
        <f>IF($E792="","",UPPER(SUBSTITUTE(SUBSTITUTE(SUBSTITUTE(SUBSTITUTE(SUBSTITUTE(SUBSTITUTE(SUBSTITUTE(SUBSTITUTE(SUBSTITUTE(SUBSTITUTE(SUBSTITUTE(SUBSTITUTE(SUBSTITUTE(SUBSTITUTE(SUBSTITUTE(SUBSTITUTE(SUBSTITUTE(SUBSTITUTE(TRIM($E792),"'",""),"İ","I"),"ı","I"),"i","I"),"Ş","S"),"ş","S"),"Ğ","G"),"ğ","G"),"Ü","U"),"ü","U"),"Ö","O"),"ö","O"),"Ç","C"),"ç","C"),".",""),",","")," ",""),"-","")))</f>
        <v/>
      </c>
    </row>
    <row r="793">
      <c r="A793" s="6" t="n"/>
      <c r="B793" s="113">
        <f>IF($E793="","","A"&amp;TEXT(ROW()-6,"00000"))</f>
        <v/>
      </c>
      <c r="C793" s="108" t="n"/>
      <c r="D793" s="113">
        <f>IF($E793="","",IFERROR(INDEX(MUSTERILER!$B$7:$B$106,MATCH($U793,MUSTERILER!$T$7:$T$106,0)),IFERROR(INDEX(MUSTERILER!$B$7:$B$106,MATCH($E793,MUSTERILER!$B$7:$B$106,0)),IFERROR(INDEX(MUSTERILER!$B$7:$B$106,MATCH($U793&amp;"*",MUSTERILER!$T$7:$T$106,0)),"TANIMSIZ MÜŞTERİ"))))</f>
        <v/>
      </c>
      <c r="E793" s="109" t="n"/>
      <c r="F793" s="109" t="n"/>
      <c r="G793" s="108" t="n"/>
      <c r="H793" s="220" t="n"/>
      <c r="I793" s="220" t="n"/>
      <c r="J793" s="108" t="n"/>
      <c r="K793" s="108" t="n"/>
      <c r="L793" s="109" t="n"/>
      <c r="M793" s="109" t="n"/>
      <c r="N793" s="109" t="n"/>
      <c r="O793" s="220" t="n"/>
      <c r="P793" s="227">
        <f>IF(OR($E793="",$I793=""),"",IF(OR($J793="Tamamlandı",$J793="İptal"),"",$I793-TODAY()))</f>
        <v/>
      </c>
      <c r="Q793" s="113">
        <f>IF($E793="","",IF($D793="TANIMSIZ MÜŞTERİ","HATA",IF(OR($J793="Tamamlandı",$J793="İptal"),"KAPALI",IF(AND($C793="Görüşme",$N793=""),"SONRAKİ İŞLEM EKSİK",IF($I793="","TARİH EKSİK",IF($I793&lt;TODAY(),"GECİKMİŞ",IF($I793=TODAY(),"BUGÜN",IF($I793&lt;=TODAY()+7,"7 GÜN İÇİNDE","PLANLI"))))))))</f>
        <v/>
      </c>
      <c r="R793" s="6" t="n"/>
      <c r="S793" s="6" t="n"/>
      <c r="T793" s="3" t="n"/>
      <c r="U793" s="3">
        <f>IF($E793="","",UPPER(SUBSTITUTE(SUBSTITUTE(SUBSTITUTE(SUBSTITUTE(SUBSTITUTE(SUBSTITUTE(SUBSTITUTE(SUBSTITUTE(SUBSTITUTE(SUBSTITUTE(SUBSTITUTE(SUBSTITUTE(SUBSTITUTE(SUBSTITUTE(SUBSTITUTE(SUBSTITUTE(SUBSTITUTE(SUBSTITUTE(TRIM($E793),"'",""),"İ","I"),"ı","I"),"i","I"),"Ş","S"),"ş","S"),"Ğ","G"),"ğ","G"),"Ü","U"),"ü","U"),"Ö","O"),"ö","O"),"Ç","C"),"ç","C"),".",""),",","")," ",""),"-","")))</f>
        <v/>
      </c>
    </row>
    <row r="794">
      <c r="A794" s="6" t="n"/>
      <c r="B794" s="113">
        <f>IF($E794="","","A"&amp;TEXT(ROW()-6,"00000"))</f>
        <v/>
      </c>
      <c r="C794" s="108" t="n"/>
      <c r="D794" s="113">
        <f>IF($E794="","",IFERROR(INDEX(MUSTERILER!$B$7:$B$106,MATCH($U794,MUSTERILER!$T$7:$T$106,0)),IFERROR(INDEX(MUSTERILER!$B$7:$B$106,MATCH($E794,MUSTERILER!$B$7:$B$106,0)),IFERROR(INDEX(MUSTERILER!$B$7:$B$106,MATCH($U794&amp;"*",MUSTERILER!$T$7:$T$106,0)),"TANIMSIZ MÜŞTERİ"))))</f>
        <v/>
      </c>
      <c r="E794" s="109" t="n"/>
      <c r="F794" s="109" t="n"/>
      <c r="G794" s="108" t="n"/>
      <c r="H794" s="220" t="n"/>
      <c r="I794" s="220" t="n"/>
      <c r="J794" s="108" t="n"/>
      <c r="K794" s="108" t="n"/>
      <c r="L794" s="109" t="n"/>
      <c r="M794" s="109" t="n"/>
      <c r="N794" s="109" t="n"/>
      <c r="O794" s="220" t="n"/>
      <c r="P794" s="227">
        <f>IF(OR($E794="",$I794=""),"",IF(OR($J794="Tamamlandı",$J794="İptal"),"",$I794-TODAY()))</f>
        <v/>
      </c>
      <c r="Q794" s="113">
        <f>IF($E794="","",IF($D794="TANIMSIZ MÜŞTERİ","HATA",IF(OR($J794="Tamamlandı",$J794="İptal"),"KAPALI",IF(AND($C794="Görüşme",$N794=""),"SONRAKİ İŞLEM EKSİK",IF($I794="","TARİH EKSİK",IF($I794&lt;TODAY(),"GECİKMİŞ",IF($I794=TODAY(),"BUGÜN",IF($I794&lt;=TODAY()+7,"7 GÜN İÇİNDE","PLANLI"))))))))</f>
        <v/>
      </c>
      <c r="R794" s="6" t="n"/>
      <c r="S794" s="6" t="n"/>
      <c r="T794" s="3" t="n"/>
      <c r="U794" s="3">
        <f>IF($E794="","",UPPER(SUBSTITUTE(SUBSTITUTE(SUBSTITUTE(SUBSTITUTE(SUBSTITUTE(SUBSTITUTE(SUBSTITUTE(SUBSTITUTE(SUBSTITUTE(SUBSTITUTE(SUBSTITUTE(SUBSTITUTE(SUBSTITUTE(SUBSTITUTE(SUBSTITUTE(SUBSTITUTE(SUBSTITUTE(SUBSTITUTE(TRIM($E794),"'",""),"İ","I"),"ı","I"),"i","I"),"Ş","S"),"ş","S"),"Ğ","G"),"ğ","G"),"Ü","U"),"ü","U"),"Ö","O"),"ö","O"),"Ç","C"),"ç","C"),".",""),",","")," ",""),"-","")))</f>
        <v/>
      </c>
    </row>
    <row r="795">
      <c r="A795" s="6" t="n"/>
      <c r="B795" s="113">
        <f>IF($E795="","","A"&amp;TEXT(ROW()-6,"00000"))</f>
        <v/>
      </c>
      <c r="C795" s="108" t="n"/>
      <c r="D795" s="113">
        <f>IF($E795="","",IFERROR(INDEX(MUSTERILER!$B$7:$B$106,MATCH($U795,MUSTERILER!$T$7:$T$106,0)),IFERROR(INDEX(MUSTERILER!$B$7:$B$106,MATCH($E795,MUSTERILER!$B$7:$B$106,0)),IFERROR(INDEX(MUSTERILER!$B$7:$B$106,MATCH($U795&amp;"*",MUSTERILER!$T$7:$T$106,0)),"TANIMSIZ MÜŞTERİ"))))</f>
        <v/>
      </c>
      <c r="E795" s="109" t="n"/>
      <c r="F795" s="109" t="n"/>
      <c r="G795" s="108" t="n"/>
      <c r="H795" s="220" t="n"/>
      <c r="I795" s="220" t="n"/>
      <c r="J795" s="108" t="n"/>
      <c r="K795" s="108" t="n"/>
      <c r="L795" s="109" t="n"/>
      <c r="M795" s="109" t="n"/>
      <c r="N795" s="109" t="n"/>
      <c r="O795" s="220" t="n"/>
      <c r="P795" s="227">
        <f>IF(OR($E795="",$I795=""),"",IF(OR($J795="Tamamlandı",$J795="İptal"),"",$I795-TODAY()))</f>
        <v/>
      </c>
      <c r="Q795" s="113">
        <f>IF($E795="","",IF($D795="TANIMSIZ MÜŞTERİ","HATA",IF(OR($J795="Tamamlandı",$J795="İptal"),"KAPALI",IF(AND($C795="Görüşme",$N795=""),"SONRAKİ İŞLEM EKSİK",IF($I795="","TARİH EKSİK",IF($I795&lt;TODAY(),"GECİKMİŞ",IF($I795=TODAY(),"BUGÜN",IF($I795&lt;=TODAY()+7,"7 GÜN İÇİNDE","PLANLI"))))))))</f>
        <v/>
      </c>
      <c r="R795" s="6" t="n"/>
      <c r="S795" s="6" t="n"/>
      <c r="T795" s="3" t="n"/>
      <c r="U795" s="3">
        <f>IF($E795="","",UPPER(SUBSTITUTE(SUBSTITUTE(SUBSTITUTE(SUBSTITUTE(SUBSTITUTE(SUBSTITUTE(SUBSTITUTE(SUBSTITUTE(SUBSTITUTE(SUBSTITUTE(SUBSTITUTE(SUBSTITUTE(SUBSTITUTE(SUBSTITUTE(SUBSTITUTE(SUBSTITUTE(SUBSTITUTE(SUBSTITUTE(TRIM($E795),"'",""),"İ","I"),"ı","I"),"i","I"),"Ş","S"),"ş","S"),"Ğ","G"),"ğ","G"),"Ü","U"),"ü","U"),"Ö","O"),"ö","O"),"Ç","C"),"ç","C"),".",""),",","")," ",""),"-","")))</f>
        <v/>
      </c>
    </row>
    <row r="796">
      <c r="A796" s="6" t="n"/>
      <c r="B796" s="113">
        <f>IF($E796="","","A"&amp;TEXT(ROW()-6,"00000"))</f>
        <v/>
      </c>
      <c r="C796" s="108" t="n"/>
      <c r="D796" s="113">
        <f>IF($E796="","",IFERROR(INDEX(MUSTERILER!$B$7:$B$106,MATCH($U796,MUSTERILER!$T$7:$T$106,0)),IFERROR(INDEX(MUSTERILER!$B$7:$B$106,MATCH($E796,MUSTERILER!$B$7:$B$106,0)),IFERROR(INDEX(MUSTERILER!$B$7:$B$106,MATCH($U796&amp;"*",MUSTERILER!$T$7:$T$106,0)),"TANIMSIZ MÜŞTERİ"))))</f>
        <v/>
      </c>
      <c r="E796" s="109" t="n"/>
      <c r="F796" s="109" t="n"/>
      <c r="G796" s="108" t="n"/>
      <c r="H796" s="220" t="n"/>
      <c r="I796" s="220" t="n"/>
      <c r="J796" s="108" t="n"/>
      <c r="K796" s="108" t="n"/>
      <c r="L796" s="109" t="n"/>
      <c r="M796" s="109" t="n"/>
      <c r="N796" s="109" t="n"/>
      <c r="O796" s="220" t="n"/>
      <c r="P796" s="227">
        <f>IF(OR($E796="",$I796=""),"",IF(OR($J796="Tamamlandı",$J796="İptal"),"",$I796-TODAY()))</f>
        <v/>
      </c>
      <c r="Q796" s="113">
        <f>IF($E796="","",IF($D796="TANIMSIZ MÜŞTERİ","HATA",IF(OR($J796="Tamamlandı",$J796="İptal"),"KAPALI",IF(AND($C796="Görüşme",$N796=""),"SONRAKİ İŞLEM EKSİK",IF($I796="","TARİH EKSİK",IF($I796&lt;TODAY(),"GECİKMİŞ",IF($I796=TODAY(),"BUGÜN",IF($I796&lt;=TODAY()+7,"7 GÜN İÇİNDE","PLANLI"))))))))</f>
        <v/>
      </c>
      <c r="R796" s="6" t="n"/>
      <c r="S796" s="6" t="n"/>
      <c r="T796" s="3" t="n"/>
      <c r="U796" s="3">
        <f>IF($E796="","",UPPER(SUBSTITUTE(SUBSTITUTE(SUBSTITUTE(SUBSTITUTE(SUBSTITUTE(SUBSTITUTE(SUBSTITUTE(SUBSTITUTE(SUBSTITUTE(SUBSTITUTE(SUBSTITUTE(SUBSTITUTE(SUBSTITUTE(SUBSTITUTE(SUBSTITUTE(SUBSTITUTE(SUBSTITUTE(SUBSTITUTE(TRIM($E796),"'",""),"İ","I"),"ı","I"),"i","I"),"Ş","S"),"ş","S"),"Ğ","G"),"ğ","G"),"Ü","U"),"ü","U"),"Ö","O"),"ö","O"),"Ç","C"),"ç","C"),".",""),",","")," ",""),"-","")))</f>
        <v/>
      </c>
    </row>
    <row r="797">
      <c r="A797" s="6" t="n"/>
      <c r="B797" s="113">
        <f>IF($E797="","","A"&amp;TEXT(ROW()-6,"00000"))</f>
        <v/>
      </c>
      <c r="C797" s="108" t="n"/>
      <c r="D797" s="113">
        <f>IF($E797="","",IFERROR(INDEX(MUSTERILER!$B$7:$B$106,MATCH($U797,MUSTERILER!$T$7:$T$106,0)),IFERROR(INDEX(MUSTERILER!$B$7:$B$106,MATCH($E797,MUSTERILER!$B$7:$B$106,0)),IFERROR(INDEX(MUSTERILER!$B$7:$B$106,MATCH($U797&amp;"*",MUSTERILER!$T$7:$T$106,0)),"TANIMSIZ MÜŞTERİ"))))</f>
        <v/>
      </c>
      <c r="E797" s="109" t="n"/>
      <c r="F797" s="109" t="n"/>
      <c r="G797" s="108" t="n"/>
      <c r="H797" s="220" t="n"/>
      <c r="I797" s="220" t="n"/>
      <c r="J797" s="108" t="n"/>
      <c r="K797" s="108" t="n"/>
      <c r="L797" s="109" t="n"/>
      <c r="M797" s="109" t="n"/>
      <c r="N797" s="109" t="n"/>
      <c r="O797" s="220" t="n"/>
      <c r="P797" s="227">
        <f>IF(OR($E797="",$I797=""),"",IF(OR($J797="Tamamlandı",$J797="İptal"),"",$I797-TODAY()))</f>
        <v/>
      </c>
      <c r="Q797" s="113">
        <f>IF($E797="","",IF($D797="TANIMSIZ MÜŞTERİ","HATA",IF(OR($J797="Tamamlandı",$J797="İptal"),"KAPALI",IF(AND($C797="Görüşme",$N797=""),"SONRAKİ İŞLEM EKSİK",IF($I797="","TARİH EKSİK",IF($I797&lt;TODAY(),"GECİKMİŞ",IF($I797=TODAY(),"BUGÜN",IF($I797&lt;=TODAY()+7,"7 GÜN İÇİNDE","PLANLI"))))))))</f>
        <v/>
      </c>
      <c r="R797" s="6" t="n"/>
      <c r="S797" s="6" t="n"/>
      <c r="T797" s="3" t="n"/>
      <c r="U797" s="3">
        <f>IF($E797="","",UPPER(SUBSTITUTE(SUBSTITUTE(SUBSTITUTE(SUBSTITUTE(SUBSTITUTE(SUBSTITUTE(SUBSTITUTE(SUBSTITUTE(SUBSTITUTE(SUBSTITUTE(SUBSTITUTE(SUBSTITUTE(SUBSTITUTE(SUBSTITUTE(SUBSTITUTE(SUBSTITUTE(SUBSTITUTE(SUBSTITUTE(TRIM($E797),"'",""),"İ","I"),"ı","I"),"i","I"),"Ş","S"),"ş","S"),"Ğ","G"),"ğ","G"),"Ü","U"),"ü","U"),"Ö","O"),"ö","O"),"Ç","C"),"ç","C"),".",""),",","")," ",""),"-","")))</f>
        <v/>
      </c>
    </row>
    <row r="798">
      <c r="A798" s="6" t="n"/>
      <c r="B798" s="113">
        <f>IF($E798="","","A"&amp;TEXT(ROW()-6,"00000"))</f>
        <v/>
      </c>
      <c r="C798" s="108" t="n"/>
      <c r="D798" s="113">
        <f>IF($E798="","",IFERROR(INDEX(MUSTERILER!$B$7:$B$106,MATCH($U798,MUSTERILER!$T$7:$T$106,0)),IFERROR(INDEX(MUSTERILER!$B$7:$B$106,MATCH($E798,MUSTERILER!$B$7:$B$106,0)),IFERROR(INDEX(MUSTERILER!$B$7:$B$106,MATCH($U798&amp;"*",MUSTERILER!$T$7:$T$106,0)),"TANIMSIZ MÜŞTERİ"))))</f>
        <v/>
      </c>
      <c r="E798" s="109" t="n"/>
      <c r="F798" s="109" t="n"/>
      <c r="G798" s="108" t="n"/>
      <c r="H798" s="220" t="n"/>
      <c r="I798" s="220" t="n"/>
      <c r="J798" s="108" t="n"/>
      <c r="K798" s="108" t="n"/>
      <c r="L798" s="109" t="n"/>
      <c r="M798" s="109" t="n"/>
      <c r="N798" s="109" t="n"/>
      <c r="O798" s="220" t="n"/>
      <c r="P798" s="227">
        <f>IF(OR($E798="",$I798=""),"",IF(OR($J798="Tamamlandı",$J798="İptal"),"",$I798-TODAY()))</f>
        <v/>
      </c>
      <c r="Q798" s="113">
        <f>IF($E798="","",IF($D798="TANIMSIZ MÜŞTERİ","HATA",IF(OR($J798="Tamamlandı",$J798="İptal"),"KAPALI",IF(AND($C798="Görüşme",$N798=""),"SONRAKİ İŞLEM EKSİK",IF($I798="","TARİH EKSİK",IF($I798&lt;TODAY(),"GECİKMİŞ",IF($I798=TODAY(),"BUGÜN",IF($I798&lt;=TODAY()+7,"7 GÜN İÇİNDE","PLANLI"))))))))</f>
        <v/>
      </c>
      <c r="R798" s="6" t="n"/>
      <c r="S798" s="6" t="n"/>
      <c r="T798" s="3" t="n"/>
      <c r="U798" s="3">
        <f>IF($E798="","",UPPER(SUBSTITUTE(SUBSTITUTE(SUBSTITUTE(SUBSTITUTE(SUBSTITUTE(SUBSTITUTE(SUBSTITUTE(SUBSTITUTE(SUBSTITUTE(SUBSTITUTE(SUBSTITUTE(SUBSTITUTE(SUBSTITUTE(SUBSTITUTE(SUBSTITUTE(SUBSTITUTE(SUBSTITUTE(SUBSTITUTE(TRIM($E798),"'",""),"İ","I"),"ı","I"),"i","I"),"Ş","S"),"ş","S"),"Ğ","G"),"ğ","G"),"Ü","U"),"ü","U"),"Ö","O"),"ö","O"),"Ç","C"),"ç","C"),".",""),",","")," ",""),"-","")))</f>
        <v/>
      </c>
    </row>
    <row r="799">
      <c r="A799" s="6" t="n"/>
      <c r="B799" s="113">
        <f>IF($E799="","","A"&amp;TEXT(ROW()-6,"00000"))</f>
        <v/>
      </c>
      <c r="C799" s="108" t="n"/>
      <c r="D799" s="113">
        <f>IF($E799="","",IFERROR(INDEX(MUSTERILER!$B$7:$B$106,MATCH($U799,MUSTERILER!$T$7:$T$106,0)),IFERROR(INDEX(MUSTERILER!$B$7:$B$106,MATCH($E799,MUSTERILER!$B$7:$B$106,0)),IFERROR(INDEX(MUSTERILER!$B$7:$B$106,MATCH($U799&amp;"*",MUSTERILER!$T$7:$T$106,0)),"TANIMSIZ MÜŞTERİ"))))</f>
        <v/>
      </c>
      <c r="E799" s="109" t="n"/>
      <c r="F799" s="109" t="n"/>
      <c r="G799" s="108" t="n"/>
      <c r="H799" s="220" t="n"/>
      <c r="I799" s="220" t="n"/>
      <c r="J799" s="108" t="n"/>
      <c r="K799" s="108" t="n"/>
      <c r="L799" s="109" t="n"/>
      <c r="M799" s="109" t="n"/>
      <c r="N799" s="109" t="n"/>
      <c r="O799" s="220" t="n"/>
      <c r="P799" s="227">
        <f>IF(OR($E799="",$I799=""),"",IF(OR($J799="Tamamlandı",$J799="İptal"),"",$I799-TODAY()))</f>
        <v/>
      </c>
      <c r="Q799" s="113">
        <f>IF($E799="","",IF($D799="TANIMSIZ MÜŞTERİ","HATA",IF(OR($J799="Tamamlandı",$J799="İptal"),"KAPALI",IF(AND($C799="Görüşme",$N799=""),"SONRAKİ İŞLEM EKSİK",IF($I799="","TARİH EKSİK",IF($I799&lt;TODAY(),"GECİKMİŞ",IF($I799=TODAY(),"BUGÜN",IF($I799&lt;=TODAY()+7,"7 GÜN İÇİNDE","PLANLI"))))))))</f>
        <v/>
      </c>
      <c r="R799" s="6" t="n"/>
      <c r="S799" s="6" t="n"/>
      <c r="T799" s="3" t="n"/>
      <c r="U799" s="3">
        <f>IF($E799="","",UPPER(SUBSTITUTE(SUBSTITUTE(SUBSTITUTE(SUBSTITUTE(SUBSTITUTE(SUBSTITUTE(SUBSTITUTE(SUBSTITUTE(SUBSTITUTE(SUBSTITUTE(SUBSTITUTE(SUBSTITUTE(SUBSTITUTE(SUBSTITUTE(SUBSTITUTE(SUBSTITUTE(SUBSTITUTE(SUBSTITUTE(TRIM($E799),"'",""),"İ","I"),"ı","I"),"i","I"),"Ş","S"),"ş","S"),"Ğ","G"),"ğ","G"),"Ü","U"),"ü","U"),"Ö","O"),"ö","O"),"Ç","C"),"ç","C"),".",""),",","")," ",""),"-","")))</f>
        <v/>
      </c>
    </row>
    <row r="800">
      <c r="A800" s="6" t="n"/>
      <c r="B800" s="113">
        <f>IF($E800="","","A"&amp;TEXT(ROW()-6,"00000"))</f>
        <v/>
      </c>
      <c r="C800" s="108" t="n"/>
      <c r="D800" s="113">
        <f>IF($E800="","",IFERROR(INDEX(MUSTERILER!$B$7:$B$106,MATCH($U800,MUSTERILER!$T$7:$T$106,0)),IFERROR(INDEX(MUSTERILER!$B$7:$B$106,MATCH($E800,MUSTERILER!$B$7:$B$106,0)),IFERROR(INDEX(MUSTERILER!$B$7:$B$106,MATCH($U800&amp;"*",MUSTERILER!$T$7:$T$106,0)),"TANIMSIZ MÜŞTERİ"))))</f>
        <v/>
      </c>
      <c r="E800" s="109" t="n"/>
      <c r="F800" s="109" t="n"/>
      <c r="G800" s="108" t="n"/>
      <c r="H800" s="220" t="n"/>
      <c r="I800" s="220" t="n"/>
      <c r="J800" s="108" t="n"/>
      <c r="K800" s="108" t="n"/>
      <c r="L800" s="109" t="n"/>
      <c r="M800" s="109" t="n"/>
      <c r="N800" s="109" t="n"/>
      <c r="O800" s="220" t="n"/>
      <c r="P800" s="227">
        <f>IF(OR($E800="",$I800=""),"",IF(OR($J800="Tamamlandı",$J800="İptal"),"",$I800-TODAY()))</f>
        <v/>
      </c>
      <c r="Q800" s="113">
        <f>IF($E800="","",IF($D800="TANIMSIZ MÜŞTERİ","HATA",IF(OR($J800="Tamamlandı",$J800="İptal"),"KAPALI",IF(AND($C800="Görüşme",$N800=""),"SONRAKİ İŞLEM EKSİK",IF($I800="","TARİH EKSİK",IF($I800&lt;TODAY(),"GECİKMİŞ",IF($I800=TODAY(),"BUGÜN",IF($I800&lt;=TODAY()+7,"7 GÜN İÇİNDE","PLANLI"))))))))</f>
        <v/>
      </c>
      <c r="R800" s="6" t="n"/>
      <c r="S800" s="6" t="n"/>
      <c r="T800" s="3" t="n"/>
      <c r="U800" s="3">
        <f>IF($E800="","",UPPER(SUBSTITUTE(SUBSTITUTE(SUBSTITUTE(SUBSTITUTE(SUBSTITUTE(SUBSTITUTE(SUBSTITUTE(SUBSTITUTE(SUBSTITUTE(SUBSTITUTE(SUBSTITUTE(SUBSTITUTE(SUBSTITUTE(SUBSTITUTE(SUBSTITUTE(SUBSTITUTE(SUBSTITUTE(SUBSTITUTE(TRIM($E800),"'",""),"İ","I"),"ı","I"),"i","I"),"Ş","S"),"ş","S"),"Ğ","G"),"ğ","G"),"Ü","U"),"ü","U"),"Ö","O"),"ö","O"),"Ç","C"),"ç","C"),".",""),",","")," ",""),"-","")))</f>
        <v/>
      </c>
    </row>
    <row r="801">
      <c r="A801" s="6" t="n"/>
      <c r="B801" s="113">
        <f>IF($E801="","","A"&amp;TEXT(ROW()-6,"00000"))</f>
        <v/>
      </c>
      <c r="C801" s="108" t="n"/>
      <c r="D801" s="113">
        <f>IF($E801="","",IFERROR(INDEX(MUSTERILER!$B$7:$B$106,MATCH($U801,MUSTERILER!$T$7:$T$106,0)),IFERROR(INDEX(MUSTERILER!$B$7:$B$106,MATCH($E801,MUSTERILER!$B$7:$B$106,0)),IFERROR(INDEX(MUSTERILER!$B$7:$B$106,MATCH($U801&amp;"*",MUSTERILER!$T$7:$T$106,0)),"TANIMSIZ MÜŞTERİ"))))</f>
        <v/>
      </c>
      <c r="E801" s="109" t="n"/>
      <c r="F801" s="109" t="n"/>
      <c r="G801" s="108" t="n"/>
      <c r="H801" s="220" t="n"/>
      <c r="I801" s="220" t="n"/>
      <c r="J801" s="108" t="n"/>
      <c r="K801" s="108" t="n"/>
      <c r="L801" s="109" t="n"/>
      <c r="M801" s="109" t="n"/>
      <c r="N801" s="109" t="n"/>
      <c r="O801" s="220" t="n"/>
      <c r="P801" s="227">
        <f>IF(OR($E801="",$I801=""),"",IF(OR($J801="Tamamlandı",$J801="İptal"),"",$I801-TODAY()))</f>
        <v/>
      </c>
      <c r="Q801" s="113">
        <f>IF($E801="","",IF($D801="TANIMSIZ MÜŞTERİ","HATA",IF(OR($J801="Tamamlandı",$J801="İptal"),"KAPALI",IF(AND($C801="Görüşme",$N801=""),"SONRAKİ İŞLEM EKSİK",IF($I801="","TARİH EKSİK",IF($I801&lt;TODAY(),"GECİKMİŞ",IF($I801=TODAY(),"BUGÜN",IF($I801&lt;=TODAY()+7,"7 GÜN İÇİNDE","PLANLI"))))))))</f>
        <v/>
      </c>
      <c r="R801" s="6" t="n"/>
      <c r="S801" s="6" t="n"/>
      <c r="T801" s="3" t="n"/>
      <c r="U801" s="3">
        <f>IF($E801="","",UPPER(SUBSTITUTE(SUBSTITUTE(SUBSTITUTE(SUBSTITUTE(SUBSTITUTE(SUBSTITUTE(SUBSTITUTE(SUBSTITUTE(SUBSTITUTE(SUBSTITUTE(SUBSTITUTE(SUBSTITUTE(SUBSTITUTE(SUBSTITUTE(SUBSTITUTE(SUBSTITUTE(SUBSTITUTE(SUBSTITUTE(TRIM($E801),"'",""),"İ","I"),"ı","I"),"i","I"),"Ş","S"),"ş","S"),"Ğ","G"),"ğ","G"),"Ü","U"),"ü","U"),"Ö","O"),"ö","O"),"Ç","C"),"ç","C"),".",""),",","")," ",""),"-","")))</f>
        <v/>
      </c>
    </row>
    <row r="802">
      <c r="A802" s="6" t="n"/>
      <c r="B802" s="113">
        <f>IF($E802="","","A"&amp;TEXT(ROW()-6,"00000"))</f>
        <v/>
      </c>
      <c r="C802" s="108" t="n"/>
      <c r="D802" s="113">
        <f>IF($E802="","",IFERROR(INDEX(MUSTERILER!$B$7:$B$106,MATCH($U802,MUSTERILER!$T$7:$T$106,0)),IFERROR(INDEX(MUSTERILER!$B$7:$B$106,MATCH($E802,MUSTERILER!$B$7:$B$106,0)),IFERROR(INDEX(MUSTERILER!$B$7:$B$106,MATCH($U802&amp;"*",MUSTERILER!$T$7:$T$106,0)),"TANIMSIZ MÜŞTERİ"))))</f>
        <v/>
      </c>
      <c r="E802" s="109" t="n"/>
      <c r="F802" s="109" t="n"/>
      <c r="G802" s="108" t="n"/>
      <c r="H802" s="220" t="n"/>
      <c r="I802" s="220" t="n"/>
      <c r="J802" s="108" t="n"/>
      <c r="K802" s="108" t="n"/>
      <c r="L802" s="109" t="n"/>
      <c r="M802" s="109" t="n"/>
      <c r="N802" s="109" t="n"/>
      <c r="O802" s="220" t="n"/>
      <c r="P802" s="227">
        <f>IF(OR($E802="",$I802=""),"",IF(OR($J802="Tamamlandı",$J802="İptal"),"",$I802-TODAY()))</f>
        <v/>
      </c>
      <c r="Q802" s="113">
        <f>IF($E802="","",IF($D802="TANIMSIZ MÜŞTERİ","HATA",IF(OR($J802="Tamamlandı",$J802="İptal"),"KAPALI",IF(AND($C802="Görüşme",$N802=""),"SONRAKİ İŞLEM EKSİK",IF($I802="","TARİH EKSİK",IF($I802&lt;TODAY(),"GECİKMİŞ",IF($I802=TODAY(),"BUGÜN",IF($I802&lt;=TODAY()+7,"7 GÜN İÇİNDE","PLANLI"))))))))</f>
        <v/>
      </c>
      <c r="R802" s="6" t="n"/>
      <c r="S802" s="6" t="n"/>
      <c r="T802" s="3" t="n"/>
      <c r="U802" s="3">
        <f>IF($E802="","",UPPER(SUBSTITUTE(SUBSTITUTE(SUBSTITUTE(SUBSTITUTE(SUBSTITUTE(SUBSTITUTE(SUBSTITUTE(SUBSTITUTE(SUBSTITUTE(SUBSTITUTE(SUBSTITUTE(SUBSTITUTE(SUBSTITUTE(SUBSTITUTE(SUBSTITUTE(SUBSTITUTE(SUBSTITUTE(SUBSTITUTE(TRIM($E802),"'",""),"İ","I"),"ı","I"),"i","I"),"Ş","S"),"ş","S"),"Ğ","G"),"ğ","G"),"Ü","U"),"ü","U"),"Ö","O"),"ö","O"),"Ç","C"),"ç","C"),".",""),",","")," ",""),"-","")))</f>
        <v/>
      </c>
    </row>
    <row r="803">
      <c r="A803" s="6" t="n"/>
      <c r="B803" s="113">
        <f>IF($E803="","","A"&amp;TEXT(ROW()-6,"00000"))</f>
        <v/>
      </c>
      <c r="C803" s="108" t="n"/>
      <c r="D803" s="113">
        <f>IF($E803="","",IFERROR(INDEX(MUSTERILER!$B$7:$B$106,MATCH($U803,MUSTERILER!$T$7:$T$106,0)),IFERROR(INDEX(MUSTERILER!$B$7:$B$106,MATCH($E803,MUSTERILER!$B$7:$B$106,0)),IFERROR(INDEX(MUSTERILER!$B$7:$B$106,MATCH($U803&amp;"*",MUSTERILER!$T$7:$T$106,0)),"TANIMSIZ MÜŞTERİ"))))</f>
        <v/>
      </c>
      <c r="E803" s="109" t="n"/>
      <c r="F803" s="109" t="n"/>
      <c r="G803" s="108" t="n"/>
      <c r="H803" s="220" t="n"/>
      <c r="I803" s="220" t="n"/>
      <c r="J803" s="108" t="n"/>
      <c r="K803" s="108" t="n"/>
      <c r="L803" s="109" t="n"/>
      <c r="M803" s="109" t="n"/>
      <c r="N803" s="109" t="n"/>
      <c r="O803" s="220" t="n"/>
      <c r="P803" s="227">
        <f>IF(OR($E803="",$I803=""),"",IF(OR($J803="Tamamlandı",$J803="İptal"),"",$I803-TODAY()))</f>
        <v/>
      </c>
      <c r="Q803" s="113">
        <f>IF($E803="","",IF($D803="TANIMSIZ MÜŞTERİ","HATA",IF(OR($J803="Tamamlandı",$J803="İptal"),"KAPALI",IF(AND($C803="Görüşme",$N803=""),"SONRAKİ İŞLEM EKSİK",IF($I803="","TARİH EKSİK",IF($I803&lt;TODAY(),"GECİKMİŞ",IF($I803=TODAY(),"BUGÜN",IF($I803&lt;=TODAY()+7,"7 GÜN İÇİNDE","PLANLI"))))))))</f>
        <v/>
      </c>
      <c r="R803" s="6" t="n"/>
      <c r="S803" s="6" t="n"/>
      <c r="T803" s="3" t="n"/>
      <c r="U803" s="3">
        <f>IF($E803="","",UPPER(SUBSTITUTE(SUBSTITUTE(SUBSTITUTE(SUBSTITUTE(SUBSTITUTE(SUBSTITUTE(SUBSTITUTE(SUBSTITUTE(SUBSTITUTE(SUBSTITUTE(SUBSTITUTE(SUBSTITUTE(SUBSTITUTE(SUBSTITUTE(SUBSTITUTE(SUBSTITUTE(SUBSTITUTE(SUBSTITUTE(TRIM($E803),"'",""),"İ","I"),"ı","I"),"i","I"),"Ş","S"),"ş","S"),"Ğ","G"),"ğ","G"),"Ü","U"),"ü","U"),"Ö","O"),"ö","O"),"Ç","C"),"ç","C"),".",""),",","")," ",""),"-","")))</f>
        <v/>
      </c>
    </row>
    <row r="804">
      <c r="A804" s="6" t="n"/>
      <c r="B804" s="113">
        <f>IF($E804="","","A"&amp;TEXT(ROW()-6,"00000"))</f>
        <v/>
      </c>
      <c r="C804" s="108" t="n"/>
      <c r="D804" s="113">
        <f>IF($E804="","",IFERROR(INDEX(MUSTERILER!$B$7:$B$106,MATCH($U804,MUSTERILER!$T$7:$T$106,0)),IFERROR(INDEX(MUSTERILER!$B$7:$B$106,MATCH($E804,MUSTERILER!$B$7:$B$106,0)),IFERROR(INDEX(MUSTERILER!$B$7:$B$106,MATCH($U804&amp;"*",MUSTERILER!$T$7:$T$106,0)),"TANIMSIZ MÜŞTERİ"))))</f>
        <v/>
      </c>
      <c r="E804" s="109" t="n"/>
      <c r="F804" s="109" t="n"/>
      <c r="G804" s="108" t="n"/>
      <c r="H804" s="220" t="n"/>
      <c r="I804" s="220" t="n"/>
      <c r="J804" s="108" t="n"/>
      <c r="K804" s="108" t="n"/>
      <c r="L804" s="109" t="n"/>
      <c r="M804" s="109" t="n"/>
      <c r="N804" s="109" t="n"/>
      <c r="O804" s="220" t="n"/>
      <c r="P804" s="227">
        <f>IF(OR($E804="",$I804=""),"",IF(OR($J804="Tamamlandı",$J804="İptal"),"",$I804-TODAY()))</f>
        <v/>
      </c>
      <c r="Q804" s="113">
        <f>IF($E804="","",IF($D804="TANIMSIZ MÜŞTERİ","HATA",IF(OR($J804="Tamamlandı",$J804="İptal"),"KAPALI",IF(AND($C804="Görüşme",$N804=""),"SONRAKİ İŞLEM EKSİK",IF($I804="","TARİH EKSİK",IF($I804&lt;TODAY(),"GECİKMİŞ",IF($I804=TODAY(),"BUGÜN",IF($I804&lt;=TODAY()+7,"7 GÜN İÇİNDE","PLANLI"))))))))</f>
        <v/>
      </c>
      <c r="R804" s="6" t="n"/>
      <c r="S804" s="6" t="n"/>
      <c r="T804" s="3" t="n"/>
      <c r="U804" s="3">
        <f>IF($E804="","",UPPER(SUBSTITUTE(SUBSTITUTE(SUBSTITUTE(SUBSTITUTE(SUBSTITUTE(SUBSTITUTE(SUBSTITUTE(SUBSTITUTE(SUBSTITUTE(SUBSTITUTE(SUBSTITUTE(SUBSTITUTE(SUBSTITUTE(SUBSTITUTE(SUBSTITUTE(SUBSTITUTE(SUBSTITUTE(SUBSTITUTE(TRIM($E804),"'",""),"İ","I"),"ı","I"),"i","I"),"Ş","S"),"ş","S"),"Ğ","G"),"ğ","G"),"Ü","U"),"ü","U"),"Ö","O"),"ö","O"),"Ç","C"),"ç","C"),".",""),",","")," ",""),"-","")))</f>
        <v/>
      </c>
    </row>
    <row r="805">
      <c r="A805" s="6" t="n"/>
      <c r="B805" s="113">
        <f>IF($E805="","","A"&amp;TEXT(ROW()-6,"00000"))</f>
        <v/>
      </c>
      <c r="C805" s="108" t="n"/>
      <c r="D805" s="113">
        <f>IF($E805="","",IFERROR(INDEX(MUSTERILER!$B$7:$B$106,MATCH($U805,MUSTERILER!$T$7:$T$106,0)),IFERROR(INDEX(MUSTERILER!$B$7:$B$106,MATCH($E805,MUSTERILER!$B$7:$B$106,0)),IFERROR(INDEX(MUSTERILER!$B$7:$B$106,MATCH($U805&amp;"*",MUSTERILER!$T$7:$T$106,0)),"TANIMSIZ MÜŞTERİ"))))</f>
        <v/>
      </c>
      <c r="E805" s="109" t="n"/>
      <c r="F805" s="109" t="n"/>
      <c r="G805" s="108" t="n"/>
      <c r="H805" s="220" t="n"/>
      <c r="I805" s="220" t="n"/>
      <c r="J805" s="108" t="n"/>
      <c r="K805" s="108" t="n"/>
      <c r="L805" s="109" t="n"/>
      <c r="M805" s="109" t="n"/>
      <c r="N805" s="109" t="n"/>
      <c r="O805" s="220" t="n"/>
      <c r="P805" s="227">
        <f>IF(OR($E805="",$I805=""),"",IF(OR($J805="Tamamlandı",$J805="İptal"),"",$I805-TODAY()))</f>
        <v/>
      </c>
      <c r="Q805" s="113">
        <f>IF($E805="","",IF($D805="TANIMSIZ MÜŞTERİ","HATA",IF(OR($J805="Tamamlandı",$J805="İptal"),"KAPALI",IF(AND($C805="Görüşme",$N805=""),"SONRAKİ İŞLEM EKSİK",IF($I805="","TARİH EKSİK",IF($I805&lt;TODAY(),"GECİKMİŞ",IF($I805=TODAY(),"BUGÜN",IF($I805&lt;=TODAY()+7,"7 GÜN İÇİNDE","PLANLI"))))))))</f>
        <v/>
      </c>
      <c r="R805" s="6" t="n"/>
      <c r="S805" s="6" t="n"/>
      <c r="T805" s="3" t="n"/>
      <c r="U805" s="3">
        <f>IF($E805="","",UPPER(SUBSTITUTE(SUBSTITUTE(SUBSTITUTE(SUBSTITUTE(SUBSTITUTE(SUBSTITUTE(SUBSTITUTE(SUBSTITUTE(SUBSTITUTE(SUBSTITUTE(SUBSTITUTE(SUBSTITUTE(SUBSTITUTE(SUBSTITUTE(SUBSTITUTE(SUBSTITUTE(SUBSTITUTE(SUBSTITUTE(TRIM($E805),"'",""),"İ","I"),"ı","I"),"i","I"),"Ş","S"),"ş","S"),"Ğ","G"),"ğ","G"),"Ü","U"),"ü","U"),"Ö","O"),"ö","O"),"Ç","C"),"ç","C"),".",""),",","")," ",""),"-","")))</f>
        <v/>
      </c>
    </row>
    <row r="806">
      <c r="A806" s="6" t="n"/>
      <c r="B806" s="113">
        <f>IF($E806="","","A"&amp;TEXT(ROW()-6,"00000"))</f>
        <v/>
      </c>
      <c r="C806" s="108" t="n"/>
      <c r="D806" s="113">
        <f>IF($E806="","",IFERROR(INDEX(MUSTERILER!$B$7:$B$106,MATCH($U806,MUSTERILER!$T$7:$T$106,0)),IFERROR(INDEX(MUSTERILER!$B$7:$B$106,MATCH($E806,MUSTERILER!$B$7:$B$106,0)),IFERROR(INDEX(MUSTERILER!$B$7:$B$106,MATCH($U806&amp;"*",MUSTERILER!$T$7:$T$106,0)),"TANIMSIZ MÜŞTERİ"))))</f>
        <v/>
      </c>
      <c r="E806" s="109" t="n"/>
      <c r="F806" s="109" t="n"/>
      <c r="G806" s="108" t="n"/>
      <c r="H806" s="220" t="n"/>
      <c r="I806" s="220" t="n"/>
      <c r="J806" s="108" t="n"/>
      <c r="K806" s="108" t="n"/>
      <c r="L806" s="109" t="n"/>
      <c r="M806" s="109" t="n"/>
      <c r="N806" s="109" t="n"/>
      <c r="O806" s="220" t="n"/>
      <c r="P806" s="227">
        <f>IF(OR($E806="",$I806=""),"",IF(OR($J806="Tamamlandı",$J806="İptal"),"",$I806-TODAY()))</f>
        <v/>
      </c>
      <c r="Q806" s="113">
        <f>IF($E806="","",IF($D806="TANIMSIZ MÜŞTERİ","HATA",IF(OR($J806="Tamamlandı",$J806="İptal"),"KAPALI",IF(AND($C806="Görüşme",$N806=""),"SONRAKİ İŞLEM EKSİK",IF($I806="","TARİH EKSİK",IF($I806&lt;TODAY(),"GECİKMİŞ",IF($I806=TODAY(),"BUGÜN",IF($I806&lt;=TODAY()+7,"7 GÜN İÇİNDE","PLANLI"))))))))</f>
        <v/>
      </c>
      <c r="R806" s="6" t="n"/>
      <c r="S806" s="6" t="n"/>
      <c r="T806" s="3" t="n"/>
      <c r="U806" s="3">
        <f>IF($E806="","",UPPER(SUBSTITUTE(SUBSTITUTE(SUBSTITUTE(SUBSTITUTE(SUBSTITUTE(SUBSTITUTE(SUBSTITUTE(SUBSTITUTE(SUBSTITUTE(SUBSTITUTE(SUBSTITUTE(SUBSTITUTE(SUBSTITUTE(SUBSTITUTE(SUBSTITUTE(SUBSTITUTE(SUBSTITUTE(SUBSTITUTE(TRIM($E806),"'",""),"İ","I"),"ı","I"),"i","I"),"Ş","S"),"ş","S"),"Ğ","G"),"ğ","G"),"Ü","U"),"ü","U"),"Ö","O"),"ö","O"),"Ç","C"),"ç","C"),".",""),",","")," ",""),"-","")))</f>
        <v/>
      </c>
    </row>
    <row r="807">
      <c r="A807" s="6" t="n"/>
      <c r="B807" s="113">
        <f>IF($E807="","","A"&amp;TEXT(ROW()-6,"00000"))</f>
        <v/>
      </c>
      <c r="C807" s="108" t="n"/>
      <c r="D807" s="113">
        <f>IF($E807="","",IFERROR(INDEX(MUSTERILER!$B$7:$B$106,MATCH($U807,MUSTERILER!$T$7:$T$106,0)),IFERROR(INDEX(MUSTERILER!$B$7:$B$106,MATCH($E807,MUSTERILER!$B$7:$B$106,0)),IFERROR(INDEX(MUSTERILER!$B$7:$B$106,MATCH($U807&amp;"*",MUSTERILER!$T$7:$T$106,0)),"TANIMSIZ MÜŞTERİ"))))</f>
        <v/>
      </c>
      <c r="E807" s="109" t="n"/>
      <c r="F807" s="109" t="n"/>
      <c r="G807" s="108" t="n"/>
      <c r="H807" s="220" t="n"/>
      <c r="I807" s="220" t="n"/>
      <c r="J807" s="108" t="n"/>
      <c r="K807" s="108" t="n"/>
      <c r="L807" s="109" t="n"/>
      <c r="M807" s="109" t="n"/>
      <c r="N807" s="109" t="n"/>
      <c r="O807" s="220" t="n"/>
      <c r="P807" s="227">
        <f>IF(OR($E807="",$I807=""),"",IF(OR($J807="Tamamlandı",$J807="İptal"),"",$I807-TODAY()))</f>
        <v/>
      </c>
      <c r="Q807" s="113">
        <f>IF($E807="","",IF($D807="TANIMSIZ MÜŞTERİ","HATA",IF(OR($J807="Tamamlandı",$J807="İptal"),"KAPALI",IF(AND($C807="Görüşme",$N807=""),"SONRAKİ İŞLEM EKSİK",IF($I807="","TARİH EKSİK",IF($I807&lt;TODAY(),"GECİKMİŞ",IF($I807=TODAY(),"BUGÜN",IF($I807&lt;=TODAY()+7,"7 GÜN İÇİNDE","PLANLI"))))))))</f>
        <v/>
      </c>
      <c r="R807" s="6" t="n"/>
      <c r="S807" s="6" t="n"/>
      <c r="T807" s="3" t="n"/>
      <c r="U807" s="3">
        <f>IF($E807="","",UPPER(SUBSTITUTE(SUBSTITUTE(SUBSTITUTE(SUBSTITUTE(SUBSTITUTE(SUBSTITUTE(SUBSTITUTE(SUBSTITUTE(SUBSTITUTE(SUBSTITUTE(SUBSTITUTE(SUBSTITUTE(SUBSTITUTE(SUBSTITUTE(SUBSTITUTE(SUBSTITUTE(SUBSTITUTE(SUBSTITUTE(TRIM($E807),"'",""),"İ","I"),"ı","I"),"i","I"),"Ş","S"),"ş","S"),"Ğ","G"),"ğ","G"),"Ü","U"),"ü","U"),"Ö","O"),"ö","O"),"Ç","C"),"ç","C"),".",""),",","")," ",""),"-","")))</f>
        <v/>
      </c>
    </row>
    <row r="808">
      <c r="A808" s="6" t="n"/>
      <c r="B808" s="113">
        <f>IF($E808="","","A"&amp;TEXT(ROW()-6,"00000"))</f>
        <v/>
      </c>
      <c r="C808" s="108" t="n"/>
      <c r="D808" s="113">
        <f>IF($E808="","",IFERROR(INDEX(MUSTERILER!$B$7:$B$106,MATCH($U808,MUSTERILER!$T$7:$T$106,0)),IFERROR(INDEX(MUSTERILER!$B$7:$B$106,MATCH($E808,MUSTERILER!$B$7:$B$106,0)),IFERROR(INDEX(MUSTERILER!$B$7:$B$106,MATCH($U808&amp;"*",MUSTERILER!$T$7:$T$106,0)),"TANIMSIZ MÜŞTERİ"))))</f>
        <v/>
      </c>
      <c r="E808" s="109" t="n"/>
      <c r="F808" s="109" t="n"/>
      <c r="G808" s="108" t="n"/>
      <c r="H808" s="220" t="n"/>
      <c r="I808" s="220" t="n"/>
      <c r="J808" s="108" t="n"/>
      <c r="K808" s="108" t="n"/>
      <c r="L808" s="109" t="n"/>
      <c r="M808" s="109" t="n"/>
      <c r="N808" s="109" t="n"/>
      <c r="O808" s="220" t="n"/>
      <c r="P808" s="227">
        <f>IF(OR($E808="",$I808=""),"",IF(OR($J808="Tamamlandı",$J808="İptal"),"",$I808-TODAY()))</f>
        <v/>
      </c>
      <c r="Q808" s="113">
        <f>IF($E808="","",IF($D808="TANIMSIZ MÜŞTERİ","HATA",IF(OR($J808="Tamamlandı",$J808="İptal"),"KAPALI",IF(AND($C808="Görüşme",$N808=""),"SONRAKİ İŞLEM EKSİK",IF($I808="","TARİH EKSİK",IF($I808&lt;TODAY(),"GECİKMİŞ",IF($I808=TODAY(),"BUGÜN",IF($I808&lt;=TODAY()+7,"7 GÜN İÇİNDE","PLANLI"))))))))</f>
        <v/>
      </c>
      <c r="R808" s="6" t="n"/>
      <c r="S808" s="6" t="n"/>
      <c r="T808" s="3" t="n"/>
      <c r="U808" s="3">
        <f>IF($E808="","",UPPER(SUBSTITUTE(SUBSTITUTE(SUBSTITUTE(SUBSTITUTE(SUBSTITUTE(SUBSTITUTE(SUBSTITUTE(SUBSTITUTE(SUBSTITUTE(SUBSTITUTE(SUBSTITUTE(SUBSTITUTE(SUBSTITUTE(SUBSTITUTE(SUBSTITUTE(SUBSTITUTE(SUBSTITUTE(SUBSTITUTE(TRIM($E808),"'",""),"İ","I"),"ı","I"),"i","I"),"Ş","S"),"ş","S"),"Ğ","G"),"ğ","G"),"Ü","U"),"ü","U"),"Ö","O"),"ö","O"),"Ç","C"),"ç","C"),".",""),",","")," ",""),"-","")))</f>
        <v/>
      </c>
    </row>
    <row r="809">
      <c r="A809" s="6" t="n"/>
      <c r="B809" s="113">
        <f>IF($E809="","","A"&amp;TEXT(ROW()-6,"00000"))</f>
        <v/>
      </c>
      <c r="C809" s="108" t="n"/>
      <c r="D809" s="113">
        <f>IF($E809="","",IFERROR(INDEX(MUSTERILER!$B$7:$B$106,MATCH($U809,MUSTERILER!$T$7:$T$106,0)),IFERROR(INDEX(MUSTERILER!$B$7:$B$106,MATCH($E809,MUSTERILER!$B$7:$B$106,0)),IFERROR(INDEX(MUSTERILER!$B$7:$B$106,MATCH($U809&amp;"*",MUSTERILER!$T$7:$T$106,0)),"TANIMSIZ MÜŞTERİ"))))</f>
        <v/>
      </c>
      <c r="E809" s="109" t="n"/>
      <c r="F809" s="109" t="n"/>
      <c r="G809" s="108" t="n"/>
      <c r="H809" s="220" t="n"/>
      <c r="I809" s="220" t="n"/>
      <c r="J809" s="108" t="n"/>
      <c r="K809" s="108" t="n"/>
      <c r="L809" s="109" t="n"/>
      <c r="M809" s="109" t="n"/>
      <c r="N809" s="109" t="n"/>
      <c r="O809" s="220" t="n"/>
      <c r="P809" s="227">
        <f>IF(OR($E809="",$I809=""),"",IF(OR($J809="Tamamlandı",$J809="İptal"),"",$I809-TODAY()))</f>
        <v/>
      </c>
      <c r="Q809" s="113">
        <f>IF($E809="","",IF($D809="TANIMSIZ MÜŞTERİ","HATA",IF(OR($J809="Tamamlandı",$J809="İptal"),"KAPALI",IF(AND($C809="Görüşme",$N809=""),"SONRAKİ İŞLEM EKSİK",IF($I809="","TARİH EKSİK",IF($I809&lt;TODAY(),"GECİKMİŞ",IF($I809=TODAY(),"BUGÜN",IF($I809&lt;=TODAY()+7,"7 GÜN İÇİNDE","PLANLI"))))))))</f>
        <v/>
      </c>
      <c r="R809" s="6" t="n"/>
      <c r="S809" s="6" t="n"/>
      <c r="T809" s="3" t="n"/>
      <c r="U809" s="3">
        <f>IF($E809="","",UPPER(SUBSTITUTE(SUBSTITUTE(SUBSTITUTE(SUBSTITUTE(SUBSTITUTE(SUBSTITUTE(SUBSTITUTE(SUBSTITUTE(SUBSTITUTE(SUBSTITUTE(SUBSTITUTE(SUBSTITUTE(SUBSTITUTE(SUBSTITUTE(SUBSTITUTE(SUBSTITUTE(SUBSTITUTE(SUBSTITUTE(TRIM($E809),"'",""),"İ","I"),"ı","I"),"i","I"),"Ş","S"),"ş","S"),"Ğ","G"),"ğ","G"),"Ü","U"),"ü","U"),"Ö","O"),"ö","O"),"Ç","C"),"ç","C"),".",""),",","")," ",""),"-","")))</f>
        <v/>
      </c>
    </row>
    <row r="810">
      <c r="A810" s="6" t="n"/>
      <c r="B810" s="113">
        <f>IF($E810="","","A"&amp;TEXT(ROW()-6,"00000"))</f>
        <v/>
      </c>
      <c r="C810" s="108" t="n"/>
      <c r="D810" s="113">
        <f>IF($E810="","",IFERROR(INDEX(MUSTERILER!$B$7:$B$106,MATCH($U810,MUSTERILER!$T$7:$T$106,0)),IFERROR(INDEX(MUSTERILER!$B$7:$B$106,MATCH($E810,MUSTERILER!$B$7:$B$106,0)),IFERROR(INDEX(MUSTERILER!$B$7:$B$106,MATCH($U810&amp;"*",MUSTERILER!$T$7:$T$106,0)),"TANIMSIZ MÜŞTERİ"))))</f>
        <v/>
      </c>
      <c r="E810" s="109" t="n"/>
      <c r="F810" s="109" t="n"/>
      <c r="G810" s="108" t="n"/>
      <c r="H810" s="220" t="n"/>
      <c r="I810" s="220" t="n"/>
      <c r="J810" s="108" t="n"/>
      <c r="K810" s="108" t="n"/>
      <c r="L810" s="109" t="n"/>
      <c r="M810" s="109" t="n"/>
      <c r="N810" s="109" t="n"/>
      <c r="O810" s="220" t="n"/>
      <c r="P810" s="227">
        <f>IF(OR($E810="",$I810=""),"",IF(OR($J810="Tamamlandı",$J810="İptal"),"",$I810-TODAY()))</f>
        <v/>
      </c>
      <c r="Q810" s="113">
        <f>IF($E810="","",IF($D810="TANIMSIZ MÜŞTERİ","HATA",IF(OR($J810="Tamamlandı",$J810="İptal"),"KAPALI",IF(AND($C810="Görüşme",$N810=""),"SONRAKİ İŞLEM EKSİK",IF($I810="","TARİH EKSİK",IF($I810&lt;TODAY(),"GECİKMİŞ",IF($I810=TODAY(),"BUGÜN",IF($I810&lt;=TODAY()+7,"7 GÜN İÇİNDE","PLANLI"))))))))</f>
        <v/>
      </c>
      <c r="R810" s="6" t="n"/>
      <c r="S810" s="6" t="n"/>
      <c r="T810" s="3" t="n"/>
      <c r="U810" s="3">
        <f>IF($E810="","",UPPER(SUBSTITUTE(SUBSTITUTE(SUBSTITUTE(SUBSTITUTE(SUBSTITUTE(SUBSTITUTE(SUBSTITUTE(SUBSTITUTE(SUBSTITUTE(SUBSTITUTE(SUBSTITUTE(SUBSTITUTE(SUBSTITUTE(SUBSTITUTE(SUBSTITUTE(SUBSTITUTE(SUBSTITUTE(SUBSTITUTE(TRIM($E810),"'",""),"İ","I"),"ı","I"),"i","I"),"Ş","S"),"ş","S"),"Ğ","G"),"ğ","G"),"Ü","U"),"ü","U"),"Ö","O"),"ö","O"),"Ç","C"),"ç","C"),".",""),",","")," ",""),"-","")))</f>
        <v/>
      </c>
    </row>
    <row r="811">
      <c r="A811" s="6" t="n"/>
      <c r="B811" s="113">
        <f>IF($E811="","","A"&amp;TEXT(ROW()-6,"00000"))</f>
        <v/>
      </c>
      <c r="C811" s="108" t="n"/>
      <c r="D811" s="113">
        <f>IF($E811="","",IFERROR(INDEX(MUSTERILER!$B$7:$B$106,MATCH($U811,MUSTERILER!$T$7:$T$106,0)),IFERROR(INDEX(MUSTERILER!$B$7:$B$106,MATCH($E811,MUSTERILER!$B$7:$B$106,0)),IFERROR(INDEX(MUSTERILER!$B$7:$B$106,MATCH($U811&amp;"*",MUSTERILER!$T$7:$T$106,0)),"TANIMSIZ MÜŞTERİ"))))</f>
        <v/>
      </c>
      <c r="E811" s="109" t="n"/>
      <c r="F811" s="109" t="n"/>
      <c r="G811" s="108" t="n"/>
      <c r="H811" s="220" t="n"/>
      <c r="I811" s="220" t="n"/>
      <c r="J811" s="108" t="n"/>
      <c r="K811" s="108" t="n"/>
      <c r="L811" s="109" t="n"/>
      <c r="M811" s="109" t="n"/>
      <c r="N811" s="109" t="n"/>
      <c r="O811" s="220" t="n"/>
      <c r="P811" s="227">
        <f>IF(OR($E811="",$I811=""),"",IF(OR($J811="Tamamlandı",$J811="İptal"),"",$I811-TODAY()))</f>
        <v/>
      </c>
      <c r="Q811" s="113">
        <f>IF($E811="","",IF($D811="TANIMSIZ MÜŞTERİ","HATA",IF(OR($J811="Tamamlandı",$J811="İptal"),"KAPALI",IF(AND($C811="Görüşme",$N811=""),"SONRAKİ İŞLEM EKSİK",IF($I811="","TARİH EKSİK",IF($I811&lt;TODAY(),"GECİKMİŞ",IF($I811=TODAY(),"BUGÜN",IF($I811&lt;=TODAY()+7,"7 GÜN İÇİNDE","PLANLI"))))))))</f>
        <v/>
      </c>
      <c r="R811" s="6" t="n"/>
      <c r="S811" s="6" t="n"/>
      <c r="T811" s="3" t="n"/>
      <c r="U811" s="3">
        <f>IF($E811="","",UPPER(SUBSTITUTE(SUBSTITUTE(SUBSTITUTE(SUBSTITUTE(SUBSTITUTE(SUBSTITUTE(SUBSTITUTE(SUBSTITUTE(SUBSTITUTE(SUBSTITUTE(SUBSTITUTE(SUBSTITUTE(SUBSTITUTE(SUBSTITUTE(SUBSTITUTE(SUBSTITUTE(SUBSTITUTE(SUBSTITUTE(TRIM($E811),"'",""),"İ","I"),"ı","I"),"i","I"),"Ş","S"),"ş","S"),"Ğ","G"),"ğ","G"),"Ü","U"),"ü","U"),"Ö","O"),"ö","O"),"Ç","C"),"ç","C"),".",""),",","")," ",""),"-","")))</f>
        <v/>
      </c>
    </row>
    <row r="812">
      <c r="A812" s="6" t="n"/>
      <c r="B812" s="113">
        <f>IF($E812="","","A"&amp;TEXT(ROW()-6,"00000"))</f>
        <v/>
      </c>
      <c r="C812" s="108" t="n"/>
      <c r="D812" s="113">
        <f>IF($E812="","",IFERROR(INDEX(MUSTERILER!$B$7:$B$106,MATCH($U812,MUSTERILER!$T$7:$T$106,0)),IFERROR(INDEX(MUSTERILER!$B$7:$B$106,MATCH($E812,MUSTERILER!$B$7:$B$106,0)),IFERROR(INDEX(MUSTERILER!$B$7:$B$106,MATCH($U812&amp;"*",MUSTERILER!$T$7:$T$106,0)),"TANIMSIZ MÜŞTERİ"))))</f>
        <v/>
      </c>
      <c r="E812" s="109" t="n"/>
      <c r="F812" s="109" t="n"/>
      <c r="G812" s="108" t="n"/>
      <c r="H812" s="220" t="n"/>
      <c r="I812" s="220" t="n"/>
      <c r="J812" s="108" t="n"/>
      <c r="K812" s="108" t="n"/>
      <c r="L812" s="109" t="n"/>
      <c r="M812" s="109" t="n"/>
      <c r="N812" s="109" t="n"/>
      <c r="O812" s="220" t="n"/>
      <c r="P812" s="227">
        <f>IF(OR($E812="",$I812=""),"",IF(OR($J812="Tamamlandı",$J812="İptal"),"",$I812-TODAY()))</f>
        <v/>
      </c>
      <c r="Q812" s="113">
        <f>IF($E812="","",IF($D812="TANIMSIZ MÜŞTERİ","HATA",IF(OR($J812="Tamamlandı",$J812="İptal"),"KAPALI",IF(AND($C812="Görüşme",$N812=""),"SONRAKİ İŞLEM EKSİK",IF($I812="","TARİH EKSİK",IF($I812&lt;TODAY(),"GECİKMİŞ",IF($I812=TODAY(),"BUGÜN",IF($I812&lt;=TODAY()+7,"7 GÜN İÇİNDE","PLANLI"))))))))</f>
        <v/>
      </c>
      <c r="R812" s="6" t="n"/>
      <c r="S812" s="6" t="n"/>
      <c r="T812" s="3" t="n"/>
      <c r="U812" s="3">
        <f>IF($E812="","",UPPER(SUBSTITUTE(SUBSTITUTE(SUBSTITUTE(SUBSTITUTE(SUBSTITUTE(SUBSTITUTE(SUBSTITUTE(SUBSTITUTE(SUBSTITUTE(SUBSTITUTE(SUBSTITUTE(SUBSTITUTE(SUBSTITUTE(SUBSTITUTE(SUBSTITUTE(SUBSTITUTE(SUBSTITUTE(SUBSTITUTE(TRIM($E812),"'",""),"İ","I"),"ı","I"),"i","I"),"Ş","S"),"ş","S"),"Ğ","G"),"ğ","G"),"Ü","U"),"ü","U"),"Ö","O"),"ö","O"),"Ç","C"),"ç","C"),".",""),",","")," ",""),"-","")))</f>
        <v/>
      </c>
    </row>
    <row r="813">
      <c r="A813" s="6" t="n"/>
      <c r="B813" s="113">
        <f>IF($E813="","","A"&amp;TEXT(ROW()-6,"00000"))</f>
        <v/>
      </c>
      <c r="C813" s="108" t="n"/>
      <c r="D813" s="113">
        <f>IF($E813="","",IFERROR(INDEX(MUSTERILER!$B$7:$B$106,MATCH($U813,MUSTERILER!$T$7:$T$106,0)),IFERROR(INDEX(MUSTERILER!$B$7:$B$106,MATCH($E813,MUSTERILER!$B$7:$B$106,0)),IFERROR(INDEX(MUSTERILER!$B$7:$B$106,MATCH($U813&amp;"*",MUSTERILER!$T$7:$T$106,0)),"TANIMSIZ MÜŞTERİ"))))</f>
        <v/>
      </c>
      <c r="E813" s="109" t="n"/>
      <c r="F813" s="109" t="n"/>
      <c r="G813" s="108" t="n"/>
      <c r="H813" s="220" t="n"/>
      <c r="I813" s="220" t="n"/>
      <c r="J813" s="108" t="n"/>
      <c r="K813" s="108" t="n"/>
      <c r="L813" s="109" t="n"/>
      <c r="M813" s="109" t="n"/>
      <c r="N813" s="109" t="n"/>
      <c r="O813" s="220" t="n"/>
      <c r="P813" s="227">
        <f>IF(OR($E813="",$I813=""),"",IF(OR($J813="Tamamlandı",$J813="İptal"),"",$I813-TODAY()))</f>
        <v/>
      </c>
      <c r="Q813" s="113">
        <f>IF($E813="","",IF($D813="TANIMSIZ MÜŞTERİ","HATA",IF(OR($J813="Tamamlandı",$J813="İptal"),"KAPALI",IF(AND($C813="Görüşme",$N813=""),"SONRAKİ İŞLEM EKSİK",IF($I813="","TARİH EKSİK",IF($I813&lt;TODAY(),"GECİKMİŞ",IF($I813=TODAY(),"BUGÜN",IF($I813&lt;=TODAY()+7,"7 GÜN İÇİNDE","PLANLI"))))))))</f>
        <v/>
      </c>
      <c r="R813" s="6" t="n"/>
      <c r="S813" s="6" t="n"/>
      <c r="T813" s="3" t="n"/>
      <c r="U813" s="3">
        <f>IF($E813="","",UPPER(SUBSTITUTE(SUBSTITUTE(SUBSTITUTE(SUBSTITUTE(SUBSTITUTE(SUBSTITUTE(SUBSTITUTE(SUBSTITUTE(SUBSTITUTE(SUBSTITUTE(SUBSTITUTE(SUBSTITUTE(SUBSTITUTE(SUBSTITUTE(SUBSTITUTE(SUBSTITUTE(SUBSTITUTE(SUBSTITUTE(TRIM($E813),"'",""),"İ","I"),"ı","I"),"i","I"),"Ş","S"),"ş","S"),"Ğ","G"),"ğ","G"),"Ü","U"),"ü","U"),"Ö","O"),"ö","O"),"Ç","C"),"ç","C"),".",""),",","")," ",""),"-","")))</f>
        <v/>
      </c>
    </row>
    <row r="814">
      <c r="A814" s="6" t="n"/>
      <c r="B814" s="113">
        <f>IF($E814="","","A"&amp;TEXT(ROW()-6,"00000"))</f>
        <v/>
      </c>
      <c r="C814" s="108" t="n"/>
      <c r="D814" s="113">
        <f>IF($E814="","",IFERROR(INDEX(MUSTERILER!$B$7:$B$106,MATCH($U814,MUSTERILER!$T$7:$T$106,0)),IFERROR(INDEX(MUSTERILER!$B$7:$B$106,MATCH($E814,MUSTERILER!$B$7:$B$106,0)),IFERROR(INDEX(MUSTERILER!$B$7:$B$106,MATCH($U814&amp;"*",MUSTERILER!$T$7:$T$106,0)),"TANIMSIZ MÜŞTERİ"))))</f>
        <v/>
      </c>
      <c r="E814" s="109" t="n"/>
      <c r="F814" s="109" t="n"/>
      <c r="G814" s="108" t="n"/>
      <c r="H814" s="220" t="n"/>
      <c r="I814" s="220" t="n"/>
      <c r="J814" s="108" t="n"/>
      <c r="K814" s="108" t="n"/>
      <c r="L814" s="109" t="n"/>
      <c r="M814" s="109" t="n"/>
      <c r="N814" s="109" t="n"/>
      <c r="O814" s="220" t="n"/>
      <c r="P814" s="227">
        <f>IF(OR($E814="",$I814=""),"",IF(OR($J814="Tamamlandı",$J814="İptal"),"",$I814-TODAY()))</f>
        <v/>
      </c>
      <c r="Q814" s="113">
        <f>IF($E814="","",IF($D814="TANIMSIZ MÜŞTERİ","HATA",IF(OR($J814="Tamamlandı",$J814="İptal"),"KAPALI",IF(AND($C814="Görüşme",$N814=""),"SONRAKİ İŞLEM EKSİK",IF($I814="","TARİH EKSİK",IF($I814&lt;TODAY(),"GECİKMİŞ",IF($I814=TODAY(),"BUGÜN",IF($I814&lt;=TODAY()+7,"7 GÜN İÇİNDE","PLANLI"))))))))</f>
        <v/>
      </c>
      <c r="R814" s="6" t="n"/>
      <c r="S814" s="6" t="n"/>
      <c r="T814" s="3" t="n"/>
      <c r="U814" s="3">
        <f>IF($E814="","",UPPER(SUBSTITUTE(SUBSTITUTE(SUBSTITUTE(SUBSTITUTE(SUBSTITUTE(SUBSTITUTE(SUBSTITUTE(SUBSTITUTE(SUBSTITUTE(SUBSTITUTE(SUBSTITUTE(SUBSTITUTE(SUBSTITUTE(SUBSTITUTE(SUBSTITUTE(SUBSTITUTE(SUBSTITUTE(SUBSTITUTE(TRIM($E814),"'",""),"İ","I"),"ı","I"),"i","I"),"Ş","S"),"ş","S"),"Ğ","G"),"ğ","G"),"Ü","U"),"ü","U"),"Ö","O"),"ö","O"),"Ç","C"),"ç","C"),".",""),",","")," ",""),"-","")))</f>
        <v/>
      </c>
    </row>
    <row r="815">
      <c r="A815" s="6" t="n"/>
      <c r="B815" s="113">
        <f>IF($E815="","","A"&amp;TEXT(ROW()-6,"00000"))</f>
        <v/>
      </c>
      <c r="C815" s="108" t="n"/>
      <c r="D815" s="113">
        <f>IF($E815="","",IFERROR(INDEX(MUSTERILER!$B$7:$B$106,MATCH($U815,MUSTERILER!$T$7:$T$106,0)),IFERROR(INDEX(MUSTERILER!$B$7:$B$106,MATCH($E815,MUSTERILER!$B$7:$B$106,0)),IFERROR(INDEX(MUSTERILER!$B$7:$B$106,MATCH($U815&amp;"*",MUSTERILER!$T$7:$T$106,0)),"TANIMSIZ MÜŞTERİ"))))</f>
        <v/>
      </c>
      <c r="E815" s="109" t="n"/>
      <c r="F815" s="109" t="n"/>
      <c r="G815" s="108" t="n"/>
      <c r="H815" s="220" t="n"/>
      <c r="I815" s="220" t="n"/>
      <c r="J815" s="108" t="n"/>
      <c r="K815" s="108" t="n"/>
      <c r="L815" s="109" t="n"/>
      <c r="M815" s="109" t="n"/>
      <c r="N815" s="109" t="n"/>
      <c r="O815" s="220" t="n"/>
      <c r="P815" s="227">
        <f>IF(OR($E815="",$I815=""),"",IF(OR($J815="Tamamlandı",$J815="İptal"),"",$I815-TODAY()))</f>
        <v/>
      </c>
      <c r="Q815" s="113">
        <f>IF($E815="","",IF($D815="TANIMSIZ MÜŞTERİ","HATA",IF(OR($J815="Tamamlandı",$J815="İptal"),"KAPALI",IF(AND($C815="Görüşme",$N815=""),"SONRAKİ İŞLEM EKSİK",IF($I815="","TARİH EKSİK",IF($I815&lt;TODAY(),"GECİKMİŞ",IF($I815=TODAY(),"BUGÜN",IF($I815&lt;=TODAY()+7,"7 GÜN İÇİNDE","PLANLI"))))))))</f>
        <v/>
      </c>
      <c r="R815" s="6" t="n"/>
      <c r="S815" s="6" t="n"/>
      <c r="T815" s="3" t="n"/>
      <c r="U815" s="3">
        <f>IF($E815="","",UPPER(SUBSTITUTE(SUBSTITUTE(SUBSTITUTE(SUBSTITUTE(SUBSTITUTE(SUBSTITUTE(SUBSTITUTE(SUBSTITUTE(SUBSTITUTE(SUBSTITUTE(SUBSTITUTE(SUBSTITUTE(SUBSTITUTE(SUBSTITUTE(SUBSTITUTE(SUBSTITUTE(SUBSTITUTE(SUBSTITUTE(TRIM($E815),"'",""),"İ","I"),"ı","I"),"i","I"),"Ş","S"),"ş","S"),"Ğ","G"),"ğ","G"),"Ü","U"),"ü","U"),"Ö","O"),"ö","O"),"Ç","C"),"ç","C"),".",""),",","")," ",""),"-","")))</f>
        <v/>
      </c>
    </row>
    <row r="816">
      <c r="A816" s="6" t="n"/>
      <c r="B816" s="113">
        <f>IF($E816="","","A"&amp;TEXT(ROW()-6,"00000"))</f>
        <v/>
      </c>
      <c r="C816" s="108" t="n"/>
      <c r="D816" s="113">
        <f>IF($E816="","",IFERROR(INDEX(MUSTERILER!$B$7:$B$106,MATCH($U816,MUSTERILER!$T$7:$T$106,0)),IFERROR(INDEX(MUSTERILER!$B$7:$B$106,MATCH($E816,MUSTERILER!$B$7:$B$106,0)),IFERROR(INDEX(MUSTERILER!$B$7:$B$106,MATCH($U816&amp;"*",MUSTERILER!$T$7:$T$106,0)),"TANIMSIZ MÜŞTERİ"))))</f>
        <v/>
      </c>
      <c r="E816" s="109" t="n"/>
      <c r="F816" s="109" t="n"/>
      <c r="G816" s="108" t="n"/>
      <c r="H816" s="220" t="n"/>
      <c r="I816" s="220" t="n"/>
      <c r="J816" s="108" t="n"/>
      <c r="K816" s="108" t="n"/>
      <c r="L816" s="109" t="n"/>
      <c r="M816" s="109" t="n"/>
      <c r="N816" s="109" t="n"/>
      <c r="O816" s="220" t="n"/>
      <c r="P816" s="227">
        <f>IF(OR($E816="",$I816=""),"",IF(OR($J816="Tamamlandı",$J816="İptal"),"",$I816-TODAY()))</f>
        <v/>
      </c>
      <c r="Q816" s="113">
        <f>IF($E816="","",IF($D816="TANIMSIZ MÜŞTERİ","HATA",IF(OR($J816="Tamamlandı",$J816="İptal"),"KAPALI",IF(AND($C816="Görüşme",$N816=""),"SONRAKİ İŞLEM EKSİK",IF($I816="","TARİH EKSİK",IF($I816&lt;TODAY(),"GECİKMİŞ",IF($I816=TODAY(),"BUGÜN",IF($I816&lt;=TODAY()+7,"7 GÜN İÇİNDE","PLANLI"))))))))</f>
        <v/>
      </c>
      <c r="R816" s="6" t="n"/>
      <c r="S816" s="6" t="n"/>
      <c r="T816" s="3" t="n"/>
      <c r="U816" s="3">
        <f>IF($E816="","",UPPER(SUBSTITUTE(SUBSTITUTE(SUBSTITUTE(SUBSTITUTE(SUBSTITUTE(SUBSTITUTE(SUBSTITUTE(SUBSTITUTE(SUBSTITUTE(SUBSTITUTE(SUBSTITUTE(SUBSTITUTE(SUBSTITUTE(SUBSTITUTE(SUBSTITUTE(SUBSTITUTE(SUBSTITUTE(SUBSTITUTE(TRIM($E816),"'",""),"İ","I"),"ı","I"),"i","I"),"Ş","S"),"ş","S"),"Ğ","G"),"ğ","G"),"Ü","U"),"ü","U"),"Ö","O"),"ö","O"),"Ç","C"),"ç","C"),".",""),",","")," ",""),"-","")))</f>
        <v/>
      </c>
    </row>
    <row r="817">
      <c r="A817" s="6" t="n"/>
      <c r="B817" s="113">
        <f>IF($E817="","","A"&amp;TEXT(ROW()-6,"00000"))</f>
        <v/>
      </c>
      <c r="C817" s="108" t="n"/>
      <c r="D817" s="113">
        <f>IF($E817="","",IFERROR(INDEX(MUSTERILER!$B$7:$B$106,MATCH($U817,MUSTERILER!$T$7:$T$106,0)),IFERROR(INDEX(MUSTERILER!$B$7:$B$106,MATCH($E817,MUSTERILER!$B$7:$B$106,0)),IFERROR(INDEX(MUSTERILER!$B$7:$B$106,MATCH($U817&amp;"*",MUSTERILER!$T$7:$T$106,0)),"TANIMSIZ MÜŞTERİ"))))</f>
        <v/>
      </c>
      <c r="E817" s="109" t="n"/>
      <c r="F817" s="109" t="n"/>
      <c r="G817" s="108" t="n"/>
      <c r="H817" s="220" t="n"/>
      <c r="I817" s="220" t="n"/>
      <c r="J817" s="108" t="n"/>
      <c r="K817" s="108" t="n"/>
      <c r="L817" s="109" t="n"/>
      <c r="M817" s="109" t="n"/>
      <c r="N817" s="109" t="n"/>
      <c r="O817" s="220" t="n"/>
      <c r="P817" s="227">
        <f>IF(OR($E817="",$I817=""),"",IF(OR($J817="Tamamlandı",$J817="İptal"),"",$I817-TODAY()))</f>
        <v/>
      </c>
      <c r="Q817" s="113">
        <f>IF($E817="","",IF($D817="TANIMSIZ MÜŞTERİ","HATA",IF(OR($J817="Tamamlandı",$J817="İptal"),"KAPALI",IF(AND($C817="Görüşme",$N817=""),"SONRAKİ İŞLEM EKSİK",IF($I817="","TARİH EKSİK",IF($I817&lt;TODAY(),"GECİKMİŞ",IF($I817=TODAY(),"BUGÜN",IF($I817&lt;=TODAY()+7,"7 GÜN İÇİNDE","PLANLI"))))))))</f>
        <v/>
      </c>
      <c r="R817" s="6" t="n"/>
      <c r="S817" s="6" t="n"/>
      <c r="T817" s="3" t="n"/>
      <c r="U817" s="3">
        <f>IF($E817="","",UPPER(SUBSTITUTE(SUBSTITUTE(SUBSTITUTE(SUBSTITUTE(SUBSTITUTE(SUBSTITUTE(SUBSTITUTE(SUBSTITUTE(SUBSTITUTE(SUBSTITUTE(SUBSTITUTE(SUBSTITUTE(SUBSTITUTE(SUBSTITUTE(SUBSTITUTE(SUBSTITUTE(SUBSTITUTE(SUBSTITUTE(TRIM($E817),"'",""),"İ","I"),"ı","I"),"i","I"),"Ş","S"),"ş","S"),"Ğ","G"),"ğ","G"),"Ü","U"),"ü","U"),"Ö","O"),"ö","O"),"Ç","C"),"ç","C"),".",""),",","")," ",""),"-","")))</f>
        <v/>
      </c>
    </row>
    <row r="818">
      <c r="A818" s="6" t="n"/>
      <c r="B818" s="113">
        <f>IF($E818="","","A"&amp;TEXT(ROW()-6,"00000"))</f>
        <v/>
      </c>
      <c r="C818" s="108" t="n"/>
      <c r="D818" s="113">
        <f>IF($E818="","",IFERROR(INDEX(MUSTERILER!$B$7:$B$106,MATCH($U818,MUSTERILER!$T$7:$T$106,0)),IFERROR(INDEX(MUSTERILER!$B$7:$B$106,MATCH($E818,MUSTERILER!$B$7:$B$106,0)),IFERROR(INDEX(MUSTERILER!$B$7:$B$106,MATCH($U818&amp;"*",MUSTERILER!$T$7:$T$106,0)),"TANIMSIZ MÜŞTERİ"))))</f>
        <v/>
      </c>
      <c r="E818" s="109" t="n"/>
      <c r="F818" s="109" t="n"/>
      <c r="G818" s="108" t="n"/>
      <c r="H818" s="220" t="n"/>
      <c r="I818" s="220" t="n"/>
      <c r="J818" s="108" t="n"/>
      <c r="K818" s="108" t="n"/>
      <c r="L818" s="109" t="n"/>
      <c r="M818" s="109" t="n"/>
      <c r="N818" s="109" t="n"/>
      <c r="O818" s="220" t="n"/>
      <c r="P818" s="227">
        <f>IF(OR($E818="",$I818=""),"",IF(OR($J818="Tamamlandı",$J818="İptal"),"",$I818-TODAY()))</f>
        <v/>
      </c>
      <c r="Q818" s="113">
        <f>IF($E818="","",IF($D818="TANIMSIZ MÜŞTERİ","HATA",IF(OR($J818="Tamamlandı",$J818="İptal"),"KAPALI",IF(AND($C818="Görüşme",$N818=""),"SONRAKİ İŞLEM EKSİK",IF($I818="","TARİH EKSİK",IF($I818&lt;TODAY(),"GECİKMİŞ",IF($I818=TODAY(),"BUGÜN",IF($I818&lt;=TODAY()+7,"7 GÜN İÇİNDE","PLANLI"))))))))</f>
        <v/>
      </c>
      <c r="R818" s="6" t="n"/>
      <c r="S818" s="6" t="n"/>
      <c r="T818" s="3" t="n"/>
      <c r="U818" s="3">
        <f>IF($E818="","",UPPER(SUBSTITUTE(SUBSTITUTE(SUBSTITUTE(SUBSTITUTE(SUBSTITUTE(SUBSTITUTE(SUBSTITUTE(SUBSTITUTE(SUBSTITUTE(SUBSTITUTE(SUBSTITUTE(SUBSTITUTE(SUBSTITUTE(SUBSTITUTE(SUBSTITUTE(SUBSTITUTE(SUBSTITUTE(SUBSTITUTE(TRIM($E818),"'",""),"İ","I"),"ı","I"),"i","I"),"Ş","S"),"ş","S"),"Ğ","G"),"ğ","G"),"Ü","U"),"ü","U"),"Ö","O"),"ö","O"),"Ç","C"),"ç","C"),".",""),",","")," ",""),"-","")))</f>
        <v/>
      </c>
    </row>
    <row r="819">
      <c r="A819" s="6" t="n"/>
      <c r="B819" s="113">
        <f>IF($E819="","","A"&amp;TEXT(ROW()-6,"00000"))</f>
        <v/>
      </c>
      <c r="C819" s="108" t="n"/>
      <c r="D819" s="113">
        <f>IF($E819="","",IFERROR(INDEX(MUSTERILER!$B$7:$B$106,MATCH($U819,MUSTERILER!$T$7:$T$106,0)),IFERROR(INDEX(MUSTERILER!$B$7:$B$106,MATCH($E819,MUSTERILER!$B$7:$B$106,0)),IFERROR(INDEX(MUSTERILER!$B$7:$B$106,MATCH($U819&amp;"*",MUSTERILER!$T$7:$T$106,0)),"TANIMSIZ MÜŞTERİ"))))</f>
        <v/>
      </c>
      <c r="E819" s="109" t="n"/>
      <c r="F819" s="109" t="n"/>
      <c r="G819" s="108" t="n"/>
      <c r="H819" s="220" t="n"/>
      <c r="I819" s="220" t="n"/>
      <c r="J819" s="108" t="n"/>
      <c r="K819" s="108" t="n"/>
      <c r="L819" s="109" t="n"/>
      <c r="M819" s="109" t="n"/>
      <c r="N819" s="109" t="n"/>
      <c r="O819" s="220" t="n"/>
      <c r="P819" s="227">
        <f>IF(OR($E819="",$I819=""),"",IF(OR($J819="Tamamlandı",$J819="İptal"),"",$I819-TODAY()))</f>
        <v/>
      </c>
      <c r="Q819" s="113">
        <f>IF($E819="","",IF($D819="TANIMSIZ MÜŞTERİ","HATA",IF(OR($J819="Tamamlandı",$J819="İptal"),"KAPALI",IF(AND($C819="Görüşme",$N819=""),"SONRAKİ İŞLEM EKSİK",IF($I819="","TARİH EKSİK",IF($I819&lt;TODAY(),"GECİKMİŞ",IF($I819=TODAY(),"BUGÜN",IF($I819&lt;=TODAY()+7,"7 GÜN İÇİNDE","PLANLI"))))))))</f>
        <v/>
      </c>
      <c r="R819" s="6" t="n"/>
      <c r="S819" s="6" t="n"/>
      <c r="T819" s="3" t="n"/>
      <c r="U819" s="3">
        <f>IF($E819="","",UPPER(SUBSTITUTE(SUBSTITUTE(SUBSTITUTE(SUBSTITUTE(SUBSTITUTE(SUBSTITUTE(SUBSTITUTE(SUBSTITUTE(SUBSTITUTE(SUBSTITUTE(SUBSTITUTE(SUBSTITUTE(SUBSTITUTE(SUBSTITUTE(SUBSTITUTE(SUBSTITUTE(SUBSTITUTE(SUBSTITUTE(TRIM($E819),"'",""),"İ","I"),"ı","I"),"i","I"),"Ş","S"),"ş","S"),"Ğ","G"),"ğ","G"),"Ü","U"),"ü","U"),"Ö","O"),"ö","O"),"Ç","C"),"ç","C"),".",""),",","")," ",""),"-","")))</f>
        <v/>
      </c>
    </row>
    <row r="820">
      <c r="A820" s="6" t="n"/>
      <c r="B820" s="113">
        <f>IF($E820="","","A"&amp;TEXT(ROW()-6,"00000"))</f>
        <v/>
      </c>
      <c r="C820" s="108" t="n"/>
      <c r="D820" s="113">
        <f>IF($E820="","",IFERROR(INDEX(MUSTERILER!$B$7:$B$106,MATCH($U820,MUSTERILER!$T$7:$T$106,0)),IFERROR(INDEX(MUSTERILER!$B$7:$B$106,MATCH($E820,MUSTERILER!$B$7:$B$106,0)),IFERROR(INDEX(MUSTERILER!$B$7:$B$106,MATCH($U820&amp;"*",MUSTERILER!$T$7:$T$106,0)),"TANIMSIZ MÜŞTERİ"))))</f>
        <v/>
      </c>
      <c r="E820" s="109" t="n"/>
      <c r="F820" s="109" t="n"/>
      <c r="G820" s="108" t="n"/>
      <c r="H820" s="220" t="n"/>
      <c r="I820" s="220" t="n"/>
      <c r="J820" s="108" t="n"/>
      <c r="K820" s="108" t="n"/>
      <c r="L820" s="109" t="n"/>
      <c r="M820" s="109" t="n"/>
      <c r="N820" s="109" t="n"/>
      <c r="O820" s="220" t="n"/>
      <c r="P820" s="227">
        <f>IF(OR($E820="",$I820=""),"",IF(OR($J820="Tamamlandı",$J820="İptal"),"",$I820-TODAY()))</f>
        <v/>
      </c>
      <c r="Q820" s="113">
        <f>IF($E820="","",IF($D820="TANIMSIZ MÜŞTERİ","HATA",IF(OR($J820="Tamamlandı",$J820="İptal"),"KAPALI",IF(AND($C820="Görüşme",$N820=""),"SONRAKİ İŞLEM EKSİK",IF($I820="","TARİH EKSİK",IF($I820&lt;TODAY(),"GECİKMİŞ",IF($I820=TODAY(),"BUGÜN",IF($I820&lt;=TODAY()+7,"7 GÜN İÇİNDE","PLANLI"))))))))</f>
        <v/>
      </c>
      <c r="R820" s="6" t="n"/>
      <c r="S820" s="6" t="n"/>
      <c r="T820" s="3" t="n"/>
      <c r="U820" s="3">
        <f>IF($E820="","",UPPER(SUBSTITUTE(SUBSTITUTE(SUBSTITUTE(SUBSTITUTE(SUBSTITUTE(SUBSTITUTE(SUBSTITUTE(SUBSTITUTE(SUBSTITUTE(SUBSTITUTE(SUBSTITUTE(SUBSTITUTE(SUBSTITUTE(SUBSTITUTE(SUBSTITUTE(SUBSTITUTE(SUBSTITUTE(SUBSTITUTE(TRIM($E820),"'",""),"İ","I"),"ı","I"),"i","I"),"Ş","S"),"ş","S"),"Ğ","G"),"ğ","G"),"Ü","U"),"ü","U"),"Ö","O"),"ö","O"),"Ç","C"),"ç","C"),".",""),",","")," ",""),"-","")))</f>
        <v/>
      </c>
    </row>
    <row r="821">
      <c r="A821" s="6" t="n"/>
      <c r="B821" s="113">
        <f>IF($E821="","","A"&amp;TEXT(ROW()-6,"00000"))</f>
        <v/>
      </c>
      <c r="C821" s="108" t="n"/>
      <c r="D821" s="113">
        <f>IF($E821="","",IFERROR(INDEX(MUSTERILER!$B$7:$B$106,MATCH($U821,MUSTERILER!$T$7:$T$106,0)),IFERROR(INDEX(MUSTERILER!$B$7:$B$106,MATCH($E821,MUSTERILER!$B$7:$B$106,0)),IFERROR(INDEX(MUSTERILER!$B$7:$B$106,MATCH($U821&amp;"*",MUSTERILER!$T$7:$T$106,0)),"TANIMSIZ MÜŞTERİ"))))</f>
        <v/>
      </c>
      <c r="E821" s="109" t="n"/>
      <c r="F821" s="109" t="n"/>
      <c r="G821" s="108" t="n"/>
      <c r="H821" s="220" t="n"/>
      <c r="I821" s="220" t="n"/>
      <c r="J821" s="108" t="n"/>
      <c r="K821" s="108" t="n"/>
      <c r="L821" s="109" t="n"/>
      <c r="M821" s="109" t="n"/>
      <c r="N821" s="109" t="n"/>
      <c r="O821" s="220" t="n"/>
      <c r="P821" s="227">
        <f>IF(OR($E821="",$I821=""),"",IF(OR($J821="Tamamlandı",$J821="İptal"),"",$I821-TODAY()))</f>
        <v/>
      </c>
      <c r="Q821" s="113">
        <f>IF($E821="","",IF($D821="TANIMSIZ MÜŞTERİ","HATA",IF(OR($J821="Tamamlandı",$J821="İptal"),"KAPALI",IF(AND($C821="Görüşme",$N821=""),"SONRAKİ İŞLEM EKSİK",IF($I821="","TARİH EKSİK",IF($I821&lt;TODAY(),"GECİKMİŞ",IF($I821=TODAY(),"BUGÜN",IF($I821&lt;=TODAY()+7,"7 GÜN İÇİNDE","PLANLI"))))))))</f>
        <v/>
      </c>
      <c r="R821" s="6" t="n"/>
      <c r="S821" s="6" t="n"/>
      <c r="T821" s="3" t="n"/>
      <c r="U821" s="3">
        <f>IF($E821="","",UPPER(SUBSTITUTE(SUBSTITUTE(SUBSTITUTE(SUBSTITUTE(SUBSTITUTE(SUBSTITUTE(SUBSTITUTE(SUBSTITUTE(SUBSTITUTE(SUBSTITUTE(SUBSTITUTE(SUBSTITUTE(SUBSTITUTE(SUBSTITUTE(SUBSTITUTE(SUBSTITUTE(SUBSTITUTE(SUBSTITUTE(TRIM($E821),"'",""),"İ","I"),"ı","I"),"i","I"),"Ş","S"),"ş","S"),"Ğ","G"),"ğ","G"),"Ü","U"),"ü","U"),"Ö","O"),"ö","O"),"Ç","C"),"ç","C"),".",""),",","")," ",""),"-","")))</f>
        <v/>
      </c>
    </row>
    <row r="822">
      <c r="A822" s="6" t="n"/>
      <c r="B822" s="113">
        <f>IF($E822="","","A"&amp;TEXT(ROW()-6,"00000"))</f>
        <v/>
      </c>
      <c r="C822" s="108" t="n"/>
      <c r="D822" s="113">
        <f>IF($E822="","",IFERROR(INDEX(MUSTERILER!$B$7:$B$106,MATCH($U822,MUSTERILER!$T$7:$T$106,0)),IFERROR(INDEX(MUSTERILER!$B$7:$B$106,MATCH($E822,MUSTERILER!$B$7:$B$106,0)),IFERROR(INDEX(MUSTERILER!$B$7:$B$106,MATCH($U822&amp;"*",MUSTERILER!$T$7:$T$106,0)),"TANIMSIZ MÜŞTERİ"))))</f>
        <v/>
      </c>
      <c r="E822" s="109" t="n"/>
      <c r="F822" s="109" t="n"/>
      <c r="G822" s="108" t="n"/>
      <c r="H822" s="220" t="n"/>
      <c r="I822" s="220" t="n"/>
      <c r="J822" s="108" t="n"/>
      <c r="K822" s="108" t="n"/>
      <c r="L822" s="109" t="n"/>
      <c r="M822" s="109" t="n"/>
      <c r="N822" s="109" t="n"/>
      <c r="O822" s="220" t="n"/>
      <c r="P822" s="227">
        <f>IF(OR($E822="",$I822=""),"",IF(OR($J822="Tamamlandı",$J822="İptal"),"",$I822-TODAY()))</f>
        <v/>
      </c>
      <c r="Q822" s="113">
        <f>IF($E822="","",IF($D822="TANIMSIZ MÜŞTERİ","HATA",IF(OR($J822="Tamamlandı",$J822="İptal"),"KAPALI",IF(AND($C822="Görüşme",$N822=""),"SONRAKİ İŞLEM EKSİK",IF($I822="","TARİH EKSİK",IF($I822&lt;TODAY(),"GECİKMİŞ",IF($I822=TODAY(),"BUGÜN",IF($I822&lt;=TODAY()+7,"7 GÜN İÇİNDE","PLANLI"))))))))</f>
        <v/>
      </c>
      <c r="R822" s="6" t="n"/>
      <c r="S822" s="6" t="n"/>
      <c r="T822" s="3" t="n"/>
      <c r="U822" s="3">
        <f>IF($E822="","",UPPER(SUBSTITUTE(SUBSTITUTE(SUBSTITUTE(SUBSTITUTE(SUBSTITUTE(SUBSTITUTE(SUBSTITUTE(SUBSTITUTE(SUBSTITUTE(SUBSTITUTE(SUBSTITUTE(SUBSTITUTE(SUBSTITUTE(SUBSTITUTE(SUBSTITUTE(SUBSTITUTE(SUBSTITUTE(SUBSTITUTE(TRIM($E822),"'",""),"İ","I"),"ı","I"),"i","I"),"Ş","S"),"ş","S"),"Ğ","G"),"ğ","G"),"Ü","U"),"ü","U"),"Ö","O"),"ö","O"),"Ç","C"),"ç","C"),".",""),",","")," ",""),"-","")))</f>
        <v/>
      </c>
    </row>
    <row r="823">
      <c r="A823" s="6" t="n"/>
      <c r="B823" s="113">
        <f>IF($E823="","","A"&amp;TEXT(ROW()-6,"00000"))</f>
        <v/>
      </c>
      <c r="C823" s="108" t="n"/>
      <c r="D823" s="113">
        <f>IF($E823="","",IFERROR(INDEX(MUSTERILER!$B$7:$B$106,MATCH($U823,MUSTERILER!$T$7:$T$106,0)),IFERROR(INDEX(MUSTERILER!$B$7:$B$106,MATCH($E823,MUSTERILER!$B$7:$B$106,0)),IFERROR(INDEX(MUSTERILER!$B$7:$B$106,MATCH($U823&amp;"*",MUSTERILER!$T$7:$T$106,0)),"TANIMSIZ MÜŞTERİ"))))</f>
        <v/>
      </c>
      <c r="E823" s="109" t="n"/>
      <c r="F823" s="109" t="n"/>
      <c r="G823" s="108" t="n"/>
      <c r="H823" s="220" t="n"/>
      <c r="I823" s="220" t="n"/>
      <c r="J823" s="108" t="n"/>
      <c r="K823" s="108" t="n"/>
      <c r="L823" s="109" t="n"/>
      <c r="M823" s="109" t="n"/>
      <c r="N823" s="109" t="n"/>
      <c r="O823" s="220" t="n"/>
      <c r="P823" s="227">
        <f>IF(OR($E823="",$I823=""),"",IF(OR($J823="Tamamlandı",$J823="İptal"),"",$I823-TODAY()))</f>
        <v/>
      </c>
      <c r="Q823" s="113">
        <f>IF($E823="","",IF($D823="TANIMSIZ MÜŞTERİ","HATA",IF(OR($J823="Tamamlandı",$J823="İptal"),"KAPALI",IF(AND($C823="Görüşme",$N823=""),"SONRAKİ İŞLEM EKSİK",IF($I823="","TARİH EKSİK",IF($I823&lt;TODAY(),"GECİKMİŞ",IF($I823=TODAY(),"BUGÜN",IF($I823&lt;=TODAY()+7,"7 GÜN İÇİNDE","PLANLI"))))))))</f>
        <v/>
      </c>
      <c r="R823" s="6" t="n"/>
      <c r="S823" s="6" t="n"/>
      <c r="T823" s="3" t="n"/>
      <c r="U823" s="3">
        <f>IF($E823="","",UPPER(SUBSTITUTE(SUBSTITUTE(SUBSTITUTE(SUBSTITUTE(SUBSTITUTE(SUBSTITUTE(SUBSTITUTE(SUBSTITUTE(SUBSTITUTE(SUBSTITUTE(SUBSTITUTE(SUBSTITUTE(SUBSTITUTE(SUBSTITUTE(SUBSTITUTE(SUBSTITUTE(SUBSTITUTE(SUBSTITUTE(TRIM($E823),"'",""),"İ","I"),"ı","I"),"i","I"),"Ş","S"),"ş","S"),"Ğ","G"),"ğ","G"),"Ü","U"),"ü","U"),"Ö","O"),"ö","O"),"Ç","C"),"ç","C"),".",""),",","")," ",""),"-","")))</f>
        <v/>
      </c>
    </row>
    <row r="824">
      <c r="A824" s="6" t="n"/>
      <c r="B824" s="113">
        <f>IF($E824="","","A"&amp;TEXT(ROW()-6,"00000"))</f>
        <v/>
      </c>
      <c r="C824" s="108" t="n"/>
      <c r="D824" s="113">
        <f>IF($E824="","",IFERROR(INDEX(MUSTERILER!$B$7:$B$106,MATCH($U824,MUSTERILER!$T$7:$T$106,0)),IFERROR(INDEX(MUSTERILER!$B$7:$B$106,MATCH($E824,MUSTERILER!$B$7:$B$106,0)),IFERROR(INDEX(MUSTERILER!$B$7:$B$106,MATCH($U824&amp;"*",MUSTERILER!$T$7:$T$106,0)),"TANIMSIZ MÜŞTERİ"))))</f>
        <v/>
      </c>
      <c r="E824" s="109" t="n"/>
      <c r="F824" s="109" t="n"/>
      <c r="G824" s="108" t="n"/>
      <c r="H824" s="220" t="n"/>
      <c r="I824" s="220" t="n"/>
      <c r="J824" s="108" t="n"/>
      <c r="K824" s="108" t="n"/>
      <c r="L824" s="109" t="n"/>
      <c r="M824" s="109" t="n"/>
      <c r="N824" s="109" t="n"/>
      <c r="O824" s="220" t="n"/>
      <c r="P824" s="227">
        <f>IF(OR($E824="",$I824=""),"",IF(OR($J824="Tamamlandı",$J824="İptal"),"",$I824-TODAY()))</f>
        <v/>
      </c>
      <c r="Q824" s="113">
        <f>IF($E824="","",IF($D824="TANIMSIZ MÜŞTERİ","HATA",IF(OR($J824="Tamamlandı",$J824="İptal"),"KAPALI",IF(AND($C824="Görüşme",$N824=""),"SONRAKİ İŞLEM EKSİK",IF($I824="","TARİH EKSİK",IF($I824&lt;TODAY(),"GECİKMİŞ",IF($I824=TODAY(),"BUGÜN",IF($I824&lt;=TODAY()+7,"7 GÜN İÇİNDE","PLANLI"))))))))</f>
        <v/>
      </c>
      <c r="R824" s="6" t="n"/>
      <c r="S824" s="6" t="n"/>
      <c r="T824" s="3" t="n"/>
      <c r="U824" s="3">
        <f>IF($E824="","",UPPER(SUBSTITUTE(SUBSTITUTE(SUBSTITUTE(SUBSTITUTE(SUBSTITUTE(SUBSTITUTE(SUBSTITUTE(SUBSTITUTE(SUBSTITUTE(SUBSTITUTE(SUBSTITUTE(SUBSTITUTE(SUBSTITUTE(SUBSTITUTE(SUBSTITUTE(SUBSTITUTE(SUBSTITUTE(SUBSTITUTE(TRIM($E824),"'",""),"İ","I"),"ı","I"),"i","I"),"Ş","S"),"ş","S"),"Ğ","G"),"ğ","G"),"Ü","U"),"ü","U"),"Ö","O"),"ö","O"),"Ç","C"),"ç","C"),".",""),",","")," ",""),"-","")))</f>
        <v/>
      </c>
    </row>
    <row r="825">
      <c r="A825" s="6" t="n"/>
      <c r="B825" s="113">
        <f>IF($E825="","","A"&amp;TEXT(ROW()-6,"00000"))</f>
        <v/>
      </c>
      <c r="C825" s="108" t="n"/>
      <c r="D825" s="113">
        <f>IF($E825="","",IFERROR(INDEX(MUSTERILER!$B$7:$B$106,MATCH($U825,MUSTERILER!$T$7:$T$106,0)),IFERROR(INDEX(MUSTERILER!$B$7:$B$106,MATCH($E825,MUSTERILER!$B$7:$B$106,0)),IFERROR(INDEX(MUSTERILER!$B$7:$B$106,MATCH($U825&amp;"*",MUSTERILER!$T$7:$T$106,0)),"TANIMSIZ MÜŞTERİ"))))</f>
        <v/>
      </c>
      <c r="E825" s="109" t="n"/>
      <c r="F825" s="109" t="n"/>
      <c r="G825" s="108" t="n"/>
      <c r="H825" s="220" t="n"/>
      <c r="I825" s="220" t="n"/>
      <c r="J825" s="108" t="n"/>
      <c r="K825" s="108" t="n"/>
      <c r="L825" s="109" t="n"/>
      <c r="M825" s="109" t="n"/>
      <c r="N825" s="109" t="n"/>
      <c r="O825" s="220" t="n"/>
      <c r="P825" s="227">
        <f>IF(OR($E825="",$I825=""),"",IF(OR($J825="Tamamlandı",$J825="İptal"),"",$I825-TODAY()))</f>
        <v/>
      </c>
      <c r="Q825" s="113">
        <f>IF($E825="","",IF($D825="TANIMSIZ MÜŞTERİ","HATA",IF(OR($J825="Tamamlandı",$J825="İptal"),"KAPALI",IF(AND($C825="Görüşme",$N825=""),"SONRAKİ İŞLEM EKSİK",IF($I825="","TARİH EKSİK",IF($I825&lt;TODAY(),"GECİKMİŞ",IF($I825=TODAY(),"BUGÜN",IF($I825&lt;=TODAY()+7,"7 GÜN İÇİNDE","PLANLI"))))))))</f>
        <v/>
      </c>
      <c r="R825" s="6" t="n"/>
      <c r="S825" s="6" t="n"/>
      <c r="T825" s="3" t="n"/>
      <c r="U825" s="3">
        <f>IF($E825="","",UPPER(SUBSTITUTE(SUBSTITUTE(SUBSTITUTE(SUBSTITUTE(SUBSTITUTE(SUBSTITUTE(SUBSTITUTE(SUBSTITUTE(SUBSTITUTE(SUBSTITUTE(SUBSTITUTE(SUBSTITUTE(SUBSTITUTE(SUBSTITUTE(SUBSTITUTE(SUBSTITUTE(SUBSTITUTE(SUBSTITUTE(TRIM($E825),"'",""),"İ","I"),"ı","I"),"i","I"),"Ş","S"),"ş","S"),"Ğ","G"),"ğ","G"),"Ü","U"),"ü","U"),"Ö","O"),"ö","O"),"Ç","C"),"ç","C"),".",""),",","")," ",""),"-","")))</f>
        <v/>
      </c>
    </row>
    <row r="826">
      <c r="A826" s="6" t="n"/>
      <c r="B826" s="113">
        <f>IF($E826="","","A"&amp;TEXT(ROW()-6,"00000"))</f>
        <v/>
      </c>
      <c r="C826" s="108" t="n"/>
      <c r="D826" s="113">
        <f>IF($E826="","",IFERROR(INDEX(MUSTERILER!$B$7:$B$106,MATCH($U826,MUSTERILER!$T$7:$T$106,0)),IFERROR(INDEX(MUSTERILER!$B$7:$B$106,MATCH($E826,MUSTERILER!$B$7:$B$106,0)),IFERROR(INDEX(MUSTERILER!$B$7:$B$106,MATCH($U826&amp;"*",MUSTERILER!$T$7:$T$106,0)),"TANIMSIZ MÜŞTERİ"))))</f>
        <v/>
      </c>
      <c r="E826" s="109" t="n"/>
      <c r="F826" s="109" t="n"/>
      <c r="G826" s="108" t="n"/>
      <c r="H826" s="220" t="n"/>
      <c r="I826" s="220" t="n"/>
      <c r="J826" s="108" t="n"/>
      <c r="K826" s="108" t="n"/>
      <c r="L826" s="109" t="n"/>
      <c r="M826" s="109" t="n"/>
      <c r="N826" s="109" t="n"/>
      <c r="O826" s="220" t="n"/>
      <c r="P826" s="227">
        <f>IF(OR($E826="",$I826=""),"",IF(OR($J826="Tamamlandı",$J826="İptal"),"",$I826-TODAY()))</f>
        <v/>
      </c>
      <c r="Q826" s="113">
        <f>IF($E826="","",IF($D826="TANIMSIZ MÜŞTERİ","HATA",IF(OR($J826="Tamamlandı",$J826="İptal"),"KAPALI",IF(AND($C826="Görüşme",$N826=""),"SONRAKİ İŞLEM EKSİK",IF($I826="","TARİH EKSİK",IF($I826&lt;TODAY(),"GECİKMİŞ",IF($I826=TODAY(),"BUGÜN",IF($I826&lt;=TODAY()+7,"7 GÜN İÇİNDE","PLANLI"))))))))</f>
        <v/>
      </c>
      <c r="R826" s="6" t="n"/>
      <c r="S826" s="6" t="n"/>
      <c r="T826" s="3" t="n"/>
      <c r="U826" s="3">
        <f>IF($E826="","",UPPER(SUBSTITUTE(SUBSTITUTE(SUBSTITUTE(SUBSTITUTE(SUBSTITUTE(SUBSTITUTE(SUBSTITUTE(SUBSTITUTE(SUBSTITUTE(SUBSTITUTE(SUBSTITUTE(SUBSTITUTE(SUBSTITUTE(SUBSTITUTE(SUBSTITUTE(SUBSTITUTE(SUBSTITUTE(SUBSTITUTE(TRIM($E826),"'",""),"İ","I"),"ı","I"),"i","I"),"Ş","S"),"ş","S"),"Ğ","G"),"ğ","G"),"Ü","U"),"ü","U"),"Ö","O"),"ö","O"),"Ç","C"),"ç","C"),".",""),",","")," ",""),"-","")))</f>
        <v/>
      </c>
    </row>
    <row r="827">
      <c r="A827" s="6" t="n"/>
      <c r="B827" s="113">
        <f>IF($E827="","","A"&amp;TEXT(ROW()-6,"00000"))</f>
        <v/>
      </c>
      <c r="C827" s="108" t="n"/>
      <c r="D827" s="113">
        <f>IF($E827="","",IFERROR(INDEX(MUSTERILER!$B$7:$B$106,MATCH($U827,MUSTERILER!$T$7:$T$106,0)),IFERROR(INDEX(MUSTERILER!$B$7:$B$106,MATCH($E827,MUSTERILER!$B$7:$B$106,0)),IFERROR(INDEX(MUSTERILER!$B$7:$B$106,MATCH($U827&amp;"*",MUSTERILER!$T$7:$T$106,0)),"TANIMSIZ MÜŞTERİ"))))</f>
        <v/>
      </c>
      <c r="E827" s="109" t="n"/>
      <c r="F827" s="109" t="n"/>
      <c r="G827" s="108" t="n"/>
      <c r="H827" s="220" t="n"/>
      <c r="I827" s="220" t="n"/>
      <c r="J827" s="108" t="n"/>
      <c r="K827" s="108" t="n"/>
      <c r="L827" s="109" t="n"/>
      <c r="M827" s="109" t="n"/>
      <c r="N827" s="109" t="n"/>
      <c r="O827" s="220" t="n"/>
      <c r="P827" s="227">
        <f>IF(OR($E827="",$I827=""),"",IF(OR($J827="Tamamlandı",$J827="İptal"),"",$I827-TODAY()))</f>
        <v/>
      </c>
      <c r="Q827" s="113">
        <f>IF($E827="","",IF($D827="TANIMSIZ MÜŞTERİ","HATA",IF(OR($J827="Tamamlandı",$J827="İptal"),"KAPALI",IF(AND($C827="Görüşme",$N827=""),"SONRAKİ İŞLEM EKSİK",IF($I827="","TARİH EKSİK",IF($I827&lt;TODAY(),"GECİKMİŞ",IF($I827=TODAY(),"BUGÜN",IF($I827&lt;=TODAY()+7,"7 GÜN İÇİNDE","PLANLI"))))))))</f>
        <v/>
      </c>
      <c r="R827" s="6" t="n"/>
      <c r="S827" s="6" t="n"/>
      <c r="T827" s="3" t="n"/>
      <c r="U827" s="3">
        <f>IF($E827="","",UPPER(SUBSTITUTE(SUBSTITUTE(SUBSTITUTE(SUBSTITUTE(SUBSTITUTE(SUBSTITUTE(SUBSTITUTE(SUBSTITUTE(SUBSTITUTE(SUBSTITUTE(SUBSTITUTE(SUBSTITUTE(SUBSTITUTE(SUBSTITUTE(SUBSTITUTE(SUBSTITUTE(SUBSTITUTE(SUBSTITUTE(TRIM($E827),"'",""),"İ","I"),"ı","I"),"i","I"),"Ş","S"),"ş","S"),"Ğ","G"),"ğ","G"),"Ü","U"),"ü","U"),"Ö","O"),"ö","O"),"Ç","C"),"ç","C"),".",""),",","")," ",""),"-","")))</f>
        <v/>
      </c>
    </row>
    <row r="828">
      <c r="A828" s="6" t="n"/>
      <c r="B828" s="113">
        <f>IF($E828="","","A"&amp;TEXT(ROW()-6,"00000"))</f>
        <v/>
      </c>
      <c r="C828" s="108" t="n"/>
      <c r="D828" s="113">
        <f>IF($E828="","",IFERROR(INDEX(MUSTERILER!$B$7:$B$106,MATCH($U828,MUSTERILER!$T$7:$T$106,0)),IFERROR(INDEX(MUSTERILER!$B$7:$B$106,MATCH($E828,MUSTERILER!$B$7:$B$106,0)),IFERROR(INDEX(MUSTERILER!$B$7:$B$106,MATCH($U828&amp;"*",MUSTERILER!$T$7:$T$106,0)),"TANIMSIZ MÜŞTERİ"))))</f>
        <v/>
      </c>
      <c r="E828" s="109" t="n"/>
      <c r="F828" s="109" t="n"/>
      <c r="G828" s="108" t="n"/>
      <c r="H828" s="220" t="n"/>
      <c r="I828" s="220" t="n"/>
      <c r="J828" s="108" t="n"/>
      <c r="K828" s="108" t="n"/>
      <c r="L828" s="109" t="n"/>
      <c r="M828" s="109" t="n"/>
      <c r="N828" s="109" t="n"/>
      <c r="O828" s="220" t="n"/>
      <c r="P828" s="227">
        <f>IF(OR($E828="",$I828=""),"",IF(OR($J828="Tamamlandı",$J828="İptal"),"",$I828-TODAY()))</f>
        <v/>
      </c>
      <c r="Q828" s="113">
        <f>IF($E828="","",IF($D828="TANIMSIZ MÜŞTERİ","HATA",IF(OR($J828="Tamamlandı",$J828="İptal"),"KAPALI",IF(AND($C828="Görüşme",$N828=""),"SONRAKİ İŞLEM EKSİK",IF($I828="","TARİH EKSİK",IF($I828&lt;TODAY(),"GECİKMİŞ",IF($I828=TODAY(),"BUGÜN",IF($I828&lt;=TODAY()+7,"7 GÜN İÇİNDE","PLANLI"))))))))</f>
        <v/>
      </c>
      <c r="R828" s="6" t="n"/>
      <c r="S828" s="6" t="n"/>
      <c r="T828" s="3" t="n"/>
      <c r="U828" s="3">
        <f>IF($E828="","",UPPER(SUBSTITUTE(SUBSTITUTE(SUBSTITUTE(SUBSTITUTE(SUBSTITUTE(SUBSTITUTE(SUBSTITUTE(SUBSTITUTE(SUBSTITUTE(SUBSTITUTE(SUBSTITUTE(SUBSTITUTE(SUBSTITUTE(SUBSTITUTE(SUBSTITUTE(SUBSTITUTE(SUBSTITUTE(SUBSTITUTE(TRIM($E828),"'",""),"İ","I"),"ı","I"),"i","I"),"Ş","S"),"ş","S"),"Ğ","G"),"ğ","G"),"Ü","U"),"ü","U"),"Ö","O"),"ö","O"),"Ç","C"),"ç","C"),".",""),",","")," ",""),"-","")))</f>
        <v/>
      </c>
    </row>
    <row r="829">
      <c r="A829" s="6" t="n"/>
      <c r="B829" s="113">
        <f>IF($E829="","","A"&amp;TEXT(ROW()-6,"00000"))</f>
        <v/>
      </c>
      <c r="C829" s="108" t="n"/>
      <c r="D829" s="113">
        <f>IF($E829="","",IFERROR(INDEX(MUSTERILER!$B$7:$B$106,MATCH($U829,MUSTERILER!$T$7:$T$106,0)),IFERROR(INDEX(MUSTERILER!$B$7:$B$106,MATCH($E829,MUSTERILER!$B$7:$B$106,0)),IFERROR(INDEX(MUSTERILER!$B$7:$B$106,MATCH($U829&amp;"*",MUSTERILER!$T$7:$T$106,0)),"TANIMSIZ MÜŞTERİ"))))</f>
        <v/>
      </c>
      <c r="E829" s="109" t="n"/>
      <c r="F829" s="109" t="n"/>
      <c r="G829" s="108" t="n"/>
      <c r="H829" s="220" t="n"/>
      <c r="I829" s="220" t="n"/>
      <c r="J829" s="108" t="n"/>
      <c r="K829" s="108" t="n"/>
      <c r="L829" s="109" t="n"/>
      <c r="M829" s="109" t="n"/>
      <c r="N829" s="109" t="n"/>
      <c r="O829" s="220" t="n"/>
      <c r="P829" s="227">
        <f>IF(OR($E829="",$I829=""),"",IF(OR($J829="Tamamlandı",$J829="İptal"),"",$I829-TODAY()))</f>
        <v/>
      </c>
      <c r="Q829" s="113">
        <f>IF($E829="","",IF($D829="TANIMSIZ MÜŞTERİ","HATA",IF(OR($J829="Tamamlandı",$J829="İptal"),"KAPALI",IF(AND($C829="Görüşme",$N829=""),"SONRAKİ İŞLEM EKSİK",IF($I829="","TARİH EKSİK",IF($I829&lt;TODAY(),"GECİKMİŞ",IF($I829=TODAY(),"BUGÜN",IF($I829&lt;=TODAY()+7,"7 GÜN İÇİNDE","PLANLI"))))))))</f>
        <v/>
      </c>
      <c r="R829" s="6" t="n"/>
      <c r="S829" s="6" t="n"/>
      <c r="T829" s="3" t="n"/>
      <c r="U829" s="3">
        <f>IF($E829="","",UPPER(SUBSTITUTE(SUBSTITUTE(SUBSTITUTE(SUBSTITUTE(SUBSTITUTE(SUBSTITUTE(SUBSTITUTE(SUBSTITUTE(SUBSTITUTE(SUBSTITUTE(SUBSTITUTE(SUBSTITUTE(SUBSTITUTE(SUBSTITUTE(SUBSTITUTE(SUBSTITUTE(SUBSTITUTE(SUBSTITUTE(TRIM($E829),"'",""),"İ","I"),"ı","I"),"i","I"),"Ş","S"),"ş","S"),"Ğ","G"),"ğ","G"),"Ü","U"),"ü","U"),"Ö","O"),"ö","O"),"Ç","C"),"ç","C"),".",""),",","")," ",""),"-","")))</f>
        <v/>
      </c>
    </row>
    <row r="830">
      <c r="A830" s="6" t="n"/>
      <c r="B830" s="113">
        <f>IF($E830="","","A"&amp;TEXT(ROW()-6,"00000"))</f>
        <v/>
      </c>
      <c r="C830" s="108" t="n"/>
      <c r="D830" s="113">
        <f>IF($E830="","",IFERROR(INDEX(MUSTERILER!$B$7:$B$106,MATCH($U830,MUSTERILER!$T$7:$T$106,0)),IFERROR(INDEX(MUSTERILER!$B$7:$B$106,MATCH($E830,MUSTERILER!$B$7:$B$106,0)),IFERROR(INDEX(MUSTERILER!$B$7:$B$106,MATCH($U830&amp;"*",MUSTERILER!$T$7:$T$106,0)),"TANIMSIZ MÜŞTERİ"))))</f>
        <v/>
      </c>
      <c r="E830" s="109" t="n"/>
      <c r="F830" s="109" t="n"/>
      <c r="G830" s="108" t="n"/>
      <c r="H830" s="220" t="n"/>
      <c r="I830" s="220" t="n"/>
      <c r="J830" s="108" t="n"/>
      <c r="K830" s="108" t="n"/>
      <c r="L830" s="109" t="n"/>
      <c r="M830" s="109" t="n"/>
      <c r="N830" s="109" t="n"/>
      <c r="O830" s="220" t="n"/>
      <c r="P830" s="227">
        <f>IF(OR($E830="",$I830=""),"",IF(OR($J830="Tamamlandı",$J830="İptal"),"",$I830-TODAY()))</f>
        <v/>
      </c>
      <c r="Q830" s="113">
        <f>IF($E830="","",IF($D830="TANIMSIZ MÜŞTERİ","HATA",IF(OR($J830="Tamamlandı",$J830="İptal"),"KAPALI",IF(AND($C830="Görüşme",$N830=""),"SONRAKİ İŞLEM EKSİK",IF($I830="","TARİH EKSİK",IF($I830&lt;TODAY(),"GECİKMİŞ",IF($I830=TODAY(),"BUGÜN",IF($I830&lt;=TODAY()+7,"7 GÜN İÇİNDE","PLANLI"))))))))</f>
        <v/>
      </c>
      <c r="R830" s="6" t="n"/>
      <c r="S830" s="6" t="n"/>
      <c r="T830" s="3" t="n"/>
      <c r="U830" s="3">
        <f>IF($E830="","",UPPER(SUBSTITUTE(SUBSTITUTE(SUBSTITUTE(SUBSTITUTE(SUBSTITUTE(SUBSTITUTE(SUBSTITUTE(SUBSTITUTE(SUBSTITUTE(SUBSTITUTE(SUBSTITUTE(SUBSTITUTE(SUBSTITUTE(SUBSTITUTE(SUBSTITUTE(SUBSTITUTE(SUBSTITUTE(SUBSTITUTE(TRIM($E830),"'",""),"İ","I"),"ı","I"),"i","I"),"Ş","S"),"ş","S"),"Ğ","G"),"ğ","G"),"Ü","U"),"ü","U"),"Ö","O"),"ö","O"),"Ç","C"),"ç","C"),".",""),",","")," ",""),"-","")))</f>
        <v/>
      </c>
    </row>
    <row r="831">
      <c r="A831" s="6" t="n"/>
      <c r="B831" s="113">
        <f>IF($E831="","","A"&amp;TEXT(ROW()-6,"00000"))</f>
        <v/>
      </c>
      <c r="C831" s="108" t="n"/>
      <c r="D831" s="113">
        <f>IF($E831="","",IFERROR(INDEX(MUSTERILER!$B$7:$B$106,MATCH($U831,MUSTERILER!$T$7:$T$106,0)),IFERROR(INDEX(MUSTERILER!$B$7:$B$106,MATCH($E831,MUSTERILER!$B$7:$B$106,0)),IFERROR(INDEX(MUSTERILER!$B$7:$B$106,MATCH($U831&amp;"*",MUSTERILER!$T$7:$T$106,0)),"TANIMSIZ MÜŞTERİ"))))</f>
        <v/>
      </c>
      <c r="E831" s="109" t="n"/>
      <c r="F831" s="109" t="n"/>
      <c r="G831" s="108" t="n"/>
      <c r="H831" s="220" t="n"/>
      <c r="I831" s="220" t="n"/>
      <c r="J831" s="108" t="n"/>
      <c r="K831" s="108" t="n"/>
      <c r="L831" s="109" t="n"/>
      <c r="M831" s="109" t="n"/>
      <c r="N831" s="109" t="n"/>
      <c r="O831" s="220" t="n"/>
      <c r="P831" s="227">
        <f>IF(OR($E831="",$I831=""),"",IF(OR($J831="Tamamlandı",$J831="İptal"),"",$I831-TODAY()))</f>
        <v/>
      </c>
      <c r="Q831" s="113">
        <f>IF($E831="","",IF($D831="TANIMSIZ MÜŞTERİ","HATA",IF(OR($J831="Tamamlandı",$J831="İptal"),"KAPALI",IF(AND($C831="Görüşme",$N831=""),"SONRAKİ İŞLEM EKSİK",IF($I831="","TARİH EKSİK",IF($I831&lt;TODAY(),"GECİKMİŞ",IF($I831=TODAY(),"BUGÜN",IF($I831&lt;=TODAY()+7,"7 GÜN İÇİNDE","PLANLI"))))))))</f>
        <v/>
      </c>
      <c r="R831" s="6" t="n"/>
      <c r="S831" s="6" t="n"/>
      <c r="T831" s="3" t="n"/>
      <c r="U831" s="3">
        <f>IF($E831="","",UPPER(SUBSTITUTE(SUBSTITUTE(SUBSTITUTE(SUBSTITUTE(SUBSTITUTE(SUBSTITUTE(SUBSTITUTE(SUBSTITUTE(SUBSTITUTE(SUBSTITUTE(SUBSTITUTE(SUBSTITUTE(SUBSTITUTE(SUBSTITUTE(SUBSTITUTE(SUBSTITUTE(SUBSTITUTE(SUBSTITUTE(TRIM($E831),"'",""),"İ","I"),"ı","I"),"i","I"),"Ş","S"),"ş","S"),"Ğ","G"),"ğ","G"),"Ü","U"),"ü","U"),"Ö","O"),"ö","O"),"Ç","C"),"ç","C"),".",""),",","")," ",""),"-","")))</f>
        <v/>
      </c>
    </row>
    <row r="832">
      <c r="A832" s="6" t="n"/>
      <c r="B832" s="113">
        <f>IF($E832="","","A"&amp;TEXT(ROW()-6,"00000"))</f>
        <v/>
      </c>
      <c r="C832" s="108" t="n"/>
      <c r="D832" s="113">
        <f>IF($E832="","",IFERROR(INDEX(MUSTERILER!$B$7:$B$106,MATCH($U832,MUSTERILER!$T$7:$T$106,0)),IFERROR(INDEX(MUSTERILER!$B$7:$B$106,MATCH($E832,MUSTERILER!$B$7:$B$106,0)),IFERROR(INDEX(MUSTERILER!$B$7:$B$106,MATCH($U832&amp;"*",MUSTERILER!$T$7:$T$106,0)),"TANIMSIZ MÜŞTERİ"))))</f>
        <v/>
      </c>
      <c r="E832" s="109" t="n"/>
      <c r="F832" s="109" t="n"/>
      <c r="G832" s="108" t="n"/>
      <c r="H832" s="220" t="n"/>
      <c r="I832" s="220" t="n"/>
      <c r="J832" s="108" t="n"/>
      <c r="K832" s="108" t="n"/>
      <c r="L832" s="109" t="n"/>
      <c r="M832" s="109" t="n"/>
      <c r="N832" s="109" t="n"/>
      <c r="O832" s="220" t="n"/>
      <c r="P832" s="227">
        <f>IF(OR($E832="",$I832=""),"",IF(OR($J832="Tamamlandı",$J832="İptal"),"",$I832-TODAY()))</f>
        <v/>
      </c>
      <c r="Q832" s="113">
        <f>IF($E832="","",IF($D832="TANIMSIZ MÜŞTERİ","HATA",IF(OR($J832="Tamamlandı",$J832="İptal"),"KAPALI",IF(AND($C832="Görüşme",$N832=""),"SONRAKİ İŞLEM EKSİK",IF($I832="","TARİH EKSİK",IF($I832&lt;TODAY(),"GECİKMİŞ",IF($I832=TODAY(),"BUGÜN",IF($I832&lt;=TODAY()+7,"7 GÜN İÇİNDE","PLANLI"))))))))</f>
        <v/>
      </c>
      <c r="R832" s="6" t="n"/>
      <c r="S832" s="6" t="n"/>
      <c r="T832" s="3" t="n"/>
      <c r="U832" s="3">
        <f>IF($E832="","",UPPER(SUBSTITUTE(SUBSTITUTE(SUBSTITUTE(SUBSTITUTE(SUBSTITUTE(SUBSTITUTE(SUBSTITUTE(SUBSTITUTE(SUBSTITUTE(SUBSTITUTE(SUBSTITUTE(SUBSTITUTE(SUBSTITUTE(SUBSTITUTE(SUBSTITUTE(SUBSTITUTE(SUBSTITUTE(SUBSTITUTE(TRIM($E832),"'",""),"İ","I"),"ı","I"),"i","I"),"Ş","S"),"ş","S"),"Ğ","G"),"ğ","G"),"Ü","U"),"ü","U"),"Ö","O"),"ö","O"),"Ç","C"),"ç","C"),".",""),",","")," ",""),"-","")))</f>
        <v/>
      </c>
    </row>
    <row r="833">
      <c r="A833" s="6" t="n"/>
      <c r="B833" s="113">
        <f>IF($E833="","","A"&amp;TEXT(ROW()-6,"00000"))</f>
        <v/>
      </c>
      <c r="C833" s="108" t="n"/>
      <c r="D833" s="113">
        <f>IF($E833="","",IFERROR(INDEX(MUSTERILER!$B$7:$B$106,MATCH($U833,MUSTERILER!$T$7:$T$106,0)),IFERROR(INDEX(MUSTERILER!$B$7:$B$106,MATCH($E833,MUSTERILER!$B$7:$B$106,0)),IFERROR(INDEX(MUSTERILER!$B$7:$B$106,MATCH($U833&amp;"*",MUSTERILER!$T$7:$T$106,0)),"TANIMSIZ MÜŞTERİ"))))</f>
        <v/>
      </c>
      <c r="E833" s="109" t="n"/>
      <c r="F833" s="109" t="n"/>
      <c r="G833" s="108" t="n"/>
      <c r="H833" s="220" t="n"/>
      <c r="I833" s="220" t="n"/>
      <c r="J833" s="108" t="n"/>
      <c r="K833" s="108" t="n"/>
      <c r="L833" s="109" t="n"/>
      <c r="M833" s="109" t="n"/>
      <c r="N833" s="109" t="n"/>
      <c r="O833" s="220" t="n"/>
      <c r="P833" s="227">
        <f>IF(OR($E833="",$I833=""),"",IF(OR($J833="Tamamlandı",$J833="İptal"),"",$I833-TODAY()))</f>
        <v/>
      </c>
      <c r="Q833" s="113">
        <f>IF($E833="","",IF($D833="TANIMSIZ MÜŞTERİ","HATA",IF(OR($J833="Tamamlandı",$J833="İptal"),"KAPALI",IF(AND($C833="Görüşme",$N833=""),"SONRAKİ İŞLEM EKSİK",IF($I833="","TARİH EKSİK",IF($I833&lt;TODAY(),"GECİKMİŞ",IF($I833=TODAY(),"BUGÜN",IF($I833&lt;=TODAY()+7,"7 GÜN İÇİNDE","PLANLI"))))))))</f>
        <v/>
      </c>
      <c r="R833" s="6" t="n"/>
      <c r="S833" s="6" t="n"/>
      <c r="T833" s="3" t="n"/>
      <c r="U833" s="3">
        <f>IF($E833="","",UPPER(SUBSTITUTE(SUBSTITUTE(SUBSTITUTE(SUBSTITUTE(SUBSTITUTE(SUBSTITUTE(SUBSTITUTE(SUBSTITUTE(SUBSTITUTE(SUBSTITUTE(SUBSTITUTE(SUBSTITUTE(SUBSTITUTE(SUBSTITUTE(SUBSTITUTE(SUBSTITUTE(SUBSTITUTE(SUBSTITUTE(TRIM($E833),"'",""),"İ","I"),"ı","I"),"i","I"),"Ş","S"),"ş","S"),"Ğ","G"),"ğ","G"),"Ü","U"),"ü","U"),"Ö","O"),"ö","O"),"Ç","C"),"ç","C"),".",""),",","")," ",""),"-","")))</f>
        <v/>
      </c>
    </row>
    <row r="834">
      <c r="A834" s="6" t="n"/>
      <c r="B834" s="113">
        <f>IF($E834="","","A"&amp;TEXT(ROW()-6,"00000"))</f>
        <v/>
      </c>
      <c r="C834" s="108" t="n"/>
      <c r="D834" s="113">
        <f>IF($E834="","",IFERROR(INDEX(MUSTERILER!$B$7:$B$106,MATCH($U834,MUSTERILER!$T$7:$T$106,0)),IFERROR(INDEX(MUSTERILER!$B$7:$B$106,MATCH($E834,MUSTERILER!$B$7:$B$106,0)),IFERROR(INDEX(MUSTERILER!$B$7:$B$106,MATCH($U834&amp;"*",MUSTERILER!$T$7:$T$106,0)),"TANIMSIZ MÜŞTERİ"))))</f>
        <v/>
      </c>
      <c r="E834" s="109" t="n"/>
      <c r="F834" s="109" t="n"/>
      <c r="G834" s="108" t="n"/>
      <c r="H834" s="220" t="n"/>
      <c r="I834" s="220" t="n"/>
      <c r="J834" s="108" t="n"/>
      <c r="K834" s="108" t="n"/>
      <c r="L834" s="109" t="n"/>
      <c r="M834" s="109" t="n"/>
      <c r="N834" s="109" t="n"/>
      <c r="O834" s="220" t="n"/>
      <c r="P834" s="227">
        <f>IF(OR($E834="",$I834=""),"",IF(OR($J834="Tamamlandı",$J834="İptal"),"",$I834-TODAY()))</f>
        <v/>
      </c>
      <c r="Q834" s="113">
        <f>IF($E834="","",IF($D834="TANIMSIZ MÜŞTERİ","HATA",IF(OR($J834="Tamamlandı",$J834="İptal"),"KAPALI",IF(AND($C834="Görüşme",$N834=""),"SONRAKİ İŞLEM EKSİK",IF($I834="","TARİH EKSİK",IF($I834&lt;TODAY(),"GECİKMİŞ",IF($I834=TODAY(),"BUGÜN",IF($I834&lt;=TODAY()+7,"7 GÜN İÇİNDE","PLANLI"))))))))</f>
        <v/>
      </c>
      <c r="R834" s="6" t="n"/>
      <c r="S834" s="6" t="n"/>
      <c r="T834" s="3" t="n"/>
      <c r="U834" s="3">
        <f>IF($E834="","",UPPER(SUBSTITUTE(SUBSTITUTE(SUBSTITUTE(SUBSTITUTE(SUBSTITUTE(SUBSTITUTE(SUBSTITUTE(SUBSTITUTE(SUBSTITUTE(SUBSTITUTE(SUBSTITUTE(SUBSTITUTE(SUBSTITUTE(SUBSTITUTE(SUBSTITUTE(SUBSTITUTE(SUBSTITUTE(SUBSTITUTE(TRIM($E834),"'",""),"İ","I"),"ı","I"),"i","I"),"Ş","S"),"ş","S"),"Ğ","G"),"ğ","G"),"Ü","U"),"ü","U"),"Ö","O"),"ö","O"),"Ç","C"),"ç","C"),".",""),",","")," ",""),"-","")))</f>
        <v/>
      </c>
    </row>
    <row r="835">
      <c r="A835" s="6" t="n"/>
      <c r="B835" s="113">
        <f>IF($E835="","","A"&amp;TEXT(ROW()-6,"00000"))</f>
        <v/>
      </c>
      <c r="C835" s="108" t="n"/>
      <c r="D835" s="113">
        <f>IF($E835="","",IFERROR(INDEX(MUSTERILER!$B$7:$B$106,MATCH($U835,MUSTERILER!$T$7:$T$106,0)),IFERROR(INDEX(MUSTERILER!$B$7:$B$106,MATCH($E835,MUSTERILER!$B$7:$B$106,0)),IFERROR(INDEX(MUSTERILER!$B$7:$B$106,MATCH($U835&amp;"*",MUSTERILER!$T$7:$T$106,0)),"TANIMSIZ MÜŞTERİ"))))</f>
        <v/>
      </c>
      <c r="E835" s="109" t="n"/>
      <c r="F835" s="109" t="n"/>
      <c r="G835" s="108" t="n"/>
      <c r="H835" s="220" t="n"/>
      <c r="I835" s="220" t="n"/>
      <c r="J835" s="108" t="n"/>
      <c r="K835" s="108" t="n"/>
      <c r="L835" s="109" t="n"/>
      <c r="M835" s="109" t="n"/>
      <c r="N835" s="109" t="n"/>
      <c r="O835" s="220" t="n"/>
      <c r="P835" s="227">
        <f>IF(OR($E835="",$I835=""),"",IF(OR($J835="Tamamlandı",$J835="İptal"),"",$I835-TODAY()))</f>
        <v/>
      </c>
      <c r="Q835" s="113">
        <f>IF($E835="","",IF($D835="TANIMSIZ MÜŞTERİ","HATA",IF(OR($J835="Tamamlandı",$J835="İptal"),"KAPALI",IF(AND($C835="Görüşme",$N835=""),"SONRAKİ İŞLEM EKSİK",IF($I835="","TARİH EKSİK",IF($I835&lt;TODAY(),"GECİKMİŞ",IF($I835=TODAY(),"BUGÜN",IF($I835&lt;=TODAY()+7,"7 GÜN İÇİNDE","PLANLI"))))))))</f>
        <v/>
      </c>
      <c r="R835" s="6" t="n"/>
      <c r="S835" s="6" t="n"/>
      <c r="T835" s="3" t="n"/>
      <c r="U835" s="3">
        <f>IF($E835="","",UPPER(SUBSTITUTE(SUBSTITUTE(SUBSTITUTE(SUBSTITUTE(SUBSTITUTE(SUBSTITUTE(SUBSTITUTE(SUBSTITUTE(SUBSTITUTE(SUBSTITUTE(SUBSTITUTE(SUBSTITUTE(SUBSTITUTE(SUBSTITUTE(SUBSTITUTE(SUBSTITUTE(SUBSTITUTE(SUBSTITUTE(TRIM($E835),"'",""),"İ","I"),"ı","I"),"i","I"),"Ş","S"),"ş","S"),"Ğ","G"),"ğ","G"),"Ü","U"),"ü","U"),"Ö","O"),"ö","O"),"Ç","C"),"ç","C"),".",""),",","")," ",""),"-","")))</f>
        <v/>
      </c>
    </row>
    <row r="836">
      <c r="A836" s="6" t="n"/>
      <c r="B836" s="113">
        <f>IF($E836="","","A"&amp;TEXT(ROW()-6,"00000"))</f>
        <v/>
      </c>
      <c r="C836" s="108" t="n"/>
      <c r="D836" s="113">
        <f>IF($E836="","",IFERROR(INDEX(MUSTERILER!$B$7:$B$106,MATCH($U836,MUSTERILER!$T$7:$T$106,0)),IFERROR(INDEX(MUSTERILER!$B$7:$B$106,MATCH($E836,MUSTERILER!$B$7:$B$106,0)),IFERROR(INDEX(MUSTERILER!$B$7:$B$106,MATCH($U836&amp;"*",MUSTERILER!$T$7:$T$106,0)),"TANIMSIZ MÜŞTERİ"))))</f>
        <v/>
      </c>
      <c r="E836" s="109" t="n"/>
      <c r="F836" s="109" t="n"/>
      <c r="G836" s="108" t="n"/>
      <c r="H836" s="220" t="n"/>
      <c r="I836" s="220" t="n"/>
      <c r="J836" s="108" t="n"/>
      <c r="K836" s="108" t="n"/>
      <c r="L836" s="109" t="n"/>
      <c r="M836" s="109" t="n"/>
      <c r="N836" s="109" t="n"/>
      <c r="O836" s="220" t="n"/>
      <c r="P836" s="227">
        <f>IF(OR($E836="",$I836=""),"",IF(OR($J836="Tamamlandı",$J836="İptal"),"",$I836-TODAY()))</f>
        <v/>
      </c>
      <c r="Q836" s="113">
        <f>IF($E836="","",IF($D836="TANIMSIZ MÜŞTERİ","HATA",IF(OR($J836="Tamamlandı",$J836="İptal"),"KAPALI",IF(AND($C836="Görüşme",$N836=""),"SONRAKİ İŞLEM EKSİK",IF($I836="","TARİH EKSİK",IF($I836&lt;TODAY(),"GECİKMİŞ",IF($I836=TODAY(),"BUGÜN",IF($I836&lt;=TODAY()+7,"7 GÜN İÇİNDE","PLANLI"))))))))</f>
        <v/>
      </c>
      <c r="R836" s="6" t="n"/>
      <c r="S836" s="6" t="n"/>
      <c r="T836" s="3" t="n"/>
      <c r="U836" s="3">
        <f>IF($E836="","",UPPER(SUBSTITUTE(SUBSTITUTE(SUBSTITUTE(SUBSTITUTE(SUBSTITUTE(SUBSTITUTE(SUBSTITUTE(SUBSTITUTE(SUBSTITUTE(SUBSTITUTE(SUBSTITUTE(SUBSTITUTE(SUBSTITUTE(SUBSTITUTE(SUBSTITUTE(SUBSTITUTE(SUBSTITUTE(SUBSTITUTE(TRIM($E836),"'",""),"İ","I"),"ı","I"),"i","I"),"Ş","S"),"ş","S"),"Ğ","G"),"ğ","G"),"Ü","U"),"ü","U"),"Ö","O"),"ö","O"),"Ç","C"),"ç","C"),".",""),",","")," ",""),"-","")))</f>
        <v/>
      </c>
    </row>
    <row r="837">
      <c r="A837" s="6" t="n"/>
      <c r="B837" s="113">
        <f>IF($E837="","","A"&amp;TEXT(ROW()-6,"00000"))</f>
        <v/>
      </c>
      <c r="C837" s="108" t="n"/>
      <c r="D837" s="113">
        <f>IF($E837="","",IFERROR(INDEX(MUSTERILER!$B$7:$B$106,MATCH($U837,MUSTERILER!$T$7:$T$106,0)),IFERROR(INDEX(MUSTERILER!$B$7:$B$106,MATCH($E837,MUSTERILER!$B$7:$B$106,0)),IFERROR(INDEX(MUSTERILER!$B$7:$B$106,MATCH($U837&amp;"*",MUSTERILER!$T$7:$T$106,0)),"TANIMSIZ MÜŞTERİ"))))</f>
        <v/>
      </c>
      <c r="E837" s="109" t="n"/>
      <c r="F837" s="109" t="n"/>
      <c r="G837" s="108" t="n"/>
      <c r="H837" s="220" t="n"/>
      <c r="I837" s="220" t="n"/>
      <c r="J837" s="108" t="n"/>
      <c r="K837" s="108" t="n"/>
      <c r="L837" s="109" t="n"/>
      <c r="M837" s="109" t="n"/>
      <c r="N837" s="109" t="n"/>
      <c r="O837" s="220" t="n"/>
      <c r="P837" s="227">
        <f>IF(OR($E837="",$I837=""),"",IF(OR($J837="Tamamlandı",$J837="İptal"),"",$I837-TODAY()))</f>
        <v/>
      </c>
      <c r="Q837" s="113">
        <f>IF($E837="","",IF($D837="TANIMSIZ MÜŞTERİ","HATA",IF(OR($J837="Tamamlandı",$J837="İptal"),"KAPALI",IF(AND($C837="Görüşme",$N837=""),"SONRAKİ İŞLEM EKSİK",IF($I837="","TARİH EKSİK",IF($I837&lt;TODAY(),"GECİKMİŞ",IF($I837=TODAY(),"BUGÜN",IF($I837&lt;=TODAY()+7,"7 GÜN İÇİNDE","PLANLI"))))))))</f>
        <v/>
      </c>
      <c r="R837" s="6" t="n"/>
      <c r="S837" s="6" t="n"/>
      <c r="T837" s="3" t="n"/>
      <c r="U837" s="3">
        <f>IF($E837="","",UPPER(SUBSTITUTE(SUBSTITUTE(SUBSTITUTE(SUBSTITUTE(SUBSTITUTE(SUBSTITUTE(SUBSTITUTE(SUBSTITUTE(SUBSTITUTE(SUBSTITUTE(SUBSTITUTE(SUBSTITUTE(SUBSTITUTE(SUBSTITUTE(SUBSTITUTE(SUBSTITUTE(SUBSTITUTE(SUBSTITUTE(TRIM($E837),"'",""),"İ","I"),"ı","I"),"i","I"),"Ş","S"),"ş","S"),"Ğ","G"),"ğ","G"),"Ü","U"),"ü","U"),"Ö","O"),"ö","O"),"Ç","C"),"ç","C"),".",""),",","")," ",""),"-","")))</f>
        <v/>
      </c>
    </row>
    <row r="838">
      <c r="A838" s="6" t="n"/>
      <c r="B838" s="113">
        <f>IF($E838="","","A"&amp;TEXT(ROW()-6,"00000"))</f>
        <v/>
      </c>
      <c r="C838" s="108" t="n"/>
      <c r="D838" s="113">
        <f>IF($E838="","",IFERROR(INDEX(MUSTERILER!$B$7:$B$106,MATCH($U838,MUSTERILER!$T$7:$T$106,0)),IFERROR(INDEX(MUSTERILER!$B$7:$B$106,MATCH($E838,MUSTERILER!$B$7:$B$106,0)),IFERROR(INDEX(MUSTERILER!$B$7:$B$106,MATCH($U838&amp;"*",MUSTERILER!$T$7:$T$106,0)),"TANIMSIZ MÜŞTERİ"))))</f>
        <v/>
      </c>
      <c r="E838" s="109" t="n"/>
      <c r="F838" s="109" t="n"/>
      <c r="G838" s="108" t="n"/>
      <c r="H838" s="220" t="n"/>
      <c r="I838" s="220" t="n"/>
      <c r="J838" s="108" t="n"/>
      <c r="K838" s="108" t="n"/>
      <c r="L838" s="109" t="n"/>
      <c r="M838" s="109" t="n"/>
      <c r="N838" s="109" t="n"/>
      <c r="O838" s="220" t="n"/>
      <c r="P838" s="227">
        <f>IF(OR($E838="",$I838=""),"",IF(OR($J838="Tamamlandı",$J838="İptal"),"",$I838-TODAY()))</f>
        <v/>
      </c>
      <c r="Q838" s="113">
        <f>IF($E838="","",IF($D838="TANIMSIZ MÜŞTERİ","HATA",IF(OR($J838="Tamamlandı",$J838="İptal"),"KAPALI",IF(AND($C838="Görüşme",$N838=""),"SONRAKİ İŞLEM EKSİK",IF($I838="","TARİH EKSİK",IF($I838&lt;TODAY(),"GECİKMİŞ",IF($I838=TODAY(),"BUGÜN",IF($I838&lt;=TODAY()+7,"7 GÜN İÇİNDE","PLANLI"))))))))</f>
        <v/>
      </c>
      <c r="R838" s="6" t="n"/>
      <c r="S838" s="6" t="n"/>
      <c r="T838" s="3" t="n"/>
      <c r="U838" s="3">
        <f>IF($E838="","",UPPER(SUBSTITUTE(SUBSTITUTE(SUBSTITUTE(SUBSTITUTE(SUBSTITUTE(SUBSTITUTE(SUBSTITUTE(SUBSTITUTE(SUBSTITUTE(SUBSTITUTE(SUBSTITUTE(SUBSTITUTE(SUBSTITUTE(SUBSTITUTE(SUBSTITUTE(SUBSTITUTE(SUBSTITUTE(SUBSTITUTE(TRIM($E838),"'",""),"İ","I"),"ı","I"),"i","I"),"Ş","S"),"ş","S"),"Ğ","G"),"ğ","G"),"Ü","U"),"ü","U"),"Ö","O"),"ö","O"),"Ç","C"),"ç","C"),".",""),",","")," ",""),"-","")))</f>
        <v/>
      </c>
    </row>
    <row r="839">
      <c r="A839" s="6" t="n"/>
      <c r="B839" s="113">
        <f>IF($E839="","","A"&amp;TEXT(ROW()-6,"00000"))</f>
        <v/>
      </c>
      <c r="C839" s="108" t="n"/>
      <c r="D839" s="113">
        <f>IF($E839="","",IFERROR(INDEX(MUSTERILER!$B$7:$B$106,MATCH($U839,MUSTERILER!$T$7:$T$106,0)),IFERROR(INDEX(MUSTERILER!$B$7:$B$106,MATCH($E839,MUSTERILER!$B$7:$B$106,0)),IFERROR(INDEX(MUSTERILER!$B$7:$B$106,MATCH($U839&amp;"*",MUSTERILER!$T$7:$T$106,0)),"TANIMSIZ MÜŞTERİ"))))</f>
        <v/>
      </c>
      <c r="E839" s="109" t="n"/>
      <c r="F839" s="109" t="n"/>
      <c r="G839" s="108" t="n"/>
      <c r="H839" s="220" t="n"/>
      <c r="I839" s="220" t="n"/>
      <c r="J839" s="108" t="n"/>
      <c r="K839" s="108" t="n"/>
      <c r="L839" s="109" t="n"/>
      <c r="M839" s="109" t="n"/>
      <c r="N839" s="109" t="n"/>
      <c r="O839" s="220" t="n"/>
      <c r="P839" s="227">
        <f>IF(OR($E839="",$I839=""),"",IF(OR($J839="Tamamlandı",$J839="İptal"),"",$I839-TODAY()))</f>
        <v/>
      </c>
      <c r="Q839" s="113">
        <f>IF($E839="","",IF($D839="TANIMSIZ MÜŞTERİ","HATA",IF(OR($J839="Tamamlandı",$J839="İptal"),"KAPALI",IF(AND($C839="Görüşme",$N839=""),"SONRAKİ İŞLEM EKSİK",IF($I839="","TARİH EKSİK",IF($I839&lt;TODAY(),"GECİKMİŞ",IF($I839=TODAY(),"BUGÜN",IF($I839&lt;=TODAY()+7,"7 GÜN İÇİNDE","PLANLI"))))))))</f>
        <v/>
      </c>
      <c r="R839" s="6" t="n"/>
      <c r="S839" s="6" t="n"/>
      <c r="T839" s="3" t="n"/>
      <c r="U839" s="3">
        <f>IF($E839="","",UPPER(SUBSTITUTE(SUBSTITUTE(SUBSTITUTE(SUBSTITUTE(SUBSTITUTE(SUBSTITUTE(SUBSTITUTE(SUBSTITUTE(SUBSTITUTE(SUBSTITUTE(SUBSTITUTE(SUBSTITUTE(SUBSTITUTE(SUBSTITUTE(SUBSTITUTE(SUBSTITUTE(SUBSTITUTE(SUBSTITUTE(TRIM($E839),"'",""),"İ","I"),"ı","I"),"i","I"),"Ş","S"),"ş","S"),"Ğ","G"),"ğ","G"),"Ü","U"),"ü","U"),"Ö","O"),"ö","O"),"Ç","C"),"ç","C"),".",""),",","")," ",""),"-","")))</f>
        <v/>
      </c>
    </row>
    <row r="840">
      <c r="A840" s="6" t="n"/>
      <c r="B840" s="113">
        <f>IF($E840="","","A"&amp;TEXT(ROW()-6,"00000"))</f>
        <v/>
      </c>
      <c r="C840" s="108" t="n"/>
      <c r="D840" s="113">
        <f>IF($E840="","",IFERROR(INDEX(MUSTERILER!$B$7:$B$106,MATCH($U840,MUSTERILER!$T$7:$T$106,0)),IFERROR(INDEX(MUSTERILER!$B$7:$B$106,MATCH($E840,MUSTERILER!$B$7:$B$106,0)),IFERROR(INDEX(MUSTERILER!$B$7:$B$106,MATCH($U840&amp;"*",MUSTERILER!$T$7:$T$106,0)),"TANIMSIZ MÜŞTERİ"))))</f>
        <v/>
      </c>
      <c r="E840" s="109" t="n"/>
      <c r="F840" s="109" t="n"/>
      <c r="G840" s="108" t="n"/>
      <c r="H840" s="220" t="n"/>
      <c r="I840" s="220" t="n"/>
      <c r="J840" s="108" t="n"/>
      <c r="K840" s="108" t="n"/>
      <c r="L840" s="109" t="n"/>
      <c r="M840" s="109" t="n"/>
      <c r="N840" s="109" t="n"/>
      <c r="O840" s="220" t="n"/>
      <c r="P840" s="227">
        <f>IF(OR($E840="",$I840=""),"",IF(OR($J840="Tamamlandı",$J840="İptal"),"",$I840-TODAY()))</f>
        <v/>
      </c>
      <c r="Q840" s="113">
        <f>IF($E840="","",IF($D840="TANIMSIZ MÜŞTERİ","HATA",IF(OR($J840="Tamamlandı",$J840="İptal"),"KAPALI",IF(AND($C840="Görüşme",$N840=""),"SONRAKİ İŞLEM EKSİK",IF($I840="","TARİH EKSİK",IF($I840&lt;TODAY(),"GECİKMİŞ",IF($I840=TODAY(),"BUGÜN",IF($I840&lt;=TODAY()+7,"7 GÜN İÇİNDE","PLANLI"))))))))</f>
        <v/>
      </c>
      <c r="R840" s="6" t="n"/>
      <c r="S840" s="6" t="n"/>
      <c r="T840" s="3" t="n"/>
      <c r="U840" s="3">
        <f>IF($E840="","",UPPER(SUBSTITUTE(SUBSTITUTE(SUBSTITUTE(SUBSTITUTE(SUBSTITUTE(SUBSTITUTE(SUBSTITUTE(SUBSTITUTE(SUBSTITUTE(SUBSTITUTE(SUBSTITUTE(SUBSTITUTE(SUBSTITUTE(SUBSTITUTE(SUBSTITUTE(SUBSTITUTE(SUBSTITUTE(SUBSTITUTE(TRIM($E840),"'",""),"İ","I"),"ı","I"),"i","I"),"Ş","S"),"ş","S"),"Ğ","G"),"ğ","G"),"Ü","U"),"ü","U"),"Ö","O"),"ö","O"),"Ç","C"),"ç","C"),".",""),",","")," ",""),"-","")))</f>
        <v/>
      </c>
    </row>
    <row r="841">
      <c r="A841" s="6" t="n"/>
      <c r="B841" s="113">
        <f>IF($E841="","","A"&amp;TEXT(ROW()-6,"00000"))</f>
        <v/>
      </c>
      <c r="C841" s="108" t="n"/>
      <c r="D841" s="113">
        <f>IF($E841="","",IFERROR(INDEX(MUSTERILER!$B$7:$B$106,MATCH($U841,MUSTERILER!$T$7:$T$106,0)),IFERROR(INDEX(MUSTERILER!$B$7:$B$106,MATCH($E841,MUSTERILER!$B$7:$B$106,0)),IFERROR(INDEX(MUSTERILER!$B$7:$B$106,MATCH($U841&amp;"*",MUSTERILER!$T$7:$T$106,0)),"TANIMSIZ MÜŞTERİ"))))</f>
        <v/>
      </c>
      <c r="E841" s="109" t="n"/>
      <c r="F841" s="109" t="n"/>
      <c r="G841" s="108" t="n"/>
      <c r="H841" s="220" t="n"/>
      <c r="I841" s="220" t="n"/>
      <c r="J841" s="108" t="n"/>
      <c r="K841" s="108" t="n"/>
      <c r="L841" s="109" t="n"/>
      <c r="M841" s="109" t="n"/>
      <c r="N841" s="109" t="n"/>
      <c r="O841" s="220" t="n"/>
      <c r="P841" s="227">
        <f>IF(OR($E841="",$I841=""),"",IF(OR($J841="Tamamlandı",$J841="İptal"),"",$I841-TODAY()))</f>
        <v/>
      </c>
      <c r="Q841" s="113">
        <f>IF($E841="","",IF($D841="TANIMSIZ MÜŞTERİ","HATA",IF(OR($J841="Tamamlandı",$J841="İptal"),"KAPALI",IF(AND($C841="Görüşme",$N841=""),"SONRAKİ İŞLEM EKSİK",IF($I841="","TARİH EKSİK",IF($I841&lt;TODAY(),"GECİKMİŞ",IF($I841=TODAY(),"BUGÜN",IF($I841&lt;=TODAY()+7,"7 GÜN İÇİNDE","PLANLI"))))))))</f>
        <v/>
      </c>
      <c r="R841" s="6" t="n"/>
      <c r="S841" s="6" t="n"/>
      <c r="T841" s="3" t="n"/>
      <c r="U841" s="3">
        <f>IF($E841="","",UPPER(SUBSTITUTE(SUBSTITUTE(SUBSTITUTE(SUBSTITUTE(SUBSTITUTE(SUBSTITUTE(SUBSTITUTE(SUBSTITUTE(SUBSTITUTE(SUBSTITUTE(SUBSTITUTE(SUBSTITUTE(SUBSTITUTE(SUBSTITUTE(SUBSTITUTE(SUBSTITUTE(SUBSTITUTE(SUBSTITUTE(TRIM($E841),"'",""),"İ","I"),"ı","I"),"i","I"),"Ş","S"),"ş","S"),"Ğ","G"),"ğ","G"),"Ü","U"),"ü","U"),"Ö","O"),"ö","O"),"Ç","C"),"ç","C"),".",""),",","")," ",""),"-","")))</f>
        <v/>
      </c>
    </row>
    <row r="842">
      <c r="A842" s="6" t="n"/>
      <c r="B842" s="113">
        <f>IF($E842="","","A"&amp;TEXT(ROW()-6,"00000"))</f>
        <v/>
      </c>
      <c r="C842" s="108" t="n"/>
      <c r="D842" s="113">
        <f>IF($E842="","",IFERROR(INDEX(MUSTERILER!$B$7:$B$106,MATCH($U842,MUSTERILER!$T$7:$T$106,0)),IFERROR(INDEX(MUSTERILER!$B$7:$B$106,MATCH($E842,MUSTERILER!$B$7:$B$106,0)),IFERROR(INDEX(MUSTERILER!$B$7:$B$106,MATCH($U842&amp;"*",MUSTERILER!$T$7:$T$106,0)),"TANIMSIZ MÜŞTERİ"))))</f>
        <v/>
      </c>
      <c r="E842" s="109" t="n"/>
      <c r="F842" s="109" t="n"/>
      <c r="G842" s="108" t="n"/>
      <c r="H842" s="220" t="n"/>
      <c r="I842" s="220" t="n"/>
      <c r="J842" s="108" t="n"/>
      <c r="K842" s="108" t="n"/>
      <c r="L842" s="109" t="n"/>
      <c r="M842" s="109" t="n"/>
      <c r="N842" s="109" t="n"/>
      <c r="O842" s="220" t="n"/>
      <c r="P842" s="227">
        <f>IF(OR($E842="",$I842=""),"",IF(OR($J842="Tamamlandı",$J842="İptal"),"",$I842-TODAY()))</f>
        <v/>
      </c>
      <c r="Q842" s="113">
        <f>IF($E842="","",IF($D842="TANIMSIZ MÜŞTERİ","HATA",IF(OR($J842="Tamamlandı",$J842="İptal"),"KAPALI",IF(AND($C842="Görüşme",$N842=""),"SONRAKİ İŞLEM EKSİK",IF($I842="","TARİH EKSİK",IF($I842&lt;TODAY(),"GECİKMİŞ",IF($I842=TODAY(),"BUGÜN",IF($I842&lt;=TODAY()+7,"7 GÜN İÇİNDE","PLANLI"))))))))</f>
        <v/>
      </c>
      <c r="R842" s="6" t="n"/>
      <c r="S842" s="6" t="n"/>
      <c r="T842" s="3" t="n"/>
      <c r="U842" s="3">
        <f>IF($E842="","",UPPER(SUBSTITUTE(SUBSTITUTE(SUBSTITUTE(SUBSTITUTE(SUBSTITUTE(SUBSTITUTE(SUBSTITUTE(SUBSTITUTE(SUBSTITUTE(SUBSTITUTE(SUBSTITUTE(SUBSTITUTE(SUBSTITUTE(SUBSTITUTE(SUBSTITUTE(SUBSTITUTE(SUBSTITUTE(SUBSTITUTE(TRIM($E842),"'",""),"İ","I"),"ı","I"),"i","I"),"Ş","S"),"ş","S"),"Ğ","G"),"ğ","G"),"Ü","U"),"ü","U"),"Ö","O"),"ö","O"),"Ç","C"),"ç","C"),".",""),",","")," ",""),"-","")))</f>
        <v/>
      </c>
    </row>
    <row r="843">
      <c r="A843" s="6" t="n"/>
      <c r="B843" s="113">
        <f>IF($E843="","","A"&amp;TEXT(ROW()-6,"00000"))</f>
        <v/>
      </c>
      <c r="C843" s="108" t="n"/>
      <c r="D843" s="113">
        <f>IF($E843="","",IFERROR(INDEX(MUSTERILER!$B$7:$B$106,MATCH($U843,MUSTERILER!$T$7:$T$106,0)),IFERROR(INDEX(MUSTERILER!$B$7:$B$106,MATCH($E843,MUSTERILER!$B$7:$B$106,0)),IFERROR(INDEX(MUSTERILER!$B$7:$B$106,MATCH($U843&amp;"*",MUSTERILER!$T$7:$T$106,0)),"TANIMSIZ MÜŞTERİ"))))</f>
        <v/>
      </c>
      <c r="E843" s="109" t="n"/>
      <c r="F843" s="109" t="n"/>
      <c r="G843" s="108" t="n"/>
      <c r="H843" s="220" t="n"/>
      <c r="I843" s="220" t="n"/>
      <c r="J843" s="108" t="n"/>
      <c r="K843" s="108" t="n"/>
      <c r="L843" s="109" t="n"/>
      <c r="M843" s="109" t="n"/>
      <c r="N843" s="109" t="n"/>
      <c r="O843" s="220" t="n"/>
      <c r="P843" s="227">
        <f>IF(OR($E843="",$I843=""),"",IF(OR($J843="Tamamlandı",$J843="İptal"),"",$I843-TODAY()))</f>
        <v/>
      </c>
      <c r="Q843" s="113">
        <f>IF($E843="","",IF($D843="TANIMSIZ MÜŞTERİ","HATA",IF(OR($J843="Tamamlandı",$J843="İptal"),"KAPALI",IF(AND($C843="Görüşme",$N843=""),"SONRAKİ İŞLEM EKSİK",IF($I843="","TARİH EKSİK",IF($I843&lt;TODAY(),"GECİKMİŞ",IF($I843=TODAY(),"BUGÜN",IF($I843&lt;=TODAY()+7,"7 GÜN İÇİNDE","PLANLI"))))))))</f>
        <v/>
      </c>
      <c r="R843" s="6" t="n"/>
      <c r="S843" s="6" t="n"/>
      <c r="T843" s="3" t="n"/>
      <c r="U843" s="3">
        <f>IF($E843="","",UPPER(SUBSTITUTE(SUBSTITUTE(SUBSTITUTE(SUBSTITUTE(SUBSTITUTE(SUBSTITUTE(SUBSTITUTE(SUBSTITUTE(SUBSTITUTE(SUBSTITUTE(SUBSTITUTE(SUBSTITUTE(SUBSTITUTE(SUBSTITUTE(SUBSTITUTE(SUBSTITUTE(SUBSTITUTE(SUBSTITUTE(TRIM($E843),"'",""),"İ","I"),"ı","I"),"i","I"),"Ş","S"),"ş","S"),"Ğ","G"),"ğ","G"),"Ü","U"),"ü","U"),"Ö","O"),"ö","O"),"Ç","C"),"ç","C"),".",""),",","")," ",""),"-","")))</f>
        <v/>
      </c>
    </row>
    <row r="844">
      <c r="A844" s="6" t="n"/>
      <c r="B844" s="113">
        <f>IF($E844="","","A"&amp;TEXT(ROW()-6,"00000"))</f>
        <v/>
      </c>
      <c r="C844" s="108" t="n"/>
      <c r="D844" s="113">
        <f>IF($E844="","",IFERROR(INDEX(MUSTERILER!$B$7:$B$106,MATCH($U844,MUSTERILER!$T$7:$T$106,0)),IFERROR(INDEX(MUSTERILER!$B$7:$B$106,MATCH($E844,MUSTERILER!$B$7:$B$106,0)),IFERROR(INDEX(MUSTERILER!$B$7:$B$106,MATCH($U844&amp;"*",MUSTERILER!$T$7:$T$106,0)),"TANIMSIZ MÜŞTERİ"))))</f>
        <v/>
      </c>
      <c r="E844" s="109" t="n"/>
      <c r="F844" s="109" t="n"/>
      <c r="G844" s="108" t="n"/>
      <c r="H844" s="220" t="n"/>
      <c r="I844" s="220" t="n"/>
      <c r="J844" s="108" t="n"/>
      <c r="K844" s="108" t="n"/>
      <c r="L844" s="109" t="n"/>
      <c r="M844" s="109" t="n"/>
      <c r="N844" s="109" t="n"/>
      <c r="O844" s="220" t="n"/>
      <c r="P844" s="227">
        <f>IF(OR($E844="",$I844=""),"",IF(OR($J844="Tamamlandı",$J844="İptal"),"",$I844-TODAY()))</f>
        <v/>
      </c>
      <c r="Q844" s="113">
        <f>IF($E844="","",IF($D844="TANIMSIZ MÜŞTERİ","HATA",IF(OR($J844="Tamamlandı",$J844="İptal"),"KAPALI",IF(AND($C844="Görüşme",$N844=""),"SONRAKİ İŞLEM EKSİK",IF($I844="","TARİH EKSİK",IF($I844&lt;TODAY(),"GECİKMİŞ",IF($I844=TODAY(),"BUGÜN",IF($I844&lt;=TODAY()+7,"7 GÜN İÇİNDE","PLANLI"))))))))</f>
        <v/>
      </c>
      <c r="R844" s="6" t="n"/>
      <c r="S844" s="6" t="n"/>
      <c r="T844" s="3" t="n"/>
      <c r="U844" s="3">
        <f>IF($E844="","",UPPER(SUBSTITUTE(SUBSTITUTE(SUBSTITUTE(SUBSTITUTE(SUBSTITUTE(SUBSTITUTE(SUBSTITUTE(SUBSTITUTE(SUBSTITUTE(SUBSTITUTE(SUBSTITUTE(SUBSTITUTE(SUBSTITUTE(SUBSTITUTE(SUBSTITUTE(SUBSTITUTE(SUBSTITUTE(SUBSTITUTE(TRIM($E844),"'",""),"İ","I"),"ı","I"),"i","I"),"Ş","S"),"ş","S"),"Ğ","G"),"ğ","G"),"Ü","U"),"ü","U"),"Ö","O"),"ö","O"),"Ç","C"),"ç","C"),".",""),",","")," ",""),"-","")))</f>
        <v/>
      </c>
    </row>
    <row r="845">
      <c r="A845" s="6" t="n"/>
      <c r="B845" s="113">
        <f>IF($E845="","","A"&amp;TEXT(ROW()-6,"00000"))</f>
        <v/>
      </c>
      <c r="C845" s="108" t="n"/>
      <c r="D845" s="113">
        <f>IF($E845="","",IFERROR(INDEX(MUSTERILER!$B$7:$B$106,MATCH($U845,MUSTERILER!$T$7:$T$106,0)),IFERROR(INDEX(MUSTERILER!$B$7:$B$106,MATCH($E845,MUSTERILER!$B$7:$B$106,0)),IFERROR(INDEX(MUSTERILER!$B$7:$B$106,MATCH($U845&amp;"*",MUSTERILER!$T$7:$T$106,0)),"TANIMSIZ MÜŞTERİ"))))</f>
        <v/>
      </c>
      <c r="E845" s="109" t="n"/>
      <c r="F845" s="109" t="n"/>
      <c r="G845" s="108" t="n"/>
      <c r="H845" s="220" t="n"/>
      <c r="I845" s="220" t="n"/>
      <c r="J845" s="108" t="n"/>
      <c r="K845" s="108" t="n"/>
      <c r="L845" s="109" t="n"/>
      <c r="M845" s="109" t="n"/>
      <c r="N845" s="109" t="n"/>
      <c r="O845" s="220" t="n"/>
      <c r="P845" s="227">
        <f>IF(OR($E845="",$I845=""),"",IF(OR($J845="Tamamlandı",$J845="İptal"),"",$I845-TODAY()))</f>
        <v/>
      </c>
      <c r="Q845" s="113">
        <f>IF($E845="","",IF($D845="TANIMSIZ MÜŞTERİ","HATA",IF(OR($J845="Tamamlandı",$J845="İptal"),"KAPALI",IF(AND($C845="Görüşme",$N845=""),"SONRAKİ İŞLEM EKSİK",IF($I845="","TARİH EKSİK",IF($I845&lt;TODAY(),"GECİKMİŞ",IF($I845=TODAY(),"BUGÜN",IF($I845&lt;=TODAY()+7,"7 GÜN İÇİNDE","PLANLI"))))))))</f>
        <v/>
      </c>
      <c r="R845" s="6" t="n"/>
      <c r="S845" s="6" t="n"/>
      <c r="T845" s="3" t="n"/>
      <c r="U845" s="3">
        <f>IF($E845="","",UPPER(SUBSTITUTE(SUBSTITUTE(SUBSTITUTE(SUBSTITUTE(SUBSTITUTE(SUBSTITUTE(SUBSTITUTE(SUBSTITUTE(SUBSTITUTE(SUBSTITUTE(SUBSTITUTE(SUBSTITUTE(SUBSTITUTE(SUBSTITUTE(SUBSTITUTE(SUBSTITUTE(SUBSTITUTE(SUBSTITUTE(TRIM($E845),"'",""),"İ","I"),"ı","I"),"i","I"),"Ş","S"),"ş","S"),"Ğ","G"),"ğ","G"),"Ü","U"),"ü","U"),"Ö","O"),"ö","O"),"Ç","C"),"ç","C"),".",""),",","")," ",""),"-","")))</f>
        <v/>
      </c>
    </row>
    <row r="846">
      <c r="A846" s="6" t="n"/>
      <c r="B846" s="113">
        <f>IF($E846="","","A"&amp;TEXT(ROW()-6,"00000"))</f>
        <v/>
      </c>
      <c r="C846" s="108" t="n"/>
      <c r="D846" s="113">
        <f>IF($E846="","",IFERROR(INDEX(MUSTERILER!$B$7:$B$106,MATCH($U846,MUSTERILER!$T$7:$T$106,0)),IFERROR(INDEX(MUSTERILER!$B$7:$B$106,MATCH($E846,MUSTERILER!$B$7:$B$106,0)),IFERROR(INDEX(MUSTERILER!$B$7:$B$106,MATCH($U846&amp;"*",MUSTERILER!$T$7:$T$106,0)),"TANIMSIZ MÜŞTERİ"))))</f>
        <v/>
      </c>
      <c r="E846" s="109" t="n"/>
      <c r="F846" s="109" t="n"/>
      <c r="G846" s="108" t="n"/>
      <c r="H846" s="220" t="n"/>
      <c r="I846" s="220" t="n"/>
      <c r="J846" s="108" t="n"/>
      <c r="K846" s="108" t="n"/>
      <c r="L846" s="109" t="n"/>
      <c r="M846" s="109" t="n"/>
      <c r="N846" s="109" t="n"/>
      <c r="O846" s="220" t="n"/>
      <c r="P846" s="227">
        <f>IF(OR($E846="",$I846=""),"",IF(OR($J846="Tamamlandı",$J846="İptal"),"",$I846-TODAY()))</f>
        <v/>
      </c>
      <c r="Q846" s="113">
        <f>IF($E846="","",IF($D846="TANIMSIZ MÜŞTERİ","HATA",IF(OR($J846="Tamamlandı",$J846="İptal"),"KAPALI",IF(AND($C846="Görüşme",$N846=""),"SONRAKİ İŞLEM EKSİK",IF($I846="","TARİH EKSİK",IF($I846&lt;TODAY(),"GECİKMİŞ",IF($I846=TODAY(),"BUGÜN",IF($I846&lt;=TODAY()+7,"7 GÜN İÇİNDE","PLANLI"))))))))</f>
        <v/>
      </c>
      <c r="R846" s="6" t="n"/>
      <c r="S846" s="6" t="n"/>
      <c r="T846" s="3" t="n"/>
      <c r="U846" s="3">
        <f>IF($E846="","",UPPER(SUBSTITUTE(SUBSTITUTE(SUBSTITUTE(SUBSTITUTE(SUBSTITUTE(SUBSTITUTE(SUBSTITUTE(SUBSTITUTE(SUBSTITUTE(SUBSTITUTE(SUBSTITUTE(SUBSTITUTE(SUBSTITUTE(SUBSTITUTE(SUBSTITUTE(SUBSTITUTE(SUBSTITUTE(SUBSTITUTE(TRIM($E846),"'",""),"İ","I"),"ı","I"),"i","I"),"Ş","S"),"ş","S"),"Ğ","G"),"ğ","G"),"Ü","U"),"ü","U"),"Ö","O"),"ö","O"),"Ç","C"),"ç","C"),".",""),",","")," ",""),"-","")))</f>
        <v/>
      </c>
    </row>
    <row r="847">
      <c r="A847" s="6" t="n"/>
      <c r="B847" s="113">
        <f>IF($E847="","","A"&amp;TEXT(ROW()-6,"00000"))</f>
        <v/>
      </c>
      <c r="C847" s="108" t="n"/>
      <c r="D847" s="113">
        <f>IF($E847="","",IFERROR(INDEX(MUSTERILER!$B$7:$B$106,MATCH($U847,MUSTERILER!$T$7:$T$106,0)),IFERROR(INDEX(MUSTERILER!$B$7:$B$106,MATCH($E847,MUSTERILER!$B$7:$B$106,0)),IFERROR(INDEX(MUSTERILER!$B$7:$B$106,MATCH($U847&amp;"*",MUSTERILER!$T$7:$T$106,0)),"TANIMSIZ MÜŞTERİ"))))</f>
        <v/>
      </c>
      <c r="E847" s="109" t="n"/>
      <c r="F847" s="109" t="n"/>
      <c r="G847" s="108" t="n"/>
      <c r="H847" s="220" t="n"/>
      <c r="I847" s="220" t="n"/>
      <c r="J847" s="108" t="n"/>
      <c r="K847" s="108" t="n"/>
      <c r="L847" s="109" t="n"/>
      <c r="M847" s="109" t="n"/>
      <c r="N847" s="109" t="n"/>
      <c r="O847" s="220" t="n"/>
      <c r="P847" s="227">
        <f>IF(OR($E847="",$I847=""),"",IF(OR($J847="Tamamlandı",$J847="İptal"),"",$I847-TODAY()))</f>
        <v/>
      </c>
      <c r="Q847" s="113">
        <f>IF($E847="","",IF($D847="TANIMSIZ MÜŞTERİ","HATA",IF(OR($J847="Tamamlandı",$J847="İptal"),"KAPALI",IF(AND($C847="Görüşme",$N847=""),"SONRAKİ İŞLEM EKSİK",IF($I847="","TARİH EKSİK",IF($I847&lt;TODAY(),"GECİKMİŞ",IF($I847=TODAY(),"BUGÜN",IF($I847&lt;=TODAY()+7,"7 GÜN İÇİNDE","PLANLI"))))))))</f>
        <v/>
      </c>
      <c r="R847" s="6" t="n"/>
      <c r="S847" s="6" t="n"/>
      <c r="T847" s="3" t="n"/>
      <c r="U847" s="3">
        <f>IF($E847="","",UPPER(SUBSTITUTE(SUBSTITUTE(SUBSTITUTE(SUBSTITUTE(SUBSTITUTE(SUBSTITUTE(SUBSTITUTE(SUBSTITUTE(SUBSTITUTE(SUBSTITUTE(SUBSTITUTE(SUBSTITUTE(SUBSTITUTE(SUBSTITUTE(SUBSTITUTE(SUBSTITUTE(SUBSTITUTE(SUBSTITUTE(TRIM($E847),"'",""),"İ","I"),"ı","I"),"i","I"),"Ş","S"),"ş","S"),"Ğ","G"),"ğ","G"),"Ü","U"),"ü","U"),"Ö","O"),"ö","O"),"Ç","C"),"ç","C"),".",""),",","")," ",""),"-","")))</f>
        <v/>
      </c>
    </row>
    <row r="848">
      <c r="A848" s="6" t="n"/>
      <c r="B848" s="113">
        <f>IF($E848="","","A"&amp;TEXT(ROW()-6,"00000"))</f>
        <v/>
      </c>
      <c r="C848" s="108" t="n"/>
      <c r="D848" s="113">
        <f>IF($E848="","",IFERROR(INDEX(MUSTERILER!$B$7:$B$106,MATCH($U848,MUSTERILER!$T$7:$T$106,0)),IFERROR(INDEX(MUSTERILER!$B$7:$B$106,MATCH($E848,MUSTERILER!$B$7:$B$106,0)),IFERROR(INDEX(MUSTERILER!$B$7:$B$106,MATCH($U848&amp;"*",MUSTERILER!$T$7:$T$106,0)),"TANIMSIZ MÜŞTERİ"))))</f>
        <v/>
      </c>
      <c r="E848" s="109" t="n"/>
      <c r="F848" s="109" t="n"/>
      <c r="G848" s="108" t="n"/>
      <c r="H848" s="220" t="n"/>
      <c r="I848" s="220" t="n"/>
      <c r="J848" s="108" t="n"/>
      <c r="K848" s="108" t="n"/>
      <c r="L848" s="109" t="n"/>
      <c r="M848" s="109" t="n"/>
      <c r="N848" s="109" t="n"/>
      <c r="O848" s="220" t="n"/>
      <c r="P848" s="227">
        <f>IF(OR($E848="",$I848=""),"",IF(OR($J848="Tamamlandı",$J848="İptal"),"",$I848-TODAY()))</f>
        <v/>
      </c>
      <c r="Q848" s="113">
        <f>IF($E848="","",IF($D848="TANIMSIZ MÜŞTERİ","HATA",IF(OR($J848="Tamamlandı",$J848="İptal"),"KAPALI",IF(AND($C848="Görüşme",$N848=""),"SONRAKİ İŞLEM EKSİK",IF($I848="","TARİH EKSİK",IF($I848&lt;TODAY(),"GECİKMİŞ",IF($I848=TODAY(),"BUGÜN",IF($I848&lt;=TODAY()+7,"7 GÜN İÇİNDE","PLANLI"))))))))</f>
        <v/>
      </c>
      <c r="R848" s="6" t="n"/>
      <c r="S848" s="6" t="n"/>
      <c r="T848" s="3" t="n"/>
      <c r="U848" s="3">
        <f>IF($E848="","",UPPER(SUBSTITUTE(SUBSTITUTE(SUBSTITUTE(SUBSTITUTE(SUBSTITUTE(SUBSTITUTE(SUBSTITUTE(SUBSTITUTE(SUBSTITUTE(SUBSTITUTE(SUBSTITUTE(SUBSTITUTE(SUBSTITUTE(SUBSTITUTE(SUBSTITUTE(SUBSTITUTE(SUBSTITUTE(SUBSTITUTE(TRIM($E848),"'",""),"İ","I"),"ı","I"),"i","I"),"Ş","S"),"ş","S"),"Ğ","G"),"ğ","G"),"Ü","U"),"ü","U"),"Ö","O"),"ö","O"),"Ç","C"),"ç","C"),".",""),",","")," ",""),"-","")))</f>
        <v/>
      </c>
    </row>
    <row r="849">
      <c r="A849" s="6" t="n"/>
      <c r="B849" s="113">
        <f>IF($E849="","","A"&amp;TEXT(ROW()-6,"00000"))</f>
        <v/>
      </c>
      <c r="C849" s="108" t="n"/>
      <c r="D849" s="113">
        <f>IF($E849="","",IFERROR(INDEX(MUSTERILER!$B$7:$B$106,MATCH($U849,MUSTERILER!$T$7:$T$106,0)),IFERROR(INDEX(MUSTERILER!$B$7:$B$106,MATCH($E849,MUSTERILER!$B$7:$B$106,0)),IFERROR(INDEX(MUSTERILER!$B$7:$B$106,MATCH($U849&amp;"*",MUSTERILER!$T$7:$T$106,0)),"TANIMSIZ MÜŞTERİ"))))</f>
        <v/>
      </c>
      <c r="E849" s="109" t="n"/>
      <c r="F849" s="109" t="n"/>
      <c r="G849" s="108" t="n"/>
      <c r="H849" s="220" t="n"/>
      <c r="I849" s="220" t="n"/>
      <c r="J849" s="108" t="n"/>
      <c r="K849" s="108" t="n"/>
      <c r="L849" s="109" t="n"/>
      <c r="M849" s="109" t="n"/>
      <c r="N849" s="109" t="n"/>
      <c r="O849" s="220" t="n"/>
      <c r="P849" s="227">
        <f>IF(OR($E849="",$I849=""),"",IF(OR($J849="Tamamlandı",$J849="İptal"),"",$I849-TODAY()))</f>
        <v/>
      </c>
      <c r="Q849" s="113">
        <f>IF($E849="","",IF($D849="TANIMSIZ MÜŞTERİ","HATA",IF(OR($J849="Tamamlandı",$J849="İptal"),"KAPALI",IF(AND($C849="Görüşme",$N849=""),"SONRAKİ İŞLEM EKSİK",IF($I849="","TARİH EKSİK",IF($I849&lt;TODAY(),"GECİKMİŞ",IF($I849=TODAY(),"BUGÜN",IF($I849&lt;=TODAY()+7,"7 GÜN İÇİNDE","PLANLI"))))))))</f>
        <v/>
      </c>
      <c r="R849" s="6" t="n"/>
      <c r="S849" s="6" t="n"/>
      <c r="T849" s="3" t="n"/>
      <c r="U849" s="3">
        <f>IF($E849="","",UPPER(SUBSTITUTE(SUBSTITUTE(SUBSTITUTE(SUBSTITUTE(SUBSTITUTE(SUBSTITUTE(SUBSTITUTE(SUBSTITUTE(SUBSTITUTE(SUBSTITUTE(SUBSTITUTE(SUBSTITUTE(SUBSTITUTE(SUBSTITUTE(SUBSTITUTE(SUBSTITUTE(SUBSTITUTE(SUBSTITUTE(TRIM($E849),"'",""),"İ","I"),"ı","I"),"i","I"),"Ş","S"),"ş","S"),"Ğ","G"),"ğ","G"),"Ü","U"),"ü","U"),"Ö","O"),"ö","O"),"Ç","C"),"ç","C"),".",""),",","")," ",""),"-","")))</f>
        <v/>
      </c>
    </row>
    <row r="850">
      <c r="A850" s="6" t="n"/>
      <c r="B850" s="113">
        <f>IF($E850="","","A"&amp;TEXT(ROW()-6,"00000"))</f>
        <v/>
      </c>
      <c r="C850" s="108" t="n"/>
      <c r="D850" s="113">
        <f>IF($E850="","",IFERROR(INDEX(MUSTERILER!$B$7:$B$106,MATCH($U850,MUSTERILER!$T$7:$T$106,0)),IFERROR(INDEX(MUSTERILER!$B$7:$B$106,MATCH($E850,MUSTERILER!$B$7:$B$106,0)),IFERROR(INDEX(MUSTERILER!$B$7:$B$106,MATCH($U850&amp;"*",MUSTERILER!$T$7:$T$106,0)),"TANIMSIZ MÜŞTERİ"))))</f>
        <v/>
      </c>
      <c r="E850" s="109" t="n"/>
      <c r="F850" s="109" t="n"/>
      <c r="G850" s="108" t="n"/>
      <c r="H850" s="220" t="n"/>
      <c r="I850" s="220" t="n"/>
      <c r="J850" s="108" t="n"/>
      <c r="K850" s="108" t="n"/>
      <c r="L850" s="109" t="n"/>
      <c r="M850" s="109" t="n"/>
      <c r="N850" s="109" t="n"/>
      <c r="O850" s="220" t="n"/>
      <c r="P850" s="227">
        <f>IF(OR($E850="",$I850=""),"",IF(OR($J850="Tamamlandı",$J850="İptal"),"",$I850-TODAY()))</f>
        <v/>
      </c>
      <c r="Q850" s="113">
        <f>IF($E850="","",IF($D850="TANIMSIZ MÜŞTERİ","HATA",IF(OR($J850="Tamamlandı",$J850="İptal"),"KAPALI",IF(AND($C850="Görüşme",$N850=""),"SONRAKİ İŞLEM EKSİK",IF($I850="","TARİH EKSİK",IF($I850&lt;TODAY(),"GECİKMİŞ",IF($I850=TODAY(),"BUGÜN",IF($I850&lt;=TODAY()+7,"7 GÜN İÇİNDE","PLANLI"))))))))</f>
        <v/>
      </c>
      <c r="R850" s="6" t="n"/>
      <c r="S850" s="6" t="n"/>
      <c r="T850" s="3" t="n"/>
      <c r="U850" s="3">
        <f>IF($E850="","",UPPER(SUBSTITUTE(SUBSTITUTE(SUBSTITUTE(SUBSTITUTE(SUBSTITUTE(SUBSTITUTE(SUBSTITUTE(SUBSTITUTE(SUBSTITUTE(SUBSTITUTE(SUBSTITUTE(SUBSTITUTE(SUBSTITUTE(SUBSTITUTE(SUBSTITUTE(SUBSTITUTE(SUBSTITUTE(SUBSTITUTE(TRIM($E850),"'",""),"İ","I"),"ı","I"),"i","I"),"Ş","S"),"ş","S"),"Ğ","G"),"ğ","G"),"Ü","U"),"ü","U"),"Ö","O"),"ö","O"),"Ç","C"),"ç","C"),".",""),",","")," ",""),"-","")))</f>
        <v/>
      </c>
    </row>
    <row r="851">
      <c r="A851" s="6" t="n"/>
      <c r="B851" s="113">
        <f>IF($E851="","","A"&amp;TEXT(ROW()-6,"00000"))</f>
        <v/>
      </c>
      <c r="C851" s="108" t="n"/>
      <c r="D851" s="113">
        <f>IF($E851="","",IFERROR(INDEX(MUSTERILER!$B$7:$B$106,MATCH($U851,MUSTERILER!$T$7:$T$106,0)),IFERROR(INDEX(MUSTERILER!$B$7:$B$106,MATCH($E851,MUSTERILER!$B$7:$B$106,0)),IFERROR(INDEX(MUSTERILER!$B$7:$B$106,MATCH($U851&amp;"*",MUSTERILER!$T$7:$T$106,0)),"TANIMSIZ MÜŞTERİ"))))</f>
        <v/>
      </c>
      <c r="E851" s="109" t="n"/>
      <c r="F851" s="109" t="n"/>
      <c r="G851" s="108" t="n"/>
      <c r="H851" s="220" t="n"/>
      <c r="I851" s="220" t="n"/>
      <c r="J851" s="108" t="n"/>
      <c r="K851" s="108" t="n"/>
      <c r="L851" s="109" t="n"/>
      <c r="M851" s="109" t="n"/>
      <c r="N851" s="109" t="n"/>
      <c r="O851" s="220" t="n"/>
      <c r="P851" s="227">
        <f>IF(OR($E851="",$I851=""),"",IF(OR($J851="Tamamlandı",$J851="İptal"),"",$I851-TODAY()))</f>
        <v/>
      </c>
      <c r="Q851" s="113">
        <f>IF($E851="","",IF($D851="TANIMSIZ MÜŞTERİ","HATA",IF(OR($J851="Tamamlandı",$J851="İptal"),"KAPALI",IF(AND($C851="Görüşme",$N851=""),"SONRAKİ İŞLEM EKSİK",IF($I851="","TARİH EKSİK",IF($I851&lt;TODAY(),"GECİKMİŞ",IF($I851=TODAY(),"BUGÜN",IF($I851&lt;=TODAY()+7,"7 GÜN İÇİNDE","PLANLI"))))))))</f>
        <v/>
      </c>
      <c r="R851" s="6" t="n"/>
      <c r="S851" s="6" t="n"/>
      <c r="T851" s="3" t="n"/>
      <c r="U851" s="3">
        <f>IF($E851="","",UPPER(SUBSTITUTE(SUBSTITUTE(SUBSTITUTE(SUBSTITUTE(SUBSTITUTE(SUBSTITUTE(SUBSTITUTE(SUBSTITUTE(SUBSTITUTE(SUBSTITUTE(SUBSTITUTE(SUBSTITUTE(SUBSTITUTE(SUBSTITUTE(SUBSTITUTE(SUBSTITUTE(SUBSTITUTE(SUBSTITUTE(TRIM($E851),"'",""),"İ","I"),"ı","I"),"i","I"),"Ş","S"),"ş","S"),"Ğ","G"),"ğ","G"),"Ü","U"),"ü","U"),"Ö","O"),"ö","O"),"Ç","C"),"ç","C"),".",""),",","")," ",""),"-","")))</f>
        <v/>
      </c>
    </row>
    <row r="852">
      <c r="A852" s="6" t="n"/>
      <c r="B852" s="113">
        <f>IF($E852="","","A"&amp;TEXT(ROW()-6,"00000"))</f>
        <v/>
      </c>
      <c r="C852" s="108" t="n"/>
      <c r="D852" s="113">
        <f>IF($E852="","",IFERROR(INDEX(MUSTERILER!$B$7:$B$106,MATCH($U852,MUSTERILER!$T$7:$T$106,0)),IFERROR(INDEX(MUSTERILER!$B$7:$B$106,MATCH($E852,MUSTERILER!$B$7:$B$106,0)),IFERROR(INDEX(MUSTERILER!$B$7:$B$106,MATCH($U852&amp;"*",MUSTERILER!$T$7:$T$106,0)),"TANIMSIZ MÜŞTERİ"))))</f>
        <v/>
      </c>
      <c r="E852" s="109" t="n"/>
      <c r="F852" s="109" t="n"/>
      <c r="G852" s="108" t="n"/>
      <c r="H852" s="220" t="n"/>
      <c r="I852" s="220" t="n"/>
      <c r="J852" s="108" t="n"/>
      <c r="K852" s="108" t="n"/>
      <c r="L852" s="109" t="n"/>
      <c r="M852" s="109" t="n"/>
      <c r="N852" s="109" t="n"/>
      <c r="O852" s="220" t="n"/>
      <c r="P852" s="227">
        <f>IF(OR($E852="",$I852=""),"",IF(OR($J852="Tamamlandı",$J852="İptal"),"",$I852-TODAY()))</f>
        <v/>
      </c>
      <c r="Q852" s="113">
        <f>IF($E852="","",IF($D852="TANIMSIZ MÜŞTERİ","HATA",IF(OR($J852="Tamamlandı",$J852="İptal"),"KAPALI",IF(AND($C852="Görüşme",$N852=""),"SONRAKİ İŞLEM EKSİK",IF($I852="","TARİH EKSİK",IF($I852&lt;TODAY(),"GECİKMİŞ",IF($I852=TODAY(),"BUGÜN",IF($I852&lt;=TODAY()+7,"7 GÜN İÇİNDE","PLANLI"))))))))</f>
        <v/>
      </c>
      <c r="R852" s="6" t="n"/>
      <c r="S852" s="6" t="n"/>
      <c r="T852" s="3" t="n"/>
      <c r="U852" s="3">
        <f>IF($E852="","",UPPER(SUBSTITUTE(SUBSTITUTE(SUBSTITUTE(SUBSTITUTE(SUBSTITUTE(SUBSTITUTE(SUBSTITUTE(SUBSTITUTE(SUBSTITUTE(SUBSTITUTE(SUBSTITUTE(SUBSTITUTE(SUBSTITUTE(SUBSTITUTE(SUBSTITUTE(SUBSTITUTE(SUBSTITUTE(SUBSTITUTE(TRIM($E852),"'",""),"İ","I"),"ı","I"),"i","I"),"Ş","S"),"ş","S"),"Ğ","G"),"ğ","G"),"Ü","U"),"ü","U"),"Ö","O"),"ö","O"),"Ç","C"),"ç","C"),".",""),",","")," ",""),"-","")))</f>
        <v/>
      </c>
    </row>
    <row r="853">
      <c r="A853" s="6" t="n"/>
      <c r="B853" s="113">
        <f>IF($E853="","","A"&amp;TEXT(ROW()-6,"00000"))</f>
        <v/>
      </c>
      <c r="C853" s="108" t="n"/>
      <c r="D853" s="113">
        <f>IF($E853="","",IFERROR(INDEX(MUSTERILER!$B$7:$B$106,MATCH($U853,MUSTERILER!$T$7:$T$106,0)),IFERROR(INDEX(MUSTERILER!$B$7:$B$106,MATCH($E853,MUSTERILER!$B$7:$B$106,0)),IFERROR(INDEX(MUSTERILER!$B$7:$B$106,MATCH($U853&amp;"*",MUSTERILER!$T$7:$T$106,0)),"TANIMSIZ MÜŞTERİ"))))</f>
        <v/>
      </c>
      <c r="E853" s="109" t="n"/>
      <c r="F853" s="109" t="n"/>
      <c r="G853" s="108" t="n"/>
      <c r="H853" s="220" t="n"/>
      <c r="I853" s="220" t="n"/>
      <c r="J853" s="108" t="n"/>
      <c r="K853" s="108" t="n"/>
      <c r="L853" s="109" t="n"/>
      <c r="M853" s="109" t="n"/>
      <c r="N853" s="109" t="n"/>
      <c r="O853" s="220" t="n"/>
      <c r="P853" s="227">
        <f>IF(OR($E853="",$I853=""),"",IF(OR($J853="Tamamlandı",$J853="İptal"),"",$I853-TODAY()))</f>
        <v/>
      </c>
      <c r="Q853" s="113">
        <f>IF($E853="","",IF($D853="TANIMSIZ MÜŞTERİ","HATA",IF(OR($J853="Tamamlandı",$J853="İptal"),"KAPALI",IF(AND($C853="Görüşme",$N853=""),"SONRAKİ İŞLEM EKSİK",IF($I853="","TARİH EKSİK",IF($I853&lt;TODAY(),"GECİKMİŞ",IF($I853=TODAY(),"BUGÜN",IF($I853&lt;=TODAY()+7,"7 GÜN İÇİNDE","PLANLI"))))))))</f>
        <v/>
      </c>
      <c r="R853" s="6" t="n"/>
      <c r="S853" s="6" t="n"/>
      <c r="T853" s="3" t="n"/>
      <c r="U853" s="3">
        <f>IF($E853="","",UPPER(SUBSTITUTE(SUBSTITUTE(SUBSTITUTE(SUBSTITUTE(SUBSTITUTE(SUBSTITUTE(SUBSTITUTE(SUBSTITUTE(SUBSTITUTE(SUBSTITUTE(SUBSTITUTE(SUBSTITUTE(SUBSTITUTE(SUBSTITUTE(SUBSTITUTE(SUBSTITUTE(SUBSTITUTE(SUBSTITUTE(TRIM($E853),"'",""),"İ","I"),"ı","I"),"i","I"),"Ş","S"),"ş","S"),"Ğ","G"),"ğ","G"),"Ü","U"),"ü","U"),"Ö","O"),"ö","O"),"Ç","C"),"ç","C"),".",""),",","")," ",""),"-","")))</f>
        <v/>
      </c>
    </row>
    <row r="854">
      <c r="A854" s="6" t="n"/>
      <c r="B854" s="113">
        <f>IF($E854="","","A"&amp;TEXT(ROW()-6,"00000"))</f>
        <v/>
      </c>
      <c r="C854" s="108" t="n"/>
      <c r="D854" s="113">
        <f>IF($E854="","",IFERROR(INDEX(MUSTERILER!$B$7:$B$106,MATCH($U854,MUSTERILER!$T$7:$T$106,0)),IFERROR(INDEX(MUSTERILER!$B$7:$B$106,MATCH($E854,MUSTERILER!$B$7:$B$106,0)),IFERROR(INDEX(MUSTERILER!$B$7:$B$106,MATCH($U854&amp;"*",MUSTERILER!$T$7:$T$106,0)),"TANIMSIZ MÜŞTERİ"))))</f>
        <v/>
      </c>
      <c r="E854" s="109" t="n"/>
      <c r="F854" s="109" t="n"/>
      <c r="G854" s="108" t="n"/>
      <c r="H854" s="220" t="n"/>
      <c r="I854" s="220" t="n"/>
      <c r="J854" s="108" t="n"/>
      <c r="K854" s="108" t="n"/>
      <c r="L854" s="109" t="n"/>
      <c r="M854" s="109" t="n"/>
      <c r="N854" s="109" t="n"/>
      <c r="O854" s="220" t="n"/>
      <c r="P854" s="227">
        <f>IF(OR($E854="",$I854=""),"",IF(OR($J854="Tamamlandı",$J854="İptal"),"",$I854-TODAY()))</f>
        <v/>
      </c>
      <c r="Q854" s="113">
        <f>IF($E854="","",IF($D854="TANIMSIZ MÜŞTERİ","HATA",IF(OR($J854="Tamamlandı",$J854="İptal"),"KAPALI",IF(AND($C854="Görüşme",$N854=""),"SONRAKİ İŞLEM EKSİK",IF($I854="","TARİH EKSİK",IF($I854&lt;TODAY(),"GECİKMİŞ",IF($I854=TODAY(),"BUGÜN",IF($I854&lt;=TODAY()+7,"7 GÜN İÇİNDE","PLANLI"))))))))</f>
        <v/>
      </c>
      <c r="R854" s="6" t="n"/>
      <c r="S854" s="6" t="n"/>
      <c r="T854" s="3" t="n"/>
      <c r="U854" s="3">
        <f>IF($E854="","",UPPER(SUBSTITUTE(SUBSTITUTE(SUBSTITUTE(SUBSTITUTE(SUBSTITUTE(SUBSTITUTE(SUBSTITUTE(SUBSTITUTE(SUBSTITUTE(SUBSTITUTE(SUBSTITUTE(SUBSTITUTE(SUBSTITUTE(SUBSTITUTE(SUBSTITUTE(SUBSTITUTE(SUBSTITUTE(SUBSTITUTE(TRIM($E854),"'",""),"İ","I"),"ı","I"),"i","I"),"Ş","S"),"ş","S"),"Ğ","G"),"ğ","G"),"Ü","U"),"ü","U"),"Ö","O"),"ö","O"),"Ç","C"),"ç","C"),".",""),",","")," ",""),"-","")))</f>
        <v/>
      </c>
    </row>
    <row r="855">
      <c r="A855" s="6" t="n"/>
      <c r="B855" s="113">
        <f>IF($E855="","","A"&amp;TEXT(ROW()-6,"00000"))</f>
        <v/>
      </c>
      <c r="C855" s="108" t="n"/>
      <c r="D855" s="113">
        <f>IF($E855="","",IFERROR(INDEX(MUSTERILER!$B$7:$B$106,MATCH($U855,MUSTERILER!$T$7:$T$106,0)),IFERROR(INDEX(MUSTERILER!$B$7:$B$106,MATCH($E855,MUSTERILER!$B$7:$B$106,0)),IFERROR(INDEX(MUSTERILER!$B$7:$B$106,MATCH($U855&amp;"*",MUSTERILER!$T$7:$T$106,0)),"TANIMSIZ MÜŞTERİ"))))</f>
        <v/>
      </c>
      <c r="E855" s="109" t="n"/>
      <c r="F855" s="109" t="n"/>
      <c r="G855" s="108" t="n"/>
      <c r="H855" s="220" t="n"/>
      <c r="I855" s="220" t="n"/>
      <c r="J855" s="108" t="n"/>
      <c r="K855" s="108" t="n"/>
      <c r="L855" s="109" t="n"/>
      <c r="M855" s="109" t="n"/>
      <c r="N855" s="109" t="n"/>
      <c r="O855" s="220" t="n"/>
      <c r="P855" s="227">
        <f>IF(OR($E855="",$I855=""),"",IF(OR($J855="Tamamlandı",$J855="İptal"),"",$I855-TODAY()))</f>
        <v/>
      </c>
      <c r="Q855" s="113">
        <f>IF($E855="","",IF($D855="TANIMSIZ MÜŞTERİ","HATA",IF(OR($J855="Tamamlandı",$J855="İptal"),"KAPALI",IF(AND($C855="Görüşme",$N855=""),"SONRAKİ İŞLEM EKSİK",IF($I855="","TARİH EKSİK",IF($I855&lt;TODAY(),"GECİKMİŞ",IF($I855=TODAY(),"BUGÜN",IF($I855&lt;=TODAY()+7,"7 GÜN İÇİNDE","PLANLI"))))))))</f>
        <v/>
      </c>
      <c r="R855" s="6" t="n"/>
      <c r="S855" s="6" t="n"/>
      <c r="T855" s="3" t="n"/>
      <c r="U855" s="3">
        <f>IF($E855="","",UPPER(SUBSTITUTE(SUBSTITUTE(SUBSTITUTE(SUBSTITUTE(SUBSTITUTE(SUBSTITUTE(SUBSTITUTE(SUBSTITUTE(SUBSTITUTE(SUBSTITUTE(SUBSTITUTE(SUBSTITUTE(SUBSTITUTE(SUBSTITUTE(SUBSTITUTE(SUBSTITUTE(SUBSTITUTE(SUBSTITUTE(TRIM($E855),"'",""),"İ","I"),"ı","I"),"i","I"),"Ş","S"),"ş","S"),"Ğ","G"),"ğ","G"),"Ü","U"),"ü","U"),"Ö","O"),"ö","O"),"Ç","C"),"ç","C"),".",""),",","")," ",""),"-","")))</f>
        <v/>
      </c>
    </row>
    <row r="856">
      <c r="A856" s="6" t="n"/>
      <c r="B856" s="113">
        <f>IF($E856="","","A"&amp;TEXT(ROW()-6,"00000"))</f>
        <v/>
      </c>
      <c r="C856" s="108" t="n"/>
      <c r="D856" s="113">
        <f>IF($E856="","",IFERROR(INDEX(MUSTERILER!$B$7:$B$106,MATCH($U856,MUSTERILER!$T$7:$T$106,0)),IFERROR(INDEX(MUSTERILER!$B$7:$B$106,MATCH($E856,MUSTERILER!$B$7:$B$106,0)),IFERROR(INDEX(MUSTERILER!$B$7:$B$106,MATCH($U856&amp;"*",MUSTERILER!$T$7:$T$106,0)),"TANIMSIZ MÜŞTERİ"))))</f>
        <v/>
      </c>
      <c r="E856" s="109" t="n"/>
      <c r="F856" s="109" t="n"/>
      <c r="G856" s="108" t="n"/>
      <c r="H856" s="220" t="n"/>
      <c r="I856" s="220" t="n"/>
      <c r="J856" s="108" t="n"/>
      <c r="K856" s="108" t="n"/>
      <c r="L856" s="109" t="n"/>
      <c r="M856" s="109" t="n"/>
      <c r="N856" s="109" t="n"/>
      <c r="O856" s="220" t="n"/>
      <c r="P856" s="227">
        <f>IF(OR($E856="",$I856=""),"",IF(OR($J856="Tamamlandı",$J856="İptal"),"",$I856-TODAY()))</f>
        <v/>
      </c>
      <c r="Q856" s="113">
        <f>IF($E856="","",IF($D856="TANIMSIZ MÜŞTERİ","HATA",IF(OR($J856="Tamamlandı",$J856="İptal"),"KAPALI",IF(AND($C856="Görüşme",$N856=""),"SONRAKİ İŞLEM EKSİK",IF($I856="","TARİH EKSİK",IF($I856&lt;TODAY(),"GECİKMİŞ",IF($I856=TODAY(),"BUGÜN",IF($I856&lt;=TODAY()+7,"7 GÜN İÇİNDE","PLANLI"))))))))</f>
        <v/>
      </c>
      <c r="R856" s="6" t="n"/>
      <c r="S856" s="6" t="n"/>
      <c r="T856" s="3" t="n"/>
      <c r="U856" s="3">
        <f>IF($E856="","",UPPER(SUBSTITUTE(SUBSTITUTE(SUBSTITUTE(SUBSTITUTE(SUBSTITUTE(SUBSTITUTE(SUBSTITUTE(SUBSTITUTE(SUBSTITUTE(SUBSTITUTE(SUBSTITUTE(SUBSTITUTE(SUBSTITUTE(SUBSTITUTE(SUBSTITUTE(SUBSTITUTE(SUBSTITUTE(SUBSTITUTE(TRIM($E856),"'",""),"İ","I"),"ı","I"),"i","I"),"Ş","S"),"ş","S"),"Ğ","G"),"ğ","G"),"Ü","U"),"ü","U"),"Ö","O"),"ö","O"),"Ç","C"),"ç","C"),".",""),",","")," ",""),"-","")))</f>
        <v/>
      </c>
    </row>
    <row r="857">
      <c r="A857" s="6" t="n"/>
      <c r="B857" s="113">
        <f>IF($E857="","","A"&amp;TEXT(ROW()-6,"00000"))</f>
        <v/>
      </c>
      <c r="C857" s="108" t="n"/>
      <c r="D857" s="113">
        <f>IF($E857="","",IFERROR(INDEX(MUSTERILER!$B$7:$B$106,MATCH($U857,MUSTERILER!$T$7:$T$106,0)),IFERROR(INDEX(MUSTERILER!$B$7:$B$106,MATCH($E857,MUSTERILER!$B$7:$B$106,0)),IFERROR(INDEX(MUSTERILER!$B$7:$B$106,MATCH($U857&amp;"*",MUSTERILER!$T$7:$T$106,0)),"TANIMSIZ MÜŞTERİ"))))</f>
        <v/>
      </c>
      <c r="E857" s="109" t="n"/>
      <c r="F857" s="109" t="n"/>
      <c r="G857" s="108" t="n"/>
      <c r="H857" s="220" t="n"/>
      <c r="I857" s="220" t="n"/>
      <c r="J857" s="108" t="n"/>
      <c r="K857" s="108" t="n"/>
      <c r="L857" s="109" t="n"/>
      <c r="M857" s="109" t="n"/>
      <c r="N857" s="109" t="n"/>
      <c r="O857" s="220" t="n"/>
      <c r="P857" s="227">
        <f>IF(OR($E857="",$I857=""),"",IF(OR($J857="Tamamlandı",$J857="İptal"),"",$I857-TODAY()))</f>
        <v/>
      </c>
      <c r="Q857" s="113">
        <f>IF($E857="","",IF($D857="TANIMSIZ MÜŞTERİ","HATA",IF(OR($J857="Tamamlandı",$J857="İptal"),"KAPALI",IF(AND($C857="Görüşme",$N857=""),"SONRAKİ İŞLEM EKSİK",IF($I857="","TARİH EKSİK",IF($I857&lt;TODAY(),"GECİKMİŞ",IF($I857=TODAY(),"BUGÜN",IF($I857&lt;=TODAY()+7,"7 GÜN İÇİNDE","PLANLI"))))))))</f>
        <v/>
      </c>
      <c r="R857" s="6" t="n"/>
      <c r="S857" s="6" t="n"/>
      <c r="T857" s="3" t="n"/>
      <c r="U857" s="3">
        <f>IF($E857="","",UPPER(SUBSTITUTE(SUBSTITUTE(SUBSTITUTE(SUBSTITUTE(SUBSTITUTE(SUBSTITUTE(SUBSTITUTE(SUBSTITUTE(SUBSTITUTE(SUBSTITUTE(SUBSTITUTE(SUBSTITUTE(SUBSTITUTE(SUBSTITUTE(SUBSTITUTE(SUBSTITUTE(SUBSTITUTE(SUBSTITUTE(TRIM($E857),"'",""),"İ","I"),"ı","I"),"i","I"),"Ş","S"),"ş","S"),"Ğ","G"),"ğ","G"),"Ü","U"),"ü","U"),"Ö","O"),"ö","O"),"Ç","C"),"ç","C"),".",""),",","")," ",""),"-","")))</f>
        <v/>
      </c>
    </row>
    <row r="858">
      <c r="A858" s="6" t="n"/>
      <c r="B858" s="113">
        <f>IF($E858="","","A"&amp;TEXT(ROW()-6,"00000"))</f>
        <v/>
      </c>
      <c r="C858" s="108" t="n"/>
      <c r="D858" s="113">
        <f>IF($E858="","",IFERROR(INDEX(MUSTERILER!$B$7:$B$106,MATCH($U858,MUSTERILER!$T$7:$T$106,0)),IFERROR(INDEX(MUSTERILER!$B$7:$B$106,MATCH($E858,MUSTERILER!$B$7:$B$106,0)),IFERROR(INDEX(MUSTERILER!$B$7:$B$106,MATCH($U858&amp;"*",MUSTERILER!$T$7:$T$106,0)),"TANIMSIZ MÜŞTERİ"))))</f>
        <v/>
      </c>
      <c r="E858" s="109" t="n"/>
      <c r="F858" s="109" t="n"/>
      <c r="G858" s="108" t="n"/>
      <c r="H858" s="220" t="n"/>
      <c r="I858" s="220" t="n"/>
      <c r="J858" s="108" t="n"/>
      <c r="K858" s="108" t="n"/>
      <c r="L858" s="109" t="n"/>
      <c r="M858" s="109" t="n"/>
      <c r="N858" s="109" t="n"/>
      <c r="O858" s="220" t="n"/>
      <c r="P858" s="227">
        <f>IF(OR($E858="",$I858=""),"",IF(OR($J858="Tamamlandı",$J858="İptal"),"",$I858-TODAY()))</f>
        <v/>
      </c>
      <c r="Q858" s="113">
        <f>IF($E858="","",IF($D858="TANIMSIZ MÜŞTERİ","HATA",IF(OR($J858="Tamamlandı",$J858="İptal"),"KAPALI",IF(AND($C858="Görüşme",$N858=""),"SONRAKİ İŞLEM EKSİK",IF($I858="","TARİH EKSİK",IF($I858&lt;TODAY(),"GECİKMİŞ",IF($I858=TODAY(),"BUGÜN",IF($I858&lt;=TODAY()+7,"7 GÜN İÇİNDE","PLANLI"))))))))</f>
        <v/>
      </c>
      <c r="R858" s="6" t="n"/>
      <c r="S858" s="6" t="n"/>
      <c r="T858" s="3" t="n"/>
      <c r="U858" s="3">
        <f>IF($E858="","",UPPER(SUBSTITUTE(SUBSTITUTE(SUBSTITUTE(SUBSTITUTE(SUBSTITUTE(SUBSTITUTE(SUBSTITUTE(SUBSTITUTE(SUBSTITUTE(SUBSTITUTE(SUBSTITUTE(SUBSTITUTE(SUBSTITUTE(SUBSTITUTE(SUBSTITUTE(SUBSTITUTE(SUBSTITUTE(SUBSTITUTE(TRIM($E858),"'",""),"İ","I"),"ı","I"),"i","I"),"Ş","S"),"ş","S"),"Ğ","G"),"ğ","G"),"Ü","U"),"ü","U"),"Ö","O"),"ö","O"),"Ç","C"),"ç","C"),".",""),",","")," ",""),"-","")))</f>
        <v/>
      </c>
    </row>
    <row r="859">
      <c r="A859" s="6" t="n"/>
      <c r="B859" s="113">
        <f>IF($E859="","","A"&amp;TEXT(ROW()-6,"00000"))</f>
        <v/>
      </c>
      <c r="C859" s="108" t="n"/>
      <c r="D859" s="113">
        <f>IF($E859="","",IFERROR(INDEX(MUSTERILER!$B$7:$B$106,MATCH($U859,MUSTERILER!$T$7:$T$106,0)),IFERROR(INDEX(MUSTERILER!$B$7:$B$106,MATCH($E859,MUSTERILER!$B$7:$B$106,0)),IFERROR(INDEX(MUSTERILER!$B$7:$B$106,MATCH($U859&amp;"*",MUSTERILER!$T$7:$T$106,0)),"TANIMSIZ MÜŞTERİ"))))</f>
        <v/>
      </c>
      <c r="E859" s="109" t="n"/>
      <c r="F859" s="109" t="n"/>
      <c r="G859" s="108" t="n"/>
      <c r="H859" s="220" t="n"/>
      <c r="I859" s="220" t="n"/>
      <c r="J859" s="108" t="n"/>
      <c r="K859" s="108" t="n"/>
      <c r="L859" s="109" t="n"/>
      <c r="M859" s="109" t="n"/>
      <c r="N859" s="109" t="n"/>
      <c r="O859" s="220" t="n"/>
      <c r="P859" s="227">
        <f>IF(OR($E859="",$I859=""),"",IF(OR($J859="Tamamlandı",$J859="İptal"),"",$I859-TODAY()))</f>
        <v/>
      </c>
      <c r="Q859" s="113">
        <f>IF($E859="","",IF($D859="TANIMSIZ MÜŞTERİ","HATA",IF(OR($J859="Tamamlandı",$J859="İptal"),"KAPALI",IF(AND($C859="Görüşme",$N859=""),"SONRAKİ İŞLEM EKSİK",IF($I859="","TARİH EKSİK",IF($I859&lt;TODAY(),"GECİKMİŞ",IF($I859=TODAY(),"BUGÜN",IF($I859&lt;=TODAY()+7,"7 GÜN İÇİNDE","PLANLI"))))))))</f>
        <v/>
      </c>
      <c r="R859" s="6" t="n"/>
      <c r="S859" s="6" t="n"/>
      <c r="T859" s="3" t="n"/>
      <c r="U859" s="3">
        <f>IF($E859="","",UPPER(SUBSTITUTE(SUBSTITUTE(SUBSTITUTE(SUBSTITUTE(SUBSTITUTE(SUBSTITUTE(SUBSTITUTE(SUBSTITUTE(SUBSTITUTE(SUBSTITUTE(SUBSTITUTE(SUBSTITUTE(SUBSTITUTE(SUBSTITUTE(SUBSTITUTE(SUBSTITUTE(SUBSTITUTE(SUBSTITUTE(TRIM($E859),"'",""),"İ","I"),"ı","I"),"i","I"),"Ş","S"),"ş","S"),"Ğ","G"),"ğ","G"),"Ü","U"),"ü","U"),"Ö","O"),"ö","O"),"Ç","C"),"ç","C"),".",""),",","")," ",""),"-","")))</f>
        <v/>
      </c>
    </row>
    <row r="860">
      <c r="A860" s="6" t="n"/>
      <c r="B860" s="113">
        <f>IF($E860="","","A"&amp;TEXT(ROW()-6,"00000"))</f>
        <v/>
      </c>
      <c r="C860" s="108" t="n"/>
      <c r="D860" s="113">
        <f>IF($E860="","",IFERROR(INDEX(MUSTERILER!$B$7:$B$106,MATCH($U860,MUSTERILER!$T$7:$T$106,0)),IFERROR(INDEX(MUSTERILER!$B$7:$B$106,MATCH($E860,MUSTERILER!$B$7:$B$106,0)),IFERROR(INDEX(MUSTERILER!$B$7:$B$106,MATCH($U860&amp;"*",MUSTERILER!$T$7:$T$106,0)),"TANIMSIZ MÜŞTERİ"))))</f>
        <v/>
      </c>
      <c r="E860" s="109" t="n"/>
      <c r="F860" s="109" t="n"/>
      <c r="G860" s="108" t="n"/>
      <c r="H860" s="220" t="n"/>
      <c r="I860" s="220" t="n"/>
      <c r="J860" s="108" t="n"/>
      <c r="K860" s="108" t="n"/>
      <c r="L860" s="109" t="n"/>
      <c r="M860" s="109" t="n"/>
      <c r="N860" s="109" t="n"/>
      <c r="O860" s="220" t="n"/>
      <c r="P860" s="227">
        <f>IF(OR($E860="",$I860=""),"",IF(OR($J860="Tamamlandı",$J860="İptal"),"",$I860-TODAY()))</f>
        <v/>
      </c>
      <c r="Q860" s="113">
        <f>IF($E860="","",IF($D860="TANIMSIZ MÜŞTERİ","HATA",IF(OR($J860="Tamamlandı",$J860="İptal"),"KAPALI",IF(AND($C860="Görüşme",$N860=""),"SONRAKİ İŞLEM EKSİK",IF($I860="","TARİH EKSİK",IF($I860&lt;TODAY(),"GECİKMİŞ",IF($I860=TODAY(),"BUGÜN",IF($I860&lt;=TODAY()+7,"7 GÜN İÇİNDE","PLANLI"))))))))</f>
        <v/>
      </c>
      <c r="R860" s="6" t="n"/>
      <c r="S860" s="6" t="n"/>
      <c r="T860" s="3" t="n"/>
      <c r="U860" s="3">
        <f>IF($E860="","",UPPER(SUBSTITUTE(SUBSTITUTE(SUBSTITUTE(SUBSTITUTE(SUBSTITUTE(SUBSTITUTE(SUBSTITUTE(SUBSTITUTE(SUBSTITUTE(SUBSTITUTE(SUBSTITUTE(SUBSTITUTE(SUBSTITUTE(SUBSTITUTE(SUBSTITUTE(SUBSTITUTE(SUBSTITUTE(SUBSTITUTE(TRIM($E860),"'",""),"İ","I"),"ı","I"),"i","I"),"Ş","S"),"ş","S"),"Ğ","G"),"ğ","G"),"Ü","U"),"ü","U"),"Ö","O"),"ö","O"),"Ç","C"),"ç","C"),".",""),",","")," ",""),"-","")))</f>
        <v/>
      </c>
    </row>
    <row r="861">
      <c r="A861" s="6" t="n"/>
      <c r="B861" s="113">
        <f>IF($E861="","","A"&amp;TEXT(ROW()-6,"00000"))</f>
        <v/>
      </c>
      <c r="C861" s="108" t="n"/>
      <c r="D861" s="113">
        <f>IF($E861="","",IFERROR(INDEX(MUSTERILER!$B$7:$B$106,MATCH($U861,MUSTERILER!$T$7:$T$106,0)),IFERROR(INDEX(MUSTERILER!$B$7:$B$106,MATCH($E861,MUSTERILER!$B$7:$B$106,0)),IFERROR(INDEX(MUSTERILER!$B$7:$B$106,MATCH($U861&amp;"*",MUSTERILER!$T$7:$T$106,0)),"TANIMSIZ MÜŞTERİ"))))</f>
        <v/>
      </c>
      <c r="E861" s="109" t="n"/>
      <c r="F861" s="109" t="n"/>
      <c r="G861" s="108" t="n"/>
      <c r="H861" s="220" t="n"/>
      <c r="I861" s="220" t="n"/>
      <c r="J861" s="108" t="n"/>
      <c r="K861" s="108" t="n"/>
      <c r="L861" s="109" t="n"/>
      <c r="M861" s="109" t="n"/>
      <c r="N861" s="109" t="n"/>
      <c r="O861" s="220" t="n"/>
      <c r="P861" s="227">
        <f>IF(OR($E861="",$I861=""),"",IF(OR($J861="Tamamlandı",$J861="İptal"),"",$I861-TODAY()))</f>
        <v/>
      </c>
      <c r="Q861" s="113">
        <f>IF($E861="","",IF($D861="TANIMSIZ MÜŞTERİ","HATA",IF(OR($J861="Tamamlandı",$J861="İptal"),"KAPALI",IF(AND($C861="Görüşme",$N861=""),"SONRAKİ İŞLEM EKSİK",IF($I861="","TARİH EKSİK",IF($I861&lt;TODAY(),"GECİKMİŞ",IF($I861=TODAY(),"BUGÜN",IF($I861&lt;=TODAY()+7,"7 GÜN İÇİNDE","PLANLI"))))))))</f>
        <v/>
      </c>
      <c r="R861" s="6" t="n"/>
      <c r="S861" s="6" t="n"/>
      <c r="T861" s="3" t="n"/>
      <c r="U861" s="3">
        <f>IF($E861="","",UPPER(SUBSTITUTE(SUBSTITUTE(SUBSTITUTE(SUBSTITUTE(SUBSTITUTE(SUBSTITUTE(SUBSTITUTE(SUBSTITUTE(SUBSTITUTE(SUBSTITUTE(SUBSTITUTE(SUBSTITUTE(SUBSTITUTE(SUBSTITUTE(SUBSTITUTE(SUBSTITUTE(SUBSTITUTE(SUBSTITUTE(TRIM($E861),"'",""),"İ","I"),"ı","I"),"i","I"),"Ş","S"),"ş","S"),"Ğ","G"),"ğ","G"),"Ü","U"),"ü","U"),"Ö","O"),"ö","O"),"Ç","C"),"ç","C"),".",""),",","")," ",""),"-","")))</f>
        <v/>
      </c>
    </row>
    <row r="862">
      <c r="A862" s="6" t="n"/>
      <c r="B862" s="113">
        <f>IF($E862="","","A"&amp;TEXT(ROW()-6,"00000"))</f>
        <v/>
      </c>
      <c r="C862" s="108" t="n"/>
      <c r="D862" s="113">
        <f>IF($E862="","",IFERROR(INDEX(MUSTERILER!$B$7:$B$106,MATCH($U862,MUSTERILER!$T$7:$T$106,0)),IFERROR(INDEX(MUSTERILER!$B$7:$B$106,MATCH($E862,MUSTERILER!$B$7:$B$106,0)),IFERROR(INDEX(MUSTERILER!$B$7:$B$106,MATCH($U862&amp;"*",MUSTERILER!$T$7:$T$106,0)),"TANIMSIZ MÜŞTERİ"))))</f>
        <v/>
      </c>
      <c r="E862" s="109" t="n"/>
      <c r="F862" s="109" t="n"/>
      <c r="G862" s="108" t="n"/>
      <c r="H862" s="220" t="n"/>
      <c r="I862" s="220" t="n"/>
      <c r="J862" s="108" t="n"/>
      <c r="K862" s="108" t="n"/>
      <c r="L862" s="109" t="n"/>
      <c r="M862" s="109" t="n"/>
      <c r="N862" s="109" t="n"/>
      <c r="O862" s="220" t="n"/>
      <c r="P862" s="227">
        <f>IF(OR($E862="",$I862=""),"",IF(OR($J862="Tamamlandı",$J862="İptal"),"",$I862-TODAY()))</f>
        <v/>
      </c>
      <c r="Q862" s="113">
        <f>IF($E862="","",IF($D862="TANIMSIZ MÜŞTERİ","HATA",IF(OR($J862="Tamamlandı",$J862="İptal"),"KAPALI",IF(AND($C862="Görüşme",$N862=""),"SONRAKİ İŞLEM EKSİK",IF($I862="","TARİH EKSİK",IF($I862&lt;TODAY(),"GECİKMİŞ",IF($I862=TODAY(),"BUGÜN",IF($I862&lt;=TODAY()+7,"7 GÜN İÇİNDE","PLANLI"))))))))</f>
        <v/>
      </c>
      <c r="R862" s="6" t="n"/>
      <c r="S862" s="6" t="n"/>
      <c r="T862" s="3" t="n"/>
      <c r="U862" s="3">
        <f>IF($E862="","",UPPER(SUBSTITUTE(SUBSTITUTE(SUBSTITUTE(SUBSTITUTE(SUBSTITUTE(SUBSTITUTE(SUBSTITUTE(SUBSTITUTE(SUBSTITUTE(SUBSTITUTE(SUBSTITUTE(SUBSTITUTE(SUBSTITUTE(SUBSTITUTE(SUBSTITUTE(SUBSTITUTE(SUBSTITUTE(SUBSTITUTE(TRIM($E862),"'",""),"İ","I"),"ı","I"),"i","I"),"Ş","S"),"ş","S"),"Ğ","G"),"ğ","G"),"Ü","U"),"ü","U"),"Ö","O"),"ö","O"),"Ç","C"),"ç","C"),".",""),",","")," ",""),"-","")))</f>
        <v/>
      </c>
    </row>
    <row r="863">
      <c r="A863" s="6" t="n"/>
      <c r="B863" s="113">
        <f>IF($E863="","","A"&amp;TEXT(ROW()-6,"00000"))</f>
        <v/>
      </c>
      <c r="C863" s="108" t="n"/>
      <c r="D863" s="113">
        <f>IF($E863="","",IFERROR(INDEX(MUSTERILER!$B$7:$B$106,MATCH($U863,MUSTERILER!$T$7:$T$106,0)),IFERROR(INDEX(MUSTERILER!$B$7:$B$106,MATCH($E863,MUSTERILER!$B$7:$B$106,0)),IFERROR(INDEX(MUSTERILER!$B$7:$B$106,MATCH($U863&amp;"*",MUSTERILER!$T$7:$T$106,0)),"TANIMSIZ MÜŞTERİ"))))</f>
        <v/>
      </c>
      <c r="E863" s="109" t="n"/>
      <c r="F863" s="109" t="n"/>
      <c r="G863" s="108" t="n"/>
      <c r="H863" s="220" t="n"/>
      <c r="I863" s="220" t="n"/>
      <c r="J863" s="108" t="n"/>
      <c r="K863" s="108" t="n"/>
      <c r="L863" s="109" t="n"/>
      <c r="M863" s="109" t="n"/>
      <c r="N863" s="109" t="n"/>
      <c r="O863" s="220" t="n"/>
      <c r="P863" s="227">
        <f>IF(OR($E863="",$I863=""),"",IF(OR($J863="Tamamlandı",$J863="İptal"),"",$I863-TODAY()))</f>
        <v/>
      </c>
      <c r="Q863" s="113">
        <f>IF($E863="","",IF($D863="TANIMSIZ MÜŞTERİ","HATA",IF(OR($J863="Tamamlandı",$J863="İptal"),"KAPALI",IF(AND($C863="Görüşme",$N863=""),"SONRAKİ İŞLEM EKSİK",IF($I863="","TARİH EKSİK",IF($I863&lt;TODAY(),"GECİKMİŞ",IF($I863=TODAY(),"BUGÜN",IF($I863&lt;=TODAY()+7,"7 GÜN İÇİNDE","PLANLI"))))))))</f>
        <v/>
      </c>
      <c r="R863" s="6" t="n"/>
      <c r="S863" s="6" t="n"/>
      <c r="T863" s="3" t="n"/>
      <c r="U863" s="3">
        <f>IF($E863="","",UPPER(SUBSTITUTE(SUBSTITUTE(SUBSTITUTE(SUBSTITUTE(SUBSTITUTE(SUBSTITUTE(SUBSTITUTE(SUBSTITUTE(SUBSTITUTE(SUBSTITUTE(SUBSTITUTE(SUBSTITUTE(SUBSTITUTE(SUBSTITUTE(SUBSTITUTE(SUBSTITUTE(SUBSTITUTE(SUBSTITUTE(TRIM($E863),"'",""),"İ","I"),"ı","I"),"i","I"),"Ş","S"),"ş","S"),"Ğ","G"),"ğ","G"),"Ü","U"),"ü","U"),"Ö","O"),"ö","O"),"Ç","C"),"ç","C"),".",""),",","")," ",""),"-","")))</f>
        <v/>
      </c>
    </row>
    <row r="864">
      <c r="A864" s="6" t="n"/>
      <c r="B864" s="113">
        <f>IF($E864="","","A"&amp;TEXT(ROW()-6,"00000"))</f>
        <v/>
      </c>
      <c r="C864" s="108" t="n"/>
      <c r="D864" s="113">
        <f>IF($E864="","",IFERROR(INDEX(MUSTERILER!$B$7:$B$106,MATCH($U864,MUSTERILER!$T$7:$T$106,0)),IFERROR(INDEX(MUSTERILER!$B$7:$B$106,MATCH($E864,MUSTERILER!$B$7:$B$106,0)),IFERROR(INDEX(MUSTERILER!$B$7:$B$106,MATCH($U864&amp;"*",MUSTERILER!$T$7:$T$106,0)),"TANIMSIZ MÜŞTERİ"))))</f>
        <v/>
      </c>
      <c r="E864" s="109" t="n"/>
      <c r="F864" s="109" t="n"/>
      <c r="G864" s="108" t="n"/>
      <c r="H864" s="220" t="n"/>
      <c r="I864" s="220" t="n"/>
      <c r="J864" s="108" t="n"/>
      <c r="K864" s="108" t="n"/>
      <c r="L864" s="109" t="n"/>
      <c r="M864" s="109" t="n"/>
      <c r="N864" s="109" t="n"/>
      <c r="O864" s="220" t="n"/>
      <c r="P864" s="227">
        <f>IF(OR($E864="",$I864=""),"",IF(OR($J864="Tamamlandı",$J864="İptal"),"",$I864-TODAY()))</f>
        <v/>
      </c>
      <c r="Q864" s="113">
        <f>IF($E864="","",IF($D864="TANIMSIZ MÜŞTERİ","HATA",IF(OR($J864="Tamamlandı",$J864="İptal"),"KAPALI",IF(AND($C864="Görüşme",$N864=""),"SONRAKİ İŞLEM EKSİK",IF($I864="","TARİH EKSİK",IF($I864&lt;TODAY(),"GECİKMİŞ",IF($I864=TODAY(),"BUGÜN",IF($I864&lt;=TODAY()+7,"7 GÜN İÇİNDE","PLANLI"))))))))</f>
        <v/>
      </c>
      <c r="R864" s="6" t="n"/>
      <c r="S864" s="6" t="n"/>
      <c r="T864" s="3" t="n"/>
      <c r="U864" s="3">
        <f>IF($E864="","",UPPER(SUBSTITUTE(SUBSTITUTE(SUBSTITUTE(SUBSTITUTE(SUBSTITUTE(SUBSTITUTE(SUBSTITUTE(SUBSTITUTE(SUBSTITUTE(SUBSTITUTE(SUBSTITUTE(SUBSTITUTE(SUBSTITUTE(SUBSTITUTE(SUBSTITUTE(SUBSTITUTE(SUBSTITUTE(SUBSTITUTE(TRIM($E864),"'",""),"İ","I"),"ı","I"),"i","I"),"Ş","S"),"ş","S"),"Ğ","G"),"ğ","G"),"Ü","U"),"ü","U"),"Ö","O"),"ö","O"),"Ç","C"),"ç","C"),".",""),",","")," ",""),"-","")))</f>
        <v/>
      </c>
    </row>
    <row r="865">
      <c r="A865" s="6" t="n"/>
      <c r="B865" s="113">
        <f>IF($E865="","","A"&amp;TEXT(ROW()-6,"00000"))</f>
        <v/>
      </c>
      <c r="C865" s="108" t="n"/>
      <c r="D865" s="113">
        <f>IF($E865="","",IFERROR(INDEX(MUSTERILER!$B$7:$B$106,MATCH($U865,MUSTERILER!$T$7:$T$106,0)),IFERROR(INDEX(MUSTERILER!$B$7:$B$106,MATCH($E865,MUSTERILER!$B$7:$B$106,0)),IFERROR(INDEX(MUSTERILER!$B$7:$B$106,MATCH($U865&amp;"*",MUSTERILER!$T$7:$T$106,0)),"TANIMSIZ MÜŞTERİ"))))</f>
        <v/>
      </c>
      <c r="E865" s="109" t="n"/>
      <c r="F865" s="109" t="n"/>
      <c r="G865" s="108" t="n"/>
      <c r="H865" s="220" t="n"/>
      <c r="I865" s="220" t="n"/>
      <c r="J865" s="108" t="n"/>
      <c r="K865" s="108" t="n"/>
      <c r="L865" s="109" t="n"/>
      <c r="M865" s="109" t="n"/>
      <c r="N865" s="109" t="n"/>
      <c r="O865" s="220" t="n"/>
      <c r="P865" s="227">
        <f>IF(OR($E865="",$I865=""),"",IF(OR($J865="Tamamlandı",$J865="İptal"),"",$I865-TODAY()))</f>
        <v/>
      </c>
      <c r="Q865" s="113">
        <f>IF($E865="","",IF($D865="TANIMSIZ MÜŞTERİ","HATA",IF(OR($J865="Tamamlandı",$J865="İptal"),"KAPALI",IF(AND($C865="Görüşme",$N865=""),"SONRAKİ İŞLEM EKSİK",IF($I865="","TARİH EKSİK",IF($I865&lt;TODAY(),"GECİKMİŞ",IF($I865=TODAY(),"BUGÜN",IF($I865&lt;=TODAY()+7,"7 GÜN İÇİNDE","PLANLI"))))))))</f>
        <v/>
      </c>
      <c r="R865" s="6" t="n"/>
      <c r="S865" s="6" t="n"/>
      <c r="T865" s="3" t="n"/>
      <c r="U865" s="3">
        <f>IF($E865="","",UPPER(SUBSTITUTE(SUBSTITUTE(SUBSTITUTE(SUBSTITUTE(SUBSTITUTE(SUBSTITUTE(SUBSTITUTE(SUBSTITUTE(SUBSTITUTE(SUBSTITUTE(SUBSTITUTE(SUBSTITUTE(SUBSTITUTE(SUBSTITUTE(SUBSTITUTE(SUBSTITUTE(SUBSTITUTE(SUBSTITUTE(TRIM($E865),"'",""),"İ","I"),"ı","I"),"i","I"),"Ş","S"),"ş","S"),"Ğ","G"),"ğ","G"),"Ü","U"),"ü","U"),"Ö","O"),"ö","O"),"Ç","C"),"ç","C"),".",""),",","")," ",""),"-","")))</f>
        <v/>
      </c>
    </row>
    <row r="866">
      <c r="A866" s="6" t="n"/>
      <c r="B866" s="113">
        <f>IF($E866="","","A"&amp;TEXT(ROW()-6,"00000"))</f>
        <v/>
      </c>
      <c r="C866" s="108" t="n"/>
      <c r="D866" s="113">
        <f>IF($E866="","",IFERROR(INDEX(MUSTERILER!$B$7:$B$106,MATCH($U866,MUSTERILER!$T$7:$T$106,0)),IFERROR(INDEX(MUSTERILER!$B$7:$B$106,MATCH($E866,MUSTERILER!$B$7:$B$106,0)),IFERROR(INDEX(MUSTERILER!$B$7:$B$106,MATCH($U866&amp;"*",MUSTERILER!$T$7:$T$106,0)),"TANIMSIZ MÜŞTERİ"))))</f>
        <v/>
      </c>
      <c r="E866" s="109" t="n"/>
      <c r="F866" s="109" t="n"/>
      <c r="G866" s="108" t="n"/>
      <c r="H866" s="220" t="n"/>
      <c r="I866" s="220" t="n"/>
      <c r="J866" s="108" t="n"/>
      <c r="K866" s="108" t="n"/>
      <c r="L866" s="109" t="n"/>
      <c r="M866" s="109" t="n"/>
      <c r="N866" s="109" t="n"/>
      <c r="O866" s="220" t="n"/>
      <c r="P866" s="227">
        <f>IF(OR($E866="",$I866=""),"",IF(OR($J866="Tamamlandı",$J866="İptal"),"",$I866-TODAY()))</f>
        <v/>
      </c>
      <c r="Q866" s="113">
        <f>IF($E866="","",IF($D866="TANIMSIZ MÜŞTERİ","HATA",IF(OR($J866="Tamamlandı",$J866="İptal"),"KAPALI",IF(AND($C866="Görüşme",$N866=""),"SONRAKİ İŞLEM EKSİK",IF($I866="","TARİH EKSİK",IF($I866&lt;TODAY(),"GECİKMİŞ",IF($I866=TODAY(),"BUGÜN",IF($I866&lt;=TODAY()+7,"7 GÜN İÇİNDE","PLANLI"))))))))</f>
        <v/>
      </c>
      <c r="R866" s="6" t="n"/>
      <c r="S866" s="6" t="n"/>
      <c r="T866" s="3" t="n"/>
      <c r="U866" s="3">
        <f>IF($E866="","",UPPER(SUBSTITUTE(SUBSTITUTE(SUBSTITUTE(SUBSTITUTE(SUBSTITUTE(SUBSTITUTE(SUBSTITUTE(SUBSTITUTE(SUBSTITUTE(SUBSTITUTE(SUBSTITUTE(SUBSTITUTE(SUBSTITUTE(SUBSTITUTE(SUBSTITUTE(SUBSTITUTE(SUBSTITUTE(SUBSTITUTE(TRIM($E866),"'",""),"İ","I"),"ı","I"),"i","I"),"Ş","S"),"ş","S"),"Ğ","G"),"ğ","G"),"Ü","U"),"ü","U"),"Ö","O"),"ö","O"),"Ç","C"),"ç","C"),".",""),",","")," ",""),"-","")))</f>
        <v/>
      </c>
    </row>
    <row r="867">
      <c r="A867" s="6" t="n"/>
      <c r="B867" s="113">
        <f>IF($E867="","","A"&amp;TEXT(ROW()-6,"00000"))</f>
        <v/>
      </c>
      <c r="C867" s="108" t="n"/>
      <c r="D867" s="113">
        <f>IF($E867="","",IFERROR(INDEX(MUSTERILER!$B$7:$B$106,MATCH($U867,MUSTERILER!$T$7:$T$106,0)),IFERROR(INDEX(MUSTERILER!$B$7:$B$106,MATCH($E867,MUSTERILER!$B$7:$B$106,0)),IFERROR(INDEX(MUSTERILER!$B$7:$B$106,MATCH($U867&amp;"*",MUSTERILER!$T$7:$T$106,0)),"TANIMSIZ MÜŞTERİ"))))</f>
        <v/>
      </c>
      <c r="E867" s="109" t="n"/>
      <c r="F867" s="109" t="n"/>
      <c r="G867" s="108" t="n"/>
      <c r="H867" s="220" t="n"/>
      <c r="I867" s="220" t="n"/>
      <c r="J867" s="108" t="n"/>
      <c r="K867" s="108" t="n"/>
      <c r="L867" s="109" t="n"/>
      <c r="M867" s="109" t="n"/>
      <c r="N867" s="109" t="n"/>
      <c r="O867" s="220" t="n"/>
      <c r="P867" s="227">
        <f>IF(OR($E867="",$I867=""),"",IF(OR($J867="Tamamlandı",$J867="İptal"),"",$I867-TODAY()))</f>
        <v/>
      </c>
      <c r="Q867" s="113">
        <f>IF($E867="","",IF($D867="TANIMSIZ MÜŞTERİ","HATA",IF(OR($J867="Tamamlandı",$J867="İptal"),"KAPALI",IF(AND($C867="Görüşme",$N867=""),"SONRAKİ İŞLEM EKSİK",IF($I867="","TARİH EKSİK",IF($I867&lt;TODAY(),"GECİKMİŞ",IF($I867=TODAY(),"BUGÜN",IF($I867&lt;=TODAY()+7,"7 GÜN İÇİNDE","PLANLI"))))))))</f>
        <v/>
      </c>
      <c r="R867" s="6" t="n"/>
      <c r="S867" s="6" t="n"/>
      <c r="T867" s="3" t="n"/>
      <c r="U867" s="3">
        <f>IF($E867="","",UPPER(SUBSTITUTE(SUBSTITUTE(SUBSTITUTE(SUBSTITUTE(SUBSTITUTE(SUBSTITUTE(SUBSTITUTE(SUBSTITUTE(SUBSTITUTE(SUBSTITUTE(SUBSTITUTE(SUBSTITUTE(SUBSTITUTE(SUBSTITUTE(SUBSTITUTE(SUBSTITUTE(SUBSTITUTE(SUBSTITUTE(TRIM($E867),"'",""),"İ","I"),"ı","I"),"i","I"),"Ş","S"),"ş","S"),"Ğ","G"),"ğ","G"),"Ü","U"),"ü","U"),"Ö","O"),"ö","O"),"Ç","C"),"ç","C"),".",""),",","")," ",""),"-","")))</f>
        <v/>
      </c>
    </row>
    <row r="868">
      <c r="A868" s="6" t="n"/>
      <c r="B868" s="113">
        <f>IF($E868="","","A"&amp;TEXT(ROW()-6,"00000"))</f>
        <v/>
      </c>
      <c r="C868" s="108" t="n"/>
      <c r="D868" s="113">
        <f>IF($E868="","",IFERROR(INDEX(MUSTERILER!$B$7:$B$106,MATCH($U868,MUSTERILER!$T$7:$T$106,0)),IFERROR(INDEX(MUSTERILER!$B$7:$B$106,MATCH($E868,MUSTERILER!$B$7:$B$106,0)),IFERROR(INDEX(MUSTERILER!$B$7:$B$106,MATCH($U868&amp;"*",MUSTERILER!$T$7:$T$106,0)),"TANIMSIZ MÜŞTERİ"))))</f>
        <v/>
      </c>
      <c r="E868" s="109" t="n"/>
      <c r="F868" s="109" t="n"/>
      <c r="G868" s="108" t="n"/>
      <c r="H868" s="220" t="n"/>
      <c r="I868" s="220" t="n"/>
      <c r="J868" s="108" t="n"/>
      <c r="K868" s="108" t="n"/>
      <c r="L868" s="109" t="n"/>
      <c r="M868" s="109" t="n"/>
      <c r="N868" s="109" t="n"/>
      <c r="O868" s="220" t="n"/>
      <c r="P868" s="227">
        <f>IF(OR($E868="",$I868=""),"",IF(OR($J868="Tamamlandı",$J868="İptal"),"",$I868-TODAY()))</f>
        <v/>
      </c>
      <c r="Q868" s="113">
        <f>IF($E868="","",IF($D868="TANIMSIZ MÜŞTERİ","HATA",IF(OR($J868="Tamamlandı",$J868="İptal"),"KAPALI",IF(AND($C868="Görüşme",$N868=""),"SONRAKİ İŞLEM EKSİK",IF($I868="","TARİH EKSİK",IF($I868&lt;TODAY(),"GECİKMİŞ",IF($I868=TODAY(),"BUGÜN",IF($I868&lt;=TODAY()+7,"7 GÜN İÇİNDE","PLANLI"))))))))</f>
        <v/>
      </c>
      <c r="R868" s="6" t="n"/>
      <c r="S868" s="6" t="n"/>
      <c r="T868" s="3" t="n"/>
      <c r="U868" s="3">
        <f>IF($E868="","",UPPER(SUBSTITUTE(SUBSTITUTE(SUBSTITUTE(SUBSTITUTE(SUBSTITUTE(SUBSTITUTE(SUBSTITUTE(SUBSTITUTE(SUBSTITUTE(SUBSTITUTE(SUBSTITUTE(SUBSTITUTE(SUBSTITUTE(SUBSTITUTE(SUBSTITUTE(SUBSTITUTE(SUBSTITUTE(SUBSTITUTE(TRIM($E868),"'",""),"İ","I"),"ı","I"),"i","I"),"Ş","S"),"ş","S"),"Ğ","G"),"ğ","G"),"Ü","U"),"ü","U"),"Ö","O"),"ö","O"),"Ç","C"),"ç","C"),".",""),",","")," ",""),"-","")))</f>
        <v/>
      </c>
    </row>
    <row r="869">
      <c r="A869" s="6" t="n"/>
      <c r="B869" s="113">
        <f>IF($E869="","","A"&amp;TEXT(ROW()-6,"00000"))</f>
        <v/>
      </c>
      <c r="C869" s="108" t="n"/>
      <c r="D869" s="113">
        <f>IF($E869="","",IFERROR(INDEX(MUSTERILER!$B$7:$B$106,MATCH($U869,MUSTERILER!$T$7:$T$106,0)),IFERROR(INDEX(MUSTERILER!$B$7:$B$106,MATCH($E869,MUSTERILER!$B$7:$B$106,0)),IFERROR(INDEX(MUSTERILER!$B$7:$B$106,MATCH($U869&amp;"*",MUSTERILER!$T$7:$T$106,0)),"TANIMSIZ MÜŞTERİ"))))</f>
        <v/>
      </c>
      <c r="E869" s="109" t="n"/>
      <c r="F869" s="109" t="n"/>
      <c r="G869" s="108" t="n"/>
      <c r="H869" s="220" t="n"/>
      <c r="I869" s="220" t="n"/>
      <c r="J869" s="108" t="n"/>
      <c r="K869" s="108" t="n"/>
      <c r="L869" s="109" t="n"/>
      <c r="M869" s="109" t="n"/>
      <c r="N869" s="109" t="n"/>
      <c r="O869" s="220" t="n"/>
      <c r="P869" s="227">
        <f>IF(OR($E869="",$I869=""),"",IF(OR($J869="Tamamlandı",$J869="İptal"),"",$I869-TODAY()))</f>
        <v/>
      </c>
      <c r="Q869" s="113">
        <f>IF($E869="","",IF($D869="TANIMSIZ MÜŞTERİ","HATA",IF(OR($J869="Tamamlandı",$J869="İptal"),"KAPALI",IF(AND($C869="Görüşme",$N869=""),"SONRAKİ İŞLEM EKSİK",IF($I869="","TARİH EKSİK",IF($I869&lt;TODAY(),"GECİKMİŞ",IF($I869=TODAY(),"BUGÜN",IF($I869&lt;=TODAY()+7,"7 GÜN İÇİNDE","PLANLI"))))))))</f>
        <v/>
      </c>
      <c r="R869" s="6" t="n"/>
      <c r="S869" s="6" t="n"/>
      <c r="T869" s="3" t="n"/>
      <c r="U869" s="3">
        <f>IF($E869="","",UPPER(SUBSTITUTE(SUBSTITUTE(SUBSTITUTE(SUBSTITUTE(SUBSTITUTE(SUBSTITUTE(SUBSTITUTE(SUBSTITUTE(SUBSTITUTE(SUBSTITUTE(SUBSTITUTE(SUBSTITUTE(SUBSTITUTE(SUBSTITUTE(SUBSTITUTE(SUBSTITUTE(SUBSTITUTE(SUBSTITUTE(TRIM($E869),"'",""),"İ","I"),"ı","I"),"i","I"),"Ş","S"),"ş","S"),"Ğ","G"),"ğ","G"),"Ü","U"),"ü","U"),"Ö","O"),"ö","O"),"Ç","C"),"ç","C"),".",""),",","")," ",""),"-","")))</f>
        <v/>
      </c>
    </row>
    <row r="870">
      <c r="A870" s="6" t="n"/>
      <c r="B870" s="113">
        <f>IF($E870="","","A"&amp;TEXT(ROW()-6,"00000"))</f>
        <v/>
      </c>
      <c r="C870" s="108" t="n"/>
      <c r="D870" s="113">
        <f>IF($E870="","",IFERROR(INDEX(MUSTERILER!$B$7:$B$106,MATCH($U870,MUSTERILER!$T$7:$T$106,0)),IFERROR(INDEX(MUSTERILER!$B$7:$B$106,MATCH($E870,MUSTERILER!$B$7:$B$106,0)),IFERROR(INDEX(MUSTERILER!$B$7:$B$106,MATCH($U870&amp;"*",MUSTERILER!$T$7:$T$106,0)),"TANIMSIZ MÜŞTERİ"))))</f>
        <v/>
      </c>
      <c r="E870" s="109" t="n"/>
      <c r="F870" s="109" t="n"/>
      <c r="G870" s="108" t="n"/>
      <c r="H870" s="220" t="n"/>
      <c r="I870" s="220" t="n"/>
      <c r="J870" s="108" t="n"/>
      <c r="K870" s="108" t="n"/>
      <c r="L870" s="109" t="n"/>
      <c r="M870" s="109" t="n"/>
      <c r="N870" s="109" t="n"/>
      <c r="O870" s="220" t="n"/>
      <c r="P870" s="227">
        <f>IF(OR($E870="",$I870=""),"",IF(OR($J870="Tamamlandı",$J870="İptal"),"",$I870-TODAY()))</f>
        <v/>
      </c>
      <c r="Q870" s="113">
        <f>IF($E870="","",IF($D870="TANIMSIZ MÜŞTERİ","HATA",IF(OR($J870="Tamamlandı",$J870="İptal"),"KAPALI",IF(AND($C870="Görüşme",$N870=""),"SONRAKİ İŞLEM EKSİK",IF($I870="","TARİH EKSİK",IF($I870&lt;TODAY(),"GECİKMİŞ",IF($I870=TODAY(),"BUGÜN",IF($I870&lt;=TODAY()+7,"7 GÜN İÇİNDE","PLANLI"))))))))</f>
        <v/>
      </c>
      <c r="R870" s="6" t="n"/>
      <c r="S870" s="6" t="n"/>
      <c r="T870" s="3" t="n"/>
      <c r="U870" s="3">
        <f>IF($E870="","",UPPER(SUBSTITUTE(SUBSTITUTE(SUBSTITUTE(SUBSTITUTE(SUBSTITUTE(SUBSTITUTE(SUBSTITUTE(SUBSTITUTE(SUBSTITUTE(SUBSTITUTE(SUBSTITUTE(SUBSTITUTE(SUBSTITUTE(SUBSTITUTE(SUBSTITUTE(SUBSTITUTE(SUBSTITUTE(SUBSTITUTE(TRIM($E870),"'",""),"İ","I"),"ı","I"),"i","I"),"Ş","S"),"ş","S"),"Ğ","G"),"ğ","G"),"Ü","U"),"ü","U"),"Ö","O"),"ö","O"),"Ç","C"),"ç","C"),".",""),",","")," ",""),"-","")))</f>
        <v/>
      </c>
    </row>
    <row r="871">
      <c r="A871" s="6" t="n"/>
      <c r="B871" s="113">
        <f>IF($E871="","","A"&amp;TEXT(ROW()-6,"00000"))</f>
        <v/>
      </c>
      <c r="C871" s="108" t="n"/>
      <c r="D871" s="113">
        <f>IF($E871="","",IFERROR(INDEX(MUSTERILER!$B$7:$B$106,MATCH($U871,MUSTERILER!$T$7:$T$106,0)),IFERROR(INDEX(MUSTERILER!$B$7:$B$106,MATCH($E871,MUSTERILER!$B$7:$B$106,0)),IFERROR(INDEX(MUSTERILER!$B$7:$B$106,MATCH($U871&amp;"*",MUSTERILER!$T$7:$T$106,0)),"TANIMSIZ MÜŞTERİ"))))</f>
        <v/>
      </c>
      <c r="E871" s="109" t="n"/>
      <c r="F871" s="109" t="n"/>
      <c r="G871" s="108" t="n"/>
      <c r="H871" s="220" t="n"/>
      <c r="I871" s="220" t="n"/>
      <c r="J871" s="108" t="n"/>
      <c r="K871" s="108" t="n"/>
      <c r="L871" s="109" t="n"/>
      <c r="M871" s="109" t="n"/>
      <c r="N871" s="109" t="n"/>
      <c r="O871" s="220" t="n"/>
      <c r="P871" s="227">
        <f>IF(OR($E871="",$I871=""),"",IF(OR($J871="Tamamlandı",$J871="İptal"),"",$I871-TODAY()))</f>
        <v/>
      </c>
      <c r="Q871" s="113">
        <f>IF($E871="","",IF($D871="TANIMSIZ MÜŞTERİ","HATA",IF(OR($J871="Tamamlandı",$J871="İptal"),"KAPALI",IF(AND($C871="Görüşme",$N871=""),"SONRAKİ İŞLEM EKSİK",IF($I871="","TARİH EKSİK",IF($I871&lt;TODAY(),"GECİKMİŞ",IF($I871=TODAY(),"BUGÜN",IF($I871&lt;=TODAY()+7,"7 GÜN İÇİNDE","PLANLI"))))))))</f>
        <v/>
      </c>
      <c r="R871" s="6" t="n"/>
      <c r="S871" s="6" t="n"/>
      <c r="T871" s="3" t="n"/>
      <c r="U871" s="3">
        <f>IF($E871="","",UPPER(SUBSTITUTE(SUBSTITUTE(SUBSTITUTE(SUBSTITUTE(SUBSTITUTE(SUBSTITUTE(SUBSTITUTE(SUBSTITUTE(SUBSTITUTE(SUBSTITUTE(SUBSTITUTE(SUBSTITUTE(SUBSTITUTE(SUBSTITUTE(SUBSTITUTE(SUBSTITUTE(SUBSTITUTE(SUBSTITUTE(TRIM($E871),"'",""),"İ","I"),"ı","I"),"i","I"),"Ş","S"),"ş","S"),"Ğ","G"),"ğ","G"),"Ü","U"),"ü","U"),"Ö","O"),"ö","O"),"Ç","C"),"ç","C"),".",""),",","")," ",""),"-","")))</f>
        <v/>
      </c>
    </row>
    <row r="872">
      <c r="A872" s="6" t="n"/>
      <c r="B872" s="113">
        <f>IF($E872="","","A"&amp;TEXT(ROW()-6,"00000"))</f>
        <v/>
      </c>
      <c r="C872" s="108" t="n"/>
      <c r="D872" s="113">
        <f>IF($E872="","",IFERROR(INDEX(MUSTERILER!$B$7:$B$106,MATCH($U872,MUSTERILER!$T$7:$T$106,0)),IFERROR(INDEX(MUSTERILER!$B$7:$B$106,MATCH($E872,MUSTERILER!$B$7:$B$106,0)),IFERROR(INDEX(MUSTERILER!$B$7:$B$106,MATCH($U872&amp;"*",MUSTERILER!$T$7:$T$106,0)),"TANIMSIZ MÜŞTERİ"))))</f>
        <v/>
      </c>
      <c r="E872" s="109" t="n"/>
      <c r="F872" s="109" t="n"/>
      <c r="G872" s="108" t="n"/>
      <c r="H872" s="220" t="n"/>
      <c r="I872" s="220" t="n"/>
      <c r="J872" s="108" t="n"/>
      <c r="K872" s="108" t="n"/>
      <c r="L872" s="109" t="n"/>
      <c r="M872" s="109" t="n"/>
      <c r="N872" s="109" t="n"/>
      <c r="O872" s="220" t="n"/>
      <c r="P872" s="227">
        <f>IF(OR($E872="",$I872=""),"",IF(OR($J872="Tamamlandı",$J872="İptal"),"",$I872-TODAY()))</f>
        <v/>
      </c>
      <c r="Q872" s="113">
        <f>IF($E872="","",IF($D872="TANIMSIZ MÜŞTERİ","HATA",IF(OR($J872="Tamamlandı",$J872="İptal"),"KAPALI",IF(AND($C872="Görüşme",$N872=""),"SONRAKİ İŞLEM EKSİK",IF($I872="","TARİH EKSİK",IF($I872&lt;TODAY(),"GECİKMİŞ",IF($I872=TODAY(),"BUGÜN",IF($I872&lt;=TODAY()+7,"7 GÜN İÇİNDE","PLANLI"))))))))</f>
        <v/>
      </c>
      <c r="R872" s="6" t="n"/>
      <c r="S872" s="6" t="n"/>
      <c r="T872" s="3" t="n"/>
      <c r="U872" s="3">
        <f>IF($E872="","",UPPER(SUBSTITUTE(SUBSTITUTE(SUBSTITUTE(SUBSTITUTE(SUBSTITUTE(SUBSTITUTE(SUBSTITUTE(SUBSTITUTE(SUBSTITUTE(SUBSTITUTE(SUBSTITUTE(SUBSTITUTE(SUBSTITUTE(SUBSTITUTE(SUBSTITUTE(SUBSTITUTE(SUBSTITUTE(SUBSTITUTE(TRIM($E872),"'",""),"İ","I"),"ı","I"),"i","I"),"Ş","S"),"ş","S"),"Ğ","G"),"ğ","G"),"Ü","U"),"ü","U"),"Ö","O"),"ö","O"),"Ç","C"),"ç","C"),".",""),",","")," ",""),"-","")))</f>
        <v/>
      </c>
    </row>
    <row r="873">
      <c r="A873" s="6" t="n"/>
      <c r="B873" s="113">
        <f>IF($E873="","","A"&amp;TEXT(ROW()-6,"00000"))</f>
        <v/>
      </c>
      <c r="C873" s="108" t="n"/>
      <c r="D873" s="113">
        <f>IF($E873="","",IFERROR(INDEX(MUSTERILER!$B$7:$B$106,MATCH($U873,MUSTERILER!$T$7:$T$106,0)),IFERROR(INDEX(MUSTERILER!$B$7:$B$106,MATCH($E873,MUSTERILER!$B$7:$B$106,0)),IFERROR(INDEX(MUSTERILER!$B$7:$B$106,MATCH($U873&amp;"*",MUSTERILER!$T$7:$T$106,0)),"TANIMSIZ MÜŞTERİ"))))</f>
        <v/>
      </c>
      <c r="E873" s="109" t="n"/>
      <c r="F873" s="109" t="n"/>
      <c r="G873" s="108" t="n"/>
      <c r="H873" s="220" t="n"/>
      <c r="I873" s="220" t="n"/>
      <c r="J873" s="108" t="n"/>
      <c r="K873" s="108" t="n"/>
      <c r="L873" s="109" t="n"/>
      <c r="M873" s="109" t="n"/>
      <c r="N873" s="109" t="n"/>
      <c r="O873" s="220" t="n"/>
      <c r="P873" s="227">
        <f>IF(OR($E873="",$I873=""),"",IF(OR($J873="Tamamlandı",$J873="İptal"),"",$I873-TODAY()))</f>
        <v/>
      </c>
      <c r="Q873" s="113">
        <f>IF($E873="","",IF($D873="TANIMSIZ MÜŞTERİ","HATA",IF(OR($J873="Tamamlandı",$J873="İptal"),"KAPALI",IF(AND($C873="Görüşme",$N873=""),"SONRAKİ İŞLEM EKSİK",IF($I873="","TARİH EKSİK",IF($I873&lt;TODAY(),"GECİKMİŞ",IF($I873=TODAY(),"BUGÜN",IF($I873&lt;=TODAY()+7,"7 GÜN İÇİNDE","PLANLI"))))))))</f>
        <v/>
      </c>
      <c r="R873" s="6" t="n"/>
      <c r="S873" s="6" t="n"/>
      <c r="T873" s="3" t="n"/>
      <c r="U873" s="3">
        <f>IF($E873="","",UPPER(SUBSTITUTE(SUBSTITUTE(SUBSTITUTE(SUBSTITUTE(SUBSTITUTE(SUBSTITUTE(SUBSTITUTE(SUBSTITUTE(SUBSTITUTE(SUBSTITUTE(SUBSTITUTE(SUBSTITUTE(SUBSTITUTE(SUBSTITUTE(SUBSTITUTE(SUBSTITUTE(SUBSTITUTE(SUBSTITUTE(TRIM($E873),"'",""),"İ","I"),"ı","I"),"i","I"),"Ş","S"),"ş","S"),"Ğ","G"),"ğ","G"),"Ü","U"),"ü","U"),"Ö","O"),"ö","O"),"Ç","C"),"ç","C"),".",""),",","")," ",""),"-","")))</f>
        <v/>
      </c>
    </row>
    <row r="874">
      <c r="A874" s="6" t="n"/>
      <c r="B874" s="113">
        <f>IF($E874="","","A"&amp;TEXT(ROW()-6,"00000"))</f>
        <v/>
      </c>
      <c r="C874" s="108" t="n"/>
      <c r="D874" s="113">
        <f>IF($E874="","",IFERROR(INDEX(MUSTERILER!$B$7:$B$106,MATCH($U874,MUSTERILER!$T$7:$T$106,0)),IFERROR(INDEX(MUSTERILER!$B$7:$B$106,MATCH($E874,MUSTERILER!$B$7:$B$106,0)),IFERROR(INDEX(MUSTERILER!$B$7:$B$106,MATCH($U874&amp;"*",MUSTERILER!$T$7:$T$106,0)),"TANIMSIZ MÜŞTERİ"))))</f>
        <v/>
      </c>
      <c r="E874" s="109" t="n"/>
      <c r="F874" s="109" t="n"/>
      <c r="G874" s="108" t="n"/>
      <c r="H874" s="220" t="n"/>
      <c r="I874" s="220" t="n"/>
      <c r="J874" s="108" t="n"/>
      <c r="K874" s="108" t="n"/>
      <c r="L874" s="109" t="n"/>
      <c r="M874" s="109" t="n"/>
      <c r="N874" s="109" t="n"/>
      <c r="O874" s="220" t="n"/>
      <c r="P874" s="227">
        <f>IF(OR($E874="",$I874=""),"",IF(OR($J874="Tamamlandı",$J874="İptal"),"",$I874-TODAY()))</f>
        <v/>
      </c>
      <c r="Q874" s="113">
        <f>IF($E874="","",IF($D874="TANIMSIZ MÜŞTERİ","HATA",IF(OR($J874="Tamamlandı",$J874="İptal"),"KAPALI",IF(AND($C874="Görüşme",$N874=""),"SONRAKİ İŞLEM EKSİK",IF($I874="","TARİH EKSİK",IF($I874&lt;TODAY(),"GECİKMİŞ",IF($I874=TODAY(),"BUGÜN",IF($I874&lt;=TODAY()+7,"7 GÜN İÇİNDE","PLANLI"))))))))</f>
        <v/>
      </c>
      <c r="R874" s="6" t="n"/>
      <c r="S874" s="6" t="n"/>
      <c r="T874" s="3" t="n"/>
      <c r="U874" s="3">
        <f>IF($E874="","",UPPER(SUBSTITUTE(SUBSTITUTE(SUBSTITUTE(SUBSTITUTE(SUBSTITUTE(SUBSTITUTE(SUBSTITUTE(SUBSTITUTE(SUBSTITUTE(SUBSTITUTE(SUBSTITUTE(SUBSTITUTE(SUBSTITUTE(SUBSTITUTE(SUBSTITUTE(SUBSTITUTE(SUBSTITUTE(SUBSTITUTE(TRIM($E874),"'",""),"İ","I"),"ı","I"),"i","I"),"Ş","S"),"ş","S"),"Ğ","G"),"ğ","G"),"Ü","U"),"ü","U"),"Ö","O"),"ö","O"),"Ç","C"),"ç","C"),".",""),",","")," ",""),"-","")))</f>
        <v/>
      </c>
    </row>
    <row r="875">
      <c r="A875" s="6" t="n"/>
      <c r="B875" s="113">
        <f>IF($E875="","","A"&amp;TEXT(ROW()-6,"00000"))</f>
        <v/>
      </c>
      <c r="C875" s="108" t="n"/>
      <c r="D875" s="113">
        <f>IF($E875="","",IFERROR(INDEX(MUSTERILER!$B$7:$B$106,MATCH($U875,MUSTERILER!$T$7:$T$106,0)),IFERROR(INDEX(MUSTERILER!$B$7:$B$106,MATCH($E875,MUSTERILER!$B$7:$B$106,0)),IFERROR(INDEX(MUSTERILER!$B$7:$B$106,MATCH($U875&amp;"*",MUSTERILER!$T$7:$T$106,0)),"TANIMSIZ MÜŞTERİ"))))</f>
        <v/>
      </c>
      <c r="E875" s="109" t="n"/>
      <c r="F875" s="109" t="n"/>
      <c r="G875" s="108" t="n"/>
      <c r="H875" s="220" t="n"/>
      <c r="I875" s="220" t="n"/>
      <c r="J875" s="108" t="n"/>
      <c r="K875" s="108" t="n"/>
      <c r="L875" s="109" t="n"/>
      <c r="M875" s="109" t="n"/>
      <c r="N875" s="109" t="n"/>
      <c r="O875" s="220" t="n"/>
      <c r="P875" s="227">
        <f>IF(OR($E875="",$I875=""),"",IF(OR($J875="Tamamlandı",$J875="İptal"),"",$I875-TODAY()))</f>
        <v/>
      </c>
      <c r="Q875" s="113">
        <f>IF($E875="","",IF($D875="TANIMSIZ MÜŞTERİ","HATA",IF(OR($J875="Tamamlandı",$J875="İptal"),"KAPALI",IF(AND($C875="Görüşme",$N875=""),"SONRAKİ İŞLEM EKSİK",IF($I875="","TARİH EKSİK",IF($I875&lt;TODAY(),"GECİKMİŞ",IF($I875=TODAY(),"BUGÜN",IF($I875&lt;=TODAY()+7,"7 GÜN İÇİNDE","PLANLI"))))))))</f>
        <v/>
      </c>
      <c r="R875" s="6" t="n"/>
      <c r="S875" s="6" t="n"/>
      <c r="T875" s="3" t="n"/>
      <c r="U875" s="3">
        <f>IF($E875="","",UPPER(SUBSTITUTE(SUBSTITUTE(SUBSTITUTE(SUBSTITUTE(SUBSTITUTE(SUBSTITUTE(SUBSTITUTE(SUBSTITUTE(SUBSTITUTE(SUBSTITUTE(SUBSTITUTE(SUBSTITUTE(SUBSTITUTE(SUBSTITUTE(SUBSTITUTE(SUBSTITUTE(SUBSTITUTE(SUBSTITUTE(TRIM($E875),"'",""),"İ","I"),"ı","I"),"i","I"),"Ş","S"),"ş","S"),"Ğ","G"),"ğ","G"),"Ü","U"),"ü","U"),"Ö","O"),"ö","O"),"Ç","C"),"ç","C"),".",""),",","")," ",""),"-","")))</f>
        <v/>
      </c>
    </row>
    <row r="876">
      <c r="A876" s="6" t="n"/>
      <c r="B876" s="113">
        <f>IF($E876="","","A"&amp;TEXT(ROW()-6,"00000"))</f>
        <v/>
      </c>
      <c r="C876" s="108" t="n"/>
      <c r="D876" s="113">
        <f>IF($E876="","",IFERROR(INDEX(MUSTERILER!$B$7:$B$106,MATCH($U876,MUSTERILER!$T$7:$T$106,0)),IFERROR(INDEX(MUSTERILER!$B$7:$B$106,MATCH($E876,MUSTERILER!$B$7:$B$106,0)),IFERROR(INDEX(MUSTERILER!$B$7:$B$106,MATCH($U876&amp;"*",MUSTERILER!$T$7:$T$106,0)),"TANIMSIZ MÜŞTERİ"))))</f>
        <v/>
      </c>
      <c r="E876" s="109" t="n"/>
      <c r="F876" s="109" t="n"/>
      <c r="G876" s="108" t="n"/>
      <c r="H876" s="220" t="n"/>
      <c r="I876" s="220" t="n"/>
      <c r="J876" s="108" t="n"/>
      <c r="K876" s="108" t="n"/>
      <c r="L876" s="109" t="n"/>
      <c r="M876" s="109" t="n"/>
      <c r="N876" s="109" t="n"/>
      <c r="O876" s="220" t="n"/>
      <c r="P876" s="227">
        <f>IF(OR($E876="",$I876=""),"",IF(OR($J876="Tamamlandı",$J876="İptal"),"",$I876-TODAY()))</f>
        <v/>
      </c>
      <c r="Q876" s="113">
        <f>IF($E876="","",IF($D876="TANIMSIZ MÜŞTERİ","HATA",IF(OR($J876="Tamamlandı",$J876="İptal"),"KAPALI",IF(AND($C876="Görüşme",$N876=""),"SONRAKİ İŞLEM EKSİK",IF($I876="","TARİH EKSİK",IF($I876&lt;TODAY(),"GECİKMİŞ",IF($I876=TODAY(),"BUGÜN",IF($I876&lt;=TODAY()+7,"7 GÜN İÇİNDE","PLANLI"))))))))</f>
        <v/>
      </c>
      <c r="R876" s="6" t="n"/>
      <c r="S876" s="6" t="n"/>
      <c r="T876" s="3" t="n"/>
      <c r="U876" s="3">
        <f>IF($E876="","",UPPER(SUBSTITUTE(SUBSTITUTE(SUBSTITUTE(SUBSTITUTE(SUBSTITUTE(SUBSTITUTE(SUBSTITUTE(SUBSTITUTE(SUBSTITUTE(SUBSTITUTE(SUBSTITUTE(SUBSTITUTE(SUBSTITUTE(SUBSTITUTE(SUBSTITUTE(SUBSTITUTE(SUBSTITUTE(SUBSTITUTE(TRIM($E876),"'",""),"İ","I"),"ı","I"),"i","I"),"Ş","S"),"ş","S"),"Ğ","G"),"ğ","G"),"Ü","U"),"ü","U"),"Ö","O"),"ö","O"),"Ç","C"),"ç","C"),".",""),",","")," ",""),"-","")))</f>
        <v/>
      </c>
    </row>
    <row r="877">
      <c r="A877" s="6" t="n"/>
      <c r="B877" s="113">
        <f>IF($E877="","","A"&amp;TEXT(ROW()-6,"00000"))</f>
        <v/>
      </c>
      <c r="C877" s="108" t="n"/>
      <c r="D877" s="113">
        <f>IF($E877="","",IFERROR(INDEX(MUSTERILER!$B$7:$B$106,MATCH($U877,MUSTERILER!$T$7:$T$106,0)),IFERROR(INDEX(MUSTERILER!$B$7:$B$106,MATCH($E877,MUSTERILER!$B$7:$B$106,0)),IFERROR(INDEX(MUSTERILER!$B$7:$B$106,MATCH($U877&amp;"*",MUSTERILER!$T$7:$T$106,0)),"TANIMSIZ MÜŞTERİ"))))</f>
        <v/>
      </c>
      <c r="E877" s="109" t="n"/>
      <c r="F877" s="109" t="n"/>
      <c r="G877" s="108" t="n"/>
      <c r="H877" s="220" t="n"/>
      <c r="I877" s="220" t="n"/>
      <c r="J877" s="108" t="n"/>
      <c r="K877" s="108" t="n"/>
      <c r="L877" s="109" t="n"/>
      <c r="M877" s="109" t="n"/>
      <c r="N877" s="109" t="n"/>
      <c r="O877" s="220" t="n"/>
      <c r="P877" s="227">
        <f>IF(OR($E877="",$I877=""),"",IF(OR($J877="Tamamlandı",$J877="İptal"),"",$I877-TODAY()))</f>
        <v/>
      </c>
      <c r="Q877" s="113">
        <f>IF($E877="","",IF($D877="TANIMSIZ MÜŞTERİ","HATA",IF(OR($J877="Tamamlandı",$J877="İptal"),"KAPALI",IF(AND($C877="Görüşme",$N877=""),"SONRAKİ İŞLEM EKSİK",IF($I877="","TARİH EKSİK",IF($I877&lt;TODAY(),"GECİKMİŞ",IF($I877=TODAY(),"BUGÜN",IF($I877&lt;=TODAY()+7,"7 GÜN İÇİNDE","PLANLI"))))))))</f>
        <v/>
      </c>
      <c r="R877" s="6" t="n"/>
      <c r="S877" s="6" t="n"/>
      <c r="T877" s="3" t="n"/>
      <c r="U877" s="3">
        <f>IF($E877="","",UPPER(SUBSTITUTE(SUBSTITUTE(SUBSTITUTE(SUBSTITUTE(SUBSTITUTE(SUBSTITUTE(SUBSTITUTE(SUBSTITUTE(SUBSTITUTE(SUBSTITUTE(SUBSTITUTE(SUBSTITUTE(SUBSTITUTE(SUBSTITUTE(SUBSTITUTE(SUBSTITUTE(SUBSTITUTE(SUBSTITUTE(TRIM($E877),"'",""),"İ","I"),"ı","I"),"i","I"),"Ş","S"),"ş","S"),"Ğ","G"),"ğ","G"),"Ü","U"),"ü","U"),"Ö","O"),"ö","O"),"Ç","C"),"ç","C"),".",""),",","")," ",""),"-","")))</f>
        <v/>
      </c>
    </row>
    <row r="878">
      <c r="A878" s="6" t="n"/>
      <c r="B878" s="113">
        <f>IF($E878="","","A"&amp;TEXT(ROW()-6,"00000"))</f>
        <v/>
      </c>
      <c r="C878" s="108" t="n"/>
      <c r="D878" s="113">
        <f>IF($E878="","",IFERROR(INDEX(MUSTERILER!$B$7:$B$106,MATCH($U878,MUSTERILER!$T$7:$T$106,0)),IFERROR(INDEX(MUSTERILER!$B$7:$B$106,MATCH($E878,MUSTERILER!$B$7:$B$106,0)),IFERROR(INDEX(MUSTERILER!$B$7:$B$106,MATCH($U878&amp;"*",MUSTERILER!$T$7:$T$106,0)),"TANIMSIZ MÜŞTERİ"))))</f>
        <v/>
      </c>
      <c r="E878" s="109" t="n"/>
      <c r="F878" s="109" t="n"/>
      <c r="G878" s="108" t="n"/>
      <c r="H878" s="220" t="n"/>
      <c r="I878" s="220" t="n"/>
      <c r="J878" s="108" t="n"/>
      <c r="K878" s="108" t="n"/>
      <c r="L878" s="109" t="n"/>
      <c r="M878" s="109" t="n"/>
      <c r="N878" s="109" t="n"/>
      <c r="O878" s="220" t="n"/>
      <c r="P878" s="227">
        <f>IF(OR($E878="",$I878=""),"",IF(OR($J878="Tamamlandı",$J878="İptal"),"",$I878-TODAY()))</f>
        <v/>
      </c>
      <c r="Q878" s="113">
        <f>IF($E878="","",IF($D878="TANIMSIZ MÜŞTERİ","HATA",IF(OR($J878="Tamamlandı",$J878="İptal"),"KAPALI",IF(AND($C878="Görüşme",$N878=""),"SONRAKİ İŞLEM EKSİK",IF($I878="","TARİH EKSİK",IF($I878&lt;TODAY(),"GECİKMİŞ",IF($I878=TODAY(),"BUGÜN",IF($I878&lt;=TODAY()+7,"7 GÜN İÇİNDE","PLANLI"))))))))</f>
        <v/>
      </c>
      <c r="R878" s="6" t="n"/>
      <c r="S878" s="6" t="n"/>
      <c r="T878" s="3" t="n"/>
      <c r="U878" s="3">
        <f>IF($E878="","",UPPER(SUBSTITUTE(SUBSTITUTE(SUBSTITUTE(SUBSTITUTE(SUBSTITUTE(SUBSTITUTE(SUBSTITUTE(SUBSTITUTE(SUBSTITUTE(SUBSTITUTE(SUBSTITUTE(SUBSTITUTE(SUBSTITUTE(SUBSTITUTE(SUBSTITUTE(SUBSTITUTE(SUBSTITUTE(SUBSTITUTE(TRIM($E878),"'",""),"İ","I"),"ı","I"),"i","I"),"Ş","S"),"ş","S"),"Ğ","G"),"ğ","G"),"Ü","U"),"ü","U"),"Ö","O"),"ö","O"),"Ç","C"),"ç","C"),".",""),",","")," ",""),"-","")))</f>
        <v/>
      </c>
    </row>
    <row r="879">
      <c r="A879" s="6" t="n"/>
      <c r="B879" s="113">
        <f>IF($E879="","","A"&amp;TEXT(ROW()-6,"00000"))</f>
        <v/>
      </c>
      <c r="C879" s="108" t="n"/>
      <c r="D879" s="113">
        <f>IF($E879="","",IFERROR(INDEX(MUSTERILER!$B$7:$B$106,MATCH($U879,MUSTERILER!$T$7:$T$106,0)),IFERROR(INDEX(MUSTERILER!$B$7:$B$106,MATCH($E879,MUSTERILER!$B$7:$B$106,0)),IFERROR(INDEX(MUSTERILER!$B$7:$B$106,MATCH($U879&amp;"*",MUSTERILER!$T$7:$T$106,0)),"TANIMSIZ MÜŞTERİ"))))</f>
        <v/>
      </c>
      <c r="E879" s="109" t="n"/>
      <c r="F879" s="109" t="n"/>
      <c r="G879" s="108" t="n"/>
      <c r="H879" s="220" t="n"/>
      <c r="I879" s="220" t="n"/>
      <c r="J879" s="108" t="n"/>
      <c r="K879" s="108" t="n"/>
      <c r="L879" s="109" t="n"/>
      <c r="M879" s="109" t="n"/>
      <c r="N879" s="109" t="n"/>
      <c r="O879" s="220" t="n"/>
      <c r="P879" s="227">
        <f>IF(OR($E879="",$I879=""),"",IF(OR($J879="Tamamlandı",$J879="İptal"),"",$I879-TODAY()))</f>
        <v/>
      </c>
      <c r="Q879" s="113">
        <f>IF($E879="","",IF($D879="TANIMSIZ MÜŞTERİ","HATA",IF(OR($J879="Tamamlandı",$J879="İptal"),"KAPALI",IF(AND($C879="Görüşme",$N879=""),"SONRAKİ İŞLEM EKSİK",IF($I879="","TARİH EKSİK",IF($I879&lt;TODAY(),"GECİKMİŞ",IF($I879=TODAY(),"BUGÜN",IF($I879&lt;=TODAY()+7,"7 GÜN İÇİNDE","PLANLI"))))))))</f>
        <v/>
      </c>
      <c r="R879" s="6" t="n"/>
      <c r="S879" s="6" t="n"/>
      <c r="T879" s="3" t="n"/>
      <c r="U879" s="3">
        <f>IF($E879="","",UPPER(SUBSTITUTE(SUBSTITUTE(SUBSTITUTE(SUBSTITUTE(SUBSTITUTE(SUBSTITUTE(SUBSTITUTE(SUBSTITUTE(SUBSTITUTE(SUBSTITUTE(SUBSTITUTE(SUBSTITUTE(SUBSTITUTE(SUBSTITUTE(SUBSTITUTE(SUBSTITUTE(SUBSTITUTE(SUBSTITUTE(TRIM($E879),"'",""),"İ","I"),"ı","I"),"i","I"),"Ş","S"),"ş","S"),"Ğ","G"),"ğ","G"),"Ü","U"),"ü","U"),"Ö","O"),"ö","O"),"Ç","C"),"ç","C"),".",""),",","")," ",""),"-","")))</f>
        <v/>
      </c>
    </row>
    <row r="880">
      <c r="A880" s="6" t="n"/>
      <c r="B880" s="113">
        <f>IF($E880="","","A"&amp;TEXT(ROW()-6,"00000"))</f>
        <v/>
      </c>
      <c r="C880" s="108" t="n"/>
      <c r="D880" s="113">
        <f>IF($E880="","",IFERROR(INDEX(MUSTERILER!$B$7:$B$106,MATCH($U880,MUSTERILER!$T$7:$T$106,0)),IFERROR(INDEX(MUSTERILER!$B$7:$B$106,MATCH($E880,MUSTERILER!$B$7:$B$106,0)),IFERROR(INDEX(MUSTERILER!$B$7:$B$106,MATCH($U880&amp;"*",MUSTERILER!$T$7:$T$106,0)),"TANIMSIZ MÜŞTERİ"))))</f>
        <v/>
      </c>
      <c r="E880" s="109" t="n"/>
      <c r="F880" s="109" t="n"/>
      <c r="G880" s="108" t="n"/>
      <c r="H880" s="220" t="n"/>
      <c r="I880" s="220" t="n"/>
      <c r="J880" s="108" t="n"/>
      <c r="K880" s="108" t="n"/>
      <c r="L880" s="109" t="n"/>
      <c r="M880" s="109" t="n"/>
      <c r="N880" s="109" t="n"/>
      <c r="O880" s="220" t="n"/>
      <c r="P880" s="227">
        <f>IF(OR($E880="",$I880=""),"",IF(OR($J880="Tamamlandı",$J880="İptal"),"",$I880-TODAY()))</f>
        <v/>
      </c>
      <c r="Q880" s="113">
        <f>IF($E880="","",IF($D880="TANIMSIZ MÜŞTERİ","HATA",IF(OR($J880="Tamamlandı",$J880="İptal"),"KAPALI",IF(AND($C880="Görüşme",$N880=""),"SONRAKİ İŞLEM EKSİK",IF($I880="","TARİH EKSİK",IF($I880&lt;TODAY(),"GECİKMİŞ",IF($I880=TODAY(),"BUGÜN",IF($I880&lt;=TODAY()+7,"7 GÜN İÇİNDE","PLANLI"))))))))</f>
        <v/>
      </c>
      <c r="R880" s="6" t="n"/>
      <c r="S880" s="6" t="n"/>
      <c r="T880" s="3" t="n"/>
      <c r="U880" s="3">
        <f>IF($E880="","",UPPER(SUBSTITUTE(SUBSTITUTE(SUBSTITUTE(SUBSTITUTE(SUBSTITUTE(SUBSTITUTE(SUBSTITUTE(SUBSTITUTE(SUBSTITUTE(SUBSTITUTE(SUBSTITUTE(SUBSTITUTE(SUBSTITUTE(SUBSTITUTE(SUBSTITUTE(SUBSTITUTE(SUBSTITUTE(SUBSTITUTE(TRIM($E880),"'",""),"İ","I"),"ı","I"),"i","I"),"Ş","S"),"ş","S"),"Ğ","G"),"ğ","G"),"Ü","U"),"ü","U"),"Ö","O"),"ö","O"),"Ç","C"),"ç","C"),".",""),",","")," ",""),"-","")))</f>
        <v/>
      </c>
    </row>
    <row r="881">
      <c r="A881" s="6" t="n"/>
      <c r="B881" s="113">
        <f>IF($E881="","","A"&amp;TEXT(ROW()-6,"00000"))</f>
        <v/>
      </c>
      <c r="C881" s="108" t="n"/>
      <c r="D881" s="113">
        <f>IF($E881="","",IFERROR(INDEX(MUSTERILER!$B$7:$B$106,MATCH($U881,MUSTERILER!$T$7:$T$106,0)),IFERROR(INDEX(MUSTERILER!$B$7:$B$106,MATCH($E881,MUSTERILER!$B$7:$B$106,0)),IFERROR(INDEX(MUSTERILER!$B$7:$B$106,MATCH($U881&amp;"*",MUSTERILER!$T$7:$T$106,0)),"TANIMSIZ MÜŞTERİ"))))</f>
        <v/>
      </c>
      <c r="E881" s="109" t="n"/>
      <c r="F881" s="109" t="n"/>
      <c r="G881" s="108" t="n"/>
      <c r="H881" s="220" t="n"/>
      <c r="I881" s="220" t="n"/>
      <c r="J881" s="108" t="n"/>
      <c r="K881" s="108" t="n"/>
      <c r="L881" s="109" t="n"/>
      <c r="M881" s="109" t="n"/>
      <c r="N881" s="109" t="n"/>
      <c r="O881" s="220" t="n"/>
      <c r="P881" s="227">
        <f>IF(OR($E881="",$I881=""),"",IF(OR($J881="Tamamlandı",$J881="İptal"),"",$I881-TODAY()))</f>
        <v/>
      </c>
      <c r="Q881" s="113">
        <f>IF($E881="","",IF($D881="TANIMSIZ MÜŞTERİ","HATA",IF(OR($J881="Tamamlandı",$J881="İptal"),"KAPALI",IF(AND($C881="Görüşme",$N881=""),"SONRAKİ İŞLEM EKSİK",IF($I881="","TARİH EKSİK",IF($I881&lt;TODAY(),"GECİKMİŞ",IF($I881=TODAY(),"BUGÜN",IF($I881&lt;=TODAY()+7,"7 GÜN İÇİNDE","PLANLI"))))))))</f>
        <v/>
      </c>
      <c r="R881" s="6" t="n"/>
      <c r="S881" s="6" t="n"/>
      <c r="T881" s="3" t="n"/>
      <c r="U881" s="3">
        <f>IF($E881="","",UPPER(SUBSTITUTE(SUBSTITUTE(SUBSTITUTE(SUBSTITUTE(SUBSTITUTE(SUBSTITUTE(SUBSTITUTE(SUBSTITUTE(SUBSTITUTE(SUBSTITUTE(SUBSTITUTE(SUBSTITUTE(SUBSTITUTE(SUBSTITUTE(SUBSTITUTE(SUBSTITUTE(SUBSTITUTE(SUBSTITUTE(TRIM($E881),"'",""),"İ","I"),"ı","I"),"i","I"),"Ş","S"),"ş","S"),"Ğ","G"),"ğ","G"),"Ü","U"),"ü","U"),"Ö","O"),"ö","O"),"Ç","C"),"ç","C"),".",""),",","")," ",""),"-","")))</f>
        <v/>
      </c>
    </row>
    <row r="882">
      <c r="A882" s="6" t="n"/>
      <c r="B882" s="113">
        <f>IF($E882="","","A"&amp;TEXT(ROW()-6,"00000"))</f>
        <v/>
      </c>
      <c r="C882" s="108" t="n"/>
      <c r="D882" s="113">
        <f>IF($E882="","",IFERROR(INDEX(MUSTERILER!$B$7:$B$106,MATCH($U882,MUSTERILER!$T$7:$T$106,0)),IFERROR(INDEX(MUSTERILER!$B$7:$B$106,MATCH($E882,MUSTERILER!$B$7:$B$106,0)),IFERROR(INDEX(MUSTERILER!$B$7:$B$106,MATCH($U882&amp;"*",MUSTERILER!$T$7:$T$106,0)),"TANIMSIZ MÜŞTERİ"))))</f>
        <v/>
      </c>
      <c r="E882" s="109" t="n"/>
      <c r="F882" s="109" t="n"/>
      <c r="G882" s="108" t="n"/>
      <c r="H882" s="220" t="n"/>
      <c r="I882" s="220" t="n"/>
      <c r="J882" s="108" t="n"/>
      <c r="K882" s="108" t="n"/>
      <c r="L882" s="109" t="n"/>
      <c r="M882" s="109" t="n"/>
      <c r="N882" s="109" t="n"/>
      <c r="O882" s="220" t="n"/>
      <c r="P882" s="227">
        <f>IF(OR($E882="",$I882=""),"",IF(OR($J882="Tamamlandı",$J882="İptal"),"",$I882-TODAY()))</f>
        <v/>
      </c>
      <c r="Q882" s="113">
        <f>IF($E882="","",IF($D882="TANIMSIZ MÜŞTERİ","HATA",IF(OR($J882="Tamamlandı",$J882="İptal"),"KAPALI",IF(AND($C882="Görüşme",$N882=""),"SONRAKİ İŞLEM EKSİK",IF($I882="","TARİH EKSİK",IF($I882&lt;TODAY(),"GECİKMİŞ",IF($I882=TODAY(),"BUGÜN",IF($I882&lt;=TODAY()+7,"7 GÜN İÇİNDE","PLANLI"))))))))</f>
        <v/>
      </c>
      <c r="R882" s="6" t="n"/>
      <c r="S882" s="6" t="n"/>
      <c r="T882" s="3" t="n"/>
      <c r="U882" s="3">
        <f>IF($E882="","",UPPER(SUBSTITUTE(SUBSTITUTE(SUBSTITUTE(SUBSTITUTE(SUBSTITUTE(SUBSTITUTE(SUBSTITUTE(SUBSTITUTE(SUBSTITUTE(SUBSTITUTE(SUBSTITUTE(SUBSTITUTE(SUBSTITUTE(SUBSTITUTE(SUBSTITUTE(SUBSTITUTE(SUBSTITUTE(SUBSTITUTE(TRIM($E882),"'",""),"İ","I"),"ı","I"),"i","I"),"Ş","S"),"ş","S"),"Ğ","G"),"ğ","G"),"Ü","U"),"ü","U"),"Ö","O"),"ö","O"),"Ç","C"),"ç","C"),".",""),",","")," ",""),"-","")))</f>
        <v/>
      </c>
    </row>
    <row r="883">
      <c r="A883" s="6" t="n"/>
      <c r="B883" s="113">
        <f>IF($E883="","","A"&amp;TEXT(ROW()-6,"00000"))</f>
        <v/>
      </c>
      <c r="C883" s="108" t="n"/>
      <c r="D883" s="113">
        <f>IF($E883="","",IFERROR(INDEX(MUSTERILER!$B$7:$B$106,MATCH($U883,MUSTERILER!$T$7:$T$106,0)),IFERROR(INDEX(MUSTERILER!$B$7:$B$106,MATCH($E883,MUSTERILER!$B$7:$B$106,0)),IFERROR(INDEX(MUSTERILER!$B$7:$B$106,MATCH($U883&amp;"*",MUSTERILER!$T$7:$T$106,0)),"TANIMSIZ MÜŞTERİ"))))</f>
        <v/>
      </c>
      <c r="E883" s="109" t="n"/>
      <c r="F883" s="109" t="n"/>
      <c r="G883" s="108" t="n"/>
      <c r="H883" s="220" t="n"/>
      <c r="I883" s="220" t="n"/>
      <c r="J883" s="108" t="n"/>
      <c r="K883" s="108" t="n"/>
      <c r="L883" s="109" t="n"/>
      <c r="M883" s="109" t="n"/>
      <c r="N883" s="109" t="n"/>
      <c r="O883" s="220" t="n"/>
      <c r="P883" s="227">
        <f>IF(OR($E883="",$I883=""),"",IF(OR($J883="Tamamlandı",$J883="İptal"),"",$I883-TODAY()))</f>
        <v/>
      </c>
      <c r="Q883" s="113">
        <f>IF($E883="","",IF($D883="TANIMSIZ MÜŞTERİ","HATA",IF(OR($J883="Tamamlandı",$J883="İptal"),"KAPALI",IF(AND($C883="Görüşme",$N883=""),"SONRAKİ İŞLEM EKSİK",IF($I883="","TARİH EKSİK",IF($I883&lt;TODAY(),"GECİKMİŞ",IF($I883=TODAY(),"BUGÜN",IF($I883&lt;=TODAY()+7,"7 GÜN İÇİNDE","PLANLI"))))))))</f>
        <v/>
      </c>
      <c r="R883" s="6" t="n"/>
      <c r="S883" s="6" t="n"/>
      <c r="T883" s="3" t="n"/>
      <c r="U883" s="3">
        <f>IF($E883="","",UPPER(SUBSTITUTE(SUBSTITUTE(SUBSTITUTE(SUBSTITUTE(SUBSTITUTE(SUBSTITUTE(SUBSTITUTE(SUBSTITUTE(SUBSTITUTE(SUBSTITUTE(SUBSTITUTE(SUBSTITUTE(SUBSTITUTE(SUBSTITUTE(SUBSTITUTE(SUBSTITUTE(SUBSTITUTE(SUBSTITUTE(TRIM($E883),"'",""),"İ","I"),"ı","I"),"i","I"),"Ş","S"),"ş","S"),"Ğ","G"),"ğ","G"),"Ü","U"),"ü","U"),"Ö","O"),"ö","O"),"Ç","C"),"ç","C"),".",""),",","")," ",""),"-","")))</f>
        <v/>
      </c>
    </row>
    <row r="884">
      <c r="A884" s="6" t="n"/>
      <c r="B884" s="113">
        <f>IF($E884="","","A"&amp;TEXT(ROW()-6,"00000"))</f>
        <v/>
      </c>
      <c r="C884" s="108" t="n"/>
      <c r="D884" s="113">
        <f>IF($E884="","",IFERROR(INDEX(MUSTERILER!$B$7:$B$106,MATCH($U884,MUSTERILER!$T$7:$T$106,0)),IFERROR(INDEX(MUSTERILER!$B$7:$B$106,MATCH($E884,MUSTERILER!$B$7:$B$106,0)),IFERROR(INDEX(MUSTERILER!$B$7:$B$106,MATCH($U884&amp;"*",MUSTERILER!$T$7:$T$106,0)),"TANIMSIZ MÜŞTERİ"))))</f>
        <v/>
      </c>
      <c r="E884" s="109" t="n"/>
      <c r="F884" s="109" t="n"/>
      <c r="G884" s="108" t="n"/>
      <c r="H884" s="220" t="n"/>
      <c r="I884" s="220" t="n"/>
      <c r="J884" s="108" t="n"/>
      <c r="K884" s="108" t="n"/>
      <c r="L884" s="109" t="n"/>
      <c r="M884" s="109" t="n"/>
      <c r="N884" s="109" t="n"/>
      <c r="O884" s="220" t="n"/>
      <c r="P884" s="227">
        <f>IF(OR($E884="",$I884=""),"",IF(OR($J884="Tamamlandı",$J884="İptal"),"",$I884-TODAY()))</f>
        <v/>
      </c>
      <c r="Q884" s="113">
        <f>IF($E884="","",IF($D884="TANIMSIZ MÜŞTERİ","HATA",IF(OR($J884="Tamamlandı",$J884="İptal"),"KAPALI",IF(AND($C884="Görüşme",$N884=""),"SONRAKİ İŞLEM EKSİK",IF($I884="","TARİH EKSİK",IF($I884&lt;TODAY(),"GECİKMİŞ",IF($I884=TODAY(),"BUGÜN",IF($I884&lt;=TODAY()+7,"7 GÜN İÇİNDE","PLANLI"))))))))</f>
        <v/>
      </c>
      <c r="R884" s="6" t="n"/>
      <c r="S884" s="6" t="n"/>
      <c r="T884" s="3" t="n"/>
      <c r="U884" s="3">
        <f>IF($E884="","",UPPER(SUBSTITUTE(SUBSTITUTE(SUBSTITUTE(SUBSTITUTE(SUBSTITUTE(SUBSTITUTE(SUBSTITUTE(SUBSTITUTE(SUBSTITUTE(SUBSTITUTE(SUBSTITUTE(SUBSTITUTE(SUBSTITUTE(SUBSTITUTE(SUBSTITUTE(SUBSTITUTE(SUBSTITUTE(SUBSTITUTE(TRIM($E884),"'",""),"İ","I"),"ı","I"),"i","I"),"Ş","S"),"ş","S"),"Ğ","G"),"ğ","G"),"Ü","U"),"ü","U"),"Ö","O"),"ö","O"),"Ç","C"),"ç","C"),".",""),",","")," ",""),"-","")))</f>
        <v/>
      </c>
    </row>
    <row r="885">
      <c r="A885" s="6" t="n"/>
      <c r="B885" s="113">
        <f>IF($E885="","","A"&amp;TEXT(ROW()-6,"00000"))</f>
        <v/>
      </c>
      <c r="C885" s="108" t="n"/>
      <c r="D885" s="113">
        <f>IF($E885="","",IFERROR(INDEX(MUSTERILER!$B$7:$B$106,MATCH($U885,MUSTERILER!$T$7:$T$106,0)),IFERROR(INDEX(MUSTERILER!$B$7:$B$106,MATCH($E885,MUSTERILER!$B$7:$B$106,0)),IFERROR(INDEX(MUSTERILER!$B$7:$B$106,MATCH($U885&amp;"*",MUSTERILER!$T$7:$T$106,0)),"TANIMSIZ MÜŞTERİ"))))</f>
        <v/>
      </c>
      <c r="E885" s="109" t="n"/>
      <c r="F885" s="109" t="n"/>
      <c r="G885" s="108" t="n"/>
      <c r="H885" s="220" t="n"/>
      <c r="I885" s="220" t="n"/>
      <c r="J885" s="108" t="n"/>
      <c r="K885" s="108" t="n"/>
      <c r="L885" s="109" t="n"/>
      <c r="M885" s="109" t="n"/>
      <c r="N885" s="109" t="n"/>
      <c r="O885" s="220" t="n"/>
      <c r="P885" s="227">
        <f>IF(OR($E885="",$I885=""),"",IF(OR($J885="Tamamlandı",$J885="İptal"),"",$I885-TODAY()))</f>
        <v/>
      </c>
      <c r="Q885" s="113">
        <f>IF($E885="","",IF($D885="TANIMSIZ MÜŞTERİ","HATA",IF(OR($J885="Tamamlandı",$J885="İptal"),"KAPALI",IF(AND($C885="Görüşme",$N885=""),"SONRAKİ İŞLEM EKSİK",IF($I885="","TARİH EKSİK",IF($I885&lt;TODAY(),"GECİKMİŞ",IF($I885=TODAY(),"BUGÜN",IF($I885&lt;=TODAY()+7,"7 GÜN İÇİNDE","PLANLI"))))))))</f>
        <v/>
      </c>
      <c r="R885" s="6" t="n"/>
      <c r="S885" s="6" t="n"/>
      <c r="T885" s="3" t="n"/>
      <c r="U885" s="3">
        <f>IF($E885="","",UPPER(SUBSTITUTE(SUBSTITUTE(SUBSTITUTE(SUBSTITUTE(SUBSTITUTE(SUBSTITUTE(SUBSTITUTE(SUBSTITUTE(SUBSTITUTE(SUBSTITUTE(SUBSTITUTE(SUBSTITUTE(SUBSTITUTE(SUBSTITUTE(SUBSTITUTE(SUBSTITUTE(SUBSTITUTE(SUBSTITUTE(TRIM($E885),"'",""),"İ","I"),"ı","I"),"i","I"),"Ş","S"),"ş","S"),"Ğ","G"),"ğ","G"),"Ü","U"),"ü","U"),"Ö","O"),"ö","O"),"Ç","C"),"ç","C"),".",""),",","")," ",""),"-","")))</f>
        <v/>
      </c>
    </row>
    <row r="886">
      <c r="A886" s="6" t="n"/>
      <c r="B886" s="113">
        <f>IF($E886="","","A"&amp;TEXT(ROW()-6,"00000"))</f>
        <v/>
      </c>
      <c r="C886" s="108" t="n"/>
      <c r="D886" s="113">
        <f>IF($E886="","",IFERROR(INDEX(MUSTERILER!$B$7:$B$106,MATCH($U886,MUSTERILER!$T$7:$T$106,0)),IFERROR(INDEX(MUSTERILER!$B$7:$B$106,MATCH($E886,MUSTERILER!$B$7:$B$106,0)),IFERROR(INDEX(MUSTERILER!$B$7:$B$106,MATCH($U886&amp;"*",MUSTERILER!$T$7:$T$106,0)),"TANIMSIZ MÜŞTERİ"))))</f>
        <v/>
      </c>
      <c r="E886" s="109" t="n"/>
      <c r="F886" s="109" t="n"/>
      <c r="G886" s="108" t="n"/>
      <c r="H886" s="220" t="n"/>
      <c r="I886" s="220" t="n"/>
      <c r="J886" s="108" t="n"/>
      <c r="K886" s="108" t="n"/>
      <c r="L886" s="109" t="n"/>
      <c r="M886" s="109" t="n"/>
      <c r="N886" s="109" t="n"/>
      <c r="O886" s="220" t="n"/>
      <c r="P886" s="227">
        <f>IF(OR($E886="",$I886=""),"",IF(OR($J886="Tamamlandı",$J886="İptal"),"",$I886-TODAY()))</f>
        <v/>
      </c>
      <c r="Q886" s="113">
        <f>IF($E886="","",IF($D886="TANIMSIZ MÜŞTERİ","HATA",IF(OR($J886="Tamamlandı",$J886="İptal"),"KAPALI",IF(AND($C886="Görüşme",$N886=""),"SONRAKİ İŞLEM EKSİK",IF($I886="","TARİH EKSİK",IF($I886&lt;TODAY(),"GECİKMİŞ",IF($I886=TODAY(),"BUGÜN",IF($I886&lt;=TODAY()+7,"7 GÜN İÇİNDE","PLANLI"))))))))</f>
        <v/>
      </c>
      <c r="R886" s="6" t="n"/>
      <c r="S886" s="6" t="n"/>
      <c r="T886" s="3" t="n"/>
      <c r="U886" s="3">
        <f>IF($E886="","",UPPER(SUBSTITUTE(SUBSTITUTE(SUBSTITUTE(SUBSTITUTE(SUBSTITUTE(SUBSTITUTE(SUBSTITUTE(SUBSTITUTE(SUBSTITUTE(SUBSTITUTE(SUBSTITUTE(SUBSTITUTE(SUBSTITUTE(SUBSTITUTE(SUBSTITUTE(SUBSTITUTE(SUBSTITUTE(SUBSTITUTE(TRIM($E886),"'",""),"İ","I"),"ı","I"),"i","I"),"Ş","S"),"ş","S"),"Ğ","G"),"ğ","G"),"Ü","U"),"ü","U"),"Ö","O"),"ö","O"),"Ç","C"),"ç","C"),".",""),",","")," ",""),"-","")))</f>
        <v/>
      </c>
    </row>
    <row r="887">
      <c r="A887" s="6" t="n"/>
      <c r="B887" s="113">
        <f>IF($E887="","","A"&amp;TEXT(ROW()-6,"00000"))</f>
        <v/>
      </c>
      <c r="C887" s="108" t="n"/>
      <c r="D887" s="113">
        <f>IF($E887="","",IFERROR(INDEX(MUSTERILER!$B$7:$B$106,MATCH($U887,MUSTERILER!$T$7:$T$106,0)),IFERROR(INDEX(MUSTERILER!$B$7:$B$106,MATCH($E887,MUSTERILER!$B$7:$B$106,0)),IFERROR(INDEX(MUSTERILER!$B$7:$B$106,MATCH($U887&amp;"*",MUSTERILER!$T$7:$T$106,0)),"TANIMSIZ MÜŞTERİ"))))</f>
        <v/>
      </c>
      <c r="E887" s="109" t="n"/>
      <c r="F887" s="109" t="n"/>
      <c r="G887" s="108" t="n"/>
      <c r="H887" s="220" t="n"/>
      <c r="I887" s="220" t="n"/>
      <c r="J887" s="108" t="n"/>
      <c r="K887" s="108" t="n"/>
      <c r="L887" s="109" t="n"/>
      <c r="M887" s="109" t="n"/>
      <c r="N887" s="109" t="n"/>
      <c r="O887" s="220" t="n"/>
      <c r="P887" s="227">
        <f>IF(OR($E887="",$I887=""),"",IF(OR($J887="Tamamlandı",$J887="İptal"),"",$I887-TODAY()))</f>
        <v/>
      </c>
      <c r="Q887" s="113">
        <f>IF($E887="","",IF($D887="TANIMSIZ MÜŞTERİ","HATA",IF(OR($J887="Tamamlandı",$J887="İptal"),"KAPALI",IF(AND($C887="Görüşme",$N887=""),"SONRAKİ İŞLEM EKSİK",IF($I887="","TARİH EKSİK",IF($I887&lt;TODAY(),"GECİKMİŞ",IF($I887=TODAY(),"BUGÜN",IF($I887&lt;=TODAY()+7,"7 GÜN İÇİNDE","PLANLI"))))))))</f>
        <v/>
      </c>
      <c r="R887" s="6" t="n"/>
      <c r="S887" s="6" t="n"/>
      <c r="T887" s="3" t="n"/>
      <c r="U887" s="3">
        <f>IF($E887="","",UPPER(SUBSTITUTE(SUBSTITUTE(SUBSTITUTE(SUBSTITUTE(SUBSTITUTE(SUBSTITUTE(SUBSTITUTE(SUBSTITUTE(SUBSTITUTE(SUBSTITUTE(SUBSTITUTE(SUBSTITUTE(SUBSTITUTE(SUBSTITUTE(SUBSTITUTE(SUBSTITUTE(SUBSTITUTE(SUBSTITUTE(TRIM($E887),"'",""),"İ","I"),"ı","I"),"i","I"),"Ş","S"),"ş","S"),"Ğ","G"),"ğ","G"),"Ü","U"),"ü","U"),"Ö","O"),"ö","O"),"Ç","C"),"ç","C"),".",""),",","")," ",""),"-","")))</f>
        <v/>
      </c>
    </row>
    <row r="888">
      <c r="A888" s="6" t="n"/>
      <c r="B888" s="113">
        <f>IF($E888="","","A"&amp;TEXT(ROW()-6,"00000"))</f>
        <v/>
      </c>
      <c r="C888" s="108" t="n"/>
      <c r="D888" s="113">
        <f>IF($E888="","",IFERROR(INDEX(MUSTERILER!$B$7:$B$106,MATCH($U888,MUSTERILER!$T$7:$T$106,0)),IFERROR(INDEX(MUSTERILER!$B$7:$B$106,MATCH($E888,MUSTERILER!$B$7:$B$106,0)),IFERROR(INDEX(MUSTERILER!$B$7:$B$106,MATCH($U888&amp;"*",MUSTERILER!$T$7:$T$106,0)),"TANIMSIZ MÜŞTERİ"))))</f>
        <v/>
      </c>
      <c r="E888" s="109" t="n"/>
      <c r="F888" s="109" t="n"/>
      <c r="G888" s="108" t="n"/>
      <c r="H888" s="220" t="n"/>
      <c r="I888" s="220" t="n"/>
      <c r="J888" s="108" t="n"/>
      <c r="K888" s="108" t="n"/>
      <c r="L888" s="109" t="n"/>
      <c r="M888" s="109" t="n"/>
      <c r="N888" s="109" t="n"/>
      <c r="O888" s="220" t="n"/>
      <c r="P888" s="227">
        <f>IF(OR($E888="",$I888=""),"",IF(OR($J888="Tamamlandı",$J888="İptal"),"",$I888-TODAY()))</f>
        <v/>
      </c>
      <c r="Q888" s="113">
        <f>IF($E888="","",IF($D888="TANIMSIZ MÜŞTERİ","HATA",IF(OR($J888="Tamamlandı",$J888="İptal"),"KAPALI",IF(AND($C888="Görüşme",$N888=""),"SONRAKİ İŞLEM EKSİK",IF($I888="","TARİH EKSİK",IF($I888&lt;TODAY(),"GECİKMİŞ",IF($I888=TODAY(),"BUGÜN",IF($I888&lt;=TODAY()+7,"7 GÜN İÇİNDE","PLANLI"))))))))</f>
        <v/>
      </c>
      <c r="R888" s="6" t="n"/>
      <c r="S888" s="6" t="n"/>
      <c r="T888" s="3" t="n"/>
      <c r="U888" s="3">
        <f>IF($E888="","",UPPER(SUBSTITUTE(SUBSTITUTE(SUBSTITUTE(SUBSTITUTE(SUBSTITUTE(SUBSTITUTE(SUBSTITUTE(SUBSTITUTE(SUBSTITUTE(SUBSTITUTE(SUBSTITUTE(SUBSTITUTE(SUBSTITUTE(SUBSTITUTE(SUBSTITUTE(SUBSTITUTE(SUBSTITUTE(SUBSTITUTE(TRIM($E888),"'",""),"İ","I"),"ı","I"),"i","I"),"Ş","S"),"ş","S"),"Ğ","G"),"ğ","G"),"Ü","U"),"ü","U"),"Ö","O"),"ö","O"),"Ç","C"),"ç","C"),".",""),",","")," ",""),"-","")))</f>
        <v/>
      </c>
    </row>
    <row r="889">
      <c r="A889" s="6" t="n"/>
      <c r="B889" s="113">
        <f>IF($E889="","","A"&amp;TEXT(ROW()-6,"00000"))</f>
        <v/>
      </c>
      <c r="C889" s="108" t="n"/>
      <c r="D889" s="113">
        <f>IF($E889="","",IFERROR(INDEX(MUSTERILER!$B$7:$B$106,MATCH($U889,MUSTERILER!$T$7:$T$106,0)),IFERROR(INDEX(MUSTERILER!$B$7:$B$106,MATCH($E889,MUSTERILER!$B$7:$B$106,0)),IFERROR(INDEX(MUSTERILER!$B$7:$B$106,MATCH($U889&amp;"*",MUSTERILER!$T$7:$T$106,0)),"TANIMSIZ MÜŞTERİ"))))</f>
        <v/>
      </c>
      <c r="E889" s="109" t="n"/>
      <c r="F889" s="109" t="n"/>
      <c r="G889" s="108" t="n"/>
      <c r="H889" s="220" t="n"/>
      <c r="I889" s="220" t="n"/>
      <c r="J889" s="108" t="n"/>
      <c r="K889" s="108" t="n"/>
      <c r="L889" s="109" t="n"/>
      <c r="M889" s="109" t="n"/>
      <c r="N889" s="109" t="n"/>
      <c r="O889" s="220" t="n"/>
      <c r="P889" s="227">
        <f>IF(OR($E889="",$I889=""),"",IF(OR($J889="Tamamlandı",$J889="İptal"),"",$I889-TODAY()))</f>
        <v/>
      </c>
      <c r="Q889" s="113">
        <f>IF($E889="","",IF($D889="TANIMSIZ MÜŞTERİ","HATA",IF(OR($J889="Tamamlandı",$J889="İptal"),"KAPALI",IF(AND($C889="Görüşme",$N889=""),"SONRAKİ İŞLEM EKSİK",IF($I889="","TARİH EKSİK",IF($I889&lt;TODAY(),"GECİKMİŞ",IF($I889=TODAY(),"BUGÜN",IF($I889&lt;=TODAY()+7,"7 GÜN İÇİNDE","PLANLI"))))))))</f>
        <v/>
      </c>
      <c r="R889" s="6" t="n"/>
      <c r="S889" s="6" t="n"/>
      <c r="T889" s="3" t="n"/>
      <c r="U889" s="3">
        <f>IF($E889="","",UPPER(SUBSTITUTE(SUBSTITUTE(SUBSTITUTE(SUBSTITUTE(SUBSTITUTE(SUBSTITUTE(SUBSTITUTE(SUBSTITUTE(SUBSTITUTE(SUBSTITUTE(SUBSTITUTE(SUBSTITUTE(SUBSTITUTE(SUBSTITUTE(SUBSTITUTE(SUBSTITUTE(SUBSTITUTE(SUBSTITUTE(TRIM($E889),"'",""),"İ","I"),"ı","I"),"i","I"),"Ş","S"),"ş","S"),"Ğ","G"),"ğ","G"),"Ü","U"),"ü","U"),"Ö","O"),"ö","O"),"Ç","C"),"ç","C"),".",""),",","")," ",""),"-","")))</f>
        <v/>
      </c>
    </row>
    <row r="890">
      <c r="A890" s="6" t="n"/>
      <c r="B890" s="113">
        <f>IF($E890="","","A"&amp;TEXT(ROW()-6,"00000"))</f>
        <v/>
      </c>
      <c r="C890" s="108" t="n"/>
      <c r="D890" s="113">
        <f>IF($E890="","",IFERROR(INDEX(MUSTERILER!$B$7:$B$106,MATCH($U890,MUSTERILER!$T$7:$T$106,0)),IFERROR(INDEX(MUSTERILER!$B$7:$B$106,MATCH($E890,MUSTERILER!$B$7:$B$106,0)),IFERROR(INDEX(MUSTERILER!$B$7:$B$106,MATCH($U890&amp;"*",MUSTERILER!$T$7:$T$106,0)),"TANIMSIZ MÜŞTERİ"))))</f>
        <v/>
      </c>
      <c r="E890" s="109" t="n"/>
      <c r="F890" s="109" t="n"/>
      <c r="G890" s="108" t="n"/>
      <c r="H890" s="220" t="n"/>
      <c r="I890" s="220" t="n"/>
      <c r="J890" s="108" t="n"/>
      <c r="K890" s="108" t="n"/>
      <c r="L890" s="109" t="n"/>
      <c r="M890" s="109" t="n"/>
      <c r="N890" s="109" t="n"/>
      <c r="O890" s="220" t="n"/>
      <c r="P890" s="227">
        <f>IF(OR($E890="",$I890=""),"",IF(OR($J890="Tamamlandı",$J890="İptal"),"",$I890-TODAY()))</f>
        <v/>
      </c>
      <c r="Q890" s="113">
        <f>IF($E890="","",IF($D890="TANIMSIZ MÜŞTERİ","HATA",IF(OR($J890="Tamamlandı",$J890="İptal"),"KAPALI",IF(AND($C890="Görüşme",$N890=""),"SONRAKİ İŞLEM EKSİK",IF($I890="","TARİH EKSİK",IF($I890&lt;TODAY(),"GECİKMİŞ",IF($I890=TODAY(),"BUGÜN",IF($I890&lt;=TODAY()+7,"7 GÜN İÇİNDE","PLANLI"))))))))</f>
        <v/>
      </c>
      <c r="R890" s="6" t="n"/>
      <c r="S890" s="6" t="n"/>
      <c r="T890" s="3" t="n"/>
      <c r="U890" s="3">
        <f>IF($E890="","",UPPER(SUBSTITUTE(SUBSTITUTE(SUBSTITUTE(SUBSTITUTE(SUBSTITUTE(SUBSTITUTE(SUBSTITUTE(SUBSTITUTE(SUBSTITUTE(SUBSTITUTE(SUBSTITUTE(SUBSTITUTE(SUBSTITUTE(SUBSTITUTE(SUBSTITUTE(SUBSTITUTE(SUBSTITUTE(SUBSTITUTE(TRIM($E890),"'",""),"İ","I"),"ı","I"),"i","I"),"Ş","S"),"ş","S"),"Ğ","G"),"ğ","G"),"Ü","U"),"ü","U"),"Ö","O"),"ö","O"),"Ç","C"),"ç","C"),".",""),",","")," ",""),"-","")))</f>
        <v/>
      </c>
    </row>
    <row r="891">
      <c r="A891" s="6" t="n"/>
      <c r="B891" s="113">
        <f>IF($E891="","","A"&amp;TEXT(ROW()-6,"00000"))</f>
        <v/>
      </c>
      <c r="C891" s="108" t="n"/>
      <c r="D891" s="113">
        <f>IF($E891="","",IFERROR(INDEX(MUSTERILER!$B$7:$B$106,MATCH($U891,MUSTERILER!$T$7:$T$106,0)),IFERROR(INDEX(MUSTERILER!$B$7:$B$106,MATCH($E891,MUSTERILER!$B$7:$B$106,0)),IFERROR(INDEX(MUSTERILER!$B$7:$B$106,MATCH($U891&amp;"*",MUSTERILER!$T$7:$T$106,0)),"TANIMSIZ MÜŞTERİ"))))</f>
        <v/>
      </c>
      <c r="E891" s="109" t="n"/>
      <c r="F891" s="109" t="n"/>
      <c r="G891" s="108" t="n"/>
      <c r="H891" s="220" t="n"/>
      <c r="I891" s="220" t="n"/>
      <c r="J891" s="108" t="n"/>
      <c r="K891" s="108" t="n"/>
      <c r="L891" s="109" t="n"/>
      <c r="M891" s="109" t="n"/>
      <c r="N891" s="109" t="n"/>
      <c r="O891" s="220" t="n"/>
      <c r="P891" s="227">
        <f>IF(OR($E891="",$I891=""),"",IF(OR($J891="Tamamlandı",$J891="İptal"),"",$I891-TODAY()))</f>
        <v/>
      </c>
      <c r="Q891" s="113">
        <f>IF($E891="","",IF($D891="TANIMSIZ MÜŞTERİ","HATA",IF(OR($J891="Tamamlandı",$J891="İptal"),"KAPALI",IF(AND($C891="Görüşme",$N891=""),"SONRAKİ İŞLEM EKSİK",IF($I891="","TARİH EKSİK",IF($I891&lt;TODAY(),"GECİKMİŞ",IF($I891=TODAY(),"BUGÜN",IF($I891&lt;=TODAY()+7,"7 GÜN İÇİNDE","PLANLI"))))))))</f>
        <v/>
      </c>
      <c r="R891" s="6" t="n"/>
      <c r="S891" s="6" t="n"/>
      <c r="T891" s="3" t="n"/>
      <c r="U891" s="3">
        <f>IF($E891="","",UPPER(SUBSTITUTE(SUBSTITUTE(SUBSTITUTE(SUBSTITUTE(SUBSTITUTE(SUBSTITUTE(SUBSTITUTE(SUBSTITUTE(SUBSTITUTE(SUBSTITUTE(SUBSTITUTE(SUBSTITUTE(SUBSTITUTE(SUBSTITUTE(SUBSTITUTE(SUBSTITUTE(SUBSTITUTE(SUBSTITUTE(TRIM($E891),"'",""),"İ","I"),"ı","I"),"i","I"),"Ş","S"),"ş","S"),"Ğ","G"),"ğ","G"),"Ü","U"),"ü","U"),"Ö","O"),"ö","O"),"Ç","C"),"ç","C"),".",""),",","")," ",""),"-","")))</f>
        <v/>
      </c>
    </row>
    <row r="892">
      <c r="A892" s="6" t="n"/>
      <c r="B892" s="113">
        <f>IF($E892="","","A"&amp;TEXT(ROW()-6,"00000"))</f>
        <v/>
      </c>
      <c r="C892" s="108" t="n"/>
      <c r="D892" s="113">
        <f>IF($E892="","",IFERROR(INDEX(MUSTERILER!$B$7:$B$106,MATCH($U892,MUSTERILER!$T$7:$T$106,0)),IFERROR(INDEX(MUSTERILER!$B$7:$B$106,MATCH($E892,MUSTERILER!$B$7:$B$106,0)),IFERROR(INDEX(MUSTERILER!$B$7:$B$106,MATCH($U892&amp;"*",MUSTERILER!$T$7:$T$106,0)),"TANIMSIZ MÜŞTERİ"))))</f>
        <v/>
      </c>
      <c r="E892" s="109" t="n"/>
      <c r="F892" s="109" t="n"/>
      <c r="G892" s="108" t="n"/>
      <c r="H892" s="220" t="n"/>
      <c r="I892" s="220" t="n"/>
      <c r="J892" s="108" t="n"/>
      <c r="K892" s="108" t="n"/>
      <c r="L892" s="109" t="n"/>
      <c r="M892" s="109" t="n"/>
      <c r="N892" s="109" t="n"/>
      <c r="O892" s="220" t="n"/>
      <c r="P892" s="227">
        <f>IF(OR($E892="",$I892=""),"",IF(OR($J892="Tamamlandı",$J892="İptal"),"",$I892-TODAY()))</f>
        <v/>
      </c>
      <c r="Q892" s="113">
        <f>IF($E892="","",IF($D892="TANIMSIZ MÜŞTERİ","HATA",IF(OR($J892="Tamamlandı",$J892="İptal"),"KAPALI",IF(AND($C892="Görüşme",$N892=""),"SONRAKİ İŞLEM EKSİK",IF($I892="","TARİH EKSİK",IF($I892&lt;TODAY(),"GECİKMİŞ",IF($I892=TODAY(),"BUGÜN",IF($I892&lt;=TODAY()+7,"7 GÜN İÇİNDE","PLANLI"))))))))</f>
        <v/>
      </c>
      <c r="R892" s="6" t="n"/>
      <c r="S892" s="6" t="n"/>
      <c r="T892" s="3" t="n"/>
      <c r="U892" s="3">
        <f>IF($E892="","",UPPER(SUBSTITUTE(SUBSTITUTE(SUBSTITUTE(SUBSTITUTE(SUBSTITUTE(SUBSTITUTE(SUBSTITUTE(SUBSTITUTE(SUBSTITUTE(SUBSTITUTE(SUBSTITUTE(SUBSTITUTE(SUBSTITUTE(SUBSTITUTE(SUBSTITUTE(SUBSTITUTE(SUBSTITUTE(SUBSTITUTE(TRIM($E892),"'",""),"İ","I"),"ı","I"),"i","I"),"Ş","S"),"ş","S"),"Ğ","G"),"ğ","G"),"Ü","U"),"ü","U"),"Ö","O"),"ö","O"),"Ç","C"),"ç","C"),".",""),",","")," ",""),"-","")))</f>
        <v/>
      </c>
    </row>
    <row r="893">
      <c r="A893" s="6" t="n"/>
      <c r="B893" s="113">
        <f>IF($E893="","","A"&amp;TEXT(ROW()-6,"00000"))</f>
        <v/>
      </c>
      <c r="C893" s="108" t="n"/>
      <c r="D893" s="113">
        <f>IF($E893="","",IFERROR(INDEX(MUSTERILER!$B$7:$B$106,MATCH($U893,MUSTERILER!$T$7:$T$106,0)),IFERROR(INDEX(MUSTERILER!$B$7:$B$106,MATCH($E893,MUSTERILER!$B$7:$B$106,0)),IFERROR(INDEX(MUSTERILER!$B$7:$B$106,MATCH($U893&amp;"*",MUSTERILER!$T$7:$T$106,0)),"TANIMSIZ MÜŞTERİ"))))</f>
        <v/>
      </c>
      <c r="E893" s="109" t="n"/>
      <c r="F893" s="109" t="n"/>
      <c r="G893" s="108" t="n"/>
      <c r="H893" s="220" t="n"/>
      <c r="I893" s="220" t="n"/>
      <c r="J893" s="108" t="n"/>
      <c r="K893" s="108" t="n"/>
      <c r="L893" s="109" t="n"/>
      <c r="M893" s="109" t="n"/>
      <c r="N893" s="109" t="n"/>
      <c r="O893" s="220" t="n"/>
      <c r="P893" s="227">
        <f>IF(OR($E893="",$I893=""),"",IF(OR($J893="Tamamlandı",$J893="İptal"),"",$I893-TODAY()))</f>
        <v/>
      </c>
      <c r="Q893" s="113">
        <f>IF($E893="","",IF($D893="TANIMSIZ MÜŞTERİ","HATA",IF(OR($J893="Tamamlandı",$J893="İptal"),"KAPALI",IF(AND($C893="Görüşme",$N893=""),"SONRAKİ İŞLEM EKSİK",IF($I893="","TARİH EKSİK",IF($I893&lt;TODAY(),"GECİKMİŞ",IF($I893=TODAY(),"BUGÜN",IF($I893&lt;=TODAY()+7,"7 GÜN İÇİNDE","PLANLI"))))))))</f>
        <v/>
      </c>
      <c r="R893" s="6" t="n"/>
      <c r="S893" s="6" t="n"/>
      <c r="T893" s="3" t="n"/>
      <c r="U893" s="3">
        <f>IF($E893="","",UPPER(SUBSTITUTE(SUBSTITUTE(SUBSTITUTE(SUBSTITUTE(SUBSTITUTE(SUBSTITUTE(SUBSTITUTE(SUBSTITUTE(SUBSTITUTE(SUBSTITUTE(SUBSTITUTE(SUBSTITUTE(SUBSTITUTE(SUBSTITUTE(SUBSTITUTE(SUBSTITUTE(SUBSTITUTE(SUBSTITUTE(TRIM($E893),"'",""),"İ","I"),"ı","I"),"i","I"),"Ş","S"),"ş","S"),"Ğ","G"),"ğ","G"),"Ü","U"),"ü","U"),"Ö","O"),"ö","O"),"Ç","C"),"ç","C"),".",""),",","")," ",""),"-","")))</f>
        <v/>
      </c>
    </row>
    <row r="894">
      <c r="A894" s="6" t="n"/>
      <c r="B894" s="113">
        <f>IF($E894="","","A"&amp;TEXT(ROW()-6,"00000"))</f>
        <v/>
      </c>
      <c r="C894" s="108" t="n"/>
      <c r="D894" s="113">
        <f>IF($E894="","",IFERROR(INDEX(MUSTERILER!$B$7:$B$106,MATCH($U894,MUSTERILER!$T$7:$T$106,0)),IFERROR(INDEX(MUSTERILER!$B$7:$B$106,MATCH($E894,MUSTERILER!$B$7:$B$106,0)),IFERROR(INDEX(MUSTERILER!$B$7:$B$106,MATCH($U894&amp;"*",MUSTERILER!$T$7:$T$106,0)),"TANIMSIZ MÜŞTERİ"))))</f>
        <v/>
      </c>
      <c r="E894" s="109" t="n"/>
      <c r="F894" s="109" t="n"/>
      <c r="G894" s="108" t="n"/>
      <c r="H894" s="220" t="n"/>
      <c r="I894" s="220" t="n"/>
      <c r="J894" s="108" t="n"/>
      <c r="K894" s="108" t="n"/>
      <c r="L894" s="109" t="n"/>
      <c r="M894" s="109" t="n"/>
      <c r="N894" s="109" t="n"/>
      <c r="O894" s="220" t="n"/>
      <c r="P894" s="227">
        <f>IF(OR($E894="",$I894=""),"",IF(OR($J894="Tamamlandı",$J894="İptal"),"",$I894-TODAY()))</f>
        <v/>
      </c>
      <c r="Q894" s="113">
        <f>IF($E894="","",IF($D894="TANIMSIZ MÜŞTERİ","HATA",IF(OR($J894="Tamamlandı",$J894="İptal"),"KAPALI",IF(AND($C894="Görüşme",$N894=""),"SONRAKİ İŞLEM EKSİK",IF($I894="","TARİH EKSİK",IF($I894&lt;TODAY(),"GECİKMİŞ",IF($I894=TODAY(),"BUGÜN",IF($I894&lt;=TODAY()+7,"7 GÜN İÇİNDE","PLANLI"))))))))</f>
        <v/>
      </c>
      <c r="R894" s="6" t="n"/>
      <c r="S894" s="6" t="n"/>
      <c r="T894" s="3" t="n"/>
      <c r="U894" s="3">
        <f>IF($E894="","",UPPER(SUBSTITUTE(SUBSTITUTE(SUBSTITUTE(SUBSTITUTE(SUBSTITUTE(SUBSTITUTE(SUBSTITUTE(SUBSTITUTE(SUBSTITUTE(SUBSTITUTE(SUBSTITUTE(SUBSTITUTE(SUBSTITUTE(SUBSTITUTE(SUBSTITUTE(SUBSTITUTE(SUBSTITUTE(SUBSTITUTE(TRIM($E894),"'",""),"İ","I"),"ı","I"),"i","I"),"Ş","S"),"ş","S"),"Ğ","G"),"ğ","G"),"Ü","U"),"ü","U"),"Ö","O"),"ö","O"),"Ç","C"),"ç","C"),".",""),",","")," ",""),"-","")))</f>
        <v/>
      </c>
    </row>
    <row r="895">
      <c r="A895" s="6" t="n"/>
      <c r="B895" s="113">
        <f>IF($E895="","","A"&amp;TEXT(ROW()-6,"00000"))</f>
        <v/>
      </c>
      <c r="C895" s="108" t="n"/>
      <c r="D895" s="113">
        <f>IF($E895="","",IFERROR(INDEX(MUSTERILER!$B$7:$B$106,MATCH($U895,MUSTERILER!$T$7:$T$106,0)),IFERROR(INDEX(MUSTERILER!$B$7:$B$106,MATCH($E895,MUSTERILER!$B$7:$B$106,0)),IFERROR(INDEX(MUSTERILER!$B$7:$B$106,MATCH($U895&amp;"*",MUSTERILER!$T$7:$T$106,0)),"TANIMSIZ MÜŞTERİ"))))</f>
        <v/>
      </c>
      <c r="E895" s="109" t="n"/>
      <c r="F895" s="109" t="n"/>
      <c r="G895" s="108" t="n"/>
      <c r="H895" s="220" t="n"/>
      <c r="I895" s="220" t="n"/>
      <c r="J895" s="108" t="n"/>
      <c r="K895" s="108" t="n"/>
      <c r="L895" s="109" t="n"/>
      <c r="M895" s="109" t="n"/>
      <c r="N895" s="109" t="n"/>
      <c r="O895" s="220" t="n"/>
      <c r="P895" s="227">
        <f>IF(OR($E895="",$I895=""),"",IF(OR($J895="Tamamlandı",$J895="İptal"),"",$I895-TODAY()))</f>
        <v/>
      </c>
      <c r="Q895" s="113">
        <f>IF($E895="","",IF($D895="TANIMSIZ MÜŞTERİ","HATA",IF(OR($J895="Tamamlandı",$J895="İptal"),"KAPALI",IF(AND($C895="Görüşme",$N895=""),"SONRAKİ İŞLEM EKSİK",IF($I895="","TARİH EKSİK",IF($I895&lt;TODAY(),"GECİKMİŞ",IF($I895=TODAY(),"BUGÜN",IF($I895&lt;=TODAY()+7,"7 GÜN İÇİNDE","PLANLI"))))))))</f>
        <v/>
      </c>
      <c r="R895" s="6" t="n"/>
      <c r="S895" s="6" t="n"/>
      <c r="T895" s="3" t="n"/>
      <c r="U895" s="3">
        <f>IF($E895="","",UPPER(SUBSTITUTE(SUBSTITUTE(SUBSTITUTE(SUBSTITUTE(SUBSTITUTE(SUBSTITUTE(SUBSTITUTE(SUBSTITUTE(SUBSTITUTE(SUBSTITUTE(SUBSTITUTE(SUBSTITUTE(SUBSTITUTE(SUBSTITUTE(SUBSTITUTE(SUBSTITUTE(SUBSTITUTE(SUBSTITUTE(TRIM($E895),"'",""),"İ","I"),"ı","I"),"i","I"),"Ş","S"),"ş","S"),"Ğ","G"),"ğ","G"),"Ü","U"),"ü","U"),"Ö","O"),"ö","O"),"Ç","C"),"ç","C"),".",""),",","")," ",""),"-","")))</f>
        <v/>
      </c>
    </row>
    <row r="896">
      <c r="A896" s="6" t="n"/>
      <c r="B896" s="113">
        <f>IF($E896="","","A"&amp;TEXT(ROW()-6,"00000"))</f>
        <v/>
      </c>
      <c r="C896" s="108" t="n"/>
      <c r="D896" s="113">
        <f>IF($E896="","",IFERROR(INDEX(MUSTERILER!$B$7:$B$106,MATCH($U896,MUSTERILER!$T$7:$T$106,0)),IFERROR(INDEX(MUSTERILER!$B$7:$B$106,MATCH($E896,MUSTERILER!$B$7:$B$106,0)),IFERROR(INDEX(MUSTERILER!$B$7:$B$106,MATCH($U896&amp;"*",MUSTERILER!$T$7:$T$106,0)),"TANIMSIZ MÜŞTERİ"))))</f>
        <v/>
      </c>
      <c r="E896" s="109" t="n"/>
      <c r="F896" s="109" t="n"/>
      <c r="G896" s="108" t="n"/>
      <c r="H896" s="220" t="n"/>
      <c r="I896" s="220" t="n"/>
      <c r="J896" s="108" t="n"/>
      <c r="K896" s="108" t="n"/>
      <c r="L896" s="109" t="n"/>
      <c r="M896" s="109" t="n"/>
      <c r="N896" s="109" t="n"/>
      <c r="O896" s="220" t="n"/>
      <c r="P896" s="227">
        <f>IF(OR($E896="",$I896=""),"",IF(OR($J896="Tamamlandı",$J896="İptal"),"",$I896-TODAY()))</f>
        <v/>
      </c>
      <c r="Q896" s="113">
        <f>IF($E896="","",IF($D896="TANIMSIZ MÜŞTERİ","HATA",IF(OR($J896="Tamamlandı",$J896="İptal"),"KAPALI",IF(AND($C896="Görüşme",$N896=""),"SONRAKİ İŞLEM EKSİK",IF($I896="","TARİH EKSİK",IF($I896&lt;TODAY(),"GECİKMİŞ",IF($I896=TODAY(),"BUGÜN",IF($I896&lt;=TODAY()+7,"7 GÜN İÇİNDE","PLANLI"))))))))</f>
        <v/>
      </c>
      <c r="R896" s="6" t="n"/>
      <c r="S896" s="6" t="n"/>
      <c r="T896" s="3" t="n"/>
      <c r="U896" s="3">
        <f>IF($E896="","",UPPER(SUBSTITUTE(SUBSTITUTE(SUBSTITUTE(SUBSTITUTE(SUBSTITUTE(SUBSTITUTE(SUBSTITUTE(SUBSTITUTE(SUBSTITUTE(SUBSTITUTE(SUBSTITUTE(SUBSTITUTE(SUBSTITUTE(SUBSTITUTE(SUBSTITUTE(SUBSTITUTE(SUBSTITUTE(SUBSTITUTE(TRIM($E896),"'",""),"İ","I"),"ı","I"),"i","I"),"Ş","S"),"ş","S"),"Ğ","G"),"ğ","G"),"Ü","U"),"ü","U"),"Ö","O"),"ö","O"),"Ç","C"),"ç","C"),".",""),",","")," ",""),"-","")))</f>
        <v/>
      </c>
    </row>
    <row r="897">
      <c r="A897" s="6" t="n"/>
      <c r="B897" s="113">
        <f>IF($E897="","","A"&amp;TEXT(ROW()-6,"00000"))</f>
        <v/>
      </c>
      <c r="C897" s="108" t="n"/>
      <c r="D897" s="113">
        <f>IF($E897="","",IFERROR(INDEX(MUSTERILER!$B$7:$B$106,MATCH($U897,MUSTERILER!$T$7:$T$106,0)),IFERROR(INDEX(MUSTERILER!$B$7:$B$106,MATCH($E897,MUSTERILER!$B$7:$B$106,0)),IFERROR(INDEX(MUSTERILER!$B$7:$B$106,MATCH($U897&amp;"*",MUSTERILER!$T$7:$T$106,0)),"TANIMSIZ MÜŞTERİ"))))</f>
        <v/>
      </c>
      <c r="E897" s="109" t="n"/>
      <c r="F897" s="109" t="n"/>
      <c r="G897" s="108" t="n"/>
      <c r="H897" s="220" t="n"/>
      <c r="I897" s="220" t="n"/>
      <c r="J897" s="108" t="n"/>
      <c r="K897" s="108" t="n"/>
      <c r="L897" s="109" t="n"/>
      <c r="M897" s="109" t="n"/>
      <c r="N897" s="109" t="n"/>
      <c r="O897" s="220" t="n"/>
      <c r="P897" s="227">
        <f>IF(OR($E897="",$I897=""),"",IF(OR($J897="Tamamlandı",$J897="İptal"),"",$I897-TODAY()))</f>
        <v/>
      </c>
      <c r="Q897" s="113">
        <f>IF($E897="","",IF($D897="TANIMSIZ MÜŞTERİ","HATA",IF(OR($J897="Tamamlandı",$J897="İptal"),"KAPALI",IF(AND($C897="Görüşme",$N897=""),"SONRAKİ İŞLEM EKSİK",IF($I897="","TARİH EKSİK",IF($I897&lt;TODAY(),"GECİKMİŞ",IF($I897=TODAY(),"BUGÜN",IF($I897&lt;=TODAY()+7,"7 GÜN İÇİNDE","PLANLI"))))))))</f>
        <v/>
      </c>
      <c r="R897" s="6" t="n"/>
      <c r="S897" s="6" t="n"/>
      <c r="T897" s="3" t="n"/>
      <c r="U897" s="3">
        <f>IF($E897="","",UPPER(SUBSTITUTE(SUBSTITUTE(SUBSTITUTE(SUBSTITUTE(SUBSTITUTE(SUBSTITUTE(SUBSTITUTE(SUBSTITUTE(SUBSTITUTE(SUBSTITUTE(SUBSTITUTE(SUBSTITUTE(SUBSTITUTE(SUBSTITUTE(SUBSTITUTE(SUBSTITUTE(SUBSTITUTE(SUBSTITUTE(TRIM($E897),"'",""),"İ","I"),"ı","I"),"i","I"),"Ş","S"),"ş","S"),"Ğ","G"),"ğ","G"),"Ü","U"),"ü","U"),"Ö","O"),"ö","O"),"Ç","C"),"ç","C"),".",""),",","")," ",""),"-","")))</f>
        <v/>
      </c>
    </row>
    <row r="898">
      <c r="A898" s="6" t="n"/>
      <c r="B898" s="113">
        <f>IF($E898="","","A"&amp;TEXT(ROW()-6,"00000"))</f>
        <v/>
      </c>
      <c r="C898" s="108" t="n"/>
      <c r="D898" s="113">
        <f>IF($E898="","",IFERROR(INDEX(MUSTERILER!$B$7:$B$106,MATCH($U898,MUSTERILER!$T$7:$T$106,0)),IFERROR(INDEX(MUSTERILER!$B$7:$B$106,MATCH($E898,MUSTERILER!$B$7:$B$106,0)),IFERROR(INDEX(MUSTERILER!$B$7:$B$106,MATCH($U898&amp;"*",MUSTERILER!$T$7:$T$106,0)),"TANIMSIZ MÜŞTERİ"))))</f>
        <v/>
      </c>
      <c r="E898" s="109" t="n"/>
      <c r="F898" s="109" t="n"/>
      <c r="G898" s="108" t="n"/>
      <c r="H898" s="220" t="n"/>
      <c r="I898" s="220" t="n"/>
      <c r="J898" s="108" t="n"/>
      <c r="K898" s="108" t="n"/>
      <c r="L898" s="109" t="n"/>
      <c r="M898" s="109" t="n"/>
      <c r="N898" s="109" t="n"/>
      <c r="O898" s="220" t="n"/>
      <c r="P898" s="227">
        <f>IF(OR($E898="",$I898=""),"",IF(OR($J898="Tamamlandı",$J898="İptal"),"",$I898-TODAY()))</f>
        <v/>
      </c>
      <c r="Q898" s="113">
        <f>IF($E898="","",IF($D898="TANIMSIZ MÜŞTERİ","HATA",IF(OR($J898="Tamamlandı",$J898="İptal"),"KAPALI",IF(AND($C898="Görüşme",$N898=""),"SONRAKİ İŞLEM EKSİK",IF($I898="","TARİH EKSİK",IF($I898&lt;TODAY(),"GECİKMİŞ",IF($I898=TODAY(),"BUGÜN",IF($I898&lt;=TODAY()+7,"7 GÜN İÇİNDE","PLANLI"))))))))</f>
        <v/>
      </c>
      <c r="R898" s="6" t="n"/>
      <c r="S898" s="6" t="n"/>
      <c r="T898" s="3" t="n"/>
      <c r="U898" s="3">
        <f>IF($E898="","",UPPER(SUBSTITUTE(SUBSTITUTE(SUBSTITUTE(SUBSTITUTE(SUBSTITUTE(SUBSTITUTE(SUBSTITUTE(SUBSTITUTE(SUBSTITUTE(SUBSTITUTE(SUBSTITUTE(SUBSTITUTE(SUBSTITUTE(SUBSTITUTE(SUBSTITUTE(SUBSTITUTE(SUBSTITUTE(SUBSTITUTE(TRIM($E898),"'",""),"İ","I"),"ı","I"),"i","I"),"Ş","S"),"ş","S"),"Ğ","G"),"ğ","G"),"Ü","U"),"ü","U"),"Ö","O"),"ö","O"),"Ç","C"),"ç","C"),".",""),",","")," ",""),"-","")))</f>
        <v/>
      </c>
    </row>
    <row r="899">
      <c r="A899" s="6" t="n"/>
      <c r="B899" s="113">
        <f>IF($E899="","","A"&amp;TEXT(ROW()-6,"00000"))</f>
        <v/>
      </c>
      <c r="C899" s="108" t="n"/>
      <c r="D899" s="113">
        <f>IF($E899="","",IFERROR(INDEX(MUSTERILER!$B$7:$B$106,MATCH($U899,MUSTERILER!$T$7:$T$106,0)),IFERROR(INDEX(MUSTERILER!$B$7:$B$106,MATCH($E899,MUSTERILER!$B$7:$B$106,0)),IFERROR(INDEX(MUSTERILER!$B$7:$B$106,MATCH($U899&amp;"*",MUSTERILER!$T$7:$T$106,0)),"TANIMSIZ MÜŞTERİ"))))</f>
        <v/>
      </c>
      <c r="E899" s="109" t="n"/>
      <c r="F899" s="109" t="n"/>
      <c r="G899" s="108" t="n"/>
      <c r="H899" s="220" t="n"/>
      <c r="I899" s="220" t="n"/>
      <c r="J899" s="108" t="n"/>
      <c r="K899" s="108" t="n"/>
      <c r="L899" s="109" t="n"/>
      <c r="M899" s="109" t="n"/>
      <c r="N899" s="109" t="n"/>
      <c r="O899" s="220" t="n"/>
      <c r="P899" s="227">
        <f>IF(OR($E899="",$I899=""),"",IF(OR($J899="Tamamlandı",$J899="İptal"),"",$I899-TODAY()))</f>
        <v/>
      </c>
      <c r="Q899" s="113">
        <f>IF($E899="","",IF($D899="TANIMSIZ MÜŞTERİ","HATA",IF(OR($J899="Tamamlandı",$J899="İptal"),"KAPALI",IF(AND($C899="Görüşme",$N899=""),"SONRAKİ İŞLEM EKSİK",IF($I899="","TARİH EKSİK",IF($I899&lt;TODAY(),"GECİKMİŞ",IF($I899=TODAY(),"BUGÜN",IF($I899&lt;=TODAY()+7,"7 GÜN İÇİNDE","PLANLI"))))))))</f>
        <v/>
      </c>
      <c r="R899" s="6" t="n"/>
      <c r="S899" s="6" t="n"/>
      <c r="T899" s="3" t="n"/>
      <c r="U899" s="3">
        <f>IF($E899="","",UPPER(SUBSTITUTE(SUBSTITUTE(SUBSTITUTE(SUBSTITUTE(SUBSTITUTE(SUBSTITUTE(SUBSTITUTE(SUBSTITUTE(SUBSTITUTE(SUBSTITUTE(SUBSTITUTE(SUBSTITUTE(SUBSTITUTE(SUBSTITUTE(SUBSTITUTE(SUBSTITUTE(SUBSTITUTE(SUBSTITUTE(TRIM($E899),"'",""),"İ","I"),"ı","I"),"i","I"),"Ş","S"),"ş","S"),"Ğ","G"),"ğ","G"),"Ü","U"),"ü","U"),"Ö","O"),"ö","O"),"Ç","C"),"ç","C"),".",""),",","")," ",""),"-","")))</f>
        <v/>
      </c>
    </row>
    <row r="900">
      <c r="A900" s="6" t="n"/>
      <c r="B900" s="113">
        <f>IF($E900="","","A"&amp;TEXT(ROW()-6,"00000"))</f>
        <v/>
      </c>
      <c r="C900" s="108" t="n"/>
      <c r="D900" s="113">
        <f>IF($E900="","",IFERROR(INDEX(MUSTERILER!$B$7:$B$106,MATCH($U900,MUSTERILER!$T$7:$T$106,0)),IFERROR(INDEX(MUSTERILER!$B$7:$B$106,MATCH($E900,MUSTERILER!$B$7:$B$106,0)),IFERROR(INDEX(MUSTERILER!$B$7:$B$106,MATCH($U900&amp;"*",MUSTERILER!$T$7:$T$106,0)),"TANIMSIZ MÜŞTERİ"))))</f>
        <v/>
      </c>
      <c r="E900" s="109" t="n"/>
      <c r="F900" s="109" t="n"/>
      <c r="G900" s="108" t="n"/>
      <c r="H900" s="220" t="n"/>
      <c r="I900" s="220" t="n"/>
      <c r="J900" s="108" t="n"/>
      <c r="K900" s="108" t="n"/>
      <c r="L900" s="109" t="n"/>
      <c r="M900" s="109" t="n"/>
      <c r="N900" s="109" t="n"/>
      <c r="O900" s="220" t="n"/>
      <c r="P900" s="227">
        <f>IF(OR($E900="",$I900=""),"",IF(OR($J900="Tamamlandı",$J900="İptal"),"",$I900-TODAY()))</f>
        <v/>
      </c>
      <c r="Q900" s="113">
        <f>IF($E900="","",IF($D900="TANIMSIZ MÜŞTERİ","HATA",IF(OR($J900="Tamamlandı",$J900="İptal"),"KAPALI",IF(AND($C900="Görüşme",$N900=""),"SONRAKİ İŞLEM EKSİK",IF($I900="","TARİH EKSİK",IF($I900&lt;TODAY(),"GECİKMİŞ",IF($I900=TODAY(),"BUGÜN",IF($I900&lt;=TODAY()+7,"7 GÜN İÇİNDE","PLANLI"))))))))</f>
        <v/>
      </c>
      <c r="R900" s="6" t="n"/>
      <c r="S900" s="6" t="n"/>
      <c r="T900" s="3" t="n"/>
      <c r="U900" s="3">
        <f>IF($E900="","",UPPER(SUBSTITUTE(SUBSTITUTE(SUBSTITUTE(SUBSTITUTE(SUBSTITUTE(SUBSTITUTE(SUBSTITUTE(SUBSTITUTE(SUBSTITUTE(SUBSTITUTE(SUBSTITUTE(SUBSTITUTE(SUBSTITUTE(SUBSTITUTE(SUBSTITUTE(SUBSTITUTE(SUBSTITUTE(SUBSTITUTE(TRIM($E900),"'",""),"İ","I"),"ı","I"),"i","I"),"Ş","S"),"ş","S"),"Ğ","G"),"ğ","G"),"Ü","U"),"ü","U"),"Ö","O"),"ö","O"),"Ç","C"),"ç","C"),".",""),",","")," ",""),"-","")))</f>
        <v/>
      </c>
    </row>
    <row r="901">
      <c r="A901" s="6" t="n"/>
      <c r="B901" s="113">
        <f>IF($E901="","","A"&amp;TEXT(ROW()-6,"00000"))</f>
        <v/>
      </c>
      <c r="C901" s="108" t="n"/>
      <c r="D901" s="113">
        <f>IF($E901="","",IFERROR(INDEX(MUSTERILER!$B$7:$B$106,MATCH($U901,MUSTERILER!$T$7:$T$106,0)),IFERROR(INDEX(MUSTERILER!$B$7:$B$106,MATCH($E901,MUSTERILER!$B$7:$B$106,0)),IFERROR(INDEX(MUSTERILER!$B$7:$B$106,MATCH($U901&amp;"*",MUSTERILER!$T$7:$T$106,0)),"TANIMSIZ MÜŞTERİ"))))</f>
        <v/>
      </c>
      <c r="E901" s="109" t="n"/>
      <c r="F901" s="109" t="n"/>
      <c r="G901" s="108" t="n"/>
      <c r="H901" s="220" t="n"/>
      <c r="I901" s="220" t="n"/>
      <c r="J901" s="108" t="n"/>
      <c r="K901" s="108" t="n"/>
      <c r="L901" s="109" t="n"/>
      <c r="M901" s="109" t="n"/>
      <c r="N901" s="109" t="n"/>
      <c r="O901" s="220" t="n"/>
      <c r="P901" s="227">
        <f>IF(OR($E901="",$I901=""),"",IF(OR($J901="Tamamlandı",$J901="İptal"),"",$I901-TODAY()))</f>
        <v/>
      </c>
      <c r="Q901" s="113">
        <f>IF($E901="","",IF($D901="TANIMSIZ MÜŞTERİ","HATA",IF(OR($J901="Tamamlandı",$J901="İptal"),"KAPALI",IF(AND($C901="Görüşme",$N901=""),"SONRAKİ İŞLEM EKSİK",IF($I901="","TARİH EKSİK",IF($I901&lt;TODAY(),"GECİKMİŞ",IF($I901=TODAY(),"BUGÜN",IF($I901&lt;=TODAY()+7,"7 GÜN İÇİNDE","PLANLI"))))))))</f>
        <v/>
      </c>
      <c r="R901" s="6" t="n"/>
      <c r="S901" s="6" t="n"/>
      <c r="T901" s="3" t="n"/>
      <c r="U901" s="3">
        <f>IF($E901="","",UPPER(SUBSTITUTE(SUBSTITUTE(SUBSTITUTE(SUBSTITUTE(SUBSTITUTE(SUBSTITUTE(SUBSTITUTE(SUBSTITUTE(SUBSTITUTE(SUBSTITUTE(SUBSTITUTE(SUBSTITUTE(SUBSTITUTE(SUBSTITUTE(SUBSTITUTE(SUBSTITUTE(SUBSTITUTE(SUBSTITUTE(TRIM($E901),"'",""),"İ","I"),"ı","I"),"i","I"),"Ş","S"),"ş","S"),"Ğ","G"),"ğ","G"),"Ü","U"),"ü","U"),"Ö","O"),"ö","O"),"Ç","C"),"ç","C"),".",""),",","")," ",""),"-","")))</f>
        <v/>
      </c>
    </row>
    <row r="902">
      <c r="A902" s="6" t="n"/>
      <c r="B902" s="113">
        <f>IF($E902="","","A"&amp;TEXT(ROW()-6,"00000"))</f>
        <v/>
      </c>
      <c r="C902" s="108" t="n"/>
      <c r="D902" s="113">
        <f>IF($E902="","",IFERROR(INDEX(MUSTERILER!$B$7:$B$106,MATCH($U902,MUSTERILER!$T$7:$T$106,0)),IFERROR(INDEX(MUSTERILER!$B$7:$B$106,MATCH($E902,MUSTERILER!$B$7:$B$106,0)),IFERROR(INDEX(MUSTERILER!$B$7:$B$106,MATCH($U902&amp;"*",MUSTERILER!$T$7:$T$106,0)),"TANIMSIZ MÜŞTERİ"))))</f>
        <v/>
      </c>
      <c r="E902" s="109" t="n"/>
      <c r="F902" s="109" t="n"/>
      <c r="G902" s="108" t="n"/>
      <c r="H902" s="220" t="n"/>
      <c r="I902" s="220" t="n"/>
      <c r="J902" s="108" t="n"/>
      <c r="K902" s="108" t="n"/>
      <c r="L902" s="109" t="n"/>
      <c r="M902" s="109" t="n"/>
      <c r="N902" s="109" t="n"/>
      <c r="O902" s="220" t="n"/>
      <c r="P902" s="227">
        <f>IF(OR($E902="",$I902=""),"",IF(OR($J902="Tamamlandı",$J902="İptal"),"",$I902-TODAY()))</f>
        <v/>
      </c>
      <c r="Q902" s="113">
        <f>IF($E902="","",IF($D902="TANIMSIZ MÜŞTERİ","HATA",IF(OR($J902="Tamamlandı",$J902="İptal"),"KAPALI",IF(AND($C902="Görüşme",$N902=""),"SONRAKİ İŞLEM EKSİK",IF($I902="","TARİH EKSİK",IF($I902&lt;TODAY(),"GECİKMİŞ",IF($I902=TODAY(),"BUGÜN",IF($I902&lt;=TODAY()+7,"7 GÜN İÇİNDE","PLANLI"))))))))</f>
        <v/>
      </c>
      <c r="R902" s="6" t="n"/>
      <c r="S902" s="6" t="n"/>
      <c r="T902" s="3" t="n"/>
      <c r="U902" s="3">
        <f>IF($E902="","",UPPER(SUBSTITUTE(SUBSTITUTE(SUBSTITUTE(SUBSTITUTE(SUBSTITUTE(SUBSTITUTE(SUBSTITUTE(SUBSTITUTE(SUBSTITUTE(SUBSTITUTE(SUBSTITUTE(SUBSTITUTE(SUBSTITUTE(SUBSTITUTE(SUBSTITUTE(SUBSTITUTE(SUBSTITUTE(SUBSTITUTE(TRIM($E902),"'",""),"İ","I"),"ı","I"),"i","I"),"Ş","S"),"ş","S"),"Ğ","G"),"ğ","G"),"Ü","U"),"ü","U"),"Ö","O"),"ö","O"),"Ç","C"),"ç","C"),".",""),",","")," ",""),"-","")))</f>
        <v/>
      </c>
    </row>
    <row r="903">
      <c r="A903" s="6" t="n"/>
      <c r="B903" s="113">
        <f>IF($E903="","","A"&amp;TEXT(ROW()-6,"00000"))</f>
        <v/>
      </c>
      <c r="C903" s="108" t="n"/>
      <c r="D903" s="113">
        <f>IF($E903="","",IFERROR(INDEX(MUSTERILER!$B$7:$B$106,MATCH($U903,MUSTERILER!$T$7:$T$106,0)),IFERROR(INDEX(MUSTERILER!$B$7:$B$106,MATCH($E903,MUSTERILER!$B$7:$B$106,0)),IFERROR(INDEX(MUSTERILER!$B$7:$B$106,MATCH($U903&amp;"*",MUSTERILER!$T$7:$T$106,0)),"TANIMSIZ MÜŞTERİ"))))</f>
        <v/>
      </c>
      <c r="E903" s="109" t="n"/>
      <c r="F903" s="109" t="n"/>
      <c r="G903" s="108" t="n"/>
      <c r="H903" s="220" t="n"/>
      <c r="I903" s="220" t="n"/>
      <c r="J903" s="108" t="n"/>
      <c r="K903" s="108" t="n"/>
      <c r="L903" s="109" t="n"/>
      <c r="M903" s="109" t="n"/>
      <c r="N903" s="109" t="n"/>
      <c r="O903" s="220" t="n"/>
      <c r="P903" s="227">
        <f>IF(OR($E903="",$I903=""),"",IF(OR($J903="Tamamlandı",$J903="İptal"),"",$I903-TODAY()))</f>
        <v/>
      </c>
      <c r="Q903" s="113">
        <f>IF($E903="","",IF($D903="TANIMSIZ MÜŞTERİ","HATA",IF(OR($J903="Tamamlandı",$J903="İptal"),"KAPALI",IF(AND($C903="Görüşme",$N903=""),"SONRAKİ İŞLEM EKSİK",IF($I903="","TARİH EKSİK",IF($I903&lt;TODAY(),"GECİKMİŞ",IF($I903=TODAY(),"BUGÜN",IF($I903&lt;=TODAY()+7,"7 GÜN İÇİNDE","PLANLI"))))))))</f>
        <v/>
      </c>
      <c r="R903" s="6" t="n"/>
      <c r="S903" s="6" t="n"/>
      <c r="T903" s="3" t="n"/>
      <c r="U903" s="3">
        <f>IF($E903="","",UPPER(SUBSTITUTE(SUBSTITUTE(SUBSTITUTE(SUBSTITUTE(SUBSTITUTE(SUBSTITUTE(SUBSTITUTE(SUBSTITUTE(SUBSTITUTE(SUBSTITUTE(SUBSTITUTE(SUBSTITUTE(SUBSTITUTE(SUBSTITUTE(SUBSTITUTE(SUBSTITUTE(SUBSTITUTE(SUBSTITUTE(TRIM($E903),"'",""),"İ","I"),"ı","I"),"i","I"),"Ş","S"),"ş","S"),"Ğ","G"),"ğ","G"),"Ü","U"),"ü","U"),"Ö","O"),"ö","O"),"Ç","C"),"ç","C"),".",""),",","")," ",""),"-","")))</f>
        <v/>
      </c>
    </row>
    <row r="904">
      <c r="A904" s="6" t="n"/>
      <c r="B904" s="113">
        <f>IF($E904="","","A"&amp;TEXT(ROW()-6,"00000"))</f>
        <v/>
      </c>
      <c r="C904" s="108" t="n"/>
      <c r="D904" s="113">
        <f>IF($E904="","",IFERROR(INDEX(MUSTERILER!$B$7:$B$106,MATCH($U904,MUSTERILER!$T$7:$T$106,0)),IFERROR(INDEX(MUSTERILER!$B$7:$B$106,MATCH($E904,MUSTERILER!$B$7:$B$106,0)),IFERROR(INDEX(MUSTERILER!$B$7:$B$106,MATCH($U904&amp;"*",MUSTERILER!$T$7:$T$106,0)),"TANIMSIZ MÜŞTERİ"))))</f>
        <v/>
      </c>
      <c r="E904" s="109" t="n"/>
      <c r="F904" s="109" t="n"/>
      <c r="G904" s="108" t="n"/>
      <c r="H904" s="220" t="n"/>
      <c r="I904" s="220" t="n"/>
      <c r="J904" s="108" t="n"/>
      <c r="K904" s="108" t="n"/>
      <c r="L904" s="109" t="n"/>
      <c r="M904" s="109" t="n"/>
      <c r="N904" s="109" t="n"/>
      <c r="O904" s="220" t="n"/>
      <c r="P904" s="227">
        <f>IF(OR($E904="",$I904=""),"",IF(OR($J904="Tamamlandı",$J904="İptal"),"",$I904-TODAY()))</f>
        <v/>
      </c>
      <c r="Q904" s="113">
        <f>IF($E904="","",IF($D904="TANIMSIZ MÜŞTERİ","HATA",IF(OR($J904="Tamamlandı",$J904="İptal"),"KAPALI",IF(AND($C904="Görüşme",$N904=""),"SONRAKİ İŞLEM EKSİK",IF($I904="","TARİH EKSİK",IF($I904&lt;TODAY(),"GECİKMİŞ",IF($I904=TODAY(),"BUGÜN",IF($I904&lt;=TODAY()+7,"7 GÜN İÇİNDE","PLANLI"))))))))</f>
        <v/>
      </c>
      <c r="R904" s="6" t="n"/>
      <c r="S904" s="6" t="n"/>
      <c r="T904" s="3" t="n"/>
      <c r="U904" s="3">
        <f>IF($E904="","",UPPER(SUBSTITUTE(SUBSTITUTE(SUBSTITUTE(SUBSTITUTE(SUBSTITUTE(SUBSTITUTE(SUBSTITUTE(SUBSTITUTE(SUBSTITUTE(SUBSTITUTE(SUBSTITUTE(SUBSTITUTE(SUBSTITUTE(SUBSTITUTE(SUBSTITUTE(SUBSTITUTE(SUBSTITUTE(SUBSTITUTE(TRIM($E904),"'",""),"İ","I"),"ı","I"),"i","I"),"Ş","S"),"ş","S"),"Ğ","G"),"ğ","G"),"Ü","U"),"ü","U"),"Ö","O"),"ö","O"),"Ç","C"),"ç","C"),".",""),",","")," ",""),"-","")))</f>
        <v/>
      </c>
    </row>
    <row r="905">
      <c r="A905" s="6" t="n"/>
      <c r="B905" s="113">
        <f>IF($E905="","","A"&amp;TEXT(ROW()-6,"00000"))</f>
        <v/>
      </c>
      <c r="C905" s="108" t="n"/>
      <c r="D905" s="113">
        <f>IF($E905="","",IFERROR(INDEX(MUSTERILER!$B$7:$B$106,MATCH($U905,MUSTERILER!$T$7:$T$106,0)),IFERROR(INDEX(MUSTERILER!$B$7:$B$106,MATCH($E905,MUSTERILER!$B$7:$B$106,0)),IFERROR(INDEX(MUSTERILER!$B$7:$B$106,MATCH($U905&amp;"*",MUSTERILER!$T$7:$T$106,0)),"TANIMSIZ MÜŞTERİ"))))</f>
        <v/>
      </c>
      <c r="E905" s="109" t="n"/>
      <c r="F905" s="109" t="n"/>
      <c r="G905" s="108" t="n"/>
      <c r="H905" s="220" t="n"/>
      <c r="I905" s="220" t="n"/>
      <c r="J905" s="108" t="n"/>
      <c r="K905" s="108" t="n"/>
      <c r="L905" s="109" t="n"/>
      <c r="M905" s="109" t="n"/>
      <c r="N905" s="109" t="n"/>
      <c r="O905" s="220" t="n"/>
      <c r="P905" s="227">
        <f>IF(OR($E905="",$I905=""),"",IF(OR($J905="Tamamlandı",$J905="İptal"),"",$I905-TODAY()))</f>
        <v/>
      </c>
      <c r="Q905" s="113">
        <f>IF($E905="","",IF($D905="TANIMSIZ MÜŞTERİ","HATA",IF(OR($J905="Tamamlandı",$J905="İptal"),"KAPALI",IF(AND($C905="Görüşme",$N905=""),"SONRAKİ İŞLEM EKSİK",IF($I905="","TARİH EKSİK",IF($I905&lt;TODAY(),"GECİKMİŞ",IF($I905=TODAY(),"BUGÜN",IF($I905&lt;=TODAY()+7,"7 GÜN İÇİNDE","PLANLI"))))))))</f>
        <v/>
      </c>
      <c r="R905" s="6" t="n"/>
      <c r="S905" s="6" t="n"/>
      <c r="T905" s="3" t="n"/>
      <c r="U905" s="3">
        <f>IF($E905="","",UPPER(SUBSTITUTE(SUBSTITUTE(SUBSTITUTE(SUBSTITUTE(SUBSTITUTE(SUBSTITUTE(SUBSTITUTE(SUBSTITUTE(SUBSTITUTE(SUBSTITUTE(SUBSTITUTE(SUBSTITUTE(SUBSTITUTE(SUBSTITUTE(SUBSTITUTE(SUBSTITUTE(SUBSTITUTE(SUBSTITUTE(TRIM($E905),"'",""),"İ","I"),"ı","I"),"i","I"),"Ş","S"),"ş","S"),"Ğ","G"),"ğ","G"),"Ü","U"),"ü","U"),"Ö","O"),"ö","O"),"Ç","C"),"ç","C"),".",""),",","")," ",""),"-","")))</f>
        <v/>
      </c>
    </row>
    <row r="906">
      <c r="A906" s="6" t="n"/>
      <c r="B906" s="113">
        <f>IF($E906="","","A"&amp;TEXT(ROW()-6,"00000"))</f>
        <v/>
      </c>
      <c r="C906" s="108" t="n"/>
      <c r="D906" s="113">
        <f>IF($E906="","",IFERROR(INDEX(MUSTERILER!$B$7:$B$106,MATCH($U906,MUSTERILER!$T$7:$T$106,0)),IFERROR(INDEX(MUSTERILER!$B$7:$B$106,MATCH($E906,MUSTERILER!$B$7:$B$106,0)),IFERROR(INDEX(MUSTERILER!$B$7:$B$106,MATCH($U906&amp;"*",MUSTERILER!$T$7:$T$106,0)),"TANIMSIZ MÜŞTERİ"))))</f>
        <v/>
      </c>
      <c r="E906" s="109" t="n"/>
      <c r="F906" s="109" t="n"/>
      <c r="G906" s="108" t="n"/>
      <c r="H906" s="220" t="n"/>
      <c r="I906" s="220" t="n"/>
      <c r="J906" s="108" t="n"/>
      <c r="K906" s="108" t="n"/>
      <c r="L906" s="109" t="n"/>
      <c r="M906" s="109" t="n"/>
      <c r="N906" s="109" t="n"/>
      <c r="O906" s="220" t="n"/>
      <c r="P906" s="227">
        <f>IF(OR($E906="",$I906=""),"",IF(OR($J906="Tamamlandı",$J906="İptal"),"",$I906-TODAY()))</f>
        <v/>
      </c>
      <c r="Q906" s="113">
        <f>IF($E906="","",IF($D906="TANIMSIZ MÜŞTERİ","HATA",IF(OR($J906="Tamamlandı",$J906="İptal"),"KAPALI",IF(AND($C906="Görüşme",$N906=""),"SONRAKİ İŞLEM EKSİK",IF($I906="","TARİH EKSİK",IF($I906&lt;TODAY(),"GECİKMİŞ",IF($I906=TODAY(),"BUGÜN",IF($I906&lt;=TODAY()+7,"7 GÜN İÇİNDE","PLANLI"))))))))</f>
        <v/>
      </c>
      <c r="R906" s="6" t="n"/>
      <c r="S906" s="6" t="n"/>
      <c r="T906" s="3" t="n"/>
      <c r="U906" s="3">
        <f>IF($E906="","",UPPER(SUBSTITUTE(SUBSTITUTE(SUBSTITUTE(SUBSTITUTE(SUBSTITUTE(SUBSTITUTE(SUBSTITUTE(SUBSTITUTE(SUBSTITUTE(SUBSTITUTE(SUBSTITUTE(SUBSTITUTE(SUBSTITUTE(SUBSTITUTE(SUBSTITUTE(SUBSTITUTE(SUBSTITUTE(SUBSTITUTE(TRIM($E906),"'",""),"İ","I"),"ı","I"),"i","I"),"Ş","S"),"ş","S"),"Ğ","G"),"ğ","G"),"Ü","U"),"ü","U"),"Ö","O"),"ö","O"),"Ç","C"),"ç","C"),".",""),",","")," ",""),"-","")))</f>
        <v/>
      </c>
    </row>
    <row r="907">
      <c r="A907" s="6" t="n"/>
      <c r="B907" s="113">
        <f>IF($E907="","","A"&amp;TEXT(ROW()-6,"00000"))</f>
        <v/>
      </c>
      <c r="C907" s="108" t="n"/>
      <c r="D907" s="113">
        <f>IF($E907="","",IFERROR(INDEX(MUSTERILER!$B$7:$B$106,MATCH($U907,MUSTERILER!$T$7:$T$106,0)),IFERROR(INDEX(MUSTERILER!$B$7:$B$106,MATCH($E907,MUSTERILER!$B$7:$B$106,0)),IFERROR(INDEX(MUSTERILER!$B$7:$B$106,MATCH($U907&amp;"*",MUSTERILER!$T$7:$T$106,0)),"TANIMSIZ MÜŞTERİ"))))</f>
        <v/>
      </c>
      <c r="E907" s="109" t="n"/>
      <c r="F907" s="109" t="n"/>
      <c r="G907" s="108" t="n"/>
      <c r="H907" s="220" t="n"/>
      <c r="I907" s="220" t="n"/>
      <c r="J907" s="108" t="n"/>
      <c r="K907" s="108" t="n"/>
      <c r="L907" s="109" t="n"/>
      <c r="M907" s="109" t="n"/>
      <c r="N907" s="109" t="n"/>
      <c r="O907" s="220" t="n"/>
      <c r="P907" s="227">
        <f>IF(OR($E907="",$I907=""),"",IF(OR($J907="Tamamlandı",$J907="İptal"),"",$I907-TODAY()))</f>
        <v/>
      </c>
      <c r="Q907" s="113">
        <f>IF($E907="","",IF($D907="TANIMSIZ MÜŞTERİ","HATA",IF(OR($J907="Tamamlandı",$J907="İptal"),"KAPALI",IF(AND($C907="Görüşme",$N907=""),"SONRAKİ İŞLEM EKSİK",IF($I907="","TARİH EKSİK",IF($I907&lt;TODAY(),"GECİKMİŞ",IF($I907=TODAY(),"BUGÜN",IF($I907&lt;=TODAY()+7,"7 GÜN İÇİNDE","PLANLI"))))))))</f>
        <v/>
      </c>
      <c r="R907" s="6" t="n"/>
      <c r="S907" s="6" t="n"/>
      <c r="T907" s="3" t="n"/>
      <c r="U907" s="3">
        <f>IF($E907="","",UPPER(SUBSTITUTE(SUBSTITUTE(SUBSTITUTE(SUBSTITUTE(SUBSTITUTE(SUBSTITUTE(SUBSTITUTE(SUBSTITUTE(SUBSTITUTE(SUBSTITUTE(SUBSTITUTE(SUBSTITUTE(SUBSTITUTE(SUBSTITUTE(SUBSTITUTE(SUBSTITUTE(SUBSTITUTE(SUBSTITUTE(TRIM($E907),"'",""),"İ","I"),"ı","I"),"i","I"),"Ş","S"),"ş","S"),"Ğ","G"),"ğ","G"),"Ü","U"),"ü","U"),"Ö","O"),"ö","O"),"Ç","C"),"ç","C"),".",""),",","")," ",""),"-","")))</f>
        <v/>
      </c>
    </row>
    <row r="908">
      <c r="A908" s="6" t="n"/>
      <c r="B908" s="113">
        <f>IF($E908="","","A"&amp;TEXT(ROW()-6,"00000"))</f>
        <v/>
      </c>
      <c r="C908" s="108" t="n"/>
      <c r="D908" s="113">
        <f>IF($E908="","",IFERROR(INDEX(MUSTERILER!$B$7:$B$106,MATCH($U908,MUSTERILER!$T$7:$T$106,0)),IFERROR(INDEX(MUSTERILER!$B$7:$B$106,MATCH($E908,MUSTERILER!$B$7:$B$106,0)),IFERROR(INDEX(MUSTERILER!$B$7:$B$106,MATCH($U908&amp;"*",MUSTERILER!$T$7:$T$106,0)),"TANIMSIZ MÜŞTERİ"))))</f>
        <v/>
      </c>
      <c r="E908" s="109" t="n"/>
      <c r="F908" s="109" t="n"/>
      <c r="G908" s="108" t="n"/>
      <c r="H908" s="220" t="n"/>
      <c r="I908" s="220" t="n"/>
      <c r="J908" s="108" t="n"/>
      <c r="K908" s="108" t="n"/>
      <c r="L908" s="109" t="n"/>
      <c r="M908" s="109" t="n"/>
      <c r="N908" s="109" t="n"/>
      <c r="O908" s="220" t="n"/>
      <c r="P908" s="227">
        <f>IF(OR($E908="",$I908=""),"",IF(OR($J908="Tamamlandı",$J908="İptal"),"",$I908-TODAY()))</f>
        <v/>
      </c>
      <c r="Q908" s="113">
        <f>IF($E908="","",IF($D908="TANIMSIZ MÜŞTERİ","HATA",IF(OR($J908="Tamamlandı",$J908="İptal"),"KAPALI",IF(AND($C908="Görüşme",$N908=""),"SONRAKİ İŞLEM EKSİK",IF($I908="","TARİH EKSİK",IF($I908&lt;TODAY(),"GECİKMİŞ",IF($I908=TODAY(),"BUGÜN",IF($I908&lt;=TODAY()+7,"7 GÜN İÇİNDE","PLANLI"))))))))</f>
        <v/>
      </c>
      <c r="R908" s="6" t="n"/>
      <c r="S908" s="6" t="n"/>
      <c r="T908" s="3" t="n"/>
      <c r="U908" s="3">
        <f>IF($E908="","",UPPER(SUBSTITUTE(SUBSTITUTE(SUBSTITUTE(SUBSTITUTE(SUBSTITUTE(SUBSTITUTE(SUBSTITUTE(SUBSTITUTE(SUBSTITUTE(SUBSTITUTE(SUBSTITUTE(SUBSTITUTE(SUBSTITUTE(SUBSTITUTE(SUBSTITUTE(SUBSTITUTE(SUBSTITUTE(SUBSTITUTE(TRIM($E908),"'",""),"İ","I"),"ı","I"),"i","I"),"Ş","S"),"ş","S"),"Ğ","G"),"ğ","G"),"Ü","U"),"ü","U"),"Ö","O"),"ö","O"),"Ç","C"),"ç","C"),".",""),",","")," ",""),"-","")))</f>
        <v/>
      </c>
    </row>
    <row r="909">
      <c r="A909" s="6" t="n"/>
      <c r="B909" s="113">
        <f>IF($E909="","","A"&amp;TEXT(ROW()-6,"00000"))</f>
        <v/>
      </c>
      <c r="C909" s="108" t="n"/>
      <c r="D909" s="113">
        <f>IF($E909="","",IFERROR(INDEX(MUSTERILER!$B$7:$B$106,MATCH($U909,MUSTERILER!$T$7:$T$106,0)),IFERROR(INDEX(MUSTERILER!$B$7:$B$106,MATCH($E909,MUSTERILER!$B$7:$B$106,0)),IFERROR(INDEX(MUSTERILER!$B$7:$B$106,MATCH($U909&amp;"*",MUSTERILER!$T$7:$T$106,0)),"TANIMSIZ MÜŞTERİ"))))</f>
        <v/>
      </c>
      <c r="E909" s="109" t="n"/>
      <c r="F909" s="109" t="n"/>
      <c r="G909" s="108" t="n"/>
      <c r="H909" s="220" t="n"/>
      <c r="I909" s="220" t="n"/>
      <c r="J909" s="108" t="n"/>
      <c r="K909" s="108" t="n"/>
      <c r="L909" s="109" t="n"/>
      <c r="M909" s="109" t="n"/>
      <c r="N909" s="109" t="n"/>
      <c r="O909" s="220" t="n"/>
      <c r="P909" s="227">
        <f>IF(OR($E909="",$I909=""),"",IF(OR($J909="Tamamlandı",$J909="İptal"),"",$I909-TODAY()))</f>
        <v/>
      </c>
      <c r="Q909" s="113">
        <f>IF($E909="","",IF($D909="TANIMSIZ MÜŞTERİ","HATA",IF(OR($J909="Tamamlandı",$J909="İptal"),"KAPALI",IF(AND($C909="Görüşme",$N909=""),"SONRAKİ İŞLEM EKSİK",IF($I909="","TARİH EKSİK",IF($I909&lt;TODAY(),"GECİKMİŞ",IF($I909=TODAY(),"BUGÜN",IF($I909&lt;=TODAY()+7,"7 GÜN İÇİNDE","PLANLI"))))))))</f>
        <v/>
      </c>
      <c r="R909" s="6" t="n"/>
      <c r="S909" s="6" t="n"/>
      <c r="T909" s="3" t="n"/>
      <c r="U909" s="3">
        <f>IF($E909="","",UPPER(SUBSTITUTE(SUBSTITUTE(SUBSTITUTE(SUBSTITUTE(SUBSTITUTE(SUBSTITUTE(SUBSTITUTE(SUBSTITUTE(SUBSTITUTE(SUBSTITUTE(SUBSTITUTE(SUBSTITUTE(SUBSTITUTE(SUBSTITUTE(SUBSTITUTE(SUBSTITUTE(SUBSTITUTE(SUBSTITUTE(TRIM($E909),"'",""),"İ","I"),"ı","I"),"i","I"),"Ş","S"),"ş","S"),"Ğ","G"),"ğ","G"),"Ü","U"),"ü","U"),"Ö","O"),"ö","O"),"Ç","C"),"ç","C"),".",""),",","")," ",""),"-","")))</f>
        <v/>
      </c>
    </row>
    <row r="910">
      <c r="A910" s="6" t="n"/>
      <c r="B910" s="113">
        <f>IF($E910="","","A"&amp;TEXT(ROW()-6,"00000"))</f>
        <v/>
      </c>
      <c r="C910" s="108" t="n"/>
      <c r="D910" s="113">
        <f>IF($E910="","",IFERROR(INDEX(MUSTERILER!$B$7:$B$106,MATCH($U910,MUSTERILER!$T$7:$T$106,0)),IFERROR(INDEX(MUSTERILER!$B$7:$B$106,MATCH($E910,MUSTERILER!$B$7:$B$106,0)),IFERROR(INDEX(MUSTERILER!$B$7:$B$106,MATCH($U910&amp;"*",MUSTERILER!$T$7:$T$106,0)),"TANIMSIZ MÜŞTERİ"))))</f>
        <v/>
      </c>
      <c r="E910" s="109" t="n"/>
      <c r="F910" s="109" t="n"/>
      <c r="G910" s="108" t="n"/>
      <c r="H910" s="220" t="n"/>
      <c r="I910" s="220" t="n"/>
      <c r="J910" s="108" t="n"/>
      <c r="K910" s="108" t="n"/>
      <c r="L910" s="109" t="n"/>
      <c r="M910" s="109" t="n"/>
      <c r="N910" s="109" t="n"/>
      <c r="O910" s="220" t="n"/>
      <c r="P910" s="227">
        <f>IF(OR($E910="",$I910=""),"",IF(OR($J910="Tamamlandı",$J910="İptal"),"",$I910-TODAY()))</f>
        <v/>
      </c>
      <c r="Q910" s="113">
        <f>IF($E910="","",IF($D910="TANIMSIZ MÜŞTERİ","HATA",IF(OR($J910="Tamamlandı",$J910="İptal"),"KAPALI",IF(AND($C910="Görüşme",$N910=""),"SONRAKİ İŞLEM EKSİK",IF($I910="","TARİH EKSİK",IF($I910&lt;TODAY(),"GECİKMİŞ",IF($I910=TODAY(),"BUGÜN",IF($I910&lt;=TODAY()+7,"7 GÜN İÇİNDE","PLANLI"))))))))</f>
        <v/>
      </c>
      <c r="R910" s="6" t="n"/>
      <c r="S910" s="6" t="n"/>
      <c r="T910" s="3" t="n"/>
      <c r="U910" s="3">
        <f>IF($E910="","",UPPER(SUBSTITUTE(SUBSTITUTE(SUBSTITUTE(SUBSTITUTE(SUBSTITUTE(SUBSTITUTE(SUBSTITUTE(SUBSTITUTE(SUBSTITUTE(SUBSTITUTE(SUBSTITUTE(SUBSTITUTE(SUBSTITUTE(SUBSTITUTE(SUBSTITUTE(SUBSTITUTE(SUBSTITUTE(SUBSTITUTE(TRIM($E910),"'",""),"İ","I"),"ı","I"),"i","I"),"Ş","S"),"ş","S"),"Ğ","G"),"ğ","G"),"Ü","U"),"ü","U"),"Ö","O"),"ö","O"),"Ç","C"),"ç","C"),".",""),",","")," ",""),"-","")))</f>
        <v/>
      </c>
    </row>
    <row r="911">
      <c r="A911" s="6" t="n"/>
      <c r="B911" s="113">
        <f>IF($E911="","","A"&amp;TEXT(ROW()-6,"00000"))</f>
        <v/>
      </c>
      <c r="C911" s="108" t="n"/>
      <c r="D911" s="113">
        <f>IF($E911="","",IFERROR(INDEX(MUSTERILER!$B$7:$B$106,MATCH($U911,MUSTERILER!$T$7:$T$106,0)),IFERROR(INDEX(MUSTERILER!$B$7:$B$106,MATCH($E911,MUSTERILER!$B$7:$B$106,0)),IFERROR(INDEX(MUSTERILER!$B$7:$B$106,MATCH($U911&amp;"*",MUSTERILER!$T$7:$T$106,0)),"TANIMSIZ MÜŞTERİ"))))</f>
        <v/>
      </c>
      <c r="E911" s="109" t="n"/>
      <c r="F911" s="109" t="n"/>
      <c r="G911" s="108" t="n"/>
      <c r="H911" s="220" t="n"/>
      <c r="I911" s="220" t="n"/>
      <c r="J911" s="108" t="n"/>
      <c r="K911" s="108" t="n"/>
      <c r="L911" s="109" t="n"/>
      <c r="M911" s="109" t="n"/>
      <c r="N911" s="109" t="n"/>
      <c r="O911" s="220" t="n"/>
      <c r="P911" s="227">
        <f>IF(OR($E911="",$I911=""),"",IF(OR($J911="Tamamlandı",$J911="İptal"),"",$I911-TODAY()))</f>
        <v/>
      </c>
      <c r="Q911" s="113">
        <f>IF($E911="","",IF($D911="TANIMSIZ MÜŞTERİ","HATA",IF(OR($J911="Tamamlandı",$J911="İptal"),"KAPALI",IF(AND($C911="Görüşme",$N911=""),"SONRAKİ İŞLEM EKSİK",IF($I911="","TARİH EKSİK",IF($I911&lt;TODAY(),"GECİKMİŞ",IF($I911=TODAY(),"BUGÜN",IF($I911&lt;=TODAY()+7,"7 GÜN İÇİNDE","PLANLI"))))))))</f>
        <v/>
      </c>
      <c r="R911" s="6" t="n"/>
      <c r="S911" s="6" t="n"/>
      <c r="T911" s="3" t="n"/>
      <c r="U911" s="3">
        <f>IF($E911="","",UPPER(SUBSTITUTE(SUBSTITUTE(SUBSTITUTE(SUBSTITUTE(SUBSTITUTE(SUBSTITUTE(SUBSTITUTE(SUBSTITUTE(SUBSTITUTE(SUBSTITUTE(SUBSTITUTE(SUBSTITUTE(SUBSTITUTE(SUBSTITUTE(SUBSTITUTE(SUBSTITUTE(SUBSTITUTE(SUBSTITUTE(TRIM($E911),"'",""),"İ","I"),"ı","I"),"i","I"),"Ş","S"),"ş","S"),"Ğ","G"),"ğ","G"),"Ü","U"),"ü","U"),"Ö","O"),"ö","O"),"Ç","C"),"ç","C"),".",""),",","")," ",""),"-","")))</f>
        <v/>
      </c>
    </row>
    <row r="912">
      <c r="A912" s="6" t="n"/>
      <c r="B912" s="113">
        <f>IF($E912="","","A"&amp;TEXT(ROW()-6,"00000"))</f>
        <v/>
      </c>
      <c r="C912" s="108" t="n"/>
      <c r="D912" s="113">
        <f>IF($E912="","",IFERROR(INDEX(MUSTERILER!$B$7:$B$106,MATCH($U912,MUSTERILER!$T$7:$T$106,0)),IFERROR(INDEX(MUSTERILER!$B$7:$B$106,MATCH($E912,MUSTERILER!$B$7:$B$106,0)),IFERROR(INDEX(MUSTERILER!$B$7:$B$106,MATCH($U912&amp;"*",MUSTERILER!$T$7:$T$106,0)),"TANIMSIZ MÜŞTERİ"))))</f>
        <v/>
      </c>
      <c r="E912" s="109" t="n"/>
      <c r="F912" s="109" t="n"/>
      <c r="G912" s="108" t="n"/>
      <c r="H912" s="220" t="n"/>
      <c r="I912" s="220" t="n"/>
      <c r="J912" s="108" t="n"/>
      <c r="K912" s="108" t="n"/>
      <c r="L912" s="109" t="n"/>
      <c r="M912" s="109" t="n"/>
      <c r="N912" s="109" t="n"/>
      <c r="O912" s="220" t="n"/>
      <c r="P912" s="227">
        <f>IF(OR($E912="",$I912=""),"",IF(OR($J912="Tamamlandı",$J912="İptal"),"",$I912-TODAY()))</f>
        <v/>
      </c>
      <c r="Q912" s="113">
        <f>IF($E912="","",IF($D912="TANIMSIZ MÜŞTERİ","HATA",IF(OR($J912="Tamamlandı",$J912="İptal"),"KAPALI",IF(AND($C912="Görüşme",$N912=""),"SONRAKİ İŞLEM EKSİK",IF($I912="","TARİH EKSİK",IF($I912&lt;TODAY(),"GECİKMİŞ",IF($I912=TODAY(),"BUGÜN",IF($I912&lt;=TODAY()+7,"7 GÜN İÇİNDE","PLANLI"))))))))</f>
        <v/>
      </c>
      <c r="R912" s="6" t="n"/>
      <c r="S912" s="6" t="n"/>
      <c r="T912" s="3" t="n"/>
      <c r="U912" s="3">
        <f>IF($E912="","",UPPER(SUBSTITUTE(SUBSTITUTE(SUBSTITUTE(SUBSTITUTE(SUBSTITUTE(SUBSTITUTE(SUBSTITUTE(SUBSTITUTE(SUBSTITUTE(SUBSTITUTE(SUBSTITUTE(SUBSTITUTE(SUBSTITUTE(SUBSTITUTE(SUBSTITUTE(SUBSTITUTE(SUBSTITUTE(SUBSTITUTE(TRIM($E912),"'",""),"İ","I"),"ı","I"),"i","I"),"Ş","S"),"ş","S"),"Ğ","G"),"ğ","G"),"Ü","U"),"ü","U"),"Ö","O"),"ö","O"),"Ç","C"),"ç","C"),".",""),",","")," ",""),"-","")))</f>
        <v/>
      </c>
    </row>
    <row r="913">
      <c r="A913" s="6" t="n"/>
      <c r="B913" s="113">
        <f>IF($E913="","","A"&amp;TEXT(ROW()-6,"00000"))</f>
        <v/>
      </c>
      <c r="C913" s="108" t="n"/>
      <c r="D913" s="113">
        <f>IF($E913="","",IFERROR(INDEX(MUSTERILER!$B$7:$B$106,MATCH($U913,MUSTERILER!$T$7:$T$106,0)),IFERROR(INDEX(MUSTERILER!$B$7:$B$106,MATCH($E913,MUSTERILER!$B$7:$B$106,0)),IFERROR(INDEX(MUSTERILER!$B$7:$B$106,MATCH($U913&amp;"*",MUSTERILER!$T$7:$T$106,0)),"TANIMSIZ MÜŞTERİ"))))</f>
        <v/>
      </c>
      <c r="E913" s="109" t="n"/>
      <c r="F913" s="109" t="n"/>
      <c r="G913" s="108" t="n"/>
      <c r="H913" s="220" t="n"/>
      <c r="I913" s="220" t="n"/>
      <c r="J913" s="108" t="n"/>
      <c r="K913" s="108" t="n"/>
      <c r="L913" s="109" t="n"/>
      <c r="M913" s="109" t="n"/>
      <c r="N913" s="109" t="n"/>
      <c r="O913" s="220" t="n"/>
      <c r="P913" s="227">
        <f>IF(OR($E913="",$I913=""),"",IF(OR($J913="Tamamlandı",$J913="İptal"),"",$I913-TODAY()))</f>
        <v/>
      </c>
      <c r="Q913" s="113">
        <f>IF($E913="","",IF($D913="TANIMSIZ MÜŞTERİ","HATA",IF(OR($J913="Tamamlandı",$J913="İptal"),"KAPALI",IF(AND($C913="Görüşme",$N913=""),"SONRAKİ İŞLEM EKSİK",IF($I913="","TARİH EKSİK",IF($I913&lt;TODAY(),"GECİKMİŞ",IF($I913=TODAY(),"BUGÜN",IF($I913&lt;=TODAY()+7,"7 GÜN İÇİNDE","PLANLI"))))))))</f>
        <v/>
      </c>
      <c r="R913" s="6" t="n"/>
      <c r="S913" s="6" t="n"/>
      <c r="T913" s="3" t="n"/>
      <c r="U913" s="3">
        <f>IF($E913="","",UPPER(SUBSTITUTE(SUBSTITUTE(SUBSTITUTE(SUBSTITUTE(SUBSTITUTE(SUBSTITUTE(SUBSTITUTE(SUBSTITUTE(SUBSTITUTE(SUBSTITUTE(SUBSTITUTE(SUBSTITUTE(SUBSTITUTE(SUBSTITUTE(SUBSTITUTE(SUBSTITUTE(SUBSTITUTE(SUBSTITUTE(TRIM($E913),"'",""),"İ","I"),"ı","I"),"i","I"),"Ş","S"),"ş","S"),"Ğ","G"),"ğ","G"),"Ü","U"),"ü","U"),"Ö","O"),"ö","O"),"Ç","C"),"ç","C"),".",""),",","")," ",""),"-","")))</f>
        <v/>
      </c>
    </row>
    <row r="914">
      <c r="A914" s="6" t="n"/>
      <c r="B914" s="113">
        <f>IF($E914="","","A"&amp;TEXT(ROW()-6,"00000"))</f>
        <v/>
      </c>
      <c r="C914" s="108" t="n"/>
      <c r="D914" s="113">
        <f>IF($E914="","",IFERROR(INDEX(MUSTERILER!$B$7:$B$106,MATCH($U914,MUSTERILER!$T$7:$T$106,0)),IFERROR(INDEX(MUSTERILER!$B$7:$B$106,MATCH($E914,MUSTERILER!$B$7:$B$106,0)),IFERROR(INDEX(MUSTERILER!$B$7:$B$106,MATCH($U914&amp;"*",MUSTERILER!$T$7:$T$106,0)),"TANIMSIZ MÜŞTERİ"))))</f>
        <v/>
      </c>
      <c r="E914" s="109" t="n"/>
      <c r="F914" s="109" t="n"/>
      <c r="G914" s="108" t="n"/>
      <c r="H914" s="220" t="n"/>
      <c r="I914" s="220" t="n"/>
      <c r="J914" s="108" t="n"/>
      <c r="K914" s="108" t="n"/>
      <c r="L914" s="109" t="n"/>
      <c r="M914" s="109" t="n"/>
      <c r="N914" s="109" t="n"/>
      <c r="O914" s="220" t="n"/>
      <c r="P914" s="227">
        <f>IF(OR($E914="",$I914=""),"",IF(OR($J914="Tamamlandı",$J914="İptal"),"",$I914-TODAY()))</f>
        <v/>
      </c>
      <c r="Q914" s="113">
        <f>IF($E914="","",IF($D914="TANIMSIZ MÜŞTERİ","HATA",IF(OR($J914="Tamamlandı",$J914="İptal"),"KAPALI",IF(AND($C914="Görüşme",$N914=""),"SONRAKİ İŞLEM EKSİK",IF($I914="","TARİH EKSİK",IF($I914&lt;TODAY(),"GECİKMİŞ",IF($I914=TODAY(),"BUGÜN",IF($I914&lt;=TODAY()+7,"7 GÜN İÇİNDE","PLANLI"))))))))</f>
        <v/>
      </c>
      <c r="R914" s="6" t="n"/>
      <c r="S914" s="6" t="n"/>
      <c r="T914" s="3" t="n"/>
      <c r="U914" s="3">
        <f>IF($E914="","",UPPER(SUBSTITUTE(SUBSTITUTE(SUBSTITUTE(SUBSTITUTE(SUBSTITUTE(SUBSTITUTE(SUBSTITUTE(SUBSTITUTE(SUBSTITUTE(SUBSTITUTE(SUBSTITUTE(SUBSTITUTE(SUBSTITUTE(SUBSTITUTE(SUBSTITUTE(SUBSTITUTE(SUBSTITUTE(SUBSTITUTE(TRIM($E914),"'",""),"İ","I"),"ı","I"),"i","I"),"Ş","S"),"ş","S"),"Ğ","G"),"ğ","G"),"Ü","U"),"ü","U"),"Ö","O"),"ö","O"),"Ç","C"),"ç","C"),".",""),",","")," ",""),"-","")))</f>
        <v/>
      </c>
    </row>
    <row r="915">
      <c r="A915" s="6" t="n"/>
      <c r="B915" s="113">
        <f>IF($E915="","","A"&amp;TEXT(ROW()-6,"00000"))</f>
        <v/>
      </c>
      <c r="C915" s="108" t="n"/>
      <c r="D915" s="113">
        <f>IF($E915="","",IFERROR(INDEX(MUSTERILER!$B$7:$B$106,MATCH($U915,MUSTERILER!$T$7:$T$106,0)),IFERROR(INDEX(MUSTERILER!$B$7:$B$106,MATCH($E915,MUSTERILER!$B$7:$B$106,0)),IFERROR(INDEX(MUSTERILER!$B$7:$B$106,MATCH($U915&amp;"*",MUSTERILER!$T$7:$T$106,0)),"TANIMSIZ MÜŞTERİ"))))</f>
        <v/>
      </c>
      <c r="E915" s="109" t="n"/>
      <c r="F915" s="109" t="n"/>
      <c r="G915" s="108" t="n"/>
      <c r="H915" s="220" t="n"/>
      <c r="I915" s="220" t="n"/>
      <c r="J915" s="108" t="n"/>
      <c r="K915" s="108" t="n"/>
      <c r="L915" s="109" t="n"/>
      <c r="M915" s="109" t="n"/>
      <c r="N915" s="109" t="n"/>
      <c r="O915" s="220" t="n"/>
      <c r="P915" s="227">
        <f>IF(OR($E915="",$I915=""),"",IF(OR($J915="Tamamlandı",$J915="İptal"),"",$I915-TODAY()))</f>
        <v/>
      </c>
      <c r="Q915" s="113">
        <f>IF($E915="","",IF($D915="TANIMSIZ MÜŞTERİ","HATA",IF(OR($J915="Tamamlandı",$J915="İptal"),"KAPALI",IF(AND($C915="Görüşme",$N915=""),"SONRAKİ İŞLEM EKSİK",IF($I915="","TARİH EKSİK",IF($I915&lt;TODAY(),"GECİKMİŞ",IF($I915=TODAY(),"BUGÜN",IF($I915&lt;=TODAY()+7,"7 GÜN İÇİNDE","PLANLI"))))))))</f>
        <v/>
      </c>
      <c r="R915" s="6" t="n"/>
      <c r="S915" s="6" t="n"/>
      <c r="T915" s="3" t="n"/>
      <c r="U915" s="3">
        <f>IF($E915="","",UPPER(SUBSTITUTE(SUBSTITUTE(SUBSTITUTE(SUBSTITUTE(SUBSTITUTE(SUBSTITUTE(SUBSTITUTE(SUBSTITUTE(SUBSTITUTE(SUBSTITUTE(SUBSTITUTE(SUBSTITUTE(SUBSTITUTE(SUBSTITUTE(SUBSTITUTE(SUBSTITUTE(SUBSTITUTE(SUBSTITUTE(TRIM($E915),"'",""),"İ","I"),"ı","I"),"i","I"),"Ş","S"),"ş","S"),"Ğ","G"),"ğ","G"),"Ü","U"),"ü","U"),"Ö","O"),"ö","O"),"Ç","C"),"ç","C"),".",""),",","")," ",""),"-","")))</f>
        <v/>
      </c>
    </row>
    <row r="916">
      <c r="A916" s="6" t="n"/>
      <c r="B916" s="113">
        <f>IF($E916="","","A"&amp;TEXT(ROW()-6,"00000"))</f>
        <v/>
      </c>
      <c r="C916" s="108" t="n"/>
      <c r="D916" s="113">
        <f>IF($E916="","",IFERROR(INDEX(MUSTERILER!$B$7:$B$106,MATCH($U916,MUSTERILER!$T$7:$T$106,0)),IFERROR(INDEX(MUSTERILER!$B$7:$B$106,MATCH($E916,MUSTERILER!$B$7:$B$106,0)),IFERROR(INDEX(MUSTERILER!$B$7:$B$106,MATCH($U916&amp;"*",MUSTERILER!$T$7:$T$106,0)),"TANIMSIZ MÜŞTERİ"))))</f>
        <v/>
      </c>
      <c r="E916" s="109" t="n"/>
      <c r="F916" s="109" t="n"/>
      <c r="G916" s="108" t="n"/>
      <c r="H916" s="220" t="n"/>
      <c r="I916" s="220" t="n"/>
      <c r="J916" s="108" t="n"/>
      <c r="K916" s="108" t="n"/>
      <c r="L916" s="109" t="n"/>
      <c r="M916" s="109" t="n"/>
      <c r="N916" s="109" t="n"/>
      <c r="O916" s="220" t="n"/>
      <c r="P916" s="227">
        <f>IF(OR($E916="",$I916=""),"",IF(OR($J916="Tamamlandı",$J916="İptal"),"",$I916-TODAY()))</f>
        <v/>
      </c>
      <c r="Q916" s="113">
        <f>IF($E916="","",IF($D916="TANIMSIZ MÜŞTERİ","HATA",IF(OR($J916="Tamamlandı",$J916="İptal"),"KAPALI",IF(AND($C916="Görüşme",$N916=""),"SONRAKİ İŞLEM EKSİK",IF($I916="","TARİH EKSİK",IF($I916&lt;TODAY(),"GECİKMİŞ",IF($I916=TODAY(),"BUGÜN",IF($I916&lt;=TODAY()+7,"7 GÜN İÇİNDE","PLANLI"))))))))</f>
        <v/>
      </c>
      <c r="R916" s="6" t="n"/>
      <c r="S916" s="6" t="n"/>
      <c r="T916" s="3" t="n"/>
      <c r="U916" s="3">
        <f>IF($E916="","",UPPER(SUBSTITUTE(SUBSTITUTE(SUBSTITUTE(SUBSTITUTE(SUBSTITUTE(SUBSTITUTE(SUBSTITUTE(SUBSTITUTE(SUBSTITUTE(SUBSTITUTE(SUBSTITUTE(SUBSTITUTE(SUBSTITUTE(SUBSTITUTE(SUBSTITUTE(SUBSTITUTE(SUBSTITUTE(SUBSTITUTE(TRIM($E916),"'",""),"İ","I"),"ı","I"),"i","I"),"Ş","S"),"ş","S"),"Ğ","G"),"ğ","G"),"Ü","U"),"ü","U"),"Ö","O"),"ö","O"),"Ç","C"),"ç","C"),".",""),",","")," ",""),"-","")))</f>
        <v/>
      </c>
    </row>
    <row r="917">
      <c r="A917" s="6" t="n"/>
      <c r="B917" s="113">
        <f>IF($E917="","","A"&amp;TEXT(ROW()-6,"00000"))</f>
        <v/>
      </c>
      <c r="C917" s="108" t="n"/>
      <c r="D917" s="113">
        <f>IF($E917="","",IFERROR(INDEX(MUSTERILER!$B$7:$B$106,MATCH($U917,MUSTERILER!$T$7:$T$106,0)),IFERROR(INDEX(MUSTERILER!$B$7:$B$106,MATCH($E917,MUSTERILER!$B$7:$B$106,0)),IFERROR(INDEX(MUSTERILER!$B$7:$B$106,MATCH($U917&amp;"*",MUSTERILER!$T$7:$T$106,0)),"TANIMSIZ MÜŞTERİ"))))</f>
        <v/>
      </c>
      <c r="E917" s="109" t="n"/>
      <c r="F917" s="109" t="n"/>
      <c r="G917" s="108" t="n"/>
      <c r="H917" s="220" t="n"/>
      <c r="I917" s="220" t="n"/>
      <c r="J917" s="108" t="n"/>
      <c r="K917" s="108" t="n"/>
      <c r="L917" s="109" t="n"/>
      <c r="M917" s="109" t="n"/>
      <c r="N917" s="109" t="n"/>
      <c r="O917" s="220" t="n"/>
      <c r="P917" s="227">
        <f>IF(OR($E917="",$I917=""),"",IF(OR($J917="Tamamlandı",$J917="İptal"),"",$I917-TODAY()))</f>
        <v/>
      </c>
      <c r="Q917" s="113">
        <f>IF($E917="","",IF($D917="TANIMSIZ MÜŞTERİ","HATA",IF(OR($J917="Tamamlandı",$J917="İptal"),"KAPALI",IF(AND($C917="Görüşme",$N917=""),"SONRAKİ İŞLEM EKSİK",IF($I917="","TARİH EKSİK",IF($I917&lt;TODAY(),"GECİKMİŞ",IF($I917=TODAY(),"BUGÜN",IF($I917&lt;=TODAY()+7,"7 GÜN İÇİNDE","PLANLI"))))))))</f>
        <v/>
      </c>
      <c r="R917" s="6" t="n"/>
      <c r="S917" s="6" t="n"/>
      <c r="T917" s="3" t="n"/>
      <c r="U917" s="3">
        <f>IF($E917="","",UPPER(SUBSTITUTE(SUBSTITUTE(SUBSTITUTE(SUBSTITUTE(SUBSTITUTE(SUBSTITUTE(SUBSTITUTE(SUBSTITUTE(SUBSTITUTE(SUBSTITUTE(SUBSTITUTE(SUBSTITUTE(SUBSTITUTE(SUBSTITUTE(SUBSTITUTE(SUBSTITUTE(SUBSTITUTE(SUBSTITUTE(TRIM($E917),"'",""),"İ","I"),"ı","I"),"i","I"),"Ş","S"),"ş","S"),"Ğ","G"),"ğ","G"),"Ü","U"),"ü","U"),"Ö","O"),"ö","O"),"Ç","C"),"ç","C"),".",""),",","")," ",""),"-","")))</f>
        <v/>
      </c>
    </row>
    <row r="918">
      <c r="A918" s="6" t="n"/>
      <c r="B918" s="113">
        <f>IF($E918="","","A"&amp;TEXT(ROW()-6,"00000"))</f>
        <v/>
      </c>
      <c r="C918" s="108" t="n"/>
      <c r="D918" s="113">
        <f>IF($E918="","",IFERROR(INDEX(MUSTERILER!$B$7:$B$106,MATCH($U918,MUSTERILER!$T$7:$T$106,0)),IFERROR(INDEX(MUSTERILER!$B$7:$B$106,MATCH($E918,MUSTERILER!$B$7:$B$106,0)),IFERROR(INDEX(MUSTERILER!$B$7:$B$106,MATCH($U918&amp;"*",MUSTERILER!$T$7:$T$106,0)),"TANIMSIZ MÜŞTERİ"))))</f>
        <v/>
      </c>
      <c r="E918" s="109" t="n"/>
      <c r="F918" s="109" t="n"/>
      <c r="G918" s="108" t="n"/>
      <c r="H918" s="220" t="n"/>
      <c r="I918" s="220" t="n"/>
      <c r="J918" s="108" t="n"/>
      <c r="K918" s="108" t="n"/>
      <c r="L918" s="109" t="n"/>
      <c r="M918" s="109" t="n"/>
      <c r="N918" s="109" t="n"/>
      <c r="O918" s="220" t="n"/>
      <c r="P918" s="227">
        <f>IF(OR($E918="",$I918=""),"",IF(OR($J918="Tamamlandı",$J918="İptal"),"",$I918-TODAY()))</f>
        <v/>
      </c>
      <c r="Q918" s="113">
        <f>IF($E918="","",IF($D918="TANIMSIZ MÜŞTERİ","HATA",IF(OR($J918="Tamamlandı",$J918="İptal"),"KAPALI",IF(AND($C918="Görüşme",$N918=""),"SONRAKİ İŞLEM EKSİK",IF($I918="","TARİH EKSİK",IF($I918&lt;TODAY(),"GECİKMİŞ",IF($I918=TODAY(),"BUGÜN",IF($I918&lt;=TODAY()+7,"7 GÜN İÇİNDE","PLANLI"))))))))</f>
        <v/>
      </c>
      <c r="R918" s="6" t="n"/>
      <c r="S918" s="6" t="n"/>
      <c r="T918" s="3" t="n"/>
      <c r="U918" s="3">
        <f>IF($E918="","",UPPER(SUBSTITUTE(SUBSTITUTE(SUBSTITUTE(SUBSTITUTE(SUBSTITUTE(SUBSTITUTE(SUBSTITUTE(SUBSTITUTE(SUBSTITUTE(SUBSTITUTE(SUBSTITUTE(SUBSTITUTE(SUBSTITUTE(SUBSTITUTE(SUBSTITUTE(SUBSTITUTE(SUBSTITUTE(SUBSTITUTE(TRIM($E918),"'",""),"İ","I"),"ı","I"),"i","I"),"Ş","S"),"ş","S"),"Ğ","G"),"ğ","G"),"Ü","U"),"ü","U"),"Ö","O"),"ö","O"),"Ç","C"),"ç","C"),".",""),",","")," ",""),"-","")))</f>
        <v/>
      </c>
    </row>
    <row r="919">
      <c r="A919" s="6" t="n"/>
      <c r="B919" s="113">
        <f>IF($E919="","","A"&amp;TEXT(ROW()-6,"00000"))</f>
        <v/>
      </c>
      <c r="C919" s="108" t="n"/>
      <c r="D919" s="113">
        <f>IF($E919="","",IFERROR(INDEX(MUSTERILER!$B$7:$B$106,MATCH($U919,MUSTERILER!$T$7:$T$106,0)),IFERROR(INDEX(MUSTERILER!$B$7:$B$106,MATCH($E919,MUSTERILER!$B$7:$B$106,0)),IFERROR(INDEX(MUSTERILER!$B$7:$B$106,MATCH($U919&amp;"*",MUSTERILER!$T$7:$T$106,0)),"TANIMSIZ MÜŞTERİ"))))</f>
        <v/>
      </c>
      <c r="E919" s="109" t="n"/>
      <c r="F919" s="109" t="n"/>
      <c r="G919" s="108" t="n"/>
      <c r="H919" s="220" t="n"/>
      <c r="I919" s="220" t="n"/>
      <c r="J919" s="108" t="n"/>
      <c r="K919" s="108" t="n"/>
      <c r="L919" s="109" t="n"/>
      <c r="M919" s="109" t="n"/>
      <c r="N919" s="109" t="n"/>
      <c r="O919" s="220" t="n"/>
      <c r="P919" s="227">
        <f>IF(OR($E919="",$I919=""),"",IF(OR($J919="Tamamlandı",$J919="İptal"),"",$I919-TODAY()))</f>
        <v/>
      </c>
      <c r="Q919" s="113">
        <f>IF($E919="","",IF($D919="TANIMSIZ MÜŞTERİ","HATA",IF(OR($J919="Tamamlandı",$J919="İptal"),"KAPALI",IF(AND($C919="Görüşme",$N919=""),"SONRAKİ İŞLEM EKSİK",IF($I919="","TARİH EKSİK",IF($I919&lt;TODAY(),"GECİKMİŞ",IF($I919=TODAY(),"BUGÜN",IF($I919&lt;=TODAY()+7,"7 GÜN İÇİNDE","PLANLI"))))))))</f>
        <v/>
      </c>
      <c r="R919" s="6" t="n"/>
      <c r="S919" s="6" t="n"/>
      <c r="T919" s="3" t="n"/>
      <c r="U919" s="3">
        <f>IF($E919="","",UPPER(SUBSTITUTE(SUBSTITUTE(SUBSTITUTE(SUBSTITUTE(SUBSTITUTE(SUBSTITUTE(SUBSTITUTE(SUBSTITUTE(SUBSTITUTE(SUBSTITUTE(SUBSTITUTE(SUBSTITUTE(SUBSTITUTE(SUBSTITUTE(SUBSTITUTE(SUBSTITUTE(SUBSTITUTE(SUBSTITUTE(TRIM($E919),"'",""),"İ","I"),"ı","I"),"i","I"),"Ş","S"),"ş","S"),"Ğ","G"),"ğ","G"),"Ü","U"),"ü","U"),"Ö","O"),"ö","O"),"Ç","C"),"ç","C"),".",""),",","")," ",""),"-","")))</f>
        <v/>
      </c>
    </row>
    <row r="920">
      <c r="A920" s="6" t="n"/>
      <c r="B920" s="113">
        <f>IF($E920="","","A"&amp;TEXT(ROW()-6,"00000"))</f>
        <v/>
      </c>
      <c r="C920" s="108" t="n"/>
      <c r="D920" s="113">
        <f>IF($E920="","",IFERROR(INDEX(MUSTERILER!$B$7:$B$106,MATCH($U920,MUSTERILER!$T$7:$T$106,0)),IFERROR(INDEX(MUSTERILER!$B$7:$B$106,MATCH($E920,MUSTERILER!$B$7:$B$106,0)),IFERROR(INDEX(MUSTERILER!$B$7:$B$106,MATCH($U920&amp;"*",MUSTERILER!$T$7:$T$106,0)),"TANIMSIZ MÜŞTERİ"))))</f>
        <v/>
      </c>
      <c r="E920" s="109" t="n"/>
      <c r="F920" s="109" t="n"/>
      <c r="G920" s="108" t="n"/>
      <c r="H920" s="220" t="n"/>
      <c r="I920" s="220" t="n"/>
      <c r="J920" s="108" t="n"/>
      <c r="K920" s="108" t="n"/>
      <c r="L920" s="109" t="n"/>
      <c r="M920" s="109" t="n"/>
      <c r="N920" s="109" t="n"/>
      <c r="O920" s="220" t="n"/>
      <c r="P920" s="227">
        <f>IF(OR($E920="",$I920=""),"",IF(OR($J920="Tamamlandı",$J920="İptal"),"",$I920-TODAY()))</f>
        <v/>
      </c>
      <c r="Q920" s="113">
        <f>IF($E920="","",IF($D920="TANIMSIZ MÜŞTERİ","HATA",IF(OR($J920="Tamamlandı",$J920="İptal"),"KAPALI",IF(AND($C920="Görüşme",$N920=""),"SONRAKİ İŞLEM EKSİK",IF($I920="","TARİH EKSİK",IF($I920&lt;TODAY(),"GECİKMİŞ",IF($I920=TODAY(),"BUGÜN",IF($I920&lt;=TODAY()+7,"7 GÜN İÇİNDE","PLANLI"))))))))</f>
        <v/>
      </c>
      <c r="R920" s="6" t="n"/>
      <c r="S920" s="6" t="n"/>
      <c r="T920" s="3" t="n"/>
      <c r="U920" s="3">
        <f>IF($E920="","",UPPER(SUBSTITUTE(SUBSTITUTE(SUBSTITUTE(SUBSTITUTE(SUBSTITUTE(SUBSTITUTE(SUBSTITUTE(SUBSTITUTE(SUBSTITUTE(SUBSTITUTE(SUBSTITUTE(SUBSTITUTE(SUBSTITUTE(SUBSTITUTE(SUBSTITUTE(SUBSTITUTE(SUBSTITUTE(SUBSTITUTE(TRIM($E920),"'",""),"İ","I"),"ı","I"),"i","I"),"Ş","S"),"ş","S"),"Ğ","G"),"ğ","G"),"Ü","U"),"ü","U"),"Ö","O"),"ö","O"),"Ç","C"),"ç","C"),".",""),",","")," ",""),"-","")))</f>
        <v/>
      </c>
    </row>
    <row r="921">
      <c r="A921" s="6" t="n"/>
      <c r="B921" s="113">
        <f>IF($E921="","","A"&amp;TEXT(ROW()-6,"00000"))</f>
        <v/>
      </c>
      <c r="C921" s="108" t="n"/>
      <c r="D921" s="113">
        <f>IF($E921="","",IFERROR(INDEX(MUSTERILER!$B$7:$B$106,MATCH($U921,MUSTERILER!$T$7:$T$106,0)),IFERROR(INDEX(MUSTERILER!$B$7:$B$106,MATCH($E921,MUSTERILER!$B$7:$B$106,0)),IFERROR(INDEX(MUSTERILER!$B$7:$B$106,MATCH($U921&amp;"*",MUSTERILER!$T$7:$T$106,0)),"TANIMSIZ MÜŞTERİ"))))</f>
        <v/>
      </c>
      <c r="E921" s="109" t="n"/>
      <c r="F921" s="109" t="n"/>
      <c r="G921" s="108" t="n"/>
      <c r="H921" s="220" t="n"/>
      <c r="I921" s="220" t="n"/>
      <c r="J921" s="108" t="n"/>
      <c r="K921" s="108" t="n"/>
      <c r="L921" s="109" t="n"/>
      <c r="M921" s="109" t="n"/>
      <c r="N921" s="109" t="n"/>
      <c r="O921" s="220" t="n"/>
      <c r="P921" s="227">
        <f>IF(OR($E921="",$I921=""),"",IF(OR($J921="Tamamlandı",$J921="İptal"),"",$I921-TODAY()))</f>
        <v/>
      </c>
      <c r="Q921" s="113">
        <f>IF($E921="","",IF($D921="TANIMSIZ MÜŞTERİ","HATA",IF(OR($J921="Tamamlandı",$J921="İptal"),"KAPALI",IF(AND($C921="Görüşme",$N921=""),"SONRAKİ İŞLEM EKSİK",IF($I921="","TARİH EKSİK",IF($I921&lt;TODAY(),"GECİKMİŞ",IF($I921=TODAY(),"BUGÜN",IF($I921&lt;=TODAY()+7,"7 GÜN İÇİNDE","PLANLI"))))))))</f>
        <v/>
      </c>
      <c r="R921" s="6" t="n"/>
      <c r="S921" s="6" t="n"/>
      <c r="T921" s="3" t="n"/>
      <c r="U921" s="3">
        <f>IF($E921="","",UPPER(SUBSTITUTE(SUBSTITUTE(SUBSTITUTE(SUBSTITUTE(SUBSTITUTE(SUBSTITUTE(SUBSTITUTE(SUBSTITUTE(SUBSTITUTE(SUBSTITUTE(SUBSTITUTE(SUBSTITUTE(SUBSTITUTE(SUBSTITUTE(SUBSTITUTE(SUBSTITUTE(SUBSTITUTE(SUBSTITUTE(TRIM($E921),"'",""),"İ","I"),"ı","I"),"i","I"),"Ş","S"),"ş","S"),"Ğ","G"),"ğ","G"),"Ü","U"),"ü","U"),"Ö","O"),"ö","O"),"Ç","C"),"ç","C"),".",""),",","")," ",""),"-","")))</f>
        <v/>
      </c>
    </row>
    <row r="922">
      <c r="A922" s="6" t="n"/>
      <c r="B922" s="113">
        <f>IF($E922="","","A"&amp;TEXT(ROW()-6,"00000"))</f>
        <v/>
      </c>
      <c r="C922" s="108" t="n"/>
      <c r="D922" s="113">
        <f>IF($E922="","",IFERROR(INDEX(MUSTERILER!$B$7:$B$106,MATCH($U922,MUSTERILER!$T$7:$T$106,0)),IFERROR(INDEX(MUSTERILER!$B$7:$B$106,MATCH($E922,MUSTERILER!$B$7:$B$106,0)),IFERROR(INDEX(MUSTERILER!$B$7:$B$106,MATCH($U922&amp;"*",MUSTERILER!$T$7:$T$106,0)),"TANIMSIZ MÜŞTERİ"))))</f>
        <v/>
      </c>
      <c r="E922" s="109" t="n"/>
      <c r="F922" s="109" t="n"/>
      <c r="G922" s="108" t="n"/>
      <c r="H922" s="220" t="n"/>
      <c r="I922" s="220" t="n"/>
      <c r="J922" s="108" t="n"/>
      <c r="K922" s="108" t="n"/>
      <c r="L922" s="109" t="n"/>
      <c r="M922" s="109" t="n"/>
      <c r="N922" s="109" t="n"/>
      <c r="O922" s="220" t="n"/>
      <c r="P922" s="227">
        <f>IF(OR($E922="",$I922=""),"",IF(OR($J922="Tamamlandı",$J922="İptal"),"",$I922-TODAY()))</f>
        <v/>
      </c>
      <c r="Q922" s="113">
        <f>IF($E922="","",IF($D922="TANIMSIZ MÜŞTERİ","HATA",IF(OR($J922="Tamamlandı",$J922="İptal"),"KAPALI",IF(AND($C922="Görüşme",$N922=""),"SONRAKİ İŞLEM EKSİK",IF($I922="","TARİH EKSİK",IF($I922&lt;TODAY(),"GECİKMİŞ",IF($I922=TODAY(),"BUGÜN",IF($I922&lt;=TODAY()+7,"7 GÜN İÇİNDE","PLANLI"))))))))</f>
        <v/>
      </c>
      <c r="R922" s="6" t="n"/>
      <c r="S922" s="6" t="n"/>
      <c r="T922" s="3" t="n"/>
      <c r="U922" s="3">
        <f>IF($E922="","",UPPER(SUBSTITUTE(SUBSTITUTE(SUBSTITUTE(SUBSTITUTE(SUBSTITUTE(SUBSTITUTE(SUBSTITUTE(SUBSTITUTE(SUBSTITUTE(SUBSTITUTE(SUBSTITUTE(SUBSTITUTE(SUBSTITUTE(SUBSTITUTE(SUBSTITUTE(SUBSTITUTE(SUBSTITUTE(SUBSTITUTE(TRIM($E922),"'",""),"İ","I"),"ı","I"),"i","I"),"Ş","S"),"ş","S"),"Ğ","G"),"ğ","G"),"Ü","U"),"ü","U"),"Ö","O"),"ö","O"),"Ç","C"),"ç","C"),".",""),",","")," ",""),"-","")))</f>
        <v/>
      </c>
    </row>
    <row r="923">
      <c r="A923" s="6" t="n"/>
      <c r="B923" s="113">
        <f>IF($E923="","","A"&amp;TEXT(ROW()-6,"00000"))</f>
        <v/>
      </c>
      <c r="C923" s="108" t="n"/>
      <c r="D923" s="113">
        <f>IF($E923="","",IFERROR(INDEX(MUSTERILER!$B$7:$B$106,MATCH($U923,MUSTERILER!$T$7:$T$106,0)),IFERROR(INDEX(MUSTERILER!$B$7:$B$106,MATCH($E923,MUSTERILER!$B$7:$B$106,0)),IFERROR(INDEX(MUSTERILER!$B$7:$B$106,MATCH($U923&amp;"*",MUSTERILER!$T$7:$T$106,0)),"TANIMSIZ MÜŞTERİ"))))</f>
        <v/>
      </c>
      <c r="E923" s="109" t="n"/>
      <c r="F923" s="109" t="n"/>
      <c r="G923" s="108" t="n"/>
      <c r="H923" s="220" t="n"/>
      <c r="I923" s="220" t="n"/>
      <c r="J923" s="108" t="n"/>
      <c r="K923" s="108" t="n"/>
      <c r="L923" s="109" t="n"/>
      <c r="M923" s="109" t="n"/>
      <c r="N923" s="109" t="n"/>
      <c r="O923" s="220" t="n"/>
      <c r="P923" s="227">
        <f>IF(OR($E923="",$I923=""),"",IF(OR($J923="Tamamlandı",$J923="İptal"),"",$I923-TODAY()))</f>
        <v/>
      </c>
      <c r="Q923" s="113">
        <f>IF($E923="","",IF($D923="TANIMSIZ MÜŞTERİ","HATA",IF(OR($J923="Tamamlandı",$J923="İptal"),"KAPALI",IF(AND($C923="Görüşme",$N923=""),"SONRAKİ İŞLEM EKSİK",IF($I923="","TARİH EKSİK",IF($I923&lt;TODAY(),"GECİKMİŞ",IF($I923=TODAY(),"BUGÜN",IF($I923&lt;=TODAY()+7,"7 GÜN İÇİNDE","PLANLI"))))))))</f>
        <v/>
      </c>
      <c r="R923" s="6" t="n"/>
      <c r="S923" s="6" t="n"/>
      <c r="T923" s="3" t="n"/>
      <c r="U923" s="3">
        <f>IF($E923="","",UPPER(SUBSTITUTE(SUBSTITUTE(SUBSTITUTE(SUBSTITUTE(SUBSTITUTE(SUBSTITUTE(SUBSTITUTE(SUBSTITUTE(SUBSTITUTE(SUBSTITUTE(SUBSTITUTE(SUBSTITUTE(SUBSTITUTE(SUBSTITUTE(SUBSTITUTE(SUBSTITUTE(SUBSTITUTE(SUBSTITUTE(TRIM($E923),"'",""),"İ","I"),"ı","I"),"i","I"),"Ş","S"),"ş","S"),"Ğ","G"),"ğ","G"),"Ü","U"),"ü","U"),"Ö","O"),"ö","O"),"Ç","C"),"ç","C"),".",""),",","")," ",""),"-","")))</f>
        <v/>
      </c>
    </row>
    <row r="924">
      <c r="A924" s="6" t="n"/>
      <c r="B924" s="113">
        <f>IF($E924="","","A"&amp;TEXT(ROW()-6,"00000"))</f>
        <v/>
      </c>
      <c r="C924" s="108" t="n"/>
      <c r="D924" s="113">
        <f>IF($E924="","",IFERROR(INDEX(MUSTERILER!$B$7:$B$106,MATCH($U924,MUSTERILER!$T$7:$T$106,0)),IFERROR(INDEX(MUSTERILER!$B$7:$B$106,MATCH($E924,MUSTERILER!$B$7:$B$106,0)),IFERROR(INDEX(MUSTERILER!$B$7:$B$106,MATCH($U924&amp;"*",MUSTERILER!$T$7:$T$106,0)),"TANIMSIZ MÜŞTERİ"))))</f>
        <v/>
      </c>
      <c r="E924" s="109" t="n"/>
      <c r="F924" s="109" t="n"/>
      <c r="G924" s="108" t="n"/>
      <c r="H924" s="220" t="n"/>
      <c r="I924" s="220" t="n"/>
      <c r="J924" s="108" t="n"/>
      <c r="K924" s="108" t="n"/>
      <c r="L924" s="109" t="n"/>
      <c r="M924" s="109" t="n"/>
      <c r="N924" s="109" t="n"/>
      <c r="O924" s="220" t="n"/>
      <c r="P924" s="227">
        <f>IF(OR($E924="",$I924=""),"",IF(OR($J924="Tamamlandı",$J924="İptal"),"",$I924-TODAY()))</f>
        <v/>
      </c>
      <c r="Q924" s="113">
        <f>IF($E924="","",IF($D924="TANIMSIZ MÜŞTERİ","HATA",IF(OR($J924="Tamamlandı",$J924="İptal"),"KAPALI",IF(AND($C924="Görüşme",$N924=""),"SONRAKİ İŞLEM EKSİK",IF($I924="","TARİH EKSİK",IF($I924&lt;TODAY(),"GECİKMİŞ",IF($I924=TODAY(),"BUGÜN",IF($I924&lt;=TODAY()+7,"7 GÜN İÇİNDE","PLANLI"))))))))</f>
        <v/>
      </c>
      <c r="R924" s="6" t="n"/>
      <c r="S924" s="6" t="n"/>
      <c r="T924" s="3" t="n"/>
      <c r="U924" s="3">
        <f>IF($E924="","",UPPER(SUBSTITUTE(SUBSTITUTE(SUBSTITUTE(SUBSTITUTE(SUBSTITUTE(SUBSTITUTE(SUBSTITUTE(SUBSTITUTE(SUBSTITUTE(SUBSTITUTE(SUBSTITUTE(SUBSTITUTE(SUBSTITUTE(SUBSTITUTE(SUBSTITUTE(SUBSTITUTE(SUBSTITUTE(SUBSTITUTE(TRIM($E924),"'",""),"İ","I"),"ı","I"),"i","I"),"Ş","S"),"ş","S"),"Ğ","G"),"ğ","G"),"Ü","U"),"ü","U"),"Ö","O"),"ö","O"),"Ç","C"),"ç","C"),".",""),",","")," ",""),"-","")))</f>
        <v/>
      </c>
    </row>
    <row r="925">
      <c r="A925" s="6" t="n"/>
      <c r="B925" s="113">
        <f>IF($E925="","","A"&amp;TEXT(ROW()-6,"00000"))</f>
        <v/>
      </c>
      <c r="C925" s="108" t="n"/>
      <c r="D925" s="113">
        <f>IF($E925="","",IFERROR(INDEX(MUSTERILER!$B$7:$B$106,MATCH($U925,MUSTERILER!$T$7:$T$106,0)),IFERROR(INDEX(MUSTERILER!$B$7:$B$106,MATCH($E925,MUSTERILER!$B$7:$B$106,0)),IFERROR(INDEX(MUSTERILER!$B$7:$B$106,MATCH($U925&amp;"*",MUSTERILER!$T$7:$T$106,0)),"TANIMSIZ MÜŞTERİ"))))</f>
        <v/>
      </c>
      <c r="E925" s="109" t="n"/>
      <c r="F925" s="109" t="n"/>
      <c r="G925" s="108" t="n"/>
      <c r="H925" s="220" t="n"/>
      <c r="I925" s="220" t="n"/>
      <c r="J925" s="108" t="n"/>
      <c r="K925" s="108" t="n"/>
      <c r="L925" s="109" t="n"/>
      <c r="M925" s="109" t="n"/>
      <c r="N925" s="109" t="n"/>
      <c r="O925" s="220" t="n"/>
      <c r="P925" s="227">
        <f>IF(OR($E925="",$I925=""),"",IF(OR($J925="Tamamlandı",$J925="İptal"),"",$I925-TODAY()))</f>
        <v/>
      </c>
      <c r="Q925" s="113">
        <f>IF($E925="","",IF($D925="TANIMSIZ MÜŞTERİ","HATA",IF(OR($J925="Tamamlandı",$J925="İptal"),"KAPALI",IF(AND($C925="Görüşme",$N925=""),"SONRAKİ İŞLEM EKSİK",IF($I925="","TARİH EKSİK",IF($I925&lt;TODAY(),"GECİKMİŞ",IF($I925=TODAY(),"BUGÜN",IF($I925&lt;=TODAY()+7,"7 GÜN İÇİNDE","PLANLI"))))))))</f>
        <v/>
      </c>
      <c r="R925" s="6" t="n"/>
      <c r="S925" s="6" t="n"/>
      <c r="T925" s="3" t="n"/>
      <c r="U925" s="3">
        <f>IF($E925="","",UPPER(SUBSTITUTE(SUBSTITUTE(SUBSTITUTE(SUBSTITUTE(SUBSTITUTE(SUBSTITUTE(SUBSTITUTE(SUBSTITUTE(SUBSTITUTE(SUBSTITUTE(SUBSTITUTE(SUBSTITUTE(SUBSTITUTE(SUBSTITUTE(SUBSTITUTE(SUBSTITUTE(SUBSTITUTE(SUBSTITUTE(TRIM($E925),"'",""),"İ","I"),"ı","I"),"i","I"),"Ş","S"),"ş","S"),"Ğ","G"),"ğ","G"),"Ü","U"),"ü","U"),"Ö","O"),"ö","O"),"Ç","C"),"ç","C"),".",""),",","")," ",""),"-","")))</f>
        <v/>
      </c>
    </row>
    <row r="926">
      <c r="A926" s="6" t="n"/>
      <c r="B926" s="113">
        <f>IF($E926="","","A"&amp;TEXT(ROW()-6,"00000"))</f>
        <v/>
      </c>
      <c r="C926" s="108" t="n"/>
      <c r="D926" s="113">
        <f>IF($E926="","",IFERROR(INDEX(MUSTERILER!$B$7:$B$106,MATCH($U926,MUSTERILER!$T$7:$T$106,0)),IFERROR(INDEX(MUSTERILER!$B$7:$B$106,MATCH($E926,MUSTERILER!$B$7:$B$106,0)),IFERROR(INDEX(MUSTERILER!$B$7:$B$106,MATCH($U926&amp;"*",MUSTERILER!$T$7:$T$106,0)),"TANIMSIZ MÜŞTERİ"))))</f>
        <v/>
      </c>
      <c r="E926" s="109" t="n"/>
      <c r="F926" s="109" t="n"/>
      <c r="G926" s="108" t="n"/>
      <c r="H926" s="220" t="n"/>
      <c r="I926" s="220" t="n"/>
      <c r="J926" s="108" t="n"/>
      <c r="K926" s="108" t="n"/>
      <c r="L926" s="109" t="n"/>
      <c r="M926" s="109" t="n"/>
      <c r="N926" s="109" t="n"/>
      <c r="O926" s="220" t="n"/>
      <c r="P926" s="227">
        <f>IF(OR($E926="",$I926=""),"",IF(OR($J926="Tamamlandı",$J926="İptal"),"",$I926-TODAY()))</f>
        <v/>
      </c>
      <c r="Q926" s="113">
        <f>IF($E926="","",IF($D926="TANIMSIZ MÜŞTERİ","HATA",IF(OR($J926="Tamamlandı",$J926="İptal"),"KAPALI",IF(AND($C926="Görüşme",$N926=""),"SONRAKİ İŞLEM EKSİK",IF($I926="","TARİH EKSİK",IF($I926&lt;TODAY(),"GECİKMİŞ",IF($I926=TODAY(),"BUGÜN",IF($I926&lt;=TODAY()+7,"7 GÜN İÇİNDE","PLANLI"))))))))</f>
        <v/>
      </c>
      <c r="R926" s="6" t="n"/>
      <c r="S926" s="6" t="n"/>
      <c r="T926" s="3" t="n"/>
      <c r="U926" s="3">
        <f>IF($E926="","",UPPER(SUBSTITUTE(SUBSTITUTE(SUBSTITUTE(SUBSTITUTE(SUBSTITUTE(SUBSTITUTE(SUBSTITUTE(SUBSTITUTE(SUBSTITUTE(SUBSTITUTE(SUBSTITUTE(SUBSTITUTE(SUBSTITUTE(SUBSTITUTE(SUBSTITUTE(SUBSTITUTE(SUBSTITUTE(SUBSTITUTE(TRIM($E926),"'",""),"İ","I"),"ı","I"),"i","I"),"Ş","S"),"ş","S"),"Ğ","G"),"ğ","G"),"Ü","U"),"ü","U"),"Ö","O"),"ö","O"),"Ç","C"),"ç","C"),".",""),",","")," ",""),"-","")))</f>
        <v/>
      </c>
    </row>
    <row r="927">
      <c r="A927" s="6" t="n"/>
      <c r="B927" s="113">
        <f>IF($E927="","","A"&amp;TEXT(ROW()-6,"00000"))</f>
        <v/>
      </c>
      <c r="C927" s="108" t="n"/>
      <c r="D927" s="113">
        <f>IF($E927="","",IFERROR(INDEX(MUSTERILER!$B$7:$B$106,MATCH($U927,MUSTERILER!$T$7:$T$106,0)),IFERROR(INDEX(MUSTERILER!$B$7:$B$106,MATCH($E927,MUSTERILER!$B$7:$B$106,0)),IFERROR(INDEX(MUSTERILER!$B$7:$B$106,MATCH($U927&amp;"*",MUSTERILER!$T$7:$T$106,0)),"TANIMSIZ MÜŞTERİ"))))</f>
        <v/>
      </c>
      <c r="E927" s="109" t="n"/>
      <c r="F927" s="109" t="n"/>
      <c r="G927" s="108" t="n"/>
      <c r="H927" s="220" t="n"/>
      <c r="I927" s="220" t="n"/>
      <c r="J927" s="108" t="n"/>
      <c r="K927" s="108" t="n"/>
      <c r="L927" s="109" t="n"/>
      <c r="M927" s="109" t="n"/>
      <c r="N927" s="109" t="n"/>
      <c r="O927" s="220" t="n"/>
      <c r="P927" s="227">
        <f>IF(OR($E927="",$I927=""),"",IF(OR($J927="Tamamlandı",$J927="İptal"),"",$I927-TODAY()))</f>
        <v/>
      </c>
      <c r="Q927" s="113">
        <f>IF($E927="","",IF($D927="TANIMSIZ MÜŞTERİ","HATA",IF(OR($J927="Tamamlandı",$J927="İptal"),"KAPALI",IF(AND($C927="Görüşme",$N927=""),"SONRAKİ İŞLEM EKSİK",IF($I927="","TARİH EKSİK",IF($I927&lt;TODAY(),"GECİKMİŞ",IF($I927=TODAY(),"BUGÜN",IF($I927&lt;=TODAY()+7,"7 GÜN İÇİNDE","PLANLI"))))))))</f>
        <v/>
      </c>
      <c r="R927" s="6" t="n"/>
      <c r="S927" s="6" t="n"/>
      <c r="T927" s="3" t="n"/>
      <c r="U927" s="3">
        <f>IF($E927="","",UPPER(SUBSTITUTE(SUBSTITUTE(SUBSTITUTE(SUBSTITUTE(SUBSTITUTE(SUBSTITUTE(SUBSTITUTE(SUBSTITUTE(SUBSTITUTE(SUBSTITUTE(SUBSTITUTE(SUBSTITUTE(SUBSTITUTE(SUBSTITUTE(SUBSTITUTE(SUBSTITUTE(SUBSTITUTE(SUBSTITUTE(TRIM($E927),"'",""),"İ","I"),"ı","I"),"i","I"),"Ş","S"),"ş","S"),"Ğ","G"),"ğ","G"),"Ü","U"),"ü","U"),"Ö","O"),"ö","O"),"Ç","C"),"ç","C"),".",""),",","")," ",""),"-","")))</f>
        <v/>
      </c>
    </row>
    <row r="928">
      <c r="A928" s="6" t="n"/>
      <c r="B928" s="113">
        <f>IF($E928="","","A"&amp;TEXT(ROW()-6,"00000"))</f>
        <v/>
      </c>
      <c r="C928" s="108" t="n"/>
      <c r="D928" s="113">
        <f>IF($E928="","",IFERROR(INDEX(MUSTERILER!$B$7:$B$106,MATCH($U928,MUSTERILER!$T$7:$T$106,0)),IFERROR(INDEX(MUSTERILER!$B$7:$B$106,MATCH($E928,MUSTERILER!$B$7:$B$106,0)),IFERROR(INDEX(MUSTERILER!$B$7:$B$106,MATCH($U928&amp;"*",MUSTERILER!$T$7:$T$106,0)),"TANIMSIZ MÜŞTERİ"))))</f>
        <v/>
      </c>
      <c r="E928" s="109" t="n"/>
      <c r="F928" s="109" t="n"/>
      <c r="G928" s="108" t="n"/>
      <c r="H928" s="220" t="n"/>
      <c r="I928" s="220" t="n"/>
      <c r="J928" s="108" t="n"/>
      <c r="K928" s="108" t="n"/>
      <c r="L928" s="109" t="n"/>
      <c r="M928" s="109" t="n"/>
      <c r="N928" s="109" t="n"/>
      <c r="O928" s="220" t="n"/>
      <c r="P928" s="227">
        <f>IF(OR($E928="",$I928=""),"",IF(OR($J928="Tamamlandı",$J928="İptal"),"",$I928-TODAY()))</f>
        <v/>
      </c>
      <c r="Q928" s="113">
        <f>IF($E928="","",IF($D928="TANIMSIZ MÜŞTERİ","HATA",IF(OR($J928="Tamamlandı",$J928="İptal"),"KAPALI",IF(AND($C928="Görüşme",$N928=""),"SONRAKİ İŞLEM EKSİK",IF($I928="","TARİH EKSİK",IF($I928&lt;TODAY(),"GECİKMİŞ",IF($I928=TODAY(),"BUGÜN",IF($I928&lt;=TODAY()+7,"7 GÜN İÇİNDE","PLANLI"))))))))</f>
        <v/>
      </c>
      <c r="R928" s="6" t="n"/>
      <c r="S928" s="6" t="n"/>
      <c r="T928" s="3" t="n"/>
      <c r="U928" s="3">
        <f>IF($E928="","",UPPER(SUBSTITUTE(SUBSTITUTE(SUBSTITUTE(SUBSTITUTE(SUBSTITUTE(SUBSTITUTE(SUBSTITUTE(SUBSTITUTE(SUBSTITUTE(SUBSTITUTE(SUBSTITUTE(SUBSTITUTE(SUBSTITUTE(SUBSTITUTE(SUBSTITUTE(SUBSTITUTE(SUBSTITUTE(SUBSTITUTE(TRIM($E928),"'",""),"İ","I"),"ı","I"),"i","I"),"Ş","S"),"ş","S"),"Ğ","G"),"ğ","G"),"Ü","U"),"ü","U"),"Ö","O"),"ö","O"),"Ç","C"),"ç","C"),".",""),",","")," ",""),"-","")))</f>
        <v/>
      </c>
    </row>
    <row r="929">
      <c r="A929" s="6" t="n"/>
      <c r="B929" s="113">
        <f>IF($E929="","","A"&amp;TEXT(ROW()-6,"00000"))</f>
        <v/>
      </c>
      <c r="C929" s="108" t="n"/>
      <c r="D929" s="113">
        <f>IF($E929="","",IFERROR(INDEX(MUSTERILER!$B$7:$B$106,MATCH($U929,MUSTERILER!$T$7:$T$106,0)),IFERROR(INDEX(MUSTERILER!$B$7:$B$106,MATCH($E929,MUSTERILER!$B$7:$B$106,0)),IFERROR(INDEX(MUSTERILER!$B$7:$B$106,MATCH($U929&amp;"*",MUSTERILER!$T$7:$T$106,0)),"TANIMSIZ MÜŞTERİ"))))</f>
        <v/>
      </c>
      <c r="E929" s="109" t="n"/>
      <c r="F929" s="109" t="n"/>
      <c r="G929" s="108" t="n"/>
      <c r="H929" s="220" t="n"/>
      <c r="I929" s="220" t="n"/>
      <c r="J929" s="108" t="n"/>
      <c r="K929" s="108" t="n"/>
      <c r="L929" s="109" t="n"/>
      <c r="M929" s="109" t="n"/>
      <c r="N929" s="109" t="n"/>
      <c r="O929" s="220" t="n"/>
      <c r="P929" s="227">
        <f>IF(OR($E929="",$I929=""),"",IF(OR($J929="Tamamlandı",$J929="İptal"),"",$I929-TODAY()))</f>
        <v/>
      </c>
      <c r="Q929" s="113">
        <f>IF($E929="","",IF($D929="TANIMSIZ MÜŞTERİ","HATA",IF(OR($J929="Tamamlandı",$J929="İptal"),"KAPALI",IF(AND($C929="Görüşme",$N929=""),"SONRAKİ İŞLEM EKSİK",IF($I929="","TARİH EKSİK",IF($I929&lt;TODAY(),"GECİKMİŞ",IF($I929=TODAY(),"BUGÜN",IF($I929&lt;=TODAY()+7,"7 GÜN İÇİNDE","PLANLI"))))))))</f>
        <v/>
      </c>
      <c r="R929" s="6" t="n"/>
      <c r="S929" s="6" t="n"/>
      <c r="T929" s="3" t="n"/>
      <c r="U929" s="3">
        <f>IF($E929="","",UPPER(SUBSTITUTE(SUBSTITUTE(SUBSTITUTE(SUBSTITUTE(SUBSTITUTE(SUBSTITUTE(SUBSTITUTE(SUBSTITUTE(SUBSTITUTE(SUBSTITUTE(SUBSTITUTE(SUBSTITUTE(SUBSTITUTE(SUBSTITUTE(SUBSTITUTE(SUBSTITUTE(SUBSTITUTE(SUBSTITUTE(TRIM($E929),"'",""),"İ","I"),"ı","I"),"i","I"),"Ş","S"),"ş","S"),"Ğ","G"),"ğ","G"),"Ü","U"),"ü","U"),"Ö","O"),"ö","O"),"Ç","C"),"ç","C"),".",""),",","")," ",""),"-","")))</f>
        <v/>
      </c>
    </row>
    <row r="930">
      <c r="A930" s="6" t="n"/>
      <c r="B930" s="113">
        <f>IF($E930="","","A"&amp;TEXT(ROW()-6,"00000"))</f>
        <v/>
      </c>
      <c r="C930" s="108" t="n"/>
      <c r="D930" s="113">
        <f>IF($E930="","",IFERROR(INDEX(MUSTERILER!$B$7:$B$106,MATCH($U930,MUSTERILER!$T$7:$T$106,0)),IFERROR(INDEX(MUSTERILER!$B$7:$B$106,MATCH($E930,MUSTERILER!$B$7:$B$106,0)),IFERROR(INDEX(MUSTERILER!$B$7:$B$106,MATCH($U930&amp;"*",MUSTERILER!$T$7:$T$106,0)),"TANIMSIZ MÜŞTERİ"))))</f>
        <v/>
      </c>
      <c r="E930" s="109" t="n"/>
      <c r="F930" s="109" t="n"/>
      <c r="G930" s="108" t="n"/>
      <c r="H930" s="220" t="n"/>
      <c r="I930" s="220" t="n"/>
      <c r="J930" s="108" t="n"/>
      <c r="K930" s="108" t="n"/>
      <c r="L930" s="109" t="n"/>
      <c r="M930" s="109" t="n"/>
      <c r="N930" s="109" t="n"/>
      <c r="O930" s="220" t="n"/>
      <c r="P930" s="227">
        <f>IF(OR($E930="",$I930=""),"",IF(OR($J930="Tamamlandı",$J930="İptal"),"",$I930-TODAY()))</f>
        <v/>
      </c>
      <c r="Q930" s="113">
        <f>IF($E930="","",IF($D930="TANIMSIZ MÜŞTERİ","HATA",IF(OR($J930="Tamamlandı",$J930="İptal"),"KAPALI",IF(AND($C930="Görüşme",$N930=""),"SONRAKİ İŞLEM EKSİK",IF($I930="","TARİH EKSİK",IF($I930&lt;TODAY(),"GECİKMİŞ",IF($I930=TODAY(),"BUGÜN",IF($I930&lt;=TODAY()+7,"7 GÜN İÇİNDE","PLANLI"))))))))</f>
        <v/>
      </c>
      <c r="R930" s="6" t="n"/>
      <c r="S930" s="6" t="n"/>
      <c r="T930" s="3" t="n"/>
      <c r="U930" s="3">
        <f>IF($E930="","",UPPER(SUBSTITUTE(SUBSTITUTE(SUBSTITUTE(SUBSTITUTE(SUBSTITUTE(SUBSTITUTE(SUBSTITUTE(SUBSTITUTE(SUBSTITUTE(SUBSTITUTE(SUBSTITUTE(SUBSTITUTE(SUBSTITUTE(SUBSTITUTE(SUBSTITUTE(SUBSTITUTE(SUBSTITUTE(SUBSTITUTE(TRIM($E930),"'",""),"İ","I"),"ı","I"),"i","I"),"Ş","S"),"ş","S"),"Ğ","G"),"ğ","G"),"Ü","U"),"ü","U"),"Ö","O"),"ö","O"),"Ç","C"),"ç","C"),".",""),",","")," ",""),"-","")))</f>
        <v/>
      </c>
    </row>
    <row r="931">
      <c r="A931" s="6" t="n"/>
      <c r="B931" s="113">
        <f>IF($E931="","","A"&amp;TEXT(ROW()-6,"00000"))</f>
        <v/>
      </c>
      <c r="C931" s="108" t="n"/>
      <c r="D931" s="113">
        <f>IF($E931="","",IFERROR(INDEX(MUSTERILER!$B$7:$B$106,MATCH($U931,MUSTERILER!$T$7:$T$106,0)),IFERROR(INDEX(MUSTERILER!$B$7:$B$106,MATCH($E931,MUSTERILER!$B$7:$B$106,0)),IFERROR(INDEX(MUSTERILER!$B$7:$B$106,MATCH($U931&amp;"*",MUSTERILER!$T$7:$T$106,0)),"TANIMSIZ MÜŞTERİ"))))</f>
        <v/>
      </c>
      <c r="E931" s="109" t="n"/>
      <c r="F931" s="109" t="n"/>
      <c r="G931" s="108" t="n"/>
      <c r="H931" s="220" t="n"/>
      <c r="I931" s="220" t="n"/>
      <c r="J931" s="108" t="n"/>
      <c r="K931" s="108" t="n"/>
      <c r="L931" s="109" t="n"/>
      <c r="M931" s="109" t="n"/>
      <c r="N931" s="109" t="n"/>
      <c r="O931" s="220" t="n"/>
      <c r="P931" s="227">
        <f>IF(OR($E931="",$I931=""),"",IF(OR($J931="Tamamlandı",$J931="İptal"),"",$I931-TODAY()))</f>
        <v/>
      </c>
      <c r="Q931" s="113">
        <f>IF($E931="","",IF($D931="TANIMSIZ MÜŞTERİ","HATA",IF(OR($J931="Tamamlandı",$J931="İptal"),"KAPALI",IF(AND($C931="Görüşme",$N931=""),"SONRAKİ İŞLEM EKSİK",IF($I931="","TARİH EKSİK",IF($I931&lt;TODAY(),"GECİKMİŞ",IF($I931=TODAY(),"BUGÜN",IF($I931&lt;=TODAY()+7,"7 GÜN İÇİNDE","PLANLI"))))))))</f>
        <v/>
      </c>
      <c r="R931" s="6" t="n"/>
      <c r="S931" s="6" t="n"/>
      <c r="T931" s="3" t="n"/>
      <c r="U931" s="3">
        <f>IF($E931="","",UPPER(SUBSTITUTE(SUBSTITUTE(SUBSTITUTE(SUBSTITUTE(SUBSTITUTE(SUBSTITUTE(SUBSTITUTE(SUBSTITUTE(SUBSTITUTE(SUBSTITUTE(SUBSTITUTE(SUBSTITUTE(SUBSTITUTE(SUBSTITUTE(SUBSTITUTE(SUBSTITUTE(SUBSTITUTE(SUBSTITUTE(TRIM($E931),"'",""),"İ","I"),"ı","I"),"i","I"),"Ş","S"),"ş","S"),"Ğ","G"),"ğ","G"),"Ü","U"),"ü","U"),"Ö","O"),"ö","O"),"Ç","C"),"ç","C"),".",""),",","")," ",""),"-","")))</f>
        <v/>
      </c>
    </row>
    <row r="932">
      <c r="A932" s="6" t="n"/>
      <c r="B932" s="113">
        <f>IF($E932="","","A"&amp;TEXT(ROW()-6,"00000"))</f>
        <v/>
      </c>
      <c r="C932" s="108" t="n"/>
      <c r="D932" s="113">
        <f>IF($E932="","",IFERROR(INDEX(MUSTERILER!$B$7:$B$106,MATCH($U932,MUSTERILER!$T$7:$T$106,0)),IFERROR(INDEX(MUSTERILER!$B$7:$B$106,MATCH($E932,MUSTERILER!$B$7:$B$106,0)),IFERROR(INDEX(MUSTERILER!$B$7:$B$106,MATCH($U932&amp;"*",MUSTERILER!$T$7:$T$106,0)),"TANIMSIZ MÜŞTERİ"))))</f>
        <v/>
      </c>
      <c r="E932" s="109" t="n"/>
      <c r="F932" s="109" t="n"/>
      <c r="G932" s="108" t="n"/>
      <c r="H932" s="220" t="n"/>
      <c r="I932" s="220" t="n"/>
      <c r="J932" s="108" t="n"/>
      <c r="K932" s="108" t="n"/>
      <c r="L932" s="109" t="n"/>
      <c r="M932" s="109" t="n"/>
      <c r="N932" s="109" t="n"/>
      <c r="O932" s="220" t="n"/>
      <c r="P932" s="227">
        <f>IF(OR($E932="",$I932=""),"",IF(OR($J932="Tamamlandı",$J932="İptal"),"",$I932-TODAY()))</f>
        <v/>
      </c>
      <c r="Q932" s="113">
        <f>IF($E932="","",IF($D932="TANIMSIZ MÜŞTERİ","HATA",IF(OR($J932="Tamamlandı",$J932="İptal"),"KAPALI",IF(AND($C932="Görüşme",$N932=""),"SONRAKİ İŞLEM EKSİK",IF($I932="","TARİH EKSİK",IF($I932&lt;TODAY(),"GECİKMİŞ",IF($I932=TODAY(),"BUGÜN",IF($I932&lt;=TODAY()+7,"7 GÜN İÇİNDE","PLANLI"))))))))</f>
        <v/>
      </c>
      <c r="R932" s="6" t="n"/>
      <c r="S932" s="6" t="n"/>
      <c r="T932" s="3" t="n"/>
      <c r="U932" s="3">
        <f>IF($E932="","",UPPER(SUBSTITUTE(SUBSTITUTE(SUBSTITUTE(SUBSTITUTE(SUBSTITUTE(SUBSTITUTE(SUBSTITUTE(SUBSTITUTE(SUBSTITUTE(SUBSTITUTE(SUBSTITUTE(SUBSTITUTE(SUBSTITUTE(SUBSTITUTE(SUBSTITUTE(SUBSTITUTE(SUBSTITUTE(SUBSTITUTE(TRIM($E932),"'",""),"İ","I"),"ı","I"),"i","I"),"Ş","S"),"ş","S"),"Ğ","G"),"ğ","G"),"Ü","U"),"ü","U"),"Ö","O"),"ö","O"),"Ç","C"),"ç","C"),".",""),",","")," ",""),"-","")))</f>
        <v/>
      </c>
    </row>
    <row r="933">
      <c r="A933" s="6" t="n"/>
      <c r="B933" s="113">
        <f>IF($E933="","","A"&amp;TEXT(ROW()-6,"00000"))</f>
        <v/>
      </c>
      <c r="C933" s="108" t="n"/>
      <c r="D933" s="113">
        <f>IF($E933="","",IFERROR(INDEX(MUSTERILER!$B$7:$B$106,MATCH($U933,MUSTERILER!$T$7:$T$106,0)),IFERROR(INDEX(MUSTERILER!$B$7:$B$106,MATCH($E933,MUSTERILER!$B$7:$B$106,0)),IFERROR(INDEX(MUSTERILER!$B$7:$B$106,MATCH($U933&amp;"*",MUSTERILER!$T$7:$T$106,0)),"TANIMSIZ MÜŞTERİ"))))</f>
        <v/>
      </c>
      <c r="E933" s="109" t="n"/>
      <c r="F933" s="109" t="n"/>
      <c r="G933" s="108" t="n"/>
      <c r="H933" s="220" t="n"/>
      <c r="I933" s="220" t="n"/>
      <c r="J933" s="108" t="n"/>
      <c r="K933" s="108" t="n"/>
      <c r="L933" s="109" t="n"/>
      <c r="M933" s="109" t="n"/>
      <c r="N933" s="109" t="n"/>
      <c r="O933" s="220" t="n"/>
      <c r="P933" s="227">
        <f>IF(OR($E933="",$I933=""),"",IF(OR($J933="Tamamlandı",$J933="İptal"),"",$I933-TODAY()))</f>
        <v/>
      </c>
      <c r="Q933" s="113">
        <f>IF($E933="","",IF($D933="TANIMSIZ MÜŞTERİ","HATA",IF(OR($J933="Tamamlandı",$J933="İptal"),"KAPALI",IF(AND($C933="Görüşme",$N933=""),"SONRAKİ İŞLEM EKSİK",IF($I933="","TARİH EKSİK",IF($I933&lt;TODAY(),"GECİKMİŞ",IF($I933=TODAY(),"BUGÜN",IF($I933&lt;=TODAY()+7,"7 GÜN İÇİNDE","PLANLI"))))))))</f>
        <v/>
      </c>
      <c r="R933" s="6" t="n"/>
      <c r="S933" s="6" t="n"/>
      <c r="T933" s="3" t="n"/>
      <c r="U933" s="3">
        <f>IF($E933="","",UPPER(SUBSTITUTE(SUBSTITUTE(SUBSTITUTE(SUBSTITUTE(SUBSTITUTE(SUBSTITUTE(SUBSTITUTE(SUBSTITUTE(SUBSTITUTE(SUBSTITUTE(SUBSTITUTE(SUBSTITUTE(SUBSTITUTE(SUBSTITUTE(SUBSTITUTE(SUBSTITUTE(SUBSTITUTE(SUBSTITUTE(TRIM($E933),"'",""),"İ","I"),"ı","I"),"i","I"),"Ş","S"),"ş","S"),"Ğ","G"),"ğ","G"),"Ü","U"),"ü","U"),"Ö","O"),"ö","O"),"Ç","C"),"ç","C"),".",""),",","")," ",""),"-","")))</f>
        <v/>
      </c>
    </row>
    <row r="934">
      <c r="A934" s="6" t="n"/>
      <c r="B934" s="113">
        <f>IF($E934="","","A"&amp;TEXT(ROW()-6,"00000"))</f>
        <v/>
      </c>
      <c r="C934" s="108" t="n"/>
      <c r="D934" s="113">
        <f>IF($E934="","",IFERROR(INDEX(MUSTERILER!$B$7:$B$106,MATCH($U934,MUSTERILER!$T$7:$T$106,0)),IFERROR(INDEX(MUSTERILER!$B$7:$B$106,MATCH($E934,MUSTERILER!$B$7:$B$106,0)),IFERROR(INDEX(MUSTERILER!$B$7:$B$106,MATCH($U934&amp;"*",MUSTERILER!$T$7:$T$106,0)),"TANIMSIZ MÜŞTERİ"))))</f>
        <v/>
      </c>
      <c r="E934" s="109" t="n"/>
      <c r="F934" s="109" t="n"/>
      <c r="G934" s="108" t="n"/>
      <c r="H934" s="220" t="n"/>
      <c r="I934" s="220" t="n"/>
      <c r="J934" s="108" t="n"/>
      <c r="K934" s="108" t="n"/>
      <c r="L934" s="109" t="n"/>
      <c r="M934" s="109" t="n"/>
      <c r="N934" s="109" t="n"/>
      <c r="O934" s="220" t="n"/>
      <c r="P934" s="227">
        <f>IF(OR($E934="",$I934=""),"",IF(OR($J934="Tamamlandı",$J934="İptal"),"",$I934-TODAY()))</f>
        <v/>
      </c>
      <c r="Q934" s="113">
        <f>IF($E934="","",IF($D934="TANIMSIZ MÜŞTERİ","HATA",IF(OR($J934="Tamamlandı",$J934="İptal"),"KAPALI",IF(AND($C934="Görüşme",$N934=""),"SONRAKİ İŞLEM EKSİK",IF($I934="","TARİH EKSİK",IF($I934&lt;TODAY(),"GECİKMİŞ",IF($I934=TODAY(),"BUGÜN",IF($I934&lt;=TODAY()+7,"7 GÜN İÇİNDE","PLANLI"))))))))</f>
        <v/>
      </c>
      <c r="R934" s="6" t="n"/>
      <c r="S934" s="6" t="n"/>
      <c r="T934" s="3" t="n"/>
      <c r="U934" s="3">
        <f>IF($E934="","",UPPER(SUBSTITUTE(SUBSTITUTE(SUBSTITUTE(SUBSTITUTE(SUBSTITUTE(SUBSTITUTE(SUBSTITUTE(SUBSTITUTE(SUBSTITUTE(SUBSTITUTE(SUBSTITUTE(SUBSTITUTE(SUBSTITUTE(SUBSTITUTE(SUBSTITUTE(SUBSTITUTE(SUBSTITUTE(SUBSTITUTE(TRIM($E934),"'",""),"İ","I"),"ı","I"),"i","I"),"Ş","S"),"ş","S"),"Ğ","G"),"ğ","G"),"Ü","U"),"ü","U"),"Ö","O"),"ö","O"),"Ç","C"),"ç","C"),".",""),",","")," ",""),"-","")))</f>
        <v/>
      </c>
    </row>
    <row r="935">
      <c r="A935" s="6" t="n"/>
      <c r="B935" s="113">
        <f>IF($E935="","","A"&amp;TEXT(ROW()-6,"00000"))</f>
        <v/>
      </c>
      <c r="C935" s="108" t="n"/>
      <c r="D935" s="113">
        <f>IF($E935="","",IFERROR(INDEX(MUSTERILER!$B$7:$B$106,MATCH($U935,MUSTERILER!$T$7:$T$106,0)),IFERROR(INDEX(MUSTERILER!$B$7:$B$106,MATCH($E935,MUSTERILER!$B$7:$B$106,0)),IFERROR(INDEX(MUSTERILER!$B$7:$B$106,MATCH($U935&amp;"*",MUSTERILER!$T$7:$T$106,0)),"TANIMSIZ MÜŞTERİ"))))</f>
        <v/>
      </c>
      <c r="E935" s="109" t="n"/>
      <c r="F935" s="109" t="n"/>
      <c r="G935" s="108" t="n"/>
      <c r="H935" s="220" t="n"/>
      <c r="I935" s="220" t="n"/>
      <c r="J935" s="108" t="n"/>
      <c r="K935" s="108" t="n"/>
      <c r="L935" s="109" t="n"/>
      <c r="M935" s="109" t="n"/>
      <c r="N935" s="109" t="n"/>
      <c r="O935" s="220" t="n"/>
      <c r="P935" s="227">
        <f>IF(OR($E935="",$I935=""),"",IF(OR($J935="Tamamlandı",$J935="İptal"),"",$I935-TODAY()))</f>
        <v/>
      </c>
      <c r="Q935" s="113">
        <f>IF($E935="","",IF($D935="TANIMSIZ MÜŞTERİ","HATA",IF(OR($J935="Tamamlandı",$J935="İptal"),"KAPALI",IF(AND($C935="Görüşme",$N935=""),"SONRAKİ İŞLEM EKSİK",IF($I935="","TARİH EKSİK",IF($I935&lt;TODAY(),"GECİKMİŞ",IF($I935=TODAY(),"BUGÜN",IF($I935&lt;=TODAY()+7,"7 GÜN İÇİNDE","PLANLI"))))))))</f>
        <v/>
      </c>
      <c r="R935" s="6" t="n"/>
      <c r="S935" s="6" t="n"/>
      <c r="T935" s="3" t="n"/>
      <c r="U935" s="3">
        <f>IF($E935="","",UPPER(SUBSTITUTE(SUBSTITUTE(SUBSTITUTE(SUBSTITUTE(SUBSTITUTE(SUBSTITUTE(SUBSTITUTE(SUBSTITUTE(SUBSTITUTE(SUBSTITUTE(SUBSTITUTE(SUBSTITUTE(SUBSTITUTE(SUBSTITUTE(SUBSTITUTE(SUBSTITUTE(SUBSTITUTE(SUBSTITUTE(TRIM($E935),"'",""),"İ","I"),"ı","I"),"i","I"),"Ş","S"),"ş","S"),"Ğ","G"),"ğ","G"),"Ü","U"),"ü","U"),"Ö","O"),"ö","O"),"Ç","C"),"ç","C"),".",""),",","")," ",""),"-","")))</f>
        <v/>
      </c>
    </row>
    <row r="936">
      <c r="A936" s="6" t="n"/>
      <c r="B936" s="113">
        <f>IF($E936="","","A"&amp;TEXT(ROW()-6,"00000"))</f>
        <v/>
      </c>
      <c r="C936" s="108" t="n"/>
      <c r="D936" s="113">
        <f>IF($E936="","",IFERROR(INDEX(MUSTERILER!$B$7:$B$106,MATCH($U936,MUSTERILER!$T$7:$T$106,0)),IFERROR(INDEX(MUSTERILER!$B$7:$B$106,MATCH($E936,MUSTERILER!$B$7:$B$106,0)),IFERROR(INDEX(MUSTERILER!$B$7:$B$106,MATCH($U936&amp;"*",MUSTERILER!$T$7:$T$106,0)),"TANIMSIZ MÜŞTERİ"))))</f>
        <v/>
      </c>
      <c r="E936" s="109" t="n"/>
      <c r="F936" s="109" t="n"/>
      <c r="G936" s="108" t="n"/>
      <c r="H936" s="220" t="n"/>
      <c r="I936" s="220" t="n"/>
      <c r="J936" s="108" t="n"/>
      <c r="K936" s="108" t="n"/>
      <c r="L936" s="109" t="n"/>
      <c r="M936" s="109" t="n"/>
      <c r="N936" s="109" t="n"/>
      <c r="O936" s="220" t="n"/>
      <c r="P936" s="227">
        <f>IF(OR($E936="",$I936=""),"",IF(OR($J936="Tamamlandı",$J936="İptal"),"",$I936-TODAY()))</f>
        <v/>
      </c>
      <c r="Q936" s="113">
        <f>IF($E936="","",IF($D936="TANIMSIZ MÜŞTERİ","HATA",IF(OR($J936="Tamamlandı",$J936="İptal"),"KAPALI",IF(AND($C936="Görüşme",$N936=""),"SONRAKİ İŞLEM EKSİK",IF($I936="","TARİH EKSİK",IF($I936&lt;TODAY(),"GECİKMİŞ",IF($I936=TODAY(),"BUGÜN",IF($I936&lt;=TODAY()+7,"7 GÜN İÇİNDE","PLANLI"))))))))</f>
        <v/>
      </c>
      <c r="R936" s="6" t="n"/>
      <c r="S936" s="6" t="n"/>
      <c r="T936" s="3" t="n"/>
      <c r="U936" s="3">
        <f>IF($E936="","",UPPER(SUBSTITUTE(SUBSTITUTE(SUBSTITUTE(SUBSTITUTE(SUBSTITUTE(SUBSTITUTE(SUBSTITUTE(SUBSTITUTE(SUBSTITUTE(SUBSTITUTE(SUBSTITUTE(SUBSTITUTE(SUBSTITUTE(SUBSTITUTE(SUBSTITUTE(SUBSTITUTE(SUBSTITUTE(SUBSTITUTE(TRIM($E936),"'",""),"İ","I"),"ı","I"),"i","I"),"Ş","S"),"ş","S"),"Ğ","G"),"ğ","G"),"Ü","U"),"ü","U"),"Ö","O"),"ö","O"),"Ç","C"),"ç","C"),".",""),",","")," ",""),"-","")))</f>
        <v/>
      </c>
    </row>
    <row r="937">
      <c r="A937" s="6" t="n"/>
      <c r="B937" s="113">
        <f>IF($E937="","","A"&amp;TEXT(ROW()-6,"00000"))</f>
        <v/>
      </c>
      <c r="C937" s="108" t="n"/>
      <c r="D937" s="113">
        <f>IF($E937="","",IFERROR(INDEX(MUSTERILER!$B$7:$B$106,MATCH($U937,MUSTERILER!$T$7:$T$106,0)),IFERROR(INDEX(MUSTERILER!$B$7:$B$106,MATCH($E937,MUSTERILER!$B$7:$B$106,0)),IFERROR(INDEX(MUSTERILER!$B$7:$B$106,MATCH($U937&amp;"*",MUSTERILER!$T$7:$T$106,0)),"TANIMSIZ MÜŞTERİ"))))</f>
        <v/>
      </c>
      <c r="E937" s="109" t="n"/>
      <c r="F937" s="109" t="n"/>
      <c r="G937" s="108" t="n"/>
      <c r="H937" s="220" t="n"/>
      <c r="I937" s="220" t="n"/>
      <c r="J937" s="108" t="n"/>
      <c r="K937" s="108" t="n"/>
      <c r="L937" s="109" t="n"/>
      <c r="M937" s="109" t="n"/>
      <c r="N937" s="109" t="n"/>
      <c r="O937" s="220" t="n"/>
      <c r="P937" s="227">
        <f>IF(OR($E937="",$I937=""),"",IF(OR($J937="Tamamlandı",$J937="İptal"),"",$I937-TODAY()))</f>
        <v/>
      </c>
      <c r="Q937" s="113">
        <f>IF($E937="","",IF($D937="TANIMSIZ MÜŞTERİ","HATA",IF(OR($J937="Tamamlandı",$J937="İptal"),"KAPALI",IF(AND($C937="Görüşme",$N937=""),"SONRAKİ İŞLEM EKSİK",IF($I937="","TARİH EKSİK",IF($I937&lt;TODAY(),"GECİKMİŞ",IF($I937=TODAY(),"BUGÜN",IF($I937&lt;=TODAY()+7,"7 GÜN İÇİNDE","PLANLI"))))))))</f>
        <v/>
      </c>
      <c r="R937" s="6" t="n"/>
      <c r="S937" s="6" t="n"/>
      <c r="T937" s="3" t="n"/>
      <c r="U937" s="3">
        <f>IF($E937="","",UPPER(SUBSTITUTE(SUBSTITUTE(SUBSTITUTE(SUBSTITUTE(SUBSTITUTE(SUBSTITUTE(SUBSTITUTE(SUBSTITUTE(SUBSTITUTE(SUBSTITUTE(SUBSTITUTE(SUBSTITUTE(SUBSTITUTE(SUBSTITUTE(SUBSTITUTE(SUBSTITUTE(SUBSTITUTE(SUBSTITUTE(TRIM($E937),"'",""),"İ","I"),"ı","I"),"i","I"),"Ş","S"),"ş","S"),"Ğ","G"),"ğ","G"),"Ü","U"),"ü","U"),"Ö","O"),"ö","O"),"Ç","C"),"ç","C"),".",""),",","")," ",""),"-","")))</f>
        <v/>
      </c>
    </row>
    <row r="938">
      <c r="A938" s="6" t="n"/>
      <c r="B938" s="113">
        <f>IF($E938="","","A"&amp;TEXT(ROW()-6,"00000"))</f>
        <v/>
      </c>
      <c r="C938" s="108" t="n"/>
      <c r="D938" s="113">
        <f>IF($E938="","",IFERROR(INDEX(MUSTERILER!$B$7:$B$106,MATCH($U938,MUSTERILER!$T$7:$T$106,0)),IFERROR(INDEX(MUSTERILER!$B$7:$B$106,MATCH($E938,MUSTERILER!$B$7:$B$106,0)),IFERROR(INDEX(MUSTERILER!$B$7:$B$106,MATCH($U938&amp;"*",MUSTERILER!$T$7:$T$106,0)),"TANIMSIZ MÜŞTERİ"))))</f>
        <v/>
      </c>
      <c r="E938" s="109" t="n"/>
      <c r="F938" s="109" t="n"/>
      <c r="G938" s="108" t="n"/>
      <c r="H938" s="220" t="n"/>
      <c r="I938" s="220" t="n"/>
      <c r="J938" s="108" t="n"/>
      <c r="K938" s="108" t="n"/>
      <c r="L938" s="109" t="n"/>
      <c r="M938" s="109" t="n"/>
      <c r="N938" s="109" t="n"/>
      <c r="O938" s="220" t="n"/>
      <c r="P938" s="227">
        <f>IF(OR($E938="",$I938=""),"",IF(OR($J938="Tamamlandı",$J938="İptal"),"",$I938-TODAY()))</f>
        <v/>
      </c>
      <c r="Q938" s="113">
        <f>IF($E938="","",IF($D938="TANIMSIZ MÜŞTERİ","HATA",IF(OR($J938="Tamamlandı",$J938="İptal"),"KAPALI",IF(AND($C938="Görüşme",$N938=""),"SONRAKİ İŞLEM EKSİK",IF($I938="","TARİH EKSİK",IF($I938&lt;TODAY(),"GECİKMİŞ",IF($I938=TODAY(),"BUGÜN",IF($I938&lt;=TODAY()+7,"7 GÜN İÇİNDE","PLANLI"))))))))</f>
        <v/>
      </c>
      <c r="R938" s="6" t="n"/>
      <c r="S938" s="6" t="n"/>
      <c r="T938" s="3" t="n"/>
      <c r="U938" s="3">
        <f>IF($E938="","",UPPER(SUBSTITUTE(SUBSTITUTE(SUBSTITUTE(SUBSTITUTE(SUBSTITUTE(SUBSTITUTE(SUBSTITUTE(SUBSTITUTE(SUBSTITUTE(SUBSTITUTE(SUBSTITUTE(SUBSTITUTE(SUBSTITUTE(SUBSTITUTE(SUBSTITUTE(SUBSTITUTE(SUBSTITUTE(SUBSTITUTE(TRIM($E938),"'",""),"İ","I"),"ı","I"),"i","I"),"Ş","S"),"ş","S"),"Ğ","G"),"ğ","G"),"Ü","U"),"ü","U"),"Ö","O"),"ö","O"),"Ç","C"),"ç","C"),".",""),",","")," ",""),"-","")))</f>
        <v/>
      </c>
    </row>
    <row r="939">
      <c r="A939" s="6" t="n"/>
      <c r="B939" s="113">
        <f>IF($E939="","","A"&amp;TEXT(ROW()-6,"00000"))</f>
        <v/>
      </c>
      <c r="C939" s="108" t="n"/>
      <c r="D939" s="113">
        <f>IF($E939="","",IFERROR(INDEX(MUSTERILER!$B$7:$B$106,MATCH($U939,MUSTERILER!$T$7:$T$106,0)),IFERROR(INDEX(MUSTERILER!$B$7:$B$106,MATCH($E939,MUSTERILER!$B$7:$B$106,0)),IFERROR(INDEX(MUSTERILER!$B$7:$B$106,MATCH($U939&amp;"*",MUSTERILER!$T$7:$T$106,0)),"TANIMSIZ MÜŞTERİ"))))</f>
        <v/>
      </c>
      <c r="E939" s="109" t="n"/>
      <c r="F939" s="109" t="n"/>
      <c r="G939" s="108" t="n"/>
      <c r="H939" s="220" t="n"/>
      <c r="I939" s="220" t="n"/>
      <c r="J939" s="108" t="n"/>
      <c r="K939" s="108" t="n"/>
      <c r="L939" s="109" t="n"/>
      <c r="M939" s="109" t="n"/>
      <c r="N939" s="109" t="n"/>
      <c r="O939" s="220" t="n"/>
      <c r="P939" s="227">
        <f>IF(OR($E939="",$I939=""),"",IF(OR($J939="Tamamlandı",$J939="İptal"),"",$I939-TODAY()))</f>
        <v/>
      </c>
      <c r="Q939" s="113">
        <f>IF($E939="","",IF($D939="TANIMSIZ MÜŞTERİ","HATA",IF(OR($J939="Tamamlandı",$J939="İptal"),"KAPALI",IF(AND($C939="Görüşme",$N939=""),"SONRAKİ İŞLEM EKSİK",IF($I939="","TARİH EKSİK",IF($I939&lt;TODAY(),"GECİKMİŞ",IF($I939=TODAY(),"BUGÜN",IF($I939&lt;=TODAY()+7,"7 GÜN İÇİNDE","PLANLI"))))))))</f>
        <v/>
      </c>
      <c r="R939" s="6" t="n"/>
      <c r="S939" s="6" t="n"/>
      <c r="T939" s="3" t="n"/>
      <c r="U939" s="3">
        <f>IF($E939="","",UPPER(SUBSTITUTE(SUBSTITUTE(SUBSTITUTE(SUBSTITUTE(SUBSTITUTE(SUBSTITUTE(SUBSTITUTE(SUBSTITUTE(SUBSTITUTE(SUBSTITUTE(SUBSTITUTE(SUBSTITUTE(SUBSTITUTE(SUBSTITUTE(SUBSTITUTE(SUBSTITUTE(SUBSTITUTE(SUBSTITUTE(TRIM($E939),"'",""),"İ","I"),"ı","I"),"i","I"),"Ş","S"),"ş","S"),"Ğ","G"),"ğ","G"),"Ü","U"),"ü","U"),"Ö","O"),"ö","O"),"Ç","C"),"ç","C"),".",""),",","")," ",""),"-","")))</f>
        <v/>
      </c>
    </row>
    <row r="940">
      <c r="A940" s="6" t="n"/>
      <c r="B940" s="113">
        <f>IF($E940="","","A"&amp;TEXT(ROW()-6,"00000"))</f>
        <v/>
      </c>
      <c r="C940" s="108" t="n"/>
      <c r="D940" s="113">
        <f>IF($E940="","",IFERROR(INDEX(MUSTERILER!$B$7:$B$106,MATCH($U940,MUSTERILER!$T$7:$T$106,0)),IFERROR(INDEX(MUSTERILER!$B$7:$B$106,MATCH($E940,MUSTERILER!$B$7:$B$106,0)),IFERROR(INDEX(MUSTERILER!$B$7:$B$106,MATCH($U940&amp;"*",MUSTERILER!$T$7:$T$106,0)),"TANIMSIZ MÜŞTERİ"))))</f>
        <v/>
      </c>
      <c r="E940" s="109" t="n"/>
      <c r="F940" s="109" t="n"/>
      <c r="G940" s="108" t="n"/>
      <c r="H940" s="220" t="n"/>
      <c r="I940" s="220" t="n"/>
      <c r="J940" s="108" t="n"/>
      <c r="K940" s="108" t="n"/>
      <c r="L940" s="109" t="n"/>
      <c r="M940" s="109" t="n"/>
      <c r="N940" s="109" t="n"/>
      <c r="O940" s="220" t="n"/>
      <c r="P940" s="227">
        <f>IF(OR($E940="",$I940=""),"",IF(OR($J940="Tamamlandı",$J940="İptal"),"",$I940-TODAY()))</f>
        <v/>
      </c>
      <c r="Q940" s="113">
        <f>IF($E940="","",IF($D940="TANIMSIZ MÜŞTERİ","HATA",IF(OR($J940="Tamamlandı",$J940="İptal"),"KAPALI",IF(AND($C940="Görüşme",$N940=""),"SONRAKİ İŞLEM EKSİK",IF($I940="","TARİH EKSİK",IF($I940&lt;TODAY(),"GECİKMİŞ",IF($I940=TODAY(),"BUGÜN",IF($I940&lt;=TODAY()+7,"7 GÜN İÇİNDE","PLANLI"))))))))</f>
        <v/>
      </c>
      <c r="R940" s="6" t="n"/>
      <c r="S940" s="6" t="n"/>
      <c r="T940" s="3" t="n"/>
      <c r="U940" s="3">
        <f>IF($E940="","",UPPER(SUBSTITUTE(SUBSTITUTE(SUBSTITUTE(SUBSTITUTE(SUBSTITUTE(SUBSTITUTE(SUBSTITUTE(SUBSTITUTE(SUBSTITUTE(SUBSTITUTE(SUBSTITUTE(SUBSTITUTE(SUBSTITUTE(SUBSTITUTE(SUBSTITUTE(SUBSTITUTE(SUBSTITUTE(SUBSTITUTE(TRIM($E940),"'",""),"İ","I"),"ı","I"),"i","I"),"Ş","S"),"ş","S"),"Ğ","G"),"ğ","G"),"Ü","U"),"ü","U"),"Ö","O"),"ö","O"),"Ç","C"),"ç","C"),".",""),",","")," ",""),"-","")))</f>
        <v/>
      </c>
    </row>
    <row r="941">
      <c r="A941" s="6" t="n"/>
      <c r="B941" s="113">
        <f>IF($E941="","","A"&amp;TEXT(ROW()-6,"00000"))</f>
        <v/>
      </c>
      <c r="C941" s="108" t="n"/>
      <c r="D941" s="113">
        <f>IF($E941="","",IFERROR(INDEX(MUSTERILER!$B$7:$B$106,MATCH($U941,MUSTERILER!$T$7:$T$106,0)),IFERROR(INDEX(MUSTERILER!$B$7:$B$106,MATCH($E941,MUSTERILER!$B$7:$B$106,0)),IFERROR(INDEX(MUSTERILER!$B$7:$B$106,MATCH($U941&amp;"*",MUSTERILER!$T$7:$T$106,0)),"TANIMSIZ MÜŞTERİ"))))</f>
        <v/>
      </c>
      <c r="E941" s="109" t="n"/>
      <c r="F941" s="109" t="n"/>
      <c r="G941" s="108" t="n"/>
      <c r="H941" s="220" t="n"/>
      <c r="I941" s="220" t="n"/>
      <c r="J941" s="108" t="n"/>
      <c r="K941" s="108" t="n"/>
      <c r="L941" s="109" t="n"/>
      <c r="M941" s="109" t="n"/>
      <c r="N941" s="109" t="n"/>
      <c r="O941" s="220" t="n"/>
      <c r="P941" s="227">
        <f>IF(OR($E941="",$I941=""),"",IF(OR($J941="Tamamlandı",$J941="İptal"),"",$I941-TODAY()))</f>
        <v/>
      </c>
      <c r="Q941" s="113">
        <f>IF($E941="","",IF($D941="TANIMSIZ MÜŞTERİ","HATA",IF(OR($J941="Tamamlandı",$J941="İptal"),"KAPALI",IF(AND($C941="Görüşme",$N941=""),"SONRAKİ İŞLEM EKSİK",IF($I941="","TARİH EKSİK",IF($I941&lt;TODAY(),"GECİKMİŞ",IF($I941=TODAY(),"BUGÜN",IF($I941&lt;=TODAY()+7,"7 GÜN İÇİNDE","PLANLI"))))))))</f>
        <v/>
      </c>
      <c r="R941" s="6" t="n"/>
      <c r="S941" s="6" t="n"/>
      <c r="T941" s="3" t="n"/>
      <c r="U941" s="3">
        <f>IF($E941="","",UPPER(SUBSTITUTE(SUBSTITUTE(SUBSTITUTE(SUBSTITUTE(SUBSTITUTE(SUBSTITUTE(SUBSTITUTE(SUBSTITUTE(SUBSTITUTE(SUBSTITUTE(SUBSTITUTE(SUBSTITUTE(SUBSTITUTE(SUBSTITUTE(SUBSTITUTE(SUBSTITUTE(SUBSTITUTE(SUBSTITUTE(TRIM($E941),"'",""),"İ","I"),"ı","I"),"i","I"),"Ş","S"),"ş","S"),"Ğ","G"),"ğ","G"),"Ü","U"),"ü","U"),"Ö","O"),"ö","O"),"Ç","C"),"ç","C"),".",""),",","")," ",""),"-","")))</f>
        <v/>
      </c>
    </row>
    <row r="942">
      <c r="A942" s="6" t="n"/>
      <c r="B942" s="113">
        <f>IF($E942="","","A"&amp;TEXT(ROW()-6,"00000"))</f>
        <v/>
      </c>
      <c r="C942" s="108" t="n"/>
      <c r="D942" s="113">
        <f>IF($E942="","",IFERROR(INDEX(MUSTERILER!$B$7:$B$106,MATCH($U942,MUSTERILER!$T$7:$T$106,0)),IFERROR(INDEX(MUSTERILER!$B$7:$B$106,MATCH($E942,MUSTERILER!$B$7:$B$106,0)),IFERROR(INDEX(MUSTERILER!$B$7:$B$106,MATCH($U942&amp;"*",MUSTERILER!$T$7:$T$106,0)),"TANIMSIZ MÜŞTERİ"))))</f>
        <v/>
      </c>
      <c r="E942" s="109" t="n"/>
      <c r="F942" s="109" t="n"/>
      <c r="G942" s="108" t="n"/>
      <c r="H942" s="220" t="n"/>
      <c r="I942" s="220" t="n"/>
      <c r="J942" s="108" t="n"/>
      <c r="K942" s="108" t="n"/>
      <c r="L942" s="109" t="n"/>
      <c r="M942" s="109" t="n"/>
      <c r="N942" s="109" t="n"/>
      <c r="O942" s="220" t="n"/>
      <c r="P942" s="227">
        <f>IF(OR($E942="",$I942=""),"",IF(OR($J942="Tamamlandı",$J942="İptal"),"",$I942-TODAY()))</f>
        <v/>
      </c>
      <c r="Q942" s="113">
        <f>IF($E942="","",IF($D942="TANIMSIZ MÜŞTERİ","HATA",IF(OR($J942="Tamamlandı",$J942="İptal"),"KAPALI",IF(AND($C942="Görüşme",$N942=""),"SONRAKİ İŞLEM EKSİK",IF($I942="","TARİH EKSİK",IF($I942&lt;TODAY(),"GECİKMİŞ",IF($I942=TODAY(),"BUGÜN",IF($I942&lt;=TODAY()+7,"7 GÜN İÇİNDE","PLANLI"))))))))</f>
        <v/>
      </c>
      <c r="R942" s="6" t="n"/>
      <c r="S942" s="6" t="n"/>
      <c r="T942" s="3" t="n"/>
      <c r="U942" s="3">
        <f>IF($E942="","",UPPER(SUBSTITUTE(SUBSTITUTE(SUBSTITUTE(SUBSTITUTE(SUBSTITUTE(SUBSTITUTE(SUBSTITUTE(SUBSTITUTE(SUBSTITUTE(SUBSTITUTE(SUBSTITUTE(SUBSTITUTE(SUBSTITUTE(SUBSTITUTE(SUBSTITUTE(SUBSTITUTE(SUBSTITUTE(SUBSTITUTE(TRIM($E942),"'",""),"İ","I"),"ı","I"),"i","I"),"Ş","S"),"ş","S"),"Ğ","G"),"ğ","G"),"Ü","U"),"ü","U"),"Ö","O"),"ö","O"),"Ç","C"),"ç","C"),".",""),",","")," ",""),"-","")))</f>
        <v/>
      </c>
    </row>
    <row r="943">
      <c r="A943" s="6" t="n"/>
      <c r="B943" s="113">
        <f>IF($E943="","","A"&amp;TEXT(ROW()-6,"00000"))</f>
        <v/>
      </c>
      <c r="C943" s="108" t="n"/>
      <c r="D943" s="113">
        <f>IF($E943="","",IFERROR(INDEX(MUSTERILER!$B$7:$B$106,MATCH($U943,MUSTERILER!$T$7:$T$106,0)),IFERROR(INDEX(MUSTERILER!$B$7:$B$106,MATCH($E943,MUSTERILER!$B$7:$B$106,0)),IFERROR(INDEX(MUSTERILER!$B$7:$B$106,MATCH($U943&amp;"*",MUSTERILER!$T$7:$T$106,0)),"TANIMSIZ MÜŞTERİ"))))</f>
        <v/>
      </c>
      <c r="E943" s="109" t="n"/>
      <c r="F943" s="109" t="n"/>
      <c r="G943" s="108" t="n"/>
      <c r="H943" s="220" t="n"/>
      <c r="I943" s="220" t="n"/>
      <c r="J943" s="108" t="n"/>
      <c r="K943" s="108" t="n"/>
      <c r="L943" s="109" t="n"/>
      <c r="M943" s="109" t="n"/>
      <c r="N943" s="109" t="n"/>
      <c r="O943" s="220" t="n"/>
      <c r="P943" s="227">
        <f>IF(OR($E943="",$I943=""),"",IF(OR($J943="Tamamlandı",$J943="İptal"),"",$I943-TODAY()))</f>
        <v/>
      </c>
      <c r="Q943" s="113">
        <f>IF($E943="","",IF($D943="TANIMSIZ MÜŞTERİ","HATA",IF(OR($J943="Tamamlandı",$J943="İptal"),"KAPALI",IF(AND($C943="Görüşme",$N943=""),"SONRAKİ İŞLEM EKSİK",IF($I943="","TARİH EKSİK",IF($I943&lt;TODAY(),"GECİKMİŞ",IF($I943=TODAY(),"BUGÜN",IF($I943&lt;=TODAY()+7,"7 GÜN İÇİNDE","PLANLI"))))))))</f>
        <v/>
      </c>
      <c r="R943" s="6" t="n"/>
      <c r="S943" s="6" t="n"/>
      <c r="T943" s="3" t="n"/>
      <c r="U943" s="3">
        <f>IF($E943="","",UPPER(SUBSTITUTE(SUBSTITUTE(SUBSTITUTE(SUBSTITUTE(SUBSTITUTE(SUBSTITUTE(SUBSTITUTE(SUBSTITUTE(SUBSTITUTE(SUBSTITUTE(SUBSTITUTE(SUBSTITUTE(SUBSTITUTE(SUBSTITUTE(SUBSTITUTE(SUBSTITUTE(SUBSTITUTE(SUBSTITUTE(TRIM($E943),"'",""),"İ","I"),"ı","I"),"i","I"),"Ş","S"),"ş","S"),"Ğ","G"),"ğ","G"),"Ü","U"),"ü","U"),"Ö","O"),"ö","O"),"Ç","C"),"ç","C"),".",""),",","")," ",""),"-","")))</f>
        <v/>
      </c>
    </row>
    <row r="944">
      <c r="A944" s="6" t="n"/>
      <c r="B944" s="113">
        <f>IF($E944="","","A"&amp;TEXT(ROW()-6,"00000"))</f>
        <v/>
      </c>
      <c r="C944" s="108" t="n"/>
      <c r="D944" s="113">
        <f>IF($E944="","",IFERROR(INDEX(MUSTERILER!$B$7:$B$106,MATCH($U944,MUSTERILER!$T$7:$T$106,0)),IFERROR(INDEX(MUSTERILER!$B$7:$B$106,MATCH($E944,MUSTERILER!$B$7:$B$106,0)),IFERROR(INDEX(MUSTERILER!$B$7:$B$106,MATCH($U944&amp;"*",MUSTERILER!$T$7:$T$106,0)),"TANIMSIZ MÜŞTERİ"))))</f>
        <v/>
      </c>
      <c r="E944" s="109" t="n"/>
      <c r="F944" s="109" t="n"/>
      <c r="G944" s="108" t="n"/>
      <c r="H944" s="220" t="n"/>
      <c r="I944" s="220" t="n"/>
      <c r="J944" s="108" t="n"/>
      <c r="K944" s="108" t="n"/>
      <c r="L944" s="109" t="n"/>
      <c r="M944" s="109" t="n"/>
      <c r="N944" s="109" t="n"/>
      <c r="O944" s="220" t="n"/>
      <c r="P944" s="227">
        <f>IF(OR($E944="",$I944=""),"",IF(OR($J944="Tamamlandı",$J944="İptal"),"",$I944-TODAY()))</f>
        <v/>
      </c>
      <c r="Q944" s="113">
        <f>IF($E944="","",IF($D944="TANIMSIZ MÜŞTERİ","HATA",IF(OR($J944="Tamamlandı",$J944="İptal"),"KAPALI",IF(AND($C944="Görüşme",$N944=""),"SONRAKİ İŞLEM EKSİK",IF($I944="","TARİH EKSİK",IF($I944&lt;TODAY(),"GECİKMİŞ",IF($I944=TODAY(),"BUGÜN",IF($I944&lt;=TODAY()+7,"7 GÜN İÇİNDE","PLANLI"))))))))</f>
        <v/>
      </c>
      <c r="R944" s="6" t="n"/>
      <c r="S944" s="6" t="n"/>
      <c r="T944" s="3" t="n"/>
      <c r="U944" s="3">
        <f>IF($E944="","",UPPER(SUBSTITUTE(SUBSTITUTE(SUBSTITUTE(SUBSTITUTE(SUBSTITUTE(SUBSTITUTE(SUBSTITUTE(SUBSTITUTE(SUBSTITUTE(SUBSTITUTE(SUBSTITUTE(SUBSTITUTE(SUBSTITUTE(SUBSTITUTE(SUBSTITUTE(SUBSTITUTE(SUBSTITUTE(SUBSTITUTE(TRIM($E944),"'",""),"İ","I"),"ı","I"),"i","I"),"Ş","S"),"ş","S"),"Ğ","G"),"ğ","G"),"Ü","U"),"ü","U"),"Ö","O"),"ö","O"),"Ç","C"),"ç","C"),".",""),",","")," ",""),"-","")))</f>
        <v/>
      </c>
    </row>
    <row r="945">
      <c r="A945" s="6" t="n"/>
      <c r="B945" s="113">
        <f>IF($E945="","","A"&amp;TEXT(ROW()-6,"00000"))</f>
        <v/>
      </c>
      <c r="C945" s="108" t="n"/>
      <c r="D945" s="113">
        <f>IF($E945="","",IFERROR(INDEX(MUSTERILER!$B$7:$B$106,MATCH($U945,MUSTERILER!$T$7:$T$106,0)),IFERROR(INDEX(MUSTERILER!$B$7:$B$106,MATCH($E945,MUSTERILER!$B$7:$B$106,0)),IFERROR(INDEX(MUSTERILER!$B$7:$B$106,MATCH($U945&amp;"*",MUSTERILER!$T$7:$T$106,0)),"TANIMSIZ MÜŞTERİ"))))</f>
        <v/>
      </c>
      <c r="E945" s="109" t="n"/>
      <c r="F945" s="109" t="n"/>
      <c r="G945" s="108" t="n"/>
      <c r="H945" s="220" t="n"/>
      <c r="I945" s="220" t="n"/>
      <c r="J945" s="108" t="n"/>
      <c r="K945" s="108" t="n"/>
      <c r="L945" s="109" t="n"/>
      <c r="M945" s="109" t="n"/>
      <c r="N945" s="109" t="n"/>
      <c r="O945" s="220" t="n"/>
      <c r="P945" s="227">
        <f>IF(OR($E945="",$I945=""),"",IF(OR($J945="Tamamlandı",$J945="İptal"),"",$I945-TODAY()))</f>
        <v/>
      </c>
      <c r="Q945" s="113">
        <f>IF($E945="","",IF($D945="TANIMSIZ MÜŞTERİ","HATA",IF(OR($J945="Tamamlandı",$J945="İptal"),"KAPALI",IF(AND($C945="Görüşme",$N945=""),"SONRAKİ İŞLEM EKSİK",IF($I945="","TARİH EKSİK",IF($I945&lt;TODAY(),"GECİKMİŞ",IF($I945=TODAY(),"BUGÜN",IF($I945&lt;=TODAY()+7,"7 GÜN İÇİNDE","PLANLI"))))))))</f>
        <v/>
      </c>
      <c r="R945" s="6" t="n"/>
      <c r="S945" s="6" t="n"/>
      <c r="T945" s="3" t="n"/>
      <c r="U945" s="3">
        <f>IF($E945="","",UPPER(SUBSTITUTE(SUBSTITUTE(SUBSTITUTE(SUBSTITUTE(SUBSTITUTE(SUBSTITUTE(SUBSTITUTE(SUBSTITUTE(SUBSTITUTE(SUBSTITUTE(SUBSTITUTE(SUBSTITUTE(SUBSTITUTE(SUBSTITUTE(SUBSTITUTE(SUBSTITUTE(SUBSTITUTE(SUBSTITUTE(TRIM($E945),"'",""),"İ","I"),"ı","I"),"i","I"),"Ş","S"),"ş","S"),"Ğ","G"),"ğ","G"),"Ü","U"),"ü","U"),"Ö","O"),"ö","O"),"Ç","C"),"ç","C"),".",""),",","")," ",""),"-","")))</f>
        <v/>
      </c>
    </row>
    <row r="946">
      <c r="A946" s="6" t="n"/>
      <c r="B946" s="113">
        <f>IF($E946="","","A"&amp;TEXT(ROW()-6,"00000"))</f>
        <v/>
      </c>
      <c r="C946" s="108" t="n"/>
      <c r="D946" s="113">
        <f>IF($E946="","",IFERROR(INDEX(MUSTERILER!$B$7:$B$106,MATCH($U946,MUSTERILER!$T$7:$T$106,0)),IFERROR(INDEX(MUSTERILER!$B$7:$B$106,MATCH($E946,MUSTERILER!$B$7:$B$106,0)),IFERROR(INDEX(MUSTERILER!$B$7:$B$106,MATCH($U946&amp;"*",MUSTERILER!$T$7:$T$106,0)),"TANIMSIZ MÜŞTERİ"))))</f>
        <v/>
      </c>
      <c r="E946" s="109" t="n"/>
      <c r="F946" s="109" t="n"/>
      <c r="G946" s="108" t="n"/>
      <c r="H946" s="220" t="n"/>
      <c r="I946" s="220" t="n"/>
      <c r="J946" s="108" t="n"/>
      <c r="K946" s="108" t="n"/>
      <c r="L946" s="109" t="n"/>
      <c r="M946" s="109" t="n"/>
      <c r="N946" s="109" t="n"/>
      <c r="O946" s="220" t="n"/>
      <c r="P946" s="227">
        <f>IF(OR($E946="",$I946=""),"",IF(OR($J946="Tamamlandı",$J946="İptal"),"",$I946-TODAY()))</f>
        <v/>
      </c>
      <c r="Q946" s="113">
        <f>IF($E946="","",IF($D946="TANIMSIZ MÜŞTERİ","HATA",IF(OR($J946="Tamamlandı",$J946="İptal"),"KAPALI",IF(AND($C946="Görüşme",$N946=""),"SONRAKİ İŞLEM EKSİK",IF($I946="","TARİH EKSİK",IF($I946&lt;TODAY(),"GECİKMİŞ",IF($I946=TODAY(),"BUGÜN",IF($I946&lt;=TODAY()+7,"7 GÜN İÇİNDE","PLANLI"))))))))</f>
        <v/>
      </c>
      <c r="R946" s="6" t="n"/>
      <c r="S946" s="6" t="n"/>
      <c r="T946" s="3" t="n"/>
      <c r="U946" s="3">
        <f>IF($E946="","",UPPER(SUBSTITUTE(SUBSTITUTE(SUBSTITUTE(SUBSTITUTE(SUBSTITUTE(SUBSTITUTE(SUBSTITUTE(SUBSTITUTE(SUBSTITUTE(SUBSTITUTE(SUBSTITUTE(SUBSTITUTE(SUBSTITUTE(SUBSTITUTE(SUBSTITUTE(SUBSTITUTE(SUBSTITUTE(SUBSTITUTE(TRIM($E946),"'",""),"İ","I"),"ı","I"),"i","I"),"Ş","S"),"ş","S"),"Ğ","G"),"ğ","G"),"Ü","U"),"ü","U"),"Ö","O"),"ö","O"),"Ç","C"),"ç","C"),".",""),",","")," ",""),"-","")))</f>
        <v/>
      </c>
    </row>
    <row r="947">
      <c r="A947" s="6" t="n"/>
      <c r="B947" s="113">
        <f>IF($E947="","","A"&amp;TEXT(ROW()-6,"00000"))</f>
        <v/>
      </c>
      <c r="C947" s="108" t="n"/>
      <c r="D947" s="113">
        <f>IF($E947="","",IFERROR(INDEX(MUSTERILER!$B$7:$B$106,MATCH($U947,MUSTERILER!$T$7:$T$106,0)),IFERROR(INDEX(MUSTERILER!$B$7:$B$106,MATCH($E947,MUSTERILER!$B$7:$B$106,0)),IFERROR(INDEX(MUSTERILER!$B$7:$B$106,MATCH($U947&amp;"*",MUSTERILER!$T$7:$T$106,0)),"TANIMSIZ MÜŞTERİ"))))</f>
        <v/>
      </c>
      <c r="E947" s="109" t="n"/>
      <c r="F947" s="109" t="n"/>
      <c r="G947" s="108" t="n"/>
      <c r="H947" s="220" t="n"/>
      <c r="I947" s="220" t="n"/>
      <c r="J947" s="108" t="n"/>
      <c r="K947" s="108" t="n"/>
      <c r="L947" s="109" t="n"/>
      <c r="M947" s="109" t="n"/>
      <c r="N947" s="109" t="n"/>
      <c r="O947" s="220" t="n"/>
      <c r="P947" s="227">
        <f>IF(OR($E947="",$I947=""),"",IF(OR($J947="Tamamlandı",$J947="İptal"),"",$I947-TODAY()))</f>
        <v/>
      </c>
      <c r="Q947" s="113">
        <f>IF($E947="","",IF($D947="TANIMSIZ MÜŞTERİ","HATA",IF(OR($J947="Tamamlandı",$J947="İptal"),"KAPALI",IF(AND($C947="Görüşme",$N947=""),"SONRAKİ İŞLEM EKSİK",IF($I947="","TARİH EKSİK",IF($I947&lt;TODAY(),"GECİKMİŞ",IF($I947=TODAY(),"BUGÜN",IF($I947&lt;=TODAY()+7,"7 GÜN İÇİNDE","PLANLI"))))))))</f>
        <v/>
      </c>
      <c r="R947" s="6" t="n"/>
      <c r="S947" s="6" t="n"/>
      <c r="T947" s="3" t="n"/>
      <c r="U947" s="3">
        <f>IF($E947="","",UPPER(SUBSTITUTE(SUBSTITUTE(SUBSTITUTE(SUBSTITUTE(SUBSTITUTE(SUBSTITUTE(SUBSTITUTE(SUBSTITUTE(SUBSTITUTE(SUBSTITUTE(SUBSTITUTE(SUBSTITUTE(SUBSTITUTE(SUBSTITUTE(SUBSTITUTE(SUBSTITUTE(SUBSTITUTE(SUBSTITUTE(TRIM($E947),"'",""),"İ","I"),"ı","I"),"i","I"),"Ş","S"),"ş","S"),"Ğ","G"),"ğ","G"),"Ü","U"),"ü","U"),"Ö","O"),"ö","O"),"Ç","C"),"ç","C"),".",""),",","")," ",""),"-","")))</f>
        <v/>
      </c>
    </row>
    <row r="948">
      <c r="A948" s="6" t="n"/>
      <c r="B948" s="113">
        <f>IF($E948="","","A"&amp;TEXT(ROW()-6,"00000"))</f>
        <v/>
      </c>
      <c r="C948" s="108" t="n"/>
      <c r="D948" s="113">
        <f>IF($E948="","",IFERROR(INDEX(MUSTERILER!$B$7:$B$106,MATCH($U948,MUSTERILER!$T$7:$T$106,0)),IFERROR(INDEX(MUSTERILER!$B$7:$B$106,MATCH($E948,MUSTERILER!$B$7:$B$106,0)),IFERROR(INDEX(MUSTERILER!$B$7:$B$106,MATCH($U948&amp;"*",MUSTERILER!$T$7:$T$106,0)),"TANIMSIZ MÜŞTERİ"))))</f>
        <v/>
      </c>
      <c r="E948" s="109" t="n"/>
      <c r="F948" s="109" t="n"/>
      <c r="G948" s="108" t="n"/>
      <c r="H948" s="220" t="n"/>
      <c r="I948" s="220" t="n"/>
      <c r="J948" s="108" t="n"/>
      <c r="K948" s="108" t="n"/>
      <c r="L948" s="109" t="n"/>
      <c r="M948" s="109" t="n"/>
      <c r="N948" s="109" t="n"/>
      <c r="O948" s="220" t="n"/>
      <c r="P948" s="227">
        <f>IF(OR($E948="",$I948=""),"",IF(OR($J948="Tamamlandı",$J948="İptal"),"",$I948-TODAY()))</f>
        <v/>
      </c>
      <c r="Q948" s="113">
        <f>IF($E948="","",IF($D948="TANIMSIZ MÜŞTERİ","HATA",IF(OR($J948="Tamamlandı",$J948="İptal"),"KAPALI",IF(AND($C948="Görüşme",$N948=""),"SONRAKİ İŞLEM EKSİK",IF($I948="","TARİH EKSİK",IF($I948&lt;TODAY(),"GECİKMİŞ",IF($I948=TODAY(),"BUGÜN",IF($I948&lt;=TODAY()+7,"7 GÜN İÇİNDE","PLANLI"))))))))</f>
        <v/>
      </c>
      <c r="R948" s="6" t="n"/>
      <c r="S948" s="6" t="n"/>
      <c r="T948" s="3" t="n"/>
      <c r="U948" s="3">
        <f>IF($E948="","",UPPER(SUBSTITUTE(SUBSTITUTE(SUBSTITUTE(SUBSTITUTE(SUBSTITUTE(SUBSTITUTE(SUBSTITUTE(SUBSTITUTE(SUBSTITUTE(SUBSTITUTE(SUBSTITUTE(SUBSTITUTE(SUBSTITUTE(SUBSTITUTE(SUBSTITUTE(SUBSTITUTE(SUBSTITUTE(SUBSTITUTE(TRIM($E948),"'",""),"İ","I"),"ı","I"),"i","I"),"Ş","S"),"ş","S"),"Ğ","G"),"ğ","G"),"Ü","U"),"ü","U"),"Ö","O"),"ö","O"),"Ç","C"),"ç","C"),".",""),",","")," ",""),"-","")))</f>
        <v/>
      </c>
    </row>
    <row r="949">
      <c r="A949" s="6" t="n"/>
      <c r="B949" s="113">
        <f>IF($E949="","","A"&amp;TEXT(ROW()-6,"00000"))</f>
        <v/>
      </c>
      <c r="C949" s="108" t="n"/>
      <c r="D949" s="113">
        <f>IF($E949="","",IFERROR(INDEX(MUSTERILER!$B$7:$B$106,MATCH($U949,MUSTERILER!$T$7:$T$106,0)),IFERROR(INDEX(MUSTERILER!$B$7:$B$106,MATCH($E949,MUSTERILER!$B$7:$B$106,0)),IFERROR(INDEX(MUSTERILER!$B$7:$B$106,MATCH($U949&amp;"*",MUSTERILER!$T$7:$T$106,0)),"TANIMSIZ MÜŞTERİ"))))</f>
        <v/>
      </c>
      <c r="E949" s="109" t="n"/>
      <c r="F949" s="109" t="n"/>
      <c r="G949" s="108" t="n"/>
      <c r="H949" s="220" t="n"/>
      <c r="I949" s="220" t="n"/>
      <c r="J949" s="108" t="n"/>
      <c r="K949" s="108" t="n"/>
      <c r="L949" s="109" t="n"/>
      <c r="M949" s="109" t="n"/>
      <c r="N949" s="109" t="n"/>
      <c r="O949" s="220" t="n"/>
      <c r="P949" s="227">
        <f>IF(OR($E949="",$I949=""),"",IF(OR($J949="Tamamlandı",$J949="İptal"),"",$I949-TODAY()))</f>
        <v/>
      </c>
      <c r="Q949" s="113">
        <f>IF($E949="","",IF($D949="TANIMSIZ MÜŞTERİ","HATA",IF(OR($J949="Tamamlandı",$J949="İptal"),"KAPALI",IF(AND($C949="Görüşme",$N949=""),"SONRAKİ İŞLEM EKSİK",IF($I949="","TARİH EKSİK",IF($I949&lt;TODAY(),"GECİKMİŞ",IF($I949=TODAY(),"BUGÜN",IF($I949&lt;=TODAY()+7,"7 GÜN İÇİNDE","PLANLI"))))))))</f>
        <v/>
      </c>
      <c r="R949" s="6" t="n"/>
      <c r="S949" s="6" t="n"/>
      <c r="T949" s="3" t="n"/>
      <c r="U949" s="3">
        <f>IF($E949="","",UPPER(SUBSTITUTE(SUBSTITUTE(SUBSTITUTE(SUBSTITUTE(SUBSTITUTE(SUBSTITUTE(SUBSTITUTE(SUBSTITUTE(SUBSTITUTE(SUBSTITUTE(SUBSTITUTE(SUBSTITUTE(SUBSTITUTE(SUBSTITUTE(SUBSTITUTE(SUBSTITUTE(SUBSTITUTE(SUBSTITUTE(TRIM($E949),"'",""),"İ","I"),"ı","I"),"i","I"),"Ş","S"),"ş","S"),"Ğ","G"),"ğ","G"),"Ü","U"),"ü","U"),"Ö","O"),"ö","O"),"Ç","C"),"ç","C"),".",""),",","")," ",""),"-","")))</f>
        <v/>
      </c>
    </row>
    <row r="950">
      <c r="A950" s="6" t="n"/>
      <c r="B950" s="113">
        <f>IF($E950="","","A"&amp;TEXT(ROW()-6,"00000"))</f>
        <v/>
      </c>
      <c r="C950" s="108" t="n"/>
      <c r="D950" s="113">
        <f>IF($E950="","",IFERROR(INDEX(MUSTERILER!$B$7:$B$106,MATCH($U950,MUSTERILER!$T$7:$T$106,0)),IFERROR(INDEX(MUSTERILER!$B$7:$B$106,MATCH($E950,MUSTERILER!$B$7:$B$106,0)),IFERROR(INDEX(MUSTERILER!$B$7:$B$106,MATCH($U950&amp;"*",MUSTERILER!$T$7:$T$106,0)),"TANIMSIZ MÜŞTERİ"))))</f>
        <v/>
      </c>
      <c r="E950" s="109" t="n"/>
      <c r="F950" s="109" t="n"/>
      <c r="G950" s="108" t="n"/>
      <c r="H950" s="220" t="n"/>
      <c r="I950" s="220" t="n"/>
      <c r="J950" s="108" t="n"/>
      <c r="K950" s="108" t="n"/>
      <c r="L950" s="109" t="n"/>
      <c r="M950" s="109" t="n"/>
      <c r="N950" s="109" t="n"/>
      <c r="O950" s="220" t="n"/>
      <c r="P950" s="227">
        <f>IF(OR($E950="",$I950=""),"",IF(OR($J950="Tamamlandı",$J950="İptal"),"",$I950-TODAY()))</f>
        <v/>
      </c>
      <c r="Q950" s="113">
        <f>IF($E950="","",IF($D950="TANIMSIZ MÜŞTERİ","HATA",IF(OR($J950="Tamamlandı",$J950="İptal"),"KAPALI",IF(AND($C950="Görüşme",$N950=""),"SONRAKİ İŞLEM EKSİK",IF($I950="","TARİH EKSİK",IF($I950&lt;TODAY(),"GECİKMİŞ",IF($I950=TODAY(),"BUGÜN",IF($I950&lt;=TODAY()+7,"7 GÜN İÇİNDE","PLANLI"))))))))</f>
        <v/>
      </c>
      <c r="R950" s="6" t="n"/>
      <c r="S950" s="6" t="n"/>
      <c r="T950" s="3" t="n"/>
      <c r="U950" s="3">
        <f>IF($E950="","",UPPER(SUBSTITUTE(SUBSTITUTE(SUBSTITUTE(SUBSTITUTE(SUBSTITUTE(SUBSTITUTE(SUBSTITUTE(SUBSTITUTE(SUBSTITUTE(SUBSTITUTE(SUBSTITUTE(SUBSTITUTE(SUBSTITUTE(SUBSTITUTE(SUBSTITUTE(SUBSTITUTE(SUBSTITUTE(SUBSTITUTE(TRIM($E950),"'",""),"İ","I"),"ı","I"),"i","I"),"Ş","S"),"ş","S"),"Ğ","G"),"ğ","G"),"Ü","U"),"ü","U"),"Ö","O"),"ö","O"),"Ç","C"),"ç","C"),".",""),",","")," ",""),"-","")))</f>
        <v/>
      </c>
    </row>
    <row r="951">
      <c r="A951" s="6" t="n"/>
      <c r="B951" s="113">
        <f>IF($E951="","","A"&amp;TEXT(ROW()-6,"00000"))</f>
        <v/>
      </c>
      <c r="C951" s="108" t="n"/>
      <c r="D951" s="113">
        <f>IF($E951="","",IFERROR(INDEX(MUSTERILER!$B$7:$B$106,MATCH($U951,MUSTERILER!$T$7:$T$106,0)),IFERROR(INDEX(MUSTERILER!$B$7:$B$106,MATCH($E951,MUSTERILER!$B$7:$B$106,0)),IFERROR(INDEX(MUSTERILER!$B$7:$B$106,MATCH($U951&amp;"*",MUSTERILER!$T$7:$T$106,0)),"TANIMSIZ MÜŞTERİ"))))</f>
        <v/>
      </c>
      <c r="E951" s="109" t="n"/>
      <c r="F951" s="109" t="n"/>
      <c r="G951" s="108" t="n"/>
      <c r="H951" s="220" t="n"/>
      <c r="I951" s="220" t="n"/>
      <c r="J951" s="108" t="n"/>
      <c r="K951" s="108" t="n"/>
      <c r="L951" s="109" t="n"/>
      <c r="M951" s="109" t="n"/>
      <c r="N951" s="109" t="n"/>
      <c r="O951" s="220" t="n"/>
      <c r="P951" s="227">
        <f>IF(OR($E951="",$I951=""),"",IF(OR($J951="Tamamlandı",$J951="İptal"),"",$I951-TODAY()))</f>
        <v/>
      </c>
      <c r="Q951" s="113">
        <f>IF($E951="","",IF($D951="TANIMSIZ MÜŞTERİ","HATA",IF(OR($J951="Tamamlandı",$J951="İptal"),"KAPALI",IF(AND($C951="Görüşme",$N951=""),"SONRAKİ İŞLEM EKSİK",IF($I951="","TARİH EKSİK",IF($I951&lt;TODAY(),"GECİKMİŞ",IF($I951=TODAY(),"BUGÜN",IF($I951&lt;=TODAY()+7,"7 GÜN İÇİNDE","PLANLI"))))))))</f>
        <v/>
      </c>
      <c r="R951" s="6" t="n"/>
      <c r="S951" s="6" t="n"/>
      <c r="T951" s="3" t="n"/>
      <c r="U951" s="3">
        <f>IF($E951="","",UPPER(SUBSTITUTE(SUBSTITUTE(SUBSTITUTE(SUBSTITUTE(SUBSTITUTE(SUBSTITUTE(SUBSTITUTE(SUBSTITUTE(SUBSTITUTE(SUBSTITUTE(SUBSTITUTE(SUBSTITUTE(SUBSTITUTE(SUBSTITUTE(SUBSTITUTE(SUBSTITUTE(SUBSTITUTE(SUBSTITUTE(TRIM($E951),"'",""),"İ","I"),"ı","I"),"i","I"),"Ş","S"),"ş","S"),"Ğ","G"),"ğ","G"),"Ü","U"),"ü","U"),"Ö","O"),"ö","O"),"Ç","C"),"ç","C"),".",""),",","")," ",""),"-","")))</f>
        <v/>
      </c>
    </row>
    <row r="952">
      <c r="A952" s="6" t="n"/>
      <c r="B952" s="113">
        <f>IF($E952="","","A"&amp;TEXT(ROW()-6,"00000"))</f>
        <v/>
      </c>
      <c r="C952" s="108" t="n"/>
      <c r="D952" s="113">
        <f>IF($E952="","",IFERROR(INDEX(MUSTERILER!$B$7:$B$106,MATCH($U952,MUSTERILER!$T$7:$T$106,0)),IFERROR(INDEX(MUSTERILER!$B$7:$B$106,MATCH($E952,MUSTERILER!$B$7:$B$106,0)),IFERROR(INDEX(MUSTERILER!$B$7:$B$106,MATCH($U952&amp;"*",MUSTERILER!$T$7:$T$106,0)),"TANIMSIZ MÜŞTERİ"))))</f>
        <v/>
      </c>
      <c r="E952" s="109" t="n"/>
      <c r="F952" s="109" t="n"/>
      <c r="G952" s="108" t="n"/>
      <c r="H952" s="220" t="n"/>
      <c r="I952" s="220" t="n"/>
      <c r="J952" s="108" t="n"/>
      <c r="K952" s="108" t="n"/>
      <c r="L952" s="109" t="n"/>
      <c r="M952" s="109" t="n"/>
      <c r="N952" s="109" t="n"/>
      <c r="O952" s="220" t="n"/>
      <c r="P952" s="227">
        <f>IF(OR($E952="",$I952=""),"",IF(OR($J952="Tamamlandı",$J952="İptal"),"",$I952-TODAY()))</f>
        <v/>
      </c>
      <c r="Q952" s="113">
        <f>IF($E952="","",IF($D952="TANIMSIZ MÜŞTERİ","HATA",IF(OR($J952="Tamamlandı",$J952="İptal"),"KAPALI",IF(AND($C952="Görüşme",$N952=""),"SONRAKİ İŞLEM EKSİK",IF($I952="","TARİH EKSİK",IF($I952&lt;TODAY(),"GECİKMİŞ",IF($I952=TODAY(),"BUGÜN",IF($I952&lt;=TODAY()+7,"7 GÜN İÇİNDE","PLANLI"))))))))</f>
        <v/>
      </c>
      <c r="R952" s="6" t="n"/>
      <c r="S952" s="6" t="n"/>
      <c r="T952" s="3" t="n"/>
      <c r="U952" s="3">
        <f>IF($E952="","",UPPER(SUBSTITUTE(SUBSTITUTE(SUBSTITUTE(SUBSTITUTE(SUBSTITUTE(SUBSTITUTE(SUBSTITUTE(SUBSTITUTE(SUBSTITUTE(SUBSTITUTE(SUBSTITUTE(SUBSTITUTE(SUBSTITUTE(SUBSTITUTE(SUBSTITUTE(SUBSTITUTE(SUBSTITUTE(SUBSTITUTE(TRIM($E952),"'",""),"İ","I"),"ı","I"),"i","I"),"Ş","S"),"ş","S"),"Ğ","G"),"ğ","G"),"Ü","U"),"ü","U"),"Ö","O"),"ö","O"),"Ç","C"),"ç","C"),".",""),",","")," ",""),"-","")))</f>
        <v/>
      </c>
    </row>
    <row r="953">
      <c r="A953" s="6" t="n"/>
      <c r="B953" s="113">
        <f>IF($E953="","","A"&amp;TEXT(ROW()-6,"00000"))</f>
        <v/>
      </c>
      <c r="C953" s="108" t="n"/>
      <c r="D953" s="113">
        <f>IF($E953="","",IFERROR(INDEX(MUSTERILER!$B$7:$B$106,MATCH($U953,MUSTERILER!$T$7:$T$106,0)),IFERROR(INDEX(MUSTERILER!$B$7:$B$106,MATCH($E953,MUSTERILER!$B$7:$B$106,0)),IFERROR(INDEX(MUSTERILER!$B$7:$B$106,MATCH($U953&amp;"*",MUSTERILER!$T$7:$T$106,0)),"TANIMSIZ MÜŞTERİ"))))</f>
        <v/>
      </c>
      <c r="E953" s="109" t="n"/>
      <c r="F953" s="109" t="n"/>
      <c r="G953" s="108" t="n"/>
      <c r="H953" s="220" t="n"/>
      <c r="I953" s="220" t="n"/>
      <c r="J953" s="108" t="n"/>
      <c r="K953" s="108" t="n"/>
      <c r="L953" s="109" t="n"/>
      <c r="M953" s="109" t="n"/>
      <c r="N953" s="109" t="n"/>
      <c r="O953" s="220" t="n"/>
      <c r="P953" s="227">
        <f>IF(OR($E953="",$I953=""),"",IF(OR($J953="Tamamlandı",$J953="İptal"),"",$I953-TODAY()))</f>
        <v/>
      </c>
      <c r="Q953" s="113">
        <f>IF($E953="","",IF($D953="TANIMSIZ MÜŞTERİ","HATA",IF(OR($J953="Tamamlandı",$J953="İptal"),"KAPALI",IF(AND($C953="Görüşme",$N953=""),"SONRAKİ İŞLEM EKSİK",IF($I953="","TARİH EKSİK",IF($I953&lt;TODAY(),"GECİKMİŞ",IF($I953=TODAY(),"BUGÜN",IF($I953&lt;=TODAY()+7,"7 GÜN İÇİNDE","PLANLI"))))))))</f>
        <v/>
      </c>
      <c r="R953" s="6" t="n"/>
      <c r="S953" s="6" t="n"/>
      <c r="T953" s="3" t="n"/>
      <c r="U953" s="3">
        <f>IF($E953="","",UPPER(SUBSTITUTE(SUBSTITUTE(SUBSTITUTE(SUBSTITUTE(SUBSTITUTE(SUBSTITUTE(SUBSTITUTE(SUBSTITUTE(SUBSTITUTE(SUBSTITUTE(SUBSTITUTE(SUBSTITUTE(SUBSTITUTE(SUBSTITUTE(SUBSTITUTE(SUBSTITUTE(SUBSTITUTE(SUBSTITUTE(TRIM($E953),"'",""),"İ","I"),"ı","I"),"i","I"),"Ş","S"),"ş","S"),"Ğ","G"),"ğ","G"),"Ü","U"),"ü","U"),"Ö","O"),"ö","O"),"Ç","C"),"ç","C"),".",""),",","")," ",""),"-","")))</f>
        <v/>
      </c>
    </row>
    <row r="954">
      <c r="A954" s="6" t="n"/>
      <c r="B954" s="113">
        <f>IF($E954="","","A"&amp;TEXT(ROW()-6,"00000"))</f>
        <v/>
      </c>
      <c r="C954" s="108" t="n"/>
      <c r="D954" s="113">
        <f>IF($E954="","",IFERROR(INDEX(MUSTERILER!$B$7:$B$106,MATCH($U954,MUSTERILER!$T$7:$T$106,0)),IFERROR(INDEX(MUSTERILER!$B$7:$B$106,MATCH($E954,MUSTERILER!$B$7:$B$106,0)),IFERROR(INDEX(MUSTERILER!$B$7:$B$106,MATCH($U954&amp;"*",MUSTERILER!$T$7:$T$106,0)),"TANIMSIZ MÜŞTERİ"))))</f>
        <v/>
      </c>
      <c r="E954" s="109" t="n"/>
      <c r="F954" s="109" t="n"/>
      <c r="G954" s="108" t="n"/>
      <c r="H954" s="220" t="n"/>
      <c r="I954" s="220" t="n"/>
      <c r="J954" s="108" t="n"/>
      <c r="K954" s="108" t="n"/>
      <c r="L954" s="109" t="n"/>
      <c r="M954" s="109" t="n"/>
      <c r="N954" s="109" t="n"/>
      <c r="O954" s="220" t="n"/>
      <c r="P954" s="227">
        <f>IF(OR($E954="",$I954=""),"",IF(OR($J954="Tamamlandı",$J954="İptal"),"",$I954-TODAY()))</f>
        <v/>
      </c>
      <c r="Q954" s="113">
        <f>IF($E954="","",IF($D954="TANIMSIZ MÜŞTERİ","HATA",IF(OR($J954="Tamamlandı",$J954="İptal"),"KAPALI",IF(AND($C954="Görüşme",$N954=""),"SONRAKİ İŞLEM EKSİK",IF($I954="","TARİH EKSİK",IF($I954&lt;TODAY(),"GECİKMİŞ",IF($I954=TODAY(),"BUGÜN",IF($I954&lt;=TODAY()+7,"7 GÜN İÇİNDE","PLANLI"))))))))</f>
        <v/>
      </c>
      <c r="R954" s="6" t="n"/>
      <c r="S954" s="6" t="n"/>
      <c r="T954" s="3" t="n"/>
      <c r="U954" s="3">
        <f>IF($E954="","",UPPER(SUBSTITUTE(SUBSTITUTE(SUBSTITUTE(SUBSTITUTE(SUBSTITUTE(SUBSTITUTE(SUBSTITUTE(SUBSTITUTE(SUBSTITUTE(SUBSTITUTE(SUBSTITUTE(SUBSTITUTE(SUBSTITUTE(SUBSTITUTE(SUBSTITUTE(SUBSTITUTE(SUBSTITUTE(SUBSTITUTE(TRIM($E954),"'",""),"İ","I"),"ı","I"),"i","I"),"Ş","S"),"ş","S"),"Ğ","G"),"ğ","G"),"Ü","U"),"ü","U"),"Ö","O"),"ö","O"),"Ç","C"),"ç","C"),".",""),",","")," ",""),"-","")))</f>
        <v/>
      </c>
    </row>
    <row r="955">
      <c r="A955" s="6" t="n"/>
      <c r="B955" s="113">
        <f>IF($E955="","","A"&amp;TEXT(ROW()-6,"00000"))</f>
        <v/>
      </c>
      <c r="C955" s="108" t="n"/>
      <c r="D955" s="113">
        <f>IF($E955="","",IFERROR(INDEX(MUSTERILER!$B$7:$B$106,MATCH($U955,MUSTERILER!$T$7:$T$106,0)),IFERROR(INDEX(MUSTERILER!$B$7:$B$106,MATCH($E955,MUSTERILER!$B$7:$B$106,0)),IFERROR(INDEX(MUSTERILER!$B$7:$B$106,MATCH($U955&amp;"*",MUSTERILER!$T$7:$T$106,0)),"TANIMSIZ MÜŞTERİ"))))</f>
        <v/>
      </c>
      <c r="E955" s="109" t="n"/>
      <c r="F955" s="109" t="n"/>
      <c r="G955" s="108" t="n"/>
      <c r="H955" s="220" t="n"/>
      <c r="I955" s="220" t="n"/>
      <c r="J955" s="108" t="n"/>
      <c r="K955" s="108" t="n"/>
      <c r="L955" s="109" t="n"/>
      <c r="M955" s="109" t="n"/>
      <c r="N955" s="109" t="n"/>
      <c r="O955" s="220" t="n"/>
      <c r="P955" s="227">
        <f>IF(OR($E955="",$I955=""),"",IF(OR($J955="Tamamlandı",$J955="İptal"),"",$I955-TODAY()))</f>
        <v/>
      </c>
      <c r="Q955" s="113">
        <f>IF($E955="","",IF($D955="TANIMSIZ MÜŞTERİ","HATA",IF(OR($J955="Tamamlandı",$J955="İptal"),"KAPALI",IF(AND($C955="Görüşme",$N955=""),"SONRAKİ İŞLEM EKSİK",IF($I955="","TARİH EKSİK",IF($I955&lt;TODAY(),"GECİKMİŞ",IF($I955=TODAY(),"BUGÜN",IF($I955&lt;=TODAY()+7,"7 GÜN İÇİNDE","PLANLI"))))))))</f>
        <v/>
      </c>
      <c r="R955" s="6" t="n"/>
      <c r="S955" s="6" t="n"/>
      <c r="T955" s="3" t="n"/>
      <c r="U955" s="3">
        <f>IF($E955="","",UPPER(SUBSTITUTE(SUBSTITUTE(SUBSTITUTE(SUBSTITUTE(SUBSTITUTE(SUBSTITUTE(SUBSTITUTE(SUBSTITUTE(SUBSTITUTE(SUBSTITUTE(SUBSTITUTE(SUBSTITUTE(SUBSTITUTE(SUBSTITUTE(SUBSTITUTE(SUBSTITUTE(SUBSTITUTE(SUBSTITUTE(TRIM($E955),"'",""),"İ","I"),"ı","I"),"i","I"),"Ş","S"),"ş","S"),"Ğ","G"),"ğ","G"),"Ü","U"),"ü","U"),"Ö","O"),"ö","O"),"Ç","C"),"ç","C"),".",""),",","")," ",""),"-","")))</f>
        <v/>
      </c>
    </row>
    <row r="956">
      <c r="A956" s="6" t="n"/>
      <c r="B956" s="113">
        <f>IF($E956="","","A"&amp;TEXT(ROW()-6,"00000"))</f>
        <v/>
      </c>
      <c r="C956" s="108" t="n"/>
      <c r="D956" s="113">
        <f>IF($E956="","",IFERROR(INDEX(MUSTERILER!$B$7:$B$106,MATCH($U956,MUSTERILER!$T$7:$T$106,0)),IFERROR(INDEX(MUSTERILER!$B$7:$B$106,MATCH($E956,MUSTERILER!$B$7:$B$106,0)),IFERROR(INDEX(MUSTERILER!$B$7:$B$106,MATCH($U956&amp;"*",MUSTERILER!$T$7:$T$106,0)),"TANIMSIZ MÜŞTERİ"))))</f>
        <v/>
      </c>
      <c r="E956" s="109" t="n"/>
      <c r="F956" s="109" t="n"/>
      <c r="G956" s="108" t="n"/>
      <c r="H956" s="220" t="n"/>
      <c r="I956" s="220" t="n"/>
      <c r="J956" s="108" t="n"/>
      <c r="K956" s="108" t="n"/>
      <c r="L956" s="109" t="n"/>
      <c r="M956" s="109" t="n"/>
      <c r="N956" s="109" t="n"/>
      <c r="O956" s="220" t="n"/>
      <c r="P956" s="227">
        <f>IF(OR($E956="",$I956=""),"",IF(OR($J956="Tamamlandı",$J956="İptal"),"",$I956-TODAY()))</f>
        <v/>
      </c>
      <c r="Q956" s="113">
        <f>IF($E956="","",IF($D956="TANIMSIZ MÜŞTERİ","HATA",IF(OR($J956="Tamamlandı",$J956="İptal"),"KAPALI",IF(AND($C956="Görüşme",$N956=""),"SONRAKİ İŞLEM EKSİK",IF($I956="","TARİH EKSİK",IF($I956&lt;TODAY(),"GECİKMİŞ",IF($I956=TODAY(),"BUGÜN",IF($I956&lt;=TODAY()+7,"7 GÜN İÇİNDE","PLANLI"))))))))</f>
        <v/>
      </c>
      <c r="R956" s="6" t="n"/>
      <c r="S956" s="6" t="n"/>
      <c r="T956" s="3" t="n"/>
      <c r="U956" s="3">
        <f>IF($E956="","",UPPER(SUBSTITUTE(SUBSTITUTE(SUBSTITUTE(SUBSTITUTE(SUBSTITUTE(SUBSTITUTE(SUBSTITUTE(SUBSTITUTE(SUBSTITUTE(SUBSTITUTE(SUBSTITUTE(SUBSTITUTE(SUBSTITUTE(SUBSTITUTE(SUBSTITUTE(SUBSTITUTE(SUBSTITUTE(SUBSTITUTE(TRIM($E956),"'",""),"İ","I"),"ı","I"),"i","I"),"Ş","S"),"ş","S"),"Ğ","G"),"ğ","G"),"Ü","U"),"ü","U"),"Ö","O"),"ö","O"),"Ç","C"),"ç","C"),".",""),",","")," ",""),"-","")))</f>
        <v/>
      </c>
    </row>
    <row r="957">
      <c r="A957" s="6" t="n"/>
      <c r="B957" s="113">
        <f>IF($E957="","","A"&amp;TEXT(ROW()-6,"00000"))</f>
        <v/>
      </c>
      <c r="C957" s="108" t="n"/>
      <c r="D957" s="113">
        <f>IF($E957="","",IFERROR(INDEX(MUSTERILER!$B$7:$B$106,MATCH($U957,MUSTERILER!$T$7:$T$106,0)),IFERROR(INDEX(MUSTERILER!$B$7:$B$106,MATCH($E957,MUSTERILER!$B$7:$B$106,0)),IFERROR(INDEX(MUSTERILER!$B$7:$B$106,MATCH($U957&amp;"*",MUSTERILER!$T$7:$T$106,0)),"TANIMSIZ MÜŞTERİ"))))</f>
        <v/>
      </c>
      <c r="E957" s="109" t="n"/>
      <c r="F957" s="109" t="n"/>
      <c r="G957" s="108" t="n"/>
      <c r="H957" s="220" t="n"/>
      <c r="I957" s="220" t="n"/>
      <c r="J957" s="108" t="n"/>
      <c r="K957" s="108" t="n"/>
      <c r="L957" s="109" t="n"/>
      <c r="M957" s="109" t="n"/>
      <c r="N957" s="109" t="n"/>
      <c r="O957" s="220" t="n"/>
      <c r="P957" s="227">
        <f>IF(OR($E957="",$I957=""),"",IF(OR($J957="Tamamlandı",$J957="İptal"),"",$I957-TODAY()))</f>
        <v/>
      </c>
      <c r="Q957" s="113">
        <f>IF($E957="","",IF($D957="TANIMSIZ MÜŞTERİ","HATA",IF(OR($J957="Tamamlandı",$J957="İptal"),"KAPALI",IF(AND($C957="Görüşme",$N957=""),"SONRAKİ İŞLEM EKSİK",IF($I957="","TARİH EKSİK",IF($I957&lt;TODAY(),"GECİKMİŞ",IF($I957=TODAY(),"BUGÜN",IF($I957&lt;=TODAY()+7,"7 GÜN İÇİNDE","PLANLI"))))))))</f>
        <v/>
      </c>
      <c r="R957" s="6" t="n"/>
      <c r="S957" s="6" t="n"/>
      <c r="T957" s="3" t="n"/>
      <c r="U957" s="3">
        <f>IF($E957="","",UPPER(SUBSTITUTE(SUBSTITUTE(SUBSTITUTE(SUBSTITUTE(SUBSTITUTE(SUBSTITUTE(SUBSTITUTE(SUBSTITUTE(SUBSTITUTE(SUBSTITUTE(SUBSTITUTE(SUBSTITUTE(SUBSTITUTE(SUBSTITUTE(SUBSTITUTE(SUBSTITUTE(SUBSTITUTE(SUBSTITUTE(TRIM($E957),"'",""),"İ","I"),"ı","I"),"i","I"),"Ş","S"),"ş","S"),"Ğ","G"),"ğ","G"),"Ü","U"),"ü","U"),"Ö","O"),"ö","O"),"Ç","C"),"ç","C"),".",""),",","")," ",""),"-","")))</f>
        <v/>
      </c>
    </row>
    <row r="958">
      <c r="A958" s="6" t="n"/>
      <c r="B958" s="113">
        <f>IF($E958="","","A"&amp;TEXT(ROW()-6,"00000"))</f>
        <v/>
      </c>
      <c r="C958" s="108" t="n"/>
      <c r="D958" s="113">
        <f>IF($E958="","",IFERROR(INDEX(MUSTERILER!$B$7:$B$106,MATCH($U958,MUSTERILER!$T$7:$T$106,0)),IFERROR(INDEX(MUSTERILER!$B$7:$B$106,MATCH($E958,MUSTERILER!$B$7:$B$106,0)),IFERROR(INDEX(MUSTERILER!$B$7:$B$106,MATCH($U958&amp;"*",MUSTERILER!$T$7:$T$106,0)),"TANIMSIZ MÜŞTERİ"))))</f>
        <v/>
      </c>
      <c r="E958" s="109" t="n"/>
      <c r="F958" s="109" t="n"/>
      <c r="G958" s="108" t="n"/>
      <c r="H958" s="220" t="n"/>
      <c r="I958" s="220" t="n"/>
      <c r="J958" s="108" t="n"/>
      <c r="K958" s="108" t="n"/>
      <c r="L958" s="109" t="n"/>
      <c r="M958" s="109" t="n"/>
      <c r="N958" s="109" t="n"/>
      <c r="O958" s="220" t="n"/>
      <c r="P958" s="227">
        <f>IF(OR($E958="",$I958=""),"",IF(OR($J958="Tamamlandı",$J958="İptal"),"",$I958-TODAY()))</f>
        <v/>
      </c>
      <c r="Q958" s="113">
        <f>IF($E958="","",IF($D958="TANIMSIZ MÜŞTERİ","HATA",IF(OR($J958="Tamamlandı",$J958="İptal"),"KAPALI",IF(AND($C958="Görüşme",$N958=""),"SONRAKİ İŞLEM EKSİK",IF($I958="","TARİH EKSİK",IF($I958&lt;TODAY(),"GECİKMİŞ",IF($I958=TODAY(),"BUGÜN",IF($I958&lt;=TODAY()+7,"7 GÜN İÇİNDE","PLANLI"))))))))</f>
        <v/>
      </c>
      <c r="R958" s="6" t="n"/>
      <c r="S958" s="6" t="n"/>
      <c r="T958" s="3" t="n"/>
      <c r="U958" s="3">
        <f>IF($E958="","",UPPER(SUBSTITUTE(SUBSTITUTE(SUBSTITUTE(SUBSTITUTE(SUBSTITUTE(SUBSTITUTE(SUBSTITUTE(SUBSTITUTE(SUBSTITUTE(SUBSTITUTE(SUBSTITUTE(SUBSTITUTE(SUBSTITUTE(SUBSTITUTE(SUBSTITUTE(SUBSTITUTE(SUBSTITUTE(SUBSTITUTE(TRIM($E958),"'",""),"İ","I"),"ı","I"),"i","I"),"Ş","S"),"ş","S"),"Ğ","G"),"ğ","G"),"Ü","U"),"ü","U"),"Ö","O"),"ö","O"),"Ç","C"),"ç","C"),".",""),",","")," ",""),"-","")))</f>
        <v/>
      </c>
    </row>
    <row r="959">
      <c r="A959" s="6" t="n"/>
      <c r="B959" s="113">
        <f>IF($E959="","","A"&amp;TEXT(ROW()-6,"00000"))</f>
        <v/>
      </c>
      <c r="C959" s="108" t="n"/>
      <c r="D959" s="113">
        <f>IF($E959="","",IFERROR(INDEX(MUSTERILER!$B$7:$B$106,MATCH($U959,MUSTERILER!$T$7:$T$106,0)),IFERROR(INDEX(MUSTERILER!$B$7:$B$106,MATCH($E959,MUSTERILER!$B$7:$B$106,0)),IFERROR(INDEX(MUSTERILER!$B$7:$B$106,MATCH($U959&amp;"*",MUSTERILER!$T$7:$T$106,0)),"TANIMSIZ MÜŞTERİ"))))</f>
        <v/>
      </c>
      <c r="E959" s="109" t="n"/>
      <c r="F959" s="109" t="n"/>
      <c r="G959" s="108" t="n"/>
      <c r="H959" s="220" t="n"/>
      <c r="I959" s="220" t="n"/>
      <c r="J959" s="108" t="n"/>
      <c r="K959" s="108" t="n"/>
      <c r="L959" s="109" t="n"/>
      <c r="M959" s="109" t="n"/>
      <c r="N959" s="109" t="n"/>
      <c r="O959" s="220" t="n"/>
      <c r="P959" s="227">
        <f>IF(OR($E959="",$I959=""),"",IF(OR($J959="Tamamlandı",$J959="İptal"),"",$I959-TODAY()))</f>
        <v/>
      </c>
      <c r="Q959" s="113">
        <f>IF($E959="","",IF($D959="TANIMSIZ MÜŞTERİ","HATA",IF(OR($J959="Tamamlandı",$J959="İptal"),"KAPALI",IF(AND($C959="Görüşme",$N959=""),"SONRAKİ İŞLEM EKSİK",IF($I959="","TARİH EKSİK",IF($I959&lt;TODAY(),"GECİKMİŞ",IF($I959=TODAY(),"BUGÜN",IF($I959&lt;=TODAY()+7,"7 GÜN İÇİNDE","PLANLI"))))))))</f>
        <v/>
      </c>
      <c r="R959" s="6" t="n"/>
      <c r="S959" s="6" t="n"/>
      <c r="T959" s="3" t="n"/>
      <c r="U959" s="3">
        <f>IF($E959="","",UPPER(SUBSTITUTE(SUBSTITUTE(SUBSTITUTE(SUBSTITUTE(SUBSTITUTE(SUBSTITUTE(SUBSTITUTE(SUBSTITUTE(SUBSTITUTE(SUBSTITUTE(SUBSTITUTE(SUBSTITUTE(SUBSTITUTE(SUBSTITUTE(SUBSTITUTE(SUBSTITUTE(SUBSTITUTE(SUBSTITUTE(TRIM($E959),"'",""),"İ","I"),"ı","I"),"i","I"),"Ş","S"),"ş","S"),"Ğ","G"),"ğ","G"),"Ü","U"),"ü","U"),"Ö","O"),"ö","O"),"Ç","C"),"ç","C"),".",""),",","")," ",""),"-","")))</f>
        <v/>
      </c>
    </row>
    <row r="960">
      <c r="A960" s="6" t="n"/>
      <c r="B960" s="113">
        <f>IF($E960="","","A"&amp;TEXT(ROW()-6,"00000"))</f>
        <v/>
      </c>
      <c r="C960" s="108" t="n"/>
      <c r="D960" s="113">
        <f>IF($E960="","",IFERROR(INDEX(MUSTERILER!$B$7:$B$106,MATCH($U960,MUSTERILER!$T$7:$T$106,0)),IFERROR(INDEX(MUSTERILER!$B$7:$B$106,MATCH($E960,MUSTERILER!$B$7:$B$106,0)),IFERROR(INDEX(MUSTERILER!$B$7:$B$106,MATCH($U960&amp;"*",MUSTERILER!$T$7:$T$106,0)),"TANIMSIZ MÜŞTERİ"))))</f>
        <v/>
      </c>
      <c r="E960" s="109" t="n"/>
      <c r="F960" s="109" t="n"/>
      <c r="G960" s="108" t="n"/>
      <c r="H960" s="220" t="n"/>
      <c r="I960" s="220" t="n"/>
      <c r="J960" s="108" t="n"/>
      <c r="K960" s="108" t="n"/>
      <c r="L960" s="109" t="n"/>
      <c r="M960" s="109" t="n"/>
      <c r="N960" s="109" t="n"/>
      <c r="O960" s="220" t="n"/>
      <c r="P960" s="227">
        <f>IF(OR($E960="",$I960=""),"",IF(OR($J960="Tamamlandı",$J960="İptal"),"",$I960-TODAY()))</f>
        <v/>
      </c>
      <c r="Q960" s="113">
        <f>IF($E960="","",IF($D960="TANIMSIZ MÜŞTERİ","HATA",IF(OR($J960="Tamamlandı",$J960="İptal"),"KAPALI",IF(AND($C960="Görüşme",$N960=""),"SONRAKİ İŞLEM EKSİK",IF($I960="","TARİH EKSİK",IF($I960&lt;TODAY(),"GECİKMİŞ",IF($I960=TODAY(),"BUGÜN",IF($I960&lt;=TODAY()+7,"7 GÜN İÇİNDE","PLANLI"))))))))</f>
        <v/>
      </c>
      <c r="R960" s="6" t="n"/>
      <c r="S960" s="6" t="n"/>
      <c r="T960" s="3" t="n"/>
      <c r="U960" s="3">
        <f>IF($E960="","",UPPER(SUBSTITUTE(SUBSTITUTE(SUBSTITUTE(SUBSTITUTE(SUBSTITUTE(SUBSTITUTE(SUBSTITUTE(SUBSTITUTE(SUBSTITUTE(SUBSTITUTE(SUBSTITUTE(SUBSTITUTE(SUBSTITUTE(SUBSTITUTE(SUBSTITUTE(SUBSTITUTE(SUBSTITUTE(SUBSTITUTE(TRIM($E960),"'",""),"İ","I"),"ı","I"),"i","I"),"Ş","S"),"ş","S"),"Ğ","G"),"ğ","G"),"Ü","U"),"ü","U"),"Ö","O"),"ö","O"),"Ç","C"),"ç","C"),".",""),",","")," ",""),"-","")))</f>
        <v/>
      </c>
    </row>
    <row r="961">
      <c r="A961" s="6" t="n"/>
      <c r="B961" s="113">
        <f>IF($E961="","","A"&amp;TEXT(ROW()-6,"00000"))</f>
        <v/>
      </c>
      <c r="C961" s="108" t="n"/>
      <c r="D961" s="113">
        <f>IF($E961="","",IFERROR(INDEX(MUSTERILER!$B$7:$B$106,MATCH($U961,MUSTERILER!$T$7:$T$106,0)),IFERROR(INDEX(MUSTERILER!$B$7:$B$106,MATCH($E961,MUSTERILER!$B$7:$B$106,0)),IFERROR(INDEX(MUSTERILER!$B$7:$B$106,MATCH($U961&amp;"*",MUSTERILER!$T$7:$T$106,0)),"TANIMSIZ MÜŞTERİ"))))</f>
        <v/>
      </c>
      <c r="E961" s="109" t="n"/>
      <c r="F961" s="109" t="n"/>
      <c r="G961" s="108" t="n"/>
      <c r="H961" s="220" t="n"/>
      <c r="I961" s="220" t="n"/>
      <c r="J961" s="108" t="n"/>
      <c r="K961" s="108" t="n"/>
      <c r="L961" s="109" t="n"/>
      <c r="M961" s="109" t="n"/>
      <c r="N961" s="109" t="n"/>
      <c r="O961" s="220" t="n"/>
      <c r="P961" s="227">
        <f>IF(OR($E961="",$I961=""),"",IF(OR($J961="Tamamlandı",$J961="İptal"),"",$I961-TODAY()))</f>
        <v/>
      </c>
      <c r="Q961" s="113">
        <f>IF($E961="","",IF($D961="TANIMSIZ MÜŞTERİ","HATA",IF(OR($J961="Tamamlandı",$J961="İptal"),"KAPALI",IF(AND($C961="Görüşme",$N961=""),"SONRAKİ İŞLEM EKSİK",IF($I961="","TARİH EKSİK",IF($I961&lt;TODAY(),"GECİKMİŞ",IF($I961=TODAY(),"BUGÜN",IF($I961&lt;=TODAY()+7,"7 GÜN İÇİNDE","PLANLI"))))))))</f>
        <v/>
      </c>
      <c r="R961" s="6" t="n"/>
      <c r="S961" s="6" t="n"/>
      <c r="T961" s="3" t="n"/>
      <c r="U961" s="3">
        <f>IF($E961="","",UPPER(SUBSTITUTE(SUBSTITUTE(SUBSTITUTE(SUBSTITUTE(SUBSTITUTE(SUBSTITUTE(SUBSTITUTE(SUBSTITUTE(SUBSTITUTE(SUBSTITUTE(SUBSTITUTE(SUBSTITUTE(SUBSTITUTE(SUBSTITUTE(SUBSTITUTE(SUBSTITUTE(SUBSTITUTE(SUBSTITUTE(TRIM($E961),"'",""),"İ","I"),"ı","I"),"i","I"),"Ş","S"),"ş","S"),"Ğ","G"),"ğ","G"),"Ü","U"),"ü","U"),"Ö","O"),"ö","O"),"Ç","C"),"ç","C"),".",""),",","")," ",""),"-","")))</f>
        <v/>
      </c>
    </row>
    <row r="962">
      <c r="A962" s="6" t="n"/>
      <c r="B962" s="113">
        <f>IF($E962="","","A"&amp;TEXT(ROW()-6,"00000"))</f>
        <v/>
      </c>
      <c r="C962" s="108" t="n"/>
      <c r="D962" s="113">
        <f>IF($E962="","",IFERROR(INDEX(MUSTERILER!$B$7:$B$106,MATCH($U962,MUSTERILER!$T$7:$T$106,0)),IFERROR(INDEX(MUSTERILER!$B$7:$B$106,MATCH($E962,MUSTERILER!$B$7:$B$106,0)),IFERROR(INDEX(MUSTERILER!$B$7:$B$106,MATCH($U962&amp;"*",MUSTERILER!$T$7:$T$106,0)),"TANIMSIZ MÜŞTERİ"))))</f>
        <v/>
      </c>
      <c r="E962" s="109" t="n"/>
      <c r="F962" s="109" t="n"/>
      <c r="G962" s="108" t="n"/>
      <c r="H962" s="220" t="n"/>
      <c r="I962" s="220" t="n"/>
      <c r="J962" s="108" t="n"/>
      <c r="K962" s="108" t="n"/>
      <c r="L962" s="109" t="n"/>
      <c r="M962" s="109" t="n"/>
      <c r="N962" s="109" t="n"/>
      <c r="O962" s="220" t="n"/>
      <c r="P962" s="227">
        <f>IF(OR($E962="",$I962=""),"",IF(OR($J962="Tamamlandı",$J962="İptal"),"",$I962-TODAY()))</f>
        <v/>
      </c>
      <c r="Q962" s="113">
        <f>IF($E962="","",IF($D962="TANIMSIZ MÜŞTERİ","HATA",IF(OR($J962="Tamamlandı",$J962="İptal"),"KAPALI",IF(AND($C962="Görüşme",$N962=""),"SONRAKİ İŞLEM EKSİK",IF($I962="","TARİH EKSİK",IF($I962&lt;TODAY(),"GECİKMİŞ",IF($I962=TODAY(),"BUGÜN",IF($I962&lt;=TODAY()+7,"7 GÜN İÇİNDE","PLANLI"))))))))</f>
        <v/>
      </c>
      <c r="R962" s="6" t="n"/>
      <c r="S962" s="6" t="n"/>
      <c r="T962" s="3" t="n"/>
      <c r="U962" s="3">
        <f>IF($E962="","",UPPER(SUBSTITUTE(SUBSTITUTE(SUBSTITUTE(SUBSTITUTE(SUBSTITUTE(SUBSTITUTE(SUBSTITUTE(SUBSTITUTE(SUBSTITUTE(SUBSTITUTE(SUBSTITUTE(SUBSTITUTE(SUBSTITUTE(SUBSTITUTE(SUBSTITUTE(SUBSTITUTE(SUBSTITUTE(SUBSTITUTE(TRIM($E962),"'",""),"İ","I"),"ı","I"),"i","I"),"Ş","S"),"ş","S"),"Ğ","G"),"ğ","G"),"Ü","U"),"ü","U"),"Ö","O"),"ö","O"),"Ç","C"),"ç","C"),".",""),",","")," ",""),"-","")))</f>
        <v/>
      </c>
    </row>
    <row r="963">
      <c r="A963" s="6" t="n"/>
      <c r="B963" s="113">
        <f>IF($E963="","","A"&amp;TEXT(ROW()-6,"00000"))</f>
        <v/>
      </c>
      <c r="C963" s="108" t="n"/>
      <c r="D963" s="113">
        <f>IF($E963="","",IFERROR(INDEX(MUSTERILER!$B$7:$B$106,MATCH($U963,MUSTERILER!$T$7:$T$106,0)),IFERROR(INDEX(MUSTERILER!$B$7:$B$106,MATCH($E963,MUSTERILER!$B$7:$B$106,0)),IFERROR(INDEX(MUSTERILER!$B$7:$B$106,MATCH($U963&amp;"*",MUSTERILER!$T$7:$T$106,0)),"TANIMSIZ MÜŞTERİ"))))</f>
        <v/>
      </c>
      <c r="E963" s="109" t="n"/>
      <c r="F963" s="109" t="n"/>
      <c r="G963" s="108" t="n"/>
      <c r="H963" s="220" t="n"/>
      <c r="I963" s="220" t="n"/>
      <c r="J963" s="108" t="n"/>
      <c r="K963" s="108" t="n"/>
      <c r="L963" s="109" t="n"/>
      <c r="M963" s="109" t="n"/>
      <c r="N963" s="109" t="n"/>
      <c r="O963" s="220" t="n"/>
      <c r="P963" s="227">
        <f>IF(OR($E963="",$I963=""),"",IF(OR($J963="Tamamlandı",$J963="İptal"),"",$I963-TODAY()))</f>
        <v/>
      </c>
      <c r="Q963" s="113">
        <f>IF($E963="","",IF($D963="TANIMSIZ MÜŞTERİ","HATA",IF(OR($J963="Tamamlandı",$J963="İptal"),"KAPALI",IF(AND($C963="Görüşme",$N963=""),"SONRAKİ İŞLEM EKSİK",IF($I963="","TARİH EKSİK",IF($I963&lt;TODAY(),"GECİKMİŞ",IF($I963=TODAY(),"BUGÜN",IF($I963&lt;=TODAY()+7,"7 GÜN İÇİNDE","PLANLI"))))))))</f>
        <v/>
      </c>
      <c r="R963" s="6" t="n"/>
      <c r="S963" s="6" t="n"/>
      <c r="T963" s="3" t="n"/>
      <c r="U963" s="3">
        <f>IF($E963="","",UPPER(SUBSTITUTE(SUBSTITUTE(SUBSTITUTE(SUBSTITUTE(SUBSTITUTE(SUBSTITUTE(SUBSTITUTE(SUBSTITUTE(SUBSTITUTE(SUBSTITUTE(SUBSTITUTE(SUBSTITUTE(SUBSTITUTE(SUBSTITUTE(SUBSTITUTE(SUBSTITUTE(SUBSTITUTE(SUBSTITUTE(TRIM($E963),"'",""),"İ","I"),"ı","I"),"i","I"),"Ş","S"),"ş","S"),"Ğ","G"),"ğ","G"),"Ü","U"),"ü","U"),"Ö","O"),"ö","O"),"Ç","C"),"ç","C"),".",""),",","")," ",""),"-","")))</f>
        <v/>
      </c>
    </row>
    <row r="964">
      <c r="A964" s="6" t="n"/>
      <c r="B964" s="113">
        <f>IF($E964="","","A"&amp;TEXT(ROW()-6,"00000"))</f>
        <v/>
      </c>
      <c r="C964" s="108" t="n"/>
      <c r="D964" s="113">
        <f>IF($E964="","",IFERROR(INDEX(MUSTERILER!$B$7:$B$106,MATCH($U964,MUSTERILER!$T$7:$T$106,0)),IFERROR(INDEX(MUSTERILER!$B$7:$B$106,MATCH($E964,MUSTERILER!$B$7:$B$106,0)),IFERROR(INDEX(MUSTERILER!$B$7:$B$106,MATCH($U964&amp;"*",MUSTERILER!$T$7:$T$106,0)),"TANIMSIZ MÜŞTERİ"))))</f>
        <v/>
      </c>
      <c r="E964" s="109" t="n"/>
      <c r="F964" s="109" t="n"/>
      <c r="G964" s="108" t="n"/>
      <c r="H964" s="220" t="n"/>
      <c r="I964" s="220" t="n"/>
      <c r="J964" s="108" t="n"/>
      <c r="K964" s="108" t="n"/>
      <c r="L964" s="109" t="n"/>
      <c r="M964" s="109" t="n"/>
      <c r="N964" s="109" t="n"/>
      <c r="O964" s="220" t="n"/>
      <c r="P964" s="227">
        <f>IF(OR($E964="",$I964=""),"",IF(OR($J964="Tamamlandı",$J964="İptal"),"",$I964-TODAY()))</f>
        <v/>
      </c>
      <c r="Q964" s="113">
        <f>IF($E964="","",IF($D964="TANIMSIZ MÜŞTERİ","HATA",IF(OR($J964="Tamamlandı",$J964="İptal"),"KAPALI",IF(AND($C964="Görüşme",$N964=""),"SONRAKİ İŞLEM EKSİK",IF($I964="","TARİH EKSİK",IF($I964&lt;TODAY(),"GECİKMİŞ",IF($I964=TODAY(),"BUGÜN",IF($I964&lt;=TODAY()+7,"7 GÜN İÇİNDE","PLANLI"))))))))</f>
        <v/>
      </c>
      <c r="R964" s="6" t="n"/>
      <c r="S964" s="6" t="n"/>
      <c r="T964" s="3" t="n"/>
      <c r="U964" s="3">
        <f>IF($E964="","",UPPER(SUBSTITUTE(SUBSTITUTE(SUBSTITUTE(SUBSTITUTE(SUBSTITUTE(SUBSTITUTE(SUBSTITUTE(SUBSTITUTE(SUBSTITUTE(SUBSTITUTE(SUBSTITUTE(SUBSTITUTE(SUBSTITUTE(SUBSTITUTE(SUBSTITUTE(SUBSTITUTE(SUBSTITUTE(SUBSTITUTE(TRIM($E964),"'",""),"İ","I"),"ı","I"),"i","I"),"Ş","S"),"ş","S"),"Ğ","G"),"ğ","G"),"Ü","U"),"ü","U"),"Ö","O"),"ö","O"),"Ç","C"),"ç","C"),".",""),",","")," ",""),"-","")))</f>
        <v/>
      </c>
    </row>
    <row r="965">
      <c r="A965" s="6" t="n"/>
      <c r="B965" s="113">
        <f>IF($E965="","","A"&amp;TEXT(ROW()-6,"00000"))</f>
        <v/>
      </c>
      <c r="C965" s="108" t="n"/>
      <c r="D965" s="113">
        <f>IF($E965="","",IFERROR(INDEX(MUSTERILER!$B$7:$B$106,MATCH($U965,MUSTERILER!$T$7:$T$106,0)),IFERROR(INDEX(MUSTERILER!$B$7:$B$106,MATCH($E965,MUSTERILER!$B$7:$B$106,0)),IFERROR(INDEX(MUSTERILER!$B$7:$B$106,MATCH($U965&amp;"*",MUSTERILER!$T$7:$T$106,0)),"TANIMSIZ MÜŞTERİ"))))</f>
        <v/>
      </c>
      <c r="E965" s="109" t="n"/>
      <c r="F965" s="109" t="n"/>
      <c r="G965" s="108" t="n"/>
      <c r="H965" s="220" t="n"/>
      <c r="I965" s="220" t="n"/>
      <c r="J965" s="108" t="n"/>
      <c r="K965" s="108" t="n"/>
      <c r="L965" s="109" t="n"/>
      <c r="M965" s="109" t="n"/>
      <c r="N965" s="109" t="n"/>
      <c r="O965" s="220" t="n"/>
      <c r="P965" s="227">
        <f>IF(OR($E965="",$I965=""),"",IF(OR($J965="Tamamlandı",$J965="İptal"),"",$I965-TODAY()))</f>
        <v/>
      </c>
      <c r="Q965" s="113">
        <f>IF($E965="","",IF($D965="TANIMSIZ MÜŞTERİ","HATA",IF(OR($J965="Tamamlandı",$J965="İptal"),"KAPALI",IF(AND($C965="Görüşme",$N965=""),"SONRAKİ İŞLEM EKSİK",IF($I965="","TARİH EKSİK",IF($I965&lt;TODAY(),"GECİKMİŞ",IF($I965=TODAY(),"BUGÜN",IF($I965&lt;=TODAY()+7,"7 GÜN İÇİNDE","PLANLI"))))))))</f>
        <v/>
      </c>
      <c r="R965" s="6" t="n"/>
      <c r="S965" s="6" t="n"/>
      <c r="T965" s="3" t="n"/>
      <c r="U965" s="3">
        <f>IF($E965="","",UPPER(SUBSTITUTE(SUBSTITUTE(SUBSTITUTE(SUBSTITUTE(SUBSTITUTE(SUBSTITUTE(SUBSTITUTE(SUBSTITUTE(SUBSTITUTE(SUBSTITUTE(SUBSTITUTE(SUBSTITUTE(SUBSTITUTE(SUBSTITUTE(SUBSTITUTE(SUBSTITUTE(SUBSTITUTE(SUBSTITUTE(TRIM($E965),"'",""),"İ","I"),"ı","I"),"i","I"),"Ş","S"),"ş","S"),"Ğ","G"),"ğ","G"),"Ü","U"),"ü","U"),"Ö","O"),"ö","O"),"Ç","C"),"ç","C"),".",""),",","")," ",""),"-","")))</f>
        <v/>
      </c>
    </row>
    <row r="966">
      <c r="A966" s="6" t="n"/>
      <c r="B966" s="113">
        <f>IF($E966="","","A"&amp;TEXT(ROW()-6,"00000"))</f>
        <v/>
      </c>
      <c r="C966" s="108" t="n"/>
      <c r="D966" s="113">
        <f>IF($E966="","",IFERROR(INDEX(MUSTERILER!$B$7:$B$106,MATCH($U966,MUSTERILER!$T$7:$T$106,0)),IFERROR(INDEX(MUSTERILER!$B$7:$B$106,MATCH($E966,MUSTERILER!$B$7:$B$106,0)),IFERROR(INDEX(MUSTERILER!$B$7:$B$106,MATCH($U966&amp;"*",MUSTERILER!$T$7:$T$106,0)),"TANIMSIZ MÜŞTERİ"))))</f>
        <v/>
      </c>
      <c r="E966" s="109" t="n"/>
      <c r="F966" s="109" t="n"/>
      <c r="G966" s="108" t="n"/>
      <c r="H966" s="220" t="n"/>
      <c r="I966" s="220" t="n"/>
      <c r="J966" s="108" t="n"/>
      <c r="K966" s="108" t="n"/>
      <c r="L966" s="109" t="n"/>
      <c r="M966" s="109" t="n"/>
      <c r="N966" s="109" t="n"/>
      <c r="O966" s="220" t="n"/>
      <c r="P966" s="227">
        <f>IF(OR($E966="",$I966=""),"",IF(OR($J966="Tamamlandı",$J966="İptal"),"",$I966-TODAY()))</f>
        <v/>
      </c>
      <c r="Q966" s="113">
        <f>IF($E966="","",IF($D966="TANIMSIZ MÜŞTERİ","HATA",IF(OR($J966="Tamamlandı",$J966="İptal"),"KAPALI",IF(AND($C966="Görüşme",$N966=""),"SONRAKİ İŞLEM EKSİK",IF($I966="","TARİH EKSİK",IF($I966&lt;TODAY(),"GECİKMİŞ",IF($I966=TODAY(),"BUGÜN",IF($I966&lt;=TODAY()+7,"7 GÜN İÇİNDE","PLANLI"))))))))</f>
        <v/>
      </c>
      <c r="R966" s="6" t="n"/>
      <c r="S966" s="6" t="n"/>
      <c r="T966" s="3" t="n"/>
      <c r="U966" s="3">
        <f>IF($E966="","",UPPER(SUBSTITUTE(SUBSTITUTE(SUBSTITUTE(SUBSTITUTE(SUBSTITUTE(SUBSTITUTE(SUBSTITUTE(SUBSTITUTE(SUBSTITUTE(SUBSTITUTE(SUBSTITUTE(SUBSTITUTE(SUBSTITUTE(SUBSTITUTE(SUBSTITUTE(SUBSTITUTE(SUBSTITUTE(SUBSTITUTE(TRIM($E966),"'",""),"İ","I"),"ı","I"),"i","I"),"Ş","S"),"ş","S"),"Ğ","G"),"ğ","G"),"Ü","U"),"ü","U"),"Ö","O"),"ö","O"),"Ç","C"),"ç","C"),".",""),",","")," ",""),"-","")))</f>
        <v/>
      </c>
    </row>
    <row r="967">
      <c r="A967" s="6" t="n"/>
      <c r="B967" s="113">
        <f>IF($E967="","","A"&amp;TEXT(ROW()-6,"00000"))</f>
        <v/>
      </c>
      <c r="C967" s="108" t="n"/>
      <c r="D967" s="113">
        <f>IF($E967="","",IFERROR(INDEX(MUSTERILER!$B$7:$B$106,MATCH($U967,MUSTERILER!$T$7:$T$106,0)),IFERROR(INDEX(MUSTERILER!$B$7:$B$106,MATCH($E967,MUSTERILER!$B$7:$B$106,0)),IFERROR(INDEX(MUSTERILER!$B$7:$B$106,MATCH($U967&amp;"*",MUSTERILER!$T$7:$T$106,0)),"TANIMSIZ MÜŞTERİ"))))</f>
        <v/>
      </c>
      <c r="E967" s="109" t="n"/>
      <c r="F967" s="109" t="n"/>
      <c r="G967" s="108" t="n"/>
      <c r="H967" s="220" t="n"/>
      <c r="I967" s="220" t="n"/>
      <c r="J967" s="108" t="n"/>
      <c r="K967" s="108" t="n"/>
      <c r="L967" s="109" t="n"/>
      <c r="M967" s="109" t="n"/>
      <c r="N967" s="109" t="n"/>
      <c r="O967" s="220" t="n"/>
      <c r="P967" s="227">
        <f>IF(OR($E967="",$I967=""),"",IF(OR($J967="Tamamlandı",$J967="İptal"),"",$I967-TODAY()))</f>
        <v/>
      </c>
      <c r="Q967" s="113">
        <f>IF($E967="","",IF($D967="TANIMSIZ MÜŞTERİ","HATA",IF(OR($J967="Tamamlandı",$J967="İptal"),"KAPALI",IF(AND($C967="Görüşme",$N967=""),"SONRAKİ İŞLEM EKSİK",IF($I967="","TARİH EKSİK",IF($I967&lt;TODAY(),"GECİKMİŞ",IF($I967=TODAY(),"BUGÜN",IF($I967&lt;=TODAY()+7,"7 GÜN İÇİNDE","PLANLI"))))))))</f>
        <v/>
      </c>
      <c r="R967" s="6" t="n"/>
      <c r="S967" s="6" t="n"/>
      <c r="T967" s="3" t="n"/>
      <c r="U967" s="3">
        <f>IF($E967="","",UPPER(SUBSTITUTE(SUBSTITUTE(SUBSTITUTE(SUBSTITUTE(SUBSTITUTE(SUBSTITUTE(SUBSTITUTE(SUBSTITUTE(SUBSTITUTE(SUBSTITUTE(SUBSTITUTE(SUBSTITUTE(SUBSTITUTE(SUBSTITUTE(SUBSTITUTE(SUBSTITUTE(SUBSTITUTE(SUBSTITUTE(TRIM($E967),"'",""),"İ","I"),"ı","I"),"i","I"),"Ş","S"),"ş","S"),"Ğ","G"),"ğ","G"),"Ü","U"),"ü","U"),"Ö","O"),"ö","O"),"Ç","C"),"ç","C"),".",""),",","")," ",""),"-","")))</f>
        <v/>
      </c>
    </row>
    <row r="968">
      <c r="A968" s="6" t="n"/>
      <c r="B968" s="113">
        <f>IF($E968="","","A"&amp;TEXT(ROW()-6,"00000"))</f>
        <v/>
      </c>
      <c r="C968" s="108" t="n"/>
      <c r="D968" s="113">
        <f>IF($E968="","",IFERROR(INDEX(MUSTERILER!$B$7:$B$106,MATCH($U968,MUSTERILER!$T$7:$T$106,0)),IFERROR(INDEX(MUSTERILER!$B$7:$B$106,MATCH($E968,MUSTERILER!$B$7:$B$106,0)),IFERROR(INDEX(MUSTERILER!$B$7:$B$106,MATCH($U968&amp;"*",MUSTERILER!$T$7:$T$106,0)),"TANIMSIZ MÜŞTERİ"))))</f>
        <v/>
      </c>
      <c r="E968" s="109" t="n"/>
      <c r="F968" s="109" t="n"/>
      <c r="G968" s="108" t="n"/>
      <c r="H968" s="220" t="n"/>
      <c r="I968" s="220" t="n"/>
      <c r="J968" s="108" t="n"/>
      <c r="K968" s="108" t="n"/>
      <c r="L968" s="109" t="n"/>
      <c r="M968" s="109" t="n"/>
      <c r="N968" s="109" t="n"/>
      <c r="O968" s="220" t="n"/>
      <c r="P968" s="227">
        <f>IF(OR($E968="",$I968=""),"",IF(OR($J968="Tamamlandı",$J968="İptal"),"",$I968-TODAY()))</f>
        <v/>
      </c>
      <c r="Q968" s="113">
        <f>IF($E968="","",IF($D968="TANIMSIZ MÜŞTERİ","HATA",IF(OR($J968="Tamamlandı",$J968="İptal"),"KAPALI",IF(AND($C968="Görüşme",$N968=""),"SONRAKİ İŞLEM EKSİK",IF($I968="","TARİH EKSİK",IF($I968&lt;TODAY(),"GECİKMİŞ",IF($I968=TODAY(),"BUGÜN",IF($I968&lt;=TODAY()+7,"7 GÜN İÇİNDE","PLANLI"))))))))</f>
        <v/>
      </c>
      <c r="R968" s="6" t="n"/>
      <c r="S968" s="6" t="n"/>
      <c r="T968" s="3" t="n"/>
      <c r="U968" s="3">
        <f>IF($E968="","",UPPER(SUBSTITUTE(SUBSTITUTE(SUBSTITUTE(SUBSTITUTE(SUBSTITUTE(SUBSTITUTE(SUBSTITUTE(SUBSTITUTE(SUBSTITUTE(SUBSTITUTE(SUBSTITUTE(SUBSTITUTE(SUBSTITUTE(SUBSTITUTE(SUBSTITUTE(SUBSTITUTE(SUBSTITUTE(SUBSTITUTE(TRIM($E968),"'",""),"İ","I"),"ı","I"),"i","I"),"Ş","S"),"ş","S"),"Ğ","G"),"ğ","G"),"Ü","U"),"ü","U"),"Ö","O"),"ö","O"),"Ç","C"),"ç","C"),".",""),",","")," ",""),"-","")))</f>
        <v/>
      </c>
    </row>
    <row r="969">
      <c r="A969" s="6" t="n"/>
      <c r="B969" s="113">
        <f>IF($E969="","","A"&amp;TEXT(ROW()-6,"00000"))</f>
        <v/>
      </c>
      <c r="C969" s="108" t="n"/>
      <c r="D969" s="113">
        <f>IF($E969="","",IFERROR(INDEX(MUSTERILER!$B$7:$B$106,MATCH($U969,MUSTERILER!$T$7:$T$106,0)),IFERROR(INDEX(MUSTERILER!$B$7:$B$106,MATCH($E969,MUSTERILER!$B$7:$B$106,0)),IFERROR(INDEX(MUSTERILER!$B$7:$B$106,MATCH($U969&amp;"*",MUSTERILER!$T$7:$T$106,0)),"TANIMSIZ MÜŞTERİ"))))</f>
        <v/>
      </c>
      <c r="E969" s="109" t="n"/>
      <c r="F969" s="109" t="n"/>
      <c r="G969" s="108" t="n"/>
      <c r="H969" s="220" t="n"/>
      <c r="I969" s="220" t="n"/>
      <c r="J969" s="108" t="n"/>
      <c r="K969" s="108" t="n"/>
      <c r="L969" s="109" t="n"/>
      <c r="M969" s="109" t="n"/>
      <c r="N969" s="109" t="n"/>
      <c r="O969" s="220" t="n"/>
      <c r="P969" s="227">
        <f>IF(OR($E969="",$I969=""),"",IF(OR($J969="Tamamlandı",$J969="İptal"),"",$I969-TODAY()))</f>
        <v/>
      </c>
      <c r="Q969" s="113">
        <f>IF($E969="","",IF($D969="TANIMSIZ MÜŞTERİ","HATA",IF(OR($J969="Tamamlandı",$J969="İptal"),"KAPALI",IF(AND($C969="Görüşme",$N969=""),"SONRAKİ İŞLEM EKSİK",IF($I969="","TARİH EKSİK",IF($I969&lt;TODAY(),"GECİKMİŞ",IF($I969=TODAY(),"BUGÜN",IF($I969&lt;=TODAY()+7,"7 GÜN İÇİNDE","PLANLI"))))))))</f>
        <v/>
      </c>
      <c r="R969" s="6" t="n"/>
      <c r="S969" s="6" t="n"/>
      <c r="T969" s="3" t="n"/>
      <c r="U969" s="3">
        <f>IF($E969="","",UPPER(SUBSTITUTE(SUBSTITUTE(SUBSTITUTE(SUBSTITUTE(SUBSTITUTE(SUBSTITUTE(SUBSTITUTE(SUBSTITUTE(SUBSTITUTE(SUBSTITUTE(SUBSTITUTE(SUBSTITUTE(SUBSTITUTE(SUBSTITUTE(SUBSTITUTE(SUBSTITUTE(SUBSTITUTE(SUBSTITUTE(TRIM($E969),"'",""),"İ","I"),"ı","I"),"i","I"),"Ş","S"),"ş","S"),"Ğ","G"),"ğ","G"),"Ü","U"),"ü","U"),"Ö","O"),"ö","O"),"Ç","C"),"ç","C"),".",""),",","")," ",""),"-","")))</f>
        <v/>
      </c>
    </row>
    <row r="970">
      <c r="A970" s="6" t="n"/>
      <c r="B970" s="113">
        <f>IF($E970="","","A"&amp;TEXT(ROW()-6,"00000"))</f>
        <v/>
      </c>
      <c r="C970" s="108" t="n"/>
      <c r="D970" s="113">
        <f>IF($E970="","",IFERROR(INDEX(MUSTERILER!$B$7:$B$106,MATCH($U970,MUSTERILER!$T$7:$T$106,0)),IFERROR(INDEX(MUSTERILER!$B$7:$B$106,MATCH($E970,MUSTERILER!$B$7:$B$106,0)),IFERROR(INDEX(MUSTERILER!$B$7:$B$106,MATCH($U970&amp;"*",MUSTERILER!$T$7:$T$106,0)),"TANIMSIZ MÜŞTERİ"))))</f>
        <v/>
      </c>
      <c r="E970" s="109" t="n"/>
      <c r="F970" s="109" t="n"/>
      <c r="G970" s="108" t="n"/>
      <c r="H970" s="220" t="n"/>
      <c r="I970" s="220" t="n"/>
      <c r="J970" s="108" t="n"/>
      <c r="K970" s="108" t="n"/>
      <c r="L970" s="109" t="n"/>
      <c r="M970" s="109" t="n"/>
      <c r="N970" s="109" t="n"/>
      <c r="O970" s="220" t="n"/>
      <c r="P970" s="227">
        <f>IF(OR($E970="",$I970=""),"",IF(OR($J970="Tamamlandı",$J970="İptal"),"",$I970-TODAY()))</f>
        <v/>
      </c>
      <c r="Q970" s="113">
        <f>IF($E970="","",IF($D970="TANIMSIZ MÜŞTERİ","HATA",IF(OR($J970="Tamamlandı",$J970="İptal"),"KAPALI",IF(AND($C970="Görüşme",$N970=""),"SONRAKİ İŞLEM EKSİK",IF($I970="","TARİH EKSİK",IF($I970&lt;TODAY(),"GECİKMİŞ",IF($I970=TODAY(),"BUGÜN",IF($I970&lt;=TODAY()+7,"7 GÜN İÇİNDE","PLANLI"))))))))</f>
        <v/>
      </c>
      <c r="R970" s="6" t="n"/>
      <c r="S970" s="6" t="n"/>
      <c r="T970" s="3" t="n"/>
      <c r="U970" s="3">
        <f>IF($E970="","",UPPER(SUBSTITUTE(SUBSTITUTE(SUBSTITUTE(SUBSTITUTE(SUBSTITUTE(SUBSTITUTE(SUBSTITUTE(SUBSTITUTE(SUBSTITUTE(SUBSTITUTE(SUBSTITUTE(SUBSTITUTE(SUBSTITUTE(SUBSTITUTE(SUBSTITUTE(SUBSTITUTE(SUBSTITUTE(SUBSTITUTE(TRIM($E970),"'",""),"İ","I"),"ı","I"),"i","I"),"Ş","S"),"ş","S"),"Ğ","G"),"ğ","G"),"Ü","U"),"ü","U"),"Ö","O"),"ö","O"),"Ç","C"),"ç","C"),".",""),",","")," ",""),"-","")))</f>
        <v/>
      </c>
    </row>
    <row r="971">
      <c r="A971" s="6" t="n"/>
      <c r="B971" s="113">
        <f>IF($E971="","","A"&amp;TEXT(ROW()-6,"00000"))</f>
        <v/>
      </c>
      <c r="C971" s="108" t="n"/>
      <c r="D971" s="113">
        <f>IF($E971="","",IFERROR(INDEX(MUSTERILER!$B$7:$B$106,MATCH($U971,MUSTERILER!$T$7:$T$106,0)),IFERROR(INDEX(MUSTERILER!$B$7:$B$106,MATCH($E971,MUSTERILER!$B$7:$B$106,0)),IFERROR(INDEX(MUSTERILER!$B$7:$B$106,MATCH($U971&amp;"*",MUSTERILER!$T$7:$T$106,0)),"TANIMSIZ MÜŞTERİ"))))</f>
        <v/>
      </c>
      <c r="E971" s="109" t="n"/>
      <c r="F971" s="109" t="n"/>
      <c r="G971" s="108" t="n"/>
      <c r="H971" s="220" t="n"/>
      <c r="I971" s="220" t="n"/>
      <c r="J971" s="108" t="n"/>
      <c r="K971" s="108" t="n"/>
      <c r="L971" s="109" t="n"/>
      <c r="M971" s="109" t="n"/>
      <c r="N971" s="109" t="n"/>
      <c r="O971" s="220" t="n"/>
      <c r="P971" s="227">
        <f>IF(OR($E971="",$I971=""),"",IF(OR($J971="Tamamlandı",$J971="İptal"),"",$I971-TODAY()))</f>
        <v/>
      </c>
      <c r="Q971" s="113">
        <f>IF($E971="","",IF($D971="TANIMSIZ MÜŞTERİ","HATA",IF(OR($J971="Tamamlandı",$J971="İptal"),"KAPALI",IF(AND($C971="Görüşme",$N971=""),"SONRAKİ İŞLEM EKSİK",IF($I971="","TARİH EKSİK",IF($I971&lt;TODAY(),"GECİKMİŞ",IF($I971=TODAY(),"BUGÜN",IF($I971&lt;=TODAY()+7,"7 GÜN İÇİNDE","PLANLI"))))))))</f>
        <v/>
      </c>
      <c r="R971" s="6" t="n"/>
      <c r="S971" s="6" t="n"/>
      <c r="T971" s="3" t="n"/>
      <c r="U971" s="3">
        <f>IF($E971="","",UPPER(SUBSTITUTE(SUBSTITUTE(SUBSTITUTE(SUBSTITUTE(SUBSTITUTE(SUBSTITUTE(SUBSTITUTE(SUBSTITUTE(SUBSTITUTE(SUBSTITUTE(SUBSTITUTE(SUBSTITUTE(SUBSTITUTE(SUBSTITUTE(SUBSTITUTE(SUBSTITUTE(SUBSTITUTE(SUBSTITUTE(TRIM($E971),"'",""),"İ","I"),"ı","I"),"i","I"),"Ş","S"),"ş","S"),"Ğ","G"),"ğ","G"),"Ü","U"),"ü","U"),"Ö","O"),"ö","O"),"Ç","C"),"ç","C"),".",""),",","")," ",""),"-","")))</f>
        <v/>
      </c>
    </row>
    <row r="972">
      <c r="A972" s="6" t="n"/>
      <c r="B972" s="113">
        <f>IF($E972="","","A"&amp;TEXT(ROW()-6,"00000"))</f>
        <v/>
      </c>
      <c r="C972" s="108" t="n"/>
      <c r="D972" s="113">
        <f>IF($E972="","",IFERROR(INDEX(MUSTERILER!$B$7:$B$106,MATCH($U972,MUSTERILER!$T$7:$T$106,0)),IFERROR(INDEX(MUSTERILER!$B$7:$B$106,MATCH($E972,MUSTERILER!$B$7:$B$106,0)),IFERROR(INDEX(MUSTERILER!$B$7:$B$106,MATCH($U972&amp;"*",MUSTERILER!$T$7:$T$106,0)),"TANIMSIZ MÜŞTERİ"))))</f>
        <v/>
      </c>
      <c r="E972" s="109" t="n"/>
      <c r="F972" s="109" t="n"/>
      <c r="G972" s="108" t="n"/>
      <c r="H972" s="220" t="n"/>
      <c r="I972" s="220" t="n"/>
      <c r="J972" s="108" t="n"/>
      <c r="K972" s="108" t="n"/>
      <c r="L972" s="109" t="n"/>
      <c r="M972" s="109" t="n"/>
      <c r="N972" s="109" t="n"/>
      <c r="O972" s="220" t="n"/>
      <c r="P972" s="227">
        <f>IF(OR($E972="",$I972=""),"",IF(OR($J972="Tamamlandı",$J972="İptal"),"",$I972-TODAY()))</f>
        <v/>
      </c>
      <c r="Q972" s="113">
        <f>IF($E972="","",IF($D972="TANIMSIZ MÜŞTERİ","HATA",IF(OR($J972="Tamamlandı",$J972="İptal"),"KAPALI",IF(AND($C972="Görüşme",$N972=""),"SONRAKİ İŞLEM EKSİK",IF($I972="","TARİH EKSİK",IF($I972&lt;TODAY(),"GECİKMİŞ",IF($I972=TODAY(),"BUGÜN",IF($I972&lt;=TODAY()+7,"7 GÜN İÇİNDE","PLANLI"))))))))</f>
        <v/>
      </c>
      <c r="R972" s="6" t="n"/>
      <c r="S972" s="6" t="n"/>
      <c r="T972" s="3" t="n"/>
      <c r="U972" s="3">
        <f>IF($E972="","",UPPER(SUBSTITUTE(SUBSTITUTE(SUBSTITUTE(SUBSTITUTE(SUBSTITUTE(SUBSTITUTE(SUBSTITUTE(SUBSTITUTE(SUBSTITUTE(SUBSTITUTE(SUBSTITUTE(SUBSTITUTE(SUBSTITUTE(SUBSTITUTE(SUBSTITUTE(SUBSTITUTE(SUBSTITUTE(SUBSTITUTE(TRIM($E972),"'",""),"İ","I"),"ı","I"),"i","I"),"Ş","S"),"ş","S"),"Ğ","G"),"ğ","G"),"Ü","U"),"ü","U"),"Ö","O"),"ö","O"),"Ç","C"),"ç","C"),".",""),",","")," ",""),"-","")))</f>
        <v/>
      </c>
    </row>
    <row r="973">
      <c r="A973" s="6" t="n"/>
      <c r="B973" s="113">
        <f>IF($E973="","","A"&amp;TEXT(ROW()-6,"00000"))</f>
        <v/>
      </c>
      <c r="C973" s="108" t="n"/>
      <c r="D973" s="113">
        <f>IF($E973="","",IFERROR(INDEX(MUSTERILER!$B$7:$B$106,MATCH($U973,MUSTERILER!$T$7:$T$106,0)),IFERROR(INDEX(MUSTERILER!$B$7:$B$106,MATCH($E973,MUSTERILER!$B$7:$B$106,0)),IFERROR(INDEX(MUSTERILER!$B$7:$B$106,MATCH($U973&amp;"*",MUSTERILER!$T$7:$T$106,0)),"TANIMSIZ MÜŞTERİ"))))</f>
        <v/>
      </c>
      <c r="E973" s="109" t="n"/>
      <c r="F973" s="109" t="n"/>
      <c r="G973" s="108" t="n"/>
      <c r="H973" s="220" t="n"/>
      <c r="I973" s="220" t="n"/>
      <c r="J973" s="108" t="n"/>
      <c r="K973" s="108" t="n"/>
      <c r="L973" s="109" t="n"/>
      <c r="M973" s="109" t="n"/>
      <c r="N973" s="109" t="n"/>
      <c r="O973" s="220" t="n"/>
      <c r="P973" s="227">
        <f>IF(OR($E973="",$I973=""),"",IF(OR($J973="Tamamlandı",$J973="İptal"),"",$I973-TODAY()))</f>
        <v/>
      </c>
      <c r="Q973" s="113">
        <f>IF($E973="","",IF($D973="TANIMSIZ MÜŞTERİ","HATA",IF(OR($J973="Tamamlandı",$J973="İptal"),"KAPALI",IF(AND($C973="Görüşme",$N973=""),"SONRAKİ İŞLEM EKSİK",IF($I973="","TARİH EKSİK",IF($I973&lt;TODAY(),"GECİKMİŞ",IF($I973=TODAY(),"BUGÜN",IF($I973&lt;=TODAY()+7,"7 GÜN İÇİNDE","PLANLI"))))))))</f>
        <v/>
      </c>
      <c r="R973" s="6" t="n"/>
      <c r="S973" s="6" t="n"/>
      <c r="T973" s="3" t="n"/>
      <c r="U973" s="3">
        <f>IF($E973="","",UPPER(SUBSTITUTE(SUBSTITUTE(SUBSTITUTE(SUBSTITUTE(SUBSTITUTE(SUBSTITUTE(SUBSTITUTE(SUBSTITUTE(SUBSTITUTE(SUBSTITUTE(SUBSTITUTE(SUBSTITUTE(SUBSTITUTE(SUBSTITUTE(SUBSTITUTE(SUBSTITUTE(SUBSTITUTE(SUBSTITUTE(TRIM($E973),"'",""),"İ","I"),"ı","I"),"i","I"),"Ş","S"),"ş","S"),"Ğ","G"),"ğ","G"),"Ü","U"),"ü","U"),"Ö","O"),"ö","O"),"Ç","C"),"ç","C"),".",""),",","")," ",""),"-","")))</f>
        <v/>
      </c>
    </row>
    <row r="974">
      <c r="A974" s="6" t="n"/>
      <c r="B974" s="113">
        <f>IF($E974="","","A"&amp;TEXT(ROW()-6,"00000"))</f>
        <v/>
      </c>
      <c r="C974" s="108" t="n"/>
      <c r="D974" s="113">
        <f>IF($E974="","",IFERROR(INDEX(MUSTERILER!$B$7:$B$106,MATCH($U974,MUSTERILER!$T$7:$T$106,0)),IFERROR(INDEX(MUSTERILER!$B$7:$B$106,MATCH($E974,MUSTERILER!$B$7:$B$106,0)),IFERROR(INDEX(MUSTERILER!$B$7:$B$106,MATCH($U974&amp;"*",MUSTERILER!$T$7:$T$106,0)),"TANIMSIZ MÜŞTERİ"))))</f>
        <v/>
      </c>
      <c r="E974" s="109" t="n"/>
      <c r="F974" s="109" t="n"/>
      <c r="G974" s="108" t="n"/>
      <c r="H974" s="220" t="n"/>
      <c r="I974" s="220" t="n"/>
      <c r="J974" s="108" t="n"/>
      <c r="K974" s="108" t="n"/>
      <c r="L974" s="109" t="n"/>
      <c r="M974" s="109" t="n"/>
      <c r="N974" s="109" t="n"/>
      <c r="O974" s="220" t="n"/>
      <c r="P974" s="227">
        <f>IF(OR($E974="",$I974=""),"",IF(OR($J974="Tamamlandı",$J974="İptal"),"",$I974-TODAY()))</f>
        <v/>
      </c>
      <c r="Q974" s="113">
        <f>IF($E974="","",IF($D974="TANIMSIZ MÜŞTERİ","HATA",IF(OR($J974="Tamamlandı",$J974="İptal"),"KAPALI",IF(AND($C974="Görüşme",$N974=""),"SONRAKİ İŞLEM EKSİK",IF($I974="","TARİH EKSİK",IF($I974&lt;TODAY(),"GECİKMİŞ",IF($I974=TODAY(),"BUGÜN",IF($I974&lt;=TODAY()+7,"7 GÜN İÇİNDE","PLANLI"))))))))</f>
        <v/>
      </c>
      <c r="R974" s="6" t="n"/>
      <c r="S974" s="6" t="n"/>
      <c r="T974" s="3" t="n"/>
      <c r="U974" s="3">
        <f>IF($E974="","",UPPER(SUBSTITUTE(SUBSTITUTE(SUBSTITUTE(SUBSTITUTE(SUBSTITUTE(SUBSTITUTE(SUBSTITUTE(SUBSTITUTE(SUBSTITUTE(SUBSTITUTE(SUBSTITUTE(SUBSTITUTE(SUBSTITUTE(SUBSTITUTE(SUBSTITUTE(SUBSTITUTE(SUBSTITUTE(SUBSTITUTE(TRIM($E974),"'",""),"İ","I"),"ı","I"),"i","I"),"Ş","S"),"ş","S"),"Ğ","G"),"ğ","G"),"Ü","U"),"ü","U"),"Ö","O"),"ö","O"),"Ç","C"),"ç","C"),".",""),",","")," ",""),"-","")))</f>
        <v/>
      </c>
    </row>
    <row r="975">
      <c r="A975" s="6" t="n"/>
      <c r="B975" s="113">
        <f>IF($E975="","","A"&amp;TEXT(ROW()-6,"00000"))</f>
        <v/>
      </c>
      <c r="C975" s="108" t="n"/>
      <c r="D975" s="113">
        <f>IF($E975="","",IFERROR(INDEX(MUSTERILER!$B$7:$B$106,MATCH($U975,MUSTERILER!$T$7:$T$106,0)),IFERROR(INDEX(MUSTERILER!$B$7:$B$106,MATCH($E975,MUSTERILER!$B$7:$B$106,0)),IFERROR(INDEX(MUSTERILER!$B$7:$B$106,MATCH($U975&amp;"*",MUSTERILER!$T$7:$T$106,0)),"TANIMSIZ MÜŞTERİ"))))</f>
        <v/>
      </c>
      <c r="E975" s="109" t="n"/>
      <c r="F975" s="109" t="n"/>
      <c r="G975" s="108" t="n"/>
      <c r="H975" s="220" t="n"/>
      <c r="I975" s="220" t="n"/>
      <c r="J975" s="108" t="n"/>
      <c r="K975" s="108" t="n"/>
      <c r="L975" s="109" t="n"/>
      <c r="M975" s="109" t="n"/>
      <c r="N975" s="109" t="n"/>
      <c r="O975" s="220" t="n"/>
      <c r="P975" s="227">
        <f>IF(OR($E975="",$I975=""),"",IF(OR($J975="Tamamlandı",$J975="İptal"),"",$I975-TODAY()))</f>
        <v/>
      </c>
      <c r="Q975" s="113">
        <f>IF($E975="","",IF($D975="TANIMSIZ MÜŞTERİ","HATA",IF(OR($J975="Tamamlandı",$J975="İptal"),"KAPALI",IF(AND($C975="Görüşme",$N975=""),"SONRAKİ İŞLEM EKSİK",IF($I975="","TARİH EKSİK",IF($I975&lt;TODAY(),"GECİKMİŞ",IF($I975=TODAY(),"BUGÜN",IF($I975&lt;=TODAY()+7,"7 GÜN İÇİNDE","PLANLI"))))))))</f>
        <v/>
      </c>
      <c r="R975" s="6" t="n"/>
      <c r="S975" s="6" t="n"/>
      <c r="T975" s="3" t="n"/>
      <c r="U975" s="3">
        <f>IF($E975="","",UPPER(SUBSTITUTE(SUBSTITUTE(SUBSTITUTE(SUBSTITUTE(SUBSTITUTE(SUBSTITUTE(SUBSTITUTE(SUBSTITUTE(SUBSTITUTE(SUBSTITUTE(SUBSTITUTE(SUBSTITUTE(SUBSTITUTE(SUBSTITUTE(SUBSTITUTE(SUBSTITUTE(SUBSTITUTE(SUBSTITUTE(TRIM($E975),"'",""),"İ","I"),"ı","I"),"i","I"),"Ş","S"),"ş","S"),"Ğ","G"),"ğ","G"),"Ü","U"),"ü","U"),"Ö","O"),"ö","O"),"Ç","C"),"ç","C"),".",""),",","")," ",""),"-","")))</f>
        <v/>
      </c>
    </row>
    <row r="976">
      <c r="A976" s="6" t="n"/>
      <c r="B976" s="113">
        <f>IF($E976="","","A"&amp;TEXT(ROW()-6,"00000"))</f>
        <v/>
      </c>
      <c r="C976" s="108" t="n"/>
      <c r="D976" s="113">
        <f>IF($E976="","",IFERROR(INDEX(MUSTERILER!$B$7:$B$106,MATCH($U976,MUSTERILER!$T$7:$T$106,0)),IFERROR(INDEX(MUSTERILER!$B$7:$B$106,MATCH($E976,MUSTERILER!$B$7:$B$106,0)),IFERROR(INDEX(MUSTERILER!$B$7:$B$106,MATCH($U976&amp;"*",MUSTERILER!$T$7:$T$106,0)),"TANIMSIZ MÜŞTERİ"))))</f>
        <v/>
      </c>
      <c r="E976" s="109" t="n"/>
      <c r="F976" s="109" t="n"/>
      <c r="G976" s="108" t="n"/>
      <c r="H976" s="220" t="n"/>
      <c r="I976" s="220" t="n"/>
      <c r="J976" s="108" t="n"/>
      <c r="K976" s="108" t="n"/>
      <c r="L976" s="109" t="n"/>
      <c r="M976" s="109" t="n"/>
      <c r="N976" s="109" t="n"/>
      <c r="O976" s="220" t="n"/>
      <c r="P976" s="227">
        <f>IF(OR($E976="",$I976=""),"",IF(OR($J976="Tamamlandı",$J976="İptal"),"",$I976-TODAY()))</f>
        <v/>
      </c>
      <c r="Q976" s="113">
        <f>IF($E976="","",IF($D976="TANIMSIZ MÜŞTERİ","HATA",IF(OR($J976="Tamamlandı",$J976="İptal"),"KAPALI",IF(AND($C976="Görüşme",$N976=""),"SONRAKİ İŞLEM EKSİK",IF($I976="","TARİH EKSİK",IF($I976&lt;TODAY(),"GECİKMİŞ",IF($I976=TODAY(),"BUGÜN",IF($I976&lt;=TODAY()+7,"7 GÜN İÇİNDE","PLANLI"))))))))</f>
        <v/>
      </c>
      <c r="R976" s="6" t="n"/>
      <c r="S976" s="6" t="n"/>
      <c r="T976" s="3" t="n"/>
      <c r="U976" s="3">
        <f>IF($E976="","",UPPER(SUBSTITUTE(SUBSTITUTE(SUBSTITUTE(SUBSTITUTE(SUBSTITUTE(SUBSTITUTE(SUBSTITUTE(SUBSTITUTE(SUBSTITUTE(SUBSTITUTE(SUBSTITUTE(SUBSTITUTE(SUBSTITUTE(SUBSTITUTE(SUBSTITUTE(SUBSTITUTE(SUBSTITUTE(SUBSTITUTE(TRIM($E976),"'",""),"İ","I"),"ı","I"),"i","I"),"Ş","S"),"ş","S"),"Ğ","G"),"ğ","G"),"Ü","U"),"ü","U"),"Ö","O"),"ö","O"),"Ç","C"),"ç","C"),".",""),",","")," ",""),"-","")))</f>
        <v/>
      </c>
    </row>
    <row r="977">
      <c r="A977" s="6" t="n"/>
      <c r="B977" s="113">
        <f>IF($E977="","","A"&amp;TEXT(ROW()-6,"00000"))</f>
        <v/>
      </c>
      <c r="C977" s="108" t="n"/>
      <c r="D977" s="113">
        <f>IF($E977="","",IFERROR(INDEX(MUSTERILER!$B$7:$B$106,MATCH($U977,MUSTERILER!$T$7:$T$106,0)),IFERROR(INDEX(MUSTERILER!$B$7:$B$106,MATCH($E977,MUSTERILER!$B$7:$B$106,0)),IFERROR(INDEX(MUSTERILER!$B$7:$B$106,MATCH($U977&amp;"*",MUSTERILER!$T$7:$T$106,0)),"TANIMSIZ MÜŞTERİ"))))</f>
        <v/>
      </c>
      <c r="E977" s="109" t="n"/>
      <c r="F977" s="109" t="n"/>
      <c r="G977" s="108" t="n"/>
      <c r="H977" s="220" t="n"/>
      <c r="I977" s="220" t="n"/>
      <c r="J977" s="108" t="n"/>
      <c r="K977" s="108" t="n"/>
      <c r="L977" s="109" t="n"/>
      <c r="M977" s="109" t="n"/>
      <c r="N977" s="109" t="n"/>
      <c r="O977" s="220" t="n"/>
      <c r="P977" s="227">
        <f>IF(OR($E977="",$I977=""),"",IF(OR($J977="Tamamlandı",$J977="İptal"),"",$I977-TODAY()))</f>
        <v/>
      </c>
      <c r="Q977" s="113">
        <f>IF($E977="","",IF($D977="TANIMSIZ MÜŞTERİ","HATA",IF(OR($J977="Tamamlandı",$J977="İptal"),"KAPALI",IF(AND($C977="Görüşme",$N977=""),"SONRAKİ İŞLEM EKSİK",IF($I977="","TARİH EKSİK",IF($I977&lt;TODAY(),"GECİKMİŞ",IF($I977=TODAY(),"BUGÜN",IF($I977&lt;=TODAY()+7,"7 GÜN İÇİNDE","PLANLI"))))))))</f>
        <v/>
      </c>
      <c r="R977" s="6" t="n"/>
      <c r="S977" s="6" t="n"/>
      <c r="T977" s="3" t="n"/>
      <c r="U977" s="3">
        <f>IF($E977="","",UPPER(SUBSTITUTE(SUBSTITUTE(SUBSTITUTE(SUBSTITUTE(SUBSTITUTE(SUBSTITUTE(SUBSTITUTE(SUBSTITUTE(SUBSTITUTE(SUBSTITUTE(SUBSTITUTE(SUBSTITUTE(SUBSTITUTE(SUBSTITUTE(SUBSTITUTE(SUBSTITUTE(SUBSTITUTE(SUBSTITUTE(TRIM($E977),"'",""),"İ","I"),"ı","I"),"i","I"),"Ş","S"),"ş","S"),"Ğ","G"),"ğ","G"),"Ü","U"),"ü","U"),"Ö","O"),"ö","O"),"Ç","C"),"ç","C"),".",""),",","")," ",""),"-","")))</f>
        <v/>
      </c>
    </row>
    <row r="978">
      <c r="A978" s="6" t="n"/>
      <c r="B978" s="113">
        <f>IF($E978="","","A"&amp;TEXT(ROW()-6,"00000"))</f>
        <v/>
      </c>
      <c r="C978" s="108" t="n"/>
      <c r="D978" s="113">
        <f>IF($E978="","",IFERROR(INDEX(MUSTERILER!$B$7:$B$106,MATCH($U978,MUSTERILER!$T$7:$T$106,0)),IFERROR(INDEX(MUSTERILER!$B$7:$B$106,MATCH($E978,MUSTERILER!$B$7:$B$106,0)),IFERROR(INDEX(MUSTERILER!$B$7:$B$106,MATCH($U978&amp;"*",MUSTERILER!$T$7:$T$106,0)),"TANIMSIZ MÜŞTERİ"))))</f>
        <v/>
      </c>
      <c r="E978" s="109" t="n"/>
      <c r="F978" s="109" t="n"/>
      <c r="G978" s="108" t="n"/>
      <c r="H978" s="220" t="n"/>
      <c r="I978" s="220" t="n"/>
      <c r="J978" s="108" t="n"/>
      <c r="K978" s="108" t="n"/>
      <c r="L978" s="109" t="n"/>
      <c r="M978" s="109" t="n"/>
      <c r="N978" s="109" t="n"/>
      <c r="O978" s="220" t="n"/>
      <c r="P978" s="227">
        <f>IF(OR($E978="",$I978=""),"",IF(OR($J978="Tamamlandı",$J978="İptal"),"",$I978-TODAY()))</f>
        <v/>
      </c>
      <c r="Q978" s="113">
        <f>IF($E978="","",IF($D978="TANIMSIZ MÜŞTERİ","HATA",IF(OR($J978="Tamamlandı",$J978="İptal"),"KAPALI",IF(AND($C978="Görüşme",$N978=""),"SONRAKİ İŞLEM EKSİK",IF($I978="","TARİH EKSİK",IF($I978&lt;TODAY(),"GECİKMİŞ",IF($I978=TODAY(),"BUGÜN",IF($I978&lt;=TODAY()+7,"7 GÜN İÇİNDE","PLANLI"))))))))</f>
        <v/>
      </c>
      <c r="R978" s="6" t="n"/>
      <c r="S978" s="6" t="n"/>
      <c r="T978" s="3" t="n"/>
      <c r="U978" s="3">
        <f>IF($E978="","",UPPER(SUBSTITUTE(SUBSTITUTE(SUBSTITUTE(SUBSTITUTE(SUBSTITUTE(SUBSTITUTE(SUBSTITUTE(SUBSTITUTE(SUBSTITUTE(SUBSTITUTE(SUBSTITUTE(SUBSTITUTE(SUBSTITUTE(SUBSTITUTE(SUBSTITUTE(SUBSTITUTE(SUBSTITUTE(SUBSTITUTE(TRIM($E978),"'",""),"İ","I"),"ı","I"),"i","I"),"Ş","S"),"ş","S"),"Ğ","G"),"ğ","G"),"Ü","U"),"ü","U"),"Ö","O"),"ö","O"),"Ç","C"),"ç","C"),".",""),",","")," ",""),"-","")))</f>
        <v/>
      </c>
    </row>
    <row r="979">
      <c r="A979" s="6" t="n"/>
      <c r="B979" s="113">
        <f>IF($E979="","","A"&amp;TEXT(ROW()-6,"00000"))</f>
        <v/>
      </c>
      <c r="C979" s="108" t="n"/>
      <c r="D979" s="113">
        <f>IF($E979="","",IFERROR(INDEX(MUSTERILER!$B$7:$B$106,MATCH($U979,MUSTERILER!$T$7:$T$106,0)),IFERROR(INDEX(MUSTERILER!$B$7:$B$106,MATCH($E979,MUSTERILER!$B$7:$B$106,0)),IFERROR(INDEX(MUSTERILER!$B$7:$B$106,MATCH($U979&amp;"*",MUSTERILER!$T$7:$T$106,0)),"TANIMSIZ MÜŞTERİ"))))</f>
        <v/>
      </c>
      <c r="E979" s="109" t="n"/>
      <c r="F979" s="109" t="n"/>
      <c r="G979" s="108" t="n"/>
      <c r="H979" s="220" t="n"/>
      <c r="I979" s="220" t="n"/>
      <c r="J979" s="108" t="n"/>
      <c r="K979" s="108" t="n"/>
      <c r="L979" s="109" t="n"/>
      <c r="M979" s="109" t="n"/>
      <c r="N979" s="109" t="n"/>
      <c r="O979" s="220" t="n"/>
      <c r="P979" s="227">
        <f>IF(OR($E979="",$I979=""),"",IF(OR($J979="Tamamlandı",$J979="İptal"),"",$I979-TODAY()))</f>
        <v/>
      </c>
      <c r="Q979" s="113">
        <f>IF($E979="","",IF($D979="TANIMSIZ MÜŞTERİ","HATA",IF(OR($J979="Tamamlandı",$J979="İptal"),"KAPALI",IF(AND($C979="Görüşme",$N979=""),"SONRAKİ İŞLEM EKSİK",IF($I979="","TARİH EKSİK",IF($I979&lt;TODAY(),"GECİKMİŞ",IF($I979=TODAY(),"BUGÜN",IF($I979&lt;=TODAY()+7,"7 GÜN İÇİNDE","PLANLI"))))))))</f>
        <v/>
      </c>
      <c r="R979" s="6" t="n"/>
      <c r="S979" s="6" t="n"/>
      <c r="T979" s="3" t="n"/>
      <c r="U979" s="3">
        <f>IF($E979="","",UPPER(SUBSTITUTE(SUBSTITUTE(SUBSTITUTE(SUBSTITUTE(SUBSTITUTE(SUBSTITUTE(SUBSTITUTE(SUBSTITUTE(SUBSTITUTE(SUBSTITUTE(SUBSTITUTE(SUBSTITUTE(SUBSTITUTE(SUBSTITUTE(SUBSTITUTE(SUBSTITUTE(SUBSTITUTE(SUBSTITUTE(TRIM($E979),"'",""),"İ","I"),"ı","I"),"i","I"),"Ş","S"),"ş","S"),"Ğ","G"),"ğ","G"),"Ü","U"),"ü","U"),"Ö","O"),"ö","O"),"Ç","C"),"ç","C"),".",""),",","")," ",""),"-","")))</f>
        <v/>
      </c>
    </row>
    <row r="980">
      <c r="A980" s="6" t="n"/>
      <c r="B980" s="113">
        <f>IF($E980="","","A"&amp;TEXT(ROW()-6,"00000"))</f>
        <v/>
      </c>
      <c r="C980" s="108" t="n"/>
      <c r="D980" s="113">
        <f>IF($E980="","",IFERROR(INDEX(MUSTERILER!$B$7:$B$106,MATCH($U980,MUSTERILER!$T$7:$T$106,0)),IFERROR(INDEX(MUSTERILER!$B$7:$B$106,MATCH($E980,MUSTERILER!$B$7:$B$106,0)),IFERROR(INDEX(MUSTERILER!$B$7:$B$106,MATCH($U980&amp;"*",MUSTERILER!$T$7:$T$106,0)),"TANIMSIZ MÜŞTERİ"))))</f>
        <v/>
      </c>
      <c r="E980" s="109" t="n"/>
      <c r="F980" s="109" t="n"/>
      <c r="G980" s="108" t="n"/>
      <c r="H980" s="220" t="n"/>
      <c r="I980" s="220" t="n"/>
      <c r="J980" s="108" t="n"/>
      <c r="K980" s="108" t="n"/>
      <c r="L980" s="109" t="n"/>
      <c r="M980" s="109" t="n"/>
      <c r="N980" s="109" t="n"/>
      <c r="O980" s="220" t="n"/>
      <c r="P980" s="227">
        <f>IF(OR($E980="",$I980=""),"",IF(OR($J980="Tamamlandı",$J980="İptal"),"",$I980-TODAY()))</f>
        <v/>
      </c>
      <c r="Q980" s="113">
        <f>IF($E980="","",IF($D980="TANIMSIZ MÜŞTERİ","HATA",IF(OR($J980="Tamamlandı",$J980="İptal"),"KAPALI",IF(AND($C980="Görüşme",$N980=""),"SONRAKİ İŞLEM EKSİK",IF($I980="","TARİH EKSİK",IF($I980&lt;TODAY(),"GECİKMİŞ",IF($I980=TODAY(),"BUGÜN",IF($I980&lt;=TODAY()+7,"7 GÜN İÇİNDE","PLANLI"))))))))</f>
        <v/>
      </c>
      <c r="R980" s="6" t="n"/>
      <c r="S980" s="6" t="n"/>
      <c r="T980" s="3" t="n"/>
      <c r="U980" s="3">
        <f>IF($E980="","",UPPER(SUBSTITUTE(SUBSTITUTE(SUBSTITUTE(SUBSTITUTE(SUBSTITUTE(SUBSTITUTE(SUBSTITUTE(SUBSTITUTE(SUBSTITUTE(SUBSTITUTE(SUBSTITUTE(SUBSTITUTE(SUBSTITUTE(SUBSTITUTE(SUBSTITUTE(SUBSTITUTE(SUBSTITUTE(SUBSTITUTE(TRIM($E980),"'",""),"İ","I"),"ı","I"),"i","I"),"Ş","S"),"ş","S"),"Ğ","G"),"ğ","G"),"Ü","U"),"ü","U"),"Ö","O"),"ö","O"),"Ç","C"),"ç","C"),".",""),",","")," ",""),"-","")))</f>
        <v/>
      </c>
    </row>
    <row r="981">
      <c r="A981" s="6" t="n"/>
      <c r="B981" s="113">
        <f>IF($E981="","","A"&amp;TEXT(ROW()-6,"00000"))</f>
        <v/>
      </c>
      <c r="C981" s="108" t="n"/>
      <c r="D981" s="113">
        <f>IF($E981="","",IFERROR(INDEX(MUSTERILER!$B$7:$B$106,MATCH($U981,MUSTERILER!$T$7:$T$106,0)),IFERROR(INDEX(MUSTERILER!$B$7:$B$106,MATCH($E981,MUSTERILER!$B$7:$B$106,0)),IFERROR(INDEX(MUSTERILER!$B$7:$B$106,MATCH($U981&amp;"*",MUSTERILER!$T$7:$T$106,0)),"TANIMSIZ MÜŞTERİ"))))</f>
        <v/>
      </c>
      <c r="E981" s="109" t="n"/>
      <c r="F981" s="109" t="n"/>
      <c r="G981" s="108" t="n"/>
      <c r="H981" s="220" t="n"/>
      <c r="I981" s="220" t="n"/>
      <c r="J981" s="108" t="n"/>
      <c r="K981" s="108" t="n"/>
      <c r="L981" s="109" t="n"/>
      <c r="M981" s="109" t="n"/>
      <c r="N981" s="109" t="n"/>
      <c r="O981" s="220" t="n"/>
      <c r="P981" s="227">
        <f>IF(OR($E981="",$I981=""),"",IF(OR($J981="Tamamlandı",$J981="İptal"),"",$I981-TODAY()))</f>
        <v/>
      </c>
      <c r="Q981" s="113">
        <f>IF($E981="","",IF($D981="TANIMSIZ MÜŞTERİ","HATA",IF(OR($J981="Tamamlandı",$J981="İptal"),"KAPALI",IF(AND($C981="Görüşme",$N981=""),"SONRAKİ İŞLEM EKSİK",IF($I981="","TARİH EKSİK",IF($I981&lt;TODAY(),"GECİKMİŞ",IF($I981=TODAY(),"BUGÜN",IF($I981&lt;=TODAY()+7,"7 GÜN İÇİNDE","PLANLI"))))))))</f>
        <v/>
      </c>
      <c r="R981" s="6" t="n"/>
      <c r="S981" s="6" t="n"/>
      <c r="T981" s="3" t="n"/>
      <c r="U981" s="3">
        <f>IF($E981="","",UPPER(SUBSTITUTE(SUBSTITUTE(SUBSTITUTE(SUBSTITUTE(SUBSTITUTE(SUBSTITUTE(SUBSTITUTE(SUBSTITUTE(SUBSTITUTE(SUBSTITUTE(SUBSTITUTE(SUBSTITUTE(SUBSTITUTE(SUBSTITUTE(SUBSTITUTE(SUBSTITUTE(SUBSTITUTE(SUBSTITUTE(TRIM($E981),"'",""),"İ","I"),"ı","I"),"i","I"),"Ş","S"),"ş","S"),"Ğ","G"),"ğ","G"),"Ü","U"),"ü","U"),"Ö","O"),"ö","O"),"Ç","C"),"ç","C"),".",""),",","")," ",""),"-","")))</f>
        <v/>
      </c>
    </row>
    <row r="982">
      <c r="A982" s="6" t="n"/>
      <c r="B982" s="113">
        <f>IF($E982="","","A"&amp;TEXT(ROW()-6,"00000"))</f>
        <v/>
      </c>
      <c r="C982" s="108" t="n"/>
      <c r="D982" s="113">
        <f>IF($E982="","",IFERROR(INDEX(MUSTERILER!$B$7:$B$106,MATCH($U982,MUSTERILER!$T$7:$T$106,0)),IFERROR(INDEX(MUSTERILER!$B$7:$B$106,MATCH($E982,MUSTERILER!$B$7:$B$106,0)),IFERROR(INDEX(MUSTERILER!$B$7:$B$106,MATCH($U982&amp;"*",MUSTERILER!$T$7:$T$106,0)),"TANIMSIZ MÜŞTERİ"))))</f>
        <v/>
      </c>
      <c r="E982" s="109" t="n"/>
      <c r="F982" s="109" t="n"/>
      <c r="G982" s="108" t="n"/>
      <c r="H982" s="220" t="n"/>
      <c r="I982" s="220" t="n"/>
      <c r="J982" s="108" t="n"/>
      <c r="K982" s="108" t="n"/>
      <c r="L982" s="109" t="n"/>
      <c r="M982" s="109" t="n"/>
      <c r="N982" s="109" t="n"/>
      <c r="O982" s="220" t="n"/>
      <c r="P982" s="227">
        <f>IF(OR($E982="",$I982=""),"",IF(OR($J982="Tamamlandı",$J982="İptal"),"",$I982-TODAY()))</f>
        <v/>
      </c>
      <c r="Q982" s="113">
        <f>IF($E982="","",IF($D982="TANIMSIZ MÜŞTERİ","HATA",IF(OR($J982="Tamamlandı",$J982="İptal"),"KAPALI",IF(AND($C982="Görüşme",$N982=""),"SONRAKİ İŞLEM EKSİK",IF($I982="","TARİH EKSİK",IF($I982&lt;TODAY(),"GECİKMİŞ",IF($I982=TODAY(),"BUGÜN",IF($I982&lt;=TODAY()+7,"7 GÜN İÇİNDE","PLANLI"))))))))</f>
        <v/>
      </c>
      <c r="R982" s="6" t="n"/>
      <c r="S982" s="6" t="n"/>
      <c r="T982" s="3" t="n"/>
      <c r="U982" s="3">
        <f>IF($E982="","",UPPER(SUBSTITUTE(SUBSTITUTE(SUBSTITUTE(SUBSTITUTE(SUBSTITUTE(SUBSTITUTE(SUBSTITUTE(SUBSTITUTE(SUBSTITUTE(SUBSTITUTE(SUBSTITUTE(SUBSTITUTE(SUBSTITUTE(SUBSTITUTE(SUBSTITUTE(SUBSTITUTE(SUBSTITUTE(SUBSTITUTE(TRIM($E982),"'",""),"İ","I"),"ı","I"),"i","I"),"Ş","S"),"ş","S"),"Ğ","G"),"ğ","G"),"Ü","U"),"ü","U"),"Ö","O"),"ö","O"),"Ç","C"),"ç","C"),".",""),",","")," ",""),"-","")))</f>
        <v/>
      </c>
    </row>
    <row r="983">
      <c r="A983" s="6" t="n"/>
      <c r="B983" s="113">
        <f>IF($E983="","","A"&amp;TEXT(ROW()-6,"00000"))</f>
        <v/>
      </c>
      <c r="C983" s="108" t="n"/>
      <c r="D983" s="113">
        <f>IF($E983="","",IFERROR(INDEX(MUSTERILER!$B$7:$B$106,MATCH($U983,MUSTERILER!$T$7:$T$106,0)),IFERROR(INDEX(MUSTERILER!$B$7:$B$106,MATCH($E983,MUSTERILER!$B$7:$B$106,0)),IFERROR(INDEX(MUSTERILER!$B$7:$B$106,MATCH($U983&amp;"*",MUSTERILER!$T$7:$T$106,0)),"TANIMSIZ MÜŞTERİ"))))</f>
        <v/>
      </c>
      <c r="E983" s="109" t="n"/>
      <c r="F983" s="109" t="n"/>
      <c r="G983" s="108" t="n"/>
      <c r="H983" s="220" t="n"/>
      <c r="I983" s="220" t="n"/>
      <c r="J983" s="108" t="n"/>
      <c r="K983" s="108" t="n"/>
      <c r="L983" s="109" t="n"/>
      <c r="M983" s="109" t="n"/>
      <c r="N983" s="109" t="n"/>
      <c r="O983" s="220" t="n"/>
      <c r="P983" s="227">
        <f>IF(OR($E983="",$I983=""),"",IF(OR($J983="Tamamlandı",$J983="İptal"),"",$I983-TODAY()))</f>
        <v/>
      </c>
      <c r="Q983" s="113">
        <f>IF($E983="","",IF($D983="TANIMSIZ MÜŞTERİ","HATA",IF(OR($J983="Tamamlandı",$J983="İptal"),"KAPALI",IF(AND($C983="Görüşme",$N983=""),"SONRAKİ İŞLEM EKSİK",IF($I983="","TARİH EKSİK",IF($I983&lt;TODAY(),"GECİKMİŞ",IF($I983=TODAY(),"BUGÜN",IF($I983&lt;=TODAY()+7,"7 GÜN İÇİNDE","PLANLI"))))))))</f>
        <v/>
      </c>
      <c r="R983" s="6" t="n"/>
      <c r="S983" s="6" t="n"/>
      <c r="T983" s="3" t="n"/>
      <c r="U983" s="3">
        <f>IF($E983="","",UPPER(SUBSTITUTE(SUBSTITUTE(SUBSTITUTE(SUBSTITUTE(SUBSTITUTE(SUBSTITUTE(SUBSTITUTE(SUBSTITUTE(SUBSTITUTE(SUBSTITUTE(SUBSTITUTE(SUBSTITUTE(SUBSTITUTE(SUBSTITUTE(SUBSTITUTE(SUBSTITUTE(SUBSTITUTE(SUBSTITUTE(TRIM($E983),"'",""),"İ","I"),"ı","I"),"i","I"),"Ş","S"),"ş","S"),"Ğ","G"),"ğ","G"),"Ü","U"),"ü","U"),"Ö","O"),"ö","O"),"Ç","C"),"ç","C"),".",""),",","")," ",""),"-","")))</f>
        <v/>
      </c>
    </row>
    <row r="984">
      <c r="A984" s="6" t="n"/>
      <c r="B984" s="113">
        <f>IF($E984="","","A"&amp;TEXT(ROW()-6,"00000"))</f>
        <v/>
      </c>
      <c r="C984" s="108" t="n"/>
      <c r="D984" s="113">
        <f>IF($E984="","",IFERROR(INDEX(MUSTERILER!$B$7:$B$106,MATCH($U984,MUSTERILER!$T$7:$T$106,0)),IFERROR(INDEX(MUSTERILER!$B$7:$B$106,MATCH($E984,MUSTERILER!$B$7:$B$106,0)),IFERROR(INDEX(MUSTERILER!$B$7:$B$106,MATCH($U984&amp;"*",MUSTERILER!$T$7:$T$106,0)),"TANIMSIZ MÜŞTERİ"))))</f>
        <v/>
      </c>
      <c r="E984" s="109" t="n"/>
      <c r="F984" s="109" t="n"/>
      <c r="G984" s="108" t="n"/>
      <c r="H984" s="220" t="n"/>
      <c r="I984" s="220" t="n"/>
      <c r="J984" s="108" t="n"/>
      <c r="K984" s="108" t="n"/>
      <c r="L984" s="109" t="n"/>
      <c r="M984" s="109" t="n"/>
      <c r="N984" s="109" t="n"/>
      <c r="O984" s="220" t="n"/>
      <c r="P984" s="227">
        <f>IF(OR($E984="",$I984=""),"",IF(OR($J984="Tamamlandı",$J984="İptal"),"",$I984-TODAY()))</f>
        <v/>
      </c>
      <c r="Q984" s="113">
        <f>IF($E984="","",IF($D984="TANIMSIZ MÜŞTERİ","HATA",IF(OR($J984="Tamamlandı",$J984="İptal"),"KAPALI",IF(AND($C984="Görüşme",$N984=""),"SONRAKİ İŞLEM EKSİK",IF($I984="","TARİH EKSİK",IF($I984&lt;TODAY(),"GECİKMİŞ",IF($I984=TODAY(),"BUGÜN",IF($I984&lt;=TODAY()+7,"7 GÜN İÇİNDE","PLANLI"))))))))</f>
        <v/>
      </c>
      <c r="R984" s="6" t="n"/>
      <c r="S984" s="6" t="n"/>
      <c r="T984" s="3" t="n"/>
      <c r="U984" s="3">
        <f>IF($E984="","",UPPER(SUBSTITUTE(SUBSTITUTE(SUBSTITUTE(SUBSTITUTE(SUBSTITUTE(SUBSTITUTE(SUBSTITUTE(SUBSTITUTE(SUBSTITUTE(SUBSTITUTE(SUBSTITUTE(SUBSTITUTE(SUBSTITUTE(SUBSTITUTE(SUBSTITUTE(SUBSTITUTE(SUBSTITUTE(SUBSTITUTE(TRIM($E984),"'",""),"İ","I"),"ı","I"),"i","I"),"Ş","S"),"ş","S"),"Ğ","G"),"ğ","G"),"Ü","U"),"ü","U"),"Ö","O"),"ö","O"),"Ç","C"),"ç","C"),".",""),",","")," ",""),"-","")))</f>
        <v/>
      </c>
    </row>
    <row r="985">
      <c r="A985" s="6" t="n"/>
      <c r="B985" s="113">
        <f>IF($E985="","","A"&amp;TEXT(ROW()-6,"00000"))</f>
        <v/>
      </c>
      <c r="C985" s="108" t="n"/>
      <c r="D985" s="113">
        <f>IF($E985="","",IFERROR(INDEX(MUSTERILER!$B$7:$B$106,MATCH($U985,MUSTERILER!$T$7:$T$106,0)),IFERROR(INDEX(MUSTERILER!$B$7:$B$106,MATCH($E985,MUSTERILER!$B$7:$B$106,0)),IFERROR(INDEX(MUSTERILER!$B$7:$B$106,MATCH($U985&amp;"*",MUSTERILER!$T$7:$T$106,0)),"TANIMSIZ MÜŞTERİ"))))</f>
        <v/>
      </c>
      <c r="E985" s="109" t="n"/>
      <c r="F985" s="109" t="n"/>
      <c r="G985" s="108" t="n"/>
      <c r="H985" s="220" t="n"/>
      <c r="I985" s="220" t="n"/>
      <c r="J985" s="108" t="n"/>
      <c r="K985" s="108" t="n"/>
      <c r="L985" s="109" t="n"/>
      <c r="M985" s="109" t="n"/>
      <c r="N985" s="109" t="n"/>
      <c r="O985" s="220" t="n"/>
      <c r="P985" s="227">
        <f>IF(OR($E985="",$I985=""),"",IF(OR($J985="Tamamlandı",$J985="İptal"),"",$I985-TODAY()))</f>
        <v/>
      </c>
      <c r="Q985" s="113">
        <f>IF($E985="","",IF($D985="TANIMSIZ MÜŞTERİ","HATA",IF(OR($J985="Tamamlandı",$J985="İptal"),"KAPALI",IF(AND($C985="Görüşme",$N985=""),"SONRAKİ İŞLEM EKSİK",IF($I985="","TARİH EKSİK",IF($I985&lt;TODAY(),"GECİKMİŞ",IF($I985=TODAY(),"BUGÜN",IF($I985&lt;=TODAY()+7,"7 GÜN İÇİNDE","PLANLI"))))))))</f>
        <v/>
      </c>
      <c r="R985" s="6" t="n"/>
      <c r="S985" s="6" t="n"/>
      <c r="T985" s="3" t="n"/>
      <c r="U985" s="3">
        <f>IF($E985="","",UPPER(SUBSTITUTE(SUBSTITUTE(SUBSTITUTE(SUBSTITUTE(SUBSTITUTE(SUBSTITUTE(SUBSTITUTE(SUBSTITUTE(SUBSTITUTE(SUBSTITUTE(SUBSTITUTE(SUBSTITUTE(SUBSTITUTE(SUBSTITUTE(SUBSTITUTE(SUBSTITUTE(SUBSTITUTE(SUBSTITUTE(TRIM($E985),"'",""),"İ","I"),"ı","I"),"i","I"),"Ş","S"),"ş","S"),"Ğ","G"),"ğ","G"),"Ü","U"),"ü","U"),"Ö","O"),"ö","O"),"Ç","C"),"ç","C"),".",""),",","")," ",""),"-","")))</f>
        <v/>
      </c>
    </row>
    <row r="986">
      <c r="A986" s="6" t="n"/>
      <c r="B986" s="113">
        <f>IF($E986="","","A"&amp;TEXT(ROW()-6,"00000"))</f>
        <v/>
      </c>
      <c r="C986" s="108" t="n"/>
      <c r="D986" s="113">
        <f>IF($E986="","",IFERROR(INDEX(MUSTERILER!$B$7:$B$106,MATCH($U986,MUSTERILER!$T$7:$T$106,0)),IFERROR(INDEX(MUSTERILER!$B$7:$B$106,MATCH($E986,MUSTERILER!$B$7:$B$106,0)),IFERROR(INDEX(MUSTERILER!$B$7:$B$106,MATCH($U986&amp;"*",MUSTERILER!$T$7:$T$106,0)),"TANIMSIZ MÜŞTERİ"))))</f>
        <v/>
      </c>
      <c r="E986" s="109" t="n"/>
      <c r="F986" s="109" t="n"/>
      <c r="G986" s="108" t="n"/>
      <c r="H986" s="220" t="n"/>
      <c r="I986" s="220" t="n"/>
      <c r="J986" s="108" t="n"/>
      <c r="K986" s="108" t="n"/>
      <c r="L986" s="109" t="n"/>
      <c r="M986" s="109" t="n"/>
      <c r="N986" s="109" t="n"/>
      <c r="O986" s="220" t="n"/>
      <c r="P986" s="227">
        <f>IF(OR($E986="",$I986=""),"",IF(OR($J986="Tamamlandı",$J986="İptal"),"",$I986-TODAY()))</f>
        <v/>
      </c>
      <c r="Q986" s="113">
        <f>IF($E986="","",IF($D986="TANIMSIZ MÜŞTERİ","HATA",IF(OR($J986="Tamamlandı",$J986="İptal"),"KAPALI",IF(AND($C986="Görüşme",$N986=""),"SONRAKİ İŞLEM EKSİK",IF($I986="","TARİH EKSİK",IF($I986&lt;TODAY(),"GECİKMİŞ",IF($I986=TODAY(),"BUGÜN",IF($I986&lt;=TODAY()+7,"7 GÜN İÇİNDE","PLANLI"))))))))</f>
        <v/>
      </c>
      <c r="R986" s="6" t="n"/>
      <c r="S986" s="6" t="n"/>
      <c r="T986" s="3" t="n"/>
      <c r="U986" s="3">
        <f>IF($E986="","",UPPER(SUBSTITUTE(SUBSTITUTE(SUBSTITUTE(SUBSTITUTE(SUBSTITUTE(SUBSTITUTE(SUBSTITUTE(SUBSTITUTE(SUBSTITUTE(SUBSTITUTE(SUBSTITUTE(SUBSTITUTE(SUBSTITUTE(SUBSTITUTE(SUBSTITUTE(SUBSTITUTE(SUBSTITUTE(SUBSTITUTE(TRIM($E986),"'",""),"İ","I"),"ı","I"),"i","I"),"Ş","S"),"ş","S"),"Ğ","G"),"ğ","G"),"Ü","U"),"ü","U"),"Ö","O"),"ö","O"),"Ç","C"),"ç","C"),".",""),",","")," ",""),"-","")))</f>
        <v/>
      </c>
    </row>
    <row r="987">
      <c r="A987" s="6" t="n"/>
      <c r="B987" s="113">
        <f>IF($E987="","","A"&amp;TEXT(ROW()-6,"00000"))</f>
        <v/>
      </c>
      <c r="C987" s="108" t="n"/>
      <c r="D987" s="113">
        <f>IF($E987="","",IFERROR(INDEX(MUSTERILER!$B$7:$B$106,MATCH($U987,MUSTERILER!$T$7:$T$106,0)),IFERROR(INDEX(MUSTERILER!$B$7:$B$106,MATCH($E987,MUSTERILER!$B$7:$B$106,0)),IFERROR(INDEX(MUSTERILER!$B$7:$B$106,MATCH($U987&amp;"*",MUSTERILER!$T$7:$T$106,0)),"TANIMSIZ MÜŞTERİ"))))</f>
        <v/>
      </c>
      <c r="E987" s="109" t="n"/>
      <c r="F987" s="109" t="n"/>
      <c r="G987" s="108" t="n"/>
      <c r="H987" s="220" t="n"/>
      <c r="I987" s="220" t="n"/>
      <c r="J987" s="108" t="n"/>
      <c r="K987" s="108" t="n"/>
      <c r="L987" s="109" t="n"/>
      <c r="M987" s="109" t="n"/>
      <c r="N987" s="109" t="n"/>
      <c r="O987" s="220" t="n"/>
      <c r="P987" s="227">
        <f>IF(OR($E987="",$I987=""),"",IF(OR($J987="Tamamlandı",$J987="İptal"),"",$I987-TODAY()))</f>
        <v/>
      </c>
      <c r="Q987" s="113">
        <f>IF($E987="","",IF($D987="TANIMSIZ MÜŞTERİ","HATA",IF(OR($J987="Tamamlandı",$J987="İptal"),"KAPALI",IF(AND($C987="Görüşme",$N987=""),"SONRAKİ İŞLEM EKSİK",IF($I987="","TARİH EKSİK",IF($I987&lt;TODAY(),"GECİKMİŞ",IF($I987=TODAY(),"BUGÜN",IF($I987&lt;=TODAY()+7,"7 GÜN İÇİNDE","PLANLI"))))))))</f>
        <v/>
      </c>
      <c r="R987" s="6" t="n"/>
      <c r="S987" s="6" t="n"/>
      <c r="T987" s="3" t="n"/>
      <c r="U987" s="3">
        <f>IF($E987="","",UPPER(SUBSTITUTE(SUBSTITUTE(SUBSTITUTE(SUBSTITUTE(SUBSTITUTE(SUBSTITUTE(SUBSTITUTE(SUBSTITUTE(SUBSTITUTE(SUBSTITUTE(SUBSTITUTE(SUBSTITUTE(SUBSTITUTE(SUBSTITUTE(SUBSTITUTE(SUBSTITUTE(SUBSTITUTE(SUBSTITUTE(TRIM($E987),"'",""),"İ","I"),"ı","I"),"i","I"),"Ş","S"),"ş","S"),"Ğ","G"),"ğ","G"),"Ü","U"),"ü","U"),"Ö","O"),"ö","O"),"Ç","C"),"ç","C"),".",""),",","")," ",""),"-","")))</f>
        <v/>
      </c>
    </row>
    <row r="988">
      <c r="A988" s="6" t="n"/>
      <c r="B988" s="113">
        <f>IF($E988="","","A"&amp;TEXT(ROW()-6,"00000"))</f>
        <v/>
      </c>
      <c r="C988" s="108" t="n"/>
      <c r="D988" s="113">
        <f>IF($E988="","",IFERROR(INDEX(MUSTERILER!$B$7:$B$106,MATCH($U988,MUSTERILER!$T$7:$T$106,0)),IFERROR(INDEX(MUSTERILER!$B$7:$B$106,MATCH($E988,MUSTERILER!$B$7:$B$106,0)),IFERROR(INDEX(MUSTERILER!$B$7:$B$106,MATCH($U988&amp;"*",MUSTERILER!$T$7:$T$106,0)),"TANIMSIZ MÜŞTERİ"))))</f>
        <v/>
      </c>
      <c r="E988" s="109" t="n"/>
      <c r="F988" s="109" t="n"/>
      <c r="G988" s="108" t="n"/>
      <c r="H988" s="220" t="n"/>
      <c r="I988" s="220" t="n"/>
      <c r="J988" s="108" t="n"/>
      <c r="K988" s="108" t="n"/>
      <c r="L988" s="109" t="n"/>
      <c r="M988" s="109" t="n"/>
      <c r="N988" s="109" t="n"/>
      <c r="O988" s="220" t="n"/>
      <c r="P988" s="227">
        <f>IF(OR($E988="",$I988=""),"",IF(OR($J988="Tamamlandı",$J988="İptal"),"",$I988-TODAY()))</f>
        <v/>
      </c>
      <c r="Q988" s="113">
        <f>IF($E988="","",IF($D988="TANIMSIZ MÜŞTERİ","HATA",IF(OR($J988="Tamamlandı",$J988="İptal"),"KAPALI",IF(AND($C988="Görüşme",$N988=""),"SONRAKİ İŞLEM EKSİK",IF($I988="","TARİH EKSİK",IF($I988&lt;TODAY(),"GECİKMİŞ",IF($I988=TODAY(),"BUGÜN",IF($I988&lt;=TODAY()+7,"7 GÜN İÇİNDE","PLANLI"))))))))</f>
        <v/>
      </c>
      <c r="R988" s="6" t="n"/>
      <c r="S988" s="6" t="n"/>
      <c r="T988" s="3" t="n"/>
      <c r="U988" s="3">
        <f>IF($E988="","",UPPER(SUBSTITUTE(SUBSTITUTE(SUBSTITUTE(SUBSTITUTE(SUBSTITUTE(SUBSTITUTE(SUBSTITUTE(SUBSTITUTE(SUBSTITUTE(SUBSTITUTE(SUBSTITUTE(SUBSTITUTE(SUBSTITUTE(SUBSTITUTE(SUBSTITUTE(SUBSTITUTE(SUBSTITUTE(SUBSTITUTE(TRIM($E988),"'",""),"İ","I"),"ı","I"),"i","I"),"Ş","S"),"ş","S"),"Ğ","G"),"ğ","G"),"Ü","U"),"ü","U"),"Ö","O"),"ö","O"),"Ç","C"),"ç","C"),".",""),",","")," ",""),"-","")))</f>
        <v/>
      </c>
    </row>
    <row r="989">
      <c r="A989" s="6" t="n"/>
      <c r="B989" s="113">
        <f>IF($E989="","","A"&amp;TEXT(ROW()-6,"00000"))</f>
        <v/>
      </c>
      <c r="C989" s="108" t="n"/>
      <c r="D989" s="113">
        <f>IF($E989="","",IFERROR(INDEX(MUSTERILER!$B$7:$B$106,MATCH($U989,MUSTERILER!$T$7:$T$106,0)),IFERROR(INDEX(MUSTERILER!$B$7:$B$106,MATCH($E989,MUSTERILER!$B$7:$B$106,0)),IFERROR(INDEX(MUSTERILER!$B$7:$B$106,MATCH($U989&amp;"*",MUSTERILER!$T$7:$T$106,0)),"TANIMSIZ MÜŞTERİ"))))</f>
        <v/>
      </c>
      <c r="E989" s="109" t="n"/>
      <c r="F989" s="109" t="n"/>
      <c r="G989" s="108" t="n"/>
      <c r="H989" s="220" t="n"/>
      <c r="I989" s="220" t="n"/>
      <c r="J989" s="108" t="n"/>
      <c r="K989" s="108" t="n"/>
      <c r="L989" s="109" t="n"/>
      <c r="M989" s="109" t="n"/>
      <c r="N989" s="109" t="n"/>
      <c r="O989" s="220" t="n"/>
      <c r="P989" s="227">
        <f>IF(OR($E989="",$I989=""),"",IF(OR($J989="Tamamlandı",$J989="İptal"),"",$I989-TODAY()))</f>
        <v/>
      </c>
      <c r="Q989" s="113">
        <f>IF($E989="","",IF($D989="TANIMSIZ MÜŞTERİ","HATA",IF(OR($J989="Tamamlandı",$J989="İptal"),"KAPALI",IF(AND($C989="Görüşme",$N989=""),"SONRAKİ İŞLEM EKSİK",IF($I989="","TARİH EKSİK",IF($I989&lt;TODAY(),"GECİKMİŞ",IF($I989=TODAY(),"BUGÜN",IF($I989&lt;=TODAY()+7,"7 GÜN İÇİNDE","PLANLI"))))))))</f>
        <v/>
      </c>
      <c r="R989" s="6" t="n"/>
      <c r="S989" s="6" t="n"/>
      <c r="T989" s="3" t="n"/>
      <c r="U989" s="3">
        <f>IF($E989="","",UPPER(SUBSTITUTE(SUBSTITUTE(SUBSTITUTE(SUBSTITUTE(SUBSTITUTE(SUBSTITUTE(SUBSTITUTE(SUBSTITUTE(SUBSTITUTE(SUBSTITUTE(SUBSTITUTE(SUBSTITUTE(SUBSTITUTE(SUBSTITUTE(SUBSTITUTE(SUBSTITUTE(SUBSTITUTE(SUBSTITUTE(TRIM($E989),"'",""),"İ","I"),"ı","I"),"i","I"),"Ş","S"),"ş","S"),"Ğ","G"),"ğ","G"),"Ü","U"),"ü","U"),"Ö","O"),"ö","O"),"Ç","C"),"ç","C"),".",""),",","")," ",""),"-","")))</f>
        <v/>
      </c>
    </row>
    <row r="990">
      <c r="A990" s="6" t="n"/>
      <c r="B990" s="113">
        <f>IF($E990="","","A"&amp;TEXT(ROW()-6,"00000"))</f>
        <v/>
      </c>
      <c r="C990" s="108" t="n"/>
      <c r="D990" s="113">
        <f>IF($E990="","",IFERROR(INDEX(MUSTERILER!$B$7:$B$106,MATCH($U990,MUSTERILER!$T$7:$T$106,0)),IFERROR(INDEX(MUSTERILER!$B$7:$B$106,MATCH($E990,MUSTERILER!$B$7:$B$106,0)),IFERROR(INDEX(MUSTERILER!$B$7:$B$106,MATCH($U990&amp;"*",MUSTERILER!$T$7:$T$106,0)),"TANIMSIZ MÜŞTERİ"))))</f>
        <v/>
      </c>
      <c r="E990" s="109" t="n"/>
      <c r="F990" s="109" t="n"/>
      <c r="G990" s="108" t="n"/>
      <c r="H990" s="220" t="n"/>
      <c r="I990" s="220" t="n"/>
      <c r="J990" s="108" t="n"/>
      <c r="K990" s="108" t="n"/>
      <c r="L990" s="109" t="n"/>
      <c r="M990" s="109" t="n"/>
      <c r="N990" s="109" t="n"/>
      <c r="O990" s="220" t="n"/>
      <c r="P990" s="227">
        <f>IF(OR($E990="",$I990=""),"",IF(OR($J990="Tamamlandı",$J990="İptal"),"",$I990-TODAY()))</f>
        <v/>
      </c>
      <c r="Q990" s="113">
        <f>IF($E990="","",IF($D990="TANIMSIZ MÜŞTERİ","HATA",IF(OR($J990="Tamamlandı",$J990="İptal"),"KAPALI",IF(AND($C990="Görüşme",$N990=""),"SONRAKİ İŞLEM EKSİK",IF($I990="","TARİH EKSİK",IF($I990&lt;TODAY(),"GECİKMİŞ",IF($I990=TODAY(),"BUGÜN",IF($I990&lt;=TODAY()+7,"7 GÜN İÇİNDE","PLANLI"))))))))</f>
        <v/>
      </c>
      <c r="R990" s="6" t="n"/>
      <c r="S990" s="6" t="n"/>
      <c r="T990" s="3" t="n"/>
      <c r="U990" s="3">
        <f>IF($E990="","",UPPER(SUBSTITUTE(SUBSTITUTE(SUBSTITUTE(SUBSTITUTE(SUBSTITUTE(SUBSTITUTE(SUBSTITUTE(SUBSTITUTE(SUBSTITUTE(SUBSTITUTE(SUBSTITUTE(SUBSTITUTE(SUBSTITUTE(SUBSTITUTE(SUBSTITUTE(SUBSTITUTE(SUBSTITUTE(SUBSTITUTE(TRIM($E990),"'",""),"İ","I"),"ı","I"),"i","I"),"Ş","S"),"ş","S"),"Ğ","G"),"ğ","G"),"Ü","U"),"ü","U"),"Ö","O"),"ö","O"),"Ç","C"),"ç","C"),".",""),",","")," ",""),"-","")))</f>
        <v/>
      </c>
    </row>
    <row r="991">
      <c r="A991" s="6" t="n"/>
      <c r="B991" s="113">
        <f>IF($E991="","","A"&amp;TEXT(ROW()-6,"00000"))</f>
        <v/>
      </c>
      <c r="C991" s="108" t="n"/>
      <c r="D991" s="113">
        <f>IF($E991="","",IFERROR(INDEX(MUSTERILER!$B$7:$B$106,MATCH($U991,MUSTERILER!$T$7:$T$106,0)),IFERROR(INDEX(MUSTERILER!$B$7:$B$106,MATCH($E991,MUSTERILER!$B$7:$B$106,0)),IFERROR(INDEX(MUSTERILER!$B$7:$B$106,MATCH($U991&amp;"*",MUSTERILER!$T$7:$T$106,0)),"TANIMSIZ MÜŞTERİ"))))</f>
        <v/>
      </c>
      <c r="E991" s="109" t="n"/>
      <c r="F991" s="109" t="n"/>
      <c r="G991" s="108" t="n"/>
      <c r="H991" s="220" t="n"/>
      <c r="I991" s="220" t="n"/>
      <c r="J991" s="108" t="n"/>
      <c r="K991" s="108" t="n"/>
      <c r="L991" s="109" t="n"/>
      <c r="M991" s="109" t="n"/>
      <c r="N991" s="109" t="n"/>
      <c r="O991" s="220" t="n"/>
      <c r="P991" s="227">
        <f>IF(OR($E991="",$I991=""),"",IF(OR($J991="Tamamlandı",$J991="İptal"),"",$I991-TODAY()))</f>
        <v/>
      </c>
      <c r="Q991" s="113">
        <f>IF($E991="","",IF($D991="TANIMSIZ MÜŞTERİ","HATA",IF(OR($J991="Tamamlandı",$J991="İptal"),"KAPALI",IF(AND($C991="Görüşme",$N991=""),"SONRAKİ İŞLEM EKSİK",IF($I991="","TARİH EKSİK",IF($I991&lt;TODAY(),"GECİKMİŞ",IF($I991=TODAY(),"BUGÜN",IF($I991&lt;=TODAY()+7,"7 GÜN İÇİNDE","PLANLI"))))))))</f>
        <v/>
      </c>
      <c r="R991" s="6" t="n"/>
      <c r="S991" s="6" t="n"/>
      <c r="T991" s="3" t="n"/>
      <c r="U991" s="3">
        <f>IF($E991="","",UPPER(SUBSTITUTE(SUBSTITUTE(SUBSTITUTE(SUBSTITUTE(SUBSTITUTE(SUBSTITUTE(SUBSTITUTE(SUBSTITUTE(SUBSTITUTE(SUBSTITUTE(SUBSTITUTE(SUBSTITUTE(SUBSTITUTE(SUBSTITUTE(SUBSTITUTE(SUBSTITUTE(SUBSTITUTE(SUBSTITUTE(TRIM($E991),"'",""),"İ","I"),"ı","I"),"i","I"),"Ş","S"),"ş","S"),"Ğ","G"),"ğ","G"),"Ü","U"),"ü","U"),"Ö","O"),"ö","O"),"Ç","C"),"ç","C"),".",""),",","")," ",""),"-","")))</f>
        <v/>
      </c>
    </row>
    <row r="992">
      <c r="A992" s="6" t="n"/>
      <c r="B992" s="113">
        <f>IF($E992="","","A"&amp;TEXT(ROW()-6,"00000"))</f>
        <v/>
      </c>
      <c r="C992" s="108" t="n"/>
      <c r="D992" s="113">
        <f>IF($E992="","",IFERROR(INDEX(MUSTERILER!$B$7:$B$106,MATCH($U992,MUSTERILER!$T$7:$T$106,0)),IFERROR(INDEX(MUSTERILER!$B$7:$B$106,MATCH($E992,MUSTERILER!$B$7:$B$106,0)),IFERROR(INDEX(MUSTERILER!$B$7:$B$106,MATCH($U992&amp;"*",MUSTERILER!$T$7:$T$106,0)),"TANIMSIZ MÜŞTERİ"))))</f>
        <v/>
      </c>
      <c r="E992" s="109" t="n"/>
      <c r="F992" s="109" t="n"/>
      <c r="G992" s="108" t="n"/>
      <c r="H992" s="220" t="n"/>
      <c r="I992" s="220" t="n"/>
      <c r="J992" s="108" t="n"/>
      <c r="K992" s="108" t="n"/>
      <c r="L992" s="109" t="n"/>
      <c r="M992" s="109" t="n"/>
      <c r="N992" s="109" t="n"/>
      <c r="O992" s="220" t="n"/>
      <c r="P992" s="227">
        <f>IF(OR($E992="",$I992=""),"",IF(OR($J992="Tamamlandı",$J992="İptal"),"",$I992-TODAY()))</f>
        <v/>
      </c>
      <c r="Q992" s="113">
        <f>IF($E992="","",IF($D992="TANIMSIZ MÜŞTERİ","HATA",IF(OR($J992="Tamamlandı",$J992="İptal"),"KAPALI",IF(AND($C992="Görüşme",$N992=""),"SONRAKİ İŞLEM EKSİK",IF($I992="","TARİH EKSİK",IF($I992&lt;TODAY(),"GECİKMİŞ",IF($I992=TODAY(),"BUGÜN",IF($I992&lt;=TODAY()+7,"7 GÜN İÇİNDE","PLANLI"))))))))</f>
        <v/>
      </c>
      <c r="R992" s="6" t="n"/>
      <c r="S992" s="6" t="n"/>
      <c r="T992" s="3" t="n"/>
      <c r="U992" s="3">
        <f>IF($E992="","",UPPER(SUBSTITUTE(SUBSTITUTE(SUBSTITUTE(SUBSTITUTE(SUBSTITUTE(SUBSTITUTE(SUBSTITUTE(SUBSTITUTE(SUBSTITUTE(SUBSTITUTE(SUBSTITUTE(SUBSTITUTE(SUBSTITUTE(SUBSTITUTE(SUBSTITUTE(SUBSTITUTE(SUBSTITUTE(SUBSTITUTE(TRIM($E992),"'",""),"İ","I"),"ı","I"),"i","I"),"Ş","S"),"ş","S"),"Ğ","G"),"ğ","G"),"Ü","U"),"ü","U"),"Ö","O"),"ö","O"),"Ç","C"),"ç","C"),".",""),",","")," ",""),"-","")))</f>
        <v/>
      </c>
    </row>
    <row r="993">
      <c r="A993" s="6" t="n"/>
      <c r="B993" s="113">
        <f>IF($E993="","","A"&amp;TEXT(ROW()-6,"00000"))</f>
        <v/>
      </c>
      <c r="C993" s="108" t="n"/>
      <c r="D993" s="113">
        <f>IF($E993="","",IFERROR(INDEX(MUSTERILER!$B$7:$B$106,MATCH($U993,MUSTERILER!$T$7:$T$106,0)),IFERROR(INDEX(MUSTERILER!$B$7:$B$106,MATCH($E993,MUSTERILER!$B$7:$B$106,0)),IFERROR(INDEX(MUSTERILER!$B$7:$B$106,MATCH($U993&amp;"*",MUSTERILER!$T$7:$T$106,0)),"TANIMSIZ MÜŞTERİ"))))</f>
        <v/>
      </c>
      <c r="E993" s="109" t="n"/>
      <c r="F993" s="109" t="n"/>
      <c r="G993" s="108" t="n"/>
      <c r="H993" s="220" t="n"/>
      <c r="I993" s="220" t="n"/>
      <c r="J993" s="108" t="n"/>
      <c r="K993" s="108" t="n"/>
      <c r="L993" s="109" t="n"/>
      <c r="M993" s="109" t="n"/>
      <c r="N993" s="109" t="n"/>
      <c r="O993" s="220" t="n"/>
      <c r="P993" s="227">
        <f>IF(OR($E993="",$I993=""),"",IF(OR($J993="Tamamlandı",$J993="İptal"),"",$I993-TODAY()))</f>
        <v/>
      </c>
      <c r="Q993" s="113">
        <f>IF($E993="","",IF($D993="TANIMSIZ MÜŞTERİ","HATA",IF(OR($J993="Tamamlandı",$J993="İptal"),"KAPALI",IF(AND($C993="Görüşme",$N993=""),"SONRAKİ İŞLEM EKSİK",IF($I993="","TARİH EKSİK",IF($I993&lt;TODAY(),"GECİKMİŞ",IF($I993=TODAY(),"BUGÜN",IF($I993&lt;=TODAY()+7,"7 GÜN İÇİNDE","PLANLI"))))))))</f>
        <v/>
      </c>
      <c r="R993" s="6" t="n"/>
      <c r="S993" s="6" t="n"/>
      <c r="T993" s="3" t="n"/>
      <c r="U993" s="3">
        <f>IF($E993="","",UPPER(SUBSTITUTE(SUBSTITUTE(SUBSTITUTE(SUBSTITUTE(SUBSTITUTE(SUBSTITUTE(SUBSTITUTE(SUBSTITUTE(SUBSTITUTE(SUBSTITUTE(SUBSTITUTE(SUBSTITUTE(SUBSTITUTE(SUBSTITUTE(SUBSTITUTE(SUBSTITUTE(SUBSTITUTE(SUBSTITUTE(TRIM($E993),"'",""),"İ","I"),"ı","I"),"i","I"),"Ş","S"),"ş","S"),"Ğ","G"),"ğ","G"),"Ü","U"),"ü","U"),"Ö","O"),"ö","O"),"Ç","C"),"ç","C"),".",""),",","")," ",""),"-","")))</f>
        <v/>
      </c>
    </row>
    <row r="994">
      <c r="A994" s="6" t="n"/>
      <c r="B994" s="113">
        <f>IF($E994="","","A"&amp;TEXT(ROW()-6,"00000"))</f>
        <v/>
      </c>
      <c r="C994" s="108" t="n"/>
      <c r="D994" s="113">
        <f>IF($E994="","",IFERROR(INDEX(MUSTERILER!$B$7:$B$106,MATCH($U994,MUSTERILER!$T$7:$T$106,0)),IFERROR(INDEX(MUSTERILER!$B$7:$B$106,MATCH($E994,MUSTERILER!$B$7:$B$106,0)),IFERROR(INDEX(MUSTERILER!$B$7:$B$106,MATCH($U994&amp;"*",MUSTERILER!$T$7:$T$106,0)),"TANIMSIZ MÜŞTERİ"))))</f>
        <v/>
      </c>
      <c r="E994" s="109" t="n"/>
      <c r="F994" s="109" t="n"/>
      <c r="G994" s="108" t="n"/>
      <c r="H994" s="220" t="n"/>
      <c r="I994" s="220" t="n"/>
      <c r="J994" s="108" t="n"/>
      <c r="K994" s="108" t="n"/>
      <c r="L994" s="109" t="n"/>
      <c r="M994" s="109" t="n"/>
      <c r="N994" s="109" t="n"/>
      <c r="O994" s="220" t="n"/>
      <c r="P994" s="227">
        <f>IF(OR($E994="",$I994=""),"",IF(OR($J994="Tamamlandı",$J994="İptal"),"",$I994-TODAY()))</f>
        <v/>
      </c>
      <c r="Q994" s="113">
        <f>IF($E994="","",IF($D994="TANIMSIZ MÜŞTERİ","HATA",IF(OR($J994="Tamamlandı",$J994="İptal"),"KAPALI",IF(AND($C994="Görüşme",$N994=""),"SONRAKİ İŞLEM EKSİK",IF($I994="","TARİH EKSİK",IF($I994&lt;TODAY(),"GECİKMİŞ",IF($I994=TODAY(),"BUGÜN",IF($I994&lt;=TODAY()+7,"7 GÜN İÇİNDE","PLANLI"))))))))</f>
        <v/>
      </c>
      <c r="R994" s="6" t="n"/>
      <c r="S994" s="6" t="n"/>
      <c r="T994" s="3" t="n"/>
      <c r="U994" s="3">
        <f>IF($E994="","",UPPER(SUBSTITUTE(SUBSTITUTE(SUBSTITUTE(SUBSTITUTE(SUBSTITUTE(SUBSTITUTE(SUBSTITUTE(SUBSTITUTE(SUBSTITUTE(SUBSTITUTE(SUBSTITUTE(SUBSTITUTE(SUBSTITUTE(SUBSTITUTE(SUBSTITUTE(SUBSTITUTE(SUBSTITUTE(SUBSTITUTE(TRIM($E994),"'",""),"İ","I"),"ı","I"),"i","I"),"Ş","S"),"ş","S"),"Ğ","G"),"ğ","G"),"Ü","U"),"ü","U"),"Ö","O"),"ö","O"),"Ç","C"),"ç","C"),".",""),",","")," ",""),"-","")))</f>
        <v/>
      </c>
    </row>
    <row r="995">
      <c r="A995" s="6" t="n"/>
      <c r="B995" s="113">
        <f>IF($E995="","","A"&amp;TEXT(ROW()-6,"00000"))</f>
        <v/>
      </c>
      <c r="C995" s="108" t="n"/>
      <c r="D995" s="113">
        <f>IF($E995="","",IFERROR(INDEX(MUSTERILER!$B$7:$B$106,MATCH($U995,MUSTERILER!$T$7:$T$106,0)),IFERROR(INDEX(MUSTERILER!$B$7:$B$106,MATCH($E995,MUSTERILER!$B$7:$B$106,0)),IFERROR(INDEX(MUSTERILER!$B$7:$B$106,MATCH($U995&amp;"*",MUSTERILER!$T$7:$T$106,0)),"TANIMSIZ MÜŞTERİ"))))</f>
        <v/>
      </c>
      <c r="E995" s="109" t="n"/>
      <c r="F995" s="109" t="n"/>
      <c r="G995" s="108" t="n"/>
      <c r="H995" s="220" t="n"/>
      <c r="I995" s="220" t="n"/>
      <c r="J995" s="108" t="n"/>
      <c r="K995" s="108" t="n"/>
      <c r="L995" s="109" t="n"/>
      <c r="M995" s="109" t="n"/>
      <c r="N995" s="109" t="n"/>
      <c r="O995" s="220" t="n"/>
      <c r="P995" s="227">
        <f>IF(OR($E995="",$I995=""),"",IF(OR($J995="Tamamlandı",$J995="İptal"),"",$I995-TODAY()))</f>
        <v/>
      </c>
      <c r="Q995" s="113">
        <f>IF($E995="","",IF($D995="TANIMSIZ MÜŞTERİ","HATA",IF(OR($J995="Tamamlandı",$J995="İptal"),"KAPALI",IF(AND($C995="Görüşme",$N995=""),"SONRAKİ İŞLEM EKSİK",IF($I995="","TARİH EKSİK",IF($I995&lt;TODAY(),"GECİKMİŞ",IF($I995=TODAY(),"BUGÜN",IF($I995&lt;=TODAY()+7,"7 GÜN İÇİNDE","PLANLI"))))))))</f>
        <v/>
      </c>
      <c r="R995" s="6" t="n"/>
      <c r="S995" s="6" t="n"/>
      <c r="T995" s="3" t="n"/>
      <c r="U995" s="3">
        <f>IF($E995="","",UPPER(SUBSTITUTE(SUBSTITUTE(SUBSTITUTE(SUBSTITUTE(SUBSTITUTE(SUBSTITUTE(SUBSTITUTE(SUBSTITUTE(SUBSTITUTE(SUBSTITUTE(SUBSTITUTE(SUBSTITUTE(SUBSTITUTE(SUBSTITUTE(SUBSTITUTE(SUBSTITUTE(SUBSTITUTE(SUBSTITUTE(TRIM($E995),"'",""),"İ","I"),"ı","I"),"i","I"),"Ş","S"),"ş","S"),"Ğ","G"),"ğ","G"),"Ü","U"),"ü","U"),"Ö","O"),"ö","O"),"Ç","C"),"ç","C"),".",""),",","")," ",""),"-","")))</f>
        <v/>
      </c>
    </row>
    <row r="996">
      <c r="A996" s="6" t="n"/>
      <c r="B996" s="113">
        <f>IF($E996="","","A"&amp;TEXT(ROW()-6,"00000"))</f>
        <v/>
      </c>
      <c r="C996" s="108" t="n"/>
      <c r="D996" s="113">
        <f>IF($E996="","",IFERROR(INDEX(MUSTERILER!$B$7:$B$106,MATCH($U996,MUSTERILER!$T$7:$T$106,0)),IFERROR(INDEX(MUSTERILER!$B$7:$B$106,MATCH($E996,MUSTERILER!$B$7:$B$106,0)),IFERROR(INDEX(MUSTERILER!$B$7:$B$106,MATCH($U996&amp;"*",MUSTERILER!$T$7:$T$106,0)),"TANIMSIZ MÜŞTERİ"))))</f>
        <v/>
      </c>
      <c r="E996" s="109" t="n"/>
      <c r="F996" s="109" t="n"/>
      <c r="G996" s="108" t="n"/>
      <c r="H996" s="220" t="n"/>
      <c r="I996" s="220" t="n"/>
      <c r="J996" s="108" t="n"/>
      <c r="K996" s="108" t="n"/>
      <c r="L996" s="109" t="n"/>
      <c r="M996" s="109" t="n"/>
      <c r="N996" s="109" t="n"/>
      <c r="O996" s="220" t="n"/>
      <c r="P996" s="227">
        <f>IF(OR($E996="",$I996=""),"",IF(OR($J996="Tamamlandı",$J996="İptal"),"",$I996-TODAY()))</f>
        <v/>
      </c>
      <c r="Q996" s="113">
        <f>IF($E996="","",IF($D996="TANIMSIZ MÜŞTERİ","HATA",IF(OR($J996="Tamamlandı",$J996="İptal"),"KAPALI",IF(AND($C996="Görüşme",$N996=""),"SONRAKİ İŞLEM EKSİK",IF($I996="","TARİH EKSİK",IF($I996&lt;TODAY(),"GECİKMİŞ",IF($I996=TODAY(),"BUGÜN",IF($I996&lt;=TODAY()+7,"7 GÜN İÇİNDE","PLANLI"))))))))</f>
        <v/>
      </c>
      <c r="R996" s="6" t="n"/>
      <c r="S996" s="6" t="n"/>
      <c r="T996" s="3" t="n"/>
      <c r="U996" s="3">
        <f>IF($E996="","",UPPER(SUBSTITUTE(SUBSTITUTE(SUBSTITUTE(SUBSTITUTE(SUBSTITUTE(SUBSTITUTE(SUBSTITUTE(SUBSTITUTE(SUBSTITUTE(SUBSTITUTE(SUBSTITUTE(SUBSTITUTE(SUBSTITUTE(SUBSTITUTE(SUBSTITUTE(SUBSTITUTE(SUBSTITUTE(SUBSTITUTE(TRIM($E996),"'",""),"İ","I"),"ı","I"),"i","I"),"Ş","S"),"ş","S"),"Ğ","G"),"ğ","G"),"Ü","U"),"ü","U"),"Ö","O"),"ö","O"),"Ç","C"),"ç","C"),".",""),",","")," ",""),"-","")))</f>
        <v/>
      </c>
    </row>
    <row r="997">
      <c r="A997" s="6" t="n"/>
      <c r="B997" s="113">
        <f>IF($E997="","","A"&amp;TEXT(ROW()-6,"00000"))</f>
        <v/>
      </c>
      <c r="C997" s="108" t="n"/>
      <c r="D997" s="113">
        <f>IF($E997="","",IFERROR(INDEX(MUSTERILER!$B$7:$B$106,MATCH($U997,MUSTERILER!$T$7:$T$106,0)),IFERROR(INDEX(MUSTERILER!$B$7:$B$106,MATCH($E997,MUSTERILER!$B$7:$B$106,0)),IFERROR(INDEX(MUSTERILER!$B$7:$B$106,MATCH($U997&amp;"*",MUSTERILER!$T$7:$T$106,0)),"TANIMSIZ MÜŞTERİ"))))</f>
        <v/>
      </c>
      <c r="E997" s="109" t="n"/>
      <c r="F997" s="109" t="n"/>
      <c r="G997" s="108" t="n"/>
      <c r="H997" s="220" t="n"/>
      <c r="I997" s="220" t="n"/>
      <c r="J997" s="108" t="n"/>
      <c r="K997" s="108" t="n"/>
      <c r="L997" s="109" t="n"/>
      <c r="M997" s="109" t="n"/>
      <c r="N997" s="109" t="n"/>
      <c r="O997" s="220" t="n"/>
      <c r="P997" s="227">
        <f>IF(OR($E997="",$I997=""),"",IF(OR($J997="Tamamlandı",$J997="İptal"),"",$I997-TODAY()))</f>
        <v/>
      </c>
      <c r="Q997" s="113">
        <f>IF($E997="","",IF($D997="TANIMSIZ MÜŞTERİ","HATA",IF(OR($J997="Tamamlandı",$J997="İptal"),"KAPALI",IF(AND($C997="Görüşme",$N997=""),"SONRAKİ İŞLEM EKSİK",IF($I997="","TARİH EKSİK",IF($I997&lt;TODAY(),"GECİKMİŞ",IF($I997=TODAY(),"BUGÜN",IF($I997&lt;=TODAY()+7,"7 GÜN İÇİNDE","PLANLI"))))))))</f>
        <v/>
      </c>
      <c r="R997" s="6" t="n"/>
      <c r="S997" s="6" t="n"/>
      <c r="T997" s="3" t="n"/>
      <c r="U997" s="3">
        <f>IF($E997="","",UPPER(SUBSTITUTE(SUBSTITUTE(SUBSTITUTE(SUBSTITUTE(SUBSTITUTE(SUBSTITUTE(SUBSTITUTE(SUBSTITUTE(SUBSTITUTE(SUBSTITUTE(SUBSTITUTE(SUBSTITUTE(SUBSTITUTE(SUBSTITUTE(SUBSTITUTE(SUBSTITUTE(SUBSTITUTE(SUBSTITUTE(TRIM($E997),"'",""),"İ","I"),"ı","I"),"i","I"),"Ş","S"),"ş","S"),"Ğ","G"),"ğ","G"),"Ü","U"),"ü","U"),"Ö","O"),"ö","O"),"Ç","C"),"ç","C"),".",""),",","")," ",""),"-","")))</f>
        <v/>
      </c>
    </row>
    <row r="998">
      <c r="A998" s="6" t="n"/>
      <c r="B998" s="113">
        <f>IF($E998="","","A"&amp;TEXT(ROW()-6,"00000"))</f>
        <v/>
      </c>
      <c r="C998" s="108" t="n"/>
      <c r="D998" s="113">
        <f>IF($E998="","",IFERROR(INDEX(MUSTERILER!$B$7:$B$106,MATCH($U998,MUSTERILER!$T$7:$T$106,0)),IFERROR(INDEX(MUSTERILER!$B$7:$B$106,MATCH($E998,MUSTERILER!$B$7:$B$106,0)),IFERROR(INDEX(MUSTERILER!$B$7:$B$106,MATCH($U998&amp;"*",MUSTERILER!$T$7:$T$106,0)),"TANIMSIZ MÜŞTERİ"))))</f>
        <v/>
      </c>
      <c r="E998" s="109" t="n"/>
      <c r="F998" s="109" t="n"/>
      <c r="G998" s="108" t="n"/>
      <c r="H998" s="220" t="n"/>
      <c r="I998" s="220" t="n"/>
      <c r="J998" s="108" t="n"/>
      <c r="K998" s="108" t="n"/>
      <c r="L998" s="109" t="n"/>
      <c r="M998" s="109" t="n"/>
      <c r="N998" s="109" t="n"/>
      <c r="O998" s="220" t="n"/>
      <c r="P998" s="227">
        <f>IF(OR($E998="",$I998=""),"",IF(OR($J998="Tamamlandı",$J998="İptal"),"",$I998-TODAY()))</f>
        <v/>
      </c>
      <c r="Q998" s="113">
        <f>IF($E998="","",IF($D998="TANIMSIZ MÜŞTERİ","HATA",IF(OR($J998="Tamamlandı",$J998="İptal"),"KAPALI",IF(AND($C998="Görüşme",$N998=""),"SONRAKİ İŞLEM EKSİK",IF($I998="","TARİH EKSİK",IF($I998&lt;TODAY(),"GECİKMİŞ",IF($I998=TODAY(),"BUGÜN",IF($I998&lt;=TODAY()+7,"7 GÜN İÇİNDE","PLANLI"))))))))</f>
        <v/>
      </c>
      <c r="R998" s="6" t="n"/>
      <c r="S998" s="6" t="n"/>
      <c r="T998" s="3" t="n"/>
      <c r="U998" s="3">
        <f>IF($E998="","",UPPER(SUBSTITUTE(SUBSTITUTE(SUBSTITUTE(SUBSTITUTE(SUBSTITUTE(SUBSTITUTE(SUBSTITUTE(SUBSTITUTE(SUBSTITUTE(SUBSTITUTE(SUBSTITUTE(SUBSTITUTE(SUBSTITUTE(SUBSTITUTE(SUBSTITUTE(SUBSTITUTE(SUBSTITUTE(SUBSTITUTE(TRIM($E998),"'",""),"İ","I"),"ı","I"),"i","I"),"Ş","S"),"ş","S"),"Ğ","G"),"ğ","G"),"Ü","U"),"ü","U"),"Ö","O"),"ö","O"),"Ç","C"),"ç","C"),".",""),",","")," ",""),"-","")))</f>
        <v/>
      </c>
    </row>
    <row r="999">
      <c r="A999" s="6" t="n"/>
      <c r="B999" s="113">
        <f>IF($E999="","","A"&amp;TEXT(ROW()-6,"00000"))</f>
        <v/>
      </c>
      <c r="C999" s="108" t="n"/>
      <c r="D999" s="113">
        <f>IF($E999="","",IFERROR(INDEX(MUSTERILER!$B$7:$B$106,MATCH($U999,MUSTERILER!$T$7:$T$106,0)),IFERROR(INDEX(MUSTERILER!$B$7:$B$106,MATCH($E999,MUSTERILER!$B$7:$B$106,0)),IFERROR(INDEX(MUSTERILER!$B$7:$B$106,MATCH($U999&amp;"*",MUSTERILER!$T$7:$T$106,0)),"TANIMSIZ MÜŞTERİ"))))</f>
        <v/>
      </c>
      <c r="E999" s="109" t="n"/>
      <c r="F999" s="109" t="n"/>
      <c r="G999" s="108" t="n"/>
      <c r="H999" s="220" t="n"/>
      <c r="I999" s="220" t="n"/>
      <c r="J999" s="108" t="n"/>
      <c r="K999" s="108" t="n"/>
      <c r="L999" s="109" t="n"/>
      <c r="M999" s="109" t="n"/>
      <c r="N999" s="109" t="n"/>
      <c r="O999" s="220" t="n"/>
      <c r="P999" s="227">
        <f>IF(OR($E999="",$I999=""),"",IF(OR($J999="Tamamlandı",$J999="İptal"),"",$I999-TODAY()))</f>
        <v/>
      </c>
      <c r="Q999" s="113">
        <f>IF($E999="","",IF($D999="TANIMSIZ MÜŞTERİ","HATA",IF(OR($J999="Tamamlandı",$J999="İptal"),"KAPALI",IF(AND($C999="Görüşme",$N999=""),"SONRAKİ İŞLEM EKSİK",IF($I999="","TARİH EKSİK",IF($I999&lt;TODAY(),"GECİKMİŞ",IF($I999=TODAY(),"BUGÜN",IF($I999&lt;=TODAY()+7,"7 GÜN İÇİNDE","PLANLI"))))))))</f>
        <v/>
      </c>
      <c r="R999" s="6" t="n"/>
      <c r="S999" s="6" t="n"/>
      <c r="T999" s="3" t="n"/>
      <c r="U999" s="3">
        <f>IF($E999="","",UPPER(SUBSTITUTE(SUBSTITUTE(SUBSTITUTE(SUBSTITUTE(SUBSTITUTE(SUBSTITUTE(SUBSTITUTE(SUBSTITUTE(SUBSTITUTE(SUBSTITUTE(SUBSTITUTE(SUBSTITUTE(SUBSTITUTE(SUBSTITUTE(SUBSTITUTE(SUBSTITUTE(SUBSTITUTE(SUBSTITUTE(TRIM($E999),"'",""),"İ","I"),"ı","I"),"i","I"),"Ş","S"),"ş","S"),"Ğ","G"),"ğ","G"),"Ü","U"),"ü","U"),"Ö","O"),"ö","O"),"Ç","C"),"ç","C"),".",""),",","")," ",""),"-","")))</f>
        <v/>
      </c>
    </row>
    <row r="1000">
      <c r="A1000" s="6" t="n"/>
      <c r="B1000" s="113">
        <f>IF($E1000="","","A"&amp;TEXT(ROW()-6,"00000"))</f>
        <v/>
      </c>
      <c r="C1000" s="108" t="n"/>
      <c r="D1000" s="113">
        <f>IF($E1000="","",IFERROR(INDEX(MUSTERILER!$B$7:$B$106,MATCH($U1000,MUSTERILER!$T$7:$T$106,0)),IFERROR(INDEX(MUSTERILER!$B$7:$B$106,MATCH($E1000,MUSTERILER!$B$7:$B$106,0)),IFERROR(INDEX(MUSTERILER!$B$7:$B$106,MATCH($U1000&amp;"*",MUSTERILER!$T$7:$T$106,0)),"TANIMSIZ MÜŞTERİ"))))</f>
        <v/>
      </c>
      <c r="E1000" s="109" t="n"/>
      <c r="F1000" s="109" t="n"/>
      <c r="G1000" s="108" t="n"/>
      <c r="H1000" s="220" t="n"/>
      <c r="I1000" s="220" t="n"/>
      <c r="J1000" s="108" t="n"/>
      <c r="K1000" s="108" t="n"/>
      <c r="L1000" s="109" t="n"/>
      <c r="M1000" s="109" t="n"/>
      <c r="N1000" s="109" t="n"/>
      <c r="O1000" s="220" t="n"/>
      <c r="P1000" s="227">
        <f>IF(OR($E1000="",$I1000=""),"",IF(OR($J1000="Tamamlandı",$J1000="İptal"),"",$I1000-TODAY()))</f>
        <v/>
      </c>
      <c r="Q1000" s="113">
        <f>IF($E1000="","",IF($D1000="TANIMSIZ MÜŞTERİ","HATA",IF(OR($J1000="Tamamlandı",$J1000="İptal"),"KAPALI",IF(AND($C1000="Görüşme",$N1000=""),"SONRAKİ İŞLEM EKSİK",IF($I1000="","TARİH EKSİK",IF($I1000&lt;TODAY(),"GECİKMİŞ",IF($I1000=TODAY(),"BUGÜN",IF($I1000&lt;=TODAY()+7,"7 GÜN İÇİNDE","PLANLI"))))))))</f>
        <v/>
      </c>
      <c r="R1000" s="6" t="n"/>
      <c r="S1000" s="6" t="n"/>
      <c r="T1000" s="3" t="n"/>
      <c r="U1000" s="3">
        <f>IF($E1000="","",UPPER(SUBSTITUTE(SUBSTITUTE(SUBSTITUTE(SUBSTITUTE(SUBSTITUTE(SUBSTITUTE(SUBSTITUTE(SUBSTITUTE(SUBSTITUTE(SUBSTITUTE(SUBSTITUTE(SUBSTITUTE(SUBSTITUTE(SUBSTITUTE(SUBSTITUTE(SUBSTITUTE(SUBSTITUTE(SUBSTITUTE(TRIM($E1000),"'",""),"İ","I"),"ı","I"),"i","I"),"Ş","S"),"ş","S"),"Ğ","G"),"ğ","G"),"Ü","U"),"ü","U"),"Ö","O"),"ö","O"),"Ç","C"),"ç","C"),".",""),",","")," ",""),"-","")))</f>
        <v/>
      </c>
    </row>
    <row r="1001">
      <c r="A1001" s="6" t="n"/>
      <c r="B1001" s="113">
        <f>IF($E1001="","","A"&amp;TEXT(ROW()-6,"00000"))</f>
        <v/>
      </c>
      <c r="C1001" s="108" t="n"/>
      <c r="D1001" s="113">
        <f>IF($E1001="","",IFERROR(INDEX(MUSTERILER!$B$7:$B$106,MATCH($U1001,MUSTERILER!$T$7:$T$106,0)),IFERROR(INDEX(MUSTERILER!$B$7:$B$106,MATCH($E1001,MUSTERILER!$B$7:$B$106,0)),IFERROR(INDEX(MUSTERILER!$B$7:$B$106,MATCH($U1001&amp;"*",MUSTERILER!$T$7:$T$106,0)),"TANIMSIZ MÜŞTERİ"))))</f>
        <v/>
      </c>
      <c r="E1001" s="109" t="n"/>
      <c r="F1001" s="109" t="n"/>
      <c r="G1001" s="108" t="n"/>
      <c r="H1001" s="220" t="n"/>
      <c r="I1001" s="220" t="n"/>
      <c r="J1001" s="108" t="n"/>
      <c r="K1001" s="108" t="n"/>
      <c r="L1001" s="109" t="n"/>
      <c r="M1001" s="109" t="n"/>
      <c r="N1001" s="109" t="n"/>
      <c r="O1001" s="220" t="n"/>
      <c r="P1001" s="227">
        <f>IF(OR($E1001="",$I1001=""),"",IF(OR($J1001="Tamamlandı",$J1001="İptal"),"",$I1001-TODAY()))</f>
        <v/>
      </c>
      <c r="Q1001" s="113">
        <f>IF($E1001="","",IF($D1001="TANIMSIZ MÜŞTERİ","HATA",IF(OR($J1001="Tamamlandı",$J1001="İptal"),"KAPALI",IF(AND($C1001="Görüşme",$N1001=""),"SONRAKİ İŞLEM EKSİK",IF($I1001="","TARİH EKSİK",IF($I1001&lt;TODAY(),"GECİKMİŞ",IF($I1001=TODAY(),"BUGÜN",IF($I1001&lt;=TODAY()+7,"7 GÜN İÇİNDE","PLANLI"))))))))</f>
        <v/>
      </c>
      <c r="R1001" s="6" t="n"/>
      <c r="S1001" s="6" t="n"/>
      <c r="T1001" s="3" t="n"/>
      <c r="U1001" s="3">
        <f>IF($E1001="","",UPPER(SUBSTITUTE(SUBSTITUTE(SUBSTITUTE(SUBSTITUTE(SUBSTITUTE(SUBSTITUTE(SUBSTITUTE(SUBSTITUTE(SUBSTITUTE(SUBSTITUTE(SUBSTITUTE(SUBSTITUTE(SUBSTITUTE(SUBSTITUTE(SUBSTITUTE(SUBSTITUTE(SUBSTITUTE(SUBSTITUTE(TRIM($E1001),"'",""),"İ","I"),"ı","I"),"i","I"),"Ş","S"),"ş","S"),"Ğ","G"),"ğ","G"),"Ü","U"),"ü","U"),"Ö","O"),"ö","O"),"Ç","C"),"ç","C"),".",""),",","")," ",""),"-","")))</f>
        <v/>
      </c>
    </row>
    <row r="1002">
      <c r="A1002" s="6" t="n"/>
      <c r="B1002" s="113">
        <f>IF($E1002="","","A"&amp;TEXT(ROW()-6,"00000"))</f>
        <v/>
      </c>
      <c r="C1002" s="108" t="n"/>
      <c r="D1002" s="113">
        <f>IF($E1002="","",IFERROR(INDEX(MUSTERILER!$B$7:$B$106,MATCH($U1002,MUSTERILER!$T$7:$T$106,0)),IFERROR(INDEX(MUSTERILER!$B$7:$B$106,MATCH($E1002,MUSTERILER!$B$7:$B$106,0)),IFERROR(INDEX(MUSTERILER!$B$7:$B$106,MATCH($U1002&amp;"*",MUSTERILER!$T$7:$T$106,0)),"TANIMSIZ MÜŞTERİ"))))</f>
        <v/>
      </c>
      <c r="E1002" s="109" t="n"/>
      <c r="F1002" s="109" t="n"/>
      <c r="G1002" s="108" t="n"/>
      <c r="H1002" s="220" t="n"/>
      <c r="I1002" s="220" t="n"/>
      <c r="J1002" s="108" t="n"/>
      <c r="K1002" s="108" t="n"/>
      <c r="L1002" s="109" t="n"/>
      <c r="M1002" s="109" t="n"/>
      <c r="N1002" s="109" t="n"/>
      <c r="O1002" s="220" t="n"/>
      <c r="P1002" s="227">
        <f>IF(OR($E1002="",$I1002=""),"",IF(OR($J1002="Tamamlandı",$J1002="İptal"),"",$I1002-TODAY()))</f>
        <v/>
      </c>
      <c r="Q1002" s="113">
        <f>IF($E1002="","",IF($D1002="TANIMSIZ MÜŞTERİ","HATA",IF(OR($J1002="Tamamlandı",$J1002="İptal"),"KAPALI",IF(AND($C1002="Görüşme",$N1002=""),"SONRAKİ İŞLEM EKSİK",IF($I1002="","TARİH EKSİK",IF($I1002&lt;TODAY(),"GECİKMİŞ",IF($I1002=TODAY(),"BUGÜN",IF($I1002&lt;=TODAY()+7,"7 GÜN İÇİNDE","PLANLI"))))))))</f>
        <v/>
      </c>
      <c r="R1002" s="6" t="n"/>
      <c r="S1002" s="6" t="n"/>
      <c r="T1002" s="3" t="n"/>
      <c r="U1002" s="3">
        <f>IF($E1002="","",UPPER(SUBSTITUTE(SUBSTITUTE(SUBSTITUTE(SUBSTITUTE(SUBSTITUTE(SUBSTITUTE(SUBSTITUTE(SUBSTITUTE(SUBSTITUTE(SUBSTITUTE(SUBSTITUTE(SUBSTITUTE(SUBSTITUTE(SUBSTITUTE(SUBSTITUTE(SUBSTITUTE(SUBSTITUTE(SUBSTITUTE(TRIM($E1002),"'",""),"İ","I"),"ı","I"),"i","I"),"Ş","S"),"ş","S"),"Ğ","G"),"ğ","G"),"Ü","U"),"ü","U"),"Ö","O"),"ö","O"),"Ç","C"),"ç","C"),".",""),",","")," ",""),"-","")))</f>
        <v/>
      </c>
    </row>
    <row r="1003">
      <c r="A1003" s="6" t="n"/>
      <c r="B1003" s="113">
        <f>IF($E1003="","","A"&amp;TEXT(ROW()-6,"00000"))</f>
        <v/>
      </c>
      <c r="C1003" s="108" t="n"/>
      <c r="D1003" s="113">
        <f>IF($E1003="","",IFERROR(INDEX(MUSTERILER!$B$7:$B$106,MATCH($U1003,MUSTERILER!$T$7:$T$106,0)),IFERROR(INDEX(MUSTERILER!$B$7:$B$106,MATCH($E1003,MUSTERILER!$B$7:$B$106,0)),IFERROR(INDEX(MUSTERILER!$B$7:$B$106,MATCH($U1003&amp;"*",MUSTERILER!$T$7:$T$106,0)),"TANIMSIZ MÜŞTERİ"))))</f>
        <v/>
      </c>
      <c r="E1003" s="109" t="n"/>
      <c r="F1003" s="109" t="n"/>
      <c r="G1003" s="108" t="n"/>
      <c r="H1003" s="220" t="n"/>
      <c r="I1003" s="220" t="n"/>
      <c r="J1003" s="108" t="n"/>
      <c r="K1003" s="108" t="n"/>
      <c r="L1003" s="109" t="n"/>
      <c r="M1003" s="109" t="n"/>
      <c r="N1003" s="109" t="n"/>
      <c r="O1003" s="220" t="n"/>
      <c r="P1003" s="227">
        <f>IF(OR($E1003="",$I1003=""),"",IF(OR($J1003="Tamamlandı",$J1003="İptal"),"",$I1003-TODAY()))</f>
        <v/>
      </c>
      <c r="Q1003" s="113">
        <f>IF($E1003="","",IF($D1003="TANIMSIZ MÜŞTERİ","HATA",IF(OR($J1003="Tamamlandı",$J1003="İptal"),"KAPALI",IF(AND($C1003="Görüşme",$N1003=""),"SONRAKİ İŞLEM EKSİK",IF($I1003="","TARİH EKSİK",IF($I1003&lt;TODAY(),"GECİKMİŞ",IF($I1003=TODAY(),"BUGÜN",IF($I1003&lt;=TODAY()+7,"7 GÜN İÇİNDE","PLANLI"))))))))</f>
        <v/>
      </c>
      <c r="R1003" s="6" t="n"/>
      <c r="S1003" s="6" t="n"/>
      <c r="T1003" s="3" t="n"/>
      <c r="U1003" s="3">
        <f>IF($E1003="","",UPPER(SUBSTITUTE(SUBSTITUTE(SUBSTITUTE(SUBSTITUTE(SUBSTITUTE(SUBSTITUTE(SUBSTITUTE(SUBSTITUTE(SUBSTITUTE(SUBSTITUTE(SUBSTITUTE(SUBSTITUTE(SUBSTITUTE(SUBSTITUTE(SUBSTITUTE(SUBSTITUTE(SUBSTITUTE(SUBSTITUTE(TRIM($E1003),"'",""),"İ","I"),"ı","I"),"i","I"),"Ş","S"),"ş","S"),"Ğ","G"),"ğ","G"),"Ü","U"),"ü","U"),"Ö","O"),"ö","O"),"Ç","C"),"ç","C"),".",""),",","")," ",""),"-","")))</f>
        <v/>
      </c>
    </row>
    <row r="1004">
      <c r="A1004" s="6" t="n"/>
      <c r="B1004" s="113">
        <f>IF($E1004="","","A"&amp;TEXT(ROW()-6,"00000"))</f>
        <v/>
      </c>
      <c r="C1004" s="108" t="n"/>
      <c r="D1004" s="113">
        <f>IF($E1004="","",IFERROR(INDEX(MUSTERILER!$B$7:$B$106,MATCH($U1004,MUSTERILER!$T$7:$T$106,0)),IFERROR(INDEX(MUSTERILER!$B$7:$B$106,MATCH($E1004,MUSTERILER!$B$7:$B$106,0)),IFERROR(INDEX(MUSTERILER!$B$7:$B$106,MATCH($U1004&amp;"*",MUSTERILER!$T$7:$T$106,0)),"TANIMSIZ MÜŞTERİ"))))</f>
        <v/>
      </c>
      <c r="E1004" s="109" t="n"/>
      <c r="F1004" s="109" t="n"/>
      <c r="G1004" s="108" t="n"/>
      <c r="H1004" s="220" t="n"/>
      <c r="I1004" s="220" t="n"/>
      <c r="J1004" s="108" t="n"/>
      <c r="K1004" s="108" t="n"/>
      <c r="L1004" s="109" t="n"/>
      <c r="M1004" s="109" t="n"/>
      <c r="N1004" s="109" t="n"/>
      <c r="O1004" s="220" t="n"/>
      <c r="P1004" s="227">
        <f>IF(OR($E1004="",$I1004=""),"",IF(OR($J1004="Tamamlandı",$J1004="İptal"),"",$I1004-TODAY()))</f>
        <v/>
      </c>
      <c r="Q1004" s="113">
        <f>IF($E1004="","",IF($D1004="TANIMSIZ MÜŞTERİ","HATA",IF(OR($J1004="Tamamlandı",$J1004="İptal"),"KAPALI",IF(AND($C1004="Görüşme",$N1004=""),"SONRAKİ İŞLEM EKSİK",IF($I1004="","TARİH EKSİK",IF($I1004&lt;TODAY(),"GECİKMİŞ",IF($I1004=TODAY(),"BUGÜN",IF($I1004&lt;=TODAY()+7,"7 GÜN İÇİNDE","PLANLI"))))))))</f>
        <v/>
      </c>
      <c r="R1004" s="6" t="n"/>
      <c r="S1004" s="6" t="n"/>
      <c r="T1004" s="3" t="n"/>
      <c r="U1004" s="3">
        <f>IF($E1004="","",UPPER(SUBSTITUTE(SUBSTITUTE(SUBSTITUTE(SUBSTITUTE(SUBSTITUTE(SUBSTITUTE(SUBSTITUTE(SUBSTITUTE(SUBSTITUTE(SUBSTITUTE(SUBSTITUTE(SUBSTITUTE(SUBSTITUTE(SUBSTITUTE(SUBSTITUTE(SUBSTITUTE(SUBSTITUTE(SUBSTITUTE(TRIM($E1004),"'",""),"İ","I"),"ı","I"),"i","I"),"Ş","S"),"ş","S"),"Ğ","G"),"ğ","G"),"Ü","U"),"ü","U"),"Ö","O"),"ö","O"),"Ç","C"),"ç","C"),".",""),",","")," ",""),"-","")))</f>
        <v/>
      </c>
    </row>
    <row r="1005">
      <c r="A1005" s="6" t="n"/>
      <c r="B1005" s="113">
        <f>IF($E1005="","","A"&amp;TEXT(ROW()-6,"00000"))</f>
        <v/>
      </c>
      <c r="C1005" s="108" t="n"/>
      <c r="D1005" s="113">
        <f>IF($E1005="","",IFERROR(INDEX(MUSTERILER!$B$7:$B$106,MATCH($U1005,MUSTERILER!$T$7:$T$106,0)),IFERROR(INDEX(MUSTERILER!$B$7:$B$106,MATCH($E1005,MUSTERILER!$B$7:$B$106,0)),IFERROR(INDEX(MUSTERILER!$B$7:$B$106,MATCH($U1005&amp;"*",MUSTERILER!$T$7:$T$106,0)),"TANIMSIZ MÜŞTERİ"))))</f>
        <v/>
      </c>
      <c r="E1005" s="109" t="n"/>
      <c r="F1005" s="109" t="n"/>
      <c r="G1005" s="108" t="n"/>
      <c r="H1005" s="220" t="n"/>
      <c r="I1005" s="220" t="n"/>
      <c r="J1005" s="108" t="n"/>
      <c r="K1005" s="108" t="n"/>
      <c r="L1005" s="109" t="n"/>
      <c r="M1005" s="109" t="n"/>
      <c r="N1005" s="109" t="n"/>
      <c r="O1005" s="220" t="n"/>
      <c r="P1005" s="227">
        <f>IF(OR($E1005="",$I1005=""),"",IF(OR($J1005="Tamamlandı",$J1005="İptal"),"",$I1005-TODAY()))</f>
        <v/>
      </c>
      <c r="Q1005" s="113">
        <f>IF($E1005="","",IF($D1005="TANIMSIZ MÜŞTERİ","HATA",IF(OR($J1005="Tamamlandı",$J1005="İptal"),"KAPALI",IF(AND($C1005="Görüşme",$N1005=""),"SONRAKİ İŞLEM EKSİK",IF($I1005="","TARİH EKSİK",IF($I1005&lt;TODAY(),"GECİKMİŞ",IF($I1005=TODAY(),"BUGÜN",IF($I1005&lt;=TODAY()+7,"7 GÜN İÇİNDE","PLANLI"))))))))</f>
        <v/>
      </c>
      <c r="R1005" s="6" t="n"/>
      <c r="S1005" s="6" t="n"/>
      <c r="T1005" s="3" t="n"/>
      <c r="U1005" s="3">
        <f>IF($E1005="","",UPPER(SUBSTITUTE(SUBSTITUTE(SUBSTITUTE(SUBSTITUTE(SUBSTITUTE(SUBSTITUTE(SUBSTITUTE(SUBSTITUTE(SUBSTITUTE(SUBSTITUTE(SUBSTITUTE(SUBSTITUTE(SUBSTITUTE(SUBSTITUTE(SUBSTITUTE(SUBSTITUTE(SUBSTITUTE(SUBSTITUTE(TRIM($E1005),"'",""),"İ","I"),"ı","I"),"i","I"),"Ş","S"),"ş","S"),"Ğ","G"),"ğ","G"),"Ü","U"),"ü","U"),"Ö","O"),"ö","O"),"Ç","C"),"ç","C"),".",""),",","")," ",""),"-","")))</f>
        <v/>
      </c>
    </row>
    <row r="1006">
      <c r="A1006" s="6" t="n"/>
      <c r="B1006" s="113">
        <f>IF($E1006="","","A"&amp;TEXT(ROW()-6,"00000"))</f>
        <v/>
      </c>
      <c r="C1006" s="108" t="n"/>
      <c r="D1006" s="113">
        <f>IF($E1006="","",IFERROR(INDEX(MUSTERILER!$B$7:$B$106,MATCH($U1006,MUSTERILER!$T$7:$T$106,0)),IFERROR(INDEX(MUSTERILER!$B$7:$B$106,MATCH($E1006,MUSTERILER!$B$7:$B$106,0)),IFERROR(INDEX(MUSTERILER!$B$7:$B$106,MATCH($U1006&amp;"*",MUSTERILER!$T$7:$T$106,0)),"TANIMSIZ MÜŞTERİ"))))</f>
        <v/>
      </c>
      <c r="E1006" s="109" t="n"/>
      <c r="F1006" s="109" t="n"/>
      <c r="G1006" s="108" t="n"/>
      <c r="H1006" s="220" t="n"/>
      <c r="I1006" s="220" t="n"/>
      <c r="J1006" s="108" t="n"/>
      <c r="K1006" s="108" t="n"/>
      <c r="L1006" s="109" t="n"/>
      <c r="M1006" s="109" t="n"/>
      <c r="N1006" s="109" t="n"/>
      <c r="O1006" s="220" t="n"/>
      <c r="P1006" s="227">
        <f>IF(OR($E1006="",$I1006=""),"",IF(OR($J1006="Tamamlandı",$J1006="İptal"),"",$I1006-TODAY()))</f>
        <v/>
      </c>
      <c r="Q1006" s="113">
        <f>IF($E1006="","",IF($D1006="TANIMSIZ MÜŞTERİ","HATA",IF(OR($J1006="Tamamlandı",$J1006="İptal"),"KAPALI",IF(AND($C1006="Görüşme",$N1006=""),"SONRAKİ İŞLEM EKSİK",IF($I1006="","TARİH EKSİK",IF($I1006&lt;TODAY(),"GECİKMİŞ",IF($I1006=TODAY(),"BUGÜN",IF($I1006&lt;=TODAY()+7,"7 GÜN İÇİNDE","PLANLI"))))))))</f>
        <v/>
      </c>
      <c r="R1006" s="6" t="n"/>
      <c r="S1006" s="6" t="n"/>
      <c r="T1006" s="3" t="n"/>
      <c r="U1006" s="3">
        <f>IF($E1006="","",UPPER(SUBSTITUTE(SUBSTITUTE(SUBSTITUTE(SUBSTITUTE(SUBSTITUTE(SUBSTITUTE(SUBSTITUTE(SUBSTITUTE(SUBSTITUTE(SUBSTITUTE(SUBSTITUTE(SUBSTITUTE(SUBSTITUTE(SUBSTITUTE(SUBSTITUTE(SUBSTITUTE(SUBSTITUTE(SUBSTITUTE(TRIM($E1006),"'",""),"İ","I"),"ı","I"),"i","I"),"Ş","S"),"ş","S"),"Ğ","G"),"ğ","G"),"Ü","U"),"ü","U"),"Ö","O"),"ö","O"),"Ç","C"),"ç","C"),".",""),",","")," ",""),"-","")))</f>
        <v/>
      </c>
    </row>
    <row r="1007">
      <c r="A1007" s="6" t="n"/>
      <c r="B1007" s="3" t="n"/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  <c r="P1007" s="3" t="n"/>
      <c r="Q1007" s="3" t="n"/>
      <c r="R1007" s="6" t="n"/>
      <c r="S1007" s="6" t="n"/>
      <c r="T1007" s="3" t="n"/>
      <c r="U1007" s="3" t="n"/>
    </row>
    <row r="1008">
      <c r="A1008" s="6" t="n"/>
      <c r="B1008" s="3" t="n"/>
      <c r="C1008" s="3" t="n"/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  <c r="P1008" s="3" t="n"/>
      <c r="Q1008" s="3" t="n"/>
      <c r="R1008" s="6" t="n"/>
      <c r="S1008" s="6" t="n"/>
      <c r="T1008" s="3" t="n"/>
      <c r="U10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Q1006"/>
  <mergeCells count="2">
    <mergeCell ref="A2:R2"/>
    <mergeCell ref="A1:R1"/>
  </mergeCells>
  <conditionalFormatting sqref="Q7:Q1006">
    <cfRule type="expression" priority="1" dxfId="5" stopIfTrue="1">
      <formula>EXACT($Q7,"GECİKMİŞ")</formula>
    </cfRule>
    <cfRule type="expression" priority="2" dxfId="4" stopIfTrue="1">
      <formula>EXACT($Q7,"BUGÜN")</formula>
    </cfRule>
    <cfRule type="expression" priority="3" dxfId="7" stopIfTrue="1">
      <formula>EXACT($Q7,"7 GÜN İÇİNDE")</formula>
    </cfRule>
    <cfRule type="expression" priority="4" dxfId="6" stopIfTrue="1">
      <formula>EXACT($Q7,"PLANLI")</formula>
    </cfRule>
    <cfRule type="expression" priority="5" dxfId="3" stopIfTrue="1">
      <formula>EXACT($Q7,"KAPALI")</formula>
    </cfRule>
    <cfRule type="expression" priority="6" dxfId="5" stopIfTrue="1">
      <formula>EXACT($Q7,"HATA")</formula>
    </cfRule>
    <cfRule type="expression" priority="7" dxfId="4" stopIfTrue="1">
      <formula>EXACT($Q7,"TARİH EKSİK")</formula>
    </cfRule>
    <cfRule type="expression" priority="8" dxfId="4" stopIfTrue="1">
      <formula>EXACT($Q7,"SONRAKİ İŞLEM EKSİK")</formula>
    </cfRule>
  </conditionalFormatting>
  <conditionalFormatting sqref="P7:P1006">
    <cfRule type="cellIs" priority="9" operator="lessThan" dxfId="8">
      <formula>0</formula>
    </cfRule>
  </conditionalFormatting>
  <dataValidations count="4">
    <dataValidation sqref="E7:E1006" showDropDown="0" showInputMessage="1" showErrorMessage="0" allowBlank="1" errorTitle="Müşteri seçimi" error="Listeden seçebilir veya unvanın ilk harflerini (örn. PAK) yazabilirsiniz." promptTitle="Müşteri seçimi" prompt="Listeden seçebilir veya unvanın ilk harflerini (örn. PAK) yazabilirsiniz." type="list">
      <formula1>LST_MUSTERI_ADI</formula1>
    </dataValidation>
    <dataValidation sqref="C7:C1006" showDropDown="0" showInputMessage="0" showErrorMessage="1" allowBlank="1" errorTitle="Geçersiz tür" error="İş veya Görüşme seçin." promptTitle="Geçersiz tür" prompt="İş veya Görüşme seçin." type="list">
      <formula1>"İş,Görüşme"</formula1>
    </dataValidation>
    <dataValidation sqref="J7:J1006" showDropDown="0" showInputMessage="0" showErrorMessage="1" allowBlank="1" errorTitle="Geçersiz durum" error="Listeden seçin." promptTitle="Geçersiz durum" prompt="Listeden seçin." type="list">
      <formula1>"Planlandı,Devam Ediyor,Beklemede,Tamamlandı,İptal"</formula1>
    </dataValidation>
    <dataValidation sqref="K7:K1006" showDropDown="0" showInputMessage="0" showErrorMessage="1" allowBlank="1" errorTitle="Geçersiz öncelik" error="Listeden seçin." promptTitle="Geçersiz öncelik" prompt="Listeden seçin." type="list">
      <formula1>"Yüksek,Orta,Düşük"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B91C1C"/>
    <outlinePr summaryBelow="1" summaryRight="1"/>
    <pageSetUpPr fitToPage="1"/>
  </sheetPr>
  <dimension ref="A1:AG108"/>
  <sheetViews>
    <sheetView showGridLines="0" tabSelected="0" zoomScale="10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2" customWidth="1" min="2" max="2"/>
    <col width="30" customWidth="1" min="3" max="3"/>
    <col width="14" customWidth="1" min="4" max="4"/>
    <col width="14" customWidth="1" min="5" max="5"/>
    <col width="15" customWidth="1" min="6" max="6"/>
    <col width="15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  <col width="13" customWidth="1" min="16" max="16"/>
    <col width="17" customWidth="1" min="17" max="17"/>
    <col width="34" customWidth="1" min="18" max="18"/>
    <col width="11" customWidth="1" min="19" max="19"/>
    <col width="13" customWidth="1" min="20" max="20"/>
    <col width="13" customWidth="1" min="21" max="21"/>
    <col width="16" customWidth="1" min="22" max="22"/>
    <col width="12" customWidth="1" min="23" max="23"/>
    <col hidden="1" width="2.4" customWidth="1" min="24" max="24"/>
    <col hidden="1" width="2.4" customWidth="1" min="25" max="25"/>
    <col hidden="1" width="12" customWidth="1" min="26" max="26"/>
    <col hidden="1" width="12" customWidth="1" min="27" max="27"/>
    <col hidden="1" width="12" customWidth="1" min="28" max="28"/>
    <col hidden="1" width="12" customWidth="1" min="29" max="29"/>
    <col hidden="1" width="12" customWidth="1" min="30" max="30"/>
    <col hidden="1" width="12" customWidth="1" min="31" max="31"/>
    <col hidden="1" width="12" customWidth="1" min="32" max="32"/>
    <col hidden="1" width="13" customWidth="1" min="33" max="33"/>
  </cols>
  <sheetData>
    <row r="1" ht="38" customHeight="1">
      <c r="A1" s="1" t="inlineStr">
        <is>
          <t>KILIÇ MUHASEBE   │   MÜŞTERİ 360  │  CARİ, YAŞLANDIRMA VE TAHAKKUK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69" t="n"/>
      <c r="T1" s="169" t="n"/>
      <c r="U1" s="169" t="n"/>
      <c r="V1" s="169" t="n"/>
      <c r="W1" s="169" t="n"/>
      <c r="X1" s="45" t="n"/>
      <c r="Y1" s="45" t="n"/>
      <c r="Z1" s="3" t="n"/>
      <c r="AA1" s="3" t="n"/>
      <c r="AB1" s="3" t="n"/>
      <c r="AC1" s="3" t="n"/>
      <c r="AD1" s="3" t="n"/>
      <c r="AE1" s="3" t="n"/>
      <c r="AF1" s="3" t="n"/>
      <c r="AG1" s="3" t="n"/>
    </row>
    <row r="2" ht="22" customHeight="1">
      <c r="A2" s="4" t="inlineStr">
        <is>
          <t>Bu ekrana veri girilmez │ Tüm değerler müşteri, ücret ve tahsilat kayıtlarından hesaplanır</t>
        </is>
      </c>
      <c r="X2" s="46" t="n"/>
      <c r="Y2" s="46" t="n"/>
      <c r="Z2" s="3" t="n"/>
      <c r="AA2" s="3" t="n"/>
      <c r="AB2" s="3" t="n"/>
      <c r="AC2" s="3" t="n"/>
      <c r="AD2" s="3" t="n"/>
      <c r="AE2" s="3" t="n"/>
      <c r="AF2" s="3" t="n"/>
      <c r="AG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3" t="n"/>
      <c r="AA3" s="3" t="n"/>
      <c r="AB3" s="3" t="n"/>
      <c r="AC3" s="3" t="n"/>
      <c r="AD3" s="3" t="n"/>
      <c r="AE3" s="3" t="n"/>
      <c r="AF3" s="3" t="n"/>
      <c r="AG3" s="3" t="n"/>
    </row>
    <row r="4" ht="20" customHeight="1">
      <c r="A4" s="6" t="n"/>
      <c r="B4" s="47">
        <f>HYPERLINK("#PANO!A1","←  PANO")</f>
        <v/>
      </c>
      <c r="C4" s="6" t="n"/>
      <c r="D4" s="99">
        <f>HYPERLINK("#TAHSILAT!A1","Tahsilat")</f>
        <v/>
      </c>
      <c r="E4" s="6" t="n"/>
      <c r="F4" s="99">
        <f>HYPERLINK("#UCRETLER!A1","Ücret Dönemleri")</f>
        <v/>
      </c>
      <c r="G4" s="6" t="n"/>
      <c r="H4" s="100" t="inlineStr">
        <is>
          <t>Sarı hücreler veri girişidir. Beyaz hücreler sistem tarafından hesaplanır ve kilitlidir. Yaşlandırma en eski borçtan kapatma esasına göre hesaplanır.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3" t="n"/>
      <c r="AA4" s="3" t="n"/>
      <c r="AB4" s="3" t="n"/>
      <c r="AC4" s="3" t="n"/>
      <c r="AD4" s="3" t="n"/>
      <c r="AE4" s="3" t="n"/>
      <c r="AF4" s="3" t="n"/>
      <c r="AG4" s="3" t="n"/>
    </row>
    <row r="5" ht="26" customHeight="1">
      <c r="A5" s="6" t="n"/>
      <c r="B5" s="101" t="n"/>
      <c r="C5" s="102" t="inlineStr">
        <is>
          <t>TOPLAM  │  Portföy</t>
        </is>
      </c>
      <c r="D5" s="216">
        <f>SUM(D7:D106)</f>
        <v/>
      </c>
      <c r="E5" s="216">
        <f>SUM(E7:E106)</f>
        <v/>
      </c>
      <c r="F5" s="216">
        <f>SUM(F7:F106)</f>
        <v/>
      </c>
      <c r="G5" s="216">
        <f>SUM(G7:G106)</f>
        <v/>
      </c>
      <c r="H5" s="216">
        <f>SUM(H7:H106)</f>
        <v/>
      </c>
      <c r="I5" s="216">
        <f>SUM(I7:I106)</f>
        <v/>
      </c>
      <c r="J5" s="216">
        <f>SUM(J7:J106)</f>
        <v/>
      </c>
      <c r="K5" s="216">
        <f>SUM(K7:K106)</f>
        <v/>
      </c>
      <c r="L5" s="216">
        <f>SUM(L7:L106)</f>
        <v/>
      </c>
      <c r="M5" s="216">
        <f>SUM(M7:M106)</f>
        <v/>
      </c>
      <c r="N5" s="216">
        <f>SUM(N7:N106)</f>
        <v/>
      </c>
      <c r="O5" s="228">
        <f>IFERROR($I$5/$H$5,0)</f>
        <v/>
      </c>
      <c r="P5" s="101" t="n"/>
      <c r="Q5" s="101" t="n"/>
      <c r="R5" s="101" t="n"/>
      <c r="S5" s="101" t="n"/>
      <c r="T5" s="101" t="n"/>
      <c r="U5" s="101" t="n"/>
      <c r="V5" s="216">
        <f>SUM(V7:V106)</f>
        <v/>
      </c>
      <c r="W5" s="101" t="n"/>
      <c r="X5" s="6" t="n"/>
      <c r="Y5" s="6" t="n"/>
      <c r="Z5" s="3" t="n"/>
      <c r="AA5" s="3" t="n"/>
      <c r="AB5" s="3" t="n"/>
      <c r="AC5" s="3" t="n"/>
      <c r="AD5" s="3" t="n"/>
      <c r="AE5" s="3" t="n"/>
      <c r="AF5" s="3" t="n"/>
      <c r="AG5" s="3" t="n"/>
    </row>
    <row r="6" ht="40" customHeight="1">
      <c r="A6" s="6" t="n"/>
      <c r="B6" s="105" t="inlineStr">
        <is>
          <t>Müşteri No</t>
        </is>
      </c>
      <c r="C6" s="106" t="inlineStr">
        <is>
          <t>Müşteri</t>
        </is>
      </c>
      <c r="D6" s="107" t="inlineStr">
        <is>
          <t>Haftalık Ücret</t>
        </is>
      </c>
      <c r="E6" s="107" t="inlineStr">
        <is>
          <t>Aylık Ücret</t>
        </is>
      </c>
      <c r="F6" s="107" t="inlineStr">
        <is>
          <t>Devir Alacağı</t>
        </is>
      </c>
      <c r="G6" s="107" t="inlineStr">
        <is>
          <t>Yeni Tahakkuk</t>
        </is>
      </c>
      <c r="H6" s="107" t="inlineStr">
        <is>
          <t>Toplam Borç</t>
        </is>
      </c>
      <c r="I6" s="107" t="inlineStr">
        <is>
          <t>Toplam Tahsilat</t>
        </is>
      </c>
      <c r="J6" s="107" t="inlineStr">
        <is>
          <t>Cari Bakiye</t>
        </is>
      </c>
      <c r="K6" s="107" t="inlineStr">
        <is>
          <t>0–7 Gün</t>
        </is>
      </c>
      <c r="L6" s="107" t="inlineStr">
        <is>
          <t>8–14 Gün</t>
        </is>
      </c>
      <c r="M6" s="107" t="inlineStr">
        <is>
          <t>15–28 Gün</t>
        </is>
      </c>
      <c r="N6" s="107" t="inlineStr">
        <is>
          <t>29+ Gün</t>
        </is>
      </c>
      <c r="O6" s="105" t="inlineStr">
        <is>
          <t>Tahsilat Oranı</t>
        </is>
      </c>
      <c r="P6" s="105" t="inlineStr">
        <is>
          <t>Son Tahsilat</t>
        </is>
      </c>
      <c r="Q6" s="105" t="inlineStr">
        <is>
          <t>Borç Durumu</t>
        </is>
      </c>
      <c r="R6" s="106" t="inlineStr">
        <is>
          <t>Önerilen İşlem</t>
        </is>
      </c>
      <c r="S6" s="105" t="inlineStr">
        <is>
          <t>Açık İş</t>
        </is>
      </c>
      <c r="T6" s="105" t="inlineStr">
        <is>
          <t>Devir Tarihi</t>
        </is>
      </c>
      <c r="U6" s="105" t="inlineStr">
        <is>
          <t>Devir Yaşı (gün)</t>
        </is>
      </c>
      <c r="V6" s="107" t="inlineStr">
        <is>
          <t>Avans / Fazla Ödeme</t>
        </is>
      </c>
      <c r="W6" s="105" t="inlineStr">
        <is>
          <t>Kontrol</t>
        </is>
      </c>
      <c r="X6" s="6" t="n"/>
      <c r="Y6" s="6" t="n"/>
      <c r="Z6" s="3" t="n"/>
      <c r="AA6" s="3" t="n"/>
      <c r="AB6" s="3" t="n"/>
      <c r="AC6" s="3" t="n"/>
      <c r="AD6" s="3" t="n"/>
      <c r="AE6" s="3" t="n"/>
      <c r="AF6" s="3" t="n"/>
      <c r="AG6" s="3" t="n"/>
    </row>
    <row r="7">
      <c r="A7" s="6" t="n"/>
      <c r="B7" s="113">
        <f>IF($AF7="","",INDEX(MUSTERILER!$B$7:$B$106,$AF7))</f>
        <v/>
      </c>
      <c r="C7" s="121">
        <f>IF($AF7="","",INDEX(MUSTERILER!$C$7:$C$106,$AF7))</f>
        <v/>
      </c>
      <c r="D7" s="222">
        <f>IF($B7="","",SUMIFS(UCRETLER!$G$7:$G$406,UCRETLER!$B$7:$B$406,$B7,UCRETLER!$F$7:$F$406,"Haftalık",UCRETLER!$H$7:$H$406,"Aktif"))</f>
        <v/>
      </c>
      <c r="E7" s="222">
        <f>IF($B7="","",SUMIFS(UCRETLER!$G$7:$G$406,UCRETLER!$B$7:$B$406,$B7,UCRETLER!$F$7:$F$406,"Aylık",UCRETLER!$H$7:$H$406,"Aktif"))</f>
        <v/>
      </c>
      <c r="F7" s="222">
        <f>IF($B7="","",SUMIFS(MUSTERILER!$J$7:$J$106,MUSTERILER!$B$7:$B$106,$B7))</f>
        <v/>
      </c>
      <c r="G7" s="222">
        <f>IF($B7="","",SUMIFS(UCRETLER!$I$7:$I$406,UCRETLER!$B$7:$B$406,$B7)+SUMIFS(GELIR_GIDER!$G$7:$G$1206,GELIR_GIDER!$T$7:$T$1206,$B7))</f>
        <v/>
      </c>
      <c r="H7" s="222">
        <f>IF($B7="","",$F7+$G7)</f>
        <v/>
      </c>
      <c r="I7" s="222">
        <f>IF($B7="","",SUMIFS(TAHSILAT!$F$7:$F$1506,TAHSILAT!$C$7:$C$1506,$B7))</f>
        <v/>
      </c>
      <c r="J7" s="222">
        <f>IF($B7="","",MAX(0,$H7-$I7))</f>
        <v/>
      </c>
      <c r="K7" s="222">
        <f>IF($B7="","",MAX(0,$J7-$L7-$M7-$N7))</f>
        <v/>
      </c>
      <c r="L7" s="222">
        <f>IF($B7="","",($AC7-$AD7)+IF(AND($AB7&gt;0,$T7&lt;&gt;"",$U7&gt;=8,$U7&lt;15),$AB7,0))</f>
        <v/>
      </c>
      <c r="M7" s="222">
        <f>IF($B7="","",($AD7-$AE7)+IF(AND($AB7&gt;0,$T7&lt;&gt;"",$U7&gt;=15,$U7&lt;29),$AB7,0))</f>
        <v/>
      </c>
      <c r="N7" s="222">
        <f>IF($B7="","",$AE7+IF(AND($AB7&gt;0,OR($T7="",$U7&gt;=29)),$AB7,0))</f>
        <v/>
      </c>
      <c r="O7" s="229">
        <f>IF($B7="","",IFERROR($I7/$H7,0))</f>
        <v/>
      </c>
      <c r="P7" s="224">
        <f>IF($B7="","",IFERROR(LOOKUP(2,1/(TAHSILAT!$C$7:$C$1506=$B7),TAHSILAT!$E$7:$E$1506),""))</f>
        <v/>
      </c>
      <c r="Q7" s="113">
        <f>IF($B7="","",IF($N7&gt;0,"KRİTİK",IF($M7&gt;0,"YÜKSEK",IF($L7&gt;0,"ORTA",IF($J7&gt;0,"İZLE","TEMİZ")))))</f>
        <v/>
      </c>
      <c r="R7" s="121">
        <f>IF($B7="","",IF($Q7="KRİTİK","Acil tahsilat görüşmesi ve cari mutabakat",IF($Q7="YÜKSEK","Bu hafta tahsilat takibi",IF($Q7="ORTA","Hatırlatma mesajı gönder",IF($Q7="İZLE","Normal takip","Aksiyon gerekmiyor")))))</f>
        <v/>
      </c>
      <c r="S7" s="227">
        <f>IF($B7="","",COUNTIFS(AKTIVITE!$D$7:$D$1006,$B7,AKTIVITE!$J$7:$J$1006,"&lt;&gt;Tamamlandı"))</f>
        <v/>
      </c>
      <c r="T7" s="224">
        <f>IF(OR($B7="",$AF7=""),"",IF(INDEX(MUSTERILER!$K$7:$K$106,$AF7)="","",INDEX(MUSTERILER!$K$7:$K$106,$AF7)))</f>
        <v/>
      </c>
      <c r="U7" s="227">
        <f>IF(OR($B7="",$T7=""),"",TODAY()-$T7)</f>
        <v/>
      </c>
      <c r="V7" s="222">
        <f>IF($B7="","",MAX(0,$I7-$H7))</f>
        <v/>
      </c>
      <c r="W7" s="113">
        <f>IF($B7="","",IF(AND(ABS($J7-($K7+$L7+$M7+$N7))&lt;0.01,ABS(($J7-$V7)-($H7-$I7))&lt;0.01),"UYGUN","İNCELE"))</f>
        <v/>
      </c>
      <c r="X7" s="6">
        <f>IF($B7="",0,SUMIFS(UCRETLER!$J$7:$J$406,UCRETLER!$B$7:$B$406,$B7))</f>
        <v/>
      </c>
      <c r="Y7" s="6">
        <f>IF($B7="",0,SUMIFS(UCRETLER!$K$7:$K$406,UCRETLER!$B$7:$B$406,$B7))</f>
        <v/>
      </c>
      <c r="Z7" s="3">
        <f>IF($B7="",0,SUMIFS(UCRETLER!$L$7:$L$406,UCRETLER!$B$7:$B$406,$B7))</f>
        <v/>
      </c>
      <c r="AA7" s="3">
        <f>IF($B7="",0,MAX(0,$I7-$F7))</f>
        <v/>
      </c>
      <c r="AB7" s="3">
        <f>IF($B7="",0,MAX(0,$F7-$I7))</f>
        <v/>
      </c>
      <c r="AC7" s="3">
        <f>IF($B7="",0,MAX(0,$X7-$AA7))</f>
        <v/>
      </c>
      <c r="AD7" s="3">
        <f>IF($B7="",0,MAX(0,$Y7-$AA7))</f>
        <v/>
      </c>
      <c r="AE7" s="3">
        <f>IF($B7="",0,MAX(0,$Z7-$AA7))</f>
        <v/>
      </c>
      <c r="AF7" s="3">
        <f>IFERROR(MATCH(ROW()-6,MUSTERILER!$U$7:$U$106,0),"")</f>
        <v/>
      </c>
      <c r="AG7" s="3">
        <f>IF($B7="",0,SUMIFS(GELIR_GIDER!$G$7:$G$1206,GELIR_GIDER!$T$7:$T$1206,$B7))</f>
        <v/>
      </c>
    </row>
    <row r="8">
      <c r="A8" s="6" t="n"/>
      <c r="B8" s="113">
        <f>IF($AF8="","",INDEX(MUSTERILER!$B$7:$B$106,$AF8))</f>
        <v/>
      </c>
      <c r="C8" s="121">
        <f>IF($AF8="","",INDEX(MUSTERILER!$C$7:$C$106,$AF8))</f>
        <v/>
      </c>
      <c r="D8" s="222">
        <f>IF($B8="","",SUMIFS(UCRETLER!$G$7:$G$406,UCRETLER!$B$7:$B$406,$B8,UCRETLER!$F$7:$F$406,"Haftalık",UCRETLER!$H$7:$H$406,"Aktif"))</f>
        <v/>
      </c>
      <c r="E8" s="222">
        <f>IF($B8="","",SUMIFS(UCRETLER!$G$7:$G$406,UCRETLER!$B$7:$B$406,$B8,UCRETLER!$F$7:$F$406,"Aylık",UCRETLER!$H$7:$H$406,"Aktif"))</f>
        <v/>
      </c>
      <c r="F8" s="222">
        <f>IF($B8="","",SUMIFS(MUSTERILER!$J$7:$J$106,MUSTERILER!$B$7:$B$106,$B8))</f>
        <v/>
      </c>
      <c r="G8" s="222">
        <f>IF($B8="","",SUMIFS(UCRETLER!$I$7:$I$406,UCRETLER!$B$7:$B$406,$B8)+SUMIFS(GELIR_GIDER!$G$7:$G$1206,GELIR_GIDER!$T$7:$T$1206,$B8))</f>
        <v/>
      </c>
      <c r="H8" s="222">
        <f>IF($B8="","",$F8+$G8)</f>
        <v/>
      </c>
      <c r="I8" s="222">
        <f>IF($B8="","",SUMIFS(TAHSILAT!$F$7:$F$1506,TAHSILAT!$C$7:$C$1506,$B8))</f>
        <v/>
      </c>
      <c r="J8" s="222">
        <f>IF($B8="","",MAX(0,$H8-$I8))</f>
        <v/>
      </c>
      <c r="K8" s="222">
        <f>IF($B8="","",MAX(0,$J8-$L8-$M8-$N8))</f>
        <v/>
      </c>
      <c r="L8" s="222">
        <f>IF($B8="","",($AC8-$AD8)+IF(AND($AB8&gt;0,$T8&lt;&gt;"",$U8&gt;=8,$U8&lt;15),$AB8,0))</f>
        <v/>
      </c>
      <c r="M8" s="222">
        <f>IF($B8="","",($AD8-$AE8)+IF(AND($AB8&gt;0,$T8&lt;&gt;"",$U8&gt;=15,$U8&lt;29),$AB8,0))</f>
        <v/>
      </c>
      <c r="N8" s="222">
        <f>IF($B8="","",$AE8+IF(AND($AB8&gt;0,OR($T8="",$U8&gt;=29)),$AB8,0))</f>
        <v/>
      </c>
      <c r="O8" s="229">
        <f>IF($B8="","",IFERROR($I8/$H8,0))</f>
        <v/>
      </c>
      <c r="P8" s="224">
        <f>IF($B8="","",IFERROR(LOOKUP(2,1/(TAHSILAT!$C$7:$C$1506=$B8),TAHSILAT!$E$7:$E$1506),""))</f>
        <v/>
      </c>
      <c r="Q8" s="113">
        <f>IF($B8="","",IF($N8&gt;0,"KRİTİK",IF($M8&gt;0,"YÜKSEK",IF($L8&gt;0,"ORTA",IF($J8&gt;0,"İZLE","TEMİZ")))))</f>
        <v/>
      </c>
      <c r="R8" s="121">
        <f>IF($B8="","",IF($Q8="KRİTİK","Acil tahsilat görüşmesi ve cari mutabakat",IF($Q8="YÜKSEK","Bu hafta tahsilat takibi",IF($Q8="ORTA","Hatırlatma mesajı gönder",IF($Q8="İZLE","Normal takip","Aksiyon gerekmiyor")))))</f>
        <v/>
      </c>
      <c r="S8" s="227">
        <f>IF($B8="","",COUNTIFS(AKTIVITE!$D$7:$D$1006,$B8,AKTIVITE!$J$7:$J$1006,"&lt;&gt;Tamamlandı"))</f>
        <v/>
      </c>
      <c r="T8" s="224">
        <f>IF(OR($B8="",$AF8=""),"",IF(INDEX(MUSTERILER!$K$7:$K$106,$AF8)="","",INDEX(MUSTERILER!$K$7:$K$106,$AF8)))</f>
        <v/>
      </c>
      <c r="U8" s="227">
        <f>IF(OR($B8="",$T8=""),"",TODAY()-$T8)</f>
        <v/>
      </c>
      <c r="V8" s="222">
        <f>IF($B8="","",MAX(0,$I8-$H8))</f>
        <v/>
      </c>
      <c r="W8" s="113">
        <f>IF($B8="","",IF(AND(ABS($J8-($K8+$L8+$M8+$N8))&lt;0.01,ABS(($J8-$V8)-($H8-$I8))&lt;0.01),"UYGUN","İNCELE"))</f>
        <v/>
      </c>
      <c r="X8" s="6">
        <f>IF($B8="",0,SUMIFS(UCRETLER!$J$7:$J$406,UCRETLER!$B$7:$B$406,$B8))</f>
        <v/>
      </c>
      <c r="Y8" s="6">
        <f>IF($B8="",0,SUMIFS(UCRETLER!$K$7:$K$406,UCRETLER!$B$7:$B$406,$B8))</f>
        <v/>
      </c>
      <c r="Z8" s="3">
        <f>IF($B8="",0,SUMIFS(UCRETLER!$L$7:$L$406,UCRETLER!$B$7:$B$406,$B8))</f>
        <v/>
      </c>
      <c r="AA8" s="3">
        <f>IF($B8="",0,MAX(0,$I8-$F8))</f>
        <v/>
      </c>
      <c r="AB8" s="3">
        <f>IF($B8="",0,MAX(0,$F8-$I8))</f>
        <v/>
      </c>
      <c r="AC8" s="3">
        <f>IF($B8="",0,MAX(0,$X8-$AA8))</f>
        <v/>
      </c>
      <c r="AD8" s="3">
        <f>IF($B8="",0,MAX(0,$Y8-$AA8))</f>
        <v/>
      </c>
      <c r="AE8" s="3">
        <f>IF($B8="",0,MAX(0,$Z8-$AA8))</f>
        <v/>
      </c>
      <c r="AF8" s="3">
        <f>IFERROR(MATCH(ROW()-6,MUSTERILER!$U$7:$U$106,0),"")</f>
        <v/>
      </c>
      <c r="AG8" s="3">
        <f>IF($B8="",0,SUMIFS(GELIR_GIDER!$G$7:$G$1206,GELIR_GIDER!$T$7:$T$1206,$B8))</f>
        <v/>
      </c>
    </row>
    <row r="9">
      <c r="A9" s="6" t="n"/>
      <c r="B9" s="113">
        <f>IF($AF9="","",INDEX(MUSTERILER!$B$7:$B$106,$AF9))</f>
        <v/>
      </c>
      <c r="C9" s="121">
        <f>IF($AF9="","",INDEX(MUSTERILER!$C$7:$C$106,$AF9))</f>
        <v/>
      </c>
      <c r="D9" s="222">
        <f>IF($B9="","",SUMIFS(UCRETLER!$G$7:$G$406,UCRETLER!$B$7:$B$406,$B9,UCRETLER!$F$7:$F$406,"Haftalık",UCRETLER!$H$7:$H$406,"Aktif"))</f>
        <v/>
      </c>
      <c r="E9" s="222">
        <f>IF($B9="","",SUMIFS(UCRETLER!$G$7:$G$406,UCRETLER!$B$7:$B$406,$B9,UCRETLER!$F$7:$F$406,"Aylık",UCRETLER!$H$7:$H$406,"Aktif"))</f>
        <v/>
      </c>
      <c r="F9" s="222">
        <f>IF($B9="","",SUMIFS(MUSTERILER!$J$7:$J$106,MUSTERILER!$B$7:$B$106,$B9))</f>
        <v/>
      </c>
      <c r="G9" s="222">
        <f>IF($B9="","",SUMIFS(UCRETLER!$I$7:$I$406,UCRETLER!$B$7:$B$406,$B9)+SUMIFS(GELIR_GIDER!$G$7:$G$1206,GELIR_GIDER!$T$7:$T$1206,$B9))</f>
        <v/>
      </c>
      <c r="H9" s="222">
        <f>IF($B9="","",$F9+$G9)</f>
        <v/>
      </c>
      <c r="I9" s="222">
        <f>IF($B9="","",SUMIFS(TAHSILAT!$F$7:$F$1506,TAHSILAT!$C$7:$C$1506,$B9))</f>
        <v/>
      </c>
      <c r="J9" s="222">
        <f>IF($B9="","",MAX(0,$H9-$I9))</f>
        <v/>
      </c>
      <c r="K9" s="222">
        <f>IF($B9="","",MAX(0,$J9-$L9-$M9-$N9))</f>
        <v/>
      </c>
      <c r="L9" s="222">
        <f>IF($B9="","",($AC9-$AD9)+IF(AND($AB9&gt;0,$T9&lt;&gt;"",$U9&gt;=8,$U9&lt;15),$AB9,0))</f>
        <v/>
      </c>
      <c r="M9" s="222">
        <f>IF($B9="","",($AD9-$AE9)+IF(AND($AB9&gt;0,$T9&lt;&gt;"",$U9&gt;=15,$U9&lt;29),$AB9,0))</f>
        <v/>
      </c>
      <c r="N9" s="222">
        <f>IF($B9="","",$AE9+IF(AND($AB9&gt;0,OR($T9="",$U9&gt;=29)),$AB9,0))</f>
        <v/>
      </c>
      <c r="O9" s="229">
        <f>IF($B9="","",IFERROR($I9/$H9,0))</f>
        <v/>
      </c>
      <c r="P9" s="224">
        <f>IF($B9="","",IFERROR(LOOKUP(2,1/(TAHSILAT!$C$7:$C$1506=$B9),TAHSILAT!$E$7:$E$1506),""))</f>
        <v/>
      </c>
      <c r="Q9" s="113">
        <f>IF($B9="","",IF($N9&gt;0,"KRİTİK",IF($M9&gt;0,"YÜKSEK",IF($L9&gt;0,"ORTA",IF($J9&gt;0,"İZLE","TEMİZ")))))</f>
        <v/>
      </c>
      <c r="R9" s="121">
        <f>IF($B9="","",IF($Q9="KRİTİK","Acil tahsilat görüşmesi ve cari mutabakat",IF($Q9="YÜKSEK","Bu hafta tahsilat takibi",IF($Q9="ORTA","Hatırlatma mesajı gönder",IF($Q9="İZLE","Normal takip","Aksiyon gerekmiyor")))))</f>
        <v/>
      </c>
      <c r="S9" s="227">
        <f>IF($B9="","",COUNTIFS(AKTIVITE!$D$7:$D$1006,$B9,AKTIVITE!$J$7:$J$1006,"&lt;&gt;Tamamlandı"))</f>
        <v/>
      </c>
      <c r="T9" s="224">
        <f>IF(OR($B9="",$AF9=""),"",IF(INDEX(MUSTERILER!$K$7:$K$106,$AF9)="","",INDEX(MUSTERILER!$K$7:$K$106,$AF9)))</f>
        <v/>
      </c>
      <c r="U9" s="227">
        <f>IF(OR($B9="",$T9=""),"",TODAY()-$T9)</f>
        <v/>
      </c>
      <c r="V9" s="222">
        <f>IF($B9="","",MAX(0,$I9-$H9))</f>
        <v/>
      </c>
      <c r="W9" s="113">
        <f>IF($B9="","",IF(AND(ABS($J9-($K9+$L9+$M9+$N9))&lt;0.01,ABS(($J9-$V9)-($H9-$I9))&lt;0.01),"UYGUN","İNCELE"))</f>
        <v/>
      </c>
      <c r="X9" s="6">
        <f>IF($B9="",0,SUMIFS(UCRETLER!$J$7:$J$406,UCRETLER!$B$7:$B$406,$B9))</f>
        <v/>
      </c>
      <c r="Y9" s="6">
        <f>IF($B9="",0,SUMIFS(UCRETLER!$K$7:$K$406,UCRETLER!$B$7:$B$406,$B9))</f>
        <v/>
      </c>
      <c r="Z9" s="3">
        <f>IF($B9="",0,SUMIFS(UCRETLER!$L$7:$L$406,UCRETLER!$B$7:$B$406,$B9))</f>
        <v/>
      </c>
      <c r="AA9" s="3">
        <f>IF($B9="",0,MAX(0,$I9-$F9))</f>
        <v/>
      </c>
      <c r="AB9" s="3">
        <f>IF($B9="",0,MAX(0,$F9-$I9))</f>
        <v/>
      </c>
      <c r="AC9" s="3">
        <f>IF($B9="",0,MAX(0,$X9-$AA9))</f>
        <v/>
      </c>
      <c r="AD9" s="3">
        <f>IF($B9="",0,MAX(0,$Y9-$AA9))</f>
        <v/>
      </c>
      <c r="AE9" s="3">
        <f>IF($B9="",0,MAX(0,$Z9-$AA9))</f>
        <v/>
      </c>
      <c r="AF9" s="3">
        <f>IFERROR(MATCH(ROW()-6,MUSTERILER!$U$7:$U$106,0),"")</f>
        <v/>
      </c>
      <c r="AG9" s="3">
        <f>IF($B9="",0,SUMIFS(GELIR_GIDER!$G$7:$G$1206,GELIR_GIDER!$T$7:$T$1206,$B9))</f>
        <v/>
      </c>
    </row>
    <row r="10">
      <c r="A10" s="6" t="n"/>
      <c r="B10" s="113">
        <f>IF($AF10="","",INDEX(MUSTERILER!$B$7:$B$106,$AF10))</f>
        <v/>
      </c>
      <c r="C10" s="121">
        <f>IF($AF10="","",INDEX(MUSTERILER!$C$7:$C$106,$AF10))</f>
        <v/>
      </c>
      <c r="D10" s="222">
        <f>IF($B10="","",SUMIFS(UCRETLER!$G$7:$G$406,UCRETLER!$B$7:$B$406,$B10,UCRETLER!$F$7:$F$406,"Haftalık",UCRETLER!$H$7:$H$406,"Aktif"))</f>
        <v/>
      </c>
      <c r="E10" s="222">
        <f>IF($B10="","",SUMIFS(UCRETLER!$G$7:$G$406,UCRETLER!$B$7:$B$406,$B10,UCRETLER!$F$7:$F$406,"Aylık",UCRETLER!$H$7:$H$406,"Aktif"))</f>
        <v/>
      </c>
      <c r="F10" s="222">
        <f>IF($B10="","",SUMIFS(MUSTERILER!$J$7:$J$106,MUSTERILER!$B$7:$B$106,$B10))</f>
        <v/>
      </c>
      <c r="G10" s="222">
        <f>IF($B10="","",SUMIFS(UCRETLER!$I$7:$I$406,UCRETLER!$B$7:$B$406,$B10)+SUMIFS(GELIR_GIDER!$G$7:$G$1206,GELIR_GIDER!$T$7:$T$1206,$B10))</f>
        <v/>
      </c>
      <c r="H10" s="222">
        <f>IF($B10="","",$F10+$G10)</f>
        <v/>
      </c>
      <c r="I10" s="222">
        <f>IF($B10="","",SUMIFS(TAHSILAT!$F$7:$F$1506,TAHSILAT!$C$7:$C$1506,$B10))</f>
        <v/>
      </c>
      <c r="J10" s="222">
        <f>IF($B10="","",MAX(0,$H10-$I10))</f>
        <v/>
      </c>
      <c r="K10" s="222">
        <f>IF($B10="","",MAX(0,$J10-$L10-$M10-$N10))</f>
        <v/>
      </c>
      <c r="L10" s="222">
        <f>IF($B10="","",($AC10-$AD10)+IF(AND($AB10&gt;0,$T10&lt;&gt;"",$U10&gt;=8,$U10&lt;15),$AB10,0))</f>
        <v/>
      </c>
      <c r="M10" s="222">
        <f>IF($B10="","",($AD10-$AE10)+IF(AND($AB10&gt;0,$T10&lt;&gt;"",$U10&gt;=15,$U10&lt;29),$AB10,0))</f>
        <v/>
      </c>
      <c r="N10" s="222">
        <f>IF($B10="","",$AE10+IF(AND($AB10&gt;0,OR($T10="",$U10&gt;=29)),$AB10,0))</f>
        <v/>
      </c>
      <c r="O10" s="229">
        <f>IF($B10="","",IFERROR($I10/$H10,0))</f>
        <v/>
      </c>
      <c r="P10" s="224">
        <f>IF($B10="","",IFERROR(LOOKUP(2,1/(TAHSILAT!$C$7:$C$1506=$B10),TAHSILAT!$E$7:$E$1506),""))</f>
        <v/>
      </c>
      <c r="Q10" s="113">
        <f>IF($B10="","",IF($N10&gt;0,"KRİTİK",IF($M10&gt;0,"YÜKSEK",IF($L10&gt;0,"ORTA",IF($J10&gt;0,"İZLE","TEMİZ")))))</f>
        <v/>
      </c>
      <c r="R10" s="121">
        <f>IF($B10="","",IF($Q10="KRİTİK","Acil tahsilat görüşmesi ve cari mutabakat",IF($Q10="YÜKSEK","Bu hafta tahsilat takibi",IF($Q10="ORTA","Hatırlatma mesajı gönder",IF($Q10="İZLE","Normal takip","Aksiyon gerekmiyor")))))</f>
        <v/>
      </c>
      <c r="S10" s="227">
        <f>IF($B10="","",COUNTIFS(AKTIVITE!$D$7:$D$1006,$B10,AKTIVITE!$J$7:$J$1006,"&lt;&gt;Tamamlandı"))</f>
        <v/>
      </c>
      <c r="T10" s="224">
        <f>IF(OR($B10="",$AF10=""),"",IF(INDEX(MUSTERILER!$K$7:$K$106,$AF10)="","",INDEX(MUSTERILER!$K$7:$K$106,$AF10)))</f>
        <v/>
      </c>
      <c r="U10" s="227">
        <f>IF(OR($B10="",$T10=""),"",TODAY()-$T10)</f>
        <v/>
      </c>
      <c r="V10" s="222">
        <f>IF($B10="","",MAX(0,$I10-$H10))</f>
        <v/>
      </c>
      <c r="W10" s="113">
        <f>IF($B10="","",IF(AND(ABS($J10-($K10+$L10+$M10+$N10))&lt;0.01,ABS(($J10-$V10)-($H10-$I10))&lt;0.01),"UYGUN","İNCELE"))</f>
        <v/>
      </c>
      <c r="X10" s="6">
        <f>IF($B10="",0,SUMIFS(UCRETLER!$J$7:$J$406,UCRETLER!$B$7:$B$406,$B10))</f>
        <v/>
      </c>
      <c r="Y10" s="6">
        <f>IF($B10="",0,SUMIFS(UCRETLER!$K$7:$K$406,UCRETLER!$B$7:$B$406,$B10))</f>
        <v/>
      </c>
      <c r="Z10" s="3">
        <f>IF($B10="",0,SUMIFS(UCRETLER!$L$7:$L$406,UCRETLER!$B$7:$B$406,$B10))</f>
        <v/>
      </c>
      <c r="AA10" s="3">
        <f>IF($B10="",0,MAX(0,$I10-$F10))</f>
        <v/>
      </c>
      <c r="AB10" s="3">
        <f>IF($B10="",0,MAX(0,$F10-$I10))</f>
        <v/>
      </c>
      <c r="AC10" s="3">
        <f>IF($B10="",0,MAX(0,$X10-$AA10))</f>
        <v/>
      </c>
      <c r="AD10" s="3">
        <f>IF($B10="",0,MAX(0,$Y10-$AA10))</f>
        <v/>
      </c>
      <c r="AE10" s="3">
        <f>IF($B10="",0,MAX(0,$Z10-$AA10))</f>
        <v/>
      </c>
      <c r="AF10" s="3">
        <f>IFERROR(MATCH(ROW()-6,MUSTERILER!$U$7:$U$106,0),"")</f>
        <v/>
      </c>
      <c r="AG10" s="3">
        <f>IF($B10="",0,SUMIFS(GELIR_GIDER!$G$7:$G$1206,GELIR_GIDER!$T$7:$T$1206,$B10))</f>
        <v/>
      </c>
    </row>
    <row r="11">
      <c r="A11" s="6" t="n"/>
      <c r="B11" s="113">
        <f>IF($AF11="","",INDEX(MUSTERILER!$B$7:$B$106,$AF11))</f>
        <v/>
      </c>
      <c r="C11" s="121">
        <f>IF($AF11="","",INDEX(MUSTERILER!$C$7:$C$106,$AF11))</f>
        <v/>
      </c>
      <c r="D11" s="222">
        <f>IF($B11="","",SUMIFS(UCRETLER!$G$7:$G$406,UCRETLER!$B$7:$B$406,$B11,UCRETLER!$F$7:$F$406,"Haftalık",UCRETLER!$H$7:$H$406,"Aktif"))</f>
        <v/>
      </c>
      <c r="E11" s="222">
        <f>IF($B11="","",SUMIFS(UCRETLER!$G$7:$G$406,UCRETLER!$B$7:$B$406,$B11,UCRETLER!$F$7:$F$406,"Aylık",UCRETLER!$H$7:$H$406,"Aktif"))</f>
        <v/>
      </c>
      <c r="F11" s="222">
        <f>IF($B11="","",SUMIFS(MUSTERILER!$J$7:$J$106,MUSTERILER!$B$7:$B$106,$B11))</f>
        <v/>
      </c>
      <c r="G11" s="222">
        <f>IF($B11="","",SUMIFS(UCRETLER!$I$7:$I$406,UCRETLER!$B$7:$B$406,$B11)+SUMIFS(GELIR_GIDER!$G$7:$G$1206,GELIR_GIDER!$T$7:$T$1206,$B11))</f>
        <v/>
      </c>
      <c r="H11" s="222">
        <f>IF($B11="","",$F11+$G11)</f>
        <v/>
      </c>
      <c r="I11" s="222">
        <f>IF($B11="","",SUMIFS(TAHSILAT!$F$7:$F$1506,TAHSILAT!$C$7:$C$1506,$B11))</f>
        <v/>
      </c>
      <c r="J11" s="222">
        <f>IF($B11="","",MAX(0,$H11-$I11))</f>
        <v/>
      </c>
      <c r="K11" s="222">
        <f>IF($B11="","",MAX(0,$J11-$L11-$M11-$N11))</f>
        <v/>
      </c>
      <c r="L11" s="222">
        <f>IF($B11="","",($AC11-$AD11)+IF(AND($AB11&gt;0,$T11&lt;&gt;"",$U11&gt;=8,$U11&lt;15),$AB11,0))</f>
        <v/>
      </c>
      <c r="M11" s="222">
        <f>IF($B11="","",($AD11-$AE11)+IF(AND($AB11&gt;0,$T11&lt;&gt;"",$U11&gt;=15,$U11&lt;29),$AB11,0))</f>
        <v/>
      </c>
      <c r="N11" s="222">
        <f>IF($B11="","",$AE11+IF(AND($AB11&gt;0,OR($T11="",$U11&gt;=29)),$AB11,0))</f>
        <v/>
      </c>
      <c r="O11" s="229">
        <f>IF($B11="","",IFERROR($I11/$H11,0))</f>
        <v/>
      </c>
      <c r="P11" s="224">
        <f>IF($B11="","",IFERROR(LOOKUP(2,1/(TAHSILAT!$C$7:$C$1506=$B11),TAHSILAT!$E$7:$E$1506),""))</f>
        <v/>
      </c>
      <c r="Q11" s="113">
        <f>IF($B11="","",IF($N11&gt;0,"KRİTİK",IF($M11&gt;0,"YÜKSEK",IF($L11&gt;0,"ORTA",IF($J11&gt;0,"İZLE","TEMİZ")))))</f>
        <v/>
      </c>
      <c r="R11" s="121">
        <f>IF($B11="","",IF($Q11="KRİTİK","Acil tahsilat görüşmesi ve cari mutabakat",IF($Q11="YÜKSEK","Bu hafta tahsilat takibi",IF($Q11="ORTA","Hatırlatma mesajı gönder",IF($Q11="İZLE","Normal takip","Aksiyon gerekmiyor")))))</f>
        <v/>
      </c>
      <c r="S11" s="227">
        <f>IF($B11="","",COUNTIFS(AKTIVITE!$D$7:$D$1006,$B11,AKTIVITE!$J$7:$J$1006,"&lt;&gt;Tamamlandı"))</f>
        <v/>
      </c>
      <c r="T11" s="224">
        <f>IF(OR($B11="",$AF11=""),"",IF(INDEX(MUSTERILER!$K$7:$K$106,$AF11)="","",INDEX(MUSTERILER!$K$7:$K$106,$AF11)))</f>
        <v/>
      </c>
      <c r="U11" s="227">
        <f>IF(OR($B11="",$T11=""),"",TODAY()-$T11)</f>
        <v/>
      </c>
      <c r="V11" s="222">
        <f>IF($B11="","",MAX(0,$I11-$H11))</f>
        <v/>
      </c>
      <c r="W11" s="113">
        <f>IF($B11="","",IF(AND(ABS($J11-($K11+$L11+$M11+$N11))&lt;0.01,ABS(($J11-$V11)-($H11-$I11))&lt;0.01),"UYGUN","İNCELE"))</f>
        <v/>
      </c>
      <c r="X11" s="6">
        <f>IF($B11="",0,SUMIFS(UCRETLER!$J$7:$J$406,UCRETLER!$B$7:$B$406,$B11))</f>
        <v/>
      </c>
      <c r="Y11" s="6">
        <f>IF($B11="",0,SUMIFS(UCRETLER!$K$7:$K$406,UCRETLER!$B$7:$B$406,$B11))</f>
        <v/>
      </c>
      <c r="Z11" s="3">
        <f>IF($B11="",0,SUMIFS(UCRETLER!$L$7:$L$406,UCRETLER!$B$7:$B$406,$B11))</f>
        <v/>
      </c>
      <c r="AA11" s="3">
        <f>IF($B11="",0,MAX(0,$I11-$F11))</f>
        <v/>
      </c>
      <c r="AB11" s="3">
        <f>IF($B11="",0,MAX(0,$F11-$I11))</f>
        <v/>
      </c>
      <c r="AC11" s="3">
        <f>IF($B11="",0,MAX(0,$X11-$AA11))</f>
        <v/>
      </c>
      <c r="AD11" s="3">
        <f>IF($B11="",0,MAX(0,$Y11-$AA11))</f>
        <v/>
      </c>
      <c r="AE11" s="3">
        <f>IF($B11="",0,MAX(0,$Z11-$AA11))</f>
        <v/>
      </c>
      <c r="AF11" s="3">
        <f>IFERROR(MATCH(ROW()-6,MUSTERILER!$U$7:$U$106,0),"")</f>
        <v/>
      </c>
      <c r="AG11" s="3">
        <f>IF($B11="",0,SUMIFS(GELIR_GIDER!$G$7:$G$1206,GELIR_GIDER!$T$7:$T$1206,$B11))</f>
        <v/>
      </c>
    </row>
    <row r="12">
      <c r="A12" s="6" t="n"/>
      <c r="B12" s="113">
        <f>IF($AF12="","",INDEX(MUSTERILER!$B$7:$B$106,$AF12))</f>
        <v/>
      </c>
      <c r="C12" s="121">
        <f>IF($AF12="","",INDEX(MUSTERILER!$C$7:$C$106,$AF12))</f>
        <v/>
      </c>
      <c r="D12" s="222">
        <f>IF($B12="","",SUMIFS(UCRETLER!$G$7:$G$406,UCRETLER!$B$7:$B$406,$B12,UCRETLER!$F$7:$F$406,"Haftalık",UCRETLER!$H$7:$H$406,"Aktif"))</f>
        <v/>
      </c>
      <c r="E12" s="222">
        <f>IF($B12="","",SUMIFS(UCRETLER!$G$7:$G$406,UCRETLER!$B$7:$B$406,$B12,UCRETLER!$F$7:$F$406,"Aylık",UCRETLER!$H$7:$H$406,"Aktif"))</f>
        <v/>
      </c>
      <c r="F12" s="222">
        <f>IF($B12="","",SUMIFS(MUSTERILER!$J$7:$J$106,MUSTERILER!$B$7:$B$106,$B12))</f>
        <v/>
      </c>
      <c r="G12" s="222">
        <f>IF($B12="","",SUMIFS(UCRETLER!$I$7:$I$406,UCRETLER!$B$7:$B$406,$B12)+SUMIFS(GELIR_GIDER!$G$7:$G$1206,GELIR_GIDER!$T$7:$T$1206,$B12))</f>
        <v/>
      </c>
      <c r="H12" s="222">
        <f>IF($B12="","",$F12+$G12)</f>
        <v/>
      </c>
      <c r="I12" s="222">
        <f>IF($B12="","",SUMIFS(TAHSILAT!$F$7:$F$1506,TAHSILAT!$C$7:$C$1506,$B12))</f>
        <v/>
      </c>
      <c r="J12" s="222">
        <f>IF($B12="","",MAX(0,$H12-$I12))</f>
        <v/>
      </c>
      <c r="K12" s="222">
        <f>IF($B12="","",MAX(0,$J12-$L12-$M12-$N12))</f>
        <v/>
      </c>
      <c r="L12" s="222">
        <f>IF($B12="","",($AC12-$AD12)+IF(AND($AB12&gt;0,$T12&lt;&gt;"",$U12&gt;=8,$U12&lt;15),$AB12,0))</f>
        <v/>
      </c>
      <c r="M12" s="222">
        <f>IF($B12="","",($AD12-$AE12)+IF(AND($AB12&gt;0,$T12&lt;&gt;"",$U12&gt;=15,$U12&lt;29),$AB12,0))</f>
        <v/>
      </c>
      <c r="N12" s="222">
        <f>IF($B12="","",$AE12+IF(AND($AB12&gt;0,OR($T12="",$U12&gt;=29)),$AB12,0))</f>
        <v/>
      </c>
      <c r="O12" s="229">
        <f>IF($B12="","",IFERROR($I12/$H12,0))</f>
        <v/>
      </c>
      <c r="P12" s="224">
        <f>IF($B12="","",IFERROR(LOOKUP(2,1/(TAHSILAT!$C$7:$C$1506=$B12),TAHSILAT!$E$7:$E$1506),""))</f>
        <v/>
      </c>
      <c r="Q12" s="113">
        <f>IF($B12="","",IF($N12&gt;0,"KRİTİK",IF($M12&gt;0,"YÜKSEK",IF($L12&gt;0,"ORTA",IF($J12&gt;0,"İZLE","TEMİZ")))))</f>
        <v/>
      </c>
      <c r="R12" s="121">
        <f>IF($B12="","",IF($Q12="KRİTİK","Acil tahsilat görüşmesi ve cari mutabakat",IF($Q12="YÜKSEK","Bu hafta tahsilat takibi",IF($Q12="ORTA","Hatırlatma mesajı gönder",IF($Q12="İZLE","Normal takip","Aksiyon gerekmiyor")))))</f>
        <v/>
      </c>
      <c r="S12" s="227">
        <f>IF($B12="","",COUNTIFS(AKTIVITE!$D$7:$D$1006,$B12,AKTIVITE!$J$7:$J$1006,"&lt;&gt;Tamamlandı"))</f>
        <v/>
      </c>
      <c r="T12" s="224">
        <f>IF(OR($B12="",$AF12=""),"",IF(INDEX(MUSTERILER!$K$7:$K$106,$AF12)="","",INDEX(MUSTERILER!$K$7:$K$106,$AF12)))</f>
        <v/>
      </c>
      <c r="U12" s="227">
        <f>IF(OR($B12="",$T12=""),"",TODAY()-$T12)</f>
        <v/>
      </c>
      <c r="V12" s="222">
        <f>IF($B12="","",MAX(0,$I12-$H12))</f>
        <v/>
      </c>
      <c r="W12" s="113">
        <f>IF($B12="","",IF(AND(ABS($J12-($K12+$L12+$M12+$N12))&lt;0.01,ABS(($J12-$V12)-($H12-$I12))&lt;0.01),"UYGUN","İNCELE"))</f>
        <v/>
      </c>
      <c r="X12" s="6">
        <f>IF($B12="",0,SUMIFS(UCRETLER!$J$7:$J$406,UCRETLER!$B$7:$B$406,$B12))</f>
        <v/>
      </c>
      <c r="Y12" s="6">
        <f>IF($B12="",0,SUMIFS(UCRETLER!$K$7:$K$406,UCRETLER!$B$7:$B$406,$B12))</f>
        <v/>
      </c>
      <c r="Z12" s="3">
        <f>IF($B12="",0,SUMIFS(UCRETLER!$L$7:$L$406,UCRETLER!$B$7:$B$406,$B12))</f>
        <v/>
      </c>
      <c r="AA12" s="3">
        <f>IF($B12="",0,MAX(0,$I12-$F12))</f>
        <v/>
      </c>
      <c r="AB12" s="3">
        <f>IF($B12="",0,MAX(0,$F12-$I12))</f>
        <v/>
      </c>
      <c r="AC12" s="3">
        <f>IF($B12="",0,MAX(0,$X12-$AA12))</f>
        <v/>
      </c>
      <c r="AD12" s="3">
        <f>IF($B12="",0,MAX(0,$Y12-$AA12))</f>
        <v/>
      </c>
      <c r="AE12" s="3">
        <f>IF($B12="",0,MAX(0,$Z12-$AA12))</f>
        <v/>
      </c>
      <c r="AF12" s="3">
        <f>IFERROR(MATCH(ROW()-6,MUSTERILER!$U$7:$U$106,0),"")</f>
        <v/>
      </c>
      <c r="AG12" s="3">
        <f>IF($B12="",0,SUMIFS(GELIR_GIDER!$G$7:$G$1206,GELIR_GIDER!$T$7:$T$1206,$B12))</f>
        <v/>
      </c>
    </row>
    <row r="13">
      <c r="A13" s="6" t="n"/>
      <c r="B13" s="113">
        <f>IF($AF13="","",INDEX(MUSTERILER!$B$7:$B$106,$AF13))</f>
        <v/>
      </c>
      <c r="C13" s="121">
        <f>IF($AF13="","",INDEX(MUSTERILER!$C$7:$C$106,$AF13))</f>
        <v/>
      </c>
      <c r="D13" s="222">
        <f>IF($B13="","",SUMIFS(UCRETLER!$G$7:$G$406,UCRETLER!$B$7:$B$406,$B13,UCRETLER!$F$7:$F$406,"Haftalık",UCRETLER!$H$7:$H$406,"Aktif"))</f>
        <v/>
      </c>
      <c r="E13" s="222">
        <f>IF($B13="","",SUMIFS(UCRETLER!$G$7:$G$406,UCRETLER!$B$7:$B$406,$B13,UCRETLER!$F$7:$F$406,"Aylık",UCRETLER!$H$7:$H$406,"Aktif"))</f>
        <v/>
      </c>
      <c r="F13" s="222">
        <f>IF($B13="","",SUMIFS(MUSTERILER!$J$7:$J$106,MUSTERILER!$B$7:$B$106,$B13))</f>
        <v/>
      </c>
      <c r="G13" s="222">
        <f>IF($B13="","",SUMIFS(UCRETLER!$I$7:$I$406,UCRETLER!$B$7:$B$406,$B13)+SUMIFS(GELIR_GIDER!$G$7:$G$1206,GELIR_GIDER!$T$7:$T$1206,$B13))</f>
        <v/>
      </c>
      <c r="H13" s="222">
        <f>IF($B13="","",$F13+$G13)</f>
        <v/>
      </c>
      <c r="I13" s="222">
        <f>IF($B13="","",SUMIFS(TAHSILAT!$F$7:$F$1506,TAHSILAT!$C$7:$C$1506,$B13))</f>
        <v/>
      </c>
      <c r="J13" s="222">
        <f>IF($B13="","",MAX(0,$H13-$I13))</f>
        <v/>
      </c>
      <c r="K13" s="222">
        <f>IF($B13="","",MAX(0,$J13-$L13-$M13-$N13))</f>
        <v/>
      </c>
      <c r="L13" s="222">
        <f>IF($B13="","",($AC13-$AD13)+IF(AND($AB13&gt;0,$T13&lt;&gt;"",$U13&gt;=8,$U13&lt;15),$AB13,0))</f>
        <v/>
      </c>
      <c r="M13" s="222">
        <f>IF($B13="","",($AD13-$AE13)+IF(AND($AB13&gt;0,$T13&lt;&gt;"",$U13&gt;=15,$U13&lt;29),$AB13,0))</f>
        <v/>
      </c>
      <c r="N13" s="222">
        <f>IF($B13="","",$AE13+IF(AND($AB13&gt;0,OR($T13="",$U13&gt;=29)),$AB13,0))</f>
        <v/>
      </c>
      <c r="O13" s="229">
        <f>IF($B13="","",IFERROR($I13/$H13,0))</f>
        <v/>
      </c>
      <c r="P13" s="224">
        <f>IF($B13="","",IFERROR(LOOKUP(2,1/(TAHSILAT!$C$7:$C$1506=$B13),TAHSILAT!$E$7:$E$1506),""))</f>
        <v/>
      </c>
      <c r="Q13" s="113">
        <f>IF($B13="","",IF($N13&gt;0,"KRİTİK",IF($M13&gt;0,"YÜKSEK",IF($L13&gt;0,"ORTA",IF($J13&gt;0,"İZLE","TEMİZ")))))</f>
        <v/>
      </c>
      <c r="R13" s="121">
        <f>IF($B13="","",IF($Q13="KRİTİK","Acil tahsilat görüşmesi ve cari mutabakat",IF($Q13="YÜKSEK","Bu hafta tahsilat takibi",IF($Q13="ORTA","Hatırlatma mesajı gönder",IF($Q13="İZLE","Normal takip","Aksiyon gerekmiyor")))))</f>
        <v/>
      </c>
      <c r="S13" s="227">
        <f>IF($B13="","",COUNTIFS(AKTIVITE!$D$7:$D$1006,$B13,AKTIVITE!$J$7:$J$1006,"&lt;&gt;Tamamlandı"))</f>
        <v/>
      </c>
      <c r="T13" s="224">
        <f>IF(OR($B13="",$AF13=""),"",IF(INDEX(MUSTERILER!$K$7:$K$106,$AF13)="","",INDEX(MUSTERILER!$K$7:$K$106,$AF13)))</f>
        <v/>
      </c>
      <c r="U13" s="227">
        <f>IF(OR($B13="",$T13=""),"",TODAY()-$T13)</f>
        <v/>
      </c>
      <c r="V13" s="222">
        <f>IF($B13="","",MAX(0,$I13-$H13))</f>
        <v/>
      </c>
      <c r="W13" s="113">
        <f>IF($B13="","",IF(AND(ABS($J13-($K13+$L13+$M13+$N13))&lt;0.01,ABS(($J13-$V13)-($H13-$I13))&lt;0.01),"UYGUN","İNCELE"))</f>
        <v/>
      </c>
      <c r="X13" s="6">
        <f>IF($B13="",0,SUMIFS(UCRETLER!$J$7:$J$406,UCRETLER!$B$7:$B$406,$B13))</f>
        <v/>
      </c>
      <c r="Y13" s="6">
        <f>IF($B13="",0,SUMIFS(UCRETLER!$K$7:$K$406,UCRETLER!$B$7:$B$406,$B13))</f>
        <v/>
      </c>
      <c r="Z13" s="3">
        <f>IF($B13="",0,SUMIFS(UCRETLER!$L$7:$L$406,UCRETLER!$B$7:$B$406,$B13))</f>
        <v/>
      </c>
      <c r="AA13" s="3">
        <f>IF($B13="",0,MAX(0,$I13-$F13))</f>
        <v/>
      </c>
      <c r="AB13" s="3">
        <f>IF($B13="",0,MAX(0,$F13-$I13))</f>
        <v/>
      </c>
      <c r="AC13" s="3">
        <f>IF($B13="",0,MAX(0,$X13-$AA13))</f>
        <v/>
      </c>
      <c r="AD13" s="3">
        <f>IF($B13="",0,MAX(0,$Y13-$AA13))</f>
        <v/>
      </c>
      <c r="AE13" s="3">
        <f>IF($B13="",0,MAX(0,$Z13-$AA13))</f>
        <v/>
      </c>
      <c r="AF13" s="3">
        <f>IFERROR(MATCH(ROW()-6,MUSTERILER!$U$7:$U$106,0),"")</f>
        <v/>
      </c>
      <c r="AG13" s="3">
        <f>IF($B13="",0,SUMIFS(GELIR_GIDER!$G$7:$G$1206,GELIR_GIDER!$T$7:$T$1206,$B13))</f>
        <v/>
      </c>
    </row>
    <row r="14">
      <c r="A14" s="6" t="n"/>
      <c r="B14" s="113">
        <f>IF($AF14="","",INDEX(MUSTERILER!$B$7:$B$106,$AF14))</f>
        <v/>
      </c>
      <c r="C14" s="121">
        <f>IF($AF14="","",INDEX(MUSTERILER!$C$7:$C$106,$AF14))</f>
        <v/>
      </c>
      <c r="D14" s="222">
        <f>IF($B14="","",SUMIFS(UCRETLER!$G$7:$G$406,UCRETLER!$B$7:$B$406,$B14,UCRETLER!$F$7:$F$406,"Haftalık",UCRETLER!$H$7:$H$406,"Aktif"))</f>
        <v/>
      </c>
      <c r="E14" s="222">
        <f>IF($B14="","",SUMIFS(UCRETLER!$G$7:$G$406,UCRETLER!$B$7:$B$406,$B14,UCRETLER!$F$7:$F$406,"Aylık",UCRETLER!$H$7:$H$406,"Aktif"))</f>
        <v/>
      </c>
      <c r="F14" s="222">
        <f>IF($B14="","",SUMIFS(MUSTERILER!$J$7:$J$106,MUSTERILER!$B$7:$B$106,$B14))</f>
        <v/>
      </c>
      <c r="G14" s="222">
        <f>IF($B14="","",SUMIFS(UCRETLER!$I$7:$I$406,UCRETLER!$B$7:$B$406,$B14)+SUMIFS(GELIR_GIDER!$G$7:$G$1206,GELIR_GIDER!$T$7:$T$1206,$B14))</f>
        <v/>
      </c>
      <c r="H14" s="222">
        <f>IF($B14="","",$F14+$G14)</f>
        <v/>
      </c>
      <c r="I14" s="222">
        <f>IF($B14="","",SUMIFS(TAHSILAT!$F$7:$F$1506,TAHSILAT!$C$7:$C$1506,$B14))</f>
        <v/>
      </c>
      <c r="J14" s="222">
        <f>IF($B14="","",MAX(0,$H14-$I14))</f>
        <v/>
      </c>
      <c r="K14" s="222">
        <f>IF($B14="","",MAX(0,$J14-$L14-$M14-$N14))</f>
        <v/>
      </c>
      <c r="L14" s="222">
        <f>IF($B14="","",($AC14-$AD14)+IF(AND($AB14&gt;0,$T14&lt;&gt;"",$U14&gt;=8,$U14&lt;15),$AB14,0))</f>
        <v/>
      </c>
      <c r="M14" s="222">
        <f>IF($B14="","",($AD14-$AE14)+IF(AND($AB14&gt;0,$T14&lt;&gt;"",$U14&gt;=15,$U14&lt;29),$AB14,0))</f>
        <v/>
      </c>
      <c r="N14" s="222">
        <f>IF($B14="","",$AE14+IF(AND($AB14&gt;0,OR($T14="",$U14&gt;=29)),$AB14,0))</f>
        <v/>
      </c>
      <c r="O14" s="229">
        <f>IF($B14="","",IFERROR($I14/$H14,0))</f>
        <v/>
      </c>
      <c r="P14" s="224">
        <f>IF($B14="","",IFERROR(LOOKUP(2,1/(TAHSILAT!$C$7:$C$1506=$B14),TAHSILAT!$E$7:$E$1506),""))</f>
        <v/>
      </c>
      <c r="Q14" s="113">
        <f>IF($B14="","",IF($N14&gt;0,"KRİTİK",IF($M14&gt;0,"YÜKSEK",IF($L14&gt;0,"ORTA",IF($J14&gt;0,"İZLE","TEMİZ")))))</f>
        <v/>
      </c>
      <c r="R14" s="121">
        <f>IF($B14="","",IF($Q14="KRİTİK","Acil tahsilat görüşmesi ve cari mutabakat",IF($Q14="YÜKSEK","Bu hafta tahsilat takibi",IF($Q14="ORTA","Hatırlatma mesajı gönder",IF($Q14="İZLE","Normal takip","Aksiyon gerekmiyor")))))</f>
        <v/>
      </c>
      <c r="S14" s="227">
        <f>IF($B14="","",COUNTIFS(AKTIVITE!$D$7:$D$1006,$B14,AKTIVITE!$J$7:$J$1006,"&lt;&gt;Tamamlandı"))</f>
        <v/>
      </c>
      <c r="T14" s="224">
        <f>IF(OR($B14="",$AF14=""),"",IF(INDEX(MUSTERILER!$K$7:$K$106,$AF14)="","",INDEX(MUSTERILER!$K$7:$K$106,$AF14)))</f>
        <v/>
      </c>
      <c r="U14" s="227">
        <f>IF(OR($B14="",$T14=""),"",TODAY()-$T14)</f>
        <v/>
      </c>
      <c r="V14" s="222">
        <f>IF($B14="","",MAX(0,$I14-$H14))</f>
        <v/>
      </c>
      <c r="W14" s="113">
        <f>IF($B14="","",IF(AND(ABS($J14-($K14+$L14+$M14+$N14))&lt;0.01,ABS(($J14-$V14)-($H14-$I14))&lt;0.01),"UYGUN","İNCELE"))</f>
        <v/>
      </c>
      <c r="X14" s="6">
        <f>IF($B14="",0,SUMIFS(UCRETLER!$J$7:$J$406,UCRETLER!$B$7:$B$406,$B14))</f>
        <v/>
      </c>
      <c r="Y14" s="6">
        <f>IF($B14="",0,SUMIFS(UCRETLER!$K$7:$K$406,UCRETLER!$B$7:$B$406,$B14))</f>
        <v/>
      </c>
      <c r="Z14" s="3">
        <f>IF($B14="",0,SUMIFS(UCRETLER!$L$7:$L$406,UCRETLER!$B$7:$B$406,$B14))</f>
        <v/>
      </c>
      <c r="AA14" s="3">
        <f>IF($B14="",0,MAX(0,$I14-$F14))</f>
        <v/>
      </c>
      <c r="AB14" s="3">
        <f>IF($B14="",0,MAX(0,$F14-$I14))</f>
        <v/>
      </c>
      <c r="AC14" s="3">
        <f>IF($B14="",0,MAX(0,$X14-$AA14))</f>
        <v/>
      </c>
      <c r="AD14" s="3">
        <f>IF($B14="",0,MAX(0,$Y14-$AA14))</f>
        <v/>
      </c>
      <c r="AE14" s="3">
        <f>IF($B14="",0,MAX(0,$Z14-$AA14))</f>
        <v/>
      </c>
      <c r="AF14" s="3">
        <f>IFERROR(MATCH(ROW()-6,MUSTERILER!$U$7:$U$106,0),"")</f>
        <v/>
      </c>
      <c r="AG14" s="3">
        <f>IF($B14="",0,SUMIFS(GELIR_GIDER!$G$7:$G$1206,GELIR_GIDER!$T$7:$T$1206,$B14))</f>
        <v/>
      </c>
    </row>
    <row r="15">
      <c r="A15" s="6" t="n"/>
      <c r="B15" s="113">
        <f>IF($AF15="","",INDEX(MUSTERILER!$B$7:$B$106,$AF15))</f>
        <v/>
      </c>
      <c r="C15" s="121">
        <f>IF($AF15="","",INDEX(MUSTERILER!$C$7:$C$106,$AF15))</f>
        <v/>
      </c>
      <c r="D15" s="222">
        <f>IF($B15="","",SUMIFS(UCRETLER!$G$7:$G$406,UCRETLER!$B$7:$B$406,$B15,UCRETLER!$F$7:$F$406,"Haftalık",UCRETLER!$H$7:$H$406,"Aktif"))</f>
        <v/>
      </c>
      <c r="E15" s="222">
        <f>IF($B15="","",SUMIFS(UCRETLER!$G$7:$G$406,UCRETLER!$B$7:$B$406,$B15,UCRETLER!$F$7:$F$406,"Aylık",UCRETLER!$H$7:$H$406,"Aktif"))</f>
        <v/>
      </c>
      <c r="F15" s="222">
        <f>IF($B15="","",SUMIFS(MUSTERILER!$J$7:$J$106,MUSTERILER!$B$7:$B$106,$B15))</f>
        <v/>
      </c>
      <c r="G15" s="222">
        <f>IF($B15="","",SUMIFS(UCRETLER!$I$7:$I$406,UCRETLER!$B$7:$B$406,$B15)+SUMIFS(GELIR_GIDER!$G$7:$G$1206,GELIR_GIDER!$T$7:$T$1206,$B15))</f>
        <v/>
      </c>
      <c r="H15" s="222">
        <f>IF($B15="","",$F15+$G15)</f>
        <v/>
      </c>
      <c r="I15" s="222">
        <f>IF($B15="","",SUMIFS(TAHSILAT!$F$7:$F$1506,TAHSILAT!$C$7:$C$1506,$B15))</f>
        <v/>
      </c>
      <c r="J15" s="222">
        <f>IF($B15="","",MAX(0,$H15-$I15))</f>
        <v/>
      </c>
      <c r="K15" s="222">
        <f>IF($B15="","",MAX(0,$J15-$L15-$M15-$N15))</f>
        <v/>
      </c>
      <c r="L15" s="222">
        <f>IF($B15="","",($AC15-$AD15)+IF(AND($AB15&gt;0,$T15&lt;&gt;"",$U15&gt;=8,$U15&lt;15),$AB15,0))</f>
        <v/>
      </c>
      <c r="M15" s="222">
        <f>IF($B15="","",($AD15-$AE15)+IF(AND($AB15&gt;0,$T15&lt;&gt;"",$U15&gt;=15,$U15&lt;29),$AB15,0))</f>
        <v/>
      </c>
      <c r="N15" s="222">
        <f>IF($B15="","",$AE15+IF(AND($AB15&gt;0,OR($T15="",$U15&gt;=29)),$AB15,0))</f>
        <v/>
      </c>
      <c r="O15" s="229">
        <f>IF($B15="","",IFERROR($I15/$H15,0))</f>
        <v/>
      </c>
      <c r="P15" s="224">
        <f>IF($B15="","",IFERROR(LOOKUP(2,1/(TAHSILAT!$C$7:$C$1506=$B15),TAHSILAT!$E$7:$E$1506),""))</f>
        <v/>
      </c>
      <c r="Q15" s="113">
        <f>IF($B15="","",IF($N15&gt;0,"KRİTİK",IF($M15&gt;0,"YÜKSEK",IF($L15&gt;0,"ORTA",IF($J15&gt;0,"İZLE","TEMİZ")))))</f>
        <v/>
      </c>
      <c r="R15" s="121">
        <f>IF($B15="","",IF($Q15="KRİTİK","Acil tahsilat görüşmesi ve cari mutabakat",IF($Q15="YÜKSEK","Bu hafta tahsilat takibi",IF($Q15="ORTA","Hatırlatma mesajı gönder",IF($Q15="İZLE","Normal takip","Aksiyon gerekmiyor")))))</f>
        <v/>
      </c>
      <c r="S15" s="227">
        <f>IF($B15="","",COUNTIFS(AKTIVITE!$D$7:$D$1006,$B15,AKTIVITE!$J$7:$J$1006,"&lt;&gt;Tamamlandı"))</f>
        <v/>
      </c>
      <c r="T15" s="224">
        <f>IF(OR($B15="",$AF15=""),"",IF(INDEX(MUSTERILER!$K$7:$K$106,$AF15)="","",INDEX(MUSTERILER!$K$7:$K$106,$AF15)))</f>
        <v/>
      </c>
      <c r="U15" s="227">
        <f>IF(OR($B15="",$T15=""),"",TODAY()-$T15)</f>
        <v/>
      </c>
      <c r="V15" s="222">
        <f>IF($B15="","",MAX(0,$I15-$H15))</f>
        <v/>
      </c>
      <c r="W15" s="113">
        <f>IF($B15="","",IF(AND(ABS($J15-($K15+$L15+$M15+$N15))&lt;0.01,ABS(($J15-$V15)-($H15-$I15))&lt;0.01),"UYGUN","İNCELE"))</f>
        <v/>
      </c>
      <c r="X15" s="6">
        <f>IF($B15="",0,SUMIFS(UCRETLER!$J$7:$J$406,UCRETLER!$B$7:$B$406,$B15))</f>
        <v/>
      </c>
      <c r="Y15" s="6">
        <f>IF($B15="",0,SUMIFS(UCRETLER!$K$7:$K$406,UCRETLER!$B$7:$B$406,$B15))</f>
        <v/>
      </c>
      <c r="Z15" s="3">
        <f>IF($B15="",0,SUMIFS(UCRETLER!$L$7:$L$406,UCRETLER!$B$7:$B$406,$B15))</f>
        <v/>
      </c>
      <c r="AA15" s="3">
        <f>IF($B15="",0,MAX(0,$I15-$F15))</f>
        <v/>
      </c>
      <c r="AB15" s="3">
        <f>IF($B15="",0,MAX(0,$F15-$I15))</f>
        <v/>
      </c>
      <c r="AC15" s="3">
        <f>IF($B15="",0,MAX(0,$X15-$AA15))</f>
        <v/>
      </c>
      <c r="AD15" s="3">
        <f>IF($B15="",0,MAX(0,$Y15-$AA15))</f>
        <v/>
      </c>
      <c r="AE15" s="3">
        <f>IF($B15="",0,MAX(0,$Z15-$AA15))</f>
        <v/>
      </c>
      <c r="AF15" s="3">
        <f>IFERROR(MATCH(ROW()-6,MUSTERILER!$U$7:$U$106,0),"")</f>
        <v/>
      </c>
      <c r="AG15" s="3">
        <f>IF($B15="",0,SUMIFS(GELIR_GIDER!$G$7:$G$1206,GELIR_GIDER!$T$7:$T$1206,$B15))</f>
        <v/>
      </c>
    </row>
    <row r="16">
      <c r="A16" s="6" t="n"/>
      <c r="B16" s="113">
        <f>IF($AF16="","",INDEX(MUSTERILER!$B$7:$B$106,$AF16))</f>
        <v/>
      </c>
      <c r="C16" s="121">
        <f>IF($AF16="","",INDEX(MUSTERILER!$C$7:$C$106,$AF16))</f>
        <v/>
      </c>
      <c r="D16" s="222">
        <f>IF($B16="","",SUMIFS(UCRETLER!$G$7:$G$406,UCRETLER!$B$7:$B$406,$B16,UCRETLER!$F$7:$F$406,"Haftalık",UCRETLER!$H$7:$H$406,"Aktif"))</f>
        <v/>
      </c>
      <c r="E16" s="222">
        <f>IF($B16="","",SUMIFS(UCRETLER!$G$7:$G$406,UCRETLER!$B$7:$B$406,$B16,UCRETLER!$F$7:$F$406,"Aylık",UCRETLER!$H$7:$H$406,"Aktif"))</f>
        <v/>
      </c>
      <c r="F16" s="222">
        <f>IF($B16="","",SUMIFS(MUSTERILER!$J$7:$J$106,MUSTERILER!$B$7:$B$106,$B16))</f>
        <v/>
      </c>
      <c r="G16" s="222">
        <f>IF($B16="","",SUMIFS(UCRETLER!$I$7:$I$406,UCRETLER!$B$7:$B$406,$B16)+SUMIFS(GELIR_GIDER!$G$7:$G$1206,GELIR_GIDER!$T$7:$T$1206,$B16))</f>
        <v/>
      </c>
      <c r="H16" s="222">
        <f>IF($B16="","",$F16+$G16)</f>
        <v/>
      </c>
      <c r="I16" s="222">
        <f>IF($B16="","",SUMIFS(TAHSILAT!$F$7:$F$1506,TAHSILAT!$C$7:$C$1506,$B16))</f>
        <v/>
      </c>
      <c r="J16" s="222">
        <f>IF($B16="","",MAX(0,$H16-$I16))</f>
        <v/>
      </c>
      <c r="K16" s="222">
        <f>IF($B16="","",MAX(0,$J16-$L16-$M16-$N16))</f>
        <v/>
      </c>
      <c r="L16" s="222">
        <f>IF($B16="","",($AC16-$AD16)+IF(AND($AB16&gt;0,$T16&lt;&gt;"",$U16&gt;=8,$U16&lt;15),$AB16,0))</f>
        <v/>
      </c>
      <c r="M16" s="222">
        <f>IF($B16="","",($AD16-$AE16)+IF(AND($AB16&gt;0,$T16&lt;&gt;"",$U16&gt;=15,$U16&lt;29),$AB16,0))</f>
        <v/>
      </c>
      <c r="N16" s="222">
        <f>IF($B16="","",$AE16+IF(AND($AB16&gt;0,OR($T16="",$U16&gt;=29)),$AB16,0))</f>
        <v/>
      </c>
      <c r="O16" s="229">
        <f>IF($B16="","",IFERROR($I16/$H16,0))</f>
        <v/>
      </c>
      <c r="P16" s="224">
        <f>IF($B16="","",IFERROR(LOOKUP(2,1/(TAHSILAT!$C$7:$C$1506=$B16),TAHSILAT!$E$7:$E$1506),""))</f>
        <v/>
      </c>
      <c r="Q16" s="113">
        <f>IF($B16="","",IF($N16&gt;0,"KRİTİK",IF($M16&gt;0,"YÜKSEK",IF($L16&gt;0,"ORTA",IF($J16&gt;0,"İZLE","TEMİZ")))))</f>
        <v/>
      </c>
      <c r="R16" s="121">
        <f>IF($B16="","",IF($Q16="KRİTİK","Acil tahsilat görüşmesi ve cari mutabakat",IF($Q16="YÜKSEK","Bu hafta tahsilat takibi",IF($Q16="ORTA","Hatırlatma mesajı gönder",IF($Q16="İZLE","Normal takip","Aksiyon gerekmiyor")))))</f>
        <v/>
      </c>
      <c r="S16" s="227">
        <f>IF($B16="","",COUNTIFS(AKTIVITE!$D$7:$D$1006,$B16,AKTIVITE!$J$7:$J$1006,"&lt;&gt;Tamamlandı"))</f>
        <v/>
      </c>
      <c r="T16" s="224">
        <f>IF(OR($B16="",$AF16=""),"",IF(INDEX(MUSTERILER!$K$7:$K$106,$AF16)="","",INDEX(MUSTERILER!$K$7:$K$106,$AF16)))</f>
        <v/>
      </c>
      <c r="U16" s="227">
        <f>IF(OR($B16="",$T16=""),"",TODAY()-$T16)</f>
        <v/>
      </c>
      <c r="V16" s="222">
        <f>IF($B16="","",MAX(0,$I16-$H16))</f>
        <v/>
      </c>
      <c r="W16" s="113">
        <f>IF($B16="","",IF(AND(ABS($J16-($K16+$L16+$M16+$N16))&lt;0.01,ABS(($J16-$V16)-($H16-$I16))&lt;0.01),"UYGUN","İNCELE"))</f>
        <v/>
      </c>
      <c r="X16" s="6">
        <f>IF($B16="",0,SUMIFS(UCRETLER!$J$7:$J$406,UCRETLER!$B$7:$B$406,$B16))</f>
        <v/>
      </c>
      <c r="Y16" s="6">
        <f>IF($B16="",0,SUMIFS(UCRETLER!$K$7:$K$406,UCRETLER!$B$7:$B$406,$B16))</f>
        <v/>
      </c>
      <c r="Z16" s="3">
        <f>IF($B16="",0,SUMIFS(UCRETLER!$L$7:$L$406,UCRETLER!$B$7:$B$406,$B16))</f>
        <v/>
      </c>
      <c r="AA16" s="3">
        <f>IF($B16="",0,MAX(0,$I16-$F16))</f>
        <v/>
      </c>
      <c r="AB16" s="3">
        <f>IF($B16="",0,MAX(0,$F16-$I16))</f>
        <v/>
      </c>
      <c r="AC16" s="3">
        <f>IF($B16="",0,MAX(0,$X16-$AA16))</f>
        <v/>
      </c>
      <c r="AD16" s="3">
        <f>IF($B16="",0,MAX(0,$Y16-$AA16))</f>
        <v/>
      </c>
      <c r="AE16" s="3">
        <f>IF($B16="",0,MAX(0,$Z16-$AA16))</f>
        <v/>
      </c>
      <c r="AF16" s="3">
        <f>IFERROR(MATCH(ROW()-6,MUSTERILER!$U$7:$U$106,0),"")</f>
        <v/>
      </c>
      <c r="AG16" s="3">
        <f>IF($B16="",0,SUMIFS(GELIR_GIDER!$G$7:$G$1206,GELIR_GIDER!$T$7:$T$1206,$B16))</f>
        <v/>
      </c>
    </row>
    <row r="17">
      <c r="A17" s="6" t="n"/>
      <c r="B17" s="113">
        <f>IF($AF17="","",INDEX(MUSTERILER!$B$7:$B$106,$AF17))</f>
        <v/>
      </c>
      <c r="C17" s="121">
        <f>IF($AF17="","",INDEX(MUSTERILER!$C$7:$C$106,$AF17))</f>
        <v/>
      </c>
      <c r="D17" s="222">
        <f>IF($B17="","",SUMIFS(UCRETLER!$G$7:$G$406,UCRETLER!$B$7:$B$406,$B17,UCRETLER!$F$7:$F$406,"Haftalık",UCRETLER!$H$7:$H$406,"Aktif"))</f>
        <v/>
      </c>
      <c r="E17" s="222">
        <f>IF($B17="","",SUMIFS(UCRETLER!$G$7:$G$406,UCRETLER!$B$7:$B$406,$B17,UCRETLER!$F$7:$F$406,"Aylık",UCRETLER!$H$7:$H$406,"Aktif"))</f>
        <v/>
      </c>
      <c r="F17" s="222">
        <f>IF($B17="","",SUMIFS(MUSTERILER!$J$7:$J$106,MUSTERILER!$B$7:$B$106,$B17))</f>
        <v/>
      </c>
      <c r="G17" s="222">
        <f>IF($B17="","",SUMIFS(UCRETLER!$I$7:$I$406,UCRETLER!$B$7:$B$406,$B17)+SUMIFS(GELIR_GIDER!$G$7:$G$1206,GELIR_GIDER!$T$7:$T$1206,$B17))</f>
        <v/>
      </c>
      <c r="H17" s="222">
        <f>IF($B17="","",$F17+$G17)</f>
        <v/>
      </c>
      <c r="I17" s="222">
        <f>IF($B17="","",SUMIFS(TAHSILAT!$F$7:$F$1506,TAHSILAT!$C$7:$C$1506,$B17))</f>
        <v/>
      </c>
      <c r="J17" s="222">
        <f>IF($B17="","",MAX(0,$H17-$I17))</f>
        <v/>
      </c>
      <c r="K17" s="222">
        <f>IF($B17="","",MAX(0,$J17-$L17-$M17-$N17))</f>
        <v/>
      </c>
      <c r="L17" s="222">
        <f>IF($B17="","",($AC17-$AD17)+IF(AND($AB17&gt;0,$T17&lt;&gt;"",$U17&gt;=8,$U17&lt;15),$AB17,0))</f>
        <v/>
      </c>
      <c r="M17" s="222">
        <f>IF($B17="","",($AD17-$AE17)+IF(AND($AB17&gt;0,$T17&lt;&gt;"",$U17&gt;=15,$U17&lt;29),$AB17,0))</f>
        <v/>
      </c>
      <c r="N17" s="222">
        <f>IF($B17="","",$AE17+IF(AND($AB17&gt;0,OR($T17="",$U17&gt;=29)),$AB17,0))</f>
        <v/>
      </c>
      <c r="O17" s="229">
        <f>IF($B17="","",IFERROR($I17/$H17,0))</f>
        <v/>
      </c>
      <c r="P17" s="224">
        <f>IF($B17="","",IFERROR(LOOKUP(2,1/(TAHSILAT!$C$7:$C$1506=$B17),TAHSILAT!$E$7:$E$1506),""))</f>
        <v/>
      </c>
      <c r="Q17" s="113">
        <f>IF($B17="","",IF($N17&gt;0,"KRİTİK",IF($M17&gt;0,"YÜKSEK",IF($L17&gt;0,"ORTA",IF($J17&gt;0,"İZLE","TEMİZ")))))</f>
        <v/>
      </c>
      <c r="R17" s="121">
        <f>IF($B17="","",IF($Q17="KRİTİK","Acil tahsilat görüşmesi ve cari mutabakat",IF($Q17="YÜKSEK","Bu hafta tahsilat takibi",IF($Q17="ORTA","Hatırlatma mesajı gönder",IF($Q17="İZLE","Normal takip","Aksiyon gerekmiyor")))))</f>
        <v/>
      </c>
      <c r="S17" s="227">
        <f>IF($B17="","",COUNTIFS(AKTIVITE!$D$7:$D$1006,$B17,AKTIVITE!$J$7:$J$1006,"&lt;&gt;Tamamlandı"))</f>
        <v/>
      </c>
      <c r="T17" s="224">
        <f>IF(OR($B17="",$AF17=""),"",IF(INDEX(MUSTERILER!$K$7:$K$106,$AF17)="","",INDEX(MUSTERILER!$K$7:$K$106,$AF17)))</f>
        <v/>
      </c>
      <c r="U17" s="227">
        <f>IF(OR($B17="",$T17=""),"",TODAY()-$T17)</f>
        <v/>
      </c>
      <c r="V17" s="222">
        <f>IF($B17="","",MAX(0,$I17-$H17))</f>
        <v/>
      </c>
      <c r="W17" s="113">
        <f>IF($B17="","",IF(AND(ABS($J17-($K17+$L17+$M17+$N17))&lt;0.01,ABS(($J17-$V17)-($H17-$I17))&lt;0.01),"UYGUN","İNCELE"))</f>
        <v/>
      </c>
      <c r="X17" s="6">
        <f>IF($B17="",0,SUMIFS(UCRETLER!$J$7:$J$406,UCRETLER!$B$7:$B$406,$B17))</f>
        <v/>
      </c>
      <c r="Y17" s="6">
        <f>IF($B17="",0,SUMIFS(UCRETLER!$K$7:$K$406,UCRETLER!$B$7:$B$406,$B17))</f>
        <v/>
      </c>
      <c r="Z17" s="3">
        <f>IF($B17="",0,SUMIFS(UCRETLER!$L$7:$L$406,UCRETLER!$B$7:$B$406,$B17))</f>
        <v/>
      </c>
      <c r="AA17" s="3">
        <f>IF($B17="",0,MAX(0,$I17-$F17))</f>
        <v/>
      </c>
      <c r="AB17" s="3">
        <f>IF($B17="",0,MAX(0,$F17-$I17))</f>
        <v/>
      </c>
      <c r="AC17" s="3">
        <f>IF($B17="",0,MAX(0,$X17-$AA17))</f>
        <v/>
      </c>
      <c r="AD17" s="3">
        <f>IF($B17="",0,MAX(0,$Y17-$AA17))</f>
        <v/>
      </c>
      <c r="AE17" s="3">
        <f>IF($B17="",0,MAX(0,$Z17-$AA17))</f>
        <v/>
      </c>
      <c r="AF17" s="3">
        <f>IFERROR(MATCH(ROW()-6,MUSTERILER!$U$7:$U$106,0),"")</f>
        <v/>
      </c>
      <c r="AG17" s="3">
        <f>IF($B17="",0,SUMIFS(GELIR_GIDER!$G$7:$G$1206,GELIR_GIDER!$T$7:$T$1206,$B17))</f>
        <v/>
      </c>
    </row>
    <row r="18">
      <c r="A18" s="6" t="n"/>
      <c r="B18" s="113">
        <f>IF($AF18="","",INDEX(MUSTERILER!$B$7:$B$106,$AF18))</f>
        <v/>
      </c>
      <c r="C18" s="121">
        <f>IF($AF18="","",INDEX(MUSTERILER!$C$7:$C$106,$AF18))</f>
        <v/>
      </c>
      <c r="D18" s="222">
        <f>IF($B18="","",SUMIFS(UCRETLER!$G$7:$G$406,UCRETLER!$B$7:$B$406,$B18,UCRETLER!$F$7:$F$406,"Haftalık",UCRETLER!$H$7:$H$406,"Aktif"))</f>
        <v/>
      </c>
      <c r="E18" s="222">
        <f>IF($B18="","",SUMIFS(UCRETLER!$G$7:$G$406,UCRETLER!$B$7:$B$406,$B18,UCRETLER!$F$7:$F$406,"Aylık",UCRETLER!$H$7:$H$406,"Aktif"))</f>
        <v/>
      </c>
      <c r="F18" s="222">
        <f>IF($B18="","",SUMIFS(MUSTERILER!$J$7:$J$106,MUSTERILER!$B$7:$B$106,$B18))</f>
        <v/>
      </c>
      <c r="G18" s="222">
        <f>IF($B18="","",SUMIFS(UCRETLER!$I$7:$I$406,UCRETLER!$B$7:$B$406,$B18)+SUMIFS(GELIR_GIDER!$G$7:$G$1206,GELIR_GIDER!$T$7:$T$1206,$B18))</f>
        <v/>
      </c>
      <c r="H18" s="222">
        <f>IF($B18="","",$F18+$G18)</f>
        <v/>
      </c>
      <c r="I18" s="222">
        <f>IF($B18="","",SUMIFS(TAHSILAT!$F$7:$F$1506,TAHSILAT!$C$7:$C$1506,$B18))</f>
        <v/>
      </c>
      <c r="J18" s="222">
        <f>IF($B18="","",MAX(0,$H18-$I18))</f>
        <v/>
      </c>
      <c r="K18" s="222">
        <f>IF($B18="","",MAX(0,$J18-$L18-$M18-$N18))</f>
        <v/>
      </c>
      <c r="L18" s="222">
        <f>IF($B18="","",($AC18-$AD18)+IF(AND($AB18&gt;0,$T18&lt;&gt;"",$U18&gt;=8,$U18&lt;15),$AB18,0))</f>
        <v/>
      </c>
      <c r="M18" s="222">
        <f>IF($B18="","",($AD18-$AE18)+IF(AND($AB18&gt;0,$T18&lt;&gt;"",$U18&gt;=15,$U18&lt;29),$AB18,0))</f>
        <v/>
      </c>
      <c r="N18" s="222">
        <f>IF($B18="","",$AE18+IF(AND($AB18&gt;0,OR($T18="",$U18&gt;=29)),$AB18,0))</f>
        <v/>
      </c>
      <c r="O18" s="229">
        <f>IF($B18="","",IFERROR($I18/$H18,0))</f>
        <v/>
      </c>
      <c r="P18" s="224">
        <f>IF($B18="","",IFERROR(LOOKUP(2,1/(TAHSILAT!$C$7:$C$1506=$B18),TAHSILAT!$E$7:$E$1506),""))</f>
        <v/>
      </c>
      <c r="Q18" s="113">
        <f>IF($B18="","",IF($N18&gt;0,"KRİTİK",IF($M18&gt;0,"YÜKSEK",IF($L18&gt;0,"ORTA",IF($J18&gt;0,"İZLE","TEMİZ")))))</f>
        <v/>
      </c>
      <c r="R18" s="121">
        <f>IF($B18="","",IF($Q18="KRİTİK","Acil tahsilat görüşmesi ve cari mutabakat",IF($Q18="YÜKSEK","Bu hafta tahsilat takibi",IF($Q18="ORTA","Hatırlatma mesajı gönder",IF($Q18="İZLE","Normal takip","Aksiyon gerekmiyor")))))</f>
        <v/>
      </c>
      <c r="S18" s="227">
        <f>IF($B18="","",COUNTIFS(AKTIVITE!$D$7:$D$1006,$B18,AKTIVITE!$J$7:$J$1006,"&lt;&gt;Tamamlandı"))</f>
        <v/>
      </c>
      <c r="T18" s="224">
        <f>IF(OR($B18="",$AF18=""),"",IF(INDEX(MUSTERILER!$K$7:$K$106,$AF18)="","",INDEX(MUSTERILER!$K$7:$K$106,$AF18)))</f>
        <v/>
      </c>
      <c r="U18" s="227">
        <f>IF(OR($B18="",$T18=""),"",TODAY()-$T18)</f>
        <v/>
      </c>
      <c r="V18" s="222">
        <f>IF($B18="","",MAX(0,$I18-$H18))</f>
        <v/>
      </c>
      <c r="W18" s="113">
        <f>IF($B18="","",IF(AND(ABS($J18-($K18+$L18+$M18+$N18))&lt;0.01,ABS(($J18-$V18)-($H18-$I18))&lt;0.01),"UYGUN","İNCELE"))</f>
        <v/>
      </c>
      <c r="X18" s="6">
        <f>IF($B18="",0,SUMIFS(UCRETLER!$J$7:$J$406,UCRETLER!$B$7:$B$406,$B18))</f>
        <v/>
      </c>
      <c r="Y18" s="6">
        <f>IF($B18="",0,SUMIFS(UCRETLER!$K$7:$K$406,UCRETLER!$B$7:$B$406,$B18))</f>
        <v/>
      </c>
      <c r="Z18" s="3">
        <f>IF($B18="",0,SUMIFS(UCRETLER!$L$7:$L$406,UCRETLER!$B$7:$B$406,$B18))</f>
        <v/>
      </c>
      <c r="AA18" s="3">
        <f>IF($B18="",0,MAX(0,$I18-$F18))</f>
        <v/>
      </c>
      <c r="AB18" s="3">
        <f>IF($B18="",0,MAX(0,$F18-$I18))</f>
        <v/>
      </c>
      <c r="AC18" s="3">
        <f>IF($B18="",0,MAX(0,$X18-$AA18))</f>
        <v/>
      </c>
      <c r="AD18" s="3">
        <f>IF($B18="",0,MAX(0,$Y18-$AA18))</f>
        <v/>
      </c>
      <c r="AE18" s="3">
        <f>IF($B18="",0,MAX(0,$Z18-$AA18))</f>
        <v/>
      </c>
      <c r="AF18" s="3">
        <f>IFERROR(MATCH(ROW()-6,MUSTERILER!$U$7:$U$106,0),"")</f>
        <v/>
      </c>
      <c r="AG18" s="3">
        <f>IF($B18="",0,SUMIFS(GELIR_GIDER!$G$7:$G$1206,GELIR_GIDER!$T$7:$T$1206,$B18))</f>
        <v/>
      </c>
    </row>
    <row r="19">
      <c r="A19" s="6" t="n"/>
      <c r="B19" s="113">
        <f>IF($AF19="","",INDEX(MUSTERILER!$B$7:$B$106,$AF19))</f>
        <v/>
      </c>
      <c r="C19" s="121">
        <f>IF($AF19="","",INDEX(MUSTERILER!$C$7:$C$106,$AF19))</f>
        <v/>
      </c>
      <c r="D19" s="222">
        <f>IF($B19="","",SUMIFS(UCRETLER!$G$7:$G$406,UCRETLER!$B$7:$B$406,$B19,UCRETLER!$F$7:$F$406,"Haftalık",UCRETLER!$H$7:$H$406,"Aktif"))</f>
        <v/>
      </c>
      <c r="E19" s="222">
        <f>IF($B19="","",SUMIFS(UCRETLER!$G$7:$G$406,UCRETLER!$B$7:$B$406,$B19,UCRETLER!$F$7:$F$406,"Aylık",UCRETLER!$H$7:$H$406,"Aktif"))</f>
        <v/>
      </c>
      <c r="F19" s="222">
        <f>IF($B19="","",SUMIFS(MUSTERILER!$J$7:$J$106,MUSTERILER!$B$7:$B$106,$B19))</f>
        <v/>
      </c>
      <c r="G19" s="222">
        <f>IF($B19="","",SUMIFS(UCRETLER!$I$7:$I$406,UCRETLER!$B$7:$B$406,$B19)+SUMIFS(GELIR_GIDER!$G$7:$G$1206,GELIR_GIDER!$T$7:$T$1206,$B19))</f>
        <v/>
      </c>
      <c r="H19" s="222">
        <f>IF($B19="","",$F19+$G19)</f>
        <v/>
      </c>
      <c r="I19" s="222">
        <f>IF($B19="","",SUMIFS(TAHSILAT!$F$7:$F$1506,TAHSILAT!$C$7:$C$1506,$B19))</f>
        <v/>
      </c>
      <c r="J19" s="222">
        <f>IF($B19="","",MAX(0,$H19-$I19))</f>
        <v/>
      </c>
      <c r="K19" s="222">
        <f>IF($B19="","",MAX(0,$J19-$L19-$M19-$N19))</f>
        <v/>
      </c>
      <c r="L19" s="222">
        <f>IF($B19="","",($AC19-$AD19)+IF(AND($AB19&gt;0,$T19&lt;&gt;"",$U19&gt;=8,$U19&lt;15),$AB19,0))</f>
        <v/>
      </c>
      <c r="M19" s="222">
        <f>IF($B19="","",($AD19-$AE19)+IF(AND($AB19&gt;0,$T19&lt;&gt;"",$U19&gt;=15,$U19&lt;29),$AB19,0))</f>
        <v/>
      </c>
      <c r="N19" s="222">
        <f>IF($B19="","",$AE19+IF(AND($AB19&gt;0,OR($T19="",$U19&gt;=29)),$AB19,0))</f>
        <v/>
      </c>
      <c r="O19" s="229">
        <f>IF($B19="","",IFERROR($I19/$H19,0))</f>
        <v/>
      </c>
      <c r="P19" s="224">
        <f>IF($B19="","",IFERROR(LOOKUP(2,1/(TAHSILAT!$C$7:$C$1506=$B19),TAHSILAT!$E$7:$E$1506),""))</f>
        <v/>
      </c>
      <c r="Q19" s="113">
        <f>IF($B19="","",IF($N19&gt;0,"KRİTİK",IF($M19&gt;0,"YÜKSEK",IF($L19&gt;0,"ORTA",IF($J19&gt;0,"İZLE","TEMİZ")))))</f>
        <v/>
      </c>
      <c r="R19" s="121">
        <f>IF($B19="","",IF($Q19="KRİTİK","Acil tahsilat görüşmesi ve cari mutabakat",IF($Q19="YÜKSEK","Bu hafta tahsilat takibi",IF($Q19="ORTA","Hatırlatma mesajı gönder",IF($Q19="İZLE","Normal takip","Aksiyon gerekmiyor")))))</f>
        <v/>
      </c>
      <c r="S19" s="227">
        <f>IF($B19="","",COUNTIFS(AKTIVITE!$D$7:$D$1006,$B19,AKTIVITE!$J$7:$J$1006,"&lt;&gt;Tamamlandı"))</f>
        <v/>
      </c>
      <c r="T19" s="224">
        <f>IF(OR($B19="",$AF19=""),"",IF(INDEX(MUSTERILER!$K$7:$K$106,$AF19)="","",INDEX(MUSTERILER!$K$7:$K$106,$AF19)))</f>
        <v/>
      </c>
      <c r="U19" s="227">
        <f>IF(OR($B19="",$T19=""),"",TODAY()-$T19)</f>
        <v/>
      </c>
      <c r="V19" s="222">
        <f>IF($B19="","",MAX(0,$I19-$H19))</f>
        <v/>
      </c>
      <c r="W19" s="113">
        <f>IF($B19="","",IF(AND(ABS($J19-($K19+$L19+$M19+$N19))&lt;0.01,ABS(($J19-$V19)-($H19-$I19))&lt;0.01),"UYGUN","İNCELE"))</f>
        <v/>
      </c>
      <c r="X19" s="6">
        <f>IF($B19="",0,SUMIFS(UCRETLER!$J$7:$J$406,UCRETLER!$B$7:$B$406,$B19))</f>
        <v/>
      </c>
      <c r="Y19" s="6">
        <f>IF($B19="",0,SUMIFS(UCRETLER!$K$7:$K$406,UCRETLER!$B$7:$B$406,$B19))</f>
        <v/>
      </c>
      <c r="Z19" s="3">
        <f>IF($B19="",0,SUMIFS(UCRETLER!$L$7:$L$406,UCRETLER!$B$7:$B$406,$B19))</f>
        <v/>
      </c>
      <c r="AA19" s="3">
        <f>IF($B19="",0,MAX(0,$I19-$F19))</f>
        <v/>
      </c>
      <c r="AB19" s="3">
        <f>IF($B19="",0,MAX(0,$F19-$I19))</f>
        <v/>
      </c>
      <c r="AC19" s="3">
        <f>IF($B19="",0,MAX(0,$X19-$AA19))</f>
        <v/>
      </c>
      <c r="AD19" s="3">
        <f>IF($B19="",0,MAX(0,$Y19-$AA19))</f>
        <v/>
      </c>
      <c r="AE19" s="3">
        <f>IF($B19="",0,MAX(0,$Z19-$AA19))</f>
        <v/>
      </c>
      <c r="AF19" s="3">
        <f>IFERROR(MATCH(ROW()-6,MUSTERILER!$U$7:$U$106,0),"")</f>
        <v/>
      </c>
      <c r="AG19" s="3">
        <f>IF($B19="",0,SUMIFS(GELIR_GIDER!$G$7:$G$1206,GELIR_GIDER!$T$7:$T$1206,$B19))</f>
        <v/>
      </c>
    </row>
    <row r="20">
      <c r="A20" s="6" t="n"/>
      <c r="B20" s="113">
        <f>IF($AF20="","",INDEX(MUSTERILER!$B$7:$B$106,$AF20))</f>
        <v/>
      </c>
      <c r="C20" s="121">
        <f>IF($AF20="","",INDEX(MUSTERILER!$C$7:$C$106,$AF20))</f>
        <v/>
      </c>
      <c r="D20" s="222">
        <f>IF($B20="","",SUMIFS(UCRETLER!$G$7:$G$406,UCRETLER!$B$7:$B$406,$B20,UCRETLER!$F$7:$F$406,"Haftalık",UCRETLER!$H$7:$H$406,"Aktif"))</f>
        <v/>
      </c>
      <c r="E20" s="222">
        <f>IF($B20="","",SUMIFS(UCRETLER!$G$7:$G$406,UCRETLER!$B$7:$B$406,$B20,UCRETLER!$F$7:$F$406,"Aylık",UCRETLER!$H$7:$H$406,"Aktif"))</f>
        <v/>
      </c>
      <c r="F20" s="222">
        <f>IF($B20="","",SUMIFS(MUSTERILER!$J$7:$J$106,MUSTERILER!$B$7:$B$106,$B20))</f>
        <v/>
      </c>
      <c r="G20" s="222">
        <f>IF($B20="","",SUMIFS(UCRETLER!$I$7:$I$406,UCRETLER!$B$7:$B$406,$B20)+SUMIFS(GELIR_GIDER!$G$7:$G$1206,GELIR_GIDER!$T$7:$T$1206,$B20))</f>
        <v/>
      </c>
      <c r="H20" s="222">
        <f>IF($B20="","",$F20+$G20)</f>
        <v/>
      </c>
      <c r="I20" s="222">
        <f>IF($B20="","",SUMIFS(TAHSILAT!$F$7:$F$1506,TAHSILAT!$C$7:$C$1506,$B20))</f>
        <v/>
      </c>
      <c r="J20" s="222">
        <f>IF($B20="","",MAX(0,$H20-$I20))</f>
        <v/>
      </c>
      <c r="K20" s="222">
        <f>IF($B20="","",MAX(0,$J20-$L20-$M20-$N20))</f>
        <v/>
      </c>
      <c r="L20" s="222">
        <f>IF($B20="","",($AC20-$AD20)+IF(AND($AB20&gt;0,$T20&lt;&gt;"",$U20&gt;=8,$U20&lt;15),$AB20,0))</f>
        <v/>
      </c>
      <c r="M20" s="222">
        <f>IF($B20="","",($AD20-$AE20)+IF(AND($AB20&gt;0,$T20&lt;&gt;"",$U20&gt;=15,$U20&lt;29),$AB20,0))</f>
        <v/>
      </c>
      <c r="N20" s="222">
        <f>IF($B20="","",$AE20+IF(AND($AB20&gt;0,OR($T20="",$U20&gt;=29)),$AB20,0))</f>
        <v/>
      </c>
      <c r="O20" s="229">
        <f>IF($B20="","",IFERROR($I20/$H20,0))</f>
        <v/>
      </c>
      <c r="P20" s="224">
        <f>IF($B20="","",IFERROR(LOOKUP(2,1/(TAHSILAT!$C$7:$C$1506=$B20),TAHSILAT!$E$7:$E$1506),""))</f>
        <v/>
      </c>
      <c r="Q20" s="113">
        <f>IF($B20="","",IF($N20&gt;0,"KRİTİK",IF($M20&gt;0,"YÜKSEK",IF($L20&gt;0,"ORTA",IF($J20&gt;0,"İZLE","TEMİZ")))))</f>
        <v/>
      </c>
      <c r="R20" s="121">
        <f>IF($B20="","",IF($Q20="KRİTİK","Acil tahsilat görüşmesi ve cari mutabakat",IF($Q20="YÜKSEK","Bu hafta tahsilat takibi",IF($Q20="ORTA","Hatırlatma mesajı gönder",IF($Q20="İZLE","Normal takip","Aksiyon gerekmiyor")))))</f>
        <v/>
      </c>
      <c r="S20" s="227">
        <f>IF($B20="","",COUNTIFS(AKTIVITE!$D$7:$D$1006,$B20,AKTIVITE!$J$7:$J$1006,"&lt;&gt;Tamamlandı"))</f>
        <v/>
      </c>
      <c r="T20" s="224">
        <f>IF(OR($B20="",$AF20=""),"",IF(INDEX(MUSTERILER!$K$7:$K$106,$AF20)="","",INDEX(MUSTERILER!$K$7:$K$106,$AF20)))</f>
        <v/>
      </c>
      <c r="U20" s="227">
        <f>IF(OR($B20="",$T20=""),"",TODAY()-$T20)</f>
        <v/>
      </c>
      <c r="V20" s="222">
        <f>IF($B20="","",MAX(0,$I20-$H20))</f>
        <v/>
      </c>
      <c r="W20" s="113">
        <f>IF($B20="","",IF(AND(ABS($J20-($K20+$L20+$M20+$N20))&lt;0.01,ABS(($J20-$V20)-($H20-$I20))&lt;0.01),"UYGUN","İNCELE"))</f>
        <v/>
      </c>
      <c r="X20" s="6">
        <f>IF($B20="",0,SUMIFS(UCRETLER!$J$7:$J$406,UCRETLER!$B$7:$B$406,$B20))</f>
        <v/>
      </c>
      <c r="Y20" s="6">
        <f>IF($B20="",0,SUMIFS(UCRETLER!$K$7:$K$406,UCRETLER!$B$7:$B$406,$B20))</f>
        <v/>
      </c>
      <c r="Z20" s="3">
        <f>IF($B20="",0,SUMIFS(UCRETLER!$L$7:$L$406,UCRETLER!$B$7:$B$406,$B20))</f>
        <v/>
      </c>
      <c r="AA20" s="3">
        <f>IF($B20="",0,MAX(0,$I20-$F20))</f>
        <v/>
      </c>
      <c r="AB20" s="3">
        <f>IF($B20="",0,MAX(0,$F20-$I20))</f>
        <v/>
      </c>
      <c r="AC20" s="3">
        <f>IF($B20="",0,MAX(0,$X20-$AA20))</f>
        <v/>
      </c>
      <c r="AD20" s="3">
        <f>IF($B20="",0,MAX(0,$Y20-$AA20))</f>
        <v/>
      </c>
      <c r="AE20" s="3">
        <f>IF($B20="",0,MAX(0,$Z20-$AA20))</f>
        <v/>
      </c>
      <c r="AF20" s="3">
        <f>IFERROR(MATCH(ROW()-6,MUSTERILER!$U$7:$U$106,0),"")</f>
        <v/>
      </c>
      <c r="AG20" s="3">
        <f>IF($B20="",0,SUMIFS(GELIR_GIDER!$G$7:$G$1206,GELIR_GIDER!$T$7:$T$1206,$B20))</f>
        <v/>
      </c>
    </row>
    <row r="21">
      <c r="A21" s="6" t="n"/>
      <c r="B21" s="113">
        <f>IF($AF21="","",INDEX(MUSTERILER!$B$7:$B$106,$AF21))</f>
        <v/>
      </c>
      <c r="C21" s="121">
        <f>IF($AF21="","",INDEX(MUSTERILER!$C$7:$C$106,$AF21))</f>
        <v/>
      </c>
      <c r="D21" s="222">
        <f>IF($B21="","",SUMIFS(UCRETLER!$G$7:$G$406,UCRETLER!$B$7:$B$406,$B21,UCRETLER!$F$7:$F$406,"Haftalık",UCRETLER!$H$7:$H$406,"Aktif"))</f>
        <v/>
      </c>
      <c r="E21" s="222">
        <f>IF($B21="","",SUMIFS(UCRETLER!$G$7:$G$406,UCRETLER!$B$7:$B$406,$B21,UCRETLER!$F$7:$F$406,"Aylık",UCRETLER!$H$7:$H$406,"Aktif"))</f>
        <v/>
      </c>
      <c r="F21" s="222">
        <f>IF($B21="","",SUMIFS(MUSTERILER!$J$7:$J$106,MUSTERILER!$B$7:$B$106,$B21))</f>
        <v/>
      </c>
      <c r="G21" s="222">
        <f>IF($B21="","",SUMIFS(UCRETLER!$I$7:$I$406,UCRETLER!$B$7:$B$406,$B21)+SUMIFS(GELIR_GIDER!$G$7:$G$1206,GELIR_GIDER!$T$7:$T$1206,$B21))</f>
        <v/>
      </c>
      <c r="H21" s="222">
        <f>IF($B21="","",$F21+$G21)</f>
        <v/>
      </c>
      <c r="I21" s="222">
        <f>IF($B21="","",SUMIFS(TAHSILAT!$F$7:$F$1506,TAHSILAT!$C$7:$C$1506,$B21))</f>
        <v/>
      </c>
      <c r="J21" s="222">
        <f>IF($B21="","",MAX(0,$H21-$I21))</f>
        <v/>
      </c>
      <c r="K21" s="222">
        <f>IF($B21="","",MAX(0,$J21-$L21-$M21-$N21))</f>
        <v/>
      </c>
      <c r="L21" s="222">
        <f>IF($B21="","",($AC21-$AD21)+IF(AND($AB21&gt;0,$T21&lt;&gt;"",$U21&gt;=8,$U21&lt;15),$AB21,0))</f>
        <v/>
      </c>
      <c r="M21" s="222">
        <f>IF($B21="","",($AD21-$AE21)+IF(AND($AB21&gt;0,$T21&lt;&gt;"",$U21&gt;=15,$U21&lt;29),$AB21,0))</f>
        <v/>
      </c>
      <c r="N21" s="222">
        <f>IF($B21="","",$AE21+IF(AND($AB21&gt;0,OR($T21="",$U21&gt;=29)),$AB21,0))</f>
        <v/>
      </c>
      <c r="O21" s="229">
        <f>IF($B21="","",IFERROR($I21/$H21,0))</f>
        <v/>
      </c>
      <c r="P21" s="224">
        <f>IF($B21="","",IFERROR(LOOKUP(2,1/(TAHSILAT!$C$7:$C$1506=$B21),TAHSILAT!$E$7:$E$1506),""))</f>
        <v/>
      </c>
      <c r="Q21" s="113">
        <f>IF($B21="","",IF($N21&gt;0,"KRİTİK",IF($M21&gt;0,"YÜKSEK",IF($L21&gt;0,"ORTA",IF($J21&gt;0,"İZLE","TEMİZ")))))</f>
        <v/>
      </c>
      <c r="R21" s="121">
        <f>IF($B21="","",IF($Q21="KRİTİK","Acil tahsilat görüşmesi ve cari mutabakat",IF($Q21="YÜKSEK","Bu hafta tahsilat takibi",IF($Q21="ORTA","Hatırlatma mesajı gönder",IF($Q21="İZLE","Normal takip","Aksiyon gerekmiyor")))))</f>
        <v/>
      </c>
      <c r="S21" s="227">
        <f>IF($B21="","",COUNTIFS(AKTIVITE!$D$7:$D$1006,$B21,AKTIVITE!$J$7:$J$1006,"&lt;&gt;Tamamlandı"))</f>
        <v/>
      </c>
      <c r="T21" s="224">
        <f>IF(OR($B21="",$AF21=""),"",IF(INDEX(MUSTERILER!$K$7:$K$106,$AF21)="","",INDEX(MUSTERILER!$K$7:$K$106,$AF21)))</f>
        <v/>
      </c>
      <c r="U21" s="227">
        <f>IF(OR($B21="",$T21=""),"",TODAY()-$T21)</f>
        <v/>
      </c>
      <c r="V21" s="222">
        <f>IF($B21="","",MAX(0,$I21-$H21))</f>
        <v/>
      </c>
      <c r="W21" s="113">
        <f>IF($B21="","",IF(AND(ABS($J21-($K21+$L21+$M21+$N21))&lt;0.01,ABS(($J21-$V21)-($H21-$I21))&lt;0.01),"UYGUN","İNCELE"))</f>
        <v/>
      </c>
      <c r="X21" s="6">
        <f>IF($B21="",0,SUMIFS(UCRETLER!$J$7:$J$406,UCRETLER!$B$7:$B$406,$B21))</f>
        <v/>
      </c>
      <c r="Y21" s="6">
        <f>IF($B21="",0,SUMIFS(UCRETLER!$K$7:$K$406,UCRETLER!$B$7:$B$406,$B21))</f>
        <v/>
      </c>
      <c r="Z21" s="3">
        <f>IF($B21="",0,SUMIFS(UCRETLER!$L$7:$L$406,UCRETLER!$B$7:$B$406,$B21))</f>
        <v/>
      </c>
      <c r="AA21" s="3">
        <f>IF($B21="",0,MAX(0,$I21-$F21))</f>
        <v/>
      </c>
      <c r="AB21" s="3">
        <f>IF($B21="",0,MAX(0,$F21-$I21))</f>
        <v/>
      </c>
      <c r="AC21" s="3">
        <f>IF($B21="",0,MAX(0,$X21-$AA21))</f>
        <v/>
      </c>
      <c r="AD21" s="3">
        <f>IF($B21="",0,MAX(0,$Y21-$AA21))</f>
        <v/>
      </c>
      <c r="AE21" s="3">
        <f>IF($B21="",0,MAX(0,$Z21-$AA21))</f>
        <v/>
      </c>
      <c r="AF21" s="3">
        <f>IFERROR(MATCH(ROW()-6,MUSTERILER!$U$7:$U$106,0),"")</f>
        <v/>
      </c>
      <c r="AG21" s="3">
        <f>IF($B21="",0,SUMIFS(GELIR_GIDER!$G$7:$G$1206,GELIR_GIDER!$T$7:$T$1206,$B21))</f>
        <v/>
      </c>
    </row>
    <row r="22">
      <c r="A22" s="6" t="n"/>
      <c r="B22" s="113">
        <f>IF($AF22="","",INDEX(MUSTERILER!$B$7:$B$106,$AF22))</f>
        <v/>
      </c>
      <c r="C22" s="121">
        <f>IF($AF22="","",INDEX(MUSTERILER!$C$7:$C$106,$AF22))</f>
        <v/>
      </c>
      <c r="D22" s="222">
        <f>IF($B22="","",SUMIFS(UCRETLER!$G$7:$G$406,UCRETLER!$B$7:$B$406,$B22,UCRETLER!$F$7:$F$406,"Haftalık",UCRETLER!$H$7:$H$406,"Aktif"))</f>
        <v/>
      </c>
      <c r="E22" s="222">
        <f>IF($B22="","",SUMIFS(UCRETLER!$G$7:$G$406,UCRETLER!$B$7:$B$406,$B22,UCRETLER!$F$7:$F$406,"Aylık",UCRETLER!$H$7:$H$406,"Aktif"))</f>
        <v/>
      </c>
      <c r="F22" s="222">
        <f>IF($B22="","",SUMIFS(MUSTERILER!$J$7:$J$106,MUSTERILER!$B$7:$B$106,$B22))</f>
        <v/>
      </c>
      <c r="G22" s="222">
        <f>IF($B22="","",SUMIFS(UCRETLER!$I$7:$I$406,UCRETLER!$B$7:$B$406,$B22)+SUMIFS(GELIR_GIDER!$G$7:$G$1206,GELIR_GIDER!$T$7:$T$1206,$B22))</f>
        <v/>
      </c>
      <c r="H22" s="222">
        <f>IF($B22="","",$F22+$G22)</f>
        <v/>
      </c>
      <c r="I22" s="222">
        <f>IF($B22="","",SUMIFS(TAHSILAT!$F$7:$F$1506,TAHSILAT!$C$7:$C$1506,$B22))</f>
        <v/>
      </c>
      <c r="J22" s="222">
        <f>IF($B22="","",MAX(0,$H22-$I22))</f>
        <v/>
      </c>
      <c r="K22" s="222">
        <f>IF($B22="","",MAX(0,$J22-$L22-$M22-$N22))</f>
        <v/>
      </c>
      <c r="L22" s="222">
        <f>IF($B22="","",($AC22-$AD22)+IF(AND($AB22&gt;0,$T22&lt;&gt;"",$U22&gt;=8,$U22&lt;15),$AB22,0))</f>
        <v/>
      </c>
      <c r="M22" s="222">
        <f>IF($B22="","",($AD22-$AE22)+IF(AND($AB22&gt;0,$T22&lt;&gt;"",$U22&gt;=15,$U22&lt;29),$AB22,0))</f>
        <v/>
      </c>
      <c r="N22" s="222">
        <f>IF($B22="","",$AE22+IF(AND($AB22&gt;0,OR($T22="",$U22&gt;=29)),$AB22,0))</f>
        <v/>
      </c>
      <c r="O22" s="229">
        <f>IF($B22="","",IFERROR($I22/$H22,0))</f>
        <v/>
      </c>
      <c r="P22" s="224">
        <f>IF($B22="","",IFERROR(LOOKUP(2,1/(TAHSILAT!$C$7:$C$1506=$B22),TAHSILAT!$E$7:$E$1506),""))</f>
        <v/>
      </c>
      <c r="Q22" s="113">
        <f>IF($B22="","",IF($N22&gt;0,"KRİTİK",IF($M22&gt;0,"YÜKSEK",IF($L22&gt;0,"ORTA",IF($J22&gt;0,"İZLE","TEMİZ")))))</f>
        <v/>
      </c>
      <c r="R22" s="121">
        <f>IF($B22="","",IF($Q22="KRİTİK","Acil tahsilat görüşmesi ve cari mutabakat",IF($Q22="YÜKSEK","Bu hafta tahsilat takibi",IF($Q22="ORTA","Hatırlatma mesajı gönder",IF($Q22="İZLE","Normal takip","Aksiyon gerekmiyor")))))</f>
        <v/>
      </c>
      <c r="S22" s="227">
        <f>IF($B22="","",COUNTIFS(AKTIVITE!$D$7:$D$1006,$B22,AKTIVITE!$J$7:$J$1006,"&lt;&gt;Tamamlandı"))</f>
        <v/>
      </c>
      <c r="T22" s="224">
        <f>IF(OR($B22="",$AF22=""),"",IF(INDEX(MUSTERILER!$K$7:$K$106,$AF22)="","",INDEX(MUSTERILER!$K$7:$K$106,$AF22)))</f>
        <v/>
      </c>
      <c r="U22" s="227">
        <f>IF(OR($B22="",$T22=""),"",TODAY()-$T22)</f>
        <v/>
      </c>
      <c r="V22" s="222">
        <f>IF($B22="","",MAX(0,$I22-$H22))</f>
        <v/>
      </c>
      <c r="W22" s="113">
        <f>IF($B22="","",IF(AND(ABS($J22-($K22+$L22+$M22+$N22))&lt;0.01,ABS(($J22-$V22)-($H22-$I22))&lt;0.01),"UYGUN","İNCELE"))</f>
        <v/>
      </c>
      <c r="X22" s="6">
        <f>IF($B22="",0,SUMIFS(UCRETLER!$J$7:$J$406,UCRETLER!$B$7:$B$406,$B22))</f>
        <v/>
      </c>
      <c r="Y22" s="6">
        <f>IF($B22="",0,SUMIFS(UCRETLER!$K$7:$K$406,UCRETLER!$B$7:$B$406,$B22))</f>
        <v/>
      </c>
      <c r="Z22" s="3">
        <f>IF($B22="",0,SUMIFS(UCRETLER!$L$7:$L$406,UCRETLER!$B$7:$B$406,$B22))</f>
        <v/>
      </c>
      <c r="AA22" s="3">
        <f>IF($B22="",0,MAX(0,$I22-$F22))</f>
        <v/>
      </c>
      <c r="AB22" s="3">
        <f>IF($B22="",0,MAX(0,$F22-$I22))</f>
        <v/>
      </c>
      <c r="AC22" s="3">
        <f>IF($B22="",0,MAX(0,$X22-$AA22))</f>
        <v/>
      </c>
      <c r="AD22" s="3">
        <f>IF($B22="",0,MAX(0,$Y22-$AA22))</f>
        <v/>
      </c>
      <c r="AE22" s="3">
        <f>IF($B22="",0,MAX(0,$Z22-$AA22))</f>
        <v/>
      </c>
      <c r="AF22" s="3">
        <f>IFERROR(MATCH(ROW()-6,MUSTERILER!$U$7:$U$106,0),"")</f>
        <v/>
      </c>
      <c r="AG22" s="3">
        <f>IF($B22="",0,SUMIFS(GELIR_GIDER!$G$7:$G$1206,GELIR_GIDER!$T$7:$T$1206,$B22))</f>
        <v/>
      </c>
    </row>
    <row r="23">
      <c r="A23" s="6" t="n"/>
      <c r="B23" s="113">
        <f>IF($AF23="","",INDEX(MUSTERILER!$B$7:$B$106,$AF23))</f>
        <v/>
      </c>
      <c r="C23" s="121">
        <f>IF($AF23="","",INDEX(MUSTERILER!$C$7:$C$106,$AF23))</f>
        <v/>
      </c>
      <c r="D23" s="222">
        <f>IF($B23="","",SUMIFS(UCRETLER!$G$7:$G$406,UCRETLER!$B$7:$B$406,$B23,UCRETLER!$F$7:$F$406,"Haftalık",UCRETLER!$H$7:$H$406,"Aktif"))</f>
        <v/>
      </c>
      <c r="E23" s="222">
        <f>IF($B23="","",SUMIFS(UCRETLER!$G$7:$G$406,UCRETLER!$B$7:$B$406,$B23,UCRETLER!$F$7:$F$406,"Aylık",UCRETLER!$H$7:$H$406,"Aktif"))</f>
        <v/>
      </c>
      <c r="F23" s="222">
        <f>IF($B23="","",SUMIFS(MUSTERILER!$J$7:$J$106,MUSTERILER!$B$7:$B$106,$B23))</f>
        <v/>
      </c>
      <c r="G23" s="222">
        <f>IF($B23="","",SUMIFS(UCRETLER!$I$7:$I$406,UCRETLER!$B$7:$B$406,$B23)+SUMIFS(GELIR_GIDER!$G$7:$G$1206,GELIR_GIDER!$T$7:$T$1206,$B23))</f>
        <v/>
      </c>
      <c r="H23" s="222">
        <f>IF($B23="","",$F23+$G23)</f>
        <v/>
      </c>
      <c r="I23" s="222">
        <f>IF($B23="","",SUMIFS(TAHSILAT!$F$7:$F$1506,TAHSILAT!$C$7:$C$1506,$B23))</f>
        <v/>
      </c>
      <c r="J23" s="222">
        <f>IF($B23="","",MAX(0,$H23-$I23))</f>
        <v/>
      </c>
      <c r="K23" s="222">
        <f>IF($B23="","",MAX(0,$J23-$L23-$M23-$N23))</f>
        <v/>
      </c>
      <c r="L23" s="222">
        <f>IF($B23="","",($AC23-$AD23)+IF(AND($AB23&gt;0,$T23&lt;&gt;"",$U23&gt;=8,$U23&lt;15),$AB23,0))</f>
        <v/>
      </c>
      <c r="M23" s="222">
        <f>IF($B23="","",($AD23-$AE23)+IF(AND($AB23&gt;0,$T23&lt;&gt;"",$U23&gt;=15,$U23&lt;29),$AB23,0))</f>
        <v/>
      </c>
      <c r="N23" s="222">
        <f>IF($B23="","",$AE23+IF(AND($AB23&gt;0,OR($T23="",$U23&gt;=29)),$AB23,0))</f>
        <v/>
      </c>
      <c r="O23" s="229">
        <f>IF($B23="","",IFERROR($I23/$H23,0))</f>
        <v/>
      </c>
      <c r="P23" s="224">
        <f>IF($B23="","",IFERROR(LOOKUP(2,1/(TAHSILAT!$C$7:$C$1506=$B23),TAHSILAT!$E$7:$E$1506),""))</f>
        <v/>
      </c>
      <c r="Q23" s="113">
        <f>IF($B23="","",IF($N23&gt;0,"KRİTİK",IF($M23&gt;0,"YÜKSEK",IF($L23&gt;0,"ORTA",IF($J23&gt;0,"İZLE","TEMİZ")))))</f>
        <v/>
      </c>
      <c r="R23" s="121">
        <f>IF($B23="","",IF($Q23="KRİTİK","Acil tahsilat görüşmesi ve cari mutabakat",IF($Q23="YÜKSEK","Bu hafta tahsilat takibi",IF($Q23="ORTA","Hatırlatma mesajı gönder",IF($Q23="İZLE","Normal takip","Aksiyon gerekmiyor")))))</f>
        <v/>
      </c>
      <c r="S23" s="227">
        <f>IF($B23="","",COUNTIFS(AKTIVITE!$D$7:$D$1006,$B23,AKTIVITE!$J$7:$J$1006,"&lt;&gt;Tamamlandı"))</f>
        <v/>
      </c>
      <c r="T23" s="224">
        <f>IF(OR($B23="",$AF23=""),"",IF(INDEX(MUSTERILER!$K$7:$K$106,$AF23)="","",INDEX(MUSTERILER!$K$7:$K$106,$AF23)))</f>
        <v/>
      </c>
      <c r="U23" s="227">
        <f>IF(OR($B23="",$T23=""),"",TODAY()-$T23)</f>
        <v/>
      </c>
      <c r="V23" s="222">
        <f>IF($B23="","",MAX(0,$I23-$H23))</f>
        <v/>
      </c>
      <c r="W23" s="113">
        <f>IF($B23="","",IF(AND(ABS($J23-($K23+$L23+$M23+$N23))&lt;0.01,ABS(($J23-$V23)-($H23-$I23))&lt;0.01),"UYGUN","İNCELE"))</f>
        <v/>
      </c>
      <c r="X23" s="6">
        <f>IF($B23="",0,SUMIFS(UCRETLER!$J$7:$J$406,UCRETLER!$B$7:$B$406,$B23))</f>
        <v/>
      </c>
      <c r="Y23" s="6">
        <f>IF($B23="",0,SUMIFS(UCRETLER!$K$7:$K$406,UCRETLER!$B$7:$B$406,$B23))</f>
        <v/>
      </c>
      <c r="Z23" s="3">
        <f>IF($B23="",0,SUMIFS(UCRETLER!$L$7:$L$406,UCRETLER!$B$7:$B$406,$B23))</f>
        <v/>
      </c>
      <c r="AA23" s="3">
        <f>IF($B23="",0,MAX(0,$I23-$F23))</f>
        <v/>
      </c>
      <c r="AB23" s="3">
        <f>IF($B23="",0,MAX(0,$F23-$I23))</f>
        <v/>
      </c>
      <c r="AC23" s="3">
        <f>IF($B23="",0,MAX(0,$X23-$AA23))</f>
        <v/>
      </c>
      <c r="AD23" s="3">
        <f>IF($B23="",0,MAX(0,$Y23-$AA23))</f>
        <v/>
      </c>
      <c r="AE23" s="3">
        <f>IF($B23="",0,MAX(0,$Z23-$AA23))</f>
        <v/>
      </c>
      <c r="AF23" s="3">
        <f>IFERROR(MATCH(ROW()-6,MUSTERILER!$U$7:$U$106,0),"")</f>
        <v/>
      </c>
      <c r="AG23" s="3">
        <f>IF($B23="",0,SUMIFS(GELIR_GIDER!$G$7:$G$1206,GELIR_GIDER!$T$7:$T$1206,$B23))</f>
        <v/>
      </c>
    </row>
    <row r="24">
      <c r="A24" s="6" t="n"/>
      <c r="B24" s="113">
        <f>IF($AF24="","",INDEX(MUSTERILER!$B$7:$B$106,$AF24))</f>
        <v/>
      </c>
      <c r="C24" s="121">
        <f>IF($AF24="","",INDEX(MUSTERILER!$C$7:$C$106,$AF24))</f>
        <v/>
      </c>
      <c r="D24" s="222">
        <f>IF($B24="","",SUMIFS(UCRETLER!$G$7:$G$406,UCRETLER!$B$7:$B$406,$B24,UCRETLER!$F$7:$F$406,"Haftalık",UCRETLER!$H$7:$H$406,"Aktif"))</f>
        <v/>
      </c>
      <c r="E24" s="222">
        <f>IF($B24="","",SUMIFS(UCRETLER!$G$7:$G$406,UCRETLER!$B$7:$B$406,$B24,UCRETLER!$F$7:$F$406,"Aylık",UCRETLER!$H$7:$H$406,"Aktif"))</f>
        <v/>
      </c>
      <c r="F24" s="222">
        <f>IF($B24="","",SUMIFS(MUSTERILER!$J$7:$J$106,MUSTERILER!$B$7:$B$106,$B24))</f>
        <v/>
      </c>
      <c r="G24" s="222">
        <f>IF($B24="","",SUMIFS(UCRETLER!$I$7:$I$406,UCRETLER!$B$7:$B$406,$B24)+SUMIFS(GELIR_GIDER!$G$7:$G$1206,GELIR_GIDER!$T$7:$T$1206,$B24))</f>
        <v/>
      </c>
      <c r="H24" s="222">
        <f>IF($B24="","",$F24+$G24)</f>
        <v/>
      </c>
      <c r="I24" s="222">
        <f>IF($B24="","",SUMIFS(TAHSILAT!$F$7:$F$1506,TAHSILAT!$C$7:$C$1506,$B24))</f>
        <v/>
      </c>
      <c r="J24" s="222">
        <f>IF($B24="","",MAX(0,$H24-$I24))</f>
        <v/>
      </c>
      <c r="K24" s="222">
        <f>IF($B24="","",MAX(0,$J24-$L24-$M24-$N24))</f>
        <v/>
      </c>
      <c r="L24" s="222">
        <f>IF($B24="","",($AC24-$AD24)+IF(AND($AB24&gt;0,$T24&lt;&gt;"",$U24&gt;=8,$U24&lt;15),$AB24,0))</f>
        <v/>
      </c>
      <c r="M24" s="222">
        <f>IF($B24="","",($AD24-$AE24)+IF(AND($AB24&gt;0,$T24&lt;&gt;"",$U24&gt;=15,$U24&lt;29),$AB24,0))</f>
        <v/>
      </c>
      <c r="N24" s="222">
        <f>IF($B24="","",$AE24+IF(AND($AB24&gt;0,OR($T24="",$U24&gt;=29)),$AB24,0))</f>
        <v/>
      </c>
      <c r="O24" s="229">
        <f>IF($B24="","",IFERROR($I24/$H24,0))</f>
        <v/>
      </c>
      <c r="P24" s="224">
        <f>IF($B24="","",IFERROR(LOOKUP(2,1/(TAHSILAT!$C$7:$C$1506=$B24),TAHSILAT!$E$7:$E$1506),""))</f>
        <v/>
      </c>
      <c r="Q24" s="113">
        <f>IF($B24="","",IF($N24&gt;0,"KRİTİK",IF($M24&gt;0,"YÜKSEK",IF($L24&gt;0,"ORTA",IF($J24&gt;0,"İZLE","TEMİZ")))))</f>
        <v/>
      </c>
      <c r="R24" s="121">
        <f>IF($B24="","",IF($Q24="KRİTİK","Acil tahsilat görüşmesi ve cari mutabakat",IF($Q24="YÜKSEK","Bu hafta tahsilat takibi",IF($Q24="ORTA","Hatırlatma mesajı gönder",IF($Q24="İZLE","Normal takip","Aksiyon gerekmiyor")))))</f>
        <v/>
      </c>
      <c r="S24" s="227">
        <f>IF($B24="","",COUNTIFS(AKTIVITE!$D$7:$D$1006,$B24,AKTIVITE!$J$7:$J$1006,"&lt;&gt;Tamamlandı"))</f>
        <v/>
      </c>
      <c r="T24" s="224">
        <f>IF(OR($B24="",$AF24=""),"",IF(INDEX(MUSTERILER!$K$7:$K$106,$AF24)="","",INDEX(MUSTERILER!$K$7:$K$106,$AF24)))</f>
        <v/>
      </c>
      <c r="U24" s="227">
        <f>IF(OR($B24="",$T24=""),"",TODAY()-$T24)</f>
        <v/>
      </c>
      <c r="V24" s="222">
        <f>IF($B24="","",MAX(0,$I24-$H24))</f>
        <v/>
      </c>
      <c r="W24" s="113">
        <f>IF($B24="","",IF(AND(ABS($J24-($K24+$L24+$M24+$N24))&lt;0.01,ABS(($J24-$V24)-($H24-$I24))&lt;0.01),"UYGUN","İNCELE"))</f>
        <v/>
      </c>
      <c r="X24" s="6">
        <f>IF($B24="",0,SUMIFS(UCRETLER!$J$7:$J$406,UCRETLER!$B$7:$B$406,$B24))</f>
        <v/>
      </c>
      <c r="Y24" s="6">
        <f>IF($B24="",0,SUMIFS(UCRETLER!$K$7:$K$406,UCRETLER!$B$7:$B$406,$B24))</f>
        <v/>
      </c>
      <c r="Z24" s="3">
        <f>IF($B24="",0,SUMIFS(UCRETLER!$L$7:$L$406,UCRETLER!$B$7:$B$406,$B24))</f>
        <v/>
      </c>
      <c r="AA24" s="3">
        <f>IF($B24="",0,MAX(0,$I24-$F24))</f>
        <v/>
      </c>
      <c r="AB24" s="3">
        <f>IF($B24="",0,MAX(0,$F24-$I24))</f>
        <v/>
      </c>
      <c r="AC24" s="3">
        <f>IF($B24="",0,MAX(0,$X24-$AA24))</f>
        <v/>
      </c>
      <c r="AD24" s="3">
        <f>IF($B24="",0,MAX(0,$Y24-$AA24))</f>
        <v/>
      </c>
      <c r="AE24" s="3">
        <f>IF($B24="",0,MAX(0,$Z24-$AA24))</f>
        <v/>
      </c>
      <c r="AF24" s="3">
        <f>IFERROR(MATCH(ROW()-6,MUSTERILER!$U$7:$U$106,0),"")</f>
        <v/>
      </c>
      <c r="AG24" s="3">
        <f>IF($B24="",0,SUMIFS(GELIR_GIDER!$G$7:$G$1206,GELIR_GIDER!$T$7:$T$1206,$B24))</f>
        <v/>
      </c>
    </row>
    <row r="25">
      <c r="A25" s="6" t="n"/>
      <c r="B25" s="113">
        <f>IF($AF25="","",INDEX(MUSTERILER!$B$7:$B$106,$AF25))</f>
        <v/>
      </c>
      <c r="C25" s="121">
        <f>IF($AF25="","",INDEX(MUSTERILER!$C$7:$C$106,$AF25))</f>
        <v/>
      </c>
      <c r="D25" s="222">
        <f>IF($B25="","",SUMIFS(UCRETLER!$G$7:$G$406,UCRETLER!$B$7:$B$406,$B25,UCRETLER!$F$7:$F$406,"Haftalık",UCRETLER!$H$7:$H$406,"Aktif"))</f>
        <v/>
      </c>
      <c r="E25" s="222">
        <f>IF($B25="","",SUMIFS(UCRETLER!$G$7:$G$406,UCRETLER!$B$7:$B$406,$B25,UCRETLER!$F$7:$F$406,"Aylık",UCRETLER!$H$7:$H$406,"Aktif"))</f>
        <v/>
      </c>
      <c r="F25" s="222">
        <f>IF($B25="","",SUMIFS(MUSTERILER!$J$7:$J$106,MUSTERILER!$B$7:$B$106,$B25))</f>
        <v/>
      </c>
      <c r="G25" s="222">
        <f>IF($B25="","",SUMIFS(UCRETLER!$I$7:$I$406,UCRETLER!$B$7:$B$406,$B25)+SUMIFS(GELIR_GIDER!$G$7:$G$1206,GELIR_GIDER!$T$7:$T$1206,$B25))</f>
        <v/>
      </c>
      <c r="H25" s="222">
        <f>IF($B25="","",$F25+$G25)</f>
        <v/>
      </c>
      <c r="I25" s="222">
        <f>IF($B25="","",SUMIFS(TAHSILAT!$F$7:$F$1506,TAHSILAT!$C$7:$C$1506,$B25))</f>
        <v/>
      </c>
      <c r="J25" s="222">
        <f>IF($B25="","",MAX(0,$H25-$I25))</f>
        <v/>
      </c>
      <c r="K25" s="222">
        <f>IF($B25="","",MAX(0,$J25-$L25-$M25-$N25))</f>
        <v/>
      </c>
      <c r="L25" s="222">
        <f>IF($B25="","",($AC25-$AD25)+IF(AND($AB25&gt;0,$T25&lt;&gt;"",$U25&gt;=8,$U25&lt;15),$AB25,0))</f>
        <v/>
      </c>
      <c r="M25" s="222">
        <f>IF($B25="","",($AD25-$AE25)+IF(AND($AB25&gt;0,$T25&lt;&gt;"",$U25&gt;=15,$U25&lt;29),$AB25,0))</f>
        <v/>
      </c>
      <c r="N25" s="222">
        <f>IF($B25="","",$AE25+IF(AND($AB25&gt;0,OR($T25="",$U25&gt;=29)),$AB25,0))</f>
        <v/>
      </c>
      <c r="O25" s="229">
        <f>IF($B25="","",IFERROR($I25/$H25,0))</f>
        <v/>
      </c>
      <c r="P25" s="224">
        <f>IF($B25="","",IFERROR(LOOKUP(2,1/(TAHSILAT!$C$7:$C$1506=$B25),TAHSILAT!$E$7:$E$1506),""))</f>
        <v/>
      </c>
      <c r="Q25" s="113">
        <f>IF($B25="","",IF($N25&gt;0,"KRİTİK",IF($M25&gt;0,"YÜKSEK",IF($L25&gt;0,"ORTA",IF($J25&gt;0,"İZLE","TEMİZ")))))</f>
        <v/>
      </c>
      <c r="R25" s="121">
        <f>IF($B25="","",IF($Q25="KRİTİK","Acil tahsilat görüşmesi ve cari mutabakat",IF($Q25="YÜKSEK","Bu hafta tahsilat takibi",IF($Q25="ORTA","Hatırlatma mesajı gönder",IF($Q25="İZLE","Normal takip","Aksiyon gerekmiyor")))))</f>
        <v/>
      </c>
      <c r="S25" s="227">
        <f>IF($B25="","",COUNTIFS(AKTIVITE!$D$7:$D$1006,$B25,AKTIVITE!$J$7:$J$1006,"&lt;&gt;Tamamlandı"))</f>
        <v/>
      </c>
      <c r="T25" s="224">
        <f>IF(OR($B25="",$AF25=""),"",IF(INDEX(MUSTERILER!$K$7:$K$106,$AF25)="","",INDEX(MUSTERILER!$K$7:$K$106,$AF25)))</f>
        <v/>
      </c>
      <c r="U25" s="227">
        <f>IF(OR($B25="",$T25=""),"",TODAY()-$T25)</f>
        <v/>
      </c>
      <c r="V25" s="222">
        <f>IF($B25="","",MAX(0,$I25-$H25))</f>
        <v/>
      </c>
      <c r="W25" s="113">
        <f>IF($B25="","",IF(AND(ABS($J25-($K25+$L25+$M25+$N25))&lt;0.01,ABS(($J25-$V25)-($H25-$I25))&lt;0.01),"UYGUN","İNCELE"))</f>
        <v/>
      </c>
      <c r="X25" s="6">
        <f>IF($B25="",0,SUMIFS(UCRETLER!$J$7:$J$406,UCRETLER!$B$7:$B$406,$B25))</f>
        <v/>
      </c>
      <c r="Y25" s="6">
        <f>IF($B25="",0,SUMIFS(UCRETLER!$K$7:$K$406,UCRETLER!$B$7:$B$406,$B25))</f>
        <v/>
      </c>
      <c r="Z25" s="3">
        <f>IF($B25="",0,SUMIFS(UCRETLER!$L$7:$L$406,UCRETLER!$B$7:$B$406,$B25))</f>
        <v/>
      </c>
      <c r="AA25" s="3">
        <f>IF($B25="",0,MAX(0,$I25-$F25))</f>
        <v/>
      </c>
      <c r="AB25" s="3">
        <f>IF($B25="",0,MAX(0,$F25-$I25))</f>
        <v/>
      </c>
      <c r="AC25" s="3">
        <f>IF($B25="",0,MAX(0,$X25-$AA25))</f>
        <v/>
      </c>
      <c r="AD25" s="3">
        <f>IF($B25="",0,MAX(0,$Y25-$AA25))</f>
        <v/>
      </c>
      <c r="AE25" s="3">
        <f>IF($B25="",0,MAX(0,$Z25-$AA25))</f>
        <v/>
      </c>
      <c r="AF25" s="3">
        <f>IFERROR(MATCH(ROW()-6,MUSTERILER!$U$7:$U$106,0),"")</f>
        <v/>
      </c>
      <c r="AG25" s="3">
        <f>IF($B25="",0,SUMIFS(GELIR_GIDER!$G$7:$G$1206,GELIR_GIDER!$T$7:$T$1206,$B25))</f>
        <v/>
      </c>
    </row>
    <row r="26">
      <c r="A26" s="6" t="n"/>
      <c r="B26" s="113">
        <f>IF($AF26="","",INDEX(MUSTERILER!$B$7:$B$106,$AF26))</f>
        <v/>
      </c>
      <c r="C26" s="121">
        <f>IF($AF26="","",INDEX(MUSTERILER!$C$7:$C$106,$AF26))</f>
        <v/>
      </c>
      <c r="D26" s="222">
        <f>IF($B26="","",SUMIFS(UCRETLER!$G$7:$G$406,UCRETLER!$B$7:$B$406,$B26,UCRETLER!$F$7:$F$406,"Haftalık",UCRETLER!$H$7:$H$406,"Aktif"))</f>
        <v/>
      </c>
      <c r="E26" s="222">
        <f>IF($B26="","",SUMIFS(UCRETLER!$G$7:$G$406,UCRETLER!$B$7:$B$406,$B26,UCRETLER!$F$7:$F$406,"Aylık",UCRETLER!$H$7:$H$406,"Aktif"))</f>
        <v/>
      </c>
      <c r="F26" s="222">
        <f>IF($B26="","",SUMIFS(MUSTERILER!$J$7:$J$106,MUSTERILER!$B$7:$B$106,$B26))</f>
        <v/>
      </c>
      <c r="G26" s="222">
        <f>IF($B26="","",SUMIFS(UCRETLER!$I$7:$I$406,UCRETLER!$B$7:$B$406,$B26)+SUMIFS(GELIR_GIDER!$G$7:$G$1206,GELIR_GIDER!$T$7:$T$1206,$B26))</f>
        <v/>
      </c>
      <c r="H26" s="222">
        <f>IF($B26="","",$F26+$G26)</f>
        <v/>
      </c>
      <c r="I26" s="222">
        <f>IF($B26="","",SUMIFS(TAHSILAT!$F$7:$F$1506,TAHSILAT!$C$7:$C$1506,$B26))</f>
        <v/>
      </c>
      <c r="J26" s="222">
        <f>IF($B26="","",MAX(0,$H26-$I26))</f>
        <v/>
      </c>
      <c r="K26" s="222">
        <f>IF($B26="","",MAX(0,$J26-$L26-$M26-$N26))</f>
        <v/>
      </c>
      <c r="L26" s="222">
        <f>IF($B26="","",($AC26-$AD26)+IF(AND($AB26&gt;0,$T26&lt;&gt;"",$U26&gt;=8,$U26&lt;15),$AB26,0))</f>
        <v/>
      </c>
      <c r="M26" s="222">
        <f>IF($B26="","",($AD26-$AE26)+IF(AND($AB26&gt;0,$T26&lt;&gt;"",$U26&gt;=15,$U26&lt;29),$AB26,0))</f>
        <v/>
      </c>
      <c r="N26" s="222">
        <f>IF($B26="","",$AE26+IF(AND($AB26&gt;0,OR($T26="",$U26&gt;=29)),$AB26,0))</f>
        <v/>
      </c>
      <c r="O26" s="229">
        <f>IF($B26="","",IFERROR($I26/$H26,0))</f>
        <v/>
      </c>
      <c r="P26" s="224">
        <f>IF($B26="","",IFERROR(LOOKUP(2,1/(TAHSILAT!$C$7:$C$1506=$B26),TAHSILAT!$E$7:$E$1506),""))</f>
        <v/>
      </c>
      <c r="Q26" s="113">
        <f>IF($B26="","",IF($N26&gt;0,"KRİTİK",IF($M26&gt;0,"YÜKSEK",IF($L26&gt;0,"ORTA",IF($J26&gt;0,"İZLE","TEMİZ")))))</f>
        <v/>
      </c>
      <c r="R26" s="121">
        <f>IF($B26="","",IF($Q26="KRİTİK","Acil tahsilat görüşmesi ve cari mutabakat",IF($Q26="YÜKSEK","Bu hafta tahsilat takibi",IF($Q26="ORTA","Hatırlatma mesajı gönder",IF($Q26="İZLE","Normal takip","Aksiyon gerekmiyor")))))</f>
        <v/>
      </c>
      <c r="S26" s="227">
        <f>IF($B26="","",COUNTIFS(AKTIVITE!$D$7:$D$1006,$B26,AKTIVITE!$J$7:$J$1006,"&lt;&gt;Tamamlandı"))</f>
        <v/>
      </c>
      <c r="T26" s="224">
        <f>IF(OR($B26="",$AF26=""),"",IF(INDEX(MUSTERILER!$K$7:$K$106,$AF26)="","",INDEX(MUSTERILER!$K$7:$K$106,$AF26)))</f>
        <v/>
      </c>
      <c r="U26" s="227">
        <f>IF(OR($B26="",$T26=""),"",TODAY()-$T26)</f>
        <v/>
      </c>
      <c r="V26" s="222">
        <f>IF($B26="","",MAX(0,$I26-$H26))</f>
        <v/>
      </c>
      <c r="W26" s="113">
        <f>IF($B26="","",IF(AND(ABS($J26-($K26+$L26+$M26+$N26))&lt;0.01,ABS(($J26-$V26)-($H26-$I26))&lt;0.01),"UYGUN","İNCELE"))</f>
        <v/>
      </c>
      <c r="X26" s="6">
        <f>IF($B26="",0,SUMIFS(UCRETLER!$J$7:$J$406,UCRETLER!$B$7:$B$406,$B26))</f>
        <v/>
      </c>
      <c r="Y26" s="6">
        <f>IF($B26="",0,SUMIFS(UCRETLER!$K$7:$K$406,UCRETLER!$B$7:$B$406,$B26))</f>
        <v/>
      </c>
      <c r="Z26" s="3">
        <f>IF($B26="",0,SUMIFS(UCRETLER!$L$7:$L$406,UCRETLER!$B$7:$B$406,$B26))</f>
        <v/>
      </c>
      <c r="AA26" s="3">
        <f>IF($B26="",0,MAX(0,$I26-$F26))</f>
        <v/>
      </c>
      <c r="AB26" s="3">
        <f>IF($B26="",0,MAX(0,$F26-$I26))</f>
        <v/>
      </c>
      <c r="AC26" s="3">
        <f>IF($B26="",0,MAX(0,$X26-$AA26))</f>
        <v/>
      </c>
      <c r="AD26" s="3">
        <f>IF($B26="",0,MAX(0,$Y26-$AA26))</f>
        <v/>
      </c>
      <c r="AE26" s="3">
        <f>IF($B26="",0,MAX(0,$Z26-$AA26))</f>
        <v/>
      </c>
      <c r="AF26" s="3">
        <f>IFERROR(MATCH(ROW()-6,MUSTERILER!$U$7:$U$106,0),"")</f>
        <v/>
      </c>
      <c r="AG26" s="3">
        <f>IF($B26="",0,SUMIFS(GELIR_GIDER!$G$7:$G$1206,GELIR_GIDER!$T$7:$T$1206,$B26))</f>
        <v/>
      </c>
    </row>
    <row r="27">
      <c r="A27" s="6" t="n"/>
      <c r="B27" s="113">
        <f>IF($AF27="","",INDEX(MUSTERILER!$B$7:$B$106,$AF27))</f>
        <v/>
      </c>
      <c r="C27" s="121">
        <f>IF($AF27="","",INDEX(MUSTERILER!$C$7:$C$106,$AF27))</f>
        <v/>
      </c>
      <c r="D27" s="222">
        <f>IF($B27="","",SUMIFS(UCRETLER!$G$7:$G$406,UCRETLER!$B$7:$B$406,$B27,UCRETLER!$F$7:$F$406,"Haftalık",UCRETLER!$H$7:$H$406,"Aktif"))</f>
        <v/>
      </c>
      <c r="E27" s="222">
        <f>IF($B27="","",SUMIFS(UCRETLER!$G$7:$G$406,UCRETLER!$B$7:$B$406,$B27,UCRETLER!$F$7:$F$406,"Aylık",UCRETLER!$H$7:$H$406,"Aktif"))</f>
        <v/>
      </c>
      <c r="F27" s="222">
        <f>IF($B27="","",SUMIFS(MUSTERILER!$J$7:$J$106,MUSTERILER!$B$7:$B$106,$B27))</f>
        <v/>
      </c>
      <c r="G27" s="222">
        <f>IF($B27="","",SUMIFS(UCRETLER!$I$7:$I$406,UCRETLER!$B$7:$B$406,$B27)+SUMIFS(GELIR_GIDER!$G$7:$G$1206,GELIR_GIDER!$T$7:$T$1206,$B27))</f>
        <v/>
      </c>
      <c r="H27" s="222">
        <f>IF($B27="","",$F27+$G27)</f>
        <v/>
      </c>
      <c r="I27" s="222">
        <f>IF($B27="","",SUMIFS(TAHSILAT!$F$7:$F$1506,TAHSILAT!$C$7:$C$1506,$B27))</f>
        <v/>
      </c>
      <c r="J27" s="222">
        <f>IF($B27="","",MAX(0,$H27-$I27))</f>
        <v/>
      </c>
      <c r="K27" s="222">
        <f>IF($B27="","",MAX(0,$J27-$L27-$M27-$N27))</f>
        <v/>
      </c>
      <c r="L27" s="222">
        <f>IF($B27="","",($AC27-$AD27)+IF(AND($AB27&gt;0,$T27&lt;&gt;"",$U27&gt;=8,$U27&lt;15),$AB27,0))</f>
        <v/>
      </c>
      <c r="M27" s="222">
        <f>IF($B27="","",($AD27-$AE27)+IF(AND($AB27&gt;0,$T27&lt;&gt;"",$U27&gt;=15,$U27&lt;29),$AB27,0))</f>
        <v/>
      </c>
      <c r="N27" s="222">
        <f>IF($B27="","",$AE27+IF(AND($AB27&gt;0,OR($T27="",$U27&gt;=29)),$AB27,0))</f>
        <v/>
      </c>
      <c r="O27" s="229">
        <f>IF($B27="","",IFERROR($I27/$H27,0))</f>
        <v/>
      </c>
      <c r="P27" s="224">
        <f>IF($B27="","",IFERROR(LOOKUP(2,1/(TAHSILAT!$C$7:$C$1506=$B27),TAHSILAT!$E$7:$E$1506),""))</f>
        <v/>
      </c>
      <c r="Q27" s="113">
        <f>IF($B27="","",IF($N27&gt;0,"KRİTİK",IF($M27&gt;0,"YÜKSEK",IF($L27&gt;0,"ORTA",IF($J27&gt;0,"İZLE","TEMİZ")))))</f>
        <v/>
      </c>
      <c r="R27" s="121">
        <f>IF($B27="","",IF($Q27="KRİTİK","Acil tahsilat görüşmesi ve cari mutabakat",IF($Q27="YÜKSEK","Bu hafta tahsilat takibi",IF($Q27="ORTA","Hatırlatma mesajı gönder",IF($Q27="İZLE","Normal takip","Aksiyon gerekmiyor")))))</f>
        <v/>
      </c>
      <c r="S27" s="227">
        <f>IF($B27="","",COUNTIFS(AKTIVITE!$D$7:$D$1006,$B27,AKTIVITE!$J$7:$J$1006,"&lt;&gt;Tamamlandı"))</f>
        <v/>
      </c>
      <c r="T27" s="224">
        <f>IF(OR($B27="",$AF27=""),"",IF(INDEX(MUSTERILER!$K$7:$K$106,$AF27)="","",INDEX(MUSTERILER!$K$7:$K$106,$AF27)))</f>
        <v/>
      </c>
      <c r="U27" s="227">
        <f>IF(OR($B27="",$T27=""),"",TODAY()-$T27)</f>
        <v/>
      </c>
      <c r="V27" s="222">
        <f>IF($B27="","",MAX(0,$I27-$H27))</f>
        <v/>
      </c>
      <c r="W27" s="113">
        <f>IF($B27="","",IF(AND(ABS($J27-($K27+$L27+$M27+$N27))&lt;0.01,ABS(($J27-$V27)-($H27-$I27))&lt;0.01),"UYGUN","İNCELE"))</f>
        <v/>
      </c>
      <c r="X27" s="6">
        <f>IF($B27="",0,SUMIFS(UCRETLER!$J$7:$J$406,UCRETLER!$B$7:$B$406,$B27))</f>
        <v/>
      </c>
      <c r="Y27" s="6">
        <f>IF($B27="",0,SUMIFS(UCRETLER!$K$7:$K$406,UCRETLER!$B$7:$B$406,$B27))</f>
        <v/>
      </c>
      <c r="Z27" s="3">
        <f>IF($B27="",0,SUMIFS(UCRETLER!$L$7:$L$406,UCRETLER!$B$7:$B$406,$B27))</f>
        <v/>
      </c>
      <c r="AA27" s="3">
        <f>IF($B27="",0,MAX(0,$I27-$F27))</f>
        <v/>
      </c>
      <c r="AB27" s="3">
        <f>IF($B27="",0,MAX(0,$F27-$I27))</f>
        <v/>
      </c>
      <c r="AC27" s="3">
        <f>IF($B27="",0,MAX(0,$X27-$AA27))</f>
        <v/>
      </c>
      <c r="AD27" s="3">
        <f>IF($B27="",0,MAX(0,$Y27-$AA27))</f>
        <v/>
      </c>
      <c r="AE27" s="3">
        <f>IF($B27="",0,MAX(0,$Z27-$AA27))</f>
        <v/>
      </c>
      <c r="AF27" s="3">
        <f>IFERROR(MATCH(ROW()-6,MUSTERILER!$U$7:$U$106,0),"")</f>
        <v/>
      </c>
      <c r="AG27" s="3">
        <f>IF($B27="",0,SUMIFS(GELIR_GIDER!$G$7:$G$1206,GELIR_GIDER!$T$7:$T$1206,$B27))</f>
        <v/>
      </c>
    </row>
    <row r="28">
      <c r="A28" s="6" t="n"/>
      <c r="B28" s="113">
        <f>IF($AF28="","",INDEX(MUSTERILER!$B$7:$B$106,$AF28))</f>
        <v/>
      </c>
      <c r="C28" s="121">
        <f>IF($AF28="","",INDEX(MUSTERILER!$C$7:$C$106,$AF28))</f>
        <v/>
      </c>
      <c r="D28" s="222">
        <f>IF($B28="","",SUMIFS(UCRETLER!$G$7:$G$406,UCRETLER!$B$7:$B$406,$B28,UCRETLER!$F$7:$F$406,"Haftalık",UCRETLER!$H$7:$H$406,"Aktif"))</f>
        <v/>
      </c>
      <c r="E28" s="222">
        <f>IF($B28="","",SUMIFS(UCRETLER!$G$7:$G$406,UCRETLER!$B$7:$B$406,$B28,UCRETLER!$F$7:$F$406,"Aylık",UCRETLER!$H$7:$H$406,"Aktif"))</f>
        <v/>
      </c>
      <c r="F28" s="222">
        <f>IF($B28="","",SUMIFS(MUSTERILER!$J$7:$J$106,MUSTERILER!$B$7:$B$106,$B28))</f>
        <v/>
      </c>
      <c r="G28" s="222">
        <f>IF($B28="","",SUMIFS(UCRETLER!$I$7:$I$406,UCRETLER!$B$7:$B$406,$B28)+SUMIFS(GELIR_GIDER!$G$7:$G$1206,GELIR_GIDER!$T$7:$T$1206,$B28))</f>
        <v/>
      </c>
      <c r="H28" s="222">
        <f>IF($B28="","",$F28+$G28)</f>
        <v/>
      </c>
      <c r="I28" s="222">
        <f>IF($B28="","",SUMIFS(TAHSILAT!$F$7:$F$1506,TAHSILAT!$C$7:$C$1506,$B28))</f>
        <v/>
      </c>
      <c r="J28" s="222">
        <f>IF($B28="","",MAX(0,$H28-$I28))</f>
        <v/>
      </c>
      <c r="K28" s="222">
        <f>IF($B28="","",MAX(0,$J28-$L28-$M28-$N28))</f>
        <v/>
      </c>
      <c r="L28" s="222">
        <f>IF($B28="","",($AC28-$AD28)+IF(AND($AB28&gt;0,$T28&lt;&gt;"",$U28&gt;=8,$U28&lt;15),$AB28,0))</f>
        <v/>
      </c>
      <c r="M28" s="222">
        <f>IF($B28="","",($AD28-$AE28)+IF(AND($AB28&gt;0,$T28&lt;&gt;"",$U28&gt;=15,$U28&lt;29),$AB28,0))</f>
        <v/>
      </c>
      <c r="N28" s="222">
        <f>IF($B28="","",$AE28+IF(AND($AB28&gt;0,OR($T28="",$U28&gt;=29)),$AB28,0))</f>
        <v/>
      </c>
      <c r="O28" s="229">
        <f>IF($B28="","",IFERROR($I28/$H28,0))</f>
        <v/>
      </c>
      <c r="P28" s="224">
        <f>IF($B28="","",IFERROR(LOOKUP(2,1/(TAHSILAT!$C$7:$C$1506=$B28),TAHSILAT!$E$7:$E$1506),""))</f>
        <v/>
      </c>
      <c r="Q28" s="113">
        <f>IF($B28="","",IF($N28&gt;0,"KRİTİK",IF($M28&gt;0,"YÜKSEK",IF($L28&gt;0,"ORTA",IF($J28&gt;0,"İZLE","TEMİZ")))))</f>
        <v/>
      </c>
      <c r="R28" s="121">
        <f>IF($B28="","",IF($Q28="KRİTİK","Acil tahsilat görüşmesi ve cari mutabakat",IF($Q28="YÜKSEK","Bu hafta tahsilat takibi",IF($Q28="ORTA","Hatırlatma mesajı gönder",IF($Q28="İZLE","Normal takip","Aksiyon gerekmiyor")))))</f>
        <v/>
      </c>
      <c r="S28" s="227">
        <f>IF($B28="","",COUNTIFS(AKTIVITE!$D$7:$D$1006,$B28,AKTIVITE!$J$7:$J$1006,"&lt;&gt;Tamamlandı"))</f>
        <v/>
      </c>
      <c r="T28" s="224">
        <f>IF(OR($B28="",$AF28=""),"",IF(INDEX(MUSTERILER!$K$7:$K$106,$AF28)="","",INDEX(MUSTERILER!$K$7:$K$106,$AF28)))</f>
        <v/>
      </c>
      <c r="U28" s="227">
        <f>IF(OR($B28="",$T28=""),"",TODAY()-$T28)</f>
        <v/>
      </c>
      <c r="V28" s="222">
        <f>IF($B28="","",MAX(0,$I28-$H28))</f>
        <v/>
      </c>
      <c r="W28" s="113">
        <f>IF($B28="","",IF(AND(ABS($J28-($K28+$L28+$M28+$N28))&lt;0.01,ABS(($J28-$V28)-($H28-$I28))&lt;0.01),"UYGUN","İNCELE"))</f>
        <v/>
      </c>
      <c r="X28" s="6">
        <f>IF($B28="",0,SUMIFS(UCRETLER!$J$7:$J$406,UCRETLER!$B$7:$B$406,$B28))</f>
        <v/>
      </c>
      <c r="Y28" s="6">
        <f>IF($B28="",0,SUMIFS(UCRETLER!$K$7:$K$406,UCRETLER!$B$7:$B$406,$B28))</f>
        <v/>
      </c>
      <c r="Z28" s="3">
        <f>IF($B28="",0,SUMIFS(UCRETLER!$L$7:$L$406,UCRETLER!$B$7:$B$406,$B28))</f>
        <v/>
      </c>
      <c r="AA28" s="3">
        <f>IF($B28="",0,MAX(0,$I28-$F28))</f>
        <v/>
      </c>
      <c r="AB28" s="3">
        <f>IF($B28="",0,MAX(0,$F28-$I28))</f>
        <v/>
      </c>
      <c r="AC28" s="3">
        <f>IF($B28="",0,MAX(0,$X28-$AA28))</f>
        <v/>
      </c>
      <c r="AD28" s="3">
        <f>IF($B28="",0,MAX(0,$Y28-$AA28))</f>
        <v/>
      </c>
      <c r="AE28" s="3">
        <f>IF($B28="",0,MAX(0,$Z28-$AA28))</f>
        <v/>
      </c>
      <c r="AF28" s="3">
        <f>IFERROR(MATCH(ROW()-6,MUSTERILER!$U$7:$U$106,0),"")</f>
        <v/>
      </c>
      <c r="AG28" s="3">
        <f>IF($B28="",0,SUMIFS(GELIR_GIDER!$G$7:$G$1206,GELIR_GIDER!$T$7:$T$1206,$B28))</f>
        <v/>
      </c>
    </row>
    <row r="29">
      <c r="A29" s="6" t="n"/>
      <c r="B29" s="113">
        <f>IF($AF29="","",INDEX(MUSTERILER!$B$7:$B$106,$AF29))</f>
        <v/>
      </c>
      <c r="C29" s="121">
        <f>IF($AF29="","",INDEX(MUSTERILER!$C$7:$C$106,$AF29))</f>
        <v/>
      </c>
      <c r="D29" s="222">
        <f>IF($B29="","",SUMIFS(UCRETLER!$G$7:$G$406,UCRETLER!$B$7:$B$406,$B29,UCRETLER!$F$7:$F$406,"Haftalık",UCRETLER!$H$7:$H$406,"Aktif"))</f>
        <v/>
      </c>
      <c r="E29" s="222">
        <f>IF($B29="","",SUMIFS(UCRETLER!$G$7:$G$406,UCRETLER!$B$7:$B$406,$B29,UCRETLER!$F$7:$F$406,"Aylık",UCRETLER!$H$7:$H$406,"Aktif"))</f>
        <v/>
      </c>
      <c r="F29" s="222">
        <f>IF($B29="","",SUMIFS(MUSTERILER!$J$7:$J$106,MUSTERILER!$B$7:$B$106,$B29))</f>
        <v/>
      </c>
      <c r="G29" s="222">
        <f>IF($B29="","",SUMIFS(UCRETLER!$I$7:$I$406,UCRETLER!$B$7:$B$406,$B29)+SUMIFS(GELIR_GIDER!$G$7:$G$1206,GELIR_GIDER!$T$7:$T$1206,$B29))</f>
        <v/>
      </c>
      <c r="H29" s="222">
        <f>IF($B29="","",$F29+$G29)</f>
        <v/>
      </c>
      <c r="I29" s="222">
        <f>IF($B29="","",SUMIFS(TAHSILAT!$F$7:$F$1506,TAHSILAT!$C$7:$C$1506,$B29))</f>
        <v/>
      </c>
      <c r="J29" s="222">
        <f>IF($B29="","",MAX(0,$H29-$I29))</f>
        <v/>
      </c>
      <c r="K29" s="222">
        <f>IF($B29="","",MAX(0,$J29-$L29-$M29-$N29))</f>
        <v/>
      </c>
      <c r="L29" s="222">
        <f>IF($B29="","",($AC29-$AD29)+IF(AND($AB29&gt;0,$T29&lt;&gt;"",$U29&gt;=8,$U29&lt;15),$AB29,0))</f>
        <v/>
      </c>
      <c r="M29" s="222">
        <f>IF($B29="","",($AD29-$AE29)+IF(AND($AB29&gt;0,$T29&lt;&gt;"",$U29&gt;=15,$U29&lt;29),$AB29,0))</f>
        <v/>
      </c>
      <c r="N29" s="222">
        <f>IF($B29="","",$AE29+IF(AND($AB29&gt;0,OR($T29="",$U29&gt;=29)),$AB29,0))</f>
        <v/>
      </c>
      <c r="O29" s="229">
        <f>IF($B29="","",IFERROR($I29/$H29,0))</f>
        <v/>
      </c>
      <c r="P29" s="224">
        <f>IF($B29="","",IFERROR(LOOKUP(2,1/(TAHSILAT!$C$7:$C$1506=$B29),TAHSILAT!$E$7:$E$1506),""))</f>
        <v/>
      </c>
      <c r="Q29" s="113">
        <f>IF($B29="","",IF($N29&gt;0,"KRİTİK",IF($M29&gt;0,"YÜKSEK",IF($L29&gt;0,"ORTA",IF($J29&gt;0,"İZLE","TEMİZ")))))</f>
        <v/>
      </c>
      <c r="R29" s="121">
        <f>IF($B29="","",IF($Q29="KRİTİK","Acil tahsilat görüşmesi ve cari mutabakat",IF($Q29="YÜKSEK","Bu hafta tahsilat takibi",IF($Q29="ORTA","Hatırlatma mesajı gönder",IF($Q29="İZLE","Normal takip","Aksiyon gerekmiyor")))))</f>
        <v/>
      </c>
      <c r="S29" s="227">
        <f>IF($B29="","",COUNTIFS(AKTIVITE!$D$7:$D$1006,$B29,AKTIVITE!$J$7:$J$1006,"&lt;&gt;Tamamlandı"))</f>
        <v/>
      </c>
      <c r="T29" s="224">
        <f>IF(OR($B29="",$AF29=""),"",IF(INDEX(MUSTERILER!$K$7:$K$106,$AF29)="","",INDEX(MUSTERILER!$K$7:$K$106,$AF29)))</f>
        <v/>
      </c>
      <c r="U29" s="227">
        <f>IF(OR($B29="",$T29=""),"",TODAY()-$T29)</f>
        <v/>
      </c>
      <c r="V29" s="222">
        <f>IF($B29="","",MAX(0,$I29-$H29))</f>
        <v/>
      </c>
      <c r="W29" s="113">
        <f>IF($B29="","",IF(AND(ABS($J29-($K29+$L29+$M29+$N29))&lt;0.01,ABS(($J29-$V29)-($H29-$I29))&lt;0.01),"UYGUN","İNCELE"))</f>
        <v/>
      </c>
      <c r="X29" s="6">
        <f>IF($B29="",0,SUMIFS(UCRETLER!$J$7:$J$406,UCRETLER!$B$7:$B$406,$B29))</f>
        <v/>
      </c>
      <c r="Y29" s="6">
        <f>IF($B29="",0,SUMIFS(UCRETLER!$K$7:$K$406,UCRETLER!$B$7:$B$406,$B29))</f>
        <v/>
      </c>
      <c r="Z29" s="3">
        <f>IF($B29="",0,SUMIFS(UCRETLER!$L$7:$L$406,UCRETLER!$B$7:$B$406,$B29))</f>
        <v/>
      </c>
      <c r="AA29" s="3">
        <f>IF($B29="",0,MAX(0,$I29-$F29))</f>
        <v/>
      </c>
      <c r="AB29" s="3">
        <f>IF($B29="",0,MAX(0,$F29-$I29))</f>
        <v/>
      </c>
      <c r="AC29" s="3">
        <f>IF($B29="",0,MAX(0,$X29-$AA29))</f>
        <v/>
      </c>
      <c r="AD29" s="3">
        <f>IF($B29="",0,MAX(0,$Y29-$AA29))</f>
        <v/>
      </c>
      <c r="AE29" s="3">
        <f>IF($B29="",0,MAX(0,$Z29-$AA29))</f>
        <v/>
      </c>
      <c r="AF29" s="3">
        <f>IFERROR(MATCH(ROW()-6,MUSTERILER!$U$7:$U$106,0),"")</f>
        <v/>
      </c>
      <c r="AG29" s="3">
        <f>IF($B29="",0,SUMIFS(GELIR_GIDER!$G$7:$G$1206,GELIR_GIDER!$T$7:$T$1206,$B29))</f>
        <v/>
      </c>
    </row>
    <row r="30">
      <c r="A30" s="6" t="n"/>
      <c r="B30" s="113">
        <f>IF($AF30="","",INDEX(MUSTERILER!$B$7:$B$106,$AF30))</f>
        <v/>
      </c>
      <c r="C30" s="121">
        <f>IF($AF30="","",INDEX(MUSTERILER!$C$7:$C$106,$AF30))</f>
        <v/>
      </c>
      <c r="D30" s="222">
        <f>IF($B30="","",SUMIFS(UCRETLER!$G$7:$G$406,UCRETLER!$B$7:$B$406,$B30,UCRETLER!$F$7:$F$406,"Haftalık",UCRETLER!$H$7:$H$406,"Aktif"))</f>
        <v/>
      </c>
      <c r="E30" s="222">
        <f>IF($B30="","",SUMIFS(UCRETLER!$G$7:$G$406,UCRETLER!$B$7:$B$406,$B30,UCRETLER!$F$7:$F$406,"Aylık",UCRETLER!$H$7:$H$406,"Aktif"))</f>
        <v/>
      </c>
      <c r="F30" s="222">
        <f>IF($B30="","",SUMIFS(MUSTERILER!$J$7:$J$106,MUSTERILER!$B$7:$B$106,$B30))</f>
        <v/>
      </c>
      <c r="G30" s="222">
        <f>IF($B30="","",SUMIFS(UCRETLER!$I$7:$I$406,UCRETLER!$B$7:$B$406,$B30)+SUMIFS(GELIR_GIDER!$G$7:$G$1206,GELIR_GIDER!$T$7:$T$1206,$B30))</f>
        <v/>
      </c>
      <c r="H30" s="222">
        <f>IF($B30="","",$F30+$G30)</f>
        <v/>
      </c>
      <c r="I30" s="222">
        <f>IF($B30="","",SUMIFS(TAHSILAT!$F$7:$F$1506,TAHSILAT!$C$7:$C$1506,$B30))</f>
        <v/>
      </c>
      <c r="J30" s="222">
        <f>IF($B30="","",MAX(0,$H30-$I30))</f>
        <v/>
      </c>
      <c r="K30" s="222">
        <f>IF($B30="","",MAX(0,$J30-$L30-$M30-$N30))</f>
        <v/>
      </c>
      <c r="L30" s="222">
        <f>IF($B30="","",($AC30-$AD30)+IF(AND($AB30&gt;0,$T30&lt;&gt;"",$U30&gt;=8,$U30&lt;15),$AB30,0))</f>
        <v/>
      </c>
      <c r="M30" s="222">
        <f>IF($B30="","",($AD30-$AE30)+IF(AND($AB30&gt;0,$T30&lt;&gt;"",$U30&gt;=15,$U30&lt;29),$AB30,0))</f>
        <v/>
      </c>
      <c r="N30" s="222">
        <f>IF($B30="","",$AE30+IF(AND($AB30&gt;0,OR($T30="",$U30&gt;=29)),$AB30,0))</f>
        <v/>
      </c>
      <c r="O30" s="229">
        <f>IF($B30="","",IFERROR($I30/$H30,0))</f>
        <v/>
      </c>
      <c r="P30" s="224">
        <f>IF($B30="","",IFERROR(LOOKUP(2,1/(TAHSILAT!$C$7:$C$1506=$B30),TAHSILAT!$E$7:$E$1506),""))</f>
        <v/>
      </c>
      <c r="Q30" s="113">
        <f>IF($B30="","",IF($N30&gt;0,"KRİTİK",IF($M30&gt;0,"YÜKSEK",IF($L30&gt;0,"ORTA",IF($J30&gt;0,"İZLE","TEMİZ")))))</f>
        <v/>
      </c>
      <c r="R30" s="121">
        <f>IF($B30="","",IF($Q30="KRİTİK","Acil tahsilat görüşmesi ve cari mutabakat",IF($Q30="YÜKSEK","Bu hafta tahsilat takibi",IF($Q30="ORTA","Hatırlatma mesajı gönder",IF($Q30="İZLE","Normal takip","Aksiyon gerekmiyor")))))</f>
        <v/>
      </c>
      <c r="S30" s="227">
        <f>IF($B30="","",COUNTIFS(AKTIVITE!$D$7:$D$1006,$B30,AKTIVITE!$J$7:$J$1006,"&lt;&gt;Tamamlandı"))</f>
        <v/>
      </c>
      <c r="T30" s="224">
        <f>IF(OR($B30="",$AF30=""),"",IF(INDEX(MUSTERILER!$K$7:$K$106,$AF30)="","",INDEX(MUSTERILER!$K$7:$K$106,$AF30)))</f>
        <v/>
      </c>
      <c r="U30" s="227">
        <f>IF(OR($B30="",$T30=""),"",TODAY()-$T30)</f>
        <v/>
      </c>
      <c r="V30" s="222">
        <f>IF($B30="","",MAX(0,$I30-$H30))</f>
        <v/>
      </c>
      <c r="W30" s="113">
        <f>IF($B30="","",IF(AND(ABS($J30-($K30+$L30+$M30+$N30))&lt;0.01,ABS(($J30-$V30)-($H30-$I30))&lt;0.01),"UYGUN","İNCELE"))</f>
        <v/>
      </c>
      <c r="X30" s="6">
        <f>IF($B30="",0,SUMIFS(UCRETLER!$J$7:$J$406,UCRETLER!$B$7:$B$406,$B30))</f>
        <v/>
      </c>
      <c r="Y30" s="6">
        <f>IF($B30="",0,SUMIFS(UCRETLER!$K$7:$K$406,UCRETLER!$B$7:$B$406,$B30))</f>
        <v/>
      </c>
      <c r="Z30" s="3">
        <f>IF($B30="",0,SUMIFS(UCRETLER!$L$7:$L$406,UCRETLER!$B$7:$B$406,$B30))</f>
        <v/>
      </c>
      <c r="AA30" s="3">
        <f>IF($B30="",0,MAX(0,$I30-$F30))</f>
        <v/>
      </c>
      <c r="AB30" s="3">
        <f>IF($B30="",0,MAX(0,$F30-$I30))</f>
        <v/>
      </c>
      <c r="AC30" s="3">
        <f>IF($B30="",0,MAX(0,$X30-$AA30))</f>
        <v/>
      </c>
      <c r="AD30" s="3">
        <f>IF($B30="",0,MAX(0,$Y30-$AA30))</f>
        <v/>
      </c>
      <c r="AE30" s="3">
        <f>IF($B30="",0,MAX(0,$Z30-$AA30))</f>
        <v/>
      </c>
      <c r="AF30" s="3">
        <f>IFERROR(MATCH(ROW()-6,MUSTERILER!$U$7:$U$106,0),"")</f>
        <v/>
      </c>
      <c r="AG30" s="3">
        <f>IF($B30="",0,SUMIFS(GELIR_GIDER!$G$7:$G$1206,GELIR_GIDER!$T$7:$T$1206,$B30))</f>
        <v/>
      </c>
    </row>
    <row r="31">
      <c r="A31" s="6" t="n"/>
      <c r="B31" s="113">
        <f>IF($AF31="","",INDEX(MUSTERILER!$B$7:$B$106,$AF31))</f>
        <v/>
      </c>
      <c r="C31" s="121">
        <f>IF($AF31="","",INDEX(MUSTERILER!$C$7:$C$106,$AF31))</f>
        <v/>
      </c>
      <c r="D31" s="222">
        <f>IF($B31="","",SUMIFS(UCRETLER!$G$7:$G$406,UCRETLER!$B$7:$B$406,$B31,UCRETLER!$F$7:$F$406,"Haftalık",UCRETLER!$H$7:$H$406,"Aktif"))</f>
        <v/>
      </c>
      <c r="E31" s="222">
        <f>IF($B31="","",SUMIFS(UCRETLER!$G$7:$G$406,UCRETLER!$B$7:$B$406,$B31,UCRETLER!$F$7:$F$406,"Aylık",UCRETLER!$H$7:$H$406,"Aktif"))</f>
        <v/>
      </c>
      <c r="F31" s="222">
        <f>IF($B31="","",SUMIFS(MUSTERILER!$J$7:$J$106,MUSTERILER!$B$7:$B$106,$B31))</f>
        <v/>
      </c>
      <c r="G31" s="222">
        <f>IF($B31="","",SUMIFS(UCRETLER!$I$7:$I$406,UCRETLER!$B$7:$B$406,$B31)+SUMIFS(GELIR_GIDER!$G$7:$G$1206,GELIR_GIDER!$T$7:$T$1206,$B31))</f>
        <v/>
      </c>
      <c r="H31" s="222">
        <f>IF($B31="","",$F31+$G31)</f>
        <v/>
      </c>
      <c r="I31" s="222">
        <f>IF($B31="","",SUMIFS(TAHSILAT!$F$7:$F$1506,TAHSILAT!$C$7:$C$1506,$B31))</f>
        <v/>
      </c>
      <c r="J31" s="222">
        <f>IF($B31="","",MAX(0,$H31-$I31))</f>
        <v/>
      </c>
      <c r="K31" s="222">
        <f>IF($B31="","",MAX(0,$J31-$L31-$M31-$N31))</f>
        <v/>
      </c>
      <c r="L31" s="222">
        <f>IF($B31="","",($AC31-$AD31)+IF(AND($AB31&gt;0,$T31&lt;&gt;"",$U31&gt;=8,$U31&lt;15),$AB31,0))</f>
        <v/>
      </c>
      <c r="M31" s="222">
        <f>IF($B31="","",($AD31-$AE31)+IF(AND($AB31&gt;0,$T31&lt;&gt;"",$U31&gt;=15,$U31&lt;29),$AB31,0))</f>
        <v/>
      </c>
      <c r="N31" s="222">
        <f>IF($B31="","",$AE31+IF(AND($AB31&gt;0,OR($T31="",$U31&gt;=29)),$AB31,0))</f>
        <v/>
      </c>
      <c r="O31" s="229">
        <f>IF($B31="","",IFERROR($I31/$H31,0))</f>
        <v/>
      </c>
      <c r="P31" s="224">
        <f>IF($B31="","",IFERROR(LOOKUP(2,1/(TAHSILAT!$C$7:$C$1506=$B31),TAHSILAT!$E$7:$E$1506),""))</f>
        <v/>
      </c>
      <c r="Q31" s="113">
        <f>IF($B31="","",IF($N31&gt;0,"KRİTİK",IF($M31&gt;0,"YÜKSEK",IF($L31&gt;0,"ORTA",IF($J31&gt;0,"İZLE","TEMİZ")))))</f>
        <v/>
      </c>
      <c r="R31" s="121">
        <f>IF($B31="","",IF($Q31="KRİTİK","Acil tahsilat görüşmesi ve cari mutabakat",IF($Q31="YÜKSEK","Bu hafta tahsilat takibi",IF($Q31="ORTA","Hatırlatma mesajı gönder",IF($Q31="İZLE","Normal takip","Aksiyon gerekmiyor")))))</f>
        <v/>
      </c>
      <c r="S31" s="227">
        <f>IF($B31="","",COUNTIFS(AKTIVITE!$D$7:$D$1006,$B31,AKTIVITE!$J$7:$J$1006,"&lt;&gt;Tamamlandı"))</f>
        <v/>
      </c>
      <c r="T31" s="224">
        <f>IF(OR($B31="",$AF31=""),"",IF(INDEX(MUSTERILER!$K$7:$K$106,$AF31)="","",INDEX(MUSTERILER!$K$7:$K$106,$AF31)))</f>
        <v/>
      </c>
      <c r="U31" s="227">
        <f>IF(OR($B31="",$T31=""),"",TODAY()-$T31)</f>
        <v/>
      </c>
      <c r="V31" s="222">
        <f>IF($B31="","",MAX(0,$I31-$H31))</f>
        <v/>
      </c>
      <c r="W31" s="113">
        <f>IF($B31="","",IF(AND(ABS($J31-($K31+$L31+$M31+$N31))&lt;0.01,ABS(($J31-$V31)-($H31-$I31))&lt;0.01),"UYGUN","İNCELE"))</f>
        <v/>
      </c>
      <c r="X31" s="6">
        <f>IF($B31="",0,SUMIFS(UCRETLER!$J$7:$J$406,UCRETLER!$B$7:$B$406,$B31))</f>
        <v/>
      </c>
      <c r="Y31" s="6">
        <f>IF($B31="",0,SUMIFS(UCRETLER!$K$7:$K$406,UCRETLER!$B$7:$B$406,$B31))</f>
        <v/>
      </c>
      <c r="Z31" s="3">
        <f>IF($B31="",0,SUMIFS(UCRETLER!$L$7:$L$406,UCRETLER!$B$7:$B$406,$B31))</f>
        <v/>
      </c>
      <c r="AA31" s="3">
        <f>IF($B31="",0,MAX(0,$I31-$F31))</f>
        <v/>
      </c>
      <c r="AB31" s="3">
        <f>IF($B31="",0,MAX(0,$F31-$I31))</f>
        <v/>
      </c>
      <c r="AC31" s="3">
        <f>IF($B31="",0,MAX(0,$X31-$AA31))</f>
        <v/>
      </c>
      <c r="AD31" s="3">
        <f>IF($B31="",0,MAX(0,$Y31-$AA31))</f>
        <v/>
      </c>
      <c r="AE31" s="3">
        <f>IF($B31="",0,MAX(0,$Z31-$AA31))</f>
        <v/>
      </c>
      <c r="AF31" s="3">
        <f>IFERROR(MATCH(ROW()-6,MUSTERILER!$U$7:$U$106,0),"")</f>
        <v/>
      </c>
      <c r="AG31" s="3">
        <f>IF($B31="",0,SUMIFS(GELIR_GIDER!$G$7:$G$1206,GELIR_GIDER!$T$7:$T$1206,$B31))</f>
        <v/>
      </c>
    </row>
    <row r="32">
      <c r="A32" s="6" t="n"/>
      <c r="B32" s="113">
        <f>IF($AF32="","",INDEX(MUSTERILER!$B$7:$B$106,$AF32))</f>
        <v/>
      </c>
      <c r="C32" s="121">
        <f>IF($AF32="","",INDEX(MUSTERILER!$C$7:$C$106,$AF32))</f>
        <v/>
      </c>
      <c r="D32" s="222">
        <f>IF($B32="","",SUMIFS(UCRETLER!$G$7:$G$406,UCRETLER!$B$7:$B$406,$B32,UCRETLER!$F$7:$F$406,"Haftalık",UCRETLER!$H$7:$H$406,"Aktif"))</f>
        <v/>
      </c>
      <c r="E32" s="222">
        <f>IF($B32="","",SUMIFS(UCRETLER!$G$7:$G$406,UCRETLER!$B$7:$B$406,$B32,UCRETLER!$F$7:$F$406,"Aylık",UCRETLER!$H$7:$H$406,"Aktif"))</f>
        <v/>
      </c>
      <c r="F32" s="222">
        <f>IF($B32="","",SUMIFS(MUSTERILER!$J$7:$J$106,MUSTERILER!$B$7:$B$106,$B32))</f>
        <v/>
      </c>
      <c r="G32" s="222">
        <f>IF($B32="","",SUMIFS(UCRETLER!$I$7:$I$406,UCRETLER!$B$7:$B$406,$B32)+SUMIFS(GELIR_GIDER!$G$7:$G$1206,GELIR_GIDER!$T$7:$T$1206,$B32))</f>
        <v/>
      </c>
      <c r="H32" s="222">
        <f>IF($B32="","",$F32+$G32)</f>
        <v/>
      </c>
      <c r="I32" s="222">
        <f>IF($B32="","",SUMIFS(TAHSILAT!$F$7:$F$1506,TAHSILAT!$C$7:$C$1506,$B32))</f>
        <v/>
      </c>
      <c r="J32" s="222">
        <f>IF($B32="","",MAX(0,$H32-$I32))</f>
        <v/>
      </c>
      <c r="K32" s="222">
        <f>IF($B32="","",MAX(0,$J32-$L32-$M32-$N32))</f>
        <v/>
      </c>
      <c r="L32" s="222">
        <f>IF($B32="","",($AC32-$AD32)+IF(AND($AB32&gt;0,$T32&lt;&gt;"",$U32&gt;=8,$U32&lt;15),$AB32,0))</f>
        <v/>
      </c>
      <c r="M32" s="222">
        <f>IF($B32="","",($AD32-$AE32)+IF(AND($AB32&gt;0,$T32&lt;&gt;"",$U32&gt;=15,$U32&lt;29),$AB32,0))</f>
        <v/>
      </c>
      <c r="N32" s="222">
        <f>IF($B32="","",$AE32+IF(AND($AB32&gt;0,OR($T32="",$U32&gt;=29)),$AB32,0))</f>
        <v/>
      </c>
      <c r="O32" s="229">
        <f>IF($B32="","",IFERROR($I32/$H32,0))</f>
        <v/>
      </c>
      <c r="P32" s="224">
        <f>IF($B32="","",IFERROR(LOOKUP(2,1/(TAHSILAT!$C$7:$C$1506=$B32),TAHSILAT!$E$7:$E$1506),""))</f>
        <v/>
      </c>
      <c r="Q32" s="113">
        <f>IF($B32="","",IF($N32&gt;0,"KRİTİK",IF($M32&gt;0,"YÜKSEK",IF($L32&gt;0,"ORTA",IF($J32&gt;0,"İZLE","TEMİZ")))))</f>
        <v/>
      </c>
      <c r="R32" s="121">
        <f>IF($B32="","",IF($Q32="KRİTİK","Acil tahsilat görüşmesi ve cari mutabakat",IF($Q32="YÜKSEK","Bu hafta tahsilat takibi",IF($Q32="ORTA","Hatırlatma mesajı gönder",IF($Q32="İZLE","Normal takip","Aksiyon gerekmiyor")))))</f>
        <v/>
      </c>
      <c r="S32" s="227">
        <f>IF($B32="","",COUNTIFS(AKTIVITE!$D$7:$D$1006,$B32,AKTIVITE!$J$7:$J$1006,"&lt;&gt;Tamamlandı"))</f>
        <v/>
      </c>
      <c r="T32" s="224">
        <f>IF(OR($B32="",$AF32=""),"",IF(INDEX(MUSTERILER!$K$7:$K$106,$AF32)="","",INDEX(MUSTERILER!$K$7:$K$106,$AF32)))</f>
        <v/>
      </c>
      <c r="U32" s="227">
        <f>IF(OR($B32="",$T32=""),"",TODAY()-$T32)</f>
        <v/>
      </c>
      <c r="V32" s="222">
        <f>IF($B32="","",MAX(0,$I32-$H32))</f>
        <v/>
      </c>
      <c r="W32" s="113">
        <f>IF($B32="","",IF(AND(ABS($J32-($K32+$L32+$M32+$N32))&lt;0.01,ABS(($J32-$V32)-($H32-$I32))&lt;0.01),"UYGUN","İNCELE"))</f>
        <v/>
      </c>
      <c r="X32" s="6">
        <f>IF($B32="",0,SUMIFS(UCRETLER!$J$7:$J$406,UCRETLER!$B$7:$B$406,$B32))</f>
        <v/>
      </c>
      <c r="Y32" s="6">
        <f>IF($B32="",0,SUMIFS(UCRETLER!$K$7:$K$406,UCRETLER!$B$7:$B$406,$B32))</f>
        <v/>
      </c>
      <c r="Z32" s="3">
        <f>IF($B32="",0,SUMIFS(UCRETLER!$L$7:$L$406,UCRETLER!$B$7:$B$406,$B32))</f>
        <v/>
      </c>
      <c r="AA32" s="3">
        <f>IF($B32="",0,MAX(0,$I32-$F32))</f>
        <v/>
      </c>
      <c r="AB32" s="3">
        <f>IF($B32="",0,MAX(0,$F32-$I32))</f>
        <v/>
      </c>
      <c r="AC32" s="3">
        <f>IF($B32="",0,MAX(0,$X32-$AA32))</f>
        <v/>
      </c>
      <c r="AD32" s="3">
        <f>IF($B32="",0,MAX(0,$Y32-$AA32))</f>
        <v/>
      </c>
      <c r="AE32" s="3">
        <f>IF($B32="",0,MAX(0,$Z32-$AA32))</f>
        <v/>
      </c>
      <c r="AF32" s="3">
        <f>IFERROR(MATCH(ROW()-6,MUSTERILER!$U$7:$U$106,0),"")</f>
        <v/>
      </c>
      <c r="AG32" s="3">
        <f>IF($B32="",0,SUMIFS(GELIR_GIDER!$G$7:$G$1206,GELIR_GIDER!$T$7:$T$1206,$B32))</f>
        <v/>
      </c>
    </row>
    <row r="33">
      <c r="A33" s="6" t="n"/>
      <c r="B33" s="113">
        <f>IF($AF33="","",INDEX(MUSTERILER!$B$7:$B$106,$AF33))</f>
        <v/>
      </c>
      <c r="C33" s="121">
        <f>IF($AF33="","",INDEX(MUSTERILER!$C$7:$C$106,$AF33))</f>
        <v/>
      </c>
      <c r="D33" s="222">
        <f>IF($B33="","",SUMIFS(UCRETLER!$G$7:$G$406,UCRETLER!$B$7:$B$406,$B33,UCRETLER!$F$7:$F$406,"Haftalık",UCRETLER!$H$7:$H$406,"Aktif"))</f>
        <v/>
      </c>
      <c r="E33" s="222">
        <f>IF($B33="","",SUMIFS(UCRETLER!$G$7:$G$406,UCRETLER!$B$7:$B$406,$B33,UCRETLER!$F$7:$F$406,"Aylık",UCRETLER!$H$7:$H$406,"Aktif"))</f>
        <v/>
      </c>
      <c r="F33" s="222">
        <f>IF($B33="","",SUMIFS(MUSTERILER!$J$7:$J$106,MUSTERILER!$B$7:$B$106,$B33))</f>
        <v/>
      </c>
      <c r="G33" s="222">
        <f>IF($B33="","",SUMIFS(UCRETLER!$I$7:$I$406,UCRETLER!$B$7:$B$406,$B33)+SUMIFS(GELIR_GIDER!$G$7:$G$1206,GELIR_GIDER!$T$7:$T$1206,$B33))</f>
        <v/>
      </c>
      <c r="H33" s="222">
        <f>IF($B33="","",$F33+$G33)</f>
        <v/>
      </c>
      <c r="I33" s="222">
        <f>IF($B33="","",SUMIFS(TAHSILAT!$F$7:$F$1506,TAHSILAT!$C$7:$C$1506,$B33))</f>
        <v/>
      </c>
      <c r="J33" s="222">
        <f>IF($B33="","",MAX(0,$H33-$I33))</f>
        <v/>
      </c>
      <c r="K33" s="222">
        <f>IF($B33="","",MAX(0,$J33-$L33-$M33-$N33))</f>
        <v/>
      </c>
      <c r="L33" s="222">
        <f>IF($B33="","",($AC33-$AD33)+IF(AND($AB33&gt;0,$T33&lt;&gt;"",$U33&gt;=8,$U33&lt;15),$AB33,0))</f>
        <v/>
      </c>
      <c r="M33" s="222">
        <f>IF($B33="","",($AD33-$AE33)+IF(AND($AB33&gt;0,$T33&lt;&gt;"",$U33&gt;=15,$U33&lt;29),$AB33,0))</f>
        <v/>
      </c>
      <c r="N33" s="222">
        <f>IF($B33="","",$AE33+IF(AND($AB33&gt;0,OR($T33="",$U33&gt;=29)),$AB33,0))</f>
        <v/>
      </c>
      <c r="O33" s="229">
        <f>IF($B33="","",IFERROR($I33/$H33,0))</f>
        <v/>
      </c>
      <c r="P33" s="224">
        <f>IF($B33="","",IFERROR(LOOKUP(2,1/(TAHSILAT!$C$7:$C$1506=$B33),TAHSILAT!$E$7:$E$1506),""))</f>
        <v/>
      </c>
      <c r="Q33" s="113">
        <f>IF($B33="","",IF($N33&gt;0,"KRİTİK",IF($M33&gt;0,"YÜKSEK",IF($L33&gt;0,"ORTA",IF($J33&gt;0,"İZLE","TEMİZ")))))</f>
        <v/>
      </c>
      <c r="R33" s="121">
        <f>IF($B33="","",IF($Q33="KRİTİK","Acil tahsilat görüşmesi ve cari mutabakat",IF($Q33="YÜKSEK","Bu hafta tahsilat takibi",IF($Q33="ORTA","Hatırlatma mesajı gönder",IF($Q33="İZLE","Normal takip","Aksiyon gerekmiyor")))))</f>
        <v/>
      </c>
      <c r="S33" s="227">
        <f>IF($B33="","",COUNTIFS(AKTIVITE!$D$7:$D$1006,$B33,AKTIVITE!$J$7:$J$1006,"&lt;&gt;Tamamlandı"))</f>
        <v/>
      </c>
      <c r="T33" s="224">
        <f>IF(OR($B33="",$AF33=""),"",IF(INDEX(MUSTERILER!$K$7:$K$106,$AF33)="","",INDEX(MUSTERILER!$K$7:$K$106,$AF33)))</f>
        <v/>
      </c>
      <c r="U33" s="227">
        <f>IF(OR($B33="",$T33=""),"",TODAY()-$T33)</f>
        <v/>
      </c>
      <c r="V33" s="222">
        <f>IF($B33="","",MAX(0,$I33-$H33))</f>
        <v/>
      </c>
      <c r="W33" s="113">
        <f>IF($B33="","",IF(AND(ABS($J33-($K33+$L33+$M33+$N33))&lt;0.01,ABS(($J33-$V33)-($H33-$I33))&lt;0.01),"UYGUN","İNCELE"))</f>
        <v/>
      </c>
      <c r="X33" s="6">
        <f>IF($B33="",0,SUMIFS(UCRETLER!$J$7:$J$406,UCRETLER!$B$7:$B$406,$B33))</f>
        <v/>
      </c>
      <c r="Y33" s="6">
        <f>IF($B33="",0,SUMIFS(UCRETLER!$K$7:$K$406,UCRETLER!$B$7:$B$406,$B33))</f>
        <v/>
      </c>
      <c r="Z33" s="3">
        <f>IF($B33="",0,SUMIFS(UCRETLER!$L$7:$L$406,UCRETLER!$B$7:$B$406,$B33))</f>
        <v/>
      </c>
      <c r="AA33" s="3">
        <f>IF($B33="",0,MAX(0,$I33-$F33))</f>
        <v/>
      </c>
      <c r="AB33" s="3">
        <f>IF($B33="",0,MAX(0,$F33-$I33))</f>
        <v/>
      </c>
      <c r="AC33" s="3">
        <f>IF($B33="",0,MAX(0,$X33-$AA33))</f>
        <v/>
      </c>
      <c r="AD33" s="3">
        <f>IF($B33="",0,MAX(0,$Y33-$AA33))</f>
        <v/>
      </c>
      <c r="AE33" s="3">
        <f>IF($B33="",0,MAX(0,$Z33-$AA33))</f>
        <v/>
      </c>
      <c r="AF33" s="3">
        <f>IFERROR(MATCH(ROW()-6,MUSTERILER!$U$7:$U$106,0),"")</f>
        <v/>
      </c>
      <c r="AG33" s="3">
        <f>IF($B33="",0,SUMIFS(GELIR_GIDER!$G$7:$G$1206,GELIR_GIDER!$T$7:$T$1206,$B33))</f>
        <v/>
      </c>
    </row>
    <row r="34">
      <c r="A34" s="6" t="n"/>
      <c r="B34" s="113">
        <f>IF($AF34="","",INDEX(MUSTERILER!$B$7:$B$106,$AF34))</f>
        <v/>
      </c>
      <c r="C34" s="121">
        <f>IF($AF34="","",INDEX(MUSTERILER!$C$7:$C$106,$AF34))</f>
        <v/>
      </c>
      <c r="D34" s="222">
        <f>IF($B34="","",SUMIFS(UCRETLER!$G$7:$G$406,UCRETLER!$B$7:$B$406,$B34,UCRETLER!$F$7:$F$406,"Haftalık",UCRETLER!$H$7:$H$406,"Aktif"))</f>
        <v/>
      </c>
      <c r="E34" s="222">
        <f>IF($B34="","",SUMIFS(UCRETLER!$G$7:$G$406,UCRETLER!$B$7:$B$406,$B34,UCRETLER!$F$7:$F$406,"Aylık",UCRETLER!$H$7:$H$406,"Aktif"))</f>
        <v/>
      </c>
      <c r="F34" s="222">
        <f>IF($B34="","",SUMIFS(MUSTERILER!$J$7:$J$106,MUSTERILER!$B$7:$B$106,$B34))</f>
        <v/>
      </c>
      <c r="G34" s="222">
        <f>IF($B34="","",SUMIFS(UCRETLER!$I$7:$I$406,UCRETLER!$B$7:$B$406,$B34)+SUMIFS(GELIR_GIDER!$G$7:$G$1206,GELIR_GIDER!$T$7:$T$1206,$B34))</f>
        <v/>
      </c>
      <c r="H34" s="222">
        <f>IF($B34="","",$F34+$G34)</f>
        <v/>
      </c>
      <c r="I34" s="222">
        <f>IF($B34="","",SUMIFS(TAHSILAT!$F$7:$F$1506,TAHSILAT!$C$7:$C$1506,$B34))</f>
        <v/>
      </c>
      <c r="J34" s="222">
        <f>IF($B34="","",MAX(0,$H34-$I34))</f>
        <v/>
      </c>
      <c r="K34" s="222">
        <f>IF($B34="","",MAX(0,$J34-$L34-$M34-$N34))</f>
        <v/>
      </c>
      <c r="L34" s="222">
        <f>IF($B34="","",($AC34-$AD34)+IF(AND($AB34&gt;0,$T34&lt;&gt;"",$U34&gt;=8,$U34&lt;15),$AB34,0))</f>
        <v/>
      </c>
      <c r="M34" s="222">
        <f>IF($B34="","",($AD34-$AE34)+IF(AND($AB34&gt;0,$T34&lt;&gt;"",$U34&gt;=15,$U34&lt;29),$AB34,0))</f>
        <v/>
      </c>
      <c r="N34" s="222">
        <f>IF($B34="","",$AE34+IF(AND($AB34&gt;0,OR($T34="",$U34&gt;=29)),$AB34,0))</f>
        <v/>
      </c>
      <c r="O34" s="229">
        <f>IF($B34="","",IFERROR($I34/$H34,0))</f>
        <v/>
      </c>
      <c r="P34" s="224">
        <f>IF($B34="","",IFERROR(LOOKUP(2,1/(TAHSILAT!$C$7:$C$1506=$B34),TAHSILAT!$E$7:$E$1506),""))</f>
        <v/>
      </c>
      <c r="Q34" s="113">
        <f>IF($B34="","",IF($N34&gt;0,"KRİTİK",IF($M34&gt;0,"YÜKSEK",IF($L34&gt;0,"ORTA",IF($J34&gt;0,"İZLE","TEMİZ")))))</f>
        <v/>
      </c>
      <c r="R34" s="121">
        <f>IF($B34="","",IF($Q34="KRİTİK","Acil tahsilat görüşmesi ve cari mutabakat",IF($Q34="YÜKSEK","Bu hafta tahsilat takibi",IF($Q34="ORTA","Hatırlatma mesajı gönder",IF($Q34="İZLE","Normal takip","Aksiyon gerekmiyor")))))</f>
        <v/>
      </c>
      <c r="S34" s="227">
        <f>IF($B34="","",COUNTIFS(AKTIVITE!$D$7:$D$1006,$B34,AKTIVITE!$J$7:$J$1006,"&lt;&gt;Tamamlandı"))</f>
        <v/>
      </c>
      <c r="T34" s="224">
        <f>IF(OR($B34="",$AF34=""),"",IF(INDEX(MUSTERILER!$K$7:$K$106,$AF34)="","",INDEX(MUSTERILER!$K$7:$K$106,$AF34)))</f>
        <v/>
      </c>
      <c r="U34" s="227">
        <f>IF(OR($B34="",$T34=""),"",TODAY()-$T34)</f>
        <v/>
      </c>
      <c r="V34" s="222">
        <f>IF($B34="","",MAX(0,$I34-$H34))</f>
        <v/>
      </c>
      <c r="W34" s="113">
        <f>IF($B34="","",IF(AND(ABS($J34-($K34+$L34+$M34+$N34))&lt;0.01,ABS(($J34-$V34)-($H34-$I34))&lt;0.01),"UYGUN","İNCELE"))</f>
        <v/>
      </c>
      <c r="X34" s="6">
        <f>IF($B34="",0,SUMIFS(UCRETLER!$J$7:$J$406,UCRETLER!$B$7:$B$406,$B34))</f>
        <v/>
      </c>
      <c r="Y34" s="6">
        <f>IF($B34="",0,SUMIFS(UCRETLER!$K$7:$K$406,UCRETLER!$B$7:$B$406,$B34))</f>
        <v/>
      </c>
      <c r="Z34" s="3">
        <f>IF($B34="",0,SUMIFS(UCRETLER!$L$7:$L$406,UCRETLER!$B$7:$B$406,$B34))</f>
        <v/>
      </c>
      <c r="AA34" s="3">
        <f>IF($B34="",0,MAX(0,$I34-$F34))</f>
        <v/>
      </c>
      <c r="AB34" s="3">
        <f>IF($B34="",0,MAX(0,$F34-$I34))</f>
        <v/>
      </c>
      <c r="AC34" s="3">
        <f>IF($B34="",0,MAX(0,$X34-$AA34))</f>
        <v/>
      </c>
      <c r="AD34" s="3">
        <f>IF($B34="",0,MAX(0,$Y34-$AA34))</f>
        <v/>
      </c>
      <c r="AE34" s="3">
        <f>IF($B34="",0,MAX(0,$Z34-$AA34))</f>
        <v/>
      </c>
      <c r="AF34" s="3">
        <f>IFERROR(MATCH(ROW()-6,MUSTERILER!$U$7:$U$106,0),"")</f>
        <v/>
      </c>
      <c r="AG34" s="3">
        <f>IF($B34="",0,SUMIFS(GELIR_GIDER!$G$7:$G$1206,GELIR_GIDER!$T$7:$T$1206,$B34))</f>
        <v/>
      </c>
    </row>
    <row r="35">
      <c r="A35" s="6" t="n"/>
      <c r="B35" s="113">
        <f>IF($AF35="","",INDEX(MUSTERILER!$B$7:$B$106,$AF35))</f>
        <v/>
      </c>
      <c r="C35" s="121">
        <f>IF($AF35="","",INDEX(MUSTERILER!$C$7:$C$106,$AF35))</f>
        <v/>
      </c>
      <c r="D35" s="222">
        <f>IF($B35="","",SUMIFS(UCRETLER!$G$7:$G$406,UCRETLER!$B$7:$B$406,$B35,UCRETLER!$F$7:$F$406,"Haftalık",UCRETLER!$H$7:$H$406,"Aktif"))</f>
        <v/>
      </c>
      <c r="E35" s="222">
        <f>IF($B35="","",SUMIFS(UCRETLER!$G$7:$G$406,UCRETLER!$B$7:$B$406,$B35,UCRETLER!$F$7:$F$406,"Aylık",UCRETLER!$H$7:$H$406,"Aktif"))</f>
        <v/>
      </c>
      <c r="F35" s="222">
        <f>IF($B35="","",SUMIFS(MUSTERILER!$J$7:$J$106,MUSTERILER!$B$7:$B$106,$B35))</f>
        <v/>
      </c>
      <c r="G35" s="222">
        <f>IF($B35="","",SUMIFS(UCRETLER!$I$7:$I$406,UCRETLER!$B$7:$B$406,$B35)+SUMIFS(GELIR_GIDER!$G$7:$G$1206,GELIR_GIDER!$T$7:$T$1206,$B35))</f>
        <v/>
      </c>
      <c r="H35" s="222">
        <f>IF($B35="","",$F35+$G35)</f>
        <v/>
      </c>
      <c r="I35" s="222">
        <f>IF($B35="","",SUMIFS(TAHSILAT!$F$7:$F$1506,TAHSILAT!$C$7:$C$1506,$B35))</f>
        <v/>
      </c>
      <c r="J35" s="222">
        <f>IF($B35="","",MAX(0,$H35-$I35))</f>
        <v/>
      </c>
      <c r="K35" s="222">
        <f>IF($B35="","",MAX(0,$J35-$L35-$M35-$N35))</f>
        <v/>
      </c>
      <c r="L35" s="222">
        <f>IF($B35="","",($AC35-$AD35)+IF(AND($AB35&gt;0,$T35&lt;&gt;"",$U35&gt;=8,$U35&lt;15),$AB35,0))</f>
        <v/>
      </c>
      <c r="M35" s="222">
        <f>IF($B35="","",($AD35-$AE35)+IF(AND($AB35&gt;0,$T35&lt;&gt;"",$U35&gt;=15,$U35&lt;29),$AB35,0))</f>
        <v/>
      </c>
      <c r="N35" s="222">
        <f>IF($B35="","",$AE35+IF(AND($AB35&gt;0,OR($T35="",$U35&gt;=29)),$AB35,0))</f>
        <v/>
      </c>
      <c r="O35" s="229">
        <f>IF($B35="","",IFERROR($I35/$H35,0))</f>
        <v/>
      </c>
      <c r="P35" s="224">
        <f>IF($B35="","",IFERROR(LOOKUP(2,1/(TAHSILAT!$C$7:$C$1506=$B35),TAHSILAT!$E$7:$E$1506),""))</f>
        <v/>
      </c>
      <c r="Q35" s="113">
        <f>IF($B35="","",IF($N35&gt;0,"KRİTİK",IF($M35&gt;0,"YÜKSEK",IF($L35&gt;0,"ORTA",IF($J35&gt;0,"İZLE","TEMİZ")))))</f>
        <v/>
      </c>
      <c r="R35" s="121">
        <f>IF($B35="","",IF($Q35="KRİTİK","Acil tahsilat görüşmesi ve cari mutabakat",IF($Q35="YÜKSEK","Bu hafta tahsilat takibi",IF($Q35="ORTA","Hatırlatma mesajı gönder",IF($Q35="İZLE","Normal takip","Aksiyon gerekmiyor")))))</f>
        <v/>
      </c>
      <c r="S35" s="227">
        <f>IF($B35="","",COUNTIFS(AKTIVITE!$D$7:$D$1006,$B35,AKTIVITE!$J$7:$J$1006,"&lt;&gt;Tamamlandı"))</f>
        <v/>
      </c>
      <c r="T35" s="224">
        <f>IF(OR($B35="",$AF35=""),"",IF(INDEX(MUSTERILER!$K$7:$K$106,$AF35)="","",INDEX(MUSTERILER!$K$7:$K$106,$AF35)))</f>
        <v/>
      </c>
      <c r="U35" s="227">
        <f>IF(OR($B35="",$T35=""),"",TODAY()-$T35)</f>
        <v/>
      </c>
      <c r="V35" s="222">
        <f>IF($B35="","",MAX(0,$I35-$H35))</f>
        <v/>
      </c>
      <c r="W35" s="113">
        <f>IF($B35="","",IF(AND(ABS($J35-($K35+$L35+$M35+$N35))&lt;0.01,ABS(($J35-$V35)-($H35-$I35))&lt;0.01),"UYGUN","İNCELE"))</f>
        <v/>
      </c>
      <c r="X35" s="6">
        <f>IF($B35="",0,SUMIFS(UCRETLER!$J$7:$J$406,UCRETLER!$B$7:$B$406,$B35))</f>
        <v/>
      </c>
      <c r="Y35" s="6">
        <f>IF($B35="",0,SUMIFS(UCRETLER!$K$7:$K$406,UCRETLER!$B$7:$B$406,$B35))</f>
        <v/>
      </c>
      <c r="Z35" s="3">
        <f>IF($B35="",0,SUMIFS(UCRETLER!$L$7:$L$406,UCRETLER!$B$7:$B$406,$B35))</f>
        <v/>
      </c>
      <c r="AA35" s="3">
        <f>IF($B35="",0,MAX(0,$I35-$F35))</f>
        <v/>
      </c>
      <c r="AB35" s="3">
        <f>IF($B35="",0,MAX(0,$F35-$I35))</f>
        <v/>
      </c>
      <c r="AC35" s="3">
        <f>IF($B35="",0,MAX(0,$X35-$AA35))</f>
        <v/>
      </c>
      <c r="AD35" s="3">
        <f>IF($B35="",0,MAX(0,$Y35-$AA35))</f>
        <v/>
      </c>
      <c r="AE35" s="3">
        <f>IF($B35="",0,MAX(0,$Z35-$AA35))</f>
        <v/>
      </c>
      <c r="AF35" s="3">
        <f>IFERROR(MATCH(ROW()-6,MUSTERILER!$U$7:$U$106,0),"")</f>
        <v/>
      </c>
      <c r="AG35" s="3">
        <f>IF($B35="",0,SUMIFS(GELIR_GIDER!$G$7:$G$1206,GELIR_GIDER!$T$7:$T$1206,$B35))</f>
        <v/>
      </c>
    </row>
    <row r="36">
      <c r="A36" s="6" t="n"/>
      <c r="B36" s="113">
        <f>IF($AF36="","",INDEX(MUSTERILER!$B$7:$B$106,$AF36))</f>
        <v/>
      </c>
      <c r="C36" s="121">
        <f>IF($AF36="","",INDEX(MUSTERILER!$C$7:$C$106,$AF36))</f>
        <v/>
      </c>
      <c r="D36" s="222">
        <f>IF($B36="","",SUMIFS(UCRETLER!$G$7:$G$406,UCRETLER!$B$7:$B$406,$B36,UCRETLER!$F$7:$F$406,"Haftalık",UCRETLER!$H$7:$H$406,"Aktif"))</f>
        <v/>
      </c>
      <c r="E36" s="222">
        <f>IF($B36="","",SUMIFS(UCRETLER!$G$7:$G$406,UCRETLER!$B$7:$B$406,$B36,UCRETLER!$F$7:$F$406,"Aylık",UCRETLER!$H$7:$H$406,"Aktif"))</f>
        <v/>
      </c>
      <c r="F36" s="222">
        <f>IF($B36="","",SUMIFS(MUSTERILER!$J$7:$J$106,MUSTERILER!$B$7:$B$106,$B36))</f>
        <v/>
      </c>
      <c r="G36" s="222">
        <f>IF($B36="","",SUMIFS(UCRETLER!$I$7:$I$406,UCRETLER!$B$7:$B$406,$B36)+SUMIFS(GELIR_GIDER!$G$7:$G$1206,GELIR_GIDER!$T$7:$T$1206,$B36))</f>
        <v/>
      </c>
      <c r="H36" s="222">
        <f>IF($B36="","",$F36+$G36)</f>
        <v/>
      </c>
      <c r="I36" s="222">
        <f>IF($B36="","",SUMIFS(TAHSILAT!$F$7:$F$1506,TAHSILAT!$C$7:$C$1506,$B36))</f>
        <v/>
      </c>
      <c r="J36" s="222">
        <f>IF($B36="","",MAX(0,$H36-$I36))</f>
        <v/>
      </c>
      <c r="K36" s="222">
        <f>IF($B36="","",MAX(0,$J36-$L36-$M36-$N36))</f>
        <v/>
      </c>
      <c r="L36" s="222">
        <f>IF($B36="","",($AC36-$AD36)+IF(AND($AB36&gt;0,$T36&lt;&gt;"",$U36&gt;=8,$U36&lt;15),$AB36,0))</f>
        <v/>
      </c>
      <c r="M36" s="222">
        <f>IF($B36="","",($AD36-$AE36)+IF(AND($AB36&gt;0,$T36&lt;&gt;"",$U36&gt;=15,$U36&lt;29),$AB36,0))</f>
        <v/>
      </c>
      <c r="N36" s="222">
        <f>IF($B36="","",$AE36+IF(AND($AB36&gt;0,OR($T36="",$U36&gt;=29)),$AB36,0))</f>
        <v/>
      </c>
      <c r="O36" s="229">
        <f>IF($B36="","",IFERROR($I36/$H36,0))</f>
        <v/>
      </c>
      <c r="P36" s="224">
        <f>IF($B36="","",IFERROR(LOOKUP(2,1/(TAHSILAT!$C$7:$C$1506=$B36),TAHSILAT!$E$7:$E$1506),""))</f>
        <v/>
      </c>
      <c r="Q36" s="113">
        <f>IF($B36="","",IF($N36&gt;0,"KRİTİK",IF($M36&gt;0,"YÜKSEK",IF($L36&gt;0,"ORTA",IF($J36&gt;0,"İZLE","TEMİZ")))))</f>
        <v/>
      </c>
      <c r="R36" s="121">
        <f>IF($B36="","",IF($Q36="KRİTİK","Acil tahsilat görüşmesi ve cari mutabakat",IF($Q36="YÜKSEK","Bu hafta tahsilat takibi",IF($Q36="ORTA","Hatırlatma mesajı gönder",IF($Q36="İZLE","Normal takip","Aksiyon gerekmiyor")))))</f>
        <v/>
      </c>
      <c r="S36" s="227">
        <f>IF($B36="","",COUNTIFS(AKTIVITE!$D$7:$D$1006,$B36,AKTIVITE!$J$7:$J$1006,"&lt;&gt;Tamamlandı"))</f>
        <v/>
      </c>
      <c r="T36" s="224">
        <f>IF(OR($B36="",$AF36=""),"",IF(INDEX(MUSTERILER!$K$7:$K$106,$AF36)="","",INDEX(MUSTERILER!$K$7:$K$106,$AF36)))</f>
        <v/>
      </c>
      <c r="U36" s="227">
        <f>IF(OR($B36="",$T36=""),"",TODAY()-$T36)</f>
        <v/>
      </c>
      <c r="V36" s="222">
        <f>IF($B36="","",MAX(0,$I36-$H36))</f>
        <v/>
      </c>
      <c r="W36" s="113">
        <f>IF($B36="","",IF(AND(ABS($J36-($K36+$L36+$M36+$N36))&lt;0.01,ABS(($J36-$V36)-($H36-$I36))&lt;0.01),"UYGUN","İNCELE"))</f>
        <v/>
      </c>
      <c r="X36" s="6">
        <f>IF($B36="",0,SUMIFS(UCRETLER!$J$7:$J$406,UCRETLER!$B$7:$B$406,$B36))</f>
        <v/>
      </c>
      <c r="Y36" s="6">
        <f>IF($B36="",0,SUMIFS(UCRETLER!$K$7:$K$406,UCRETLER!$B$7:$B$406,$B36))</f>
        <v/>
      </c>
      <c r="Z36" s="3">
        <f>IF($B36="",0,SUMIFS(UCRETLER!$L$7:$L$406,UCRETLER!$B$7:$B$406,$B36))</f>
        <v/>
      </c>
      <c r="AA36" s="3">
        <f>IF($B36="",0,MAX(0,$I36-$F36))</f>
        <v/>
      </c>
      <c r="AB36" s="3">
        <f>IF($B36="",0,MAX(0,$F36-$I36))</f>
        <v/>
      </c>
      <c r="AC36" s="3">
        <f>IF($B36="",0,MAX(0,$X36-$AA36))</f>
        <v/>
      </c>
      <c r="AD36" s="3">
        <f>IF($B36="",0,MAX(0,$Y36-$AA36))</f>
        <v/>
      </c>
      <c r="AE36" s="3">
        <f>IF($B36="",0,MAX(0,$Z36-$AA36))</f>
        <v/>
      </c>
      <c r="AF36" s="3">
        <f>IFERROR(MATCH(ROW()-6,MUSTERILER!$U$7:$U$106,0),"")</f>
        <v/>
      </c>
      <c r="AG36" s="3">
        <f>IF($B36="",0,SUMIFS(GELIR_GIDER!$G$7:$G$1206,GELIR_GIDER!$T$7:$T$1206,$B36))</f>
        <v/>
      </c>
    </row>
    <row r="37">
      <c r="A37" s="6" t="n"/>
      <c r="B37" s="113">
        <f>IF($AF37="","",INDEX(MUSTERILER!$B$7:$B$106,$AF37))</f>
        <v/>
      </c>
      <c r="C37" s="121">
        <f>IF($AF37="","",INDEX(MUSTERILER!$C$7:$C$106,$AF37))</f>
        <v/>
      </c>
      <c r="D37" s="222">
        <f>IF($B37="","",SUMIFS(UCRETLER!$G$7:$G$406,UCRETLER!$B$7:$B$406,$B37,UCRETLER!$F$7:$F$406,"Haftalık",UCRETLER!$H$7:$H$406,"Aktif"))</f>
        <v/>
      </c>
      <c r="E37" s="222">
        <f>IF($B37="","",SUMIFS(UCRETLER!$G$7:$G$406,UCRETLER!$B$7:$B$406,$B37,UCRETLER!$F$7:$F$406,"Aylık",UCRETLER!$H$7:$H$406,"Aktif"))</f>
        <v/>
      </c>
      <c r="F37" s="222">
        <f>IF($B37="","",SUMIFS(MUSTERILER!$J$7:$J$106,MUSTERILER!$B$7:$B$106,$B37))</f>
        <v/>
      </c>
      <c r="G37" s="222">
        <f>IF($B37="","",SUMIFS(UCRETLER!$I$7:$I$406,UCRETLER!$B$7:$B$406,$B37)+SUMIFS(GELIR_GIDER!$G$7:$G$1206,GELIR_GIDER!$T$7:$T$1206,$B37))</f>
        <v/>
      </c>
      <c r="H37" s="222">
        <f>IF($B37="","",$F37+$G37)</f>
        <v/>
      </c>
      <c r="I37" s="222">
        <f>IF($B37="","",SUMIFS(TAHSILAT!$F$7:$F$1506,TAHSILAT!$C$7:$C$1506,$B37))</f>
        <v/>
      </c>
      <c r="J37" s="222">
        <f>IF($B37="","",MAX(0,$H37-$I37))</f>
        <v/>
      </c>
      <c r="K37" s="222">
        <f>IF($B37="","",MAX(0,$J37-$L37-$M37-$N37))</f>
        <v/>
      </c>
      <c r="L37" s="222">
        <f>IF($B37="","",($AC37-$AD37)+IF(AND($AB37&gt;0,$T37&lt;&gt;"",$U37&gt;=8,$U37&lt;15),$AB37,0))</f>
        <v/>
      </c>
      <c r="M37" s="222">
        <f>IF($B37="","",($AD37-$AE37)+IF(AND($AB37&gt;0,$T37&lt;&gt;"",$U37&gt;=15,$U37&lt;29),$AB37,0))</f>
        <v/>
      </c>
      <c r="N37" s="222">
        <f>IF($B37="","",$AE37+IF(AND($AB37&gt;0,OR($T37="",$U37&gt;=29)),$AB37,0))</f>
        <v/>
      </c>
      <c r="O37" s="229">
        <f>IF($B37="","",IFERROR($I37/$H37,0))</f>
        <v/>
      </c>
      <c r="P37" s="224">
        <f>IF($B37="","",IFERROR(LOOKUP(2,1/(TAHSILAT!$C$7:$C$1506=$B37),TAHSILAT!$E$7:$E$1506),""))</f>
        <v/>
      </c>
      <c r="Q37" s="113">
        <f>IF($B37="","",IF($N37&gt;0,"KRİTİK",IF($M37&gt;0,"YÜKSEK",IF($L37&gt;0,"ORTA",IF($J37&gt;0,"İZLE","TEMİZ")))))</f>
        <v/>
      </c>
      <c r="R37" s="121">
        <f>IF($B37="","",IF($Q37="KRİTİK","Acil tahsilat görüşmesi ve cari mutabakat",IF($Q37="YÜKSEK","Bu hafta tahsilat takibi",IF($Q37="ORTA","Hatırlatma mesajı gönder",IF($Q37="İZLE","Normal takip","Aksiyon gerekmiyor")))))</f>
        <v/>
      </c>
      <c r="S37" s="227">
        <f>IF($B37="","",COUNTIFS(AKTIVITE!$D$7:$D$1006,$B37,AKTIVITE!$J$7:$J$1006,"&lt;&gt;Tamamlandı"))</f>
        <v/>
      </c>
      <c r="T37" s="224">
        <f>IF(OR($B37="",$AF37=""),"",IF(INDEX(MUSTERILER!$K$7:$K$106,$AF37)="","",INDEX(MUSTERILER!$K$7:$K$106,$AF37)))</f>
        <v/>
      </c>
      <c r="U37" s="227">
        <f>IF(OR($B37="",$T37=""),"",TODAY()-$T37)</f>
        <v/>
      </c>
      <c r="V37" s="222">
        <f>IF($B37="","",MAX(0,$I37-$H37))</f>
        <v/>
      </c>
      <c r="W37" s="113">
        <f>IF($B37="","",IF(AND(ABS($J37-($K37+$L37+$M37+$N37))&lt;0.01,ABS(($J37-$V37)-($H37-$I37))&lt;0.01),"UYGUN","İNCELE"))</f>
        <v/>
      </c>
      <c r="X37" s="6">
        <f>IF($B37="",0,SUMIFS(UCRETLER!$J$7:$J$406,UCRETLER!$B$7:$B$406,$B37))</f>
        <v/>
      </c>
      <c r="Y37" s="6">
        <f>IF($B37="",0,SUMIFS(UCRETLER!$K$7:$K$406,UCRETLER!$B$7:$B$406,$B37))</f>
        <v/>
      </c>
      <c r="Z37" s="3">
        <f>IF($B37="",0,SUMIFS(UCRETLER!$L$7:$L$406,UCRETLER!$B$7:$B$406,$B37))</f>
        <v/>
      </c>
      <c r="AA37" s="3">
        <f>IF($B37="",0,MAX(0,$I37-$F37))</f>
        <v/>
      </c>
      <c r="AB37" s="3">
        <f>IF($B37="",0,MAX(0,$F37-$I37))</f>
        <v/>
      </c>
      <c r="AC37" s="3">
        <f>IF($B37="",0,MAX(0,$X37-$AA37))</f>
        <v/>
      </c>
      <c r="AD37" s="3">
        <f>IF($B37="",0,MAX(0,$Y37-$AA37))</f>
        <v/>
      </c>
      <c r="AE37" s="3">
        <f>IF($B37="",0,MAX(0,$Z37-$AA37))</f>
        <v/>
      </c>
      <c r="AF37" s="3">
        <f>IFERROR(MATCH(ROW()-6,MUSTERILER!$U$7:$U$106,0),"")</f>
        <v/>
      </c>
      <c r="AG37" s="3">
        <f>IF($B37="",0,SUMIFS(GELIR_GIDER!$G$7:$G$1206,GELIR_GIDER!$T$7:$T$1206,$B37))</f>
        <v/>
      </c>
    </row>
    <row r="38">
      <c r="A38" s="6" t="n"/>
      <c r="B38" s="113">
        <f>IF($AF38="","",INDEX(MUSTERILER!$B$7:$B$106,$AF38))</f>
        <v/>
      </c>
      <c r="C38" s="121">
        <f>IF($AF38="","",INDEX(MUSTERILER!$C$7:$C$106,$AF38))</f>
        <v/>
      </c>
      <c r="D38" s="222">
        <f>IF($B38="","",SUMIFS(UCRETLER!$G$7:$G$406,UCRETLER!$B$7:$B$406,$B38,UCRETLER!$F$7:$F$406,"Haftalık",UCRETLER!$H$7:$H$406,"Aktif"))</f>
        <v/>
      </c>
      <c r="E38" s="222">
        <f>IF($B38="","",SUMIFS(UCRETLER!$G$7:$G$406,UCRETLER!$B$7:$B$406,$B38,UCRETLER!$F$7:$F$406,"Aylık",UCRETLER!$H$7:$H$406,"Aktif"))</f>
        <v/>
      </c>
      <c r="F38" s="222">
        <f>IF($B38="","",SUMIFS(MUSTERILER!$J$7:$J$106,MUSTERILER!$B$7:$B$106,$B38))</f>
        <v/>
      </c>
      <c r="G38" s="222">
        <f>IF($B38="","",SUMIFS(UCRETLER!$I$7:$I$406,UCRETLER!$B$7:$B$406,$B38)+SUMIFS(GELIR_GIDER!$G$7:$G$1206,GELIR_GIDER!$T$7:$T$1206,$B38))</f>
        <v/>
      </c>
      <c r="H38" s="222">
        <f>IF($B38="","",$F38+$G38)</f>
        <v/>
      </c>
      <c r="I38" s="222">
        <f>IF($B38="","",SUMIFS(TAHSILAT!$F$7:$F$1506,TAHSILAT!$C$7:$C$1506,$B38))</f>
        <v/>
      </c>
      <c r="J38" s="222">
        <f>IF($B38="","",MAX(0,$H38-$I38))</f>
        <v/>
      </c>
      <c r="K38" s="222">
        <f>IF($B38="","",MAX(0,$J38-$L38-$M38-$N38))</f>
        <v/>
      </c>
      <c r="L38" s="222">
        <f>IF($B38="","",($AC38-$AD38)+IF(AND($AB38&gt;0,$T38&lt;&gt;"",$U38&gt;=8,$U38&lt;15),$AB38,0))</f>
        <v/>
      </c>
      <c r="M38" s="222">
        <f>IF($B38="","",($AD38-$AE38)+IF(AND($AB38&gt;0,$T38&lt;&gt;"",$U38&gt;=15,$U38&lt;29),$AB38,0))</f>
        <v/>
      </c>
      <c r="N38" s="222">
        <f>IF($B38="","",$AE38+IF(AND($AB38&gt;0,OR($T38="",$U38&gt;=29)),$AB38,0))</f>
        <v/>
      </c>
      <c r="O38" s="229">
        <f>IF($B38="","",IFERROR($I38/$H38,0))</f>
        <v/>
      </c>
      <c r="P38" s="224">
        <f>IF($B38="","",IFERROR(LOOKUP(2,1/(TAHSILAT!$C$7:$C$1506=$B38),TAHSILAT!$E$7:$E$1506),""))</f>
        <v/>
      </c>
      <c r="Q38" s="113">
        <f>IF($B38="","",IF($N38&gt;0,"KRİTİK",IF($M38&gt;0,"YÜKSEK",IF($L38&gt;0,"ORTA",IF($J38&gt;0,"İZLE","TEMİZ")))))</f>
        <v/>
      </c>
      <c r="R38" s="121">
        <f>IF($B38="","",IF($Q38="KRİTİK","Acil tahsilat görüşmesi ve cari mutabakat",IF($Q38="YÜKSEK","Bu hafta tahsilat takibi",IF($Q38="ORTA","Hatırlatma mesajı gönder",IF($Q38="İZLE","Normal takip","Aksiyon gerekmiyor")))))</f>
        <v/>
      </c>
      <c r="S38" s="227">
        <f>IF($B38="","",COUNTIFS(AKTIVITE!$D$7:$D$1006,$B38,AKTIVITE!$J$7:$J$1006,"&lt;&gt;Tamamlandı"))</f>
        <v/>
      </c>
      <c r="T38" s="224">
        <f>IF(OR($B38="",$AF38=""),"",IF(INDEX(MUSTERILER!$K$7:$K$106,$AF38)="","",INDEX(MUSTERILER!$K$7:$K$106,$AF38)))</f>
        <v/>
      </c>
      <c r="U38" s="227">
        <f>IF(OR($B38="",$T38=""),"",TODAY()-$T38)</f>
        <v/>
      </c>
      <c r="V38" s="222">
        <f>IF($B38="","",MAX(0,$I38-$H38))</f>
        <v/>
      </c>
      <c r="W38" s="113">
        <f>IF($B38="","",IF(AND(ABS($J38-($K38+$L38+$M38+$N38))&lt;0.01,ABS(($J38-$V38)-($H38-$I38))&lt;0.01),"UYGUN","İNCELE"))</f>
        <v/>
      </c>
      <c r="X38" s="6">
        <f>IF($B38="",0,SUMIFS(UCRETLER!$J$7:$J$406,UCRETLER!$B$7:$B$406,$B38))</f>
        <v/>
      </c>
      <c r="Y38" s="6">
        <f>IF($B38="",0,SUMIFS(UCRETLER!$K$7:$K$406,UCRETLER!$B$7:$B$406,$B38))</f>
        <v/>
      </c>
      <c r="Z38" s="3">
        <f>IF($B38="",0,SUMIFS(UCRETLER!$L$7:$L$406,UCRETLER!$B$7:$B$406,$B38))</f>
        <v/>
      </c>
      <c r="AA38" s="3">
        <f>IF($B38="",0,MAX(0,$I38-$F38))</f>
        <v/>
      </c>
      <c r="AB38" s="3">
        <f>IF($B38="",0,MAX(0,$F38-$I38))</f>
        <v/>
      </c>
      <c r="AC38" s="3">
        <f>IF($B38="",0,MAX(0,$X38-$AA38))</f>
        <v/>
      </c>
      <c r="AD38" s="3">
        <f>IF($B38="",0,MAX(0,$Y38-$AA38))</f>
        <v/>
      </c>
      <c r="AE38" s="3">
        <f>IF($B38="",0,MAX(0,$Z38-$AA38))</f>
        <v/>
      </c>
      <c r="AF38" s="3">
        <f>IFERROR(MATCH(ROW()-6,MUSTERILER!$U$7:$U$106,0),"")</f>
        <v/>
      </c>
      <c r="AG38" s="3">
        <f>IF($B38="",0,SUMIFS(GELIR_GIDER!$G$7:$G$1206,GELIR_GIDER!$T$7:$T$1206,$B38))</f>
        <v/>
      </c>
    </row>
    <row r="39">
      <c r="A39" s="6" t="n"/>
      <c r="B39" s="113">
        <f>IF($AF39="","",INDEX(MUSTERILER!$B$7:$B$106,$AF39))</f>
        <v/>
      </c>
      <c r="C39" s="121">
        <f>IF($AF39="","",INDEX(MUSTERILER!$C$7:$C$106,$AF39))</f>
        <v/>
      </c>
      <c r="D39" s="222">
        <f>IF($B39="","",SUMIFS(UCRETLER!$G$7:$G$406,UCRETLER!$B$7:$B$406,$B39,UCRETLER!$F$7:$F$406,"Haftalık",UCRETLER!$H$7:$H$406,"Aktif"))</f>
        <v/>
      </c>
      <c r="E39" s="222">
        <f>IF($B39="","",SUMIFS(UCRETLER!$G$7:$G$406,UCRETLER!$B$7:$B$406,$B39,UCRETLER!$F$7:$F$406,"Aylık",UCRETLER!$H$7:$H$406,"Aktif"))</f>
        <v/>
      </c>
      <c r="F39" s="222">
        <f>IF($B39="","",SUMIFS(MUSTERILER!$J$7:$J$106,MUSTERILER!$B$7:$B$106,$B39))</f>
        <v/>
      </c>
      <c r="G39" s="222">
        <f>IF($B39="","",SUMIFS(UCRETLER!$I$7:$I$406,UCRETLER!$B$7:$B$406,$B39)+SUMIFS(GELIR_GIDER!$G$7:$G$1206,GELIR_GIDER!$T$7:$T$1206,$B39))</f>
        <v/>
      </c>
      <c r="H39" s="222">
        <f>IF($B39="","",$F39+$G39)</f>
        <v/>
      </c>
      <c r="I39" s="222">
        <f>IF($B39="","",SUMIFS(TAHSILAT!$F$7:$F$1506,TAHSILAT!$C$7:$C$1506,$B39))</f>
        <v/>
      </c>
      <c r="J39" s="222">
        <f>IF($B39="","",MAX(0,$H39-$I39))</f>
        <v/>
      </c>
      <c r="K39" s="222">
        <f>IF($B39="","",MAX(0,$J39-$L39-$M39-$N39))</f>
        <v/>
      </c>
      <c r="L39" s="222">
        <f>IF($B39="","",($AC39-$AD39)+IF(AND($AB39&gt;0,$T39&lt;&gt;"",$U39&gt;=8,$U39&lt;15),$AB39,0))</f>
        <v/>
      </c>
      <c r="M39" s="222">
        <f>IF($B39="","",($AD39-$AE39)+IF(AND($AB39&gt;0,$T39&lt;&gt;"",$U39&gt;=15,$U39&lt;29),$AB39,0))</f>
        <v/>
      </c>
      <c r="N39" s="222">
        <f>IF($B39="","",$AE39+IF(AND($AB39&gt;0,OR($T39="",$U39&gt;=29)),$AB39,0))</f>
        <v/>
      </c>
      <c r="O39" s="229">
        <f>IF($B39="","",IFERROR($I39/$H39,0))</f>
        <v/>
      </c>
      <c r="P39" s="224">
        <f>IF($B39="","",IFERROR(LOOKUP(2,1/(TAHSILAT!$C$7:$C$1506=$B39),TAHSILAT!$E$7:$E$1506),""))</f>
        <v/>
      </c>
      <c r="Q39" s="113">
        <f>IF($B39="","",IF($N39&gt;0,"KRİTİK",IF($M39&gt;0,"YÜKSEK",IF($L39&gt;0,"ORTA",IF($J39&gt;0,"İZLE","TEMİZ")))))</f>
        <v/>
      </c>
      <c r="R39" s="121">
        <f>IF($B39="","",IF($Q39="KRİTİK","Acil tahsilat görüşmesi ve cari mutabakat",IF($Q39="YÜKSEK","Bu hafta tahsilat takibi",IF($Q39="ORTA","Hatırlatma mesajı gönder",IF($Q39="İZLE","Normal takip","Aksiyon gerekmiyor")))))</f>
        <v/>
      </c>
      <c r="S39" s="227">
        <f>IF($B39="","",COUNTIFS(AKTIVITE!$D$7:$D$1006,$B39,AKTIVITE!$J$7:$J$1006,"&lt;&gt;Tamamlandı"))</f>
        <v/>
      </c>
      <c r="T39" s="224">
        <f>IF(OR($B39="",$AF39=""),"",IF(INDEX(MUSTERILER!$K$7:$K$106,$AF39)="","",INDEX(MUSTERILER!$K$7:$K$106,$AF39)))</f>
        <v/>
      </c>
      <c r="U39" s="227">
        <f>IF(OR($B39="",$T39=""),"",TODAY()-$T39)</f>
        <v/>
      </c>
      <c r="V39" s="222">
        <f>IF($B39="","",MAX(0,$I39-$H39))</f>
        <v/>
      </c>
      <c r="W39" s="113">
        <f>IF($B39="","",IF(AND(ABS($J39-($K39+$L39+$M39+$N39))&lt;0.01,ABS(($J39-$V39)-($H39-$I39))&lt;0.01),"UYGUN","İNCELE"))</f>
        <v/>
      </c>
      <c r="X39" s="6">
        <f>IF($B39="",0,SUMIFS(UCRETLER!$J$7:$J$406,UCRETLER!$B$7:$B$406,$B39))</f>
        <v/>
      </c>
      <c r="Y39" s="6">
        <f>IF($B39="",0,SUMIFS(UCRETLER!$K$7:$K$406,UCRETLER!$B$7:$B$406,$B39))</f>
        <v/>
      </c>
      <c r="Z39" s="3">
        <f>IF($B39="",0,SUMIFS(UCRETLER!$L$7:$L$406,UCRETLER!$B$7:$B$406,$B39))</f>
        <v/>
      </c>
      <c r="AA39" s="3">
        <f>IF($B39="",0,MAX(0,$I39-$F39))</f>
        <v/>
      </c>
      <c r="AB39" s="3">
        <f>IF($B39="",0,MAX(0,$F39-$I39))</f>
        <v/>
      </c>
      <c r="AC39" s="3">
        <f>IF($B39="",0,MAX(0,$X39-$AA39))</f>
        <v/>
      </c>
      <c r="AD39" s="3">
        <f>IF($B39="",0,MAX(0,$Y39-$AA39))</f>
        <v/>
      </c>
      <c r="AE39" s="3">
        <f>IF($B39="",0,MAX(0,$Z39-$AA39))</f>
        <v/>
      </c>
      <c r="AF39" s="3">
        <f>IFERROR(MATCH(ROW()-6,MUSTERILER!$U$7:$U$106,0),"")</f>
        <v/>
      </c>
      <c r="AG39" s="3">
        <f>IF($B39="",0,SUMIFS(GELIR_GIDER!$G$7:$G$1206,GELIR_GIDER!$T$7:$T$1206,$B39))</f>
        <v/>
      </c>
    </row>
    <row r="40">
      <c r="A40" s="6" t="n"/>
      <c r="B40" s="113">
        <f>IF($AF40="","",INDEX(MUSTERILER!$B$7:$B$106,$AF40))</f>
        <v/>
      </c>
      <c r="C40" s="121">
        <f>IF($AF40="","",INDEX(MUSTERILER!$C$7:$C$106,$AF40))</f>
        <v/>
      </c>
      <c r="D40" s="222">
        <f>IF($B40="","",SUMIFS(UCRETLER!$G$7:$G$406,UCRETLER!$B$7:$B$406,$B40,UCRETLER!$F$7:$F$406,"Haftalık",UCRETLER!$H$7:$H$406,"Aktif"))</f>
        <v/>
      </c>
      <c r="E40" s="222">
        <f>IF($B40="","",SUMIFS(UCRETLER!$G$7:$G$406,UCRETLER!$B$7:$B$406,$B40,UCRETLER!$F$7:$F$406,"Aylık",UCRETLER!$H$7:$H$406,"Aktif"))</f>
        <v/>
      </c>
      <c r="F40" s="222">
        <f>IF($B40="","",SUMIFS(MUSTERILER!$J$7:$J$106,MUSTERILER!$B$7:$B$106,$B40))</f>
        <v/>
      </c>
      <c r="G40" s="222">
        <f>IF($B40="","",SUMIFS(UCRETLER!$I$7:$I$406,UCRETLER!$B$7:$B$406,$B40)+SUMIFS(GELIR_GIDER!$G$7:$G$1206,GELIR_GIDER!$T$7:$T$1206,$B40))</f>
        <v/>
      </c>
      <c r="H40" s="222">
        <f>IF($B40="","",$F40+$G40)</f>
        <v/>
      </c>
      <c r="I40" s="222">
        <f>IF($B40="","",SUMIFS(TAHSILAT!$F$7:$F$1506,TAHSILAT!$C$7:$C$1506,$B40))</f>
        <v/>
      </c>
      <c r="J40" s="222">
        <f>IF($B40="","",MAX(0,$H40-$I40))</f>
        <v/>
      </c>
      <c r="K40" s="222">
        <f>IF($B40="","",MAX(0,$J40-$L40-$M40-$N40))</f>
        <v/>
      </c>
      <c r="L40" s="222">
        <f>IF($B40="","",($AC40-$AD40)+IF(AND($AB40&gt;0,$T40&lt;&gt;"",$U40&gt;=8,$U40&lt;15),$AB40,0))</f>
        <v/>
      </c>
      <c r="M40" s="222">
        <f>IF($B40="","",($AD40-$AE40)+IF(AND($AB40&gt;0,$T40&lt;&gt;"",$U40&gt;=15,$U40&lt;29),$AB40,0))</f>
        <v/>
      </c>
      <c r="N40" s="222">
        <f>IF($B40="","",$AE40+IF(AND($AB40&gt;0,OR($T40="",$U40&gt;=29)),$AB40,0))</f>
        <v/>
      </c>
      <c r="O40" s="229">
        <f>IF($B40="","",IFERROR($I40/$H40,0))</f>
        <v/>
      </c>
      <c r="P40" s="224">
        <f>IF($B40="","",IFERROR(LOOKUP(2,1/(TAHSILAT!$C$7:$C$1506=$B40),TAHSILAT!$E$7:$E$1506),""))</f>
        <v/>
      </c>
      <c r="Q40" s="113">
        <f>IF($B40="","",IF($N40&gt;0,"KRİTİK",IF($M40&gt;0,"YÜKSEK",IF($L40&gt;0,"ORTA",IF($J40&gt;0,"İZLE","TEMİZ")))))</f>
        <v/>
      </c>
      <c r="R40" s="121">
        <f>IF($B40="","",IF($Q40="KRİTİK","Acil tahsilat görüşmesi ve cari mutabakat",IF($Q40="YÜKSEK","Bu hafta tahsilat takibi",IF($Q40="ORTA","Hatırlatma mesajı gönder",IF($Q40="İZLE","Normal takip","Aksiyon gerekmiyor")))))</f>
        <v/>
      </c>
      <c r="S40" s="227">
        <f>IF($B40="","",COUNTIFS(AKTIVITE!$D$7:$D$1006,$B40,AKTIVITE!$J$7:$J$1006,"&lt;&gt;Tamamlandı"))</f>
        <v/>
      </c>
      <c r="T40" s="224">
        <f>IF(OR($B40="",$AF40=""),"",IF(INDEX(MUSTERILER!$K$7:$K$106,$AF40)="","",INDEX(MUSTERILER!$K$7:$K$106,$AF40)))</f>
        <v/>
      </c>
      <c r="U40" s="227">
        <f>IF(OR($B40="",$T40=""),"",TODAY()-$T40)</f>
        <v/>
      </c>
      <c r="V40" s="222">
        <f>IF($B40="","",MAX(0,$I40-$H40))</f>
        <v/>
      </c>
      <c r="W40" s="113">
        <f>IF($B40="","",IF(AND(ABS($J40-($K40+$L40+$M40+$N40))&lt;0.01,ABS(($J40-$V40)-($H40-$I40))&lt;0.01),"UYGUN","İNCELE"))</f>
        <v/>
      </c>
      <c r="X40" s="6">
        <f>IF($B40="",0,SUMIFS(UCRETLER!$J$7:$J$406,UCRETLER!$B$7:$B$406,$B40))</f>
        <v/>
      </c>
      <c r="Y40" s="6">
        <f>IF($B40="",0,SUMIFS(UCRETLER!$K$7:$K$406,UCRETLER!$B$7:$B$406,$B40))</f>
        <v/>
      </c>
      <c r="Z40" s="3">
        <f>IF($B40="",0,SUMIFS(UCRETLER!$L$7:$L$406,UCRETLER!$B$7:$B$406,$B40))</f>
        <v/>
      </c>
      <c r="AA40" s="3">
        <f>IF($B40="",0,MAX(0,$I40-$F40))</f>
        <v/>
      </c>
      <c r="AB40" s="3">
        <f>IF($B40="",0,MAX(0,$F40-$I40))</f>
        <v/>
      </c>
      <c r="AC40" s="3">
        <f>IF($B40="",0,MAX(0,$X40-$AA40))</f>
        <v/>
      </c>
      <c r="AD40" s="3">
        <f>IF($B40="",0,MAX(0,$Y40-$AA40))</f>
        <v/>
      </c>
      <c r="AE40" s="3">
        <f>IF($B40="",0,MAX(0,$Z40-$AA40))</f>
        <v/>
      </c>
      <c r="AF40" s="3">
        <f>IFERROR(MATCH(ROW()-6,MUSTERILER!$U$7:$U$106,0),"")</f>
        <v/>
      </c>
      <c r="AG40" s="3">
        <f>IF($B40="",0,SUMIFS(GELIR_GIDER!$G$7:$G$1206,GELIR_GIDER!$T$7:$T$1206,$B40))</f>
        <v/>
      </c>
    </row>
    <row r="41">
      <c r="A41" s="6" t="n"/>
      <c r="B41" s="113">
        <f>IF($AF41="","",INDEX(MUSTERILER!$B$7:$B$106,$AF41))</f>
        <v/>
      </c>
      <c r="C41" s="121">
        <f>IF($AF41="","",INDEX(MUSTERILER!$C$7:$C$106,$AF41))</f>
        <v/>
      </c>
      <c r="D41" s="222">
        <f>IF($B41="","",SUMIFS(UCRETLER!$G$7:$G$406,UCRETLER!$B$7:$B$406,$B41,UCRETLER!$F$7:$F$406,"Haftalık",UCRETLER!$H$7:$H$406,"Aktif"))</f>
        <v/>
      </c>
      <c r="E41" s="222">
        <f>IF($B41="","",SUMIFS(UCRETLER!$G$7:$G$406,UCRETLER!$B$7:$B$406,$B41,UCRETLER!$F$7:$F$406,"Aylık",UCRETLER!$H$7:$H$406,"Aktif"))</f>
        <v/>
      </c>
      <c r="F41" s="222">
        <f>IF($B41="","",SUMIFS(MUSTERILER!$J$7:$J$106,MUSTERILER!$B$7:$B$106,$B41))</f>
        <v/>
      </c>
      <c r="G41" s="222">
        <f>IF($B41="","",SUMIFS(UCRETLER!$I$7:$I$406,UCRETLER!$B$7:$B$406,$B41)+SUMIFS(GELIR_GIDER!$G$7:$G$1206,GELIR_GIDER!$T$7:$T$1206,$B41))</f>
        <v/>
      </c>
      <c r="H41" s="222">
        <f>IF($B41="","",$F41+$G41)</f>
        <v/>
      </c>
      <c r="I41" s="222">
        <f>IF($B41="","",SUMIFS(TAHSILAT!$F$7:$F$1506,TAHSILAT!$C$7:$C$1506,$B41))</f>
        <v/>
      </c>
      <c r="J41" s="222">
        <f>IF($B41="","",MAX(0,$H41-$I41))</f>
        <v/>
      </c>
      <c r="K41" s="222">
        <f>IF($B41="","",MAX(0,$J41-$L41-$M41-$N41))</f>
        <v/>
      </c>
      <c r="L41" s="222">
        <f>IF($B41="","",($AC41-$AD41)+IF(AND($AB41&gt;0,$T41&lt;&gt;"",$U41&gt;=8,$U41&lt;15),$AB41,0))</f>
        <v/>
      </c>
      <c r="M41" s="222">
        <f>IF($B41="","",($AD41-$AE41)+IF(AND($AB41&gt;0,$T41&lt;&gt;"",$U41&gt;=15,$U41&lt;29),$AB41,0))</f>
        <v/>
      </c>
      <c r="N41" s="222">
        <f>IF($B41="","",$AE41+IF(AND($AB41&gt;0,OR($T41="",$U41&gt;=29)),$AB41,0))</f>
        <v/>
      </c>
      <c r="O41" s="229">
        <f>IF($B41="","",IFERROR($I41/$H41,0))</f>
        <v/>
      </c>
      <c r="P41" s="224">
        <f>IF($B41="","",IFERROR(LOOKUP(2,1/(TAHSILAT!$C$7:$C$1506=$B41),TAHSILAT!$E$7:$E$1506),""))</f>
        <v/>
      </c>
      <c r="Q41" s="113">
        <f>IF($B41="","",IF($N41&gt;0,"KRİTİK",IF($M41&gt;0,"YÜKSEK",IF($L41&gt;0,"ORTA",IF($J41&gt;0,"İZLE","TEMİZ")))))</f>
        <v/>
      </c>
      <c r="R41" s="121">
        <f>IF($B41="","",IF($Q41="KRİTİK","Acil tahsilat görüşmesi ve cari mutabakat",IF($Q41="YÜKSEK","Bu hafta tahsilat takibi",IF($Q41="ORTA","Hatırlatma mesajı gönder",IF($Q41="İZLE","Normal takip","Aksiyon gerekmiyor")))))</f>
        <v/>
      </c>
      <c r="S41" s="227">
        <f>IF($B41="","",COUNTIFS(AKTIVITE!$D$7:$D$1006,$B41,AKTIVITE!$J$7:$J$1006,"&lt;&gt;Tamamlandı"))</f>
        <v/>
      </c>
      <c r="T41" s="224">
        <f>IF(OR($B41="",$AF41=""),"",IF(INDEX(MUSTERILER!$K$7:$K$106,$AF41)="","",INDEX(MUSTERILER!$K$7:$K$106,$AF41)))</f>
        <v/>
      </c>
      <c r="U41" s="227">
        <f>IF(OR($B41="",$T41=""),"",TODAY()-$T41)</f>
        <v/>
      </c>
      <c r="V41" s="222">
        <f>IF($B41="","",MAX(0,$I41-$H41))</f>
        <v/>
      </c>
      <c r="W41" s="113">
        <f>IF($B41="","",IF(AND(ABS($J41-($K41+$L41+$M41+$N41))&lt;0.01,ABS(($J41-$V41)-($H41-$I41))&lt;0.01),"UYGUN","İNCELE"))</f>
        <v/>
      </c>
      <c r="X41" s="6">
        <f>IF($B41="",0,SUMIFS(UCRETLER!$J$7:$J$406,UCRETLER!$B$7:$B$406,$B41))</f>
        <v/>
      </c>
      <c r="Y41" s="6">
        <f>IF($B41="",0,SUMIFS(UCRETLER!$K$7:$K$406,UCRETLER!$B$7:$B$406,$B41))</f>
        <v/>
      </c>
      <c r="Z41" s="3">
        <f>IF($B41="",0,SUMIFS(UCRETLER!$L$7:$L$406,UCRETLER!$B$7:$B$406,$B41))</f>
        <v/>
      </c>
      <c r="AA41" s="3">
        <f>IF($B41="",0,MAX(0,$I41-$F41))</f>
        <v/>
      </c>
      <c r="AB41" s="3">
        <f>IF($B41="",0,MAX(0,$F41-$I41))</f>
        <v/>
      </c>
      <c r="AC41" s="3">
        <f>IF($B41="",0,MAX(0,$X41-$AA41))</f>
        <v/>
      </c>
      <c r="AD41" s="3">
        <f>IF($B41="",0,MAX(0,$Y41-$AA41))</f>
        <v/>
      </c>
      <c r="AE41" s="3">
        <f>IF($B41="",0,MAX(0,$Z41-$AA41))</f>
        <v/>
      </c>
      <c r="AF41" s="3">
        <f>IFERROR(MATCH(ROW()-6,MUSTERILER!$U$7:$U$106,0),"")</f>
        <v/>
      </c>
      <c r="AG41" s="3">
        <f>IF($B41="",0,SUMIFS(GELIR_GIDER!$G$7:$G$1206,GELIR_GIDER!$T$7:$T$1206,$B41))</f>
        <v/>
      </c>
    </row>
    <row r="42">
      <c r="A42" s="6" t="n"/>
      <c r="B42" s="113">
        <f>IF($AF42="","",INDEX(MUSTERILER!$B$7:$B$106,$AF42))</f>
        <v/>
      </c>
      <c r="C42" s="121">
        <f>IF($AF42="","",INDEX(MUSTERILER!$C$7:$C$106,$AF42))</f>
        <v/>
      </c>
      <c r="D42" s="222">
        <f>IF($B42="","",SUMIFS(UCRETLER!$G$7:$G$406,UCRETLER!$B$7:$B$406,$B42,UCRETLER!$F$7:$F$406,"Haftalık",UCRETLER!$H$7:$H$406,"Aktif"))</f>
        <v/>
      </c>
      <c r="E42" s="222">
        <f>IF($B42="","",SUMIFS(UCRETLER!$G$7:$G$406,UCRETLER!$B$7:$B$406,$B42,UCRETLER!$F$7:$F$406,"Aylık",UCRETLER!$H$7:$H$406,"Aktif"))</f>
        <v/>
      </c>
      <c r="F42" s="222">
        <f>IF($B42="","",SUMIFS(MUSTERILER!$J$7:$J$106,MUSTERILER!$B$7:$B$106,$B42))</f>
        <v/>
      </c>
      <c r="G42" s="222">
        <f>IF($B42="","",SUMIFS(UCRETLER!$I$7:$I$406,UCRETLER!$B$7:$B$406,$B42)+SUMIFS(GELIR_GIDER!$G$7:$G$1206,GELIR_GIDER!$T$7:$T$1206,$B42))</f>
        <v/>
      </c>
      <c r="H42" s="222">
        <f>IF($B42="","",$F42+$G42)</f>
        <v/>
      </c>
      <c r="I42" s="222">
        <f>IF($B42="","",SUMIFS(TAHSILAT!$F$7:$F$1506,TAHSILAT!$C$7:$C$1506,$B42))</f>
        <v/>
      </c>
      <c r="J42" s="222">
        <f>IF($B42="","",MAX(0,$H42-$I42))</f>
        <v/>
      </c>
      <c r="K42" s="222">
        <f>IF($B42="","",MAX(0,$J42-$L42-$M42-$N42))</f>
        <v/>
      </c>
      <c r="L42" s="222">
        <f>IF($B42="","",($AC42-$AD42)+IF(AND($AB42&gt;0,$T42&lt;&gt;"",$U42&gt;=8,$U42&lt;15),$AB42,0))</f>
        <v/>
      </c>
      <c r="M42" s="222">
        <f>IF($B42="","",($AD42-$AE42)+IF(AND($AB42&gt;0,$T42&lt;&gt;"",$U42&gt;=15,$U42&lt;29),$AB42,0))</f>
        <v/>
      </c>
      <c r="N42" s="222">
        <f>IF($B42="","",$AE42+IF(AND($AB42&gt;0,OR($T42="",$U42&gt;=29)),$AB42,0))</f>
        <v/>
      </c>
      <c r="O42" s="229">
        <f>IF($B42="","",IFERROR($I42/$H42,0))</f>
        <v/>
      </c>
      <c r="P42" s="224">
        <f>IF($B42="","",IFERROR(LOOKUP(2,1/(TAHSILAT!$C$7:$C$1506=$B42),TAHSILAT!$E$7:$E$1506),""))</f>
        <v/>
      </c>
      <c r="Q42" s="113">
        <f>IF($B42="","",IF($N42&gt;0,"KRİTİK",IF($M42&gt;0,"YÜKSEK",IF($L42&gt;0,"ORTA",IF($J42&gt;0,"İZLE","TEMİZ")))))</f>
        <v/>
      </c>
      <c r="R42" s="121">
        <f>IF($B42="","",IF($Q42="KRİTİK","Acil tahsilat görüşmesi ve cari mutabakat",IF($Q42="YÜKSEK","Bu hafta tahsilat takibi",IF($Q42="ORTA","Hatırlatma mesajı gönder",IF($Q42="İZLE","Normal takip","Aksiyon gerekmiyor")))))</f>
        <v/>
      </c>
      <c r="S42" s="227">
        <f>IF($B42="","",COUNTIFS(AKTIVITE!$D$7:$D$1006,$B42,AKTIVITE!$J$7:$J$1006,"&lt;&gt;Tamamlandı"))</f>
        <v/>
      </c>
      <c r="T42" s="224">
        <f>IF(OR($B42="",$AF42=""),"",IF(INDEX(MUSTERILER!$K$7:$K$106,$AF42)="","",INDEX(MUSTERILER!$K$7:$K$106,$AF42)))</f>
        <v/>
      </c>
      <c r="U42" s="227">
        <f>IF(OR($B42="",$T42=""),"",TODAY()-$T42)</f>
        <v/>
      </c>
      <c r="V42" s="222">
        <f>IF($B42="","",MAX(0,$I42-$H42))</f>
        <v/>
      </c>
      <c r="W42" s="113">
        <f>IF($B42="","",IF(AND(ABS($J42-($K42+$L42+$M42+$N42))&lt;0.01,ABS(($J42-$V42)-($H42-$I42))&lt;0.01),"UYGUN","İNCELE"))</f>
        <v/>
      </c>
      <c r="X42" s="6">
        <f>IF($B42="",0,SUMIFS(UCRETLER!$J$7:$J$406,UCRETLER!$B$7:$B$406,$B42))</f>
        <v/>
      </c>
      <c r="Y42" s="6">
        <f>IF($B42="",0,SUMIFS(UCRETLER!$K$7:$K$406,UCRETLER!$B$7:$B$406,$B42))</f>
        <v/>
      </c>
      <c r="Z42" s="3">
        <f>IF($B42="",0,SUMIFS(UCRETLER!$L$7:$L$406,UCRETLER!$B$7:$B$406,$B42))</f>
        <v/>
      </c>
      <c r="AA42" s="3">
        <f>IF($B42="",0,MAX(0,$I42-$F42))</f>
        <v/>
      </c>
      <c r="AB42" s="3">
        <f>IF($B42="",0,MAX(0,$F42-$I42))</f>
        <v/>
      </c>
      <c r="AC42" s="3">
        <f>IF($B42="",0,MAX(0,$X42-$AA42))</f>
        <v/>
      </c>
      <c r="AD42" s="3">
        <f>IF($B42="",0,MAX(0,$Y42-$AA42))</f>
        <v/>
      </c>
      <c r="AE42" s="3">
        <f>IF($B42="",0,MAX(0,$Z42-$AA42))</f>
        <v/>
      </c>
      <c r="AF42" s="3">
        <f>IFERROR(MATCH(ROW()-6,MUSTERILER!$U$7:$U$106,0),"")</f>
        <v/>
      </c>
      <c r="AG42" s="3">
        <f>IF($B42="",0,SUMIFS(GELIR_GIDER!$G$7:$G$1206,GELIR_GIDER!$T$7:$T$1206,$B42))</f>
        <v/>
      </c>
    </row>
    <row r="43">
      <c r="A43" s="6" t="n"/>
      <c r="B43" s="113">
        <f>IF($AF43="","",INDEX(MUSTERILER!$B$7:$B$106,$AF43))</f>
        <v/>
      </c>
      <c r="C43" s="121">
        <f>IF($AF43="","",INDEX(MUSTERILER!$C$7:$C$106,$AF43))</f>
        <v/>
      </c>
      <c r="D43" s="222">
        <f>IF($B43="","",SUMIFS(UCRETLER!$G$7:$G$406,UCRETLER!$B$7:$B$406,$B43,UCRETLER!$F$7:$F$406,"Haftalık",UCRETLER!$H$7:$H$406,"Aktif"))</f>
        <v/>
      </c>
      <c r="E43" s="222">
        <f>IF($B43="","",SUMIFS(UCRETLER!$G$7:$G$406,UCRETLER!$B$7:$B$406,$B43,UCRETLER!$F$7:$F$406,"Aylık",UCRETLER!$H$7:$H$406,"Aktif"))</f>
        <v/>
      </c>
      <c r="F43" s="222">
        <f>IF($B43="","",SUMIFS(MUSTERILER!$J$7:$J$106,MUSTERILER!$B$7:$B$106,$B43))</f>
        <v/>
      </c>
      <c r="G43" s="222">
        <f>IF($B43="","",SUMIFS(UCRETLER!$I$7:$I$406,UCRETLER!$B$7:$B$406,$B43)+SUMIFS(GELIR_GIDER!$G$7:$G$1206,GELIR_GIDER!$T$7:$T$1206,$B43))</f>
        <v/>
      </c>
      <c r="H43" s="222">
        <f>IF($B43="","",$F43+$G43)</f>
        <v/>
      </c>
      <c r="I43" s="222">
        <f>IF($B43="","",SUMIFS(TAHSILAT!$F$7:$F$1506,TAHSILAT!$C$7:$C$1506,$B43))</f>
        <v/>
      </c>
      <c r="J43" s="222">
        <f>IF($B43="","",MAX(0,$H43-$I43))</f>
        <v/>
      </c>
      <c r="K43" s="222">
        <f>IF($B43="","",MAX(0,$J43-$L43-$M43-$N43))</f>
        <v/>
      </c>
      <c r="L43" s="222">
        <f>IF($B43="","",($AC43-$AD43)+IF(AND($AB43&gt;0,$T43&lt;&gt;"",$U43&gt;=8,$U43&lt;15),$AB43,0))</f>
        <v/>
      </c>
      <c r="M43" s="222">
        <f>IF($B43="","",($AD43-$AE43)+IF(AND($AB43&gt;0,$T43&lt;&gt;"",$U43&gt;=15,$U43&lt;29),$AB43,0))</f>
        <v/>
      </c>
      <c r="N43" s="222">
        <f>IF($B43="","",$AE43+IF(AND($AB43&gt;0,OR($T43="",$U43&gt;=29)),$AB43,0))</f>
        <v/>
      </c>
      <c r="O43" s="229">
        <f>IF($B43="","",IFERROR($I43/$H43,0))</f>
        <v/>
      </c>
      <c r="P43" s="224">
        <f>IF($B43="","",IFERROR(LOOKUP(2,1/(TAHSILAT!$C$7:$C$1506=$B43),TAHSILAT!$E$7:$E$1506),""))</f>
        <v/>
      </c>
      <c r="Q43" s="113">
        <f>IF($B43="","",IF($N43&gt;0,"KRİTİK",IF($M43&gt;0,"YÜKSEK",IF($L43&gt;0,"ORTA",IF($J43&gt;0,"İZLE","TEMİZ")))))</f>
        <v/>
      </c>
      <c r="R43" s="121">
        <f>IF($B43="","",IF($Q43="KRİTİK","Acil tahsilat görüşmesi ve cari mutabakat",IF($Q43="YÜKSEK","Bu hafta tahsilat takibi",IF($Q43="ORTA","Hatırlatma mesajı gönder",IF($Q43="İZLE","Normal takip","Aksiyon gerekmiyor")))))</f>
        <v/>
      </c>
      <c r="S43" s="227">
        <f>IF($B43="","",COUNTIFS(AKTIVITE!$D$7:$D$1006,$B43,AKTIVITE!$J$7:$J$1006,"&lt;&gt;Tamamlandı"))</f>
        <v/>
      </c>
      <c r="T43" s="224">
        <f>IF(OR($B43="",$AF43=""),"",IF(INDEX(MUSTERILER!$K$7:$K$106,$AF43)="","",INDEX(MUSTERILER!$K$7:$K$106,$AF43)))</f>
        <v/>
      </c>
      <c r="U43" s="227">
        <f>IF(OR($B43="",$T43=""),"",TODAY()-$T43)</f>
        <v/>
      </c>
      <c r="V43" s="222">
        <f>IF($B43="","",MAX(0,$I43-$H43))</f>
        <v/>
      </c>
      <c r="W43" s="113">
        <f>IF($B43="","",IF(AND(ABS($J43-($K43+$L43+$M43+$N43))&lt;0.01,ABS(($J43-$V43)-($H43-$I43))&lt;0.01),"UYGUN","İNCELE"))</f>
        <v/>
      </c>
      <c r="X43" s="6">
        <f>IF($B43="",0,SUMIFS(UCRETLER!$J$7:$J$406,UCRETLER!$B$7:$B$406,$B43))</f>
        <v/>
      </c>
      <c r="Y43" s="6">
        <f>IF($B43="",0,SUMIFS(UCRETLER!$K$7:$K$406,UCRETLER!$B$7:$B$406,$B43))</f>
        <v/>
      </c>
      <c r="Z43" s="3">
        <f>IF($B43="",0,SUMIFS(UCRETLER!$L$7:$L$406,UCRETLER!$B$7:$B$406,$B43))</f>
        <v/>
      </c>
      <c r="AA43" s="3">
        <f>IF($B43="",0,MAX(0,$I43-$F43))</f>
        <v/>
      </c>
      <c r="AB43" s="3">
        <f>IF($B43="",0,MAX(0,$F43-$I43))</f>
        <v/>
      </c>
      <c r="AC43" s="3">
        <f>IF($B43="",0,MAX(0,$X43-$AA43))</f>
        <v/>
      </c>
      <c r="AD43" s="3">
        <f>IF($B43="",0,MAX(0,$Y43-$AA43))</f>
        <v/>
      </c>
      <c r="AE43" s="3">
        <f>IF($B43="",0,MAX(0,$Z43-$AA43))</f>
        <v/>
      </c>
      <c r="AF43" s="3">
        <f>IFERROR(MATCH(ROW()-6,MUSTERILER!$U$7:$U$106,0),"")</f>
        <v/>
      </c>
      <c r="AG43" s="3">
        <f>IF($B43="",0,SUMIFS(GELIR_GIDER!$G$7:$G$1206,GELIR_GIDER!$T$7:$T$1206,$B43))</f>
        <v/>
      </c>
    </row>
    <row r="44">
      <c r="A44" s="6" t="n"/>
      <c r="B44" s="113">
        <f>IF($AF44="","",INDEX(MUSTERILER!$B$7:$B$106,$AF44))</f>
        <v/>
      </c>
      <c r="C44" s="121">
        <f>IF($AF44="","",INDEX(MUSTERILER!$C$7:$C$106,$AF44))</f>
        <v/>
      </c>
      <c r="D44" s="222">
        <f>IF($B44="","",SUMIFS(UCRETLER!$G$7:$G$406,UCRETLER!$B$7:$B$406,$B44,UCRETLER!$F$7:$F$406,"Haftalık",UCRETLER!$H$7:$H$406,"Aktif"))</f>
        <v/>
      </c>
      <c r="E44" s="222">
        <f>IF($B44="","",SUMIFS(UCRETLER!$G$7:$G$406,UCRETLER!$B$7:$B$406,$B44,UCRETLER!$F$7:$F$406,"Aylık",UCRETLER!$H$7:$H$406,"Aktif"))</f>
        <v/>
      </c>
      <c r="F44" s="222">
        <f>IF($B44="","",SUMIFS(MUSTERILER!$J$7:$J$106,MUSTERILER!$B$7:$B$106,$B44))</f>
        <v/>
      </c>
      <c r="G44" s="222">
        <f>IF($B44="","",SUMIFS(UCRETLER!$I$7:$I$406,UCRETLER!$B$7:$B$406,$B44)+SUMIFS(GELIR_GIDER!$G$7:$G$1206,GELIR_GIDER!$T$7:$T$1206,$B44))</f>
        <v/>
      </c>
      <c r="H44" s="222">
        <f>IF($B44="","",$F44+$G44)</f>
        <v/>
      </c>
      <c r="I44" s="222">
        <f>IF($B44="","",SUMIFS(TAHSILAT!$F$7:$F$1506,TAHSILAT!$C$7:$C$1506,$B44))</f>
        <v/>
      </c>
      <c r="J44" s="222">
        <f>IF($B44="","",MAX(0,$H44-$I44))</f>
        <v/>
      </c>
      <c r="K44" s="222">
        <f>IF($B44="","",MAX(0,$J44-$L44-$M44-$N44))</f>
        <v/>
      </c>
      <c r="L44" s="222">
        <f>IF($B44="","",($AC44-$AD44)+IF(AND($AB44&gt;0,$T44&lt;&gt;"",$U44&gt;=8,$U44&lt;15),$AB44,0))</f>
        <v/>
      </c>
      <c r="M44" s="222">
        <f>IF($B44="","",($AD44-$AE44)+IF(AND($AB44&gt;0,$T44&lt;&gt;"",$U44&gt;=15,$U44&lt;29),$AB44,0))</f>
        <v/>
      </c>
      <c r="N44" s="222">
        <f>IF($B44="","",$AE44+IF(AND($AB44&gt;0,OR($T44="",$U44&gt;=29)),$AB44,0))</f>
        <v/>
      </c>
      <c r="O44" s="229">
        <f>IF($B44="","",IFERROR($I44/$H44,0))</f>
        <v/>
      </c>
      <c r="P44" s="224">
        <f>IF($B44="","",IFERROR(LOOKUP(2,1/(TAHSILAT!$C$7:$C$1506=$B44),TAHSILAT!$E$7:$E$1506),""))</f>
        <v/>
      </c>
      <c r="Q44" s="113">
        <f>IF($B44="","",IF($N44&gt;0,"KRİTİK",IF($M44&gt;0,"YÜKSEK",IF($L44&gt;0,"ORTA",IF($J44&gt;0,"İZLE","TEMİZ")))))</f>
        <v/>
      </c>
      <c r="R44" s="121">
        <f>IF($B44="","",IF($Q44="KRİTİK","Acil tahsilat görüşmesi ve cari mutabakat",IF($Q44="YÜKSEK","Bu hafta tahsilat takibi",IF($Q44="ORTA","Hatırlatma mesajı gönder",IF($Q44="İZLE","Normal takip","Aksiyon gerekmiyor")))))</f>
        <v/>
      </c>
      <c r="S44" s="227">
        <f>IF($B44="","",COUNTIFS(AKTIVITE!$D$7:$D$1006,$B44,AKTIVITE!$J$7:$J$1006,"&lt;&gt;Tamamlandı"))</f>
        <v/>
      </c>
      <c r="T44" s="224">
        <f>IF(OR($B44="",$AF44=""),"",IF(INDEX(MUSTERILER!$K$7:$K$106,$AF44)="","",INDEX(MUSTERILER!$K$7:$K$106,$AF44)))</f>
        <v/>
      </c>
      <c r="U44" s="227">
        <f>IF(OR($B44="",$T44=""),"",TODAY()-$T44)</f>
        <v/>
      </c>
      <c r="V44" s="222">
        <f>IF($B44="","",MAX(0,$I44-$H44))</f>
        <v/>
      </c>
      <c r="W44" s="113">
        <f>IF($B44="","",IF(AND(ABS($J44-($K44+$L44+$M44+$N44))&lt;0.01,ABS(($J44-$V44)-($H44-$I44))&lt;0.01),"UYGUN","İNCELE"))</f>
        <v/>
      </c>
      <c r="X44" s="6">
        <f>IF($B44="",0,SUMIFS(UCRETLER!$J$7:$J$406,UCRETLER!$B$7:$B$406,$B44))</f>
        <v/>
      </c>
      <c r="Y44" s="6">
        <f>IF($B44="",0,SUMIFS(UCRETLER!$K$7:$K$406,UCRETLER!$B$7:$B$406,$B44))</f>
        <v/>
      </c>
      <c r="Z44" s="3">
        <f>IF($B44="",0,SUMIFS(UCRETLER!$L$7:$L$406,UCRETLER!$B$7:$B$406,$B44))</f>
        <v/>
      </c>
      <c r="AA44" s="3">
        <f>IF($B44="",0,MAX(0,$I44-$F44))</f>
        <v/>
      </c>
      <c r="AB44" s="3">
        <f>IF($B44="",0,MAX(0,$F44-$I44))</f>
        <v/>
      </c>
      <c r="AC44" s="3">
        <f>IF($B44="",0,MAX(0,$X44-$AA44))</f>
        <v/>
      </c>
      <c r="AD44" s="3">
        <f>IF($B44="",0,MAX(0,$Y44-$AA44))</f>
        <v/>
      </c>
      <c r="AE44" s="3">
        <f>IF($B44="",0,MAX(0,$Z44-$AA44))</f>
        <v/>
      </c>
      <c r="AF44" s="3">
        <f>IFERROR(MATCH(ROW()-6,MUSTERILER!$U$7:$U$106,0),"")</f>
        <v/>
      </c>
      <c r="AG44" s="3">
        <f>IF($B44="",0,SUMIFS(GELIR_GIDER!$G$7:$G$1206,GELIR_GIDER!$T$7:$T$1206,$B44))</f>
        <v/>
      </c>
    </row>
    <row r="45">
      <c r="A45" s="6" t="n"/>
      <c r="B45" s="113">
        <f>IF($AF45="","",INDEX(MUSTERILER!$B$7:$B$106,$AF45))</f>
        <v/>
      </c>
      <c r="C45" s="121">
        <f>IF($AF45="","",INDEX(MUSTERILER!$C$7:$C$106,$AF45))</f>
        <v/>
      </c>
      <c r="D45" s="222">
        <f>IF($B45="","",SUMIFS(UCRETLER!$G$7:$G$406,UCRETLER!$B$7:$B$406,$B45,UCRETLER!$F$7:$F$406,"Haftalık",UCRETLER!$H$7:$H$406,"Aktif"))</f>
        <v/>
      </c>
      <c r="E45" s="222">
        <f>IF($B45="","",SUMIFS(UCRETLER!$G$7:$G$406,UCRETLER!$B$7:$B$406,$B45,UCRETLER!$F$7:$F$406,"Aylık",UCRETLER!$H$7:$H$406,"Aktif"))</f>
        <v/>
      </c>
      <c r="F45" s="222">
        <f>IF($B45="","",SUMIFS(MUSTERILER!$J$7:$J$106,MUSTERILER!$B$7:$B$106,$B45))</f>
        <v/>
      </c>
      <c r="G45" s="222">
        <f>IF($B45="","",SUMIFS(UCRETLER!$I$7:$I$406,UCRETLER!$B$7:$B$406,$B45)+SUMIFS(GELIR_GIDER!$G$7:$G$1206,GELIR_GIDER!$T$7:$T$1206,$B45))</f>
        <v/>
      </c>
      <c r="H45" s="222">
        <f>IF($B45="","",$F45+$G45)</f>
        <v/>
      </c>
      <c r="I45" s="222">
        <f>IF($B45="","",SUMIFS(TAHSILAT!$F$7:$F$1506,TAHSILAT!$C$7:$C$1506,$B45))</f>
        <v/>
      </c>
      <c r="J45" s="222">
        <f>IF($B45="","",MAX(0,$H45-$I45))</f>
        <v/>
      </c>
      <c r="K45" s="222">
        <f>IF($B45="","",MAX(0,$J45-$L45-$M45-$N45))</f>
        <v/>
      </c>
      <c r="L45" s="222">
        <f>IF($B45="","",($AC45-$AD45)+IF(AND($AB45&gt;0,$T45&lt;&gt;"",$U45&gt;=8,$U45&lt;15),$AB45,0))</f>
        <v/>
      </c>
      <c r="M45" s="222">
        <f>IF($B45="","",($AD45-$AE45)+IF(AND($AB45&gt;0,$T45&lt;&gt;"",$U45&gt;=15,$U45&lt;29),$AB45,0))</f>
        <v/>
      </c>
      <c r="N45" s="222">
        <f>IF($B45="","",$AE45+IF(AND($AB45&gt;0,OR($T45="",$U45&gt;=29)),$AB45,0))</f>
        <v/>
      </c>
      <c r="O45" s="229">
        <f>IF($B45="","",IFERROR($I45/$H45,0))</f>
        <v/>
      </c>
      <c r="P45" s="224">
        <f>IF($B45="","",IFERROR(LOOKUP(2,1/(TAHSILAT!$C$7:$C$1506=$B45),TAHSILAT!$E$7:$E$1506),""))</f>
        <v/>
      </c>
      <c r="Q45" s="113">
        <f>IF($B45="","",IF($N45&gt;0,"KRİTİK",IF($M45&gt;0,"YÜKSEK",IF($L45&gt;0,"ORTA",IF($J45&gt;0,"İZLE","TEMİZ")))))</f>
        <v/>
      </c>
      <c r="R45" s="121">
        <f>IF($B45="","",IF($Q45="KRİTİK","Acil tahsilat görüşmesi ve cari mutabakat",IF($Q45="YÜKSEK","Bu hafta tahsilat takibi",IF($Q45="ORTA","Hatırlatma mesajı gönder",IF($Q45="İZLE","Normal takip","Aksiyon gerekmiyor")))))</f>
        <v/>
      </c>
      <c r="S45" s="227">
        <f>IF($B45="","",COUNTIFS(AKTIVITE!$D$7:$D$1006,$B45,AKTIVITE!$J$7:$J$1006,"&lt;&gt;Tamamlandı"))</f>
        <v/>
      </c>
      <c r="T45" s="224">
        <f>IF(OR($B45="",$AF45=""),"",IF(INDEX(MUSTERILER!$K$7:$K$106,$AF45)="","",INDEX(MUSTERILER!$K$7:$K$106,$AF45)))</f>
        <v/>
      </c>
      <c r="U45" s="227">
        <f>IF(OR($B45="",$T45=""),"",TODAY()-$T45)</f>
        <v/>
      </c>
      <c r="V45" s="222">
        <f>IF($B45="","",MAX(0,$I45-$H45))</f>
        <v/>
      </c>
      <c r="W45" s="113">
        <f>IF($B45="","",IF(AND(ABS($J45-($K45+$L45+$M45+$N45))&lt;0.01,ABS(($J45-$V45)-($H45-$I45))&lt;0.01),"UYGUN","İNCELE"))</f>
        <v/>
      </c>
      <c r="X45" s="6">
        <f>IF($B45="",0,SUMIFS(UCRETLER!$J$7:$J$406,UCRETLER!$B$7:$B$406,$B45))</f>
        <v/>
      </c>
      <c r="Y45" s="6">
        <f>IF($B45="",0,SUMIFS(UCRETLER!$K$7:$K$406,UCRETLER!$B$7:$B$406,$B45))</f>
        <v/>
      </c>
      <c r="Z45" s="3">
        <f>IF($B45="",0,SUMIFS(UCRETLER!$L$7:$L$406,UCRETLER!$B$7:$B$406,$B45))</f>
        <v/>
      </c>
      <c r="AA45" s="3">
        <f>IF($B45="",0,MAX(0,$I45-$F45))</f>
        <v/>
      </c>
      <c r="AB45" s="3">
        <f>IF($B45="",0,MAX(0,$F45-$I45))</f>
        <v/>
      </c>
      <c r="AC45" s="3">
        <f>IF($B45="",0,MAX(0,$X45-$AA45))</f>
        <v/>
      </c>
      <c r="AD45" s="3">
        <f>IF($B45="",0,MAX(0,$Y45-$AA45))</f>
        <v/>
      </c>
      <c r="AE45" s="3">
        <f>IF($B45="",0,MAX(0,$Z45-$AA45))</f>
        <v/>
      </c>
      <c r="AF45" s="3">
        <f>IFERROR(MATCH(ROW()-6,MUSTERILER!$U$7:$U$106,0),"")</f>
        <v/>
      </c>
      <c r="AG45" s="3">
        <f>IF($B45="",0,SUMIFS(GELIR_GIDER!$G$7:$G$1206,GELIR_GIDER!$T$7:$T$1206,$B45))</f>
        <v/>
      </c>
    </row>
    <row r="46">
      <c r="A46" s="6" t="n"/>
      <c r="B46" s="113">
        <f>IF($AF46="","",INDEX(MUSTERILER!$B$7:$B$106,$AF46))</f>
        <v/>
      </c>
      <c r="C46" s="121">
        <f>IF($AF46="","",INDEX(MUSTERILER!$C$7:$C$106,$AF46))</f>
        <v/>
      </c>
      <c r="D46" s="222">
        <f>IF($B46="","",SUMIFS(UCRETLER!$G$7:$G$406,UCRETLER!$B$7:$B$406,$B46,UCRETLER!$F$7:$F$406,"Haftalık",UCRETLER!$H$7:$H$406,"Aktif"))</f>
        <v/>
      </c>
      <c r="E46" s="222">
        <f>IF($B46="","",SUMIFS(UCRETLER!$G$7:$G$406,UCRETLER!$B$7:$B$406,$B46,UCRETLER!$F$7:$F$406,"Aylık",UCRETLER!$H$7:$H$406,"Aktif"))</f>
        <v/>
      </c>
      <c r="F46" s="222">
        <f>IF($B46="","",SUMIFS(MUSTERILER!$J$7:$J$106,MUSTERILER!$B$7:$B$106,$B46))</f>
        <v/>
      </c>
      <c r="G46" s="222">
        <f>IF($B46="","",SUMIFS(UCRETLER!$I$7:$I$406,UCRETLER!$B$7:$B$406,$B46)+SUMIFS(GELIR_GIDER!$G$7:$G$1206,GELIR_GIDER!$T$7:$T$1206,$B46))</f>
        <v/>
      </c>
      <c r="H46" s="222">
        <f>IF($B46="","",$F46+$G46)</f>
        <v/>
      </c>
      <c r="I46" s="222">
        <f>IF($B46="","",SUMIFS(TAHSILAT!$F$7:$F$1506,TAHSILAT!$C$7:$C$1506,$B46))</f>
        <v/>
      </c>
      <c r="J46" s="222">
        <f>IF($B46="","",MAX(0,$H46-$I46))</f>
        <v/>
      </c>
      <c r="K46" s="222">
        <f>IF($B46="","",MAX(0,$J46-$L46-$M46-$N46))</f>
        <v/>
      </c>
      <c r="L46" s="222">
        <f>IF($B46="","",($AC46-$AD46)+IF(AND($AB46&gt;0,$T46&lt;&gt;"",$U46&gt;=8,$U46&lt;15),$AB46,0))</f>
        <v/>
      </c>
      <c r="M46" s="222">
        <f>IF($B46="","",($AD46-$AE46)+IF(AND($AB46&gt;0,$T46&lt;&gt;"",$U46&gt;=15,$U46&lt;29),$AB46,0))</f>
        <v/>
      </c>
      <c r="N46" s="222">
        <f>IF($B46="","",$AE46+IF(AND($AB46&gt;0,OR($T46="",$U46&gt;=29)),$AB46,0))</f>
        <v/>
      </c>
      <c r="O46" s="229">
        <f>IF($B46="","",IFERROR($I46/$H46,0))</f>
        <v/>
      </c>
      <c r="P46" s="224">
        <f>IF($B46="","",IFERROR(LOOKUP(2,1/(TAHSILAT!$C$7:$C$1506=$B46),TAHSILAT!$E$7:$E$1506),""))</f>
        <v/>
      </c>
      <c r="Q46" s="113">
        <f>IF($B46="","",IF($N46&gt;0,"KRİTİK",IF($M46&gt;0,"YÜKSEK",IF($L46&gt;0,"ORTA",IF($J46&gt;0,"İZLE","TEMİZ")))))</f>
        <v/>
      </c>
      <c r="R46" s="121">
        <f>IF($B46="","",IF($Q46="KRİTİK","Acil tahsilat görüşmesi ve cari mutabakat",IF($Q46="YÜKSEK","Bu hafta tahsilat takibi",IF($Q46="ORTA","Hatırlatma mesajı gönder",IF($Q46="İZLE","Normal takip","Aksiyon gerekmiyor")))))</f>
        <v/>
      </c>
      <c r="S46" s="227">
        <f>IF($B46="","",COUNTIFS(AKTIVITE!$D$7:$D$1006,$B46,AKTIVITE!$J$7:$J$1006,"&lt;&gt;Tamamlandı"))</f>
        <v/>
      </c>
      <c r="T46" s="224">
        <f>IF(OR($B46="",$AF46=""),"",IF(INDEX(MUSTERILER!$K$7:$K$106,$AF46)="","",INDEX(MUSTERILER!$K$7:$K$106,$AF46)))</f>
        <v/>
      </c>
      <c r="U46" s="227">
        <f>IF(OR($B46="",$T46=""),"",TODAY()-$T46)</f>
        <v/>
      </c>
      <c r="V46" s="222">
        <f>IF($B46="","",MAX(0,$I46-$H46))</f>
        <v/>
      </c>
      <c r="W46" s="113">
        <f>IF($B46="","",IF(AND(ABS($J46-($K46+$L46+$M46+$N46))&lt;0.01,ABS(($J46-$V46)-($H46-$I46))&lt;0.01),"UYGUN","İNCELE"))</f>
        <v/>
      </c>
      <c r="X46" s="6">
        <f>IF($B46="",0,SUMIFS(UCRETLER!$J$7:$J$406,UCRETLER!$B$7:$B$406,$B46))</f>
        <v/>
      </c>
      <c r="Y46" s="6">
        <f>IF($B46="",0,SUMIFS(UCRETLER!$K$7:$K$406,UCRETLER!$B$7:$B$406,$B46))</f>
        <v/>
      </c>
      <c r="Z46" s="3">
        <f>IF($B46="",0,SUMIFS(UCRETLER!$L$7:$L$406,UCRETLER!$B$7:$B$406,$B46))</f>
        <v/>
      </c>
      <c r="AA46" s="3">
        <f>IF($B46="",0,MAX(0,$I46-$F46))</f>
        <v/>
      </c>
      <c r="AB46" s="3">
        <f>IF($B46="",0,MAX(0,$F46-$I46))</f>
        <v/>
      </c>
      <c r="AC46" s="3">
        <f>IF($B46="",0,MAX(0,$X46-$AA46))</f>
        <v/>
      </c>
      <c r="AD46" s="3">
        <f>IF($B46="",0,MAX(0,$Y46-$AA46))</f>
        <v/>
      </c>
      <c r="AE46" s="3">
        <f>IF($B46="",0,MAX(0,$Z46-$AA46))</f>
        <v/>
      </c>
      <c r="AF46" s="3">
        <f>IFERROR(MATCH(ROW()-6,MUSTERILER!$U$7:$U$106,0),"")</f>
        <v/>
      </c>
      <c r="AG46" s="3">
        <f>IF($B46="",0,SUMIFS(GELIR_GIDER!$G$7:$G$1206,GELIR_GIDER!$T$7:$T$1206,$B46))</f>
        <v/>
      </c>
    </row>
    <row r="47">
      <c r="A47" s="6" t="n"/>
      <c r="B47" s="113">
        <f>IF($AF47="","",INDEX(MUSTERILER!$B$7:$B$106,$AF47))</f>
        <v/>
      </c>
      <c r="C47" s="121">
        <f>IF($AF47="","",INDEX(MUSTERILER!$C$7:$C$106,$AF47))</f>
        <v/>
      </c>
      <c r="D47" s="222">
        <f>IF($B47="","",SUMIFS(UCRETLER!$G$7:$G$406,UCRETLER!$B$7:$B$406,$B47,UCRETLER!$F$7:$F$406,"Haftalık",UCRETLER!$H$7:$H$406,"Aktif"))</f>
        <v/>
      </c>
      <c r="E47" s="222">
        <f>IF($B47="","",SUMIFS(UCRETLER!$G$7:$G$406,UCRETLER!$B$7:$B$406,$B47,UCRETLER!$F$7:$F$406,"Aylık",UCRETLER!$H$7:$H$406,"Aktif"))</f>
        <v/>
      </c>
      <c r="F47" s="222">
        <f>IF($B47="","",SUMIFS(MUSTERILER!$J$7:$J$106,MUSTERILER!$B$7:$B$106,$B47))</f>
        <v/>
      </c>
      <c r="G47" s="222">
        <f>IF($B47="","",SUMIFS(UCRETLER!$I$7:$I$406,UCRETLER!$B$7:$B$406,$B47)+SUMIFS(GELIR_GIDER!$G$7:$G$1206,GELIR_GIDER!$T$7:$T$1206,$B47))</f>
        <v/>
      </c>
      <c r="H47" s="222">
        <f>IF($B47="","",$F47+$G47)</f>
        <v/>
      </c>
      <c r="I47" s="222">
        <f>IF($B47="","",SUMIFS(TAHSILAT!$F$7:$F$1506,TAHSILAT!$C$7:$C$1506,$B47))</f>
        <v/>
      </c>
      <c r="J47" s="222">
        <f>IF($B47="","",MAX(0,$H47-$I47))</f>
        <v/>
      </c>
      <c r="K47" s="222">
        <f>IF($B47="","",MAX(0,$J47-$L47-$M47-$N47))</f>
        <v/>
      </c>
      <c r="L47" s="222">
        <f>IF($B47="","",($AC47-$AD47)+IF(AND($AB47&gt;0,$T47&lt;&gt;"",$U47&gt;=8,$U47&lt;15),$AB47,0))</f>
        <v/>
      </c>
      <c r="M47" s="222">
        <f>IF($B47="","",($AD47-$AE47)+IF(AND($AB47&gt;0,$T47&lt;&gt;"",$U47&gt;=15,$U47&lt;29),$AB47,0))</f>
        <v/>
      </c>
      <c r="N47" s="222">
        <f>IF($B47="","",$AE47+IF(AND($AB47&gt;0,OR($T47="",$U47&gt;=29)),$AB47,0))</f>
        <v/>
      </c>
      <c r="O47" s="229">
        <f>IF($B47="","",IFERROR($I47/$H47,0))</f>
        <v/>
      </c>
      <c r="P47" s="224">
        <f>IF($B47="","",IFERROR(LOOKUP(2,1/(TAHSILAT!$C$7:$C$1506=$B47),TAHSILAT!$E$7:$E$1506),""))</f>
        <v/>
      </c>
      <c r="Q47" s="113">
        <f>IF($B47="","",IF($N47&gt;0,"KRİTİK",IF($M47&gt;0,"YÜKSEK",IF($L47&gt;0,"ORTA",IF($J47&gt;0,"İZLE","TEMİZ")))))</f>
        <v/>
      </c>
      <c r="R47" s="121">
        <f>IF($B47="","",IF($Q47="KRİTİK","Acil tahsilat görüşmesi ve cari mutabakat",IF($Q47="YÜKSEK","Bu hafta tahsilat takibi",IF($Q47="ORTA","Hatırlatma mesajı gönder",IF($Q47="İZLE","Normal takip","Aksiyon gerekmiyor")))))</f>
        <v/>
      </c>
      <c r="S47" s="227">
        <f>IF($B47="","",COUNTIFS(AKTIVITE!$D$7:$D$1006,$B47,AKTIVITE!$J$7:$J$1006,"&lt;&gt;Tamamlandı"))</f>
        <v/>
      </c>
      <c r="T47" s="224">
        <f>IF(OR($B47="",$AF47=""),"",IF(INDEX(MUSTERILER!$K$7:$K$106,$AF47)="","",INDEX(MUSTERILER!$K$7:$K$106,$AF47)))</f>
        <v/>
      </c>
      <c r="U47" s="227">
        <f>IF(OR($B47="",$T47=""),"",TODAY()-$T47)</f>
        <v/>
      </c>
      <c r="V47" s="222">
        <f>IF($B47="","",MAX(0,$I47-$H47))</f>
        <v/>
      </c>
      <c r="W47" s="113">
        <f>IF($B47="","",IF(AND(ABS($J47-($K47+$L47+$M47+$N47))&lt;0.01,ABS(($J47-$V47)-($H47-$I47))&lt;0.01),"UYGUN","İNCELE"))</f>
        <v/>
      </c>
      <c r="X47" s="6">
        <f>IF($B47="",0,SUMIFS(UCRETLER!$J$7:$J$406,UCRETLER!$B$7:$B$406,$B47))</f>
        <v/>
      </c>
      <c r="Y47" s="6">
        <f>IF($B47="",0,SUMIFS(UCRETLER!$K$7:$K$406,UCRETLER!$B$7:$B$406,$B47))</f>
        <v/>
      </c>
      <c r="Z47" s="3">
        <f>IF($B47="",0,SUMIFS(UCRETLER!$L$7:$L$406,UCRETLER!$B$7:$B$406,$B47))</f>
        <v/>
      </c>
      <c r="AA47" s="3">
        <f>IF($B47="",0,MAX(0,$I47-$F47))</f>
        <v/>
      </c>
      <c r="AB47" s="3">
        <f>IF($B47="",0,MAX(0,$F47-$I47))</f>
        <v/>
      </c>
      <c r="AC47" s="3">
        <f>IF($B47="",0,MAX(0,$X47-$AA47))</f>
        <v/>
      </c>
      <c r="AD47" s="3">
        <f>IF($B47="",0,MAX(0,$Y47-$AA47))</f>
        <v/>
      </c>
      <c r="AE47" s="3">
        <f>IF($B47="",0,MAX(0,$Z47-$AA47))</f>
        <v/>
      </c>
      <c r="AF47" s="3">
        <f>IFERROR(MATCH(ROW()-6,MUSTERILER!$U$7:$U$106,0),"")</f>
        <v/>
      </c>
      <c r="AG47" s="3">
        <f>IF($B47="",0,SUMIFS(GELIR_GIDER!$G$7:$G$1206,GELIR_GIDER!$T$7:$T$1206,$B47))</f>
        <v/>
      </c>
    </row>
    <row r="48">
      <c r="A48" s="6" t="n"/>
      <c r="B48" s="113">
        <f>IF($AF48="","",INDEX(MUSTERILER!$B$7:$B$106,$AF48))</f>
        <v/>
      </c>
      <c r="C48" s="121">
        <f>IF($AF48="","",INDEX(MUSTERILER!$C$7:$C$106,$AF48))</f>
        <v/>
      </c>
      <c r="D48" s="222">
        <f>IF($B48="","",SUMIFS(UCRETLER!$G$7:$G$406,UCRETLER!$B$7:$B$406,$B48,UCRETLER!$F$7:$F$406,"Haftalık",UCRETLER!$H$7:$H$406,"Aktif"))</f>
        <v/>
      </c>
      <c r="E48" s="222">
        <f>IF($B48="","",SUMIFS(UCRETLER!$G$7:$G$406,UCRETLER!$B$7:$B$406,$B48,UCRETLER!$F$7:$F$406,"Aylık",UCRETLER!$H$7:$H$406,"Aktif"))</f>
        <v/>
      </c>
      <c r="F48" s="222">
        <f>IF($B48="","",SUMIFS(MUSTERILER!$J$7:$J$106,MUSTERILER!$B$7:$B$106,$B48))</f>
        <v/>
      </c>
      <c r="G48" s="222">
        <f>IF($B48="","",SUMIFS(UCRETLER!$I$7:$I$406,UCRETLER!$B$7:$B$406,$B48)+SUMIFS(GELIR_GIDER!$G$7:$G$1206,GELIR_GIDER!$T$7:$T$1206,$B48))</f>
        <v/>
      </c>
      <c r="H48" s="222">
        <f>IF($B48="","",$F48+$G48)</f>
        <v/>
      </c>
      <c r="I48" s="222">
        <f>IF($B48="","",SUMIFS(TAHSILAT!$F$7:$F$1506,TAHSILAT!$C$7:$C$1506,$B48))</f>
        <v/>
      </c>
      <c r="J48" s="222">
        <f>IF($B48="","",MAX(0,$H48-$I48))</f>
        <v/>
      </c>
      <c r="K48" s="222">
        <f>IF($B48="","",MAX(0,$J48-$L48-$M48-$N48))</f>
        <v/>
      </c>
      <c r="L48" s="222">
        <f>IF($B48="","",($AC48-$AD48)+IF(AND($AB48&gt;0,$T48&lt;&gt;"",$U48&gt;=8,$U48&lt;15),$AB48,0))</f>
        <v/>
      </c>
      <c r="M48" s="222">
        <f>IF($B48="","",($AD48-$AE48)+IF(AND($AB48&gt;0,$T48&lt;&gt;"",$U48&gt;=15,$U48&lt;29),$AB48,0))</f>
        <v/>
      </c>
      <c r="N48" s="222">
        <f>IF($B48="","",$AE48+IF(AND($AB48&gt;0,OR($T48="",$U48&gt;=29)),$AB48,0))</f>
        <v/>
      </c>
      <c r="O48" s="229">
        <f>IF($B48="","",IFERROR($I48/$H48,0))</f>
        <v/>
      </c>
      <c r="P48" s="224">
        <f>IF($B48="","",IFERROR(LOOKUP(2,1/(TAHSILAT!$C$7:$C$1506=$B48),TAHSILAT!$E$7:$E$1506),""))</f>
        <v/>
      </c>
      <c r="Q48" s="113">
        <f>IF($B48="","",IF($N48&gt;0,"KRİTİK",IF($M48&gt;0,"YÜKSEK",IF($L48&gt;0,"ORTA",IF($J48&gt;0,"İZLE","TEMİZ")))))</f>
        <v/>
      </c>
      <c r="R48" s="121">
        <f>IF($B48="","",IF($Q48="KRİTİK","Acil tahsilat görüşmesi ve cari mutabakat",IF($Q48="YÜKSEK","Bu hafta tahsilat takibi",IF($Q48="ORTA","Hatırlatma mesajı gönder",IF($Q48="İZLE","Normal takip","Aksiyon gerekmiyor")))))</f>
        <v/>
      </c>
      <c r="S48" s="227">
        <f>IF($B48="","",COUNTIFS(AKTIVITE!$D$7:$D$1006,$B48,AKTIVITE!$J$7:$J$1006,"&lt;&gt;Tamamlandı"))</f>
        <v/>
      </c>
      <c r="T48" s="224">
        <f>IF(OR($B48="",$AF48=""),"",IF(INDEX(MUSTERILER!$K$7:$K$106,$AF48)="","",INDEX(MUSTERILER!$K$7:$K$106,$AF48)))</f>
        <v/>
      </c>
      <c r="U48" s="227">
        <f>IF(OR($B48="",$T48=""),"",TODAY()-$T48)</f>
        <v/>
      </c>
      <c r="V48" s="222">
        <f>IF($B48="","",MAX(0,$I48-$H48))</f>
        <v/>
      </c>
      <c r="W48" s="113">
        <f>IF($B48="","",IF(AND(ABS($J48-($K48+$L48+$M48+$N48))&lt;0.01,ABS(($J48-$V48)-($H48-$I48))&lt;0.01),"UYGUN","İNCELE"))</f>
        <v/>
      </c>
      <c r="X48" s="6">
        <f>IF($B48="",0,SUMIFS(UCRETLER!$J$7:$J$406,UCRETLER!$B$7:$B$406,$B48))</f>
        <v/>
      </c>
      <c r="Y48" s="6">
        <f>IF($B48="",0,SUMIFS(UCRETLER!$K$7:$K$406,UCRETLER!$B$7:$B$406,$B48))</f>
        <v/>
      </c>
      <c r="Z48" s="3">
        <f>IF($B48="",0,SUMIFS(UCRETLER!$L$7:$L$406,UCRETLER!$B$7:$B$406,$B48))</f>
        <v/>
      </c>
      <c r="AA48" s="3">
        <f>IF($B48="",0,MAX(0,$I48-$F48))</f>
        <v/>
      </c>
      <c r="AB48" s="3">
        <f>IF($B48="",0,MAX(0,$F48-$I48))</f>
        <v/>
      </c>
      <c r="AC48" s="3">
        <f>IF($B48="",0,MAX(0,$X48-$AA48))</f>
        <v/>
      </c>
      <c r="AD48" s="3">
        <f>IF($B48="",0,MAX(0,$Y48-$AA48))</f>
        <v/>
      </c>
      <c r="AE48" s="3">
        <f>IF($B48="",0,MAX(0,$Z48-$AA48))</f>
        <v/>
      </c>
      <c r="AF48" s="3">
        <f>IFERROR(MATCH(ROW()-6,MUSTERILER!$U$7:$U$106,0),"")</f>
        <v/>
      </c>
      <c r="AG48" s="3">
        <f>IF($B48="",0,SUMIFS(GELIR_GIDER!$G$7:$G$1206,GELIR_GIDER!$T$7:$T$1206,$B48))</f>
        <v/>
      </c>
    </row>
    <row r="49">
      <c r="A49" s="6" t="n"/>
      <c r="B49" s="113">
        <f>IF($AF49="","",INDEX(MUSTERILER!$B$7:$B$106,$AF49))</f>
        <v/>
      </c>
      <c r="C49" s="121">
        <f>IF($AF49="","",INDEX(MUSTERILER!$C$7:$C$106,$AF49))</f>
        <v/>
      </c>
      <c r="D49" s="222">
        <f>IF($B49="","",SUMIFS(UCRETLER!$G$7:$G$406,UCRETLER!$B$7:$B$406,$B49,UCRETLER!$F$7:$F$406,"Haftalık",UCRETLER!$H$7:$H$406,"Aktif"))</f>
        <v/>
      </c>
      <c r="E49" s="222">
        <f>IF($B49="","",SUMIFS(UCRETLER!$G$7:$G$406,UCRETLER!$B$7:$B$406,$B49,UCRETLER!$F$7:$F$406,"Aylık",UCRETLER!$H$7:$H$406,"Aktif"))</f>
        <v/>
      </c>
      <c r="F49" s="222">
        <f>IF($B49="","",SUMIFS(MUSTERILER!$J$7:$J$106,MUSTERILER!$B$7:$B$106,$B49))</f>
        <v/>
      </c>
      <c r="G49" s="222">
        <f>IF($B49="","",SUMIFS(UCRETLER!$I$7:$I$406,UCRETLER!$B$7:$B$406,$B49)+SUMIFS(GELIR_GIDER!$G$7:$G$1206,GELIR_GIDER!$T$7:$T$1206,$B49))</f>
        <v/>
      </c>
      <c r="H49" s="222">
        <f>IF($B49="","",$F49+$G49)</f>
        <v/>
      </c>
      <c r="I49" s="222">
        <f>IF($B49="","",SUMIFS(TAHSILAT!$F$7:$F$1506,TAHSILAT!$C$7:$C$1506,$B49))</f>
        <v/>
      </c>
      <c r="J49" s="222">
        <f>IF($B49="","",MAX(0,$H49-$I49))</f>
        <v/>
      </c>
      <c r="K49" s="222">
        <f>IF($B49="","",MAX(0,$J49-$L49-$M49-$N49))</f>
        <v/>
      </c>
      <c r="L49" s="222">
        <f>IF($B49="","",($AC49-$AD49)+IF(AND($AB49&gt;0,$T49&lt;&gt;"",$U49&gt;=8,$U49&lt;15),$AB49,0))</f>
        <v/>
      </c>
      <c r="M49" s="222">
        <f>IF($B49="","",($AD49-$AE49)+IF(AND($AB49&gt;0,$T49&lt;&gt;"",$U49&gt;=15,$U49&lt;29),$AB49,0))</f>
        <v/>
      </c>
      <c r="N49" s="222">
        <f>IF($B49="","",$AE49+IF(AND($AB49&gt;0,OR($T49="",$U49&gt;=29)),$AB49,0))</f>
        <v/>
      </c>
      <c r="O49" s="229">
        <f>IF($B49="","",IFERROR($I49/$H49,0))</f>
        <v/>
      </c>
      <c r="P49" s="224">
        <f>IF($B49="","",IFERROR(LOOKUP(2,1/(TAHSILAT!$C$7:$C$1506=$B49),TAHSILAT!$E$7:$E$1506),""))</f>
        <v/>
      </c>
      <c r="Q49" s="113">
        <f>IF($B49="","",IF($N49&gt;0,"KRİTİK",IF($M49&gt;0,"YÜKSEK",IF($L49&gt;0,"ORTA",IF($J49&gt;0,"İZLE","TEMİZ")))))</f>
        <v/>
      </c>
      <c r="R49" s="121">
        <f>IF($B49="","",IF($Q49="KRİTİK","Acil tahsilat görüşmesi ve cari mutabakat",IF($Q49="YÜKSEK","Bu hafta tahsilat takibi",IF($Q49="ORTA","Hatırlatma mesajı gönder",IF($Q49="İZLE","Normal takip","Aksiyon gerekmiyor")))))</f>
        <v/>
      </c>
      <c r="S49" s="227">
        <f>IF($B49="","",COUNTIFS(AKTIVITE!$D$7:$D$1006,$B49,AKTIVITE!$J$7:$J$1006,"&lt;&gt;Tamamlandı"))</f>
        <v/>
      </c>
      <c r="T49" s="224">
        <f>IF(OR($B49="",$AF49=""),"",IF(INDEX(MUSTERILER!$K$7:$K$106,$AF49)="","",INDEX(MUSTERILER!$K$7:$K$106,$AF49)))</f>
        <v/>
      </c>
      <c r="U49" s="227">
        <f>IF(OR($B49="",$T49=""),"",TODAY()-$T49)</f>
        <v/>
      </c>
      <c r="V49" s="222">
        <f>IF($B49="","",MAX(0,$I49-$H49))</f>
        <v/>
      </c>
      <c r="W49" s="113">
        <f>IF($B49="","",IF(AND(ABS($J49-($K49+$L49+$M49+$N49))&lt;0.01,ABS(($J49-$V49)-($H49-$I49))&lt;0.01),"UYGUN","İNCELE"))</f>
        <v/>
      </c>
      <c r="X49" s="6">
        <f>IF($B49="",0,SUMIFS(UCRETLER!$J$7:$J$406,UCRETLER!$B$7:$B$406,$B49))</f>
        <v/>
      </c>
      <c r="Y49" s="6">
        <f>IF($B49="",0,SUMIFS(UCRETLER!$K$7:$K$406,UCRETLER!$B$7:$B$406,$B49))</f>
        <v/>
      </c>
      <c r="Z49" s="3">
        <f>IF($B49="",0,SUMIFS(UCRETLER!$L$7:$L$406,UCRETLER!$B$7:$B$406,$B49))</f>
        <v/>
      </c>
      <c r="AA49" s="3">
        <f>IF($B49="",0,MAX(0,$I49-$F49))</f>
        <v/>
      </c>
      <c r="AB49" s="3">
        <f>IF($B49="",0,MAX(0,$F49-$I49))</f>
        <v/>
      </c>
      <c r="AC49" s="3">
        <f>IF($B49="",0,MAX(0,$X49-$AA49))</f>
        <v/>
      </c>
      <c r="AD49" s="3">
        <f>IF($B49="",0,MAX(0,$Y49-$AA49))</f>
        <v/>
      </c>
      <c r="AE49" s="3">
        <f>IF($B49="",0,MAX(0,$Z49-$AA49))</f>
        <v/>
      </c>
      <c r="AF49" s="3">
        <f>IFERROR(MATCH(ROW()-6,MUSTERILER!$U$7:$U$106,0),"")</f>
        <v/>
      </c>
      <c r="AG49" s="3">
        <f>IF($B49="",0,SUMIFS(GELIR_GIDER!$G$7:$G$1206,GELIR_GIDER!$T$7:$T$1206,$B49))</f>
        <v/>
      </c>
    </row>
    <row r="50">
      <c r="A50" s="6" t="n"/>
      <c r="B50" s="113">
        <f>IF($AF50="","",INDEX(MUSTERILER!$B$7:$B$106,$AF50))</f>
        <v/>
      </c>
      <c r="C50" s="121">
        <f>IF($AF50="","",INDEX(MUSTERILER!$C$7:$C$106,$AF50))</f>
        <v/>
      </c>
      <c r="D50" s="222">
        <f>IF($B50="","",SUMIFS(UCRETLER!$G$7:$G$406,UCRETLER!$B$7:$B$406,$B50,UCRETLER!$F$7:$F$406,"Haftalık",UCRETLER!$H$7:$H$406,"Aktif"))</f>
        <v/>
      </c>
      <c r="E50" s="222">
        <f>IF($B50="","",SUMIFS(UCRETLER!$G$7:$G$406,UCRETLER!$B$7:$B$406,$B50,UCRETLER!$F$7:$F$406,"Aylık",UCRETLER!$H$7:$H$406,"Aktif"))</f>
        <v/>
      </c>
      <c r="F50" s="222">
        <f>IF($B50="","",SUMIFS(MUSTERILER!$J$7:$J$106,MUSTERILER!$B$7:$B$106,$B50))</f>
        <v/>
      </c>
      <c r="G50" s="222">
        <f>IF($B50="","",SUMIFS(UCRETLER!$I$7:$I$406,UCRETLER!$B$7:$B$406,$B50)+SUMIFS(GELIR_GIDER!$G$7:$G$1206,GELIR_GIDER!$T$7:$T$1206,$B50))</f>
        <v/>
      </c>
      <c r="H50" s="222">
        <f>IF($B50="","",$F50+$G50)</f>
        <v/>
      </c>
      <c r="I50" s="222">
        <f>IF($B50="","",SUMIFS(TAHSILAT!$F$7:$F$1506,TAHSILAT!$C$7:$C$1506,$B50))</f>
        <v/>
      </c>
      <c r="J50" s="222">
        <f>IF($B50="","",MAX(0,$H50-$I50))</f>
        <v/>
      </c>
      <c r="K50" s="222">
        <f>IF($B50="","",MAX(0,$J50-$L50-$M50-$N50))</f>
        <v/>
      </c>
      <c r="L50" s="222">
        <f>IF($B50="","",($AC50-$AD50)+IF(AND($AB50&gt;0,$T50&lt;&gt;"",$U50&gt;=8,$U50&lt;15),$AB50,0))</f>
        <v/>
      </c>
      <c r="M50" s="222">
        <f>IF($B50="","",($AD50-$AE50)+IF(AND($AB50&gt;0,$T50&lt;&gt;"",$U50&gt;=15,$U50&lt;29),$AB50,0))</f>
        <v/>
      </c>
      <c r="N50" s="222">
        <f>IF($B50="","",$AE50+IF(AND($AB50&gt;0,OR($T50="",$U50&gt;=29)),$AB50,0))</f>
        <v/>
      </c>
      <c r="O50" s="229">
        <f>IF($B50="","",IFERROR($I50/$H50,0))</f>
        <v/>
      </c>
      <c r="P50" s="224">
        <f>IF($B50="","",IFERROR(LOOKUP(2,1/(TAHSILAT!$C$7:$C$1506=$B50),TAHSILAT!$E$7:$E$1506),""))</f>
        <v/>
      </c>
      <c r="Q50" s="113">
        <f>IF($B50="","",IF($N50&gt;0,"KRİTİK",IF($M50&gt;0,"YÜKSEK",IF($L50&gt;0,"ORTA",IF($J50&gt;0,"İZLE","TEMİZ")))))</f>
        <v/>
      </c>
      <c r="R50" s="121">
        <f>IF($B50="","",IF($Q50="KRİTİK","Acil tahsilat görüşmesi ve cari mutabakat",IF($Q50="YÜKSEK","Bu hafta tahsilat takibi",IF($Q50="ORTA","Hatırlatma mesajı gönder",IF($Q50="İZLE","Normal takip","Aksiyon gerekmiyor")))))</f>
        <v/>
      </c>
      <c r="S50" s="227">
        <f>IF($B50="","",COUNTIFS(AKTIVITE!$D$7:$D$1006,$B50,AKTIVITE!$J$7:$J$1006,"&lt;&gt;Tamamlandı"))</f>
        <v/>
      </c>
      <c r="T50" s="224">
        <f>IF(OR($B50="",$AF50=""),"",IF(INDEX(MUSTERILER!$K$7:$K$106,$AF50)="","",INDEX(MUSTERILER!$K$7:$K$106,$AF50)))</f>
        <v/>
      </c>
      <c r="U50" s="227">
        <f>IF(OR($B50="",$T50=""),"",TODAY()-$T50)</f>
        <v/>
      </c>
      <c r="V50" s="222">
        <f>IF($B50="","",MAX(0,$I50-$H50))</f>
        <v/>
      </c>
      <c r="W50" s="113">
        <f>IF($B50="","",IF(AND(ABS($J50-($K50+$L50+$M50+$N50))&lt;0.01,ABS(($J50-$V50)-($H50-$I50))&lt;0.01),"UYGUN","İNCELE"))</f>
        <v/>
      </c>
      <c r="X50" s="6">
        <f>IF($B50="",0,SUMIFS(UCRETLER!$J$7:$J$406,UCRETLER!$B$7:$B$406,$B50))</f>
        <v/>
      </c>
      <c r="Y50" s="6">
        <f>IF($B50="",0,SUMIFS(UCRETLER!$K$7:$K$406,UCRETLER!$B$7:$B$406,$B50))</f>
        <v/>
      </c>
      <c r="Z50" s="3">
        <f>IF($B50="",0,SUMIFS(UCRETLER!$L$7:$L$406,UCRETLER!$B$7:$B$406,$B50))</f>
        <v/>
      </c>
      <c r="AA50" s="3">
        <f>IF($B50="",0,MAX(0,$I50-$F50))</f>
        <v/>
      </c>
      <c r="AB50" s="3">
        <f>IF($B50="",0,MAX(0,$F50-$I50))</f>
        <v/>
      </c>
      <c r="AC50" s="3">
        <f>IF($B50="",0,MAX(0,$X50-$AA50))</f>
        <v/>
      </c>
      <c r="AD50" s="3">
        <f>IF($B50="",0,MAX(0,$Y50-$AA50))</f>
        <v/>
      </c>
      <c r="AE50" s="3">
        <f>IF($B50="",0,MAX(0,$Z50-$AA50))</f>
        <v/>
      </c>
      <c r="AF50" s="3">
        <f>IFERROR(MATCH(ROW()-6,MUSTERILER!$U$7:$U$106,0),"")</f>
        <v/>
      </c>
      <c r="AG50" s="3">
        <f>IF($B50="",0,SUMIFS(GELIR_GIDER!$G$7:$G$1206,GELIR_GIDER!$T$7:$T$1206,$B50))</f>
        <v/>
      </c>
    </row>
    <row r="51">
      <c r="A51" s="6" t="n"/>
      <c r="B51" s="113">
        <f>IF($AF51="","",INDEX(MUSTERILER!$B$7:$B$106,$AF51))</f>
        <v/>
      </c>
      <c r="C51" s="121">
        <f>IF($AF51="","",INDEX(MUSTERILER!$C$7:$C$106,$AF51))</f>
        <v/>
      </c>
      <c r="D51" s="222">
        <f>IF($B51="","",SUMIFS(UCRETLER!$G$7:$G$406,UCRETLER!$B$7:$B$406,$B51,UCRETLER!$F$7:$F$406,"Haftalık",UCRETLER!$H$7:$H$406,"Aktif"))</f>
        <v/>
      </c>
      <c r="E51" s="222">
        <f>IF($B51="","",SUMIFS(UCRETLER!$G$7:$G$406,UCRETLER!$B$7:$B$406,$B51,UCRETLER!$F$7:$F$406,"Aylık",UCRETLER!$H$7:$H$406,"Aktif"))</f>
        <v/>
      </c>
      <c r="F51" s="222">
        <f>IF($B51="","",SUMIFS(MUSTERILER!$J$7:$J$106,MUSTERILER!$B$7:$B$106,$B51))</f>
        <v/>
      </c>
      <c r="G51" s="222">
        <f>IF($B51="","",SUMIFS(UCRETLER!$I$7:$I$406,UCRETLER!$B$7:$B$406,$B51)+SUMIFS(GELIR_GIDER!$G$7:$G$1206,GELIR_GIDER!$T$7:$T$1206,$B51))</f>
        <v/>
      </c>
      <c r="H51" s="222">
        <f>IF($B51="","",$F51+$G51)</f>
        <v/>
      </c>
      <c r="I51" s="222">
        <f>IF($B51="","",SUMIFS(TAHSILAT!$F$7:$F$1506,TAHSILAT!$C$7:$C$1506,$B51))</f>
        <v/>
      </c>
      <c r="J51" s="222">
        <f>IF($B51="","",MAX(0,$H51-$I51))</f>
        <v/>
      </c>
      <c r="K51" s="222">
        <f>IF($B51="","",MAX(0,$J51-$L51-$M51-$N51))</f>
        <v/>
      </c>
      <c r="L51" s="222">
        <f>IF($B51="","",($AC51-$AD51)+IF(AND($AB51&gt;0,$T51&lt;&gt;"",$U51&gt;=8,$U51&lt;15),$AB51,0))</f>
        <v/>
      </c>
      <c r="M51" s="222">
        <f>IF($B51="","",($AD51-$AE51)+IF(AND($AB51&gt;0,$T51&lt;&gt;"",$U51&gt;=15,$U51&lt;29),$AB51,0))</f>
        <v/>
      </c>
      <c r="N51" s="222">
        <f>IF($B51="","",$AE51+IF(AND($AB51&gt;0,OR($T51="",$U51&gt;=29)),$AB51,0))</f>
        <v/>
      </c>
      <c r="O51" s="229">
        <f>IF($B51="","",IFERROR($I51/$H51,0))</f>
        <v/>
      </c>
      <c r="P51" s="224">
        <f>IF($B51="","",IFERROR(LOOKUP(2,1/(TAHSILAT!$C$7:$C$1506=$B51),TAHSILAT!$E$7:$E$1506),""))</f>
        <v/>
      </c>
      <c r="Q51" s="113">
        <f>IF($B51="","",IF($N51&gt;0,"KRİTİK",IF($M51&gt;0,"YÜKSEK",IF($L51&gt;0,"ORTA",IF($J51&gt;0,"İZLE","TEMİZ")))))</f>
        <v/>
      </c>
      <c r="R51" s="121">
        <f>IF($B51="","",IF($Q51="KRİTİK","Acil tahsilat görüşmesi ve cari mutabakat",IF($Q51="YÜKSEK","Bu hafta tahsilat takibi",IF($Q51="ORTA","Hatırlatma mesajı gönder",IF($Q51="İZLE","Normal takip","Aksiyon gerekmiyor")))))</f>
        <v/>
      </c>
      <c r="S51" s="227">
        <f>IF($B51="","",COUNTIFS(AKTIVITE!$D$7:$D$1006,$B51,AKTIVITE!$J$7:$J$1006,"&lt;&gt;Tamamlandı"))</f>
        <v/>
      </c>
      <c r="T51" s="224">
        <f>IF(OR($B51="",$AF51=""),"",IF(INDEX(MUSTERILER!$K$7:$K$106,$AF51)="","",INDEX(MUSTERILER!$K$7:$K$106,$AF51)))</f>
        <v/>
      </c>
      <c r="U51" s="227">
        <f>IF(OR($B51="",$T51=""),"",TODAY()-$T51)</f>
        <v/>
      </c>
      <c r="V51" s="222">
        <f>IF($B51="","",MAX(0,$I51-$H51))</f>
        <v/>
      </c>
      <c r="W51" s="113">
        <f>IF($B51="","",IF(AND(ABS($J51-($K51+$L51+$M51+$N51))&lt;0.01,ABS(($J51-$V51)-($H51-$I51))&lt;0.01),"UYGUN","İNCELE"))</f>
        <v/>
      </c>
      <c r="X51" s="6">
        <f>IF($B51="",0,SUMIFS(UCRETLER!$J$7:$J$406,UCRETLER!$B$7:$B$406,$B51))</f>
        <v/>
      </c>
      <c r="Y51" s="6">
        <f>IF($B51="",0,SUMIFS(UCRETLER!$K$7:$K$406,UCRETLER!$B$7:$B$406,$B51))</f>
        <v/>
      </c>
      <c r="Z51" s="3">
        <f>IF($B51="",0,SUMIFS(UCRETLER!$L$7:$L$406,UCRETLER!$B$7:$B$406,$B51))</f>
        <v/>
      </c>
      <c r="AA51" s="3">
        <f>IF($B51="",0,MAX(0,$I51-$F51))</f>
        <v/>
      </c>
      <c r="AB51" s="3">
        <f>IF($B51="",0,MAX(0,$F51-$I51))</f>
        <v/>
      </c>
      <c r="AC51" s="3">
        <f>IF($B51="",0,MAX(0,$X51-$AA51))</f>
        <v/>
      </c>
      <c r="AD51" s="3">
        <f>IF($B51="",0,MAX(0,$Y51-$AA51))</f>
        <v/>
      </c>
      <c r="AE51" s="3">
        <f>IF($B51="",0,MAX(0,$Z51-$AA51))</f>
        <v/>
      </c>
      <c r="AF51" s="3">
        <f>IFERROR(MATCH(ROW()-6,MUSTERILER!$U$7:$U$106,0),"")</f>
        <v/>
      </c>
      <c r="AG51" s="3">
        <f>IF($B51="",0,SUMIFS(GELIR_GIDER!$G$7:$G$1206,GELIR_GIDER!$T$7:$T$1206,$B51))</f>
        <v/>
      </c>
    </row>
    <row r="52">
      <c r="A52" s="6" t="n"/>
      <c r="B52" s="113">
        <f>IF($AF52="","",INDEX(MUSTERILER!$B$7:$B$106,$AF52))</f>
        <v/>
      </c>
      <c r="C52" s="121">
        <f>IF($AF52="","",INDEX(MUSTERILER!$C$7:$C$106,$AF52))</f>
        <v/>
      </c>
      <c r="D52" s="222">
        <f>IF($B52="","",SUMIFS(UCRETLER!$G$7:$G$406,UCRETLER!$B$7:$B$406,$B52,UCRETLER!$F$7:$F$406,"Haftalık",UCRETLER!$H$7:$H$406,"Aktif"))</f>
        <v/>
      </c>
      <c r="E52" s="222">
        <f>IF($B52="","",SUMIFS(UCRETLER!$G$7:$G$406,UCRETLER!$B$7:$B$406,$B52,UCRETLER!$F$7:$F$406,"Aylık",UCRETLER!$H$7:$H$406,"Aktif"))</f>
        <v/>
      </c>
      <c r="F52" s="222">
        <f>IF($B52="","",SUMIFS(MUSTERILER!$J$7:$J$106,MUSTERILER!$B$7:$B$106,$B52))</f>
        <v/>
      </c>
      <c r="G52" s="222">
        <f>IF($B52="","",SUMIFS(UCRETLER!$I$7:$I$406,UCRETLER!$B$7:$B$406,$B52)+SUMIFS(GELIR_GIDER!$G$7:$G$1206,GELIR_GIDER!$T$7:$T$1206,$B52))</f>
        <v/>
      </c>
      <c r="H52" s="222">
        <f>IF($B52="","",$F52+$G52)</f>
        <v/>
      </c>
      <c r="I52" s="222">
        <f>IF($B52="","",SUMIFS(TAHSILAT!$F$7:$F$1506,TAHSILAT!$C$7:$C$1506,$B52))</f>
        <v/>
      </c>
      <c r="J52" s="222">
        <f>IF($B52="","",MAX(0,$H52-$I52))</f>
        <v/>
      </c>
      <c r="K52" s="222">
        <f>IF($B52="","",MAX(0,$J52-$L52-$M52-$N52))</f>
        <v/>
      </c>
      <c r="L52" s="222">
        <f>IF($B52="","",($AC52-$AD52)+IF(AND($AB52&gt;0,$T52&lt;&gt;"",$U52&gt;=8,$U52&lt;15),$AB52,0))</f>
        <v/>
      </c>
      <c r="M52" s="222">
        <f>IF($B52="","",($AD52-$AE52)+IF(AND($AB52&gt;0,$T52&lt;&gt;"",$U52&gt;=15,$U52&lt;29),$AB52,0))</f>
        <v/>
      </c>
      <c r="N52" s="222">
        <f>IF($B52="","",$AE52+IF(AND($AB52&gt;0,OR($T52="",$U52&gt;=29)),$AB52,0))</f>
        <v/>
      </c>
      <c r="O52" s="229">
        <f>IF($B52="","",IFERROR($I52/$H52,0))</f>
        <v/>
      </c>
      <c r="P52" s="224">
        <f>IF($B52="","",IFERROR(LOOKUP(2,1/(TAHSILAT!$C$7:$C$1506=$B52),TAHSILAT!$E$7:$E$1506),""))</f>
        <v/>
      </c>
      <c r="Q52" s="113">
        <f>IF($B52="","",IF($N52&gt;0,"KRİTİK",IF($M52&gt;0,"YÜKSEK",IF($L52&gt;0,"ORTA",IF($J52&gt;0,"İZLE","TEMİZ")))))</f>
        <v/>
      </c>
      <c r="R52" s="121">
        <f>IF($B52="","",IF($Q52="KRİTİK","Acil tahsilat görüşmesi ve cari mutabakat",IF($Q52="YÜKSEK","Bu hafta tahsilat takibi",IF($Q52="ORTA","Hatırlatma mesajı gönder",IF($Q52="İZLE","Normal takip","Aksiyon gerekmiyor")))))</f>
        <v/>
      </c>
      <c r="S52" s="227">
        <f>IF($B52="","",COUNTIFS(AKTIVITE!$D$7:$D$1006,$B52,AKTIVITE!$J$7:$J$1006,"&lt;&gt;Tamamlandı"))</f>
        <v/>
      </c>
      <c r="T52" s="224">
        <f>IF(OR($B52="",$AF52=""),"",IF(INDEX(MUSTERILER!$K$7:$K$106,$AF52)="","",INDEX(MUSTERILER!$K$7:$K$106,$AF52)))</f>
        <v/>
      </c>
      <c r="U52" s="227">
        <f>IF(OR($B52="",$T52=""),"",TODAY()-$T52)</f>
        <v/>
      </c>
      <c r="V52" s="222">
        <f>IF($B52="","",MAX(0,$I52-$H52))</f>
        <v/>
      </c>
      <c r="W52" s="113">
        <f>IF($B52="","",IF(AND(ABS($J52-($K52+$L52+$M52+$N52))&lt;0.01,ABS(($J52-$V52)-($H52-$I52))&lt;0.01),"UYGUN","İNCELE"))</f>
        <v/>
      </c>
      <c r="X52" s="6">
        <f>IF($B52="",0,SUMIFS(UCRETLER!$J$7:$J$406,UCRETLER!$B$7:$B$406,$B52))</f>
        <v/>
      </c>
      <c r="Y52" s="6">
        <f>IF($B52="",0,SUMIFS(UCRETLER!$K$7:$K$406,UCRETLER!$B$7:$B$406,$B52))</f>
        <v/>
      </c>
      <c r="Z52" s="3">
        <f>IF($B52="",0,SUMIFS(UCRETLER!$L$7:$L$406,UCRETLER!$B$7:$B$406,$B52))</f>
        <v/>
      </c>
      <c r="AA52" s="3">
        <f>IF($B52="",0,MAX(0,$I52-$F52))</f>
        <v/>
      </c>
      <c r="AB52" s="3">
        <f>IF($B52="",0,MAX(0,$F52-$I52))</f>
        <v/>
      </c>
      <c r="AC52" s="3">
        <f>IF($B52="",0,MAX(0,$X52-$AA52))</f>
        <v/>
      </c>
      <c r="AD52" s="3">
        <f>IF($B52="",0,MAX(0,$Y52-$AA52))</f>
        <v/>
      </c>
      <c r="AE52" s="3">
        <f>IF($B52="",0,MAX(0,$Z52-$AA52))</f>
        <v/>
      </c>
      <c r="AF52" s="3">
        <f>IFERROR(MATCH(ROW()-6,MUSTERILER!$U$7:$U$106,0),"")</f>
        <v/>
      </c>
      <c r="AG52" s="3">
        <f>IF($B52="",0,SUMIFS(GELIR_GIDER!$G$7:$G$1206,GELIR_GIDER!$T$7:$T$1206,$B52))</f>
        <v/>
      </c>
    </row>
    <row r="53">
      <c r="A53" s="6" t="n"/>
      <c r="B53" s="113">
        <f>IF($AF53="","",INDEX(MUSTERILER!$B$7:$B$106,$AF53))</f>
        <v/>
      </c>
      <c r="C53" s="121">
        <f>IF($AF53="","",INDEX(MUSTERILER!$C$7:$C$106,$AF53))</f>
        <v/>
      </c>
      <c r="D53" s="222">
        <f>IF($B53="","",SUMIFS(UCRETLER!$G$7:$G$406,UCRETLER!$B$7:$B$406,$B53,UCRETLER!$F$7:$F$406,"Haftalık",UCRETLER!$H$7:$H$406,"Aktif"))</f>
        <v/>
      </c>
      <c r="E53" s="222">
        <f>IF($B53="","",SUMIFS(UCRETLER!$G$7:$G$406,UCRETLER!$B$7:$B$406,$B53,UCRETLER!$F$7:$F$406,"Aylık",UCRETLER!$H$7:$H$406,"Aktif"))</f>
        <v/>
      </c>
      <c r="F53" s="222">
        <f>IF($B53="","",SUMIFS(MUSTERILER!$J$7:$J$106,MUSTERILER!$B$7:$B$106,$B53))</f>
        <v/>
      </c>
      <c r="G53" s="222">
        <f>IF($B53="","",SUMIFS(UCRETLER!$I$7:$I$406,UCRETLER!$B$7:$B$406,$B53)+SUMIFS(GELIR_GIDER!$G$7:$G$1206,GELIR_GIDER!$T$7:$T$1206,$B53))</f>
        <v/>
      </c>
      <c r="H53" s="222">
        <f>IF($B53="","",$F53+$G53)</f>
        <v/>
      </c>
      <c r="I53" s="222">
        <f>IF($B53="","",SUMIFS(TAHSILAT!$F$7:$F$1506,TAHSILAT!$C$7:$C$1506,$B53))</f>
        <v/>
      </c>
      <c r="J53" s="222">
        <f>IF($B53="","",MAX(0,$H53-$I53))</f>
        <v/>
      </c>
      <c r="K53" s="222">
        <f>IF($B53="","",MAX(0,$J53-$L53-$M53-$N53))</f>
        <v/>
      </c>
      <c r="L53" s="222">
        <f>IF($B53="","",($AC53-$AD53)+IF(AND($AB53&gt;0,$T53&lt;&gt;"",$U53&gt;=8,$U53&lt;15),$AB53,0))</f>
        <v/>
      </c>
      <c r="M53" s="222">
        <f>IF($B53="","",($AD53-$AE53)+IF(AND($AB53&gt;0,$T53&lt;&gt;"",$U53&gt;=15,$U53&lt;29),$AB53,0))</f>
        <v/>
      </c>
      <c r="N53" s="222">
        <f>IF($B53="","",$AE53+IF(AND($AB53&gt;0,OR($T53="",$U53&gt;=29)),$AB53,0))</f>
        <v/>
      </c>
      <c r="O53" s="229">
        <f>IF($B53="","",IFERROR($I53/$H53,0))</f>
        <v/>
      </c>
      <c r="P53" s="224">
        <f>IF($B53="","",IFERROR(LOOKUP(2,1/(TAHSILAT!$C$7:$C$1506=$B53),TAHSILAT!$E$7:$E$1506),""))</f>
        <v/>
      </c>
      <c r="Q53" s="113">
        <f>IF($B53="","",IF($N53&gt;0,"KRİTİK",IF($M53&gt;0,"YÜKSEK",IF($L53&gt;0,"ORTA",IF($J53&gt;0,"İZLE","TEMİZ")))))</f>
        <v/>
      </c>
      <c r="R53" s="121">
        <f>IF($B53="","",IF($Q53="KRİTİK","Acil tahsilat görüşmesi ve cari mutabakat",IF($Q53="YÜKSEK","Bu hafta tahsilat takibi",IF($Q53="ORTA","Hatırlatma mesajı gönder",IF($Q53="İZLE","Normal takip","Aksiyon gerekmiyor")))))</f>
        <v/>
      </c>
      <c r="S53" s="227">
        <f>IF($B53="","",COUNTIFS(AKTIVITE!$D$7:$D$1006,$B53,AKTIVITE!$J$7:$J$1006,"&lt;&gt;Tamamlandı"))</f>
        <v/>
      </c>
      <c r="T53" s="224">
        <f>IF(OR($B53="",$AF53=""),"",IF(INDEX(MUSTERILER!$K$7:$K$106,$AF53)="","",INDEX(MUSTERILER!$K$7:$K$106,$AF53)))</f>
        <v/>
      </c>
      <c r="U53" s="227">
        <f>IF(OR($B53="",$T53=""),"",TODAY()-$T53)</f>
        <v/>
      </c>
      <c r="V53" s="222">
        <f>IF($B53="","",MAX(0,$I53-$H53))</f>
        <v/>
      </c>
      <c r="W53" s="113">
        <f>IF($B53="","",IF(AND(ABS($J53-($K53+$L53+$M53+$N53))&lt;0.01,ABS(($J53-$V53)-($H53-$I53))&lt;0.01),"UYGUN","İNCELE"))</f>
        <v/>
      </c>
      <c r="X53" s="6">
        <f>IF($B53="",0,SUMIFS(UCRETLER!$J$7:$J$406,UCRETLER!$B$7:$B$406,$B53))</f>
        <v/>
      </c>
      <c r="Y53" s="6">
        <f>IF($B53="",0,SUMIFS(UCRETLER!$K$7:$K$406,UCRETLER!$B$7:$B$406,$B53))</f>
        <v/>
      </c>
      <c r="Z53" s="3">
        <f>IF($B53="",0,SUMIFS(UCRETLER!$L$7:$L$406,UCRETLER!$B$7:$B$406,$B53))</f>
        <v/>
      </c>
      <c r="AA53" s="3">
        <f>IF($B53="",0,MAX(0,$I53-$F53))</f>
        <v/>
      </c>
      <c r="AB53" s="3">
        <f>IF($B53="",0,MAX(0,$F53-$I53))</f>
        <v/>
      </c>
      <c r="AC53" s="3">
        <f>IF($B53="",0,MAX(0,$X53-$AA53))</f>
        <v/>
      </c>
      <c r="AD53" s="3">
        <f>IF($B53="",0,MAX(0,$Y53-$AA53))</f>
        <v/>
      </c>
      <c r="AE53" s="3">
        <f>IF($B53="",0,MAX(0,$Z53-$AA53))</f>
        <v/>
      </c>
      <c r="AF53" s="3">
        <f>IFERROR(MATCH(ROW()-6,MUSTERILER!$U$7:$U$106,0),"")</f>
        <v/>
      </c>
      <c r="AG53" s="3">
        <f>IF($B53="",0,SUMIFS(GELIR_GIDER!$G$7:$G$1206,GELIR_GIDER!$T$7:$T$1206,$B53))</f>
        <v/>
      </c>
    </row>
    <row r="54">
      <c r="A54" s="6" t="n"/>
      <c r="B54" s="113">
        <f>IF($AF54="","",INDEX(MUSTERILER!$B$7:$B$106,$AF54))</f>
        <v/>
      </c>
      <c r="C54" s="121">
        <f>IF($AF54="","",INDEX(MUSTERILER!$C$7:$C$106,$AF54))</f>
        <v/>
      </c>
      <c r="D54" s="222">
        <f>IF($B54="","",SUMIFS(UCRETLER!$G$7:$G$406,UCRETLER!$B$7:$B$406,$B54,UCRETLER!$F$7:$F$406,"Haftalık",UCRETLER!$H$7:$H$406,"Aktif"))</f>
        <v/>
      </c>
      <c r="E54" s="222">
        <f>IF($B54="","",SUMIFS(UCRETLER!$G$7:$G$406,UCRETLER!$B$7:$B$406,$B54,UCRETLER!$F$7:$F$406,"Aylık",UCRETLER!$H$7:$H$406,"Aktif"))</f>
        <v/>
      </c>
      <c r="F54" s="222">
        <f>IF($B54="","",SUMIFS(MUSTERILER!$J$7:$J$106,MUSTERILER!$B$7:$B$106,$B54))</f>
        <v/>
      </c>
      <c r="G54" s="222">
        <f>IF($B54="","",SUMIFS(UCRETLER!$I$7:$I$406,UCRETLER!$B$7:$B$406,$B54)+SUMIFS(GELIR_GIDER!$G$7:$G$1206,GELIR_GIDER!$T$7:$T$1206,$B54))</f>
        <v/>
      </c>
      <c r="H54" s="222">
        <f>IF($B54="","",$F54+$G54)</f>
        <v/>
      </c>
      <c r="I54" s="222">
        <f>IF($B54="","",SUMIFS(TAHSILAT!$F$7:$F$1506,TAHSILAT!$C$7:$C$1506,$B54))</f>
        <v/>
      </c>
      <c r="J54" s="222">
        <f>IF($B54="","",MAX(0,$H54-$I54))</f>
        <v/>
      </c>
      <c r="K54" s="222">
        <f>IF($B54="","",MAX(0,$J54-$L54-$M54-$N54))</f>
        <v/>
      </c>
      <c r="L54" s="222">
        <f>IF($B54="","",($AC54-$AD54)+IF(AND($AB54&gt;0,$T54&lt;&gt;"",$U54&gt;=8,$U54&lt;15),$AB54,0))</f>
        <v/>
      </c>
      <c r="M54" s="222">
        <f>IF($B54="","",($AD54-$AE54)+IF(AND($AB54&gt;0,$T54&lt;&gt;"",$U54&gt;=15,$U54&lt;29),$AB54,0))</f>
        <v/>
      </c>
      <c r="N54" s="222">
        <f>IF($B54="","",$AE54+IF(AND($AB54&gt;0,OR($T54="",$U54&gt;=29)),$AB54,0))</f>
        <v/>
      </c>
      <c r="O54" s="229">
        <f>IF($B54="","",IFERROR($I54/$H54,0))</f>
        <v/>
      </c>
      <c r="P54" s="224">
        <f>IF($B54="","",IFERROR(LOOKUP(2,1/(TAHSILAT!$C$7:$C$1506=$B54),TAHSILAT!$E$7:$E$1506),""))</f>
        <v/>
      </c>
      <c r="Q54" s="113">
        <f>IF($B54="","",IF($N54&gt;0,"KRİTİK",IF($M54&gt;0,"YÜKSEK",IF($L54&gt;0,"ORTA",IF($J54&gt;0,"İZLE","TEMİZ")))))</f>
        <v/>
      </c>
      <c r="R54" s="121">
        <f>IF($B54="","",IF($Q54="KRİTİK","Acil tahsilat görüşmesi ve cari mutabakat",IF($Q54="YÜKSEK","Bu hafta tahsilat takibi",IF($Q54="ORTA","Hatırlatma mesajı gönder",IF($Q54="İZLE","Normal takip","Aksiyon gerekmiyor")))))</f>
        <v/>
      </c>
      <c r="S54" s="227">
        <f>IF($B54="","",COUNTIFS(AKTIVITE!$D$7:$D$1006,$B54,AKTIVITE!$J$7:$J$1006,"&lt;&gt;Tamamlandı"))</f>
        <v/>
      </c>
      <c r="T54" s="224">
        <f>IF(OR($B54="",$AF54=""),"",IF(INDEX(MUSTERILER!$K$7:$K$106,$AF54)="","",INDEX(MUSTERILER!$K$7:$K$106,$AF54)))</f>
        <v/>
      </c>
      <c r="U54" s="227">
        <f>IF(OR($B54="",$T54=""),"",TODAY()-$T54)</f>
        <v/>
      </c>
      <c r="V54" s="222">
        <f>IF($B54="","",MAX(0,$I54-$H54))</f>
        <v/>
      </c>
      <c r="W54" s="113">
        <f>IF($B54="","",IF(AND(ABS($J54-($K54+$L54+$M54+$N54))&lt;0.01,ABS(($J54-$V54)-($H54-$I54))&lt;0.01),"UYGUN","İNCELE"))</f>
        <v/>
      </c>
      <c r="X54" s="6">
        <f>IF($B54="",0,SUMIFS(UCRETLER!$J$7:$J$406,UCRETLER!$B$7:$B$406,$B54))</f>
        <v/>
      </c>
      <c r="Y54" s="6">
        <f>IF($B54="",0,SUMIFS(UCRETLER!$K$7:$K$406,UCRETLER!$B$7:$B$406,$B54))</f>
        <v/>
      </c>
      <c r="Z54" s="3">
        <f>IF($B54="",0,SUMIFS(UCRETLER!$L$7:$L$406,UCRETLER!$B$7:$B$406,$B54))</f>
        <v/>
      </c>
      <c r="AA54" s="3">
        <f>IF($B54="",0,MAX(0,$I54-$F54))</f>
        <v/>
      </c>
      <c r="AB54" s="3">
        <f>IF($B54="",0,MAX(0,$F54-$I54))</f>
        <v/>
      </c>
      <c r="AC54" s="3">
        <f>IF($B54="",0,MAX(0,$X54-$AA54))</f>
        <v/>
      </c>
      <c r="AD54" s="3">
        <f>IF($B54="",0,MAX(0,$Y54-$AA54))</f>
        <v/>
      </c>
      <c r="AE54" s="3">
        <f>IF($B54="",0,MAX(0,$Z54-$AA54))</f>
        <v/>
      </c>
      <c r="AF54" s="3">
        <f>IFERROR(MATCH(ROW()-6,MUSTERILER!$U$7:$U$106,0),"")</f>
        <v/>
      </c>
      <c r="AG54" s="3">
        <f>IF($B54="",0,SUMIFS(GELIR_GIDER!$G$7:$G$1206,GELIR_GIDER!$T$7:$T$1206,$B54))</f>
        <v/>
      </c>
    </row>
    <row r="55">
      <c r="A55" s="6" t="n"/>
      <c r="B55" s="113">
        <f>IF($AF55="","",INDEX(MUSTERILER!$B$7:$B$106,$AF55))</f>
        <v/>
      </c>
      <c r="C55" s="121">
        <f>IF($AF55="","",INDEX(MUSTERILER!$C$7:$C$106,$AF55))</f>
        <v/>
      </c>
      <c r="D55" s="222">
        <f>IF($B55="","",SUMIFS(UCRETLER!$G$7:$G$406,UCRETLER!$B$7:$B$406,$B55,UCRETLER!$F$7:$F$406,"Haftalık",UCRETLER!$H$7:$H$406,"Aktif"))</f>
        <v/>
      </c>
      <c r="E55" s="222">
        <f>IF($B55="","",SUMIFS(UCRETLER!$G$7:$G$406,UCRETLER!$B$7:$B$406,$B55,UCRETLER!$F$7:$F$406,"Aylık",UCRETLER!$H$7:$H$406,"Aktif"))</f>
        <v/>
      </c>
      <c r="F55" s="222">
        <f>IF($B55="","",SUMIFS(MUSTERILER!$J$7:$J$106,MUSTERILER!$B$7:$B$106,$B55))</f>
        <v/>
      </c>
      <c r="G55" s="222">
        <f>IF($B55="","",SUMIFS(UCRETLER!$I$7:$I$406,UCRETLER!$B$7:$B$406,$B55)+SUMIFS(GELIR_GIDER!$G$7:$G$1206,GELIR_GIDER!$T$7:$T$1206,$B55))</f>
        <v/>
      </c>
      <c r="H55" s="222">
        <f>IF($B55="","",$F55+$G55)</f>
        <v/>
      </c>
      <c r="I55" s="222">
        <f>IF($B55="","",SUMIFS(TAHSILAT!$F$7:$F$1506,TAHSILAT!$C$7:$C$1506,$B55))</f>
        <v/>
      </c>
      <c r="J55" s="222">
        <f>IF($B55="","",MAX(0,$H55-$I55))</f>
        <v/>
      </c>
      <c r="K55" s="222">
        <f>IF($B55="","",MAX(0,$J55-$L55-$M55-$N55))</f>
        <v/>
      </c>
      <c r="L55" s="222">
        <f>IF($B55="","",($AC55-$AD55)+IF(AND($AB55&gt;0,$T55&lt;&gt;"",$U55&gt;=8,$U55&lt;15),$AB55,0))</f>
        <v/>
      </c>
      <c r="M55" s="222">
        <f>IF($B55="","",($AD55-$AE55)+IF(AND($AB55&gt;0,$T55&lt;&gt;"",$U55&gt;=15,$U55&lt;29),$AB55,0))</f>
        <v/>
      </c>
      <c r="N55" s="222">
        <f>IF($B55="","",$AE55+IF(AND($AB55&gt;0,OR($T55="",$U55&gt;=29)),$AB55,0))</f>
        <v/>
      </c>
      <c r="O55" s="229">
        <f>IF($B55="","",IFERROR($I55/$H55,0))</f>
        <v/>
      </c>
      <c r="P55" s="224">
        <f>IF($B55="","",IFERROR(LOOKUP(2,1/(TAHSILAT!$C$7:$C$1506=$B55),TAHSILAT!$E$7:$E$1506),""))</f>
        <v/>
      </c>
      <c r="Q55" s="113">
        <f>IF($B55="","",IF($N55&gt;0,"KRİTİK",IF($M55&gt;0,"YÜKSEK",IF($L55&gt;0,"ORTA",IF($J55&gt;0,"İZLE","TEMİZ")))))</f>
        <v/>
      </c>
      <c r="R55" s="121">
        <f>IF($B55="","",IF($Q55="KRİTİK","Acil tahsilat görüşmesi ve cari mutabakat",IF($Q55="YÜKSEK","Bu hafta tahsilat takibi",IF($Q55="ORTA","Hatırlatma mesajı gönder",IF($Q55="İZLE","Normal takip","Aksiyon gerekmiyor")))))</f>
        <v/>
      </c>
      <c r="S55" s="227">
        <f>IF($B55="","",COUNTIFS(AKTIVITE!$D$7:$D$1006,$B55,AKTIVITE!$J$7:$J$1006,"&lt;&gt;Tamamlandı"))</f>
        <v/>
      </c>
      <c r="T55" s="224">
        <f>IF(OR($B55="",$AF55=""),"",IF(INDEX(MUSTERILER!$K$7:$K$106,$AF55)="","",INDEX(MUSTERILER!$K$7:$K$106,$AF55)))</f>
        <v/>
      </c>
      <c r="U55" s="227">
        <f>IF(OR($B55="",$T55=""),"",TODAY()-$T55)</f>
        <v/>
      </c>
      <c r="V55" s="222">
        <f>IF($B55="","",MAX(0,$I55-$H55))</f>
        <v/>
      </c>
      <c r="W55" s="113">
        <f>IF($B55="","",IF(AND(ABS($J55-($K55+$L55+$M55+$N55))&lt;0.01,ABS(($J55-$V55)-($H55-$I55))&lt;0.01),"UYGUN","İNCELE"))</f>
        <v/>
      </c>
      <c r="X55" s="6">
        <f>IF($B55="",0,SUMIFS(UCRETLER!$J$7:$J$406,UCRETLER!$B$7:$B$406,$B55))</f>
        <v/>
      </c>
      <c r="Y55" s="6">
        <f>IF($B55="",0,SUMIFS(UCRETLER!$K$7:$K$406,UCRETLER!$B$7:$B$406,$B55))</f>
        <v/>
      </c>
      <c r="Z55" s="3">
        <f>IF($B55="",0,SUMIFS(UCRETLER!$L$7:$L$406,UCRETLER!$B$7:$B$406,$B55))</f>
        <v/>
      </c>
      <c r="AA55" s="3">
        <f>IF($B55="",0,MAX(0,$I55-$F55))</f>
        <v/>
      </c>
      <c r="AB55" s="3">
        <f>IF($B55="",0,MAX(0,$F55-$I55))</f>
        <v/>
      </c>
      <c r="AC55" s="3">
        <f>IF($B55="",0,MAX(0,$X55-$AA55))</f>
        <v/>
      </c>
      <c r="AD55" s="3">
        <f>IF($B55="",0,MAX(0,$Y55-$AA55))</f>
        <v/>
      </c>
      <c r="AE55" s="3">
        <f>IF($B55="",0,MAX(0,$Z55-$AA55))</f>
        <v/>
      </c>
      <c r="AF55" s="3">
        <f>IFERROR(MATCH(ROW()-6,MUSTERILER!$U$7:$U$106,0),"")</f>
        <v/>
      </c>
      <c r="AG55" s="3">
        <f>IF($B55="",0,SUMIFS(GELIR_GIDER!$G$7:$G$1206,GELIR_GIDER!$T$7:$T$1206,$B55))</f>
        <v/>
      </c>
    </row>
    <row r="56">
      <c r="A56" s="6" t="n"/>
      <c r="B56" s="113">
        <f>IF($AF56="","",INDEX(MUSTERILER!$B$7:$B$106,$AF56))</f>
        <v/>
      </c>
      <c r="C56" s="121">
        <f>IF($AF56="","",INDEX(MUSTERILER!$C$7:$C$106,$AF56))</f>
        <v/>
      </c>
      <c r="D56" s="222">
        <f>IF($B56="","",SUMIFS(UCRETLER!$G$7:$G$406,UCRETLER!$B$7:$B$406,$B56,UCRETLER!$F$7:$F$406,"Haftalık",UCRETLER!$H$7:$H$406,"Aktif"))</f>
        <v/>
      </c>
      <c r="E56" s="222">
        <f>IF($B56="","",SUMIFS(UCRETLER!$G$7:$G$406,UCRETLER!$B$7:$B$406,$B56,UCRETLER!$F$7:$F$406,"Aylık",UCRETLER!$H$7:$H$406,"Aktif"))</f>
        <v/>
      </c>
      <c r="F56" s="222">
        <f>IF($B56="","",SUMIFS(MUSTERILER!$J$7:$J$106,MUSTERILER!$B$7:$B$106,$B56))</f>
        <v/>
      </c>
      <c r="G56" s="222">
        <f>IF($B56="","",SUMIFS(UCRETLER!$I$7:$I$406,UCRETLER!$B$7:$B$406,$B56)+SUMIFS(GELIR_GIDER!$G$7:$G$1206,GELIR_GIDER!$T$7:$T$1206,$B56))</f>
        <v/>
      </c>
      <c r="H56" s="222">
        <f>IF($B56="","",$F56+$G56)</f>
        <v/>
      </c>
      <c r="I56" s="222">
        <f>IF($B56="","",SUMIFS(TAHSILAT!$F$7:$F$1506,TAHSILAT!$C$7:$C$1506,$B56))</f>
        <v/>
      </c>
      <c r="J56" s="222">
        <f>IF($B56="","",MAX(0,$H56-$I56))</f>
        <v/>
      </c>
      <c r="K56" s="222">
        <f>IF($B56="","",MAX(0,$J56-$L56-$M56-$N56))</f>
        <v/>
      </c>
      <c r="L56" s="222">
        <f>IF($B56="","",($AC56-$AD56)+IF(AND($AB56&gt;0,$T56&lt;&gt;"",$U56&gt;=8,$U56&lt;15),$AB56,0))</f>
        <v/>
      </c>
      <c r="M56" s="222">
        <f>IF($B56="","",($AD56-$AE56)+IF(AND($AB56&gt;0,$T56&lt;&gt;"",$U56&gt;=15,$U56&lt;29),$AB56,0))</f>
        <v/>
      </c>
      <c r="N56" s="222">
        <f>IF($B56="","",$AE56+IF(AND($AB56&gt;0,OR($T56="",$U56&gt;=29)),$AB56,0))</f>
        <v/>
      </c>
      <c r="O56" s="229">
        <f>IF($B56="","",IFERROR($I56/$H56,0))</f>
        <v/>
      </c>
      <c r="P56" s="224">
        <f>IF($B56="","",IFERROR(LOOKUP(2,1/(TAHSILAT!$C$7:$C$1506=$B56),TAHSILAT!$E$7:$E$1506),""))</f>
        <v/>
      </c>
      <c r="Q56" s="113">
        <f>IF($B56="","",IF($N56&gt;0,"KRİTİK",IF($M56&gt;0,"YÜKSEK",IF($L56&gt;0,"ORTA",IF($J56&gt;0,"İZLE","TEMİZ")))))</f>
        <v/>
      </c>
      <c r="R56" s="121">
        <f>IF($B56="","",IF($Q56="KRİTİK","Acil tahsilat görüşmesi ve cari mutabakat",IF($Q56="YÜKSEK","Bu hafta tahsilat takibi",IF($Q56="ORTA","Hatırlatma mesajı gönder",IF($Q56="İZLE","Normal takip","Aksiyon gerekmiyor")))))</f>
        <v/>
      </c>
      <c r="S56" s="227">
        <f>IF($B56="","",COUNTIFS(AKTIVITE!$D$7:$D$1006,$B56,AKTIVITE!$J$7:$J$1006,"&lt;&gt;Tamamlandı"))</f>
        <v/>
      </c>
      <c r="T56" s="224">
        <f>IF(OR($B56="",$AF56=""),"",IF(INDEX(MUSTERILER!$K$7:$K$106,$AF56)="","",INDEX(MUSTERILER!$K$7:$K$106,$AF56)))</f>
        <v/>
      </c>
      <c r="U56" s="227">
        <f>IF(OR($B56="",$T56=""),"",TODAY()-$T56)</f>
        <v/>
      </c>
      <c r="V56" s="222">
        <f>IF($B56="","",MAX(0,$I56-$H56))</f>
        <v/>
      </c>
      <c r="W56" s="113">
        <f>IF($B56="","",IF(AND(ABS($J56-($K56+$L56+$M56+$N56))&lt;0.01,ABS(($J56-$V56)-($H56-$I56))&lt;0.01),"UYGUN","İNCELE"))</f>
        <v/>
      </c>
      <c r="X56" s="6">
        <f>IF($B56="",0,SUMIFS(UCRETLER!$J$7:$J$406,UCRETLER!$B$7:$B$406,$B56))</f>
        <v/>
      </c>
      <c r="Y56" s="6">
        <f>IF($B56="",0,SUMIFS(UCRETLER!$K$7:$K$406,UCRETLER!$B$7:$B$406,$B56))</f>
        <v/>
      </c>
      <c r="Z56" s="3">
        <f>IF($B56="",0,SUMIFS(UCRETLER!$L$7:$L$406,UCRETLER!$B$7:$B$406,$B56))</f>
        <v/>
      </c>
      <c r="AA56" s="3">
        <f>IF($B56="",0,MAX(0,$I56-$F56))</f>
        <v/>
      </c>
      <c r="AB56" s="3">
        <f>IF($B56="",0,MAX(0,$F56-$I56))</f>
        <v/>
      </c>
      <c r="AC56" s="3">
        <f>IF($B56="",0,MAX(0,$X56-$AA56))</f>
        <v/>
      </c>
      <c r="AD56" s="3">
        <f>IF($B56="",0,MAX(0,$Y56-$AA56))</f>
        <v/>
      </c>
      <c r="AE56" s="3">
        <f>IF($B56="",0,MAX(0,$Z56-$AA56))</f>
        <v/>
      </c>
      <c r="AF56" s="3">
        <f>IFERROR(MATCH(ROW()-6,MUSTERILER!$U$7:$U$106,0),"")</f>
        <v/>
      </c>
      <c r="AG56" s="3">
        <f>IF($B56="",0,SUMIFS(GELIR_GIDER!$G$7:$G$1206,GELIR_GIDER!$T$7:$T$1206,$B56))</f>
        <v/>
      </c>
    </row>
    <row r="57">
      <c r="A57" s="6" t="n"/>
      <c r="B57" s="113">
        <f>IF($AF57="","",INDEX(MUSTERILER!$B$7:$B$106,$AF57))</f>
        <v/>
      </c>
      <c r="C57" s="121">
        <f>IF($AF57="","",INDEX(MUSTERILER!$C$7:$C$106,$AF57))</f>
        <v/>
      </c>
      <c r="D57" s="222">
        <f>IF($B57="","",SUMIFS(UCRETLER!$G$7:$G$406,UCRETLER!$B$7:$B$406,$B57,UCRETLER!$F$7:$F$406,"Haftalık",UCRETLER!$H$7:$H$406,"Aktif"))</f>
        <v/>
      </c>
      <c r="E57" s="222">
        <f>IF($B57="","",SUMIFS(UCRETLER!$G$7:$G$406,UCRETLER!$B$7:$B$406,$B57,UCRETLER!$F$7:$F$406,"Aylık",UCRETLER!$H$7:$H$406,"Aktif"))</f>
        <v/>
      </c>
      <c r="F57" s="222">
        <f>IF($B57="","",SUMIFS(MUSTERILER!$J$7:$J$106,MUSTERILER!$B$7:$B$106,$B57))</f>
        <v/>
      </c>
      <c r="G57" s="222">
        <f>IF($B57="","",SUMIFS(UCRETLER!$I$7:$I$406,UCRETLER!$B$7:$B$406,$B57)+SUMIFS(GELIR_GIDER!$G$7:$G$1206,GELIR_GIDER!$T$7:$T$1206,$B57))</f>
        <v/>
      </c>
      <c r="H57" s="222">
        <f>IF($B57="","",$F57+$G57)</f>
        <v/>
      </c>
      <c r="I57" s="222">
        <f>IF($B57="","",SUMIFS(TAHSILAT!$F$7:$F$1506,TAHSILAT!$C$7:$C$1506,$B57))</f>
        <v/>
      </c>
      <c r="J57" s="222">
        <f>IF($B57="","",MAX(0,$H57-$I57))</f>
        <v/>
      </c>
      <c r="K57" s="222">
        <f>IF($B57="","",MAX(0,$J57-$L57-$M57-$N57))</f>
        <v/>
      </c>
      <c r="L57" s="222">
        <f>IF($B57="","",($AC57-$AD57)+IF(AND($AB57&gt;0,$T57&lt;&gt;"",$U57&gt;=8,$U57&lt;15),$AB57,0))</f>
        <v/>
      </c>
      <c r="M57" s="222">
        <f>IF($B57="","",($AD57-$AE57)+IF(AND($AB57&gt;0,$T57&lt;&gt;"",$U57&gt;=15,$U57&lt;29),$AB57,0))</f>
        <v/>
      </c>
      <c r="N57" s="222">
        <f>IF($B57="","",$AE57+IF(AND($AB57&gt;0,OR($T57="",$U57&gt;=29)),$AB57,0))</f>
        <v/>
      </c>
      <c r="O57" s="229">
        <f>IF($B57="","",IFERROR($I57/$H57,0))</f>
        <v/>
      </c>
      <c r="P57" s="224">
        <f>IF($B57="","",IFERROR(LOOKUP(2,1/(TAHSILAT!$C$7:$C$1506=$B57),TAHSILAT!$E$7:$E$1506),""))</f>
        <v/>
      </c>
      <c r="Q57" s="113">
        <f>IF($B57="","",IF($N57&gt;0,"KRİTİK",IF($M57&gt;0,"YÜKSEK",IF($L57&gt;0,"ORTA",IF($J57&gt;0,"İZLE","TEMİZ")))))</f>
        <v/>
      </c>
      <c r="R57" s="121">
        <f>IF($B57="","",IF($Q57="KRİTİK","Acil tahsilat görüşmesi ve cari mutabakat",IF($Q57="YÜKSEK","Bu hafta tahsilat takibi",IF($Q57="ORTA","Hatırlatma mesajı gönder",IF($Q57="İZLE","Normal takip","Aksiyon gerekmiyor")))))</f>
        <v/>
      </c>
      <c r="S57" s="227">
        <f>IF($B57="","",COUNTIFS(AKTIVITE!$D$7:$D$1006,$B57,AKTIVITE!$J$7:$J$1006,"&lt;&gt;Tamamlandı"))</f>
        <v/>
      </c>
      <c r="T57" s="224">
        <f>IF(OR($B57="",$AF57=""),"",IF(INDEX(MUSTERILER!$K$7:$K$106,$AF57)="","",INDEX(MUSTERILER!$K$7:$K$106,$AF57)))</f>
        <v/>
      </c>
      <c r="U57" s="227">
        <f>IF(OR($B57="",$T57=""),"",TODAY()-$T57)</f>
        <v/>
      </c>
      <c r="V57" s="222">
        <f>IF($B57="","",MAX(0,$I57-$H57))</f>
        <v/>
      </c>
      <c r="W57" s="113">
        <f>IF($B57="","",IF(AND(ABS($J57-($K57+$L57+$M57+$N57))&lt;0.01,ABS(($J57-$V57)-($H57-$I57))&lt;0.01),"UYGUN","İNCELE"))</f>
        <v/>
      </c>
      <c r="X57" s="6">
        <f>IF($B57="",0,SUMIFS(UCRETLER!$J$7:$J$406,UCRETLER!$B$7:$B$406,$B57))</f>
        <v/>
      </c>
      <c r="Y57" s="6">
        <f>IF($B57="",0,SUMIFS(UCRETLER!$K$7:$K$406,UCRETLER!$B$7:$B$406,$B57))</f>
        <v/>
      </c>
      <c r="Z57" s="3">
        <f>IF($B57="",0,SUMIFS(UCRETLER!$L$7:$L$406,UCRETLER!$B$7:$B$406,$B57))</f>
        <v/>
      </c>
      <c r="AA57" s="3">
        <f>IF($B57="",0,MAX(0,$I57-$F57))</f>
        <v/>
      </c>
      <c r="AB57" s="3">
        <f>IF($B57="",0,MAX(0,$F57-$I57))</f>
        <v/>
      </c>
      <c r="AC57" s="3">
        <f>IF($B57="",0,MAX(0,$X57-$AA57))</f>
        <v/>
      </c>
      <c r="AD57" s="3">
        <f>IF($B57="",0,MAX(0,$Y57-$AA57))</f>
        <v/>
      </c>
      <c r="AE57" s="3">
        <f>IF($B57="",0,MAX(0,$Z57-$AA57))</f>
        <v/>
      </c>
      <c r="AF57" s="3">
        <f>IFERROR(MATCH(ROW()-6,MUSTERILER!$U$7:$U$106,0),"")</f>
        <v/>
      </c>
      <c r="AG57" s="3">
        <f>IF($B57="",0,SUMIFS(GELIR_GIDER!$G$7:$G$1206,GELIR_GIDER!$T$7:$T$1206,$B57))</f>
        <v/>
      </c>
    </row>
    <row r="58">
      <c r="A58" s="6" t="n"/>
      <c r="B58" s="113">
        <f>IF($AF58="","",INDEX(MUSTERILER!$B$7:$B$106,$AF58))</f>
        <v/>
      </c>
      <c r="C58" s="121">
        <f>IF($AF58="","",INDEX(MUSTERILER!$C$7:$C$106,$AF58))</f>
        <v/>
      </c>
      <c r="D58" s="222">
        <f>IF($B58="","",SUMIFS(UCRETLER!$G$7:$G$406,UCRETLER!$B$7:$B$406,$B58,UCRETLER!$F$7:$F$406,"Haftalık",UCRETLER!$H$7:$H$406,"Aktif"))</f>
        <v/>
      </c>
      <c r="E58" s="222">
        <f>IF($B58="","",SUMIFS(UCRETLER!$G$7:$G$406,UCRETLER!$B$7:$B$406,$B58,UCRETLER!$F$7:$F$406,"Aylık",UCRETLER!$H$7:$H$406,"Aktif"))</f>
        <v/>
      </c>
      <c r="F58" s="222">
        <f>IF($B58="","",SUMIFS(MUSTERILER!$J$7:$J$106,MUSTERILER!$B$7:$B$106,$B58))</f>
        <v/>
      </c>
      <c r="G58" s="222">
        <f>IF($B58="","",SUMIFS(UCRETLER!$I$7:$I$406,UCRETLER!$B$7:$B$406,$B58)+SUMIFS(GELIR_GIDER!$G$7:$G$1206,GELIR_GIDER!$T$7:$T$1206,$B58))</f>
        <v/>
      </c>
      <c r="H58" s="222">
        <f>IF($B58="","",$F58+$G58)</f>
        <v/>
      </c>
      <c r="I58" s="222">
        <f>IF($B58="","",SUMIFS(TAHSILAT!$F$7:$F$1506,TAHSILAT!$C$7:$C$1506,$B58))</f>
        <v/>
      </c>
      <c r="J58" s="222">
        <f>IF($B58="","",MAX(0,$H58-$I58))</f>
        <v/>
      </c>
      <c r="K58" s="222">
        <f>IF($B58="","",MAX(0,$J58-$L58-$M58-$N58))</f>
        <v/>
      </c>
      <c r="L58" s="222">
        <f>IF($B58="","",($AC58-$AD58)+IF(AND($AB58&gt;0,$T58&lt;&gt;"",$U58&gt;=8,$U58&lt;15),$AB58,0))</f>
        <v/>
      </c>
      <c r="M58" s="222">
        <f>IF($B58="","",($AD58-$AE58)+IF(AND($AB58&gt;0,$T58&lt;&gt;"",$U58&gt;=15,$U58&lt;29),$AB58,0))</f>
        <v/>
      </c>
      <c r="N58" s="222">
        <f>IF($B58="","",$AE58+IF(AND($AB58&gt;0,OR($T58="",$U58&gt;=29)),$AB58,0))</f>
        <v/>
      </c>
      <c r="O58" s="229">
        <f>IF($B58="","",IFERROR($I58/$H58,0))</f>
        <v/>
      </c>
      <c r="P58" s="224">
        <f>IF($B58="","",IFERROR(LOOKUP(2,1/(TAHSILAT!$C$7:$C$1506=$B58),TAHSILAT!$E$7:$E$1506),""))</f>
        <v/>
      </c>
      <c r="Q58" s="113">
        <f>IF($B58="","",IF($N58&gt;0,"KRİTİK",IF($M58&gt;0,"YÜKSEK",IF($L58&gt;0,"ORTA",IF($J58&gt;0,"İZLE","TEMİZ")))))</f>
        <v/>
      </c>
      <c r="R58" s="121">
        <f>IF($B58="","",IF($Q58="KRİTİK","Acil tahsilat görüşmesi ve cari mutabakat",IF($Q58="YÜKSEK","Bu hafta tahsilat takibi",IF($Q58="ORTA","Hatırlatma mesajı gönder",IF($Q58="İZLE","Normal takip","Aksiyon gerekmiyor")))))</f>
        <v/>
      </c>
      <c r="S58" s="227">
        <f>IF($B58="","",COUNTIFS(AKTIVITE!$D$7:$D$1006,$B58,AKTIVITE!$J$7:$J$1006,"&lt;&gt;Tamamlandı"))</f>
        <v/>
      </c>
      <c r="T58" s="224">
        <f>IF(OR($B58="",$AF58=""),"",IF(INDEX(MUSTERILER!$K$7:$K$106,$AF58)="","",INDEX(MUSTERILER!$K$7:$K$106,$AF58)))</f>
        <v/>
      </c>
      <c r="U58" s="227">
        <f>IF(OR($B58="",$T58=""),"",TODAY()-$T58)</f>
        <v/>
      </c>
      <c r="V58" s="222">
        <f>IF($B58="","",MAX(0,$I58-$H58))</f>
        <v/>
      </c>
      <c r="W58" s="113">
        <f>IF($B58="","",IF(AND(ABS($J58-($K58+$L58+$M58+$N58))&lt;0.01,ABS(($J58-$V58)-($H58-$I58))&lt;0.01),"UYGUN","İNCELE"))</f>
        <v/>
      </c>
      <c r="X58" s="6">
        <f>IF($B58="",0,SUMIFS(UCRETLER!$J$7:$J$406,UCRETLER!$B$7:$B$406,$B58))</f>
        <v/>
      </c>
      <c r="Y58" s="6">
        <f>IF($B58="",0,SUMIFS(UCRETLER!$K$7:$K$406,UCRETLER!$B$7:$B$406,$B58))</f>
        <v/>
      </c>
      <c r="Z58" s="3">
        <f>IF($B58="",0,SUMIFS(UCRETLER!$L$7:$L$406,UCRETLER!$B$7:$B$406,$B58))</f>
        <v/>
      </c>
      <c r="AA58" s="3">
        <f>IF($B58="",0,MAX(0,$I58-$F58))</f>
        <v/>
      </c>
      <c r="AB58" s="3">
        <f>IF($B58="",0,MAX(0,$F58-$I58))</f>
        <v/>
      </c>
      <c r="AC58" s="3">
        <f>IF($B58="",0,MAX(0,$X58-$AA58))</f>
        <v/>
      </c>
      <c r="AD58" s="3">
        <f>IF($B58="",0,MAX(0,$Y58-$AA58))</f>
        <v/>
      </c>
      <c r="AE58" s="3">
        <f>IF($B58="",0,MAX(0,$Z58-$AA58))</f>
        <v/>
      </c>
      <c r="AF58" s="3">
        <f>IFERROR(MATCH(ROW()-6,MUSTERILER!$U$7:$U$106,0),"")</f>
        <v/>
      </c>
      <c r="AG58" s="3">
        <f>IF($B58="",0,SUMIFS(GELIR_GIDER!$G$7:$G$1206,GELIR_GIDER!$T$7:$T$1206,$B58))</f>
        <v/>
      </c>
    </row>
    <row r="59">
      <c r="A59" s="6" t="n"/>
      <c r="B59" s="113">
        <f>IF($AF59="","",INDEX(MUSTERILER!$B$7:$B$106,$AF59))</f>
        <v/>
      </c>
      <c r="C59" s="121">
        <f>IF($AF59="","",INDEX(MUSTERILER!$C$7:$C$106,$AF59))</f>
        <v/>
      </c>
      <c r="D59" s="222">
        <f>IF($B59="","",SUMIFS(UCRETLER!$G$7:$G$406,UCRETLER!$B$7:$B$406,$B59,UCRETLER!$F$7:$F$406,"Haftalık",UCRETLER!$H$7:$H$406,"Aktif"))</f>
        <v/>
      </c>
      <c r="E59" s="222">
        <f>IF($B59="","",SUMIFS(UCRETLER!$G$7:$G$406,UCRETLER!$B$7:$B$406,$B59,UCRETLER!$F$7:$F$406,"Aylık",UCRETLER!$H$7:$H$406,"Aktif"))</f>
        <v/>
      </c>
      <c r="F59" s="222">
        <f>IF($B59="","",SUMIFS(MUSTERILER!$J$7:$J$106,MUSTERILER!$B$7:$B$106,$B59))</f>
        <v/>
      </c>
      <c r="G59" s="222">
        <f>IF($B59="","",SUMIFS(UCRETLER!$I$7:$I$406,UCRETLER!$B$7:$B$406,$B59)+SUMIFS(GELIR_GIDER!$G$7:$G$1206,GELIR_GIDER!$T$7:$T$1206,$B59))</f>
        <v/>
      </c>
      <c r="H59" s="222">
        <f>IF($B59="","",$F59+$G59)</f>
        <v/>
      </c>
      <c r="I59" s="222">
        <f>IF($B59="","",SUMIFS(TAHSILAT!$F$7:$F$1506,TAHSILAT!$C$7:$C$1506,$B59))</f>
        <v/>
      </c>
      <c r="J59" s="222">
        <f>IF($B59="","",MAX(0,$H59-$I59))</f>
        <v/>
      </c>
      <c r="K59" s="222">
        <f>IF($B59="","",MAX(0,$J59-$L59-$M59-$N59))</f>
        <v/>
      </c>
      <c r="L59" s="222">
        <f>IF($B59="","",($AC59-$AD59)+IF(AND($AB59&gt;0,$T59&lt;&gt;"",$U59&gt;=8,$U59&lt;15),$AB59,0))</f>
        <v/>
      </c>
      <c r="M59" s="222">
        <f>IF($B59="","",($AD59-$AE59)+IF(AND($AB59&gt;0,$T59&lt;&gt;"",$U59&gt;=15,$U59&lt;29),$AB59,0))</f>
        <v/>
      </c>
      <c r="N59" s="222">
        <f>IF($B59="","",$AE59+IF(AND($AB59&gt;0,OR($T59="",$U59&gt;=29)),$AB59,0))</f>
        <v/>
      </c>
      <c r="O59" s="229">
        <f>IF($B59="","",IFERROR($I59/$H59,0))</f>
        <v/>
      </c>
      <c r="P59" s="224">
        <f>IF($B59="","",IFERROR(LOOKUP(2,1/(TAHSILAT!$C$7:$C$1506=$B59),TAHSILAT!$E$7:$E$1506),""))</f>
        <v/>
      </c>
      <c r="Q59" s="113">
        <f>IF($B59="","",IF($N59&gt;0,"KRİTİK",IF($M59&gt;0,"YÜKSEK",IF($L59&gt;0,"ORTA",IF($J59&gt;0,"İZLE","TEMİZ")))))</f>
        <v/>
      </c>
      <c r="R59" s="121">
        <f>IF($B59="","",IF($Q59="KRİTİK","Acil tahsilat görüşmesi ve cari mutabakat",IF($Q59="YÜKSEK","Bu hafta tahsilat takibi",IF($Q59="ORTA","Hatırlatma mesajı gönder",IF($Q59="İZLE","Normal takip","Aksiyon gerekmiyor")))))</f>
        <v/>
      </c>
      <c r="S59" s="227">
        <f>IF($B59="","",COUNTIFS(AKTIVITE!$D$7:$D$1006,$B59,AKTIVITE!$J$7:$J$1006,"&lt;&gt;Tamamlandı"))</f>
        <v/>
      </c>
      <c r="T59" s="224">
        <f>IF(OR($B59="",$AF59=""),"",IF(INDEX(MUSTERILER!$K$7:$K$106,$AF59)="","",INDEX(MUSTERILER!$K$7:$K$106,$AF59)))</f>
        <v/>
      </c>
      <c r="U59" s="227">
        <f>IF(OR($B59="",$T59=""),"",TODAY()-$T59)</f>
        <v/>
      </c>
      <c r="V59" s="222">
        <f>IF($B59="","",MAX(0,$I59-$H59))</f>
        <v/>
      </c>
      <c r="W59" s="113">
        <f>IF($B59="","",IF(AND(ABS($J59-($K59+$L59+$M59+$N59))&lt;0.01,ABS(($J59-$V59)-($H59-$I59))&lt;0.01),"UYGUN","İNCELE"))</f>
        <v/>
      </c>
      <c r="X59" s="6">
        <f>IF($B59="",0,SUMIFS(UCRETLER!$J$7:$J$406,UCRETLER!$B$7:$B$406,$B59))</f>
        <v/>
      </c>
      <c r="Y59" s="6">
        <f>IF($B59="",0,SUMIFS(UCRETLER!$K$7:$K$406,UCRETLER!$B$7:$B$406,$B59))</f>
        <v/>
      </c>
      <c r="Z59" s="3">
        <f>IF($B59="",0,SUMIFS(UCRETLER!$L$7:$L$406,UCRETLER!$B$7:$B$406,$B59))</f>
        <v/>
      </c>
      <c r="AA59" s="3">
        <f>IF($B59="",0,MAX(0,$I59-$F59))</f>
        <v/>
      </c>
      <c r="AB59" s="3">
        <f>IF($B59="",0,MAX(0,$F59-$I59))</f>
        <v/>
      </c>
      <c r="AC59" s="3">
        <f>IF($B59="",0,MAX(0,$X59-$AA59))</f>
        <v/>
      </c>
      <c r="AD59" s="3">
        <f>IF($B59="",0,MAX(0,$Y59-$AA59))</f>
        <v/>
      </c>
      <c r="AE59" s="3">
        <f>IF($B59="",0,MAX(0,$Z59-$AA59))</f>
        <v/>
      </c>
      <c r="AF59" s="3">
        <f>IFERROR(MATCH(ROW()-6,MUSTERILER!$U$7:$U$106,0),"")</f>
        <v/>
      </c>
      <c r="AG59" s="3">
        <f>IF($B59="",0,SUMIFS(GELIR_GIDER!$G$7:$G$1206,GELIR_GIDER!$T$7:$T$1206,$B59))</f>
        <v/>
      </c>
    </row>
    <row r="60">
      <c r="A60" s="6" t="n"/>
      <c r="B60" s="113">
        <f>IF($AF60="","",INDEX(MUSTERILER!$B$7:$B$106,$AF60))</f>
        <v/>
      </c>
      <c r="C60" s="121">
        <f>IF($AF60="","",INDEX(MUSTERILER!$C$7:$C$106,$AF60))</f>
        <v/>
      </c>
      <c r="D60" s="222">
        <f>IF($B60="","",SUMIFS(UCRETLER!$G$7:$G$406,UCRETLER!$B$7:$B$406,$B60,UCRETLER!$F$7:$F$406,"Haftalık",UCRETLER!$H$7:$H$406,"Aktif"))</f>
        <v/>
      </c>
      <c r="E60" s="222">
        <f>IF($B60="","",SUMIFS(UCRETLER!$G$7:$G$406,UCRETLER!$B$7:$B$406,$B60,UCRETLER!$F$7:$F$406,"Aylık",UCRETLER!$H$7:$H$406,"Aktif"))</f>
        <v/>
      </c>
      <c r="F60" s="222">
        <f>IF($B60="","",SUMIFS(MUSTERILER!$J$7:$J$106,MUSTERILER!$B$7:$B$106,$B60))</f>
        <v/>
      </c>
      <c r="G60" s="222">
        <f>IF($B60="","",SUMIFS(UCRETLER!$I$7:$I$406,UCRETLER!$B$7:$B$406,$B60)+SUMIFS(GELIR_GIDER!$G$7:$G$1206,GELIR_GIDER!$T$7:$T$1206,$B60))</f>
        <v/>
      </c>
      <c r="H60" s="222">
        <f>IF($B60="","",$F60+$G60)</f>
        <v/>
      </c>
      <c r="I60" s="222">
        <f>IF($B60="","",SUMIFS(TAHSILAT!$F$7:$F$1506,TAHSILAT!$C$7:$C$1506,$B60))</f>
        <v/>
      </c>
      <c r="J60" s="222">
        <f>IF($B60="","",MAX(0,$H60-$I60))</f>
        <v/>
      </c>
      <c r="K60" s="222">
        <f>IF($B60="","",MAX(0,$J60-$L60-$M60-$N60))</f>
        <v/>
      </c>
      <c r="L60" s="222">
        <f>IF($B60="","",($AC60-$AD60)+IF(AND($AB60&gt;0,$T60&lt;&gt;"",$U60&gt;=8,$U60&lt;15),$AB60,0))</f>
        <v/>
      </c>
      <c r="M60" s="222">
        <f>IF($B60="","",($AD60-$AE60)+IF(AND($AB60&gt;0,$T60&lt;&gt;"",$U60&gt;=15,$U60&lt;29),$AB60,0))</f>
        <v/>
      </c>
      <c r="N60" s="222">
        <f>IF($B60="","",$AE60+IF(AND($AB60&gt;0,OR($T60="",$U60&gt;=29)),$AB60,0))</f>
        <v/>
      </c>
      <c r="O60" s="229">
        <f>IF($B60="","",IFERROR($I60/$H60,0))</f>
        <v/>
      </c>
      <c r="P60" s="224">
        <f>IF($B60="","",IFERROR(LOOKUP(2,1/(TAHSILAT!$C$7:$C$1506=$B60),TAHSILAT!$E$7:$E$1506),""))</f>
        <v/>
      </c>
      <c r="Q60" s="113">
        <f>IF($B60="","",IF($N60&gt;0,"KRİTİK",IF($M60&gt;0,"YÜKSEK",IF($L60&gt;0,"ORTA",IF($J60&gt;0,"İZLE","TEMİZ")))))</f>
        <v/>
      </c>
      <c r="R60" s="121">
        <f>IF($B60="","",IF($Q60="KRİTİK","Acil tahsilat görüşmesi ve cari mutabakat",IF($Q60="YÜKSEK","Bu hafta tahsilat takibi",IF($Q60="ORTA","Hatırlatma mesajı gönder",IF($Q60="İZLE","Normal takip","Aksiyon gerekmiyor")))))</f>
        <v/>
      </c>
      <c r="S60" s="227">
        <f>IF($B60="","",COUNTIFS(AKTIVITE!$D$7:$D$1006,$B60,AKTIVITE!$J$7:$J$1006,"&lt;&gt;Tamamlandı"))</f>
        <v/>
      </c>
      <c r="T60" s="224">
        <f>IF(OR($B60="",$AF60=""),"",IF(INDEX(MUSTERILER!$K$7:$K$106,$AF60)="","",INDEX(MUSTERILER!$K$7:$K$106,$AF60)))</f>
        <v/>
      </c>
      <c r="U60" s="227">
        <f>IF(OR($B60="",$T60=""),"",TODAY()-$T60)</f>
        <v/>
      </c>
      <c r="V60" s="222">
        <f>IF($B60="","",MAX(0,$I60-$H60))</f>
        <v/>
      </c>
      <c r="W60" s="113">
        <f>IF($B60="","",IF(AND(ABS($J60-($K60+$L60+$M60+$N60))&lt;0.01,ABS(($J60-$V60)-($H60-$I60))&lt;0.01),"UYGUN","İNCELE"))</f>
        <v/>
      </c>
      <c r="X60" s="6">
        <f>IF($B60="",0,SUMIFS(UCRETLER!$J$7:$J$406,UCRETLER!$B$7:$B$406,$B60))</f>
        <v/>
      </c>
      <c r="Y60" s="6">
        <f>IF($B60="",0,SUMIFS(UCRETLER!$K$7:$K$406,UCRETLER!$B$7:$B$406,$B60))</f>
        <v/>
      </c>
      <c r="Z60" s="3">
        <f>IF($B60="",0,SUMIFS(UCRETLER!$L$7:$L$406,UCRETLER!$B$7:$B$406,$B60))</f>
        <v/>
      </c>
      <c r="AA60" s="3">
        <f>IF($B60="",0,MAX(0,$I60-$F60))</f>
        <v/>
      </c>
      <c r="AB60" s="3">
        <f>IF($B60="",0,MAX(0,$F60-$I60))</f>
        <v/>
      </c>
      <c r="AC60" s="3">
        <f>IF($B60="",0,MAX(0,$X60-$AA60))</f>
        <v/>
      </c>
      <c r="AD60" s="3">
        <f>IF($B60="",0,MAX(0,$Y60-$AA60))</f>
        <v/>
      </c>
      <c r="AE60" s="3">
        <f>IF($B60="",0,MAX(0,$Z60-$AA60))</f>
        <v/>
      </c>
      <c r="AF60" s="3">
        <f>IFERROR(MATCH(ROW()-6,MUSTERILER!$U$7:$U$106,0),"")</f>
        <v/>
      </c>
      <c r="AG60" s="3">
        <f>IF($B60="",0,SUMIFS(GELIR_GIDER!$G$7:$G$1206,GELIR_GIDER!$T$7:$T$1206,$B60))</f>
        <v/>
      </c>
    </row>
    <row r="61">
      <c r="A61" s="6" t="n"/>
      <c r="B61" s="113">
        <f>IF($AF61="","",INDEX(MUSTERILER!$B$7:$B$106,$AF61))</f>
        <v/>
      </c>
      <c r="C61" s="121">
        <f>IF($AF61="","",INDEX(MUSTERILER!$C$7:$C$106,$AF61))</f>
        <v/>
      </c>
      <c r="D61" s="222">
        <f>IF($B61="","",SUMIFS(UCRETLER!$G$7:$G$406,UCRETLER!$B$7:$B$406,$B61,UCRETLER!$F$7:$F$406,"Haftalık",UCRETLER!$H$7:$H$406,"Aktif"))</f>
        <v/>
      </c>
      <c r="E61" s="222">
        <f>IF($B61="","",SUMIFS(UCRETLER!$G$7:$G$406,UCRETLER!$B$7:$B$406,$B61,UCRETLER!$F$7:$F$406,"Aylık",UCRETLER!$H$7:$H$406,"Aktif"))</f>
        <v/>
      </c>
      <c r="F61" s="222">
        <f>IF($B61="","",SUMIFS(MUSTERILER!$J$7:$J$106,MUSTERILER!$B$7:$B$106,$B61))</f>
        <v/>
      </c>
      <c r="G61" s="222">
        <f>IF($B61="","",SUMIFS(UCRETLER!$I$7:$I$406,UCRETLER!$B$7:$B$406,$B61)+SUMIFS(GELIR_GIDER!$G$7:$G$1206,GELIR_GIDER!$T$7:$T$1206,$B61))</f>
        <v/>
      </c>
      <c r="H61" s="222">
        <f>IF($B61="","",$F61+$G61)</f>
        <v/>
      </c>
      <c r="I61" s="222">
        <f>IF($B61="","",SUMIFS(TAHSILAT!$F$7:$F$1506,TAHSILAT!$C$7:$C$1506,$B61))</f>
        <v/>
      </c>
      <c r="J61" s="222">
        <f>IF($B61="","",MAX(0,$H61-$I61))</f>
        <v/>
      </c>
      <c r="K61" s="222">
        <f>IF($B61="","",MAX(0,$J61-$L61-$M61-$N61))</f>
        <v/>
      </c>
      <c r="L61" s="222">
        <f>IF($B61="","",($AC61-$AD61)+IF(AND($AB61&gt;0,$T61&lt;&gt;"",$U61&gt;=8,$U61&lt;15),$AB61,0))</f>
        <v/>
      </c>
      <c r="M61" s="222">
        <f>IF($B61="","",($AD61-$AE61)+IF(AND($AB61&gt;0,$T61&lt;&gt;"",$U61&gt;=15,$U61&lt;29),$AB61,0))</f>
        <v/>
      </c>
      <c r="N61" s="222">
        <f>IF($B61="","",$AE61+IF(AND($AB61&gt;0,OR($T61="",$U61&gt;=29)),$AB61,0))</f>
        <v/>
      </c>
      <c r="O61" s="229">
        <f>IF($B61="","",IFERROR($I61/$H61,0))</f>
        <v/>
      </c>
      <c r="P61" s="224">
        <f>IF($B61="","",IFERROR(LOOKUP(2,1/(TAHSILAT!$C$7:$C$1506=$B61),TAHSILAT!$E$7:$E$1506),""))</f>
        <v/>
      </c>
      <c r="Q61" s="113">
        <f>IF($B61="","",IF($N61&gt;0,"KRİTİK",IF($M61&gt;0,"YÜKSEK",IF($L61&gt;0,"ORTA",IF($J61&gt;0,"İZLE","TEMİZ")))))</f>
        <v/>
      </c>
      <c r="R61" s="121">
        <f>IF($B61="","",IF($Q61="KRİTİK","Acil tahsilat görüşmesi ve cari mutabakat",IF($Q61="YÜKSEK","Bu hafta tahsilat takibi",IF($Q61="ORTA","Hatırlatma mesajı gönder",IF($Q61="İZLE","Normal takip","Aksiyon gerekmiyor")))))</f>
        <v/>
      </c>
      <c r="S61" s="227">
        <f>IF($B61="","",COUNTIFS(AKTIVITE!$D$7:$D$1006,$B61,AKTIVITE!$J$7:$J$1006,"&lt;&gt;Tamamlandı"))</f>
        <v/>
      </c>
      <c r="T61" s="224">
        <f>IF(OR($B61="",$AF61=""),"",IF(INDEX(MUSTERILER!$K$7:$K$106,$AF61)="","",INDEX(MUSTERILER!$K$7:$K$106,$AF61)))</f>
        <v/>
      </c>
      <c r="U61" s="227">
        <f>IF(OR($B61="",$T61=""),"",TODAY()-$T61)</f>
        <v/>
      </c>
      <c r="V61" s="222">
        <f>IF($B61="","",MAX(0,$I61-$H61))</f>
        <v/>
      </c>
      <c r="W61" s="113">
        <f>IF($B61="","",IF(AND(ABS($J61-($K61+$L61+$M61+$N61))&lt;0.01,ABS(($J61-$V61)-($H61-$I61))&lt;0.01),"UYGUN","İNCELE"))</f>
        <v/>
      </c>
      <c r="X61" s="6">
        <f>IF($B61="",0,SUMIFS(UCRETLER!$J$7:$J$406,UCRETLER!$B$7:$B$406,$B61))</f>
        <v/>
      </c>
      <c r="Y61" s="6">
        <f>IF($B61="",0,SUMIFS(UCRETLER!$K$7:$K$406,UCRETLER!$B$7:$B$406,$B61))</f>
        <v/>
      </c>
      <c r="Z61" s="3">
        <f>IF($B61="",0,SUMIFS(UCRETLER!$L$7:$L$406,UCRETLER!$B$7:$B$406,$B61))</f>
        <v/>
      </c>
      <c r="AA61" s="3">
        <f>IF($B61="",0,MAX(0,$I61-$F61))</f>
        <v/>
      </c>
      <c r="AB61" s="3">
        <f>IF($B61="",0,MAX(0,$F61-$I61))</f>
        <v/>
      </c>
      <c r="AC61" s="3">
        <f>IF($B61="",0,MAX(0,$X61-$AA61))</f>
        <v/>
      </c>
      <c r="AD61" s="3">
        <f>IF($B61="",0,MAX(0,$Y61-$AA61))</f>
        <v/>
      </c>
      <c r="AE61" s="3">
        <f>IF($B61="",0,MAX(0,$Z61-$AA61))</f>
        <v/>
      </c>
      <c r="AF61" s="3">
        <f>IFERROR(MATCH(ROW()-6,MUSTERILER!$U$7:$U$106,0),"")</f>
        <v/>
      </c>
      <c r="AG61" s="3">
        <f>IF($B61="",0,SUMIFS(GELIR_GIDER!$G$7:$G$1206,GELIR_GIDER!$T$7:$T$1206,$B61))</f>
        <v/>
      </c>
    </row>
    <row r="62">
      <c r="A62" s="6" t="n"/>
      <c r="B62" s="113">
        <f>IF($AF62="","",INDEX(MUSTERILER!$B$7:$B$106,$AF62))</f>
        <v/>
      </c>
      <c r="C62" s="121">
        <f>IF($AF62="","",INDEX(MUSTERILER!$C$7:$C$106,$AF62))</f>
        <v/>
      </c>
      <c r="D62" s="222">
        <f>IF($B62="","",SUMIFS(UCRETLER!$G$7:$G$406,UCRETLER!$B$7:$B$406,$B62,UCRETLER!$F$7:$F$406,"Haftalık",UCRETLER!$H$7:$H$406,"Aktif"))</f>
        <v/>
      </c>
      <c r="E62" s="222">
        <f>IF($B62="","",SUMIFS(UCRETLER!$G$7:$G$406,UCRETLER!$B$7:$B$406,$B62,UCRETLER!$F$7:$F$406,"Aylık",UCRETLER!$H$7:$H$406,"Aktif"))</f>
        <v/>
      </c>
      <c r="F62" s="222">
        <f>IF($B62="","",SUMIFS(MUSTERILER!$J$7:$J$106,MUSTERILER!$B$7:$B$106,$B62))</f>
        <v/>
      </c>
      <c r="G62" s="222">
        <f>IF($B62="","",SUMIFS(UCRETLER!$I$7:$I$406,UCRETLER!$B$7:$B$406,$B62)+SUMIFS(GELIR_GIDER!$G$7:$G$1206,GELIR_GIDER!$T$7:$T$1206,$B62))</f>
        <v/>
      </c>
      <c r="H62" s="222">
        <f>IF($B62="","",$F62+$G62)</f>
        <v/>
      </c>
      <c r="I62" s="222">
        <f>IF($B62="","",SUMIFS(TAHSILAT!$F$7:$F$1506,TAHSILAT!$C$7:$C$1506,$B62))</f>
        <v/>
      </c>
      <c r="J62" s="222">
        <f>IF($B62="","",MAX(0,$H62-$I62))</f>
        <v/>
      </c>
      <c r="K62" s="222">
        <f>IF($B62="","",MAX(0,$J62-$L62-$M62-$N62))</f>
        <v/>
      </c>
      <c r="L62" s="222">
        <f>IF($B62="","",($AC62-$AD62)+IF(AND($AB62&gt;0,$T62&lt;&gt;"",$U62&gt;=8,$U62&lt;15),$AB62,0))</f>
        <v/>
      </c>
      <c r="M62" s="222">
        <f>IF($B62="","",($AD62-$AE62)+IF(AND($AB62&gt;0,$T62&lt;&gt;"",$U62&gt;=15,$U62&lt;29),$AB62,0))</f>
        <v/>
      </c>
      <c r="N62" s="222">
        <f>IF($B62="","",$AE62+IF(AND($AB62&gt;0,OR($T62="",$U62&gt;=29)),$AB62,0))</f>
        <v/>
      </c>
      <c r="O62" s="229">
        <f>IF($B62="","",IFERROR($I62/$H62,0))</f>
        <v/>
      </c>
      <c r="P62" s="224">
        <f>IF($B62="","",IFERROR(LOOKUP(2,1/(TAHSILAT!$C$7:$C$1506=$B62),TAHSILAT!$E$7:$E$1506),""))</f>
        <v/>
      </c>
      <c r="Q62" s="113">
        <f>IF($B62="","",IF($N62&gt;0,"KRİTİK",IF($M62&gt;0,"YÜKSEK",IF($L62&gt;0,"ORTA",IF($J62&gt;0,"İZLE","TEMİZ")))))</f>
        <v/>
      </c>
      <c r="R62" s="121">
        <f>IF($B62="","",IF($Q62="KRİTİK","Acil tahsilat görüşmesi ve cari mutabakat",IF($Q62="YÜKSEK","Bu hafta tahsilat takibi",IF($Q62="ORTA","Hatırlatma mesajı gönder",IF($Q62="İZLE","Normal takip","Aksiyon gerekmiyor")))))</f>
        <v/>
      </c>
      <c r="S62" s="227">
        <f>IF($B62="","",COUNTIFS(AKTIVITE!$D$7:$D$1006,$B62,AKTIVITE!$J$7:$J$1006,"&lt;&gt;Tamamlandı"))</f>
        <v/>
      </c>
      <c r="T62" s="224">
        <f>IF(OR($B62="",$AF62=""),"",IF(INDEX(MUSTERILER!$K$7:$K$106,$AF62)="","",INDEX(MUSTERILER!$K$7:$K$106,$AF62)))</f>
        <v/>
      </c>
      <c r="U62" s="227">
        <f>IF(OR($B62="",$T62=""),"",TODAY()-$T62)</f>
        <v/>
      </c>
      <c r="V62" s="222">
        <f>IF($B62="","",MAX(0,$I62-$H62))</f>
        <v/>
      </c>
      <c r="W62" s="113">
        <f>IF($B62="","",IF(AND(ABS($J62-($K62+$L62+$M62+$N62))&lt;0.01,ABS(($J62-$V62)-($H62-$I62))&lt;0.01),"UYGUN","İNCELE"))</f>
        <v/>
      </c>
      <c r="X62" s="6">
        <f>IF($B62="",0,SUMIFS(UCRETLER!$J$7:$J$406,UCRETLER!$B$7:$B$406,$B62))</f>
        <v/>
      </c>
      <c r="Y62" s="6">
        <f>IF($B62="",0,SUMIFS(UCRETLER!$K$7:$K$406,UCRETLER!$B$7:$B$406,$B62))</f>
        <v/>
      </c>
      <c r="Z62" s="3">
        <f>IF($B62="",0,SUMIFS(UCRETLER!$L$7:$L$406,UCRETLER!$B$7:$B$406,$B62))</f>
        <v/>
      </c>
      <c r="AA62" s="3">
        <f>IF($B62="",0,MAX(0,$I62-$F62))</f>
        <v/>
      </c>
      <c r="AB62" s="3">
        <f>IF($B62="",0,MAX(0,$F62-$I62))</f>
        <v/>
      </c>
      <c r="AC62" s="3">
        <f>IF($B62="",0,MAX(0,$X62-$AA62))</f>
        <v/>
      </c>
      <c r="AD62" s="3">
        <f>IF($B62="",0,MAX(0,$Y62-$AA62))</f>
        <v/>
      </c>
      <c r="AE62" s="3">
        <f>IF($B62="",0,MAX(0,$Z62-$AA62))</f>
        <v/>
      </c>
      <c r="AF62" s="3">
        <f>IFERROR(MATCH(ROW()-6,MUSTERILER!$U$7:$U$106,0),"")</f>
        <v/>
      </c>
      <c r="AG62" s="3">
        <f>IF($B62="",0,SUMIFS(GELIR_GIDER!$G$7:$G$1206,GELIR_GIDER!$T$7:$T$1206,$B62))</f>
        <v/>
      </c>
    </row>
    <row r="63">
      <c r="A63" s="6" t="n"/>
      <c r="B63" s="113">
        <f>IF($AF63="","",INDEX(MUSTERILER!$B$7:$B$106,$AF63))</f>
        <v/>
      </c>
      <c r="C63" s="121">
        <f>IF($AF63="","",INDEX(MUSTERILER!$C$7:$C$106,$AF63))</f>
        <v/>
      </c>
      <c r="D63" s="222">
        <f>IF($B63="","",SUMIFS(UCRETLER!$G$7:$G$406,UCRETLER!$B$7:$B$406,$B63,UCRETLER!$F$7:$F$406,"Haftalık",UCRETLER!$H$7:$H$406,"Aktif"))</f>
        <v/>
      </c>
      <c r="E63" s="222">
        <f>IF($B63="","",SUMIFS(UCRETLER!$G$7:$G$406,UCRETLER!$B$7:$B$406,$B63,UCRETLER!$F$7:$F$406,"Aylık",UCRETLER!$H$7:$H$406,"Aktif"))</f>
        <v/>
      </c>
      <c r="F63" s="222">
        <f>IF($B63="","",SUMIFS(MUSTERILER!$J$7:$J$106,MUSTERILER!$B$7:$B$106,$B63))</f>
        <v/>
      </c>
      <c r="G63" s="222">
        <f>IF($B63="","",SUMIFS(UCRETLER!$I$7:$I$406,UCRETLER!$B$7:$B$406,$B63)+SUMIFS(GELIR_GIDER!$G$7:$G$1206,GELIR_GIDER!$T$7:$T$1206,$B63))</f>
        <v/>
      </c>
      <c r="H63" s="222">
        <f>IF($B63="","",$F63+$G63)</f>
        <v/>
      </c>
      <c r="I63" s="222">
        <f>IF($B63="","",SUMIFS(TAHSILAT!$F$7:$F$1506,TAHSILAT!$C$7:$C$1506,$B63))</f>
        <v/>
      </c>
      <c r="J63" s="222">
        <f>IF($B63="","",MAX(0,$H63-$I63))</f>
        <v/>
      </c>
      <c r="K63" s="222">
        <f>IF($B63="","",MAX(0,$J63-$L63-$M63-$N63))</f>
        <v/>
      </c>
      <c r="L63" s="222">
        <f>IF($B63="","",($AC63-$AD63)+IF(AND($AB63&gt;0,$T63&lt;&gt;"",$U63&gt;=8,$U63&lt;15),$AB63,0))</f>
        <v/>
      </c>
      <c r="M63" s="222">
        <f>IF($B63="","",($AD63-$AE63)+IF(AND($AB63&gt;0,$T63&lt;&gt;"",$U63&gt;=15,$U63&lt;29),$AB63,0))</f>
        <v/>
      </c>
      <c r="N63" s="222">
        <f>IF($B63="","",$AE63+IF(AND($AB63&gt;0,OR($T63="",$U63&gt;=29)),$AB63,0))</f>
        <v/>
      </c>
      <c r="O63" s="229">
        <f>IF($B63="","",IFERROR($I63/$H63,0))</f>
        <v/>
      </c>
      <c r="P63" s="224">
        <f>IF($B63="","",IFERROR(LOOKUP(2,1/(TAHSILAT!$C$7:$C$1506=$B63),TAHSILAT!$E$7:$E$1506),""))</f>
        <v/>
      </c>
      <c r="Q63" s="113">
        <f>IF($B63="","",IF($N63&gt;0,"KRİTİK",IF($M63&gt;0,"YÜKSEK",IF($L63&gt;0,"ORTA",IF($J63&gt;0,"İZLE","TEMİZ")))))</f>
        <v/>
      </c>
      <c r="R63" s="121">
        <f>IF($B63="","",IF($Q63="KRİTİK","Acil tahsilat görüşmesi ve cari mutabakat",IF($Q63="YÜKSEK","Bu hafta tahsilat takibi",IF($Q63="ORTA","Hatırlatma mesajı gönder",IF($Q63="İZLE","Normal takip","Aksiyon gerekmiyor")))))</f>
        <v/>
      </c>
      <c r="S63" s="227">
        <f>IF($B63="","",COUNTIFS(AKTIVITE!$D$7:$D$1006,$B63,AKTIVITE!$J$7:$J$1006,"&lt;&gt;Tamamlandı"))</f>
        <v/>
      </c>
      <c r="T63" s="224">
        <f>IF(OR($B63="",$AF63=""),"",IF(INDEX(MUSTERILER!$K$7:$K$106,$AF63)="","",INDEX(MUSTERILER!$K$7:$K$106,$AF63)))</f>
        <v/>
      </c>
      <c r="U63" s="227">
        <f>IF(OR($B63="",$T63=""),"",TODAY()-$T63)</f>
        <v/>
      </c>
      <c r="V63" s="222">
        <f>IF($B63="","",MAX(0,$I63-$H63))</f>
        <v/>
      </c>
      <c r="W63" s="113">
        <f>IF($B63="","",IF(AND(ABS($J63-($K63+$L63+$M63+$N63))&lt;0.01,ABS(($J63-$V63)-($H63-$I63))&lt;0.01),"UYGUN","İNCELE"))</f>
        <v/>
      </c>
      <c r="X63" s="6">
        <f>IF($B63="",0,SUMIFS(UCRETLER!$J$7:$J$406,UCRETLER!$B$7:$B$406,$B63))</f>
        <v/>
      </c>
      <c r="Y63" s="6">
        <f>IF($B63="",0,SUMIFS(UCRETLER!$K$7:$K$406,UCRETLER!$B$7:$B$406,$B63))</f>
        <v/>
      </c>
      <c r="Z63" s="3">
        <f>IF($B63="",0,SUMIFS(UCRETLER!$L$7:$L$406,UCRETLER!$B$7:$B$406,$B63))</f>
        <v/>
      </c>
      <c r="AA63" s="3">
        <f>IF($B63="",0,MAX(0,$I63-$F63))</f>
        <v/>
      </c>
      <c r="AB63" s="3">
        <f>IF($B63="",0,MAX(0,$F63-$I63))</f>
        <v/>
      </c>
      <c r="AC63" s="3">
        <f>IF($B63="",0,MAX(0,$X63-$AA63))</f>
        <v/>
      </c>
      <c r="AD63" s="3">
        <f>IF($B63="",0,MAX(0,$Y63-$AA63))</f>
        <v/>
      </c>
      <c r="AE63" s="3">
        <f>IF($B63="",0,MAX(0,$Z63-$AA63))</f>
        <v/>
      </c>
      <c r="AF63" s="3">
        <f>IFERROR(MATCH(ROW()-6,MUSTERILER!$U$7:$U$106,0),"")</f>
        <v/>
      </c>
      <c r="AG63" s="3">
        <f>IF($B63="",0,SUMIFS(GELIR_GIDER!$G$7:$G$1206,GELIR_GIDER!$T$7:$T$1206,$B63))</f>
        <v/>
      </c>
    </row>
    <row r="64">
      <c r="A64" s="6" t="n"/>
      <c r="B64" s="113">
        <f>IF($AF64="","",INDEX(MUSTERILER!$B$7:$B$106,$AF64))</f>
        <v/>
      </c>
      <c r="C64" s="121">
        <f>IF($AF64="","",INDEX(MUSTERILER!$C$7:$C$106,$AF64))</f>
        <v/>
      </c>
      <c r="D64" s="222">
        <f>IF($B64="","",SUMIFS(UCRETLER!$G$7:$G$406,UCRETLER!$B$7:$B$406,$B64,UCRETLER!$F$7:$F$406,"Haftalık",UCRETLER!$H$7:$H$406,"Aktif"))</f>
        <v/>
      </c>
      <c r="E64" s="222">
        <f>IF($B64="","",SUMIFS(UCRETLER!$G$7:$G$406,UCRETLER!$B$7:$B$406,$B64,UCRETLER!$F$7:$F$406,"Aylık",UCRETLER!$H$7:$H$406,"Aktif"))</f>
        <v/>
      </c>
      <c r="F64" s="222">
        <f>IF($B64="","",SUMIFS(MUSTERILER!$J$7:$J$106,MUSTERILER!$B$7:$B$106,$B64))</f>
        <v/>
      </c>
      <c r="G64" s="222">
        <f>IF($B64="","",SUMIFS(UCRETLER!$I$7:$I$406,UCRETLER!$B$7:$B$406,$B64)+SUMIFS(GELIR_GIDER!$G$7:$G$1206,GELIR_GIDER!$T$7:$T$1206,$B64))</f>
        <v/>
      </c>
      <c r="H64" s="222">
        <f>IF($B64="","",$F64+$G64)</f>
        <v/>
      </c>
      <c r="I64" s="222">
        <f>IF($B64="","",SUMIFS(TAHSILAT!$F$7:$F$1506,TAHSILAT!$C$7:$C$1506,$B64))</f>
        <v/>
      </c>
      <c r="J64" s="222">
        <f>IF($B64="","",MAX(0,$H64-$I64))</f>
        <v/>
      </c>
      <c r="K64" s="222">
        <f>IF($B64="","",MAX(0,$J64-$L64-$M64-$N64))</f>
        <v/>
      </c>
      <c r="L64" s="222">
        <f>IF($B64="","",($AC64-$AD64)+IF(AND($AB64&gt;0,$T64&lt;&gt;"",$U64&gt;=8,$U64&lt;15),$AB64,0))</f>
        <v/>
      </c>
      <c r="M64" s="222">
        <f>IF($B64="","",($AD64-$AE64)+IF(AND($AB64&gt;0,$T64&lt;&gt;"",$U64&gt;=15,$U64&lt;29),$AB64,0))</f>
        <v/>
      </c>
      <c r="N64" s="222">
        <f>IF($B64="","",$AE64+IF(AND($AB64&gt;0,OR($T64="",$U64&gt;=29)),$AB64,0))</f>
        <v/>
      </c>
      <c r="O64" s="229">
        <f>IF($B64="","",IFERROR($I64/$H64,0))</f>
        <v/>
      </c>
      <c r="P64" s="224">
        <f>IF($B64="","",IFERROR(LOOKUP(2,1/(TAHSILAT!$C$7:$C$1506=$B64),TAHSILAT!$E$7:$E$1506),""))</f>
        <v/>
      </c>
      <c r="Q64" s="113">
        <f>IF($B64="","",IF($N64&gt;0,"KRİTİK",IF($M64&gt;0,"YÜKSEK",IF($L64&gt;0,"ORTA",IF($J64&gt;0,"İZLE","TEMİZ")))))</f>
        <v/>
      </c>
      <c r="R64" s="121">
        <f>IF($B64="","",IF($Q64="KRİTİK","Acil tahsilat görüşmesi ve cari mutabakat",IF($Q64="YÜKSEK","Bu hafta tahsilat takibi",IF($Q64="ORTA","Hatırlatma mesajı gönder",IF($Q64="İZLE","Normal takip","Aksiyon gerekmiyor")))))</f>
        <v/>
      </c>
      <c r="S64" s="227">
        <f>IF($B64="","",COUNTIFS(AKTIVITE!$D$7:$D$1006,$B64,AKTIVITE!$J$7:$J$1006,"&lt;&gt;Tamamlandı"))</f>
        <v/>
      </c>
      <c r="T64" s="224">
        <f>IF(OR($B64="",$AF64=""),"",IF(INDEX(MUSTERILER!$K$7:$K$106,$AF64)="","",INDEX(MUSTERILER!$K$7:$K$106,$AF64)))</f>
        <v/>
      </c>
      <c r="U64" s="227">
        <f>IF(OR($B64="",$T64=""),"",TODAY()-$T64)</f>
        <v/>
      </c>
      <c r="V64" s="222">
        <f>IF($B64="","",MAX(0,$I64-$H64))</f>
        <v/>
      </c>
      <c r="W64" s="113">
        <f>IF($B64="","",IF(AND(ABS($J64-($K64+$L64+$M64+$N64))&lt;0.01,ABS(($J64-$V64)-($H64-$I64))&lt;0.01),"UYGUN","İNCELE"))</f>
        <v/>
      </c>
      <c r="X64" s="6">
        <f>IF($B64="",0,SUMIFS(UCRETLER!$J$7:$J$406,UCRETLER!$B$7:$B$406,$B64))</f>
        <v/>
      </c>
      <c r="Y64" s="6">
        <f>IF($B64="",0,SUMIFS(UCRETLER!$K$7:$K$406,UCRETLER!$B$7:$B$406,$B64))</f>
        <v/>
      </c>
      <c r="Z64" s="3">
        <f>IF($B64="",0,SUMIFS(UCRETLER!$L$7:$L$406,UCRETLER!$B$7:$B$406,$B64))</f>
        <v/>
      </c>
      <c r="AA64" s="3">
        <f>IF($B64="",0,MAX(0,$I64-$F64))</f>
        <v/>
      </c>
      <c r="AB64" s="3">
        <f>IF($B64="",0,MAX(0,$F64-$I64))</f>
        <v/>
      </c>
      <c r="AC64" s="3">
        <f>IF($B64="",0,MAX(0,$X64-$AA64))</f>
        <v/>
      </c>
      <c r="AD64" s="3">
        <f>IF($B64="",0,MAX(0,$Y64-$AA64))</f>
        <v/>
      </c>
      <c r="AE64" s="3">
        <f>IF($B64="",0,MAX(0,$Z64-$AA64))</f>
        <v/>
      </c>
      <c r="AF64" s="3">
        <f>IFERROR(MATCH(ROW()-6,MUSTERILER!$U$7:$U$106,0),"")</f>
        <v/>
      </c>
      <c r="AG64" s="3">
        <f>IF($B64="",0,SUMIFS(GELIR_GIDER!$G$7:$G$1206,GELIR_GIDER!$T$7:$T$1206,$B64))</f>
        <v/>
      </c>
    </row>
    <row r="65">
      <c r="A65" s="6" t="n"/>
      <c r="B65" s="113">
        <f>IF($AF65="","",INDEX(MUSTERILER!$B$7:$B$106,$AF65))</f>
        <v/>
      </c>
      <c r="C65" s="121">
        <f>IF($AF65="","",INDEX(MUSTERILER!$C$7:$C$106,$AF65))</f>
        <v/>
      </c>
      <c r="D65" s="222">
        <f>IF($B65="","",SUMIFS(UCRETLER!$G$7:$G$406,UCRETLER!$B$7:$B$406,$B65,UCRETLER!$F$7:$F$406,"Haftalık",UCRETLER!$H$7:$H$406,"Aktif"))</f>
        <v/>
      </c>
      <c r="E65" s="222">
        <f>IF($B65="","",SUMIFS(UCRETLER!$G$7:$G$406,UCRETLER!$B$7:$B$406,$B65,UCRETLER!$F$7:$F$406,"Aylık",UCRETLER!$H$7:$H$406,"Aktif"))</f>
        <v/>
      </c>
      <c r="F65" s="222">
        <f>IF($B65="","",SUMIFS(MUSTERILER!$J$7:$J$106,MUSTERILER!$B$7:$B$106,$B65))</f>
        <v/>
      </c>
      <c r="G65" s="222">
        <f>IF($B65="","",SUMIFS(UCRETLER!$I$7:$I$406,UCRETLER!$B$7:$B$406,$B65)+SUMIFS(GELIR_GIDER!$G$7:$G$1206,GELIR_GIDER!$T$7:$T$1206,$B65))</f>
        <v/>
      </c>
      <c r="H65" s="222">
        <f>IF($B65="","",$F65+$G65)</f>
        <v/>
      </c>
      <c r="I65" s="222">
        <f>IF($B65="","",SUMIFS(TAHSILAT!$F$7:$F$1506,TAHSILAT!$C$7:$C$1506,$B65))</f>
        <v/>
      </c>
      <c r="J65" s="222">
        <f>IF($B65="","",MAX(0,$H65-$I65))</f>
        <v/>
      </c>
      <c r="K65" s="222">
        <f>IF($B65="","",MAX(0,$J65-$L65-$M65-$N65))</f>
        <v/>
      </c>
      <c r="L65" s="222">
        <f>IF($B65="","",($AC65-$AD65)+IF(AND($AB65&gt;0,$T65&lt;&gt;"",$U65&gt;=8,$U65&lt;15),$AB65,0))</f>
        <v/>
      </c>
      <c r="M65" s="222">
        <f>IF($B65="","",($AD65-$AE65)+IF(AND($AB65&gt;0,$T65&lt;&gt;"",$U65&gt;=15,$U65&lt;29),$AB65,0))</f>
        <v/>
      </c>
      <c r="N65" s="222">
        <f>IF($B65="","",$AE65+IF(AND($AB65&gt;0,OR($T65="",$U65&gt;=29)),$AB65,0))</f>
        <v/>
      </c>
      <c r="O65" s="229">
        <f>IF($B65="","",IFERROR($I65/$H65,0))</f>
        <v/>
      </c>
      <c r="P65" s="224">
        <f>IF($B65="","",IFERROR(LOOKUP(2,1/(TAHSILAT!$C$7:$C$1506=$B65),TAHSILAT!$E$7:$E$1506),""))</f>
        <v/>
      </c>
      <c r="Q65" s="113">
        <f>IF($B65="","",IF($N65&gt;0,"KRİTİK",IF($M65&gt;0,"YÜKSEK",IF($L65&gt;0,"ORTA",IF($J65&gt;0,"İZLE","TEMİZ")))))</f>
        <v/>
      </c>
      <c r="R65" s="121">
        <f>IF($B65="","",IF($Q65="KRİTİK","Acil tahsilat görüşmesi ve cari mutabakat",IF($Q65="YÜKSEK","Bu hafta tahsilat takibi",IF($Q65="ORTA","Hatırlatma mesajı gönder",IF($Q65="İZLE","Normal takip","Aksiyon gerekmiyor")))))</f>
        <v/>
      </c>
      <c r="S65" s="227">
        <f>IF($B65="","",COUNTIFS(AKTIVITE!$D$7:$D$1006,$B65,AKTIVITE!$J$7:$J$1006,"&lt;&gt;Tamamlandı"))</f>
        <v/>
      </c>
      <c r="T65" s="224">
        <f>IF(OR($B65="",$AF65=""),"",IF(INDEX(MUSTERILER!$K$7:$K$106,$AF65)="","",INDEX(MUSTERILER!$K$7:$K$106,$AF65)))</f>
        <v/>
      </c>
      <c r="U65" s="227">
        <f>IF(OR($B65="",$T65=""),"",TODAY()-$T65)</f>
        <v/>
      </c>
      <c r="V65" s="222">
        <f>IF($B65="","",MAX(0,$I65-$H65))</f>
        <v/>
      </c>
      <c r="W65" s="113">
        <f>IF($B65="","",IF(AND(ABS($J65-($K65+$L65+$M65+$N65))&lt;0.01,ABS(($J65-$V65)-($H65-$I65))&lt;0.01),"UYGUN","İNCELE"))</f>
        <v/>
      </c>
      <c r="X65" s="6">
        <f>IF($B65="",0,SUMIFS(UCRETLER!$J$7:$J$406,UCRETLER!$B$7:$B$406,$B65))</f>
        <v/>
      </c>
      <c r="Y65" s="6">
        <f>IF($B65="",0,SUMIFS(UCRETLER!$K$7:$K$406,UCRETLER!$B$7:$B$406,$B65))</f>
        <v/>
      </c>
      <c r="Z65" s="3">
        <f>IF($B65="",0,SUMIFS(UCRETLER!$L$7:$L$406,UCRETLER!$B$7:$B$406,$B65))</f>
        <v/>
      </c>
      <c r="AA65" s="3">
        <f>IF($B65="",0,MAX(0,$I65-$F65))</f>
        <v/>
      </c>
      <c r="AB65" s="3">
        <f>IF($B65="",0,MAX(0,$F65-$I65))</f>
        <v/>
      </c>
      <c r="AC65" s="3">
        <f>IF($B65="",0,MAX(0,$X65-$AA65))</f>
        <v/>
      </c>
      <c r="AD65" s="3">
        <f>IF($B65="",0,MAX(0,$Y65-$AA65))</f>
        <v/>
      </c>
      <c r="AE65" s="3">
        <f>IF($B65="",0,MAX(0,$Z65-$AA65))</f>
        <v/>
      </c>
      <c r="AF65" s="3">
        <f>IFERROR(MATCH(ROW()-6,MUSTERILER!$U$7:$U$106,0),"")</f>
        <v/>
      </c>
      <c r="AG65" s="3">
        <f>IF($B65="",0,SUMIFS(GELIR_GIDER!$G$7:$G$1206,GELIR_GIDER!$T$7:$T$1206,$B65))</f>
        <v/>
      </c>
    </row>
    <row r="66">
      <c r="A66" s="6" t="n"/>
      <c r="B66" s="113">
        <f>IF($AF66="","",INDEX(MUSTERILER!$B$7:$B$106,$AF66))</f>
        <v/>
      </c>
      <c r="C66" s="121">
        <f>IF($AF66="","",INDEX(MUSTERILER!$C$7:$C$106,$AF66))</f>
        <v/>
      </c>
      <c r="D66" s="222">
        <f>IF($B66="","",SUMIFS(UCRETLER!$G$7:$G$406,UCRETLER!$B$7:$B$406,$B66,UCRETLER!$F$7:$F$406,"Haftalık",UCRETLER!$H$7:$H$406,"Aktif"))</f>
        <v/>
      </c>
      <c r="E66" s="222">
        <f>IF($B66="","",SUMIFS(UCRETLER!$G$7:$G$406,UCRETLER!$B$7:$B$406,$B66,UCRETLER!$F$7:$F$406,"Aylık",UCRETLER!$H$7:$H$406,"Aktif"))</f>
        <v/>
      </c>
      <c r="F66" s="222">
        <f>IF($B66="","",SUMIFS(MUSTERILER!$J$7:$J$106,MUSTERILER!$B$7:$B$106,$B66))</f>
        <v/>
      </c>
      <c r="G66" s="222">
        <f>IF($B66="","",SUMIFS(UCRETLER!$I$7:$I$406,UCRETLER!$B$7:$B$406,$B66)+SUMIFS(GELIR_GIDER!$G$7:$G$1206,GELIR_GIDER!$T$7:$T$1206,$B66))</f>
        <v/>
      </c>
      <c r="H66" s="222">
        <f>IF($B66="","",$F66+$G66)</f>
        <v/>
      </c>
      <c r="I66" s="222">
        <f>IF($B66="","",SUMIFS(TAHSILAT!$F$7:$F$1506,TAHSILAT!$C$7:$C$1506,$B66))</f>
        <v/>
      </c>
      <c r="J66" s="222">
        <f>IF($B66="","",MAX(0,$H66-$I66))</f>
        <v/>
      </c>
      <c r="K66" s="222">
        <f>IF($B66="","",MAX(0,$J66-$L66-$M66-$N66))</f>
        <v/>
      </c>
      <c r="L66" s="222">
        <f>IF($B66="","",($AC66-$AD66)+IF(AND($AB66&gt;0,$T66&lt;&gt;"",$U66&gt;=8,$U66&lt;15),$AB66,0))</f>
        <v/>
      </c>
      <c r="M66" s="222">
        <f>IF($B66="","",($AD66-$AE66)+IF(AND($AB66&gt;0,$T66&lt;&gt;"",$U66&gt;=15,$U66&lt;29),$AB66,0))</f>
        <v/>
      </c>
      <c r="N66" s="222">
        <f>IF($B66="","",$AE66+IF(AND($AB66&gt;0,OR($T66="",$U66&gt;=29)),$AB66,0))</f>
        <v/>
      </c>
      <c r="O66" s="229">
        <f>IF($B66="","",IFERROR($I66/$H66,0))</f>
        <v/>
      </c>
      <c r="P66" s="224">
        <f>IF($B66="","",IFERROR(LOOKUP(2,1/(TAHSILAT!$C$7:$C$1506=$B66),TAHSILAT!$E$7:$E$1506),""))</f>
        <v/>
      </c>
      <c r="Q66" s="113">
        <f>IF($B66="","",IF($N66&gt;0,"KRİTİK",IF($M66&gt;0,"YÜKSEK",IF($L66&gt;0,"ORTA",IF($J66&gt;0,"İZLE","TEMİZ")))))</f>
        <v/>
      </c>
      <c r="R66" s="121">
        <f>IF($B66="","",IF($Q66="KRİTİK","Acil tahsilat görüşmesi ve cari mutabakat",IF($Q66="YÜKSEK","Bu hafta tahsilat takibi",IF($Q66="ORTA","Hatırlatma mesajı gönder",IF($Q66="İZLE","Normal takip","Aksiyon gerekmiyor")))))</f>
        <v/>
      </c>
      <c r="S66" s="227">
        <f>IF($B66="","",COUNTIFS(AKTIVITE!$D$7:$D$1006,$B66,AKTIVITE!$J$7:$J$1006,"&lt;&gt;Tamamlandı"))</f>
        <v/>
      </c>
      <c r="T66" s="224">
        <f>IF(OR($B66="",$AF66=""),"",IF(INDEX(MUSTERILER!$K$7:$K$106,$AF66)="","",INDEX(MUSTERILER!$K$7:$K$106,$AF66)))</f>
        <v/>
      </c>
      <c r="U66" s="227">
        <f>IF(OR($B66="",$T66=""),"",TODAY()-$T66)</f>
        <v/>
      </c>
      <c r="V66" s="222">
        <f>IF($B66="","",MAX(0,$I66-$H66))</f>
        <v/>
      </c>
      <c r="W66" s="113">
        <f>IF($B66="","",IF(AND(ABS($J66-($K66+$L66+$M66+$N66))&lt;0.01,ABS(($J66-$V66)-($H66-$I66))&lt;0.01),"UYGUN","İNCELE"))</f>
        <v/>
      </c>
      <c r="X66" s="6">
        <f>IF($B66="",0,SUMIFS(UCRETLER!$J$7:$J$406,UCRETLER!$B$7:$B$406,$B66))</f>
        <v/>
      </c>
      <c r="Y66" s="6">
        <f>IF($B66="",0,SUMIFS(UCRETLER!$K$7:$K$406,UCRETLER!$B$7:$B$406,$B66))</f>
        <v/>
      </c>
      <c r="Z66" s="3">
        <f>IF($B66="",0,SUMIFS(UCRETLER!$L$7:$L$406,UCRETLER!$B$7:$B$406,$B66))</f>
        <v/>
      </c>
      <c r="AA66" s="3">
        <f>IF($B66="",0,MAX(0,$I66-$F66))</f>
        <v/>
      </c>
      <c r="AB66" s="3">
        <f>IF($B66="",0,MAX(0,$F66-$I66))</f>
        <v/>
      </c>
      <c r="AC66" s="3">
        <f>IF($B66="",0,MAX(0,$X66-$AA66))</f>
        <v/>
      </c>
      <c r="AD66" s="3">
        <f>IF($B66="",0,MAX(0,$Y66-$AA66))</f>
        <v/>
      </c>
      <c r="AE66" s="3">
        <f>IF($B66="",0,MAX(0,$Z66-$AA66))</f>
        <v/>
      </c>
      <c r="AF66" s="3">
        <f>IFERROR(MATCH(ROW()-6,MUSTERILER!$U$7:$U$106,0),"")</f>
        <v/>
      </c>
      <c r="AG66" s="3">
        <f>IF($B66="",0,SUMIFS(GELIR_GIDER!$G$7:$G$1206,GELIR_GIDER!$T$7:$T$1206,$B66))</f>
        <v/>
      </c>
    </row>
    <row r="67">
      <c r="A67" s="6" t="n"/>
      <c r="B67" s="113">
        <f>IF($AF67="","",INDEX(MUSTERILER!$B$7:$B$106,$AF67))</f>
        <v/>
      </c>
      <c r="C67" s="121">
        <f>IF($AF67="","",INDEX(MUSTERILER!$C$7:$C$106,$AF67))</f>
        <v/>
      </c>
      <c r="D67" s="222">
        <f>IF($B67="","",SUMIFS(UCRETLER!$G$7:$G$406,UCRETLER!$B$7:$B$406,$B67,UCRETLER!$F$7:$F$406,"Haftalık",UCRETLER!$H$7:$H$406,"Aktif"))</f>
        <v/>
      </c>
      <c r="E67" s="222">
        <f>IF($B67="","",SUMIFS(UCRETLER!$G$7:$G$406,UCRETLER!$B$7:$B$406,$B67,UCRETLER!$F$7:$F$406,"Aylık",UCRETLER!$H$7:$H$406,"Aktif"))</f>
        <v/>
      </c>
      <c r="F67" s="222">
        <f>IF($B67="","",SUMIFS(MUSTERILER!$J$7:$J$106,MUSTERILER!$B$7:$B$106,$B67))</f>
        <v/>
      </c>
      <c r="G67" s="222">
        <f>IF($B67="","",SUMIFS(UCRETLER!$I$7:$I$406,UCRETLER!$B$7:$B$406,$B67)+SUMIFS(GELIR_GIDER!$G$7:$G$1206,GELIR_GIDER!$T$7:$T$1206,$B67))</f>
        <v/>
      </c>
      <c r="H67" s="222">
        <f>IF($B67="","",$F67+$G67)</f>
        <v/>
      </c>
      <c r="I67" s="222">
        <f>IF($B67="","",SUMIFS(TAHSILAT!$F$7:$F$1506,TAHSILAT!$C$7:$C$1506,$B67))</f>
        <v/>
      </c>
      <c r="J67" s="222">
        <f>IF($B67="","",MAX(0,$H67-$I67))</f>
        <v/>
      </c>
      <c r="K67" s="222">
        <f>IF($B67="","",MAX(0,$J67-$L67-$M67-$N67))</f>
        <v/>
      </c>
      <c r="L67" s="222">
        <f>IF($B67="","",($AC67-$AD67)+IF(AND($AB67&gt;0,$T67&lt;&gt;"",$U67&gt;=8,$U67&lt;15),$AB67,0))</f>
        <v/>
      </c>
      <c r="M67" s="222">
        <f>IF($B67="","",($AD67-$AE67)+IF(AND($AB67&gt;0,$T67&lt;&gt;"",$U67&gt;=15,$U67&lt;29),$AB67,0))</f>
        <v/>
      </c>
      <c r="N67" s="222">
        <f>IF($B67="","",$AE67+IF(AND($AB67&gt;0,OR($T67="",$U67&gt;=29)),$AB67,0))</f>
        <v/>
      </c>
      <c r="O67" s="229">
        <f>IF($B67="","",IFERROR($I67/$H67,0))</f>
        <v/>
      </c>
      <c r="P67" s="224">
        <f>IF($B67="","",IFERROR(LOOKUP(2,1/(TAHSILAT!$C$7:$C$1506=$B67),TAHSILAT!$E$7:$E$1506),""))</f>
        <v/>
      </c>
      <c r="Q67" s="113">
        <f>IF($B67="","",IF($N67&gt;0,"KRİTİK",IF($M67&gt;0,"YÜKSEK",IF($L67&gt;0,"ORTA",IF($J67&gt;0,"İZLE","TEMİZ")))))</f>
        <v/>
      </c>
      <c r="R67" s="121">
        <f>IF($B67="","",IF($Q67="KRİTİK","Acil tahsilat görüşmesi ve cari mutabakat",IF($Q67="YÜKSEK","Bu hafta tahsilat takibi",IF($Q67="ORTA","Hatırlatma mesajı gönder",IF($Q67="İZLE","Normal takip","Aksiyon gerekmiyor")))))</f>
        <v/>
      </c>
      <c r="S67" s="227">
        <f>IF($B67="","",COUNTIFS(AKTIVITE!$D$7:$D$1006,$B67,AKTIVITE!$J$7:$J$1006,"&lt;&gt;Tamamlandı"))</f>
        <v/>
      </c>
      <c r="T67" s="224">
        <f>IF(OR($B67="",$AF67=""),"",IF(INDEX(MUSTERILER!$K$7:$K$106,$AF67)="","",INDEX(MUSTERILER!$K$7:$K$106,$AF67)))</f>
        <v/>
      </c>
      <c r="U67" s="227">
        <f>IF(OR($B67="",$T67=""),"",TODAY()-$T67)</f>
        <v/>
      </c>
      <c r="V67" s="222">
        <f>IF($B67="","",MAX(0,$I67-$H67))</f>
        <v/>
      </c>
      <c r="W67" s="113">
        <f>IF($B67="","",IF(AND(ABS($J67-($K67+$L67+$M67+$N67))&lt;0.01,ABS(($J67-$V67)-($H67-$I67))&lt;0.01),"UYGUN","İNCELE"))</f>
        <v/>
      </c>
      <c r="X67" s="6">
        <f>IF($B67="",0,SUMIFS(UCRETLER!$J$7:$J$406,UCRETLER!$B$7:$B$406,$B67))</f>
        <v/>
      </c>
      <c r="Y67" s="6">
        <f>IF($B67="",0,SUMIFS(UCRETLER!$K$7:$K$406,UCRETLER!$B$7:$B$406,$B67))</f>
        <v/>
      </c>
      <c r="Z67" s="3">
        <f>IF($B67="",0,SUMIFS(UCRETLER!$L$7:$L$406,UCRETLER!$B$7:$B$406,$B67))</f>
        <v/>
      </c>
      <c r="AA67" s="3">
        <f>IF($B67="",0,MAX(0,$I67-$F67))</f>
        <v/>
      </c>
      <c r="AB67" s="3">
        <f>IF($B67="",0,MAX(0,$F67-$I67))</f>
        <v/>
      </c>
      <c r="AC67" s="3">
        <f>IF($B67="",0,MAX(0,$X67-$AA67))</f>
        <v/>
      </c>
      <c r="AD67" s="3">
        <f>IF($B67="",0,MAX(0,$Y67-$AA67))</f>
        <v/>
      </c>
      <c r="AE67" s="3">
        <f>IF($B67="",0,MAX(0,$Z67-$AA67))</f>
        <v/>
      </c>
      <c r="AF67" s="3">
        <f>IFERROR(MATCH(ROW()-6,MUSTERILER!$U$7:$U$106,0),"")</f>
        <v/>
      </c>
      <c r="AG67" s="3">
        <f>IF($B67="",0,SUMIFS(GELIR_GIDER!$G$7:$G$1206,GELIR_GIDER!$T$7:$T$1206,$B67))</f>
        <v/>
      </c>
    </row>
    <row r="68">
      <c r="A68" s="6" t="n"/>
      <c r="B68" s="113">
        <f>IF($AF68="","",INDEX(MUSTERILER!$B$7:$B$106,$AF68))</f>
        <v/>
      </c>
      <c r="C68" s="121">
        <f>IF($AF68="","",INDEX(MUSTERILER!$C$7:$C$106,$AF68))</f>
        <v/>
      </c>
      <c r="D68" s="222">
        <f>IF($B68="","",SUMIFS(UCRETLER!$G$7:$G$406,UCRETLER!$B$7:$B$406,$B68,UCRETLER!$F$7:$F$406,"Haftalık",UCRETLER!$H$7:$H$406,"Aktif"))</f>
        <v/>
      </c>
      <c r="E68" s="222">
        <f>IF($B68="","",SUMIFS(UCRETLER!$G$7:$G$406,UCRETLER!$B$7:$B$406,$B68,UCRETLER!$F$7:$F$406,"Aylık",UCRETLER!$H$7:$H$406,"Aktif"))</f>
        <v/>
      </c>
      <c r="F68" s="222">
        <f>IF($B68="","",SUMIFS(MUSTERILER!$J$7:$J$106,MUSTERILER!$B$7:$B$106,$B68))</f>
        <v/>
      </c>
      <c r="G68" s="222">
        <f>IF($B68="","",SUMIFS(UCRETLER!$I$7:$I$406,UCRETLER!$B$7:$B$406,$B68)+SUMIFS(GELIR_GIDER!$G$7:$G$1206,GELIR_GIDER!$T$7:$T$1206,$B68))</f>
        <v/>
      </c>
      <c r="H68" s="222">
        <f>IF($B68="","",$F68+$G68)</f>
        <v/>
      </c>
      <c r="I68" s="222">
        <f>IF($B68="","",SUMIFS(TAHSILAT!$F$7:$F$1506,TAHSILAT!$C$7:$C$1506,$B68))</f>
        <v/>
      </c>
      <c r="J68" s="222">
        <f>IF($B68="","",MAX(0,$H68-$I68))</f>
        <v/>
      </c>
      <c r="K68" s="222">
        <f>IF($B68="","",MAX(0,$J68-$L68-$M68-$N68))</f>
        <v/>
      </c>
      <c r="L68" s="222">
        <f>IF($B68="","",($AC68-$AD68)+IF(AND($AB68&gt;0,$T68&lt;&gt;"",$U68&gt;=8,$U68&lt;15),$AB68,0))</f>
        <v/>
      </c>
      <c r="M68" s="222">
        <f>IF($B68="","",($AD68-$AE68)+IF(AND($AB68&gt;0,$T68&lt;&gt;"",$U68&gt;=15,$U68&lt;29),$AB68,0))</f>
        <v/>
      </c>
      <c r="N68" s="222">
        <f>IF($B68="","",$AE68+IF(AND($AB68&gt;0,OR($T68="",$U68&gt;=29)),$AB68,0))</f>
        <v/>
      </c>
      <c r="O68" s="229">
        <f>IF($B68="","",IFERROR($I68/$H68,0))</f>
        <v/>
      </c>
      <c r="P68" s="224">
        <f>IF($B68="","",IFERROR(LOOKUP(2,1/(TAHSILAT!$C$7:$C$1506=$B68),TAHSILAT!$E$7:$E$1506),""))</f>
        <v/>
      </c>
      <c r="Q68" s="113">
        <f>IF($B68="","",IF($N68&gt;0,"KRİTİK",IF($M68&gt;0,"YÜKSEK",IF($L68&gt;0,"ORTA",IF($J68&gt;0,"İZLE","TEMİZ")))))</f>
        <v/>
      </c>
      <c r="R68" s="121">
        <f>IF($B68="","",IF($Q68="KRİTİK","Acil tahsilat görüşmesi ve cari mutabakat",IF($Q68="YÜKSEK","Bu hafta tahsilat takibi",IF($Q68="ORTA","Hatırlatma mesajı gönder",IF($Q68="İZLE","Normal takip","Aksiyon gerekmiyor")))))</f>
        <v/>
      </c>
      <c r="S68" s="227">
        <f>IF($B68="","",COUNTIFS(AKTIVITE!$D$7:$D$1006,$B68,AKTIVITE!$J$7:$J$1006,"&lt;&gt;Tamamlandı"))</f>
        <v/>
      </c>
      <c r="T68" s="224">
        <f>IF(OR($B68="",$AF68=""),"",IF(INDEX(MUSTERILER!$K$7:$K$106,$AF68)="","",INDEX(MUSTERILER!$K$7:$K$106,$AF68)))</f>
        <v/>
      </c>
      <c r="U68" s="227">
        <f>IF(OR($B68="",$T68=""),"",TODAY()-$T68)</f>
        <v/>
      </c>
      <c r="V68" s="222">
        <f>IF($B68="","",MAX(0,$I68-$H68))</f>
        <v/>
      </c>
      <c r="W68" s="113">
        <f>IF($B68="","",IF(AND(ABS($J68-($K68+$L68+$M68+$N68))&lt;0.01,ABS(($J68-$V68)-($H68-$I68))&lt;0.01),"UYGUN","İNCELE"))</f>
        <v/>
      </c>
      <c r="X68" s="6">
        <f>IF($B68="",0,SUMIFS(UCRETLER!$J$7:$J$406,UCRETLER!$B$7:$B$406,$B68))</f>
        <v/>
      </c>
      <c r="Y68" s="6">
        <f>IF($B68="",0,SUMIFS(UCRETLER!$K$7:$K$406,UCRETLER!$B$7:$B$406,$B68))</f>
        <v/>
      </c>
      <c r="Z68" s="3">
        <f>IF($B68="",0,SUMIFS(UCRETLER!$L$7:$L$406,UCRETLER!$B$7:$B$406,$B68))</f>
        <v/>
      </c>
      <c r="AA68" s="3">
        <f>IF($B68="",0,MAX(0,$I68-$F68))</f>
        <v/>
      </c>
      <c r="AB68" s="3">
        <f>IF($B68="",0,MAX(0,$F68-$I68))</f>
        <v/>
      </c>
      <c r="AC68" s="3">
        <f>IF($B68="",0,MAX(0,$X68-$AA68))</f>
        <v/>
      </c>
      <c r="AD68" s="3">
        <f>IF($B68="",0,MAX(0,$Y68-$AA68))</f>
        <v/>
      </c>
      <c r="AE68" s="3">
        <f>IF($B68="",0,MAX(0,$Z68-$AA68))</f>
        <v/>
      </c>
      <c r="AF68" s="3">
        <f>IFERROR(MATCH(ROW()-6,MUSTERILER!$U$7:$U$106,0),"")</f>
        <v/>
      </c>
      <c r="AG68" s="3">
        <f>IF($B68="",0,SUMIFS(GELIR_GIDER!$G$7:$G$1206,GELIR_GIDER!$T$7:$T$1206,$B68))</f>
        <v/>
      </c>
    </row>
    <row r="69">
      <c r="A69" s="6" t="n"/>
      <c r="B69" s="113">
        <f>IF($AF69="","",INDEX(MUSTERILER!$B$7:$B$106,$AF69))</f>
        <v/>
      </c>
      <c r="C69" s="121">
        <f>IF($AF69="","",INDEX(MUSTERILER!$C$7:$C$106,$AF69))</f>
        <v/>
      </c>
      <c r="D69" s="222">
        <f>IF($B69="","",SUMIFS(UCRETLER!$G$7:$G$406,UCRETLER!$B$7:$B$406,$B69,UCRETLER!$F$7:$F$406,"Haftalık",UCRETLER!$H$7:$H$406,"Aktif"))</f>
        <v/>
      </c>
      <c r="E69" s="222">
        <f>IF($B69="","",SUMIFS(UCRETLER!$G$7:$G$406,UCRETLER!$B$7:$B$406,$B69,UCRETLER!$F$7:$F$406,"Aylık",UCRETLER!$H$7:$H$406,"Aktif"))</f>
        <v/>
      </c>
      <c r="F69" s="222">
        <f>IF($B69="","",SUMIFS(MUSTERILER!$J$7:$J$106,MUSTERILER!$B$7:$B$106,$B69))</f>
        <v/>
      </c>
      <c r="G69" s="222">
        <f>IF($B69="","",SUMIFS(UCRETLER!$I$7:$I$406,UCRETLER!$B$7:$B$406,$B69)+SUMIFS(GELIR_GIDER!$G$7:$G$1206,GELIR_GIDER!$T$7:$T$1206,$B69))</f>
        <v/>
      </c>
      <c r="H69" s="222">
        <f>IF($B69="","",$F69+$G69)</f>
        <v/>
      </c>
      <c r="I69" s="222">
        <f>IF($B69="","",SUMIFS(TAHSILAT!$F$7:$F$1506,TAHSILAT!$C$7:$C$1506,$B69))</f>
        <v/>
      </c>
      <c r="J69" s="222">
        <f>IF($B69="","",MAX(0,$H69-$I69))</f>
        <v/>
      </c>
      <c r="K69" s="222">
        <f>IF($B69="","",MAX(0,$J69-$L69-$M69-$N69))</f>
        <v/>
      </c>
      <c r="L69" s="222">
        <f>IF($B69="","",($AC69-$AD69)+IF(AND($AB69&gt;0,$T69&lt;&gt;"",$U69&gt;=8,$U69&lt;15),$AB69,0))</f>
        <v/>
      </c>
      <c r="M69" s="222">
        <f>IF($B69="","",($AD69-$AE69)+IF(AND($AB69&gt;0,$T69&lt;&gt;"",$U69&gt;=15,$U69&lt;29),$AB69,0))</f>
        <v/>
      </c>
      <c r="N69" s="222">
        <f>IF($B69="","",$AE69+IF(AND($AB69&gt;0,OR($T69="",$U69&gt;=29)),$AB69,0))</f>
        <v/>
      </c>
      <c r="O69" s="229">
        <f>IF($B69="","",IFERROR($I69/$H69,0))</f>
        <v/>
      </c>
      <c r="P69" s="224">
        <f>IF($B69="","",IFERROR(LOOKUP(2,1/(TAHSILAT!$C$7:$C$1506=$B69),TAHSILAT!$E$7:$E$1506),""))</f>
        <v/>
      </c>
      <c r="Q69" s="113">
        <f>IF($B69="","",IF($N69&gt;0,"KRİTİK",IF($M69&gt;0,"YÜKSEK",IF($L69&gt;0,"ORTA",IF($J69&gt;0,"İZLE","TEMİZ")))))</f>
        <v/>
      </c>
      <c r="R69" s="121">
        <f>IF($B69="","",IF($Q69="KRİTİK","Acil tahsilat görüşmesi ve cari mutabakat",IF($Q69="YÜKSEK","Bu hafta tahsilat takibi",IF($Q69="ORTA","Hatırlatma mesajı gönder",IF($Q69="İZLE","Normal takip","Aksiyon gerekmiyor")))))</f>
        <v/>
      </c>
      <c r="S69" s="227">
        <f>IF($B69="","",COUNTIFS(AKTIVITE!$D$7:$D$1006,$B69,AKTIVITE!$J$7:$J$1006,"&lt;&gt;Tamamlandı"))</f>
        <v/>
      </c>
      <c r="T69" s="224">
        <f>IF(OR($B69="",$AF69=""),"",IF(INDEX(MUSTERILER!$K$7:$K$106,$AF69)="","",INDEX(MUSTERILER!$K$7:$K$106,$AF69)))</f>
        <v/>
      </c>
      <c r="U69" s="227">
        <f>IF(OR($B69="",$T69=""),"",TODAY()-$T69)</f>
        <v/>
      </c>
      <c r="V69" s="222">
        <f>IF($B69="","",MAX(0,$I69-$H69))</f>
        <v/>
      </c>
      <c r="W69" s="113">
        <f>IF($B69="","",IF(AND(ABS($J69-($K69+$L69+$M69+$N69))&lt;0.01,ABS(($J69-$V69)-($H69-$I69))&lt;0.01),"UYGUN","İNCELE"))</f>
        <v/>
      </c>
      <c r="X69" s="6">
        <f>IF($B69="",0,SUMIFS(UCRETLER!$J$7:$J$406,UCRETLER!$B$7:$B$406,$B69))</f>
        <v/>
      </c>
      <c r="Y69" s="6">
        <f>IF($B69="",0,SUMIFS(UCRETLER!$K$7:$K$406,UCRETLER!$B$7:$B$406,$B69))</f>
        <v/>
      </c>
      <c r="Z69" s="3">
        <f>IF($B69="",0,SUMIFS(UCRETLER!$L$7:$L$406,UCRETLER!$B$7:$B$406,$B69))</f>
        <v/>
      </c>
      <c r="AA69" s="3">
        <f>IF($B69="",0,MAX(0,$I69-$F69))</f>
        <v/>
      </c>
      <c r="AB69" s="3">
        <f>IF($B69="",0,MAX(0,$F69-$I69))</f>
        <v/>
      </c>
      <c r="AC69" s="3">
        <f>IF($B69="",0,MAX(0,$X69-$AA69))</f>
        <v/>
      </c>
      <c r="AD69" s="3">
        <f>IF($B69="",0,MAX(0,$Y69-$AA69))</f>
        <v/>
      </c>
      <c r="AE69" s="3">
        <f>IF($B69="",0,MAX(0,$Z69-$AA69))</f>
        <v/>
      </c>
      <c r="AF69" s="3">
        <f>IFERROR(MATCH(ROW()-6,MUSTERILER!$U$7:$U$106,0),"")</f>
        <v/>
      </c>
      <c r="AG69" s="3">
        <f>IF($B69="",0,SUMIFS(GELIR_GIDER!$G$7:$G$1206,GELIR_GIDER!$T$7:$T$1206,$B69))</f>
        <v/>
      </c>
    </row>
    <row r="70">
      <c r="A70" s="6" t="n"/>
      <c r="B70" s="113">
        <f>IF($AF70="","",INDEX(MUSTERILER!$B$7:$B$106,$AF70))</f>
        <v/>
      </c>
      <c r="C70" s="121">
        <f>IF($AF70="","",INDEX(MUSTERILER!$C$7:$C$106,$AF70))</f>
        <v/>
      </c>
      <c r="D70" s="222">
        <f>IF($B70="","",SUMIFS(UCRETLER!$G$7:$G$406,UCRETLER!$B$7:$B$406,$B70,UCRETLER!$F$7:$F$406,"Haftalık",UCRETLER!$H$7:$H$406,"Aktif"))</f>
        <v/>
      </c>
      <c r="E70" s="222">
        <f>IF($B70="","",SUMIFS(UCRETLER!$G$7:$G$406,UCRETLER!$B$7:$B$406,$B70,UCRETLER!$F$7:$F$406,"Aylık",UCRETLER!$H$7:$H$406,"Aktif"))</f>
        <v/>
      </c>
      <c r="F70" s="222">
        <f>IF($B70="","",SUMIFS(MUSTERILER!$J$7:$J$106,MUSTERILER!$B$7:$B$106,$B70))</f>
        <v/>
      </c>
      <c r="G70" s="222">
        <f>IF($B70="","",SUMIFS(UCRETLER!$I$7:$I$406,UCRETLER!$B$7:$B$406,$B70)+SUMIFS(GELIR_GIDER!$G$7:$G$1206,GELIR_GIDER!$T$7:$T$1206,$B70))</f>
        <v/>
      </c>
      <c r="H70" s="222">
        <f>IF($B70="","",$F70+$G70)</f>
        <v/>
      </c>
      <c r="I70" s="222">
        <f>IF($B70="","",SUMIFS(TAHSILAT!$F$7:$F$1506,TAHSILAT!$C$7:$C$1506,$B70))</f>
        <v/>
      </c>
      <c r="J70" s="222">
        <f>IF($B70="","",MAX(0,$H70-$I70))</f>
        <v/>
      </c>
      <c r="K70" s="222">
        <f>IF($B70="","",MAX(0,$J70-$L70-$M70-$N70))</f>
        <v/>
      </c>
      <c r="L70" s="222">
        <f>IF($B70="","",($AC70-$AD70)+IF(AND($AB70&gt;0,$T70&lt;&gt;"",$U70&gt;=8,$U70&lt;15),$AB70,0))</f>
        <v/>
      </c>
      <c r="M70" s="222">
        <f>IF($B70="","",($AD70-$AE70)+IF(AND($AB70&gt;0,$T70&lt;&gt;"",$U70&gt;=15,$U70&lt;29),$AB70,0))</f>
        <v/>
      </c>
      <c r="N70" s="222">
        <f>IF($B70="","",$AE70+IF(AND($AB70&gt;0,OR($T70="",$U70&gt;=29)),$AB70,0))</f>
        <v/>
      </c>
      <c r="O70" s="229">
        <f>IF($B70="","",IFERROR($I70/$H70,0))</f>
        <v/>
      </c>
      <c r="P70" s="224">
        <f>IF($B70="","",IFERROR(LOOKUP(2,1/(TAHSILAT!$C$7:$C$1506=$B70),TAHSILAT!$E$7:$E$1506),""))</f>
        <v/>
      </c>
      <c r="Q70" s="113">
        <f>IF($B70="","",IF($N70&gt;0,"KRİTİK",IF($M70&gt;0,"YÜKSEK",IF($L70&gt;0,"ORTA",IF($J70&gt;0,"İZLE","TEMİZ")))))</f>
        <v/>
      </c>
      <c r="R70" s="121">
        <f>IF($B70="","",IF($Q70="KRİTİK","Acil tahsilat görüşmesi ve cari mutabakat",IF($Q70="YÜKSEK","Bu hafta tahsilat takibi",IF($Q70="ORTA","Hatırlatma mesajı gönder",IF($Q70="İZLE","Normal takip","Aksiyon gerekmiyor")))))</f>
        <v/>
      </c>
      <c r="S70" s="227">
        <f>IF($B70="","",COUNTIFS(AKTIVITE!$D$7:$D$1006,$B70,AKTIVITE!$J$7:$J$1006,"&lt;&gt;Tamamlandı"))</f>
        <v/>
      </c>
      <c r="T70" s="224">
        <f>IF(OR($B70="",$AF70=""),"",IF(INDEX(MUSTERILER!$K$7:$K$106,$AF70)="","",INDEX(MUSTERILER!$K$7:$K$106,$AF70)))</f>
        <v/>
      </c>
      <c r="U70" s="227">
        <f>IF(OR($B70="",$T70=""),"",TODAY()-$T70)</f>
        <v/>
      </c>
      <c r="V70" s="222">
        <f>IF($B70="","",MAX(0,$I70-$H70))</f>
        <v/>
      </c>
      <c r="W70" s="113">
        <f>IF($B70="","",IF(AND(ABS($J70-($K70+$L70+$M70+$N70))&lt;0.01,ABS(($J70-$V70)-($H70-$I70))&lt;0.01),"UYGUN","İNCELE"))</f>
        <v/>
      </c>
      <c r="X70" s="6">
        <f>IF($B70="",0,SUMIFS(UCRETLER!$J$7:$J$406,UCRETLER!$B$7:$B$406,$B70))</f>
        <v/>
      </c>
      <c r="Y70" s="6">
        <f>IF($B70="",0,SUMIFS(UCRETLER!$K$7:$K$406,UCRETLER!$B$7:$B$406,$B70))</f>
        <v/>
      </c>
      <c r="Z70" s="3">
        <f>IF($B70="",0,SUMIFS(UCRETLER!$L$7:$L$406,UCRETLER!$B$7:$B$406,$B70))</f>
        <v/>
      </c>
      <c r="AA70" s="3">
        <f>IF($B70="",0,MAX(0,$I70-$F70))</f>
        <v/>
      </c>
      <c r="AB70" s="3">
        <f>IF($B70="",0,MAX(0,$F70-$I70))</f>
        <v/>
      </c>
      <c r="AC70" s="3">
        <f>IF($B70="",0,MAX(0,$X70-$AA70))</f>
        <v/>
      </c>
      <c r="AD70" s="3">
        <f>IF($B70="",0,MAX(0,$Y70-$AA70))</f>
        <v/>
      </c>
      <c r="AE70" s="3">
        <f>IF($B70="",0,MAX(0,$Z70-$AA70))</f>
        <v/>
      </c>
      <c r="AF70" s="3">
        <f>IFERROR(MATCH(ROW()-6,MUSTERILER!$U$7:$U$106,0),"")</f>
        <v/>
      </c>
      <c r="AG70" s="3">
        <f>IF($B70="",0,SUMIFS(GELIR_GIDER!$G$7:$G$1206,GELIR_GIDER!$T$7:$T$1206,$B70))</f>
        <v/>
      </c>
    </row>
    <row r="71">
      <c r="A71" s="6" t="n"/>
      <c r="B71" s="113">
        <f>IF($AF71="","",INDEX(MUSTERILER!$B$7:$B$106,$AF71))</f>
        <v/>
      </c>
      <c r="C71" s="121">
        <f>IF($AF71="","",INDEX(MUSTERILER!$C$7:$C$106,$AF71))</f>
        <v/>
      </c>
      <c r="D71" s="222">
        <f>IF($B71="","",SUMIFS(UCRETLER!$G$7:$G$406,UCRETLER!$B$7:$B$406,$B71,UCRETLER!$F$7:$F$406,"Haftalık",UCRETLER!$H$7:$H$406,"Aktif"))</f>
        <v/>
      </c>
      <c r="E71" s="222">
        <f>IF($B71="","",SUMIFS(UCRETLER!$G$7:$G$406,UCRETLER!$B$7:$B$406,$B71,UCRETLER!$F$7:$F$406,"Aylık",UCRETLER!$H$7:$H$406,"Aktif"))</f>
        <v/>
      </c>
      <c r="F71" s="222">
        <f>IF($B71="","",SUMIFS(MUSTERILER!$J$7:$J$106,MUSTERILER!$B$7:$B$106,$B71))</f>
        <v/>
      </c>
      <c r="G71" s="222">
        <f>IF($B71="","",SUMIFS(UCRETLER!$I$7:$I$406,UCRETLER!$B$7:$B$406,$B71)+SUMIFS(GELIR_GIDER!$G$7:$G$1206,GELIR_GIDER!$T$7:$T$1206,$B71))</f>
        <v/>
      </c>
      <c r="H71" s="222">
        <f>IF($B71="","",$F71+$G71)</f>
        <v/>
      </c>
      <c r="I71" s="222">
        <f>IF($B71="","",SUMIFS(TAHSILAT!$F$7:$F$1506,TAHSILAT!$C$7:$C$1506,$B71))</f>
        <v/>
      </c>
      <c r="J71" s="222">
        <f>IF($B71="","",MAX(0,$H71-$I71))</f>
        <v/>
      </c>
      <c r="K71" s="222">
        <f>IF($B71="","",MAX(0,$J71-$L71-$M71-$N71))</f>
        <v/>
      </c>
      <c r="L71" s="222">
        <f>IF($B71="","",($AC71-$AD71)+IF(AND($AB71&gt;0,$T71&lt;&gt;"",$U71&gt;=8,$U71&lt;15),$AB71,0))</f>
        <v/>
      </c>
      <c r="M71" s="222">
        <f>IF($B71="","",($AD71-$AE71)+IF(AND($AB71&gt;0,$T71&lt;&gt;"",$U71&gt;=15,$U71&lt;29),$AB71,0))</f>
        <v/>
      </c>
      <c r="N71" s="222">
        <f>IF($B71="","",$AE71+IF(AND($AB71&gt;0,OR($T71="",$U71&gt;=29)),$AB71,0))</f>
        <v/>
      </c>
      <c r="O71" s="229">
        <f>IF($B71="","",IFERROR($I71/$H71,0))</f>
        <v/>
      </c>
      <c r="P71" s="224">
        <f>IF($B71="","",IFERROR(LOOKUP(2,1/(TAHSILAT!$C$7:$C$1506=$B71),TAHSILAT!$E$7:$E$1506),""))</f>
        <v/>
      </c>
      <c r="Q71" s="113">
        <f>IF($B71="","",IF($N71&gt;0,"KRİTİK",IF($M71&gt;0,"YÜKSEK",IF($L71&gt;0,"ORTA",IF($J71&gt;0,"İZLE","TEMİZ")))))</f>
        <v/>
      </c>
      <c r="R71" s="121">
        <f>IF($B71="","",IF($Q71="KRİTİK","Acil tahsilat görüşmesi ve cari mutabakat",IF($Q71="YÜKSEK","Bu hafta tahsilat takibi",IF($Q71="ORTA","Hatırlatma mesajı gönder",IF($Q71="İZLE","Normal takip","Aksiyon gerekmiyor")))))</f>
        <v/>
      </c>
      <c r="S71" s="227">
        <f>IF($B71="","",COUNTIFS(AKTIVITE!$D$7:$D$1006,$B71,AKTIVITE!$J$7:$J$1006,"&lt;&gt;Tamamlandı"))</f>
        <v/>
      </c>
      <c r="T71" s="224">
        <f>IF(OR($B71="",$AF71=""),"",IF(INDEX(MUSTERILER!$K$7:$K$106,$AF71)="","",INDEX(MUSTERILER!$K$7:$K$106,$AF71)))</f>
        <v/>
      </c>
      <c r="U71" s="227">
        <f>IF(OR($B71="",$T71=""),"",TODAY()-$T71)</f>
        <v/>
      </c>
      <c r="V71" s="222">
        <f>IF($B71="","",MAX(0,$I71-$H71))</f>
        <v/>
      </c>
      <c r="W71" s="113">
        <f>IF($B71="","",IF(AND(ABS($J71-($K71+$L71+$M71+$N71))&lt;0.01,ABS(($J71-$V71)-($H71-$I71))&lt;0.01),"UYGUN","İNCELE"))</f>
        <v/>
      </c>
      <c r="X71" s="6">
        <f>IF($B71="",0,SUMIFS(UCRETLER!$J$7:$J$406,UCRETLER!$B$7:$B$406,$B71))</f>
        <v/>
      </c>
      <c r="Y71" s="6">
        <f>IF($B71="",0,SUMIFS(UCRETLER!$K$7:$K$406,UCRETLER!$B$7:$B$406,$B71))</f>
        <v/>
      </c>
      <c r="Z71" s="3">
        <f>IF($B71="",0,SUMIFS(UCRETLER!$L$7:$L$406,UCRETLER!$B$7:$B$406,$B71))</f>
        <v/>
      </c>
      <c r="AA71" s="3">
        <f>IF($B71="",0,MAX(0,$I71-$F71))</f>
        <v/>
      </c>
      <c r="AB71" s="3">
        <f>IF($B71="",0,MAX(0,$F71-$I71))</f>
        <v/>
      </c>
      <c r="AC71" s="3">
        <f>IF($B71="",0,MAX(0,$X71-$AA71))</f>
        <v/>
      </c>
      <c r="AD71" s="3">
        <f>IF($B71="",0,MAX(0,$Y71-$AA71))</f>
        <v/>
      </c>
      <c r="AE71" s="3">
        <f>IF($B71="",0,MAX(0,$Z71-$AA71))</f>
        <v/>
      </c>
      <c r="AF71" s="3">
        <f>IFERROR(MATCH(ROW()-6,MUSTERILER!$U$7:$U$106,0),"")</f>
        <v/>
      </c>
      <c r="AG71" s="3">
        <f>IF($B71="",0,SUMIFS(GELIR_GIDER!$G$7:$G$1206,GELIR_GIDER!$T$7:$T$1206,$B71))</f>
        <v/>
      </c>
    </row>
    <row r="72">
      <c r="A72" s="6" t="n"/>
      <c r="B72" s="113">
        <f>IF($AF72="","",INDEX(MUSTERILER!$B$7:$B$106,$AF72))</f>
        <v/>
      </c>
      <c r="C72" s="121">
        <f>IF($AF72="","",INDEX(MUSTERILER!$C$7:$C$106,$AF72))</f>
        <v/>
      </c>
      <c r="D72" s="222">
        <f>IF($B72="","",SUMIFS(UCRETLER!$G$7:$G$406,UCRETLER!$B$7:$B$406,$B72,UCRETLER!$F$7:$F$406,"Haftalık",UCRETLER!$H$7:$H$406,"Aktif"))</f>
        <v/>
      </c>
      <c r="E72" s="222">
        <f>IF($B72="","",SUMIFS(UCRETLER!$G$7:$G$406,UCRETLER!$B$7:$B$406,$B72,UCRETLER!$F$7:$F$406,"Aylık",UCRETLER!$H$7:$H$406,"Aktif"))</f>
        <v/>
      </c>
      <c r="F72" s="222">
        <f>IF($B72="","",SUMIFS(MUSTERILER!$J$7:$J$106,MUSTERILER!$B$7:$B$106,$B72))</f>
        <v/>
      </c>
      <c r="G72" s="222">
        <f>IF($B72="","",SUMIFS(UCRETLER!$I$7:$I$406,UCRETLER!$B$7:$B$406,$B72)+SUMIFS(GELIR_GIDER!$G$7:$G$1206,GELIR_GIDER!$T$7:$T$1206,$B72))</f>
        <v/>
      </c>
      <c r="H72" s="222">
        <f>IF($B72="","",$F72+$G72)</f>
        <v/>
      </c>
      <c r="I72" s="222">
        <f>IF($B72="","",SUMIFS(TAHSILAT!$F$7:$F$1506,TAHSILAT!$C$7:$C$1506,$B72))</f>
        <v/>
      </c>
      <c r="J72" s="222">
        <f>IF($B72="","",MAX(0,$H72-$I72))</f>
        <v/>
      </c>
      <c r="K72" s="222">
        <f>IF($B72="","",MAX(0,$J72-$L72-$M72-$N72))</f>
        <v/>
      </c>
      <c r="L72" s="222">
        <f>IF($B72="","",($AC72-$AD72)+IF(AND($AB72&gt;0,$T72&lt;&gt;"",$U72&gt;=8,$U72&lt;15),$AB72,0))</f>
        <v/>
      </c>
      <c r="M72" s="222">
        <f>IF($B72="","",($AD72-$AE72)+IF(AND($AB72&gt;0,$T72&lt;&gt;"",$U72&gt;=15,$U72&lt;29),$AB72,0))</f>
        <v/>
      </c>
      <c r="N72" s="222">
        <f>IF($B72="","",$AE72+IF(AND($AB72&gt;0,OR($T72="",$U72&gt;=29)),$AB72,0))</f>
        <v/>
      </c>
      <c r="O72" s="229">
        <f>IF($B72="","",IFERROR($I72/$H72,0))</f>
        <v/>
      </c>
      <c r="P72" s="224">
        <f>IF($B72="","",IFERROR(LOOKUP(2,1/(TAHSILAT!$C$7:$C$1506=$B72),TAHSILAT!$E$7:$E$1506),""))</f>
        <v/>
      </c>
      <c r="Q72" s="113">
        <f>IF($B72="","",IF($N72&gt;0,"KRİTİK",IF($M72&gt;0,"YÜKSEK",IF($L72&gt;0,"ORTA",IF($J72&gt;0,"İZLE","TEMİZ")))))</f>
        <v/>
      </c>
      <c r="R72" s="121">
        <f>IF($B72="","",IF($Q72="KRİTİK","Acil tahsilat görüşmesi ve cari mutabakat",IF($Q72="YÜKSEK","Bu hafta tahsilat takibi",IF($Q72="ORTA","Hatırlatma mesajı gönder",IF($Q72="İZLE","Normal takip","Aksiyon gerekmiyor")))))</f>
        <v/>
      </c>
      <c r="S72" s="227">
        <f>IF($B72="","",COUNTIFS(AKTIVITE!$D$7:$D$1006,$B72,AKTIVITE!$J$7:$J$1006,"&lt;&gt;Tamamlandı"))</f>
        <v/>
      </c>
      <c r="T72" s="224">
        <f>IF(OR($B72="",$AF72=""),"",IF(INDEX(MUSTERILER!$K$7:$K$106,$AF72)="","",INDEX(MUSTERILER!$K$7:$K$106,$AF72)))</f>
        <v/>
      </c>
      <c r="U72" s="227">
        <f>IF(OR($B72="",$T72=""),"",TODAY()-$T72)</f>
        <v/>
      </c>
      <c r="V72" s="222">
        <f>IF($B72="","",MAX(0,$I72-$H72))</f>
        <v/>
      </c>
      <c r="W72" s="113">
        <f>IF($B72="","",IF(AND(ABS($J72-($K72+$L72+$M72+$N72))&lt;0.01,ABS(($J72-$V72)-($H72-$I72))&lt;0.01),"UYGUN","İNCELE"))</f>
        <v/>
      </c>
      <c r="X72" s="6">
        <f>IF($B72="",0,SUMIFS(UCRETLER!$J$7:$J$406,UCRETLER!$B$7:$B$406,$B72))</f>
        <v/>
      </c>
      <c r="Y72" s="6">
        <f>IF($B72="",0,SUMIFS(UCRETLER!$K$7:$K$406,UCRETLER!$B$7:$B$406,$B72))</f>
        <v/>
      </c>
      <c r="Z72" s="3">
        <f>IF($B72="",0,SUMIFS(UCRETLER!$L$7:$L$406,UCRETLER!$B$7:$B$406,$B72))</f>
        <v/>
      </c>
      <c r="AA72" s="3">
        <f>IF($B72="",0,MAX(0,$I72-$F72))</f>
        <v/>
      </c>
      <c r="AB72" s="3">
        <f>IF($B72="",0,MAX(0,$F72-$I72))</f>
        <v/>
      </c>
      <c r="AC72" s="3">
        <f>IF($B72="",0,MAX(0,$X72-$AA72))</f>
        <v/>
      </c>
      <c r="AD72" s="3">
        <f>IF($B72="",0,MAX(0,$Y72-$AA72))</f>
        <v/>
      </c>
      <c r="AE72" s="3">
        <f>IF($B72="",0,MAX(0,$Z72-$AA72))</f>
        <v/>
      </c>
      <c r="AF72" s="3">
        <f>IFERROR(MATCH(ROW()-6,MUSTERILER!$U$7:$U$106,0),"")</f>
        <v/>
      </c>
      <c r="AG72" s="3">
        <f>IF($B72="",0,SUMIFS(GELIR_GIDER!$G$7:$G$1206,GELIR_GIDER!$T$7:$T$1206,$B72))</f>
        <v/>
      </c>
    </row>
    <row r="73">
      <c r="A73" s="6" t="n"/>
      <c r="B73" s="113">
        <f>IF($AF73="","",INDEX(MUSTERILER!$B$7:$B$106,$AF73))</f>
        <v/>
      </c>
      <c r="C73" s="121">
        <f>IF($AF73="","",INDEX(MUSTERILER!$C$7:$C$106,$AF73))</f>
        <v/>
      </c>
      <c r="D73" s="222">
        <f>IF($B73="","",SUMIFS(UCRETLER!$G$7:$G$406,UCRETLER!$B$7:$B$406,$B73,UCRETLER!$F$7:$F$406,"Haftalık",UCRETLER!$H$7:$H$406,"Aktif"))</f>
        <v/>
      </c>
      <c r="E73" s="222">
        <f>IF($B73="","",SUMIFS(UCRETLER!$G$7:$G$406,UCRETLER!$B$7:$B$406,$B73,UCRETLER!$F$7:$F$406,"Aylık",UCRETLER!$H$7:$H$406,"Aktif"))</f>
        <v/>
      </c>
      <c r="F73" s="222">
        <f>IF($B73="","",SUMIFS(MUSTERILER!$J$7:$J$106,MUSTERILER!$B$7:$B$106,$B73))</f>
        <v/>
      </c>
      <c r="G73" s="222">
        <f>IF($B73="","",SUMIFS(UCRETLER!$I$7:$I$406,UCRETLER!$B$7:$B$406,$B73)+SUMIFS(GELIR_GIDER!$G$7:$G$1206,GELIR_GIDER!$T$7:$T$1206,$B73))</f>
        <v/>
      </c>
      <c r="H73" s="222">
        <f>IF($B73="","",$F73+$G73)</f>
        <v/>
      </c>
      <c r="I73" s="222">
        <f>IF($B73="","",SUMIFS(TAHSILAT!$F$7:$F$1506,TAHSILAT!$C$7:$C$1506,$B73))</f>
        <v/>
      </c>
      <c r="J73" s="222">
        <f>IF($B73="","",MAX(0,$H73-$I73))</f>
        <v/>
      </c>
      <c r="K73" s="222">
        <f>IF($B73="","",MAX(0,$J73-$L73-$M73-$N73))</f>
        <v/>
      </c>
      <c r="L73" s="222">
        <f>IF($B73="","",($AC73-$AD73)+IF(AND($AB73&gt;0,$T73&lt;&gt;"",$U73&gt;=8,$U73&lt;15),$AB73,0))</f>
        <v/>
      </c>
      <c r="M73" s="222">
        <f>IF($B73="","",($AD73-$AE73)+IF(AND($AB73&gt;0,$T73&lt;&gt;"",$U73&gt;=15,$U73&lt;29),$AB73,0))</f>
        <v/>
      </c>
      <c r="N73" s="222">
        <f>IF($B73="","",$AE73+IF(AND($AB73&gt;0,OR($T73="",$U73&gt;=29)),$AB73,0))</f>
        <v/>
      </c>
      <c r="O73" s="229">
        <f>IF($B73="","",IFERROR($I73/$H73,0))</f>
        <v/>
      </c>
      <c r="P73" s="224">
        <f>IF($B73="","",IFERROR(LOOKUP(2,1/(TAHSILAT!$C$7:$C$1506=$B73),TAHSILAT!$E$7:$E$1506),""))</f>
        <v/>
      </c>
      <c r="Q73" s="113">
        <f>IF($B73="","",IF($N73&gt;0,"KRİTİK",IF($M73&gt;0,"YÜKSEK",IF($L73&gt;0,"ORTA",IF($J73&gt;0,"İZLE","TEMİZ")))))</f>
        <v/>
      </c>
      <c r="R73" s="121">
        <f>IF($B73="","",IF($Q73="KRİTİK","Acil tahsilat görüşmesi ve cari mutabakat",IF($Q73="YÜKSEK","Bu hafta tahsilat takibi",IF($Q73="ORTA","Hatırlatma mesajı gönder",IF($Q73="İZLE","Normal takip","Aksiyon gerekmiyor")))))</f>
        <v/>
      </c>
      <c r="S73" s="227">
        <f>IF($B73="","",COUNTIFS(AKTIVITE!$D$7:$D$1006,$B73,AKTIVITE!$J$7:$J$1006,"&lt;&gt;Tamamlandı"))</f>
        <v/>
      </c>
      <c r="T73" s="224">
        <f>IF(OR($B73="",$AF73=""),"",IF(INDEX(MUSTERILER!$K$7:$K$106,$AF73)="","",INDEX(MUSTERILER!$K$7:$K$106,$AF73)))</f>
        <v/>
      </c>
      <c r="U73" s="227">
        <f>IF(OR($B73="",$T73=""),"",TODAY()-$T73)</f>
        <v/>
      </c>
      <c r="V73" s="222">
        <f>IF($B73="","",MAX(0,$I73-$H73))</f>
        <v/>
      </c>
      <c r="W73" s="113">
        <f>IF($B73="","",IF(AND(ABS($J73-($K73+$L73+$M73+$N73))&lt;0.01,ABS(($J73-$V73)-($H73-$I73))&lt;0.01),"UYGUN","İNCELE"))</f>
        <v/>
      </c>
      <c r="X73" s="6">
        <f>IF($B73="",0,SUMIFS(UCRETLER!$J$7:$J$406,UCRETLER!$B$7:$B$406,$B73))</f>
        <v/>
      </c>
      <c r="Y73" s="6">
        <f>IF($B73="",0,SUMIFS(UCRETLER!$K$7:$K$406,UCRETLER!$B$7:$B$406,$B73))</f>
        <v/>
      </c>
      <c r="Z73" s="3">
        <f>IF($B73="",0,SUMIFS(UCRETLER!$L$7:$L$406,UCRETLER!$B$7:$B$406,$B73))</f>
        <v/>
      </c>
      <c r="AA73" s="3">
        <f>IF($B73="",0,MAX(0,$I73-$F73))</f>
        <v/>
      </c>
      <c r="AB73" s="3">
        <f>IF($B73="",0,MAX(0,$F73-$I73))</f>
        <v/>
      </c>
      <c r="AC73" s="3">
        <f>IF($B73="",0,MAX(0,$X73-$AA73))</f>
        <v/>
      </c>
      <c r="AD73" s="3">
        <f>IF($B73="",0,MAX(0,$Y73-$AA73))</f>
        <v/>
      </c>
      <c r="AE73" s="3">
        <f>IF($B73="",0,MAX(0,$Z73-$AA73))</f>
        <v/>
      </c>
      <c r="AF73" s="3">
        <f>IFERROR(MATCH(ROW()-6,MUSTERILER!$U$7:$U$106,0),"")</f>
        <v/>
      </c>
      <c r="AG73" s="3">
        <f>IF($B73="",0,SUMIFS(GELIR_GIDER!$G$7:$G$1206,GELIR_GIDER!$T$7:$T$1206,$B73))</f>
        <v/>
      </c>
    </row>
    <row r="74">
      <c r="A74" s="6" t="n"/>
      <c r="B74" s="113">
        <f>IF($AF74="","",INDEX(MUSTERILER!$B$7:$B$106,$AF74))</f>
        <v/>
      </c>
      <c r="C74" s="121">
        <f>IF($AF74="","",INDEX(MUSTERILER!$C$7:$C$106,$AF74))</f>
        <v/>
      </c>
      <c r="D74" s="222">
        <f>IF($B74="","",SUMIFS(UCRETLER!$G$7:$G$406,UCRETLER!$B$7:$B$406,$B74,UCRETLER!$F$7:$F$406,"Haftalık",UCRETLER!$H$7:$H$406,"Aktif"))</f>
        <v/>
      </c>
      <c r="E74" s="222">
        <f>IF($B74="","",SUMIFS(UCRETLER!$G$7:$G$406,UCRETLER!$B$7:$B$406,$B74,UCRETLER!$F$7:$F$406,"Aylık",UCRETLER!$H$7:$H$406,"Aktif"))</f>
        <v/>
      </c>
      <c r="F74" s="222">
        <f>IF($B74="","",SUMIFS(MUSTERILER!$J$7:$J$106,MUSTERILER!$B$7:$B$106,$B74))</f>
        <v/>
      </c>
      <c r="G74" s="222">
        <f>IF($B74="","",SUMIFS(UCRETLER!$I$7:$I$406,UCRETLER!$B$7:$B$406,$B74)+SUMIFS(GELIR_GIDER!$G$7:$G$1206,GELIR_GIDER!$T$7:$T$1206,$B74))</f>
        <v/>
      </c>
      <c r="H74" s="222">
        <f>IF($B74="","",$F74+$G74)</f>
        <v/>
      </c>
      <c r="I74" s="222">
        <f>IF($B74="","",SUMIFS(TAHSILAT!$F$7:$F$1506,TAHSILAT!$C$7:$C$1506,$B74))</f>
        <v/>
      </c>
      <c r="J74" s="222">
        <f>IF($B74="","",MAX(0,$H74-$I74))</f>
        <v/>
      </c>
      <c r="K74" s="222">
        <f>IF($B74="","",MAX(0,$J74-$L74-$M74-$N74))</f>
        <v/>
      </c>
      <c r="L74" s="222">
        <f>IF($B74="","",($AC74-$AD74)+IF(AND($AB74&gt;0,$T74&lt;&gt;"",$U74&gt;=8,$U74&lt;15),$AB74,0))</f>
        <v/>
      </c>
      <c r="M74" s="222">
        <f>IF($B74="","",($AD74-$AE74)+IF(AND($AB74&gt;0,$T74&lt;&gt;"",$U74&gt;=15,$U74&lt;29),$AB74,0))</f>
        <v/>
      </c>
      <c r="N74" s="222">
        <f>IF($B74="","",$AE74+IF(AND($AB74&gt;0,OR($T74="",$U74&gt;=29)),$AB74,0))</f>
        <v/>
      </c>
      <c r="O74" s="229">
        <f>IF($B74="","",IFERROR($I74/$H74,0))</f>
        <v/>
      </c>
      <c r="P74" s="224">
        <f>IF($B74="","",IFERROR(LOOKUP(2,1/(TAHSILAT!$C$7:$C$1506=$B74),TAHSILAT!$E$7:$E$1506),""))</f>
        <v/>
      </c>
      <c r="Q74" s="113">
        <f>IF($B74="","",IF($N74&gt;0,"KRİTİK",IF($M74&gt;0,"YÜKSEK",IF($L74&gt;0,"ORTA",IF($J74&gt;0,"İZLE","TEMİZ")))))</f>
        <v/>
      </c>
      <c r="R74" s="121">
        <f>IF($B74="","",IF($Q74="KRİTİK","Acil tahsilat görüşmesi ve cari mutabakat",IF($Q74="YÜKSEK","Bu hafta tahsilat takibi",IF($Q74="ORTA","Hatırlatma mesajı gönder",IF($Q74="İZLE","Normal takip","Aksiyon gerekmiyor")))))</f>
        <v/>
      </c>
      <c r="S74" s="227">
        <f>IF($B74="","",COUNTIFS(AKTIVITE!$D$7:$D$1006,$B74,AKTIVITE!$J$7:$J$1006,"&lt;&gt;Tamamlandı"))</f>
        <v/>
      </c>
      <c r="T74" s="224">
        <f>IF(OR($B74="",$AF74=""),"",IF(INDEX(MUSTERILER!$K$7:$K$106,$AF74)="","",INDEX(MUSTERILER!$K$7:$K$106,$AF74)))</f>
        <v/>
      </c>
      <c r="U74" s="227">
        <f>IF(OR($B74="",$T74=""),"",TODAY()-$T74)</f>
        <v/>
      </c>
      <c r="V74" s="222">
        <f>IF($B74="","",MAX(0,$I74-$H74))</f>
        <v/>
      </c>
      <c r="W74" s="113">
        <f>IF($B74="","",IF(AND(ABS($J74-($K74+$L74+$M74+$N74))&lt;0.01,ABS(($J74-$V74)-($H74-$I74))&lt;0.01),"UYGUN","İNCELE"))</f>
        <v/>
      </c>
      <c r="X74" s="6">
        <f>IF($B74="",0,SUMIFS(UCRETLER!$J$7:$J$406,UCRETLER!$B$7:$B$406,$B74))</f>
        <v/>
      </c>
      <c r="Y74" s="6">
        <f>IF($B74="",0,SUMIFS(UCRETLER!$K$7:$K$406,UCRETLER!$B$7:$B$406,$B74))</f>
        <v/>
      </c>
      <c r="Z74" s="3">
        <f>IF($B74="",0,SUMIFS(UCRETLER!$L$7:$L$406,UCRETLER!$B$7:$B$406,$B74))</f>
        <v/>
      </c>
      <c r="AA74" s="3">
        <f>IF($B74="",0,MAX(0,$I74-$F74))</f>
        <v/>
      </c>
      <c r="AB74" s="3">
        <f>IF($B74="",0,MAX(0,$F74-$I74))</f>
        <v/>
      </c>
      <c r="AC74" s="3">
        <f>IF($B74="",0,MAX(0,$X74-$AA74))</f>
        <v/>
      </c>
      <c r="AD74" s="3">
        <f>IF($B74="",0,MAX(0,$Y74-$AA74))</f>
        <v/>
      </c>
      <c r="AE74" s="3">
        <f>IF($B74="",0,MAX(0,$Z74-$AA74))</f>
        <v/>
      </c>
      <c r="AF74" s="3">
        <f>IFERROR(MATCH(ROW()-6,MUSTERILER!$U$7:$U$106,0),"")</f>
        <v/>
      </c>
      <c r="AG74" s="3">
        <f>IF($B74="",0,SUMIFS(GELIR_GIDER!$G$7:$G$1206,GELIR_GIDER!$T$7:$T$1206,$B74))</f>
        <v/>
      </c>
    </row>
    <row r="75">
      <c r="A75" s="6" t="n"/>
      <c r="B75" s="113">
        <f>IF($AF75="","",INDEX(MUSTERILER!$B$7:$B$106,$AF75))</f>
        <v/>
      </c>
      <c r="C75" s="121">
        <f>IF($AF75="","",INDEX(MUSTERILER!$C$7:$C$106,$AF75))</f>
        <v/>
      </c>
      <c r="D75" s="222">
        <f>IF($B75="","",SUMIFS(UCRETLER!$G$7:$G$406,UCRETLER!$B$7:$B$406,$B75,UCRETLER!$F$7:$F$406,"Haftalık",UCRETLER!$H$7:$H$406,"Aktif"))</f>
        <v/>
      </c>
      <c r="E75" s="222">
        <f>IF($B75="","",SUMIFS(UCRETLER!$G$7:$G$406,UCRETLER!$B$7:$B$406,$B75,UCRETLER!$F$7:$F$406,"Aylık",UCRETLER!$H$7:$H$406,"Aktif"))</f>
        <v/>
      </c>
      <c r="F75" s="222">
        <f>IF($B75="","",SUMIFS(MUSTERILER!$J$7:$J$106,MUSTERILER!$B$7:$B$106,$B75))</f>
        <v/>
      </c>
      <c r="G75" s="222">
        <f>IF($B75="","",SUMIFS(UCRETLER!$I$7:$I$406,UCRETLER!$B$7:$B$406,$B75)+SUMIFS(GELIR_GIDER!$G$7:$G$1206,GELIR_GIDER!$T$7:$T$1206,$B75))</f>
        <v/>
      </c>
      <c r="H75" s="222">
        <f>IF($B75="","",$F75+$G75)</f>
        <v/>
      </c>
      <c r="I75" s="222">
        <f>IF($B75="","",SUMIFS(TAHSILAT!$F$7:$F$1506,TAHSILAT!$C$7:$C$1506,$B75))</f>
        <v/>
      </c>
      <c r="J75" s="222">
        <f>IF($B75="","",MAX(0,$H75-$I75))</f>
        <v/>
      </c>
      <c r="K75" s="222">
        <f>IF($B75="","",MAX(0,$J75-$L75-$M75-$N75))</f>
        <v/>
      </c>
      <c r="L75" s="222">
        <f>IF($B75="","",($AC75-$AD75)+IF(AND($AB75&gt;0,$T75&lt;&gt;"",$U75&gt;=8,$U75&lt;15),$AB75,0))</f>
        <v/>
      </c>
      <c r="M75" s="222">
        <f>IF($B75="","",($AD75-$AE75)+IF(AND($AB75&gt;0,$T75&lt;&gt;"",$U75&gt;=15,$U75&lt;29),$AB75,0))</f>
        <v/>
      </c>
      <c r="N75" s="222">
        <f>IF($B75="","",$AE75+IF(AND($AB75&gt;0,OR($T75="",$U75&gt;=29)),$AB75,0))</f>
        <v/>
      </c>
      <c r="O75" s="229">
        <f>IF($B75="","",IFERROR($I75/$H75,0))</f>
        <v/>
      </c>
      <c r="P75" s="224">
        <f>IF($B75="","",IFERROR(LOOKUP(2,1/(TAHSILAT!$C$7:$C$1506=$B75),TAHSILAT!$E$7:$E$1506),""))</f>
        <v/>
      </c>
      <c r="Q75" s="113">
        <f>IF($B75="","",IF($N75&gt;0,"KRİTİK",IF($M75&gt;0,"YÜKSEK",IF($L75&gt;0,"ORTA",IF($J75&gt;0,"İZLE","TEMİZ")))))</f>
        <v/>
      </c>
      <c r="R75" s="121">
        <f>IF($B75="","",IF($Q75="KRİTİK","Acil tahsilat görüşmesi ve cari mutabakat",IF($Q75="YÜKSEK","Bu hafta tahsilat takibi",IF($Q75="ORTA","Hatırlatma mesajı gönder",IF($Q75="İZLE","Normal takip","Aksiyon gerekmiyor")))))</f>
        <v/>
      </c>
      <c r="S75" s="227">
        <f>IF($B75="","",COUNTIFS(AKTIVITE!$D$7:$D$1006,$B75,AKTIVITE!$J$7:$J$1006,"&lt;&gt;Tamamlandı"))</f>
        <v/>
      </c>
      <c r="T75" s="224">
        <f>IF(OR($B75="",$AF75=""),"",IF(INDEX(MUSTERILER!$K$7:$K$106,$AF75)="","",INDEX(MUSTERILER!$K$7:$K$106,$AF75)))</f>
        <v/>
      </c>
      <c r="U75" s="227">
        <f>IF(OR($B75="",$T75=""),"",TODAY()-$T75)</f>
        <v/>
      </c>
      <c r="V75" s="222">
        <f>IF($B75="","",MAX(0,$I75-$H75))</f>
        <v/>
      </c>
      <c r="W75" s="113">
        <f>IF($B75="","",IF(AND(ABS($J75-($K75+$L75+$M75+$N75))&lt;0.01,ABS(($J75-$V75)-($H75-$I75))&lt;0.01),"UYGUN","İNCELE"))</f>
        <v/>
      </c>
      <c r="X75" s="6">
        <f>IF($B75="",0,SUMIFS(UCRETLER!$J$7:$J$406,UCRETLER!$B$7:$B$406,$B75))</f>
        <v/>
      </c>
      <c r="Y75" s="6">
        <f>IF($B75="",0,SUMIFS(UCRETLER!$K$7:$K$406,UCRETLER!$B$7:$B$406,$B75))</f>
        <v/>
      </c>
      <c r="Z75" s="3">
        <f>IF($B75="",0,SUMIFS(UCRETLER!$L$7:$L$406,UCRETLER!$B$7:$B$406,$B75))</f>
        <v/>
      </c>
      <c r="AA75" s="3">
        <f>IF($B75="",0,MAX(0,$I75-$F75))</f>
        <v/>
      </c>
      <c r="AB75" s="3">
        <f>IF($B75="",0,MAX(0,$F75-$I75))</f>
        <v/>
      </c>
      <c r="AC75" s="3">
        <f>IF($B75="",0,MAX(0,$X75-$AA75))</f>
        <v/>
      </c>
      <c r="AD75" s="3">
        <f>IF($B75="",0,MAX(0,$Y75-$AA75))</f>
        <v/>
      </c>
      <c r="AE75" s="3">
        <f>IF($B75="",0,MAX(0,$Z75-$AA75))</f>
        <v/>
      </c>
      <c r="AF75" s="3">
        <f>IFERROR(MATCH(ROW()-6,MUSTERILER!$U$7:$U$106,0),"")</f>
        <v/>
      </c>
      <c r="AG75" s="3">
        <f>IF($B75="",0,SUMIFS(GELIR_GIDER!$G$7:$G$1206,GELIR_GIDER!$T$7:$T$1206,$B75))</f>
        <v/>
      </c>
    </row>
    <row r="76">
      <c r="A76" s="6" t="n"/>
      <c r="B76" s="113">
        <f>IF($AF76="","",INDEX(MUSTERILER!$B$7:$B$106,$AF76))</f>
        <v/>
      </c>
      <c r="C76" s="121">
        <f>IF($AF76="","",INDEX(MUSTERILER!$C$7:$C$106,$AF76))</f>
        <v/>
      </c>
      <c r="D76" s="222">
        <f>IF($B76="","",SUMIFS(UCRETLER!$G$7:$G$406,UCRETLER!$B$7:$B$406,$B76,UCRETLER!$F$7:$F$406,"Haftalık",UCRETLER!$H$7:$H$406,"Aktif"))</f>
        <v/>
      </c>
      <c r="E76" s="222">
        <f>IF($B76="","",SUMIFS(UCRETLER!$G$7:$G$406,UCRETLER!$B$7:$B$406,$B76,UCRETLER!$F$7:$F$406,"Aylık",UCRETLER!$H$7:$H$406,"Aktif"))</f>
        <v/>
      </c>
      <c r="F76" s="222">
        <f>IF($B76="","",SUMIFS(MUSTERILER!$J$7:$J$106,MUSTERILER!$B$7:$B$106,$B76))</f>
        <v/>
      </c>
      <c r="G76" s="222">
        <f>IF($B76="","",SUMIFS(UCRETLER!$I$7:$I$406,UCRETLER!$B$7:$B$406,$B76)+SUMIFS(GELIR_GIDER!$G$7:$G$1206,GELIR_GIDER!$T$7:$T$1206,$B76))</f>
        <v/>
      </c>
      <c r="H76" s="222">
        <f>IF($B76="","",$F76+$G76)</f>
        <v/>
      </c>
      <c r="I76" s="222">
        <f>IF($B76="","",SUMIFS(TAHSILAT!$F$7:$F$1506,TAHSILAT!$C$7:$C$1506,$B76))</f>
        <v/>
      </c>
      <c r="J76" s="222">
        <f>IF($B76="","",MAX(0,$H76-$I76))</f>
        <v/>
      </c>
      <c r="K76" s="222">
        <f>IF($B76="","",MAX(0,$J76-$L76-$M76-$N76))</f>
        <v/>
      </c>
      <c r="L76" s="222">
        <f>IF($B76="","",($AC76-$AD76)+IF(AND($AB76&gt;0,$T76&lt;&gt;"",$U76&gt;=8,$U76&lt;15),$AB76,0))</f>
        <v/>
      </c>
      <c r="M76" s="222">
        <f>IF($B76="","",($AD76-$AE76)+IF(AND($AB76&gt;0,$T76&lt;&gt;"",$U76&gt;=15,$U76&lt;29),$AB76,0))</f>
        <v/>
      </c>
      <c r="N76" s="222">
        <f>IF($B76="","",$AE76+IF(AND($AB76&gt;0,OR($T76="",$U76&gt;=29)),$AB76,0))</f>
        <v/>
      </c>
      <c r="O76" s="229">
        <f>IF($B76="","",IFERROR($I76/$H76,0))</f>
        <v/>
      </c>
      <c r="P76" s="224">
        <f>IF($B76="","",IFERROR(LOOKUP(2,1/(TAHSILAT!$C$7:$C$1506=$B76),TAHSILAT!$E$7:$E$1506),""))</f>
        <v/>
      </c>
      <c r="Q76" s="113">
        <f>IF($B76="","",IF($N76&gt;0,"KRİTİK",IF($M76&gt;0,"YÜKSEK",IF($L76&gt;0,"ORTA",IF($J76&gt;0,"İZLE","TEMİZ")))))</f>
        <v/>
      </c>
      <c r="R76" s="121">
        <f>IF($B76="","",IF($Q76="KRİTİK","Acil tahsilat görüşmesi ve cari mutabakat",IF($Q76="YÜKSEK","Bu hafta tahsilat takibi",IF($Q76="ORTA","Hatırlatma mesajı gönder",IF($Q76="İZLE","Normal takip","Aksiyon gerekmiyor")))))</f>
        <v/>
      </c>
      <c r="S76" s="227">
        <f>IF($B76="","",COUNTIFS(AKTIVITE!$D$7:$D$1006,$B76,AKTIVITE!$J$7:$J$1006,"&lt;&gt;Tamamlandı"))</f>
        <v/>
      </c>
      <c r="T76" s="224">
        <f>IF(OR($B76="",$AF76=""),"",IF(INDEX(MUSTERILER!$K$7:$K$106,$AF76)="","",INDEX(MUSTERILER!$K$7:$K$106,$AF76)))</f>
        <v/>
      </c>
      <c r="U76" s="227">
        <f>IF(OR($B76="",$T76=""),"",TODAY()-$T76)</f>
        <v/>
      </c>
      <c r="V76" s="222">
        <f>IF($B76="","",MAX(0,$I76-$H76))</f>
        <v/>
      </c>
      <c r="W76" s="113">
        <f>IF($B76="","",IF(AND(ABS($J76-($K76+$L76+$M76+$N76))&lt;0.01,ABS(($J76-$V76)-($H76-$I76))&lt;0.01),"UYGUN","İNCELE"))</f>
        <v/>
      </c>
      <c r="X76" s="6">
        <f>IF($B76="",0,SUMIFS(UCRETLER!$J$7:$J$406,UCRETLER!$B$7:$B$406,$B76))</f>
        <v/>
      </c>
      <c r="Y76" s="6">
        <f>IF($B76="",0,SUMIFS(UCRETLER!$K$7:$K$406,UCRETLER!$B$7:$B$406,$B76))</f>
        <v/>
      </c>
      <c r="Z76" s="3">
        <f>IF($B76="",0,SUMIFS(UCRETLER!$L$7:$L$406,UCRETLER!$B$7:$B$406,$B76))</f>
        <v/>
      </c>
      <c r="AA76" s="3">
        <f>IF($B76="",0,MAX(0,$I76-$F76))</f>
        <v/>
      </c>
      <c r="AB76" s="3">
        <f>IF($B76="",0,MAX(0,$F76-$I76))</f>
        <v/>
      </c>
      <c r="AC76" s="3">
        <f>IF($B76="",0,MAX(0,$X76-$AA76))</f>
        <v/>
      </c>
      <c r="AD76" s="3">
        <f>IF($B76="",0,MAX(0,$Y76-$AA76))</f>
        <v/>
      </c>
      <c r="AE76" s="3">
        <f>IF($B76="",0,MAX(0,$Z76-$AA76))</f>
        <v/>
      </c>
      <c r="AF76" s="3">
        <f>IFERROR(MATCH(ROW()-6,MUSTERILER!$U$7:$U$106,0),"")</f>
        <v/>
      </c>
      <c r="AG76" s="3">
        <f>IF($B76="",0,SUMIFS(GELIR_GIDER!$G$7:$G$1206,GELIR_GIDER!$T$7:$T$1206,$B76))</f>
        <v/>
      </c>
    </row>
    <row r="77">
      <c r="A77" s="6" t="n"/>
      <c r="B77" s="113">
        <f>IF($AF77="","",INDEX(MUSTERILER!$B$7:$B$106,$AF77))</f>
        <v/>
      </c>
      <c r="C77" s="121">
        <f>IF($AF77="","",INDEX(MUSTERILER!$C$7:$C$106,$AF77))</f>
        <v/>
      </c>
      <c r="D77" s="222">
        <f>IF($B77="","",SUMIFS(UCRETLER!$G$7:$G$406,UCRETLER!$B$7:$B$406,$B77,UCRETLER!$F$7:$F$406,"Haftalık",UCRETLER!$H$7:$H$406,"Aktif"))</f>
        <v/>
      </c>
      <c r="E77" s="222">
        <f>IF($B77="","",SUMIFS(UCRETLER!$G$7:$G$406,UCRETLER!$B$7:$B$406,$B77,UCRETLER!$F$7:$F$406,"Aylık",UCRETLER!$H$7:$H$406,"Aktif"))</f>
        <v/>
      </c>
      <c r="F77" s="222">
        <f>IF($B77="","",SUMIFS(MUSTERILER!$J$7:$J$106,MUSTERILER!$B$7:$B$106,$B77))</f>
        <v/>
      </c>
      <c r="G77" s="222">
        <f>IF($B77="","",SUMIFS(UCRETLER!$I$7:$I$406,UCRETLER!$B$7:$B$406,$B77)+SUMIFS(GELIR_GIDER!$G$7:$G$1206,GELIR_GIDER!$T$7:$T$1206,$B77))</f>
        <v/>
      </c>
      <c r="H77" s="222">
        <f>IF($B77="","",$F77+$G77)</f>
        <v/>
      </c>
      <c r="I77" s="222">
        <f>IF($B77="","",SUMIFS(TAHSILAT!$F$7:$F$1506,TAHSILAT!$C$7:$C$1506,$B77))</f>
        <v/>
      </c>
      <c r="J77" s="222">
        <f>IF($B77="","",MAX(0,$H77-$I77))</f>
        <v/>
      </c>
      <c r="K77" s="222">
        <f>IF($B77="","",MAX(0,$J77-$L77-$M77-$N77))</f>
        <v/>
      </c>
      <c r="L77" s="222">
        <f>IF($B77="","",($AC77-$AD77)+IF(AND($AB77&gt;0,$T77&lt;&gt;"",$U77&gt;=8,$U77&lt;15),$AB77,0))</f>
        <v/>
      </c>
      <c r="M77" s="222">
        <f>IF($B77="","",($AD77-$AE77)+IF(AND($AB77&gt;0,$T77&lt;&gt;"",$U77&gt;=15,$U77&lt;29),$AB77,0))</f>
        <v/>
      </c>
      <c r="N77" s="222">
        <f>IF($B77="","",$AE77+IF(AND($AB77&gt;0,OR($T77="",$U77&gt;=29)),$AB77,0))</f>
        <v/>
      </c>
      <c r="O77" s="229">
        <f>IF($B77="","",IFERROR($I77/$H77,0))</f>
        <v/>
      </c>
      <c r="P77" s="224">
        <f>IF($B77="","",IFERROR(LOOKUP(2,1/(TAHSILAT!$C$7:$C$1506=$B77),TAHSILAT!$E$7:$E$1506),""))</f>
        <v/>
      </c>
      <c r="Q77" s="113">
        <f>IF($B77="","",IF($N77&gt;0,"KRİTİK",IF($M77&gt;0,"YÜKSEK",IF($L77&gt;0,"ORTA",IF($J77&gt;0,"İZLE","TEMİZ")))))</f>
        <v/>
      </c>
      <c r="R77" s="121">
        <f>IF($B77="","",IF($Q77="KRİTİK","Acil tahsilat görüşmesi ve cari mutabakat",IF($Q77="YÜKSEK","Bu hafta tahsilat takibi",IF($Q77="ORTA","Hatırlatma mesajı gönder",IF($Q77="İZLE","Normal takip","Aksiyon gerekmiyor")))))</f>
        <v/>
      </c>
      <c r="S77" s="227">
        <f>IF($B77="","",COUNTIFS(AKTIVITE!$D$7:$D$1006,$B77,AKTIVITE!$J$7:$J$1006,"&lt;&gt;Tamamlandı"))</f>
        <v/>
      </c>
      <c r="T77" s="224">
        <f>IF(OR($B77="",$AF77=""),"",IF(INDEX(MUSTERILER!$K$7:$K$106,$AF77)="","",INDEX(MUSTERILER!$K$7:$K$106,$AF77)))</f>
        <v/>
      </c>
      <c r="U77" s="227">
        <f>IF(OR($B77="",$T77=""),"",TODAY()-$T77)</f>
        <v/>
      </c>
      <c r="V77" s="222">
        <f>IF($B77="","",MAX(0,$I77-$H77))</f>
        <v/>
      </c>
      <c r="W77" s="113">
        <f>IF($B77="","",IF(AND(ABS($J77-($K77+$L77+$M77+$N77))&lt;0.01,ABS(($J77-$V77)-($H77-$I77))&lt;0.01),"UYGUN","İNCELE"))</f>
        <v/>
      </c>
      <c r="X77" s="6">
        <f>IF($B77="",0,SUMIFS(UCRETLER!$J$7:$J$406,UCRETLER!$B$7:$B$406,$B77))</f>
        <v/>
      </c>
      <c r="Y77" s="6">
        <f>IF($B77="",0,SUMIFS(UCRETLER!$K$7:$K$406,UCRETLER!$B$7:$B$406,$B77))</f>
        <v/>
      </c>
      <c r="Z77" s="3">
        <f>IF($B77="",0,SUMIFS(UCRETLER!$L$7:$L$406,UCRETLER!$B$7:$B$406,$B77))</f>
        <v/>
      </c>
      <c r="AA77" s="3">
        <f>IF($B77="",0,MAX(0,$I77-$F77))</f>
        <v/>
      </c>
      <c r="AB77" s="3">
        <f>IF($B77="",0,MAX(0,$F77-$I77))</f>
        <v/>
      </c>
      <c r="AC77" s="3">
        <f>IF($B77="",0,MAX(0,$X77-$AA77))</f>
        <v/>
      </c>
      <c r="AD77" s="3">
        <f>IF($B77="",0,MAX(0,$Y77-$AA77))</f>
        <v/>
      </c>
      <c r="AE77" s="3">
        <f>IF($B77="",0,MAX(0,$Z77-$AA77))</f>
        <v/>
      </c>
      <c r="AF77" s="3">
        <f>IFERROR(MATCH(ROW()-6,MUSTERILER!$U$7:$U$106,0),"")</f>
        <v/>
      </c>
      <c r="AG77" s="3">
        <f>IF($B77="",0,SUMIFS(GELIR_GIDER!$G$7:$G$1206,GELIR_GIDER!$T$7:$T$1206,$B77))</f>
        <v/>
      </c>
    </row>
    <row r="78">
      <c r="A78" s="6" t="n"/>
      <c r="B78" s="113">
        <f>IF($AF78="","",INDEX(MUSTERILER!$B$7:$B$106,$AF78))</f>
        <v/>
      </c>
      <c r="C78" s="121">
        <f>IF($AF78="","",INDEX(MUSTERILER!$C$7:$C$106,$AF78))</f>
        <v/>
      </c>
      <c r="D78" s="222">
        <f>IF($B78="","",SUMIFS(UCRETLER!$G$7:$G$406,UCRETLER!$B$7:$B$406,$B78,UCRETLER!$F$7:$F$406,"Haftalık",UCRETLER!$H$7:$H$406,"Aktif"))</f>
        <v/>
      </c>
      <c r="E78" s="222">
        <f>IF($B78="","",SUMIFS(UCRETLER!$G$7:$G$406,UCRETLER!$B$7:$B$406,$B78,UCRETLER!$F$7:$F$406,"Aylık",UCRETLER!$H$7:$H$406,"Aktif"))</f>
        <v/>
      </c>
      <c r="F78" s="222">
        <f>IF($B78="","",SUMIFS(MUSTERILER!$J$7:$J$106,MUSTERILER!$B$7:$B$106,$B78))</f>
        <v/>
      </c>
      <c r="G78" s="222">
        <f>IF($B78="","",SUMIFS(UCRETLER!$I$7:$I$406,UCRETLER!$B$7:$B$406,$B78)+SUMIFS(GELIR_GIDER!$G$7:$G$1206,GELIR_GIDER!$T$7:$T$1206,$B78))</f>
        <v/>
      </c>
      <c r="H78" s="222">
        <f>IF($B78="","",$F78+$G78)</f>
        <v/>
      </c>
      <c r="I78" s="222">
        <f>IF($B78="","",SUMIFS(TAHSILAT!$F$7:$F$1506,TAHSILAT!$C$7:$C$1506,$B78))</f>
        <v/>
      </c>
      <c r="J78" s="222">
        <f>IF($B78="","",MAX(0,$H78-$I78))</f>
        <v/>
      </c>
      <c r="K78" s="222">
        <f>IF($B78="","",MAX(0,$J78-$L78-$M78-$N78))</f>
        <v/>
      </c>
      <c r="L78" s="222">
        <f>IF($B78="","",($AC78-$AD78)+IF(AND($AB78&gt;0,$T78&lt;&gt;"",$U78&gt;=8,$U78&lt;15),$AB78,0))</f>
        <v/>
      </c>
      <c r="M78" s="222">
        <f>IF($B78="","",($AD78-$AE78)+IF(AND($AB78&gt;0,$T78&lt;&gt;"",$U78&gt;=15,$U78&lt;29),$AB78,0))</f>
        <v/>
      </c>
      <c r="N78" s="222">
        <f>IF($B78="","",$AE78+IF(AND($AB78&gt;0,OR($T78="",$U78&gt;=29)),$AB78,0))</f>
        <v/>
      </c>
      <c r="O78" s="229">
        <f>IF($B78="","",IFERROR($I78/$H78,0))</f>
        <v/>
      </c>
      <c r="P78" s="224">
        <f>IF($B78="","",IFERROR(LOOKUP(2,1/(TAHSILAT!$C$7:$C$1506=$B78),TAHSILAT!$E$7:$E$1506),""))</f>
        <v/>
      </c>
      <c r="Q78" s="113">
        <f>IF($B78="","",IF($N78&gt;0,"KRİTİK",IF($M78&gt;0,"YÜKSEK",IF($L78&gt;0,"ORTA",IF($J78&gt;0,"İZLE","TEMİZ")))))</f>
        <v/>
      </c>
      <c r="R78" s="121">
        <f>IF($B78="","",IF($Q78="KRİTİK","Acil tahsilat görüşmesi ve cari mutabakat",IF($Q78="YÜKSEK","Bu hafta tahsilat takibi",IF($Q78="ORTA","Hatırlatma mesajı gönder",IF($Q78="İZLE","Normal takip","Aksiyon gerekmiyor")))))</f>
        <v/>
      </c>
      <c r="S78" s="227">
        <f>IF($B78="","",COUNTIFS(AKTIVITE!$D$7:$D$1006,$B78,AKTIVITE!$J$7:$J$1006,"&lt;&gt;Tamamlandı"))</f>
        <v/>
      </c>
      <c r="T78" s="224">
        <f>IF(OR($B78="",$AF78=""),"",IF(INDEX(MUSTERILER!$K$7:$K$106,$AF78)="","",INDEX(MUSTERILER!$K$7:$K$106,$AF78)))</f>
        <v/>
      </c>
      <c r="U78" s="227">
        <f>IF(OR($B78="",$T78=""),"",TODAY()-$T78)</f>
        <v/>
      </c>
      <c r="V78" s="222">
        <f>IF($B78="","",MAX(0,$I78-$H78))</f>
        <v/>
      </c>
      <c r="W78" s="113">
        <f>IF($B78="","",IF(AND(ABS($J78-($K78+$L78+$M78+$N78))&lt;0.01,ABS(($J78-$V78)-($H78-$I78))&lt;0.01),"UYGUN","İNCELE"))</f>
        <v/>
      </c>
      <c r="X78" s="6">
        <f>IF($B78="",0,SUMIFS(UCRETLER!$J$7:$J$406,UCRETLER!$B$7:$B$406,$B78))</f>
        <v/>
      </c>
      <c r="Y78" s="6">
        <f>IF($B78="",0,SUMIFS(UCRETLER!$K$7:$K$406,UCRETLER!$B$7:$B$406,$B78))</f>
        <v/>
      </c>
      <c r="Z78" s="3">
        <f>IF($B78="",0,SUMIFS(UCRETLER!$L$7:$L$406,UCRETLER!$B$7:$B$406,$B78))</f>
        <v/>
      </c>
      <c r="AA78" s="3">
        <f>IF($B78="",0,MAX(0,$I78-$F78))</f>
        <v/>
      </c>
      <c r="AB78" s="3">
        <f>IF($B78="",0,MAX(0,$F78-$I78))</f>
        <v/>
      </c>
      <c r="AC78" s="3">
        <f>IF($B78="",0,MAX(0,$X78-$AA78))</f>
        <v/>
      </c>
      <c r="AD78" s="3">
        <f>IF($B78="",0,MAX(0,$Y78-$AA78))</f>
        <v/>
      </c>
      <c r="AE78" s="3">
        <f>IF($B78="",0,MAX(0,$Z78-$AA78))</f>
        <v/>
      </c>
      <c r="AF78" s="3">
        <f>IFERROR(MATCH(ROW()-6,MUSTERILER!$U$7:$U$106,0),"")</f>
        <v/>
      </c>
      <c r="AG78" s="3">
        <f>IF($B78="",0,SUMIFS(GELIR_GIDER!$G$7:$G$1206,GELIR_GIDER!$T$7:$T$1206,$B78))</f>
        <v/>
      </c>
    </row>
    <row r="79">
      <c r="A79" s="6" t="n"/>
      <c r="B79" s="113">
        <f>IF($AF79="","",INDEX(MUSTERILER!$B$7:$B$106,$AF79))</f>
        <v/>
      </c>
      <c r="C79" s="121">
        <f>IF($AF79="","",INDEX(MUSTERILER!$C$7:$C$106,$AF79))</f>
        <v/>
      </c>
      <c r="D79" s="222">
        <f>IF($B79="","",SUMIFS(UCRETLER!$G$7:$G$406,UCRETLER!$B$7:$B$406,$B79,UCRETLER!$F$7:$F$406,"Haftalık",UCRETLER!$H$7:$H$406,"Aktif"))</f>
        <v/>
      </c>
      <c r="E79" s="222">
        <f>IF($B79="","",SUMIFS(UCRETLER!$G$7:$G$406,UCRETLER!$B$7:$B$406,$B79,UCRETLER!$F$7:$F$406,"Aylık",UCRETLER!$H$7:$H$406,"Aktif"))</f>
        <v/>
      </c>
      <c r="F79" s="222">
        <f>IF($B79="","",SUMIFS(MUSTERILER!$J$7:$J$106,MUSTERILER!$B$7:$B$106,$B79))</f>
        <v/>
      </c>
      <c r="G79" s="222">
        <f>IF($B79="","",SUMIFS(UCRETLER!$I$7:$I$406,UCRETLER!$B$7:$B$406,$B79)+SUMIFS(GELIR_GIDER!$G$7:$G$1206,GELIR_GIDER!$T$7:$T$1206,$B79))</f>
        <v/>
      </c>
      <c r="H79" s="222">
        <f>IF($B79="","",$F79+$G79)</f>
        <v/>
      </c>
      <c r="I79" s="222">
        <f>IF($B79="","",SUMIFS(TAHSILAT!$F$7:$F$1506,TAHSILAT!$C$7:$C$1506,$B79))</f>
        <v/>
      </c>
      <c r="J79" s="222">
        <f>IF($B79="","",MAX(0,$H79-$I79))</f>
        <v/>
      </c>
      <c r="K79" s="222">
        <f>IF($B79="","",MAX(0,$J79-$L79-$M79-$N79))</f>
        <v/>
      </c>
      <c r="L79" s="222">
        <f>IF($B79="","",($AC79-$AD79)+IF(AND($AB79&gt;0,$T79&lt;&gt;"",$U79&gt;=8,$U79&lt;15),$AB79,0))</f>
        <v/>
      </c>
      <c r="M79" s="222">
        <f>IF($B79="","",($AD79-$AE79)+IF(AND($AB79&gt;0,$T79&lt;&gt;"",$U79&gt;=15,$U79&lt;29),$AB79,0))</f>
        <v/>
      </c>
      <c r="N79" s="222">
        <f>IF($B79="","",$AE79+IF(AND($AB79&gt;0,OR($T79="",$U79&gt;=29)),$AB79,0))</f>
        <v/>
      </c>
      <c r="O79" s="229">
        <f>IF($B79="","",IFERROR($I79/$H79,0))</f>
        <v/>
      </c>
      <c r="P79" s="224">
        <f>IF($B79="","",IFERROR(LOOKUP(2,1/(TAHSILAT!$C$7:$C$1506=$B79),TAHSILAT!$E$7:$E$1506),""))</f>
        <v/>
      </c>
      <c r="Q79" s="113">
        <f>IF($B79="","",IF($N79&gt;0,"KRİTİK",IF($M79&gt;0,"YÜKSEK",IF($L79&gt;0,"ORTA",IF($J79&gt;0,"İZLE","TEMİZ")))))</f>
        <v/>
      </c>
      <c r="R79" s="121">
        <f>IF($B79="","",IF($Q79="KRİTİK","Acil tahsilat görüşmesi ve cari mutabakat",IF($Q79="YÜKSEK","Bu hafta tahsilat takibi",IF($Q79="ORTA","Hatırlatma mesajı gönder",IF($Q79="İZLE","Normal takip","Aksiyon gerekmiyor")))))</f>
        <v/>
      </c>
      <c r="S79" s="227">
        <f>IF($B79="","",COUNTIFS(AKTIVITE!$D$7:$D$1006,$B79,AKTIVITE!$J$7:$J$1006,"&lt;&gt;Tamamlandı"))</f>
        <v/>
      </c>
      <c r="T79" s="224">
        <f>IF(OR($B79="",$AF79=""),"",IF(INDEX(MUSTERILER!$K$7:$K$106,$AF79)="","",INDEX(MUSTERILER!$K$7:$K$106,$AF79)))</f>
        <v/>
      </c>
      <c r="U79" s="227">
        <f>IF(OR($B79="",$T79=""),"",TODAY()-$T79)</f>
        <v/>
      </c>
      <c r="V79" s="222">
        <f>IF($B79="","",MAX(0,$I79-$H79))</f>
        <v/>
      </c>
      <c r="W79" s="113">
        <f>IF($B79="","",IF(AND(ABS($J79-($K79+$L79+$M79+$N79))&lt;0.01,ABS(($J79-$V79)-($H79-$I79))&lt;0.01),"UYGUN","İNCELE"))</f>
        <v/>
      </c>
      <c r="X79" s="6">
        <f>IF($B79="",0,SUMIFS(UCRETLER!$J$7:$J$406,UCRETLER!$B$7:$B$406,$B79))</f>
        <v/>
      </c>
      <c r="Y79" s="6">
        <f>IF($B79="",0,SUMIFS(UCRETLER!$K$7:$K$406,UCRETLER!$B$7:$B$406,$B79))</f>
        <v/>
      </c>
      <c r="Z79" s="3">
        <f>IF($B79="",0,SUMIFS(UCRETLER!$L$7:$L$406,UCRETLER!$B$7:$B$406,$B79))</f>
        <v/>
      </c>
      <c r="AA79" s="3">
        <f>IF($B79="",0,MAX(0,$I79-$F79))</f>
        <v/>
      </c>
      <c r="AB79" s="3">
        <f>IF($B79="",0,MAX(0,$F79-$I79))</f>
        <v/>
      </c>
      <c r="AC79" s="3">
        <f>IF($B79="",0,MAX(0,$X79-$AA79))</f>
        <v/>
      </c>
      <c r="AD79" s="3">
        <f>IF($B79="",0,MAX(0,$Y79-$AA79))</f>
        <v/>
      </c>
      <c r="AE79" s="3">
        <f>IF($B79="",0,MAX(0,$Z79-$AA79))</f>
        <v/>
      </c>
      <c r="AF79" s="3">
        <f>IFERROR(MATCH(ROW()-6,MUSTERILER!$U$7:$U$106,0),"")</f>
        <v/>
      </c>
      <c r="AG79" s="3">
        <f>IF($B79="",0,SUMIFS(GELIR_GIDER!$G$7:$G$1206,GELIR_GIDER!$T$7:$T$1206,$B79))</f>
        <v/>
      </c>
    </row>
    <row r="80">
      <c r="A80" s="6" t="n"/>
      <c r="B80" s="113">
        <f>IF($AF80="","",INDEX(MUSTERILER!$B$7:$B$106,$AF80))</f>
        <v/>
      </c>
      <c r="C80" s="121">
        <f>IF($AF80="","",INDEX(MUSTERILER!$C$7:$C$106,$AF80))</f>
        <v/>
      </c>
      <c r="D80" s="222">
        <f>IF($B80="","",SUMIFS(UCRETLER!$G$7:$G$406,UCRETLER!$B$7:$B$406,$B80,UCRETLER!$F$7:$F$406,"Haftalık",UCRETLER!$H$7:$H$406,"Aktif"))</f>
        <v/>
      </c>
      <c r="E80" s="222">
        <f>IF($B80="","",SUMIFS(UCRETLER!$G$7:$G$406,UCRETLER!$B$7:$B$406,$B80,UCRETLER!$F$7:$F$406,"Aylık",UCRETLER!$H$7:$H$406,"Aktif"))</f>
        <v/>
      </c>
      <c r="F80" s="222">
        <f>IF($B80="","",SUMIFS(MUSTERILER!$J$7:$J$106,MUSTERILER!$B$7:$B$106,$B80))</f>
        <v/>
      </c>
      <c r="G80" s="222">
        <f>IF($B80="","",SUMIFS(UCRETLER!$I$7:$I$406,UCRETLER!$B$7:$B$406,$B80)+SUMIFS(GELIR_GIDER!$G$7:$G$1206,GELIR_GIDER!$T$7:$T$1206,$B80))</f>
        <v/>
      </c>
      <c r="H80" s="222">
        <f>IF($B80="","",$F80+$G80)</f>
        <v/>
      </c>
      <c r="I80" s="222">
        <f>IF($B80="","",SUMIFS(TAHSILAT!$F$7:$F$1506,TAHSILAT!$C$7:$C$1506,$B80))</f>
        <v/>
      </c>
      <c r="J80" s="222">
        <f>IF($B80="","",MAX(0,$H80-$I80))</f>
        <v/>
      </c>
      <c r="K80" s="222">
        <f>IF($B80="","",MAX(0,$J80-$L80-$M80-$N80))</f>
        <v/>
      </c>
      <c r="L80" s="222">
        <f>IF($B80="","",($AC80-$AD80)+IF(AND($AB80&gt;0,$T80&lt;&gt;"",$U80&gt;=8,$U80&lt;15),$AB80,0))</f>
        <v/>
      </c>
      <c r="M80" s="222">
        <f>IF($B80="","",($AD80-$AE80)+IF(AND($AB80&gt;0,$T80&lt;&gt;"",$U80&gt;=15,$U80&lt;29),$AB80,0))</f>
        <v/>
      </c>
      <c r="N80" s="222">
        <f>IF($B80="","",$AE80+IF(AND($AB80&gt;0,OR($T80="",$U80&gt;=29)),$AB80,0))</f>
        <v/>
      </c>
      <c r="O80" s="229">
        <f>IF($B80="","",IFERROR($I80/$H80,0))</f>
        <v/>
      </c>
      <c r="P80" s="224">
        <f>IF($B80="","",IFERROR(LOOKUP(2,1/(TAHSILAT!$C$7:$C$1506=$B80),TAHSILAT!$E$7:$E$1506),""))</f>
        <v/>
      </c>
      <c r="Q80" s="113">
        <f>IF($B80="","",IF($N80&gt;0,"KRİTİK",IF($M80&gt;0,"YÜKSEK",IF($L80&gt;0,"ORTA",IF($J80&gt;0,"İZLE","TEMİZ")))))</f>
        <v/>
      </c>
      <c r="R80" s="121">
        <f>IF($B80="","",IF($Q80="KRİTİK","Acil tahsilat görüşmesi ve cari mutabakat",IF($Q80="YÜKSEK","Bu hafta tahsilat takibi",IF($Q80="ORTA","Hatırlatma mesajı gönder",IF($Q80="İZLE","Normal takip","Aksiyon gerekmiyor")))))</f>
        <v/>
      </c>
      <c r="S80" s="227">
        <f>IF($B80="","",COUNTIFS(AKTIVITE!$D$7:$D$1006,$B80,AKTIVITE!$J$7:$J$1006,"&lt;&gt;Tamamlandı"))</f>
        <v/>
      </c>
      <c r="T80" s="224">
        <f>IF(OR($B80="",$AF80=""),"",IF(INDEX(MUSTERILER!$K$7:$K$106,$AF80)="","",INDEX(MUSTERILER!$K$7:$K$106,$AF80)))</f>
        <v/>
      </c>
      <c r="U80" s="227">
        <f>IF(OR($B80="",$T80=""),"",TODAY()-$T80)</f>
        <v/>
      </c>
      <c r="V80" s="222">
        <f>IF($B80="","",MAX(0,$I80-$H80))</f>
        <v/>
      </c>
      <c r="W80" s="113">
        <f>IF($B80="","",IF(AND(ABS($J80-($K80+$L80+$M80+$N80))&lt;0.01,ABS(($J80-$V80)-($H80-$I80))&lt;0.01),"UYGUN","İNCELE"))</f>
        <v/>
      </c>
      <c r="X80" s="6">
        <f>IF($B80="",0,SUMIFS(UCRETLER!$J$7:$J$406,UCRETLER!$B$7:$B$406,$B80))</f>
        <v/>
      </c>
      <c r="Y80" s="6">
        <f>IF($B80="",0,SUMIFS(UCRETLER!$K$7:$K$406,UCRETLER!$B$7:$B$406,$B80))</f>
        <v/>
      </c>
      <c r="Z80" s="3">
        <f>IF($B80="",0,SUMIFS(UCRETLER!$L$7:$L$406,UCRETLER!$B$7:$B$406,$B80))</f>
        <v/>
      </c>
      <c r="AA80" s="3">
        <f>IF($B80="",0,MAX(0,$I80-$F80))</f>
        <v/>
      </c>
      <c r="AB80" s="3">
        <f>IF($B80="",0,MAX(0,$F80-$I80))</f>
        <v/>
      </c>
      <c r="AC80" s="3">
        <f>IF($B80="",0,MAX(0,$X80-$AA80))</f>
        <v/>
      </c>
      <c r="AD80" s="3">
        <f>IF($B80="",0,MAX(0,$Y80-$AA80))</f>
        <v/>
      </c>
      <c r="AE80" s="3">
        <f>IF($B80="",0,MAX(0,$Z80-$AA80))</f>
        <v/>
      </c>
      <c r="AF80" s="3">
        <f>IFERROR(MATCH(ROW()-6,MUSTERILER!$U$7:$U$106,0),"")</f>
        <v/>
      </c>
      <c r="AG80" s="3">
        <f>IF($B80="",0,SUMIFS(GELIR_GIDER!$G$7:$G$1206,GELIR_GIDER!$T$7:$T$1206,$B80))</f>
        <v/>
      </c>
    </row>
    <row r="81">
      <c r="A81" s="6" t="n"/>
      <c r="B81" s="113">
        <f>IF($AF81="","",INDEX(MUSTERILER!$B$7:$B$106,$AF81))</f>
        <v/>
      </c>
      <c r="C81" s="121">
        <f>IF($AF81="","",INDEX(MUSTERILER!$C$7:$C$106,$AF81))</f>
        <v/>
      </c>
      <c r="D81" s="222">
        <f>IF($B81="","",SUMIFS(UCRETLER!$G$7:$G$406,UCRETLER!$B$7:$B$406,$B81,UCRETLER!$F$7:$F$406,"Haftalık",UCRETLER!$H$7:$H$406,"Aktif"))</f>
        <v/>
      </c>
      <c r="E81" s="222">
        <f>IF($B81="","",SUMIFS(UCRETLER!$G$7:$G$406,UCRETLER!$B$7:$B$406,$B81,UCRETLER!$F$7:$F$406,"Aylık",UCRETLER!$H$7:$H$406,"Aktif"))</f>
        <v/>
      </c>
      <c r="F81" s="222">
        <f>IF($B81="","",SUMIFS(MUSTERILER!$J$7:$J$106,MUSTERILER!$B$7:$B$106,$B81))</f>
        <v/>
      </c>
      <c r="G81" s="222">
        <f>IF($B81="","",SUMIFS(UCRETLER!$I$7:$I$406,UCRETLER!$B$7:$B$406,$B81)+SUMIFS(GELIR_GIDER!$G$7:$G$1206,GELIR_GIDER!$T$7:$T$1206,$B81))</f>
        <v/>
      </c>
      <c r="H81" s="222">
        <f>IF($B81="","",$F81+$G81)</f>
        <v/>
      </c>
      <c r="I81" s="222">
        <f>IF($B81="","",SUMIFS(TAHSILAT!$F$7:$F$1506,TAHSILAT!$C$7:$C$1506,$B81))</f>
        <v/>
      </c>
      <c r="J81" s="222">
        <f>IF($B81="","",MAX(0,$H81-$I81))</f>
        <v/>
      </c>
      <c r="K81" s="222">
        <f>IF($B81="","",MAX(0,$J81-$L81-$M81-$N81))</f>
        <v/>
      </c>
      <c r="L81" s="222">
        <f>IF($B81="","",($AC81-$AD81)+IF(AND($AB81&gt;0,$T81&lt;&gt;"",$U81&gt;=8,$U81&lt;15),$AB81,0))</f>
        <v/>
      </c>
      <c r="M81" s="222">
        <f>IF($B81="","",($AD81-$AE81)+IF(AND($AB81&gt;0,$T81&lt;&gt;"",$U81&gt;=15,$U81&lt;29),$AB81,0))</f>
        <v/>
      </c>
      <c r="N81" s="222">
        <f>IF($B81="","",$AE81+IF(AND($AB81&gt;0,OR($T81="",$U81&gt;=29)),$AB81,0))</f>
        <v/>
      </c>
      <c r="O81" s="229">
        <f>IF($B81="","",IFERROR($I81/$H81,0))</f>
        <v/>
      </c>
      <c r="P81" s="224">
        <f>IF($B81="","",IFERROR(LOOKUP(2,1/(TAHSILAT!$C$7:$C$1506=$B81),TAHSILAT!$E$7:$E$1506),""))</f>
        <v/>
      </c>
      <c r="Q81" s="113">
        <f>IF($B81="","",IF($N81&gt;0,"KRİTİK",IF($M81&gt;0,"YÜKSEK",IF($L81&gt;0,"ORTA",IF($J81&gt;0,"İZLE","TEMİZ")))))</f>
        <v/>
      </c>
      <c r="R81" s="121">
        <f>IF($B81="","",IF($Q81="KRİTİK","Acil tahsilat görüşmesi ve cari mutabakat",IF($Q81="YÜKSEK","Bu hafta tahsilat takibi",IF($Q81="ORTA","Hatırlatma mesajı gönder",IF($Q81="İZLE","Normal takip","Aksiyon gerekmiyor")))))</f>
        <v/>
      </c>
      <c r="S81" s="227">
        <f>IF($B81="","",COUNTIFS(AKTIVITE!$D$7:$D$1006,$B81,AKTIVITE!$J$7:$J$1006,"&lt;&gt;Tamamlandı"))</f>
        <v/>
      </c>
      <c r="T81" s="224">
        <f>IF(OR($B81="",$AF81=""),"",IF(INDEX(MUSTERILER!$K$7:$K$106,$AF81)="","",INDEX(MUSTERILER!$K$7:$K$106,$AF81)))</f>
        <v/>
      </c>
      <c r="U81" s="227">
        <f>IF(OR($B81="",$T81=""),"",TODAY()-$T81)</f>
        <v/>
      </c>
      <c r="V81" s="222">
        <f>IF($B81="","",MAX(0,$I81-$H81))</f>
        <v/>
      </c>
      <c r="W81" s="113">
        <f>IF($B81="","",IF(AND(ABS($J81-($K81+$L81+$M81+$N81))&lt;0.01,ABS(($J81-$V81)-($H81-$I81))&lt;0.01),"UYGUN","İNCELE"))</f>
        <v/>
      </c>
      <c r="X81" s="6">
        <f>IF($B81="",0,SUMIFS(UCRETLER!$J$7:$J$406,UCRETLER!$B$7:$B$406,$B81))</f>
        <v/>
      </c>
      <c r="Y81" s="6">
        <f>IF($B81="",0,SUMIFS(UCRETLER!$K$7:$K$406,UCRETLER!$B$7:$B$406,$B81))</f>
        <v/>
      </c>
      <c r="Z81" s="3">
        <f>IF($B81="",0,SUMIFS(UCRETLER!$L$7:$L$406,UCRETLER!$B$7:$B$406,$B81))</f>
        <v/>
      </c>
      <c r="AA81" s="3">
        <f>IF($B81="",0,MAX(0,$I81-$F81))</f>
        <v/>
      </c>
      <c r="AB81" s="3">
        <f>IF($B81="",0,MAX(0,$F81-$I81))</f>
        <v/>
      </c>
      <c r="AC81" s="3">
        <f>IF($B81="",0,MAX(0,$X81-$AA81))</f>
        <v/>
      </c>
      <c r="AD81" s="3">
        <f>IF($B81="",0,MAX(0,$Y81-$AA81))</f>
        <v/>
      </c>
      <c r="AE81" s="3">
        <f>IF($B81="",0,MAX(0,$Z81-$AA81))</f>
        <v/>
      </c>
      <c r="AF81" s="3">
        <f>IFERROR(MATCH(ROW()-6,MUSTERILER!$U$7:$U$106,0),"")</f>
        <v/>
      </c>
      <c r="AG81" s="3">
        <f>IF($B81="",0,SUMIFS(GELIR_GIDER!$G$7:$G$1206,GELIR_GIDER!$T$7:$T$1206,$B81))</f>
        <v/>
      </c>
    </row>
    <row r="82">
      <c r="A82" s="6" t="n"/>
      <c r="B82" s="113">
        <f>IF($AF82="","",INDEX(MUSTERILER!$B$7:$B$106,$AF82))</f>
        <v/>
      </c>
      <c r="C82" s="121">
        <f>IF($AF82="","",INDEX(MUSTERILER!$C$7:$C$106,$AF82))</f>
        <v/>
      </c>
      <c r="D82" s="222">
        <f>IF($B82="","",SUMIFS(UCRETLER!$G$7:$G$406,UCRETLER!$B$7:$B$406,$B82,UCRETLER!$F$7:$F$406,"Haftalık",UCRETLER!$H$7:$H$406,"Aktif"))</f>
        <v/>
      </c>
      <c r="E82" s="222">
        <f>IF($B82="","",SUMIFS(UCRETLER!$G$7:$G$406,UCRETLER!$B$7:$B$406,$B82,UCRETLER!$F$7:$F$406,"Aylık",UCRETLER!$H$7:$H$406,"Aktif"))</f>
        <v/>
      </c>
      <c r="F82" s="222">
        <f>IF($B82="","",SUMIFS(MUSTERILER!$J$7:$J$106,MUSTERILER!$B$7:$B$106,$B82))</f>
        <v/>
      </c>
      <c r="G82" s="222">
        <f>IF($B82="","",SUMIFS(UCRETLER!$I$7:$I$406,UCRETLER!$B$7:$B$406,$B82)+SUMIFS(GELIR_GIDER!$G$7:$G$1206,GELIR_GIDER!$T$7:$T$1206,$B82))</f>
        <v/>
      </c>
      <c r="H82" s="222">
        <f>IF($B82="","",$F82+$G82)</f>
        <v/>
      </c>
      <c r="I82" s="222">
        <f>IF($B82="","",SUMIFS(TAHSILAT!$F$7:$F$1506,TAHSILAT!$C$7:$C$1506,$B82))</f>
        <v/>
      </c>
      <c r="J82" s="222">
        <f>IF($B82="","",MAX(0,$H82-$I82))</f>
        <v/>
      </c>
      <c r="K82" s="222">
        <f>IF($B82="","",MAX(0,$J82-$L82-$M82-$N82))</f>
        <v/>
      </c>
      <c r="L82" s="222">
        <f>IF($B82="","",($AC82-$AD82)+IF(AND($AB82&gt;0,$T82&lt;&gt;"",$U82&gt;=8,$U82&lt;15),$AB82,0))</f>
        <v/>
      </c>
      <c r="M82" s="222">
        <f>IF($B82="","",($AD82-$AE82)+IF(AND($AB82&gt;0,$T82&lt;&gt;"",$U82&gt;=15,$U82&lt;29),$AB82,0))</f>
        <v/>
      </c>
      <c r="N82" s="222">
        <f>IF($B82="","",$AE82+IF(AND($AB82&gt;0,OR($T82="",$U82&gt;=29)),$AB82,0))</f>
        <v/>
      </c>
      <c r="O82" s="229">
        <f>IF($B82="","",IFERROR($I82/$H82,0))</f>
        <v/>
      </c>
      <c r="P82" s="224">
        <f>IF($B82="","",IFERROR(LOOKUP(2,1/(TAHSILAT!$C$7:$C$1506=$B82),TAHSILAT!$E$7:$E$1506),""))</f>
        <v/>
      </c>
      <c r="Q82" s="113">
        <f>IF($B82="","",IF($N82&gt;0,"KRİTİK",IF($M82&gt;0,"YÜKSEK",IF($L82&gt;0,"ORTA",IF($J82&gt;0,"İZLE","TEMİZ")))))</f>
        <v/>
      </c>
      <c r="R82" s="121">
        <f>IF($B82="","",IF($Q82="KRİTİK","Acil tahsilat görüşmesi ve cari mutabakat",IF($Q82="YÜKSEK","Bu hafta tahsilat takibi",IF($Q82="ORTA","Hatırlatma mesajı gönder",IF($Q82="İZLE","Normal takip","Aksiyon gerekmiyor")))))</f>
        <v/>
      </c>
      <c r="S82" s="227">
        <f>IF($B82="","",COUNTIFS(AKTIVITE!$D$7:$D$1006,$B82,AKTIVITE!$J$7:$J$1006,"&lt;&gt;Tamamlandı"))</f>
        <v/>
      </c>
      <c r="T82" s="224">
        <f>IF(OR($B82="",$AF82=""),"",IF(INDEX(MUSTERILER!$K$7:$K$106,$AF82)="","",INDEX(MUSTERILER!$K$7:$K$106,$AF82)))</f>
        <v/>
      </c>
      <c r="U82" s="227">
        <f>IF(OR($B82="",$T82=""),"",TODAY()-$T82)</f>
        <v/>
      </c>
      <c r="V82" s="222">
        <f>IF($B82="","",MAX(0,$I82-$H82))</f>
        <v/>
      </c>
      <c r="W82" s="113">
        <f>IF($B82="","",IF(AND(ABS($J82-($K82+$L82+$M82+$N82))&lt;0.01,ABS(($J82-$V82)-($H82-$I82))&lt;0.01),"UYGUN","İNCELE"))</f>
        <v/>
      </c>
      <c r="X82" s="6">
        <f>IF($B82="",0,SUMIFS(UCRETLER!$J$7:$J$406,UCRETLER!$B$7:$B$406,$B82))</f>
        <v/>
      </c>
      <c r="Y82" s="6">
        <f>IF($B82="",0,SUMIFS(UCRETLER!$K$7:$K$406,UCRETLER!$B$7:$B$406,$B82))</f>
        <v/>
      </c>
      <c r="Z82" s="3">
        <f>IF($B82="",0,SUMIFS(UCRETLER!$L$7:$L$406,UCRETLER!$B$7:$B$406,$B82))</f>
        <v/>
      </c>
      <c r="AA82" s="3">
        <f>IF($B82="",0,MAX(0,$I82-$F82))</f>
        <v/>
      </c>
      <c r="AB82" s="3">
        <f>IF($B82="",0,MAX(0,$F82-$I82))</f>
        <v/>
      </c>
      <c r="AC82" s="3">
        <f>IF($B82="",0,MAX(0,$X82-$AA82))</f>
        <v/>
      </c>
      <c r="AD82" s="3">
        <f>IF($B82="",0,MAX(0,$Y82-$AA82))</f>
        <v/>
      </c>
      <c r="AE82" s="3">
        <f>IF($B82="",0,MAX(0,$Z82-$AA82))</f>
        <v/>
      </c>
      <c r="AF82" s="3">
        <f>IFERROR(MATCH(ROW()-6,MUSTERILER!$U$7:$U$106,0),"")</f>
        <v/>
      </c>
      <c r="AG82" s="3">
        <f>IF($B82="",0,SUMIFS(GELIR_GIDER!$G$7:$G$1206,GELIR_GIDER!$T$7:$T$1206,$B82))</f>
        <v/>
      </c>
    </row>
    <row r="83">
      <c r="A83" s="6" t="n"/>
      <c r="B83" s="113">
        <f>IF($AF83="","",INDEX(MUSTERILER!$B$7:$B$106,$AF83))</f>
        <v/>
      </c>
      <c r="C83" s="121">
        <f>IF($AF83="","",INDEX(MUSTERILER!$C$7:$C$106,$AF83))</f>
        <v/>
      </c>
      <c r="D83" s="222">
        <f>IF($B83="","",SUMIFS(UCRETLER!$G$7:$G$406,UCRETLER!$B$7:$B$406,$B83,UCRETLER!$F$7:$F$406,"Haftalık",UCRETLER!$H$7:$H$406,"Aktif"))</f>
        <v/>
      </c>
      <c r="E83" s="222">
        <f>IF($B83="","",SUMIFS(UCRETLER!$G$7:$G$406,UCRETLER!$B$7:$B$406,$B83,UCRETLER!$F$7:$F$406,"Aylık",UCRETLER!$H$7:$H$406,"Aktif"))</f>
        <v/>
      </c>
      <c r="F83" s="222">
        <f>IF($B83="","",SUMIFS(MUSTERILER!$J$7:$J$106,MUSTERILER!$B$7:$B$106,$B83))</f>
        <v/>
      </c>
      <c r="G83" s="222">
        <f>IF($B83="","",SUMIFS(UCRETLER!$I$7:$I$406,UCRETLER!$B$7:$B$406,$B83)+SUMIFS(GELIR_GIDER!$G$7:$G$1206,GELIR_GIDER!$T$7:$T$1206,$B83))</f>
        <v/>
      </c>
      <c r="H83" s="222">
        <f>IF($B83="","",$F83+$G83)</f>
        <v/>
      </c>
      <c r="I83" s="222">
        <f>IF($B83="","",SUMIFS(TAHSILAT!$F$7:$F$1506,TAHSILAT!$C$7:$C$1506,$B83))</f>
        <v/>
      </c>
      <c r="J83" s="222">
        <f>IF($B83="","",MAX(0,$H83-$I83))</f>
        <v/>
      </c>
      <c r="K83" s="222">
        <f>IF($B83="","",MAX(0,$J83-$L83-$M83-$N83))</f>
        <v/>
      </c>
      <c r="L83" s="222">
        <f>IF($B83="","",($AC83-$AD83)+IF(AND($AB83&gt;0,$T83&lt;&gt;"",$U83&gt;=8,$U83&lt;15),$AB83,0))</f>
        <v/>
      </c>
      <c r="M83" s="222">
        <f>IF($B83="","",($AD83-$AE83)+IF(AND($AB83&gt;0,$T83&lt;&gt;"",$U83&gt;=15,$U83&lt;29),$AB83,0))</f>
        <v/>
      </c>
      <c r="N83" s="222">
        <f>IF($B83="","",$AE83+IF(AND($AB83&gt;0,OR($T83="",$U83&gt;=29)),$AB83,0))</f>
        <v/>
      </c>
      <c r="O83" s="229">
        <f>IF($B83="","",IFERROR($I83/$H83,0))</f>
        <v/>
      </c>
      <c r="P83" s="224">
        <f>IF($B83="","",IFERROR(LOOKUP(2,1/(TAHSILAT!$C$7:$C$1506=$B83),TAHSILAT!$E$7:$E$1506),""))</f>
        <v/>
      </c>
      <c r="Q83" s="113">
        <f>IF($B83="","",IF($N83&gt;0,"KRİTİK",IF($M83&gt;0,"YÜKSEK",IF($L83&gt;0,"ORTA",IF($J83&gt;0,"İZLE","TEMİZ")))))</f>
        <v/>
      </c>
      <c r="R83" s="121">
        <f>IF($B83="","",IF($Q83="KRİTİK","Acil tahsilat görüşmesi ve cari mutabakat",IF($Q83="YÜKSEK","Bu hafta tahsilat takibi",IF($Q83="ORTA","Hatırlatma mesajı gönder",IF($Q83="İZLE","Normal takip","Aksiyon gerekmiyor")))))</f>
        <v/>
      </c>
      <c r="S83" s="227">
        <f>IF($B83="","",COUNTIFS(AKTIVITE!$D$7:$D$1006,$B83,AKTIVITE!$J$7:$J$1006,"&lt;&gt;Tamamlandı"))</f>
        <v/>
      </c>
      <c r="T83" s="224">
        <f>IF(OR($B83="",$AF83=""),"",IF(INDEX(MUSTERILER!$K$7:$K$106,$AF83)="","",INDEX(MUSTERILER!$K$7:$K$106,$AF83)))</f>
        <v/>
      </c>
      <c r="U83" s="227">
        <f>IF(OR($B83="",$T83=""),"",TODAY()-$T83)</f>
        <v/>
      </c>
      <c r="V83" s="222">
        <f>IF($B83="","",MAX(0,$I83-$H83))</f>
        <v/>
      </c>
      <c r="W83" s="113">
        <f>IF($B83="","",IF(AND(ABS($J83-($K83+$L83+$M83+$N83))&lt;0.01,ABS(($J83-$V83)-($H83-$I83))&lt;0.01),"UYGUN","İNCELE"))</f>
        <v/>
      </c>
      <c r="X83" s="6">
        <f>IF($B83="",0,SUMIFS(UCRETLER!$J$7:$J$406,UCRETLER!$B$7:$B$406,$B83))</f>
        <v/>
      </c>
      <c r="Y83" s="6">
        <f>IF($B83="",0,SUMIFS(UCRETLER!$K$7:$K$406,UCRETLER!$B$7:$B$406,$B83))</f>
        <v/>
      </c>
      <c r="Z83" s="3">
        <f>IF($B83="",0,SUMIFS(UCRETLER!$L$7:$L$406,UCRETLER!$B$7:$B$406,$B83))</f>
        <v/>
      </c>
      <c r="AA83" s="3">
        <f>IF($B83="",0,MAX(0,$I83-$F83))</f>
        <v/>
      </c>
      <c r="AB83" s="3">
        <f>IF($B83="",0,MAX(0,$F83-$I83))</f>
        <v/>
      </c>
      <c r="AC83" s="3">
        <f>IF($B83="",0,MAX(0,$X83-$AA83))</f>
        <v/>
      </c>
      <c r="AD83" s="3">
        <f>IF($B83="",0,MAX(0,$Y83-$AA83))</f>
        <v/>
      </c>
      <c r="AE83" s="3">
        <f>IF($B83="",0,MAX(0,$Z83-$AA83))</f>
        <v/>
      </c>
      <c r="AF83" s="3">
        <f>IFERROR(MATCH(ROW()-6,MUSTERILER!$U$7:$U$106,0),"")</f>
        <v/>
      </c>
      <c r="AG83" s="3">
        <f>IF($B83="",0,SUMIFS(GELIR_GIDER!$G$7:$G$1206,GELIR_GIDER!$T$7:$T$1206,$B83))</f>
        <v/>
      </c>
    </row>
    <row r="84">
      <c r="A84" s="6" t="n"/>
      <c r="B84" s="113">
        <f>IF($AF84="","",INDEX(MUSTERILER!$B$7:$B$106,$AF84))</f>
        <v/>
      </c>
      <c r="C84" s="121">
        <f>IF($AF84="","",INDEX(MUSTERILER!$C$7:$C$106,$AF84))</f>
        <v/>
      </c>
      <c r="D84" s="222">
        <f>IF($B84="","",SUMIFS(UCRETLER!$G$7:$G$406,UCRETLER!$B$7:$B$406,$B84,UCRETLER!$F$7:$F$406,"Haftalık",UCRETLER!$H$7:$H$406,"Aktif"))</f>
        <v/>
      </c>
      <c r="E84" s="222">
        <f>IF($B84="","",SUMIFS(UCRETLER!$G$7:$G$406,UCRETLER!$B$7:$B$406,$B84,UCRETLER!$F$7:$F$406,"Aylık",UCRETLER!$H$7:$H$406,"Aktif"))</f>
        <v/>
      </c>
      <c r="F84" s="222">
        <f>IF($B84="","",SUMIFS(MUSTERILER!$J$7:$J$106,MUSTERILER!$B$7:$B$106,$B84))</f>
        <v/>
      </c>
      <c r="G84" s="222">
        <f>IF($B84="","",SUMIFS(UCRETLER!$I$7:$I$406,UCRETLER!$B$7:$B$406,$B84)+SUMIFS(GELIR_GIDER!$G$7:$G$1206,GELIR_GIDER!$T$7:$T$1206,$B84))</f>
        <v/>
      </c>
      <c r="H84" s="222">
        <f>IF($B84="","",$F84+$G84)</f>
        <v/>
      </c>
      <c r="I84" s="222">
        <f>IF($B84="","",SUMIFS(TAHSILAT!$F$7:$F$1506,TAHSILAT!$C$7:$C$1506,$B84))</f>
        <v/>
      </c>
      <c r="J84" s="222">
        <f>IF($B84="","",MAX(0,$H84-$I84))</f>
        <v/>
      </c>
      <c r="K84" s="222">
        <f>IF($B84="","",MAX(0,$J84-$L84-$M84-$N84))</f>
        <v/>
      </c>
      <c r="L84" s="222">
        <f>IF($B84="","",($AC84-$AD84)+IF(AND($AB84&gt;0,$T84&lt;&gt;"",$U84&gt;=8,$U84&lt;15),$AB84,0))</f>
        <v/>
      </c>
      <c r="M84" s="222">
        <f>IF($B84="","",($AD84-$AE84)+IF(AND($AB84&gt;0,$T84&lt;&gt;"",$U84&gt;=15,$U84&lt;29),$AB84,0))</f>
        <v/>
      </c>
      <c r="N84" s="222">
        <f>IF($B84="","",$AE84+IF(AND($AB84&gt;0,OR($T84="",$U84&gt;=29)),$AB84,0))</f>
        <v/>
      </c>
      <c r="O84" s="229">
        <f>IF($B84="","",IFERROR($I84/$H84,0))</f>
        <v/>
      </c>
      <c r="P84" s="224">
        <f>IF($B84="","",IFERROR(LOOKUP(2,1/(TAHSILAT!$C$7:$C$1506=$B84),TAHSILAT!$E$7:$E$1506),""))</f>
        <v/>
      </c>
      <c r="Q84" s="113">
        <f>IF($B84="","",IF($N84&gt;0,"KRİTİK",IF($M84&gt;0,"YÜKSEK",IF($L84&gt;0,"ORTA",IF($J84&gt;0,"İZLE","TEMİZ")))))</f>
        <v/>
      </c>
      <c r="R84" s="121">
        <f>IF($B84="","",IF($Q84="KRİTİK","Acil tahsilat görüşmesi ve cari mutabakat",IF($Q84="YÜKSEK","Bu hafta tahsilat takibi",IF($Q84="ORTA","Hatırlatma mesajı gönder",IF($Q84="İZLE","Normal takip","Aksiyon gerekmiyor")))))</f>
        <v/>
      </c>
      <c r="S84" s="227">
        <f>IF($B84="","",COUNTIFS(AKTIVITE!$D$7:$D$1006,$B84,AKTIVITE!$J$7:$J$1006,"&lt;&gt;Tamamlandı"))</f>
        <v/>
      </c>
      <c r="T84" s="224">
        <f>IF(OR($B84="",$AF84=""),"",IF(INDEX(MUSTERILER!$K$7:$K$106,$AF84)="","",INDEX(MUSTERILER!$K$7:$K$106,$AF84)))</f>
        <v/>
      </c>
      <c r="U84" s="227">
        <f>IF(OR($B84="",$T84=""),"",TODAY()-$T84)</f>
        <v/>
      </c>
      <c r="V84" s="222">
        <f>IF($B84="","",MAX(0,$I84-$H84))</f>
        <v/>
      </c>
      <c r="W84" s="113">
        <f>IF($B84="","",IF(AND(ABS($J84-($K84+$L84+$M84+$N84))&lt;0.01,ABS(($J84-$V84)-($H84-$I84))&lt;0.01),"UYGUN","İNCELE"))</f>
        <v/>
      </c>
      <c r="X84" s="6">
        <f>IF($B84="",0,SUMIFS(UCRETLER!$J$7:$J$406,UCRETLER!$B$7:$B$406,$B84))</f>
        <v/>
      </c>
      <c r="Y84" s="6">
        <f>IF($B84="",0,SUMIFS(UCRETLER!$K$7:$K$406,UCRETLER!$B$7:$B$406,$B84))</f>
        <v/>
      </c>
      <c r="Z84" s="3">
        <f>IF($B84="",0,SUMIFS(UCRETLER!$L$7:$L$406,UCRETLER!$B$7:$B$406,$B84))</f>
        <v/>
      </c>
      <c r="AA84" s="3">
        <f>IF($B84="",0,MAX(0,$I84-$F84))</f>
        <v/>
      </c>
      <c r="AB84" s="3">
        <f>IF($B84="",0,MAX(0,$F84-$I84))</f>
        <v/>
      </c>
      <c r="AC84" s="3">
        <f>IF($B84="",0,MAX(0,$X84-$AA84))</f>
        <v/>
      </c>
      <c r="AD84" s="3">
        <f>IF($B84="",0,MAX(0,$Y84-$AA84))</f>
        <v/>
      </c>
      <c r="AE84" s="3">
        <f>IF($B84="",0,MAX(0,$Z84-$AA84))</f>
        <v/>
      </c>
      <c r="AF84" s="3">
        <f>IFERROR(MATCH(ROW()-6,MUSTERILER!$U$7:$U$106,0),"")</f>
        <v/>
      </c>
      <c r="AG84" s="3">
        <f>IF($B84="",0,SUMIFS(GELIR_GIDER!$G$7:$G$1206,GELIR_GIDER!$T$7:$T$1206,$B84))</f>
        <v/>
      </c>
    </row>
    <row r="85">
      <c r="A85" s="6" t="n"/>
      <c r="B85" s="113">
        <f>IF($AF85="","",INDEX(MUSTERILER!$B$7:$B$106,$AF85))</f>
        <v/>
      </c>
      <c r="C85" s="121">
        <f>IF($AF85="","",INDEX(MUSTERILER!$C$7:$C$106,$AF85))</f>
        <v/>
      </c>
      <c r="D85" s="222">
        <f>IF($B85="","",SUMIFS(UCRETLER!$G$7:$G$406,UCRETLER!$B$7:$B$406,$B85,UCRETLER!$F$7:$F$406,"Haftalık",UCRETLER!$H$7:$H$406,"Aktif"))</f>
        <v/>
      </c>
      <c r="E85" s="222">
        <f>IF($B85="","",SUMIFS(UCRETLER!$G$7:$G$406,UCRETLER!$B$7:$B$406,$B85,UCRETLER!$F$7:$F$406,"Aylık",UCRETLER!$H$7:$H$406,"Aktif"))</f>
        <v/>
      </c>
      <c r="F85" s="222">
        <f>IF($B85="","",SUMIFS(MUSTERILER!$J$7:$J$106,MUSTERILER!$B$7:$B$106,$B85))</f>
        <v/>
      </c>
      <c r="G85" s="222">
        <f>IF($B85="","",SUMIFS(UCRETLER!$I$7:$I$406,UCRETLER!$B$7:$B$406,$B85)+SUMIFS(GELIR_GIDER!$G$7:$G$1206,GELIR_GIDER!$T$7:$T$1206,$B85))</f>
        <v/>
      </c>
      <c r="H85" s="222">
        <f>IF($B85="","",$F85+$G85)</f>
        <v/>
      </c>
      <c r="I85" s="222">
        <f>IF($B85="","",SUMIFS(TAHSILAT!$F$7:$F$1506,TAHSILAT!$C$7:$C$1506,$B85))</f>
        <v/>
      </c>
      <c r="J85" s="222">
        <f>IF($B85="","",MAX(0,$H85-$I85))</f>
        <v/>
      </c>
      <c r="K85" s="222">
        <f>IF($B85="","",MAX(0,$J85-$L85-$M85-$N85))</f>
        <v/>
      </c>
      <c r="L85" s="222">
        <f>IF($B85="","",($AC85-$AD85)+IF(AND($AB85&gt;0,$T85&lt;&gt;"",$U85&gt;=8,$U85&lt;15),$AB85,0))</f>
        <v/>
      </c>
      <c r="M85" s="222">
        <f>IF($B85="","",($AD85-$AE85)+IF(AND($AB85&gt;0,$T85&lt;&gt;"",$U85&gt;=15,$U85&lt;29),$AB85,0))</f>
        <v/>
      </c>
      <c r="N85" s="222">
        <f>IF($B85="","",$AE85+IF(AND($AB85&gt;0,OR($T85="",$U85&gt;=29)),$AB85,0))</f>
        <v/>
      </c>
      <c r="O85" s="229">
        <f>IF($B85="","",IFERROR($I85/$H85,0))</f>
        <v/>
      </c>
      <c r="P85" s="224">
        <f>IF($B85="","",IFERROR(LOOKUP(2,1/(TAHSILAT!$C$7:$C$1506=$B85),TAHSILAT!$E$7:$E$1506),""))</f>
        <v/>
      </c>
      <c r="Q85" s="113">
        <f>IF($B85="","",IF($N85&gt;0,"KRİTİK",IF($M85&gt;0,"YÜKSEK",IF($L85&gt;0,"ORTA",IF($J85&gt;0,"İZLE","TEMİZ")))))</f>
        <v/>
      </c>
      <c r="R85" s="121">
        <f>IF($B85="","",IF($Q85="KRİTİK","Acil tahsilat görüşmesi ve cari mutabakat",IF($Q85="YÜKSEK","Bu hafta tahsilat takibi",IF($Q85="ORTA","Hatırlatma mesajı gönder",IF($Q85="İZLE","Normal takip","Aksiyon gerekmiyor")))))</f>
        <v/>
      </c>
      <c r="S85" s="227">
        <f>IF($B85="","",COUNTIFS(AKTIVITE!$D$7:$D$1006,$B85,AKTIVITE!$J$7:$J$1006,"&lt;&gt;Tamamlandı"))</f>
        <v/>
      </c>
      <c r="T85" s="224">
        <f>IF(OR($B85="",$AF85=""),"",IF(INDEX(MUSTERILER!$K$7:$K$106,$AF85)="","",INDEX(MUSTERILER!$K$7:$K$106,$AF85)))</f>
        <v/>
      </c>
      <c r="U85" s="227">
        <f>IF(OR($B85="",$T85=""),"",TODAY()-$T85)</f>
        <v/>
      </c>
      <c r="V85" s="222">
        <f>IF($B85="","",MAX(0,$I85-$H85))</f>
        <v/>
      </c>
      <c r="W85" s="113">
        <f>IF($B85="","",IF(AND(ABS($J85-($K85+$L85+$M85+$N85))&lt;0.01,ABS(($J85-$V85)-($H85-$I85))&lt;0.01),"UYGUN","İNCELE"))</f>
        <v/>
      </c>
      <c r="X85" s="6">
        <f>IF($B85="",0,SUMIFS(UCRETLER!$J$7:$J$406,UCRETLER!$B$7:$B$406,$B85))</f>
        <v/>
      </c>
      <c r="Y85" s="6">
        <f>IF($B85="",0,SUMIFS(UCRETLER!$K$7:$K$406,UCRETLER!$B$7:$B$406,$B85))</f>
        <v/>
      </c>
      <c r="Z85" s="3">
        <f>IF($B85="",0,SUMIFS(UCRETLER!$L$7:$L$406,UCRETLER!$B$7:$B$406,$B85))</f>
        <v/>
      </c>
      <c r="AA85" s="3">
        <f>IF($B85="",0,MAX(0,$I85-$F85))</f>
        <v/>
      </c>
      <c r="AB85" s="3">
        <f>IF($B85="",0,MAX(0,$F85-$I85))</f>
        <v/>
      </c>
      <c r="AC85" s="3">
        <f>IF($B85="",0,MAX(0,$X85-$AA85))</f>
        <v/>
      </c>
      <c r="AD85" s="3">
        <f>IF($B85="",0,MAX(0,$Y85-$AA85))</f>
        <v/>
      </c>
      <c r="AE85" s="3">
        <f>IF($B85="",0,MAX(0,$Z85-$AA85))</f>
        <v/>
      </c>
      <c r="AF85" s="3">
        <f>IFERROR(MATCH(ROW()-6,MUSTERILER!$U$7:$U$106,0),"")</f>
        <v/>
      </c>
      <c r="AG85" s="3">
        <f>IF($B85="",0,SUMIFS(GELIR_GIDER!$G$7:$G$1206,GELIR_GIDER!$T$7:$T$1206,$B85))</f>
        <v/>
      </c>
    </row>
    <row r="86">
      <c r="A86" s="6" t="n"/>
      <c r="B86" s="113">
        <f>IF($AF86="","",INDEX(MUSTERILER!$B$7:$B$106,$AF86))</f>
        <v/>
      </c>
      <c r="C86" s="121">
        <f>IF($AF86="","",INDEX(MUSTERILER!$C$7:$C$106,$AF86))</f>
        <v/>
      </c>
      <c r="D86" s="222">
        <f>IF($B86="","",SUMIFS(UCRETLER!$G$7:$G$406,UCRETLER!$B$7:$B$406,$B86,UCRETLER!$F$7:$F$406,"Haftalık",UCRETLER!$H$7:$H$406,"Aktif"))</f>
        <v/>
      </c>
      <c r="E86" s="222">
        <f>IF($B86="","",SUMIFS(UCRETLER!$G$7:$G$406,UCRETLER!$B$7:$B$406,$B86,UCRETLER!$F$7:$F$406,"Aylık",UCRETLER!$H$7:$H$406,"Aktif"))</f>
        <v/>
      </c>
      <c r="F86" s="222">
        <f>IF($B86="","",SUMIFS(MUSTERILER!$J$7:$J$106,MUSTERILER!$B$7:$B$106,$B86))</f>
        <v/>
      </c>
      <c r="G86" s="222">
        <f>IF($B86="","",SUMIFS(UCRETLER!$I$7:$I$406,UCRETLER!$B$7:$B$406,$B86)+SUMIFS(GELIR_GIDER!$G$7:$G$1206,GELIR_GIDER!$T$7:$T$1206,$B86))</f>
        <v/>
      </c>
      <c r="H86" s="222">
        <f>IF($B86="","",$F86+$G86)</f>
        <v/>
      </c>
      <c r="I86" s="222">
        <f>IF($B86="","",SUMIFS(TAHSILAT!$F$7:$F$1506,TAHSILAT!$C$7:$C$1506,$B86))</f>
        <v/>
      </c>
      <c r="J86" s="222">
        <f>IF($B86="","",MAX(0,$H86-$I86))</f>
        <v/>
      </c>
      <c r="K86" s="222">
        <f>IF($B86="","",MAX(0,$J86-$L86-$M86-$N86))</f>
        <v/>
      </c>
      <c r="L86" s="222">
        <f>IF($B86="","",($AC86-$AD86)+IF(AND($AB86&gt;0,$T86&lt;&gt;"",$U86&gt;=8,$U86&lt;15),$AB86,0))</f>
        <v/>
      </c>
      <c r="M86" s="222">
        <f>IF($B86="","",($AD86-$AE86)+IF(AND($AB86&gt;0,$T86&lt;&gt;"",$U86&gt;=15,$U86&lt;29),$AB86,0))</f>
        <v/>
      </c>
      <c r="N86" s="222">
        <f>IF($B86="","",$AE86+IF(AND($AB86&gt;0,OR($T86="",$U86&gt;=29)),$AB86,0))</f>
        <v/>
      </c>
      <c r="O86" s="229">
        <f>IF($B86="","",IFERROR($I86/$H86,0))</f>
        <v/>
      </c>
      <c r="P86" s="224">
        <f>IF($B86="","",IFERROR(LOOKUP(2,1/(TAHSILAT!$C$7:$C$1506=$B86),TAHSILAT!$E$7:$E$1506),""))</f>
        <v/>
      </c>
      <c r="Q86" s="113">
        <f>IF($B86="","",IF($N86&gt;0,"KRİTİK",IF($M86&gt;0,"YÜKSEK",IF($L86&gt;0,"ORTA",IF($J86&gt;0,"İZLE","TEMİZ")))))</f>
        <v/>
      </c>
      <c r="R86" s="121">
        <f>IF($B86="","",IF($Q86="KRİTİK","Acil tahsilat görüşmesi ve cari mutabakat",IF($Q86="YÜKSEK","Bu hafta tahsilat takibi",IF($Q86="ORTA","Hatırlatma mesajı gönder",IF($Q86="İZLE","Normal takip","Aksiyon gerekmiyor")))))</f>
        <v/>
      </c>
      <c r="S86" s="227">
        <f>IF($B86="","",COUNTIFS(AKTIVITE!$D$7:$D$1006,$B86,AKTIVITE!$J$7:$J$1006,"&lt;&gt;Tamamlandı"))</f>
        <v/>
      </c>
      <c r="T86" s="224">
        <f>IF(OR($B86="",$AF86=""),"",IF(INDEX(MUSTERILER!$K$7:$K$106,$AF86)="","",INDEX(MUSTERILER!$K$7:$K$106,$AF86)))</f>
        <v/>
      </c>
      <c r="U86" s="227">
        <f>IF(OR($B86="",$T86=""),"",TODAY()-$T86)</f>
        <v/>
      </c>
      <c r="V86" s="222">
        <f>IF($B86="","",MAX(0,$I86-$H86))</f>
        <v/>
      </c>
      <c r="W86" s="113">
        <f>IF($B86="","",IF(AND(ABS($J86-($K86+$L86+$M86+$N86))&lt;0.01,ABS(($J86-$V86)-($H86-$I86))&lt;0.01),"UYGUN","İNCELE"))</f>
        <v/>
      </c>
      <c r="X86" s="6">
        <f>IF($B86="",0,SUMIFS(UCRETLER!$J$7:$J$406,UCRETLER!$B$7:$B$406,$B86))</f>
        <v/>
      </c>
      <c r="Y86" s="6">
        <f>IF($B86="",0,SUMIFS(UCRETLER!$K$7:$K$406,UCRETLER!$B$7:$B$406,$B86))</f>
        <v/>
      </c>
      <c r="Z86" s="3">
        <f>IF($B86="",0,SUMIFS(UCRETLER!$L$7:$L$406,UCRETLER!$B$7:$B$406,$B86))</f>
        <v/>
      </c>
      <c r="AA86" s="3">
        <f>IF($B86="",0,MAX(0,$I86-$F86))</f>
        <v/>
      </c>
      <c r="AB86" s="3">
        <f>IF($B86="",0,MAX(0,$F86-$I86))</f>
        <v/>
      </c>
      <c r="AC86" s="3">
        <f>IF($B86="",0,MAX(0,$X86-$AA86))</f>
        <v/>
      </c>
      <c r="AD86" s="3">
        <f>IF($B86="",0,MAX(0,$Y86-$AA86))</f>
        <v/>
      </c>
      <c r="AE86" s="3">
        <f>IF($B86="",0,MAX(0,$Z86-$AA86))</f>
        <v/>
      </c>
      <c r="AF86" s="3">
        <f>IFERROR(MATCH(ROW()-6,MUSTERILER!$U$7:$U$106,0),"")</f>
        <v/>
      </c>
      <c r="AG86" s="3">
        <f>IF($B86="",0,SUMIFS(GELIR_GIDER!$G$7:$G$1206,GELIR_GIDER!$T$7:$T$1206,$B86))</f>
        <v/>
      </c>
    </row>
    <row r="87">
      <c r="A87" s="6" t="n"/>
      <c r="B87" s="113">
        <f>IF($AF87="","",INDEX(MUSTERILER!$B$7:$B$106,$AF87))</f>
        <v/>
      </c>
      <c r="C87" s="121">
        <f>IF($AF87="","",INDEX(MUSTERILER!$C$7:$C$106,$AF87))</f>
        <v/>
      </c>
      <c r="D87" s="222">
        <f>IF($B87="","",SUMIFS(UCRETLER!$G$7:$G$406,UCRETLER!$B$7:$B$406,$B87,UCRETLER!$F$7:$F$406,"Haftalık",UCRETLER!$H$7:$H$406,"Aktif"))</f>
        <v/>
      </c>
      <c r="E87" s="222">
        <f>IF($B87="","",SUMIFS(UCRETLER!$G$7:$G$406,UCRETLER!$B$7:$B$406,$B87,UCRETLER!$F$7:$F$406,"Aylık",UCRETLER!$H$7:$H$406,"Aktif"))</f>
        <v/>
      </c>
      <c r="F87" s="222">
        <f>IF($B87="","",SUMIFS(MUSTERILER!$J$7:$J$106,MUSTERILER!$B$7:$B$106,$B87))</f>
        <v/>
      </c>
      <c r="G87" s="222">
        <f>IF($B87="","",SUMIFS(UCRETLER!$I$7:$I$406,UCRETLER!$B$7:$B$406,$B87)+SUMIFS(GELIR_GIDER!$G$7:$G$1206,GELIR_GIDER!$T$7:$T$1206,$B87))</f>
        <v/>
      </c>
      <c r="H87" s="222">
        <f>IF($B87="","",$F87+$G87)</f>
        <v/>
      </c>
      <c r="I87" s="222">
        <f>IF($B87="","",SUMIFS(TAHSILAT!$F$7:$F$1506,TAHSILAT!$C$7:$C$1506,$B87))</f>
        <v/>
      </c>
      <c r="J87" s="222">
        <f>IF($B87="","",MAX(0,$H87-$I87))</f>
        <v/>
      </c>
      <c r="K87" s="222">
        <f>IF($B87="","",MAX(0,$J87-$L87-$M87-$N87))</f>
        <v/>
      </c>
      <c r="L87" s="222">
        <f>IF($B87="","",($AC87-$AD87)+IF(AND($AB87&gt;0,$T87&lt;&gt;"",$U87&gt;=8,$U87&lt;15),$AB87,0))</f>
        <v/>
      </c>
      <c r="M87" s="222">
        <f>IF($B87="","",($AD87-$AE87)+IF(AND($AB87&gt;0,$T87&lt;&gt;"",$U87&gt;=15,$U87&lt;29),$AB87,0))</f>
        <v/>
      </c>
      <c r="N87" s="222">
        <f>IF($B87="","",$AE87+IF(AND($AB87&gt;0,OR($T87="",$U87&gt;=29)),$AB87,0))</f>
        <v/>
      </c>
      <c r="O87" s="229">
        <f>IF($B87="","",IFERROR($I87/$H87,0))</f>
        <v/>
      </c>
      <c r="P87" s="224">
        <f>IF($B87="","",IFERROR(LOOKUP(2,1/(TAHSILAT!$C$7:$C$1506=$B87),TAHSILAT!$E$7:$E$1506),""))</f>
        <v/>
      </c>
      <c r="Q87" s="113">
        <f>IF($B87="","",IF($N87&gt;0,"KRİTİK",IF($M87&gt;0,"YÜKSEK",IF($L87&gt;0,"ORTA",IF($J87&gt;0,"İZLE","TEMİZ")))))</f>
        <v/>
      </c>
      <c r="R87" s="121">
        <f>IF($B87="","",IF($Q87="KRİTİK","Acil tahsilat görüşmesi ve cari mutabakat",IF($Q87="YÜKSEK","Bu hafta tahsilat takibi",IF($Q87="ORTA","Hatırlatma mesajı gönder",IF($Q87="İZLE","Normal takip","Aksiyon gerekmiyor")))))</f>
        <v/>
      </c>
      <c r="S87" s="227">
        <f>IF($B87="","",COUNTIFS(AKTIVITE!$D$7:$D$1006,$B87,AKTIVITE!$J$7:$J$1006,"&lt;&gt;Tamamlandı"))</f>
        <v/>
      </c>
      <c r="T87" s="224">
        <f>IF(OR($B87="",$AF87=""),"",IF(INDEX(MUSTERILER!$K$7:$K$106,$AF87)="","",INDEX(MUSTERILER!$K$7:$K$106,$AF87)))</f>
        <v/>
      </c>
      <c r="U87" s="227">
        <f>IF(OR($B87="",$T87=""),"",TODAY()-$T87)</f>
        <v/>
      </c>
      <c r="V87" s="222">
        <f>IF($B87="","",MAX(0,$I87-$H87))</f>
        <v/>
      </c>
      <c r="W87" s="113">
        <f>IF($B87="","",IF(AND(ABS($J87-($K87+$L87+$M87+$N87))&lt;0.01,ABS(($J87-$V87)-($H87-$I87))&lt;0.01),"UYGUN","İNCELE"))</f>
        <v/>
      </c>
      <c r="X87" s="6">
        <f>IF($B87="",0,SUMIFS(UCRETLER!$J$7:$J$406,UCRETLER!$B$7:$B$406,$B87))</f>
        <v/>
      </c>
      <c r="Y87" s="6">
        <f>IF($B87="",0,SUMIFS(UCRETLER!$K$7:$K$406,UCRETLER!$B$7:$B$406,$B87))</f>
        <v/>
      </c>
      <c r="Z87" s="3">
        <f>IF($B87="",0,SUMIFS(UCRETLER!$L$7:$L$406,UCRETLER!$B$7:$B$406,$B87))</f>
        <v/>
      </c>
      <c r="AA87" s="3">
        <f>IF($B87="",0,MAX(0,$I87-$F87))</f>
        <v/>
      </c>
      <c r="AB87" s="3">
        <f>IF($B87="",0,MAX(0,$F87-$I87))</f>
        <v/>
      </c>
      <c r="AC87" s="3">
        <f>IF($B87="",0,MAX(0,$X87-$AA87))</f>
        <v/>
      </c>
      <c r="AD87" s="3">
        <f>IF($B87="",0,MAX(0,$Y87-$AA87))</f>
        <v/>
      </c>
      <c r="AE87" s="3">
        <f>IF($B87="",0,MAX(0,$Z87-$AA87))</f>
        <v/>
      </c>
      <c r="AF87" s="3">
        <f>IFERROR(MATCH(ROW()-6,MUSTERILER!$U$7:$U$106,0),"")</f>
        <v/>
      </c>
      <c r="AG87" s="3">
        <f>IF($B87="",0,SUMIFS(GELIR_GIDER!$G$7:$G$1206,GELIR_GIDER!$T$7:$T$1206,$B87))</f>
        <v/>
      </c>
    </row>
    <row r="88">
      <c r="A88" s="6" t="n"/>
      <c r="B88" s="113">
        <f>IF($AF88="","",INDEX(MUSTERILER!$B$7:$B$106,$AF88))</f>
        <v/>
      </c>
      <c r="C88" s="121">
        <f>IF($AF88="","",INDEX(MUSTERILER!$C$7:$C$106,$AF88))</f>
        <v/>
      </c>
      <c r="D88" s="222">
        <f>IF($B88="","",SUMIFS(UCRETLER!$G$7:$G$406,UCRETLER!$B$7:$B$406,$B88,UCRETLER!$F$7:$F$406,"Haftalık",UCRETLER!$H$7:$H$406,"Aktif"))</f>
        <v/>
      </c>
      <c r="E88" s="222">
        <f>IF($B88="","",SUMIFS(UCRETLER!$G$7:$G$406,UCRETLER!$B$7:$B$406,$B88,UCRETLER!$F$7:$F$406,"Aylık",UCRETLER!$H$7:$H$406,"Aktif"))</f>
        <v/>
      </c>
      <c r="F88" s="222">
        <f>IF($B88="","",SUMIFS(MUSTERILER!$J$7:$J$106,MUSTERILER!$B$7:$B$106,$B88))</f>
        <v/>
      </c>
      <c r="G88" s="222">
        <f>IF($B88="","",SUMIFS(UCRETLER!$I$7:$I$406,UCRETLER!$B$7:$B$406,$B88)+SUMIFS(GELIR_GIDER!$G$7:$G$1206,GELIR_GIDER!$T$7:$T$1206,$B88))</f>
        <v/>
      </c>
      <c r="H88" s="222">
        <f>IF($B88="","",$F88+$G88)</f>
        <v/>
      </c>
      <c r="I88" s="222">
        <f>IF($B88="","",SUMIFS(TAHSILAT!$F$7:$F$1506,TAHSILAT!$C$7:$C$1506,$B88))</f>
        <v/>
      </c>
      <c r="J88" s="222">
        <f>IF($B88="","",MAX(0,$H88-$I88))</f>
        <v/>
      </c>
      <c r="K88" s="222">
        <f>IF($B88="","",MAX(0,$J88-$L88-$M88-$N88))</f>
        <v/>
      </c>
      <c r="L88" s="222">
        <f>IF($B88="","",($AC88-$AD88)+IF(AND($AB88&gt;0,$T88&lt;&gt;"",$U88&gt;=8,$U88&lt;15),$AB88,0))</f>
        <v/>
      </c>
      <c r="M88" s="222">
        <f>IF($B88="","",($AD88-$AE88)+IF(AND($AB88&gt;0,$T88&lt;&gt;"",$U88&gt;=15,$U88&lt;29),$AB88,0))</f>
        <v/>
      </c>
      <c r="N88" s="222">
        <f>IF($B88="","",$AE88+IF(AND($AB88&gt;0,OR($T88="",$U88&gt;=29)),$AB88,0))</f>
        <v/>
      </c>
      <c r="O88" s="229">
        <f>IF($B88="","",IFERROR($I88/$H88,0))</f>
        <v/>
      </c>
      <c r="P88" s="224">
        <f>IF($B88="","",IFERROR(LOOKUP(2,1/(TAHSILAT!$C$7:$C$1506=$B88),TAHSILAT!$E$7:$E$1506),""))</f>
        <v/>
      </c>
      <c r="Q88" s="113">
        <f>IF($B88="","",IF($N88&gt;0,"KRİTİK",IF($M88&gt;0,"YÜKSEK",IF($L88&gt;0,"ORTA",IF($J88&gt;0,"İZLE","TEMİZ")))))</f>
        <v/>
      </c>
      <c r="R88" s="121">
        <f>IF($B88="","",IF($Q88="KRİTİK","Acil tahsilat görüşmesi ve cari mutabakat",IF($Q88="YÜKSEK","Bu hafta tahsilat takibi",IF($Q88="ORTA","Hatırlatma mesajı gönder",IF($Q88="İZLE","Normal takip","Aksiyon gerekmiyor")))))</f>
        <v/>
      </c>
      <c r="S88" s="227">
        <f>IF($B88="","",COUNTIFS(AKTIVITE!$D$7:$D$1006,$B88,AKTIVITE!$J$7:$J$1006,"&lt;&gt;Tamamlandı"))</f>
        <v/>
      </c>
      <c r="T88" s="224">
        <f>IF(OR($B88="",$AF88=""),"",IF(INDEX(MUSTERILER!$K$7:$K$106,$AF88)="","",INDEX(MUSTERILER!$K$7:$K$106,$AF88)))</f>
        <v/>
      </c>
      <c r="U88" s="227">
        <f>IF(OR($B88="",$T88=""),"",TODAY()-$T88)</f>
        <v/>
      </c>
      <c r="V88" s="222">
        <f>IF($B88="","",MAX(0,$I88-$H88))</f>
        <v/>
      </c>
      <c r="W88" s="113">
        <f>IF($B88="","",IF(AND(ABS($J88-($K88+$L88+$M88+$N88))&lt;0.01,ABS(($J88-$V88)-($H88-$I88))&lt;0.01),"UYGUN","İNCELE"))</f>
        <v/>
      </c>
      <c r="X88" s="6">
        <f>IF($B88="",0,SUMIFS(UCRETLER!$J$7:$J$406,UCRETLER!$B$7:$B$406,$B88))</f>
        <v/>
      </c>
      <c r="Y88" s="6">
        <f>IF($B88="",0,SUMIFS(UCRETLER!$K$7:$K$406,UCRETLER!$B$7:$B$406,$B88))</f>
        <v/>
      </c>
      <c r="Z88" s="3">
        <f>IF($B88="",0,SUMIFS(UCRETLER!$L$7:$L$406,UCRETLER!$B$7:$B$406,$B88))</f>
        <v/>
      </c>
      <c r="AA88" s="3">
        <f>IF($B88="",0,MAX(0,$I88-$F88))</f>
        <v/>
      </c>
      <c r="AB88" s="3">
        <f>IF($B88="",0,MAX(0,$F88-$I88))</f>
        <v/>
      </c>
      <c r="AC88" s="3">
        <f>IF($B88="",0,MAX(0,$X88-$AA88))</f>
        <v/>
      </c>
      <c r="AD88" s="3">
        <f>IF($B88="",0,MAX(0,$Y88-$AA88))</f>
        <v/>
      </c>
      <c r="AE88" s="3">
        <f>IF($B88="",0,MAX(0,$Z88-$AA88))</f>
        <v/>
      </c>
      <c r="AF88" s="3">
        <f>IFERROR(MATCH(ROW()-6,MUSTERILER!$U$7:$U$106,0),"")</f>
        <v/>
      </c>
      <c r="AG88" s="3">
        <f>IF($B88="",0,SUMIFS(GELIR_GIDER!$G$7:$G$1206,GELIR_GIDER!$T$7:$T$1206,$B88))</f>
        <v/>
      </c>
    </row>
    <row r="89">
      <c r="A89" s="6" t="n"/>
      <c r="B89" s="113">
        <f>IF($AF89="","",INDEX(MUSTERILER!$B$7:$B$106,$AF89))</f>
        <v/>
      </c>
      <c r="C89" s="121">
        <f>IF($AF89="","",INDEX(MUSTERILER!$C$7:$C$106,$AF89))</f>
        <v/>
      </c>
      <c r="D89" s="222">
        <f>IF($B89="","",SUMIFS(UCRETLER!$G$7:$G$406,UCRETLER!$B$7:$B$406,$B89,UCRETLER!$F$7:$F$406,"Haftalık",UCRETLER!$H$7:$H$406,"Aktif"))</f>
        <v/>
      </c>
      <c r="E89" s="222">
        <f>IF($B89="","",SUMIFS(UCRETLER!$G$7:$G$406,UCRETLER!$B$7:$B$406,$B89,UCRETLER!$F$7:$F$406,"Aylık",UCRETLER!$H$7:$H$406,"Aktif"))</f>
        <v/>
      </c>
      <c r="F89" s="222">
        <f>IF($B89="","",SUMIFS(MUSTERILER!$J$7:$J$106,MUSTERILER!$B$7:$B$106,$B89))</f>
        <v/>
      </c>
      <c r="G89" s="222">
        <f>IF($B89="","",SUMIFS(UCRETLER!$I$7:$I$406,UCRETLER!$B$7:$B$406,$B89)+SUMIFS(GELIR_GIDER!$G$7:$G$1206,GELIR_GIDER!$T$7:$T$1206,$B89))</f>
        <v/>
      </c>
      <c r="H89" s="222">
        <f>IF($B89="","",$F89+$G89)</f>
        <v/>
      </c>
      <c r="I89" s="222">
        <f>IF($B89="","",SUMIFS(TAHSILAT!$F$7:$F$1506,TAHSILAT!$C$7:$C$1506,$B89))</f>
        <v/>
      </c>
      <c r="J89" s="222">
        <f>IF($B89="","",MAX(0,$H89-$I89))</f>
        <v/>
      </c>
      <c r="K89" s="222">
        <f>IF($B89="","",MAX(0,$J89-$L89-$M89-$N89))</f>
        <v/>
      </c>
      <c r="L89" s="222">
        <f>IF($B89="","",($AC89-$AD89)+IF(AND($AB89&gt;0,$T89&lt;&gt;"",$U89&gt;=8,$U89&lt;15),$AB89,0))</f>
        <v/>
      </c>
      <c r="M89" s="222">
        <f>IF($B89="","",($AD89-$AE89)+IF(AND($AB89&gt;0,$T89&lt;&gt;"",$U89&gt;=15,$U89&lt;29),$AB89,0))</f>
        <v/>
      </c>
      <c r="N89" s="222">
        <f>IF($B89="","",$AE89+IF(AND($AB89&gt;0,OR($T89="",$U89&gt;=29)),$AB89,0))</f>
        <v/>
      </c>
      <c r="O89" s="229">
        <f>IF($B89="","",IFERROR($I89/$H89,0))</f>
        <v/>
      </c>
      <c r="P89" s="224">
        <f>IF($B89="","",IFERROR(LOOKUP(2,1/(TAHSILAT!$C$7:$C$1506=$B89),TAHSILAT!$E$7:$E$1506),""))</f>
        <v/>
      </c>
      <c r="Q89" s="113">
        <f>IF($B89="","",IF($N89&gt;0,"KRİTİK",IF($M89&gt;0,"YÜKSEK",IF($L89&gt;0,"ORTA",IF($J89&gt;0,"İZLE","TEMİZ")))))</f>
        <v/>
      </c>
      <c r="R89" s="121">
        <f>IF($B89="","",IF($Q89="KRİTİK","Acil tahsilat görüşmesi ve cari mutabakat",IF($Q89="YÜKSEK","Bu hafta tahsilat takibi",IF($Q89="ORTA","Hatırlatma mesajı gönder",IF($Q89="İZLE","Normal takip","Aksiyon gerekmiyor")))))</f>
        <v/>
      </c>
      <c r="S89" s="227">
        <f>IF($B89="","",COUNTIFS(AKTIVITE!$D$7:$D$1006,$B89,AKTIVITE!$J$7:$J$1006,"&lt;&gt;Tamamlandı"))</f>
        <v/>
      </c>
      <c r="T89" s="224">
        <f>IF(OR($B89="",$AF89=""),"",IF(INDEX(MUSTERILER!$K$7:$K$106,$AF89)="","",INDEX(MUSTERILER!$K$7:$K$106,$AF89)))</f>
        <v/>
      </c>
      <c r="U89" s="227">
        <f>IF(OR($B89="",$T89=""),"",TODAY()-$T89)</f>
        <v/>
      </c>
      <c r="V89" s="222">
        <f>IF($B89="","",MAX(0,$I89-$H89))</f>
        <v/>
      </c>
      <c r="W89" s="113">
        <f>IF($B89="","",IF(AND(ABS($J89-($K89+$L89+$M89+$N89))&lt;0.01,ABS(($J89-$V89)-($H89-$I89))&lt;0.01),"UYGUN","İNCELE"))</f>
        <v/>
      </c>
      <c r="X89" s="6">
        <f>IF($B89="",0,SUMIFS(UCRETLER!$J$7:$J$406,UCRETLER!$B$7:$B$406,$B89))</f>
        <v/>
      </c>
      <c r="Y89" s="6">
        <f>IF($B89="",0,SUMIFS(UCRETLER!$K$7:$K$406,UCRETLER!$B$7:$B$406,$B89))</f>
        <v/>
      </c>
      <c r="Z89" s="3">
        <f>IF($B89="",0,SUMIFS(UCRETLER!$L$7:$L$406,UCRETLER!$B$7:$B$406,$B89))</f>
        <v/>
      </c>
      <c r="AA89" s="3">
        <f>IF($B89="",0,MAX(0,$I89-$F89))</f>
        <v/>
      </c>
      <c r="AB89" s="3">
        <f>IF($B89="",0,MAX(0,$F89-$I89))</f>
        <v/>
      </c>
      <c r="AC89" s="3">
        <f>IF($B89="",0,MAX(0,$X89-$AA89))</f>
        <v/>
      </c>
      <c r="AD89" s="3">
        <f>IF($B89="",0,MAX(0,$Y89-$AA89))</f>
        <v/>
      </c>
      <c r="AE89" s="3">
        <f>IF($B89="",0,MAX(0,$Z89-$AA89))</f>
        <v/>
      </c>
      <c r="AF89" s="3">
        <f>IFERROR(MATCH(ROW()-6,MUSTERILER!$U$7:$U$106,0),"")</f>
        <v/>
      </c>
      <c r="AG89" s="3">
        <f>IF($B89="",0,SUMIFS(GELIR_GIDER!$G$7:$G$1206,GELIR_GIDER!$T$7:$T$1206,$B89))</f>
        <v/>
      </c>
    </row>
    <row r="90">
      <c r="A90" s="6" t="n"/>
      <c r="B90" s="113">
        <f>IF($AF90="","",INDEX(MUSTERILER!$B$7:$B$106,$AF90))</f>
        <v/>
      </c>
      <c r="C90" s="121">
        <f>IF($AF90="","",INDEX(MUSTERILER!$C$7:$C$106,$AF90))</f>
        <v/>
      </c>
      <c r="D90" s="222">
        <f>IF($B90="","",SUMIFS(UCRETLER!$G$7:$G$406,UCRETLER!$B$7:$B$406,$B90,UCRETLER!$F$7:$F$406,"Haftalık",UCRETLER!$H$7:$H$406,"Aktif"))</f>
        <v/>
      </c>
      <c r="E90" s="222">
        <f>IF($B90="","",SUMIFS(UCRETLER!$G$7:$G$406,UCRETLER!$B$7:$B$406,$B90,UCRETLER!$F$7:$F$406,"Aylık",UCRETLER!$H$7:$H$406,"Aktif"))</f>
        <v/>
      </c>
      <c r="F90" s="222">
        <f>IF($B90="","",SUMIFS(MUSTERILER!$J$7:$J$106,MUSTERILER!$B$7:$B$106,$B90))</f>
        <v/>
      </c>
      <c r="G90" s="222">
        <f>IF($B90="","",SUMIFS(UCRETLER!$I$7:$I$406,UCRETLER!$B$7:$B$406,$B90)+SUMIFS(GELIR_GIDER!$G$7:$G$1206,GELIR_GIDER!$T$7:$T$1206,$B90))</f>
        <v/>
      </c>
      <c r="H90" s="222">
        <f>IF($B90="","",$F90+$G90)</f>
        <v/>
      </c>
      <c r="I90" s="222">
        <f>IF($B90="","",SUMIFS(TAHSILAT!$F$7:$F$1506,TAHSILAT!$C$7:$C$1506,$B90))</f>
        <v/>
      </c>
      <c r="J90" s="222">
        <f>IF($B90="","",MAX(0,$H90-$I90))</f>
        <v/>
      </c>
      <c r="K90" s="222">
        <f>IF($B90="","",MAX(0,$J90-$L90-$M90-$N90))</f>
        <v/>
      </c>
      <c r="L90" s="222">
        <f>IF($B90="","",($AC90-$AD90)+IF(AND($AB90&gt;0,$T90&lt;&gt;"",$U90&gt;=8,$U90&lt;15),$AB90,0))</f>
        <v/>
      </c>
      <c r="M90" s="222">
        <f>IF($B90="","",($AD90-$AE90)+IF(AND($AB90&gt;0,$T90&lt;&gt;"",$U90&gt;=15,$U90&lt;29),$AB90,0))</f>
        <v/>
      </c>
      <c r="N90" s="222">
        <f>IF($B90="","",$AE90+IF(AND($AB90&gt;0,OR($T90="",$U90&gt;=29)),$AB90,0))</f>
        <v/>
      </c>
      <c r="O90" s="229">
        <f>IF($B90="","",IFERROR($I90/$H90,0))</f>
        <v/>
      </c>
      <c r="P90" s="224">
        <f>IF($B90="","",IFERROR(LOOKUP(2,1/(TAHSILAT!$C$7:$C$1506=$B90),TAHSILAT!$E$7:$E$1506),""))</f>
        <v/>
      </c>
      <c r="Q90" s="113">
        <f>IF($B90="","",IF($N90&gt;0,"KRİTİK",IF($M90&gt;0,"YÜKSEK",IF($L90&gt;0,"ORTA",IF($J90&gt;0,"İZLE","TEMİZ")))))</f>
        <v/>
      </c>
      <c r="R90" s="121">
        <f>IF($B90="","",IF($Q90="KRİTİK","Acil tahsilat görüşmesi ve cari mutabakat",IF($Q90="YÜKSEK","Bu hafta tahsilat takibi",IF($Q90="ORTA","Hatırlatma mesajı gönder",IF($Q90="İZLE","Normal takip","Aksiyon gerekmiyor")))))</f>
        <v/>
      </c>
      <c r="S90" s="227">
        <f>IF($B90="","",COUNTIFS(AKTIVITE!$D$7:$D$1006,$B90,AKTIVITE!$J$7:$J$1006,"&lt;&gt;Tamamlandı"))</f>
        <v/>
      </c>
      <c r="T90" s="224">
        <f>IF(OR($B90="",$AF90=""),"",IF(INDEX(MUSTERILER!$K$7:$K$106,$AF90)="","",INDEX(MUSTERILER!$K$7:$K$106,$AF90)))</f>
        <v/>
      </c>
      <c r="U90" s="227">
        <f>IF(OR($B90="",$T90=""),"",TODAY()-$T90)</f>
        <v/>
      </c>
      <c r="V90" s="222">
        <f>IF($B90="","",MAX(0,$I90-$H90))</f>
        <v/>
      </c>
      <c r="W90" s="113">
        <f>IF($B90="","",IF(AND(ABS($J90-($K90+$L90+$M90+$N90))&lt;0.01,ABS(($J90-$V90)-($H90-$I90))&lt;0.01),"UYGUN","İNCELE"))</f>
        <v/>
      </c>
      <c r="X90" s="6">
        <f>IF($B90="",0,SUMIFS(UCRETLER!$J$7:$J$406,UCRETLER!$B$7:$B$406,$B90))</f>
        <v/>
      </c>
      <c r="Y90" s="6">
        <f>IF($B90="",0,SUMIFS(UCRETLER!$K$7:$K$406,UCRETLER!$B$7:$B$406,$B90))</f>
        <v/>
      </c>
      <c r="Z90" s="3">
        <f>IF($B90="",0,SUMIFS(UCRETLER!$L$7:$L$406,UCRETLER!$B$7:$B$406,$B90))</f>
        <v/>
      </c>
      <c r="AA90" s="3">
        <f>IF($B90="",0,MAX(0,$I90-$F90))</f>
        <v/>
      </c>
      <c r="AB90" s="3">
        <f>IF($B90="",0,MAX(0,$F90-$I90))</f>
        <v/>
      </c>
      <c r="AC90" s="3">
        <f>IF($B90="",0,MAX(0,$X90-$AA90))</f>
        <v/>
      </c>
      <c r="AD90" s="3">
        <f>IF($B90="",0,MAX(0,$Y90-$AA90))</f>
        <v/>
      </c>
      <c r="AE90" s="3">
        <f>IF($B90="",0,MAX(0,$Z90-$AA90))</f>
        <v/>
      </c>
      <c r="AF90" s="3">
        <f>IFERROR(MATCH(ROW()-6,MUSTERILER!$U$7:$U$106,0),"")</f>
        <v/>
      </c>
      <c r="AG90" s="3">
        <f>IF($B90="",0,SUMIFS(GELIR_GIDER!$G$7:$G$1206,GELIR_GIDER!$T$7:$T$1206,$B90))</f>
        <v/>
      </c>
    </row>
    <row r="91">
      <c r="A91" s="6" t="n"/>
      <c r="B91" s="113">
        <f>IF($AF91="","",INDEX(MUSTERILER!$B$7:$B$106,$AF91))</f>
        <v/>
      </c>
      <c r="C91" s="121">
        <f>IF($AF91="","",INDEX(MUSTERILER!$C$7:$C$106,$AF91))</f>
        <v/>
      </c>
      <c r="D91" s="222">
        <f>IF($B91="","",SUMIFS(UCRETLER!$G$7:$G$406,UCRETLER!$B$7:$B$406,$B91,UCRETLER!$F$7:$F$406,"Haftalık",UCRETLER!$H$7:$H$406,"Aktif"))</f>
        <v/>
      </c>
      <c r="E91" s="222">
        <f>IF($B91="","",SUMIFS(UCRETLER!$G$7:$G$406,UCRETLER!$B$7:$B$406,$B91,UCRETLER!$F$7:$F$406,"Aylık",UCRETLER!$H$7:$H$406,"Aktif"))</f>
        <v/>
      </c>
      <c r="F91" s="222">
        <f>IF($B91="","",SUMIFS(MUSTERILER!$J$7:$J$106,MUSTERILER!$B$7:$B$106,$B91))</f>
        <v/>
      </c>
      <c r="G91" s="222">
        <f>IF($B91="","",SUMIFS(UCRETLER!$I$7:$I$406,UCRETLER!$B$7:$B$406,$B91)+SUMIFS(GELIR_GIDER!$G$7:$G$1206,GELIR_GIDER!$T$7:$T$1206,$B91))</f>
        <v/>
      </c>
      <c r="H91" s="222">
        <f>IF($B91="","",$F91+$G91)</f>
        <v/>
      </c>
      <c r="I91" s="222">
        <f>IF($B91="","",SUMIFS(TAHSILAT!$F$7:$F$1506,TAHSILAT!$C$7:$C$1506,$B91))</f>
        <v/>
      </c>
      <c r="J91" s="222">
        <f>IF($B91="","",MAX(0,$H91-$I91))</f>
        <v/>
      </c>
      <c r="K91" s="222">
        <f>IF($B91="","",MAX(0,$J91-$L91-$M91-$N91))</f>
        <v/>
      </c>
      <c r="L91" s="222">
        <f>IF($B91="","",($AC91-$AD91)+IF(AND($AB91&gt;0,$T91&lt;&gt;"",$U91&gt;=8,$U91&lt;15),$AB91,0))</f>
        <v/>
      </c>
      <c r="M91" s="222">
        <f>IF($B91="","",($AD91-$AE91)+IF(AND($AB91&gt;0,$T91&lt;&gt;"",$U91&gt;=15,$U91&lt;29),$AB91,0))</f>
        <v/>
      </c>
      <c r="N91" s="222">
        <f>IF($B91="","",$AE91+IF(AND($AB91&gt;0,OR($T91="",$U91&gt;=29)),$AB91,0))</f>
        <v/>
      </c>
      <c r="O91" s="229">
        <f>IF($B91="","",IFERROR($I91/$H91,0))</f>
        <v/>
      </c>
      <c r="P91" s="224">
        <f>IF($B91="","",IFERROR(LOOKUP(2,1/(TAHSILAT!$C$7:$C$1506=$B91),TAHSILAT!$E$7:$E$1506),""))</f>
        <v/>
      </c>
      <c r="Q91" s="113">
        <f>IF($B91="","",IF($N91&gt;0,"KRİTİK",IF($M91&gt;0,"YÜKSEK",IF($L91&gt;0,"ORTA",IF($J91&gt;0,"İZLE","TEMİZ")))))</f>
        <v/>
      </c>
      <c r="R91" s="121">
        <f>IF($B91="","",IF($Q91="KRİTİK","Acil tahsilat görüşmesi ve cari mutabakat",IF($Q91="YÜKSEK","Bu hafta tahsilat takibi",IF($Q91="ORTA","Hatırlatma mesajı gönder",IF($Q91="İZLE","Normal takip","Aksiyon gerekmiyor")))))</f>
        <v/>
      </c>
      <c r="S91" s="227">
        <f>IF($B91="","",COUNTIFS(AKTIVITE!$D$7:$D$1006,$B91,AKTIVITE!$J$7:$J$1006,"&lt;&gt;Tamamlandı"))</f>
        <v/>
      </c>
      <c r="T91" s="224">
        <f>IF(OR($B91="",$AF91=""),"",IF(INDEX(MUSTERILER!$K$7:$K$106,$AF91)="","",INDEX(MUSTERILER!$K$7:$K$106,$AF91)))</f>
        <v/>
      </c>
      <c r="U91" s="227">
        <f>IF(OR($B91="",$T91=""),"",TODAY()-$T91)</f>
        <v/>
      </c>
      <c r="V91" s="222">
        <f>IF($B91="","",MAX(0,$I91-$H91))</f>
        <v/>
      </c>
      <c r="W91" s="113">
        <f>IF($B91="","",IF(AND(ABS($J91-($K91+$L91+$M91+$N91))&lt;0.01,ABS(($J91-$V91)-($H91-$I91))&lt;0.01),"UYGUN","İNCELE"))</f>
        <v/>
      </c>
      <c r="X91" s="6">
        <f>IF($B91="",0,SUMIFS(UCRETLER!$J$7:$J$406,UCRETLER!$B$7:$B$406,$B91))</f>
        <v/>
      </c>
      <c r="Y91" s="6">
        <f>IF($B91="",0,SUMIFS(UCRETLER!$K$7:$K$406,UCRETLER!$B$7:$B$406,$B91))</f>
        <v/>
      </c>
      <c r="Z91" s="3">
        <f>IF($B91="",0,SUMIFS(UCRETLER!$L$7:$L$406,UCRETLER!$B$7:$B$406,$B91))</f>
        <v/>
      </c>
      <c r="AA91" s="3">
        <f>IF($B91="",0,MAX(0,$I91-$F91))</f>
        <v/>
      </c>
      <c r="AB91" s="3">
        <f>IF($B91="",0,MAX(0,$F91-$I91))</f>
        <v/>
      </c>
      <c r="AC91" s="3">
        <f>IF($B91="",0,MAX(0,$X91-$AA91))</f>
        <v/>
      </c>
      <c r="AD91" s="3">
        <f>IF($B91="",0,MAX(0,$Y91-$AA91))</f>
        <v/>
      </c>
      <c r="AE91" s="3">
        <f>IF($B91="",0,MAX(0,$Z91-$AA91))</f>
        <v/>
      </c>
      <c r="AF91" s="3">
        <f>IFERROR(MATCH(ROW()-6,MUSTERILER!$U$7:$U$106,0),"")</f>
        <v/>
      </c>
      <c r="AG91" s="3">
        <f>IF($B91="",0,SUMIFS(GELIR_GIDER!$G$7:$G$1206,GELIR_GIDER!$T$7:$T$1206,$B91))</f>
        <v/>
      </c>
    </row>
    <row r="92">
      <c r="A92" s="6" t="n"/>
      <c r="B92" s="113">
        <f>IF($AF92="","",INDEX(MUSTERILER!$B$7:$B$106,$AF92))</f>
        <v/>
      </c>
      <c r="C92" s="121">
        <f>IF($AF92="","",INDEX(MUSTERILER!$C$7:$C$106,$AF92))</f>
        <v/>
      </c>
      <c r="D92" s="222">
        <f>IF($B92="","",SUMIFS(UCRETLER!$G$7:$G$406,UCRETLER!$B$7:$B$406,$B92,UCRETLER!$F$7:$F$406,"Haftalık",UCRETLER!$H$7:$H$406,"Aktif"))</f>
        <v/>
      </c>
      <c r="E92" s="222">
        <f>IF($B92="","",SUMIFS(UCRETLER!$G$7:$G$406,UCRETLER!$B$7:$B$406,$B92,UCRETLER!$F$7:$F$406,"Aylık",UCRETLER!$H$7:$H$406,"Aktif"))</f>
        <v/>
      </c>
      <c r="F92" s="222">
        <f>IF($B92="","",SUMIFS(MUSTERILER!$J$7:$J$106,MUSTERILER!$B$7:$B$106,$B92))</f>
        <v/>
      </c>
      <c r="G92" s="222">
        <f>IF($B92="","",SUMIFS(UCRETLER!$I$7:$I$406,UCRETLER!$B$7:$B$406,$B92)+SUMIFS(GELIR_GIDER!$G$7:$G$1206,GELIR_GIDER!$T$7:$T$1206,$B92))</f>
        <v/>
      </c>
      <c r="H92" s="222">
        <f>IF($B92="","",$F92+$G92)</f>
        <v/>
      </c>
      <c r="I92" s="222">
        <f>IF($B92="","",SUMIFS(TAHSILAT!$F$7:$F$1506,TAHSILAT!$C$7:$C$1506,$B92))</f>
        <v/>
      </c>
      <c r="J92" s="222">
        <f>IF($B92="","",MAX(0,$H92-$I92))</f>
        <v/>
      </c>
      <c r="K92" s="222">
        <f>IF($B92="","",MAX(0,$J92-$L92-$M92-$N92))</f>
        <v/>
      </c>
      <c r="L92" s="222">
        <f>IF($B92="","",($AC92-$AD92)+IF(AND($AB92&gt;0,$T92&lt;&gt;"",$U92&gt;=8,$U92&lt;15),$AB92,0))</f>
        <v/>
      </c>
      <c r="M92" s="222">
        <f>IF($B92="","",($AD92-$AE92)+IF(AND($AB92&gt;0,$T92&lt;&gt;"",$U92&gt;=15,$U92&lt;29),$AB92,0))</f>
        <v/>
      </c>
      <c r="N92" s="222">
        <f>IF($B92="","",$AE92+IF(AND($AB92&gt;0,OR($T92="",$U92&gt;=29)),$AB92,0))</f>
        <v/>
      </c>
      <c r="O92" s="229">
        <f>IF($B92="","",IFERROR($I92/$H92,0))</f>
        <v/>
      </c>
      <c r="P92" s="224">
        <f>IF($B92="","",IFERROR(LOOKUP(2,1/(TAHSILAT!$C$7:$C$1506=$B92),TAHSILAT!$E$7:$E$1506),""))</f>
        <v/>
      </c>
      <c r="Q92" s="113">
        <f>IF($B92="","",IF($N92&gt;0,"KRİTİK",IF($M92&gt;0,"YÜKSEK",IF($L92&gt;0,"ORTA",IF($J92&gt;0,"İZLE","TEMİZ")))))</f>
        <v/>
      </c>
      <c r="R92" s="121">
        <f>IF($B92="","",IF($Q92="KRİTİK","Acil tahsilat görüşmesi ve cari mutabakat",IF($Q92="YÜKSEK","Bu hafta tahsilat takibi",IF($Q92="ORTA","Hatırlatma mesajı gönder",IF($Q92="İZLE","Normal takip","Aksiyon gerekmiyor")))))</f>
        <v/>
      </c>
      <c r="S92" s="227">
        <f>IF($B92="","",COUNTIFS(AKTIVITE!$D$7:$D$1006,$B92,AKTIVITE!$J$7:$J$1006,"&lt;&gt;Tamamlandı"))</f>
        <v/>
      </c>
      <c r="T92" s="224">
        <f>IF(OR($B92="",$AF92=""),"",IF(INDEX(MUSTERILER!$K$7:$K$106,$AF92)="","",INDEX(MUSTERILER!$K$7:$K$106,$AF92)))</f>
        <v/>
      </c>
      <c r="U92" s="227">
        <f>IF(OR($B92="",$T92=""),"",TODAY()-$T92)</f>
        <v/>
      </c>
      <c r="V92" s="222">
        <f>IF($B92="","",MAX(0,$I92-$H92))</f>
        <v/>
      </c>
      <c r="W92" s="113">
        <f>IF($B92="","",IF(AND(ABS($J92-($K92+$L92+$M92+$N92))&lt;0.01,ABS(($J92-$V92)-($H92-$I92))&lt;0.01),"UYGUN","İNCELE"))</f>
        <v/>
      </c>
      <c r="X92" s="6">
        <f>IF($B92="",0,SUMIFS(UCRETLER!$J$7:$J$406,UCRETLER!$B$7:$B$406,$B92))</f>
        <v/>
      </c>
      <c r="Y92" s="6">
        <f>IF($B92="",0,SUMIFS(UCRETLER!$K$7:$K$406,UCRETLER!$B$7:$B$406,$B92))</f>
        <v/>
      </c>
      <c r="Z92" s="3">
        <f>IF($B92="",0,SUMIFS(UCRETLER!$L$7:$L$406,UCRETLER!$B$7:$B$406,$B92))</f>
        <v/>
      </c>
      <c r="AA92" s="3">
        <f>IF($B92="",0,MAX(0,$I92-$F92))</f>
        <v/>
      </c>
      <c r="AB92" s="3">
        <f>IF($B92="",0,MAX(0,$F92-$I92))</f>
        <v/>
      </c>
      <c r="AC92" s="3">
        <f>IF($B92="",0,MAX(0,$X92-$AA92))</f>
        <v/>
      </c>
      <c r="AD92" s="3">
        <f>IF($B92="",0,MAX(0,$Y92-$AA92))</f>
        <v/>
      </c>
      <c r="AE92" s="3">
        <f>IF($B92="",0,MAX(0,$Z92-$AA92))</f>
        <v/>
      </c>
      <c r="AF92" s="3">
        <f>IFERROR(MATCH(ROW()-6,MUSTERILER!$U$7:$U$106,0),"")</f>
        <v/>
      </c>
      <c r="AG92" s="3">
        <f>IF($B92="",0,SUMIFS(GELIR_GIDER!$G$7:$G$1206,GELIR_GIDER!$T$7:$T$1206,$B92))</f>
        <v/>
      </c>
    </row>
    <row r="93">
      <c r="A93" s="6" t="n"/>
      <c r="B93" s="113">
        <f>IF($AF93="","",INDEX(MUSTERILER!$B$7:$B$106,$AF93))</f>
        <v/>
      </c>
      <c r="C93" s="121">
        <f>IF($AF93="","",INDEX(MUSTERILER!$C$7:$C$106,$AF93))</f>
        <v/>
      </c>
      <c r="D93" s="222">
        <f>IF($B93="","",SUMIFS(UCRETLER!$G$7:$G$406,UCRETLER!$B$7:$B$406,$B93,UCRETLER!$F$7:$F$406,"Haftalık",UCRETLER!$H$7:$H$406,"Aktif"))</f>
        <v/>
      </c>
      <c r="E93" s="222">
        <f>IF($B93="","",SUMIFS(UCRETLER!$G$7:$G$406,UCRETLER!$B$7:$B$406,$B93,UCRETLER!$F$7:$F$406,"Aylık",UCRETLER!$H$7:$H$406,"Aktif"))</f>
        <v/>
      </c>
      <c r="F93" s="222">
        <f>IF($B93="","",SUMIFS(MUSTERILER!$J$7:$J$106,MUSTERILER!$B$7:$B$106,$B93))</f>
        <v/>
      </c>
      <c r="G93" s="222">
        <f>IF($B93="","",SUMIFS(UCRETLER!$I$7:$I$406,UCRETLER!$B$7:$B$406,$B93)+SUMIFS(GELIR_GIDER!$G$7:$G$1206,GELIR_GIDER!$T$7:$T$1206,$B93))</f>
        <v/>
      </c>
      <c r="H93" s="222">
        <f>IF($B93="","",$F93+$G93)</f>
        <v/>
      </c>
      <c r="I93" s="222">
        <f>IF($B93="","",SUMIFS(TAHSILAT!$F$7:$F$1506,TAHSILAT!$C$7:$C$1506,$B93))</f>
        <v/>
      </c>
      <c r="J93" s="222">
        <f>IF($B93="","",MAX(0,$H93-$I93))</f>
        <v/>
      </c>
      <c r="K93" s="222">
        <f>IF($B93="","",MAX(0,$J93-$L93-$M93-$N93))</f>
        <v/>
      </c>
      <c r="L93" s="222">
        <f>IF($B93="","",($AC93-$AD93)+IF(AND($AB93&gt;0,$T93&lt;&gt;"",$U93&gt;=8,$U93&lt;15),$AB93,0))</f>
        <v/>
      </c>
      <c r="M93" s="222">
        <f>IF($B93="","",($AD93-$AE93)+IF(AND($AB93&gt;0,$T93&lt;&gt;"",$U93&gt;=15,$U93&lt;29),$AB93,0))</f>
        <v/>
      </c>
      <c r="N93" s="222">
        <f>IF($B93="","",$AE93+IF(AND($AB93&gt;0,OR($T93="",$U93&gt;=29)),$AB93,0))</f>
        <v/>
      </c>
      <c r="O93" s="229">
        <f>IF($B93="","",IFERROR($I93/$H93,0))</f>
        <v/>
      </c>
      <c r="P93" s="224">
        <f>IF($B93="","",IFERROR(LOOKUP(2,1/(TAHSILAT!$C$7:$C$1506=$B93),TAHSILAT!$E$7:$E$1506),""))</f>
        <v/>
      </c>
      <c r="Q93" s="113">
        <f>IF($B93="","",IF($N93&gt;0,"KRİTİK",IF($M93&gt;0,"YÜKSEK",IF($L93&gt;0,"ORTA",IF($J93&gt;0,"İZLE","TEMİZ")))))</f>
        <v/>
      </c>
      <c r="R93" s="121">
        <f>IF($B93="","",IF($Q93="KRİTİK","Acil tahsilat görüşmesi ve cari mutabakat",IF($Q93="YÜKSEK","Bu hafta tahsilat takibi",IF($Q93="ORTA","Hatırlatma mesajı gönder",IF($Q93="İZLE","Normal takip","Aksiyon gerekmiyor")))))</f>
        <v/>
      </c>
      <c r="S93" s="227">
        <f>IF($B93="","",COUNTIFS(AKTIVITE!$D$7:$D$1006,$B93,AKTIVITE!$J$7:$J$1006,"&lt;&gt;Tamamlandı"))</f>
        <v/>
      </c>
      <c r="T93" s="224">
        <f>IF(OR($B93="",$AF93=""),"",IF(INDEX(MUSTERILER!$K$7:$K$106,$AF93)="","",INDEX(MUSTERILER!$K$7:$K$106,$AF93)))</f>
        <v/>
      </c>
      <c r="U93" s="227">
        <f>IF(OR($B93="",$T93=""),"",TODAY()-$T93)</f>
        <v/>
      </c>
      <c r="V93" s="222">
        <f>IF($B93="","",MAX(0,$I93-$H93))</f>
        <v/>
      </c>
      <c r="W93" s="113">
        <f>IF($B93="","",IF(AND(ABS($J93-($K93+$L93+$M93+$N93))&lt;0.01,ABS(($J93-$V93)-($H93-$I93))&lt;0.01),"UYGUN","İNCELE"))</f>
        <v/>
      </c>
      <c r="X93" s="6">
        <f>IF($B93="",0,SUMIFS(UCRETLER!$J$7:$J$406,UCRETLER!$B$7:$B$406,$B93))</f>
        <v/>
      </c>
      <c r="Y93" s="6">
        <f>IF($B93="",0,SUMIFS(UCRETLER!$K$7:$K$406,UCRETLER!$B$7:$B$406,$B93))</f>
        <v/>
      </c>
      <c r="Z93" s="3">
        <f>IF($B93="",0,SUMIFS(UCRETLER!$L$7:$L$406,UCRETLER!$B$7:$B$406,$B93))</f>
        <v/>
      </c>
      <c r="AA93" s="3">
        <f>IF($B93="",0,MAX(0,$I93-$F93))</f>
        <v/>
      </c>
      <c r="AB93" s="3">
        <f>IF($B93="",0,MAX(0,$F93-$I93))</f>
        <v/>
      </c>
      <c r="AC93" s="3">
        <f>IF($B93="",0,MAX(0,$X93-$AA93))</f>
        <v/>
      </c>
      <c r="AD93" s="3">
        <f>IF($B93="",0,MAX(0,$Y93-$AA93))</f>
        <v/>
      </c>
      <c r="AE93" s="3">
        <f>IF($B93="",0,MAX(0,$Z93-$AA93))</f>
        <v/>
      </c>
      <c r="AF93" s="3">
        <f>IFERROR(MATCH(ROW()-6,MUSTERILER!$U$7:$U$106,0),"")</f>
        <v/>
      </c>
      <c r="AG93" s="3">
        <f>IF($B93="",0,SUMIFS(GELIR_GIDER!$G$7:$G$1206,GELIR_GIDER!$T$7:$T$1206,$B93))</f>
        <v/>
      </c>
    </row>
    <row r="94">
      <c r="A94" s="6" t="n"/>
      <c r="B94" s="113">
        <f>IF($AF94="","",INDEX(MUSTERILER!$B$7:$B$106,$AF94))</f>
        <v/>
      </c>
      <c r="C94" s="121">
        <f>IF($AF94="","",INDEX(MUSTERILER!$C$7:$C$106,$AF94))</f>
        <v/>
      </c>
      <c r="D94" s="222">
        <f>IF($B94="","",SUMIFS(UCRETLER!$G$7:$G$406,UCRETLER!$B$7:$B$406,$B94,UCRETLER!$F$7:$F$406,"Haftalık",UCRETLER!$H$7:$H$406,"Aktif"))</f>
        <v/>
      </c>
      <c r="E94" s="222">
        <f>IF($B94="","",SUMIFS(UCRETLER!$G$7:$G$406,UCRETLER!$B$7:$B$406,$B94,UCRETLER!$F$7:$F$406,"Aylık",UCRETLER!$H$7:$H$406,"Aktif"))</f>
        <v/>
      </c>
      <c r="F94" s="222">
        <f>IF($B94="","",SUMIFS(MUSTERILER!$J$7:$J$106,MUSTERILER!$B$7:$B$106,$B94))</f>
        <v/>
      </c>
      <c r="G94" s="222">
        <f>IF($B94="","",SUMIFS(UCRETLER!$I$7:$I$406,UCRETLER!$B$7:$B$406,$B94)+SUMIFS(GELIR_GIDER!$G$7:$G$1206,GELIR_GIDER!$T$7:$T$1206,$B94))</f>
        <v/>
      </c>
      <c r="H94" s="222">
        <f>IF($B94="","",$F94+$G94)</f>
        <v/>
      </c>
      <c r="I94" s="222">
        <f>IF($B94="","",SUMIFS(TAHSILAT!$F$7:$F$1506,TAHSILAT!$C$7:$C$1506,$B94))</f>
        <v/>
      </c>
      <c r="J94" s="222">
        <f>IF($B94="","",MAX(0,$H94-$I94))</f>
        <v/>
      </c>
      <c r="K94" s="222">
        <f>IF($B94="","",MAX(0,$J94-$L94-$M94-$N94))</f>
        <v/>
      </c>
      <c r="L94" s="222">
        <f>IF($B94="","",($AC94-$AD94)+IF(AND($AB94&gt;0,$T94&lt;&gt;"",$U94&gt;=8,$U94&lt;15),$AB94,0))</f>
        <v/>
      </c>
      <c r="M94" s="222">
        <f>IF($B94="","",($AD94-$AE94)+IF(AND($AB94&gt;0,$T94&lt;&gt;"",$U94&gt;=15,$U94&lt;29),$AB94,0))</f>
        <v/>
      </c>
      <c r="N94" s="222">
        <f>IF($B94="","",$AE94+IF(AND($AB94&gt;0,OR($T94="",$U94&gt;=29)),$AB94,0))</f>
        <v/>
      </c>
      <c r="O94" s="229">
        <f>IF($B94="","",IFERROR($I94/$H94,0))</f>
        <v/>
      </c>
      <c r="P94" s="224">
        <f>IF($B94="","",IFERROR(LOOKUP(2,1/(TAHSILAT!$C$7:$C$1506=$B94),TAHSILAT!$E$7:$E$1506),""))</f>
        <v/>
      </c>
      <c r="Q94" s="113">
        <f>IF($B94="","",IF($N94&gt;0,"KRİTİK",IF($M94&gt;0,"YÜKSEK",IF($L94&gt;0,"ORTA",IF($J94&gt;0,"İZLE","TEMİZ")))))</f>
        <v/>
      </c>
      <c r="R94" s="121">
        <f>IF($B94="","",IF($Q94="KRİTİK","Acil tahsilat görüşmesi ve cari mutabakat",IF($Q94="YÜKSEK","Bu hafta tahsilat takibi",IF($Q94="ORTA","Hatırlatma mesajı gönder",IF($Q94="İZLE","Normal takip","Aksiyon gerekmiyor")))))</f>
        <v/>
      </c>
      <c r="S94" s="227">
        <f>IF($B94="","",COUNTIFS(AKTIVITE!$D$7:$D$1006,$B94,AKTIVITE!$J$7:$J$1006,"&lt;&gt;Tamamlandı"))</f>
        <v/>
      </c>
      <c r="T94" s="224">
        <f>IF(OR($B94="",$AF94=""),"",IF(INDEX(MUSTERILER!$K$7:$K$106,$AF94)="","",INDEX(MUSTERILER!$K$7:$K$106,$AF94)))</f>
        <v/>
      </c>
      <c r="U94" s="227">
        <f>IF(OR($B94="",$T94=""),"",TODAY()-$T94)</f>
        <v/>
      </c>
      <c r="V94" s="222">
        <f>IF($B94="","",MAX(0,$I94-$H94))</f>
        <v/>
      </c>
      <c r="W94" s="113">
        <f>IF($B94="","",IF(AND(ABS($J94-($K94+$L94+$M94+$N94))&lt;0.01,ABS(($J94-$V94)-($H94-$I94))&lt;0.01),"UYGUN","İNCELE"))</f>
        <v/>
      </c>
      <c r="X94" s="6">
        <f>IF($B94="",0,SUMIFS(UCRETLER!$J$7:$J$406,UCRETLER!$B$7:$B$406,$B94))</f>
        <v/>
      </c>
      <c r="Y94" s="6">
        <f>IF($B94="",0,SUMIFS(UCRETLER!$K$7:$K$406,UCRETLER!$B$7:$B$406,$B94))</f>
        <v/>
      </c>
      <c r="Z94" s="3">
        <f>IF($B94="",0,SUMIFS(UCRETLER!$L$7:$L$406,UCRETLER!$B$7:$B$406,$B94))</f>
        <v/>
      </c>
      <c r="AA94" s="3">
        <f>IF($B94="",0,MAX(0,$I94-$F94))</f>
        <v/>
      </c>
      <c r="AB94" s="3">
        <f>IF($B94="",0,MAX(0,$F94-$I94))</f>
        <v/>
      </c>
      <c r="AC94" s="3">
        <f>IF($B94="",0,MAX(0,$X94-$AA94))</f>
        <v/>
      </c>
      <c r="AD94" s="3">
        <f>IF($B94="",0,MAX(0,$Y94-$AA94))</f>
        <v/>
      </c>
      <c r="AE94" s="3">
        <f>IF($B94="",0,MAX(0,$Z94-$AA94))</f>
        <v/>
      </c>
      <c r="AF94" s="3">
        <f>IFERROR(MATCH(ROW()-6,MUSTERILER!$U$7:$U$106,0),"")</f>
        <v/>
      </c>
      <c r="AG94" s="3">
        <f>IF($B94="",0,SUMIFS(GELIR_GIDER!$G$7:$G$1206,GELIR_GIDER!$T$7:$T$1206,$B94))</f>
        <v/>
      </c>
    </row>
    <row r="95">
      <c r="A95" s="6" t="n"/>
      <c r="B95" s="113">
        <f>IF($AF95="","",INDEX(MUSTERILER!$B$7:$B$106,$AF95))</f>
        <v/>
      </c>
      <c r="C95" s="121">
        <f>IF($AF95="","",INDEX(MUSTERILER!$C$7:$C$106,$AF95))</f>
        <v/>
      </c>
      <c r="D95" s="222">
        <f>IF($B95="","",SUMIFS(UCRETLER!$G$7:$G$406,UCRETLER!$B$7:$B$406,$B95,UCRETLER!$F$7:$F$406,"Haftalık",UCRETLER!$H$7:$H$406,"Aktif"))</f>
        <v/>
      </c>
      <c r="E95" s="222">
        <f>IF($B95="","",SUMIFS(UCRETLER!$G$7:$G$406,UCRETLER!$B$7:$B$406,$B95,UCRETLER!$F$7:$F$406,"Aylık",UCRETLER!$H$7:$H$406,"Aktif"))</f>
        <v/>
      </c>
      <c r="F95" s="222">
        <f>IF($B95="","",SUMIFS(MUSTERILER!$J$7:$J$106,MUSTERILER!$B$7:$B$106,$B95))</f>
        <v/>
      </c>
      <c r="G95" s="222">
        <f>IF($B95="","",SUMIFS(UCRETLER!$I$7:$I$406,UCRETLER!$B$7:$B$406,$B95)+SUMIFS(GELIR_GIDER!$G$7:$G$1206,GELIR_GIDER!$T$7:$T$1206,$B95))</f>
        <v/>
      </c>
      <c r="H95" s="222">
        <f>IF($B95="","",$F95+$G95)</f>
        <v/>
      </c>
      <c r="I95" s="222">
        <f>IF($B95="","",SUMIFS(TAHSILAT!$F$7:$F$1506,TAHSILAT!$C$7:$C$1506,$B95))</f>
        <v/>
      </c>
      <c r="J95" s="222">
        <f>IF($B95="","",MAX(0,$H95-$I95))</f>
        <v/>
      </c>
      <c r="K95" s="222">
        <f>IF($B95="","",MAX(0,$J95-$L95-$M95-$N95))</f>
        <v/>
      </c>
      <c r="L95" s="222">
        <f>IF($B95="","",($AC95-$AD95)+IF(AND($AB95&gt;0,$T95&lt;&gt;"",$U95&gt;=8,$U95&lt;15),$AB95,0))</f>
        <v/>
      </c>
      <c r="M95" s="222">
        <f>IF($B95="","",($AD95-$AE95)+IF(AND($AB95&gt;0,$T95&lt;&gt;"",$U95&gt;=15,$U95&lt;29),$AB95,0))</f>
        <v/>
      </c>
      <c r="N95" s="222">
        <f>IF($B95="","",$AE95+IF(AND($AB95&gt;0,OR($T95="",$U95&gt;=29)),$AB95,0))</f>
        <v/>
      </c>
      <c r="O95" s="229">
        <f>IF($B95="","",IFERROR($I95/$H95,0))</f>
        <v/>
      </c>
      <c r="P95" s="224">
        <f>IF($B95="","",IFERROR(LOOKUP(2,1/(TAHSILAT!$C$7:$C$1506=$B95),TAHSILAT!$E$7:$E$1506),""))</f>
        <v/>
      </c>
      <c r="Q95" s="113">
        <f>IF($B95="","",IF($N95&gt;0,"KRİTİK",IF($M95&gt;0,"YÜKSEK",IF($L95&gt;0,"ORTA",IF($J95&gt;0,"İZLE","TEMİZ")))))</f>
        <v/>
      </c>
      <c r="R95" s="121">
        <f>IF($B95="","",IF($Q95="KRİTİK","Acil tahsilat görüşmesi ve cari mutabakat",IF($Q95="YÜKSEK","Bu hafta tahsilat takibi",IF($Q95="ORTA","Hatırlatma mesajı gönder",IF($Q95="İZLE","Normal takip","Aksiyon gerekmiyor")))))</f>
        <v/>
      </c>
      <c r="S95" s="227">
        <f>IF($B95="","",COUNTIFS(AKTIVITE!$D$7:$D$1006,$B95,AKTIVITE!$J$7:$J$1006,"&lt;&gt;Tamamlandı"))</f>
        <v/>
      </c>
      <c r="T95" s="224">
        <f>IF(OR($B95="",$AF95=""),"",IF(INDEX(MUSTERILER!$K$7:$K$106,$AF95)="","",INDEX(MUSTERILER!$K$7:$K$106,$AF95)))</f>
        <v/>
      </c>
      <c r="U95" s="227">
        <f>IF(OR($B95="",$T95=""),"",TODAY()-$T95)</f>
        <v/>
      </c>
      <c r="V95" s="222">
        <f>IF($B95="","",MAX(0,$I95-$H95))</f>
        <v/>
      </c>
      <c r="W95" s="113">
        <f>IF($B95="","",IF(AND(ABS($J95-($K95+$L95+$M95+$N95))&lt;0.01,ABS(($J95-$V95)-($H95-$I95))&lt;0.01),"UYGUN","İNCELE"))</f>
        <v/>
      </c>
      <c r="X95" s="6">
        <f>IF($B95="",0,SUMIFS(UCRETLER!$J$7:$J$406,UCRETLER!$B$7:$B$406,$B95))</f>
        <v/>
      </c>
      <c r="Y95" s="6">
        <f>IF($B95="",0,SUMIFS(UCRETLER!$K$7:$K$406,UCRETLER!$B$7:$B$406,$B95))</f>
        <v/>
      </c>
      <c r="Z95" s="3">
        <f>IF($B95="",0,SUMIFS(UCRETLER!$L$7:$L$406,UCRETLER!$B$7:$B$406,$B95))</f>
        <v/>
      </c>
      <c r="AA95" s="3">
        <f>IF($B95="",0,MAX(0,$I95-$F95))</f>
        <v/>
      </c>
      <c r="AB95" s="3">
        <f>IF($B95="",0,MAX(0,$F95-$I95))</f>
        <v/>
      </c>
      <c r="AC95" s="3">
        <f>IF($B95="",0,MAX(0,$X95-$AA95))</f>
        <v/>
      </c>
      <c r="AD95" s="3">
        <f>IF($B95="",0,MAX(0,$Y95-$AA95))</f>
        <v/>
      </c>
      <c r="AE95" s="3">
        <f>IF($B95="",0,MAX(0,$Z95-$AA95))</f>
        <v/>
      </c>
      <c r="AF95" s="3">
        <f>IFERROR(MATCH(ROW()-6,MUSTERILER!$U$7:$U$106,0),"")</f>
        <v/>
      </c>
      <c r="AG95" s="3">
        <f>IF($B95="",0,SUMIFS(GELIR_GIDER!$G$7:$G$1206,GELIR_GIDER!$T$7:$T$1206,$B95))</f>
        <v/>
      </c>
    </row>
    <row r="96">
      <c r="A96" s="6" t="n"/>
      <c r="B96" s="113">
        <f>IF($AF96="","",INDEX(MUSTERILER!$B$7:$B$106,$AF96))</f>
        <v/>
      </c>
      <c r="C96" s="121">
        <f>IF($AF96="","",INDEX(MUSTERILER!$C$7:$C$106,$AF96))</f>
        <v/>
      </c>
      <c r="D96" s="222">
        <f>IF($B96="","",SUMIFS(UCRETLER!$G$7:$G$406,UCRETLER!$B$7:$B$406,$B96,UCRETLER!$F$7:$F$406,"Haftalık",UCRETLER!$H$7:$H$406,"Aktif"))</f>
        <v/>
      </c>
      <c r="E96" s="222">
        <f>IF($B96="","",SUMIFS(UCRETLER!$G$7:$G$406,UCRETLER!$B$7:$B$406,$B96,UCRETLER!$F$7:$F$406,"Aylık",UCRETLER!$H$7:$H$406,"Aktif"))</f>
        <v/>
      </c>
      <c r="F96" s="222">
        <f>IF($B96="","",SUMIFS(MUSTERILER!$J$7:$J$106,MUSTERILER!$B$7:$B$106,$B96))</f>
        <v/>
      </c>
      <c r="G96" s="222">
        <f>IF($B96="","",SUMIFS(UCRETLER!$I$7:$I$406,UCRETLER!$B$7:$B$406,$B96)+SUMIFS(GELIR_GIDER!$G$7:$G$1206,GELIR_GIDER!$T$7:$T$1206,$B96))</f>
        <v/>
      </c>
      <c r="H96" s="222">
        <f>IF($B96="","",$F96+$G96)</f>
        <v/>
      </c>
      <c r="I96" s="222">
        <f>IF($B96="","",SUMIFS(TAHSILAT!$F$7:$F$1506,TAHSILAT!$C$7:$C$1506,$B96))</f>
        <v/>
      </c>
      <c r="J96" s="222">
        <f>IF($B96="","",MAX(0,$H96-$I96))</f>
        <v/>
      </c>
      <c r="K96" s="222">
        <f>IF($B96="","",MAX(0,$J96-$L96-$M96-$N96))</f>
        <v/>
      </c>
      <c r="L96" s="222">
        <f>IF($B96="","",($AC96-$AD96)+IF(AND($AB96&gt;0,$T96&lt;&gt;"",$U96&gt;=8,$U96&lt;15),$AB96,0))</f>
        <v/>
      </c>
      <c r="M96" s="222">
        <f>IF($B96="","",($AD96-$AE96)+IF(AND($AB96&gt;0,$T96&lt;&gt;"",$U96&gt;=15,$U96&lt;29),$AB96,0))</f>
        <v/>
      </c>
      <c r="N96" s="222">
        <f>IF($B96="","",$AE96+IF(AND($AB96&gt;0,OR($T96="",$U96&gt;=29)),$AB96,0))</f>
        <v/>
      </c>
      <c r="O96" s="229">
        <f>IF($B96="","",IFERROR($I96/$H96,0))</f>
        <v/>
      </c>
      <c r="P96" s="224">
        <f>IF($B96="","",IFERROR(LOOKUP(2,1/(TAHSILAT!$C$7:$C$1506=$B96),TAHSILAT!$E$7:$E$1506),""))</f>
        <v/>
      </c>
      <c r="Q96" s="113">
        <f>IF($B96="","",IF($N96&gt;0,"KRİTİK",IF($M96&gt;0,"YÜKSEK",IF($L96&gt;0,"ORTA",IF($J96&gt;0,"İZLE","TEMİZ")))))</f>
        <v/>
      </c>
      <c r="R96" s="121">
        <f>IF($B96="","",IF($Q96="KRİTİK","Acil tahsilat görüşmesi ve cari mutabakat",IF($Q96="YÜKSEK","Bu hafta tahsilat takibi",IF($Q96="ORTA","Hatırlatma mesajı gönder",IF($Q96="İZLE","Normal takip","Aksiyon gerekmiyor")))))</f>
        <v/>
      </c>
      <c r="S96" s="227">
        <f>IF($B96="","",COUNTIFS(AKTIVITE!$D$7:$D$1006,$B96,AKTIVITE!$J$7:$J$1006,"&lt;&gt;Tamamlandı"))</f>
        <v/>
      </c>
      <c r="T96" s="224">
        <f>IF(OR($B96="",$AF96=""),"",IF(INDEX(MUSTERILER!$K$7:$K$106,$AF96)="","",INDEX(MUSTERILER!$K$7:$K$106,$AF96)))</f>
        <v/>
      </c>
      <c r="U96" s="227">
        <f>IF(OR($B96="",$T96=""),"",TODAY()-$T96)</f>
        <v/>
      </c>
      <c r="V96" s="222">
        <f>IF($B96="","",MAX(0,$I96-$H96))</f>
        <v/>
      </c>
      <c r="W96" s="113">
        <f>IF($B96="","",IF(AND(ABS($J96-($K96+$L96+$M96+$N96))&lt;0.01,ABS(($J96-$V96)-($H96-$I96))&lt;0.01),"UYGUN","İNCELE"))</f>
        <v/>
      </c>
      <c r="X96" s="6">
        <f>IF($B96="",0,SUMIFS(UCRETLER!$J$7:$J$406,UCRETLER!$B$7:$B$406,$B96))</f>
        <v/>
      </c>
      <c r="Y96" s="6">
        <f>IF($B96="",0,SUMIFS(UCRETLER!$K$7:$K$406,UCRETLER!$B$7:$B$406,$B96))</f>
        <v/>
      </c>
      <c r="Z96" s="3">
        <f>IF($B96="",0,SUMIFS(UCRETLER!$L$7:$L$406,UCRETLER!$B$7:$B$406,$B96))</f>
        <v/>
      </c>
      <c r="AA96" s="3">
        <f>IF($B96="",0,MAX(0,$I96-$F96))</f>
        <v/>
      </c>
      <c r="AB96" s="3">
        <f>IF($B96="",0,MAX(0,$F96-$I96))</f>
        <v/>
      </c>
      <c r="AC96" s="3">
        <f>IF($B96="",0,MAX(0,$X96-$AA96))</f>
        <v/>
      </c>
      <c r="AD96" s="3">
        <f>IF($B96="",0,MAX(0,$Y96-$AA96))</f>
        <v/>
      </c>
      <c r="AE96" s="3">
        <f>IF($B96="",0,MAX(0,$Z96-$AA96))</f>
        <v/>
      </c>
      <c r="AF96" s="3">
        <f>IFERROR(MATCH(ROW()-6,MUSTERILER!$U$7:$U$106,0),"")</f>
        <v/>
      </c>
      <c r="AG96" s="3">
        <f>IF($B96="",0,SUMIFS(GELIR_GIDER!$G$7:$G$1206,GELIR_GIDER!$T$7:$T$1206,$B96))</f>
        <v/>
      </c>
    </row>
    <row r="97">
      <c r="A97" s="6" t="n"/>
      <c r="B97" s="113">
        <f>IF($AF97="","",INDEX(MUSTERILER!$B$7:$B$106,$AF97))</f>
        <v/>
      </c>
      <c r="C97" s="121">
        <f>IF($AF97="","",INDEX(MUSTERILER!$C$7:$C$106,$AF97))</f>
        <v/>
      </c>
      <c r="D97" s="222">
        <f>IF($B97="","",SUMIFS(UCRETLER!$G$7:$G$406,UCRETLER!$B$7:$B$406,$B97,UCRETLER!$F$7:$F$406,"Haftalık",UCRETLER!$H$7:$H$406,"Aktif"))</f>
        <v/>
      </c>
      <c r="E97" s="222">
        <f>IF($B97="","",SUMIFS(UCRETLER!$G$7:$G$406,UCRETLER!$B$7:$B$406,$B97,UCRETLER!$F$7:$F$406,"Aylık",UCRETLER!$H$7:$H$406,"Aktif"))</f>
        <v/>
      </c>
      <c r="F97" s="222">
        <f>IF($B97="","",SUMIFS(MUSTERILER!$J$7:$J$106,MUSTERILER!$B$7:$B$106,$B97))</f>
        <v/>
      </c>
      <c r="G97" s="222">
        <f>IF($B97="","",SUMIFS(UCRETLER!$I$7:$I$406,UCRETLER!$B$7:$B$406,$B97)+SUMIFS(GELIR_GIDER!$G$7:$G$1206,GELIR_GIDER!$T$7:$T$1206,$B97))</f>
        <v/>
      </c>
      <c r="H97" s="222">
        <f>IF($B97="","",$F97+$G97)</f>
        <v/>
      </c>
      <c r="I97" s="222">
        <f>IF($B97="","",SUMIFS(TAHSILAT!$F$7:$F$1506,TAHSILAT!$C$7:$C$1506,$B97))</f>
        <v/>
      </c>
      <c r="J97" s="222">
        <f>IF($B97="","",MAX(0,$H97-$I97))</f>
        <v/>
      </c>
      <c r="K97" s="222">
        <f>IF($B97="","",MAX(0,$J97-$L97-$M97-$N97))</f>
        <v/>
      </c>
      <c r="L97" s="222">
        <f>IF($B97="","",($AC97-$AD97)+IF(AND($AB97&gt;0,$T97&lt;&gt;"",$U97&gt;=8,$U97&lt;15),$AB97,0))</f>
        <v/>
      </c>
      <c r="M97" s="222">
        <f>IF($B97="","",($AD97-$AE97)+IF(AND($AB97&gt;0,$T97&lt;&gt;"",$U97&gt;=15,$U97&lt;29),$AB97,0))</f>
        <v/>
      </c>
      <c r="N97" s="222">
        <f>IF($B97="","",$AE97+IF(AND($AB97&gt;0,OR($T97="",$U97&gt;=29)),$AB97,0))</f>
        <v/>
      </c>
      <c r="O97" s="229">
        <f>IF($B97="","",IFERROR($I97/$H97,0))</f>
        <v/>
      </c>
      <c r="P97" s="224">
        <f>IF($B97="","",IFERROR(LOOKUP(2,1/(TAHSILAT!$C$7:$C$1506=$B97),TAHSILAT!$E$7:$E$1506),""))</f>
        <v/>
      </c>
      <c r="Q97" s="113">
        <f>IF($B97="","",IF($N97&gt;0,"KRİTİK",IF($M97&gt;0,"YÜKSEK",IF($L97&gt;0,"ORTA",IF($J97&gt;0,"İZLE","TEMİZ")))))</f>
        <v/>
      </c>
      <c r="R97" s="121">
        <f>IF($B97="","",IF($Q97="KRİTİK","Acil tahsilat görüşmesi ve cari mutabakat",IF($Q97="YÜKSEK","Bu hafta tahsilat takibi",IF($Q97="ORTA","Hatırlatma mesajı gönder",IF($Q97="İZLE","Normal takip","Aksiyon gerekmiyor")))))</f>
        <v/>
      </c>
      <c r="S97" s="227">
        <f>IF($B97="","",COUNTIFS(AKTIVITE!$D$7:$D$1006,$B97,AKTIVITE!$J$7:$J$1006,"&lt;&gt;Tamamlandı"))</f>
        <v/>
      </c>
      <c r="T97" s="224">
        <f>IF(OR($B97="",$AF97=""),"",IF(INDEX(MUSTERILER!$K$7:$K$106,$AF97)="","",INDEX(MUSTERILER!$K$7:$K$106,$AF97)))</f>
        <v/>
      </c>
      <c r="U97" s="227">
        <f>IF(OR($B97="",$T97=""),"",TODAY()-$T97)</f>
        <v/>
      </c>
      <c r="V97" s="222">
        <f>IF($B97="","",MAX(0,$I97-$H97))</f>
        <v/>
      </c>
      <c r="W97" s="113">
        <f>IF($B97="","",IF(AND(ABS($J97-($K97+$L97+$M97+$N97))&lt;0.01,ABS(($J97-$V97)-($H97-$I97))&lt;0.01),"UYGUN","İNCELE"))</f>
        <v/>
      </c>
      <c r="X97" s="6">
        <f>IF($B97="",0,SUMIFS(UCRETLER!$J$7:$J$406,UCRETLER!$B$7:$B$406,$B97))</f>
        <v/>
      </c>
      <c r="Y97" s="6">
        <f>IF($B97="",0,SUMIFS(UCRETLER!$K$7:$K$406,UCRETLER!$B$7:$B$406,$B97))</f>
        <v/>
      </c>
      <c r="Z97" s="3">
        <f>IF($B97="",0,SUMIFS(UCRETLER!$L$7:$L$406,UCRETLER!$B$7:$B$406,$B97))</f>
        <v/>
      </c>
      <c r="AA97" s="3">
        <f>IF($B97="",0,MAX(0,$I97-$F97))</f>
        <v/>
      </c>
      <c r="AB97" s="3">
        <f>IF($B97="",0,MAX(0,$F97-$I97))</f>
        <v/>
      </c>
      <c r="AC97" s="3">
        <f>IF($B97="",0,MAX(0,$X97-$AA97))</f>
        <v/>
      </c>
      <c r="AD97" s="3">
        <f>IF($B97="",0,MAX(0,$Y97-$AA97))</f>
        <v/>
      </c>
      <c r="AE97" s="3">
        <f>IF($B97="",0,MAX(0,$Z97-$AA97))</f>
        <v/>
      </c>
      <c r="AF97" s="3">
        <f>IFERROR(MATCH(ROW()-6,MUSTERILER!$U$7:$U$106,0),"")</f>
        <v/>
      </c>
      <c r="AG97" s="3">
        <f>IF($B97="",0,SUMIFS(GELIR_GIDER!$G$7:$G$1206,GELIR_GIDER!$T$7:$T$1206,$B97))</f>
        <v/>
      </c>
    </row>
    <row r="98">
      <c r="A98" s="6" t="n"/>
      <c r="B98" s="113">
        <f>IF($AF98="","",INDEX(MUSTERILER!$B$7:$B$106,$AF98))</f>
        <v/>
      </c>
      <c r="C98" s="121">
        <f>IF($AF98="","",INDEX(MUSTERILER!$C$7:$C$106,$AF98))</f>
        <v/>
      </c>
      <c r="D98" s="222">
        <f>IF($B98="","",SUMIFS(UCRETLER!$G$7:$G$406,UCRETLER!$B$7:$B$406,$B98,UCRETLER!$F$7:$F$406,"Haftalık",UCRETLER!$H$7:$H$406,"Aktif"))</f>
        <v/>
      </c>
      <c r="E98" s="222">
        <f>IF($B98="","",SUMIFS(UCRETLER!$G$7:$G$406,UCRETLER!$B$7:$B$406,$B98,UCRETLER!$F$7:$F$406,"Aylık",UCRETLER!$H$7:$H$406,"Aktif"))</f>
        <v/>
      </c>
      <c r="F98" s="222">
        <f>IF($B98="","",SUMIFS(MUSTERILER!$J$7:$J$106,MUSTERILER!$B$7:$B$106,$B98))</f>
        <v/>
      </c>
      <c r="G98" s="222">
        <f>IF($B98="","",SUMIFS(UCRETLER!$I$7:$I$406,UCRETLER!$B$7:$B$406,$B98)+SUMIFS(GELIR_GIDER!$G$7:$G$1206,GELIR_GIDER!$T$7:$T$1206,$B98))</f>
        <v/>
      </c>
      <c r="H98" s="222">
        <f>IF($B98="","",$F98+$G98)</f>
        <v/>
      </c>
      <c r="I98" s="222">
        <f>IF($B98="","",SUMIFS(TAHSILAT!$F$7:$F$1506,TAHSILAT!$C$7:$C$1506,$B98))</f>
        <v/>
      </c>
      <c r="J98" s="222">
        <f>IF($B98="","",MAX(0,$H98-$I98))</f>
        <v/>
      </c>
      <c r="K98" s="222">
        <f>IF($B98="","",MAX(0,$J98-$L98-$M98-$N98))</f>
        <v/>
      </c>
      <c r="L98" s="222">
        <f>IF($B98="","",($AC98-$AD98)+IF(AND($AB98&gt;0,$T98&lt;&gt;"",$U98&gt;=8,$U98&lt;15),$AB98,0))</f>
        <v/>
      </c>
      <c r="M98" s="222">
        <f>IF($B98="","",($AD98-$AE98)+IF(AND($AB98&gt;0,$T98&lt;&gt;"",$U98&gt;=15,$U98&lt;29),$AB98,0))</f>
        <v/>
      </c>
      <c r="N98" s="222">
        <f>IF($B98="","",$AE98+IF(AND($AB98&gt;0,OR($T98="",$U98&gt;=29)),$AB98,0))</f>
        <v/>
      </c>
      <c r="O98" s="229">
        <f>IF($B98="","",IFERROR($I98/$H98,0))</f>
        <v/>
      </c>
      <c r="P98" s="224">
        <f>IF($B98="","",IFERROR(LOOKUP(2,1/(TAHSILAT!$C$7:$C$1506=$B98),TAHSILAT!$E$7:$E$1506),""))</f>
        <v/>
      </c>
      <c r="Q98" s="113">
        <f>IF($B98="","",IF($N98&gt;0,"KRİTİK",IF($M98&gt;0,"YÜKSEK",IF($L98&gt;0,"ORTA",IF($J98&gt;0,"İZLE","TEMİZ")))))</f>
        <v/>
      </c>
      <c r="R98" s="121">
        <f>IF($B98="","",IF($Q98="KRİTİK","Acil tahsilat görüşmesi ve cari mutabakat",IF($Q98="YÜKSEK","Bu hafta tahsilat takibi",IF($Q98="ORTA","Hatırlatma mesajı gönder",IF($Q98="İZLE","Normal takip","Aksiyon gerekmiyor")))))</f>
        <v/>
      </c>
      <c r="S98" s="227">
        <f>IF($B98="","",COUNTIFS(AKTIVITE!$D$7:$D$1006,$B98,AKTIVITE!$J$7:$J$1006,"&lt;&gt;Tamamlandı"))</f>
        <v/>
      </c>
      <c r="T98" s="224">
        <f>IF(OR($B98="",$AF98=""),"",IF(INDEX(MUSTERILER!$K$7:$K$106,$AF98)="","",INDEX(MUSTERILER!$K$7:$K$106,$AF98)))</f>
        <v/>
      </c>
      <c r="U98" s="227">
        <f>IF(OR($B98="",$T98=""),"",TODAY()-$T98)</f>
        <v/>
      </c>
      <c r="V98" s="222">
        <f>IF($B98="","",MAX(0,$I98-$H98))</f>
        <v/>
      </c>
      <c r="W98" s="113">
        <f>IF($B98="","",IF(AND(ABS($J98-($K98+$L98+$M98+$N98))&lt;0.01,ABS(($J98-$V98)-($H98-$I98))&lt;0.01),"UYGUN","İNCELE"))</f>
        <v/>
      </c>
      <c r="X98" s="6">
        <f>IF($B98="",0,SUMIFS(UCRETLER!$J$7:$J$406,UCRETLER!$B$7:$B$406,$B98))</f>
        <v/>
      </c>
      <c r="Y98" s="6">
        <f>IF($B98="",0,SUMIFS(UCRETLER!$K$7:$K$406,UCRETLER!$B$7:$B$406,$B98))</f>
        <v/>
      </c>
      <c r="Z98" s="3">
        <f>IF($B98="",0,SUMIFS(UCRETLER!$L$7:$L$406,UCRETLER!$B$7:$B$406,$B98))</f>
        <v/>
      </c>
      <c r="AA98" s="3">
        <f>IF($B98="",0,MAX(0,$I98-$F98))</f>
        <v/>
      </c>
      <c r="AB98" s="3">
        <f>IF($B98="",0,MAX(0,$F98-$I98))</f>
        <v/>
      </c>
      <c r="AC98" s="3">
        <f>IF($B98="",0,MAX(0,$X98-$AA98))</f>
        <v/>
      </c>
      <c r="AD98" s="3">
        <f>IF($B98="",0,MAX(0,$Y98-$AA98))</f>
        <v/>
      </c>
      <c r="AE98" s="3">
        <f>IF($B98="",0,MAX(0,$Z98-$AA98))</f>
        <v/>
      </c>
      <c r="AF98" s="3">
        <f>IFERROR(MATCH(ROW()-6,MUSTERILER!$U$7:$U$106,0),"")</f>
        <v/>
      </c>
      <c r="AG98" s="3">
        <f>IF($B98="",0,SUMIFS(GELIR_GIDER!$G$7:$G$1206,GELIR_GIDER!$T$7:$T$1206,$B98))</f>
        <v/>
      </c>
    </row>
    <row r="99">
      <c r="A99" s="6" t="n"/>
      <c r="B99" s="113">
        <f>IF($AF99="","",INDEX(MUSTERILER!$B$7:$B$106,$AF99))</f>
        <v/>
      </c>
      <c r="C99" s="121">
        <f>IF($AF99="","",INDEX(MUSTERILER!$C$7:$C$106,$AF99))</f>
        <v/>
      </c>
      <c r="D99" s="222">
        <f>IF($B99="","",SUMIFS(UCRETLER!$G$7:$G$406,UCRETLER!$B$7:$B$406,$B99,UCRETLER!$F$7:$F$406,"Haftalık",UCRETLER!$H$7:$H$406,"Aktif"))</f>
        <v/>
      </c>
      <c r="E99" s="222">
        <f>IF($B99="","",SUMIFS(UCRETLER!$G$7:$G$406,UCRETLER!$B$7:$B$406,$B99,UCRETLER!$F$7:$F$406,"Aylık",UCRETLER!$H$7:$H$406,"Aktif"))</f>
        <v/>
      </c>
      <c r="F99" s="222">
        <f>IF($B99="","",SUMIFS(MUSTERILER!$J$7:$J$106,MUSTERILER!$B$7:$B$106,$B99))</f>
        <v/>
      </c>
      <c r="G99" s="222">
        <f>IF($B99="","",SUMIFS(UCRETLER!$I$7:$I$406,UCRETLER!$B$7:$B$406,$B99)+SUMIFS(GELIR_GIDER!$G$7:$G$1206,GELIR_GIDER!$T$7:$T$1206,$B99))</f>
        <v/>
      </c>
      <c r="H99" s="222">
        <f>IF($B99="","",$F99+$G99)</f>
        <v/>
      </c>
      <c r="I99" s="222">
        <f>IF($B99="","",SUMIFS(TAHSILAT!$F$7:$F$1506,TAHSILAT!$C$7:$C$1506,$B99))</f>
        <v/>
      </c>
      <c r="J99" s="222">
        <f>IF($B99="","",MAX(0,$H99-$I99))</f>
        <v/>
      </c>
      <c r="K99" s="222">
        <f>IF($B99="","",MAX(0,$J99-$L99-$M99-$N99))</f>
        <v/>
      </c>
      <c r="L99" s="222">
        <f>IF($B99="","",($AC99-$AD99)+IF(AND($AB99&gt;0,$T99&lt;&gt;"",$U99&gt;=8,$U99&lt;15),$AB99,0))</f>
        <v/>
      </c>
      <c r="M99" s="222">
        <f>IF($B99="","",($AD99-$AE99)+IF(AND($AB99&gt;0,$T99&lt;&gt;"",$U99&gt;=15,$U99&lt;29),$AB99,0))</f>
        <v/>
      </c>
      <c r="N99" s="222">
        <f>IF($B99="","",$AE99+IF(AND($AB99&gt;0,OR($T99="",$U99&gt;=29)),$AB99,0))</f>
        <v/>
      </c>
      <c r="O99" s="229">
        <f>IF($B99="","",IFERROR($I99/$H99,0))</f>
        <v/>
      </c>
      <c r="P99" s="224">
        <f>IF($B99="","",IFERROR(LOOKUP(2,1/(TAHSILAT!$C$7:$C$1506=$B99),TAHSILAT!$E$7:$E$1506),""))</f>
        <v/>
      </c>
      <c r="Q99" s="113">
        <f>IF($B99="","",IF($N99&gt;0,"KRİTİK",IF($M99&gt;0,"YÜKSEK",IF($L99&gt;0,"ORTA",IF($J99&gt;0,"İZLE","TEMİZ")))))</f>
        <v/>
      </c>
      <c r="R99" s="121">
        <f>IF($B99="","",IF($Q99="KRİTİK","Acil tahsilat görüşmesi ve cari mutabakat",IF($Q99="YÜKSEK","Bu hafta tahsilat takibi",IF($Q99="ORTA","Hatırlatma mesajı gönder",IF($Q99="İZLE","Normal takip","Aksiyon gerekmiyor")))))</f>
        <v/>
      </c>
      <c r="S99" s="227">
        <f>IF($B99="","",COUNTIFS(AKTIVITE!$D$7:$D$1006,$B99,AKTIVITE!$J$7:$J$1006,"&lt;&gt;Tamamlandı"))</f>
        <v/>
      </c>
      <c r="T99" s="224">
        <f>IF(OR($B99="",$AF99=""),"",IF(INDEX(MUSTERILER!$K$7:$K$106,$AF99)="","",INDEX(MUSTERILER!$K$7:$K$106,$AF99)))</f>
        <v/>
      </c>
      <c r="U99" s="227">
        <f>IF(OR($B99="",$T99=""),"",TODAY()-$T99)</f>
        <v/>
      </c>
      <c r="V99" s="222">
        <f>IF($B99="","",MAX(0,$I99-$H99))</f>
        <v/>
      </c>
      <c r="W99" s="113">
        <f>IF($B99="","",IF(AND(ABS($J99-($K99+$L99+$M99+$N99))&lt;0.01,ABS(($J99-$V99)-($H99-$I99))&lt;0.01),"UYGUN","İNCELE"))</f>
        <v/>
      </c>
      <c r="X99" s="6">
        <f>IF($B99="",0,SUMIFS(UCRETLER!$J$7:$J$406,UCRETLER!$B$7:$B$406,$B99))</f>
        <v/>
      </c>
      <c r="Y99" s="6">
        <f>IF($B99="",0,SUMIFS(UCRETLER!$K$7:$K$406,UCRETLER!$B$7:$B$406,$B99))</f>
        <v/>
      </c>
      <c r="Z99" s="3">
        <f>IF($B99="",0,SUMIFS(UCRETLER!$L$7:$L$406,UCRETLER!$B$7:$B$406,$B99))</f>
        <v/>
      </c>
      <c r="AA99" s="3">
        <f>IF($B99="",0,MAX(0,$I99-$F99))</f>
        <v/>
      </c>
      <c r="AB99" s="3">
        <f>IF($B99="",0,MAX(0,$F99-$I99))</f>
        <v/>
      </c>
      <c r="AC99" s="3">
        <f>IF($B99="",0,MAX(0,$X99-$AA99))</f>
        <v/>
      </c>
      <c r="AD99" s="3">
        <f>IF($B99="",0,MAX(0,$Y99-$AA99))</f>
        <v/>
      </c>
      <c r="AE99" s="3">
        <f>IF($B99="",0,MAX(0,$Z99-$AA99))</f>
        <v/>
      </c>
      <c r="AF99" s="3">
        <f>IFERROR(MATCH(ROW()-6,MUSTERILER!$U$7:$U$106,0),"")</f>
        <v/>
      </c>
      <c r="AG99" s="3">
        <f>IF($B99="",0,SUMIFS(GELIR_GIDER!$G$7:$G$1206,GELIR_GIDER!$T$7:$T$1206,$B99))</f>
        <v/>
      </c>
    </row>
    <row r="100">
      <c r="A100" s="6" t="n"/>
      <c r="B100" s="113">
        <f>IF($AF100="","",INDEX(MUSTERILER!$B$7:$B$106,$AF100))</f>
        <v/>
      </c>
      <c r="C100" s="121">
        <f>IF($AF100="","",INDEX(MUSTERILER!$C$7:$C$106,$AF100))</f>
        <v/>
      </c>
      <c r="D100" s="222">
        <f>IF($B100="","",SUMIFS(UCRETLER!$G$7:$G$406,UCRETLER!$B$7:$B$406,$B100,UCRETLER!$F$7:$F$406,"Haftalık",UCRETLER!$H$7:$H$406,"Aktif"))</f>
        <v/>
      </c>
      <c r="E100" s="222">
        <f>IF($B100="","",SUMIFS(UCRETLER!$G$7:$G$406,UCRETLER!$B$7:$B$406,$B100,UCRETLER!$F$7:$F$406,"Aylık",UCRETLER!$H$7:$H$406,"Aktif"))</f>
        <v/>
      </c>
      <c r="F100" s="222">
        <f>IF($B100="","",SUMIFS(MUSTERILER!$J$7:$J$106,MUSTERILER!$B$7:$B$106,$B100))</f>
        <v/>
      </c>
      <c r="G100" s="222">
        <f>IF($B100="","",SUMIFS(UCRETLER!$I$7:$I$406,UCRETLER!$B$7:$B$406,$B100)+SUMIFS(GELIR_GIDER!$G$7:$G$1206,GELIR_GIDER!$T$7:$T$1206,$B100))</f>
        <v/>
      </c>
      <c r="H100" s="222">
        <f>IF($B100="","",$F100+$G100)</f>
        <v/>
      </c>
      <c r="I100" s="222">
        <f>IF($B100="","",SUMIFS(TAHSILAT!$F$7:$F$1506,TAHSILAT!$C$7:$C$1506,$B100))</f>
        <v/>
      </c>
      <c r="J100" s="222">
        <f>IF($B100="","",MAX(0,$H100-$I100))</f>
        <v/>
      </c>
      <c r="K100" s="222">
        <f>IF($B100="","",MAX(0,$J100-$L100-$M100-$N100))</f>
        <v/>
      </c>
      <c r="L100" s="222">
        <f>IF($B100="","",($AC100-$AD100)+IF(AND($AB100&gt;0,$T100&lt;&gt;"",$U100&gt;=8,$U100&lt;15),$AB100,0))</f>
        <v/>
      </c>
      <c r="M100" s="222">
        <f>IF($B100="","",($AD100-$AE100)+IF(AND($AB100&gt;0,$T100&lt;&gt;"",$U100&gt;=15,$U100&lt;29),$AB100,0))</f>
        <v/>
      </c>
      <c r="N100" s="222">
        <f>IF($B100="","",$AE100+IF(AND($AB100&gt;0,OR($T100="",$U100&gt;=29)),$AB100,0))</f>
        <v/>
      </c>
      <c r="O100" s="229">
        <f>IF($B100="","",IFERROR($I100/$H100,0))</f>
        <v/>
      </c>
      <c r="P100" s="224">
        <f>IF($B100="","",IFERROR(LOOKUP(2,1/(TAHSILAT!$C$7:$C$1506=$B100),TAHSILAT!$E$7:$E$1506),""))</f>
        <v/>
      </c>
      <c r="Q100" s="113">
        <f>IF($B100="","",IF($N100&gt;0,"KRİTİK",IF($M100&gt;0,"YÜKSEK",IF($L100&gt;0,"ORTA",IF($J100&gt;0,"İZLE","TEMİZ")))))</f>
        <v/>
      </c>
      <c r="R100" s="121">
        <f>IF($B100="","",IF($Q100="KRİTİK","Acil tahsilat görüşmesi ve cari mutabakat",IF($Q100="YÜKSEK","Bu hafta tahsilat takibi",IF($Q100="ORTA","Hatırlatma mesajı gönder",IF($Q100="İZLE","Normal takip","Aksiyon gerekmiyor")))))</f>
        <v/>
      </c>
      <c r="S100" s="227">
        <f>IF($B100="","",COUNTIFS(AKTIVITE!$D$7:$D$1006,$B100,AKTIVITE!$J$7:$J$1006,"&lt;&gt;Tamamlandı"))</f>
        <v/>
      </c>
      <c r="T100" s="224">
        <f>IF(OR($B100="",$AF100=""),"",IF(INDEX(MUSTERILER!$K$7:$K$106,$AF100)="","",INDEX(MUSTERILER!$K$7:$K$106,$AF100)))</f>
        <v/>
      </c>
      <c r="U100" s="227">
        <f>IF(OR($B100="",$T100=""),"",TODAY()-$T100)</f>
        <v/>
      </c>
      <c r="V100" s="222">
        <f>IF($B100="","",MAX(0,$I100-$H100))</f>
        <v/>
      </c>
      <c r="W100" s="113">
        <f>IF($B100="","",IF(AND(ABS($J100-($K100+$L100+$M100+$N100))&lt;0.01,ABS(($J100-$V100)-($H100-$I100))&lt;0.01),"UYGUN","İNCELE"))</f>
        <v/>
      </c>
      <c r="X100" s="6">
        <f>IF($B100="",0,SUMIFS(UCRETLER!$J$7:$J$406,UCRETLER!$B$7:$B$406,$B100))</f>
        <v/>
      </c>
      <c r="Y100" s="6">
        <f>IF($B100="",0,SUMIFS(UCRETLER!$K$7:$K$406,UCRETLER!$B$7:$B$406,$B100))</f>
        <v/>
      </c>
      <c r="Z100" s="3">
        <f>IF($B100="",0,SUMIFS(UCRETLER!$L$7:$L$406,UCRETLER!$B$7:$B$406,$B100))</f>
        <v/>
      </c>
      <c r="AA100" s="3">
        <f>IF($B100="",0,MAX(0,$I100-$F100))</f>
        <v/>
      </c>
      <c r="AB100" s="3">
        <f>IF($B100="",0,MAX(0,$F100-$I100))</f>
        <v/>
      </c>
      <c r="AC100" s="3">
        <f>IF($B100="",0,MAX(0,$X100-$AA100))</f>
        <v/>
      </c>
      <c r="AD100" s="3">
        <f>IF($B100="",0,MAX(0,$Y100-$AA100))</f>
        <v/>
      </c>
      <c r="AE100" s="3">
        <f>IF($B100="",0,MAX(0,$Z100-$AA100))</f>
        <v/>
      </c>
      <c r="AF100" s="3">
        <f>IFERROR(MATCH(ROW()-6,MUSTERILER!$U$7:$U$106,0),"")</f>
        <v/>
      </c>
      <c r="AG100" s="3">
        <f>IF($B100="",0,SUMIFS(GELIR_GIDER!$G$7:$G$1206,GELIR_GIDER!$T$7:$T$1206,$B100))</f>
        <v/>
      </c>
    </row>
    <row r="101">
      <c r="A101" s="6" t="n"/>
      <c r="B101" s="113">
        <f>IF($AF101="","",INDEX(MUSTERILER!$B$7:$B$106,$AF101))</f>
        <v/>
      </c>
      <c r="C101" s="121">
        <f>IF($AF101="","",INDEX(MUSTERILER!$C$7:$C$106,$AF101))</f>
        <v/>
      </c>
      <c r="D101" s="222">
        <f>IF($B101="","",SUMIFS(UCRETLER!$G$7:$G$406,UCRETLER!$B$7:$B$406,$B101,UCRETLER!$F$7:$F$406,"Haftalık",UCRETLER!$H$7:$H$406,"Aktif"))</f>
        <v/>
      </c>
      <c r="E101" s="222">
        <f>IF($B101="","",SUMIFS(UCRETLER!$G$7:$G$406,UCRETLER!$B$7:$B$406,$B101,UCRETLER!$F$7:$F$406,"Aylık",UCRETLER!$H$7:$H$406,"Aktif"))</f>
        <v/>
      </c>
      <c r="F101" s="222">
        <f>IF($B101="","",SUMIFS(MUSTERILER!$J$7:$J$106,MUSTERILER!$B$7:$B$106,$B101))</f>
        <v/>
      </c>
      <c r="G101" s="222">
        <f>IF($B101="","",SUMIFS(UCRETLER!$I$7:$I$406,UCRETLER!$B$7:$B$406,$B101)+SUMIFS(GELIR_GIDER!$G$7:$G$1206,GELIR_GIDER!$T$7:$T$1206,$B101))</f>
        <v/>
      </c>
      <c r="H101" s="222">
        <f>IF($B101="","",$F101+$G101)</f>
        <v/>
      </c>
      <c r="I101" s="222">
        <f>IF($B101="","",SUMIFS(TAHSILAT!$F$7:$F$1506,TAHSILAT!$C$7:$C$1506,$B101))</f>
        <v/>
      </c>
      <c r="J101" s="222">
        <f>IF($B101="","",MAX(0,$H101-$I101))</f>
        <v/>
      </c>
      <c r="K101" s="222">
        <f>IF($B101="","",MAX(0,$J101-$L101-$M101-$N101))</f>
        <v/>
      </c>
      <c r="L101" s="222">
        <f>IF($B101="","",($AC101-$AD101)+IF(AND($AB101&gt;0,$T101&lt;&gt;"",$U101&gt;=8,$U101&lt;15),$AB101,0))</f>
        <v/>
      </c>
      <c r="M101" s="222">
        <f>IF($B101="","",($AD101-$AE101)+IF(AND($AB101&gt;0,$T101&lt;&gt;"",$U101&gt;=15,$U101&lt;29),$AB101,0))</f>
        <v/>
      </c>
      <c r="N101" s="222">
        <f>IF($B101="","",$AE101+IF(AND($AB101&gt;0,OR($T101="",$U101&gt;=29)),$AB101,0))</f>
        <v/>
      </c>
      <c r="O101" s="229">
        <f>IF($B101="","",IFERROR($I101/$H101,0))</f>
        <v/>
      </c>
      <c r="P101" s="224">
        <f>IF($B101="","",IFERROR(LOOKUP(2,1/(TAHSILAT!$C$7:$C$1506=$B101),TAHSILAT!$E$7:$E$1506),""))</f>
        <v/>
      </c>
      <c r="Q101" s="113">
        <f>IF($B101="","",IF($N101&gt;0,"KRİTİK",IF($M101&gt;0,"YÜKSEK",IF($L101&gt;0,"ORTA",IF($J101&gt;0,"İZLE","TEMİZ")))))</f>
        <v/>
      </c>
      <c r="R101" s="121">
        <f>IF($B101="","",IF($Q101="KRİTİK","Acil tahsilat görüşmesi ve cari mutabakat",IF($Q101="YÜKSEK","Bu hafta tahsilat takibi",IF($Q101="ORTA","Hatırlatma mesajı gönder",IF($Q101="İZLE","Normal takip","Aksiyon gerekmiyor")))))</f>
        <v/>
      </c>
      <c r="S101" s="227">
        <f>IF($B101="","",COUNTIFS(AKTIVITE!$D$7:$D$1006,$B101,AKTIVITE!$J$7:$J$1006,"&lt;&gt;Tamamlandı"))</f>
        <v/>
      </c>
      <c r="T101" s="224">
        <f>IF(OR($B101="",$AF101=""),"",IF(INDEX(MUSTERILER!$K$7:$K$106,$AF101)="","",INDEX(MUSTERILER!$K$7:$K$106,$AF101)))</f>
        <v/>
      </c>
      <c r="U101" s="227">
        <f>IF(OR($B101="",$T101=""),"",TODAY()-$T101)</f>
        <v/>
      </c>
      <c r="V101" s="222">
        <f>IF($B101="","",MAX(0,$I101-$H101))</f>
        <v/>
      </c>
      <c r="W101" s="113">
        <f>IF($B101="","",IF(AND(ABS($J101-($K101+$L101+$M101+$N101))&lt;0.01,ABS(($J101-$V101)-($H101-$I101))&lt;0.01),"UYGUN","İNCELE"))</f>
        <v/>
      </c>
      <c r="X101" s="6">
        <f>IF($B101="",0,SUMIFS(UCRETLER!$J$7:$J$406,UCRETLER!$B$7:$B$406,$B101))</f>
        <v/>
      </c>
      <c r="Y101" s="6">
        <f>IF($B101="",0,SUMIFS(UCRETLER!$K$7:$K$406,UCRETLER!$B$7:$B$406,$B101))</f>
        <v/>
      </c>
      <c r="Z101" s="3">
        <f>IF($B101="",0,SUMIFS(UCRETLER!$L$7:$L$406,UCRETLER!$B$7:$B$406,$B101))</f>
        <v/>
      </c>
      <c r="AA101" s="3">
        <f>IF($B101="",0,MAX(0,$I101-$F101))</f>
        <v/>
      </c>
      <c r="AB101" s="3">
        <f>IF($B101="",0,MAX(0,$F101-$I101))</f>
        <v/>
      </c>
      <c r="AC101" s="3">
        <f>IF($B101="",0,MAX(0,$X101-$AA101))</f>
        <v/>
      </c>
      <c r="AD101" s="3">
        <f>IF($B101="",0,MAX(0,$Y101-$AA101))</f>
        <v/>
      </c>
      <c r="AE101" s="3">
        <f>IF($B101="",0,MAX(0,$Z101-$AA101))</f>
        <v/>
      </c>
      <c r="AF101" s="3">
        <f>IFERROR(MATCH(ROW()-6,MUSTERILER!$U$7:$U$106,0),"")</f>
        <v/>
      </c>
      <c r="AG101" s="3">
        <f>IF($B101="",0,SUMIFS(GELIR_GIDER!$G$7:$G$1206,GELIR_GIDER!$T$7:$T$1206,$B101))</f>
        <v/>
      </c>
    </row>
    <row r="102">
      <c r="A102" s="6" t="n"/>
      <c r="B102" s="113">
        <f>IF($AF102="","",INDEX(MUSTERILER!$B$7:$B$106,$AF102))</f>
        <v/>
      </c>
      <c r="C102" s="121">
        <f>IF($AF102="","",INDEX(MUSTERILER!$C$7:$C$106,$AF102))</f>
        <v/>
      </c>
      <c r="D102" s="222">
        <f>IF($B102="","",SUMIFS(UCRETLER!$G$7:$G$406,UCRETLER!$B$7:$B$406,$B102,UCRETLER!$F$7:$F$406,"Haftalık",UCRETLER!$H$7:$H$406,"Aktif"))</f>
        <v/>
      </c>
      <c r="E102" s="222">
        <f>IF($B102="","",SUMIFS(UCRETLER!$G$7:$G$406,UCRETLER!$B$7:$B$406,$B102,UCRETLER!$F$7:$F$406,"Aylık",UCRETLER!$H$7:$H$406,"Aktif"))</f>
        <v/>
      </c>
      <c r="F102" s="222">
        <f>IF($B102="","",SUMIFS(MUSTERILER!$J$7:$J$106,MUSTERILER!$B$7:$B$106,$B102))</f>
        <v/>
      </c>
      <c r="G102" s="222">
        <f>IF($B102="","",SUMIFS(UCRETLER!$I$7:$I$406,UCRETLER!$B$7:$B$406,$B102)+SUMIFS(GELIR_GIDER!$G$7:$G$1206,GELIR_GIDER!$T$7:$T$1206,$B102))</f>
        <v/>
      </c>
      <c r="H102" s="222">
        <f>IF($B102="","",$F102+$G102)</f>
        <v/>
      </c>
      <c r="I102" s="222">
        <f>IF($B102="","",SUMIFS(TAHSILAT!$F$7:$F$1506,TAHSILAT!$C$7:$C$1506,$B102))</f>
        <v/>
      </c>
      <c r="J102" s="222">
        <f>IF($B102="","",MAX(0,$H102-$I102))</f>
        <v/>
      </c>
      <c r="K102" s="222">
        <f>IF($B102="","",MAX(0,$J102-$L102-$M102-$N102))</f>
        <v/>
      </c>
      <c r="L102" s="222">
        <f>IF($B102="","",($AC102-$AD102)+IF(AND($AB102&gt;0,$T102&lt;&gt;"",$U102&gt;=8,$U102&lt;15),$AB102,0))</f>
        <v/>
      </c>
      <c r="M102" s="222">
        <f>IF($B102="","",($AD102-$AE102)+IF(AND($AB102&gt;0,$T102&lt;&gt;"",$U102&gt;=15,$U102&lt;29),$AB102,0))</f>
        <v/>
      </c>
      <c r="N102" s="222">
        <f>IF($B102="","",$AE102+IF(AND($AB102&gt;0,OR($T102="",$U102&gt;=29)),$AB102,0))</f>
        <v/>
      </c>
      <c r="O102" s="229">
        <f>IF($B102="","",IFERROR($I102/$H102,0))</f>
        <v/>
      </c>
      <c r="P102" s="224">
        <f>IF($B102="","",IFERROR(LOOKUP(2,1/(TAHSILAT!$C$7:$C$1506=$B102),TAHSILAT!$E$7:$E$1506),""))</f>
        <v/>
      </c>
      <c r="Q102" s="113">
        <f>IF($B102="","",IF($N102&gt;0,"KRİTİK",IF($M102&gt;0,"YÜKSEK",IF($L102&gt;0,"ORTA",IF($J102&gt;0,"İZLE","TEMİZ")))))</f>
        <v/>
      </c>
      <c r="R102" s="121">
        <f>IF($B102="","",IF($Q102="KRİTİK","Acil tahsilat görüşmesi ve cari mutabakat",IF($Q102="YÜKSEK","Bu hafta tahsilat takibi",IF($Q102="ORTA","Hatırlatma mesajı gönder",IF($Q102="İZLE","Normal takip","Aksiyon gerekmiyor")))))</f>
        <v/>
      </c>
      <c r="S102" s="227">
        <f>IF($B102="","",COUNTIFS(AKTIVITE!$D$7:$D$1006,$B102,AKTIVITE!$J$7:$J$1006,"&lt;&gt;Tamamlandı"))</f>
        <v/>
      </c>
      <c r="T102" s="224">
        <f>IF(OR($B102="",$AF102=""),"",IF(INDEX(MUSTERILER!$K$7:$K$106,$AF102)="","",INDEX(MUSTERILER!$K$7:$K$106,$AF102)))</f>
        <v/>
      </c>
      <c r="U102" s="227">
        <f>IF(OR($B102="",$T102=""),"",TODAY()-$T102)</f>
        <v/>
      </c>
      <c r="V102" s="222">
        <f>IF($B102="","",MAX(0,$I102-$H102))</f>
        <v/>
      </c>
      <c r="W102" s="113">
        <f>IF($B102="","",IF(AND(ABS($J102-($K102+$L102+$M102+$N102))&lt;0.01,ABS(($J102-$V102)-($H102-$I102))&lt;0.01),"UYGUN","İNCELE"))</f>
        <v/>
      </c>
      <c r="X102" s="6">
        <f>IF($B102="",0,SUMIFS(UCRETLER!$J$7:$J$406,UCRETLER!$B$7:$B$406,$B102))</f>
        <v/>
      </c>
      <c r="Y102" s="6">
        <f>IF($B102="",0,SUMIFS(UCRETLER!$K$7:$K$406,UCRETLER!$B$7:$B$406,$B102))</f>
        <v/>
      </c>
      <c r="Z102" s="3">
        <f>IF($B102="",0,SUMIFS(UCRETLER!$L$7:$L$406,UCRETLER!$B$7:$B$406,$B102))</f>
        <v/>
      </c>
      <c r="AA102" s="3">
        <f>IF($B102="",0,MAX(0,$I102-$F102))</f>
        <v/>
      </c>
      <c r="AB102" s="3">
        <f>IF($B102="",0,MAX(0,$F102-$I102))</f>
        <v/>
      </c>
      <c r="AC102" s="3">
        <f>IF($B102="",0,MAX(0,$X102-$AA102))</f>
        <v/>
      </c>
      <c r="AD102" s="3">
        <f>IF($B102="",0,MAX(0,$Y102-$AA102))</f>
        <v/>
      </c>
      <c r="AE102" s="3">
        <f>IF($B102="",0,MAX(0,$Z102-$AA102))</f>
        <v/>
      </c>
      <c r="AF102" s="3">
        <f>IFERROR(MATCH(ROW()-6,MUSTERILER!$U$7:$U$106,0),"")</f>
        <v/>
      </c>
      <c r="AG102" s="3">
        <f>IF($B102="",0,SUMIFS(GELIR_GIDER!$G$7:$G$1206,GELIR_GIDER!$T$7:$T$1206,$B102))</f>
        <v/>
      </c>
    </row>
    <row r="103">
      <c r="A103" s="6" t="n"/>
      <c r="B103" s="113">
        <f>IF($AF103="","",INDEX(MUSTERILER!$B$7:$B$106,$AF103))</f>
        <v/>
      </c>
      <c r="C103" s="121">
        <f>IF($AF103="","",INDEX(MUSTERILER!$C$7:$C$106,$AF103))</f>
        <v/>
      </c>
      <c r="D103" s="222">
        <f>IF($B103="","",SUMIFS(UCRETLER!$G$7:$G$406,UCRETLER!$B$7:$B$406,$B103,UCRETLER!$F$7:$F$406,"Haftalık",UCRETLER!$H$7:$H$406,"Aktif"))</f>
        <v/>
      </c>
      <c r="E103" s="222">
        <f>IF($B103="","",SUMIFS(UCRETLER!$G$7:$G$406,UCRETLER!$B$7:$B$406,$B103,UCRETLER!$F$7:$F$406,"Aylık",UCRETLER!$H$7:$H$406,"Aktif"))</f>
        <v/>
      </c>
      <c r="F103" s="222">
        <f>IF($B103="","",SUMIFS(MUSTERILER!$J$7:$J$106,MUSTERILER!$B$7:$B$106,$B103))</f>
        <v/>
      </c>
      <c r="G103" s="222">
        <f>IF($B103="","",SUMIFS(UCRETLER!$I$7:$I$406,UCRETLER!$B$7:$B$406,$B103)+SUMIFS(GELIR_GIDER!$G$7:$G$1206,GELIR_GIDER!$T$7:$T$1206,$B103))</f>
        <v/>
      </c>
      <c r="H103" s="222">
        <f>IF($B103="","",$F103+$G103)</f>
        <v/>
      </c>
      <c r="I103" s="222">
        <f>IF($B103="","",SUMIFS(TAHSILAT!$F$7:$F$1506,TAHSILAT!$C$7:$C$1506,$B103))</f>
        <v/>
      </c>
      <c r="J103" s="222">
        <f>IF($B103="","",MAX(0,$H103-$I103))</f>
        <v/>
      </c>
      <c r="K103" s="222">
        <f>IF($B103="","",MAX(0,$J103-$L103-$M103-$N103))</f>
        <v/>
      </c>
      <c r="L103" s="222">
        <f>IF($B103="","",($AC103-$AD103)+IF(AND($AB103&gt;0,$T103&lt;&gt;"",$U103&gt;=8,$U103&lt;15),$AB103,0))</f>
        <v/>
      </c>
      <c r="M103" s="222">
        <f>IF($B103="","",($AD103-$AE103)+IF(AND($AB103&gt;0,$T103&lt;&gt;"",$U103&gt;=15,$U103&lt;29),$AB103,0))</f>
        <v/>
      </c>
      <c r="N103" s="222">
        <f>IF($B103="","",$AE103+IF(AND($AB103&gt;0,OR($T103="",$U103&gt;=29)),$AB103,0))</f>
        <v/>
      </c>
      <c r="O103" s="229">
        <f>IF($B103="","",IFERROR($I103/$H103,0))</f>
        <v/>
      </c>
      <c r="P103" s="224">
        <f>IF($B103="","",IFERROR(LOOKUP(2,1/(TAHSILAT!$C$7:$C$1506=$B103),TAHSILAT!$E$7:$E$1506),""))</f>
        <v/>
      </c>
      <c r="Q103" s="113">
        <f>IF($B103="","",IF($N103&gt;0,"KRİTİK",IF($M103&gt;0,"YÜKSEK",IF($L103&gt;0,"ORTA",IF($J103&gt;0,"İZLE","TEMİZ")))))</f>
        <v/>
      </c>
      <c r="R103" s="121">
        <f>IF($B103="","",IF($Q103="KRİTİK","Acil tahsilat görüşmesi ve cari mutabakat",IF($Q103="YÜKSEK","Bu hafta tahsilat takibi",IF($Q103="ORTA","Hatırlatma mesajı gönder",IF($Q103="İZLE","Normal takip","Aksiyon gerekmiyor")))))</f>
        <v/>
      </c>
      <c r="S103" s="227">
        <f>IF($B103="","",COUNTIFS(AKTIVITE!$D$7:$D$1006,$B103,AKTIVITE!$J$7:$J$1006,"&lt;&gt;Tamamlandı"))</f>
        <v/>
      </c>
      <c r="T103" s="224">
        <f>IF(OR($B103="",$AF103=""),"",IF(INDEX(MUSTERILER!$K$7:$K$106,$AF103)="","",INDEX(MUSTERILER!$K$7:$K$106,$AF103)))</f>
        <v/>
      </c>
      <c r="U103" s="227">
        <f>IF(OR($B103="",$T103=""),"",TODAY()-$T103)</f>
        <v/>
      </c>
      <c r="V103" s="222">
        <f>IF($B103="","",MAX(0,$I103-$H103))</f>
        <v/>
      </c>
      <c r="W103" s="113">
        <f>IF($B103="","",IF(AND(ABS($J103-($K103+$L103+$M103+$N103))&lt;0.01,ABS(($J103-$V103)-($H103-$I103))&lt;0.01),"UYGUN","İNCELE"))</f>
        <v/>
      </c>
      <c r="X103" s="6">
        <f>IF($B103="",0,SUMIFS(UCRETLER!$J$7:$J$406,UCRETLER!$B$7:$B$406,$B103))</f>
        <v/>
      </c>
      <c r="Y103" s="6">
        <f>IF($B103="",0,SUMIFS(UCRETLER!$K$7:$K$406,UCRETLER!$B$7:$B$406,$B103))</f>
        <v/>
      </c>
      <c r="Z103" s="3">
        <f>IF($B103="",0,SUMIFS(UCRETLER!$L$7:$L$406,UCRETLER!$B$7:$B$406,$B103))</f>
        <v/>
      </c>
      <c r="AA103" s="3">
        <f>IF($B103="",0,MAX(0,$I103-$F103))</f>
        <v/>
      </c>
      <c r="AB103" s="3">
        <f>IF($B103="",0,MAX(0,$F103-$I103))</f>
        <v/>
      </c>
      <c r="AC103" s="3">
        <f>IF($B103="",0,MAX(0,$X103-$AA103))</f>
        <v/>
      </c>
      <c r="AD103" s="3">
        <f>IF($B103="",0,MAX(0,$Y103-$AA103))</f>
        <v/>
      </c>
      <c r="AE103" s="3">
        <f>IF($B103="",0,MAX(0,$Z103-$AA103))</f>
        <v/>
      </c>
      <c r="AF103" s="3">
        <f>IFERROR(MATCH(ROW()-6,MUSTERILER!$U$7:$U$106,0),"")</f>
        <v/>
      </c>
      <c r="AG103" s="3">
        <f>IF($B103="",0,SUMIFS(GELIR_GIDER!$G$7:$G$1206,GELIR_GIDER!$T$7:$T$1206,$B103))</f>
        <v/>
      </c>
    </row>
    <row r="104">
      <c r="A104" s="6" t="n"/>
      <c r="B104" s="113">
        <f>IF($AF104="","",INDEX(MUSTERILER!$B$7:$B$106,$AF104))</f>
        <v/>
      </c>
      <c r="C104" s="121">
        <f>IF($AF104="","",INDEX(MUSTERILER!$C$7:$C$106,$AF104))</f>
        <v/>
      </c>
      <c r="D104" s="222">
        <f>IF($B104="","",SUMIFS(UCRETLER!$G$7:$G$406,UCRETLER!$B$7:$B$406,$B104,UCRETLER!$F$7:$F$406,"Haftalık",UCRETLER!$H$7:$H$406,"Aktif"))</f>
        <v/>
      </c>
      <c r="E104" s="222">
        <f>IF($B104="","",SUMIFS(UCRETLER!$G$7:$G$406,UCRETLER!$B$7:$B$406,$B104,UCRETLER!$F$7:$F$406,"Aylık",UCRETLER!$H$7:$H$406,"Aktif"))</f>
        <v/>
      </c>
      <c r="F104" s="222">
        <f>IF($B104="","",SUMIFS(MUSTERILER!$J$7:$J$106,MUSTERILER!$B$7:$B$106,$B104))</f>
        <v/>
      </c>
      <c r="G104" s="222">
        <f>IF($B104="","",SUMIFS(UCRETLER!$I$7:$I$406,UCRETLER!$B$7:$B$406,$B104)+SUMIFS(GELIR_GIDER!$G$7:$G$1206,GELIR_GIDER!$T$7:$T$1206,$B104))</f>
        <v/>
      </c>
      <c r="H104" s="222">
        <f>IF($B104="","",$F104+$G104)</f>
        <v/>
      </c>
      <c r="I104" s="222">
        <f>IF($B104="","",SUMIFS(TAHSILAT!$F$7:$F$1506,TAHSILAT!$C$7:$C$1506,$B104))</f>
        <v/>
      </c>
      <c r="J104" s="222">
        <f>IF($B104="","",MAX(0,$H104-$I104))</f>
        <v/>
      </c>
      <c r="K104" s="222">
        <f>IF($B104="","",MAX(0,$J104-$L104-$M104-$N104))</f>
        <v/>
      </c>
      <c r="L104" s="222">
        <f>IF($B104="","",($AC104-$AD104)+IF(AND($AB104&gt;0,$T104&lt;&gt;"",$U104&gt;=8,$U104&lt;15),$AB104,0))</f>
        <v/>
      </c>
      <c r="M104" s="222">
        <f>IF($B104="","",($AD104-$AE104)+IF(AND($AB104&gt;0,$T104&lt;&gt;"",$U104&gt;=15,$U104&lt;29),$AB104,0))</f>
        <v/>
      </c>
      <c r="N104" s="222">
        <f>IF($B104="","",$AE104+IF(AND($AB104&gt;0,OR($T104="",$U104&gt;=29)),$AB104,0))</f>
        <v/>
      </c>
      <c r="O104" s="229">
        <f>IF($B104="","",IFERROR($I104/$H104,0))</f>
        <v/>
      </c>
      <c r="P104" s="224">
        <f>IF($B104="","",IFERROR(LOOKUP(2,1/(TAHSILAT!$C$7:$C$1506=$B104),TAHSILAT!$E$7:$E$1506),""))</f>
        <v/>
      </c>
      <c r="Q104" s="113">
        <f>IF($B104="","",IF($N104&gt;0,"KRİTİK",IF($M104&gt;0,"YÜKSEK",IF($L104&gt;0,"ORTA",IF($J104&gt;0,"İZLE","TEMİZ")))))</f>
        <v/>
      </c>
      <c r="R104" s="121">
        <f>IF($B104="","",IF($Q104="KRİTİK","Acil tahsilat görüşmesi ve cari mutabakat",IF($Q104="YÜKSEK","Bu hafta tahsilat takibi",IF($Q104="ORTA","Hatırlatma mesajı gönder",IF($Q104="İZLE","Normal takip","Aksiyon gerekmiyor")))))</f>
        <v/>
      </c>
      <c r="S104" s="227">
        <f>IF($B104="","",COUNTIFS(AKTIVITE!$D$7:$D$1006,$B104,AKTIVITE!$J$7:$J$1006,"&lt;&gt;Tamamlandı"))</f>
        <v/>
      </c>
      <c r="T104" s="224">
        <f>IF(OR($B104="",$AF104=""),"",IF(INDEX(MUSTERILER!$K$7:$K$106,$AF104)="","",INDEX(MUSTERILER!$K$7:$K$106,$AF104)))</f>
        <v/>
      </c>
      <c r="U104" s="227">
        <f>IF(OR($B104="",$T104=""),"",TODAY()-$T104)</f>
        <v/>
      </c>
      <c r="V104" s="222">
        <f>IF($B104="","",MAX(0,$I104-$H104))</f>
        <v/>
      </c>
      <c r="W104" s="113">
        <f>IF($B104="","",IF(AND(ABS($J104-($K104+$L104+$M104+$N104))&lt;0.01,ABS(($J104-$V104)-($H104-$I104))&lt;0.01),"UYGUN","İNCELE"))</f>
        <v/>
      </c>
      <c r="X104" s="6">
        <f>IF($B104="",0,SUMIFS(UCRETLER!$J$7:$J$406,UCRETLER!$B$7:$B$406,$B104))</f>
        <v/>
      </c>
      <c r="Y104" s="6">
        <f>IF($B104="",0,SUMIFS(UCRETLER!$K$7:$K$406,UCRETLER!$B$7:$B$406,$B104))</f>
        <v/>
      </c>
      <c r="Z104" s="3">
        <f>IF($B104="",0,SUMIFS(UCRETLER!$L$7:$L$406,UCRETLER!$B$7:$B$406,$B104))</f>
        <v/>
      </c>
      <c r="AA104" s="3">
        <f>IF($B104="",0,MAX(0,$I104-$F104))</f>
        <v/>
      </c>
      <c r="AB104" s="3">
        <f>IF($B104="",0,MAX(0,$F104-$I104))</f>
        <v/>
      </c>
      <c r="AC104" s="3">
        <f>IF($B104="",0,MAX(0,$X104-$AA104))</f>
        <v/>
      </c>
      <c r="AD104" s="3">
        <f>IF($B104="",0,MAX(0,$Y104-$AA104))</f>
        <v/>
      </c>
      <c r="AE104" s="3">
        <f>IF($B104="",0,MAX(0,$Z104-$AA104))</f>
        <v/>
      </c>
      <c r="AF104" s="3">
        <f>IFERROR(MATCH(ROW()-6,MUSTERILER!$U$7:$U$106,0),"")</f>
        <v/>
      </c>
      <c r="AG104" s="3">
        <f>IF($B104="",0,SUMIFS(GELIR_GIDER!$G$7:$G$1206,GELIR_GIDER!$T$7:$T$1206,$B104))</f>
        <v/>
      </c>
    </row>
    <row r="105">
      <c r="A105" s="6" t="n"/>
      <c r="B105" s="113">
        <f>IF($AF105="","",INDEX(MUSTERILER!$B$7:$B$106,$AF105))</f>
        <v/>
      </c>
      <c r="C105" s="121">
        <f>IF($AF105="","",INDEX(MUSTERILER!$C$7:$C$106,$AF105))</f>
        <v/>
      </c>
      <c r="D105" s="222">
        <f>IF($B105="","",SUMIFS(UCRETLER!$G$7:$G$406,UCRETLER!$B$7:$B$406,$B105,UCRETLER!$F$7:$F$406,"Haftalık",UCRETLER!$H$7:$H$406,"Aktif"))</f>
        <v/>
      </c>
      <c r="E105" s="222">
        <f>IF($B105="","",SUMIFS(UCRETLER!$G$7:$G$406,UCRETLER!$B$7:$B$406,$B105,UCRETLER!$F$7:$F$406,"Aylık",UCRETLER!$H$7:$H$406,"Aktif"))</f>
        <v/>
      </c>
      <c r="F105" s="222">
        <f>IF($B105="","",SUMIFS(MUSTERILER!$J$7:$J$106,MUSTERILER!$B$7:$B$106,$B105))</f>
        <v/>
      </c>
      <c r="G105" s="222">
        <f>IF($B105="","",SUMIFS(UCRETLER!$I$7:$I$406,UCRETLER!$B$7:$B$406,$B105)+SUMIFS(GELIR_GIDER!$G$7:$G$1206,GELIR_GIDER!$T$7:$T$1206,$B105))</f>
        <v/>
      </c>
      <c r="H105" s="222">
        <f>IF($B105="","",$F105+$G105)</f>
        <v/>
      </c>
      <c r="I105" s="222">
        <f>IF($B105="","",SUMIFS(TAHSILAT!$F$7:$F$1506,TAHSILAT!$C$7:$C$1506,$B105))</f>
        <v/>
      </c>
      <c r="J105" s="222">
        <f>IF($B105="","",MAX(0,$H105-$I105))</f>
        <v/>
      </c>
      <c r="K105" s="222">
        <f>IF($B105="","",MAX(0,$J105-$L105-$M105-$N105))</f>
        <v/>
      </c>
      <c r="L105" s="222">
        <f>IF($B105="","",($AC105-$AD105)+IF(AND($AB105&gt;0,$T105&lt;&gt;"",$U105&gt;=8,$U105&lt;15),$AB105,0))</f>
        <v/>
      </c>
      <c r="M105" s="222">
        <f>IF($B105="","",($AD105-$AE105)+IF(AND($AB105&gt;0,$T105&lt;&gt;"",$U105&gt;=15,$U105&lt;29),$AB105,0))</f>
        <v/>
      </c>
      <c r="N105" s="222">
        <f>IF($B105="","",$AE105+IF(AND($AB105&gt;0,OR($T105="",$U105&gt;=29)),$AB105,0))</f>
        <v/>
      </c>
      <c r="O105" s="229">
        <f>IF($B105="","",IFERROR($I105/$H105,0))</f>
        <v/>
      </c>
      <c r="P105" s="224">
        <f>IF($B105="","",IFERROR(LOOKUP(2,1/(TAHSILAT!$C$7:$C$1506=$B105),TAHSILAT!$E$7:$E$1506),""))</f>
        <v/>
      </c>
      <c r="Q105" s="113">
        <f>IF($B105="","",IF($N105&gt;0,"KRİTİK",IF($M105&gt;0,"YÜKSEK",IF($L105&gt;0,"ORTA",IF($J105&gt;0,"İZLE","TEMİZ")))))</f>
        <v/>
      </c>
      <c r="R105" s="121">
        <f>IF($B105="","",IF($Q105="KRİTİK","Acil tahsilat görüşmesi ve cari mutabakat",IF($Q105="YÜKSEK","Bu hafta tahsilat takibi",IF($Q105="ORTA","Hatırlatma mesajı gönder",IF($Q105="İZLE","Normal takip","Aksiyon gerekmiyor")))))</f>
        <v/>
      </c>
      <c r="S105" s="227">
        <f>IF($B105="","",COUNTIFS(AKTIVITE!$D$7:$D$1006,$B105,AKTIVITE!$J$7:$J$1006,"&lt;&gt;Tamamlandı"))</f>
        <v/>
      </c>
      <c r="T105" s="224">
        <f>IF(OR($B105="",$AF105=""),"",IF(INDEX(MUSTERILER!$K$7:$K$106,$AF105)="","",INDEX(MUSTERILER!$K$7:$K$106,$AF105)))</f>
        <v/>
      </c>
      <c r="U105" s="227">
        <f>IF(OR($B105="",$T105=""),"",TODAY()-$T105)</f>
        <v/>
      </c>
      <c r="V105" s="222">
        <f>IF($B105="","",MAX(0,$I105-$H105))</f>
        <v/>
      </c>
      <c r="W105" s="113">
        <f>IF($B105="","",IF(AND(ABS($J105-($K105+$L105+$M105+$N105))&lt;0.01,ABS(($J105-$V105)-($H105-$I105))&lt;0.01),"UYGUN","İNCELE"))</f>
        <v/>
      </c>
      <c r="X105" s="6">
        <f>IF($B105="",0,SUMIFS(UCRETLER!$J$7:$J$406,UCRETLER!$B$7:$B$406,$B105))</f>
        <v/>
      </c>
      <c r="Y105" s="6">
        <f>IF($B105="",0,SUMIFS(UCRETLER!$K$7:$K$406,UCRETLER!$B$7:$B$406,$B105))</f>
        <v/>
      </c>
      <c r="Z105" s="3">
        <f>IF($B105="",0,SUMIFS(UCRETLER!$L$7:$L$406,UCRETLER!$B$7:$B$406,$B105))</f>
        <v/>
      </c>
      <c r="AA105" s="3">
        <f>IF($B105="",0,MAX(0,$I105-$F105))</f>
        <v/>
      </c>
      <c r="AB105" s="3">
        <f>IF($B105="",0,MAX(0,$F105-$I105))</f>
        <v/>
      </c>
      <c r="AC105" s="3">
        <f>IF($B105="",0,MAX(0,$X105-$AA105))</f>
        <v/>
      </c>
      <c r="AD105" s="3">
        <f>IF($B105="",0,MAX(0,$Y105-$AA105))</f>
        <v/>
      </c>
      <c r="AE105" s="3">
        <f>IF($B105="",0,MAX(0,$Z105-$AA105))</f>
        <v/>
      </c>
      <c r="AF105" s="3">
        <f>IFERROR(MATCH(ROW()-6,MUSTERILER!$U$7:$U$106,0),"")</f>
        <v/>
      </c>
      <c r="AG105" s="3">
        <f>IF($B105="",0,SUMIFS(GELIR_GIDER!$G$7:$G$1206,GELIR_GIDER!$T$7:$T$1206,$B105))</f>
        <v/>
      </c>
    </row>
    <row r="106">
      <c r="A106" s="6" t="n"/>
      <c r="B106" s="113">
        <f>IF($AF106="","",INDEX(MUSTERILER!$B$7:$B$106,$AF106))</f>
        <v/>
      </c>
      <c r="C106" s="121">
        <f>IF($AF106="","",INDEX(MUSTERILER!$C$7:$C$106,$AF106))</f>
        <v/>
      </c>
      <c r="D106" s="222">
        <f>IF($B106="","",SUMIFS(UCRETLER!$G$7:$G$406,UCRETLER!$B$7:$B$406,$B106,UCRETLER!$F$7:$F$406,"Haftalık",UCRETLER!$H$7:$H$406,"Aktif"))</f>
        <v/>
      </c>
      <c r="E106" s="222">
        <f>IF($B106="","",SUMIFS(UCRETLER!$G$7:$G$406,UCRETLER!$B$7:$B$406,$B106,UCRETLER!$F$7:$F$406,"Aylık",UCRETLER!$H$7:$H$406,"Aktif"))</f>
        <v/>
      </c>
      <c r="F106" s="222">
        <f>IF($B106="","",SUMIFS(MUSTERILER!$J$7:$J$106,MUSTERILER!$B$7:$B$106,$B106))</f>
        <v/>
      </c>
      <c r="G106" s="222">
        <f>IF($B106="","",SUMIFS(UCRETLER!$I$7:$I$406,UCRETLER!$B$7:$B$406,$B106)+SUMIFS(GELIR_GIDER!$G$7:$G$1206,GELIR_GIDER!$T$7:$T$1206,$B106))</f>
        <v/>
      </c>
      <c r="H106" s="222">
        <f>IF($B106="","",$F106+$G106)</f>
        <v/>
      </c>
      <c r="I106" s="222">
        <f>IF($B106="","",SUMIFS(TAHSILAT!$F$7:$F$1506,TAHSILAT!$C$7:$C$1506,$B106))</f>
        <v/>
      </c>
      <c r="J106" s="222">
        <f>IF($B106="","",MAX(0,$H106-$I106))</f>
        <v/>
      </c>
      <c r="K106" s="222">
        <f>IF($B106="","",MAX(0,$J106-$L106-$M106-$N106))</f>
        <v/>
      </c>
      <c r="L106" s="222">
        <f>IF($B106="","",($AC106-$AD106)+IF(AND($AB106&gt;0,$T106&lt;&gt;"",$U106&gt;=8,$U106&lt;15),$AB106,0))</f>
        <v/>
      </c>
      <c r="M106" s="222">
        <f>IF($B106="","",($AD106-$AE106)+IF(AND($AB106&gt;0,$T106&lt;&gt;"",$U106&gt;=15,$U106&lt;29),$AB106,0))</f>
        <v/>
      </c>
      <c r="N106" s="222">
        <f>IF($B106="","",$AE106+IF(AND($AB106&gt;0,OR($T106="",$U106&gt;=29)),$AB106,0))</f>
        <v/>
      </c>
      <c r="O106" s="229">
        <f>IF($B106="","",IFERROR($I106/$H106,0))</f>
        <v/>
      </c>
      <c r="P106" s="224">
        <f>IF($B106="","",IFERROR(LOOKUP(2,1/(TAHSILAT!$C$7:$C$1506=$B106),TAHSILAT!$E$7:$E$1506),""))</f>
        <v/>
      </c>
      <c r="Q106" s="113">
        <f>IF($B106="","",IF($N106&gt;0,"KRİTİK",IF($M106&gt;0,"YÜKSEK",IF($L106&gt;0,"ORTA",IF($J106&gt;0,"İZLE","TEMİZ")))))</f>
        <v/>
      </c>
      <c r="R106" s="121">
        <f>IF($B106="","",IF($Q106="KRİTİK","Acil tahsilat görüşmesi ve cari mutabakat",IF($Q106="YÜKSEK","Bu hafta tahsilat takibi",IF($Q106="ORTA","Hatırlatma mesajı gönder",IF($Q106="İZLE","Normal takip","Aksiyon gerekmiyor")))))</f>
        <v/>
      </c>
      <c r="S106" s="227">
        <f>IF($B106="","",COUNTIFS(AKTIVITE!$D$7:$D$1006,$B106,AKTIVITE!$J$7:$J$1006,"&lt;&gt;Tamamlandı"))</f>
        <v/>
      </c>
      <c r="T106" s="224">
        <f>IF(OR($B106="",$AF106=""),"",IF(INDEX(MUSTERILER!$K$7:$K$106,$AF106)="","",INDEX(MUSTERILER!$K$7:$K$106,$AF106)))</f>
        <v/>
      </c>
      <c r="U106" s="227">
        <f>IF(OR($B106="",$T106=""),"",TODAY()-$T106)</f>
        <v/>
      </c>
      <c r="V106" s="222">
        <f>IF($B106="","",MAX(0,$I106-$H106))</f>
        <v/>
      </c>
      <c r="W106" s="113">
        <f>IF($B106="","",IF(AND(ABS($J106-($K106+$L106+$M106+$N106))&lt;0.01,ABS(($J106-$V106)-($H106-$I106))&lt;0.01),"UYGUN","İNCELE"))</f>
        <v/>
      </c>
      <c r="X106" s="6">
        <f>IF($B106="",0,SUMIFS(UCRETLER!$J$7:$J$406,UCRETLER!$B$7:$B$406,$B106))</f>
        <v/>
      </c>
      <c r="Y106" s="6">
        <f>IF($B106="",0,SUMIFS(UCRETLER!$K$7:$K$406,UCRETLER!$B$7:$B$406,$B106))</f>
        <v/>
      </c>
      <c r="Z106" s="3">
        <f>IF($B106="",0,SUMIFS(UCRETLER!$L$7:$L$406,UCRETLER!$B$7:$B$406,$B106))</f>
        <v/>
      </c>
      <c r="AA106" s="3">
        <f>IF($B106="",0,MAX(0,$I106-$F106))</f>
        <v/>
      </c>
      <c r="AB106" s="3">
        <f>IF($B106="",0,MAX(0,$F106-$I106))</f>
        <v/>
      </c>
      <c r="AC106" s="3">
        <f>IF($B106="",0,MAX(0,$X106-$AA106))</f>
        <v/>
      </c>
      <c r="AD106" s="3">
        <f>IF($B106="",0,MAX(0,$Y106-$AA106))</f>
        <v/>
      </c>
      <c r="AE106" s="3">
        <f>IF($B106="",0,MAX(0,$Z106-$AA106))</f>
        <v/>
      </c>
      <c r="AF106" s="3">
        <f>IFERROR(MATCH(ROW()-6,MUSTERILER!$U$7:$U$106,0),"")</f>
        <v/>
      </c>
      <c r="AG106" s="3">
        <f>IF($B106="",0,SUMIFS(GELIR_GIDER!$G$7:$G$1206,GELIR_GIDER!$T$7:$T$1206,$B106))</f>
        <v/>
      </c>
    </row>
    <row r="107">
      <c r="A107" s="6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6" t="n"/>
      <c r="Y107" s="6" t="n"/>
      <c r="Z107" s="3" t="n"/>
      <c r="AA107" s="3" t="n"/>
      <c r="AB107" s="3" t="n"/>
      <c r="AC107" s="3" t="n"/>
      <c r="AD107" s="3" t="n"/>
      <c r="AE107" s="3" t="n"/>
      <c r="AF107" s="3" t="n"/>
      <c r="AG107" s="3" t="n"/>
    </row>
    <row r="108">
      <c r="A108" s="6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6" t="n"/>
      <c r="Y108" s="6" t="n"/>
      <c r="Z108" s="3" t="n"/>
      <c r="AA108" s="3" t="n"/>
      <c r="AB108" s="3" t="n"/>
      <c r="AC108" s="3" t="n"/>
      <c r="AD108" s="3" t="n"/>
      <c r="AE108" s="3" t="n"/>
      <c r="AF108" s="3" t="n"/>
      <c r="AG108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W106"/>
  <mergeCells count="2">
    <mergeCell ref="A2:W2"/>
    <mergeCell ref="A1:W1"/>
  </mergeCells>
  <conditionalFormatting sqref="Q7:Q106">
    <cfRule type="expression" priority="1" dxfId="5" stopIfTrue="1">
      <formula>EXACT($Q7,"KRİTİK")</formula>
    </cfRule>
    <cfRule type="expression" priority="2" dxfId="4" stopIfTrue="1">
      <formula>EXACT($Q7,"YÜKSEK")</formula>
    </cfRule>
    <cfRule type="expression" priority="3" dxfId="7" stopIfTrue="1">
      <formula>EXACT($Q7,"ORTA")</formula>
    </cfRule>
    <cfRule type="expression" priority="4" dxfId="6" stopIfTrue="1">
      <formula>EXACT($Q7,"İZLE")</formula>
    </cfRule>
    <cfRule type="expression" priority="5" dxfId="3" stopIfTrue="1">
      <formula>EXACT($Q7,"TEMİZ")</formula>
    </cfRule>
  </conditionalFormatting>
  <conditionalFormatting sqref="W7:W106">
    <cfRule type="expression" priority="6" dxfId="3" stopIfTrue="1">
      <formula>EXACT($W7,"UYGUN")</formula>
    </cfRule>
    <cfRule type="expression" priority="7" dxfId="5" stopIfTrue="1">
      <formula>EXACT($W7,"İNCELE")</formula>
    </cfRule>
  </conditionalFormatting>
  <conditionalFormatting sqref="J7:J106">
    <cfRule type="dataBar" priority="8">
      <dataBar showValue="1">
        <cfvo type="num" val="0"/>
        <cfvo type="max"/>
        <color rgb="009FB8D0"/>
      </dataBar>
    </cfRule>
  </conditionalFormatting>
  <conditionalFormatting sqref="V7:V106">
    <cfRule type="cellIs" priority="9" operator="greaterThan" dxfId="9">
      <formula>0</formula>
    </cfRule>
  </conditionalFormatting>
  <conditionalFormatting sqref="N7:N106">
    <cfRule type="cellIs" priority="10" operator="greaterThan" dxfId="8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0369A1"/>
    <outlinePr summaryBelow="1" summaryRight="1"/>
    <pageSetUpPr fitToPage="1"/>
  </sheetPr>
  <dimension ref="A1:AD432"/>
  <sheetViews>
    <sheetView showGridLines="0" tabSelected="0" zoomScale="100" workbookViewId="0">
      <pane ySplit="11" topLeftCell="A12" activePane="bottomLeft" state="frozen"/>
      <selection pane="bottomLeft" activeCell="A1" sqref="A1"/>
    </sheetView>
  </sheetViews>
  <sheetFormatPr baseColWidth="8" defaultRowHeight="20"/>
  <cols>
    <col width="2.4" customWidth="1" min="1" max="1"/>
    <col width="7" customWidth="1" min="2" max="2"/>
    <col width="14" customWidth="1" min="3" max="3"/>
    <col width="56" customWidth="1" min="4" max="4"/>
    <col width="18" customWidth="1" min="5" max="5"/>
    <col width="18" customWidth="1" min="6" max="6"/>
    <col width="18" customWidth="1" min="7" max="7"/>
    <col width="20" customWidth="1" min="8" max="8"/>
    <col width="2.4" customWidth="1" min="9" max="9"/>
    <col width="2.4" customWidth="1" min="10" max="10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8" max="28"/>
    <col hidden="1" width="13" customWidth="1" min="29" max="29"/>
    <col hidden="1" width="13" customWidth="1" min="30" max="30"/>
  </cols>
  <sheetData>
    <row r="1" ht="38" customHeight="1">
      <c r="A1" s="1" t="inlineStr">
        <is>
          <t>KILIÇ MUHASEBE   │   MÜŞTERİ CARİ HESAP EKSTRESİ</t>
        </is>
      </c>
      <c r="B1" s="169" t="n"/>
      <c r="C1" s="169" t="n"/>
      <c r="D1" s="169" t="n"/>
      <c r="E1" s="169" t="n"/>
      <c r="F1" s="169" t="n"/>
      <c r="G1" s="169" t="n"/>
      <c r="H1" s="169" t="n"/>
      <c r="I1" s="45" t="n"/>
      <c r="J1" s="45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</row>
    <row r="2" ht="22" customHeight="1">
      <c r="A2" s="4" t="inlineStr">
        <is>
          <t>Tahakkuk, manuel gelir ve tahsilat hareketleri tarih sırasıyla otomatik listelenir │ Bu ekrana kayıt girilmez</t>
        </is>
      </c>
      <c r="I2" s="46" t="n"/>
      <c r="J2" s="46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 ht="26" customHeight="1">
      <c r="A4" s="6" t="n"/>
      <c r="B4" s="47">
        <f>HYPERLINK("#PANO!A1","←  PANO")</f>
        <v/>
      </c>
      <c r="C4" s="6" t="n"/>
      <c r="D4" s="128" t="inlineStr">
        <is>
          <t>MÜŞTERİ</t>
        </is>
      </c>
      <c r="E4" s="129" t="inlineStr">
        <is>
          <t>ANKARA HAVANA LTD.ŞTİ.</t>
        </is>
      </c>
      <c r="F4" s="230" t="n"/>
      <c r="G4" s="231" t="n"/>
      <c r="H4" s="131">
        <f>"Müşteri No:  "&amp;$AC$4</f>
        <v/>
      </c>
      <c r="I4" s="6" t="n"/>
      <c r="J4" s="6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>
        <f>IFERROR(MATCH($AC$4&amp;"|1",UCRETLER!$S$7:$S$406,0),0)</f>
        <v/>
      </c>
      <c r="AC4" s="3">
        <f>IF($E$4="","",IFERROR(INDEX(MUSTERILER!$B$7:$B$106,MATCH($AD$4,MUSTERILER!$T$7:$T$106,0)),IFERROR(INDEX(MUSTERILER!$B$7:$B$106,MATCH($E$4,MUSTERILER!$B$7:$B$106,0)),IFERROR(INDEX(MUSTERILER!$B$7:$B$106,MATCH($AD$4&amp;"*",MUSTERILER!$T$7:$T$106,0)),"TANIMSIZ MÜŞTERİ"))))</f>
        <v/>
      </c>
      <c r="AD4" s="3">
        <f>IF($E$4="","",UPPER(SUBSTITUTE(SUBSTITUTE(SUBSTITUTE(SUBSTITUTE(SUBSTITUTE(SUBSTITUTE(SUBSTITUTE(SUBSTITUTE(SUBSTITUTE(SUBSTITUTE(SUBSTITUTE(SUBSTITUTE(SUBSTITUTE(SUBSTITUTE(SUBSTITUTE(SUBSTITUTE(SUBSTITUTE(SUBSTITUTE(TRIM($E$4),"'",""),"İ","I"),"ı","I"),"i","I"),"Ş","S"),"ş","S"),"Ğ","G"),"ğ","G"),"Ü","U"),"ü","U"),"Ö","O"),"ö","O"),"Ç","C"),"ç","C"),".",""),",","")," ",""),"-","")))</f>
        <v/>
      </c>
    </row>
    <row r="5" ht="34" customHeight="1">
      <c r="A5" s="6" t="n"/>
      <c r="B5" s="132" t="inlineStr">
        <is>
          <t>CARİ HESAP EKSTRESİ</t>
        </is>
      </c>
      <c r="C5" s="232" t="n"/>
      <c r="D5" s="232" t="n"/>
      <c r="E5" s="134">
        <f>IF($E$4="","",IFERROR(INDEX(MUSTERILER!$C$7:$C$106,MATCH($AC$4,MUSTERILER!$B$7:$B$106,0)),$E$4))</f>
        <v/>
      </c>
      <c r="F5" s="232" t="n"/>
      <c r="G5" s="232" t="n"/>
      <c r="H5" s="232" t="n"/>
      <c r="I5" s="6" t="n"/>
      <c r="J5" s="6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>
        <f>IFERROR(MATCH($AC$4&amp;"|2",UCRETLER!$S$7:$S$406,0),0)</f>
        <v/>
      </c>
      <c r="AC5" s="3" t="n"/>
      <c r="AD5" s="3" t="n"/>
    </row>
    <row r="6" ht="20" customHeight="1">
      <c r="A6" s="6" t="n"/>
      <c r="B6" s="136">
        <f>"KILIÇ MUHASEBE   │   Düzenleme tarihi: "&amp;RIGHT("0"&amp;DAY(TODAY()),2)&amp;"."&amp;RIGHT("0"&amp;MONTH(TODAY()),2)&amp;"."&amp;YEAR(TODAY())</f>
        <v/>
      </c>
      <c r="C6" s="185" t="n"/>
      <c r="D6" s="185" t="n"/>
      <c r="E6" s="138">
        <f>IF($AC$4="","",IFERROR("Vergi No: "&amp;IF(INDEX(MUSTERILER!$G$7:$G$106,MATCH($AC$4,MUSTERILER!$B$7:$B$106,0))="","—",INDEX(MUSTERILER!$G$7:$G$106,MATCH($AC$4,MUSTERILER!$B$7:$B$106,0)))&amp;"   │   Tel: "&amp;IF(INDEX(MUSTERILER!$F$7:$F$106,MATCH($AC$4,MUSTERILER!$B$7:$B$106,0))="","—",INDEX(MUSTERILER!$F$7:$F$106,MATCH($AC$4,MUSTERILER!$B$7:$B$106,0))),""))</f>
        <v/>
      </c>
      <c r="F6" s="185" t="n"/>
      <c r="G6" s="185" t="n"/>
      <c r="H6" s="185" t="n"/>
      <c r="I6" s="6" t="n"/>
      <c r="J6" s="6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>
        <f>IFERROR(MATCH($AC$4&amp;"|3",UCRETLER!$S$7:$S$406,0),0)</f>
        <v/>
      </c>
      <c r="AC6" s="3" t="n"/>
      <c r="AD6" s="3" t="n"/>
    </row>
    <row r="7" ht="8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</row>
    <row r="8" ht="15" customHeight="1">
      <c r="A8" s="6" t="n"/>
      <c r="B8" s="233" t="inlineStr">
        <is>
          <t>TOPLAM BORÇ</t>
        </is>
      </c>
      <c r="C8" s="175" t="n"/>
      <c r="D8" s="234" t="inlineStr">
        <is>
          <t>TOPLAM ÖDEME</t>
        </is>
      </c>
      <c r="E8" s="181" t="n"/>
      <c r="F8" s="235" t="inlineStr">
        <is>
          <t>KALAN BAKİYE</t>
        </is>
      </c>
      <c r="G8" s="177" t="n"/>
      <c r="H8" s="178" t="n"/>
      <c r="I8" s="6" t="n"/>
      <c r="J8" s="6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</row>
    <row r="9" ht="28" customHeight="1">
      <c r="A9" s="6" t="n"/>
      <c r="B9" s="236">
        <f>SUM($F$12:$F$311)</f>
        <v/>
      </c>
      <c r="C9" s="186" t="n"/>
      <c r="D9" s="237">
        <f>SUM($G$12:$G$311)</f>
        <v/>
      </c>
      <c r="E9" s="186" t="n"/>
      <c r="F9" s="238">
        <f>$B$9-$D$9</f>
        <v/>
      </c>
      <c r="G9" s="185" t="n"/>
      <c r="H9" s="186" t="n"/>
      <c r="I9" s="6" t="n"/>
      <c r="J9" s="6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</row>
    <row r="10" ht="26" customHeight="1">
      <c r="A10" s="6" t="n"/>
      <c r="B10" s="149" t="inlineStr">
        <is>
          <t>PDF ÇIKTISI   ▸   Ad Kutusu: EKSTRE + Enter   ▸   Ctrl+P   ▸   Yalnızca Seçimi Yazdır</t>
        </is>
      </c>
      <c r="C10" s="239" t="n"/>
      <c r="D10" s="239" t="n"/>
      <c r="E10" s="151" t="inlineStr">
        <is>
          <t>EXCEL'E AL   ▸   EKSTRE seç   ▸   Ctrl+C   ▸   Yeni kitap   ▸   Ctrl+Alt+V ▸ Değerler</t>
        </is>
      </c>
      <c r="F10" s="239" t="n"/>
      <c r="G10" s="239" t="n"/>
      <c r="H10" s="239" t="n"/>
      <c r="I10" s="6" t="n"/>
      <c r="J10" s="6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</row>
    <row r="11" ht="38" customHeight="1">
      <c r="A11" s="6" t="n"/>
      <c r="B11" s="105" t="inlineStr">
        <is>
          <t>Sıra</t>
        </is>
      </c>
      <c r="C11" s="105" t="inlineStr">
        <is>
          <t>Tarih</t>
        </is>
      </c>
      <c r="D11" s="106" t="inlineStr">
        <is>
          <t>Açıklama</t>
        </is>
      </c>
      <c r="E11" s="105" t="inlineStr">
        <is>
          <t>Hareket Türü</t>
        </is>
      </c>
      <c r="F11" s="107" t="inlineStr">
        <is>
          <t>BORÇ</t>
        </is>
      </c>
      <c r="G11" s="107" t="inlineStr">
        <is>
          <t>ÖDEME</t>
        </is>
      </c>
      <c r="H11" s="107" t="inlineStr">
        <is>
          <t>BAKİYE</t>
        </is>
      </c>
      <c r="I11" s="6" t="n"/>
      <c r="J11" s="6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</row>
    <row r="12">
      <c r="A12" s="6" t="n"/>
      <c r="B12" s="153">
        <f>IF($C12="","",ROW()-11)</f>
        <v/>
      </c>
      <c r="C12" s="240">
        <f>IF($Z12="","",IF(INDEX($N$12:$N$432,$Z12)="","",INDEX($N$12:$N$432,$Z12)))</f>
        <v/>
      </c>
      <c r="D12" s="29">
        <f>IF($C12="","",INDEX($O$12:$O$432,$Z12))</f>
        <v/>
      </c>
      <c r="E12" s="153">
        <f>IF($C12="","",INDEX($P$12:$P$432,$Z12))</f>
        <v/>
      </c>
      <c r="F12" s="241">
        <f>IF($C12="","",INDEX($R$12:$R$432,$Z12))</f>
        <v/>
      </c>
      <c r="G12" s="241">
        <f>IF($C12="","",INDEX($S$12:$S$432,$Z12))</f>
        <v/>
      </c>
      <c r="H12" s="241">
        <f>IF($C12="","",N($H11)+$F12-$G12)</f>
        <v/>
      </c>
      <c r="I12" s="6" t="n"/>
      <c r="J12" s="6" t="n"/>
      <c r="K12" s="3" t="n"/>
      <c r="L12" s="3" t="n"/>
      <c r="M12" s="3" t="n">
        <v>1</v>
      </c>
      <c r="N12" s="3">
        <f>IF($X$12&lt;=0,"",IFERROR(IF(INDEX(MUSTERILER!$K$7:$K$106,MATCH($AC$4,MUSTERILER!$B$7:$B$106,0))="",DATE(2020,1,1),INDEX(MUSTERILER!$K$7:$K$106,MATCH($AC$4,MUSTERILER!$B$7:$B$106,0))),""))</f>
        <v/>
      </c>
      <c r="O12" s="3">
        <f>"Devir alacağı  –  açılış bakiyesi"</f>
        <v/>
      </c>
      <c r="P12" s="3">
        <f>"DEVİR"</f>
        <v/>
      </c>
      <c r="Q12" s="3" t="n"/>
      <c r="R12" s="3">
        <f>IF($N$12="",0,$X$12)</f>
        <v/>
      </c>
      <c r="S12" s="3" t="n">
        <v>0</v>
      </c>
      <c r="T12" s="3">
        <f>IF($N12="",10000000000,$N12*100000+$M12)</f>
        <v/>
      </c>
      <c r="U12" s="3" t="n"/>
      <c r="V12" s="3" t="n"/>
      <c r="W12" s="3" t="n"/>
      <c r="X12" s="3">
        <f>IFERROR(SUMIFS(MUSTERILER!$J$7:$J$106,MUSTERILER!$B$7:$B$106,$AC$4),0)</f>
        <v/>
      </c>
      <c r="Y12" s="3">
        <f>IFERROR(SMALL($T$12:$T$432,ROW()-11),"")</f>
        <v/>
      </c>
      <c r="Z12" s="3">
        <f>IFERROR(MATCH($Y12,$T$12:$T$432,0),"")</f>
        <v/>
      </c>
      <c r="AA12" s="3" t="n"/>
      <c r="AB12" s="3" t="n"/>
      <c r="AC12" s="3" t="n"/>
      <c r="AD12" s="3" t="n"/>
    </row>
    <row r="13">
      <c r="A13" s="6" t="n"/>
      <c r="B13" s="153">
        <f>IF($C13="","",ROW()-11)</f>
        <v/>
      </c>
      <c r="C13" s="240">
        <f>IF($Z13="","",IF(INDEX($N$12:$N$432,$Z13)="","",INDEX($N$12:$N$432,$Z13)))</f>
        <v/>
      </c>
      <c r="D13" s="29">
        <f>IF($C13="","",INDEX($O$12:$O$432,$Z13))</f>
        <v/>
      </c>
      <c r="E13" s="153">
        <f>IF($C13="","",INDEX($P$12:$P$432,$Z13))</f>
        <v/>
      </c>
      <c r="F13" s="241">
        <f>IF($C13="","",INDEX($R$12:$R$432,$Z13))</f>
        <v/>
      </c>
      <c r="G13" s="241">
        <f>IF($C13="","",INDEX($S$12:$S$432,$Z13))</f>
        <v/>
      </c>
      <c r="H13" s="241">
        <f>IF($C13="","",N($H12)+$F13-$G13)</f>
        <v/>
      </c>
      <c r="I13" s="6" t="n"/>
      <c r="J13" s="6" t="n"/>
      <c r="K13" s="3" t="n"/>
      <c r="L13" s="3" t="n"/>
      <c r="M13" s="3" t="n">
        <v>2</v>
      </c>
      <c r="N13" s="3">
        <f>IF(OR($U13=0,$W13="",$X13&lt;=0),"",IF($W13&gt;TODAY(),"",IF(AND(INDEX(UCRETLER!$E$7:$E$406,$U13)&lt;&gt;"",$W13&gt;INDEX(UCRETLER!$E$7:$E$406,$U13)),"",$W13)))</f>
        <v/>
      </c>
      <c r="O13" s="3">
        <f>IF($N13="","",IF(INDEX(UCRETLER!$F$7:$F$406,$U13)="Aylık",CHOOSE(MONTH($N13),"Ocak","Şubat","Mart","Nisan","Mayıs","Haziran","Temmuz","Ağustos","Eylül","Ekim","Kasım","Aralık")&amp;" "&amp;YEAR($N13)&amp;" aylık muhasebe hizmet ücreti",RIGHT("0"&amp;DAY($N13),2)&amp;"."&amp;RIGHT("0"&amp;MONTH($N13),2)&amp;"."&amp;YEAR($N13)&amp;" haftalık muhasebe hizmet ücreti"))</f>
        <v/>
      </c>
      <c r="P13" s="3">
        <f>IF($N13="","","TAHAKKUK")</f>
        <v/>
      </c>
      <c r="Q13" s="3" t="n"/>
      <c r="R13" s="3">
        <f>IF($N13="",0,$X13)</f>
        <v/>
      </c>
      <c r="S13" s="3" t="n">
        <v>0</v>
      </c>
      <c r="T13" s="3">
        <f>IF($N13="",10000000000,$N13*100000+$M13)</f>
        <v/>
      </c>
      <c r="U13" s="3">
        <f>$AB$4</f>
        <v/>
      </c>
      <c r="V13" s="3" t="n">
        <v>1</v>
      </c>
      <c r="W13" s="3">
        <f>IF($U13=0,"",IF(INDEX(UCRETLER!$D$7:$D$406,$U13)="","",IF(INDEX(UCRETLER!$F$7:$F$406,$U13)="Aylık",EOMONTH(INDEX(UCRETLER!$D$7:$D$406,$U13),$V13-1),INDEX(UCRETLER!$D$7:$D$406,$U13)+MOD(SISTEM!$F$8-WEEKDAY(INDEX(UCRETLER!$D$7:$D$406,$U13),2),7)+7*($V13-1))))</f>
        <v/>
      </c>
      <c r="X13" s="3">
        <f>IF($U13=0,0,INDEX(UCRETLER!$G$7:$G$406,$U13))</f>
        <v/>
      </c>
      <c r="Y13" s="3">
        <f>IFERROR(SMALL($T$12:$T$432,ROW()-11),"")</f>
        <v/>
      </c>
      <c r="Z13" s="3">
        <f>IFERROR(MATCH($Y13,$T$12:$T$432,0),"")</f>
        <v/>
      </c>
      <c r="AA13" s="3" t="n"/>
      <c r="AB13" s="3" t="n"/>
      <c r="AC13" s="3" t="n"/>
      <c r="AD13" s="3" t="n"/>
    </row>
    <row r="14">
      <c r="A14" s="6" t="n"/>
      <c r="B14" s="153">
        <f>IF($C14="","",ROW()-11)</f>
        <v/>
      </c>
      <c r="C14" s="240">
        <f>IF($Z14="","",IF(INDEX($N$12:$N$432,$Z14)="","",INDEX($N$12:$N$432,$Z14)))</f>
        <v/>
      </c>
      <c r="D14" s="29">
        <f>IF($C14="","",INDEX($O$12:$O$432,$Z14))</f>
        <v/>
      </c>
      <c r="E14" s="153">
        <f>IF($C14="","",INDEX($P$12:$P$432,$Z14))</f>
        <v/>
      </c>
      <c r="F14" s="241">
        <f>IF($C14="","",INDEX($R$12:$R$432,$Z14))</f>
        <v/>
      </c>
      <c r="G14" s="241">
        <f>IF($C14="","",INDEX($S$12:$S$432,$Z14))</f>
        <v/>
      </c>
      <c r="H14" s="241">
        <f>IF($C14="","",N($H13)+$F14-$G14)</f>
        <v/>
      </c>
      <c r="I14" s="6" t="n"/>
      <c r="J14" s="6" t="n"/>
      <c r="K14" s="3" t="n"/>
      <c r="L14" s="3" t="n"/>
      <c r="M14" s="3" t="n">
        <v>3</v>
      </c>
      <c r="N14" s="3">
        <f>IF(OR($U14=0,$W14="",$X14&lt;=0),"",IF($W14&gt;TODAY(),"",IF(AND(INDEX(UCRETLER!$E$7:$E$406,$U14)&lt;&gt;"",$W14&gt;INDEX(UCRETLER!$E$7:$E$406,$U14)),"",$W14)))</f>
        <v/>
      </c>
      <c r="O14" s="3">
        <f>IF($N14="","",IF(INDEX(UCRETLER!$F$7:$F$406,$U14)="Aylık",CHOOSE(MONTH($N14),"Ocak","Şubat","Mart","Nisan","Mayıs","Haziran","Temmuz","Ağustos","Eylül","Ekim","Kasım","Aralık")&amp;" "&amp;YEAR($N14)&amp;" aylık muhasebe hizmet ücreti",RIGHT("0"&amp;DAY($N14),2)&amp;"."&amp;RIGHT("0"&amp;MONTH($N14),2)&amp;"."&amp;YEAR($N14)&amp;" haftalık muhasebe hizmet ücreti"))</f>
        <v/>
      </c>
      <c r="P14" s="3">
        <f>IF($N14="","","TAHAKKUK")</f>
        <v/>
      </c>
      <c r="Q14" s="3" t="n"/>
      <c r="R14" s="3">
        <f>IF($N14="",0,$X14)</f>
        <v/>
      </c>
      <c r="S14" s="3" t="n">
        <v>0</v>
      </c>
      <c r="T14" s="3">
        <f>IF($N14="",10000000000,$N14*100000+$M14)</f>
        <v/>
      </c>
      <c r="U14" s="3">
        <f>$AB$4</f>
        <v/>
      </c>
      <c r="V14" s="3" t="n">
        <v>2</v>
      </c>
      <c r="W14" s="3">
        <f>IF($U14=0,"",IF(INDEX(UCRETLER!$D$7:$D$406,$U14)="","",IF(INDEX(UCRETLER!$F$7:$F$406,$U14)="Aylık",EOMONTH(INDEX(UCRETLER!$D$7:$D$406,$U14),$V14-1),INDEX(UCRETLER!$D$7:$D$406,$U14)+MOD(SISTEM!$F$8-WEEKDAY(INDEX(UCRETLER!$D$7:$D$406,$U14),2),7)+7*($V14-1))))</f>
        <v/>
      </c>
      <c r="X14" s="3">
        <f>IF($U14=0,0,INDEX(UCRETLER!$G$7:$G$406,$U14))</f>
        <v/>
      </c>
      <c r="Y14" s="3">
        <f>IFERROR(SMALL($T$12:$T$432,ROW()-11),"")</f>
        <v/>
      </c>
      <c r="Z14" s="3">
        <f>IFERROR(MATCH($Y14,$T$12:$T$432,0),"")</f>
        <v/>
      </c>
      <c r="AA14" s="3" t="n"/>
      <c r="AB14" s="3" t="n"/>
      <c r="AC14" s="3" t="n"/>
      <c r="AD14" s="3" t="n"/>
    </row>
    <row r="15">
      <c r="A15" s="6" t="n"/>
      <c r="B15" s="153">
        <f>IF($C15="","",ROW()-11)</f>
        <v/>
      </c>
      <c r="C15" s="240">
        <f>IF($Z15="","",IF(INDEX($N$12:$N$432,$Z15)="","",INDEX($N$12:$N$432,$Z15)))</f>
        <v/>
      </c>
      <c r="D15" s="29">
        <f>IF($C15="","",INDEX($O$12:$O$432,$Z15))</f>
        <v/>
      </c>
      <c r="E15" s="153">
        <f>IF($C15="","",INDEX($P$12:$P$432,$Z15))</f>
        <v/>
      </c>
      <c r="F15" s="241">
        <f>IF($C15="","",INDEX($R$12:$R$432,$Z15))</f>
        <v/>
      </c>
      <c r="G15" s="241">
        <f>IF($C15="","",INDEX($S$12:$S$432,$Z15))</f>
        <v/>
      </c>
      <c r="H15" s="241">
        <f>IF($C15="","",N($H14)+$F15-$G15)</f>
        <v/>
      </c>
      <c r="I15" s="6" t="n"/>
      <c r="J15" s="6" t="n"/>
      <c r="K15" s="3" t="n"/>
      <c r="L15" s="3" t="n"/>
      <c r="M15" s="3" t="n">
        <v>4</v>
      </c>
      <c r="N15" s="3">
        <f>IF(OR($U15=0,$W15="",$X15&lt;=0),"",IF($W15&gt;TODAY(),"",IF(AND(INDEX(UCRETLER!$E$7:$E$406,$U15)&lt;&gt;"",$W15&gt;INDEX(UCRETLER!$E$7:$E$406,$U15)),"",$W15)))</f>
        <v/>
      </c>
      <c r="O15" s="3">
        <f>IF($N15="","",IF(INDEX(UCRETLER!$F$7:$F$406,$U15)="Aylık",CHOOSE(MONTH($N15),"Ocak","Şubat","Mart","Nisan","Mayıs","Haziran","Temmuz","Ağustos","Eylül","Ekim","Kasım","Aralık")&amp;" "&amp;YEAR($N15)&amp;" aylık muhasebe hizmet ücreti",RIGHT("0"&amp;DAY($N15),2)&amp;"."&amp;RIGHT("0"&amp;MONTH($N15),2)&amp;"."&amp;YEAR($N15)&amp;" haftalık muhasebe hizmet ücreti"))</f>
        <v/>
      </c>
      <c r="P15" s="3">
        <f>IF($N15="","","TAHAKKUK")</f>
        <v/>
      </c>
      <c r="Q15" s="3" t="n"/>
      <c r="R15" s="3">
        <f>IF($N15="",0,$X15)</f>
        <v/>
      </c>
      <c r="S15" s="3" t="n">
        <v>0</v>
      </c>
      <c r="T15" s="3">
        <f>IF($N15="",10000000000,$N15*100000+$M15)</f>
        <v/>
      </c>
      <c r="U15" s="3">
        <f>$AB$4</f>
        <v/>
      </c>
      <c r="V15" s="3" t="n">
        <v>3</v>
      </c>
      <c r="W15" s="3">
        <f>IF($U15=0,"",IF(INDEX(UCRETLER!$D$7:$D$406,$U15)="","",IF(INDEX(UCRETLER!$F$7:$F$406,$U15)="Aylık",EOMONTH(INDEX(UCRETLER!$D$7:$D$406,$U15),$V15-1),INDEX(UCRETLER!$D$7:$D$406,$U15)+MOD(SISTEM!$F$8-WEEKDAY(INDEX(UCRETLER!$D$7:$D$406,$U15),2),7)+7*($V15-1))))</f>
        <v/>
      </c>
      <c r="X15" s="3">
        <f>IF($U15=0,0,INDEX(UCRETLER!$G$7:$G$406,$U15))</f>
        <v/>
      </c>
      <c r="Y15" s="3">
        <f>IFERROR(SMALL($T$12:$T$432,ROW()-11),"")</f>
        <v/>
      </c>
      <c r="Z15" s="3">
        <f>IFERROR(MATCH($Y15,$T$12:$T$432,0),"")</f>
        <v/>
      </c>
      <c r="AA15" s="3" t="n"/>
      <c r="AB15" s="3" t="n"/>
      <c r="AC15" s="3" t="n"/>
      <c r="AD15" s="3" t="n"/>
    </row>
    <row r="16">
      <c r="A16" s="6" t="n"/>
      <c r="B16" s="153">
        <f>IF($C16="","",ROW()-11)</f>
        <v/>
      </c>
      <c r="C16" s="240">
        <f>IF($Z16="","",IF(INDEX($N$12:$N$432,$Z16)="","",INDEX($N$12:$N$432,$Z16)))</f>
        <v/>
      </c>
      <c r="D16" s="29">
        <f>IF($C16="","",INDEX($O$12:$O$432,$Z16))</f>
        <v/>
      </c>
      <c r="E16" s="153">
        <f>IF($C16="","",INDEX($P$12:$P$432,$Z16))</f>
        <v/>
      </c>
      <c r="F16" s="241">
        <f>IF($C16="","",INDEX($R$12:$R$432,$Z16))</f>
        <v/>
      </c>
      <c r="G16" s="241">
        <f>IF($C16="","",INDEX($S$12:$S$432,$Z16))</f>
        <v/>
      </c>
      <c r="H16" s="241">
        <f>IF($C16="","",N($H15)+$F16-$G16)</f>
        <v/>
      </c>
      <c r="I16" s="6" t="n"/>
      <c r="J16" s="6" t="n"/>
      <c r="K16" s="3" t="n"/>
      <c r="L16" s="3" t="n"/>
      <c r="M16" s="3" t="n">
        <v>5</v>
      </c>
      <c r="N16" s="3">
        <f>IF(OR($U16=0,$W16="",$X16&lt;=0),"",IF($W16&gt;TODAY(),"",IF(AND(INDEX(UCRETLER!$E$7:$E$406,$U16)&lt;&gt;"",$W16&gt;INDEX(UCRETLER!$E$7:$E$406,$U16)),"",$W16)))</f>
        <v/>
      </c>
      <c r="O16" s="3">
        <f>IF($N16="","",IF(INDEX(UCRETLER!$F$7:$F$406,$U16)="Aylık",CHOOSE(MONTH($N16),"Ocak","Şubat","Mart","Nisan","Mayıs","Haziran","Temmuz","Ağustos","Eylül","Ekim","Kasım","Aralık")&amp;" "&amp;YEAR($N16)&amp;" aylık muhasebe hizmet ücreti",RIGHT("0"&amp;DAY($N16),2)&amp;"."&amp;RIGHT("0"&amp;MONTH($N16),2)&amp;"."&amp;YEAR($N16)&amp;" haftalık muhasebe hizmet ücreti"))</f>
        <v/>
      </c>
      <c r="P16" s="3">
        <f>IF($N16="","","TAHAKKUK")</f>
        <v/>
      </c>
      <c r="Q16" s="3" t="n"/>
      <c r="R16" s="3">
        <f>IF($N16="",0,$X16)</f>
        <v/>
      </c>
      <c r="S16" s="3" t="n">
        <v>0</v>
      </c>
      <c r="T16" s="3">
        <f>IF($N16="",10000000000,$N16*100000+$M16)</f>
        <v/>
      </c>
      <c r="U16" s="3">
        <f>$AB$4</f>
        <v/>
      </c>
      <c r="V16" s="3" t="n">
        <v>4</v>
      </c>
      <c r="W16" s="3">
        <f>IF($U16=0,"",IF(INDEX(UCRETLER!$D$7:$D$406,$U16)="","",IF(INDEX(UCRETLER!$F$7:$F$406,$U16)="Aylık",EOMONTH(INDEX(UCRETLER!$D$7:$D$406,$U16),$V16-1),INDEX(UCRETLER!$D$7:$D$406,$U16)+MOD(SISTEM!$F$8-WEEKDAY(INDEX(UCRETLER!$D$7:$D$406,$U16),2),7)+7*($V16-1))))</f>
        <v/>
      </c>
      <c r="X16" s="3">
        <f>IF($U16=0,0,INDEX(UCRETLER!$G$7:$G$406,$U16))</f>
        <v/>
      </c>
      <c r="Y16" s="3">
        <f>IFERROR(SMALL($T$12:$T$432,ROW()-11),"")</f>
        <v/>
      </c>
      <c r="Z16" s="3">
        <f>IFERROR(MATCH($Y16,$T$12:$T$432,0),"")</f>
        <v/>
      </c>
      <c r="AA16" s="3" t="n"/>
      <c r="AB16" s="3" t="n"/>
      <c r="AC16" s="3" t="n"/>
      <c r="AD16" s="3" t="n"/>
    </row>
    <row r="17">
      <c r="A17" s="6" t="n"/>
      <c r="B17" s="153">
        <f>IF($C17="","",ROW()-11)</f>
        <v/>
      </c>
      <c r="C17" s="240">
        <f>IF($Z17="","",IF(INDEX($N$12:$N$432,$Z17)="","",INDEX($N$12:$N$432,$Z17)))</f>
        <v/>
      </c>
      <c r="D17" s="29">
        <f>IF($C17="","",INDEX($O$12:$O$432,$Z17))</f>
        <v/>
      </c>
      <c r="E17" s="153">
        <f>IF($C17="","",INDEX($P$12:$P$432,$Z17))</f>
        <v/>
      </c>
      <c r="F17" s="241">
        <f>IF($C17="","",INDEX($R$12:$R$432,$Z17))</f>
        <v/>
      </c>
      <c r="G17" s="241">
        <f>IF($C17="","",INDEX($S$12:$S$432,$Z17))</f>
        <v/>
      </c>
      <c r="H17" s="241">
        <f>IF($C17="","",N($H16)+$F17-$G17)</f>
        <v/>
      </c>
      <c r="I17" s="6" t="n"/>
      <c r="J17" s="6" t="n"/>
      <c r="K17" s="3" t="n"/>
      <c r="L17" s="3" t="n"/>
      <c r="M17" s="3" t="n">
        <v>6</v>
      </c>
      <c r="N17" s="3">
        <f>IF(OR($U17=0,$W17="",$X17&lt;=0),"",IF($W17&gt;TODAY(),"",IF(AND(INDEX(UCRETLER!$E$7:$E$406,$U17)&lt;&gt;"",$W17&gt;INDEX(UCRETLER!$E$7:$E$406,$U17)),"",$W17)))</f>
        <v/>
      </c>
      <c r="O17" s="3">
        <f>IF($N17="","",IF(INDEX(UCRETLER!$F$7:$F$406,$U17)="Aylık",CHOOSE(MONTH($N17),"Ocak","Şubat","Mart","Nisan","Mayıs","Haziran","Temmuz","Ağustos","Eylül","Ekim","Kasım","Aralık")&amp;" "&amp;YEAR($N17)&amp;" aylık muhasebe hizmet ücreti",RIGHT("0"&amp;DAY($N17),2)&amp;"."&amp;RIGHT("0"&amp;MONTH($N17),2)&amp;"."&amp;YEAR($N17)&amp;" haftalık muhasebe hizmet ücreti"))</f>
        <v/>
      </c>
      <c r="P17" s="3">
        <f>IF($N17="","","TAHAKKUK")</f>
        <v/>
      </c>
      <c r="Q17" s="3" t="n"/>
      <c r="R17" s="3">
        <f>IF($N17="",0,$X17)</f>
        <v/>
      </c>
      <c r="S17" s="3" t="n">
        <v>0</v>
      </c>
      <c r="T17" s="3">
        <f>IF($N17="",10000000000,$N17*100000+$M17)</f>
        <v/>
      </c>
      <c r="U17" s="3">
        <f>$AB$4</f>
        <v/>
      </c>
      <c r="V17" s="3" t="n">
        <v>5</v>
      </c>
      <c r="W17" s="3">
        <f>IF($U17=0,"",IF(INDEX(UCRETLER!$D$7:$D$406,$U17)="","",IF(INDEX(UCRETLER!$F$7:$F$406,$U17)="Aylık",EOMONTH(INDEX(UCRETLER!$D$7:$D$406,$U17),$V17-1),INDEX(UCRETLER!$D$7:$D$406,$U17)+MOD(SISTEM!$F$8-WEEKDAY(INDEX(UCRETLER!$D$7:$D$406,$U17),2),7)+7*($V17-1))))</f>
        <v/>
      </c>
      <c r="X17" s="3">
        <f>IF($U17=0,0,INDEX(UCRETLER!$G$7:$G$406,$U17))</f>
        <v/>
      </c>
      <c r="Y17" s="3">
        <f>IFERROR(SMALL($T$12:$T$432,ROW()-11),"")</f>
        <v/>
      </c>
      <c r="Z17" s="3">
        <f>IFERROR(MATCH($Y17,$T$12:$T$432,0),"")</f>
        <v/>
      </c>
      <c r="AA17" s="3" t="n"/>
      <c r="AB17" s="3" t="n"/>
      <c r="AC17" s="3" t="n"/>
      <c r="AD17" s="3" t="n"/>
    </row>
    <row r="18">
      <c r="A18" s="6" t="n"/>
      <c r="B18" s="153">
        <f>IF($C18="","",ROW()-11)</f>
        <v/>
      </c>
      <c r="C18" s="240">
        <f>IF($Z18="","",IF(INDEX($N$12:$N$432,$Z18)="","",INDEX($N$12:$N$432,$Z18)))</f>
        <v/>
      </c>
      <c r="D18" s="29">
        <f>IF($C18="","",INDEX($O$12:$O$432,$Z18))</f>
        <v/>
      </c>
      <c r="E18" s="153">
        <f>IF($C18="","",INDEX($P$12:$P$432,$Z18))</f>
        <v/>
      </c>
      <c r="F18" s="241">
        <f>IF($C18="","",INDEX($R$12:$R$432,$Z18))</f>
        <v/>
      </c>
      <c r="G18" s="241">
        <f>IF($C18="","",INDEX($S$12:$S$432,$Z18))</f>
        <v/>
      </c>
      <c r="H18" s="241">
        <f>IF($C18="","",N($H17)+$F18-$G18)</f>
        <v/>
      </c>
      <c r="I18" s="6" t="n"/>
      <c r="J18" s="6" t="n"/>
      <c r="K18" s="3" t="n"/>
      <c r="L18" s="3" t="n"/>
      <c r="M18" s="3" t="n">
        <v>7</v>
      </c>
      <c r="N18" s="3">
        <f>IF(OR($U18=0,$W18="",$X18&lt;=0),"",IF($W18&gt;TODAY(),"",IF(AND(INDEX(UCRETLER!$E$7:$E$406,$U18)&lt;&gt;"",$W18&gt;INDEX(UCRETLER!$E$7:$E$406,$U18)),"",$W18)))</f>
        <v/>
      </c>
      <c r="O18" s="3">
        <f>IF($N18="","",IF(INDEX(UCRETLER!$F$7:$F$406,$U18)="Aylık",CHOOSE(MONTH($N18),"Ocak","Şubat","Mart","Nisan","Mayıs","Haziran","Temmuz","Ağustos","Eylül","Ekim","Kasım","Aralık")&amp;" "&amp;YEAR($N18)&amp;" aylık muhasebe hizmet ücreti",RIGHT("0"&amp;DAY($N18),2)&amp;"."&amp;RIGHT("0"&amp;MONTH($N18),2)&amp;"."&amp;YEAR($N18)&amp;" haftalık muhasebe hizmet ücreti"))</f>
        <v/>
      </c>
      <c r="P18" s="3">
        <f>IF($N18="","","TAHAKKUK")</f>
        <v/>
      </c>
      <c r="Q18" s="3" t="n"/>
      <c r="R18" s="3">
        <f>IF($N18="",0,$X18)</f>
        <v/>
      </c>
      <c r="S18" s="3" t="n">
        <v>0</v>
      </c>
      <c r="T18" s="3">
        <f>IF($N18="",10000000000,$N18*100000+$M18)</f>
        <v/>
      </c>
      <c r="U18" s="3">
        <f>$AB$4</f>
        <v/>
      </c>
      <c r="V18" s="3" t="n">
        <v>6</v>
      </c>
      <c r="W18" s="3">
        <f>IF($U18=0,"",IF(INDEX(UCRETLER!$D$7:$D$406,$U18)="","",IF(INDEX(UCRETLER!$F$7:$F$406,$U18)="Aylık",EOMONTH(INDEX(UCRETLER!$D$7:$D$406,$U18),$V18-1),INDEX(UCRETLER!$D$7:$D$406,$U18)+MOD(SISTEM!$F$8-WEEKDAY(INDEX(UCRETLER!$D$7:$D$406,$U18),2),7)+7*($V18-1))))</f>
        <v/>
      </c>
      <c r="X18" s="3">
        <f>IF($U18=0,0,INDEX(UCRETLER!$G$7:$G$406,$U18))</f>
        <v/>
      </c>
      <c r="Y18" s="3">
        <f>IFERROR(SMALL($T$12:$T$432,ROW()-11),"")</f>
        <v/>
      </c>
      <c r="Z18" s="3">
        <f>IFERROR(MATCH($Y18,$T$12:$T$432,0),"")</f>
        <v/>
      </c>
      <c r="AA18" s="3" t="n"/>
      <c r="AB18" s="3" t="n"/>
      <c r="AC18" s="3" t="n"/>
      <c r="AD18" s="3" t="n"/>
    </row>
    <row r="19">
      <c r="A19" s="6" t="n"/>
      <c r="B19" s="153">
        <f>IF($C19="","",ROW()-11)</f>
        <v/>
      </c>
      <c r="C19" s="240">
        <f>IF($Z19="","",IF(INDEX($N$12:$N$432,$Z19)="","",INDEX($N$12:$N$432,$Z19)))</f>
        <v/>
      </c>
      <c r="D19" s="29">
        <f>IF($C19="","",INDEX($O$12:$O$432,$Z19))</f>
        <v/>
      </c>
      <c r="E19" s="153">
        <f>IF($C19="","",INDEX($P$12:$P$432,$Z19))</f>
        <v/>
      </c>
      <c r="F19" s="241">
        <f>IF($C19="","",INDEX($R$12:$R$432,$Z19))</f>
        <v/>
      </c>
      <c r="G19" s="241">
        <f>IF($C19="","",INDEX($S$12:$S$432,$Z19))</f>
        <v/>
      </c>
      <c r="H19" s="241">
        <f>IF($C19="","",N($H18)+$F19-$G19)</f>
        <v/>
      </c>
      <c r="I19" s="6" t="n"/>
      <c r="J19" s="6" t="n"/>
      <c r="K19" s="3" t="n"/>
      <c r="L19" s="3" t="n"/>
      <c r="M19" s="3" t="n">
        <v>8</v>
      </c>
      <c r="N19" s="3">
        <f>IF(OR($U19=0,$W19="",$X19&lt;=0),"",IF($W19&gt;TODAY(),"",IF(AND(INDEX(UCRETLER!$E$7:$E$406,$U19)&lt;&gt;"",$W19&gt;INDEX(UCRETLER!$E$7:$E$406,$U19)),"",$W19)))</f>
        <v/>
      </c>
      <c r="O19" s="3">
        <f>IF($N19="","",IF(INDEX(UCRETLER!$F$7:$F$406,$U19)="Aylık",CHOOSE(MONTH($N19),"Ocak","Şubat","Mart","Nisan","Mayıs","Haziran","Temmuz","Ağustos","Eylül","Ekim","Kasım","Aralık")&amp;" "&amp;YEAR($N19)&amp;" aylık muhasebe hizmet ücreti",RIGHT("0"&amp;DAY($N19),2)&amp;"."&amp;RIGHT("0"&amp;MONTH($N19),2)&amp;"."&amp;YEAR($N19)&amp;" haftalık muhasebe hizmet ücreti"))</f>
        <v/>
      </c>
      <c r="P19" s="3">
        <f>IF($N19="","","TAHAKKUK")</f>
        <v/>
      </c>
      <c r="Q19" s="3" t="n"/>
      <c r="R19" s="3">
        <f>IF($N19="",0,$X19)</f>
        <v/>
      </c>
      <c r="S19" s="3" t="n">
        <v>0</v>
      </c>
      <c r="T19" s="3">
        <f>IF($N19="",10000000000,$N19*100000+$M19)</f>
        <v/>
      </c>
      <c r="U19" s="3">
        <f>$AB$4</f>
        <v/>
      </c>
      <c r="V19" s="3" t="n">
        <v>7</v>
      </c>
      <c r="W19" s="3">
        <f>IF($U19=0,"",IF(INDEX(UCRETLER!$D$7:$D$406,$U19)="","",IF(INDEX(UCRETLER!$F$7:$F$406,$U19)="Aylık",EOMONTH(INDEX(UCRETLER!$D$7:$D$406,$U19),$V19-1),INDEX(UCRETLER!$D$7:$D$406,$U19)+MOD(SISTEM!$F$8-WEEKDAY(INDEX(UCRETLER!$D$7:$D$406,$U19),2),7)+7*($V19-1))))</f>
        <v/>
      </c>
      <c r="X19" s="3">
        <f>IF($U19=0,0,INDEX(UCRETLER!$G$7:$G$406,$U19))</f>
        <v/>
      </c>
      <c r="Y19" s="3">
        <f>IFERROR(SMALL($T$12:$T$432,ROW()-11),"")</f>
        <v/>
      </c>
      <c r="Z19" s="3">
        <f>IFERROR(MATCH($Y19,$T$12:$T$432,0),"")</f>
        <v/>
      </c>
      <c r="AA19" s="3" t="n"/>
      <c r="AB19" s="3" t="n"/>
      <c r="AC19" s="3" t="n"/>
      <c r="AD19" s="3" t="n"/>
    </row>
    <row r="20">
      <c r="A20" s="6" t="n"/>
      <c r="B20" s="153">
        <f>IF($C20="","",ROW()-11)</f>
        <v/>
      </c>
      <c r="C20" s="240">
        <f>IF($Z20="","",IF(INDEX($N$12:$N$432,$Z20)="","",INDEX($N$12:$N$432,$Z20)))</f>
        <v/>
      </c>
      <c r="D20" s="29">
        <f>IF($C20="","",INDEX($O$12:$O$432,$Z20))</f>
        <v/>
      </c>
      <c r="E20" s="153">
        <f>IF($C20="","",INDEX($P$12:$P$432,$Z20))</f>
        <v/>
      </c>
      <c r="F20" s="241">
        <f>IF($C20="","",INDEX($R$12:$R$432,$Z20))</f>
        <v/>
      </c>
      <c r="G20" s="241">
        <f>IF($C20="","",INDEX($S$12:$S$432,$Z20))</f>
        <v/>
      </c>
      <c r="H20" s="241">
        <f>IF($C20="","",N($H19)+$F20-$G20)</f>
        <v/>
      </c>
      <c r="I20" s="6" t="n"/>
      <c r="J20" s="6" t="n"/>
      <c r="K20" s="3" t="n"/>
      <c r="L20" s="3" t="n"/>
      <c r="M20" s="3" t="n">
        <v>9</v>
      </c>
      <c r="N20" s="3">
        <f>IF(OR($U20=0,$W20="",$X20&lt;=0),"",IF($W20&gt;TODAY(),"",IF(AND(INDEX(UCRETLER!$E$7:$E$406,$U20)&lt;&gt;"",$W20&gt;INDEX(UCRETLER!$E$7:$E$406,$U20)),"",$W20)))</f>
        <v/>
      </c>
      <c r="O20" s="3">
        <f>IF($N20="","",IF(INDEX(UCRETLER!$F$7:$F$406,$U20)="Aylık",CHOOSE(MONTH($N20),"Ocak","Şubat","Mart","Nisan","Mayıs","Haziran","Temmuz","Ağustos","Eylül","Ekim","Kasım","Aralık")&amp;" "&amp;YEAR($N20)&amp;" aylık muhasebe hizmet ücreti",RIGHT("0"&amp;DAY($N20),2)&amp;"."&amp;RIGHT("0"&amp;MONTH($N20),2)&amp;"."&amp;YEAR($N20)&amp;" haftalık muhasebe hizmet ücreti"))</f>
        <v/>
      </c>
      <c r="P20" s="3">
        <f>IF($N20="","","TAHAKKUK")</f>
        <v/>
      </c>
      <c r="Q20" s="3" t="n"/>
      <c r="R20" s="3">
        <f>IF($N20="",0,$X20)</f>
        <v/>
      </c>
      <c r="S20" s="3" t="n">
        <v>0</v>
      </c>
      <c r="T20" s="3">
        <f>IF($N20="",10000000000,$N20*100000+$M20)</f>
        <v/>
      </c>
      <c r="U20" s="3">
        <f>$AB$4</f>
        <v/>
      </c>
      <c r="V20" s="3" t="n">
        <v>8</v>
      </c>
      <c r="W20" s="3">
        <f>IF($U20=0,"",IF(INDEX(UCRETLER!$D$7:$D$406,$U20)="","",IF(INDEX(UCRETLER!$F$7:$F$406,$U20)="Aylık",EOMONTH(INDEX(UCRETLER!$D$7:$D$406,$U20),$V20-1),INDEX(UCRETLER!$D$7:$D$406,$U20)+MOD(SISTEM!$F$8-WEEKDAY(INDEX(UCRETLER!$D$7:$D$406,$U20),2),7)+7*($V20-1))))</f>
        <v/>
      </c>
      <c r="X20" s="3">
        <f>IF($U20=0,0,INDEX(UCRETLER!$G$7:$G$406,$U20))</f>
        <v/>
      </c>
      <c r="Y20" s="3">
        <f>IFERROR(SMALL($T$12:$T$432,ROW()-11),"")</f>
        <v/>
      </c>
      <c r="Z20" s="3">
        <f>IFERROR(MATCH($Y20,$T$12:$T$432,0),"")</f>
        <v/>
      </c>
      <c r="AA20" s="3" t="n"/>
      <c r="AB20" s="3" t="n"/>
      <c r="AC20" s="3" t="n"/>
      <c r="AD20" s="3" t="n"/>
    </row>
    <row r="21">
      <c r="A21" s="6" t="n"/>
      <c r="B21" s="153">
        <f>IF($C21="","",ROW()-11)</f>
        <v/>
      </c>
      <c r="C21" s="240">
        <f>IF($Z21="","",IF(INDEX($N$12:$N$432,$Z21)="","",INDEX($N$12:$N$432,$Z21)))</f>
        <v/>
      </c>
      <c r="D21" s="29">
        <f>IF($C21="","",INDEX($O$12:$O$432,$Z21))</f>
        <v/>
      </c>
      <c r="E21" s="153">
        <f>IF($C21="","",INDEX($P$12:$P$432,$Z21))</f>
        <v/>
      </c>
      <c r="F21" s="241">
        <f>IF($C21="","",INDEX($R$12:$R$432,$Z21))</f>
        <v/>
      </c>
      <c r="G21" s="241">
        <f>IF($C21="","",INDEX($S$12:$S$432,$Z21))</f>
        <v/>
      </c>
      <c r="H21" s="241">
        <f>IF($C21="","",N($H20)+$F21-$G21)</f>
        <v/>
      </c>
      <c r="I21" s="6" t="n"/>
      <c r="J21" s="6" t="n"/>
      <c r="K21" s="3" t="n"/>
      <c r="L21" s="3" t="n"/>
      <c r="M21" s="3" t="n">
        <v>10</v>
      </c>
      <c r="N21" s="3">
        <f>IF(OR($U21=0,$W21="",$X21&lt;=0),"",IF($W21&gt;TODAY(),"",IF(AND(INDEX(UCRETLER!$E$7:$E$406,$U21)&lt;&gt;"",$W21&gt;INDEX(UCRETLER!$E$7:$E$406,$U21)),"",$W21)))</f>
        <v/>
      </c>
      <c r="O21" s="3">
        <f>IF($N21="","",IF(INDEX(UCRETLER!$F$7:$F$406,$U21)="Aylık",CHOOSE(MONTH($N21),"Ocak","Şubat","Mart","Nisan","Mayıs","Haziran","Temmuz","Ağustos","Eylül","Ekim","Kasım","Aralık")&amp;" "&amp;YEAR($N21)&amp;" aylık muhasebe hizmet ücreti",RIGHT("0"&amp;DAY($N21),2)&amp;"."&amp;RIGHT("0"&amp;MONTH($N21),2)&amp;"."&amp;YEAR($N21)&amp;" haftalık muhasebe hizmet ücreti"))</f>
        <v/>
      </c>
      <c r="P21" s="3">
        <f>IF($N21="","","TAHAKKUK")</f>
        <v/>
      </c>
      <c r="Q21" s="3" t="n"/>
      <c r="R21" s="3">
        <f>IF($N21="",0,$X21)</f>
        <v/>
      </c>
      <c r="S21" s="3" t="n">
        <v>0</v>
      </c>
      <c r="T21" s="3">
        <f>IF($N21="",10000000000,$N21*100000+$M21)</f>
        <v/>
      </c>
      <c r="U21" s="3">
        <f>$AB$4</f>
        <v/>
      </c>
      <c r="V21" s="3" t="n">
        <v>9</v>
      </c>
      <c r="W21" s="3">
        <f>IF($U21=0,"",IF(INDEX(UCRETLER!$D$7:$D$406,$U21)="","",IF(INDEX(UCRETLER!$F$7:$F$406,$U21)="Aylık",EOMONTH(INDEX(UCRETLER!$D$7:$D$406,$U21),$V21-1),INDEX(UCRETLER!$D$7:$D$406,$U21)+MOD(SISTEM!$F$8-WEEKDAY(INDEX(UCRETLER!$D$7:$D$406,$U21),2),7)+7*($V21-1))))</f>
        <v/>
      </c>
      <c r="X21" s="3">
        <f>IF($U21=0,0,INDEX(UCRETLER!$G$7:$G$406,$U21))</f>
        <v/>
      </c>
      <c r="Y21" s="3">
        <f>IFERROR(SMALL($T$12:$T$432,ROW()-11),"")</f>
        <v/>
      </c>
      <c r="Z21" s="3">
        <f>IFERROR(MATCH($Y21,$T$12:$T$432,0),"")</f>
        <v/>
      </c>
      <c r="AA21" s="3" t="n"/>
      <c r="AB21" s="3" t="n"/>
      <c r="AC21" s="3" t="n"/>
      <c r="AD21" s="3" t="n"/>
    </row>
    <row r="22">
      <c r="A22" s="6" t="n"/>
      <c r="B22" s="153">
        <f>IF($C22="","",ROW()-11)</f>
        <v/>
      </c>
      <c r="C22" s="240">
        <f>IF($Z22="","",IF(INDEX($N$12:$N$432,$Z22)="","",INDEX($N$12:$N$432,$Z22)))</f>
        <v/>
      </c>
      <c r="D22" s="29">
        <f>IF($C22="","",INDEX($O$12:$O$432,$Z22))</f>
        <v/>
      </c>
      <c r="E22" s="153">
        <f>IF($C22="","",INDEX($P$12:$P$432,$Z22))</f>
        <v/>
      </c>
      <c r="F22" s="241">
        <f>IF($C22="","",INDEX($R$12:$R$432,$Z22))</f>
        <v/>
      </c>
      <c r="G22" s="241">
        <f>IF($C22="","",INDEX($S$12:$S$432,$Z22))</f>
        <v/>
      </c>
      <c r="H22" s="241">
        <f>IF($C22="","",N($H21)+$F22-$G22)</f>
        <v/>
      </c>
      <c r="I22" s="6" t="n"/>
      <c r="J22" s="6" t="n"/>
      <c r="K22" s="3" t="n"/>
      <c r="L22" s="3" t="n"/>
      <c r="M22" s="3" t="n">
        <v>11</v>
      </c>
      <c r="N22" s="3">
        <f>IF(OR($U22=0,$W22="",$X22&lt;=0),"",IF($W22&gt;TODAY(),"",IF(AND(INDEX(UCRETLER!$E$7:$E$406,$U22)&lt;&gt;"",$W22&gt;INDEX(UCRETLER!$E$7:$E$406,$U22)),"",$W22)))</f>
        <v/>
      </c>
      <c r="O22" s="3">
        <f>IF($N22="","",IF(INDEX(UCRETLER!$F$7:$F$406,$U22)="Aylık",CHOOSE(MONTH($N22),"Ocak","Şubat","Mart","Nisan","Mayıs","Haziran","Temmuz","Ağustos","Eylül","Ekim","Kasım","Aralık")&amp;" "&amp;YEAR($N22)&amp;" aylık muhasebe hizmet ücreti",RIGHT("0"&amp;DAY($N22),2)&amp;"."&amp;RIGHT("0"&amp;MONTH($N22),2)&amp;"."&amp;YEAR($N22)&amp;" haftalık muhasebe hizmet ücreti"))</f>
        <v/>
      </c>
      <c r="P22" s="3">
        <f>IF($N22="","","TAHAKKUK")</f>
        <v/>
      </c>
      <c r="Q22" s="3" t="n"/>
      <c r="R22" s="3">
        <f>IF($N22="",0,$X22)</f>
        <v/>
      </c>
      <c r="S22" s="3" t="n">
        <v>0</v>
      </c>
      <c r="T22" s="3">
        <f>IF($N22="",10000000000,$N22*100000+$M22)</f>
        <v/>
      </c>
      <c r="U22" s="3">
        <f>$AB$4</f>
        <v/>
      </c>
      <c r="V22" s="3" t="n">
        <v>10</v>
      </c>
      <c r="W22" s="3">
        <f>IF($U22=0,"",IF(INDEX(UCRETLER!$D$7:$D$406,$U22)="","",IF(INDEX(UCRETLER!$F$7:$F$406,$U22)="Aylık",EOMONTH(INDEX(UCRETLER!$D$7:$D$406,$U22),$V22-1),INDEX(UCRETLER!$D$7:$D$406,$U22)+MOD(SISTEM!$F$8-WEEKDAY(INDEX(UCRETLER!$D$7:$D$406,$U22),2),7)+7*($V22-1))))</f>
        <v/>
      </c>
      <c r="X22" s="3">
        <f>IF($U22=0,0,INDEX(UCRETLER!$G$7:$G$406,$U22))</f>
        <v/>
      </c>
      <c r="Y22" s="3">
        <f>IFERROR(SMALL($T$12:$T$432,ROW()-11),"")</f>
        <v/>
      </c>
      <c r="Z22" s="3">
        <f>IFERROR(MATCH($Y22,$T$12:$T$432,0),"")</f>
        <v/>
      </c>
      <c r="AA22" s="3" t="n"/>
      <c r="AB22" s="3" t="n"/>
      <c r="AC22" s="3" t="n"/>
      <c r="AD22" s="3" t="n"/>
    </row>
    <row r="23">
      <c r="A23" s="6" t="n"/>
      <c r="B23" s="153">
        <f>IF($C23="","",ROW()-11)</f>
        <v/>
      </c>
      <c r="C23" s="240">
        <f>IF($Z23="","",IF(INDEX($N$12:$N$432,$Z23)="","",INDEX($N$12:$N$432,$Z23)))</f>
        <v/>
      </c>
      <c r="D23" s="29">
        <f>IF($C23="","",INDEX($O$12:$O$432,$Z23))</f>
        <v/>
      </c>
      <c r="E23" s="153">
        <f>IF($C23="","",INDEX($P$12:$P$432,$Z23))</f>
        <v/>
      </c>
      <c r="F23" s="241">
        <f>IF($C23="","",INDEX($R$12:$R$432,$Z23))</f>
        <v/>
      </c>
      <c r="G23" s="241">
        <f>IF($C23="","",INDEX($S$12:$S$432,$Z23))</f>
        <v/>
      </c>
      <c r="H23" s="241">
        <f>IF($C23="","",N($H22)+$F23-$G23)</f>
        <v/>
      </c>
      <c r="I23" s="6" t="n"/>
      <c r="J23" s="6" t="n"/>
      <c r="K23" s="3" t="n"/>
      <c r="L23" s="3" t="n"/>
      <c r="M23" s="3" t="n">
        <v>12</v>
      </c>
      <c r="N23" s="3">
        <f>IF(OR($U23=0,$W23="",$X23&lt;=0),"",IF($W23&gt;TODAY(),"",IF(AND(INDEX(UCRETLER!$E$7:$E$406,$U23)&lt;&gt;"",$W23&gt;INDEX(UCRETLER!$E$7:$E$406,$U23)),"",$W23)))</f>
        <v/>
      </c>
      <c r="O23" s="3">
        <f>IF($N23="","",IF(INDEX(UCRETLER!$F$7:$F$406,$U23)="Aylık",CHOOSE(MONTH($N23),"Ocak","Şubat","Mart","Nisan","Mayıs","Haziran","Temmuz","Ağustos","Eylül","Ekim","Kasım","Aralık")&amp;" "&amp;YEAR($N23)&amp;" aylık muhasebe hizmet ücreti",RIGHT("0"&amp;DAY($N23),2)&amp;"."&amp;RIGHT("0"&amp;MONTH($N23),2)&amp;"."&amp;YEAR($N23)&amp;" haftalık muhasebe hizmet ücreti"))</f>
        <v/>
      </c>
      <c r="P23" s="3">
        <f>IF($N23="","","TAHAKKUK")</f>
        <v/>
      </c>
      <c r="Q23" s="3" t="n"/>
      <c r="R23" s="3">
        <f>IF($N23="",0,$X23)</f>
        <v/>
      </c>
      <c r="S23" s="3" t="n">
        <v>0</v>
      </c>
      <c r="T23" s="3">
        <f>IF($N23="",10000000000,$N23*100000+$M23)</f>
        <v/>
      </c>
      <c r="U23" s="3">
        <f>$AB$4</f>
        <v/>
      </c>
      <c r="V23" s="3" t="n">
        <v>11</v>
      </c>
      <c r="W23" s="3">
        <f>IF($U23=0,"",IF(INDEX(UCRETLER!$D$7:$D$406,$U23)="","",IF(INDEX(UCRETLER!$F$7:$F$406,$U23)="Aylık",EOMONTH(INDEX(UCRETLER!$D$7:$D$406,$U23),$V23-1),INDEX(UCRETLER!$D$7:$D$406,$U23)+MOD(SISTEM!$F$8-WEEKDAY(INDEX(UCRETLER!$D$7:$D$406,$U23),2),7)+7*($V23-1))))</f>
        <v/>
      </c>
      <c r="X23" s="3">
        <f>IF($U23=0,0,INDEX(UCRETLER!$G$7:$G$406,$U23))</f>
        <v/>
      </c>
      <c r="Y23" s="3">
        <f>IFERROR(SMALL($T$12:$T$432,ROW()-11),"")</f>
        <v/>
      </c>
      <c r="Z23" s="3">
        <f>IFERROR(MATCH($Y23,$T$12:$T$432,0),"")</f>
        <v/>
      </c>
      <c r="AA23" s="3" t="n"/>
      <c r="AB23" s="3" t="n"/>
      <c r="AC23" s="3" t="n"/>
      <c r="AD23" s="3" t="n"/>
    </row>
    <row r="24">
      <c r="A24" s="6" t="n"/>
      <c r="B24" s="153">
        <f>IF($C24="","",ROW()-11)</f>
        <v/>
      </c>
      <c r="C24" s="240">
        <f>IF($Z24="","",IF(INDEX($N$12:$N$432,$Z24)="","",INDEX($N$12:$N$432,$Z24)))</f>
        <v/>
      </c>
      <c r="D24" s="29">
        <f>IF($C24="","",INDEX($O$12:$O$432,$Z24))</f>
        <v/>
      </c>
      <c r="E24" s="153">
        <f>IF($C24="","",INDEX($P$12:$P$432,$Z24))</f>
        <v/>
      </c>
      <c r="F24" s="241">
        <f>IF($C24="","",INDEX($R$12:$R$432,$Z24))</f>
        <v/>
      </c>
      <c r="G24" s="241">
        <f>IF($C24="","",INDEX($S$12:$S$432,$Z24))</f>
        <v/>
      </c>
      <c r="H24" s="241">
        <f>IF($C24="","",N($H23)+$F24-$G24)</f>
        <v/>
      </c>
      <c r="I24" s="6" t="n"/>
      <c r="J24" s="6" t="n"/>
      <c r="K24" s="3" t="n"/>
      <c r="L24" s="3" t="n"/>
      <c r="M24" s="3" t="n">
        <v>13</v>
      </c>
      <c r="N24" s="3">
        <f>IF(OR($U24=0,$W24="",$X24&lt;=0),"",IF($W24&gt;TODAY(),"",IF(AND(INDEX(UCRETLER!$E$7:$E$406,$U24)&lt;&gt;"",$W24&gt;INDEX(UCRETLER!$E$7:$E$406,$U24)),"",$W24)))</f>
        <v/>
      </c>
      <c r="O24" s="3">
        <f>IF($N24="","",IF(INDEX(UCRETLER!$F$7:$F$406,$U24)="Aylık",CHOOSE(MONTH($N24),"Ocak","Şubat","Mart","Nisan","Mayıs","Haziran","Temmuz","Ağustos","Eylül","Ekim","Kasım","Aralık")&amp;" "&amp;YEAR($N24)&amp;" aylık muhasebe hizmet ücreti",RIGHT("0"&amp;DAY($N24),2)&amp;"."&amp;RIGHT("0"&amp;MONTH($N24),2)&amp;"."&amp;YEAR($N24)&amp;" haftalık muhasebe hizmet ücreti"))</f>
        <v/>
      </c>
      <c r="P24" s="3">
        <f>IF($N24="","","TAHAKKUK")</f>
        <v/>
      </c>
      <c r="Q24" s="3" t="n"/>
      <c r="R24" s="3">
        <f>IF($N24="",0,$X24)</f>
        <v/>
      </c>
      <c r="S24" s="3" t="n">
        <v>0</v>
      </c>
      <c r="T24" s="3">
        <f>IF($N24="",10000000000,$N24*100000+$M24)</f>
        <v/>
      </c>
      <c r="U24" s="3">
        <f>$AB$4</f>
        <v/>
      </c>
      <c r="V24" s="3" t="n">
        <v>12</v>
      </c>
      <c r="W24" s="3">
        <f>IF($U24=0,"",IF(INDEX(UCRETLER!$D$7:$D$406,$U24)="","",IF(INDEX(UCRETLER!$F$7:$F$406,$U24)="Aylık",EOMONTH(INDEX(UCRETLER!$D$7:$D$406,$U24),$V24-1),INDEX(UCRETLER!$D$7:$D$406,$U24)+MOD(SISTEM!$F$8-WEEKDAY(INDEX(UCRETLER!$D$7:$D$406,$U24),2),7)+7*($V24-1))))</f>
        <v/>
      </c>
      <c r="X24" s="3">
        <f>IF($U24=0,0,INDEX(UCRETLER!$G$7:$G$406,$U24))</f>
        <v/>
      </c>
      <c r="Y24" s="3">
        <f>IFERROR(SMALL($T$12:$T$432,ROW()-11),"")</f>
        <v/>
      </c>
      <c r="Z24" s="3">
        <f>IFERROR(MATCH($Y24,$T$12:$T$432,0),"")</f>
        <v/>
      </c>
      <c r="AA24" s="3" t="n"/>
      <c r="AB24" s="3" t="n"/>
      <c r="AC24" s="3" t="n"/>
      <c r="AD24" s="3" t="n"/>
    </row>
    <row r="25">
      <c r="A25" s="6" t="n"/>
      <c r="B25" s="153">
        <f>IF($C25="","",ROW()-11)</f>
        <v/>
      </c>
      <c r="C25" s="240">
        <f>IF($Z25="","",IF(INDEX($N$12:$N$432,$Z25)="","",INDEX($N$12:$N$432,$Z25)))</f>
        <v/>
      </c>
      <c r="D25" s="29">
        <f>IF($C25="","",INDEX($O$12:$O$432,$Z25))</f>
        <v/>
      </c>
      <c r="E25" s="153">
        <f>IF($C25="","",INDEX($P$12:$P$432,$Z25))</f>
        <v/>
      </c>
      <c r="F25" s="241">
        <f>IF($C25="","",INDEX($R$12:$R$432,$Z25))</f>
        <v/>
      </c>
      <c r="G25" s="241">
        <f>IF($C25="","",INDEX($S$12:$S$432,$Z25))</f>
        <v/>
      </c>
      <c r="H25" s="241">
        <f>IF($C25="","",N($H24)+$F25-$G25)</f>
        <v/>
      </c>
      <c r="I25" s="6" t="n"/>
      <c r="J25" s="6" t="n"/>
      <c r="K25" s="3" t="n"/>
      <c r="L25" s="3" t="n"/>
      <c r="M25" s="3" t="n">
        <v>14</v>
      </c>
      <c r="N25" s="3">
        <f>IF(OR($U25=0,$W25="",$X25&lt;=0),"",IF($W25&gt;TODAY(),"",IF(AND(INDEX(UCRETLER!$E$7:$E$406,$U25)&lt;&gt;"",$W25&gt;INDEX(UCRETLER!$E$7:$E$406,$U25)),"",$W25)))</f>
        <v/>
      </c>
      <c r="O25" s="3">
        <f>IF($N25="","",IF(INDEX(UCRETLER!$F$7:$F$406,$U25)="Aylık",CHOOSE(MONTH($N25),"Ocak","Şubat","Mart","Nisan","Mayıs","Haziran","Temmuz","Ağustos","Eylül","Ekim","Kasım","Aralık")&amp;" "&amp;YEAR($N25)&amp;" aylık muhasebe hizmet ücreti",RIGHT("0"&amp;DAY($N25),2)&amp;"."&amp;RIGHT("0"&amp;MONTH($N25),2)&amp;"."&amp;YEAR($N25)&amp;" haftalık muhasebe hizmet ücreti"))</f>
        <v/>
      </c>
      <c r="P25" s="3">
        <f>IF($N25="","","TAHAKKUK")</f>
        <v/>
      </c>
      <c r="Q25" s="3" t="n"/>
      <c r="R25" s="3">
        <f>IF($N25="",0,$X25)</f>
        <v/>
      </c>
      <c r="S25" s="3" t="n">
        <v>0</v>
      </c>
      <c r="T25" s="3">
        <f>IF($N25="",10000000000,$N25*100000+$M25)</f>
        <v/>
      </c>
      <c r="U25" s="3">
        <f>$AB$4</f>
        <v/>
      </c>
      <c r="V25" s="3" t="n">
        <v>13</v>
      </c>
      <c r="W25" s="3">
        <f>IF($U25=0,"",IF(INDEX(UCRETLER!$D$7:$D$406,$U25)="","",IF(INDEX(UCRETLER!$F$7:$F$406,$U25)="Aylık",EOMONTH(INDEX(UCRETLER!$D$7:$D$406,$U25),$V25-1),INDEX(UCRETLER!$D$7:$D$406,$U25)+MOD(SISTEM!$F$8-WEEKDAY(INDEX(UCRETLER!$D$7:$D$406,$U25),2),7)+7*($V25-1))))</f>
        <v/>
      </c>
      <c r="X25" s="3">
        <f>IF($U25=0,0,INDEX(UCRETLER!$G$7:$G$406,$U25))</f>
        <v/>
      </c>
      <c r="Y25" s="3">
        <f>IFERROR(SMALL($T$12:$T$432,ROW()-11),"")</f>
        <v/>
      </c>
      <c r="Z25" s="3">
        <f>IFERROR(MATCH($Y25,$T$12:$T$432,0),"")</f>
        <v/>
      </c>
      <c r="AA25" s="3" t="n"/>
      <c r="AB25" s="3" t="n"/>
      <c r="AC25" s="3" t="n"/>
      <c r="AD25" s="3" t="n"/>
    </row>
    <row r="26">
      <c r="A26" s="6" t="n"/>
      <c r="B26" s="153">
        <f>IF($C26="","",ROW()-11)</f>
        <v/>
      </c>
      <c r="C26" s="240">
        <f>IF($Z26="","",IF(INDEX($N$12:$N$432,$Z26)="","",INDEX($N$12:$N$432,$Z26)))</f>
        <v/>
      </c>
      <c r="D26" s="29">
        <f>IF($C26="","",INDEX($O$12:$O$432,$Z26))</f>
        <v/>
      </c>
      <c r="E26" s="153">
        <f>IF($C26="","",INDEX($P$12:$P$432,$Z26))</f>
        <v/>
      </c>
      <c r="F26" s="241">
        <f>IF($C26="","",INDEX($R$12:$R$432,$Z26))</f>
        <v/>
      </c>
      <c r="G26" s="241">
        <f>IF($C26="","",INDEX($S$12:$S$432,$Z26))</f>
        <v/>
      </c>
      <c r="H26" s="241">
        <f>IF($C26="","",N($H25)+$F26-$G26)</f>
        <v/>
      </c>
      <c r="I26" s="6" t="n"/>
      <c r="J26" s="6" t="n"/>
      <c r="K26" s="3" t="n"/>
      <c r="L26" s="3" t="n"/>
      <c r="M26" s="3" t="n">
        <v>15</v>
      </c>
      <c r="N26" s="3">
        <f>IF(OR($U26=0,$W26="",$X26&lt;=0),"",IF($W26&gt;TODAY(),"",IF(AND(INDEX(UCRETLER!$E$7:$E$406,$U26)&lt;&gt;"",$W26&gt;INDEX(UCRETLER!$E$7:$E$406,$U26)),"",$W26)))</f>
        <v/>
      </c>
      <c r="O26" s="3">
        <f>IF($N26="","",IF(INDEX(UCRETLER!$F$7:$F$406,$U26)="Aylık",CHOOSE(MONTH($N26),"Ocak","Şubat","Mart","Nisan","Mayıs","Haziran","Temmuz","Ağustos","Eylül","Ekim","Kasım","Aralık")&amp;" "&amp;YEAR($N26)&amp;" aylık muhasebe hizmet ücreti",RIGHT("0"&amp;DAY($N26),2)&amp;"."&amp;RIGHT("0"&amp;MONTH($N26),2)&amp;"."&amp;YEAR($N26)&amp;" haftalık muhasebe hizmet ücreti"))</f>
        <v/>
      </c>
      <c r="P26" s="3">
        <f>IF($N26="","","TAHAKKUK")</f>
        <v/>
      </c>
      <c r="Q26" s="3" t="n"/>
      <c r="R26" s="3">
        <f>IF($N26="",0,$X26)</f>
        <v/>
      </c>
      <c r="S26" s="3" t="n">
        <v>0</v>
      </c>
      <c r="T26" s="3">
        <f>IF($N26="",10000000000,$N26*100000+$M26)</f>
        <v/>
      </c>
      <c r="U26" s="3">
        <f>$AB$4</f>
        <v/>
      </c>
      <c r="V26" s="3" t="n">
        <v>14</v>
      </c>
      <c r="W26" s="3">
        <f>IF($U26=0,"",IF(INDEX(UCRETLER!$D$7:$D$406,$U26)="","",IF(INDEX(UCRETLER!$F$7:$F$406,$U26)="Aylık",EOMONTH(INDEX(UCRETLER!$D$7:$D$406,$U26),$V26-1),INDEX(UCRETLER!$D$7:$D$406,$U26)+MOD(SISTEM!$F$8-WEEKDAY(INDEX(UCRETLER!$D$7:$D$406,$U26),2),7)+7*($V26-1))))</f>
        <v/>
      </c>
      <c r="X26" s="3">
        <f>IF($U26=0,0,INDEX(UCRETLER!$G$7:$G$406,$U26))</f>
        <v/>
      </c>
      <c r="Y26" s="3">
        <f>IFERROR(SMALL($T$12:$T$432,ROW()-11),"")</f>
        <v/>
      </c>
      <c r="Z26" s="3">
        <f>IFERROR(MATCH($Y26,$T$12:$T$432,0),"")</f>
        <v/>
      </c>
      <c r="AA26" s="3" t="n"/>
      <c r="AB26" s="3" t="n"/>
      <c r="AC26" s="3" t="n"/>
      <c r="AD26" s="3" t="n"/>
    </row>
    <row r="27">
      <c r="A27" s="6" t="n"/>
      <c r="B27" s="153">
        <f>IF($C27="","",ROW()-11)</f>
        <v/>
      </c>
      <c r="C27" s="240">
        <f>IF($Z27="","",IF(INDEX($N$12:$N$432,$Z27)="","",INDEX($N$12:$N$432,$Z27)))</f>
        <v/>
      </c>
      <c r="D27" s="29">
        <f>IF($C27="","",INDEX($O$12:$O$432,$Z27))</f>
        <v/>
      </c>
      <c r="E27" s="153">
        <f>IF($C27="","",INDEX($P$12:$P$432,$Z27))</f>
        <v/>
      </c>
      <c r="F27" s="241">
        <f>IF($C27="","",INDEX($R$12:$R$432,$Z27))</f>
        <v/>
      </c>
      <c r="G27" s="241">
        <f>IF($C27="","",INDEX($S$12:$S$432,$Z27))</f>
        <v/>
      </c>
      <c r="H27" s="241">
        <f>IF($C27="","",N($H26)+$F27-$G27)</f>
        <v/>
      </c>
      <c r="I27" s="6" t="n"/>
      <c r="J27" s="6" t="n"/>
      <c r="K27" s="3" t="n"/>
      <c r="L27" s="3" t="n"/>
      <c r="M27" s="3" t="n">
        <v>16</v>
      </c>
      <c r="N27" s="3">
        <f>IF(OR($U27=0,$W27="",$X27&lt;=0),"",IF($W27&gt;TODAY(),"",IF(AND(INDEX(UCRETLER!$E$7:$E$406,$U27)&lt;&gt;"",$W27&gt;INDEX(UCRETLER!$E$7:$E$406,$U27)),"",$W27)))</f>
        <v/>
      </c>
      <c r="O27" s="3">
        <f>IF($N27="","",IF(INDEX(UCRETLER!$F$7:$F$406,$U27)="Aylık",CHOOSE(MONTH($N27),"Ocak","Şubat","Mart","Nisan","Mayıs","Haziran","Temmuz","Ağustos","Eylül","Ekim","Kasım","Aralık")&amp;" "&amp;YEAR($N27)&amp;" aylık muhasebe hizmet ücreti",RIGHT("0"&amp;DAY($N27),2)&amp;"."&amp;RIGHT("0"&amp;MONTH($N27),2)&amp;"."&amp;YEAR($N27)&amp;" haftalık muhasebe hizmet ücreti"))</f>
        <v/>
      </c>
      <c r="P27" s="3">
        <f>IF($N27="","","TAHAKKUK")</f>
        <v/>
      </c>
      <c r="Q27" s="3" t="n"/>
      <c r="R27" s="3">
        <f>IF($N27="",0,$X27)</f>
        <v/>
      </c>
      <c r="S27" s="3" t="n">
        <v>0</v>
      </c>
      <c r="T27" s="3">
        <f>IF($N27="",10000000000,$N27*100000+$M27)</f>
        <v/>
      </c>
      <c r="U27" s="3">
        <f>$AB$4</f>
        <v/>
      </c>
      <c r="V27" s="3" t="n">
        <v>15</v>
      </c>
      <c r="W27" s="3">
        <f>IF($U27=0,"",IF(INDEX(UCRETLER!$D$7:$D$406,$U27)="","",IF(INDEX(UCRETLER!$F$7:$F$406,$U27)="Aylık",EOMONTH(INDEX(UCRETLER!$D$7:$D$406,$U27),$V27-1),INDEX(UCRETLER!$D$7:$D$406,$U27)+MOD(SISTEM!$F$8-WEEKDAY(INDEX(UCRETLER!$D$7:$D$406,$U27),2),7)+7*($V27-1))))</f>
        <v/>
      </c>
      <c r="X27" s="3">
        <f>IF($U27=0,0,INDEX(UCRETLER!$G$7:$G$406,$U27))</f>
        <v/>
      </c>
      <c r="Y27" s="3">
        <f>IFERROR(SMALL($T$12:$T$432,ROW()-11),"")</f>
        <v/>
      </c>
      <c r="Z27" s="3">
        <f>IFERROR(MATCH($Y27,$T$12:$T$432,0),"")</f>
        <v/>
      </c>
      <c r="AA27" s="3" t="n"/>
      <c r="AB27" s="3" t="n"/>
      <c r="AC27" s="3" t="n"/>
      <c r="AD27" s="3" t="n"/>
    </row>
    <row r="28">
      <c r="A28" s="6" t="n"/>
      <c r="B28" s="153">
        <f>IF($C28="","",ROW()-11)</f>
        <v/>
      </c>
      <c r="C28" s="240">
        <f>IF($Z28="","",IF(INDEX($N$12:$N$432,$Z28)="","",INDEX($N$12:$N$432,$Z28)))</f>
        <v/>
      </c>
      <c r="D28" s="29">
        <f>IF($C28="","",INDEX($O$12:$O$432,$Z28))</f>
        <v/>
      </c>
      <c r="E28" s="153">
        <f>IF($C28="","",INDEX($P$12:$P$432,$Z28))</f>
        <v/>
      </c>
      <c r="F28" s="241">
        <f>IF($C28="","",INDEX($R$12:$R$432,$Z28))</f>
        <v/>
      </c>
      <c r="G28" s="241">
        <f>IF($C28="","",INDEX($S$12:$S$432,$Z28))</f>
        <v/>
      </c>
      <c r="H28" s="241">
        <f>IF($C28="","",N($H27)+$F28-$G28)</f>
        <v/>
      </c>
      <c r="I28" s="6" t="n"/>
      <c r="J28" s="6" t="n"/>
      <c r="K28" s="3" t="n"/>
      <c r="L28" s="3" t="n"/>
      <c r="M28" s="3" t="n">
        <v>17</v>
      </c>
      <c r="N28" s="3">
        <f>IF(OR($U28=0,$W28="",$X28&lt;=0),"",IF($W28&gt;TODAY(),"",IF(AND(INDEX(UCRETLER!$E$7:$E$406,$U28)&lt;&gt;"",$W28&gt;INDEX(UCRETLER!$E$7:$E$406,$U28)),"",$W28)))</f>
        <v/>
      </c>
      <c r="O28" s="3">
        <f>IF($N28="","",IF(INDEX(UCRETLER!$F$7:$F$406,$U28)="Aylık",CHOOSE(MONTH($N28),"Ocak","Şubat","Mart","Nisan","Mayıs","Haziran","Temmuz","Ağustos","Eylül","Ekim","Kasım","Aralık")&amp;" "&amp;YEAR($N28)&amp;" aylık muhasebe hizmet ücreti",RIGHT("0"&amp;DAY($N28),2)&amp;"."&amp;RIGHT("0"&amp;MONTH($N28),2)&amp;"."&amp;YEAR($N28)&amp;" haftalık muhasebe hizmet ücreti"))</f>
        <v/>
      </c>
      <c r="P28" s="3">
        <f>IF($N28="","","TAHAKKUK")</f>
        <v/>
      </c>
      <c r="Q28" s="3" t="n"/>
      <c r="R28" s="3">
        <f>IF($N28="",0,$X28)</f>
        <v/>
      </c>
      <c r="S28" s="3" t="n">
        <v>0</v>
      </c>
      <c r="T28" s="3">
        <f>IF($N28="",10000000000,$N28*100000+$M28)</f>
        <v/>
      </c>
      <c r="U28" s="3">
        <f>$AB$4</f>
        <v/>
      </c>
      <c r="V28" s="3" t="n">
        <v>16</v>
      </c>
      <c r="W28" s="3">
        <f>IF($U28=0,"",IF(INDEX(UCRETLER!$D$7:$D$406,$U28)="","",IF(INDEX(UCRETLER!$F$7:$F$406,$U28)="Aylık",EOMONTH(INDEX(UCRETLER!$D$7:$D$406,$U28),$V28-1),INDEX(UCRETLER!$D$7:$D$406,$U28)+MOD(SISTEM!$F$8-WEEKDAY(INDEX(UCRETLER!$D$7:$D$406,$U28),2),7)+7*($V28-1))))</f>
        <v/>
      </c>
      <c r="X28" s="3">
        <f>IF($U28=0,0,INDEX(UCRETLER!$G$7:$G$406,$U28))</f>
        <v/>
      </c>
      <c r="Y28" s="3">
        <f>IFERROR(SMALL($T$12:$T$432,ROW()-11),"")</f>
        <v/>
      </c>
      <c r="Z28" s="3">
        <f>IFERROR(MATCH($Y28,$T$12:$T$432,0),"")</f>
        <v/>
      </c>
      <c r="AA28" s="3" t="n"/>
      <c r="AB28" s="3" t="n"/>
      <c r="AC28" s="3" t="n"/>
      <c r="AD28" s="3" t="n"/>
    </row>
    <row r="29">
      <c r="A29" s="6" t="n"/>
      <c r="B29" s="153">
        <f>IF($C29="","",ROW()-11)</f>
        <v/>
      </c>
      <c r="C29" s="240">
        <f>IF($Z29="","",IF(INDEX($N$12:$N$432,$Z29)="","",INDEX($N$12:$N$432,$Z29)))</f>
        <v/>
      </c>
      <c r="D29" s="29">
        <f>IF($C29="","",INDEX($O$12:$O$432,$Z29))</f>
        <v/>
      </c>
      <c r="E29" s="153">
        <f>IF($C29="","",INDEX($P$12:$P$432,$Z29))</f>
        <v/>
      </c>
      <c r="F29" s="241">
        <f>IF($C29="","",INDEX($R$12:$R$432,$Z29))</f>
        <v/>
      </c>
      <c r="G29" s="241">
        <f>IF($C29="","",INDEX($S$12:$S$432,$Z29))</f>
        <v/>
      </c>
      <c r="H29" s="241">
        <f>IF($C29="","",N($H28)+$F29-$G29)</f>
        <v/>
      </c>
      <c r="I29" s="6" t="n"/>
      <c r="J29" s="6" t="n"/>
      <c r="K29" s="3" t="n"/>
      <c r="L29" s="3" t="n"/>
      <c r="M29" s="3" t="n">
        <v>18</v>
      </c>
      <c r="N29" s="3">
        <f>IF(OR($U29=0,$W29="",$X29&lt;=0),"",IF($W29&gt;TODAY(),"",IF(AND(INDEX(UCRETLER!$E$7:$E$406,$U29)&lt;&gt;"",$W29&gt;INDEX(UCRETLER!$E$7:$E$406,$U29)),"",$W29)))</f>
        <v/>
      </c>
      <c r="O29" s="3">
        <f>IF($N29="","",IF(INDEX(UCRETLER!$F$7:$F$406,$U29)="Aylık",CHOOSE(MONTH($N29),"Ocak","Şubat","Mart","Nisan","Mayıs","Haziran","Temmuz","Ağustos","Eylül","Ekim","Kasım","Aralık")&amp;" "&amp;YEAR($N29)&amp;" aylık muhasebe hizmet ücreti",RIGHT("0"&amp;DAY($N29),2)&amp;"."&amp;RIGHT("0"&amp;MONTH($N29),2)&amp;"."&amp;YEAR($N29)&amp;" haftalık muhasebe hizmet ücreti"))</f>
        <v/>
      </c>
      <c r="P29" s="3">
        <f>IF($N29="","","TAHAKKUK")</f>
        <v/>
      </c>
      <c r="Q29" s="3" t="n"/>
      <c r="R29" s="3">
        <f>IF($N29="",0,$X29)</f>
        <v/>
      </c>
      <c r="S29" s="3" t="n">
        <v>0</v>
      </c>
      <c r="T29" s="3">
        <f>IF($N29="",10000000000,$N29*100000+$M29)</f>
        <v/>
      </c>
      <c r="U29" s="3">
        <f>$AB$4</f>
        <v/>
      </c>
      <c r="V29" s="3" t="n">
        <v>17</v>
      </c>
      <c r="W29" s="3">
        <f>IF($U29=0,"",IF(INDEX(UCRETLER!$D$7:$D$406,$U29)="","",IF(INDEX(UCRETLER!$F$7:$F$406,$U29)="Aylık",EOMONTH(INDEX(UCRETLER!$D$7:$D$406,$U29),$V29-1),INDEX(UCRETLER!$D$7:$D$406,$U29)+MOD(SISTEM!$F$8-WEEKDAY(INDEX(UCRETLER!$D$7:$D$406,$U29),2),7)+7*($V29-1))))</f>
        <v/>
      </c>
      <c r="X29" s="3">
        <f>IF($U29=0,0,INDEX(UCRETLER!$G$7:$G$406,$U29))</f>
        <v/>
      </c>
      <c r="Y29" s="3">
        <f>IFERROR(SMALL($T$12:$T$432,ROW()-11),"")</f>
        <v/>
      </c>
      <c r="Z29" s="3">
        <f>IFERROR(MATCH($Y29,$T$12:$T$432,0),"")</f>
        <v/>
      </c>
      <c r="AA29" s="3" t="n"/>
      <c r="AB29" s="3" t="n"/>
      <c r="AC29" s="3" t="n"/>
      <c r="AD29" s="3" t="n"/>
    </row>
    <row r="30">
      <c r="A30" s="6" t="n"/>
      <c r="B30" s="153">
        <f>IF($C30="","",ROW()-11)</f>
        <v/>
      </c>
      <c r="C30" s="240">
        <f>IF($Z30="","",IF(INDEX($N$12:$N$432,$Z30)="","",INDEX($N$12:$N$432,$Z30)))</f>
        <v/>
      </c>
      <c r="D30" s="29">
        <f>IF($C30="","",INDEX($O$12:$O$432,$Z30))</f>
        <v/>
      </c>
      <c r="E30" s="153">
        <f>IF($C30="","",INDEX($P$12:$P$432,$Z30))</f>
        <v/>
      </c>
      <c r="F30" s="241">
        <f>IF($C30="","",INDEX($R$12:$R$432,$Z30))</f>
        <v/>
      </c>
      <c r="G30" s="241">
        <f>IF($C30="","",INDEX($S$12:$S$432,$Z30))</f>
        <v/>
      </c>
      <c r="H30" s="241">
        <f>IF($C30="","",N($H29)+$F30-$G30)</f>
        <v/>
      </c>
      <c r="I30" s="6" t="n"/>
      <c r="J30" s="6" t="n"/>
      <c r="K30" s="3" t="n"/>
      <c r="L30" s="3" t="n"/>
      <c r="M30" s="3" t="n">
        <v>19</v>
      </c>
      <c r="N30" s="3">
        <f>IF(OR($U30=0,$W30="",$X30&lt;=0),"",IF($W30&gt;TODAY(),"",IF(AND(INDEX(UCRETLER!$E$7:$E$406,$U30)&lt;&gt;"",$W30&gt;INDEX(UCRETLER!$E$7:$E$406,$U30)),"",$W30)))</f>
        <v/>
      </c>
      <c r="O30" s="3">
        <f>IF($N30="","",IF(INDEX(UCRETLER!$F$7:$F$406,$U30)="Aylık",CHOOSE(MONTH($N30),"Ocak","Şubat","Mart","Nisan","Mayıs","Haziran","Temmuz","Ağustos","Eylül","Ekim","Kasım","Aralık")&amp;" "&amp;YEAR($N30)&amp;" aylık muhasebe hizmet ücreti",RIGHT("0"&amp;DAY($N30),2)&amp;"."&amp;RIGHT("0"&amp;MONTH($N30),2)&amp;"."&amp;YEAR($N30)&amp;" haftalık muhasebe hizmet ücreti"))</f>
        <v/>
      </c>
      <c r="P30" s="3">
        <f>IF($N30="","","TAHAKKUK")</f>
        <v/>
      </c>
      <c r="Q30" s="3" t="n"/>
      <c r="R30" s="3">
        <f>IF($N30="",0,$X30)</f>
        <v/>
      </c>
      <c r="S30" s="3" t="n">
        <v>0</v>
      </c>
      <c r="T30" s="3">
        <f>IF($N30="",10000000000,$N30*100000+$M30)</f>
        <v/>
      </c>
      <c r="U30" s="3">
        <f>$AB$4</f>
        <v/>
      </c>
      <c r="V30" s="3" t="n">
        <v>18</v>
      </c>
      <c r="W30" s="3">
        <f>IF($U30=0,"",IF(INDEX(UCRETLER!$D$7:$D$406,$U30)="","",IF(INDEX(UCRETLER!$F$7:$F$406,$U30)="Aylık",EOMONTH(INDEX(UCRETLER!$D$7:$D$406,$U30),$V30-1),INDEX(UCRETLER!$D$7:$D$406,$U30)+MOD(SISTEM!$F$8-WEEKDAY(INDEX(UCRETLER!$D$7:$D$406,$U30),2),7)+7*($V30-1))))</f>
        <v/>
      </c>
      <c r="X30" s="3">
        <f>IF($U30=0,0,INDEX(UCRETLER!$G$7:$G$406,$U30))</f>
        <v/>
      </c>
      <c r="Y30" s="3">
        <f>IFERROR(SMALL($T$12:$T$432,ROW()-11),"")</f>
        <v/>
      </c>
      <c r="Z30" s="3">
        <f>IFERROR(MATCH($Y30,$T$12:$T$432,0),"")</f>
        <v/>
      </c>
      <c r="AA30" s="3" t="n"/>
      <c r="AB30" s="3" t="n"/>
      <c r="AC30" s="3" t="n"/>
      <c r="AD30" s="3" t="n"/>
    </row>
    <row r="31">
      <c r="A31" s="6" t="n"/>
      <c r="B31" s="153">
        <f>IF($C31="","",ROW()-11)</f>
        <v/>
      </c>
      <c r="C31" s="240">
        <f>IF($Z31="","",IF(INDEX($N$12:$N$432,$Z31)="","",INDEX($N$12:$N$432,$Z31)))</f>
        <v/>
      </c>
      <c r="D31" s="29">
        <f>IF($C31="","",INDEX($O$12:$O$432,$Z31))</f>
        <v/>
      </c>
      <c r="E31" s="153">
        <f>IF($C31="","",INDEX($P$12:$P$432,$Z31))</f>
        <v/>
      </c>
      <c r="F31" s="241">
        <f>IF($C31="","",INDEX($R$12:$R$432,$Z31))</f>
        <v/>
      </c>
      <c r="G31" s="241">
        <f>IF($C31="","",INDEX($S$12:$S$432,$Z31))</f>
        <v/>
      </c>
      <c r="H31" s="241">
        <f>IF($C31="","",N($H30)+$F31-$G31)</f>
        <v/>
      </c>
      <c r="I31" s="6" t="n"/>
      <c r="J31" s="6" t="n"/>
      <c r="K31" s="3" t="n"/>
      <c r="L31" s="3" t="n"/>
      <c r="M31" s="3" t="n">
        <v>20</v>
      </c>
      <c r="N31" s="3">
        <f>IF(OR($U31=0,$W31="",$X31&lt;=0),"",IF($W31&gt;TODAY(),"",IF(AND(INDEX(UCRETLER!$E$7:$E$406,$U31)&lt;&gt;"",$W31&gt;INDEX(UCRETLER!$E$7:$E$406,$U31)),"",$W31)))</f>
        <v/>
      </c>
      <c r="O31" s="3">
        <f>IF($N31="","",IF(INDEX(UCRETLER!$F$7:$F$406,$U31)="Aylık",CHOOSE(MONTH($N31),"Ocak","Şubat","Mart","Nisan","Mayıs","Haziran","Temmuz","Ağustos","Eylül","Ekim","Kasım","Aralık")&amp;" "&amp;YEAR($N31)&amp;" aylık muhasebe hizmet ücreti",RIGHT("0"&amp;DAY($N31),2)&amp;"."&amp;RIGHT("0"&amp;MONTH($N31),2)&amp;"."&amp;YEAR($N31)&amp;" haftalık muhasebe hizmet ücreti"))</f>
        <v/>
      </c>
      <c r="P31" s="3">
        <f>IF($N31="","","TAHAKKUK")</f>
        <v/>
      </c>
      <c r="Q31" s="3" t="n"/>
      <c r="R31" s="3">
        <f>IF($N31="",0,$X31)</f>
        <v/>
      </c>
      <c r="S31" s="3" t="n">
        <v>0</v>
      </c>
      <c r="T31" s="3">
        <f>IF($N31="",10000000000,$N31*100000+$M31)</f>
        <v/>
      </c>
      <c r="U31" s="3">
        <f>$AB$4</f>
        <v/>
      </c>
      <c r="V31" s="3" t="n">
        <v>19</v>
      </c>
      <c r="W31" s="3">
        <f>IF($U31=0,"",IF(INDEX(UCRETLER!$D$7:$D$406,$U31)="","",IF(INDEX(UCRETLER!$F$7:$F$406,$U31)="Aylık",EOMONTH(INDEX(UCRETLER!$D$7:$D$406,$U31),$V31-1),INDEX(UCRETLER!$D$7:$D$406,$U31)+MOD(SISTEM!$F$8-WEEKDAY(INDEX(UCRETLER!$D$7:$D$406,$U31),2),7)+7*($V31-1))))</f>
        <v/>
      </c>
      <c r="X31" s="3">
        <f>IF($U31=0,0,INDEX(UCRETLER!$G$7:$G$406,$U31))</f>
        <v/>
      </c>
      <c r="Y31" s="3">
        <f>IFERROR(SMALL($T$12:$T$432,ROW()-11),"")</f>
        <v/>
      </c>
      <c r="Z31" s="3">
        <f>IFERROR(MATCH($Y31,$T$12:$T$432,0),"")</f>
        <v/>
      </c>
      <c r="AA31" s="3" t="n"/>
      <c r="AB31" s="3" t="n"/>
      <c r="AC31" s="3" t="n"/>
      <c r="AD31" s="3" t="n"/>
    </row>
    <row r="32">
      <c r="A32" s="6" t="n"/>
      <c r="B32" s="153">
        <f>IF($C32="","",ROW()-11)</f>
        <v/>
      </c>
      <c r="C32" s="240">
        <f>IF($Z32="","",IF(INDEX($N$12:$N$432,$Z32)="","",INDEX($N$12:$N$432,$Z32)))</f>
        <v/>
      </c>
      <c r="D32" s="29">
        <f>IF($C32="","",INDEX($O$12:$O$432,$Z32))</f>
        <v/>
      </c>
      <c r="E32" s="153">
        <f>IF($C32="","",INDEX($P$12:$P$432,$Z32))</f>
        <v/>
      </c>
      <c r="F32" s="241">
        <f>IF($C32="","",INDEX($R$12:$R$432,$Z32))</f>
        <v/>
      </c>
      <c r="G32" s="241">
        <f>IF($C32="","",INDEX($S$12:$S$432,$Z32))</f>
        <v/>
      </c>
      <c r="H32" s="241">
        <f>IF($C32="","",N($H31)+$F32-$G32)</f>
        <v/>
      </c>
      <c r="I32" s="6" t="n"/>
      <c r="J32" s="6" t="n"/>
      <c r="K32" s="3" t="n"/>
      <c r="L32" s="3" t="n"/>
      <c r="M32" s="3" t="n">
        <v>21</v>
      </c>
      <c r="N32" s="3">
        <f>IF(OR($U32=0,$W32="",$X32&lt;=0),"",IF($W32&gt;TODAY(),"",IF(AND(INDEX(UCRETLER!$E$7:$E$406,$U32)&lt;&gt;"",$W32&gt;INDEX(UCRETLER!$E$7:$E$406,$U32)),"",$W32)))</f>
        <v/>
      </c>
      <c r="O32" s="3">
        <f>IF($N32="","",IF(INDEX(UCRETLER!$F$7:$F$406,$U32)="Aylık",CHOOSE(MONTH($N32),"Ocak","Şubat","Mart","Nisan","Mayıs","Haziran","Temmuz","Ağustos","Eylül","Ekim","Kasım","Aralık")&amp;" "&amp;YEAR($N32)&amp;" aylık muhasebe hizmet ücreti",RIGHT("0"&amp;DAY($N32),2)&amp;"."&amp;RIGHT("0"&amp;MONTH($N32),2)&amp;"."&amp;YEAR($N32)&amp;" haftalık muhasebe hizmet ücreti"))</f>
        <v/>
      </c>
      <c r="P32" s="3">
        <f>IF($N32="","","TAHAKKUK")</f>
        <v/>
      </c>
      <c r="Q32" s="3" t="n"/>
      <c r="R32" s="3">
        <f>IF($N32="",0,$X32)</f>
        <v/>
      </c>
      <c r="S32" s="3" t="n">
        <v>0</v>
      </c>
      <c r="T32" s="3">
        <f>IF($N32="",10000000000,$N32*100000+$M32)</f>
        <v/>
      </c>
      <c r="U32" s="3">
        <f>$AB$4</f>
        <v/>
      </c>
      <c r="V32" s="3" t="n">
        <v>20</v>
      </c>
      <c r="W32" s="3">
        <f>IF($U32=0,"",IF(INDEX(UCRETLER!$D$7:$D$406,$U32)="","",IF(INDEX(UCRETLER!$F$7:$F$406,$U32)="Aylık",EOMONTH(INDEX(UCRETLER!$D$7:$D$406,$U32),$V32-1),INDEX(UCRETLER!$D$7:$D$406,$U32)+MOD(SISTEM!$F$8-WEEKDAY(INDEX(UCRETLER!$D$7:$D$406,$U32),2),7)+7*($V32-1))))</f>
        <v/>
      </c>
      <c r="X32" s="3">
        <f>IF($U32=0,0,INDEX(UCRETLER!$G$7:$G$406,$U32))</f>
        <v/>
      </c>
      <c r="Y32" s="3">
        <f>IFERROR(SMALL($T$12:$T$432,ROW()-11),"")</f>
        <v/>
      </c>
      <c r="Z32" s="3">
        <f>IFERROR(MATCH($Y32,$T$12:$T$432,0),"")</f>
        <v/>
      </c>
      <c r="AA32" s="3" t="n"/>
      <c r="AB32" s="3" t="n"/>
      <c r="AC32" s="3" t="n"/>
      <c r="AD32" s="3" t="n"/>
    </row>
    <row r="33">
      <c r="A33" s="6" t="n"/>
      <c r="B33" s="153">
        <f>IF($C33="","",ROW()-11)</f>
        <v/>
      </c>
      <c r="C33" s="240">
        <f>IF($Z33="","",IF(INDEX($N$12:$N$432,$Z33)="","",INDEX($N$12:$N$432,$Z33)))</f>
        <v/>
      </c>
      <c r="D33" s="29">
        <f>IF($C33="","",INDEX($O$12:$O$432,$Z33))</f>
        <v/>
      </c>
      <c r="E33" s="153">
        <f>IF($C33="","",INDEX($P$12:$P$432,$Z33))</f>
        <v/>
      </c>
      <c r="F33" s="241">
        <f>IF($C33="","",INDEX($R$12:$R$432,$Z33))</f>
        <v/>
      </c>
      <c r="G33" s="241">
        <f>IF($C33="","",INDEX($S$12:$S$432,$Z33))</f>
        <v/>
      </c>
      <c r="H33" s="241">
        <f>IF($C33="","",N($H32)+$F33-$G33)</f>
        <v/>
      </c>
      <c r="I33" s="6" t="n"/>
      <c r="J33" s="6" t="n"/>
      <c r="K33" s="3" t="n"/>
      <c r="L33" s="3" t="n"/>
      <c r="M33" s="3" t="n">
        <v>22</v>
      </c>
      <c r="N33" s="3">
        <f>IF(OR($U33=0,$W33="",$X33&lt;=0),"",IF($W33&gt;TODAY(),"",IF(AND(INDEX(UCRETLER!$E$7:$E$406,$U33)&lt;&gt;"",$W33&gt;INDEX(UCRETLER!$E$7:$E$406,$U33)),"",$W33)))</f>
        <v/>
      </c>
      <c r="O33" s="3">
        <f>IF($N33="","",IF(INDEX(UCRETLER!$F$7:$F$406,$U33)="Aylık",CHOOSE(MONTH($N33),"Ocak","Şubat","Mart","Nisan","Mayıs","Haziran","Temmuz","Ağustos","Eylül","Ekim","Kasım","Aralık")&amp;" "&amp;YEAR($N33)&amp;" aylık muhasebe hizmet ücreti",RIGHT("0"&amp;DAY($N33),2)&amp;"."&amp;RIGHT("0"&amp;MONTH($N33),2)&amp;"."&amp;YEAR($N33)&amp;" haftalık muhasebe hizmet ücreti"))</f>
        <v/>
      </c>
      <c r="P33" s="3">
        <f>IF($N33="","","TAHAKKUK")</f>
        <v/>
      </c>
      <c r="Q33" s="3" t="n"/>
      <c r="R33" s="3">
        <f>IF($N33="",0,$X33)</f>
        <v/>
      </c>
      <c r="S33" s="3" t="n">
        <v>0</v>
      </c>
      <c r="T33" s="3">
        <f>IF($N33="",10000000000,$N33*100000+$M33)</f>
        <v/>
      </c>
      <c r="U33" s="3">
        <f>$AB$4</f>
        <v/>
      </c>
      <c r="V33" s="3" t="n">
        <v>21</v>
      </c>
      <c r="W33" s="3">
        <f>IF($U33=0,"",IF(INDEX(UCRETLER!$D$7:$D$406,$U33)="","",IF(INDEX(UCRETLER!$F$7:$F$406,$U33)="Aylık",EOMONTH(INDEX(UCRETLER!$D$7:$D$406,$U33),$V33-1),INDEX(UCRETLER!$D$7:$D$406,$U33)+MOD(SISTEM!$F$8-WEEKDAY(INDEX(UCRETLER!$D$7:$D$406,$U33),2),7)+7*($V33-1))))</f>
        <v/>
      </c>
      <c r="X33" s="3">
        <f>IF($U33=0,0,INDEX(UCRETLER!$G$7:$G$406,$U33))</f>
        <v/>
      </c>
      <c r="Y33" s="3">
        <f>IFERROR(SMALL($T$12:$T$432,ROW()-11),"")</f>
        <v/>
      </c>
      <c r="Z33" s="3">
        <f>IFERROR(MATCH($Y33,$T$12:$T$432,0),"")</f>
        <v/>
      </c>
      <c r="AA33" s="3" t="n"/>
      <c r="AB33" s="3" t="n"/>
      <c r="AC33" s="3" t="n"/>
      <c r="AD33" s="3" t="n"/>
    </row>
    <row r="34">
      <c r="A34" s="6" t="n"/>
      <c r="B34" s="153">
        <f>IF($C34="","",ROW()-11)</f>
        <v/>
      </c>
      <c r="C34" s="240">
        <f>IF($Z34="","",IF(INDEX($N$12:$N$432,$Z34)="","",INDEX($N$12:$N$432,$Z34)))</f>
        <v/>
      </c>
      <c r="D34" s="29">
        <f>IF($C34="","",INDEX($O$12:$O$432,$Z34))</f>
        <v/>
      </c>
      <c r="E34" s="153">
        <f>IF($C34="","",INDEX($P$12:$P$432,$Z34))</f>
        <v/>
      </c>
      <c r="F34" s="241">
        <f>IF($C34="","",INDEX($R$12:$R$432,$Z34))</f>
        <v/>
      </c>
      <c r="G34" s="241">
        <f>IF($C34="","",INDEX($S$12:$S$432,$Z34))</f>
        <v/>
      </c>
      <c r="H34" s="241">
        <f>IF($C34="","",N($H33)+$F34-$G34)</f>
        <v/>
      </c>
      <c r="I34" s="6" t="n"/>
      <c r="J34" s="6" t="n"/>
      <c r="K34" s="3" t="n"/>
      <c r="L34" s="3" t="n"/>
      <c r="M34" s="3" t="n">
        <v>23</v>
      </c>
      <c r="N34" s="3">
        <f>IF(OR($U34=0,$W34="",$X34&lt;=0),"",IF($W34&gt;TODAY(),"",IF(AND(INDEX(UCRETLER!$E$7:$E$406,$U34)&lt;&gt;"",$W34&gt;INDEX(UCRETLER!$E$7:$E$406,$U34)),"",$W34)))</f>
        <v/>
      </c>
      <c r="O34" s="3">
        <f>IF($N34="","",IF(INDEX(UCRETLER!$F$7:$F$406,$U34)="Aylık",CHOOSE(MONTH($N34),"Ocak","Şubat","Mart","Nisan","Mayıs","Haziran","Temmuz","Ağustos","Eylül","Ekim","Kasım","Aralık")&amp;" "&amp;YEAR($N34)&amp;" aylık muhasebe hizmet ücreti",RIGHT("0"&amp;DAY($N34),2)&amp;"."&amp;RIGHT("0"&amp;MONTH($N34),2)&amp;"."&amp;YEAR($N34)&amp;" haftalık muhasebe hizmet ücreti"))</f>
        <v/>
      </c>
      <c r="P34" s="3">
        <f>IF($N34="","","TAHAKKUK")</f>
        <v/>
      </c>
      <c r="Q34" s="3" t="n"/>
      <c r="R34" s="3">
        <f>IF($N34="",0,$X34)</f>
        <v/>
      </c>
      <c r="S34" s="3" t="n">
        <v>0</v>
      </c>
      <c r="T34" s="3">
        <f>IF($N34="",10000000000,$N34*100000+$M34)</f>
        <v/>
      </c>
      <c r="U34" s="3">
        <f>$AB$4</f>
        <v/>
      </c>
      <c r="V34" s="3" t="n">
        <v>22</v>
      </c>
      <c r="W34" s="3">
        <f>IF($U34=0,"",IF(INDEX(UCRETLER!$D$7:$D$406,$U34)="","",IF(INDEX(UCRETLER!$F$7:$F$406,$U34)="Aylık",EOMONTH(INDEX(UCRETLER!$D$7:$D$406,$U34),$V34-1),INDEX(UCRETLER!$D$7:$D$406,$U34)+MOD(SISTEM!$F$8-WEEKDAY(INDEX(UCRETLER!$D$7:$D$406,$U34),2),7)+7*($V34-1))))</f>
        <v/>
      </c>
      <c r="X34" s="3">
        <f>IF($U34=0,0,INDEX(UCRETLER!$G$7:$G$406,$U34))</f>
        <v/>
      </c>
      <c r="Y34" s="3">
        <f>IFERROR(SMALL($T$12:$T$432,ROW()-11),"")</f>
        <v/>
      </c>
      <c r="Z34" s="3">
        <f>IFERROR(MATCH($Y34,$T$12:$T$432,0),"")</f>
        <v/>
      </c>
      <c r="AA34" s="3" t="n"/>
      <c r="AB34" s="3" t="n"/>
      <c r="AC34" s="3" t="n"/>
      <c r="AD34" s="3" t="n"/>
    </row>
    <row r="35">
      <c r="A35" s="6" t="n"/>
      <c r="B35" s="153">
        <f>IF($C35="","",ROW()-11)</f>
        <v/>
      </c>
      <c r="C35" s="240">
        <f>IF($Z35="","",IF(INDEX($N$12:$N$432,$Z35)="","",INDEX($N$12:$N$432,$Z35)))</f>
        <v/>
      </c>
      <c r="D35" s="29">
        <f>IF($C35="","",INDEX($O$12:$O$432,$Z35))</f>
        <v/>
      </c>
      <c r="E35" s="153">
        <f>IF($C35="","",INDEX($P$12:$P$432,$Z35))</f>
        <v/>
      </c>
      <c r="F35" s="241">
        <f>IF($C35="","",INDEX($R$12:$R$432,$Z35))</f>
        <v/>
      </c>
      <c r="G35" s="241">
        <f>IF($C35="","",INDEX($S$12:$S$432,$Z35))</f>
        <v/>
      </c>
      <c r="H35" s="241">
        <f>IF($C35="","",N($H34)+$F35-$G35)</f>
        <v/>
      </c>
      <c r="I35" s="6" t="n"/>
      <c r="J35" s="6" t="n"/>
      <c r="K35" s="3" t="n"/>
      <c r="L35" s="3" t="n"/>
      <c r="M35" s="3" t="n">
        <v>24</v>
      </c>
      <c r="N35" s="3">
        <f>IF(OR($U35=0,$W35="",$X35&lt;=0),"",IF($W35&gt;TODAY(),"",IF(AND(INDEX(UCRETLER!$E$7:$E$406,$U35)&lt;&gt;"",$W35&gt;INDEX(UCRETLER!$E$7:$E$406,$U35)),"",$W35)))</f>
        <v/>
      </c>
      <c r="O35" s="3">
        <f>IF($N35="","",IF(INDEX(UCRETLER!$F$7:$F$406,$U35)="Aylık",CHOOSE(MONTH($N35),"Ocak","Şubat","Mart","Nisan","Mayıs","Haziran","Temmuz","Ağustos","Eylül","Ekim","Kasım","Aralık")&amp;" "&amp;YEAR($N35)&amp;" aylık muhasebe hizmet ücreti",RIGHT("0"&amp;DAY($N35),2)&amp;"."&amp;RIGHT("0"&amp;MONTH($N35),2)&amp;"."&amp;YEAR($N35)&amp;" haftalık muhasebe hizmet ücreti"))</f>
        <v/>
      </c>
      <c r="P35" s="3">
        <f>IF($N35="","","TAHAKKUK")</f>
        <v/>
      </c>
      <c r="Q35" s="3" t="n"/>
      <c r="R35" s="3">
        <f>IF($N35="",0,$X35)</f>
        <v/>
      </c>
      <c r="S35" s="3" t="n">
        <v>0</v>
      </c>
      <c r="T35" s="3">
        <f>IF($N35="",10000000000,$N35*100000+$M35)</f>
        <v/>
      </c>
      <c r="U35" s="3">
        <f>$AB$4</f>
        <v/>
      </c>
      <c r="V35" s="3" t="n">
        <v>23</v>
      </c>
      <c r="W35" s="3">
        <f>IF($U35=0,"",IF(INDEX(UCRETLER!$D$7:$D$406,$U35)="","",IF(INDEX(UCRETLER!$F$7:$F$406,$U35)="Aylık",EOMONTH(INDEX(UCRETLER!$D$7:$D$406,$U35),$V35-1),INDEX(UCRETLER!$D$7:$D$406,$U35)+MOD(SISTEM!$F$8-WEEKDAY(INDEX(UCRETLER!$D$7:$D$406,$U35),2),7)+7*($V35-1))))</f>
        <v/>
      </c>
      <c r="X35" s="3">
        <f>IF($U35=0,0,INDEX(UCRETLER!$G$7:$G$406,$U35))</f>
        <v/>
      </c>
      <c r="Y35" s="3">
        <f>IFERROR(SMALL($T$12:$T$432,ROW()-11),"")</f>
        <v/>
      </c>
      <c r="Z35" s="3">
        <f>IFERROR(MATCH($Y35,$T$12:$T$432,0),"")</f>
        <v/>
      </c>
      <c r="AA35" s="3" t="n"/>
      <c r="AB35" s="3" t="n"/>
      <c r="AC35" s="3" t="n"/>
      <c r="AD35" s="3" t="n"/>
    </row>
    <row r="36">
      <c r="A36" s="6" t="n"/>
      <c r="B36" s="153">
        <f>IF($C36="","",ROW()-11)</f>
        <v/>
      </c>
      <c r="C36" s="240">
        <f>IF($Z36="","",IF(INDEX($N$12:$N$432,$Z36)="","",INDEX($N$12:$N$432,$Z36)))</f>
        <v/>
      </c>
      <c r="D36" s="29">
        <f>IF($C36="","",INDEX($O$12:$O$432,$Z36))</f>
        <v/>
      </c>
      <c r="E36" s="153">
        <f>IF($C36="","",INDEX($P$12:$P$432,$Z36))</f>
        <v/>
      </c>
      <c r="F36" s="241">
        <f>IF($C36="","",INDEX($R$12:$R$432,$Z36))</f>
        <v/>
      </c>
      <c r="G36" s="241">
        <f>IF($C36="","",INDEX($S$12:$S$432,$Z36))</f>
        <v/>
      </c>
      <c r="H36" s="241">
        <f>IF($C36="","",N($H35)+$F36-$G36)</f>
        <v/>
      </c>
      <c r="I36" s="6" t="n"/>
      <c r="J36" s="6" t="n"/>
      <c r="K36" s="3" t="n"/>
      <c r="L36" s="3" t="n"/>
      <c r="M36" s="3" t="n">
        <v>25</v>
      </c>
      <c r="N36" s="3">
        <f>IF(OR($U36=0,$W36="",$X36&lt;=0),"",IF($W36&gt;TODAY(),"",IF(AND(INDEX(UCRETLER!$E$7:$E$406,$U36)&lt;&gt;"",$W36&gt;INDEX(UCRETLER!$E$7:$E$406,$U36)),"",$W36)))</f>
        <v/>
      </c>
      <c r="O36" s="3">
        <f>IF($N36="","",IF(INDEX(UCRETLER!$F$7:$F$406,$U36)="Aylık",CHOOSE(MONTH($N36),"Ocak","Şubat","Mart","Nisan","Mayıs","Haziran","Temmuz","Ağustos","Eylül","Ekim","Kasım","Aralık")&amp;" "&amp;YEAR($N36)&amp;" aylık muhasebe hizmet ücreti",RIGHT("0"&amp;DAY($N36),2)&amp;"."&amp;RIGHT("0"&amp;MONTH($N36),2)&amp;"."&amp;YEAR($N36)&amp;" haftalık muhasebe hizmet ücreti"))</f>
        <v/>
      </c>
      <c r="P36" s="3">
        <f>IF($N36="","","TAHAKKUK")</f>
        <v/>
      </c>
      <c r="Q36" s="3" t="n"/>
      <c r="R36" s="3">
        <f>IF($N36="",0,$X36)</f>
        <v/>
      </c>
      <c r="S36" s="3" t="n">
        <v>0</v>
      </c>
      <c r="T36" s="3">
        <f>IF($N36="",10000000000,$N36*100000+$M36)</f>
        <v/>
      </c>
      <c r="U36" s="3">
        <f>$AB$4</f>
        <v/>
      </c>
      <c r="V36" s="3" t="n">
        <v>24</v>
      </c>
      <c r="W36" s="3">
        <f>IF($U36=0,"",IF(INDEX(UCRETLER!$D$7:$D$406,$U36)="","",IF(INDEX(UCRETLER!$F$7:$F$406,$U36)="Aylık",EOMONTH(INDEX(UCRETLER!$D$7:$D$406,$U36),$V36-1),INDEX(UCRETLER!$D$7:$D$406,$U36)+MOD(SISTEM!$F$8-WEEKDAY(INDEX(UCRETLER!$D$7:$D$406,$U36),2),7)+7*($V36-1))))</f>
        <v/>
      </c>
      <c r="X36" s="3">
        <f>IF($U36=0,0,INDEX(UCRETLER!$G$7:$G$406,$U36))</f>
        <v/>
      </c>
      <c r="Y36" s="3">
        <f>IFERROR(SMALL($T$12:$T$432,ROW()-11),"")</f>
        <v/>
      </c>
      <c r="Z36" s="3">
        <f>IFERROR(MATCH($Y36,$T$12:$T$432,0),"")</f>
        <v/>
      </c>
      <c r="AA36" s="3" t="n"/>
      <c r="AB36" s="3" t="n"/>
      <c r="AC36" s="3" t="n"/>
      <c r="AD36" s="3" t="n"/>
    </row>
    <row r="37">
      <c r="A37" s="6" t="n"/>
      <c r="B37" s="153">
        <f>IF($C37="","",ROW()-11)</f>
        <v/>
      </c>
      <c r="C37" s="240">
        <f>IF($Z37="","",IF(INDEX($N$12:$N$432,$Z37)="","",INDEX($N$12:$N$432,$Z37)))</f>
        <v/>
      </c>
      <c r="D37" s="29">
        <f>IF($C37="","",INDEX($O$12:$O$432,$Z37))</f>
        <v/>
      </c>
      <c r="E37" s="153">
        <f>IF($C37="","",INDEX($P$12:$P$432,$Z37))</f>
        <v/>
      </c>
      <c r="F37" s="241">
        <f>IF($C37="","",INDEX($R$12:$R$432,$Z37))</f>
        <v/>
      </c>
      <c r="G37" s="241">
        <f>IF($C37="","",INDEX($S$12:$S$432,$Z37))</f>
        <v/>
      </c>
      <c r="H37" s="241">
        <f>IF($C37="","",N($H36)+$F37-$G37)</f>
        <v/>
      </c>
      <c r="I37" s="6" t="n"/>
      <c r="J37" s="6" t="n"/>
      <c r="K37" s="3" t="n"/>
      <c r="L37" s="3" t="n"/>
      <c r="M37" s="3" t="n">
        <v>26</v>
      </c>
      <c r="N37" s="3">
        <f>IF(OR($U37=0,$W37="",$X37&lt;=0),"",IF($W37&gt;TODAY(),"",IF(AND(INDEX(UCRETLER!$E$7:$E$406,$U37)&lt;&gt;"",$W37&gt;INDEX(UCRETLER!$E$7:$E$406,$U37)),"",$W37)))</f>
        <v/>
      </c>
      <c r="O37" s="3">
        <f>IF($N37="","",IF(INDEX(UCRETLER!$F$7:$F$406,$U37)="Aylık",CHOOSE(MONTH($N37),"Ocak","Şubat","Mart","Nisan","Mayıs","Haziran","Temmuz","Ağustos","Eylül","Ekim","Kasım","Aralık")&amp;" "&amp;YEAR($N37)&amp;" aylık muhasebe hizmet ücreti",RIGHT("0"&amp;DAY($N37),2)&amp;"."&amp;RIGHT("0"&amp;MONTH($N37),2)&amp;"."&amp;YEAR($N37)&amp;" haftalık muhasebe hizmet ücreti"))</f>
        <v/>
      </c>
      <c r="P37" s="3">
        <f>IF($N37="","","TAHAKKUK")</f>
        <v/>
      </c>
      <c r="Q37" s="3" t="n"/>
      <c r="R37" s="3">
        <f>IF($N37="",0,$X37)</f>
        <v/>
      </c>
      <c r="S37" s="3" t="n">
        <v>0</v>
      </c>
      <c r="T37" s="3">
        <f>IF($N37="",10000000000,$N37*100000+$M37)</f>
        <v/>
      </c>
      <c r="U37" s="3">
        <f>$AB$4</f>
        <v/>
      </c>
      <c r="V37" s="3" t="n">
        <v>25</v>
      </c>
      <c r="W37" s="3">
        <f>IF($U37=0,"",IF(INDEX(UCRETLER!$D$7:$D$406,$U37)="","",IF(INDEX(UCRETLER!$F$7:$F$406,$U37)="Aylık",EOMONTH(INDEX(UCRETLER!$D$7:$D$406,$U37),$V37-1),INDEX(UCRETLER!$D$7:$D$406,$U37)+MOD(SISTEM!$F$8-WEEKDAY(INDEX(UCRETLER!$D$7:$D$406,$U37),2),7)+7*($V37-1))))</f>
        <v/>
      </c>
      <c r="X37" s="3">
        <f>IF($U37=0,0,INDEX(UCRETLER!$G$7:$G$406,$U37))</f>
        <v/>
      </c>
      <c r="Y37" s="3">
        <f>IFERROR(SMALL($T$12:$T$432,ROW()-11),"")</f>
        <v/>
      </c>
      <c r="Z37" s="3">
        <f>IFERROR(MATCH($Y37,$T$12:$T$432,0),"")</f>
        <v/>
      </c>
      <c r="AA37" s="3" t="n"/>
      <c r="AB37" s="3" t="n"/>
      <c r="AC37" s="3" t="n"/>
      <c r="AD37" s="3" t="n"/>
    </row>
    <row r="38">
      <c r="A38" s="6" t="n"/>
      <c r="B38" s="153">
        <f>IF($C38="","",ROW()-11)</f>
        <v/>
      </c>
      <c r="C38" s="240">
        <f>IF($Z38="","",IF(INDEX($N$12:$N$432,$Z38)="","",INDEX($N$12:$N$432,$Z38)))</f>
        <v/>
      </c>
      <c r="D38" s="29">
        <f>IF($C38="","",INDEX($O$12:$O$432,$Z38))</f>
        <v/>
      </c>
      <c r="E38" s="153">
        <f>IF($C38="","",INDEX($P$12:$P$432,$Z38))</f>
        <v/>
      </c>
      <c r="F38" s="241">
        <f>IF($C38="","",INDEX($R$12:$R$432,$Z38))</f>
        <v/>
      </c>
      <c r="G38" s="241">
        <f>IF($C38="","",INDEX($S$12:$S$432,$Z38))</f>
        <v/>
      </c>
      <c r="H38" s="241">
        <f>IF($C38="","",N($H37)+$F38-$G38)</f>
        <v/>
      </c>
      <c r="I38" s="6" t="n"/>
      <c r="J38" s="6" t="n"/>
      <c r="K38" s="3" t="n"/>
      <c r="L38" s="3" t="n"/>
      <c r="M38" s="3" t="n">
        <v>27</v>
      </c>
      <c r="N38" s="3">
        <f>IF(OR($U38=0,$W38="",$X38&lt;=0),"",IF($W38&gt;TODAY(),"",IF(AND(INDEX(UCRETLER!$E$7:$E$406,$U38)&lt;&gt;"",$W38&gt;INDEX(UCRETLER!$E$7:$E$406,$U38)),"",$W38)))</f>
        <v/>
      </c>
      <c r="O38" s="3">
        <f>IF($N38="","",IF(INDEX(UCRETLER!$F$7:$F$406,$U38)="Aylık",CHOOSE(MONTH($N38),"Ocak","Şubat","Mart","Nisan","Mayıs","Haziran","Temmuz","Ağustos","Eylül","Ekim","Kasım","Aralık")&amp;" "&amp;YEAR($N38)&amp;" aylık muhasebe hizmet ücreti",RIGHT("0"&amp;DAY($N38),2)&amp;"."&amp;RIGHT("0"&amp;MONTH($N38),2)&amp;"."&amp;YEAR($N38)&amp;" haftalık muhasebe hizmet ücreti"))</f>
        <v/>
      </c>
      <c r="P38" s="3">
        <f>IF($N38="","","TAHAKKUK")</f>
        <v/>
      </c>
      <c r="Q38" s="3" t="n"/>
      <c r="R38" s="3">
        <f>IF($N38="",0,$X38)</f>
        <v/>
      </c>
      <c r="S38" s="3" t="n">
        <v>0</v>
      </c>
      <c r="T38" s="3">
        <f>IF($N38="",10000000000,$N38*100000+$M38)</f>
        <v/>
      </c>
      <c r="U38" s="3">
        <f>$AB$4</f>
        <v/>
      </c>
      <c r="V38" s="3" t="n">
        <v>26</v>
      </c>
      <c r="W38" s="3">
        <f>IF($U38=0,"",IF(INDEX(UCRETLER!$D$7:$D$406,$U38)="","",IF(INDEX(UCRETLER!$F$7:$F$406,$U38)="Aylık",EOMONTH(INDEX(UCRETLER!$D$7:$D$406,$U38),$V38-1),INDEX(UCRETLER!$D$7:$D$406,$U38)+MOD(SISTEM!$F$8-WEEKDAY(INDEX(UCRETLER!$D$7:$D$406,$U38),2),7)+7*($V38-1))))</f>
        <v/>
      </c>
      <c r="X38" s="3">
        <f>IF($U38=0,0,INDEX(UCRETLER!$G$7:$G$406,$U38))</f>
        <v/>
      </c>
      <c r="Y38" s="3">
        <f>IFERROR(SMALL($T$12:$T$432,ROW()-11),"")</f>
        <v/>
      </c>
      <c r="Z38" s="3">
        <f>IFERROR(MATCH($Y38,$T$12:$T$432,0),"")</f>
        <v/>
      </c>
      <c r="AA38" s="3" t="n"/>
      <c r="AB38" s="3" t="n"/>
      <c r="AC38" s="3" t="n"/>
      <c r="AD38" s="3" t="n"/>
    </row>
    <row r="39">
      <c r="A39" s="6" t="n"/>
      <c r="B39" s="153">
        <f>IF($C39="","",ROW()-11)</f>
        <v/>
      </c>
      <c r="C39" s="240">
        <f>IF($Z39="","",IF(INDEX($N$12:$N$432,$Z39)="","",INDEX($N$12:$N$432,$Z39)))</f>
        <v/>
      </c>
      <c r="D39" s="29">
        <f>IF($C39="","",INDEX($O$12:$O$432,$Z39))</f>
        <v/>
      </c>
      <c r="E39" s="153">
        <f>IF($C39="","",INDEX($P$12:$P$432,$Z39))</f>
        <v/>
      </c>
      <c r="F39" s="241">
        <f>IF($C39="","",INDEX($R$12:$R$432,$Z39))</f>
        <v/>
      </c>
      <c r="G39" s="241">
        <f>IF($C39="","",INDEX($S$12:$S$432,$Z39))</f>
        <v/>
      </c>
      <c r="H39" s="241">
        <f>IF($C39="","",N($H38)+$F39-$G39)</f>
        <v/>
      </c>
      <c r="I39" s="6" t="n"/>
      <c r="J39" s="6" t="n"/>
      <c r="K39" s="3" t="n"/>
      <c r="L39" s="3" t="n"/>
      <c r="M39" s="3" t="n">
        <v>28</v>
      </c>
      <c r="N39" s="3">
        <f>IF(OR($U39=0,$W39="",$X39&lt;=0),"",IF($W39&gt;TODAY(),"",IF(AND(INDEX(UCRETLER!$E$7:$E$406,$U39)&lt;&gt;"",$W39&gt;INDEX(UCRETLER!$E$7:$E$406,$U39)),"",$W39)))</f>
        <v/>
      </c>
      <c r="O39" s="3">
        <f>IF($N39="","",IF(INDEX(UCRETLER!$F$7:$F$406,$U39)="Aylık",CHOOSE(MONTH($N39),"Ocak","Şubat","Mart","Nisan","Mayıs","Haziran","Temmuz","Ağustos","Eylül","Ekim","Kasım","Aralık")&amp;" "&amp;YEAR($N39)&amp;" aylık muhasebe hizmet ücreti",RIGHT("0"&amp;DAY($N39),2)&amp;"."&amp;RIGHT("0"&amp;MONTH($N39),2)&amp;"."&amp;YEAR($N39)&amp;" haftalık muhasebe hizmet ücreti"))</f>
        <v/>
      </c>
      <c r="P39" s="3">
        <f>IF($N39="","","TAHAKKUK")</f>
        <v/>
      </c>
      <c r="Q39" s="3" t="n"/>
      <c r="R39" s="3">
        <f>IF($N39="",0,$X39)</f>
        <v/>
      </c>
      <c r="S39" s="3" t="n">
        <v>0</v>
      </c>
      <c r="T39" s="3">
        <f>IF($N39="",10000000000,$N39*100000+$M39)</f>
        <v/>
      </c>
      <c r="U39" s="3">
        <f>$AB$4</f>
        <v/>
      </c>
      <c r="V39" s="3" t="n">
        <v>27</v>
      </c>
      <c r="W39" s="3">
        <f>IF($U39=0,"",IF(INDEX(UCRETLER!$D$7:$D$406,$U39)="","",IF(INDEX(UCRETLER!$F$7:$F$406,$U39)="Aylık",EOMONTH(INDEX(UCRETLER!$D$7:$D$406,$U39),$V39-1),INDEX(UCRETLER!$D$7:$D$406,$U39)+MOD(SISTEM!$F$8-WEEKDAY(INDEX(UCRETLER!$D$7:$D$406,$U39),2),7)+7*($V39-1))))</f>
        <v/>
      </c>
      <c r="X39" s="3">
        <f>IF($U39=0,0,INDEX(UCRETLER!$G$7:$G$406,$U39))</f>
        <v/>
      </c>
      <c r="Y39" s="3">
        <f>IFERROR(SMALL($T$12:$T$432,ROW()-11),"")</f>
        <v/>
      </c>
      <c r="Z39" s="3">
        <f>IFERROR(MATCH($Y39,$T$12:$T$432,0),"")</f>
        <v/>
      </c>
      <c r="AA39" s="3" t="n"/>
      <c r="AB39" s="3" t="n"/>
      <c r="AC39" s="3" t="n"/>
      <c r="AD39" s="3" t="n"/>
    </row>
    <row r="40">
      <c r="A40" s="6" t="n"/>
      <c r="B40" s="153">
        <f>IF($C40="","",ROW()-11)</f>
        <v/>
      </c>
      <c r="C40" s="240">
        <f>IF($Z40="","",IF(INDEX($N$12:$N$432,$Z40)="","",INDEX($N$12:$N$432,$Z40)))</f>
        <v/>
      </c>
      <c r="D40" s="29">
        <f>IF($C40="","",INDEX($O$12:$O$432,$Z40))</f>
        <v/>
      </c>
      <c r="E40" s="153">
        <f>IF($C40="","",INDEX($P$12:$P$432,$Z40))</f>
        <v/>
      </c>
      <c r="F40" s="241">
        <f>IF($C40="","",INDEX($R$12:$R$432,$Z40))</f>
        <v/>
      </c>
      <c r="G40" s="241">
        <f>IF($C40="","",INDEX($S$12:$S$432,$Z40))</f>
        <v/>
      </c>
      <c r="H40" s="241">
        <f>IF($C40="","",N($H39)+$F40-$G40)</f>
        <v/>
      </c>
      <c r="I40" s="6" t="n"/>
      <c r="J40" s="6" t="n"/>
      <c r="K40" s="3" t="n"/>
      <c r="L40" s="3" t="n"/>
      <c r="M40" s="3" t="n">
        <v>29</v>
      </c>
      <c r="N40" s="3">
        <f>IF(OR($U40=0,$W40="",$X40&lt;=0),"",IF($W40&gt;TODAY(),"",IF(AND(INDEX(UCRETLER!$E$7:$E$406,$U40)&lt;&gt;"",$W40&gt;INDEX(UCRETLER!$E$7:$E$406,$U40)),"",$W40)))</f>
        <v/>
      </c>
      <c r="O40" s="3">
        <f>IF($N40="","",IF(INDEX(UCRETLER!$F$7:$F$406,$U40)="Aylık",CHOOSE(MONTH($N40),"Ocak","Şubat","Mart","Nisan","Mayıs","Haziran","Temmuz","Ağustos","Eylül","Ekim","Kasım","Aralık")&amp;" "&amp;YEAR($N40)&amp;" aylık muhasebe hizmet ücreti",RIGHT("0"&amp;DAY($N40),2)&amp;"."&amp;RIGHT("0"&amp;MONTH($N40),2)&amp;"."&amp;YEAR($N40)&amp;" haftalık muhasebe hizmet ücreti"))</f>
        <v/>
      </c>
      <c r="P40" s="3">
        <f>IF($N40="","","TAHAKKUK")</f>
        <v/>
      </c>
      <c r="Q40" s="3" t="n"/>
      <c r="R40" s="3">
        <f>IF($N40="",0,$X40)</f>
        <v/>
      </c>
      <c r="S40" s="3" t="n">
        <v>0</v>
      </c>
      <c r="T40" s="3">
        <f>IF($N40="",10000000000,$N40*100000+$M40)</f>
        <v/>
      </c>
      <c r="U40" s="3">
        <f>$AB$4</f>
        <v/>
      </c>
      <c r="V40" s="3" t="n">
        <v>28</v>
      </c>
      <c r="W40" s="3">
        <f>IF($U40=0,"",IF(INDEX(UCRETLER!$D$7:$D$406,$U40)="","",IF(INDEX(UCRETLER!$F$7:$F$406,$U40)="Aylık",EOMONTH(INDEX(UCRETLER!$D$7:$D$406,$U40),$V40-1),INDEX(UCRETLER!$D$7:$D$406,$U40)+MOD(SISTEM!$F$8-WEEKDAY(INDEX(UCRETLER!$D$7:$D$406,$U40),2),7)+7*($V40-1))))</f>
        <v/>
      </c>
      <c r="X40" s="3">
        <f>IF($U40=0,0,INDEX(UCRETLER!$G$7:$G$406,$U40))</f>
        <v/>
      </c>
      <c r="Y40" s="3">
        <f>IFERROR(SMALL($T$12:$T$432,ROW()-11),"")</f>
        <v/>
      </c>
      <c r="Z40" s="3">
        <f>IFERROR(MATCH($Y40,$T$12:$T$432,0),"")</f>
        <v/>
      </c>
      <c r="AA40" s="3" t="n"/>
      <c r="AB40" s="3" t="n"/>
      <c r="AC40" s="3" t="n"/>
      <c r="AD40" s="3" t="n"/>
    </row>
    <row r="41">
      <c r="A41" s="6" t="n"/>
      <c r="B41" s="153">
        <f>IF($C41="","",ROW()-11)</f>
        <v/>
      </c>
      <c r="C41" s="240">
        <f>IF($Z41="","",IF(INDEX($N$12:$N$432,$Z41)="","",INDEX($N$12:$N$432,$Z41)))</f>
        <v/>
      </c>
      <c r="D41" s="29">
        <f>IF($C41="","",INDEX($O$12:$O$432,$Z41))</f>
        <v/>
      </c>
      <c r="E41" s="153">
        <f>IF($C41="","",INDEX($P$12:$P$432,$Z41))</f>
        <v/>
      </c>
      <c r="F41" s="241">
        <f>IF($C41="","",INDEX($R$12:$R$432,$Z41))</f>
        <v/>
      </c>
      <c r="G41" s="241">
        <f>IF($C41="","",INDEX($S$12:$S$432,$Z41))</f>
        <v/>
      </c>
      <c r="H41" s="241">
        <f>IF($C41="","",N($H40)+$F41-$G41)</f>
        <v/>
      </c>
      <c r="I41" s="6" t="n"/>
      <c r="J41" s="6" t="n"/>
      <c r="K41" s="3" t="n"/>
      <c r="L41" s="3" t="n"/>
      <c r="M41" s="3" t="n">
        <v>30</v>
      </c>
      <c r="N41" s="3">
        <f>IF(OR($U41=0,$W41="",$X41&lt;=0),"",IF($W41&gt;TODAY(),"",IF(AND(INDEX(UCRETLER!$E$7:$E$406,$U41)&lt;&gt;"",$W41&gt;INDEX(UCRETLER!$E$7:$E$406,$U41)),"",$W41)))</f>
        <v/>
      </c>
      <c r="O41" s="3">
        <f>IF($N41="","",IF(INDEX(UCRETLER!$F$7:$F$406,$U41)="Aylık",CHOOSE(MONTH($N41),"Ocak","Şubat","Mart","Nisan","Mayıs","Haziran","Temmuz","Ağustos","Eylül","Ekim","Kasım","Aralık")&amp;" "&amp;YEAR($N41)&amp;" aylık muhasebe hizmet ücreti",RIGHT("0"&amp;DAY($N41),2)&amp;"."&amp;RIGHT("0"&amp;MONTH($N41),2)&amp;"."&amp;YEAR($N41)&amp;" haftalık muhasebe hizmet ücreti"))</f>
        <v/>
      </c>
      <c r="P41" s="3">
        <f>IF($N41="","","TAHAKKUK")</f>
        <v/>
      </c>
      <c r="Q41" s="3" t="n"/>
      <c r="R41" s="3">
        <f>IF($N41="",0,$X41)</f>
        <v/>
      </c>
      <c r="S41" s="3" t="n">
        <v>0</v>
      </c>
      <c r="T41" s="3">
        <f>IF($N41="",10000000000,$N41*100000+$M41)</f>
        <v/>
      </c>
      <c r="U41" s="3">
        <f>$AB$4</f>
        <v/>
      </c>
      <c r="V41" s="3" t="n">
        <v>29</v>
      </c>
      <c r="W41" s="3">
        <f>IF($U41=0,"",IF(INDEX(UCRETLER!$D$7:$D$406,$U41)="","",IF(INDEX(UCRETLER!$F$7:$F$406,$U41)="Aylık",EOMONTH(INDEX(UCRETLER!$D$7:$D$406,$U41),$V41-1),INDEX(UCRETLER!$D$7:$D$406,$U41)+MOD(SISTEM!$F$8-WEEKDAY(INDEX(UCRETLER!$D$7:$D$406,$U41),2),7)+7*($V41-1))))</f>
        <v/>
      </c>
      <c r="X41" s="3">
        <f>IF($U41=0,0,INDEX(UCRETLER!$G$7:$G$406,$U41))</f>
        <v/>
      </c>
      <c r="Y41" s="3">
        <f>IFERROR(SMALL($T$12:$T$432,ROW()-11),"")</f>
        <v/>
      </c>
      <c r="Z41" s="3">
        <f>IFERROR(MATCH($Y41,$T$12:$T$432,0),"")</f>
        <v/>
      </c>
      <c r="AA41" s="3" t="n"/>
      <c r="AB41" s="3" t="n"/>
      <c r="AC41" s="3" t="n"/>
      <c r="AD41" s="3" t="n"/>
    </row>
    <row r="42">
      <c r="A42" s="6" t="n"/>
      <c r="B42" s="153">
        <f>IF($C42="","",ROW()-11)</f>
        <v/>
      </c>
      <c r="C42" s="240">
        <f>IF($Z42="","",IF(INDEX($N$12:$N$432,$Z42)="","",INDEX($N$12:$N$432,$Z42)))</f>
        <v/>
      </c>
      <c r="D42" s="29">
        <f>IF($C42="","",INDEX($O$12:$O$432,$Z42))</f>
        <v/>
      </c>
      <c r="E42" s="153">
        <f>IF($C42="","",INDEX($P$12:$P$432,$Z42))</f>
        <v/>
      </c>
      <c r="F42" s="241">
        <f>IF($C42="","",INDEX($R$12:$R$432,$Z42))</f>
        <v/>
      </c>
      <c r="G42" s="241">
        <f>IF($C42="","",INDEX($S$12:$S$432,$Z42))</f>
        <v/>
      </c>
      <c r="H42" s="241">
        <f>IF($C42="","",N($H41)+$F42-$G42)</f>
        <v/>
      </c>
      <c r="I42" s="6" t="n"/>
      <c r="J42" s="6" t="n"/>
      <c r="K42" s="3" t="n"/>
      <c r="L42" s="3" t="n"/>
      <c r="M42" s="3" t="n">
        <v>31</v>
      </c>
      <c r="N42" s="3">
        <f>IF(OR($U42=0,$W42="",$X42&lt;=0),"",IF($W42&gt;TODAY(),"",IF(AND(INDEX(UCRETLER!$E$7:$E$406,$U42)&lt;&gt;"",$W42&gt;INDEX(UCRETLER!$E$7:$E$406,$U42)),"",$W42)))</f>
        <v/>
      </c>
      <c r="O42" s="3">
        <f>IF($N42="","",IF(INDEX(UCRETLER!$F$7:$F$406,$U42)="Aylık",CHOOSE(MONTH($N42),"Ocak","Şubat","Mart","Nisan","Mayıs","Haziran","Temmuz","Ağustos","Eylül","Ekim","Kasım","Aralık")&amp;" "&amp;YEAR($N42)&amp;" aylık muhasebe hizmet ücreti",RIGHT("0"&amp;DAY($N42),2)&amp;"."&amp;RIGHT("0"&amp;MONTH($N42),2)&amp;"."&amp;YEAR($N42)&amp;" haftalık muhasebe hizmet ücreti"))</f>
        <v/>
      </c>
      <c r="P42" s="3">
        <f>IF($N42="","","TAHAKKUK")</f>
        <v/>
      </c>
      <c r="Q42" s="3" t="n"/>
      <c r="R42" s="3">
        <f>IF($N42="",0,$X42)</f>
        <v/>
      </c>
      <c r="S42" s="3" t="n">
        <v>0</v>
      </c>
      <c r="T42" s="3">
        <f>IF($N42="",10000000000,$N42*100000+$M42)</f>
        <v/>
      </c>
      <c r="U42" s="3">
        <f>$AB$4</f>
        <v/>
      </c>
      <c r="V42" s="3" t="n">
        <v>30</v>
      </c>
      <c r="W42" s="3">
        <f>IF($U42=0,"",IF(INDEX(UCRETLER!$D$7:$D$406,$U42)="","",IF(INDEX(UCRETLER!$F$7:$F$406,$U42)="Aylık",EOMONTH(INDEX(UCRETLER!$D$7:$D$406,$U42),$V42-1),INDEX(UCRETLER!$D$7:$D$406,$U42)+MOD(SISTEM!$F$8-WEEKDAY(INDEX(UCRETLER!$D$7:$D$406,$U42),2),7)+7*($V42-1))))</f>
        <v/>
      </c>
      <c r="X42" s="3">
        <f>IF($U42=0,0,INDEX(UCRETLER!$G$7:$G$406,$U42))</f>
        <v/>
      </c>
      <c r="Y42" s="3">
        <f>IFERROR(SMALL($T$12:$T$432,ROW()-11),"")</f>
        <v/>
      </c>
      <c r="Z42" s="3">
        <f>IFERROR(MATCH($Y42,$T$12:$T$432,0),"")</f>
        <v/>
      </c>
      <c r="AA42" s="3" t="n"/>
      <c r="AB42" s="3" t="n"/>
      <c r="AC42" s="3" t="n"/>
      <c r="AD42" s="3" t="n"/>
    </row>
    <row r="43">
      <c r="A43" s="6" t="n"/>
      <c r="B43" s="153">
        <f>IF($C43="","",ROW()-11)</f>
        <v/>
      </c>
      <c r="C43" s="240">
        <f>IF($Z43="","",IF(INDEX($N$12:$N$432,$Z43)="","",INDEX($N$12:$N$432,$Z43)))</f>
        <v/>
      </c>
      <c r="D43" s="29">
        <f>IF($C43="","",INDEX($O$12:$O$432,$Z43))</f>
        <v/>
      </c>
      <c r="E43" s="153">
        <f>IF($C43="","",INDEX($P$12:$P$432,$Z43))</f>
        <v/>
      </c>
      <c r="F43" s="241">
        <f>IF($C43="","",INDEX($R$12:$R$432,$Z43))</f>
        <v/>
      </c>
      <c r="G43" s="241">
        <f>IF($C43="","",INDEX($S$12:$S$432,$Z43))</f>
        <v/>
      </c>
      <c r="H43" s="241">
        <f>IF($C43="","",N($H42)+$F43-$G43)</f>
        <v/>
      </c>
      <c r="I43" s="6" t="n"/>
      <c r="J43" s="6" t="n"/>
      <c r="K43" s="3" t="n"/>
      <c r="L43" s="3" t="n"/>
      <c r="M43" s="3" t="n">
        <v>32</v>
      </c>
      <c r="N43" s="3">
        <f>IF(OR($U43=0,$W43="",$X43&lt;=0),"",IF($W43&gt;TODAY(),"",IF(AND(INDEX(UCRETLER!$E$7:$E$406,$U43)&lt;&gt;"",$W43&gt;INDEX(UCRETLER!$E$7:$E$406,$U43)),"",$W43)))</f>
        <v/>
      </c>
      <c r="O43" s="3">
        <f>IF($N43="","",IF(INDEX(UCRETLER!$F$7:$F$406,$U43)="Aylık",CHOOSE(MONTH($N43),"Ocak","Şubat","Mart","Nisan","Mayıs","Haziran","Temmuz","Ağustos","Eylül","Ekim","Kasım","Aralık")&amp;" "&amp;YEAR($N43)&amp;" aylık muhasebe hizmet ücreti",RIGHT("0"&amp;DAY($N43),2)&amp;"."&amp;RIGHT("0"&amp;MONTH($N43),2)&amp;"."&amp;YEAR($N43)&amp;" haftalık muhasebe hizmet ücreti"))</f>
        <v/>
      </c>
      <c r="P43" s="3">
        <f>IF($N43="","","TAHAKKUK")</f>
        <v/>
      </c>
      <c r="Q43" s="3" t="n"/>
      <c r="R43" s="3">
        <f>IF($N43="",0,$X43)</f>
        <v/>
      </c>
      <c r="S43" s="3" t="n">
        <v>0</v>
      </c>
      <c r="T43" s="3">
        <f>IF($N43="",10000000000,$N43*100000+$M43)</f>
        <v/>
      </c>
      <c r="U43" s="3">
        <f>$AB$4</f>
        <v/>
      </c>
      <c r="V43" s="3" t="n">
        <v>31</v>
      </c>
      <c r="W43" s="3">
        <f>IF($U43=0,"",IF(INDEX(UCRETLER!$D$7:$D$406,$U43)="","",IF(INDEX(UCRETLER!$F$7:$F$406,$U43)="Aylık",EOMONTH(INDEX(UCRETLER!$D$7:$D$406,$U43),$V43-1),INDEX(UCRETLER!$D$7:$D$406,$U43)+MOD(SISTEM!$F$8-WEEKDAY(INDEX(UCRETLER!$D$7:$D$406,$U43),2),7)+7*($V43-1))))</f>
        <v/>
      </c>
      <c r="X43" s="3">
        <f>IF($U43=0,0,INDEX(UCRETLER!$G$7:$G$406,$U43))</f>
        <v/>
      </c>
      <c r="Y43" s="3">
        <f>IFERROR(SMALL($T$12:$T$432,ROW()-11),"")</f>
        <v/>
      </c>
      <c r="Z43" s="3">
        <f>IFERROR(MATCH($Y43,$T$12:$T$432,0),"")</f>
        <v/>
      </c>
      <c r="AA43" s="3" t="n"/>
      <c r="AB43" s="3" t="n"/>
      <c r="AC43" s="3" t="n"/>
      <c r="AD43" s="3" t="n"/>
    </row>
    <row r="44">
      <c r="A44" s="6" t="n"/>
      <c r="B44" s="153">
        <f>IF($C44="","",ROW()-11)</f>
        <v/>
      </c>
      <c r="C44" s="240">
        <f>IF($Z44="","",IF(INDEX($N$12:$N$432,$Z44)="","",INDEX($N$12:$N$432,$Z44)))</f>
        <v/>
      </c>
      <c r="D44" s="29">
        <f>IF($C44="","",INDEX($O$12:$O$432,$Z44))</f>
        <v/>
      </c>
      <c r="E44" s="153">
        <f>IF($C44="","",INDEX($P$12:$P$432,$Z44))</f>
        <v/>
      </c>
      <c r="F44" s="241">
        <f>IF($C44="","",INDEX($R$12:$R$432,$Z44))</f>
        <v/>
      </c>
      <c r="G44" s="241">
        <f>IF($C44="","",INDEX($S$12:$S$432,$Z44))</f>
        <v/>
      </c>
      <c r="H44" s="241">
        <f>IF($C44="","",N($H43)+$F44-$G44)</f>
        <v/>
      </c>
      <c r="I44" s="6" t="n"/>
      <c r="J44" s="6" t="n"/>
      <c r="K44" s="3" t="n"/>
      <c r="L44" s="3" t="n"/>
      <c r="M44" s="3" t="n">
        <v>33</v>
      </c>
      <c r="N44" s="3">
        <f>IF(OR($U44=0,$W44="",$X44&lt;=0),"",IF($W44&gt;TODAY(),"",IF(AND(INDEX(UCRETLER!$E$7:$E$406,$U44)&lt;&gt;"",$W44&gt;INDEX(UCRETLER!$E$7:$E$406,$U44)),"",$W44)))</f>
        <v/>
      </c>
      <c r="O44" s="3">
        <f>IF($N44="","",IF(INDEX(UCRETLER!$F$7:$F$406,$U44)="Aylık",CHOOSE(MONTH($N44),"Ocak","Şubat","Mart","Nisan","Mayıs","Haziran","Temmuz","Ağustos","Eylül","Ekim","Kasım","Aralık")&amp;" "&amp;YEAR($N44)&amp;" aylık muhasebe hizmet ücreti",RIGHT("0"&amp;DAY($N44),2)&amp;"."&amp;RIGHT("0"&amp;MONTH($N44),2)&amp;"."&amp;YEAR($N44)&amp;" haftalık muhasebe hizmet ücreti"))</f>
        <v/>
      </c>
      <c r="P44" s="3">
        <f>IF($N44="","","TAHAKKUK")</f>
        <v/>
      </c>
      <c r="Q44" s="3" t="n"/>
      <c r="R44" s="3">
        <f>IF($N44="",0,$X44)</f>
        <v/>
      </c>
      <c r="S44" s="3" t="n">
        <v>0</v>
      </c>
      <c r="T44" s="3">
        <f>IF($N44="",10000000000,$N44*100000+$M44)</f>
        <v/>
      </c>
      <c r="U44" s="3">
        <f>$AB$4</f>
        <v/>
      </c>
      <c r="V44" s="3" t="n">
        <v>32</v>
      </c>
      <c r="W44" s="3">
        <f>IF($U44=0,"",IF(INDEX(UCRETLER!$D$7:$D$406,$U44)="","",IF(INDEX(UCRETLER!$F$7:$F$406,$U44)="Aylık",EOMONTH(INDEX(UCRETLER!$D$7:$D$406,$U44),$V44-1),INDEX(UCRETLER!$D$7:$D$406,$U44)+MOD(SISTEM!$F$8-WEEKDAY(INDEX(UCRETLER!$D$7:$D$406,$U44),2),7)+7*($V44-1))))</f>
        <v/>
      </c>
      <c r="X44" s="3">
        <f>IF($U44=0,0,INDEX(UCRETLER!$G$7:$G$406,$U44))</f>
        <v/>
      </c>
      <c r="Y44" s="3">
        <f>IFERROR(SMALL($T$12:$T$432,ROW()-11),"")</f>
        <v/>
      </c>
      <c r="Z44" s="3">
        <f>IFERROR(MATCH($Y44,$T$12:$T$432,0),"")</f>
        <v/>
      </c>
      <c r="AA44" s="3" t="n"/>
      <c r="AB44" s="3" t="n"/>
      <c r="AC44" s="3" t="n"/>
      <c r="AD44" s="3" t="n"/>
    </row>
    <row r="45">
      <c r="A45" s="6" t="n"/>
      <c r="B45" s="153">
        <f>IF($C45="","",ROW()-11)</f>
        <v/>
      </c>
      <c r="C45" s="240">
        <f>IF($Z45="","",IF(INDEX($N$12:$N$432,$Z45)="","",INDEX($N$12:$N$432,$Z45)))</f>
        <v/>
      </c>
      <c r="D45" s="29">
        <f>IF($C45="","",INDEX($O$12:$O$432,$Z45))</f>
        <v/>
      </c>
      <c r="E45" s="153">
        <f>IF($C45="","",INDEX($P$12:$P$432,$Z45))</f>
        <v/>
      </c>
      <c r="F45" s="241">
        <f>IF($C45="","",INDEX($R$12:$R$432,$Z45))</f>
        <v/>
      </c>
      <c r="G45" s="241">
        <f>IF($C45="","",INDEX($S$12:$S$432,$Z45))</f>
        <v/>
      </c>
      <c r="H45" s="241">
        <f>IF($C45="","",N($H44)+$F45-$G45)</f>
        <v/>
      </c>
      <c r="I45" s="6" t="n"/>
      <c r="J45" s="6" t="n"/>
      <c r="K45" s="3" t="n"/>
      <c r="L45" s="3" t="n"/>
      <c r="M45" s="3" t="n">
        <v>34</v>
      </c>
      <c r="N45" s="3">
        <f>IF(OR($U45=0,$W45="",$X45&lt;=0),"",IF($W45&gt;TODAY(),"",IF(AND(INDEX(UCRETLER!$E$7:$E$406,$U45)&lt;&gt;"",$W45&gt;INDEX(UCRETLER!$E$7:$E$406,$U45)),"",$W45)))</f>
        <v/>
      </c>
      <c r="O45" s="3">
        <f>IF($N45="","",IF(INDEX(UCRETLER!$F$7:$F$406,$U45)="Aylık",CHOOSE(MONTH($N45),"Ocak","Şubat","Mart","Nisan","Mayıs","Haziran","Temmuz","Ağustos","Eylül","Ekim","Kasım","Aralık")&amp;" "&amp;YEAR($N45)&amp;" aylık muhasebe hizmet ücreti",RIGHT("0"&amp;DAY($N45),2)&amp;"."&amp;RIGHT("0"&amp;MONTH($N45),2)&amp;"."&amp;YEAR($N45)&amp;" haftalık muhasebe hizmet ücreti"))</f>
        <v/>
      </c>
      <c r="P45" s="3">
        <f>IF($N45="","","TAHAKKUK")</f>
        <v/>
      </c>
      <c r="Q45" s="3" t="n"/>
      <c r="R45" s="3">
        <f>IF($N45="",0,$X45)</f>
        <v/>
      </c>
      <c r="S45" s="3" t="n">
        <v>0</v>
      </c>
      <c r="T45" s="3">
        <f>IF($N45="",10000000000,$N45*100000+$M45)</f>
        <v/>
      </c>
      <c r="U45" s="3">
        <f>$AB$4</f>
        <v/>
      </c>
      <c r="V45" s="3" t="n">
        <v>33</v>
      </c>
      <c r="W45" s="3">
        <f>IF($U45=0,"",IF(INDEX(UCRETLER!$D$7:$D$406,$U45)="","",IF(INDEX(UCRETLER!$F$7:$F$406,$U45)="Aylık",EOMONTH(INDEX(UCRETLER!$D$7:$D$406,$U45),$V45-1),INDEX(UCRETLER!$D$7:$D$406,$U45)+MOD(SISTEM!$F$8-WEEKDAY(INDEX(UCRETLER!$D$7:$D$406,$U45),2),7)+7*($V45-1))))</f>
        <v/>
      </c>
      <c r="X45" s="3">
        <f>IF($U45=0,0,INDEX(UCRETLER!$G$7:$G$406,$U45))</f>
        <v/>
      </c>
      <c r="Y45" s="3">
        <f>IFERROR(SMALL($T$12:$T$432,ROW()-11),"")</f>
        <v/>
      </c>
      <c r="Z45" s="3">
        <f>IFERROR(MATCH($Y45,$T$12:$T$432,0),"")</f>
        <v/>
      </c>
      <c r="AA45" s="3" t="n"/>
      <c r="AB45" s="3" t="n"/>
      <c r="AC45" s="3" t="n"/>
      <c r="AD45" s="3" t="n"/>
    </row>
    <row r="46">
      <c r="A46" s="6" t="n"/>
      <c r="B46" s="153">
        <f>IF($C46="","",ROW()-11)</f>
        <v/>
      </c>
      <c r="C46" s="240">
        <f>IF($Z46="","",IF(INDEX($N$12:$N$432,$Z46)="","",INDEX($N$12:$N$432,$Z46)))</f>
        <v/>
      </c>
      <c r="D46" s="29">
        <f>IF($C46="","",INDEX($O$12:$O$432,$Z46))</f>
        <v/>
      </c>
      <c r="E46" s="153">
        <f>IF($C46="","",INDEX($P$12:$P$432,$Z46))</f>
        <v/>
      </c>
      <c r="F46" s="241">
        <f>IF($C46="","",INDEX($R$12:$R$432,$Z46))</f>
        <v/>
      </c>
      <c r="G46" s="241">
        <f>IF($C46="","",INDEX($S$12:$S$432,$Z46))</f>
        <v/>
      </c>
      <c r="H46" s="241">
        <f>IF($C46="","",N($H45)+$F46-$G46)</f>
        <v/>
      </c>
      <c r="I46" s="6" t="n"/>
      <c r="J46" s="6" t="n"/>
      <c r="K46" s="3" t="n"/>
      <c r="L46" s="3" t="n"/>
      <c r="M46" s="3" t="n">
        <v>35</v>
      </c>
      <c r="N46" s="3">
        <f>IF(OR($U46=0,$W46="",$X46&lt;=0),"",IF($W46&gt;TODAY(),"",IF(AND(INDEX(UCRETLER!$E$7:$E$406,$U46)&lt;&gt;"",$W46&gt;INDEX(UCRETLER!$E$7:$E$406,$U46)),"",$W46)))</f>
        <v/>
      </c>
      <c r="O46" s="3">
        <f>IF($N46="","",IF(INDEX(UCRETLER!$F$7:$F$406,$U46)="Aylık",CHOOSE(MONTH($N46),"Ocak","Şubat","Mart","Nisan","Mayıs","Haziran","Temmuz","Ağustos","Eylül","Ekim","Kasım","Aralık")&amp;" "&amp;YEAR($N46)&amp;" aylık muhasebe hizmet ücreti",RIGHT("0"&amp;DAY($N46),2)&amp;"."&amp;RIGHT("0"&amp;MONTH($N46),2)&amp;"."&amp;YEAR($N46)&amp;" haftalık muhasebe hizmet ücreti"))</f>
        <v/>
      </c>
      <c r="P46" s="3">
        <f>IF($N46="","","TAHAKKUK")</f>
        <v/>
      </c>
      <c r="Q46" s="3" t="n"/>
      <c r="R46" s="3">
        <f>IF($N46="",0,$X46)</f>
        <v/>
      </c>
      <c r="S46" s="3" t="n">
        <v>0</v>
      </c>
      <c r="T46" s="3">
        <f>IF($N46="",10000000000,$N46*100000+$M46)</f>
        <v/>
      </c>
      <c r="U46" s="3">
        <f>$AB$4</f>
        <v/>
      </c>
      <c r="V46" s="3" t="n">
        <v>34</v>
      </c>
      <c r="W46" s="3">
        <f>IF($U46=0,"",IF(INDEX(UCRETLER!$D$7:$D$406,$U46)="","",IF(INDEX(UCRETLER!$F$7:$F$406,$U46)="Aylık",EOMONTH(INDEX(UCRETLER!$D$7:$D$406,$U46),$V46-1),INDEX(UCRETLER!$D$7:$D$406,$U46)+MOD(SISTEM!$F$8-WEEKDAY(INDEX(UCRETLER!$D$7:$D$406,$U46),2),7)+7*($V46-1))))</f>
        <v/>
      </c>
      <c r="X46" s="3">
        <f>IF($U46=0,0,INDEX(UCRETLER!$G$7:$G$406,$U46))</f>
        <v/>
      </c>
      <c r="Y46" s="3">
        <f>IFERROR(SMALL($T$12:$T$432,ROW()-11),"")</f>
        <v/>
      </c>
      <c r="Z46" s="3">
        <f>IFERROR(MATCH($Y46,$T$12:$T$432,0),"")</f>
        <v/>
      </c>
      <c r="AA46" s="3" t="n"/>
      <c r="AB46" s="3" t="n"/>
      <c r="AC46" s="3" t="n"/>
      <c r="AD46" s="3" t="n"/>
    </row>
    <row r="47">
      <c r="A47" s="6" t="n"/>
      <c r="B47" s="153">
        <f>IF($C47="","",ROW()-11)</f>
        <v/>
      </c>
      <c r="C47" s="240">
        <f>IF($Z47="","",IF(INDEX($N$12:$N$432,$Z47)="","",INDEX($N$12:$N$432,$Z47)))</f>
        <v/>
      </c>
      <c r="D47" s="29">
        <f>IF($C47="","",INDEX($O$12:$O$432,$Z47))</f>
        <v/>
      </c>
      <c r="E47" s="153">
        <f>IF($C47="","",INDEX($P$12:$P$432,$Z47))</f>
        <v/>
      </c>
      <c r="F47" s="241">
        <f>IF($C47="","",INDEX($R$12:$R$432,$Z47))</f>
        <v/>
      </c>
      <c r="G47" s="241">
        <f>IF($C47="","",INDEX($S$12:$S$432,$Z47))</f>
        <v/>
      </c>
      <c r="H47" s="241">
        <f>IF($C47="","",N($H46)+$F47-$G47)</f>
        <v/>
      </c>
      <c r="I47" s="6" t="n"/>
      <c r="J47" s="6" t="n"/>
      <c r="K47" s="3" t="n"/>
      <c r="L47" s="3" t="n"/>
      <c r="M47" s="3" t="n">
        <v>36</v>
      </c>
      <c r="N47" s="3">
        <f>IF(OR($U47=0,$W47="",$X47&lt;=0),"",IF($W47&gt;TODAY(),"",IF(AND(INDEX(UCRETLER!$E$7:$E$406,$U47)&lt;&gt;"",$W47&gt;INDEX(UCRETLER!$E$7:$E$406,$U47)),"",$W47)))</f>
        <v/>
      </c>
      <c r="O47" s="3">
        <f>IF($N47="","",IF(INDEX(UCRETLER!$F$7:$F$406,$U47)="Aylık",CHOOSE(MONTH($N47),"Ocak","Şubat","Mart","Nisan","Mayıs","Haziran","Temmuz","Ağustos","Eylül","Ekim","Kasım","Aralık")&amp;" "&amp;YEAR($N47)&amp;" aylık muhasebe hizmet ücreti",RIGHT("0"&amp;DAY($N47),2)&amp;"."&amp;RIGHT("0"&amp;MONTH($N47),2)&amp;"."&amp;YEAR($N47)&amp;" haftalık muhasebe hizmet ücreti"))</f>
        <v/>
      </c>
      <c r="P47" s="3">
        <f>IF($N47="","","TAHAKKUK")</f>
        <v/>
      </c>
      <c r="Q47" s="3" t="n"/>
      <c r="R47" s="3">
        <f>IF($N47="",0,$X47)</f>
        <v/>
      </c>
      <c r="S47" s="3" t="n">
        <v>0</v>
      </c>
      <c r="T47" s="3">
        <f>IF($N47="",10000000000,$N47*100000+$M47)</f>
        <v/>
      </c>
      <c r="U47" s="3">
        <f>$AB$4</f>
        <v/>
      </c>
      <c r="V47" s="3" t="n">
        <v>35</v>
      </c>
      <c r="W47" s="3">
        <f>IF($U47=0,"",IF(INDEX(UCRETLER!$D$7:$D$406,$U47)="","",IF(INDEX(UCRETLER!$F$7:$F$406,$U47)="Aylık",EOMONTH(INDEX(UCRETLER!$D$7:$D$406,$U47),$V47-1),INDEX(UCRETLER!$D$7:$D$406,$U47)+MOD(SISTEM!$F$8-WEEKDAY(INDEX(UCRETLER!$D$7:$D$406,$U47),2),7)+7*($V47-1))))</f>
        <v/>
      </c>
      <c r="X47" s="3">
        <f>IF($U47=0,0,INDEX(UCRETLER!$G$7:$G$406,$U47))</f>
        <v/>
      </c>
      <c r="Y47" s="3">
        <f>IFERROR(SMALL($T$12:$T$432,ROW()-11),"")</f>
        <v/>
      </c>
      <c r="Z47" s="3">
        <f>IFERROR(MATCH($Y47,$T$12:$T$432,0),"")</f>
        <v/>
      </c>
      <c r="AA47" s="3" t="n"/>
      <c r="AB47" s="3" t="n"/>
      <c r="AC47" s="3" t="n"/>
      <c r="AD47" s="3" t="n"/>
    </row>
    <row r="48">
      <c r="A48" s="6" t="n"/>
      <c r="B48" s="153">
        <f>IF($C48="","",ROW()-11)</f>
        <v/>
      </c>
      <c r="C48" s="240">
        <f>IF($Z48="","",IF(INDEX($N$12:$N$432,$Z48)="","",INDEX($N$12:$N$432,$Z48)))</f>
        <v/>
      </c>
      <c r="D48" s="29">
        <f>IF($C48="","",INDEX($O$12:$O$432,$Z48))</f>
        <v/>
      </c>
      <c r="E48" s="153">
        <f>IF($C48="","",INDEX($P$12:$P$432,$Z48))</f>
        <v/>
      </c>
      <c r="F48" s="241">
        <f>IF($C48="","",INDEX($R$12:$R$432,$Z48))</f>
        <v/>
      </c>
      <c r="G48" s="241">
        <f>IF($C48="","",INDEX($S$12:$S$432,$Z48))</f>
        <v/>
      </c>
      <c r="H48" s="241">
        <f>IF($C48="","",N($H47)+$F48-$G48)</f>
        <v/>
      </c>
      <c r="I48" s="6" t="n"/>
      <c r="J48" s="6" t="n"/>
      <c r="K48" s="3" t="n"/>
      <c r="L48" s="3" t="n"/>
      <c r="M48" s="3" t="n">
        <v>37</v>
      </c>
      <c r="N48" s="3">
        <f>IF(OR($U48=0,$W48="",$X48&lt;=0),"",IF($W48&gt;TODAY(),"",IF(AND(INDEX(UCRETLER!$E$7:$E$406,$U48)&lt;&gt;"",$W48&gt;INDEX(UCRETLER!$E$7:$E$406,$U48)),"",$W48)))</f>
        <v/>
      </c>
      <c r="O48" s="3">
        <f>IF($N48="","",IF(INDEX(UCRETLER!$F$7:$F$406,$U48)="Aylık",CHOOSE(MONTH($N48),"Ocak","Şubat","Mart","Nisan","Mayıs","Haziran","Temmuz","Ağustos","Eylül","Ekim","Kasım","Aralık")&amp;" "&amp;YEAR($N48)&amp;" aylık muhasebe hizmet ücreti",RIGHT("0"&amp;DAY($N48),2)&amp;"."&amp;RIGHT("0"&amp;MONTH($N48),2)&amp;"."&amp;YEAR($N48)&amp;" haftalık muhasebe hizmet ücreti"))</f>
        <v/>
      </c>
      <c r="P48" s="3">
        <f>IF($N48="","","TAHAKKUK")</f>
        <v/>
      </c>
      <c r="Q48" s="3" t="n"/>
      <c r="R48" s="3">
        <f>IF($N48="",0,$X48)</f>
        <v/>
      </c>
      <c r="S48" s="3" t="n">
        <v>0</v>
      </c>
      <c r="T48" s="3">
        <f>IF($N48="",10000000000,$N48*100000+$M48)</f>
        <v/>
      </c>
      <c r="U48" s="3">
        <f>$AB$4</f>
        <v/>
      </c>
      <c r="V48" s="3" t="n">
        <v>36</v>
      </c>
      <c r="W48" s="3">
        <f>IF($U48=0,"",IF(INDEX(UCRETLER!$D$7:$D$406,$U48)="","",IF(INDEX(UCRETLER!$F$7:$F$406,$U48)="Aylık",EOMONTH(INDEX(UCRETLER!$D$7:$D$406,$U48),$V48-1),INDEX(UCRETLER!$D$7:$D$406,$U48)+MOD(SISTEM!$F$8-WEEKDAY(INDEX(UCRETLER!$D$7:$D$406,$U48),2),7)+7*($V48-1))))</f>
        <v/>
      </c>
      <c r="X48" s="3">
        <f>IF($U48=0,0,INDEX(UCRETLER!$G$7:$G$406,$U48))</f>
        <v/>
      </c>
      <c r="Y48" s="3">
        <f>IFERROR(SMALL($T$12:$T$432,ROW()-11),"")</f>
        <v/>
      </c>
      <c r="Z48" s="3">
        <f>IFERROR(MATCH($Y48,$T$12:$T$432,0),"")</f>
        <v/>
      </c>
      <c r="AA48" s="3" t="n"/>
      <c r="AB48" s="3" t="n"/>
      <c r="AC48" s="3" t="n"/>
      <c r="AD48" s="3" t="n"/>
    </row>
    <row r="49">
      <c r="A49" s="6" t="n"/>
      <c r="B49" s="153">
        <f>IF($C49="","",ROW()-11)</f>
        <v/>
      </c>
      <c r="C49" s="240">
        <f>IF($Z49="","",IF(INDEX($N$12:$N$432,$Z49)="","",INDEX($N$12:$N$432,$Z49)))</f>
        <v/>
      </c>
      <c r="D49" s="29">
        <f>IF($C49="","",INDEX($O$12:$O$432,$Z49))</f>
        <v/>
      </c>
      <c r="E49" s="153">
        <f>IF($C49="","",INDEX($P$12:$P$432,$Z49))</f>
        <v/>
      </c>
      <c r="F49" s="241">
        <f>IF($C49="","",INDEX($R$12:$R$432,$Z49))</f>
        <v/>
      </c>
      <c r="G49" s="241">
        <f>IF($C49="","",INDEX($S$12:$S$432,$Z49))</f>
        <v/>
      </c>
      <c r="H49" s="241">
        <f>IF($C49="","",N($H48)+$F49-$G49)</f>
        <v/>
      </c>
      <c r="I49" s="6" t="n"/>
      <c r="J49" s="6" t="n"/>
      <c r="K49" s="3" t="n"/>
      <c r="L49" s="3" t="n"/>
      <c r="M49" s="3" t="n">
        <v>38</v>
      </c>
      <c r="N49" s="3">
        <f>IF(OR($U49=0,$W49="",$X49&lt;=0),"",IF($W49&gt;TODAY(),"",IF(AND(INDEX(UCRETLER!$E$7:$E$406,$U49)&lt;&gt;"",$W49&gt;INDEX(UCRETLER!$E$7:$E$406,$U49)),"",$W49)))</f>
        <v/>
      </c>
      <c r="O49" s="3">
        <f>IF($N49="","",IF(INDEX(UCRETLER!$F$7:$F$406,$U49)="Aylık",CHOOSE(MONTH($N49),"Ocak","Şubat","Mart","Nisan","Mayıs","Haziran","Temmuz","Ağustos","Eylül","Ekim","Kasım","Aralık")&amp;" "&amp;YEAR($N49)&amp;" aylık muhasebe hizmet ücreti",RIGHT("0"&amp;DAY($N49),2)&amp;"."&amp;RIGHT("0"&amp;MONTH($N49),2)&amp;"."&amp;YEAR($N49)&amp;" haftalık muhasebe hizmet ücreti"))</f>
        <v/>
      </c>
      <c r="P49" s="3">
        <f>IF($N49="","","TAHAKKUK")</f>
        <v/>
      </c>
      <c r="Q49" s="3" t="n"/>
      <c r="R49" s="3">
        <f>IF($N49="",0,$X49)</f>
        <v/>
      </c>
      <c r="S49" s="3" t="n">
        <v>0</v>
      </c>
      <c r="T49" s="3">
        <f>IF($N49="",10000000000,$N49*100000+$M49)</f>
        <v/>
      </c>
      <c r="U49" s="3">
        <f>$AB$4</f>
        <v/>
      </c>
      <c r="V49" s="3" t="n">
        <v>37</v>
      </c>
      <c r="W49" s="3">
        <f>IF($U49=0,"",IF(INDEX(UCRETLER!$D$7:$D$406,$U49)="","",IF(INDEX(UCRETLER!$F$7:$F$406,$U49)="Aylık",EOMONTH(INDEX(UCRETLER!$D$7:$D$406,$U49),$V49-1),INDEX(UCRETLER!$D$7:$D$406,$U49)+MOD(SISTEM!$F$8-WEEKDAY(INDEX(UCRETLER!$D$7:$D$406,$U49),2),7)+7*($V49-1))))</f>
        <v/>
      </c>
      <c r="X49" s="3">
        <f>IF($U49=0,0,INDEX(UCRETLER!$G$7:$G$406,$U49))</f>
        <v/>
      </c>
      <c r="Y49" s="3">
        <f>IFERROR(SMALL($T$12:$T$432,ROW()-11),"")</f>
        <v/>
      </c>
      <c r="Z49" s="3">
        <f>IFERROR(MATCH($Y49,$T$12:$T$432,0),"")</f>
        <v/>
      </c>
      <c r="AA49" s="3" t="n"/>
      <c r="AB49" s="3" t="n"/>
      <c r="AC49" s="3" t="n"/>
      <c r="AD49" s="3" t="n"/>
    </row>
    <row r="50">
      <c r="A50" s="6" t="n"/>
      <c r="B50" s="153">
        <f>IF($C50="","",ROW()-11)</f>
        <v/>
      </c>
      <c r="C50" s="240">
        <f>IF($Z50="","",IF(INDEX($N$12:$N$432,$Z50)="","",INDEX($N$12:$N$432,$Z50)))</f>
        <v/>
      </c>
      <c r="D50" s="29">
        <f>IF($C50="","",INDEX($O$12:$O$432,$Z50))</f>
        <v/>
      </c>
      <c r="E50" s="153">
        <f>IF($C50="","",INDEX($P$12:$P$432,$Z50))</f>
        <v/>
      </c>
      <c r="F50" s="241">
        <f>IF($C50="","",INDEX($R$12:$R$432,$Z50))</f>
        <v/>
      </c>
      <c r="G50" s="241">
        <f>IF($C50="","",INDEX($S$12:$S$432,$Z50))</f>
        <v/>
      </c>
      <c r="H50" s="241">
        <f>IF($C50="","",N($H49)+$F50-$G50)</f>
        <v/>
      </c>
      <c r="I50" s="6" t="n"/>
      <c r="J50" s="6" t="n"/>
      <c r="K50" s="3" t="n"/>
      <c r="L50" s="3" t="n"/>
      <c r="M50" s="3" t="n">
        <v>39</v>
      </c>
      <c r="N50" s="3">
        <f>IF(OR($U50=0,$W50="",$X50&lt;=0),"",IF($W50&gt;TODAY(),"",IF(AND(INDEX(UCRETLER!$E$7:$E$406,$U50)&lt;&gt;"",$W50&gt;INDEX(UCRETLER!$E$7:$E$406,$U50)),"",$W50)))</f>
        <v/>
      </c>
      <c r="O50" s="3">
        <f>IF($N50="","",IF(INDEX(UCRETLER!$F$7:$F$406,$U50)="Aylık",CHOOSE(MONTH($N50),"Ocak","Şubat","Mart","Nisan","Mayıs","Haziran","Temmuz","Ağustos","Eylül","Ekim","Kasım","Aralık")&amp;" "&amp;YEAR($N50)&amp;" aylık muhasebe hizmet ücreti",RIGHT("0"&amp;DAY($N50),2)&amp;"."&amp;RIGHT("0"&amp;MONTH($N50),2)&amp;"."&amp;YEAR($N50)&amp;" haftalık muhasebe hizmet ücreti"))</f>
        <v/>
      </c>
      <c r="P50" s="3">
        <f>IF($N50="","","TAHAKKUK")</f>
        <v/>
      </c>
      <c r="Q50" s="3" t="n"/>
      <c r="R50" s="3">
        <f>IF($N50="",0,$X50)</f>
        <v/>
      </c>
      <c r="S50" s="3" t="n">
        <v>0</v>
      </c>
      <c r="T50" s="3">
        <f>IF($N50="",10000000000,$N50*100000+$M50)</f>
        <v/>
      </c>
      <c r="U50" s="3">
        <f>$AB$4</f>
        <v/>
      </c>
      <c r="V50" s="3" t="n">
        <v>38</v>
      </c>
      <c r="W50" s="3">
        <f>IF($U50=0,"",IF(INDEX(UCRETLER!$D$7:$D$406,$U50)="","",IF(INDEX(UCRETLER!$F$7:$F$406,$U50)="Aylık",EOMONTH(INDEX(UCRETLER!$D$7:$D$406,$U50),$V50-1),INDEX(UCRETLER!$D$7:$D$406,$U50)+MOD(SISTEM!$F$8-WEEKDAY(INDEX(UCRETLER!$D$7:$D$406,$U50),2),7)+7*($V50-1))))</f>
        <v/>
      </c>
      <c r="X50" s="3">
        <f>IF($U50=0,0,INDEX(UCRETLER!$G$7:$G$406,$U50))</f>
        <v/>
      </c>
      <c r="Y50" s="3">
        <f>IFERROR(SMALL($T$12:$T$432,ROW()-11),"")</f>
        <v/>
      </c>
      <c r="Z50" s="3">
        <f>IFERROR(MATCH($Y50,$T$12:$T$432,0),"")</f>
        <v/>
      </c>
      <c r="AA50" s="3" t="n"/>
      <c r="AB50" s="3" t="n"/>
      <c r="AC50" s="3" t="n"/>
      <c r="AD50" s="3" t="n"/>
    </row>
    <row r="51">
      <c r="A51" s="6" t="n"/>
      <c r="B51" s="153">
        <f>IF($C51="","",ROW()-11)</f>
        <v/>
      </c>
      <c r="C51" s="240">
        <f>IF($Z51="","",IF(INDEX($N$12:$N$432,$Z51)="","",INDEX($N$12:$N$432,$Z51)))</f>
        <v/>
      </c>
      <c r="D51" s="29">
        <f>IF($C51="","",INDEX($O$12:$O$432,$Z51))</f>
        <v/>
      </c>
      <c r="E51" s="153">
        <f>IF($C51="","",INDEX($P$12:$P$432,$Z51))</f>
        <v/>
      </c>
      <c r="F51" s="241">
        <f>IF($C51="","",INDEX($R$12:$R$432,$Z51))</f>
        <v/>
      </c>
      <c r="G51" s="241">
        <f>IF($C51="","",INDEX($S$12:$S$432,$Z51))</f>
        <v/>
      </c>
      <c r="H51" s="241">
        <f>IF($C51="","",N($H50)+$F51-$G51)</f>
        <v/>
      </c>
      <c r="I51" s="6" t="n"/>
      <c r="J51" s="6" t="n"/>
      <c r="K51" s="3" t="n"/>
      <c r="L51" s="3" t="n"/>
      <c r="M51" s="3" t="n">
        <v>40</v>
      </c>
      <c r="N51" s="3">
        <f>IF(OR($U51=0,$W51="",$X51&lt;=0),"",IF($W51&gt;TODAY(),"",IF(AND(INDEX(UCRETLER!$E$7:$E$406,$U51)&lt;&gt;"",$W51&gt;INDEX(UCRETLER!$E$7:$E$406,$U51)),"",$W51)))</f>
        <v/>
      </c>
      <c r="O51" s="3">
        <f>IF($N51="","",IF(INDEX(UCRETLER!$F$7:$F$406,$U51)="Aylık",CHOOSE(MONTH($N51),"Ocak","Şubat","Mart","Nisan","Mayıs","Haziran","Temmuz","Ağustos","Eylül","Ekim","Kasım","Aralık")&amp;" "&amp;YEAR($N51)&amp;" aylık muhasebe hizmet ücreti",RIGHT("0"&amp;DAY($N51),2)&amp;"."&amp;RIGHT("0"&amp;MONTH($N51),2)&amp;"."&amp;YEAR($N51)&amp;" haftalık muhasebe hizmet ücreti"))</f>
        <v/>
      </c>
      <c r="P51" s="3">
        <f>IF($N51="","","TAHAKKUK")</f>
        <v/>
      </c>
      <c r="Q51" s="3" t="n"/>
      <c r="R51" s="3">
        <f>IF($N51="",0,$X51)</f>
        <v/>
      </c>
      <c r="S51" s="3" t="n">
        <v>0</v>
      </c>
      <c r="T51" s="3">
        <f>IF($N51="",10000000000,$N51*100000+$M51)</f>
        <v/>
      </c>
      <c r="U51" s="3">
        <f>$AB$4</f>
        <v/>
      </c>
      <c r="V51" s="3" t="n">
        <v>39</v>
      </c>
      <c r="W51" s="3">
        <f>IF($U51=0,"",IF(INDEX(UCRETLER!$D$7:$D$406,$U51)="","",IF(INDEX(UCRETLER!$F$7:$F$406,$U51)="Aylık",EOMONTH(INDEX(UCRETLER!$D$7:$D$406,$U51),$V51-1),INDEX(UCRETLER!$D$7:$D$406,$U51)+MOD(SISTEM!$F$8-WEEKDAY(INDEX(UCRETLER!$D$7:$D$406,$U51),2),7)+7*($V51-1))))</f>
        <v/>
      </c>
      <c r="X51" s="3">
        <f>IF($U51=0,0,INDEX(UCRETLER!$G$7:$G$406,$U51))</f>
        <v/>
      </c>
      <c r="Y51" s="3">
        <f>IFERROR(SMALL($T$12:$T$432,ROW()-11),"")</f>
        <v/>
      </c>
      <c r="Z51" s="3">
        <f>IFERROR(MATCH($Y51,$T$12:$T$432,0),"")</f>
        <v/>
      </c>
      <c r="AA51" s="3" t="n"/>
      <c r="AB51" s="3" t="n"/>
      <c r="AC51" s="3" t="n"/>
      <c r="AD51" s="3" t="n"/>
    </row>
    <row r="52">
      <c r="A52" s="6" t="n"/>
      <c r="B52" s="153">
        <f>IF($C52="","",ROW()-11)</f>
        <v/>
      </c>
      <c r="C52" s="240">
        <f>IF($Z52="","",IF(INDEX($N$12:$N$432,$Z52)="","",INDEX($N$12:$N$432,$Z52)))</f>
        <v/>
      </c>
      <c r="D52" s="29">
        <f>IF($C52="","",INDEX($O$12:$O$432,$Z52))</f>
        <v/>
      </c>
      <c r="E52" s="153">
        <f>IF($C52="","",INDEX($P$12:$P$432,$Z52))</f>
        <v/>
      </c>
      <c r="F52" s="241">
        <f>IF($C52="","",INDEX($R$12:$R$432,$Z52))</f>
        <v/>
      </c>
      <c r="G52" s="241">
        <f>IF($C52="","",INDEX($S$12:$S$432,$Z52))</f>
        <v/>
      </c>
      <c r="H52" s="241">
        <f>IF($C52="","",N($H51)+$F52-$G52)</f>
        <v/>
      </c>
      <c r="I52" s="6" t="n"/>
      <c r="J52" s="6" t="n"/>
      <c r="K52" s="3" t="n"/>
      <c r="L52" s="3" t="n"/>
      <c r="M52" s="3" t="n">
        <v>41</v>
      </c>
      <c r="N52" s="3">
        <f>IF(OR($U52=0,$W52="",$X52&lt;=0),"",IF($W52&gt;TODAY(),"",IF(AND(INDEX(UCRETLER!$E$7:$E$406,$U52)&lt;&gt;"",$W52&gt;INDEX(UCRETLER!$E$7:$E$406,$U52)),"",$W52)))</f>
        <v/>
      </c>
      <c r="O52" s="3">
        <f>IF($N52="","",IF(INDEX(UCRETLER!$F$7:$F$406,$U52)="Aylık",CHOOSE(MONTH($N52),"Ocak","Şubat","Mart","Nisan","Mayıs","Haziran","Temmuz","Ağustos","Eylül","Ekim","Kasım","Aralık")&amp;" "&amp;YEAR($N52)&amp;" aylık muhasebe hizmet ücreti",RIGHT("0"&amp;DAY($N52),2)&amp;"."&amp;RIGHT("0"&amp;MONTH($N52),2)&amp;"."&amp;YEAR($N52)&amp;" haftalık muhasebe hizmet ücreti"))</f>
        <v/>
      </c>
      <c r="P52" s="3">
        <f>IF($N52="","","TAHAKKUK")</f>
        <v/>
      </c>
      <c r="Q52" s="3" t="n"/>
      <c r="R52" s="3">
        <f>IF($N52="",0,$X52)</f>
        <v/>
      </c>
      <c r="S52" s="3" t="n">
        <v>0</v>
      </c>
      <c r="T52" s="3">
        <f>IF($N52="",10000000000,$N52*100000+$M52)</f>
        <v/>
      </c>
      <c r="U52" s="3">
        <f>$AB$4</f>
        <v/>
      </c>
      <c r="V52" s="3" t="n">
        <v>40</v>
      </c>
      <c r="W52" s="3">
        <f>IF($U52=0,"",IF(INDEX(UCRETLER!$D$7:$D$406,$U52)="","",IF(INDEX(UCRETLER!$F$7:$F$406,$U52)="Aylık",EOMONTH(INDEX(UCRETLER!$D$7:$D$406,$U52),$V52-1),INDEX(UCRETLER!$D$7:$D$406,$U52)+MOD(SISTEM!$F$8-WEEKDAY(INDEX(UCRETLER!$D$7:$D$406,$U52),2),7)+7*($V52-1))))</f>
        <v/>
      </c>
      <c r="X52" s="3">
        <f>IF($U52=0,0,INDEX(UCRETLER!$G$7:$G$406,$U52))</f>
        <v/>
      </c>
      <c r="Y52" s="3">
        <f>IFERROR(SMALL($T$12:$T$432,ROW()-11),"")</f>
        <v/>
      </c>
      <c r="Z52" s="3">
        <f>IFERROR(MATCH($Y52,$T$12:$T$432,0),"")</f>
        <v/>
      </c>
      <c r="AA52" s="3" t="n"/>
      <c r="AB52" s="3" t="n"/>
      <c r="AC52" s="3" t="n"/>
      <c r="AD52" s="3" t="n"/>
    </row>
    <row r="53">
      <c r="A53" s="6" t="n"/>
      <c r="B53" s="153">
        <f>IF($C53="","",ROW()-11)</f>
        <v/>
      </c>
      <c r="C53" s="240">
        <f>IF($Z53="","",IF(INDEX($N$12:$N$432,$Z53)="","",INDEX($N$12:$N$432,$Z53)))</f>
        <v/>
      </c>
      <c r="D53" s="29">
        <f>IF($C53="","",INDEX($O$12:$O$432,$Z53))</f>
        <v/>
      </c>
      <c r="E53" s="153">
        <f>IF($C53="","",INDEX($P$12:$P$432,$Z53))</f>
        <v/>
      </c>
      <c r="F53" s="241">
        <f>IF($C53="","",INDEX($R$12:$R$432,$Z53))</f>
        <v/>
      </c>
      <c r="G53" s="241">
        <f>IF($C53="","",INDEX($S$12:$S$432,$Z53))</f>
        <v/>
      </c>
      <c r="H53" s="241">
        <f>IF($C53="","",N($H52)+$F53-$G53)</f>
        <v/>
      </c>
      <c r="I53" s="6" t="n"/>
      <c r="J53" s="6" t="n"/>
      <c r="K53" s="3" t="n"/>
      <c r="L53" s="3" t="n"/>
      <c r="M53" s="3" t="n">
        <v>42</v>
      </c>
      <c r="N53" s="3">
        <f>IF(OR($U53=0,$W53="",$X53&lt;=0),"",IF($W53&gt;TODAY(),"",IF(AND(INDEX(UCRETLER!$E$7:$E$406,$U53)&lt;&gt;"",$W53&gt;INDEX(UCRETLER!$E$7:$E$406,$U53)),"",$W53)))</f>
        <v/>
      </c>
      <c r="O53" s="3">
        <f>IF($N53="","",IF(INDEX(UCRETLER!$F$7:$F$406,$U53)="Aylık",CHOOSE(MONTH($N53),"Ocak","Şubat","Mart","Nisan","Mayıs","Haziran","Temmuz","Ağustos","Eylül","Ekim","Kasım","Aralık")&amp;" "&amp;YEAR($N53)&amp;" aylık muhasebe hizmet ücreti",RIGHT("0"&amp;DAY($N53),2)&amp;"."&amp;RIGHT("0"&amp;MONTH($N53),2)&amp;"."&amp;YEAR($N53)&amp;" haftalık muhasebe hizmet ücreti"))</f>
        <v/>
      </c>
      <c r="P53" s="3">
        <f>IF($N53="","","TAHAKKUK")</f>
        <v/>
      </c>
      <c r="Q53" s="3" t="n"/>
      <c r="R53" s="3">
        <f>IF($N53="",0,$X53)</f>
        <v/>
      </c>
      <c r="S53" s="3" t="n">
        <v>0</v>
      </c>
      <c r="T53" s="3">
        <f>IF($N53="",10000000000,$N53*100000+$M53)</f>
        <v/>
      </c>
      <c r="U53" s="3">
        <f>$AB$4</f>
        <v/>
      </c>
      <c r="V53" s="3" t="n">
        <v>41</v>
      </c>
      <c r="W53" s="3">
        <f>IF($U53=0,"",IF(INDEX(UCRETLER!$D$7:$D$406,$U53)="","",IF(INDEX(UCRETLER!$F$7:$F$406,$U53)="Aylık",EOMONTH(INDEX(UCRETLER!$D$7:$D$406,$U53),$V53-1),INDEX(UCRETLER!$D$7:$D$406,$U53)+MOD(SISTEM!$F$8-WEEKDAY(INDEX(UCRETLER!$D$7:$D$406,$U53),2),7)+7*($V53-1))))</f>
        <v/>
      </c>
      <c r="X53" s="3">
        <f>IF($U53=0,0,INDEX(UCRETLER!$G$7:$G$406,$U53))</f>
        <v/>
      </c>
      <c r="Y53" s="3">
        <f>IFERROR(SMALL($T$12:$T$432,ROW()-11),"")</f>
        <v/>
      </c>
      <c r="Z53" s="3">
        <f>IFERROR(MATCH($Y53,$T$12:$T$432,0),"")</f>
        <v/>
      </c>
      <c r="AA53" s="3" t="n"/>
      <c r="AB53" s="3" t="n"/>
      <c r="AC53" s="3" t="n"/>
      <c r="AD53" s="3" t="n"/>
    </row>
    <row r="54">
      <c r="A54" s="6" t="n"/>
      <c r="B54" s="153">
        <f>IF($C54="","",ROW()-11)</f>
        <v/>
      </c>
      <c r="C54" s="240">
        <f>IF($Z54="","",IF(INDEX($N$12:$N$432,$Z54)="","",INDEX($N$12:$N$432,$Z54)))</f>
        <v/>
      </c>
      <c r="D54" s="29">
        <f>IF($C54="","",INDEX($O$12:$O$432,$Z54))</f>
        <v/>
      </c>
      <c r="E54" s="153">
        <f>IF($C54="","",INDEX($P$12:$P$432,$Z54))</f>
        <v/>
      </c>
      <c r="F54" s="241">
        <f>IF($C54="","",INDEX($R$12:$R$432,$Z54))</f>
        <v/>
      </c>
      <c r="G54" s="241">
        <f>IF($C54="","",INDEX($S$12:$S$432,$Z54))</f>
        <v/>
      </c>
      <c r="H54" s="241">
        <f>IF($C54="","",N($H53)+$F54-$G54)</f>
        <v/>
      </c>
      <c r="I54" s="6" t="n"/>
      <c r="J54" s="6" t="n"/>
      <c r="K54" s="3" t="n"/>
      <c r="L54" s="3" t="n"/>
      <c r="M54" s="3" t="n">
        <v>43</v>
      </c>
      <c r="N54" s="3">
        <f>IF(OR($U54=0,$W54="",$X54&lt;=0),"",IF($W54&gt;TODAY(),"",IF(AND(INDEX(UCRETLER!$E$7:$E$406,$U54)&lt;&gt;"",$W54&gt;INDEX(UCRETLER!$E$7:$E$406,$U54)),"",$W54)))</f>
        <v/>
      </c>
      <c r="O54" s="3">
        <f>IF($N54="","",IF(INDEX(UCRETLER!$F$7:$F$406,$U54)="Aylık",CHOOSE(MONTH($N54),"Ocak","Şubat","Mart","Nisan","Mayıs","Haziran","Temmuz","Ağustos","Eylül","Ekim","Kasım","Aralık")&amp;" "&amp;YEAR($N54)&amp;" aylık muhasebe hizmet ücreti",RIGHT("0"&amp;DAY($N54),2)&amp;"."&amp;RIGHT("0"&amp;MONTH($N54),2)&amp;"."&amp;YEAR($N54)&amp;" haftalık muhasebe hizmet ücreti"))</f>
        <v/>
      </c>
      <c r="P54" s="3">
        <f>IF($N54="","","TAHAKKUK")</f>
        <v/>
      </c>
      <c r="Q54" s="3" t="n"/>
      <c r="R54" s="3">
        <f>IF($N54="",0,$X54)</f>
        <v/>
      </c>
      <c r="S54" s="3" t="n">
        <v>0</v>
      </c>
      <c r="T54" s="3">
        <f>IF($N54="",10000000000,$N54*100000+$M54)</f>
        <v/>
      </c>
      <c r="U54" s="3">
        <f>$AB$4</f>
        <v/>
      </c>
      <c r="V54" s="3" t="n">
        <v>42</v>
      </c>
      <c r="W54" s="3">
        <f>IF($U54=0,"",IF(INDEX(UCRETLER!$D$7:$D$406,$U54)="","",IF(INDEX(UCRETLER!$F$7:$F$406,$U54)="Aylık",EOMONTH(INDEX(UCRETLER!$D$7:$D$406,$U54),$V54-1),INDEX(UCRETLER!$D$7:$D$406,$U54)+MOD(SISTEM!$F$8-WEEKDAY(INDEX(UCRETLER!$D$7:$D$406,$U54),2),7)+7*($V54-1))))</f>
        <v/>
      </c>
      <c r="X54" s="3">
        <f>IF($U54=0,0,INDEX(UCRETLER!$G$7:$G$406,$U54))</f>
        <v/>
      </c>
      <c r="Y54" s="3">
        <f>IFERROR(SMALL($T$12:$T$432,ROW()-11),"")</f>
        <v/>
      </c>
      <c r="Z54" s="3">
        <f>IFERROR(MATCH($Y54,$T$12:$T$432,0),"")</f>
        <v/>
      </c>
      <c r="AA54" s="3" t="n"/>
      <c r="AB54" s="3" t="n"/>
      <c r="AC54" s="3" t="n"/>
      <c r="AD54" s="3" t="n"/>
    </row>
    <row r="55">
      <c r="A55" s="6" t="n"/>
      <c r="B55" s="153">
        <f>IF($C55="","",ROW()-11)</f>
        <v/>
      </c>
      <c r="C55" s="240">
        <f>IF($Z55="","",IF(INDEX($N$12:$N$432,$Z55)="","",INDEX($N$12:$N$432,$Z55)))</f>
        <v/>
      </c>
      <c r="D55" s="29">
        <f>IF($C55="","",INDEX($O$12:$O$432,$Z55))</f>
        <v/>
      </c>
      <c r="E55" s="153">
        <f>IF($C55="","",INDEX($P$12:$P$432,$Z55))</f>
        <v/>
      </c>
      <c r="F55" s="241">
        <f>IF($C55="","",INDEX($R$12:$R$432,$Z55))</f>
        <v/>
      </c>
      <c r="G55" s="241">
        <f>IF($C55="","",INDEX($S$12:$S$432,$Z55))</f>
        <v/>
      </c>
      <c r="H55" s="241">
        <f>IF($C55="","",N($H54)+$F55-$G55)</f>
        <v/>
      </c>
      <c r="I55" s="6" t="n"/>
      <c r="J55" s="6" t="n"/>
      <c r="K55" s="3" t="n"/>
      <c r="L55" s="3" t="n"/>
      <c r="M55" s="3" t="n">
        <v>44</v>
      </c>
      <c r="N55" s="3">
        <f>IF(OR($U55=0,$W55="",$X55&lt;=0),"",IF($W55&gt;TODAY(),"",IF(AND(INDEX(UCRETLER!$E$7:$E$406,$U55)&lt;&gt;"",$W55&gt;INDEX(UCRETLER!$E$7:$E$406,$U55)),"",$W55)))</f>
        <v/>
      </c>
      <c r="O55" s="3">
        <f>IF($N55="","",IF(INDEX(UCRETLER!$F$7:$F$406,$U55)="Aylık",CHOOSE(MONTH($N55),"Ocak","Şubat","Mart","Nisan","Mayıs","Haziran","Temmuz","Ağustos","Eylül","Ekim","Kasım","Aralık")&amp;" "&amp;YEAR($N55)&amp;" aylık muhasebe hizmet ücreti",RIGHT("0"&amp;DAY($N55),2)&amp;"."&amp;RIGHT("0"&amp;MONTH($N55),2)&amp;"."&amp;YEAR($N55)&amp;" haftalık muhasebe hizmet ücreti"))</f>
        <v/>
      </c>
      <c r="P55" s="3">
        <f>IF($N55="","","TAHAKKUK")</f>
        <v/>
      </c>
      <c r="Q55" s="3" t="n"/>
      <c r="R55" s="3">
        <f>IF($N55="",0,$X55)</f>
        <v/>
      </c>
      <c r="S55" s="3" t="n">
        <v>0</v>
      </c>
      <c r="T55" s="3">
        <f>IF($N55="",10000000000,$N55*100000+$M55)</f>
        <v/>
      </c>
      <c r="U55" s="3">
        <f>$AB$4</f>
        <v/>
      </c>
      <c r="V55" s="3" t="n">
        <v>43</v>
      </c>
      <c r="W55" s="3">
        <f>IF($U55=0,"",IF(INDEX(UCRETLER!$D$7:$D$406,$U55)="","",IF(INDEX(UCRETLER!$F$7:$F$406,$U55)="Aylık",EOMONTH(INDEX(UCRETLER!$D$7:$D$406,$U55),$V55-1),INDEX(UCRETLER!$D$7:$D$406,$U55)+MOD(SISTEM!$F$8-WEEKDAY(INDEX(UCRETLER!$D$7:$D$406,$U55),2),7)+7*($V55-1))))</f>
        <v/>
      </c>
      <c r="X55" s="3">
        <f>IF($U55=0,0,INDEX(UCRETLER!$G$7:$G$406,$U55))</f>
        <v/>
      </c>
      <c r="Y55" s="3">
        <f>IFERROR(SMALL($T$12:$T$432,ROW()-11),"")</f>
        <v/>
      </c>
      <c r="Z55" s="3">
        <f>IFERROR(MATCH($Y55,$T$12:$T$432,0),"")</f>
        <v/>
      </c>
      <c r="AA55" s="3" t="n"/>
      <c r="AB55" s="3" t="n"/>
      <c r="AC55" s="3" t="n"/>
      <c r="AD55" s="3" t="n"/>
    </row>
    <row r="56">
      <c r="A56" s="6" t="n"/>
      <c r="B56" s="153">
        <f>IF($C56="","",ROW()-11)</f>
        <v/>
      </c>
      <c r="C56" s="240">
        <f>IF($Z56="","",IF(INDEX($N$12:$N$432,$Z56)="","",INDEX($N$12:$N$432,$Z56)))</f>
        <v/>
      </c>
      <c r="D56" s="29">
        <f>IF($C56="","",INDEX($O$12:$O$432,$Z56))</f>
        <v/>
      </c>
      <c r="E56" s="153">
        <f>IF($C56="","",INDEX($P$12:$P$432,$Z56))</f>
        <v/>
      </c>
      <c r="F56" s="241">
        <f>IF($C56="","",INDEX($R$12:$R$432,$Z56))</f>
        <v/>
      </c>
      <c r="G56" s="241">
        <f>IF($C56="","",INDEX($S$12:$S$432,$Z56))</f>
        <v/>
      </c>
      <c r="H56" s="241">
        <f>IF($C56="","",N($H55)+$F56-$G56)</f>
        <v/>
      </c>
      <c r="I56" s="6" t="n"/>
      <c r="J56" s="6" t="n"/>
      <c r="K56" s="3" t="n"/>
      <c r="L56" s="3" t="n"/>
      <c r="M56" s="3" t="n">
        <v>45</v>
      </c>
      <c r="N56" s="3">
        <f>IF(OR($U56=0,$W56="",$X56&lt;=0),"",IF($W56&gt;TODAY(),"",IF(AND(INDEX(UCRETLER!$E$7:$E$406,$U56)&lt;&gt;"",$W56&gt;INDEX(UCRETLER!$E$7:$E$406,$U56)),"",$W56)))</f>
        <v/>
      </c>
      <c r="O56" s="3">
        <f>IF($N56="","",IF(INDEX(UCRETLER!$F$7:$F$406,$U56)="Aylık",CHOOSE(MONTH($N56),"Ocak","Şubat","Mart","Nisan","Mayıs","Haziran","Temmuz","Ağustos","Eylül","Ekim","Kasım","Aralık")&amp;" "&amp;YEAR($N56)&amp;" aylık muhasebe hizmet ücreti",RIGHT("0"&amp;DAY($N56),2)&amp;"."&amp;RIGHT("0"&amp;MONTH($N56),2)&amp;"."&amp;YEAR($N56)&amp;" haftalık muhasebe hizmet ücreti"))</f>
        <v/>
      </c>
      <c r="P56" s="3">
        <f>IF($N56="","","TAHAKKUK")</f>
        <v/>
      </c>
      <c r="Q56" s="3" t="n"/>
      <c r="R56" s="3">
        <f>IF($N56="",0,$X56)</f>
        <v/>
      </c>
      <c r="S56" s="3" t="n">
        <v>0</v>
      </c>
      <c r="T56" s="3">
        <f>IF($N56="",10000000000,$N56*100000+$M56)</f>
        <v/>
      </c>
      <c r="U56" s="3">
        <f>$AB$4</f>
        <v/>
      </c>
      <c r="V56" s="3" t="n">
        <v>44</v>
      </c>
      <c r="W56" s="3">
        <f>IF($U56=0,"",IF(INDEX(UCRETLER!$D$7:$D$406,$U56)="","",IF(INDEX(UCRETLER!$F$7:$F$406,$U56)="Aylık",EOMONTH(INDEX(UCRETLER!$D$7:$D$406,$U56),$V56-1),INDEX(UCRETLER!$D$7:$D$406,$U56)+MOD(SISTEM!$F$8-WEEKDAY(INDEX(UCRETLER!$D$7:$D$406,$U56),2),7)+7*($V56-1))))</f>
        <v/>
      </c>
      <c r="X56" s="3">
        <f>IF($U56=0,0,INDEX(UCRETLER!$G$7:$G$406,$U56))</f>
        <v/>
      </c>
      <c r="Y56" s="3">
        <f>IFERROR(SMALL($T$12:$T$432,ROW()-11),"")</f>
        <v/>
      </c>
      <c r="Z56" s="3">
        <f>IFERROR(MATCH($Y56,$T$12:$T$432,0),"")</f>
        <v/>
      </c>
      <c r="AA56" s="3" t="n"/>
      <c r="AB56" s="3" t="n"/>
      <c r="AC56" s="3" t="n"/>
      <c r="AD56" s="3" t="n"/>
    </row>
    <row r="57">
      <c r="A57" s="6" t="n"/>
      <c r="B57" s="153">
        <f>IF($C57="","",ROW()-11)</f>
        <v/>
      </c>
      <c r="C57" s="240">
        <f>IF($Z57="","",IF(INDEX($N$12:$N$432,$Z57)="","",INDEX($N$12:$N$432,$Z57)))</f>
        <v/>
      </c>
      <c r="D57" s="29">
        <f>IF($C57="","",INDEX($O$12:$O$432,$Z57))</f>
        <v/>
      </c>
      <c r="E57" s="153">
        <f>IF($C57="","",INDEX($P$12:$P$432,$Z57))</f>
        <v/>
      </c>
      <c r="F57" s="241">
        <f>IF($C57="","",INDEX($R$12:$R$432,$Z57))</f>
        <v/>
      </c>
      <c r="G57" s="241">
        <f>IF($C57="","",INDEX($S$12:$S$432,$Z57))</f>
        <v/>
      </c>
      <c r="H57" s="241">
        <f>IF($C57="","",N($H56)+$F57-$G57)</f>
        <v/>
      </c>
      <c r="I57" s="6" t="n"/>
      <c r="J57" s="6" t="n"/>
      <c r="K57" s="3" t="n"/>
      <c r="L57" s="3" t="n"/>
      <c r="M57" s="3" t="n">
        <v>46</v>
      </c>
      <c r="N57" s="3">
        <f>IF(OR($U57=0,$W57="",$X57&lt;=0),"",IF($W57&gt;TODAY(),"",IF(AND(INDEX(UCRETLER!$E$7:$E$406,$U57)&lt;&gt;"",$W57&gt;INDEX(UCRETLER!$E$7:$E$406,$U57)),"",$W57)))</f>
        <v/>
      </c>
      <c r="O57" s="3">
        <f>IF($N57="","",IF(INDEX(UCRETLER!$F$7:$F$406,$U57)="Aylık",CHOOSE(MONTH($N57),"Ocak","Şubat","Mart","Nisan","Mayıs","Haziran","Temmuz","Ağustos","Eylül","Ekim","Kasım","Aralık")&amp;" "&amp;YEAR($N57)&amp;" aylık muhasebe hizmet ücreti",RIGHT("0"&amp;DAY($N57),2)&amp;"."&amp;RIGHT("0"&amp;MONTH($N57),2)&amp;"."&amp;YEAR($N57)&amp;" haftalık muhasebe hizmet ücreti"))</f>
        <v/>
      </c>
      <c r="P57" s="3">
        <f>IF($N57="","","TAHAKKUK")</f>
        <v/>
      </c>
      <c r="Q57" s="3" t="n"/>
      <c r="R57" s="3">
        <f>IF($N57="",0,$X57)</f>
        <v/>
      </c>
      <c r="S57" s="3" t="n">
        <v>0</v>
      </c>
      <c r="T57" s="3">
        <f>IF($N57="",10000000000,$N57*100000+$M57)</f>
        <v/>
      </c>
      <c r="U57" s="3">
        <f>$AB$4</f>
        <v/>
      </c>
      <c r="V57" s="3" t="n">
        <v>45</v>
      </c>
      <c r="W57" s="3">
        <f>IF($U57=0,"",IF(INDEX(UCRETLER!$D$7:$D$406,$U57)="","",IF(INDEX(UCRETLER!$F$7:$F$406,$U57)="Aylık",EOMONTH(INDEX(UCRETLER!$D$7:$D$406,$U57),$V57-1),INDEX(UCRETLER!$D$7:$D$406,$U57)+MOD(SISTEM!$F$8-WEEKDAY(INDEX(UCRETLER!$D$7:$D$406,$U57),2),7)+7*($V57-1))))</f>
        <v/>
      </c>
      <c r="X57" s="3">
        <f>IF($U57=0,0,INDEX(UCRETLER!$G$7:$G$406,$U57))</f>
        <v/>
      </c>
      <c r="Y57" s="3">
        <f>IFERROR(SMALL($T$12:$T$432,ROW()-11),"")</f>
        <v/>
      </c>
      <c r="Z57" s="3">
        <f>IFERROR(MATCH($Y57,$T$12:$T$432,0),"")</f>
        <v/>
      </c>
      <c r="AA57" s="3" t="n"/>
      <c r="AB57" s="3" t="n"/>
      <c r="AC57" s="3" t="n"/>
      <c r="AD57" s="3" t="n"/>
    </row>
    <row r="58">
      <c r="A58" s="6" t="n"/>
      <c r="B58" s="153">
        <f>IF($C58="","",ROW()-11)</f>
        <v/>
      </c>
      <c r="C58" s="240">
        <f>IF($Z58="","",IF(INDEX($N$12:$N$432,$Z58)="","",INDEX($N$12:$N$432,$Z58)))</f>
        <v/>
      </c>
      <c r="D58" s="29">
        <f>IF($C58="","",INDEX($O$12:$O$432,$Z58))</f>
        <v/>
      </c>
      <c r="E58" s="153">
        <f>IF($C58="","",INDEX($P$12:$P$432,$Z58))</f>
        <v/>
      </c>
      <c r="F58" s="241">
        <f>IF($C58="","",INDEX($R$12:$R$432,$Z58))</f>
        <v/>
      </c>
      <c r="G58" s="241">
        <f>IF($C58="","",INDEX($S$12:$S$432,$Z58))</f>
        <v/>
      </c>
      <c r="H58" s="241">
        <f>IF($C58="","",N($H57)+$F58-$G58)</f>
        <v/>
      </c>
      <c r="I58" s="6" t="n"/>
      <c r="J58" s="6" t="n"/>
      <c r="K58" s="3" t="n"/>
      <c r="L58" s="3" t="n"/>
      <c r="M58" s="3" t="n">
        <v>47</v>
      </c>
      <c r="N58" s="3">
        <f>IF(OR($U58=0,$W58="",$X58&lt;=0),"",IF($W58&gt;TODAY(),"",IF(AND(INDEX(UCRETLER!$E$7:$E$406,$U58)&lt;&gt;"",$W58&gt;INDEX(UCRETLER!$E$7:$E$406,$U58)),"",$W58)))</f>
        <v/>
      </c>
      <c r="O58" s="3">
        <f>IF($N58="","",IF(INDEX(UCRETLER!$F$7:$F$406,$U58)="Aylık",CHOOSE(MONTH($N58),"Ocak","Şubat","Mart","Nisan","Mayıs","Haziran","Temmuz","Ağustos","Eylül","Ekim","Kasım","Aralık")&amp;" "&amp;YEAR($N58)&amp;" aylık muhasebe hizmet ücreti",RIGHT("0"&amp;DAY($N58),2)&amp;"."&amp;RIGHT("0"&amp;MONTH($N58),2)&amp;"."&amp;YEAR($N58)&amp;" haftalık muhasebe hizmet ücreti"))</f>
        <v/>
      </c>
      <c r="P58" s="3">
        <f>IF($N58="","","TAHAKKUK")</f>
        <v/>
      </c>
      <c r="Q58" s="3" t="n"/>
      <c r="R58" s="3">
        <f>IF($N58="",0,$X58)</f>
        <v/>
      </c>
      <c r="S58" s="3" t="n">
        <v>0</v>
      </c>
      <c r="T58" s="3">
        <f>IF($N58="",10000000000,$N58*100000+$M58)</f>
        <v/>
      </c>
      <c r="U58" s="3">
        <f>$AB$4</f>
        <v/>
      </c>
      <c r="V58" s="3" t="n">
        <v>46</v>
      </c>
      <c r="W58" s="3">
        <f>IF($U58=0,"",IF(INDEX(UCRETLER!$D$7:$D$406,$U58)="","",IF(INDEX(UCRETLER!$F$7:$F$406,$U58)="Aylık",EOMONTH(INDEX(UCRETLER!$D$7:$D$406,$U58),$V58-1),INDEX(UCRETLER!$D$7:$D$406,$U58)+MOD(SISTEM!$F$8-WEEKDAY(INDEX(UCRETLER!$D$7:$D$406,$U58),2),7)+7*($V58-1))))</f>
        <v/>
      </c>
      <c r="X58" s="3">
        <f>IF($U58=0,0,INDEX(UCRETLER!$G$7:$G$406,$U58))</f>
        <v/>
      </c>
      <c r="Y58" s="3">
        <f>IFERROR(SMALL($T$12:$T$432,ROW()-11),"")</f>
        <v/>
      </c>
      <c r="Z58" s="3">
        <f>IFERROR(MATCH($Y58,$T$12:$T$432,0),"")</f>
        <v/>
      </c>
      <c r="AA58" s="3" t="n"/>
      <c r="AB58" s="3" t="n"/>
      <c r="AC58" s="3" t="n"/>
      <c r="AD58" s="3" t="n"/>
    </row>
    <row r="59">
      <c r="A59" s="6" t="n"/>
      <c r="B59" s="153">
        <f>IF($C59="","",ROW()-11)</f>
        <v/>
      </c>
      <c r="C59" s="240">
        <f>IF($Z59="","",IF(INDEX($N$12:$N$432,$Z59)="","",INDEX($N$12:$N$432,$Z59)))</f>
        <v/>
      </c>
      <c r="D59" s="29">
        <f>IF($C59="","",INDEX($O$12:$O$432,$Z59))</f>
        <v/>
      </c>
      <c r="E59" s="153">
        <f>IF($C59="","",INDEX($P$12:$P$432,$Z59))</f>
        <v/>
      </c>
      <c r="F59" s="241">
        <f>IF($C59="","",INDEX($R$12:$R$432,$Z59))</f>
        <v/>
      </c>
      <c r="G59" s="241">
        <f>IF($C59="","",INDEX($S$12:$S$432,$Z59))</f>
        <v/>
      </c>
      <c r="H59" s="241">
        <f>IF($C59="","",N($H58)+$F59-$G59)</f>
        <v/>
      </c>
      <c r="I59" s="6" t="n"/>
      <c r="J59" s="6" t="n"/>
      <c r="K59" s="3" t="n"/>
      <c r="L59" s="3" t="n"/>
      <c r="M59" s="3" t="n">
        <v>48</v>
      </c>
      <c r="N59" s="3">
        <f>IF(OR($U59=0,$W59="",$X59&lt;=0),"",IF($W59&gt;TODAY(),"",IF(AND(INDEX(UCRETLER!$E$7:$E$406,$U59)&lt;&gt;"",$W59&gt;INDEX(UCRETLER!$E$7:$E$406,$U59)),"",$W59)))</f>
        <v/>
      </c>
      <c r="O59" s="3">
        <f>IF($N59="","",IF(INDEX(UCRETLER!$F$7:$F$406,$U59)="Aylık",CHOOSE(MONTH($N59),"Ocak","Şubat","Mart","Nisan","Mayıs","Haziran","Temmuz","Ağustos","Eylül","Ekim","Kasım","Aralık")&amp;" "&amp;YEAR($N59)&amp;" aylık muhasebe hizmet ücreti",RIGHT("0"&amp;DAY($N59),2)&amp;"."&amp;RIGHT("0"&amp;MONTH($N59),2)&amp;"."&amp;YEAR($N59)&amp;" haftalık muhasebe hizmet ücreti"))</f>
        <v/>
      </c>
      <c r="P59" s="3">
        <f>IF($N59="","","TAHAKKUK")</f>
        <v/>
      </c>
      <c r="Q59" s="3" t="n"/>
      <c r="R59" s="3">
        <f>IF($N59="",0,$X59)</f>
        <v/>
      </c>
      <c r="S59" s="3" t="n">
        <v>0</v>
      </c>
      <c r="T59" s="3">
        <f>IF($N59="",10000000000,$N59*100000+$M59)</f>
        <v/>
      </c>
      <c r="U59" s="3">
        <f>$AB$4</f>
        <v/>
      </c>
      <c r="V59" s="3" t="n">
        <v>47</v>
      </c>
      <c r="W59" s="3">
        <f>IF($U59=0,"",IF(INDEX(UCRETLER!$D$7:$D$406,$U59)="","",IF(INDEX(UCRETLER!$F$7:$F$406,$U59)="Aylık",EOMONTH(INDEX(UCRETLER!$D$7:$D$406,$U59),$V59-1),INDEX(UCRETLER!$D$7:$D$406,$U59)+MOD(SISTEM!$F$8-WEEKDAY(INDEX(UCRETLER!$D$7:$D$406,$U59),2),7)+7*($V59-1))))</f>
        <v/>
      </c>
      <c r="X59" s="3">
        <f>IF($U59=0,0,INDEX(UCRETLER!$G$7:$G$406,$U59))</f>
        <v/>
      </c>
      <c r="Y59" s="3">
        <f>IFERROR(SMALL($T$12:$T$432,ROW()-11),"")</f>
        <v/>
      </c>
      <c r="Z59" s="3">
        <f>IFERROR(MATCH($Y59,$T$12:$T$432,0),"")</f>
        <v/>
      </c>
      <c r="AA59" s="3" t="n"/>
      <c r="AB59" s="3" t="n"/>
      <c r="AC59" s="3" t="n"/>
      <c r="AD59" s="3" t="n"/>
    </row>
    <row r="60">
      <c r="A60" s="6" t="n"/>
      <c r="B60" s="153">
        <f>IF($C60="","",ROW()-11)</f>
        <v/>
      </c>
      <c r="C60" s="240">
        <f>IF($Z60="","",IF(INDEX($N$12:$N$432,$Z60)="","",INDEX($N$12:$N$432,$Z60)))</f>
        <v/>
      </c>
      <c r="D60" s="29">
        <f>IF($C60="","",INDEX($O$12:$O$432,$Z60))</f>
        <v/>
      </c>
      <c r="E60" s="153">
        <f>IF($C60="","",INDEX($P$12:$P$432,$Z60))</f>
        <v/>
      </c>
      <c r="F60" s="241">
        <f>IF($C60="","",INDEX($R$12:$R$432,$Z60))</f>
        <v/>
      </c>
      <c r="G60" s="241">
        <f>IF($C60="","",INDEX($S$12:$S$432,$Z60))</f>
        <v/>
      </c>
      <c r="H60" s="241">
        <f>IF($C60="","",N($H59)+$F60-$G60)</f>
        <v/>
      </c>
      <c r="I60" s="6" t="n"/>
      <c r="J60" s="6" t="n"/>
      <c r="K60" s="3" t="n"/>
      <c r="L60" s="3" t="n"/>
      <c r="M60" s="3" t="n">
        <v>49</v>
      </c>
      <c r="N60" s="3">
        <f>IF(OR($U60=0,$W60="",$X60&lt;=0),"",IF($W60&gt;TODAY(),"",IF(AND(INDEX(UCRETLER!$E$7:$E$406,$U60)&lt;&gt;"",$W60&gt;INDEX(UCRETLER!$E$7:$E$406,$U60)),"",$W60)))</f>
        <v/>
      </c>
      <c r="O60" s="3">
        <f>IF($N60="","",IF(INDEX(UCRETLER!$F$7:$F$406,$U60)="Aylık",CHOOSE(MONTH($N60),"Ocak","Şubat","Mart","Nisan","Mayıs","Haziran","Temmuz","Ağustos","Eylül","Ekim","Kasım","Aralık")&amp;" "&amp;YEAR($N60)&amp;" aylık muhasebe hizmet ücreti",RIGHT("0"&amp;DAY($N60),2)&amp;"."&amp;RIGHT("0"&amp;MONTH($N60),2)&amp;"."&amp;YEAR($N60)&amp;" haftalık muhasebe hizmet ücreti"))</f>
        <v/>
      </c>
      <c r="P60" s="3">
        <f>IF($N60="","","TAHAKKUK")</f>
        <v/>
      </c>
      <c r="Q60" s="3" t="n"/>
      <c r="R60" s="3">
        <f>IF($N60="",0,$X60)</f>
        <v/>
      </c>
      <c r="S60" s="3" t="n">
        <v>0</v>
      </c>
      <c r="T60" s="3">
        <f>IF($N60="",10000000000,$N60*100000+$M60)</f>
        <v/>
      </c>
      <c r="U60" s="3">
        <f>$AB$4</f>
        <v/>
      </c>
      <c r="V60" s="3" t="n">
        <v>48</v>
      </c>
      <c r="W60" s="3">
        <f>IF($U60=0,"",IF(INDEX(UCRETLER!$D$7:$D$406,$U60)="","",IF(INDEX(UCRETLER!$F$7:$F$406,$U60)="Aylık",EOMONTH(INDEX(UCRETLER!$D$7:$D$406,$U60),$V60-1),INDEX(UCRETLER!$D$7:$D$406,$U60)+MOD(SISTEM!$F$8-WEEKDAY(INDEX(UCRETLER!$D$7:$D$406,$U60),2),7)+7*($V60-1))))</f>
        <v/>
      </c>
      <c r="X60" s="3">
        <f>IF($U60=0,0,INDEX(UCRETLER!$G$7:$G$406,$U60))</f>
        <v/>
      </c>
      <c r="Y60" s="3">
        <f>IFERROR(SMALL($T$12:$T$432,ROW()-11),"")</f>
        <v/>
      </c>
      <c r="Z60" s="3">
        <f>IFERROR(MATCH($Y60,$T$12:$T$432,0),"")</f>
        <v/>
      </c>
      <c r="AA60" s="3" t="n"/>
      <c r="AB60" s="3" t="n"/>
      <c r="AC60" s="3" t="n"/>
      <c r="AD60" s="3" t="n"/>
    </row>
    <row r="61">
      <c r="A61" s="6" t="n"/>
      <c r="B61" s="153">
        <f>IF($C61="","",ROW()-11)</f>
        <v/>
      </c>
      <c r="C61" s="240">
        <f>IF($Z61="","",IF(INDEX($N$12:$N$432,$Z61)="","",INDEX($N$12:$N$432,$Z61)))</f>
        <v/>
      </c>
      <c r="D61" s="29">
        <f>IF($C61="","",INDEX($O$12:$O$432,$Z61))</f>
        <v/>
      </c>
      <c r="E61" s="153">
        <f>IF($C61="","",INDEX($P$12:$P$432,$Z61))</f>
        <v/>
      </c>
      <c r="F61" s="241">
        <f>IF($C61="","",INDEX($R$12:$R$432,$Z61))</f>
        <v/>
      </c>
      <c r="G61" s="241">
        <f>IF($C61="","",INDEX($S$12:$S$432,$Z61))</f>
        <v/>
      </c>
      <c r="H61" s="241">
        <f>IF($C61="","",N($H60)+$F61-$G61)</f>
        <v/>
      </c>
      <c r="I61" s="6" t="n"/>
      <c r="J61" s="6" t="n"/>
      <c r="K61" s="3" t="n"/>
      <c r="L61" s="3" t="n"/>
      <c r="M61" s="3" t="n">
        <v>50</v>
      </c>
      <c r="N61" s="3">
        <f>IF(OR($U61=0,$W61="",$X61&lt;=0),"",IF($W61&gt;TODAY(),"",IF(AND(INDEX(UCRETLER!$E$7:$E$406,$U61)&lt;&gt;"",$W61&gt;INDEX(UCRETLER!$E$7:$E$406,$U61)),"",$W61)))</f>
        <v/>
      </c>
      <c r="O61" s="3">
        <f>IF($N61="","",IF(INDEX(UCRETLER!$F$7:$F$406,$U61)="Aylık",CHOOSE(MONTH($N61),"Ocak","Şubat","Mart","Nisan","Mayıs","Haziran","Temmuz","Ağustos","Eylül","Ekim","Kasım","Aralık")&amp;" "&amp;YEAR($N61)&amp;" aylık muhasebe hizmet ücreti",RIGHT("0"&amp;DAY($N61),2)&amp;"."&amp;RIGHT("0"&amp;MONTH($N61),2)&amp;"."&amp;YEAR($N61)&amp;" haftalık muhasebe hizmet ücreti"))</f>
        <v/>
      </c>
      <c r="P61" s="3">
        <f>IF($N61="","","TAHAKKUK")</f>
        <v/>
      </c>
      <c r="Q61" s="3" t="n"/>
      <c r="R61" s="3">
        <f>IF($N61="",0,$X61)</f>
        <v/>
      </c>
      <c r="S61" s="3" t="n">
        <v>0</v>
      </c>
      <c r="T61" s="3">
        <f>IF($N61="",10000000000,$N61*100000+$M61)</f>
        <v/>
      </c>
      <c r="U61" s="3">
        <f>$AB$4</f>
        <v/>
      </c>
      <c r="V61" s="3" t="n">
        <v>49</v>
      </c>
      <c r="W61" s="3">
        <f>IF($U61=0,"",IF(INDEX(UCRETLER!$D$7:$D$406,$U61)="","",IF(INDEX(UCRETLER!$F$7:$F$406,$U61)="Aylık",EOMONTH(INDEX(UCRETLER!$D$7:$D$406,$U61),$V61-1),INDEX(UCRETLER!$D$7:$D$406,$U61)+MOD(SISTEM!$F$8-WEEKDAY(INDEX(UCRETLER!$D$7:$D$406,$U61),2),7)+7*($V61-1))))</f>
        <v/>
      </c>
      <c r="X61" s="3">
        <f>IF($U61=0,0,INDEX(UCRETLER!$G$7:$G$406,$U61))</f>
        <v/>
      </c>
      <c r="Y61" s="3">
        <f>IFERROR(SMALL($T$12:$T$432,ROW()-11),"")</f>
        <v/>
      </c>
      <c r="Z61" s="3">
        <f>IFERROR(MATCH($Y61,$T$12:$T$432,0),"")</f>
        <v/>
      </c>
      <c r="AA61" s="3" t="n"/>
      <c r="AB61" s="3" t="n"/>
      <c r="AC61" s="3" t="n"/>
      <c r="AD61" s="3" t="n"/>
    </row>
    <row r="62">
      <c r="A62" s="6" t="n"/>
      <c r="B62" s="153">
        <f>IF($C62="","",ROW()-11)</f>
        <v/>
      </c>
      <c r="C62" s="240">
        <f>IF($Z62="","",IF(INDEX($N$12:$N$432,$Z62)="","",INDEX($N$12:$N$432,$Z62)))</f>
        <v/>
      </c>
      <c r="D62" s="29">
        <f>IF($C62="","",INDEX($O$12:$O$432,$Z62))</f>
        <v/>
      </c>
      <c r="E62" s="153">
        <f>IF($C62="","",INDEX($P$12:$P$432,$Z62))</f>
        <v/>
      </c>
      <c r="F62" s="241">
        <f>IF($C62="","",INDEX($R$12:$R$432,$Z62))</f>
        <v/>
      </c>
      <c r="G62" s="241">
        <f>IF($C62="","",INDEX($S$12:$S$432,$Z62))</f>
        <v/>
      </c>
      <c r="H62" s="241">
        <f>IF($C62="","",N($H61)+$F62-$G62)</f>
        <v/>
      </c>
      <c r="I62" s="6" t="n"/>
      <c r="J62" s="6" t="n"/>
      <c r="K62" s="3" t="n"/>
      <c r="L62" s="3" t="n"/>
      <c r="M62" s="3" t="n">
        <v>51</v>
      </c>
      <c r="N62" s="3">
        <f>IF(OR($U62=0,$W62="",$X62&lt;=0),"",IF($W62&gt;TODAY(),"",IF(AND(INDEX(UCRETLER!$E$7:$E$406,$U62)&lt;&gt;"",$W62&gt;INDEX(UCRETLER!$E$7:$E$406,$U62)),"",$W62)))</f>
        <v/>
      </c>
      <c r="O62" s="3">
        <f>IF($N62="","",IF(INDEX(UCRETLER!$F$7:$F$406,$U62)="Aylık",CHOOSE(MONTH($N62),"Ocak","Şubat","Mart","Nisan","Mayıs","Haziran","Temmuz","Ağustos","Eylül","Ekim","Kasım","Aralık")&amp;" "&amp;YEAR($N62)&amp;" aylık muhasebe hizmet ücreti",RIGHT("0"&amp;DAY($N62),2)&amp;"."&amp;RIGHT("0"&amp;MONTH($N62),2)&amp;"."&amp;YEAR($N62)&amp;" haftalık muhasebe hizmet ücreti"))</f>
        <v/>
      </c>
      <c r="P62" s="3">
        <f>IF($N62="","","TAHAKKUK")</f>
        <v/>
      </c>
      <c r="Q62" s="3" t="n"/>
      <c r="R62" s="3">
        <f>IF($N62="",0,$X62)</f>
        <v/>
      </c>
      <c r="S62" s="3" t="n">
        <v>0</v>
      </c>
      <c r="T62" s="3">
        <f>IF($N62="",10000000000,$N62*100000+$M62)</f>
        <v/>
      </c>
      <c r="U62" s="3">
        <f>$AB$4</f>
        <v/>
      </c>
      <c r="V62" s="3" t="n">
        <v>50</v>
      </c>
      <c r="W62" s="3">
        <f>IF($U62=0,"",IF(INDEX(UCRETLER!$D$7:$D$406,$U62)="","",IF(INDEX(UCRETLER!$F$7:$F$406,$U62)="Aylık",EOMONTH(INDEX(UCRETLER!$D$7:$D$406,$U62),$V62-1),INDEX(UCRETLER!$D$7:$D$406,$U62)+MOD(SISTEM!$F$8-WEEKDAY(INDEX(UCRETLER!$D$7:$D$406,$U62),2),7)+7*($V62-1))))</f>
        <v/>
      </c>
      <c r="X62" s="3">
        <f>IF($U62=0,0,INDEX(UCRETLER!$G$7:$G$406,$U62))</f>
        <v/>
      </c>
      <c r="Y62" s="3">
        <f>IFERROR(SMALL($T$12:$T$432,ROW()-11),"")</f>
        <v/>
      </c>
      <c r="Z62" s="3">
        <f>IFERROR(MATCH($Y62,$T$12:$T$432,0),"")</f>
        <v/>
      </c>
      <c r="AA62" s="3" t="n"/>
      <c r="AB62" s="3" t="n"/>
      <c r="AC62" s="3" t="n"/>
      <c r="AD62" s="3" t="n"/>
    </row>
    <row r="63">
      <c r="A63" s="6" t="n"/>
      <c r="B63" s="153">
        <f>IF($C63="","",ROW()-11)</f>
        <v/>
      </c>
      <c r="C63" s="240">
        <f>IF($Z63="","",IF(INDEX($N$12:$N$432,$Z63)="","",INDEX($N$12:$N$432,$Z63)))</f>
        <v/>
      </c>
      <c r="D63" s="29">
        <f>IF($C63="","",INDEX($O$12:$O$432,$Z63))</f>
        <v/>
      </c>
      <c r="E63" s="153">
        <f>IF($C63="","",INDEX($P$12:$P$432,$Z63))</f>
        <v/>
      </c>
      <c r="F63" s="241">
        <f>IF($C63="","",INDEX($R$12:$R$432,$Z63))</f>
        <v/>
      </c>
      <c r="G63" s="241">
        <f>IF($C63="","",INDEX($S$12:$S$432,$Z63))</f>
        <v/>
      </c>
      <c r="H63" s="241">
        <f>IF($C63="","",N($H62)+$F63-$G63)</f>
        <v/>
      </c>
      <c r="I63" s="6" t="n"/>
      <c r="J63" s="6" t="n"/>
      <c r="K63" s="3" t="n"/>
      <c r="L63" s="3" t="n"/>
      <c r="M63" s="3" t="n">
        <v>52</v>
      </c>
      <c r="N63" s="3">
        <f>IF(OR($U63=0,$W63="",$X63&lt;=0),"",IF($W63&gt;TODAY(),"",IF(AND(INDEX(UCRETLER!$E$7:$E$406,$U63)&lt;&gt;"",$W63&gt;INDEX(UCRETLER!$E$7:$E$406,$U63)),"",$W63)))</f>
        <v/>
      </c>
      <c r="O63" s="3">
        <f>IF($N63="","",IF(INDEX(UCRETLER!$F$7:$F$406,$U63)="Aylık",CHOOSE(MONTH($N63),"Ocak","Şubat","Mart","Nisan","Mayıs","Haziran","Temmuz","Ağustos","Eylül","Ekim","Kasım","Aralık")&amp;" "&amp;YEAR($N63)&amp;" aylık muhasebe hizmet ücreti",RIGHT("0"&amp;DAY($N63),2)&amp;"."&amp;RIGHT("0"&amp;MONTH($N63),2)&amp;"."&amp;YEAR($N63)&amp;" haftalık muhasebe hizmet ücreti"))</f>
        <v/>
      </c>
      <c r="P63" s="3">
        <f>IF($N63="","","TAHAKKUK")</f>
        <v/>
      </c>
      <c r="Q63" s="3" t="n"/>
      <c r="R63" s="3">
        <f>IF($N63="",0,$X63)</f>
        <v/>
      </c>
      <c r="S63" s="3" t="n">
        <v>0</v>
      </c>
      <c r="T63" s="3">
        <f>IF($N63="",10000000000,$N63*100000+$M63)</f>
        <v/>
      </c>
      <c r="U63" s="3">
        <f>$AB$4</f>
        <v/>
      </c>
      <c r="V63" s="3" t="n">
        <v>51</v>
      </c>
      <c r="W63" s="3">
        <f>IF($U63=0,"",IF(INDEX(UCRETLER!$D$7:$D$406,$U63)="","",IF(INDEX(UCRETLER!$F$7:$F$406,$U63)="Aylık",EOMONTH(INDEX(UCRETLER!$D$7:$D$406,$U63),$V63-1),INDEX(UCRETLER!$D$7:$D$406,$U63)+MOD(SISTEM!$F$8-WEEKDAY(INDEX(UCRETLER!$D$7:$D$406,$U63),2),7)+7*($V63-1))))</f>
        <v/>
      </c>
      <c r="X63" s="3">
        <f>IF($U63=0,0,INDEX(UCRETLER!$G$7:$G$406,$U63))</f>
        <v/>
      </c>
      <c r="Y63" s="3">
        <f>IFERROR(SMALL($T$12:$T$432,ROW()-11),"")</f>
        <v/>
      </c>
      <c r="Z63" s="3">
        <f>IFERROR(MATCH($Y63,$T$12:$T$432,0),"")</f>
        <v/>
      </c>
      <c r="AA63" s="3" t="n"/>
      <c r="AB63" s="3" t="n"/>
      <c r="AC63" s="3" t="n"/>
      <c r="AD63" s="3" t="n"/>
    </row>
    <row r="64">
      <c r="A64" s="6" t="n"/>
      <c r="B64" s="153">
        <f>IF($C64="","",ROW()-11)</f>
        <v/>
      </c>
      <c r="C64" s="240">
        <f>IF($Z64="","",IF(INDEX($N$12:$N$432,$Z64)="","",INDEX($N$12:$N$432,$Z64)))</f>
        <v/>
      </c>
      <c r="D64" s="29">
        <f>IF($C64="","",INDEX($O$12:$O$432,$Z64))</f>
        <v/>
      </c>
      <c r="E64" s="153">
        <f>IF($C64="","",INDEX($P$12:$P$432,$Z64))</f>
        <v/>
      </c>
      <c r="F64" s="241">
        <f>IF($C64="","",INDEX($R$12:$R$432,$Z64))</f>
        <v/>
      </c>
      <c r="G64" s="241">
        <f>IF($C64="","",INDEX($S$12:$S$432,$Z64))</f>
        <v/>
      </c>
      <c r="H64" s="241">
        <f>IF($C64="","",N($H63)+$F64-$G64)</f>
        <v/>
      </c>
      <c r="I64" s="6" t="n"/>
      <c r="J64" s="6" t="n"/>
      <c r="K64" s="3" t="n"/>
      <c r="L64" s="3" t="n"/>
      <c r="M64" s="3" t="n">
        <v>53</v>
      </c>
      <c r="N64" s="3">
        <f>IF(OR($U64=0,$W64="",$X64&lt;=0),"",IF($W64&gt;TODAY(),"",IF(AND(INDEX(UCRETLER!$E$7:$E$406,$U64)&lt;&gt;"",$W64&gt;INDEX(UCRETLER!$E$7:$E$406,$U64)),"",$W64)))</f>
        <v/>
      </c>
      <c r="O64" s="3">
        <f>IF($N64="","",IF(INDEX(UCRETLER!$F$7:$F$406,$U64)="Aylık",CHOOSE(MONTH($N64),"Ocak","Şubat","Mart","Nisan","Mayıs","Haziran","Temmuz","Ağustos","Eylül","Ekim","Kasım","Aralık")&amp;" "&amp;YEAR($N64)&amp;" aylık muhasebe hizmet ücreti",RIGHT("0"&amp;DAY($N64),2)&amp;"."&amp;RIGHT("0"&amp;MONTH($N64),2)&amp;"."&amp;YEAR($N64)&amp;" haftalık muhasebe hizmet ücreti"))</f>
        <v/>
      </c>
      <c r="P64" s="3">
        <f>IF($N64="","","TAHAKKUK")</f>
        <v/>
      </c>
      <c r="Q64" s="3" t="n"/>
      <c r="R64" s="3">
        <f>IF($N64="",0,$X64)</f>
        <v/>
      </c>
      <c r="S64" s="3" t="n">
        <v>0</v>
      </c>
      <c r="T64" s="3">
        <f>IF($N64="",10000000000,$N64*100000+$M64)</f>
        <v/>
      </c>
      <c r="U64" s="3">
        <f>$AB$4</f>
        <v/>
      </c>
      <c r="V64" s="3" t="n">
        <v>52</v>
      </c>
      <c r="W64" s="3">
        <f>IF($U64=0,"",IF(INDEX(UCRETLER!$D$7:$D$406,$U64)="","",IF(INDEX(UCRETLER!$F$7:$F$406,$U64)="Aylık",EOMONTH(INDEX(UCRETLER!$D$7:$D$406,$U64),$V64-1),INDEX(UCRETLER!$D$7:$D$406,$U64)+MOD(SISTEM!$F$8-WEEKDAY(INDEX(UCRETLER!$D$7:$D$406,$U64),2),7)+7*($V64-1))))</f>
        <v/>
      </c>
      <c r="X64" s="3">
        <f>IF($U64=0,0,INDEX(UCRETLER!$G$7:$G$406,$U64))</f>
        <v/>
      </c>
      <c r="Y64" s="3">
        <f>IFERROR(SMALL($T$12:$T$432,ROW()-11),"")</f>
        <v/>
      </c>
      <c r="Z64" s="3">
        <f>IFERROR(MATCH($Y64,$T$12:$T$432,0),"")</f>
        <v/>
      </c>
      <c r="AA64" s="3" t="n"/>
      <c r="AB64" s="3" t="n"/>
      <c r="AC64" s="3" t="n"/>
      <c r="AD64" s="3" t="n"/>
    </row>
    <row r="65">
      <c r="A65" s="6" t="n"/>
      <c r="B65" s="153">
        <f>IF($C65="","",ROW()-11)</f>
        <v/>
      </c>
      <c r="C65" s="240">
        <f>IF($Z65="","",IF(INDEX($N$12:$N$432,$Z65)="","",INDEX($N$12:$N$432,$Z65)))</f>
        <v/>
      </c>
      <c r="D65" s="29">
        <f>IF($C65="","",INDEX($O$12:$O$432,$Z65))</f>
        <v/>
      </c>
      <c r="E65" s="153">
        <f>IF($C65="","",INDEX($P$12:$P$432,$Z65))</f>
        <v/>
      </c>
      <c r="F65" s="241">
        <f>IF($C65="","",INDEX($R$12:$R$432,$Z65))</f>
        <v/>
      </c>
      <c r="G65" s="241">
        <f>IF($C65="","",INDEX($S$12:$S$432,$Z65))</f>
        <v/>
      </c>
      <c r="H65" s="241">
        <f>IF($C65="","",N($H64)+$F65-$G65)</f>
        <v/>
      </c>
      <c r="I65" s="6" t="n"/>
      <c r="J65" s="6" t="n"/>
      <c r="K65" s="3" t="n"/>
      <c r="L65" s="3" t="n"/>
      <c r="M65" s="3" t="n">
        <v>54</v>
      </c>
      <c r="N65" s="3">
        <f>IF(OR($U65=0,$W65="",$X65&lt;=0),"",IF($W65&gt;TODAY(),"",IF(AND(INDEX(UCRETLER!$E$7:$E$406,$U65)&lt;&gt;"",$W65&gt;INDEX(UCRETLER!$E$7:$E$406,$U65)),"",$W65)))</f>
        <v/>
      </c>
      <c r="O65" s="3">
        <f>IF($N65="","",IF(INDEX(UCRETLER!$F$7:$F$406,$U65)="Aylık",CHOOSE(MONTH($N65),"Ocak","Şubat","Mart","Nisan","Mayıs","Haziran","Temmuz","Ağustos","Eylül","Ekim","Kasım","Aralık")&amp;" "&amp;YEAR($N65)&amp;" aylık muhasebe hizmet ücreti",RIGHT("0"&amp;DAY($N65),2)&amp;"."&amp;RIGHT("0"&amp;MONTH($N65),2)&amp;"."&amp;YEAR($N65)&amp;" haftalık muhasebe hizmet ücreti"))</f>
        <v/>
      </c>
      <c r="P65" s="3">
        <f>IF($N65="","","TAHAKKUK")</f>
        <v/>
      </c>
      <c r="Q65" s="3" t="n"/>
      <c r="R65" s="3">
        <f>IF($N65="",0,$X65)</f>
        <v/>
      </c>
      <c r="S65" s="3" t="n">
        <v>0</v>
      </c>
      <c r="T65" s="3">
        <f>IF($N65="",10000000000,$N65*100000+$M65)</f>
        <v/>
      </c>
      <c r="U65" s="3">
        <f>$AB$4</f>
        <v/>
      </c>
      <c r="V65" s="3" t="n">
        <v>53</v>
      </c>
      <c r="W65" s="3">
        <f>IF($U65=0,"",IF(INDEX(UCRETLER!$D$7:$D$406,$U65)="","",IF(INDEX(UCRETLER!$F$7:$F$406,$U65)="Aylık",EOMONTH(INDEX(UCRETLER!$D$7:$D$406,$U65),$V65-1),INDEX(UCRETLER!$D$7:$D$406,$U65)+MOD(SISTEM!$F$8-WEEKDAY(INDEX(UCRETLER!$D$7:$D$406,$U65),2),7)+7*($V65-1))))</f>
        <v/>
      </c>
      <c r="X65" s="3">
        <f>IF($U65=0,0,INDEX(UCRETLER!$G$7:$G$406,$U65))</f>
        <v/>
      </c>
      <c r="Y65" s="3">
        <f>IFERROR(SMALL($T$12:$T$432,ROW()-11),"")</f>
        <v/>
      </c>
      <c r="Z65" s="3">
        <f>IFERROR(MATCH($Y65,$T$12:$T$432,0),"")</f>
        <v/>
      </c>
      <c r="AA65" s="3" t="n"/>
      <c r="AB65" s="3" t="n"/>
      <c r="AC65" s="3" t="n"/>
      <c r="AD65" s="3" t="n"/>
    </row>
    <row r="66">
      <c r="A66" s="6" t="n"/>
      <c r="B66" s="153">
        <f>IF($C66="","",ROW()-11)</f>
        <v/>
      </c>
      <c r="C66" s="240">
        <f>IF($Z66="","",IF(INDEX($N$12:$N$432,$Z66)="","",INDEX($N$12:$N$432,$Z66)))</f>
        <v/>
      </c>
      <c r="D66" s="29">
        <f>IF($C66="","",INDEX($O$12:$O$432,$Z66))</f>
        <v/>
      </c>
      <c r="E66" s="153">
        <f>IF($C66="","",INDEX($P$12:$P$432,$Z66))</f>
        <v/>
      </c>
      <c r="F66" s="241">
        <f>IF($C66="","",INDEX($R$12:$R$432,$Z66))</f>
        <v/>
      </c>
      <c r="G66" s="241">
        <f>IF($C66="","",INDEX($S$12:$S$432,$Z66))</f>
        <v/>
      </c>
      <c r="H66" s="241">
        <f>IF($C66="","",N($H65)+$F66-$G66)</f>
        <v/>
      </c>
      <c r="I66" s="6" t="n"/>
      <c r="J66" s="6" t="n"/>
      <c r="K66" s="3" t="n"/>
      <c r="L66" s="3" t="n"/>
      <c r="M66" s="3" t="n">
        <v>55</v>
      </c>
      <c r="N66" s="3">
        <f>IF(OR($U66=0,$W66="",$X66&lt;=0),"",IF($W66&gt;TODAY(),"",IF(AND(INDEX(UCRETLER!$E$7:$E$406,$U66)&lt;&gt;"",$W66&gt;INDEX(UCRETLER!$E$7:$E$406,$U66)),"",$W66)))</f>
        <v/>
      </c>
      <c r="O66" s="3">
        <f>IF($N66="","",IF(INDEX(UCRETLER!$F$7:$F$406,$U66)="Aylık",CHOOSE(MONTH($N66),"Ocak","Şubat","Mart","Nisan","Mayıs","Haziran","Temmuz","Ağustos","Eylül","Ekim","Kasım","Aralık")&amp;" "&amp;YEAR($N66)&amp;" aylık muhasebe hizmet ücreti",RIGHT("0"&amp;DAY($N66),2)&amp;"."&amp;RIGHT("0"&amp;MONTH($N66),2)&amp;"."&amp;YEAR($N66)&amp;" haftalık muhasebe hizmet ücreti"))</f>
        <v/>
      </c>
      <c r="P66" s="3">
        <f>IF($N66="","","TAHAKKUK")</f>
        <v/>
      </c>
      <c r="Q66" s="3" t="n"/>
      <c r="R66" s="3">
        <f>IF($N66="",0,$X66)</f>
        <v/>
      </c>
      <c r="S66" s="3" t="n">
        <v>0</v>
      </c>
      <c r="T66" s="3">
        <f>IF($N66="",10000000000,$N66*100000+$M66)</f>
        <v/>
      </c>
      <c r="U66" s="3">
        <f>$AB$4</f>
        <v/>
      </c>
      <c r="V66" s="3" t="n">
        <v>54</v>
      </c>
      <c r="W66" s="3">
        <f>IF($U66=0,"",IF(INDEX(UCRETLER!$D$7:$D$406,$U66)="","",IF(INDEX(UCRETLER!$F$7:$F$406,$U66)="Aylık",EOMONTH(INDEX(UCRETLER!$D$7:$D$406,$U66),$V66-1),INDEX(UCRETLER!$D$7:$D$406,$U66)+MOD(SISTEM!$F$8-WEEKDAY(INDEX(UCRETLER!$D$7:$D$406,$U66),2),7)+7*($V66-1))))</f>
        <v/>
      </c>
      <c r="X66" s="3">
        <f>IF($U66=0,0,INDEX(UCRETLER!$G$7:$G$406,$U66))</f>
        <v/>
      </c>
      <c r="Y66" s="3">
        <f>IFERROR(SMALL($T$12:$T$432,ROW()-11),"")</f>
        <v/>
      </c>
      <c r="Z66" s="3">
        <f>IFERROR(MATCH($Y66,$T$12:$T$432,0),"")</f>
        <v/>
      </c>
      <c r="AA66" s="3" t="n"/>
      <c r="AB66" s="3" t="n"/>
      <c r="AC66" s="3" t="n"/>
      <c r="AD66" s="3" t="n"/>
    </row>
    <row r="67">
      <c r="A67" s="6" t="n"/>
      <c r="B67" s="153">
        <f>IF($C67="","",ROW()-11)</f>
        <v/>
      </c>
      <c r="C67" s="240">
        <f>IF($Z67="","",IF(INDEX($N$12:$N$432,$Z67)="","",INDEX($N$12:$N$432,$Z67)))</f>
        <v/>
      </c>
      <c r="D67" s="29">
        <f>IF($C67="","",INDEX($O$12:$O$432,$Z67))</f>
        <v/>
      </c>
      <c r="E67" s="153">
        <f>IF($C67="","",INDEX($P$12:$P$432,$Z67))</f>
        <v/>
      </c>
      <c r="F67" s="241">
        <f>IF($C67="","",INDEX($R$12:$R$432,$Z67))</f>
        <v/>
      </c>
      <c r="G67" s="241">
        <f>IF($C67="","",INDEX($S$12:$S$432,$Z67))</f>
        <v/>
      </c>
      <c r="H67" s="241">
        <f>IF($C67="","",N($H66)+$F67-$G67)</f>
        <v/>
      </c>
      <c r="I67" s="6" t="n"/>
      <c r="J67" s="6" t="n"/>
      <c r="K67" s="3" t="n"/>
      <c r="L67" s="3" t="n"/>
      <c r="M67" s="3" t="n">
        <v>56</v>
      </c>
      <c r="N67" s="3">
        <f>IF(OR($U67=0,$W67="",$X67&lt;=0),"",IF($W67&gt;TODAY(),"",IF(AND(INDEX(UCRETLER!$E$7:$E$406,$U67)&lt;&gt;"",$W67&gt;INDEX(UCRETLER!$E$7:$E$406,$U67)),"",$W67)))</f>
        <v/>
      </c>
      <c r="O67" s="3">
        <f>IF($N67="","",IF(INDEX(UCRETLER!$F$7:$F$406,$U67)="Aylık",CHOOSE(MONTH($N67),"Ocak","Şubat","Mart","Nisan","Mayıs","Haziran","Temmuz","Ağustos","Eylül","Ekim","Kasım","Aralık")&amp;" "&amp;YEAR($N67)&amp;" aylık muhasebe hizmet ücreti",RIGHT("0"&amp;DAY($N67),2)&amp;"."&amp;RIGHT("0"&amp;MONTH($N67),2)&amp;"."&amp;YEAR($N67)&amp;" haftalık muhasebe hizmet ücreti"))</f>
        <v/>
      </c>
      <c r="P67" s="3">
        <f>IF($N67="","","TAHAKKUK")</f>
        <v/>
      </c>
      <c r="Q67" s="3" t="n"/>
      <c r="R67" s="3">
        <f>IF($N67="",0,$X67)</f>
        <v/>
      </c>
      <c r="S67" s="3" t="n">
        <v>0</v>
      </c>
      <c r="T67" s="3">
        <f>IF($N67="",10000000000,$N67*100000+$M67)</f>
        <v/>
      </c>
      <c r="U67" s="3">
        <f>$AB$4</f>
        <v/>
      </c>
      <c r="V67" s="3" t="n">
        <v>55</v>
      </c>
      <c r="W67" s="3">
        <f>IF($U67=0,"",IF(INDEX(UCRETLER!$D$7:$D$406,$U67)="","",IF(INDEX(UCRETLER!$F$7:$F$406,$U67)="Aylık",EOMONTH(INDEX(UCRETLER!$D$7:$D$406,$U67),$V67-1),INDEX(UCRETLER!$D$7:$D$406,$U67)+MOD(SISTEM!$F$8-WEEKDAY(INDEX(UCRETLER!$D$7:$D$406,$U67),2),7)+7*($V67-1))))</f>
        <v/>
      </c>
      <c r="X67" s="3">
        <f>IF($U67=0,0,INDEX(UCRETLER!$G$7:$G$406,$U67))</f>
        <v/>
      </c>
      <c r="Y67" s="3">
        <f>IFERROR(SMALL($T$12:$T$432,ROW()-11),"")</f>
        <v/>
      </c>
      <c r="Z67" s="3">
        <f>IFERROR(MATCH($Y67,$T$12:$T$432,0),"")</f>
        <v/>
      </c>
      <c r="AA67" s="3" t="n"/>
      <c r="AB67" s="3" t="n"/>
      <c r="AC67" s="3" t="n"/>
      <c r="AD67" s="3" t="n"/>
    </row>
    <row r="68">
      <c r="A68" s="6" t="n"/>
      <c r="B68" s="153">
        <f>IF($C68="","",ROW()-11)</f>
        <v/>
      </c>
      <c r="C68" s="240">
        <f>IF($Z68="","",IF(INDEX($N$12:$N$432,$Z68)="","",INDEX($N$12:$N$432,$Z68)))</f>
        <v/>
      </c>
      <c r="D68" s="29">
        <f>IF($C68="","",INDEX($O$12:$O$432,$Z68))</f>
        <v/>
      </c>
      <c r="E68" s="153">
        <f>IF($C68="","",INDEX($P$12:$P$432,$Z68))</f>
        <v/>
      </c>
      <c r="F68" s="241">
        <f>IF($C68="","",INDEX($R$12:$R$432,$Z68))</f>
        <v/>
      </c>
      <c r="G68" s="241">
        <f>IF($C68="","",INDEX($S$12:$S$432,$Z68))</f>
        <v/>
      </c>
      <c r="H68" s="241">
        <f>IF($C68="","",N($H67)+$F68-$G68)</f>
        <v/>
      </c>
      <c r="I68" s="6" t="n"/>
      <c r="J68" s="6" t="n"/>
      <c r="K68" s="3" t="n"/>
      <c r="L68" s="3" t="n"/>
      <c r="M68" s="3" t="n">
        <v>57</v>
      </c>
      <c r="N68" s="3">
        <f>IF(OR($U68=0,$W68="",$X68&lt;=0),"",IF($W68&gt;TODAY(),"",IF(AND(INDEX(UCRETLER!$E$7:$E$406,$U68)&lt;&gt;"",$W68&gt;INDEX(UCRETLER!$E$7:$E$406,$U68)),"",$W68)))</f>
        <v/>
      </c>
      <c r="O68" s="3">
        <f>IF($N68="","",IF(INDEX(UCRETLER!$F$7:$F$406,$U68)="Aylık",CHOOSE(MONTH($N68),"Ocak","Şubat","Mart","Nisan","Mayıs","Haziran","Temmuz","Ağustos","Eylül","Ekim","Kasım","Aralık")&amp;" "&amp;YEAR($N68)&amp;" aylık muhasebe hizmet ücreti",RIGHT("0"&amp;DAY($N68),2)&amp;"."&amp;RIGHT("0"&amp;MONTH($N68),2)&amp;"."&amp;YEAR($N68)&amp;" haftalık muhasebe hizmet ücreti"))</f>
        <v/>
      </c>
      <c r="P68" s="3">
        <f>IF($N68="","","TAHAKKUK")</f>
        <v/>
      </c>
      <c r="Q68" s="3" t="n"/>
      <c r="R68" s="3">
        <f>IF($N68="",0,$X68)</f>
        <v/>
      </c>
      <c r="S68" s="3" t="n">
        <v>0</v>
      </c>
      <c r="T68" s="3">
        <f>IF($N68="",10000000000,$N68*100000+$M68)</f>
        <v/>
      </c>
      <c r="U68" s="3">
        <f>$AB$4</f>
        <v/>
      </c>
      <c r="V68" s="3" t="n">
        <v>56</v>
      </c>
      <c r="W68" s="3">
        <f>IF($U68=0,"",IF(INDEX(UCRETLER!$D$7:$D$406,$U68)="","",IF(INDEX(UCRETLER!$F$7:$F$406,$U68)="Aylık",EOMONTH(INDEX(UCRETLER!$D$7:$D$406,$U68),$V68-1),INDEX(UCRETLER!$D$7:$D$406,$U68)+MOD(SISTEM!$F$8-WEEKDAY(INDEX(UCRETLER!$D$7:$D$406,$U68),2),7)+7*($V68-1))))</f>
        <v/>
      </c>
      <c r="X68" s="3">
        <f>IF($U68=0,0,INDEX(UCRETLER!$G$7:$G$406,$U68))</f>
        <v/>
      </c>
      <c r="Y68" s="3">
        <f>IFERROR(SMALL($T$12:$T$432,ROW()-11),"")</f>
        <v/>
      </c>
      <c r="Z68" s="3">
        <f>IFERROR(MATCH($Y68,$T$12:$T$432,0),"")</f>
        <v/>
      </c>
      <c r="AA68" s="3" t="n"/>
      <c r="AB68" s="3" t="n"/>
      <c r="AC68" s="3" t="n"/>
      <c r="AD68" s="3" t="n"/>
    </row>
    <row r="69">
      <c r="A69" s="6" t="n"/>
      <c r="B69" s="153">
        <f>IF($C69="","",ROW()-11)</f>
        <v/>
      </c>
      <c r="C69" s="240">
        <f>IF($Z69="","",IF(INDEX($N$12:$N$432,$Z69)="","",INDEX($N$12:$N$432,$Z69)))</f>
        <v/>
      </c>
      <c r="D69" s="29">
        <f>IF($C69="","",INDEX($O$12:$O$432,$Z69))</f>
        <v/>
      </c>
      <c r="E69" s="153">
        <f>IF($C69="","",INDEX($P$12:$P$432,$Z69))</f>
        <v/>
      </c>
      <c r="F69" s="241">
        <f>IF($C69="","",INDEX($R$12:$R$432,$Z69))</f>
        <v/>
      </c>
      <c r="G69" s="241">
        <f>IF($C69="","",INDEX($S$12:$S$432,$Z69))</f>
        <v/>
      </c>
      <c r="H69" s="241">
        <f>IF($C69="","",N($H68)+$F69-$G69)</f>
        <v/>
      </c>
      <c r="I69" s="6" t="n"/>
      <c r="J69" s="6" t="n"/>
      <c r="K69" s="3" t="n"/>
      <c r="L69" s="3" t="n"/>
      <c r="M69" s="3" t="n">
        <v>58</v>
      </c>
      <c r="N69" s="3">
        <f>IF(OR($U69=0,$W69="",$X69&lt;=0),"",IF($W69&gt;TODAY(),"",IF(AND(INDEX(UCRETLER!$E$7:$E$406,$U69)&lt;&gt;"",$W69&gt;INDEX(UCRETLER!$E$7:$E$406,$U69)),"",$W69)))</f>
        <v/>
      </c>
      <c r="O69" s="3">
        <f>IF($N69="","",IF(INDEX(UCRETLER!$F$7:$F$406,$U69)="Aylık",CHOOSE(MONTH($N69),"Ocak","Şubat","Mart","Nisan","Mayıs","Haziran","Temmuz","Ağustos","Eylül","Ekim","Kasım","Aralık")&amp;" "&amp;YEAR($N69)&amp;" aylık muhasebe hizmet ücreti",RIGHT("0"&amp;DAY($N69),2)&amp;"."&amp;RIGHT("0"&amp;MONTH($N69),2)&amp;"."&amp;YEAR($N69)&amp;" haftalık muhasebe hizmet ücreti"))</f>
        <v/>
      </c>
      <c r="P69" s="3">
        <f>IF($N69="","","TAHAKKUK")</f>
        <v/>
      </c>
      <c r="Q69" s="3" t="n"/>
      <c r="R69" s="3">
        <f>IF($N69="",0,$X69)</f>
        <v/>
      </c>
      <c r="S69" s="3" t="n">
        <v>0</v>
      </c>
      <c r="T69" s="3">
        <f>IF($N69="",10000000000,$N69*100000+$M69)</f>
        <v/>
      </c>
      <c r="U69" s="3">
        <f>$AB$4</f>
        <v/>
      </c>
      <c r="V69" s="3" t="n">
        <v>57</v>
      </c>
      <c r="W69" s="3">
        <f>IF($U69=0,"",IF(INDEX(UCRETLER!$D$7:$D$406,$U69)="","",IF(INDEX(UCRETLER!$F$7:$F$406,$U69)="Aylık",EOMONTH(INDEX(UCRETLER!$D$7:$D$406,$U69),$V69-1),INDEX(UCRETLER!$D$7:$D$406,$U69)+MOD(SISTEM!$F$8-WEEKDAY(INDEX(UCRETLER!$D$7:$D$406,$U69),2),7)+7*($V69-1))))</f>
        <v/>
      </c>
      <c r="X69" s="3">
        <f>IF($U69=0,0,INDEX(UCRETLER!$G$7:$G$406,$U69))</f>
        <v/>
      </c>
      <c r="Y69" s="3">
        <f>IFERROR(SMALL($T$12:$T$432,ROW()-11),"")</f>
        <v/>
      </c>
      <c r="Z69" s="3">
        <f>IFERROR(MATCH($Y69,$T$12:$T$432,0),"")</f>
        <v/>
      </c>
      <c r="AA69" s="3" t="n"/>
      <c r="AB69" s="3" t="n"/>
      <c r="AC69" s="3" t="n"/>
      <c r="AD69" s="3" t="n"/>
    </row>
    <row r="70">
      <c r="A70" s="6" t="n"/>
      <c r="B70" s="153">
        <f>IF($C70="","",ROW()-11)</f>
        <v/>
      </c>
      <c r="C70" s="240">
        <f>IF($Z70="","",IF(INDEX($N$12:$N$432,$Z70)="","",INDEX($N$12:$N$432,$Z70)))</f>
        <v/>
      </c>
      <c r="D70" s="29">
        <f>IF($C70="","",INDEX($O$12:$O$432,$Z70))</f>
        <v/>
      </c>
      <c r="E70" s="153">
        <f>IF($C70="","",INDEX($P$12:$P$432,$Z70))</f>
        <v/>
      </c>
      <c r="F70" s="241">
        <f>IF($C70="","",INDEX($R$12:$R$432,$Z70))</f>
        <v/>
      </c>
      <c r="G70" s="241">
        <f>IF($C70="","",INDEX($S$12:$S$432,$Z70))</f>
        <v/>
      </c>
      <c r="H70" s="241">
        <f>IF($C70="","",N($H69)+$F70-$G70)</f>
        <v/>
      </c>
      <c r="I70" s="6" t="n"/>
      <c r="J70" s="6" t="n"/>
      <c r="K70" s="3" t="n"/>
      <c r="L70" s="3" t="n"/>
      <c r="M70" s="3" t="n">
        <v>59</v>
      </c>
      <c r="N70" s="3">
        <f>IF(OR($U70=0,$W70="",$X70&lt;=0),"",IF($W70&gt;TODAY(),"",IF(AND(INDEX(UCRETLER!$E$7:$E$406,$U70)&lt;&gt;"",$W70&gt;INDEX(UCRETLER!$E$7:$E$406,$U70)),"",$W70)))</f>
        <v/>
      </c>
      <c r="O70" s="3">
        <f>IF($N70="","",IF(INDEX(UCRETLER!$F$7:$F$406,$U70)="Aylık",CHOOSE(MONTH($N70),"Ocak","Şubat","Mart","Nisan","Mayıs","Haziran","Temmuz","Ağustos","Eylül","Ekim","Kasım","Aralık")&amp;" "&amp;YEAR($N70)&amp;" aylık muhasebe hizmet ücreti",RIGHT("0"&amp;DAY($N70),2)&amp;"."&amp;RIGHT("0"&amp;MONTH($N70),2)&amp;"."&amp;YEAR($N70)&amp;" haftalık muhasebe hizmet ücreti"))</f>
        <v/>
      </c>
      <c r="P70" s="3">
        <f>IF($N70="","","TAHAKKUK")</f>
        <v/>
      </c>
      <c r="Q70" s="3" t="n"/>
      <c r="R70" s="3">
        <f>IF($N70="",0,$X70)</f>
        <v/>
      </c>
      <c r="S70" s="3" t="n">
        <v>0</v>
      </c>
      <c r="T70" s="3">
        <f>IF($N70="",10000000000,$N70*100000+$M70)</f>
        <v/>
      </c>
      <c r="U70" s="3">
        <f>$AB$4</f>
        <v/>
      </c>
      <c r="V70" s="3" t="n">
        <v>58</v>
      </c>
      <c r="W70" s="3">
        <f>IF($U70=0,"",IF(INDEX(UCRETLER!$D$7:$D$406,$U70)="","",IF(INDEX(UCRETLER!$F$7:$F$406,$U70)="Aylık",EOMONTH(INDEX(UCRETLER!$D$7:$D$406,$U70),$V70-1),INDEX(UCRETLER!$D$7:$D$406,$U70)+MOD(SISTEM!$F$8-WEEKDAY(INDEX(UCRETLER!$D$7:$D$406,$U70),2),7)+7*($V70-1))))</f>
        <v/>
      </c>
      <c r="X70" s="3">
        <f>IF($U70=0,0,INDEX(UCRETLER!$G$7:$G$406,$U70))</f>
        <v/>
      </c>
      <c r="Y70" s="3">
        <f>IFERROR(SMALL($T$12:$T$432,ROW()-11),"")</f>
        <v/>
      </c>
      <c r="Z70" s="3">
        <f>IFERROR(MATCH($Y70,$T$12:$T$432,0),"")</f>
        <v/>
      </c>
      <c r="AA70" s="3" t="n"/>
      <c r="AB70" s="3" t="n"/>
      <c r="AC70" s="3" t="n"/>
      <c r="AD70" s="3" t="n"/>
    </row>
    <row r="71">
      <c r="A71" s="6" t="n"/>
      <c r="B71" s="153">
        <f>IF($C71="","",ROW()-11)</f>
        <v/>
      </c>
      <c r="C71" s="240">
        <f>IF($Z71="","",IF(INDEX($N$12:$N$432,$Z71)="","",INDEX($N$12:$N$432,$Z71)))</f>
        <v/>
      </c>
      <c r="D71" s="29">
        <f>IF($C71="","",INDEX($O$12:$O$432,$Z71))</f>
        <v/>
      </c>
      <c r="E71" s="153">
        <f>IF($C71="","",INDEX($P$12:$P$432,$Z71))</f>
        <v/>
      </c>
      <c r="F71" s="241">
        <f>IF($C71="","",INDEX($R$12:$R$432,$Z71))</f>
        <v/>
      </c>
      <c r="G71" s="241">
        <f>IF($C71="","",INDEX($S$12:$S$432,$Z71))</f>
        <v/>
      </c>
      <c r="H71" s="241">
        <f>IF($C71="","",N($H70)+$F71-$G71)</f>
        <v/>
      </c>
      <c r="I71" s="6" t="n"/>
      <c r="J71" s="6" t="n"/>
      <c r="K71" s="3" t="n"/>
      <c r="L71" s="3" t="n"/>
      <c r="M71" s="3" t="n">
        <v>60</v>
      </c>
      <c r="N71" s="3">
        <f>IF(OR($U71=0,$W71="",$X71&lt;=0),"",IF($W71&gt;TODAY(),"",IF(AND(INDEX(UCRETLER!$E$7:$E$406,$U71)&lt;&gt;"",$W71&gt;INDEX(UCRETLER!$E$7:$E$406,$U71)),"",$W71)))</f>
        <v/>
      </c>
      <c r="O71" s="3">
        <f>IF($N71="","",IF(INDEX(UCRETLER!$F$7:$F$406,$U71)="Aylık",CHOOSE(MONTH($N71),"Ocak","Şubat","Mart","Nisan","Mayıs","Haziran","Temmuz","Ağustos","Eylül","Ekim","Kasım","Aralık")&amp;" "&amp;YEAR($N71)&amp;" aylık muhasebe hizmet ücreti",RIGHT("0"&amp;DAY($N71),2)&amp;"."&amp;RIGHT("0"&amp;MONTH($N71),2)&amp;"."&amp;YEAR($N71)&amp;" haftalık muhasebe hizmet ücreti"))</f>
        <v/>
      </c>
      <c r="P71" s="3">
        <f>IF($N71="","","TAHAKKUK")</f>
        <v/>
      </c>
      <c r="Q71" s="3" t="n"/>
      <c r="R71" s="3">
        <f>IF($N71="",0,$X71)</f>
        <v/>
      </c>
      <c r="S71" s="3" t="n">
        <v>0</v>
      </c>
      <c r="T71" s="3">
        <f>IF($N71="",10000000000,$N71*100000+$M71)</f>
        <v/>
      </c>
      <c r="U71" s="3">
        <f>$AB$4</f>
        <v/>
      </c>
      <c r="V71" s="3" t="n">
        <v>59</v>
      </c>
      <c r="W71" s="3">
        <f>IF($U71=0,"",IF(INDEX(UCRETLER!$D$7:$D$406,$U71)="","",IF(INDEX(UCRETLER!$F$7:$F$406,$U71)="Aylık",EOMONTH(INDEX(UCRETLER!$D$7:$D$406,$U71),$V71-1),INDEX(UCRETLER!$D$7:$D$406,$U71)+MOD(SISTEM!$F$8-WEEKDAY(INDEX(UCRETLER!$D$7:$D$406,$U71),2),7)+7*($V71-1))))</f>
        <v/>
      </c>
      <c r="X71" s="3">
        <f>IF($U71=0,0,INDEX(UCRETLER!$G$7:$G$406,$U71))</f>
        <v/>
      </c>
      <c r="Y71" s="3">
        <f>IFERROR(SMALL($T$12:$T$432,ROW()-11),"")</f>
        <v/>
      </c>
      <c r="Z71" s="3">
        <f>IFERROR(MATCH($Y71,$T$12:$T$432,0),"")</f>
        <v/>
      </c>
      <c r="AA71" s="3" t="n"/>
      <c r="AB71" s="3" t="n"/>
      <c r="AC71" s="3" t="n"/>
      <c r="AD71" s="3" t="n"/>
    </row>
    <row r="72">
      <c r="A72" s="6" t="n"/>
      <c r="B72" s="153">
        <f>IF($C72="","",ROW()-11)</f>
        <v/>
      </c>
      <c r="C72" s="240">
        <f>IF($Z72="","",IF(INDEX($N$12:$N$432,$Z72)="","",INDEX($N$12:$N$432,$Z72)))</f>
        <v/>
      </c>
      <c r="D72" s="29">
        <f>IF($C72="","",INDEX($O$12:$O$432,$Z72))</f>
        <v/>
      </c>
      <c r="E72" s="153">
        <f>IF($C72="","",INDEX($P$12:$P$432,$Z72))</f>
        <v/>
      </c>
      <c r="F72" s="241">
        <f>IF($C72="","",INDEX($R$12:$R$432,$Z72))</f>
        <v/>
      </c>
      <c r="G72" s="241">
        <f>IF($C72="","",INDEX($S$12:$S$432,$Z72))</f>
        <v/>
      </c>
      <c r="H72" s="241">
        <f>IF($C72="","",N($H71)+$F72-$G72)</f>
        <v/>
      </c>
      <c r="I72" s="6" t="n"/>
      <c r="J72" s="6" t="n"/>
      <c r="K72" s="3" t="n"/>
      <c r="L72" s="3" t="n"/>
      <c r="M72" s="3" t="n">
        <v>61</v>
      </c>
      <c r="N72" s="3">
        <f>IF(OR($U72=0,$W72="",$X72&lt;=0),"",IF($W72&gt;TODAY(),"",IF(AND(INDEX(UCRETLER!$E$7:$E$406,$U72)&lt;&gt;"",$W72&gt;INDEX(UCRETLER!$E$7:$E$406,$U72)),"",$W72)))</f>
        <v/>
      </c>
      <c r="O72" s="3">
        <f>IF($N72="","",IF(INDEX(UCRETLER!$F$7:$F$406,$U72)="Aylık",CHOOSE(MONTH($N72),"Ocak","Şubat","Mart","Nisan","Mayıs","Haziran","Temmuz","Ağustos","Eylül","Ekim","Kasım","Aralık")&amp;" "&amp;YEAR($N72)&amp;" aylık muhasebe hizmet ücreti",RIGHT("0"&amp;DAY($N72),2)&amp;"."&amp;RIGHT("0"&amp;MONTH($N72),2)&amp;"."&amp;YEAR($N72)&amp;" haftalık muhasebe hizmet ücreti"))</f>
        <v/>
      </c>
      <c r="P72" s="3">
        <f>IF($N72="","","TAHAKKUK")</f>
        <v/>
      </c>
      <c r="Q72" s="3" t="n"/>
      <c r="R72" s="3">
        <f>IF($N72="",0,$X72)</f>
        <v/>
      </c>
      <c r="S72" s="3" t="n">
        <v>0</v>
      </c>
      <c r="T72" s="3">
        <f>IF($N72="",10000000000,$N72*100000+$M72)</f>
        <v/>
      </c>
      <c r="U72" s="3">
        <f>$AB$4</f>
        <v/>
      </c>
      <c r="V72" s="3" t="n">
        <v>60</v>
      </c>
      <c r="W72" s="3">
        <f>IF($U72=0,"",IF(INDEX(UCRETLER!$D$7:$D$406,$U72)="","",IF(INDEX(UCRETLER!$F$7:$F$406,$U72)="Aylık",EOMONTH(INDEX(UCRETLER!$D$7:$D$406,$U72),$V72-1),INDEX(UCRETLER!$D$7:$D$406,$U72)+MOD(SISTEM!$F$8-WEEKDAY(INDEX(UCRETLER!$D$7:$D$406,$U72),2),7)+7*($V72-1))))</f>
        <v/>
      </c>
      <c r="X72" s="3">
        <f>IF($U72=0,0,INDEX(UCRETLER!$G$7:$G$406,$U72))</f>
        <v/>
      </c>
      <c r="Y72" s="3">
        <f>IFERROR(SMALL($T$12:$T$432,ROW()-11),"")</f>
        <v/>
      </c>
      <c r="Z72" s="3">
        <f>IFERROR(MATCH($Y72,$T$12:$T$432,0),"")</f>
        <v/>
      </c>
      <c r="AA72" s="3" t="n"/>
      <c r="AB72" s="3" t="n"/>
      <c r="AC72" s="3" t="n"/>
      <c r="AD72" s="3" t="n"/>
    </row>
    <row r="73">
      <c r="A73" s="6" t="n"/>
      <c r="B73" s="153">
        <f>IF($C73="","",ROW()-11)</f>
        <v/>
      </c>
      <c r="C73" s="240">
        <f>IF($Z73="","",IF(INDEX($N$12:$N$432,$Z73)="","",INDEX($N$12:$N$432,$Z73)))</f>
        <v/>
      </c>
      <c r="D73" s="29">
        <f>IF($C73="","",INDEX($O$12:$O$432,$Z73))</f>
        <v/>
      </c>
      <c r="E73" s="153">
        <f>IF($C73="","",INDEX($P$12:$P$432,$Z73))</f>
        <v/>
      </c>
      <c r="F73" s="241">
        <f>IF($C73="","",INDEX($R$12:$R$432,$Z73))</f>
        <v/>
      </c>
      <c r="G73" s="241">
        <f>IF($C73="","",INDEX($S$12:$S$432,$Z73))</f>
        <v/>
      </c>
      <c r="H73" s="241">
        <f>IF($C73="","",N($H72)+$F73-$G73)</f>
        <v/>
      </c>
      <c r="I73" s="6" t="n"/>
      <c r="J73" s="6" t="n"/>
      <c r="K73" s="3" t="n"/>
      <c r="L73" s="3" t="n"/>
      <c r="M73" s="3" t="n">
        <v>62</v>
      </c>
      <c r="N73" s="3">
        <f>IF(OR($U73=0,$W73="",$X73&lt;=0),"",IF($W73&gt;TODAY(),"",IF(AND(INDEX(UCRETLER!$E$7:$E$406,$U73)&lt;&gt;"",$W73&gt;INDEX(UCRETLER!$E$7:$E$406,$U73)),"",$W73)))</f>
        <v/>
      </c>
      <c r="O73" s="3">
        <f>IF($N73="","",IF(INDEX(UCRETLER!$F$7:$F$406,$U73)="Aylık",CHOOSE(MONTH($N73),"Ocak","Şubat","Mart","Nisan","Mayıs","Haziran","Temmuz","Ağustos","Eylül","Ekim","Kasım","Aralık")&amp;" "&amp;YEAR($N73)&amp;" aylık muhasebe hizmet ücreti",RIGHT("0"&amp;DAY($N73),2)&amp;"."&amp;RIGHT("0"&amp;MONTH($N73),2)&amp;"."&amp;YEAR($N73)&amp;" haftalık muhasebe hizmet ücreti"))</f>
        <v/>
      </c>
      <c r="P73" s="3">
        <f>IF($N73="","","TAHAKKUK")</f>
        <v/>
      </c>
      <c r="Q73" s="3" t="n"/>
      <c r="R73" s="3">
        <f>IF($N73="",0,$X73)</f>
        <v/>
      </c>
      <c r="S73" s="3" t="n">
        <v>0</v>
      </c>
      <c r="T73" s="3">
        <f>IF($N73="",10000000000,$N73*100000+$M73)</f>
        <v/>
      </c>
      <c r="U73" s="3">
        <f>$AB$4</f>
        <v/>
      </c>
      <c r="V73" s="3" t="n">
        <v>61</v>
      </c>
      <c r="W73" s="3">
        <f>IF($U73=0,"",IF(INDEX(UCRETLER!$D$7:$D$406,$U73)="","",IF(INDEX(UCRETLER!$F$7:$F$406,$U73)="Aylık",EOMONTH(INDEX(UCRETLER!$D$7:$D$406,$U73),$V73-1),INDEX(UCRETLER!$D$7:$D$406,$U73)+MOD(SISTEM!$F$8-WEEKDAY(INDEX(UCRETLER!$D$7:$D$406,$U73),2),7)+7*($V73-1))))</f>
        <v/>
      </c>
      <c r="X73" s="3">
        <f>IF($U73=0,0,INDEX(UCRETLER!$G$7:$G$406,$U73))</f>
        <v/>
      </c>
      <c r="Y73" s="3">
        <f>IFERROR(SMALL($T$12:$T$432,ROW()-11),"")</f>
        <v/>
      </c>
      <c r="Z73" s="3">
        <f>IFERROR(MATCH($Y73,$T$12:$T$432,0),"")</f>
        <v/>
      </c>
      <c r="AA73" s="3" t="n"/>
      <c r="AB73" s="3" t="n"/>
      <c r="AC73" s="3" t="n"/>
      <c r="AD73" s="3" t="n"/>
    </row>
    <row r="74">
      <c r="A74" s="6" t="n"/>
      <c r="B74" s="153">
        <f>IF($C74="","",ROW()-11)</f>
        <v/>
      </c>
      <c r="C74" s="240">
        <f>IF($Z74="","",IF(INDEX($N$12:$N$432,$Z74)="","",INDEX($N$12:$N$432,$Z74)))</f>
        <v/>
      </c>
      <c r="D74" s="29">
        <f>IF($C74="","",INDEX($O$12:$O$432,$Z74))</f>
        <v/>
      </c>
      <c r="E74" s="153">
        <f>IF($C74="","",INDEX($P$12:$P$432,$Z74))</f>
        <v/>
      </c>
      <c r="F74" s="241">
        <f>IF($C74="","",INDEX($R$12:$R$432,$Z74))</f>
        <v/>
      </c>
      <c r="G74" s="241">
        <f>IF($C74="","",INDEX($S$12:$S$432,$Z74))</f>
        <v/>
      </c>
      <c r="H74" s="241">
        <f>IF($C74="","",N($H73)+$F74-$G74)</f>
        <v/>
      </c>
      <c r="I74" s="6" t="n"/>
      <c r="J74" s="6" t="n"/>
      <c r="K74" s="3" t="n"/>
      <c r="L74" s="3" t="n"/>
      <c r="M74" s="3" t="n">
        <v>63</v>
      </c>
      <c r="N74" s="3">
        <f>IF(OR($U74=0,$W74="",$X74&lt;=0),"",IF($W74&gt;TODAY(),"",IF(AND(INDEX(UCRETLER!$E$7:$E$406,$U74)&lt;&gt;"",$W74&gt;INDEX(UCRETLER!$E$7:$E$406,$U74)),"",$W74)))</f>
        <v/>
      </c>
      <c r="O74" s="3">
        <f>IF($N74="","",IF(INDEX(UCRETLER!$F$7:$F$406,$U74)="Aylık",CHOOSE(MONTH($N74),"Ocak","Şubat","Mart","Nisan","Mayıs","Haziran","Temmuz","Ağustos","Eylül","Ekim","Kasım","Aralık")&amp;" "&amp;YEAR($N74)&amp;" aylık muhasebe hizmet ücreti",RIGHT("0"&amp;DAY($N74),2)&amp;"."&amp;RIGHT("0"&amp;MONTH($N74),2)&amp;"."&amp;YEAR($N74)&amp;" haftalık muhasebe hizmet ücreti"))</f>
        <v/>
      </c>
      <c r="P74" s="3">
        <f>IF($N74="","","TAHAKKUK")</f>
        <v/>
      </c>
      <c r="Q74" s="3" t="n"/>
      <c r="R74" s="3">
        <f>IF($N74="",0,$X74)</f>
        <v/>
      </c>
      <c r="S74" s="3" t="n">
        <v>0</v>
      </c>
      <c r="T74" s="3">
        <f>IF($N74="",10000000000,$N74*100000+$M74)</f>
        <v/>
      </c>
      <c r="U74" s="3">
        <f>$AB$4</f>
        <v/>
      </c>
      <c r="V74" s="3" t="n">
        <v>62</v>
      </c>
      <c r="W74" s="3">
        <f>IF($U74=0,"",IF(INDEX(UCRETLER!$D$7:$D$406,$U74)="","",IF(INDEX(UCRETLER!$F$7:$F$406,$U74)="Aylık",EOMONTH(INDEX(UCRETLER!$D$7:$D$406,$U74),$V74-1),INDEX(UCRETLER!$D$7:$D$406,$U74)+MOD(SISTEM!$F$8-WEEKDAY(INDEX(UCRETLER!$D$7:$D$406,$U74),2),7)+7*($V74-1))))</f>
        <v/>
      </c>
      <c r="X74" s="3">
        <f>IF($U74=0,0,INDEX(UCRETLER!$G$7:$G$406,$U74))</f>
        <v/>
      </c>
      <c r="Y74" s="3">
        <f>IFERROR(SMALL($T$12:$T$432,ROW()-11),"")</f>
        <v/>
      </c>
      <c r="Z74" s="3">
        <f>IFERROR(MATCH($Y74,$T$12:$T$432,0),"")</f>
        <v/>
      </c>
      <c r="AA74" s="3" t="n"/>
      <c r="AB74" s="3" t="n"/>
      <c r="AC74" s="3" t="n"/>
      <c r="AD74" s="3" t="n"/>
    </row>
    <row r="75">
      <c r="A75" s="6" t="n"/>
      <c r="B75" s="153">
        <f>IF($C75="","",ROW()-11)</f>
        <v/>
      </c>
      <c r="C75" s="240">
        <f>IF($Z75="","",IF(INDEX($N$12:$N$432,$Z75)="","",INDEX($N$12:$N$432,$Z75)))</f>
        <v/>
      </c>
      <c r="D75" s="29">
        <f>IF($C75="","",INDEX($O$12:$O$432,$Z75))</f>
        <v/>
      </c>
      <c r="E75" s="153">
        <f>IF($C75="","",INDEX($P$12:$P$432,$Z75))</f>
        <v/>
      </c>
      <c r="F75" s="241">
        <f>IF($C75="","",INDEX($R$12:$R$432,$Z75))</f>
        <v/>
      </c>
      <c r="G75" s="241">
        <f>IF($C75="","",INDEX($S$12:$S$432,$Z75))</f>
        <v/>
      </c>
      <c r="H75" s="241">
        <f>IF($C75="","",N($H74)+$F75-$G75)</f>
        <v/>
      </c>
      <c r="I75" s="6" t="n"/>
      <c r="J75" s="6" t="n"/>
      <c r="K75" s="3" t="n"/>
      <c r="L75" s="3" t="n"/>
      <c r="M75" s="3" t="n">
        <v>64</v>
      </c>
      <c r="N75" s="3">
        <f>IF(OR($U75=0,$W75="",$X75&lt;=0),"",IF($W75&gt;TODAY(),"",IF(AND(INDEX(UCRETLER!$E$7:$E$406,$U75)&lt;&gt;"",$W75&gt;INDEX(UCRETLER!$E$7:$E$406,$U75)),"",$W75)))</f>
        <v/>
      </c>
      <c r="O75" s="3">
        <f>IF($N75="","",IF(INDEX(UCRETLER!$F$7:$F$406,$U75)="Aylık",CHOOSE(MONTH($N75),"Ocak","Şubat","Mart","Nisan","Mayıs","Haziran","Temmuz","Ağustos","Eylül","Ekim","Kasım","Aralık")&amp;" "&amp;YEAR($N75)&amp;" aylık muhasebe hizmet ücreti",RIGHT("0"&amp;DAY($N75),2)&amp;"."&amp;RIGHT("0"&amp;MONTH($N75),2)&amp;"."&amp;YEAR($N75)&amp;" haftalık muhasebe hizmet ücreti"))</f>
        <v/>
      </c>
      <c r="P75" s="3">
        <f>IF($N75="","","TAHAKKUK")</f>
        <v/>
      </c>
      <c r="Q75" s="3" t="n"/>
      <c r="R75" s="3">
        <f>IF($N75="",0,$X75)</f>
        <v/>
      </c>
      <c r="S75" s="3" t="n">
        <v>0</v>
      </c>
      <c r="T75" s="3">
        <f>IF($N75="",10000000000,$N75*100000+$M75)</f>
        <v/>
      </c>
      <c r="U75" s="3">
        <f>$AB$4</f>
        <v/>
      </c>
      <c r="V75" s="3" t="n">
        <v>63</v>
      </c>
      <c r="W75" s="3">
        <f>IF($U75=0,"",IF(INDEX(UCRETLER!$D$7:$D$406,$U75)="","",IF(INDEX(UCRETLER!$F$7:$F$406,$U75)="Aylık",EOMONTH(INDEX(UCRETLER!$D$7:$D$406,$U75),$V75-1),INDEX(UCRETLER!$D$7:$D$406,$U75)+MOD(SISTEM!$F$8-WEEKDAY(INDEX(UCRETLER!$D$7:$D$406,$U75),2),7)+7*($V75-1))))</f>
        <v/>
      </c>
      <c r="X75" s="3">
        <f>IF($U75=0,0,INDEX(UCRETLER!$G$7:$G$406,$U75))</f>
        <v/>
      </c>
      <c r="Y75" s="3">
        <f>IFERROR(SMALL($T$12:$T$432,ROW()-11),"")</f>
        <v/>
      </c>
      <c r="Z75" s="3">
        <f>IFERROR(MATCH($Y75,$T$12:$T$432,0),"")</f>
        <v/>
      </c>
      <c r="AA75" s="3" t="n"/>
      <c r="AB75" s="3" t="n"/>
      <c r="AC75" s="3" t="n"/>
      <c r="AD75" s="3" t="n"/>
    </row>
    <row r="76">
      <c r="A76" s="6" t="n"/>
      <c r="B76" s="153">
        <f>IF($C76="","",ROW()-11)</f>
        <v/>
      </c>
      <c r="C76" s="240">
        <f>IF($Z76="","",IF(INDEX($N$12:$N$432,$Z76)="","",INDEX($N$12:$N$432,$Z76)))</f>
        <v/>
      </c>
      <c r="D76" s="29">
        <f>IF($C76="","",INDEX($O$12:$O$432,$Z76))</f>
        <v/>
      </c>
      <c r="E76" s="153">
        <f>IF($C76="","",INDEX($P$12:$P$432,$Z76))</f>
        <v/>
      </c>
      <c r="F76" s="241">
        <f>IF($C76="","",INDEX($R$12:$R$432,$Z76))</f>
        <v/>
      </c>
      <c r="G76" s="241">
        <f>IF($C76="","",INDEX($S$12:$S$432,$Z76))</f>
        <v/>
      </c>
      <c r="H76" s="241">
        <f>IF($C76="","",N($H75)+$F76-$G76)</f>
        <v/>
      </c>
      <c r="I76" s="6" t="n"/>
      <c r="J76" s="6" t="n"/>
      <c r="K76" s="3" t="n"/>
      <c r="L76" s="3" t="n"/>
      <c r="M76" s="3" t="n">
        <v>65</v>
      </c>
      <c r="N76" s="3">
        <f>IF(OR($U76=0,$W76="",$X76&lt;=0),"",IF($W76&gt;TODAY(),"",IF(AND(INDEX(UCRETLER!$E$7:$E$406,$U76)&lt;&gt;"",$W76&gt;INDEX(UCRETLER!$E$7:$E$406,$U76)),"",$W76)))</f>
        <v/>
      </c>
      <c r="O76" s="3">
        <f>IF($N76="","",IF(INDEX(UCRETLER!$F$7:$F$406,$U76)="Aylık",CHOOSE(MONTH($N76),"Ocak","Şubat","Mart","Nisan","Mayıs","Haziran","Temmuz","Ağustos","Eylül","Ekim","Kasım","Aralık")&amp;" "&amp;YEAR($N76)&amp;" aylık muhasebe hizmet ücreti",RIGHT("0"&amp;DAY($N76),2)&amp;"."&amp;RIGHT("0"&amp;MONTH($N76),2)&amp;"."&amp;YEAR($N76)&amp;" haftalık muhasebe hizmet ücreti"))</f>
        <v/>
      </c>
      <c r="P76" s="3">
        <f>IF($N76="","","TAHAKKUK")</f>
        <v/>
      </c>
      <c r="Q76" s="3" t="n"/>
      <c r="R76" s="3">
        <f>IF($N76="",0,$X76)</f>
        <v/>
      </c>
      <c r="S76" s="3" t="n">
        <v>0</v>
      </c>
      <c r="T76" s="3">
        <f>IF($N76="",10000000000,$N76*100000+$M76)</f>
        <v/>
      </c>
      <c r="U76" s="3">
        <f>$AB$4</f>
        <v/>
      </c>
      <c r="V76" s="3" t="n">
        <v>64</v>
      </c>
      <c r="W76" s="3">
        <f>IF($U76=0,"",IF(INDEX(UCRETLER!$D$7:$D$406,$U76)="","",IF(INDEX(UCRETLER!$F$7:$F$406,$U76)="Aylık",EOMONTH(INDEX(UCRETLER!$D$7:$D$406,$U76),$V76-1),INDEX(UCRETLER!$D$7:$D$406,$U76)+MOD(SISTEM!$F$8-WEEKDAY(INDEX(UCRETLER!$D$7:$D$406,$U76),2),7)+7*($V76-1))))</f>
        <v/>
      </c>
      <c r="X76" s="3">
        <f>IF($U76=0,0,INDEX(UCRETLER!$G$7:$G$406,$U76))</f>
        <v/>
      </c>
      <c r="Y76" s="3">
        <f>IFERROR(SMALL($T$12:$T$432,ROW()-11),"")</f>
        <v/>
      </c>
      <c r="Z76" s="3">
        <f>IFERROR(MATCH($Y76,$T$12:$T$432,0),"")</f>
        <v/>
      </c>
      <c r="AA76" s="3" t="n"/>
      <c r="AB76" s="3" t="n"/>
      <c r="AC76" s="3" t="n"/>
      <c r="AD76" s="3" t="n"/>
    </row>
    <row r="77">
      <c r="A77" s="6" t="n"/>
      <c r="B77" s="153">
        <f>IF($C77="","",ROW()-11)</f>
        <v/>
      </c>
      <c r="C77" s="240">
        <f>IF($Z77="","",IF(INDEX($N$12:$N$432,$Z77)="","",INDEX($N$12:$N$432,$Z77)))</f>
        <v/>
      </c>
      <c r="D77" s="29">
        <f>IF($C77="","",INDEX($O$12:$O$432,$Z77))</f>
        <v/>
      </c>
      <c r="E77" s="153">
        <f>IF($C77="","",INDEX($P$12:$P$432,$Z77))</f>
        <v/>
      </c>
      <c r="F77" s="241">
        <f>IF($C77="","",INDEX($R$12:$R$432,$Z77))</f>
        <v/>
      </c>
      <c r="G77" s="241">
        <f>IF($C77="","",INDEX($S$12:$S$432,$Z77))</f>
        <v/>
      </c>
      <c r="H77" s="241">
        <f>IF($C77="","",N($H76)+$F77-$G77)</f>
        <v/>
      </c>
      <c r="I77" s="6" t="n"/>
      <c r="J77" s="6" t="n"/>
      <c r="K77" s="3" t="n"/>
      <c r="L77" s="3" t="n"/>
      <c r="M77" s="3" t="n">
        <v>66</v>
      </c>
      <c r="N77" s="3">
        <f>IF(OR($U77=0,$W77="",$X77&lt;=0),"",IF($W77&gt;TODAY(),"",IF(AND(INDEX(UCRETLER!$E$7:$E$406,$U77)&lt;&gt;"",$W77&gt;INDEX(UCRETLER!$E$7:$E$406,$U77)),"",$W77)))</f>
        <v/>
      </c>
      <c r="O77" s="3">
        <f>IF($N77="","",IF(INDEX(UCRETLER!$F$7:$F$406,$U77)="Aylık",CHOOSE(MONTH($N77),"Ocak","Şubat","Mart","Nisan","Mayıs","Haziran","Temmuz","Ağustos","Eylül","Ekim","Kasım","Aralık")&amp;" "&amp;YEAR($N77)&amp;" aylık muhasebe hizmet ücreti",RIGHT("0"&amp;DAY($N77),2)&amp;"."&amp;RIGHT("0"&amp;MONTH($N77),2)&amp;"."&amp;YEAR($N77)&amp;" haftalık muhasebe hizmet ücreti"))</f>
        <v/>
      </c>
      <c r="P77" s="3">
        <f>IF($N77="","","TAHAKKUK")</f>
        <v/>
      </c>
      <c r="Q77" s="3" t="n"/>
      <c r="R77" s="3">
        <f>IF($N77="",0,$X77)</f>
        <v/>
      </c>
      <c r="S77" s="3" t="n">
        <v>0</v>
      </c>
      <c r="T77" s="3">
        <f>IF($N77="",10000000000,$N77*100000+$M77)</f>
        <v/>
      </c>
      <c r="U77" s="3">
        <f>$AB$4</f>
        <v/>
      </c>
      <c r="V77" s="3" t="n">
        <v>65</v>
      </c>
      <c r="W77" s="3">
        <f>IF($U77=0,"",IF(INDEX(UCRETLER!$D$7:$D$406,$U77)="","",IF(INDEX(UCRETLER!$F$7:$F$406,$U77)="Aylık",EOMONTH(INDEX(UCRETLER!$D$7:$D$406,$U77),$V77-1),INDEX(UCRETLER!$D$7:$D$406,$U77)+MOD(SISTEM!$F$8-WEEKDAY(INDEX(UCRETLER!$D$7:$D$406,$U77),2),7)+7*($V77-1))))</f>
        <v/>
      </c>
      <c r="X77" s="3">
        <f>IF($U77=0,0,INDEX(UCRETLER!$G$7:$G$406,$U77))</f>
        <v/>
      </c>
      <c r="Y77" s="3">
        <f>IFERROR(SMALL($T$12:$T$432,ROW()-11),"")</f>
        <v/>
      </c>
      <c r="Z77" s="3">
        <f>IFERROR(MATCH($Y77,$T$12:$T$432,0),"")</f>
        <v/>
      </c>
      <c r="AA77" s="3" t="n"/>
      <c r="AB77" s="3" t="n"/>
      <c r="AC77" s="3" t="n"/>
      <c r="AD77" s="3" t="n"/>
    </row>
    <row r="78">
      <c r="A78" s="6" t="n"/>
      <c r="B78" s="153">
        <f>IF($C78="","",ROW()-11)</f>
        <v/>
      </c>
      <c r="C78" s="240">
        <f>IF($Z78="","",IF(INDEX($N$12:$N$432,$Z78)="","",INDEX($N$12:$N$432,$Z78)))</f>
        <v/>
      </c>
      <c r="D78" s="29">
        <f>IF($C78="","",INDEX($O$12:$O$432,$Z78))</f>
        <v/>
      </c>
      <c r="E78" s="153">
        <f>IF($C78="","",INDEX($P$12:$P$432,$Z78))</f>
        <v/>
      </c>
      <c r="F78" s="241">
        <f>IF($C78="","",INDEX($R$12:$R$432,$Z78))</f>
        <v/>
      </c>
      <c r="G78" s="241">
        <f>IF($C78="","",INDEX($S$12:$S$432,$Z78))</f>
        <v/>
      </c>
      <c r="H78" s="241">
        <f>IF($C78="","",N($H77)+$F78-$G78)</f>
        <v/>
      </c>
      <c r="I78" s="6" t="n"/>
      <c r="J78" s="6" t="n"/>
      <c r="K78" s="3" t="n"/>
      <c r="L78" s="3" t="n"/>
      <c r="M78" s="3" t="n">
        <v>67</v>
      </c>
      <c r="N78" s="3">
        <f>IF(OR($U78=0,$W78="",$X78&lt;=0),"",IF($W78&gt;TODAY(),"",IF(AND(INDEX(UCRETLER!$E$7:$E$406,$U78)&lt;&gt;"",$W78&gt;INDEX(UCRETLER!$E$7:$E$406,$U78)),"",$W78)))</f>
        <v/>
      </c>
      <c r="O78" s="3">
        <f>IF($N78="","",IF(INDEX(UCRETLER!$F$7:$F$406,$U78)="Aylık",CHOOSE(MONTH($N78),"Ocak","Şubat","Mart","Nisan","Mayıs","Haziran","Temmuz","Ağustos","Eylül","Ekim","Kasım","Aralık")&amp;" "&amp;YEAR($N78)&amp;" aylık muhasebe hizmet ücreti",RIGHT("0"&amp;DAY($N78),2)&amp;"."&amp;RIGHT("0"&amp;MONTH($N78),2)&amp;"."&amp;YEAR($N78)&amp;" haftalık muhasebe hizmet ücreti"))</f>
        <v/>
      </c>
      <c r="P78" s="3">
        <f>IF($N78="","","TAHAKKUK")</f>
        <v/>
      </c>
      <c r="Q78" s="3" t="n"/>
      <c r="R78" s="3">
        <f>IF($N78="",0,$X78)</f>
        <v/>
      </c>
      <c r="S78" s="3" t="n">
        <v>0</v>
      </c>
      <c r="T78" s="3">
        <f>IF($N78="",10000000000,$N78*100000+$M78)</f>
        <v/>
      </c>
      <c r="U78" s="3">
        <f>$AB$4</f>
        <v/>
      </c>
      <c r="V78" s="3" t="n">
        <v>66</v>
      </c>
      <c r="W78" s="3">
        <f>IF($U78=0,"",IF(INDEX(UCRETLER!$D$7:$D$406,$U78)="","",IF(INDEX(UCRETLER!$F$7:$F$406,$U78)="Aylık",EOMONTH(INDEX(UCRETLER!$D$7:$D$406,$U78),$V78-1),INDEX(UCRETLER!$D$7:$D$406,$U78)+MOD(SISTEM!$F$8-WEEKDAY(INDEX(UCRETLER!$D$7:$D$406,$U78),2),7)+7*($V78-1))))</f>
        <v/>
      </c>
      <c r="X78" s="3">
        <f>IF($U78=0,0,INDEX(UCRETLER!$G$7:$G$406,$U78))</f>
        <v/>
      </c>
      <c r="Y78" s="3">
        <f>IFERROR(SMALL($T$12:$T$432,ROW()-11),"")</f>
        <v/>
      </c>
      <c r="Z78" s="3">
        <f>IFERROR(MATCH($Y78,$T$12:$T$432,0),"")</f>
        <v/>
      </c>
      <c r="AA78" s="3" t="n"/>
      <c r="AB78" s="3" t="n"/>
      <c r="AC78" s="3" t="n"/>
      <c r="AD78" s="3" t="n"/>
    </row>
    <row r="79">
      <c r="A79" s="6" t="n"/>
      <c r="B79" s="153">
        <f>IF($C79="","",ROW()-11)</f>
        <v/>
      </c>
      <c r="C79" s="240">
        <f>IF($Z79="","",IF(INDEX($N$12:$N$432,$Z79)="","",INDEX($N$12:$N$432,$Z79)))</f>
        <v/>
      </c>
      <c r="D79" s="29">
        <f>IF($C79="","",INDEX($O$12:$O$432,$Z79))</f>
        <v/>
      </c>
      <c r="E79" s="153">
        <f>IF($C79="","",INDEX($P$12:$P$432,$Z79))</f>
        <v/>
      </c>
      <c r="F79" s="241">
        <f>IF($C79="","",INDEX($R$12:$R$432,$Z79))</f>
        <v/>
      </c>
      <c r="G79" s="241">
        <f>IF($C79="","",INDEX($S$12:$S$432,$Z79))</f>
        <v/>
      </c>
      <c r="H79" s="241">
        <f>IF($C79="","",N($H78)+$F79-$G79)</f>
        <v/>
      </c>
      <c r="I79" s="6" t="n"/>
      <c r="J79" s="6" t="n"/>
      <c r="K79" s="3" t="n"/>
      <c r="L79" s="3" t="n"/>
      <c r="M79" s="3" t="n">
        <v>68</v>
      </c>
      <c r="N79" s="3">
        <f>IF(OR($U79=0,$W79="",$X79&lt;=0),"",IF($W79&gt;TODAY(),"",IF(AND(INDEX(UCRETLER!$E$7:$E$406,$U79)&lt;&gt;"",$W79&gt;INDEX(UCRETLER!$E$7:$E$406,$U79)),"",$W79)))</f>
        <v/>
      </c>
      <c r="O79" s="3">
        <f>IF($N79="","",IF(INDEX(UCRETLER!$F$7:$F$406,$U79)="Aylık",CHOOSE(MONTH($N79),"Ocak","Şubat","Mart","Nisan","Mayıs","Haziran","Temmuz","Ağustos","Eylül","Ekim","Kasım","Aralık")&amp;" "&amp;YEAR($N79)&amp;" aylık muhasebe hizmet ücreti",RIGHT("0"&amp;DAY($N79),2)&amp;"."&amp;RIGHT("0"&amp;MONTH($N79),2)&amp;"."&amp;YEAR($N79)&amp;" haftalık muhasebe hizmet ücreti"))</f>
        <v/>
      </c>
      <c r="P79" s="3">
        <f>IF($N79="","","TAHAKKUK")</f>
        <v/>
      </c>
      <c r="Q79" s="3" t="n"/>
      <c r="R79" s="3">
        <f>IF($N79="",0,$X79)</f>
        <v/>
      </c>
      <c r="S79" s="3" t="n">
        <v>0</v>
      </c>
      <c r="T79" s="3">
        <f>IF($N79="",10000000000,$N79*100000+$M79)</f>
        <v/>
      </c>
      <c r="U79" s="3">
        <f>$AB$4</f>
        <v/>
      </c>
      <c r="V79" s="3" t="n">
        <v>67</v>
      </c>
      <c r="W79" s="3">
        <f>IF($U79=0,"",IF(INDEX(UCRETLER!$D$7:$D$406,$U79)="","",IF(INDEX(UCRETLER!$F$7:$F$406,$U79)="Aylık",EOMONTH(INDEX(UCRETLER!$D$7:$D$406,$U79),$V79-1),INDEX(UCRETLER!$D$7:$D$406,$U79)+MOD(SISTEM!$F$8-WEEKDAY(INDEX(UCRETLER!$D$7:$D$406,$U79),2),7)+7*($V79-1))))</f>
        <v/>
      </c>
      <c r="X79" s="3">
        <f>IF($U79=0,0,INDEX(UCRETLER!$G$7:$G$406,$U79))</f>
        <v/>
      </c>
      <c r="Y79" s="3">
        <f>IFERROR(SMALL($T$12:$T$432,ROW()-11),"")</f>
        <v/>
      </c>
      <c r="Z79" s="3">
        <f>IFERROR(MATCH($Y79,$T$12:$T$432,0),"")</f>
        <v/>
      </c>
      <c r="AA79" s="3" t="n"/>
      <c r="AB79" s="3" t="n"/>
      <c r="AC79" s="3" t="n"/>
      <c r="AD79" s="3" t="n"/>
    </row>
    <row r="80">
      <c r="A80" s="6" t="n"/>
      <c r="B80" s="153">
        <f>IF($C80="","",ROW()-11)</f>
        <v/>
      </c>
      <c r="C80" s="240">
        <f>IF($Z80="","",IF(INDEX($N$12:$N$432,$Z80)="","",INDEX($N$12:$N$432,$Z80)))</f>
        <v/>
      </c>
      <c r="D80" s="29">
        <f>IF($C80="","",INDEX($O$12:$O$432,$Z80))</f>
        <v/>
      </c>
      <c r="E80" s="153">
        <f>IF($C80="","",INDEX($P$12:$P$432,$Z80))</f>
        <v/>
      </c>
      <c r="F80" s="241">
        <f>IF($C80="","",INDEX($R$12:$R$432,$Z80))</f>
        <v/>
      </c>
      <c r="G80" s="241">
        <f>IF($C80="","",INDEX($S$12:$S$432,$Z80))</f>
        <v/>
      </c>
      <c r="H80" s="241">
        <f>IF($C80="","",N($H79)+$F80-$G80)</f>
        <v/>
      </c>
      <c r="I80" s="6" t="n"/>
      <c r="J80" s="6" t="n"/>
      <c r="K80" s="3" t="n"/>
      <c r="L80" s="3" t="n"/>
      <c r="M80" s="3" t="n">
        <v>69</v>
      </c>
      <c r="N80" s="3">
        <f>IF(OR($U80=0,$W80="",$X80&lt;=0),"",IF($W80&gt;TODAY(),"",IF(AND(INDEX(UCRETLER!$E$7:$E$406,$U80)&lt;&gt;"",$W80&gt;INDEX(UCRETLER!$E$7:$E$406,$U80)),"",$W80)))</f>
        <v/>
      </c>
      <c r="O80" s="3">
        <f>IF($N80="","",IF(INDEX(UCRETLER!$F$7:$F$406,$U80)="Aylık",CHOOSE(MONTH($N80),"Ocak","Şubat","Mart","Nisan","Mayıs","Haziran","Temmuz","Ağustos","Eylül","Ekim","Kasım","Aralık")&amp;" "&amp;YEAR($N80)&amp;" aylık muhasebe hizmet ücreti",RIGHT("0"&amp;DAY($N80),2)&amp;"."&amp;RIGHT("0"&amp;MONTH($N80),2)&amp;"."&amp;YEAR($N80)&amp;" haftalık muhasebe hizmet ücreti"))</f>
        <v/>
      </c>
      <c r="P80" s="3">
        <f>IF($N80="","","TAHAKKUK")</f>
        <v/>
      </c>
      <c r="Q80" s="3" t="n"/>
      <c r="R80" s="3">
        <f>IF($N80="",0,$X80)</f>
        <v/>
      </c>
      <c r="S80" s="3" t="n">
        <v>0</v>
      </c>
      <c r="T80" s="3">
        <f>IF($N80="",10000000000,$N80*100000+$M80)</f>
        <v/>
      </c>
      <c r="U80" s="3">
        <f>$AB$4</f>
        <v/>
      </c>
      <c r="V80" s="3" t="n">
        <v>68</v>
      </c>
      <c r="W80" s="3">
        <f>IF($U80=0,"",IF(INDEX(UCRETLER!$D$7:$D$406,$U80)="","",IF(INDEX(UCRETLER!$F$7:$F$406,$U80)="Aylık",EOMONTH(INDEX(UCRETLER!$D$7:$D$406,$U80),$V80-1),INDEX(UCRETLER!$D$7:$D$406,$U80)+MOD(SISTEM!$F$8-WEEKDAY(INDEX(UCRETLER!$D$7:$D$406,$U80),2),7)+7*($V80-1))))</f>
        <v/>
      </c>
      <c r="X80" s="3">
        <f>IF($U80=0,0,INDEX(UCRETLER!$G$7:$G$406,$U80))</f>
        <v/>
      </c>
      <c r="Y80" s="3">
        <f>IFERROR(SMALL($T$12:$T$432,ROW()-11),"")</f>
        <v/>
      </c>
      <c r="Z80" s="3">
        <f>IFERROR(MATCH($Y80,$T$12:$T$432,0),"")</f>
        <v/>
      </c>
      <c r="AA80" s="3" t="n"/>
      <c r="AB80" s="3" t="n"/>
      <c r="AC80" s="3" t="n"/>
      <c r="AD80" s="3" t="n"/>
    </row>
    <row r="81">
      <c r="A81" s="6" t="n"/>
      <c r="B81" s="153">
        <f>IF($C81="","",ROW()-11)</f>
        <v/>
      </c>
      <c r="C81" s="240">
        <f>IF($Z81="","",IF(INDEX($N$12:$N$432,$Z81)="","",INDEX($N$12:$N$432,$Z81)))</f>
        <v/>
      </c>
      <c r="D81" s="29">
        <f>IF($C81="","",INDEX($O$12:$O$432,$Z81))</f>
        <v/>
      </c>
      <c r="E81" s="153">
        <f>IF($C81="","",INDEX($P$12:$P$432,$Z81))</f>
        <v/>
      </c>
      <c r="F81" s="241">
        <f>IF($C81="","",INDEX($R$12:$R$432,$Z81))</f>
        <v/>
      </c>
      <c r="G81" s="241">
        <f>IF($C81="","",INDEX($S$12:$S$432,$Z81))</f>
        <v/>
      </c>
      <c r="H81" s="241">
        <f>IF($C81="","",N($H80)+$F81-$G81)</f>
        <v/>
      </c>
      <c r="I81" s="6" t="n"/>
      <c r="J81" s="6" t="n"/>
      <c r="K81" s="3" t="n"/>
      <c r="L81" s="3" t="n"/>
      <c r="M81" s="3" t="n">
        <v>70</v>
      </c>
      <c r="N81" s="3">
        <f>IF(OR($U81=0,$W81="",$X81&lt;=0),"",IF($W81&gt;TODAY(),"",IF(AND(INDEX(UCRETLER!$E$7:$E$406,$U81)&lt;&gt;"",$W81&gt;INDEX(UCRETLER!$E$7:$E$406,$U81)),"",$W81)))</f>
        <v/>
      </c>
      <c r="O81" s="3">
        <f>IF($N81="","",IF(INDEX(UCRETLER!$F$7:$F$406,$U81)="Aylık",CHOOSE(MONTH($N81),"Ocak","Şubat","Mart","Nisan","Mayıs","Haziran","Temmuz","Ağustos","Eylül","Ekim","Kasım","Aralık")&amp;" "&amp;YEAR($N81)&amp;" aylık muhasebe hizmet ücreti",RIGHT("0"&amp;DAY($N81),2)&amp;"."&amp;RIGHT("0"&amp;MONTH($N81),2)&amp;"."&amp;YEAR($N81)&amp;" haftalık muhasebe hizmet ücreti"))</f>
        <v/>
      </c>
      <c r="P81" s="3">
        <f>IF($N81="","","TAHAKKUK")</f>
        <v/>
      </c>
      <c r="Q81" s="3" t="n"/>
      <c r="R81" s="3">
        <f>IF($N81="",0,$X81)</f>
        <v/>
      </c>
      <c r="S81" s="3" t="n">
        <v>0</v>
      </c>
      <c r="T81" s="3">
        <f>IF($N81="",10000000000,$N81*100000+$M81)</f>
        <v/>
      </c>
      <c r="U81" s="3">
        <f>$AB$4</f>
        <v/>
      </c>
      <c r="V81" s="3" t="n">
        <v>69</v>
      </c>
      <c r="W81" s="3">
        <f>IF($U81=0,"",IF(INDEX(UCRETLER!$D$7:$D$406,$U81)="","",IF(INDEX(UCRETLER!$F$7:$F$406,$U81)="Aylık",EOMONTH(INDEX(UCRETLER!$D$7:$D$406,$U81),$V81-1),INDEX(UCRETLER!$D$7:$D$406,$U81)+MOD(SISTEM!$F$8-WEEKDAY(INDEX(UCRETLER!$D$7:$D$406,$U81),2),7)+7*($V81-1))))</f>
        <v/>
      </c>
      <c r="X81" s="3">
        <f>IF($U81=0,0,INDEX(UCRETLER!$G$7:$G$406,$U81))</f>
        <v/>
      </c>
      <c r="Y81" s="3">
        <f>IFERROR(SMALL($T$12:$T$432,ROW()-11),"")</f>
        <v/>
      </c>
      <c r="Z81" s="3">
        <f>IFERROR(MATCH($Y81,$T$12:$T$432,0),"")</f>
        <v/>
      </c>
      <c r="AA81" s="3" t="n"/>
      <c r="AB81" s="3" t="n"/>
      <c r="AC81" s="3" t="n"/>
      <c r="AD81" s="3" t="n"/>
    </row>
    <row r="82">
      <c r="A82" s="6" t="n"/>
      <c r="B82" s="153">
        <f>IF($C82="","",ROW()-11)</f>
        <v/>
      </c>
      <c r="C82" s="240">
        <f>IF($Z82="","",IF(INDEX($N$12:$N$432,$Z82)="","",INDEX($N$12:$N$432,$Z82)))</f>
        <v/>
      </c>
      <c r="D82" s="29">
        <f>IF($C82="","",INDEX($O$12:$O$432,$Z82))</f>
        <v/>
      </c>
      <c r="E82" s="153">
        <f>IF($C82="","",INDEX($P$12:$P$432,$Z82))</f>
        <v/>
      </c>
      <c r="F82" s="241">
        <f>IF($C82="","",INDEX($R$12:$R$432,$Z82))</f>
        <v/>
      </c>
      <c r="G82" s="241">
        <f>IF($C82="","",INDEX($S$12:$S$432,$Z82))</f>
        <v/>
      </c>
      <c r="H82" s="241">
        <f>IF($C82="","",N($H81)+$F82-$G82)</f>
        <v/>
      </c>
      <c r="I82" s="6" t="n"/>
      <c r="J82" s="6" t="n"/>
      <c r="K82" s="3" t="n"/>
      <c r="L82" s="3" t="n"/>
      <c r="M82" s="3" t="n">
        <v>71</v>
      </c>
      <c r="N82" s="3">
        <f>IF(OR($U82=0,$W82="",$X82&lt;=0),"",IF($W82&gt;TODAY(),"",IF(AND(INDEX(UCRETLER!$E$7:$E$406,$U82)&lt;&gt;"",$W82&gt;INDEX(UCRETLER!$E$7:$E$406,$U82)),"",$W82)))</f>
        <v/>
      </c>
      <c r="O82" s="3">
        <f>IF($N82="","",IF(INDEX(UCRETLER!$F$7:$F$406,$U82)="Aylık",CHOOSE(MONTH($N82),"Ocak","Şubat","Mart","Nisan","Mayıs","Haziran","Temmuz","Ağustos","Eylül","Ekim","Kasım","Aralık")&amp;" "&amp;YEAR($N82)&amp;" aylık muhasebe hizmet ücreti",RIGHT("0"&amp;DAY($N82),2)&amp;"."&amp;RIGHT("0"&amp;MONTH($N82),2)&amp;"."&amp;YEAR($N82)&amp;" haftalık muhasebe hizmet ücreti"))</f>
        <v/>
      </c>
      <c r="P82" s="3">
        <f>IF($N82="","","TAHAKKUK")</f>
        <v/>
      </c>
      <c r="Q82" s="3" t="n"/>
      <c r="R82" s="3">
        <f>IF($N82="",0,$X82)</f>
        <v/>
      </c>
      <c r="S82" s="3" t="n">
        <v>0</v>
      </c>
      <c r="T82" s="3">
        <f>IF($N82="",10000000000,$N82*100000+$M82)</f>
        <v/>
      </c>
      <c r="U82" s="3">
        <f>$AB$4</f>
        <v/>
      </c>
      <c r="V82" s="3" t="n">
        <v>70</v>
      </c>
      <c r="W82" s="3">
        <f>IF($U82=0,"",IF(INDEX(UCRETLER!$D$7:$D$406,$U82)="","",IF(INDEX(UCRETLER!$F$7:$F$406,$U82)="Aylık",EOMONTH(INDEX(UCRETLER!$D$7:$D$406,$U82),$V82-1),INDEX(UCRETLER!$D$7:$D$406,$U82)+MOD(SISTEM!$F$8-WEEKDAY(INDEX(UCRETLER!$D$7:$D$406,$U82),2),7)+7*($V82-1))))</f>
        <v/>
      </c>
      <c r="X82" s="3">
        <f>IF($U82=0,0,INDEX(UCRETLER!$G$7:$G$406,$U82))</f>
        <v/>
      </c>
      <c r="Y82" s="3">
        <f>IFERROR(SMALL($T$12:$T$432,ROW()-11),"")</f>
        <v/>
      </c>
      <c r="Z82" s="3">
        <f>IFERROR(MATCH($Y82,$T$12:$T$432,0),"")</f>
        <v/>
      </c>
      <c r="AA82" s="3" t="n"/>
      <c r="AB82" s="3" t="n"/>
      <c r="AC82" s="3" t="n"/>
      <c r="AD82" s="3" t="n"/>
    </row>
    <row r="83">
      <c r="A83" s="6" t="n"/>
      <c r="B83" s="153">
        <f>IF($C83="","",ROW()-11)</f>
        <v/>
      </c>
      <c r="C83" s="240">
        <f>IF($Z83="","",IF(INDEX($N$12:$N$432,$Z83)="","",INDEX($N$12:$N$432,$Z83)))</f>
        <v/>
      </c>
      <c r="D83" s="29">
        <f>IF($C83="","",INDEX($O$12:$O$432,$Z83))</f>
        <v/>
      </c>
      <c r="E83" s="153">
        <f>IF($C83="","",INDEX($P$12:$P$432,$Z83))</f>
        <v/>
      </c>
      <c r="F83" s="241">
        <f>IF($C83="","",INDEX($R$12:$R$432,$Z83))</f>
        <v/>
      </c>
      <c r="G83" s="241">
        <f>IF($C83="","",INDEX($S$12:$S$432,$Z83))</f>
        <v/>
      </c>
      <c r="H83" s="241">
        <f>IF($C83="","",N($H82)+$F83-$G83)</f>
        <v/>
      </c>
      <c r="I83" s="6" t="n"/>
      <c r="J83" s="6" t="n"/>
      <c r="K83" s="3" t="n"/>
      <c r="L83" s="3" t="n"/>
      <c r="M83" s="3" t="n">
        <v>72</v>
      </c>
      <c r="N83" s="3">
        <f>IF(OR($U83=0,$W83="",$X83&lt;=0),"",IF($W83&gt;TODAY(),"",IF(AND(INDEX(UCRETLER!$E$7:$E$406,$U83)&lt;&gt;"",$W83&gt;INDEX(UCRETLER!$E$7:$E$406,$U83)),"",$W83)))</f>
        <v/>
      </c>
      <c r="O83" s="3">
        <f>IF($N83="","",IF(INDEX(UCRETLER!$F$7:$F$406,$U83)="Aylık",CHOOSE(MONTH($N83),"Ocak","Şubat","Mart","Nisan","Mayıs","Haziran","Temmuz","Ağustos","Eylül","Ekim","Kasım","Aralık")&amp;" "&amp;YEAR($N83)&amp;" aylık muhasebe hizmet ücreti",RIGHT("0"&amp;DAY($N83),2)&amp;"."&amp;RIGHT("0"&amp;MONTH($N83),2)&amp;"."&amp;YEAR($N83)&amp;" haftalık muhasebe hizmet ücreti"))</f>
        <v/>
      </c>
      <c r="P83" s="3">
        <f>IF($N83="","","TAHAKKUK")</f>
        <v/>
      </c>
      <c r="Q83" s="3" t="n"/>
      <c r="R83" s="3">
        <f>IF($N83="",0,$X83)</f>
        <v/>
      </c>
      <c r="S83" s="3" t="n">
        <v>0</v>
      </c>
      <c r="T83" s="3">
        <f>IF($N83="",10000000000,$N83*100000+$M83)</f>
        <v/>
      </c>
      <c r="U83" s="3">
        <f>$AB$4</f>
        <v/>
      </c>
      <c r="V83" s="3" t="n">
        <v>71</v>
      </c>
      <c r="W83" s="3">
        <f>IF($U83=0,"",IF(INDEX(UCRETLER!$D$7:$D$406,$U83)="","",IF(INDEX(UCRETLER!$F$7:$F$406,$U83)="Aylık",EOMONTH(INDEX(UCRETLER!$D$7:$D$406,$U83),$V83-1),INDEX(UCRETLER!$D$7:$D$406,$U83)+MOD(SISTEM!$F$8-WEEKDAY(INDEX(UCRETLER!$D$7:$D$406,$U83),2),7)+7*($V83-1))))</f>
        <v/>
      </c>
      <c r="X83" s="3">
        <f>IF($U83=0,0,INDEX(UCRETLER!$G$7:$G$406,$U83))</f>
        <v/>
      </c>
      <c r="Y83" s="3">
        <f>IFERROR(SMALL($T$12:$T$432,ROW()-11),"")</f>
        <v/>
      </c>
      <c r="Z83" s="3">
        <f>IFERROR(MATCH($Y83,$T$12:$T$432,0),"")</f>
        <v/>
      </c>
      <c r="AA83" s="3" t="n"/>
      <c r="AB83" s="3" t="n"/>
      <c r="AC83" s="3" t="n"/>
      <c r="AD83" s="3" t="n"/>
    </row>
    <row r="84">
      <c r="A84" s="6" t="n"/>
      <c r="B84" s="153">
        <f>IF($C84="","",ROW()-11)</f>
        <v/>
      </c>
      <c r="C84" s="240">
        <f>IF($Z84="","",IF(INDEX($N$12:$N$432,$Z84)="","",INDEX($N$12:$N$432,$Z84)))</f>
        <v/>
      </c>
      <c r="D84" s="29">
        <f>IF($C84="","",INDEX($O$12:$O$432,$Z84))</f>
        <v/>
      </c>
      <c r="E84" s="153">
        <f>IF($C84="","",INDEX($P$12:$P$432,$Z84))</f>
        <v/>
      </c>
      <c r="F84" s="241">
        <f>IF($C84="","",INDEX($R$12:$R$432,$Z84))</f>
        <v/>
      </c>
      <c r="G84" s="241">
        <f>IF($C84="","",INDEX($S$12:$S$432,$Z84))</f>
        <v/>
      </c>
      <c r="H84" s="241">
        <f>IF($C84="","",N($H83)+$F84-$G84)</f>
        <v/>
      </c>
      <c r="I84" s="6" t="n"/>
      <c r="J84" s="6" t="n"/>
      <c r="K84" s="3" t="n"/>
      <c r="L84" s="3" t="n"/>
      <c r="M84" s="3" t="n">
        <v>73</v>
      </c>
      <c r="N84" s="3">
        <f>IF(OR($U84=0,$W84="",$X84&lt;=0),"",IF($W84&gt;TODAY(),"",IF(AND(INDEX(UCRETLER!$E$7:$E$406,$U84)&lt;&gt;"",$W84&gt;INDEX(UCRETLER!$E$7:$E$406,$U84)),"",$W84)))</f>
        <v/>
      </c>
      <c r="O84" s="3">
        <f>IF($N84="","",IF(INDEX(UCRETLER!$F$7:$F$406,$U84)="Aylık",CHOOSE(MONTH($N84),"Ocak","Şubat","Mart","Nisan","Mayıs","Haziran","Temmuz","Ağustos","Eylül","Ekim","Kasım","Aralık")&amp;" "&amp;YEAR($N84)&amp;" aylık muhasebe hizmet ücreti",RIGHT("0"&amp;DAY($N84),2)&amp;"."&amp;RIGHT("0"&amp;MONTH($N84),2)&amp;"."&amp;YEAR($N84)&amp;" haftalık muhasebe hizmet ücreti"))</f>
        <v/>
      </c>
      <c r="P84" s="3">
        <f>IF($N84="","","TAHAKKUK")</f>
        <v/>
      </c>
      <c r="Q84" s="3" t="n"/>
      <c r="R84" s="3">
        <f>IF($N84="",0,$X84)</f>
        <v/>
      </c>
      <c r="S84" s="3" t="n">
        <v>0</v>
      </c>
      <c r="T84" s="3">
        <f>IF($N84="",10000000000,$N84*100000+$M84)</f>
        <v/>
      </c>
      <c r="U84" s="3">
        <f>$AB$4</f>
        <v/>
      </c>
      <c r="V84" s="3" t="n">
        <v>72</v>
      </c>
      <c r="W84" s="3">
        <f>IF($U84=0,"",IF(INDEX(UCRETLER!$D$7:$D$406,$U84)="","",IF(INDEX(UCRETLER!$F$7:$F$406,$U84)="Aylık",EOMONTH(INDEX(UCRETLER!$D$7:$D$406,$U84),$V84-1),INDEX(UCRETLER!$D$7:$D$406,$U84)+MOD(SISTEM!$F$8-WEEKDAY(INDEX(UCRETLER!$D$7:$D$406,$U84),2),7)+7*($V84-1))))</f>
        <v/>
      </c>
      <c r="X84" s="3">
        <f>IF($U84=0,0,INDEX(UCRETLER!$G$7:$G$406,$U84))</f>
        <v/>
      </c>
      <c r="Y84" s="3">
        <f>IFERROR(SMALL($T$12:$T$432,ROW()-11),"")</f>
        <v/>
      </c>
      <c r="Z84" s="3">
        <f>IFERROR(MATCH($Y84,$T$12:$T$432,0),"")</f>
        <v/>
      </c>
      <c r="AA84" s="3" t="n"/>
      <c r="AB84" s="3" t="n"/>
      <c r="AC84" s="3" t="n"/>
      <c r="AD84" s="3" t="n"/>
    </row>
    <row r="85">
      <c r="A85" s="6" t="n"/>
      <c r="B85" s="153">
        <f>IF($C85="","",ROW()-11)</f>
        <v/>
      </c>
      <c r="C85" s="240">
        <f>IF($Z85="","",IF(INDEX($N$12:$N$432,$Z85)="","",INDEX($N$12:$N$432,$Z85)))</f>
        <v/>
      </c>
      <c r="D85" s="29">
        <f>IF($C85="","",INDEX($O$12:$O$432,$Z85))</f>
        <v/>
      </c>
      <c r="E85" s="153">
        <f>IF($C85="","",INDEX($P$12:$P$432,$Z85))</f>
        <v/>
      </c>
      <c r="F85" s="241">
        <f>IF($C85="","",INDEX($R$12:$R$432,$Z85))</f>
        <v/>
      </c>
      <c r="G85" s="241">
        <f>IF($C85="","",INDEX($S$12:$S$432,$Z85))</f>
        <v/>
      </c>
      <c r="H85" s="241">
        <f>IF($C85="","",N($H84)+$F85-$G85)</f>
        <v/>
      </c>
      <c r="I85" s="6" t="n"/>
      <c r="J85" s="6" t="n"/>
      <c r="K85" s="3" t="n"/>
      <c r="L85" s="3" t="n"/>
      <c r="M85" s="3" t="n">
        <v>74</v>
      </c>
      <c r="N85" s="3">
        <f>IF(OR($U85=0,$W85="",$X85&lt;=0),"",IF($W85&gt;TODAY(),"",IF(AND(INDEX(UCRETLER!$E$7:$E$406,$U85)&lt;&gt;"",$W85&gt;INDEX(UCRETLER!$E$7:$E$406,$U85)),"",$W85)))</f>
        <v/>
      </c>
      <c r="O85" s="3">
        <f>IF($N85="","",IF(INDEX(UCRETLER!$F$7:$F$406,$U85)="Aylık",CHOOSE(MONTH($N85),"Ocak","Şubat","Mart","Nisan","Mayıs","Haziran","Temmuz","Ağustos","Eylül","Ekim","Kasım","Aralık")&amp;" "&amp;YEAR($N85)&amp;" aylık muhasebe hizmet ücreti",RIGHT("0"&amp;DAY($N85),2)&amp;"."&amp;RIGHT("0"&amp;MONTH($N85),2)&amp;"."&amp;YEAR($N85)&amp;" haftalık muhasebe hizmet ücreti"))</f>
        <v/>
      </c>
      <c r="P85" s="3">
        <f>IF($N85="","","TAHAKKUK")</f>
        <v/>
      </c>
      <c r="Q85" s="3" t="n"/>
      <c r="R85" s="3">
        <f>IF($N85="",0,$X85)</f>
        <v/>
      </c>
      <c r="S85" s="3" t="n">
        <v>0</v>
      </c>
      <c r="T85" s="3">
        <f>IF($N85="",10000000000,$N85*100000+$M85)</f>
        <v/>
      </c>
      <c r="U85" s="3">
        <f>$AB$4</f>
        <v/>
      </c>
      <c r="V85" s="3" t="n">
        <v>73</v>
      </c>
      <c r="W85" s="3">
        <f>IF($U85=0,"",IF(INDEX(UCRETLER!$D$7:$D$406,$U85)="","",IF(INDEX(UCRETLER!$F$7:$F$406,$U85)="Aylık",EOMONTH(INDEX(UCRETLER!$D$7:$D$406,$U85),$V85-1),INDEX(UCRETLER!$D$7:$D$406,$U85)+MOD(SISTEM!$F$8-WEEKDAY(INDEX(UCRETLER!$D$7:$D$406,$U85),2),7)+7*($V85-1))))</f>
        <v/>
      </c>
      <c r="X85" s="3">
        <f>IF($U85=0,0,INDEX(UCRETLER!$G$7:$G$406,$U85))</f>
        <v/>
      </c>
      <c r="Y85" s="3">
        <f>IFERROR(SMALL($T$12:$T$432,ROW()-11),"")</f>
        <v/>
      </c>
      <c r="Z85" s="3">
        <f>IFERROR(MATCH($Y85,$T$12:$T$432,0),"")</f>
        <v/>
      </c>
      <c r="AA85" s="3" t="n"/>
      <c r="AB85" s="3" t="n"/>
      <c r="AC85" s="3" t="n"/>
      <c r="AD85" s="3" t="n"/>
    </row>
    <row r="86">
      <c r="A86" s="6" t="n"/>
      <c r="B86" s="153">
        <f>IF($C86="","",ROW()-11)</f>
        <v/>
      </c>
      <c r="C86" s="240">
        <f>IF($Z86="","",IF(INDEX($N$12:$N$432,$Z86)="","",INDEX($N$12:$N$432,$Z86)))</f>
        <v/>
      </c>
      <c r="D86" s="29">
        <f>IF($C86="","",INDEX($O$12:$O$432,$Z86))</f>
        <v/>
      </c>
      <c r="E86" s="153">
        <f>IF($C86="","",INDEX($P$12:$P$432,$Z86))</f>
        <v/>
      </c>
      <c r="F86" s="241">
        <f>IF($C86="","",INDEX($R$12:$R$432,$Z86))</f>
        <v/>
      </c>
      <c r="G86" s="241">
        <f>IF($C86="","",INDEX($S$12:$S$432,$Z86))</f>
        <v/>
      </c>
      <c r="H86" s="241">
        <f>IF($C86="","",N($H85)+$F86-$G86)</f>
        <v/>
      </c>
      <c r="I86" s="6" t="n"/>
      <c r="J86" s="6" t="n"/>
      <c r="K86" s="3" t="n"/>
      <c r="L86" s="3" t="n"/>
      <c r="M86" s="3" t="n">
        <v>75</v>
      </c>
      <c r="N86" s="3">
        <f>IF(OR($U86=0,$W86="",$X86&lt;=0),"",IF($W86&gt;TODAY(),"",IF(AND(INDEX(UCRETLER!$E$7:$E$406,$U86)&lt;&gt;"",$W86&gt;INDEX(UCRETLER!$E$7:$E$406,$U86)),"",$W86)))</f>
        <v/>
      </c>
      <c r="O86" s="3">
        <f>IF($N86="","",IF(INDEX(UCRETLER!$F$7:$F$406,$U86)="Aylık",CHOOSE(MONTH($N86),"Ocak","Şubat","Mart","Nisan","Mayıs","Haziran","Temmuz","Ağustos","Eylül","Ekim","Kasım","Aralık")&amp;" "&amp;YEAR($N86)&amp;" aylık muhasebe hizmet ücreti",RIGHT("0"&amp;DAY($N86),2)&amp;"."&amp;RIGHT("0"&amp;MONTH($N86),2)&amp;"."&amp;YEAR($N86)&amp;" haftalık muhasebe hizmet ücreti"))</f>
        <v/>
      </c>
      <c r="P86" s="3">
        <f>IF($N86="","","TAHAKKUK")</f>
        <v/>
      </c>
      <c r="Q86" s="3" t="n"/>
      <c r="R86" s="3">
        <f>IF($N86="",0,$X86)</f>
        <v/>
      </c>
      <c r="S86" s="3" t="n">
        <v>0</v>
      </c>
      <c r="T86" s="3">
        <f>IF($N86="",10000000000,$N86*100000+$M86)</f>
        <v/>
      </c>
      <c r="U86" s="3">
        <f>$AB$4</f>
        <v/>
      </c>
      <c r="V86" s="3" t="n">
        <v>74</v>
      </c>
      <c r="W86" s="3">
        <f>IF($U86=0,"",IF(INDEX(UCRETLER!$D$7:$D$406,$U86)="","",IF(INDEX(UCRETLER!$F$7:$F$406,$U86)="Aylık",EOMONTH(INDEX(UCRETLER!$D$7:$D$406,$U86),$V86-1),INDEX(UCRETLER!$D$7:$D$406,$U86)+MOD(SISTEM!$F$8-WEEKDAY(INDEX(UCRETLER!$D$7:$D$406,$U86),2),7)+7*($V86-1))))</f>
        <v/>
      </c>
      <c r="X86" s="3">
        <f>IF($U86=0,0,INDEX(UCRETLER!$G$7:$G$406,$U86))</f>
        <v/>
      </c>
      <c r="Y86" s="3">
        <f>IFERROR(SMALL($T$12:$T$432,ROW()-11),"")</f>
        <v/>
      </c>
      <c r="Z86" s="3">
        <f>IFERROR(MATCH($Y86,$T$12:$T$432,0),"")</f>
        <v/>
      </c>
      <c r="AA86" s="3" t="n"/>
      <c r="AB86" s="3" t="n"/>
      <c r="AC86" s="3" t="n"/>
      <c r="AD86" s="3" t="n"/>
    </row>
    <row r="87">
      <c r="A87" s="6" t="n"/>
      <c r="B87" s="153">
        <f>IF($C87="","",ROW()-11)</f>
        <v/>
      </c>
      <c r="C87" s="240">
        <f>IF($Z87="","",IF(INDEX($N$12:$N$432,$Z87)="","",INDEX($N$12:$N$432,$Z87)))</f>
        <v/>
      </c>
      <c r="D87" s="29">
        <f>IF($C87="","",INDEX($O$12:$O$432,$Z87))</f>
        <v/>
      </c>
      <c r="E87" s="153">
        <f>IF($C87="","",INDEX($P$12:$P$432,$Z87))</f>
        <v/>
      </c>
      <c r="F87" s="241">
        <f>IF($C87="","",INDEX($R$12:$R$432,$Z87))</f>
        <v/>
      </c>
      <c r="G87" s="241">
        <f>IF($C87="","",INDEX($S$12:$S$432,$Z87))</f>
        <v/>
      </c>
      <c r="H87" s="241">
        <f>IF($C87="","",N($H86)+$F87-$G87)</f>
        <v/>
      </c>
      <c r="I87" s="6" t="n"/>
      <c r="J87" s="6" t="n"/>
      <c r="K87" s="3" t="n"/>
      <c r="L87" s="3" t="n"/>
      <c r="M87" s="3" t="n">
        <v>76</v>
      </c>
      <c r="N87" s="3">
        <f>IF(OR($U87=0,$W87="",$X87&lt;=0),"",IF($W87&gt;TODAY(),"",IF(AND(INDEX(UCRETLER!$E$7:$E$406,$U87)&lt;&gt;"",$W87&gt;INDEX(UCRETLER!$E$7:$E$406,$U87)),"",$W87)))</f>
        <v/>
      </c>
      <c r="O87" s="3">
        <f>IF($N87="","",IF(INDEX(UCRETLER!$F$7:$F$406,$U87)="Aylık",CHOOSE(MONTH($N87),"Ocak","Şubat","Mart","Nisan","Mayıs","Haziran","Temmuz","Ağustos","Eylül","Ekim","Kasım","Aralık")&amp;" "&amp;YEAR($N87)&amp;" aylık muhasebe hizmet ücreti",RIGHT("0"&amp;DAY($N87),2)&amp;"."&amp;RIGHT("0"&amp;MONTH($N87),2)&amp;"."&amp;YEAR($N87)&amp;" haftalık muhasebe hizmet ücreti"))</f>
        <v/>
      </c>
      <c r="P87" s="3">
        <f>IF($N87="","","TAHAKKUK")</f>
        <v/>
      </c>
      <c r="Q87" s="3" t="n"/>
      <c r="R87" s="3">
        <f>IF($N87="",0,$X87)</f>
        <v/>
      </c>
      <c r="S87" s="3" t="n">
        <v>0</v>
      </c>
      <c r="T87" s="3">
        <f>IF($N87="",10000000000,$N87*100000+$M87)</f>
        <v/>
      </c>
      <c r="U87" s="3">
        <f>$AB$4</f>
        <v/>
      </c>
      <c r="V87" s="3" t="n">
        <v>75</v>
      </c>
      <c r="W87" s="3">
        <f>IF($U87=0,"",IF(INDEX(UCRETLER!$D$7:$D$406,$U87)="","",IF(INDEX(UCRETLER!$F$7:$F$406,$U87)="Aylık",EOMONTH(INDEX(UCRETLER!$D$7:$D$406,$U87),$V87-1),INDEX(UCRETLER!$D$7:$D$406,$U87)+MOD(SISTEM!$F$8-WEEKDAY(INDEX(UCRETLER!$D$7:$D$406,$U87),2),7)+7*($V87-1))))</f>
        <v/>
      </c>
      <c r="X87" s="3">
        <f>IF($U87=0,0,INDEX(UCRETLER!$G$7:$G$406,$U87))</f>
        <v/>
      </c>
      <c r="Y87" s="3">
        <f>IFERROR(SMALL($T$12:$T$432,ROW()-11),"")</f>
        <v/>
      </c>
      <c r="Z87" s="3">
        <f>IFERROR(MATCH($Y87,$T$12:$T$432,0),"")</f>
        <v/>
      </c>
      <c r="AA87" s="3" t="n"/>
      <c r="AB87" s="3" t="n"/>
      <c r="AC87" s="3" t="n"/>
      <c r="AD87" s="3" t="n"/>
    </row>
    <row r="88">
      <c r="A88" s="6" t="n"/>
      <c r="B88" s="153">
        <f>IF($C88="","",ROW()-11)</f>
        <v/>
      </c>
      <c r="C88" s="240">
        <f>IF($Z88="","",IF(INDEX($N$12:$N$432,$Z88)="","",INDEX($N$12:$N$432,$Z88)))</f>
        <v/>
      </c>
      <c r="D88" s="29">
        <f>IF($C88="","",INDEX($O$12:$O$432,$Z88))</f>
        <v/>
      </c>
      <c r="E88" s="153">
        <f>IF($C88="","",INDEX($P$12:$P$432,$Z88))</f>
        <v/>
      </c>
      <c r="F88" s="241">
        <f>IF($C88="","",INDEX($R$12:$R$432,$Z88))</f>
        <v/>
      </c>
      <c r="G88" s="241">
        <f>IF($C88="","",INDEX($S$12:$S$432,$Z88))</f>
        <v/>
      </c>
      <c r="H88" s="241">
        <f>IF($C88="","",N($H87)+$F88-$G88)</f>
        <v/>
      </c>
      <c r="I88" s="6" t="n"/>
      <c r="J88" s="6" t="n"/>
      <c r="K88" s="3" t="n"/>
      <c r="L88" s="3" t="n"/>
      <c r="M88" s="3" t="n">
        <v>77</v>
      </c>
      <c r="N88" s="3">
        <f>IF(OR($U88=0,$W88="",$X88&lt;=0),"",IF($W88&gt;TODAY(),"",IF(AND(INDEX(UCRETLER!$E$7:$E$406,$U88)&lt;&gt;"",$W88&gt;INDEX(UCRETLER!$E$7:$E$406,$U88)),"",$W88)))</f>
        <v/>
      </c>
      <c r="O88" s="3">
        <f>IF($N88="","",IF(INDEX(UCRETLER!$F$7:$F$406,$U88)="Aylık",CHOOSE(MONTH($N88),"Ocak","Şubat","Mart","Nisan","Mayıs","Haziran","Temmuz","Ağustos","Eylül","Ekim","Kasım","Aralık")&amp;" "&amp;YEAR($N88)&amp;" aylık muhasebe hizmet ücreti",RIGHT("0"&amp;DAY($N88),2)&amp;"."&amp;RIGHT("0"&amp;MONTH($N88),2)&amp;"."&amp;YEAR($N88)&amp;" haftalık muhasebe hizmet ücreti"))</f>
        <v/>
      </c>
      <c r="P88" s="3">
        <f>IF($N88="","","TAHAKKUK")</f>
        <v/>
      </c>
      <c r="Q88" s="3" t="n"/>
      <c r="R88" s="3">
        <f>IF($N88="",0,$X88)</f>
        <v/>
      </c>
      <c r="S88" s="3" t="n">
        <v>0</v>
      </c>
      <c r="T88" s="3">
        <f>IF($N88="",10000000000,$N88*100000+$M88)</f>
        <v/>
      </c>
      <c r="U88" s="3">
        <f>$AB$4</f>
        <v/>
      </c>
      <c r="V88" s="3" t="n">
        <v>76</v>
      </c>
      <c r="W88" s="3">
        <f>IF($U88=0,"",IF(INDEX(UCRETLER!$D$7:$D$406,$U88)="","",IF(INDEX(UCRETLER!$F$7:$F$406,$U88)="Aylık",EOMONTH(INDEX(UCRETLER!$D$7:$D$406,$U88),$V88-1),INDEX(UCRETLER!$D$7:$D$406,$U88)+MOD(SISTEM!$F$8-WEEKDAY(INDEX(UCRETLER!$D$7:$D$406,$U88),2),7)+7*($V88-1))))</f>
        <v/>
      </c>
      <c r="X88" s="3">
        <f>IF($U88=0,0,INDEX(UCRETLER!$G$7:$G$406,$U88))</f>
        <v/>
      </c>
      <c r="Y88" s="3">
        <f>IFERROR(SMALL($T$12:$T$432,ROW()-11),"")</f>
        <v/>
      </c>
      <c r="Z88" s="3">
        <f>IFERROR(MATCH($Y88,$T$12:$T$432,0),"")</f>
        <v/>
      </c>
      <c r="AA88" s="3" t="n"/>
      <c r="AB88" s="3" t="n"/>
      <c r="AC88" s="3" t="n"/>
      <c r="AD88" s="3" t="n"/>
    </row>
    <row r="89">
      <c r="A89" s="6" t="n"/>
      <c r="B89" s="153">
        <f>IF($C89="","",ROW()-11)</f>
        <v/>
      </c>
      <c r="C89" s="240">
        <f>IF($Z89="","",IF(INDEX($N$12:$N$432,$Z89)="","",INDEX($N$12:$N$432,$Z89)))</f>
        <v/>
      </c>
      <c r="D89" s="29">
        <f>IF($C89="","",INDEX($O$12:$O$432,$Z89))</f>
        <v/>
      </c>
      <c r="E89" s="153">
        <f>IF($C89="","",INDEX($P$12:$P$432,$Z89))</f>
        <v/>
      </c>
      <c r="F89" s="241">
        <f>IF($C89="","",INDEX($R$12:$R$432,$Z89))</f>
        <v/>
      </c>
      <c r="G89" s="241">
        <f>IF($C89="","",INDEX($S$12:$S$432,$Z89))</f>
        <v/>
      </c>
      <c r="H89" s="241">
        <f>IF($C89="","",N($H88)+$F89-$G89)</f>
        <v/>
      </c>
      <c r="I89" s="6" t="n"/>
      <c r="J89" s="6" t="n"/>
      <c r="K89" s="3" t="n"/>
      <c r="L89" s="3" t="n"/>
      <c r="M89" s="3" t="n">
        <v>78</v>
      </c>
      <c r="N89" s="3">
        <f>IF(OR($U89=0,$W89="",$X89&lt;=0),"",IF($W89&gt;TODAY(),"",IF(AND(INDEX(UCRETLER!$E$7:$E$406,$U89)&lt;&gt;"",$W89&gt;INDEX(UCRETLER!$E$7:$E$406,$U89)),"",$W89)))</f>
        <v/>
      </c>
      <c r="O89" s="3">
        <f>IF($N89="","",IF(INDEX(UCRETLER!$F$7:$F$406,$U89)="Aylık",CHOOSE(MONTH($N89),"Ocak","Şubat","Mart","Nisan","Mayıs","Haziran","Temmuz","Ağustos","Eylül","Ekim","Kasım","Aralık")&amp;" "&amp;YEAR($N89)&amp;" aylık muhasebe hizmet ücreti",RIGHT("0"&amp;DAY($N89),2)&amp;"."&amp;RIGHT("0"&amp;MONTH($N89),2)&amp;"."&amp;YEAR($N89)&amp;" haftalık muhasebe hizmet ücreti"))</f>
        <v/>
      </c>
      <c r="P89" s="3">
        <f>IF($N89="","","TAHAKKUK")</f>
        <v/>
      </c>
      <c r="Q89" s="3" t="n"/>
      <c r="R89" s="3">
        <f>IF($N89="",0,$X89)</f>
        <v/>
      </c>
      <c r="S89" s="3" t="n">
        <v>0</v>
      </c>
      <c r="T89" s="3">
        <f>IF($N89="",10000000000,$N89*100000+$M89)</f>
        <v/>
      </c>
      <c r="U89" s="3">
        <f>$AB$4</f>
        <v/>
      </c>
      <c r="V89" s="3" t="n">
        <v>77</v>
      </c>
      <c r="W89" s="3">
        <f>IF($U89=0,"",IF(INDEX(UCRETLER!$D$7:$D$406,$U89)="","",IF(INDEX(UCRETLER!$F$7:$F$406,$U89)="Aylık",EOMONTH(INDEX(UCRETLER!$D$7:$D$406,$U89),$V89-1),INDEX(UCRETLER!$D$7:$D$406,$U89)+MOD(SISTEM!$F$8-WEEKDAY(INDEX(UCRETLER!$D$7:$D$406,$U89),2),7)+7*($V89-1))))</f>
        <v/>
      </c>
      <c r="X89" s="3">
        <f>IF($U89=0,0,INDEX(UCRETLER!$G$7:$G$406,$U89))</f>
        <v/>
      </c>
      <c r="Y89" s="3">
        <f>IFERROR(SMALL($T$12:$T$432,ROW()-11),"")</f>
        <v/>
      </c>
      <c r="Z89" s="3">
        <f>IFERROR(MATCH($Y89,$T$12:$T$432,0),"")</f>
        <v/>
      </c>
      <c r="AA89" s="3" t="n"/>
      <c r="AB89" s="3" t="n"/>
      <c r="AC89" s="3" t="n"/>
      <c r="AD89" s="3" t="n"/>
    </row>
    <row r="90">
      <c r="A90" s="6" t="n"/>
      <c r="B90" s="153">
        <f>IF($C90="","",ROW()-11)</f>
        <v/>
      </c>
      <c r="C90" s="240">
        <f>IF($Z90="","",IF(INDEX($N$12:$N$432,$Z90)="","",INDEX($N$12:$N$432,$Z90)))</f>
        <v/>
      </c>
      <c r="D90" s="29">
        <f>IF($C90="","",INDEX($O$12:$O$432,$Z90))</f>
        <v/>
      </c>
      <c r="E90" s="153">
        <f>IF($C90="","",INDEX($P$12:$P$432,$Z90))</f>
        <v/>
      </c>
      <c r="F90" s="241">
        <f>IF($C90="","",INDEX($R$12:$R$432,$Z90))</f>
        <v/>
      </c>
      <c r="G90" s="241">
        <f>IF($C90="","",INDEX($S$12:$S$432,$Z90))</f>
        <v/>
      </c>
      <c r="H90" s="241">
        <f>IF($C90="","",N($H89)+$F90-$G90)</f>
        <v/>
      </c>
      <c r="I90" s="6" t="n"/>
      <c r="J90" s="6" t="n"/>
      <c r="K90" s="3" t="n"/>
      <c r="L90" s="3" t="n"/>
      <c r="M90" s="3" t="n">
        <v>79</v>
      </c>
      <c r="N90" s="3">
        <f>IF(OR($U90=0,$W90="",$X90&lt;=0),"",IF($W90&gt;TODAY(),"",IF(AND(INDEX(UCRETLER!$E$7:$E$406,$U90)&lt;&gt;"",$W90&gt;INDEX(UCRETLER!$E$7:$E$406,$U90)),"",$W90)))</f>
        <v/>
      </c>
      <c r="O90" s="3">
        <f>IF($N90="","",IF(INDEX(UCRETLER!$F$7:$F$406,$U90)="Aylık",CHOOSE(MONTH($N90),"Ocak","Şubat","Mart","Nisan","Mayıs","Haziran","Temmuz","Ağustos","Eylül","Ekim","Kasım","Aralık")&amp;" "&amp;YEAR($N90)&amp;" aylık muhasebe hizmet ücreti",RIGHT("0"&amp;DAY($N90),2)&amp;"."&amp;RIGHT("0"&amp;MONTH($N90),2)&amp;"."&amp;YEAR($N90)&amp;" haftalık muhasebe hizmet ücreti"))</f>
        <v/>
      </c>
      <c r="P90" s="3">
        <f>IF($N90="","","TAHAKKUK")</f>
        <v/>
      </c>
      <c r="Q90" s="3" t="n"/>
      <c r="R90" s="3">
        <f>IF($N90="",0,$X90)</f>
        <v/>
      </c>
      <c r="S90" s="3" t="n">
        <v>0</v>
      </c>
      <c r="T90" s="3">
        <f>IF($N90="",10000000000,$N90*100000+$M90)</f>
        <v/>
      </c>
      <c r="U90" s="3">
        <f>$AB$4</f>
        <v/>
      </c>
      <c r="V90" s="3" t="n">
        <v>78</v>
      </c>
      <c r="W90" s="3">
        <f>IF($U90=0,"",IF(INDEX(UCRETLER!$D$7:$D$406,$U90)="","",IF(INDEX(UCRETLER!$F$7:$F$406,$U90)="Aylık",EOMONTH(INDEX(UCRETLER!$D$7:$D$406,$U90),$V90-1),INDEX(UCRETLER!$D$7:$D$406,$U90)+MOD(SISTEM!$F$8-WEEKDAY(INDEX(UCRETLER!$D$7:$D$406,$U90),2),7)+7*($V90-1))))</f>
        <v/>
      </c>
      <c r="X90" s="3">
        <f>IF($U90=0,0,INDEX(UCRETLER!$G$7:$G$406,$U90))</f>
        <v/>
      </c>
      <c r="Y90" s="3">
        <f>IFERROR(SMALL($T$12:$T$432,ROW()-11),"")</f>
        <v/>
      </c>
      <c r="Z90" s="3">
        <f>IFERROR(MATCH($Y90,$T$12:$T$432,0),"")</f>
        <v/>
      </c>
      <c r="AA90" s="3" t="n"/>
      <c r="AB90" s="3" t="n"/>
      <c r="AC90" s="3" t="n"/>
      <c r="AD90" s="3" t="n"/>
    </row>
    <row r="91">
      <c r="A91" s="6" t="n"/>
      <c r="B91" s="153">
        <f>IF($C91="","",ROW()-11)</f>
        <v/>
      </c>
      <c r="C91" s="240">
        <f>IF($Z91="","",IF(INDEX($N$12:$N$432,$Z91)="","",INDEX($N$12:$N$432,$Z91)))</f>
        <v/>
      </c>
      <c r="D91" s="29">
        <f>IF($C91="","",INDEX($O$12:$O$432,$Z91))</f>
        <v/>
      </c>
      <c r="E91" s="153">
        <f>IF($C91="","",INDEX($P$12:$P$432,$Z91))</f>
        <v/>
      </c>
      <c r="F91" s="241">
        <f>IF($C91="","",INDEX($R$12:$R$432,$Z91))</f>
        <v/>
      </c>
      <c r="G91" s="241">
        <f>IF($C91="","",INDEX($S$12:$S$432,$Z91))</f>
        <v/>
      </c>
      <c r="H91" s="241">
        <f>IF($C91="","",N($H90)+$F91-$G91)</f>
        <v/>
      </c>
      <c r="I91" s="6" t="n"/>
      <c r="J91" s="6" t="n"/>
      <c r="K91" s="3" t="n"/>
      <c r="L91" s="3" t="n"/>
      <c r="M91" s="3" t="n">
        <v>80</v>
      </c>
      <c r="N91" s="3">
        <f>IF(OR($U91=0,$W91="",$X91&lt;=0),"",IF($W91&gt;TODAY(),"",IF(AND(INDEX(UCRETLER!$E$7:$E$406,$U91)&lt;&gt;"",$W91&gt;INDEX(UCRETLER!$E$7:$E$406,$U91)),"",$W91)))</f>
        <v/>
      </c>
      <c r="O91" s="3">
        <f>IF($N91="","",IF(INDEX(UCRETLER!$F$7:$F$406,$U91)="Aylık",CHOOSE(MONTH($N91),"Ocak","Şubat","Mart","Nisan","Mayıs","Haziran","Temmuz","Ağustos","Eylül","Ekim","Kasım","Aralık")&amp;" "&amp;YEAR($N91)&amp;" aylık muhasebe hizmet ücreti",RIGHT("0"&amp;DAY($N91),2)&amp;"."&amp;RIGHT("0"&amp;MONTH($N91),2)&amp;"."&amp;YEAR($N91)&amp;" haftalık muhasebe hizmet ücreti"))</f>
        <v/>
      </c>
      <c r="P91" s="3">
        <f>IF($N91="","","TAHAKKUK")</f>
        <v/>
      </c>
      <c r="Q91" s="3" t="n"/>
      <c r="R91" s="3">
        <f>IF($N91="",0,$X91)</f>
        <v/>
      </c>
      <c r="S91" s="3" t="n">
        <v>0</v>
      </c>
      <c r="T91" s="3">
        <f>IF($N91="",10000000000,$N91*100000+$M91)</f>
        <v/>
      </c>
      <c r="U91" s="3">
        <f>$AB$4</f>
        <v/>
      </c>
      <c r="V91" s="3" t="n">
        <v>79</v>
      </c>
      <c r="W91" s="3">
        <f>IF($U91=0,"",IF(INDEX(UCRETLER!$D$7:$D$406,$U91)="","",IF(INDEX(UCRETLER!$F$7:$F$406,$U91)="Aylık",EOMONTH(INDEX(UCRETLER!$D$7:$D$406,$U91),$V91-1),INDEX(UCRETLER!$D$7:$D$406,$U91)+MOD(SISTEM!$F$8-WEEKDAY(INDEX(UCRETLER!$D$7:$D$406,$U91),2),7)+7*($V91-1))))</f>
        <v/>
      </c>
      <c r="X91" s="3">
        <f>IF($U91=0,0,INDEX(UCRETLER!$G$7:$G$406,$U91))</f>
        <v/>
      </c>
      <c r="Y91" s="3">
        <f>IFERROR(SMALL($T$12:$T$432,ROW()-11),"")</f>
        <v/>
      </c>
      <c r="Z91" s="3">
        <f>IFERROR(MATCH($Y91,$T$12:$T$432,0),"")</f>
        <v/>
      </c>
      <c r="AA91" s="3" t="n"/>
      <c r="AB91" s="3" t="n"/>
      <c r="AC91" s="3" t="n"/>
      <c r="AD91" s="3" t="n"/>
    </row>
    <row r="92">
      <c r="A92" s="6" t="n"/>
      <c r="B92" s="153">
        <f>IF($C92="","",ROW()-11)</f>
        <v/>
      </c>
      <c r="C92" s="240">
        <f>IF($Z92="","",IF(INDEX($N$12:$N$432,$Z92)="","",INDEX($N$12:$N$432,$Z92)))</f>
        <v/>
      </c>
      <c r="D92" s="29">
        <f>IF($C92="","",INDEX($O$12:$O$432,$Z92))</f>
        <v/>
      </c>
      <c r="E92" s="153">
        <f>IF($C92="","",INDEX($P$12:$P$432,$Z92))</f>
        <v/>
      </c>
      <c r="F92" s="241">
        <f>IF($C92="","",INDEX($R$12:$R$432,$Z92))</f>
        <v/>
      </c>
      <c r="G92" s="241">
        <f>IF($C92="","",INDEX($S$12:$S$432,$Z92))</f>
        <v/>
      </c>
      <c r="H92" s="241">
        <f>IF($C92="","",N($H91)+$F92-$G92)</f>
        <v/>
      </c>
      <c r="I92" s="6" t="n"/>
      <c r="J92" s="6" t="n"/>
      <c r="K92" s="3" t="n"/>
      <c r="L92" s="3" t="n"/>
      <c r="M92" s="3" t="n">
        <v>81</v>
      </c>
      <c r="N92" s="3">
        <f>IF(OR($U92=0,$W92="",$X92&lt;=0),"",IF($W92&gt;TODAY(),"",IF(AND(INDEX(UCRETLER!$E$7:$E$406,$U92)&lt;&gt;"",$W92&gt;INDEX(UCRETLER!$E$7:$E$406,$U92)),"",$W92)))</f>
        <v/>
      </c>
      <c r="O92" s="3">
        <f>IF($N92="","",IF(INDEX(UCRETLER!$F$7:$F$406,$U92)="Aylık",CHOOSE(MONTH($N92),"Ocak","Şubat","Mart","Nisan","Mayıs","Haziran","Temmuz","Ağustos","Eylül","Ekim","Kasım","Aralık")&amp;" "&amp;YEAR($N92)&amp;" aylık muhasebe hizmet ücreti",RIGHT("0"&amp;DAY($N92),2)&amp;"."&amp;RIGHT("0"&amp;MONTH($N92),2)&amp;"."&amp;YEAR($N92)&amp;" haftalık muhasebe hizmet ücreti"))</f>
        <v/>
      </c>
      <c r="P92" s="3">
        <f>IF($N92="","","TAHAKKUK")</f>
        <v/>
      </c>
      <c r="Q92" s="3" t="n"/>
      <c r="R92" s="3">
        <f>IF($N92="",0,$X92)</f>
        <v/>
      </c>
      <c r="S92" s="3" t="n">
        <v>0</v>
      </c>
      <c r="T92" s="3">
        <f>IF($N92="",10000000000,$N92*100000+$M92)</f>
        <v/>
      </c>
      <c r="U92" s="3">
        <f>$AB$4</f>
        <v/>
      </c>
      <c r="V92" s="3" t="n">
        <v>80</v>
      </c>
      <c r="W92" s="3">
        <f>IF($U92=0,"",IF(INDEX(UCRETLER!$D$7:$D$406,$U92)="","",IF(INDEX(UCRETLER!$F$7:$F$406,$U92)="Aylık",EOMONTH(INDEX(UCRETLER!$D$7:$D$406,$U92),$V92-1),INDEX(UCRETLER!$D$7:$D$406,$U92)+MOD(SISTEM!$F$8-WEEKDAY(INDEX(UCRETLER!$D$7:$D$406,$U92),2),7)+7*($V92-1))))</f>
        <v/>
      </c>
      <c r="X92" s="3">
        <f>IF($U92=0,0,INDEX(UCRETLER!$G$7:$G$406,$U92))</f>
        <v/>
      </c>
      <c r="Y92" s="3">
        <f>IFERROR(SMALL($T$12:$T$432,ROW()-11),"")</f>
        <v/>
      </c>
      <c r="Z92" s="3">
        <f>IFERROR(MATCH($Y92,$T$12:$T$432,0),"")</f>
        <v/>
      </c>
      <c r="AA92" s="3" t="n"/>
      <c r="AB92" s="3" t="n"/>
      <c r="AC92" s="3" t="n"/>
      <c r="AD92" s="3" t="n"/>
    </row>
    <row r="93">
      <c r="A93" s="6" t="n"/>
      <c r="B93" s="153">
        <f>IF($C93="","",ROW()-11)</f>
        <v/>
      </c>
      <c r="C93" s="240">
        <f>IF($Z93="","",IF(INDEX($N$12:$N$432,$Z93)="","",INDEX($N$12:$N$432,$Z93)))</f>
        <v/>
      </c>
      <c r="D93" s="29">
        <f>IF($C93="","",INDEX($O$12:$O$432,$Z93))</f>
        <v/>
      </c>
      <c r="E93" s="153">
        <f>IF($C93="","",INDEX($P$12:$P$432,$Z93))</f>
        <v/>
      </c>
      <c r="F93" s="241">
        <f>IF($C93="","",INDEX($R$12:$R$432,$Z93))</f>
        <v/>
      </c>
      <c r="G93" s="241">
        <f>IF($C93="","",INDEX($S$12:$S$432,$Z93))</f>
        <v/>
      </c>
      <c r="H93" s="241">
        <f>IF($C93="","",N($H92)+$F93-$G93)</f>
        <v/>
      </c>
      <c r="I93" s="6" t="n"/>
      <c r="J93" s="6" t="n"/>
      <c r="K93" s="3" t="n"/>
      <c r="L93" s="3" t="n"/>
      <c r="M93" s="3" t="n">
        <v>82</v>
      </c>
      <c r="N93" s="3">
        <f>IF(OR($U93=0,$W93="",$X93&lt;=0),"",IF($W93&gt;TODAY(),"",IF(AND(INDEX(UCRETLER!$E$7:$E$406,$U93)&lt;&gt;"",$W93&gt;INDEX(UCRETLER!$E$7:$E$406,$U93)),"",$W93)))</f>
        <v/>
      </c>
      <c r="O93" s="3">
        <f>IF($N93="","",IF(INDEX(UCRETLER!$F$7:$F$406,$U93)="Aylık",CHOOSE(MONTH($N93),"Ocak","Şubat","Mart","Nisan","Mayıs","Haziran","Temmuz","Ağustos","Eylül","Ekim","Kasım","Aralık")&amp;" "&amp;YEAR($N93)&amp;" aylık muhasebe hizmet ücreti",RIGHT("0"&amp;DAY($N93),2)&amp;"."&amp;RIGHT("0"&amp;MONTH($N93),2)&amp;"."&amp;YEAR($N93)&amp;" haftalık muhasebe hizmet ücreti"))</f>
        <v/>
      </c>
      <c r="P93" s="3">
        <f>IF($N93="","","TAHAKKUK")</f>
        <v/>
      </c>
      <c r="Q93" s="3" t="n"/>
      <c r="R93" s="3">
        <f>IF($N93="",0,$X93)</f>
        <v/>
      </c>
      <c r="S93" s="3" t="n">
        <v>0</v>
      </c>
      <c r="T93" s="3">
        <f>IF($N93="",10000000000,$N93*100000+$M93)</f>
        <v/>
      </c>
      <c r="U93" s="3">
        <f>$AB$5</f>
        <v/>
      </c>
      <c r="V93" s="3" t="n">
        <v>1</v>
      </c>
      <c r="W93" s="3">
        <f>IF($U93=0,"",IF(INDEX(UCRETLER!$D$7:$D$406,$U93)="","",IF(INDEX(UCRETLER!$F$7:$F$406,$U93)="Aylık",EOMONTH(INDEX(UCRETLER!$D$7:$D$406,$U93),$V93-1),INDEX(UCRETLER!$D$7:$D$406,$U93)+MOD(SISTEM!$F$8-WEEKDAY(INDEX(UCRETLER!$D$7:$D$406,$U93),2),7)+7*($V93-1))))</f>
        <v/>
      </c>
      <c r="X93" s="3">
        <f>IF($U93=0,0,INDEX(UCRETLER!$G$7:$G$406,$U93))</f>
        <v/>
      </c>
      <c r="Y93" s="3">
        <f>IFERROR(SMALL($T$12:$T$432,ROW()-11),"")</f>
        <v/>
      </c>
      <c r="Z93" s="3">
        <f>IFERROR(MATCH($Y93,$T$12:$T$432,0),"")</f>
        <v/>
      </c>
      <c r="AA93" s="3" t="n"/>
      <c r="AB93" s="3" t="n"/>
      <c r="AC93" s="3" t="n"/>
      <c r="AD93" s="3" t="n"/>
    </row>
    <row r="94">
      <c r="A94" s="6" t="n"/>
      <c r="B94" s="153">
        <f>IF($C94="","",ROW()-11)</f>
        <v/>
      </c>
      <c r="C94" s="240">
        <f>IF($Z94="","",IF(INDEX($N$12:$N$432,$Z94)="","",INDEX($N$12:$N$432,$Z94)))</f>
        <v/>
      </c>
      <c r="D94" s="29">
        <f>IF($C94="","",INDEX($O$12:$O$432,$Z94))</f>
        <v/>
      </c>
      <c r="E94" s="153">
        <f>IF($C94="","",INDEX($P$12:$P$432,$Z94))</f>
        <v/>
      </c>
      <c r="F94" s="241">
        <f>IF($C94="","",INDEX($R$12:$R$432,$Z94))</f>
        <v/>
      </c>
      <c r="G94" s="241">
        <f>IF($C94="","",INDEX($S$12:$S$432,$Z94))</f>
        <v/>
      </c>
      <c r="H94" s="241">
        <f>IF($C94="","",N($H93)+$F94-$G94)</f>
        <v/>
      </c>
      <c r="I94" s="6" t="n"/>
      <c r="J94" s="6" t="n"/>
      <c r="K94" s="3" t="n"/>
      <c r="L94" s="3" t="n"/>
      <c r="M94" s="3" t="n">
        <v>83</v>
      </c>
      <c r="N94" s="3">
        <f>IF(OR($U94=0,$W94="",$X94&lt;=0),"",IF($W94&gt;TODAY(),"",IF(AND(INDEX(UCRETLER!$E$7:$E$406,$U94)&lt;&gt;"",$W94&gt;INDEX(UCRETLER!$E$7:$E$406,$U94)),"",$W94)))</f>
        <v/>
      </c>
      <c r="O94" s="3">
        <f>IF($N94="","",IF(INDEX(UCRETLER!$F$7:$F$406,$U94)="Aylık",CHOOSE(MONTH($N94),"Ocak","Şubat","Mart","Nisan","Mayıs","Haziran","Temmuz","Ağustos","Eylül","Ekim","Kasım","Aralık")&amp;" "&amp;YEAR($N94)&amp;" aylık muhasebe hizmet ücreti",RIGHT("0"&amp;DAY($N94),2)&amp;"."&amp;RIGHT("0"&amp;MONTH($N94),2)&amp;"."&amp;YEAR($N94)&amp;" haftalık muhasebe hizmet ücreti"))</f>
        <v/>
      </c>
      <c r="P94" s="3">
        <f>IF($N94="","","TAHAKKUK")</f>
        <v/>
      </c>
      <c r="Q94" s="3" t="n"/>
      <c r="R94" s="3">
        <f>IF($N94="",0,$X94)</f>
        <v/>
      </c>
      <c r="S94" s="3" t="n">
        <v>0</v>
      </c>
      <c r="T94" s="3">
        <f>IF($N94="",10000000000,$N94*100000+$M94)</f>
        <v/>
      </c>
      <c r="U94" s="3">
        <f>$AB$5</f>
        <v/>
      </c>
      <c r="V94" s="3" t="n">
        <v>2</v>
      </c>
      <c r="W94" s="3">
        <f>IF($U94=0,"",IF(INDEX(UCRETLER!$D$7:$D$406,$U94)="","",IF(INDEX(UCRETLER!$F$7:$F$406,$U94)="Aylık",EOMONTH(INDEX(UCRETLER!$D$7:$D$406,$U94),$V94-1),INDEX(UCRETLER!$D$7:$D$406,$U94)+MOD(SISTEM!$F$8-WEEKDAY(INDEX(UCRETLER!$D$7:$D$406,$U94),2),7)+7*($V94-1))))</f>
        <v/>
      </c>
      <c r="X94" s="3">
        <f>IF($U94=0,0,INDEX(UCRETLER!$G$7:$G$406,$U94))</f>
        <v/>
      </c>
      <c r="Y94" s="3">
        <f>IFERROR(SMALL($T$12:$T$432,ROW()-11),"")</f>
        <v/>
      </c>
      <c r="Z94" s="3">
        <f>IFERROR(MATCH($Y94,$T$12:$T$432,0),"")</f>
        <v/>
      </c>
      <c r="AA94" s="3" t="n"/>
      <c r="AB94" s="3" t="n"/>
      <c r="AC94" s="3" t="n"/>
      <c r="AD94" s="3" t="n"/>
    </row>
    <row r="95">
      <c r="A95" s="6" t="n"/>
      <c r="B95" s="153">
        <f>IF($C95="","",ROW()-11)</f>
        <v/>
      </c>
      <c r="C95" s="240">
        <f>IF($Z95="","",IF(INDEX($N$12:$N$432,$Z95)="","",INDEX($N$12:$N$432,$Z95)))</f>
        <v/>
      </c>
      <c r="D95" s="29">
        <f>IF($C95="","",INDEX($O$12:$O$432,$Z95))</f>
        <v/>
      </c>
      <c r="E95" s="153">
        <f>IF($C95="","",INDEX($P$12:$P$432,$Z95))</f>
        <v/>
      </c>
      <c r="F95" s="241">
        <f>IF($C95="","",INDEX($R$12:$R$432,$Z95))</f>
        <v/>
      </c>
      <c r="G95" s="241">
        <f>IF($C95="","",INDEX($S$12:$S$432,$Z95))</f>
        <v/>
      </c>
      <c r="H95" s="241">
        <f>IF($C95="","",N($H94)+$F95-$G95)</f>
        <v/>
      </c>
      <c r="I95" s="6" t="n"/>
      <c r="J95" s="6" t="n"/>
      <c r="K95" s="3" t="n"/>
      <c r="L95" s="3" t="n"/>
      <c r="M95" s="3" t="n">
        <v>84</v>
      </c>
      <c r="N95" s="3">
        <f>IF(OR($U95=0,$W95="",$X95&lt;=0),"",IF($W95&gt;TODAY(),"",IF(AND(INDEX(UCRETLER!$E$7:$E$406,$U95)&lt;&gt;"",$W95&gt;INDEX(UCRETLER!$E$7:$E$406,$U95)),"",$W95)))</f>
        <v/>
      </c>
      <c r="O95" s="3">
        <f>IF($N95="","",IF(INDEX(UCRETLER!$F$7:$F$406,$U95)="Aylık",CHOOSE(MONTH($N95),"Ocak","Şubat","Mart","Nisan","Mayıs","Haziran","Temmuz","Ağustos","Eylül","Ekim","Kasım","Aralık")&amp;" "&amp;YEAR($N95)&amp;" aylık muhasebe hizmet ücreti",RIGHT("0"&amp;DAY($N95),2)&amp;"."&amp;RIGHT("0"&amp;MONTH($N95),2)&amp;"."&amp;YEAR($N95)&amp;" haftalık muhasebe hizmet ücreti"))</f>
        <v/>
      </c>
      <c r="P95" s="3">
        <f>IF($N95="","","TAHAKKUK")</f>
        <v/>
      </c>
      <c r="Q95" s="3" t="n"/>
      <c r="R95" s="3">
        <f>IF($N95="",0,$X95)</f>
        <v/>
      </c>
      <c r="S95" s="3" t="n">
        <v>0</v>
      </c>
      <c r="T95" s="3">
        <f>IF($N95="",10000000000,$N95*100000+$M95)</f>
        <v/>
      </c>
      <c r="U95" s="3">
        <f>$AB$5</f>
        <v/>
      </c>
      <c r="V95" s="3" t="n">
        <v>3</v>
      </c>
      <c r="W95" s="3">
        <f>IF($U95=0,"",IF(INDEX(UCRETLER!$D$7:$D$406,$U95)="","",IF(INDEX(UCRETLER!$F$7:$F$406,$U95)="Aylık",EOMONTH(INDEX(UCRETLER!$D$7:$D$406,$U95),$V95-1),INDEX(UCRETLER!$D$7:$D$406,$U95)+MOD(SISTEM!$F$8-WEEKDAY(INDEX(UCRETLER!$D$7:$D$406,$U95),2),7)+7*($V95-1))))</f>
        <v/>
      </c>
      <c r="X95" s="3">
        <f>IF($U95=0,0,INDEX(UCRETLER!$G$7:$G$406,$U95))</f>
        <v/>
      </c>
      <c r="Y95" s="3">
        <f>IFERROR(SMALL($T$12:$T$432,ROW()-11),"")</f>
        <v/>
      </c>
      <c r="Z95" s="3">
        <f>IFERROR(MATCH($Y95,$T$12:$T$432,0),"")</f>
        <v/>
      </c>
      <c r="AA95" s="3" t="n"/>
      <c r="AB95" s="3" t="n"/>
      <c r="AC95" s="3" t="n"/>
      <c r="AD95" s="3" t="n"/>
    </row>
    <row r="96">
      <c r="A96" s="6" t="n"/>
      <c r="B96" s="153">
        <f>IF($C96="","",ROW()-11)</f>
        <v/>
      </c>
      <c r="C96" s="240">
        <f>IF($Z96="","",IF(INDEX($N$12:$N$432,$Z96)="","",INDEX($N$12:$N$432,$Z96)))</f>
        <v/>
      </c>
      <c r="D96" s="29">
        <f>IF($C96="","",INDEX($O$12:$O$432,$Z96))</f>
        <v/>
      </c>
      <c r="E96" s="153">
        <f>IF($C96="","",INDEX($P$12:$P$432,$Z96))</f>
        <v/>
      </c>
      <c r="F96" s="241">
        <f>IF($C96="","",INDEX($R$12:$R$432,$Z96))</f>
        <v/>
      </c>
      <c r="G96" s="241">
        <f>IF($C96="","",INDEX($S$12:$S$432,$Z96))</f>
        <v/>
      </c>
      <c r="H96" s="241">
        <f>IF($C96="","",N($H95)+$F96-$G96)</f>
        <v/>
      </c>
      <c r="I96" s="6" t="n"/>
      <c r="J96" s="6" t="n"/>
      <c r="K96" s="3" t="n"/>
      <c r="L96" s="3" t="n"/>
      <c r="M96" s="3" t="n">
        <v>85</v>
      </c>
      <c r="N96" s="3">
        <f>IF(OR($U96=0,$W96="",$X96&lt;=0),"",IF($W96&gt;TODAY(),"",IF(AND(INDEX(UCRETLER!$E$7:$E$406,$U96)&lt;&gt;"",$W96&gt;INDEX(UCRETLER!$E$7:$E$406,$U96)),"",$W96)))</f>
        <v/>
      </c>
      <c r="O96" s="3">
        <f>IF($N96="","",IF(INDEX(UCRETLER!$F$7:$F$406,$U96)="Aylık",CHOOSE(MONTH($N96),"Ocak","Şubat","Mart","Nisan","Mayıs","Haziran","Temmuz","Ağustos","Eylül","Ekim","Kasım","Aralık")&amp;" "&amp;YEAR($N96)&amp;" aylık muhasebe hizmet ücreti",RIGHT("0"&amp;DAY($N96),2)&amp;"."&amp;RIGHT("0"&amp;MONTH($N96),2)&amp;"."&amp;YEAR($N96)&amp;" haftalık muhasebe hizmet ücreti"))</f>
        <v/>
      </c>
      <c r="P96" s="3">
        <f>IF($N96="","","TAHAKKUK")</f>
        <v/>
      </c>
      <c r="Q96" s="3" t="n"/>
      <c r="R96" s="3">
        <f>IF($N96="",0,$X96)</f>
        <v/>
      </c>
      <c r="S96" s="3" t="n">
        <v>0</v>
      </c>
      <c r="T96" s="3">
        <f>IF($N96="",10000000000,$N96*100000+$M96)</f>
        <v/>
      </c>
      <c r="U96" s="3">
        <f>$AB$5</f>
        <v/>
      </c>
      <c r="V96" s="3" t="n">
        <v>4</v>
      </c>
      <c r="W96" s="3">
        <f>IF($U96=0,"",IF(INDEX(UCRETLER!$D$7:$D$406,$U96)="","",IF(INDEX(UCRETLER!$F$7:$F$406,$U96)="Aylık",EOMONTH(INDEX(UCRETLER!$D$7:$D$406,$U96),$V96-1),INDEX(UCRETLER!$D$7:$D$406,$U96)+MOD(SISTEM!$F$8-WEEKDAY(INDEX(UCRETLER!$D$7:$D$406,$U96),2),7)+7*($V96-1))))</f>
        <v/>
      </c>
      <c r="X96" s="3">
        <f>IF($U96=0,0,INDEX(UCRETLER!$G$7:$G$406,$U96))</f>
        <v/>
      </c>
      <c r="Y96" s="3">
        <f>IFERROR(SMALL($T$12:$T$432,ROW()-11),"")</f>
        <v/>
      </c>
      <c r="Z96" s="3">
        <f>IFERROR(MATCH($Y96,$T$12:$T$432,0),"")</f>
        <v/>
      </c>
      <c r="AA96" s="3" t="n"/>
      <c r="AB96" s="3" t="n"/>
      <c r="AC96" s="3" t="n"/>
      <c r="AD96" s="3" t="n"/>
    </row>
    <row r="97">
      <c r="A97" s="6" t="n"/>
      <c r="B97" s="153">
        <f>IF($C97="","",ROW()-11)</f>
        <v/>
      </c>
      <c r="C97" s="240">
        <f>IF($Z97="","",IF(INDEX($N$12:$N$432,$Z97)="","",INDEX($N$12:$N$432,$Z97)))</f>
        <v/>
      </c>
      <c r="D97" s="29">
        <f>IF($C97="","",INDEX($O$12:$O$432,$Z97))</f>
        <v/>
      </c>
      <c r="E97" s="153">
        <f>IF($C97="","",INDEX($P$12:$P$432,$Z97))</f>
        <v/>
      </c>
      <c r="F97" s="241">
        <f>IF($C97="","",INDEX($R$12:$R$432,$Z97))</f>
        <v/>
      </c>
      <c r="G97" s="241">
        <f>IF($C97="","",INDEX($S$12:$S$432,$Z97))</f>
        <v/>
      </c>
      <c r="H97" s="241">
        <f>IF($C97="","",N($H96)+$F97-$G97)</f>
        <v/>
      </c>
      <c r="I97" s="6" t="n"/>
      <c r="J97" s="6" t="n"/>
      <c r="K97" s="3" t="n"/>
      <c r="L97" s="3" t="n"/>
      <c r="M97" s="3" t="n">
        <v>86</v>
      </c>
      <c r="N97" s="3">
        <f>IF(OR($U97=0,$W97="",$X97&lt;=0),"",IF($W97&gt;TODAY(),"",IF(AND(INDEX(UCRETLER!$E$7:$E$406,$U97)&lt;&gt;"",$W97&gt;INDEX(UCRETLER!$E$7:$E$406,$U97)),"",$W97)))</f>
        <v/>
      </c>
      <c r="O97" s="3">
        <f>IF($N97="","",IF(INDEX(UCRETLER!$F$7:$F$406,$U97)="Aylık",CHOOSE(MONTH($N97),"Ocak","Şubat","Mart","Nisan","Mayıs","Haziran","Temmuz","Ağustos","Eylül","Ekim","Kasım","Aralık")&amp;" "&amp;YEAR($N97)&amp;" aylık muhasebe hizmet ücreti",RIGHT("0"&amp;DAY($N97),2)&amp;"."&amp;RIGHT("0"&amp;MONTH($N97),2)&amp;"."&amp;YEAR($N97)&amp;" haftalık muhasebe hizmet ücreti"))</f>
        <v/>
      </c>
      <c r="P97" s="3">
        <f>IF($N97="","","TAHAKKUK")</f>
        <v/>
      </c>
      <c r="Q97" s="3" t="n"/>
      <c r="R97" s="3">
        <f>IF($N97="",0,$X97)</f>
        <v/>
      </c>
      <c r="S97" s="3" t="n">
        <v>0</v>
      </c>
      <c r="T97" s="3">
        <f>IF($N97="",10000000000,$N97*100000+$M97)</f>
        <v/>
      </c>
      <c r="U97" s="3">
        <f>$AB$5</f>
        <v/>
      </c>
      <c r="V97" s="3" t="n">
        <v>5</v>
      </c>
      <c r="W97" s="3">
        <f>IF($U97=0,"",IF(INDEX(UCRETLER!$D$7:$D$406,$U97)="","",IF(INDEX(UCRETLER!$F$7:$F$406,$U97)="Aylık",EOMONTH(INDEX(UCRETLER!$D$7:$D$406,$U97),$V97-1),INDEX(UCRETLER!$D$7:$D$406,$U97)+MOD(SISTEM!$F$8-WEEKDAY(INDEX(UCRETLER!$D$7:$D$406,$U97),2),7)+7*($V97-1))))</f>
        <v/>
      </c>
      <c r="X97" s="3">
        <f>IF($U97=0,0,INDEX(UCRETLER!$G$7:$G$406,$U97))</f>
        <v/>
      </c>
      <c r="Y97" s="3">
        <f>IFERROR(SMALL($T$12:$T$432,ROW()-11),"")</f>
        <v/>
      </c>
      <c r="Z97" s="3">
        <f>IFERROR(MATCH($Y97,$T$12:$T$432,0),"")</f>
        <v/>
      </c>
      <c r="AA97" s="3" t="n"/>
      <c r="AB97" s="3" t="n"/>
      <c r="AC97" s="3" t="n"/>
      <c r="AD97" s="3" t="n"/>
    </row>
    <row r="98">
      <c r="A98" s="6" t="n"/>
      <c r="B98" s="153">
        <f>IF($C98="","",ROW()-11)</f>
        <v/>
      </c>
      <c r="C98" s="240">
        <f>IF($Z98="","",IF(INDEX($N$12:$N$432,$Z98)="","",INDEX($N$12:$N$432,$Z98)))</f>
        <v/>
      </c>
      <c r="D98" s="29">
        <f>IF($C98="","",INDEX($O$12:$O$432,$Z98))</f>
        <v/>
      </c>
      <c r="E98" s="153">
        <f>IF($C98="","",INDEX($P$12:$P$432,$Z98))</f>
        <v/>
      </c>
      <c r="F98" s="241">
        <f>IF($C98="","",INDEX($R$12:$R$432,$Z98))</f>
        <v/>
      </c>
      <c r="G98" s="241">
        <f>IF($C98="","",INDEX($S$12:$S$432,$Z98))</f>
        <v/>
      </c>
      <c r="H98" s="241">
        <f>IF($C98="","",N($H97)+$F98-$G98)</f>
        <v/>
      </c>
      <c r="I98" s="6" t="n"/>
      <c r="J98" s="6" t="n"/>
      <c r="K98" s="3" t="n"/>
      <c r="L98" s="3" t="n"/>
      <c r="M98" s="3" t="n">
        <v>87</v>
      </c>
      <c r="N98" s="3">
        <f>IF(OR($U98=0,$W98="",$X98&lt;=0),"",IF($W98&gt;TODAY(),"",IF(AND(INDEX(UCRETLER!$E$7:$E$406,$U98)&lt;&gt;"",$W98&gt;INDEX(UCRETLER!$E$7:$E$406,$U98)),"",$W98)))</f>
        <v/>
      </c>
      <c r="O98" s="3">
        <f>IF($N98="","",IF(INDEX(UCRETLER!$F$7:$F$406,$U98)="Aylık",CHOOSE(MONTH($N98),"Ocak","Şubat","Mart","Nisan","Mayıs","Haziran","Temmuz","Ağustos","Eylül","Ekim","Kasım","Aralık")&amp;" "&amp;YEAR($N98)&amp;" aylık muhasebe hizmet ücreti",RIGHT("0"&amp;DAY($N98),2)&amp;"."&amp;RIGHT("0"&amp;MONTH($N98),2)&amp;"."&amp;YEAR($N98)&amp;" haftalık muhasebe hizmet ücreti"))</f>
        <v/>
      </c>
      <c r="P98" s="3">
        <f>IF($N98="","","TAHAKKUK")</f>
        <v/>
      </c>
      <c r="Q98" s="3" t="n"/>
      <c r="R98" s="3">
        <f>IF($N98="",0,$X98)</f>
        <v/>
      </c>
      <c r="S98" s="3" t="n">
        <v>0</v>
      </c>
      <c r="T98" s="3">
        <f>IF($N98="",10000000000,$N98*100000+$M98)</f>
        <v/>
      </c>
      <c r="U98" s="3">
        <f>$AB$5</f>
        <v/>
      </c>
      <c r="V98" s="3" t="n">
        <v>6</v>
      </c>
      <c r="W98" s="3">
        <f>IF($U98=0,"",IF(INDEX(UCRETLER!$D$7:$D$406,$U98)="","",IF(INDEX(UCRETLER!$F$7:$F$406,$U98)="Aylık",EOMONTH(INDEX(UCRETLER!$D$7:$D$406,$U98),$V98-1),INDEX(UCRETLER!$D$7:$D$406,$U98)+MOD(SISTEM!$F$8-WEEKDAY(INDEX(UCRETLER!$D$7:$D$406,$U98),2),7)+7*($V98-1))))</f>
        <v/>
      </c>
      <c r="X98" s="3">
        <f>IF($U98=0,0,INDEX(UCRETLER!$G$7:$G$406,$U98))</f>
        <v/>
      </c>
      <c r="Y98" s="3">
        <f>IFERROR(SMALL($T$12:$T$432,ROW()-11),"")</f>
        <v/>
      </c>
      <c r="Z98" s="3">
        <f>IFERROR(MATCH($Y98,$T$12:$T$432,0),"")</f>
        <v/>
      </c>
      <c r="AA98" s="3" t="n"/>
      <c r="AB98" s="3" t="n"/>
      <c r="AC98" s="3" t="n"/>
      <c r="AD98" s="3" t="n"/>
    </row>
    <row r="99">
      <c r="A99" s="6" t="n"/>
      <c r="B99" s="153">
        <f>IF($C99="","",ROW()-11)</f>
        <v/>
      </c>
      <c r="C99" s="240">
        <f>IF($Z99="","",IF(INDEX($N$12:$N$432,$Z99)="","",INDEX($N$12:$N$432,$Z99)))</f>
        <v/>
      </c>
      <c r="D99" s="29">
        <f>IF($C99="","",INDEX($O$12:$O$432,$Z99))</f>
        <v/>
      </c>
      <c r="E99" s="153">
        <f>IF($C99="","",INDEX($P$12:$P$432,$Z99))</f>
        <v/>
      </c>
      <c r="F99" s="241">
        <f>IF($C99="","",INDEX($R$12:$R$432,$Z99))</f>
        <v/>
      </c>
      <c r="G99" s="241">
        <f>IF($C99="","",INDEX($S$12:$S$432,$Z99))</f>
        <v/>
      </c>
      <c r="H99" s="241">
        <f>IF($C99="","",N($H98)+$F99-$G99)</f>
        <v/>
      </c>
      <c r="I99" s="6" t="n"/>
      <c r="J99" s="6" t="n"/>
      <c r="K99" s="3" t="n"/>
      <c r="L99" s="3" t="n"/>
      <c r="M99" s="3" t="n">
        <v>88</v>
      </c>
      <c r="N99" s="3">
        <f>IF(OR($U99=0,$W99="",$X99&lt;=0),"",IF($W99&gt;TODAY(),"",IF(AND(INDEX(UCRETLER!$E$7:$E$406,$U99)&lt;&gt;"",$W99&gt;INDEX(UCRETLER!$E$7:$E$406,$U99)),"",$W99)))</f>
        <v/>
      </c>
      <c r="O99" s="3">
        <f>IF($N99="","",IF(INDEX(UCRETLER!$F$7:$F$406,$U99)="Aylık",CHOOSE(MONTH($N99),"Ocak","Şubat","Mart","Nisan","Mayıs","Haziran","Temmuz","Ağustos","Eylül","Ekim","Kasım","Aralık")&amp;" "&amp;YEAR($N99)&amp;" aylık muhasebe hizmet ücreti",RIGHT("0"&amp;DAY($N99),2)&amp;"."&amp;RIGHT("0"&amp;MONTH($N99),2)&amp;"."&amp;YEAR($N99)&amp;" haftalık muhasebe hizmet ücreti"))</f>
        <v/>
      </c>
      <c r="P99" s="3">
        <f>IF($N99="","","TAHAKKUK")</f>
        <v/>
      </c>
      <c r="Q99" s="3" t="n"/>
      <c r="R99" s="3">
        <f>IF($N99="",0,$X99)</f>
        <v/>
      </c>
      <c r="S99" s="3" t="n">
        <v>0</v>
      </c>
      <c r="T99" s="3">
        <f>IF($N99="",10000000000,$N99*100000+$M99)</f>
        <v/>
      </c>
      <c r="U99" s="3">
        <f>$AB$5</f>
        <v/>
      </c>
      <c r="V99" s="3" t="n">
        <v>7</v>
      </c>
      <c r="W99" s="3">
        <f>IF($U99=0,"",IF(INDEX(UCRETLER!$D$7:$D$406,$U99)="","",IF(INDEX(UCRETLER!$F$7:$F$406,$U99)="Aylık",EOMONTH(INDEX(UCRETLER!$D$7:$D$406,$U99),$V99-1),INDEX(UCRETLER!$D$7:$D$406,$U99)+MOD(SISTEM!$F$8-WEEKDAY(INDEX(UCRETLER!$D$7:$D$406,$U99),2),7)+7*($V99-1))))</f>
        <v/>
      </c>
      <c r="X99" s="3">
        <f>IF($U99=0,0,INDEX(UCRETLER!$G$7:$G$406,$U99))</f>
        <v/>
      </c>
      <c r="Y99" s="3">
        <f>IFERROR(SMALL($T$12:$T$432,ROW()-11),"")</f>
        <v/>
      </c>
      <c r="Z99" s="3">
        <f>IFERROR(MATCH($Y99,$T$12:$T$432,0),"")</f>
        <v/>
      </c>
      <c r="AA99" s="3" t="n"/>
      <c r="AB99" s="3" t="n"/>
      <c r="AC99" s="3" t="n"/>
      <c r="AD99" s="3" t="n"/>
    </row>
    <row r="100">
      <c r="A100" s="6" t="n"/>
      <c r="B100" s="153">
        <f>IF($C100="","",ROW()-11)</f>
        <v/>
      </c>
      <c r="C100" s="240">
        <f>IF($Z100="","",IF(INDEX($N$12:$N$432,$Z100)="","",INDEX($N$12:$N$432,$Z100)))</f>
        <v/>
      </c>
      <c r="D100" s="29">
        <f>IF($C100="","",INDEX($O$12:$O$432,$Z100))</f>
        <v/>
      </c>
      <c r="E100" s="153">
        <f>IF($C100="","",INDEX($P$12:$P$432,$Z100))</f>
        <v/>
      </c>
      <c r="F100" s="241">
        <f>IF($C100="","",INDEX($R$12:$R$432,$Z100))</f>
        <v/>
      </c>
      <c r="G100" s="241">
        <f>IF($C100="","",INDEX($S$12:$S$432,$Z100))</f>
        <v/>
      </c>
      <c r="H100" s="241">
        <f>IF($C100="","",N($H99)+$F100-$G100)</f>
        <v/>
      </c>
      <c r="I100" s="6" t="n"/>
      <c r="J100" s="6" t="n"/>
      <c r="K100" s="3" t="n"/>
      <c r="L100" s="3" t="n"/>
      <c r="M100" s="3" t="n">
        <v>89</v>
      </c>
      <c r="N100" s="3">
        <f>IF(OR($U100=0,$W100="",$X100&lt;=0),"",IF($W100&gt;TODAY(),"",IF(AND(INDEX(UCRETLER!$E$7:$E$406,$U100)&lt;&gt;"",$W100&gt;INDEX(UCRETLER!$E$7:$E$406,$U100)),"",$W100)))</f>
        <v/>
      </c>
      <c r="O100" s="3">
        <f>IF($N100="","",IF(INDEX(UCRETLER!$F$7:$F$406,$U100)="Aylık",CHOOSE(MONTH($N100),"Ocak","Şubat","Mart","Nisan","Mayıs","Haziran","Temmuz","Ağustos","Eylül","Ekim","Kasım","Aralık")&amp;" "&amp;YEAR($N100)&amp;" aylık muhasebe hizmet ücreti",RIGHT("0"&amp;DAY($N100),2)&amp;"."&amp;RIGHT("0"&amp;MONTH($N100),2)&amp;"."&amp;YEAR($N100)&amp;" haftalık muhasebe hizmet ücreti"))</f>
        <v/>
      </c>
      <c r="P100" s="3">
        <f>IF($N100="","","TAHAKKUK")</f>
        <v/>
      </c>
      <c r="Q100" s="3" t="n"/>
      <c r="R100" s="3">
        <f>IF($N100="",0,$X100)</f>
        <v/>
      </c>
      <c r="S100" s="3" t="n">
        <v>0</v>
      </c>
      <c r="T100" s="3">
        <f>IF($N100="",10000000000,$N100*100000+$M100)</f>
        <v/>
      </c>
      <c r="U100" s="3">
        <f>$AB$5</f>
        <v/>
      </c>
      <c r="V100" s="3" t="n">
        <v>8</v>
      </c>
      <c r="W100" s="3">
        <f>IF($U100=0,"",IF(INDEX(UCRETLER!$D$7:$D$406,$U100)="","",IF(INDEX(UCRETLER!$F$7:$F$406,$U100)="Aylık",EOMONTH(INDEX(UCRETLER!$D$7:$D$406,$U100),$V100-1),INDEX(UCRETLER!$D$7:$D$406,$U100)+MOD(SISTEM!$F$8-WEEKDAY(INDEX(UCRETLER!$D$7:$D$406,$U100),2),7)+7*($V100-1))))</f>
        <v/>
      </c>
      <c r="X100" s="3">
        <f>IF($U100=0,0,INDEX(UCRETLER!$G$7:$G$406,$U100))</f>
        <v/>
      </c>
      <c r="Y100" s="3">
        <f>IFERROR(SMALL($T$12:$T$432,ROW()-11),"")</f>
        <v/>
      </c>
      <c r="Z100" s="3">
        <f>IFERROR(MATCH($Y100,$T$12:$T$432,0),"")</f>
        <v/>
      </c>
      <c r="AA100" s="3" t="n"/>
      <c r="AB100" s="3" t="n"/>
      <c r="AC100" s="3" t="n"/>
      <c r="AD100" s="3" t="n"/>
    </row>
    <row r="101">
      <c r="A101" s="6" t="n"/>
      <c r="B101" s="153">
        <f>IF($C101="","",ROW()-11)</f>
        <v/>
      </c>
      <c r="C101" s="240">
        <f>IF($Z101="","",IF(INDEX($N$12:$N$432,$Z101)="","",INDEX($N$12:$N$432,$Z101)))</f>
        <v/>
      </c>
      <c r="D101" s="29">
        <f>IF($C101="","",INDEX($O$12:$O$432,$Z101))</f>
        <v/>
      </c>
      <c r="E101" s="153">
        <f>IF($C101="","",INDEX($P$12:$P$432,$Z101))</f>
        <v/>
      </c>
      <c r="F101" s="241">
        <f>IF($C101="","",INDEX($R$12:$R$432,$Z101))</f>
        <v/>
      </c>
      <c r="G101" s="241">
        <f>IF($C101="","",INDEX($S$12:$S$432,$Z101))</f>
        <v/>
      </c>
      <c r="H101" s="241">
        <f>IF($C101="","",N($H100)+$F101-$G101)</f>
        <v/>
      </c>
      <c r="I101" s="6" t="n"/>
      <c r="J101" s="6" t="n"/>
      <c r="K101" s="3" t="n"/>
      <c r="L101" s="3" t="n"/>
      <c r="M101" s="3" t="n">
        <v>90</v>
      </c>
      <c r="N101" s="3">
        <f>IF(OR($U101=0,$W101="",$X101&lt;=0),"",IF($W101&gt;TODAY(),"",IF(AND(INDEX(UCRETLER!$E$7:$E$406,$U101)&lt;&gt;"",$W101&gt;INDEX(UCRETLER!$E$7:$E$406,$U101)),"",$W101)))</f>
        <v/>
      </c>
      <c r="O101" s="3">
        <f>IF($N101="","",IF(INDEX(UCRETLER!$F$7:$F$406,$U101)="Aylık",CHOOSE(MONTH($N101),"Ocak","Şubat","Mart","Nisan","Mayıs","Haziran","Temmuz","Ağustos","Eylül","Ekim","Kasım","Aralık")&amp;" "&amp;YEAR($N101)&amp;" aylık muhasebe hizmet ücreti",RIGHT("0"&amp;DAY($N101),2)&amp;"."&amp;RIGHT("0"&amp;MONTH($N101),2)&amp;"."&amp;YEAR($N101)&amp;" haftalık muhasebe hizmet ücreti"))</f>
        <v/>
      </c>
      <c r="P101" s="3">
        <f>IF($N101="","","TAHAKKUK")</f>
        <v/>
      </c>
      <c r="Q101" s="3" t="n"/>
      <c r="R101" s="3">
        <f>IF($N101="",0,$X101)</f>
        <v/>
      </c>
      <c r="S101" s="3" t="n">
        <v>0</v>
      </c>
      <c r="T101" s="3">
        <f>IF($N101="",10000000000,$N101*100000+$M101)</f>
        <v/>
      </c>
      <c r="U101" s="3">
        <f>$AB$5</f>
        <v/>
      </c>
      <c r="V101" s="3" t="n">
        <v>9</v>
      </c>
      <c r="W101" s="3">
        <f>IF($U101=0,"",IF(INDEX(UCRETLER!$D$7:$D$406,$U101)="","",IF(INDEX(UCRETLER!$F$7:$F$406,$U101)="Aylık",EOMONTH(INDEX(UCRETLER!$D$7:$D$406,$U101),$V101-1),INDEX(UCRETLER!$D$7:$D$406,$U101)+MOD(SISTEM!$F$8-WEEKDAY(INDEX(UCRETLER!$D$7:$D$406,$U101),2),7)+7*($V101-1))))</f>
        <v/>
      </c>
      <c r="X101" s="3">
        <f>IF($U101=0,0,INDEX(UCRETLER!$G$7:$G$406,$U101))</f>
        <v/>
      </c>
      <c r="Y101" s="3">
        <f>IFERROR(SMALL($T$12:$T$432,ROW()-11),"")</f>
        <v/>
      </c>
      <c r="Z101" s="3">
        <f>IFERROR(MATCH($Y101,$T$12:$T$432,0),"")</f>
        <v/>
      </c>
      <c r="AA101" s="3" t="n"/>
      <c r="AB101" s="3" t="n"/>
      <c r="AC101" s="3" t="n"/>
      <c r="AD101" s="3" t="n"/>
    </row>
    <row r="102">
      <c r="A102" s="6" t="n"/>
      <c r="B102" s="153">
        <f>IF($C102="","",ROW()-11)</f>
        <v/>
      </c>
      <c r="C102" s="240">
        <f>IF($Z102="","",IF(INDEX($N$12:$N$432,$Z102)="","",INDEX($N$12:$N$432,$Z102)))</f>
        <v/>
      </c>
      <c r="D102" s="29">
        <f>IF($C102="","",INDEX($O$12:$O$432,$Z102))</f>
        <v/>
      </c>
      <c r="E102" s="153">
        <f>IF($C102="","",INDEX($P$12:$P$432,$Z102))</f>
        <v/>
      </c>
      <c r="F102" s="241">
        <f>IF($C102="","",INDEX($R$12:$R$432,$Z102))</f>
        <v/>
      </c>
      <c r="G102" s="241">
        <f>IF($C102="","",INDEX($S$12:$S$432,$Z102))</f>
        <v/>
      </c>
      <c r="H102" s="241">
        <f>IF($C102="","",N($H101)+$F102-$G102)</f>
        <v/>
      </c>
      <c r="I102" s="6" t="n"/>
      <c r="J102" s="6" t="n"/>
      <c r="K102" s="3" t="n"/>
      <c r="L102" s="3" t="n"/>
      <c r="M102" s="3" t="n">
        <v>91</v>
      </c>
      <c r="N102" s="3">
        <f>IF(OR($U102=0,$W102="",$X102&lt;=0),"",IF($W102&gt;TODAY(),"",IF(AND(INDEX(UCRETLER!$E$7:$E$406,$U102)&lt;&gt;"",$W102&gt;INDEX(UCRETLER!$E$7:$E$406,$U102)),"",$W102)))</f>
        <v/>
      </c>
      <c r="O102" s="3">
        <f>IF($N102="","",IF(INDEX(UCRETLER!$F$7:$F$406,$U102)="Aylık",CHOOSE(MONTH($N102),"Ocak","Şubat","Mart","Nisan","Mayıs","Haziran","Temmuz","Ağustos","Eylül","Ekim","Kasım","Aralık")&amp;" "&amp;YEAR($N102)&amp;" aylık muhasebe hizmet ücreti",RIGHT("0"&amp;DAY($N102),2)&amp;"."&amp;RIGHT("0"&amp;MONTH($N102),2)&amp;"."&amp;YEAR($N102)&amp;" haftalık muhasebe hizmet ücreti"))</f>
        <v/>
      </c>
      <c r="P102" s="3">
        <f>IF($N102="","","TAHAKKUK")</f>
        <v/>
      </c>
      <c r="Q102" s="3" t="n"/>
      <c r="R102" s="3">
        <f>IF($N102="",0,$X102)</f>
        <v/>
      </c>
      <c r="S102" s="3" t="n">
        <v>0</v>
      </c>
      <c r="T102" s="3">
        <f>IF($N102="",10000000000,$N102*100000+$M102)</f>
        <v/>
      </c>
      <c r="U102" s="3">
        <f>$AB$5</f>
        <v/>
      </c>
      <c r="V102" s="3" t="n">
        <v>10</v>
      </c>
      <c r="W102" s="3">
        <f>IF($U102=0,"",IF(INDEX(UCRETLER!$D$7:$D$406,$U102)="","",IF(INDEX(UCRETLER!$F$7:$F$406,$U102)="Aylık",EOMONTH(INDEX(UCRETLER!$D$7:$D$406,$U102),$V102-1),INDEX(UCRETLER!$D$7:$D$406,$U102)+MOD(SISTEM!$F$8-WEEKDAY(INDEX(UCRETLER!$D$7:$D$406,$U102),2),7)+7*($V102-1))))</f>
        <v/>
      </c>
      <c r="X102" s="3">
        <f>IF($U102=0,0,INDEX(UCRETLER!$G$7:$G$406,$U102))</f>
        <v/>
      </c>
      <c r="Y102" s="3">
        <f>IFERROR(SMALL($T$12:$T$432,ROW()-11),"")</f>
        <v/>
      </c>
      <c r="Z102" s="3">
        <f>IFERROR(MATCH($Y102,$T$12:$T$432,0),"")</f>
        <v/>
      </c>
      <c r="AA102" s="3" t="n"/>
      <c r="AB102" s="3" t="n"/>
      <c r="AC102" s="3" t="n"/>
      <c r="AD102" s="3" t="n"/>
    </row>
    <row r="103">
      <c r="A103" s="6" t="n"/>
      <c r="B103" s="153">
        <f>IF($C103="","",ROW()-11)</f>
        <v/>
      </c>
      <c r="C103" s="240">
        <f>IF($Z103="","",IF(INDEX($N$12:$N$432,$Z103)="","",INDEX($N$12:$N$432,$Z103)))</f>
        <v/>
      </c>
      <c r="D103" s="29">
        <f>IF($C103="","",INDEX($O$12:$O$432,$Z103))</f>
        <v/>
      </c>
      <c r="E103" s="153">
        <f>IF($C103="","",INDEX($P$12:$P$432,$Z103))</f>
        <v/>
      </c>
      <c r="F103" s="241">
        <f>IF($C103="","",INDEX($R$12:$R$432,$Z103))</f>
        <v/>
      </c>
      <c r="G103" s="241">
        <f>IF($C103="","",INDEX($S$12:$S$432,$Z103))</f>
        <v/>
      </c>
      <c r="H103" s="241">
        <f>IF($C103="","",N($H102)+$F103-$G103)</f>
        <v/>
      </c>
      <c r="I103" s="6" t="n"/>
      <c r="J103" s="6" t="n"/>
      <c r="K103" s="3" t="n"/>
      <c r="L103" s="3" t="n"/>
      <c r="M103" s="3" t="n">
        <v>92</v>
      </c>
      <c r="N103" s="3">
        <f>IF(OR($U103=0,$W103="",$X103&lt;=0),"",IF($W103&gt;TODAY(),"",IF(AND(INDEX(UCRETLER!$E$7:$E$406,$U103)&lt;&gt;"",$W103&gt;INDEX(UCRETLER!$E$7:$E$406,$U103)),"",$W103)))</f>
        <v/>
      </c>
      <c r="O103" s="3">
        <f>IF($N103="","",IF(INDEX(UCRETLER!$F$7:$F$406,$U103)="Aylık",CHOOSE(MONTH($N103),"Ocak","Şubat","Mart","Nisan","Mayıs","Haziran","Temmuz","Ağustos","Eylül","Ekim","Kasım","Aralık")&amp;" "&amp;YEAR($N103)&amp;" aylık muhasebe hizmet ücreti",RIGHT("0"&amp;DAY($N103),2)&amp;"."&amp;RIGHT("0"&amp;MONTH($N103),2)&amp;"."&amp;YEAR($N103)&amp;" haftalık muhasebe hizmet ücreti"))</f>
        <v/>
      </c>
      <c r="P103" s="3">
        <f>IF($N103="","","TAHAKKUK")</f>
        <v/>
      </c>
      <c r="Q103" s="3" t="n"/>
      <c r="R103" s="3">
        <f>IF($N103="",0,$X103)</f>
        <v/>
      </c>
      <c r="S103" s="3" t="n">
        <v>0</v>
      </c>
      <c r="T103" s="3">
        <f>IF($N103="",10000000000,$N103*100000+$M103)</f>
        <v/>
      </c>
      <c r="U103" s="3">
        <f>$AB$5</f>
        <v/>
      </c>
      <c r="V103" s="3" t="n">
        <v>11</v>
      </c>
      <c r="W103" s="3">
        <f>IF($U103=0,"",IF(INDEX(UCRETLER!$D$7:$D$406,$U103)="","",IF(INDEX(UCRETLER!$F$7:$F$406,$U103)="Aylık",EOMONTH(INDEX(UCRETLER!$D$7:$D$406,$U103),$V103-1),INDEX(UCRETLER!$D$7:$D$406,$U103)+MOD(SISTEM!$F$8-WEEKDAY(INDEX(UCRETLER!$D$7:$D$406,$U103),2),7)+7*($V103-1))))</f>
        <v/>
      </c>
      <c r="X103" s="3">
        <f>IF($U103=0,0,INDEX(UCRETLER!$G$7:$G$406,$U103))</f>
        <v/>
      </c>
      <c r="Y103" s="3">
        <f>IFERROR(SMALL($T$12:$T$432,ROW()-11),"")</f>
        <v/>
      </c>
      <c r="Z103" s="3">
        <f>IFERROR(MATCH($Y103,$T$12:$T$432,0),"")</f>
        <v/>
      </c>
      <c r="AA103" s="3" t="n"/>
      <c r="AB103" s="3" t="n"/>
      <c r="AC103" s="3" t="n"/>
      <c r="AD103" s="3" t="n"/>
    </row>
    <row r="104">
      <c r="A104" s="6" t="n"/>
      <c r="B104" s="153">
        <f>IF($C104="","",ROW()-11)</f>
        <v/>
      </c>
      <c r="C104" s="240">
        <f>IF($Z104="","",IF(INDEX($N$12:$N$432,$Z104)="","",INDEX($N$12:$N$432,$Z104)))</f>
        <v/>
      </c>
      <c r="D104" s="29">
        <f>IF($C104="","",INDEX($O$12:$O$432,$Z104))</f>
        <v/>
      </c>
      <c r="E104" s="153">
        <f>IF($C104="","",INDEX($P$12:$P$432,$Z104))</f>
        <v/>
      </c>
      <c r="F104" s="241">
        <f>IF($C104="","",INDEX($R$12:$R$432,$Z104))</f>
        <v/>
      </c>
      <c r="G104" s="241">
        <f>IF($C104="","",INDEX($S$12:$S$432,$Z104))</f>
        <v/>
      </c>
      <c r="H104" s="241">
        <f>IF($C104="","",N($H103)+$F104-$G104)</f>
        <v/>
      </c>
      <c r="I104" s="6" t="n"/>
      <c r="J104" s="6" t="n"/>
      <c r="K104" s="3" t="n"/>
      <c r="L104" s="3" t="n"/>
      <c r="M104" s="3" t="n">
        <v>93</v>
      </c>
      <c r="N104" s="3">
        <f>IF(OR($U104=0,$W104="",$X104&lt;=0),"",IF($W104&gt;TODAY(),"",IF(AND(INDEX(UCRETLER!$E$7:$E$406,$U104)&lt;&gt;"",$W104&gt;INDEX(UCRETLER!$E$7:$E$406,$U104)),"",$W104)))</f>
        <v/>
      </c>
      <c r="O104" s="3">
        <f>IF($N104="","",IF(INDEX(UCRETLER!$F$7:$F$406,$U104)="Aylık",CHOOSE(MONTH($N104),"Ocak","Şubat","Mart","Nisan","Mayıs","Haziran","Temmuz","Ağustos","Eylül","Ekim","Kasım","Aralık")&amp;" "&amp;YEAR($N104)&amp;" aylık muhasebe hizmet ücreti",RIGHT("0"&amp;DAY($N104),2)&amp;"."&amp;RIGHT("0"&amp;MONTH($N104),2)&amp;"."&amp;YEAR($N104)&amp;" haftalık muhasebe hizmet ücreti"))</f>
        <v/>
      </c>
      <c r="P104" s="3">
        <f>IF($N104="","","TAHAKKUK")</f>
        <v/>
      </c>
      <c r="Q104" s="3" t="n"/>
      <c r="R104" s="3">
        <f>IF($N104="",0,$X104)</f>
        <v/>
      </c>
      <c r="S104" s="3" t="n">
        <v>0</v>
      </c>
      <c r="T104" s="3">
        <f>IF($N104="",10000000000,$N104*100000+$M104)</f>
        <v/>
      </c>
      <c r="U104" s="3">
        <f>$AB$5</f>
        <v/>
      </c>
      <c r="V104" s="3" t="n">
        <v>12</v>
      </c>
      <c r="W104" s="3">
        <f>IF($U104=0,"",IF(INDEX(UCRETLER!$D$7:$D$406,$U104)="","",IF(INDEX(UCRETLER!$F$7:$F$406,$U104)="Aylık",EOMONTH(INDEX(UCRETLER!$D$7:$D$406,$U104),$V104-1),INDEX(UCRETLER!$D$7:$D$406,$U104)+MOD(SISTEM!$F$8-WEEKDAY(INDEX(UCRETLER!$D$7:$D$406,$U104),2),7)+7*($V104-1))))</f>
        <v/>
      </c>
      <c r="X104" s="3">
        <f>IF($U104=0,0,INDEX(UCRETLER!$G$7:$G$406,$U104))</f>
        <v/>
      </c>
      <c r="Y104" s="3">
        <f>IFERROR(SMALL($T$12:$T$432,ROW()-11),"")</f>
        <v/>
      </c>
      <c r="Z104" s="3">
        <f>IFERROR(MATCH($Y104,$T$12:$T$432,0),"")</f>
        <v/>
      </c>
      <c r="AA104" s="3" t="n"/>
      <c r="AB104" s="3" t="n"/>
      <c r="AC104" s="3" t="n"/>
      <c r="AD104" s="3" t="n"/>
    </row>
    <row r="105">
      <c r="A105" s="6" t="n"/>
      <c r="B105" s="153">
        <f>IF($C105="","",ROW()-11)</f>
        <v/>
      </c>
      <c r="C105" s="240">
        <f>IF($Z105="","",IF(INDEX($N$12:$N$432,$Z105)="","",INDEX($N$12:$N$432,$Z105)))</f>
        <v/>
      </c>
      <c r="D105" s="29">
        <f>IF($C105="","",INDEX($O$12:$O$432,$Z105))</f>
        <v/>
      </c>
      <c r="E105" s="153">
        <f>IF($C105="","",INDEX($P$12:$P$432,$Z105))</f>
        <v/>
      </c>
      <c r="F105" s="241">
        <f>IF($C105="","",INDEX($R$12:$R$432,$Z105))</f>
        <v/>
      </c>
      <c r="G105" s="241">
        <f>IF($C105="","",INDEX($S$12:$S$432,$Z105))</f>
        <v/>
      </c>
      <c r="H105" s="241">
        <f>IF($C105="","",N($H104)+$F105-$G105)</f>
        <v/>
      </c>
      <c r="I105" s="6" t="n"/>
      <c r="J105" s="6" t="n"/>
      <c r="K105" s="3" t="n"/>
      <c r="L105" s="3" t="n"/>
      <c r="M105" s="3" t="n">
        <v>94</v>
      </c>
      <c r="N105" s="3">
        <f>IF(OR($U105=0,$W105="",$X105&lt;=0),"",IF($W105&gt;TODAY(),"",IF(AND(INDEX(UCRETLER!$E$7:$E$406,$U105)&lt;&gt;"",$W105&gt;INDEX(UCRETLER!$E$7:$E$406,$U105)),"",$W105)))</f>
        <v/>
      </c>
      <c r="O105" s="3">
        <f>IF($N105="","",IF(INDEX(UCRETLER!$F$7:$F$406,$U105)="Aylık",CHOOSE(MONTH($N105),"Ocak","Şubat","Mart","Nisan","Mayıs","Haziran","Temmuz","Ağustos","Eylül","Ekim","Kasım","Aralık")&amp;" "&amp;YEAR($N105)&amp;" aylık muhasebe hizmet ücreti",RIGHT("0"&amp;DAY($N105),2)&amp;"."&amp;RIGHT("0"&amp;MONTH($N105),2)&amp;"."&amp;YEAR($N105)&amp;" haftalık muhasebe hizmet ücreti"))</f>
        <v/>
      </c>
      <c r="P105" s="3">
        <f>IF($N105="","","TAHAKKUK")</f>
        <v/>
      </c>
      <c r="Q105" s="3" t="n"/>
      <c r="R105" s="3">
        <f>IF($N105="",0,$X105)</f>
        <v/>
      </c>
      <c r="S105" s="3" t="n">
        <v>0</v>
      </c>
      <c r="T105" s="3">
        <f>IF($N105="",10000000000,$N105*100000+$M105)</f>
        <v/>
      </c>
      <c r="U105" s="3">
        <f>$AB$5</f>
        <v/>
      </c>
      <c r="V105" s="3" t="n">
        <v>13</v>
      </c>
      <c r="W105" s="3">
        <f>IF($U105=0,"",IF(INDEX(UCRETLER!$D$7:$D$406,$U105)="","",IF(INDEX(UCRETLER!$F$7:$F$406,$U105)="Aylık",EOMONTH(INDEX(UCRETLER!$D$7:$D$406,$U105),$V105-1),INDEX(UCRETLER!$D$7:$D$406,$U105)+MOD(SISTEM!$F$8-WEEKDAY(INDEX(UCRETLER!$D$7:$D$406,$U105),2),7)+7*($V105-1))))</f>
        <v/>
      </c>
      <c r="X105" s="3">
        <f>IF($U105=0,0,INDEX(UCRETLER!$G$7:$G$406,$U105))</f>
        <v/>
      </c>
      <c r="Y105" s="3">
        <f>IFERROR(SMALL($T$12:$T$432,ROW()-11),"")</f>
        <v/>
      </c>
      <c r="Z105" s="3">
        <f>IFERROR(MATCH($Y105,$T$12:$T$432,0),"")</f>
        <v/>
      </c>
      <c r="AA105" s="3" t="n"/>
      <c r="AB105" s="3" t="n"/>
      <c r="AC105" s="3" t="n"/>
      <c r="AD105" s="3" t="n"/>
    </row>
    <row r="106">
      <c r="A106" s="6" t="n"/>
      <c r="B106" s="153">
        <f>IF($C106="","",ROW()-11)</f>
        <v/>
      </c>
      <c r="C106" s="240">
        <f>IF($Z106="","",IF(INDEX($N$12:$N$432,$Z106)="","",INDEX($N$12:$N$432,$Z106)))</f>
        <v/>
      </c>
      <c r="D106" s="29">
        <f>IF($C106="","",INDEX($O$12:$O$432,$Z106))</f>
        <v/>
      </c>
      <c r="E106" s="153">
        <f>IF($C106="","",INDEX($P$12:$P$432,$Z106))</f>
        <v/>
      </c>
      <c r="F106" s="241">
        <f>IF($C106="","",INDEX($R$12:$R$432,$Z106))</f>
        <v/>
      </c>
      <c r="G106" s="241">
        <f>IF($C106="","",INDEX($S$12:$S$432,$Z106))</f>
        <v/>
      </c>
      <c r="H106" s="241">
        <f>IF($C106="","",N($H105)+$F106-$G106)</f>
        <v/>
      </c>
      <c r="I106" s="6" t="n"/>
      <c r="J106" s="6" t="n"/>
      <c r="K106" s="3" t="n"/>
      <c r="L106" s="3" t="n"/>
      <c r="M106" s="3" t="n">
        <v>95</v>
      </c>
      <c r="N106" s="3">
        <f>IF(OR($U106=0,$W106="",$X106&lt;=0),"",IF($W106&gt;TODAY(),"",IF(AND(INDEX(UCRETLER!$E$7:$E$406,$U106)&lt;&gt;"",$W106&gt;INDEX(UCRETLER!$E$7:$E$406,$U106)),"",$W106)))</f>
        <v/>
      </c>
      <c r="O106" s="3">
        <f>IF($N106="","",IF(INDEX(UCRETLER!$F$7:$F$406,$U106)="Aylık",CHOOSE(MONTH($N106),"Ocak","Şubat","Mart","Nisan","Mayıs","Haziran","Temmuz","Ağustos","Eylül","Ekim","Kasım","Aralık")&amp;" "&amp;YEAR($N106)&amp;" aylık muhasebe hizmet ücreti",RIGHT("0"&amp;DAY($N106),2)&amp;"."&amp;RIGHT("0"&amp;MONTH($N106),2)&amp;"."&amp;YEAR($N106)&amp;" haftalık muhasebe hizmet ücreti"))</f>
        <v/>
      </c>
      <c r="P106" s="3">
        <f>IF($N106="","","TAHAKKUK")</f>
        <v/>
      </c>
      <c r="Q106" s="3" t="n"/>
      <c r="R106" s="3">
        <f>IF($N106="",0,$X106)</f>
        <v/>
      </c>
      <c r="S106" s="3" t="n">
        <v>0</v>
      </c>
      <c r="T106" s="3">
        <f>IF($N106="",10000000000,$N106*100000+$M106)</f>
        <v/>
      </c>
      <c r="U106" s="3">
        <f>$AB$5</f>
        <v/>
      </c>
      <c r="V106" s="3" t="n">
        <v>14</v>
      </c>
      <c r="W106" s="3">
        <f>IF($U106=0,"",IF(INDEX(UCRETLER!$D$7:$D$406,$U106)="","",IF(INDEX(UCRETLER!$F$7:$F$406,$U106)="Aylık",EOMONTH(INDEX(UCRETLER!$D$7:$D$406,$U106),$V106-1),INDEX(UCRETLER!$D$7:$D$406,$U106)+MOD(SISTEM!$F$8-WEEKDAY(INDEX(UCRETLER!$D$7:$D$406,$U106),2),7)+7*($V106-1))))</f>
        <v/>
      </c>
      <c r="X106" s="3">
        <f>IF($U106=0,0,INDEX(UCRETLER!$G$7:$G$406,$U106))</f>
        <v/>
      </c>
      <c r="Y106" s="3">
        <f>IFERROR(SMALL($T$12:$T$432,ROW()-11),"")</f>
        <v/>
      </c>
      <c r="Z106" s="3">
        <f>IFERROR(MATCH($Y106,$T$12:$T$432,0),"")</f>
        <v/>
      </c>
      <c r="AA106" s="3" t="n"/>
      <c r="AB106" s="3" t="n"/>
      <c r="AC106" s="3" t="n"/>
      <c r="AD106" s="3" t="n"/>
    </row>
    <row r="107">
      <c r="A107" s="6" t="n"/>
      <c r="B107" s="153">
        <f>IF($C107="","",ROW()-11)</f>
        <v/>
      </c>
      <c r="C107" s="240">
        <f>IF($Z107="","",IF(INDEX($N$12:$N$432,$Z107)="","",INDEX($N$12:$N$432,$Z107)))</f>
        <v/>
      </c>
      <c r="D107" s="29">
        <f>IF($C107="","",INDEX($O$12:$O$432,$Z107))</f>
        <v/>
      </c>
      <c r="E107" s="153">
        <f>IF($C107="","",INDEX($P$12:$P$432,$Z107))</f>
        <v/>
      </c>
      <c r="F107" s="241">
        <f>IF($C107="","",INDEX($R$12:$R$432,$Z107))</f>
        <v/>
      </c>
      <c r="G107" s="241">
        <f>IF($C107="","",INDEX($S$12:$S$432,$Z107))</f>
        <v/>
      </c>
      <c r="H107" s="241">
        <f>IF($C107="","",N($H106)+$F107-$G107)</f>
        <v/>
      </c>
      <c r="I107" s="6" t="n"/>
      <c r="J107" s="6" t="n"/>
      <c r="K107" s="3" t="n"/>
      <c r="L107" s="3" t="n"/>
      <c r="M107" s="3" t="n">
        <v>96</v>
      </c>
      <c r="N107" s="3">
        <f>IF(OR($U107=0,$W107="",$X107&lt;=0),"",IF($W107&gt;TODAY(),"",IF(AND(INDEX(UCRETLER!$E$7:$E$406,$U107)&lt;&gt;"",$W107&gt;INDEX(UCRETLER!$E$7:$E$406,$U107)),"",$W107)))</f>
        <v/>
      </c>
      <c r="O107" s="3">
        <f>IF($N107="","",IF(INDEX(UCRETLER!$F$7:$F$406,$U107)="Aylık",CHOOSE(MONTH($N107),"Ocak","Şubat","Mart","Nisan","Mayıs","Haziran","Temmuz","Ağustos","Eylül","Ekim","Kasım","Aralık")&amp;" "&amp;YEAR($N107)&amp;" aylık muhasebe hizmet ücreti",RIGHT("0"&amp;DAY($N107),2)&amp;"."&amp;RIGHT("0"&amp;MONTH($N107),2)&amp;"."&amp;YEAR($N107)&amp;" haftalık muhasebe hizmet ücreti"))</f>
        <v/>
      </c>
      <c r="P107" s="3">
        <f>IF($N107="","","TAHAKKUK")</f>
        <v/>
      </c>
      <c r="Q107" s="3" t="n"/>
      <c r="R107" s="3">
        <f>IF($N107="",0,$X107)</f>
        <v/>
      </c>
      <c r="S107" s="3" t="n">
        <v>0</v>
      </c>
      <c r="T107" s="3">
        <f>IF($N107="",10000000000,$N107*100000+$M107)</f>
        <v/>
      </c>
      <c r="U107" s="3">
        <f>$AB$5</f>
        <v/>
      </c>
      <c r="V107" s="3" t="n">
        <v>15</v>
      </c>
      <c r="W107" s="3">
        <f>IF($U107=0,"",IF(INDEX(UCRETLER!$D$7:$D$406,$U107)="","",IF(INDEX(UCRETLER!$F$7:$F$406,$U107)="Aylık",EOMONTH(INDEX(UCRETLER!$D$7:$D$406,$U107),$V107-1),INDEX(UCRETLER!$D$7:$D$406,$U107)+MOD(SISTEM!$F$8-WEEKDAY(INDEX(UCRETLER!$D$7:$D$406,$U107),2),7)+7*($V107-1))))</f>
        <v/>
      </c>
      <c r="X107" s="3">
        <f>IF($U107=0,0,INDEX(UCRETLER!$G$7:$G$406,$U107))</f>
        <v/>
      </c>
      <c r="Y107" s="3">
        <f>IFERROR(SMALL($T$12:$T$432,ROW()-11),"")</f>
        <v/>
      </c>
      <c r="Z107" s="3">
        <f>IFERROR(MATCH($Y107,$T$12:$T$432,0),"")</f>
        <v/>
      </c>
      <c r="AA107" s="3" t="n"/>
      <c r="AB107" s="3" t="n"/>
      <c r="AC107" s="3" t="n"/>
      <c r="AD107" s="3" t="n"/>
    </row>
    <row r="108">
      <c r="A108" s="6" t="n"/>
      <c r="B108" s="153">
        <f>IF($C108="","",ROW()-11)</f>
        <v/>
      </c>
      <c r="C108" s="240">
        <f>IF($Z108="","",IF(INDEX($N$12:$N$432,$Z108)="","",INDEX($N$12:$N$432,$Z108)))</f>
        <v/>
      </c>
      <c r="D108" s="29">
        <f>IF($C108="","",INDEX($O$12:$O$432,$Z108))</f>
        <v/>
      </c>
      <c r="E108" s="153">
        <f>IF($C108="","",INDEX($P$12:$P$432,$Z108))</f>
        <v/>
      </c>
      <c r="F108" s="241">
        <f>IF($C108="","",INDEX($R$12:$R$432,$Z108))</f>
        <v/>
      </c>
      <c r="G108" s="241">
        <f>IF($C108="","",INDEX($S$12:$S$432,$Z108))</f>
        <v/>
      </c>
      <c r="H108" s="241">
        <f>IF($C108="","",N($H107)+$F108-$G108)</f>
        <v/>
      </c>
      <c r="I108" s="6" t="n"/>
      <c r="J108" s="6" t="n"/>
      <c r="K108" s="3" t="n"/>
      <c r="L108" s="3" t="n"/>
      <c r="M108" s="3" t="n">
        <v>97</v>
      </c>
      <c r="N108" s="3">
        <f>IF(OR($U108=0,$W108="",$X108&lt;=0),"",IF($W108&gt;TODAY(),"",IF(AND(INDEX(UCRETLER!$E$7:$E$406,$U108)&lt;&gt;"",$W108&gt;INDEX(UCRETLER!$E$7:$E$406,$U108)),"",$W108)))</f>
        <v/>
      </c>
      <c r="O108" s="3">
        <f>IF($N108="","",IF(INDEX(UCRETLER!$F$7:$F$406,$U108)="Aylık",CHOOSE(MONTH($N108),"Ocak","Şubat","Mart","Nisan","Mayıs","Haziran","Temmuz","Ağustos","Eylül","Ekim","Kasım","Aralık")&amp;" "&amp;YEAR($N108)&amp;" aylık muhasebe hizmet ücreti",RIGHT("0"&amp;DAY($N108),2)&amp;"."&amp;RIGHT("0"&amp;MONTH($N108),2)&amp;"."&amp;YEAR($N108)&amp;" haftalık muhasebe hizmet ücreti"))</f>
        <v/>
      </c>
      <c r="P108" s="3">
        <f>IF($N108="","","TAHAKKUK")</f>
        <v/>
      </c>
      <c r="Q108" s="3" t="n"/>
      <c r="R108" s="3">
        <f>IF($N108="",0,$X108)</f>
        <v/>
      </c>
      <c r="S108" s="3" t="n">
        <v>0</v>
      </c>
      <c r="T108" s="3">
        <f>IF($N108="",10000000000,$N108*100000+$M108)</f>
        <v/>
      </c>
      <c r="U108" s="3">
        <f>$AB$5</f>
        <v/>
      </c>
      <c r="V108" s="3" t="n">
        <v>16</v>
      </c>
      <c r="W108" s="3">
        <f>IF($U108=0,"",IF(INDEX(UCRETLER!$D$7:$D$406,$U108)="","",IF(INDEX(UCRETLER!$F$7:$F$406,$U108)="Aylık",EOMONTH(INDEX(UCRETLER!$D$7:$D$406,$U108),$V108-1),INDEX(UCRETLER!$D$7:$D$406,$U108)+MOD(SISTEM!$F$8-WEEKDAY(INDEX(UCRETLER!$D$7:$D$406,$U108),2),7)+7*($V108-1))))</f>
        <v/>
      </c>
      <c r="X108" s="3">
        <f>IF($U108=0,0,INDEX(UCRETLER!$G$7:$G$406,$U108))</f>
        <v/>
      </c>
      <c r="Y108" s="3">
        <f>IFERROR(SMALL($T$12:$T$432,ROW()-11),"")</f>
        <v/>
      </c>
      <c r="Z108" s="3">
        <f>IFERROR(MATCH($Y108,$T$12:$T$432,0),"")</f>
        <v/>
      </c>
      <c r="AA108" s="3" t="n"/>
      <c r="AB108" s="3" t="n"/>
      <c r="AC108" s="3" t="n"/>
      <c r="AD108" s="3" t="n"/>
    </row>
    <row r="109">
      <c r="A109" s="6" t="n"/>
      <c r="B109" s="153">
        <f>IF($C109="","",ROW()-11)</f>
        <v/>
      </c>
      <c r="C109" s="240">
        <f>IF($Z109="","",IF(INDEX($N$12:$N$432,$Z109)="","",INDEX($N$12:$N$432,$Z109)))</f>
        <v/>
      </c>
      <c r="D109" s="29">
        <f>IF($C109="","",INDEX($O$12:$O$432,$Z109))</f>
        <v/>
      </c>
      <c r="E109" s="153">
        <f>IF($C109="","",INDEX($P$12:$P$432,$Z109))</f>
        <v/>
      </c>
      <c r="F109" s="241">
        <f>IF($C109="","",INDEX($R$12:$R$432,$Z109))</f>
        <v/>
      </c>
      <c r="G109" s="241">
        <f>IF($C109="","",INDEX($S$12:$S$432,$Z109))</f>
        <v/>
      </c>
      <c r="H109" s="241">
        <f>IF($C109="","",N($H108)+$F109-$G109)</f>
        <v/>
      </c>
      <c r="I109" s="6" t="n"/>
      <c r="J109" s="6" t="n"/>
      <c r="K109" s="3" t="n"/>
      <c r="L109" s="3" t="n"/>
      <c r="M109" s="3" t="n">
        <v>98</v>
      </c>
      <c r="N109" s="3">
        <f>IF(OR($U109=0,$W109="",$X109&lt;=0),"",IF($W109&gt;TODAY(),"",IF(AND(INDEX(UCRETLER!$E$7:$E$406,$U109)&lt;&gt;"",$W109&gt;INDEX(UCRETLER!$E$7:$E$406,$U109)),"",$W109)))</f>
        <v/>
      </c>
      <c r="O109" s="3">
        <f>IF($N109="","",IF(INDEX(UCRETLER!$F$7:$F$406,$U109)="Aylık",CHOOSE(MONTH($N109),"Ocak","Şubat","Mart","Nisan","Mayıs","Haziran","Temmuz","Ağustos","Eylül","Ekim","Kasım","Aralık")&amp;" "&amp;YEAR($N109)&amp;" aylık muhasebe hizmet ücreti",RIGHT("0"&amp;DAY($N109),2)&amp;"."&amp;RIGHT("0"&amp;MONTH($N109),2)&amp;"."&amp;YEAR($N109)&amp;" haftalık muhasebe hizmet ücreti"))</f>
        <v/>
      </c>
      <c r="P109" s="3">
        <f>IF($N109="","","TAHAKKUK")</f>
        <v/>
      </c>
      <c r="Q109" s="3" t="n"/>
      <c r="R109" s="3">
        <f>IF($N109="",0,$X109)</f>
        <v/>
      </c>
      <c r="S109" s="3" t="n">
        <v>0</v>
      </c>
      <c r="T109" s="3">
        <f>IF($N109="",10000000000,$N109*100000+$M109)</f>
        <v/>
      </c>
      <c r="U109" s="3">
        <f>$AB$5</f>
        <v/>
      </c>
      <c r="V109" s="3" t="n">
        <v>17</v>
      </c>
      <c r="W109" s="3">
        <f>IF($U109=0,"",IF(INDEX(UCRETLER!$D$7:$D$406,$U109)="","",IF(INDEX(UCRETLER!$F$7:$F$406,$U109)="Aylık",EOMONTH(INDEX(UCRETLER!$D$7:$D$406,$U109),$V109-1),INDEX(UCRETLER!$D$7:$D$406,$U109)+MOD(SISTEM!$F$8-WEEKDAY(INDEX(UCRETLER!$D$7:$D$406,$U109),2),7)+7*($V109-1))))</f>
        <v/>
      </c>
      <c r="X109" s="3">
        <f>IF($U109=0,0,INDEX(UCRETLER!$G$7:$G$406,$U109))</f>
        <v/>
      </c>
      <c r="Y109" s="3">
        <f>IFERROR(SMALL($T$12:$T$432,ROW()-11),"")</f>
        <v/>
      </c>
      <c r="Z109" s="3">
        <f>IFERROR(MATCH($Y109,$T$12:$T$432,0),"")</f>
        <v/>
      </c>
      <c r="AA109" s="3" t="n"/>
      <c r="AB109" s="3" t="n"/>
      <c r="AC109" s="3" t="n"/>
      <c r="AD109" s="3" t="n"/>
    </row>
    <row r="110">
      <c r="A110" s="6" t="n"/>
      <c r="B110" s="153">
        <f>IF($C110="","",ROW()-11)</f>
        <v/>
      </c>
      <c r="C110" s="240">
        <f>IF($Z110="","",IF(INDEX($N$12:$N$432,$Z110)="","",INDEX($N$12:$N$432,$Z110)))</f>
        <v/>
      </c>
      <c r="D110" s="29">
        <f>IF($C110="","",INDEX($O$12:$O$432,$Z110))</f>
        <v/>
      </c>
      <c r="E110" s="153">
        <f>IF($C110="","",INDEX($P$12:$P$432,$Z110))</f>
        <v/>
      </c>
      <c r="F110" s="241">
        <f>IF($C110="","",INDEX($R$12:$R$432,$Z110))</f>
        <v/>
      </c>
      <c r="G110" s="241">
        <f>IF($C110="","",INDEX($S$12:$S$432,$Z110))</f>
        <v/>
      </c>
      <c r="H110" s="241">
        <f>IF($C110="","",N($H109)+$F110-$G110)</f>
        <v/>
      </c>
      <c r="I110" s="6" t="n"/>
      <c r="J110" s="6" t="n"/>
      <c r="K110" s="3" t="n"/>
      <c r="L110" s="3" t="n"/>
      <c r="M110" s="3" t="n">
        <v>99</v>
      </c>
      <c r="N110" s="3">
        <f>IF(OR($U110=0,$W110="",$X110&lt;=0),"",IF($W110&gt;TODAY(),"",IF(AND(INDEX(UCRETLER!$E$7:$E$406,$U110)&lt;&gt;"",$W110&gt;INDEX(UCRETLER!$E$7:$E$406,$U110)),"",$W110)))</f>
        <v/>
      </c>
      <c r="O110" s="3">
        <f>IF($N110="","",IF(INDEX(UCRETLER!$F$7:$F$406,$U110)="Aylık",CHOOSE(MONTH($N110),"Ocak","Şubat","Mart","Nisan","Mayıs","Haziran","Temmuz","Ağustos","Eylül","Ekim","Kasım","Aralık")&amp;" "&amp;YEAR($N110)&amp;" aylık muhasebe hizmet ücreti",RIGHT("0"&amp;DAY($N110),2)&amp;"."&amp;RIGHT("0"&amp;MONTH($N110),2)&amp;"."&amp;YEAR($N110)&amp;" haftalık muhasebe hizmet ücreti"))</f>
        <v/>
      </c>
      <c r="P110" s="3">
        <f>IF($N110="","","TAHAKKUK")</f>
        <v/>
      </c>
      <c r="Q110" s="3" t="n"/>
      <c r="R110" s="3">
        <f>IF($N110="",0,$X110)</f>
        <v/>
      </c>
      <c r="S110" s="3" t="n">
        <v>0</v>
      </c>
      <c r="T110" s="3">
        <f>IF($N110="",10000000000,$N110*100000+$M110)</f>
        <v/>
      </c>
      <c r="U110" s="3">
        <f>$AB$5</f>
        <v/>
      </c>
      <c r="V110" s="3" t="n">
        <v>18</v>
      </c>
      <c r="W110" s="3">
        <f>IF($U110=0,"",IF(INDEX(UCRETLER!$D$7:$D$406,$U110)="","",IF(INDEX(UCRETLER!$F$7:$F$406,$U110)="Aylık",EOMONTH(INDEX(UCRETLER!$D$7:$D$406,$U110),$V110-1),INDEX(UCRETLER!$D$7:$D$406,$U110)+MOD(SISTEM!$F$8-WEEKDAY(INDEX(UCRETLER!$D$7:$D$406,$U110),2),7)+7*($V110-1))))</f>
        <v/>
      </c>
      <c r="X110" s="3">
        <f>IF($U110=0,0,INDEX(UCRETLER!$G$7:$G$406,$U110))</f>
        <v/>
      </c>
      <c r="Y110" s="3">
        <f>IFERROR(SMALL($T$12:$T$432,ROW()-11),"")</f>
        <v/>
      </c>
      <c r="Z110" s="3">
        <f>IFERROR(MATCH($Y110,$T$12:$T$432,0),"")</f>
        <v/>
      </c>
      <c r="AA110" s="3" t="n"/>
      <c r="AB110" s="3" t="n"/>
      <c r="AC110" s="3" t="n"/>
      <c r="AD110" s="3" t="n"/>
    </row>
    <row r="111">
      <c r="A111" s="6" t="n"/>
      <c r="B111" s="153">
        <f>IF($C111="","",ROW()-11)</f>
        <v/>
      </c>
      <c r="C111" s="240">
        <f>IF($Z111="","",IF(INDEX($N$12:$N$432,$Z111)="","",INDEX($N$12:$N$432,$Z111)))</f>
        <v/>
      </c>
      <c r="D111" s="29">
        <f>IF($C111="","",INDEX($O$12:$O$432,$Z111))</f>
        <v/>
      </c>
      <c r="E111" s="153">
        <f>IF($C111="","",INDEX($P$12:$P$432,$Z111))</f>
        <v/>
      </c>
      <c r="F111" s="241">
        <f>IF($C111="","",INDEX($R$12:$R$432,$Z111))</f>
        <v/>
      </c>
      <c r="G111" s="241">
        <f>IF($C111="","",INDEX($S$12:$S$432,$Z111))</f>
        <v/>
      </c>
      <c r="H111" s="241">
        <f>IF($C111="","",N($H110)+$F111-$G111)</f>
        <v/>
      </c>
      <c r="I111" s="6" t="n"/>
      <c r="J111" s="6" t="n"/>
      <c r="K111" s="3" t="n"/>
      <c r="L111" s="3" t="n"/>
      <c r="M111" s="3" t="n">
        <v>100</v>
      </c>
      <c r="N111" s="3">
        <f>IF(OR($U111=0,$W111="",$X111&lt;=0),"",IF($W111&gt;TODAY(),"",IF(AND(INDEX(UCRETLER!$E$7:$E$406,$U111)&lt;&gt;"",$W111&gt;INDEX(UCRETLER!$E$7:$E$406,$U111)),"",$W111)))</f>
        <v/>
      </c>
      <c r="O111" s="3">
        <f>IF($N111="","",IF(INDEX(UCRETLER!$F$7:$F$406,$U111)="Aylık",CHOOSE(MONTH($N111),"Ocak","Şubat","Mart","Nisan","Mayıs","Haziran","Temmuz","Ağustos","Eylül","Ekim","Kasım","Aralık")&amp;" "&amp;YEAR($N111)&amp;" aylık muhasebe hizmet ücreti",RIGHT("0"&amp;DAY($N111),2)&amp;"."&amp;RIGHT("0"&amp;MONTH($N111),2)&amp;"."&amp;YEAR($N111)&amp;" haftalık muhasebe hizmet ücreti"))</f>
        <v/>
      </c>
      <c r="P111" s="3">
        <f>IF($N111="","","TAHAKKUK")</f>
        <v/>
      </c>
      <c r="Q111" s="3" t="n"/>
      <c r="R111" s="3">
        <f>IF($N111="",0,$X111)</f>
        <v/>
      </c>
      <c r="S111" s="3" t="n">
        <v>0</v>
      </c>
      <c r="T111" s="3">
        <f>IF($N111="",10000000000,$N111*100000+$M111)</f>
        <v/>
      </c>
      <c r="U111" s="3">
        <f>$AB$5</f>
        <v/>
      </c>
      <c r="V111" s="3" t="n">
        <v>19</v>
      </c>
      <c r="W111" s="3">
        <f>IF($U111=0,"",IF(INDEX(UCRETLER!$D$7:$D$406,$U111)="","",IF(INDEX(UCRETLER!$F$7:$F$406,$U111)="Aylık",EOMONTH(INDEX(UCRETLER!$D$7:$D$406,$U111),$V111-1),INDEX(UCRETLER!$D$7:$D$406,$U111)+MOD(SISTEM!$F$8-WEEKDAY(INDEX(UCRETLER!$D$7:$D$406,$U111),2),7)+7*($V111-1))))</f>
        <v/>
      </c>
      <c r="X111" s="3">
        <f>IF($U111=0,0,INDEX(UCRETLER!$G$7:$G$406,$U111))</f>
        <v/>
      </c>
      <c r="Y111" s="3">
        <f>IFERROR(SMALL($T$12:$T$432,ROW()-11),"")</f>
        <v/>
      </c>
      <c r="Z111" s="3">
        <f>IFERROR(MATCH($Y111,$T$12:$T$432,0),"")</f>
        <v/>
      </c>
      <c r="AA111" s="3" t="n"/>
      <c r="AB111" s="3" t="n"/>
      <c r="AC111" s="3" t="n"/>
      <c r="AD111" s="3" t="n"/>
    </row>
    <row r="112">
      <c r="A112" s="6" t="n"/>
      <c r="B112" s="153">
        <f>IF($C112="","",ROW()-11)</f>
        <v/>
      </c>
      <c r="C112" s="240">
        <f>IF($Z112="","",IF(INDEX($N$12:$N$432,$Z112)="","",INDEX($N$12:$N$432,$Z112)))</f>
        <v/>
      </c>
      <c r="D112" s="29">
        <f>IF($C112="","",INDEX($O$12:$O$432,$Z112))</f>
        <v/>
      </c>
      <c r="E112" s="153">
        <f>IF($C112="","",INDEX($P$12:$P$432,$Z112))</f>
        <v/>
      </c>
      <c r="F112" s="241">
        <f>IF($C112="","",INDEX($R$12:$R$432,$Z112))</f>
        <v/>
      </c>
      <c r="G112" s="241">
        <f>IF($C112="","",INDEX($S$12:$S$432,$Z112))</f>
        <v/>
      </c>
      <c r="H112" s="241">
        <f>IF($C112="","",N($H111)+$F112-$G112)</f>
        <v/>
      </c>
      <c r="I112" s="6" t="n"/>
      <c r="J112" s="6" t="n"/>
      <c r="K112" s="3" t="n"/>
      <c r="L112" s="3" t="n"/>
      <c r="M112" s="3" t="n">
        <v>101</v>
      </c>
      <c r="N112" s="3">
        <f>IF(OR($U112=0,$W112="",$X112&lt;=0),"",IF($W112&gt;TODAY(),"",IF(AND(INDEX(UCRETLER!$E$7:$E$406,$U112)&lt;&gt;"",$W112&gt;INDEX(UCRETLER!$E$7:$E$406,$U112)),"",$W112)))</f>
        <v/>
      </c>
      <c r="O112" s="3">
        <f>IF($N112="","",IF(INDEX(UCRETLER!$F$7:$F$406,$U112)="Aylık",CHOOSE(MONTH($N112),"Ocak","Şubat","Mart","Nisan","Mayıs","Haziran","Temmuz","Ağustos","Eylül","Ekim","Kasım","Aralık")&amp;" "&amp;YEAR($N112)&amp;" aylık muhasebe hizmet ücreti",RIGHT("0"&amp;DAY($N112),2)&amp;"."&amp;RIGHT("0"&amp;MONTH($N112),2)&amp;"."&amp;YEAR($N112)&amp;" haftalık muhasebe hizmet ücreti"))</f>
        <v/>
      </c>
      <c r="P112" s="3">
        <f>IF($N112="","","TAHAKKUK")</f>
        <v/>
      </c>
      <c r="Q112" s="3" t="n"/>
      <c r="R112" s="3">
        <f>IF($N112="",0,$X112)</f>
        <v/>
      </c>
      <c r="S112" s="3" t="n">
        <v>0</v>
      </c>
      <c r="T112" s="3">
        <f>IF($N112="",10000000000,$N112*100000+$M112)</f>
        <v/>
      </c>
      <c r="U112" s="3">
        <f>$AB$5</f>
        <v/>
      </c>
      <c r="V112" s="3" t="n">
        <v>20</v>
      </c>
      <c r="W112" s="3">
        <f>IF($U112=0,"",IF(INDEX(UCRETLER!$D$7:$D$406,$U112)="","",IF(INDEX(UCRETLER!$F$7:$F$406,$U112)="Aylık",EOMONTH(INDEX(UCRETLER!$D$7:$D$406,$U112),$V112-1),INDEX(UCRETLER!$D$7:$D$406,$U112)+MOD(SISTEM!$F$8-WEEKDAY(INDEX(UCRETLER!$D$7:$D$406,$U112),2),7)+7*($V112-1))))</f>
        <v/>
      </c>
      <c r="X112" s="3">
        <f>IF($U112=0,0,INDEX(UCRETLER!$G$7:$G$406,$U112))</f>
        <v/>
      </c>
      <c r="Y112" s="3">
        <f>IFERROR(SMALL($T$12:$T$432,ROW()-11),"")</f>
        <v/>
      </c>
      <c r="Z112" s="3">
        <f>IFERROR(MATCH($Y112,$T$12:$T$432,0),"")</f>
        <v/>
      </c>
      <c r="AA112" s="3" t="n"/>
      <c r="AB112" s="3" t="n"/>
      <c r="AC112" s="3" t="n"/>
      <c r="AD112" s="3" t="n"/>
    </row>
    <row r="113">
      <c r="A113" s="6" t="n"/>
      <c r="B113" s="153">
        <f>IF($C113="","",ROW()-11)</f>
        <v/>
      </c>
      <c r="C113" s="240">
        <f>IF($Z113="","",IF(INDEX($N$12:$N$432,$Z113)="","",INDEX($N$12:$N$432,$Z113)))</f>
        <v/>
      </c>
      <c r="D113" s="29">
        <f>IF($C113="","",INDEX($O$12:$O$432,$Z113))</f>
        <v/>
      </c>
      <c r="E113" s="153">
        <f>IF($C113="","",INDEX($P$12:$P$432,$Z113))</f>
        <v/>
      </c>
      <c r="F113" s="241">
        <f>IF($C113="","",INDEX($R$12:$R$432,$Z113))</f>
        <v/>
      </c>
      <c r="G113" s="241">
        <f>IF($C113="","",INDEX($S$12:$S$432,$Z113))</f>
        <v/>
      </c>
      <c r="H113" s="241">
        <f>IF($C113="","",N($H112)+$F113-$G113)</f>
        <v/>
      </c>
      <c r="I113" s="6" t="n"/>
      <c r="J113" s="6" t="n"/>
      <c r="K113" s="3" t="n"/>
      <c r="L113" s="3" t="n"/>
      <c r="M113" s="3" t="n">
        <v>102</v>
      </c>
      <c r="N113" s="3">
        <f>IF(OR($U113=0,$W113="",$X113&lt;=0),"",IF($W113&gt;TODAY(),"",IF(AND(INDEX(UCRETLER!$E$7:$E$406,$U113)&lt;&gt;"",$W113&gt;INDEX(UCRETLER!$E$7:$E$406,$U113)),"",$W113)))</f>
        <v/>
      </c>
      <c r="O113" s="3">
        <f>IF($N113="","",IF(INDEX(UCRETLER!$F$7:$F$406,$U113)="Aylık",CHOOSE(MONTH($N113),"Ocak","Şubat","Mart","Nisan","Mayıs","Haziran","Temmuz","Ağustos","Eylül","Ekim","Kasım","Aralık")&amp;" "&amp;YEAR($N113)&amp;" aylık muhasebe hizmet ücreti",RIGHT("0"&amp;DAY($N113),2)&amp;"."&amp;RIGHT("0"&amp;MONTH($N113),2)&amp;"."&amp;YEAR($N113)&amp;" haftalık muhasebe hizmet ücreti"))</f>
        <v/>
      </c>
      <c r="P113" s="3">
        <f>IF($N113="","","TAHAKKUK")</f>
        <v/>
      </c>
      <c r="Q113" s="3" t="n"/>
      <c r="R113" s="3">
        <f>IF($N113="",0,$X113)</f>
        <v/>
      </c>
      <c r="S113" s="3" t="n">
        <v>0</v>
      </c>
      <c r="T113" s="3">
        <f>IF($N113="",10000000000,$N113*100000+$M113)</f>
        <v/>
      </c>
      <c r="U113" s="3">
        <f>$AB$5</f>
        <v/>
      </c>
      <c r="V113" s="3" t="n">
        <v>21</v>
      </c>
      <c r="W113" s="3">
        <f>IF($U113=0,"",IF(INDEX(UCRETLER!$D$7:$D$406,$U113)="","",IF(INDEX(UCRETLER!$F$7:$F$406,$U113)="Aylık",EOMONTH(INDEX(UCRETLER!$D$7:$D$406,$U113),$V113-1),INDEX(UCRETLER!$D$7:$D$406,$U113)+MOD(SISTEM!$F$8-WEEKDAY(INDEX(UCRETLER!$D$7:$D$406,$U113),2),7)+7*($V113-1))))</f>
        <v/>
      </c>
      <c r="X113" s="3">
        <f>IF($U113=0,0,INDEX(UCRETLER!$G$7:$G$406,$U113))</f>
        <v/>
      </c>
      <c r="Y113" s="3">
        <f>IFERROR(SMALL($T$12:$T$432,ROW()-11),"")</f>
        <v/>
      </c>
      <c r="Z113" s="3">
        <f>IFERROR(MATCH($Y113,$T$12:$T$432,0),"")</f>
        <v/>
      </c>
      <c r="AA113" s="3" t="n"/>
      <c r="AB113" s="3" t="n"/>
      <c r="AC113" s="3" t="n"/>
      <c r="AD113" s="3" t="n"/>
    </row>
    <row r="114">
      <c r="A114" s="6" t="n"/>
      <c r="B114" s="153">
        <f>IF($C114="","",ROW()-11)</f>
        <v/>
      </c>
      <c r="C114" s="240">
        <f>IF($Z114="","",IF(INDEX($N$12:$N$432,$Z114)="","",INDEX($N$12:$N$432,$Z114)))</f>
        <v/>
      </c>
      <c r="D114" s="29">
        <f>IF($C114="","",INDEX($O$12:$O$432,$Z114))</f>
        <v/>
      </c>
      <c r="E114" s="153">
        <f>IF($C114="","",INDEX($P$12:$P$432,$Z114))</f>
        <v/>
      </c>
      <c r="F114" s="241">
        <f>IF($C114="","",INDEX($R$12:$R$432,$Z114))</f>
        <v/>
      </c>
      <c r="G114" s="241">
        <f>IF($C114="","",INDEX($S$12:$S$432,$Z114))</f>
        <v/>
      </c>
      <c r="H114" s="241">
        <f>IF($C114="","",N($H113)+$F114-$G114)</f>
        <v/>
      </c>
      <c r="I114" s="6" t="n"/>
      <c r="J114" s="6" t="n"/>
      <c r="K114" s="3" t="n"/>
      <c r="L114" s="3" t="n"/>
      <c r="M114" s="3" t="n">
        <v>103</v>
      </c>
      <c r="N114" s="3">
        <f>IF(OR($U114=0,$W114="",$X114&lt;=0),"",IF($W114&gt;TODAY(),"",IF(AND(INDEX(UCRETLER!$E$7:$E$406,$U114)&lt;&gt;"",$W114&gt;INDEX(UCRETLER!$E$7:$E$406,$U114)),"",$W114)))</f>
        <v/>
      </c>
      <c r="O114" s="3">
        <f>IF($N114="","",IF(INDEX(UCRETLER!$F$7:$F$406,$U114)="Aylık",CHOOSE(MONTH($N114),"Ocak","Şubat","Mart","Nisan","Mayıs","Haziran","Temmuz","Ağustos","Eylül","Ekim","Kasım","Aralık")&amp;" "&amp;YEAR($N114)&amp;" aylık muhasebe hizmet ücreti",RIGHT("0"&amp;DAY($N114),2)&amp;"."&amp;RIGHT("0"&amp;MONTH($N114),2)&amp;"."&amp;YEAR($N114)&amp;" haftalık muhasebe hizmet ücreti"))</f>
        <v/>
      </c>
      <c r="P114" s="3">
        <f>IF($N114="","","TAHAKKUK")</f>
        <v/>
      </c>
      <c r="Q114" s="3" t="n"/>
      <c r="R114" s="3">
        <f>IF($N114="",0,$X114)</f>
        <v/>
      </c>
      <c r="S114" s="3" t="n">
        <v>0</v>
      </c>
      <c r="T114" s="3">
        <f>IF($N114="",10000000000,$N114*100000+$M114)</f>
        <v/>
      </c>
      <c r="U114" s="3">
        <f>$AB$5</f>
        <v/>
      </c>
      <c r="V114" s="3" t="n">
        <v>22</v>
      </c>
      <c r="W114" s="3">
        <f>IF($U114=0,"",IF(INDEX(UCRETLER!$D$7:$D$406,$U114)="","",IF(INDEX(UCRETLER!$F$7:$F$406,$U114)="Aylık",EOMONTH(INDEX(UCRETLER!$D$7:$D$406,$U114),$V114-1),INDEX(UCRETLER!$D$7:$D$406,$U114)+MOD(SISTEM!$F$8-WEEKDAY(INDEX(UCRETLER!$D$7:$D$406,$U114),2),7)+7*($V114-1))))</f>
        <v/>
      </c>
      <c r="X114" s="3">
        <f>IF($U114=0,0,INDEX(UCRETLER!$G$7:$G$406,$U114))</f>
        <v/>
      </c>
      <c r="Y114" s="3">
        <f>IFERROR(SMALL($T$12:$T$432,ROW()-11),"")</f>
        <v/>
      </c>
      <c r="Z114" s="3">
        <f>IFERROR(MATCH($Y114,$T$12:$T$432,0),"")</f>
        <v/>
      </c>
      <c r="AA114" s="3" t="n"/>
      <c r="AB114" s="3" t="n"/>
      <c r="AC114" s="3" t="n"/>
      <c r="AD114" s="3" t="n"/>
    </row>
    <row r="115">
      <c r="A115" s="6" t="n"/>
      <c r="B115" s="153">
        <f>IF($C115="","",ROW()-11)</f>
        <v/>
      </c>
      <c r="C115" s="240">
        <f>IF($Z115="","",IF(INDEX($N$12:$N$432,$Z115)="","",INDEX($N$12:$N$432,$Z115)))</f>
        <v/>
      </c>
      <c r="D115" s="29">
        <f>IF($C115="","",INDEX($O$12:$O$432,$Z115))</f>
        <v/>
      </c>
      <c r="E115" s="153">
        <f>IF($C115="","",INDEX($P$12:$P$432,$Z115))</f>
        <v/>
      </c>
      <c r="F115" s="241">
        <f>IF($C115="","",INDEX($R$12:$R$432,$Z115))</f>
        <v/>
      </c>
      <c r="G115" s="241">
        <f>IF($C115="","",INDEX($S$12:$S$432,$Z115))</f>
        <v/>
      </c>
      <c r="H115" s="241">
        <f>IF($C115="","",N($H114)+$F115-$G115)</f>
        <v/>
      </c>
      <c r="I115" s="6" t="n"/>
      <c r="J115" s="6" t="n"/>
      <c r="K115" s="3" t="n"/>
      <c r="L115" s="3" t="n"/>
      <c r="M115" s="3" t="n">
        <v>104</v>
      </c>
      <c r="N115" s="3">
        <f>IF(OR($U115=0,$W115="",$X115&lt;=0),"",IF($W115&gt;TODAY(),"",IF(AND(INDEX(UCRETLER!$E$7:$E$406,$U115)&lt;&gt;"",$W115&gt;INDEX(UCRETLER!$E$7:$E$406,$U115)),"",$W115)))</f>
        <v/>
      </c>
      <c r="O115" s="3">
        <f>IF($N115="","",IF(INDEX(UCRETLER!$F$7:$F$406,$U115)="Aylık",CHOOSE(MONTH($N115),"Ocak","Şubat","Mart","Nisan","Mayıs","Haziran","Temmuz","Ağustos","Eylül","Ekim","Kasım","Aralık")&amp;" "&amp;YEAR($N115)&amp;" aylık muhasebe hizmet ücreti",RIGHT("0"&amp;DAY($N115),2)&amp;"."&amp;RIGHT("0"&amp;MONTH($N115),2)&amp;"."&amp;YEAR($N115)&amp;" haftalık muhasebe hizmet ücreti"))</f>
        <v/>
      </c>
      <c r="P115" s="3">
        <f>IF($N115="","","TAHAKKUK")</f>
        <v/>
      </c>
      <c r="Q115" s="3" t="n"/>
      <c r="R115" s="3">
        <f>IF($N115="",0,$X115)</f>
        <v/>
      </c>
      <c r="S115" s="3" t="n">
        <v>0</v>
      </c>
      <c r="T115" s="3">
        <f>IF($N115="",10000000000,$N115*100000+$M115)</f>
        <v/>
      </c>
      <c r="U115" s="3">
        <f>$AB$5</f>
        <v/>
      </c>
      <c r="V115" s="3" t="n">
        <v>23</v>
      </c>
      <c r="W115" s="3">
        <f>IF($U115=0,"",IF(INDEX(UCRETLER!$D$7:$D$406,$U115)="","",IF(INDEX(UCRETLER!$F$7:$F$406,$U115)="Aylık",EOMONTH(INDEX(UCRETLER!$D$7:$D$406,$U115),$V115-1),INDEX(UCRETLER!$D$7:$D$406,$U115)+MOD(SISTEM!$F$8-WEEKDAY(INDEX(UCRETLER!$D$7:$D$406,$U115),2),7)+7*($V115-1))))</f>
        <v/>
      </c>
      <c r="X115" s="3">
        <f>IF($U115=0,0,INDEX(UCRETLER!$G$7:$G$406,$U115))</f>
        <v/>
      </c>
      <c r="Y115" s="3">
        <f>IFERROR(SMALL($T$12:$T$432,ROW()-11),"")</f>
        <v/>
      </c>
      <c r="Z115" s="3">
        <f>IFERROR(MATCH($Y115,$T$12:$T$432,0),"")</f>
        <v/>
      </c>
      <c r="AA115" s="3" t="n"/>
      <c r="AB115" s="3" t="n"/>
      <c r="AC115" s="3" t="n"/>
      <c r="AD115" s="3" t="n"/>
    </row>
    <row r="116">
      <c r="A116" s="6" t="n"/>
      <c r="B116" s="153">
        <f>IF($C116="","",ROW()-11)</f>
        <v/>
      </c>
      <c r="C116" s="240">
        <f>IF($Z116="","",IF(INDEX($N$12:$N$432,$Z116)="","",INDEX($N$12:$N$432,$Z116)))</f>
        <v/>
      </c>
      <c r="D116" s="29">
        <f>IF($C116="","",INDEX($O$12:$O$432,$Z116))</f>
        <v/>
      </c>
      <c r="E116" s="153">
        <f>IF($C116="","",INDEX($P$12:$P$432,$Z116))</f>
        <v/>
      </c>
      <c r="F116" s="241">
        <f>IF($C116="","",INDEX($R$12:$R$432,$Z116))</f>
        <v/>
      </c>
      <c r="G116" s="241">
        <f>IF($C116="","",INDEX($S$12:$S$432,$Z116))</f>
        <v/>
      </c>
      <c r="H116" s="241">
        <f>IF($C116="","",N($H115)+$F116-$G116)</f>
        <v/>
      </c>
      <c r="I116" s="6" t="n"/>
      <c r="J116" s="6" t="n"/>
      <c r="K116" s="3" t="n"/>
      <c r="L116" s="3" t="n"/>
      <c r="M116" s="3" t="n">
        <v>105</v>
      </c>
      <c r="N116" s="3">
        <f>IF(OR($U116=0,$W116="",$X116&lt;=0),"",IF($W116&gt;TODAY(),"",IF(AND(INDEX(UCRETLER!$E$7:$E$406,$U116)&lt;&gt;"",$W116&gt;INDEX(UCRETLER!$E$7:$E$406,$U116)),"",$W116)))</f>
        <v/>
      </c>
      <c r="O116" s="3">
        <f>IF($N116="","",IF(INDEX(UCRETLER!$F$7:$F$406,$U116)="Aylık",CHOOSE(MONTH($N116),"Ocak","Şubat","Mart","Nisan","Mayıs","Haziran","Temmuz","Ağustos","Eylül","Ekim","Kasım","Aralık")&amp;" "&amp;YEAR($N116)&amp;" aylık muhasebe hizmet ücreti",RIGHT("0"&amp;DAY($N116),2)&amp;"."&amp;RIGHT("0"&amp;MONTH($N116),2)&amp;"."&amp;YEAR($N116)&amp;" haftalık muhasebe hizmet ücreti"))</f>
        <v/>
      </c>
      <c r="P116" s="3">
        <f>IF($N116="","","TAHAKKUK")</f>
        <v/>
      </c>
      <c r="Q116" s="3" t="n"/>
      <c r="R116" s="3">
        <f>IF($N116="",0,$X116)</f>
        <v/>
      </c>
      <c r="S116" s="3" t="n">
        <v>0</v>
      </c>
      <c r="T116" s="3">
        <f>IF($N116="",10000000000,$N116*100000+$M116)</f>
        <v/>
      </c>
      <c r="U116" s="3">
        <f>$AB$5</f>
        <v/>
      </c>
      <c r="V116" s="3" t="n">
        <v>24</v>
      </c>
      <c r="W116" s="3">
        <f>IF($U116=0,"",IF(INDEX(UCRETLER!$D$7:$D$406,$U116)="","",IF(INDEX(UCRETLER!$F$7:$F$406,$U116)="Aylık",EOMONTH(INDEX(UCRETLER!$D$7:$D$406,$U116),$V116-1),INDEX(UCRETLER!$D$7:$D$406,$U116)+MOD(SISTEM!$F$8-WEEKDAY(INDEX(UCRETLER!$D$7:$D$406,$U116),2),7)+7*($V116-1))))</f>
        <v/>
      </c>
      <c r="X116" s="3">
        <f>IF($U116=0,0,INDEX(UCRETLER!$G$7:$G$406,$U116))</f>
        <v/>
      </c>
      <c r="Y116" s="3">
        <f>IFERROR(SMALL($T$12:$T$432,ROW()-11),"")</f>
        <v/>
      </c>
      <c r="Z116" s="3">
        <f>IFERROR(MATCH($Y116,$T$12:$T$432,0),"")</f>
        <v/>
      </c>
      <c r="AA116" s="3" t="n"/>
      <c r="AB116" s="3" t="n"/>
      <c r="AC116" s="3" t="n"/>
      <c r="AD116" s="3" t="n"/>
    </row>
    <row r="117">
      <c r="A117" s="6" t="n"/>
      <c r="B117" s="153">
        <f>IF($C117="","",ROW()-11)</f>
        <v/>
      </c>
      <c r="C117" s="240">
        <f>IF($Z117="","",IF(INDEX($N$12:$N$432,$Z117)="","",INDEX($N$12:$N$432,$Z117)))</f>
        <v/>
      </c>
      <c r="D117" s="29">
        <f>IF($C117="","",INDEX($O$12:$O$432,$Z117))</f>
        <v/>
      </c>
      <c r="E117" s="153">
        <f>IF($C117="","",INDEX($P$12:$P$432,$Z117))</f>
        <v/>
      </c>
      <c r="F117" s="241">
        <f>IF($C117="","",INDEX($R$12:$R$432,$Z117))</f>
        <v/>
      </c>
      <c r="G117" s="241">
        <f>IF($C117="","",INDEX($S$12:$S$432,$Z117))</f>
        <v/>
      </c>
      <c r="H117" s="241">
        <f>IF($C117="","",N($H116)+$F117-$G117)</f>
        <v/>
      </c>
      <c r="I117" s="6" t="n"/>
      <c r="J117" s="6" t="n"/>
      <c r="K117" s="3" t="n"/>
      <c r="L117" s="3" t="n"/>
      <c r="M117" s="3" t="n">
        <v>106</v>
      </c>
      <c r="N117" s="3">
        <f>IF(OR($U117=0,$W117="",$X117&lt;=0),"",IF($W117&gt;TODAY(),"",IF(AND(INDEX(UCRETLER!$E$7:$E$406,$U117)&lt;&gt;"",$W117&gt;INDEX(UCRETLER!$E$7:$E$406,$U117)),"",$W117)))</f>
        <v/>
      </c>
      <c r="O117" s="3">
        <f>IF($N117="","",IF(INDEX(UCRETLER!$F$7:$F$406,$U117)="Aylık",CHOOSE(MONTH($N117),"Ocak","Şubat","Mart","Nisan","Mayıs","Haziran","Temmuz","Ağustos","Eylül","Ekim","Kasım","Aralık")&amp;" "&amp;YEAR($N117)&amp;" aylık muhasebe hizmet ücreti",RIGHT("0"&amp;DAY($N117),2)&amp;"."&amp;RIGHT("0"&amp;MONTH($N117),2)&amp;"."&amp;YEAR($N117)&amp;" haftalık muhasebe hizmet ücreti"))</f>
        <v/>
      </c>
      <c r="P117" s="3">
        <f>IF($N117="","","TAHAKKUK")</f>
        <v/>
      </c>
      <c r="Q117" s="3" t="n"/>
      <c r="R117" s="3">
        <f>IF($N117="",0,$X117)</f>
        <v/>
      </c>
      <c r="S117" s="3" t="n">
        <v>0</v>
      </c>
      <c r="T117" s="3">
        <f>IF($N117="",10000000000,$N117*100000+$M117)</f>
        <v/>
      </c>
      <c r="U117" s="3">
        <f>$AB$5</f>
        <v/>
      </c>
      <c r="V117" s="3" t="n">
        <v>25</v>
      </c>
      <c r="W117" s="3">
        <f>IF($U117=0,"",IF(INDEX(UCRETLER!$D$7:$D$406,$U117)="","",IF(INDEX(UCRETLER!$F$7:$F$406,$U117)="Aylık",EOMONTH(INDEX(UCRETLER!$D$7:$D$406,$U117),$V117-1),INDEX(UCRETLER!$D$7:$D$406,$U117)+MOD(SISTEM!$F$8-WEEKDAY(INDEX(UCRETLER!$D$7:$D$406,$U117),2),7)+7*($V117-1))))</f>
        <v/>
      </c>
      <c r="X117" s="3">
        <f>IF($U117=0,0,INDEX(UCRETLER!$G$7:$G$406,$U117))</f>
        <v/>
      </c>
      <c r="Y117" s="3">
        <f>IFERROR(SMALL($T$12:$T$432,ROW()-11),"")</f>
        <v/>
      </c>
      <c r="Z117" s="3">
        <f>IFERROR(MATCH($Y117,$T$12:$T$432,0),"")</f>
        <v/>
      </c>
      <c r="AA117" s="3" t="n"/>
      <c r="AB117" s="3" t="n"/>
      <c r="AC117" s="3" t="n"/>
      <c r="AD117" s="3" t="n"/>
    </row>
    <row r="118">
      <c r="A118" s="6" t="n"/>
      <c r="B118" s="153">
        <f>IF($C118="","",ROW()-11)</f>
        <v/>
      </c>
      <c r="C118" s="240">
        <f>IF($Z118="","",IF(INDEX($N$12:$N$432,$Z118)="","",INDEX($N$12:$N$432,$Z118)))</f>
        <v/>
      </c>
      <c r="D118" s="29">
        <f>IF($C118="","",INDEX($O$12:$O$432,$Z118))</f>
        <v/>
      </c>
      <c r="E118" s="153">
        <f>IF($C118="","",INDEX($P$12:$P$432,$Z118))</f>
        <v/>
      </c>
      <c r="F118" s="241">
        <f>IF($C118="","",INDEX($R$12:$R$432,$Z118))</f>
        <v/>
      </c>
      <c r="G118" s="241">
        <f>IF($C118="","",INDEX($S$12:$S$432,$Z118))</f>
        <v/>
      </c>
      <c r="H118" s="241">
        <f>IF($C118="","",N($H117)+$F118-$G118)</f>
        <v/>
      </c>
      <c r="I118" s="6" t="n"/>
      <c r="J118" s="6" t="n"/>
      <c r="K118" s="3" t="n"/>
      <c r="L118" s="3" t="n"/>
      <c r="M118" s="3" t="n">
        <v>107</v>
      </c>
      <c r="N118" s="3">
        <f>IF(OR($U118=0,$W118="",$X118&lt;=0),"",IF($W118&gt;TODAY(),"",IF(AND(INDEX(UCRETLER!$E$7:$E$406,$U118)&lt;&gt;"",$W118&gt;INDEX(UCRETLER!$E$7:$E$406,$U118)),"",$W118)))</f>
        <v/>
      </c>
      <c r="O118" s="3">
        <f>IF($N118="","",IF(INDEX(UCRETLER!$F$7:$F$406,$U118)="Aylık",CHOOSE(MONTH($N118),"Ocak","Şubat","Mart","Nisan","Mayıs","Haziran","Temmuz","Ağustos","Eylül","Ekim","Kasım","Aralık")&amp;" "&amp;YEAR($N118)&amp;" aylık muhasebe hizmet ücreti",RIGHT("0"&amp;DAY($N118),2)&amp;"."&amp;RIGHT("0"&amp;MONTH($N118),2)&amp;"."&amp;YEAR($N118)&amp;" haftalık muhasebe hizmet ücreti"))</f>
        <v/>
      </c>
      <c r="P118" s="3">
        <f>IF($N118="","","TAHAKKUK")</f>
        <v/>
      </c>
      <c r="Q118" s="3" t="n"/>
      <c r="R118" s="3">
        <f>IF($N118="",0,$X118)</f>
        <v/>
      </c>
      <c r="S118" s="3" t="n">
        <v>0</v>
      </c>
      <c r="T118" s="3">
        <f>IF($N118="",10000000000,$N118*100000+$M118)</f>
        <v/>
      </c>
      <c r="U118" s="3">
        <f>$AB$5</f>
        <v/>
      </c>
      <c r="V118" s="3" t="n">
        <v>26</v>
      </c>
      <c r="W118" s="3">
        <f>IF($U118=0,"",IF(INDEX(UCRETLER!$D$7:$D$406,$U118)="","",IF(INDEX(UCRETLER!$F$7:$F$406,$U118)="Aylık",EOMONTH(INDEX(UCRETLER!$D$7:$D$406,$U118),$V118-1),INDEX(UCRETLER!$D$7:$D$406,$U118)+MOD(SISTEM!$F$8-WEEKDAY(INDEX(UCRETLER!$D$7:$D$406,$U118),2),7)+7*($V118-1))))</f>
        <v/>
      </c>
      <c r="X118" s="3">
        <f>IF($U118=0,0,INDEX(UCRETLER!$G$7:$G$406,$U118))</f>
        <v/>
      </c>
      <c r="Y118" s="3">
        <f>IFERROR(SMALL($T$12:$T$432,ROW()-11),"")</f>
        <v/>
      </c>
      <c r="Z118" s="3">
        <f>IFERROR(MATCH($Y118,$T$12:$T$432,0),"")</f>
        <v/>
      </c>
      <c r="AA118" s="3" t="n"/>
      <c r="AB118" s="3" t="n"/>
      <c r="AC118" s="3" t="n"/>
      <c r="AD118" s="3" t="n"/>
    </row>
    <row r="119">
      <c r="A119" s="6" t="n"/>
      <c r="B119" s="153">
        <f>IF($C119="","",ROW()-11)</f>
        <v/>
      </c>
      <c r="C119" s="240">
        <f>IF($Z119="","",IF(INDEX($N$12:$N$432,$Z119)="","",INDEX($N$12:$N$432,$Z119)))</f>
        <v/>
      </c>
      <c r="D119" s="29">
        <f>IF($C119="","",INDEX($O$12:$O$432,$Z119))</f>
        <v/>
      </c>
      <c r="E119" s="153">
        <f>IF($C119="","",INDEX($P$12:$P$432,$Z119))</f>
        <v/>
      </c>
      <c r="F119" s="241">
        <f>IF($C119="","",INDEX($R$12:$R$432,$Z119))</f>
        <v/>
      </c>
      <c r="G119" s="241">
        <f>IF($C119="","",INDEX($S$12:$S$432,$Z119))</f>
        <v/>
      </c>
      <c r="H119" s="241">
        <f>IF($C119="","",N($H118)+$F119-$G119)</f>
        <v/>
      </c>
      <c r="I119" s="6" t="n"/>
      <c r="J119" s="6" t="n"/>
      <c r="K119" s="3" t="n"/>
      <c r="L119" s="3" t="n"/>
      <c r="M119" s="3" t="n">
        <v>108</v>
      </c>
      <c r="N119" s="3">
        <f>IF(OR($U119=0,$W119="",$X119&lt;=0),"",IF($W119&gt;TODAY(),"",IF(AND(INDEX(UCRETLER!$E$7:$E$406,$U119)&lt;&gt;"",$W119&gt;INDEX(UCRETLER!$E$7:$E$406,$U119)),"",$W119)))</f>
        <v/>
      </c>
      <c r="O119" s="3">
        <f>IF($N119="","",IF(INDEX(UCRETLER!$F$7:$F$406,$U119)="Aylık",CHOOSE(MONTH($N119),"Ocak","Şubat","Mart","Nisan","Mayıs","Haziran","Temmuz","Ağustos","Eylül","Ekim","Kasım","Aralık")&amp;" "&amp;YEAR($N119)&amp;" aylık muhasebe hizmet ücreti",RIGHT("0"&amp;DAY($N119),2)&amp;"."&amp;RIGHT("0"&amp;MONTH($N119),2)&amp;"."&amp;YEAR($N119)&amp;" haftalık muhasebe hizmet ücreti"))</f>
        <v/>
      </c>
      <c r="P119" s="3">
        <f>IF($N119="","","TAHAKKUK")</f>
        <v/>
      </c>
      <c r="Q119" s="3" t="n"/>
      <c r="R119" s="3">
        <f>IF($N119="",0,$X119)</f>
        <v/>
      </c>
      <c r="S119" s="3" t="n">
        <v>0</v>
      </c>
      <c r="T119" s="3">
        <f>IF($N119="",10000000000,$N119*100000+$M119)</f>
        <v/>
      </c>
      <c r="U119" s="3">
        <f>$AB$5</f>
        <v/>
      </c>
      <c r="V119" s="3" t="n">
        <v>27</v>
      </c>
      <c r="W119" s="3">
        <f>IF($U119=0,"",IF(INDEX(UCRETLER!$D$7:$D$406,$U119)="","",IF(INDEX(UCRETLER!$F$7:$F$406,$U119)="Aylık",EOMONTH(INDEX(UCRETLER!$D$7:$D$406,$U119),$V119-1),INDEX(UCRETLER!$D$7:$D$406,$U119)+MOD(SISTEM!$F$8-WEEKDAY(INDEX(UCRETLER!$D$7:$D$406,$U119),2),7)+7*($V119-1))))</f>
        <v/>
      </c>
      <c r="X119" s="3">
        <f>IF($U119=0,0,INDEX(UCRETLER!$G$7:$G$406,$U119))</f>
        <v/>
      </c>
      <c r="Y119" s="3">
        <f>IFERROR(SMALL($T$12:$T$432,ROW()-11),"")</f>
        <v/>
      </c>
      <c r="Z119" s="3">
        <f>IFERROR(MATCH($Y119,$T$12:$T$432,0),"")</f>
        <v/>
      </c>
      <c r="AA119" s="3" t="n"/>
      <c r="AB119" s="3" t="n"/>
      <c r="AC119" s="3" t="n"/>
      <c r="AD119" s="3" t="n"/>
    </row>
    <row r="120">
      <c r="A120" s="6" t="n"/>
      <c r="B120" s="153">
        <f>IF($C120="","",ROW()-11)</f>
        <v/>
      </c>
      <c r="C120" s="240">
        <f>IF($Z120="","",IF(INDEX($N$12:$N$432,$Z120)="","",INDEX($N$12:$N$432,$Z120)))</f>
        <v/>
      </c>
      <c r="D120" s="29">
        <f>IF($C120="","",INDEX($O$12:$O$432,$Z120))</f>
        <v/>
      </c>
      <c r="E120" s="153">
        <f>IF($C120="","",INDEX($P$12:$P$432,$Z120))</f>
        <v/>
      </c>
      <c r="F120" s="241">
        <f>IF($C120="","",INDEX($R$12:$R$432,$Z120))</f>
        <v/>
      </c>
      <c r="G120" s="241">
        <f>IF($C120="","",INDEX($S$12:$S$432,$Z120))</f>
        <v/>
      </c>
      <c r="H120" s="241">
        <f>IF($C120="","",N($H119)+$F120-$G120)</f>
        <v/>
      </c>
      <c r="I120" s="6" t="n"/>
      <c r="J120" s="6" t="n"/>
      <c r="K120" s="3" t="n"/>
      <c r="L120" s="3" t="n"/>
      <c r="M120" s="3" t="n">
        <v>109</v>
      </c>
      <c r="N120" s="3">
        <f>IF(OR($U120=0,$W120="",$X120&lt;=0),"",IF($W120&gt;TODAY(),"",IF(AND(INDEX(UCRETLER!$E$7:$E$406,$U120)&lt;&gt;"",$W120&gt;INDEX(UCRETLER!$E$7:$E$406,$U120)),"",$W120)))</f>
        <v/>
      </c>
      <c r="O120" s="3">
        <f>IF($N120="","",IF(INDEX(UCRETLER!$F$7:$F$406,$U120)="Aylık",CHOOSE(MONTH($N120),"Ocak","Şubat","Mart","Nisan","Mayıs","Haziran","Temmuz","Ağustos","Eylül","Ekim","Kasım","Aralık")&amp;" "&amp;YEAR($N120)&amp;" aylık muhasebe hizmet ücreti",RIGHT("0"&amp;DAY($N120),2)&amp;"."&amp;RIGHT("0"&amp;MONTH($N120),2)&amp;"."&amp;YEAR($N120)&amp;" haftalık muhasebe hizmet ücreti"))</f>
        <v/>
      </c>
      <c r="P120" s="3">
        <f>IF($N120="","","TAHAKKUK")</f>
        <v/>
      </c>
      <c r="Q120" s="3" t="n"/>
      <c r="R120" s="3">
        <f>IF($N120="",0,$X120)</f>
        <v/>
      </c>
      <c r="S120" s="3" t="n">
        <v>0</v>
      </c>
      <c r="T120" s="3">
        <f>IF($N120="",10000000000,$N120*100000+$M120)</f>
        <v/>
      </c>
      <c r="U120" s="3">
        <f>$AB$5</f>
        <v/>
      </c>
      <c r="V120" s="3" t="n">
        <v>28</v>
      </c>
      <c r="W120" s="3">
        <f>IF($U120=0,"",IF(INDEX(UCRETLER!$D$7:$D$406,$U120)="","",IF(INDEX(UCRETLER!$F$7:$F$406,$U120)="Aylık",EOMONTH(INDEX(UCRETLER!$D$7:$D$406,$U120),$V120-1),INDEX(UCRETLER!$D$7:$D$406,$U120)+MOD(SISTEM!$F$8-WEEKDAY(INDEX(UCRETLER!$D$7:$D$406,$U120),2),7)+7*($V120-1))))</f>
        <v/>
      </c>
      <c r="X120" s="3">
        <f>IF($U120=0,0,INDEX(UCRETLER!$G$7:$G$406,$U120))</f>
        <v/>
      </c>
      <c r="Y120" s="3">
        <f>IFERROR(SMALL($T$12:$T$432,ROW()-11),"")</f>
        <v/>
      </c>
      <c r="Z120" s="3">
        <f>IFERROR(MATCH($Y120,$T$12:$T$432,0),"")</f>
        <v/>
      </c>
      <c r="AA120" s="3" t="n"/>
      <c r="AB120" s="3" t="n"/>
      <c r="AC120" s="3" t="n"/>
      <c r="AD120" s="3" t="n"/>
    </row>
    <row r="121">
      <c r="A121" s="6" t="n"/>
      <c r="B121" s="153">
        <f>IF($C121="","",ROW()-11)</f>
        <v/>
      </c>
      <c r="C121" s="240">
        <f>IF($Z121="","",IF(INDEX($N$12:$N$432,$Z121)="","",INDEX($N$12:$N$432,$Z121)))</f>
        <v/>
      </c>
      <c r="D121" s="29">
        <f>IF($C121="","",INDEX($O$12:$O$432,$Z121))</f>
        <v/>
      </c>
      <c r="E121" s="153">
        <f>IF($C121="","",INDEX($P$12:$P$432,$Z121))</f>
        <v/>
      </c>
      <c r="F121" s="241">
        <f>IF($C121="","",INDEX($R$12:$R$432,$Z121))</f>
        <v/>
      </c>
      <c r="G121" s="241">
        <f>IF($C121="","",INDEX($S$12:$S$432,$Z121))</f>
        <v/>
      </c>
      <c r="H121" s="241">
        <f>IF($C121="","",N($H120)+$F121-$G121)</f>
        <v/>
      </c>
      <c r="I121" s="6" t="n"/>
      <c r="J121" s="6" t="n"/>
      <c r="K121" s="3" t="n"/>
      <c r="L121" s="3" t="n"/>
      <c r="M121" s="3" t="n">
        <v>110</v>
      </c>
      <c r="N121" s="3">
        <f>IF(OR($U121=0,$W121="",$X121&lt;=0),"",IF($W121&gt;TODAY(),"",IF(AND(INDEX(UCRETLER!$E$7:$E$406,$U121)&lt;&gt;"",$W121&gt;INDEX(UCRETLER!$E$7:$E$406,$U121)),"",$W121)))</f>
        <v/>
      </c>
      <c r="O121" s="3">
        <f>IF($N121="","",IF(INDEX(UCRETLER!$F$7:$F$406,$U121)="Aylık",CHOOSE(MONTH($N121),"Ocak","Şubat","Mart","Nisan","Mayıs","Haziran","Temmuz","Ağustos","Eylül","Ekim","Kasım","Aralık")&amp;" "&amp;YEAR($N121)&amp;" aylık muhasebe hizmet ücreti",RIGHT("0"&amp;DAY($N121),2)&amp;"."&amp;RIGHT("0"&amp;MONTH($N121),2)&amp;"."&amp;YEAR($N121)&amp;" haftalık muhasebe hizmet ücreti"))</f>
        <v/>
      </c>
      <c r="P121" s="3">
        <f>IF($N121="","","TAHAKKUK")</f>
        <v/>
      </c>
      <c r="Q121" s="3" t="n"/>
      <c r="R121" s="3">
        <f>IF($N121="",0,$X121)</f>
        <v/>
      </c>
      <c r="S121" s="3" t="n">
        <v>0</v>
      </c>
      <c r="T121" s="3">
        <f>IF($N121="",10000000000,$N121*100000+$M121)</f>
        <v/>
      </c>
      <c r="U121" s="3">
        <f>$AB$5</f>
        <v/>
      </c>
      <c r="V121" s="3" t="n">
        <v>29</v>
      </c>
      <c r="W121" s="3">
        <f>IF($U121=0,"",IF(INDEX(UCRETLER!$D$7:$D$406,$U121)="","",IF(INDEX(UCRETLER!$F$7:$F$406,$U121)="Aylık",EOMONTH(INDEX(UCRETLER!$D$7:$D$406,$U121),$V121-1),INDEX(UCRETLER!$D$7:$D$406,$U121)+MOD(SISTEM!$F$8-WEEKDAY(INDEX(UCRETLER!$D$7:$D$406,$U121),2),7)+7*($V121-1))))</f>
        <v/>
      </c>
      <c r="X121" s="3">
        <f>IF($U121=0,0,INDEX(UCRETLER!$G$7:$G$406,$U121))</f>
        <v/>
      </c>
      <c r="Y121" s="3">
        <f>IFERROR(SMALL($T$12:$T$432,ROW()-11),"")</f>
        <v/>
      </c>
      <c r="Z121" s="3">
        <f>IFERROR(MATCH($Y121,$T$12:$T$432,0),"")</f>
        <v/>
      </c>
      <c r="AA121" s="3" t="n"/>
      <c r="AB121" s="3" t="n"/>
      <c r="AC121" s="3" t="n"/>
      <c r="AD121" s="3" t="n"/>
    </row>
    <row r="122">
      <c r="A122" s="6" t="n"/>
      <c r="B122" s="153">
        <f>IF($C122="","",ROW()-11)</f>
        <v/>
      </c>
      <c r="C122" s="240">
        <f>IF($Z122="","",IF(INDEX($N$12:$N$432,$Z122)="","",INDEX($N$12:$N$432,$Z122)))</f>
        <v/>
      </c>
      <c r="D122" s="29">
        <f>IF($C122="","",INDEX($O$12:$O$432,$Z122))</f>
        <v/>
      </c>
      <c r="E122" s="153">
        <f>IF($C122="","",INDEX($P$12:$P$432,$Z122))</f>
        <v/>
      </c>
      <c r="F122" s="241">
        <f>IF($C122="","",INDEX($R$12:$R$432,$Z122))</f>
        <v/>
      </c>
      <c r="G122" s="241">
        <f>IF($C122="","",INDEX($S$12:$S$432,$Z122))</f>
        <v/>
      </c>
      <c r="H122" s="241">
        <f>IF($C122="","",N($H121)+$F122-$G122)</f>
        <v/>
      </c>
      <c r="I122" s="6" t="n"/>
      <c r="J122" s="6" t="n"/>
      <c r="K122" s="3" t="n"/>
      <c r="L122" s="3" t="n"/>
      <c r="M122" s="3" t="n">
        <v>111</v>
      </c>
      <c r="N122" s="3">
        <f>IF(OR($U122=0,$W122="",$X122&lt;=0),"",IF($W122&gt;TODAY(),"",IF(AND(INDEX(UCRETLER!$E$7:$E$406,$U122)&lt;&gt;"",$W122&gt;INDEX(UCRETLER!$E$7:$E$406,$U122)),"",$W122)))</f>
        <v/>
      </c>
      <c r="O122" s="3">
        <f>IF($N122="","",IF(INDEX(UCRETLER!$F$7:$F$406,$U122)="Aylık",CHOOSE(MONTH($N122),"Ocak","Şubat","Mart","Nisan","Mayıs","Haziran","Temmuz","Ağustos","Eylül","Ekim","Kasım","Aralık")&amp;" "&amp;YEAR($N122)&amp;" aylık muhasebe hizmet ücreti",RIGHT("0"&amp;DAY($N122),2)&amp;"."&amp;RIGHT("0"&amp;MONTH($N122),2)&amp;"."&amp;YEAR($N122)&amp;" haftalık muhasebe hizmet ücreti"))</f>
        <v/>
      </c>
      <c r="P122" s="3">
        <f>IF($N122="","","TAHAKKUK")</f>
        <v/>
      </c>
      <c r="Q122" s="3" t="n"/>
      <c r="R122" s="3">
        <f>IF($N122="",0,$X122)</f>
        <v/>
      </c>
      <c r="S122" s="3" t="n">
        <v>0</v>
      </c>
      <c r="T122" s="3">
        <f>IF($N122="",10000000000,$N122*100000+$M122)</f>
        <v/>
      </c>
      <c r="U122" s="3">
        <f>$AB$5</f>
        <v/>
      </c>
      <c r="V122" s="3" t="n">
        <v>30</v>
      </c>
      <c r="W122" s="3">
        <f>IF($U122=0,"",IF(INDEX(UCRETLER!$D$7:$D$406,$U122)="","",IF(INDEX(UCRETLER!$F$7:$F$406,$U122)="Aylık",EOMONTH(INDEX(UCRETLER!$D$7:$D$406,$U122),$V122-1),INDEX(UCRETLER!$D$7:$D$406,$U122)+MOD(SISTEM!$F$8-WEEKDAY(INDEX(UCRETLER!$D$7:$D$406,$U122),2),7)+7*($V122-1))))</f>
        <v/>
      </c>
      <c r="X122" s="3">
        <f>IF($U122=0,0,INDEX(UCRETLER!$G$7:$G$406,$U122))</f>
        <v/>
      </c>
      <c r="Y122" s="3">
        <f>IFERROR(SMALL($T$12:$T$432,ROW()-11),"")</f>
        <v/>
      </c>
      <c r="Z122" s="3">
        <f>IFERROR(MATCH($Y122,$T$12:$T$432,0),"")</f>
        <v/>
      </c>
      <c r="AA122" s="3" t="n"/>
      <c r="AB122" s="3" t="n"/>
      <c r="AC122" s="3" t="n"/>
      <c r="AD122" s="3" t="n"/>
    </row>
    <row r="123">
      <c r="A123" s="6" t="n"/>
      <c r="B123" s="153">
        <f>IF($C123="","",ROW()-11)</f>
        <v/>
      </c>
      <c r="C123" s="240">
        <f>IF($Z123="","",IF(INDEX($N$12:$N$432,$Z123)="","",INDEX($N$12:$N$432,$Z123)))</f>
        <v/>
      </c>
      <c r="D123" s="29">
        <f>IF($C123="","",INDEX($O$12:$O$432,$Z123))</f>
        <v/>
      </c>
      <c r="E123" s="153">
        <f>IF($C123="","",INDEX($P$12:$P$432,$Z123))</f>
        <v/>
      </c>
      <c r="F123" s="241">
        <f>IF($C123="","",INDEX($R$12:$R$432,$Z123))</f>
        <v/>
      </c>
      <c r="G123" s="241">
        <f>IF($C123="","",INDEX($S$12:$S$432,$Z123))</f>
        <v/>
      </c>
      <c r="H123" s="241">
        <f>IF($C123="","",N($H122)+$F123-$G123)</f>
        <v/>
      </c>
      <c r="I123" s="6" t="n"/>
      <c r="J123" s="6" t="n"/>
      <c r="K123" s="3" t="n"/>
      <c r="L123" s="3" t="n"/>
      <c r="M123" s="3" t="n">
        <v>112</v>
      </c>
      <c r="N123" s="3">
        <f>IF(OR($U123=0,$W123="",$X123&lt;=0),"",IF($W123&gt;TODAY(),"",IF(AND(INDEX(UCRETLER!$E$7:$E$406,$U123)&lt;&gt;"",$W123&gt;INDEX(UCRETLER!$E$7:$E$406,$U123)),"",$W123)))</f>
        <v/>
      </c>
      <c r="O123" s="3">
        <f>IF($N123="","",IF(INDEX(UCRETLER!$F$7:$F$406,$U123)="Aylık",CHOOSE(MONTH($N123),"Ocak","Şubat","Mart","Nisan","Mayıs","Haziran","Temmuz","Ağustos","Eylül","Ekim","Kasım","Aralık")&amp;" "&amp;YEAR($N123)&amp;" aylık muhasebe hizmet ücreti",RIGHT("0"&amp;DAY($N123),2)&amp;"."&amp;RIGHT("0"&amp;MONTH($N123),2)&amp;"."&amp;YEAR($N123)&amp;" haftalık muhasebe hizmet ücreti"))</f>
        <v/>
      </c>
      <c r="P123" s="3">
        <f>IF($N123="","","TAHAKKUK")</f>
        <v/>
      </c>
      <c r="Q123" s="3" t="n"/>
      <c r="R123" s="3">
        <f>IF($N123="",0,$X123)</f>
        <v/>
      </c>
      <c r="S123" s="3" t="n">
        <v>0</v>
      </c>
      <c r="T123" s="3">
        <f>IF($N123="",10000000000,$N123*100000+$M123)</f>
        <v/>
      </c>
      <c r="U123" s="3">
        <f>$AB$5</f>
        <v/>
      </c>
      <c r="V123" s="3" t="n">
        <v>31</v>
      </c>
      <c r="W123" s="3">
        <f>IF($U123=0,"",IF(INDEX(UCRETLER!$D$7:$D$406,$U123)="","",IF(INDEX(UCRETLER!$F$7:$F$406,$U123)="Aylık",EOMONTH(INDEX(UCRETLER!$D$7:$D$406,$U123),$V123-1),INDEX(UCRETLER!$D$7:$D$406,$U123)+MOD(SISTEM!$F$8-WEEKDAY(INDEX(UCRETLER!$D$7:$D$406,$U123),2),7)+7*($V123-1))))</f>
        <v/>
      </c>
      <c r="X123" s="3">
        <f>IF($U123=0,0,INDEX(UCRETLER!$G$7:$G$406,$U123))</f>
        <v/>
      </c>
      <c r="Y123" s="3">
        <f>IFERROR(SMALL($T$12:$T$432,ROW()-11),"")</f>
        <v/>
      </c>
      <c r="Z123" s="3">
        <f>IFERROR(MATCH($Y123,$T$12:$T$432,0),"")</f>
        <v/>
      </c>
      <c r="AA123" s="3" t="n"/>
      <c r="AB123" s="3" t="n"/>
      <c r="AC123" s="3" t="n"/>
      <c r="AD123" s="3" t="n"/>
    </row>
    <row r="124">
      <c r="A124" s="6" t="n"/>
      <c r="B124" s="153">
        <f>IF($C124="","",ROW()-11)</f>
        <v/>
      </c>
      <c r="C124" s="240">
        <f>IF($Z124="","",IF(INDEX($N$12:$N$432,$Z124)="","",INDEX($N$12:$N$432,$Z124)))</f>
        <v/>
      </c>
      <c r="D124" s="29">
        <f>IF($C124="","",INDEX($O$12:$O$432,$Z124))</f>
        <v/>
      </c>
      <c r="E124" s="153">
        <f>IF($C124="","",INDEX($P$12:$P$432,$Z124))</f>
        <v/>
      </c>
      <c r="F124" s="241">
        <f>IF($C124="","",INDEX($R$12:$R$432,$Z124))</f>
        <v/>
      </c>
      <c r="G124" s="241">
        <f>IF($C124="","",INDEX($S$12:$S$432,$Z124))</f>
        <v/>
      </c>
      <c r="H124" s="241">
        <f>IF($C124="","",N($H123)+$F124-$G124)</f>
        <v/>
      </c>
      <c r="I124" s="6" t="n"/>
      <c r="J124" s="6" t="n"/>
      <c r="K124" s="3" t="n"/>
      <c r="L124" s="3" t="n"/>
      <c r="M124" s="3" t="n">
        <v>113</v>
      </c>
      <c r="N124" s="3">
        <f>IF(OR($U124=0,$W124="",$X124&lt;=0),"",IF($W124&gt;TODAY(),"",IF(AND(INDEX(UCRETLER!$E$7:$E$406,$U124)&lt;&gt;"",$W124&gt;INDEX(UCRETLER!$E$7:$E$406,$U124)),"",$W124)))</f>
        <v/>
      </c>
      <c r="O124" s="3">
        <f>IF($N124="","",IF(INDEX(UCRETLER!$F$7:$F$406,$U124)="Aylık",CHOOSE(MONTH($N124),"Ocak","Şubat","Mart","Nisan","Mayıs","Haziran","Temmuz","Ağustos","Eylül","Ekim","Kasım","Aralık")&amp;" "&amp;YEAR($N124)&amp;" aylık muhasebe hizmet ücreti",RIGHT("0"&amp;DAY($N124),2)&amp;"."&amp;RIGHT("0"&amp;MONTH($N124),2)&amp;"."&amp;YEAR($N124)&amp;" haftalık muhasebe hizmet ücreti"))</f>
        <v/>
      </c>
      <c r="P124" s="3">
        <f>IF($N124="","","TAHAKKUK")</f>
        <v/>
      </c>
      <c r="Q124" s="3" t="n"/>
      <c r="R124" s="3">
        <f>IF($N124="",0,$X124)</f>
        <v/>
      </c>
      <c r="S124" s="3" t="n">
        <v>0</v>
      </c>
      <c r="T124" s="3">
        <f>IF($N124="",10000000000,$N124*100000+$M124)</f>
        <v/>
      </c>
      <c r="U124" s="3">
        <f>$AB$5</f>
        <v/>
      </c>
      <c r="V124" s="3" t="n">
        <v>32</v>
      </c>
      <c r="W124" s="3">
        <f>IF($U124=0,"",IF(INDEX(UCRETLER!$D$7:$D$406,$U124)="","",IF(INDEX(UCRETLER!$F$7:$F$406,$U124)="Aylık",EOMONTH(INDEX(UCRETLER!$D$7:$D$406,$U124),$V124-1),INDEX(UCRETLER!$D$7:$D$406,$U124)+MOD(SISTEM!$F$8-WEEKDAY(INDEX(UCRETLER!$D$7:$D$406,$U124),2),7)+7*($V124-1))))</f>
        <v/>
      </c>
      <c r="X124" s="3">
        <f>IF($U124=0,0,INDEX(UCRETLER!$G$7:$G$406,$U124))</f>
        <v/>
      </c>
      <c r="Y124" s="3">
        <f>IFERROR(SMALL($T$12:$T$432,ROW()-11),"")</f>
        <v/>
      </c>
      <c r="Z124" s="3">
        <f>IFERROR(MATCH($Y124,$T$12:$T$432,0),"")</f>
        <v/>
      </c>
      <c r="AA124" s="3" t="n"/>
      <c r="AB124" s="3" t="n"/>
      <c r="AC124" s="3" t="n"/>
      <c r="AD124" s="3" t="n"/>
    </row>
    <row r="125">
      <c r="A125" s="6" t="n"/>
      <c r="B125" s="153">
        <f>IF($C125="","",ROW()-11)</f>
        <v/>
      </c>
      <c r="C125" s="240">
        <f>IF($Z125="","",IF(INDEX($N$12:$N$432,$Z125)="","",INDEX($N$12:$N$432,$Z125)))</f>
        <v/>
      </c>
      <c r="D125" s="29">
        <f>IF($C125="","",INDEX($O$12:$O$432,$Z125))</f>
        <v/>
      </c>
      <c r="E125" s="153">
        <f>IF($C125="","",INDEX($P$12:$P$432,$Z125))</f>
        <v/>
      </c>
      <c r="F125" s="241">
        <f>IF($C125="","",INDEX($R$12:$R$432,$Z125))</f>
        <v/>
      </c>
      <c r="G125" s="241">
        <f>IF($C125="","",INDEX($S$12:$S$432,$Z125))</f>
        <v/>
      </c>
      <c r="H125" s="241">
        <f>IF($C125="","",N($H124)+$F125-$G125)</f>
        <v/>
      </c>
      <c r="I125" s="6" t="n"/>
      <c r="J125" s="6" t="n"/>
      <c r="K125" s="3" t="n"/>
      <c r="L125" s="3" t="n"/>
      <c r="M125" s="3" t="n">
        <v>114</v>
      </c>
      <c r="N125" s="3">
        <f>IF(OR($U125=0,$W125="",$X125&lt;=0),"",IF($W125&gt;TODAY(),"",IF(AND(INDEX(UCRETLER!$E$7:$E$406,$U125)&lt;&gt;"",$W125&gt;INDEX(UCRETLER!$E$7:$E$406,$U125)),"",$W125)))</f>
        <v/>
      </c>
      <c r="O125" s="3">
        <f>IF($N125="","",IF(INDEX(UCRETLER!$F$7:$F$406,$U125)="Aylık",CHOOSE(MONTH($N125),"Ocak","Şubat","Mart","Nisan","Mayıs","Haziran","Temmuz","Ağustos","Eylül","Ekim","Kasım","Aralık")&amp;" "&amp;YEAR($N125)&amp;" aylık muhasebe hizmet ücreti",RIGHT("0"&amp;DAY($N125),2)&amp;"."&amp;RIGHT("0"&amp;MONTH($N125),2)&amp;"."&amp;YEAR($N125)&amp;" haftalık muhasebe hizmet ücreti"))</f>
        <v/>
      </c>
      <c r="P125" s="3">
        <f>IF($N125="","","TAHAKKUK")</f>
        <v/>
      </c>
      <c r="Q125" s="3" t="n"/>
      <c r="R125" s="3">
        <f>IF($N125="",0,$X125)</f>
        <v/>
      </c>
      <c r="S125" s="3" t="n">
        <v>0</v>
      </c>
      <c r="T125" s="3">
        <f>IF($N125="",10000000000,$N125*100000+$M125)</f>
        <v/>
      </c>
      <c r="U125" s="3">
        <f>$AB$5</f>
        <v/>
      </c>
      <c r="V125" s="3" t="n">
        <v>33</v>
      </c>
      <c r="W125" s="3">
        <f>IF($U125=0,"",IF(INDEX(UCRETLER!$D$7:$D$406,$U125)="","",IF(INDEX(UCRETLER!$F$7:$F$406,$U125)="Aylık",EOMONTH(INDEX(UCRETLER!$D$7:$D$406,$U125),$V125-1),INDEX(UCRETLER!$D$7:$D$406,$U125)+MOD(SISTEM!$F$8-WEEKDAY(INDEX(UCRETLER!$D$7:$D$406,$U125),2),7)+7*($V125-1))))</f>
        <v/>
      </c>
      <c r="X125" s="3">
        <f>IF($U125=0,0,INDEX(UCRETLER!$G$7:$G$406,$U125))</f>
        <v/>
      </c>
      <c r="Y125" s="3">
        <f>IFERROR(SMALL($T$12:$T$432,ROW()-11),"")</f>
        <v/>
      </c>
      <c r="Z125" s="3">
        <f>IFERROR(MATCH($Y125,$T$12:$T$432,0),"")</f>
        <v/>
      </c>
      <c r="AA125" s="3" t="n"/>
      <c r="AB125" s="3" t="n"/>
      <c r="AC125" s="3" t="n"/>
      <c r="AD125" s="3" t="n"/>
    </row>
    <row r="126">
      <c r="A126" s="6" t="n"/>
      <c r="B126" s="153">
        <f>IF($C126="","",ROW()-11)</f>
        <v/>
      </c>
      <c r="C126" s="240">
        <f>IF($Z126="","",IF(INDEX($N$12:$N$432,$Z126)="","",INDEX($N$12:$N$432,$Z126)))</f>
        <v/>
      </c>
      <c r="D126" s="29">
        <f>IF($C126="","",INDEX($O$12:$O$432,$Z126))</f>
        <v/>
      </c>
      <c r="E126" s="153">
        <f>IF($C126="","",INDEX($P$12:$P$432,$Z126))</f>
        <v/>
      </c>
      <c r="F126" s="241">
        <f>IF($C126="","",INDEX($R$12:$R$432,$Z126))</f>
        <v/>
      </c>
      <c r="G126" s="241">
        <f>IF($C126="","",INDEX($S$12:$S$432,$Z126))</f>
        <v/>
      </c>
      <c r="H126" s="241">
        <f>IF($C126="","",N($H125)+$F126-$G126)</f>
        <v/>
      </c>
      <c r="I126" s="6" t="n"/>
      <c r="J126" s="6" t="n"/>
      <c r="K126" s="3" t="n"/>
      <c r="L126" s="3" t="n"/>
      <c r="M126" s="3" t="n">
        <v>115</v>
      </c>
      <c r="N126" s="3">
        <f>IF(OR($U126=0,$W126="",$X126&lt;=0),"",IF($W126&gt;TODAY(),"",IF(AND(INDEX(UCRETLER!$E$7:$E$406,$U126)&lt;&gt;"",$W126&gt;INDEX(UCRETLER!$E$7:$E$406,$U126)),"",$W126)))</f>
        <v/>
      </c>
      <c r="O126" s="3">
        <f>IF($N126="","",IF(INDEX(UCRETLER!$F$7:$F$406,$U126)="Aylık",CHOOSE(MONTH($N126),"Ocak","Şubat","Mart","Nisan","Mayıs","Haziran","Temmuz","Ağustos","Eylül","Ekim","Kasım","Aralık")&amp;" "&amp;YEAR($N126)&amp;" aylık muhasebe hizmet ücreti",RIGHT("0"&amp;DAY($N126),2)&amp;"."&amp;RIGHT("0"&amp;MONTH($N126),2)&amp;"."&amp;YEAR($N126)&amp;" haftalık muhasebe hizmet ücreti"))</f>
        <v/>
      </c>
      <c r="P126" s="3">
        <f>IF($N126="","","TAHAKKUK")</f>
        <v/>
      </c>
      <c r="Q126" s="3" t="n"/>
      <c r="R126" s="3">
        <f>IF($N126="",0,$X126)</f>
        <v/>
      </c>
      <c r="S126" s="3" t="n">
        <v>0</v>
      </c>
      <c r="T126" s="3">
        <f>IF($N126="",10000000000,$N126*100000+$M126)</f>
        <v/>
      </c>
      <c r="U126" s="3">
        <f>$AB$5</f>
        <v/>
      </c>
      <c r="V126" s="3" t="n">
        <v>34</v>
      </c>
      <c r="W126" s="3">
        <f>IF($U126=0,"",IF(INDEX(UCRETLER!$D$7:$D$406,$U126)="","",IF(INDEX(UCRETLER!$F$7:$F$406,$U126)="Aylık",EOMONTH(INDEX(UCRETLER!$D$7:$D$406,$U126),$V126-1),INDEX(UCRETLER!$D$7:$D$406,$U126)+MOD(SISTEM!$F$8-WEEKDAY(INDEX(UCRETLER!$D$7:$D$406,$U126),2),7)+7*($V126-1))))</f>
        <v/>
      </c>
      <c r="X126" s="3">
        <f>IF($U126=0,0,INDEX(UCRETLER!$G$7:$G$406,$U126))</f>
        <v/>
      </c>
      <c r="Y126" s="3">
        <f>IFERROR(SMALL($T$12:$T$432,ROW()-11),"")</f>
        <v/>
      </c>
      <c r="Z126" s="3">
        <f>IFERROR(MATCH($Y126,$T$12:$T$432,0),"")</f>
        <v/>
      </c>
      <c r="AA126" s="3" t="n"/>
      <c r="AB126" s="3" t="n"/>
      <c r="AC126" s="3" t="n"/>
      <c r="AD126" s="3" t="n"/>
    </row>
    <row r="127">
      <c r="A127" s="6" t="n"/>
      <c r="B127" s="153">
        <f>IF($C127="","",ROW()-11)</f>
        <v/>
      </c>
      <c r="C127" s="240">
        <f>IF($Z127="","",IF(INDEX($N$12:$N$432,$Z127)="","",INDEX($N$12:$N$432,$Z127)))</f>
        <v/>
      </c>
      <c r="D127" s="29">
        <f>IF($C127="","",INDEX($O$12:$O$432,$Z127))</f>
        <v/>
      </c>
      <c r="E127" s="153">
        <f>IF($C127="","",INDEX($P$12:$P$432,$Z127))</f>
        <v/>
      </c>
      <c r="F127" s="241">
        <f>IF($C127="","",INDEX($R$12:$R$432,$Z127))</f>
        <v/>
      </c>
      <c r="G127" s="241">
        <f>IF($C127="","",INDEX($S$12:$S$432,$Z127))</f>
        <v/>
      </c>
      <c r="H127" s="241">
        <f>IF($C127="","",N($H126)+$F127-$G127)</f>
        <v/>
      </c>
      <c r="I127" s="6" t="n"/>
      <c r="J127" s="6" t="n"/>
      <c r="K127" s="3" t="n"/>
      <c r="L127" s="3" t="n"/>
      <c r="M127" s="3" t="n">
        <v>116</v>
      </c>
      <c r="N127" s="3">
        <f>IF(OR($U127=0,$W127="",$X127&lt;=0),"",IF($W127&gt;TODAY(),"",IF(AND(INDEX(UCRETLER!$E$7:$E$406,$U127)&lt;&gt;"",$W127&gt;INDEX(UCRETLER!$E$7:$E$406,$U127)),"",$W127)))</f>
        <v/>
      </c>
      <c r="O127" s="3">
        <f>IF($N127="","",IF(INDEX(UCRETLER!$F$7:$F$406,$U127)="Aylık",CHOOSE(MONTH($N127),"Ocak","Şubat","Mart","Nisan","Mayıs","Haziran","Temmuz","Ağustos","Eylül","Ekim","Kasım","Aralık")&amp;" "&amp;YEAR($N127)&amp;" aylık muhasebe hizmet ücreti",RIGHT("0"&amp;DAY($N127),2)&amp;"."&amp;RIGHT("0"&amp;MONTH($N127),2)&amp;"."&amp;YEAR($N127)&amp;" haftalık muhasebe hizmet ücreti"))</f>
        <v/>
      </c>
      <c r="P127" s="3">
        <f>IF($N127="","","TAHAKKUK")</f>
        <v/>
      </c>
      <c r="Q127" s="3" t="n"/>
      <c r="R127" s="3">
        <f>IF($N127="",0,$X127)</f>
        <v/>
      </c>
      <c r="S127" s="3" t="n">
        <v>0</v>
      </c>
      <c r="T127" s="3">
        <f>IF($N127="",10000000000,$N127*100000+$M127)</f>
        <v/>
      </c>
      <c r="U127" s="3">
        <f>$AB$5</f>
        <v/>
      </c>
      <c r="V127" s="3" t="n">
        <v>35</v>
      </c>
      <c r="W127" s="3">
        <f>IF($U127=0,"",IF(INDEX(UCRETLER!$D$7:$D$406,$U127)="","",IF(INDEX(UCRETLER!$F$7:$F$406,$U127)="Aylık",EOMONTH(INDEX(UCRETLER!$D$7:$D$406,$U127),$V127-1),INDEX(UCRETLER!$D$7:$D$406,$U127)+MOD(SISTEM!$F$8-WEEKDAY(INDEX(UCRETLER!$D$7:$D$406,$U127),2),7)+7*($V127-1))))</f>
        <v/>
      </c>
      <c r="X127" s="3">
        <f>IF($U127=0,0,INDEX(UCRETLER!$G$7:$G$406,$U127))</f>
        <v/>
      </c>
      <c r="Y127" s="3">
        <f>IFERROR(SMALL($T$12:$T$432,ROW()-11),"")</f>
        <v/>
      </c>
      <c r="Z127" s="3">
        <f>IFERROR(MATCH($Y127,$T$12:$T$432,0),"")</f>
        <v/>
      </c>
      <c r="AA127" s="3" t="n"/>
      <c r="AB127" s="3" t="n"/>
      <c r="AC127" s="3" t="n"/>
      <c r="AD127" s="3" t="n"/>
    </row>
    <row r="128">
      <c r="A128" s="6" t="n"/>
      <c r="B128" s="153">
        <f>IF($C128="","",ROW()-11)</f>
        <v/>
      </c>
      <c r="C128" s="240">
        <f>IF($Z128="","",IF(INDEX($N$12:$N$432,$Z128)="","",INDEX($N$12:$N$432,$Z128)))</f>
        <v/>
      </c>
      <c r="D128" s="29">
        <f>IF($C128="","",INDEX($O$12:$O$432,$Z128))</f>
        <v/>
      </c>
      <c r="E128" s="153">
        <f>IF($C128="","",INDEX($P$12:$P$432,$Z128))</f>
        <v/>
      </c>
      <c r="F128" s="241">
        <f>IF($C128="","",INDEX($R$12:$R$432,$Z128))</f>
        <v/>
      </c>
      <c r="G128" s="241">
        <f>IF($C128="","",INDEX($S$12:$S$432,$Z128))</f>
        <v/>
      </c>
      <c r="H128" s="241">
        <f>IF($C128="","",N($H127)+$F128-$G128)</f>
        <v/>
      </c>
      <c r="I128" s="6" t="n"/>
      <c r="J128" s="6" t="n"/>
      <c r="K128" s="3" t="n"/>
      <c r="L128" s="3" t="n"/>
      <c r="M128" s="3" t="n">
        <v>117</v>
      </c>
      <c r="N128" s="3">
        <f>IF(OR($U128=0,$W128="",$X128&lt;=0),"",IF($W128&gt;TODAY(),"",IF(AND(INDEX(UCRETLER!$E$7:$E$406,$U128)&lt;&gt;"",$W128&gt;INDEX(UCRETLER!$E$7:$E$406,$U128)),"",$W128)))</f>
        <v/>
      </c>
      <c r="O128" s="3">
        <f>IF($N128="","",IF(INDEX(UCRETLER!$F$7:$F$406,$U128)="Aylık",CHOOSE(MONTH($N128),"Ocak","Şubat","Mart","Nisan","Mayıs","Haziran","Temmuz","Ağustos","Eylül","Ekim","Kasım","Aralık")&amp;" "&amp;YEAR($N128)&amp;" aylık muhasebe hizmet ücreti",RIGHT("0"&amp;DAY($N128),2)&amp;"."&amp;RIGHT("0"&amp;MONTH($N128),2)&amp;"."&amp;YEAR($N128)&amp;" haftalık muhasebe hizmet ücreti"))</f>
        <v/>
      </c>
      <c r="P128" s="3">
        <f>IF($N128="","","TAHAKKUK")</f>
        <v/>
      </c>
      <c r="Q128" s="3" t="n"/>
      <c r="R128" s="3">
        <f>IF($N128="",0,$X128)</f>
        <v/>
      </c>
      <c r="S128" s="3" t="n">
        <v>0</v>
      </c>
      <c r="T128" s="3">
        <f>IF($N128="",10000000000,$N128*100000+$M128)</f>
        <v/>
      </c>
      <c r="U128" s="3">
        <f>$AB$5</f>
        <v/>
      </c>
      <c r="V128" s="3" t="n">
        <v>36</v>
      </c>
      <c r="W128" s="3">
        <f>IF($U128=0,"",IF(INDEX(UCRETLER!$D$7:$D$406,$U128)="","",IF(INDEX(UCRETLER!$F$7:$F$406,$U128)="Aylık",EOMONTH(INDEX(UCRETLER!$D$7:$D$406,$U128),$V128-1),INDEX(UCRETLER!$D$7:$D$406,$U128)+MOD(SISTEM!$F$8-WEEKDAY(INDEX(UCRETLER!$D$7:$D$406,$U128),2),7)+7*($V128-1))))</f>
        <v/>
      </c>
      <c r="X128" s="3">
        <f>IF($U128=0,0,INDEX(UCRETLER!$G$7:$G$406,$U128))</f>
        <v/>
      </c>
      <c r="Y128" s="3">
        <f>IFERROR(SMALL($T$12:$T$432,ROW()-11),"")</f>
        <v/>
      </c>
      <c r="Z128" s="3">
        <f>IFERROR(MATCH($Y128,$T$12:$T$432,0),"")</f>
        <v/>
      </c>
      <c r="AA128" s="3" t="n"/>
      <c r="AB128" s="3" t="n"/>
      <c r="AC128" s="3" t="n"/>
      <c r="AD128" s="3" t="n"/>
    </row>
    <row r="129">
      <c r="A129" s="6" t="n"/>
      <c r="B129" s="153">
        <f>IF($C129="","",ROW()-11)</f>
        <v/>
      </c>
      <c r="C129" s="240">
        <f>IF($Z129="","",IF(INDEX($N$12:$N$432,$Z129)="","",INDEX($N$12:$N$432,$Z129)))</f>
        <v/>
      </c>
      <c r="D129" s="29">
        <f>IF($C129="","",INDEX($O$12:$O$432,$Z129))</f>
        <v/>
      </c>
      <c r="E129" s="153">
        <f>IF($C129="","",INDEX($P$12:$P$432,$Z129))</f>
        <v/>
      </c>
      <c r="F129" s="241">
        <f>IF($C129="","",INDEX($R$12:$R$432,$Z129))</f>
        <v/>
      </c>
      <c r="G129" s="241">
        <f>IF($C129="","",INDEX($S$12:$S$432,$Z129))</f>
        <v/>
      </c>
      <c r="H129" s="241">
        <f>IF($C129="","",N($H128)+$F129-$G129)</f>
        <v/>
      </c>
      <c r="I129" s="6" t="n"/>
      <c r="J129" s="6" t="n"/>
      <c r="K129" s="3" t="n"/>
      <c r="L129" s="3" t="n"/>
      <c r="M129" s="3" t="n">
        <v>118</v>
      </c>
      <c r="N129" s="3">
        <f>IF(OR($U129=0,$W129="",$X129&lt;=0),"",IF($W129&gt;TODAY(),"",IF(AND(INDEX(UCRETLER!$E$7:$E$406,$U129)&lt;&gt;"",$W129&gt;INDEX(UCRETLER!$E$7:$E$406,$U129)),"",$W129)))</f>
        <v/>
      </c>
      <c r="O129" s="3">
        <f>IF($N129="","",IF(INDEX(UCRETLER!$F$7:$F$406,$U129)="Aylık",CHOOSE(MONTH($N129),"Ocak","Şubat","Mart","Nisan","Mayıs","Haziran","Temmuz","Ağustos","Eylül","Ekim","Kasım","Aralık")&amp;" "&amp;YEAR($N129)&amp;" aylık muhasebe hizmet ücreti",RIGHT("0"&amp;DAY($N129),2)&amp;"."&amp;RIGHT("0"&amp;MONTH($N129),2)&amp;"."&amp;YEAR($N129)&amp;" haftalık muhasebe hizmet ücreti"))</f>
        <v/>
      </c>
      <c r="P129" s="3">
        <f>IF($N129="","","TAHAKKUK")</f>
        <v/>
      </c>
      <c r="Q129" s="3" t="n"/>
      <c r="R129" s="3">
        <f>IF($N129="",0,$X129)</f>
        <v/>
      </c>
      <c r="S129" s="3" t="n">
        <v>0</v>
      </c>
      <c r="T129" s="3">
        <f>IF($N129="",10000000000,$N129*100000+$M129)</f>
        <v/>
      </c>
      <c r="U129" s="3">
        <f>$AB$5</f>
        <v/>
      </c>
      <c r="V129" s="3" t="n">
        <v>37</v>
      </c>
      <c r="W129" s="3">
        <f>IF($U129=0,"",IF(INDEX(UCRETLER!$D$7:$D$406,$U129)="","",IF(INDEX(UCRETLER!$F$7:$F$406,$U129)="Aylık",EOMONTH(INDEX(UCRETLER!$D$7:$D$406,$U129),$V129-1),INDEX(UCRETLER!$D$7:$D$406,$U129)+MOD(SISTEM!$F$8-WEEKDAY(INDEX(UCRETLER!$D$7:$D$406,$U129),2),7)+7*($V129-1))))</f>
        <v/>
      </c>
      <c r="X129" s="3">
        <f>IF($U129=0,0,INDEX(UCRETLER!$G$7:$G$406,$U129))</f>
        <v/>
      </c>
      <c r="Y129" s="3">
        <f>IFERROR(SMALL($T$12:$T$432,ROW()-11),"")</f>
        <v/>
      </c>
      <c r="Z129" s="3">
        <f>IFERROR(MATCH($Y129,$T$12:$T$432,0),"")</f>
        <v/>
      </c>
      <c r="AA129" s="3" t="n"/>
      <c r="AB129" s="3" t="n"/>
      <c r="AC129" s="3" t="n"/>
      <c r="AD129" s="3" t="n"/>
    </row>
    <row r="130">
      <c r="A130" s="6" t="n"/>
      <c r="B130" s="153">
        <f>IF($C130="","",ROW()-11)</f>
        <v/>
      </c>
      <c r="C130" s="240">
        <f>IF($Z130="","",IF(INDEX($N$12:$N$432,$Z130)="","",INDEX($N$12:$N$432,$Z130)))</f>
        <v/>
      </c>
      <c r="D130" s="29">
        <f>IF($C130="","",INDEX($O$12:$O$432,$Z130))</f>
        <v/>
      </c>
      <c r="E130" s="153">
        <f>IF($C130="","",INDEX($P$12:$P$432,$Z130))</f>
        <v/>
      </c>
      <c r="F130" s="241">
        <f>IF($C130="","",INDEX($R$12:$R$432,$Z130))</f>
        <v/>
      </c>
      <c r="G130" s="241">
        <f>IF($C130="","",INDEX($S$12:$S$432,$Z130))</f>
        <v/>
      </c>
      <c r="H130" s="241">
        <f>IF($C130="","",N($H129)+$F130-$G130)</f>
        <v/>
      </c>
      <c r="I130" s="6" t="n"/>
      <c r="J130" s="6" t="n"/>
      <c r="K130" s="3" t="n"/>
      <c r="L130" s="3" t="n"/>
      <c r="M130" s="3" t="n">
        <v>119</v>
      </c>
      <c r="N130" s="3">
        <f>IF(OR($U130=0,$W130="",$X130&lt;=0),"",IF($W130&gt;TODAY(),"",IF(AND(INDEX(UCRETLER!$E$7:$E$406,$U130)&lt;&gt;"",$W130&gt;INDEX(UCRETLER!$E$7:$E$406,$U130)),"",$W130)))</f>
        <v/>
      </c>
      <c r="O130" s="3">
        <f>IF($N130="","",IF(INDEX(UCRETLER!$F$7:$F$406,$U130)="Aylık",CHOOSE(MONTH($N130),"Ocak","Şubat","Mart","Nisan","Mayıs","Haziran","Temmuz","Ağustos","Eylül","Ekim","Kasım","Aralık")&amp;" "&amp;YEAR($N130)&amp;" aylık muhasebe hizmet ücreti",RIGHT("0"&amp;DAY($N130),2)&amp;"."&amp;RIGHT("0"&amp;MONTH($N130),2)&amp;"."&amp;YEAR($N130)&amp;" haftalık muhasebe hizmet ücreti"))</f>
        <v/>
      </c>
      <c r="P130" s="3">
        <f>IF($N130="","","TAHAKKUK")</f>
        <v/>
      </c>
      <c r="Q130" s="3" t="n"/>
      <c r="R130" s="3">
        <f>IF($N130="",0,$X130)</f>
        <v/>
      </c>
      <c r="S130" s="3" t="n">
        <v>0</v>
      </c>
      <c r="T130" s="3">
        <f>IF($N130="",10000000000,$N130*100000+$M130)</f>
        <v/>
      </c>
      <c r="U130" s="3">
        <f>$AB$5</f>
        <v/>
      </c>
      <c r="V130" s="3" t="n">
        <v>38</v>
      </c>
      <c r="W130" s="3">
        <f>IF($U130=0,"",IF(INDEX(UCRETLER!$D$7:$D$406,$U130)="","",IF(INDEX(UCRETLER!$F$7:$F$406,$U130)="Aylık",EOMONTH(INDEX(UCRETLER!$D$7:$D$406,$U130),$V130-1),INDEX(UCRETLER!$D$7:$D$406,$U130)+MOD(SISTEM!$F$8-WEEKDAY(INDEX(UCRETLER!$D$7:$D$406,$U130),2),7)+7*($V130-1))))</f>
        <v/>
      </c>
      <c r="X130" s="3">
        <f>IF($U130=0,0,INDEX(UCRETLER!$G$7:$G$406,$U130))</f>
        <v/>
      </c>
      <c r="Y130" s="3">
        <f>IFERROR(SMALL($T$12:$T$432,ROW()-11),"")</f>
        <v/>
      </c>
      <c r="Z130" s="3">
        <f>IFERROR(MATCH($Y130,$T$12:$T$432,0),"")</f>
        <v/>
      </c>
      <c r="AA130" s="3" t="n"/>
      <c r="AB130" s="3" t="n"/>
      <c r="AC130" s="3" t="n"/>
      <c r="AD130" s="3" t="n"/>
    </row>
    <row r="131">
      <c r="A131" s="6" t="n"/>
      <c r="B131" s="153">
        <f>IF($C131="","",ROW()-11)</f>
        <v/>
      </c>
      <c r="C131" s="240">
        <f>IF($Z131="","",IF(INDEX($N$12:$N$432,$Z131)="","",INDEX($N$12:$N$432,$Z131)))</f>
        <v/>
      </c>
      <c r="D131" s="29">
        <f>IF($C131="","",INDEX($O$12:$O$432,$Z131))</f>
        <v/>
      </c>
      <c r="E131" s="153">
        <f>IF($C131="","",INDEX($P$12:$P$432,$Z131))</f>
        <v/>
      </c>
      <c r="F131" s="241">
        <f>IF($C131="","",INDEX($R$12:$R$432,$Z131))</f>
        <v/>
      </c>
      <c r="G131" s="241">
        <f>IF($C131="","",INDEX($S$12:$S$432,$Z131))</f>
        <v/>
      </c>
      <c r="H131" s="241">
        <f>IF($C131="","",N($H130)+$F131-$G131)</f>
        <v/>
      </c>
      <c r="I131" s="6" t="n"/>
      <c r="J131" s="6" t="n"/>
      <c r="K131" s="3" t="n"/>
      <c r="L131" s="3" t="n"/>
      <c r="M131" s="3" t="n">
        <v>120</v>
      </c>
      <c r="N131" s="3">
        <f>IF(OR($U131=0,$W131="",$X131&lt;=0),"",IF($W131&gt;TODAY(),"",IF(AND(INDEX(UCRETLER!$E$7:$E$406,$U131)&lt;&gt;"",$W131&gt;INDEX(UCRETLER!$E$7:$E$406,$U131)),"",$W131)))</f>
        <v/>
      </c>
      <c r="O131" s="3">
        <f>IF($N131="","",IF(INDEX(UCRETLER!$F$7:$F$406,$U131)="Aylık",CHOOSE(MONTH($N131),"Ocak","Şubat","Mart","Nisan","Mayıs","Haziran","Temmuz","Ağustos","Eylül","Ekim","Kasım","Aralık")&amp;" "&amp;YEAR($N131)&amp;" aylık muhasebe hizmet ücreti",RIGHT("0"&amp;DAY($N131),2)&amp;"."&amp;RIGHT("0"&amp;MONTH($N131),2)&amp;"."&amp;YEAR($N131)&amp;" haftalık muhasebe hizmet ücreti"))</f>
        <v/>
      </c>
      <c r="P131" s="3">
        <f>IF($N131="","","TAHAKKUK")</f>
        <v/>
      </c>
      <c r="Q131" s="3" t="n"/>
      <c r="R131" s="3">
        <f>IF($N131="",0,$X131)</f>
        <v/>
      </c>
      <c r="S131" s="3" t="n">
        <v>0</v>
      </c>
      <c r="T131" s="3">
        <f>IF($N131="",10000000000,$N131*100000+$M131)</f>
        <v/>
      </c>
      <c r="U131" s="3">
        <f>$AB$5</f>
        <v/>
      </c>
      <c r="V131" s="3" t="n">
        <v>39</v>
      </c>
      <c r="W131" s="3">
        <f>IF($U131=0,"",IF(INDEX(UCRETLER!$D$7:$D$406,$U131)="","",IF(INDEX(UCRETLER!$F$7:$F$406,$U131)="Aylık",EOMONTH(INDEX(UCRETLER!$D$7:$D$406,$U131),$V131-1),INDEX(UCRETLER!$D$7:$D$406,$U131)+MOD(SISTEM!$F$8-WEEKDAY(INDEX(UCRETLER!$D$7:$D$406,$U131),2),7)+7*($V131-1))))</f>
        <v/>
      </c>
      <c r="X131" s="3">
        <f>IF($U131=0,0,INDEX(UCRETLER!$G$7:$G$406,$U131))</f>
        <v/>
      </c>
      <c r="Y131" s="3">
        <f>IFERROR(SMALL($T$12:$T$432,ROW()-11),"")</f>
        <v/>
      </c>
      <c r="Z131" s="3">
        <f>IFERROR(MATCH($Y131,$T$12:$T$432,0),"")</f>
        <v/>
      </c>
      <c r="AA131" s="3" t="n"/>
      <c r="AB131" s="3" t="n"/>
      <c r="AC131" s="3" t="n"/>
      <c r="AD131" s="3" t="n"/>
    </row>
    <row r="132">
      <c r="A132" s="6" t="n"/>
      <c r="B132" s="153">
        <f>IF($C132="","",ROW()-11)</f>
        <v/>
      </c>
      <c r="C132" s="240">
        <f>IF($Z132="","",IF(INDEX($N$12:$N$432,$Z132)="","",INDEX($N$12:$N$432,$Z132)))</f>
        <v/>
      </c>
      <c r="D132" s="29">
        <f>IF($C132="","",INDEX($O$12:$O$432,$Z132))</f>
        <v/>
      </c>
      <c r="E132" s="153">
        <f>IF($C132="","",INDEX($P$12:$P$432,$Z132))</f>
        <v/>
      </c>
      <c r="F132" s="241">
        <f>IF($C132="","",INDEX($R$12:$R$432,$Z132))</f>
        <v/>
      </c>
      <c r="G132" s="241">
        <f>IF($C132="","",INDEX($S$12:$S$432,$Z132))</f>
        <v/>
      </c>
      <c r="H132" s="241">
        <f>IF($C132="","",N($H131)+$F132-$G132)</f>
        <v/>
      </c>
      <c r="I132" s="6" t="n"/>
      <c r="J132" s="6" t="n"/>
      <c r="K132" s="3" t="n"/>
      <c r="L132" s="3" t="n"/>
      <c r="M132" s="3" t="n">
        <v>121</v>
      </c>
      <c r="N132" s="3">
        <f>IF(OR($U132=0,$W132="",$X132&lt;=0),"",IF($W132&gt;TODAY(),"",IF(AND(INDEX(UCRETLER!$E$7:$E$406,$U132)&lt;&gt;"",$W132&gt;INDEX(UCRETLER!$E$7:$E$406,$U132)),"",$W132)))</f>
        <v/>
      </c>
      <c r="O132" s="3">
        <f>IF($N132="","",IF(INDEX(UCRETLER!$F$7:$F$406,$U132)="Aylık",CHOOSE(MONTH($N132),"Ocak","Şubat","Mart","Nisan","Mayıs","Haziran","Temmuz","Ağustos","Eylül","Ekim","Kasım","Aralık")&amp;" "&amp;YEAR($N132)&amp;" aylık muhasebe hizmet ücreti",RIGHT("0"&amp;DAY($N132),2)&amp;"."&amp;RIGHT("0"&amp;MONTH($N132),2)&amp;"."&amp;YEAR($N132)&amp;" haftalık muhasebe hizmet ücreti"))</f>
        <v/>
      </c>
      <c r="P132" s="3">
        <f>IF($N132="","","TAHAKKUK")</f>
        <v/>
      </c>
      <c r="Q132" s="3" t="n"/>
      <c r="R132" s="3">
        <f>IF($N132="",0,$X132)</f>
        <v/>
      </c>
      <c r="S132" s="3" t="n">
        <v>0</v>
      </c>
      <c r="T132" s="3">
        <f>IF($N132="",10000000000,$N132*100000+$M132)</f>
        <v/>
      </c>
      <c r="U132" s="3">
        <f>$AB$5</f>
        <v/>
      </c>
      <c r="V132" s="3" t="n">
        <v>40</v>
      </c>
      <c r="W132" s="3">
        <f>IF($U132=0,"",IF(INDEX(UCRETLER!$D$7:$D$406,$U132)="","",IF(INDEX(UCRETLER!$F$7:$F$406,$U132)="Aylık",EOMONTH(INDEX(UCRETLER!$D$7:$D$406,$U132),$V132-1),INDEX(UCRETLER!$D$7:$D$406,$U132)+MOD(SISTEM!$F$8-WEEKDAY(INDEX(UCRETLER!$D$7:$D$406,$U132),2),7)+7*($V132-1))))</f>
        <v/>
      </c>
      <c r="X132" s="3">
        <f>IF($U132=0,0,INDEX(UCRETLER!$G$7:$G$406,$U132))</f>
        <v/>
      </c>
      <c r="Y132" s="3">
        <f>IFERROR(SMALL($T$12:$T$432,ROW()-11),"")</f>
        <v/>
      </c>
      <c r="Z132" s="3">
        <f>IFERROR(MATCH($Y132,$T$12:$T$432,0),"")</f>
        <v/>
      </c>
      <c r="AA132" s="3" t="n"/>
      <c r="AB132" s="3" t="n"/>
      <c r="AC132" s="3" t="n"/>
      <c r="AD132" s="3" t="n"/>
    </row>
    <row r="133">
      <c r="A133" s="6" t="n"/>
      <c r="B133" s="153">
        <f>IF($C133="","",ROW()-11)</f>
        <v/>
      </c>
      <c r="C133" s="240">
        <f>IF($Z133="","",IF(INDEX($N$12:$N$432,$Z133)="","",INDEX($N$12:$N$432,$Z133)))</f>
        <v/>
      </c>
      <c r="D133" s="29">
        <f>IF($C133="","",INDEX($O$12:$O$432,$Z133))</f>
        <v/>
      </c>
      <c r="E133" s="153">
        <f>IF($C133="","",INDEX($P$12:$P$432,$Z133))</f>
        <v/>
      </c>
      <c r="F133" s="241">
        <f>IF($C133="","",INDEX($R$12:$R$432,$Z133))</f>
        <v/>
      </c>
      <c r="G133" s="241">
        <f>IF($C133="","",INDEX($S$12:$S$432,$Z133))</f>
        <v/>
      </c>
      <c r="H133" s="241">
        <f>IF($C133="","",N($H132)+$F133-$G133)</f>
        <v/>
      </c>
      <c r="I133" s="6" t="n"/>
      <c r="J133" s="6" t="n"/>
      <c r="K133" s="3" t="n"/>
      <c r="L133" s="3" t="n"/>
      <c r="M133" s="3" t="n">
        <v>122</v>
      </c>
      <c r="N133" s="3">
        <f>IF(OR($U133=0,$W133="",$X133&lt;=0),"",IF($W133&gt;TODAY(),"",IF(AND(INDEX(UCRETLER!$E$7:$E$406,$U133)&lt;&gt;"",$W133&gt;INDEX(UCRETLER!$E$7:$E$406,$U133)),"",$W133)))</f>
        <v/>
      </c>
      <c r="O133" s="3">
        <f>IF($N133="","",IF(INDEX(UCRETLER!$F$7:$F$406,$U133)="Aylık",CHOOSE(MONTH($N133),"Ocak","Şubat","Mart","Nisan","Mayıs","Haziran","Temmuz","Ağustos","Eylül","Ekim","Kasım","Aralık")&amp;" "&amp;YEAR($N133)&amp;" aylık muhasebe hizmet ücreti",RIGHT("0"&amp;DAY($N133),2)&amp;"."&amp;RIGHT("0"&amp;MONTH($N133),2)&amp;"."&amp;YEAR($N133)&amp;" haftalık muhasebe hizmet ücreti"))</f>
        <v/>
      </c>
      <c r="P133" s="3">
        <f>IF($N133="","","TAHAKKUK")</f>
        <v/>
      </c>
      <c r="Q133" s="3" t="n"/>
      <c r="R133" s="3">
        <f>IF($N133="",0,$X133)</f>
        <v/>
      </c>
      <c r="S133" s="3" t="n">
        <v>0</v>
      </c>
      <c r="T133" s="3">
        <f>IF($N133="",10000000000,$N133*100000+$M133)</f>
        <v/>
      </c>
      <c r="U133" s="3">
        <f>$AB$5</f>
        <v/>
      </c>
      <c r="V133" s="3" t="n">
        <v>41</v>
      </c>
      <c r="W133" s="3">
        <f>IF($U133=0,"",IF(INDEX(UCRETLER!$D$7:$D$406,$U133)="","",IF(INDEX(UCRETLER!$F$7:$F$406,$U133)="Aylık",EOMONTH(INDEX(UCRETLER!$D$7:$D$406,$U133),$V133-1),INDEX(UCRETLER!$D$7:$D$406,$U133)+MOD(SISTEM!$F$8-WEEKDAY(INDEX(UCRETLER!$D$7:$D$406,$U133),2),7)+7*($V133-1))))</f>
        <v/>
      </c>
      <c r="X133" s="3">
        <f>IF($U133=0,0,INDEX(UCRETLER!$G$7:$G$406,$U133))</f>
        <v/>
      </c>
      <c r="Y133" s="3">
        <f>IFERROR(SMALL($T$12:$T$432,ROW()-11),"")</f>
        <v/>
      </c>
      <c r="Z133" s="3">
        <f>IFERROR(MATCH($Y133,$T$12:$T$432,0),"")</f>
        <v/>
      </c>
      <c r="AA133" s="3" t="n"/>
      <c r="AB133" s="3" t="n"/>
      <c r="AC133" s="3" t="n"/>
      <c r="AD133" s="3" t="n"/>
    </row>
    <row r="134">
      <c r="A134" s="6" t="n"/>
      <c r="B134" s="153">
        <f>IF($C134="","",ROW()-11)</f>
        <v/>
      </c>
      <c r="C134" s="240">
        <f>IF($Z134="","",IF(INDEX($N$12:$N$432,$Z134)="","",INDEX($N$12:$N$432,$Z134)))</f>
        <v/>
      </c>
      <c r="D134" s="29">
        <f>IF($C134="","",INDEX($O$12:$O$432,$Z134))</f>
        <v/>
      </c>
      <c r="E134" s="153">
        <f>IF($C134="","",INDEX($P$12:$P$432,$Z134))</f>
        <v/>
      </c>
      <c r="F134" s="241">
        <f>IF($C134="","",INDEX($R$12:$R$432,$Z134))</f>
        <v/>
      </c>
      <c r="G134" s="241">
        <f>IF($C134="","",INDEX($S$12:$S$432,$Z134))</f>
        <v/>
      </c>
      <c r="H134" s="241">
        <f>IF($C134="","",N($H133)+$F134-$G134)</f>
        <v/>
      </c>
      <c r="I134" s="6" t="n"/>
      <c r="J134" s="6" t="n"/>
      <c r="K134" s="3" t="n"/>
      <c r="L134" s="3" t="n"/>
      <c r="M134" s="3" t="n">
        <v>123</v>
      </c>
      <c r="N134" s="3">
        <f>IF(OR($U134=0,$W134="",$X134&lt;=0),"",IF($W134&gt;TODAY(),"",IF(AND(INDEX(UCRETLER!$E$7:$E$406,$U134)&lt;&gt;"",$W134&gt;INDEX(UCRETLER!$E$7:$E$406,$U134)),"",$W134)))</f>
        <v/>
      </c>
      <c r="O134" s="3">
        <f>IF($N134="","",IF(INDEX(UCRETLER!$F$7:$F$406,$U134)="Aylık",CHOOSE(MONTH($N134),"Ocak","Şubat","Mart","Nisan","Mayıs","Haziran","Temmuz","Ağustos","Eylül","Ekim","Kasım","Aralık")&amp;" "&amp;YEAR($N134)&amp;" aylık muhasebe hizmet ücreti",RIGHT("0"&amp;DAY($N134),2)&amp;"."&amp;RIGHT("0"&amp;MONTH($N134),2)&amp;"."&amp;YEAR($N134)&amp;" haftalık muhasebe hizmet ücreti"))</f>
        <v/>
      </c>
      <c r="P134" s="3">
        <f>IF($N134="","","TAHAKKUK")</f>
        <v/>
      </c>
      <c r="Q134" s="3" t="n"/>
      <c r="R134" s="3">
        <f>IF($N134="",0,$X134)</f>
        <v/>
      </c>
      <c r="S134" s="3" t="n">
        <v>0</v>
      </c>
      <c r="T134" s="3">
        <f>IF($N134="",10000000000,$N134*100000+$M134)</f>
        <v/>
      </c>
      <c r="U134" s="3">
        <f>$AB$5</f>
        <v/>
      </c>
      <c r="V134" s="3" t="n">
        <v>42</v>
      </c>
      <c r="W134" s="3">
        <f>IF($U134=0,"",IF(INDEX(UCRETLER!$D$7:$D$406,$U134)="","",IF(INDEX(UCRETLER!$F$7:$F$406,$U134)="Aylık",EOMONTH(INDEX(UCRETLER!$D$7:$D$406,$U134),$V134-1),INDEX(UCRETLER!$D$7:$D$406,$U134)+MOD(SISTEM!$F$8-WEEKDAY(INDEX(UCRETLER!$D$7:$D$406,$U134),2),7)+7*($V134-1))))</f>
        <v/>
      </c>
      <c r="X134" s="3">
        <f>IF($U134=0,0,INDEX(UCRETLER!$G$7:$G$406,$U134))</f>
        <v/>
      </c>
      <c r="Y134" s="3">
        <f>IFERROR(SMALL($T$12:$T$432,ROW()-11),"")</f>
        <v/>
      </c>
      <c r="Z134" s="3">
        <f>IFERROR(MATCH($Y134,$T$12:$T$432,0),"")</f>
        <v/>
      </c>
      <c r="AA134" s="3" t="n"/>
      <c r="AB134" s="3" t="n"/>
      <c r="AC134" s="3" t="n"/>
      <c r="AD134" s="3" t="n"/>
    </row>
    <row r="135">
      <c r="A135" s="6" t="n"/>
      <c r="B135" s="153">
        <f>IF($C135="","",ROW()-11)</f>
        <v/>
      </c>
      <c r="C135" s="240">
        <f>IF($Z135="","",IF(INDEX($N$12:$N$432,$Z135)="","",INDEX($N$12:$N$432,$Z135)))</f>
        <v/>
      </c>
      <c r="D135" s="29">
        <f>IF($C135="","",INDEX($O$12:$O$432,$Z135))</f>
        <v/>
      </c>
      <c r="E135" s="153">
        <f>IF($C135="","",INDEX($P$12:$P$432,$Z135))</f>
        <v/>
      </c>
      <c r="F135" s="241">
        <f>IF($C135="","",INDEX($R$12:$R$432,$Z135))</f>
        <v/>
      </c>
      <c r="G135" s="241">
        <f>IF($C135="","",INDEX($S$12:$S$432,$Z135))</f>
        <v/>
      </c>
      <c r="H135" s="241">
        <f>IF($C135="","",N($H134)+$F135-$G135)</f>
        <v/>
      </c>
      <c r="I135" s="6" t="n"/>
      <c r="J135" s="6" t="n"/>
      <c r="K135" s="3" t="n"/>
      <c r="L135" s="3" t="n"/>
      <c r="M135" s="3" t="n">
        <v>124</v>
      </c>
      <c r="N135" s="3">
        <f>IF(OR($U135=0,$W135="",$X135&lt;=0),"",IF($W135&gt;TODAY(),"",IF(AND(INDEX(UCRETLER!$E$7:$E$406,$U135)&lt;&gt;"",$W135&gt;INDEX(UCRETLER!$E$7:$E$406,$U135)),"",$W135)))</f>
        <v/>
      </c>
      <c r="O135" s="3">
        <f>IF($N135="","",IF(INDEX(UCRETLER!$F$7:$F$406,$U135)="Aylık",CHOOSE(MONTH($N135),"Ocak","Şubat","Mart","Nisan","Mayıs","Haziran","Temmuz","Ağustos","Eylül","Ekim","Kasım","Aralık")&amp;" "&amp;YEAR($N135)&amp;" aylık muhasebe hizmet ücreti",RIGHT("0"&amp;DAY($N135),2)&amp;"."&amp;RIGHT("0"&amp;MONTH($N135),2)&amp;"."&amp;YEAR($N135)&amp;" haftalık muhasebe hizmet ücreti"))</f>
        <v/>
      </c>
      <c r="P135" s="3">
        <f>IF($N135="","","TAHAKKUK")</f>
        <v/>
      </c>
      <c r="Q135" s="3" t="n"/>
      <c r="R135" s="3">
        <f>IF($N135="",0,$X135)</f>
        <v/>
      </c>
      <c r="S135" s="3" t="n">
        <v>0</v>
      </c>
      <c r="T135" s="3">
        <f>IF($N135="",10000000000,$N135*100000+$M135)</f>
        <v/>
      </c>
      <c r="U135" s="3">
        <f>$AB$5</f>
        <v/>
      </c>
      <c r="V135" s="3" t="n">
        <v>43</v>
      </c>
      <c r="W135" s="3">
        <f>IF($U135=0,"",IF(INDEX(UCRETLER!$D$7:$D$406,$U135)="","",IF(INDEX(UCRETLER!$F$7:$F$406,$U135)="Aylık",EOMONTH(INDEX(UCRETLER!$D$7:$D$406,$U135),$V135-1),INDEX(UCRETLER!$D$7:$D$406,$U135)+MOD(SISTEM!$F$8-WEEKDAY(INDEX(UCRETLER!$D$7:$D$406,$U135),2),7)+7*($V135-1))))</f>
        <v/>
      </c>
      <c r="X135" s="3">
        <f>IF($U135=0,0,INDEX(UCRETLER!$G$7:$G$406,$U135))</f>
        <v/>
      </c>
      <c r="Y135" s="3">
        <f>IFERROR(SMALL($T$12:$T$432,ROW()-11),"")</f>
        <v/>
      </c>
      <c r="Z135" s="3">
        <f>IFERROR(MATCH($Y135,$T$12:$T$432,0),"")</f>
        <v/>
      </c>
      <c r="AA135" s="3" t="n"/>
      <c r="AB135" s="3" t="n"/>
      <c r="AC135" s="3" t="n"/>
      <c r="AD135" s="3" t="n"/>
    </row>
    <row r="136">
      <c r="A136" s="6" t="n"/>
      <c r="B136" s="153">
        <f>IF($C136="","",ROW()-11)</f>
        <v/>
      </c>
      <c r="C136" s="240">
        <f>IF($Z136="","",IF(INDEX($N$12:$N$432,$Z136)="","",INDEX($N$12:$N$432,$Z136)))</f>
        <v/>
      </c>
      <c r="D136" s="29">
        <f>IF($C136="","",INDEX($O$12:$O$432,$Z136))</f>
        <v/>
      </c>
      <c r="E136" s="153">
        <f>IF($C136="","",INDEX($P$12:$P$432,$Z136))</f>
        <v/>
      </c>
      <c r="F136" s="241">
        <f>IF($C136="","",INDEX($R$12:$R$432,$Z136))</f>
        <v/>
      </c>
      <c r="G136" s="241">
        <f>IF($C136="","",INDEX($S$12:$S$432,$Z136))</f>
        <v/>
      </c>
      <c r="H136" s="241">
        <f>IF($C136="","",N($H135)+$F136-$G136)</f>
        <v/>
      </c>
      <c r="I136" s="6" t="n"/>
      <c r="J136" s="6" t="n"/>
      <c r="K136" s="3" t="n"/>
      <c r="L136" s="3" t="n"/>
      <c r="M136" s="3" t="n">
        <v>125</v>
      </c>
      <c r="N136" s="3">
        <f>IF(OR($U136=0,$W136="",$X136&lt;=0),"",IF($W136&gt;TODAY(),"",IF(AND(INDEX(UCRETLER!$E$7:$E$406,$U136)&lt;&gt;"",$W136&gt;INDEX(UCRETLER!$E$7:$E$406,$U136)),"",$W136)))</f>
        <v/>
      </c>
      <c r="O136" s="3">
        <f>IF($N136="","",IF(INDEX(UCRETLER!$F$7:$F$406,$U136)="Aylık",CHOOSE(MONTH($N136),"Ocak","Şubat","Mart","Nisan","Mayıs","Haziran","Temmuz","Ağustos","Eylül","Ekim","Kasım","Aralık")&amp;" "&amp;YEAR($N136)&amp;" aylık muhasebe hizmet ücreti",RIGHT("0"&amp;DAY($N136),2)&amp;"."&amp;RIGHT("0"&amp;MONTH($N136),2)&amp;"."&amp;YEAR($N136)&amp;" haftalık muhasebe hizmet ücreti"))</f>
        <v/>
      </c>
      <c r="P136" s="3">
        <f>IF($N136="","","TAHAKKUK")</f>
        <v/>
      </c>
      <c r="Q136" s="3" t="n"/>
      <c r="R136" s="3">
        <f>IF($N136="",0,$X136)</f>
        <v/>
      </c>
      <c r="S136" s="3" t="n">
        <v>0</v>
      </c>
      <c r="T136" s="3">
        <f>IF($N136="",10000000000,$N136*100000+$M136)</f>
        <v/>
      </c>
      <c r="U136" s="3">
        <f>$AB$5</f>
        <v/>
      </c>
      <c r="V136" s="3" t="n">
        <v>44</v>
      </c>
      <c r="W136" s="3">
        <f>IF($U136=0,"",IF(INDEX(UCRETLER!$D$7:$D$406,$U136)="","",IF(INDEX(UCRETLER!$F$7:$F$406,$U136)="Aylık",EOMONTH(INDEX(UCRETLER!$D$7:$D$406,$U136),$V136-1),INDEX(UCRETLER!$D$7:$D$406,$U136)+MOD(SISTEM!$F$8-WEEKDAY(INDEX(UCRETLER!$D$7:$D$406,$U136),2),7)+7*($V136-1))))</f>
        <v/>
      </c>
      <c r="X136" s="3">
        <f>IF($U136=0,0,INDEX(UCRETLER!$G$7:$G$406,$U136))</f>
        <v/>
      </c>
      <c r="Y136" s="3">
        <f>IFERROR(SMALL($T$12:$T$432,ROW()-11),"")</f>
        <v/>
      </c>
      <c r="Z136" s="3">
        <f>IFERROR(MATCH($Y136,$T$12:$T$432,0),"")</f>
        <v/>
      </c>
      <c r="AA136" s="3" t="n"/>
      <c r="AB136" s="3" t="n"/>
      <c r="AC136" s="3" t="n"/>
      <c r="AD136" s="3" t="n"/>
    </row>
    <row r="137">
      <c r="A137" s="6" t="n"/>
      <c r="B137" s="153">
        <f>IF($C137="","",ROW()-11)</f>
        <v/>
      </c>
      <c r="C137" s="240">
        <f>IF($Z137="","",IF(INDEX($N$12:$N$432,$Z137)="","",INDEX($N$12:$N$432,$Z137)))</f>
        <v/>
      </c>
      <c r="D137" s="29">
        <f>IF($C137="","",INDEX($O$12:$O$432,$Z137))</f>
        <v/>
      </c>
      <c r="E137" s="153">
        <f>IF($C137="","",INDEX($P$12:$P$432,$Z137))</f>
        <v/>
      </c>
      <c r="F137" s="241">
        <f>IF($C137="","",INDEX($R$12:$R$432,$Z137))</f>
        <v/>
      </c>
      <c r="G137" s="241">
        <f>IF($C137="","",INDEX($S$12:$S$432,$Z137))</f>
        <v/>
      </c>
      <c r="H137" s="241">
        <f>IF($C137="","",N($H136)+$F137-$G137)</f>
        <v/>
      </c>
      <c r="I137" s="6" t="n"/>
      <c r="J137" s="6" t="n"/>
      <c r="K137" s="3" t="n"/>
      <c r="L137" s="3" t="n"/>
      <c r="M137" s="3" t="n">
        <v>126</v>
      </c>
      <c r="N137" s="3">
        <f>IF(OR($U137=0,$W137="",$X137&lt;=0),"",IF($W137&gt;TODAY(),"",IF(AND(INDEX(UCRETLER!$E$7:$E$406,$U137)&lt;&gt;"",$W137&gt;INDEX(UCRETLER!$E$7:$E$406,$U137)),"",$W137)))</f>
        <v/>
      </c>
      <c r="O137" s="3">
        <f>IF($N137="","",IF(INDEX(UCRETLER!$F$7:$F$406,$U137)="Aylık",CHOOSE(MONTH($N137),"Ocak","Şubat","Mart","Nisan","Mayıs","Haziran","Temmuz","Ağustos","Eylül","Ekim","Kasım","Aralık")&amp;" "&amp;YEAR($N137)&amp;" aylık muhasebe hizmet ücreti",RIGHT("0"&amp;DAY($N137),2)&amp;"."&amp;RIGHT("0"&amp;MONTH($N137),2)&amp;"."&amp;YEAR($N137)&amp;" haftalık muhasebe hizmet ücreti"))</f>
        <v/>
      </c>
      <c r="P137" s="3">
        <f>IF($N137="","","TAHAKKUK")</f>
        <v/>
      </c>
      <c r="Q137" s="3" t="n"/>
      <c r="R137" s="3">
        <f>IF($N137="",0,$X137)</f>
        <v/>
      </c>
      <c r="S137" s="3" t="n">
        <v>0</v>
      </c>
      <c r="T137" s="3">
        <f>IF($N137="",10000000000,$N137*100000+$M137)</f>
        <v/>
      </c>
      <c r="U137" s="3">
        <f>$AB$5</f>
        <v/>
      </c>
      <c r="V137" s="3" t="n">
        <v>45</v>
      </c>
      <c r="W137" s="3">
        <f>IF($U137=0,"",IF(INDEX(UCRETLER!$D$7:$D$406,$U137)="","",IF(INDEX(UCRETLER!$F$7:$F$406,$U137)="Aylık",EOMONTH(INDEX(UCRETLER!$D$7:$D$406,$U137),$V137-1),INDEX(UCRETLER!$D$7:$D$406,$U137)+MOD(SISTEM!$F$8-WEEKDAY(INDEX(UCRETLER!$D$7:$D$406,$U137),2),7)+7*($V137-1))))</f>
        <v/>
      </c>
      <c r="X137" s="3">
        <f>IF($U137=0,0,INDEX(UCRETLER!$G$7:$G$406,$U137))</f>
        <v/>
      </c>
      <c r="Y137" s="3">
        <f>IFERROR(SMALL($T$12:$T$432,ROW()-11),"")</f>
        <v/>
      </c>
      <c r="Z137" s="3">
        <f>IFERROR(MATCH($Y137,$T$12:$T$432,0),"")</f>
        <v/>
      </c>
      <c r="AA137" s="3" t="n"/>
      <c r="AB137" s="3" t="n"/>
      <c r="AC137" s="3" t="n"/>
      <c r="AD137" s="3" t="n"/>
    </row>
    <row r="138">
      <c r="A138" s="6" t="n"/>
      <c r="B138" s="153">
        <f>IF($C138="","",ROW()-11)</f>
        <v/>
      </c>
      <c r="C138" s="240">
        <f>IF($Z138="","",IF(INDEX($N$12:$N$432,$Z138)="","",INDEX($N$12:$N$432,$Z138)))</f>
        <v/>
      </c>
      <c r="D138" s="29">
        <f>IF($C138="","",INDEX($O$12:$O$432,$Z138))</f>
        <v/>
      </c>
      <c r="E138" s="153">
        <f>IF($C138="","",INDEX($P$12:$P$432,$Z138))</f>
        <v/>
      </c>
      <c r="F138" s="241">
        <f>IF($C138="","",INDEX($R$12:$R$432,$Z138))</f>
        <v/>
      </c>
      <c r="G138" s="241">
        <f>IF($C138="","",INDEX($S$12:$S$432,$Z138))</f>
        <v/>
      </c>
      <c r="H138" s="241">
        <f>IF($C138="","",N($H137)+$F138-$G138)</f>
        <v/>
      </c>
      <c r="I138" s="6" t="n"/>
      <c r="J138" s="6" t="n"/>
      <c r="K138" s="3" t="n"/>
      <c r="L138" s="3" t="n"/>
      <c r="M138" s="3" t="n">
        <v>127</v>
      </c>
      <c r="N138" s="3">
        <f>IF(OR($U138=0,$W138="",$X138&lt;=0),"",IF($W138&gt;TODAY(),"",IF(AND(INDEX(UCRETLER!$E$7:$E$406,$U138)&lt;&gt;"",$W138&gt;INDEX(UCRETLER!$E$7:$E$406,$U138)),"",$W138)))</f>
        <v/>
      </c>
      <c r="O138" s="3">
        <f>IF($N138="","",IF(INDEX(UCRETLER!$F$7:$F$406,$U138)="Aylık",CHOOSE(MONTH($N138),"Ocak","Şubat","Mart","Nisan","Mayıs","Haziran","Temmuz","Ağustos","Eylül","Ekim","Kasım","Aralık")&amp;" "&amp;YEAR($N138)&amp;" aylık muhasebe hizmet ücreti",RIGHT("0"&amp;DAY($N138),2)&amp;"."&amp;RIGHT("0"&amp;MONTH($N138),2)&amp;"."&amp;YEAR($N138)&amp;" haftalık muhasebe hizmet ücreti"))</f>
        <v/>
      </c>
      <c r="P138" s="3">
        <f>IF($N138="","","TAHAKKUK")</f>
        <v/>
      </c>
      <c r="Q138" s="3" t="n"/>
      <c r="R138" s="3">
        <f>IF($N138="",0,$X138)</f>
        <v/>
      </c>
      <c r="S138" s="3" t="n">
        <v>0</v>
      </c>
      <c r="T138" s="3">
        <f>IF($N138="",10000000000,$N138*100000+$M138)</f>
        <v/>
      </c>
      <c r="U138" s="3">
        <f>$AB$5</f>
        <v/>
      </c>
      <c r="V138" s="3" t="n">
        <v>46</v>
      </c>
      <c r="W138" s="3">
        <f>IF($U138=0,"",IF(INDEX(UCRETLER!$D$7:$D$406,$U138)="","",IF(INDEX(UCRETLER!$F$7:$F$406,$U138)="Aylık",EOMONTH(INDEX(UCRETLER!$D$7:$D$406,$U138),$V138-1),INDEX(UCRETLER!$D$7:$D$406,$U138)+MOD(SISTEM!$F$8-WEEKDAY(INDEX(UCRETLER!$D$7:$D$406,$U138),2),7)+7*($V138-1))))</f>
        <v/>
      </c>
      <c r="X138" s="3">
        <f>IF($U138=0,0,INDEX(UCRETLER!$G$7:$G$406,$U138))</f>
        <v/>
      </c>
      <c r="Y138" s="3">
        <f>IFERROR(SMALL($T$12:$T$432,ROW()-11),"")</f>
        <v/>
      </c>
      <c r="Z138" s="3">
        <f>IFERROR(MATCH($Y138,$T$12:$T$432,0),"")</f>
        <v/>
      </c>
      <c r="AA138" s="3" t="n"/>
      <c r="AB138" s="3" t="n"/>
      <c r="AC138" s="3" t="n"/>
      <c r="AD138" s="3" t="n"/>
    </row>
    <row r="139">
      <c r="A139" s="6" t="n"/>
      <c r="B139" s="153">
        <f>IF($C139="","",ROW()-11)</f>
        <v/>
      </c>
      <c r="C139" s="240">
        <f>IF($Z139="","",IF(INDEX($N$12:$N$432,$Z139)="","",INDEX($N$12:$N$432,$Z139)))</f>
        <v/>
      </c>
      <c r="D139" s="29">
        <f>IF($C139="","",INDEX($O$12:$O$432,$Z139))</f>
        <v/>
      </c>
      <c r="E139" s="153">
        <f>IF($C139="","",INDEX($P$12:$P$432,$Z139))</f>
        <v/>
      </c>
      <c r="F139" s="241">
        <f>IF($C139="","",INDEX($R$12:$R$432,$Z139))</f>
        <v/>
      </c>
      <c r="G139" s="241">
        <f>IF($C139="","",INDEX($S$12:$S$432,$Z139))</f>
        <v/>
      </c>
      <c r="H139" s="241">
        <f>IF($C139="","",N($H138)+$F139-$G139)</f>
        <v/>
      </c>
      <c r="I139" s="6" t="n"/>
      <c r="J139" s="6" t="n"/>
      <c r="K139" s="3" t="n"/>
      <c r="L139" s="3" t="n"/>
      <c r="M139" s="3" t="n">
        <v>128</v>
      </c>
      <c r="N139" s="3">
        <f>IF(OR($U139=0,$W139="",$X139&lt;=0),"",IF($W139&gt;TODAY(),"",IF(AND(INDEX(UCRETLER!$E$7:$E$406,$U139)&lt;&gt;"",$W139&gt;INDEX(UCRETLER!$E$7:$E$406,$U139)),"",$W139)))</f>
        <v/>
      </c>
      <c r="O139" s="3">
        <f>IF($N139="","",IF(INDEX(UCRETLER!$F$7:$F$406,$U139)="Aylık",CHOOSE(MONTH($N139),"Ocak","Şubat","Mart","Nisan","Mayıs","Haziran","Temmuz","Ağustos","Eylül","Ekim","Kasım","Aralık")&amp;" "&amp;YEAR($N139)&amp;" aylık muhasebe hizmet ücreti",RIGHT("0"&amp;DAY($N139),2)&amp;"."&amp;RIGHT("0"&amp;MONTH($N139),2)&amp;"."&amp;YEAR($N139)&amp;" haftalık muhasebe hizmet ücreti"))</f>
        <v/>
      </c>
      <c r="P139" s="3">
        <f>IF($N139="","","TAHAKKUK")</f>
        <v/>
      </c>
      <c r="Q139" s="3" t="n"/>
      <c r="R139" s="3">
        <f>IF($N139="",0,$X139)</f>
        <v/>
      </c>
      <c r="S139" s="3" t="n">
        <v>0</v>
      </c>
      <c r="T139" s="3">
        <f>IF($N139="",10000000000,$N139*100000+$M139)</f>
        <v/>
      </c>
      <c r="U139" s="3">
        <f>$AB$5</f>
        <v/>
      </c>
      <c r="V139" s="3" t="n">
        <v>47</v>
      </c>
      <c r="W139" s="3">
        <f>IF($U139=0,"",IF(INDEX(UCRETLER!$D$7:$D$406,$U139)="","",IF(INDEX(UCRETLER!$F$7:$F$406,$U139)="Aylık",EOMONTH(INDEX(UCRETLER!$D$7:$D$406,$U139),$V139-1),INDEX(UCRETLER!$D$7:$D$406,$U139)+MOD(SISTEM!$F$8-WEEKDAY(INDEX(UCRETLER!$D$7:$D$406,$U139),2),7)+7*($V139-1))))</f>
        <v/>
      </c>
      <c r="X139" s="3">
        <f>IF($U139=0,0,INDEX(UCRETLER!$G$7:$G$406,$U139))</f>
        <v/>
      </c>
      <c r="Y139" s="3">
        <f>IFERROR(SMALL($T$12:$T$432,ROW()-11),"")</f>
        <v/>
      </c>
      <c r="Z139" s="3">
        <f>IFERROR(MATCH($Y139,$T$12:$T$432,0),"")</f>
        <v/>
      </c>
      <c r="AA139" s="3" t="n"/>
      <c r="AB139" s="3" t="n"/>
      <c r="AC139" s="3" t="n"/>
      <c r="AD139" s="3" t="n"/>
    </row>
    <row r="140">
      <c r="A140" s="6" t="n"/>
      <c r="B140" s="153">
        <f>IF($C140="","",ROW()-11)</f>
        <v/>
      </c>
      <c r="C140" s="240">
        <f>IF($Z140="","",IF(INDEX($N$12:$N$432,$Z140)="","",INDEX($N$12:$N$432,$Z140)))</f>
        <v/>
      </c>
      <c r="D140" s="29">
        <f>IF($C140="","",INDEX($O$12:$O$432,$Z140))</f>
        <v/>
      </c>
      <c r="E140" s="153">
        <f>IF($C140="","",INDEX($P$12:$P$432,$Z140))</f>
        <v/>
      </c>
      <c r="F140" s="241">
        <f>IF($C140="","",INDEX($R$12:$R$432,$Z140))</f>
        <v/>
      </c>
      <c r="G140" s="241">
        <f>IF($C140="","",INDEX($S$12:$S$432,$Z140))</f>
        <v/>
      </c>
      <c r="H140" s="241">
        <f>IF($C140="","",N($H139)+$F140-$G140)</f>
        <v/>
      </c>
      <c r="I140" s="6" t="n"/>
      <c r="J140" s="6" t="n"/>
      <c r="K140" s="3" t="n"/>
      <c r="L140" s="3" t="n"/>
      <c r="M140" s="3" t="n">
        <v>129</v>
      </c>
      <c r="N140" s="3">
        <f>IF(OR($U140=0,$W140="",$X140&lt;=0),"",IF($W140&gt;TODAY(),"",IF(AND(INDEX(UCRETLER!$E$7:$E$406,$U140)&lt;&gt;"",$W140&gt;INDEX(UCRETLER!$E$7:$E$406,$U140)),"",$W140)))</f>
        <v/>
      </c>
      <c r="O140" s="3">
        <f>IF($N140="","",IF(INDEX(UCRETLER!$F$7:$F$406,$U140)="Aylık",CHOOSE(MONTH($N140),"Ocak","Şubat","Mart","Nisan","Mayıs","Haziran","Temmuz","Ağustos","Eylül","Ekim","Kasım","Aralık")&amp;" "&amp;YEAR($N140)&amp;" aylık muhasebe hizmet ücreti",RIGHT("0"&amp;DAY($N140),2)&amp;"."&amp;RIGHT("0"&amp;MONTH($N140),2)&amp;"."&amp;YEAR($N140)&amp;" haftalık muhasebe hizmet ücreti"))</f>
        <v/>
      </c>
      <c r="P140" s="3">
        <f>IF($N140="","","TAHAKKUK")</f>
        <v/>
      </c>
      <c r="Q140" s="3" t="n"/>
      <c r="R140" s="3">
        <f>IF($N140="",0,$X140)</f>
        <v/>
      </c>
      <c r="S140" s="3" t="n">
        <v>0</v>
      </c>
      <c r="T140" s="3">
        <f>IF($N140="",10000000000,$N140*100000+$M140)</f>
        <v/>
      </c>
      <c r="U140" s="3">
        <f>$AB$5</f>
        <v/>
      </c>
      <c r="V140" s="3" t="n">
        <v>48</v>
      </c>
      <c r="W140" s="3">
        <f>IF($U140=0,"",IF(INDEX(UCRETLER!$D$7:$D$406,$U140)="","",IF(INDEX(UCRETLER!$F$7:$F$406,$U140)="Aylık",EOMONTH(INDEX(UCRETLER!$D$7:$D$406,$U140),$V140-1),INDEX(UCRETLER!$D$7:$D$406,$U140)+MOD(SISTEM!$F$8-WEEKDAY(INDEX(UCRETLER!$D$7:$D$406,$U140),2),7)+7*($V140-1))))</f>
        <v/>
      </c>
      <c r="X140" s="3">
        <f>IF($U140=0,0,INDEX(UCRETLER!$G$7:$G$406,$U140))</f>
        <v/>
      </c>
      <c r="Y140" s="3">
        <f>IFERROR(SMALL($T$12:$T$432,ROW()-11),"")</f>
        <v/>
      </c>
      <c r="Z140" s="3">
        <f>IFERROR(MATCH($Y140,$T$12:$T$432,0),"")</f>
        <v/>
      </c>
      <c r="AA140" s="3" t="n"/>
      <c r="AB140" s="3" t="n"/>
      <c r="AC140" s="3" t="n"/>
      <c r="AD140" s="3" t="n"/>
    </row>
    <row r="141">
      <c r="A141" s="6" t="n"/>
      <c r="B141" s="153">
        <f>IF($C141="","",ROW()-11)</f>
        <v/>
      </c>
      <c r="C141" s="240">
        <f>IF($Z141="","",IF(INDEX($N$12:$N$432,$Z141)="","",INDEX($N$12:$N$432,$Z141)))</f>
        <v/>
      </c>
      <c r="D141" s="29">
        <f>IF($C141="","",INDEX($O$12:$O$432,$Z141))</f>
        <v/>
      </c>
      <c r="E141" s="153">
        <f>IF($C141="","",INDEX($P$12:$P$432,$Z141))</f>
        <v/>
      </c>
      <c r="F141" s="241">
        <f>IF($C141="","",INDEX($R$12:$R$432,$Z141))</f>
        <v/>
      </c>
      <c r="G141" s="241">
        <f>IF($C141="","",INDEX($S$12:$S$432,$Z141))</f>
        <v/>
      </c>
      <c r="H141" s="241">
        <f>IF($C141="","",N($H140)+$F141-$G141)</f>
        <v/>
      </c>
      <c r="I141" s="6" t="n"/>
      <c r="J141" s="6" t="n"/>
      <c r="K141" s="3" t="n"/>
      <c r="L141" s="3" t="n"/>
      <c r="M141" s="3" t="n">
        <v>130</v>
      </c>
      <c r="N141" s="3">
        <f>IF(OR($U141=0,$W141="",$X141&lt;=0),"",IF($W141&gt;TODAY(),"",IF(AND(INDEX(UCRETLER!$E$7:$E$406,$U141)&lt;&gt;"",$W141&gt;INDEX(UCRETLER!$E$7:$E$406,$U141)),"",$W141)))</f>
        <v/>
      </c>
      <c r="O141" s="3">
        <f>IF($N141="","",IF(INDEX(UCRETLER!$F$7:$F$406,$U141)="Aylık",CHOOSE(MONTH($N141),"Ocak","Şubat","Mart","Nisan","Mayıs","Haziran","Temmuz","Ağustos","Eylül","Ekim","Kasım","Aralık")&amp;" "&amp;YEAR($N141)&amp;" aylık muhasebe hizmet ücreti",RIGHT("0"&amp;DAY($N141),2)&amp;"."&amp;RIGHT("0"&amp;MONTH($N141),2)&amp;"."&amp;YEAR($N141)&amp;" haftalık muhasebe hizmet ücreti"))</f>
        <v/>
      </c>
      <c r="P141" s="3">
        <f>IF($N141="","","TAHAKKUK")</f>
        <v/>
      </c>
      <c r="Q141" s="3" t="n"/>
      <c r="R141" s="3">
        <f>IF($N141="",0,$X141)</f>
        <v/>
      </c>
      <c r="S141" s="3" t="n">
        <v>0</v>
      </c>
      <c r="T141" s="3">
        <f>IF($N141="",10000000000,$N141*100000+$M141)</f>
        <v/>
      </c>
      <c r="U141" s="3">
        <f>$AB$5</f>
        <v/>
      </c>
      <c r="V141" s="3" t="n">
        <v>49</v>
      </c>
      <c r="W141" s="3">
        <f>IF($U141=0,"",IF(INDEX(UCRETLER!$D$7:$D$406,$U141)="","",IF(INDEX(UCRETLER!$F$7:$F$406,$U141)="Aylık",EOMONTH(INDEX(UCRETLER!$D$7:$D$406,$U141),$V141-1),INDEX(UCRETLER!$D$7:$D$406,$U141)+MOD(SISTEM!$F$8-WEEKDAY(INDEX(UCRETLER!$D$7:$D$406,$U141),2),7)+7*($V141-1))))</f>
        <v/>
      </c>
      <c r="X141" s="3">
        <f>IF($U141=0,0,INDEX(UCRETLER!$G$7:$G$406,$U141))</f>
        <v/>
      </c>
      <c r="Y141" s="3">
        <f>IFERROR(SMALL($T$12:$T$432,ROW()-11),"")</f>
        <v/>
      </c>
      <c r="Z141" s="3">
        <f>IFERROR(MATCH($Y141,$T$12:$T$432,0),"")</f>
        <v/>
      </c>
      <c r="AA141" s="3" t="n"/>
      <c r="AB141" s="3" t="n"/>
      <c r="AC141" s="3" t="n"/>
      <c r="AD141" s="3" t="n"/>
    </row>
    <row r="142">
      <c r="A142" s="6" t="n"/>
      <c r="B142" s="153">
        <f>IF($C142="","",ROW()-11)</f>
        <v/>
      </c>
      <c r="C142" s="240">
        <f>IF($Z142="","",IF(INDEX($N$12:$N$432,$Z142)="","",INDEX($N$12:$N$432,$Z142)))</f>
        <v/>
      </c>
      <c r="D142" s="29">
        <f>IF($C142="","",INDEX($O$12:$O$432,$Z142))</f>
        <v/>
      </c>
      <c r="E142" s="153">
        <f>IF($C142="","",INDEX($P$12:$P$432,$Z142))</f>
        <v/>
      </c>
      <c r="F142" s="241">
        <f>IF($C142="","",INDEX($R$12:$R$432,$Z142))</f>
        <v/>
      </c>
      <c r="G142" s="241">
        <f>IF($C142="","",INDEX($S$12:$S$432,$Z142))</f>
        <v/>
      </c>
      <c r="H142" s="241">
        <f>IF($C142="","",N($H141)+$F142-$G142)</f>
        <v/>
      </c>
      <c r="I142" s="6" t="n"/>
      <c r="J142" s="6" t="n"/>
      <c r="K142" s="3" t="n"/>
      <c r="L142" s="3" t="n"/>
      <c r="M142" s="3" t="n">
        <v>131</v>
      </c>
      <c r="N142" s="3">
        <f>IF(OR($U142=0,$W142="",$X142&lt;=0),"",IF($W142&gt;TODAY(),"",IF(AND(INDEX(UCRETLER!$E$7:$E$406,$U142)&lt;&gt;"",$W142&gt;INDEX(UCRETLER!$E$7:$E$406,$U142)),"",$W142)))</f>
        <v/>
      </c>
      <c r="O142" s="3">
        <f>IF($N142="","",IF(INDEX(UCRETLER!$F$7:$F$406,$U142)="Aylık",CHOOSE(MONTH($N142),"Ocak","Şubat","Mart","Nisan","Mayıs","Haziran","Temmuz","Ağustos","Eylül","Ekim","Kasım","Aralık")&amp;" "&amp;YEAR($N142)&amp;" aylık muhasebe hizmet ücreti",RIGHT("0"&amp;DAY($N142),2)&amp;"."&amp;RIGHT("0"&amp;MONTH($N142),2)&amp;"."&amp;YEAR($N142)&amp;" haftalık muhasebe hizmet ücreti"))</f>
        <v/>
      </c>
      <c r="P142" s="3">
        <f>IF($N142="","","TAHAKKUK")</f>
        <v/>
      </c>
      <c r="Q142" s="3" t="n"/>
      <c r="R142" s="3">
        <f>IF($N142="",0,$X142)</f>
        <v/>
      </c>
      <c r="S142" s="3" t="n">
        <v>0</v>
      </c>
      <c r="T142" s="3">
        <f>IF($N142="",10000000000,$N142*100000+$M142)</f>
        <v/>
      </c>
      <c r="U142" s="3">
        <f>$AB$5</f>
        <v/>
      </c>
      <c r="V142" s="3" t="n">
        <v>50</v>
      </c>
      <c r="W142" s="3">
        <f>IF($U142=0,"",IF(INDEX(UCRETLER!$D$7:$D$406,$U142)="","",IF(INDEX(UCRETLER!$F$7:$F$406,$U142)="Aylık",EOMONTH(INDEX(UCRETLER!$D$7:$D$406,$U142),$V142-1),INDEX(UCRETLER!$D$7:$D$406,$U142)+MOD(SISTEM!$F$8-WEEKDAY(INDEX(UCRETLER!$D$7:$D$406,$U142),2),7)+7*($V142-1))))</f>
        <v/>
      </c>
      <c r="X142" s="3">
        <f>IF($U142=0,0,INDEX(UCRETLER!$G$7:$G$406,$U142))</f>
        <v/>
      </c>
      <c r="Y142" s="3">
        <f>IFERROR(SMALL($T$12:$T$432,ROW()-11),"")</f>
        <v/>
      </c>
      <c r="Z142" s="3">
        <f>IFERROR(MATCH($Y142,$T$12:$T$432,0),"")</f>
        <v/>
      </c>
      <c r="AA142" s="3" t="n"/>
      <c r="AB142" s="3" t="n"/>
      <c r="AC142" s="3" t="n"/>
      <c r="AD142" s="3" t="n"/>
    </row>
    <row r="143">
      <c r="A143" s="6" t="n"/>
      <c r="B143" s="153">
        <f>IF($C143="","",ROW()-11)</f>
        <v/>
      </c>
      <c r="C143" s="240">
        <f>IF($Z143="","",IF(INDEX($N$12:$N$432,$Z143)="","",INDEX($N$12:$N$432,$Z143)))</f>
        <v/>
      </c>
      <c r="D143" s="29">
        <f>IF($C143="","",INDEX($O$12:$O$432,$Z143))</f>
        <v/>
      </c>
      <c r="E143" s="153">
        <f>IF($C143="","",INDEX($P$12:$P$432,$Z143))</f>
        <v/>
      </c>
      <c r="F143" s="241">
        <f>IF($C143="","",INDEX($R$12:$R$432,$Z143))</f>
        <v/>
      </c>
      <c r="G143" s="241">
        <f>IF($C143="","",INDEX($S$12:$S$432,$Z143))</f>
        <v/>
      </c>
      <c r="H143" s="241">
        <f>IF($C143="","",N($H142)+$F143-$G143)</f>
        <v/>
      </c>
      <c r="I143" s="6" t="n"/>
      <c r="J143" s="6" t="n"/>
      <c r="K143" s="3" t="n"/>
      <c r="L143" s="3" t="n"/>
      <c r="M143" s="3" t="n">
        <v>132</v>
      </c>
      <c r="N143" s="3">
        <f>IF(OR($U143=0,$W143="",$X143&lt;=0),"",IF($W143&gt;TODAY(),"",IF(AND(INDEX(UCRETLER!$E$7:$E$406,$U143)&lt;&gt;"",$W143&gt;INDEX(UCRETLER!$E$7:$E$406,$U143)),"",$W143)))</f>
        <v/>
      </c>
      <c r="O143" s="3">
        <f>IF($N143="","",IF(INDEX(UCRETLER!$F$7:$F$406,$U143)="Aylık",CHOOSE(MONTH($N143),"Ocak","Şubat","Mart","Nisan","Mayıs","Haziran","Temmuz","Ağustos","Eylül","Ekim","Kasım","Aralık")&amp;" "&amp;YEAR($N143)&amp;" aylık muhasebe hizmet ücreti",RIGHT("0"&amp;DAY($N143),2)&amp;"."&amp;RIGHT("0"&amp;MONTH($N143),2)&amp;"."&amp;YEAR($N143)&amp;" haftalık muhasebe hizmet ücreti"))</f>
        <v/>
      </c>
      <c r="P143" s="3">
        <f>IF($N143="","","TAHAKKUK")</f>
        <v/>
      </c>
      <c r="Q143" s="3" t="n"/>
      <c r="R143" s="3">
        <f>IF($N143="",0,$X143)</f>
        <v/>
      </c>
      <c r="S143" s="3" t="n">
        <v>0</v>
      </c>
      <c r="T143" s="3">
        <f>IF($N143="",10000000000,$N143*100000+$M143)</f>
        <v/>
      </c>
      <c r="U143" s="3">
        <f>$AB$5</f>
        <v/>
      </c>
      <c r="V143" s="3" t="n">
        <v>51</v>
      </c>
      <c r="W143" s="3">
        <f>IF($U143=0,"",IF(INDEX(UCRETLER!$D$7:$D$406,$U143)="","",IF(INDEX(UCRETLER!$F$7:$F$406,$U143)="Aylık",EOMONTH(INDEX(UCRETLER!$D$7:$D$406,$U143),$V143-1),INDEX(UCRETLER!$D$7:$D$406,$U143)+MOD(SISTEM!$F$8-WEEKDAY(INDEX(UCRETLER!$D$7:$D$406,$U143),2),7)+7*($V143-1))))</f>
        <v/>
      </c>
      <c r="X143" s="3">
        <f>IF($U143=0,0,INDEX(UCRETLER!$G$7:$G$406,$U143))</f>
        <v/>
      </c>
      <c r="Y143" s="3">
        <f>IFERROR(SMALL($T$12:$T$432,ROW()-11),"")</f>
        <v/>
      </c>
      <c r="Z143" s="3">
        <f>IFERROR(MATCH($Y143,$T$12:$T$432,0),"")</f>
        <v/>
      </c>
      <c r="AA143" s="3" t="n"/>
      <c r="AB143" s="3" t="n"/>
      <c r="AC143" s="3" t="n"/>
      <c r="AD143" s="3" t="n"/>
    </row>
    <row r="144">
      <c r="A144" s="6" t="n"/>
      <c r="B144" s="153">
        <f>IF($C144="","",ROW()-11)</f>
        <v/>
      </c>
      <c r="C144" s="240">
        <f>IF($Z144="","",IF(INDEX($N$12:$N$432,$Z144)="","",INDEX($N$12:$N$432,$Z144)))</f>
        <v/>
      </c>
      <c r="D144" s="29">
        <f>IF($C144="","",INDEX($O$12:$O$432,$Z144))</f>
        <v/>
      </c>
      <c r="E144" s="153">
        <f>IF($C144="","",INDEX($P$12:$P$432,$Z144))</f>
        <v/>
      </c>
      <c r="F144" s="241">
        <f>IF($C144="","",INDEX($R$12:$R$432,$Z144))</f>
        <v/>
      </c>
      <c r="G144" s="241">
        <f>IF($C144="","",INDEX($S$12:$S$432,$Z144))</f>
        <v/>
      </c>
      <c r="H144" s="241">
        <f>IF($C144="","",N($H143)+$F144-$G144)</f>
        <v/>
      </c>
      <c r="I144" s="6" t="n"/>
      <c r="J144" s="6" t="n"/>
      <c r="K144" s="3" t="n"/>
      <c r="L144" s="3" t="n"/>
      <c r="M144" s="3" t="n">
        <v>133</v>
      </c>
      <c r="N144" s="3">
        <f>IF(OR($U144=0,$W144="",$X144&lt;=0),"",IF($W144&gt;TODAY(),"",IF(AND(INDEX(UCRETLER!$E$7:$E$406,$U144)&lt;&gt;"",$W144&gt;INDEX(UCRETLER!$E$7:$E$406,$U144)),"",$W144)))</f>
        <v/>
      </c>
      <c r="O144" s="3">
        <f>IF($N144="","",IF(INDEX(UCRETLER!$F$7:$F$406,$U144)="Aylık",CHOOSE(MONTH($N144),"Ocak","Şubat","Mart","Nisan","Mayıs","Haziran","Temmuz","Ağustos","Eylül","Ekim","Kasım","Aralık")&amp;" "&amp;YEAR($N144)&amp;" aylık muhasebe hizmet ücreti",RIGHT("0"&amp;DAY($N144),2)&amp;"."&amp;RIGHT("0"&amp;MONTH($N144),2)&amp;"."&amp;YEAR($N144)&amp;" haftalık muhasebe hizmet ücreti"))</f>
        <v/>
      </c>
      <c r="P144" s="3">
        <f>IF($N144="","","TAHAKKUK")</f>
        <v/>
      </c>
      <c r="Q144" s="3" t="n"/>
      <c r="R144" s="3">
        <f>IF($N144="",0,$X144)</f>
        <v/>
      </c>
      <c r="S144" s="3" t="n">
        <v>0</v>
      </c>
      <c r="T144" s="3">
        <f>IF($N144="",10000000000,$N144*100000+$M144)</f>
        <v/>
      </c>
      <c r="U144" s="3">
        <f>$AB$5</f>
        <v/>
      </c>
      <c r="V144" s="3" t="n">
        <v>52</v>
      </c>
      <c r="W144" s="3">
        <f>IF($U144=0,"",IF(INDEX(UCRETLER!$D$7:$D$406,$U144)="","",IF(INDEX(UCRETLER!$F$7:$F$406,$U144)="Aylık",EOMONTH(INDEX(UCRETLER!$D$7:$D$406,$U144),$V144-1),INDEX(UCRETLER!$D$7:$D$406,$U144)+MOD(SISTEM!$F$8-WEEKDAY(INDEX(UCRETLER!$D$7:$D$406,$U144),2),7)+7*($V144-1))))</f>
        <v/>
      </c>
      <c r="X144" s="3">
        <f>IF($U144=0,0,INDEX(UCRETLER!$G$7:$G$406,$U144))</f>
        <v/>
      </c>
      <c r="Y144" s="3">
        <f>IFERROR(SMALL($T$12:$T$432,ROW()-11),"")</f>
        <v/>
      </c>
      <c r="Z144" s="3">
        <f>IFERROR(MATCH($Y144,$T$12:$T$432,0),"")</f>
        <v/>
      </c>
      <c r="AA144" s="3" t="n"/>
      <c r="AB144" s="3" t="n"/>
      <c r="AC144" s="3" t="n"/>
      <c r="AD144" s="3" t="n"/>
    </row>
    <row r="145">
      <c r="A145" s="6" t="n"/>
      <c r="B145" s="153">
        <f>IF($C145="","",ROW()-11)</f>
        <v/>
      </c>
      <c r="C145" s="240">
        <f>IF($Z145="","",IF(INDEX($N$12:$N$432,$Z145)="","",INDEX($N$12:$N$432,$Z145)))</f>
        <v/>
      </c>
      <c r="D145" s="29">
        <f>IF($C145="","",INDEX($O$12:$O$432,$Z145))</f>
        <v/>
      </c>
      <c r="E145" s="153">
        <f>IF($C145="","",INDEX($P$12:$P$432,$Z145))</f>
        <v/>
      </c>
      <c r="F145" s="241">
        <f>IF($C145="","",INDEX($R$12:$R$432,$Z145))</f>
        <v/>
      </c>
      <c r="G145" s="241">
        <f>IF($C145="","",INDEX($S$12:$S$432,$Z145))</f>
        <v/>
      </c>
      <c r="H145" s="241">
        <f>IF($C145="","",N($H144)+$F145-$G145)</f>
        <v/>
      </c>
      <c r="I145" s="6" t="n"/>
      <c r="J145" s="6" t="n"/>
      <c r="K145" s="3" t="n"/>
      <c r="L145" s="3" t="n"/>
      <c r="M145" s="3" t="n">
        <v>134</v>
      </c>
      <c r="N145" s="3">
        <f>IF(OR($U145=0,$W145="",$X145&lt;=0),"",IF($W145&gt;TODAY(),"",IF(AND(INDEX(UCRETLER!$E$7:$E$406,$U145)&lt;&gt;"",$W145&gt;INDEX(UCRETLER!$E$7:$E$406,$U145)),"",$W145)))</f>
        <v/>
      </c>
      <c r="O145" s="3">
        <f>IF($N145="","",IF(INDEX(UCRETLER!$F$7:$F$406,$U145)="Aylık",CHOOSE(MONTH($N145),"Ocak","Şubat","Mart","Nisan","Mayıs","Haziran","Temmuz","Ağustos","Eylül","Ekim","Kasım","Aralık")&amp;" "&amp;YEAR($N145)&amp;" aylık muhasebe hizmet ücreti",RIGHT("0"&amp;DAY($N145),2)&amp;"."&amp;RIGHT("0"&amp;MONTH($N145),2)&amp;"."&amp;YEAR($N145)&amp;" haftalık muhasebe hizmet ücreti"))</f>
        <v/>
      </c>
      <c r="P145" s="3">
        <f>IF($N145="","","TAHAKKUK")</f>
        <v/>
      </c>
      <c r="Q145" s="3" t="n"/>
      <c r="R145" s="3">
        <f>IF($N145="",0,$X145)</f>
        <v/>
      </c>
      <c r="S145" s="3" t="n">
        <v>0</v>
      </c>
      <c r="T145" s="3">
        <f>IF($N145="",10000000000,$N145*100000+$M145)</f>
        <v/>
      </c>
      <c r="U145" s="3">
        <f>$AB$5</f>
        <v/>
      </c>
      <c r="V145" s="3" t="n">
        <v>53</v>
      </c>
      <c r="W145" s="3">
        <f>IF($U145=0,"",IF(INDEX(UCRETLER!$D$7:$D$406,$U145)="","",IF(INDEX(UCRETLER!$F$7:$F$406,$U145)="Aylık",EOMONTH(INDEX(UCRETLER!$D$7:$D$406,$U145),$V145-1),INDEX(UCRETLER!$D$7:$D$406,$U145)+MOD(SISTEM!$F$8-WEEKDAY(INDEX(UCRETLER!$D$7:$D$406,$U145),2),7)+7*($V145-1))))</f>
        <v/>
      </c>
      <c r="X145" s="3">
        <f>IF($U145=0,0,INDEX(UCRETLER!$G$7:$G$406,$U145))</f>
        <v/>
      </c>
      <c r="Y145" s="3">
        <f>IFERROR(SMALL($T$12:$T$432,ROW()-11),"")</f>
        <v/>
      </c>
      <c r="Z145" s="3">
        <f>IFERROR(MATCH($Y145,$T$12:$T$432,0),"")</f>
        <v/>
      </c>
      <c r="AA145" s="3" t="n"/>
      <c r="AB145" s="3" t="n"/>
      <c r="AC145" s="3" t="n"/>
      <c r="AD145" s="3" t="n"/>
    </row>
    <row r="146">
      <c r="A146" s="6" t="n"/>
      <c r="B146" s="153">
        <f>IF($C146="","",ROW()-11)</f>
        <v/>
      </c>
      <c r="C146" s="240">
        <f>IF($Z146="","",IF(INDEX($N$12:$N$432,$Z146)="","",INDEX($N$12:$N$432,$Z146)))</f>
        <v/>
      </c>
      <c r="D146" s="29">
        <f>IF($C146="","",INDEX($O$12:$O$432,$Z146))</f>
        <v/>
      </c>
      <c r="E146" s="153">
        <f>IF($C146="","",INDEX($P$12:$P$432,$Z146))</f>
        <v/>
      </c>
      <c r="F146" s="241">
        <f>IF($C146="","",INDEX($R$12:$R$432,$Z146))</f>
        <v/>
      </c>
      <c r="G146" s="241">
        <f>IF($C146="","",INDEX($S$12:$S$432,$Z146))</f>
        <v/>
      </c>
      <c r="H146" s="241">
        <f>IF($C146="","",N($H145)+$F146-$G146)</f>
        <v/>
      </c>
      <c r="I146" s="6" t="n"/>
      <c r="J146" s="6" t="n"/>
      <c r="K146" s="3" t="n"/>
      <c r="L146" s="3" t="n"/>
      <c r="M146" s="3" t="n">
        <v>135</v>
      </c>
      <c r="N146" s="3">
        <f>IF(OR($U146=0,$W146="",$X146&lt;=0),"",IF($W146&gt;TODAY(),"",IF(AND(INDEX(UCRETLER!$E$7:$E$406,$U146)&lt;&gt;"",$W146&gt;INDEX(UCRETLER!$E$7:$E$406,$U146)),"",$W146)))</f>
        <v/>
      </c>
      <c r="O146" s="3">
        <f>IF($N146="","",IF(INDEX(UCRETLER!$F$7:$F$406,$U146)="Aylık",CHOOSE(MONTH($N146),"Ocak","Şubat","Mart","Nisan","Mayıs","Haziran","Temmuz","Ağustos","Eylül","Ekim","Kasım","Aralık")&amp;" "&amp;YEAR($N146)&amp;" aylık muhasebe hizmet ücreti",RIGHT("0"&amp;DAY($N146),2)&amp;"."&amp;RIGHT("0"&amp;MONTH($N146),2)&amp;"."&amp;YEAR($N146)&amp;" haftalık muhasebe hizmet ücreti"))</f>
        <v/>
      </c>
      <c r="P146" s="3">
        <f>IF($N146="","","TAHAKKUK")</f>
        <v/>
      </c>
      <c r="Q146" s="3" t="n"/>
      <c r="R146" s="3">
        <f>IF($N146="",0,$X146)</f>
        <v/>
      </c>
      <c r="S146" s="3" t="n">
        <v>0</v>
      </c>
      <c r="T146" s="3">
        <f>IF($N146="",10000000000,$N146*100000+$M146)</f>
        <v/>
      </c>
      <c r="U146" s="3">
        <f>$AB$5</f>
        <v/>
      </c>
      <c r="V146" s="3" t="n">
        <v>54</v>
      </c>
      <c r="W146" s="3">
        <f>IF($U146=0,"",IF(INDEX(UCRETLER!$D$7:$D$406,$U146)="","",IF(INDEX(UCRETLER!$F$7:$F$406,$U146)="Aylık",EOMONTH(INDEX(UCRETLER!$D$7:$D$406,$U146),$V146-1),INDEX(UCRETLER!$D$7:$D$406,$U146)+MOD(SISTEM!$F$8-WEEKDAY(INDEX(UCRETLER!$D$7:$D$406,$U146),2),7)+7*($V146-1))))</f>
        <v/>
      </c>
      <c r="X146" s="3">
        <f>IF($U146=0,0,INDEX(UCRETLER!$G$7:$G$406,$U146))</f>
        <v/>
      </c>
      <c r="Y146" s="3">
        <f>IFERROR(SMALL($T$12:$T$432,ROW()-11),"")</f>
        <v/>
      </c>
      <c r="Z146" s="3">
        <f>IFERROR(MATCH($Y146,$T$12:$T$432,0),"")</f>
        <v/>
      </c>
      <c r="AA146" s="3" t="n"/>
      <c r="AB146" s="3" t="n"/>
      <c r="AC146" s="3" t="n"/>
      <c r="AD146" s="3" t="n"/>
    </row>
    <row r="147">
      <c r="A147" s="6" t="n"/>
      <c r="B147" s="153">
        <f>IF($C147="","",ROW()-11)</f>
        <v/>
      </c>
      <c r="C147" s="240">
        <f>IF($Z147="","",IF(INDEX($N$12:$N$432,$Z147)="","",INDEX($N$12:$N$432,$Z147)))</f>
        <v/>
      </c>
      <c r="D147" s="29">
        <f>IF($C147="","",INDEX($O$12:$O$432,$Z147))</f>
        <v/>
      </c>
      <c r="E147" s="153">
        <f>IF($C147="","",INDEX($P$12:$P$432,$Z147))</f>
        <v/>
      </c>
      <c r="F147" s="241">
        <f>IF($C147="","",INDEX($R$12:$R$432,$Z147))</f>
        <v/>
      </c>
      <c r="G147" s="241">
        <f>IF($C147="","",INDEX($S$12:$S$432,$Z147))</f>
        <v/>
      </c>
      <c r="H147" s="241">
        <f>IF($C147="","",N($H146)+$F147-$G147)</f>
        <v/>
      </c>
      <c r="I147" s="6" t="n"/>
      <c r="J147" s="6" t="n"/>
      <c r="K147" s="3" t="n"/>
      <c r="L147" s="3" t="n"/>
      <c r="M147" s="3" t="n">
        <v>136</v>
      </c>
      <c r="N147" s="3">
        <f>IF(OR($U147=0,$W147="",$X147&lt;=0),"",IF($W147&gt;TODAY(),"",IF(AND(INDEX(UCRETLER!$E$7:$E$406,$U147)&lt;&gt;"",$W147&gt;INDEX(UCRETLER!$E$7:$E$406,$U147)),"",$W147)))</f>
        <v/>
      </c>
      <c r="O147" s="3">
        <f>IF($N147="","",IF(INDEX(UCRETLER!$F$7:$F$406,$U147)="Aylık",CHOOSE(MONTH($N147),"Ocak","Şubat","Mart","Nisan","Mayıs","Haziran","Temmuz","Ağustos","Eylül","Ekim","Kasım","Aralık")&amp;" "&amp;YEAR($N147)&amp;" aylık muhasebe hizmet ücreti",RIGHT("0"&amp;DAY($N147),2)&amp;"."&amp;RIGHT("0"&amp;MONTH($N147),2)&amp;"."&amp;YEAR($N147)&amp;" haftalık muhasebe hizmet ücreti"))</f>
        <v/>
      </c>
      <c r="P147" s="3">
        <f>IF($N147="","","TAHAKKUK")</f>
        <v/>
      </c>
      <c r="Q147" s="3" t="n"/>
      <c r="R147" s="3">
        <f>IF($N147="",0,$X147)</f>
        <v/>
      </c>
      <c r="S147" s="3" t="n">
        <v>0</v>
      </c>
      <c r="T147" s="3">
        <f>IF($N147="",10000000000,$N147*100000+$M147)</f>
        <v/>
      </c>
      <c r="U147" s="3">
        <f>$AB$5</f>
        <v/>
      </c>
      <c r="V147" s="3" t="n">
        <v>55</v>
      </c>
      <c r="W147" s="3">
        <f>IF($U147=0,"",IF(INDEX(UCRETLER!$D$7:$D$406,$U147)="","",IF(INDEX(UCRETLER!$F$7:$F$406,$U147)="Aylık",EOMONTH(INDEX(UCRETLER!$D$7:$D$406,$U147),$V147-1),INDEX(UCRETLER!$D$7:$D$406,$U147)+MOD(SISTEM!$F$8-WEEKDAY(INDEX(UCRETLER!$D$7:$D$406,$U147),2),7)+7*($V147-1))))</f>
        <v/>
      </c>
      <c r="X147" s="3">
        <f>IF($U147=0,0,INDEX(UCRETLER!$G$7:$G$406,$U147))</f>
        <v/>
      </c>
      <c r="Y147" s="3">
        <f>IFERROR(SMALL($T$12:$T$432,ROW()-11),"")</f>
        <v/>
      </c>
      <c r="Z147" s="3">
        <f>IFERROR(MATCH($Y147,$T$12:$T$432,0),"")</f>
        <v/>
      </c>
      <c r="AA147" s="3" t="n"/>
      <c r="AB147" s="3" t="n"/>
      <c r="AC147" s="3" t="n"/>
      <c r="AD147" s="3" t="n"/>
    </row>
    <row r="148">
      <c r="A148" s="6" t="n"/>
      <c r="B148" s="153">
        <f>IF($C148="","",ROW()-11)</f>
        <v/>
      </c>
      <c r="C148" s="240">
        <f>IF($Z148="","",IF(INDEX($N$12:$N$432,$Z148)="","",INDEX($N$12:$N$432,$Z148)))</f>
        <v/>
      </c>
      <c r="D148" s="29">
        <f>IF($C148="","",INDEX($O$12:$O$432,$Z148))</f>
        <v/>
      </c>
      <c r="E148" s="153">
        <f>IF($C148="","",INDEX($P$12:$P$432,$Z148))</f>
        <v/>
      </c>
      <c r="F148" s="241">
        <f>IF($C148="","",INDEX($R$12:$R$432,$Z148))</f>
        <v/>
      </c>
      <c r="G148" s="241">
        <f>IF($C148="","",INDEX($S$12:$S$432,$Z148))</f>
        <v/>
      </c>
      <c r="H148" s="241">
        <f>IF($C148="","",N($H147)+$F148-$G148)</f>
        <v/>
      </c>
      <c r="I148" s="6" t="n"/>
      <c r="J148" s="6" t="n"/>
      <c r="K148" s="3" t="n"/>
      <c r="L148" s="3" t="n"/>
      <c r="M148" s="3" t="n">
        <v>137</v>
      </c>
      <c r="N148" s="3">
        <f>IF(OR($U148=0,$W148="",$X148&lt;=0),"",IF($W148&gt;TODAY(),"",IF(AND(INDEX(UCRETLER!$E$7:$E$406,$U148)&lt;&gt;"",$W148&gt;INDEX(UCRETLER!$E$7:$E$406,$U148)),"",$W148)))</f>
        <v/>
      </c>
      <c r="O148" s="3">
        <f>IF($N148="","",IF(INDEX(UCRETLER!$F$7:$F$406,$U148)="Aylık",CHOOSE(MONTH($N148),"Ocak","Şubat","Mart","Nisan","Mayıs","Haziran","Temmuz","Ağustos","Eylül","Ekim","Kasım","Aralık")&amp;" "&amp;YEAR($N148)&amp;" aylık muhasebe hizmet ücreti",RIGHT("0"&amp;DAY($N148),2)&amp;"."&amp;RIGHT("0"&amp;MONTH($N148),2)&amp;"."&amp;YEAR($N148)&amp;" haftalık muhasebe hizmet ücreti"))</f>
        <v/>
      </c>
      <c r="P148" s="3">
        <f>IF($N148="","","TAHAKKUK")</f>
        <v/>
      </c>
      <c r="Q148" s="3" t="n"/>
      <c r="R148" s="3">
        <f>IF($N148="",0,$X148)</f>
        <v/>
      </c>
      <c r="S148" s="3" t="n">
        <v>0</v>
      </c>
      <c r="T148" s="3">
        <f>IF($N148="",10000000000,$N148*100000+$M148)</f>
        <v/>
      </c>
      <c r="U148" s="3">
        <f>$AB$5</f>
        <v/>
      </c>
      <c r="V148" s="3" t="n">
        <v>56</v>
      </c>
      <c r="W148" s="3">
        <f>IF($U148=0,"",IF(INDEX(UCRETLER!$D$7:$D$406,$U148)="","",IF(INDEX(UCRETLER!$F$7:$F$406,$U148)="Aylık",EOMONTH(INDEX(UCRETLER!$D$7:$D$406,$U148),$V148-1),INDEX(UCRETLER!$D$7:$D$406,$U148)+MOD(SISTEM!$F$8-WEEKDAY(INDEX(UCRETLER!$D$7:$D$406,$U148),2),7)+7*($V148-1))))</f>
        <v/>
      </c>
      <c r="X148" s="3">
        <f>IF($U148=0,0,INDEX(UCRETLER!$G$7:$G$406,$U148))</f>
        <v/>
      </c>
      <c r="Y148" s="3">
        <f>IFERROR(SMALL($T$12:$T$432,ROW()-11),"")</f>
        <v/>
      </c>
      <c r="Z148" s="3">
        <f>IFERROR(MATCH($Y148,$T$12:$T$432,0),"")</f>
        <v/>
      </c>
      <c r="AA148" s="3" t="n"/>
      <c r="AB148" s="3" t="n"/>
      <c r="AC148" s="3" t="n"/>
      <c r="AD148" s="3" t="n"/>
    </row>
    <row r="149">
      <c r="A149" s="6" t="n"/>
      <c r="B149" s="153">
        <f>IF($C149="","",ROW()-11)</f>
        <v/>
      </c>
      <c r="C149" s="240">
        <f>IF($Z149="","",IF(INDEX($N$12:$N$432,$Z149)="","",INDEX($N$12:$N$432,$Z149)))</f>
        <v/>
      </c>
      <c r="D149" s="29">
        <f>IF($C149="","",INDEX($O$12:$O$432,$Z149))</f>
        <v/>
      </c>
      <c r="E149" s="153">
        <f>IF($C149="","",INDEX($P$12:$P$432,$Z149))</f>
        <v/>
      </c>
      <c r="F149" s="241">
        <f>IF($C149="","",INDEX($R$12:$R$432,$Z149))</f>
        <v/>
      </c>
      <c r="G149" s="241">
        <f>IF($C149="","",INDEX($S$12:$S$432,$Z149))</f>
        <v/>
      </c>
      <c r="H149" s="241">
        <f>IF($C149="","",N($H148)+$F149-$G149)</f>
        <v/>
      </c>
      <c r="I149" s="6" t="n"/>
      <c r="J149" s="6" t="n"/>
      <c r="K149" s="3" t="n"/>
      <c r="L149" s="3" t="n"/>
      <c r="M149" s="3" t="n">
        <v>138</v>
      </c>
      <c r="N149" s="3">
        <f>IF(OR($U149=0,$W149="",$X149&lt;=0),"",IF($W149&gt;TODAY(),"",IF(AND(INDEX(UCRETLER!$E$7:$E$406,$U149)&lt;&gt;"",$W149&gt;INDEX(UCRETLER!$E$7:$E$406,$U149)),"",$W149)))</f>
        <v/>
      </c>
      <c r="O149" s="3">
        <f>IF($N149="","",IF(INDEX(UCRETLER!$F$7:$F$406,$U149)="Aylık",CHOOSE(MONTH($N149),"Ocak","Şubat","Mart","Nisan","Mayıs","Haziran","Temmuz","Ağustos","Eylül","Ekim","Kasım","Aralık")&amp;" "&amp;YEAR($N149)&amp;" aylık muhasebe hizmet ücreti",RIGHT("0"&amp;DAY($N149),2)&amp;"."&amp;RIGHT("0"&amp;MONTH($N149),2)&amp;"."&amp;YEAR($N149)&amp;" haftalık muhasebe hizmet ücreti"))</f>
        <v/>
      </c>
      <c r="P149" s="3">
        <f>IF($N149="","","TAHAKKUK")</f>
        <v/>
      </c>
      <c r="Q149" s="3" t="n"/>
      <c r="R149" s="3">
        <f>IF($N149="",0,$X149)</f>
        <v/>
      </c>
      <c r="S149" s="3" t="n">
        <v>0</v>
      </c>
      <c r="T149" s="3">
        <f>IF($N149="",10000000000,$N149*100000+$M149)</f>
        <v/>
      </c>
      <c r="U149" s="3">
        <f>$AB$5</f>
        <v/>
      </c>
      <c r="V149" s="3" t="n">
        <v>57</v>
      </c>
      <c r="W149" s="3">
        <f>IF($U149=0,"",IF(INDEX(UCRETLER!$D$7:$D$406,$U149)="","",IF(INDEX(UCRETLER!$F$7:$F$406,$U149)="Aylık",EOMONTH(INDEX(UCRETLER!$D$7:$D$406,$U149),$V149-1),INDEX(UCRETLER!$D$7:$D$406,$U149)+MOD(SISTEM!$F$8-WEEKDAY(INDEX(UCRETLER!$D$7:$D$406,$U149),2),7)+7*($V149-1))))</f>
        <v/>
      </c>
      <c r="X149" s="3">
        <f>IF($U149=0,0,INDEX(UCRETLER!$G$7:$G$406,$U149))</f>
        <v/>
      </c>
      <c r="Y149" s="3">
        <f>IFERROR(SMALL($T$12:$T$432,ROW()-11),"")</f>
        <v/>
      </c>
      <c r="Z149" s="3">
        <f>IFERROR(MATCH($Y149,$T$12:$T$432,0),"")</f>
        <v/>
      </c>
      <c r="AA149" s="3" t="n"/>
      <c r="AB149" s="3" t="n"/>
      <c r="AC149" s="3" t="n"/>
      <c r="AD149" s="3" t="n"/>
    </row>
    <row r="150">
      <c r="A150" s="6" t="n"/>
      <c r="B150" s="153">
        <f>IF($C150="","",ROW()-11)</f>
        <v/>
      </c>
      <c r="C150" s="240">
        <f>IF($Z150="","",IF(INDEX($N$12:$N$432,$Z150)="","",INDEX($N$12:$N$432,$Z150)))</f>
        <v/>
      </c>
      <c r="D150" s="29">
        <f>IF($C150="","",INDEX($O$12:$O$432,$Z150))</f>
        <v/>
      </c>
      <c r="E150" s="153">
        <f>IF($C150="","",INDEX($P$12:$P$432,$Z150))</f>
        <v/>
      </c>
      <c r="F150" s="241">
        <f>IF($C150="","",INDEX($R$12:$R$432,$Z150))</f>
        <v/>
      </c>
      <c r="G150" s="241">
        <f>IF($C150="","",INDEX($S$12:$S$432,$Z150))</f>
        <v/>
      </c>
      <c r="H150" s="241">
        <f>IF($C150="","",N($H149)+$F150-$G150)</f>
        <v/>
      </c>
      <c r="I150" s="6" t="n"/>
      <c r="J150" s="6" t="n"/>
      <c r="K150" s="3" t="n"/>
      <c r="L150" s="3" t="n"/>
      <c r="M150" s="3" t="n">
        <v>139</v>
      </c>
      <c r="N150" s="3">
        <f>IF(OR($U150=0,$W150="",$X150&lt;=0),"",IF($W150&gt;TODAY(),"",IF(AND(INDEX(UCRETLER!$E$7:$E$406,$U150)&lt;&gt;"",$W150&gt;INDEX(UCRETLER!$E$7:$E$406,$U150)),"",$W150)))</f>
        <v/>
      </c>
      <c r="O150" s="3">
        <f>IF($N150="","",IF(INDEX(UCRETLER!$F$7:$F$406,$U150)="Aylık",CHOOSE(MONTH($N150),"Ocak","Şubat","Mart","Nisan","Mayıs","Haziran","Temmuz","Ağustos","Eylül","Ekim","Kasım","Aralık")&amp;" "&amp;YEAR($N150)&amp;" aylık muhasebe hizmet ücreti",RIGHT("0"&amp;DAY($N150),2)&amp;"."&amp;RIGHT("0"&amp;MONTH($N150),2)&amp;"."&amp;YEAR($N150)&amp;" haftalık muhasebe hizmet ücreti"))</f>
        <v/>
      </c>
      <c r="P150" s="3">
        <f>IF($N150="","","TAHAKKUK")</f>
        <v/>
      </c>
      <c r="Q150" s="3" t="n"/>
      <c r="R150" s="3">
        <f>IF($N150="",0,$X150)</f>
        <v/>
      </c>
      <c r="S150" s="3" t="n">
        <v>0</v>
      </c>
      <c r="T150" s="3">
        <f>IF($N150="",10000000000,$N150*100000+$M150)</f>
        <v/>
      </c>
      <c r="U150" s="3">
        <f>$AB$5</f>
        <v/>
      </c>
      <c r="V150" s="3" t="n">
        <v>58</v>
      </c>
      <c r="W150" s="3">
        <f>IF($U150=0,"",IF(INDEX(UCRETLER!$D$7:$D$406,$U150)="","",IF(INDEX(UCRETLER!$F$7:$F$406,$U150)="Aylık",EOMONTH(INDEX(UCRETLER!$D$7:$D$406,$U150),$V150-1),INDEX(UCRETLER!$D$7:$D$406,$U150)+MOD(SISTEM!$F$8-WEEKDAY(INDEX(UCRETLER!$D$7:$D$406,$U150),2),7)+7*($V150-1))))</f>
        <v/>
      </c>
      <c r="X150" s="3">
        <f>IF($U150=0,0,INDEX(UCRETLER!$G$7:$G$406,$U150))</f>
        <v/>
      </c>
      <c r="Y150" s="3">
        <f>IFERROR(SMALL($T$12:$T$432,ROW()-11),"")</f>
        <v/>
      </c>
      <c r="Z150" s="3">
        <f>IFERROR(MATCH($Y150,$T$12:$T$432,0),"")</f>
        <v/>
      </c>
      <c r="AA150" s="3" t="n"/>
      <c r="AB150" s="3" t="n"/>
      <c r="AC150" s="3" t="n"/>
      <c r="AD150" s="3" t="n"/>
    </row>
    <row r="151">
      <c r="A151" s="6" t="n"/>
      <c r="B151" s="153">
        <f>IF($C151="","",ROW()-11)</f>
        <v/>
      </c>
      <c r="C151" s="240">
        <f>IF($Z151="","",IF(INDEX($N$12:$N$432,$Z151)="","",INDEX($N$12:$N$432,$Z151)))</f>
        <v/>
      </c>
      <c r="D151" s="29">
        <f>IF($C151="","",INDEX($O$12:$O$432,$Z151))</f>
        <v/>
      </c>
      <c r="E151" s="153">
        <f>IF($C151="","",INDEX($P$12:$P$432,$Z151))</f>
        <v/>
      </c>
      <c r="F151" s="241">
        <f>IF($C151="","",INDEX($R$12:$R$432,$Z151))</f>
        <v/>
      </c>
      <c r="G151" s="241">
        <f>IF($C151="","",INDEX($S$12:$S$432,$Z151))</f>
        <v/>
      </c>
      <c r="H151" s="241">
        <f>IF($C151="","",N($H150)+$F151-$G151)</f>
        <v/>
      </c>
      <c r="I151" s="6" t="n"/>
      <c r="J151" s="6" t="n"/>
      <c r="K151" s="3" t="n"/>
      <c r="L151" s="3" t="n"/>
      <c r="M151" s="3" t="n">
        <v>140</v>
      </c>
      <c r="N151" s="3">
        <f>IF(OR($U151=0,$W151="",$X151&lt;=0),"",IF($W151&gt;TODAY(),"",IF(AND(INDEX(UCRETLER!$E$7:$E$406,$U151)&lt;&gt;"",$W151&gt;INDEX(UCRETLER!$E$7:$E$406,$U151)),"",$W151)))</f>
        <v/>
      </c>
      <c r="O151" s="3">
        <f>IF($N151="","",IF(INDEX(UCRETLER!$F$7:$F$406,$U151)="Aylık",CHOOSE(MONTH($N151),"Ocak","Şubat","Mart","Nisan","Mayıs","Haziran","Temmuz","Ağustos","Eylül","Ekim","Kasım","Aralık")&amp;" "&amp;YEAR($N151)&amp;" aylık muhasebe hizmet ücreti",RIGHT("0"&amp;DAY($N151),2)&amp;"."&amp;RIGHT("0"&amp;MONTH($N151),2)&amp;"."&amp;YEAR($N151)&amp;" haftalık muhasebe hizmet ücreti"))</f>
        <v/>
      </c>
      <c r="P151" s="3">
        <f>IF($N151="","","TAHAKKUK")</f>
        <v/>
      </c>
      <c r="Q151" s="3" t="n"/>
      <c r="R151" s="3">
        <f>IF($N151="",0,$X151)</f>
        <v/>
      </c>
      <c r="S151" s="3" t="n">
        <v>0</v>
      </c>
      <c r="T151" s="3">
        <f>IF($N151="",10000000000,$N151*100000+$M151)</f>
        <v/>
      </c>
      <c r="U151" s="3">
        <f>$AB$5</f>
        <v/>
      </c>
      <c r="V151" s="3" t="n">
        <v>59</v>
      </c>
      <c r="W151" s="3">
        <f>IF($U151=0,"",IF(INDEX(UCRETLER!$D$7:$D$406,$U151)="","",IF(INDEX(UCRETLER!$F$7:$F$406,$U151)="Aylık",EOMONTH(INDEX(UCRETLER!$D$7:$D$406,$U151),$V151-1),INDEX(UCRETLER!$D$7:$D$406,$U151)+MOD(SISTEM!$F$8-WEEKDAY(INDEX(UCRETLER!$D$7:$D$406,$U151),2),7)+7*($V151-1))))</f>
        <v/>
      </c>
      <c r="X151" s="3">
        <f>IF($U151=0,0,INDEX(UCRETLER!$G$7:$G$406,$U151))</f>
        <v/>
      </c>
      <c r="Y151" s="3">
        <f>IFERROR(SMALL($T$12:$T$432,ROW()-11),"")</f>
        <v/>
      </c>
      <c r="Z151" s="3">
        <f>IFERROR(MATCH($Y151,$T$12:$T$432,0),"")</f>
        <v/>
      </c>
      <c r="AA151" s="3" t="n"/>
      <c r="AB151" s="3" t="n"/>
      <c r="AC151" s="3" t="n"/>
      <c r="AD151" s="3" t="n"/>
    </row>
    <row r="152">
      <c r="A152" s="6" t="n"/>
      <c r="B152" s="153">
        <f>IF($C152="","",ROW()-11)</f>
        <v/>
      </c>
      <c r="C152" s="240">
        <f>IF($Z152="","",IF(INDEX($N$12:$N$432,$Z152)="","",INDEX($N$12:$N$432,$Z152)))</f>
        <v/>
      </c>
      <c r="D152" s="29">
        <f>IF($C152="","",INDEX($O$12:$O$432,$Z152))</f>
        <v/>
      </c>
      <c r="E152" s="153">
        <f>IF($C152="","",INDEX($P$12:$P$432,$Z152))</f>
        <v/>
      </c>
      <c r="F152" s="241">
        <f>IF($C152="","",INDEX($R$12:$R$432,$Z152))</f>
        <v/>
      </c>
      <c r="G152" s="241">
        <f>IF($C152="","",INDEX($S$12:$S$432,$Z152))</f>
        <v/>
      </c>
      <c r="H152" s="241">
        <f>IF($C152="","",N($H151)+$F152-$G152)</f>
        <v/>
      </c>
      <c r="I152" s="6" t="n"/>
      <c r="J152" s="6" t="n"/>
      <c r="K152" s="3" t="n"/>
      <c r="L152" s="3" t="n"/>
      <c r="M152" s="3" t="n">
        <v>141</v>
      </c>
      <c r="N152" s="3">
        <f>IF(OR($U152=0,$W152="",$X152&lt;=0),"",IF($W152&gt;TODAY(),"",IF(AND(INDEX(UCRETLER!$E$7:$E$406,$U152)&lt;&gt;"",$W152&gt;INDEX(UCRETLER!$E$7:$E$406,$U152)),"",$W152)))</f>
        <v/>
      </c>
      <c r="O152" s="3">
        <f>IF($N152="","",IF(INDEX(UCRETLER!$F$7:$F$406,$U152)="Aylık",CHOOSE(MONTH($N152),"Ocak","Şubat","Mart","Nisan","Mayıs","Haziran","Temmuz","Ağustos","Eylül","Ekim","Kasım","Aralık")&amp;" "&amp;YEAR($N152)&amp;" aylık muhasebe hizmet ücreti",RIGHT("0"&amp;DAY($N152),2)&amp;"."&amp;RIGHT("0"&amp;MONTH($N152),2)&amp;"."&amp;YEAR($N152)&amp;" haftalık muhasebe hizmet ücreti"))</f>
        <v/>
      </c>
      <c r="P152" s="3">
        <f>IF($N152="","","TAHAKKUK")</f>
        <v/>
      </c>
      <c r="Q152" s="3" t="n"/>
      <c r="R152" s="3">
        <f>IF($N152="",0,$X152)</f>
        <v/>
      </c>
      <c r="S152" s="3" t="n">
        <v>0</v>
      </c>
      <c r="T152" s="3">
        <f>IF($N152="",10000000000,$N152*100000+$M152)</f>
        <v/>
      </c>
      <c r="U152" s="3">
        <f>$AB$5</f>
        <v/>
      </c>
      <c r="V152" s="3" t="n">
        <v>60</v>
      </c>
      <c r="W152" s="3">
        <f>IF($U152=0,"",IF(INDEX(UCRETLER!$D$7:$D$406,$U152)="","",IF(INDEX(UCRETLER!$F$7:$F$406,$U152)="Aylık",EOMONTH(INDEX(UCRETLER!$D$7:$D$406,$U152),$V152-1),INDEX(UCRETLER!$D$7:$D$406,$U152)+MOD(SISTEM!$F$8-WEEKDAY(INDEX(UCRETLER!$D$7:$D$406,$U152),2),7)+7*($V152-1))))</f>
        <v/>
      </c>
      <c r="X152" s="3">
        <f>IF($U152=0,0,INDEX(UCRETLER!$G$7:$G$406,$U152))</f>
        <v/>
      </c>
      <c r="Y152" s="3">
        <f>IFERROR(SMALL($T$12:$T$432,ROW()-11),"")</f>
        <v/>
      </c>
      <c r="Z152" s="3">
        <f>IFERROR(MATCH($Y152,$T$12:$T$432,0),"")</f>
        <v/>
      </c>
      <c r="AA152" s="3" t="n"/>
      <c r="AB152" s="3" t="n"/>
      <c r="AC152" s="3" t="n"/>
      <c r="AD152" s="3" t="n"/>
    </row>
    <row r="153">
      <c r="A153" s="6" t="n"/>
      <c r="B153" s="153">
        <f>IF($C153="","",ROW()-11)</f>
        <v/>
      </c>
      <c r="C153" s="240">
        <f>IF($Z153="","",IF(INDEX($N$12:$N$432,$Z153)="","",INDEX($N$12:$N$432,$Z153)))</f>
        <v/>
      </c>
      <c r="D153" s="29">
        <f>IF($C153="","",INDEX($O$12:$O$432,$Z153))</f>
        <v/>
      </c>
      <c r="E153" s="153">
        <f>IF($C153="","",INDEX($P$12:$P$432,$Z153))</f>
        <v/>
      </c>
      <c r="F153" s="241">
        <f>IF($C153="","",INDEX($R$12:$R$432,$Z153))</f>
        <v/>
      </c>
      <c r="G153" s="241">
        <f>IF($C153="","",INDEX($S$12:$S$432,$Z153))</f>
        <v/>
      </c>
      <c r="H153" s="241">
        <f>IF($C153="","",N($H152)+$F153-$G153)</f>
        <v/>
      </c>
      <c r="I153" s="6" t="n"/>
      <c r="J153" s="6" t="n"/>
      <c r="K153" s="3" t="n"/>
      <c r="L153" s="3" t="n"/>
      <c r="M153" s="3" t="n">
        <v>142</v>
      </c>
      <c r="N153" s="3">
        <f>IF(OR($U153=0,$W153="",$X153&lt;=0),"",IF($W153&gt;TODAY(),"",IF(AND(INDEX(UCRETLER!$E$7:$E$406,$U153)&lt;&gt;"",$W153&gt;INDEX(UCRETLER!$E$7:$E$406,$U153)),"",$W153)))</f>
        <v/>
      </c>
      <c r="O153" s="3">
        <f>IF($N153="","",IF(INDEX(UCRETLER!$F$7:$F$406,$U153)="Aylık",CHOOSE(MONTH($N153),"Ocak","Şubat","Mart","Nisan","Mayıs","Haziran","Temmuz","Ağustos","Eylül","Ekim","Kasım","Aralık")&amp;" "&amp;YEAR($N153)&amp;" aylık muhasebe hizmet ücreti",RIGHT("0"&amp;DAY($N153),2)&amp;"."&amp;RIGHT("0"&amp;MONTH($N153),2)&amp;"."&amp;YEAR($N153)&amp;" haftalık muhasebe hizmet ücreti"))</f>
        <v/>
      </c>
      <c r="P153" s="3">
        <f>IF($N153="","","TAHAKKUK")</f>
        <v/>
      </c>
      <c r="Q153" s="3" t="n"/>
      <c r="R153" s="3">
        <f>IF($N153="",0,$X153)</f>
        <v/>
      </c>
      <c r="S153" s="3" t="n">
        <v>0</v>
      </c>
      <c r="T153" s="3">
        <f>IF($N153="",10000000000,$N153*100000+$M153)</f>
        <v/>
      </c>
      <c r="U153" s="3">
        <f>$AB$5</f>
        <v/>
      </c>
      <c r="V153" s="3" t="n">
        <v>61</v>
      </c>
      <c r="W153" s="3">
        <f>IF($U153=0,"",IF(INDEX(UCRETLER!$D$7:$D$406,$U153)="","",IF(INDEX(UCRETLER!$F$7:$F$406,$U153)="Aylık",EOMONTH(INDEX(UCRETLER!$D$7:$D$406,$U153),$V153-1),INDEX(UCRETLER!$D$7:$D$406,$U153)+MOD(SISTEM!$F$8-WEEKDAY(INDEX(UCRETLER!$D$7:$D$406,$U153),2),7)+7*($V153-1))))</f>
        <v/>
      </c>
      <c r="X153" s="3">
        <f>IF($U153=0,0,INDEX(UCRETLER!$G$7:$G$406,$U153))</f>
        <v/>
      </c>
      <c r="Y153" s="3">
        <f>IFERROR(SMALL($T$12:$T$432,ROW()-11),"")</f>
        <v/>
      </c>
      <c r="Z153" s="3">
        <f>IFERROR(MATCH($Y153,$T$12:$T$432,0),"")</f>
        <v/>
      </c>
      <c r="AA153" s="3" t="n"/>
      <c r="AB153" s="3" t="n"/>
      <c r="AC153" s="3" t="n"/>
      <c r="AD153" s="3" t="n"/>
    </row>
    <row r="154">
      <c r="A154" s="6" t="n"/>
      <c r="B154" s="153">
        <f>IF($C154="","",ROW()-11)</f>
        <v/>
      </c>
      <c r="C154" s="240">
        <f>IF($Z154="","",IF(INDEX($N$12:$N$432,$Z154)="","",INDEX($N$12:$N$432,$Z154)))</f>
        <v/>
      </c>
      <c r="D154" s="29">
        <f>IF($C154="","",INDEX($O$12:$O$432,$Z154))</f>
        <v/>
      </c>
      <c r="E154" s="153">
        <f>IF($C154="","",INDEX($P$12:$P$432,$Z154))</f>
        <v/>
      </c>
      <c r="F154" s="241">
        <f>IF($C154="","",INDEX($R$12:$R$432,$Z154))</f>
        <v/>
      </c>
      <c r="G154" s="241">
        <f>IF($C154="","",INDEX($S$12:$S$432,$Z154))</f>
        <v/>
      </c>
      <c r="H154" s="241">
        <f>IF($C154="","",N($H153)+$F154-$G154)</f>
        <v/>
      </c>
      <c r="I154" s="6" t="n"/>
      <c r="J154" s="6" t="n"/>
      <c r="K154" s="3" t="n"/>
      <c r="L154" s="3" t="n"/>
      <c r="M154" s="3" t="n">
        <v>143</v>
      </c>
      <c r="N154" s="3">
        <f>IF(OR($U154=0,$W154="",$X154&lt;=0),"",IF($W154&gt;TODAY(),"",IF(AND(INDEX(UCRETLER!$E$7:$E$406,$U154)&lt;&gt;"",$W154&gt;INDEX(UCRETLER!$E$7:$E$406,$U154)),"",$W154)))</f>
        <v/>
      </c>
      <c r="O154" s="3">
        <f>IF($N154="","",IF(INDEX(UCRETLER!$F$7:$F$406,$U154)="Aylık",CHOOSE(MONTH($N154),"Ocak","Şubat","Mart","Nisan","Mayıs","Haziran","Temmuz","Ağustos","Eylül","Ekim","Kasım","Aralık")&amp;" "&amp;YEAR($N154)&amp;" aylık muhasebe hizmet ücreti",RIGHT("0"&amp;DAY($N154),2)&amp;"."&amp;RIGHT("0"&amp;MONTH($N154),2)&amp;"."&amp;YEAR($N154)&amp;" haftalık muhasebe hizmet ücreti"))</f>
        <v/>
      </c>
      <c r="P154" s="3">
        <f>IF($N154="","","TAHAKKUK")</f>
        <v/>
      </c>
      <c r="Q154" s="3" t="n"/>
      <c r="R154" s="3">
        <f>IF($N154="",0,$X154)</f>
        <v/>
      </c>
      <c r="S154" s="3" t="n">
        <v>0</v>
      </c>
      <c r="T154" s="3">
        <f>IF($N154="",10000000000,$N154*100000+$M154)</f>
        <v/>
      </c>
      <c r="U154" s="3">
        <f>$AB$5</f>
        <v/>
      </c>
      <c r="V154" s="3" t="n">
        <v>62</v>
      </c>
      <c r="W154" s="3">
        <f>IF($U154=0,"",IF(INDEX(UCRETLER!$D$7:$D$406,$U154)="","",IF(INDEX(UCRETLER!$F$7:$F$406,$U154)="Aylık",EOMONTH(INDEX(UCRETLER!$D$7:$D$406,$U154),$V154-1),INDEX(UCRETLER!$D$7:$D$406,$U154)+MOD(SISTEM!$F$8-WEEKDAY(INDEX(UCRETLER!$D$7:$D$406,$U154),2),7)+7*($V154-1))))</f>
        <v/>
      </c>
      <c r="X154" s="3">
        <f>IF($U154=0,0,INDEX(UCRETLER!$G$7:$G$406,$U154))</f>
        <v/>
      </c>
      <c r="Y154" s="3">
        <f>IFERROR(SMALL($T$12:$T$432,ROW()-11),"")</f>
        <v/>
      </c>
      <c r="Z154" s="3">
        <f>IFERROR(MATCH($Y154,$T$12:$T$432,0),"")</f>
        <v/>
      </c>
      <c r="AA154" s="3" t="n"/>
      <c r="AB154" s="3" t="n"/>
      <c r="AC154" s="3" t="n"/>
      <c r="AD154" s="3" t="n"/>
    </row>
    <row r="155">
      <c r="A155" s="6" t="n"/>
      <c r="B155" s="153">
        <f>IF($C155="","",ROW()-11)</f>
        <v/>
      </c>
      <c r="C155" s="240">
        <f>IF($Z155="","",IF(INDEX($N$12:$N$432,$Z155)="","",INDEX($N$12:$N$432,$Z155)))</f>
        <v/>
      </c>
      <c r="D155" s="29">
        <f>IF($C155="","",INDEX($O$12:$O$432,$Z155))</f>
        <v/>
      </c>
      <c r="E155" s="153">
        <f>IF($C155="","",INDEX($P$12:$P$432,$Z155))</f>
        <v/>
      </c>
      <c r="F155" s="241">
        <f>IF($C155="","",INDEX($R$12:$R$432,$Z155))</f>
        <v/>
      </c>
      <c r="G155" s="241">
        <f>IF($C155="","",INDEX($S$12:$S$432,$Z155))</f>
        <v/>
      </c>
      <c r="H155" s="241">
        <f>IF($C155="","",N($H154)+$F155-$G155)</f>
        <v/>
      </c>
      <c r="I155" s="6" t="n"/>
      <c r="J155" s="6" t="n"/>
      <c r="K155" s="3" t="n"/>
      <c r="L155" s="3" t="n"/>
      <c r="M155" s="3" t="n">
        <v>144</v>
      </c>
      <c r="N155" s="3">
        <f>IF(OR($U155=0,$W155="",$X155&lt;=0),"",IF($W155&gt;TODAY(),"",IF(AND(INDEX(UCRETLER!$E$7:$E$406,$U155)&lt;&gt;"",$W155&gt;INDEX(UCRETLER!$E$7:$E$406,$U155)),"",$W155)))</f>
        <v/>
      </c>
      <c r="O155" s="3">
        <f>IF($N155="","",IF(INDEX(UCRETLER!$F$7:$F$406,$U155)="Aylık",CHOOSE(MONTH($N155),"Ocak","Şubat","Mart","Nisan","Mayıs","Haziran","Temmuz","Ağustos","Eylül","Ekim","Kasım","Aralık")&amp;" "&amp;YEAR($N155)&amp;" aylık muhasebe hizmet ücreti",RIGHT("0"&amp;DAY($N155),2)&amp;"."&amp;RIGHT("0"&amp;MONTH($N155),2)&amp;"."&amp;YEAR($N155)&amp;" haftalık muhasebe hizmet ücreti"))</f>
        <v/>
      </c>
      <c r="P155" s="3">
        <f>IF($N155="","","TAHAKKUK")</f>
        <v/>
      </c>
      <c r="Q155" s="3" t="n"/>
      <c r="R155" s="3">
        <f>IF($N155="",0,$X155)</f>
        <v/>
      </c>
      <c r="S155" s="3" t="n">
        <v>0</v>
      </c>
      <c r="T155" s="3">
        <f>IF($N155="",10000000000,$N155*100000+$M155)</f>
        <v/>
      </c>
      <c r="U155" s="3">
        <f>$AB$5</f>
        <v/>
      </c>
      <c r="V155" s="3" t="n">
        <v>63</v>
      </c>
      <c r="W155" s="3">
        <f>IF($U155=0,"",IF(INDEX(UCRETLER!$D$7:$D$406,$U155)="","",IF(INDEX(UCRETLER!$F$7:$F$406,$U155)="Aylık",EOMONTH(INDEX(UCRETLER!$D$7:$D$406,$U155),$V155-1),INDEX(UCRETLER!$D$7:$D$406,$U155)+MOD(SISTEM!$F$8-WEEKDAY(INDEX(UCRETLER!$D$7:$D$406,$U155),2),7)+7*($V155-1))))</f>
        <v/>
      </c>
      <c r="X155" s="3">
        <f>IF($U155=0,0,INDEX(UCRETLER!$G$7:$G$406,$U155))</f>
        <v/>
      </c>
      <c r="Y155" s="3">
        <f>IFERROR(SMALL($T$12:$T$432,ROW()-11),"")</f>
        <v/>
      </c>
      <c r="Z155" s="3">
        <f>IFERROR(MATCH($Y155,$T$12:$T$432,0),"")</f>
        <v/>
      </c>
      <c r="AA155" s="3" t="n"/>
      <c r="AB155" s="3" t="n"/>
      <c r="AC155" s="3" t="n"/>
      <c r="AD155" s="3" t="n"/>
    </row>
    <row r="156">
      <c r="A156" s="6" t="n"/>
      <c r="B156" s="153">
        <f>IF($C156="","",ROW()-11)</f>
        <v/>
      </c>
      <c r="C156" s="240">
        <f>IF($Z156="","",IF(INDEX($N$12:$N$432,$Z156)="","",INDEX($N$12:$N$432,$Z156)))</f>
        <v/>
      </c>
      <c r="D156" s="29">
        <f>IF($C156="","",INDEX($O$12:$O$432,$Z156))</f>
        <v/>
      </c>
      <c r="E156" s="153">
        <f>IF($C156="","",INDEX($P$12:$P$432,$Z156))</f>
        <v/>
      </c>
      <c r="F156" s="241">
        <f>IF($C156="","",INDEX($R$12:$R$432,$Z156))</f>
        <v/>
      </c>
      <c r="G156" s="241">
        <f>IF($C156="","",INDEX($S$12:$S$432,$Z156))</f>
        <v/>
      </c>
      <c r="H156" s="241">
        <f>IF($C156="","",N($H155)+$F156-$G156)</f>
        <v/>
      </c>
      <c r="I156" s="6" t="n"/>
      <c r="J156" s="6" t="n"/>
      <c r="K156" s="3" t="n"/>
      <c r="L156" s="3" t="n"/>
      <c r="M156" s="3" t="n">
        <v>145</v>
      </c>
      <c r="N156" s="3">
        <f>IF(OR($U156=0,$W156="",$X156&lt;=0),"",IF($W156&gt;TODAY(),"",IF(AND(INDEX(UCRETLER!$E$7:$E$406,$U156)&lt;&gt;"",$W156&gt;INDEX(UCRETLER!$E$7:$E$406,$U156)),"",$W156)))</f>
        <v/>
      </c>
      <c r="O156" s="3">
        <f>IF($N156="","",IF(INDEX(UCRETLER!$F$7:$F$406,$U156)="Aylık",CHOOSE(MONTH($N156),"Ocak","Şubat","Mart","Nisan","Mayıs","Haziran","Temmuz","Ağustos","Eylül","Ekim","Kasım","Aralık")&amp;" "&amp;YEAR($N156)&amp;" aylık muhasebe hizmet ücreti",RIGHT("0"&amp;DAY($N156),2)&amp;"."&amp;RIGHT("0"&amp;MONTH($N156),2)&amp;"."&amp;YEAR($N156)&amp;" haftalık muhasebe hizmet ücreti"))</f>
        <v/>
      </c>
      <c r="P156" s="3">
        <f>IF($N156="","","TAHAKKUK")</f>
        <v/>
      </c>
      <c r="Q156" s="3" t="n"/>
      <c r="R156" s="3">
        <f>IF($N156="",0,$X156)</f>
        <v/>
      </c>
      <c r="S156" s="3" t="n">
        <v>0</v>
      </c>
      <c r="T156" s="3">
        <f>IF($N156="",10000000000,$N156*100000+$M156)</f>
        <v/>
      </c>
      <c r="U156" s="3">
        <f>$AB$5</f>
        <v/>
      </c>
      <c r="V156" s="3" t="n">
        <v>64</v>
      </c>
      <c r="W156" s="3">
        <f>IF($U156=0,"",IF(INDEX(UCRETLER!$D$7:$D$406,$U156)="","",IF(INDEX(UCRETLER!$F$7:$F$406,$U156)="Aylık",EOMONTH(INDEX(UCRETLER!$D$7:$D$406,$U156),$V156-1),INDEX(UCRETLER!$D$7:$D$406,$U156)+MOD(SISTEM!$F$8-WEEKDAY(INDEX(UCRETLER!$D$7:$D$406,$U156),2),7)+7*($V156-1))))</f>
        <v/>
      </c>
      <c r="X156" s="3">
        <f>IF($U156=0,0,INDEX(UCRETLER!$G$7:$G$406,$U156))</f>
        <v/>
      </c>
      <c r="Y156" s="3">
        <f>IFERROR(SMALL($T$12:$T$432,ROW()-11),"")</f>
        <v/>
      </c>
      <c r="Z156" s="3">
        <f>IFERROR(MATCH($Y156,$T$12:$T$432,0),"")</f>
        <v/>
      </c>
      <c r="AA156" s="3" t="n"/>
      <c r="AB156" s="3" t="n"/>
      <c r="AC156" s="3" t="n"/>
      <c r="AD156" s="3" t="n"/>
    </row>
    <row r="157">
      <c r="A157" s="6" t="n"/>
      <c r="B157" s="153">
        <f>IF($C157="","",ROW()-11)</f>
        <v/>
      </c>
      <c r="C157" s="240">
        <f>IF($Z157="","",IF(INDEX($N$12:$N$432,$Z157)="","",INDEX($N$12:$N$432,$Z157)))</f>
        <v/>
      </c>
      <c r="D157" s="29">
        <f>IF($C157="","",INDEX($O$12:$O$432,$Z157))</f>
        <v/>
      </c>
      <c r="E157" s="153">
        <f>IF($C157="","",INDEX($P$12:$P$432,$Z157))</f>
        <v/>
      </c>
      <c r="F157" s="241">
        <f>IF($C157="","",INDEX($R$12:$R$432,$Z157))</f>
        <v/>
      </c>
      <c r="G157" s="241">
        <f>IF($C157="","",INDEX($S$12:$S$432,$Z157))</f>
        <v/>
      </c>
      <c r="H157" s="241">
        <f>IF($C157="","",N($H156)+$F157-$G157)</f>
        <v/>
      </c>
      <c r="I157" s="6" t="n"/>
      <c r="J157" s="6" t="n"/>
      <c r="K157" s="3" t="n"/>
      <c r="L157" s="3" t="n"/>
      <c r="M157" s="3" t="n">
        <v>146</v>
      </c>
      <c r="N157" s="3">
        <f>IF(OR($U157=0,$W157="",$X157&lt;=0),"",IF($W157&gt;TODAY(),"",IF(AND(INDEX(UCRETLER!$E$7:$E$406,$U157)&lt;&gt;"",$W157&gt;INDEX(UCRETLER!$E$7:$E$406,$U157)),"",$W157)))</f>
        <v/>
      </c>
      <c r="O157" s="3">
        <f>IF($N157="","",IF(INDEX(UCRETLER!$F$7:$F$406,$U157)="Aylık",CHOOSE(MONTH($N157),"Ocak","Şubat","Mart","Nisan","Mayıs","Haziran","Temmuz","Ağustos","Eylül","Ekim","Kasım","Aralık")&amp;" "&amp;YEAR($N157)&amp;" aylık muhasebe hizmet ücreti",RIGHT("0"&amp;DAY($N157),2)&amp;"."&amp;RIGHT("0"&amp;MONTH($N157),2)&amp;"."&amp;YEAR($N157)&amp;" haftalık muhasebe hizmet ücreti"))</f>
        <v/>
      </c>
      <c r="P157" s="3">
        <f>IF($N157="","","TAHAKKUK")</f>
        <v/>
      </c>
      <c r="Q157" s="3" t="n"/>
      <c r="R157" s="3">
        <f>IF($N157="",0,$X157)</f>
        <v/>
      </c>
      <c r="S157" s="3" t="n">
        <v>0</v>
      </c>
      <c r="T157" s="3">
        <f>IF($N157="",10000000000,$N157*100000+$M157)</f>
        <v/>
      </c>
      <c r="U157" s="3">
        <f>$AB$5</f>
        <v/>
      </c>
      <c r="V157" s="3" t="n">
        <v>65</v>
      </c>
      <c r="W157" s="3">
        <f>IF($U157=0,"",IF(INDEX(UCRETLER!$D$7:$D$406,$U157)="","",IF(INDEX(UCRETLER!$F$7:$F$406,$U157)="Aylık",EOMONTH(INDEX(UCRETLER!$D$7:$D$406,$U157),$V157-1),INDEX(UCRETLER!$D$7:$D$406,$U157)+MOD(SISTEM!$F$8-WEEKDAY(INDEX(UCRETLER!$D$7:$D$406,$U157),2),7)+7*($V157-1))))</f>
        <v/>
      </c>
      <c r="X157" s="3">
        <f>IF($U157=0,0,INDEX(UCRETLER!$G$7:$G$406,$U157))</f>
        <v/>
      </c>
      <c r="Y157" s="3">
        <f>IFERROR(SMALL($T$12:$T$432,ROW()-11),"")</f>
        <v/>
      </c>
      <c r="Z157" s="3">
        <f>IFERROR(MATCH($Y157,$T$12:$T$432,0),"")</f>
        <v/>
      </c>
      <c r="AA157" s="3" t="n"/>
      <c r="AB157" s="3" t="n"/>
      <c r="AC157" s="3" t="n"/>
      <c r="AD157" s="3" t="n"/>
    </row>
    <row r="158">
      <c r="A158" s="6" t="n"/>
      <c r="B158" s="153">
        <f>IF($C158="","",ROW()-11)</f>
        <v/>
      </c>
      <c r="C158" s="240">
        <f>IF($Z158="","",IF(INDEX($N$12:$N$432,$Z158)="","",INDEX($N$12:$N$432,$Z158)))</f>
        <v/>
      </c>
      <c r="D158" s="29">
        <f>IF($C158="","",INDEX($O$12:$O$432,$Z158))</f>
        <v/>
      </c>
      <c r="E158" s="153">
        <f>IF($C158="","",INDEX($P$12:$P$432,$Z158))</f>
        <v/>
      </c>
      <c r="F158" s="241">
        <f>IF($C158="","",INDEX($R$12:$R$432,$Z158))</f>
        <v/>
      </c>
      <c r="G158" s="241">
        <f>IF($C158="","",INDEX($S$12:$S$432,$Z158))</f>
        <v/>
      </c>
      <c r="H158" s="241">
        <f>IF($C158="","",N($H157)+$F158-$G158)</f>
        <v/>
      </c>
      <c r="I158" s="6" t="n"/>
      <c r="J158" s="6" t="n"/>
      <c r="K158" s="3" t="n"/>
      <c r="L158" s="3" t="n"/>
      <c r="M158" s="3" t="n">
        <v>147</v>
      </c>
      <c r="N158" s="3">
        <f>IF(OR($U158=0,$W158="",$X158&lt;=0),"",IF($W158&gt;TODAY(),"",IF(AND(INDEX(UCRETLER!$E$7:$E$406,$U158)&lt;&gt;"",$W158&gt;INDEX(UCRETLER!$E$7:$E$406,$U158)),"",$W158)))</f>
        <v/>
      </c>
      <c r="O158" s="3">
        <f>IF($N158="","",IF(INDEX(UCRETLER!$F$7:$F$406,$U158)="Aylık",CHOOSE(MONTH($N158),"Ocak","Şubat","Mart","Nisan","Mayıs","Haziran","Temmuz","Ağustos","Eylül","Ekim","Kasım","Aralık")&amp;" "&amp;YEAR($N158)&amp;" aylık muhasebe hizmet ücreti",RIGHT("0"&amp;DAY($N158),2)&amp;"."&amp;RIGHT("0"&amp;MONTH($N158),2)&amp;"."&amp;YEAR($N158)&amp;" haftalık muhasebe hizmet ücreti"))</f>
        <v/>
      </c>
      <c r="P158" s="3">
        <f>IF($N158="","","TAHAKKUK")</f>
        <v/>
      </c>
      <c r="Q158" s="3" t="n"/>
      <c r="R158" s="3">
        <f>IF($N158="",0,$X158)</f>
        <v/>
      </c>
      <c r="S158" s="3" t="n">
        <v>0</v>
      </c>
      <c r="T158" s="3">
        <f>IF($N158="",10000000000,$N158*100000+$M158)</f>
        <v/>
      </c>
      <c r="U158" s="3">
        <f>$AB$5</f>
        <v/>
      </c>
      <c r="V158" s="3" t="n">
        <v>66</v>
      </c>
      <c r="W158" s="3">
        <f>IF($U158=0,"",IF(INDEX(UCRETLER!$D$7:$D$406,$U158)="","",IF(INDEX(UCRETLER!$F$7:$F$406,$U158)="Aylık",EOMONTH(INDEX(UCRETLER!$D$7:$D$406,$U158),$V158-1),INDEX(UCRETLER!$D$7:$D$406,$U158)+MOD(SISTEM!$F$8-WEEKDAY(INDEX(UCRETLER!$D$7:$D$406,$U158),2),7)+7*($V158-1))))</f>
        <v/>
      </c>
      <c r="X158" s="3">
        <f>IF($U158=0,0,INDEX(UCRETLER!$G$7:$G$406,$U158))</f>
        <v/>
      </c>
      <c r="Y158" s="3">
        <f>IFERROR(SMALL($T$12:$T$432,ROW()-11),"")</f>
        <v/>
      </c>
      <c r="Z158" s="3">
        <f>IFERROR(MATCH($Y158,$T$12:$T$432,0),"")</f>
        <v/>
      </c>
      <c r="AA158" s="3" t="n"/>
      <c r="AB158" s="3" t="n"/>
      <c r="AC158" s="3" t="n"/>
      <c r="AD158" s="3" t="n"/>
    </row>
    <row r="159">
      <c r="A159" s="6" t="n"/>
      <c r="B159" s="153">
        <f>IF($C159="","",ROW()-11)</f>
        <v/>
      </c>
      <c r="C159" s="240">
        <f>IF($Z159="","",IF(INDEX($N$12:$N$432,$Z159)="","",INDEX($N$12:$N$432,$Z159)))</f>
        <v/>
      </c>
      <c r="D159" s="29">
        <f>IF($C159="","",INDEX($O$12:$O$432,$Z159))</f>
        <v/>
      </c>
      <c r="E159" s="153">
        <f>IF($C159="","",INDEX($P$12:$P$432,$Z159))</f>
        <v/>
      </c>
      <c r="F159" s="241">
        <f>IF($C159="","",INDEX($R$12:$R$432,$Z159))</f>
        <v/>
      </c>
      <c r="G159" s="241">
        <f>IF($C159="","",INDEX($S$12:$S$432,$Z159))</f>
        <v/>
      </c>
      <c r="H159" s="241">
        <f>IF($C159="","",N($H158)+$F159-$G159)</f>
        <v/>
      </c>
      <c r="I159" s="6" t="n"/>
      <c r="J159" s="6" t="n"/>
      <c r="K159" s="3" t="n"/>
      <c r="L159" s="3" t="n"/>
      <c r="M159" s="3" t="n">
        <v>148</v>
      </c>
      <c r="N159" s="3">
        <f>IF(OR($U159=0,$W159="",$X159&lt;=0),"",IF($W159&gt;TODAY(),"",IF(AND(INDEX(UCRETLER!$E$7:$E$406,$U159)&lt;&gt;"",$W159&gt;INDEX(UCRETLER!$E$7:$E$406,$U159)),"",$W159)))</f>
        <v/>
      </c>
      <c r="O159" s="3">
        <f>IF($N159="","",IF(INDEX(UCRETLER!$F$7:$F$406,$U159)="Aylık",CHOOSE(MONTH($N159),"Ocak","Şubat","Mart","Nisan","Mayıs","Haziran","Temmuz","Ağustos","Eylül","Ekim","Kasım","Aralık")&amp;" "&amp;YEAR($N159)&amp;" aylık muhasebe hizmet ücreti",RIGHT("0"&amp;DAY($N159),2)&amp;"."&amp;RIGHT("0"&amp;MONTH($N159),2)&amp;"."&amp;YEAR($N159)&amp;" haftalık muhasebe hizmet ücreti"))</f>
        <v/>
      </c>
      <c r="P159" s="3">
        <f>IF($N159="","","TAHAKKUK")</f>
        <v/>
      </c>
      <c r="Q159" s="3" t="n"/>
      <c r="R159" s="3">
        <f>IF($N159="",0,$X159)</f>
        <v/>
      </c>
      <c r="S159" s="3" t="n">
        <v>0</v>
      </c>
      <c r="T159" s="3">
        <f>IF($N159="",10000000000,$N159*100000+$M159)</f>
        <v/>
      </c>
      <c r="U159" s="3">
        <f>$AB$5</f>
        <v/>
      </c>
      <c r="V159" s="3" t="n">
        <v>67</v>
      </c>
      <c r="W159" s="3">
        <f>IF($U159=0,"",IF(INDEX(UCRETLER!$D$7:$D$406,$U159)="","",IF(INDEX(UCRETLER!$F$7:$F$406,$U159)="Aylık",EOMONTH(INDEX(UCRETLER!$D$7:$D$406,$U159),$V159-1),INDEX(UCRETLER!$D$7:$D$406,$U159)+MOD(SISTEM!$F$8-WEEKDAY(INDEX(UCRETLER!$D$7:$D$406,$U159),2),7)+7*($V159-1))))</f>
        <v/>
      </c>
      <c r="X159" s="3">
        <f>IF($U159=0,0,INDEX(UCRETLER!$G$7:$G$406,$U159))</f>
        <v/>
      </c>
      <c r="Y159" s="3">
        <f>IFERROR(SMALL($T$12:$T$432,ROW()-11),"")</f>
        <v/>
      </c>
      <c r="Z159" s="3">
        <f>IFERROR(MATCH($Y159,$T$12:$T$432,0),"")</f>
        <v/>
      </c>
      <c r="AA159" s="3" t="n"/>
      <c r="AB159" s="3" t="n"/>
      <c r="AC159" s="3" t="n"/>
      <c r="AD159" s="3" t="n"/>
    </row>
    <row r="160">
      <c r="A160" s="6" t="n"/>
      <c r="B160" s="153">
        <f>IF($C160="","",ROW()-11)</f>
        <v/>
      </c>
      <c r="C160" s="240">
        <f>IF($Z160="","",IF(INDEX($N$12:$N$432,$Z160)="","",INDEX($N$12:$N$432,$Z160)))</f>
        <v/>
      </c>
      <c r="D160" s="29">
        <f>IF($C160="","",INDEX($O$12:$O$432,$Z160))</f>
        <v/>
      </c>
      <c r="E160" s="153">
        <f>IF($C160="","",INDEX($P$12:$P$432,$Z160))</f>
        <v/>
      </c>
      <c r="F160" s="241">
        <f>IF($C160="","",INDEX($R$12:$R$432,$Z160))</f>
        <v/>
      </c>
      <c r="G160" s="241">
        <f>IF($C160="","",INDEX($S$12:$S$432,$Z160))</f>
        <v/>
      </c>
      <c r="H160" s="241">
        <f>IF($C160="","",N($H159)+$F160-$G160)</f>
        <v/>
      </c>
      <c r="I160" s="6" t="n"/>
      <c r="J160" s="6" t="n"/>
      <c r="K160" s="3" t="n"/>
      <c r="L160" s="3" t="n"/>
      <c r="M160" s="3" t="n">
        <v>149</v>
      </c>
      <c r="N160" s="3">
        <f>IF(OR($U160=0,$W160="",$X160&lt;=0),"",IF($W160&gt;TODAY(),"",IF(AND(INDEX(UCRETLER!$E$7:$E$406,$U160)&lt;&gt;"",$W160&gt;INDEX(UCRETLER!$E$7:$E$406,$U160)),"",$W160)))</f>
        <v/>
      </c>
      <c r="O160" s="3">
        <f>IF($N160="","",IF(INDEX(UCRETLER!$F$7:$F$406,$U160)="Aylık",CHOOSE(MONTH($N160),"Ocak","Şubat","Mart","Nisan","Mayıs","Haziran","Temmuz","Ağustos","Eylül","Ekim","Kasım","Aralık")&amp;" "&amp;YEAR($N160)&amp;" aylık muhasebe hizmet ücreti",RIGHT("0"&amp;DAY($N160),2)&amp;"."&amp;RIGHT("0"&amp;MONTH($N160),2)&amp;"."&amp;YEAR($N160)&amp;" haftalık muhasebe hizmet ücreti"))</f>
        <v/>
      </c>
      <c r="P160" s="3">
        <f>IF($N160="","","TAHAKKUK")</f>
        <v/>
      </c>
      <c r="Q160" s="3" t="n"/>
      <c r="R160" s="3">
        <f>IF($N160="",0,$X160)</f>
        <v/>
      </c>
      <c r="S160" s="3" t="n">
        <v>0</v>
      </c>
      <c r="T160" s="3">
        <f>IF($N160="",10000000000,$N160*100000+$M160)</f>
        <v/>
      </c>
      <c r="U160" s="3">
        <f>$AB$5</f>
        <v/>
      </c>
      <c r="V160" s="3" t="n">
        <v>68</v>
      </c>
      <c r="W160" s="3">
        <f>IF($U160=0,"",IF(INDEX(UCRETLER!$D$7:$D$406,$U160)="","",IF(INDEX(UCRETLER!$F$7:$F$406,$U160)="Aylık",EOMONTH(INDEX(UCRETLER!$D$7:$D$406,$U160),$V160-1),INDEX(UCRETLER!$D$7:$D$406,$U160)+MOD(SISTEM!$F$8-WEEKDAY(INDEX(UCRETLER!$D$7:$D$406,$U160),2),7)+7*($V160-1))))</f>
        <v/>
      </c>
      <c r="X160" s="3">
        <f>IF($U160=0,0,INDEX(UCRETLER!$G$7:$G$406,$U160))</f>
        <v/>
      </c>
      <c r="Y160" s="3">
        <f>IFERROR(SMALL($T$12:$T$432,ROW()-11),"")</f>
        <v/>
      </c>
      <c r="Z160" s="3">
        <f>IFERROR(MATCH($Y160,$T$12:$T$432,0),"")</f>
        <v/>
      </c>
      <c r="AA160" s="3" t="n"/>
      <c r="AB160" s="3" t="n"/>
      <c r="AC160" s="3" t="n"/>
      <c r="AD160" s="3" t="n"/>
    </row>
    <row r="161">
      <c r="A161" s="6" t="n"/>
      <c r="B161" s="153">
        <f>IF($C161="","",ROW()-11)</f>
        <v/>
      </c>
      <c r="C161" s="240">
        <f>IF($Z161="","",IF(INDEX($N$12:$N$432,$Z161)="","",INDEX($N$12:$N$432,$Z161)))</f>
        <v/>
      </c>
      <c r="D161" s="29">
        <f>IF($C161="","",INDEX($O$12:$O$432,$Z161))</f>
        <v/>
      </c>
      <c r="E161" s="153">
        <f>IF($C161="","",INDEX($P$12:$P$432,$Z161))</f>
        <v/>
      </c>
      <c r="F161" s="241">
        <f>IF($C161="","",INDEX($R$12:$R$432,$Z161))</f>
        <v/>
      </c>
      <c r="G161" s="241">
        <f>IF($C161="","",INDEX($S$12:$S$432,$Z161))</f>
        <v/>
      </c>
      <c r="H161" s="241">
        <f>IF($C161="","",N($H160)+$F161-$G161)</f>
        <v/>
      </c>
      <c r="I161" s="6" t="n"/>
      <c r="J161" s="6" t="n"/>
      <c r="K161" s="3" t="n"/>
      <c r="L161" s="3" t="n"/>
      <c r="M161" s="3" t="n">
        <v>150</v>
      </c>
      <c r="N161" s="3">
        <f>IF(OR($U161=0,$W161="",$X161&lt;=0),"",IF($W161&gt;TODAY(),"",IF(AND(INDEX(UCRETLER!$E$7:$E$406,$U161)&lt;&gt;"",$W161&gt;INDEX(UCRETLER!$E$7:$E$406,$U161)),"",$W161)))</f>
        <v/>
      </c>
      <c r="O161" s="3">
        <f>IF($N161="","",IF(INDEX(UCRETLER!$F$7:$F$406,$U161)="Aylık",CHOOSE(MONTH($N161),"Ocak","Şubat","Mart","Nisan","Mayıs","Haziran","Temmuz","Ağustos","Eylül","Ekim","Kasım","Aralık")&amp;" "&amp;YEAR($N161)&amp;" aylık muhasebe hizmet ücreti",RIGHT("0"&amp;DAY($N161),2)&amp;"."&amp;RIGHT("0"&amp;MONTH($N161),2)&amp;"."&amp;YEAR($N161)&amp;" haftalık muhasebe hizmet ücreti"))</f>
        <v/>
      </c>
      <c r="P161" s="3">
        <f>IF($N161="","","TAHAKKUK")</f>
        <v/>
      </c>
      <c r="Q161" s="3" t="n"/>
      <c r="R161" s="3">
        <f>IF($N161="",0,$X161)</f>
        <v/>
      </c>
      <c r="S161" s="3" t="n">
        <v>0</v>
      </c>
      <c r="T161" s="3">
        <f>IF($N161="",10000000000,$N161*100000+$M161)</f>
        <v/>
      </c>
      <c r="U161" s="3">
        <f>$AB$5</f>
        <v/>
      </c>
      <c r="V161" s="3" t="n">
        <v>69</v>
      </c>
      <c r="W161" s="3">
        <f>IF($U161=0,"",IF(INDEX(UCRETLER!$D$7:$D$406,$U161)="","",IF(INDEX(UCRETLER!$F$7:$F$406,$U161)="Aylık",EOMONTH(INDEX(UCRETLER!$D$7:$D$406,$U161),$V161-1),INDEX(UCRETLER!$D$7:$D$406,$U161)+MOD(SISTEM!$F$8-WEEKDAY(INDEX(UCRETLER!$D$7:$D$406,$U161),2),7)+7*($V161-1))))</f>
        <v/>
      </c>
      <c r="X161" s="3">
        <f>IF($U161=0,0,INDEX(UCRETLER!$G$7:$G$406,$U161))</f>
        <v/>
      </c>
      <c r="Y161" s="3">
        <f>IFERROR(SMALL($T$12:$T$432,ROW()-11),"")</f>
        <v/>
      </c>
      <c r="Z161" s="3">
        <f>IFERROR(MATCH($Y161,$T$12:$T$432,0),"")</f>
        <v/>
      </c>
      <c r="AA161" s="3" t="n"/>
      <c r="AB161" s="3" t="n"/>
      <c r="AC161" s="3" t="n"/>
      <c r="AD161" s="3" t="n"/>
    </row>
    <row r="162">
      <c r="A162" s="6" t="n"/>
      <c r="B162" s="153">
        <f>IF($C162="","",ROW()-11)</f>
        <v/>
      </c>
      <c r="C162" s="240">
        <f>IF($Z162="","",IF(INDEX($N$12:$N$432,$Z162)="","",INDEX($N$12:$N$432,$Z162)))</f>
        <v/>
      </c>
      <c r="D162" s="29">
        <f>IF($C162="","",INDEX($O$12:$O$432,$Z162))</f>
        <v/>
      </c>
      <c r="E162" s="153">
        <f>IF($C162="","",INDEX($P$12:$P$432,$Z162))</f>
        <v/>
      </c>
      <c r="F162" s="241">
        <f>IF($C162="","",INDEX($R$12:$R$432,$Z162))</f>
        <v/>
      </c>
      <c r="G162" s="241">
        <f>IF($C162="","",INDEX($S$12:$S$432,$Z162))</f>
        <v/>
      </c>
      <c r="H162" s="241">
        <f>IF($C162="","",N($H161)+$F162-$G162)</f>
        <v/>
      </c>
      <c r="I162" s="6" t="n"/>
      <c r="J162" s="6" t="n"/>
      <c r="K162" s="3" t="n"/>
      <c r="L162" s="3" t="n"/>
      <c r="M162" s="3" t="n">
        <v>151</v>
      </c>
      <c r="N162" s="3">
        <f>IF(OR($U162=0,$W162="",$X162&lt;=0),"",IF($W162&gt;TODAY(),"",IF(AND(INDEX(UCRETLER!$E$7:$E$406,$U162)&lt;&gt;"",$W162&gt;INDEX(UCRETLER!$E$7:$E$406,$U162)),"",$W162)))</f>
        <v/>
      </c>
      <c r="O162" s="3">
        <f>IF($N162="","",IF(INDEX(UCRETLER!$F$7:$F$406,$U162)="Aylık",CHOOSE(MONTH($N162),"Ocak","Şubat","Mart","Nisan","Mayıs","Haziran","Temmuz","Ağustos","Eylül","Ekim","Kasım","Aralık")&amp;" "&amp;YEAR($N162)&amp;" aylık muhasebe hizmet ücreti",RIGHT("0"&amp;DAY($N162),2)&amp;"."&amp;RIGHT("0"&amp;MONTH($N162),2)&amp;"."&amp;YEAR($N162)&amp;" haftalık muhasebe hizmet ücreti"))</f>
        <v/>
      </c>
      <c r="P162" s="3">
        <f>IF($N162="","","TAHAKKUK")</f>
        <v/>
      </c>
      <c r="Q162" s="3" t="n"/>
      <c r="R162" s="3">
        <f>IF($N162="",0,$X162)</f>
        <v/>
      </c>
      <c r="S162" s="3" t="n">
        <v>0</v>
      </c>
      <c r="T162" s="3">
        <f>IF($N162="",10000000000,$N162*100000+$M162)</f>
        <v/>
      </c>
      <c r="U162" s="3">
        <f>$AB$5</f>
        <v/>
      </c>
      <c r="V162" s="3" t="n">
        <v>70</v>
      </c>
      <c r="W162" s="3">
        <f>IF($U162=0,"",IF(INDEX(UCRETLER!$D$7:$D$406,$U162)="","",IF(INDEX(UCRETLER!$F$7:$F$406,$U162)="Aylık",EOMONTH(INDEX(UCRETLER!$D$7:$D$406,$U162),$V162-1),INDEX(UCRETLER!$D$7:$D$406,$U162)+MOD(SISTEM!$F$8-WEEKDAY(INDEX(UCRETLER!$D$7:$D$406,$U162),2),7)+7*($V162-1))))</f>
        <v/>
      </c>
      <c r="X162" s="3">
        <f>IF($U162=0,0,INDEX(UCRETLER!$G$7:$G$406,$U162))</f>
        <v/>
      </c>
      <c r="Y162" s="3">
        <f>IFERROR(SMALL($T$12:$T$432,ROW()-11),"")</f>
        <v/>
      </c>
      <c r="Z162" s="3">
        <f>IFERROR(MATCH($Y162,$T$12:$T$432,0),"")</f>
        <v/>
      </c>
      <c r="AA162" s="3" t="n"/>
      <c r="AB162" s="3" t="n"/>
      <c r="AC162" s="3" t="n"/>
      <c r="AD162" s="3" t="n"/>
    </row>
    <row r="163">
      <c r="A163" s="6" t="n"/>
      <c r="B163" s="153">
        <f>IF($C163="","",ROW()-11)</f>
        <v/>
      </c>
      <c r="C163" s="240">
        <f>IF($Z163="","",IF(INDEX($N$12:$N$432,$Z163)="","",INDEX($N$12:$N$432,$Z163)))</f>
        <v/>
      </c>
      <c r="D163" s="29">
        <f>IF($C163="","",INDEX($O$12:$O$432,$Z163))</f>
        <v/>
      </c>
      <c r="E163" s="153">
        <f>IF($C163="","",INDEX($P$12:$P$432,$Z163))</f>
        <v/>
      </c>
      <c r="F163" s="241">
        <f>IF($C163="","",INDEX($R$12:$R$432,$Z163))</f>
        <v/>
      </c>
      <c r="G163" s="241">
        <f>IF($C163="","",INDEX($S$12:$S$432,$Z163))</f>
        <v/>
      </c>
      <c r="H163" s="241">
        <f>IF($C163="","",N($H162)+$F163-$G163)</f>
        <v/>
      </c>
      <c r="I163" s="6" t="n"/>
      <c r="J163" s="6" t="n"/>
      <c r="K163" s="3" t="n"/>
      <c r="L163" s="3" t="n"/>
      <c r="M163" s="3" t="n">
        <v>152</v>
      </c>
      <c r="N163" s="3">
        <f>IF(OR($U163=0,$W163="",$X163&lt;=0),"",IF($W163&gt;TODAY(),"",IF(AND(INDEX(UCRETLER!$E$7:$E$406,$U163)&lt;&gt;"",$W163&gt;INDEX(UCRETLER!$E$7:$E$406,$U163)),"",$W163)))</f>
        <v/>
      </c>
      <c r="O163" s="3">
        <f>IF($N163="","",IF(INDEX(UCRETLER!$F$7:$F$406,$U163)="Aylık",CHOOSE(MONTH($N163),"Ocak","Şubat","Mart","Nisan","Mayıs","Haziran","Temmuz","Ağustos","Eylül","Ekim","Kasım","Aralık")&amp;" "&amp;YEAR($N163)&amp;" aylık muhasebe hizmet ücreti",RIGHT("0"&amp;DAY($N163),2)&amp;"."&amp;RIGHT("0"&amp;MONTH($N163),2)&amp;"."&amp;YEAR($N163)&amp;" haftalık muhasebe hizmet ücreti"))</f>
        <v/>
      </c>
      <c r="P163" s="3">
        <f>IF($N163="","","TAHAKKUK")</f>
        <v/>
      </c>
      <c r="Q163" s="3" t="n"/>
      <c r="R163" s="3">
        <f>IF($N163="",0,$X163)</f>
        <v/>
      </c>
      <c r="S163" s="3" t="n">
        <v>0</v>
      </c>
      <c r="T163" s="3">
        <f>IF($N163="",10000000000,$N163*100000+$M163)</f>
        <v/>
      </c>
      <c r="U163" s="3">
        <f>$AB$5</f>
        <v/>
      </c>
      <c r="V163" s="3" t="n">
        <v>71</v>
      </c>
      <c r="W163" s="3">
        <f>IF($U163=0,"",IF(INDEX(UCRETLER!$D$7:$D$406,$U163)="","",IF(INDEX(UCRETLER!$F$7:$F$406,$U163)="Aylık",EOMONTH(INDEX(UCRETLER!$D$7:$D$406,$U163),$V163-1),INDEX(UCRETLER!$D$7:$D$406,$U163)+MOD(SISTEM!$F$8-WEEKDAY(INDEX(UCRETLER!$D$7:$D$406,$U163),2),7)+7*($V163-1))))</f>
        <v/>
      </c>
      <c r="X163" s="3">
        <f>IF($U163=0,0,INDEX(UCRETLER!$G$7:$G$406,$U163))</f>
        <v/>
      </c>
      <c r="Y163" s="3">
        <f>IFERROR(SMALL($T$12:$T$432,ROW()-11),"")</f>
        <v/>
      </c>
      <c r="Z163" s="3">
        <f>IFERROR(MATCH($Y163,$T$12:$T$432,0),"")</f>
        <v/>
      </c>
      <c r="AA163" s="3" t="n"/>
      <c r="AB163" s="3" t="n"/>
      <c r="AC163" s="3" t="n"/>
      <c r="AD163" s="3" t="n"/>
    </row>
    <row r="164">
      <c r="A164" s="6" t="n"/>
      <c r="B164" s="153">
        <f>IF($C164="","",ROW()-11)</f>
        <v/>
      </c>
      <c r="C164" s="240">
        <f>IF($Z164="","",IF(INDEX($N$12:$N$432,$Z164)="","",INDEX($N$12:$N$432,$Z164)))</f>
        <v/>
      </c>
      <c r="D164" s="29">
        <f>IF($C164="","",INDEX($O$12:$O$432,$Z164))</f>
        <v/>
      </c>
      <c r="E164" s="153">
        <f>IF($C164="","",INDEX($P$12:$P$432,$Z164))</f>
        <v/>
      </c>
      <c r="F164" s="241">
        <f>IF($C164="","",INDEX($R$12:$R$432,$Z164))</f>
        <v/>
      </c>
      <c r="G164" s="241">
        <f>IF($C164="","",INDEX($S$12:$S$432,$Z164))</f>
        <v/>
      </c>
      <c r="H164" s="241">
        <f>IF($C164="","",N($H163)+$F164-$G164)</f>
        <v/>
      </c>
      <c r="I164" s="6" t="n"/>
      <c r="J164" s="6" t="n"/>
      <c r="K164" s="3" t="n"/>
      <c r="L164" s="3" t="n"/>
      <c r="M164" s="3" t="n">
        <v>153</v>
      </c>
      <c r="N164" s="3">
        <f>IF(OR($U164=0,$W164="",$X164&lt;=0),"",IF($W164&gt;TODAY(),"",IF(AND(INDEX(UCRETLER!$E$7:$E$406,$U164)&lt;&gt;"",$W164&gt;INDEX(UCRETLER!$E$7:$E$406,$U164)),"",$W164)))</f>
        <v/>
      </c>
      <c r="O164" s="3">
        <f>IF($N164="","",IF(INDEX(UCRETLER!$F$7:$F$406,$U164)="Aylık",CHOOSE(MONTH($N164),"Ocak","Şubat","Mart","Nisan","Mayıs","Haziran","Temmuz","Ağustos","Eylül","Ekim","Kasım","Aralık")&amp;" "&amp;YEAR($N164)&amp;" aylık muhasebe hizmet ücreti",RIGHT("0"&amp;DAY($N164),2)&amp;"."&amp;RIGHT("0"&amp;MONTH($N164),2)&amp;"."&amp;YEAR($N164)&amp;" haftalık muhasebe hizmet ücreti"))</f>
        <v/>
      </c>
      <c r="P164" s="3">
        <f>IF($N164="","","TAHAKKUK")</f>
        <v/>
      </c>
      <c r="Q164" s="3" t="n"/>
      <c r="R164" s="3">
        <f>IF($N164="",0,$X164)</f>
        <v/>
      </c>
      <c r="S164" s="3" t="n">
        <v>0</v>
      </c>
      <c r="T164" s="3">
        <f>IF($N164="",10000000000,$N164*100000+$M164)</f>
        <v/>
      </c>
      <c r="U164" s="3">
        <f>$AB$5</f>
        <v/>
      </c>
      <c r="V164" s="3" t="n">
        <v>72</v>
      </c>
      <c r="W164" s="3">
        <f>IF($U164=0,"",IF(INDEX(UCRETLER!$D$7:$D$406,$U164)="","",IF(INDEX(UCRETLER!$F$7:$F$406,$U164)="Aylık",EOMONTH(INDEX(UCRETLER!$D$7:$D$406,$U164),$V164-1),INDEX(UCRETLER!$D$7:$D$406,$U164)+MOD(SISTEM!$F$8-WEEKDAY(INDEX(UCRETLER!$D$7:$D$406,$U164),2),7)+7*($V164-1))))</f>
        <v/>
      </c>
      <c r="X164" s="3">
        <f>IF($U164=0,0,INDEX(UCRETLER!$G$7:$G$406,$U164))</f>
        <v/>
      </c>
      <c r="Y164" s="3">
        <f>IFERROR(SMALL($T$12:$T$432,ROW()-11),"")</f>
        <v/>
      </c>
      <c r="Z164" s="3">
        <f>IFERROR(MATCH($Y164,$T$12:$T$432,0),"")</f>
        <v/>
      </c>
      <c r="AA164" s="3" t="n"/>
      <c r="AB164" s="3" t="n"/>
      <c r="AC164" s="3" t="n"/>
      <c r="AD164" s="3" t="n"/>
    </row>
    <row r="165">
      <c r="A165" s="6" t="n"/>
      <c r="B165" s="153">
        <f>IF($C165="","",ROW()-11)</f>
        <v/>
      </c>
      <c r="C165" s="240">
        <f>IF($Z165="","",IF(INDEX($N$12:$N$432,$Z165)="","",INDEX($N$12:$N$432,$Z165)))</f>
        <v/>
      </c>
      <c r="D165" s="29">
        <f>IF($C165="","",INDEX($O$12:$O$432,$Z165))</f>
        <v/>
      </c>
      <c r="E165" s="153">
        <f>IF($C165="","",INDEX($P$12:$P$432,$Z165))</f>
        <v/>
      </c>
      <c r="F165" s="241">
        <f>IF($C165="","",INDEX($R$12:$R$432,$Z165))</f>
        <v/>
      </c>
      <c r="G165" s="241">
        <f>IF($C165="","",INDEX($S$12:$S$432,$Z165))</f>
        <v/>
      </c>
      <c r="H165" s="241">
        <f>IF($C165="","",N($H164)+$F165-$G165)</f>
        <v/>
      </c>
      <c r="I165" s="6" t="n"/>
      <c r="J165" s="6" t="n"/>
      <c r="K165" s="3" t="n"/>
      <c r="L165" s="3" t="n"/>
      <c r="M165" s="3" t="n">
        <v>154</v>
      </c>
      <c r="N165" s="3">
        <f>IF(OR($U165=0,$W165="",$X165&lt;=0),"",IF($W165&gt;TODAY(),"",IF(AND(INDEX(UCRETLER!$E$7:$E$406,$U165)&lt;&gt;"",$W165&gt;INDEX(UCRETLER!$E$7:$E$406,$U165)),"",$W165)))</f>
        <v/>
      </c>
      <c r="O165" s="3">
        <f>IF($N165="","",IF(INDEX(UCRETLER!$F$7:$F$406,$U165)="Aylık",CHOOSE(MONTH($N165),"Ocak","Şubat","Mart","Nisan","Mayıs","Haziran","Temmuz","Ağustos","Eylül","Ekim","Kasım","Aralık")&amp;" "&amp;YEAR($N165)&amp;" aylık muhasebe hizmet ücreti",RIGHT("0"&amp;DAY($N165),2)&amp;"."&amp;RIGHT("0"&amp;MONTH($N165),2)&amp;"."&amp;YEAR($N165)&amp;" haftalık muhasebe hizmet ücreti"))</f>
        <v/>
      </c>
      <c r="P165" s="3">
        <f>IF($N165="","","TAHAKKUK")</f>
        <v/>
      </c>
      <c r="Q165" s="3" t="n"/>
      <c r="R165" s="3">
        <f>IF($N165="",0,$X165)</f>
        <v/>
      </c>
      <c r="S165" s="3" t="n">
        <v>0</v>
      </c>
      <c r="T165" s="3">
        <f>IF($N165="",10000000000,$N165*100000+$M165)</f>
        <v/>
      </c>
      <c r="U165" s="3">
        <f>$AB$5</f>
        <v/>
      </c>
      <c r="V165" s="3" t="n">
        <v>73</v>
      </c>
      <c r="W165" s="3">
        <f>IF($U165=0,"",IF(INDEX(UCRETLER!$D$7:$D$406,$U165)="","",IF(INDEX(UCRETLER!$F$7:$F$406,$U165)="Aylık",EOMONTH(INDEX(UCRETLER!$D$7:$D$406,$U165),$V165-1),INDEX(UCRETLER!$D$7:$D$406,$U165)+MOD(SISTEM!$F$8-WEEKDAY(INDEX(UCRETLER!$D$7:$D$406,$U165),2),7)+7*($V165-1))))</f>
        <v/>
      </c>
      <c r="X165" s="3">
        <f>IF($U165=0,0,INDEX(UCRETLER!$G$7:$G$406,$U165))</f>
        <v/>
      </c>
      <c r="Y165" s="3">
        <f>IFERROR(SMALL($T$12:$T$432,ROW()-11),"")</f>
        <v/>
      </c>
      <c r="Z165" s="3">
        <f>IFERROR(MATCH($Y165,$T$12:$T$432,0),"")</f>
        <v/>
      </c>
      <c r="AA165" s="3" t="n"/>
      <c r="AB165" s="3" t="n"/>
      <c r="AC165" s="3" t="n"/>
      <c r="AD165" s="3" t="n"/>
    </row>
    <row r="166">
      <c r="A166" s="6" t="n"/>
      <c r="B166" s="153">
        <f>IF($C166="","",ROW()-11)</f>
        <v/>
      </c>
      <c r="C166" s="240">
        <f>IF($Z166="","",IF(INDEX($N$12:$N$432,$Z166)="","",INDEX($N$12:$N$432,$Z166)))</f>
        <v/>
      </c>
      <c r="D166" s="29">
        <f>IF($C166="","",INDEX($O$12:$O$432,$Z166))</f>
        <v/>
      </c>
      <c r="E166" s="153">
        <f>IF($C166="","",INDEX($P$12:$P$432,$Z166))</f>
        <v/>
      </c>
      <c r="F166" s="241">
        <f>IF($C166="","",INDEX($R$12:$R$432,$Z166))</f>
        <v/>
      </c>
      <c r="G166" s="241">
        <f>IF($C166="","",INDEX($S$12:$S$432,$Z166))</f>
        <v/>
      </c>
      <c r="H166" s="241">
        <f>IF($C166="","",N($H165)+$F166-$G166)</f>
        <v/>
      </c>
      <c r="I166" s="6" t="n"/>
      <c r="J166" s="6" t="n"/>
      <c r="K166" s="3" t="n"/>
      <c r="L166" s="3" t="n"/>
      <c r="M166" s="3" t="n">
        <v>155</v>
      </c>
      <c r="N166" s="3">
        <f>IF(OR($U166=0,$W166="",$X166&lt;=0),"",IF($W166&gt;TODAY(),"",IF(AND(INDEX(UCRETLER!$E$7:$E$406,$U166)&lt;&gt;"",$W166&gt;INDEX(UCRETLER!$E$7:$E$406,$U166)),"",$W166)))</f>
        <v/>
      </c>
      <c r="O166" s="3">
        <f>IF($N166="","",IF(INDEX(UCRETLER!$F$7:$F$406,$U166)="Aylık",CHOOSE(MONTH($N166),"Ocak","Şubat","Mart","Nisan","Mayıs","Haziran","Temmuz","Ağustos","Eylül","Ekim","Kasım","Aralık")&amp;" "&amp;YEAR($N166)&amp;" aylık muhasebe hizmet ücreti",RIGHT("0"&amp;DAY($N166),2)&amp;"."&amp;RIGHT("0"&amp;MONTH($N166),2)&amp;"."&amp;YEAR($N166)&amp;" haftalık muhasebe hizmet ücreti"))</f>
        <v/>
      </c>
      <c r="P166" s="3">
        <f>IF($N166="","","TAHAKKUK")</f>
        <v/>
      </c>
      <c r="Q166" s="3" t="n"/>
      <c r="R166" s="3">
        <f>IF($N166="",0,$X166)</f>
        <v/>
      </c>
      <c r="S166" s="3" t="n">
        <v>0</v>
      </c>
      <c r="T166" s="3">
        <f>IF($N166="",10000000000,$N166*100000+$M166)</f>
        <v/>
      </c>
      <c r="U166" s="3">
        <f>$AB$5</f>
        <v/>
      </c>
      <c r="V166" s="3" t="n">
        <v>74</v>
      </c>
      <c r="W166" s="3">
        <f>IF($U166=0,"",IF(INDEX(UCRETLER!$D$7:$D$406,$U166)="","",IF(INDEX(UCRETLER!$F$7:$F$406,$U166)="Aylık",EOMONTH(INDEX(UCRETLER!$D$7:$D$406,$U166),$V166-1),INDEX(UCRETLER!$D$7:$D$406,$U166)+MOD(SISTEM!$F$8-WEEKDAY(INDEX(UCRETLER!$D$7:$D$406,$U166),2),7)+7*($V166-1))))</f>
        <v/>
      </c>
      <c r="X166" s="3">
        <f>IF($U166=0,0,INDEX(UCRETLER!$G$7:$G$406,$U166))</f>
        <v/>
      </c>
      <c r="Y166" s="3">
        <f>IFERROR(SMALL($T$12:$T$432,ROW()-11),"")</f>
        <v/>
      </c>
      <c r="Z166" s="3">
        <f>IFERROR(MATCH($Y166,$T$12:$T$432,0),"")</f>
        <v/>
      </c>
      <c r="AA166" s="3" t="n"/>
      <c r="AB166" s="3" t="n"/>
      <c r="AC166" s="3" t="n"/>
      <c r="AD166" s="3" t="n"/>
    </row>
    <row r="167">
      <c r="A167" s="6" t="n"/>
      <c r="B167" s="153">
        <f>IF($C167="","",ROW()-11)</f>
        <v/>
      </c>
      <c r="C167" s="240">
        <f>IF($Z167="","",IF(INDEX($N$12:$N$432,$Z167)="","",INDEX($N$12:$N$432,$Z167)))</f>
        <v/>
      </c>
      <c r="D167" s="29">
        <f>IF($C167="","",INDEX($O$12:$O$432,$Z167))</f>
        <v/>
      </c>
      <c r="E167" s="153">
        <f>IF($C167="","",INDEX($P$12:$P$432,$Z167))</f>
        <v/>
      </c>
      <c r="F167" s="241">
        <f>IF($C167="","",INDEX($R$12:$R$432,$Z167))</f>
        <v/>
      </c>
      <c r="G167" s="241">
        <f>IF($C167="","",INDEX($S$12:$S$432,$Z167))</f>
        <v/>
      </c>
      <c r="H167" s="241">
        <f>IF($C167="","",N($H166)+$F167-$G167)</f>
        <v/>
      </c>
      <c r="I167" s="6" t="n"/>
      <c r="J167" s="6" t="n"/>
      <c r="K167" s="3" t="n"/>
      <c r="L167" s="3" t="n"/>
      <c r="M167" s="3" t="n">
        <v>156</v>
      </c>
      <c r="N167" s="3">
        <f>IF(OR($U167=0,$W167="",$X167&lt;=0),"",IF($W167&gt;TODAY(),"",IF(AND(INDEX(UCRETLER!$E$7:$E$406,$U167)&lt;&gt;"",$W167&gt;INDEX(UCRETLER!$E$7:$E$406,$U167)),"",$W167)))</f>
        <v/>
      </c>
      <c r="O167" s="3">
        <f>IF($N167="","",IF(INDEX(UCRETLER!$F$7:$F$406,$U167)="Aylık",CHOOSE(MONTH($N167),"Ocak","Şubat","Mart","Nisan","Mayıs","Haziran","Temmuz","Ağustos","Eylül","Ekim","Kasım","Aralık")&amp;" "&amp;YEAR($N167)&amp;" aylık muhasebe hizmet ücreti",RIGHT("0"&amp;DAY($N167),2)&amp;"."&amp;RIGHT("0"&amp;MONTH($N167),2)&amp;"."&amp;YEAR($N167)&amp;" haftalık muhasebe hizmet ücreti"))</f>
        <v/>
      </c>
      <c r="P167" s="3">
        <f>IF($N167="","","TAHAKKUK")</f>
        <v/>
      </c>
      <c r="Q167" s="3" t="n"/>
      <c r="R167" s="3">
        <f>IF($N167="",0,$X167)</f>
        <v/>
      </c>
      <c r="S167" s="3" t="n">
        <v>0</v>
      </c>
      <c r="T167" s="3">
        <f>IF($N167="",10000000000,$N167*100000+$M167)</f>
        <v/>
      </c>
      <c r="U167" s="3">
        <f>$AB$5</f>
        <v/>
      </c>
      <c r="V167" s="3" t="n">
        <v>75</v>
      </c>
      <c r="W167" s="3">
        <f>IF($U167=0,"",IF(INDEX(UCRETLER!$D$7:$D$406,$U167)="","",IF(INDEX(UCRETLER!$F$7:$F$406,$U167)="Aylık",EOMONTH(INDEX(UCRETLER!$D$7:$D$406,$U167),$V167-1),INDEX(UCRETLER!$D$7:$D$406,$U167)+MOD(SISTEM!$F$8-WEEKDAY(INDEX(UCRETLER!$D$7:$D$406,$U167),2),7)+7*($V167-1))))</f>
        <v/>
      </c>
      <c r="X167" s="3">
        <f>IF($U167=0,0,INDEX(UCRETLER!$G$7:$G$406,$U167))</f>
        <v/>
      </c>
      <c r="Y167" s="3">
        <f>IFERROR(SMALL($T$12:$T$432,ROW()-11),"")</f>
        <v/>
      </c>
      <c r="Z167" s="3">
        <f>IFERROR(MATCH($Y167,$T$12:$T$432,0),"")</f>
        <v/>
      </c>
      <c r="AA167" s="3" t="n"/>
      <c r="AB167" s="3" t="n"/>
      <c r="AC167" s="3" t="n"/>
      <c r="AD167" s="3" t="n"/>
    </row>
    <row r="168">
      <c r="A168" s="6" t="n"/>
      <c r="B168" s="153">
        <f>IF($C168="","",ROW()-11)</f>
        <v/>
      </c>
      <c r="C168" s="240">
        <f>IF($Z168="","",IF(INDEX($N$12:$N$432,$Z168)="","",INDEX($N$12:$N$432,$Z168)))</f>
        <v/>
      </c>
      <c r="D168" s="29">
        <f>IF($C168="","",INDEX($O$12:$O$432,$Z168))</f>
        <v/>
      </c>
      <c r="E168" s="153">
        <f>IF($C168="","",INDEX($P$12:$P$432,$Z168))</f>
        <v/>
      </c>
      <c r="F168" s="241">
        <f>IF($C168="","",INDEX($R$12:$R$432,$Z168))</f>
        <v/>
      </c>
      <c r="G168" s="241">
        <f>IF($C168="","",INDEX($S$12:$S$432,$Z168))</f>
        <v/>
      </c>
      <c r="H168" s="241">
        <f>IF($C168="","",N($H167)+$F168-$G168)</f>
        <v/>
      </c>
      <c r="I168" s="6" t="n"/>
      <c r="J168" s="6" t="n"/>
      <c r="K168" s="3" t="n"/>
      <c r="L168" s="3" t="n"/>
      <c r="M168" s="3" t="n">
        <v>157</v>
      </c>
      <c r="N168" s="3">
        <f>IF(OR($U168=0,$W168="",$X168&lt;=0),"",IF($W168&gt;TODAY(),"",IF(AND(INDEX(UCRETLER!$E$7:$E$406,$U168)&lt;&gt;"",$W168&gt;INDEX(UCRETLER!$E$7:$E$406,$U168)),"",$W168)))</f>
        <v/>
      </c>
      <c r="O168" s="3">
        <f>IF($N168="","",IF(INDEX(UCRETLER!$F$7:$F$406,$U168)="Aylık",CHOOSE(MONTH($N168),"Ocak","Şubat","Mart","Nisan","Mayıs","Haziran","Temmuz","Ağustos","Eylül","Ekim","Kasım","Aralık")&amp;" "&amp;YEAR($N168)&amp;" aylık muhasebe hizmet ücreti",RIGHT("0"&amp;DAY($N168),2)&amp;"."&amp;RIGHT("0"&amp;MONTH($N168),2)&amp;"."&amp;YEAR($N168)&amp;" haftalık muhasebe hizmet ücreti"))</f>
        <v/>
      </c>
      <c r="P168" s="3">
        <f>IF($N168="","","TAHAKKUK")</f>
        <v/>
      </c>
      <c r="Q168" s="3" t="n"/>
      <c r="R168" s="3">
        <f>IF($N168="",0,$X168)</f>
        <v/>
      </c>
      <c r="S168" s="3" t="n">
        <v>0</v>
      </c>
      <c r="T168" s="3">
        <f>IF($N168="",10000000000,$N168*100000+$M168)</f>
        <v/>
      </c>
      <c r="U168" s="3">
        <f>$AB$5</f>
        <v/>
      </c>
      <c r="V168" s="3" t="n">
        <v>76</v>
      </c>
      <c r="W168" s="3">
        <f>IF($U168=0,"",IF(INDEX(UCRETLER!$D$7:$D$406,$U168)="","",IF(INDEX(UCRETLER!$F$7:$F$406,$U168)="Aylık",EOMONTH(INDEX(UCRETLER!$D$7:$D$406,$U168),$V168-1),INDEX(UCRETLER!$D$7:$D$406,$U168)+MOD(SISTEM!$F$8-WEEKDAY(INDEX(UCRETLER!$D$7:$D$406,$U168),2),7)+7*($V168-1))))</f>
        <v/>
      </c>
      <c r="X168" s="3">
        <f>IF($U168=0,0,INDEX(UCRETLER!$G$7:$G$406,$U168))</f>
        <v/>
      </c>
      <c r="Y168" s="3">
        <f>IFERROR(SMALL($T$12:$T$432,ROW()-11),"")</f>
        <v/>
      </c>
      <c r="Z168" s="3">
        <f>IFERROR(MATCH($Y168,$T$12:$T$432,0),"")</f>
        <v/>
      </c>
      <c r="AA168" s="3" t="n"/>
      <c r="AB168" s="3" t="n"/>
      <c r="AC168" s="3" t="n"/>
      <c r="AD168" s="3" t="n"/>
    </row>
    <row r="169">
      <c r="A169" s="6" t="n"/>
      <c r="B169" s="153">
        <f>IF($C169="","",ROW()-11)</f>
        <v/>
      </c>
      <c r="C169" s="240">
        <f>IF($Z169="","",IF(INDEX($N$12:$N$432,$Z169)="","",INDEX($N$12:$N$432,$Z169)))</f>
        <v/>
      </c>
      <c r="D169" s="29">
        <f>IF($C169="","",INDEX($O$12:$O$432,$Z169))</f>
        <v/>
      </c>
      <c r="E169" s="153">
        <f>IF($C169="","",INDEX($P$12:$P$432,$Z169))</f>
        <v/>
      </c>
      <c r="F169" s="241">
        <f>IF($C169="","",INDEX($R$12:$R$432,$Z169))</f>
        <v/>
      </c>
      <c r="G169" s="241">
        <f>IF($C169="","",INDEX($S$12:$S$432,$Z169))</f>
        <v/>
      </c>
      <c r="H169" s="241">
        <f>IF($C169="","",N($H168)+$F169-$G169)</f>
        <v/>
      </c>
      <c r="I169" s="6" t="n"/>
      <c r="J169" s="6" t="n"/>
      <c r="K169" s="3" t="n"/>
      <c r="L169" s="3" t="n"/>
      <c r="M169" s="3" t="n">
        <v>158</v>
      </c>
      <c r="N169" s="3">
        <f>IF(OR($U169=0,$W169="",$X169&lt;=0),"",IF($W169&gt;TODAY(),"",IF(AND(INDEX(UCRETLER!$E$7:$E$406,$U169)&lt;&gt;"",$W169&gt;INDEX(UCRETLER!$E$7:$E$406,$U169)),"",$W169)))</f>
        <v/>
      </c>
      <c r="O169" s="3">
        <f>IF($N169="","",IF(INDEX(UCRETLER!$F$7:$F$406,$U169)="Aylık",CHOOSE(MONTH($N169),"Ocak","Şubat","Mart","Nisan","Mayıs","Haziran","Temmuz","Ağustos","Eylül","Ekim","Kasım","Aralık")&amp;" "&amp;YEAR($N169)&amp;" aylık muhasebe hizmet ücreti",RIGHT("0"&amp;DAY($N169),2)&amp;"."&amp;RIGHT("0"&amp;MONTH($N169),2)&amp;"."&amp;YEAR($N169)&amp;" haftalık muhasebe hizmet ücreti"))</f>
        <v/>
      </c>
      <c r="P169" s="3">
        <f>IF($N169="","","TAHAKKUK")</f>
        <v/>
      </c>
      <c r="Q169" s="3" t="n"/>
      <c r="R169" s="3">
        <f>IF($N169="",0,$X169)</f>
        <v/>
      </c>
      <c r="S169" s="3" t="n">
        <v>0</v>
      </c>
      <c r="T169" s="3">
        <f>IF($N169="",10000000000,$N169*100000+$M169)</f>
        <v/>
      </c>
      <c r="U169" s="3">
        <f>$AB$5</f>
        <v/>
      </c>
      <c r="V169" s="3" t="n">
        <v>77</v>
      </c>
      <c r="W169" s="3">
        <f>IF($U169=0,"",IF(INDEX(UCRETLER!$D$7:$D$406,$U169)="","",IF(INDEX(UCRETLER!$F$7:$F$406,$U169)="Aylık",EOMONTH(INDEX(UCRETLER!$D$7:$D$406,$U169),$V169-1),INDEX(UCRETLER!$D$7:$D$406,$U169)+MOD(SISTEM!$F$8-WEEKDAY(INDEX(UCRETLER!$D$7:$D$406,$U169),2),7)+7*($V169-1))))</f>
        <v/>
      </c>
      <c r="X169" s="3">
        <f>IF($U169=0,0,INDEX(UCRETLER!$G$7:$G$406,$U169))</f>
        <v/>
      </c>
      <c r="Y169" s="3">
        <f>IFERROR(SMALL($T$12:$T$432,ROW()-11),"")</f>
        <v/>
      </c>
      <c r="Z169" s="3">
        <f>IFERROR(MATCH($Y169,$T$12:$T$432,0),"")</f>
        <v/>
      </c>
      <c r="AA169" s="3" t="n"/>
      <c r="AB169" s="3" t="n"/>
      <c r="AC169" s="3" t="n"/>
      <c r="AD169" s="3" t="n"/>
    </row>
    <row r="170">
      <c r="A170" s="6" t="n"/>
      <c r="B170" s="153">
        <f>IF($C170="","",ROW()-11)</f>
        <v/>
      </c>
      <c r="C170" s="240">
        <f>IF($Z170="","",IF(INDEX($N$12:$N$432,$Z170)="","",INDEX($N$12:$N$432,$Z170)))</f>
        <v/>
      </c>
      <c r="D170" s="29">
        <f>IF($C170="","",INDEX($O$12:$O$432,$Z170))</f>
        <v/>
      </c>
      <c r="E170" s="153">
        <f>IF($C170="","",INDEX($P$12:$P$432,$Z170))</f>
        <v/>
      </c>
      <c r="F170" s="241">
        <f>IF($C170="","",INDEX($R$12:$R$432,$Z170))</f>
        <v/>
      </c>
      <c r="G170" s="241">
        <f>IF($C170="","",INDEX($S$12:$S$432,$Z170))</f>
        <v/>
      </c>
      <c r="H170" s="241">
        <f>IF($C170="","",N($H169)+$F170-$G170)</f>
        <v/>
      </c>
      <c r="I170" s="6" t="n"/>
      <c r="J170" s="6" t="n"/>
      <c r="K170" s="3" t="n"/>
      <c r="L170" s="3" t="n"/>
      <c r="M170" s="3" t="n">
        <v>159</v>
      </c>
      <c r="N170" s="3">
        <f>IF(OR($U170=0,$W170="",$X170&lt;=0),"",IF($W170&gt;TODAY(),"",IF(AND(INDEX(UCRETLER!$E$7:$E$406,$U170)&lt;&gt;"",$W170&gt;INDEX(UCRETLER!$E$7:$E$406,$U170)),"",$W170)))</f>
        <v/>
      </c>
      <c r="O170" s="3">
        <f>IF($N170="","",IF(INDEX(UCRETLER!$F$7:$F$406,$U170)="Aylık",CHOOSE(MONTH($N170),"Ocak","Şubat","Mart","Nisan","Mayıs","Haziran","Temmuz","Ağustos","Eylül","Ekim","Kasım","Aralık")&amp;" "&amp;YEAR($N170)&amp;" aylık muhasebe hizmet ücreti",RIGHT("0"&amp;DAY($N170),2)&amp;"."&amp;RIGHT("0"&amp;MONTH($N170),2)&amp;"."&amp;YEAR($N170)&amp;" haftalık muhasebe hizmet ücreti"))</f>
        <v/>
      </c>
      <c r="P170" s="3">
        <f>IF($N170="","","TAHAKKUK")</f>
        <v/>
      </c>
      <c r="Q170" s="3" t="n"/>
      <c r="R170" s="3">
        <f>IF($N170="",0,$X170)</f>
        <v/>
      </c>
      <c r="S170" s="3" t="n">
        <v>0</v>
      </c>
      <c r="T170" s="3">
        <f>IF($N170="",10000000000,$N170*100000+$M170)</f>
        <v/>
      </c>
      <c r="U170" s="3">
        <f>$AB$5</f>
        <v/>
      </c>
      <c r="V170" s="3" t="n">
        <v>78</v>
      </c>
      <c r="W170" s="3">
        <f>IF($U170=0,"",IF(INDEX(UCRETLER!$D$7:$D$406,$U170)="","",IF(INDEX(UCRETLER!$F$7:$F$406,$U170)="Aylık",EOMONTH(INDEX(UCRETLER!$D$7:$D$406,$U170),$V170-1),INDEX(UCRETLER!$D$7:$D$406,$U170)+MOD(SISTEM!$F$8-WEEKDAY(INDEX(UCRETLER!$D$7:$D$406,$U170),2),7)+7*($V170-1))))</f>
        <v/>
      </c>
      <c r="X170" s="3">
        <f>IF($U170=0,0,INDEX(UCRETLER!$G$7:$G$406,$U170))</f>
        <v/>
      </c>
      <c r="Y170" s="3">
        <f>IFERROR(SMALL($T$12:$T$432,ROW()-11),"")</f>
        <v/>
      </c>
      <c r="Z170" s="3">
        <f>IFERROR(MATCH($Y170,$T$12:$T$432,0),"")</f>
        <v/>
      </c>
      <c r="AA170" s="3" t="n"/>
      <c r="AB170" s="3" t="n"/>
      <c r="AC170" s="3" t="n"/>
      <c r="AD170" s="3" t="n"/>
    </row>
    <row r="171">
      <c r="A171" s="6" t="n"/>
      <c r="B171" s="153">
        <f>IF($C171="","",ROW()-11)</f>
        <v/>
      </c>
      <c r="C171" s="240">
        <f>IF($Z171="","",IF(INDEX($N$12:$N$432,$Z171)="","",INDEX($N$12:$N$432,$Z171)))</f>
        <v/>
      </c>
      <c r="D171" s="29">
        <f>IF($C171="","",INDEX($O$12:$O$432,$Z171))</f>
        <v/>
      </c>
      <c r="E171" s="153">
        <f>IF($C171="","",INDEX($P$12:$P$432,$Z171))</f>
        <v/>
      </c>
      <c r="F171" s="241">
        <f>IF($C171="","",INDEX($R$12:$R$432,$Z171))</f>
        <v/>
      </c>
      <c r="G171" s="241">
        <f>IF($C171="","",INDEX($S$12:$S$432,$Z171))</f>
        <v/>
      </c>
      <c r="H171" s="241">
        <f>IF($C171="","",N($H170)+$F171-$G171)</f>
        <v/>
      </c>
      <c r="I171" s="6" t="n"/>
      <c r="J171" s="6" t="n"/>
      <c r="K171" s="3" t="n"/>
      <c r="L171" s="3" t="n"/>
      <c r="M171" s="3" t="n">
        <v>160</v>
      </c>
      <c r="N171" s="3">
        <f>IF(OR($U171=0,$W171="",$X171&lt;=0),"",IF($W171&gt;TODAY(),"",IF(AND(INDEX(UCRETLER!$E$7:$E$406,$U171)&lt;&gt;"",$W171&gt;INDEX(UCRETLER!$E$7:$E$406,$U171)),"",$W171)))</f>
        <v/>
      </c>
      <c r="O171" s="3">
        <f>IF($N171="","",IF(INDEX(UCRETLER!$F$7:$F$406,$U171)="Aylık",CHOOSE(MONTH($N171),"Ocak","Şubat","Mart","Nisan","Mayıs","Haziran","Temmuz","Ağustos","Eylül","Ekim","Kasım","Aralık")&amp;" "&amp;YEAR($N171)&amp;" aylık muhasebe hizmet ücreti",RIGHT("0"&amp;DAY($N171),2)&amp;"."&amp;RIGHT("0"&amp;MONTH($N171),2)&amp;"."&amp;YEAR($N171)&amp;" haftalık muhasebe hizmet ücreti"))</f>
        <v/>
      </c>
      <c r="P171" s="3">
        <f>IF($N171="","","TAHAKKUK")</f>
        <v/>
      </c>
      <c r="Q171" s="3" t="n"/>
      <c r="R171" s="3">
        <f>IF($N171="",0,$X171)</f>
        <v/>
      </c>
      <c r="S171" s="3" t="n">
        <v>0</v>
      </c>
      <c r="T171" s="3">
        <f>IF($N171="",10000000000,$N171*100000+$M171)</f>
        <v/>
      </c>
      <c r="U171" s="3">
        <f>$AB$5</f>
        <v/>
      </c>
      <c r="V171" s="3" t="n">
        <v>79</v>
      </c>
      <c r="W171" s="3">
        <f>IF($U171=0,"",IF(INDEX(UCRETLER!$D$7:$D$406,$U171)="","",IF(INDEX(UCRETLER!$F$7:$F$406,$U171)="Aylık",EOMONTH(INDEX(UCRETLER!$D$7:$D$406,$U171),$V171-1),INDEX(UCRETLER!$D$7:$D$406,$U171)+MOD(SISTEM!$F$8-WEEKDAY(INDEX(UCRETLER!$D$7:$D$406,$U171),2),7)+7*($V171-1))))</f>
        <v/>
      </c>
      <c r="X171" s="3">
        <f>IF($U171=0,0,INDEX(UCRETLER!$G$7:$G$406,$U171))</f>
        <v/>
      </c>
      <c r="Y171" s="3">
        <f>IFERROR(SMALL($T$12:$T$432,ROW()-11),"")</f>
        <v/>
      </c>
      <c r="Z171" s="3">
        <f>IFERROR(MATCH($Y171,$T$12:$T$432,0),"")</f>
        <v/>
      </c>
      <c r="AA171" s="3" t="n"/>
      <c r="AB171" s="3" t="n"/>
      <c r="AC171" s="3" t="n"/>
      <c r="AD171" s="3" t="n"/>
    </row>
    <row r="172">
      <c r="A172" s="6" t="n"/>
      <c r="B172" s="153">
        <f>IF($C172="","",ROW()-11)</f>
        <v/>
      </c>
      <c r="C172" s="240">
        <f>IF($Z172="","",IF(INDEX($N$12:$N$432,$Z172)="","",INDEX($N$12:$N$432,$Z172)))</f>
        <v/>
      </c>
      <c r="D172" s="29">
        <f>IF($C172="","",INDEX($O$12:$O$432,$Z172))</f>
        <v/>
      </c>
      <c r="E172" s="153">
        <f>IF($C172="","",INDEX($P$12:$P$432,$Z172))</f>
        <v/>
      </c>
      <c r="F172" s="241">
        <f>IF($C172="","",INDEX($R$12:$R$432,$Z172))</f>
        <v/>
      </c>
      <c r="G172" s="241">
        <f>IF($C172="","",INDEX($S$12:$S$432,$Z172))</f>
        <v/>
      </c>
      <c r="H172" s="241">
        <f>IF($C172="","",N($H171)+$F172-$G172)</f>
        <v/>
      </c>
      <c r="I172" s="6" t="n"/>
      <c r="J172" s="6" t="n"/>
      <c r="K172" s="3" t="n"/>
      <c r="L172" s="3" t="n"/>
      <c r="M172" s="3" t="n">
        <v>161</v>
      </c>
      <c r="N172" s="3">
        <f>IF(OR($U172=0,$W172="",$X172&lt;=0),"",IF($W172&gt;TODAY(),"",IF(AND(INDEX(UCRETLER!$E$7:$E$406,$U172)&lt;&gt;"",$W172&gt;INDEX(UCRETLER!$E$7:$E$406,$U172)),"",$W172)))</f>
        <v/>
      </c>
      <c r="O172" s="3">
        <f>IF($N172="","",IF(INDEX(UCRETLER!$F$7:$F$406,$U172)="Aylık",CHOOSE(MONTH($N172),"Ocak","Şubat","Mart","Nisan","Mayıs","Haziran","Temmuz","Ağustos","Eylül","Ekim","Kasım","Aralık")&amp;" "&amp;YEAR($N172)&amp;" aylık muhasebe hizmet ücreti",RIGHT("0"&amp;DAY($N172),2)&amp;"."&amp;RIGHT("0"&amp;MONTH($N172),2)&amp;"."&amp;YEAR($N172)&amp;" haftalık muhasebe hizmet ücreti"))</f>
        <v/>
      </c>
      <c r="P172" s="3">
        <f>IF($N172="","","TAHAKKUK")</f>
        <v/>
      </c>
      <c r="Q172" s="3" t="n"/>
      <c r="R172" s="3">
        <f>IF($N172="",0,$X172)</f>
        <v/>
      </c>
      <c r="S172" s="3" t="n">
        <v>0</v>
      </c>
      <c r="T172" s="3">
        <f>IF($N172="",10000000000,$N172*100000+$M172)</f>
        <v/>
      </c>
      <c r="U172" s="3">
        <f>$AB$5</f>
        <v/>
      </c>
      <c r="V172" s="3" t="n">
        <v>80</v>
      </c>
      <c r="W172" s="3">
        <f>IF($U172=0,"",IF(INDEX(UCRETLER!$D$7:$D$406,$U172)="","",IF(INDEX(UCRETLER!$F$7:$F$406,$U172)="Aylık",EOMONTH(INDEX(UCRETLER!$D$7:$D$406,$U172),$V172-1),INDEX(UCRETLER!$D$7:$D$406,$U172)+MOD(SISTEM!$F$8-WEEKDAY(INDEX(UCRETLER!$D$7:$D$406,$U172),2),7)+7*($V172-1))))</f>
        <v/>
      </c>
      <c r="X172" s="3">
        <f>IF($U172=0,0,INDEX(UCRETLER!$G$7:$G$406,$U172))</f>
        <v/>
      </c>
      <c r="Y172" s="3">
        <f>IFERROR(SMALL($T$12:$T$432,ROW()-11),"")</f>
        <v/>
      </c>
      <c r="Z172" s="3">
        <f>IFERROR(MATCH($Y172,$T$12:$T$432,0),"")</f>
        <v/>
      </c>
      <c r="AA172" s="3" t="n"/>
      <c r="AB172" s="3" t="n"/>
      <c r="AC172" s="3" t="n"/>
      <c r="AD172" s="3" t="n"/>
    </row>
    <row r="173">
      <c r="A173" s="6" t="n"/>
      <c r="B173" s="153">
        <f>IF($C173="","",ROW()-11)</f>
        <v/>
      </c>
      <c r="C173" s="240">
        <f>IF($Z173="","",IF(INDEX($N$12:$N$432,$Z173)="","",INDEX($N$12:$N$432,$Z173)))</f>
        <v/>
      </c>
      <c r="D173" s="29">
        <f>IF($C173="","",INDEX($O$12:$O$432,$Z173))</f>
        <v/>
      </c>
      <c r="E173" s="153">
        <f>IF($C173="","",INDEX($P$12:$P$432,$Z173))</f>
        <v/>
      </c>
      <c r="F173" s="241">
        <f>IF($C173="","",INDEX($R$12:$R$432,$Z173))</f>
        <v/>
      </c>
      <c r="G173" s="241">
        <f>IF($C173="","",INDEX($S$12:$S$432,$Z173))</f>
        <v/>
      </c>
      <c r="H173" s="241">
        <f>IF($C173="","",N($H172)+$F173-$G173)</f>
        <v/>
      </c>
      <c r="I173" s="6" t="n"/>
      <c r="J173" s="6" t="n"/>
      <c r="K173" s="3" t="n"/>
      <c r="L173" s="3" t="n"/>
      <c r="M173" s="3" t="n">
        <v>162</v>
      </c>
      <c r="N173" s="3">
        <f>IF(OR($U173=0,$W173="",$X173&lt;=0),"",IF($W173&gt;TODAY(),"",IF(AND(INDEX(UCRETLER!$E$7:$E$406,$U173)&lt;&gt;"",$W173&gt;INDEX(UCRETLER!$E$7:$E$406,$U173)),"",$W173)))</f>
        <v/>
      </c>
      <c r="O173" s="3">
        <f>IF($N173="","",IF(INDEX(UCRETLER!$F$7:$F$406,$U173)="Aylık",CHOOSE(MONTH($N173),"Ocak","Şubat","Mart","Nisan","Mayıs","Haziran","Temmuz","Ağustos","Eylül","Ekim","Kasım","Aralık")&amp;" "&amp;YEAR($N173)&amp;" aylık muhasebe hizmet ücreti",RIGHT("0"&amp;DAY($N173),2)&amp;"."&amp;RIGHT("0"&amp;MONTH($N173),2)&amp;"."&amp;YEAR($N173)&amp;" haftalık muhasebe hizmet ücreti"))</f>
        <v/>
      </c>
      <c r="P173" s="3">
        <f>IF($N173="","","TAHAKKUK")</f>
        <v/>
      </c>
      <c r="Q173" s="3" t="n"/>
      <c r="R173" s="3">
        <f>IF($N173="",0,$X173)</f>
        <v/>
      </c>
      <c r="S173" s="3" t="n">
        <v>0</v>
      </c>
      <c r="T173" s="3">
        <f>IF($N173="",10000000000,$N173*100000+$M173)</f>
        <v/>
      </c>
      <c r="U173" s="3">
        <f>$AB$6</f>
        <v/>
      </c>
      <c r="V173" s="3" t="n">
        <v>1</v>
      </c>
      <c r="W173" s="3">
        <f>IF($U173=0,"",IF(INDEX(UCRETLER!$D$7:$D$406,$U173)="","",IF(INDEX(UCRETLER!$F$7:$F$406,$U173)="Aylık",EOMONTH(INDEX(UCRETLER!$D$7:$D$406,$U173),$V173-1),INDEX(UCRETLER!$D$7:$D$406,$U173)+MOD(SISTEM!$F$8-WEEKDAY(INDEX(UCRETLER!$D$7:$D$406,$U173),2),7)+7*($V173-1))))</f>
        <v/>
      </c>
      <c r="X173" s="3">
        <f>IF($U173=0,0,INDEX(UCRETLER!$G$7:$G$406,$U173))</f>
        <v/>
      </c>
      <c r="Y173" s="3">
        <f>IFERROR(SMALL($T$12:$T$432,ROW()-11),"")</f>
        <v/>
      </c>
      <c r="Z173" s="3">
        <f>IFERROR(MATCH($Y173,$T$12:$T$432,0),"")</f>
        <v/>
      </c>
      <c r="AA173" s="3" t="n"/>
      <c r="AB173" s="3" t="n"/>
      <c r="AC173" s="3" t="n"/>
      <c r="AD173" s="3" t="n"/>
    </row>
    <row r="174">
      <c r="A174" s="6" t="n"/>
      <c r="B174" s="153">
        <f>IF($C174="","",ROW()-11)</f>
        <v/>
      </c>
      <c r="C174" s="240">
        <f>IF($Z174="","",IF(INDEX($N$12:$N$432,$Z174)="","",INDEX($N$12:$N$432,$Z174)))</f>
        <v/>
      </c>
      <c r="D174" s="29">
        <f>IF($C174="","",INDEX($O$12:$O$432,$Z174))</f>
        <v/>
      </c>
      <c r="E174" s="153">
        <f>IF($C174="","",INDEX($P$12:$P$432,$Z174))</f>
        <v/>
      </c>
      <c r="F174" s="241">
        <f>IF($C174="","",INDEX($R$12:$R$432,$Z174))</f>
        <v/>
      </c>
      <c r="G174" s="241">
        <f>IF($C174="","",INDEX($S$12:$S$432,$Z174))</f>
        <v/>
      </c>
      <c r="H174" s="241">
        <f>IF($C174="","",N($H173)+$F174-$G174)</f>
        <v/>
      </c>
      <c r="I174" s="6" t="n"/>
      <c r="J174" s="6" t="n"/>
      <c r="K174" s="3" t="n"/>
      <c r="L174" s="3" t="n"/>
      <c r="M174" s="3" t="n">
        <v>163</v>
      </c>
      <c r="N174" s="3">
        <f>IF(OR($U174=0,$W174="",$X174&lt;=0),"",IF($W174&gt;TODAY(),"",IF(AND(INDEX(UCRETLER!$E$7:$E$406,$U174)&lt;&gt;"",$W174&gt;INDEX(UCRETLER!$E$7:$E$406,$U174)),"",$W174)))</f>
        <v/>
      </c>
      <c r="O174" s="3">
        <f>IF($N174="","",IF(INDEX(UCRETLER!$F$7:$F$406,$U174)="Aylık",CHOOSE(MONTH($N174),"Ocak","Şubat","Mart","Nisan","Mayıs","Haziran","Temmuz","Ağustos","Eylül","Ekim","Kasım","Aralık")&amp;" "&amp;YEAR($N174)&amp;" aylık muhasebe hizmet ücreti",RIGHT("0"&amp;DAY($N174),2)&amp;"."&amp;RIGHT("0"&amp;MONTH($N174),2)&amp;"."&amp;YEAR($N174)&amp;" haftalık muhasebe hizmet ücreti"))</f>
        <v/>
      </c>
      <c r="P174" s="3">
        <f>IF($N174="","","TAHAKKUK")</f>
        <v/>
      </c>
      <c r="Q174" s="3" t="n"/>
      <c r="R174" s="3">
        <f>IF($N174="",0,$X174)</f>
        <v/>
      </c>
      <c r="S174" s="3" t="n">
        <v>0</v>
      </c>
      <c r="T174" s="3">
        <f>IF($N174="",10000000000,$N174*100000+$M174)</f>
        <v/>
      </c>
      <c r="U174" s="3">
        <f>$AB$6</f>
        <v/>
      </c>
      <c r="V174" s="3" t="n">
        <v>2</v>
      </c>
      <c r="W174" s="3">
        <f>IF($U174=0,"",IF(INDEX(UCRETLER!$D$7:$D$406,$U174)="","",IF(INDEX(UCRETLER!$F$7:$F$406,$U174)="Aylık",EOMONTH(INDEX(UCRETLER!$D$7:$D$406,$U174),$V174-1),INDEX(UCRETLER!$D$7:$D$406,$U174)+MOD(SISTEM!$F$8-WEEKDAY(INDEX(UCRETLER!$D$7:$D$406,$U174),2),7)+7*($V174-1))))</f>
        <v/>
      </c>
      <c r="X174" s="3">
        <f>IF($U174=0,0,INDEX(UCRETLER!$G$7:$G$406,$U174))</f>
        <v/>
      </c>
      <c r="Y174" s="3">
        <f>IFERROR(SMALL($T$12:$T$432,ROW()-11),"")</f>
        <v/>
      </c>
      <c r="Z174" s="3">
        <f>IFERROR(MATCH($Y174,$T$12:$T$432,0),"")</f>
        <v/>
      </c>
      <c r="AA174" s="3" t="n"/>
      <c r="AB174" s="3" t="n"/>
      <c r="AC174" s="3" t="n"/>
      <c r="AD174" s="3" t="n"/>
    </row>
    <row r="175">
      <c r="A175" s="6" t="n"/>
      <c r="B175" s="153">
        <f>IF($C175="","",ROW()-11)</f>
        <v/>
      </c>
      <c r="C175" s="240">
        <f>IF($Z175="","",IF(INDEX($N$12:$N$432,$Z175)="","",INDEX($N$12:$N$432,$Z175)))</f>
        <v/>
      </c>
      <c r="D175" s="29">
        <f>IF($C175="","",INDEX($O$12:$O$432,$Z175))</f>
        <v/>
      </c>
      <c r="E175" s="153">
        <f>IF($C175="","",INDEX($P$12:$P$432,$Z175))</f>
        <v/>
      </c>
      <c r="F175" s="241">
        <f>IF($C175="","",INDEX($R$12:$R$432,$Z175))</f>
        <v/>
      </c>
      <c r="G175" s="241">
        <f>IF($C175="","",INDEX($S$12:$S$432,$Z175))</f>
        <v/>
      </c>
      <c r="H175" s="241">
        <f>IF($C175="","",N($H174)+$F175-$G175)</f>
        <v/>
      </c>
      <c r="I175" s="6" t="n"/>
      <c r="J175" s="6" t="n"/>
      <c r="K175" s="3" t="n"/>
      <c r="L175" s="3" t="n"/>
      <c r="M175" s="3" t="n">
        <v>164</v>
      </c>
      <c r="N175" s="3">
        <f>IF(OR($U175=0,$W175="",$X175&lt;=0),"",IF($W175&gt;TODAY(),"",IF(AND(INDEX(UCRETLER!$E$7:$E$406,$U175)&lt;&gt;"",$W175&gt;INDEX(UCRETLER!$E$7:$E$406,$U175)),"",$W175)))</f>
        <v/>
      </c>
      <c r="O175" s="3">
        <f>IF($N175="","",IF(INDEX(UCRETLER!$F$7:$F$406,$U175)="Aylık",CHOOSE(MONTH($N175),"Ocak","Şubat","Mart","Nisan","Mayıs","Haziran","Temmuz","Ağustos","Eylül","Ekim","Kasım","Aralık")&amp;" "&amp;YEAR($N175)&amp;" aylık muhasebe hizmet ücreti",RIGHT("0"&amp;DAY($N175),2)&amp;"."&amp;RIGHT("0"&amp;MONTH($N175),2)&amp;"."&amp;YEAR($N175)&amp;" haftalık muhasebe hizmet ücreti"))</f>
        <v/>
      </c>
      <c r="P175" s="3">
        <f>IF($N175="","","TAHAKKUK")</f>
        <v/>
      </c>
      <c r="Q175" s="3" t="n"/>
      <c r="R175" s="3">
        <f>IF($N175="",0,$X175)</f>
        <v/>
      </c>
      <c r="S175" s="3" t="n">
        <v>0</v>
      </c>
      <c r="T175" s="3">
        <f>IF($N175="",10000000000,$N175*100000+$M175)</f>
        <v/>
      </c>
      <c r="U175" s="3">
        <f>$AB$6</f>
        <v/>
      </c>
      <c r="V175" s="3" t="n">
        <v>3</v>
      </c>
      <c r="W175" s="3">
        <f>IF($U175=0,"",IF(INDEX(UCRETLER!$D$7:$D$406,$U175)="","",IF(INDEX(UCRETLER!$F$7:$F$406,$U175)="Aylık",EOMONTH(INDEX(UCRETLER!$D$7:$D$406,$U175),$V175-1),INDEX(UCRETLER!$D$7:$D$406,$U175)+MOD(SISTEM!$F$8-WEEKDAY(INDEX(UCRETLER!$D$7:$D$406,$U175),2),7)+7*($V175-1))))</f>
        <v/>
      </c>
      <c r="X175" s="3">
        <f>IF($U175=0,0,INDEX(UCRETLER!$G$7:$G$406,$U175))</f>
        <v/>
      </c>
      <c r="Y175" s="3">
        <f>IFERROR(SMALL($T$12:$T$432,ROW()-11),"")</f>
        <v/>
      </c>
      <c r="Z175" s="3">
        <f>IFERROR(MATCH($Y175,$T$12:$T$432,0),"")</f>
        <v/>
      </c>
      <c r="AA175" s="3" t="n"/>
      <c r="AB175" s="3" t="n"/>
      <c r="AC175" s="3" t="n"/>
      <c r="AD175" s="3" t="n"/>
    </row>
    <row r="176">
      <c r="A176" s="6" t="n"/>
      <c r="B176" s="153">
        <f>IF($C176="","",ROW()-11)</f>
        <v/>
      </c>
      <c r="C176" s="240">
        <f>IF($Z176="","",IF(INDEX($N$12:$N$432,$Z176)="","",INDEX($N$12:$N$432,$Z176)))</f>
        <v/>
      </c>
      <c r="D176" s="29">
        <f>IF($C176="","",INDEX($O$12:$O$432,$Z176))</f>
        <v/>
      </c>
      <c r="E176" s="153">
        <f>IF($C176="","",INDEX($P$12:$P$432,$Z176))</f>
        <v/>
      </c>
      <c r="F176" s="241">
        <f>IF($C176="","",INDEX($R$12:$R$432,$Z176))</f>
        <v/>
      </c>
      <c r="G176" s="241">
        <f>IF($C176="","",INDEX($S$12:$S$432,$Z176))</f>
        <v/>
      </c>
      <c r="H176" s="241">
        <f>IF($C176="","",N($H175)+$F176-$G176)</f>
        <v/>
      </c>
      <c r="I176" s="6" t="n"/>
      <c r="J176" s="6" t="n"/>
      <c r="K176" s="3" t="n"/>
      <c r="L176" s="3" t="n"/>
      <c r="M176" s="3" t="n">
        <v>165</v>
      </c>
      <c r="N176" s="3">
        <f>IF(OR($U176=0,$W176="",$X176&lt;=0),"",IF($W176&gt;TODAY(),"",IF(AND(INDEX(UCRETLER!$E$7:$E$406,$U176)&lt;&gt;"",$W176&gt;INDEX(UCRETLER!$E$7:$E$406,$U176)),"",$W176)))</f>
        <v/>
      </c>
      <c r="O176" s="3">
        <f>IF($N176="","",IF(INDEX(UCRETLER!$F$7:$F$406,$U176)="Aylık",CHOOSE(MONTH($N176),"Ocak","Şubat","Mart","Nisan","Mayıs","Haziran","Temmuz","Ağustos","Eylül","Ekim","Kasım","Aralık")&amp;" "&amp;YEAR($N176)&amp;" aylık muhasebe hizmet ücreti",RIGHT("0"&amp;DAY($N176),2)&amp;"."&amp;RIGHT("0"&amp;MONTH($N176),2)&amp;"."&amp;YEAR($N176)&amp;" haftalık muhasebe hizmet ücreti"))</f>
        <v/>
      </c>
      <c r="P176" s="3">
        <f>IF($N176="","","TAHAKKUK")</f>
        <v/>
      </c>
      <c r="Q176" s="3" t="n"/>
      <c r="R176" s="3">
        <f>IF($N176="",0,$X176)</f>
        <v/>
      </c>
      <c r="S176" s="3" t="n">
        <v>0</v>
      </c>
      <c r="T176" s="3">
        <f>IF($N176="",10000000000,$N176*100000+$M176)</f>
        <v/>
      </c>
      <c r="U176" s="3">
        <f>$AB$6</f>
        <v/>
      </c>
      <c r="V176" s="3" t="n">
        <v>4</v>
      </c>
      <c r="W176" s="3">
        <f>IF($U176=0,"",IF(INDEX(UCRETLER!$D$7:$D$406,$U176)="","",IF(INDEX(UCRETLER!$F$7:$F$406,$U176)="Aylık",EOMONTH(INDEX(UCRETLER!$D$7:$D$406,$U176),$V176-1),INDEX(UCRETLER!$D$7:$D$406,$U176)+MOD(SISTEM!$F$8-WEEKDAY(INDEX(UCRETLER!$D$7:$D$406,$U176),2),7)+7*($V176-1))))</f>
        <v/>
      </c>
      <c r="X176" s="3">
        <f>IF($U176=0,0,INDEX(UCRETLER!$G$7:$G$406,$U176))</f>
        <v/>
      </c>
      <c r="Y176" s="3">
        <f>IFERROR(SMALL($T$12:$T$432,ROW()-11),"")</f>
        <v/>
      </c>
      <c r="Z176" s="3">
        <f>IFERROR(MATCH($Y176,$T$12:$T$432,0),"")</f>
        <v/>
      </c>
      <c r="AA176" s="3" t="n"/>
      <c r="AB176" s="3" t="n"/>
      <c r="AC176" s="3" t="n"/>
      <c r="AD176" s="3" t="n"/>
    </row>
    <row r="177">
      <c r="A177" s="6" t="n"/>
      <c r="B177" s="153">
        <f>IF($C177="","",ROW()-11)</f>
        <v/>
      </c>
      <c r="C177" s="240">
        <f>IF($Z177="","",IF(INDEX($N$12:$N$432,$Z177)="","",INDEX($N$12:$N$432,$Z177)))</f>
        <v/>
      </c>
      <c r="D177" s="29">
        <f>IF($C177="","",INDEX($O$12:$O$432,$Z177))</f>
        <v/>
      </c>
      <c r="E177" s="153">
        <f>IF($C177="","",INDEX($P$12:$P$432,$Z177))</f>
        <v/>
      </c>
      <c r="F177" s="241">
        <f>IF($C177="","",INDEX($R$12:$R$432,$Z177))</f>
        <v/>
      </c>
      <c r="G177" s="241">
        <f>IF($C177="","",INDEX($S$12:$S$432,$Z177))</f>
        <v/>
      </c>
      <c r="H177" s="241">
        <f>IF($C177="","",N($H176)+$F177-$G177)</f>
        <v/>
      </c>
      <c r="I177" s="6" t="n"/>
      <c r="J177" s="6" t="n"/>
      <c r="K177" s="3" t="n"/>
      <c r="L177" s="3" t="n"/>
      <c r="M177" s="3" t="n">
        <v>166</v>
      </c>
      <c r="N177" s="3">
        <f>IF(OR($U177=0,$W177="",$X177&lt;=0),"",IF($W177&gt;TODAY(),"",IF(AND(INDEX(UCRETLER!$E$7:$E$406,$U177)&lt;&gt;"",$W177&gt;INDEX(UCRETLER!$E$7:$E$406,$U177)),"",$W177)))</f>
        <v/>
      </c>
      <c r="O177" s="3">
        <f>IF($N177="","",IF(INDEX(UCRETLER!$F$7:$F$406,$U177)="Aylık",CHOOSE(MONTH($N177),"Ocak","Şubat","Mart","Nisan","Mayıs","Haziran","Temmuz","Ağustos","Eylül","Ekim","Kasım","Aralık")&amp;" "&amp;YEAR($N177)&amp;" aylık muhasebe hizmet ücreti",RIGHT("0"&amp;DAY($N177),2)&amp;"."&amp;RIGHT("0"&amp;MONTH($N177),2)&amp;"."&amp;YEAR($N177)&amp;" haftalık muhasebe hizmet ücreti"))</f>
        <v/>
      </c>
      <c r="P177" s="3">
        <f>IF($N177="","","TAHAKKUK")</f>
        <v/>
      </c>
      <c r="Q177" s="3" t="n"/>
      <c r="R177" s="3">
        <f>IF($N177="",0,$X177)</f>
        <v/>
      </c>
      <c r="S177" s="3" t="n">
        <v>0</v>
      </c>
      <c r="T177" s="3">
        <f>IF($N177="",10000000000,$N177*100000+$M177)</f>
        <v/>
      </c>
      <c r="U177" s="3">
        <f>$AB$6</f>
        <v/>
      </c>
      <c r="V177" s="3" t="n">
        <v>5</v>
      </c>
      <c r="W177" s="3">
        <f>IF($U177=0,"",IF(INDEX(UCRETLER!$D$7:$D$406,$U177)="","",IF(INDEX(UCRETLER!$F$7:$F$406,$U177)="Aylık",EOMONTH(INDEX(UCRETLER!$D$7:$D$406,$U177),$V177-1),INDEX(UCRETLER!$D$7:$D$406,$U177)+MOD(SISTEM!$F$8-WEEKDAY(INDEX(UCRETLER!$D$7:$D$406,$U177),2),7)+7*($V177-1))))</f>
        <v/>
      </c>
      <c r="X177" s="3">
        <f>IF($U177=0,0,INDEX(UCRETLER!$G$7:$G$406,$U177))</f>
        <v/>
      </c>
      <c r="Y177" s="3">
        <f>IFERROR(SMALL($T$12:$T$432,ROW()-11),"")</f>
        <v/>
      </c>
      <c r="Z177" s="3">
        <f>IFERROR(MATCH($Y177,$T$12:$T$432,0),"")</f>
        <v/>
      </c>
      <c r="AA177" s="3" t="n"/>
      <c r="AB177" s="3" t="n"/>
      <c r="AC177" s="3" t="n"/>
      <c r="AD177" s="3" t="n"/>
    </row>
    <row r="178">
      <c r="A178" s="6" t="n"/>
      <c r="B178" s="153">
        <f>IF($C178="","",ROW()-11)</f>
        <v/>
      </c>
      <c r="C178" s="240">
        <f>IF($Z178="","",IF(INDEX($N$12:$N$432,$Z178)="","",INDEX($N$12:$N$432,$Z178)))</f>
        <v/>
      </c>
      <c r="D178" s="29">
        <f>IF($C178="","",INDEX($O$12:$O$432,$Z178))</f>
        <v/>
      </c>
      <c r="E178" s="153">
        <f>IF($C178="","",INDEX($P$12:$P$432,$Z178))</f>
        <v/>
      </c>
      <c r="F178" s="241">
        <f>IF($C178="","",INDEX($R$12:$R$432,$Z178))</f>
        <v/>
      </c>
      <c r="G178" s="241">
        <f>IF($C178="","",INDEX($S$12:$S$432,$Z178))</f>
        <v/>
      </c>
      <c r="H178" s="241">
        <f>IF($C178="","",N($H177)+$F178-$G178)</f>
        <v/>
      </c>
      <c r="I178" s="6" t="n"/>
      <c r="J178" s="6" t="n"/>
      <c r="K178" s="3" t="n"/>
      <c r="L178" s="3" t="n"/>
      <c r="M178" s="3" t="n">
        <v>167</v>
      </c>
      <c r="N178" s="3">
        <f>IF(OR($U178=0,$W178="",$X178&lt;=0),"",IF($W178&gt;TODAY(),"",IF(AND(INDEX(UCRETLER!$E$7:$E$406,$U178)&lt;&gt;"",$W178&gt;INDEX(UCRETLER!$E$7:$E$406,$U178)),"",$W178)))</f>
        <v/>
      </c>
      <c r="O178" s="3">
        <f>IF($N178="","",IF(INDEX(UCRETLER!$F$7:$F$406,$U178)="Aylık",CHOOSE(MONTH($N178),"Ocak","Şubat","Mart","Nisan","Mayıs","Haziran","Temmuz","Ağustos","Eylül","Ekim","Kasım","Aralık")&amp;" "&amp;YEAR($N178)&amp;" aylık muhasebe hizmet ücreti",RIGHT("0"&amp;DAY($N178),2)&amp;"."&amp;RIGHT("0"&amp;MONTH($N178),2)&amp;"."&amp;YEAR($N178)&amp;" haftalık muhasebe hizmet ücreti"))</f>
        <v/>
      </c>
      <c r="P178" s="3">
        <f>IF($N178="","","TAHAKKUK")</f>
        <v/>
      </c>
      <c r="Q178" s="3" t="n"/>
      <c r="R178" s="3">
        <f>IF($N178="",0,$X178)</f>
        <v/>
      </c>
      <c r="S178" s="3" t="n">
        <v>0</v>
      </c>
      <c r="T178" s="3">
        <f>IF($N178="",10000000000,$N178*100000+$M178)</f>
        <v/>
      </c>
      <c r="U178" s="3">
        <f>$AB$6</f>
        <v/>
      </c>
      <c r="V178" s="3" t="n">
        <v>6</v>
      </c>
      <c r="W178" s="3">
        <f>IF($U178=0,"",IF(INDEX(UCRETLER!$D$7:$D$406,$U178)="","",IF(INDEX(UCRETLER!$F$7:$F$406,$U178)="Aylık",EOMONTH(INDEX(UCRETLER!$D$7:$D$406,$U178),$V178-1),INDEX(UCRETLER!$D$7:$D$406,$U178)+MOD(SISTEM!$F$8-WEEKDAY(INDEX(UCRETLER!$D$7:$D$406,$U178),2),7)+7*($V178-1))))</f>
        <v/>
      </c>
      <c r="X178" s="3">
        <f>IF($U178=0,0,INDEX(UCRETLER!$G$7:$G$406,$U178))</f>
        <v/>
      </c>
      <c r="Y178" s="3">
        <f>IFERROR(SMALL($T$12:$T$432,ROW()-11),"")</f>
        <v/>
      </c>
      <c r="Z178" s="3">
        <f>IFERROR(MATCH($Y178,$T$12:$T$432,0),"")</f>
        <v/>
      </c>
      <c r="AA178" s="3" t="n"/>
      <c r="AB178" s="3" t="n"/>
      <c r="AC178" s="3" t="n"/>
      <c r="AD178" s="3" t="n"/>
    </row>
    <row r="179">
      <c r="A179" s="6" t="n"/>
      <c r="B179" s="153">
        <f>IF($C179="","",ROW()-11)</f>
        <v/>
      </c>
      <c r="C179" s="240">
        <f>IF($Z179="","",IF(INDEX($N$12:$N$432,$Z179)="","",INDEX($N$12:$N$432,$Z179)))</f>
        <v/>
      </c>
      <c r="D179" s="29">
        <f>IF($C179="","",INDEX($O$12:$O$432,$Z179))</f>
        <v/>
      </c>
      <c r="E179" s="153">
        <f>IF($C179="","",INDEX($P$12:$P$432,$Z179))</f>
        <v/>
      </c>
      <c r="F179" s="241">
        <f>IF($C179="","",INDEX($R$12:$R$432,$Z179))</f>
        <v/>
      </c>
      <c r="G179" s="241">
        <f>IF($C179="","",INDEX($S$12:$S$432,$Z179))</f>
        <v/>
      </c>
      <c r="H179" s="241">
        <f>IF($C179="","",N($H178)+$F179-$G179)</f>
        <v/>
      </c>
      <c r="I179" s="6" t="n"/>
      <c r="J179" s="6" t="n"/>
      <c r="K179" s="3" t="n"/>
      <c r="L179" s="3" t="n"/>
      <c r="M179" s="3" t="n">
        <v>168</v>
      </c>
      <c r="N179" s="3">
        <f>IF(OR($U179=0,$W179="",$X179&lt;=0),"",IF($W179&gt;TODAY(),"",IF(AND(INDEX(UCRETLER!$E$7:$E$406,$U179)&lt;&gt;"",$W179&gt;INDEX(UCRETLER!$E$7:$E$406,$U179)),"",$W179)))</f>
        <v/>
      </c>
      <c r="O179" s="3">
        <f>IF($N179="","",IF(INDEX(UCRETLER!$F$7:$F$406,$U179)="Aylık",CHOOSE(MONTH($N179),"Ocak","Şubat","Mart","Nisan","Mayıs","Haziran","Temmuz","Ağustos","Eylül","Ekim","Kasım","Aralık")&amp;" "&amp;YEAR($N179)&amp;" aylık muhasebe hizmet ücreti",RIGHT("0"&amp;DAY($N179),2)&amp;"."&amp;RIGHT("0"&amp;MONTH($N179),2)&amp;"."&amp;YEAR($N179)&amp;" haftalık muhasebe hizmet ücreti"))</f>
        <v/>
      </c>
      <c r="P179" s="3">
        <f>IF($N179="","","TAHAKKUK")</f>
        <v/>
      </c>
      <c r="Q179" s="3" t="n"/>
      <c r="R179" s="3">
        <f>IF($N179="",0,$X179)</f>
        <v/>
      </c>
      <c r="S179" s="3" t="n">
        <v>0</v>
      </c>
      <c r="T179" s="3">
        <f>IF($N179="",10000000000,$N179*100000+$M179)</f>
        <v/>
      </c>
      <c r="U179" s="3">
        <f>$AB$6</f>
        <v/>
      </c>
      <c r="V179" s="3" t="n">
        <v>7</v>
      </c>
      <c r="W179" s="3">
        <f>IF($U179=0,"",IF(INDEX(UCRETLER!$D$7:$D$406,$U179)="","",IF(INDEX(UCRETLER!$F$7:$F$406,$U179)="Aylık",EOMONTH(INDEX(UCRETLER!$D$7:$D$406,$U179),$V179-1),INDEX(UCRETLER!$D$7:$D$406,$U179)+MOD(SISTEM!$F$8-WEEKDAY(INDEX(UCRETLER!$D$7:$D$406,$U179),2),7)+7*($V179-1))))</f>
        <v/>
      </c>
      <c r="X179" s="3">
        <f>IF($U179=0,0,INDEX(UCRETLER!$G$7:$G$406,$U179))</f>
        <v/>
      </c>
      <c r="Y179" s="3">
        <f>IFERROR(SMALL($T$12:$T$432,ROW()-11),"")</f>
        <v/>
      </c>
      <c r="Z179" s="3">
        <f>IFERROR(MATCH($Y179,$T$12:$T$432,0),"")</f>
        <v/>
      </c>
      <c r="AA179" s="3" t="n"/>
      <c r="AB179" s="3" t="n"/>
      <c r="AC179" s="3" t="n"/>
      <c r="AD179" s="3" t="n"/>
    </row>
    <row r="180">
      <c r="A180" s="6" t="n"/>
      <c r="B180" s="153">
        <f>IF($C180="","",ROW()-11)</f>
        <v/>
      </c>
      <c r="C180" s="240">
        <f>IF($Z180="","",IF(INDEX($N$12:$N$432,$Z180)="","",INDEX($N$12:$N$432,$Z180)))</f>
        <v/>
      </c>
      <c r="D180" s="29">
        <f>IF($C180="","",INDEX($O$12:$O$432,$Z180))</f>
        <v/>
      </c>
      <c r="E180" s="153">
        <f>IF($C180="","",INDEX($P$12:$P$432,$Z180))</f>
        <v/>
      </c>
      <c r="F180" s="241">
        <f>IF($C180="","",INDEX($R$12:$R$432,$Z180))</f>
        <v/>
      </c>
      <c r="G180" s="241">
        <f>IF($C180="","",INDEX($S$12:$S$432,$Z180))</f>
        <v/>
      </c>
      <c r="H180" s="241">
        <f>IF($C180="","",N($H179)+$F180-$G180)</f>
        <v/>
      </c>
      <c r="I180" s="6" t="n"/>
      <c r="J180" s="6" t="n"/>
      <c r="K180" s="3" t="n"/>
      <c r="L180" s="3" t="n"/>
      <c r="M180" s="3" t="n">
        <v>169</v>
      </c>
      <c r="N180" s="3">
        <f>IF(OR($U180=0,$W180="",$X180&lt;=0),"",IF($W180&gt;TODAY(),"",IF(AND(INDEX(UCRETLER!$E$7:$E$406,$U180)&lt;&gt;"",$W180&gt;INDEX(UCRETLER!$E$7:$E$406,$U180)),"",$W180)))</f>
        <v/>
      </c>
      <c r="O180" s="3">
        <f>IF($N180="","",IF(INDEX(UCRETLER!$F$7:$F$406,$U180)="Aylık",CHOOSE(MONTH($N180),"Ocak","Şubat","Mart","Nisan","Mayıs","Haziran","Temmuz","Ağustos","Eylül","Ekim","Kasım","Aralık")&amp;" "&amp;YEAR($N180)&amp;" aylık muhasebe hizmet ücreti",RIGHT("0"&amp;DAY($N180),2)&amp;"."&amp;RIGHT("0"&amp;MONTH($N180),2)&amp;"."&amp;YEAR($N180)&amp;" haftalık muhasebe hizmet ücreti"))</f>
        <v/>
      </c>
      <c r="P180" s="3">
        <f>IF($N180="","","TAHAKKUK")</f>
        <v/>
      </c>
      <c r="Q180" s="3" t="n"/>
      <c r="R180" s="3">
        <f>IF($N180="",0,$X180)</f>
        <v/>
      </c>
      <c r="S180" s="3" t="n">
        <v>0</v>
      </c>
      <c r="T180" s="3">
        <f>IF($N180="",10000000000,$N180*100000+$M180)</f>
        <v/>
      </c>
      <c r="U180" s="3">
        <f>$AB$6</f>
        <v/>
      </c>
      <c r="V180" s="3" t="n">
        <v>8</v>
      </c>
      <c r="W180" s="3">
        <f>IF($U180=0,"",IF(INDEX(UCRETLER!$D$7:$D$406,$U180)="","",IF(INDEX(UCRETLER!$F$7:$F$406,$U180)="Aylık",EOMONTH(INDEX(UCRETLER!$D$7:$D$406,$U180),$V180-1),INDEX(UCRETLER!$D$7:$D$406,$U180)+MOD(SISTEM!$F$8-WEEKDAY(INDEX(UCRETLER!$D$7:$D$406,$U180),2),7)+7*($V180-1))))</f>
        <v/>
      </c>
      <c r="X180" s="3">
        <f>IF($U180=0,0,INDEX(UCRETLER!$G$7:$G$406,$U180))</f>
        <v/>
      </c>
      <c r="Y180" s="3">
        <f>IFERROR(SMALL($T$12:$T$432,ROW()-11),"")</f>
        <v/>
      </c>
      <c r="Z180" s="3">
        <f>IFERROR(MATCH($Y180,$T$12:$T$432,0),"")</f>
        <v/>
      </c>
      <c r="AA180" s="3" t="n"/>
      <c r="AB180" s="3" t="n"/>
      <c r="AC180" s="3" t="n"/>
      <c r="AD180" s="3" t="n"/>
    </row>
    <row r="181">
      <c r="A181" s="6" t="n"/>
      <c r="B181" s="153">
        <f>IF($C181="","",ROW()-11)</f>
        <v/>
      </c>
      <c r="C181" s="240">
        <f>IF($Z181="","",IF(INDEX($N$12:$N$432,$Z181)="","",INDEX($N$12:$N$432,$Z181)))</f>
        <v/>
      </c>
      <c r="D181" s="29">
        <f>IF($C181="","",INDEX($O$12:$O$432,$Z181))</f>
        <v/>
      </c>
      <c r="E181" s="153">
        <f>IF($C181="","",INDEX($P$12:$P$432,$Z181))</f>
        <v/>
      </c>
      <c r="F181" s="241">
        <f>IF($C181="","",INDEX($R$12:$R$432,$Z181))</f>
        <v/>
      </c>
      <c r="G181" s="241">
        <f>IF($C181="","",INDEX($S$12:$S$432,$Z181))</f>
        <v/>
      </c>
      <c r="H181" s="241">
        <f>IF($C181="","",N($H180)+$F181-$G181)</f>
        <v/>
      </c>
      <c r="I181" s="6" t="n"/>
      <c r="J181" s="6" t="n"/>
      <c r="K181" s="3" t="n"/>
      <c r="L181" s="3" t="n"/>
      <c r="M181" s="3" t="n">
        <v>170</v>
      </c>
      <c r="N181" s="3">
        <f>IF(OR($U181=0,$W181="",$X181&lt;=0),"",IF($W181&gt;TODAY(),"",IF(AND(INDEX(UCRETLER!$E$7:$E$406,$U181)&lt;&gt;"",$W181&gt;INDEX(UCRETLER!$E$7:$E$406,$U181)),"",$W181)))</f>
        <v/>
      </c>
      <c r="O181" s="3">
        <f>IF($N181="","",IF(INDEX(UCRETLER!$F$7:$F$406,$U181)="Aylık",CHOOSE(MONTH($N181),"Ocak","Şubat","Mart","Nisan","Mayıs","Haziran","Temmuz","Ağustos","Eylül","Ekim","Kasım","Aralık")&amp;" "&amp;YEAR($N181)&amp;" aylık muhasebe hizmet ücreti",RIGHT("0"&amp;DAY($N181),2)&amp;"."&amp;RIGHT("0"&amp;MONTH($N181),2)&amp;"."&amp;YEAR($N181)&amp;" haftalık muhasebe hizmet ücreti"))</f>
        <v/>
      </c>
      <c r="P181" s="3">
        <f>IF($N181="","","TAHAKKUK")</f>
        <v/>
      </c>
      <c r="Q181" s="3" t="n"/>
      <c r="R181" s="3">
        <f>IF($N181="",0,$X181)</f>
        <v/>
      </c>
      <c r="S181" s="3" t="n">
        <v>0</v>
      </c>
      <c r="T181" s="3">
        <f>IF($N181="",10000000000,$N181*100000+$M181)</f>
        <v/>
      </c>
      <c r="U181" s="3">
        <f>$AB$6</f>
        <v/>
      </c>
      <c r="V181" s="3" t="n">
        <v>9</v>
      </c>
      <c r="W181" s="3">
        <f>IF($U181=0,"",IF(INDEX(UCRETLER!$D$7:$D$406,$U181)="","",IF(INDEX(UCRETLER!$F$7:$F$406,$U181)="Aylık",EOMONTH(INDEX(UCRETLER!$D$7:$D$406,$U181),$V181-1),INDEX(UCRETLER!$D$7:$D$406,$U181)+MOD(SISTEM!$F$8-WEEKDAY(INDEX(UCRETLER!$D$7:$D$406,$U181),2),7)+7*($V181-1))))</f>
        <v/>
      </c>
      <c r="X181" s="3">
        <f>IF($U181=0,0,INDEX(UCRETLER!$G$7:$G$406,$U181))</f>
        <v/>
      </c>
      <c r="Y181" s="3">
        <f>IFERROR(SMALL($T$12:$T$432,ROW()-11),"")</f>
        <v/>
      </c>
      <c r="Z181" s="3">
        <f>IFERROR(MATCH($Y181,$T$12:$T$432,0),"")</f>
        <v/>
      </c>
      <c r="AA181" s="3" t="n"/>
      <c r="AB181" s="3" t="n"/>
      <c r="AC181" s="3" t="n"/>
      <c r="AD181" s="3" t="n"/>
    </row>
    <row r="182">
      <c r="A182" s="6" t="n"/>
      <c r="B182" s="153">
        <f>IF($C182="","",ROW()-11)</f>
        <v/>
      </c>
      <c r="C182" s="240">
        <f>IF($Z182="","",IF(INDEX($N$12:$N$432,$Z182)="","",INDEX($N$12:$N$432,$Z182)))</f>
        <v/>
      </c>
      <c r="D182" s="29">
        <f>IF($C182="","",INDEX($O$12:$O$432,$Z182))</f>
        <v/>
      </c>
      <c r="E182" s="153">
        <f>IF($C182="","",INDEX($P$12:$P$432,$Z182))</f>
        <v/>
      </c>
      <c r="F182" s="241">
        <f>IF($C182="","",INDEX($R$12:$R$432,$Z182))</f>
        <v/>
      </c>
      <c r="G182" s="241">
        <f>IF($C182="","",INDEX($S$12:$S$432,$Z182))</f>
        <v/>
      </c>
      <c r="H182" s="241">
        <f>IF($C182="","",N($H181)+$F182-$G182)</f>
        <v/>
      </c>
      <c r="I182" s="6" t="n"/>
      <c r="J182" s="6" t="n"/>
      <c r="K182" s="3" t="n"/>
      <c r="L182" s="3" t="n"/>
      <c r="M182" s="3" t="n">
        <v>171</v>
      </c>
      <c r="N182" s="3">
        <f>IF(OR($U182=0,$W182="",$X182&lt;=0),"",IF($W182&gt;TODAY(),"",IF(AND(INDEX(UCRETLER!$E$7:$E$406,$U182)&lt;&gt;"",$W182&gt;INDEX(UCRETLER!$E$7:$E$406,$U182)),"",$W182)))</f>
        <v/>
      </c>
      <c r="O182" s="3">
        <f>IF($N182="","",IF(INDEX(UCRETLER!$F$7:$F$406,$U182)="Aylık",CHOOSE(MONTH($N182),"Ocak","Şubat","Mart","Nisan","Mayıs","Haziran","Temmuz","Ağustos","Eylül","Ekim","Kasım","Aralık")&amp;" "&amp;YEAR($N182)&amp;" aylık muhasebe hizmet ücreti",RIGHT("0"&amp;DAY($N182),2)&amp;"."&amp;RIGHT("0"&amp;MONTH($N182),2)&amp;"."&amp;YEAR($N182)&amp;" haftalık muhasebe hizmet ücreti"))</f>
        <v/>
      </c>
      <c r="P182" s="3">
        <f>IF($N182="","","TAHAKKUK")</f>
        <v/>
      </c>
      <c r="Q182" s="3" t="n"/>
      <c r="R182" s="3">
        <f>IF($N182="",0,$X182)</f>
        <v/>
      </c>
      <c r="S182" s="3" t="n">
        <v>0</v>
      </c>
      <c r="T182" s="3">
        <f>IF($N182="",10000000000,$N182*100000+$M182)</f>
        <v/>
      </c>
      <c r="U182" s="3">
        <f>$AB$6</f>
        <v/>
      </c>
      <c r="V182" s="3" t="n">
        <v>10</v>
      </c>
      <c r="W182" s="3">
        <f>IF($U182=0,"",IF(INDEX(UCRETLER!$D$7:$D$406,$U182)="","",IF(INDEX(UCRETLER!$F$7:$F$406,$U182)="Aylık",EOMONTH(INDEX(UCRETLER!$D$7:$D$406,$U182),$V182-1),INDEX(UCRETLER!$D$7:$D$406,$U182)+MOD(SISTEM!$F$8-WEEKDAY(INDEX(UCRETLER!$D$7:$D$406,$U182),2),7)+7*($V182-1))))</f>
        <v/>
      </c>
      <c r="X182" s="3">
        <f>IF($U182=0,0,INDEX(UCRETLER!$G$7:$G$406,$U182))</f>
        <v/>
      </c>
      <c r="Y182" s="3">
        <f>IFERROR(SMALL($T$12:$T$432,ROW()-11),"")</f>
        <v/>
      </c>
      <c r="Z182" s="3">
        <f>IFERROR(MATCH($Y182,$T$12:$T$432,0),"")</f>
        <v/>
      </c>
      <c r="AA182" s="3" t="n"/>
      <c r="AB182" s="3" t="n"/>
      <c r="AC182" s="3" t="n"/>
      <c r="AD182" s="3" t="n"/>
    </row>
    <row r="183">
      <c r="A183" s="6" t="n"/>
      <c r="B183" s="153">
        <f>IF($C183="","",ROW()-11)</f>
        <v/>
      </c>
      <c r="C183" s="240">
        <f>IF($Z183="","",IF(INDEX($N$12:$N$432,$Z183)="","",INDEX($N$12:$N$432,$Z183)))</f>
        <v/>
      </c>
      <c r="D183" s="29">
        <f>IF($C183="","",INDEX($O$12:$O$432,$Z183))</f>
        <v/>
      </c>
      <c r="E183" s="153">
        <f>IF($C183="","",INDEX($P$12:$P$432,$Z183))</f>
        <v/>
      </c>
      <c r="F183" s="241">
        <f>IF($C183="","",INDEX($R$12:$R$432,$Z183))</f>
        <v/>
      </c>
      <c r="G183" s="241">
        <f>IF($C183="","",INDEX($S$12:$S$432,$Z183))</f>
        <v/>
      </c>
      <c r="H183" s="241">
        <f>IF($C183="","",N($H182)+$F183-$G183)</f>
        <v/>
      </c>
      <c r="I183" s="6" t="n"/>
      <c r="J183" s="6" t="n"/>
      <c r="K183" s="3" t="n"/>
      <c r="L183" s="3" t="n"/>
      <c r="M183" s="3" t="n">
        <v>172</v>
      </c>
      <c r="N183" s="3">
        <f>IF(OR($U183=0,$W183="",$X183&lt;=0),"",IF($W183&gt;TODAY(),"",IF(AND(INDEX(UCRETLER!$E$7:$E$406,$U183)&lt;&gt;"",$W183&gt;INDEX(UCRETLER!$E$7:$E$406,$U183)),"",$W183)))</f>
        <v/>
      </c>
      <c r="O183" s="3">
        <f>IF($N183="","",IF(INDEX(UCRETLER!$F$7:$F$406,$U183)="Aylık",CHOOSE(MONTH($N183),"Ocak","Şubat","Mart","Nisan","Mayıs","Haziran","Temmuz","Ağustos","Eylül","Ekim","Kasım","Aralık")&amp;" "&amp;YEAR($N183)&amp;" aylık muhasebe hizmet ücreti",RIGHT("0"&amp;DAY($N183),2)&amp;"."&amp;RIGHT("0"&amp;MONTH($N183),2)&amp;"."&amp;YEAR($N183)&amp;" haftalık muhasebe hizmet ücreti"))</f>
        <v/>
      </c>
      <c r="P183" s="3">
        <f>IF($N183="","","TAHAKKUK")</f>
        <v/>
      </c>
      <c r="Q183" s="3" t="n"/>
      <c r="R183" s="3">
        <f>IF($N183="",0,$X183)</f>
        <v/>
      </c>
      <c r="S183" s="3" t="n">
        <v>0</v>
      </c>
      <c r="T183" s="3">
        <f>IF($N183="",10000000000,$N183*100000+$M183)</f>
        <v/>
      </c>
      <c r="U183" s="3">
        <f>$AB$6</f>
        <v/>
      </c>
      <c r="V183" s="3" t="n">
        <v>11</v>
      </c>
      <c r="W183" s="3">
        <f>IF($U183=0,"",IF(INDEX(UCRETLER!$D$7:$D$406,$U183)="","",IF(INDEX(UCRETLER!$F$7:$F$406,$U183)="Aylık",EOMONTH(INDEX(UCRETLER!$D$7:$D$406,$U183),$V183-1),INDEX(UCRETLER!$D$7:$D$406,$U183)+MOD(SISTEM!$F$8-WEEKDAY(INDEX(UCRETLER!$D$7:$D$406,$U183),2),7)+7*($V183-1))))</f>
        <v/>
      </c>
      <c r="X183" s="3">
        <f>IF($U183=0,0,INDEX(UCRETLER!$G$7:$G$406,$U183))</f>
        <v/>
      </c>
      <c r="Y183" s="3">
        <f>IFERROR(SMALL($T$12:$T$432,ROW()-11),"")</f>
        <v/>
      </c>
      <c r="Z183" s="3">
        <f>IFERROR(MATCH($Y183,$T$12:$T$432,0),"")</f>
        <v/>
      </c>
      <c r="AA183" s="3" t="n"/>
      <c r="AB183" s="3" t="n"/>
      <c r="AC183" s="3" t="n"/>
      <c r="AD183" s="3" t="n"/>
    </row>
    <row r="184">
      <c r="A184" s="6" t="n"/>
      <c r="B184" s="153">
        <f>IF($C184="","",ROW()-11)</f>
        <v/>
      </c>
      <c r="C184" s="240">
        <f>IF($Z184="","",IF(INDEX($N$12:$N$432,$Z184)="","",INDEX($N$12:$N$432,$Z184)))</f>
        <v/>
      </c>
      <c r="D184" s="29">
        <f>IF($C184="","",INDEX($O$12:$O$432,$Z184))</f>
        <v/>
      </c>
      <c r="E184" s="153">
        <f>IF($C184="","",INDEX($P$12:$P$432,$Z184))</f>
        <v/>
      </c>
      <c r="F184" s="241">
        <f>IF($C184="","",INDEX($R$12:$R$432,$Z184))</f>
        <v/>
      </c>
      <c r="G184" s="241">
        <f>IF($C184="","",INDEX($S$12:$S$432,$Z184))</f>
        <v/>
      </c>
      <c r="H184" s="241">
        <f>IF($C184="","",N($H183)+$F184-$G184)</f>
        <v/>
      </c>
      <c r="I184" s="6" t="n"/>
      <c r="J184" s="6" t="n"/>
      <c r="K184" s="3" t="n"/>
      <c r="L184" s="3" t="n"/>
      <c r="M184" s="3" t="n">
        <v>173</v>
      </c>
      <c r="N184" s="3">
        <f>IF(OR($U184=0,$W184="",$X184&lt;=0),"",IF($W184&gt;TODAY(),"",IF(AND(INDEX(UCRETLER!$E$7:$E$406,$U184)&lt;&gt;"",$W184&gt;INDEX(UCRETLER!$E$7:$E$406,$U184)),"",$W184)))</f>
        <v/>
      </c>
      <c r="O184" s="3">
        <f>IF($N184="","",IF(INDEX(UCRETLER!$F$7:$F$406,$U184)="Aylık",CHOOSE(MONTH($N184),"Ocak","Şubat","Mart","Nisan","Mayıs","Haziran","Temmuz","Ağustos","Eylül","Ekim","Kasım","Aralık")&amp;" "&amp;YEAR($N184)&amp;" aylık muhasebe hizmet ücreti",RIGHT("0"&amp;DAY($N184),2)&amp;"."&amp;RIGHT("0"&amp;MONTH($N184),2)&amp;"."&amp;YEAR($N184)&amp;" haftalık muhasebe hizmet ücreti"))</f>
        <v/>
      </c>
      <c r="P184" s="3">
        <f>IF($N184="","","TAHAKKUK")</f>
        <v/>
      </c>
      <c r="Q184" s="3" t="n"/>
      <c r="R184" s="3">
        <f>IF($N184="",0,$X184)</f>
        <v/>
      </c>
      <c r="S184" s="3" t="n">
        <v>0</v>
      </c>
      <c r="T184" s="3">
        <f>IF($N184="",10000000000,$N184*100000+$M184)</f>
        <v/>
      </c>
      <c r="U184" s="3">
        <f>$AB$6</f>
        <v/>
      </c>
      <c r="V184" s="3" t="n">
        <v>12</v>
      </c>
      <c r="W184" s="3">
        <f>IF($U184=0,"",IF(INDEX(UCRETLER!$D$7:$D$406,$U184)="","",IF(INDEX(UCRETLER!$F$7:$F$406,$U184)="Aylık",EOMONTH(INDEX(UCRETLER!$D$7:$D$406,$U184),$V184-1),INDEX(UCRETLER!$D$7:$D$406,$U184)+MOD(SISTEM!$F$8-WEEKDAY(INDEX(UCRETLER!$D$7:$D$406,$U184),2),7)+7*($V184-1))))</f>
        <v/>
      </c>
      <c r="X184" s="3">
        <f>IF($U184=0,0,INDEX(UCRETLER!$G$7:$G$406,$U184))</f>
        <v/>
      </c>
      <c r="Y184" s="3">
        <f>IFERROR(SMALL($T$12:$T$432,ROW()-11),"")</f>
        <v/>
      </c>
      <c r="Z184" s="3">
        <f>IFERROR(MATCH($Y184,$T$12:$T$432,0),"")</f>
        <v/>
      </c>
      <c r="AA184" s="3" t="n"/>
      <c r="AB184" s="3" t="n"/>
      <c r="AC184" s="3" t="n"/>
      <c r="AD184" s="3" t="n"/>
    </row>
    <row r="185">
      <c r="A185" s="6" t="n"/>
      <c r="B185" s="153">
        <f>IF($C185="","",ROW()-11)</f>
        <v/>
      </c>
      <c r="C185" s="240">
        <f>IF($Z185="","",IF(INDEX($N$12:$N$432,$Z185)="","",INDEX($N$12:$N$432,$Z185)))</f>
        <v/>
      </c>
      <c r="D185" s="29">
        <f>IF($C185="","",INDEX($O$12:$O$432,$Z185))</f>
        <v/>
      </c>
      <c r="E185" s="153">
        <f>IF($C185="","",INDEX($P$12:$P$432,$Z185))</f>
        <v/>
      </c>
      <c r="F185" s="241">
        <f>IF($C185="","",INDEX($R$12:$R$432,$Z185))</f>
        <v/>
      </c>
      <c r="G185" s="241">
        <f>IF($C185="","",INDEX($S$12:$S$432,$Z185))</f>
        <v/>
      </c>
      <c r="H185" s="241">
        <f>IF($C185="","",N($H184)+$F185-$G185)</f>
        <v/>
      </c>
      <c r="I185" s="6" t="n"/>
      <c r="J185" s="6" t="n"/>
      <c r="K185" s="3" t="n"/>
      <c r="L185" s="3" t="n"/>
      <c r="M185" s="3" t="n">
        <v>174</v>
      </c>
      <c r="N185" s="3">
        <f>IF(OR($U185=0,$W185="",$X185&lt;=0),"",IF($W185&gt;TODAY(),"",IF(AND(INDEX(UCRETLER!$E$7:$E$406,$U185)&lt;&gt;"",$W185&gt;INDEX(UCRETLER!$E$7:$E$406,$U185)),"",$W185)))</f>
        <v/>
      </c>
      <c r="O185" s="3">
        <f>IF($N185="","",IF(INDEX(UCRETLER!$F$7:$F$406,$U185)="Aylık",CHOOSE(MONTH($N185),"Ocak","Şubat","Mart","Nisan","Mayıs","Haziran","Temmuz","Ağustos","Eylül","Ekim","Kasım","Aralık")&amp;" "&amp;YEAR($N185)&amp;" aylık muhasebe hizmet ücreti",RIGHT("0"&amp;DAY($N185),2)&amp;"."&amp;RIGHT("0"&amp;MONTH($N185),2)&amp;"."&amp;YEAR($N185)&amp;" haftalık muhasebe hizmet ücreti"))</f>
        <v/>
      </c>
      <c r="P185" s="3">
        <f>IF($N185="","","TAHAKKUK")</f>
        <v/>
      </c>
      <c r="Q185" s="3" t="n"/>
      <c r="R185" s="3">
        <f>IF($N185="",0,$X185)</f>
        <v/>
      </c>
      <c r="S185" s="3" t="n">
        <v>0</v>
      </c>
      <c r="T185" s="3">
        <f>IF($N185="",10000000000,$N185*100000+$M185)</f>
        <v/>
      </c>
      <c r="U185" s="3">
        <f>$AB$6</f>
        <v/>
      </c>
      <c r="V185" s="3" t="n">
        <v>13</v>
      </c>
      <c r="W185" s="3">
        <f>IF($U185=0,"",IF(INDEX(UCRETLER!$D$7:$D$406,$U185)="","",IF(INDEX(UCRETLER!$F$7:$F$406,$U185)="Aylık",EOMONTH(INDEX(UCRETLER!$D$7:$D$406,$U185),$V185-1),INDEX(UCRETLER!$D$7:$D$406,$U185)+MOD(SISTEM!$F$8-WEEKDAY(INDEX(UCRETLER!$D$7:$D$406,$U185),2),7)+7*($V185-1))))</f>
        <v/>
      </c>
      <c r="X185" s="3">
        <f>IF($U185=0,0,INDEX(UCRETLER!$G$7:$G$406,$U185))</f>
        <v/>
      </c>
      <c r="Y185" s="3">
        <f>IFERROR(SMALL($T$12:$T$432,ROW()-11),"")</f>
        <v/>
      </c>
      <c r="Z185" s="3">
        <f>IFERROR(MATCH($Y185,$T$12:$T$432,0),"")</f>
        <v/>
      </c>
      <c r="AA185" s="3" t="n"/>
      <c r="AB185" s="3" t="n"/>
      <c r="AC185" s="3" t="n"/>
      <c r="AD185" s="3" t="n"/>
    </row>
    <row r="186">
      <c r="A186" s="6" t="n"/>
      <c r="B186" s="153">
        <f>IF($C186="","",ROW()-11)</f>
        <v/>
      </c>
      <c r="C186" s="240">
        <f>IF($Z186="","",IF(INDEX($N$12:$N$432,$Z186)="","",INDEX($N$12:$N$432,$Z186)))</f>
        <v/>
      </c>
      <c r="D186" s="29">
        <f>IF($C186="","",INDEX($O$12:$O$432,$Z186))</f>
        <v/>
      </c>
      <c r="E186" s="153">
        <f>IF($C186="","",INDEX($P$12:$P$432,$Z186))</f>
        <v/>
      </c>
      <c r="F186" s="241">
        <f>IF($C186="","",INDEX($R$12:$R$432,$Z186))</f>
        <v/>
      </c>
      <c r="G186" s="241">
        <f>IF($C186="","",INDEX($S$12:$S$432,$Z186))</f>
        <v/>
      </c>
      <c r="H186" s="241">
        <f>IF($C186="","",N($H185)+$F186-$G186)</f>
        <v/>
      </c>
      <c r="I186" s="6" t="n"/>
      <c r="J186" s="6" t="n"/>
      <c r="K186" s="3" t="n"/>
      <c r="L186" s="3" t="n"/>
      <c r="M186" s="3" t="n">
        <v>175</v>
      </c>
      <c r="N186" s="3">
        <f>IF(OR($U186=0,$W186="",$X186&lt;=0),"",IF($W186&gt;TODAY(),"",IF(AND(INDEX(UCRETLER!$E$7:$E$406,$U186)&lt;&gt;"",$W186&gt;INDEX(UCRETLER!$E$7:$E$406,$U186)),"",$W186)))</f>
        <v/>
      </c>
      <c r="O186" s="3">
        <f>IF($N186="","",IF(INDEX(UCRETLER!$F$7:$F$406,$U186)="Aylık",CHOOSE(MONTH($N186),"Ocak","Şubat","Mart","Nisan","Mayıs","Haziran","Temmuz","Ağustos","Eylül","Ekim","Kasım","Aralık")&amp;" "&amp;YEAR($N186)&amp;" aylık muhasebe hizmet ücreti",RIGHT("0"&amp;DAY($N186),2)&amp;"."&amp;RIGHT("0"&amp;MONTH($N186),2)&amp;"."&amp;YEAR($N186)&amp;" haftalık muhasebe hizmet ücreti"))</f>
        <v/>
      </c>
      <c r="P186" s="3">
        <f>IF($N186="","","TAHAKKUK")</f>
        <v/>
      </c>
      <c r="Q186" s="3" t="n"/>
      <c r="R186" s="3">
        <f>IF($N186="",0,$X186)</f>
        <v/>
      </c>
      <c r="S186" s="3" t="n">
        <v>0</v>
      </c>
      <c r="T186" s="3">
        <f>IF($N186="",10000000000,$N186*100000+$M186)</f>
        <v/>
      </c>
      <c r="U186" s="3">
        <f>$AB$6</f>
        <v/>
      </c>
      <c r="V186" s="3" t="n">
        <v>14</v>
      </c>
      <c r="W186" s="3">
        <f>IF($U186=0,"",IF(INDEX(UCRETLER!$D$7:$D$406,$U186)="","",IF(INDEX(UCRETLER!$F$7:$F$406,$U186)="Aylık",EOMONTH(INDEX(UCRETLER!$D$7:$D$406,$U186),$V186-1),INDEX(UCRETLER!$D$7:$D$406,$U186)+MOD(SISTEM!$F$8-WEEKDAY(INDEX(UCRETLER!$D$7:$D$406,$U186),2),7)+7*($V186-1))))</f>
        <v/>
      </c>
      <c r="X186" s="3">
        <f>IF($U186=0,0,INDEX(UCRETLER!$G$7:$G$406,$U186))</f>
        <v/>
      </c>
      <c r="Y186" s="3">
        <f>IFERROR(SMALL($T$12:$T$432,ROW()-11),"")</f>
        <v/>
      </c>
      <c r="Z186" s="3">
        <f>IFERROR(MATCH($Y186,$T$12:$T$432,0),"")</f>
        <v/>
      </c>
      <c r="AA186" s="3" t="n"/>
      <c r="AB186" s="3" t="n"/>
      <c r="AC186" s="3" t="n"/>
      <c r="AD186" s="3" t="n"/>
    </row>
    <row r="187">
      <c r="A187" s="6" t="n"/>
      <c r="B187" s="153">
        <f>IF($C187="","",ROW()-11)</f>
        <v/>
      </c>
      <c r="C187" s="240">
        <f>IF($Z187="","",IF(INDEX($N$12:$N$432,$Z187)="","",INDEX($N$12:$N$432,$Z187)))</f>
        <v/>
      </c>
      <c r="D187" s="29">
        <f>IF($C187="","",INDEX($O$12:$O$432,$Z187))</f>
        <v/>
      </c>
      <c r="E187" s="153">
        <f>IF($C187="","",INDEX($P$12:$P$432,$Z187))</f>
        <v/>
      </c>
      <c r="F187" s="241">
        <f>IF($C187="","",INDEX($R$12:$R$432,$Z187))</f>
        <v/>
      </c>
      <c r="G187" s="241">
        <f>IF($C187="","",INDEX($S$12:$S$432,$Z187))</f>
        <v/>
      </c>
      <c r="H187" s="241">
        <f>IF($C187="","",N($H186)+$F187-$G187)</f>
        <v/>
      </c>
      <c r="I187" s="6" t="n"/>
      <c r="J187" s="6" t="n"/>
      <c r="K187" s="3" t="n"/>
      <c r="L187" s="3" t="n"/>
      <c r="M187" s="3" t="n">
        <v>176</v>
      </c>
      <c r="N187" s="3">
        <f>IF(OR($U187=0,$W187="",$X187&lt;=0),"",IF($W187&gt;TODAY(),"",IF(AND(INDEX(UCRETLER!$E$7:$E$406,$U187)&lt;&gt;"",$W187&gt;INDEX(UCRETLER!$E$7:$E$406,$U187)),"",$W187)))</f>
        <v/>
      </c>
      <c r="O187" s="3">
        <f>IF($N187="","",IF(INDEX(UCRETLER!$F$7:$F$406,$U187)="Aylık",CHOOSE(MONTH($N187),"Ocak","Şubat","Mart","Nisan","Mayıs","Haziran","Temmuz","Ağustos","Eylül","Ekim","Kasım","Aralık")&amp;" "&amp;YEAR($N187)&amp;" aylık muhasebe hizmet ücreti",RIGHT("0"&amp;DAY($N187),2)&amp;"."&amp;RIGHT("0"&amp;MONTH($N187),2)&amp;"."&amp;YEAR($N187)&amp;" haftalık muhasebe hizmet ücreti"))</f>
        <v/>
      </c>
      <c r="P187" s="3">
        <f>IF($N187="","","TAHAKKUK")</f>
        <v/>
      </c>
      <c r="Q187" s="3" t="n"/>
      <c r="R187" s="3">
        <f>IF($N187="",0,$X187)</f>
        <v/>
      </c>
      <c r="S187" s="3" t="n">
        <v>0</v>
      </c>
      <c r="T187" s="3">
        <f>IF($N187="",10000000000,$N187*100000+$M187)</f>
        <v/>
      </c>
      <c r="U187" s="3">
        <f>$AB$6</f>
        <v/>
      </c>
      <c r="V187" s="3" t="n">
        <v>15</v>
      </c>
      <c r="W187" s="3">
        <f>IF($U187=0,"",IF(INDEX(UCRETLER!$D$7:$D$406,$U187)="","",IF(INDEX(UCRETLER!$F$7:$F$406,$U187)="Aylık",EOMONTH(INDEX(UCRETLER!$D$7:$D$406,$U187),$V187-1),INDEX(UCRETLER!$D$7:$D$406,$U187)+MOD(SISTEM!$F$8-WEEKDAY(INDEX(UCRETLER!$D$7:$D$406,$U187),2),7)+7*($V187-1))))</f>
        <v/>
      </c>
      <c r="X187" s="3">
        <f>IF($U187=0,0,INDEX(UCRETLER!$G$7:$G$406,$U187))</f>
        <v/>
      </c>
      <c r="Y187" s="3">
        <f>IFERROR(SMALL($T$12:$T$432,ROW()-11),"")</f>
        <v/>
      </c>
      <c r="Z187" s="3">
        <f>IFERROR(MATCH($Y187,$T$12:$T$432,0),"")</f>
        <v/>
      </c>
      <c r="AA187" s="3" t="n"/>
      <c r="AB187" s="3" t="n"/>
      <c r="AC187" s="3" t="n"/>
      <c r="AD187" s="3" t="n"/>
    </row>
    <row r="188">
      <c r="A188" s="6" t="n"/>
      <c r="B188" s="153">
        <f>IF($C188="","",ROW()-11)</f>
        <v/>
      </c>
      <c r="C188" s="240">
        <f>IF($Z188="","",IF(INDEX($N$12:$N$432,$Z188)="","",INDEX($N$12:$N$432,$Z188)))</f>
        <v/>
      </c>
      <c r="D188" s="29">
        <f>IF($C188="","",INDEX($O$12:$O$432,$Z188))</f>
        <v/>
      </c>
      <c r="E188" s="153">
        <f>IF($C188="","",INDEX($P$12:$P$432,$Z188))</f>
        <v/>
      </c>
      <c r="F188" s="241">
        <f>IF($C188="","",INDEX($R$12:$R$432,$Z188))</f>
        <v/>
      </c>
      <c r="G188" s="241">
        <f>IF($C188="","",INDEX($S$12:$S$432,$Z188))</f>
        <v/>
      </c>
      <c r="H188" s="241">
        <f>IF($C188="","",N($H187)+$F188-$G188)</f>
        <v/>
      </c>
      <c r="I188" s="6" t="n"/>
      <c r="J188" s="6" t="n"/>
      <c r="K188" s="3" t="n"/>
      <c r="L188" s="3" t="n"/>
      <c r="M188" s="3" t="n">
        <v>177</v>
      </c>
      <c r="N188" s="3">
        <f>IF(OR($U188=0,$W188="",$X188&lt;=0),"",IF($W188&gt;TODAY(),"",IF(AND(INDEX(UCRETLER!$E$7:$E$406,$U188)&lt;&gt;"",$W188&gt;INDEX(UCRETLER!$E$7:$E$406,$U188)),"",$W188)))</f>
        <v/>
      </c>
      <c r="O188" s="3">
        <f>IF($N188="","",IF(INDEX(UCRETLER!$F$7:$F$406,$U188)="Aylık",CHOOSE(MONTH($N188),"Ocak","Şubat","Mart","Nisan","Mayıs","Haziran","Temmuz","Ağustos","Eylül","Ekim","Kasım","Aralık")&amp;" "&amp;YEAR($N188)&amp;" aylık muhasebe hizmet ücreti",RIGHT("0"&amp;DAY($N188),2)&amp;"."&amp;RIGHT("0"&amp;MONTH($N188),2)&amp;"."&amp;YEAR($N188)&amp;" haftalık muhasebe hizmet ücreti"))</f>
        <v/>
      </c>
      <c r="P188" s="3">
        <f>IF($N188="","","TAHAKKUK")</f>
        <v/>
      </c>
      <c r="Q188" s="3" t="n"/>
      <c r="R188" s="3">
        <f>IF($N188="",0,$X188)</f>
        <v/>
      </c>
      <c r="S188" s="3" t="n">
        <v>0</v>
      </c>
      <c r="T188" s="3">
        <f>IF($N188="",10000000000,$N188*100000+$M188)</f>
        <v/>
      </c>
      <c r="U188" s="3">
        <f>$AB$6</f>
        <v/>
      </c>
      <c r="V188" s="3" t="n">
        <v>16</v>
      </c>
      <c r="W188" s="3">
        <f>IF($U188=0,"",IF(INDEX(UCRETLER!$D$7:$D$406,$U188)="","",IF(INDEX(UCRETLER!$F$7:$F$406,$U188)="Aylık",EOMONTH(INDEX(UCRETLER!$D$7:$D$406,$U188),$V188-1),INDEX(UCRETLER!$D$7:$D$406,$U188)+MOD(SISTEM!$F$8-WEEKDAY(INDEX(UCRETLER!$D$7:$D$406,$U188),2),7)+7*($V188-1))))</f>
        <v/>
      </c>
      <c r="X188" s="3">
        <f>IF($U188=0,0,INDEX(UCRETLER!$G$7:$G$406,$U188))</f>
        <v/>
      </c>
      <c r="Y188" s="3">
        <f>IFERROR(SMALL($T$12:$T$432,ROW()-11),"")</f>
        <v/>
      </c>
      <c r="Z188" s="3">
        <f>IFERROR(MATCH($Y188,$T$12:$T$432,0),"")</f>
        <v/>
      </c>
      <c r="AA188" s="3" t="n"/>
      <c r="AB188" s="3" t="n"/>
      <c r="AC188" s="3" t="n"/>
      <c r="AD188" s="3" t="n"/>
    </row>
    <row r="189">
      <c r="A189" s="6" t="n"/>
      <c r="B189" s="153">
        <f>IF($C189="","",ROW()-11)</f>
        <v/>
      </c>
      <c r="C189" s="240">
        <f>IF($Z189="","",IF(INDEX($N$12:$N$432,$Z189)="","",INDEX($N$12:$N$432,$Z189)))</f>
        <v/>
      </c>
      <c r="D189" s="29">
        <f>IF($C189="","",INDEX($O$12:$O$432,$Z189))</f>
        <v/>
      </c>
      <c r="E189" s="153">
        <f>IF($C189="","",INDEX($P$12:$P$432,$Z189))</f>
        <v/>
      </c>
      <c r="F189" s="241">
        <f>IF($C189="","",INDEX($R$12:$R$432,$Z189))</f>
        <v/>
      </c>
      <c r="G189" s="241">
        <f>IF($C189="","",INDEX($S$12:$S$432,$Z189))</f>
        <v/>
      </c>
      <c r="H189" s="241">
        <f>IF($C189="","",N($H188)+$F189-$G189)</f>
        <v/>
      </c>
      <c r="I189" s="6" t="n"/>
      <c r="J189" s="6" t="n"/>
      <c r="K189" s="3" t="n"/>
      <c r="L189" s="3" t="n"/>
      <c r="M189" s="3" t="n">
        <v>178</v>
      </c>
      <c r="N189" s="3">
        <f>IF(OR($U189=0,$W189="",$X189&lt;=0),"",IF($W189&gt;TODAY(),"",IF(AND(INDEX(UCRETLER!$E$7:$E$406,$U189)&lt;&gt;"",$W189&gt;INDEX(UCRETLER!$E$7:$E$406,$U189)),"",$W189)))</f>
        <v/>
      </c>
      <c r="O189" s="3">
        <f>IF($N189="","",IF(INDEX(UCRETLER!$F$7:$F$406,$U189)="Aylık",CHOOSE(MONTH($N189),"Ocak","Şubat","Mart","Nisan","Mayıs","Haziran","Temmuz","Ağustos","Eylül","Ekim","Kasım","Aralık")&amp;" "&amp;YEAR($N189)&amp;" aylık muhasebe hizmet ücreti",RIGHT("0"&amp;DAY($N189),2)&amp;"."&amp;RIGHT("0"&amp;MONTH($N189),2)&amp;"."&amp;YEAR($N189)&amp;" haftalık muhasebe hizmet ücreti"))</f>
        <v/>
      </c>
      <c r="P189" s="3">
        <f>IF($N189="","","TAHAKKUK")</f>
        <v/>
      </c>
      <c r="Q189" s="3" t="n"/>
      <c r="R189" s="3">
        <f>IF($N189="",0,$X189)</f>
        <v/>
      </c>
      <c r="S189" s="3" t="n">
        <v>0</v>
      </c>
      <c r="T189" s="3">
        <f>IF($N189="",10000000000,$N189*100000+$M189)</f>
        <v/>
      </c>
      <c r="U189" s="3">
        <f>$AB$6</f>
        <v/>
      </c>
      <c r="V189" s="3" t="n">
        <v>17</v>
      </c>
      <c r="W189" s="3">
        <f>IF($U189=0,"",IF(INDEX(UCRETLER!$D$7:$D$406,$U189)="","",IF(INDEX(UCRETLER!$F$7:$F$406,$U189)="Aylık",EOMONTH(INDEX(UCRETLER!$D$7:$D$406,$U189),$V189-1),INDEX(UCRETLER!$D$7:$D$406,$U189)+MOD(SISTEM!$F$8-WEEKDAY(INDEX(UCRETLER!$D$7:$D$406,$U189),2),7)+7*($V189-1))))</f>
        <v/>
      </c>
      <c r="X189" s="3">
        <f>IF($U189=0,0,INDEX(UCRETLER!$G$7:$G$406,$U189))</f>
        <v/>
      </c>
      <c r="Y189" s="3">
        <f>IFERROR(SMALL($T$12:$T$432,ROW()-11),"")</f>
        <v/>
      </c>
      <c r="Z189" s="3">
        <f>IFERROR(MATCH($Y189,$T$12:$T$432,0),"")</f>
        <v/>
      </c>
      <c r="AA189" s="3" t="n"/>
      <c r="AB189" s="3" t="n"/>
      <c r="AC189" s="3" t="n"/>
      <c r="AD189" s="3" t="n"/>
    </row>
    <row r="190">
      <c r="A190" s="6" t="n"/>
      <c r="B190" s="153">
        <f>IF($C190="","",ROW()-11)</f>
        <v/>
      </c>
      <c r="C190" s="240">
        <f>IF($Z190="","",IF(INDEX($N$12:$N$432,$Z190)="","",INDEX($N$12:$N$432,$Z190)))</f>
        <v/>
      </c>
      <c r="D190" s="29">
        <f>IF($C190="","",INDEX($O$12:$O$432,$Z190))</f>
        <v/>
      </c>
      <c r="E190" s="153">
        <f>IF($C190="","",INDEX($P$12:$P$432,$Z190))</f>
        <v/>
      </c>
      <c r="F190" s="241">
        <f>IF($C190="","",INDEX($R$12:$R$432,$Z190))</f>
        <v/>
      </c>
      <c r="G190" s="241">
        <f>IF($C190="","",INDEX($S$12:$S$432,$Z190))</f>
        <v/>
      </c>
      <c r="H190" s="241">
        <f>IF($C190="","",N($H189)+$F190-$G190)</f>
        <v/>
      </c>
      <c r="I190" s="6" t="n"/>
      <c r="J190" s="6" t="n"/>
      <c r="K190" s="3" t="n"/>
      <c r="L190" s="3" t="n"/>
      <c r="M190" s="3" t="n">
        <v>179</v>
      </c>
      <c r="N190" s="3">
        <f>IF(OR($U190=0,$W190="",$X190&lt;=0),"",IF($W190&gt;TODAY(),"",IF(AND(INDEX(UCRETLER!$E$7:$E$406,$U190)&lt;&gt;"",$W190&gt;INDEX(UCRETLER!$E$7:$E$406,$U190)),"",$W190)))</f>
        <v/>
      </c>
      <c r="O190" s="3">
        <f>IF($N190="","",IF(INDEX(UCRETLER!$F$7:$F$406,$U190)="Aylık",CHOOSE(MONTH($N190),"Ocak","Şubat","Mart","Nisan","Mayıs","Haziran","Temmuz","Ağustos","Eylül","Ekim","Kasım","Aralık")&amp;" "&amp;YEAR($N190)&amp;" aylık muhasebe hizmet ücreti",RIGHT("0"&amp;DAY($N190),2)&amp;"."&amp;RIGHT("0"&amp;MONTH($N190),2)&amp;"."&amp;YEAR($N190)&amp;" haftalık muhasebe hizmet ücreti"))</f>
        <v/>
      </c>
      <c r="P190" s="3">
        <f>IF($N190="","","TAHAKKUK")</f>
        <v/>
      </c>
      <c r="Q190" s="3" t="n"/>
      <c r="R190" s="3">
        <f>IF($N190="",0,$X190)</f>
        <v/>
      </c>
      <c r="S190" s="3" t="n">
        <v>0</v>
      </c>
      <c r="T190" s="3">
        <f>IF($N190="",10000000000,$N190*100000+$M190)</f>
        <v/>
      </c>
      <c r="U190" s="3">
        <f>$AB$6</f>
        <v/>
      </c>
      <c r="V190" s="3" t="n">
        <v>18</v>
      </c>
      <c r="W190" s="3">
        <f>IF($U190=0,"",IF(INDEX(UCRETLER!$D$7:$D$406,$U190)="","",IF(INDEX(UCRETLER!$F$7:$F$406,$U190)="Aylık",EOMONTH(INDEX(UCRETLER!$D$7:$D$406,$U190),$V190-1),INDEX(UCRETLER!$D$7:$D$406,$U190)+MOD(SISTEM!$F$8-WEEKDAY(INDEX(UCRETLER!$D$7:$D$406,$U190),2),7)+7*($V190-1))))</f>
        <v/>
      </c>
      <c r="X190" s="3">
        <f>IF($U190=0,0,INDEX(UCRETLER!$G$7:$G$406,$U190))</f>
        <v/>
      </c>
      <c r="Y190" s="3">
        <f>IFERROR(SMALL($T$12:$T$432,ROW()-11),"")</f>
        <v/>
      </c>
      <c r="Z190" s="3">
        <f>IFERROR(MATCH($Y190,$T$12:$T$432,0),"")</f>
        <v/>
      </c>
      <c r="AA190" s="3" t="n"/>
      <c r="AB190" s="3" t="n"/>
      <c r="AC190" s="3" t="n"/>
      <c r="AD190" s="3" t="n"/>
    </row>
    <row r="191">
      <c r="A191" s="6" t="n"/>
      <c r="B191" s="153">
        <f>IF($C191="","",ROW()-11)</f>
        <v/>
      </c>
      <c r="C191" s="240">
        <f>IF($Z191="","",IF(INDEX($N$12:$N$432,$Z191)="","",INDEX($N$12:$N$432,$Z191)))</f>
        <v/>
      </c>
      <c r="D191" s="29">
        <f>IF($C191="","",INDEX($O$12:$O$432,$Z191))</f>
        <v/>
      </c>
      <c r="E191" s="153">
        <f>IF($C191="","",INDEX($P$12:$P$432,$Z191))</f>
        <v/>
      </c>
      <c r="F191" s="241">
        <f>IF($C191="","",INDEX($R$12:$R$432,$Z191))</f>
        <v/>
      </c>
      <c r="G191" s="241">
        <f>IF($C191="","",INDEX($S$12:$S$432,$Z191))</f>
        <v/>
      </c>
      <c r="H191" s="241">
        <f>IF($C191="","",N($H190)+$F191-$G191)</f>
        <v/>
      </c>
      <c r="I191" s="6" t="n"/>
      <c r="J191" s="6" t="n"/>
      <c r="K191" s="3" t="n"/>
      <c r="L191" s="3" t="n"/>
      <c r="M191" s="3" t="n">
        <v>180</v>
      </c>
      <c r="N191" s="3">
        <f>IF(OR($U191=0,$W191="",$X191&lt;=0),"",IF($W191&gt;TODAY(),"",IF(AND(INDEX(UCRETLER!$E$7:$E$406,$U191)&lt;&gt;"",$W191&gt;INDEX(UCRETLER!$E$7:$E$406,$U191)),"",$W191)))</f>
        <v/>
      </c>
      <c r="O191" s="3">
        <f>IF($N191="","",IF(INDEX(UCRETLER!$F$7:$F$406,$U191)="Aylık",CHOOSE(MONTH($N191),"Ocak","Şubat","Mart","Nisan","Mayıs","Haziran","Temmuz","Ağustos","Eylül","Ekim","Kasım","Aralık")&amp;" "&amp;YEAR($N191)&amp;" aylık muhasebe hizmet ücreti",RIGHT("0"&amp;DAY($N191),2)&amp;"."&amp;RIGHT("0"&amp;MONTH($N191),2)&amp;"."&amp;YEAR($N191)&amp;" haftalık muhasebe hizmet ücreti"))</f>
        <v/>
      </c>
      <c r="P191" s="3">
        <f>IF($N191="","","TAHAKKUK")</f>
        <v/>
      </c>
      <c r="Q191" s="3" t="n"/>
      <c r="R191" s="3">
        <f>IF($N191="",0,$X191)</f>
        <v/>
      </c>
      <c r="S191" s="3" t="n">
        <v>0</v>
      </c>
      <c r="T191" s="3">
        <f>IF($N191="",10000000000,$N191*100000+$M191)</f>
        <v/>
      </c>
      <c r="U191" s="3">
        <f>$AB$6</f>
        <v/>
      </c>
      <c r="V191" s="3" t="n">
        <v>19</v>
      </c>
      <c r="W191" s="3">
        <f>IF($U191=0,"",IF(INDEX(UCRETLER!$D$7:$D$406,$U191)="","",IF(INDEX(UCRETLER!$F$7:$F$406,$U191)="Aylık",EOMONTH(INDEX(UCRETLER!$D$7:$D$406,$U191),$V191-1),INDEX(UCRETLER!$D$7:$D$406,$U191)+MOD(SISTEM!$F$8-WEEKDAY(INDEX(UCRETLER!$D$7:$D$406,$U191),2),7)+7*($V191-1))))</f>
        <v/>
      </c>
      <c r="X191" s="3">
        <f>IF($U191=0,0,INDEX(UCRETLER!$G$7:$G$406,$U191))</f>
        <v/>
      </c>
      <c r="Y191" s="3">
        <f>IFERROR(SMALL($T$12:$T$432,ROW()-11),"")</f>
        <v/>
      </c>
      <c r="Z191" s="3">
        <f>IFERROR(MATCH($Y191,$T$12:$T$432,0),"")</f>
        <v/>
      </c>
      <c r="AA191" s="3" t="n"/>
      <c r="AB191" s="3" t="n"/>
      <c r="AC191" s="3" t="n"/>
      <c r="AD191" s="3" t="n"/>
    </row>
    <row r="192">
      <c r="A192" s="6" t="n"/>
      <c r="B192" s="153">
        <f>IF($C192="","",ROW()-11)</f>
        <v/>
      </c>
      <c r="C192" s="240">
        <f>IF($Z192="","",IF(INDEX($N$12:$N$432,$Z192)="","",INDEX($N$12:$N$432,$Z192)))</f>
        <v/>
      </c>
      <c r="D192" s="29">
        <f>IF($C192="","",INDEX($O$12:$O$432,$Z192))</f>
        <v/>
      </c>
      <c r="E192" s="153">
        <f>IF($C192="","",INDEX($P$12:$P$432,$Z192))</f>
        <v/>
      </c>
      <c r="F192" s="241">
        <f>IF($C192="","",INDEX($R$12:$R$432,$Z192))</f>
        <v/>
      </c>
      <c r="G192" s="241">
        <f>IF($C192="","",INDEX($S$12:$S$432,$Z192))</f>
        <v/>
      </c>
      <c r="H192" s="241">
        <f>IF($C192="","",N($H191)+$F192-$G192)</f>
        <v/>
      </c>
      <c r="I192" s="6" t="n"/>
      <c r="J192" s="6" t="n"/>
      <c r="K192" s="3" t="n"/>
      <c r="L192" s="3" t="n"/>
      <c r="M192" s="3" t="n">
        <v>181</v>
      </c>
      <c r="N192" s="3">
        <f>IF(OR($U192=0,$W192="",$X192&lt;=0),"",IF($W192&gt;TODAY(),"",IF(AND(INDEX(UCRETLER!$E$7:$E$406,$U192)&lt;&gt;"",$W192&gt;INDEX(UCRETLER!$E$7:$E$406,$U192)),"",$W192)))</f>
        <v/>
      </c>
      <c r="O192" s="3">
        <f>IF($N192="","",IF(INDEX(UCRETLER!$F$7:$F$406,$U192)="Aylık",CHOOSE(MONTH($N192),"Ocak","Şubat","Mart","Nisan","Mayıs","Haziran","Temmuz","Ağustos","Eylül","Ekim","Kasım","Aralık")&amp;" "&amp;YEAR($N192)&amp;" aylık muhasebe hizmet ücreti",RIGHT("0"&amp;DAY($N192),2)&amp;"."&amp;RIGHT("0"&amp;MONTH($N192),2)&amp;"."&amp;YEAR($N192)&amp;" haftalık muhasebe hizmet ücreti"))</f>
        <v/>
      </c>
      <c r="P192" s="3">
        <f>IF($N192="","","TAHAKKUK")</f>
        <v/>
      </c>
      <c r="Q192" s="3" t="n"/>
      <c r="R192" s="3">
        <f>IF($N192="",0,$X192)</f>
        <v/>
      </c>
      <c r="S192" s="3" t="n">
        <v>0</v>
      </c>
      <c r="T192" s="3">
        <f>IF($N192="",10000000000,$N192*100000+$M192)</f>
        <v/>
      </c>
      <c r="U192" s="3">
        <f>$AB$6</f>
        <v/>
      </c>
      <c r="V192" s="3" t="n">
        <v>20</v>
      </c>
      <c r="W192" s="3">
        <f>IF($U192=0,"",IF(INDEX(UCRETLER!$D$7:$D$406,$U192)="","",IF(INDEX(UCRETLER!$F$7:$F$406,$U192)="Aylık",EOMONTH(INDEX(UCRETLER!$D$7:$D$406,$U192),$V192-1),INDEX(UCRETLER!$D$7:$D$406,$U192)+MOD(SISTEM!$F$8-WEEKDAY(INDEX(UCRETLER!$D$7:$D$406,$U192),2),7)+7*($V192-1))))</f>
        <v/>
      </c>
      <c r="X192" s="3">
        <f>IF($U192=0,0,INDEX(UCRETLER!$G$7:$G$406,$U192))</f>
        <v/>
      </c>
      <c r="Y192" s="3">
        <f>IFERROR(SMALL($T$12:$T$432,ROW()-11),"")</f>
        <v/>
      </c>
      <c r="Z192" s="3">
        <f>IFERROR(MATCH($Y192,$T$12:$T$432,0),"")</f>
        <v/>
      </c>
      <c r="AA192" s="3" t="n"/>
      <c r="AB192" s="3" t="n"/>
      <c r="AC192" s="3" t="n"/>
      <c r="AD192" s="3" t="n"/>
    </row>
    <row r="193">
      <c r="A193" s="6" t="n"/>
      <c r="B193" s="153">
        <f>IF($C193="","",ROW()-11)</f>
        <v/>
      </c>
      <c r="C193" s="240">
        <f>IF($Z193="","",IF(INDEX($N$12:$N$432,$Z193)="","",INDEX($N$12:$N$432,$Z193)))</f>
        <v/>
      </c>
      <c r="D193" s="29">
        <f>IF($C193="","",INDEX($O$12:$O$432,$Z193))</f>
        <v/>
      </c>
      <c r="E193" s="153">
        <f>IF($C193="","",INDEX($P$12:$P$432,$Z193))</f>
        <v/>
      </c>
      <c r="F193" s="241">
        <f>IF($C193="","",INDEX($R$12:$R$432,$Z193))</f>
        <v/>
      </c>
      <c r="G193" s="241">
        <f>IF($C193="","",INDEX($S$12:$S$432,$Z193))</f>
        <v/>
      </c>
      <c r="H193" s="241">
        <f>IF($C193="","",N($H192)+$F193-$G193)</f>
        <v/>
      </c>
      <c r="I193" s="6" t="n"/>
      <c r="J193" s="6" t="n"/>
      <c r="K193" s="3" t="n"/>
      <c r="L193" s="3" t="n"/>
      <c r="M193" s="3" t="n">
        <v>182</v>
      </c>
      <c r="N193" s="3">
        <f>IF(OR($U193=0,$W193="",$X193&lt;=0),"",IF($W193&gt;TODAY(),"",IF(AND(INDEX(UCRETLER!$E$7:$E$406,$U193)&lt;&gt;"",$W193&gt;INDEX(UCRETLER!$E$7:$E$406,$U193)),"",$W193)))</f>
        <v/>
      </c>
      <c r="O193" s="3">
        <f>IF($N193="","",IF(INDEX(UCRETLER!$F$7:$F$406,$U193)="Aylık",CHOOSE(MONTH($N193),"Ocak","Şubat","Mart","Nisan","Mayıs","Haziran","Temmuz","Ağustos","Eylül","Ekim","Kasım","Aralık")&amp;" "&amp;YEAR($N193)&amp;" aylık muhasebe hizmet ücreti",RIGHT("0"&amp;DAY($N193),2)&amp;"."&amp;RIGHT("0"&amp;MONTH($N193),2)&amp;"."&amp;YEAR($N193)&amp;" haftalık muhasebe hizmet ücreti"))</f>
        <v/>
      </c>
      <c r="P193" s="3">
        <f>IF($N193="","","TAHAKKUK")</f>
        <v/>
      </c>
      <c r="Q193" s="3" t="n"/>
      <c r="R193" s="3">
        <f>IF($N193="",0,$X193)</f>
        <v/>
      </c>
      <c r="S193" s="3" t="n">
        <v>0</v>
      </c>
      <c r="T193" s="3">
        <f>IF($N193="",10000000000,$N193*100000+$M193)</f>
        <v/>
      </c>
      <c r="U193" s="3">
        <f>$AB$6</f>
        <v/>
      </c>
      <c r="V193" s="3" t="n">
        <v>21</v>
      </c>
      <c r="W193" s="3">
        <f>IF($U193=0,"",IF(INDEX(UCRETLER!$D$7:$D$406,$U193)="","",IF(INDEX(UCRETLER!$F$7:$F$406,$U193)="Aylık",EOMONTH(INDEX(UCRETLER!$D$7:$D$406,$U193),$V193-1),INDEX(UCRETLER!$D$7:$D$406,$U193)+MOD(SISTEM!$F$8-WEEKDAY(INDEX(UCRETLER!$D$7:$D$406,$U193),2),7)+7*($V193-1))))</f>
        <v/>
      </c>
      <c r="X193" s="3">
        <f>IF($U193=0,0,INDEX(UCRETLER!$G$7:$G$406,$U193))</f>
        <v/>
      </c>
      <c r="Y193" s="3">
        <f>IFERROR(SMALL($T$12:$T$432,ROW()-11),"")</f>
        <v/>
      </c>
      <c r="Z193" s="3">
        <f>IFERROR(MATCH($Y193,$T$12:$T$432,0),"")</f>
        <v/>
      </c>
      <c r="AA193" s="3" t="n"/>
      <c r="AB193" s="3" t="n"/>
      <c r="AC193" s="3" t="n"/>
      <c r="AD193" s="3" t="n"/>
    </row>
    <row r="194">
      <c r="A194" s="6" t="n"/>
      <c r="B194" s="153">
        <f>IF($C194="","",ROW()-11)</f>
        <v/>
      </c>
      <c r="C194" s="240">
        <f>IF($Z194="","",IF(INDEX($N$12:$N$432,$Z194)="","",INDEX($N$12:$N$432,$Z194)))</f>
        <v/>
      </c>
      <c r="D194" s="29">
        <f>IF($C194="","",INDEX($O$12:$O$432,$Z194))</f>
        <v/>
      </c>
      <c r="E194" s="153">
        <f>IF($C194="","",INDEX($P$12:$P$432,$Z194))</f>
        <v/>
      </c>
      <c r="F194" s="241">
        <f>IF($C194="","",INDEX($R$12:$R$432,$Z194))</f>
        <v/>
      </c>
      <c r="G194" s="241">
        <f>IF($C194="","",INDEX($S$12:$S$432,$Z194))</f>
        <v/>
      </c>
      <c r="H194" s="241">
        <f>IF($C194="","",N($H193)+$F194-$G194)</f>
        <v/>
      </c>
      <c r="I194" s="6" t="n"/>
      <c r="J194" s="6" t="n"/>
      <c r="K194" s="3" t="n"/>
      <c r="L194" s="3" t="n"/>
      <c r="M194" s="3" t="n">
        <v>183</v>
      </c>
      <c r="N194" s="3">
        <f>IF(OR($U194=0,$W194="",$X194&lt;=0),"",IF($W194&gt;TODAY(),"",IF(AND(INDEX(UCRETLER!$E$7:$E$406,$U194)&lt;&gt;"",$W194&gt;INDEX(UCRETLER!$E$7:$E$406,$U194)),"",$W194)))</f>
        <v/>
      </c>
      <c r="O194" s="3">
        <f>IF($N194="","",IF(INDEX(UCRETLER!$F$7:$F$406,$U194)="Aylık",CHOOSE(MONTH($N194),"Ocak","Şubat","Mart","Nisan","Mayıs","Haziran","Temmuz","Ağustos","Eylül","Ekim","Kasım","Aralık")&amp;" "&amp;YEAR($N194)&amp;" aylık muhasebe hizmet ücreti",RIGHT("0"&amp;DAY($N194),2)&amp;"."&amp;RIGHT("0"&amp;MONTH($N194),2)&amp;"."&amp;YEAR($N194)&amp;" haftalık muhasebe hizmet ücreti"))</f>
        <v/>
      </c>
      <c r="P194" s="3">
        <f>IF($N194="","","TAHAKKUK")</f>
        <v/>
      </c>
      <c r="Q194" s="3" t="n"/>
      <c r="R194" s="3">
        <f>IF($N194="",0,$X194)</f>
        <v/>
      </c>
      <c r="S194" s="3" t="n">
        <v>0</v>
      </c>
      <c r="T194" s="3">
        <f>IF($N194="",10000000000,$N194*100000+$M194)</f>
        <v/>
      </c>
      <c r="U194" s="3">
        <f>$AB$6</f>
        <v/>
      </c>
      <c r="V194" s="3" t="n">
        <v>22</v>
      </c>
      <c r="W194" s="3">
        <f>IF($U194=0,"",IF(INDEX(UCRETLER!$D$7:$D$406,$U194)="","",IF(INDEX(UCRETLER!$F$7:$F$406,$U194)="Aylık",EOMONTH(INDEX(UCRETLER!$D$7:$D$406,$U194),$V194-1),INDEX(UCRETLER!$D$7:$D$406,$U194)+MOD(SISTEM!$F$8-WEEKDAY(INDEX(UCRETLER!$D$7:$D$406,$U194),2),7)+7*($V194-1))))</f>
        <v/>
      </c>
      <c r="X194" s="3">
        <f>IF($U194=0,0,INDEX(UCRETLER!$G$7:$G$406,$U194))</f>
        <v/>
      </c>
      <c r="Y194" s="3">
        <f>IFERROR(SMALL($T$12:$T$432,ROW()-11),"")</f>
        <v/>
      </c>
      <c r="Z194" s="3">
        <f>IFERROR(MATCH($Y194,$T$12:$T$432,0),"")</f>
        <v/>
      </c>
      <c r="AA194" s="3" t="n"/>
      <c r="AB194" s="3" t="n"/>
      <c r="AC194" s="3" t="n"/>
      <c r="AD194" s="3" t="n"/>
    </row>
    <row r="195">
      <c r="A195" s="6" t="n"/>
      <c r="B195" s="153">
        <f>IF($C195="","",ROW()-11)</f>
        <v/>
      </c>
      <c r="C195" s="240">
        <f>IF($Z195="","",IF(INDEX($N$12:$N$432,$Z195)="","",INDEX($N$12:$N$432,$Z195)))</f>
        <v/>
      </c>
      <c r="D195" s="29">
        <f>IF($C195="","",INDEX($O$12:$O$432,$Z195))</f>
        <v/>
      </c>
      <c r="E195" s="153">
        <f>IF($C195="","",INDEX($P$12:$P$432,$Z195))</f>
        <v/>
      </c>
      <c r="F195" s="241">
        <f>IF($C195="","",INDEX($R$12:$R$432,$Z195))</f>
        <v/>
      </c>
      <c r="G195" s="241">
        <f>IF($C195="","",INDEX($S$12:$S$432,$Z195))</f>
        <v/>
      </c>
      <c r="H195" s="241">
        <f>IF($C195="","",N($H194)+$F195-$G195)</f>
        <v/>
      </c>
      <c r="I195" s="6" t="n"/>
      <c r="J195" s="6" t="n"/>
      <c r="K195" s="3" t="n"/>
      <c r="L195" s="3" t="n"/>
      <c r="M195" s="3" t="n">
        <v>184</v>
      </c>
      <c r="N195" s="3">
        <f>IF(OR($U195=0,$W195="",$X195&lt;=0),"",IF($W195&gt;TODAY(),"",IF(AND(INDEX(UCRETLER!$E$7:$E$406,$U195)&lt;&gt;"",$W195&gt;INDEX(UCRETLER!$E$7:$E$406,$U195)),"",$W195)))</f>
        <v/>
      </c>
      <c r="O195" s="3">
        <f>IF($N195="","",IF(INDEX(UCRETLER!$F$7:$F$406,$U195)="Aylık",CHOOSE(MONTH($N195),"Ocak","Şubat","Mart","Nisan","Mayıs","Haziran","Temmuz","Ağustos","Eylül","Ekim","Kasım","Aralık")&amp;" "&amp;YEAR($N195)&amp;" aylık muhasebe hizmet ücreti",RIGHT("0"&amp;DAY($N195),2)&amp;"."&amp;RIGHT("0"&amp;MONTH($N195),2)&amp;"."&amp;YEAR($N195)&amp;" haftalık muhasebe hizmet ücreti"))</f>
        <v/>
      </c>
      <c r="P195" s="3">
        <f>IF($N195="","","TAHAKKUK")</f>
        <v/>
      </c>
      <c r="Q195" s="3" t="n"/>
      <c r="R195" s="3">
        <f>IF($N195="",0,$X195)</f>
        <v/>
      </c>
      <c r="S195" s="3" t="n">
        <v>0</v>
      </c>
      <c r="T195" s="3">
        <f>IF($N195="",10000000000,$N195*100000+$M195)</f>
        <v/>
      </c>
      <c r="U195" s="3">
        <f>$AB$6</f>
        <v/>
      </c>
      <c r="V195" s="3" t="n">
        <v>23</v>
      </c>
      <c r="W195" s="3">
        <f>IF($U195=0,"",IF(INDEX(UCRETLER!$D$7:$D$406,$U195)="","",IF(INDEX(UCRETLER!$F$7:$F$406,$U195)="Aylık",EOMONTH(INDEX(UCRETLER!$D$7:$D$406,$U195),$V195-1),INDEX(UCRETLER!$D$7:$D$406,$U195)+MOD(SISTEM!$F$8-WEEKDAY(INDEX(UCRETLER!$D$7:$D$406,$U195),2),7)+7*($V195-1))))</f>
        <v/>
      </c>
      <c r="X195" s="3">
        <f>IF($U195=0,0,INDEX(UCRETLER!$G$7:$G$406,$U195))</f>
        <v/>
      </c>
      <c r="Y195" s="3">
        <f>IFERROR(SMALL($T$12:$T$432,ROW()-11),"")</f>
        <v/>
      </c>
      <c r="Z195" s="3">
        <f>IFERROR(MATCH($Y195,$T$12:$T$432,0),"")</f>
        <v/>
      </c>
      <c r="AA195" s="3" t="n"/>
      <c r="AB195" s="3" t="n"/>
      <c r="AC195" s="3" t="n"/>
      <c r="AD195" s="3" t="n"/>
    </row>
    <row r="196">
      <c r="A196" s="6" t="n"/>
      <c r="B196" s="153">
        <f>IF($C196="","",ROW()-11)</f>
        <v/>
      </c>
      <c r="C196" s="240">
        <f>IF($Z196="","",IF(INDEX($N$12:$N$432,$Z196)="","",INDEX($N$12:$N$432,$Z196)))</f>
        <v/>
      </c>
      <c r="D196" s="29">
        <f>IF($C196="","",INDEX($O$12:$O$432,$Z196))</f>
        <v/>
      </c>
      <c r="E196" s="153">
        <f>IF($C196="","",INDEX($P$12:$P$432,$Z196))</f>
        <v/>
      </c>
      <c r="F196" s="241">
        <f>IF($C196="","",INDEX($R$12:$R$432,$Z196))</f>
        <v/>
      </c>
      <c r="G196" s="241">
        <f>IF($C196="","",INDEX($S$12:$S$432,$Z196))</f>
        <v/>
      </c>
      <c r="H196" s="241">
        <f>IF($C196="","",N($H195)+$F196-$G196)</f>
        <v/>
      </c>
      <c r="I196" s="6" t="n"/>
      <c r="J196" s="6" t="n"/>
      <c r="K196" s="3" t="n"/>
      <c r="L196" s="3" t="n"/>
      <c r="M196" s="3" t="n">
        <v>185</v>
      </c>
      <c r="N196" s="3">
        <f>IF(OR($U196=0,$W196="",$X196&lt;=0),"",IF($W196&gt;TODAY(),"",IF(AND(INDEX(UCRETLER!$E$7:$E$406,$U196)&lt;&gt;"",$W196&gt;INDEX(UCRETLER!$E$7:$E$406,$U196)),"",$W196)))</f>
        <v/>
      </c>
      <c r="O196" s="3">
        <f>IF($N196="","",IF(INDEX(UCRETLER!$F$7:$F$406,$U196)="Aylık",CHOOSE(MONTH($N196),"Ocak","Şubat","Mart","Nisan","Mayıs","Haziran","Temmuz","Ağustos","Eylül","Ekim","Kasım","Aralık")&amp;" "&amp;YEAR($N196)&amp;" aylık muhasebe hizmet ücreti",RIGHT("0"&amp;DAY($N196),2)&amp;"."&amp;RIGHT("0"&amp;MONTH($N196),2)&amp;"."&amp;YEAR($N196)&amp;" haftalık muhasebe hizmet ücreti"))</f>
        <v/>
      </c>
      <c r="P196" s="3">
        <f>IF($N196="","","TAHAKKUK")</f>
        <v/>
      </c>
      <c r="Q196" s="3" t="n"/>
      <c r="R196" s="3">
        <f>IF($N196="",0,$X196)</f>
        <v/>
      </c>
      <c r="S196" s="3" t="n">
        <v>0</v>
      </c>
      <c r="T196" s="3">
        <f>IF($N196="",10000000000,$N196*100000+$M196)</f>
        <v/>
      </c>
      <c r="U196" s="3">
        <f>$AB$6</f>
        <v/>
      </c>
      <c r="V196" s="3" t="n">
        <v>24</v>
      </c>
      <c r="W196" s="3">
        <f>IF($U196=0,"",IF(INDEX(UCRETLER!$D$7:$D$406,$U196)="","",IF(INDEX(UCRETLER!$F$7:$F$406,$U196)="Aylık",EOMONTH(INDEX(UCRETLER!$D$7:$D$406,$U196),$V196-1),INDEX(UCRETLER!$D$7:$D$406,$U196)+MOD(SISTEM!$F$8-WEEKDAY(INDEX(UCRETLER!$D$7:$D$406,$U196),2),7)+7*($V196-1))))</f>
        <v/>
      </c>
      <c r="X196" s="3">
        <f>IF($U196=0,0,INDEX(UCRETLER!$G$7:$G$406,$U196))</f>
        <v/>
      </c>
      <c r="Y196" s="3">
        <f>IFERROR(SMALL($T$12:$T$432,ROW()-11),"")</f>
        <v/>
      </c>
      <c r="Z196" s="3">
        <f>IFERROR(MATCH($Y196,$T$12:$T$432,0),"")</f>
        <v/>
      </c>
      <c r="AA196" s="3" t="n"/>
      <c r="AB196" s="3" t="n"/>
      <c r="AC196" s="3" t="n"/>
      <c r="AD196" s="3" t="n"/>
    </row>
    <row r="197">
      <c r="A197" s="6" t="n"/>
      <c r="B197" s="153">
        <f>IF($C197="","",ROW()-11)</f>
        <v/>
      </c>
      <c r="C197" s="240">
        <f>IF($Z197="","",IF(INDEX($N$12:$N$432,$Z197)="","",INDEX($N$12:$N$432,$Z197)))</f>
        <v/>
      </c>
      <c r="D197" s="29">
        <f>IF($C197="","",INDEX($O$12:$O$432,$Z197))</f>
        <v/>
      </c>
      <c r="E197" s="153">
        <f>IF($C197="","",INDEX($P$12:$P$432,$Z197))</f>
        <v/>
      </c>
      <c r="F197" s="241">
        <f>IF($C197="","",INDEX($R$12:$R$432,$Z197))</f>
        <v/>
      </c>
      <c r="G197" s="241">
        <f>IF($C197="","",INDEX($S$12:$S$432,$Z197))</f>
        <v/>
      </c>
      <c r="H197" s="241">
        <f>IF($C197="","",N($H196)+$F197-$G197)</f>
        <v/>
      </c>
      <c r="I197" s="6" t="n"/>
      <c r="J197" s="6" t="n"/>
      <c r="K197" s="3" t="n"/>
      <c r="L197" s="3" t="n"/>
      <c r="M197" s="3" t="n">
        <v>186</v>
      </c>
      <c r="N197" s="3">
        <f>IF(OR($U197=0,$W197="",$X197&lt;=0),"",IF($W197&gt;TODAY(),"",IF(AND(INDEX(UCRETLER!$E$7:$E$406,$U197)&lt;&gt;"",$W197&gt;INDEX(UCRETLER!$E$7:$E$406,$U197)),"",$W197)))</f>
        <v/>
      </c>
      <c r="O197" s="3">
        <f>IF($N197="","",IF(INDEX(UCRETLER!$F$7:$F$406,$U197)="Aylık",CHOOSE(MONTH($N197),"Ocak","Şubat","Mart","Nisan","Mayıs","Haziran","Temmuz","Ağustos","Eylül","Ekim","Kasım","Aralık")&amp;" "&amp;YEAR($N197)&amp;" aylık muhasebe hizmet ücreti",RIGHT("0"&amp;DAY($N197),2)&amp;"."&amp;RIGHT("0"&amp;MONTH($N197),2)&amp;"."&amp;YEAR($N197)&amp;" haftalık muhasebe hizmet ücreti"))</f>
        <v/>
      </c>
      <c r="P197" s="3">
        <f>IF($N197="","","TAHAKKUK")</f>
        <v/>
      </c>
      <c r="Q197" s="3" t="n"/>
      <c r="R197" s="3">
        <f>IF($N197="",0,$X197)</f>
        <v/>
      </c>
      <c r="S197" s="3" t="n">
        <v>0</v>
      </c>
      <c r="T197" s="3">
        <f>IF($N197="",10000000000,$N197*100000+$M197)</f>
        <v/>
      </c>
      <c r="U197" s="3">
        <f>$AB$6</f>
        <v/>
      </c>
      <c r="V197" s="3" t="n">
        <v>25</v>
      </c>
      <c r="W197" s="3">
        <f>IF($U197=0,"",IF(INDEX(UCRETLER!$D$7:$D$406,$U197)="","",IF(INDEX(UCRETLER!$F$7:$F$406,$U197)="Aylık",EOMONTH(INDEX(UCRETLER!$D$7:$D$406,$U197),$V197-1),INDEX(UCRETLER!$D$7:$D$406,$U197)+MOD(SISTEM!$F$8-WEEKDAY(INDEX(UCRETLER!$D$7:$D$406,$U197),2),7)+7*($V197-1))))</f>
        <v/>
      </c>
      <c r="X197" s="3">
        <f>IF($U197=0,0,INDEX(UCRETLER!$G$7:$G$406,$U197))</f>
        <v/>
      </c>
      <c r="Y197" s="3">
        <f>IFERROR(SMALL($T$12:$T$432,ROW()-11),"")</f>
        <v/>
      </c>
      <c r="Z197" s="3">
        <f>IFERROR(MATCH($Y197,$T$12:$T$432,0),"")</f>
        <v/>
      </c>
      <c r="AA197" s="3" t="n"/>
      <c r="AB197" s="3" t="n"/>
      <c r="AC197" s="3" t="n"/>
      <c r="AD197" s="3" t="n"/>
    </row>
    <row r="198">
      <c r="A198" s="6" t="n"/>
      <c r="B198" s="153">
        <f>IF($C198="","",ROW()-11)</f>
        <v/>
      </c>
      <c r="C198" s="240">
        <f>IF($Z198="","",IF(INDEX($N$12:$N$432,$Z198)="","",INDEX($N$12:$N$432,$Z198)))</f>
        <v/>
      </c>
      <c r="D198" s="29">
        <f>IF($C198="","",INDEX($O$12:$O$432,$Z198))</f>
        <v/>
      </c>
      <c r="E198" s="153">
        <f>IF($C198="","",INDEX($P$12:$P$432,$Z198))</f>
        <v/>
      </c>
      <c r="F198" s="241">
        <f>IF($C198="","",INDEX($R$12:$R$432,$Z198))</f>
        <v/>
      </c>
      <c r="G198" s="241">
        <f>IF($C198="","",INDEX($S$12:$S$432,$Z198))</f>
        <v/>
      </c>
      <c r="H198" s="241">
        <f>IF($C198="","",N($H197)+$F198-$G198)</f>
        <v/>
      </c>
      <c r="I198" s="6" t="n"/>
      <c r="J198" s="6" t="n"/>
      <c r="K198" s="3" t="n"/>
      <c r="L198" s="3" t="n"/>
      <c r="M198" s="3" t="n">
        <v>187</v>
      </c>
      <c r="N198" s="3">
        <f>IF(OR($U198=0,$W198="",$X198&lt;=0),"",IF($W198&gt;TODAY(),"",IF(AND(INDEX(UCRETLER!$E$7:$E$406,$U198)&lt;&gt;"",$W198&gt;INDEX(UCRETLER!$E$7:$E$406,$U198)),"",$W198)))</f>
        <v/>
      </c>
      <c r="O198" s="3">
        <f>IF($N198="","",IF(INDEX(UCRETLER!$F$7:$F$406,$U198)="Aylık",CHOOSE(MONTH($N198),"Ocak","Şubat","Mart","Nisan","Mayıs","Haziran","Temmuz","Ağustos","Eylül","Ekim","Kasım","Aralık")&amp;" "&amp;YEAR($N198)&amp;" aylık muhasebe hizmet ücreti",RIGHT("0"&amp;DAY($N198),2)&amp;"."&amp;RIGHT("0"&amp;MONTH($N198),2)&amp;"."&amp;YEAR($N198)&amp;" haftalık muhasebe hizmet ücreti"))</f>
        <v/>
      </c>
      <c r="P198" s="3">
        <f>IF($N198="","","TAHAKKUK")</f>
        <v/>
      </c>
      <c r="Q198" s="3" t="n"/>
      <c r="R198" s="3">
        <f>IF($N198="",0,$X198)</f>
        <v/>
      </c>
      <c r="S198" s="3" t="n">
        <v>0</v>
      </c>
      <c r="T198" s="3">
        <f>IF($N198="",10000000000,$N198*100000+$M198)</f>
        <v/>
      </c>
      <c r="U198" s="3">
        <f>$AB$6</f>
        <v/>
      </c>
      <c r="V198" s="3" t="n">
        <v>26</v>
      </c>
      <c r="W198" s="3">
        <f>IF($U198=0,"",IF(INDEX(UCRETLER!$D$7:$D$406,$U198)="","",IF(INDEX(UCRETLER!$F$7:$F$406,$U198)="Aylık",EOMONTH(INDEX(UCRETLER!$D$7:$D$406,$U198),$V198-1),INDEX(UCRETLER!$D$7:$D$406,$U198)+MOD(SISTEM!$F$8-WEEKDAY(INDEX(UCRETLER!$D$7:$D$406,$U198),2),7)+7*($V198-1))))</f>
        <v/>
      </c>
      <c r="X198" s="3">
        <f>IF($U198=0,0,INDEX(UCRETLER!$G$7:$G$406,$U198))</f>
        <v/>
      </c>
      <c r="Y198" s="3">
        <f>IFERROR(SMALL($T$12:$T$432,ROW()-11),"")</f>
        <v/>
      </c>
      <c r="Z198" s="3">
        <f>IFERROR(MATCH($Y198,$T$12:$T$432,0),"")</f>
        <v/>
      </c>
      <c r="AA198" s="3" t="n"/>
      <c r="AB198" s="3" t="n"/>
      <c r="AC198" s="3" t="n"/>
      <c r="AD198" s="3" t="n"/>
    </row>
    <row r="199">
      <c r="A199" s="6" t="n"/>
      <c r="B199" s="153">
        <f>IF($C199="","",ROW()-11)</f>
        <v/>
      </c>
      <c r="C199" s="240">
        <f>IF($Z199="","",IF(INDEX($N$12:$N$432,$Z199)="","",INDEX($N$12:$N$432,$Z199)))</f>
        <v/>
      </c>
      <c r="D199" s="29">
        <f>IF($C199="","",INDEX($O$12:$O$432,$Z199))</f>
        <v/>
      </c>
      <c r="E199" s="153">
        <f>IF($C199="","",INDEX($P$12:$P$432,$Z199))</f>
        <v/>
      </c>
      <c r="F199" s="241">
        <f>IF($C199="","",INDEX($R$12:$R$432,$Z199))</f>
        <v/>
      </c>
      <c r="G199" s="241">
        <f>IF($C199="","",INDEX($S$12:$S$432,$Z199))</f>
        <v/>
      </c>
      <c r="H199" s="241">
        <f>IF($C199="","",N($H198)+$F199-$G199)</f>
        <v/>
      </c>
      <c r="I199" s="6" t="n"/>
      <c r="J199" s="6" t="n"/>
      <c r="K199" s="3" t="n"/>
      <c r="L199" s="3" t="n"/>
      <c r="M199" s="3" t="n">
        <v>188</v>
      </c>
      <c r="N199" s="3">
        <f>IF(OR($U199=0,$W199="",$X199&lt;=0),"",IF($W199&gt;TODAY(),"",IF(AND(INDEX(UCRETLER!$E$7:$E$406,$U199)&lt;&gt;"",$W199&gt;INDEX(UCRETLER!$E$7:$E$406,$U199)),"",$W199)))</f>
        <v/>
      </c>
      <c r="O199" s="3">
        <f>IF($N199="","",IF(INDEX(UCRETLER!$F$7:$F$406,$U199)="Aylık",CHOOSE(MONTH($N199),"Ocak","Şubat","Mart","Nisan","Mayıs","Haziran","Temmuz","Ağustos","Eylül","Ekim","Kasım","Aralık")&amp;" "&amp;YEAR($N199)&amp;" aylık muhasebe hizmet ücreti",RIGHT("0"&amp;DAY($N199),2)&amp;"."&amp;RIGHT("0"&amp;MONTH($N199),2)&amp;"."&amp;YEAR($N199)&amp;" haftalık muhasebe hizmet ücreti"))</f>
        <v/>
      </c>
      <c r="P199" s="3">
        <f>IF($N199="","","TAHAKKUK")</f>
        <v/>
      </c>
      <c r="Q199" s="3" t="n"/>
      <c r="R199" s="3">
        <f>IF($N199="",0,$X199)</f>
        <v/>
      </c>
      <c r="S199" s="3" t="n">
        <v>0</v>
      </c>
      <c r="T199" s="3">
        <f>IF($N199="",10000000000,$N199*100000+$M199)</f>
        <v/>
      </c>
      <c r="U199" s="3">
        <f>$AB$6</f>
        <v/>
      </c>
      <c r="V199" s="3" t="n">
        <v>27</v>
      </c>
      <c r="W199" s="3">
        <f>IF($U199=0,"",IF(INDEX(UCRETLER!$D$7:$D$406,$U199)="","",IF(INDEX(UCRETLER!$F$7:$F$406,$U199)="Aylık",EOMONTH(INDEX(UCRETLER!$D$7:$D$406,$U199),$V199-1),INDEX(UCRETLER!$D$7:$D$406,$U199)+MOD(SISTEM!$F$8-WEEKDAY(INDEX(UCRETLER!$D$7:$D$406,$U199),2),7)+7*($V199-1))))</f>
        <v/>
      </c>
      <c r="X199" s="3">
        <f>IF($U199=0,0,INDEX(UCRETLER!$G$7:$G$406,$U199))</f>
        <v/>
      </c>
      <c r="Y199" s="3">
        <f>IFERROR(SMALL($T$12:$T$432,ROW()-11),"")</f>
        <v/>
      </c>
      <c r="Z199" s="3">
        <f>IFERROR(MATCH($Y199,$T$12:$T$432,0),"")</f>
        <v/>
      </c>
      <c r="AA199" s="3" t="n"/>
      <c r="AB199" s="3" t="n"/>
      <c r="AC199" s="3" t="n"/>
      <c r="AD199" s="3" t="n"/>
    </row>
    <row r="200">
      <c r="A200" s="6" t="n"/>
      <c r="B200" s="153">
        <f>IF($C200="","",ROW()-11)</f>
        <v/>
      </c>
      <c r="C200" s="240">
        <f>IF($Z200="","",IF(INDEX($N$12:$N$432,$Z200)="","",INDEX($N$12:$N$432,$Z200)))</f>
        <v/>
      </c>
      <c r="D200" s="29">
        <f>IF($C200="","",INDEX($O$12:$O$432,$Z200))</f>
        <v/>
      </c>
      <c r="E200" s="153">
        <f>IF($C200="","",INDEX($P$12:$P$432,$Z200))</f>
        <v/>
      </c>
      <c r="F200" s="241">
        <f>IF($C200="","",INDEX($R$12:$R$432,$Z200))</f>
        <v/>
      </c>
      <c r="G200" s="241">
        <f>IF($C200="","",INDEX($S$12:$S$432,$Z200))</f>
        <v/>
      </c>
      <c r="H200" s="241">
        <f>IF($C200="","",N($H199)+$F200-$G200)</f>
        <v/>
      </c>
      <c r="I200" s="6" t="n"/>
      <c r="J200" s="6" t="n"/>
      <c r="K200" s="3" t="n"/>
      <c r="L200" s="3" t="n"/>
      <c r="M200" s="3" t="n">
        <v>189</v>
      </c>
      <c r="N200" s="3">
        <f>IF(OR($U200=0,$W200="",$X200&lt;=0),"",IF($W200&gt;TODAY(),"",IF(AND(INDEX(UCRETLER!$E$7:$E$406,$U200)&lt;&gt;"",$W200&gt;INDEX(UCRETLER!$E$7:$E$406,$U200)),"",$W200)))</f>
        <v/>
      </c>
      <c r="O200" s="3">
        <f>IF($N200="","",IF(INDEX(UCRETLER!$F$7:$F$406,$U200)="Aylık",CHOOSE(MONTH($N200),"Ocak","Şubat","Mart","Nisan","Mayıs","Haziran","Temmuz","Ağustos","Eylül","Ekim","Kasım","Aralık")&amp;" "&amp;YEAR($N200)&amp;" aylık muhasebe hizmet ücreti",RIGHT("0"&amp;DAY($N200),2)&amp;"."&amp;RIGHT("0"&amp;MONTH($N200),2)&amp;"."&amp;YEAR($N200)&amp;" haftalık muhasebe hizmet ücreti"))</f>
        <v/>
      </c>
      <c r="P200" s="3">
        <f>IF($N200="","","TAHAKKUK")</f>
        <v/>
      </c>
      <c r="Q200" s="3" t="n"/>
      <c r="R200" s="3">
        <f>IF($N200="",0,$X200)</f>
        <v/>
      </c>
      <c r="S200" s="3" t="n">
        <v>0</v>
      </c>
      <c r="T200" s="3">
        <f>IF($N200="",10000000000,$N200*100000+$M200)</f>
        <v/>
      </c>
      <c r="U200" s="3">
        <f>$AB$6</f>
        <v/>
      </c>
      <c r="V200" s="3" t="n">
        <v>28</v>
      </c>
      <c r="W200" s="3">
        <f>IF($U200=0,"",IF(INDEX(UCRETLER!$D$7:$D$406,$U200)="","",IF(INDEX(UCRETLER!$F$7:$F$406,$U200)="Aylık",EOMONTH(INDEX(UCRETLER!$D$7:$D$406,$U200),$V200-1),INDEX(UCRETLER!$D$7:$D$406,$U200)+MOD(SISTEM!$F$8-WEEKDAY(INDEX(UCRETLER!$D$7:$D$406,$U200),2),7)+7*($V200-1))))</f>
        <v/>
      </c>
      <c r="X200" s="3">
        <f>IF($U200=0,0,INDEX(UCRETLER!$G$7:$G$406,$U200))</f>
        <v/>
      </c>
      <c r="Y200" s="3">
        <f>IFERROR(SMALL($T$12:$T$432,ROW()-11),"")</f>
        <v/>
      </c>
      <c r="Z200" s="3">
        <f>IFERROR(MATCH($Y200,$T$12:$T$432,0),"")</f>
        <v/>
      </c>
      <c r="AA200" s="3" t="n"/>
      <c r="AB200" s="3" t="n"/>
      <c r="AC200" s="3" t="n"/>
      <c r="AD200" s="3" t="n"/>
    </row>
    <row r="201">
      <c r="A201" s="6" t="n"/>
      <c r="B201" s="153">
        <f>IF($C201="","",ROW()-11)</f>
        <v/>
      </c>
      <c r="C201" s="240">
        <f>IF($Z201="","",IF(INDEX($N$12:$N$432,$Z201)="","",INDEX($N$12:$N$432,$Z201)))</f>
        <v/>
      </c>
      <c r="D201" s="29">
        <f>IF($C201="","",INDEX($O$12:$O$432,$Z201))</f>
        <v/>
      </c>
      <c r="E201" s="153">
        <f>IF($C201="","",INDEX($P$12:$P$432,$Z201))</f>
        <v/>
      </c>
      <c r="F201" s="241">
        <f>IF($C201="","",INDEX($R$12:$R$432,$Z201))</f>
        <v/>
      </c>
      <c r="G201" s="241">
        <f>IF($C201="","",INDEX($S$12:$S$432,$Z201))</f>
        <v/>
      </c>
      <c r="H201" s="241">
        <f>IF($C201="","",N($H200)+$F201-$G201)</f>
        <v/>
      </c>
      <c r="I201" s="6" t="n"/>
      <c r="J201" s="6" t="n"/>
      <c r="K201" s="3" t="n"/>
      <c r="L201" s="3" t="n"/>
      <c r="M201" s="3" t="n">
        <v>190</v>
      </c>
      <c r="N201" s="3">
        <f>IF(OR($U201=0,$W201="",$X201&lt;=0),"",IF($W201&gt;TODAY(),"",IF(AND(INDEX(UCRETLER!$E$7:$E$406,$U201)&lt;&gt;"",$W201&gt;INDEX(UCRETLER!$E$7:$E$406,$U201)),"",$W201)))</f>
        <v/>
      </c>
      <c r="O201" s="3">
        <f>IF($N201="","",IF(INDEX(UCRETLER!$F$7:$F$406,$U201)="Aylık",CHOOSE(MONTH($N201),"Ocak","Şubat","Mart","Nisan","Mayıs","Haziran","Temmuz","Ağustos","Eylül","Ekim","Kasım","Aralık")&amp;" "&amp;YEAR($N201)&amp;" aylık muhasebe hizmet ücreti",RIGHT("0"&amp;DAY($N201),2)&amp;"."&amp;RIGHT("0"&amp;MONTH($N201),2)&amp;"."&amp;YEAR($N201)&amp;" haftalık muhasebe hizmet ücreti"))</f>
        <v/>
      </c>
      <c r="P201" s="3">
        <f>IF($N201="","","TAHAKKUK")</f>
        <v/>
      </c>
      <c r="Q201" s="3" t="n"/>
      <c r="R201" s="3">
        <f>IF($N201="",0,$X201)</f>
        <v/>
      </c>
      <c r="S201" s="3" t="n">
        <v>0</v>
      </c>
      <c r="T201" s="3">
        <f>IF($N201="",10000000000,$N201*100000+$M201)</f>
        <v/>
      </c>
      <c r="U201" s="3">
        <f>$AB$6</f>
        <v/>
      </c>
      <c r="V201" s="3" t="n">
        <v>29</v>
      </c>
      <c r="W201" s="3">
        <f>IF($U201=0,"",IF(INDEX(UCRETLER!$D$7:$D$406,$U201)="","",IF(INDEX(UCRETLER!$F$7:$F$406,$U201)="Aylık",EOMONTH(INDEX(UCRETLER!$D$7:$D$406,$U201),$V201-1),INDEX(UCRETLER!$D$7:$D$406,$U201)+MOD(SISTEM!$F$8-WEEKDAY(INDEX(UCRETLER!$D$7:$D$406,$U201),2),7)+7*($V201-1))))</f>
        <v/>
      </c>
      <c r="X201" s="3">
        <f>IF($U201=0,0,INDEX(UCRETLER!$G$7:$G$406,$U201))</f>
        <v/>
      </c>
      <c r="Y201" s="3">
        <f>IFERROR(SMALL($T$12:$T$432,ROW()-11),"")</f>
        <v/>
      </c>
      <c r="Z201" s="3">
        <f>IFERROR(MATCH($Y201,$T$12:$T$432,0),"")</f>
        <v/>
      </c>
      <c r="AA201" s="3" t="n"/>
      <c r="AB201" s="3" t="n"/>
      <c r="AC201" s="3" t="n"/>
      <c r="AD201" s="3" t="n"/>
    </row>
    <row r="202">
      <c r="A202" s="6" t="n"/>
      <c r="B202" s="153">
        <f>IF($C202="","",ROW()-11)</f>
        <v/>
      </c>
      <c r="C202" s="240">
        <f>IF($Z202="","",IF(INDEX($N$12:$N$432,$Z202)="","",INDEX($N$12:$N$432,$Z202)))</f>
        <v/>
      </c>
      <c r="D202" s="29">
        <f>IF($C202="","",INDEX($O$12:$O$432,$Z202))</f>
        <v/>
      </c>
      <c r="E202" s="153">
        <f>IF($C202="","",INDEX($P$12:$P$432,$Z202))</f>
        <v/>
      </c>
      <c r="F202" s="241">
        <f>IF($C202="","",INDEX($R$12:$R$432,$Z202))</f>
        <v/>
      </c>
      <c r="G202" s="241">
        <f>IF($C202="","",INDEX($S$12:$S$432,$Z202))</f>
        <v/>
      </c>
      <c r="H202" s="241">
        <f>IF($C202="","",N($H201)+$F202-$G202)</f>
        <v/>
      </c>
      <c r="I202" s="6" t="n"/>
      <c r="J202" s="6" t="n"/>
      <c r="K202" s="3" t="n"/>
      <c r="L202" s="3" t="n"/>
      <c r="M202" s="3" t="n">
        <v>191</v>
      </c>
      <c r="N202" s="3">
        <f>IF(OR($U202=0,$W202="",$X202&lt;=0),"",IF($W202&gt;TODAY(),"",IF(AND(INDEX(UCRETLER!$E$7:$E$406,$U202)&lt;&gt;"",$W202&gt;INDEX(UCRETLER!$E$7:$E$406,$U202)),"",$W202)))</f>
        <v/>
      </c>
      <c r="O202" s="3">
        <f>IF($N202="","",IF(INDEX(UCRETLER!$F$7:$F$406,$U202)="Aylık",CHOOSE(MONTH($N202),"Ocak","Şubat","Mart","Nisan","Mayıs","Haziran","Temmuz","Ağustos","Eylül","Ekim","Kasım","Aralık")&amp;" "&amp;YEAR($N202)&amp;" aylık muhasebe hizmet ücreti",RIGHT("0"&amp;DAY($N202),2)&amp;"."&amp;RIGHT("0"&amp;MONTH($N202),2)&amp;"."&amp;YEAR($N202)&amp;" haftalık muhasebe hizmet ücreti"))</f>
        <v/>
      </c>
      <c r="P202" s="3">
        <f>IF($N202="","","TAHAKKUK")</f>
        <v/>
      </c>
      <c r="Q202" s="3" t="n"/>
      <c r="R202" s="3">
        <f>IF($N202="",0,$X202)</f>
        <v/>
      </c>
      <c r="S202" s="3" t="n">
        <v>0</v>
      </c>
      <c r="T202" s="3">
        <f>IF($N202="",10000000000,$N202*100000+$M202)</f>
        <v/>
      </c>
      <c r="U202" s="3">
        <f>$AB$6</f>
        <v/>
      </c>
      <c r="V202" s="3" t="n">
        <v>30</v>
      </c>
      <c r="W202" s="3">
        <f>IF($U202=0,"",IF(INDEX(UCRETLER!$D$7:$D$406,$U202)="","",IF(INDEX(UCRETLER!$F$7:$F$406,$U202)="Aylık",EOMONTH(INDEX(UCRETLER!$D$7:$D$406,$U202),$V202-1),INDEX(UCRETLER!$D$7:$D$406,$U202)+MOD(SISTEM!$F$8-WEEKDAY(INDEX(UCRETLER!$D$7:$D$406,$U202),2),7)+7*($V202-1))))</f>
        <v/>
      </c>
      <c r="X202" s="3">
        <f>IF($U202=0,0,INDEX(UCRETLER!$G$7:$G$406,$U202))</f>
        <v/>
      </c>
      <c r="Y202" s="3">
        <f>IFERROR(SMALL($T$12:$T$432,ROW()-11),"")</f>
        <v/>
      </c>
      <c r="Z202" s="3">
        <f>IFERROR(MATCH($Y202,$T$12:$T$432,0),"")</f>
        <v/>
      </c>
      <c r="AA202" s="3" t="n"/>
      <c r="AB202" s="3" t="n"/>
      <c r="AC202" s="3" t="n"/>
      <c r="AD202" s="3" t="n"/>
    </row>
    <row r="203">
      <c r="A203" s="6" t="n"/>
      <c r="B203" s="153">
        <f>IF($C203="","",ROW()-11)</f>
        <v/>
      </c>
      <c r="C203" s="240">
        <f>IF($Z203="","",IF(INDEX($N$12:$N$432,$Z203)="","",INDEX($N$12:$N$432,$Z203)))</f>
        <v/>
      </c>
      <c r="D203" s="29">
        <f>IF($C203="","",INDEX($O$12:$O$432,$Z203))</f>
        <v/>
      </c>
      <c r="E203" s="153">
        <f>IF($C203="","",INDEX($P$12:$P$432,$Z203))</f>
        <v/>
      </c>
      <c r="F203" s="241">
        <f>IF($C203="","",INDEX($R$12:$R$432,$Z203))</f>
        <v/>
      </c>
      <c r="G203" s="241">
        <f>IF($C203="","",INDEX($S$12:$S$432,$Z203))</f>
        <v/>
      </c>
      <c r="H203" s="241">
        <f>IF($C203="","",N($H202)+$F203-$G203)</f>
        <v/>
      </c>
      <c r="I203" s="6" t="n"/>
      <c r="J203" s="6" t="n"/>
      <c r="K203" s="3" t="n"/>
      <c r="L203" s="3" t="n"/>
      <c r="M203" s="3" t="n">
        <v>192</v>
      </c>
      <c r="N203" s="3">
        <f>IF(OR($U203=0,$W203="",$X203&lt;=0),"",IF($W203&gt;TODAY(),"",IF(AND(INDEX(UCRETLER!$E$7:$E$406,$U203)&lt;&gt;"",$W203&gt;INDEX(UCRETLER!$E$7:$E$406,$U203)),"",$W203)))</f>
        <v/>
      </c>
      <c r="O203" s="3">
        <f>IF($N203="","",IF(INDEX(UCRETLER!$F$7:$F$406,$U203)="Aylık",CHOOSE(MONTH($N203),"Ocak","Şubat","Mart","Nisan","Mayıs","Haziran","Temmuz","Ağustos","Eylül","Ekim","Kasım","Aralık")&amp;" "&amp;YEAR($N203)&amp;" aylık muhasebe hizmet ücreti",RIGHT("0"&amp;DAY($N203),2)&amp;"."&amp;RIGHT("0"&amp;MONTH($N203),2)&amp;"."&amp;YEAR($N203)&amp;" haftalık muhasebe hizmet ücreti"))</f>
        <v/>
      </c>
      <c r="P203" s="3">
        <f>IF($N203="","","TAHAKKUK")</f>
        <v/>
      </c>
      <c r="Q203" s="3" t="n"/>
      <c r="R203" s="3">
        <f>IF($N203="",0,$X203)</f>
        <v/>
      </c>
      <c r="S203" s="3" t="n">
        <v>0</v>
      </c>
      <c r="T203" s="3">
        <f>IF($N203="",10000000000,$N203*100000+$M203)</f>
        <v/>
      </c>
      <c r="U203" s="3">
        <f>$AB$6</f>
        <v/>
      </c>
      <c r="V203" s="3" t="n">
        <v>31</v>
      </c>
      <c r="W203" s="3">
        <f>IF($U203=0,"",IF(INDEX(UCRETLER!$D$7:$D$406,$U203)="","",IF(INDEX(UCRETLER!$F$7:$F$406,$U203)="Aylık",EOMONTH(INDEX(UCRETLER!$D$7:$D$406,$U203),$V203-1),INDEX(UCRETLER!$D$7:$D$406,$U203)+MOD(SISTEM!$F$8-WEEKDAY(INDEX(UCRETLER!$D$7:$D$406,$U203),2),7)+7*($V203-1))))</f>
        <v/>
      </c>
      <c r="X203" s="3">
        <f>IF($U203=0,0,INDEX(UCRETLER!$G$7:$G$406,$U203))</f>
        <v/>
      </c>
      <c r="Y203" s="3">
        <f>IFERROR(SMALL($T$12:$T$432,ROW()-11),"")</f>
        <v/>
      </c>
      <c r="Z203" s="3">
        <f>IFERROR(MATCH($Y203,$T$12:$T$432,0),"")</f>
        <v/>
      </c>
      <c r="AA203" s="3" t="n"/>
      <c r="AB203" s="3" t="n"/>
      <c r="AC203" s="3" t="n"/>
      <c r="AD203" s="3" t="n"/>
    </row>
    <row r="204">
      <c r="A204" s="6" t="n"/>
      <c r="B204" s="153">
        <f>IF($C204="","",ROW()-11)</f>
        <v/>
      </c>
      <c r="C204" s="240">
        <f>IF($Z204="","",IF(INDEX($N$12:$N$432,$Z204)="","",INDEX($N$12:$N$432,$Z204)))</f>
        <v/>
      </c>
      <c r="D204" s="29">
        <f>IF($C204="","",INDEX($O$12:$O$432,$Z204))</f>
        <v/>
      </c>
      <c r="E204" s="153">
        <f>IF($C204="","",INDEX($P$12:$P$432,$Z204))</f>
        <v/>
      </c>
      <c r="F204" s="241">
        <f>IF($C204="","",INDEX($R$12:$R$432,$Z204))</f>
        <v/>
      </c>
      <c r="G204" s="241">
        <f>IF($C204="","",INDEX($S$12:$S$432,$Z204))</f>
        <v/>
      </c>
      <c r="H204" s="241">
        <f>IF($C204="","",N($H203)+$F204-$G204)</f>
        <v/>
      </c>
      <c r="I204" s="6" t="n"/>
      <c r="J204" s="6" t="n"/>
      <c r="K204" s="3" t="n"/>
      <c r="L204" s="3" t="n"/>
      <c r="M204" s="3" t="n">
        <v>193</v>
      </c>
      <c r="N204" s="3">
        <f>IF(OR($U204=0,$W204="",$X204&lt;=0),"",IF($W204&gt;TODAY(),"",IF(AND(INDEX(UCRETLER!$E$7:$E$406,$U204)&lt;&gt;"",$W204&gt;INDEX(UCRETLER!$E$7:$E$406,$U204)),"",$W204)))</f>
        <v/>
      </c>
      <c r="O204" s="3">
        <f>IF($N204="","",IF(INDEX(UCRETLER!$F$7:$F$406,$U204)="Aylık",CHOOSE(MONTH($N204),"Ocak","Şubat","Mart","Nisan","Mayıs","Haziran","Temmuz","Ağustos","Eylül","Ekim","Kasım","Aralık")&amp;" "&amp;YEAR($N204)&amp;" aylık muhasebe hizmet ücreti",RIGHT("0"&amp;DAY($N204),2)&amp;"."&amp;RIGHT("0"&amp;MONTH($N204),2)&amp;"."&amp;YEAR($N204)&amp;" haftalık muhasebe hizmet ücreti"))</f>
        <v/>
      </c>
      <c r="P204" s="3">
        <f>IF($N204="","","TAHAKKUK")</f>
        <v/>
      </c>
      <c r="Q204" s="3" t="n"/>
      <c r="R204" s="3">
        <f>IF($N204="",0,$X204)</f>
        <v/>
      </c>
      <c r="S204" s="3" t="n">
        <v>0</v>
      </c>
      <c r="T204" s="3">
        <f>IF($N204="",10000000000,$N204*100000+$M204)</f>
        <v/>
      </c>
      <c r="U204" s="3">
        <f>$AB$6</f>
        <v/>
      </c>
      <c r="V204" s="3" t="n">
        <v>32</v>
      </c>
      <c r="W204" s="3">
        <f>IF($U204=0,"",IF(INDEX(UCRETLER!$D$7:$D$406,$U204)="","",IF(INDEX(UCRETLER!$F$7:$F$406,$U204)="Aylık",EOMONTH(INDEX(UCRETLER!$D$7:$D$406,$U204),$V204-1),INDEX(UCRETLER!$D$7:$D$406,$U204)+MOD(SISTEM!$F$8-WEEKDAY(INDEX(UCRETLER!$D$7:$D$406,$U204),2),7)+7*($V204-1))))</f>
        <v/>
      </c>
      <c r="X204" s="3">
        <f>IF($U204=0,0,INDEX(UCRETLER!$G$7:$G$406,$U204))</f>
        <v/>
      </c>
      <c r="Y204" s="3">
        <f>IFERROR(SMALL($T$12:$T$432,ROW()-11),"")</f>
        <v/>
      </c>
      <c r="Z204" s="3">
        <f>IFERROR(MATCH($Y204,$T$12:$T$432,0),"")</f>
        <v/>
      </c>
      <c r="AA204" s="3" t="n"/>
      <c r="AB204" s="3" t="n"/>
      <c r="AC204" s="3" t="n"/>
      <c r="AD204" s="3" t="n"/>
    </row>
    <row r="205">
      <c r="A205" s="6" t="n"/>
      <c r="B205" s="153">
        <f>IF($C205="","",ROW()-11)</f>
        <v/>
      </c>
      <c r="C205" s="240">
        <f>IF($Z205="","",IF(INDEX($N$12:$N$432,$Z205)="","",INDEX($N$12:$N$432,$Z205)))</f>
        <v/>
      </c>
      <c r="D205" s="29">
        <f>IF($C205="","",INDEX($O$12:$O$432,$Z205))</f>
        <v/>
      </c>
      <c r="E205" s="153">
        <f>IF($C205="","",INDEX($P$12:$P$432,$Z205))</f>
        <v/>
      </c>
      <c r="F205" s="241">
        <f>IF($C205="","",INDEX($R$12:$R$432,$Z205))</f>
        <v/>
      </c>
      <c r="G205" s="241">
        <f>IF($C205="","",INDEX($S$12:$S$432,$Z205))</f>
        <v/>
      </c>
      <c r="H205" s="241">
        <f>IF($C205="","",N($H204)+$F205-$G205)</f>
        <v/>
      </c>
      <c r="I205" s="6" t="n"/>
      <c r="J205" s="6" t="n"/>
      <c r="K205" s="3" t="n"/>
      <c r="L205" s="3" t="n"/>
      <c r="M205" s="3" t="n">
        <v>194</v>
      </c>
      <c r="N205" s="3">
        <f>IF(OR($U205=0,$W205="",$X205&lt;=0),"",IF($W205&gt;TODAY(),"",IF(AND(INDEX(UCRETLER!$E$7:$E$406,$U205)&lt;&gt;"",$W205&gt;INDEX(UCRETLER!$E$7:$E$406,$U205)),"",$W205)))</f>
        <v/>
      </c>
      <c r="O205" s="3">
        <f>IF($N205="","",IF(INDEX(UCRETLER!$F$7:$F$406,$U205)="Aylık",CHOOSE(MONTH($N205),"Ocak","Şubat","Mart","Nisan","Mayıs","Haziran","Temmuz","Ağustos","Eylül","Ekim","Kasım","Aralık")&amp;" "&amp;YEAR($N205)&amp;" aylık muhasebe hizmet ücreti",RIGHT("0"&amp;DAY($N205),2)&amp;"."&amp;RIGHT("0"&amp;MONTH($N205),2)&amp;"."&amp;YEAR($N205)&amp;" haftalık muhasebe hizmet ücreti"))</f>
        <v/>
      </c>
      <c r="P205" s="3">
        <f>IF($N205="","","TAHAKKUK")</f>
        <v/>
      </c>
      <c r="Q205" s="3" t="n"/>
      <c r="R205" s="3">
        <f>IF($N205="",0,$X205)</f>
        <v/>
      </c>
      <c r="S205" s="3" t="n">
        <v>0</v>
      </c>
      <c r="T205" s="3">
        <f>IF($N205="",10000000000,$N205*100000+$M205)</f>
        <v/>
      </c>
      <c r="U205" s="3">
        <f>$AB$6</f>
        <v/>
      </c>
      <c r="V205" s="3" t="n">
        <v>33</v>
      </c>
      <c r="W205" s="3">
        <f>IF($U205=0,"",IF(INDEX(UCRETLER!$D$7:$D$406,$U205)="","",IF(INDEX(UCRETLER!$F$7:$F$406,$U205)="Aylık",EOMONTH(INDEX(UCRETLER!$D$7:$D$406,$U205),$V205-1),INDEX(UCRETLER!$D$7:$D$406,$U205)+MOD(SISTEM!$F$8-WEEKDAY(INDEX(UCRETLER!$D$7:$D$406,$U205),2),7)+7*($V205-1))))</f>
        <v/>
      </c>
      <c r="X205" s="3">
        <f>IF($U205=0,0,INDEX(UCRETLER!$G$7:$G$406,$U205))</f>
        <v/>
      </c>
      <c r="Y205" s="3">
        <f>IFERROR(SMALL($T$12:$T$432,ROW()-11),"")</f>
        <v/>
      </c>
      <c r="Z205" s="3">
        <f>IFERROR(MATCH($Y205,$T$12:$T$432,0),"")</f>
        <v/>
      </c>
      <c r="AA205" s="3" t="n"/>
      <c r="AB205" s="3" t="n"/>
      <c r="AC205" s="3" t="n"/>
      <c r="AD205" s="3" t="n"/>
    </row>
    <row r="206">
      <c r="A206" s="6" t="n"/>
      <c r="B206" s="153">
        <f>IF($C206="","",ROW()-11)</f>
        <v/>
      </c>
      <c r="C206" s="240">
        <f>IF($Z206="","",IF(INDEX($N$12:$N$432,$Z206)="","",INDEX($N$12:$N$432,$Z206)))</f>
        <v/>
      </c>
      <c r="D206" s="29">
        <f>IF($C206="","",INDEX($O$12:$O$432,$Z206))</f>
        <v/>
      </c>
      <c r="E206" s="153">
        <f>IF($C206="","",INDEX($P$12:$P$432,$Z206))</f>
        <v/>
      </c>
      <c r="F206" s="241">
        <f>IF($C206="","",INDEX($R$12:$R$432,$Z206))</f>
        <v/>
      </c>
      <c r="G206" s="241">
        <f>IF($C206="","",INDEX($S$12:$S$432,$Z206))</f>
        <v/>
      </c>
      <c r="H206" s="241">
        <f>IF($C206="","",N($H205)+$F206-$G206)</f>
        <v/>
      </c>
      <c r="I206" s="6" t="n"/>
      <c r="J206" s="6" t="n"/>
      <c r="K206" s="3" t="n"/>
      <c r="L206" s="3" t="n"/>
      <c r="M206" s="3" t="n">
        <v>195</v>
      </c>
      <c r="N206" s="3">
        <f>IF(OR($U206=0,$W206="",$X206&lt;=0),"",IF($W206&gt;TODAY(),"",IF(AND(INDEX(UCRETLER!$E$7:$E$406,$U206)&lt;&gt;"",$W206&gt;INDEX(UCRETLER!$E$7:$E$406,$U206)),"",$W206)))</f>
        <v/>
      </c>
      <c r="O206" s="3">
        <f>IF($N206="","",IF(INDEX(UCRETLER!$F$7:$F$406,$U206)="Aylık",CHOOSE(MONTH($N206),"Ocak","Şubat","Mart","Nisan","Mayıs","Haziran","Temmuz","Ağustos","Eylül","Ekim","Kasım","Aralık")&amp;" "&amp;YEAR($N206)&amp;" aylık muhasebe hizmet ücreti",RIGHT("0"&amp;DAY($N206),2)&amp;"."&amp;RIGHT("0"&amp;MONTH($N206),2)&amp;"."&amp;YEAR($N206)&amp;" haftalık muhasebe hizmet ücreti"))</f>
        <v/>
      </c>
      <c r="P206" s="3">
        <f>IF($N206="","","TAHAKKUK")</f>
        <v/>
      </c>
      <c r="Q206" s="3" t="n"/>
      <c r="R206" s="3">
        <f>IF($N206="",0,$X206)</f>
        <v/>
      </c>
      <c r="S206" s="3" t="n">
        <v>0</v>
      </c>
      <c r="T206" s="3">
        <f>IF($N206="",10000000000,$N206*100000+$M206)</f>
        <v/>
      </c>
      <c r="U206" s="3">
        <f>$AB$6</f>
        <v/>
      </c>
      <c r="V206" s="3" t="n">
        <v>34</v>
      </c>
      <c r="W206" s="3">
        <f>IF($U206=0,"",IF(INDEX(UCRETLER!$D$7:$D$406,$U206)="","",IF(INDEX(UCRETLER!$F$7:$F$406,$U206)="Aylık",EOMONTH(INDEX(UCRETLER!$D$7:$D$406,$U206),$V206-1),INDEX(UCRETLER!$D$7:$D$406,$U206)+MOD(SISTEM!$F$8-WEEKDAY(INDEX(UCRETLER!$D$7:$D$406,$U206),2),7)+7*($V206-1))))</f>
        <v/>
      </c>
      <c r="X206" s="3">
        <f>IF($U206=0,0,INDEX(UCRETLER!$G$7:$G$406,$U206))</f>
        <v/>
      </c>
      <c r="Y206" s="3">
        <f>IFERROR(SMALL($T$12:$T$432,ROW()-11),"")</f>
        <v/>
      </c>
      <c r="Z206" s="3">
        <f>IFERROR(MATCH($Y206,$T$12:$T$432,0),"")</f>
        <v/>
      </c>
      <c r="AA206" s="3" t="n"/>
      <c r="AB206" s="3" t="n"/>
      <c r="AC206" s="3" t="n"/>
      <c r="AD206" s="3" t="n"/>
    </row>
    <row r="207">
      <c r="A207" s="6" t="n"/>
      <c r="B207" s="153">
        <f>IF($C207="","",ROW()-11)</f>
        <v/>
      </c>
      <c r="C207" s="240">
        <f>IF($Z207="","",IF(INDEX($N$12:$N$432,$Z207)="","",INDEX($N$12:$N$432,$Z207)))</f>
        <v/>
      </c>
      <c r="D207" s="29">
        <f>IF($C207="","",INDEX($O$12:$O$432,$Z207))</f>
        <v/>
      </c>
      <c r="E207" s="153">
        <f>IF($C207="","",INDEX($P$12:$P$432,$Z207))</f>
        <v/>
      </c>
      <c r="F207" s="241">
        <f>IF($C207="","",INDEX($R$12:$R$432,$Z207))</f>
        <v/>
      </c>
      <c r="G207" s="241">
        <f>IF($C207="","",INDEX($S$12:$S$432,$Z207))</f>
        <v/>
      </c>
      <c r="H207" s="241">
        <f>IF($C207="","",N($H206)+$F207-$G207)</f>
        <v/>
      </c>
      <c r="I207" s="6" t="n"/>
      <c r="J207" s="6" t="n"/>
      <c r="K207" s="3" t="n"/>
      <c r="L207" s="3" t="n"/>
      <c r="M207" s="3" t="n">
        <v>196</v>
      </c>
      <c r="N207" s="3">
        <f>IF(OR($U207=0,$W207="",$X207&lt;=0),"",IF($W207&gt;TODAY(),"",IF(AND(INDEX(UCRETLER!$E$7:$E$406,$U207)&lt;&gt;"",$W207&gt;INDEX(UCRETLER!$E$7:$E$406,$U207)),"",$W207)))</f>
        <v/>
      </c>
      <c r="O207" s="3">
        <f>IF($N207="","",IF(INDEX(UCRETLER!$F$7:$F$406,$U207)="Aylık",CHOOSE(MONTH($N207),"Ocak","Şubat","Mart","Nisan","Mayıs","Haziran","Temmuz","Ağustos","Eylül","Ekim","Kasım","Aralık")&amp;" "&amp;YEAR($N207)&amp;" aylık muhasebe hizmet ücreti",RIGHT("0"&amp;DAY($N207),2)&amp;"."&amp;RIGHT("0"&amp;MONTH($N207),2)&amp;"."&amp;YEAR($N207)&amp;" haftalık muhasebe hizmet ücreti"))</f>
        <v/>
      </c>
      <c r="P207" s="3">
        <f>IF($N207="","","TAHAKKUK")</f>
        <v/>
      </c>
      <c r="Q207" s="3" t="n"/>
      <c r="R207" s="3">
        <f>IF($N207="",0,$X207)</f>
        <v/>
      </c>
      <c r="S207" s="3" t="n">
        <v>0</v>
      </c>
      <c r="T207" s="3">
        <f>IF($N207="",10000000000,$N207*100000+$M207)</f>
        <v/>
      </c>
      <c r="U207" s="3">
        <f>$AB$6</f>
        <v/>
      </c>
      <c r="V207" s="3" t="n">
        <v>35</v>
      </c>
      <c r="W207" s="3">
        <f>IF($U207=0,"",IF(INDEX(UCRETLER!$D$7:$D$406,$U207)="","",IF(INDEX(UCRETLER!$F$7:$F$406,$U207)="Aylık",EOMONTH(INDEX(UCRETLER!$D$7:$D$406,$U207),$V207-1),INDEX(UCRETLER!$D$7:$D$406,$U207)+MOD(SISTEM!$F$8-WEEKDAY(INDEX(UCRETLER!$D$7:$D$406,$U207),2),7)+7*($V207-1))))</f>
        <v/>
      </c>
      <c r="X207" s="3">
        <f>IF($U207=0,0,INDEX(UCRETLER!$G$7:$G$406,$U207))</f>
        <v/>
      </c>
      <c r="Y207" s="3">
        <f>IFERROR(SMALL($T$12:$T$432,ROW()-11),"")</f>
        <v/>
      </c>
      <c r="Z207" s="3">
        <f>IFERROR(MATCH($Y207,$T$12:$T$432,0),"")</f>
        <v/>
      </c>
      <c r="AA207" s="3" t="n"/>
      <c r="AB207" s="3" t="n"/>
      <c r="AC207" s="3" t="n"/>
      <c r="AD207" s="3" t="n"/>
    </row>
    <row r="208">
      <c r="A208" s="6" t="n"/>
      <c r="B208" s="153">
        <f>IF($C208="","",ROW()-11)</f>
        <v/>
      </c>
      <c r="C208" s="240">
        <f>IF($Z208="","",IF(INDEX($N$12:$N$432,$Z208)="","",INDEX($N$12:$N$432,$Z208)))</f>
        <v/>
      </c>
      <c r="D208" s="29">
        <f>IF($C208="","",INDEX($O$12:$O$432,$Z208))</f>
        <v/>
      </c>
      <c r="E208" s="153">
        <f>IF($C208="","",INDEX($P$12:$P$432,$Z208))</f>
        <v/>
      </c>
      <c r="F208" s="241">
        <f>IF($C208="","",INDEX($R$12:$R$432,$Z208))</f>
        <v/>
      </c>
      <c r="G208" s="241">
        <f>IF($C208="","",INDEX($S$12:$S$432,$Z208))</f>
        <v/>
      </c>
      <c r="H208" s="241">
        <f>IF($C208="","",N($H207)+$F208-$G208)</f>
        <v/>
      </c>
      <c r="I208" s="6" t="n"/>
      <c r="J208" s="6" t="n"/>
      <c r="K208" s="3" t="n"/>
      <c r="L208" s="3" t="n"/>
      <c r="M208" s="3" t="n">
        <v>197</v>
      </c>
      <c r="N208" s="3">
        <f>IF(OR($U208=0,$W208="",$X208&lt;=0),"",IF($W208&gt;TODAY(),"",IF(AND(INDEX(UCRETLER!$E$7:$E$406,$U208)&lt;&gt;"",$W208&gt;INDEX(UCRETLER!$E$7:$E$406,$U208)),"",$W208)))</f>
        <v/>
      </c>
      <c r="O208" s="3">
        <f>IF($N208="","",IF(INDEX(UCRETLER!$F$7:$F$406,$U208)="Aylık",CHOOSE(MONTH($N208),"Ocak","Şubat","Mart","Nisan","Mayıs","Haziran","Temmuz","Ağustos","Eylül","Ekim","Kasım","Aralık")&amp;" "&amp;YEAR($N208)&amp;" aylık muhasebe hizmet ücreti",RIGHT("0"&amp;DAY($N208),2)&amp;"."&amp;RIGHT("0"&amp;MONTH($N208),2)&amp;"."&amp;YEAR($N208)&amp;" haftalık muhasebe hizmet ücreti"))</f>
        <v/>
      </c>
      <c r="P208" s="3">
        <f>IF($N208="","","TAHAKKUK")</f>
        <v/>
      </c>
      <c r="Q208" s="3" t="n"/>
      <c r="R208" s="3">
        <f>IF($N208="",0,$X208)</f>
        <v/>
      </c>
      <c r="S208" s="3" t="n">
        <v>0</v>
      </c>
      <c r="T208" s="3">
        <f>IF($N208="",10000000000,$N208*100000+$M208)</f>
        <v/>
      </c>
      <c r="U208" s="3">
        <f>$AB$6</f>
        <v/>
      </c>
      <c r="V208" s="3" t="n">
        <v>36</v>
      </c>
      <c r="W208" s="3">
        <f>IF($U208=0,"",IF(INDEX(UCRETLER!$D$7:$D$406,$U208)="","",IF(INDEX(UCRETLER!$F$7:$F$406,$U208)="Aylık",EOMONTH(INDEX(UCRETLER!$D$7:$D$406,$U208),$V208-1),INDEX(UCRETLER!$D$7:$D$406,$U208)+MOD(SISTEM!$F$8-WEEKDAY(INDEX(UCRETLER!$D$7:$D$406,$U208),2),7)+7*($V208-1))))</f>
        <v/>
      </c>
      <c r="X208" s="3">
        <f>IF($U208=0,0,INDEX(UCRETLER!$G$7:$G$406,$U208))</f>
        <v/>
      </c>
      <c r="Y208" s="3">
        <f>IFERROR(SMALL($T$12:$T$432,ROW()-11),"")</f>
        <v/>
      </c>
      <c r="Z208" s="3">
        <f>IFERROR(MATCH($Y208,$T$12:$T$432,0),"")</f>
        <v/>
      </c>
      <c r="AA208" s="3" t="n"/>
      <c r="AB208" s="3" t="n"/>
      <c r="AC208" s="3" t="n"/>
      <c r="AD208" s="3" t="n"/>
    </row>
    <row r="209">
      <c r="A209" s="6" t="n"/>
      <c r="B209" s="153">
        <f>IF($C209="","",ROW()-11)</f>
        <v/>
      </c>
      <c r="C209" s="240">
        <f>IF($Z209="","",IF(INDEX($N$12:$N$432,$Z209)="","",INDEX($N$12:$N$432,$Z209)))</f>
        <v/>
      </c>
      <c r="D209" s="29">
        <f>IF($C209="","",INDEX($O$12:$O$432,$Z209))</f>
        <v/>
      </c>
      <c r="E209" s="153">
        <f>IF($C209="","",INDEX($P$12:$P$432,$Z209))</f>
        <v/>
      </c>
      <c r="F209" s="241">
        <f>IF($C209="","",INDEX($R$12:$R$432,$Z209))</f>
        <v/>
      </c>
      <c r="G209" s="241">
        <f>IF($C209="","",INDEX($S$12:$S$432,$Z209))</f>
        <v/>
      </c>
      <c r="H209" s="241">
        <f>IF($C209="","",N($H208)+$F209-$G209)</f>
        <v/>
      </c>
      <c r="I209" s="6" t="n"/>
      <c r="J209" s="6" t="n"/>
      <c r="K209" s="3" t="n"/>
      <c r="L209" s="3" t="n"/>
      <c r="M209" s="3" t="n">
        <v>198</v>
      </c>
      <c r="N209" s="3">
        <f>IF(OR($U209=0,$W209="",$X209&lt;=0),"",IF($W209&gt;TODAY(),"",IF(AND(INDEX(UCRETLER!$E$7:$E$406,$U209)&lt;&gt;"",$W209&gt;INDEX(UCRETLER!$E$7:$E$406,$U209)),"",$W209)))</f>
        <v/>
      </c>
      <c r="O209" s="3">
        <f>IF($N209="","",IF(INDEX(UCRETLER!$F$7:$F$406,$U209)="Aylık",CHOOSE(MONTH($N209),"Ocak","Şubat","Mart","Nisan","Mayıs","Haziran","Temmuz","Ağustos","Eylül","Ekim","Kasım","Aralık")&amp;" "&amp;YEAR($N209)&amp;" aylık muhasebe hizmet ücreti",RIGHT("0"&amp;DAY($N209),2)&amp;"."&amp;RIGHT("0"&amp;MONTH($N209),2)&amp;"."&amp;YEAR($N209)&amp;" haftalık muhasebe hizmet ücreti"))</f>
        <v/>
      </c>
      <c r="P209" s="3">
        <f>IF($N209="","","TAHAKKUK")</f>
        <v/>
      </c>
      <c r="Q209" s="3" t="n"/>
      <c r="R209" s="3">
        <f>IF($N209="",0,$X209)</f>
        <v/>
      </c>
      <c r="S209" s="3" t="n">
        <v>0</v>
      </c>
      <c r="T209" s="3">
        <f>IF($N209="",10000000000,$N209*100000+$M209)</f>
        <v/>
      </c>
      <c r="U209" s="3">
        <f>$AB$6</f>
        <v/>
      </c>
      <c r="V209" s="3" t="n">
        <v>37</v>
      </c>
      <c r="W209" s="3">
        <f>IF($U209=0,"",IF(INDEX(UCRETLER!$D$7:$D$406,$U209)="","",IF(INDEX(UCRETLER!$F$7:$F$406,$U209)="Aylık",EOMONTH(INDEX(UCRETLER!$D$7:$D$406,$U209),$V209-1),INDEX(UCRETLER!$D$7:$D$406,$U209)+MOD(SISTEM!$F$8-WEEKDAY(INDEX(UCRETLER!$D$7:$D$406,$U209),2),7)+7*($V209-1))))</f>
        <v/>
      </c>
      <c r="X209" s="3">
        <f>IF($U209=0,0,INDEX(UCRETLER!$G$7:$G$406,$U209))</f>
        <v/>
      </c>
      <c r="Y209" s="3">
        <f>IFERROR(SMALL($T$12:$T$432,ROW()-11),"")</f>
        <v/>
      </c>
      <c r="Z209" s="3">
        <f>IFERROR(MATCH($Y209,$T$12:$T$432,0),"")</f>
        <v/>
      </c>
      <c r="AA209" s="3" t="n"/>
      <c r="AB209" s="3" t="n"/>
      <c r="AC209" s="3" t="n"/>
      <c r="AD209" s="3" t="n"/>
    </row>
    <row r="210">
      <c r="A210" s="6" t="n"/>
      <c r="B210" s="153">
        <f>IF($C210="","",ROW()-11)</f>
        <v/>
      </c>
      <c r="C210" s="240">
        <f>IF($Z210="","",IF(INDEX($N$12:$N$432,$Z210)="","",INDEX($N$12:$N$432,$Z210)))</f>
        <v/>
      </c>
      <c r="D210" s="29">
        <f>IF($C210="","",INDEX($O$12:$O$432,$Z210))</f>
        <v/>
      </c>
      <c r="E210" s="153">
        <f>IF($C210="","",INDEX($P$12:$P$432,$Z210))</f>
        <v/>
      </c>
      <c r="F210" s="241">
        <f>IF($C210="","",INDEX($R$12:$R$432,$Z210))</f>
        <v/>
      </c>
      <c r="G210" s="241">
        <f>IF($C210="","",INDEX($S$12:$S$432,$Z210))</f>
        <v/>
      </c>
      <c r="H210" s="241">
        <f>IF($C210="","",N($H209)+$F210-$G210)</f>
        <v/>
      </c>
      <c r="I210" s="6" t="n"/>
      <c r="J210" s="6" t="n"/>
      <c r="K210" s="3" t="n"/>
      <c r="L210" s="3" t="n"/>
      <c r="M210" s="3" t="n">
        <v>199</v>
      </c>
      <c r="N210" s="3">
        <f>IF(OR($U210=0,$W210="",$X210&lt;=0),"",IF($W210&gt;TODAY(),"",IF(AND(INDEX(UCRETLER!$E$7:$E$406,$U210)&lt;&gt;"",$W210&gt;INDEX(UCRETLER!$E$7:$E$406,$U210)),"",$W210)))</f>
        <v/>
      </c>
      <c r="O210" s="3">
        <f>IF($N210="","",IF(INDEX(UCRETLER!$F$7:$F$406,$U210)="Aylık",CHOOSE(MONTH($N210),"Ocak","Şubat","Mart","Nisan","Mayıs","Haziran","Temmuz","Ağustos","Eylül","Ekim","Kasım","Aralık")&amp;" "&amp;YEAR($N210)&amp;" aylık muhasebe hizmet ücreti",RIGHT("0"&amp;DAY($N210),2)&amp;"."&amp;RIGHT("0"&amp;MONTH($N210),2)&amp;"."&amp;YEAR($N210)&amp;" haftalık muhasebe hizmet ücreti"))</f>
        <v/>
      </c>
      <c r="P210" s="3">
        <f>IF($N210="","","TAHAKKUK")</f>
        <v/>
      </c>
      <c r="Q210" s="3" t="n"/>
      <c r="R210" s="3">
        <f>IF($N210="",0,$X210)</f>
        <v/>
      </c>
      <c r="S210" s="3" t="n">
        <v>0</v>
      </c>
      <c r="T210" s="3">
        <f>IF($N210="",10000000000,$N210*100000+$M210)</f>
        <v/>
      </c>
      <c r="U210" s="3">
        <f>$AB$6</f>
        <v/>
      </c>
      <c r="V210" s="3" t="n">
        <v>38</v>
      </c>
      <c r="W210" s="3">
        <f>IF($U210=0,"",IF(INDEX(UCRETLER!$D$7:$D$406,$U210)="","",IF(INDEX(UCRETLER!$F$7:$F$406,$U210)="Aylık",EOMONTH(INDEX(UCRETLER!$D$7:$D$406,$U210),$V210-1),INDEX(UCRETLER!$D$7:$D$406,$U210)+MOD(SISTEM!$F$8-WEEKDAY(INDEX(UCRETLER!$D$7:$D$406,$U210),2),7)+7*($V210-1))))</f>
        <v/>
      </c>
      <c r="X210" s="3">
        <f>IF($U210=0,0,INDEX(UCRETLER!$G$7:$G$406,$U210))</f>
        <v/>
      </c>
      <c r="Y210" s="3">
        <f>IFERROR(SMALL($T$12:$T$432,ROW()-11),"")</f>
        <v/>
      </c>
      <c r="Z210" s="3">
        <f>IFERROR(MATCH($Y210,$T$12:$T$432,0),"")</f>
        <v/>
      </c>
      <c r="AA210" s="3" t="n"/>
      <c r="AB210" s="3" t="n"/>
      <c r="AC210" s="3" t="n"/>
      <c r="AD210" s="3" t="n"/>
    </row>
    <row r="211">
      <c r="A211" s="6" t="n"/>
      <c r="B211" s="153">
        <f>IF($C211="","",ROW()-11)</f>
        <v/>
      </c>
      <c r="C211" s="240">
        <f>IF($Z211="","",IF(INDEX($N$12:$N$432,$Z211)="","",INDEX($N$12:$N$432,$Z211)))</f>
        <v/>
      </c>
      <c r="D211" s="29">
        <f>IF($C211="","",INDEX($O$12:$O$432,$Z211))</f>
        <v/>
      </c>
      <c r="E211" s="153">
        <f>IF($C211="","",INDEX($P$12:$P$432,$Z211))</f>
        <v/>
      </c>
      <c r="F211" s="241">
        <f>IF($C211="","",INDEX($R$12:$R$432,$Z211))</f>
        <v/>
      </c>
      <c r="G211" s="241">
        <f>IF($C211="","",INDEX($S$12:$S$432,$Z211))</f>
        <v/>
      </c>
      <c r="H211" s="241">
        <f>IF($C211="","",N($H210)+$F211-$G211)</f>
        <v/>
      </c>
      <c r="I211" s="6" t="n"/>
      <c r="J211" s="6" t="n"/>
      <c r="K211" s="3" t="n"/>
      <c r="L211" s="3" t="n"/>
      <c r="M211" s="3" t="n">
        <v>200</v>
      </c>
      <c r="N211" s="3">
        <f>IF(OR($U211=0,$W211="",$X211&lt;=0),"",IF($W211&gt;TODAY(),"",IF(AND(INDEX(UCRETLER!$E$7:$E$406,$U211)&lt;&gt;"",$W211&gt;INDEX(UCRETLER!$E$7:$E$406,$U211)),"",$W211)))</f>
        <v/>
      </c>
      <c r="O211" s="3">
        <f>IF($N211="","",IF(INDEX(UCRETLER!$F$7:$F$406,$U211)="Aylık",CHOOSE(MONTH($N211),"Ocak","Şubat","Mart","Nisan","Mayıs","Haziran","Temmuz","Ağustos","Eylül","Ekim","Kasım","Aralık")&amp;" "&amp;YEAR($N211)&amp;" aylık muhasebe hizmet ücreti",RIGHT("0"&amp;DAY($N211),2)&amp;"."&amp;RIGHT("0"&amp;MONTH($N211),2)&amp;"."&amp;YEAR($N211)&amp;" haftalık muhasebe hizmet ücreti"))</f>
        <v/>
      </c>
      <c r="P211" s="3">
        <f>IF($N211="","","TAHAKKUK")</f>
        <v/>
      </c>
      <c r="Q211" s="3" t="n"/>
      <c r="R211" s="3">
        <f>IF($N211="",0,$X211)</f>
        <v/>
      </c>
      <c r="S211" s="3" t="n">
        <v>0</v>
      </c>
      <c r="T211" s="3">
        <f>IF($N211="",10000000000,$N211*100000+$M211)</f>
        <v/>
      </c>
      <c r="U211" s="3">
        <f>$AB$6</f>
        <v/>
      </c>
      <c r="V211" s="3" t="n">
        <v>39</v>
      </c>
      <c r="W211" s="3">
        <f>IF($U211=0,"",IF(INDEX(UCRETLER!$D$7:$D$406,$U211)="","",IF(INDEX(UCRETLER!$F$7:$F$406,$U211)="Aylık",EOMONTH(INDEX(UCRETLER!$D$7:$D$406,$U211),$V211-1),INDEX(UCRETLER!$D$7:$D$406,$U211)+MOD(SISTEM!$F$8-WEEKDAY(INDEX(UCRETLER!$D$7:$D$406,$U211),2),7)+7*($V211-1))))</f>
        <v/>
      </c>
      <c r="X211" s="3">
        <f>IF($U211=0,0,INDEX(UCRETLER!$G$7:$G$406,$U211))</f>
        <v/>
      </c>
      <c r="Y211" s="3">
        <f>IFERROR(SMALL($T$12:$T$432,ROW()-11),"")</f>
        <v/>
      </c>
      <c r="Z211" s="3">
        <f>IFERROR(MATCH($Y211,$T$12:$T$432,0),"")</f>
        <v/>
      </c>
      <c r="AA211" s="3" t="n"/>
      <c r="AB211" s="3" t="n"/>
      <c r="AC211" s="3" t="n"/>
      <c r="AD211" s="3" t="n"/>
    </row>
    <row r="212">
      <c r="A212" s="6" t="n"/>
      <c r="B212" s="153">
        <f>IF($C212="","",ROW()-11)</f>
        <v/>
      </c>
      <c r="C212" s="240">
        <f>IF($Z212="","",IF(INDEX($N$12:$N$432,$Z212)="","",INDEX($N$12:$N$432,$Z212)))</f>
        <v/>
      </c>
      <c r="D212" s="29">
        <f>IF($C212="","",INDEX($O$12:$O$432,$Z212))</f>
        <v/>
      </c>
      <c r="E212" s="153">
        <f>IF($C212="","",INDEX($P$12:$P$432,$Z212))</f>
        <v/>
      </c>
      <c r="F212" s="241">
        <f>IF($C212="","",INDEX($R$12:$R$432,$Z212))</f>
        <v/>
      </c>
      <c r="G212" s="241">
        <f>IF($C212="","",INDEX($S$12:$S$432,$Z212))</f>
        <v/>
      </c>
      <c r="H212" s="241">
        <f>IF($C212="","",N($H211)+$F212-$G212)</f>
        <v/>
      </c>
      <c r="I212" s="6" t="n"/>
      <c r="J212" s="6" t="n"/>
      <c r="K212" s="3" t="n"/>
      <c r="L212" s="3" t="n"/>
      <c r="M212" s="3" t="n">
        <v>201</v>
      </c>
      <c r="N212" s="3">
        <f>IF(OR($U212=0,$W212="",$X212&lt;=0),"",IF($W212&gt;TODAY(),"",IF(AND(INDEX(UCRETLER!$E$7:$E$406,$U212)&lt;&gt;"",$W212&gt;INDEX(UCRETLER!$E$7:$E$406,$U212)),"",$W212)))</f>
        <v/>
      </c>
      <c r="O212" s="3">
        <f>IF($N212="","",IF(INDEX(UCRETLER!$F$7:$F$406,$U212)="Aylık",CHOOSE(MONTH($N212),"Ocak","Şubat","Mart","Nisan","Mayıs","Haziran","Temmuz","Ağustos","Eylül","Ekim","Kasım","Aralık")&amp;" "&amp;YEAR($N212)&amp;" aylık muhasebe hizmet ücreti",RIGHT("0"&amp;DAY($N212),2)&amp;"."&amp;RIGHT("0"&amp;MONTH($N212),2)&amp;"."&amp;YEAR($N212)&amp;" haftalık muhasebe hizmet ücreti"))</f>
        <v/>
      </c>
      <c r="P212" s="3">
        <f>IF($N212="","","TAHAKKUK")</f>
        <v/>
      </c>
      <c r="Q212" s="3" t="n"/>
      <c r="R212" s="3">
        <f>IF($N212="",0,$X212)</f>
        <v/>
      </c>
      <c r="S212" s="3" t="n">
        <v>0</v>
      </c>
      <c r="T212" s="3">
        <f>IF($N212="",10000000000,$N212*100000+$M212)</f>
        <v/>
      </c>
      <c r="U212" s="3">
        <f>$AB$6</f>
        <v/>
      </c>
      <c r="V212" s="3" t="n">
        <v>40</v>
      </c>
      <c r="W212" s="3">
        <f>IF($U212=0,"",IF(INDEX(UCRETLER!$D$7:$D$406,$U212)="","",IF(INDEX(UCRETLER!$F$7:$F$406,$U212)="Aylık",EOMONTH(INDEX(UCRETLER!$D$7:$D$406,$U212),$V212-1),INDEX(UCRETLER!$D$7:$D$406,$U212)+MOD(SISTEM!$F$8-WEEKDAY(INDEX(UCRETLER!$D$7:$D$406,$U212),2),7)+7*($V212-1))))</f>
        <v/>
      </c>
      <c r="X212" s="3">
        <f>IF($U212=0,0,INDEX(UCRETLER!$G$7:$G$406,$U212))</f>
        <v/>
      </c>
      <c r="Y212" s="3">
        <f>IFERROR(SMALL($T$12:$T$432,ROW()-11),"")</f>
        <v/>
      </c>
      <c r="Z212" s="3">
        <f>IFERROR(MATCH($Y212,$T$12:$T$432,0),"")</f>
        <v/>
      </c>
      <c r="AA212" s="3" t="n"/>
      <c r="AB212" s="3" t="n"/>
      <c r="AC212" s="3" t="n"/>
      <c r="AD212" s="3" t="n"/>
    </row>
    <row r="213">
      <c r="A213" s="6" t="n"/>
      <c r="B213" s="153">
        <f>IF($C213="","",ROW()-11)</f>
        <v/>
      </c>
      <c r="C213" s="240">
        <f>IF($Z213="","",IF(INDEX($N$12:$N$432,$Z213)="","",INDEX($N$12:$N$432,$Z213)))</f>
        <v/>
      </c>
      <c r="D213" s="29">
        <f>IF($C213="","",INDEX($O$12:$O$432,$Z213))</f>
        <v/>
      </c>
      <c r="E213" s="153">
        <f>IF($C213="","",INDEX($P$12:$P$432,$Z213))</f>
        <v/>
      </c>
      <c r="F213" s="241">
        <f>IF($C213="","",INDEX($R$12:$R$432,$Z213))</f>
        <v/>
      </c>
      <c r="G213" s="241">
        <f>IF($C213="","",INDEX($S$12:$S$432,$Z213))</f>
        <v/>
      </c>
      <c r="H213" s="241">
        <f>IF($C213="","",N($H212)+$F213-$G213)</f>
        <v/>
      </c>
      <c r="I213" s="6" t="n"/>
      <c r="J213" s="6" t="n"/>
      <c r="K213" s="3" t="n"/>
      <c r="L213" s="3" t="n"/>
      <c r="M213" s="3" t="n">
        <v>202</v>
      </c>
      <c r="N213" s="3">
        <f>IF(OR($U213=0,$W213="",$X213&lt;=0),"",IF($W213&gt;TODAY(),"",IF(AND(INDEX(UCRETLER!$E$7:$E$406,$U213)&lt;&gt;"",$W213&gt;INDEX(UCRETLER!$E$7:$E$406,$U213)),"",$W213)))</f>
        <v/>
      </c>
      <c r="O213" s="3">
        <f>IF($N213="","",IF(INDEX(UCRETLER!$F$7:$F$406,$U213)="Aylık",CHOOSE(MONTH($N213),"Ocak","Şubat","Mart","Nisan","Mayıs","Haziran","Temmuz","Ağustos","Eylül","Ekim","Kasım","Aralık")&amp;" "&amp;YEAR($N213)&amp;" aylık muhasebe hizmet ücreti",RIGHT("0"&amp;DAY($N213),2)&amp;"."&amp;RIGHT("0"&amp;MONTH($N213),2)&amp;"."&amp;YEAR($N213)&amp;" haftalık muhasebe hizmet ücreti"))</f>
        <v/>
      </c>
      <c r="P213" s="3">
        <f>IF($N213="","","TAHAKKUK")</f>
        <v/>
      </c>
      <c r="Q213" s="3" t="n"/>
      <c r="R213" s="3">
        <f>IF($N213="",0,$X213)</f>
        <v/>
      </c>
      <c r="S213" s="3" t="n">
        <v>0</v>
      </c>
      <c r="T213" s="3">
        <f>IF($N213="",10000000000,$N213*100000+$M213)</f>
        <v/>
      </c>
      <c r="U213" s="3">
        <f>$AB$6</f>
        <v/>
      </c>
      <c r="V213" s="3" t="n">
        <v>41</v>
      </c>
      <c r="W213" s="3">
        <f>IF($U213=0,"",IF(INDEX(UCRETLER!$D$7:$D$406,$U213)="","",IF(INDEX(UCRETLER!$F$7:$F$406,$U213)="Aylık",EOMONTH(INDEX(UCRETLER!$D$7:$D$406,$U213),$V213-1),INDEX(UCRETLER!$D$7:$D$406,$U213)+MOD(SISTEM!$F$8-WEEKDAY(INDEX(UCRETLER!$D$7:$D$406,$U213),2),7)+7*($V213-1))))</f>
        <v/>
      </c>
      <c r="X213" s="3">
        <f>IF($U213=0,0,INDEX(UCRETLER!$G$7:$G$406,$U213))</f>
        <v/>
      </c>
      <c r="Y213" s="3">
        <f>IFERROR(SMALL($T$12:$T$432,ROW()-11),"")</f>
        <v/>
      </c>
      <c r="Z213" s="3">
        <f>IFERROR(MATCH($Y213,$T$12:$T$432,0),"")</f>
        <v/>
      </c>
      <c r="AA213" s="3" t="n"/>
      <c r="AB213" s="3" t="n"/>
      <c r="AC213" s="3" t="n"/>
      <c r="AD213" s="3" t="n"/>
    </row>
    <row r="214">
      <c r="A214" s="6" t="n"/>
      <c r="B214" s="153">
        <f>IF($C214="","",ROW()-11)</f>
        <v/>
      </c>
      <c r="C214" s="240">
        <f>IF($Z214="","",IF(INDEX($N$12:$N$432,$Z214)="","",INDEX($N$12:$N$432,$Z214)))</f>
        <v/>
      </c>
      <c r="D214" s="29">
        <f>IF($C214="","",INDEX($O$12:$O$432,$Z214))</f>
        <v/>
      </c>
      <c r="E214" s="153">
        <f>IF($C214="","",INDEX($P$12:$P$432,$Z214))</f>
        <v/>
      </c>
      <c r="F214" s="241">
        <f>IF($C214="","",INDEX($R$12:$R$432,$Z214))</f>
        <v/>
      </c>
      <c r="G214" s="241">
        <f>IF($C214="","",INDEX($S$12:$S$432,$Z214))</f>
        <v/>
      </c>
      <c r="H214" s="241">
        <f>IF($C214="","",N($H213)+$F214-$G214)</f>
        <v/>
      </c>
      <c r="I214" s="6" t="n"/>
      <c r="J214" s="6" t="n"/>
      <c r="K214" s="3" t="n"/>
      <c r="L214" s="3" t="n"/>
      <c r="M214" s="3" t="n">
        <v>203</v>
      </c>
      <c r="N214" s="3">
        <f>IF(OR($U214=0,$W214="",$X214&lt;=0),"",IF($W214&gt;TODAY(),"",IF(AND(INDEX(UCRETLER!$E$7:$E$406,$U214)&lt;&gt;"",$W214&gt;INDEX(UCRETLER!$E$7:$E$406,$U214)),"",$W214)))</f>
        <v/>
      </c>
      <c r="O214" s="3">
        <f>IF($N214="","",IF(INDEX(UCRETLER!$F$7:$F$406,$U214)="Aylık",CHOOSE(MONTH($N214),"Ocak","Şubat","Mart","Nisan","Mayıs","Haziran","Temmuz","Ağustos","Eylül","Ekim","Kasım","Aralık")&amp;" "&amp;YEAR($N214)&amp;" aylık muhasebe hizmet ücreti",RIGHT("0"&amp;DAY($N214),2)&amp;"."&amp;RIGHT("0"&amp;MONTH($N214),2)&amp;"."&amp;YEAR($N214)&amp;" haftalık muhasebe hizmet ücreti"))</f>
        <v/>
      </c>
      <c r="P214" s="3">
        <f>IF($N214="","","TAHAKKUK")</f>
        <v/>
      </c>
      <c r="Q214" s="3" t="n"/>
      <c r="R214" s="3">
        <f>IF($N214="",0,$X214)</f>
        <v/>
      </c>
      <c r="S214" s="3" t="n">
        <v>0</v>
      </c>
      <c r="T214" s="3">
        <f>IF($N214="",10000000000,$N214*100000+$M214)</f>
        <v/>
      </c>
      <c r="U214" s="3">
        <f>$AB$6</f>
        <v/>
      </c>
      <c r="V214" s="3" t="n">
        <v>42</v>
      </c>
      <c r="W214" s="3">
        <f>IF($U214=0,"",IF(INDEX(UCRETLER!$D$7:$D$406,$U214)="","",IF(INDEX(UCRETLER!$F$7:$F$406,$U214)="Aylık",EOMONTH(INDEX(UCRETLER!$D$7:$D$406,$U214),$V214-1),INDEX(UCRETLER!$D$7:$D$406,$U214)+MOD(SISTEM!$F$8-WEEKDAY(INDEX(UCRETLER!$D$7:$D$406,$U214),2),7)+7*($V214-1))))</f>
        <v/>
      </c>
      <c r="X214" s="3">
        <f>IF($U214=0,0,INDEX(UCRETLER!$G$7:$G$406,$U214))</f>
        <v/>
      </c>
      <c r="Y214" s="3">
        <f>IFERROR(SMALL($T$12:$T$432,ROW()-11),"")</f>
        <v/>
      </c>
      <c r="Z214" s="3">
        <f>IFERROR(MATCH($Y214,$T$12:$T$432,0),"")</f>
        <v/>
      </c>
      <c r="AA214" s="3" t="n"/>
      <c r="AB214" s="3" t="n"/>
      <c r="AC214" s="3" t="n"/>
      <c r="AD214" s="3" t="n"/>
    </row>
    <row r="215">
      <c r="A215" s="6" t="n"/>
      <c r="B215" s="153">
        <f>IF($C215="","",ROW()-11)</f>
        <v/>
      </c>
      <c r="C215" s="240">
        <f>IF($Z215="","",IF(INDEX($N$12:$N$432,$Z215)="","",INDEX($N$12:$N$432,$Z215)))</f>
        <v/>
      </c>
      <c r="D215" s="29">
        <f>IF($C215="","",INDEX($O$12:$O$432,$Z215))</f>
        <v/>
      </c>
      <c r="E215" s="153">
        <f>IF($C215="","",INDEX($P$12:$P$432,$Z215))</f>
        <v/>
      </c>
      <c r="F215" s="241">
        <f>IF($C215="","",INDEX($R$12:$R$432,$Z215))</f>
        <v/>
      </c>
      <c r="G215" s="241">
        <f>IF($C215="","",INDEX($S$12:$S$432,$Z215))</f>
        <v/>
      </c>
      <c r="H215" s="241">
        <f>IF($C215="","",N($H214)+$F215-$G215)</f>
        <v/>
      </c>
      <c r="I215" s="6" t="n"/>
      <c r="J215" s="6" t="n"/>
      <c r="K215" s="3" t="n"/>
      <c r="L215" s="3" t="n"/>
      <c r="M215" s="3" t="n">
        <v>204</v>
      </c>
      <c r="N215" s="3">
        <f>IF(OR($U215=0,$W215="",$X215&lt;=0),"",IF($W215&gt;TODAY(),"",IF(AND(INDEX(UCRETLER!$E$7:$E$406,$U215)&lt;&gt;"",$W215&gt;INDEX(UCRETLER!$E$7:$E$406,$U215)),"",$W215)))</f>
        <v/>
      </c>
      <c r="O215" s="3">
        <f>IF($N215="","",IF(INDEX(UCRETLER!$F$7:$F$406,$U215)="Aylık",CHOOSE(MONTH($N215),"Ocak","Şubat","Mart","Nisan","Mayıs","Haziran","Temmuz","Ağustos","Eylül","Ekim","Kasım","Aralık")&amp;" "&amp;YEAR($N215)&amp;" aylık muhasebe hizmet ücreti",RIGHT("0"&amp;DAY($N215),2)&amp;"."&amp;RIGHT("0"&amp;MONTH($N215),2)&amp;"."&amp;YEAR($N215)&amp;" haftalık muhasebe hizmet ücreti"))</f>
        <v/>
      </c>
      <c r="P215" s="3">
        <f>IF($N215="","","TAHAKKUK")</f>
        <v/>
      </c>
      <c r="Q215" s="3" t="n"/>
      <c r="R215" s="3">
        <f>IF($N215="",0,$X215)</f>
        <v/>
      </c>
      <c r="S215" s="3" t="n">
        <v>0</v>
      </c>
      <c r="T215" s="3">
        <f>IF($N215="",10000000000,$N215*100000+$M215)</f>
        <v/>
      </c>
      <c r="U215" s="3">
        <f>$AB$6</f>
        <v/>
      </c>
      <c r="V215" s="3" t="n">
        <v>43</v>
      </c>
      <c r="W215" s="3">
        <f>IF($U215=0,"",IF(INDEX(UCRETLER!$D$7:$D$406,$U215)="","",IF(INDEX(UCRETLER!$F$7:$F$406,$U215)="Aylık",EOMONTH(INDEX(UCRETLER!$D$7:$D$406,$U215),$V215-1),INDEX(UCRETLER!$D$7:$D$406,$U215)+MOD(SISTEM!$F$8-WEEKDAY(INDEX(UCRETLER!$D$7:$D$406,$U215),2),7)+7*($V215-1))))</f>
        <v/>
      </c>
      <c r="X215" s="3">
        <f>IF($U215=0,0,INDEX(UCRETLER!$G$7:$G$406,$U215))</f>
        <v/>
      </c>
      <c r="Y215" s="3">
        <f>IFERROR(SMALL($T$12:$T$432,ROW()-11),"")</f>
        <v/>
      </c>
      <c r="Z215" s="3">
        <f>IFERROR(MATCH($Y215,$T$12:$T$432,0),"")</f>
        <v/>
      </c>
      <c r="AA215" s="3" t="n"/>
      <c r="AB215" s="3" t="n"/>
      <c r="AC215" s="3" t="n"/>
      <c r="AD215" s="3" t="n"/>
    </row>
    <row r="216">
      <c r="A216" s="6" t="n"/>
      <c r="B216" s="153">
        <f>IF($C216="","",ROW()-11)</f>
        <v/>
      </c>
      <c r="C216" s="240">
        <f>IF($Z216="","",IF(INDEX($N$12:$N$432,$Z216)="","",INDEX($N$12:$N$432,$Z216)))</f>
        <v/>
      </c>
      <c r="D216" s="29">
        <f>IF($C216="","",INDEX($O$12:$O$432,$Z216))</f>
        <v/>
      </c>
      <c r="E216" s="153">
        <f>IF($C216="","",INDEX($P$12:$P$432,$Z216))</f>
        <v/>
      </c>
      <c r="F216" s="241">
        <f>IF($C216="","",INDEX($R$12:$R$432,$Z216))</f>
        <v/>
      </c>
      <c r="G216" s="241">
        <f>IF($C216="","",INDEX($S$12:$S$432,$Z216))</f>
        <v/>
      </c>
      <c r="H216" s="241">
        <f>IF($C216="","",N($H215)+$F216-$G216)</f>
        <v/>
      </c>
      <c r="I216" s="6" t="n"/>
      <c r="J216" s="6" t="n"/>
      <c r="K216" s="3" t="n"/>
      <c r="L216" s="3" t="n"/>
      <c r="M216" s="3" t="n">
        <v>205</v>
      </c>
      <c r="N216" s="3">
        <f>IF(OR($U216=0,$W216="",$X216&lt;=0),"",IF($W216&gt;TODAY(),"",IF(AND(INDEX(UCRETLER!$E$7:$E$406,$U216)&lt;&gt;"",$W216&gt;INDEX(UCRETLER!$E$7:$E$406,$U216)),"",$W216)))</f>
        <v/>
      </c>
      <c r="O216" s="3">
        <f>IF($N216="","",IF(INDEX(UCRETLER!$F$7:$F$406,$U216)="Aylık",CHOOSE(MONTH($N216),"Ocak","Şubat","Mart","Nisan","Mayıs","Haziran","Temmuz","Ağustos","Eylül","Ekim","Kasım","Aralık")&amp;" "&amp;YEAR($N216)&amp;" aylık muhasebe hizmet ücreti",RIGHT("0"&amp;DAY($N216),2)&amp;"."&amp;RIGHT("0"&amp;MONTH($N216),2)&amp;"."&amp;YEAR($N216)&amp;" haftalık muhasebe hizmet ücreti"))</f>
        <v/>
      </c>
      <c r="P216" s="3">
        <f>IF($N216="","","TAHAKKUK")</f>
        <v/>
      </c>
      <c r="Q216" s="3" t="n"/>
      <c r="R216" s="3">
        <f>IF($N216="",0,$X216)</f>
        <v/>
      </c>
      <c r="S216" s="3" t="n">
        <v>0</v>
      </c>
      <c r="T216" s="3">
        <f>IF($N216="",10000000000,$N216*100000+$M216)</f>
        <v/>
      </c>
      <c r="U216" s="3">
        <f>$AB$6</f>
        <v/>
      </c>
      <c r="V216" s="3" t="n">
        <v>44</v>
      </c>
      <c r="W216" s="3">
        <f>IF($U216=0,"",IF(INDEX(UCRETLER!$D$7:$D$406,$U216)="","",IF(INDEX(UCRETLER!$F$7:$F$406,$U216)="Aylık",EOMONTH(INDEX(UCRETLER!$D$7:$D$406,$U216),$V216-1),INDEX(UCRETLER!$D$7:$D$406,$U216)+MOD(SISTEM!$F$8-WEEKDAY(INDEX(UCRETLER!$D$7:$D$406,$U216),2),7)+7*($V216-1))))</f>
        <v/>
      </c>
      <c r="X216" s="3">
        <f>IF($U216=0,0,INDEX(UCRETLER!$G$7:$G$406,$U216))</f>
        <v/>
      </c>
      <c r="Y216" s="3">
        <f>IFERROR(SMALL($T$12:$T$432,ROW()-11),"")</f>
        <v/>
      </c>
      <c r="Z216" s="3">
        <f>IFERROR(MATCH($Y216,$T$12:$T$432,0),"")</f>
        <v/>
      </c>
      <c r="AA216" s="3" t="n"/>
      <c r="AB216" s="3" t="n"/>
      <c r="AC216" s="3" t="n"/>
      <c r="AD216" s="3" t="n"/>
    </row>
    <row r="217">
      <c r="A217" s="6" t="n"/>
      <c r="B217" s="153">
        <f>IF($C217="","",ROW()-11)</f>
        <v/>
      </c>
      <c r="C217" s="240">
        <f>IF($Z217="","",IF(INDEX($N$12:$N$432,$Z217)="","",INDEX($N$12:$N$432,$Z217)))</f>
        <v/>
      </c>
      <c r="D217" s="29">
        <f>IF($C217="","",INDEX($O$12:$O$432,$Z217))</f>
        <v/>
      </c>
      <c r="E217" s="153">
        <f>IF($C217="","",INDEX($P$12:$P$432,$Z217))</f>
        <v/>
      </c>
      <c r="F217" s="241">
        <f>IF($C217="","",INDEX($R$12:$R$432,$Z217))</f>
        <v/>
      </c>
      <c r="G217" s="241">
        <f>IF($C217="","",INDEX($S$12:$S$432,$Z217))</f>
        <v/>
      </c>
      <c r="H217" s="241">
        <f>IF($C217="","",N($H216)+$F217-$G217)</f>
        <v/>
      </c>
      <c r="I217" s="6" t="n"/>
      <c r="J217" s="6" t="n"/>
      <c r="K217" s="3" t="n"/>
      <c r="L217" s="3" t="n"/>
      <c r="M217" s="3" t="n">
        <v>206</v>
      </c>
      <c r="N217" s="3">
        <f>IF(OR($U217=0,$W217="",$X217&lt;=0),"",IF($W217&gt;TODAY(),"",IF(AND(INDEX(UCRETLER!$E$7:$E$406,$U217)&lt;&gt;"",$W217&gt;INDEX(UCRETLER!$E$7:$E$406,$U217)),"",$W217)))</f>
        <v/>
      </c>
      <c r="O217" s="3">
        <f>IF($N217="","",IF(INDEX(UCRETLER!$F$7:$F$406,$U217)="Aylık",CHOOSE(MONTH($N217),"Ocak","Şubat","Mart","Nisan","Mayıs","Haziran","Temmuz","Ağustos","Eylül","Ekim","Kasım","Aralık")&amp;" "&amp;YEAR($N217)&amp;" aylık muhasebe hizmet ücreti",RIGHT("0"&amp;DAY($N217),2)&amp;"."&amp;RIGHT("0"&amp;MONTH($N217),2)&amp;"."&amp;YEAR($N217)&amp;" haftalık muhasebe hizmet ücreti"))</f>
        <v/>
      </c>
      <c r="P217" s="3">
        <f>IF($N217="","","TAHAKKUK")</f>
        <v/>
      </c>
      <c r="Q217" s="3" t="n"/>
      <c r="R217" s="3">
        <f>IF($N217="",0,$X217)</f>
        <v/>
      </c>
      <c r="S217" s="3" t="n">
        <v>0</v>
      </c>
      <c r="T217" s="3">
        <f>IF($N217="",10000000000,$N217*100000+$M217)</f>
        <v/>
      </c>
      <c r="U217" s="3">
        <f>$AB$6</f>
        <v/>
      </c>
      <c r="V217" s="3" t="n">
        <v>45</v>
      </c>
      <c r="W217" s="3">
        <f>IF($U217=0,"",IF(INDEX(UCRETLER!$D$7:$D$406,$U217)="","",IF(INDEX(UCRETLER!$F$7:$F$406,$U217)="Aylık",EOMONTH(INDEX(UCRETLER!$D$7:$D$406,$U217),$V217-1),INDEX(UCRETLER!$D$7:$D$406,$U217)+MOD(SISTEM!$F$8-WEEKDAY(INDEX(UCRETLER!$D$7:$D$406,$U217),2),7)+7*($V217-1))))</f>
        <v/>
      </c>
      <c r="X217" s="3">
        <f>IF($U217=0,0,INDEX(UCRETLER!$G$7:$G$406,$U217))</f>
        <v/>
      </c>
      <c r="Y217" s="3">
        <f>IFERROR(SMALL($T$12:$T$432,ROW()-11),"")</f>
        <v/>
      </c>
      <c r="Z217" s="3">
        <f>IFERROR(MATCH($Y217,$T$12:$T$432,0),"")</f>
        <v/>
      </c>
      <c r="AA217" s="3" t="n"/>
      <c r="AB217" s="3" t="n"/>
      <c r="AC217" s="3" t="n"/>
      <c r="AD217" s="3" t="n"/>
    </row>
    <row r="218">
      <c r="A218" s="6" t="n"/>
      <c r="B218" s="153">
        <f>IF($C218="","",ROW()-11)</f>
        <v/>
      </c>
      <c r="C218" s="240">
        <f>IF($Z218="","",IF(INDEX($N$12:$N$432,$Z218)="","",INDEX($N$12:$N$432,$Z218)))</f>
        <v/>
      </c>
      <c r="D218" s="29">
        <f>IF($C218="","",INDEX($O$12:$O$432,$Z218))</f>
        <v/>
      </c>
      <c r="E218" s="153">
        <f>IF($C218="","",INDEX($P$12:$P$432,$Z218))</f>
        <v/>
      </c>
      <c r="F218" s="241">
        <f>IF($C218="","",INDEX($R$12:$R$432,$Z218))</f>
        <v/>
      </c>
      <c r="G218" s="241">
        <f>IF($C218="","",INDEX($S$12:$S$432,$Z218))</f>
        <v/>
      </c>
      <c r="H218" s="241">
        <f>IF($C218="","",N($H217)+$F218-$G218)</f>
        <v/>
      </c>
      <c r="I218" s="6" t="n"/>
      <c r="J218" s="6" t="n"/>
      <c r="K218" s="3" t="n"/>
      <c r="L218" s="3" t="n"/>
      <c r="M218" s="3" t="n">
        <v>207</v>
      </c>
      <c r="N218" s="3">
        <f>IF(OR($U218=0,$W218="",$X218&lt;=0),"",IF($W218&gt;TODAY(),"",IF(AND(INDEX(UCRETLER!$E$7:$E$406,$U218)&lt;&gt;"",$W218&gt;INDEX(UCRETLER!$E$7:$E$406,$U218)),"",$W218)))</f>
        <v/>
      </c>
      <c r="O218" s="3">
        <f>IF($N218="","",IF(INDEX(UCRETLER!$F$7:$F$406,$U218)="Aylık",CHOOSE(MONTH($N218),"Ocak","Şubat","Mart","Nisan","Mayıs","Haziran","Temmuz","Ağustos","Eylül","Ekim","Kasım","Aralık")&amp;" "&amp;YEAR($N218)&amp;" aylık muhasebe hizmet ücreti",RIGHT("0"&amp;DAY($N218),2)&amp;"."&amp;RIGHT("0"&amp;MONTH($N218),2)&amp;"."&amp;YEAR($N218)&amp;" haftalık muhasebe hizmet ücreti"))</f>
        <v/>
      </c>
      <c r="P218" s="3">
        <f>IF($N218="","","TAHAKKUK")</f>
        <v/>
      </c>
      <c r="Q218" s="3" t="n"/>
      <c r="R218" s="3">
        <f>IF($N218="",0,$X218)</f>
        <v/>
      </c>
      <c r="S218" s="3" t="n">
        <v>0</v>
      </c>
      <c r="T218" s="3">
        <f>IF($N218="",10000000000,$N218*100000+$M218)</f>
        <v/>
      </c>
      <c r="U218" s="3">
        <f>$AB$6</f>
        <v/>
      </c>
      <c r="V218" s="3" t="n">
        <v>46</v>
      </c>
      <c r="W218" s="3">
        <f>IF($U218=0,"",IF(INDEX(UCRETLER!$D$7:$D$406,$U218)="","",IF(INDEX(UCRETLER!$F$7:$F$406,$U218)="Aylık",EOMONTH(INDEX(UCRETLER!$D$7:$D$406,$U218),$V218-1),INDEX(UCRETLER!$D$7:$D$406,$U218)+MOD(SISTEM!$F$8-WEEKDAY(INDEX(UCRETLER!$D$7:$D$406,$U218),2),7)+7*($V218-1))))</f>
        <v/>
      </c>
      <c r="X218" s="3">
        <f>IF($U218=0,0,INDEX(UCRETLER!$G$7:$G$406,$U218))</f>
        <v/>
      </c>
      <c r="Y218" s="3">
        <f>IFERROR(SMALL($T$12:$T$432,ROW()-11),"")</f>
        <v/>
      </c>
      <c r="Z218" s="3">
        <f>IFERROR(MATCH($Y218,$T$12:$T$432,0),"")</f>
        <v/>
      </c>
      <c r="AA218" s="3" t="n"/>
      <c r="AB218" s="3" t="n"/>
      <c r="AC218" s="3" t="n"/>
      <c r="AD218" s="3" t="n"/>
    </row>
    <row r="219">
      <c r="A219" s="6" t="n"/>
      <c r="B219" s="153">
        <f>IF($C219="","",ROW()-11)</f>
        <v/>
      </c>
      <c r="C219" s="240">
        <f>IF($Z219="","",IF(INDEX($N$12:$N$432,$Z219)="","",INDEX($N$12:$N$432,$Z219)))</f>
        <v/>
      </c>
      <c r="D219" s="29">
        <f>IF($C219="","",INDEX($O$12:$O$432,$Z219))</f>
        <v/>
      </c>
      <c r="E219" s="153">
        <f>IF($C219="","",INDEX($P$12:$P$432,$Z219))</f>
        <v/>
      </c>
      <c r="F219" s="241">
        <f>IF($C219="","",INDEX($R$12:$R$432,$Z219))</f>
        <v/>
      </c>
      <c r="G219" s="241">
        <f>IF($C219="","",INDEX($S$12:$S$432,$Z219))</f>
        <v/>
      </c>
      <c r="H219" s="241">
        <f>IF($C219="","",N($H218)+$F219-$G219)</f>
        <v/>
      </c>
      <c r="I219" s="6" t="n"/>
      <c r="J219" s="6" t="n"/>
      <c r="K219" s="3" t="n"/>
      <c r="L219" s="3" t="n"/>
      <c r="M219" s="3" t="n">
        <v>208</v>
      </c>
      <c r="N219" s="3">
        <f>IF(OR($U219=0,$W219="",$X219&lt;=0),"",IF($W219&gt;TODAY(),"",IF(AND(INDEX(UCRETLER!$E$7:$E$406,$U219)&lt;&gt;"",$W219&gt;INDEX(UCRETLER!$E$7:$E$406,$U219)),"",$W219)))</f>
        <v/>
      </c>
      <c r="O219" s="3">
        <f>IF($N219="","",IF(INDEX(UCRETLER!$F$7:$F$406,$U219)="Aylık",CHOOSE(MONTH($N219),"Ocak","Şubat","Mart","Nisan","Mayıs","Haziran","Temmuz","Ağustos","Eylül","Ekim","Kasım","Aralık")&amp;" "&amp;YEAR($N219)&amp;" aylık muhasebe hizmet ücreti",RIGHT("0"&amp;DAY($N219),2)&amp;"."&amp;RIGHT("0"&amp;MONTH($N219),2)&amp;"."&amp;YEAR($N219)&amp;" haftalık muhasebe hizmet ücreti"))</f>
        <v/>
      </c>
      <c r="P219" s="3">
        <f>IF($N219="","","TAHAKKUK")</f>
        <v/>
      </c>
      <c r="Q219" s="3" t="n"/>
      <c r="R219" s="3">
        <f>IF($N219="",0,$X219)</f>
        <v/>
      </c>
      <c r="S219" s="3" t="n">
        <v>0</v>
      </c>
      <c r="T219" s="3">
        <f>IF($N219="",10000000000,$N219*100000+$M219)</f>
        <v/>
      </c>
      <c r="U219" s="3">
        <f>$AB$6</f>
        <v/>
      </c>
      <c r="V219" s="3" t="n">
        <v>47</v>
      </c>
      <c r="W219" s="3">
        <f>IF($U219=0,"",IF(INDEX(UCRETLER!$D$7:$D$406,$U219)="","",IF(INDEX(UCRETLER!$F$7:$F$406,$U219)="Aylık",EOMONTH(INDEX(UCRETLER!$D$7:$D$406,$U219),$V219-1),INDEX(UCRETLER!$D$7:$D$406,$U219)+MOD(SISTEM!$F$8-WEEKDAY(INDEX(UCRETLER!$D$7:$D$406,$U219),2),7)+7*($V219-1))))</f>
        <v/>
      </c>
      <c r="X219" s="3">
        <f>IF($U219=0,0,INDEX(UCRETLER!$G$7:$G$406,$U219))</f>
        <v/>
      </c>
      <c r="Y219" s="3">
        <f>IFERROR(SMALL($T$12:$T$432,ROW()-11),"")</f>
        <v/>
      </c>
      <c r="Z219" s="3">
        <f>IFERROR(MATCH($Y219,$T$12:$T$432,0),"")</f>
        <v/>
      </c>
      <c r="AA219" s="3" t="n"/>
      <c r="AB219" s="3" t="n"/>
      <c r="AC219" s="3" t="n"/>
      <c r="AD219" s="3" t="n"/>
    </row>
    <row r="220">
      <c r="A220" s="6" t="n"/>
      <c r="B220" s="153">
        <f>IF($C220="","",ROW()-11)</f>
        <v/>
      </c>
      <c r="C220" s="240">
        <f>IF($Z220="","",IF(INDEX($N$12:$N$432,$Z220)="","",INDEX($N$12:$N$432,$Z220)))</f>
        <v/>
      </c>
      <c r="D220" s="29">
        <f>IF($C220="","",INDEX($O$12:$O$432,$Z220))</f>
        <v/>
      </c>
      <c r="E220" s="153">
        <f>IF($C220="","",INDEX($P$12:$P$432,$Z220))</f>
        <v/>
      </c>
      <c r="F220" s="241">
        <f>IF($C220="","",INDEX($R$12:$R$432,$Z220))</f>
        <v/>
      </c>
      <c r="G220" s="241">
        <f>IF($C220="","",INDEX($S$12:$S$432,$Z220))</f>
        <v/>
      </c>
      <c r="H220" s="241">
        <f>IF($C220="","",N($H219)+$F220-$G220)</f>
        <v/>
      </c>
      <c r="I220" s="6" t="n"/>
      <c r="J220" s="6" t="n"/>
      <c r="K220" s="3" t="n"/>
      <c r="L220" s="3" t="n"/>
      <c r="M220" s="3" t="n">
        <v>209</v>
      </c>
      <c r="N220" s="3">
        <f>IF(OR($U220=0,$W220="",$X220&lt;=0),"",IF($W220&gt;TODAY(),"",IF(AND(INDEX(UCRETLER!$E$7:$E$406,$U220)&lt;&gt;"",$W220&gt;INDEX(UCRETLER!$E$7:$E$406,$U220)),"",$W220)))</f>
        <v/>
      </c>
      <c r="O220" s="3">
        <f>IF($N220="","",IF(INDEX(UCRETLER!$F$7:$F$406,$U220)="Aylık",CHOOSE(MONTH($N220),"Ocak","Şubat","Mart","Nisan","Mayıs","Haziran","Temmuz","Ağustos","Eylül","Ekim","Kasım","Aralık")&amp;" "&amp;YEAR($N220)&amp;" aylık muhasebe hizmet ücreti",RIGHT("0"&amp;DAY($N220),2)&amp;"."&amp;RIGHT("0"&amp;MONTH($N220),2)&amp;"."&amp;YEAR($N220)&amp;" haftalık muhasebe hizmet ücreti"))</f>
        <v/>
      </c>
      <c r="P220" s="3">
        <f>IF($N220="","","TAHAKKUK")</f>
        <v/>
      </c>
      <c r="Q220" s="3" t="n"/>
      <c r="R220" s="3">
        <f>IF($N220="",0,$X220)</f>
        <v/>
      </c>
      <c r="S220" s="3" t="n">
        <v>0</v>
      </c>
      <c r="T220" s="3">
        <f>IF($N220="",10000000000,$N220*100000+$M220)</f>
        <v/>
      </c>
      <c r="U220" s="3">
        <f>$AB$6</f>
        <v/>
      </c>
      <c r="V220" s="3" t="n">
        <v>48</v>
      </c>
      <c r="W220" s="3">
        <f>IF($U220=0,"",IF(INDEX(UCRETLER!$D$7:$D$406,$U220)="","",IF(INDEX(UCRETLER!$F$7:$F$406,$U220)="Aylık",EOMONTH(INDEX(UCRETLER!$D$7:$D$406,$U220),$V220-1),INDEX(UCRETLER!$D$7:$D$406,$U220)+MOD(SISTEM!$F$8-WEEKDAY(INDEX(UCRETLER!$D$7:$D$406,$U220),2),7)+7*($V220-1))))</f>
        <v/>
      </c>
      <c r="X220" s="3">
        <f>IF($U220=0,0,INDEX(UCRETLER!$G$7:$G$406,$U220))</f>
        <v/>
      </c>
      <c r="Y220" s="3">
        <f>IFERROR(SMALL($T$12:$T$432,ROW()-11),"")</f>
        <v/>
      </c>
      <c r="Z220" s="3">
        <f>IFERROR(MATCH($Y220,$T$12:$T$432,0),"")</f>
        <v/>
      </c>
      <c r="AA220" s="3" t="n"/>
      <c r="AB220" s="3" t="n"/>
      <c r="AC220" s="3" t="n"/>
      <c r="AD220" s="3" t="n"/>
    </row>
    <row r="221">
      <c r="A221" s="6" t="n"/>
      <c r="B221" s="153">
        <f>IF($C221="","",ROW()-11)</f>
        <v/>
      </c>
      <c r="C221" s="240">
        <f>IF($Z221="","",IF(INDEX($N$12:$N$432,$Z221)="","",INDEX($N$12:$N$432,$Z221)))</f>
        <v/>
      </c>
      <c r="D221" s="29">
        <f>IF($C221="","",INDEX($O$12:$O$432,$Z221))</f>
        <v/>
      </c>
      <c r="E221" s="153">
        <f>IF($C221="","",INDEX($P$12:$P$432,$Z221))</f>
        <v/>
      </c>
      <c r="F221" s="241">
        <f>IF($C221="","",INDEX($R$12:$R$432,$Z221))</f>
        <v/>
      </c>
      <c r="G221" s="241">
        <f>IF($C221="","",INDEX($S$12:$S$432,$Z221))</f>
        <v/>
      </c>
      <c r="H221" s="241">
        <f>IF($C221="","",N($H220)+$F221-$G221)</f>
        <v/>
      </c>
      <c r="I221" s="6" t="n"/>
      <c r="J221" s="6" t="n"/>
      <c r="K221" s="3" t="n"/>
      <c r="L221" s="3" t="n"/>
      <c r="M221" s="3" t="n">
        <v>210</v>
      </c>
      <c r="N221" s="3">
        <f>IF(OR($U221=0,$W221="",$X221&lt;=0),"",IF($W221&gt;TODAY(),"",IF(AND(INDEX(UCRETLER!$E$7:$E$406,$U221)&lt;&gt;"",$W221&gt;INDEX(UCRETLER!$E$7:$E$406,$U221)),"",$W221)))</f>
        <v/>
      </c>
      <c r="O221" s="3">
        <f>IF($N221="","",IF(INDEX(UCRETLER!$F$7:$F$406,$U221)="Aylık",CHOOSE(MONTH($N221),"Ocak","Şubat","Mart","Nisan","Mayıs","Haziran","Temmuz","Ağustos","Eylül","Ekim","Kasım","Aralık")&amp;" "&amp;YEAR($N221)&amp;" aylık muhasebe hizmet ücreti",RIGHT("0"&amp;DAY($N221),2)&amp;"."&amp;RIGHT("0"&amp;MONTH($N221),2)&amp;"."&amp;YEAR($N221)&amp;" haftalık muhasebe hizmet ücreti"))</f>
        <v/>
      </c>
      <c r="P221" s="3">
        <f>IF($N221="","","TAHAKKUK")</f>
        <v/>
      </c>
      <c r="Q221" s="3" t="n"/>
      <c r="R221" s="3">
        <f>IF($N221="",0,$X221)</f>
        <v/>
      </c>
      <c r="S221" s="3" t="n">
        <v>0</v>
      </c>
      <c r="T221" s="3">
        <f>IF($N221="",10000000000,$N221*100000+$M221)</f>
        <v/>
      </c>
      <c r="U221" s="3">
        <f>$AB$6</f>
        <v/>
      </c>
      <c r="V221" s="3" t="n">
        <v>49</v>
      </c>
      <c r="W221" s="3">
        <f>IF($U221=0,"",IF(INDEX(UCRETLER!$D$7:$D$406,$U221)="","",IF(INDEX(UCRETLER!$F$7:$F$406,$U221)="Aylık",EOMONTH(INDEX(UCRETLER!$D$7:$D$406,$U221),$V221-1),INDEX(UCRETLER!$D$7:$D$406,$U221)+MOD(SISTEM!$F$8-WEEKDAY(INDEX(UCRETLER!$D$7:$D$406,$U221),2),7)+7*($V221-1))))</f>
        <v/>
      </c>
      <c r="X221" s="3">
        <f>IF($U221=0,0,INDEX(UCRETLER!$G$7:$G$406,$U221))</f>
        <v/>
      </c>
      <c r="Y221" s="3">
        <f>IFERROR(SMALL($T$12:$T$432,ROW()-11),"")</f>
        <v/>
      </c>
      <c r="Z221" s="3">
        <f>IFERROR(MATCH($Y221,$T$12:$T$432,0),"")</f>
        <v/>
      </c>
      <c r="AA221" s="3" t="n"/>
      <c r="AB221" s="3" t="n"/>
      <c r="AC221" s="3" t="n"/>
      <c r="AD221" s="3" t="n"/>
    </row>
    <row r="222">
      <c r="A222" s="6" t="n"/>
      <c r="B222" s="153">
        <f>IF($C222="","",ROW()-11)</f>
        <v/>
      </c>
      <c r="C222" s="240">
        <f>IF($Z222="","",IF(INDEX($N$12:$N$432,$Z222)="","",INDEX($N$12:$N$432,$Z222)))</f>
        <v/>
      </c>
      <c r="D222" s="29">
        <f>IF($C222="","",INDEX($O$12:$O$432,$Z222))</f>
        <v/>
      </c>
      <c r="E222" s="153">
        <f>IF($C222="","",INDEX($P$12:$P$432,$Z222))</f>
        <v/>
      </c>
      <c r="F222" s="241">
        <f>IF($C222="","",INDEX($R$12:$R$432,$Z222))</f>
        <v/>
      </c>
      <c r="G222" s="241">
        <f>IF($C222="","",INDEX($S$12:$S$432,$Z222))</f>
        <v/>
      </c>
      <c r="H222" s="241">
        <f>IF($C222="","",N($H221)+$F222-$G222)</f>
        <v/>
      </c>
      <c r="I222" s="6" t="n"/>
      <c r="J222" s="6" t="n"/>
      <c r="K222" s="3" t="n"/>
      <c r="L222" s="3" t="n"/>
      <c r="M222" s="3" t="n">
        <v>211</v>
      </c>
      <c r="N222" s="3">
        <f>IF(OR($U222=0,$W222="",$X222&lt;=0),"",IF($W222&gt;TODAY(),"",IF(AND(INDEX(UCRETLER!$E$7:$E$406,$U222)&lt;&gt;"",$W222&gt;INDEX(UCRETLER!$E$7:$E$406,$U222)),"",$W222)))</f>
        <v/>
      </c>
      <c r="O222" s="3">
        <f>IF($N222="","",IF(INDEX(UCRETLER!$F$7:$F$406,$U222)="Aylık",CHOOSE(MONTH($N222),"Ocak","Şubat","Mart","Nisan","Mayıs","Haziran","Temmuz","Ağustos","Eylül","Ekim","Kasım","Aralık")&amp;" "&amp;YEAR($N222)&amp;" aylık muhasebe hizmet ücreti",RIGHT("0"&amp;DAY($N222),2)&amp;"."&amp;RIGHT("0"&amp;MONTH($N222),2)&amp;"."&amp;YEAR($N222)&amp;" haftalık muhasebe hizmet ücreti"))</f>
        <v/>
      </c>
      <c r="P222" s="3">
        <f>IF($N222="","","TAHAKKUK")</f>
        <v/>
      </c>
      <c r="Q222" s="3" t="n"/>
      <c r="R222" s="3">
        <f>IF($N222="",0,$X222)</f>
        <v/>
      </c>
      <c r="S222" s="3" t="n">
        <v>0</v>
      </c>
      <c r="T222" s="3">
        <f>IF($N222="",10000000000,$N222*100000+$M222)</f>
        <v/>
      </c>
      <c r="U222" s="3">
        <f>$AB$6</f>
        <v/>
      </c>
      <c r="V222" s="3" t="n">
        <v>50</v>
      </c>
      <c r="W222" s="3">
        <f>IF($U222=0,"",IF(INDEX(UCRETLER!$D$7:$D$406,$U222)="","",IF(INDEX(UCRETLER!$F$7:$F$406,$U222)="Aylık",EOMONTH(INDEX(UCRETLER!$D$7:$D$406,$U222),$V222-1),INDEX(UCRETLER!$D$7:$D$406,$U222)+MOD(SISTEM!$F$8-WEEKDAY(INDEX(UCRETLER!$D$7:$D$406,$U222),2),7)+7*($V222-1))))</f>
        <v/>
      </c>
      <c r="X222" s="3">
        <f>IF($U222=0,0,INDEX(UCRETLER!$G$7:$G$406,$U222))</f>
        <v/>
      </c>
      <c r="Y222" s="3">
        <f>IFERROR(SMALL($T$12:$T$432,ROW()-11),"")</f>
        <v/>
      </c>
      <c r="Z222" s="3">
        <f>IFERROR(MATCH($Y222,$T$12:$T$432,0),"")</f>
        <v/>
      </c>
      <c r="AA222" s="3" t="n"/>
      <c r="AB222" s="3" t="n"/>
      <c r="AC222" s="3" t="n"/>
      <c r="AD222" s="3" t="n"/>
    </row>
    <row r="223">
      <c r="A223" s="6" t="n"/>
      <c r="B223" s="153">
        <f>IF($C223="","",ROW()-11)</f>
        <v/>
      </c>
      <c r="C223" s="240">
        <f>IF($Z223="","",IF(INDEX($N$12:$N$432,$Z223)="","",INDEX($N$12:$N$432,$Z223)))</f>
        <v/>
      </c>
      <c r="D223" s="29">
        <f>IF($C223="","",INDEX($O$12:$O$432,$Z223))</f>
        <v/>
      </c>
      <c r="E223" s="153">
        <f>IF($C223="","",INDEX($P$12:$P$432,$Z223))</f>
        <v/>
      </c>
      <c r="F223" s="241">
        <f>IF($C223="","",INDEX($R$12:$R$432,$Z223))</f>
        <v/>
      </c>
      <c r="G223" s="241">
        <f>IF($C223="","",INDEX($S$12:$S$432,$Z223))</f>
        <v/>
      </c>
      <c r="H223" s="241">
        <f>IF($C223="","",N($H222)+$F223-$G223)</f>
        <v/>
      </c>
      <c r="I223" s="6" t="n"/>
      <c r="J223" s="6" t="n"/>
      <c r="K223" s="3" t="n"/>
      <c r="L223" s="3" t="n"/>
      <c r="M223" s="3" t="n">
        <v>212</v>
      </c>
      <c r="N223" s="3">
        <f>IF(OR($U223=0,$W223="",$X223&lt;=0),"",IF($W223&gt;TODAY(),"",IF(AND(INDEX(UCRETLER!$E$7:$E$406,$U223)&lt;&gt;"",$W223&gt;INDEX(UCRETLER!$E$7:$E$406,$U223)),"",$W223)))</f>
        <v/>
      </c>
      <c r="O223" s="3">
        <f>IF($N223="","",IF(INDEX(UCRETLER!$F$7:$F$406,$U223)="Aylık",CHOOSE(MONTH($N223),"Ocak","Şubat","Mart","Nisan","Mayıs","Haziran","Temmuz","Ağustos","Eylül","Ekim","Kasım","Aralık")&amp;" "&amp;YEAR($N223)&amp;" aylık muhasebe hizmet ücreti",RIGHT("0"&amp;DAY($N223),2)&amp;"."&amp;RIGHT("0"&amp;MONTH($N223),2)&amp;"."&amp;YEAR($N223)&amp;" haftalık muhasebe hizmet ücreti"))</f>
        <v/>
      </c>
      <c r="P223" s="3">
        <f>IF($N223="","","TAHAKKUK")</f>
        <v/>
      </c>
      <c r="Q223" s="3" t="n"/>
      <c r="R223" s="3">
        <f>IF($N223="",0,$X223)</f>
        <v/>
      </c>
      <c r="S223" s="3" t="n">
        <v>0</v>
      </c>
      <c r="T223" s="3">
        <f>IF($N223="",10000000000,$N223*100000+$M223)</f>
        <v/>
      </c>
      <c r="U223" s="3">
        <f>$AB$6</f>
        <v/>
      </c>
      <c r="V223" s="3" t="n">
        <v>51</v>
      </c>
      <c r="W223" s="3">
        <f>IF($U223=0,"",IF(INDEX(UCRETLER!$D$7:$D$406,$U223)="","",IF(INDEX(UCRETLER!$F$7:$F$406,$U223)="Aylık",EOMONTH(INDEX(UCRETLER!$D$7:$D$406,$U223),$V223-1),INDEX(UCRETLER!$D$7:$D$406,$U223)+MOD(SISTEM!$F$8-WEEKDAY(INDEX(UCRETLER!$D$7:$D$406,$U223),2),7)+7*($V223-1))))</f>
        <v/>
      </c>
      <c r="X223" s="3">
        <f>IF($U223=0,0,INDEX(UCRETLER!$G$7:$G$406,$U223))</f>
        <v/>
      </c>
      <c r="Y223" s="3">
        <f>IFERROR(SMALL($T$12:$T$432,ROW()-11),"")</f>
        <v/>
      </c>
      <c r="Z223" s="3">
        <f>IFERROR(MATCH($Y223,$T$12:$T$432,0),"")</f>
        <v/>
      </c>
      <c r="AA223" s="3" t="n"/>
      <c r="AB223" s="3" t="n"/>
      <c r="AC223" s="3" t="n"/>
      <c r="AD223" s="3" t="n"/>
    </row>
    <row r="224">
      <c r="A224" s="6" t="n"/>
      <c r="B224" s="153">
        <f>IF($C224="","",ROW()-11)</f>
        <v/>
      </c>
      <c r="C224" s="240">
        <f>IF($Z224="","",IF(INDEX($N$12:$N$432,$Z224)="","",INDEX($N$12:$N$432,$Z224)))</f>
        <v/>
      </c>
      <c r="D224" s="29">
        <f>IF($C224="","",INDEX($O$12:$O$432,$Z224))</f>
        <v/>
      </c>
      <c r="E224" s="153">
        <f>IF($C224="","",INDEX($P$12:$P$432,$Z224))</f>
        <v/>
      </c>
      <c r="F224" s="241">
        <f>IF($C224="","",INDEX($R$12:$R$432,$Z224))</f>
        <v/>
      </c>
      <c r="G224" s="241">
        <f>IF($C224="","",INDEX($S$12:$S$432,$Z224))</f>
        <v/>
      </c>
      <c r="H224" s="241">
        <f>IF($C224="","",N($H223)+$F224-$G224)</f>
        <v/>
      </c>
      <c r="I224" s="6" t="n"/>
      <c r="J224" s="6" t="n"/>
      <c r="K224" s="3" t="n"/>
      <c r="L224" s="3" t="n"/>
      <c r="M224" s="3" t="n">
        <v>213</v>
      </c>
      <c r="N224" s="3">
        <f>IF(OR($U224=0,$W224="",$X224&lt;=0),"",IF($W224&gt;TODAY(),"",IF(AND(INDEX(UCRETLER!$E$7:$E$406,$U224)&lt;&gt;"",$W224&gt;INDEX(UCRETLER!$E$7:$E$406,$U224)),"",$W224)))</f>
        <v/>
      </c>
      <c r="O224" s="3">
        <f>IF($N224="","",IF(INDEX(UCRETLER!$F$7:$F$406,$U224)="Aylık",CHOOSE(MONTH($N224),"Ocak","Şubat","Mart","Nisan","Mayıs","Haziran","Temmuz","Ağustos","Eylül","Ekim","Kasım","Aralık")&amp;" "&amp;YEAR($N224)&amp;" aylık muhasebe hizmet ücreti",RIGHT("0"&amp;DAY($N224),2)&amp;"."&amp;RIGHT("0"&amp;MONTH($N224),2)&amp;"."&amp;YEAR($N224)&amp;" haftalık muhasebe hizmet ücreti"))</f>
        <v/>
      </c>
      <c r="P224" s="3">
        <f>IF($N224="","","TAHAKKUK")</f>
        <v/>
      </c>
      <c r="Q224" s="3" t="n"/>
      <c r="R224" s="3">
        <f>IF($N224="",0,$X224)</f>
        <v/>
      </c>
      <c r="S224" s="3" t="n">
        <v>0</v>
      </c>
      <c r="T224" s="3">
        <f>IF($N224="",10000000000,$N224*100000+$M224)</f>
        <v/>
      </c>
      <c r="U224" s="3">
        <f>$AB$6</f>
        <v/>
      </c>
      <c r="V224" s="3" t="n">
        <v>52</v>
      </c>
      <c r="W224" s="3">
        <f>IF($U224=0,"",IF(INDEX(UCRETLER!$D$7:$D$406,$U224)="","",IF(INDEX(UCRETLER!$F$7:$F$406,$U224)="Aylık",EOMONTH(INDEX(UCRETLER!$D$7:$D$406,$U224),$V224-1),INDEX(UCRETLER!$D$7:$D$406,$U224)+MOD(SISTEM!$F$8-WEEKDAY(INDEX(UCRETLER!$D$7:$D$406,$U224),2),7)+7*($V224-1))))</f>
        <v/>
      </c>
      <c r="X224" s="3">
        <f>IF($U224=0,0,INDEX(UCRETLER!$G$7:$G$406,$U224))</f>
        <v/>
      </c>
      <c r="Y224" s="3">
        <f>IFERROR(SMALL($T$12:$T$432,ROW()-11),"")</f>
        <v/>
      </c>
      <c r="Z224" s="3">
        <f>IFERROR(MATCH($Y224,$T$12:$T$432,0),"")</f>
        <v/>
      </c>
      <c r="AA224" s="3" t="n"/>
      <c r="AB224" s="3" t="n"/>
      <c r="AC224" s="3" t="n"/>
      <c r="AD224" s="3" t="n"/>
    </row>
    <row r="225">
      <c r="A225" s="6" t="n"/>
      <c r="B225" s="153">
        <f>IF($C225="","",ROW()-11)</f>
        <v/>
      </c>
      <c r="C225" s="240">
        <f>IF($Z225="","",IF(INDEX($N$12:$N$432,$Z225)="","",INDEX($N$12:$N$432,$Z225)))</f>
        <v/>
      </c>
      <c r="D225" s="29">
        <f>IF($C225="","",INDEX($O$12:$O$432,$Z225))</f>
        <v/>
      </c>
      <c r="E225" s="153">
        <f>IF($C225="","",INDEX($P$12:$P$432,$Z225))</f>
        <v/>
      </c>
      <c r="F225" s="241">
        <f>IF($C225="","",INDEX($R$12:$R$432,$Z225))</f>
        <v/>
      </c>
      <c r="G225" s="241">
        <f>IF($C225="","",INDEX($S$12:$S$432,$Z225))</f>
        <v/>
      </c>
      <c r="H225" s="241">
        <f>IF($C225="","",N($H224)+$F225-$G225)</f>
        <v/>
      </c>
      <c r="I225" s="6" t="n"/>
      <c r="J225" s="6" t="n"/>
      <c r="K225" s="3" t="n"/>
      <c r="L225" s="3" t="n"/>
      <c r="M225" s="3" t="n">
        <v>214</v>
      </c>
      <c r="N225" s="3">
        <f>IF(OR($U225=0,$W225="",$X225&lt;=0),"",IF($W225&gt;TODAY(),"",IF(AND(INDEX(UCRETLER!$E$7:$E$406,$U225)&lt;&gt;"",$W225&gt;INDEX(UCRETLER!$E$7:$E$406,$U225)),"",$W225)))</f>
        <v/>
      </c>
      <c r="O225" s="3">
        <f>IF($N225="","",IF(INDEX(UCRETLER!$F$7:$F$406,$U225)="Aylık",CHOOSE(MONTH($N225),"Ocak","Şubat","Mart","Nisan","Mayıs","Haziran","Temmuz","Ağustos","Eylül","Ekim","Kasım","Aralık")&amp;" "&amp;YEAR($N225)&amp;" aylık muhasebe hizmet ücreti",RIGHT("0"&amp;DAY($N225),2)&amp;"."&amp;RIGHT("0"&amp;MONTH($N225),2)&amp;"."&amp;YEAR($N225)&amp;" haftalık muhasebe hizmet ücreti"))</f>
        <v/>
      </c>
      <c r="P225" s="3">
        <f>IF($N225="","","TAHAKKUK")</f>
        <v/>
      </c>
      <c r="Q225" s="3" t="n"/>
      <c r="R225" s="3">
        <f>IF($N225="",0,$X225)</f>
        <v/>
      </c>
      <c r="S225" s="3" t="n">
        <v>0</v>
      </c>
      <c r="T225" s="3">
        <f>IF($N225="",10000000000,$N225*100000+$M225)</f>
        <v/>
      </c>
      <c r="U225" s="3">
        <f>$AB$6</f>
        <v/>
      </c>
      <c r="V225" s="3" t="n">
        <v>53</v>
      </c>
      <c r="W225" s="3">
        <f>IF($U225=0,"",IF(INDEX(UCRETLER!$D$7:$D$406,$U225)="","",IF(INDEX(UCRETLER!$F$7:$F$406,$U225)="Aylık",EOMONTH(INDEX(UCRETLER!$D$7:$D$406,$U225),$V225-1),INDEX(UCRETLER!$D$7:$D$406,$U225)+MOD(SISTEM!$F$8-WEEKDAY(INDEX(UCRETLER!$D$7:$D$406,$U225),2),7)+7*($V225-1))))</f>
        <v/>
      </c>
      <c r="X225" s="3">
        <f>IF($U225=0,0,INDEX(UCRETLER!$G$7:$G$406,$U225))</f>
        <v/>
      </c>
      <c r="Y225" s="3">
        <f>IFERROR(SMALL($T$12:$T$432,ROW()-11),"")</f>
        <v/>
      </c>
      <c r="Z225" s="3">
        <f>IFERROR(MATCH($Y225,$T$12:$T$432,0),"")</f>
        <v/>
      </c>
      <c r="AA225" s="3" t="n"/>
      <c r="AB225" s="3" t="n"/>
      <c r="AC225" s="3" t="n"/>
      <c r="AD225" s="3" t="n"/>
    </row>
    <row r="226">
      <c r="A226" s="6" t="n"/>
      <c r="B226" s="153">
        <f>IF($C226="","",ROW()-11)</f>
        <v/>
      </c>
      <c r="C226" s="240">
        <f>IF($Z226="","",IF(INDEX($N$12:$N$432,$Z226)="","",INDEX($N$12:$N$432,$Z226)))</f>
        <v/>
      </c>
      <c r="D226" s="29">
        <f>IF($C226="","",INDEX($O$12:$O$432,$Z226))</f>
        <v/>
      </c>
      <c r="E226" s="153">
        <f>IF($C226="","",INDEX($P$12:$P$432,$Z226))</f>
        <v/>
      </c>
      <c r="F226" s="241">
        <f>IF($C226="","",INDEX($R$12:$R$432,$Z226))</f>
        <v/>
      </c>
      <c r="G226" s="241">
        <f>IF($C226="","",INDEX($S$12:$S$432,$Z226))</f>
        <v/>
      </c>
      <c r="H226" s="241">
        <f>IF($C226="","",N($H225)+$F226-$G226)</f>
        <v/>
      </c>
      <c r="I226" s="6" t="n"/>
      <c r="J226" s="6" t="n"/>
      <c r="K226" s="3" t="n"/>
      <c r="L226" s="3" t="n"/>
      <c r="M226" s="3" t="n">
        <v>215</v>
      </c>
      <c r="N226" s="3">
        <f>IF(OR($U226=0,$W226="",$X226&lt;=0),"",IF($W226&gt;TODAY(),"",IF(AND(INDEX(UCRETLER!$E$7:$E$406,$U226)&lt;&gt;"",$W226&gt;INDEX(UCRETLER!$E$7:$E$406,$U226)),"",$W226)))</f>
        <v/>
      </c>
      <c r="O226" s="3">
        <f>IF($N226="","",IF(INDEX(UCRETLER!$F$7:$F$406,$U226)="Aylık",CHOOSE(MONTH($N226),"Ocak","Şubat","Mart","Nisan","Mayıs","Haziran","Temmuz","Ağustos","Eylül","Ekim","Kasım","Aralık")&amp;" "&amp;YEAR($N226)&amp;" aylık muhasebe hizmet ücreti",RIGHT("0"&amp;DAY($N226),2)&amp;"."&amp;RIGHT("0"&amp;MONTH($N226),2)&amp;"."&amp;YEAR($N226)&amp;" haftalık muhasebe hizmet ücreti"))</f>
        <v/>
      </c>
      <c r="P226" s="3">
        <f>IF($N226="","","TAHAKKUK")</f>
        <v/>
      </c>
      <c r="Q226" s="3" t="n"/>
      <c r="R226" s="3">
        <f>IF($N226="",0,$X226)</f>
        <v/>
      </c>
      <c r="S226" s="3" t="n">
        <v>0</v>
      </c>
      <c r="T226" s="3">
        <f>IF($N226="",10000000000,$N226*100000+$M226)</f>
        <v/>
      </c>
      <c r="U226" s="3">
        <f>$AB$6</f>
        <v/>
      </c>
      <c r="V226" s="3" t="n">
        <v>54</v>
      </c>
      <c r="W226" s="3">
        <f>IF($U226=0,"",IF(INDEX(UCRETLER!$D$7:$D$406,$U226)="","",IF(INDEX(UCRETLER!$F$7:$F$406,$U226)="Aylık",EOMONTH(INDEX(UCRETLER!$D$7:$D$406,$U226),$V226-1),INDEX(UCRETLER!$D$7:$D$406,$U226)+MOD(SISTEM!$F$8-WEEKDAY(INDEX(UCRETLER!$D$7:$D$406,$U226),2),7)+7*($V226-1))))</f>
        <v/>
      </c>
      <c r="X226" s="3">
        <f>IF($U226=0,0,INDEX(UCRETLER!$G$7:$G$406,$U226))</f>
        <v/>
      </c>
      <c r="Y226" s="3">
        <f>IFERROR(SMALL($T$12:$T$432,ROW()-11),"")</f>
        <v/>
      </c>
      <c r="Z226" s="3">
        <f>IFERROR(MATCH($Y226,$T$12:$T$432,0),"")</f>
        <v/>
      </c>
      <c r="AA226" s="3" t="n"/>
      <c r="AB226" s="3" t="n"/>
      <c r="AC226" s="3" t="n"/>
      <c r="AD226" s="3" t="n"/>
    </row>
    <row r="227">
      <c r="A227" s="6" t="n"/>
      <c r="B227" s="153">
        <f>IF($C227="","",ROW()-11)</f>
        <v/>
      </c>
      <c r="C227" s="240">
        <f>IF($Z227="","",IF(INDEX($N$12:$N$432,$Z227)="","",INDEX($N$12:$N$432,$Z227)))</f>
        <v/>
      </c>
      <c r="D227" s="29">
        <f>IF($C227="","",INDEX($O$12:$O$432,$Z227))</f>
        <v/>
      </c>
      <c r="E227" s="153">
        <f>IF($C227="","",INDEX($P$12:$P$432,$Z227))</f>
        <v/>
      </c>
      <c r="F227" s="241">
        <f>IF($C227="","",INDEX($R$12:$R$432,$Z227))</f>
        <v/>
      </c>
      <c r="G227" s="241">
        <f>IF($C227="","",INDEX($S$12:$S$432,$Z227))</f>
        <v/>
      </c>
      <c r="H227" s="241">
        <f>IF($C227="","",N($H226)+$F227-$G227)</f>
        <v/>
      </c>
      <c r="I227" s="6" t="n"/>
      <c r="J227" s="6" t="n"/>
      <c r="K227" s="3" t="n"/>
      <c r="L227" s="3" t="n"/>
      <c r="M227" s="3" t="n">
        <v>216</v>
      </c>
      <c r="N227" s="3">
        <f>IF(OR($U227=0,$W227="",$X227&lt;=0),"",IF($W227&gt;TODAY(),"",IF(AND(INDEX(UCRETLER!$E$7:$E$406,$U227)&lt;&gt;"",$W227&gt;INDEX(UCRETLER!$E$7:$E$406,$U227)),"",$W227)))</f>
        <v/>
      </c>
      <c r="O227" s="3">
        <f>IF($N227="","",IF(INDEX(UCRETLER!$F$7:$F$406,$U227)="Aylık",CHOOSE(MONTH($N227),"Ocak","Şubat","Mart","Nisan","Mayıs","Haziran","Temmuz","Ağustos","Eylül","Ekim","Kasım","Aralık")&amp;" "&amp;YEAR($N227)&amp;" aylık muhasebe hizmet ücreti",RIGHT("0"&amp;DAY($N227),2)&amp;"."&amp;RIGHT("0"&amp;MONTH($N227),2)&amp;"."&amp;YEAR($N227)&amp;" haftalık muhasebe hizmet ücreti"))</f>
        <v/>
      </c>
      <c r="P227" s="3">
        <f>IF($N227="","","TAHAKKUK")</f>
        <v/>
      </c>
      <c r="Q227" s="3" t="n"/>
      <c r="R227" s="3">
        <f>IF($N227="",0,$X227)</f>
        <v/>
      </c>
      <c r="S227" s="3" t="n">
        <v>0</v>
      </c>
      <c r="T227" s="3">
        <f>IF($N227="",10000000000,$N227*100000+$M227)</f>
        <v/>
      </c>
      <c r="U227" s="3">
        <f>$AB$6</f>
        <v/>
      </c>
      <c r="V227" s="3" t="n">
        <v>55</v>
      </c>
      <c r="W227" s="3">
        <f>IF($U227=0,"",IF(INDEX(UCRETLER!$D$7:$D$406,$U227)="","",IF(INDEX(UCRETLER!$F$7:$F$406,$U227)="Aylık",EOMONTH(INDEX(UCRETLER!$D$7:$D$406,$U227),$V227-1),INDEX(UCRETLER!$D$7:$D$406,$U227)+MOD(SISTEM!$F$8-WEEKDAY(INDEX(UCRETLER!$D$7:$D$406,$U227),2),7)+7*($V227-1))))</f>
        <v/>
      </c>
      <c r="X227" s="3">
        <f>IF($U227=0,0,INDEX(UCRETLER!$G$7:$G$406,$U227))</f>
        <v/>
      </c>
      <c r="Y227" s="3">
        <f>IFERROR(SMALL($T$12:$T$432,ROW()-11),"")</f>
        <v/>
      </c>
      <c r="Z227" s="3">
        <f>IFERROR(MATCH($Y227,$T$12:$T$432,0),"")</f>
        <v/>
      </c>
      <c r="AA227" s="3" t="n"/>
      <c r="AB227" s="3" t="n"/>
      <c r="AC227" s="3" t="n"/>
      <c r="AD227" s="3" t="n"/>
    </row>
    <row r="228">
      <c r="A228" s="6" t="n"/>
      <c r="B228" s="153">
        <f>IF($C228="","",ROW()-11)</f>
        <v/>
      </c>
      <c r="C228" s="240">
        <f>IF($Z228="","",IF(INDEX($N$12:$N$432,$Z228)="","",INDEX($N$12:$N$432,$Z228)))</f>
        <v/>
      </c>
      <c r="D228" s="29">
        <f>IF($C228="","",INDEX($O$12:$O$432,$Z228))</f>
        <v/>
      </c>
      <c r="E228" s="153">
        <f>IF($C228="","",INDEX($P$12:$P$432,$Z228))</f>
        <v/>
      </c>
      <c r="F228" s="241">
        <f>IF($C228="","",INDEX($R$12:$R$432,$Z228))</f>
        <v/>
      </c>
      <c r="G228" s="241">
        <f>IF($C228="","",INDEX($S$12:$S$432,$Z228))</f>
        <v/>
      </c>
      <c r="H228" s="241">
        <f>IF($C228="","",N($H227)+$F228-$G228)</f>
        <v/>
      </c>
      <c r="I228" s="6" t="n"/>
      <c r="J228" s="6" t="n"/>
      <c r="K228" s="3" t="n"/>
      <c r="L228" s="3" t="n"/>
      <c r="M228" s="3" t="n">
        <v>217</v>
      </c>
      <c r="N228" s="3">
        <f>IF(OR($U228=0,$W228="",$X228&lt;=0),"",IF($W228&gt;TODAY(),"",IF(AND(INDEX(UCRETLER!$E$7:$E$406,$U228)&lt;&gt;"",$W228&gt;INDEX(UCRETLER!$E$7:$E$406,$U228)),"",$W228)))</f>
        <v/>
      </c>
      <c r="O228" s="3">
        <f>IF($N228="","",IF(INDEX(UCRETLER!$F$7:$F$406,$U228)="Aylık",CHOOSE(MONTH($N228),"Ocak","Şubat","Mart","Nisan","Mayıs","Haziran","Temmuz","Ağustos","Eylül","Ekim","Kasım","Aralık")&amp;" "&amp;YEAR($N228)&amp;" aylık muhasebe hizmet ücreti",RIGHT("0"&amp;DAY($N228),2)&amp;"."&amp;RIGHT("0"&amp;MONTH($N228),2)&amp;"."&amp;YEAR($N228)&amp;" haftalık muhasebe hizmet ücreti"))</f>
        <v/>
      </c>
      <c r="P228" s="3">
        <f>IF($N228="","","TAHAKKUK")</f>
        <v/>
      </c>
      <c r="Q228" s="3" t="n"/>
      <c r="R228" s="3">
        <f>IF($N228="",0,$X228)</f>
        <v/>
      </c>
      <c r="S228" s="3" t="n">
        <v>0</v>
      </c>
      <c r="T228" s="3">
        <f>IF($N228="",10000000000,$N228*100000+$M228)</f>
        <v/>
      </c>
      <c r="U228" s="3">
        <f>$AB$6</f>
        <v/>
      </c>
      <c r="V228" s="3" t="n">
        <v>56</v>
      </c>
      <c r="W228" s="3">
        <f>IF($U228=0,"",IF(INDEX(UCRETLER!$D$7:$D$406,$U228)="","",IF(INDEX(UCRETLER!$F$7:$F$406,$U228)="Aylık",EOMONTH(INDEX(UCRETLER!$D$7:$D$406,$U228),$V228-1),INDEX(UCRETLER!$D$7:$D$406,$U228)+MOD(SISTEM!$F$8-WEEKDAY(INDEX(UCRETLER!$D$7:$D$406,$U228),2),7)+7*($V228-1))))</f>
        <v/>
      </c>
      <c r="X228" s="3">
        <f>IF($U228=0,0,INDEX(UCRETLER!$G$7:$G$406,$U228))</f>
        <v/>
      </c>
      <c r="Y228" s="3">
        <f>IFERROR(SMALL($T$12:$T$432,ROW()-11),"")</f>
        <v/>
      </c>
      <c r="Z228" s="3">
        <f>IFERROR(MATCH($Y228,$T$12:$T$432,0),"")</f>
        <v/>
      </c>
      <c r="AA228" s="3" t="n"/>
      <c r="AB228" s="3" t="n"/>
      <c r="AC228" s="3" t="n"/>
      <c r="AD228" s="3" t="n"/>
    </row>
    <row r="229">
      <c r="A229" s="6" t="n"/>
      <c r="B229" s="153">
        <f>IF($C229="","",ROW()-11)</f>
        <v/>
      </c>
      <c r="C229" s="240">
        <f>IF($Z229="","",IF(INDEX($N$12:$N$432,$Z229)="","",INDEX($N$12:$N$432,$Z229)))</f>
        <v/>
      </c>
      <c r="D229" s="29">
        <f>IF($C229="","",INDEX($O$12:$O$432,$Z229))</f>
        <v/>
      </c>
      <c r="E229" s="153">
        <f>IF($C229="","",INDEX($P$12:$P$432,$Z229))</f>
        <v/>
      </c>
      <c r="F229" s="241">
        <f>IF($C229="","",INDEX($R$12:$R$432,$Z229))</f>
        <v/>
      </c>
      <c r="G229" s="241">
        <f>IF($C229="","",INDEX($S$12:$S$432,$Z229))</f>
        <v/>
      </c>
      <c r="H229" s="241">
        <f>IF($C229="","",N($H228)+$F229-$G229)</f>
        <v/>
      </c>
      <c r="I229" s="6" t="n"/>
      <c r="J229" s="6" t="n"/>
      <c r="K229" s="3" t="n"/>
      <c r="L229" s="3" t="n"/>
      <c r="M229" s="3" t="n">
        <v>218</v>
      </c>
      <c r="N229" s="3">
        <f>IF(OR($U229=0,$W229="",$X229&lt;=0),"",IF($W229&gt;TODAY(),"",IF(AND(INDEX(UCRETLER!$E$7:$E$406,$U229)&lt;&gt;"",$W229&gt;INDEX(UCRETLER!$E$7:$E$406,$U229)),"",$W229)))</f>
        <v/>
      </c>
      <c r="O229" s="3">
        <f>IF($N229="","",IF(INDEX(UCRETLER!$F$7:$F$406,$U229)="Aylık",CHOOSE(MONTH($N229),"Ocak","Şubat","Mart","Nisan","Mayıs","Haziran","Temmuz","Ağustos","Eylül","Ekim","Kasım","Aralık")&amp;" "&amp;YEAR($N229)&amp;" aylık muhasebe hizmet ücreti",RIGHT("0"&amp;DAY($N229),2)&amp;"."&amp;RIGHT("0"&amp;MONTH($N229),2)&amp;"."&amp;YEAR($N229)&amp;" haftalık muhasebe hizmet ücreti"))</f>
        <v/>
      </c>
      <c r="P229" s="3">
        <f>IF($N229="","","TAHAKKUK")</f>
        <v/>
      </c>
      <c r="Q229" s="3" t="n"/>
      <c r="R229" s="3">
        <f>IF($N229="",0,$X229)</f>
        <v/>
      </c>
      <c r="S229" s="3" t="n">
        <v>0</v>
      </c>
      <c r="T229" s="3">
        <f>IF($N229="",10000000000,$N229*100000+$M229)</f>
        <v/>
      </c>
      <c r="U229" s="3">
        <f>$AB$6</f>
        <v/>
      </c>
      <c r="V229" s="3" t="n">
        <v>57</v>
      </c>
      <c r="W229" s="3">
        <f>IF($U229=0,"",IF(INDEX(UCRETLER!$D$7:$D$406,$U229)="","",IF(INDEX(UCRETLER!$F$7:$F$406,$U229)="Aylık",EOMONTH(INDEX(UCRETLER!$D$7:$D$406,$U229),$V229-1),INDEX(UCRETLER!$D$7:$D$406,$U229)+MOD(SISTEM!$F$8-WEEKDAY(INDEX(UCRETLER!$D$7:$D$406,$U229),2),7)+7*($V229-1))))</f>
        <v/>
      </c>
      <c r="X229" s="3">
        <f>IF($U229=0,0,INDEX(UCRETLER!$G$7:$G$406,$U229))</f>
        <v/>
      </c>
      <c r="Y229" s="3">
        <f>IFERROR(SMALL($T$12:$T$432,ROW()-11),"")</f>
        <v/>
      </c>
      <c r="Z229" s="3">
        <f>IFERROR(MATCH($Y229,$T$12:$T$432,0),"")</f>
        <v/>
      </c>
      <c r="AA229" s="3" t="n"/>
      <c r="AB229" s="3" t="n"/>
      <c r="AC229" s="3" t="n"/>
      <c r="AD229" s="3" t="n"/>
    </row>
    <row r="230">
      <c r="A230" s="6" t="n"/>
      <c r="B230" s="153">
        <f>IF($C230="","",ROW()-11)</f>
        <v/>
      </c>
      <c r="C230" s="240">
        <f>IF($Z230="","",IF(INDEX($N$12:$N$432,$Z230)="","",INDEX($N$12:$N$432,$Z230)))</f>
        <v/>
      </c>
      <c r="D230" s="29">
        <f>IF($C230="","",INDEX($O$12:$O$432,$Z230))</f>
        <v/>
      </c>
      <c r="E230" s="153">
        <f>IF($C230="","",INDEX($P$12:$P$432,$Z230))</f>
        <v/>
      </c>
      <c r="F230" s="241">
        <f>IF($C230="","",INDEX($R$12:$R$432,$Z230))</f>
        <v/>
      </c>
      <c r="G230" s="241">
        <f>IF($C230="","",INDEX($S$12:$S$432,$Z230))</f>
        <v/>
      </c>
      <c r="H230" s="241">
        <f>IF($C230="","",N($H229)+$F230-$G230)</f>
        <v/>
      </c>
      <c r="I230" s="6" t="n"/>
      <c r="J230" s="6" t="n"/>
      <c r="K230" s="3" t="n"/>
      <c r="L230" s="3" t="n"/>
      <c r="M230" s="3" t="n">
        <v>219</v>
      </c>
      <c r="N230" s="3">
        <f>IF(OR($U230=0,$W230="",$X230&lt;=0),"",IF($W230&gt;TODAY(),"",IF(AND(INDEX(UCRETLER!$E$7:$E$406,$U230)&lt;&gt;"",$W230&gt;INDEX(UCRETLER!$E$7:$E$406,$U230)),"",$W230)))</f>
        <v/>
      </c>
      <c r="O230" s="3">
        <f>IF($N230="","",IF(INDEX(UCRETLER!$F$7:$F$406,$U230)="Aylık",CHOOSE(MONTH($N230),"Ocak","Şubat","Mart","Nisan","Mayıs","Haziran","Temmuz","Ağustos","Eylül","Ekim","Kasım","Aralık")&amp;" "&amp;YEAR($N230)&amp;" aylık muhasebe hizmet ücreti",RIGHT("0"&amp;DAY($N230),2)&amp;"."&amp;RIGHT("0"&amp;MONTH($N230),2)&amp;"."&amp;YEAR($N230)&amp;" haftalık muhasebe hizmet ücreti"))</f>
        <v/>
      </c>
      <c r="P230" s="3">
        <f>IF($N230="","","TAHAKKUK")</f>
        <v/>
      </c>
      <c r="Q230" s="3" t="n"/>
      <c r="R230" s="3">
        <f>IF($N230="",0,$X230)</f>
        <v/>
      </c>
      <c r="S230" s="3" t="n">
        <v>0</v>
      </c>
      <c r="T230" s="3">
        <f>IF($N230="",10000000000,$N230*100000+$M230)</f>
        <v/>
      </c>
      <c r="U230" s="3">
        <f>$AB$6</f>
        <v/>
      </c>
      <c r="V230" s="3" t="n">
        <v>58</v>
      </c>
      <c r="W230" s="3">
        <f>IF($U230=0,"",IF(INDEX(UCRETLER!$D$7:$D$406,$U230)="","",IF(INDEX(UCRETLER!$F$7:$F$406,$U230)="Aylık",EOMONTH(INDEX(UCRETLER!$D$7:$D$406,$U230),$V230-1),INDEX(UCRETLER!$D$7:$D$406,$U230)+MOD(SISTEM!$F$8-WEEKDAY(INDEX(UCRETLER!$D$7:$D$406,$U230),2),7)+7*($V230-1))))</f>
        <v/>
      </c>
      <c r="X230" s="3">
        <f>IF($U230=0,0,INDEX(UCRETLER!$G$7:$G$406,$U230))</f>
        <v/>
      </c>
      <c r="Y230" s="3">
        <f>IFERROR(SMALL($T$12:$T$432,ROW()-11),"")</f>
        <v/>
      </c>
      <c r="Z230" s="3">
        <f>IFERROR(MATCH($Y230,$T$12:$T$432,0),"")</f>
        <v/>
      </c>
      <c r="AA230" s="3" t="n"/>
      <c r="AB230" s="3" t="n"/>
      <c r="AC230" s="3" t="n"/>
      <c r="AD230" s="3" t="n"/>
    </row>
    <row r="231">
      <c r="A231" s="6" t="n"/>
      <c r="B231" s="153">
        <f>IF($C231="","",ROW()-11)</f>
        <v/>
      </c>
      <c r="C231" s="240">
        <f>IF($Z231="","",IF(INDEX($N$12:$N$432,$Z231)="","",INDEX($N$12:$N$432,$Z231)))</f>
        <v/>
      </c>
      <c r="D231" s="29">
        <f>IF($C231="","",INDEX($O$12:$O$432,$Z231))</f>
        <v/>
      </c>
      <c r="E231" s="153">
        <f>IF($C231="","",INDEX($P$12:$P$432,$Z231))</f>
        <v/>
      </c>
      <c r="F231" s="241">
        <f>IF($C231="","",INDEX($R$12:$R$432,$Z231))</f>
        <v/>
      </c>
      <c r="G231" s="241">
        <f>IF($C231="","",INDEX($S$12:$S$432,$Z231))</f>
        <v/>
      </c>
      <c r="H231" s="241">
        <f>IF($C231="","",N($H230)+$F231-$G231)</f>
        <v/>
      </c>
      <c r="I231" s="6" t="n"/>
      <c r="J231" s="6" t="n"/>
      <c r="K231" s="3" t="n"/>
      <c r="L231" s="3" t="n"/>
      <c r="M231" s="3" t="n">
        <v>220</v>
      </c>
      <c r="N231" s="3">
        <f>IF(OR($U231=0,$W231="",$X231&lt;=0),"",IF($W231&gt;TODAY(),"",IF(AND(INDEX(UCRETLER!$E$7:$E$406,$U231)&lt;&gt;"",$W231&gt;INDEX(UCRETLER!$E$7:$E$406,$U231)),"",$W231)))</f>
        <v/>
      </c>
      <c r="O231" s="3">
        <f>IF($N231="","",IF(INDEX(UCRETLER!$F$7:$F$406,$U231)="Aylık",CHOOSE(MONTH($N231),"Ocak","Şubat","Mart","Nisan","Mayıs","Haziran","Temmuz","Ağustos","Eylül","Ekim","Kasım","Aralık")&amp;" "&amp;YEAR($N231)&amp;" aylık muhasebe hizmet ücreti",RIGHT("0"&amp;DAY($N231),2)&amp;"."&amp;RIGHT("0"&amp;MONTH($N231),2)&amp;"."&amp;YEAR($N231)&amp;" haftalık muhasebe hizmet ücreti"))</f>
        <v/>
      </c>
      <c r="P231" s="3">
        <f>IF($N231="","","TAHAKKUK")</f>
        <v/>
      </c>
      <c r="Q231" s="3" t="n"/>
      <c r="R231" s="3">
        <f>IF($N231="",0,$X231)</f>
        <v/>
      </c>
      <c r="S231" s="3" t="n">
        <v>0</v>
      </c>
      <c r="T231" s="3">
        <f>IF($N231="",10000000000,$N231*100000+$M231)</f>
        <v/>
      </c>
      <c r="U231" s="3">
        <f>$AB$6</f>
        <v/>
      </c>
      <c r="V231" s="3" t="n">
        <v>59</v>
      </c>
      <c r="W231" s="3">
        <f>IF($U231=0,"",IF(INDEX(UCRETLER!$D$7:$D$406,$U231)="","",IF(INDEX(UCRETLER!$F$7:$F$406,$U231)="Aylık",EOMONTH(INDEX(UCRETLER!$D$7:$D$406,$U231),$V231-1),INDEX(UCRETLER!$D$7:$D$406,$U231)+MOD(SISTEM!$F$8-WEEKDAY(INDEX(UCRETLER!$D$7:$D$406,$U231),2),7)+7*($V231-1))))</f>
        <v/>
      </c>
      <c r="X231" s="3">
        <f>IF($U231=0,0,INDEX(UCRETLER!$G$7:$G$406,$U231))</f>
        <v/>
      </c>
      <c r="Y231" s="3">
        <f>IFERROR(SMALL($T$12:$T$432,ROW()-11),"")</f>
        <v/>
      </c>
      <c r="Z231" s="3">
        <f>IFERROR(MATCH($Y231,$T$12:$T$432,0),"")</f>
        <v/>
      </c>
      <c r="AA231" s="3" t="n"/>
      <c r="AB231" s="3" t="n"/>
      <c r="AC231" s="3" t="n"/>
      <c r="AD231" s="3" t="n"/>
    </row>
    <row r="232">
      <c r="A232" s="6" t="n"/>
      <c r="B232" s="153">
        <f>IF($C232="","",ROW()-11)</f>
        <v/>
      </c>
      <c r="C232" s="240">
        <f>IF($Z232="","",IF(INDEX($N$12:$N$432,$Z232)="","",INDEX($N$12:$N$432,$Z232)))</f>
        <v/>
      </c>
      <c r="D232" s="29">
        <f>IF($C232="","",INDEX($O$12:$O$432,$Z232))</f>
        <v/>
      </c>
      <c r="E232" s="153">
        <f>IF($C232="","",INDEX($P$12:$P$432,$Z232))</f>
        <v/>
      </c>
      <c r="F232" s="241">
        <f>IF($C232="","",INDEX($R$12:$R$432,$Z232))</f>
        <v/>
      </c>
      <c r="G232" s="241">
        <f>IF($C232="","",INDEX($S$12:$S$432,$Z232))</f>
        <v/>
      </c>
      <c r="H232" s="241">
        <f>IF($C232="","",N($H231)+$F232-$G232)</f>
        <v/>
      </c>
      <c r="I232" s="6" t="n"/>
      <c r="J232" s="6" t="n"/>
      <c r="K232" s="3" t="n"/>
      <c r="L232" s="3" t="n"/>
      <c r="M232" s="3" t="n">
        <v>221</v>
      </c>
      <c r="N232" s="3">
        <f>IF(OR($U232=0,$W232="",$X232&lt;=0),"",IF($W232&gt;TODAY(),"",IF(AND(INDEX(UCRETLER!$E$7:$E$406,$U232)&lt;&gt;"",$W232&gt;INDEX(UCRETLER!$E$7:$E$406,$U232)),"",$W232)))</f>
        <v/>
      </c>
      <c r="O232" s="3">
        <f>IF($N232="","",IF(INDEX(UCRETLER!$F$7:$F$406,$U232)="Aylık",CHOOSE(MONTH($N232),"Ocak","Şubat","Mart","Nisan","Mayıs","Haziran","Temmuz","Ağustos","Eylül","Ekim","Kasım","Aralık")&amp;" "&amp;YEAR($N232)&amp;" aylık muhasebe hizmet ücreti",RIGHT("0"&amp;DAY($N232),2)&amp;"."&amp;RIGHT("0"&amp;MONTH($N232),2)&amp;"."&amp;YEAR($N232)&amp;" haftalık muhasebe hizmet ücreti"))</f>
        <v/>
      </c>
      <c r="P232" s="3">
        <f>IF($N232="","","TAHAKKUK")</f>
        <v/>
      </c>
      <c r="Q232" s="3" t="n"/>
      <c r="R232" s="3">
        <f>IF($N232="",0,$X232)</f>
        <v/>
      </c>
      <c r="S232" s="3" t="n">
        <v>0</v>
      </c>
      <c r="T232" s="3">
        <f>IF($N232="",10000000000,$N232*100000+$M232)</f>
        <v/>
      </c>
      <c r="U232" s="3">
        <f>$AB$6</f>
        <v/>
      </c>
      <c r="V232" s="3" t="n">
        <v>60</v>
      </c>
      <c r="W232" s="3">
        <f>IF($U232=0,"",IF(INDEX(UCRETLER!$D$7:$D$406,$U232)="","",IF(INDEX(UCRETLER!$F$7:$F$406,$U232)="Aylık",EOMONTH(INDEX(UCRETLER!$D$7:$D$406,$U232),$V232-1),INDEX(UCRETLER!$D$7:$D$406,$U232)+MOD(SISTEM!$F$8-WEEKDAY(INDEX(UCRETLER!$D$7:$D$406,$U232),2),7)+7*($V232-1))))</f>
        <v/>
      </c>
      <c r="X232" s="3">
        <f>IF($U232=0,0,INDEX(UCRETLER!$G$7:$G$406,$U232))</f>
        <v/>
      </c>
      <c r="Y232" s="3">
        <f>IFERROR(SMALL($T$12:$T$432,ROW()-11),"")</f>
        <v/>
      </c>
      <c r="Z232" s="3">
        <f>IFERROR(MATCH($Y232,$T$12:$T$432,0),"")</f>
        <v/>
      </c>
      <c r="AA232" s="3" t="n"/>
      <c r="AB232" s="3" t="n"/>
      <c r="AC232" s="3" t="n"/>
      <c r="AD232" s="3" t="n"/>
    </row>
    <row r="233">
      <c r="A233" s="6" t="n"/>
      <c r="B233" s="153">
        <f>IF($C233="","",ROW()-11)</f>
        <v/>
      </c>
      <c r="C233" s="240">
        <f>IF($Z233="","",IF(INDEX($N$12:$N$432,$Z233)="","",INDEX($N$12:$N$432,$Z233)))</f>
        <v/>
      </c>
      <c r="D233" s="29">
        <f>IF($C233="","",INDEX($O$12:$O$432,$Z233))</f>
        <v/>
      </c>
      <c r="E233" s="153">
        <f>IF($C233="","",INDEX($P$12:$P$432,$Z233))</f>
        <v/>
      </c>
      <c r="F233" s="241">
        <f>IF($C233="","",INDEX($R$12:$R$432,$Z233))</f>
        <v/>
      </c>
      <c r="G233" s="241">
        <f>IF($C233="","",INDEX($S$12:$S$432,$Z233))</f>
        <v/>
      </c>
      <c r="H233" s="241">
        <f>IF($C233="","",N($H232)+$F233-$G233)</f>
        <v/>
      </c>
      <c r="I233" s="6" t="n"/>
      <c r="J233" s="6" t="n"/>
      <c r="K233" s="3" t="n"/>
      <c r="L233" s="3" t="n"/>
      <c r="M233" s="3" t="n">
        <v>222</v>
      </c>
      <c r="N233" s="3">
        <f>IF(OR($U233=0,$W233="",$X233&lt;=0),"",IF($W233&gt;TODAY(),"",IF(AND(INDEX(UCRETLER!$E$7:$E$406,$U233)&lt;&gt;"",$W233&gt;INDEX(UCRETLER!$E$7:$E$406,$U233)),"",$W233)))</f>
        <v/>
      </c>
      <c r="O233" s="3">
        <f>IF($N233="","",IF(INDEX(UCRETLER!$F$7:$F$406,$U233)="Aylık",CHOOSE(MONTH($N233),"Ocak","Şubat","Mart","Nisan","Mayıs","Haziran","Temmuz","Ağustos","Eylül","Ekim","Kasım","Aralık")&amp;" "&amp;YEAR($N233)&amp;" aylık muhasebe hizmet ücreti",RIGHT("0"&amp;DAY($N233),2)&amp;"."&amp;RIGHT("0"&amp;MONTH($N233),2)&amp;"."&amp;YEAR($N233)&amp;" haftalık muhasebe hizmet ücreti"))</f>
        <v/>
      </c>
      <c r="P233" s="3">
        <f>IF($N233="","","TAHAKKUK")</f>
        <v/>
      </c>
      <c r="Q233" s="3" t="n"/>
      <c r="R233" s="3">
        <f>IF($N233="",0,$X233)</f>
        <v/>
      </c>
      <c r="S233" s="3" t="n">
        <v>0</v>
      </c>
      <c r="T233" s="3">
        <f>IF($N233="",10000000000,$N233*100000+$M233)</f>
        <v/>
      </c>
      <c r="U233" s="3">
        <f>$AB$6</f>
        <v/>
      </c>
      <c r="V233" s="3" t="n">
        <v>61</v>
      </c>
      <c r="W233" s="3">
        <f>IF($U233=0,"",IF(INDEX(UCRETLER!$D$7:$D$406,$U233)="","",IF(INDEX(UCRETLER!$F$7:$F$406,$U233)="Aylık",EOMONTH(INDEX(UCRETLER!$D$7:$D$406,$U233),$V233-1),INDEX(UCRETLER!$D$7:$D$406,$U233)+MOD(SISTEM!$F$8-WEEKDAY(INDEX(UCRETLER!$D$7:$D$406,$U233),2),7)+7*($V233-1))))</f>
        <v/>
      </c>
      <c r="X233" s="3">
        <f>IF($U233=0,0,INDEX(UCRETLER!$G$7:$G$406,$U233))</f>
        <v/>
      </c>
      <c r="Y233" s="3">
        <f>IFERROR(SMALL($T$12:$T$432,ROW()-11),"")</f>
        <v/>
      </c>
      <c r="Z233" s="3">
        <f>IFERROR(MATCH($Y233,$T$12:$T$432,0),"")</f>
        <v/>
      </c>
      <c r="AA233" s="3" t="n"/>
      <c r="AB233" s="3" t="n"/>
      <c r="AC233" s="3" t="n"/>
      <c r="AD233" s="3" t="n"/>
    </row>
    <row r="234">
      <c r="A234" s="6" t="n"/>
      <c r="B234" s="153">
        <f>IF($C234="","",ROW()-11)</f>
        <v/>
      </c>
      <c r="C234" s="240">
        <f>IF($Z234="","",IF(INDEX($N$12:$N$432,$Z234)="","",INDEX($N$12:$N$432,$Z234)))</f>
        <v/>
      </c>
      <c r="D234" s="29">
        <f>IF($C234="","",INDEX($O$12:$O$432,$Z234))</f>
        <v/>
      </c>
      <c r="E234" s="153">
        <f>IF($C234="","",INDEX($P$12:$P$432,$Z234))</f>
        <v/>
      </c>
      <c r="F234" s="241">
        <f>IF($C234="","",INDEX($R$12:$R$432,$Z234))</f>
        <v/>
      </c>
      <c r="G234" s="241">
        <f>IF($C234="","",INDEX($S$12:$S$432,$Z234))</f>
        <v/>
      </c>
      <c r="H234" s="241">
        <f>IF($C234="","",N($H233)+$F234-$G234)</f>
        <v/>
      </c>
      <c r="I234" s="6" t="n"/>
      <c r="J234" s="6" t="n"/>
      <c r="K234" s="3" t="n"/>
      <c r="L234" s="3" t="n"/>
      <c r="M234" s="3" t="n">
        <v>223</v>
      </c>
      <c r="N234" s="3">
        <f>IF(OR($U234=0,$W234="",$X234&lt;=0),"",IF($W234&gt;TODAY(),"",IF(AND(INDEX(UCRETLER!$E$7:$E$406,$U234)&lt;&gt;"",$W234&gt;INDEX(UCRETLER!$E$7:$E$406,$U234)),"",$W234)))</f>
        <v/>
      </c>
      <c r="O234" s="3">
        <f>IF($N234="","",IF(INDEX(UCRETLER!$F$7:$F$406,$U234)="Aylık",CHOOSE(MONTH($N234),"Ocak","Şubat","Mart","Nisan","Mayıs","Haziran","Temmuz","Ağustos","Eylül","Ekim","Kasım","Aralık")&amp;" "&amp;YEAR($N234)&amp;" aylık muhasebe hizmet ücreti",RIGHT("0"&amp;DAY($N234),2)&amp;"."&amp;RIGHT("0"&amp;MONTH($N234),2)&amp;"."&amp;YEAR($N234)&amp;" haftalık muhasebe hizmet ücreti"))</f>
        <v/>
      </c>
      <c r="P234" s="3">
        <f>IF($N234="","","TAHAKKUK")</f>
        <v/>
      </c>
      <c r="Q234" s="3" t="n"/>
      <c r="R234" s="3">
        <f>IF($N234="",0,$X234)</f>
        <v/>
      </c>
      <c r="S234" s="3" t="n">
        <v>0</v>
      </c>
      <c r="T234" s="3">
        <f>IF($N234="",10000000000,$N234*100000+$M234)</f>
        <v/>
      </c>
      <c r="U234" s="3">
        <f>$AB$6</f>
        <v/>
      </c>
      <c r="V234" s="3" t="n">
        <v>62</v>
      </c>
      <c r="W234" s="3">
        <f>IF($U234=0,"",IF(INDEX(UCRETLER!$D$7:$D$406,$U234)="","",IF(INDEX(UCRETLER!$F$7:$F$406,$U234)="Aylık",EOMONTH(INDEX(UCRETLER!$D$7:$D$406,$U234),$V234-1),INDEX(UCRETLER!$D$7:$D$406,$U234)+MOD(SISTEM!$F$8-WEEKDAY(INDEX(UCRETLER!$D$7:$D$406,$U234),2),7)+7*($V234-1))))</f>
        <v/>
      </c>
      <c r="X234" s="3">
        <f>IF($U234=0,0,INDEX(UCRETLER!$G$7:$G$406,$U234))</f>
        <v/>
      </c>
      <c r="Y234" s="3">
        <f>IFERROR(SMALL($T$12:$T$432,ROW()-11),"")</f>
        <v/>
      </c>
      <c r="Z234" s="3">
        <f>IFERROR(MATCH($Y234,$T$12:$T$432,0),"")</f>
        <v/>
      </c>
      <c r="AA234" s="3" t="n"/>
      <c r="AB234" s="3" t="n"/>
      <c r="AC234" s="3" t="n"/>
      <c r="AD234" s="3" t="n"/>
    </row>
    <row r="235">
      <c r="A235" s="6" t="n"/>
      <c r="B235" s="153">
        <f>IF($C235="","",ROW()-11)</f>
        <v/>
      </c>
      <c r="C235" s="240">
        <f>IF($Z235="","",IF(INDEX($N$12:$N$432,$Z235)="","",INDEX($N$12:$N$432,$Z235)))</f>
        <v/>
      </c>
      <c r="D235" s="29">
        <f>IF($C235="","",INDEX($O$12:$O$432,$Z235))</f>
        <v/>
      </c>
      <c r="E235" s="153">
        <f>IF($C235="","",INDEX($P$12:$P$432,$Z235))</f>
        <v/>
      </c>
      <c r="F235" s="241">
        <f>IF($C235="","",INDEX($R$12:$R$432,$Z235))</f>
        <v/>
      </c>
      <c r="G235" s="241">
        <f>IF($C235="","",INDEX($S$12:$S$432,$Z235))</f>
        <v/>
      </c>
      <c r="H235" s="241">
        <f>IF($C235="","",N($H234)+$F235-$G235)</f>
        <v/>
      </c>
      <c r="I235" s="6" t="n"/>
      <c r="J235" s="6" t="n"/>
      <c r="K235" s="3" t="n"/>
      <c r="L235" s="3" t="n"/>
      <c r="M235" s="3" t="n">
        <v>224</v>
      </c>
      <c r="N235" s="3">
        <f>IF(OR($U235=0,$W235="",$X235&lt;=0),"",IF($W235&gt;TODAY(),"",IF(AND(INDEX(UCRETLER!$E$7:$E$406,$U235)&lt;&gt;"",$W235&gt;INDEX(UCRETLER!$E$7:$E$406,$U235)),"",$W235)))</f>
        <v/>
      </c>
      <c r="O235" s="3">
        <f>IF($N235="","",IF(INDEX(UCRETLER!$F$7:$F$406,$U235)="Aylık",CHOOSE(MONTH($N235),"Ocak","Şubat","Mart","Nisan","Mayıs","Haziran","Temmuz","Ağustos","Eylül","Ekim","Kasım","Aralık")&amp;" "&amp;YEAR($N235)&amp;" aylık muhasebe hizmet ücreti",RIGHT("0"&amp;DAY($N235),2)&amp;"."&amp;RIGHT("0"&amp;MONTH($N235),2)&amp;"."&amp;YEAR($N235)&amp;" haftalık muhasebe hizmet ücreti"))</f>
        <v/>
      </c>
      <c r="P235" s="3">
        <f>IF($N235="","","TAHAKKUK")</f>
        <v/>
      </c>
      <c r="Q235" s="3" t="n"/>
      <c r="R235" s="3">
        <f>IF($N235="",0,$X235)</f>
        <v/>
      </c>
      <c r="S235" s="3" t="n">
        <v>0</v>
      </c>
      <c r="T235" s="3">
        <f>IF($N235="",10000000000,$N235*100000+$M235)</f>
        <v/>
      </c>
      <c r="U235" s="3">
        <f>$AB$6</f>
        <v/>
      </c>
      <c r="V235" s="3" t="n">
        <v>63</v>
      </c>
      <c r="W235" s="3">
        <f>IF($U235=0,"",IF(INDEX(UCRETLER!$D$7:$D$406,$U235)="","",IF(INDEX(UCRETLER!$F$7:$F$406,$U235)="Aylık",EOMONTH(INDEX(UCRETLER!$D$7:$D$406,$U235),$V235-1),INDEX(UCRETLER!$D$7:$D$406,$U235)+MOD(SISTEM!$F$8-WEEKDAY(INDEX(UCRETLER!$D$7:$D$406,$U235),2),7)+7*($V235-1))))</f>
        <v/>
      </c>
      <c r="X235" s="3">
        <f>IF($U235=0,0,INDEX(UCRETLER!$G$7:$G$406,$U235))</f>
        <v/>
      </c>
      <c r="Y235" s="3">
        <f>IFERROR(SMALL($T$12:$T$432,ROW()-11),"")</f>
        <v/>
      </c>
      <c r="Z235" s="3">
        <f>IFERROR(MATCH($Y235,$T$12:$T$432,0),"")</f>
        <v/>
      </c>
      <c r="AA235" s="3" t="n"/>
      <c r="AB235" s="3" t="n"/>
      <c r="AC235" s="3" t="n"/>
      <c r="AD235" s="3" t="n"/>
    </row>
    <row r="236">
      <c r="A236" s="6" t="n"/>
      <c r="B236" s="153">
        <f>IF($C236="","",ROW()-11)</f>
        <v/>
      </c>
      <c r="C236" s="240">
        <f>IF($Z236="","",IF(INDEX($N$12:$N$432,$Z236)="","",INDEX($N$12:$N$432,$Z236)))</f>
        <v/>
      </c>
      <c r="D236" s="29">
        <f>IF($C236="","",INDEX($O$12:$O$432,$Z236))</f>
        <v/>
      </c>
      <c r="E236" s="153">
        <f>IF($C236="","",INDEX($P$12:$P$432,$Z236))</f>
        <v/>
      </c>
      <c r="F236" s="241">
        <f>IF($C236="","",INDEX($R$12:$R$432,$Z236))</f>
        <v/>
      </c>
      <c r="G236" s="241">
        <f>IF($C236="","",INDEX($S$12:$S$432,$Z236))</f>
        <v/>
      </c>
      <c r="H236" s="241">
        <f>IF($C236="","",N($H235)+$F236-$G236)</f>
        <v/>
      </c>
      <c r="I236" s="6" t="n"/>
      <c r="J236" s="6" t="n"/>
      <c r="K236" s="3" t="n"/>
      <c r="L236" s="3" t="n"/>
      <c r="M236" s="3" t="n">
        <v>225</v>
      </c>
      <c r="N236" s="3">
        <f>IF(OR($U236=0,$W236="",$X236&lt;=0),"",IF($W236&gt;TODAY(),"",IF(AND(INDEX(UCRETLER!$E$7:$E$406,$U236)&lt;&gt;"",$W236&gt;INDEX(UCRETLER!$E$7:$E$406,$U236)),"",$W236)))</f>
        <v/>
      </c>
      <c r="O236" s="3">
        <f>IF($N236="","",IF(INDEX(UCRETLER!$F$7:$F$406,$U236)="Aylık",CHOOSE(MONTH($N236),"Ocak","Şubat","Mart","Nisan","Mayıs","Haziran","Temmuz","Ağustos","Eylül","Ekim","Kasım","Aralık")&amp;" "&amp;YEAR($N236)&amp;" aylık muhasebe hizmet ücreti",RIGHT("0"&amp;DAY($N236),2)&amp;"."&amp;RIGHT("0"&amp;MONTH($N236),2)&amp;"."&amp;YEAR($N236)&amp;" haftalık muhasebe hizmet ücreti"))</f>
        <v/>
      </c>
      <c r="P236" s="3">
        <f>IF($N236="","","TAHAKKUK")</f>
        <v/>
      </c>
      <c r="Q236" s="3" t="n"/>
      <c r="R236" s="3">
        <f>IF($N236="",0,$X236)</f>
        <v/>
      </c>
      <c r="S236" s="3" t="n">
        <v>0</v>
      </c>
      <c r="T236" s="3">
        <f>IF($N236="",10000000000,$N236*100000+$M236)</f>
        <v/>
      </c>
      <c r="U236" s="3">
        <f>$AB$6</f>
        <v/>
      </c>
      <c r="V236" s="3" t="n">
        <v>64</v>
      </c>
      <c r="W236" s="3">
        <f>IF($U236=0,"",IF(INDEX(UCRETLER!$D$7:$D$406,$U236)="","",IF(INDEX(UCRETLER!$F$7:$F$406,$U236)="Aylık",EOMONTH(INDEX(UCRETLER!$D$7:$D$406,$U236),$V236-1),INDEX(UCRETLER!$D$7:$D$406,$U236)+MOD(SISTEM!$F$8-WEEKDAY(INDEX(UCRETLER!$D$7:$D$406,$U236),2),7)+7*($V236-1))))</f>
        <v/>
      </c>
      <c r="X236" s="3">
        <f>IF($U236=0,0,INDEX(UCRETLER!$G$7:$G$406,$U236))</f>
        <v/>
      </c>
      <c r="Y236" s="3">
        <f>IFERROR(SMALL($T$12:$T$432,ROW()-11),"")</f>
        <v/>
      </c>
      <c r="Z236" s="3">
        <f>IFERROR(MATCH($Y236,$T$12:$T$432,0),"")</f>
        <v/>
      </c>
      <c r="AA236" s="3" t="n"/>
      <c r="AB236" s="3" t="n"/>
      <c r="AC236" s="3" t="n"/>
      <c r="AD236" s="3" t="n"/>
    </row>
    <row r="237">
      <c r="A237" s="6" t="n"/>
      <c r="B237" s="153">
        <f>IF($C237="","",ROW()-11)</f>
        <v/>
      </c>
      <c r="C237" s="240">
        <f>IF($Z237="","",IF(INDEX($N$12:$N$432,$Z237)="","",INDEX($N$12:$N$432,$Z237)))</f>
        <v/>
      </c>
      <c r="D237" s="29">
        <f>IF($C237="","",INDEX($O$12:$O$432,$Z237))</f>
        <v/>
      </c>
      <c r="E237" s="153">
        <f>IF($C237="","",INDEX($P$12:$P$432,$Z237))</f>
        <v/>
      </c>
      <c r="F237" s="241">
        <f>IF($C237="","",INDEX($R$12:$R$432,$Z237))</f>
        <v/>
      </c>
      <c r="G237" s="241">
        <f>IF($C237="","",INDEX($S$12:$S$432,$Z237))</f>
        <v/>
      </c>
      <c r="H237" s="241">
        <f>IF($C237="","",N($H236)+$F237-$G237)</f>
        <v/>
      </c>
      <c r="I237" s="6" t="n"/>
      <c r="J237" s="6" t="n"/>
      <c r="K237" s="3" t="n"/>
      <c r="L237" s="3" t="n"/>
      <c r="M237" s="3" t="n">
        <v>226</v>
      </c>
      <c r="N237" s="3">
        <f>IF(OR($U237=0,$W237="",$X237&lt;=0),"",IF($W237&gt;TODAY(),"",IF(AND(INDEX(UCRETLER!$E$7:$E$406,$U237)&lt;&gt;"",$W237&gt;INDEX(UCRETLER!$E$7:$E$406,$U237)),"",$W237)))</f>
        <v/>
      </c>
      <c r="O237" s="3">
        <f>IF($N237="","",IF(INDEX(UCRETLER!$F$7:$F$406,$U237)="Aylık",CHOOSE(MONTH($N237),"Ocak","Şubat","Mart","Nisan","Mayıs","Haziran","Temmuz","Ağustos","Eylül","Ekim","Kasım","Aralık")&amp;" "&amp;YEAR($N237)&amp;" aylık muhasebe hizmet ücreti",RIGHT("0"&amp;DAY($N237),2)&amp;"."&amp;RIGHT("0"&amp;MONTH($N237),2)&amp;"."&amp;YEAR($N237)&amp;" haftalık muhasebe hizmet ücreti"))</f>
        <v/>
      </c>
      <c r="P237" s="3">
        <f>IF($N237="","","TAHAKKUK")</f>
        <v/>
      </c>
      <c r="Q237" s="3" t="n"/>
      <c r="R237" s="3">
        <f>IF($N237="",0,$X237)</f>
        <v/>
      </c>
      <c r="S237" s="3" t="n">
        <v>0</v>
      </c>
      <c r="T237" s="3">
        <f>IF($N237="",10000000000,$N237*100000+$M237)</f>
        <v/>
      </c>
      <c r="U237" s="3">
        <f>$AB$6</f>
        <v/>
      </c>
      <c r="V237" s="3" t="n">
        <v>65</v>
      </c>
      <c r="W237" s="3">
        <f>IF($U237=0,"",IF(INDEX(UCRETLER!$D$7:$D$406,$U237)="","",IF(INDEX(UCRETLER!$F$7:$F$406,$U237)="Aylık",EOMONTH(INDEX(UCRETLER!$D$7:$D$406,$U237),$V237-1),INDEX(UCRETLER!$D$7:$D$406,$U237)+MOD(SISTEM!$F$8-WEEKDAY(INDEX(UCRETLER!$D$7:$D$406,$U237),2),7)+7*($V237-1))))</f>
        <v/>
      </c>
      <c r="X237" s="3">
        <f>IF($U237=0,0,INDEX(UCRETLER!$G$7:$G$406,$U237))</f>
        <v/>
      </c>
      <c r="Y237" s="3">
        <f>IFERROR(SMALL($T$12:$T$432,ROW()-11),"")</f>
        <v/>
      </c>
      <c r="Z237" s="3">
        <f>IFERROR(MATCH($Y237,$T$12:$T$432,0),"")</f>
        <v/>
      </c>
      <c r="AA237" s="3" t="n"/>
      <c r="AB237" s="3" t="n"/>
      <c r="AC237" s="3" t="n"/>
      <c r="AD237" s="3" t="n"/>
    </row>
    <row r="238">
      <c r="A238" s="6" t="n"/>
      <c r="B238" s="153">
        <f>IF($C238="","",ROW()-11)</f>
        <v/>
      </c>
      <c r="C238" s="240">
        <f>IF($Z238="","",IF(INDEX($N$12:$N$432,$Z238)="","",INDEX($N$12:$N$432,$Z238)))</f>
        <v/>
      </c>
      <c r="D238" s="29">
        <f>IF($C238="","",INDEX($O$12:$O$432,$Z238))</f>
        <v/>
      </c>
      <c r="E238" s="153">
        <f>IF($C238="","",INDEX($P$12:$P$432,$Z238))</f>
        <v/>
      </c>
      <c r="F238" s="241">
        <f>IF($C238="","",INDEX($R$12:$R$432,$Z238))</f>
        <v/>
      </c>
      <c r="G238" s="241">
        <f>IF($C238="","",INDEX($S$12:$S$432,$Z238))</f>
        <v/>
      </c>
      <c r="H238" s="241">
        <f>IF($C238="","",N($H237)+$F238-$G238)</f>
        <v/>
      </c>
      <c r="I238" s="6" t="n"/>
      <c r="J238" s="6" t="n"/>
      <c r="K238" s="3" t="n"/>
      <c r="L238" s="3" t="n"/>
      <c r="M238" s="3" t="n">
        <v>227</v>
      </c>
      <c r="N238" s="3">
        <f>IF(OR($U238=0,$W238="",$X238&lt;=0),"",IF($W238&gt;TODAY(),"",IF(AND(INDEX(UCRETLER!$E$7:$E$406,$U238)&lt;&gt;"",$W238&gt;INDEX(UCRETLER!$E$7:$E$406,$U238)),"",$W238)))</f>
        <v/>
      </c>
      <c r="O238" s="3">
        <f>IF($N238="","",IF(INDEX(UCRETLER!$F$7:$F$406,$U238)="Aylık",CHOOSE(MONTH($N238),"Ocak","Şubat","Mart","Nisan","Mayıs","Haziran","Temmuz","Ağustos","Eylül","Ekim","Kasım","Aralık")&amp;" "&amp;YEAR($N238)&amp;" aylık muhasebe hizmet ücreti",RIGHT("0"&amp;DAY($N238),2)&amp;"."&amp;RIGHT("0"&amp;MONTH($N238),2)&amp;"."&amp;YEAR($N238)&amp;" haftalık muhasebe hizmet ücreti"))</f>
        <v/>
      </c>
      <c r="P238" s="3">
        <f>IF($N238="","","TAHAKKUK")</f>
        <v/>
      </c>
      <c r="Q238" s="3" t="n"/>
      <c r="R238" s="3">
        <f>IF($N238="",0,$X238)</f>
        <v/>
      </c>
      <c r="S238" s="3" t="n">
        <v>0</v>
      </c>
      <c r="T238" s="3">
        <f>IF($N238="",10000000000,$N238*100000+$M238)</f>
        <v/>
      </c>
      <c r="U238" s="3">
        <f>$AB$6</f>
        <v/>
      </c>
      <c r="V238" s="3" t="n">
        <v>66</v>
      </c>
      <c r="W238" s="3">
        <f>IF($U238=0,"",IF(INDEX(UCRETLER!$D$7:$D$406,$U238)="","",IF(INDEX(UCRETLER!$F$7:$F$406,$U238)="Aylık",EOMONTH(INDEX(UCRETLER!$D$7:$D$406,$U238),$V238-1),INDEX(UCRETLER!$D$7:$D$406,$U238)+MOD(SISTEM!$F$8-WEEKDAY(INDEX(UCRETLER!$D$7:$D$406,$U238),2),7)+7*($V238-1))))</f>
        <v/>
      </c>
      <c r="X238" s="3">
        <f>IF($U238=0,0,INDEX(UCRETLER!$G$7:$G$406,$U238))</f>
        <v/>
      </c>
      <c r="Y238" s="3">
        <f>IFERROR(SMALL($T$12:$T$432,ROW()-11),"")</f>
        <v/>
      </c>
      <c r="Z238" s="3">
        <f>IFERROR(MATCH($Y238,$T$12:$T$432,0),"")</f>
        <v/>
      </c>
      <c r="AA238" s="3" t="n"/>
      <c r="AB238" s="3" t="n"/>
      <c r="AC238" s="3" t="n"/>
      <c r="AD238" s="3" t="n"/>
    </row>
    <row r="239">
      <c r="A239" s="6" t="n"/>
      <c r="B239" s="153">
        <f>IF($C239="","",ROW()-11)</f>
        <v/>
      </c>
      <c r="C239" s="240">
        <f>IF($Z239="","",IF(INDEX($N$12:$N$432,$Z239)="","",INDEX($N$12:$N$432,$Z239)))</f>
        <v/>
      </c>
      <c r="D239" s="29">
        <f>IF($C239="","",INDEX($O$12:$O$432,$Z239))</f>
        <v/>
      </c>
      <c r="E239" s="153">
        <f>IF($C239="","",INDEX($P$12:$P$432,$Z239))</f>
        <v/>
      </c>
      <c r="F239" s="241">
        <f>IF($C239="","",INDEX($R$12:$R$432,$Z239))</f>
        <v/>
      </c>
      <c r="G239" s="241">
        <f>IF($C239="","",INDEX($S$12:$S$432,$Z239))</f>
        <v/>
      </c>
      <c r="H239" s="241">
        <f>IF($C239="","",N($H238)+$F239-$G239)</f>
        <v/>
      </c>
      <c r="I239" s="6" t="n"/>
      <c r="J239" s="6" t="n"/>
      <c r="K239" s="3" t="n"/>
      <c r="L239" s="3" t="n"/>
      <c r="M239" s="3" t="n">
        <v>228</v>
      </c>
      <c r="N239" s="3">
        <f>IF(OR($U239=0,$W239="",$X239&lt;=0),"",IF($W239&gt;TODAY(),"",IF(AND(INDEX(UCRETLER!$E$7:$E$406,$U239)&lt;&gt;"",$W239&gt;INDEX(UCRETLER!$E$7:$E$406,$U239)),"",$W239)))</f>
        <v/>
      </c>
      <c r="O239" s="3">
        <f>IF($N239="","",IF(INDEX(UCRETLER!$F$7:$F$406,$U239)="Aylık",CHOOSE(MONTH($N239),"Ocak","Şubat","Mart","Nisan","Mayıs","Haziran","Temmuz","Ağustos","Eylül","Ekim","Kasım","Aralık")&amp;" "&amp;YEAR($N239)&amp;" aylık muhasebe hizmet ücreti",RIGHT("0"&amp;DAY($N239),2)&amp;"."&amp;RIGHT("0"&amp;MONTH($N239),2)&amp;"."&amp;YEAR($N239)&amp;" haftalık muhasebe hizmet ücreti"))</f>
        <v/>
      </c>
      <c r="P239" s="3">
        <f>IF($N239="","","TAHAKKUK")</f>
        <v/>
      </c>
      <c r="Q239" s="3" t="n"/>
      <c r="R239" s="3">
        <f>IF($N239="",0,$X239)</f>
        <v/>
      </c>
      <c r="S239" s="3" t="n">
        <v>0</v>
      </c>
      <c r="T239" s="3">
        <f>IF($N239="",10000000000,$N239*100000+$M239)</f>
        <v/>
      </c>
      <c r="U239" s="3">
        <f>$AB$6</f>
        <v/>
      </c>
      <c r="V239" s="3" t="n">
        <v>67</v>
      </c>
      <c r="W239" s="3">
        <f>IF($U239=0,"",IF(INDEX(UCRETLER!$D$7:$D$406,$U239)="","",IF(INDEX(UCRETLER!$F$7:$F$406,$U239)="Aylık",EOMONTH(INDEX(UCRETLER!$D$7:$D$406,$U239),$V239-1),INDEX(UCRETLER!$D$7:$D$406,$U239)+MOD(SISTEM!$F$8-WEEKDAY(INDEX(UCRETLER!$D$7:$D$406,$U239),2),7)+7*($V239-1))))</f>
        <v/>
      </c>
      <c r="X239" s="3">
        <f>IF($U239=0,0,INDEX(UCRETLER!$G$7:$G$406,$U239))</f>
        <v/>
      </c>
      <c r="Y239" s="3">
        <f>IFERROR(SMALL($T$12:$T$432,ROW()-11),"")</f>
        <v/>
      </c>
      <c r="Z239" s="3">
        <f>IFERROR(MATCH($Y239,$T$12:$T$432,0),"")</f>
        <v/>
      </c>
      <c r="AA239" s="3" t="n"/>
      <c r="AB239" s="3" t="n"/>
      <c r="AC239" s="3" t="n"/>
      <c r="AD239" s="3" t="n"/>
    </row>
    <row r="240">
      <c r="A240" s="6" t="n"/>
      <c r="B240" s="153">
        <f>IF($C240="","",ROW()-11)</f>
        <v/>
      </c>
      <c r="C240" s="240">
        <f>IF($Z240="","",IF(INDEX($N$12:$N$432,$Z240)="","",INDEX($N$12:$N$432,$Z240)))</f>
        <v/>
      </c>
      <c r="D240" s="29">
        <f>IF($C240="","",INDEX($O$12:$O$432,$Z240))</f>
        <v/>
      </c>
      <c r="E240" s="153">
        <f>IF($C240="","",INDEX($P$12:$P$432,$Z240))</f>
        <v/>
      </c>
      <c r="F240" s="241">
        <f>IF($C240="","",INDEX($R$12:$R$432,$Z240))</f>
        <v/>
      </c>
      <c r="G240" s="241">
        <f>IF($C240="","",INDEX($S$12:$S$432,$Z240))</f>
        <v/>
      </c>
      <c r="H240" s="241">
        <f>IF($C240="","",N($H239)+$F240-$G240)</f>
        <v/>
      </c>
      <c r="I240" s="6" t="n"/>
      <c r="J240" s="6" t="n"/>
      <c r="K240" s="3" t="n"/>
      <c r="L240" s="3" t="n"/>
      <c r="M240" s="3" t="n">
        <v>229</v>
      </c>
      <c r="N240" s="3">
        <f>IF(OR($U240=0,$W240="",$X240&lt;=0),"",IF($W240&gt;TODAY(),"",IF(AND(INDEX(UCRETLER!$E$7:$E$406,$U240)&lt;&gt;"",$W240&gt;INDEX(UCRETLER!$E$7:$E$406,$U240)),"",$W240)))</f>
        <v/>
      </c>
      <c r="O240" s="3">
        <f>IF($N240="","",IF(INDEX(UCRETLER!$F$7:$F$406,$U240)="Aylık",CHOOSE(MONTH($N240),"Ocak","Şubat","Mart","Nisan","Mayıs","Haziran","Temmuz","Ağustos","Eylül","Ekim","Kasım","Aralık")&amp;" "&amp;YEAR($N240)&amp;" aylık muhasebe hizmet ücreti",RIGHT("0"&amp;DAY($N240),2)&amp;"."&amp;RIGHT("0"&amp;MONTH($N240),2)&amp;"."&amp;YEAR($N240)&amp;" haftalık muhasebe hizmet ücreti"))</f>
        <v/>
      </c>
      <c r="P240" s="3">
        <f>IF($N240="","","TAHAKKUK")</f>
        <v/>
      </c>
      <c r="Q240" s="3" t="n"/>
      <c r="R240" s="3">
        <f>IF($N240="",0,$X240)</f>
        <v/>
      </c>
      <c r="S240" s="3" t="n">
        <v>0</v>
      </c>
      <c r="T240" s="3">
        <f>IF($N240="",10000000000,$N240*100000+$M240)</f>
        <v/>
      </c>
      <c r="U240" s="3">
        <f>$AB$6</f>
        <v/>
      </c>
      <c r="V240" s="3" t="n">
        <v>68</v>
      </c>
      <c r="W240" s="3">
        <f>IF($U240=0,"",IF(INDEX(UCRETLER!$D$7:$D$406,$U240)="","",IF(INDEX(UCRETLER!$F$7:$F$406,$U240)="Aylık",EOMONTH(INDEX(UCRETLER!$D$7:$D$406,$U240),$V240-1),INDEX(UCRETLER!$D$7:$D$406,$U240)+MOD(SISTEM!$F$8-WEEKDAY(INDEX(UCRETLER!$D$7:$D$406,$U240),2),7)+7*($V240-1))))</f>
        <v/>
      </c>
      <c r="X240" s="3">
        <f>IF($U240=0,0,INDEX(UCRETLER!$G$7:$G$406,$U240))</f>
        <v/>
      </c>
      <c r="Y240" s="3">
        <f>IFERROR(SMALL($T$12:$T$432,ROW()-11),"")</f>
        <v/>
      </c>
      <c r="Z240" s="3">
        <f>IFERROR(MATCH($Y240,$T$12:$T$432,0),"")</f>
        <v/>
      </c>
      <c r="AA240" s="3" t="n"/>
      <c r="AB240" s="3" t="n"/>
      <c r="AC240" s="3" t="n"/>
      <c r="AD240" s="3" t="n"/>
    </row>
    <row r="241">
      <c r="A241" s="6" t="n"/>
      <c r="B241" s="153">
        <f>IF($C241="","",ROW()-11)</f>
        <v/>
      </c>
      <c r="C241" s="240">
        <f>IF($Z241="","",IF(INDEX($N$12:$N$432,$Z241)="","",INDEX($N$12:$N$432,$Z241)))</f>
        <v/>
      </c>
      <c r="D241" s="29">
        <f>IF($C241="","",INDEX($O$12:$O$432,$Z241))</f>
        <v/>
      </c>
      <c r="E241" s="153">
        <f>IF($C241="","",INDEX($P$12:$P$432,$Z241))</f>
        <v/>
      </c>
      <c r="F241" s="241">
        <f>IF($C241="","",INDEX($R$12:$R$432,$Z241))</f>
        <v/>
      </c>
      <c r="G241" s="241">
        <f>IF($C241="","",INDEX($S$12:$S$432,$Z241))</f>
        <v/>
      </c>
      <c r="H241" s="241">
        <f>IF($C241="","",N($H240)+$F241-$G241)</f>
        <v/>
      </c>
      <c r="I241" s="6" t="n"/>
      <c r="J241" s="6" t="n"/>
      <c r="K241" s="3" t="n"/>
      <c r="L241" s="3" t="n"/>
      <c r="M241" s="3" t="n">
        <v>230</v>
      </c>
      <c r="N241" s="3">
        <f>IF(OR($U241=0,$W241="",$X241&lt;=0),"",IF($W241&gt;TODAY(),"",IF(AND(INDEX(UCRETLER!$E$7:$E$406,$U241)&lt;&gt;"",$W241&gt;INDEX(UCRETLER!$E$7:$E$406,$U241)),"",$W241)))</f>
        <v/>
      </c>
      <c r="O241" s="3">
        <f>IF($N241="","",IF(INDEX(UCRETLER!$F$7:$F$406,$U241)="Aylık",CHOOSE(MONTH($N241),"Ocak","Şubat","Mart","Nisan","Mayıs","Haziran","Temmuz","Ağustos","Eylül","Ekim","Kasım","Aralık")&amp;" "&amp;YEAR($N241)&amp;" aylık muhasebe hizmet ücreti",RIGHT("0"&amp;DAY($N241),2)&amp;"."&amp;RIGHT("0"&amp;MONTH($N241),2)&amp;"."&amp;YEAR($N241)&amp;" haftalık muhasebe hizmet ücreti"))</f>
        <v/>
      </c>
      <c r="P241" s="3">
        <f>IF($N241="","","TAHAKKUK")</f>
        <v/>
      </c>
      <c r="Q241" s="3" t="n"/>
      <c r="R241" s="3">
        <f>IF($N241="",0,$X241)</f>
        <v/>
      </c>
      <c r="S241" s="3" t="n">
        <v>0</v>
      </c>
      <c r="T241" s="3">
        <f>IF($N241="",10000000000,$N241*100000+$M241)</f>
        <v/>
      </c>
      <c r="U241" s="3">
        <f>$AB$6</f>
        <v/>
      </c>
      <c r="V241" s="3" t="n">
        <v>69</v>
      </c>
      <c r="W241" s="3">
        <f>IF($U241=0,"",IF(INDEX(UCRETLER!$D$7:$D$406,$U241)="","",IF(INDEX(UCRETLER!$F$7:$F$406,$U241)="Aylık",EOMONTH(INDEX(UCRETLER!$D$7:$D$406,$U241),$V241-1),INDEX(UCRETLER!$D$7:$D$406,$U241)+MOD(SISTEM!$F$8-WEEKDAY(INDEX(UCRETLER!$D$7:$D$406,$U241),2),7)+7*($V241-1))))</f>
        <v/>
      </c>
      <c r="X241" s="3">
        <f>IF($U241=0,0,INDEX(UCRETLER!$G$7:$G$406,$U241))</f>
        <v/>
      </c>
      <c r="Y241" s="3">
        <f>IFERROR(SMALL($T$12:$T$432,ROW()-11),"")</f>
        <v/>
      </c>
      <c r="Z241" s="3">
        <f>IFERROR(MATCH($Y241,$T$12:$T$432,0),"")</f>
        <v/>
      </c>
      <c r="AA241" s="3" t="n"/>
      <c r="AB241" s="3" t="n"/>
      <c r="AC241" s="3" t="n"/>
      <c r="AD241" s="3" t="n"/>
    </row>
    <row r="242">
      <c r="A242" s="6" t="n"/>
      <c r="B242" s="153">
        <f>IF($C242="","",ROW()-11)</f>
        <v/>
      </c>
      <c r="C242" s="240">
        <f>IF($Z242="","",IF(INDEX($N$12:$N$432,$Z242)="","",INDEX($N$12:$N$432,$Z242)))</f>
        <v/>
      </c>
      <c r="D242" s="29">
        <f>IF($C242="","",INDEX($O$12:$O$432,$Z242))</f>
        <v/>
      </c>
      <c r="E242" s="153">
        <f>IF($C242="","",INDEX($P$12:$P$432,$Z242))</f>
        <v/>
      </c>
      <c r="F242" s="241">
        <f>IF($C242="","",INDEX($R$12:$R$432,$Z242))</f>
        <v/>
      </c>
      <c r="G242" s="241">
        <f>IF($C242="","",INDEX($S$12:$S$432,$Z242))</f>
        <v/>
      </c>
      <c r="H242" s="241">
        <f>IF($C242="","",N($H241)+$F242-$G242)</f>
        <v/>
      </c>
      <c r="I242" s="6" t="n"/>
      <c r="J242" s="6" t="n"/>
      <c r="K242" s="3" t="n"/>
      <c r="L242" s="3" t="n"/>
      <c r="M242" s="3" t="n">
        <v>231</v>
      </c>
      <c r="N242" s="3">
        <f>IF(OR($U242=0,$W242="",$X242&lt;=0),"",IF($W242&gt;TODAY(),"",IF(AND(INDEX(UCRETLER!$E$7:$E$406,$U242)&lt;&gt;"",$W242&gt;INDEX(UCRETLER!$E$7:$E$406,$U242)),"",$W242)))</f>
        <v/>
      </c>
      <c r="O242" s="3">
        <f>IF($N242="","",IF(INDEX(UCRETLER!$F$7:$F$406,$U242)="Aylık",CHOOSE(MONTH($N242),"Ocak","Şubat","Mart","Nisan","Mayıs","Haziran","Temmuz","Ağustos","Eylül","Ekim","Kasım","Aralık")&amp;" "&amp;YEAR($N242)&amp;" aylık muhasebe hizmet ücreti",RIGHT("0"&amp;DAY($N242),2)&amp;"."&amp;RIGHT("0"&amp;MONTH($N242),2)&amp;"."&amp;YEAR($N242)&amp;" haftalık muhasebe hizmet ücreti"))</f>
        <v/>
      </c>
      <c r="P242" s="3">
        <f>IF($N242="","","TAHAKKUK")</f>
        <v/>
      </c>
      <c r="Q242" s="3" t="n"/>
      <c r="R242" s="3">
        <f>IF($N242="",0,$X242)</f>
        <v/>
      </c>
      <c r="S242" s="3" t="n">
        <v>0</v>
      </c>
      <c r="T242" s="3">
        <f>IF($N242="",10000000000,$N242*100000+$M242)</f>
        <v/>
      </c>
      <c r="U242" s="3">
        <f>$AB$6</f>
        <v/>
      </c>
      <c r="V242" s="3" t="n">
        <v>70</v>
      </c>
      <c r="W242" s="3">
        <f>IF($U242=0,"",IF(INDEX(UCRETLER!$D$7:$D$406,$U242)="","",IF(INDEX(UCRETLER!$F$7:$F$406,$U242)="Aylık",EOMONTH(INDEX(UCRETLER!$D$7:$D$406,$U242),$V242-1),INDEX(UCRETLER!$D$7:$D$406,$U242)+MOD(SISTEM!$F$8-WEEKDAY(INDEX(UCRETLER!$D$7:$D$406,$U242),2),7)+7*($V242-1))))</f>
        <v/>
      </c>
      <c r="X242" s="3">
        <f>IF($U242=0,0,INDEX(UCRETLER!$G$7:$G$406,$U242))</f>
        <v/>
      </c>
      <c r="Y242" s="3">
        <f>IFERROR(SMALL($T$12:$T$432,ROW()-11),"")</f>
        <v/>
      </c>
      <c r="Z242" s="3">
        <f>IFERROR(MATCH($Y242,$T$12:$T$432,0),"")</f>
        <v/>
      </c>
      <c r="AA242" s="3" t="n"/>
      <c r="AB242" s="3" t="n"/>
      <c r="AC242" s="3" t="n"/>
      <c r="AD242" s="3" t="n"/>
    </row>
    <row r="243">
      <c r="A243" s="6" t="n"/>
      <c r="B243" s="153">
        <f>IF($C243="","",ROW()-11)</f>
        <v/>
      </c>
      <c r="C243" s="240">
        <f>IF($Z243="","",IF(INDEX($N$12:$N$432,$Z243)="","",INDEX($N$12:$N$432,$Z243)))</f>
        <v/>
      </c>
      <c r="D243" s="29">
        <f>IF($C243="","",INDEX($O$12:$O$432,$Z243))</f>
        <v/>
      </c>
      <c r="E243" s="153">
        <f>IF($C243="","",INDEX($P$12:$P$432,$Z243))</f>
        <v/>
      </c>
      <c r="F243" s="241">
        <f>IF($C243="","",INDEX($R$12:$R$432,$Z243))</f>
        <v/>
      </c>
      <c r="G243" s="241">
        <f>IF($C243="","",INDEX($S$12:$S$432,$Z243))</f>
        <v/>
      </c>
      <c r="H243" s="241">
        <f>IF($C243="","",N($H242)+$F243-$G243)</f>
        <v/>
      </c>
      <c r="I243" s="6" t="n"/>
      <c r="J243" s="6" t="n"/>
      <c r="K243" s="3" t="n"/>
      <c r="L243" s="3" t="n"/>
      <c r="M243" s="3" t="n">
        <v>232</v>
      </c>
      <c r="N243" s="3">
        <f>IF(OR($U243=0,$W243="",$X243&lt;=0),"",IF($W243&gt;TODAY(),"",IF(AND(INDEX(UCRETLER!$E$7:$E$406,$U243)&lt;&gt;"",$W243&gt;INDEX(UCRETLER!$E$7:$E$406,$U243)),"",$W243)))</f>
        <v/>
      </c>
      <c r="O243" s="3">
        <f>IF($N243="","",IF(INDEX(UCRETLER!$F$7:$F$406,$U243)="Aylık",CHOOSE(MONTH($N243),"Ocak","Şubat","Mart","Nisan","Mayıs","Haziran","Temmuz","Ağustos","Eylül","Ekim","Kasım","Aralık")&amp;" "&amp;YEAR($N243)&amp;" aylık muhasebe hizmet ücreti",RIGHT("0"&amp;DAY($N243),2)&amp;"."&amp;RIGHT("0"&amp;MONTH($N243),2)&amp;"."&amp;YEAR($N243)&amp;" haftalık muhasebe hizmet ücreti"))</f>
        <v/>
      </c>
      <c r="P243" s="3">
        <f>IF($N243="","","TAHAKKUK")</f>
        <v/>
      </c>
      <c r="Q243" s="3" t="n"/>
      <c r="R243" s="3">
        <f>IF($N243="",0,$X243)</f>
        <v/>
      </c>
      <c r="S243" s="3" t="n">
        <v>0</v>
      </c>
      <c r="T243" s="3">
        <f>IF($N243="",10000000000,$N243*100000+$M243)</f>
        <v/>
      </c>
      <c r="U243" s="3">
        <f>$AB$6</f>
        <v/>
      </c>
      <c r="V243" s="3" t="n">
        <v>71</v>
      </c>
      <c r="W243" s="3">
        <f>IF($U243=0,"",IF(INDEX(UCRETLER!$D$7:$D$406,$U243)="","",IF(INDEX(UCRETLER!$F$7:$F$406,$U243)="Aylık",EOMONTH(INDEX(UCRETLER!$D$7:$D$406,$U243),$V243-1),INDEX(UCRETLER!$D$7:$D$406,$U243)+MOD(SISTEM!$F$8-WEEKDAY(INDEX(UCRETLER!$D$7:$D$406,$U243),2),7)+7*($V243-1))))</f>
        <v/>
      </c>
      <c r="X243" s="3">
        <f>IF($U243=0,0,INDEX(UCRETLER!$G$7:$G$406,$U243))</f>
        <v/>
      </c>
      <c r="Y243" s="3">
        <f>IFERROR(SMALL($T$12:$T$432,ROW()-11),"")</f>
        <v/>
      </c>
      <c r="Z243" s="3">
        <f>IFERROR(MATCH($Y243,$T$12:$T$432,0),"")</f>
        <v/>
      </c>
      <c r="AA243" s="3" t="n"/>
      <c r="AB243" s="3" t="n"/>
      <c r="AC243" s="3" t="n"/>
      <c r="AD243" s="3" t="n"/>
    </row>
    <row r="244">
      <c r="A244" s="6" t="n"/>
      <c r="B244" s="153">
        <f>IF($C244="","",ROW()-11)</f>
        <v/>
      </c>
      <c r="C244" s="240">
        <f>IF($Z244="","",IF(INDEX($N$12:$N$432,$Z244)="","",INDEX($N$12:$N$432,$Z244)))</f>
        <v/>
      </c>
      <c r="D244" s="29">
        <f>IF($C244="","",INDEX($O$12:$O$432,$Z244))</f>
        <v/>
      </c>
      <c r="E244" s="153">
        <f>IF($C244="","",INDEX($P$12:$P$432,$Z244))</f>
        <v/>
      </c>
      <c r="F244" s="241">
        <f>IF($C244="","",INDEX($R$12:$R$432,$Z244))</f>
        <v/>
      </c>
      <c r="G244" s="241">
        <f>IF($C244="","",INDEX($S$12:$S$432,$Z244))</f>
        <v/>
      </c>
      <c r="H244" s="241">
        <f>IF($C244="","",N($H243)+$F244-$G244)</f>
        <v/>
      </c>
      <c r="I244" s="6" t="n"/>
      <c r="J244" s="6" t="n"/>
      <c r="K244" s="3" t="n"/>
      <c r="L244" s="3" t="n"/>
      <c r="M244" s="3" t="n">
        <v>233</v>
      </c>
      <c r="N244" s="3">
        <f>IF(OR($U244=0,$W244="",$X244&lt;=0),"",IF($W244&gt;TODAY(),"",IF(AND(INDEX(UCRETLER!$E$7:$E$406,$U244)&lt;&gt;"",$W244&gt;INDEX(UCRETLER!$E$7:$E$406,$U244)),"",$W244)))</f>
        <v/>
      </c>
      <c r="O244" s="3">
        <f>IF($N244="","",IF(INDEX(UCRETLER!$F$7:$F$406,$U244)="Aylık",CHOOSE(MONTH($N244),"Ocak","Şubat","Mart","Nisan","Mayıs","Haziran","Temmuz","Ağustos","Eylül","Ekim","Kasım","Aralık")&amp;" "&amp;YEAR($N244)&amp;" aylık muhasebe hizmet ücreti",RIGHT("0"&amp;DAY($N244),2)&amp;"."&amp;RIGHT("0"&amp;MONTH($N244),2)&amp;"."&amp;YEAR($N244)&amp;" haftalık muhasebe hizmet ücreti"))</f>
        <v/>
      </c>
      <c r="P244" s="3">
        <f>IF($N244="","","TAHAKKUK")</f>
        <v/>
      </c>
      <c r="Q244" s="3" t="n"/>
      <c r="R244" s="3">
        <f>IF($N244="",0,$X244)</f>
        <v/>
      </c>
      <c r="S244" s="3" t="n">
        <v>0</v>
      </c>
      <c r="T244" s="3">
        <f>IF($N244="",10000000000,$N244*100000+$M244)</f>
        <v/>
      </c>
      <c r="U244" s="3">
        <f>$AB$6</f>
        <v/>
      </c>
      <c r="V244" s="3" t="n">
        <v>72</v>
      </c>
      <c r="W244" s="3">
        <f>IF($U244=0,"",IF(INDEX(UCRETLER!$D$7:$D$406,$U244)="","",IF(INDEX(UCRETLER!$F$7:$F$406,$U244)="Aylık",EOMONTH(INDEX(UCRETLER!$D$7:$D$406,$U244),$V244-1),INDEX(UCRETLER!$D$7:$D$406,$U244)+MOD(SISTEM!$F$8-WEEKDAY(INDEX(UCRETLER!$D$7:$D$406,$U244),2),7)+7*($V244-1))))</f>
        <v/>
      </c>
      <c r="X244" s="3">
        <f>IF($U244=0,0,INDEX(UCRETLER!$G$7:$G$406,$U244))</f>
        <v/>
      </c>
      <c r="Y244" s="3">
        <f>IFERROR(SMALL($T$12:$T$432,ROW()-11),"")</f>
        <v/>
      </c>
      <c r="Z244" s="3">
        <f>IFERROR(MATCH($Y244,$T$12:$T$432,0),"")</f>
        <v/>
      </c>
      <c r="AA244" s="3" t="n"/>
      <c r="AB244" s="3" t="n"/>
      <c r="AC244" s="3" t="n"/>
      <c r="AD244" s="3" t="n"/>
    </row>
    <row r="245">
      <c r="A245" s="6" t="n"/>
      <c r="B245" s="153">
        <f>IF($C245="","",ROW()-11)</f>
        <v/>
      </c>
      <c r="C245" s="240">
        <f>IF($Z245="","",IF(INDEX($N$12:$N$432,$Z245)="","",INDEX($N$12:$N$432,$Z245)))</f>
        <v/>
      </c>
      <c r="D245" s="29">
        <f>IF($C245="","",INDEX($O$12:$O$432,$Z245))</f>
        <v/>
      </c>
      <c r="E245" s="153">
        <f>IF($C245="","",INDEX($P$12:$P$432,$Z245))</f>
        <v/>
      </c>
      <c r="F245" s="241">
        <f>IF($C245="","",INDEX($R$12:$R$432,$Z245))</f>
        <v/>
      </c>
      <c r="G245" s="241">
        <f>IF($C245="","",INDEX($S$12:$S$432,$Z245))</f>
        <v/>
      </c>
      <c r="H245" s="241">
        <f>IF($C245="","",N($H244)+$F245-$G245)</f>
        <v/>
      </c>
      <c r="I245" s="6" t="n"/>
      <c r="J245" s="6" t="n"/>
      <c r="K245" s="3" t="n"/>
      <c r="L245" s="3" t="n"/>
      <c r="M245" s="3" t="n">
        <v>234</v>
      </c>
      <c r="N245" s="3">
        <f>IF(OR($U245=0,$W245="",$X245&lt;=0),"",IF($W245&gt;TODAY(),"",IF(AND(INDEX(UCRETLER!$E$7:$E$406,$U245)&lt;&gt;"",$W245&gt;INDEX(UCRETLER!$E$7:$E$406,$U245)),"",$W245)))</f>
        <v/>
      </c>
      <c r="O245" s="3">
        <f>IF($N245="","",IF(INDEX(UCRETLER!$F$7:$F$406,$U245)="Aylık",CHOOSE(MONTH($N245),"Ocak","Şubat","Mart","Nisan","Mayıs","Haziran","Temmuz","Ağustos","Eylül","Ekim","Kasım","Aralık")&amp;" "&amp;YEAR($N245)&amp;" aylık muhasebe hizmet ücreti",RIGHT("0"&amp;DAY($N245),2)&amp;"."&amp;RIGHT("0"&amp;MONTH($N245),2)&amp;"."&amp;YEAR($N245)&amp;" haftalık muhasebe hizmet ücreti"))</f>
        <v/>
      </c>
      <c r="P245" s="3">
        <f>IF($N245="","","TAHAKKUK")</f>
        <v/>
      </c>
      <c r="Q245" s="3" t="n"/>
      <c r="R245" s="3">
        <f>IF($N245="",0,$X245)</f>
        <v/>
      </c>
      <c r="S245" s="3" t="n">
        <v>0</v>
      </c>
      <c r="T245" s="3">
        <f>IF($N245="",10000000000,$N245*100000+$M245)</f>
        <v/>
      </c>
      <c r="U245" s="3">
        <f>$AB$6</f>
        <v/>
      </c>
      <c r="V245" s="3" t="n">
        <v>73</v>
      </c>
      <c r="W245" s="3">
        <f>IF($U245=0,"",IF(INDEX(UCRETLER!$D$7:$D$406,$U245)="","",IF(INDEX(UCRETLER!$F$7:$F$406,$U245)="Aylık",EOMONTH(INDEX(UCRETLER!$D$7:$D$406,$U245),$V245-1),INDEX(UCRETLER!$D$7:$D$406,$U245)+MOD(SISTEM!$F$8-WEEKDAY(INDEX(UCRETLER!$D$7:$D$406,$U245),2),7)+7*($V245-1))))</f>
        <v/>
      </c>
      <c r="X245" s="3">
        <f>IF($U245=0,0,INDEX(UCRETLER!$G$7:$G$406,$U245))</f>
        <v/>
      </c>
      <c r="Y245" s="3">
        <f>IFERROR(SMALL($T$12:$T$432,ROW()-11),"")</f>
        <v/>
      </c>
      <c r="Z245" s="3">
        <f>IFERROR(MATCH($Y245,$T$12:$T$432,0),"")</f>
        <v/>
      </c>
      <c r="AA245" s="3" t="n"/>
      <c r="AB245" s="3" t="n"/>
      <c r="AC245" s="3" t="n"/>
      <c r="AD245" s="3" t="n"/>
    </row>
    <row r="246">
      <c r="A246" s="6" t="n"/>
      <c r="B246" s="153">
        <f>IF($C246="","",ROW()-11)</f>
        <v/>
      </c>
      <c r="C246" s="240">
        <f>IF($Z246="","",IF(INDEX($N$12:$N$432,$Z246)="","",INDEX($N$12:$N$432,$Z246)))</f>
        <v/>
      </c>
      <c r="D246" s="29">
        <f>IF($C246="","",INDEX($O$12:$O$432,$Z246))</f>
        <v/>
      </c>
      <c r="E246" s="153">
        <f>IF($C246="","",INDEX($P$12:$P$432,$Z246))</f>
        <v/>
      </c>
      <c r="F246" s="241">
        <f>IF($C246="","",INDEX($R$12:$R$432,$Z246))</f>
        <v/>
      </c>
      <c r="G246" s="241">
        <f>IF($C246="","",INDEX($S$12:$S$432,$Z246))</f>
        <v/>
      </c>
      <c r="H246" s="241">
        <f>IF($C246="","",N($H245)+$F246-$G246)</f>
        <v/>
      </c>
      <c r="I246" s="6" t="n"/>
      <c r="J246" s="6" t="n"/>
      <c r="K246" s="3" t="n"/>
      <c r="L246" s="3" t="n"/>
      <c r="M246" s="3" t="n">
        <v>235</v>
      </c>
      <c r="N246" s="3">
        <f>IF(OR($U246=0,$W246="",$X246&lt;=0),"",IF($W246&gt;TODAY(),"",IF(AND(INDEX(UCRETLER!$E$7:$E$406,$U246)&lt;&gt;"",$W246&gt;INDEX(UCRETLER!$E$7:$E$406,$U246)),"",$W246)))</f>
        <v/>
      </c>
      <c r="O246" s="3">
        <f>IF($N246="","",IF(INDEX(UCRETLER!$F$7:$F$406,$U246)="Aylık",CHOOSE(MONTH($N246),"Ocak","Şubat","Mart","Nisan","Mayıs","Haziran","Temmuz","Ağustos","Eylül","Ekim","Kasım","Aralık")&amp;" "&amp;YEAR($N246)&amp;" aylık muhasebe hizmet ücreti",RIGHT("0"&amp;DAY($N246),2)&amp;"."&amp;RIGHT("0"&amp;MONTH($N246),2)&amp;"."&amp;YEAR($N246)&amp;" haftalık muhasebe hizmet ücreti"))</f>
        <v/>
      </c>
      <c r="P246" s="3">
        <f>IF($N246="","","TAHAKKUK")</f>
        <v/>
      </c>
      <c r="Q246" s="3" t="n"/>
      <c r="R246" s="3">
        <f>IF($N246="",0,$X246)</f>
        <v/>
      </c>
      <c r="S246" s="3" t="n">
        <v>0</v>
      </c>
      <c r="T246" s="3">
        <f>IF($N246="",10000000000,$N246*100000+$M246)</f>
        <v/>
      </c>
      <c r="U246" s="3">
        <f>$AB$6</f>
        <v/>
      </c>
      <c r="V246" s="3" t="n">
        <v>74</v>
      </c>
      <c r="W246" s="3">
        <f>IF($U246=0,"",IF(INDEX(UCRETLER!$D$7:$D$406,$U246)="","",IF(INDEX(UCRETLER!$F$7:$F$406,$U246)="Aylık",EOMONTH(INDEX(UCRETLER!$D$7:$D$406,$U246),$V246-1),INDEX(UCRETLER!$D$7:$D$406,$U246)+MOD(SISTEM!$F$8-WEEKDAY(INDEX(UCRETLER!$D$7:$D$406,$U246),2),7)+7*($V246-1))))</f>
        <v/>
      </c>
      <c r="X246" s="3">
        <f>IF($U246=0,0,INDEX(UCRETLER!$G$7:$G$406,$U246))</f>
        <v/>
      </c>
      <c r="Y246" s="3">
        <f>IFERROR(SMALL($T$12:$T$432,ROW()-11),"")</f>
        <v/>
      </c>
      <c r="Z246" s="3">
        <f>IFERROR(MATCH($Y246,$T$12:$T$432,0),"")</f>
        <v/>
      </c>
      <c r="AA246" s="3" t="n"/>
      <c r="AB246" s="3" t="n"/>
      <c r="AC246" s="3" t="n"/>
      <c r="AD246" s="3" t="n"/>
    </row>
    <row r="247">
      <c r="A247" s="6" t="n"/>
      <c r="B247" s="153">
        <f>IF($C247="","",ROW()-11)</f>
        <v/>
      </c>
      <c r="C247" s="240">
        <f>IF($Z247="","",IF(INDEX($N$12:$N$432,$Z247)="","",INDEX($N$12:$N$432,$Z247)))</f>
        <v/>
      </c>
      <c r="D247" s="29">
        <f>IF($C247="","",INDEX($O$12:$O$432,$Z247))</f>
        <v/>
      </c>
      <c r="E247" s="153">
        <f>IF($C247="","",INDEX($P$12:$P$432,$Z247))</f>
        <v/>
      </c>
      <c r="F247" s="241">
        <f>IF($C247="","",INDEX($R$12:$R$432,$Z247))</f>
        <v/>
      </c>
      <c r="G247" s="241">
        <f>IF($C247="","",INDEX($S$12:$S$432,$Z247))</f>
        <v/>
      </c>
      <c r="H247" s="241">
        <f>IF($C247="","",N($H246)+$F247-$G247)</f>
        <v/>
      </c>
      <c r="I247" s="6" t="n"/>
      <c r="J247" s="6" t="n"/>
      <c r="K247" s="3" t="n"/>
      <c r="L247" s="3" t="n"/>
      <c r="M247" s="3" t="n">
        <v>236</v>
      </c>
      <c r="N247" s="3">
        <f>IF(OR($U247=0,$W247="",$X247&lt;=0),"",IF($W247&gt;TODAY(),"",IF(AND(INDEX(UCRETLER!$E$7:$E$406,$U247)&lt;&gt;"",$W247&gt;INDEX(UCRETLER!$E$7:$E$406,$U247)),"",$W247)))</f>
        <v/>
      </c>
      <c r="O247" s="3">
        <f>IF($N247="","",IF(INDEX(UCRETLER!$F$7:$F$406,$U247)="Aylık",CHOOSE(MONTH($N247),"Ocak","Şubat","Mart","Nisan","Mayıs","Haziran","Temmuz","Ağustos","Eylül","Ekim","Kasım","Aralık")&amp;" "&amp;YEAR($N247)&amp;" aylık muhasebe hizmet ücreti",RIGHT("0"&amp;DAY($N247),2)&amp;"."&amp;RIGHT("0"&amp;MONTH($N247),2)&amp;"."&amp;YEAR($N247)&amp;" haftalık muhasebe hizmet ücreti"))</f>
        <v/>
      </c>
      <c r="P247" s="3">
        <f>IF($N247="","","TAHAKKUK")</f>
        <v/>
      </c>
      <c r="Q247" s="3" t="n"/>
      <c r="R247" s="3">
        <f>IF($N247="",0,$X247)</f>
        <v/>
      </c>
      <c r="S247" s="3" t="n">
        <v>0</v>
      </c>
      <c r="T247" s="3">
        <f>IF($N247="",10000000000,$N247*100000+$M247)</f>
        <v/>
      </c>
      <c r="U247" s="3">
        <f>$AB$6</f>
        <v/>
      </c>
      <c r="V247" s="3" t="n">
        <v>75</v>
      </c>
      <c r="W247" s="3">
        <f>IF($U247=0,"",IF(INDEX(UCRETLER!$D$7:$D$406,$U247)="","",IF(INDEX(UCRETLER!$F$7:$F$406,$U247)="Aylık",EOMONTH(INDEX(UCRETLER!$D$7:$D$406,$U247),$V247-1),INDEX(UCRETLER!$D$7:$D$406,$U247)+MOD(SISTEM!$F$8-WEEKDAY(INDEX(UCRETLER!$D$7:$D$406,$U247),2),7)+7*($V247-1))))</f>
        <v/>
      </c>
      <c r="X247" s="3">
        <f>IF($U247=0,0,INDEX(UCRETLER!$G$7:$G$406,$U247))</f>
        <v/>
      </c>
      <c r="Y247" s="3">
        <f>IFERROR(SMALL($T$12:$T$432,ROW()-11),"")</f>
        <v/>
      </c>
      <c r="Z247" s="3">
        <f>IFERROR(MATCH($Y247,$T$12:$T$432,0),"")</f>
        <v/>
      </c>
      <c r="AA247" s="3" t="n"/>
      <c r="AB247" s="3" t="n"/>
      <c r="AC247" s="3" t="n"/>
      <c r="AD247" s="3" t="n"/>
    </row>
    <row r="248">
      <c r="A248" s="6" t="n"/>
      <c r="B248" s="153">
        <f>IF($C248="","",ROW()-11)</f>
        <v/>
      </c>
      <c r="C248" s="240">
        <f>IF($Z248="","",IF(INDEX($N$12:$N$432,$Z248)="","",INDEX($N$12:$N$432,$Z248)))</f>
        <v/>
      </c>
      <c r="D248" s="29">
        <f>IF($C248="","",INDEX($O$12:$O$432,$Z248))</f>
        <v/>
      </c>
      <c r="E248" s="153">
        <f>IF($C248="","",INDEX($P$12:$P$432,$Z248))</f>
        <v/>
      </c>
      <c r="F248" s="241">
        <f>IF($C248="","",INDEX($R$12:$R$432,$Z248))</f>
        <v/>
      </c>
      <c r="G248" s="241">
        <f>IF($C248="","",INDEX($S$12:$S$432,$Z248))</f>
        <v/>
      </c>
      <c r="H248" s="241">
        <f>IF($C248="","",N($H247)+$F248-$G248)</f>
        <v/>
      </c>
      <c r="I248" s="6" t="n"/>
      <c r="J248" s="6" t="n"/>
      <c r="K248" s="3" t="n"/>
      <c r="L248" s="3" t="n"/>
      <c r="M248" s="3" t="n">
        <v>237</v>
      </c>
      <c r="N248" s="3">
        <f>IF(OR($U248=0,$W248="",$X248&lt;=0),"",IF($W248&gt;TODAY(),"",IF(AND(INDEX(UCRETLER!$E$7:$E$406,$U248)&lt;&gt;"",$W248&gt;INDEX(UCRETLER!$E$7:$E$406,$U248)),"",$W248)))</f>
        <v/>
      </c>
      <c r="O248" s="3">
        <f>IF($N248="","",IF(INDEX(UCRETLER!$F$7:$F$406,$U248)="Aylık",CHOOSE(MONTH($N248),"Ocak","Şubat","Mart","Nisan","Mayıs","Haziran","Temmuz","Ağustos","Eylül","Ekim","Kasım","Aralık")&amp;" "&amp;YEAR($N248)&amp;" aylık muhasebe hizmet ücreti",RIGHT("0"&amp;DAY($N248),2)&amp;"."&amp;RIGHT("0"&amp;MONTH($N248),2)&amp;"."&amp;YEAR($N248)&amp;" haftalık muhasebe hizmet ücreti"))</f>
        <v/>
      </c>
      <c r="P248" s="3">
        <f>IF($N248="","","TAHAKKUK")</f>
        <v/>
      </c>
      <c r="Q248" s="3" t="n"/>
      <c r="R248" s="3">
        <f>IF($N248="",0,$X248)</f>
        <v/>
      </c>
      <c r="S248" s="3" t="n">
        <v>0</v>
      </c>
      <c r="T248" s="3">
        <f>IF($N248="",10000000000,$N248*100000+$M248)</f>
        <v/>
      </c>
      <c r="U248" s="3">
        <f>$AB$6</f>
        <v/>
      </c>
      <c r="V248" s="3" t="n">
        <v>76</v>
      </c>
      <c r="W248" s="3">
        <f>IF($U248=0,"",IF(INDEX(UCRETLER!$D$7:$D$406,$U248)="","",IF(INDEX(UCRETLER!$F$7:$F$406,$U248)="Aylık",EOMONTH(INDEX(UCRETLER!$D$7:$D$406,$U248),$V248-1),INDEX(UCRETLER!$D$7:$D$406,$U248)+MOD(SISTEM!$F$8-WEEKDAY(INDEX(UCRETLER!$D$7:$D$406,$U248),2),7)+7*($V248-1))))</f>
        <v/>
      </c>
      <c r="X248" s="3">
        <f>IF($U248=0,0,INDEX(UCRETLER!$G$7:$G$406,$U248))</f>
        <v/>
      </c>
      <c r="Y248" s="3">
        <f>IFERROR(SMALL($T$12:$T$432,ROW()-11),"")</f>
        <v/>
      </c>
      <c r="Z248" s="3">
        <f>IFERROR(MATCH($Y248,$T$12:$T$432,0),"")</f>
        <v/>
      </c>
      <c r="AA248" s="3" t="n"/>
      <c r="AB248" s="3" t="n"/>
      <c r="AC248" s="3" t="n"/>
      <c r="AD248" s="3" t="n"/>
    </row>
    <row r="249">
      <c r="A249" s="6" t="n"/>
      <c r="B249" s="153">
        <f>IF($C249="","",ROW()-11)</f>
        <v/>
      </c>
      <c r="C249" s="240">
        <f>IF($Z249="","",IF(INDEX($N$12:$N$432,$Z249)="","",INDEX($N$12:$N$432,$Z249)))</f>
        <v/>
      </c>
      <c r="D249" s="29">
        <f>IF($C249="","",INDEX($O$12:$O$432,$Z249))</f>
        <v/>
      </c>
      <c r="E249" s="153">
        <f>IF($C249="","",INDEX($P$12:$P$432,$Z249))</f>
        <v/>
      </c>
      <c r="F249" s="241">
        <f>IF($C249="","",INDEX($R$12:$R$432,$Z249))</f>
        <v/>
      </c>
      <c r="G249" s="241">
        <f>IF($C249="","",INDEX($S$12:$S$432,$Z249))</f>
        <v/>
      </c>
      <c r="H249" s="241">
        <f>IF($C249="","",N($H248)+$F249-$G249)</f>
        <v/>
      </c>
      <c r="I249" s="6" t="n"/>
      <c r="J249" s="6" t="n"/>
      <c r="K249" s="3" t="n"/>
      <c r="L249" s="3" t="n"/>
      <c r="M249" s="3" t="n">
        <v>238</v>
      </c>
      <c r="N249" s="3">
        <f>IF(OR($U249=0,$W249="",$X249&lt;=0),"",IF($W249&gt;TODAY(),"",IF(AND(INDEX(UCRETLER!$E$7:$E$406,$U249)&lt;&gt;"",$W249&gt;INDEX(UCRETLER!$E$7:$E$406,$U249)),"",$W249)))</f>
        <v/>
      </c>
      <c r="O249" s="3">
        <f>IF($N249="","",IF(INDEX(UCRETLER!$F$7:$F$406,$U249)="Aylık",CHOOSE(MONTH($N249),"Ocak","Şubat","Mart","Nisan","Mayıs","Haziran","Temmuz","Ağustos","Eylül","Ekim","Kasım","Aralık")&amp;" "&amp;YEAR($N249)&amp;" aylık muhasebe hizmet ücreti",RIGHT("0"&amp;DAY($N249),2)&amp;"."&amp;RIGHT("0"&amp;MONTH($N249),2)&amp;"."&amp;YEAR($N249)&amp;" haftalık muhasebe hizmet ücreti"))</f>
        <v/>
      </c>
      <c r="P249" s="3">
        <f>IF($N249="","","TAHAKKUK")</f>
        <v/>
      </c>
      <c r="Q249" s="3" t="n"/>
      <c r="R249" s="3">
        <f>IF($N249="",0,$X249)</f>
        <v/>
      </c>
      <c r="S249" s="3" t="n">
        <v>0</v>
      </c>
      <c r="T249" s="3">
        <f>IF($N249="",10000000000,$N249*100000+$M249)</f>
        <v/>
      </c>
      <c r="U249" s="3">
        <f>$AB$6</f>
        <v/>
      </c>
      <c r="V249" s="3" t="n">
        <v>77</v>
      </c>
      <c r="W249" s="3">
        <f>IF($U249=0,"",IF(INDEX(UCRETLER!$D$7:$D$406,$U249)="","",IF(INDEX(UCRETLER!$F$7:$F$406,$U249)="Aylık",EOMONTH(INDEX(UCRETLER!$D$7:$D$406,$U249),$V249-1),INDEX(UCRETLER!$D$7:$D$406,$U249)+MOD(SISTEM!$F$8-WEEKDAY(INDEX(UCRETLER!$D$7:$D$406,$U249),2),7)+7*($V249-1))))</f>
        <v/>
      </c>
      <c r="X249" s="3">
        <f>IF($U249=0,0,INDEX(UCRETLER!$G$7:$G$406,$U249))</f>
        <v/>
      </c>
      <c r="Y249" s="3">
        <f>IFERROR(SMALL($T$12:$T$432,ROW()-11),"")</f>
        <v/>
      </c>
      <c r="Z249" s="3">
        <f>IFERROR(MATCH($Y249,$T$12:$T$432,0),"")</f>
        <v/>
      </c>
      <c r="AA249" s="3" t="n"/>
      <c r="AB249" s="3" t="n"/>
      <c r="AC249" s="3" t="n"/>
      <c r="AD249" s="3" t="n"/>
    </row>
    <row r="250">
      <c r="A250" s="6" t="n"/>
      <c r="B250" s="153">
        <f>IF($C250="","",ROW()-11)</f>
        <v/>
      </c>
      <c r="C250" s="240">
        <f>IF($Z250="","",IF(INDEX($N$12:$N$432,$Z250)="","",INDEX($N$12:$N$432,$Z250)))</f>
        <v/>
      </c>
      <c r="D250" s="29">
        <f>IF($C250="","",INDEX($O$12:$O$432,$Z250))</f>
        <v/>
      </c>
      <c r="E250" s="153">
        <f>IF($C250="","",INDEX($P$12:$P$432,$Z250))</f>
        <v/>
      </c>
      <c r="F250" s="241">
        <f>IF($C250="","",INDEX($R$12:$R$432,$Z250))</f>
        <v/>
      </c>
      <c r="G250" s="241">
        <f>IF($C250="","",INDEX($S$12:$S$432,$Z250))</f>
        <v/>
      </c>
      <c r="H250" s="241">
        <f>IF($C250="","",N($H249)+$F250-$G250)</f>
        <v/>
      </c>
      <c r="I250" s="6" t="n"/>
      <c r="J250" s="6" t="n"/>
      <c r="K250" s="3" t="n"/>
      <c r="L250" s="3" t="n"/>
      <c r="M250" s="3" t="n">
        <v>239</v>
      </c>
      <c r="N250" s="3">
        <f>IF(OR($U250=0,$W250="",$X250&lt;=0),"",IF($W250&gt;TODAY(),"",IF(AND(INDEX(UCRETLER!$E$7:$E$406,$U250)&lt;&gt;"",$W250&gt;INDEX(UCRETLER!$E$7:$E$406,$U250)),"",$W250)))</f>
        <v/>
      </c>
      <c r="O250" s="3">
        <f>IF($N250="","",IF(INDEX(UCRETLER!$F$7:$F$406,$U250)="Aylık",CHOOSE(MONTH($N250),"Ocak","Şubat","Mart","Nisan","Mayıs","Haziran","Temmuz","Ağustos","Eylül","Ekim","Kasım","Aralık")&amp;" "&amp;YEAR($N250)&amp;" aylık muhasebe hizmet ücreti",RIGHT("0"&amp;DAY($N250),2)&amp;"."&amp;RIGHT("0"&amp;MONTH($N250),2)&amp;"."&amp;YEAR($N250)&amp;" haftalık muhasebe hizmet ücreti"))</f>
        <v/>
      </c>
      <c r="P250" s="3">
        <f>IF($N250="","","TAHAKKUK")</f>
        <v/>
      </c>
      <c r="Q250" s="3" t="n"/>
      <c r="R250" s="3">
        <f>IF($N250="",0,$X250)</f>
        <v/>
      </c>
      <c r="S250" s="3" t="n">
        <v>0</v>
      </c>
      <c r="T250" s="3">
        <f>IF($N250="",10000000000,$N250*100000+$M250)</f>
        <v/>
      </c>
      <c r="U250" s="3">
        <f>$AB$6</f>
        <v/>
      </c>
      <c r="V250" s="3" t="n">
        <v>78</v>
      </c>
      <c r="W250" s="3">
        <f>IF($U250=0,"",IF(INDEX(UCRETLER!$D$7:$D$406,$U250)="","",IF(INDEX(UCRETLER!$F$7:$F$406,$U250)="Aylık",EOMONTH(INDEX(UCRETLER!$D$7:$D$406,$U250),$V250-1),INDEX(UCRETLER!$D$7:$D$406,$U250)+MOD(SISTEM!$F$8-WEEKDAY(INDEX(UCRETLER!$D$7:$D$406,$U250),2),7)+7*($V250-1))))</f>
        <v/>
      </c>
      <c r="X250" s="3">
        <f>IF($U250=0,0,INDEX(UCRETLER!$G$7:$G$406,$U250))</f>
        <v/>
      </c>
      <c r="Y250" s="3">
        <f>IFERROR(SMALL($T$12:$T$432,ROW()-11),"")</f>
        <v/>
      </c>
      <c r="Z250" s="3">
        <f>IFERROR(MATCH($Y250,$T$12:$T$432,0),"")</f>
        <v/>
      </c>
      <c r="AA250" s="3" t="n"/>
      <c r="AB250" s="3" t="n"/>
      <c r="AC250" s="3" t="n"/>
      <c r="AD250" s="3" t="n"/>
    </row>
    <row r="251">
      <c r="A251" s="6" t="n"/>
      <c r="B251" s="153">
        <f>IF($C251="","",ROW()-11)</f>
        <v/>
      </c>
      <c r="C251" s="240">
        <f>IF($Z251="","",IF(INDEX($N$12:$N$432,$Z251)="","",INDEX($N$12:$N$432,$Z251)))</f>
        <v/>
      </c>
      <c r="D251" s="29">
        <f>IF($C251="","",INDEX($O$12:$O$432,$Z251))</f>
        <v/>
      </c>
      <c r="E251" s="153">
        <f>IF($C251="","",INDEX($P$12:$P$432,$Z251))</f>
        <v/>
      </c>
      <c r="F251" s="241">
        <f>IF($C251="","",INDEX($R$12:$R$432,$Z251))</f>
        <v/>
      </c>
      <c r="G251" s="241">
        <f>IF($C251="","",INDEX($S$12:$S$432,$Z251))</f>
        <v/>
      </c>
      <c r="H251" s="241">
        <f>IF($C251="","",N($H250)+$F251-$G251)</f>
        <v/>
      </c>
      <c r="I251" s="6" t="n"/>
      <c r="J251" s="6" t="n"/>
      <c r="K251" s="3" t="n"/>
      <c r="L251" s="3" t="n"/>
      <c r="M251" s="3" t="n">
        <v>240</v>
      </c>
      <c r="N251" s="3">
        <f>IF(OR($U251=0,$W251="",$X251&lt;=0),"",IF($W251&gt;TODAY(),"",IF(AND(INDEX(UCRETLER!$E$7:$E$406,$U251)&lt;&gt;"",$W251&gt;INDEX(UCRETLER!$E$7:$E$406,$U251)),"",$W251)))</f>
        <v/>
      </c>
      <c r="O251" s="3">
        <f>IF($N251="","",IF(INDEX(UCRETLER!$F$7:$F$406,$U251)="Aylık",CHOOSE(MONTH($N251),"Ocak","Şubat","Mart","Nisan","Mayıs","Haziran","Temmuz","Ağustos","Eylül","Ekim","Kasım","Aralık")&amp;" "&amp;YEAR($N251)&amp;" aylık muhasebe hizmet ücreti",RIGHT("0"&amp;DAY($N251),2)&amp;"."&amp;RIGHT("0"&amp;MONTH($N251),2)&amp;"."&amp;YEAR($N251)&amp;" haftalık muhasebe hizmet ücreti"))</f>
        <v/>
      </c>
      <c r="P251" s="3">
        <f>IF($N251="","","TAHAKKUK")</f>
        <v/>
      </c>
      <c r="Q251" s="3" t="n"/>
      <c r="R251" s="3">
        <f>IF($N251="",0,$X251)</f>
        <v/>
      </c>
      <c r="S251" s="3" t="n">
        <v>0</v>
      </c>
      <c r="T251" s="3">
        <f>IF($N251="",10000000000,$N251*100000+$M251)</f>
        <v/>
      </c>
      <c r="U251" s="3">
        <f>$AB$6</f>
        <v/>
      </c>
      <c r="V251" s="3" t="n">
        <v>79</v>
      </c>
      <c r="W251" s="3">
        <f>IF($U251=0,"",IF(INDEX(UCRETLER!$D$7:$D$406,$U251)="","",IF(INDEX(UCRETLER!$F$7:$F$406,$U251)="Aylık",EOMONTH(INDEX(UCRETLER!$D$7:$D$406,$U251),$V251-1),INDEX(UCRETLER!$D$7:$D$406,$U251)+MOD(SISTEM!$F$8-WEEKDAY(INDEX(UCRETLER!$D$7:$D$406,$U251),2),7)+7*($V251-1))))</f>
        <v/>
      </c>
      <c r="X251" s="3">
        <f>IF($U251=0,0,INDEX(UCRETLER!$G$7:$G$406,$U251))</f>
        <v/>
      </c>
      <c r="Y251" s="3">
        <f>IFERROR(SMALL($T$12:$T$432,ROW()-11),"")</f>
        <v/>
      </c>
      <c r="Z251" s="3">
        <f>IFERROR(MATCH($Y251,$T$12:$T$432,0),"")</f>
        <v/>
      </c>
      <c r="AA251" s="3" t="n"/>
      <c r="AB251" s="3" t="n"/>
      <c r="AC251" s="3" t="n"/>
      <c r="AD251" s="3" t="n"/>
    </row>
    <row r="252">
      <c r="A252" s="6" t="n"/>
      <c r="B252" s="153">
        <f>IF($C252="","",ROW()-11)</f>
        <v/>
      </c>
      <c r="C252" s="240">
        <f>IF($Z252="","",IF(INDEX($N$12:$N$432,$Z252)="","",INDEX($N$12:$N$432,$Z252)))</f>
        <v/>
      </c>
      <c r="D252" s="29">
        <f>IF($C252="","",INDEX($O$12:$O$432,$Z252))</f>
        <v/>
      </c>
      <c r="E252" s="153">
        <f>IF($C252="","",INDEX($P$12:$P$432,$Z252))</f>
        <v/>
      </c>
      <c r="F252" s="241">
        <f>IF($C252="","",INDEX($R$12:$R$432,$Z252))</f>
        <v/>
      </c>
      <c r="G252" s="241">
        <f>IF($C252="","",INDEX($S$12:$S$432,$Z252))</f>
        <v/>
      </c>
      <c r="H252" s="241">
        <f>IF($C252="","",N($H251)+$F252-$G252)</f>
        <v/>
      </c>
      <c r="I252" s="6" t="n"/>
      <c r="J252" s="6" t="n"/>
      <c r="K252" s="3" t="n"/>
      <c r="L252" s="3" t="n"/>
      <c r="M252" s="3" t="n">
        <v>241</v>
      </c>
      <c r="N252" s="3">
        <f>IF(OR($U252=0,$W252="",$X252&lt;=0),"",IF($W252&gt;TODAY(),"",IF(AND(INDEX(UCRETLER!$E$7:$E$406,$U252)&lt;&gt;"",$W252&gt;INDEX(UCRETLER!$E$7:$E$406,$U252)),"",$W252)))</f>
        <v/>
      </c>
      <c r="O252" s="3">
        <f>IF($N252="","",IF(INDEX(UCRETLER!$F$7:$F$406,$U252)="Aylık",CHOOSE(MONTH($N252),"Ocak","Şubat","Mart","Nisan","Mayıs","Haziran","Temmuz","Ağustos","Eylül","Ekim","Kasım","Aralık")&amp;" "&amp;YEAR($N252)&amp;" aylık muhasebe hizmet ücreti",RIGHT("0"&amp;DAY($N252),2)&amp;"."&amp;RIGHT("0"&amp;MONTH($N252),2)&amp;"."&amp;YEAR($N252)&amp;" haftalık muhasebe hizmet ücreti"))</f>
        <v/>
      </c>
      <c r="P252" s="3">
        <f>IF($N252="","","TAHAKKUK")</f>
        <v/>
      </c>
      <c r="Q252" s="3" t="n"/>
      <c r="R252" s="3">
        <f>IF($N252="",0,$X252)</f>
        <v/>
      </c>
      <c r="S252" s="3" t="n">
        <v>0</v>
      </c>
      <c r="T252" s="3">
        <f>IF($N252="",10000000000,$N252*100000+$M252)</f>
        <v/>
      </c>
      <c r="U252" s="3">
        <f>$AB$6</f>
        <v/>
      </c>
      <c r="V252" s="3" t="n">
        <v>80</v>
      </c>
      <c r="W252" s="3">
        <f>IF($U252=0,"",IF(INDEX(UCRETLER!$D$7:$D$406,$U252)="","",IF(INDEX(UCRETLER!$F$7:$F$406,$U252)="Aylık",EOMONTH(INDEX(UCRETLER!$D$7:$D$406,$U252),$V252-1),INDEX(UCRETLER!$D$7:$D$406,$U252)+MOD(SISTEM!$F$8-WEEKDAY(INDEX(UCRETLER!$D$7:$D$406,$U252),2),7)+7*($V252-1))))</f>
        <v/>
      </c>
      <c r="X252" s="3">
        <f>IF($U252=0,0,INDEX(UCRETLER!$G$7:$G$406,$U252))</f>
        <v/>
      </c>
      <c r="Y252" s="3">
        <f>IFERROR(SMALL($T$12:$T$432,ROW()-11),"")</f>
        <v/>
      </c>
      <c r="Z252" s="3">
        <f>IFERROR(MATCH($Y252,$T$12:$T$432,0),"")</f>
        <v/>
      </c>
      <c r="AA252" s="3" t="n"/>
      <c r="AB252" s="3" t="n"/>
      <c r="AC252" s="3" t="n"/>
      <c r="AD252" s="3" t="n"/>
    </row>
    <row r="253">
      <c r="A253" s="6" t="n"/>
      <c r="B253" s="153">
        <f>IF($C253="","",ROW()-11)</f>
        <v/>
      </c>
      <c r="C253" s="240">
        <f>IF($Z253="","",IF(INDEX($N$12:$N$432,$Z253)="","",INDEX($N$12:$N$432,$Z253)))</f>
        <v/>
      </c>
      <c r="D253" s="29">
        <f>IF($C253="","",INDEX($O$12:$O$432,$Z253))</f>
        <v/>
      </c>
      <c r="E253" s="153">
        <f>IF($C253="","",INDEX($P$12:$P$432,$Z253))</f>
        <v/>
      </c>
      <c r="F253" s="241">
        <f>IF($C253="","",INDEX($R$12:$R$432,$Z253))</f>
        <v/>
      </c>
      <c r="G253" s="241">
        <f>IF($C253="","",INDEX($S$12:$S$432,$Z253))</f>
        <v/>
      </c>
      <c r="H253" s="241">
        <f>IF($C253="","",N($H252)+$F253-$G253)</f>
        <v/>
      </c>
      <c r="I253" s="6" t="n"/>
      <c r="J253" s="6" t="n"/>
      <c r="K253" s="3" t="n"/>
      <c r="L253" s="3" t="n"/>
      <c r="M253" s="3" t="n">
        <v>242</v>
      </c>
      <c r="N253" s="3">
        <f>IF($U253=0,"",INDEX(TAHSILAT!$E$7:$E$1506,$U253))</f>
        <v/>
      </c>
      <c r="O253" s="3">
        <f>IF($N253="","","Ödeme  –  "&amp;INDEX(TAHSILAT!$H$7:$H$1506,$U253)&amp;"  ("&amp;INDEX(TAHSILAT!$G$7:$G$1506,$U253)&amp;")"&amp;IF(INDEX(TAHSILAT!$J$7:$J$1506,$U253)="",""," / "&amp;INDEX(TAHSILAT!$J$7:$J$1506,$U253)))</f>
        <v/>
      </c>
      <c r="P253" s="3">
        <f>IF($N253="","","ÖDEME")</f>
        <v/>
      </c>
      <c r="Q253" s="3" t="n"/>
      <c r="R253" s="3" t="n">
        <v>0</v>
      </c>
      <c r="S253" s="3">
        <f>IF($N253="",0,INDEX(TAHSILAT!$F$7:$F$1506,$U253))</f>
        <v/>
      </c>
      <c r="T253" s="3">
        <f>IF($N253="",10000000000,$N253*100000+$M253)</f>
        <v/>
      </c>
      <c r="U253" s="3">
        <f>IFERROR(MATCH($AC$4&amp;"|1",TAHSILAT!$Q$7:$Q$1506,0),0)</f>
        <v/>
      </c>
      <c r="V253" s="3" t="n"/>
      <c r="W253" s="3" t="n"/>
      <c r="X253" s="3" t="n"/>
      <c r="Y253" s="3">
        <f>IFERROR(SMALL($T$12:$T$432,ROW()-11),"")</f>
        <v/>
      </c>
      <c r="Z253" s="3">
        <f>IFERROR(MATCH($Y253,$T$12:$T$432,0),"")</f>
        <v/>
      </c>
      <c r="AA253" s="3" t="n"/>
      <c r="AB253" s="3" t="n"/>
      <c r="AC253" s="3" t="n"/>
      <c r="AD253" s="3" t="n"/>
    </row>
    <row r="254">
      <c r="A254" s="6" t="n"/>
      <c r="B254" s="153">
        <f>IF($C254="","",ROW()-11)</f>
        <v/>
      </c>
      <c r="C254" s="240">
        <f>IF($Z254="","",IF(INDEX($N$12:$N$432,$Z254)="","",INDEX($N$12:$N$432,$Z254)))</f>
        <v/>
      </c>
      <c r="D254" s="29">
        <f>IF($C254="","",INDEX($O$12:$O$432,$Z254))</f>
        <v/>
      </c>
      <c r="E254" s="153">
        <f>IF($C254="","",INDEX($P$12:$P$432,$Z254))</f>
        <v/>
      </c>
      <c r="F254" s="241">
        <f>IF($C254="","",INDEX($R$12:$R$432,$Z254))</f>
        <v/>
      </c>
      <c r="G254" s="241">
        <f>IF($C254="","",INDEX($S$12:$S$432,$Z254))</f>
        <v/>
      </c>
      <c r="H254" s="241">
        <f>IF($C254="","",N($H253)+$F254-$G254)</f>
        <v/>
      </c>
      <c r="I254" s="6" t="n"/>
      <c r="J254" s="6" t="n"/>
      <c r="K254" s="3" t="n"/>
      <c r="L254" s="3" t="n"/>
      <c r="M254" s="3" t="n">
        <v>243</v>
      </c>
      <c r="N254" s="3">
        <f>IF($U254=0,"",INDEX(TAHSILAT!$E$7:$E$1506,$U254))</f>
        <v/>
      </c>
      <c r="O254" s="3">
        <f>IF($N254="","","Ödeme  –  "&amp;INDEX(TAHSILAT!$H$7:$H$1506,$U254)&amp;"  ("&amp;INDEX(TAHSILAT!$G$7:$G$1506,$U254)&amp;")"&amp;IF(INDEX(TAHSILAT!$J$7:$J$1506,$U254)="",""," / "&amp;INDEX(TAHSILAT!$J$7:$J$1506,$U254)))</f>
        <v/>
      </c>
      <c r="P254" s="3">
        <f>IF($N254="","","ÖDEME")</f>
        <v/>
      </c>
      <c r="Q254" s="3" t="n"/>
      <c r="R254" s="3" t="n">
        <v>0</v>
      </c>
      <c r="S254" s="3">
        <f>IF($N254="",0,INDEX(TAHSILAT!$F$7:$F$1506,$U254))</f>
        <v/>
      </c>
      <c r="T254" s="3">
        <f>IF($N254="",10000000000,$N254*100000+$M254)</f>
        <v/>
      </c>
      <c r="U254" s="3">
        <f>IFERROR(MATCH($AC$4&amp;"|2",TAHSILAT!$Q$7:$Q$1506,0),0)</f>
        <v/>
      </c>
      <c r="V254" s="3" t="n"/>
      <c r="W254" s="3" t="n"/>
      <c r="X254" s="3" t="n"/>
      <c r="Y254" s="3">
        <f>IFERROR(SMALL($T$12:$T$432,ROW()-11),"")</f>
        <v/>
      </c>
      <c r="Z254" s="3">
        <f>IFERROR(MATCH($Y254,$T$12:$T$432,0),"")</f>
        <v/>
      </c>
      <c r="AA254" s="3" t="n"/>
      <c r="AB254" s="3" t="n"/>
      <c r="AC254" s="3" t="n"/>
      <c r="AD254" s="3" t="n"/>
    </row>
    <row r="255">
      <c r="A255" s="6" t="n"/>
      <c r="B255" s="153">
        <f>IF($C255="","",ROW()-11)</f>
        <v/>
      </c>
      <c r="C255" s="240">
        <f>IF($Z255="","",IF(INDEX($N$12:$N$432,$Z255)="","",INDEX($N$12:$N$432,$Z255)))</f>
        <v/>
      </c>
      <c r="D255" s="29">
        <f>IF($C255="","",INDEX($O$12:$O$432,$Z255))</f>
        <v/>
      </c>
      <c r="E255" s="153">
        <f>IF($C255="","",INDEX($P$12:$P$432,$Z255))</f>
        <v/>
      </c>
      <c r="F255" s="241">
        <f>IF($C255="","",INDEX($R$12:$R$432,$Z255))</f>
        <v/>
      </c>
      <c r="G255" s="241">
        <f>IF($C255="","",INDEX($S$12:$S$432,$Z255))</f>
        <v/>
      </c>
      <c r="H255" s="241">
        <f>IF($C255="","",N($H254)+$F255-$G255)</f>
        <v/>
      </c>
      <c r="I255" s="6" t="n"/>
      <c r="J255" s="6" t="n"/>
      <c r="K255" s="3" t="n"/>
      <c r="L255" s="3" t="n"/>
      <c r="M255" s="3" t="n">
        <v>244</v>
      </c>
      <c r="N255" s="3">
        <f>IF($U255=0,"",INDEX(TAHSILAT!$E$7:$E$1506,$U255))</f>
        <v/>
      </c>
      <c r="O255" s="3">
        <f>IF($N255="","","Ödeme  –  "&amp;INDEX(TAHSILAT!$H$7:$H$1506,$U255)&amp;"  ("&amp;INDEX(TAHSILAT!$G$7:$G$1506,$U255)&amp;")"&amp;IF(INDEX(TAHSILAT!$J$7:$J$1506,$U255)="",""," / "&amp;INDEX(TAHSILAT!$J$7:$J$1506,$U255)))</f>
        <v/>
      </c>
      <c r="P255" s="3">
        <f>IF($N255="","","ÖDEME")</f>
        <v/>
      </c>
      <c r="Q255" s="3" t="n"/>
      <c r="R255" s="3" t="n">
        <v>0</v>
      </c>
      <c r="S255" s="3">
        <f>IF($N255="",0,INDEX(TAHSILAT!$F$7:$F$1506,$U255))</f>
        <v/>
      </c>
      <c r="T255" s="3">
        <f>IF($N255="",10000000000,$N255*100000+$M255)</f>
        <v/>
      </c>
      <c r="U255" s="3">
        <f>IFERROR(MATCH($AC$4&amp;"|3",TAHSILAT!$Q$7:$Q$1506,0),0)</f>
        <v/>
      </c>
      <c r="V255" s="3" t="n"/>
      <c r="W255" s="3" t="n"/>
      <c r="X255" s="3" t="n"/>
      <c r="Y255" s="3">
        <f>IFERROR(SMALL($T$12:$T$432,ROW()-11),"")</f>
        <v/>
      </c>
      <c r="Z255" s="3">
        <f>IFERROR(MATCH($Y255,$T$12:$T$432,0),"")</f>
        <v/>
      </c>
      <c r="AA255" s="3" t="n"/>
      <c r="AB255" s="3" t="n"/>
      <c r="AC255" s="3" t="n"/>
      <c r="AD255" s="3" t="n"/>
    </row>
    <row r="256">
      <c r="A256" s="6" t="n"/>
      <c r="B256" s="153">
        <f>IF($C256="","",ROW()-11)</f>
        <v/>
      </c>
      <c r="C256" s="240">
        <f>IF($Z256="","",IF(INDEX($N$12:$N$432,$Z256)="","",INDEX($N$12:$N$432,$Z256)))</f>
        <v/>
      </c>
      <c r="D256" s="29">
        <f>IF($C256="","",INDEX($O$12:$O$432,$Z256))</f>
        <v/>
      </c>
      <c r="E256" s="153">
        <f>IF($C256="","",INDEX($P$12:$P$432,$Z256))</f>
        <v/>
      </c>
      <c r="F256" s="241">
        <f>IF($C256="","",INDEX($R$12:$R$432,$Z256))</f>
        <v/>
      </c>
      <c r="G256" s="241">
        <f>IF($C256="","",INDEX($S$12:$S$432,$Z256))</f>
        <v/>
      </c>
      <c r="H256" s="241">
        <f>IF($C256="","",N($H255)+$F256-$G256)</f>
        <v/>
      </c>
      <c r="I256" s="6" t="n"/>
      <c r="J256" s="6" t="n"/>
      <c r="K256" s="3" t="n"/>
      <c r="L256" s="3" t="n"/>
      <c r="M256" s="3" t="n">
        <v>245</v>
      </c>
      <c r="N256" s="3">
        <f>IF($U256=0,"",INDEX(TAHSILAT!$E$7:$E$1506,$U256))</f>
        <v/>
      </c>
      <c r="O256" s="3">
        <f>IF($N256="","","Ödeme  –  "&amp;INDEX(TAHSILAT!$H$7:$H$1506,$U256)&amp;"  ("&amp;INDEX(TAHSILAT!$G$7:$G$1506,$U256)&amp;")"&amp;IF(INDEX(TAHSILAT!$J$7:$J$1506,$U256)="",""," / "&amp;INDEX(TAHSILAT!$J$7:$J$1506,$U256)))</f>
        <v/>
      </c>
      <c r="P256" s="3">
        <f>IF($N256="","","ÖDEME")</f>
        <v/>
      </c>
      <c r="Q256" s="3" t="n"/>
      <c r="R256" s="3" t="n">
        <v>0</v>
      </c>
      <c r="S256" s="3">
        <f>IF($N256="",0,INDEX(TAHSILAT!$F$7:$F$1506,$U256))</f>
        <v/>
      </c>
      <c r="T256" s="3">
        <f>IF($N256="",10000000000,$N256*100000+$M256)</f>
        <v/>
      </c>
      <c r="U256" s="3">
        <f>IFERROR(MATCH($AC$4&amp;"|4",TAHSILAT!$Q$7:$Q$1506,0),0)</f>
        <v/>
      </c>
      <c r="V256" s="3" t="n"/>
      <c r="W256" s="3" t="n"/>
      <c r="X256" s="3" t="n"/>
      <c r="Y256" s="3">
        <f>IFERROR(SMALL($T$12:$T$432,ROW()-11),"")</f>
        <v/>
      </c>
      <c r="Z256" s="3">
        <f>IFERROR(MATCH($Y256,$T$12:$T$432,0),"")</f>
        <v/>
      </c>
      <c r="AA256" s="3" t="n"/>
      <c r="AB256" s="3" t="n"/>
      <c r="AC256" s="3" t="n"/>
      <c r="AD256" s="3" t="n"/>
    </row>
    <row r="257">
      <c r="A257" s="6" t="n"/>
      <c r="B257" s="153">
        <f>IF($C257="","",ROW()-11)</f>
        <v/>
      </c>
      <c r="C257" s="240">
        <f>IF($Z257="","",IF(INDEX($N$12:$N$432,$Z257)="","",INDEX($N$12:$N$432,$Z257)))</f>
        <v/>
      </c>
      <c r="D257" s="29">
        <f>IF($C257="","",INDEX($O$12:$O$432,$Z257))</f>
        <v/>
      </c>
      <c r="E257" s="153">
        <f>IF($C257="","",INDEX($P$12:$P$432,$Z257))</f>
        <v/>
      </c>
      <c r="F257" s="241">
        <f>IF($C257="","",INDEX($R$12:$R$432,$Z257))</f>
        <v/>
      </c>
      <c r="G257" s="241">
        <f>IF($C257="","",INDEX($S$12:$S$432,$Z257))</f>
        <v/>
      </c>
      <c r="H257" s="241">
        <f>IF($C257="","",N($H256)+$F257-$G257)</f>
        <v/>
      </c>
      <c r="I257" s="6" t="n"/>
      <c r="J257" s="6" t="n"/>
      <c r="K257" s="3" t="n"/>
      <c r="L257" s="3" t="n"/>
      <c r="M257" s="3" t="n">
        <v>246</v>
      </c>
      <c r="N257" s="3">
        <f>IF($U257=0,"",INDEX(TAHSILAT!$E$7:$E$1506,$U257))</f>
        <v/>
      </c>
      <c r="O257" s="3">
        <f>IF($N257="","","Ödeme  –  "&amp;INDEX(TAHSILAT!$H$7:$H$1506,$U257)&amp;"  ("&amp;INDEX(TAHSILAT!$G$7:$G$1506,$U257)&amp;")"&amp;IF(INDEX(TAHSILAT!$J$7:$J$1506,$U257)="",""," / "&amp;INDEX(TAHSILAT!$J$7:$J$1506,$U257)))</f>
        <v/>
      </c>
      <c r="P257" s="3">
        <f>IF($N257="","","ÖDEME")</f>
        <v/>
      </c>
      <c r="Q257" s="3" t="n"/>
      <c r="R257" s="3" t="n">
        <v>0</v>
      </c>
      <c r="S257" s="3">
        <f>IF($N257="",0,INDEX(TAHSILAT!$F$7:$F$1506,$U257))</f>
        <v/>
      </c>
      <c r="T257" s="3">
        <f>IF($N257="",10000000000,$N257*100000+$M257)</f>
        <v/>
      </c>
      <c r="U257" s="3">
        <f>IFERROR(MATCH($AC$4&amp;"|5",TAHSILAT!$Q$7:$Q$1506,0),0)</f>
        <v/>
      </c>
      <c r="V257" s="3" t="n"/>
      <c r="W257" s="3" t="n"/>
      <c r="X257" s="3" t="n"/>
      <c r="Y257" s="3">
        <f>IFERROR(SMALL($T$12:$T$432,ROW()-11),"")</f>
        <v/>
      </c>
      <c r="Z257" s="3">
        <f>IFERROR(MATCH($Y257,$T$12:$T$432,0),"")</f>
        <v/>
      </c>
      <c r="AA257" s="3" t="n"/>
      <c r="AB257" s="3" t="n"/>
      <c r="AC257" s="3" t="n"/>
      <c r="AD257" s="3" t="n"/>
    </row>
    <row r="258">
      <c r="A258" s="6" t="n"/>
      <c r="B258" s="153">
        <f>IF($C258="","",ROW()-11)</f>
        <v/>
      </c>
      <c r="C258" s="240">
        <f>IF($Z258="","",IF(INDEX($N$12:$N$432,$Z258)="","",INDEX($N$12:$N$432,$Z258)))</f>
        <v/>
      </c>
      <c r="D258" s="29">
        <f>IF($C258="","",INDEX($O$12:$O$432,$Z258))</f>
        <v/>
      </c>
      <c r="E258" s="153">
        <f>IF($C258="","",INDEX($P$12:$P$432,$Z258))</f>
        <v/>
      </c>
      <c r="F258" s="241">
        <f>IF($C258="","",INDEX($R$12:$R$432,$Z258))</f>
        <v/>
      </c>
      <c r="G258" s="241">
        <f>IF($C258="","",INDEX($S$12:$S$432,$Z258))</f>
        <v/>
      </c>
      <c r="H258" s="241">
        <f>IF($C258="","",N($H257)+$F258-$G258)</f>
        <v/>
      </c>
      <c r="I258" s="6" t="n"/>
      <c r="J258" s="6" t="n"/>
      <c r="K258" s="3" t="n"/>
      <c r="L258" s="3" t="n"/>
      <c r="M258" s="3" t="n">
        <v>247</v>
      </c>
      <c r="N258" s="3">
        <f>IF($U258=0,"",INDEX(TAHSILAT!$E$7:$E$1506,$U258))</f>
        <v/>
      </c>
      <c r="O258" s="3">
        <f>IF($N258="","","Ödeme  –  "&amp;INDEX(TAHSILAT!$H$7:$H$1506,$U258)&amp;"  ("&amp;INDEX(TAHSILAT!$G$7:$G$1506,$U258)&amp;")"&amp;IF(INDEX(TAHSILAT!$J$7:$J$1506,$U258)="",""," / "&amp;INDEX(TAHSILAT!$J$7:$J$1506,$U258)))</f>
        <v/>
      </c>
      <c r="P258" s="3">
        <f>IF($N258="","","ÖDEME")</f>
        <v/>
      </c>
      <c r="Q258" s="3" t="n"/>
      <c r="R258" s="3" t="n">
        <v>0</v>
      </c>
      <c r="S258" s="3">
        <f>IF($N258="",0,INDEX(TAHSILAT!$F$7:$F$1506,$U258))</f>
        <v/>
      </c>
      <c r="T258" s="3">
        <f>IF($N258="",10000000000,$N258*100000+$M258)</f>
        <v/>
      </c>
      <c r="U258" s="3">
        <f>IFERROR(MATCH($AC$4&amp;"|6",TAHSILAT!$Q$7:$Q$1506,0),0)</f>
        <v/>
      </c>
      <c r="V258" s="3" t="n"/>
      <c r="W258" s="3" t="n"/>
      <c r="X258" s="3" t="n"/>
      <c r="Y258" s="3">
        <f>IFERROR(SMALL($T$12:$T$432,ROW()-11),"")</f>
        <v/>
      </c>
      <c r="Z258" s="3">
        <f>IFERROR(MATCH($Y258,$T$12:$T$432,0),"")</f>
        <v/>
      </c>
      <c r="AA258" s="3" t="n"/>
      <c r="AB258" s="3" t="n"/>
      <c r="AC258" s="3" t="n"/>
      <c r="AD258" s="3" t="n"/>
    </row>
    <row r="259">
      <c r="A259" s="6" t="n"/>
      <c r="B259" s="153">
        <f>IF($C259="","",ROW()-11)</f>
        <v/>
      </c>
      <c r="C259" s="240">
        <f>IF($Z259="","",IF(INDEX($N$12:$N$432,$Z259)="","",INDEX($N$12:$N$432,$Z259)))</f>
        <v/>
      </c>
      <c r="D259" s="29">
        <f>IF($C259="","",INDEX($O$12:$O$432,$Z259))</f>
        <v/>
      </c>
      <c r="E259" s="153">
        <f>IF($C259="","",INDEX($P$12:$P$432,$Z259))</f>
        <v/>
      </c>
      <c r="F259" s="241">
        <f>IF($C259="","",INDEX($R$12:$R$432,$Z259))</f>
        <v/>
      </c>
      <c r="G259" s="241">
        <f>IF($C259="","",INDEX($S$12:$S$432,$Z259))</f>
        <v/>
      </c>
      <c r="H259" s="241">
        <f>IF($C259="","",N($H258)+$F259-$G259)</f>
        <v/>
      </c>
      <c r="I259" s="6" t="n"/>
      <c r="J259" s="6" t="n"/>
      <c r="K259" s="3" t="n"/>
      <c r="L259" s="3" t="n"/>
      <c r="M259" s="3" t="n">
        <v>248</v>
      </c>
      <c r="N259" s="3">
        <f>IF($U259=0,"",INDEX(TAHSILAT!$E$7:$E$1506,$U259))</f>
        <v/>
      </c>
      <c r="O259" s="3">
        <f>IF($N259="","","Ödeme  –  "&amp;INDEX(TAHSILAT!$H$7:$H$1506,$U259)&amp;"  ("&amp;INDEX(TAHSILAT!$G$7:$G$1506,$U259)&amp;")"&amp;IF(INDEX(TAHSILAT!$J$7:$J$1506,$U259)="",""," / "&amp;INDEX(TAHSILAT!$J$7:$J$1506,$U259)))</f>
        <v/>
      </c>
      <c r="P259" s="3">
        <f>IF($N259="","","ÖDEME")</f>
        <v/>
      </c>
      <c r="Q259" s="3" t="n"/>
      <c r="R259" s="3" t="n">
        <v>0</v>
      </c>
      <c r="S259" s="3">
        <f>IF($N259="",0,INDEX(TAHSILAT!$F$7:$F$1506,$U259))</f>
        <v/>
      </c>
      <c r="T259" s="3">
        <f>IF($N259="",10000000000,$N259*100000+$M259)</f>
        <v/>
      </c>
      <c r="U259" s="3">
        <f>IFERROR(MATCH($AC$4&amp;"|7",TAHSILAT!$Q$7:$Q$1506,0),0)</f>
        <v/>
      </c>
      <c r="V259" s="3" t="n"/>
      <c r="W259" s="3" t="n"/>
      <c r="X259" s="3" t="n"/>
      <c r="Y259" s="3">
        <f>IFERROR(SMALL($T$12:$T$432,ROW()-11),"")</f>
        <v/>
      </c>
      <c r="Z259" s="3">
        <f>IFERROR(MATCH($Y259,$T$12:$T$432,0),"")</f>
        <v/>
      </c>
      <c r="AA259" s="3" t="n"/>
      <c r="AB259" s="3" t="n"/>
      <c r="AC259" s="3" t="n"/>
      <c r="AD259" s="3" t="n"/>
    </row>
    <row r="260">
      <c r="A260" s="6" t="n"/>
      <c r="B260" s="153">
        <f>IF($C260="","",ROW()-11)</f>
        <v/>
      </c>
      <c r="C260" s="240">
        <f>IF($Z260="","",IF(INDEX($N$12:$N$432,$Z260)="","",INDEX($N$12:$N$432,$Z260)))</f>
        <v/>
      </c>
      <c r="D260" s="29">
        <f>IF($C260="","",INDEX($O$12:$O$432,$Z260))</f>
        <v/>
      </c>
      <c r="E260" s="153">
        <f>IF($C260="","",INDEX($P$12:$P$432,$Z260))</f>
        <v/>
      </c>
      <c r="F260" s="241">
        <f>IF($C260="","",INDEX($R$12:$R$432,$Z260))</f>
        <v/>
      </c>
      <c r="G260" s="241">
        <f>IF($C260="","",INDEX($S$12:$S$432,$Z260))</f>
        <v/>
      </c>
      <c r="H260" s="241">
        <f>IF($C260="","",N($H259)+$F260-$G260)</f>
        <v/>
      </c>
      <c r="I260" s="6" t="n"/>
      <c r="J260" s="6" t="n"/>
      <c r="K260" s="3" t="n"/>
      <c r="L260" s="3" t="n"/>
      <c r="M260" s="3" t="n">
        <v>249</v>
      </c>
      <c r="N260" s="3">
        <f>IF($U260=0,"",INDEX(TAHSILAT!$E$7:$E$1506,$U260))</f>
        <v/>
      </c>
      <c r="O260" s="3">
        <f>IF($N260="","","Ödeme  –  "&amp;INDEX(TAHSILAT!$H$7:$H$1506,$U260)&amp;"  ("&amp;INDEX(TAHSILAT!$G$7:$G$1506,$U260)&amp;")"&amp;IF(INDEX(TAHSILAT!$J$7:$J$1506,$U260)="",""," / "&amp;INDEX(TAHSILAT!$J$7:$J$1506,$U260)))</f>
        <v/>
      </c>
      <c r="P260" s="3">
        <f>IF($N260="","","ÖDEME")</f>
        <v/>
      </c>
      <c r="Q260" s="3" t="n"/>
      <c r="R260" s="3" t="n">
        <v>0</v>
      </c>
      <c r="S260" s="3">
        <f>IF($N260="",0,INDEX(TAHSILAT!$F$7:$F$1506,$U260))</f>
        <v/>
      </c>
      <c r="T260" s="3">
        <f>IF($N260="",10000000000,$N260*100000+$M260)</f>
        <v/>
      </c>
      <c r="U260" s="3">
        <f>IFERROR(MATCH($AC$4&amp;"|8",TAHSILAT!$Q$7:$Q$1506,0),0)</f>
        <v/>
      </c>
      <c r="V260" s="3" t="n"/>
      <c r="W260" s="3" t="n"/>
      <c r="X260" s="3" t="n"/>
      <c r="Y260" s="3">
        <f>IFERROR(SMALL($T$12:$T$432,ROW()-11),"")</f>
        <v/>
      </c>
      <c r="Z260" s="3">
        <f>IFERROR(MATCH($Y260,$T$12:$T$432,0),"")</f>
        <v/>
      </c>
      <c r="AA260" s="3" t="n"/>
      <c r="AB260" s="3" t="n"/>
      <c r="AC260" s="3" t="n"/>
      <c r="AD260" s="3" t="n"/>
    </row>
    <row r="261">
      <c r="A261" s="6" t="n"/>
      <c r="B261" s="153">
        <f>IF($C261="","",ROW()-11)</f>
        <v/>
      </c>
      <c r="C261" s="240">
        <f>IF($Z261="","",IF(INDEX($N$12:$N$432,$Z261)="","",INDEX($N$12:$N$432,$Z261)))</f>
        <v/>
      </c>
      <c r="D261" s="29">
        <f>IF($C261="","",INDEX($O$12:$O$432,$Z261))</f>
        <v/>
      </c>
      <c r="E261" s="153">
        <f>IF($C261="","",INDEX($P$12:$P$432,$Z261))</f>
        <v/>
      </c>
      <c r="F261" s="241">
        <f>IF($C261="","",INDEX($R$12:$R$432,$Z261))</f>
        <v/>
      </c>
      <c r="G261" s="241">
        <f>IF($C261="","",INDEX($S$12:$S$432,$Z261))</f>
        <v/>
      </c>
      <c r="H261" s="241">
        <f>IF($C261="","",N($H260)+$F261-$G261)</f>
        <v/>
      </c>
      <c r="I261" s="6" t="n"/>
      <c r="J261" s="6" t="n"/>
      <c r="K261" s="3" t="n"/>
      <c r="L261" s="3" t="n"/>
      <c r="M261" s="3" t="n">
        <v>250</v>
      </c>
      <c r="N261" s="3">
        <f>IF($U261=0,"",INDEX(TAHSILAT!$E$7:$E$1506,$U261))</f>
        <v/>
      </c>
      <c r="O261" s="3">
        <f>IF($N261="","","Ödeme  –  "&amp;INDEX(TAHSILAT!$H$7:$H$1506,$U261)&amp;"  ("&amp;INDEX(TAHSILAT!$G$7:$G$1506,$U261)&amp;")"&amp;IF(INDEX(TAHSILAT!$J$7:$J$1506,$U261)="",""," / "&amp;INDEX(TAHSILAT!$J$7:$J$1506,$U261)))</f>
        <v/>
      </c>
      <c r="P261" s="3">
        <f>IF($N261="","","ÖDEME")</f>
        <v/>
      </c>
      <c r="Q261" s="3" t="n"/>
      <c r="R261" s="3" t="n">
        <v>0</v>
      </c>
      <c r="S261" s="3">
        <f>IF($N261="",0,INDEX(TAHSILAT!$F$7:$F$1506,$U261))</f>
        <v/>
      </c>
      <c r="T261" s="3">
        <f>IF($N261="",10000000000,$N261*100000+$M261)</f>
        <v/>
      </c>
      <c r="U261" s="3">
        <f>IFERROR(MATCH($AC$4&amp;"|9",TAHSILAT!$Q$7:$Q$1506,0),0)</f>
        <v/>
      </c>
      <c r="V261" s="3" t="n"/>
      <c r="W261" s="3" t="n"/>
      <c r="X261" s="3" t="n"/>
      <c r="Y261" s="3">
        <f>IFERROR(SMALL($T$12:$T$432,ROW()-11),"")</f>
        <v/>
      </c>
      <c r="Z261" s="3">
        <f>IFERROR(MATCH($Y261,$T$12:$T$432,0),"")</f>
        <v/>
      </c>
      <c r="AA261" s="3" t="n"/>
      <c r="AB261" s="3" t="n"/>
      <c r="AC261" s="3" t="n"/>
      <c r="AD261" s="3" t="n"/>
    </row>
    <row r="262">
      <c r="A262" s="6" t="n"/>
      <c r="B262" s="153">
        <f>IF($C262="","",ROW()-11)</f>
        <v/>
      </c>
      <c r="C262" s="240">
        <f>IF($Z262="","",IF(INDEX($N$12:$N$432,$Z262)="","",INDEX($N$12:$N$432,$Z262)))</f>
        <v/>
      </c>
      <c r="D262" s="29">
        <f>IF($C262="","",INDEX($O$12:$O$432,$Z262))</f>
        <v/>
      </c>
      <c r="E262" s="153">
        <f>IF($C262="","",INDEX($P$12:$P$432,$Z262))</f>
        <v/>
      </c>
      <c r="F262" s="241">
        <f>IF($C262="","",INDEX($R$12:$R$432,$Z262))</f>
        <v/>
      </c>
      <c r="G262" s="241">
        <f>IF($C262="","",INDEX($S$12:$S$432,$Z262))</f>
        <v/>
      </c>
      <c r="H262" s="241">
        <f>IF($C262="","",N($H261)+$F262-$G262)</f>
        <v/>
      </c>
      <c r="I262" s="6" t="n"/>
      <c r="J262" s="6" t="n"/>
      <c r="K262" s="3" t="n"/>
      <c r="L262" s="3" t="n"/>
      <c r="M262" s="3" t="n">
        <v>251</v>
      </c>
      <c r="N262" s="3">
        <f>IF($U262=0,"",INDEX(TAHSILAT!$E$7:$E$1506,$U262))</f>
        <v/>
      </c>
      <c r="O262" s="3">
        <f>IF($N262="","","Ödeme  –  "&amp;INDEX(TAHSILAT!$H$7:$H$1506,$U262)&amp;"  ("&amp;INDEX(TAHSILAT!$G$7:$G$1506,$U262)&amp;")"&amp;IF(INDEX(TAHSILAT!$J$7:$J$1506,$U262)="",""," / "&amp;INDEX(TAHSILAT!$J$7:$J$1506,$U262)))</f>
        <v/>
      </c>
      <c r="P262" s="3">
        <f>IF($N262="","","ÖDEME")</f>
        <v/>
      </c>
      <c r="Q262" s="3" t="n"/>
      <c r="R262" s="3" t="n">
        <v>0</v>
      </c>
      <c r="S262" s="3">
        <f>IF($N262="",0,INDEX(TAHSILAT!$F$7:$F$1506,$U262))</f>
        <v/>
      </c>
      <c r="T262" s="3">
        <f>IF($N262="",10000000000,$N262*100000+$M262)</f>
        <v/>
      </c>
      <c r="U262" s="3">
        <f>IFERROR(MATCH($AC$4&amp;"|10",TAHSILAT!$Q$7:$Q$1506,0),0)</f>
        <v/>
      </c>
      <c r="V262" s="3" t="n"/>
      <c r="W262" s="3" t="n"/>
      <c r="X262" s="3" t="n"/>
      <c r="Y262" s="3">
        <f>IFERROR(SMALL($T$12:$T$432,ROW()-11),"")</f>
        <v/>
      </c>
      <c r="Z262" s="3">
        <f>IFERROR(MATCH($Y262,$T$12:$T$432,0),"")</f>
        <v/>
      </c>
      <c r="AA262" s="3" t="n"/>
      <c r="AB262" s="3" t="n"/>
      <c r="AC262" s="3" t="n"/>
      <c r="AD262" s="3" t="n"/>
    </row>
    <row r="263">
      <c r="A263" s="6" t="n"/>
      <c r="B263" s="153">
        <f>IF($C263="","",ROW()-11)</f>
        <v/>
      </c>
      <c r="C263" s="240">
        <f>IF($Z263="","",IF(INDEX($N$12:$N$432,$Z263)="","",INDEX($N$12:$N$432,$Z263)))</f>
        <v/>
      </c>
      <c r="D263" s="29">
        <f>IF($C263="","",INDEX($O$12:$O$432,$Z263))</f>
        <v/>
      </c>
      <c r="E263" s="153">
        <f>IF($C263="","",INDEX($P$12:$P$432,$Z263))</f>
        <v/>
      </c>
      <c r="F263" s="241">
        <f>IF($C263="","",INDEX($R$12:$R$432,$Z263))</f>
        <v/>
      </c>
      <c r="G263" s="241">
        <f>IF($C263="","",INDEX($S$12:$S$432,$Z263))</f>
        <v/>
      </c>
      <c r="H263" s="241">
        <f>IF($C263="","",N($H262)+$F263-$G263)</f>
        <v/>
      </c>
      <c r="I263" s="6" t="n"/>
      <c r="J263" s="6" t="n"/>
      <c r="K263" s="3" t="n"/>
      <c r="L263" s="3" t="n"/>
      <c r="M263" s="3" t="n">
        <v>252</v>
      </c>
      <c r="N263" s="3">
        <f>IF($U263=0,"",INDEX(TAHSILAT!$E$7:$E$1506,$U263))</f>
        <v/>
      </c>
      <c r="O263" s="3">
        <f>IF($N263="","","Ödeme  –  "&amp;INDEX(TAHSILAT!$H$7:$H$1506,$U263)&amp;"  ("&amp;INDEX(TAHSILAT!$G$7:$G$1506,$U263)&amp;")"&amp;IF(INDEX(TAHSILAT!$J$7:$J$1506,$U263)="",""," / "&amp;INDEX(TAHSILAT!$J$7:$J$1506,$U263)))</f>
        <v/>
      </c>
      <c r="P263" s="3">
        <f>IF($N263="","","ÖDEME")</f>
        <v/>
      </c>
      <c r="Q263" s="3" t="n"/>
      <c r="R263" s="3" t="n">
        <v>0</v>
      </c>
      <c r="S263" s="3">
        <f>IF($N263="",0,INDEX(TAHSILAT!$F$7:$F$1506,$U263))</f>
        <v/>
      </c>
      <c r="T263" s="3">
        <f>IF($N263="",10000000000,$N263*100000+$M263)</f>
        <v/>
      </c>
      <c r="U263" s="3">
        <f>IFERROR(MATCH($AC$4&amp;"|11",TAHSILAT!$Q$7:$Q$1506,0),0)</f>
        <v/>
      </c>
      <c r="V263" s="3" t="n"/>
      <c r="W263" s="3" t="n"/>
      <c r="X263" s="3" t="n"/>
      <c r="Y263" s="3">
        <f>IFERROR(SMALL($T$12:$T$432,ROW()-11),"")</f>
        <v/>
      </c>
      <c r="Z263" s="3">
        <f>IFERROR(MATCH($Y263,$T$12:$T$432,0),"")</f>
        <v/>
      </c>
      <c r="AA263" s="3" t="n"/>
      <c r="AB263" s="3" t="n"/>
      <c r="AC263" s="3" t="n"/>
      <c r="AD263" s="3" t="n"/>
    </row>
    <row r="264">
      <c r="A264" s="6" t="n"/>
      <c r="B264" s="153">
        <f>IF($C264="","",ROW()-11)</f>
        <v/>
      </c>
      <c r="C264" s="240">
        <f>IF($Z264="","",IF(INDEX($N$12:$N$432,$Z264)="","",INDEX($N$12:$N$432,$Z264)))</f>
        <v/>
      </c>
      <c r="D264" s="29">
        <f>IF($C264="","",INDEX($O$12:$O$432,$Z264))</f>
        <v/>
      </c>
      <c r="E264" s="153">
        <f>IF($C264="","",INDEX($P$12:$P$432,$Z264))</f>
        <v/>
      </c>
      <c r="F264" s="241">
        <f>IF($C264="","",INDEX($R$12:$R$432,$Z264))</f>
        <v/>
      </c>
      <c r="G264" s="241">
        <f>IF($C264="","",INDEX($S$12:$S$432,$Z264))</f>
        <v/>
      </c>
      <c r="H264" s="241">
        <f>IF($C264="","",N($H263)+$F264-$G264)</f>
        <v/>
      </c>
      <c r="I264" s="6" t="n"/>
      <c r="J264" s="6" t="n"/>
      <c r="K264" s="3" t="n"/>
      <c r="L264" s="3" t="n"/>
      <c r="M264" s="3" t="n">
        <v>253</v>
      </c>
      <c r="N264" s="3">
        <f>IF($U264=0,"",INDEX(TAHSILAT!$E$7:$E$1506,$U264))</f>
        <v/>
      </c>
      <c r="O264" s="3">
        <f>IF($N264="","","Ödeme  –  "&amp;INDEX(TAHSILAT!$H$7:$H$1506,$U264)&amp;"  ("&amp;INDEX(TAHSILAT!$G$7:$G$1506,$U264)&amp;")"&amp;IF(INDEX(TAHSILAT!$J$7:$J$1506,$U264)="",""," / "&amp;INDEX(TAHSILAT!$J$7:$J$1506,$U264)))</f>
        <v/>
      </c>
      <c r="P264" s="3">
        <f>IF($N264="","","ÖDEME")</f>
        <v/>
      </c>
      <c r="Q264" s="3" t="n"/>
      <c r="R264" s="3" t="n">
        <v>0</v>
      </c>
      <c r="S264" s="3">
        <f>IF($N264="",0,INDEX(TAHSILAT!$F$7:$F$1506,$U264))</f>
        <v/>
      </c>
      <c r="T264" s="3">
        <f>IF($N264="",10000000000,$N264*100000+$M264)</f>
        <v/>
      </c>
      <c r="U264" s="3">
        <f>IFERROR(MATCH($AC$4&amp;"|12",TAHSILAT!$Q$7:$Q$1506,0),0)</f>
        <v/>
      </c>
      <c r="V264" s="3" t="n"/>
      <c r="W264" s="3" t="n"/>
      <c r="X264" s="3" t="n"/>
      <c r="Y264" s="3">
        <f>IFERROR(SMALL($T$12:$T$432,ROW()-11),"")</f>
        <v/>
      </c>
      <c r="Z264" s="3">
        <f>IFERROR(MATCH($Y264,$T$12:$T$432,0),"")</f>
        <v/>
      </c>
      <c r="AA264" s="3" t="n"/>
      <c r="AB264" s="3" t="n"/>
      <c r="AC264" s="3" t="n"/>
      <c r="AD264" s="3" t="n"/>
    </row>
    <row r="265">
      <c r="A265" s="6" t="n"/>
      <c r="B265" s="153">
        <f>IF($C265="","",ROW()-11)</f>
        <v/>
      </c>
      <c r="C265" s="240">
        <f>IF($Z265="","",IF(INDEX($N$12:$N$432,$Z265)="","",INDEX($N$12:$N$432,$Z265)))</f>
        <v/>
      </c>
      <c r="D265" s="29">
        <f>IF($C265="","",INDEX($O$12:$O$432,$Z265))</f>
        <v/>
      </c>
      <c r="E265" s="153">
        <f>IF($C265="","",INDEX($P$12:$P$432,$Z265))</f>
        <v/>
      </c>
      <c r="F265" s="241">
        <f>IF($C265="","",INDEX($R$12:$R$432,$Z265))</f>
        <v/>
      </c>
      <c r="G265" s="241">
        <f>IF($C265="","",INDEX($S$12:$S$432,$Z265))</f>
        <v/>
      </c>
      <c r="H265" s="241">
        <f>IF($C265="","",N($H264)+$F265-$G265)</f>
        <v/>
      </c>
      <c r="I265" s="6" t="n"/>
      <c r="J265" s="6" t="n"/>
      <c r="K265" s="3" t="n"/>
      <c r="L265" s="3" t="n"/>
      <c r="M265" s="3" t="n">
        <v>254</v>
      </c>
      <c r="N265" s="3">
        <f>IF($U265=0,"",INDEX(TAHSILAT!$E$7:$E$1506,$U265))</f>
        <v/>
      </c>
      <c r="O265" s="3">
        <f>IF($N265="","","Ödeme  –  "&amp;INDEX(TAHSILAT!$H$7:$H$1506,$U265)&amp;"  ("&amp;INDEX(TAHSILAT!$G$7:$G$1506,$U265)&amp;")"&amp;IF(INDEX(TAHSILAT!$J$7:$J$1506,$U265)="",""," / "&amp;INDEX(TAHSILAT!$J$7:$J$1506,$U265)))</f>
        <v/>
      </c>
      <c r="P265" s="3">
        <f>IF($N265="","","ÖDEME")</f>
        <v/>
      </c>
      <c r="Q265" s="3" t="n"/>
      <c r="R265" s="3" t="n">
        <v>0</v>
      </c>
      <c r="S265" s="3">
        <f>IF($N265="",0,INDEX(TAHSILAT!$F$7:$F$1506,$U265))</f>
        <v/>
      </c>
      <c r="T265" s="3">
        <f>IF($N265="",10000000000,$N265*100000+$M265)</f>
        <v/>
      </c>
      <c r="U265" s="3">
        <f>IFERROR(MATCH($AC$4&amp;"|13",TAHSILAT!$Q$7:$Q$1506,0),0)</f>
        <v/>
      </c>
      <c r="V265" s="3" t="n"/>
      <c r="W265" s="3" t="n"/>
      <c r="X265" s="3" t="n"/>
      <c r="Y265" s="3">
        <f>IFERROR(SMALL($T$12:$T$432,ROW()-11),"")</f>
        <v/>
      </c>
      <c r="Z265" s="3">
        <f>IFERROR(MATCH($Y265,$T$12:$T$432,0),"")</f>
        <v/>
      </c>
      <c r="AA265" s="3" t="n"/>
      <c r="AB265" s="3" t="n"/>
      <c r="AC265" s="3" t="n"/>
      <c r="AD265" s="3" t="n"/>
    </row>
    <row r="266">
      <c r="A266" s="6" t="n"/>
      <c r="B266" s="153">
        <f>IF($C266="","",ROW()-11)</f>
        <v/>
      </c>
      <c r="C266" s="240">
        <f>IF($Z266="","",IF(INDEX($N$12:$N$432,$Z266)="","",INDEX($N$12:$N$432,$Z266)))</f>
        <v/>
      </c>
      <c r="D266" s="29">
        <f>IF($C266="","",INDEX($O$12:$O$432,$Z266))</f>
        <v/>
      </c>
      <c r="E266" s="153">
        <f>IF($C266="","",INDEX($P$12:$P$432,$Z266))</f>
        <v/>
      </c>
      <c r="F266" s="241">
        <f>IF($C266="","",INDEX($R$12:$R$432,$Z266))</f>
        <v/>
      </c>
      <c r="G266" s="241">
        <f>IF($C266="","",INDEX($S$12:$S$432,$Z266))</f>
        <v/>
      </c>
      <c r="H266" s="241">
        <f>IF($C266="","",N($H265)+$F266-$G266)</f>
        <v/>
      </c>
      <c r="I266" s="6" t="n"/>
      <c r="J266" s="6" t="n"/>
      <c r="K266" s="3" t="n"/>
      <c r="L266" s="3" t="n"/>
      <c r="M266" s="3" t="n">
        <v>255</v>
      </c>
      <c r="N266" s="3">
        <f>IF($U266=0,"",INDEX(TAHSILAT!$E$7:$E$1506,$U266))</f>
        <v/>
      </c>
      <c r="O266" s="3">
        <f>IF($N266="","","Ödeme  –  "&amp;INDEX(TAHSILAT!$H$7:$H$1506,$U266)&amp;"  ("&amp;INDEX(TAHSILAT!$G$7:$G$1506,$U266)&amp;")"&amp;IF(INDEX(TAHSILAT!$J$7:$J$1506,$U266)="",""," / "&amp;INDEX(TAHSILAT!$J$7:$J$1506,$U266)))</f>
        <v/>
      </c>
      <c r="P266" s="3">
        <f>IF($N266="","","ÖDEME")</f>
        <v/>
      </c>
      <c r="Q266" s="3" t="n"/>
      <c r="R266" s="3" t="n">
        <v>0</v>
      </c>
      <c r="S266" s="3">
        <f>IF($N266="",0,INDEX(TAHSILAT!$F$7:$F$1506,$U266))</f>
        <v/>
      </c>
      <c r="T266" s="3">
        <f>IF($N266="",10000000000,$N266*100000+$M266)</f>
        <v/>
      </c>
      <c r="U266" s="3">
        <f>IFERROR(MATCH($AC$4&amp;"|14",TAHSILAT!$Q$7:$Q$1506,0),0)</f>
        <v/>
      </c>
      <c r="V266" s="3" t="n"/>
      <c r="W266" s="3" t="n"/>
      <c r="X266" s="3" t="n"/>
      <c r="Y266" s="3">
        <f>IFERROR(SMALL($T$12:$T$432,ROW()-11),"")</f>
        <v/>
      </c>
      <c r="Z266" s="3">
        <f>IFERROR(MATCH($Y266,$T$12:$T$432,0),"")</f>
        <v/>
      </c>
      <c r="AA266" s="3" t="n"/>
      <c r="AB266" s="3" t="n"/>
      <c r="AC266" s="3" t="n"/>
      <c r="AD266" s="3" t="n"/>
    </row>
    <row r="267">
      <c r="A267" s="6" t="n"/>
      <c r="B267" s="153">
        <f>IF($C267="","",ROW()-11)</f>
        <v/>
      </c>
      <c r="C267" s="240">
        <f>IF($Z267="","",IF(INDEX($N$12:$N$432,$Z267)="","",INDEX($N$12:$N$432,$Z267)))</f>
        <v/>
      </c>
      <c r="D267" s="29">
        <f>IF($C267="","",INDEX($O$12:$O$432,$Z267))</f>
        <v/>
      </c>
      <c r="E267" s="153">
        <f>IF($C267="","",INDEX($P$12:$P$432,$Z267))</f>
        <v/>
      </c>
      <c r="F267" s="241">
        <f>IF($C267="","",INDEX($R$12:$R$432,$Z267))</f>
        <v/>
      </c>
      <c r="G267" s="241">
        <f>IF($C267="","",INDEX($S$12:$S$432,$Z267))</f>
        <v/>
      </c>
      <c r="H267" s="241">
        <f>IF($C267="","",N($H266)+$F267-$G267)</f>
        <v/>
      </c>
      <c r="I267" s="6" t="n"/>
      <c r="J267" s="6" t="n"/>
      <c r="K267" s="3" t="n"/>
      <c r="L267" s="3" t="n"/>
      <c r="M267" s="3" t="n">
        <v>256</v>
      </c>
      <c r="N267" s="3">
        <f>IF($U267=0,"",INDEX(TAHSILAT!$E$7:$E$1506,$U267))</f>
        <v/>
      </c>
      <c r="O267" s="3">
        <f>IF($N267="","","Ödeme  –  "&amp;INDEX(TAHSILAT!$H$7:$H$1506,$U267)&amp;"  ("&amp;INDEX(TAHSILAT!$G$7:$G$1506,$U267)&amp;")"&amp;IF(INDEX(TAHSILAT!$J$7:$J$1506,$U267)="",""," / "&amp;INDEX(TAHSILAT!$J$7:$J$1506,$U267)))</f>
        <v/>
      </c>
      <c r="P267" s="3">
        <f>IF($N267="","","ÖDEME")</f>
        <v/>
      </c>
      <c r="Q267" s="3" t="n"/>
      <c r="R267" s="3" t="n">
        <v>0</v>
      </c>
      <c r="S267" s="3">
        <f>IF($N267="",0,INDEX(TAHSILAT!$F$7:$F$1506,$U267))</f>
        <v/>
      </c>
      <c r="T267" s="3">
        <f>IF($N267="",10000000000,$N267*100000+$M267)</f>
        <v/>
      </c>
      <c r="U267" s="3">
        <f>IFERROR(MATCH($AC$4&amp;"|15",TAHSILAT!$Q$7:$Q$1506,0),0)</f>
        <v/>
      </c>
      <c r="V267" s="3" t="n"/>
      <c r="W267" s="3" t="n"/>
      <c r="X267" s="3" t="n"/>
      <c r="Y267" s="3">
        <f>IFERROR(SMALL($T$12:$T$432,ROW()-11),"")</f>
        <v/>
      </c>
      <c r="Z267" s="3">
        <f>IFERROR(MATCH($Y267,$T$12:$T$432,0),"")</f>
        <v/>
      </c>
      <c r="AA267" s="3" t="n"/>
      <c r="AB267" s="3" t="n"/>
      <c r="AC267" s="3" t="n"/>
      <c r="AD267" s="3" t="n"/>
    </row>
    <row r="268">
      <c r="A268" s="6" t="n"/>
      <c r="B268" s="153">
        <f>IF($C268="","",ROW()-11)</f>
        <v/>
      </c>
      <c r="C268" s="240">
        <f>IF($Z268="","",IF(INDEX($N$12:$N$432,$Z268)="","",INDEX($N$12:$N$432,$Z268)))</f>
        <v/>
      </c>
      <c r="D268" s="29">
        <f>IF($C268="","",INDEX($O$12:$O$432,$Z268))</f>
        <v/>
      </c>
      <c r="E268" s="153">
        <f>IF($C268="","",INDEX($P$12:$P$432,$Z268))</f>
        <v/>
      </c>
      <c r="F268" s="241">
        <f>IF($C268="","",INDEX($R$12:$R$432,$Z268))</f>
        <v/>
      </c>
      <c r="G268" s="241">
        <f>IF($C268="","",INDEX($S$12:$S$432,$Z268))</f>
        <v/>
      </c>
      <c r="H268" s="241">
        <f>IF($C268="","",N($H267)+$F268-$G268)</f>
        <v/>
      </c>
      <c r="I268" s="6" t="n"/>
      <c r="J268" s="6" t="n"/>
      <c r="K268" s="3" t="n"/>
      <c r="L268" s="3" t="n"/>
      <c r="M268" s="3" t="n">
        <v>257</v>
      </c>
      <c r="N268" s="3">
        <f>IF($U268=0,"",INDEX(TAHSILAT!$E$7:$E$1506,$U268))</f>
        <v/>
      </c>
      <c r="O268" s="3">
        <f>IF($N268="","","Ödeme  –  "&amp;INDEX(TAHSILAT!$H$7:$H$1506,$U268)&amp;"  ("&amp;INDEX(TAHSILAT!$G$7:$G$1506,$U268)&amp;")"&amp;IF(INDEX(TAHSILAT!$J$7:$J$1506,$U268)="",""," / "&amp;INDEX(TAHSILAT!$J$7:$J$1506,$U268)))</f>
        <v/>
      </c>
      <c r="P268" s="3">
        <f>IF($N268="","","ÖDEME")</f>
        <v/>
      </c>
      <c r="Q268" s="3" t="n"/>
      <c r="R268" s="3" t="n">
        <v>0</v>
      </c>
      <c r="S268" s="3">
        <f>IF($N268="",0,INDEX(TAHSILAT!$F$7:$F$1506,$U268))</f>
        <v/>
      </c>
      <c r="T268" s="3">
        <f>IF($N268="",10000000000,$N268*100000+$M268)</f>
        <v/>
      </c>
      <c r="U268" s="3">
        <f>IFERROR(MATCH($AC$4&amp;"|16",TAHSILAT!$Q$7:$Q$1506,0),0)</f>
        <v/>
      </c>
      <c r="V268" s="3" t="n"/>
      <c r="W268" s="3" t="n"/>
      <c r="X268" s="3" t="n"/>
      <c r="Y268" s="3">
        <f>IFERROR(SMALL($T$12:$T$432,ROW()-11),"")</f>
        <v/>
      </c>
      <c r="Z268" s="3">
        <f>IFERROR(MATCH($Y268,$T$12:$T$432,0),"")</f>
        <v/>
      </c>
      <c r="AA268" s="3" t="n"/>
      <c r="AB268" s="3" t="n"/>
      <c r="AC268" s="3" t="n"/>
      <c r="AD268" s="3" t="n"/>
    </row>
    <row r="269">
      <c r="A269" s="6" t="n"/>
      <c r="B269" s="153">
        <f>IF($C269="","",ROW()-11)</f>
        <v/>
      </c>
      <c r="C269" s="240">
        <f>IF($Z269="","",IF(INDEX($N$12:$N$432,$Z269)="","",INDEX($N$12:$N$432,$Z269)))</f>
        <v/>
      </c>
      <c r="D269" s="29">
        <f>IF($C269="","",INDEX($O$12:$O$432,$Z269))</f>
        <v/>
      </c>
      <c r="E269" s="153">
        <f>IF($C269="","",INDEX($P$12:$P$432,$Z269))</f>
        <v/>
      </c>
      <c r="F269" s="241">
        <f>IF($C269="","",INDEX($R$12:$R$432,$Z269))</f>
        <v/>
      </c>
      <c r="G269" s="241">
        <f>IF($C269="","",INDEX($S$12:$S$432,$Z269))</f>
        <v/>
      </c>
      <c r="H269" s="241">
        <f>IF($C269="","",N($H268)+$F269-$G269)</f>
        <v/>
      </c>
      <c r="I269" s="6" t="n"/>
      <c r="J269" s="6" t="n"/>
      <c r="K269" s="3" t="n"/>
      <c r="L269" s="3" t="n"/>
      <c r="M269" s="3" t="n">
        <v>258</v>
      </c>
      <c r="N269" s="3">
        <f>IF($U269=0,"",INDEX(TAHSILAT!$E$7:$E$1506,$U269))</f>
        <v/>
      </c>
      <c r="O269" s="3">
        <f>IF($N269="","","Ödeme  –  "&amp;INDEX(TAHSILAT!$H$7:$H$1506,$U269)&amp;"  ("&amp;INDEX(TAHSILAT!$G$7:$G$1506,$U269)&amp;")"&amp;IF(INDEX(TAHSILAT!$J$7:$J$1506,$U269)="",""," / "&amp;INDEX(TAHSILAT!$J$7:$J$1506,$U269)))</f>
        <v/>
      </c>
      <c r="P269" s="3">
        <f>IF($N269="","","ÖDEME")</f>
        <v/>
      </c>
      <c r="Q269" s="3" t="n"/>
      <c r="R269" s="3" t="n">
        <v>0</v>
      </c>
      <c r="S269" s="3">
        <f>IF($N269="",0,INDEX(TAHSILAT!$F$7:$F$1506,$U269))</f>
        <v/>
      </c>
      <c r="T269" s="3">
        <f>IF($N269="",10000000000,$N269*100000+$M269)</f>
        <v/>
      </c>
      <c r="U269" s="3">
        <f>IFERROR(MATCH($AC$4&amp;"|17",TAHSILAT!$Q$7:$Q$1506,0),0)</f>
        <v/>
      </c>
      <c r="V269" s="3" t="n"/>
      <c r="W269" s="3" t="n"/>
      <c r="X269" s="3" t="n"/>
      <c r="Y269" s="3">
        <f>IFERROR(SMALL($T$12:$T$432,ROW()-11),"")</f>
        <v/>
      </c>
      <c r="Z269" s="3">
        <f>IFERROR(MATCH($Y269,$T$12:$T$432,0),"")</f>
        <v/>
      </c>
      <c r="AA269" s="3" t="n"/>
      <c r="AB269" s="3" t="n"/>
      <c r="AC269" s="3" t="n"/>
      <c r="AD269" s="3" t="n"/>
    </row>
    <row r="270">
      <c r="A270" s="6" t="n"/>
      <c r="B270" s="153">
        <f>IF($C270="","",ROW()-11)</f>
        <v/>
      </c>
      <c r="C270" s="240">
        <f>IF($Z270="","",IF(INDEX($N$12:$N$432,$Z270)="","",INDEX($N$12:$N$432,$Z270)))</f>
        <v/>
      </c>
      <c r="D270" s="29">
        <f>IF($C270="","",INDEX($O$12:$O$432,$Z270))</f>
        <v/>
      </c>
      <c r="E270" s="153">
        <f>IF($C270="","",INDEX($P$12:$P$432,$Z270))</f>
        <v/>
      </c>
      <c r="F270" s="241">
        <f>IF($C270="","",INDEX($R$12:$R$432,$Z270))</f>
        <v/>
      </c>
      <c r="G270" s="241">
        <f>IF($C270="","",INDEX($S$12:$S$432,$Z270))</f>
        <v/>
      </c>
      <c r="H270" s="241">
        <f>IF($C270="","",N($H269)+$F270-$G270)</f>
        <v/>
      </c>
      <c r="I270" s="6" t="n"/>
      <c r="J270" s="6" t="n"/>
      <c r="K270" s="3" t="n"/>
      <c r="L270" s="3" t="n"/>
      <c r="M270" s="3" t="n">
        <v>259</v>
      </c>
      <c r="N270" s="3">
        <f>IF($U270=0,"",INDEX(TAHSILAT!$E$7:$E$1506,$U270))</f>
        <v/>
      </c>
      <c r="O270" s="3">
        <f>IF($N270="","","Ödeme  –  "&amp;INDEX(TAHSILAT!$H$7:$H$1506,$U270)&amp;"  ("&amp;INDEX(TAHSILAT!$G$7:$G$1506,$U270)&amp;")"&amp;IF(INDEX(TAHSILAT!$J$7:$J$1506,$U270)="",""," / "&amp;INDEX(TAHSILAT!$J$7:$J$1506,$U270)))</f>
        <v/>
      </c>
      <c r="P270" s="3">
        <f>IF($N270="","","ÖDEME")</f>
        <v/>
      </c>
      <c r="Q270" s="3" t="n"/>
      <c r="R270" s="3" t="n">
        <v>0</v>
      </c>
      <c r="S270" s="3">
        <f>IF($N270="",0,INDEX(TAHSILAT!$F$7:$F$1506,$U270))</f>
        <v/>
      </c>
      <c r="T270" s="3">
        <f>IF($N270="",10000000000,$N270*100000+$M270)</f>
        <v/>
      </c>
      <c r="U270" s="3">
        <f>IFERROR(MATCH($AC$4&amp;"|18",TAHSILAT!$Q$7:$Q$1506,0),0)</f>
        <v/>
      </c>
      <c r="V270" s="3" t="n"/>
      <c r="W270" s="3" t="n"/>
      <c r="X270" s="3" t="n"/>
      <c r="Y270" s="3">
        <f>IFERROR(SMALL($T$12:$T$432,ROW()-11),"")</f>
        <v/>
      </c>
      <c r="Z270" s="3">
        <f>IFERROR(MATCH($Y270,$T$12:$T$432,0),"")</f>
        <v/>
      </c>
      <c r="AA270" s="3" t="n"/>
      <c r="AB270" s="3" t="n"/>
      <c r="AC270" s="3" t="n"/>
      <c r="AD270" s="3" t="n"/>
    </row>
    <row r="271">
      <c r="A271" s="6" t="n"/>
      <c r="B271" s="153">
        <f>IF($C271="","",ROW()-11)</f>
        <v/>
      </c>
      <c r="C271" s="240">
        <f>IF($Z271="","",IF(INDEX($N$12:$N$432,$Z271)="","",INDEX($N$12:$N$432,$Z271)))</f>
        <v/>
      </c>
      <c r="D271" s="29">
        <f>IF($C271="","",INDEX($O$12:$O$432,$Z271))</f>
        <v/>
      </c>
      <c r="E271" s="153">
        <f>IF($C271="","",INDEX($P$12:$P$432,$Z271))</f>
        <v/>
      </c>
      <c r="F271" s="241">
        <f>IF($C271="","",INDEX($R$12:$R$432,$Z271))</f>
        <v/>
      </c>
      <c r="G271" s="241">
        <f>IF($C271="","",INDEX($S$12:$S$432,$Z271))</f>
        <v/>
      </c>
      <c r="H271" s="241">
        <f>IF($C271="","",N($H270)+$F271-$G271)</f>
        <v/>
      </c>
      <c r="I271" s="6" t="n"/>
      <c r="J271" s="6" t="n"/>
      <c r="K271" s="3" t="n"/>
      <c r="L271" s="3" t="n"/>
      <c r="M271" s="3" t="n">
        <v>260</v>
      </c>
      <c r="N271" s="3">
        <f>IF($U271=0,"",INDEX(TAHSILAT!$E$7:$E$1506,$U271))</f>
        <v/>
      </c>
      <c r="O271" s="3">
        <f>IF($N271="","","Ödeme  –  "&amp;INDEX(TAHSILAT!$H$7:$H$1506,$U271)&amp;"  ("&amp;INDEX(TAHSILAT!$G$7:$G$1506,$U271)&amp;")"&amp;IF(INDEX(TAHSILAT!$J$7:$J$1506,$U271)="",""," / "&amp;INDEX(TAHSILAT!$J$7:$J$1506,$U271)))</f>
        <v/>
      </c>
      <c r="P271" s="3">
        <f>IF($N271="","","ÖDEME")</f>
        <v/>
      </c>
      <c r="Q271" s="3" t="n"/>
      <c r="R271" s="3" t="n">
        <v>0</v>
      </c>
      <c r="S271" s="3">
        <f>IF($N271="",0,INDEX(TAHSILAT!$F$7:$F$1506,$U271))</f>
        <v/>
      </c>
      <c r="T271" s="3">
        <f>IF($N271="",10000000000,$N271*100000+$M271)</f>
        <v/>
      </c>
      <c r="U271" s="3">
        <f>IFERROR(MATCH($AC$4&amp;"|19",TAHSILAT!$Q$7:$Q$1506,0),0)</f>
        <v/>
      </c>
      <c r="V271" s="3" t="n"/>
      <c r="W271" s="3" t="n"/>
      <c r="X271" s="3" t="n"/>
      <c r="Y271" s="3">
        <f>IFERROR(SMALL($T$12:$T$432,ROW()-11),"")</f>
        <v/>
      </c>
      <c r="Z271" s="3">
        <f>IFERROR(MATCH($Y271,$T$12:$T$432,0),"")</f>
        <v/>
      </c>
      <c r="AA271" s="3" t="n"/>
      <c r="AB271" s="3" t="n"/>
      <c r="AC271" s="3" t="n"/>
      <c r="AD271" s="3" t="n"/>
    </row>
    <row r="272">
      <c r="A272" s="6" t="n"/>
      <c r="B272" s="153">
        <f>IF($C272="","",ROW()-11)</f>
        <v/>
      </c>
      <c r="C272" s="240">
        <f>IF($Z272="","",IF(INDEX($N$12:$N$432,$Z272)="","",INDEX($N$12:$N$432,$Z272)))</f>
        <v/>
      </c>
      <c r="D272" s="29">
        <f>IF($C272="","",INDEX($O$12:$O$432,$Z272))</f>
        <v/>
      </c>
      <c r="E272" s="153">
        <f>IF($C272="","",INDEX($P$12:$P$432,$Z272))</f>
        <v/>
      </c>
      <c r="F272" s="241">
        <f>IF($C272="","",INDEX($R$12:$R$432,$Z272))</f>
        <v/>
      </c>
      <c r="G272" s="241">
        <f>IF($C272="","",INDEX($S$12:$S$432,$Z272))</f>
        <v/>
      </c>
      <c r="H272" s="241">
        <f>IF($C272="","",N($H271)+$F272-$G272)</f>
        <v/>
      </c>
      <c r="I272" s="6" t="n"/>
      <c r="J272" s="6" t="n"/>
      <c r="K272" s="3" t="n"/>
      <c r="L272" s="3" t="n"/>
      <c r="M272" s="3" t="n">
        <v>261</v>
      </c>
      <c r="N272" s="3">
        <f>IF($U272=0,"",INDEX(TAHSILAT!$E$7:$E$1506,$U272))</f>
        <v/>
      </c>
      <c r="O272" s="3">
        <f>IF($N272="","","Ödeme  –  "&amp;INDEX(TAHSILAT!$H$7:$H$1506,$U272)&amp;"  ("&amp;INDEX(TAHSILAT!$G$7:$G$1506,$U272)&amp;")"&amp;IF(INDEX(TAHSILAT!$J$7:$J$1506,$U272)="",""," / "&amp;INDEX(TAHSILAT!$J$7:$J$1506,$U272)))</f>
        <v/>
      </c>
      <c r="P272" s="3">
        <f>IF($N272="","","ÖDEME")</f>
        <v/>
      </c>
      <c r="Q272" s="3" t="n"/>
      <c r="R272" s="3" t="n">
        <v>0</v>
      </c>
      <c r="S272" s="3">
        <f>IF($N272="",0,INDEX(TAHSILAT!$F$7:$F$1506,$U272))</f>
        <v/>
      </c>
      <c r="T272" s="3">
        <f>IF($N272="",10000000000,$N272*100000+$M272)</f>
        <v/>
      </c>
      <c r="U272" s="3">
        <f>IFERROR(MATCH($AC$4&amp;"|20",TAHSILAT!$Q$7:$Q$1506,0),0)</f>
        <v/>
      </c>
      <c r="V272" s="3" t="n"/>
      <c r="W272" s="3" t="n"/>
      <c r="X272" s="3" t="n"/>
      <c r="Y272" s="3">
        <f>IFERROR(SMALL($T$12:$T$432,ROW()-11),"")</f>
        <v/>
      </c>
      <c r="Z272" s="3">
        <f>IFERROR(MATCH($Y272,$T$12:$T$432,0),"")</f>
        <v/>
      </c>
      <c r="AA272" s="3" t="n"/>
      <c r="AB272" s="3" t="n"/>
      <c r="AC272" s="3" t="n"/>
      <c r="AD272" s="3" t="n"/>
    </row>
    <row r="273">
      <c r="A273" s="6" t="n"/>
      <c r="B273" s="153">
        <f>IF($C273="","",ROW()-11)</f>
        <v/>
      </c>
      <c r="C273" s="240">
        <f>IF($Z273="","",IF(INDEX($N$12:$N$432,$Z273)="","",INDEX($N$12:$N$432,$Z273)))</f>
        <v/>
      </c>
      <c r="D273" s="29">
        <f>IF($C273="","",INDEX($O$12:$O$432,$Z273))</f>
        <v/>
      </c>
      <c r="E273" s="153">
        <f>IF($C273="","",INDEX($P$12:$P$432,$Z273))</f>
        <v/>
      </c>
      <c r="F273" s="241">
        <f>IF($C273="","",INDEX($R$12:$R$432,$Z273))</f>
        <v/>
      </c>
      <c r="G273" s="241">
        <f>IF($C273="","",INDEX($S$12:$S$432,$Z273))</f>
        <v/>
      </c>
      <c r="H273" s="241">
        <f>IF($C273="","",N($H272)+$F273-$G273)</f>
        <v/>
      </c>
      <c r="I273" s="6" t="n"/>
      <c r="J273" s="6" t="n"/>
      <c r="K273" s="3" t="n"/>
      <c r="L273" s="3" t="n"/>
      <c r="M273" s="3" t="n">
        <v>262</v>
      </c>
      <c r="N273" s="3">
        <f>IF($U273=0,"",INDEX(TAHSILAT!$E$7:$E$1506,$U273))</f>
        <v/>
      </c>
      <c r="O273" s="3">
        <f>IF($N273="","","Ödeme  –  "&amp;INDEX(TAHSILAT!$H$7:$H$1506,$U273)&amp;"  ("&amp;INDEX(TAHSILAT!$G$7:$G$1506,$U273)&amp;")"&amp;IF(INDEX(TAHSILAT!$J$7:$J$1506,$U273)="",""," / "&amp;INDEX(TAHSILAT!$J$7:$J$1506,$U273)))</f>
        <v/>
      </c>
      <c r="P273" s="3">
        <f>IF($N273="","","ÖDEME")</f>
        <v/>
      </c>
      <c r="Q273" s="3" t="n"/>
      <c r="R273" s="3" t="n">
        <v>0</v>
      </c>
      <c r="S273" s="3">
        <f>IF($N273="",0,INDEX(TAHSILAT!$F$7:$F$1506,$U273))</f>
        <v/>
      </c>
      <c r="T273" s="3">
        <f>IF($N273="",10000000000,$N273*100000+$M273)</f>
        <v/>
      </c>
      <c r="U273" s="3">
        <f>IFERROR(MATCH($AC$4&amp;"|21",TAHSILAT!$Q$7:$Q$1506,0),0)</f>
        <v/>
      </c>
      <c r="V273" s="3" t="n"/>
      <c r="W273" s="3" t="n"/>
      <c r="X273" s="3" t="n"/>
      <c r="Y273" s="3">
        <f>IFERROR(SMALL($T$12:$T$432,ROW()-11),"")</f>
        <v/>
      </c>
      <c r="Z273" s="3">
        <f>IFERROR(MATCH($Y273,$T$12:$T$432,0),"")</f>
        <v/>
      </c>
      <c r="AA273" s="3" t="n"/>
      <c r="AB273" s="3" t="n"/>
      <c r="AC273" s="3" t="n"/>
      <c r="AD273" s="3" t="n"/>
    </row>
    <row r="274">
      <c r="A274" s="6" t="n"/>
      <c r="B274" s="153">
        <f>IF($C274="","",ROW()-11)</f>
        <v/>
      </c>
      <c r="C274" s="240">
        <f>IF($Z274="","",IF(INDEX($N$12:$N$432,$Z274)="","",INDEX($N$12:$N$432,$Z274)))</f>
        <v/>
      </c>
      <c r="D274" s="29">
        <f>IF($C274="","",INDEX($O$12:$O$432,$Z274))</f>
        <v/>
      </c>
      <c r="E274" s="153">
        <f>IF($C274="","",INDEX($P$12:$P$432,$Z274))</f>
        <v/>
      </c>
      <c r="F274" s="241">
        <f>IF($C274="","",INDEX($R$12:$R$432,$Z274))</f>
        <v/>
      </c>
      <c r="G274" s="241">
        <f>IF($C274="","",INDEX($S$12:$S$432,$Z274))</f>
        <v/>
      </c>
      <c r="H274" s="241">
        <f>IF($C274="","",N($H273)+$F274-$G274)</f>
        <v/>
      </c>
      <c r="I274" s="6" t="n"/>
      <c r="J274" s="6" t="n"/>
      <c r="K274" s="3" t="n"/>
      <c r="L274" s="3" t="n"/>
      <c r="M274" s="3" t="n">
        <v>263</v>
      </c>
      <c r="N274" s="3">
        <f>IF($U274=0,"",INDEX(TAHSILAT!$E$7:$E$1506,$U274))</f>
        <v/>
      </c>
      <c r="O274" s="3">
        <f>IF($N274="","","Ödeme  –  "&amp;INDEX(TAHSILAT!$H$7:$H$1506,$U274)&amp;"  ("&amp;INDEX(TAHSILAT!$G$7:$G$1506,$U274)&amp;")"&amp;IF(INDEX(TAHSILAT!$J$7:$J$1506,$U274)="",""," / "&amp;INDEX(TAHSILAT!$J$7:$J$1506,$U274)))</f>
        <v/>
      </c>
      <c r="P274" s="3">
        <f>IF($N274="","","ÖDEME")</f>
        <v/>
      </c>
      <c r="Q274" s="3" t="n"/>
      <c r="R274" s="3" t="n">
        <v>0</v>
      </c>
      <c r="S274" s="3">
        <f>IF($N274="",0,INDEX(TAHSILAT!$F$7:$F$1506,$U274))</f>
        <v/>
      </c>
      <c r="T274" s="3">
        <f>IF($N274="",10000000000,$N274*100000+$M274)</f>
        <v/>
      </c>
      <c r="U274" s="3">
        <f>IFERROR(MATCH($AC$4&amp;"|22",TAHSILAT!$Q$7:$Q$1506,0),0)</f>
        <v/>
      </c>
      <c r="V274" s="3" t="n"/>
      <c r="W274" s="3" t="n"/>
      <c r="X274" s="3" t="n"/>
      <c r="Y274" s="3">
        <f>IFERROR(SMALL($T$12:$T$432,ROW()-11),"")</f>
        <v/>
      </c>
      <c r="Z274" s="3">
        <f>IFERROR(MATCH($Y274,$T$12:$T$432,0),"")</f>
        <v/>
      </c>
      <c r="AA274" s="3" t="n"/>
      <c r="AB274" s="3" t="n"/>
      <c r="AC274" s="3" t="n"/>
      <c r="AD274" s="3" t="n"/>
    </row>
    <row r="275">
      <c r="A275" s="6" t="n"/>
      <c r="B275" s="153">
        <f>IF($C275="","",ROW()-11)</f>
        <v/>
      </c>
      <c r="C275" s="240">
        <f>IF($Z275="","",IF(INDEX($N$12:$N$432,$Z275)="","",INDEX($N$12:$N$432,$Z275)))</f>
        <v/>
      </c>
      <c r="D275" s="29">
        <f>IF($C275="","",INDEX($O$12:$O$432,$Z275))</f>
        <v/>
      </c>
      <c r="E275" s="153">
        <f>IF($C275="","",INDEX($P$12:$P$432,$Z275))</f>
        <v/>
      </c>
      <c r="F275" s="241">
        <f>IF($C275="","",INDEX($R$12:$R$432,$Z275))</f>
        <v/>
      </c>
      <c r="G275" s="241">
        <f>IF($C275="","",INDEX($S$12:$S$432,$Z275))</f>
        <v/>
      </c>
      <c r="H275" s="241">
        <f>IF($C275="","",N($H274)+$F275-$G275)</f>
        <v/>
      </c>
      <c r="I275" s="6" t="n"/>
      <c r="J275" s="6" t="n"/>
      <c r="K275" s="3" t="n"/>
      <c r="L275" s="3" t="n"/>
      <c r="M275" s="3" t="n">
        <v>264</v>
      </c>
      <c r="N275" s="3">
        <f>IF($U275=0,"",INDEX(TAHSILAT!$E$7:$E$1506,$U275))</f>
        <v/>
      </c>
      <c r="O275" s="3">
        <f>IF($N275="","","Ödeme  –  "&amp;INDEX(TAHSILAT!$H$7:$H$1506,$U275)&amp;"  ("&amp;INDEX(TAHSILAT!$G$7:$G$1506,$U275)&amp;")"&amp;IF(INDEX(TAHSILAT!$J$7:$J$1506,$U275)="",""," / "&amp;INDEX(TAHSILAT!$J$7:$J$1506,$U275)))</f>
        <v/>
      </c>
      <c r="P275" s="3">
        <f>IF($N275="","","ÖDEME")</f>
        <v/>
      </c>
      <c r="Q275" s="3" t="n"/>
      <c r="R275" s="3" t="n">
        <v>0</v>
      </c>
      <c r="S275" s="3">
        <f>IF($N275="",0,INDEX(TAHSILAT!$F$7:$F$1506,$U275))</f>
        <v/>
      </c>
      <c r="T275" s="3">
        <f>IF($N275="",10000000000,$N275*100000+$M275)</f>
        <v/>
      </c>
      <c r="U275" s="3">
        <f>IFERROR(MATCH($AC$4&amp;"|23",TAHSILAT!$Q$7:$Q$1506,0),0)</f>
        <v/>
      </c>
      <c r="V275" s="3" t="n"/>
      <c r="W275" s="3" t="n"/>
      <c r="X275" s="3" t="n"/>
      <c r="Y275" s="3">
        <f>IFERROR(SMALL($T$12:$T$432,ROW()-11),"")</f>
        <v/>
      </c>
      <c r="Z275" s="3">
        <f>IFERROR(MATCH($Y275,$T$12:$T$432,0),"")</f>
        <v/>
      </c>
      <c r="AA275" s="3" t="n"/>
      <c r="AB275" s="3" t="n"/>
      <c r="AC275" s="3" t="n"/>
      <c r="AD275" s="3" t="n"/>
    </row>
    <row r="276">
      <c r="A276" s="6" t="n"/>
      <c r="B276" s="153">
        <f>IF($C276="","",ROW()-11)</f>
        <v/>
      </c>
      <c r="C276" s="240">
        <f>IF($Z276="","",IF(INDEX($N$12:$N$432,$Z276)="","",INDEX($N$12:$N$432,$Z276)))</f>
        <v/>
      </c>
      <c r="D276" s="29">
        <f>IF($C276="","",INDEX($O$12:$O$432,$Z276))</f>
        <v/>
      </c>
      <c r="E276" s="153">
        <f>IF($C276="","",INDEX($P$12:$P$432,$Z276))</f>
        <v/>
      </c>
      <c r="F276" s="241">
        <f>IF($C276="","",INDEX($R$12:$R$432,$Z276))</f>
        <v/>
      </c>
      <c r="G276" s="241">
        <f>IF($C276="","",INDEX($S$12:$S$432,$Z276))</f>
        <v/>
      </c>
      <c r="H276" s="241">
        <f>IF($C276="","",N($H275)+$F276-$G276)</f>
        <v/>
      </c>
      <c r="I276" s="6" t="n"/>
      <c r="J276" s="6" t="n"/>
      <c r="K276" s="3" t="n"/>
      <c r="L276" s="3" t="n"/>
      <c r="M276" s="3" t="n">
        <v>265</v>
      </c>
      <c r="N276" s="3">
        <f>IF($U276=0,"",INDEX(TAHSILAT!$E$7:$E$1506,$U276))</f>
        <v/>
      </c>
      <c r="O276" s="3">
        <f>IF($N276="","","Ödeme  –  "&amp;INDEX(TAHSILAT!$H$7:$H$1506,$U276)&amp;"  ("&amp;INDEX(TAHSILAT!$G$7:$G$1506,$U276)&amp;")"&amp;IF(INDEX(TAHSILAT!$J$7:$J$1506,$U276)="",""," / "&amp;INDEX(TAHSILAT!$J$7:$J$1506,$U276)))</f>
        <v/>
      </c>
      <c r="P276" s="3">
        <f>IF($N276="","","ÖDEME")</f>
        <v/>
      </c>
      <c r="Q276" s="3" t="n"/>
      <c r="R276" s="3" t="n">
        <v>0</v>
      </c>
      <c r="S276" s="3">
        <f>IF($N276="",0,INDEX(TAHSILAT!$F$7:$F$1506,$U276))</f>
        <v/>
      </c>
      <c r="T276" s="3">
        <f>IF($N276="",10000000000,$N276*100000+$M276)</f>
        <v/>
      </c>
      <c r="U276" s="3">
        <f>IFERROR(MATCH($AC$4&amp;"|24",TAHSILAT!$Q$7:$Q$1506,0),0)</f>
        <v/>
      </c>
      <c r="V276" s="3" t="n"/>
      <c r="W276" s="3" t="n"/>
      <c r="X276" s="3" t="n"/>
      <c r="Y276" s="3">
        <f>IFERROR(SMALL($T$12:$T$432,ROW()-11),"")</f>
        <v/>
      </c>
      <c r="Z276" s="3">
        <f>IFERROR(MATCH($Y276,$T$12:$T$432,0),"")</f>
        <v/>
      </c>
      <c r="AA276" s="3" t="n"/>
      <c r="AB276" s="3" t="n"/>
      <c r="AC276" s="3" t="n"/>
      <c r="AD276" s="3" t="n"/>
    </row>
    <row r="277">
      <c r="A277" s="6" t="n"/>
      <c r="B277" s="153">
        <f>IF($C277="","",ROW()-11)</f>
        <v/>
      </c>
      <c r="C277" s="240">
        <f>IF($Z277="","",IF(INDEX($N$12:$N$432,$Z277)="","",INDEX($N$12:$N$432,$Z277)))</f>
        <v/>
      </c>
      <c r="D277" s="29">
        <f>IF($C277="","",INDEX($O$12:$O$432,$Z277))</f>
        <v/>
      </c>
      <c r="E277" s="153">
        <f>IF($C277="","",INDEX($P$12:$P$432,$Z277))</f>
        <v/>
      </c>
      <c r="F277" s="241">
        <f>IF($C277="","",INDEX($R$12:$R$432,$Z277))</f>
        <v/>
      </c>
      <c r="G277" s="241">
        <f>IF($C277="","",INDEX($S$12:$S$432,$Z277))</f>
        <v/>
      </c>
      <c r="H277" s="241">
        <f>IF($C277="","",N($H276)+$F277-$G277)</f>
        <v/>
      </c>
      <c r="I277" s="6" t="n"/>
      <c r="J277" s="6" t="n"/>
      <c r="K277" s="3" t="n"/>
      <c r="L277" s="3" t="n"/>
      <c r="M277" s="3" t="n">
        <v>266</v>
      </c>
      <c r="N277" s="3">
        <f>IF($U277=0,"",INDEX(TAHSILAT!$E$7:$E$1506,$U277))</f>
        <v/>
      </c>
      <c r="O277" s="3">
        <f>IF($N277="","","Ödeme  –  "&amp;INDEX(TAHSILAT!$H$7:$H$1506,$U277)&amp;"  ("&amp;INDEX(TAHSILAT!$G$7:$G$1506,$U277)&amp;")"&amp;IF(INDEX(TAHSILAT!$J$7:$J$1506,$U277)="",""," / "&amp;INDEX(TAHSILAT!$J$7:$J$1506,$U277)))</f>
        <v/>
      </c>
      <c r="P277" s="3">
        <f>IF($N277="","","ÖDEME")</f>
        <v/>
      </c>
      <c r="Q277" s="3" t="n"/>
      <c r="R277" s="3" t="n">
        <v>0</v>
      </c>
      <c r="S277" s="3">
        <f>IF($N277="",0,INDEX(TAHSILAT!$F$7:$F$1506,$U277))</f>
        <v/>
      </c>
      <c r="T277" s="3">
        <f>IF($N277="",10000000000,$N277*100000+$M277)</f>
        <v/>
      </c>
      <c r="U277" s="3">
        <f>IFERROR(MATCH($AC$4&amp;"|25",TAHSILAT!$Q$7:$Q$1506,0),0)</f>
        <v/>
      </c>
      <c r="V277" s="3" t="n"/>
      <c r="W277" s="3" t="n"/>
      <c r="X277" s="3" t="n"/>
      <c r="Y277" s="3">
        <f>IFERROR(SMALL($T$12:$T$432,ROW()-11),"")</f>
        <v/>
      </c>
      <c r="Z277" s="3">
        <f>IFERROR(MATCH($Y277,$T$12:$T$432,0),"")</f>
        <v/>
      </c>
      <c r="AA277" s="3" t="n"/>
      <c r="AB277" s="3" t="n"/>
      <c r="AC277" s="3" t="n"/>
      <c r="AD277" s="3" t="n"/>
    </row>
    <row r="278">
      <c r="A278" s="6" t="n"/>
      <c r="B278" s="153">
        <f>IF($C278="","",ROW()-11)</f>
        <v/>
      </c>
      <c r="C278" s="240">
        <f>IF($Z278="","",IF(INDEX($N$12:$N$432,$Z278)="","",INDEX($N$12:$N$432,$Z278)))</f>
        <v/>
      </c>
      <c r="D278" s="29">
        <f>IF($C278="","",INDEX($O$12:$O$432,$Z278))</f>
        <v/>
      </c>
      <c r="E278" s="153">
        <f>IF($C278="","",INDEX($P$12:$P$432,$Z278))</f>
        <v/>
      </c>
      <c r="F278" s="241">
        <f>IF($C278="","",INDEX($R$12:$R$432,$Z278))</f>
        <v/>
      </c>
      <c r="G278" s="241">
        <f>IF($C278="","",INDEX($S$12:$S$432,$Z278))</f>
        <v/>
      </c>
      <c r="H278" s="241">
        <f>IF($C278="","",N($H277)+$F278-$G278)</f>
        <v/>
      </c>
      <c r="I278" s="6" t="n"/>
      <c r="J278" s="6" t="n"/>
      <c r="K278" s="3" t="n"/>
      <c r="L278" s="3" t="n"/>
      <c r="M278" s="3" t="n">
        <v>267</v>
      </c>
      <c r="N278" s="3">
        <f>IF($U278=0,"",INDEX(TAHSILAT!$E$7:$E$1506,$U278))</f>
        <v/>
      </c>
      <c r="O278" s="3">
        <f>IF($N278="","","Ödeme  –  "&amp;INDEX(TAHSILAT!$H$7:$H$1506,$U278)&amp;"  ("&amp;INDEX(TAHSILAT!$G$7:$G$1506,$U278)&amp;")"&amp;IF(INDEX(TAHSILAT!$J$7:$J$1506,$U278)="",""," / "&amp;INDEX(TAHSILAT!$J$7:$J$1506,$U278)))</f>
        <v/>
      </c>
      <c r="P278" s="3">
        <f>IF($N278="","","ÖDEME")</f>
        <v/>
      </c>
      <c r="Q278" s="3" t="n"/>
      <c r="R278" s="3" t="n">
        <v>0</v>
      </c>
      <c r="S278" s="3">
        <f>IF($N278="",0,INDEX(TAHSILAT!$F$7:$F$1506,$U278))</f>
        <v/>
      </c>
      <c r="T278" s="3">
        <f>IF($N278="",10000000000,$N278*100000+$M278)</f>
        <v/>
      </c>
      <c r="U278" s="3">
        <f>IFERROR(MATCH($AC$4&amp;"|26",TAHSILAT!$Q$7:$Q$1506,0),0)</f>
        <v/>
      </c>
      <c r="V278" s="3" t="n"/>
      <c r="W278" s="3" t="n"/>
      <c r="X278" s="3" t="n"/>
      <c r="Y278" s="3">
        <f>IFERROR(SMALL($T$12:$T$432,ROW()-11),"")</f>
        <v/>
      </c>
      <c r="Z278" s="3">
        <f>IFERROR(MATCH($Y278,$T$12:$T$432,0),"")</f>
        <v/>
      </c>
      <c r="AA278" s="3" t="n"/>
      <c r="AB278" s="3" t="n"/>
      <c r="AC278" s="3" t="n"/>
      <c r="AD278" s="3" t="n"/>
    </row>
    <row r="279">
      <c r="A279" s="6" t="n"/>
      <c r="B279" s="153">
        <f>IF($C279="","",ROW()-11)</f>
        <v/>
      </c>
      <c r="C279" s="240">
        <f>IF($Z279="","",IF(INDEX($N$12:$N$432,$Z279)="","",INDEX($N$12:$N$432,$Z279)))</f>
        <v/>
      </c>
      <c r="D279" s="29">
        <f>IF($C279="","",INDEX($O$12:$O$432,$Z279))</f>
        <v/>
      </c>
      <c r="E279" s="153">
        <f>IF($C279="","",INDEX($P$12:$P$432,$Z279))</f>
        <v/>
      </c>
      <c r="F279" s="241">
        <f>IF($C279="","",INDEX($R$12:$R$432,$Z279))</f>
        <v/>
      </c>
      <c r="G279" s="241">
        <f>IF($C279="","",INDEX($S$12:$S$432,$Z279))</f>
        <v/>
      </c>
      <c r="H279" s="241">
        <f>IF($C279="","",N($H278)+$F279-$G279)</f>
        <v/>
      </c>
      <c r="I279" s="6" t="n"/>
      <c r="J279" s="6" t="n"/>
      <c r="K279" s="3" t="n"/>
      <c r="L279" s="3" t="n"/>
      <c r="M279" s="3" t="n">
        <v>268</v>
      </c>
      <c r="N279" s="3">
        <f>IF($U279=0,"",INDEX(TAHSILAT!$E$7:$E$1506,$U279))</f>
        <v/>
      </c>
      <c r="O279" s="3">
        <f>IF($N279="","","Ödeme  –  "&amp;INDEX(TAHSILAT!$H$7:$H$1506,$U279)&amp;"  ("&amp;INDEX(TAHSILAT!$G$7:$G$1506,$U279)&amp;")"&amp;IF(INDEX(TAHSILAT!$J$7:$J$1506,$U279)="",""," / "&amp;INDEX(TAHSILAT!$J$7:$J$1506,$U279)))</f>
        <v/>
      </c>
      <c r="P279" s="3">
        <f>IF($N279="","","ÖDEME")</f>
        <v/>
      </c>
      <c r="Q279" s="3" t="n"/>
      <c r="R279" s="3" t="n">
        <v>0</v>
      </c>
      <c r="S279" s="3">
        <f>IF($N279="",0,INDEX(TAHSILAT!$F$7:$F$1506,$U279))</f>
        <v/>
      </c>
      <c r="T279" s="3">
        <f>IF($N279="",10000000000,$N279*100000+$M279)</f>
        <v/>
      </c>
      <c r="U279" s="3">
        <f>IFERROR(MATCH($AC$4&amp;"|27",TAHSILAT!$Q$7:$Q$1506,0),0)</f>
        <v/>
      </c>
      <c r="V279" s="3" t="n"/>
      <c r="W279" s="3" t="n"/>
      <c r="X279" s="3" t="n"/>
      <c r="Y279" s="3">
        <f>IFERROR(SMALL($T$12:$T$432,ROW()-11),"")</f>
        <v/>
      </c>
      <c r="Z279" s="3">
        <f>IFERROR(MATCH($Y279,$T$12:$T$432,0),"")</f>
        <v/>
      </c>
      <c r="AA279" s="3" t="n"/>
      <c r="AB279" s="3" t="n"/>
      <c r="AC279" s="3" t="n"/>
      <c r="AD279" s="3" t="n"/>
    </row>
    <row r="280">
      <c r="A280" s="6" t="n"/>
      <c r="B280" s="153">
        <f>IF($C280="","",ROW()-11)</f>
        <v/>
      </c>
      <c r="C280" s="240">
        <f>IF($Z280="","",IF(INDEX($N$12:$N$432,$Z280)="","",INDEX($N$12:$N$432,$Z280)))</f>
        <v/>
      </c>
      <c r="D280" s="29">
        <f>IF($C280="","",INDEX($O$12:$O$432,$Z280))</f>
        <v/>
      </c>
      <c r="E280" s="153">
        <f>IF($C280="","",INDEX($P$12:$P$432,$Z280))</f>
        <v/>
      </c>
      <c r="F280" s="241">
        <f>IF($C280="","",INDEX($R$12:$R$432,$Z280))</f>
        <v/>
      </c>
      <c r="G280" s="241">
        <f>IF($C280="","",INDEX($S$12:$S$432,$Z280))</f>
        <v/>
      </c>
      <c r="H280" s="241">
        <f>IF($C280="","",N($H279)+$F280-$G280)</f>
        <v/>
      </c>
      <c r="I280" s="6" t="n"/>
      <c r="J280" s="6" t="n"/>
      <c r="K280" s="3" t="n"/>
      <c r="L280" s="3" t="n"/>
      <c r="M280" s="3" t="n">
        <v>269</v>
      </c>
      <c r="N280" s="3">
        <f>IF($U280=0,"",INDEX(TAHSILAT!$E$7:$E$1506,$U280))</f>
        <v/>
      </c>
      <c r="O280" s="3">
        <f>IF($N280="","","Ödeme  –  "&amp;INDEX(TAHSILAT!$H$7:$H$1506,$U280)&amp;"  ("&amp;INDEX(TAHSILAT!$G$7:$G$1506,$U280)&amp;")"&amp;IF(INDEX(TAHSILAT!$J$7:$J$1506,$U280)="",""," / "&amp;INDEX(TAHSILAT!$J$7:$J$1506,$U280)))</f>
        <v/>
      </c>
      <c r="P280" s="3">
        <f>IF($N280="","","ÖDEME")</f>
        <v/>
      </c>
      <c r="Q280" s="3" t="n"/>
      <c r="R280" s="3" t="n">
        <v>0</v>
      </c>
      <c r="S280" s="3">
        <f>IF($N280="",0,INDEX(TAHSILAT!$F$7:$F$1506,$U280))</f>
        <v/>
      </c>
      <c r="T280" s="3">
        <f>IF($N280="",10000000000,$N280*100000+$M280)</f>
        <v/>
      </c>
      <c r="U280" s="3">
        <f>IFERROR(MATCH($AC$4&amp;"|28",TAHSILAT!$Q$7:$Q$1506,0),0)</f>
        <v/>
      </c>
      <c r="V280" s="3" t="n"/>
      <c r="W280" s="3" t="n"/>
      <c r="X280" s="3" t="n"/>
      <c r="Y280" s="3">
        <f>IFERROR(SMALL($T$12:$T$432,ROW()-11),"")</f>
        <v/>
      </c>
      <c r="Z280" s="3">
        <f>IFERROR(MATCH($Y280,$T$12:$T$432,0),"")</f>
        <v/>
      </c>
      <c r="AA280" s="3" t="n"/>
      <c r="AB280" s="3" t="n"/>
      <c r="AC280" s="3" t="n"/>
      <c r="AD280" s="3" t="n"/>
    </row>
    <row r="281">
      <c r="A281" s="6" t="n"/>
      <c r="B281" s="153">
        <f>IF($C281="","",ROW()-11)</f>
        <v/>
      </c>
      <c r="C281" s="240">
        <f>IF($Z281="","",IF(INDEX($N$12:$N$432,$Z281)="","",INDEX($N$12:$N$432,$Z281)))</f>
        <v/>
      </c>
      <c r="D281" s="29">
        <f>IF($C281="","",INDEX($O$12:$O$432,$Z281))</f>
        <v/>
      </c>
      <c r="E281" s="153">
        <f>IF($C281="","",INDEX($P$12:$P$432,$Z281))</f>
        <v/>
      </c>
      <c r="F281" s="241">
        <f>IF($C281="","",INDEX($R$12:$R$432,$Z281))</f>
        <v/>
      </c>
      <c r="G281" s="241">
        <f>IF($C281="","",INDEX($S$12:$S$432,$Z281))</f>
        <v/>
      </c>
      <c r="H281" s="241">
        <f>IF($C281="","",N($H280)+$F281-$G281)</f>
        <v/>
      </c>
      <c r="I281" s="6" t="n"/>
      <c r="J281" s="6" t="n"/>
      <c r="K281" s="3" t="n"/>
      <c r="L281" s="3" t="n"/>
      <c r="M281" s="3" t="n">
        <v>270</v>
      </c>
      <c r="N281" s="3">
        <f>IF($U281=0,"",INDEX(TAHSILAT!$E$7:$E$1506,$U281))</f>
        <v/>
      </c>
      <c r="O281" s="3">
        <f>IF($N281="","","Ödeme  –  "&amp;INDEX(TAHSILAT!$H$7:$H$1506,$U281)&amp;"  ("&amp;INDEX(TAHSILAT!$G$7:$G$1506,$U281)&amp;")"&amp;IF(INDEX(TAHSILAT!$J$7:$J$1506,$U281)="",""," / "&amp;INDEX(TAHSILAT!$J$7:$J$1506,$U281)))</f>
        <v/>
      </c>
      <c r="P281" s="3">
        <f>IF($N281="","","ÖDEME")</f>
        <v/>
      </c>
      <c r="Q281" s="3" t="n"/>
      <c r="R281" s="3" t="n">
        <v>0</v>
      </c>
      <c r="S281" s="3">
        <f>IF($N281="",0,INDEX(TAHSILAT!$F$7:$F$1506,$U281))</f>
        <v/>
      </c>
      <c r="T281" s="3">
        <f>IF($N281="",10000000000,$N281*100000+$M281)</f>
        <v/>
      </c>
      <c r="U281" s="3">
        <f>IFERROR(MATCH($AC$4&amp;"|29",TAHSILAT!$Q$7:$Q$1506,0),0)</f>
        <v/>
      </c>
      <c r="V281" s="3" t="n"/>
      <c r="W281" s="3" t="n"/>
      <c r="X281" s="3" t="n"/>
      <c r="Y281" s="3">
        <f>IFERROR(SMALL($T$12:$T$432,ROW()-11),"")</f>
        <v/>
      </c>
      <c r="Z281" s="3">
        <f>IFERROR(MATCH($Y281,$T$12:$T$432,0),"")</f>
        <v/>
      </c>
      <c r="AA281" s="3" t="n"/>
      <c r="AB281" s="3" t="n"/>
      <c r="AC281" s="3" t="n"/>
      <c r="AD281" s="3" t="n"/>
    </row>
    <row r="282">
      <c r="A282" s="6" t="n"/>
      <c r="B282" s="153">
        <f>IF($C282="","",ROW()-11)</f>
        <v/>
      </c>
      <c r="C282" s="240">
        <f>IF($Z282="","",IF(INDEX($N$12:$N$432,$Z282)="","",INDEX($N$12:$N$432,$Z282)))</f>
        <v/>
      </c>
      <c r="D282" s="29">
        <f>IF($C282="","",INDEX($O$12:$O$432,$Z282))</f>
        <v/>
      </c>
      <c r="E282" s="153">
        <f>IF($C282="","",INDEX($P$12:$P$432,$Z282))</f>
        <v/>
      </c>
      <c r="F282" s="241">
        <f>IF($C282="","",INDEX($R$12:$R$432,$Z282))</f>
        <v/>
      </c>
      <c r="G282" s="241">
        <f>IF($C282="","",INDEX($S$12:$S$432,$Z282))</f>
        <v/>
      </c>
      <c r="H282" s="241">
        <f>IF($C282="","",N($H281)+$F282-$G282)</f>
        <v/>
      </c>
      <c r="I282" s="6" t="n"/>
      <c r="J282" s="6" t="n"/>
      <c r="K282" s="3" t="n"/>
      <c r="L282" s="3" t="n"/>
      <c r="M282" s="3" t="n">
        <v>271</v>
      </c>
      <c r="N282" s="3">
        <f>IF($U282=0,"",INDEX(TAHSILAT!$E$7:$E$1506,$U282))</f>
        <v/>
      </c>
      <c r="O282" s="3">
        <f>IF($N282="","","Ödeme  –  "&amp;INDEX(TAHSILAT!$H$7:$H$1506,$U282)&amp;"  ("&amp;INDEX(TAHSILAT!$G$7:$G$1506,$U282)&amp;")"&amp;IF(INDEX(TAHSILAT!$J$7:$J$1506,$U282)="",""," / "&amp;INDEX(TAHSILAT!$J$7:$J$1506,$U282)))</f>
        <v/>
      </c>
      <c r="P282" s="3">
        <f>IF($N282="","","ÖDEME")</f>
        <v/>
      </c>
      <c r="Q282" s="3" t="n"/>
      <c r="R282" s="3" t="n">
        <v>0</v>
      </c>
      <c r="S282" s="3">
        <f>IF($N282="",0,INDEX(TAHSILAT!$F$7:$F$1506,$U282))</f>
        <v/>
      </c>
      <c r="T282" s="3">
        <f>IF($N282="",10000000000,$N282*100000+$M282)</f>
        <v/>
      </c>
      <c r="U282" s="3">
        <f>IFERROR(MATCH($AC$4&amp;"|30",TAHSILAT!$Q$7:$Q$1506,0),0)</f>
        <v/>
      </c>
      <c r="V282" s="3" t="n"/>
      <c r="W282" s="3" t="n"/>
      <c r="X282" s="3" t="n"/>
      <c r="Y282" s="3">
        <f>IFERROR(SMALL($T$12:$T$432,ROW()-11),"")</f>
        <v/>
      </c>
      <c r="Z282" s="3">
        <f>IFERROR(MATCH($Y282,$T$12:$T$432,0),"")</f>
        <v/>
      </c>
      <c r="AA282" s="3" t="n"/>
      <c r="AB282" s="3" t="n"/>
      <c r="AC282" s="3" t="n"/>
      <c r="AD282" s="3" t="n"/>
    </row>
    <row r="283">
      <c r="A283" s="6" t="n"/>
      <c r="B283" s="153">
        <f>IF($C283="","",ROW()-11)</f>
        <v/>
      </c>
      <c r="C283" s="240">
        <f>IF($Z283="","",IF(INDEX($N$12:$N$432,$Z283)="","",INDEX($N$12:$N$432,$Z283)))</f>
        <v/>
      </c>
      <c r="D283" s="29">
        <f>IF($C283="","",INDEX($O$12:$O$432,$Z283))</f>
        <v/>
      </c>
      <c r="E283" s="153">
        <f>IF($C283="","",INDEX($P$12:$P$432,$Z283))</f>
        <v/>
      </c>
      <c r="F283" s="241">
        <f>IF($C283="","",INDEX($R$12:$R$432,$Z283))</f>
        <v/>
      </c>
      <c r="G283" s="241">
        <f>IF($C283="","",INDEX($S$12:$S$432,$Z283))</f>
        <v/>
      </c>
      <c r="H283" s="241">
        <f>IF($C283="","",N($H282)+$F283-$G283)</f>
        <v/>
      </c>
      <c r="I283" s="6" t="n"/>
      <c r="J283" s="6" t="n"/>
      <c r="K283" s="3" t="n"/>
      <c r="L283" s="3" t="n"/>
      <c r="M283" s="3" t="n">
        <v>272</v>
      </c>
      <c r="N283" s="3">
        <f>IF($U283=0,"",INDEX(TAHSILAT!$E$7:$E$1506,$U283))</f>
        <v/>
      </c>
      <c r="O283" s="3">
        <f>IF($N283="","","Ödeme  –  "&amp;INDEX(TAHSILAT!$H$7:$H$1506,$U283)&amp;"  ("&amp;INDEX(TAHSILAT!$G$7:$G$1506,$U283)&amp;")"&amp;IF(INDEX(TAHSILAT!$J$7:$J$1506,$U283)="",""," / "&amp;INDEX(TAHSILAT!$J$7:$J$1506,$U283)))</f>
        <v/>
      </c>
      <c r="P283" s="3">
        <f>IF($N283="","","ÖDEME")</f>
        <v/>
      </c>
      <c r="Q283" s="3" t="n"/>
      <c r="R283" s="3" t="n">
        <v>0</v>
      </c>
      <c r="S283" s="3">
        <f>IF($N283="",0,INDEX(TAHSILAT!$F$7:$F$1506,$U283))</f>
        <v/>
      </c>
      <c r="T283" s="3">
        <f>IF($N283="",10000000000,$N283*100000+$M283)</f>
        <v/>
      </c>
      <c r="U283" s="3">
        <f>IFERROR(MATCH($AC$4&amp;"|31",TAHSILAT!$Q$7:$Q$1506,0),0)</f>
        <v/>
      </c>
      <c r="V283" s="3" t="n"/>
      <c r="W283" s="3" t="n"/>
      <c r="X283" s="3" t="n"/>
      <c r="Y283" s="3">
        <f>IFERROR(SMALL($T$12:$T$432,ROW()-11),"")</f>
        <v/>
      </c>
      <c r="Z283" s="3">
        <f>IFERROR(MATCH($Y283,$T$12:$T$432,0),"")</f>
        <v/>
      </c>
      <c r="AA283" s="3" t="n"/>
      <c r="AB283" s="3" t="n"/>
      <c r="AC283" s="3" t="n"/>
      <c r="AD283" s="3" t="n"/>
    </row>
    <row r="284">
      <c r="A284" s="6" t="n"/>
      <c r="B284" s="153">
        <f>IF($C284="","",ROW()-11)</f>
        <v/>
      </c>
      <c r="C284" s="240">
        <f>IF($Z284="","",IF(INDEX($N$12:$N$432,$Z284)="","",INDEX($N$12:$N$432,$Z284)))</f>
        <v/>
      </c>
      <c r="D284" s="29">
        <f>IF($C284="","",INDEX($O$12:$O$432,$Z284))</f>
        <v/>
      </c>
      <c r="E284" s="153">
        <f>IF($C284="","",INDEX($P$12:$P$432,$Z284))</f>
        <v/>
      </c>
      <c r="F284" s="241">
        <f>IF($C284="","",INDEX($R$12:$R$432,$Z284))</f>
        <v/>
      </c>
      <c r="G284" s="241">
        <f>IF($C284="","",INDEX($S$12:$S$432,$Z284))</f>
        <v/>
      </c>
      <c r="H284" s="241">
        <f>IF($C284="","",N($H283)+$F284-$G284)</f>
        <v/>
      </c>
      <c r="I284" s="6" t="n"/>
      <c r="J284" s="6" t="n"/>
      <c r="K284" s="3" t="n"/>
      <c r="L284" s="3" t="n"/>
      <c r="M284" s="3" t="n">
        <v>273</v>
      </c>
      <c r="N284" s="3">
        <f>IF($U284=0,"",INDEX(TAHSILAT!$E$7:$E$1506,$U284))</f>
        <v/>
      </c>
      <c r="O284" s="3">
        <f>IF($N284="","","Ödeme  –  "&amp;INDEX(TAHSILAT!$H$7:$H$1506,$U284)&amp;"  ("&amp;INDEX(TAHSILAT!$G$7:$G$1506,$U284)&amp;")"&amp;IF(INDEX(TAHSILAT!$J$7:$J$1506,$U284)="",""," / "&amp;INDEX(TAHSILAT!$J$7:$J$1506,$U284)))</f>
        <v/>
      </c>
      <c r="P284" s="3">
        <f>IF($N284="","","ÖDEME")</f>
        <v/>
      </c>
      <c r="Q284" s="3" t="n"/>
      <c r="R284" s="3" t="n">
        <v>0</v>
      </c>
      <c r="S284" s="3">
        <f>IF($N284="",0,INDEX(TAHSILAT!$F$7:$F$1506,$U284))</f>
        <v/>
      </c>
      <c r="T284" s="3">
        <f>IF($N284="",10000000000,$N284*100000+$M284)</f>
        <v/>
      </c>
      <c r="U284" s="3">
        <f>IFERROR(MATCH($AC$4&amp;"|32",TAHSILAT!$Q$7:$Q$1506,0),0)</f>
        <v/>
      </c>
      <c r="V284" s="3" t="n"/>
      <c r="W284" s="3" t="n"/>
      <c r="X284" s="3" t="n"/>
      <c r="Y284" s="3">
        <f>IFERROR(SMALL($T$12:$T$432,ROW()-11),"")</f>
        <v/>
      </c>
      <c r="Z284" s="3">
        <f>IFERROR(MATCH($Y284,$T$12:$T$432,0),"")</f>
        <v/>
      </c>
      <c r="AA284" s="3" t="n"/>
      <c r="AB284" s="3" t="n"/>
      <c r="AC284" s="3" t="n"/>
      <c r="AD284" s="3" t="n"/>
    </row>
    <row r="285">
      <c r="A285" s="6" t="n"/>
      <c r="B285" s="153">
        <f>IF($C285="","",ROW()-11)</f>
        <v/>
      </c>
      <c r="C285" s="240">
        <f>IF($Z285="","",IF(INDEX($N$12:$N$432,$Z285)="","",INDEX($N$12:$N$432,$Z285)))</f>
        <v/>
      </c>
      <c r="D285" s="29">
        <f>IF($C285="","",INDEX($O$12:$O$432,$Z285))</f>
        <v/>
      </c>
      <c r="E285" s="153">
        <f>IF($C285="","",INDEX($P$12:$P$432,$Z285))</f>
        <v/>
      </c>
      <c r="F285" s="241">
        <f>IF($C285="","",INDEX($R$12:$R$432,$Z285))</f>
        <v/>
      </c>
      <c r="G285" s="241">
        <f>IF($C285="","",INDEX($S$12:$S$432,$Z285))</f>
        <v/>
      </c>
      <c r="H285" s="241">
        <f>IF($C285="","",N($H284)+$F285-$G285)</f>
        <v/>
      </c>
      <c r="I285" s="6" t="n"/>
      <c r="J285" s="6" t="n"/>
      <c r="K285" s="3" t="n"/>
      <c r="L285" s="3" t="n"/>
      <c r="M285" s="3" t="n">
        <v>274</v>
      </c>
      <c r="N285" s="3">
        <f>IF($U285=0,"",INDEX(TAHSILAT!$E$7:$E$1506,$U285))</f>
        <v/>
      </c>
      <c r="O285" s="3">
        <f>IF($N285="","","Ödeme  –  "&amp;INDEX(TAHSILAT!$H$7:$H$1506,$U285)&amp;"  ("&amp;INDEX(TAHSILAT!$G$7:$G$1506,$U285)&amp;")"&amp;IF(INDEX(TAHSILAT!$J$7:$J$1506,$U285)="",""," / "&amp;INDEX(TAHSILAT!$J$7:$J$1506,$U285)))</f>
        <v/>
      </c>
      <c r="P285" s="3">
        <f>IF($N285="","","ÖDEME")</f>
        <v/>
      </c>
      <c r="Q285" s="3" t="n"/>
      <c r="R285" s="3" t="n">
        <v>0</v>
      </c>
      <c r="S285" s="3">
        <f>IF($N285="",0,INDEX(TAHSILAT!$F$7:$F$1506,$U285))</f>
        <v/>
      </c>
      <c r="T285" s="3">
        <f>IF($N285="",10000000000,$N285*100000+$M285)</f>
        <v/>
      </c>
      <c r="U285" s="3">
        <f>IFERROR(MATCH($AC$4&amp;"|33",TAHSILAT!$Q$7:$Q$1506,0),0)</f>
        <v/>
      </c>
      <c r="V285" s="3" t="n"/>
      <c r="W285" s="3" t="n"/>
      <c r="X285" s="3" t="n"/>
      <c r="Y285" s="3">
        <f>IFERROR(SMALL($T$12:$T$432,ROW()-11),"")</f>
        <v/>
      </c>
      <c r="Z285" s="3">
        <f>IFERROR(MATCH($Y285,$T$12:$T$432,0),"")</f>
        <v/>
      </c>
      <c r="AA285" s="3" t="n"/>
      <c r="AB285" s="3" t="n"/>
      <c r="AC285" s="3" t="n"/>
      <c r="AD285" s="3" t="n"/>
    </row>
    <row r="286">
      <c r="A286" s="6" t="n"/>
      <c r="B286" s="153">
        <f>IF($C286="","",ROW()-11)</f>
        <v/>
      </c>
      <c r="C286" s="240">
        <f>IF($Z286="","",IF(INDEX($N$12:$N$432,$Z286)="","",INDEX($N$12:$N$432,$Z286)))</f>
        <v/>
      </c>
      <c r="D286" s="29">
        <f>IF($C286="","",INDEX($O$12:$O$432,$Z286))</f>
        <v/>
      </c>
      <c r="E286" s="153">
        <f>IF($C286="","",INDEX($P$12:$P$432,$Z286))</f>
        <v/>
      </c>
      <c r="F286" s="241">
        <f>IF($C286="","",INDEX($R$12:$R$432,$Z286))</f>
        <v/>
      </c>
      <c r="G286" s="241">
        <f>IF($C286="","",INDEX($S$12:$S$432,$Z286))</f>
        <v/>
      </c>
      <c r="H286" s="241">
        <f>IF($C286="","",N($H285)+$F286-$G286)</f>
        <v/>
      </c>
      <c r="I286" s="6" t="n"/>
      <c r="J286" s="6" t="n"/>
      <c r="K286" s="3" t="n"/>
      <c r="L286" s="3" t="n"/>
      <c r="M286" s="3" t="n">
        <v>275</v>
      </c>
      <c r="N286" s="3">
        <f>IF($U286=0,"",INDEX(TAHSILAT!$E$7:$E$1506,$U286))</f>
        <v/>
      </c>
      <c r="O286" s="3">
        <f>IF($N286="","","Ödeme  –  "&amp;INDEX(TAHSILAT!$H$7:$H$1506,$U286)&amp;"  ("&amp;INDEX(TAHSILAT!$G$7:$G$1506,$U286)&amp;")"&amp;IF(INDEX(TAHSILAT!$J$7:$J$1506,$U286)="",""," / "&amp;INDEX(TAHSILAT!$J$7:$J$1506,$U286)))</f>
        <v/>
      </c>
      <c r="P286" s="3">
        <f>IF($N286="","","ÖDEME")</f>
        <v/>
      </c>
      <c r="Q286" s="3" t="n"/>
      <c r="R286" s="3" t="n">
        <v>0</v>
      </c>
      <c r="S286" s="3">
        <f>IF($N286="",0,INDEX(TAHSILAT!$F$7:$F$1506,$U286))</f>
        <v/>
      </c>
      <c r="T286" s="3">
        <f>IF($N286="",10000000000,$N286*100000+$M286)</f>
        <v/>
      </c>
      <c r="U286" s="3">
        <f>IFERROR(MATCH($AC$4&amp;"|34",TAHSILAT!$Q$7:$Q$1506,0),0)</f>
        <v/>
      </c>
      <c r="V286" s="3" t="n"/>
      <c r="W286" s="3" t="n"/>
      <c r="X286" s="3" t="n"/>
      <c r="Y286" s="3">
        <f>IFERROR(SMALL($T$12:$T$432,ROW()-11),"")</f>
        <v/>
      </c>
      <c r="Z286" s="3">
        <f>IFERROR(MATCH($Y286,$T$12:$T$432,0),"")</f>
        <v/>
      </c>
      <c r="AA286" s="3" t="n"/>
      <c r="AB286" s="3" t="n"/>
      <c r="AC286" s="3" t="n"/>
      <c r="AD286" s="3" t="n"/>
    </row>
    <row r="287">
      <c r="A287" s="6" t="n"/>
      <c r="B287" s="153">
        <f>IF($C287="","",ROW()-11)</f>
        <v/>
      </c>
      <c r="C287" s="240">
        <f>IF($Z287="","",IF(INDEX($N$12:$N$432,$Z287)="","",INDEX($N$12:$N$432,$Z287)))</f>
        <v/>
      </c>
      <c r="D287" s="29">
        <f>IF($C287="","",INDEX($O$12:$O$432,$Z287))</f>
        <v/>
      </c>
      <c r="E287" s="153">
        <f>IF($C287="","",INDEX($P$12:$P$432,$Z287))</f>
        <v/>
      </c>
      <c r="F287" s="241">
        <f>IF($C287="","",INDEX($R$12:$R$432,$Z287))</f>
        <v/>
      </c>
      <c r="G287" s="241">
        <f>IF($C287="","",INDEX($S$12:$S$432,$Z287))</f>
        <v/>
      </c>
      <c r="H287" s="241">
        <f>IF($C287="","",N($H286)+$F287-$G287)</f>
        <v/>
      </c>
      <c r="I287" s="6" t="n"/>
      <c r="J287" s="6" t="n"/>
      <c r="K287" s="3" t="n"/>
      <c r="L287" s="3" t="n"/>
      <c r="M287" s="3" t="n">
        <v>276</v>
      </c>
      <c r="N287" s="3">
        <f>IF($U287=0,"",INDEX(TAHSILAT!$E$7:$E$1506,$U287))</f>
        <v/>
      </c>
      <c r="O287" s="3">
        <f>IF($N287="","","Ödeme  –  "&amp;INDEX(TAHSILAT!$H$7:$H$1506,$U287)&amp;"  ("&amp;INDEX(TAHSILAT!$G$7:$G$1506,$U287)&amp;")"&amp;IF(INDEX(TAHSILAT!$J$7:$J$1506,$U287)="",""," / "&amp;INDEX(TAHSILAT!$J$7:$J$1506,$U287)))</f>
        <v/>
      </c>
      <c r="P287" s="3">
        <f>IF($N287="","","ÖDEME")</f>
        <v/>
      </c>
      <c r="Q287" s="3" t="n"/>
      <c r="R287" s="3" t="n">
        <v>0</v>
      </c>
      <c r="S287" s="3">
        <f>IF($N287="",0,INDEX(TAHSILAT!$F$7:$F$1506,$U287))</f>
        <v/>
      </c>
      <c r="T287" s="3">
        <f>IF($N287="",10000000000,$N287*100000+$M287)</f>
        <v/>
      </c>
      <c r="U287" s="3">
        <f>IFERROR(MATCH($AC$4&amp;"|35",TAHSILAT!$Q$7:$Q$1506,0),0)</f>
        <v/>
      </c>
      <c r="V287" s="3" t="n"/>
      <c r="W287" s="3" t="n"/>
      <c r="X287" s="3" t="n"/>
      <c r="Y287" s="3">
        <f>IFERROR(SMALL($T$12:$T$432,ROW()-11),"")</f>
        <v/>
      </c>
      <c r="Z287" s="3">
        <f>IFERROR(MATCH($Y287,$T$12:$T$432,0),"")</f>
        <v/>
      </c>
      <c r="AA287" s="3" t="n"/>
      <c r="AB287" s="3" t="n"/>
      <c r="AC287" s="3" t="n"/>
      <c r="AD287" s="3" t="n"/>
    </row>
    <row r="288">
      <c r="A288" s="6" t="n"/>
      <c r="B288" s="153">
        <f>IF($C288="","",ROW()-11)</f>
        <v/>
      </c>
      <c r="C288" s="240">
        <f>IF($Z288="","",IF(INDEX($N$12:$N$432,$Z288)="","",INDEX($N$12:$N$432,$Z288)))</f>
        <v/>
      </c>
      <c r="D288" s="29">
        <f>IF($C288="","",INDEX($O$12:$O$432,$Z288))</f>
        <v/>
      </c>
      <c r="E288" s="153">
        <f>IF($C288="","",INDEX($P$12:$P$432,$Z288))</f>
        <v/>
      </c>
      <c r="F288" s="241">
        <f>IF($C288="","",INDEX($R$12:$R$432,$Z288))</f>
        <v/>
      </c>
      <c r="G288" s="241">
        <f>IF($C288="","",INDEX($S$12:$S$432,$Z288))</f>
        <v/>
      </c>
      <c r="H288" s="241">
        <f>IF($C288="","",N($H287)+$F288-$G288)</f>
        <v/>
      </c>
      <c r="I288" s="6" t="n"/>
      <c r="J288" s="6" t="n"/>
      <c r="K288" s="3" t="n"/>
      <c r="L288" s="3" t="n"/>
      <c r="M288" s="3" t="n">
        <v>277</v>
      </c>
      <c r="N288" s="3">
        <f>IF($U288=0,"",INDEX(TAHSILAT!$E$7:$E$1506,$U288))</f>
        <v/>
      </c>
      <c r="O288" s="3">
        <f>IF($N288="","","Ödeme  –  "&amp;INDEX(TAHSILAT!$H$7:$H$1506,$U288)&amp;"  ("&amp;INDEX(TAHSILAT!$G$7:$G$1506,$U288)&amp;")"&amp;IF(INDEX(TAHSILAT!$J$7:$J$1506,$U288)="",""," / "&amp;INDEX(TAHSILAT!$J$7:$J$1506,$U288)))</f>
        <v/>
      </c>
      <c r="P288" s="3">
        <f>IF($N288="","","ÖDEME")</f>
        <v/>
      </c>
      <c r="Q288" s="3" t="n"/>
      <c r="R288" s="3" t="n">
        <v>0</v>
      </c>
      <c r="S288" s="3">
        <f>IF($N288="",0,INDEX(TAHSILAT!$F$7:$F$1506,$U288))</f>
        <v/>
      </c>
      <c r="T288" s="3">
        <f>IF($N288="",10000000000,$N288*100000+$M288)</f>
        <v/>
      </c>
      <c r="U288" s="3">
        <f>IFERROR(MATCH($AC$4&amp;"|36",TAHSILAT!$Q$7:$Q$1506,0),0)</f>
        <v/>
      </c>
      <c r="V288" s="3" t="n"/>
      <c r="W288" s="3" t="n"/>
      <c r="X288" s="3" t="n"/>
      <c r="Y288" s="3">
        <f>IFERROR(SMALL($T$12:$T$432,ROW()-11),"")</f>
        <v/>
      </c>
      <c r="Z288" s="3">
        <f>IFERROR(MATCH($Y288,$T$12:$T$432,0),"")</f>
        <v/>
      </c>
      <c r="AA288" s="3" t="n"/>
      <c r="AB288" s="3" t="n"/>
      <c r="AC288" s="3" t="n"/>
      <c r="AD288" s="3" t="n"/>
    </row>
    <row r="289">
      <c r="A289" s="6" t="n"/>
      <c r="B289" s="153">
        <f>IF($C289="","",ROW()-11)</f>
        <v/>
      </c>
      <c r="C289" s="240">
        <f>IF($Z289="","",IF(INDEX($N$12:$N$432,$Z289)="","",INDEX($N$12:$N$432,$Z289)))</f>
        <v/>
      </c>
      <c r="D289" s="29">
        <f>IF($C289="","",INDEX($O$12:$O$432,$Z289))</f>
        <v/>
      </c>
      <c r="E289" s="153">
        <f>IF($C289="","",INDEX($P$12:$P$432,$Z289))</f>
        <v/>
      </c>
      <c r="F289" s="241">
        <f>IF($C289="","",INDEX($R$12:$R$432,$Z289))</f>
        <v/>
      </c>
      <c r="G289" s="241">
        <f>IF($C289="","",INDEX($S$12:$S$432,$Z289))</f>
        <v/>
      </c>
      <c r="H289" s="241">
        <f>IF($C289="","",N($H288)+$F289-$G289)</f>
        <v/>
      </c>
      <c r="I289" s="6" t="n"/>
      <c r="J289" s="6" t="n"/>
      <c r="K289" s="3" t="n"/>
      <c r="L289" s="3" t="n"/>
      <c r="M289" s="3" t="n">
        <v>278</v>
      </c>
      <c r="N289" s="3">
        <f>IF($U289=0,"",INDEX(TAHSILAT!$E$7:$E$1506,$U289))</f>
        <v/>
      </c>
      <c r="O289" s="3">
        <f>IF($N289="","","Ödeme  –  "&amp;INDEX(TAHSILAT!$H$7:$H$1506,$U289)&amp;"  ("&amp;INDEX(TAHSILAT!$G$7:$G$1506,$U289)&amp;")"&amp;IF(INDEX(TAHSILAT!$J$7:$J$1506,$U289)="",""," / "&amp;INDEX(TAHSILAT!$J$7:$J$1506,$U289)))</f>
        <v/>
      </c>
      <c r="P289" s="3">
        <f>IF($N289="","","ÖDEME")</f>
        <v/>
      </c>
      <c r="Q289" s="3" t="n"/>
      <c r="R289" s="3" t="n">
        <v>0</v>
      </c>
      <c r="S289" s="3">
        <f>IF($N289="",0,INDEX(TAHSILAT!$F$7:$F$1506,$U289))</f>
        <v/>
      </c>
      <c r="T289" s="3">
        <f>IF($N289="",10000000000,$N289*100000+$M289)</f>
        <v/>
      </c>
      <c r="U289" s="3">
        <f>IFERROR(MATCH($AC$4&amp;"|37",TAHSILAT!$Q$7:$Q$1506,0),0)</f>
        <v/>
      </c>
      <c r="V289" s="3" t="n"/>
      <c r="W289" s="3" t="n"/>
      <c r="X289" s="3" t="n"/>
      <c r="Y289" s="3">
        <f>IFERROR(SMALL($T$12:$T$432,ROW()-11),"")</f>
        <v/>
      </c>
      <c r="Z289" s="3">
        <f>IFERROR(MATCH($Y289,$T$12:$T$432,0),"")</f>
        <v/>
      </c>
      <c r="AA289" s="3" t="n"/>
      <c r="AB289" s="3" t="n"/>
      <c r="AC289" s="3" t="n"/>
      <c r="AD289" s="3" t="n"/>
    </row>
    <row r="290">
      <c r="A290" s="6" t="n"/>
      <c r="B290" s="153">
        <f>IF($C290="","",ROW()-11)</f>
        <v/>
      </c>
      <c r="C290" s="240">
        <f>IF($Z290="","",IF(INDEX($N$12:$N$432,$Z290)="","",INDEX($N$12:$N$432,$Z290)))</f>
        <v/>
      </c>
      <c r="D290" s="29">
        <f>IF($C290="","",INDEX($O$12:$O$432,$Z290))</f>
        <v/>
      </c>
      <c r="E290" s="153">
        <f>IF($C290="","",INDEX($P$12:$P$432,$Z290))</f>
        <v/>
      </c>
      <c r="F290" s="241">
        <f>IF($C290="","",INDEX($R$12:$R$432,$Z290))</f>
        <v/>
      </c>
      <c r="G290" s="241">
        <f>IF($C290="","",INDEX($S$12:$S$432,$Z290))</f>
        <v/>
      </c>
      <c r="H290" s="241">
        <f>IF($C290="","",N($H289)+$F290-$G290)</f>
        <v/>
      </c>
      <c r="I290" s="6" t="n"/>
      <c r="J290" s="6" t="n"/>
      <c r="K290" s="3" t="n"/>
      <c r="L290" s="3" t="n"/>
      <c r="M290" s="3" t="n">
        <v>279</v>
      </c>
      <c r="N290" s="3">
        <f>IF($U290=0,"",INDEX(TAHSILAT!$E$7:$E$1506,$U290))</f>
        <v/>
      </c>
      <c r="O290" s="3">
        <f>IF($N290="","","Ödeme  –  "&amp;INDEX(TAHSILAT!$H$7:$H$1506,$U290)&amp;"  ("&amp;INDEX(TAHSILAT!$G$7:$G$1506,$U290)&amp;")"&amp;IF(INDEX(TAHSILAT!$J$7:$J$1506,$U290)="",""," / "&amp;INDEX(TAHSILAT!$J$7:$J$1506,$U290)))</f>
        <v/>
      </c>
      <c r="P290" s="3">
        <f>IF($N290="","","ÖDEME")</f>
        <v/>
      </c>
      <c r="Q290" s="3" t="n"/>
      <c r="R290" s="3" t="n">
        <v>0</v>
      </c>
      <c r="S290" s="3">
        <f>IF($N290="",0,INDEX(TAHSILAT!$F$7:$F$1506,$U290))</f>
        <v/>
      </c>
      <c r="T290" s="3">
        <f>IF($N290="",10000000000,$N290*100000+$M290)</f>
        <v/>
      </c>
      <c r="U290" s="3">
        <f>IFERROR(MATCH($AC$4&amp;"|38",TAHSILAT!$Q$7:$Q$1506,0),0)</f>
        <v/>
      </c>
      <c r="V290" s="3" t="n"/>
      <c r="W290" s="3" t="n"/>
      <c r="X290" s="3" t="n"/>
      <c r="Y290" s="3">
        <f>IFERROR(SMALL($T$12:$T$432,ROW()-11),"")</f>
        <v/>
      </c>
      <c r="Z290" s="3">
        <f>IFERROR(MATCH($Y290,$T$12:$T$432,0),"")</f>
        <v/>
      </c>
      <c r="AA290" s="3" t="n"/>
      <c r="AB290" s="3" t="n"/>
      <c r="AC290" s="3" t="n"/>
      <c r="AD290" s="3" t="n"/>
    </row>
    <row r="291">
      <c r="A291" s="6" t="n"/>
      <c r="B291" s="153">
        <f>IF($C291="","",ROW()-11)</f>
        <v/>
      </c>
      <c r="C291" s="240">
        <f>IF($Z291="","",IF(INDEX($N$12:$N$432,$Z291)="","",INDEX($N$12:$N$432,$Z291)))</f>
        <v/>
      </c>
      <c r="D291" s="29">
        <f>IF($C291="","",INDEX($O$12:$O$432,$Z291))</f>
        <v/>
      </c>
      <c r="E291" s="153">
        <f>IF($C291="","",INDEX($P$12:$P$432,$Z291))</f>
        <v/>
      </c>
      <c r="F291" s="241">
        <f>IF($C291="","",INDEX($R$12:$R$432,$Z291))</f>
        <v/>
      </c>
      <c r="G291" s="241">
        <f>IF($C291="","",INDEX($S$12:$S$432,$Z291))</f>
        <v/>
      </c>
      <c r="H291" s="241">
        <f>IF($C291="","",N($H290)+$F291-$G291)</f>
        <v/>
      </c>
      <c r="I291" s="6" t="n"/>
      <c r="J291" s="6" t="n"/>
      <c r="K291" s="3" t="n"/>
      <c r="L291" s="3" t="n"/>
      <c r="M291" s="3" t="n">
        <v>280</v>
      </c>
      <c r="N291" s="3">
        <f>IF($U291=0,"",INDEX(TAHSILAT!$E$7:$E$1506,$U291))</f>
        <v/>
      </c>
      <c r="O291" s="3">
        <f>IF($N291="","","Ödeme  –  "&amp;INDEX(TAHSILAT!$H$7:$H$1506,$U291)&amp;"  ("&amp;INDEX(TAHSILAT!$G$7:$G$1506,$U291)&amp;")"&amp;IF(INDEX(TAHSILAT!$J$7:$J$1506,$U291)="",""," / "&amp;INDEX(TAHSILAT!$J$7:$J$1506,$U291)))</f>
        <v/>
      </c>
      <c r="P291" s="3">
        <f>IF($N291="","","ÖDEME")</f>
        <v/>
      </c>
      <c r="Q291" s="3" t="n"/>
      <c r="R291" s="3" t="n">
        <v>0</v>
      </c>
      <c r="S291" s="3">
        <f>IF($N291="",0,INDEX(TAHSILAT!$F$7:$F$1506,$U291))</f>
        <v/>
      </c>
      <c r="T291" s="3">
        <f>IF($N291="",10000000000,$N291*100000+$M291)</f>
        <v/>
      </c>
      <c r="U291" s="3">
        <f>IFERROR(MATCH($AC$4&amp;"|39",TAHSILAT!$Q$7:$Q$1506,0),0)</f>
        <v/>
      </c>
      <c r="V291" s="3" t="n"/>
      <c r="W291" s="3" t="n"/>
      <c r="X291" s="3" t="n"/>
      <c r="Y291" s="3">
        <f>IFERROR(SMALL($T$12:$T$432,ROW()-11),"")</f>
        <v/>
      </c>
      <c r="Z291" s="3">
        <f>IFERROR(MATCH($Y291,$T$12:$T$432,0),"")</f>
        <v/>
      </c>
      <c r="AA291" s="3" t="n"/>
      <c r="AB291" s="3" t="n"/>
      <c r="AC291" s="3" t="n"/>
      <c r="AD291" s="3" t="n"/>
    </row>
    <row r="292">
      <c r="A292" s="6" t="n"/>
      <c r="B292" s="153">
        <f>IF($C292="","",ROW()-11)</f>
        <v/>
      </c>
      <c r="C292" s="240">
        <f>IF($Z292="","",IF(INDEX($N$12:$N$432,$Z292)="","",INDEX($N$12:$N$432,$Z292)))</f>
        <v/>
      </c>
      <c r="D292" s="29">
        <f>IF($C292="","",INDEX($O$12:$O$432,$Z292))</f>
        <v/>
      </c>
      <c r="E292" s="153">
        <f>IF($C292="","",INDEX($P$12:$P$432,$Z292))</f>
        <v/>
      </c>
      <c r="F292" s="241">
        <f>IF($C292="","",INDEX($R$12:$R$432,$Z292))</f>
        <v/>
      </c>
      <c r="G292" s="241">
        <f>IF($C292="","",INDEX($S$12:$S$432,$Z292))</f>
        <v/>
      </c>
      <c r="H292" s="241">
        <f>IF($C292="","",N($H291)+$F292-$G292)</f>
        <v/>
      </c>
      <c r="I292" s="6" t="n"/>
      <c r="J292" s="6" t="n"/>
      <c r="K292" s="3" t="n"/>
      <c r="L292" s="3" t="n"/>
      <c r="M292" s="3" t="n">
        <v>281</v>
      </c>
      <c r="N292" s="3">
        <f>IF($U292=0,"",INDEX(TAHSILAT!$E$7:$E$1506,$U292))</f>
        <v/>
      </c>
      <c r="O292" s="3">
        <f>IF($N292="","","Ödeme  –  "&amp;INDEX(TAHSILAT!$H$7:$H$1506,$U292)&amp;"  ("&amp;INDEX(TAHSILAT!$G$7:$G$1506,$U292)&amp;")"&amp;IF(INDEX(TAHSILAT!$J$7:$J$1506,$U292)="",""," / "&amp;INDEX(TAHSILAT!$J$7:$J$1506,$U292)))</f>
        <v/>
      </c>
      <c r="P292" s="3">
        <f>IF($N292="","","ÖDEME")</f>
        <v/>
      </c>
      <c r="Q292" s="3" t="n"/>
      <c r="R292" s="3" t="n">
        <v>0</v>
      </c>
      <c r="S292" s="3">
        <f>IF($N292="",0,INDEX(TAHSILAT!$F$7:$F$1506,$U292))</f>
        <v/>
      </c>
      <c r="T292" s="3">
        <f>IF($N292="",10000000000,$N292*100000+$M292)</f>
        <v/>
      </c>
      <c r="U292" s="3">
        <f>IFERROR(MATCH($AC$4&amp;"|40",TAHSILAT!$Q$7:$Q$1506,0),0)</f>
        <v/>
      </c>
      <c r="V292" s="3" t="n"/>
      <c r="W292" s="3" t="n"/>
      <c r="X292" s="3" t="n"/>
      <c r="Y292" s="3">
        <f>IFERROR(SMALL($T$12:$T$432,ROW()-11),"")</f>
        <v/>
      </c>
      <c r="Z292" s="3">
        <f>IFERROR(MATCH($Y292,$T$12:$T$432,0),"")</f>
        <v/>
      </c>
      <c r="AA292" s="3" t="n"/>
      <c r="AB292" s="3" t="n"/>
      <c r="AC292" s="3" t="n"/>
      <c r="AD292" s="3" t="n"/>
    </row>
    <row r="293">
      <c r="A293" s="6" t="n"/>
      <c r="B293" s="153">
        <f>IF($C293="","",ROW()-11)</f>
        <v/>
      </c>
      <c r="C293" s="240">
        <f>IF($Z293="","",IF(INDEX($N$12:$N$432,$Z293)="","",INDEX($N$12:$N$432,$Z293)))</f>
        <v/>
      </c>
      <c r="D293" s="29">
        <f>IF($C293="","",INDEX($O$12:$O$432,$Z293))</f>
        <v/>
      </c>
      <c r="E293" s="153">
        <f>IF($C293="","",INDEX($P$12:$P$432,$Z293))</f>
        <v/>
      </c>
      <c r="F293" s="241">
        <f>IF($C293="","",INDEX($R$12:$R$432,$Z293))</f>
        <v/>
      </c>
      <c r="G293" s="241">
        <f>IF($C293="","",INDEX($S$12:$S$432,$Z293))</f>
        <v/>
      </c>
      <c r="H293" s="241">
        <f>IF($C293="","",N($H292)+$F293-$G293)</f>
        <v/>
      </c>
      <c r="I293" s="6" t="n"/>
      <c r="J293" s="6" t="n"/>
      <c r="K293" s="3" t="n"/>
      <c r="L293" s="3" t="n"/>
      <c r="M293" s="3" t="n">
        <v>282</v>
      </c>
      <c r="N293" s="3">
        <f>IF($U293=0,"",INDEX(TAHSILAT!$E$7:$E$1506,$U293))</f>
        <v/>
      </c>
      <c r="O293" s="3">
        <f>IF($N293="","","Ödeme  –  "&amp;INDEX(TAHSILAT!$H$7:$H$1506,$U293)&amp;"  ("&amp;INDEX(TAHSILAT!$G$7:$G$1506,$U293)&amp;")"&amp;IF(INDEX(TAHSILAT!$J$7:$J$1506,$U293)="",""," / "&amp;INDEX(TAHSILAT!$J$7:$J$1506,$U293)))</f>
        <v/>
      </c>
      <c r="P293" s="3">
        <f>IF($N293="","","ÖDEME")</f>
        <v/>
      </c>
      <c r="Q293" s="3" t="n"/>
      <c r="R293" s="3" t="n">
        <v>0</v>
      </c>
      <c r="S293" s="3">
        <f>IF($N293="",0,INDEX(TAHSILAT!$F$7:$F$1506,$U293))</f>
        <v/>
      </c>
      <c r="T293" s="3">
        <f>IF($N293="",10000000000,$N293*100000+$M293)</f>
        <v/>
      </c>
      <c r="U293" s="3">
        <f>IFERROR(MATCH($AC$4&amp;"|41",TAHSILAT!$Q$7:$Q$1506,0),0)</f>
        <v/>
      </c>
      <c r="V293" s="3" t="n"/>
      <c r="W293" s="3" t="n"/>
      <c r="X293" s="3" t="n"/>
      <c r="Y293" s="3">
        <f>IFERROR(SMALL($T$12:$T$432,ROW()-11),"")</f>
        <v/>
      </c>
      <c r="Z293" s="3">
        <f>IFERROR(MATCH($Y293,$T$12:$T$432,0),"")</f>
        <v/>
      </c>
      <c r="AA293" s="3" t="n"/>
      <c r="AB293" s="3" t="n"/>
      <c r="AC293" s="3" t="n"/>
      <c r="AD293" s="3" t="n"/>
    </row>
    <row r="294">
      <c r="A294" s="6" t="n"/>
      <c r="B294" s="153">
        <f>IF($C294="","",ROW()-11)</f>
        <v/>
      </c>
      <c r="C294" s="240">
        <f>IF($Z294="","",IF(INDEX($N$12:$N$432,$Z294)="","",INDEX($N$12:$N$432,$Z294)))</f>
        <v/>
      </c>
      <c r="D294" s="29">
        <f>IF($C294="","",INDEX($O$12:$O$432,$Z294))</f>
        <v/>
      </c>
      <c r="E294" s="153">
        <f>IF($C294="","",INDEX($P$12:$P$432,$Z294))</f>
        <v/>
      </c>
      <c r="F294" s="241">
        <f>IF($C294="","",INDEX($R$12:$R$432,$Z294))</f>
        <v/>
      </c>
      <c r="G294" s="241">
        <f>IF($C294="","",INDEX($S$12:$S$432,$Z294))</f>
        <v/>
      </c>
      <c r="H294" s="241">
        <f>IF($C294="","",N($H293)+$F294-$G294)</f>
        <v/>
      </c>
      <c r="I294" s="6" t="n"/>
      <c r="J294" s="6" t="n"/>
      <c r="K294" s="3" t="n"/>
      <c r="L294" s="3" t="n"/>
      <c r="M294" s="3" t="n">
        <v>283</v>
      </c>
      <c r="N294" s="3">
        <f>IF($U294=0,"",INDEX(TAHSILAT!$E$7:$E$1506,$U294))</f>
        <v/>
      </c>
      <c r="O294" s="3">
        <f>IF($N294="","","Ödeme  –  "&amp;INDEX(TAHSILAT!$H$7:$H$1506,$U294)&amp;"  ("&amp;INDEX(TAHSILAT!$G$7:$G$1506,$U294)&amp;")"&amp;IF(INDEX(TAHSILAT!$J$7:$J$1506,$U294)="",""," / "&amp;INDEX(TAHSILAT!$J$7:$J$1506,$U294)))</f>
        <v/>
      </c>
      <c r="P294" s="3">
        <f>IF($N294="","","ÖDEME")</f>
        <v/>
      </c>
      <c r="Q294" s="3" t="n"/>
      <c r="R294" s="3" t="n">
        <v>0</v>
      </c>
      <c r="S294" s="3">
        <f>IF($N294="",0,INDEX(TAHSILAT!$F$7:$F$1506,$U294))</f>
        <v/>
      </c>
      <c r="T294" s="3">
        <f>IF($N294="",10000000000,$N294*100000+$M294)</f>
        <v/>
      </c>
      <c r="U294" s="3">
        <f>IFERROR(MATCH($AC$4&amp;"|42",TAHSILAT!$Q$7:$Q$1506,0),0)</f>
        <v/>
      </c>
      <c r="V294" s="3" t="n"/>
      <c r="W294" s="3" t="n"/>
      <c r="X294" s="3" t="n"/>
      <c r="Y294" s="3">
        <f>IFERROR(SMALL($T$12:$T$432,ROW()-11),"")</f>
        <v/>
      </c>
      <c r="Z294" s="3">
        <f>IFERROR(MATCH($Y294,$T$12:$T$432,0),"")</f>
        <v/>
      </c>
      <c r="AA294" s="3" t="n"/>
      <c r="AB294" s="3" t="n"/>
      <c r="AC294" s="3" t="n"/>
      <c r="AD294" s="3" t="n"/>
    </row>
    <row r="295">
      <c r="A295" s="6" t="n"/>
      <c r="B295" s="153">
        <f>IF($C295="","",ROW()-11)</f>
        <v/>
      </c>
      <c r="C295" s="240">
        <f>IF($Z295="","",IF(INDEX($N$12:$N$432,$Z295)="","",INDEX($N$12:$N$432,$Z295)))</f>
        <v/>
      </c>
      <c r="D295" s="29">
        <f>IF($C295="","",INDEX($O$12:$O$432,$Z295))</f>
        <v/>
      </c>
      <c r="E295" s="153">
        <f>IF($C295="","",INDEX($P$12:$P$432,$Z295))</f>
        <v/>
      </c>
      <c r="F295" s="241">
        <f>IF($C295="","",INDEX($R$12:$R$432,$Z295))</f>
        <v/>
      </c>
      <c r="G295" s="241">
        <f>IF($C295="","",INDEX($S$12:$S$432,$Z295))</f>
        <v/>
      </c>
      <c r="H295" s="241">
        <f>IF($C295="","",N($H294)+$F295-$G295)</f>
        <v/>
      </c>
      <c r="I295" s="6" t="n"/>
      <c r="J295" s="6" t="n"/>
      <c r="K295" s="3" t="n"/>
      <c r="L295" s="3" t="n"/>
      <c r="M295" s="3" t="n">
        <v>284</v>
      </c>
      <c r="N295" s="3">
        <f>IF($U295=0,"",INDEX(TAHSILAT!$E$7:$E$1506,$U295))</f>
        <v/>
      </c>
      <c r="O295" s="3">
        <f>IF($N295="","","Ödeme  –  "&amp;INDEX(TAHSILAT!$H$7:$H$1506,$U295)&amp;"  ("&amp;INDEX(TAHSILAT!$G$7:$G$1506,$U295)&amp;")"&amp;IF(INDEX(TAHSILAT!$J$7:$J$1506,$U295)="",""," / "&amp;INDEX(TAHSILAT!$J$7:$J$1506,$U295)))</f>
        <v/>
      </c>
      <c r="P295" s="3">
        <f>IF($N295="","","ÖDEME")</f>
        <v/>
      </c>
      <c r="Q295" s="3" t="n"/>
      <c r="R295" s="3" t="n">
        <v>0</v>
      </c>
      <c r="S295" s="3">
        <f>IF($N295="",0,INDEX(TAHSILAT!$F$7:$F$1506,$U295))</f>
        <v/>
      </c>
      <c r="T295" s="3">
        <f>IF($N295="",10000000000,$N295*100000+$M295)</f>
        <v/>
      </c>
      <c r="U295" s="3">
        <f>IFERROR(MATCH($AC$4&amp;"|43",TAHSILAT!$Q$7:$Q$1506,0),0)</f>
        <v/>
      </c>
      <c r="V295" s="3" t="n"/>
      <c r="W295" s="3" t="n"/>
      <c r="X295" s="3" t="n"/>
      <c r="Y295" s="3">
        <f>IFERROR(SMALL($T$12:$T$432,ROW()-11),"")</f>
        <v/>
      </c>
      <c r="Z295" s="3">
        <f>IFERROR(MATCH($Y295,$T$12:$T$432,0),"")</f>
        <v/>
      </c>
      <c r="AA295" s="3" t="n"/>
      <c r="AB295" s="3" t="n"/>
      <c r="AC295" s="3" t="n"/>
      <c r="AD295" s="3" t="n"/>
    </row>
    <row r="296">
      <c r="A296" s="6" t="n"/>
      <c r="B296" s="153">
        <f>IF($C296="","",ROW()-11)</f>
        <v/>
      </c>
      <c r="C296" s="240">
        <f>IF($Z296="","",IF(INDEX($N$12:$N$432,$Z296)="","",INDEX($N$12:$N$432,$Z296)))</f>
        <v/>
      </c>
      <c r="D296" s="29">
        <f>IF($C296="","",INDEX($O$12:$O$432,$Z296))</f>
        <v/>
      </c>
      <c r="E296" s="153">
        <f>IF($C296="","",INDEX($P$12:$P$432,$Z296))</f>
        <v/>
      </c>
      <c r="F296" s="241">
        <f>IF($C296="","",INDEX($R$12:$R$432,$Z296))</f>
        <v/>
      </c>
      <c r="G296" s="241">
        <f>IF($C296="","",INDEX($S$12:$S$432,$Z296))</f>
        <v/>
      </c>
      <c r="H296" s="241">
        <f>IF($C296="","",N($H295)+$F296-$G296)</f>
        <v/>
      </c>
      <c r="I296" s="6" t="n"/>
      <c r="J296" s="6" t="n"/>
      <c r="K296" s="3" t="n"/>
      <c r="L296" s="3" t="n"/>
      <c r="M296" s="3" t="n">
        <v>285</v>
      </c>
      <c r="N296" s="3">
        <f>IF($U296=0,"",INDEX(TAHSILAT!$E$7:$E$1506,$U296))</f>
        <v/>
      </c>
      <c r="O296" s="3">
        <f>IF($N296="","","Ödeme  –  "&amp;INDEX(TAHSILAT!$H$7:$H$1506,$U296)&amp;"  ("&amp;INDEX(TAHSILAT!$G$7:$G$1506,$U296)&amp;")"&amp;IF(INDEX(TAHSILAT!$J$7:$J$1506,$U296)="",""," / "&amp;INDEX(TAHSILAT!$J$7:$J$1506,$U296)))</f>
        <v/>
      </c>
      <c r="P296" s="3">
        <f>IF($N296="","","ÖDEME")</f>
        <v/>
      </c>
      <c r="Q296" s="3" t="n"/>
      <c r="R296" s="3" t="n">
        <v>0</v>
      </c>
      <c r="S296" s="3">
        <f>IF($N296="",0,INDEX(TAHSILAT!$F$7:$F$1506,$U296))</f>
        <v/>
      </c>
      <c r="T296" s="3">
        <f>IF($N296="",10000000000,$N296*100000+$M296)</f>
        <v/>
      </c>
      <c r="U296" s="3">
        <f>IFERROR(MATCH($AC$4&amp;"|44",TAHSILAT!$Q$7:$Q$1506,0),0)</f>
        <v/>
      </c>
      <c r="V296" s="3" t="n"/>
      <c r="W296" s="3" t="n"/>
      <c r="X296" s="3" t="n"/>
      <c r="Y296" s="3">
        <f>IFERROR(SMALL($T$12:$T$432,ROW()-11),"")</f>
        <v/>
      </c>
      <c r="Z296" s="3">
        <f>IFERROR(MATCH($Y296,$T$12:$T$432,0),"")</f>
        <v/>
      </c>
      <c r="AA296" s="3" t="n"/>
      <c r="AB296" s="3" t="n"/>
      <c r="AC296" s="3" t="n"/>
      <c r="AD296" s="3" t="n"/>
    </row>
    <row r="297">
      <c r="A297" s="6" t="n"/>
      <c r="B297" s="153">
        <f>IF($C297="","",ROW()-11)</f>
        <v/>
      </c>
      <c r="C297" s="240">
        <f>IF($Z297="","",IF(INDEX($N$12:$N$432,$Z297)="","",INDEX($N$12:$N$432,$Z297)))</f>
        <v/>
      </c>
      <c r="D297" s="29">
        <f>IF($C297="","",INDEX($O$12:$O$432,$Z297))</f>
        <v/>
      </c>
      <c r="E297" s="153">
        <f>IF($C297="","",INDEX($P$12:$P$432,$Z297))</f>
        <v/>
      </c>
      <c r="F297" s="241">
        <f>IF($C297="","",INDEX($R$12:$R$432,$Z297))</f>
        <v/>
      </c>
      <c r="G297" s="241">
        <f>IF($C297="","",INDEX($S$12:$S$432,$Z297))</f>
        <v/>
      </c>
      <c r="H297" s="241">
        <f>IF($C297="","",N($H296)+$F297-$G297)</f>
        <v/>
      </c>
      <c r="I297" s="6" t="n"/>
      <c r="J297" s="6" t="n"/>
      <c r="K297" s="3" t="n"/>
      <c r="L297" s="3" t="n"/>
      <c r="M297" s="3" t="n">
        <v>286</v>
      </c>
      <c r="N297" s="3">
        <f>IF($U297=0,"",INDEX(TAHSILAT!$E$7:$E$1506,$U297))</f>
        <v/>
      </c>
      <c r="O297" s="3">
        <f>IF($N297="","","Ödeme  –  "&amp;INDEX(TAHSILAT!$H$7:$H$1506,$U297)&amp;"  ("&amp;INDEX(TAHSILAT!$G$7:$G$1506,$U297)&amp;")"&amp;IF(INDEX(TAHSILAT!$J$7:$J$1506,$U297)="",""," / "&amp;INDEX(TAHSILAT!$J$7:$J$1506,$U297)))</f>
        <v/>
      </c>
      <c r="P297" s="3">
        <f>IF($N297="","","ÖDEME")</f>
        <v/>
      </c>
      <c r="Q297" s="3" t="n"/>
      <c r="R297" s="3" t="n">
        <v>0</v>
      </c>
      <c r="S297" s="3">
        <f>IF($N297="",0,INDEX(TAHSILAT!$F$7:$F$1506,$U297))</f>
        <v/>
      </c>
      <c r="T297" s="3">
        <f>IF($N297="",10000000000,$N297*100000+$M297)</f>
        <v/>
      </c>
      <c r="U297" s="3">
        <f>IFERROR(MATCH($AC$4&amp;"|45",TAHSILAT!$Q$7:$Q$1506,0),0)</f>
        <v/>
      </c>
      <c r="V297" s="3" t="n"/>
      <c r="W297" s="3" t="n"/>
      <c r="X297" s="3" t="n"/>
      <c r="Y297" s="3">
        <f>IFERROR(SMALL($T$12:$T$432,ROW()-11),"")</f>
        <v/>
      </c>
      <c r="Z297" s="3">
        <f>IFERROR(MATCH($Y297,$T$12:$T$432,0),"")</f>
        <v/>
      </c>
      <c r="AA297" s="3" t="n"/>
      <c r="AB297" s="3" t="n"/>
      <c r="AC297" s="3" t="n"/>
      <c r="AD297" s="3" t="n"/>
    </row>
    <row r="298">
      <c r="A298" s="6" t="n"/>
      <c r="B298" s="153">
        <f>IF($C298="","",ROW()-11)</f>
        <v/>
      </c>
      <c r="C298" s="240">
        <f>IF($Z298="","",IF(INDEX($N$12:$N$432,$Z298)="","",INDEX($N$12:$N$432,$Z298)))</f>
        <v/>
      </c>
      <c r="D298" s="29">
        <f>IF($C298="","",INDEX($O$12:$O$432,$Z298))</f>
        <v/>
      </c>
      <c r="E298" s="153">
        <f>IF($C298="","",INDEX($P$12:$P$432,$Z298))</f>
        <v/>
      </c>
      <c r="F298" s="241">
        <f>IF($C298="","",INDEX($R$12:$R$432,$Z298))</f>
        <v/>
      </c>
      <c r="G298" s="241">
        <f>IF($C298="","",INDEX($S$12:$S$432,$Z298))</f>
        <v/>
      </c>
      <c r="H298" s="241">
        <f>IF($C298="","",N($H297)+$F298-$G298)</f>
        <v/>
      </c>
      <c r="I298" s="6" t="n"/>
      <c r="J298" s="6" t="n"/>
      <c r="K298" s="3" t="n"/>
      <c r="L298" s="3" t="n"/>
      <c r="M298" s="3" t="n">
        <v>287</v>
      </c>
      <c r="N298" s="3">
        <f>IF($U298=0,"",INDEX(TAHSILAT!$E$7:$E$1506,$U298))</f>
        <v/>
      </c>
      <c r="O298" s="3">
        <f>IF($N298="","","Ödeme  –  "&amp;INDEX(TAHSILAT!$H$7:$H$1506,$U298)&amp;"  ("&amp;INDEX(TAHSILAT!$G$7:$G$1506,$U298)&amp;")"&amp;IF(INDEX(TAHSILAT!$J$7:$J$1506,$U298)="",""," / "&amp;INDEX(TAHSILAT!$J$7:$J$1506,$U298)))</f>
        <v/>
      </c>
      <c r="P298" s="3">
        <f>IF($N298="","","ÖDEME")</f>
        <v/>
      </c>
      <c r="Q298" s="3" t="n"/>
      <c r="R298" s="3" t="n">
        <v>0</v>
      </c>
      <c r="S298" s="3">
        <f>IF($N298="",0,INDEX(TAHSILAT!$F$7:$F$1506,$U298))</f>
        <v/>
      </c>
      <c r="T298" s="3">
        <f>IF($N298="",10000000000,$N298*100000+$M298)</f>
        <v/>
      </c>
      <c r="U298" s="3">
        <f>IFERROR(MATCH($AC$4&amp;"|46",TAHSILAT!$Q$7:$Q$1506,0),0)</f>
        <v/>
      </c>
      <c r="V298" s="3" t="n"/>
      <c r="W298" s="3" t="n"/>
      <c r="X298" s="3" t="n"/>
      <c r="Y298" s="3">
        <f>IFERROR(SMALL($T$12:$T$432,ROW()-11),"")</f>
        <v/>
      </c>
      <c r="Z298" s="3">
        <f>IFERROR(MATCH($Y298,$T$12:$T$432,0),"")</f>
        <v/>
      </c>
      <c r="AA298" s="3" t="n"/>
      <c r="AB298" s="3" t="n"/>
      <c r="AC298" s="3" t="n"/>
      <c r="AD298" s="3" t="n"/>
    </row>
    <row r="299">
      <c r="A299" s="6" t="n"/>
      <c r="B299" s="153">
        <f>IF($C299="","",ROW()-11)</f>
        <v/>
      </c>
      <c r="C299" s="240">
        <f>IF($Z299="","",IF(INDEX($N$12:$N$432,$Z299)="","",INDEX($N$12:$N$432,$Z299)))</f>
        <v/>
      </c>
      <c r="D299" s="29">
        <f>IF($C299="","",INDEX($O$12:$O$432,$Z299))</f>
        <v/>
      </c>
      <c r="E299" s="153">
        <f>IF($C299="","",INDEX($P$12:$P$432,$Z299))</f>
        <v/>
      </c>
      <c r="F299" s="241">
        <f>IF($C299="","",INDEX($R$12:$R$432,$Z299))</f>
        <v/>
      </c>
      <c r="G299" s="241">
        <f>IF($C299="","",INDEX($S$12:$S$432,$Z299))</f>
        <v/>
      </c>
      <c r="H299" s="241">
        <f>IF($C299="","",N($H298)+$F299-$G299)</f>
        <v/>
      </c>
      <c r="I299" s="6" t="n"/>
      <c r="J299" s="6" t="n"/>
      <c r="K299" s="3" t="n"/>
      <c r="L299" s="3" t="n"/>
      <c r="M299" s="3" t="n">
        <v>288</v>
      </c>
      <c r="N299" s="3">
        <f>IF($U299=0,"",INDEX(TAHSILAT!$E$7:$E$1506,$U299))</f>
        <v/>
      </c>
      <c r="O299" s="3">
        <f>IF($N299="","","Ödeme  –  "&amp;INDEX(TAHSILAT!$H$7:$H$1506,$U299)&amp;"  ("&amp;INDEX(TAHSILAT!$G$7:$G$1506,$U299)&amp;")"&amp;IF(INDEX(TAHSILAT!$J$7:$J$1506,$U299)="",""," / "&amp;INDEX(TAHSILAT!$J$7:$J$1506,$U299)))</f>
        <v/>
      </c>
      <c r="P299" s="3">
        <f>IF($N299="","","ÖDEME")</f>
        <v/>
      </c>
      <c r="Q299" s="3" t="n"/>
      <c r="R299" s="3" t="n">
        <v>0</v>
      </c>
      <c r="S299" s="3">
        <f>IF($N299="",0,INDEX(TAHSILAT!$F$7:$F$1506,$U299))</f>
        <v/>
      </c>
      <c r="T299" s="3">
        <f>IF($N299="",10000000000,$N299*100000+$M299)</f>
        <v/>
      </c>
      <c r="U299" s="3">
        <f>IFERROR(MATCH($AC$4&amp;"|47",TAHSILAT!$Q$7:$Q$1506,0),0)</f>
        <v/>
      </c>
      <c r="V299" s="3" t="n"/>
      <c r="W299" s="3" t="n"/>
      <c r="X299" s="3" t="n"/>
      <c r="Y299" s="3">
        <f>IFERROR(SMALL($T$12:$T$432,ROW()-11),"")</f>
        <v/>
      </c>
      <c r="Z299" s="3">
        <f>IFERROR(MATCH($Y299,$T$12:$T$432,0),"")</f>
        <v/>
      </c>
      <c r="AA299" s="3" t="n"/>
      <c r="AB299" s="3" t="n"/>
      <c r="AC299" s="3" t="n"/>
      <c r="AD299" s="3" t="n"/>
    </row>
    <row r="300">
      <c r="A300" s="6" t="n"/>
      <c r="B300" s="153">
        <f>IF($C300="","",ROW()-11)</f>
        <v/>
      </c>
      <c r="C300" s="240">
        <f>IF($Z300="","",IF(INDEX($N$12:$N$432,$Z300)="","",INDEX($N$12:$N$432,$Z300)))</f>
        <v/>
      </c>
      <c r="D300" s="29">
        <f>IF($C300="","",INDEX($O$12:$O$432,$Z300))</f>
        <v/>
      </c>
      <c r="E300" s="153">
        <f>IF($C300="","",INDEX($P$12:$P$432,$Z300))</f>
        <v/>
      </c>
      <c r="F300" s="241">
        <f>IF($C300="","",INDEX($R$12:$R$432,$Z300))</f>
        <v/>
      </c>
      <c r="G300" s="241">
        <f>IF($C300="","",INDEX($S$12:$S$432,$Z300))</f>
        <v/>
      </c>
      <c r="H300" s="241">
        <f>IF($C300="","",N($H299)+$F300-$G300)</f>
        <v/>
      </c>
      <c r="I300" s="6" t="n"/>
      <c r="J300" s="6" t="n"/>
      <c r="K300" s="3" t="n"/>
      <c r="L300" s="3" t="n"/>
      <c r="M300" s="3" t="n">
        <v>289</v>
      </c>
      <c r="N300" s="3">
        <f>IF($U300=0,"",INDEX(TAHSILAT!$E$7:$E$1506,$U300))</f>
        <v/>
      </c>
      <c r="O300" s="3">
        <f>IF($N300="","","Ödeme  –  "&amp;INDEX(TAHSILAT!$H$7:$H$1506,$U300)&amp;"  ("&amp;INDEX(TAHSILAT!$G$7:$G$1506,$U300)&amp;")"&amp;IF(INDEX(TAHSILAT!$J$7:$J$1506,$U300)="",""," / "&amp;INDEX(TAHSILAT!$J$7:$J$1506,$U300)))</f>
        <v/>
      </c>
      <c r="P300" s="3">
        <f>IF($N300="","","ÖDEME")</f>
        <v/>
      </c>
      <c r="Q300" s="3" t="n"/>
      <c r="R300" s="3" t="n">
        <v>0</v>
      </c>
      <c r="S300" s="3">
        <f>IF($N300="",0,INDEX(TAHSILAT!$F$7:$F$1506,$U300))</f>
        <v/>
      </c>
      <c r="T300" s="3">
        <f>IF($N300="",10000000000,$N300*100000+$M300)</f>
        <v/>
      </c>
      <c r="U300" s="3">
        <f>IFERROR(MATCH($AC$4&amp;"|48",TAHSILAT!$Q$7:$Q$1506,0),0)</f>
        <v/>
      </c>
      <c r="V300" s="3" t="n"/>
      <c r="W300" s="3" t="n"/>
      <c r="X300" s="3" t="n"/>
      <c r="Y300" s="3">
        <f>IFERROR(SMALL($T$12:$T$432,ROW()-11),"")</f>
        <v/>
      </c>
      <c r="Z300" s="3">
        <f>IFERROR(MATCH($Y300,$T$12:$T$432,0),"")</f>
        <v/>
      </c>
      <c r="AA300" s="3" t="n"/>
      <c r="AB300" s="3" t="n"/>
      <c r="AC300" s="3" t="n"/>
      <c r="AD300" s="3" t="n"/>
    </row>
    <row r="301">
      <c r="A301" s="6" t="n"/>
      <c r="B301" s="153">
        <f>IF($C301="","",ROW()-11)</f>
        <v/>
      </c>
      <c r="C301" s="240">
        <f>IF($Z301="","",IF(INDEX($N$12:$N$432,$Z301)="","",INDEX($N$12:$N$432,$Z301)))</f>
        <v/>
      </c>
      <c r="D301" s="29">
        <f>IF($C301="","",INDEX($O$12:$O$432,$Z301))</f>
        <v/>
      </c>
      <c r="E301" s="153">
        <f>IF($C301="","",INDEX($P$12:$P$432,$Z301))</f>
        <v/>
      </c>
      <c r="F301" s="241">
        <f>IF($C301="","",INDEX($R$12:$R$432,$Z301))</f>
        <v/>
      </c>
      <c r="G301" s="241">
        <f>IF($C301="","",INDEX($S$12:$S$432,$Z301))</f>
        <v/>
      </c>
      <c r="H301" s="241">
        <f>IF($C301="","",N($H300)+$F301-$G301)</f>
        <v/>
      </c>
      <c r="I301" s="6" t="n"/>
      <c r="J301" s="6" t="n"/>
      <c r="K301" s="3" t="n"/>
      <c r="L301" s="3" t="n"/>
      <c r="M301" s="3" t="n">
        <v>290</v>
      </c>
      <c r="N301" s="3">
        <f>IF($U301=0,"",INDEX(TAHSILAT!$E$7:$E$1506,$U301))</f>
        <v/>
      </c>
      <c r="O301" s="3">
        <f>IF($N301="","","Ödeme  –  "&amp;INDEX(TAHSILAT!$H$7:$H$1506,$U301)&amp;"  ("&amp;INDEX(TAHSILAT!$G$7:$G$1506,$U301)&amp;")"&amp;IF(INDEX(TAHSILAT!$J$7:$J$1506,$U301)="",""," / "&amp;INDEX(TAHSILAT!$J$7:$J$1506,$U301)))</f>
        <v/>
      </c>
      <c r="P301" s="3">
        <f>IF($N301="","","ÖDEME")</f>
        <v/>
      </c>
      <c r="Q301" s="3" t="n"/>
      <c r="R301" s="3" t="n">
        <v>0</v>
      </c>
      <c r="S301" s="3">
        <f>IF($N301="",0,INDEX(TAHSILAT!$F$7:$F$1506,$U301))</f>
        <v/>
      </c>
      <c r="T301" s="3">
        <f>IF($N301="",10000000000,$N301*100000+$M301)</f>
        <v/>
      </c>
      <c r="U301" s="3">
        <f>IFERROR(MATCH($AC$4&amp;"|49",TAHSILAT!$Q$7:$Q$1506,0),0)</f>
        <v/>
      </c>
      <c r="V301" s="3" t="n"/>
      <c r="W301" s="3" t="n"/>
      <c r="X301" s="3" t="n"/>
      <c r="Y301" s="3">
        <f>IFERROR(SMALL($T$12:$T$432,ROW()-11),"")</f>
        <v/>
      </c>
      <c r="Z301" s="3">
        <f>IFERROR(MATCH($Y301,$T$12:$T$432,0),"")</f>
        <v/>
      </c>
      <c r="AA301" s="3" t="n"/>
      <c r="AB301" s="3" t="n"/>
      <c r="AC301" s="3" t="n"/>
      <c r="AD301" s="3" t="n"/>
    </row>
    <row r="302">
      <c r="A302" s="6" t="n"/>
      <c r="B302" s="153">
        <f>IF($C302="","",ROW()-11)</f>
        <v/>
      </c>
      <c r="C302" s="240">
        <f>IF($Z302="","",IF(INDEX($N$12:$N$432,$Z302)="","",INDEX($N$12:$N$432,$Z302)))</f>
        <v/>
      </c>
      <c r="D302" s="29">
        <f>IF($C302="","",INDEX($O$12:$O$432,$Z302))</f>
        <v/>
      </c>
      <c r="E302" s="153">
        <f>IF($C302="","",INDEX($P$12:$P$432,$Z302))</f>
        <v/>
      </c>
      <c r="F302" s="241">
        <f>IF($C302="","",INDEX($R$12:$R$432,$Z302))</f>
        <v/>
      </c>
      <c r="G302" s="241">
        <f>IF($C302="","",INDEX($S$12:$S$432,$Z302))</f>
        <v/>
      </c>
      <c r="H302" s="241">
        <f>IF($C302="","",N($H301)+$F302-$G302)</f>
        <v/>
      </c>
      <c r="I302" s="6" t="n"/>
      <c r="J302" s="6" t="n"/>
      <c r="K302" s="3" t="n"/>
      <c r="L302" s="3" t="n"/>
      <c r="M302" s="3" t="n">
        <v>291</v>
      </c>
      <c r="N302" s="3">
        <f>IF($U302=0,"",INDEX(TAHSILAT!$E$7:$E$1506,$U302))</f>
        <v/>
      </c>
      <c r="O302" s="3">
        <f>IF($N302="","","Ödeme  –  "&amp;INDEX(TAHSILAT!$H$7:$H$1506,$U302)&amp;"  ("&amp;INDEX(TAHSILAT!$G$7:$G$1506,$U302)&amp;")"&amp;IF(INDEX(TAHSILAT!$J$7:$J$1506,$U302)="",""," / "&amp;INDEX(TAHSILAT!$J$7:$J$1506,$U302)))</f>
        <v/>
      </c>
      <c r="P302" s="3">
        <f>IF($N302="","","ÖDEME")</f>
        <v/>
      </c>
      <c r="Q302" s="3" t="n"/>
      <c r="R302" s="3" t="n">
        <v>0</v>
      </c>
      <c r="S302" s="3">
        <f>IF($N302="",0,INDEX(TAHSILAT!$F$7:$F$1506,$U302))</f>
        <v/>
      </c>
      <c r="T302" s="3">
        <f>IF($N302="",10000000000,$N302*100000+$M302)</f>
        <v/>
      </c>
      <c r="U302" s="3">
        <f>IFERROR(MATCH($AC$4&amp;"|50",TAHSILAT!$Q$7:$Q$1506,0),0)</f>
        <v/>
      </c>
      <c r="V302" s="3" t="n"/>
      <c r="W302" s="3" t="n"/>
      <c r="X302" s="3" t="n"/>
      <c r="Y302" s="3">
        <f>IFERROR(SMALL($T$12:$T$432,ROW()-11),"")</f>
        <v/>
      </c>
      <c r="Z302" s="3">
        <f>IFERROR(MATCH($Y302,$T$12:$T$432,0),"")</f>
        <v/>
      </c>
      <c r="AA302" s="3" t="n"/>
      <c r="AB302" s="3" t="n"/>
      <c r="AC302" s="3" t="n"/>
      <c r="AD302" s="3" t="n"/>
    </row>
    <row r="303">
      <c r="A303" s="6" t="n"/>
      <c r="B303" s="153">
        <f>IF($C303="","",ROW()-11)</f>
        <v/>
      </c>
      <c r="C303" s="240">
        <f>IF($Z303="","",IF(INDEX($N$12:$N$432,$Z303)="","",INDEX($N$12:$N$432,$Z303)))</f>
        <v/>
      </c>
      <c r="D303" s="29">
        <f>IF($C303="","",INDEX($O$12:$O$432,$Z303))</f>
        <v/>
      </c>
      <c r="E303" s="153">
        <f>IF($C303="","",INDEX($P$12:$P$432,$Z303))</f>
        <v/>
      </c>
      <c r="F303" s="241">
        <f>IF($C303="","",INDEX($R$12:$R$432,$Z303))</f>
        <v/>
      </c>
      <c r="G303" s="241">
        <f>IF($C303="","",INDEX($S$12:$S$432,$Z303))</f>
        <v/>
      </c>
      <c r="H303" s="241">
        <f>IF($C303="","",N($H302)+$F303-$G303)</f>
        <v/>
      </c>
      <c r="I303" s="6" t="n"/>
      <c r="J303" s="6" t="n"/>
      <c r="K303" s="3" t="n"/>
      <c r="L303" s="3" t="n"/>
      <c r="M303" s="3" t="n">
        <v>292</v>
      </c>
      <c r="N303" s="3">
        <f>IF($U303=0,"",INDEX(TAHSILAT!$E$7:$E$1506,$U303))</f>
        <v/>
      </c>
      <c r="O303" s="3">
        <f>IF($N303="","","Ödeme  –  "&amp;INDEX(TAHSILAT!$H$7:$H$1506,$U303)&amp;"  ("&amp;INDEX(TAHSILAT!$G$7:$G$1506,$U303)&amp;")"&amp;IF(INDEX(TAHSILAT!$J$7:$J$1506,$U303)="",""," / "&amp;INDEX(TAHSILAT!$J$7:$J$1506,$U303)))</f>
        <v/>
      </c>
      <c r="P303" s="3">
        <f>IF($N303="","","ÖDEME")</f>
        <v/>
      </c>
      <c r="Q303" s="3" t="n"/>
      <c r="R303" s="3" t="n">
        <v>0</v>
      </c>
      <c r="S303" s="3">
        <f>IF($N303="",0,INDEX(TAHSILAT!$F$7:$F$1506,$U303))</f>
        <v/>
      </c>
      <c r="T303" s="3">
        <f>IF($N303="",10000000000,$N303*100000+$M303)</f>
        <v/>
      </c>
      <c r="U303" s="3">
        <f>IFERROR(MATCH($AC$4&amp;"|51",TAHSILAT!$Q$7:$Q$1506,0),0)</f>
        <v/>
      </c>
      <c r="V303" s="3" t="n"/>
      <c r="W303" s="3" t="n"/>
      <c r="X303" s="3" t="n"/>
      <c r="Y303" s="3">
        <f>IFERROR(SMALL($T$12:$T$432,ROW()-11),"")</f>
        <v/>
      </c>
      <c r="Z303" s="3">
        <f>IFERROR(MATCH($Y303,$T$12:$T$432,0),"")</f>
        <v/>
      </c>
      <c r="AA303" s="3" t="n"/>
      <c r="AB303" s="3" t="n"/>
      <c r="AC303" s="3" t="n"/>
      <c r="AD303" s="3" t="n"/>
    </row>
    <row r="304">
      <c r="A304" s="6" t="n"/>
      <c r="B304" s="153">
        <f>IF($C304="","",ROW()-11)</f>
        <v/>
      </c>
      <c r="C304" s="240">
        <f>IF($Z304="","",IF(INDEX($N$12:$N$432,$Z304)="","",INDEX($N$12:$N$432,$Z304)))</f>
        <v/>
      </c>
      <c r="D304" s="29">
        <f>IF($C304="","",INDEX($O$12:$O$432,$Z304))</f>
        <v/>
      </c>
      <c r="E304" s="153">
        <f>IF($C304="","",INDEX($P$12:$P$432,$Z304))</f>
        <v/>
      </c>
      <c r="F304" s="241">
        <f>IF($C304="","",INDEX($R$12:$R$432,$Z304))</f>
        <v/>
      </c>
      <c r="G304" s="241">
        <f>IF($C304="","",INDEX($S$12:$S$432,$Z304))</f>
        <v/>
      </c>
      <c r="H304" s="241">
        <f>IF($C304="","",N($H303)+$F304-$G304)</f>
        <v/>
      </c>
      <c r="I304" s="6" t="n"/>
      <c r="J304" s="6" t="n"/>
      <c r="K304" s="3" t="n"/>
      <c r="L304" s="3" t="n"/>
      <c r="M304" s="3" t="n">
        <v>293</v>
      </c>
      <c r="N304" s="3">
        <f>IF($U304=0,"",INDEX(TAHSILAT!$E$7:$E$1506,$U304))</f>
        <v/>
      </c>
      <c r="O304" s="3">
        <f>IF($N304="","","Ödeme  –  "&amp;INDEX(TAHSILAT!$H$7:$H$1506,$U304)&amp;"  ("&amp;INDEX(TAHSILAT!$G$7:$G$1506,$U304)&amp;")"&amp;IF(INDEX(TAHSILAT!$J$7:$J$1506,$U304)="",""," / "&amp;INDEX(TAHSILAT!$J$7:$J$1506,$U304)))</f>
        <v/>
      </c>
      <c r="P304" s="3">
        <f>IF($N304="","","ÖDEME")</f>
        <v/>
      </c>
      <c r="Q304" s="3" t="n"/>
      <c r="R304" s="3" t="n">
        <v>0</v>
      </c>
      <c r="S304" s="3">
        <f>IF($N304="",0,INDEX(TAHSILAT!$F$7:$F$1506,$U304))</f>
        <v/>
      </c>
      <c r="T304" s="3">
        <f>IF($N304="",10000000000,$N304*100000+$M304)</f>
        <v/>
      </c>
      <c r="U304" s="3">
        <f>IFERROR(MATCH($AC$4&amp;"|52",TAHSILAT!$Q$7:$Q$1506,0),0)</f>
        <v/>
      </c>
      <c r="V304" s="3" t="n"/>
      <c r="W304" s="3" t="n"/>
      <c r="X304" s="3" t="n"/>
      <c r="Y304" s="3">
        <f>IFERROR(SMALL($T$12:$T$432,ROW()-11),"")</f>
        <v/>
      </c>
      <c r="Z304" s="3">
        <f>IFERROR(MATCH($Y304,$T$12:$T$432,0),"")</f>
        <v/>
      </c>
      <c r="AA304" s="3" t="n"/>
      <c r="AB304" s="3" t="n"/>
      <c r="AC304" s="3" t="n"/>
      <c r="AD304" s="3" t="n"/>
    </row>
    <row r="305">
      <c r="A305" s="6" t="n"/>
      <c r="B305" s="153">
        <f>IF($C305="","",ROW()-11)</f>
        <v/>
      </c>
      <c r="C305" s="240">
        <f>IF($Z305="","",IF(INDEX($N$12:$N$432,$Z305)="","",INDEX($N$12:$N$432,$Z305)))</f>
        <v/>
      </c>
      <c r="D305" s="29">
        <f>IF($C305="","",INDEX($O$12:$O$432,$Z305))</f>
        <v/>
      </c>
      <c r="E305" s="153">
        <f>IF($C305="","",INDEX($P$12:$P$432,$Z305))</f>
        <v/>
      </c>
      <c r="F305" s="241">
        <f>IF($C305="","",INDEX($R$12:$R$432,$Z305))</f>
        <v/>
      </c>
      <c r="G305" s="241">
        <f>IF($C305="","",INDEX($S$12:$S$432,$Z305))</f>
        <v/>
      </c>
      <c r="H305" s="241">
        <f>IF($C305="","",N($H304)+$F305-$G305)</f>
        <v/>
      </c>
      <c r="I305" s="6" t="n"/>
      <c r="J305" s="6" t="n"/>
      <c r="K305" s="3" t="n"/>
      <c r="L305" s="3" t="n"/>
      <c r="M305" s="3" t="n">
        <v>294</v>
      </c>
      <c r="N305" s="3">
        <f>IF($U305=0,"",INDEX(TAHSILAT!$E$7:$E$1506,$U305))</f>
        <v/>
      </c>
      <c r="O305" s="3">
        <f>IF($N305="","","Ödeme  –  "&amp;INDEX(TAHSILAT!$H$7:$H$1506,$U305)&amp;"  ("&amp;INDEX(TAHSILAT!$G$7:$G$1506,$U305)&amp;")"&amp;IF(INDEX(TAHSILAT!$J$7:$J$1506,$U305)="",""," / "&amp;INDEX(TAHSILAT!$J$7:$J$1506,$U305)))</f>
        <v/>
      </c>
      <c r="P305" s="3">
        <f>IF($N305="","","ÖDEME")</f>
        <v/>
      </c>
      <c r="Q305" s="3" t="n"/>
      <c r="R305" s="3" t="n">
        <v>0</v>
      </c>
      <c r="S305" s="3">
        <f>IF($N305="",0,INDEX(TAHSILAT!$F$7:$F$1506,$U305))</f>
        <v/>
      </c>
      <c r="T305" s="3">
        <f>IF($N305="",10000000000,$N305*100000+$M305)</f>
        <v/>
      </c>
      <c r="U305" s="3">
        <f>IFERROR(MATCH($AC$4&amp;"|53",TAHSILAT!$Q$7:$Q$1506,0),0)</f>
        <v/>
      </c>
      <c r="V305" s="3" t="n"/>
      <c r="W305" s="3" t="n"/>
      <c r="X305" s="3" t="n"/>
      <c r="Y305" s="3">
        <f>IFERROR(SMALL($T$12:$T$432,ROW()-11),"")</f>
        <v/>
      </c>
      <c r="Z305" s="3">
        <f>IFERROR(MATCH($Y305,$T$12:$T$432,0),"")</f>
        <v/>
      </c>
      <c r="AA305" s="3" t="n"/>
      <c r="AB305" s="3" t="n"/>
      <c r="AC305" s="3" t="n"/>
      <c r="AD305" s="3" t="n"/>
    </row>
    <row r="306">
      <c r="A306" s="6" t="n"/>
      <c r="B306" s="153">
        <f>IF($C306="","",ROW()-11)</f>
        <v/>
      </c>
      <c r="C306" s="240">
        <f>IF($Z306="","",IF(INDEX($N$12:$N$432,$Z306)="","",INDEX($N$12:$N$432,$Z306)))</f>
        <v/>
      </c>
      <c r="D306" s="29">
        <f>IF($C306="","",INDEX($O$12:$O$432,$Z306))</f>
        <v/>
      </c>
      <c r="E306" s="153">
        <f>IF($C306="","",INDEX($P$12:$P$432,$Z306))</f>
        <v/>
      </c>
      <c r="F306" s="241">
        <f>IF($C306="","",INDEX($R$12:$R$432,$Z306))</f>
        <v/>
      </c>
      <c r="G306" s="241">
        <f>IF($C306="","",INDEX($S$12:$S$432,$Z306))</f>
        <v/>
      </c>
      <c r="H306" s="241">
        <f>IF($C306="","",N($H305)+$F306-$G306)</f>
        <v/>
      </c>
      <c r="I306" s="6" t="n"/>
      <c r="J306" s="6" t="n"/>
      <c r="K306" s="3" t="n"/>
      <c r="L306" s="3" t="n"/>
      <c r="M306" s="3" t="n">
        <v>295</v>
      </c>
      <c r="N306" s="3">
        <f>IF($U306=0,"",INDEX(TAHSILAT!$E$7:$E$1506,$U306))</f>
        <v/>
      </c>
      <c r="O306" s="3">
        <f>IF($N306="","","Ödeme  –  "&amp;INDEX(TAHSILAT!$H$7:$H$1506,$U306)&amp;"  ("&amp;INDEX(TAHSILAT!$G$7:$G$1506,$U306)&amp;")"&amp;IF(INDEX(TAHSILAT!$J$7:$J$1506,$U306)="",""," / "&amp;INDEX(TAHSILAT!$J$7:$J$1506,$U306)))</f>
        <v/>
      </c>
      <c r="P306" s="3">
        <f>IF($N306="","","ÖDEME")</f>
        <v/>
      </c>
      <c r="Q306" s="3" t="n"/>
      <c r="R306" s="3" t="n">
        <v>0</v>
      </c>
      <c r="S306" s="3">
        <f>IF($N306="",0,INDEX(TAHSILAT!$F$7:$F$1506,$U306))</f>
        <v/>
      </c>
      <c r="T306" s="3">
        <f>IF($N306="",10000000000,$N306*100000+$M306)</f>
        <v/>
      </c>
      <c r="U306" s="3">
        <f>IFERROR(MATCH($AC$4&amp;"|54",TAHSILAT!$Q$7:$Q$1506,0),0)</f>
        <v/>
      </c>
      <c r="V306" s="3" t="n"/>
      <c r="W306" s="3" t="n"/>
      <c r="X306" s="3" t="n"/>
      <c r="Y306" s="3">
        <f>IFERROR(SMALL($T$12:$T$432,ROW()-11),"")</f>
        <v/>
      </c>
      <c r="Z306" s="3">
        <f>IFERROR(MATCH($Y306,$T$12:$T$432,0),"")</f>
        <v/>
      </c>
      <c r="AA306" s="3" t="n"/>
      <c r="AB306" s="3" t="n"/>
      <c r="AC306" s="3" t="n"/>
      <c r="AD306" s="3" t="n"/>
    </row>
    <row r="307">
      <c r="A307" s="6" t="n"/>
      <c r="B307" s="153">
        <f>IF($C307="","",ROW()-11)</f>
        <v/>
      </c>
      <c r="C307" s="240">
        <f>IF($Z307="","",IF(INDEX($N$12:$N$432,$Z307)="","",INDEX($N$12:$N$432,$Z307)))</f>
        <v/>
      </c>
      <c r="D307" s="29">
        <f>IF($C307="","",INDEX($O$12:$O$432,$Z307))</f>
        <v/>
      </c>
      <c r="E307" s="153">
        <f>IF($C307="","",INDEX($P$12:$P$432,$Z307))</f>
        <v/>
      </c>
      <c r="F307" s="241">
        <f>IF($C307="","",INDEX($R$12:$R$432,$Z307))</f>
        <v/>
      </c>
      <c r="G307" s="241">
        <f>IF($C307="","",INDEX($S$12:$S$432,$Z307))</f>
        <v/>
      </c>
      <c r="H307" s="241">
        <f>IF($C307="","",N($H306)+$F307-$G307)</f>
        <v/>
      </c>
      <c r="I307" s="6" t="n"/>
      <c r="J307" s="6" t="n"/>
      <c r="K307" s="3" t="n"/>
      <c r="L307" s="3" t="n"/>
      <c r="M307" s="3" t="n">
        <v>296</v>
      </c>
      <c r="N307" s="3">
        <f>IF($U307=0,"",INDEX(TAHSILAT!$E$7:$E$1506,$U307))</f>
        <v/>
      </c>
      <c r="O307" s="3">
        <f>IF($N307="","","Ödeme  –  "&amp;INDEX(TAHSILAT!$H$7:$H$1506,$U307)&amp;"  ("&amp;INDEX(TAHSILAT!$G$7:$G$1506,$U307)&amp;")"&amp;IF(INDEX(TAHSILAT!$J$7:$J$1506,$U307)="",""," / "&amp;INDEX(TAHSILAT!$J$7:$J$1506,$U307)))</f>
        <v/>
      </c>
      <c r="P307" s="3">
        <f>IF($N307="","","ÖDEME")</f>
        <v/>
      </c>
      <c r="Q307" s="3" t="n"/>
      <c r="R307" s="3" t="n">
        <v>0</v>
      </c>
      <c r="S307" s="3">
        <f>IF($N307="",0,INDEX(TAHSILAT!$F$7:$F$1506,$U307))</f>
        <v/>
      </c>
      <c r="T307" s="3">
        <f>IF($N307="",10000000000,$N307*100000+$M307)</f>
        <v/>
      </c>
      <c r="U307" s="3">
        <f>IFERROR(MATCH($AC$4&amp;"|55",TAHSILAT!$Q$7:$Q$1506,0),0)</f>
        <v/>
      </c>
      <c r="V307" s="3" t="n"/>
      <c r="W307" s="3" t="n"/>
      <c r="X307" s="3" t="n"/>
      <c r="Y307" s="3">
        <f>IFERROR(SMALL($T$12:$T$432,ROW()-11),"")</f>
        <v/>
      </c>
      <c r="Z307" s="3">
        <f>IFERROR(MATCH($Y307,$T$12:$T$432,0),"")</f>
        <v/>
      </c>
      <c r="AA307" s="3" t="n"/>
      <c r="AB307" s="3" t="n"/>
      <c r="AC307" s="3" t="n"/>
      <c r="AD307" s="3" t="n"/>
    </row>
    <row r="308">
      <c r="A308" s="6" t="n"/>
      <c r="B308" s="153">
        <f>IF($C308="","",ROW()-11)</f>
        <v/>
      </c>
      <c r="C308" s="240">
        <f>IF($Z308="","",IF(INDEX($N$12:$N$432,$Z308)="","",INDEX($N$12:$N$432,$Z308)))</f>
        <v/>
      </c>
      <c r="D308" s="29">
        <f>IF($C308="","",INDEX($O$12:$O$432,$Z308))</f>
        <v/>
      </c>
      <c r="E308" s="153">
        <f>IF($C308="","",INDEX($P$12:$P$432,$Z308))</f>
        <v/>
      </c>
      <c r="F308" s="241">
        <f>IF($C308="","",INDEX($R$12:$R$432,$Z308))</f>
        <v/>
      </c>
      <c r="G308" s="241">
        <f>IF($C308="","",INDEX($S$12:$S$432,$Z308))</f>
        <v/>
      </c>
      <c r="H308" s="241">
        <f>IF($C308="","",N($H307)+$F308-$G308)</f>
        <v/>
      </c>
      <c r="I308" s="6" t="n"/>
      <c r="J308" s="6" t="n"/>
      <c r="K308" s="3" t="n"/>
      <c r="L308" s="3" t="n"/>
      <c r="M308" s="3" t="n">
        <v>297</v>
      </c>
      <c r="N308" s="3">
        <f>IF($U308=0,"",INDEX(TAHSILAT!$E$7:$E$1506,$U308))</f>
        <v/>
      </c>
      <c r="O308" s="3">
        <f>IF($N308="","","Ödeme  –  "&amp;INDEX(TAHSILAT!$H$7:$H$1506,$U308)&amp;"  ("&amp;INDEX(TAHSILAT!$G$7:$G$1506,$U308)&amp;")"&amp;IF(INDEX(TAHSILAT!$J$7:$J$1506,$U308)="",""," / "&amp;INDEX(TAHSILAT!$J$7:$J$1506,$U308)))</f>
        <v/>
      </c>
      <c r="P308" s="3">
        <f>IF($N308="","","ÖDEME")</f>
        <v/>
      </c>
      <c r="Q308" s="3" t="n"/>
      <c r="R308" s="3" t="n">
        <v>0</v>
      </c>
      <c r="S308" s="3">
        <f>IF($N308="",0,INDEX(TAHSILAT!$F$7:$F$1506,$U308))</f>
        <v/>
      </c>
      <c r="T308" s="3">
        <f>IF($N308="",10000000000,$N308*100000+$M308)</f>
        <v/>
      </c>
      <c r="U308" s="3">
        <f>IFERROR(MATCH($AC$4&amp;"|56",TAHSILAT!$Q$7:$Q$1506,0),0)</f>
        <v/>
      </c>
      <c r="V308" s="3" t="n"/>
      <c r="W308" s="3" t="n"/>
      <c r="X308" s="3" t="n"/>
      <c r="Y308" s="3">
        <f>IFERROR(SMALL($T$12:$T$432,ROW()-11),"")</f>
        <v/>
      </c>
      <c r="Z308" s="3">
        <f>IFERROR(MATCH($Y308,$T$12:$T$432,0),"")</f>
        <v/>
      </c>
      <c r="AA308" s="3" t="n"/>
      <c r="AB308" s="3" t="n"/>
      <c r="AC308" s="3" t="n"/>
      <c r="AD308" s="3" t="n"/>
    </row>
    <row r="309">
      <c r="A309" s="6" t="n"/>
      <c r="B309" s="153">
        <f>IF($C309="","",ROW()-11)</f>
        <v/>
      </c>
      <c r="C309" s="240">
        <f>IF($Z309="","",IF(INDEX($N$12:$N$432,$Z309)="","",INDEX($N$12:$N$432,$Z309)))</f>
        <v/>
      </c>
      <c r="D309" s="29">
        <f>IF($C309="","",INDEX($O$12:$O$432,$Z309))</f>
        <v/>
      </c>
      <c r="E309" s="153">
        <f>IF($C309="","",INDEX($P$12:$P$432,$Z309))</f>
        <v/>
      </c>
      <c r="F309" s="241">
        <f>IF($C309="","",INDEX($R$12:$R$432,$Z309))</f>
        <v/>
      </c>
      <c r="G309" s="241">
        <f>IF($C309="","",INDEX($S$12:$S$432,$Z309))</f>
        <v/>
      </c>
      <c r="H309" s="241">
        <f>IF($C309="","",N($H308)+$F309-$G309)</f>
        <v/>
      </c>
      <c r="I309" s="6" t="n"/>
      <c r="J309" s="6" t="n"/>
      <c r="K309" s="3" t="n"/>
      <c r="L309" s="3" t="n"/>
      <c r="M309" s="3" t="n">
        <v>298</v>
      </c>
      <c r="N309" s="3">
        <f>IF($U309=0,"",INDEX(TAHSILAT!$E$7:$E$1506,$U309))</f>
        <v/>
      </c>
      <c r="O309" s="3">
        <f>IF($N309="","","Ödeme  –  "&amp;INDEX(TAHSILAT!$H$7:$H$1506,$U309)&amp;"  ("&amp;INDEX(TAHSILAT!$G$7:$G$1506,$U309)&amp;")"&amp;IF(INDEX(TAHSILAT!$J$7:$J$1506,$U309)="",""," / "&amp;INDEX(TAHSILAT!$J$7:$J$1506,$U309)))</f>
        <v/>
      </c>
      <c r="P309" s="3">
        <f>IF($N309="","","ÖDEME")</f>
        <v/>
      </c>
      <c r="Q309" s="3" t="n"/>
      <c r="R309" s="3" t="n">
        <v>0</v>
      </c>
      <c r="S309" s="3">
        <f>IF($N309="",0,INDEX(TAHSILAT!$F$7:$F$1506,$U309))</f>
        <v/>
      </c>
      <c r="T309" s="3">
        <f>IF($N309="",10000000000,$N309*100000+$M309)</f>
        <v/>
      </c>
      <c r="U309" s="3">
        <f>IFERROR(MATCH($AC$4&amp;"|57",TAHSILAT!$Q$7:$Q$1506,0),0)</f>
        <v/>
      </c>
      <c r="V309" s="3" t="n"/>
      <c r="W309" s="3" t="n"/>
      <c r="X309" s="3" t="n"/>
      <c r="Y309" s="3">
        <f>IFERROR(SMALL($T$12:$T$432,ROW()-11),"")</f>
        <v/>
      </c>
      <c r="Z309" s="3">
        <f>IFERROR(MATCH($Y309,$T$12:$T$432,0),"")</f>
        <v/>
      </c>
      <c r="AA309" s="3" t="n"/>
      <c r="AB309" s="3" t="n"/>
      <c r="AC309" s="3" t="n"/>
      <c r="AD309" s="3" t="n"/>
    </row>
    <row r="310">
      <c r="A310" s="6" t="n"/>
      <c r="B310" s="153">
        <f>IF($C310="","",ROW()-11)</f>
        <v/>
      </c>
      <c r="C310" s="240">
        <f>IF($Z310="","",IF(INDEX($N$12:$N$432,$Z310)="","",INDEX($N$12:$N$432,$Z310)))</f>
        <v/>
      </c>
      <c r="D310" s="29">
        <f>IF($C310="","",INDEX($O$12:$O$432,$Z310))</f>
        <v/>
      </c>
      <c r="E310" s="153">
        <f>IF($C310="","",INDEX($P$12:$P$432,$Z310))</f>
        <v/>
      </c>
      <c r="F310" s="241">
        <f>IF($C310="","",INDEX($R$12:$R$432,$Z310))</f>
        <v/>
      </c>
      <c r="G310" s="241">
        <f>IF($C310="","",INDEX($S$12:$S$432,$Z310))</f>
        <v/>
      </c>
      <c r="H310" s="241">
        <f>IF($C310="","",N($H309)+$F310-$G310)</f>
        <v/>
      </c>
      <c r="I310" s="6" t="n"/>
      <c r="J310" s="6" t="n"/>
      <c r="K310" s="3" t="n"/>
      <c r="L310" s="3" t="n"/>
      <c r="M310" s="3" t="n">
        <v>299</v>
      </c>
      <c r="N310" s="3">
        <f>IF($U310=0,"",INDEX(TAHSILAT!$E$7:$E$1506,$U310))</f>
        <v/>
      </c>
      <c r="O310" s="3">
        <f>IF($N310="","","Ödeme  –  "&amp;INDEX(TAHSILAT!$H$7:$H$1506,$U310)&amp;"  ("&amp;INDEX(TAHSILAT!$G$7:$G$1506,$U310)&amp;")"&amp;IF(INDEX(TAHSILAT!$J$7:$J$1506,$U310)="",""," / "&amp;INDEX(TAHSILAT!$J$7:$J$1506,$U310)))</f>
        <v/>
      </c>
      <c r="P310" s="3">
        <f>IF($N310="","","ÖDEME")</f>
        <v/>
      </c>
      <c r="Q310" s="3" t="n"/>
      <c r="R310" s="3" t="n">
        <v>0</v>
      </c>
      <c r="S310" s="3">
        <f>IF($N310="",0,INDEX(TAHSILAT!$F$7:$F$1506,$U310))</f>
        <v/>
      </c>
      <c r="T310" s="3">
        <f>IF($N310="",10000000000,$N310*100000+$M310)</f>
        <v/>
      </c>
      <c r="U310" s="3">
        <f>IFERROR(MATCH($AC$4&amp;"|58",TAHSILAT!$Q$7:$Q$1506,0),0)</f>
        <v/>
      </c>
      <c r="V310" s="3" t="n"/>
      <c r="W310" s="3" t="n"/>
      <c r="X310" s="3" t="n"/>
      <c r="Y310" s="3">
        <f>IFERROR(SMALL($T$12:$T$432,ROW()-11),"")</f>
        <v/>
      </c>
      <c r="Z310" s="3">
        <f>IFERROR(MATCH($Y310,$T$12:$T$432,0),"")</f>
        <v/>
      </c>
      <c r="AA310" s="3" t="n"/>
      <c r="AB310" s="3" t="n"/>
      <c r="AC310" s="3" t="n"/>
      <c r="AD310" s="3" t="n"/>
    </row>
    <row r="311">
      <c r="A311" s="6" t="n"/>
      <c r="B311" s="153">
        <f>IF($C311="","",ROW()-11)</f>
        <v/>
      </c>
      <c r="C311" s="240">
        <f>IF($Z311="","",IF(INDEX($N$12:$N$432,$Z311)="","",INDEX($N$12:$N$432,$Z311)))</f>
        <v/>
      </c>
      <c r="D311" s="29">
        <f>IF($C311="","",INDEX($O$12:$O$432,$Z311))</f>
        <v/>
      </c>
      <c r="E311" s="153">
        <f>IF($C311="","",INDEX($P$12:$P$432,$Z311))</f>
        <v/>
      </c>
      <c r="F311" s="241">
        <f>IF($C311="","",INDEX($R$12:$R$432,$Z311))</f>
        <v/>
      </c>
      <c r="G311" s="241">
        <f>IF($C311="","",INDEX($S$12:$S$432,$Z311))</f>
        <v/>
      </c>
      <c r="H311" s="241">
        <f>IF($C311="","",N($H310)+$F311-$G311)</f>
        <v/>
      </c>
      <c r="I311" s="6" t="n"/>
      <c r="J311" s="6" t="n"/>
      <c r="K311" s="3" t="n"/>
      <c r="L311" s="3" t="n"/>
      <c r="M311" s="3" t="n">
        <v>300</v>
      </c>
      <c r="N311" s="3">
        <f>IF($U311=0,"",INDEX(TAHSILAT!$E$7:$E$1506,$U311))</f>
        <v/>
      </c>
      <c r="O311" s="3">
        <f>IF($N311="","","Ödeme  –  "&amp;INDEX(TAHSILAT!$H$7:$H$1506,$U311)&amp;"  ("&amp;INDEX(TAHSILAT!$G$7:$G$1506,$U311)&amp;")"&amp;IF(INDEX(TAHSILAT!$J$7:$J$1506,$U311)="",""," / "&amp;INDEX(TAHSILAT!$J$7:$J$1506,$U311)))</f>
        <v/>
      </c>
      <c r="P311" s="3">
        <f>IF($N311="","","ÖDEME")</f>
        <v/>
      </c>
      <c r="Q311" s="3" t="n"/>
      <c r="R311" s="3" t="n">
        <v>0</v>
      </c>
      <c r="S311" s="3">
        <f>IF($N311="",0,INDEX(TAHSILAT!$F$7:$F$1506,$U311))</f>
        <v/>
      </c>
      <c r="T311" s="3">
        <f>IF($N311="",10000000000,$N311*100000+$M311)</f>
        <v/>
      </c>
      <c r="U311" s="3">
        <f>IFERROR(MATCH($AC$4&amp;"|59",TAHSILAT!$Q$7:$Q$1506,0),0)</f>
        <v/>
      </c>
      <c r="V311" s="3" t="n"/>
      <c r="W311" s="3" t="n"/>
      <c r="X311" s="3" t="n"/>
      <c r="Y311" s="3">
        <f>IFERROR(SMALL($T$12:$T$432,ROW()-11),"")</f>
        <v/>
      </c>
      <c r="Z311" s="3">
        <f>IFERROR(MATCH($Y311,$T$12:$T$432,0),"")</f>
        <v/>
      </c>
      <c r="AA311" s="3" t="n"/>
      <c r="AB311" s="3" t="n"/>
      <c r="AC311" s="3" t="n"/>
      <c r="AD311" s="3" t="n"/>
    </row>
    <row r="312">
      <c r="A312" s="6" t="n"/>
      <c r="B312" s="3" t="n"/>
      <c r="C312" s="3" t="n"/>
      <c r="D312" s="3" t="n"/>
      <c r="E312" s="3" t="n"/>
      <c r="F312" s="3" t="n"/>
      <c r="G312" s="3" t="n"/>
      <c r="H312" s="3" t="n"/>
      <c r="I312" s="6" t="n"/>
      <c r="J312" s="6" t="n"/>
      <c r="K312" s="3" t="n"/>
      <c r="L312" s="3" t="n"/>
      <c r="M312" s="3" t="n">
        <v>301</v>
      </c>
      <c r="N312" s="3">
        <f>IF($U312=0,"",INDEX(TAHSILAT!$E$7:$E$1506,$U312))</f>
        <v/>
      </c>
      <c r="O312" s="3">
        <f>IF($N312="","","Ödeme  –  "&amp;INDEX(TAHSILAT!$H$7:$H$1506,$U312)&amp;"  ("&amp;INDEX(TAHSILAT!$G$7:$G$1506,$U312)&amp;")"&amp;IF(INDEX(TAHSILAT!$J$7:$J$1506,$U312)="",""," / "&amp;INDEX(TAHSILAT!$J$7:$J$1506,$U312)))</f>
        <v/>
      </c>
      <c r="P312" s="3">
        <f>IF($N312="","","ÖDEME")</f>
        <v/>
      </c>
      <c r="Q312" s="3" t="n"/>
      <c r="R312" s="3" t="n">
        <v>0</v>
      </c>
      <c r="S312" s="3">
        <f>IF($N312="",0,INDEX(TAHSILAT!$F$7:$F$1506,$U312))</f>
        <v/>
      </c>
      <c r="T312" s="3">
        <f>IF($N312="",10000000000,$N312*100000+$M312)</f>
        <v/>
      </c>
      <c r="U312" s="3">
        <f>IFERROR(MATCH($AC$4&amp;"|60",TAHSILAT!$Q$7:$Q$1506,0),0)</f>
        <v/>
      </c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</row>
    <row r="313" ht="30" customHeight="1">
      <c r="A313" s="6" t="n"/>
      <c r="B313" s="156">
        <f>"Bu ekstre "&amp;RIGHT("0"&amp;DAY(TODAY()),2)&amp;"."&amp;RIGHT("0"&amp;MONTH(TODAY()),2)&amp;"."&amp;YEAR(TODAY())&amp;" tarihi itibarıyla KILIÇ MUHASEBE kayıtlarından otomatik olarak üretilmiştir. Mutabakatsızlık halinde 7 gün içinde yazılı bildirilmesi rica olunur."</f>
        <v/>
      </c>
      <c r="C313" s="242" t="n"/>
      <c r="D313" s="242" t="n"/>
      <c r="E313" s="242" t="n"/>
      <c r="F313" s="242" t="n"/>
      <c r="G313" s="242" t="n"/>
      <c r="H313" s="242" t="n"/>
      <c r="I313" s="6" t="n"/>
      <c r="J313" s="6" t="n"/>
      <c r="K313" s="3" t="n"/>
      <c r="L313" s="3" t="n"/>
      <c r="M313" s="3" t="n">
        <v>302</v>
      </c>
      <c r="N313" s="3">
        <f>IF($U313=0,"",INDEX(TAHSILAT!$E$7:$E$1506,$U313))</f>
        <v/>
      </c>
      <c r="O313" s="3">
        <f>IF($N313="","","Ödeme  –  "&amp;INDEX(TAHSILAT!$H$7:$H$1506,$U313)&amp;"  ("&amp;INDEX(TAHSILAT!$G$7:$G$1506,$U313)&amp;")"&amp;IF(INDEX(TAHSILAT!$J$7:$J$1506,$U313)="",""," / "&amp;INDEX(TAHSILAT!$J$7:$J$1506,$U313)))</f>
        <v/>
      </c>
      <c r="P313" s="3">
        <f>IF($N313="","","ÖDEME")</f>
        <v/>
      </c>
      <c r="Q313" s="3" t="n"/>
      <c r="R313" s="3" t="n">
        <v>0</v>
      </c>
      <c r="S313" s="3">
        <f>IF($N313="",0,INDEX(TAHSILAT!$F$7:$F$1506,$U313))</f>
        <v/>
      </c>
      <c r="T313" s="3">
        <f>IF($N313="",10000000000,$N313*100000+$M313)</f>
        <v/>
      </c>
      <c r="U313" s="3">
        <f>IFERROR(MATCH($AC$4&amp;"|61",TAHSILAT!$Q$7:$Q$1506,0),0)</f>
        <v/>
      </c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</row>
    <row r="314" ht="44" customHeight="1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3" t="n"/>
      <c r="L314" s="3" t="n"/>
      <c r="M314" s="3" t="n">
        <v>303</v>
      </c>
      <c r="N314" s="3">
        <f>IF($U314=0,"",INDEX(TAHSILAT!$E$7:$E$1506,$U314))</f>
        <v/>
      </c>
      <c r="O314" s="3">
        <f>IF($N314="","","Ödeme  –  "&amp;INDEX(TAHSILAT!$H$7:$H$1506,$U314)&amp;"  ("&amp;INDEX(TAHSILAT!$G$7:$G$1506,$U314)&amp;")"&amp;IF(INDEX(TAHSILAT!$J$7:$J$1506,$U314)="",""," / "&amp;INDEX(TAHSILAT!$J$7:$J$1506,$U314)))</f>
        <v/>
      </c>
      <c r="P314" s="3">
        <f>IF($N314="","","ÖDEME")</f>
        <v/>
      </c>
      <c r="Q314" s="3" t="n"/>
      <c r="R314" s="3" t="n">
        <v>0</v>
      </c>
      <c r="S314" s="3">
        <f>IF($N314="",0,INDEX(TAHSILAT!$F$7:$F$1506,$U314))</f>
        <v/>
      </c>
      <c r="T314" s="3">
        <f>IF($N314="",10000000000,$N314*100000+$M314)</f>
        <v/>
      </c>
      <c r="U314" s="3">
        <f>IFERROR(MATCH($AC$4&amp;"|62",TAHSILAT!$Q$7:$Q$1506,0),0)</f>
        <v/>
      </c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</row>
    <row r="315" ht="20" customHeight="1">
      <c r="A315" s="6" t="n"/>
      <c r="B315" s="158" t="inlineStr">
        <is>
          <t>KILIÇ MUHASEBE   │   Kaşe / İmza</t>
        </is>
      </c>
      <c r="C315" s="243" t="n"/>
      <c r="D315" s="243" t="n"/>
      <c r="E315" s="3" t="n"/>
      <c r="F315" s="158" t="inlineStr">
        <is>
          <t>Mükellef   │   Kaşe / İmza</t>
        </is>
      </c>
      <c r="G315" s="243" t="n"/>
      <c r="H315" s="243" t="n"/>
      <c r="I315" s="6" t="n"/>
      <c r="J315" s="6" t="n"/>
      <c r="K315" s="3" t="n"/>
      <c r="L315" s="3" t="n"/>
      <c r="M315" s="3" t="n">
        <v>304</v>
      </c>
      <c r="N315" s="3">
        <f>IF($U315=0,"",INDEX(TAHSILAT!$E$7:$E$1506,$U315))</f>
        <v/>
      </c>
      <c r="O315" s="3">
        <f>IF($N315="","","Ödeme  –  "&amp;INDEX(TAHSILAT!$H$7:$H$1506,$U315)&amp;"  ("&amp;INDEX(TAHSILAT!$G$7:$G$1506,$U315)&amp;")"&amp;IF(INDEX(TAHSILAT!$J$7:$J$1506,$U315)="",""," / "&amp;INDEX(TAHSILAT!$J$7:$J$1506,$U315)))</f>
        <v/>
      </c>
      <c r="P315" s="3">
        <f>IF($N315="","","ÖDEME")</f>
        <v/>
      </c>
      <c r="Q315" s="3" t="n"/>
      <c r="R315" s="3" t="n">
        <v>0</v>
      </c>
      <c r="S315" s="3">
        <f>IF($N315="",0,INDEX(TAHSILAT!$F$7:$F$1506,$U315))</f>
        <v/>
      </c>
      <c r="T315" s="3">
        <f>IF($N315="",10000000000,$N315*100000+$M315)</f>
        <v/>
      </c>
      <c r="U315" s="3">
        <f>IFERROR(MATCH($AC$4&amp;"|63",TAHSILAT!$Q$7:$Q$1506,0),0)</f>
        <v/>
      </c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</row>
    <row r="316">
      <c r="A316" s="6" t="n"/>
      <c r="B316" s="3" t="n"/>
      <c r="C316" s="3" t="n"/>
      <c r="D316" s="3" t="n"/>
      <c r="E316" s="3" t="n"/>
      <c r="F316" s="3" t="n"/>
      <c r="G316" s="3" t="n"/>
      <c r="H316" s="3" t="n"/>
      <c r="I316" s="6" t="n"/>
      <c r="J316" s="6" t="n"/>
      <c r="K316" s="3" t="n"/>
      <c r="L316" s="3" t="n"/>
      <c r="M316" s="3" t="n">
        <v>305</v>
      </c>
      <c r="N316" s="3">
        <f>IF($U316=0,"",INDEX(TAHSILAT!$E$7:$E$1506,$U316))</f>
        <v/>
      </c>
      <c r="O316" s="3">
        <f>IF($N316="","","Ödeme  –  "&amp;INDEX(TAHSILAT!$H$7:$H$1506,$U316)&amp;"  ("&amp;INDEX(TAHSILAT!$G$7:$G$1506,$U316)&amp;")"&amp;IF(INDEX(TAHSILAT!$J$7:$J$1506,$U316)="",""," / "&amp;INDEX(TAHSILAT!$J$7:$J$1506,$U316)))</f>
        <v/>
      </c>
      <c r="P316" s="3">
        <f>IF($N316="","","ÖDEME")</f>
        <v/>
      </c>
      <c r="Q316" s="3" t="n"/>
      <c r="R316" s="3" t="n">
        <v>0</v>
      </c>
      <c r="S316" s="3">
        <f>IF($N316="",0,INDEX(TAHSILAT!$F$7:$F$1506,$U316))</f>
        <v/>
      </c>
      <c r="T316" s="3">
        <f>IF($N316="",10000000000,$N316*100000+$M316)</f>
        <v/>
      </c>
      <c r="U316" s="3">
        <f>IFERROR(MATCH($AC$4&amp;"|64",TAHSILAT!$Q$7:$Q$1506,0),0)</f>
        <v/>
      </c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>
        <v>306</v>
      </c>
      <c r="N317" s="3">
        <f>IF($U317=0,"",INDEX(TAHSILAT!$E$7:$E$1506,$U317))</f>
        <v/>
      </c>
      <c r="O317" s="3">
        <f>IF($N317="","","Ödeme  –  "&amp;INDEX(TAHSILAT!$H$7:$H$1506,$U317)&amp;"  ("&amp;INDEX(TAHSILAT!$G$7:$G$1506,$U317)&amp;")"&amp;IF(INDEX(TAHSILAT!$J$7:$J$1506,$U317)="",""," / "&amp;INDEX(TAHSILAT!$J$7:$J$1506,$U317)))</f>
        <v/>
      </c>
      <c r="P317" s="3">
        <f>IF($N317="","","ÖDEME")</f>
        <v/>
      </c>
      <c r="Q317" s="3" t="n"/>
      <c r="R317" s="3" t="n">
        <v>0</v>
      </c>
      <c r="S317" s="3">
        <f>IF($N317="",0,INDEX(TAHSILAT!$F$7:$F$1506,$U317))</f>
        <v/>
      </c>
      <c r="T317" s="3">
        <f>IF($N317="",10000000000,$N317*100000+$M317)</f>
        <v/>
      </c>
      <c r="U317" s="3">
        <f>IFERROR(MATCH($AC$4&amp;"|65",TAHSILAT!$Q$7:$Q$1506,0),0)</f>
        <v/>
      </c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>
        <v>307</v>
      </c>
      <c r="N318" s="3">
        <f>IF($U318=0,"",INDEX(TAHSILAT!$E$7:$E$1506,$U318))</f>
        <v/>
      </c>
      <c r="O318" s="3">
        <f>IF($N318="","","Ödeme  –  "&amp;INDEX(TAHSILAT!$H$7:$H$1506,$U318)&amp;"  ("&amp;INDEX(TAHSILAT!$G$7:$G$1506,$U318)&amp;")"&amp;IF(INDEX(TAHSILAT!$J$7:$J$1506,$U318)="",""," / "&amp;INDEX(TAHSILAT!$J$7:$J$1506,$U318)))</f>
        <v/>
      </c>
      <c r="P318" s="3">
        <f>IF($N318="","","ÖDEME")</f>
        <v/>
      </c>
      <c r="Q318" s="3" t="n"/>
      <c r="R318" s="3" t="n">
        <v>0</v>
      </c>
      <c r="S318" s="3">
        <f>IF($N318="",0,INDEX(TAHSILAT!$F$7:$F$1506,$U318))</f>
        <v/>
      </c>
      <c r="T318" s="3">
        <f>IF($N318="",10000000000,$N318*100000+$M318)</f>
        <v/>
      </c>
      <c r="U318" s="3">
        <f>IFERROR(MATCH($AC$4&amp;"|66",TAHSILAT!$Q$7:$Q$1506,0),0)</f>
        <v/>
      </c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>
        <v>308</v>
      </c>
      <c r="N319" s="3">
        <f>IF($U319=0,"",INDEX(TAHSILAT!$E$7:$E$1506,$U319))</f>
        <v/>
      </c>
      <c r="O319" s="3">
        <f>IF($N319="","","Ödeme  –  "&amp;INDEX(TAHSILAT!$H$7:$H$1506,$U319)&amp;"  ("&amp;INDEX(TAHSILAT!$G$7:$G$1506,$U319)&amp;")"&amp;IF(INDEX(TAHSILAT!$J$7:$J$1506,$U319)="",""," / "&amp;INDEX(TAHSILAT!$J$7:$J$1506,$U319)))</f>
        <v/>
      </c>
      <c r="P319" s="3">
        <f>IF($N319="","","ÖDEME")</f>
        <v/>
      </c>
      <c r="Q319" s="3" t="n"/>
      <c r="R319" s="3" t="n">
        <v>0</v>
      </c>
      <c r="S319" s="3">
        <f>IF($N319="",0,INDEX(TAHSILAT!$F$7:$F$1506,$U319))</f>
        <v/>
      </c>
      <c r="T319" s="3">
        <f>IF($N319="",10000000000,$N319*100000+$M319)</f>
        <v/>
      </c>
      <c r="U319" s="3">
        <f>IFERROR(MATCH($AC$4&amp;"|67",TAHSILAT!$Q$7:$Q$1506,0),0)</f>
        <v/>
      </c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>
        <v>309</v>
      </c>
      <c r="N320" s="3">
        <f>IF($U320=0,"",INDEX(TAHSILAT!$E$7:$E$1506,$U320))</f>
        <v/>
      </c>
      <c r="O320" s="3">
        <f>IF($N320="","","Ödeme  –  "&amp;INDEX(TAHSILAT!$H$7:$H$1506,$U320)&amp;"  ("&amp;INDEX(TAHSILAT!$G$7:$G$1506,$U320)&amp;")"&amp;IF(INDEX(TAHSILAT!$J$7:$J$1506,$U320)="",""," / "&amp;INDEX(TAHSILAT!$J$7:$J$1506,$U320)))</f>
        <v/>
      </c>
      <c r="P320" s="3">
        <f>IF($N320="","","ÖDEME")</f>
        <v/>
      </c>
      <c r="Q320" s="3" t="n"/>
      <c r="R320" s="3" t="n">
        <v>0</v>
      </c>
      <c r="S320" s="3">
        <f>IF($N320="",0,INDEX(TAHSILAT!$F$7:$F$1506,$U320))</f>
        <v/>
      </c>
      <c r="T320" s="3">
        <f>IF($N320="",10000000000,$N320*100000+$M320)</f>
        <v/>
      </c>
      <c r="U320" s="3">
        <f>IFERROR(MATCH($AC$4&amp;"|68",TAHSILAT!$Q$7:$Q$1506,0),0)</f>
        <v/>
      </c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>
        <v>310</v>
      </c>
      <c r="N321" s="3">
        <f>IF($U321=0,"",INDEX(TAHSILAT!$E$7:$E$1506,$U321))</f>
        <v/>
      </c>
      <c r="O321" s="3">
        <f>IF($N321="","","Ödeme  –  "&amp;INDEX(TAHSILAT!$H$7:$H$1506,$U321)&amp;"  ("&amp;INDEX(TAHSILAT!$G$7:$G$1506,$U321)&amp;")"&amp;IF(INDEX(TAHSILAT!$J$7:$J$1506,$U321)="",""," / "&amp;INDEX(TAHSILAT!$J$7:$J$1506,$U321)))</f>
        <v/>
      </c>
      <c r="P321" s="3">
        <f>IF($N321="","","ÖDEME")</f>
        <v/>
      </c>
      <c r="Q321" s="3" t="n"/>
      <c r="R321" s="3" t="n">
        <v>0</v>
      </c>
      <c r="S321" s="3">
        <f>IF($N321="",0,INDEX(TAHSILAT!$F$7:$F$1506,$U321))</f>
        <v/>
      </c>
      <c r="T321" s="3">
        <f>IF($N321="",10000000000,$N321*100000+$M321)</f>
        <v/>
      </c>
      <c r="U321" s="3">
        <f>IFERROR(MATCH($AC$4&amp;"|69",TAHSILAT!$Q$7:$Q$1506,0),0)</f>
        <v/>
      </c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>
        <v>311</v>
      </c>
      <c r="N322" s="3">
        <f>IF($U322=0,"",INDEX(TAHSILAT!$E$7:$E$1506,$U322))</f>
        <v/>
      </c>
      <c r="O322" s="3">
        <f>IF($N322="","","Ödeme  –  "&amp;INDEX(TAHSILAT!$H$7:$H$1506,$U322)&amp;"  ("&amp;INDEX(TAHSILAT!$G$7:$G$1506,$U322)&amp;")"&amp;IF(INDEX(TAHSILAT!$J$7:$J$1506,$U322)="",""," / "&amp;INDEX(TAHSILAT!$J$7:$J$1506,$U322)))</f>
        <v/>
      </c>
      <c r="P322" s="3">
        <f>IF($N322="","","ÖDEME")</f>
        <v/>
      </c>
      <c r="Q322" s="3" t="n"/>
      <c r="R322" s="3" t="n">
        <v>0</v>
      </c>
      <c r="S322" s="3">
        <f>IF($N322="",0,INDEX(TAHSILAT!$F$7:$F$1506,$U322))</f>
        <v/>
      </c>
      <c r="T322" s="3">
        <f>IF($N322="",10000000000,$N322*100000+$M322)</f>
        <v/>
      </c>
      <c r="U322" s="3">
        <f>IFERROR(MATCH($AC$4&amp;"|70",TAHSILAT!$Q$7:$Q$1506,0),0)</f>
        <v/>
      </c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>
        <v>312</v>
      </c>
      <c r="N323" s="3">
        <f>IF($U323=0,"",INDEX(TAHSILAT!$E$7:$E$1506,$U323))</f>
        <v/>
      </c>
      <c r="O323" s="3">
        <f>IF($N323="","","Ödeme  –  "&amp;INDEX(TAHSILAT!$H$7:$H$1506,$U323)&amp;"  ("&amp;INDEX(TAHSILAT!$G$7:$G$1506,$U323)&amp;")"&amp;IF(INDEX(TAHSILAT!$J$7:$J$1506,$U323)="",""," / "&amp;INDEX(TAHSILAT!$J$7:$J$1506,$U323)))</f>
        <v/>
      </c>
      <c r="P323" s="3">
        <f>IF($N323="","","ÖDEME")</f>
        <v/>
      </c>
      <c r="Q323" s="3" t="n"/>
      <c r="R323" s="3" t="n">
        <v>0</v>
      </c>
      <c r="S323" s="3">
        <f>IF($N323="",0,INDEX(TAHSILAT!$F$7:$F$1506,$U323))</f>
        <v/>
      </c>
      <c r="T323" s="3">
        <f>IF($N323="",10000000000,$N323*100000+$M323)</f>
        <v/>
      </c>
      <c r="U323" s="3">
        <f>IFERROR(MATCH($AC$4&amp;"|71",TAHSILAT!$Q$7:$Q$1506,0),0)</f>
        <v/>
      </c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>
        <v>313</v>
      </c>
      <c r="N324" s="3">
        <f>IF($U324=0,"",INDEX(TAHSILAT!$E$7:$E$1506,$U324))</f>
        <v/>
      </c>
      <c r="O324" s="3">
        <f>IF($N324="","","Ödeme  –  "&amp;INDEX(TAHSILAT!$H$7:$H$1506,$U324)&amp;"  ("&amp;INDEX(TAHSILAT!$G$7:$G$1506,$U324)&amp;")"&amp;IF(INDEX(TAHSILAT!$J$7:$J$1506,$U324)="",""," / "&amp;INDEX(TAHSILAT!$J$7:$J$1506,$U324)))</f>
        <v/>
      </c>
      <c r="P324" s="3">
        <f>IF($N324="","","ÖDEME")</f>
        <v/>
      </c>
      <c r="Q324" s="3" t="n"/>
      <c r="R324" s="3" t="n">
        <v>0</v>
      </c>
      <c r="S324" s="3">
        <f>IF($N324="",0,INDEX(TAHSILAT!$F$7:$F$1506,$U324))</f>
        <v/>
      </c>
      <c r="T324" s="3">
        <f>IF($N324="",10000000000,$N324*100000+$M324)</f>
        <v/>
      </c>
      <c r="U324" s="3">
        <f>IFERROR(MATCH($AC$4&amp;"|72",TAHSILAT!$Q$7:$Q$1506,0),0)</f>
        <v/>
      </c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>
        <v>314</v>
      </c>
      <c r="N325" s="3">
        <f>IF($U325=0,"",INDEX(TAHSILAT!$E$7:$E$1506,$U325))</f>
        <v/>
      </c>
      <c r="O325" s="3">
        <f>IF($N325="","","Ödeme  –  "&amp;INDEX(TAHSILAT!$H$7:$H$1506,$U325)&amp;"  ("&amp;INDEX(TAHSILAT!$G$7:$G$1506,$U325)&amp;")"&amp;IF(INDEX(TAHSILAT!$J$7:$J$1506,$U325)="",""," / "&amp;INDEX(TAHSILAT!$J$7:$J$1506,$U325)))</f>
        <v/>
      </c>
      <c r="P325" s="3">
        <f>IF($N325="","","ÖDEME")</f>
        <v/>
      </c>
      <c r="Q325" s="3" t="n"/>
      <c r="R325" s="3" t="n">
        <v>0</v>
      </c>
      <c r="S325" s="3">
        <f>IF($N325="",0,INDEX(TAHSILAT!$F$7:$F$1506,$U325))</f>
        <v/>
      </c>
      <c r="T325" s="3">
        <f>IF($N325="",10000000000,$N325*100000+$M325)</f>
        <v/>
      </c>
      <c r="U325" s="3">
        <f>IFERROR(MATCH($AC$4&amp;"|73",TAHSILAT!$Q$7:$Q$1506,0),0)</f>
        <v/>
      </c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>
        <v>315</v>
      </c>
      <c r="N326" s="3">
        <f>IF($U326=0,"",INDEX(TAHSILAT!$E$7:$E$1506,$U326))</f>
        <v/>
      </c>
      <c r="O326" s="3">
        <f>IF($N326="","","Ödeme  –  "&amp;INDEX(TAHSILAT!$H$7:$H$1506,$U326)&amp;"  ("&amp;INDEX(TAHSILAT!$G$7:$G$1506,$U326)&amp;")"&amp;IF(INDEX(TAHSILAT!$J$7:$J$1506,$U326)="",""," / "&amp;INDEX(TAHSILAT!$J$7:$J$1506,$U326)))</f>
        <v/>
      </c>
      <c r="P326" s="3">
        <f>IF($N326="","","ÖDEME")</f>
        <v/>
      </c>
      <c r="Q326" s="3" t="n"/>
      <c r="R326" s="3" t="n">
        <v>0</v>
      </c>
      <c r="S326" s="3">
        <f>IF($N326="",0,INDEX(TAHSILAT!$F$7:$F$1506,$U326))</f>
        <v/>
      </c>
      <c r="T326" s="3">
        <f>IF($N326="",10000000000,$N326*100000+$M326)</f>
        <v/>
      </c>
      <c r="U326" s="3">
        <f>IFERROR(MATCH($AC$4&amp;"|74",TAHSILAT!$Q$7:$Q$1506,0),0)</f>
        <v/>
      </c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>
        <v>316</v>
      </c>
      <c r="N327" s="3">
        <f>IF($U327=0,"",INDEX(TAHSILAT!$E$7:$E$1506,$U327))</f>
        <v/>
      </c>
      <c r="O327" s="3">
        <f>IF($N327="","","Ödeme  –  "&amp;INDEX(TAHSILAT!$H$7:$H$1506,$U327)&amp;"  ("&amp;INDEX(TAHSILAT!$G$7:$G$1506,$U327)&amp;")"&amp;IF(INDEX(TAHSILAT!$J$7:$J$1506,$U327)="",""," / "&amp;INDEX(TAHSILAT!$J$7:$J$1506,$U327)))</f>
        <v/>
      </c>
      <c r="P327" s="3">
        <f>IF($N327="","","ÖDEME")</f>
        <v/>
      </c>
      <c r="Q327" s="3" t="n"/>
      <c r="R327" s="3" t="n">
        <v>0</v>
      </c>
      <c r="S327" s="3">
        <f>IF($N327="",0,INDEX(TAHSILAT!$F$7:$F$1506,$U327))</f>
        <v/>
      </c>
      <c r="T327" s="3">
        <f>IF($N327="",10000000000,$N327*100000+$M327)</f>
        <v/>
      </c>
      <c r="U327" s="3">
        <f>IFERROR(MATCH($AC$4&amp;"|75",TAHSILAT!$Q$7:$Q$1506,0),0)</f>
        <v/>
      </c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>
        <v>317</v>
      </c>
      <c r="N328" s="3">
        <f>IF($U328=0,"",INDEX(TAHSILAT!$E$7:$E$1506,$U328))</f>
        <v/>
      </c>
      <c r="O328" s="3">
        <f>IF($N328="","","Ödeme  –  "&amp;INDEX(TAHSILAT!$H$7:$H$1506,$U328)&amp;"  ("&amp;INDEX(TAHSILAT!$G$7:$G$1506,$U328)&amp;")"&amp;IF(INDEX(TAHSILAT!$J$7:$J$1506,$U328)="",""," / "&amp;INDEX(TAHSILAT!$J$7:$J$1506,$U328)))</f>
        <v/>
      </c>
      <c r="P328" s="3">
        <f>IF($N328="","","ÖDEME")</f>
        <v/>
      </c>
      <c r="Q328" s="3" t="n"/>
      <c r="R328" s="3" t="n">
        <v>0</v>
      </c>
      <c r="S328" s="3">
        <f>IF($N328="",0,INDEX(TAHSILAT!$F$7:$F$1506,$U328))</f>
        <v/>
      </c>
      <c r="T328" s="3">
        <f>IF($N328="",10000000000,$N328*100000+$M328)</f>
        <v/>
      </c>
      <c r="U328" s="3">
        <f>IFERROR(MATCH($AC$4&amp;"|76",TAHSILAT!$Q$7:$Q$1506,0),0)</f>
        <v/>
      </c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>
        <v>318</v>
      </c>
      <c r="N329" s="3">
        <f>IF($U329=0,"",INDEX(TAHSILAT!$E$7:$E$1506,$U329))</f>
        <v/>
      </c>
      <c r="O329" s="3">
        <f>IF($N329="","","Ödeme  –  "&amp;INDEX(TAHSILAT!$H$7:$H$1506,$U329)&amp;"  ("&amp;INDEX(TAHSILAT!$G$7:$G$1506,$U329)&amp;")"&amp;IF(INDEX(TAHSILAT!$J$7:$J$1506,$U329)="",""," / "&amp;INDEX(TAHSILAT!$J$7:$J$1506,$U329)))</f>
        <v/>
      </c>
      <c r="P329" s="3">
        <f>IF($N329="","","ÖDEME")</f>
        <v/>
      </c>
      <c r="Q329" s="3" t="n"/>
      <c r="R329" s="3" t="n">
        <v>0</v>
      </c>
      <c r="S329" s="3">
        <f>IF($N329="",0,INDEX(TAHSILAT!$F$7:$F$1506,$U329))</f>
        <v/>
      </c>
      <c r="T329" s="3">
        <f>IF($N329="",10000000000,$N329*100000+$M329)</f>
        <v/>
      </c>
      <c r="U329" s="3">
        <f>IFERROR(MATCH($AC$4&amp;"|77",TAHSILAT!$Q$7:$Q$1506,0),0)</f>
        <v/>
      </c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>
        <v>319</v>
      </c>
      <c r="N330" s="3">
        <f>IF($U330=0,"",INDEX(TAHSILAT!$E$7:$E$1506,$U330))</f>
        <v/>
      </c>
      <c r="O330" s="3">
        <f>IF($N330="","","Ödeme  –  "&amp;INDEX(TAHSILAT!$H$7:$H$1506,$U330)&amp;"  ("&amp;INDEX(TAHSILAT!$G$7:$G$1506,$U330)&amp;")"&amp;IF(INDEX(TAHSILAT!$J$7:$J$1506,$U330)="",""," / "&amp;INDEX(TAHSILAT!$J$7:$J$1506,$U330)))</f>
        <v/>
      </c>
      <c r="P330" s="3">
        <f>IF($N330="","","ÖDEME")</f>
        <v/>
      </c>
      <c r="Q330" s="3" t="n"/>
      <c r="R330" s="3" t="n">
        <v>0</v>
      </c>
      <c r="S330" s="3">
        <f>IF($N330="",0,INDEX(TAHSILAT!$F$7:$F$1506,$U330))</f>
        <v/>
      </c>
      <c r="T330" s="3">
        <f>IF($N330="",10000000000,$N330*100000+$M330)</f>
        <v/>
      </c>
      <c r="U330" s="3">
        <f>IFERROR(MATCH($AC$4&amp;"|78",TAHSILAT!$Q$7:$Q$1506,0),0)</f>
        <v/>
      </c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>
        <v>320</v>
      </c>
      <c r="N331" s="3">
        <f>IF($U331=0,"",INDEX(TAHSILAT!$E$7:$E$1506,$U331))</f>
        <v/>
      </c>
      <c r="O331" s="3">
        <f>IF($N331="","","Ödeme  –  "&amp;INDEX(TAHSILAT!$H$7:$H$1506,$U331)&amp;"  ("&amp;INDEX(TAHSILAT!$G$7:$G$1506,$U331)&amp;")"&amp;IF(INDEX(TAHSILAT!$J$7:$J$1506,$U331)="",""," / "&amp;INDEX(TAHSILAT!$J$7:$J$1506,$U331)))</f>
        <v/>
      </c>
      <c r="P331" s="3">
        <f>IF($N331="","","ÖDEME")</f>
        <v/>
      </c>
      <c r="Q331" s="3" t="n"/>
      <c r="R331" s="3" t="n">
        <v>0</v>
      </c>
      <c r="S331" s="3">
        <f>IF($N331="",0,INDEX(TAHSILAT!$F$7:$F$1506,$U331))</f>
        <v/>
      </c>
      <c r="T331" s="3">
        <f>IF($N331="",10000000000,$N331*100000+$M331)</f>
        <v/>
      </c>
      <c r="U331" s="3">
        <f>IFERROR(MATCH($AC$4&amp;"|79",TAHSILAT!$Q$7:$Q$1506,0),0)</f>
        <v/>
      </c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>
        <v>321</v>
      </c>
      <c r="N332" s="3">
        <f>IF($U332=0,"",INDEX(TAHSILAT!$E$7:$E$1506,$U332))</f>
        <v/>
      </c>
      <c r="O332" s="3">
        <f>IF($N332="","","Ödeme  –  "&amp;INDEX(TAHSILAT!$H$7:$H$1506,$U332)&amp;"  ("&amp;INDEX(TAHSILAT!$G$7:$G$1506,$U332)&amp;")"&amp;IF(INDEX(TAHSILAT!$J$7:$J$1506,$U332)="",""," / "&amp;INDEX(TAHSILAT!$J$7:$J$1506,$U332)))</f>
        <v/>
      </c>
      <c r="P332" s="3">
        <f>IF($N332="","","ÖDEME")</f>
        <v/>
      </c>
      <c r="Q332" s="3" t="n"/>
      <c r="R332" s="3" t="n">
        <v>0</v>
      </c>
      <c r="S332" s="3">
        <f>IF($N332="",0,INDEX(TAHSILAT!$F$7:$F$1506,$U332))</f>
        <v/>
      </c>
      <c r="T332" s="3">
        <f>IF($N332="",10000000000,$N332*100000+$M332)</f>
        <v/>
      </c>
      <c r="U332" s="3">
        <f>IFERROR(MATCH($AC$4&amp;"|80",TAHSILAT!$Q$7:$Q$1506,0),0)</f>
        <v/>
      </c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>
        <v>322</v>
      </c>
      <c r="N333" s="3">
        <f>IF($U333=0,"",INDEX(TAHSILAT!$E$7:$E$1506,$U333))</f>
        <v/>
      </c>
      <c r="O333" s="3">
        <f>IF($N333="","","Ödeme  –  "&amp;INDEX(TAHSILAT!$H$7:$H$1506,$U333)&amp;"  ("&amp;INDEX(TAHSILAT!$G$7:$G$1506,$U333)&amp;")"&amp;IF(INDEX(TAHSILAT!$J$7:$J$1506,$U333)="",""," / "&amp;INDEX(TAHSILAT!$J$7:$J$1506,$U333)))</f>
        <v/>
      </c>
      <c r="P333" s="3">
        <f>IF($N333="","","ÖDEME")</f>
        <v/>
      </c>
      <c r="Q333" s="3" t="n"/>
      <c r="R333" s="3" t="n">
        <v>0</v>
      </c>
      <c r="S333" s="3">
        <f>IF($N333="",0,INDEX(TAHSILAT!$F$7:$F$1506,$U333))</f>
        <v/>
      </c>
      <c r="T333" s="3">
        <f>IF($N333="",10000000000,$N333*100000+$M333)</f>
        <v/>
      </c>
      <c r="U333" s="3">
        <f>IFERROR(MATCH($AC$4&amp;"|81",TAHSILAT!$Q$7:$Q$1506,0),0)</f>
        <v/>
      </c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>
        <v>323</v>
      </c>
      <c r="N334" s="3">
        <f>IF($U334=0,"",INDEX(TAHSILAT!$E$7:$E$1506,$U334))</f>
        <v/>
      </c>
      <c r="O334" s="3">
        <f>IF($N334="","","Ödeme  –  "&amp;INDEX(TAHSILAT!$H$7:$H$1506,$U334)&amp;"  ("&amp;INDEX(TAHSILAT!$G$7:$G$1506,$U334)&amp;")"&amp;IF(INDEX(TAHSILAT!$J$7:$J$1506,$U334)="",""," / "&amp;INDEX(TAHSILAT!$J$7:$J$1506,$U334)))</f>
        <v/>
      </c>
      <c r="P334" s="3">
        <f>IF($N334="","","ÖDEME")</f>
        <v/>
      </c>
      <c r="Q334" s="3" t="n"/>
      <c r="R334" s="3" t="n">
        <v>0</v>
      </c>
      <c r="S334" s="3">
        <f>IF($N334="",0,INDEX(TAHSILAT!$F$7:$F$1506,$U334))</f>
        <v/>
      </c>
      <c r="T334" s="3">
        <f>IF($N334="",10000000000,$N334*100000+$M334)</f>
        <v/>
      </c>
      <c r="U334" s="3">
        <f>IFERROR(MATCH($AC$4&amp;"|82",TAHSILAT!$Q$7:$Q$1506,0),0)</f>
        <v/>
      </c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>
        <v>324</v>
      </c>
      <c r="N335" s="3">
        <f>IF($U335=0,"",INDEX(TAHSILAT!$E$7:$E$1506,$U335))</f>
        <v/>
      </c>
      <c r="O335" s="3">
        <f>IF($N335="","","Ödeme  –  "&amp;INDEX(TAHSILAT!$H$7:$H$1506,$U335)&amp;"  ("&amp;INDEX(TAHSILAT!$G$7:$G$1506,$U335)&amp;")"&amp;IF(INDEX(TAHSILAT!$J$7:$J$1506,$U335)="",""," / "&amp;INDEX(TAHSILAT!$J$7:$J$1506,$U335)))</f>
        <v/>
      </c>
      <c r="P335" s="3">
        <f>IF($N335="","","ÖDEME")</f>
        <v/>
      </c>
      <c r="Q335" s="3" t="n"/>
      <c r="R335" s="3" t="n">
        <v>0</v>
      </c>
      <c r="S335" s="3">
        <f>IF($N335="",0,INDEX(TAHSILAT!$F$7:$F$1506,$U335))</f>
        <v/>
      </c>
      <c r="T335" s="3">
        <f>IF($N335="",10000000000,$N335*100000+$M335)</f>
        <v/>
      </c>
      <c r="U335" s="3">
        <f>IFERROR(MATCH($AC$4&amp;"|83",TAHSILAT!$Q$7:$Q$1506,0),0)</f>
        <v/>
      </c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>
        <v>325</v>
      </c>
      <c r="N336" s="3">
        <f>IF($U336=0,"",INDEX(TAHSILAT!$E$7:$E$1506,$U336))</f>
        <v/>
      </c>
      <c r="O336" s="3">
        <f>IF($N336="","","Ödeme  –  "&amp;INDEX(TAHSILAT!$H$7:$H$1506,$U336)&amp;"  ("&amp;INDEX(TAHSILAT!$G$7:$G$1506,$U336)&amp;")"&amp;IF(INDEX(TAHSILAT!$J$7:$J$1506,$U336)="",""," / "&amp;INDEX(TAHSILAT!$J$7:$J$1506,$U336)))</f>
        <v/>
      </c>
      <c r="P336" s="3">
        <f>IF($N336="","","ÖDEME")</f>
        <v/>
      </c>
      <c r="Q336" s="3" t="n"/>
      <c r="R336" s="3" t="n">
        <v>0</v>
      </c>
      <c r="S336" s="3">
        <f>IF($N336="",0,INDEX(TAHSILAT!$F$7:$F$1506,$U336))</f>
        <v/>
      </c>
      <c r="T336" s="3">
        <f>IF($N336="",10000000000,$N336*100000+$M336)</f>
        <v/>
      </c>
      <c r="U336" s="3">
        <f>IFERROR(MATCH($AC$4&amp;"|84",TAHSILAT!$Q$7:$Q$1506,0),0)</f>
        <v/>
      </c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>
        <v>326</v>
      </c>
      <c r="N337" s="3">
        <f>IF($U337=0,"",INDEX(TAHSILAT!$E$7:$E$1506,$U337))</f>
        <v/>
      </c>
      <c r="O337" s="3">
        <f>IF($N337="","","Ödeme  –  "&amp;INDEX(TAHSILAT!$H$7:$H$1506,$U337)&amp;"  ("&amp;INDEX(TAHSILAT!$G$7:$G$1506,$U337)&amp;")"&amp;IF(INDEX(TAHSILAT!$J$7:$J$1506,$U337)="",""," / "&amp;INDEX(TAHSILAT!$J$7:$J$1506,$U337)))</f>
        <v/>
      </c>
      <c r="P337" s="3">
        <f>IF($N337="","","ÖDEME")</f>
        <v/>
      </c>
      <c r="Q337" s="3" t="n"/>
      <c r="R337" s="3" t="n">
        <v>0</v>
      </c>
      <c r="S337" s="3">
        <f>IF($N337="",0,INDEX(TAHSILAT!$F$7:$F$1506,$U337))</f>
        <v/>
      </c>
      <c r="T337" s="3">
        <f>IF($N337="",10000000000,$N337*100000+$M337)</f>
        <v/>
      </c>
      <c r="U337" s="3">
        <f>IFERROR(MATCH($AC$4&amp;"|85",TAHSILAT!$Q$7:$Q$1506,0),0)</f>
        <v/>
      </c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>
        <v>327</v>
      </c>
      <c r="N338" s="3">
        <f>IF($U338=0,"",INDEX(TAHSILAT!$E$7:$E$1506,$U338))</f>
        <v/>
      </c>
      <c r="O338" s="3">
        <f>IF($N338="","","Ödeme  –  "&amp;INDEX(TAHSILAT!$H$7:$H$1506,$U338)&amp;"  ("&amp;INDEX(TAHSILAT!$G$7:$G$1506,$U338)&amp;")"&amp;IF(INDEX(TAHSILAT!$J$7:$J$1506,$U338)="",""," / "&amp;INDEX(TAHSILAT!$J$7:$J$1506,$U338)))</f>
        <v/>
      </c>
      <c r="P338" s="3">
        <f>IF($N338="","","ÖDEME")</f>
        <v/>
      </c>
      <c r="Q338" s="3" t="n"/>
      <c r="R338" s="3" t="n">
        <v>0</v>
      </c>
      <c r="S338" s="3">
        <f>IF($N338="",0,INDEX(TAHSILAT!$F$7:$F$1506,$U338))</f>
        <v/>
      </c>
      <c r="T338" s="3">
        <f>IF($N338="",10000000000,$N338*100000+$M338)</f>
        <v/>
      </c>
      <c r="U338" s="3">
        <f>IFERROR(MATCH($AC$4&amp;"|86",TAHSILAT!$Q$7:$Q$1506,0),0)</f>
        <v/>
      </c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>
        <v>328</v>
      </c>
      <c r="N339" s="3">
        <f>IF($U339=0,"",INDEX(TAHSILAT!$E$7:$E$1506,$U339))</f>
        <v/>
      </c>
      <c r="O339" s="3">
        <f>IF($N339="","","Ödeme  –  "&amp;INDEX(TAHSILAT!$H$7:$H$1506,$U339)&amp;"  ("&amp;INDEX(TAHSILAT!$G$7:$G$1506,$U339)&amp;")"&amp;IF(INDEX(TAHSILAT!$J$7:$J$1506,$U339)="",""," / "&amp;INDEX(TAHSILAT!$J$7:$J$1506,$U339)))</f>
        <v/>
      </c>
      <c r="P339" s="3">
        <f>IF($N339="","","ÖDEME")</f>
        <v/>
      </c>
      <c r="Q339" s="3" t="n"/>
      <c r="R339" s="3" t="n">
        <v>0</v>
      </c>
      <c r="S339" s="3">
        <f>IF($N339="",0,INDEX(TAHSILAT!$F$7:$F$1506,$U339))</f>
        <v/>
      </c>
      <c r="T339" s="3">
        <f>IF($N339="",10000000000,$N339*100000+$M339)</f>
        <v/>
      </c>
      <c r="U339" s="3">
        <f>IFERROR(MATCH($AC$4&amp;"|87",TAHSILAT!$Q$7:$Q$1506,0),0)</f>
        <v/>
      </c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>
        <v>329</v>
      </c>
      <c r="N340" s="3">
        <f>IF($U340=0,"",INDEX(TAHSILAT!$E$7:$E$1506,$U340))</f>
        <v/>
      </c>
      <c r="O340" s="3">
        <f>IF($N340="","","Ödeme  –  "&amp;INDEX(TAHSILAT!$H$7:$H$1506,$U340)&amp;"  ("&amp;INDEX(TAHSILAT!$G$7:$G$1506,$U340)&amp;")"&amp;IF(INDEX(TAHSILAT!$J$7:$J$1506,$U340)="",""," / "&amp;INDEX(TAHSILAT!$J$7:$J$1506,$U340)))</f>
        <v/>
      </c>
      <c r="P340" s="3">
        <f>IF($N340="","","ÖDEME")</f>
        <v/>
      </c>
      <c r="Q340" s="3" t="n"/>
      <c r="R340" s="3" t="n">
        <v>0</v>
      </c>
      <c r="S340" s="3">
        <f>IF($N340="",0,INDEX(TAHSILAT!$F$7:$F$1506,$U340))</f>
        <v/>
      </c>
      <c r="T340" s="3">
        <f>IF($N340="",10000000000,$N340*100000+$M340)</f>
        <v/>
      </c>
      <c r="U340" s="3">
        <f>IFERROR(MATCH($AC$4&amp;"|88",TAHSILAT!$Q$7:$Q$1506,0),0)</f>
        <v/>
      </c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>
        <v>330</v>
      </c>
      <c r="N341" s="3">
        <f>IF($U341=0,"",INDEX(TAHSILAT!$E$7:$E$1506,$U341))</f>
        <v/>
      </c>
      <c r="O341" s="3">
        <f>IF($N341="","","Ödeme  –  "&amp;INDEX(TAHSILAT!$H$7:$H$1506,$U341)&amp;"  ("&amp;INDEX(TAHSILAT!$G$7:$G$1506,$U341)&amp;")"&amp;IF(INDEX(TAHSILAT!$J$7:$J$1506,$U341)="",""," / "&amp;INDEX(TAHSILAT!$J$7:$J$1506,$U341)))</f>
        <v/>
      </c>
      <c r="P341" s="3">
        <f>IF($N341="","","ÖDEME")</f>
        <v/>
      </c>
      <c r="Q341" s="3" t="n"/>
      <c r="R341" s="3" t="n">
        <v>0</v>
      </c>
      <c r="S341" s="3">
        <f>IF($N341="",0,INDEX(TAHSILAT!$F$7:$F$1506,$U341))</f>
        <v/>
      </c>
      <c r="T341" s="3">
        <f>IF($N341="",10000000000,$N341*100000+$M341)</f>
        <v/>
      </c>
      <c r="U341" s="3">
        <f>IFERROR(MATCH($AC$4&amp;"|89",TAHSILAT!$Q$7:$Q$1506,0),0)</f>
        <v/>
      </c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>
        <v>331</v>
      </c>
      <c r="N342" s="3">
        <f>IF($U342=0,"",INDEX(TAHSILAT!$E$7:$E$1506,$U342))</f>
        <v/>
      </c>
      <c r="O342" s="3">
        <f>IF($N342="","","Ödeme  –  "&amp;INDEX(TAHSILAT!$H$7:$H$1506,$U342)&amp;"  ("&amp;INDEX(TAHSILAT!$G$7:$G$1506,$U342)&amp;")"&amp;IF(INDEX(TAHSILAT!$J$7:$J$1506,$U342)="",""," / "&amp;INDEX(TAHSILAT!$J$7:$J$1506,$U342)))</f>
        <v/>
      </c>
      <c r="P342" s="3">
        <f>IF($N342="","","ÖDEME")</f>
        <v/>
      </c>
      <c r="Q342" s="3" t="n"/>
      <c r="R342" s="3" t="n">
        <v>0</v>
      </c>
      <c r="S342" s="3">
        <f>IF($N342="",0,INDEX(TAHSILAT!$F$7:$F$1506,$U342))</f>
        <v/>
      </c>
      <c r="T342" s="3">
        <f>IF($N342="",10000000000,$N342*100000+$M342)</f>
        <v/>
      </c>
      <c r="U342" s="3">
        <f>IFERROR(MATCH($AC$4&amp;"|90",TAHSILAT!$Q$7:$Q$1506,0),0)</f>
        <v/>
      </c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>
        <v>332</v>
      </c>
      <c r="N343" s="3">
        <f>IF($U343=0,"",INDEX(TAHSILAT!$E$7:$E$1506,$U343))</f>
        <v/>
      </c>
      <c r="O343" s="3">
        <f>IF($N343="","","Ödeme  –  "&amp;INDEX(TAHSILAT!$H$7:$H$1506,$U343)&amp;"  ("&amp;INDEX(TAHSILAT!$G$7:$G$1506,$U343)&amp;")"&amp;IF(INDEX(TAHSILAT!$J$7:$J$1506,$U343)="",""," / "&amp;INDEX(TAHSILAT!$J$7:$J$1506,$U343)))</f>
        <v/>
      </c>
      <c r="P343" s="3">
        <f>IF($N343="","","ÖDEME")</f>
        <v/>
      </c>
      <c r="Q343" s="3" t="n"/>
      <c r="R343" s="3" t="n">
        <v>0</v>
      </c>
      <c r="S343" s="3">
        <f>IF($N343="",0,INDEX(TAHSILAT!$F$7:$F$1506,$U343))</f>
        <v/>
      </c>
      <c r="T343" s="3">
        <f>IF($N343="",10000000000,$N343*100000+$M343)</f>
        <v/>
      </c>
      <c r="U343" s="3">
        <f>IFERROR(MATCH($AC$4&amp;"|91",TAHSILAT!$Q$7:$Q$1506,0),0)</f>
        <v/>
      </c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>
        <v>333</v>
      </c>
      <c r="N344" s="3">
        <f>IF($U344=0,"",INDEX(TAHSILAT!$E$7:$E$1506,$U344))</f>
        <v/>
      </c>
      <c r="O344" s="3">
        <f>IF($N344="","","Ödeme  –  "&amp;INDEX(TAHSILAT!$H$7:$H$1506,$U344)&amp;"  ("&amp;INDEX(TAHSILAT!$G$7:$G$1506,$U344)&amp;")"&amp;IF(INDEX(TAHSILAT!$J$7:$J$1506,$U344)="",""," / "&amp;INDEX(TAHSILAT!$J$7:$J$1506,$U344)))</f>
        <v/>
      </c>
      <c r="P344" s="3">
        <f>IF($N344="","","ÖDEME")</f>
        <v/>
      </c>
      <c r="Q344" s="3" t="n"/>
      <c r="R344" s="3" t="n">
        <v>0</v>
      </c>
      <c r="S344" s="3">
        <f>IF($N344="",0,INDEX(TAHSILAT!$F$7:$F$1506,$U344))</f>
        <v/>
      </c>
      <c r="T344" s="3">
        <f>IF($N344="",10000000000,$N344*100000+$M344)</f>
        <v/>
      </c>
      <c r="U344" s="3">
        <f>IFERROR(MATCH($AC$4&amp;"|92",TAHSILAT!$Q$7:$Q$1506,0),0)</f>
        <v/>
      </c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>
        <v>334</v>
      </c>
      <c r="N345" s="3">
        <f>IF($U345=0,"",INDEX(TAHSILAT!$E$7:$E$1506,$U345))</f>
        <v/>
      </c>
      <c r="O345" s="3">
        <f>IF($N345="","","Ödeme  –  "&amp;INDEX(TAHSILAT!$H$7:$H$1506,$U345)&amp;"  ("&amp;INDEX(TAHSILAT!$G$7:$G$1506,$U345)&amp;")"&amp;IF(INDEX(TAHSILAT!$J$7:$J$1506,$U345)="",""," / "&amp;INDEX(TAHSILAT!$J$7:$J$1506,$U345)))</f>
        <v/>
      </c>
      <c r="P345" s="3">
        <f>IF($N345="","","ÖDEME")</f>
        <v/>
      </c>
      <c r="Q345" s="3" t="n"/>
      <c r="R345" s="3" t="n">
        <v>0</v>
      </c>
      <c r="S345" s="3">
        <f>IF($N345="",0,INDEX(TAHSILAT!$F$7:$F$1506,$U345))</f>
        <v/>
      </c>
      <c r="T345" s="3">
        <f>IF($N345="",10000000000,$N345*100000+$M345)</f>
        <v/>
      </c>
      <c r="U345" s="3">
        <f>IFERROR(MATCH($AC$4&amp;"|93",TAHSILAT!$Q$7:$Q$1506,0),0)</f>
        <v/>
      </c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>
        <v>335</v>
      </c>
      <c r="N346" s="3">
        <f>IF($U346=0,"",INDEX(TAHSILAT!$E$7:$E$1506,$U346))</f>
        <v/>
      </c>
      <c r="O346" s="3">
        <f>IF($N346="","","Ödeme  –  "&amp;INDEX(TAHSILAT!$H$7:$H$1506,$U346)&amp;"  ("&amp;INDEX(TAHSILAT!$G$7:$G$1506,$U346)&amp;")"&amp;IF(INDEX(TAHSILAT!$J$7:$J$1506,$U346)="",""," / "&amp;INDEX(TAHSILAT!$J$7:$J$1506,$U346)))</f>
        <v/>
      </c>
      <c r="P346" s="3">
        <f>IF($N346="","","ÖDEME")</f>
        <v/>
      </c>
      <c r="Q346" s="3" t="n"/>
      <c r="R346" s="3" t="n">
        <v>0</v>
      </c>
      <c r="S346" s="3">
        <f>IF($N346="",0,INDEX(TAHSILAT!$F$7:$F$1506,$U346))</f>
        <v/>
      </c>
      <c r="T346" s="3">
        <f>IF($N346="",10000000000,$N346*100000+$M346)</f>
        <v/>
      </c>
      <c r="U346" s="3">
        <f>IFERROR(MATCH($AC$4&amp;"|94",TAHSILAT!$Q$7:$Q$1506,0),0)</f>
        <v/>
      </c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>
        <v>336</v>
      </c>
      <c r="N347" s="3">
        <f>IF($U347=0,"",INDEX(TAHSILAT!$E$7:$E$1506,$U347))</f>
        <v/>
      </c>
      <c r="O347" s="3">
        <f>IF($N347="","","Ödeme  –  "&amp;INDEX(TAHSILAT!$H$7:$H$1506,$U347)&amp;"  ("&amp;INDEX(TAHSILAT!$G$7:$G$1506,$U347)&amp;")"&amp;IF(INDEX(TAHSILAT!$J$7:$J$1506,$U347)="",""," / "&amp;INDEX(TAHSILAT!$J$7:$J$1506,$U347)))</f>
        <v/>
      </c>
      <c r="P347" s="3">
        <f>IF($N347="","","ÖDEME")</f>
        <v/>
      </c>
      <c r="Q347" s="3" t="n"/>
      <c r="R347" s="3" t="n">
        <v>0</v>
      </c>
      <c r="S347" s="3">
        <f>IF($N347="",0,INDEX(TAHSILAT!$F$7:$F$1506,$U347))</f>
        <v/>
      </c>
      <c r="T347" s="3">
        <f>IF($N347="",10000000000,$N347*100000+$M347)</f>
        <v/>
      </c>
      <c r="U347" s="3">
        <f>IFERROR(MATCH($AC$4&amp;"|95",TAHSILAT!$Q$7:$Q$1506,0),0)</f>
        <v/>
      </c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>
        <v>337</v>
      </c>
      <c r="N348" s="3">
        <f>IF($U348=0,"",INDEX(TAHSILAT!$E$7:$E$1506,$U348))</f>
        <v/>
      </c>
      <c r="O348" s="3">
        <f>IF($N348="","","Ödeme  –  "&amp;INDEX(TAHSILAT!$H$7:$H$1506,$U348)&amp;"  ("&amp;INDEX(TAHSILAT!$G$7:$G$1506,$U348)&amp;")"&amp;IF(INDEX(TAHSILAT!$J$7:$J$1506,$U348)="",""," / "&amp;INDEX(TAHSILAT!$J$7:$J$1506,$U348)))</f>
        <v/>
      </c>
      <c r="P348" s="3">
        <f>IF($N348="","","ÖDEME")</f>
        <v/>
      </c>
      <c r="Q348" s="3" t="n"/>
      <c r="R348" s="3" t="n">
        <v>0</v>
      </c>
      <c r="S348" s="3">
        <f>IF($N348="",0,INDEX(TAHSILAT!$F$7:$F$1506,$U348))</f>
        <v/>
      </c>
      <c r="T348" s="3">
        <f>IF($N348="",10000000000,$N348*100000+$M348)</f>
        <v/>
      </c>
      <c r="U348" s="3">
        <f>IFERROR(MATCH($AC$4&amp;"|96",TAHSILAT!$Q$7:$Q$1506,0),0)</f>
        <v/>
      </c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>
        <v>338</v>
      </c>
      <c r="N349" s="3">
        <f>IF($U349=0,"",INDEX(TAHSILAT!$E$7:$E$1506,$U349))</f>
        <v/>
      </c>
      <c r="O349" s="3">
        <f>IF($N349="","","Ödeme  –  "&amp;INDEX(TAHSILAT!$H$7:$H$1506,$U349)&amp;"  ("&amp;INDEX(TAHSILAT!$G$7:$G$1506,$U349)&amp;")"&amp;IF(INDEX(TAHSILAT!$J$7:$J$1506,$U349)="",""," / "&amp;INDEX(TAHSILAT!$J$7:$J$1506,$U349)))</f>
        <v/>
      </c>
      <c r="P349" s="3">
        <f>IF($N349="","","ÖDEME")</f>
        <v/>
      </c>
      <c r="Q349" s="3" t="n"/>
      <c r="R349" s="3" t="n">
        <v>0</v>
      </c>
      <c r="S349" s="3">
        <f>IF($N349="",0,INDEX(TAHSILAT!$F$7:$F$1506,$U349))</f>
        <v/>
      </c>
      <c r="T349" s="3">
        <f>IF($N349="",10000000000,$N349*100000+$M349)</f>
        <v/>
      </c>
      <c r="U349" s="3">
        <f>IFERROR(MATCH($AC$4&amp;"|97",TAHSILAT!$Q$7:$Q$1506,0),0)</f>
        <v/>
      </c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>
        <v>339</v>
      </c>
      <c r="N350" s="3">
        <f>IF($U350=0,"",INDEX(TAHSILAT!$E$7:$E$1506,$U350))</f>
        <v/>
      </c>
      <c r="O350" s="3">
        <f>IF($N350="","","Ödeme  –  "&amp;INDEX(TAHSILAT!$H$7:$H$1506,$U350)&amp;"  ("&amp;INDEX(TAHSILAT!$G$7:$G$1506,$U350)&amp;")"&amp;IF(INDEX(TAHSILAT!$J$7:$J$1506,$U350)="",""," / "&amp;INDEX(TAHSILAT!$J$7:$J$1506,$U350)))</f>
        <v/>
      </c>
      <c r="P350" s="3">
        <f>IF($N350="","","ÖDEME")</f>
        <v/>
      </c>
      <c r="Q350" s="3" t="n"/>
      <c r="R350" s="3" t="n">
        <v>0</v>
      </c>
      <c r="S350" s="3">
        <f>IF($N350="",0,INDEX(TAHSILAT!$F$7:$F$1506,$U350))</f>
        <v/>
      </c>
      <c r="T350" s="3">
        <f>IF($N350="",10000000000,$N350*100000+$M350)</f>
        <v/>
      </c>
      <c r="U350" s="3">
        <f>IFERROR(MATCH($AC$4&amp;"|98",TAHSILAT!$Q$7:$Q$1506,0),0)</f>
        <v/>
      </c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>
        <v>340</v>
      </c>
      <c r="N351" s="3">
        <f>IF($U351=0,"",INDEX(TAHSILAT!$E$7:$E$1506,$U351))</f>
        <v/>
      </c>
      <c r="O351" s="3">
        <f>IF($N351="","","Ödeme  –  "&amp;INDEX(TAHSILAT!$H$7:$H$1506,$U351)&amp;"  ("&amp;INDEX(TAHSILAT!$G$7:$G$1506,$U351)&amp;")"&amp;IF(INDEX(TAHSILAT!$J$7:$J$1506,$U351)="",""," / "&amp;INDEX(TAHSILAT!$J$7:$J$1506,$U351)))</f>
        <v/>
      </c>
      <c r="P351" s="3">
        <f>IF($N351="","","ÖDEME")</f>
        <v/>
      </c>
      <c r="Q351" s="3" t="n"/>
      <c r="R351" s="3" t="n">
        <v>0</v>
      </c>
      <c r="S351" s="3">
        <f>IF($N351="",0,INDEX(TAHSILAT!$F$7:$F$1506,$U351))</f>
        <v/>
      </c>
      <c r="T351" s="3">
        <f>IF($N351="",10000000000,$N351*100000+$M351)</f>
        <v/>
      </c>
      <c r="U351" s="3">
        <f>IFERROR(MATCH($AC$4&amp;"|99",TAHSILAT!$Q$7:$Q$1506,0),0)</f>
        <v/>
      </c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>
        <v>341</v>
      </c>
      <c r="N352" s="3">
        <f>IF($U352=0,"",INDEX(TAHSILAT!$E$7:$E$1506,$U352))</f>
        <v/>
      </c>
      <c r="O352" s="3">
        <f>IF($N352="","","Ödeme  –  "&amp;INDEX(TAHSILAT!$H$7:$H$1506,$U352)&amp;"  ("&amp;INDEX(TAHSILAT!$G$7:$G$1506,$U352)&amp;")"&amp;IF(INDEX(TAHSILAT!$J$7:$J$1506,$U352)="",""," / "&amp;INDEX(TAHSILAT!$J$7:$J$1506,$U352)))</f>
        <v/>
      </c>
      <c r="P352" s="3">
        <f>IF($N352="","","ÖDEME")</f>
        <v/>
      </c>
      <c r="Q352" s="3" t="n"/>
      <c r="R352" s="3" t="n">
        <v>0</v>
      </c>
      <c r="S352" s="3">
        <f>IF($N352="",0,INDEX(TAHSILAT!$F$7:$F$1506,$U352))</f>
        <v/>
      </c>
      <c r="T352" s="3">
        <f>IF($N352="",10000000000,$N352*100000+$M352)</f>
        <v/>
      </c>
      <c r="U352" s="3">
        <f>IFERROR(MATCH($AC$4&amp;"|100",TAHSILAT!$Q$7:$Q$1506,0),0)</f>
        <v/>
      </c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>
        <v>342</v>
      </c>
      <c r="N353" s="3">
        <f>IF($U353=0,"",INDEX(TAHSILAT!$E$7:$E$1506,$U353))</f>
        <v/>
      </c>
      <c r="O353" s="3">
        <f>IF($N353="","","Ödeme  –  "&amp;INDEX(TAHSILAT!$H$7:$H$1506,$U353)&amp;"  ("&amp;INDEX(TAHSILAT!$G$7:$G$1506,$U353)&amp;")"&amp;IF(INDEX(TAHSILAT!$J$7:$J$1506,$U353)="",""," / "&amp;INDEX(TAHSILAT!$J$7:$J$1506,$U353)))</f>
        <v/>
      </c>
      <c r="P353" s="3">
        <f>IF($N353="","","ÖDEME")</f>
        <v/>
      </c>
      <c r="Q353" s="3" t="n"/>
      <c r="R353" s="3" t="n">
        <v>0</v>
      </c>
      <c r="S353" s="3">
        <f>IF($N353="",0,INDEX(TAHSILAT!$F$7:$F$1506,$U353))</f>
        <v/>
      </c>
      <c r="T353" s="3">
        <f>IF($N353="",10000000000,$N353*100000+$M353)</f>
        <v/>
      </c>
      <c r="U353" s="3">
        <f>IFERROR(MATCH($AC$4&amp;"|101",TAHSILAT!$Q$7:$Q$1506,0),0)</f>
        <v/>
      </c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>
        <v>343</v>
      </c>
      <c r="N354" s="3">
        <f>IF($U354=0,"",INDEX(TAHSILAT!$E$7:$E$1506,$U354))</f>
        <v/>
      </c>
      <c r="O354" s="3">
        <f>IF($N354="","","Ödeme  –  "&amp;INDEX(TAHSILAT!$H$7:$H$1506,$U354)&amp;"  ("&amp;INDEX(TAHSILAT!$G$7:$G$1506,$U354)&amp;")"&amp;IF(INDEX(TAHSILAT!$J$7:$J$1506,$U354)="",""," / "&amp;INDEX(TAHSILAT!$J$7:$J$1506,$U354)))</f>
        <v/>
      </c>
      <c r="P354" s="3">
        <f>IF($N354="","","ÖDEME")</f>
        <v/>
      </c>
      <c r="Q354" s="3" t="n"/>
      <c r="R354" s="3" t="n">
        <v>0</v>
      </c>
      <c r="S354" s="3">
        <f>IF($N354="",0,INDEX(TAHSILAT!$F$7:$F$1506,$U354))</f>
        <v/>
      </c>
      <c r="T354" s="3">
        <f>IF($N354="",10000000000,$N354*100000+$M354)</f>
        <v/>
      </c>
      <c r="U354" s="3">
        <f>IFERROR(MATCH($AC$4&amp;"|102",TAHSILAT!$Q$7:$Q$1506,0),0)</f>
        <v/>
      </c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>
        <v>344</v>
      </c>
      <c r="N355" s="3">
        <f>IF($U355=0,"",INDEX(TAHSILAT!$E$7:$E$1506,$U355))</f>
        <v/>
      </c>
      <c r="O355" s="3">
        <f>IF($N355="","","Ödeme  –  "&amp;INDEX(TAHSILAT!$H$7:$H$1506,$U355)&amp;"  ("&amp;INDEX(TAHSILAT!$G$7:$G$1506,$U355)&amp;")"&amp;IF(INDEX(TAHSILAT!$J$7:$J$1506,$U355)="",""," / "&amp;INDEX(TAHSILAT!$J$7:$J$1506,$U355)))</f>
        <v/>
      </c>
      <c r="P355" s="3">
        <f>IF($N355="","","ÖDEME")</f>
        <v/>
      </c>
      <c r="Q355" s="3" t="n"/>
      <c r="R355" s="3" t="n">
        <v>0</v>
      </c>
      <c r="S355" s="3">
        <f>IF($N355="",0,INDEX(TAHSILAT!$F$7:$F$1506,$U355))</f>
        <v/>
      </c>
      <c r="T355" s="3">
        <f>IF($N355="",10000000000,$N355*100000+$M355)</f>
        <v/>
      </c>
      <c r="U355" s="3">
        <f>IFERROR(MATCH($AC$4&amp;"|103",TAHSILAT!$Q$7:$Q$1506,0),0)</f>
        <v/>
      </c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>
        <v>345</v>
      </c>
      <c r="N356" s="3">
        <f>IF($U356=0,"",INDEX(TAHSILAT!$E$7:$E$1506,$U356))</f>
        <v/>
      </c>
      <c r="O356" s="3">
        <f>IF($N356="","","Ödeme  –  "&amp;INDEX(TAHSILAT!$H$7:$H$1506,$U356)&amp;"  ("&amp;INDEX(TAHSILAT!$G$7:$G$1506,$U356)&amp;")"&amp;IF(INDEX(TAHSILAT!$J$7:$J$1506,$U356)="",""," / "&amp;INDEX(TAHSILAT!$J$7:$J$1506,$U356)))</f>
        <v/>
      </c>
      <c r="P356" s="3">
        <f>IF($N356="","","ÖDEME")</f>
        <v/>
      </c>
      <c r="Q356" s="3" t="n"/>
      <c r="R356" s="3" t="n">
        <v>0</v>
      </c>
      <c r="S356" s="3">
        <f>IF($N356="",0,INDEX(TAHSILAT!$F$7:$F$1506,$U356))</f>
        <v/>
      </c>
      <c r="T356" s="3">
        <f>IF($N356="",10000000000,$N356*100000+$M356)</f>
        <v/>
      </c>
      <c r="U356" s="3">
        <f>IFERROR(MATCH($AC$4&amp;"|104",TAHSILAT!$Q$7:$Q$1506,0),0)</f>
        <v/>
      </c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>
        <v>346</v>
      </c>
      <c r="N357" s="3">
        <f>IF($U357=0,"",INDEX(TAHSILAT!$E$7:$E$1506,$U357))</f>
        <v/>
      </c>
      <c r="O357" s="3">
        <f>IF($N357="","","Ödeme  –  "&amp;INDEX(TAHSILAT!$H$7:$H$1506,$U357)&amp;"  ("&amp;INDEX(TAHSILAT!$G$7:$G$1506,$U357)&amp;")"&amp;IF(INDEX(TAHSILAT!$J$7:$J$1506,$U357)="",""," / "&amp;INDEX(TAHSILAT!$J$7:$J$1506,$U357)))</f>
        <v/>
      </c>
      <c r="P357" s="3">
        <f>IF($N357="","","ÖDEME")</f>
        <v/>
      </c>
      <c r="Q357" s="3" t="n"/>
      <c r="R357" s="3" t="n">
        <v>0</v>
      </c>
      <c r="S357" s="3">
        <f>IF($N357="",0,INDEX(TAHSILAT!$F$7:$F$1506,$U357))</f>
        <v/>
      </c>
      <c r="T357" s="3">
        <f>IF($N357="",10000000000,$N357*100000+$M357)</f>
        <v/>
      </c>
      <c r="U357" s="3">
        <f>IFERROR(MATCH($AC$4&amp;"|105",TAHSILAT!$Q$7:$Q$1506,0),0)</f>
        <v/>
      </c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>
        <v>347</v>
      </c>
      <c r="N358" s="3">
        <f>IF($U358=0,"",INDEX(TAHSILAT!$E$7:$E$1506,$U358))</f>
        <v/>
      </c>
      <c r="O358" s="3">
        <f>IF($N358="","","Ödeme  –  "&amp;INDEX(TAHSILAT!$H$7:$H$1506,$U358)&amp;"  ("&amp;INDEX(TAHSILAT!$G$7:$G$1506,$U358)&amp;")"&amp;IF(INDEX(TAHSILAT!$J$7:$J$1506,$U358)="",""," / "&amp;INDEX(TAHSILAT!$J$7:$J$1506,$U358)))</f>
        <v/>
      </c>
      <c r="P358" s="3">
        <f>IF($N358="","","ÖDEME")</f>
        <v/>
      </c>
      <c r="Q358" s="3" t="n"/>
      <c r="R358" s="3" t="n">
        <v>0</v>
      </c>
      <c r="S358" s="3">
        <f>IF($N358="",0,INDEX(TAHSILAT!$F$7:$F$1506,$U358))</f>
        <v/>
      </c>
      <c r="T358" s="3">
        <f>IF($N358="",10000000000,$N358*100000+$M358)</f>
        <v/>
      </c>
      <c r="U358" s="3">
        <f>IFERROR(MATCH($AC$4&amp;"|106",TAHSILAT!$Q$7:$Q$1506,0),0)</f>
        <v/>
      </c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>
        <v>348</v>
      </c>
      <c r="N359" s="3">
        <f>IF($U359=0,"",INDEX(TAHSILAT!$E$7:$E$1506,$U359))</f>
        <v/>
      </c>
      <c r="O359" s="3">
        <f>IF($N359="","","Ödeme  –  "&amp;INDEX(TAHSILAT!$H$7:$H$1506,$U359)&amp;"  ("&amp;INDEX(TAHSILAT!$G$7:$G$1506,$U359)&amp;")"&amp;IF(INDEX(TAHSILAT!$J$7:$J$1506,$U359)="",""," / "&amp;INDEX(TAHSILAT!$J$7:$J$1506,$U359)))</f>
        <v/>
      </c>
      <c r="P359" s="3">
        <f>IF($N359="","","ÖDEME")</f>
        <v/>
      </c>
      <c r="Q359" s="3" t="n"/>
      <c r="R359" s="3" t="n">
        <v>0</v>
      </c>
      <c r="S359" s="3">
        <f>IF($N359="",0,INDEX(TAHSILAT!$F$7:$F$1506,$U359))</f>
        <v/>
      </c>
      <c r="T359" s="3">
        <f>IF($N359="",10000000000,$N359*100000+$M359)</f>
        <v/>
      </c>
      <c r="U359" s="3">
        <f>IFERROR(MATCH($AC$4&amp;"|107",TAHSILAT!$Q$7:$Q$1506,0),0)</f>
        <v/>
      </c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>
        <v>349</v>
      </c>
      <c r="N360" s="3">
        <f>IF($U360=0,"",INDEX(TAHSILAT!$E$7:$E$1506,$U360))</f>
        <v/>
      </c>
      <c r="O360" s="3">
        <f>IF($N360="","","Ödeme  –  "&amp;INDEX(TAHSILAT!$H$7:$H$1506,$U360)&amp;"  ("&amp;INDEX(TAHSILAT!$G$7:$G$1506,$U360)&amp;")"&amp;IF(INDEX(TAHSILAT!$J$7:$J$1506,$U360)="",""," / "&amp;INDEX(TAHSILAT!$J$7:$J$1506,$U360)))</f>
        <v/>
      </c>
      <c r="P360" s="3">
        <f>IF($N360="","","ÖDEME")</f>
        <v/>
      </c>
      <c r="Q360" s="3" t="n"/>
      <c r="R360" s="3" t="n">
        <v>0</v>
      </c>
      <c r="S360" s="3">
        <f>IF($N360="",0,INDEX(TAHSILAT!$F$7:$F$1506,$U360))</f>
        <v/>
      </c>
      <c r="T360" s="3">
        <f>IF($N360="",10000000000,$N360*100000+$M360)</f>
        <v/>
      </c>
      <c r="U360" s="3">
        <f>IFERROR(MATCH($AC$4&amp;"|108",TAHSILAT!$Q$7:$Q$1506,0),0)</f>
        <v/>
      </c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>
        <v>350</v>
      </c>
      <c r="N361" s="3">
        <f>IF($U361=0,"",INDEX(TAHSILAT!$E$7:$E$1506,$U361))</f>
        <v/>
      </c>
      <c r="O361" s="3">
        <f>IF($N361="","","Ödeme  –  "&amp;INDEX(TAHSILAT!$H$7:$H$1506,$U361)&amp;"  ("&amp;INDEX(TAHSILAT!$G$7:$G$1506,$U361)&amp;")"&amp;IF(INDEX(TAHSILAT!$J$7:$J$1506,$U361)="",""," / "&amp;INDEX(TAHSILAT!$J$7:$J$1506,$U361)))</f>
        <v/>
      </c>
      <c r="P361" s="3">
        <f>IF($N361="","","ÖDEME")</f>
        <v/>
      </c>
      <c r="Q361" s="3" t="n"/>
      <c r="R361" s="3" t="n">
        <v>0</v>
      </c>
      <c r="S361" s="3">
        <f>IF($N361="",0,INDEX(TAHSILAT!$F$7:$F$1506,$U361))</f>
        <v/>
      </c>
      <c r="T361" s="3">
        <f>IF($N361="",10000000000,$N361*100000+$M361)</f>
        <v/>
      </c>
      <c r="U361" s="3">
        <f>IFERROR(MATCH($AC$4&amp;"|109",TAHSILAT!$Q$7:$Q$1506,0),0)</f>
        <v/>
      </c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>
        <v>351</v>
      </c>
      <c r="N362" s="3">
        <f>IF($U362=0,"",INDEX(TAHSILAT!$E$7:$E$1506,$U362))</f>
        <v/>
      </c>
      <c r="O362" s="3">
        <f>IF($N362="","","Ödeme  –  "&amp;INDEX(TAHSILAT!$H$7:$H$1506,$U362)&amp;"  ("&amp;INDEX(TAHSILAT!$G$7:$G$1506,$U362)&amp;")"&amp;IF(INDEX(TAHSILAT!$J$7:$J$1506,$U362)="",""," / "&amp;INDEX(TAHSILAT!$J$7:$J$1506,$U362)))</f>
        <v/>
      </c>
      <c r="P362" s="3">
        <f>IF($N362="","","ÖDEME")</f>
        <v/>
      </c>
      <c r="Q362" s="3" t="n"/>
      <c r="R362" s="3" t="n">
        <v>0</v>
      </c>
      <c r="S362" s="3">
        <f>IF($N362="",0,INDEX(TAHSILAT!$F$7:$F$1506,$U362))</f>
        <v/>
      </c>
      <c r="T362" s="3">
        <f>IF($N362="",10000000000,$N362*100000+$M362)</f>
        <v/>
      </c>
      <c r="U362" s="3">
        <f>IFERROR(MATCH($AC$4&amp;"|110",TAHSILAT!$Q$7:$Q$1506,0),0)</f>
        <v/>
      </c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>
        <v>352</v>
      </c>
      <c r="N363" s="3">
        <f>IF($U363=0,"",INDEX(TAHSILAT!$E$7:$E$1506,$U363))</f>
        <v/>
      </c>
      <c r="O363" s="3">
        <f>IF($N363="","","Ödeme  –  "&amp;INDEX(TAHSILAT!$H$7:$H$1506,$U363)&amp;"  ("&amp;INDEX(TAHSILAT!$G$7:$G$1506,$U363)&amp;")"&amp;IF(INDEX(TAHSILAT!$J$7:$J$1506,$U363)="",""," / "&amp;INDEX(TAHSILAT!$J$7:$J$1506,$U363)))</f>
        <v/>
      </c>
      <c r="P363" s="3">
        <f>IF($N363="","","ÖDEME")</f>
        <v/>
      </c>
      <c r="Q363" s="3" t="n"/>
      <c r="R363" s="3" t="n">
        <v>0</v>
      </c>
      <c r="S363" s="3">
        <f>IF($N363="",0,INDEX(TAHSILAT!$F$7:$F$1506,$U363))</f>
        <v/>
      </c>
      <c r="T363" s="3">
        <f>IF($N363="",10000000000,$N363*100000+$M363)</f>
        <v/>
      </c>
      <c r="U363" s="3">
        <f>IFERROR(MATCH($AC$4&amp;"|111",TAHSILAT!$Q$7:$Q$1506,0),0)</f>
        <v/>
      </c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>
        <v>353</v>
      </c>
      <c r="N364" s="3">
        <f>IF($U364=0,"",INDEX(TAHSILAT!$E$7:$E$1506,$U364))</f>
        <v/>
      </c>
      <c r="O364" s="3">
        <f>IF($N364="","","Ödeme  –  "&amp;INDEX(TAHSILAT!$H$7:$H$1506,$U364)&amp;"  ("&amp;INDEX(TAHSILAT!$G$7:$G$1506,$U364)&amp;")"&amp;IF(INDEX(TAHSILAT!$J$7:$J$1506,$U364)="",""," / "&amp;INDEX(TAHSILAT!$J$7:$J$1506,$U364)))</f>
        <v/>
      </c>
      <c r="P364" s="3">
        <f>IF($N364="","","ÖDEME")</f>
        <v/>
      </c>
      <c r="Q364" s="3" t="n"/>
      <c r="R364" s="3" t="n">
        <v>0</v>
      </c>
      <c r="S364" s="3">
        <f>IF($N364="",0,INDEX(TAHSILAT!$F$7:$F$1506,$U364))</f>
        <v/>
      </c>
      <c r="T364" s="3">
        <f>IF($N364="",10000000000,$N364*100000+$M364)</f>
        <v/>
      </c>
      <c r="U364" s="3">
        <f>IFERROR(MATCH($AC$4&amp;"|112",TAHSILAT!$Q$7:$Q$1506,0),0)</f>
        <v/>
      </c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>
        <v>354</v>
      </c>
      <c r="N365" s="3">
        <f>IF($U365=0,"",INDEX(TAHSILAT!$E$7:$E$1506,$U365))</f>
        <v/>
      </c>
      <c r="O365" s="3">
        <f>IF($N365="","","Ödeme  –  "&amp;INDEX(TAHSILAT!$H$7:$H$1506,$U365)&amp;"  ("&amp;INDEX(TAHSILAT!$G$7:$G$1506,$U365)&amp;")"&amp;IF(INDEX(TAHSILAT!$J$7:$J$1506,$U365)="",""," / "&amp;INDEX(TAHSILAT!$J$7:$J$1506,$U365)))</f>
        <v/>
      </c>
      <c r="P365" s="3">
        <f>IF($N365="","","ÖDEME")</f>
        <v/>
      </c>
      <c r="Q365" s="3" t="n"/>
      <c r="R365" s="3" t="n">
        <v>0</v>
      </c>
      <c r="S365" s="3">
        <f>IF($N365="",0,INDEX(TAHSILAT!$F$7:$F$1506,$U365))</f>
        <v/>
      </c>
      <c r="T365" s="3">
        <f>IF($N365="",10000000000,$N365*100000+$M365)</f>
        <v/>
      </c>
      <c r="U365" s="3">
        <f>IFERROR(MATCH($AC$4&amp;"|113",TAHSILAT!$Q$7:$Q$1506,0),0)</f>
        <v/>
      </c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>
        <v>355</v>
      </c>
      <c r="N366" s="3">
        <f>IF($U366=0,"",INDEX(TAHSILAT!$E$7:$E$1506,$U366))</f>
        <v/>
      </c>
      <c r="O366" s="3">
        <f>IF($N366="","","Ödeme  –  "&amp;INDEX(TAHSILAT!$H$7:$H$1506,$U366)&amp;"  ("&amp;INDEX(TAHSILAT!$G$7:$G$1506,$U366)&amp;")"&amp;IF(INDEX(TAHSILAT!$J$7:$J$1506,$U366)="",""," / "&amp;INDEX(TAHSILAT!$J$7:$J$1506,$U366)))</f>
        <v/>
      </c>
      <c r="P366" s="3">
        <f>IF($N366="","","ÖDEME")</f>
        <v/>
      </c>
      <c r="Q366" s="3" t="n"/>
      <c r="R366" s="3" t="n">
        <v>0</v>
      </c>
      <c r="S366" s="3">
        <f>IF($N366="",0,INDEX(TAHSILAT!$F$7:$F$1506,$U366))</f>
        <v/>
      </c>
      <c r="T366" s="3">
        <f>IF($N366="",10000000000,$N366*100000+$M366)</f>
        <v/>
      </c>
      <c r="U366" s="3">
        <f>IFERROR(MATCH($AC$4&amp;"|114",TAHSILAT!$Q$7:$Q$1506,0),0)</f>
        <v/>
      </c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>
        <v>356</v>
      </c>
      <c r="N367" s="3">
        <f>IF($U367=0,"",INDEX(TAHSILAT!$E$7:$E$1506,$U367))</f>
        <v/>
      </c>
      <c r="O367" s="3">
        <f>IF($N367="","","Ödeme  –  "&amp;INDEX(TAHSILAT!$H$7:$H$1506,$U367)&amp;"  ("&amp;INDEX(TAHSILAT!$G$7:$G$1506,$U367)&amp;")"&amp;IF(INDEX(TAHSILAT!$J$7:$J$1506,$U367)="",""," / "&amp;INDEX(TAHSILAT!$J$7:$J$1506,$U367)))</f>
        <v/>
      </c>
      <c r="P367" s="3">
        <f>IF($N367="","","ÖDEME")</f>
        <v/>
      </c>
      <c r="Q367" s="3" t="n"/>
      <c r="R367" s="3" t="n">
        <v>0</v>
      </c>
      <c r="S367" s="3">
        <f>IF($N367="",0,INDEX(TAHSILAT!$F$7:$F$1506,$U367))</f>
        <v/>
      </c>
      <c r="T367" s="3">
        <f>IF($N367="",10000000000,$N367*100000+$M367)</f>
        <v/>
      </c>
      <c r="U367" s="3">
        <f>IFERROR(MATCH($AC$4&amp;"|115",TAHSILAT!$Q$7:$Q$1506,0),0)</f>
        <v/>
      </c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>
        <v>357</v>
      </c>
      <c r="N368" s="3">
        <f>IF($U368=0,"",INDEX(TAHSILAT!$E$7:$E$1506,$U368))</f>
        <v/>
      </c>
      <c r="O368" s="3">
        <f>IF($N368="","","Ödeme  –  "&amp;INDEX(TAHSILAT!$H$7:$H$1506,$U368)&amp;"  ("&amp;INDEX(TAHSILAT!$G$7:$G$1506,$U368)&amp;")"&amp;IF(INDEX(TAHSILAT!$J$7:$J$1506,$U368)="",""," / "&amp;INDEX(TAHSILAT!$J$7:$J$1506,$U368)))</f>
        <v/>
      </c>
      <c r="P368" s="3">
        <f>IF($N368="","","ÖDEME")</f>
        <v/>
      </c>
      <c r="Q368" s="3" t="n"/>
      <c r="R368" s="3" t="n">
        <v>0</v>
      </c>
      <c r="S368" s="3">
        <f>IF($N368="",0,INDEX(TAHSILAT!$F$7:$F$1506,$U368))</f>
        <v/>
      </c>
      <c r="T368" s="3">
        <f>IF($N368="",10000000000,$N368*100000+$M368)</f>
        <v/>
      </c>
      <c r="U368" s="3">
        <f>IFERROR(MATCH($AC$4&amp;"|116",TAHSILAT!$Q$7:$Q$1506,0),0)</f>
        <v/>
      </c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>
        <v>358</v>
      </c>
      <c r="N369" s="3">
        <f>IF($U369=0,"",INDEX(TAHSILAT!$E$7:$E$1506,$U369))</f>
        <v/>
      </c>
      <c r="O369" s="3">
        <f>IF($N369="","","Ödeme  –  "&amp;INDEX(TAHSILAT!$H$7:$H$1506,$U369)&amp;"  ("&amp;INDEX(TAHSILAT!$G$7:$G$1506,$U369)&amp;")"&amp;IF(INDEX(TAHSILAT!$J$7:$J$1506,$U369)="",""," / "&amp;INDEX(TAHSILAT!$J$7:$J$1506,$U369)))</f>
        <v/>
      </c>
      <c r="P369" s="3">
        <f>IF($N369="","","ÖDEME")</f>
        <v/>
      </c>
      <c r="Q369" s="3" t="n"/>
      <c r="R369" s="3" t="n">
        <v>0</v>
      </c>
      <c r="S369" s="3">
        <f>IF($N369="",0,INDEX(TAHSILAT!$F$7:$F$1506,$U369))</f>
        <v/>
      </c>
      <c r="T369" s="3">
        <f>IF($N369="",10000000000,$N369*100000+$M369)</f>
        <v/>
      </c>
      <c r="U369" s="3">
        <f>IFERROR(MATCH($AC$4&amp;"|117",TAHSILAT!$Q$7:$Q$1506,0),0)</f>
        <v/>
      </c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>
        <v>359</v>
      </c>
      <c r="N370" s="3">
        <f>IF($U370=0,"",INDEX(TAHSILAT!$E$7:$E$1506,$U370))</f>
        <v/>
      </c>
      <c r="O370" s="3">
        <f>IF($N370="","","Ödeme  –  "&amp;INDEX(TAHSILAT!$H$7:$H$1506,$U370)&amp;"  ("&amp;INDEX(TAHSILAT!$G$7:$G$1506,$U370)&amp;")"&amp;IF(INDEX(TAHSILAT!$J$7:$J$1506,$U370)="",""," / "&amp;INDEX(TAHSILAT!$J$7:$J$1506,$U370)))</f>
        <v/>
      </c>
      <c r="P370" s="3">
        <f>IF($N370="","","ÖDEME")</f>
        <v/>
      </c>
      <c r="Q370" s="3" t="n"/>
      <c r="R370" s="3" t="n">
        <v>0</v>
      </c>
      <c r="S370" s="3">
        <f>IF($N370="",0,INDEX(TAHSILAT!$F$7:$F$1506,$U370))</f>
        <v/>
      </c>
      <c r="T370" s="3">
        <f>IF($N370="",10000000000,$N370*100000+$M370)</f>
        <v/>
      </c>
      <c r="U370" s="3">
        <f>IFERROR(MATCH($AC$4&amp;"|118",TAHSILAT!$Q$7:$Q$1506,0),0)</f>
        <v/>
      </c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>
        <v>360</v>
      </c>
      <c r="N371" s="3">
        <f>IF($U371=0,"",INDEX(TAHSILAT!$E$7:$E$1506,$U371))</f>
        <v/>
      </c>
      <c r="O371" s="3">
        <f>IF($N371="","","Ödeme  –  "&amp;INDEX(TAHSILAT!$H$7:$H$1506,$U371)&amp;"  ("&amp;INDEX(TAHSILAT!$G$7:$G$1506,$U371)&amp;")"&amp;IF(INDEX(TAHSILAT!$J$7:$J$1506,$U371)="",""," / "&amp;INDEX(TAHSILAT!$J$7:$J$1506,$U371)))</f>
        <v/>
      </c>
      <c r="P371" s="3">
        <f>IF($N371="","","ÖDEME")</f>
        <v/>
      </c>
      <c r="Q371" s="3" t="n"/>
      <c r="R371" s="3" t="n">
        <v>0</v>
      </c>
      <c r="S371" s="3">
        <f>IF($N371="",0,INDEX(TAHSILAT!$F$7:$F$1506,$U371))</f>
        <v/>
      </c>
      <c r="T371" s="3">
        <f>IF($N371="",10000000000,$N371*100000+$M371)</f>
        <v/>
      </c>
      <c r="U371" s="3">
        <f>IFERROR(MATCH($AC$4&amp;"|119",TAHSILAT!$Q$7:$Q$1506,0),0)</f>
        <v/>
      </c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>
        <v>361</v>
      </c>
      <c r="N372" s="3">
        <f>IF($U372=0,"",INDEX(TAHSILAT!$E$7:$E$1506,$U372))</f>
        <v/>
      </c>
      <c r="O372" s="3">
        <f>IF($N372="","","Ödeme  –  "&amp;INDEX(TAHSILAT!$H$7:$H$1506,$U372)&amp;"  ("&amp;INDEX(TAHSILAT!$G$7:$G$1506,$U372)&amp;")"&amp;IF(INDEX(TAHSILAT!$J$7:$J$1506,$U372)="",""," / "&amp;INDEX(TAHSILAT!$J$7:$J$1506,$U372)))</f>
        <v/>
      </c>
      <c r="P372" s="3">
        <f>IF($N372="","","ÖDEME")</f>
        <v/>
      </c>
      <c r="Q372" s="3" t="n"/>
      <c r="R372" s="3" t="n">
        <v>0</v>
      </c>
      <c r="S372" s="3">
        <f>IF($N372="",0,INDEX(TAHSILAT!$F$7:$F$1506,$U372))</f>
        <v/>
      </c>
      <c r="T372" s="3">
        <f>IF($N372="",10000000000,$N372*100000+$M372)</f>
        <v/>
      </c>
      <c r="U372" s="3">
        <f>IFERROR(MATCH($AC$4&amp;"|120",TAHSILAT!$Q$7:$Q$1506,0),0)</f>
        <v/>
      </c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>
        <v>362</v>
      </c>
      <c r="N373" s="3">
        <f>IF($U373=0,"",INDEX(GELIR_GIDER!$C$7:$C$1206,$U373))</f>
        <v/>
      </c>
      <c r="O373" s="3">
        <f>IF($N373="","",INDEX(GELIR_GIDER!$E$7:$E$1206,$U373)&amp;IF(INDEX(GELIR_GIDER!$F$7:$F$1206,$U373)="",""," – "&amp;INDEX(GELIR_GIDER!$F$7:$F$1206,$U373)))</f>
        <v/>
      </c>
      <c r="P373" s="3">
        <f>IF($N373="","","EK HİZMET")</f>
        <v/>
      </c>
      <c r="Q373" s="3" t="n"/>
      <c r="R373" s="3">
        <f>IF($N373="",0,INDEX(GELIR_GIDER!$G$7:$G$1206,$U373))</f>
        <v/>
      </c>
      <c r="S373" s="3" t="n">
        <v>0</v>
      </c>
      <c r="T373" s="3">
        <f>IF($N373="",10000000000,$N373*100000+$M373)</f>
        <v/>
      </c>
      <c r="U373" s="3">
        <f>IFERROR(MATCH($AC$4&amp;"|1",GELIR_GIDER!$U$7:$U$1206,0),0)</f>
        <v/>
      </c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>
        <v>363</v>
      </c>
      <c r="N374" s="3">
        <f>IF($U374=0,"",INDEX(GELIR_GIDER!$C$7:$C$1206,$U374))</f>
        <v/>
      </c>
      <c r="O374" s="3">
        <f>IF($N374="","",INDEX(GELIR_GIDER!$E$7:$E$1206,$U374)&amp;IF(INDEX(GELIR_GIDER!$F$7:$F$1206,$U374)="",""," – "&amp;INDEX(GELIR_GIDER!$F$7:$F$1206,$U374)))</f>
        <v/>
      </c>
      <c r="P374" s="3">
        <f>IF($N374="","","EK HİZMET")</f>
        <v/>
      </c>
      <c r="Q374" s="3" t="n"/>
      <c r="R374" s="3">
        <f>IF($N374="",0,INDEX(GELIR_GIDER!$G$7:$G$1206,$U374))</f>
        <v/>
      </c>
      <c r="S374" s="3" t="n">
        <v>0</v>
      </c>
      <c r="T374" s="3">
        <f>IF($N374="",10000000000,$N374*100000+$M374)</f>
        <v/>
      </c>
      <c r="U374" s="3">
        <f>IFERROR(MATCH($AC$4&amp;"|2",GELIR_GIDER!$U$7:$U$1206,0),0)</f>
        <v/>
      </c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>
        <v>364</v>
      </c>
      <c r="N375" s="3">
        <f>IF($U375=0,"",INDEX(GELIR_GIDER!$C$7:$C$1206,$U375))</f>
        <v/>
      </c>
      <c r="O375" s="3">
        <f>IF($N375="","",INDEX(GELIR_GIDER!$E$7:$E$1206,$U375)&amp;IF(INDEX(GELIR_GIDER!$F$7:$F$1206,$U375)="",""," – "&amp;INDEX(GELIR_GIDER!$F$7:$F$1206,$U375)))</f>
        <v/>
      </c>
      <c r="P375" s="3">
        <f>IF($N375="","","EK HİZMET")</f>
        <v/>
      </c>
      <c r="Q375" s="3" t="n"/>
      <c r="R375" s="3">
        <f>IF($N375="",0,INDEX(GELIR_GIDER!$G$7:$G$1206,$U375))</f>
        <v/>
      </c>
      <c r="S375" s="3" t="n">
        <v>0</v>
      </c>
      <c r="T375" s="3">
        <f>IF($N375="",10000000000,$N375*100000+$M375)</f>
        <v/>
      </c>
      <c r="U375" s="3">
        <f>IFERROR(MATCH($AC$4&amp;"|3",GELIR_GIDER!$U$7:$U$1206,0),0)</f>
        <v/>
      </c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>
        <v>365</v>
      </c>
      <c r="N376" s="3">
        <f>IF($U376=0,"",INDEX(GELIR_GIDER!$C$7:$C$1206,$U376))</f>
        <v/>
      </c>
      <c r="O376" s="3">
        <f>IF($N376="","",INDEX(GELIR_GIDER!$E$7:$E$1206,$U376)&amp;IF(INDEX(GELIR_GIDER!$F$7:$F$1206,$U376)="",""," – "&amp;INDEX(GELIR_GIDER!$F$7:$F$1206,$U376)))</f>
        <v/>
      </c>
      <c r="P376" s="3">
        <f>IF($N376="","","EK HİZMET")</f>
        <v/>
      </c>
      <c r="Q376" s="3" t="n"/>
      <c r="R376" s="3">
        <f>IF($N376="",0,INDEX(GELIR_GIDER!$G$7:$G$1206,$U376))</f>
        <v/>
      </c>
      <c r="S376" s="3" t="n">
        <v>0</v>
      </c>
      <c r="T376" s="3">
        <f>IF($N376="",10000000000,$N376*100000+$M376)</f>
        <v/>
      </c>
      <c r="U376" s="3">
        <f>IFERROR(MATCH($AC$4&amp;"|4",GELIR_GIDER!$U$7:$U$1206,0),0)</f>
        <v/>
      </c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>
        <v>366</v>
      </c>
      <c r="N377" s="3">
        <f>IF($U377=0,"",INDEX(GELIR_GIDER!$C$7:$C$1206,$U377))</f>
        <v/>
      </c>
      <c r="O377" s="3">
        <f>IF($N377="","",INDEX(GELIR_GIDER!$E$7:$E$1206,$U377)&amp;IF(INDEX(GELIR_GIDER!$F$7:$F$1206,$U377)="",""," – "&amp;INDEX(GELIR_GIDER!$F$7:$F$1206,$U377)))</f>
        <v/>
      </c>
      <c r="P377" s="3">
        <f>IF($N377="","","EK HİZMET")</f>
        <v/>
      </c>
      <c r="Q377" s="3" t="n"/>
      <c r="R377" s="3">
        <f>IF($N377="",0,INDEX(GELIR_GIDER!$G$7:$G$1206,$U377))</f>
        <v/>
      </c>
      <c r="S377" s="3" t="n">
        <v>0</v>
      </c>
      <c r="T377" s="3">
        <f>IF($N377="",10000000000,$N377*100000+$M377)</f>
        <v/>
      </c>
      <c r="U377" s="3">
        <f>IFERROR(MATCH($AC$4&amp;"|5",GELIR_GIDER!$U$7:$U$1206,0),0)</f>
        <v/>
      </c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>
        <v>367</v>
      </c>
      <c r="N378" s="3">
        <f>IF($U378=0,"",INDEX(GELIR_GIDER!$C$7:$C$1206,$U378))</f>
        <v/>
      </c>
      <c r="O378" s="3">
        <f>IF($N378="","",INDEX(GELIR_GIDER!$E$7:$E$1206,$U378)&amp;IF(INDEX(GELIR_GIDER!$F$7:$F$1206,$U378)="",""," – "&amp;INDEX(GELIR_GIDER!$F$7:$F$1206,$U378)))</f>
        <v/>
      </c>
      <c r="P378" s="3">
        <f>IF($N378="","","EK HİZMET")</f>
        <v/>
      </c>
      <c r="Q378" s="3" t="n"/>
      <c r="R378" s="3">
        <f>IF($N378="",0,INDEX(GELIR_GIDER!$G$7:$G$1206,$U378))</f>
        <v/>
      </c>
      <c r="S378" s="3" t="n">
        <v>0</v>
      </c>
      <c r="T378" s="3">
        <f>IF($N378="",10000000000,$N378*100000+$M378)</f>
        <v/>
      </c>
      <c r="U378" s="3">
        <f>IFERROR(MATCH($AC$4&amp;"|6",GELIR_GIDER!$U$7:$U$1206,0),0)</f>
        <v/>
      </c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>
        <v>368</v>
      </c>
      <c r="N379" s="3">
        <f>IF($U379=0,"",INDEX(GELIR_GIDER!$C$7:$C$1206,$U379))</f>
        <v/>
      </c>
      <c r="O379" s="3">
        <f>IF($N379="","",INDEX(GELIR_GIDER!$E$7:$E$1206,$U379)&amp;IF(INDEX(GELIR_GIDER!$F$7:$F$1206,$U379)="",""," – "&amp;INDEX(GELIR_GIDER!$F$7:$F$1206,$U379)))</f>
        <v/>
      </c>
      <c r="P379" s="3">
        <f>IF($N379="","","EK HİZMET")</f>
        <v/>
      </c>
      <c r="Q379" s="3" t="n"/>
      <c r="R379" s="3">
        <f>IF($N379="",0,INDEX(GELIR_GIDER!$G$7:$G$1206,$U379))</f>
        <v/>
      </c>
      <c r="S379" s="3" t="n">
        <v>0</v>
      </c>
      <c r="T379" s="3">
        <f>IF($N379="",10000000000,$N379*100000+$M379)</f>
        <v/>
      </c>
      <c r="U379" s="3">
        <f>IFERROR(MATCH($AC$4&amp;"|7",GELIR_GIDER!$U$7:$U$1206,0),0)</f>
        <v/>
      </c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>
        <v>369</v>
      </c>
      <c r="N380" s="3">
        <f>IF($U380=0,"",INDEX(GELIR_GIDER!$C$7:$C$1206,$U380))</f>
        <v/>
      </c>
      <c r="O380" s="3">
        <f>IF($N380="","",INDEX(GELIR_GIDER!$E$7:$E$1206,$U380)&amp;IF(INDEX(GELIR_GIDER!$F$7:$F$1206,$U380)="",""," – "&amp;INDEX(GELIR_GIDER!$F$7:$F$1206,$U380)))</f>
        <v/>
      </c>
      <c r="P380" s="3">
        <f>IF($N380="","","EK HİZMET")</f>
        <v/>
      </c>
      <c r="Q380" s="3" t="n"/>
      <c r="R380" s="3">
        <f>IF($N380="",0,INDEX(GELIR_GIDER!$G$7:$G$1206,$U380))</f>
        <v/>
      </c>
      <c r="S380" s="3" t="n">
        <v>0</v>
      </c>
      <c r="T380" s="3">
        <f>IF($N380="",10000000000,$N380*100000+$M380)</f>
        <v/>
      </c>
      <c r="U380" s="3">
        <f>IFERROR(MATCH($AC$4&amp;"|8",GELIR_GIDER!$U$7:$U$1206,0),0)</f>
        <v/>
      </c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>
        <v>370</v>
      </c>
      <c r="N381" s="3">
        <f>IF($U381=0,"",INDEX(GELIR_GIDER!$C$7:$C$1206,$U381))</f>
        <v/>
      </c>
      <c r="O381" s="3">
        <f>IF($N381="","",INDEX(GELIR_GIDER!$E$7:$E$1206,$U381)&amp;IF(INDEX(GELIR_GIDER!$F$7:$F$1206,$U381)="",""," – "&amp;INDEX(GELIR_GIDER!$F$7:$F$1206,$U381)))</f>
        <v/>
      </c>
      <c r="P381" s="3">
        <f>IF($N381="","","EK HİZMET")</f>
        <v/>
      </c>
      <c r="Q381" s="3" t="n"/>
      <c r="R381" s="3">
        <f>IF($N381="",0,INDEX(GELIR_GIDER!$G$7:$G$1206,$U381))</f>
        <v/>
      </c>
      <c r="S381" s="3" t="n">
        <v>0</v>
      </c>
      <c r="T381" s="3">
        <f>IF($N381="",10000000000,$N381*100000+$M381)</f>
        <v/>
      </c>
      <c r="U381" s="3">
        <f>IFERROR(MATCH($AC$4&amp;"|9",GELIR_GIDER!$U$7:$U$1206,0),0)</f>
        <v/>
      </c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>
        <v>371</v>
      </c>
      <c r="N382" s="3">
        <f>IF($U382=0,"",INDEX(GELIR_GIDER!$C$7:$C$1206,$U382))</f>
        <v/>
      </c>
      <c r="O382" s="3">
        <f>IF($N382="","",INDEX(GELIR_GIDER!$E$7:$E$1206,$U382)&amp;IF(INDEX(GELIR_GIDER!$F$7:$F$1206,$U382)="",""," – "&amp;INDEX(GELIR_GIDER!$F$7:$F$1206,$U382)))</f>
        <v/>
      </c>
      <c r="P382" s="3">
        <f>IF($N382="","","EK HİZMET")</f>
        <v/>
      </c>
      <c r="Q382" s="3" t="n"/>
      <c r="R382" s="3">
        <f>IF($N382="",0,INDEX(GELIR_GIDER!$G$7:$G$1206,$U382))</f>
        <v/>
      </c>
      <c r="S382" s="3" t="n">
        <v>0</v>
      </c>
      <c r="T382" s="3">
        <f>IF($N382="",10000000000,$N382*100000+$M382)</f>
        <v/>
      </c>
      <c r="U382" s="3">
        <f>IFERROR(MATCH($AC$4&amp;"|10",GELIR_GIDER!$U$7:$U$1206,0),0)</f>
        <v/>
      </c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>
        <v>372</v>
      </c>
      <c r="N383" s="3">
        <f>IF($U383=0,"",INDEX(GELIR_GIDER!$C$7:$C$1206,$U383))</f>
        <v/>
      </c>
      <c r="O383" s="3">
        <f>IF($N383="","",INDEX(GELIR_GIDER!$E$7:$E$1206,$U383)&amp;IF(INDEX(GELIR_GIDER!$F$7:$F$1206,$U383)="",""," – "&amp;INDEX(GELIR_GIDER!$F$7:$F$1206,$U383)))</f>
        <v/>
      </c>
      <c r="P383" s="3">
        <f>IF($N383="","","EK HİZMET")</f>
        <v/>
      </c>
      <c r="Q383" s="3" t="n"/>
      <c r="R383" s="3">
        <f>IF($N383="",0,INDEX(GELIR_GIDER!$G$7:$G$1206,$U383))</f>
        <v/>
      </c>
      <c r="S383" s="3" t="n">
        <v>0</v>
      </c>
      <c r="T383" s="3">
        <f>IF($N383="",10000000000,$N383*100000+$M383)</f>
        <v/>
      </c>
      <c r="U383" s="3">
        <f>IFERROR(MATCH($AC$4&amp;"|11",GELIR_GIDER!$U$7:$U$1206,0),0)</f>
        <v/>
      </c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>
        <v>373</v>
      </c>
      <c r="N384" s="3">
        <f>IF($U384=0,"",INDEX(GELIR_GIDER!$C$7:$C$1206,$U384))</f>
        <v/>
      </c>
      <c r="O384" s="3">
        <f>IF($N384="","",INDEX(GELIR_GIDER!$E$7:$E$1206,$U384)&amp;IF(INDEX(GELIR_GIDER!$F$7:$F$1206,$U384)="",""," – "&amp;INDEX(GELIR_GIDER!$F$7:$F$1206,$U384)))</f>
        <v/>
      </c>
      <c r="P384" s="3">
        <f>IF($N384="","","EK HİZMET")</f>
        <v/>
      </c>
      <c r="Q384" s="3" t="n"/>
      <c r="R384" s="3">
        <f>IF($N384="",0,INDEX(GELIR_GIDER!$G$7:$G$1206,$U384))</f>
        <v/>
      </c>
      <c r="S384" s="3" t="n">
        <v>0</v>
      </c>
      <c r="T384" s="3">
        <f>IF($N384="",10000000000,$N384*100000+$M384)</f>
        <v/>
      </c>
      <c r="U384" s="3">
        <f>IFERROR(MATCH($AC$4&amp;"|12",GELIR_GIDER!$U$7:$U$1206,0),0)</f>
        <v/>
      </c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>
        <v>374</v>
      </c>
      <c r="N385" s="3">
        <f>IF($U385=0,"",INDEX(GELIR_GIDER!$C$7:$C$1206,$U385))</f>
        <v/>
      </c>
      <c r="O385" s="3">
        <f>IF($N385="","",INDEX(GELIR_GIDER!$E$7:$E$1206,$U385)&amp;IF(INDEX(GELIR_GIDER!$F$7:$F$1206,$U385)="",""," – "&amp;INDEX(GELIR_GIDER!$F$7:$F$1206,$U385)))</f>
        <v/>
      </c>
      <c r="P385" s="3">
        <f>IF($N385="","","EK HİZMET")</f>
        <v/>
      </c>
      <c r="Q385" s="3" t="n"/>
      <c r="R385" s="3">
        <f>IF($N385="",0,INDEX(GELIR_GIDER!$G$7:$G$1206,$U385))</f>
        <v/>
      </c>
      <c r="S385" s="3" t="n">
        <v>0</v>
      </c>
      <c r="T385" s="3">
        <f>IF($N385="",10000000000,$N385*100000+$M385)</f>
        <v/>
      </c>
      <c r="U385" s="3">
        <f>IFERROR(MATCH($AC$4&amp;"|13",GELIR_GIDER!$U$7:$U$1206,0),0)</f>
        <v/>
      </c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>
        <v>375</v>
      </c>
      <c r="N386" s="3">
        <f>IF($U386=0,"",INDEX(GELIR_GIDER!$C$7:$C$1206,$U386))</f>
        <v/>
      </c>
      <c r="O386" s="3">
        <f>IF($N386="","",INDEX(GELIR_GIDER!$E$7:$E$1206,$U386)&amp;IF(INDEX(GELIR_GIDER!$F$7:$F$1206,$U386)="",""," – "&amp;INDEX(GELIR_GIDER!$F$7:$F$1206,$U386)))</f>
        <v/>
      </c>
      <c r="P386" s="3">
        <f>IF($N386="","","EK HİZMET")</f>
        <v/>
      </c>
      <c r="Q386" s="3" t="n"/>
      <c r="R386" s="3">
        <f>IF($N386="",0,INDEX(GELIR_GIDER!$G$7:$G$1206,$U386))</f>
        <v/>
      </c>
      <c r="S386" s="3" t="n">
        <v>0</v>
      </c>
      <c r="T386" s="3">
        <f>IF($N386="",10000000000,$N386*100000+$M386)</f>
        <v/>
      </c>
      <c r="U386" s="3">
        <f>IFERROR(MATCH($AC$4&amp;"|14",GELIR_GIDER!$U$7:$U$1206,0),0)</f>
        <v/>
      </c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>
        <v>376</v>
      </c>
      <c r="N387" s="3">
        <f>IF($U387=0,"",INDEX(GELIR_GIDER!$C$7:$C$1206,$U387))</f>
        <v/>
      </c>
      <c r="O387" s="3">
        <f>IF($N387="","",INDEX(GELIR_GIDER!$E$7:$E$1206,$U387)&amp;IF(INDEX(GELIR_GIDER!$F$7:$F$1206,$U387)="",""," – "&amp;INDEX(GELIR_GIDER!$F$7:$F$1206,$U387)))</f>
        <v/>
      </c>
      <c r="P387" s="3">
        <f>IF($N387="","","EK HİZMET")</f>
        <v/>
      </c>
      <c r="Q387" s="3" t="n"/>
      <c r="R387" s="3">
        <f>IF($N387="",0,INDEX(GELIR_GIDER!$G$7:$G$1206,$U387))</f>
        <v/>
      </c>
      <c r="S387" s="3" t="n">
        <v>0</v>
      </c>
      <c r="T387" s="3">
        <f>IF($N387="",10000000000,$N387*100000+$M387)</f>
        <v/>
      </c>
      <c r="U387" s="3">
        <f>IFERROR(MATCH($AC$4&amp;"|15",GELIR_GIDER!$U$7:$U$1206,0),0)</f>
        <v/>
      </c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>
        <v>377</v>
      </c>
      <c r="N388" s="3">
        <f>IF($U388=0,"",INDEX(GELIR_GIDER!$C$7:$C$1206,$U388))</f>
        <v/>
      </c>
      <c r="O388" s="3">
        <f>IF($N388="","",INDEX(GELIR_GIDER!$E$7:$E$1206,$U388)&amp;IF(INDEX(GELIR_GIDER!$F$7:$F$1206,$U388)="",""," – "&amp;INDEX(GELIR_GIDER!$F$7:$F$1206,$U388)))</f>
        <v/>
      </c>
      <c r="P388" s="3">
        <f>IF($N388="","","EK HİZMET")</f>
        <v/>
      </c>
      <c r="Q388" s="3" t="n"/>
      <c r="R388" s="3">
        <f>IF($N388="",0,INDEX(GELIR_GIDER!$G$7:$G$1206,$U388))</f>
        <v/>
      </c>
      <c r="S388" s="3" t="n">
        <v>0</v>
      </c>
      <c r="T388" s="3">
        <f>IF($N388="",10000000000,$N388*100000+$M388)</f>
        <v/>
      </c>
      <c r="U388" s="3">
        <f>IFERROR(MATCH($AC$4&amp;"|16",GELIR_GIDER!$U$7:$U$1206,0),0)</f>
        <v/>
      </c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>
        <v>378</v>
      </c>
      <c r="N389" s="3">
        <f>IF($U389=0,"",INDEX(GELIR_GIDER!$C$7:$C$1206,$U389))</f>
        <v/>
      </c>
      <c r="O389" s="3">
        <f>IF($N389="","",INDEX(GELIR_GIDER!$E$7:$E$1206,$U389)&amp;IF(INDEX(GELIR_GIDER!$F$7:$F$1206,$U389)="",""," – "&amp;INDEX(GELIR_GIDER!$F$7:$F$1206,$U389)))</f>
        <v/>
      </c>
      <c r="P389" s="3">
        <f>IF($N389="","","EK HİZMET")</f>
        <v/>
      </c>
      <c r="Q389" s="3" t="n"/>
      <c r="R389" s="3">
        <f>IF($N389="",0,INDEX(GELIR_GIDER!$G$7:$G$1206,$U389))</f>
        <v/>
      </c>
      <c r="S389" s="3" t="n">
        <v>0</v>
      </c>
      <c r="T389" s="3">
        <f>IF($N389="",10000000000,$N389*100000+$M389)</f>
        <v/>
      </c>
      <c r="U389" s="3">
        <f>IFERROR(MATCH($AC$4&amp;"|17",GELIR_GIDER!$U$7:$U$1206,0),0)</f>
        <v/>
      </c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>
        <v>379</v>
      </c>
      <c r="N390" s="3">
        <f>IF($U390=0,"",INDEX(GELIR_GIDER!$C$7:$C$1206,$U390))</f>
        <v/>
      </c>
      <c r="O390" s="3">
        <f>IF($N390="","",INDEX(GELIR_GIDER!$E$7:$E$1206,$U390)&amp;IF(INDEX(GELIR_GIDER!$F$7:$F$1206,$U390)="",""," – "&amp;INDEX(GELIR_GIDER!$F$7:$F$1206,$U390)))</f>
        <v/>
      </c>
      <c r="P390" s="3">
        <f>IF($N390="","","EK HİZMET")</f>
        <v/>
      </c>
      <c r="Q390" s="3" t="n"/>
      <c r="R390" s="3">
        <f>IF($N390="",0,INDEX(GELIR_GIDER!$G$7:$G$1206,$U390))</f>
        <v/>
      </c>
      <c r="S390" s="3" t="n">
        <v>0</v>
      </c>
      <c r="T390" s="3">
        <f>IF($N390="",10000000000,$N390*100000+$M390)</f>
        <v/>
      </c>
      <c r="U390" s="3">
        <f>IFERROR(MATCH($AC$4&amp;"|18",GELIR_GIDER!$U$7:$U$1206,0),0)</f>
        <v/>
      </c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>
        <v>380</v>
      </c>
      <c r="N391" s="3">
        <f>IF($U391=0,"",INDEX(GELIR_GIDER!$C$7:$C$1206,$U391))</f>
        <v/>
      </c>
      <c r="O391" s="3">
        <f>IF($N391="","",INDEX(GELIR_GIDER!$E$7:$E$1206,$U391)&amp;IF(INDEX(GELIR_GIDER!$F$7:$F$1206,$U391)="",""," – "&amp;INDEX(GELIR_GIDER!$F$7:$F$1206,$U391)))</f>
        <v/>
      </c>
      <c r="P391" s="3">
        <f>IF($N391="","","EK HİZMET")</f>
        <v/>
      </c>
      <c r="Q391" s="3" t="n"/>
      <c r="R391" s="3">
        <f>IF($N391="",0,INDEX(GELIR_GIDER!$G$7:$G$1206,$U391))</f>
        <v/>
      </c>
      <c r="S391" s="3" t="n">
        <v>0</v>
      </c>
      <c r="T391" s="3">
        <f>IF($N391="",10000000000,$N391*100000+$M391)</f>
        <v/>
      </c>
      <c r="U391" s="3">
        <f>IFERROR(MATCH($AC$4&amp;"|19",GELIR_GIDER!$U$7:$U$1206,0),0)</f>
        <v/>
      </c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>
        <v>381</v>
      </c>
      <c r="N392" s="3">
        <f>IF($U392=0,"",INDEX(GELIR_GIDER!$C$7:$C$1206,$U392))</f>
        <v/>
      </c>
      <c r="O392" s="3">
        <f>IF($N392="","",INDEX(GELIR_GIDER!$E$7:$E$1206,$U392)&amp;IF(INDEX(GELIR_GIDER!$F$7:$F$1206,$U392)="",""," – "&amp;INDEX(GELIR_GIDER!$F$7:$F$1206,$U392)))</f>
        <v/>
      </c>
      <c r="P392" s="3">
        <f>IF($N392="","","EK HİZMET")</f>
        <v/>
      </c>
      <c r="Q392" s="3" t="n"/>
      <c r="R392" s="3">
        <f>IF($N392="",0,INDEX(GELIR_GIDER!$G$7:$G$1206,$U392))</f>
        <v/>
      </c>
      <c r="S392" s="3" t="n">
        <v>0</v>
      </c>
      <c r="T392" s="3">
        <f>IF($N392="",10000000000,$N392*100000+$M392)</f>
        <v/>
      </c>
      <c r="U392" s="3">
        <f>IFERROR(MATCH($AC$4&amp;"|20",GELIR_GIDER!$U$7:$U$1206,0),0)</f>
        <v/>
      </c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>
        <v>382</v>
      </c>
      <c r="N393" s="3">
        <f>IF($U393=0,"",INDEX(GELIR_GIDER!$C$7:$C$1206,$U393))</f>
        <v/>
      </c>
      <c r="O393" s="3">
        <f>IF($N393="","",INDEX(GELIR_GIDER!$E$7:$E$1206,$U393)&amp;IF(INDEX(GELIR_GIDER!$F$7:$F$1206,$U393)="",""," – "&amp;INDEX(GELIR_GIDER!$F$7:$F$1206,$U393)))</f>
        <v/>
      </c>
      <c r="P393" s="3">
        <f>IF($N393="","","EK HİZMET")</f>
        <v/>
      </c>
      <c r="Q393" s="3" t="n"/>
      <c r="R393" s="3">
        <f>IF($N393="",0,INDEX(GELIR_GIDER!$G$7:$G$1206,$U393))</f>
        <v/>
      </c>
      <c r="S393" s="3" t="n">
        <v>0</v>
      </c>
      <c r="T393" s="3">
        <f>IF($N393="",10000000000,$N393*100000+$M393)</f>
        <v/>
      </c>
      <c r="U393" s="3">
        <f>IFERROR(MATCH($AC$4&amp;"|21",GELIR_GIDER!$U$7:$U$1206,0),0)</f>
        <v/>
      </c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>
        <v>383</v>
      </c>
      <c r="N394" s="3">
        <f>IF($U394=0,"",INDEX(GELIR_GIDER!$C$7:$C$1206,$U394))</f>
        <v/>
      </c>
      <c r="O394" s="3">
        <f>IF($N394="","",INDEX(GELIR_GIDER!$E$7:$E$1206,$U394)&amp;IF(INDEX(GELIR_GIDER!$F$7:$F$1206,$U394)="",""," – "&amp;INDEX(GELIR_GIDER!$F$7:$F$1206,$U394)))</f>
        <v/>
      </c>
      <c r="P394" s="3">
        <f>IF($N394="","","EK HİZMET")</f>
        <v/>
      </c>
      <c r="Q394" s="3" t="n"/>
      <c r="R394" s="3">
        <f>IF($N394="",0,INDEX(GELIR_GIDER!$G$7:$G$1206,$U394))</f>
        <v/>
      </c>
      <c r="S394" s="3" t="n">
        <v>0</v>
      </c>
      <c r="T394" s="3">
        <f>IF($N394="",10000000000,$N394*100000+$M394)</f>
        <v/>
      </c>
      <c r="U394" s="3">
        <f>IFERROR(MATCH($AC$4&amp;"|22",GELIR_GIDER!$U$7:$U$1206,0),0)</f>
        <v/>
      </c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>
        <v>384</v>
      </c>
      <c r="N395" s="3">
        <f>IF($U395=0,"",INDEX(GELIR_GIDER!$C$7:$C$1206,$U395))</f>
        <v/>
      </c>
      <c r="O395" s="3">
        <f>IF($N395="","",INDEX(GELIR_GIDER!$E$7:$E$1206,$U395)&amp;IF(INDEX(GELIR_GIDER!$F$7:$F$1206,$U395)="",""," – "&amp;INDEX(GELIR_GIDER!$F$7:$F$1206,$U395)))</f>
        <v/>
      </c>
      <c r="P395" s="3">
        <f>IF($N395="","","EK HİZMET")</f>
        <v/>
      </c>
      <c r="Q395" s="3" t="n"/>
      <c r="R395" s="3">
        <f>IF($N395="",0,INDEX(GELIR_GIDER!$G$7:$G$1206,$U395))</f>
        <v/>
      </c>
      <c r="S395" s="3" t="n">
        <v>0</v>
      </c>
      <c r="T395" s="3">
        <f>IF($N395="",10000000000,$N395*100000+$M395)</f>
        <v/>
      </c>
      <c r="U395" s="3">
        <f>IFERROR(MATCH($AC$4&amp;"|23",GELIR_GIDER!$U$7:$U$1206,0),0)</f>
        <v/>
      </c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>
        <v>385</v>
      </c>
      <c r="N396" s="3">
        <f>IF($U396=0,"",INDEX(GELIR_GIDER!$C$7:$C$1206,$U396))</f>
        <v/>
      </c>
      <c r="O396" s="3">
        <f>IF($N396="","",INDEX(GELIR_GIDER!$E$7:$E$1206,$U396)&amp;IF(INDEX(GELIR_GIDER!$F$7:$F$1206,$U396)="",""," – "&amp;INDEX(GELIR_GIDER!$F$7:$F$1206,$U396)))</f>
        <v/>
      </c>
      <c r="P396" s="3">
        <f>IF($N396="","","EK HİZMET")</f>
        <v/>
      </c>
      <c r="Q396" s="3" t="n"/>
      <c r="R396" s="3">
        <f>IF($N396="",0,INDEX(GELIR_GIDER!$G$7:$G$1206,$U396))</f>
        <v/>
      </c>
      <c r="S396" s="3" t="n">
        <v>0</v>
      </c>
      <c r="T396" s="3">
        <f>IF($N396="",10000000000,$N396*100000+$M396)</f>
        <v/>
      </c>
      <c r="U396" s="3">
        <f>IFERROR(MATCH($AC$4&amp;"|24",GELIR_GIDER!$U$7:$U$1206,0),0)</f>
        <v/>
      </c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>
        <v>386</v>
      </c>
      <c r="N397" s="3">
        <f>IF($U397=0,"",INDEX(GELIR_GIDER!$C$7:$C$1206,$U397))</f>
        <v/>
      </c>
      <c r="O397" s="3">
        <f>IF($N397="","",INDEX(GELIR_GIDER!$E$7:$E$1206,$U397)&amp;IF(INDEX(GELIR_GIDER!$F$7:$F$1206,$U397)="",""," – "&amp;INDEX(GELIR_GIDER!$F$7:$F$1206,$U397)))</f>
        <v/>
      </c>
      <c r="P397" s="3">
        <f>IF($N397="","","EK HİZMET")</f>
        <v/>
      </c>
      <c r="Q397" s="3" t="n"/>
      <c r="R397" s="3">
        <f>IF($N397="",0,INDEX(GELIR_GIDER!$G$7:$G$1206,$U397))</f>
        <v/>
      </c>
      <c r="S397" s="3" t="n">
        <v>0</v>
      </c>
      <c r="T397" s="3">
        <f>IF($N397="",10000000000,$N397*100000+$M397)</f>
        <v/>
      </c>
      <c r="U397" s="3">
        <f>IFERROR(MATCH($AC$4&amp;"|25",GELIR_GIDER!$U$7:$U$1206,0),0)</f>
        <v/>
      </c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>
        <v>387</v>
      </c>
      <c r="N398" s="3">
        <f>IF($U398=0,"",INDEX(GELIR_GIDER!$C$7:$C$1206,$U398))</f>
        <v/>
      </c>
      <c r="O398" s="3">
        <f>IF($N398="","",INDEX(GELIR_GIDER!$E$7:$E$1206,$U398)&amp;IF(INDEX(GELIR_GIDER!$F$7:$F$1206,$U398)="",""," – "&amp;INDEX(GELIR_GIDER!$F$7:$F$1206,$U398)))</f>
        <v/>
      </c>
      <c r="P398" s="3">
        <f>IF($N398="","","EK HİZMET")</f>
        <v/>
      </c>
      <c r="Q398" s="3" t="n"/>
      <c r="R398" s="3">
        <f>IF($N398="",0,INDEX(GELIR_GIDER!$G$7:$G$1206,$U398))</f>
        <v/>
      </c>
      <c r="S398" s="3" t="n">
        <v>0</v>
      </c>
      <c r="T398" s="3">
        <f>IF($N398="",10000000000,$N398*100000+$M398)</f>
        <v/>
      </c>
      <c r="U398" s="3">
        <f>IFERROR(MATCH($AC$4&amp;"|26",GELIR_GIDER!$U$7:$U$1206,0),0)</f>
        <v/>
      </c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>
        <v>388</v>
      </c>
      <c r="N399" s="3">
        <f>IF($U399=0,"",INDEX(GELIR_GIDER!$C$7:$C$1206,$U399))</f>
        <v/>
      </c>
      <c r="O399" s="3">
        <f>IF($N399="","",INDEX(GELIR_GIDER!$E$7:$E$1206,$U399)&amp;IF(INDEX(GELIR_GIDER!$F$7:$F$1206,$U399)="",""," – "&amp;INDEX(GELIR_GIDER!$F$7:$F$1206,$U399)))</f>
        <v/>
      </c>
      <c r="P399" s="3">
        <f>IF($N399="","","EK HİZMET")</f>
        <v/>
      </c>
      <c r="Q399" s="3" t="n"/>
      <c r="R399" s="3">
        <f>IF($N399="",0,INDEX(GELIR_GIDER!$G$7:$G$1206,$U399))</f>
        <v/>
      </c>
      <c r="S399" s="3" t="n">
        <v>0</v>
      </c>
      <c r="T399" s="3">
        <f>IF($N399="",10000000000,$N399*100000+$M399)</f>
        <v/>
      </c>
      <c r="U399" s="3">
        <f>IFERROR(MATCH($AC$4&amp;"|27",GELIR_GIDER!$U$7:$U$1206,0),0)</f>
        <v/>
      </c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>
        <v>389</v>
      </c>
      <c r="N400" s="3">
        <f>IF($U400=0,"",INDEX(GELIR_GIDER!$C$7:$C$1206,$U400))</f>
        <v/>
      </c>
      <c r="O400" s="3">
        <f>IF($N400="","",INDEX(GELIR_GIDER!$E$7:$E$1206,$U400)&amp;IF(INDEX(GELIR_GIDER!$F$7:$F$1206,$U400)="",""," – "&amp;INDEX(GELIR_GIDER!$F$7:$F$1206,$U400)))</f>
        <v/>
      </c>
      <c r="P400" s="3">
        <f>IF($N400="","","EK HİZMET")</f>
        <v/>
      </c>
      <c r="Q400" s="3" t="n"/>
      <c r="R400" s="3">
        <f>IF($N400="",0,INDEX(GELIR_GIDER!$G$7:$G$1206,$U400))</f>
        <v/>
      </c>
      <c r="S400" s="3" t="n">
        <v>0</v>
      </c>
      <c r="T400" s="3">
        <f>IF($N400="",10000000000,$N400*100000+$M400)</f>
        <v/>
      </c>
      <c r="U400" s="3">
        <f>IFERROR(MATCH($AC$4&amp;"|28",GELIR_GIDER!$U$7:$U$1206,0),0)</f>
        <v/>
      </c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>
        <v>390</v>
      </c>
      <c r="N401" s="3">
        <f>IF($U401=0,"",INDEX(GELIR_GIDER!$C$7:$C$1206,$U401))</f>
        <v/>
      </c>
      <c r="O401" s="3">
        <f>IF($N401="","",INDEX(GELIR_GIDER!$E$7:$E$1206,$U401)&amp;IF(INDEX(GELIR_GIDER!$F$7:$F$1206,$U401)="",""," – "&amp;INDEX(GELIR_GIDER!$F$7:$F$1206,$U401)))</f>
        <v/>
      </c>
      <c r="P401" s="3">
        <f>IF($N401="","","EK HİZMET")</f>
        <v/>
      </c>
      <c r="Q401" s="3" t="n"/>
      <c r="R401" s="3">
        <f>IF($N401="",0,INDEX(GELIR_GIDER!$G$7:$G$1206,$U401))</f>
        <v/>
      </c>
      <c r="S401" s="3" t="n">
        <v>0</v>
      </c>
      <c r="T401" s="3">
        <f>IF($N401="",10000000000,$N401*100000+$M401)</f>
        <v/>
      </c>
      <c r="U401" s="3">
        <f>IFERROR(MATCH($AC$4&amp;"|29",GELIR_GIDER!$U$7:$U$1206,0),0)</f>
        <v/>
      </c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>
        <v>391</v>
      </c>
      <c r="N402" s="3">
        <f>IF($U402=0,"",INDEX(GELIR_GIDER!$C$7:$C$1206,$U402))</f>
        <v/>
      </c>
      <c r="O402" s="3">
        <f>IF($N402="","",INDEX(GELIR_GIDER!$E$7:$E$1206,$U402)&amp;IF(INDEX(GELIR_GIDER!$F$7:$F$1206,$U402)="",""," – "&amp;INDEX(GELIR_GIDER!$F$7:$F$1206,$U402)))</f>
        <v/>
      </c>
      <c r="P402" s="3">
        <f>IF($N402="","","EK HİZMET")</f>
        <v/>
      </c>
      <c r="Q402" s="3" t="n"/>
      <c r="R402" s="3">
        <f>IF($N402="",0,INDEX(GELIR_GIDER!$G$7:$G$1206,$U402))</f>
        <v/>
      </c>
      <c r="S402" s="3" t="n">
        <v>0</v>
      </c>
      <c r="T402" s="3">
        <f>IF($N402="",10000000000,$N402*100000+$M402)</f>
        <v/>
      </c>
      <c r="U402" s="3">
        <f>IFERROR(MATCH($AC$4&amp;"|30",GELIR_GIDER!$U$7:$U$1206,0),0)</f>
        <v/>
      </c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>
        <v>392</v>
      </c>
      <c r="N403" s="3">
        <f>IF($U403=0,"",INDEX(GELIR_GIDER!$C$7:$C$1206,$U403))</f>
        <v/>
      </c>
      <c r="O403" s="3">
        <f>IF($N403="","",INDEX(GELIR_GIDER!$E$7:$E$1206,$U403)&amp;IF(INDEX(GELIR_GIDER!$F$7:$F$1206,$U403)="",""," – "&amp;INDEX(GELIR_GIDER!$F$7:$F$1206,$U403)))</f>
        <v/>
      </c>
      <c r="P403" s="3">
        <f>IF($N403="","","EK HİZMET")</f>
        <v/>
      </c>
      <c r="Q403" s="3" t="n"/>
      <c r="R403" s="3">
        <f>IF($N403="",0,INDEX(GELIR_GIDER!$G$7:$G$1206,$U403))</f>
        <v/>
      </c>
      <c r="S403" s="3" t="n">
        <v>0</v>
      </c>
      <c r="T403" s="3">
        <f>IF($N403="",10000000000,$N403*100000+$M403)</f>
        <v/>
      </c>
      <c r="U403" s="3">
        <f>IFERROR(MATCH($AC$4&amp;"|31",GELIR_GIDER!$U$7:$U$1206,0),0)</f>
        <v/>
      </c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>
        <v>393</v>
      </c>
      <c r="N404" s="3">
        <f>IF($U404=0,"",INDEX(GELIR_GIDER!$C$7:$C$1206,$U404))</f>
        <v/>
      </c>
      <c r="O404" s="3">
        <f>IF($N404="","",INDEX(GELIR_GIDER!$E$7:$E$1206,$U404)&amp;IF(INDEX(GELIR_GIDER!$F$7:$F$1206,$U404)="",""," – "&amp;INDEX(GELIR_GIDER!$F$7:$F$1206,$U404)))</f>
        <v/>
      </c>
      <c r="P404" s="3">
        <f>IF($N404="","","EK HİZMET")</f>
        <v/>
      </c>
      <c r="Q404" s="3" t="n"/>
      <c r="R404" s="3">
        <f>IF($N404="",0,INDEX(GELIR_GIDER!$G$7:$G$1206,$U404))</f>
        <v/>
      </c>
      <c r="S404" s="3" t="n">
        <v>0</v>
      </c>
      <c r="T404" s="3">
        <f>IF($N404="",10000000000,$N404*100000+$M404)</f>
        <v/>
      </c>
      <c r="U404" s="3">
        <f>IFERROR(MATCH($AC$4&amp;"|32",GELIR_GIDER!$U$7:$U$1206,0),0)</f>
        <v/>
      </c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>
        <v>394</v>
      </c>
      <c r="N405" s="3">
        <f>IF($U405=0,"",INDEX(GELIR_GIDER!$C$7:$C$1206,$U405))</f>
        <v/>
      </c>
      <c r="O405" s="3">
        <f>IF($N405="","",INDEX(GELIR_GIDER!$E$7:$E$1206,$U405)&amp;IF(INDEX(GELIR_GIDER!$F$7:$F$1206,$U405)="",""," – "&amp;INDEX(GELIR_GIDER!$F$7:$F$1206,$U405)))</f>
        <v/>
      </c>
      <c r="P405" s="3">
        <f>IF($N405="","","EK HİZMET")</f>
        <v/>
      </c>
      <c r="Q405" s="3" t="n"/>
      <c r="R405" s="3">
        <f>IF($N405="",0,INDEX(GELIR_GIDER!$G$7:$G$1206,$U405))</f>
        <v/>
      </c>
      <c r="S405" s="3" t="n">
        <v>0</v>
      </c>
      <c r="T405" s="3">
        <f>IF($N405="",10000000000,$N405*100000+$M405)</f>
        <v/>
      </c>
      <c r="U405" s="3">
        <f>IFERROR(MATCH($AC$4&amp;"|33",GELIR_GIDER!$U$7:$U$1206,0),0)</f>
        <v/>
      </c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>
        <v>395</v>
      </c>
      <c r="N406" s="3">
        <f>IF($U406=0,"",INDEX(GELIR_GIDER!$C$7:$C$1206,$U406))</f>
        <v/>
      </c>
      <c r="O406" s="3">
        <f>IF($N406="","",INDEX(GELIR_GIDER!$E$7:$E$1206,$U406)&amp;IF(INDEX(GELIR_GIDER!$F$7:$F$1206,$U406)="",""," – "&amp;INDEX(GELIR_GIDER!$F$7:$F$1206,$U406)))</f>
        <v/>
      </c>
      <c r="P406" s="3">
        <f>IF($N406="","","EK HİZMET")</f>
        <v/>
      </c>
      <c r="Q406" s="3" t="n"/>
      <c r="R406" s="3">
        <f>IF($N406="",0,INDEX(GELIR_GIDER!$G$7:$G$1206,$U406))</f>
        <v/>
      </c>
      <c r="S406" s="3" t="n">
        <v>0</v>
      </c>
      <c r="T406" s="3">
        <f>IF($N406="",10000000000,$N406*100000+$M406)</f>
        <v/>
      </c>
      <c r="U406" s="3">
        <f>IFERROR(MATCH($AC$4&amp;"|34",GELIR_GIDER!$U$7:$U$1206,0),0)</f>
        <v/>
      </c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>
        <v>396</v>
      </c>
      <c r="N407" s="3">
        <f>IF($U407=0,"",INDEX(GELIR_GIDER!$C$7:$C$1206,$U407))</f>
        <v/>
      </c>
      <c r="O407" s="3">
        <f>IF($N407="","",INDEX(GELIR_GIDER!$E$7:$E$1206,$U407)&amp;IF(INDEX(GELIR_GIDER!$F$7:$F$1206,$U407)="",""," – "&amp;INDEX(GELIR_GIDER!$F$7:$F$1206,$U407)))</f>
        <v/>
      </c>
      <c r="P407" s="3">
        <f>IF($N407="","","EK HİZMET")</f>
        <v/>
      </c>
      <c r="Q407" s="3" t="n"/>
      <c r="R407" s="3">
        <f>IF($N407="",0,INDEX(GELIR_GIDER!$G$7:$G$1206,$U407))</f>
        <v/>
      </c>
      <c r="S407" s="3" t="n">
        <v>0</v>
      </c>
      <c r="T407" s="3">
        <f>IF($N407="",10000000000,$N407*100000+$M407)</f>
        <v/>
      </c>
      <c r="U407" s="3">
        <f>IFERROR(MATCH($AC$4&amp;"|35",GELIR_GIDER!$U$7:$U$1206,0),0)</f>
        <v/>
      </c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>
        <v>397</v>
      </c>
      <c r="N408" s="3">
        <f>IF($U408=0,"",INDEX(GELIR_GIDER!$C$7:$C$1206,$U408))</f>
        <v/>
      </c>
      <c r="O408" s="3">
        <f>IF($N408="","",INDEX(GELIR_GIDER!$E$7:$E$1206,$U408)&amp;IF(INDEX(GELIR_GIDER!$F$7:$F$1206,$U408)="",""," – "&amp;INDEX(GELIR_GIDER!$F$7:$F$1206,$U408)))</f>
        <v/>
      </c>
      <c r="P408" s="3">
        <f>IF($N408="","","EK HİZMET")</f>
        <v/>
      </c>
      <c r="Q408" s="3" t="n"/>
      <c r="R408" s="3">
        <f>IF($N408="",0,INDEX(GELIR_GIDER!$G$7:$G$1206,$U408))</f>
        <v/>
      </c>
      <c r="S408" s="3" t="n">
        <v>0</v>
      </c>
      <c r="T408" s="3">
        <f>IF($N408="",10000000000,$N408*100000+$M408)</f>
        <v/>
      </c>
      <c r="U408" s="3">
        <f>IFERROR(MATCH($AC$4&amp;"|36",GELIR_GIDER!$U$7:$U$1206,0),0)</f>
        <v/>
      </c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>
        <v>398</v>
      </c>
      <c r="N409" s="3">
        <f>IF($U409=0,"",INDEX(GELIR_GIDER!$C$7:$C$1206,$U409))</f>
        <v/>
      </c>
      <c r="O409" s="3">
        <f>IF($N409="","",INDEX(GELIR_GIDER!$E$7:$E$1206,$U409)&amp;IF(INDEX(GELIR_GIDER!$F$7:$F$1206,$U409)="",""," – "&amp;INDEX(GELIR_GIDER!$F$7:$F$1206,$U409)))</f>
        <v/>
      </c>
      <c r="P409" s="3">
        <f>IF($N409="","","EK HİZMET")</f>
        <v/>
      </c>
      <c r="Q409" s="3" t="n"/>
      <c r="R409" s="3">
        <f>IF($N409="",0,INDEX(GELIR_GIDER!$G$7:$G$1206,$U409))</f>
        <v/>
      </c>
      <c r="S409" s="3" t="n">
        <v>0</v>
      </c>
      <c r="T409" s="3">
        <f>IF($N409="",10000000000,$N409*100000+$M409)</f>
        <v/>
      </c>
      <c r="U409" s="3">
        <f>IFERROR(MATCH($AC$4&amp;"|37",GELIR_GIDER!$U$7:$U$1206,0),0)</f>
        <v/>
      </c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>
        <v>399</v>
      </c>
      <c r="N410" s="3">
        <f>IF($U410=0,"",INDEX(GELIR_GIDER!$C$7:$C$1206,$U410))</f>
        <v/>
      </c>
      <c r="O410" s="3">
        <f>IF($N410="","",INDEX(GELIR_GIDER!$E$7:$E$1206,$U410)&amp;IF(INDEX(GELIR_GIDER!$F$7:$F$1206,$U410)="",""," – "&amp;INDEX(GELIR_GIDER!$F$7:$F$1206,$U410)))</f>
        <v/>
      </c>
      <c r="P410" s="3">
        <f>IF($N410="","","EK HİZMET")</f>
        <v/>
      </c>
      <c r="Q410" s="3" t="n"/>
      <c r="R410" s="3">
        <f>IF($N410="",0,INDEX(GELIR_GIDER!$G$7:$G$1206,$U410))</f>
        <v/>
      </c>
      <c r="S410" s="3" t="n">
        <v>0</v>
      </c>
      <c r="T410" s="3">
        <f>IF($N410="",10000000000,$N410*100000+$M410)</f>
        <v/>
      </c>
      <c r="U410" s="3">
        <f>IFERROR(MATCH($AC$4&amp;"|38",GELIR_GIDER!$U$7:$U$1206,0),0)</f>
        <v/>
      </c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>
        <v>400</v>
      </c>
      <c r="N411" s="3">
        <f>IF($U411=0,"",INDEX(GELIR_GIDER!$C$7:$C$1206,$U411))</f>
        <v/>
      </c>
      <c r="O411" s="3">
        <f>IF($N411="","",INDEX(GELIR_GIDER!$E$7:$E$1206,$U411)&amp;IF(INDEX(GELIR_GIDER!$F$7:$F$1206,$U411)="",""," – "&amp;INDEX(GELIR_GIDER!$F$7:$F$1206,$U411)))</f>
        <v/>
      </c>
      <c r="P411" s="3">
        <f>IF($N411="","","EK HİZMET")</f>
        <v/>
      </c>
      <c r="Q411" s="3" t="n"/>
      <c r="R411" s="3">
        <f>IF($N411="",0,INDEX(GELIR_GIDER!$G$7:$G$1206,$U411))</f>
        <v/>
      </c>
      <c r="S411" s="3" t="n">
        <v>0</v>
      </c>
      <c r="T411" s="3">
        <f>IF($N411="",10000000000,$N411*100000+$M411)</f>
        <v/>
      </c>
      <c r="U411" s="3">
        <f>IFERROR(MATCH($AC$4&amp;"|39",GELIR_GIDER!$U$7:$U$1206,0),0)</f>
        <v/>
      </c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>
        <v>401</v>
      </c>
      <c r="N412" s="3">
        <f>IF($U412=0,"",INDEX(GELIR_GIDER!$C$7:$C$1206,$U412))</f>
        <v/>
      </c>
      <c r="O412" s="3">
        <f>IF($N412="","",INDEX(GELIR_GIDER!$E$7:$E$1206,$U412)&amp;IF(INDEX(GELIR_GIDER!$F$7:$F$1206,$U412)="",""," – "&amp;INDEX(GELIR_GIDER!$F$7:$F$1206,$U412)))</f>
        <v/>
      </c>
      <c r="P412" s="3">
        <f>IF($N412="","","EK HİZMET")</f>
        <v/>
      </c>
      <c r="Q412" s="3" t="n"/>
      <c r="R412" s="3">
        <f>IF($N412="",0,INDEX(GELIR_GIDER!$G$7:$G$1206,$U412))</f>
        <v/>
      </c>
      <c r="S412" s="3" t="n">
        <v>0</v>
      </c>
      <c r="T412" s="3">
        <f>IF($N412="",10000000000,$N412*100000+$M412)</f>
        <v/>
      </c>
      <c r="U412" s="3">
        <f>IFERROR(MATCH($AC$4&amp;"|40",GELIR_GIDER!$U$7:$U$1206,0),0)</f>
        <v/>
      </c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>
        <v>402</v>
      </c>
      <c r="N413" s="3">
        <f>IF($U413=0,"",INDEX(GELIR_GIDER!$C$7:$C$1206,$U413))</f>
        <v/>
      </c>
      <c r="O413" s="3">
        <f>IF($N413="","",INDEX(GELIR_GIDER!$E$7:$E$1206,$U413)&amp;IF(INDEX(GELIR_GIDER!$F$7:$F$1206,$U413)="",""," – "&amp;INDEX(GELIR_GIDER!$F$7:$F$1206,$U413)))</f>
        <v/>
      </c>
      <c r="P413" s="3">
        <f>IF($N413="","","EK HİZMET")</f>
        <v/>
      </c>
      <c r="Q413" s="3" t="n"/>
      <c r="R413" s="3">
        <f>IF($N413="",0,INDEX(GELIR_GIDER!$G$7:$G$1206,$U413))</f>
        <v/>
      </c>
      <c r="S413" s="3" t="n">
        <v>0</v>
      </c>
      <c r="T413" s="3">
        <f>IF($N413="",10000000000,$N413*100000+$M413)</f>
        <v/>
      </c>
      <c r="U413" s="3">
        <f>IFERROR(MATCH($AC$4&amp;"|41",GELIR_GIDER!$U$7:$U$1206,0),0)</f>
        <v/>
      </c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>
        <v>403</v>
      </c>
      <c r="N414" s="3">
        <f>IF($U414=0,"",INDEX(GELIR_GIDER!$C$7:$C$1206,$U414))</f>
        <v/>
      </c>
      <c r="O414" s="3">
        <f>IF($N414="","",INDEX(GELIR_GIDER!$E$7:$E$1206,$U414)&amp;IF(INDEX(GELIR_GIDER!$F$7:$F$1206,$U414)="",""," – "&amp;INDEX(GELIR_GIDER!$F$7:$F$1206,$U414)))</f>
        <v/>
      </c>
      <c r="P414" s="3">
        <f>IF($N414="","","EK HİZMET")</f>
        <v/>
      </c>
      <c r="Q414" s="3" t="n"/>
      <c r="R414" s="3">
        <f>IF($N414="",0,INDEX(GELIR_GIDER!$G$7:$G$1206,$U414))</f>
        <v/>
      </c>
      <c r="S414" s="3" t="n">
        <v>0</v>
      </c>
      <c r="T414" s="3">
        <f>IF($N414="",10000000000,$N414*100000+$M414)</f>
        <v/>
      </c>
      <c r="U414" s="3">
        <f>IFERROR(MATCH($AC$4&amp;"|42",GELIR_GIDER!$U$7:$U$1206,0),0)</f>
        <v/>
      </c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>
        <v>404</v>
      </c>
      <c r="N415" s="3">
        <f>IF($U415=0,"",INDEX(GELIR_GIDER!$C$7:$C$1206,$U415))</f>
        <v/>
      </c>
      <c r="O415" s="3">
        <f>IF($N415="","",INDEX(GELIR_GIDER!$E$7:$E$1206,$U415)&amp;IF(INDEX(GELIR_GIDER!$F$7:$F$1206,$U415)="",""," – "&amp;INDEX(GELIR_GIDER!$F$7:$F$1206,$U415)))</f>
        <v/>
      </c>
      <c r="P415" s="3">
        <f>IF($N415="","","EK HİZMET")</f>
        <v/>
      </c>
      <c r="Q415" s="3" t="n"/>
      <c r="R415" s="3">
        <f>IF($N415="",0,INDEX(GELIR_GIDER!$G$7:$G$1206,$U415))</f>
        <v/>
      </c>
      <c r="S415" s="3" t="n">
        <v>0</v>
      </c>
      <c r="T415" s="3">
        <f>IF($N415="",10000000000,$N415*100000+$M415)</f>
        <v/>
      </c>
      <c r="U415" s="3">
        <f>IFERROR(MATCH($AC$4&amp;"|43",GELIR_GIDER!$U$7:$U$1206,0),0)</f>
        <v/>
      </c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>
        <v>405</v>
      </c>
      <c r="N416" s="3">
        <f>IF($U416=0,"",INDEX(GELIR_GIDER!$C$7:$C$1206,$U416))</f>
        <v/>
      </c>
      <c r="O416" s="3">
        <f>IF($N416="","",INDEX(GELIR_GIDER!$E$7:$E$1206,$U416)&amp;IF(INDEX(GELIR_GIDER!$F$7:$F$1206,$U416)="",""," – "&amp;INDEX(GELIR_GIDER!$F$7:$F$1206,$U416)))</f>
        <v/>
      </c>
      <c r="P416" s="3">
        <f>IF($N416="","","EK HİZMET")</f>
        <v/>
      </c>
      <c r="Q416" s="3" t="n"/>
      <c r="R416" s="3">
        <f>IF($N416="",0,INDEX(GELIR_GIDER!$G$7:$G$1206,$U416))</f>
        <v/>
      </c>
      <c r="S416" s="3" t="n">
        <v>0</v>
      </c>
      <c r="T416" s="3">
        <f>IF($N416="",10000000000,$N416*100000+$M416)</f>
        <v/>
      </c>
      <c r="U416" s="3">
        <f>IFERROR(MATCH($AC$4&amp;"|44",GELIR_GIDER!$U$7:$U$1206,0),0)</f>
        <v/>
      </c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>
        <v>406</v>
      </c>
      <c r="N417" s="3">
        <f>IF($U417=0,"",INDEX(GELIR_GIDER!$C$7:$C$1206,$U417))</f>
        <v/>
      </c>
      <c r="O417" s="3">
        <f>IF($N417="","",INDEX(GELIR_GIDER!$E$7:$E$1206,$U417)&amp;IF(INDEX(GELIR_GIDER!$F$7:$F$1206,$U417)="",""," – "&amp;INDEX(GELIR_GIDER!$F$7:$F$1206,$U417)))</f>
        <v/>
      </c>
      <c r="P417" s="3">
        <f>IF($N417="","","EK HİZMET")</f>
        <v/>
      </c>
      <c r="Q417" s="3" t="n"/>
      <c r="R417" s="3">
        <f>IF($N417="",0,INDEX(GELIR_GIDER!$G$7:$G$1206,$U417))</f>
        <v/>
      </c>
      <c r="S417" s="3" t="n">
        <v>0</v>
      </c>
      <c r="T417" s="3">
        <f>IF($N417="",10000000000,$N417*100000+$M417)</f>
        <v/>
      </c>
      <c r="U417" s="3">
        <f>IFERROR(MATCH($AC$4&amp;"|45",GELIR_GIDER!$U$7:$U$1206,0),0)</f>
        <v/>
      </c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>
        <v>407</v>
      </c>
      <c r="N418" s="3">
        <f>IF($U418=0,"",INDEX(GELIR_GIDER!$C$7:$C$1206,$U418))</f>
        <v/>
      </c>
      <c r="O418" s="3">
        <f>IF($N418="","",INDEX(GELIR_GIDER!$E$7:$E$1206,$U418)&amp;IF(INDEX(GELIR_GIDER!$F$7:$F$1206,$U418)="",""," – "&amp;INDEX(GELIR_GIDER!$F$7:$F$1206,$U418)))</f>
        <v/>
      </c>
      <c r="P418" s="3">
        <f>IF($N418="","","EK HİZMET")</f>
        <v/>
      </c>
      <c r="Q418" s="3" t="n"/>
      <c r="R418" s="3">
        <f>IF($N418="",0,INDEX(GELIR_GIDER!$G$7:$G$1206,$U418))</f>
        <v/>
      </c>
      <c r="S418" s="3" t="n">
        <v>0</v>
      </c>
      <c r="T418" s="3">
        <f>IF($N418="",10000000000,$N418*100000+$M418)</f>
        <v/>
      </c>
      <c r="U418" s="3">
        <f>IFERROR(MATCH($AC$4&amp;"|46",GELIR_GIDER!$U$7:$U$1206,0),0)</f>
        <v/>
      </c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>
        <v>408</v>
      </c>
      <c r="N419" s="3">
        <f>IF($U419=0,"",INDEX(GELIR_GIDER!$C$7:$C$1206,$U419))</f>
        <v/>
      </c>
      <c r="O419" s="3">
        <f>IF($N419="","",INDEX(GELIR_GIDER!$E$7:$E$1206,$U419)&amp;IF(INDEX(GELIR_GIDER!$F$7:$F$1206,$U419)="",""," – "&amp;INDEX(GELIR_GIDER!$F$7:$F$1206,$U419)))</f>
        <v/>
      </c>
      <c r="P419" s="3">
        <f>IF($N419="","","EK HİZMET")</f>
        <v/>
      </c>
      <c r="Q419" s="3" t="n"/>
      <c r="R419" s="3">
        <f>IF($N419="",0,INDEX(GELIR_GIDER!$G$7:$G$1206,$U419))</f>
        <v/>
      </c>
      <c r="S419" s="3" t="n">
        <v>0</v>
      </c>
      <c r="T419" s="3">
        <f>IF($N419="",10000000000,$N419*100000+$M419)</f>
        <v/>
      </c>
      <c r="U419" s="3">
        <f>IFERROR(MATCH($AC$4&amp;"|47",GELIR_GIDER!$U$7:$U$1206,0),0)</f>
        <v/>
      </c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>
        <v>409</v>
      </c>
      <c r="N420" s="3">
        <f>IF($U420=0,"",INDEX(GELIR_GIDER!$C$7:$C$1206,$U420))</f>
        <v/>
      </c>
      <c r="O420" s="3">
        <f>IF($N420="","",INDEX(GELIR_GIDER!$E$7:$E$1206,$U420)&amp;IF(INDEX(GELIR_GIDER!$F$7:$F$1206,$U420)="",""," – "&amp;INDEX(GELIR_GIDER!$F$7:$F$1206,$U420)))</f>
        <v/>
      </c>
      <c r="P420" s="3">
        <f>IF($N420="","","EK HİZMET")</f>
        <v/>
      </c>
      <c r="Q420" s="3" t="n"/>
      <c r="R420" s="3">
        <f>IF($N420="",0,INDEX(GELIR_GIDER!$G$7:$G$1206,$U420))</f>
        <v/>
      </c>
      <c r="S420" s="3" t="n">
        <v>0</v>
      </c>
      <c r="T420" s="3">
        <f>IF($N420="",10000000000,$N420*100000+$M420)</f>
        <v/>
      </c>
      <c r="U420" s="3">
        <f>IFERROR(MATCH($AC$4&amp;"|48",GELIR_GIDER!$U$7:$U$1206,0),0)</f>
        <v/>
      </c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>
        <v>410</v>
      </c>
      <c r="N421" s="3">
        <f>IF($U421=0,"",INDEX(GELIR_GIDER!$C$7:$C$1206,$U421))</f>
        <v/>
      </c>
      <c r="O421" s="3">
        <f>IF($N421="","",INDEX(GELIR_GIDER!$E$7:$E$1206,$U421)&amp;IF(INDEX(GELIR_GIDER!$F$7:$F$1206,$U421)="",""," – "&amp;INDEX(GELIR_GIDER!$F$7:$F$1206,$U421)))</f>
        <v/>
      </c>
      <c r="P421" s="3">
        <f>IF($N421="","","EK HİZMET")</f>
        <v/>
      </c>
      <c r="Q421" s="3" t="n"/>
      <c r="R421" s="3">
        <f>IF($N421="",0,INDEX(GELIR_GIDER!$G$7:$G$1206,$U421))</f>
        <v/>
      </c>
      <c r="S421" s="3" t="n">
        <v>0</v>
      </c>
      <c r="T421" s="3">
        <f>IF($N421="",10000000000,$N421*100000+$M421)</f>
        <v/>
      </c>
      <c r="U421" s="3">
        <f>IFERROR(MATCH($AC$4&amp;"|49",GELIR_GIDER!$U$7:$U$1206,0),0)</f>
        <v/>
      </c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>
        <v>411</v>
      </c>
      <c r="N422" s="3">
        <f>IF($U422=0,"",INDEX(GELIR_GIDER!$C$7:$C$1206,$U422))</f>
        <v/>
      </c>
      <c r="O422" s="3">
        <f>IF($N422="","",INDEX(GELIR_GIDER!$E$7:$E$1206,$U422)&amp;IF(INDEX(GELIR_GIDER!$F$7:$F$1206,$U422)="",""," – "&amp;INDEX(GELIR_GIDER!$F$7:$F$1206,$U422)))</f>
        <v/>
      </c>
      <c r="P422" s="3">
        <f>IF($N422="","","EK HİZMET")</f>
        <v/>
      </c>
      <c r="Q422" s="3" t="n"/>
      <c r="R422" s="3">
        <f>IF($N422="",0,INDEX(GELIR_GIDER!$G$7:$G$1206,$U422))</f>
        <v/>
      </c>
      <c r="S422" s="3" t="n">
        <v>0</v>
      </c>
      <c r="T422" s="3">
        <f>IF($N422="",10000000000,$N422*100000+$M422)</f>
        <v/>
      </c>
      <c r="U422" s="3">
        <f>IFERROR(MATCH($AC$4&amp;"|50",GELIR_GIDER!$U$7:$U$1206,0),0)</f>
        <v/>
      </c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>
        <v>412</v>
      </c>
      <c r="N423" s="3">
        <f>IF($U423=0,"",INDEX(GELIR_GIDER!$C$7:$C$1206,$U423))</f>
        <v/>
      </c>
      <c r="O423" s="3">
        <f>IF($N423="","",INDEX(GELIR_GIDER!$E$7:$E$1206,$U423)&amp;IF(INDEX(GELIR_GIDER!$F$7:$F$1206,$U423)="",""," – "&amp;INDEX(GELIR_GIDER!$F$7:$F$1206,$U423)))</f>
        <v/>
      </c>
      <c r="P423" s="3">
        <f>IF($N423="","","EK HİZMET")</f>
        <v/>
      </c>
      <c r="Q423" s="3" t="n"/>
      <c r="R423" s="3">
        <f>IF($N423="",0,INDEX(GELIR_GIDER!$G$7:$G$1206,$U423))</f>
        <v/>
      </c>
      <c r="S423" s="3" t="n">
        <v>0</v>
      </c>
      <c r="T423" s="3">
        <f>IF($N423="",10000000000,$N423*100000+$M423)</f>
        <v/>
      </c>
      <c r="U423" s="3">
        <f>IFERROR(MATCH($AC$4&amp;"|51",GELIR_GIDER!$U$7:$U$1206,0),0)</f>
        <v/>
      </c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>
        <v>413</v>
      </c>
      <c r="N424" s="3">
        <f>IF($U424=0,"",INDEX(GELIR_GIDER!$C$7:$C$1206,$U424))</f>
        <v/>
      </c>
      <c r="O424" s="3">
        <f>IF($N424="","",INDEX(GELIR_GIDER!$E$7:$E$1206,$U424)&amp;IF(INDEX(GELIR_GIDER!$F$7:$F$1206,$U424)="",""," – "&amp;INDEX(GELIR_GIDER!$F$7:$F$1206,$U424)))</f>
        <v/>
      </c>
      <c r="P424" s="3">
        <f>IF($N424="","","EK HİZMET")</f>
        <v/>
      </c>
      <c r="Q424" s="3" t="n"/>
      <c r="R424" s="3">
        <f>IF($N424="",0,INDEX(GELIR_GIDER!$G$7:$G$1206,$U424))</f>
        <v/>
      </c>
      <c r="S424" s="3" t="n">
        <v>0</v>
      </c>
      <c r="T424" s="3">
        <f>IF($N424="",10000000000,$N424*100000+$M424)</f>
        <v/>
      </c>
      <c r="U424" s="3">
        <f>IFERROR(MATCH($AC$4&amp;"|52",GELIR_GIDER!$U$7:$U$1206,0),0)</f>
        <v/>
      </c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>
        <v>414</v>
      </c>
      <c r="N425" s="3">
        <f>IF($U425=0,"",INDEX(GELIR_GIDER!$C$7:$C$1206,$U425))</f>
        <v/>
      </c>
      <c r="O425" s="3">
        <f>IF($N425="","",INDEX(GELIR_GIDER!$E$7:$E$1206,$U425)&amp;IF(INDEX(GELIR_GIDER!$F$7:$F$1206,$U425)="",""," – "&amp;INDEX(GELIR_GIDER!$F$7:$F$1206,$U425)))</f>
        <v/>
      </c>
      <c r="P425" s="3">
        <f>IF($N425="","","EK HİZMET")</f>
        <v/>
      </c>
      <c r="Q425" s="3" t="n"/>
      <c r="R425" s="3">
        <f>IF($N425="",0,INDEX(GELIR_GIDER!$G$7:$G$1206,$U425))</f>
        <v/>
      </c>
      <c r="S425" s="3" t="n">
        <v>0</v>
      </c>
      <c r="T425" s="3">
        <f>IF($N425="",10000000000,$N425*100000+$M425)</f>
        <v/>
      </c>
      <c r="U425" s="3">
        <f>IFERROR(MATCH($AC$4&amp;"|53",GELIR_GIDER!$U$7:$U$1206,0),0)</f>
        <v/>
      </c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>
        <v>415</v>
      </c>
      <c r="N426" s="3">
        <f>IF($U426=0,"",INDEX(GELIR_GIDER!$C$7:$C$1206,$U426))</f>
        <v/>
      </c>
      <c r="O426" s="3">
        <f>IF($N426="","",INDEX(GELIR_GIDER!$E$7:$E$1206,$U426)&amp;IF(INDEX(GELIR_GIDER!$F$7:$F$1206,$U426)="",""," – "&amp;INDEX(GELIR_GIDER!$F$7:$F$1206,$U426)))</f>
        <v/>
      </c>
      <c r="P426" s="3">
        <f>IF($N426="","","EK HİZMET")</f>
        <v/>
      </c>
      <c r="Q426" s="3" t="n"/>
      <c r="R426" s="3">
        <f>IF($N426="",0,INDEX(GELIR_GIDER!$G$7:$G$1206,$U426))</f>
        <v/>
      </c>
      <c r="S426" s="3" t="n">
        <v>0</v>
      </c>
      <c r="T426" s="3">
        <f>IF($N426="",10000000000,$N426*100000+$M426)</f>
        <v/>
      </c>
      <c r="U426" s="3">
        <f>IFERROR(MATCH($AC$4&amp;"|54",GELIR_GIDER!$U$7:$U$1206,0),0)</f>
        <v/>
      </c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>
        <v>416</v>
      </c>
      <c r="N427" s="3">
        <f>IF($U427=0,"",INDEX(GELIR_GIDER!$C$7:$C$1206,$U427))</f>
        <v/>
      </c>
      <c r="O427" s="3">
        <f>IF($N427="","",INDEX(GELIR_GIDER!$E$7:$E$1206,$U427)&amp;IF(INDEX(GELIR_GIDER!$F$7:$F$1206,$U427)="",""," – "&amp;INDEX(GELIR_GIDER!$F$7:$F$1206,$U427)))</f>
        <v/>
      </c>
      <c r="P427" s="3">
        <f>IF($N427="","","EK HİZMET")</f>
        <v/>
      </c>
      <c r="Q427" s="3" t="n"/>
      <c r="R427" s="3">
        <f>IF($N427="",0,INDEX(GELIR_GIDER!$G$7:$G$1206,$U427))</f>
        <v/>
      </c>
      <c r="S427" s="3" t="n">
        <v>0</v>
      </c>
      <c r="T427" s="3">
        <f>IF($N427="",10000000000,$N427*100000+$M427)</f>
        <v/>
      </c>
      <c r="U427" s="3">
        <f>IFERROR(MATCH($AC$4&amp;"|55",GELIR_GIDER!$U$7:$U$1206,0),0)</f>
        <v/>
      </c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>
        <v>417</v>
      </c>
      <c r="N428" s="3">
        <f>IF($U428=0,"",INDEX(GELIR_GIDER!$C$7:$C$1206,$U428))</f>
        <v/>
      </c>
      <c r="O428" s="3">
        <f>IF($N428="","",INDEX(GELIR_GIDER!$E$7:$E$1206,$U428)&amp;IF(INDEX(GELIR_GIDER!$F$7:$F$1206,$U428)="",""," – "&amp;INDEX(GELIR_GIDER!$F$7:$F$1206,$U428)))</f>
        <v/>
      </c>
      <c r="P428" s="3">
        <f>IF($N428="","","EK HİZMET")</f>
        <v/>
      </c>
      <c r="Q428" s="3" t="n"/>
      <c r="R428" s="3">
        <f>IF($N428="",0,INDEX(GELIR_GIDER!$G$7:$G$1206,$U428))</f>
        <v/>
      </c>
      <c r="S428" s="3" t="n">
        <v>0</v>
      </c>
      <c r="T428" s="3">
        <f>IF($N428="",10000000000,$N428*100000+$M428)</f>
        <v/>
      </c>
      <c r="U428" s="3">
        <f>IFERROR(MATCH($AC$4&amp;"|56",GELIR_GIDER!$U$7:$U$1206,0),0)</f>
        <v/>
      </c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>
        <v>418</v>
      </c>
      <c r="N429" s="3">
        <f>IF($U429=0,"",INDEX(GELIR_GIDER!$C$7:$C$1206,$U429))</f>
        <v/>
      </c>
      <c r="O429" s="3">
        <f>IF($N429="","",INDEX(GELIR_GIDER!$E$7:$E$1206,$U429)&amp;IF(INDEX(GELIR_GIDER!$F$7:$F$1206,$U429)="",""," – "&amp;INDEX(GELIR_GIDER!$F$7:$F$1206,$U429)))</f>
        <v/>
      </c>
      <c r="P429" s="3">
        <f>IF($N429="","","EK HİZMET")</f>
        <v/>
      </c>
      <c r="Q429" s="3" t="n"/>
      <c r="R429" s="3">
        <f>IF($N429="",0,INDEX(GELIR_GIDER!$G$7:$G$1206,$U429))</f>
        <v/>
      </c>
      <c r="S429" s="3" t="n">
        <v>0</v>
      </c>
      <c r="T429" s="3">
        <f>IF($N429="",10000000000,$N429*100000+$M429)</f>
        <v/>
      </c>
      <c r="U429" s="3">
        <f>IFERROR(MATCH($AC$4&amp;"|57",GELIR_GIDER!$U$7:$U$1206,0),0)</f>
        <v/>
      </c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>
        <v>419</v>
      </c>
      <c r="N430" s="3">
        <f>IF($U430=0,"",INDEX(GELIR_GIDER!$C$7:$C$1206,$U430))</f>
        <v/>
      </c>
      <c r="O430" s="3">
        <f>IF($N430="","",INDEX(GELIR_GIDER!$E$7:$E$1206,$U430)&amp;IF(INDEX(GELIR_GIDER!$F$7:$F$1206,$U430)="",""," – "&amp;INDEX(GELIR_GIDER!$F$7:$F$1206,$U430)))</f>
        <v/>
      </c>
      <c r="P430" s="3">
        <f>IF($N430="","","EK HİZMET")</f>
        <v/>
      </c>
      <c r="Q430" s="3" t="n"/>
      <c r="R430" s="3">
        <f>IF($N430="",0,INDEX(GELIR_GIDER!$G$7:$G$1206,$U430))</f>
        <v/>
      </c>
      <c r="S430" s="3" t="n">
        <v>0</v>
      </c>
      <c r="T430" s="3">
        <f>IF($N430="",10000000000,$N430*100000+$M430)</f>
        <v/>
      </c>
      <c r="U430" s="3">
        <f>IFERROR(MATCH($AC$4&amp;"|58",GELIR_GIDER!$U$7:$U$1206,0),0)</f>
        <v/>
      </c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>
        <v>420</v>
      </c>
      <c r="N431" s="3">
        <f>IF($U431=0,"",INDEX(GELIR_GIDER!$C$7:$C$1206,$U431))</f>
        <v/>
      </c>
      <c r="O431" s="3">
        <f>IF($N431="","",INDEX(GELIR_GIDER!$E$7:$E$1206,$U431)&amp;IF(INDEX(GELIR_GIDER!$F$7:$F$1206,$U431)="",""," – "&amp;INDEX(GELIR_GIDER!$F$7:$F$1206,$U431)))</f>
        <v/>
      </c>
      <c r="P431" s="3">
        <f>IF($N431="","","EK HİZMET")</f>
        <v/>
      </c>
      <c r="Q431" s="3" t="n"/>
      <c r="R431" s="3">
        <f>IF($N431="",0,INDEX(GELIR_GIDER!$G$7:$G$1206,$U431))</f>
        <v/>
      </c>
      <c r="S431" s="3" t="n">
        <v>0</v>
      </c>
      <c r="T431" s="3">
        <f>IF($N431="",10000000000,$N431*100000+$M431)</f>
        <v/>
      </c>
      <c r="U431" s="3">
        <f>IFERROR(MATCH($AC$4&amp;"|59",GELIR_GIDER!$U$7:$U$1206,0),0)</f>
        <v/>
      </c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>
        <v>421</v>
      </c>
      <c r="N432" s="3">
        <f>IF($U432=0,"",INDEX(GELIR_GIDER!$C$7:$C$1206,$U432))</f>
        <v/>
      </c>
      <c r="O432" s="3">
        <f>IF($N432="","",INDEX(GELIR_GIDER!$E$7:$E$1206,$U432)&amp;IF(INDEX(GELIR_GIDER!$F$7:$F$1206,$U432)="",""," – "&amp;INDEX(GELIR_GIDER!$F$7:$F$1206,$U432)))</f>
        <v/>
      </c>
      <c r="P432" s="3">
        <f>IF($N432="","","EK HİZMET")</f>
        <v/>
      </c>
      <c r="Q432" s="3" t="n"/>
      <c r="R432" s="3">
        <f>IF($N432="",0,INDEX(GELIR_GIDER!$G$7:$G$1206,$U432))</f>
        <v/>
      </c>
      <c r="S432" s="3" t="n">
        <v>0</v>
      </c>
      <c r="T432" s="3">
        <f>IF($N432="",10000000000,$N432*100000+$M432)</f>
        <v/>
      </c>
      <c r="U432" s="3">
        <f>IFERROR(MATCH($AC$4&amp;"|60",GELIR_GIDER!$U$7:$U$1206,0),0)</f>
        <v/>
      </c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18">
    <mergeCell ref="D8:E8"/>
    <mergeCell ref="B10:D10"/>
    <mergeCell ref="B5:D5"/>
    <mergeCell ref="E10:H10"/>
    <mergeCell ref="A2:H2"/>
    <mergeCell ref="E6:H6"/>
    <mergeCell ref="B315:D315"/>
    <mergeCell ref="F8:H8"/>
    <mergeCell ref="F315:H315"/>
    <mergeCell ref="E4:G4"/>
    <mergeCell ref="F9:H9"/>
    <mergeCell ref="A1:H1"/>
    <mergeCell ref="B9:C9"/>
    <mergeCell ref="D9:E9"/>
    <mergeCell ref="B8:C8"/>
    <mergeCell ref="B6:D6"/>
    <mergeCell ref="E5:H5"/>
    <mergeCell ref="B313:H313"/>
  </mergeCells>
  <conditionalFormatting sqref="B12:H311">
    <cfRule type="expression" priority="1" dxfId="10" stopIfTrue="0">
      <formula>AND($C12&lt;&gt;"",MOD(ROW(),2)=0)</formula>
    </cfRule>
    <cfRule type="expression" priority="2" dxfId="11" stopIfTrue="0">
      <formula>$C12&lt;&gt;""</formula>
    </cfRule>
  </conditionalFormatting>
  <conditionalFormatting sqref="H12:H311">
    <cfRule type="expression" priority="3" dxfId="8" stopIfTrue="0">
      <formula>AND($C12&lt;&gt;"",$H12&gt;0)</formula>
    </cfRule>
  </conditionalFormatting>
  <conditionalFormatting sqref="E12:E311">
    <cfRule type="expression" priority="4" dxfId="7" stopIfTrue="1">
      <formula>EXACT($E12,"TAHAKKUK")</formula>
    </cfRule>
    <cfRule type="expression" priority="5" dxfId="3" stopIfTrue="1">
      <formula>EXACT($E12,"ÖDEME")</formula>
    </cfRule>
    <cfRule type="expression" priority="6" dxfId="7" stopIfTrue="1">
      <formula>EXACT($E12,"EK HİZMET")</formula>
    </cfRule>
    <cfRule type="expression" priority="7" dxfId="4" stopIfTrue="1">
      <formula>EXACT($E12,"DEVİR")</formula>
    </cfRule>
  </conditionalFormatting>
  <dataValidations count="1">
    <dataValidation sqref="E4" showDropDown="0" showInputMessage="0" showErrorMessage="0" allowBlank="1" type="list">
      <formula1>LST_MUSTERI_ADI</formula1>
    </dataValidation>
  </dataValidations>
  <pageMargins left="0.4" right="0.4" top="0.5" bottom="0.5" header="0.5" footer="0.5"/>
  <pageSetup orientation="landscape" paperSize="9" fitToHeight="0" fitToWidth="1"/>
  <headerFooter>
    <oddHeader/>
    <oddFooter>&amp;L&amp;8 KILIÇ MUHASEBE │ Cari Hesap Ekstresi&amp;R&amp;8 Sayfa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5803D"/>
    <outlinePr summaryBelow="1" summaryRight="1"/>
    <pageSetUpPr fitToPage="1"/>
  </sheetPr>
  <dimension ref="A1:M20"/>
  <sheetViews>
    <sheetView showGridLines="0" tabSelected="0" zoomScale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24" customWidth="1" min="2" max="2"/>
    <col width="12" customWidth="1" min="3" max="3"/>
    <col width="12" customWidth="1" min="4" max="4"/>
    <col width="16" customWidth="1" min="5" max="5"/>
    <col width="17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2.4" customWidth="1" min="12" max="12"/>
    <col width="2.4" customWidth="1" min="13" max="13"/>
  </cols>
  <sheetData>
    <row r="1" ht="38" customHeight="1">
      <c r="A1" s="1" t="inlineStr">
        <is>
          <t>KILIÇ MUHASEBE   │   KASA VE BANKA HESAPLARI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45" t="n"/>
    </row>
    <row r="2" ht="22" customHeight="1">
      <c r="A2" s="4" t="inlineStr">
        <is>
          <t>Hesap tanımı ve güncel bakiye aynı ekranda │ Bakiyeler işlem kayıtlarından hesaplanır</t>
        </is>
      </c>
      <c r="M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20" customHeight="1">
      <c r="A4" s="6" t="n"/>
      <c r="B4" s="47">
        <f>HYPERLINK("#PANO!A1","←  PANO")</f>
        <v/>
      </c>
      <c r="C4" s="6" t="n"/>
      <c r="D4" s="99">
        <f>HYPERLINK("#TAHSILAT!A1","Tahsilat")</f>
        <v/>
      </c>
      <c r="E4" s="6" t="n"/>
      <c r="F4" s="99">
        <f>HYPERLINK("#VIRMAN!A1","Virman")</f>
        <v/>
      </c>
      <c r="G4" s="6" t="n"/>
      <c r="H4" s="100" t="inlineStr">
        <is>
          <t>Sarı hücreler veri girişidir. Beyaz hücreler sistem tarafından hesaplanır ve kilitlidir. Yeni hesap eklemek için ilk boş satıra hesap adını yazın.</t>
        </is>
      </c>
      <c r="I4" s="6" t="n"/>
      <c r="J4" s="6" t="n"/>
      <c r="K4" s="6" t="n"/>
      <c r="L4" s="6" t="n"/>
      <c r="M4" s="6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6" t="n"/>
      <c r="M5" s="6" t="n"/>
    </row>
    <row r="6" ht="40" customHeight="1">
      <c r="A6" s="6" t="n"/>
      <c r="B6" s="106" t="inlineStr">
        <is>
          <t>Hesap Adı</t>
        </is>
      </c>
      <c r="C6" s="105" t="inlineStr">
        <is>
          <t>Tür</t>
        </is>
      </c>
      <c r="D6" s="105" t="inlineStr">
        <is>
          <t>Durum</t>
        </is>
      </c>
      <c r="E6" s="107" t="inlineStr">
        <is>
          <t>Açılış Bakiyesi</t>
        </is>
      </c>
      <c r="F6" s="107" t="inlineStr">
        <is>
          <t>Müşteri Tahsilatı</t>
        </is>
      </c>
      <c r="G6" s="107" t="inlineStr">
        <is>
          <t>Diğer Gelir</t>
        </is>
      </c>
      <c r="H6" s="107" t="inlineStr">
        <is>
          <t>Ödenen Gider</t>
        </is>
      </c>
      <c r="I6" s="107" t="inlineStr">
        <is>
          <t>Gelen Virman</t>
        </is>
      </c>
      <c r="J6" s="107" t="inlineStr">
        <is>
          <t>Giden Virman</t>
        </is>
      </c>
      <c r="K6" s="107" t="inlineStr">
        <is>
          <t>Güncel Bakiye</t>
        </is>
      </c>
      <c r="L6" s="6" t="n"/>
      <c r="M6" s="6" t="n"/>
    </row>
    <row r="7">
      <c r="A7" s="6" t="n"/>
      <c r="B7" s="109" t="inlineStr">
        <is>
          <t>MERKEZ KASA</t>
        </is>
      </c>
      <c r="C7" s="108" t="inlineStr">
        <is>
          <t>Kasa</t>
        </is>
      </c>
      <c r="D7" s="108" t="inlineStr">
        <is>
          <t>Aktif</t>
        </is>
      </c>
      <c r="E7" s="221" t="n">
        <v>0</v>
      </c>
      <c r="F7" s="222">
        <f>IF($B7="","",SUMIFS(TAHSILAT!$F$7:$F$1506,TAHSILAT!$G$7:$G$1506,$B7,TAHSILAT!$H$7:$H$1506,"&lt;&gt;Mahsup"))</f>
        <v/>
      </c>
      <c r="G7" s="222">
        <f>IF($B7="","",SUMIFS(GELIR_GIDER!$G$7:$G$1206,GELIR_GIDER!$D$7:$D$1206,"Gelir",GELIR_GIDER!$H$7:$H$1206,$B7,GELIR_GIDER!$I$7:$I$1206,"Evet"))</f>
        <v/>
      </c>
      <c r="H7" s="222">
        <f>IF($B7="","",SUMIFS(GELIR_GIDER!$G$7:$G$1206,GELIR_GIDER!$D$7:$D$1206,"Gider",GELIR_GIDER!$H$7:$H$1206,$B7,GELIR_GIDER!$I$7:$I$1206,"Evet"))</f>
        <v/>
      </c>
      <c r="I7" s="222">
        <f>IF($B7="","",SUMIFS(VIRMAN!$F$7:$F$406,VIRMAN!$E$7:$E$406,$B7))</f>
        <v/>
      </c>
      <c r="J7" s="222">
        <f>IF($B7="","",SUMIFS(VIRMAN!$F$7:$F$406,VIRMAN!$D$7:$D$406,$B7))</f>
        <v/>
      </c>
      <c r="K7" s="222">
        <f>IF($B7="","",$E7+$F7+$G7-$H7+$I7-$J7)</f>
        <v/>
      </c>
      <c r="L7" s="6" t="n"/>
      <c r="M7" s="6" t="n"/>
    </row>
    <row r="8">
      <c r="A8" s="6" t="n"/>
      <c r="B8" s="109" t="inlineStr">
        <is>
          <t>ALİ KILIÇ</t>
        </is>
      </c>
      <c r="C8" s="108" t="inlineStr">
        <is>
          <t>Kasa</t>
        </is>
      </c>
      <c r="D8" s="108" t="inlineStr">
        <is>
          <t>Aktif</t>
        </is>
      </c>
      <c r="E8" s="221" t="n">
        <v>0</v>
      </c>
      <c r="F8" s="222">
        <f>IF($B8="","",SUMIFS(TAHSILAT!$F$7:$F$1506,TAHSILAT!$G$7:$G$1506,$B8,TAHSILAT!$H$7:$H$1506,"&lt;&gt;Mahsup"))</f>
        <v/>
      </c>
      <c r="G8" s="222">
        <f>IF($B8="","",SUMIFS(GELIR_GIDER!$G$7:$G$1206,GELIR_GIDER!$D$7:$D$1206,"Gelir",GELIR_GIDER!$H$7:$H$1206,$B8,GELIR_GIDER!$I$7:$I$1206,"Evet"))</f>
        <v/>
      </c>
      <c r="H8" s="222">
        <f>IF($B8="","",SUMIFS(GELIR_GIDER!$G$7:$G$1206,GELIR_GIDER!$D$7:$D$1206,"Gider",GELIR_GIDER!$H$7:$H$1206,$B8,GELIR_GIDER!$I$7:$I$1206,"Evet"))</f>
        <v/>
      </c>
      <c r="I8" s="222">
        <f>IF($B8="","",SUMIFS(VIRMAN!$F$7:$F$406,VIRMAN!$E$7:$E$406,$B8))</f>
        <v/>
      </c>
      <c r="J8" s="222">
        <f>IF($B8="","",SUMIFS(VIRMAN!$F$7:$F$406,VIRMAN!$D$7:$D$406,$B8))</f>
        <v/>
      </c>
      <c r="K8" s="222">
        <f>IF($B8="","",$E8+$F8+$G8-$H8+$I8-$J8)</f>
        <v/>
      </c>
      <c r="L8" s="6" t="n"/>
      <c r="M8" s="6" t="n"/>
    </row>
    <row r="9">
      <c r="A9" s="6" t="n"/>
      <c r="B9" s="109" t="inlineStr">
        <is>
          <t>ÖMER KARTAL</t>
        </is>
      </c>
      <c r="C9" s="108" t="inlineStr">
        <is>
          <t>Kasa</t>
        </is>
      </c>
      <c r="D9" s="108" t="inlineStr">
        <is>
          <t>Aktif</t>
        </is>
      </c>
      <c r="E9" s="221" t="n">
        <v>0</v>
      </c>
      <c r="F9" s="222">
        <f>IF($B9="","",SUMIFS(TAHSILAT!$F$7:$F$1506,TAHSILAT!$G$7:$G$1506,$B9,TAHSILAT!$H$7:$H$1506,"&lt;&gt;Mahsup"))</f>
        <v/>
      </c>
      <c r="G9" s="222">
        <f>IF($B9="","",SUMIFS(GELIR_GIDER!$G$7:$G$1206,GELIR_GIDER!$D$7:$D$1206,"Gelir",GELIR_GIDER!$H$7:$H$1206,$B9,GELIR_GIDER!$I$7:$I$1206,"Evet"))</f>
        <v/>
      </c>
      <c r="H9" s="222">
        <f>IF($B9="","",SUMIFS(GELIR_GIDER!$G$7:$G$1206,GELIR_GIDER!$D$7:$D$1206,"Gider",GELIR_GIDER!$H$7:$H$1206,$B9,GELIR_GIDER!$I$7:$I$1206,"Evet"))</f>
        <v/>
      </c>
      <c r="I9" s="222">
        <f>IF($B9="","",SUMIFS(VIRMAN!$F$7:$F$406,VIRMAN!$E$7:$E$406,$B9))</f>
        <v/>
      </c>
      <c r="J9" s="222">
        <f>IF($B9="","",SUMIFS(VIRMAN!$F$7:$F$406,VIRMAN!$D$7:$D$406,$B9))</f>
        <v/>
      </c>
      <c r="K9" s="222">
        <f>IF($B9="","",$E9+$F9+$G9-$H9+$I9-$J9)</f>
        <v/>
      </c>
      <c r="L9" s="6" t="n"/>
      <c r="M9" s="6" t="n"/>
    </row>
    <row r="10">
      <c r="A10" s="6" t="n"/>
      <c r="B10" s="109" t="inlineStr">
        <is>
          <t>GARANTİBANK</t>
        </is>
      </c>
      <c r="C10" s="108" t="inlineStr">
        <is>
          <t>Banka</t>
        </is>
      </c>
      <c r="D10" s="108" t="inlineStr">
        <is>
          <t>Aktif</t>
        </is>
      </c>
      <c r="E10" s="221" t="n">
        <v>0</v>
      </c>
      <c r="F10" s="222">
        <f>IF($B10="","",SUMIFS(TAHSILAT!$F$7:$F$1506,TAHSILAT!$G$7:$G$1506,$B10,TAHSILAT!$H$7:$H$1506,"&lt;&gt;Mahsup"))</f>
        <v/>
      </c>
      <c r="G10" s="222">
        <f>IF($B10="","",SUMIFS(GELIR_GIDER!$G$7:$G$1206,GELIR_GIDER!$D$7:$D$1206,"Gelir",GELIR_GIDER!$H$7:$H$1206,$B10,GELIR_GIDER!$I$7:$I$1206,"Evet"))</f>
        <v/>
      </c>
      <c r="H10" s="222">
        <f>IF($B10="","",SUMIFS(GELIR_GIDER!$G$7:$G$1206,GELIR_GIDER!$D$7:$D$1206,"Gider",GELIR_GIDER!$H$7:$H$1206,$B10,GELIR_GIDER!$I$7:$I$1206,"Evet"))</f>
        <v/>
      </c>
      <c r="I10" s="222">
        <f>IF($B10="","",SUMIFS(VIRMAN!$F$7:$F$406,VIRMAN!$E$7:$E$406,$B10))</f>
        <v/>
      </c>
      <c r="J10" s="222">
        <f>IF($B10="","",SUMIFS(VIRMAN!$F$7:$F$406,VIRMAN!$D$7:$D$406,$B10))</f>
        <v/>
      </c>
      <c r="K10" s="222">
        <f>IF($B10="","",$E10+$F10+$G10-$H10+$I10-$J10)</f>
        <v/>
      </c>
      <c r="L10" s="6" t="n"/>
      <c r="M10" s="6" t="n"/>
    </row>
    <row r="11">
      <c r="A11" s="6" t="n"/>
      <c r="B11" s="109" t="inlineStr">
        <is>
          <t>ZİRAATBANK</t>
        </is>
      </c>
      <c r="C11" s="108" t="inlineStr">
        <is>
          <t>Banka</t>
        </is>
      </c>
      <c r="D11" s="108" t="inlineStr">
        <is>
          <t>Aktif</t>
        </is>
      </c>
      <c r="E11" s="221" t="n">
        <v>0</v>
      </c>
      <c r="F11" s="222">
        <f>IF($B11="","",SUMIFS(TAHSILAT!$F$7:$F$1506,TAHSILAT!$G$7:$G$1506,$B11,TAHSILAT!$H$7:$H$1506,"&lt;&gt;Mahsup"))</f>
        <v/>
      </c>
      <c r="G11" s="222">
        <f>IF($B11="","",SUMIFS(GELIR_GIDER!$G$7:$G$1206,GELIR_GIDER!$D$7:$D$1206,"Gelir",GELIR_GIDER!$H$7:$H$1206,$B11,GELIR_GIDER!$I$7:$I$1206,"Evet"))</f>
        <v/>
      </c>
      <c r="H11" s="222">
        <f>IF($B11="","",SUMIFS(GELIR_GIDER!$G$7:$G$1206,GELIR_GIDER!$D$7:$D$1206,"Gider",GELIR_GIDER!$H$7:$H$1206,$B11,GELIR_GIDER!$I$7:$I$1206,"Evet"))</f>
        <v/>
      </c>
      <c r="I11" s="222">
        <f>IF($B11="","",SUMIFS(VIRMAN!$F$7:$F$406,VIRMAN!$E$7:$E$406,$B11))</f>
        <v/>
      </c>
      <c r="J11" s="222">
        <f>IF($B11="","",SUMIFS(VIRMAN!$F$7:$F$406,VIRMAN!$D$7:$D$406,$B11))</f>
        <v/>
      </c>
      <c r="K11" s="222">
        <f>IF($B11="","",$E11+$F11+$G11-$H11+$I11-$J11)</f>
        <v/>
      </c>
      <c r="L11" s="6" t="n"/>
      <c r="M11" s="6" t="n"/>
    </row>
    <row r="12">
      <c r="A12" s="6" t="n"/>
      <c r="B12" s="109" t="n"/>
      <c r="C12" s="108" t="n"/>
      <c r="D12" s="108" t="n"/>
      <c r="E12" s="221" t="n"/>
      <c r="F12" s="222">
        <f>IF($B12="","",SUMIFS(TAHSILAT!$F$7:$F$1506,TAHSILAT!$G$7:$G$1506,$B12,TAHSILAT!$H$7:$H$1506,"&lt;&gt;Mahsup"))</f>
        <v/>
      </c>
      <c r="G12" s="222">
        <f>IF($B12="","",SUMIFS(GELIR_GIDER!$G$7:$G$1206,GELIR_GIDER!$D$7:$D$1206,"Gelir",GELIR_GIDER!$H$7:$H$1206,$B12,GELIR_GIDER!$I$7:$I$1206,"Evet"))</f>
        <v/>
      </c>
      <c r="H12" s="222">
        <f>IF($B12="","",SUMIFS(GELIR_GIDER!$G$7:$G$1206,GELIR_GIDER!$D$7:$D$1206,"Gider",GELIR_GIDER!$H$7:$H$1206,$B12,GELIR_GIDER!$I$7:$I$1206,"Evet"))</f>
        <v/>
      </c>
      <c r="I12" s="222">
        <f>IF($B12="","",SUMIFS(VIRMAN!$F$7:$F$406,VIRMAN!$E$7:$E$406,$B12))</f>
        <v/>
      </c>
      <c r="J12" s="222">
        <f>IF($B12="","",SUMIFS(VIRMAN!$F$7:$F$406,VIRMAN!$D$7:$D$406,$B12))</f>
        <v/>
      </c>
      <c r="K12" s="222">
        <f>IF($B12="","",$E12+$F12+$G12-$H12+$I12-$J12)</f>
        <v/>
      </c>
      <c r="L12" s="6" t="n"/>
      <c r="M12" s="6" t="n"/>
    </row>
    <row r="13">
      <c r="A13" s="6" t="n"/>
      <c r="B13" s="109" t="n"/>
      <c r="C13" s="108" t="n"/>
      <c r="D13" s="108" t="n"/>
      <c r="E13" s="221" t="n"/>
      <c r="F13" s="222">
        <f>IF($B13="","",SUMIFS(TAHSILAT!$F$7:$F$1506,TAHSILAT!$G$7:$G$1506,$B13,TAHSILAT!$H$7:$H$1506,"&lt;&gt;Mahsup"))</f>
        <v/>
      </c>
      <c r="G13" s="222">
        <f>IF($B13="","",SUMIFS(GELIR_GIDER!$G$7:$G$1206,GELIR_GIDER!$D$7:$D$1206,"Gelir",GELIR_GIDER!$H$7:$H$1206,$B13,GELIR_GIDER!$I$7:$I$1206,"Evet"))</f>
        <v/>
      </c>
      <c r="H13" s="222">
        <f>IF($B13="","",SUMIFS(GELIR_GIDER!$G$7:$G$1206,GELIR_GIDER!$D$7:$D$1206,"Gider",GELIR_GIDER!$H$7:$H$1206,$B13,GELIR_GIDER!$I$7:$I$1206,"Evet"))</f>
        <v/>
      </c>
      <c r="I13" s="222">
        <f>IF($B13="","",SUMIFS(VIRMAN!$F$7:$F$406,VIRMAN!$E$7:$E$406,$B13))</f>
        <v/>
      </c>
      <c r="J13" s="222">
        <f>IF($B13="","",SUMIFS(VIRMAN!$F$7:$F$406,VIRMAN!$D$7:$D$406,$B13))</f>
        <v/>
      </c>
      <c r="K13" s="222">
        <f>IF($B13="","",$E13+$F13+$G13-$H13+$I13-$J13)</f>
        <v/>
      </c>
      <c r="L13" s="6" t="n"/>
      <c r="M13" s="6" t="n"/>
    </row>
    <row r="14">
      <c r="A14" s="6" t="n"/>
      <c r="B14" s="109" t="n"/>
      <c r="C14" s="108" t="n"/>
      <c r="D14" s="108" t="n"/>
      <c r="E14" s="221" t="n"/>
      <c r="F14" s="222">
        <f>IF($B14="","",SUMIFS(TAHSILAT!$F$7:$F$1506,TAHSILAT!$G$7:$G$1506,$B14,TAHSILAT!$H$7:$H$1506,"&lt;&gt;Mahsup"))</f>
        <v/>
      </c>
      <c r="G14" s="222">
        <f>IF($B14="","",SUMIFS(GELIR_GIDER!$G$7:$G$1206,GELIR_GIDER!$D$7:$D$1206,"Gelir",GELIR_GIDER!$H$7:$H$1206,$B14,GELIR_GIDER!$I$7:$I$1206,"Evet"))</f>
        <v/>
      </c>
      <c r="H14" s="222">
        <f>IF($B14="","",SUMIFS(GELIR_GIDER!$G$7:$G$1206,GELIR_GIDER!$D$7:$D$1206,"Gider",GELIR_GIDER!$H$7:$H$1206,$B14,GELIR_GIDER!$I$7:$I$1206,"Evet"))</f>
        <v/>
      </c>
      <c r="I14" s="222">
        <f>IF($B14="","",SUMIFS(VIRMAN!$F$7:$F$406,VIRMAN!$E$7:$E$406,$B14))</f>
        <v/>
      </c>
      <c r="J14" s="222">
        <f>IF($B14="","",SUMIFS(VIRMAN!$F$7:$F$406,VIRMAN!$D$7:$D$406,$B14))</f>
        <v/>
      </c>
      <c r="K14" s="222">
        <f>IF($B14="","",$E14+$F14+$G14-$H14+$I14-$J14)</f>
        <v/>
      </c>
      <c r="L14" s="6" t="n"/>
      <c r="M14" s="6" t="n"/>
    </row>
    <row r="15">
      <c r="A15" s="6" t="n"/>
      <c r="B15" s="109" t="n"/>
      <c r="C15" s="108" t="n"/>
      <c r="D15" s="108" t="n"/>
      <c r="E15" s="221" t="n"/>
      <c r="F15" s="222">
        <f>IF($B15="","",SUMIFS(TAHSILAT!$F$7:$F$1506,TAHSILAT!$G$7:$G$1506,$B15,TAHSILAT!$H$7:$H$1506,"&lt;&gt;Mahsup"))</f>
        <v/>
      </c>
      <c r="G15" s="222">
        <f>IF($B15="","",SUMIFS(GELIR_GIDER!$G$7:$G$1206,GELIR_GIDER!$D$7:$D$1206,"Gelir",GELIR_GIDER!$H$7:$H$1206,$B15,GELIR_GIDER!$I$7:$I$1206,"Evet"))</f>
        <v/>
      </c>
      <c r="H15" s="222">
        <f>IF($B15="","",SUMIFS(GELIR_GIDER!$G$7:$G$1206,GELIR_GIDER!$D$7:$D$1206,"Gider",GELIR_GIDER!$H$7:$H$1206,$B15,GELIR_GIDER!$I$7:$I$1206,"Evet"))</f>
        <v/>
      </c>
      <c r="I15" s="222">
        <f>IF($B15="","",SUMIFS(VIRMAN!$F$7:$F$406,VIRMAN!$E$7:$E$406,$B15))</f>
        <v/>
      </c>
      <c r="J15" s="222">
        <f>IF($B15="","",SUMIFS(VIRMAN!$F$7:$F$406,VIRMAN!$D$7:$D$406,$B15))</f>
        <v/>
      </c>
      <c r="K15" s="222">
        <f>IF($B15="","",$E15+$F15+$G15-$H15+$I15-$J15)</f>
        <v/>
      </c>
      <c r="L15" s="6" t="n"/>
      <c r="M15" s="6" t="n"/>
    </row>
    <row r="16">
      <c r="A16" s="6" t="n"/>
      <c r="B16" s="109" t="n"/>
      <c r="C16" s="108" t="n"/>
      <c r="D16" s="108" t="n"/>
      <c r="E16" s="221" t="n"/>
      <c r="F16" s="222">
        <f>IF($B16="","",SUMIFS(TAHSILAT!$F$7:$F$1506,TAHSILAT!$G$7:$G$1506,$B16,TAHSILAT!$H$7:$H$1506,"&lt;&gt;Mahsup"))</f>
        <v/>
      </c>
      <c r="G16" s="222">
        <f>IF($B16="","",SUMIFS(GELIR_GIDER!$G$7:$G$1206,GELIR_GIDER!$D$7:$D$1206,"Gelir",GELIR_GIDER!$H$7:$H$1206,$B16,GELIR_GIDER!$I$7:$I$1206,"Evet"))</f>
        <v/>
      </c>
      <c r="H16" s="222">
        <f>IF($B16="","",SUMIFS(GELIR_GIDER!$G$7:$G$1206,GELIR_GIDER!$D$7:$D$1206,"Gider",GELIR_GIDER!$H$7:$H$1206,$B16,GELIR_GIDER!$I$7:$I$1206,"Evet"))</f>
        <v/>
      </c>
      <c r="I16" s="222">
        <f>IF($B16="","",SUMIFS(VIRMAN!$F$7:$F$406,VIRMAN!$E$7:$E$406,$B16))</f>
        <v/>
      </c>
      <c r="J16" s="222">
        <f>IF($B16="","",SUMIFS(VIRMAN!$F$7:$F$406,VIRMAN!$D$7:$D$406,$B16))</f>
        <v/>
      </c>
      <c r="K16" s="222">
        <f>IF($B16="","",$E16+$F16+$G16-$H16+$I16-$J16)</f>
        <v/>
      </c>
      <c r="L16" s="6" t="n"/>
      <c r="M16" s="6" t="n"/>
    </row>
    <row r="17">
      <c r="A17" s="6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6" t="n"/>
      <c r="M17" s="6" t="n"/>
    </row>
    <row r="18" ht="28" customHeight="1">
      <c r="A18" s="6" t="n"/>
      <c r="B18" s="102" t="inlineStr">
        <is>
          <t>TOPLAM NAKİT POZİSYONU</t>
        </is>
      </c>
      <c r="C18" s="101" t="n"/>
      <c r="D18" s="101" t="n"/>
      <c r="E18" s="101" t="n"/>
      <c r="F18" s="101" t="n"/>
      <c r="G18" s="101" t="n"/>
      <c r="H18" s="101" t="n"/>
      <c r="I18" s="101" t="n"/>
      <c r="J18" s="101" t="n"/>
      <c r="K18" s="244">
        <f>SUM($K$7:$K$16)</f>
        <v/>
      </c>
      <c r="L18" s="6" t="n"/>
      <c r="M18" s="6" t="n"/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6" t="n"/>
      <c r="M19" s="6" t="n"/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6" t="n"/>
      <c r="M20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2">
    <mergeCell ref="A2:L2"/>
    <mergeCell ref="A1:L1"/>
  </mergeCells>
  <conditionalFormatting sqref="K7:K16">
    <cfRule type="cellIs" priority="1" operator="lessThan" dxfId="12">
      <formula>0</formula>
    </cfRule>
  </conditionalFormatting>
  <dataValidations count="2">
    <dataValidation sqref="C7:C16" showDropDown="0" showInputMessage="0" showErrorMessage="1" allowBlank="1" errorTitle="Geçersiz tür" error="Kasa veya Banka seçin." promptTitle="Geçersiz tür" prompt="Kasa veya Banka seçin." type="list">
      <formula1>"Kasa,Banka"</formula1>
    </dataValidation>
    <dataValidation sqref="D7:D16" showDropDown="0" showInputMessage="0" showErrorMessage="1" allowBlank="1" errorTitle="Geçersiz durum" error="Aktif veya Pasif seçin." promptTitle="Geçersiz durum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7E22CE"/>
    <outlinePr summaryBelow="1" summaryRight="1"/>
    <pageSetUpPr fitToPage="1"/>
  </sheetPr>
  <dimension ref="A1:V44"/>
  <sheetViews>
    <sheetView showGridLines="0" tabSelected="0" zoomScale="10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8"/>
  <cols>
    <col width="2.4" customWidth="1" min="1" max="1"/>
    <col width="15" customWidth="1" min="2" max="2"/>
    <col width="16" customWidth="1" min="3" max="3"/>
    <col width="17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3" customWidth="1" min="10" max="10"/>
    <col width="14" customWidth="1" min="11" max="11"/>
    <col width="18" customWidth="1" min="12" max="12"/>
    <col width="15" customWidth="1" min="13" max="13"/>
    <col width="15" customWidth="1" min="14" max="14"/>
    <col width="12" customWidth="1" min="15" max="15"/>
    <col width="15" customWidth="1" min="16" max="16"/>
    <col width="15" customWidth="1" min="17" max="17"/>
    <col width="15" customWidth="1" min="18" max="18"/>
    <col width="17" customWidth="1" min="19" max="19"/>
    <col width="14" customWidth="1" min="20" max="20"/>
    <col width="2.4" customWidth="1" min="21" max="21"/>
    <col width="2.4" customWidth="1" min="22" max="22"/>
  </cols>
  <sheetData>
    <row r="1" ht="38" customHeight="1">
      <c r="A1" s="1" t="inlineStr">
        <is>
          <t>KILIÇ MUHASEBE   │   AY SONU KAPANIŞI VE ORTAK PAY DAĞITIMI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69" t="n"/>
      <c r="T1" s="169" t="n"/>
      <c r="U1" s="45" t="n"/>
      <c r="V1" s="45" t="n"/>
    </row>
    <row r="2" ht="22" customHeight="1">
      <c r="A2" s="4" t="inlineStr">
        <is>
          <t>Tahakkuk kârı ile nakit kâr ayrı hesaplanır │ Dağıtım yalnız nakit kârdan yapılır</t>
        </is>
      </c>
      <c r="U2" s="46" t="n"/>
      <c r="V2" s="46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</row>
    <row r="4" ht="20" customHeight="1">
      <c r="A4" s="6" t="n"/>
      <c r="B4" s="47">
        <f>HYPERLINK("#PANO!A1","←  PANO")</f>
        <v/>
      </c>
      <c r="C4" s="6" t="n"/>
      <c r="D4" s="99">
        <f>HYPERLINK("#SISTEM!A1","Sistem")</f>
        <v/>
      </c>
      <c r="E4" s="6" t="n"/>
      <c r="F4" s="99">
        <f>HYPERLINK("#HESAPLAR!A1","Hesaplar")</f>
        <v/>
      </c>
      <c r="G4" s="6" t="n"/>
      <c r="H4" s="100" t="inlineStr">
        <is>
          <t>Sarı hücreler veri girişidir. Beyaz hücreler sistem tarafından hesaplanır ve kilitlidir. Yalnız sarı sütunlar (dağıtım bilgisi) elle girilir.</t>
        </is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</row>
    <row r="5" ht="26" customHeight="1">
      <c r="A5" s="6" t="n"/>
      <c r="B5" s="102" t="inlineStr">
        <is>
          <t>36 AYLIK TOPLAM</t>
        </is>
      </c>
      <c r="C5" s="216">
        <f>SUM(C7:C42)</f>
        <v/>
      </c>
      <c r="D5" s="216">
        <f>SUM(D7:D42)</f>
        <v/>
      </c>
      <c r="E5" s="216">
        <f>SUM(E7:E42)</f>
        <v/>
      </c>
      <c r="F5" s="216">
        <f>SUM(F7:F42)</f>
        <v/>
      </c>
      <c r="G5" s="216">
        <f>SUM(G7:G42)</f>
        <v/>
      </c>
      <c r="H5" s="216">
        <f>SUM(H7:H42)</f>
        <v/>
      </c>
      <c r="I5" s="216">
        <f>SUM(I7:I42)</f>
        <v/>
      </c>
      <c r="J5" s="101" t="n"/>
      <c r="K5" s="101" t="n"/>
      <c r="L5" s="216">
        <f>SUM(L7:L42)</f>
        <v/>
      </c>
      <c r="M5" s="216">
        <f>SUM(M7:M42)</f>
        <v/>
      </c>
      <c r="N5" s="216">
        <f>SUM(N7:N42)</f>
        <v/>
      </c>
      <c r="O5" s="101" t="n"/>
      <c r="P5" s="101" t="n"/>
      <c r="Q5" s="101" t="n"/>
      <c r="R5" s="101" t="n"/>
      <c r="S5" s="101" t="n"/>
      <c r="T5" s="101" t="n"/>
      <c r="U5" s="6" t="n"/>
      <c r="V5" s="6" t="n"/>
    </row>
    <row r="6" ht="40" customHeight="1">
      <c r="A6" s="6" t="n"/>
      <c r="B6" s="105" t="inlineStr">
        <is>
          <t>Ay</t>
        </is>
      </c>
      <c r="C6" s="107" t="inlineStr">
        <is>
          <t>Tahakkuk Geliri</t>
        </is>
      </c>
      <c r="D6" s="107" t="inlineStr">
        <is>
          <t>Müşteri Tahsilatı (Nakit)</t>
        </is>
      </c>
      <c r="E6" s="107" t="inlineStr">
        <is>
          <t>Diğer Gelir</t>
        </is>
      </c>
      <c r="F6" s="107" t="inlineStr">
        <is>
          <t>Toplam Nakit Giriş</t>
        </is>
      </c>
      <c r="G6" s="107" t="inlineStr">
        <is>
          <t>Gerçekleşmiş Gider</t>
        </is>
      </c>
      <c r="H6" s="107" t="inlineStr">
        <is>
          <t>Tahakkuk Sonucu</t>
        </is>
      </c>
      <c r="I6" s="107" t="inlineStr">
        <is>
          <t>Nakit Kâr</t>
        </is>
      </c>
      <c r="J6" s="105" t="inlineStr">
        <is>
          <t>Tahsilat Oranı</t>
        </is>
      </c>
      <c r="K6" s="107" t="inlineStr">
        <is>
          <t>Kasa Tamponu</t>
        </is>
      </c>
      <c r="L6" s="107" t="inlineStr">
        <is>
          <t>Dağıtılabilir Kâr (birikimli)</t>
        </is>
      </c>
      <c r="M6" s="107" t="inlineStr">
        <is>
          <t>Ortak 1 Payı</t>
        </is>
      </c>
      <c r="N6" s="107" t="inlineStr">
        <is>
          <t>Ortak 2 Payı</t>
        </is>
      </c>
      <c r="O6" s="105" t="inlineStr">
        <is>
          <t>Dağıtıldı mı?</t>
        </is>
      </c>
      <c r="P6" s="107" t="inlineStr">
        <is>
          <t>Ortak 1 Ödeme</t>
        </is>
      </c>
      <c r="Q6" s="107" t="inlineStr">
        <is>
          <t>Ortak 2 Ödeme</t>
        </is>
      </c>
      <c r="R6" s="107" t="inlineStr">
        <is>
          <t>Kalan</t>
        </is>
      </c>
      <c r="S6" s="105" t="inlineStr">
        <is>
          <t>Dönem Durumu</t>
        </is>
      </c>
      <c r="T6" s="105" t="inlineStr">
        <is>
          <t>Kontrol</t>
        </is>
      </c>
      <c r="U6" s="6" t="n"/>
      <c r="V6" s="6" t="n"/>
    </row>
    <row r="7">
      <c r="A7" s="6" t="n"/>
      <c r="B7" s="226" t="n">
        <v>46023</v>
      </c>
      <c r="C7" s="245">
        <f>SUMPRODUCT(IF(UCRETLER!$G$7:$G$406="",0,UCRETLER!$G$7:$G$406)*(UCRETLER!$F$7:$F$406="Haftalık")*IF(UCRETLER!$C$7:$C$406="",0,IF(IF(IF(UCRETLER!$E$7:$E$406="",999999,UCRETLER!$E$7:$E$406)&gt;EOMONTH($B7,0),EOMONTH($B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7,0),EOMONTH($B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7-1,$B7-1,IF(UCRETLER!$E$7:$E$406="",999999,UCRETLER!$E$7:$E$406))&lt;(IF(UCRETLER!$D$7:$D$406="",999999,UCRETLER!$D$7:$D$406)+MOD(SISTEM!$F$8-WEEKDAY(IF(UCRETLER!$D$7:$D$406="",999999,UCRETLER!$D$7:$D$406),2),7)),0,INT((IF(IF(UCRETLER!$E$7:$E$406="",999999,UCRETLER!$E$7:$E$406)&gt;$B7-1,$B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7,0)&gt;=IF(UCRETLER!$D$7:$D$406="",999999,UCRETLER!$D$7:$D$406))*(EOMONTH($B7,0)&lt;=IF(UCRETLER!$E$7:$E$406="",999999,UCRETLER!$E$7:$E$406)))+SUMIFS(GELIR_GIDER!$G$7:$G$1206,GELIR_GIDER!$V$7:$V$1206,1,GELIR_GIDER!$C$7:$C$1206,"&gt;="&amp;$B7,GELIR_GIDER!$C$7:$C$1206,"&lt;"&amp;EDATE($B7,1))</f>
        <v/>
      </c>
      <c r="D7" s="245">
        <f>SUMIFS(TAHSILAT!$F$7:$F$1506,TAHSILAT!$E$7:$E$1506,"&gt;="&amp;$B7,TAHSILAT!$E$7:$E$1506,"&lt;"&amp;EDATE($B7,1),TAHSILAT!$H$7:$H$1506,"&lt;&gt;Mahsup")</f>
        <v/>
      </c>
      <c r="E7" s="245">
        <f>SUMIFS(GELIR_GIDER!$G$7:$G$1206,GELIR_GIDER!$D$7:$D$1206,"Gelir",GELIR_GIDER!$C$7:$C$1206,"&gt;="&amp;$B7,GELIR_GIDER!$C$7:$C$1206,"&lt;"&amp;EDATE($B7,1),GELIR_GIDER!$I$7:$I$1206,"Evet")</f>
        <v/>
      </c>
      <c r="F7" s="245">
        <f>$D7+$E7</f>
        <v/>
      </c>
      <c r="G7" s="245">
        <f>SUMIFS(GELIR_GIDER!$G$7:$G$1206,GELIR_GIDER!$D$7:$D$1206,"Gider",GELIR_GIDER!$C$7:$C$1206,"&gt;="&amp;$B7,GELIR_GIDER!$C$7:$C$1206,"&lt;"&amp;EDATE($B7,1),GELIR_GIDER!$I$7:$I$1206,"Evet")</f>
        <v/>
      </c>
      <c r="H7" s="245">
        <f>$C7+$E7-SUMIFS(GELIR_GIDER!$G$7:$G$1206,GELIR_GIDER!$D$7:$D$1206,"Gider",GELIR_GIDER!$C$7:$C$1206,"&gt;="&amp;$B7,GELIR_GIDER!$C$7:$C$1206,"&lt;"&amp;EDATE($B7,1))</f>
        <v/>
      </c>
      <c r="I7" s="245">
        <f>$F7-$G7</f>
        <v/>
      </c>
      <c r="J7" s="229">
        <f>IFERROR($D7/$C7,0)</f>
        <v/>
      </c>
      <c r="K7" s="245">
        <f>SISTEM!$C$13</f>
        <v/>
      </c>
      <c r="L7" s="245">
        <f>MAX(0,SUM($I$7:$I7)-$K7-SUM($P$7:$P7)-SUM($Q$7:$Q7))</f>
        <v/>
      </c>
      <c r="M7" s="245">
        <f>$L7*SISTEM!$C$11</f>
        <v/>
      </c>
      <c r="N7" s="245">
        <f>$L7*SISTEM!$C$12</f>
        <v/>
      </c>
      <c r="O7" s="108" t="n"/>
      <c r="P7" s="246" t="n"/>
      <c r="Q7" s="246" t="n"/>
      <c r="R7" s="245">
        <f>MAX(0,$L7-$P7-$Q7)</f>
        <v/>
      </c>
      <c r="S7" s="113">
        <f>IF($B7&gt;=DATE(YEAR(TODAY()),MONTH(TODAY()),1),"AÇIK",IF(COUNTIFS(SISTEM!$C$23:$C$55,"KRİTİK",SISTEM!$F$23:$F$55,"KALDI")&gt;0,"KAPATILAMAZ",IF(COUNTIF(SISTEM!$F$23:$F$55,"KALDI")=0,"KAPANABİLİR","UYARI VAR – KAPATILABİLİR")))</f>
        <v/>
      </c>
      <c r="T7" s="113">
        <f>IF(ABS($L7-$M7-$N7)&lt;0.01,IF(AND($O7="Evet",ABS($R7)&lt;0.01),"KAPANDI","AÇIK"),"PAY HATASI")</f>
        <v/>
      </c>
      <c r="U7" s="6" t="n"/>
      <c r="V7" s="6" t="n"/>
    </row>
    <row r="8">
      <c r="A8" s="6" t="n"/>
      <c r="B8" s="226" t="n">
        <v>46054</v>
      </c>
      <c r="C8" s="245">
        <f>SUMPRODUCT(IF(UCRETLER!$G$7:$G$406="",0,UCRETLER!$G$7:$G$406)*(UCRETLER!$F$7:$F$406="Haftalık")*IF(UCRETLER!$C$7:$C$406="",0,IF(IF(IF(UCRETLER!$E$7:$E$406="",999999,UCRETLER!$E$7:$E$406)&gt;EOMONTH($B8,0),EOMONTH($B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8,0),EOMONTH($B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8-1,$B8-1,IF(UCRETLER!$E$7:$E$406="",999999,UCRETLER!$E$7:$E$406))&lt;(IF(UCRETLER!$D$7:$D$406="",999999,UCRETLER!$D$7:$D$406)+MOD(SISTEM!$F$8-WEEKDAY(IF(UCRETLER!$D$7:$D$406="",999999,UCRETLER!$D$7:$D$406),2),7)),0,INT((IF(IF(UCRETLER!$E$7:$E$406="",999999,UCRETLER!$E$7:$E$406)&gt;$B8-1,$B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8,0)&gt;=IF(UCRETLER!$D$7:$D$406="",999999,UCRETLER!$D$7:$D$406))*(EOMONTH($B8,0)&lt;=IF(UCRETLER!$E$7:$E$406="",999999,UCRETLER!$E$7:$E$406)))+SUMIFS(GELIR_GIDER!$G$7:$G$1206,GELIR_GIDER!$V$7:$V$1206,1,GELIR_GIDER!$C$7:$C$1206,"&gt;="&amp;$B8,GELIR_GIDER!$C$7:$C$1206,"&lt;"&amp;EDATE($B8,1))</f>
        <v/>
      </c>
      <c r="D8" s="245">
        <f>SUMIFS(TAHSILAT!$F$7:$F$1506,TAHSILAT!$E$7:$E$1506,"&gt;="&amp;$B8,TAHSILAT!$E$7:$E$1506,"&lt;"&amp;EDATE($B8,1),TAHSILAT!$H$7:$H$1506,"&lt;&gt;Mahsup")</f>
        <v/>
      </c>
      <c r="E8" s="245">
        <f>SUMIFS(GELIR_GIDER!$G$7:$G$1206,GELIR_GIDER!$D$7:$D$1206,"Gelir",GELIR_GIDER!$C$7:$C$1206,"&gt;="&amp;$B8,GELIR_GIDER!$C$7:$C$1206,"&lt;"&amp;EDATE($B8,1),GELIR_GIDER!$I$7:$I$1206,"Evet")</f>
        <v/>
      </c>
      <c r="F8" s="245">
        <f>$D8+$E8</f>
        <v/>
      </c>
      <c r="G8" s="245">
        <f>SUMIFS(GELIR_GIDER!$G$7:$G$1206,GELIR_GIDER!$D$7:$D$1206,"Gider",GELIR_GIDER!$C$7:$C$1206,"&gt;="&amp;$B8,GELIR_GIDER!$C$7:$C$1206,"&lt;"&amp;EDATE($B8,1),GELIR_GIDER!$I$7:$I$1206,"Evet")</f>
        <v/>
      </c>
      <c r="H8" s="245">
        <f>$C8+$E8-SUMIFS(GELIR_GIDER!$G$7:$G$1206,GELIR_GIDER!$D$7:$D$1206,"Gider",GELIR_GIDER!$C$7:$C$1206,"&gt;="&amp;$B8,GELIR_GIDER!$C$7:$C$1206,"&lt;"&amp;EDATE($B8,1))</f>
        <v/>
      </c>
      <c r="I8" s="245">
        <f>$F8-$G8</f>
        <v/>
      </c>
      <c r="J8" s="229">
        <f>IFERROR($D8/$C8,0)</f>
        <v/>
      </c>
      <c r="K8" s="245">
        <f>SISTEM!$C$13</f>
        <v/>
      </c>
      <c r="L8" s="245">
        <f>MAX(0,SUM($I$7:$I8)-$K8-SUM($P$7:$P8)-SUM($Q$7:$Q8))</f>
        <v/>
      </c>
      <c r="M8" s="245">
        <f>$L8*SISTEM!$C$11</f>
        <v/>
      </c>
      <c r="N8" s="245">
        <f>$L8*SISTEM!$C$12</f>
        <v/>
      </c>
      <c r="O8" s="108" t="n"/>
      <c r="P8" s="246" t="n"/>
      <c r="Q8" s="246" t="n"/>
      <c r="R8" s="245">
        <f>MAX(0,$L8-$P8-$Q8)</f>
        <v/>
      </c>
      <c r="S8" s="113">
        <f>IF($B8&gt;=DATE(YEAR(TODAY()),MONTH(TODAY()),1),"AÇIK",IF(COUNTIFS(SISTEM!$C$23:$C$55,"KRİTİK",SISTEM!$F$23:$F$55,"KALDI")&gt;0,"KAPATILAMAZ",IF(COUNTIF(SISTEM!$F$23:$F$55,"KALDI")=0,"KAPANABİLİR","UYARI VAR – KAPATILABİLİR")))</f>
        <v/>
      </c>
      <c r="T8" s="113">
        <f>IF(ABS($L8-$M8-$N8)&lt;0.01,IF(AND($O8="Evet",ABS($R8)&lt;0.01),"KAPANDI","AÇIK"),"PAY HATASI")</f>
        <v/>
      </c>
      <c r="U8" s="6" t="n"/>
      <c r="V8" s="6" t="n"/>
    </row>
    <row r="9">
      <c r="A9" s="6" t="n"/>
      <c r="B9" s="226" t="n">
        <v>46082</v>
      </c>
      <c r="C9" s="245">
        <f>SUMPRODUCT(IF(UCRETLER!$G$7:$G$406="",0,UCRETLER!$G$7:$G$406)*(UCRETLER!$F$7:$F$406="Haftalık")*IF(UCRETLER!$C$7:$C$406="",0,IF(IF(IF(UCRETLER!$E$7:$E$406="",999999,UCRETLER!$E$7:$E$406)&gt;EOMONTH($B9,0),EOMONTH($B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9,0),EOMONTH($B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9-1,$B9-1,IF(UCRETLER!$E$7:$E$406="",999999,UCRETLER!$E$7:$E$406))&lt;(IF(UCRETLER!$D$7:$D$406="",999999,UCRETLER!$D$7:$D$406)+MOD(SISTEM!$F$8-WEEKDAY(IF(UCRETLER!$D$7:$D$406="",999999,UCRETLER!$D$7:$D$406),2),7)),0,INT((IF(IF(UCRETLER!$E$7:$E$406="",999999,UCRETLER!$E$7:$E$406)&gt;$B9-1,$B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9,0)&gt;=IF(UCRETLER!$D$7:$D$406="",999999,UCRETLER!$D$7:$D$406))*(EOMONTH($B9,0)&lt;=IF(UCRETLER!$E$7:$E$406="",999999,UCRETLER!$E$7:$E$406)))+SUMIFS(GELIR_GIDER!$G$7:$G$1206,GELIR_GIDER!$V$7:$V$1206,1,GELIR_GIDER!$C$7:$C$1206,"&gt;="&amp;$B9,GELIR_GIDER!$C$7:$C$1206,"&lt;"&amp;EDATE($B9,1))</f>
        <v/>
      </c>
      <c r="D9" s="245">
        <f>SUMIFS(TAHSILAT!$F$7:$F$1506,TAHSILAT!$E$7:$E$1506,"&gt;="&amp;$B9,TAHSILAT!$E$7:$E$1506,"&lt;"&amp;EDATE($B9,1),TAHSILAT!$H$7:$H$1506,"&lt;&gt;Mahsup")</f>
        <v/>
      </c>
      <c r="E9" s="245">
        <f>SUMIFS(GELIR_GIDER!$G$7:$G$1206,GELIR_GIDER!$D$7:$D$1206,"Gelir",GELIR_GIDER!$C$7:$C$1206,"&gt;="&amp;$B9,GELIR_GIDER!$C$7:$C$1206,"&lt;"&amp;EDATE($B9,1),GELIR_GIDER!$I$7:$I$1206,"Evet")</f>
        <v/>
      </c>
      <c r="F9" s="245">
        <f>$D9+$E9</f>
        <v/>
      </c>
      <c r="G9" s="245">
        <f>SUMIFS(GELIR_GIDER!$G$7:$G$1206,GELIR_GIDER!$D$7:$D$1206,"Gider",GELIR_GIDER!$C$7:$C$1206,"&gt;="&amp;$B9,GELIR_GIDER!$C$7:$C$1206,"&lt;"&amp;EDATE($B9,1),GELIR_GIDER!$I$7:$I$1206,"Evet")</f>
        <v/>
      </c>
      <c r="H9" s="245">
        <f>$C9+$E9-SUMIFS(GELIR_GIDER!$G$7:$G$1206,GELIR_GIDER!$D$7:$D$1206,"Gider",GELIR_GIDER!$C$7:$C$1206,"&gt;="&amp;$B9,GELIR_GIDER!$C$7:$C$1206,"&lt;"&amp;EDATE($B9,1))</f>
        <v/>
      </c>
      <c r="I9" s="245">
        <f>$F9-$G9</f>
        <v/>
      </c>
      <c r="J9" s="229">
        <f>IFERROR($D9/$C9,0)</f>
        <v/>
      </c>
      <c r="K9" s="245">
        <f>SISTEM!$C$13</f>
        <v/>
      </c>
      <c r="L9" s="245">
        <f>MAX(0,SUM($I$7:$I9)-$K9-SUM($P$7:$P9)-SUM($Q$7:$Q9))</f>
        <v/>
      </c>
      <c r="M9" s="245">
        <f>$L9*SISTEM!$C$11</f>
        <v/>
      </c>
      <c r="N9" s="245">
        <f>$L9*SISTEM!$C$12</f>
        <v/>
      </c>
      <c r="O9" s="108" t="n"/>
      <c r="P9" s="246" t="n"/>
      <c r="Q9" s="246" t="n"/>
      <c r="R9" s="245">
        <f>MAX(0,$L9-$P9-$Q9)</f>
        <v/>
      </c>
      <c r="S9" s="113">
        <f>IF($B9&gt;=DATE(YEAR(TODAY()),MONTH(TODAY()),1),"AÇIK",IF(COUNTIFS(SISTEM!$C$23:$C$55,"KRİTİK",SISTEM!$F$23:$F$55,"KALDI")&gt;0,"KAPATILAMAZ",IF(COUNTIF(SISTEM!$F$23:$F$55,"KALDI")=0,"KAPANABİLİR","UYARI VAR – KAPATILABİLİR")))</f>
        <v/>
      </c>
      <c r="T9" s="113">
        <f>IF(ABS($L9-$M9-$N9)&lt;0.01,IF(AND($O9="Evet",ABS($R9)&lt;0.01),"KAPANDI","AÇIK"),"PAY HATASI")</f>
        <v/>
      </c>
      <c r="U9" s="6" t="n"/>
      <c r="V9" s="6" t="n"/>
    </row>
    <row r="10">
      <c r="A10" s="6" t="n"/>
      <c r="B10" s="226" t="n">
        <v>46113</v>
      </c>
      <c r="C10" s="245">
        <f>SUMPRODUCT(IF(UCRETLER!$G$7:$G$406="",0,UCRETLER!$G$7:$G$406)*(UCRETLER!$F$7:$F$406="Haftalık")*IF(UCRETLER!$C$7:$C$406="",0,IF(IF(IF(UCRETLER!$E$7:$E$406="",999999,UCRETLER!$E$7:$E$406)&gt;EOMONTH($B10,0),EOMONTH($B10,0)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10,0),EOMONTH($B10,0)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10-1,$B10-1,IF(UCRETLER!$E$7:$E$406="",999999,UCRETLER!$E$7:$E$406))&lt;(IF(UCRETLER!$D$7:$D$406="",999999,UCRETLER!$D$7:$D$406)+MOD(SISTEM!$F$8-WEEKDAY(IF(UCRETLER!$D$7:$D$406="",999999,UCRETLER!$D$7:$D$406),2),7)),0,INT((IF(IF(UCRETLER!$E$7:$E$406="",999999,UCRETLER!$E$7:$E$406)&gt;$B10-1,$B10-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10,0)&gt;=IF(UCRETLER!$D$7:$D$406="",999999,UCRETLER!$D$7:$D$406))*(EOMONTH($B10,0)&lt;=IF(UCRETLER!$E$7:$E$406="",999999,UCRETLER!$E$7:$E$406)))+SUMIFS(GELIR_GIDER!$G$7:$G$1206,GELIR_GIDER!$V$7:$V$1206,1,GELIR_GIDER!$C$7:$C$1206,"&gt;="&amp;$B10,GELIR_GIDER!$C$7:$C$1206,"&lt;"&amp;EDATE($B10,1))</f>
        <v/>
      </c>
      <c r="D10" s="245">
        <f>SUMIFS(TAHSILAT!$F$7:$F$1506,TAHSILAT!$E$7:$E$1506,"&gt;="&amp;$B10,TAHSILAT!$E$7:$E$1506,"&lt;"&amp;EDATE($B10,1),TAHSILAT!$H$7:$H$1506,"&lt;&gt;Mahsup")</f>
        <v/>
      </c>
      <c r="E10" s="245">
        <f>SUMIFS(GELIR_GIDER!$G$7:$G$1206,GELIR_GIDER!$D$7:$D$1206,"Gelir",GELIR_GIDER!$C$7:$C$1206,"&gt;="&amp;$B10,GELIR_GIDER!$C$7:$C$1206,"&lt;"&amp;EDATE($B10,1),GELIR_GIDER!$I$7:$I$1206,"Evet")</f>
        <v/>
      </c>
      <c r="F10" s="245">
        <f>$D10+$E10</f>
        <v/>
      </c>
      <c r="G10" s="245">
        <f>SUMIFS(GELIR_GIDER!$G$7:$G$1206,GELIR_GIDER!$D$7:$D$1206,"Gider",GELIR_GIDER!$C$7:$C$1206,"&gt;="&amp;$B10,GELIR_GIDER!$C$7:$C$1206,"&lt;"&amp;EDATE($B10,1),GELIR_GIDER!$I$7:$I$1206,"Evet")</f>
        <v/>
      </c>
      <c r="H10" s="245">
        <f>$C10+$E10-SUMIFS(GELIR_GIDER!$G$7:$G$1206,GELIR_GIDER!$D$7:$D$1206,"Gider",GELIR_GIDER!$C$7:$C$1206,"&gt;="&amp;$B10,GELIR_GIDER!$C$7:$C$1206,"&lt;"&amp;EDATE($B10,1))</f>
        <v/>
      </c>
      <c r="I10" s="245">
        <f>$F10-$G10</f>
        <v/>
      </c>
      <c r="J10" s="229">
        <f>IFERROR($D10/$C10,0)</f>
        <v/>
      </c>
      <c r="K10" s="245">
        <f>SISTEM!$C$13</f>
        <v/>
      </c>
      <c r="L10" s="245">
        <f>MAX(0,SUM($I$7:$I10)-$K10-SUM($P$7:$P10)-SUM($Q$7:$Q10))</f>
        <v/>
      </c>
      <c r="M10" s="245">
        <f>$L10*SISTEM!$C$11</f>
        <v/>
      </c>
      <c r="N10" s="245">
        <f>$L10*SISTEM!$C$12</f>
        <v/>
      </c>
      <c r="O10" s="108" t="n"/>
      <c r="P10" s="246" t="n"/>
      <c r="Q10" s="246" t="n"/>
      <c r="R10" s="245">
        <f>MAX(0,$L10-$P10-$Q10)</f>
        <v/>
      </c>
      <c r="S10" s="113">
        <f>IF($B10&gt;=DATE(YEAR(TODAY()),MONTH(TODAY()),1),"AÇIK",IF(COUNTIFS(SISTEM!$C$23:$C$55,"KRİTİK",SISTEM!$F$23:$F$55,"KALDI")&gt;0,"KAPATILAMAZ",IF(COUNTIF(SISTEM!$F$23:$F$55,"KALDI")=0,"KAPANABİLİR","UYARI VAR – KAPATILABİLİR")))</f>
        <v/>
      </c>
      <c r="T10" s="113">
        <f>IF(ABS($L10-$M10-$N10)&lt;0.01,IF(AND($O10="Evet",ABS($R10)&lt;0.01),"KAPANDI","AÇIK"),"PAY HATASI")</f>
        <v/>
      </c>
      <c r="U10" s="6" t="n"/>
      <c r="V10" s="6" t="n"/>
    </row>
    <row r="11">
      <c r="A11" s="6" t="n"/>
      <c r="B11" s="226" t="n">
        <v>46143</v>
      </c>
      <c r="C11" s="245">
        <f>SUMPRODUCT(IF(UCRETLER!$G$7:$G$406="",0,UCRETLER!$G$7:$G$406)*(UCRETLER!$F$7:$F$406="Haftalık")*IF(UCRETLER!$C$7:$C$406="",0,IF(IF(IF(UCRETLER!$E$7:$E$406="",999999,UCRETLER!$E$7:$E$406)&gt;EOMONTH($B11,0),EOMONTH($B11,0)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11,0),EOMONTH($B11,0)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11-1,$B11-1,IF(UCRETLER!$E$7:$E$406="",999999,UCRETLER!$E$7:$E$406))&lt;(IF(UCRETLER!$D$7:$D$406="",999999,UCRETLER!$D$7:$D$406)+MOD(SISTEM!$F$8-WEEKDAY(IF(UCRETLER!$D$7:$D$406="",999999,UCRETLER!$D$7:$D$406),2),7)),0,INT((IF(IF(UCRETLER!$E$7:$E$406="",999999,UCRETLER!$E$7:$E$406)&gt;$B11-1,$B11-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11,0)&gt;=IF(UCRETLER!$D$7:$D$406="",999999,UCRETLER!$D$7:$D$406))*(EOMONTH($B11,0)&lt;=IF(UCRETLER!$E$7:$E$406="",999999,UCRETLER!$E$7:$E$406)))+SUMIFS(GELIR_GIDER!$G$7:$G$1206,GELIR_GIDER!$V$7:$V$1206,1,GELIR_GIDER!$C$7:$C$1206,"&gt;="&amp;$B11,GELIR_GIDER!$C$7:$C$1206,"&lt;"&amp;EDATE($B11,1))</f>
        <v/>
      </c>
      <c r="D11" s="245">
        <f>SUMIFS(TAHSILAT!$F$7:$F$1506,TAHSILAT!$E$7:$E$1506,"&gt;="&amp;$B11,TAHSILAT!$E$7:$E$1506,"&lt;"&amp;EDATE($B11,1),TAHSILAT!$H$7:$H$1506,"&lt;&gt;Mahsup")</f>
        <v/>
      </c>
      <c r="E11" s="245">
        <f>SUMIFS(GELIR_GIDER!$G$7:$G$1206,GELIR_GIDER!$D$7:$D$1206,"Gelir",GELIR_GIDER!$C$7:$C$1206,"&gt;="&amp;$B11,GELIR_GIDER!$C$7:$C$1206,"&lt;"&amp;EDATE($B11,1),GELIR_GIDER!$I$7:$I$1206,"Evet")</f>
        <v/>
      </c>
      <c r="F11" s="245">
        <f>$D11+$E11</f>
        <v/>
      </c>
      <c r="G11" s="245">
        <f>SUMIFS(GELIR_GIDER!$G$7:$G$1206,GELIR_GIDER!$D$7:$D$1206,"Gider",GELIR_GIDER!$C$7:$C$1206,"&gt;="&amp;$B11,GELIR_GIDER!$C$7:$C$1206,"&lt;"&amp;EDATE($B11,1),GELIR_GIDER!$I$7:$I$1206,"Evet")</f>
        <v/>
      </c>
      <c r="H11" s="245">
        <f>$C11+$E11-SUMIFS(GELIR_GIDER!$G$7:$G$1206,GELIR_GIDER!$D$7:$D$1206,"Gider",GELIR_GIDER!$C$7:$C$1206,"&gt;="&amp;$B11,GELIR_GIDER!$C$7:$C$1206,"&lt;"&amp;EDATE($B11,1))</f>
        <v/>
      </c>
      <c r="I11" s="245">
        <f>$F11-$G11</f>
        <v/>
      </c>
      <c r="J11" s="229">
        <f>IFERROR($D11/$C11,0)</f>
        <v/>
      </c>
      <c r="K11" s="245">
        <f>SISTEM!$C$13</f>
        <v/>
      </c>
      <c r="L11" s="245">
        <f>MAX(0,SUM($I$7:$I11)-$K11-SUM($P$7:$P11)-SUM($Q$7:$Q11))</f>
        <v/>
      </c>
      <c r="M11" s="245">
        <f>$L11*SISTEM!$C$11</f>
        <v/>
      </c>
      <c r="N11" s="245">
        <f>$L11*SISTEM!$C$12</f>
        <v/>
      </c>
      <c r="O11" s="108" t="n"/>
      <c r="P11" s="246" t="n"/>
      <c r="Q11" s="246" t="n"/>
      <c r="R11" s="245">
        <f>MAX(0,$L11-$P11-$Q11)</f>
        <v/>
      </c>
      <c r="S11" s="113">
        <f>IF($B11&gt;=DATE(YEAR(TODAY()),MONTH(TODAY()),1),"AÇIK",IF(COUNTIFS(SISTEM!$C$23:$C$55,"KRİTİK",SISTEM!$F$23:$F$55,"KALDI")&gt;0,"KAPATILAMAZ",IF(COUNTIF(SISTEM!$F$23:$F$55,"KALDI")=0,"KAPANABİLİR","UYARI VAR – KAPATILABİLİR")))</f>
        <v/>
      </c>
      <c r="T11" s="113">
        <f>IF(ABS($L11-$M11-$N11)&lt;0.01,IF(AND($O11="Evet",ABS($R11)&lt;0.01),"KAPANDI","AÇIK"),"PAY HATASI")</f>
        <v/>
      </c>
      <c r="U11" s="6" t="n"/>
      <c r="V11" s="6" t="n"/>
    </row>
    <row r="12">
      <c r="A12" s="6" t="n"/>
      <c r="B12" s="226" t="n">
        <v>46174</v>
      </c>
      <c r="C12" s="245">
        <f>SUMPRODUCT(IF(UCRETLER!$G$7:$G$406="",0,UCRETLER!$G$7:$G$406)*(UCRETLER!$F$7:$F$406="Haftalık")*IF(UCRETLER!$C$7:$C$406="",0,IF(IF(IF(UCRETLER!$E$7:$E$406="",999999,UCRETLER!$E$7:$E$406)&gt;EOMONTH($B12,0),EOMONTH($B12,0)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12,0),EOMONTH($B12,0)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12-1,$B12-1,IF(UCRETLER!$E$7:$E$406="",999999,UCRETLER!$E$7:$E$406))&lt;(IF(UCRETLER!$D$7:$D$406="",999999,UCRETLER!$D$7:$D$406)+MOD(SISTEM!$F$8-WEEKDAY(IF(UCRETLER!$D$7:$D$406="",999999,UCRETLER!$D$7:$D$406),2),7)),0,INT((IF(IF(UCRETLER!$E$7:$E$406="",999999,UCRETLER!$E$7:$E$406)&gt;$B12-1,$B12-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12,0)&gt;=IF(UCRETLER!$D$7:$D$406="",999999,UCRETLER!$D$7:$D$406))*(EOMONTH($B12,0)&lt;=IF(UCRETLER!$E$7:$E$406="",999999,UCRETLER!$E$7:$E$406)))+SUMIFS(GELIR_GIDER!$G$7:$G$1206,GELIR_GIDER!$V$7:$V$1206,1,GELIR_GIDER!$C$7:$C$1206,"&gt;="&amp;$B12,GELIR_GIDER!$C$7:$C$1206,"&lt;"&amp;EDATE($B12,1))</f>
        <v/>
      </c>
      <c r="D12" s="245">
        <f>SUMIFS(TAHSILAT!$F$7:$F$1506,TAHSILAT!$E$7:$E$1506,"&gt;="&amp;$B12,TAHSILAT!$E$7:$E$1506,"&lt;"&amp;EDATE($B12,1),TAHSILAT!$H$7:$H$1506,"&lt;&gt;Mahsup")</f>
        <v/>
      </c>
      <c r="E12" s="245">
        <f>SUMIFS(GELIR_GIDER!$G$7:$G$1206,GELIR_GIDER!$D$7:$D$1206,"Gelir",GELIR_GIDER!$C$7:$C$1206,"&gt;="&amp;$B12,GELIR_GIDER!$C$7:$C$1206,"&lt;"&amp;EDATE($B12,1),GELIR_GIDER!$I$7:$I$1206,"Evet")</f>
        <v/>
      </c>
      <c r="F12" s="245">
        <f>$D12+$E12</f>
        <v/>
      </c>
      <c r="G12" s="245">
        <f>SUMIFS(GELIR_GIDER!$G$7:$G$1206,GELIR_GIDER!$D$7:$D$1206,"Gider",GELIR_GIDER!$C$7:$C$1206,"&gt;="&amp;$B12,GELIR_GIDER!$C$7:$C$1206,"&lt;"&amp;EDATE($B12,1),GELIR_GIDER!$I$7:$I$1206,"Evet")</f>
        <v/>
      </c>
      <c r="H12" s="245">
        <f>$C12+$E12-SUMIFS(GELIR_GIDER!$G$7:$G$1206,GELIR_GIDER!$D$7:$D$1206,"Gider",GELIR_GIDER!$C$7:$C$1206,"&gt;="&amp;$B12,GELIR_GIDER!$C$7:$C$1206,"&lt;"&amp;EDATE($B12,1))</f>
        <v/>
      </c>
      <c r="I12" s="245">
        <f>$F12-$G12</f>
        <v/>
      </c>
      <c r="J12" s="229">
        <f>IFERROR($D12/$C12,0)</f>
        <v/>
      </c>
      <c r="K12" s="245">
        <f>SISTEM!$C$13</f>
        <v/>
      </c>
      <c r="L12" s="245">
        <f>MAX(0,SUM($I$7:$I12)-$K12-SUM($P$7:$P12)-SUM($Q$7:$Q12))</f>
        <v/>
      </c>
      <c r="M12" s="245">
        <f>$L12*SISTEM!$C$11</f>
        <v/>
      </c>
      <c r="N12" s="245">
        <f>$L12*SISTEM!$C$12</f>
        <v/>
      </c>
      <c r="O12" s="108" t="n"/>
      <c r="P12" s="246" t="n"/>
      <c r="Q12" s="246" t="n"/>
      <c r="R12" s="245">
        <f>MAX(0,$L12-$P12-$Q12)</f>
        <v/>
      </c>
      <c r="S12" s="113">
        <f>IF($B12&gt;=DATE(YEAR(TODAY()),MONTH(TODAY()),1),"AÇIK",IF(COUNTIFS(SISTEM!$C$23:$C$55,"KRİTİK",SISTEM!$F$23:$F$55,"KALDI")&gt;0,"KAPATILAMAZ",IF(COUNTIF(SISTEM!$F$23:$F$55,"KALDI")=0,"KAPANABİLİR","UYARI VAR – KAPATILABİLİR")))</f>
        <v/>
      </c>
      <c r="T12" s="113">
        <f>IF(ABS($L12-$M12-$N12)&lt;0.01,IF(AND($O12="Evet",ABS($R12)&lt;0.01),"KAPANDI","AÇIK"),"PAY HATASI")</f>
        <v/>
      </c>
      <c r="U12" s="6" t="n"/>
      <c r="V12" s="6" t="n"/>
    </row>
    <row r="13">
      <c r="A13" s="6" t="n"/>
      <c r="B13" s="226" t="n">
        <v>46204</v>
      </c>
      <c r="C13" s="245">
        <f>SUMPRODUCT(IF(UCRETLER!$G$7:$G$406="",0,UCRETLER!$G$7:$G$406)*(UCRETLER!$F$7:$F$406="Haftalık")*IF(UCRETLER!$C$7:$C$406="",0,IF(IF(IF(UCRETLER!$E$7:$E$406="",999999,UCRETLER!$E$7:$E$406)&gt;EOMONTH($B13,0),EOMONTH($B13,0)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13,0),EOMONTH($B13,0)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13-1,$B13-1,IF(UCRETLER!$E$7:$E$406="",999999,UCRETLER!$E$7:$E$406))&lt;(IF(UCRETLER!$D$7:$D$406="",999999,UCRETLER!$D$7:$D$406)+MOD(SISTEM!$F$8-WEEKDAY(IF(UCRETLER!$D$7:$D$406="",999999,UCRETLER!$D$7:$D$406),2),7)),0,INT((IF(IF(UCRETLER!$E$7:$E$406="",999999,UCRETLER!$E$7:$E$406)&gt;$B13-1,$B13-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13,0)&gt;=IF(UCRETLER!$D$7:$D$406="",999999,UCRETLER!$D$7:$D$406))*(EOMONTH($B13,0)&lt;=IF(UCRETLER!$E$7:$E$406="",999999,UCRETLER!$E$7:$E$406)))+SUMIFS(GELIR_GIDER!$G$7:$G$1206,GELIR_GIDER!$V$7:$V$1206,1,GELIR_GIDER!$C$7:$C$1206,"&gt;="&amp;$B13,GELIR_GIDER!$C$7:$C$1206,"&lt;"&amp;EDATE($B13,1))</f>
        <v/>
      </c>
      <c r="D13" s="245">
        <f>SUMIFS(TAHSILAT!$F$7:$F$1506,TAHSILAT!$E$7:$E$1506,"&gt;="&amp;$B13,TAHSILAT!$E$7:$E$1506,"&lt;"&amp;EDATE($B13,1),TAHSILAT!$H$7:$H$1506,"&lt;&gt;Mahsup")</f>
        <v/>
      </c>
      <c r="E13" s="245">
        <f>SUMIFS(GELIR_GIDER!$G$7:$G$1206,GELIR_GIDER!$D$7:$D$1206,"Gelir",GELIR_GIDER!$C$7:$C$1206,"&gt;="&amp;$B13,GELIR_GIDER!$C$7:$C$1206,"&lt;"&amp;EDATE($B13,1),GELIR_GIDER!$I$7:$I$1206,"Evet")</f>
        <v/>
      </c>
      <c r="F13" s="245">
        <f>$D13+$E13</f>
        <v/>
      </c>
      <c r="G13" s="245">
        <f>SUMIFS(GELIR_GIDER!$G$7:$G$1206,GELIR_GIDER!$D$7:$D$1206,"Gider",GELIR_GIDER!$C$7:$C$1206,"&gt;="&amp;$B13,GELIR_GIDER!$C$7:$C$1206,"&lt;"&amp;EDATE($B13,1),GELIR_GIDER!$I$7:$I$1206,"Evet")</f>
        <v/>
      </c>
      <c r="H13" s="245">
        <f>$C13+$E13-SUMIFS(GELIR_GIDER!$G$7:$G$1206,GELIR_GIDER!$D$7:$D$1206,"Gider",GELIR_GIDER!$C$7:$C$1206,"&gt;="&amp;$B13,GELIR_GIDER!$C$7:$C$1206,"&lt;"&amp;EDATE($B13,1))</f>
        <v/>
      </c>
      <c r="I13" s="245">
        <f>$F13-$G13</f>
        <v/>
      </c>
      <c r="J13" s="229">
        <f>IFERROR($D13/$C13,0)</f>
        <v/>
      </c>
      <c r="K13" s="245">
        <f>SISTEM!$C$13</f>
        <v/>
      </c>
      <c r="L13" s="245">
        <f>MAX(0,SUM($I$7:$I13)-$K13-SUM($P$7:$P13)-SUM($Q$7:$Q13))</f>
        <v/>
      </c>
      <c r="M13" s="245">
        <f>$L13*SISTEM!$C$11</f>
        <v/>
      </c>
      <c r="N13" s="245">
        <f>$L13*SISTEM!$C$12</f>
        <v/>
      </c>
      <c r="O13" s="108" t="n"/>
      <c r="P13" s="246" t="n"/>
      <c r="Q13" s="246" t="n"/>
      <c r="R13" s="245">
        <f>MAX(0,$L13-$P13-$Q13)</f>
        <v/>
      </c>
      <c r="S13" s="113">
        <f>IF($B13&gt;=DATE(YEAR(TODAY()),MONTH(TODAY()),1),"AÇIK",IF(COUNTIFS(SISTEM!$C$23:$C$55,"KRİTİK",SISTEM!$F$23:$F$55,"KALDI")&gt;0,"KAPATILAMAZ",IF(COUNTIF(SISTEM!$F$23:$F$55,"KALDI")=0,"KAPANABİLİR","UYARI VAR – KAPATILABİLİR")))</f>
        <v/>
      </c>
      <c r="T13" s="113">
        <f>IF(ABS($L13-$M13-$N13)&lt;0.01,IF(AND($O13="Evet",ABS($R13)&lt;0.01),"KAPANDI","AÇIK"),"PAY HATASI")</f>
        <v/>
      </c>
      <c r="U13" s="6" t="n"/>
      <c r="V13" s="6" t="n"/>
    </row>
    <row r="14">
      <c r="A14" s="6" t="n"/>
      <c r="B14" s="226" t="n">
        <v>46235</v>
      </c>
      <c r="C14" s="245">
        <f>SUMPRODUCT(IF(UCRETLER!$G$7:$G$406="",0,UCRETLER!$G$7:$G$406)*(UCRETLER!$F$7:$F$406="Haftalık")*IF(UCRETLER!$C$7:$C$406="",0,IF(IF(IF(UCRETLER!$E$7:$E$406="",999999,UCRETLER!$E$7:$E$406)&gt;EOMONTH($B14,0),EOMONTH($B14,0)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14,0),EOMONTH($B14,0)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14-1,$B14-1,IF(UCRETLER!$E$7:$E$406="",999999,UCRETLER!$E$7:$E$406))&lt;(IF(UCRETLER!$D$7:$D$406="",999999,UCRETLER!$D$7:$D$406)+MOD(SISTEM!$F$8-WEEKDAY(IF(UCRETLER!$D$7:$D$406="",999999,UCRETLER!$D$7:$D$406),2),7)),0,INT((IF(IF(UCRETLER!$E$7:$E$406="",999999,UCRETLER!$E$7:$E$406)&gt;$B14-1,$B14-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14,0)&gt;=IF(UCRETLER!$D$7:$D$406="",999999,UCRETLER!$D$7:$D$406))*(EOMONTH($B14,0)&lt;=IF(UCRETLER!$E$7:$E$406="",999999,UCRETLER!$E$7:$E$406)))+SUMIFS(GELIR_GIDER!$G$7:$G$1206,GELIR_GIDER!$V$7:$V$1206,1,GELIR_GIDER!$C$7:$C$1206,"&gt;="&amp;$B14,GELIR_GIDER!$C$7:$C$1206,"&lt;"&amp;EDATE($B14,1))</f>
        <v/>
      </c>
      <c r="D14" s="245">
        <f>SUMIFS(TAHSILAT!$F$7:$F$1506,TAHSILAT!$E$7:$E$1506,"&gt;="&amp;$B14,TAHSILAT!$E$7:$E$1506,"&lt;"&amp;EDATE($B14,1),TAHSILAT!$H$7:$H$1506,"&lt;&gt;Mahsup")</f>
        <v/>
      </c>
      <c r="E14" s="245">
        <f>SUMIFS(GELIR_GIDER!$G$7:$G$1206,GELIR_GIDER!$D$7:$D$1206,"Gelir",GELIR_GIDER!$C$7:$C$1206,"&gt;="&amp;$B14,GELIR_GIDER!$C$7:$C$1206,"&lt;"&amp;EDATE($B14,1),GELIR_GIDER!$I$7:$I$1206,"Evet")</f>
        <v/>
      </c>
      <c r="F14" s="245">
        <f>$D14+$E14</f>
        <v/>
      </c>
      <c r="G14" s="245">
        <f>SUMIFS(GELIR_GIDER!$G$7:$G$1206,GELIR_GIDER!$D$7:$D$1206,"Gider",GELIR_GIDER!$C$7:$C$1206,"&gt;="&amp;$B14,GELIR_GIDER!$C$7:$C$1206,"&lt;"&amp;EDATE($B14,1),GELIR_GIDER!$I$7:$I$1206,"Evet")</f>
        <v/>
      </c>
      <c r="H14" s="245">
        <f>$C14+$E14-SUMIFS(GELIR_GIDER!$G$7:$G$1206,GELIR_GIDER!$D$7:$D$1206,"Gider",GELIR_GIDER!$C$7:$C$1206,"&gt;="&amp;$B14,GELIR_GIDER!$C$7:$C$1206,"&lt;"&amp;EDATE($B14,1))</f>
        <v/>
      </c>
      <c r="I14" s="245">
        <f>$F14-$G14</f>
        <v/>
      </c>
      <c r="J14" s="229">
        <f>IFERROR($D14/$C14,0)</f>
        <v/>
      </c>
      <c r="K14" s="245">
        <f>SISTEM!$C$13</f>
        <v/>
      </c>
      <c r="L14" s="245">
        <f>MAX(0,SUM($I$7:$I14)-$K14-SUM($P$7:$P14)-SUM($Q$7:$Q14))</f>
        <v/>
      </c>
      <c r="M14" s="245">
        <f>$L14*SISTEM!$C$11</f>
        <v/>
      </c>
      <c r="N14" s="245">
        <f>$L14*SISTEM!$C$12</f>
        <v/>
      </c>
      <c r="O14" s="108" t="n"/>
      <c r="P14" s="246" t="n"/>
      <c r="Q14" s="246" t="n"/>
      <c r="R14" s="245">
        <f>MAX(0,$L14-$P14-$Q14)</f>
        <v/>
      </c>
      <c r="S14" s="113">
        <f>IF($B14&gt;=DATE(YEAR(TODAY()),MONTH(TODAY()),1),"AÇIK",IF(COUNTIFS(SISTEM!$C$23:$C$55,"KRİTİK",SISTEM!$F$23:$F$55,"KALDI")&gt;0,"KAPATILAMAZ",IF(COUNTIF(SISTEM!$F$23:$F$55,"KALDI")=0,"KAPANABİLİR","UYARI VAR – KAPATILABİLİR")))</f>
        <v/>
      </c>
      <c r="T14" s="113">
        <f>IF(ABS($L14-$M14-$N14)&lt;0.01,IF(AND($O14="Evet",ABS($R14)&lt;0.01),"KAPANDI","AÇIK"),"PAY HATASI")</f>
        <v/>
      </c>
      <c r="U14" s="6" t="n"/>
      <c r="V14" s="6" t="n"/>
    </row>
    <row r="15">
      <c r="A15" s="6" t="n"/>
      <c r="B15" s="226" t="n">
        <v>46266</v>
      </c>
      <c r="C15" s="245">
        <f>SUMPRODUCT(IF(UCRETLER!$G$7:$G$406="",0,UCRETLER!$G$7:$G$406)*(UCRETLER!$F$7:$F$406="Haftalık")*IF(UCRETLER!$C$7:$C$406="",0,IF(IF(IF(UCRETLER!$E$7:$E$406="",999999,UCRETLER!$E$7:$E$406)&gt;EOMONTH($B15,0),EOMONTH($B15,0)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15,0),EOMONTH($B15,0)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15-1,$B15-1,IF(UCRETLER!$E$7:$E$406="",999999,UCRETLER!$E$7:$E$406))&lt;(IF(UCRETLER!$D$7:$D$406="",999999,UCRETLER!$D$7:$D$406)+MOD(SISTEM!$F$8-WEEKDAY(IF(UCRETLER!$D$7:$D$406="",999999,UCRETLER!$D$7:$D$406),2),7)),0,INT((IF(IF(UCRETLER!$E$7:$E$406="",999999,UCRETLER!$E$7:$E$406)&gt;$B15-1,$B15-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15,0)&gt;=IF(UCRETLER!$D$7:$D$406="",999999,UCRETLER!$D$7:$D$406))*(EOMONTH($B15,0)&lt;=IF(UCRETLER!$E$7:$E$406="",999999,UCRETLER!$E$7:$E$406)))+SUMIFS(GELIR_GIDER!$G$7:$G$1206,GELIR_GIDER!$V$7:$V$1206,1,GELIR_GIDER!$C$7:$C$1206,"&gt;="&amp;$B15,GELIR_GIDER!$C$7:$C$1206,"&lt;"&amp;EDATE($B15,1))</f>
        <v/>
      </c>
      <c r="D15" s="245">
        <f>SUMIFS(TAHSILAT!$F$7:$F$1506,TAHSILAT!$E$7:$E$1506,"&gt;="&amp;$B15,TAHSILAT!$E$7:$E$1506,"&lt;"&amp;EDATE($B15,1),TAHSILAT!$H$7:$H$1506,"&lt;&gt;Mahsup")</f>
        <v/>
      </c>
      <c r="E15" s="245">
        <f>SUMIFS(GELIR_GIDER!$G$7:$G$1206,GELIR_GIDER!$D$7:$D$1206,"Gelir",GELIR_GIDER!$C$7:$C$1206,"&gt;="&amp;$B15,GELIR_GIDER!$C$7:$C$1206,"&lt;"&amp;EDATE($B15,1),GELIR_GIDER!$I$7:$I$1206,"Evet")</f>
        <v/>
      </c>
      <c r="F15" s="245">
        <f>$D15+$E15</f>
        <v/>
      </c>
      <c r="G15" s="245">
        <f>SUMIFS(GELIR_GIDER!$G$7:$G$1206,GELIR_GIDER!$D$7:$D$1206,"Gider",GELIR_GIDER!$C$7:$C$1206,"&gt;="&amp;$B15,GELIR_GIDER!$C$7:$C$1206,"&lt;"&amp;EDATE($B15,1),GELIR_GIDER!$I$7:$I$1206,"Evet")</f>
        <v/>
      </c>
      <c r="H15" s="245">
        <f>$C15+$E15-SUMIFS(GELIR_GIDER!$G$7:$G$1206,GELIR_GIDER!$D$7:$D$1206,"Gider",GELIR_GIDER!$C$7:$C$1206,"&gt;="&amp;$B15,GELIR_GIDER!$C$7:$C$1206,"&lt;"&amp;EDATE($B15,1))</f>
        <v/>
      </c>
      <c r="I15" s="245">
        <f>$F15-$G15</f>
        <v/>
      </c>
      <c r="J15" s="229">
        <f>IFERROR($D15/$C15,0)</f>
        <v/>
      </c>
      <c r="K15" s="245">
        <f>SISTEM!$C$13</f>
        <v/>
      </c>
      <c r="L15" s="245">
        <f>MAX(0,SUM($I$7:$I15)-$K15-SUM($P$7:$P15)-SUM($Q$7:$Q15))</f>
        <v/>
      </c>
      <c r="M15" s="245">
        <f>$L15*SISTEM!$C$11</f>
        <v/>
      </c>
      <c r="N15" s="245">
        <f>$L15*SISTEM!$C$12</f>
        <v/>
      </c>
      <c r="O15" s="108" t="n"/>
      <c r="P15" s="246" t="n"/>
      <c r="Q15" s="246" t="n"/>
      <c r="R15" s="245">
        <f>MAX(0,$L15-$P15-$Q15)</f>
        <v/>
      </c>
      <c r="S15" s="113">
        <f>IF($B15&gt;=DATE(YEAR(TODAY()),MONTH(TODAY()),1),"AÇIK",IF(COUNTIFS(SISTEM!$C$23:$C$55,"KRİTİK",SISTEM!$F$23:$F$55,"KALDI")&gt;0,"KAPATILAMAZ",IF(COUNTIF(SISTEM!$F$23:$F$55,"KALDI")=0,"KAPANABİLİR","UYARI VAR – KAPATILABİLİR")))</f>
        <v/>
      </c>
      <c r="T15" s="113">
        <f>IF(ABS($L15-$M15-$N15)&lt;0.01,IF(AND($O15="Evet",ABS($R15)&lt;0.01),"KAPANDI","AÇIK"),"PAY HATASI")</f>
        <v/>
      </c>
      <c r="U15" s="6" t="n"/>
      <c r="V15" s="6" t="n"/>
    </row>
    <row r="16">
      <c r="A16" s="6" t="n"/>
      <c r="B16" s="226" t="n">
        <v>46296</v>
      </c>
      <c r="C16" s="245">
        <f>SUMPRODUCT(IF(UCRETLER!$G$7:$G$406="",0,UCRETLER!$G$7:$G$406)*(UCRETLER!$F$7:$F$406="Haftalık")*IF(UCRETLER!$C$7:$C$406="",0,IF(IF(IF(UCRETLER!$E$7:$E$406="",999999,UCRETLER!$E$7:$E$406)&gt;EOMONTH($B16,0),EOMONTH($B16,0)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16,0),EOMONTH($B16,0)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16-1,$B16-1,IF(UCRETLER!$E$7:$E$406="",999999,UCRETLER!$E$7:$E$406))&lt;(IF(UCRETLER!$D$7:$D$406="",999999,UCRETLER!$D$7:$D$406)+MOD(SISTEM!$F$8-WEEKDAY(IF(UCRETLER!$D$7:$D$406="",999999,UCRETLER!$D$7:$D$406),2),7)),0,INT((IF(IF(UCRETLER!$E$7:$E$406="",999999,UCRETLER!$E$7:$E$406)&gt;$B16-1,$B16-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16,0)&gt;=IF(UCRETLER!$D$7:$D$406="",999999,UCRETLER!$D$7:$D$406))*(EOMONTH($B16,0)&lt;=IF(UCRETLER!$E$7:$E$406="",999999,UCRETLER!$E$7:$E$406)))+SUMIFS(GELIR_GIDER!$G$7:$G$1206,GELIR_GIDER!$V$7:$V$1206,1,GELIR_GIDER!$C$7:$C$1206,"&gt;="&amp;$B16,GELIR_GIDER!$C$7:$C$1206,"&lt;"&amp;EDATE($B16,1))</f>
        <v/>
      </c>
      <c r="D16" s="245">
        <f>SUMIFS(TAHSILAT!$F$7:$F$1506,TAHSILAT!$E$7:$E$1506,"&gt;="&amp;$B16,TAHSILAT!$E$7:$E$1506,"&lt;"&amp;EDATE($B16,1),TAHSILAT!$H$7:$H$1506,"&lt;&gt;Mahsup")</f>
        <v/>
      </c>
      <c r="E16" s="245">
        <f>SUMIFS(GELIR_GIDER!$G$7:$G$1206,GELIR_GIDER!$D$7:$D$1206,"Gelir",GELIR_GIDER!$C$7:$C$1206,"&gt;="&amp;$B16,GELIR_GIDER!$C$7:$C$1206,"&lt;"&amp;EDATE($B16,1),GELIR_GIDER!$I$7:$I$1206,"Evet")</f>
        <v/>
      </c>
      <c r="F16" s="245">
        <f>$D16+$E16</f>
        <v/>
      </c>
      <c r="G16" s="245">
        <f>SUMIFS(GELIR_GIDER!$G$7:$G$1206,GELIR_GIDER!$D$7:$D$1206,"Gider",GELIR_GIDER!$C$7:$C$1206,"&gt;="&amp;$B16,GELIR_GIDER!$C$7:$C$1206,"&lt;"&amp;EDATE($B16,1),GELIR_GIDER!$I$7:$I$1206,"Evet")</f>
        <v/>
      </c>
      <c r="H16" s="245">
        <f>$C16+$E16-SUMIFS(GELIR_GIDER!$G$7:$G$1206,GELIR_GIDER!$D$7:$D$1206,"Gider",GELIR_GIDER!$C$7:$C$1206,"&gt;="&amp;$B16,GELIR_GIDER!$C$7:$C$1206,"&lt;"&amp;EDATE($B16,1))</f>
        <v/>
      </c>
      <c r="I16" s="245">
        <f>$F16-$G16</f>
        <v/>
      </c>
      <c r="J16" s="229">
        <f>IFERROR($D16/$C16,0)</f>
        <v/>
      </c>
      <c r="K16" s="245">
        <f>SISTEM!$C$13</f>
        <v/>
      </c>
      <c r="L16" s="245">
        <f>MAX(0,SUM($I$7:$I16)-$K16-SUM($P$7:$P16)-SUM($Q$7:$Q16))</f>
        <v/>
      </c>
      <c r="M16" s="245">
        <f>$L16*SISTEM!$C$11</f>
        <v/>
      </c>
      <c r="N16" s="245">
        <f>$L16*SISTEM!$C$12</f>
        <v/>
      </c>
      <c r="O16" s="108" t="n"/>
      <c r="P16" s="246" t="n"/>
      <c r="Q16" s="246" t="n"/>
      <c r="R16" s="245">
        <f>MAX(0,$L16-$P16-$Q16)</f>
        <v/>
      </c>
      <c r="S16" s="113">
        <f>IF($B16&gt;=DATE(YEAR(TODAY()),MONTH(TODAY()),1),"AÇIK",IF(COUNTIFS(SISTEM!$C$23:$C$55,"KRİTİK",SISTEM!$F$23:$F$55,"KALDI")&gt;0,"KAPATILAMAZ",IF(COUNTIF(SISTEM!$F$23:$F$55,"KALDI")=0,"KAPANABİLİR","UYARI VAR – KAPATILABİLİR")))</f>
        <v/>
      </c>
      <c r="T16" s="113">
        <f>IF(ABS($L16-$M16-$N16)&lt;0.01,IF(AND($O16="Evet",ABS($R16)&lt;0.01),"KAPANDI","AÇIK"),"PAY HATASI")</f>
        <v/>
      </c>
      <c r="U16" s="6" t="n"/>
      <c r="V16" s="6" t="n"/>
    </row>
    <row r="17">
      <c r="A17" s="6" t="n"/>
      <c r="B17" s="226" t="n">
        <v>46327</v>
      </c>
      <c r="C17" s="245">
        <f>SUMPRODUCT(IF(UCRETLER!$G$7:$G$406="",0,UCRETLER!$G$7:$G$406)*(UCRETLER!$F$7:$F$406="Haftalık")*IF(UCRETLER!$C$7:$C$406="",0,IF(IF(IF(UCRETLER!$E$7:$E$406="",999999,UCRETLER!$E$7:$E$406)&gt;EOMONTH($B17,0),EOMONTH($B17,0)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17,0),EOMONTH($B17,0)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17-1,$B17-1,IF(UCRETLER!$E$7:$E$406="",999999,UCRETLER!$E$7:$E$406))&lt;(IF(UCRETLER!$D$7:$D$406="",999999,UCRETLER!$D$7:$D$406)+MOD(SISTEM!$F$8-WEEKDAY(IF(UCRETLER!$D$7:$D$406="",999999,UCRETLER!$D$7:$D$406),2),7)),0,INT((IF(IF(UCRETLER!$E$7:$E$406="",999999,UCRETLER!$E$7:$E$406)&gt;$B17-1,$B17-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17,0)&gt;=IF(UCRETLER!$D$7:$D$406="",999999,UCRETLER!$D$7:$D$406))*(EOMONTH($B17,0)&lt;=IF(UCRETLER!$E$7:$E$406="",999999,UCRETLER!$E$7:$E$406)))+SUMIFS(GELIR_GIDER!$G$7:$G$1206,GELIR_GIDER!$V$7:$V$1206,1,GELIR_GIDER!$C$7:$C$1206,"&gt;="&amp;$B17,GELIR_GIDER!$C$7:$C$1206,"&lt;"&amp;EDATE($B17,1))</f>
        <v/>
      </c>
      <c r="D17" s="245">
        <f>SUMIFS(TAHSILAT!$F$7:$F$1506,TAHSILAT!$E$7:$E$1506,"&gt;="&amp;$B17,TAHSILAT!$E$7:$E$1506,"&lt;"&amp;EDATE($B17,1),TAHSILAT!$H$7:$H$1506,"&lt;&gt;Mahsup")</f>
        <v/>
      </c>
      <c r="E17" s="245">
        <f>SUMIFS(GELIR_GIDER!$G$7:$G$1206,GELIR_GIDER!$D$7:$D$1206,"Gelir",GELIR_GIDER!$C$7:$C$1206,"&gt;="&amp;$B17,GELIR_GIDER!$C$7:$C$1206,"&lt;"&amp;EDATE($B17,1),GELIR_GIDER!$I$7:$I$1206,"Evet")</f>
        <v/>
      </c>
      <c r="F17" s="245">
        <f>$D17+$E17</f>
        <v/>
      </c>
      <c r="G17" s="245">
        <f>SUMIFS(GELIR_GIDER!$G$7:$G$1206,GELIR_GIDER!$D$7:$D$1206,"Gider",GELIR_GIDER!$C$7:$C$1206,"&gt;="&amp;$B17,GELIR_GIDER!$C$7:$C$1206,"&lt;"&amp;EDATE($B17,1),GELIR_GIDER!$I$7:$I$1206,"Evet")</f>
        <v/>
      </c>
      <c r="H17" s="245">
        <f>$C17+$E17-SUMIFS(GELIR_GIDER!$G$7:$G$1206,GELIR_GIDER!$D$7:$D$1206,"Gider",GELIR_GIDER!$C$7:$C$1206,"&gt;="&amp;$B17,GELIR_GIDER!$C$7:$C$1206,"&lt;"&amp;EDATE($B17,1))</f>
        <v/>
      </c>
      <c r="I17" s="245">
        <f>$F17-$G17</f>
        <v/>
      </c>
      <c r="J17" s="229">
        <f>IFERROR($D17/$C17,0)</f>
        <v/>
      </c>
      <c r="K17" s="245">
        <f>SISTEM!$C$13</f>
        <v/>
      </c>
      <c r="L17" s="245">
        <f>MAX(0,SUM($I$7:$I17)-$K17-SUM($P$7:$P17)-SUM($Q$7:$Q17))</f>
        <v/>
      </c>
      <c r="M17" s="245">
        <f>$L17*SISTEM!$C$11</f>
        <v/>
      </c>
      <c r="N17" s="245">
        <f>$L17*SISTEM!$C$12</f>
        <v/>
      </c>
      <c r="O17" s="108" t="n"/>
      <c r="P17" s="246" t="n"/>
      <c r="Q17" s="246" t="n"/>
      <c r="R17" s="245">
        <f>MAX(0,$L17-$P17-$Q17)</f>
        <v/>
      </c>
      <c r="S17" s="113">
        <f>IF($B17&gt;=DATE(YEAR(TODAY()),MONTH(TODAY()),1),"AÇIK",IF(COUNTIFS(SISTEM!$C$23:$C$55,"KRİTİK",SISTEM!$F$23:$F$55,"KALDI")&gt;0,"KAPATILAMAZ",IF(COUNTIF(SISTEM!$F$23:$F$55,"KALDI")=0,"KAPANABİLİR","UYARI VAR – KAPATILABİLİR")))</f>
        <v/>
      </c>
      <c r="T17" s="113">
        <f>IF(ABS($L17-$M17-$N17)&lt;0.01,IF(AND($O17="Evet",ABS($R17)&lt;0.01),"KAPANDI","AÇIK"),"PAY HATASI")</f>
        <v/>
      </c>
      <c r="U17" s="6" t="n"/>
      <c r="V17" s="6" t="n"/>
    </row>
    <row r="18">
      <c r="A18" s="6" t="n"/>
      <c r="B18" s="226" t="n">
        <v>46357</v>
      </c>
      <c r="C18" s="245">
        <f>SUMPRODUCT(IF(UCRETLER!$G$7:$G$406="",0,UCRETLER!$G$7:$G$406)*(UCRETLER!$F$7:$F$406="Haftalık")*IF(UCRETLER!$C$7:$C$406="",0,IF(IF(IF(UCRETLER!$E$7:$E$406="",999999,UCRETLER!$E$7:$E$406)&gt;EOMONTH($B18,0),EOMONTH($B18,0)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18,0),EOMONTH($B18,0)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18-1,$B18-1,IF(UCRETLER!$E$7:$E$406="",999999,UCRETLER!$E$7:$E$406))&lt;(IF(UCRETLER!$D$7:$D$406="",999999,UCRETLER!$D$7:$D$406)+MOD(SISTEM!$F$8-WEEKDAY(IF(UCRETLER!$D$7:$D$406="",999999,UCRETLER!$D$7:$D$406),2),7)),0,INT((IF(IF(UCRETLER!$E$7:$E$406="",999999,UCRETLER!$E$7:$E$406)&gt;$B18-1,$B18-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18,0)&gt;=IF(UCRETLER!$D$7:$D$406="",999999,UCRETLER!$D$7:$D$406))*(EOMONTH($B18,0)&lt;=IF(UCRETLER!$E$7:$E$406="",999999,UCRETLER!$E$7:$E$406)))+SUMIFS(GELIR_GIDER!$G$7:$G$1206,GELIR_GIDER!$V$7:$V$1206,1,GELIR_GIDER!$C$7:$C$1206,"&gt;="&amp;$B18,GELIR_GIDER!$C$7:$C$1206,"&lt;"&amp;EDATE($B18,1))</f>
        <v/>
      </c>
      <c r="D18" s="245">
        <f>SUMIFS(TAHSILAT!$F$7:$F$1506,TAHSILAT!$E$7:$E$1506,"&gt;="&amp;$B18,TAHSILAT!$E$7:$E$1506,"&lt;"&amp;EDATE($B18,1),TAHSILAT!$H$7:$H$1506,"&lt;&gt;Mahsup")</f>
        <v/>
      </c>
      <c r="E18" s="245">
        <f>SUMIFS(GELIR_GIDER!$G$7:$G$1206,GELIR_GIDER!$D$7:$D$1206,"Gelir",GELIR_GIDER!$C$7:$C$1206,"&gt;="&amp;$B18,GELIR_GIDER!$C$7:$C$1206,"&lt;"&amp;EDATE($B18,1),GELIR_GIDER!$I$7:$I$1206,"Evet")</f>
        <v/>
      </c>
      <c r="F18" s="245">
        <f>$D18+$E18</f>
        <v/>
      </c>
      <c r="G18" s="245">
        <f>SUMIFS(GELIR_GIDER!$G$7:$G$1206,GELIR_GIDER!$D$7:$D$1206,"Gider",GELIR_GIDER!$C$7:$C$1206,"&gt;="&amp;$B18,GELIR_GIDER!$C$7:$C$1206,"&lt;"&amp;EDATE($B18,1),GELIR_GIDER!$I$7:$I$1206,"Evet")</f>
        <v/>
      </c>
      <c r="H18" s="245">
        <f>$C18+$E18-SUMIFS(GELIR_GIDER!$G$7:$G$1206,GELIR_GIDER!$D$7:$D$1206,"Gider",GELIR_GIDER!$C$7:$C$1206,"&gt;="&amp;$B18,GELIR_GIDER!$C$7:$C$1206,"&lt;"&amp;EDATE($B18,1))</f>
        <v/>
      </c>
      <c r="I18" s="245">
        <f>$F18-$G18</f>
        <v/>
      </c>
      <c r="J18" s="229">
        <f>IFERROR($D18/$C18,0)</f>
        <v/>
      </c>
      <c r="K18" s="245">
        <f>SISTEM!$C$13</f>
        <v/>
      </c>
      <c r="L18" s="245">
        <f>MAX(0,SUM($I$7:$I18)-$K18-SUM($P$7:$P18)-SUM($Q$7:$Q18))</f>
        <v/>
      </c>
      <c r="M18" s="245">
        <f>$L18*SISTEM!$C$11</f>
        <v/>
      </c>
      <c r="N18" s="245">
        <f>$L18*SISTEM!$C$12</f>
        <v/>
      </c>
      <c r="O18" s="108" t="n"/>
      <c r="P18" s="246" t="n"/>
      <c r="Q18" s="246" t="n"/>
      <c r="R18" s="245">
        <f>MAX(0,$L18-$P18-$Q18)</f>
        <v/>
      </c>
      <c r="S18" s="113">
        <f>IF($B18&gt;=DATE(YEAR(TODAY()),MONTH(TODAY()),1),"AÇIK",IF(COUNTIFS(SISTEM!$C$23:$C$55,"KRİTİK",SISTEM!$F$23:$F$55,"KALDI")&gt;0,"KAPATILAMAZ",IF(COUNTIF(SISTEM!$F$23:$F$55,"KALDI")=0,"KAPANABİLİR","UYARI VAR – KAPATILABİLİR")))</f>
        <v/>
      </c>
      <c r="T18" s="113">
        <f>IF(ABS($L18-$M18-$N18)&lt;0.01,IF(AND($O18="Evet",ABS($R18)&lt;0.01),"KAPANDI","AÇIK"),"PAY HATASI")</f>
        <v/>
      </c>
      <c r="U18" s="6" t="n"/>
      <c r="V18" s="6" t="n"/>
    </row>
    <row r="19">
      <c r="A19" s="6" t="n"/>
      <c r="B19" s="226" t="n">
        <v>46388</v>
      </c>
      <c r="C19" s="245">
        <f>SUMPRODUCT(IF(UCRETLER!$G$7:$G$406="",0,UCRETLER!$G$7:$G$406)*(UCRETLER!$F$7:$F$406="Haftalık")*IF(UCRETLER!$C$7:$C$406="",0,IF(IF(IF(UCRETLER!$E$7:$E$406="",999999,UCRETLER!$E$7:$E$406)&gt;EOMONTH($B19,0),EOMONTH($B19,0)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19,0),EOMONTH($B19,0)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19-1,$B19-1,IF(UCRETLER!$E$7:$E$406="",999999,UCRETLER!$E$7:$E$406))&lt;(IF(UCRETLER!$D$7:$D$406="",999999,UCRETLER!$D$7:$D$406)+MOD(SISTEM!$F$8-WEEKDAY(IF(UCRETLER!$D$7:$D$406="",999999,UCRETLER!$D$7:$D$406),2),7)),0,INT((IF(IF(UCRETLER!$E$7:$E$406="",999999,UCRETLER!$E$7:$E$406)&gt;$B19-1,$B19-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19,0)&gt;=IF(UCRETLER!$D$7:$D$406="",999999,UCRETLER!$D$7:$D$406))*(EOMONTH($B19,0)&lt;=IF(UCRETLER!$E$7:$E$406="",999999,UCRETLER!$E$7:$E$406)))+SUMIFS(GELIR_GIDER!$G$7:$G$1206,GELIR_GIDER!$V$7:$V$1206,1,GELIR_GIDER!$C$7:$C$1206,"&gt;="&amp;$B19,GELIR_GIDER!$C$7:$C$1206,"&lt;"&amp;EDATE($B19,1))</f>
        <v/>
      </c>
      <c r="D19" s="245">
        <f>SUMIFS(TAHSILAT!$F$7:$F$1506,TAHSILAT!$E$7:$E$1506,"&gt;="&amp;$B19,TAHSILAT!$E$7:$E$1506,"&lt;"&amp;EDATE($B19,1),TAHSILAT!$H$7:$H$1506,"&lt;&gt;Mahsup")</f>
        <v/>
      </c>
      <c r="E19" s="245">
        <f>SUMIFS(GELIR_GIDER!$G$7:$G$1206,GELIR_GIDER!$D$7:$D$1206,"Gelir",GELIR_GIDER!$C$7:$C$1206,"&gt;="&amp;$B19,GELIR_GIDER!$C$7:$C$1206,"&lt;"&amp;EDATE($B19,1),GELIR_GIDER!$I$7:$I$1206,"Evet")</f>
        <v/>
      </c>
      <c r="F19" s="245">
        <f>$D19+$E19</f>
        <v/>
      </c>
      <c r="G19" s="245">
        <f>SUMIFS(GELIR_GIDER!$G$7:$G$1206,GELIR_GIDER!$D$7:$D$1206,"Gider",GELIR_GIDER!$C$7:$C$1206,"&gt;="&amp;$B19,GELIR_GIDER!$C$7:$C$1206,"&lt;"&amp;EDATE($B19,1),GELIR_GIDER!$I$7:$I$1206,"Evet")</f>
        <v/>
      </c>
      <c r="H19" s="245">
        <f>$C19+$E19-SUMIFS(GELIR_GIDER!$G$7:$G$1206,GELIR_GIDER!$D$7:$D$1206,"Gider",GELIR_GIDER!$C$7:$C$1206,"&gt;="&amp;$B19,GELIR_GIDER!$C$7:$C$1206,"&lt;"&amp;EDATE($B19,1))</f>
        <v/>
      </c>
      <c r="I19" s="245">
        <f>$F19-$G19</f>
        <v/>
      </c>
      <c r="J19" s="229">
        <f>IFERROR($D19/$C19,0)</f>
        <v/>
      </c>
      <c r="K19" s="245">
        <f>SISTEM!$C$13</f>
        <v/>
      </c>
      <c r="L19" s="245">
        <f>MAX(0,SUM($I$7:$I19)-$K19-SUM($P$7:$P19)-SUM($Q$7:$Q19))</f>
        <v/>
      </c>
      <c r="M19" s="245">
        <f>$L19*SISTEM!$C$11</f>
        <v/>
      </c>
      <c r="N19" s="245">
        <f>$L19*SISTEM!$C$12</f>
        <v/>
      </c>
      <c r="O19" s="108" t="n"/>
      <c r="P19" s="246" t="n"/>
      <c r="Q19" s="246" t="n"/>
      <c r="R19" s="245">
        <f>MAX(0,$L19-$P19-$Q19)</f>
        <v/>
      </c>
      <c r="S19" s="113">
        <f>IF($B19&gt;=DATE(YEAR(TODAY()),MONTH(TODAY()),1),"AÇIK",IF(COUNTIFS(SISTEM!$C$23:$C$55,"KRİTİK",SISTEM!$F$23:$F$55,"KALDI")&gt;0,"KAPATILAMAZ",IF(COUNTIF(SISTEM!$F$23:$F$55,"KALDI")=0,"KAPANABİLİR","UYARI VAR – KAPATILABİLİR")))</f>
        <v/>
      </c>
      <c r="T19" s="113">
        <f>IF(ABS($L19-$M19-$N19)&lt;0.01,IF(AND($O19="Evet",ABS($R19)&lt;0.01),"KAPANDI","AÇIK"),"PAY HATASI")</f>
        <v/>
      </c>
      <c r="U19" s="6" t="n"/>
      <c r="V19" s="6" t="n"/>
    </row>
    <row r="20">
      <c r="A20" s="6" t="n"/>
      <c r="B20" s="226" t="n">
        <v>46419</v>
      </c>
      <c r="C20" s="245">
        <f>SUMPRODUCT(IF(UCRETLER!$G$7:$G$406="",0,UCRETLER!$G$7:$G$406)*(UCRETLER!$F$7:$F$406="Haftalık")*IF(UCRETLER!$C$7:$C$406="",0,IF(IF(IF(UCRETLER!$E$7:$E$406="",999999,UCRETLER!$E$7:$E$406)&gt;EOMONTH($B20,0),EOMONTH($B20,0)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20,0),EOMONTH($B20,0)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20-1,$B20-1,IF(UCRETLER!$E$7:$E$406="",999999,UCRETLER!$E$7:$E$406))&lt;(IF(UCRETLER!$D$7:$D$406="",999999,UCRETLER!$D$7:$D$406)+MOD(SISTEM!$F$8-WEEKDAY(IF(UCRETLER!$D$7:$D$406="",999999,UCRETLER!$D$7:$D$406),2),7)),0,INT((IF(IF(UCRETLER!$E$7:$E$406="",999999,UCRETLER!$E$7:$E$406)&gt;$B20-1,$B20-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20,0)&gt;=IF(UCRETLER!$D$7:$D$406="",999999,UCRETLER!$D$7:$D$406))*(EOMONTH($B20,0)&lt;=IF(UCRETLER!$E$7:$E$406="",999999,UCRETLER!$E$7:$E$406)))+SUMIFS(GELIR_GIDER!$G$7:$G$1206,GELIR_GIDER!$V$7:$V$1206,1,GELIR_GIDER!$C$7:$C$1206,"&gt;="&amp;$B20,GELIR_GIDER!$C$7:$C$1206,"&lt;"&amp;EDATE($B20,1))</f>
        <v/>
      </c>
      <c r="D20" s="245">
        <f>SUMIFS(TAHSILAT!$F$7:$F$1506,TAHSILAT!$E$7:$E$1506,"&gt;="&amp;$B20,TAHSILAT!$E$7:$E$1506,"&lt;"&amp;EDATE($B20,1),TAHSILAT!$H$7:$H$1506,"&lt;&gt;Mahsup")</f>
        <v/>
      </c>
      <c r="E20" s="245">
        <f>SUMIFS(GELIR_GIDER!$G$7:$G$1206,GELIR_GIDER!$D$7:$D$1206,"Gelir",GELIR_GIDER!$C$7:$C$1206,"&gt;="&amp;$B20,GELIR_GIDER!$C$7:$C$1206,"&lt;"&amp;EDATE($B20,1),GELIR_GIDER!$I$7:$I$1206,"Evet")</f>
        <v/>
      </c>
      <c r="F20" s="245">
        <f>$D20+$E20</f>
        <v/>
      </c>
      <c r="G20" s="245">
        <f>SUMIFS(GELIR_GIDER!$G$7:$G$1206,GELIR_GIDER!$D$7:$D$1206,"Gider",GELIR_GIDER!$C$7:$C$1206,"&gt;="&amp;$B20,GELIR_GIDER!$C$7:$C$1206,"&lt;"&amp;EDATE($B20,1),GELIR_GIDER!$I$7:$I$1206,"Evet")</f>
        <v/>
      </c>
      <c r="H20" s="245">
        <f>$C20+$E20-SUMIFS(GELIR_GIDER!$G$7:$G$1206,GELIR_GIDER!$D$7:$D$1206,"Gider",GELIR_GIDER!$C$7:$C$1206,"&gt;="&amp;$B20,GELIR_GIDER!$C$7:$C$1206,"&lt;"&amp;EDATE($B20,1))</f>
        <v/>
      </c>
      <c r="I20" s="245">
        <f>$F20-$G20</f>
        <v/>
      </c>
      <c r="J20" s="229">
        <f>IFERROR($D20/$C20,0)</f>
        <v/>
      </c>
      <c r="K20" s="245">
        <f>SISTEM!$C$13</f>
        <v/>
      </c>
      <c r="L20" s="245">
        <f>MAX(0,SUM($I$7:$I20)-$K20-SUM($P$7:$P20)-SUM($Q$7:$Q20))</f>
        <v/>
      </c>
      <c r="M20" s="245">
        <f>$L20*SISTEM!$C$11</f>
        <v/>
      </c>
      <c r="N20" s="245">
        <f>$L20*SISTEM!$C$12</f>
        <v/>
      </c>
      <c r="O20" s="108" t="n"/>
      <c r="P20" s="246" t="n"/>
      <c r="Q20" s="246" t="n"/>
      <c r="R20" s="245">
        <f>MAX(0,$L20-$P20-$Q20)</f>
        <v/>
      </c>
      <c r="S20" s="113">
        <f>IF($B20&gt;=DATE(YEAR(TODAY()),MONTH(TODAY()),1),"AÇIK",IF(COUNTIFS(SISTEM!$C$23:$C$55,"KRİTİK",SISTEM!$F$23:$F$55,"KALDI")&gt;0,"KAPATILAMAZ",IF(COUNTIF(SISTEM!$F$23:$F$55,"KALDI")=0,"KAPANABİLİR","UYARI VAR – KAPATILABİLİR")))</f>
        <v/>
      </c>
      <c r="T20" s="113">
        <f>IF(ABS($L20-$M20-$N20)&lt;0.01,IF(AND($O20="Evet",ABS($R20)&lt;0.01),"KAPANDI","AÇIK"),"PAY HATASI")</f>
        <v/>
      </c>
      <c r="U20" s="6" t="n"/>
      <c r="V20" s="6" t="n"/>
    </row>
    <row r="21">
      <c r="A21" s="6" t="n"/>
      <c r="B21" s="226" t="n">
        <v>46447</v>
      </c>
      <c r="C21" s="245">
        <f>SUMPRODUCT(IF(UCRETLER!$G$7:$G$406="",0,UCRETLER!$G$7:$G$406)*(UCRETLER!$F$7:$F$406="Haftalık")*IF(UCRETLER!$C$7:$C$406="",0,IF(IF(IF(UCRETLER!$E$7:$E$406="",999999,UCRETLER!$E$7:$E$406)&gt;EOMONTH($B21,0),EOMONTH($B21,0)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21,0),EOMONTH($B21,0)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21-1,$B21-1,IF(UCRETLER!$E$7:$E$406="",999999,UCRETLER!$E$7:$E$406))&lt;(IF(UCRETLER!$D$7:$D$406="",999999,UCRETLER!$D$7:$D$406)+MOD(SISTEM!$F$8-WEEKDAY(IF(UCRETLER!$D$7:$D$406="",999999,UCRETLER!$D$7:$D$406),2),7)),0,INT((IF(IF(UCRETLER!$E$7:$E$406="",999999,UCRETLER!$E$7:$E$406)&gt;$B21-1,$B21-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21,0)&gt;=IF(UCRETLER!$D$7:$D$406="",999999,UCRETLER!$D$7:$D$406))*(EOMONTH($B21,0)&lt;=IF(UCRETLER!$E$7:$E$406="",999999,UCRETLER!$E$7:$E$406)))+SUMIFS(GELIR_GIDER!$G$7:$G$1206,GELIR_GIDER!$V$7:$V$1206,1,GELIR_GIDER!$C$7:$C$1206,"&gt;="&amp;$B21,GELIR_GIDER!$C$7:$C$1206,"&lt;"&amp;EDATE($B21,1))</f>
        <v/>
      </c>
      <c r="D21" s="245">
        <f>SUMIFS(TAHSILAT!$F$7:$F$1506,TAHSILAT!$E$7:$E$1506,"&gt;="&amp;$B21,TAHSILAT!$E$7:$E$1506,"&lt;"&amp;EDATE($B21,1),TAHSILAT!$H$7:$H$1506,"&lt;&gt;Mahsup")</f>
        <v/>
      </c>
      <c r="E21" s="245">
        <f>SUMIFS(GELIR_GIDER!$G$7:$G$1206,GELIR_GIDER!$D$7:$D$1206,"Gelir",GELIR_GIDER!$C$7:$C$1206,"&gt;="&amp;$B21,GELIR_GIDER!$C$7:$C$1206,"&lt;"&amp;EDATE($B21,1),GELIR_GIDER!$I$7:$I$1206,"Evet")</f>
        <v/>
      </c>
      <c r="F21" s="245">
        <f>$D21+$E21</f>
        <v/>
      </c>
      <c r="G21" s="245">
        <f>SUMIFS(GELIR_GIDER!$G$7:$G$1206,GELIR_GIDER!$D$7:$D$1206,"Gider",GELIR_GIDER!$C$7:$C$1206,"&gt;="&amp;$B21,GELIR_GIDER!$C$7:$C$1206,"&lt;"&amp;EDATE($B21,1),GELIR_GIDER!$I$7:$I$1206,"Evet")</f>
        <v/>
      </c>
      <c r="H21" s="245">
        <f>$C21+$E21-SUMIFS(GELIR_GIDER!$G$7:$G$1206,GELIR_GIDER!$D$7:$D$1206,"Gider",GELIR_GIDER!$C$7:$C$1206,"&gt;="&amp;$B21,GELIR_GIDER!$C$7:$C$1206,"&lt;"&amp;EDATE($B21,1))</f>
        <v/>
      </c>
      <c r="I21" s="245">
        <f>$F21-$G21</f>
        <v/>
      </c>
      <c r="J21" s="229">
        <f>IFERROR($D21/$C21,0)</f>
        <v/>
      </c>
      <c r="K21" s="245">
        <f>SISTEM!$C$13</f>
        <v/>
      </c>
      <c r="L21" s="245">
        <f>MAX(0,SUM($I$7:$I21)-$K21-SUM($P$7:$P21)-SUM($Q$7:$Q21))</f>
        <v/>
      </c>
      <c r="M21" s="245">
        <f>$L21*SISTEM!$C$11</f>
        <v/>
      </c>
      <c r="N21" s="245">
        <f>$L21*SISTEM!$C$12</f>
        <v/>
      </c>
      <c r="O21" s="108" t="n"/>
      <c r="P21" s="246" t="n"/>
      <c r="Q21" s="246" t="n"/>
      <c r="R21" s="245">
        <f>MAX(0,$L21-$P21-$Q21)</f>
        <v/>
      </c>
      <c r="S21" s="113">
        <f>IF($B21&gt;=DATE(YEAR(TODAY()),MONTH(TODAY()),1),"AÇIK",IF(COUNTIFS(SISTEM!$C$23:$C$55,"KRİTİK",SISTEM!$F$23:$F$55,"KALDI")&gt;0,"KAPATILAMAZ",IF(COUNTIF(SISTEM!$F$23:$F$55,"KALDI")=0,"KAPANABİLİR","UYARI VAR – KAPATILABİLİR")))</f>
        <v/>
      </c>
      <c r="T21" s="113">
        <f>IF(ABS($L21-$M21-$N21)&lt;0.01,IF(AND($O21="Evet",ABS($R21)&lt;0.01),"KAPANDI","AÇIK"),"PAY HATASI")</f>
        <v/>
      </c>
      <c r="U21" s="6" t="n"/>
      <c r="V21" s="6" t="n"/>
    </row>
    <row r="22">
      <c r="A22" s="6" t="n"/>
      <c r="B22" s="226" t="n">
        <v>46478</v>
      </c>
      <c r="C22" s="245">
        <f>SUMPRODUCT(IF(UCRETLER!$G$7:$G$406="",0,UCRETLER!$G$7:$G$406)*(UCRETLER!$F$7:$F$406="Haftalık")*IF(UCRETLER!$C$7:$C$406="",0,IF(IF(IF(UCRETLER!$E$7:$E$406="",999999,UCRETLER!$E$7:$E$406)&gt;EOMONTH($B22,0),EOMONTH($B22,0)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22,0),EOMONTH($B22,0)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22-1,$B22-1,IF(UCRETLER!$E$7:$E$406="",999999,UCRETLER!$E$7:$E$406))&lt;(IF(UCRETLER!$D$7:$D$406="",999999,UCRETLER!$D$7:$D$406)+MOD(SISTEM!$F$8-WEEKDAY(IF(UCRETLER!$D$7:$D$406="",999999,UCRETLER!$D$7:$D$406),2),7)),0,INT((IF(IF(UCRETLER!$E$7:$E$406="",999999,UCRETLER!$E$7:$E$406)&gt;$B22-1,$B22-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22,0)&gt;=IF(UCRETLER!$D$7:$D$406="",999999,UCRETLER!$D$7:$D$406))*(EOMONTH($B22,0)&lt;=IF(UCRETLER!$E$7:$E$406="",999999,UCRETLER!$E$7:$E$406)))+SUMIFS(GELIR_GIDER!$G$7:$G$1206,GELIR_GIDER!$V$7:$V$1206,1,GELIR_GIDER!$C$7:$C$1206,"&gt;="&amp;$B22,GELIR_GIDER!$C$7:$C$1206,"&lt;"&amp;EDATE($B22,1))</f>
        <v/>
      </c>
      <c r="D22" s="245">
        <f>SUMIFS(TAHSILAT!$F$7:$F$1506,TAHSILAT!$E$7:$E$1506,"&gt;="&amp;$B22,TAHSILAT!$E$7:$E$1506,"&lt;"&amp;EDATE($B22,1),TAHSILAT!$H$7:$H$1506,"&lt;&gt;Mahsup")</f>
        <v/>
      </c>
      <c r="E22" s="245">
        <f>SUMIFS(GELIR_GIDER!$G$7:$G$1206,GELIR_GIDER!$D$7:$D$1206,"Gelir",GELIR_GIDER!$C$7:$C$1206,"&gt;="&amp;$B22,GELIR_GIDER!$C$7:$C$1206,"&lt;"&amp;EDATE($B22,1),GELIR_GIDER!$I$7:$I$1206,"Evet")</f>
        <v/>
      </c>
      <c r="F22" s="245">
        <f>$D22+$E22</f>
        <v/>
      </c>
      <c r="G22" s="245">
        <f>SUMIFS(GELIR_GIDER!$G$7:$G$1206,GELIR_GIDER!$D$7:$D$1206,"Gider",GELIR_GIDER!$C$7:$C$1206,"&gt;="&amp;$B22,GELIR_GIDER!$C$7:$C$1206,"&lt;"&amp;EDATE($B22,1),GELIR_GIDER!$I$7:$I$1206,"Evet")</f>
        <v/>
      </c>
      <c r="H22" s="245">
        <f>$C22+$E22-SUMIFS(GELIR_GIDER!$G$7:$G$1206,GELIR_GIDER!$D$7:$D$1206,"Gider",GELIR_GIDER!$C$7:$C$1206,"&gt;="&amp;$B22,GELIR_GIDER!$C$7:$C$1206,"&lt;"&amp;EDATE($B22,1))</f>
        <v/>
      </c>
      <c r="I22" s="245">
        <f>$F22-$G22</f>
        <v/>
      </c>
      <c r="J22" s="229">
        <f>IFERROR($D22/$C22,0)</f>
        <v/>
      </c>
      <c r="K22" s="245">
        <f>SISTEM!$C$13</f>
        <v/>
      </c>
      <c r="L22" s="245">
        <f>MAX(0,SUM($I$7:$I22)-$K22-SUM($P$7:$P22)-SUM($Q$7:$Q22))</f>
        <v/>
      </c>
      <c r="M22" s="245">
        <f>$L22*SISTEM!$C$11</f>
        <v/>
      </c>
      <c r="N22" s="245">
        <f>$L22*SISTEM!$C$12</f>
        <v/>
      </c>
      <c r="O22" s="108" t="n"/>
      <c r="P22" s="246" t="n"/>
      <c r="Q22" s="246" t="n"/>
      <c r="R22" s="245">
        <f>MAX(0,$L22-$P22-$Q22)</f>
        <v/>
      </c>
      <c r="S22" s="113">
        <f>IF($B22&gt;=DATE(YEAR(TODAY()),MONTH(TODAY()),1),"AÇIK",IF(COUNTIFS(SISTEM!$C$23:$C$55,"KRİTİK",SISTEM!$F$23:$F$55,"KALDI")&gt;0,"KAPATILAMAZ",IF(COUNTIF(SISTEM!$F$23:$F$55,"KALDI")=0,"KAPANABİLİR","UYARI VAR – KAPATILABİLİR")))</f>
        <v/>
      </c>
      <c r="T22" s="113">
        <f>IF(ABS($L22-$M22-$N22)&lt;0.01,IF(AND($O22="Evet",ABS($R22)&lt;0.01),"KAPANDI","AÇIK"),"PAY HATASI")</f>
        <v/>
      </c>
      <c r="U22" s="6" t="n"/>
      <c r="V22" s="6" t="n"/>
    </row>
    <row r="23">
      <c r="A23" s="6" t="n"/>
      <c r="B23" s="226" t="n">
        <v>46508</v>
      </c>
      <c r="C23" s="245">
        <f>SUMPRODUCT(IF(UCRETLER!$G$7:$G$406="",0,UCRETLER!$G$7:$G$406)*(UCRETLER!$F$7:$F$406="Haftalık")*IF(UCRETLER!$C$7:$C$406="",0,IF(IF(IF(UCRETLER!$E$7:$E$406="",999999,UCRETLER!$E$7:$E$406)&gt;EOMONTH($B23,0),EOMONTH($B23,0)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23,0),EOMONTH($B23,0)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23-1,$B23-1,IF(UCRETLER!$E$7:$E$406="",999999,UCRETLER!$E$7:$E$406))&lt;(IF(UCRETLER!$D$7:$D$406="",999999,UCRETLER!$D$7:$D$406)+MOD(SISTEM!$F$8-WEEKDAY(IF(UCRETLER!$D$7:$D$406="",999999,UCRETLER!$D$7:$D$406),2),7)),0,INT((IF(IF(UCRETLER!$E$7:$E$406="",999999,UCRETLER!$E$7:$E$406)&gt;$B23-1,$B23-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23,0)&gt;=IF(UCRETLER!$D$7:$D$406="",999999,UCRETLER!$D$7:$D$406))*(EOMONTH($B23,0)&lt;=IF(UCRETLER!$E$7:$E$406="",999999,UCRETLER!$E$7:$E$406)))+SUMIFS(GELIR_GIDER!$G$7:$G$1206,GELIR_GIDER!$V$7:$V$1206,1,GELIR_GIDER!$C$7:$C$1206,"&gt;="&amp;$B23,GELIR_GIDER!$C$7:$C$1206,"&lt;"&amp;EDATE($B23,1))</f>
        <v/>
      </c>
      <c r="D23" s="245">
        <f>SUMIFS(TAHSILAT!$F$7:$F$1506,TAHSILAT!$E$7:$E$1506,"&gt;="&amp;$B23,TAHSILAT!$E$7:$E$1506,"&lt;"&amp;EDATE($B23,1),TAHSILAT!$H$7:$H$1506,"&lt;&gt;Mahsup")</f>
        <v/>
      </c>
      <c r="E23" s="245">
        <f>SUMIFS(GELIR_GIDER!$G$7:$G$1206,GELIR_GIDER!$D$7:$D$1206,"Gelir",GELIR_GIDER!$C$7:$C$1206,"&gt;="&amp;$B23,GELIR_GIDER!$C$7:$C$1206,"&lt;"&amp;EDATE($B23,1),GELIR_GIDER!$I$7:$I$1206,"Evet")</f>
        <v/>
      </c>
      <c r="F23" s="245">
        <f>$D23+$E23</f>
        <v/>
      </c>
      <c r="G23" s="245">
        <f>SUMIFS(GELIR_GIDER!$G$7:$G$1206,GELIR_GIDER!$D$7:$D$1206,"Gider",GELIR_GIDER!$C$7:$C$1206,"&gt;="&amp;$B23,GELIR_GIDER!$C$7:$C$1206,"&lt;"&amp;EDATE($B23,1),GELIR_GIDER!$I$7:$I$1206,"Evet")</f>
        <v/>
      </c>
      <c r="H23" s="245">
        <f>$C23+$E23-SUMIFS(GELIR_GIDER!$G$7:$G$1206,GELIR_GIDER!$D$7:$D$1206,"Gider",GELIR_GIDER!$C$7:$C$1206,"&gt;="&amp;$B23,GELIR_GIDER!$C$7:$C$1206,"&lt;"&amp;EDATE($B23,1))</f>
        <v/>
      </c>
      <c r="I23" s="245">
        <f>$F23-$G23</f>
        <v/>
      </c>
      <c r="J23" s="229">
        <f>IFERROR($D23/$C23,0)</f>
        <v/>
      </c>
      <c r="K23" s="245">
        <f>SISTEM!$C$13</f>
        <v/>
      </c>
      <c r="L23" s="245">
        <f>MAX(0,SUM($I$7:$I23)-$K23-SUM($P$7:$P23)-SUM($Q$7:$Q23))</f>
        <v/>
      </c>
      <c r="M23" s="245">
        <f>$L23*SISTEM!$C$11</f>
        <v/>
      </c>
      <c r="N23" s="245">
        <f>$L23*SISTEM!$C$12</f>
        <v/>
      </c>
      <c r="O23" s="108" t="n"/>
      <c r="P23" s="246" t="n"/>
      <c r="Q23" s="246" t="n"/>
      <c r="R23" s="245">
        <f>MAX(0,$L23-$P23-$Q23)</f>
        <v/>
      </c>
      <c r="S23" s="113">
        <f>IF($B23&gt;=DATE(YEAR(TODAY()),MONTH(TODAY()),1),"AÇIK",IF(COUNTIFS(SISTEM!$C$23:$C$55,"KRİTİK",SISTEM!$F$23:$F$55,"KALDI")&gt;0,"KAPATILAMAZ",IF(COUNTIF(SISTEM!$F$23:$F$55,"KALDI")=0,"KAPANABİLİR","UYARI VAR – KAPATILABİLİR")))</f>
        <v/>
      </c>
      <c r="T23" s="113">
        <f>IF(ABS($L23-$M23-$N23)&lt;0.01,IF(AND($O23="Evet",ABS($R23)&lt;0.01),"KAPANDI","AÇIK"),"PAY HATASI")</f>
        <v/>
      </c>
      <c r="U23" s="6" t="n"/>
      <c r="V23" s="6" t="n"/>
    </row>
    <row r="24">
      <c r="A24" s="6" t="n"/>
      <c r="B24" s="226" t="n">
        <v>46539</v>
      </c>
      <c r="C24" s="245">
        <f>SUMPRODUCT(IF(UCRETLER!$G$7:$G$406="",0,UCRETLER!$G$7:$G$406)*(UCRETLER!$F$7:$F$406="Haftalık")*IF(UCRETLER!$C$7:$C$406="",0,IF(IF(IF(UCRETLER!$E$7:$E$406="",999999,UCRETLER!$E$7:$E$406)&gt;EOMONTH($B24,0),EOMONTH($B24,0)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24,0),EOMONTH($B24,0)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24-1,$B24-1,IF(UCRETLER!$E$7:$E$406="",999999,UCRETLER!$E$7:$E$406))&lt;(IF(UCRETLER!$D$7:$D$406="",999999,UCRETLER!$D$7:$D$406)+MOD(SISTEM!$F$8-WEEKDAY(IF(UCRETLER!$D$7:$D$406="",999999,UCRETLER!$D$7:$D$406),2),7)),0,INT((IF(IF(UCRETLER!$E$7:$E$406="",999999,UCRETLER!$E$7:$E$406)&gt;$B24-1,$B24-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24,0)&gt;=IF(UCRETLER!$D$7:$D$406="",999999,UCRETLER!$D$7:$D$406))*(EOMONTH($B24,0)&lt;=IF(UCRETLER!$E$7:$E$406="",999999,UCRETLER!$E$7:$E$406)))+SUMIFS(GELIR_GIDER!$G$7:$G$1206,GELIR_GIDER!$V$7:$V$1206,1,GELIR_GIDER!$C$7:$C$1206,"&gt;="&amp;$B24,GELIR_GIDER!$C$7:$C$1206,"&lt;"&amp;EDATE($B24,1))</f>
        <v/>
      </c>
      <c r="D24" s="245">
        <f>SUMIFS(TAHSILAT!$F$7:$F$1506,TAHSILAT!$E$7:$E$1506,"&gt;="&amp;$B24,TAHSILAT!$E$7:$E$1506,"&lt;"&amp;EDATE($B24,1),TAHSILAT!$H$7:$H$1506,"&lt;&gt;Mahsup")</f>
        <v/>
      </c>
      <c r="E24" s="245">
        <f>SUMIFS(GELIR_GIDER!$G$7:$G$1206,GELIR_GIDER!$D$7:$D$1206,"Gelir",GELIR_GIDER!$C$7:$C$1206,"&gt;="&amp;$B24,GELIR_GIDER!$C$7:$C$1206,"&lt;"&amp;EDATE($B24,1),GELIR_GIDER!$I$7:$I$1206,"Evet")</f>
        <v/>
      </c>
      <c r="F24" s="245">
        <f>$D24+$E24</f>
        <v/>
      </c>
      <c r="G24" s="245">
        <f>SUMIFS(GELIR_GIDER!$G$7:$G$1206,GELIR_GIDER!$D$7:$D$1206,"Gider",GELIR_GIDER!$C$7:$C$1206,"&gt;="&amp;$B24,GELIR_GIDER!$C$7:$C$1206,"&lt;"&amp;EDATE($B24,1),GELIR_GIDER!$I$7:$I$1206,"Evet")</f>
        <v/>
      </c>
      <c r="H24" s="245">
        <f>$C24+$E24-SUMIFS(GELIR_GIDER!$G$7:$G$1206,GELIR_GIDER!$D$7:$D$1206,"Gider",GELIR_GIDER!$C$7:$C$1206,"&gt;="&amp;$B24,GELIR_GIDER!$C$7:$C$1206,"&lt;"&amp;EDATE($B24,1))</f>
        <v/>
      </c>
      <c r="I24" s="245">
        <f>$F24-$G24</f>
        <v/>
      </c>
      <c r="J24" s="229">
        <f>IFERROR($D24/$C24,0)</f>
        <v/>
      </c>
      <c r="K24" s="245">
        <f>SISTEM!$C$13</f>
        <v/>
      </c>
      <c r="L24" s="245">
        <f>MAX(0,SUM($I$7:$I24)-$K24-SUM($P$7:$P24)-SUM($Q$7:$Q24))</f>
        <v/>
      </c>
      <c r="M24" s="245">
        <f>$L24*SISTEM!$C$11</f>
        <v/>
      </c>
      <c r="N24" s="245">
        <f>$L24*SISTEM!$C$12</f>
        <v/>
      </c>
      <c r="O24" s="108" t="n"/>
      <c r="P24" s="246" t="n"/>
      <c r="Q24" s="246" t="n"/>
      <c r="R24" s="245">
        <f>MAX(0,$L24-$P24-$Q24)</f>
        <v/>
      </c>
      <c r="S24" s="113">
        <f>IF($B24&gt;=DATE(YEAR(TODAY()),MONTH(TODAY()),1),"AÇIK",IF(COUNTIFS(SISTEM!$C$23:$C$55,"KRİTİK",SISTEM!$F$23:$F$55,"KALDI")&gt;0,"KAPATILAMAZ",IF(COUNTIF(SISTEM!$F$23:$F$55,"KALDI")=0,"KAPANABİLİR","UYARI VAR – KAPATILABİLİR")))</f>
        <v/>
      </c>
      <c r="T24" s="113">
        <f>IF(ABS($L24-$M24-$N24)&lt;0.01,IF(AND($O24="Evet",ABS($R24)&lt;0.01),"KAPANDI","AÇIK"),"PAY HATASI")</f>
        <v/>
      </c>
      <c r="U24" s="6" t="n"/>
      <c r="V24" s="6" t="n"/>
    </row>
    <row r="25">
      <c r="A25" s="6" t="n"/>
      <c r="B25" s="226" t="n">
        <v>46569</v>
      </c>
      <c r="C25" s="245">
        <f>SUMPRODUCT(IF(UCRETLER!$G$7:$G$406="",0,UCRETLER!$G$7:$G$406)*(UCRETLER!$F$7:$F$406="Haftalık")*IF(UCRETLER!$C$7:$C$406="",0,IF(IF(IF(UCRETLER!$E$7:$E$406="",999999,UCRETLER!$E$7:$E$406)&gt;EOMONTH($B25,0),EOMONTH($B25,0)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25,0),EOMONTH($B25,0)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25-1,$B25-1,IF(UCRETLER!$E$7:$E$406="",999999,UCRETLER!$E$7:$E$406))&lt;(IF(UCRETLER!$D$7:$D$406="",999999,UCRETLER!$D$7:$D$406)+MOD(SISTEM!$F$8-WEEKDAY(IF(UCRETLER!$D$7:$D$406="",999999,UCRETLER!$D$7:$D$406),2),7)),0,INT((IF(IF(UCRETLER!$E$7:$E$406="",999999,UCRETLER!$E$7:$E$406)&gt;$B25-1,$B25-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25,0)&gt;=IF(UCRETLER!$D$7:$D$406="",999999,UCRETLER!$D$7:$D$406))*(EOMONTH($B25,0)&lt;=IF(UCRETLER!$E$7:$E$406="",999999,UCRETLER!$E$7:$E$406)))+SUMIFS(GELIR_GIDER!$G$7:$G$1206,GELIR_GIDER!$V$7:$V$1206,1,GELIR_GIDER!$C$7:$C$1206,"&gt;="&amp;$B25,GELIR_GIDER!$C$7:$C$1206,"&lt;"&amp;EDATE($B25,1))</f>
        <v/>
      </c>
      <c r="D25" s="245">
        <f>SUMIFS(TAHSILAT!$F$7:$F$1506,TAHSILAT!$E$7:$E$1506,"&gt;="&amp;$B25,TAHSILAT!$E$7:$E$1506,"&lt;"&amp;EDATE($B25,1),TAHSILAT!$H$7:$H$1506,"&lt;&gt;Mahsup")</f>
        <v/>
      </c>
      <c r="E25" s="245">
        <f>SUMIFS(GELIR_GIDER!$G$7:$G$1206,GELIR_GIDER!$D$7:$D$1206,"Gelir",GELIR_GIDER!$C$7:$C$1206,"&gt;="&amp;$B25,GELIR_GIDER!$C$7:$C$1206,"&lt;"&amp;EDATE($B25,1),GELIR_GIDER!$I$7:$I$1206,"Evet")</f>
        <v/>
      </c>
      <c r="F25" s="245">
        <f>$D25+$E25</f>
        <v/>
      </c>
      <c r="G25" s="245">
        <f>SUMIFS(GELIR_GIDER!$G$7:$G$1206,GELIR_GIDER!$D$7:$D$1206,"Gider",GELIR_GIDER!$C$7:$C$1206,"&gt;="&amp;$B25,GELIR_GIDER!$C$7:$C$1206,"&lt;"&amp;EDATE($B25,1),GELIR_GIDER!$I$7:$I$1206,"Evet")</f>
        <v/>
      </c>
      <c r="H25" s="245">
        <f>$C25+$E25-SUMIFS(GELIR_GIDER!$G$7:$G$1206,GELIR_GIDER!$D$7:$D$1206,"Gider",GELIR_GIDER!$C$7:$C$1206,"&gt;="&amp;$B25,GELIR_GIDER!$C$7:$C$1206,"&lt;"&amp;EDATE($B25,1))</f>
        <v/>
      </c>
      <c r="I25" s="245">
        <f>$F25-$G25</f>
        <v/>
      </c>
      <c r="J25" s="229">
        <f>IFERROR($D25/$C25,0)</f>
        <v/>
      </c>
      <c r="K25" s="245">
        <f>SISTEM!$C$13</f>
        <v/>
      </c>
      <c r="L25" s="245">
        <f>MAX(0,SUM($I$7:$I25)-$K25-SUM($P$7:$P25)-SUM($Q$7:$Q25))</f>
        <v/>
      </c>
      <c r="M25" s="245">
        <f>$L25*SISTEM!$C$11</f>
        <v/>
      </c>
      <c r="N25" s="245">
        <f>$L25*SISTEM!$C$12</f>
        <v/>
      </c>
      <c r="O25" s="108" t="n"/>
      <c r="P25" s="246" t="n"/>
      <c r="Q25" s="246" t="n"/>
      <c r="R25" s="245">
        <f>MAX(0,$L25-$P25-$Q25)</f>
        <v/>
      </c>
      <c r="S25" s="113">
        <f>IF($B25&gt;=DATE(YEAR(TODAY()),MONTH(TODAY()),1),"AÇIK",IF(COUNTIFS(SISTEM!$C$23:$C$55,"KRİTİK",SISTEM!$F$23:$F$55,"KALDI")&gt;0,"KAPATILAMAZ",IF(COUNTIF(SISTEM!$F$23:$F$55,"KALDI")=0,"KAPANABİLİR","UYARI VAR – KAPATILABİLİR")))</f>
        <v/>
      </c>
      <c r="T25" s="113">
        <f>IF(ABS($L25-$M25-$N25)&lt;0.01,IF(AND($O25="Evet",ABS($R25)&lt;0.01),"KAPANDI","AÇIK"),"PAY HATASI")</f>
        <v/>
      </c>
      <c r="U25" s="6" t="n"/>
      <c r="V25" s="6" t="n"/>
    </row>
    <row r="26">
      <c r="A26" s="6" t="n"/>
      <c r="B26" s="226" t="n">
        <v>46600</v>
      </c>
      <c r="C26" s="245">
        <f>SUMPRODUCT(IF(UCRETLER!$G$7:$G$406="",0,UCRETLER!$G$7:$G$406)*(UCRETLER!$F$7:$F$406="Haftalık")*IF(UCRETLER!$C$7:$C$406="",0,IF(IF(IF(UCRETLER!$E$7:$E$406="",999999,UCRETLER!$E$7:$E$406)&gt;EOMONTH($B26,0),EOMONTH($B26,0)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26,0),EOMONTH($B26,0)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26-1,$B26-1,IF(UCRETLER!$E$7:$E$406="",999999,UCRETLER!$E$7:$E$406))&lt;(IF(UCRETLER!$D$7:$D$406="",999999,UCRETLER!$D$7:$D$406)+MOD(SISTEM!$F$8-WEEKDAY(IF(UCRETLER!$D$7:$D$406="",999999,UCRETLER!$D$7:$D$406),2),7)),0,INT((IF(IF(UCRETLER!$E$7:$E$406="",999999,UCRETLER!$E$7:$E$406)&gt;$B26-1,$B26-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26,0)&gt;=IF(UCRETLER!$D$7:$D$406="",999999,UCRETLER!$D$7:$D$406))*(EOMONTH($B26,0)&lt;=IF(UCRETLER!$E$7:$E$406="",999999,UCRETLER!$E$7:$E$406)))+SUMIFS(GELIR_GIDER!$G$7:$G$1206,GELIR_GIDER!$V$7:$V$1206,1,GELIR_GIDER!$C$7:$C$1206,"&gt;="&amp;$B26,GELIR_GIDER!$C$7:$C$1206,"&lt;"&amp;EDATE($B26,1))</f>
        <v/>
      </c>
      <c r="D26" s="245">
        <f>SUMIFS(TAHSILAT!$F$7:$F$1506,TAHSILAT!$E$7:$E$1506,"&gt;="&amp;$B26,TAHSILAT!$E$7:$E$1506,"&lt;"&amp;EDATE($B26,1),TAHSILAT!$H$7:$H$1506,"&lt;&gt;Mahsup")</f>
        <v/>
      </c>
      <c r="E26" s="245">
        <f>SUMIFS(GELIR_GIDER!$G$7:$G$1206,GELIR_GIDER!$D$7:$D$1206,"Gelir",GELIR_GIDER!$C$7:$C$1206,"&gt;="&amp;$B26,GELIR_GIDER!$C$7:$C$1206,"&lt;"&amp;EDATE($B26,1),GELIR_GIDER!$I$7:$I$1206,"Evet")</f>
        <v/>
      </c>
      <c r="F26" s="245">
        <f>$D26+$E26</f>
        <v/>
      </c>
      <c r="G26" s="245">
        <f>SUMIFS(GELIR_GIDER!$G$7:$G$1206,GELIR_GIDER!$D$7:$D$1206,"Gider",GELIR_GIDER!$C$7:$C$1206,"&gt;="&amp;$B26,GELIR_GIDER!$C$7:$C$1206,"&lt;"&amp;EDATE($B26,1),GELIR_GIDER!$I$7:$I$1206,"Evet")</f>
        <v/>
      </c>
      <c r="H26" s="245">
        <f>$C26+$E26-SUMIFS(GELIR_GIDER!$G$7:$G$1206,GELIR_GIDER!$D$7:$D$1206,"Gider",GELIR_GIDER!$C$7:$C$1206,"&gt;="&amp;$B26,GELIR_GIDER!$C$7:$C$1206,"&lt;"&amp;EDATE($B26,1))</f>
        <v/>
      </c>
      <c r="I26" s="245">
        <f>$F26-$G26</f>
        <v/>
      </c>
      <c r="J26" s="229">
        <f>IFERROR($D26/$C26,0)</f>
        <v/>
      </c>
      <c r="K26" s="245">
        <f>SISTEM!$C$13</f>
        <v/>
      </c>
      <c r="L26" s="245">
        <f>MAX(0,SUM($I$7:$I26)-$K26-SUM($P$7:$P26)-SUM($Q$7:$Q26))</f>
        <v/>
      </c>
      <c r="M26" s="245">
        <f>$L26*SISTEM!$C$11</f>
        <v/>
      </c>
      <c r="N26" s="245">
        <f>$L26*SISTEM!$C$12</f>
        <v/>
      </c>
      <c r="O26" s="108" t="n"/>
      <c r="P26" s="246" t="n"/>
      <c r="Q26" s="246" t="n"/>
      <c r="R26" s="245">
        <f>MAX(0,$L26-$P26-$Q26)</f>
        <v/>
      </c>
      <c r="S26" s="113">
        <f>IF($B26&gt;=DATE(YEAR(TODAY()),MONTH(TODAY()),1),"AÇIK",IF(COUNTIFS(SISTEM!$C$23:$C$55,"KRİTİK",SISTEM!$F$23:$F$55,"KALDI")&gt;0,"KAPATILAMAZ",IF(COUNTIF(SISTEM!$F$23:$F$55,"KALDI")=0,"KAPANABİLİR","UYARI VAR – KAPATILABİLİR")))</f>
        <v/>
      </c>
      <c r="T26" s="113">
        <f>IF(ABS($L26-$M26-$N26)&lt;0.01,IF(AND($O26="Evet",ABS($R26)&lt;0.01),"KAPANDI","AÇIK"),"PAY HATASI")</f>
        <v/>
      </c>
      <c r="U26" s="6" t="n"/>
      <c r="V26" s="6" t="n"/>
    </row>
    <row r="27">
      <c r="A27" s="6" t="n"/>
      <c r="B27" s="226" t="n">
        <v>46631</v>
      </c>
      <c r="C27" s="245">
        <f>SUMPRODUCT(IF(UCRETLER!$G$7:$G$406="",0,UCRETLER!$G$7:$G$406)*(UCRETLER!$F$7:$F$406="Haftalık")*IF(UCRETLER!$C$7:$C$406="",0,IF(IF(IF(UCRETLER!$E$7:$E$406="",999999,UCRETLER!$E$7:$E$406)&gt;EOMONTH($B27,0),EOMONTH($B27,0)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27,0),EOMONTH($B27,0)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27-1,$B27-1,IF(UCRETLER!$E$7:$E$406="",999999,UCRETLER!$E$7:$E$406))&lt;(IF(UCRETLER!$D$7:$D$406="",999999,UCRETLER!$D$7:$D$406)+MOD(SISTEM!$F$8-WEEKDAY(IF(UCRETLER!$D$7:$D$406="",999999,UCRETLER!$D$7:$D$406),2),7)),0,INT((IF(IF(UCRETLER!$E$7:$E$406="",999999,UCRETLER!$E$7:$E$406)&gt;$B27-1,$B27-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27,0)&gt;=IF(UCRETLER!$D$7:$D$406="",999999,UCRETLER!$D$7:$D$406))*(EOMONTH($B27,0)&lt;=IF(UCRETLER!$E$7:$E$406="",999999,UCRETLER!$E$7:$E$406)))+SUMIFS(GELIR_GIDER!$G$7:$G$1206,GELIR_GIDER!$V$7:$V$1206,1,GELIR_GIDER!$C$7:$C$1206,"&gt;="&amp;$B27,GELIR_GIDER!$C$7:$C$1206,"&lt;"&amp;EDATE($B27,1))</f>
        <v/>
      </c>
      <c r="D27" s="245">
        <f>SUMIFS(TAHSILAT!$F$7:$F$1506,TAHSILAT!$E$7:$E$1506,"&gt;="&amp;$B27,TAHSILAT!$E$7:$E$1506,"&lt;"&amp;EDATE($B27,1),TAHSILAT!$H$7:$H$1506,"&lt;&gt;Mahsup")</f>
        <v/>
      </c>
      <c r="E27" s="245">
        <f>SUMIFS(GELIR_GIDER!$G$7:$G$1206,GELIR_GIDER!$D$7:$D$1206,"Gelir",GELIR_GIDER!$C$7:$C$1206,"&gt;="&amp;$B27,GELIR_GIDER!$C$7:$C$1206,"&lt;"&amp;EDATE($B27,1),GELIR_GIDER!$I$7:$I$1206,"Evet")</f>
        <v/>
      </c>
      <c r="F27" s="245">
        <f>$D27+$E27</f>
        <v/>
      </c>
      <c r="G27" s="245">
        <f>SUMIFS(GELIR_GIDER!$G$7:$G$1206,GELIR_GIDER!$D$7:$D$1206,"Gider",GELIR_GIDER!$C$7:$C$1206,"&gt;="&amp;$B27,GELIR_GIDER!$C$7:$C$1206,"&lt;"&amp;EDATE($B27,1),GELIR_GIDER!$I$7:$I$1206,"Evet")</f>
        <v/>
      </c>
      <c r="H27" s="245">
        <f>$C27+$E27-SUMIFS(GELIR_GIDER!$G$7:$G$1206,GELIR_GIDER!$D$7:$D$1206,"Gider",GELIR_GIDER!$C$7:$C$1206,"&gt;="&amp;$B27,GELIR_GIDER!$C$7:$C$1206,"&lt;"&amp;EDATE($B27,1))</f>
        <v/>
      </c>
      <c r="I27" s="245">
        <f>$F27-$G27</f>
        <v/>
      </c>
      <c r="J27" s="229">
        <f>IFERROR($D27/$C27,0)</f>
        <v/>
      </c>
      <c r="K27" s="245">
        <f>SISTEM!$C$13</f>
        <v/>
      </c>
      <c r="L27" s="245">
        <f>MAX(0,SUM($I$7:$I27)-$K27-SUM($P$7:$P27)-SUM($Q$7:$Q27))</f>
        <v/>
      </c>
      <c r="M27" s="245">
        <f>$L27*SISTEM!$C$11</f>
        <v/>
      </c>
      <c r="N27" s="245">
        <f>$L27*SISTEM!$C$12</f>
        <v/>
      </c>
      <c r="O27" s="108" t="n"/>
      <c r="P27" s="246" t="n"/>
      <c r="Q27" s="246" t="n"/>
      <c r="R27" s="245">
        <f>MAX(0,$L27-$P27-$Q27)</f>
        <v/>
      </c>
      <c r="S27" s="113">
        <f>IF($B27&gt;=DATE(YEAR(TODAY()),MONTH(TODAY()),1),"AÇIK",IF(COUNTIFS(SISTEM!$C$23:$C$55,"KRİTİK",SISTEM!$F$23:$F$55,"KALDI")&gt;0,"KAPATILAMAZ",IF(COUNTIF(SISTEM!$F$23:$F$55,"KALDI")=0,"KAPANABİLİR","UYARI VAR – KAPATILABİLİR")))</f>
        <v/>
      </c>
      <c r="T27" s="113">
        <f>IF(ABS($L27-$M27-$N27)&lt;0.01,IF(AND($O27="Evet",ABS($R27)&lt;0.01),"KAPANDI","AÇIK"),"PAY HATASI")</f>
        <v/>
      </c>
      <c r="U27" s="6" t="n"/>
      <c r="V27" s="6" t="n"/>
    </row>
    <row r="28">
      <c r="A28" s="6" t="n"/>
      <c r="B28" s="226" t="n">
        <v>46661</v>
      </c>
      <c r="C28" s="245">
        <f>SUMPRODUCT(IF(UCRETLER!$G$7:$G$406="",0,UCRETLER!$G$7:$G$406)*(UCRETLER!$F$7:$F$406="Haftalık")*IF(UCRETLER!$C$7:$C$406="",0,IF(IF(IF(UCRETLER!$E$7:$E$406="",999999,UCRETLER!$E$7:$E$406)&gt;EOMONTH($B28,0),EOMONTH($B28,0)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28,0),EOMONTH($B28,0)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28-1,$B28-1,IF(UCRETLER!$E$7:$E$406="",999999,UCRETLER!$E$7:$E$406))&lt;(IF(UCRETLER!$D$7:$D$406="",999999,UCRETLER!$D$7:$D$406)+MOD(SISTEM!$F$8-WEEKDAY(IF(UCRETLER!$D$7:$D$406="",999999,UCRETLER!$D$7:$D$406),2),7)),0,INT((IF(IF(UCRETLER!$E$7:$E$406="",999999,UCRETLER!$E$7:$E$406)&gt;$B28-1,$B28-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28,0)&gt;=IF(UCRETLER!$D$7:$D$406="",999999,UCRETLER!$D$7:$D$406))*(EOMONTH($B28,0)&lt;=IF(UCRETLER!$E$7:$E$406="",999999,UCRETLER!$E$7:$E$406)))+SUMIFS(GELIR_GIDER!$G$7:$G$1206,GELIR_GIDER!$V$7:$V$1206,1,GELIR_GIDER!$C$7:$C$1206,"&gt;="&amp;$B28,GELIR_GIDER!$C$7:$C$1206,"&lt;"&amp;EDATE($B28,1))</f>
        <v/>
      </c>
      <c r="D28" s="245">
        <f>SUMIFS(TAHSILAT!$F$7:$F$1506,TAHSILAT!$E$7:$E$1506,"&gt;="&amp;$B28,TAHSILAT!$E$7:$E$1506,"&lt;"&amp;EDATE($B28,1),TAHSILAT!$H$7:$H$1506,"&lt;&gt;Mahsup")</f>
        <v/>
      </c>
      <c r="E28" s="245">
        <f>SUMIFS(GELIR_GIDER!$G$7:$G$1206,GELIR_GIDER!$D$7:$D$1206,"Gelir",GELIR_GIDER!$C$7:$C$1206,"&gt;="&amp;$B28,GELIR_GIDER!$C$7:$C$1206,"&lt;"&amp;EDATE($B28,1),GELIR_GIDER!$I$7:$I$1206,"Evet")</f>
        <v/>
      </c>
      <c r="F28" s="245">
        <f>$D28+$E28</f>
        <v/>
      </c>
      <c r="G28" s="245">
        <f>SUMIFS(GELIR_GIDER!$G$7:$G$1206,GELIR_GIDER!$D$7:$D$1206,"Gider",GELIR_GIDER!$C$7:$C$1206,"&gt;="&amp;$B28,GELIR_GIDER!$C$7:$C$1206,"&lt;"&amp;EDATE($B28,1),GELIR_GIDER!$I$7:$I$1206,"Evet")</f>
        <v/>
      </c>
      <c r="H28" s="245">
        <f>$C28+$E28-SUMIFS(GELIR_GIDER!$G$7:$G$1206,GELIR_GIDER!$D$7:$D$1206,"Gider",GELIR_GIDER!$C$7:$C$1206,"&gt;="&amp;$B28,GELIR_GIDER!$C$7:$C$1206,"&lt;"&amp;EDATE($B28,1))</f>
        <v/>
      </c>
      <c r="I28" s="245">
        <f>$F28-$G28</f>
        <v/>
      </c>
      <c r="J28" s="229">
        <f>IFERROR($D28/$C28,0)</f>
        <v/>
      </c>
      <c r="K28" s="245">
        <f>SISTEM!$C$13</f>
        <v/>
      </c>
      <c r="L28" s="245">
        <f>MAX(0,SUM($I$7:$I28)-$K28-SUM($P$7:$P28)-SUM($Q$7:$Q28))</f>
        <v/>
      </c>
      <c r="M28" s="245">
        <f>$L28*SISTEM!$C$11</f>
        <v/>
      </c>
      <c r="N28" s="245">
        <f>$L28*SISTEM!$C$12</f>
        <v/>
      </c>
      <c r="O28" s="108" t="n"/>
      <c r="P28" s="246" t="n"/>
      <c r="Q28" s="246" t="n"/>
      <c r="R28" s="245">
        <f>MAX(0,$L28-$P28-$Q28)</f>
        <v/>
      </c>
      <c r="S28" s="113">
        <f>IF($B28&gt;=DATE(YEAR(TODAY()),MONTH(TODAY()),1),"AÇIK",IF(COUNTIFS(SISTEM!$C$23:$C$55,"KRİTİK",SISTEM!$F$23:$F$55,"KALDI")&gt;0,"KAPATILAMAZ",IF(COUNTIF(SISTEM!$F$23:$F$55,"KALDI")=0,"KAPANABİLİR","UYARI VAR – KAPATILABİLİR")))</f>
        <v/>
      </c>
      <c r="T28" s="113">
        <f>IF(ABS($L28-$M28-$N28)&lt;0.01,IF(AND($O28="Evet",ABS($R28)&lt;0.01),"KAPANDI","AÇIK"),"PAY HATASI")</f>
        <v/>
      </c>
      <c r="U28" s="6" t="n"/>
      <c r="V28" s="6" t="n"/>
    </row>
    <row r="29">
      <c r="A29" s="6" t="n"/>
      <c r="B29" s="226" t="n">
        <v>46692</v>
      </c>
      <c r="C29" s="245">
        <f>SUMPRODUCT(IF(UCRETLER!$G$7:$G$406="",0,UCRETLER!$G$7:$G$406)*(UCRETLER!$F$7:$F$406="Haftalık")*IF(UCRETLER!$C$7:$C$406="",0,IF(IF(IF(UCRETLER!$E$7:$E$406="",999999,UCRETLER!$E$7:$E$406)&gt;EOMONTH($B29,0),EOMONTH($B29,0)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29,0),EOMONTH($B29,0)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29-1,$B29-1,IF(UCRETLER!$E$7:$E$406="",999999,UCRETLER!$E$7:$E$406))&lt;(IF(UCRETLER!$D$7:$D$406="",999999,UCRETLER!$D$7:$D$406)+MOD(SISTEM!$F$8-WEEKDAY(IF(UCRETLER!$D$7:$D$406="",999999,UCRETLER!$D$7:$D$406),2),7)),0,INT((IF(IF(UCRETLER!$E$7:$E$406="",999999,UCRETLER!$E$7:$E$406)&gt;$B29-1,$B29-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29,0)&gt;=IF(UCRETLER!$D$7:$D$406="",999999,UCRETLER!$D$7:$D$406))*(EOMONTH($B29,0)&lt;=IF(UCRETLER!$E$7:$E$406="",999999,UCRETLER!$E$7:$E$406)))+SUMIFS(GELIR_GIDER!$G$7:$G$1206,GELIR_GIDER!$V$7:$V$1206,1,GELIR_GIDER!$C$7:$C$1206,"&gt;="&amp;$B29,GELIR_GIDER!$C$7:$C$1206,"&lt;"&amp;EDATE($B29,1))</f>
        <v/>
      </c>
      <c r="D29" s="245">
        <f>SUMIFS(TAHSILAT!$F$7:$F$1506,TAHSILAT!$E$7:$E$1506,"&gt;="&amp;$B29,TAHSILAT!$E$7:$E$1506,"&lt;"&amp;EDATE($B29,1),TAHSILAT!$H$7:$H$1506,"&lt;&gt;Mahsup")</f>
        <v/>
      </c>
      <c r="E29" s="245">
        <f>SUMIFS(GELIR_GIDER!$G$7:$G$1206,GELIR_GIDER!$D$7:$D$1206,"Gelir",GELIR_GIDER!$C$7:$C$1206,"&gt;="&amp;$B29,GELIR_GIDER!$C$7:$C$1206,"&lt;"&amp;EDATE($B29,1),GELIR_GIDER!$I$7:$I$1206,"Evet")</f>
        <v/>
      </c>
      <c r="F29" s="245">
        <f>$D29+$E29</f>
        <v/>
      </c>
      <c r="G29" s="245">
        <f>SUMIFS(GELIR_GIDER!$G$7:$G$1206,GELIR_GIDER!$D$7:$D$1206,"Gider",GELIR_GIDER!$C$7:$C$1206,"&gt;="&amp;$B29,GELIR_GIDER!$C$7:$C$1206,"&lt;"&amp;EDATE($B29,1),GELIR_GIDER!$I$7:$I$1206,"Evet")</f>
        <v/>
      </c>
      <c r="H29" s="245">
        <f>$C29+$E29-SUMIFS(GELIR_GIDER!$G$7:$G$1206,GELIR_GIDER!$D$7:$D$1206,"Gider",GELIR_GIDER!$C$7:$C$1206,"&gt;="&amp;$B29,GELIR_GIDER!$C$7:$C$1206,"&lt;"&amp;EDATE($B29,1))</f>
        <v/>
      </c>
      <c r="I29" s="245">
        <f>$F29-$G29</f>
        <v/>
      </c>
      <c r="J29" s="229">
        <f>IFERROR($D29/$C29,0)</f>
        <v/>
      </c>
      <c r="K29" s="245">
        <f>SISTEM!$C$13</f>
        <v/>
      </c>
      <c r="L29" s="245">
        <f>MAX(0,SUM($I$7:$I29)-$K29-SUM($P$7:$P29)-SUM($Q$7:$Q29))</f>
        <v/>
      </c>
      <c r="M29" s="245">
        <f>$L29*SISTEM!$C$11</f>
        <v/>
      </c>
      <c r="N29" s="245">
        <f>$L29*SISTEM!$C$12</f>
        <v/>
      </c>
      <c r="O29" s="108" t="n"/>
      <c r="P29" s="246" t="n"/>
      <c r="Q29" s="246" t="n"/>
      <c r="R29" s="245">
        <f>MAX(0,$L29-$P29-$Q29)</f>
        <v/>
      </c>
      <c r="S29" s="113">
        <f>IF($B29&gt;=DATE(YEAR(TODAY()),MONTH(TODAY()),1),"AÇIK",IF(COUNTIFS(SISTEM!$C$23:$C$55,"KRİTİK",SISTEM!$F$23:$F$55,"KALDI")&gt;0,"KAPATILAMAZ",IF(COUNTIF(SISTEM!$F$23:$F$55,"KALDI")=0,"KAPANABİLİR","UYARI VAR – KAPATILABİLİR")))</f>
        <v/>
      </c>
      <c r="T29" s="113">
        <f>IF(ABS($L29-$M29-$N29)&lt;0.01,IF(AND($O29="Evet",ABS($R29)&lt;0.01),"KAPANDI","AÇIK"),"PAY HATASI")</f>
        <v/>
      </c>
      <c r="U29" s="6" t="n"/>
      <c r="V29" s="6" t="n"/>
    </row>
    <row r="30">
      <c r="A30" s="6" t="n"/>
      <c r="B30" s="226" t="n">
        <v>46722</v>
      </c>
      <c r="C30" s="245">
        <f>SUMPRODUCT(IF(UCRETLER!$G$7:$G$406="",0,UCRETLER!$G$7:$G$406)*(UCRETLER!$F$7:$F$406="Haftalık")*IF(UCRETLER!$C$7:$C$406="",0,IF(IF(IF(UCRETLER!$E$7:$E$406="",999999,UCRETLER!$E$7:$E$406)&gt;EOMONTH($B30,0),EOMONTH($B30,0)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30,0),EOMONTH($B30,0)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30-1,$B30-1,IF(UCRETLER!$E$7:$E$406="",999999,UCRETLER!$E$7:$E$406))&lt;(IF(UCRETLER!$D$7:$D$406="",999999,UCRETLER!$D$7:$D$406)+MOD(SISTEM!$F$8-WEEKDAY(IF(UCRETLER!$D$7:$D$406="",999999,UCRETLER!$D$7:$D$406),2),7)),0,INT((IF(IF(UCRETLER!$E$7:$E$406="",999999,UCRETLER!$E$7:$E$406)&gt;$B30-1,$B30-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30,0)&gt;=IF(UCRETLER!$D$7:$D$406="",999999,UCRETLER!$D$7:$D$406))*(EOMONTH($B30,0)&lt;=IF(UCRETLER!$E$7:$E$406="",999999,UCRETLER!$E$7:$E$406)))+SUMIFS(GELIR_GIDER!$G$7:$G$1206,GELIR_GIDER!$V$7:$V$1206,1,GELIR_GIDER!$C$7:$C$1206,"&gt;="&amp;$B30,GELIR_GIDER!$C$7:$C$1206,"&lt;"&amp;EDATE($B30,1))</f>
        <v/>
      </c>
      <c r="D30" s="245">
        <f>SUMIFS(TAHSILAT!$F$7:$F$1506,TAHSILAT!$E$7:$E$1506,"&gt;="&amp;$B30,TAHSILAT!$E$7:$E$1506,"&lt;"&amp;EDATE($B30,1),TAHSILAT!$H$7:$H$1506,"&lt;&gt;Mahsup")</f>
        <v/>
      </c>
      <c r="E30" s="245">
        <f>SUMIFS(GELIR_GIDER!$G$7:$G$1206,GELIR_GIDER!$D$7:$D$1206,"Gelir",GELIR_GIDER!$C$7:$C$1206,"&gt;="&amp;$B30,GELIR_GIDER!$C$7:$C$1206,"&lt;"&amp;EDATE($B30,1),GELIR_GIDER!$I$7:$I$1206,"Evet")</f>
        <v/>
      </c>
      <c r="F30" s="245">
        <f>$D30+$E30</f>
        <v/>
      </c>
      <c r="G30" s="245">
        <f>SUMIFS(GELIR_GIDER!$G$7:$G$1206,GELIR_GIDER!$D$7:$D$1206,"Gider",GELIR_GIDER!$C$7:$C$1206,"&gt;="&amp;$B30,GELIR_GIDER!$C$7:$C$1206,"&lt;"&amp;EDATE($B30,1),GELIR_GIDER!$I$7:$I$1206,"Evet")</f>
        <v/>
      </c>
      <c r="H30" s="245">
        <f>$C30+$E30-SUMIFS(GELIR_GIDER!$G$7:$G$1206,GELIR_GIDER!$D$7:$D$1206,"Gider",GELIR_GIDER!$C$7:$C$1206,"&gt;="&amp;$B30,GELIR_GIDER!$C$7:$C$1206,"&lt;"&amp;EDATE($B30,1))</f>
        <v/>
      </c>
      <c r="I30" s="245">
        <f>$F30-$G30</f>
        <v/>
      </c>
      <c r="J30" s="229">
        <f>IFERROR($D30/$C30,0)</f>
        <v/>
      </c>
      <c r="K30" s="245">
        <f>SISTEM!$C$13</f>
        <v/>
      </c>
      <c r="L30" s="245">
        <f>MAX(0,SUM($I$7:$I30)-$K30-SUM($P$7:$P30)-SUM($Q$7:$Q30))</f>
        <v/>
      </c>
      <c r="M30" s="245">
        <f>$L30*SISTEM!$C$11</f>
        <v/>
      </c>
      <c r="N30" s="245">
        <f>$L30*SISTEM!$C$12</f>
        <v/>
      </c>
      <c r="O30" s="108" t="n"/>
      <c r="P30" s="246" t="n"/>
      <c r="Q30" s="246" t="n"/>
      <c r="R30" s="245">
        <f>MAX(0,$L30-$P30-$Q30)</f>
        <v/>
      </c>
      <c r="S30" s="113">
        <f>IF($B30&gt;=DATE(YEAR(TODAY()),MONTH(TODAY()),1),"AÇIK",IF(COUNTIFS(SISTEM!$C$23:$C$55,"KRİTİK",SISTEM!$F$23:$F$55,"KALDI")&gt;0,"KAPATILAMAZ",IF(COUNTIF(SISTEM!$F$23:$F$55,"KALDI")=0,"KAPANABİLİR","UYARI VAR – KAPATILABİLİR")))</f>
        <v/>
      </c>
      <c r="T30" s="113">
        <f>IF(ABS($L30-$M30-$N30)&lt;0.01,IF(AND($O30="Evet",ABS($R30)&lt;0.01),"KAPANDI","AÇIK"),"PAY HATASI")</f>
        <v/>
      </c>
      <c r="U30" s="6" t="n"/>
      <c r="V30" s="6" t="n"/>
    </row>
    <row r="31">
      <c r="A31" s="6" t="n"/>
      <c r="B31" s="226" t="n">
        <v>46753</v>
      </c>
      <c r="C31" s="245">
        <f>SUMPRODUCT(IF(UCRETLER!$G$7:$G$406="",0,UCRETLER!$G$7:$G$406)*(UCRETLER!$F$7:$F$406="Haftalık")*IF(UCRETLER!$C$7:$C$406="",0,IF(IF(IF(UCRETLER!$E$7:$E$406="",999999,UCRETLER!$E$7:$E$406)&gt;EOMONTH($B31,0),EOMONTH($B31,0)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31,0),EOMONTH($B31,0)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31-1,$B31-1,IF(UCRETLER!$E$7:$E$406="",999999,UCRETLER!$E$7:$E$406))&lt;(IF(UCRETLER!$D$7:$D$406="",999999,UCRETLER!$D$7:$D$406)+MOD(SISTEM!$F$8-WEEKDAY(IF(UCRETLER!$D$7:$D$406="",999999,UCRETLER!$D$7:$D$406),2),7)),0,INT((IF(IF(UCRETLER!$E$7:$E$406="",999999,UCRETLER!$E$7:$E$406)&gt;$B31-1,$B31-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31,0)&gt;=IF(UCRETLER!$D$7:$D$406="",999999,UCRETLER!$D$7:$D$406))*(EOMONTH($B31,0)&lt;=IF(UCRETLER!$E$7:$E$406="",999999,UCRETLER!$E$7:$E$406)))+SUMIFS(GELIR_GIDER!$G$7:$G$1206,GELIR_GIDER!$V$7:$V$1206,1,GELIR_GIDER!$C$7:$C$1206,"&gt;="&amp;$B31,GELIR_GIDER!$C$7:$C$1206,"&lt;"&amp;EDATE($B31,1))</f>
        <v/>
      </c>
      <c r="D31" s="245">
        <f>SUMIFS(TAHSILAT!$F$7:$F$1506,TAHSILAT!$E$7:$E$1506,"&gt;="&amp;$B31,TAHSILAT!$E$7:$E$1506,"&lt;"&amp;EDATE($B31,1),TAHSILAT!$H$7:$H$1506,"&lt;&gt;Mahsup")</f>
        <v/>
      </c>
      <c r="E31" s="245">
        <f>SUMIFS(GELIR_GIDER!$G$7:$G$1206,GELIR_GIDER!$D$7:$D$1206,"Gelir",GELIR_GIDER!$C$7:$C$1206,"&gt;="&amp;$B31,GELIR_GIDER!$C$7:$C$1206,"&lt;"&amp;EDATE($B31,1),GELIR_GIDER!$I$7:$I$1206,"Evet")</f>
        <v/>
      </c>
      <c r="F31" s="245">
        <f>$D31+$E31</f>
        <v/>
      </c>
      <c r="G31" s="245">
        <f>SUMIFS(GELIR_GIDER!$G$7:$G$1206,GELIR_GIDER!$D$7:$D$1206,"Gider",GELIR_GIDER!$C$7:$C$1206,"&gt;="&amp;$B31,GELIR_GIDER!$C$7:$C$1206,"&lt;"&amp;EDATE($B31,1),GELIR_GIDER!$I$7:$I$1206,"Evet")</f>
        <v/>
      </c>
      <c r="H31" s="245">
        <f>$C31+$E31-SUMIFS(GELIR_GIDER!$G$7:$G$1206,GELIR_GIDER!$D$7:$D$1206,"Gider",GELIR_GIDER!$C$7:$C$1206,"&gt;="&amp;$B31,GELIR_GIDER!$C$7:$C$1206,"&lt;"&amp;EDATE($B31,1))</f>
        <v/>
      </c>
      <c r="I31" s="245">
        <f>$F31-$G31</f>
        <v/>
      </c>
      <c r="J31" s="229">
        <f>IFERROR($D31/$C31,0)</f>
        <v/>
      </c>
      <c r="K31" s="245">
        <f>SISTEM!$C$13</f>
        <v/>
      </c>
      <c r="L31" s="245">
        <f>MAX(0,SUM($I$7:$I31)-$K31-SUM($P$7:$P31)-SUM($Q$7:$Q31))</f>
        <v/>
      </c>
      <c r="M31" s="245">
        <f>$L31*SISTEM!$C$11</f>
        <v/>
      </c>
      <c r="N31" s="245">
        <f>$L31*SISTEM!$C$12</f>
        <v/>
      </c>
      <c r="O31" s="108" t="n"/>
      <c r="P31" s="246" t="n"/>
      <c r="Q31" s="246" t="n"/>
      <c r="R31" s="245">
        <f>MAX(0,$L31-$P31-$Q31)</f>
        <v/>
      </c>
      <c r="S31" s="113">
        <f>IF($B31&gt;=DATE(YEAR(TODAY()),MONTH(TODAY()),1),"AÇIK",IF(COUNTIFS(SISTEM!$C$23:$C$55,"KRİTİK",SISTEM!$F$23:$F$55,"KALDI")&gt;0,"KAPATILAMAZ",IF(COUNTIF(SISTEM!$F$23:$F$55,"KALDI")=0,"KAPANABİLİR","UYARI VAR – KAPATILABİLİR")))</f>
        <v/>
      </c>
      <c r="T31" s="113">
        <f>IF(ABS($L31-$M31-$N31)&lt;0.01,IF(AND($O31="Evet",ABS($R31)&lt;0.01),"KAPANDI","AÇIK"),"PAY HATASI")</f>
        <v/>
      </c>
      <c r="U31" s="6" t="n"/>
      <c r="V31" s="6" t="n"/>
    </row>
    <row r="32">
      <c r="A32" s="6" t="n"/>
      <c r="B32" s="226" t="n">
        <v>46784</v>
      </c>
      <c r="C32" s="245">
        <f>SUMPRODUCT(IF(UCRETLER!$G$7:$G$406="",0,UCRETLER!$G$7:$G$406)*(UCRETLER!$F$7:$F$406="Haftalık")*IF(UCRETLER!$C$7:$C$406="",0,IF(IF(IF(UCRETLER!$E$7:$E$406="",999999,UCRETLER!$E$7:$E$406)&gt;EOMONTH($B32,0),EOMONTH($B32,0)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32,0),EOMONTH($B32,0)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32-1,$B32-1,IF(UCRETLER!$E$7:$E$406="",999999,UCRETLER!$E$7:$E$406))&lt;(IF(UCRETLER!$D$7:$D$406="",999999,UCRETLER!$D$7:$D$406)+MOD(SISTEM!$F$8-WEEKDAY(IF(UCRETLER!$D$7:$D$406="",999999,UCRETLER!$D$7:$D$406),2),7)),0,INT((IF(IF(UCRETLER!$E$7:$E$406="",999999,UCRETLER!$E$7:$E$406)&gt;$B32-1,$B32-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32,0)&gt;=IF(UCRETLER!$D$7:$D$406="",999999,UCRETLER!$D$7:$D$406))*(EOMONTH($B32,0)&lt;=IF(UCRETLER!$E$7:$E$406="",999999,UCRETLER!$E$7:$E$406)))+SUMIFS(GELIR_GIDER!$G$7:$G$1206,GELIR_GIDER!$V$7:$V$1206,1,GELIR_GIDER!$C$7:$C$1206,"&gt;="&amp;$B32,GELIR_GIDER!$C$7:$C$1206,"&lt;"&amp;EDATE($B32,1))</f>
        <v/>
      </c>
      <c r="D32" s="245">
        <f>SUMIFS(TAHSILAT!$F$7:$F$1506,TAHSILAT!$E$7:$E$1506,"&gt;="&amp;$B32,TAHSILAT!$E$7:$E$1506,"&lt;"&amp;EDATE($B32,1),TAHSILAT!$H$7:$H$1506,"&lt;&gt;Mahsup")</f>
        <v/>
      </c>
      <c r="E32" s="245">
        <f>SUMIFS(GELIR_GIDER!$G$7:$G$1206,GELIR_GIDER!$D$7:$D$1206,"Gelir",GELIR_GIDER!$C$7:$C$1206,"&gt;="&amp;$B32,GELIR_GIDER!$C$7:$C$1206,"&lt;"&amp;EDATE($B32,1),GELIR_GIDER!$I$7:$I$1206,"Evet")</f>
        <v/>
      </c>
      <c r="F32" s="245">
        <f>$D32+$E32</f>
        <v/>
      </c>
      <c r="G32" s="245">
        <f>SUMIFS(GELIR_GIDER!$G$7:$G$1206,GELIR_GIDER!$D$7:$D$1206,"Gider",GELIR_GIDER!$C$7:$C$1206,"&gt;="&amp;$B32,GELIR_GIDER!$C$7:$C$1206,"&lt;"&amp;EDATE($B32,1),GELIR_GIDER!$I$7:$I$1206,"Evet")</f>
        <v/>
      </c>
      <c r="H32" s="245">
        <f>$C32+$E32-SUMIFS(GELIR_GIDER!$G$7:$G$1206,GELIR_GIDER!$D$7:$D$1206,"Gider",GELIR_GIDER!$C$7:$C$1206,"&gt;="&amp;$B32,GELIR_GIDER!$C$7:$C$1206,"&lt;"&amp;EDATE($B32,1))</f>
        <v/>
      </c>
      <c r="I32" s="245">
        <f>$F32-$G32</f>
        <v/>
      </c>
      <c r="J32" s="229">
        <f>IFERROR($D32/$C32,0)</f>
        <v/>
      </c>
      <c r="K32" s="245">
        <f>SISTEM!$C$13</f>
        <v/>
      </c>
      <c r="L32" s="245">
        <f>MAX(0,SUM($I$7:$I32)-$K32-SUM($P$7:$P32)-SUM($Q$7:$Q32))</f>
        <v/>
      </c>
      <c r="M32" s="245">
        <f>$L32*SISTEM!$C$11</f>
        <v/>
      </c>
      <c r="N32" s="245">
        <f>$L32*SISTEM!$C$12</f>
        <v/>
      </c>
      <c r="O32" s="108" t="n"/>
      <c r="P32" s="246" t="n"/>
      <c r="Q32" s="246" t="n"/>
      <c r="R32" s="245">
        <f>MAX(0,$L32-$P32-$Q32)</f>
        <v/>
      </c>
      <c r="S32" s="113">
        <f>IF($B32&gt;=DATE(YEAR(TODAY()),MONTH(TODAY()),1),"AÇIK",IF(COUNTIFS(SISTEM!$C$23:$C$55,"KRİTİK",SISTEM!$F$23:$F$55,"KALDI")&gt;0,"KAPATILAMAZ",IF(COUNTIF(SISTEM!$F$23:$F$55,"KALDI")=0,"KAPANABİLİR","UYARI VAR – KAPATILABİLİR")))</f>
        <v/>
      </c>
      <c r="T32" s="113">
        <f>IF(ABS($L32-$M32-$N32)&lt;0.01,IF(AND($O32="Evet",ABS($R32)&lt;0.01),"KAPANDI","AÇIK"),"PAY HATASI")</f>
        <v/>
      </c>
      <c r="U32" s="6" t="n"/>
      <c r="V32" s="6" t="n"/>
    </row>
    <row r="33">
      <c r="A33" s="6" t="n"/>
      <c r="B33" s="226" t="n">
        <v>46813</v>
      </c>
      <c r="C33" s="245">
        <f>SUMPRODUCT(IF(UCRETLER!$G$7:$G$406="",0,UCRETLER!$G$7:$G$406)*(UCRETLER!$F$7:$F$406="Haftalık")*IF(UCRETLER!$C$7:$C$406="",0,IF(IF(IF(UCRETLER!$E$7:$E$406="",999999,UCRETLER!$E$7:$E$406)&gt;EOMONTH($B33,0),EOMONTH($B33,0)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33,0),EOMONTH($B33,0)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33-1,$B33-1,IF(UCRETLER!$E$7:$E$406="",999999,UCRETLER!$E$7:$E$406))&lt;(IF(UCRETLER!$D$7:$D$406="",999999,UCRETLER!$D$7:$D$406)+MOD(SISTEM!$F$8-WEEKDAY(IF(UCRETLER!$D$7:$D$406="",999999,UCRETLER!$D$7:$D$406),2),7)),0,INT((IF(IF(UCRETLER!$E$7:$E$406="",999999,UCRETLER!$E$7:$E$406)&gt;$B33-1,$B33-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33,0)&gt;=IF(UCRETLER!$D$7:$D$406="",999999,UCRETLER!$D$7:$D$406))*(EOMONTH($B33,0)&lt;=IF(UCRETLER!$E$7:$E$406="",999999,UCRETLER!$E$7:$E$406)))+SUMIFS(GELIR_GIDER!$G$7:$G$1206,GELIR_GIDER!$V$7:$V$1206,1,GELIR_GIDER!$C$7:$C$1206,"&gt;="&amp;$B33,GELIR_GIDER!$C$7:$C$1206,"&lt;"&amp;EDATE($B33,1))</f>
        <v/>
      </c>
      <c r="D33" s="245">
        <f>SUMIFS(TAHSILAT!$F$7:$F$1506,TAHSILAT!$E$7:$E$1506,"&gt;="&amp;$B33,TAHSILAT!$E$7:$E$1506,"&lt;"&amp;EDATE($B33,1),TAHSILAT!$H$7:$H$1506,"&lt;&gt;Mahsup")</f>
        <v/>
      </c>
      <c r="E33" s="245">
        <f>SUMIFS(GELIR_GIDER!$G$7:$G$1206,GELIR_GIDER!$D$7:$D$1206,"Gelir",GELIR_GIDER!$C$7:$C$1206,"&gt;="&amp;$B33,GELIR_GIDER!$C$7:$C$1206,"&lt;"&amp;EDATE($B33,1),GELIR_GIDER!$I$7:$I$1206,"Evet")</f>
        <v/>
      </c>
      <c r="F33" s="245">
        <f>$D33+$E33</f>
        <v/>
      </c>
      <c r="G33" s="245">
        <f>SUMIFS(GELIR_GIDER!$G$7:$G$1206,GELIR_GIDER!$D$7:$D$1206,"Gider",GELIR_GIDER!$C$7:$C$1206,"&gt;="&amp;$B33,GELIR_GIDER!$C$7:$C$1206,"&lt;"&amp;EDATE($B33,1),GELIR_GIDER!$I$7:$I$1206,"Evet")</f>
        <v/>
      </c>
      <c r="H33" s="245">
        <f>$C33+$E33-SUMIFS(GELIR_GIDER!$G$7:$G$1206,GELIR_GIDER!$D$7:$D$1206,"Gider",GELIR_GIDER!$C$7:$C$1206,"&gt;="&amp;$B33,GELIR_GIDER!$C$7:$C$1206,"&lt;"&amp;EDATE($B33,1))</f>
        <v/>
      </c>
      <c r="I33" s="245">
        <f>$F33-$G33</f>
        <v/>
      </c>
      <c r="J33" s="229">
        <f>IFERROR($D33/$C33,0)</f>
        <v/>
      </c>
      <c r="K33" s="245">
        <f>SISTEM!$C$13</f>
        <v/>
      </c>
      <c r="L33" s="245">
        <f>MAX(0,SUM($I$7:$I33)-$K33-SUM($P$7:$P33)-SUM($Q$7:$Q33))</f>
        <v/>
      </c>
      <c r="M33" s="245">
        <f>$L33*SISTEM!$C$11</f>
        <v/>
      </c>
      <c r="N33" s="245">
        <f>$L33*SISTEM!$C$12</f>
        <v/>
      </c>
      <c r="O33" s="108" t="n"/>
      <c r="P33" s="246" t="n"/>
      <c r="Q33" s="246" t="n"/>
      <c r="R33" s="245">
        <f>MAX(0,$L33-$P33-$Q33)</f>
        <v/>
      </c>
      <c r="S33" s="113">
        <f>IF($B33&gt;=DATE(YEAR(TODAY()),MONTH(TODAY()),1),"AÇIK",IF(COUNTIFS(SISTEM!$C$23:$C$55,"KRİTİK",SISTEM!$F$23:$F$55,"KALDI")&gt;0,"KAPATILAMAZ",IF(COUNTIF(SISTEM!$F$23:$F$55,"KALDI")=0,"KAPANABİLİR","UYARI VAR – KAPATILABİLİR")))</f>
        <v/>
      </c>
      <c r="T33" s="113">
        <f>IF(ABS($L33-$M33-$N33)&lt;0.01,IF(AND($O33="Evet",ABS($R33)&lt;0.01),"KAPANDI","AÇIK"),"PAY HATASI")</f>
        <v/>
      </c>
      <c r="U33" s="6" t="n"/>
      <c r="V33" s="6" t="n"/>
    </row>
    <row r="34">
      <c r="A34" s="6" t="n"/>
      <c r="B34" s="226" t="n">
        <v>46844</v>
      </c>
      <c r="C34" s="245">
        <f>SUMPRODUCT(IF(UCRETLER!$G$7:$G$406="",0,UCRETLER!$G$7:$G$406)*(UCRETLER!$F$7:$F$406="Haftalık")*IF(UCRETLER!$C$7:$C$406="",0,IF(IF(IF(UCRETLER!$E$7:$E$406="",999999,UCRETLER!$E$7:$E$406)&gt;EOMONTH($B34,0),EOMONTH($B34,0)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34,0),EOMONTH($B34,0)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34-1,$B34-1,IF(UCRETLER!$E$7:$E$406="",999999,UCRETLER!$E$7:$E$406))&lt;(IF(UCRETLER!$D$7:$D$406="",999999,UCRETLER!$D$7:$D$406)+MOD(SISTEM!$F$8-WEEKDAY(IF(UCRETLER!$D$7:$D$406="",999999,UCRETLER!$D$7:$D$406),2),7)),0,INT((IF(IF(UCRETLER!$E$7:$E$406="",999999,UCRETLER!$E$7:$E$406)&gt;$B34-1,$B34-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34,0)&gt;=IF(UCRETLER!$D$7:$D$406="",999999,UCRETLER!$D$7:$D$406))*(EOMONTH($B34,0)&lt;=IF(UCRETLER!$E$7:$E$406="",999999,UCRETLER!$E$7:$E$406)))+SUMIFS(GELIR_GIDER!$G$7:$G$1206,GELIR_GIDER!$V$7:$V$1206,1,GELIR_GIDER!$C$7:$C$1206,"&gt;="&amp;$B34,GELIR_GIDER!$C$7:$C$1206,"&lt;"&amp;EDATE($B34,1))</f>
        <v/>
      </c>
      <c r="D34" s="245">
        <f>SUMIFS(TAHSILAT!$F$7:$F$1506,TAHSILAT!$E$7:$E$1506,"&gt;="&amp;$B34,TAHSILAT!$E$7:$E$1506,"&lt;"&amp;EDATE($B34,1),TAHSILAT!$H$7:$H$1506,"&lt;&gt;Mahsup")</f>
        <v/>
      </c>
      <c r="E34" s="245">
        <f>SUMIFS(GELIR_GIDER!$G$7:$G$1206,GELIR_GIDER!$D$7:$D$1206,"Gelir",GELIR_GIDER!$C$7:$C$1206,"&gt;="&amp;$B34,GELIR_GIDER!$C$7:$C$1206,"&lt;"&amp;EDATE($B34,1),GELIR_GIDER!$I$7:$I$1206,"Evet")</f>
        <v/>
      </c>
      <c r="F34" s="245">
        <f>$D34+$E34</f>
        <v/>
      </c>
      <c r="G34" s="245">
        <f>SUMIFS(GELIR_GIDER!$G$7:$G$1206,GELIR_GIDER!$D$7:$D$1206,"Gider",GELIR_GIDER!$C$7:$C$1206,"&gt;="&amp;$B34,GELIR_GIDER!$C$7:$C$1206,"&lt;"&amp;EDATE($B34,1),GELIR_GIDER!$I$7:$I$1206,"Evet")</f>
        <v/>
      </c>
      <c r="H34" s="245">
        <f>$C34+$E34-SUMIFS(GELIR_GIDER!$G$7:$G$1206,GELIR_GIDER!$D$7:$D$1206,"Gider",GELIR_GIDER!$C$7:$C$1206,"&gt;="&amp;$B34,GELIR_GIDER!$C$7:$C$1206,"&lt;"&amp;EDATE($B34,1))</f>
        <v/>
      </c>
      <c r="I34" s="245">
        <f>$F34-$G34</f>
        <v/>
      </c>
      <c r="J34" s="229">
        <f>IFERROR($D34/$C34,0)</f>
        <v/>
      </c>
      <c r="K34" s="245">
        <f>SISTEM!$C$13</f>
        <v/>
      </c>
      <c r="L34" s="245">
        <f>MAX(0,SUM($I$7:$I34)-$K34-SUM($P$7:$P34)-SUM($Q$7:$Q34))</f>
        <v/>
      </c>
      <c r="M34" s="245">
        <f>$L34*SISTEM!$C$11</f>
        <v/>
      </c>
      <c r="N34" s="245">
        <f>$L34*SISTEM!$C$12</f>
        <v/>
      </c>
      <c r="O34" s="108" t="n"/>
      <c r="P34" s="246" t="n"/>
      <c r="Q34" s="246" t="n"/>
      <c r="R34" s="245">
        <f>MAX(0,$L34-$P34-$Q34)</f>
        <v/>
      </c>
      <c r="S34" s="113">
        <f>IF($B34&gt;=DATE(YEAR(TODAY()),MONTH(TODAY()),1),"AÇIK",IF(COUNTIFS(SISTEM!$C$23:$C$55,"KRİTİK",SISTEM!$F$23:$F$55,"KALDI")&gt;0,"KAPATILAMAZ",IF(COUNTIF(SISTEM!$F$23:$F$55,"KALDI")=0,"KAPANABİLİR","UYARI VAR – KAPATILABİLİR")))</f>
        <v/>
      </c>
      <c r="T34" s="113">
        <f>IF(ABS($L34-$M34-$N34)&lt;0.01,IF(AND($O34="Evet",ABS($R34)&lt;0.01),"KAPANDI","AÇIK"),"PAY HATASI")</f>
        <v/>
      </c>
      <c r="U34" s="6" t="n"/>
      <c r="V34" s="6" t="n"/>
    </row>
    <row r="35">
      <c r="A35" s="6" t="n"/>
      <c r="B35" s="226" t="n">
        <v>46874</v>
      </c>
      <c r="C35" s="245">
        <f>SUMPRODUCT(IF(UCRETLER!$G$7:$G$406="",0,UCRETLER!$G$7:$G$406)*(UCRETLER!$F$7:$F$406="Haftalık")*IF(UCRETLER!$C$7:$C$406="",0,IF(IF(IF(UCRETLER!$E$7:$E$406="",999999,UCRETLER!$E$7:$E$406)&gt;EOMONTH($B35,0),EOMONTH($B35,0)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35,0),EOMONTH($B35,0)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35-1,$B35-1,IF(UCRETLER!$E$7:$E$406="",999999,UCRETLER!$E$7:$E$406))&lt;(IF(UCRETLER!$D$7:$D$406="",999999,UCRETLER!$D$7:$D$406)+MOD(SISTEM!$F$8-WEEKDAY(IF(UCRETLER!$D$7:$D$406="",999999,UCRETLER!$D$7:$D$406),2),7)),0,INT((IF(IF(UCRETLER!$E$7:$E$406="",999999,UCRETLER!$E$7:$E$406)&gt;$B35-1,$B35-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35,0)&gt;=IF(UCRETLER!$D$7:$D$406="",999999,UCRETLER!$D$7:$D$406))*(EOMONTH($B35,0)&lt;=IF(UCRETLER!$E$7:$E$406="",999999,UCRETLER!$E$7:$E$406)))+SUMIFS(GELIR_GIDER!$G$7:$G$1206,GELIR_GIDER!$V$7:$V$1206,1,GELIR_GIDER!$C$7:$C$1206,"&gt;="&amp;$B35,GELIR_GIDER!$C$7:$C$1206,"&lt;"&amp;EDATE($B35,1))</f>
        <v/>
      </c>
      <c r="D35" s="245">
        <f>SUMIFS(TAHSILAT!$F$7:$F$1506,TAHSILAT!$E$7:$E$1506,"&gt;="&amp;$B35,TAHSILAT!$E$7:$E$1506,"&lt;"&amp;EDATE($B35,1),TAHSILAT!$H$7:$H$1506,"&lt;&gt;Mahsup")</f>
        <v/>
      </c>
      <c r="E35" s="245">
        <f>SUMIFS(GELIR_GIDER!$G$7:$G$1206,GELIR_GIDER!$D$7:$D$1206,"Gelir",GELIR_GIDER!$C$7:$C$1206,"&gt;="&amp;$B35,GELIR_GIDER!$C$7:$C$1206,"&lt;"&amp;EDATE($B35,1),GELIR_GIDER!$I$7:$I$1206,"Evet")</f>
        <v/>
      </c>
      <c r="F35" s="245">
        <f>$D35+$E35</f>
        <v/>
      </c>
      <c r="G35" s="245">
        <f>SUMIFS(GELIR_GIDER!$G$7:$G$1206,GELIR_GIDER!$D$7:$D$1206,"Gider",GELIR_GIDER!$C$7:$C$1206,"&gt;="&amp;$B35,GELIR_GIDER!$C$7:$C$1206,"&lt;"&amp;EDATE($B35,1),GELIR_GIDER!$I$7:$I$1206,"Evet")</f>
        <v/>
      </c>
      <c r="H35" s="245">
        <f>$C35+$E35-SUMIFS(GELIR_GIDER!$G$7:$G$1206,GELIR_GIDER!$D$7:$D$1206,"Gider",GELIR_GIDER!$C$7:$C$1206,"&gt;="&amp;$B35,GELIR_GIDER!$C$7:$C$1206,"&lt;"&amp;EDATE($B35,1))</f>
        <v/>
      </c>
      <c r="I35" s="245">
        <f>$F35-$G35</f>
        <v/>
      </c>
      <c r="J35" s="229">
        <f>IFERROR($D35/$C35,0)</f>
        <v/>
      </c>
      <c r="K35" s="245">
        <f>SISTEM!$C$13</f>
        <v/>
      </c>
      <c r="L35" s="245">
        <f>MAX(0,SUM($I$7:$I35)-$K35-SUM($P$7:$P35)-SUM($Q$7:$Q35))</f>
        <v/>
      </c>
      <c r="M35" s="245">
        <f>$L35*SISTEM!$C$11</f>
        <v/>
      </c>
      <c r="N35" s="245">
        <f>$L35*SISTEM!$C$12</f>
        <v/>
      </c>
      <c r="O35" s="108" t="n"/>
      <c r="P35" s="246" t="n"/>
      <c r="Q35" s="246" t="n"/>
      <c r="R35" s="245">
        <f>MAX(0,$L35-$P35-$Q35)</f>
        <v/>
      </c>
      <c r="S35" s="113">
        <f>IF($B35&gt;=DATE(YEAR(TODAY()),MONTH(TODAY()),1),"AÇIK",IF(COUNTIFS(SISTEM!$C$23:$C$55,"KRİTİK",SISTEM!$F$23:$F$55,"KALDI")&gt;0,"KAPATILAMAZ",IF(COUNTIF(SISTEM!$F$23:$F$55,"KALDI")=0,"KAPANABİLİR","UYARI VAR – KAPATILABİLİR")))</f>
        <v/>
      </c>
      <c r="T35" s="113">
        <f>IF(ABS($L35-$M35-$N35)&lt;0.01,IF(AND($O35="Evet",ABS($R35)&lt;0.01),"KAPANDI","AÇIK"),"PAY HATASI")</f>
        <v/>
      </c>
      <c r="U35" s="6" t="n"/>
      <c r="V35" s="6" t="n"/>
    </row>
    <row r="36">
      <c r="A36" s="6" t="n"/>
      <c r="B36" s="226" t="n">
        <v>46905</v>
      </c>
      <c r="C36" s="245">
        <f>SUMPRODUCT(IF(UCRETLER!$G$7:$G$406="",0,UCRETLER!$G$7:$G$406)*(UCRETLER!$F$7:$F$406="Haftalık")*IF(UCRETLER!$C$7:$C$406="",0,IF(IF(IF(UCRETLER!$E$7:$E$406="",999999,UCRETLER!$E$7:$E$406)&gt;EOMONTH($B36,0),EOMONTH($B36,0)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36,0),EOMONTH($B36,0)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36-1,$B36-1,IF(UCRETLER!$E$7:$E$406="",999999,UCRETLER!$E$7:$E$406))&lt;(IF(UCRETLER!$D$7:$D$406="",999999,UCRETLER!$D$7:$D$406)+MOD(SISTEM!$F$8-WEEKDAY(IF(UCRETLER!$D$7:$D$406="",999999,UCRETLER!$D$7:$D$406),2),7)),0,INT((IF(IF(UCRETLER!$E$7:$E$406="",999999,UCRETLER!$E$7:$E$406)&gt;$B36-1,$B36-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36,0)&gt;=IF(UCRETLER!$D$7:$D$406="",999999,UCRETLER!$D$7:$D$406))*(EOMONTH($B36,0)&lt;=IF(UCRETLER!$E$7:$E$406="",999999,UCRETLER!$E$7:$E$406)))+SUMIFS(GELIR_GIDER!$G$7:$G$1206,GELIR_GIDER!$V$7:$V$1206,1,GELIR_GIDER!$C$7:$C$1206,"&gt;="&amp;$B36,GELIR_GIDER!$C$7:$C$1206,"&lt;"&amp;EDATE($B36,1))</f>
        <v/>
      </c>
      <c r="D36" s="245">
        <f>SUMIFS(TAHSILAT!$F$7:$F$1506,TAHSILAT!$E$7:$E$1506,"&gt;="&amp;$B36,TAHSILAT!$E$7:$E$1506,"&lt;"&amp;EDATE($B36,1),TAHSILAT!$H$7:$H$1506,"&lt;&gt;Mahsup")</f>
        <v/>
      </c>
      <c r="E36" s="245">
        <f>SUMIFS(GELIR_GIDER!$G$7:$G$1206,GELIR_GIDER!$D$7:$D$1206,"Gelir",GELIR_GIDER!$C$7:$C$1206,"&gt;="&amp;$B36,GELIR_GIDER!$C$7:$C$1206,"&lt;"&amp;EDATE($B36,1),GELIR_GIDER!$I$7:$I$1206,"Evet")</f>
        <v/>
      </c>
      <c r="F36" s="245">
        <f>$D36+$E36</f>
        <v/>
      </c>
      <c r="G36" s="245">
        <f>SUMIFS(GELIR_GIDER!$G$7:$G$1206,GELIR_GIDER!$D$7:$D$1206,"Gider",GELIR_GIDER!$C$7:$C$1206,"&gt;="&amp;$B36,GELIR_GIDER!$C$7:$C$1206,"&lt;"&amp;EDATE($B36,1),GELIR_GIDER!$I$7:$I$1206,"Evet")</f>
        <v/>
      </c>
      <c r="H36" s="245">
        <f>$C36+$E36-SUMIFS(GELIR_GIDER!$G$7:$G$1206,GELIR_GIDER!$D$7:$D$1206,"Gider",GELIR_GIDER!$C$7:$C$1206,"&gt;="&amp;$B36,GELIR_GIDER!$C$7:$C$1206,"&lt;"&amp;EDATE($B36,1))</f>
        <v/>
      </c>
      <c r="I36" s="245">
        <f>$F36-$G36</f>
        <v/>
      </c>
      <c r="J36" s="229">
        <f>IFERROR($D36/$C36,0)</f>
        <v/>
      </c>
      <c r="K36" s="245">
        <f>SISTEM!$C$13</f>
        <v/>
      </c>
      <c r="L36" s="245">
        <f>MAX(0,SUM($I$7:$I36)-$K36-SUM($P$7:$P36)-SUM($Q$7:$Q36))</f>
        <v/>
      </c>
      <c r="M36" s="245">
        <f>$L36*SISTEM!$C$11</f>
        <v/>
      </c>
      <c r="N36" s="245">
        <f>$L36*SISTEM!$C$12</f>
        <v/>
      </c>
      <c r="O36" s="108" t="n"/>
      <c r="P36" s="246" t="n"/>
      <c r="Q36" s="246" t="n"/>
      <c r="R36" s="245">
        <f>MAX(0,$L36-$P36-$Q36)</f>
        <v/>
      </c>
      <c r="S36" s="113">
        <f>IF($B36&gt;=DATE(YEAR(TODAY()),MONTH(TODAY()),1),"AÇIK",IF(COUNTIFS(SISTEM!$C$23:$C$55,"KRİTİK",SISTEM!$F$23:$F$55,"KALDI")&gt;0,"KAPATILAMAZ",IF(COUNTIF(SISTEM!$F$23:$F$55,"KALDI")=0,"KAPANABİLİR","UYARI VAR – KAPATILABİLİR")))</f>
        <v/>
      </c>
      <c r="T36" s="113">
        <f>IF(ABS($L36-$M36-$N36)&lt;0.01,IF(AND($O36="Evet",ABS($R36)&lt;0.01),"KAPANDI","AÇIK"),"PAY HATASI")</f>
        <v/>
      </c>
      <c r="U36" s="6" t="n"/>
      <c r="V36" s="6" t="n"/>
    </row>
    <row r="37">
      <c r="A37" s="6" t="n"/>
      <c r="B37" s="226" t="n">
        <v>46935</v>
      </c>
      <c r="C37" s="245">
        <f>SUMPRODUCT(IF(UCRETLER!$G$7:$G$406="",0,UCRETLER!$G$7:$G$406)*(UCRETLER!$F$7:$F$406="Haftalık")*IF(UCRETLER!$C$7:$C$406="",0,IF(IF(IF(UCRETLER!$E$7:$E$406="",999999,UCRETLER!$E$7:$E$406)&gt;EOMONTH($B37,0),EOMONTH($B37,0)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37,0),EOMONTH($B37,0)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37-1,$B37-1,IF(UCRETLER!$E$7:$E$406="",999999,UCRETLER!$E$7:$E$406))&lt;(IF(UCRETLER!$D$7:$D$406="",999999,UCRETLER!$D$7:$D$406)+MOD(SISTEM!$F$8-WEEKDAY(IF(UCRETLER!$D$7:$D$406="",999999,UCRETLER!$D$7:$D$406),2),7)),0,INT((IF(IF(UCRETLER!$E$7:$E$406="",999999,UCRETLER!$E$7:$E$406)&gt;$B37-1,$B37-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37,0)&gt;=IF(UCRETLER!$D$7:$D$406="",999999,UCRETLER!$D$7:$D$406))*(EOMONTH($B37,0)&lt;=IF(UCRETLER!$E$7:$E$406="",999999,UCRETLER!$E$7:$E$406)))+SUMIFS(GELIR_GIDER!$G$7:$G$1206,GELIR_GIDER!$V$7:$V$1206,1,GELIR_GIDER!$C$7:$C$1206,"&gt;="&amp;$B37,GELIR_GIDER!$C$7:$C$1206,"&lt;"&amp;EDATE($B37,1))</f>
        <v/>
      </c>
      <c r="D37" s="245">
        <f>SUMIFS(TAHSILAT!$F$7:$F$1506,TAHSILAT!$E$7:$E$1506,"&gt;="&amp;$B37,TAHSILAT!$E$7:$E$1506,"&lt;"&amp;EDATE($B37,1),TAHSILAT!$H$7:$H$1506,"&lt;&gt;Mahsup")</f>
        <v/>
      </c>
      <c r="E37" s="245">
        <f>SUMIFS(GELIR_GIDER!$G$7:$G$1206,GELIR_GIDER!$D$7:$D$1206,"Gelir",GELIR_GIDER!$C$7:$C$1206,"&gt;="&amp;$B37,GELIR_GIDER!$C$7:$C$1206,"&lt;"&amp;EDATE($B37,1),GELIR_GIDER!$I$7:$I$1206,"Evet")</f>
        <v/>
      </c>
      <c r="F37" s="245">
        <f>$D37+$E37</f>
        <v/>
      </c>
      <c r="G37" s="245">
        <f>SUMIFS(GELIR_GIDER!$G$7:$G$1206,GELIR_GIDER!$D$7:$D$1206,"Gider",GELIR_GIDER!$C$7:$C$1206,"&gt;="&amp;$B37,GELIR_GIDER!$C$7:$C$1206,"&lt;"&amp;EDATE($B37,1),GELIR_GIDER!$I$7:$I$1206,"Evet")</f>
        <v/>
      </c>
      <c r="H37" s="245">
        <f>$C37+$E37-SUMIFS(GELIR_GIDER!$G$7:$G$1206,GELIR_GIDER!$D$7:$D$1206,"Gider",GELIR_GIDER!$C$7:$C$1206,"&gt;="&amp;$B37,GELIR_GIDER!$C$7:$C$1206,"&lt;"&amp;EDATE($B37,1))</f>
        <v/>
      </c>
      <c r="I37" s="245">
        <f>$F37-$G37</f>
        <v/>
      </c>
      <c r="J37" s="229">
        <f>IFERROR($D37/$C37,0)</f>
        <v/>
      </c>
      <c r="K37" s="245">
        <f>SISTEM!$C$13</f>
        <v/>
      </c>
      <c r="L37" s="245">
        <f>MAX(0,SUM($I$7:$I37)-$K37-SUM($P$7:$P37)-SUM($Q$7:$Q37))</f>
        <v/>
      </c>
      <c r="M37" s="245">
        <f>$L37*SISTEM!$C$11</f>
        <v/>
      </c>
      <c r="N37" s="245">
        <f>$L37*SISTEM!$C$12</f>
        <v/>
      </c>
      <c r="O37" s="108" t="n"/>
      <c r="P37" s="246" t="n"/>
      <c r="Q37" s="246" t="n"/>
      <c r="R37" s="245">
        <f>MAX(0,$L37-$P37-$Q37)</f>
        <v/>
      </c>
      <c r="S37" s="113">
        <f>IF($B37&gt;=DATE(YEAR(TODAY()),MONTH(TODAY()),1),"AÇIK",IF(COUNTIFS(SISTEM!$C$23:$C$55,"KRİTİK",SISTEM!$F$23:$F$55,"KALDI")&gt;0,"KAPATILAMAZ",IF(COUNTIF(SISTEM!$F$23:$F$55,"KALDI")=0,"KAPANABİLİR","UYARI VAR – KAPATILABİLİR")))</f>
        <v/>
      </c>
      <c r="T37" s="113">
        <f>IF(ABS($L37-$M37-$N37)&lt;0.01,IF(AND($O37="Evet",ABS($R37)&lt;0.01),"KAPANDI","AÇIK"),"PAY HATASI")</f>
        <v/>
      </c>
      <c r="U37" s="6" t="n"/>
      <c r="V37" s="6" t="n"/>
    </row>
    <row r="38">
      <c r="A38" s="6" t="n"/>
      <c r="B38" s="226" t="n">
        <v>46966</v>
      </c>
      <c r="C38" s="245">
        <f>SUMPRODUCT(IF(UCRETLER!$G$7:$G$406="",0,UCRETLER!$G$7:$G$406)*(UCRETLER!$F$7:$F$406="Haftalık")*IF(UCRETLER!$C$7:$C$406="",0,IF(IF(IF(UCRETLER!$E$7:$E$406="",999999,UCRETLER!$E$7:$E$406)&gt;EOMONTH($B38,0),EOMONTH($B38,0)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38,0),EOMONTH($B38,0)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38-1,$B38-1,IF(UCRETLER!$E$7:$E$406="",999999,UCRETLER!$E$7:$E$406))&lt;(IF(UCRETLER!$D$7:$D$406="",999999,UCRETLER!$D$7:$D$406)+MOD(SISTEM!$F$8-WEEKDAY(IF(UCRETLER!$D$7:$D$406="",999999,UCRETLER!$D$7:$D$406),2),7)),0,INT((IF(IF(UCRETLER!$E$7:$E$406="",999999,UCRETLER!$E$7:$E$406)&gt;$B38-1,$B38-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38,0)&gt;=IF(UCRETLER!$D$7:$D$406="",999999,UCRETLER!$D$7:$D$406))*(EOMONTH($B38,0)&lt;=IF(UCRETLER!$E$7:$E$406="",999999,UCRETLER!$E$7:$E$406)))+SUMIFS(GELIR_GIDER!$G$7:$G$1206,GELIR_GIDER!$V$7:$V$1206,1,GELIR_GIDER!$C$7:$C$1206,"&gt;="&amp;$B38,GELIR_GIDER!$C$7:$C$1206,"&lt;"&amp;EDATE($B38,1))</f>
        <v/>
      </c>
      <c r="D38" s="245">
        <f>SUMIFS(TAHSILAT!$F$7:$F$1506,TAHSILAT!$E$7:$E$1506,"&gt;="&amp;$B38,TAHSILAT!$E$7:$E$1506,"&lt;"&amp;EDATE($B38,1),TAHSILAT!$H$7:$H$1506,"&lt;&gt;Mahsup")</f>
        <v/>
      </c>
      <c r="E38" s="245">
        <f>SUMIFS(GELIR_GIDER!$G$7:$G$1206,GELIR_GIDER!$D$7:$D$1206,"Gelir",GELIR_GIDER!$C$7:$C$1206,"&gt;="&amp;$B38,GELIR_GIDER!$C$7:$C$1206,"&lt;"&amp;EDATE($B38,1),GELIR_GIDER!$I$7:$I$1206,"Evet")</f>
        <v/>
      </c>
      <c r="F38" s="245">
        <f>$D38+$E38</f>
        <v/>
      </c>
      <c r="G38" s="245">
        <f>SUMIFS(GELIR_GIDER!$G$7:$G$1206,GELIR_GIDER!$D$7:$D$1206,"Gider",GELIR_GIDER!$C$7:$C$1206,"&gt;="&amp;$B38,GELIR_GIDER!$C$7:$C$1206,"&lt;"&amp;EDATE($B38,1),GELIR_GIDER!$I$7:$I$1206,"Evet")</f>
        <v/>
      </c>
      <c r="H38" s="245">
        <f>$C38+$E38-SUMIFS(GELIR_GIDER!$G$7:$G$1206,GELIR_GIDER!$D$7:$D$1206,"Gider",GELIR_GIDER!$C$7:$C$1206,"&gt;="&amp;$B38,GELIR_GIDER!$C$7:$C$1206,"&lt;"&amp;EDATE($B38,1))</f>
        <v/>
      </c>
      <c r="I38" s="245">
        <f>$F38-$G38</f>
        <v/>
      </c>
      <c r="J38" s="229">
        <f>IFERROR($D38/$C38,0)</f>
        <v/>
      </c>
      <c r="K38" s="245">
        <f>SISTEM!$C$13</f>
        <v/>
      </c>
      <c r="L38" s="245">
        <f>MAX(0,SUM($I$7:$I38)-$K38-SUM($P$7:$P38)-SUM($Q$7:$Q38))</f>
        <v/>
      </c>
      <c r="M38" s="245">
        <f>$L38*SISTEM!$C$11</f>
        <v/>
      </c>
      <c r="N38" s="245">
        <f>$L38*SISTEM!$C$12</f>
        <v/>
      </c>
      <c r="O38" s="108" t="n"/>
      <c r="P38" s="246" t="n"/>
      <c r="Q38" s="246" t="n"/>
      <c r="R38" s="245">
        <f>MAX(0,$L38-$P38-$Q38)</f>
        <v/>
      </c>
      <c r="S38" s="113">
        <f>IF($B38&gt;=DATE(YEAR(TODAY()),MONTH(TODAY()),1),"AÇIK",IF(COUNTIFS(SISTEM!$C$23:$C$55,"KRİTİK",SISTEM!$F$23:$F$55,"KALDI")&gt;0,"KAPATILAMAZ",IF(COUNTIF(SISTEM!$F$23:$F$55,"KALDI")=0,"KAPANABİLİR","UYARI VAR – KAPATILABİLİR")))</f>
        <v/>
      </c>
      <c r="T38" s="113">
        <f>IF(ABS($L38-$M38-$N38)&lt;0.01,IF(AND($O38="Evet",ABS($R38)&lt;0.01),"KAPANDI","AÇIK"),"PAY HATASI")</f>
        <v/>
      </c>
      <c r="U38" s="6" t="n"/>
      <c r="V38" s="6" t="n"/>
    </row>
    <row r="39">
      <c r="A39" s="6" t="n"/>
      <c r="B39" s="226" t="n">
        <v>46997</v>
      </c>
      <c r="C39" s="245">
        <f>SUMPRODUCT(IF(UCRETLER!$G$7:$G$406="",0,UCRETLER!$G$7:$G$406)*(UCRETLER!$F$7:$F$406="Haftalık")*IF(UCRETLER!$C$7:$C$406="",0,IF(IF(IF(UCRETLER!$E$7:$E$406="",999999,UCRETLER!$E$7:$E$406)&gt;EOMONTH($B39,0),EOMONTH($B39,0)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39,0),EOMONTH($B39,0),IF(UCRETLER!$E$7:$E$406="",999999,UCRETLER!$E$7:$E$406))-(IF(UCRETLER!$D$7:$D$406="",999999,UCRETLER!$D$7:$D$406)+MOD(SISTEM!$F$8-WEEKDAY(IF(UCRETLER!$D$7:$D$406="",999999,UCRETLER!$D$7:$D$406),2),7)))/7)+1)-IF(IF(IF(UCRETLER!$E$7:$E$406="",999999,UCRETLER!$E$7:$E$406)&gt;$B39-1,$B39-1,IF(UCRETLER!$E$7:$E$406="",999999,UCRETLER!$E$7:$E$406))&lt;(IF(UCRETLER!$D$7:$D$406="",999999,UCRETLER!$D$7:$D$406)+MOD(SISTEM!$F$8-WEEKDAY(IF(UCRETLER!$D$7:$D$406="",999999,UCRETLER!$D$7:$D$406),2),7)),0,INT((IF(IF(UCRETLER!$E$7:$E$406="",999999,UCRETLER!$E$7:$E$406)&gt;$B39-1,$B39-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39,0)&gt;=IF(UCRETLER!$D$7:$D$406="",999999,UCRETLER!$D$7:$D$406))*(EOMONTH($B39,0)&lt;=IF(UCRETLER!$E$7:$E$406="",999999,UCRETLER!$E$7:$E$406)))+SUMIFS(GELIR_GIDER!$G$7:$G$1206,GELIR_GIDER!$V$7:$V$1206,1,GELIR_GIDER!$C$7:$C$1206,"&gt;="&amp;$B39,GELIR_GIDER!$C$7:$C$1206,"&lt;"&amp;EDATE($B39,1))</f>
        <v/>
      </c>
      <c r="D39" s="245">
        <f>SUMIFS(TAHSILAT!$F$7:$F$1506,TAHSILAT!$E$7:$E$1506,"&gt;="&amp;$B39,TAHSILAT!$E$7:$E$1506,"&lt;"&amp;EDATE($B39,1),TAHSILAT!$H$7:$H$1506,"&lt;&gt;Mahsup")</f>
        <v/>
      </c>
      <c r="E39" s="245">
        <f>SUMIFS(GELIR_GIDER!$G$7:$G$1206,GELIR_GIDER!$D$7:$D$1206,"Gelir",GELIR_GIDER!$C$7:$C$1206,"&gt;="&amp;$B39,GELIR_GIDER!$C$7:$C$1206,"&lt;"&amp;EDATE($B39,1),GELIR_GIDER!$I$7:$I$1206,"Evet")</f>
        <v/>
      </c>
      <c r="F39" s="245">
        <f>$D39+$E39</f>
        <v/>
      </c>
      <c r="G39" s="245">
        <f>SUMIFS(GELIR_GIDER!$G$7:$G$1206,GELIR_GIDER!$D$7:$D$1206,"Gider",GELIR_GIDER!$C$7:$C$1206,"&gt;="&amp;$B39,GELIR_GIDER!$C$7:$C$1206,"&lt;"&amp;EDATE($B39,1),GELIR_GIDER!$I$7:$I$1206,"Evet")</f>
        <v/>
      </c>
      <c r="H39" s="245">
        <f>$C39+$E39-SUMIFS(GELIR_GIDER!$G$7:$G$1206,GELIR_GIDER!$D$7:$D$1206,"Gider",GELIR_GIDER!$C$7:$C$1206,"&gt;="&amp;$B39,GELIR_GIDER!$C$7:$C$1206,"&lt;"&amp;EDATE($B39,1))</f>
        <v/>
      </c>
      <c r="I39" s="245">
        <f>$F39-$G39</f>
        <v/>
      </c>
      <c r="J39" s="229">
        <f>IFERROR($D39/$C39,0)</f>
        <v/>
      </c>
      <c r="K39" s="245">
        <f>SISTEM!$C$13</f>
        <v/>
      </c>
      <c r="L39" s="245">
        <f>MAX(0,SUM($I$7:$I39)-$K39-SUM($P$7:$P39)-SUM($Q$7:$Q39))</f>
        <v/>
      </c>
      <c r="M39" s="245">
        <f>$L39*SISTEM!$C$11</f>
        <v/>
      </c>
      <c r="N39" s="245">
        <f>$L39*SISTEM!$C$12</f>
        <v/>
      </c>
      <c r="O39" s="108" t="n"/>
      <c r="P39" s="246" t="n"/>
      <c r="Q39" s="246" t="n"/>
      <c r="R39" s="245">
        <f>MAX(0,$L39-$P39-$Q39)</f>
        <v/>
      </c>
      <c r="S39" s="113">
        <f>IF($B39&gt;=DATE(YEAR(TODAY()),MONTH(TODAY()),1),"AÇIK",IF(COUNTIFS(SISTEM!$C$23:$C$55,"KRİTİK",SISTEM!$F$23:$F$55,"KALDI")&gt;0,"KAPATILAMAZ",IF(COUNTIF(SISTEM!$F$23:$F$55,"KALDI")=0,"KAPANABİLİR","UYARI VAR – KAPATILABİLİR")))</f>
        <v/>
      </c>
      <c r="T39" s="113">
        <f>IF(ABS($L39-$M39-$N39)&lt;0.01,IF(AND($O39="Evet",ABS($R39)&lt;0.01),"KAPANDI","AÇIK"),"PAY HATASI")</f>
        <v/>
      </c>
      <c r="U39" s="6" t="n"/>
      <c r="V39" s="6" t="n"/>
    </row>
    <row r="40">
      <c r="A40" s="6" t="n"/>
      <c r="B40" s="226" t="n">
        <v>47027</v>
      </c>
      <c r="C40" s="245">
        <f>SUMPRODUCT(IF(UCRETLER!$G$7:$G$406="",0,UCRETLER!$G$7:$G$406)*(UCRETLER!$F$7:$F$406="Haftalık")*IF(UCRETLER!$C$7:$C$406="",0,IF(IF(IF(UCRETLER!$E$7:$E$406="",999999,UCRETLER!$E$7:$E$406)&gt;EOMONTH($B40,0),EOMONTH($B40,0)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40,0),EOMONTH($B40,0),IF(UCRETLER!$E$7:$E$406="",999999,UCRETLER!$E$7:$E$406))-(IF(UCRETLER!$D$7:$D$406="",999999,UCRETLER!$D$7:$D$406)+MOD(SISTEM!$F$8-WEEKDAY(IF(UCRETLER!$D$7:$D$406="",999999,UCRETLER!$D$7:$D$406),2),7)))/7)+1)-IF(IF(IF(UCRETLER!$E$7:$E$406="",999999,UCRETLER!$E$7:$E$406)&gt;$B40-1,$B40-1,IF(UCRETLER!$E$7:$E$406="",999999,UCRETLER!$E$7:$E$406))&lt;(IF(UCRETLER!$D$7:$D$406="",999999,UCRETLER!$D$7:$D$406)+MOD(SISTEM!$F$8-WEEKDAY(IF(UCRETLER!$D$7:$D$406="",999999,UCRETLER!$D$7:$D$406),2),7)),0,INT((IF(IF(UCRETLER!$E$7:$E$406="",999999,UCRETLER!$E$7:$E$406)&gt;$B40-1,$B40-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40,0)&gt;=IF(UCRETLER!$D$7:$D$406="",999999,UCRETLER!$D$7:$D$406))*(EOMONTH($B40,0)&lt;=IF(UCRETLER!$E$7:$E$406="",999999,UCRETLER!$E$7:$E$406)))+SUMIFS(GELIR_GIDER!$G$7:$G$1206,GELIR_GIDER!$V$7:$V$1206,1,GELIR_GIDER!$C$7:$C$1206,"&gt;="&amp;$B40,GELIR_GIDER!$C$7:$C$1206,"&lt;"&amp;EDATE($B40,1))</f>
        <v/>
      </c>
      <c r="D40" s="245">
        <f>SUMIFS(TAHSILAT!$F$7:$F$1506,TAHSILAT!$E$7:$E$1506,"&gt;="&amp;$B40,TAHSILAT!$E$7:$E$1506,"&lt;"&amp;EDATE($B40,1),TAHSILAT!$H$7:$H$1506,"&lt;&gt;Mahsup")</f>
        <v/>
      </c>
      <c r="E40" s="245">
        <f>SUMIFS(GELIR_GIDER!$G$7:$G$1206,GELIR_GIDER!$D$7:$D$1206,"Gelir",GELIR_GIDER!$C$7:$C$1206,"&gt;="&amp;$B40,GELIR_GIDER!$C$7:$C$1206,"&lt;"&amp;EDATE($B40,1),GELIR_GIDER!$I$7:$I$1206,"Evet")</f>
        <v/>
      </c>
      <c r="F40" s="245">
        <f>$D40+$E40</f>
        <v/>
      </c>
      <c r="G40" s="245">
        <f>SUMIFS(GELIR_GIDER!$G$7:$G$1206,GELIR_GIDER!$D$7:$D$1206,"Gider",GELIR_GIDER!$C$7:$C$1206,"&gt;="&amp;$B40,GELIR_GIDER!$C$7:$C$1206,"&lt;"&amp;EDATE($B40,1),GELIR_GIDER!$I$7:$I$1206,"Evet")</f>
        <v/>
      </c>
      <c r="H40" s="245">
        <f>$C40+$E40-SUMIFS(GELIR_GIDER!$G$7:$G$1206,GELIR_GIDER!$D$7:$D$1206,"Gider",GELIR_GIDER!$C$7:$C$1206,"&gt;="&amp;$B40,GELIR_GIDER!$C$7:$C$1206,"&lt;"&amp;EDATE($B40,1))</f>
        <v/>
      </c>
      <c r="I40" s="245">
        <f>$F40-$G40</f>
        <v/>
      </c>
      <c r="J40" s="229">
        <f>IFERROR($D40/$C40,0)</f>
        <v/>
      </c>
      <c r="K40" s="245">
        <f>SISTEM!$C$13</f>
        <v/>
      </c>
      <c r="L40" s="245">
        <f>MAX(0,SUM($I$7:$I40)-$K40-SUM($P$7:$P40)-SUM($Q$7:$Q40))</f>
        <v/>
      </c>
      <c r="M40" s="245">
        <f>$L40*SISTEM!$C$11</f>
        <v/>
      </c>
      <c r="N40" s="245">
        <f>$L40*SISTEM!$C$12</f>
        <v/>
      </c>
      <c r="O40" s="108" t="n"/>
      <c r="P40" s="246" t="n"/>
      <c r="Q40" s="246" t="n"/>
      <c r="R40" s="245">
        <f>MAX(0,$L40-$P40-$Q40)</f>
        <v/>
      </c>
      <c r="S40" s="113">
        <f>IF($B40&gt;=DATE(YEAR(TODAY()),MONTH(TODAY()),1),"AÇIK",IF(COUNTIFS(SISTEM!$C$23:$C$55,"KRİTİK",SISTEM!$F$23:$F$55,"KALDI")&gt;0,"KAPATILAMAZ",IF(COUNTIF(SISTEM!$F$23:$F$55,"KALDI")=0,"KAPANABİLİR","UYARI VAR – KAPATILABİLİR")))</f>
        <v/>
      </c>
      <c r="T40" s="113">
        <f>IF(ABS($L40-$M40-$N40)&lt;0.01,IF(AND($O40="Evet",ABS($R40)&lt;0.01),"KAPANDI","AÇIK"),"PAY HATASI")</f>
        <v/>
      </c>
      <c r="U40" s="6" t="n"/>
      <c r="V40" s="6" t="n"/>
    </row>
    <row r="41">
      <c r="A41" s="6" t="n"/>
      <c r="B41" s="226" t="n">
        <v>47058</v>
      </c>
      <c r="C41" s="245">
        <f>SUMPRODUCT(IF(UCRETLER!$G$7:$G$406="",0,UCRETLER!$G$7:$G$406)*(UCRETLER!$F$7:$F$406="Haftalık")*IF(UCRETLER!$C$7:$C$406="",0,IF(IF(IF(UCRETLER!$E$7:$E$406="",999999,UCRETLER!$E$7:$E$406)&gt;EOMONTH($B41,0),EOMONTH($B41,0)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41,0),EOMONTH($B41,0),IF(UCRETLER!$E$7:$E$406="",999999,UCRETLER!$E$7:$E$406))-(IF(UCRETLER!$D$7:$D$406="",999999,UCRETLER!$D$7:$D$406)+MOD(SISTEM!$F$8-WEEKDAY(IF(UCRETLER!$D$7:$D$406="",999999,UCRETLER!$D$7:$D$406),2),7)))/7)+1)-IF(IF(IF(UCRETLER!$E$7:$E$406="",999999,UCRETLER!$E$7:$E$406)&gt;$B41-1,$B41-1,IF(UCRETLER!$E$7:$E$406="",999999,UCRETLER!$E$7:$E$406))&lt;(IF(UCRETLER!$D$7:$D$406="",999999,UCRETLER!$D$7:$D$406)+MOD(SISTEM!$F$8-WEEKDAY(IF(UCRETLER!$D$7:$D$406="",999999,UCRETLER!$D$7:$D$406),2),7)),0,INT((IF(IF(UCRETLER!$E$7:$E$406="",999999,UCRETLER!$E$7:$E$406)&gt;$B41-1,$B41-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41,0)&gt;=IF(UCRETLER!$D$7:$D$406="",999999,UCRETLER!$D$7:$D$406))*(EOMONTH($B41,0)&lt;=IF(UCRETLER!$E$7:$E$406="",999999,UCRETLER!$E$7:$E$406)))+SUMIFS(GELIR_GIDER!$G$7:$G$1206,GELIR_GIDER!$V$7:$V$1206,1,GELIR_GIDER!$C$7:$C$1206,"&gt;="&amp;$B41,GELIR_GIDER!$C$7:$C$1206,"&lt;"&amp;EDATE($B41,1))</f>
        <v/>
      </c>
      <c r="D41" s="245">
        <f>SUMIFS(TAHSILAT!$F$7:$F$1506,TAHSILAT!$E$7:$E$1506,"&gt;="&amp;$B41,TAHSILAT!$E$7:$E$1506,"&lt;"&amp;EDATE($B41,1),TAHSILAT!$H$7:$H$1506,"&lt;&gt;Mahsup")</f>
        <v/>
      </c>
      <c r="E41" s="245">
        <f>SUMIFS(GELIR_GIDER!$G$7:$G$1206,GELIR_GIDER!$D$7:$D$1206,"Gelir",GELIR_GIDER!$C$7:$C$1206,"&gt;="&amp;$B41,GELIR_GIDER!$C$7:$C$1206,"&lt;"&amp;EDATE($B41,1),GELIR_GIDER!$I$7:$I$1206,"Evet")</f>
        <v/>
      </c>
      <c r="F41" s="245">
        <f>$D41+$E41</f>
        <v/>
      </c>
      <c r="G41" s="245">
        <f>SUMIFS(GELIR_GIDER!$G$7:$G$1206,GELIR_GIDER!$D$7:$D$1206,"Gider",GELIR_GIDER!$C$7:$C$1206,"&gt;="&amp;$B41,GELIR_GIDER!$C$7:$C$1206,"&lt;"&amp;EDATE($B41,1),GELIR_GIDER!$I$7:$I$1206,"Evet")</f>
        <v/>
      </c>
      <c r="H41" s="245">
        <f>$C41+$E41-SUMIFS(GELIR_GIDER!$G$7:$G$1206,GELIR_GIDER!$D$7:$D$1206,"Gider",GELIR_GIDER!$C$7:$C$1206,"&gt;="&amp;$B41,GELIR_GIDER!$C$7:$C$1206,"&lt;"&amp;EDATE($B41,1))</f>
        <v/>
      </c>
      <c r="I41" s="245">
        <f>$F41-$G41</f>
        <v/>
      </c>
      <c r="J41" s="229">
        <f>IFERROR($D41/$C41,0)</f>
        <v/>
      </c>
      <c r="K41" s="245">
        <f>SISTEM!$C$13</f>
        <v/>
      </c>
      <c r="L41" s="245">
        <f>MAX(0,SUM($I$7:$I41)-$K41-SUM($P$7:$P41)-SUM($Q$7:$Q41))</f>
        <v/>
      </c>
      <c r="M41" s="245">
        <f>$L41*SISTEM!$C$11</f>
        <v/>
      </c>
      <c r="N41" s="245">
        <f>$L41*SISTEM!$C$12</f>
        <v/>
      </c>
      <c r="O41" s="108" t="n"/>
      <c r="P41" s="246" t="n"/>
      <c r="Q41" s="246" t="n"/>
      <c r="R41" s="245">
        <f>MAX(0,$L41-$P41-$Q41)</f>
        <v/>
      </c>
      <c r="S41" s="113">
        <f>IF($B41&gt;=DATE(YEAR(TODAY()),MONTH(TODAY()),1),"AÇIK",IF(COUNTIFS(SISTEM!$C$23:$C$55,"KRİTİK",SISTEM!$F$23:$F$55,"KALDI")&gt;0,"KAPATILAMAZ",IF(COUNTIF(SISTEM!$F$23:$F$55,"KALDI")=0,"KAPANABİLİR","UYARI VAR – KAPATILABİLİR")))</f>
        <v/>
      </c>
      <c r="T41" s="113">
        <f>IF(ABS($L41-$M41-$N41)&lt;0.01,IF(AND($O41="Evet",ABS($R41)&lt;0.01),"KAPANDI","AÇIK"),"PAY HATASI")</f>
        <v/>
      </c>
      <c r="U41" s="6" t="n"/>
      <c r="V41" s="6" t="n"/>
    </row>
    <row r="42">
      <c r="A42" s="6" t="n"/>
      <c r="B42" s="226" t="n">
        <v>47088</v>
      </c>
      <c r="C42" s="245">
        <f>SUMPRODUCT(IF(UCRETLER!$G$7:$G$406="",0,UCRETLER!$G$7:$G$406)*(UCRETLER!$F$7:$F$406="Haftalık")*IF(UCRETLER!$C$7:$C$406="",0,IF(IF(IF(UCRETLER!$E$7:$E$406="",999999,UCRETLER!$E$7:$E$406)&gt;EOMONTH($B42,0),EOMONTH($B42,0),IF(UCRETLER!$E$7:$E$406="",999999,UCRETLER!$E$7:$E$406))&lt;(IF(UCRETLER!$D$7:$D$406="",999999,UCRETLER!$D$7:$D$406)+MOD(SISTEM!$F$8-WEEKDAY(IF(UCRETLER!$D$7:$D$406="",999999,UCRETLER!$D$7:$D$406),2),7)),0,INT((IF(IF(UCRETLER!$E$7:$E$406="",999999,UCRETLER!$E$7:$E$406)&gt;EOMONTH($B42,0),EOMONTH($B42,0),IF(UCRETLER!$E$7:$E$406="",999999,UCRETLER!$E$7:$E$406))-(IF(UCRETLER!$D$7:$D$406="",999999,UCRETLER!$D$7:$D$406)+MOD(SISTEM!$F$8-WEEKDAY(IF(UCRETLER!$D$7:$D$406="",999999,UCRETLER!$D$7:$D$406),2),7)))/7)+1)-IF(IF(IF(UCRETLER!$E$7:$E$406="",999999,UCRETLER!$E$7:$E$406)&gt;$B42-1,$B42-1,IF(UCRETLER!$E$7:$E$406="",999999,UCRETLER!$E$7:$E$406))&lt;(IF(UCRETLER!$D$7:$D$406="",999999,UCRETLER!$D$7:$D$406)+MOD(SISTEM!$F$8-WEEKDAY(IF(UCRETLER!$D$7:$D$406="",999999,UCRETLER!$D$7:$D$406),2),7)),0,INT((IF(IF(UCRETLER!$E$7:$E$406="",999999,UCRETLER!$E$7:$E$406)&gt;$B42-1,$B42-1,IF(UCRETLER!$E$7:$E$406="",999999,UCRETLER!$E$7:$E$406))-(IF(UCRETLER!$D$7:$D$406="",999999,UCRETLER!$D$7:$D$406)+MOD(SISTEM!$F$8-WEEKDAY(IF(UCRETLER!$D$7:$D$406="",999999,UCRETLER!$D$7:$D$406),2),7)))/7)+1)))+SUMPRODUCT(IF(UCRETLER!$G$7:$G$406="",0,UCRETLER!$G$7:$G$406)*(UCRETLER!$F$7:$F$406="Aylık")*(UCRETLER!$C$7:$C$406&lt;&gt;"")*(UCRETLER!$D$7:$D$406&lt;&gt;"")*(EOMONTH($B42,0)&gt;=IF(UCRETLER!$D$7:$D$406="",999999,UCRETLER!$D$7:$D$406))*(EOMONTH($B42,0)&lt;=IF(UCRETLER!$E$7:$E$406="",999999,UCRETLER!$E$7:$E$406)))+SUMIFS(GELIR_GIDER!$G$7:$G$1206,GELIR_GIDER!$V$7:$V$1206,1,GELIR_GIDER!$C$7:$C$1206,"&gt;="&amp;$B42,GELIR_GIDER!$C$7:$C$1206,"&lt;"&amp;EDATE($B42,1))</f>
        <v/>
      </c>
      <c r="D42" s="245">
        <f>SUMIFS(TAHSILAT!$F$7:$F$1506,TAHSILAT!$E$7:$E$1506,"&gt;="&amp;$B42,TAHSILAT!$E$7:$E$1506,"&lt;"&amp;EDATE($B42,1),TAHSILAT!$H$7:$H$1506,"&lt;&gt;Mahsup")</f>
        <v/>
      </c>
      <c r="E42" s="245">
        <f>SUMIFS(GELIR_GIDER!$G$7:$G$1206,GELIR_GIDER!$D$7:$D$1206,"Gelir",GELIR_GIDER!$C$7:$C$1206,"&gt;="&amp;$B42,GELIR_GIDER!$C$7:$C$1206,"&lt;"&amp;EDATE($B42,1),GELIR_GIDER!$I$7:$I$1206,"Evet")</f>
        <v/>
      </c>
      <c r="F42" s="245">
        <f>$D42+$E42</f>
        <v/>
      </c>
      <c r="G42" s="245">
        <f>SUMIFS(GELIR_GIDER!$G$7:$G$1206,GELIR_GIDER!$D$7:$D$1206,"Gider",GELIR_GIDER!$C$7:$C$1206,"&gt;="&amp;$B42,GELIR_GIDER!$C$7:$C$1206,"&lt;"&amp;EDATE($B42,1),GELIR_GIDER!$I$7:$I$1206,"Evet")</f>
        <v/>
      </c>
      <c r="H42" s="245">
        <f>$C42+$E42-SUMIFS(GELIR_GIDER!$G$7:$G$1206,GELIR_GIDER!$D$7:$D$1206,"Gider",GELIR_GIDER!$C$7:$C$1206,"&gt;="&amp;$B42,GELIR_GIDER!$C$7:$C$1206,"&lt;"&amp;EDATE($B42,1))</f>
        <v/>
      </c>
      <c r="I42" s="245">
        <f>$F42-$G42</f>
        <v/>
      </c>
      <c r="J42" s="229">
        <f>IFERROR($D42/$C42,0)</f>
        <v/>
      </c>
      <c r="K42" s="245">
        <f>SISTEM!$C$13</f>
        <v/>
      </c>
      <c r="L42" s="245">
        <f>MAX(0,SUM($I$7:$I42)-$K42-SUM($P$7:$P42)-SUM($Q$7:$Q42))</f>
        <v/>
      </c>
      <c r="M42" s="245">
        <f>$L42*SISTEM!$C$11</f>
        <v/>
      </c>
      <c r="N42" s="245">
        <f>$L42*SISTEM!$C$12</f>
        <v/>
      </c>
      <c r="O42" s="108" t="n"/>
      <c r="P42" s="246" t="n"/>
      <c r="Q42" s="246" t="n"/>
      <c r="R42" s="245">
        <f>MAX(0,$L42-$P42-$Q42)</f>
        <v/>
      </c>
      <c r="S42" s="113">
        <f>IF($B42&gt;=DATE(YEAR(TODAY()),MONTH(TODAY()),1),"AÇIK",IF(COUNTIFS(SISTEM!$C$23:$C$55,"KRİTİK",SISTEM!$F$23:$F$55,"KALDI")&gt;0,"KAPATILAMAZ",IF(COUNTIF(SISTEM!$F$23:$F$55,"KALDI")=0,"KAPANABİLİR","UYARI VAR – KAPATILABİLİR")))</f>
        <v/>
      </c>
      <c r="T42" s="113">
        <f>IF(ABS($L42-$M42-$N42)&lt;0.01,IF(AND($O42="Evet",ABS($R42)&lt;0.01),"KAPANDI","AÇIK"),"PAY HATASI")</f>
        <v/>
      </c>
      <c r="U42" s="6" t="n"/>
      <c r="V42" s="6" t="n"/>
    </row>
    <row r="43">
      <c r="A43" s="6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6" t="n"/>
      <c r="V43" s="6" t="n"/>
    </row>
    <row r="44">
      <c r="A44" s="6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6" t="n"/>
      <c r="V44" s="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autoFilter ref="B6:T42"/>
  <mergeCells count="2">
    <mergeCell ref="A1:T1"/>
    <mergeCell ref="A2:T2"/>
  </mergeCells>
  <conditionalFormatting sqref="S7:S42">
    <cfRule type="expression" priority="1" dxfId="7" stopIfTrue="1">
      <formula>EXACT($S7,"AÇIK")</formula>
    </cfRule>
    <cfRule type="expression" priority="2" dxfId="3" stopIfTrue="1">
      <formula>EXACT($S7,"KAPANABİLİR")</formula>
    </cfRule>
    <cfRule type="expression" priority="3" dxfId="4" stopIfTrue="1">
      <formula>EXACT($S7,"UYARI VAR – KAPATILABİLİR")</formula>
    </cfRule>
    <cfRule type="expression" priority="4" dxfId="5" stopIfTrue="1">
      <formula>EXACT($S7,"KAPATILAMAZ")</formula>
    </cfRule>
  </conditionalFormatting>
  <conditionalFormatting sqref="T7:T42">
    <cfRule type="expression" priority="5" dxfId="3" stopIfTrue="1">
      <formula>EXACT($T7,"KAPANDI")</formula>
    </cfRule>
    <cfRule type="expression" priority="6" dxfId="6" stopIfTrue="1">
      <formula>EXACT($T7,"AÇIK")</formula>
    </cfRule>
    <cfRule type="expression" priority="7" dxfId="5" stopIfTrue="1">
      <formula>EXACT($T7,"PAY HATASI")</formula>
    </cfRule>
  </conditionalFormatting>
  <conditionalFormatting sqref="I7:I42">
    <cfRule type="cellIs" priority="8" operator="lessThan" dxfId="8">
      <formula>0</formula>
    </cfRule>
  </conditionalFormatting>
  <dataValidations count="1">
    <dataValidation sqref="O7:O42" showDropDown="0" showInputMessage="0" showErrorMessage="1" allowBlank="1" errorTitle="Geçersiz değer" error="Evet veya Hayır seçin." promptTitle="Geçersiz değer" prompt="Evet veya Hayır seçin." type="list">
      <formula1>"Evet,Hayır"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991B1B"/>
    <outlinePr summaryBelow="1" summaryRight="1"/>
    <pageSetUpPr fitToPage="1"/>
  </sheetPr>
  <dimension ref="A1:R127"/>
  <sheetViews>
    <sheetView showGridLines="0" tabSelected="0" zoomScale="100" workbookViewId="0">
      <pane ySplit="6" topLeftCell="A7" activePane="bottomLeft" state="frozen"/>
      <selection pane="bottomLeft" activeCell="A1" sqref="A1"/>
    </sheetView>
  </sheetViews>
  <sheetFormatPr baseColWidth="8" defaultRowHeight="18"/>
  <cols>
    <col width="2.4" customWidth="1" min="1" max="1"/>
    <col width="30" customWidth="1" min="2" max="2"/>
    <col width="12" customWidth="1" min="3" max="3"/>
    <col width="16" customWidth="1" min="4" max="4"/>
    <col width="16" customWidth="1" min="5" max="5"/>
    <col width="14" customWidth="1" min="6" max="6"/>
    <col width="46" customWidth="1" min="7" max="7"/>
    <col width="20" customWidth="1" min="8" max="8"/>
    <col width="28" customWidth="1" min="11" max="11"/>
    <col width="12" customWidth="1" min="12" max="12"/>
    <col width="12" customWidth="1" min="13" max="13"/>
    <col hidden="1" width="2.4" customWidth="1" min="14" max="14"/>
    <col hidden="1" width="2.4" customWidth="1" min="15" max="15"/>
    <col hidden="1" width="13" customWidth="1" min="16" max="16"/>
    <col hidden="1" width="13" customWidth="1" min="17" max="17"/>
    <col hidden="1" width="13" customWidth="1" min="18" max="18"/>
  </cols>
  <sheetData>
    <row r="1" ht="38" customHeight="1">
      <c r="A1" s="1" t="inlineStr">
        <is>
          <t>KILIÇ MUHASEBE   │   SİSTEM AYARLARI VE KONTROL MERKEZİ</t>
        </is>
      </c>
      <c r="B1" s="169" t="n"/>
      <c r="C1" s="169" t="n"/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3" t="n"/>
      <c r="N1" s="45" t="n"/>
      <c r="O1" s="45" t="n"/>
      <c r="P1" s="3" t="n"/>
      <c r="Q1" s="3" t="n"/>
      <c r="R1" s="3" t="n"/>
    </row>
    <row r="2" ht="22" customHeight="1">
      <c r="A2" s="4" t="inlineStr">
        <is>
          <t>Sistem kendi kendini denetler │ KALDI görülen bir satır varken ay kapatılmaz</t>
        </is>
      </c>
      <c r="M2" s="3" t="n"/>
      <c r="N2" s="46" t="n"/>
      <c r="O2" s="46" t="n"/>
      <c r="P2" s="3" t="n"/>
      <c r="Q2" s="3" t="n"/>
      <c r="R2" s="3" t="n"/>
    </row>
    <row r="3" ht="8" customHeight="1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3" t="n"/>
      <c r="N3" s="6" t="n"/>
      <c r="O3" s="6" t="n"/>
      <c r="P3" s="3" t="n"/>
      <c r="Q3" s="3" t="n"/>
      <c r="R3" s="3" t="n"/>
    </row>
    <row r="4" ht="20" customHeight="1">
      <c r="A4" s="6" t="n"/>
      <c r="B4" s="47">
        <f>HYPERLINK("#PANO!A1","←  PANO")</f>
        <v/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3" t="n"/>
      <c r="N4" s="6" t="n"/>
      <c r="O4" s="6" t="n"/>
      <c r="P4" s="3" t="n"/>
      <c r="Q4" s="3" t="n"/>
      <c r="R4" s="3" t="n"/>
    </row>
    <row r="5" ht="20" customHeight="1">
      <c r="A5" s="6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6" t="n"/>
      <c r="O5" s="6" t="n"/>
      <c r="P5" s="3" t="n"/>
      <c r="Q5" s="3" t="n"/>
      <c r="R5" s="3" t="n"/>
    </row>
    <row r="6" ht="24" customHeight="1">
      <c r="A6" s="6" t="n"/>
      <c r="B6" s="122" t="inlineStr">
        <is>
          <t>SİSTEM PARAMETRELERİ</t>
        </is>
      </c>
      <c r="G6" s="3" t="n"/>
      <c r="H6" s="3" t="n"/>
      <c r="I6" s="3" t="n"/>
      <c r="J6" s="3" t="n"/>
      <c r="K6" s="122" t="inlineStr">
        <is>
          <t>GİDER / GELİR KATEGORİLERİ</t>
        </is>
      </c>
      <c r="N6" s="6" t="n"/>
      <c r="O6" s="6" t="n"/>
      <c r="P6" s="3" t="n"/>
      <c r="Q6" s="3" t="n"/>
      <c r="R6" s="3" t="n"/>
    </row>
    <row r="7" ht="24" customHeight="1">
      <c r="A7" s="6" t="n"/>
      <c r="B7" s="121" t="inlineStr">
        <is>
          <t>Ofis Adı</t>
        </is>
      </c>
      <c r="C7" s="108" t="inlineStr">
        <is>
          <t>KILIÇ MUHASEBE</t>
        </is>
      </c>
      <c r="D7" s="121" t="inlineStr">
        <is>
          <t>Rapor başlıklarında kullanılır</t>
        </is>
      </c>
      <c r="E7" s="121" t="inlineStr">
        <is>
          <t>Değiştirilebilir</t>
        </is>
      </c>
      <c r="F7" s="3" t="n"/>
      <c r="G7" s="3" t="n"/>
      <c r="H7" s="3" t="n"/>
      <c r="I7" s="3" t="n"/>
      <c r="J7" s="3" t="n"/>
      <c r="K7" s="124" t="inlineStr">
        <is>
          <t>Kategori</t>
        </is>
      </c>
      <c r="L7" s="124" t="inlineStr">
        <is>
          <t>Tür</t>
        </is>
      </c>
      <c r="M7" s="124" t="inlineStr">
        <is>
          <t>Durum</t>
        </is>
      </c>
      <c r="N7" s="6" t="n"/>
      <c r="O7" s="6" t="n"/>
      <c r="P7" s="3" t="n"/>
      <c r="Q7" s="3" t="n"/>
      <c r="R7" s="3" t="n"/>
    </row>
    <row r="8" ht="24" customHeight="1">
      <c r="A8" s="6" t="n"/>
      <c r="B8" s="121" t="inlineStr">
        <is>
          <t>Tahakkuk Günü</t>
        </is>
      </c>
      <c r="C8" s="108" t="inlineStr">
        <is>
          <t>Cumartesi</t>
        </is>
      </c>
      <c r="D8" s="121" t="inlineStr">
        <is>
          <t>Haftalık ücret bu gün tahakkuk eder</t>
        </is>
      </c>
      <c r="E8" s="121" t="inlineStr">
        <is>
          <t>Listeden seçilir</t>
        </is>
      </c>
      <c r="F8" s="247">
        <f>IFERROR(MATCH($C$8,{"Pazartesi";"Salı";"Çarşamba";"Perşembe";"Cuma";"Cumartesi";"Pazar"},0),6)</f>
        <v/>
      </c>
      <c r="G8" s="3" t="n"/>
      <c r="H8" s="3" t="n"/>
      <c r="I8" s="3" t="n"/>
      <c r="J8" s="3" t="n"/>
      <c r="K8" s="109" t="inlineStr">
        <is>
          <t>Ofis Kirası</t>
        </is>
      </c>
      <c r="L8" s="108" t="inlineStr">
        <is>
          <t>Gider</t>
        </is>
      </c>
      <c r="M8" s="108" t="inlineStr">
        <is>
          <t>Aktif</t>
        </is>
      </c>
      <c r="N8" s="6">
        <f>IF($K8="","",IF($L8="Gelir",COUNTIFS($L$8:$L8,"Gelir"),""))</f>
        <v/>
      </c>
      <c r="O8" s="6">
        <f>IF($K8="","",IF($L8="Gider",COUNTIFS($L$8:$L8,"Gider"),""))</f>
        <v/>
      </c>
      <c r="P8" s="3">
        <f>IFERROR(INDEX($K$8:$K$37,MATCH(ROW()-7,$N$8:$N$37,0)),"")</f>
        <v/>
      </c>
      <c r="Q8" s="3">
        <f>IFERROR(INDEX($K$8:$K$37,MATCH(ROW()-7,$O$8:$O$37,0)),"")</f>
        <v/>
      </c>
      <c r="R8" s="3">
        <f>IF(ROW()-7&lt;=COUNT(MUSTERILER!$U$7:$U$106),IFERROR(INDEX(MUSTERILER!$C$7:$C$106,MATCH(ROW()-7,MUSTERILER!$U$7:$U$106,0)),""),IFERROR(INDEX(HESAPLAR!$B$7:$B$16,ROW()-7-COUNT(MUSTERILER!$U$7:$U$106)),""))</f>
        <v/>
      </c>
    </row>
    <row r="9" ht="24" customHeight="1">
      <c r="A9" s="6" t="n"/>
      <c r="B9" s="121" t="inlineStr">
        <is>
          <t>Ortak 1 Adı</t>
        </is>
      </c>
      <c r="C9" s="108" t="inlineStr">
        <is>
          <t>Ortak 1</t>
        </is>
      </c>
      <c r="D9" s="121" t="inlineStr">
        <is>
          <t>Birinci ortağın adı</t>
        </is>
      </c>
      <c r="E9" s="121" t="inlineStr">
        <is>
          <t>Değiştirilebilir</t>
        </is>
      </c>
      <c r="F9" s="3" t="n"/>
      <c r="G9" s="3" t="n"/>
      <c r="H9" s="3" t="n"/>
      <c r="I9" s="3" t="n"/>
      <c r="J9" s="3" t="n"/>
      <c r="K9" s="109" t="inlineStr">
        <is>
          <t>Personel</t>
        </is>
      </c>
      <c r="L9" s="108" t="inlineStr">
        <is>
          <t>Gider</t>
        </is>
      </c>
      <c r="M9" s="108" t="inlineStr">
        <is>
          <t>Aktif</t>
        </is>
      </c>
      <c r="N9" s="6">
        <f>IF($K9="","",IF($L9="Gelir",COUNTIFS($L$8:$L9,"Gelir"),""))</f>
        <v/>
      </c>
      <c r="O9" s="6">
        <f>IF($K9="","",IF($L9="Gider",COUNTIFS($L$8:$L9,"Gider"),""))</f>
        <v/>
      </c>
      <c r="P9" s="3">
        <f>IFERROR(INDEX($K$8:$K$37,MATCH(ROW()-7,$N$8:$N$37,0)),"")</f>
        <v/>
      </c>
      <c r="Q9" s="3">
        <f>IFERROR(INDEX($K$8:$K$37,MATCH(ROW()-7,$O$8:$O$37,0)),"")</f>
        <v/>
      </c>
      <c r="R9" s="3">
        <f>IF(ROW()-7&lt;=COUNT(MUSTERILER!$U$7:$U$106),IFERROR(INDEX(MUSTERILER!$C$7:$C$106,MATCH(ROW()-7,MUSTERILER!$U$7:$U$106,0)),""),IFERROR(INDEX(HESAPLAR!$B$7:$B$16,ROW()-7-COUNT(MUSTERILER!$U$7:$U$106)),""))</f>
        <v/>
      </c>
    </row>
    <row r="10" ht="24" customHeight="1">
      <c r="A10" s="6" t="n"/>
      <c r="B10" s="121" t="inlineStr">
        <is>
          <t>Ortak 2 Adı</t>
        </is>
      </c>
      <c r="C10" s="108" t="inlineStr">
        <is>
          <t>Ortak 2</t>
        </is>
      </c>
      <c r="D10" s="121" t="inlineStr">
        <is>
          <t>İkinci ortağın adı</t>
        </is>
      </c>
      <c r="E10" s="121" t="inlineStr">
        <is>
          <t>Değiştirilebilir</t>
        </is>
      </c>
      <c r="F10" s="3" t="n"/>
      <c r="G10" s="3" t="n"/>
      <c r="H10" s="3" t="n"/>
      <c r="I10" s="3" t="n"/>
      <c r="J10" s="3" t="n"/>
      <c r="K10" s="109" t="inlineStr">
        <is>
          <t>Elektrik / Su / Doğalgaz</t>
        </is>
      </c>
      <c r="L10" s="108" t="inlineStr">
        <is>
          <t>Gider</t>
        </is>
      </c>
      <c r="M10" s="108" t="inlineStr">
        <is>
          <t>Aktif</t>
        </is>
      </c>
      <c r="N10" s="6">
        <f>IF($K10="","",IF($L10="Gelir",COUNTIFS($L$8:$L10,"Gelir"),""))</f>
        <v/>
      </c>
      <c r="O10" s="6">
        <f>IF($K10="","",IF($L10="Gider",COUNTIFS($L$8:$L10,"Gider"),""))</f>
        <v/>
      </c>
      <c r="P10" s="3">
        <f>IFERROR(INDEX($K$8:$K$37,MATCH(ROW()-7,$N$8:$N$37,0)),"")</f>
        <v/>
      </c>
      <c r="Q10" s="3">
        <f>IFERROR(INDEX($K$8:$K$37,MATCH(ROW()-7,$O$8:$O$37,0)),"")</f>
        <v/>
      </c>
      <c r="R10" s="3">
        <f>IF(ROW()-7&lt;=COUNT(MUSTERILER!$U$7:$U$106),IFERROR(INDEX(MUSTERILER!$C$7:$C$106,MATCH(ROW()-7,MUSTERILER!$U$7:$U$106,0)),""),IFERROR(INDEX(HESAPLAR!$B$7:$B$16,ROW()-7-COUNT(MUSTERILER!$U$7:$U$106)),""))</f>
        <v/>
      </c>
    </row>
    <row r="11" ht="24" customHeight="1">
      <c r="A11" s="6" t="n"/>
      <c r="B11" s="121" t="inlineStr">
        <is>
          <t>Ortak 1 Payı</t>
        </is>
      </c>
      <c r="C11" s="248" t="n">
        <v>0.5</v>
      </c>
      <c r="D11" s="121" t="inlineStr">
        <is>
          <t>Aylık dağıtılabilir kâr payı</t>
        </is>
      </c>
      <c r="E11" s="121" t="inlineStr">
        <is>
          <t>Toplam %100 olmalı</t>
        </is>
      </c>
      <c r="F11" s="3" t="n"/>
      <c r="G11" s="3" t="n"/>
      <c r="H11" s="3" t="n"/>
      <c r="I11" s="3" t="n"/>
      <c r="J11" s="3" t="n"/>
      <c r="K11" s="109" t="inlineStr">
        <is>
          <t>Telefon / İnternet</t>
        </is>
      </c>
      <c r="L11" s="108" t="inlineStr">
        <is>
          <t>Gider</t>
        </is>
      </c>
      <c r="M11" s="108" t="inlineStr">
        <is>
          <t>Aktif</t>
        </is>
      </c>
      <c r="N11" s="6">
        <f>IF($K11="","",IF($L11="Gelir",COUNTIFS($L$8:$L11,"Gelir"),""))</f>
        <v/>
      </c>
      <c r="O11" s="6">
        <f>IF($K11="","",IF($L11="Gider",COUNTIFS($L$8:$L11,"Gider"),""))</f>
        <v/>
      </c>
      <c r="P11" s="3">
        <f>IFERROR(INDEX($K$8:$K$37,MATCH(ROW()-7,$N$8:$N$37,0)),"")</f>
        <v/>
      </c>
      <c r="Q11" s="3">
        <f>IFERROR(INDEX($K$8:$K$37,MATCH(ROW()-7,$O$8:$O$37,0)),"")</f>
        <v/>
      </c>
      <c r="R11" s="3">
        <f>IF(ROW()-7&lt;=COUNT(MUSTERILER!$U$7:$U$106),IFERROR(INDEX(MUSTERILER!$C$7:$C$106,MATCH(ROW()-7,MUSTERILER!$U$7:$U$106,0)),""),IFERROR(INDEX(HESAPLAR!$B$7:$B$16,ROW()-7-COUNT(MUSTERILER!$U$7:$U$106)),""))</f>
        <v/>
      </c>
    </row>
    <row r="12" ht="24" customHeight="1">
      <c r="A12" s="6" t="n"/>
      <c r="B12" s="121" t="inlineStr">
        <is>
          <t>Ortak 2 Payı</t>
        </is>
      </c>
      <c r="C12" s="248" t="n">
        <v>0.5</v>
      </c>
      <c r="D12" s="121" t="inlineStr">
        <is>
          <t>Aylık dağıtılabilir kâr payı</t>
        </is>
      </c>
      <c r="E12" s="121" t="inlineStr">
        <is>
          <t>Toplam %100 olmalı</t>
        </is>
      </c>
      <c r="F12" s="3" t="n"/>
      <c r="G12" s="3" t="n"/>
      <c r="H12" s="3" t="n"/>
      <c r="I12" s="3" t="n"/>
      <c r="J12" s="3" t="n"/>
      <c r="K12" s="109" t="inlineStr">
        <is>
          <t>Kırtasiye</t>
        </is>
      </c>
      <c r="L12" s="108" t="inlineStr">
        <is>
          <t>Gider</t>
        </is>
      </c>
      <c r="M12" s="108" t="inlineStr">
        <is>
          <t>Aktif</t>
        </is>
      </c>
      <c r="N12" s="6">
        <f>IF($K12="","",IF($L12="Gelir",COUNTIFS($L$8:$L12,"Gelir"),""))</f>
        <v/>
      </c>
      <c r="O12" s="6">
        <f>IF($K12="","",IF($L12="Gider",COUNTIFS($L$8:$L12,"Gider"),""))</f>
        <v/>
      </c>
      <c r="P12" s="3">
        <f>IFERROR(INDEX($K$8:$K$37,MATCH(ROW()-7,$N$8:$N$37,0)),"")</f>
        <v/>
      </c>
      <c r="Q12" s="3">
        <f>IFERROR(INDEX($K$8:$K$37,MATCH(ROW()-7,$O$8:$O$37,0)),"")</f>
        <v/>
      </c>
      <c r="R12" s="3">
        <f>IF(ROW()-7&lt;=COUNT(MUSTERILER!$U$7:$U$106),IFERROR(INDEX(MUSTERILER!$C$7:$C$106,MATCH(ROW()-7,MUSTERILER!$U$7:$U$106,0)),""),IFERROR(INDEX(HESAPLAR!$B$7:$B$16,ROW()-7-COUNT(MUSTERILER!$U$7:$U$106)),""))</f>
        <v/>
      </c>
    </row>
    <row r="13" ht="24" customHeight="1">
      <c r="A13" s="6" t="n"/>
      <c r="B13" s="121" t="inlineStr">
        <is>
          <t>Kasa Tamponu</t>
        </is>
      </c>
      <c r="C13" s="218" t="n">
        <v>0</v>
      </c>
      <c r="D13" s="121" t="inlineStr">
        <is>
          <t>Dağıtım öncesi ofiste kalacak nakit</t>
        </is>
      </c>
      <c r="E13" s="121" t="inlineStr">
        <is>
          <t>TL</t>
        </is>
      </c>
      <c r="F13" s="3" t="n"/>
      <c r="G13" s="3" t="n"/>
      <c r="H13" s="3" t="n"/>
      <c r="I13" s="3" t="n"/>
      <c r="J13" s="3" t="n"/>
      <c r="K13" s="109" t="inlineStr">
        <is>
          <t>Vergi / Harç</t>
        </is>
      </c>
      <c r="L13" s="108" t="inlineStr">
        <is>
          <t>Gider</t>
        </is>
      </c>
      <c r="M13" s="108" t="inlineStr">
        <is>
          <t>Aktif</t>
        </is>
      </c>
      <c r="N13" s="6">
        <f>IF($K13="","",IF($L13="Gelir",COUNTIFS($L$8:$L13,"Gelir"),""))</f>
        <v/>
      </c>
      <c r="O13" s="6">
        <f>IF($K13="","",IF($L13="Gider",COUNTIFS($L$8:$L13,"Gider"),""))</f>
        <v/>
      </c>
      <c r="P13" s="3">
        <f>IFERROR(INDEX($K$8:$K$37,MATCH(ROW()-7,$N$8:$N$37,0)),"")</f>
        <v/>
      </c>
      <c r="Q13" s="3">
        <f>IFERROR(INDEX($K$8:$K$37,MATCH(ROW()-7,$O$8:$O$37,0)),"")</f>
        <v/>
      </c>
      <c r="R13" s="3">
        <f>IF(ROW()-7&lt;=COUNT(MUSTERILER!$U$7:$U$106),IFERROR(INDEX(MUSTERILER!$C$7:$C$106,MATCH(ROW()-7,MUSTERILER!$U$7:$U$106,0)),""),IFERROR(INDEX(HESAPLAR!$B$7:$B$16,ROW()-7-COUNT(MUSTERILER!$U$7:$U$106)),""))</f>
        <v/>
      </c>
    </row>
    <row r="14" ht="24" customHeight="1">
      <c r="A14" s="6" t="n"/>
      <c r="B14" s="121" t="inlineStr">
        <is>
          <t>Kâr Paylaşım Esası</t>
        </is>
      </c>
      <c r="C14" s="108" t="inlineStr">
        <is>
          <t>Nakit</t>
        </is>
      </c>
      <c r="D14" s="121" t="inlineStr">
        <is>
          <t>Yalnız tahsil edilmiş gelirden ödenmiş gider düşer</t>
        </is>
      </c>
      <c r="E14" s="121" t="inlineStr">
        <is>
          <t>Sabit</t>
        </is>
      </c>
      <c r="F14" s="3" t="n"/>
      <c r="G14" s="3" t="n"/>
      <c r="H14" s="3" t="n"/>
      <c r="I14" s="3" t="n"/>
      <c r="J14" s="3" t="n"/>
      <c r="K14" s="109" t="inlineStr">
        <is>
          <t>Yazılım / Abonelik</t>
        </is>
      </c>
      <c r="L14" s="108" t="inlineStr">
        <is>
          <t>Gider</t>
        </is>
      </c>
      <c r="M14" s="108" t="inlineStr">
        <is>
          <t>Aktif</t>
        </is>
      </c>
      <c r="N14" s="6">
        <f>IF($K14="","",IF($L14="Gelir",COUNTIFS($L$8:$L14,"Gelir"),""))</f>
        <v/>
      </c>
      <c r="O14" s="6">
        <f>IF($K14="","",IF($L14="Gider",COUNTIFS($L$8:$L14,"Gider"),""))</f>
        <v/>
      </c>
      <c r="P14" s="3">
        <f>IFERROR(INDEX($K$8:$K$37,MATCH(ROW()-7,$N$8:$N$37,0)),"")</f>
        <v/>
      </c>
      <c r="Q14" s="3">
        <f>IFERROR(INDEX($K$8:$K$37,MATCH(ROW()-7,$O$8:$O$37,0)),"")</f>
        <v/>
      </c>
      <c r="R14" s="3">
        <f>IF(ROW()-7&lt;=COUNT(MUSTERILER!$U$7:$U$106),IFERROR(INDEX(MUSTERILER!$C$7:$C$106,MATCH(ROW()-7,MUSTERILER!$U$7:$U$106,0)),""),IFERROR(INDEX(HESAPLAR!$B$7:$B$16,ROW()-7-COUNT(MUSTERILER!$U$7:$U$106)),""))</f>
        <v/>
      </c>
    </row>
    <row r="15" ht="24" customHeight="1">
      <c r="A15" s="6" t="n"/>
      <c r="B15" s="121" t="inlineStr">
        <is>
          <t>Borç Kapatma Sırası</t>
        </is>
      </c>
      <c r="C15" s="108" t="inlineStr">
        <is>
          <t>En Eski Borçtan Başla</t>
        </is>
      </c>
      <c r="D15" s="121" t="inlineStr">
        <is>
          <t>Ödeme önce en eski açık borç kapatır</t>
        </is>
      </c>
      <c r="E15" s="121" t="inlineStr">
        <is>
          <t>Otomatik</t>
        </is>
      </c>
      <c r="F15" s="3" t="n"/>
      <c r="G15" s="3" t="n"/>
      <c r="H15" s="3" t="n"/>
      <c r="I15" s="3" t="n"/>
      <c r="J15" s="3" t="n"/>
      <c r="K15" s="109" t="inlineStr">
        <is>
          <t>Ulaşım</t>
        </is>
      </c>
      <c r="L15" s="108" t="inlineStr">
        <is>
          <t>Gider</t>
        </is>
      </c>
      <c r="M15" s="108" t="inlineStr">
        <is>
          <t>Aktif</t>
        </is>
      </c>
      <c r="N15" s="6">
        <f>IF($K15="","",IF($L15="Gelir",COUNTIFS($L$8:$L15,"Gelir"),""))</f>
        <v/>
      </c>
      <c r="O15" s="6">
        <f>IF($K15="","",IF($L15="Gider",COUNTIFS($L$8:$L15,"Gider"),""))</f>
        <v/>
      </c>
      <c r="P15" s="3">
        <f>IFERROR(INDEX($K$8:$K$37,MATCH(ROW()-7,$N$8:$N$37,0)),"")</f>
        <v/>
      </c>
      <c r="Q15" s="3">
        <f>IFERROR(INDEX($K$8:$K$37,MATCH(ROW()-7,$O$8:$O$37,0)),"")</f>
        <v/>
      </c>
      <c r="R15" s="3">
        <f>IF(ROW()-7&lt;=COUNT(MUSTERILER!$U$7:$U$106),IFERROR(INDEX(MUSTERILER!$C$7:$C$106,MATCH(ROW()-7,MUSTERILER!$U$7:$U$106,0)),""),IFERROR(INDEX(HESAPLAR!$B$7:$B$16,ROW()-7-COUNT(MUSTERILER!$U$7:$U$106)),""))</f>
        <v/>
      </c>
    </row>
    <row r="16" ht="24" customHeight="1">
      <c r="A16" s="6" t="n"/>
      <c r="B16" s="121" t="inlineStr">
        <is>
          <t>Para Birimi</t>
        </is>
      </c>
      <c r="C16" s="108" t="inlineStr">
        <is>
          <t>TL</t>
        </is>
      </c>
      <c r="D16" s="121" t="inlineStr">
        <is>
          <t>Temel raporlama para birimi</t>
        </is>
      </c>
      <c r="E16" s="121" t="inlineStr">
        <is>
          <t>Sabit</t>
        </is>
      </c>
      <c r="F16" s="3" t="n"/>
      <c r="G16" s="3" t="n"/>
      <c r="H16" s="3" t="n"/>
      <c r="I16" s="3" t="n"/>
      <c r="J16" s="3" t="n"/>
      <c r="K16" s="109" t="inlineStr">
        <is>
          <t>Temsil / Ağırlama</t>
        </is>
      </c>
      <c r="L16" s="108" t="inlineStr">
        <is>
          <t>Gider</t>
        </is>
      </c>
      <c r="M16" s="108" t="inlineStr">
        <is>
          <t>Aktif</t>
        </is>
      </c>
      <c r="N16" s="6">
        <f>IF($K16="","",IF($L16="Gelir",COUNTIFS($L$8:$L16,"Gelir"),""))</f>
        <v/>
      </c>
      <c r="O16" s="6">
        <f>IF($K16="","",IF($L16="Gider",COUNTIFS($L$8:$L16,"Gider"),""))</f>
        <v/>
      </c>
      <c r="P16" s="3">
        <f>IFERROR(INDEX($K$8:$K$37,MATCH(ROW()-7,$N$8:$N$37,0)),"")</f>
        <v/>
      </c>
      <c r="Q16" s="3">
        <f>IFERROR(INDEX($K$8:$K$37,MATCH(ROW()-7,$O$8:$O$37,0)),"")</f>
        <v/>
      </c>
      <c r="R16" s="3">
        <f>IF(ROW()-7&lt;=COUNT(MUSTERILER!$U$7:$U$106),IFERROR(INDEX(MUSTERILER!$C$7:$C$106,MATCH(ROW()-7,MUSTERILER!$U$7:$U$106,0)),""),IFERROR(INDEX(HESAPLAR!$B$7:$B$16,ROW()-7-COUNT(MUSTERILER!$U$7:$U$106)),""))</f>
        <v/>
      </c>
    </row>
    <row r="17" ht="24" customHeight="1">
      <c r="A17" s="6" t="n"/>
      <c r="B17" s="121" t="inlineStr">
        <is>
          <t>Rapor Tarihi</t>
        </is>
      </c>
      <c r="C17" s="249">
        <f>TODAY()</f>
        <v/>
      </c>
      <c r="D17" s="121" t="inlineStr">
        <is>
          <t>Bugünün tarihi</t>
        </is>
      </c>
      <c r="E17" s="121" t="inlineStr">
        <is>
          <t>Otomatik</t>
        </is>
      </c>
      <c r="F17" s="3" t="n"/>
      <c r="G17" s="3" t="n"/>
      <c r="H17" s="3" t="n"/>
      <c r="I17" s="3" t="n"/>
      <c r="J17" s="3" t="n"/>
      <c r="K17" s="109" t="inlineStr">
        <is>
          <t>Demirbaş</t>
        </is>
      </c>
      <c r="L17" s="108" t="inlineStr">
        <is>
          <t>Gider</t>
        </is>
      </c>
      <c r="M17" s="108" t="inlineStr">
        <is>
          <t>Aktif</t>
        </is>
      </c>
      <c r="N17" s="6">
        <f>IF($K17="","",IF($L17="Gelir",COUNTIFS($L$8:$L17,"Gelir"),""))</f>
        <v/>
      </c>
      <c r="O17" s="6">
        <f>IF($K17="","",IF($L17="Gider",COUNTIFS($L$8:$L17,"Gider"),""))</f>
        <v/>
      </c>
      <c r="P17" s="3">
        <f>IFERROR(INDEX($K$8:$K$37,MATCH(ROW()-7,$N$8:$N$37,0)),"")</f>
        <v/>
      </c>
      <c r="Q17" s="3">
        <f>IFERROR(INDEX($K$8:$K$37,MATCH(ROW()-7,$O$8:$O$37,0)),"")</f>
        <v/>
      </c>
      <c r="R17" s="3">
        <f>IF(ROW()-7&lt;=COUNT(MUSTERILER!$U$7:$U$106),IFERROR(INDEX(MUSTERILER!$C$7:$C$106,MATCH(ROW()-7,MUSTERILER!$U$7:$U$106,0)),""),IFERROR(INDEX(HESAPLAR!$B$7:$B$16,ROW()-7-COUNT(MUSTERILER!$U$7:$U$106)),""))</f>
        <v/>
      </c>
    </row>
    <row r="18">
      <c r="A18" s="6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109" t="inlineStr">
        <is>
          <t>Diğer Gider</t>
        </is>
      </c>
      <c r="L18" s="108" t="inlineStr">
        <is>
          <t>Gider</t>
        </is>
      </c>
      <c r="M18" s="108" t="inlineStr">
        <is>
          <t>Aktif</t>
        </is>
      </c>
      <c r="N18" s="6">
        <f>IF($K18="","",IF($L18="Gelir",COUNTIFS($L$8:$L18,"Gelir"),""))</f>
        <v/>
      </c>
      <c r="O18" s="6">
        <f>IF($K18="","",IF($L18="Gider",COUNTIFS($L$8:$L18,"Gider"),""))</f>
        <v/>
      </c>
      <c r="P18" s="3">
        <f>IFERROR(INDEX($K$8:$K$37,MATCH(ROW()-7,$N$8:$N$37,0)),"")</f>
        <v/>
      </c>
      <c r="Q18" s="3">
        <f>IFERROR(INDEX($K$8:$K$37,MATCH(ROW()-7,$O$8:$O$37,0)),"")</f>
        <v/>
      </c>
      <c r="R18" s="3">
        <f>IF(ROW()-7&lt;=COUNT(MUSTERILER!$U$7:$U$106),IFERROR(INDEX(MUSTERILER!$C$7:$C$106,MATCH(ROW()-7,MUSTERILER!$U$7:$U$106,0)),""),IFERROR(INDEX(HESAPLAR!$B$7:$B$16,ROW()-7-COUNT(MUSTERILER!$U$7:$U$106)),""))</f>
        <v/>
      </c>
    </row>
    <row r="19">
      <c r="A19" s="6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109" t="inlineStr">
        <is>
          <t>Defter Tasdik Geliri</t>
        </is>
      </c>
      <c r="L19" s="108" t="inlineStr">
        <is>
          <t>Gelir</t>
        </is>
      </c>
      <c r="M19" s="108" t="inlineStr">
        <is>
          <t>Aktif</t>
        </is>
      </c>
      <c r="N19" s="6">
        <f>IF($K19="","",IF($L19="Gelir",COUNTIFS($L$8:$L19,"Gelir"),""))</f>
        <v/>
      </c>
      <c r="O19" s="6">
        <f>IF($K19="","",IF($L19="Gider",COUNTIFS($L$8:$L19,"Gider"),""))</f>
        <v/>
      </c>
      <c r="P19" s="3">
        <f>IFERROR(INDEX($K$8:$K$37,MATCH(ROW()-7,$N$8:$N$37,0)),"")</f>
        <v/>
      </c>
      <c r="Q19" s="3">
        <f>IFERROR(INDEX($K$8:$K$37,MATCH(ROW()-7,$O$8:$O$37,0)),"")</f>
        <v/>
      </c>
      <c r="R19" s="3">
        <f>IF(ROW()-7&lt;=COUNT(MUSTERILER!$U$7:$U$106),IFERROR(INDEX(MUSTERILER!$C$7:$C$106,MATCH(ROW()-7,MUSTERILER!$U$7:$U$106,0)),""),IFERROR(INDEX(HESAPLAR!$B$7:$B$16,ROW()-7-COUNT(MUSTERILER!$U$7:$U$106)),""))</f>
        <v/>
      </c>
    </row>
    <row r="20">
      <c r="A20" s="6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109" t="inlineStr">
        <is>
          <t>Kontör Ücreti Geliri</t>
        </is>
      </c>
      <c r="L20" s="108" t="inlineStr">
        <is>
          <t>Gelir</t>
        </is>
      </c>
      <c r="M20" s="108" t="inlineStr">
        <is>
          <t>Aktif</t>
        </is>
      </c>
      <c r="N20" s="6">
        <f>IF($K20="","",IF($L20="Gelir",COUNTIFS($L$8:$L20,"Gelir"),""))</f>
        <v/>
      </c>
      <c r="O20" s="6">
        <f>IF($K20="","",IF($L20="Gider",COUNTIFS($L$8:$L20,"Gider"),""))</f>
        <v/>
      </c>
      <c r="P20" s="3">
        <f>IFERROR(INDEX($K$8:$K$37,MATCH(ROW()-7,$N$8:$N$37,0)),"")</f>
        <v/>
      </c>
      <c r="Q20" s="3">
        <f>IFERROR(INDEX($K$8:$K$37,MATCH(ROW()-7,$O$8:$O$37,0)),"")</f>
        <v/>
      </c>
      <c r="R20" s="3">
        <f>IF(ROW()-7&lt;=COUNT(MUSTERILER!$U$7:$U$106),IFERROR(INDEX(MUSTERILER!$C$7:$C$106,MATCH(ROW()-7,MUSTERILER!$U$7:$U$106,0)),""),IFERROR(INDEX(HESAPLAR!$B$7:$B$16,ROW()-7-COUNT(MUSTERILER!$U$7:$U$106)),""))</f>
        <v/>
      </c>
    </row>
    <row r="21" ht="24" customHeight="1">
      <c r="A21" s="6" t="n"/>
      <c r="B21" s="122" t="inlineStr">
        <is>
          <t>SİSTEM KONTROL MERKEZİ</t>
        </is>
      </c>
      <c r="J21" s="3" t="n"/>
      <c r="K21" s="109" t="inlineStr">
        <is>
          <t>Geçici Vergi / Damga Geliri</t>
        </is>
      </c>
      <c r="L21" s="108" t="inlineStr">
        <is>
          <t>Gelir</t>
        </is>
      </c>
      <c r="M21" s="108" t="inlineStr">
        <is>
          <t>Aktif</t>
        </is>
      </c>
      <c r="N21" s="6">
        <f>IF($K21="","",IF($L21="Gelir",COUNTIFS($L$8:$L21,"Gelir"),""))</f>
        <v/>
      </c>
      <c r="O21" s="6">
        <f>IF($K21="","",IF($L21="Gider",COUNTIFS($L$8:$L21,"Gider"),""))</f>
        <v/>
      </c>
      <c r="P21" s="3">
        <f>IFERROR(INDEX($K$8:$K$37,MATCH(ROW()-7,$N$8:$N$37,0)),"")</f>
        <v/>
      </c>
      <c r="Q21" s="3">
        <f>IFERROR(INDEX($K$8:$K$37,MATCH(ROW()-7,$O$8:$O$37,0)),"")</f>
        <v/>
      </c>
      <c r="R21" s="3">
        <f>IF(ROW()-7&lt;=COUNT(MUSTERILER!$U$7:$U$106),IFERROR(INDEX(MUSTERILER!$C$7:$C$106,MATCH(ROW()-7,MUSTERILER!$U$7:$U$106,0)),""),IFERROR(INDEX(HESAPLAR!$B$7:$B$16,ROW()-7-COUNT(MUSTERILER!$U$7:$U$106)),""))</f>
        <v/>
      </c>
    </row>
    <row r="22" ht="28" customHeight="1">
      <c r="A22" s="6" t="n"/>
      <c r="B22" s="124" t="inlineStr">
        <is>
          <t>Kontrol</t>
        </is>
      </c>
      <c r="C22" s="124" t="inlineStr">
        <is>
          <t>Önem</t>
        </is>
      </c>
      <c r="D22" s="124" t="inlineStr">
        <is>
          <t>Beklenen</t>
        </is>
      </c>
      <c r="E22" s="124" t="inlineStr">
        <is>
          <t>Gerçek</t>
        </is>
      </c>
      <c r="F22" s="124" t="inlineStr">
        <is>
          <t>Sonuç</t>
        </is>
      </c>
      <c r="G22" s="124" t="inlineStr">
        <is>
          <t>Açıklama</t>
        </is>
      </c>
      <c r="H22" s="124" t="inlineStr">
        <is>
          <t>İlgili Ekran</t>
        </is>
      </c>
      <c r="I22" s="3" t="n"/>
      <c r="J22" s="3" t="n"/>
      <c r="K22" s="109" t="inlineStr">
        <is>
          <t>Danışmanlık Hizmet Geliri</t>
        </is>
      </c>
      <c r="L22" s="108" t="inlineStr">
        <is>
          <t>Gelir</t>
        </is>
      </c>
      <c r="M22" s="108" t="inlineStr">
        <is>
          <t>Aktif</t>
        </is>
      </c>
      <c r="N22" s="6">
        <f>IF($K22="","",IF($L22="Gelir",COUNTIFS($L$8:$L22,"Gelir"),""))</f>
        <v/>
      </c>
      <c r="O22" s="6">
        <f>IF($K22="","",IF($L22="Gider",COUNTIFS($L$8:$L22,"Gider"),""))</f>
        <v/>
      </c>
      <c r="P22" s="3">
        <f>IFERROR(INDEX($K$8:$K$37,MATCH(ROW()-7,$N$8:$N$37,0)),"")</f>
        <v/>
      </c>
      <c r="Q22" s="3">
        <f>IFERROR(INDEX($K$8:$K$37,MATCH(ROW()-7,$O$8:$O$37,0)),"")</f>
        <v/>
      </c>
      <c r="R22" s="3">
        <f>IF(ROW()-7&lt;=COUNT(MUSTERILER!$U$7:$U$106),IFERROR(INDEX(MUSTERILER!$C$7:$C$106,MATCH(ROW()-7,MUSTERILER!$U$7:$U$106,0)),""),IFERROR(INDEX(HESAPLAR!$B$7:$B$16,ROW()-7-COUNT(MUSTERILER!$U$7:$U$106)),""))</f>
        <v/>
      </c>
    </row>
    <row r="23" ht="23" customHeight="1">
      <c r="A23" s="6" t="n"/>
      <c r="B23" s="121" t="inlineStr">
        <is>
          <t>Ortak pay toplamı</t>
        </is>
      </c>
      <c r="C23" s="113" t="inlineStr">
        <is>
          <t>KRİTİK</t>
        </is>
      </c>
      <c r="D23" s="113" t="inlineStr">
        <is>
          <t>%100</t>
        </is>
      </c>
      <c r="E23" s="229">
        <f>SISTEM!$C$11+SISTEM!$C$12</f>
        <v/>
      </c>
      <c r="F23" s="113">
        <f>IF(ABS($E23-1)&lt;0.000001,"GEÇTİ","KALDI")</f>
        <v/>
      </c>
      <c r="G23" s="121" t="inlineStr">
        <is>
          <t>İki ortağın payı %100 etmeli</t>
        </is>
      </c>
      <c r="H23" s="166">
        <f>HYPERLINK("#SISTEM!A1","SISTEM")</f>
        <v/>
      </c>
      <c r="I23" s="3" t="n"/>
      <c r="J23" s="3" t="n"/>
      <c r="K23" s="109" t="inlineStr">
        <is>
          <t>Muhasebe Hizmet Geliri</t>
        </is>
      </c>
      <c r="L23" s="108" t="inlineStr">
        <is>
          <t>Gelir</t>
        </is>
      </c>
      <c r="M23" s="108" t="inlineStr">
        <is>
          <t>Aktif</t>
        </is>
      </c>
      <c r="N23" s="6">
        <f>IF($K23="","",IF($L23="Gelir",COUNTIFS($L$8:$L23,"Gelir"),""))</f>
        <v/>
      </c>
      <c r="O23" s="6">
        <f>IF($K23="","",IF($L23="Gider",COUNTIFS($L$8:$L23,"Gider"),""))</f>
        <v/>
      </c>
      <c r="P23" s="3">
        <f>IFERROR(INDEX($K$8:$K$37,MATCH(ROW()-7,$N$8:$N$37,0)),"")</f>
        <v/>
      </c>
      <c r="Q23" s="3">
        <f>IFERROR(INDEX($K$8:$K$37,MATCH(ROW()-7,$O$8:$O$37,0)),"")</f>
        <v/>
      </c>
      <c r="R23" s="3">
        <f>IF(ROW()-7&lt;=COUNT(MUSTERILER!$U$7:$U$106),IFERROR(INDEX(MUSTERILER!$C$7:$C$106,MATCH(ROW()-7,MUSTERILER!$U$7:$U$106,0)),""),IFERROR(INDEX(HESAPLAR!$B$7:$B$16,ROW()-7-COUNT(MUSTERILER!$U$7:$U$106)),""))</f>
        <v/>
      </c>
    </row>
    <row r="24" ht="23" customHeight="1">
      <c r="A24" s="6" t="n"/>
      <c r="B24" s="121" t="inlineStr">
        <is>
          <t>Ücret dönemi hatası</t>
        </is>
      </c>
      <c r="C24" s="113" t="inlineStr">
        <is>
          <t>KRİTİK</t>
        </is>
      </c>
      <c r="D24" s="113" t="inlineStr">
        <is>
          <t>0</t>
        </is>
      </c>
      <c r="E24" s="227">
        <f>COUNTIFS(UCRETLER!$H$7:$H$406,"Aktif",UCRETLER!$N$7:$N$406,"&lt;&gt;UYGUN")</f>
        <v/>
      </c>
      <c r="F24" s="113">
        <f>IF($E24=0,"GEÇTİ","KALDI")</f>
        <v/>
      </c>
      <c r="G24" s="121" t="inlineStr">
        <is>
          <t>Cumartesi / ücret / dönem kontrolü</t>
        </is>
      </c>
      <c r="H24" s="166">
        <f>HYPERLINK("#UCRETLER!A1","UCRETLER")</f>
        <v/>
      </c>
      <c r="I24" s="3" t="n"/>
      <c r="J24" s="3" t="n"/>
      <c r="K24" s="109" t="inlineStr">
        <is>
          <t>Kurumlar Vergisi Damga</t>
        </is>
      </c>
      <c r="L24" s="108" t="inlineStr">
        <is>
          <t>Gelir</t>
        </is>
      </c>
      <c r="M24" s="108" t="inlineStr">
        <is>
          <t>Aktif</t>
        </is>
      </c>
      <c r="N24" s="6">
        <f>IF($K24="","",IF($L24="Gelir",COUNTIFS($L$8:$L24,"Gelir"),""))</f>
        <v/>
      </c>
      <c r="O24" s="6">
        <f>IF($K24="","",IF($L24="Gider",COUNTIFS($L$8:$L24,"Gider"),""))</f>
        <v/>
      </c>
      <c r="P24" s="3">
        <f>IFERROR(INDEX($K$8:$K$37,MATCH(ROW()-7,$N$8:$N$37,0)),"")</f>
        <v/>
      </c>
      <c r="Q24" s="3">
        <f>IFERROR(INDEX($K$8:$K$37,MATCH(ROW()-7,$O$8:$O$37,0)),"")</f>
        <v/>
      </c>
      <c r="R24" s="3">
        <f>IF(ROW()-7&lt;=COUNT(MUSTERILER!$U$7:$U$106),IFERROR(INDEX(MUSTERILER!$C$7:$C$106,MATCH(ROW()-7,MUSTERILER!$U$7:$U$106,0)),""),IFERROR(INDEX(HESAPLAR!$B$7:$B$16,ROW()-7-COUNT(MUSTERILER!$U$7:$U$106)),""))</f>
        <v/>
      </c>
    </row>
    <row r="25" ht="23" customHeight="1">
      <c r="A25" s="6" t="n"/>
      <c r="B25" s="121" t="inlineStr">
        <is>
          <t>Aktif müşteri ücretsiz</t>
        </is>
      </c>
      <c r="C25" s="113" t="inlineStr">
        <is>
          <t>KRİTİK</t>
        </is>
      </c>
      <c r="D25" s="113" t="inlineStr">
        <is>
          <t>0</t>
        </is>
      </c>
      <c r="E25" s="227">
        <f>COUNTIFS(MUSTERILER!$D$7:$D$106,"Aktif",MUSTERILER!$O$7:$O$106,"HAYIR")</f>
        <v/>
      </c>
      <c r="F25" s="113">
        <f>IF($E25=0,"GEÇTİ","KALDI")</f>
        <v/>
      </c>
      <c r="G25" s="121" t="inlineStr">
        <is>
          <t>Aktif müşterinin aktif ücret tanımı olmalı</t>
        </is>
      </c>
      <c r="H25" s="166">
        <f>HYPERLINK("#MUSTERILER!A1","MUSTERILER")</f>
        <v/>
      </c>
      <c r="I25" s="3" t="n"/>
      <c r="J25" s="3" t="n"/>
      <c r="K25" s="109" t="inlineStr">
        <is>
          <t>Geçici Vergi Damga</t>
        </is>
      </c>
      <c r="L25" s="108" t="inlineStr">
        <is>
          <t>Gelir</t>
        </is>
      </c>
      <c r="M25" s="108" t="inlineStr">
        <is>
          <t>Aktif</t>
        </is>
      </c>
      <c r="N25" s="6">
        <f>IF($K25="","",IF($L25="Gelir",COUNTIFS($L$8:$L25,"Gelir"),""))</f>
        <v/>
      </c>
      <c r="O25" s="6">
        <f>IF($K25="","",IF($L25="Gider",COUNTIFS($L$8:$L25,"Gider"),""))</f>
        <v/>
      </c>
      <c r="P25" s="3">
        <f>IFERROR(INDEX($K$8:$K$37,MATCH(ROW()-7,$N$8:$N$37,0)),"")</f>
        <v/>
      </c>
      <c r="Q25" s="3">
        <f>IFERROR(INDEX($K$8:$K$37,MATCH(ROW()-7,$O$8:$O$37,0)),"")</f>
        <v/>
      </c>
      <c r="R25" s="3">
        <f>IF(ROW()-7&lt;=COUNT(MUSTERILER!$U$7:$U$106),IFERROR(INDEX(MUSTERILER!$C$7:$C$106,MATCH(ROW()-7,MUSTERILER!$U$7:$U$106,0)),""),IFERROR(INDEX(HESAPLAR!$B$7:$B$16,ROW()-7-COUNT(MUSTERILER!$U$7:$U$106)),""))</f>
        <v/>
      </c>
    </row>
    <row r="26" ht="23" customHeight="1">
      <c r="A26" s="6" t="n"/>
      <c r="B26" s="121" t="inlineStr">
        <is>
          <t>Müşteri no tekrarı</t>
        </is>
      </c>
      <c r="C26" s="113" t="inlineStr">
        <is>
          <t>KRİTİK</t>
        </is>
      </c>
      <c r="D26" s="113" t="inlineStr">
        <is>
          <t>0</t>
        </is>
      </c>
      <c r="E26" s="227">
        <f>SUMPRODUCT((MUSTERILER!$B$7:$B$106&lt;&gt;"")*(COUNTIF(MUSTERILER!$B$7:$B$106,MUSTERILER!$B$7:$B$106&amp;"")&gt;1))</f>
        <v/>
      </c>
      <c r="F26" s="113">
        <f>IF($E26=0,"GEÇTİ","KALDI")</f>
        <v/>
      </c>
      <c r="G26" s="121" t="inlineStr">
        <is>
          <t>Müşteri numarası tekil olmalı</t>
        </is>
      </c>
      <c r="H26" s="166">
        <f>HYPERLINK("#MUSTERILER!A1","MUSTERILER")</f>
        <v/>
      </c>
      <c r="I26" s="3" t="n"/>
      <c r="J26" s="3" t="n"/>
      <c r="K26" s="109" t="inlineStr">
        <is>
          <t>Luca Kontör</t>
        </is>
      </c>
      <c r="L26" s="108" t="inlineStr">
        <is>
          <t>Gelir</t>
        </is>
      </c>
      <c r="M26" s="108" t="inlineStr">
        <is>
          <t>Aktif</t>
        </is>
      </c>
      <c r="N26" s="6">
        <f>IF($K26="","",IF($L26="Gelir",COUNTIFS($L$8:$L26,"Gelir"),""))</f>
        <v/>
      </c>
      <c r="O26" s="6">
        <f>IF($K26="","",IF($L26="Gider",COUNTIFS($L$8:$L26,"Gider"),""))</f>
        <v/>
      </c>
      <c r="P26" s="3">
        <f>IFERROR(INDEX($K$8:$K$37,MATCH(ROW()-7,$N$8:$N$37,0)),"")</f>
        <v/>
      </c>
      <c r="Q26" s="3">
        <f>IFERROR(INDEX($K$8:$K$37,MATCH(ROW()-7,$O$8:$O$37,0)),"")</f>
        <v/>
      </c>
      <c r="R26" s="3">
        <f>IF(ROW()-7&lt;=COUNT(MUSTERILER!$U$7:$U$106),IFERROR(INDEX(MUSTERILER!$C$7:$C$106,MATCH(ROW()-7,MUSTERILER!$U$7:$U$106,0)),""),IFERROR(INDEX(HESAPLAR!$B$7:$B$16,ROW()-7-COUNT(MUSTERILER!$U$7:$U$106)),""))</f>
        <v/>
      </c>
    </row>
    <row r="27" ht="23" customHeight="1">
      <c r="A27" s="6" t="n"/>
      <c r="B27" s="121" t="inlineStr">
        <is>
          <t>Müşteri adı tekrarı</t>
        </is>
      </c>
      <c r="C27" s="113" t="inlineStr">
        <is>
          <t>YÜKSEK</t>
        </is>
      </c>
      <c r="D27" s="113" t="inlineStr">
        <is>
          <t>0</t>
        </is>
      </c>
      <c r="E27" s="227">
        <f>SUMPRODUCT((MUSTERILER!$C$7:$C$106&lt;&gt;"")*(COUNTIF(MUSTERILER!$C$7:$C$106,MUSTERILER!$C$7:$C$106&amp;"")&gt;1))</f>
        <v/>
      </c>
      <c r="F27" s="113">
        <f>IF($E27=0,"GEÇTİ","KALDI")</f>
        <v/>
      </c>
      <c r="G27" s="121" t="inlineStr">
        <is>
          <t>Hızlı kart seçimi için adlar tekil olmalı</t>
        </is>
      </c>
      <c r="H27" s="166">
        <f>HYPERLINK("#MUSTERILER!A1","MUSTERILER")</f>
        <v/>
      </c>
      <c r="I27" s="3" t="n"/>
      <c r="J27" s="3" t="n"/>
      <c r="K27" s="109" t="inlineStr">
        <is>
          <t>Kuruluş Ücreti</t>
        </is>
      </c>
      <c r="L27" s="108" t="inlineStr">
        <is>
          <t>Gelir</t>
        </is>
      </c>
      <c r="M27" s="108" t="inlineStr">
        <is>
          <t>Aktif</t>
        </is>
      </c>
      <c r="N27" s="6">
        <f>IF($K27="","",IF($L27="Gelir",COUNTIFS($L$8:$L27,"Gelir"),""))</f>
        <v/>
      </c>
      <c r="O27" s="6">
        <f>IF($K27="","",IF($L27="Gider",COUNTIFS($L$8:$L27,"Gider"),""))</f>
        <v/>
      </c>
      <c r="P27" s="3">
        <f>IFERROR(INDEX($K$8:$K$37,MATCH(ROW()-7,$N$8:$N$37,0)),"")</f>
        <v/>
      </c>
      <c r="Q27" s="3">
        <f>IFERROR(INDEX($K$8:$K$37,MATCH(ROW()-7,$O$8:$O$37,0)),"")</f>
        <v/>
      </c>
      <c r="R27" s="3">
        <f>IF(ROW()-7&lt;=COUNT(MUSTERILER!$U$7:$U$106),IFERROR(INDEX(MUSTERILER!$C$7:$C$106,MATCH(ROW()-7,MUSTERILER!$U$7:$U$106,0)),""),IFERROR(INDEX(HESAPLAR!$B$7:$B$16,ROW()-7-COUNT(MUSTERILER!$U$7:$U$106)),""))</f>
        <v/>
      </c>
    </row>
    <row r="28" ht="23" customHeight="1">
      <c r="A28" s="6" t="n"/>
      <c r="B28" s="121" t="inlineStr">
        <is>
          <t>Devir tarihi eksik</t>
        </is>
      </c>
      <c r="C28" s="113" t="inlineStr">
        <is>
          <t>YÜKSEK</t>
        </is>
      </c>
      <c r="D28" s="113" t="inlineStr">
        <is>
          <t>0</t>
        </is>
      </c>
      <c r="E28" s="227">
        <f>COUNTIFS(MUSTERILER!$J$7:$J$106,"&gt;0",MUSTERILER!$K$7:$K$106,"")</f>
        <v/>
      </c>
      <c r="F28" s="113">
        <f>IF($E28=0,"GEÇTİ","KALDI")</f>
        <v/>
      </c>
      <c r="G28" s="121" t="inlineStr">
        <is>
          <t>Tarihi olmayan devir 29+ gün sayılır</t>
        </is>
      </c>
      <c r="H28" s="166">
        <f>HYPERLINK("#MUSTERILER!A1","MUSTERILER")</f>
        <v/>
      </c>
      <c r="I28" s="3" t="n"/>
      <c r="J28" s="3" t="n"/>
      <c r="K28" s="109" t="inlineStr">
        <is>
          <t>Diğer Gelirler</t>
        </is>
      </c>
      <c r="L28" s="108" t="inlineStr">
        <is>
          <t>Gelir</t>
        </is>
      </c>
      <c r="M28" s="108" t="inlineStr">
        <is>
          <t>Aktif</t>
        </is>
      </c>
      <c r="N28" s="6">
        <f>IF($K28="","",IF($L28="Gelir",COUNTIFS($L$8:$L28,"Gelir"),""))</f>
        <v/>
      </c>
      <c r="O28" s="6">
        <f>IF($K28="","",IF($L28="Gider",COUNTIFS($L$8:$L28,"Gider"),""))</f>
        <v/>
      </c>
      <c r="P28" s="3">
        <f>IFERROR(INDEX($K$8:$K$37,MATCH(ROW()-7,$N$8:$N$37,0)),"")</f>
        <v/>
      </c>
      <c r="Q28" s="3">
        <f>IFERROR(INDEX($K$8:$K$37,MATCH(ROW()-7,$O$8:$O$37,0)),"")</f>
        <v/>
      </c>
      <c r="R28" s="3">
        <f>IF(ROW()-7&lt;=COUNT(MUSTERILER!$U$7:$U$106),IFERROR(INDEX(MUSTERILER!$C$7:$C$106,MATCH(ROW()-7,MUSTERILER!$U$7:$U$106,0)),""),IFERROR(INDEX(HESAPLAR!$B$7:$B$16,ROW()-7-COUNT(MUSTERILER!$U$7:$U$106)),""))</f>
        <v/>
      </c>
    </row>
    <row r="29" ht="23" customHeight="1">
      <c r="A29" s="6" t="n"/>
      <c r="B29" s="121" t="inlineStr">
        <is>
          <t>Müşteri kaydı eksik</t>
        </is>
      </c>
      <c r="C29" s="113" t="inlineStr">
        <is>
          <t>ORTA</t>
        </is>
      </c>
      <c r="D29" s="113" t="inlineStr">
        <is>
          <t>0</t>
        </is>
      </c>
      <c r="E29" s="227">
        <f>SUMPRODUCT((MUSTERILER!$P$7:$P$106&lt;&gt;"")*(MUSTERILER!$P$7:$P$106&lt;&gt;"UYGUN"))</f>
        <v/>
      </c>
      <c r="F29" s="113">
        <f>IF($E29=0,"GEÇTİ","KALDI")</f>
        <v/>
      </c>
      <c r="G29" s="121" t="inlineStr">
        <is>
          <t>Unvan ve durum zorunlu</t>
        </is>
      </c>
      <c r="H29" s="166">
        <f>HYPERLINK("#MUSTERILER!A1","MUSTERILER")</f>
        <v/>
      </c>
      <c r="I29" s="3" t="n"/>
      <c r="J29" s="3" t="n"/>
      <c r="K29" s="109" t="inlineStr">
        <is>
          <t>Mehmet Ali Kartal</t>
        </is>
      </c>
      <c r="L29" s="108" t="inlineStr">
        <is>
          <t>Gider</t>
        </is>
      </c>
      <c r="M29" s="108" t="inlineStr">
        <is>
          <t>Aktif</t>
        </is>
      </c>
      <c r="N29" s="6">
        <f>IF($K29="","",IF($L29="Gelir",COUNTIFS($L$8:$L29,"Gelir"),""))</f>
        <v/>
      </c>
      <c r="O29" s="6">
        <f>IF($K29="","",IF($L29="Gider",COUNTIFS($L$8:$L29,"Gider"),""))</f>
        <v/>
      </c>
      <c r="P29" s="3">
        <f>IFERROR(INDEX($K$8:$K$37,MATCH(ROW()-7,$N$8:$N$37,0)),"")</f>
        <v/>
      </c>
      <c r="Q29" s="3">
        <f>IFERROR(INDEX($K$8:$K$37,MATCH(ROW()-7,$O$8:$O$37,0)),"")</f>
        <v/>
      </c>
      <c r="R29" s="3">
        <f>IF(ROW()-7&lt;=COUNT(MUSTERILER!$U$7:$U$106),IFERROR(INDEX(MUSTERILER!$C$7:$C$106,MATCH(ROW()-7,MUSTERILER!$U$7:$U$106,0)),""),IFERROR(INDEX(HESAPLAR!$B$7:$B$16,ROW()-7-COUNT(MUSTERILER!$U$7:$U$106)),""))</f>
        <v/>
      </c>
    </row>
    <row r="30" ht="23" customHeight="1">
      <c r="A30" s="6" t="n"/>
      <c r="B30" s="121" t="inlineStr">
        <is>
          <t>Eksik tahsilat kaydı</t>
        </is>
      </c>
      <c r="C30" s="113" t="inlineStr">
        <is>
          <t>YÜKSEK</t>
        </is>
      </c>
      <c r="D30" s="113" t="inlineStr">
        <is>
          <t>0</t>
        </is>
      </c>
      <c r="E30" s="227">
        <f>COUNTIF(TAHSILAT!$M$7:$M$1506,"EKSİK")</f>
        <v/>
      </c>
      <c r="F30" s="113">
        <f>IF($E30=0,"GEÇTİ","KALDI")</f>
        <v/>
      </c>
      <c r="G30" s="121" t="inlineStr">
        <is>
          <t>Tarih, tutar ve hesap zorunlu</t>
        </is>
      </c>
      <c r="H30" s="166">
        <f>HYPERLINK("#TAHSILAT!A1","TAHSILAT")</f>
        <v/>
      </c>
      <c r="I30" s="3" t="n"/>
      <c r="J30" s="3" t="n"/>
      <c r="K30" s="167" t="inlineStr">
        <is>
          <t>Muhasebe Hizmet Geliri (sözleşme dışı)</t>
        </is>
      </c>
      <c r="L30" s="167" t="inlineStr">
        <is>
          <t>Gelir</t>
        </is>
      </c>
      <c r="M30" s="167" t="inlineStr">
        <is>
          <t>Aktif</t>
        </is>
      </c>
      <c r="N30" s="6">
        <f>IF($K30="","",IF($L30="Gelir",COUNTIFS($L$8:$L30,"Gelir"),""))</f>
        <v/>
      </c>
      <c r="O30" s="6">
        <f>IF($K30="","",IF($L30="Gider",COUNTIFS($L$8:$L30,"Gider"),""))</f>
        <v/>
      </c>
      <c r="P30" s="3">
        <f>IFERROR(INDEX($K$8:$K$37,MATCH(ROW()-7,$N$8:$N$37,0)),"")</f>
        <v/>
      </c>
      <c r="Q30" s="3">
        <f>IFERROR(INDEX($K$8:$K$37,MATCH(ROW()-7,$O$8:$O$37,0)),"")</f>
        <v/>
      </c>
      <c r="R30" s="3">
        <f>IF(ROW()-7&lt;=COUNT(MUSTERILER!$U$7:$U$106),IFERROR(INDEX(MUSTERILER!$C$7:$C$106,MATCH(ROW()-7,MUSTERILER!$U$7:$U$106,0)),""),IFERROR(INDEX(HESAPLAR!$B$7:$B$16,ROW()-7-COUNT(MUSTERILER!$U$7:$U$106)),""))</f>
        <v/>
      </c>
    </row>
    <row r="31" ht="23" customHeight="1">
      <c r="A31" s="6" t="n"/>
      <c r="B31" s="121" t="inlineStr">
        <is>
          <t>Tanımsız müşteriye tahsilat</t>
        </is>
      </c>
      <c r="C31" s="113" t="inlineStr">
        <is>
          <t>KRİTİK</t>
        </is>
      </c>
      <c r="D31" s="113" t="inlineStr">
        <is>
          <t>0</t>
        </is>
      </c>
      <c r="E31" s="227">
        <f>COUNTIF(TAHSILAT!$M$7:$M$1506,"HATA")</f>
        <v/>
      </c>
      <c r="F31" s="113">
        <f>IF($E31=0,"GEÇTİ","KALDI")</f>
        <v/>
      </c>
      <c r="G31" s="121" t="inlineStr">
        <is>
          <t>Tahsilat müşteri numarası ana listede olmalı</t>
        </is>
      </c>
      <c r="H31" s="166">
        <f>HYPERLINK("#TAHSILAT!A1","TAHSILAT")</f>
        <v/>
      </c>
      <c r="I31" s="3" t="n"/>
      <c r="J31" s="3" t="n"/>
      <c r="K31" s="167" t="inlineStr">
        <is>
          <t>Beyanname / Bildirim Ücreti</t>
        </is>
      </c>
      <c r="L31" s="167" t="inlineStr">
        <is>
          <t>Gelir</t>
        </is>
      </c>
      <c r="M31" s="167" t="inlineStr">
        <is>
          <t>Aktif</t>
        </is>
      </c>
      <c r="N31" s="6">
        <f>IF($K31="","",IF($L31="Gelir",COUNTIFS($L$8:$L31,"Gelir"),""))</f>
        <v/>
      </c>
      <c r="O31" s="6">
        <f>IF($K31="","",IF($L31="Gider",COUNTIFS($L$8:$L31,"Gider"),""))</f>
        <v/>
      </c>
      <c r="P31" s="3">
        <f>IFERROR(INDEX($K$8:$K$37,MATCH(ROW()-7,$N$8:$N$37,0)),"")</f>
        <v/>
      </c>
      <c r="Q31" s="3">
        <f>IFERROR(INDEX($K$8:$K$37,MATCH(ROW()-7,$O$8:$O$37,0)),"")</f>
        <v/>
      </c>
      <c r="R31" s="3">
        <f>IF(ROW()-7&lt;=COUNT(MUSTERILER!$U$7:$U$106),IFERROR(INDEX(MUSTERILER!$C$7:$C$106,MATCH(ROW()-7,MUSTERILER!$U$7:$U$106,0)),""),IFERROR(INDEX(HESAPLAR!$B$7:$B$16,ROW()-7-COUNT(MUSTERILER!$U$7:$U$106)),""))</f>
        <v/>
      </c>
    </row>
    <row r="32" ht="23" customHeight="1">
      <c r="A32" s="6" t="n"/>
      <c r="B32" s="121" t="inlineStr">
        <is>
          <t>İleri tarihli tahsilat</t>
        </is>
      </c>
      <c r="C32" s="113" t="inlineStr">
        <is>
          <t>YÜKSEK</t>
        </is>
      </c>
      <c r="D32" s="113" t="inlineStr">
        <is>
          <t>0</t>
        </is>
      </c>
      <c r="E32" s="227">
        <f>COUNTIF(TAHSILAT!$M$7:$M$1506,"İLERİ TARİH")</f>
        <v/>
      </c>
      <c r="F32" s="113">
        <f>IF($E32=0,"GEÇTİ","KALDI")</f>
        <v/>
      </c>
      <c r="G32" s="121" t="inlineStr">
        <is>
          <t>Yanlışlıkla ileri tarih girilmesini yakalar</t>
        </is>
      </c>
      <c r="H32" s="166">
        <f>HYPERLINK("#TAHSILAT!A1","TAHSILAT")</f>
        <v/>
      </c>
      <c r="I32" s="3" t="n"/>
      <c r="J32" s="3" t="n"/>
      <c r="K32" s="167" t="inlineStr">
        <is>
          <t>Diğer Hizmet Geliri</t>
        </is>
      </c>
      <c r="L32" s="167" t="inlineStr">
        <is>
          <t>Gelir</t>
        </is>
      </c>
      <c r="M32" s="167" t="inlineStr">
        <is>
          <t>Aktif</t>
        </is>
      </c>
      <c r="N32" s="6">
        <f>IF($K32="","",IF($L32="Gelir",COUNTIFS($L$8:$L32,"Gelir"),""))</f>
        <v/>
      </c>
      <c r="O32" s="6">
        <f>IF($K32="","",IF($L32="Gider",COUNTIFS($L$8:$L32,"Gider"),""))</f>
        <v/>
      </c>
      <c r="P32" s="3">
        <f>IFERROR(INDEX($K$8:$K$37,MATCH(ROW()-7,$N$8:$N$37,0)),"")</f>
        <v/>
      </c>
      <c r="Q32" s="3">
        <f>IFERROR(INDEX($K$8:$K$37,MATCH(ROW()-7,$O$8:$O$37,0)),"")</f>
        <v/>
      </c>
      <c r="R32" s="3">
        <f>IF(ROW()-7&lt;=COUNT(MUSTERILER!$U$7:$U$106),IFERROR(INDEX(MUSTERILER!$C$7:$C$106,MATCH(ROW()-7,MUSTERILER!$U$7:$U$106,0)),""),IFERROR(INDEX(HESAPLAR!$B$7:$B$16,ROW()-7-COUNT(MUSTERILER!$U$7:$U$106)),""))</f>
        <v/>
      </c>
    </row>
    <row r="33" ht="23" customHeight="1">
      <c r="A33" s="6" t="n"/>
      <c r="B33" s="121" t="inlineStr">
        <is>
          <t>Sıfır / negatif tahsilat</t>
        </is>
      </c>
      <c r="C33" s="113" t="inlineStr">
        <is>
          <t>KRİTİK</t>
        </is>
      </c>
      <c r="D33" s="113" t="inlineStr">
        <is>
          <t>0</t>
        </is>
      </c>
      <c r="E33" s="227">
        <f>COUNTIFS(TAHSILAT!$D$7:$D$1506,"&lt;&gt;",TAHSILAT!$F$7:$F$1506,"&lt;=0")</f>
        <v/>
      </c>
      <c r="F33" s="113">
        <f>IF($E33=0,"GEÇTİ","KALDI")</f>
        <v/>
      </c>
      <c r="G33" s="121" t="inlineStr">
        <is>
          <t>Tahsilat tutarı sıfırdan büyük olmalı</t>
        </is>
      </c>
      <c r="H33" s="166">
        <f>HYPERLINK("#TAHSILAT!A1","TAHSILAT")</f>
        <v/>
      </c>
      <c r="I33" s="3" t="n"/>
      <c r="J33" s="3" t="n"/>
      <c r="K33" s="167" t="inlineStr">
        <is>
          <t>Diğer Gelir</t>
        </is>
      </c>
      <c r="L33" s="167" t="inlineStr">
        <is>
          <t>Gelir</t>
        </is>
      </c>
      <c r="M33" s="167" t="inlineStr">
        <is>
          <t>Aktif</t>
        </is>
      </c>
      <c r="N33" s="6">
        <f>IF($K33="","",IF($L33="Gelir",COUNTIFS($L$8:$L33,"Gelir"),""))</f>
        <v/>
      </c>
      <c r="O33" s="6">
        <f>IF($K33="","",IF($L33="Gider",COUNTIFS($L$8:$L33,"Gider"),""))</f>
        <v/>
      </c>
      <c r="P33" s="3">
        <f>IFERROR(INDEX($K$8:$K$37,MATCH(ROW()-7,$N$8:$N$37,0)),"")</f>
        <v/>
      </c>
      <c r="Q33" s="3">
        <f>IFERROR(INDEX($K$8:$K$37,MATCH(ROW()-7,$O$8:$O$37,0)),"")</f>
        <v/>
      </c>
      <c r="R33" s="3">
        <f>IF(ROW()-7&lt;=COUNT(MUSTERILER!$U$7:$U$106),IFERROR(INDEX(MUSTERILER!$C$7:$C$106,MATCH(ROW()-7,MUSTERILER!$U$7:$U$106,0)),""),IFERROR(INDEX(HESAPLAR!$B$7:$B$16,ROW()-7-COUNT(MUSTERILER!$U$7:$U$106)),""))</f>
        <v/>
      </c>
    </row>
    <row r="34" ht="23" customHeight="1">
      <c r="A34" s="6" t="n"/>
      <c r="B34" s="121" t="inlineStr">
        <is>
          <t>Tanımsız hesaba tahsilat</t>
        </is>
      </c>
      <c r="C34" s="113" t="inlineStr">
        <is>
          <t>KRİTİK</t>
        </is>
      </c>
      <c r="D34" s="113" t="inlineStr">
        <is>
          <t>0</t>
        </is>
      </c>
      <c r="E34" s="227">
        <f>SUMPRODUCT((TAHSILAT!$G$7:$G$1506&lt;&gt;"")*(COUNTIF(HESAPLAR!$B$7:$B$16,TAHSILAT!$G$7:$G$1506&amp;"")=0))</f>
        <v/>
      </c>
      <c r="F34" s="113">
        <f>IF($E34=0,"GEÇTİ","KALDI")</f>
        <v/>
      </c>
      <c r="G34" s="121" t="inlineStr">
        <is>
          <t>Kasa/banka adı hesap listesinde olmalı</t>
        </is>
      </c>
      <c r="H34" s="166">
        <f>HYPERLINK("#HESAPLAR!A1","HESAPLAR")</f>
        <v/>
      </c>
      <c r="I34" s="3" t="n"/>
      <c r="J34" s="3" t="n"/>
      <c r="K34" s="167" t="n"/>
      <c r="L34" s="167" t="n"/>
      <c r="M34" s="167" t="n"/>
      <c r="N34" s="6">
        <f>IF($K34="","",IF($L34="Gelir",COUNTIFS($L$8:$L34,"Gelir"),""))</f>
        <v/>
      </c>
      <c r="O34" s="6">
        <f>IF($K34="","",IF($L34="Gider",COUNTIFS($L$8:$L34,"Gider"),""))</f>
        <v/>
      </c>
      <c r="P34" s="3">
        <f>IFERROR(INDEX($K$8:$K$37,MATCH(ROW()-7,$N$8:$N$37,0)),"")</f>
        <v/>
      </c>
      <c r="Q34" s="3">
        <f>IFERROR(INDEX($K$8:$K$37,MATCH(ROW()-7,$O$8:$O$37,0)),"")</f>
        <v/>
      </c>
      <c r="R34" s="3">
        <f>IF(ROW()-7&lt;=COUNT(MUSTERILER!$U$7:$U$106),IFERROR(INDEX(MUSTERILER!$C$7:$C$106,MATCH(ROW()-7,MUSTERILER!$U$7:$U$106,0)),""),IFERROR(INDEX(HESAPLAR!$B$7:$B$16,ROW()-7-COUNT(MUSTERILER!$U$7:$U$106)),""))</f>
        <v/>
      </c>
    </row>
    <row r="35" ht="23" customHeight="1">
      <c r="A35" s="6" t="n"/>
      <c r="B35" s="121" t="inlineStr">
        <is>
          <t>Eksik gelir/gider kaydı</t>
        </is>
      </c>
      <c r="C35" s="113" t="inlineStr">
        <is>
          <t>YÜKSEK</t>
        </is>
      </c>
      <c r="D35" s="113" t="inlineStr">
        <is>
          <t>0</t>
        </is>
      </c>
      <c r="E35" s="227">
        <f>COUNTIF(GELIR_GIDER!$P$7:$P$1206,"EKSİK")</f>
        <v/>
      </c>
      <c r="F35" s="113">
        <f>IF($E35=0,"GEÇTİ","KALDI")</f>
        <v/>
      </c>
      <c r="G35" s="121" t="inlineStr">
        <is>
          <t>Faaliyet kaydı tam olmalı</t>
        </is>
      </c>
      <c r="H35" s="166">
        <f>HYPERLINK("#GELIR_GIDER!A1","GELIR_GIDER")</f>
        <v/>
      </c>
      <c r="I35" s="3" t="n"/>
      <c r="J35" s="3" t="n"/>
      <c r="K35" s="167" t="n"/>
      <c r="L35" s="167" t="n"/>
      <c r="M35" s="167" t="n"/>
      <c r="N35" s="6">
        <f>IF($K35="","",IF($L35="Gelir",COUNTIFS($L$8:$L35,"Gelir"),""))</f>
        <v/>
      </c>
      <c r="O35" s="6">
        <f>IF($K35="","",IF($L35="Gider",COUNTIFS($L$8:$L35,"Gider"),""))</f>
        <v/>
      </c>
      <c r="P35" s="3">
        <f>IFERROR(INDEX($K$8:$K$37,MATCH(ROW()-7,$N$8:$N$37,0)),"")</f>
        <v/>
      </c>
      <c r="Q35" s="3">
        <f>IFERROR(INDEX($K$8:$K$37,MATCH(ROW()-7,$O$8:$O$37,0)),"")</f>
        <v/>
      </c>
      <c r="R35" s="3">
        <f>IF(ROW()-7&lt;=COUNT(MUSTERILER!$U$7:$U$106),IFERROR(INDEX(MUSTERILER!$C$7:$C$106,MATCH(ROW()-7,MUSTERILER!$U$7:$U$106,0)),""),IFERROR(INDEX(HESAPLAR!$B$7:$B$16,ROW()-7-COUNT(MUSTERILER!$U$7:$U$106)),""))</f>
        <v/>
      </c>
    </row>
    <row r="36" ht="23" customHeight="1">
      <c r="A36" s="6" t="n"/>
      <c r="B36" s="121" t="inlineStr">
        <is>
          <t>Sıfır / negatif gelir-gider</t>
        </is>
      </c>
      <c r="C36" s="113" t="inlineStr">
        <is>
          <t>YÜKSEK</t>
        </is>
      </c>
      <c r="D36" s="113" t="inlineStr">
        <is>
          <t>0</t>
        </is>
      </c>
      <c r="E36" s="227">
        <f>COUNTIFS(GELIR_GIDER!$D$7:$D$1206,"&lt;&gt;",GELIR_GIDER!$G$7:$G$1206,"&lt;=0")</f>
        <v/>
      </c>
      <c r="F36" s="113">
        <f>IF($E36=0,"GEÇTİ","KALDI")</f>
        <v/>
      </c>
      <c r="G36" s="121" t="inlineStr">
        <is>
          <t>Tutar sıfırdan büyük olmalı</t>
        </is>
      </c>
      <c r="H36" s="166">
        <f>HYPERLINK("#GELIR_GIDER!A1","GELIR_GIDER")</f>
        <v/>
      </c>
      <c r="I36" s="3" t="n"/>
      <c r="J36" s="3" t="n"/>
      <c r="K36" s="167" t="n"/>
      <c r="L36" s="167" t="n"/>
      <c r="M36" s="167" t="n"/>
      <c r="N36" s="6">
        <f>IF($K36="","",IF($L36="Gelir",COUNTIFS($L$8:$L36,"Gelir"),""))</f>
        <v/>
      </c>
      <c r="O36" s="6">
        <f>IF($K36="","",IF($L36="Gider",COUNTIFS($L$8:$L36,"Gider"),""))</f>
        <v/>
      </c>
      <c r="P36" s="3">
        <f>IFERROR(INDEX($K$8:$K$37,MATCH(ROW()-7,$N$8:$N$37,0)),"")</f>
        <v/>
      </c>
      <c r="Q36" s="3">
        <f>IFERROR(INDEX($K$8:$K$37,MATCH(ROW()-7,$O$8:$O$37,0)),"")</f>
        <v/>
      </c>
      <c r="R36" s="3">
        <f>IF(ROW()-7&lt;=COUNT(MUSTERILER!$U$7:$U$106),IFERROR(INDEX(MUSTERILER!$C$7:$C$106,MATCH(ROW()-7,MUSTERILER!$U$7:$U$106,0)),""),IFERROR(INDEX(HESAPLAR!$B$7:$B$16,ROW()-7-COUNT(MUSTERILER!$U$7:$U$106)),""))</f>
        <v/>
      </c>
    </row>
    <row r="37" ht="23" customHeight="1">
      <c r="A37" s="6" t="n"/>
      <c r="B37" s="121" t="inlineStr">
        <is>
          <t>Hatalı virman</t>
        </is>
      </c>
      <c r="C37" s="113" t="inlineStr">
        <is>
          <t>KRİTİK</t>
        </is>
      </c>
      <c r="D37" s="113" t="inlineStr">
        <is>
          <t>0</t>
        </is>
      </c>
      <c r="E37" s="227">
        <f>COUNTIF(VIRMAN!$J$7:$J$406,"HATA")</f>
        <v/>
      </c>
      <c r="F37" s="113">
        <f>IF($E37=0,"GEÇTİ","KALDI")</f>
        <v/>
      </c>
      <c r="G37" s="121" t="inlineStr">
        <is>
          <t>Çıkan ve giren hesap aynı olamaz</t>
        </is>
      </c>
      <c r="H37" s="166">
        <f>HYPERLINK("#VIRMAN!A1","VIRMAN")</f>
        <v/>
      </c>
      <c r="I37" s="3" t="n"/>
      <c r="J37" s="3" t="n"/>
      <c r="K37" s="167" t="n"/>
      <c r="L37" s="167" t="n"/>
      <c r="M37" s="167" t="n"/>
      <c r="N37" s="6">
        <f>IF($K37="","",IF($L37="Gelir",COUNTIFS($L$8:$L37,"Gelir"),""))</f>
        <v/>
      </c>
      <c r="O37" s="6">
        <f>IF($K37="","",IF($L37="Gider",COUNTIFS($L$8:$L37,"Gider"),""))</f>
        <v/>
      </c>
      <c r="P37" s="3">
        <f>IFERROR(INDEX($K$8:$K$37,MATCH(ROW()-7,$N$8:$N$37,0)),"")</f>
        <v/>
      </c>
      <c r="Q37" s="3">
        <f>IFERROR(INDEX($K$8:$K$37,MATCH(ROW()-7,$O$8:$O$37,0)),"")</f>
        <v/>
      </c>
      <c r="R37" s="3">
        <f>IF(ROW()-7&lt;=COUNT(MUSTERILER!$U$7:$U$106),IFERROR(INDEX(MUSTERILER!$C$7:$C$106,MATCH(ROW()-7,MUSTERILER!$U$7:$U$106,0)),""),IFERROR(INDEX(HESAPLAR!$B$7:$B$16,ROW()-7-COUNT(MUSTERILER!$U$7:$U$106)),""))</f>
        <v/>
      </c>
    </row>
    <row r="38" ht="23" customHeight="1">
      <c r="A38" s="6" t="n"/>
      <c r="B38" s="121" t="inlineStr">
        <is>
          <t>Cari matematik kontrolü</t>
        </is>
      </c>
      <c r="C38" s="113" t="inlineStr">
        <is>
          <t>KRİTİK</t>
        </is>
      </c>
      <c r="D38" s="113" t="inlineStr">
        <is>
          <t>0</t>
        </is>
      </c>
      <c r="E38" s="227">
        <f>COUNTIF(MUSTERI_360!$W$7:$W$106,"İNCELE")</f>
        <v/>
      </c>
      <c r="F38" s="113">
        <f>IF($E38=0,"GEÇTİ","KALDI")</f>
        <v/>
      </c>
      <c r="G38" s="121" t="inlineStr">
        <is>
          <t>Bakiye = yaş kovaları toplamı</t>
        </is>
      </c>
      <c r="H38" s="166">
        <f>HYPERLINK("#MUSTERI_360!A1","MUSTERI_360")</f>
        <v/>
      </c>
      <c r="I38" s="3" t="n"/>
      <c r="J38" s="3" t="n"/>
      <c r="K38" s="3" t="n"/>
      <c r="L38" s="3" t="n"/>
      <c r="M38" s="3" t="n"/>
      <c r="N38" s="6" t="n"/>
      <c r="O38" s="6" t="n"/>
      <c r="P38" s="3" t="n"/>
      <c r="Q38" s="3" t="n"/>
      <c r="R38" s="3">
        <f>IF(ROW()-7&lt;=COUNT(MUSTERILER!$U$7:$U$106),IFERROR(INDEX(MUSTERILER!$C$7:$C$106,MATCH(ROW()-7,MUSTERILER!$U$7:$U$106,0)),""),IFERROR(INDEX(HESAPLAR!$B$7:$B$16,ROW()-7-COUNT(MUSTERILER!$U$7:$U$106)),""))</f>
        <v/>
      </c>
    </row>
    <row r="39" ht="23" customHeight="1">
      <c r="A39" s="6" t="n"/>
      <c r="B39" s="121" t="inlineStr">
        <is>
          <t>Tahsilat mutabakatı</t>
        </is>
      </c>
      <c r="C39" s="113" t="inlineStr">
        <is>
          <t>KRİTİK</t>
        </is>
      </c>
      <c r="D39" s="113" t="inlineStr">
        <is>
          <t>0,00 TL</t>
        </is>
      </c>
      <c r="E39" s="250">
        <f>ABS(SUM(TAHSILAT!$F$7:$F$1506)-SUM(MUSTERI_360!$I$7:$I$106))</f>
        <v/>
      </c>
      <c r="F39" s="113">
        <f>IF($E39&lt;0.01,"GEÇTİ","KALDI")</f>
        <v/>
      </c>
      <c r="G39" s="121" t="inlineStr">
        <is>
          <t>Defter toplamı = cari tahsilat toplamı</t>
        </is>
      </c>
      <c r="H39" s="166">
        <f>HYPERLINK("#TAHSILAT!A1","TAHSILAT")</f>
        <v/>
      </c>
      <c r="I39" s="3" t="n"/>
      <c r="J39" s="3" t="n"/>
      <c r="K39" s="3" t="n"/>
      <c r="L39" s="3" t="n"/>
      <c r="M39" s="3" t="n"/>
      <c r="N39" s="6" t="n"/>
      <c r="O39" s="6" t="n"/>
      <c r="P39" s="3" t="n"/>
      <c r="Q39" s="3" t="n"/>
      <c r="R39" s="3">
        <f>IF(ROW()-7&lt;=COUNT(MUSTERILER!$U$7:$U$106),IFERROR(INDEX(MUSTERILER!$C$7:$C$106,MATCH(ROW()-7,MUSTERILER!$U$7:$U$106,0)),""),IFERROR(INDEX(HESAPLAR!$B$7:$B$16,ROW()-7-COUNT(MUSTERILER!$U$7:$U$106)),""))</f>
        <v/>
      </c>
    </row>
    <row r="40" ht="23" customHeight="1">
      <c r="A40" s="6" t="n"/>
      <c r="B40" s="121" t="inlineStr">
        <is>
          <t>Yaşlandırma mutabakatı</t>
        </is>
      </c>
      <c r="C40" s="113" t="inlineStr">
        <is>
          <t>KRİTİK</t>
        </is>
      </c>
      <c r="D40" s="113" t="inlineStr">
        <is>
          <t>0,00 TL</t>
        </is>
      </c>
      <c r="E40" s="250">
        <f>ABS(SUM(MUSTERI_360!$J$7:$J$106)-SUM(MUSTERI_360!$K$7:$K$106)-SUM(MUSTERI_360!$L$7:$L$106)-SUM(MUSTERI_360!$M$7:$M$106)-SUM(MUSTERI_360!$N$7:$N$106))</f>
        <v/>
      </c>
      <c r="F40" s="113">
        <f>IF($E40&lt;0.01,"GEÇTİ","KALDI")</f>
        <v/>
      </c>
      <c r="G40" s="121" t="inlineStr">
        <is>
          <t>Toplam alacak = yaş kovaları toplamı</t>
        </is>
      </c>
      <c r="H40" s="166">
        <f>HYPERLINK("#MUSTERI_360!A1","MUSTERI_360")</f>
        <v/>
      </c>
      <c r="I40" s="3" t="n"/>
      <c r="J40" s="3" t="n"/>
      <c r="K40" s="3" t="n"/>
      <c r="L40" s="3" t="n"/>
      <c r="M40" s="3" t="n"/>
      <c r="N40" s="6" t="n"/>
      <c r="O40" s="6" t="n"/>
      <c r="P40" s="3" t="n"/>
      <c r="Q40" s="3" t="n"/>
      <c r="R40" s="3">
        <f>IF(ROW()-7&lt;=COUNT(MUSTERILER!$U$7:$U$106),IFERROR(INDEX(MUSTERILER!$C$7:$C$106,MATCH(ROW()-7,MUSTERILER!$U$7:$U$106,0)),""),IFERROR(INDEX(HESAPLAR!$B$7:$B$16,ROW()-7-COUNT(MUSTERILER!$U$7:$U$106)),""))</f>
        <v/>
      </c>
    </row>
    <row r="41" ht="23" customHeight="1">
      <c r="A41" s="6" t="n"/>
      <c r="B41" s="121" t="inlineStr">
        <is>
          <t>Kasa toplam denklemi</t>
        </is>
      </c>
      <c r="C41" s="113" t="inlineStr">
        <is>
          <t>KRİTİK</t>
        </is>
      </c>
      <c r="D41" s="113" t="inlineStr">
        <is>
          <t>0,00 TL</t>
        </is>
      </c>
      <c r="E41" s="250">
        <f>ABS(SUM(HESAPLAR!$K$7:$K$16)-HESAPLAR!$K$18)</f>
        <v/>
      </c>
      <c r="F41" s="113">
        <f>IF($E41&lt;0.01,"GEÇTİ","KALDI")</f>
        <v/>
      </c>
      <c r="G41" s="121" t="inlineStr">
        <is>
          <t>Hesap satırları toplamı = genel toplam</t>
        </is>
      </c>
      <c r="H41" s="166">
        <f>HYPERLINK("#HESAPLAR!A1","HESAPLAR")</f>
        <v/>
      </c>
      <c r="I41" s="3" t="n"/>
      <c r="J41" s="3" t="n"/>
      <c r="K41" s="3" t="n"/>
      <c r="L41" s="3" t="n"/>
      <c r="M41" s="3" t="n"/>
      <c r="N41" s="6" t="n"/>
      <c r="O41" s="6" t="n"/>
      <c r="P41" s="3" t="n"/>
      <c r="Q41" s="3" t="n"/>
      <c r="R41" s="3">
        <f>IF(ROW()-7&lt;=COUNT(MUSTERILER!$U$7:$U$106),IFERROR(INDEX(MUSTERILER!$C$7:$C$106,MATCH(ROW()-7,MUSTERILER!$U$7:$U$106,0)),""),IFERROR(INDEX(HESAPLAR!$B$7:$B$16,ROW()-7-COUNT(MUSTERILER!$U$7:$U$106)),""))</f>
        <v/>
      </c>
    </row>
    <row r="42" ht="23" customHeight="1">
      <c r="A42" s="6" t="n"/>
      <c r="B42" s="121" t="inlineStr">
        <is>
          <t>Negatif hesap bakiyesi</t>
        </is>
      </c>
      <c r="C42" s="113" t="inlineStr">
        <is>
          <t>BİLGİ</t>
        </is>
      </c>
      <c r="D42" s="113" t="inlineStr">
        <is>
          <t>İzle</t>
        </is>
      </c>
      <c r="E42" s="227">
        <f>COUNTIF(HESAPLAR!$K$7:$K$16,"&lt;0")</f>
        <v/>
      </c>
      <c r="F42" s="113">
        <f>"BİLGİ"</f>
        <v/>
      </c>
      <c r="G42" s="121" t="inlineStr">
        <is>
          <t>Bakiyesi eksiye düşen hesap incelenmeli</t>
        </is>
      </c>
      <c r="H42" s="166">
        <f>HYPERLINK("#HESAPLAR!A1","HESAPLAR")</f>
        <v/>
      </c>
      <c r="I42" s="3" t="n"/>
      <c r="J42" s="3" t="n"/>
      <c r="K42" s="3" t="n"/>
      <c r="L42" s="3" t="n"/>
      <c r="M42" s="3" t="n"/>
      <c r="N42" s="6" t="n"/>
      <c r="O42" s="6" t="n"/>
      <c r="P42" s="3" t="n"/>
      <c r="Q42" s="3" t="n"/>
      <c r="R42" s="3">
        <f>IF(ROW()-7&lt;=COUNT(MUSTERILER!$U$7:$U$106),IFERROR(INDEX(MUSTERILER!$C$7:$C$106,MATCH(ROW()-7,MUSTERILER!$U$7:$U$106,0)),""),IFERROR(INDEX(HESAPLAR!$B$7:$B$16,ROW()-7-COUNT(MUSTERILER!$U$7:$U$106)),""))</f>
        <v/>
      </c>
    </row>
    <row r="43" ht="23" customHeight="1">
      <c r="A43" s="6" t="n"/>
      <c r="B43" s="121" t="inlineStr">
        <is>
          <t>Ortak pay dağıtım hatası</t>
        </is>
      </c>
      <c r="C43" s="113" t="inlineStr">
        <is>
          <t>KRİTİK</t>
        </is>
      </c>
      <c r="D43" s="113" t="inlineStr">
        <is>
          <t>0</t>
        </is>
      </c>
      <c r="E43" s="227">
        <f>COUNTIF(AY_SONU!$T$7:$T$42,"PAY HATASI")</f>
        <v/>
      </c>
      <c r="F43" s="113">
        <f>IF($E43=0,"GEÇTİ","KALDI")</f>
        <v/>
      </c>
      <c r="G43" s="121" t="inlineStr">
        <is>
          <t>Dağıtılan pay toplamı tutmalı</t>
        </is>
      </c>
      <c r="H43" s="166">
        <f>HYPERLINK("#AY_SONU!A1","AY_SONU")</f>
        <v/>
      </c>
      <c r="I43" s="3" t="n"/>
      <c r="J43" s="3" t="n"/>
      <c r="K43" s="3" t="n"/>
      <c r="L43" s="3" t="n"/>
      <c r="M43" s="3" t="n"/>
      <c r="N43" s="6" t="n"/>
      <c r="O43" s="6" t="n"/>
      <c r="P43" s="3" t="n"/>
      <c r="Q43" s="3" t="n"/>
      <c r="R43" s="3">
        <f>IF(ROW()-7&lt;=COUNT(MUSTERILER!$U$7:$U$106),IFERROR(INDEX(MUSTERILER!$C$7:$C$106,MATCH(ROW()-7,MUSTERILER!$U$7:$U$106,0)),""),IFERROR(INDEX(HESAPLAR!$B$7:$B$16,ROW()-7-COUNT(MUSTERILER!$U$7:$U$106)),""))</f>
        <v/>
      </c>
    </row>
    <row r="44" ht="23" customHeight="1">
      <c r="A44" s="6" t="n"/>
      <c r="B44" s="121" t="inlineStr">
        <is>
          <t>Aktivitede tanımsız müşteri</t>
        </is>
      </c>
      <c r="C44" s="113" t="inlineStr">
        <is>
          <t>KRİTİK</t>
        </is>
      </c>
      <c r="D44" s="113" t="inlineStr">
        <is>
          <t>0</t>
        </is>
      </c>
      <c r="E44" s="227">
        <f>COUNTIF(AKTIVITE!$Q$7:$Q$1006,"HATA")</f>
        <v/>
      </c>
      <c r="F44" s="113">
        <f>IF($E44=0,"GEÇTİ","KALDI")</f>
        <v/>
      </c>
      <c r="G44" s="121" t="inlineStr">
        <is>
          <t>İş/görüşme ana müşteri kartıyla eşleşmeli</t>
        </is>
      </c>
      <c r="H44" s="166">
        <f>HYPERLINK("#AKTIVITE!A1","AKTIVITE")</f>
        <v/>
      </c>
      <c r="I44" s="3" t="n"/>
      <c r="J44" s="3" t="n"/>
      <c r="K44" s="3" t="n"/>
      <c r="L44" s="3" t="n"/>
      <c r="M44" s="3" t="n"/>
      <c r="N44" s="6" t="n"/>
      <c r="O44" s="6" t="n"/>
      <c r="P44" s="3" t="n"/>
      <c r="Q44" s="3" t="n"/>
      <c r="R44" s="3">
        <f>IF(ROW()-7&lt;=COUNT(MUSTERILER!$U$7:$U$106),IFERROR(INDEX(MUSTERILER!$C$7:$C$106,MATCH(ROW()-7,MUSTERILER!$U$7:$U$106,0)),""),IFERROR(INDEX(HESAPLAR!$B$7:$B$16,ROW()-7-COUNT(MUSTERILER!$U$7:$U$106)),""))</f>
        <v/>
      </c>
    </row>
    <row r="45" ht="23" customHeight="1">
      <c r="A45" s="6" t="n"/>
      <c r="B45" s="121" t="inlineStr">
        <is>
          <t>Aktivitede eksik son tarih</t>
        </is>
      </c>
      <c r="C45" s="113" t="inlineStr">
        <is>
          <t>YÜKSEK</t>
        </is>
      </c>
      <c r="D45" s="113" t="inlineStr">
        <is>
          <t>0</t>
        </is>
      </c>
      <c r="E45" s="227">
        <f>COUNTIF(AKTIVITE!$Q$7:$Q$1006,"TARİH EKSİK")</f>
        <v/>
      </c>
      <c r="F45" s="113">
        <f>IF($E45=0,"GEÇTİ","KALDI")</f>
        <v/>
      </c>
      <c r="G45" s="121" t="inlineStr">
        <is>
          <t>Açık işin son tarihi olmalı</t>
        </is>
      </c>
      <c r="H45" s="166">
        <f>HYPERLINK("#AKTIVITE!A1","AKTIVITE")</f>
        <v/>
      </c>
      <c r="I45" s="3" t="n"/>
      <c r="J45" s="3" t="n"/>
      <c r="K45" s="3" t="n"/>
      <c r="L45" s="3" t="n"/>
      <c r="M45" s="3" t="n"/>
      <c r="N45" s="6" t="n"/>
      <c r="O45" s="6" t="n"/>
      <c r="P45" s="3" t="n"/>
      <c r="Q45" s="3" t="n"/>
      <c r="R45" s="3">
        <f>IF(ROW()-7&lt;=COUNT(MUSTERILER!$U$7:$U$106),IFERROR(INDEX(MUSTERILER!$C$7:$C$106,MATCH(ROW()-7,MUSTERILER!$U$7:$U$106,0)),""),IFERROR(INDEX(HESAPLAR!$B$7:$B$16,ROW()-7-COUNT(MUSTERILER!$U$7:$U$106)),""))</f>
        <v/>
      </c>
    </row>
    <row r="46" ht="23" customHeight="1">
      <c r="A46" s="6" t="n"/>
      <c r="B46" s="121" t="inlineStr">
        <is>
          <t>Sonraki işlem eksik</t>
        </is>
      </c>
      <c r="C46" s="113" t="inlineStr">
        <is>
          <t>YÜKSEK</t>
        </is>
      </c>
      <c r="D46" s="113" t="inlineStr">
        <is>
          <t>0</t>
        </is>
      </c>
      <c r="E46" s="227">
        <f>COUNTIF(AKTIVITE!$Q$7:$Q$1006,"SONRAKİ İŞLEM EKSİK")</f>
        <v/>
      </c>
      <c r="F46" s="113">
        <f>IF($E46=0,"GEÇTİ","KALDI")</f>
        <v/>
      </c>
      <c r="G46" s="121" t="inlineStr">
        <is>
          <t>Görüşmeden sonra adım tanımlanmalı</t>
        </is>
      </c>
      <c r="H46" s="166">
        <f>HYPERLINK("#AKTIVITE!A1","AKTIVITE")</f>
        <v/>
      </c>
      <c r="I46" s="3" t="n"/>
      <c r="J46" s="3" t="n"/>
      <c r="K46" s="3" t="n"/>
      <c r="L46" s="3" t="n"/>
      <c r="M46" s="3" t="n"/>
      <c r="N46" s="6" t="n"/>
      <c r="O46" s="6" t="n"/>
      <c r="P46" s="3" t="n"/>
      <c r="Q46" s="3" t="n"/>
      <c r="R46" s="3">
        <f>IF(ROW()-7&lt;=COUNT(MUSTERILER!$U$7:$U$106),IFERROR(INDEX(MUSTERILER!$C$7:$C$106,MATCH(ROW()-7,MUSTERILER!$U$7:$U$106,0)),""),IFERROR(INDEX(HESAPLAR!$B$7:$B$16,ROW()-7-COUNT(MUSTERILER!$U$7:$U$106)),""))</f>
        <v/>
      </c>
    </row>
    <row r="47" ht="23" customHeight="1">
      <c r="A47" s="6" t="n"/>
      <c r="B47" s="121" t="inlineStr">
        <is>
          <t>Gecikmiş müşteri işi</t>
        </is>
      </c>
      <c r="C47" s="113" t="inlineStr">
        <is>
          <t>BİLGİ</t>
        </is>
      </c>
      <c r="D47" s="113" t="inlineStr">
        <is>
          <t>İzle</t>
        </is>
      </c>
      <c r="E47" s="227">
        <f>COUNTIF(AKTIVITE!$Q$7:$Q$1006,"GECİKMİŞ")</f>
        <v/>
      </c>
      <c r="F47" s="113">
        <f>"BİLGİ"</f>
        <v/>
      </c>
      <c r="G47" s="121" t="inlineStr">
        <is>
          <t>Son tarihi geçmiş açık işler</t>
        </is>
      </c>
      <c r="H47" s="166">
        <f>HYPERLINK("#AKTIVITE!A1","AKTIVITE")</f>
        <v/>
      </c>
      <c r="I47" s="3" t="n"/>
      <c r="J47" s="3" t="n"/>
      <c r="K47" s="3" t="n"/>
      <c r="L47" s="3" t="n"/>
      <c r="M47" s="3" t="n"/>
      <c r="N47" s="6" t="n"/>
      <c r="O47" s="6" t="n"/>
      <c r="P47" s="3" t="n"/>
      <c r="Q47" s="3" t="n"/>
      <c r="R47" s="3">
        <f>IF(ROW()-7&lt;=COUNT(MUSTERILER!$U$7:$U$106),IFERROR(INDEX(MUSTERILER!$C$7:$C$106,MATCH(ROW()-7,MUSTERILER!$U$7:$U$106,0)),""),IFERROR(INDEX(HESAPLAR!$B$7:$B$16,ROW()-7-COUNT(MUSTERILER!$U$7:$U$106)),""))</f>
        <v/>
      </c>
    </row>
    <row r="48" ht="23" customHeight="1">
      <c r="A48" s="6" t="n"/>
      <c r="B48" s="121" t="inlineStr">
        <is>
          <t>Bugün yapılacak iş</t>
        </is>
      </c>
      <c r="C48" s="113" t="inlineStr">
        <is>
          <t>BİLGİ</t>
        </is>
      </c>
      <c r="D48" s="113" t="inlineStr">
        <is>
          <t>İzle</t>
        </is>
      </c>
      <c r="E48" s="227">
        <f>COUNTIF(AKTIVITE!$Q$7:$Q$1006,"BUGÜN")</f>
        <v/>
      </c>
      <c r="F48" s="113">
        <f>"BİLGİ"</f>
        <v/>
      </c>
      <c r="G48" s="121" t="inlineStr">
        <is>
          <t>Bugün tamamlanması gereken işler</t>
        </is>
      </c>
      <c r="H48" s="166">
        <f>HYPERLINK("#AKTIVITE!A1","AKTIVITE")</f>
        <v/>
      </c>
      <c r="I48" s="3" t="n"/>
      <c r="J48" s="3" t="n"/>
      <c r="K48" s="3" t="n"/>
      <c r="L48" s="3" t="n"/>
      <c r="M48" s="3" t="n"/>
      <c r="N48" s="6" t="n"/>
      <c r="O48" s="6" t="n"/>
      <c r="P48" s="3" t="n"/>
      <c r="Q48" s="3" t="n"/>
      <c r="R48" s="3">
        <f>IF(ROW()-7&lt;=COUNT(MUSTERILER!$U$7:$U$106),IFERROR(INDEX(MUSTERILER!$C$7:$C$106,MATCH(ROW()-7,MUSTERILER!$U$7:$U$106,0)),""),IFERROR(INDEX(HESAPLAR!$B$7:$B$16,ROW()-7-COUNT(MUSTERILER!$U$7:$U$106)),""))</f>
        <v/>
      </c>
    </row>
    <row r="49" ht="23" customHeight="1">
      <c r="A49" s="6" t="n"/>
      <c r="B49" s="121" t="inlineStr">
        <is>
          <t>29+ gün alacaklı müşteri</t>
        </is>
      </c>
      <c r="C49" s="113" t="inlineStr">
        <is>
          <t>BİLGİ</t>
        </is>
      </c>
      <c r="D49" s="113" t="inlineStr">
        <is>
          <t>İzle</t>
        </is>
      </c>
      <c r="E49" s="227">
        <f>COUNTIF(MUSTERI_360!$Q$7:$Q$106,"KRİTİK")</f>
        <v/>
      </c>
      <c r="F49" s="113">
        <f>"BİLGİ"</f>
        <v/>
      </c>
      <c r="G49" s="121" t="inlineStr">
        <is>
          <t>Kritik borç durumundaki müşteri sayısı</t>
        </is>
      </c>
      <c r="H49" s="166">
        <f>HYPERLINK("#MUSTERI_360!A1","MUSTERI_360")</f>
        <v/>
      </c>
      <c r="I49" s="3" t="n"/>
      <c r="J49" s="3" t="n"/>
      <c r="K49" s="3" t="n"/>
      <c r="L49" s="3" t="n"/>
      <c r="M49" s="3" t="n"/>
      <c r="N49" s="6" t="n"/>
      <c r="O49" s="6" t="n"/>
      <c r="P49" s="3" t="n"/>
      <c r="Q49" s="3" t="n"/>
      <c r="R49" s="3">
        <f>IF(ROW()-7&lt;=COUNT(MUSTERILER!$U$7:$U$106),IFERROR(INDEX(MUSTERILER!$C$7:$C$106,MATCH(ROW()-7,MUSTERILER!$U$7:$U$106,0)),""),IFERROR(INDEX(HESAPLAR!$B$7:$B$16,ROW()-7-COUNT(MUSTERILER!$U$7:$U$106)),""))</f>
        <v/>
      </c>
    </row>
    <row r="50" ht="23" customHeight="1">
      <c r="A50" s="6" t="n"/>
      <c r="B50" s="121" t="inlineStr">
        <is>
          <t>Cari ekstre mutabakatı</t>
        </is>
      </c>
      <c r="C50" s="113" t="inlineStr">
        <is>
          <t>KRİTİK</t>
        </is>
      </c>
      <c r="D50" s="113" t="inlineStr">
        <is>
          <t>0,00 TL</t>
        </is>
      </c>
      <c r="E50" s="250">
        <f>IFERROR(ABS(CARI_EKSTRE!$F$9-(INDEX(MUSTERI_360!$J$7:$J$106,MATCH(CARI_EKSTRE!$AC$4,MUSTERI_360!$B$7:$B$106,0))-INDEX(MUSTERI_360!$V$7:$V$106,MATCH(CARI_EKSTRE!$AC$4,MUSTERI_360!$B$7:$B$106,0)))),0)</f>
        <v/>
      </c>
      <c r="F50" s="113">
        <f>IF($E50&lt;0.01,"GEÇTİ","KALDI")</f>
        <v/>
      </c>
      <c r="G50" s="121" t="inlineStr">
        <is>
          <t>Seçili müşterinin ekstre bakiyesi cari bakiyeye eşit olmalı</t>
        </is>
      </c>
      <c r="H50" s="166">
        <f>HYPERLINK("#CARI_EKSTRE!A1","CARI_EKSTRE")</f>
        <v/>
      </c>
      <c r="I50" s="3" t="n"/>
      <c r="J50" s="3" t="n"/>
      <c r="K50" s="3" t="n"/>
      <c r="L50" s="3" t="n"/>
      <c r="M50" s="3" t="n"/>
      <c r="N50" s="6" t="n"/>
      <c r="O50" s="6" t="n"/>
      <c r="P50" s="3" t="n"/>
      <c r="Q50" s="3" t="n"/>
      <c r="R50" s="3">
        <f>IF(ROW()-7&lt;=COUNT(MUSTERILER!$U$7:$U$106),IFERROR(INDEX(MUSTERILER!$C$7:$C$106,MATCH(ROW()-7,MUSTERILER!$U$7:$U$106,0)),""),IFERROR(INDEX(HESAPLAR!$B$7:$B$16,ROW()-7-COUNT(MUSTERILER!$U$7:$U$106)),""))</f>
        <v/>
      </c>
    </row>
    <row r="51" ht="23" customHeight="1">
      <c r="A51" s="6" t="n"/>
      <c r="B51" s="121" t="inlineStr">
        <is>
          <t>Mükerrer tahsilat şüphesi</t>
        </is>
      </c>
      <c r="C51" s="113" t="inlineStr">
        <is>
          <t>ORTA</t>
        </is>
      </c>
      <c r="D51" s="113" t="inlineStr">
        <is>
          <t>0</t>
        </is>
      </c>
      <c r="E51" s="227">
        <f>COUNTIF(TAHSILAT!$M$7:$M$1506,"MÜKERRER?")</f>
        <v/>
      </c>
      <c r="F51" s="113">
        <f>IF($E51=0,"GEÇTİ","KALDI")</f>
        <v/>
      </c>
      <c r="G51" s="121" t="inlineStr">
        <is>
          <t>Aynı müşteri + tarih + tutar + belge no ikinci kez girilmiş</t>
        </is>
      </c>
      <c r="H51" s="166">
        <f>HYPERLINK("#TAHSILAT!A1","TAHSILAT")</f>
        <v/>
      </c>
      <c r="I51" s="3" t="n"/>
      <c r="J51" s="3" t="n"/>
      <c r="K51" s="3" t="n"/>
      <c r="L51" s="3" t="n"/>
      <c r="M51" s="3" t="n"/>
      <c r="N51" s="6" t="n"/>
      <c r="O51" s="6" t="n"/>
      <c r="P51" s="3" t="n"/>
      <c r="Q51" s="3" t="n"/>
      <c r="R51" s="3">
        <f>IF(ROW()-7&lt;=COUNT(MUSTERILER!$U$7:$U$106),IFERROR(INDEX(MUSTERILER!$C$7:$C$106,MATCH(ROW()-7,MUSTERILER!$U$7:$U$106,0)),""),IFERROR(INDEX(HESAPLAR!$B$7:$B$16,ROW()-7-COUNT(MUSTERILER!$U$7:$U$106)),""))</f>
        <v/>
      </c>
    </row>
    <row r="52" ht="23" customHeight="1">
      <c r="A52" s="6" t="n"/>
      <c r="B52" s="121" t="inlineStr">
        <is>
          <t>Mükerrer gelir/gider şüphesi</t>
        </is>
      </c>
      <c r="C52" s="113" t="inlineStr">
        <is>
          <t>ORTA</t>
        </is>
      </c>
      <c r="D52" s="113" t="inlineStr">
        <is>
          <t>0</t>
        </is>
      </c>
      <c r="E52" s="227">
        <f>COUNTIF(GELIR_GIDER!$P$7:$P$1206,"MÜKERRER?")</f>
        <v/>
      </c>
      <c r="F52" s="113">
        <f>IF($E52=0,"GEÇTİ","KALDI")</f>
        <v/>
      </c>
      <c r="G52" s="121" t="inlineStr">
        <is>
          <t>Aynı tür + kategori + tarih + tutar + belge ikinci kez girilmiş</t>
        </is>
      </c>
      <c r="H52" s="166">
        <f>HYPERLINK("#GELIR_GIDER!A1","GELIR_GIDER")</f>
        <v/>
      </c>
      <c r="I52" s="3" t="n"/>
      <c r="J52" s="3" t="n"/>
      <c r="K52" s="3" t="n"/>
      <c r="L52" s="3" t="n"/>
      <c r="M52" s="3" t="n"/>
      <c r="N52" s="6" t="n"/>
      <c r="O52" s="6" t="n"/>
      <c r="P52" s="3" t="n"/>
      <c r="Q52" s="3" t="n"/>
      <c r="R52" s="3">
        <f>IF(ROW()-7&lt;=COUNT(MUSTERILER!$U$7:$U$106),IFERROR(INDEX(MUSTERILER!$C$7:$C$106,MATCH(ROW()-7,MUSTERILER!$U$7:$U$106,0)),""),IFERROR(INDEX(HESAPLAR!$B$7:$B$16,ROW()-7-COUNT(MUSTERILER!$U$7:$U$106)),""))</f>
        <v/>
      </c>
    </row>
    <row r="53" ht="23" customHeight="1">
      <c r="A53" s="3" t="n"/>
      <c r="B53" s="121" t="inlineStr">
        <is>
          <t>Kapanmış döneme kayıt</t>
        </is>
      </c>
      <c r="C53" s="113" t="inlineStr">
        <is>
          <t>YÜKSEK</t>
        </is>
      </c>
      <c r="D53" s="113" t="inlineStr">
        <is>
          <t>0</t>
        </is>
      </c>
      <c r="E53" s="227">
        <f>COUNTIF(TAHSILAT!$M$7:$M$1506,"KAPALI DÖNEM")+COUNTIF(GELIR_GIDER!$P$7:$P$1206,"KAPALI DÖNEM")</f>
        <v/>
      </c>
      <c r="F53" s="113">
        <f>IF($E53=0,"GEÇTİ","KALDI")</f>
        <v/>
      </c>
      <c r="G53" s="121" t="inlineStr">
        <is>
          <t>Dağıtımı yapılmış bir aya sonradan kayıt girilmiş</t>
        </is>
      </c>
      <c r="H53" s="166">
        <f>HYPERLINK("#AY_SONU!A1","AY_SONU")</f>
        <v/>
      </c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>
        <f>IF(ROW()-7&lt;=COUNT(MUSTERILER!$U$7:$U$106),IFERROR(INDEX(MUSTERILER!$C$7:$C$106,MATCH(ROW()-7,MUSTERILER!$U$7:$U$106,0)),""),IFERROR(INDEX(HESAPLAR!$B$7:$B$16,ROW()-7-COUNT(MUSTERILER!$U$7:$U$106)),""))</f>
        <v/>
      </c>
    </row>
    <row r="54" ht="23" customHeight="1">
      <c r="A54" s="3" t="n"/>
      <c r="B54" s="121" t="inlineStr">
        <is>
          <t>Toplam avans (fazla ödeme)</t>
        </is>
      </c>
      <c r="C54" s="113" t="inlineStr">
        <is>
          <t>BİLGİ</t>
        </is>
      </c>
      <c r="D54" s="113" t="inlineStr">
        <is>
          <t>İzle</t>
        </is>
      </c>
      <c r="E54" s="227">
        <f>SUM(MUSTERI_360!$V$7:$V$106)</f>
        <v/>
      </c>
      <c r="F54" s="113">
        <f>"BİLGİ"</f>
        <v/>
      </c>
      <c r="G54" s="121" t="inlineStr">
        <is>
          <t>Müşterilerin borçlarından fazla ödediği tutar (alınan avans)</t>
        </is>
      </c>
      <c r="H54" s="166">
        <f>HYPERLINK("#MUSTERI_360!A1","MUSTERI_360")</f>
        <v/>
      </c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>
        <f>IF(ROW()-7&lt;=COUNT(MUSTERILER!$U$7:$U$106),IFERROR(INDEX(MUSTERILER!$C$7:$C$106,MATCH(ROW()-7,MUSTERILER!$U$7:$U$106,0)),""),IFERROR(INDEX(HESAPLAR!$B$7:$B$16,ROW()-7-COUNT(MUSTERILER!$U$7:$U$106)),""))</f>
        <v/>
      </c>
    </row>
    <row r="55" ht="23" customHeight="1">
      <c r="A55" s="3" t="n"/>
      <c r="B55" s="121" t="inlineStr">
        <is>
          <t>Ödenecek gider (tahakkuk)</t>
        </is>
      </c>
      <c r="C55" s="113" t="inlineStr">
        <is>
          <t>BİLGİ</t>
        </is>
      </c>
      <c r="D55" s="113" t="inlineStr">
        <is>
          <t>İzle</t>
        </is>
      </c>
      <c r="E55" s="227">
        <f>SUMIFS(GELIR_GIDER!$G$7:$G$1206,GELIR_GIDER!$D$7:$D$1206,"Gider",GELIR_GIDER!$I$7:$I$1206,"Hayır")</f>
        <v/>
      </c>
      <c r="F55" s="113">
        <f>"BİLGİ"</f>
        <v/>
      </c>
      <c r="G55" s="121" t="inlineStr">
        <is>
          <t>Gerçekleşti = Hayır işaretli, henüz ödenmemiş gider toplamı</t>
        </is>
      </c>
      <c r="H55" s="166">
        <f>HYPERLINK("#GELIR_GIDER!A1","GELIR_GIDER")</f>
        <v/>
      </c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>
        <f>IF(ROW()-7&lt;=COUNT(MUSTERILER!$U$7:$U$106),IFERROR(INDEX(MUSTERILER!$C$7:$C$106,MATCH(ROW()-7,MUSTERILER!$U$7:$U$106,0)),""),IFERROR(INDEX(HESAPLAR!$B$7:$B$16,ROW()-7-COUNT(MUSTERILER!$U$7:$U$106)),""))</f>
        <v/>
      </c>
    </row>
    <row r="56" ht="23" customHeight="1">
      <c r="A56" s="3" t="n"/>
      <c r="B56" s="121" t="inlineStr">
        <is>
          <t>Mahsup ile kapatılan tahsilat</t>
        </is>
      </c>
      <c r="C56" s="113" t="inlineStr">
        <is>
          <t>BİLGİ</t>
        </is>
      </c>
      <c r="D56" s="113" t="inlineStr">
        <is>
          <t>İzle</t>
        </is>
      </c>
      <c r="E56" s="227">
        <f>SUMIFS(TAHSILAT!$F$7:$F$1506,TAHSILAT!$H$7:$H$1506,"Mahsup")</f>
        <v/>
      </c>
      <c r="F56" s="113">
        <f>"BİLGİ"</f>
        <v/>
      </c>
      <c r="G56" s="121" t="inlineStr">
        <is>
          <t>Cariyi kapatır ama kasaya girmez</t>
        </is>
      </c>
      <c r="H56" s="166">
        <f>HYPERLINK("#TAHSILAT!A1","TAHSILAT")</f>
        <v/>
      </c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>
        <f>IF(ROW()-7&lt;=COUNT(MUSTERILER!$U$7:$U$106),IFERROR(INDEX(MUSTERILER!$C$7:$C$106,MATCH(ROW()-7,MUSTERILER!$U$7:$U$106,0)),""),IFERROR(INDEX(HESAPLAR!$B$7:$B$16,ROW()-7-COUNT(MUSTERILER!$U$7:$U$106)),""))</f>
        <v/>
      </c>
    </row>
    <row r="57" ht="23" customHeight="1">
      <c r="A57" s="3" t="n"/>
      <c r="B57" s="121" t="inlineStr">
        <is>
          <t>Dağıtılmamış birikimli kâr</t>
        </is>
      </c>
      <c r="C57" s="113" t="inlineStr">
        <is>
          <t>BİLGİ</t>
        </is>
      </c>
      <c r="D57" s="113" t="inlineStr">
        <is>
          <t>İzle</t>
        </is>
      </c>
      <c r="E57" s="227">
        <f>MAX(0,SUM(AY_SONU!$I$7:$I$42)-SISTEM!$C$13-SUM(AY_SONU!$P$7:$P$42)-SUM(AY_SONU!$Q$7:$Q$42))</f>
        <v/>
      </c>
      <c r="F57" s="113">
        <f>"BİLGİ"</f>
        <v/>
      </c>
      <c r="G57" s="121" t="inlineStr">
        <is>
          <t>Zarar mahsubu ve ödenmiş paylar düşüldükten sonra kalan</t>
        </is>
      </c>
      <c r="H57" s="166">
        <f>HYPERLINK("#AY_SONU!A1","AY_SONU")</f>
        <v/>
      </c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>
        <f>IF(ROW()-7&lt;=COUNT(MUSTERILER!$U$7:$U$106),IFERROR(INDEX(MUSTERILER!$C$7:$C$106,MATCH(ROW()-7,MUSTERILER!$U$7:$U$106,0)),""),IFERROR(INDEX(HESAPLAR!$B$7:$B$16,ROW()-7-COUNT(MUSTERILER!$U$7:$U$106)),""))</f>
        <v/>
      </c>
    </row>
    <row r="58" ht="23" customHeight="1">
      <c r="A58" s="3" t="n"/>
      <c r="B58" s="121" t="inlineStr">
        <is>
          <t>Tahakkuk modeli seçilmemiş</t>
        </is>
      </c>
      <c r="C58" s="113" t="inlineStr">
        <is>
          <t>KRİTİK</t>
        </is>
      </c>
      <c r="D58" s="113" t="inlineStr">
        <is>
          <t>0</t>
        </is>
      </c>
      <c r="E58" s="227">
        <f>COUNTIF(UCRETLER!$N$7:$N$406,"MODEL SEÇİN")</f>
        <v/>
      </c>
      <c r="F58" s="113">
        <f>IF($E58=0,"GEÇTİ","KALDI")</f>
        <v/>
      </c>
      <c r="G58" s="121" t="inlineStr">
        <is>
          <t>Her ücret dönemi Haftalık veya Aylık olmalı</t>
        </is>
      </c>
      <c r="H58" s="166">
        <f>HYPERLINK("#UCRETLER!A1","UCRETLER")</f>
        <v/>
      </c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>
        <f>IF(ROW()-7&lt;=COUNT(MUSTERILER!$U$7:$U$106),IFERROR(INDEX(MUSTERILER!$C$7:$C$106,MATCH(ROW()-7,MUSTERILER!$U$7:$U$106,0)),""),IFERROR(INDEX(HESAPLAR!$B$7:$B$16,ROW()-7-COUNT(MUSTERILER!$U$7:$U$106)),""))</f>
        <v/>
      </c>
    </row>
    <row r="59" ht="23" customHeight="1">
      <c r="A59" s="3" t="n"/>
      <c r="B59" s="121" t="inlineStr">
        <is>
          <t>Çakışan aktif ücret dönemi</t>
        </is>
      </c>
      <c r="C59" s="113" t="inlineStr">
        <is>
          <t>KRİTİK</t>
        </is>
      </c>
      <c r="D59" s="113" t="inlineStr">
        <is>
          <t>0</t>
        </is>
      </c>
      <c r="E59" s="227">
        <f>SUMPRODUCT((MUSTERI_360!$B$7:$B$106&lt;&gt;"")*((COUNTIFS(UCRETLER!$B$7:$B$406,MUSTERI_360!$B$7:$B$106,UCRETLER!$H$7:$H$406,"Aktif"))&gt;1))</f>
        <v/>
      </c>
      <c r="F59" s="113">
        <f>IF($E59=0,"GEÇTİ","KALDI")</f>
        <v/>
      </c>
      <c r="G59" s="121" t="inlineStr">
        <is>
          <t>Bir müşterinin aynı anda tek aktif ücret dönemi olmalı</t>
        </is>
      </c>
      <c r="H59" s="166">
        <f>HYPERLINK("#UCRETLER!A1","UCRETLER")</f>
        <v/>
      </c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>
        <f>IF(ROW()-7&lt;=COUNT(MUSTERILER!$U$7:$U$106),IFERROR(INDEX(MUSTERILER!$C$7:$C$106,MATCH(ROW()-7,MUSTERILER!$U$7:$U$106,0)),""),IFERROR(INDEX(HESAPLAR!$B$7:$B$16,ROW()-7-COUNT(MUSTERILER!$U$7:$U$106)),""))</f>
        <v/>
      </c>
    </row>
    <row r="60" ht="23" customHeight="1">
      <c r="A60" s="3" t="n"/>
      <c r="B60" s="121" t="inlineStr">
        <is>
          <t>Aylık ücretli müşteri</t>
        </is>
      </c>
      <c r="C60" s="113" t="inlineStr">
        <is>
          <t>BİLGİ</t>
        </is>
      </c>
      <c r="D60" s="113" t="inlineStr">
        <is>
          <t>İzle</t>
        </is>
      </c>
      <c r="E60" s="227">
        <f>COUNTIF(MUSTERI_360!$E$7:$E$106,"&gt;0")</f>
        <v/>
      </c>
      <c r="F60" s="113">
        <f>"BİLGİ"</f>
        <v/>
      </c>
      <c r="G60" s="121" t="inlineStr">
        <is>
          <t>Aylık tahakkuk modelindeki müşteri sayısı</t>
        </is>
      </c>
      <c r="H60" s="166">
        <f>HYPERLINK("#MUSTERI_360!A1","MUSTERI_360")</f>
        <v/>
      </c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>
        <f>IF(ROW()-7&lt;=COUNT(MUSTERILER!$U$7:$U$106),IFERROR(INDEX(MUSTERILER!$C$7:$C$106,MATCH(ROW()-7,MUSTERILER!$U$7:$U$106,0)),""),IFERROR(INDEX(HESAPLAR!$B$7:$B$16,ROW()-7-COUNT(MUSTERILER!$U$7:$U$106)),""))</f>
        <v/>
      </c>
    </row>
    <row r="61" ht="23" customHeight="1">
      <c r="A61" s="3" t="n"/>
      <c r="B61" s="121" t="inlineStr">
        <is>
          <t>Manuel gelir tahakkuku</t>
        </is>
      </c>
      <c r="C61" s="113" t="inlineStr">
        <is>
          <t>BİLGİ</t>
        </is>
      </c>
      <c r="D61" s="113" t="inlineStr">
        <is>
          <t>İzle</t>
        </is>
      </c>
      <c r="E61" s="227">
        <f>COUNTIF(GELIR_GIDER!$P$7:$P$1206,"TAHAKKUK")</f>
        <v/>
      </c>
      <c r="F61" s="113">
        <f>"BİLGİ"</f>
        <v/>
      </c>
      <c r="G61" s="121" t="inlineStr">
        <is>
          <t>Müşteriye borç yazılan ek hizmet geliri satırı sayısı</t>
        </is>
      </c>
      <c r="H61" s="166">
        <f>HYPERLINK("#GELIR_GIDER!A1","GELIR_GIDER")</f>
        <v/>
      </c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>
        <f>IF(ROW()-7&lt;=COUNT(MUSTERILER!$U$7:$U$106),IFERROR(INDEX(MUSTERILER!$C$7:$C$106,MATCH(ROW()-7,MUSTERILER!$U$7:$U$106,0)),""),IFERROR(INDEX(HESAPLAR!$B$7:$B$16,ROW()-7-COUNT(MUSTERILER!$U$7:$U$106)),""))</f>
        <v/>
      </c>
    </row>
    <row r="62" ht="23" customHeight="1">
      <c r="A62" s="3" t="n"/>
      <c r="B62" s="121" t="inlineStr">
        <is>
          <t>Tahakkuk nakit işaretlenmiş</t>
        </is>
      </c>
      <c r="C62" s="113" t="inlineStr">
        <is>
          <t>KRİTİK</t>
        </is>
      </c>
      <c r="D62" s="113" t="inlineStr">
        <is>
          <t>0</t>
        </is>
      </c>
      <c r="E62" s="227">
        <f>COUNTIF(GELIR_GIDER!$P$7:$P$1206,"TAHAKKUK NAKİT OLAMAZ")</f>
        <v/>
      </c>
      <c r="F62" s="113">
        <f>IF($E62=0,"GEÇTİ","KALDI")</f>
        <v/>
      </c>
      <c r="G62" s="121" t="inlineStr">
        <is>
          <t>Müşteriye borç yazılan satır Gerçekleşti=Evet olamaz; tahsilatı TAHSİLAT ekranına girin</t>
        </is>
      </c>
      <c r="H62" s="166">
        <f>HYPERLINK("#GELIR_GIDER!A1","GELIR_GIDER")</f>
        <v/>
      </c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>
        <f>IF(ROW()-7&lt;=COUNT(MUSTERILER!$U$7:$U$106),IFERROR(INDEX(MUSTERILER!$C$7:$C$106,MATCH(ROW()-7,MUSTERILER!$U$7:$U$106,0)),""),IFERROR(INDEX(HESAPLAR!$B$7:$B$16,ROW()-7-COUNT(MUSTERILER!$U$7:$U$106)),""))</f>
        <v/>
      </c>
    </row>
    <row r="63" ht="23" customHeight="1">
      <c r="A63" s="3" t="n"/>
      <c r="B63" s="121" t="inlineStr">
        <is>
          <t>Tanımsız borçlu taraf</t>
        </is>
      </c>
      <c r="C63" s="113" t="inlineStr">
        <is>
          <t>KRİTİK</t>
        </is>
      </c>
      <c r="D63" s="113" t="inlineStr">
        <is>
          <t>0</t>
        </is>
      </c>
      <c r="E63" s="227">
        <f>COUNTIF(GELIR_GIDER!$P$7:$P$1206,"TANIMSIZ BORÇLU")</f>
        <v/>
      </c>
      <c r="F63" s="113">
        <f>IF($E63=0,"GEÇTİ","KALDI")</f>
        <v/>
      </c>
      <c r="G63" s="121" t="inlineStr">
        <is>
          <t>Borçlu Taraf listede olmayan bir değer içeriyor</t>
        </is>
      </c>
      <c r="H63" s="166">
        <f>HYPERLINK("#GELIR_GIDER!A1","GELIR_GIDER")</f>
        <v/>
      </c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>
        <f>IF(ROW()-7&lt;=COUNT(MUSTERILER!$U$7:$U$106),IFERROR(INDEX(MUSTERILER!$C$7:$C$106,MATCH(ROW()-7,MUSTERILER!$U$7:$U$106,0)),""),IFERROR(INDEX(HESAPLAR!$B$7:$B$16,ROW()-7-COUNT(MUSTERILER!$U$7:$U$106)),""))</f>
        <v/>
      </c>
    </row>
    <row r="64" ht="23" customHeight="1">
      <c r="A64" s="3" t="n"/>
      <c r="B64" s="121" t="inlineStr">
        <is>
          <t>Toplam devir alacağı</t>
        </is>
      </c>
      <c r="C64" s="113" t="inlineStr">
        <is>
          <t>BİLGİ</t>
        </is>
      </c>
      <c r="D64" s="113" t="inlineStr">
        <is>
          <t>İzle</t>
        </is>
      </c>
      <c r="E64" s="227">
        <f>SUM(MUSTERILER!$J$7:$J$106)</f>
        <v/>
      </c>
      <c r="F64" s="113">
        <f>"BİLGİ"</f>
        <v/>
      </c>
      <c r="G64" s="121" t="inlineStr">
        <is>
          <t>Eski dosyadan taşınan açılış alacağı</t>
        </is>
      </c>
      <c r="H64" s="166">
        <f>HYPERLINK("#MUSTERILER!A1","MUSTERILER")</f>
        <v/>
      </c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>
        <f>IF(ROW()-7&lt;=COUNT(MUSTERILER!$U$7:$U$106),IFERROR(INDEX(MUSTERILER!$C$7:$C$106,MATCH(ROW()-7,MUSTERILER!$U$7:$U$106,0)),""),IFERROR(INDEX(HESAPLAR!$B$7:$B$16,ROW()-7-COUNT(MUSTERILER!$U$7:$U$106)),""))</f>
        <v/>
      </c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>
        <f>IF(ROW()-7&lt;=COUNT(MUSTERILER!$U$7:$U$106),IFERROR(INDEX(MUSTERILER!$C$7:$C$106,MATCH(ROW()-7,MUSTERILER!$U$7:$U$106,0)),""),IFERROR(INDEX(HESAPLAR!$B$7:$B$16,ROW()-7-COUNT(MUSTERILER!$U$7:$U$106)),""))</f>
        <v/>
      </c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>
        <f>IF(ROW()-7&lt;=COUNT(MUSTERILER!$U$7:$U$106),IFERROR(INDEX(MUSTERILER!$C$7:$C$106,MATCH(ROW()-7,MUSTERILER!$U$7:$U$106,0)),""),IFERROR(INDEX(HESAPLAR!$B$7:$B$16,ROW()-7-COUNT(MUSTERILER!$U$7:$U$106)),""))</f>
        <v/>
      </c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>
        <f>IF(ROW()-7&lt;=COUNT(MUSTERILER!$U$7:$U$106),IFERROR(INDEX(MUSTERILER!$C$7:$C$106,MATCH(ROW()-7,MUSTERILER!$U$7:$U$106,0)),""),IFERROR(INDEX(HESAPLAR!$B$7:$B$16,ROW()-7-COUNT(MUSTERILER!$U$7:$U$106)),""))</f>
        <v/>
      </c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>
        <f>IF(ROW()-7&lt;=COUNT(MUSTERILER!$U$7:$U$106),IFERROR(INDEX(MUSTERILER!$C$7:$C$106,MATCH(ROW()-7,MUSTERILER!$U$7:$U$106,0)),""),IFERROR(INDEX(HESAPLAR!$B$7:$B$16,ROW()-7-COUNT(MUSTERILER!$U$7:$U$106)),""))</f>
        <v/>
      </c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>
        <f>IF(ROW()-7&lt;=COUNT(MUSTERILER!$U$7:$U$106),IFERROR(INDEX(MUSTERILER!$C$7:$C$106,MATCH(ROW()-7,MUSTERILER!$U$7:$U$106,0)),""),IFERROR(INDEX(HESAPLAR!$B$7:$B$16,ROW()-7-COUNT(MUSTERILER!$U$7:$U$106)),""))</f>
        <v/>
      </c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>
        <f>IF(ROW()-7&lt;=COUNT(MUSTERILER!$U$7:$U$106),IFERROR(INDEX(MUSTERILER!$C$7:$C$106,MATCH(ROW()-7,MUSTERILER!$U$7:$U$106,0)),""),IFERROR(INDEX(HESAPLAR!$B$7:$B$16,ROW()-7-COUNT(MUSTERILER!$U$7:$U$106)),""))</f>
        <v/>
      </c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>
        <f>IF(ROW()-7&lt;=COUNT(MUSTERILER!$U$7:$U$106),IFERROR(INDEX(MUSTERILER!$C$7:$C$106,MATCH(ROW()-7,MUSTERILER!$U$7:$U$106,0)),""),IFERROR(INDEX(HESAPLAR!$B$7:$B$16,ROW()-7-COUNT(MUSTERILER!$U$7:$U$106)),""))</f>
        <v/>
      </c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>
        <f>IF(ROW()-7&lt;=COUNT(MUSTERILER!$U$7:$U$106),IFERROR(INDEX(MUSTERILER!$C$7:$C$106,MATCH(ROW()-7,MUSTERILER!$U$7:$U$106,0)),""),IFERROR(INDEX(HESAPLAR!$B$7:$B$16,ROW()-7-COUNT(MUSTERILER!$U$7:$U$106)),""))</f>
        <v/>
      </c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>
        <f>IF(ROW()-7&lt;=COUNT(MUSTERILER!$U$7:$U$106),IFERROR(INDEX(MUSTERILER!$C$7:$C$106,MATCH(ROW()-7,MUSTERILER!$U$7:$U$106,0)),""),IFERROR(INDEX(HESAPLAR!$B$7:$B$16,ROW()-7-COUNT(MUSTERILER!$U$7:$U$106)),""))</f>
        <v/>
      </c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>
        <f>IF(ROW()-7&lt;=COUNT(MUSTERILER!$U$7:$U$106),IFERROR(INDEX(MUSTERILER!$C$7:$C$106,MATCH(ROW()-7,MUSTERILER!$U$7:$U$106,0)),""),IFERROR(INDEX(HESAPLAR!$B$7:$B$16,ROW()-7-COUNT(MUSTERILER!$U$7:$U$106)),""))</f>
        <v/>
      </c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>
        <f>IF(ROW()-7&lt;=COUNT(MUSTERILER!$U$7:$U$106),IFERROR(INDEX(MUSTERILER!$C$7:$C$106,MATCH(ROW()-7,MUSTERILER!$U$7:$U$106,0)),""),IFERROR(INDEX(HESAPLAR!$B$7:$B$16,ROW()-7-COUNT(MUSTERILER!$U$7:$U$106)),""))</f>
        <v/>
      </c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>
        <f>IF(ROW()-7&lt;=COUNT(MUSTERILER!$U$7:$U$106),IFERROR(INDEX(MUSTERILER!$C$7:$C$106,MATCH(ROW()-7,MUSTERILER!$U$7:$U$106,0)),""),IFERROR(INDEX(HESAPLAR!$B$7:$B$16,ROW()-7-COUNT(MUSTERILER!$U$7:$U$106)),""))</f>
        <v/>
      </c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>
        <f>IF(ROW()-7&lt;=COUNT(MUSTERILER!$U$7:$U$106),IFERROR(INDEX(MUSTERILER!$C$7:$C$106,MATCH(ROW()-7,MUSTERILER!$U$7:$U$106,0)),""),IFERROR(INDEX(HESAPLAR!$B$7:$B$16,ROW()-7-COUNT(MUSTERILER!$U$7:$U$106)),""))</f>
        <v/>
      </c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>
        <f>IF(ROW()-7&lt;=COUNT(MUSTERILER!$U$7:$U$106),IFERROR(INDEX(MUSTERILER!$C$7:$C$106,MATCH(ROW()-7,MUSTERILER!$U$7:$U$106,0)),""),IFERROR(INDEX(HESAPLAR!$B$7:$B$16,ROW()-7-COUNT(MUSTERILER!$U$7:$U$106)),""))</f>
        <v/>
      </c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>
        <f>IF(ROW()-7&lt;=COUNT(MUSTERILER!$U$7:$U$106),IFERROR(INDEX(MUSTERILER!$C$7:$C$106,MATCH(ROW()-7,MUSTERILER!$U$7:$U$106,0)),""),IFERROR(INDEX(HESAPLAR!$B$7:$B$16,ROW()-7-COUNT(MUSTERILER!$U$7:$U$106)),""))</f>
        <v/>
      </c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>
        <f>IF(ROW()-7&lt;=COUNT(MUSTERILER!$U$7:$U$106),IFERROR(INDEX(MUSTERILER!$C$7:$C$106,MATCH(ROW()-7,MUSTERILER!$U$7:$U$106,0)),""),IFERROR(INDEX(HESAPLAR!$B$7:$B$16,ROW()-7-COUNT(MUSTERILER!$U$7:$U$106)),""))</f>
        <v/>
      </c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>
        <f>IF(ROW()-7&lt;=COUNT(MUSTERILER!$U$7:$U$106),IFERROR(INDEX(MUSTERILER!$C$7:$C$106,MATCH(ROW()-7,MUSTERILER!$U$7:$U$106,0)),""),IFERROR(INDEX(HESAPLAR!$B$7:$B$16,ROW()-7-COUNT(MUSTERILER!$U$7:$U$106)),""))</f>
        <v/>
      </c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>
        <f>IF(ROW()-7&lt;=COUNT(MUSTERILER!$U$7:$U$106),IFERROR(INDEX(MUSTERILER!$C$7:$C$106,MATCH(ROW()-7,MUSTERILER!$U$7:$U$106,0)),""),IFERROR(INDEX(HESAPLAR!$B$7:$B$16,ROW()-7-COUNT(MUSTERILER!$U$7:$U$106)),""))</f>
        <v/>
      </c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>
        <f>IF(ROW()-7&lt;=COUNT(MUSTERILER!$U$7:$U$106),IFERROR(INDEX(MUSTERILER!$C$7:$C$106,MATCH(ROW()-7,MUSTERILER!$U$7:$U$106,0)),""),IFERROR(INDEX(HESAPLAR!$B$7:$B$16,ROW()-7-COUNT(MUSTERILER!$U$7:$U$106)),""))</f>
        <v/>
      </c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>
        <f>IF(ROW()-7&lt;=COUNT(MUSTERILER!$U$7:$U$106),IFERROR(INDEX(MUSTERILER!$C$7:$C$106,MATCH(ROW()-7,MUSTERILER!$U$7:$U$106,0)),""),IFERROR(INDEX(HESAPLAR!$B$7:$B$16,ROW()-7-COUNT(MUSTERILER!$U$7:$U$106)),""))</f>
        <v/>
      </c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>
        <f>IF(ROW()-7&lt;=COUNT(MUSTERILER!$U$7:$U$106),IFERROR(INDEX(MUSTERILER!$C$7:$C$106,MATCH(ROW()-7,MUSTERILER!$U$7:$U$106,0)),""),IFERROR(INDEX(HESAPLAR!$B$7:$B$16,ROW()-7-COUNT(MUSTERILER!$U$7:$U$106)),""))</f>
        <v/>
      </c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>
        <f>IF(ROW()-7&lt;=COUNT(MUSTERILER!$U$7:$U$106),IFERROR(INDEX(MUSTERILER!$C$7:$C$106,MATCH(ROW()-7,MUSTERILER!$U$7:$U$106,0)),""),IFERROR(INDEX(HESAPLAR!$B$7:$B$16,ROW()-7-COUNT(MUSTERILER!$U$7:$U$106)),""))</f>
        <v/>
      </c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>
        <f>IF(ROW()-7&lt;=COUNT(MUSTERILER!$U$7:$U$106),IFERROR(INDEX(MUSTERILER!$C$7:$C$106,MATCH(ROW()-7,MUSTERILER!$U$7:$U$106,0)),""),IFERROR(INDEX(HESAPLAR!$B$7:$B$16,ROW()-7-COUNT(MUSTERILER!$U$7:$U$106)),""))</f>
        <v/>
      </c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>
        <f>IF(ROW()-7&lt;=COUNT(MUSTERILER!$U$7:$U$106),IFERROR(INDEX(MUSTERILER!$C$7:$C$106,MATCH(ROW()-7,MUSTERILER!$U$7:$U$106,0)),""),IFERROR(INDEX(HESAPLAR!$B$7:$B$16,ROW()-7-COUNT(MUSTERILER!$U$7:$U$106)),""))</f>
        <v/>
      </c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>
        <f>IF(ROW()-7&lt;=COUNT(MUSTERILER!$U$7:$U$106),IFERROR(INDEX(MUSTERILER!$C$7:$C$106,MATCH(ROW()-7,MUSTERILER!$U$7:$U$106,0)),""),IFERROR(INDEX(HESAPLAR!$B$7:$B$16,ROW()-7-COUNT(MUSTERILER!$U$7:$U$106)),""))</f>
        <v/>
      </c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>
        <f>IF(ROW()-7&lt;=COUNT(MUSTERILER!$U$7:$U$106),IFERROR(INDEX(MUSTERILER!$C$7:$C$106,MATCH(ROW()-7,MUSTERILER!$U$7:$U$106,0)),""),IFERROR(INDEX(HESAPLAR!$B$7:$B$16,ROW()-7-COUNT(MUSTERILER!$U$7:$U$106)),""))</f>
        <v/>
      </c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>
        <f>IF(ROW()-7&lt;=COUNT(MUSTERILER!$U$7:$U$106),IFERROR(INDEX(MUSTERILER!$C$7:$C$106,MATCH(ROW()-7,MUSTERILER!$U$7:$U$106,0)),""),IFERROR(INDEX(HESAPLAR!$B$7:$B$16,ROW()-7-COUNT(MUSTERILER!$U$7:$U$106)),""))</f>
        <v/>
      </c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>
        <f>IF(ROW()-7&lt;=COUNT(MUSTERILER!$U$7:$U$106),IFERROR(INDEX(MUSTERILER!$C$7:$C$106,MATCH(ROW()-7,MUSTERILER!$U$7:$U$106,0)),""),IFERROR(INDEX(HESAPLAR!$B$7:$B$16,ROW()-7-COUNT(MUSTERILER!$U$7:$U$106)),""))</f>
        <v/>
      </c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>
        <f>IF(ROW()-7&lt;=COUNT(MUSTERILER!$U$7:$U$106),IFERROR(INDEX(MUSTERILER!$C$7:$C$106,MATCH(ROW()-7,MUSTERILER!$U$7:$U$106,0)),""),IFERROR(INDEX(HESAPLAR!$B$7:$B$16,ROW()-7-COUNT(MUSTERILER!$U$7:$U$106)),""))</f>
        <v/>
      </c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>
        <f>IF(ROW()-7&lt;=COUNT(MUSTERILER!$U$7:$U$106),IFERROR(INDEX(MUSTERILER!$C$7:$C$106,MATCH(ROW()-7,MUSTERILER!$U$7:$U$106,0)),""),IFERROR(INDEX(HESAPLAR!$B$7:$B$16,ROW()-7-COUNT(MUSTERILER!$U$7:$U$106)),""))</f>
        <v/>
      </c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>
        <f>IF(ROW()-7&lt;=COUNT(MUSTERILER!$U$7:$U$106),IFERROR(INDEX(MUSTERILER!$C$7:$C$106,MATCH(ROW()-7,MUSTERILER!$U$7:$U$106,0)),""),IFERROR(INDEX(HESAPLAR!$B$7:$B$16,ROW()-7-COUNT(MUSTERILER!$U$7:$U$106)),""))</f>
        <v/>
      </c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>
        <f>IF(ROW()-7&lt;=COUNT(MUSTERILER!$U$7:$U$106),IFERROR(INDEX(MUSTERILER!$C$7:$C$106,MATCH(ROW()-7,MUSTERILER!$U$7:$U$106,0)),""),IFERROR(INDEX(HESAPLAR!$B$7:$B$16,ROW()-7-COUNT(MUSTERILER!$U$7:$U$106)),""))</f>
        <v/>
      </c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>
        <f>IF(ROW()-7&lt;=COUNT(MUSTERILER!$U$7:$U$106),IFERROR(INDEX(MUSTERILER!$C$7:$C$106,MATCH(ROW()-7,MUSTERILER!$U$7:$U$106,0)),""),IFERROR(INDEX(HESAPLAR!$B$7:$B$16,ROW()-7-COUNT(MUSTERILER!$U$7:$U$106)),""))</f>
        <v/>
      </c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>
        <f>IF(ROW()-7&lt;=COUNT(MUSTERILER!$U$7:$U$106),IFERROR(INDEX(MUSTERILER!$C$7:$C$106,MATCH(ROW()-7,MUSTERILER!$U$7:$U$106,0)),""),IFERROR(INDEX(HESAPLAR!$B$7:$B$16,ROW()-7-COUNT(MUSTERILER!$U$7:$U$106)),""))</f>
        <v/>
      </c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>
        <f>IF(ROW()-7&lt;=COUNT(MUSTERILER!$U$7:$U$106),IFERROR(INDEX(MUSTERILER!$C$7:$C$106,MATCH(ROW()-7,MUSTERILER!$U$7:$U$106,0)),""),IFERROR(INDEX(HESAPLAR!$B$7:$B$16,ROW()-7-COUNT(MUSTERILER!$U$7:$U$106)),""))</f>
        <v/>
      </c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>
        <f>IF(ROW()-7&lt;=COUNT(MUSTERILER!$U$7:$U$106),IFERROR(INDEX(MUSTERILER!$C$7:$C$106,MATCH(ROW()-7,MUSTERILER!$U$7:$U$106,0)),""),IFERROR(INDEX(HESAPLAR!$B$7:$B$16,ROW()-7-COUNT(MUSTERILER!$U$7:$U$106)),""))</f>
        <v/>
      </c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>
        <f>IF(ROW()-7&lt;=COUNT(MUSTERILER!$U$7:$U$106),IFERROR(INDEX(MUSTERILER!$C$7:$C$106,MATCH(ROW()-7,MUSTERILER!$U$7:$U$106,0)),""),IFERROR(INDEX(HESAPLAR!$B$7:$B$16,ROW()-7-COUNT(MUSTERILER!$U$7:$U$106)),""))</f>
        <v/>
      </c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>
        <f>IF(ROW()-7&lt;=COUNT(MUSTERILER!$U$7:$U$106),IFERROR(INDEX(MUSTERILER!$C$7:$C$106,MATCH(ROW()-7,MUSTERILER!$U$7:$U$106,0)),""),IFERROR(INDEX(HESAPLAR!$B$7:$B$16,ROW()-7-COUNT(MUSTERILER!$U$7:$U$106)),""))</f>
        <v/>
      </c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>
        <f>IF(ROW()-7&lt;=COUNT(MUSTERILER!$U$7:$U$106),IFERROR(INDEX(MUSTERILER!$C$7:$C$106,MATCH(ROW()-7,MUSTERILER!$U$7:$U$106,0)),""),IFERROR(INDEX(HESAPLAR!$B$7:$B$16,ROW()-7-COUNT(MUSTERILER!$U$7:$U$106)),""))</f>
        <v/>
      </c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>
        <f>IF(ROW()-7&lt;=COUNT(MUSTERILER!$U$7:$U$106),IFERROR(INDEX(MUSTERILER!$C$7:$C$106,MATCH(ROW()-7,MUSTERILER!$U$7:$U$106,0)),""),IFERROR(INDEX(HESAPLAR!$B$7:$B$16,ROW()-7-COUNT(MUSTERILER!$U$7:$U$106)),""))</f>
        <v/>
      </c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>
        <f>IF(ROW()-7&lt;=COUNT(MUSTERILER!$U$7:$U$106),IFERROR(INDEX(MUSTERILER!$C$7:$C$106,MATCH(ROW()-7,MUSTERILER!$U$7:$U$106,0)),""),IFERROR(INDEX(HESAPLAR!$B$7:$B$16,ROW()-7-COUNT(MUSTERILER!$U$7:$U$106)),""))</f>
        <v/>
      </c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>
        <f>IF(ROW()-7&lt;=COUNT(MUSTERILER!$U$7:$U$106),IFERROR(INDEX(MUSTERILER!$C$7:$C$106,MATCH(ROW()-7,MUSTERILER!$U$7:$U$106,0)),""),IFERROR(INDEX(HESAPLAR!$B$7:$B$16,ROW()-7-COUNT(MUSTERILER!$U$7:$U$106)),""))</f>
        <v/>
      </c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>
        <f>IF(ROW()-7&lt;=COUNT(MUSTERILER!$U$7:$U$106),IFERROR(INDEX(MUSTERILER!$C$7:$C$106,MATCH(ROW()-7,MUSTERILER!$U$7:$U$106,0)),""),IFERROR(INDEX(HESAPLAR!$B$7:$B$16,ROW()-7-COUNT(MUSTERILER!$U$7:$U$106)),""))</f>
        <v/>
      </c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>
        <f>IF(ROW()-7&lt;=COUNT(MUSTERILER!$U$7:$U$106),IFERROR(INDEX(MUSTERILER!$C$7:$C$106,MATCH(ROW()-7,MUSTERILER!$U$7:$U$106,0)),""),IFERROR(INDEX(HESAPLAR!$B$7:$B$16,ROW()-7-COUNT(MUSTERILER!$U$7:$U$106)),""))</f>
        <v/>
      </c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>
        <f>IF(ROW()-7&lt;=COUNT(MUSTERILER!$U$7:$U$106),IFERROR(INDEX(MUSTERILER!$C$7:$C$106,MATCH(ROW()-7,MUSTERILER!$U$7:$U$106,0)),""),IFERROR(INDEX(HESAPLAR!$B$7:$B$16,ROW()-7-COUNT(MUSTERILER!$U$7:$U$106)),""))</f>
        <v/>
      </c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>
        <f>IF(ROW()-7&lt;=COUNT(MUSTERILER!$U$7:$U$106),IFERROR(INDEX(MUSTERILER!$C$7:$C$106,MATCH(ROW()-7,MUSTERILER!$U$7:$U$106,0)),""),IFERROR(INDEX(HESAPLAR!$B$7:$B$16,ROW()-7-COUNT(MUSTERILER!$U$7:$U$106)),""))</f>
        <v/>
      </c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>
        <f>IF(ROW()-7&lt;=COUNT(MUSTERILER!$U$7:$U$106),IFERROR(INDEX(MUSTERILER!$C$7:$C$106,MATCH(ROW()-7,MUSTERILER!$U$7:$U$106,0)),""),IFERROR(INDEX(HESAPLAR!$B$7:$B$16,ROW()-7-COUNT(MUSTERILER!$U$7:$U$106)),""))</f>
        <v/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>
        <f>IF(ROW()-7&lt;=COUNT(MUSTERILER!$U$7:$U$106),IFERROR(INDEX(MUSTERILER!$C$7:$C$106,MATCH(ROW()-7,MUSTERILER!$U$7:$U$106,0)),""),IFERROR(INDEX(HESAPLAR!$B$7:$B$16,ROW()-7-COUNT(MUSTERILER!$U$7:$U$106)),""))</f>
        <v/>
      </c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>
        <f>IF(ROW()-7&lt;=COUNT(MUSTERILER!$U$7:$U$106),IFERROR(INDEX(MUSTERILER!$C$7:$C$106,MATCH(ROW()-7,MUSTERILER!$U$7:$U$106,0)),""),IFERROR(INDEX(HESAPLAR!$B$7:$B$16,ROW()-7-COUNT(MUSTERILER!$U$7:$U$106)),""))</f>
        <v/>
      </c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>
        <f>IF(ROW()-7&lt;=COUNT(MUSTERILER!$U$7:$U$106),IFERROR(INDEX(MUSTERILER!$C$7:$C$106,MATCH(ROW()-7,MUSTERILER!$U$7:$U$106,0)),""),IFERROR(INDEX(HESAPLAR!$B$7:$B$16,ROW()-7-COUNT(MUSTERILER!$U$7:$U$106)),""))</f>
        <v/>
      </c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>
        <f>IF(ROW()-7&lt;=COUNT(MUSTERILER!$U$7:$U$106),IFERROR(INDEX(MUSTERILER!$C$7:$C$106,MATCH(ROW()-7,MUSTERILER!$U$7:$U$106,0)),""),IFERROR(INDEX(HESAPLAR!$B$7:$B$16,ROW()-7-COUNT(MUSTERILER!$U$7:$U$106)),""))</f>
        <v/>
      </c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>
        <f>IF(ROW()-7&lt;=COUNT(MUSTERILER!$U$7:$U$106),IFERROR(INDEX(MUSTERILER!$C$7:$C$106,MATCH(ROW()-7,MUSTERILER!$U$7:$U$106,0)),""),IFERROR(INDEX(HESAPLAR!$B$7:$B$16,ROW()-7-COUNT(MUSTERILER!$U$7:$U$106)),""))</f>
        <v/>
      </c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>
        <f>IF(ROW()-7&lt;=COUNT(MUSTERILER!$U$7:$U$106),IFERROR(INDEX(MUSTERILER!$C$7:$C$106,MATCH(ROW()-7,MUSTERILER!$U$7:$U$106,0)),""),IFERROR(INDEX(HESAPLAR!$B$7:$B$16,ROW()-7-COUNT(MUSTERILER!$U$7:$U$106)),""))</f>
        <v/>
      </c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>
        <f>IF(ROW()-7&lt;=COUNT(MUSTERILER!$U$7:$U$106),IFERROR(INDEX(MUSTERILER!$C$7:$C$106,MATCH(ROW()-7,MUSTERILER!$U$7:$U$106,0)),""),IFERROR(INDEX(HESAPLAR!$B$7:$B$16,ROW()-7-COUNT(MUSTERILER!$U$7:$U$106)),""))</f>
        <v/>
      </c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>
        <f>IF(ROW()-7&lt;=COUNT(MUSTERILER!$U$7:$U$106),IFERROR(INDEX(MUSTERILER!$C$7:$C$106,MATCH(ROW()-7,MUSTERILER!$U$7:$U$106,0)),""),IFERROR(INDEX(HESAPLAR!$B$7:$B$16,ROW()-7-COUNT(MUSTERILER!$U$7:$U$106)),""))</f>
        <v/>
      </c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>
        <f>IF(ROW()-7&lt;=COUNT(MUSTERILER!$U$7:$U$106),IFERROR(INDEX(MUSTERILER!$C$7:$C$106,MATCH(ROW()-7,MUSTERILER!$U$7:$U$106,0)),""),IFERROR(INDEX(HESAPLAR!$B$7:$B$16,ROW()-7-COUNT(MUSTERILER!$U$7:$U$106)),""))</f>
        <v/>
      </c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>
        <f>IF(ROW()-7&lt;=COUNT(MUSTERILER!$U$7:$U$106),IFERROR(INDEX(MUSTERILER!$C$7:$C$106,MATCH(ROW()-7,MUSTERILER!$U$7:$U$106,0)),""),IFERROR(INDEX(HESAPLAR!$B$7:$B$16,ROW()-7-COUNT(MUSTERILER!$U$7:$U$106)),""))</f>
        <v/>
      </c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>
        <f>IF(ROW()-7&lt;=COUNT(MUSTERILER!$U$7:$U$106),IFERROR(INDEX(MUSTERILER!$C$7:$C$106,MATCH(ROW()-7,MUSTERILER!$U$7:$U$106,0)),""),IFERROR(INDEX(HESAPLAR!$B$7:$B$16,ROW()-7-COUNT(MUSTERILER!$U$7:$U$106)),""))</f>
        <v/>
      </c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>
        <f>IF(ROW()-7&lt;=COUNT(MUSTERILER!$U$7:$U$106),IFERROR(INDEX(MUSTERILER!$C$7:$C$106,MATCH(ROW()-7,MUSTERILER!$U$7:$U$106,0)),""),IFERROR(INDEX(HESAPLAR!$B$7:$B$16,ROW()-7-COUNT(MUSTERILER!$U$7:$U$106)),""))</f>
        <v/>
      </c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>
        <f>IF(ROW()-7&lt;=COUNT(MUSTERILER!$U$7:$U$106),IFERROR(INDEX(MUSTERILER!$C$7:$C$106,MATCH(ROW()-7,MUSTERILER!$U$7:$U$106,0)),""),IFERROR(INDEX(HESAPLAR!$B$7:$B$16,ROW()-7-COUNT(MUSTERILER!$U$7:$U$106)),""))</f>
        <v/>
      </c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>
        <f>IF(ROW()-7&lt;=COUNT(MUSTERILER!$U$7:$U$106),IFERROR(INDEX(MUSTERILER!$C$7:$C$106,MATCH(ROW()-7,MUSTERILER!$U$7:$U$106,0)),""),IFERROR(INDEX(HESAPLAR!$B$7:$B$16,ROW()-7-COUNT(MUSTERILER!$U$7:$U$106)),""))</f>
        <v/>
      </c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>
        <f>IF(ROW()-7&lt;=COUNT(MUSTERILER!$U$7:$U$106),IFERROR(INDEX(MUSTERILER!$C$7:$C$106,MATCH(ROW()-7,MUSTERILER!$U$7:$U$106,0)),""),IFERROR(INDEX(HESAPLAR!$B$7:$B$16,ROW()-7-COUNT(MUSTERILER!$U$7:$U$106)),""))</f>
        <v/>
      </c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>
        <f>IF(ROW()-7&lt;=COUNT(MUSTERILER!$U$7:$U$106),IFERROR(INDEX(MUSTERILER!$C$7:$C$106,MATCH(ROW()-7,MUSTERILER!$U$7:$U$106,0)),""),IFERROR(INDEX(HESAPLAR!$B$7:$B$16,ROW()-7-COUNT(MUSTERILER!$U$7:$U$106)),""))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 password="CC3D"/>
  <mergeCells count="5">
    <mergeCell ref="A2:L2"/>
    <mergeCell ref="B21:I21"/>
    <mergeCell ref="B6:F6"/>
    <mergeCell ref="K6:M6"/>
    <mergeCell ref="A1:L1"/>
  </mergeCells>
  <conditionalFormatting sqref="F23:F55">
    <cfRule type="expression" priority="1" dxfId="3" stopIfTrue="1">
      <formula>EXACT($F23,"GEÇTİ")</formula>
    </cfRule>
    <cfRule type="expression" priority="2" dxfId="5" stopIfTrue="1">
      <formula>EXACT($F23,"KALDI")</formula>
    </cfRule>
    <cfRule type="expression" priority="3" dxfId="7" stopIfTrue="1">
      <formula>EXACT($F23,"BİLGİ")</formula>
    </cfRule>
  </conditionalFormatting>
  <dataValidations count="2">
    <dataValidation sqref="L8:L37" showDropDown="0" showInputMessage="0" showErrorMessage="1" allowBlank="1" errorTitle="Geçersiz tür" error="Gelir veya Gider seçin." promptTitle="Geçersiz tür" prompt="Gelir veya Gider seçin." type="list">
      <formula1>"Gelir,Gider"</formula1>
    </dataValidation>
    <dataValidation sqref="M8:M37" showDropDown="0" showInputMessage="0" showErrorMessage="1" allowBlank="1" errorTitle="Geçersiz durum" error="Aktif veya Pasif seçin." promptTitle="Geçersiz durum" prompt="Aktif veya Pasif seçin." type="list">
      <formula1>"Aktif,Pasif"</formula1>
    </dataValidation>
  </dataValidations>
  <pageMargins left="0.75" right="0.75" top="1" bottom="1" header="0.5" footer="0.5"/>
  <pageSetup orientation="landscape" fitToHeight="0" fitToWidth="1"/>
  <headerFooter>
    <oddHeader/>
    <oddFooter>&amp;L&amp;8 KILIÇ MUHASEBE │ Ofis Yönetim Sistemi&amp;R&amp;8 Sayfa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KILIÇ MUHASEBE</dc:creator>
  <dc:title xmlns:dc="http://purl.org/dc/elements/1.1/">KILIÇ MUHASEBE – Ofis Yönetim Sistemi</dc:title>
  <dc:description xmlns:dc="http://purl.org/dc/elements/1.1/">Haftalık ücretle çalışan muhasebe ofisi için müşteri, tahakkuk, tahsilat, cari, kasa, aktivite, aylık kapanış ve ortak payı yönetim sistemi.</dc:description>
  <dcterms:created xmlns:dcterms="http://purl.org/dc/terms/" xmlns:xsi="http://www.w3.org/2001/XMLSchema-instance" xsi:type="dcterms:W3CDTF">2026-08-22T08:51:11Z</dcterms:created>
  <dcterms:modified xmlns:dcterms="http://purl.org/dc/terms/" xmlns:xsi="http://www.w3.org/2001/XMLSchema-instance" xsi:type="dcterms:W3CDTF">2026-08-22T08:51:23Z</dcterms:modified>
</cp:coreProperties>
</file>